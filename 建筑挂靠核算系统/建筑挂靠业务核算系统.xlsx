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首页" sheetId="1" state="visible" r:id="rId3"/>
    <sheet name="使用说明" sheetId="2" state="visible" r:id="rId4"/>
    <sheet name="单位档案" sheetId="3" state="visible" r:id="rId5"/>
    <sheet name="项目档案" sheetId="4" state="visible" r:id="rId6"/>
    <sheet name="业务流水" sheetId="5" state="visible" r:id="rId7"/>
    <sheet name="资金日记账" sheetId="6" state="visible" r:id="rId8"/>
    <sheet name="单位汇总" sheetId="7" state="visible" r:id="rId9"/>
    <sheet name="项目汇总" sheetId="8" state="visible" r:id="rId10"/>
    <sheet name="单位项目明细" sheetId="9" state="visible" r:id="rId11"/>
    <sheet name="链条核算" sheetId="10" state="visible" r:id="rId12"/>
    <sheet name="税费台账" sheetId="11" state="visible" r:id="rId13"/>
    <sheet name="代收台账" sheetId="12" state="visible" r:id="rId14"/>
    <sheet name="费用统计" sheetId="13" state="visible" r:id="rId15"/>
    <sheet name="对账核对" sheetId="14" state="visible" r:id="rId16"/>
  </sheets>
  <definedNames>
    <definedName function="false" hidden="false" localSheetId="4" name="_xlnm.Print_Titles" vbProcedure="false">业务流水!$4:$4</definedName>
    <definedName function="false" hidden="true" localSheetId="4" name="_xlnm._FilterDatabase" vbProcedure="false">业务流水!$A$4:$Z$1504</definedName>
    <definedName function="false" hidden="false" localSheetId="11" name="_xlnm.Print_Titles" vbProcedure="false">代收台账!$5:$5</definedName>
    <definedName function="false" hidden="true" localSheetId="11" name="_xlnm._FilterDatabase" vbProcedure="false">代收台账!$A$5:$J$305</definedName>
    <definedName function="false" hidden="false" localSheetId="2" name="_xlnm.Print_Titles" vbProcedure="false">单位档案!$5:$5</definedName>
    <definedName function="false" hidden="false" localSheetId="6" name="_xlnm.Print_Titles" vbProcedure="false">单位汇总!$5:$5</definedName>
    <definedName function="false" hidden="true" localSheetId="6" name="_xlnm._FilterDatabase" vbProcedure="false">单位汇总!$A$5:$P$35</definedName>
    <definedName function="false" hidden="false" localSheetId="8" name="_xlnm.Print_Titles" vbProcedure="false">单位项目明细!$5:$5</definedName>
    <definedName function="false" hidden="true" localSheetId="8" name="_xlnm._FilterDatabase" vbProcedure="false">单位项目明细!$A$5:$Q$405</definedName>
    <definedName function="false" hidden="false" localSheetId="13" name="_xlnm.Print_Titles" vbProcedure="false">对账核对!$5:$5</definedName>
    <definedName function="false" hidden="false" localSheetId="10" name="_xlnm.Print_Titles" vbProcedure="false">税费台账!$5:$5</definedName>
    <definedName function="false" hidden="false" localSheetId="12" name="_xlnm.Print_Titles" vbProcedure="false">费用统计!$5:$5</definedName>
    <definedName function="false" hidden="false" localSheetId="5" name="_xlnm.Print_Titles" vbProcedure="false">资金日记账!$4:$4</definedName>
    <definedName function="false" hidden="true" localSheetId="5" name="_xlnm._FilterDatabase" vbProcedure="false">资金日记账!$A$4:$P$1004</definedName>
    <definedName function="false" hidden="false" localSheetId="9" name="_xlnm.Print_Titles" vbProcedure="false">链条核算!$5:$5</definedName>
    <definedName function="false" hidden="true" localSheetId="9" name="_xlnm._FilterDatabase" vbProcedure="false">链条核算!$A$5:$P$255</definedName>
    <definedName function="false" hidden="false" localSheetId="3" name="_xlnm.Print_Titles" vbProcedure="false">项目档案!$5:$5</definedName>
    <definedName function="false" hidden="false" localSheetId="7" name="_xlnm.Print_Titles" vbProcedure="false">项目汇总!$5:$5</definedName>
    <definedName function="false" hidden="true" localSheetId="7" name="_xlnm._FilterDatabase" vbProcedure="false">项目汇总!$A$5:$P$255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<sst xmlns="http://schemas.openxmlformats.org/spreadsheetml/2006/main" count="5282" uniqueCount="751">
  <si>
    <t xml:space="preserve">建筑挂靠业务核算系统</t>
  </si>
  <si>
    <r>
      <rPr>
        <sz val="9"/>
        <color rgb="FFFFFFFF"/>
        <rFont val="WenQuanYi Zen Hei"/>
        <family val="2"/>
      </rPr>
      <t xml:space="preserve">　总表只录两张：业务流水（开票 </t>
    </r>
    <r>
      <rPr>
        <sz val="9"/>
        <color rgb="FFFFFFFF"/>
        <rFont val="微软雅黑"/>
        <family val="0"/>
        <charset val="1"/>
      </rPr>
      <t xml:space="preserve">· </t>
    </r>
    <r>
      <rPr>
        <sz val="9"/>
        <color rgb="FFFFFFFF"/>
        <rFont val="WenQuanYi Zen Hei"/>
        <family val="2"/>
      </rPr>
      <t xml:space="preserve">成本票 </t>
    </r>
    <r>
      <rPr>
        <sz val="9"/>
        <color rgb="FFFFFFFF"/>
        <rFont val="微软雅黑"/>
        <family val="0"/>
        <charset val="1"/>
      </rPr>
      <t xml:space="preserve">· </t>
    </r>
    <r>
      <rPr>
        <sz val="9"/>
        <color rgb="FFFFFFFF"/>
        <rFont val="WenQuanYi Zen Hei"/>
        <family val="2"/>
      </rPr>
      <t xml:space="preserve">回款 </t>
    </r>
    <r>
      <rPr>
        <sz val="9"/>
        <color rgb="FFFFFFFF"/>
        <rFont val="微软雅黑"/>
        <family val="0"/>
        <charset val="1"/>
      </rPr>
      <t xml:space="preserve">· </t>
    </r>
    <r>
      <rPr>
        <sz val="9"/>
        <color rgb="FFFFFFFF"/>
        <rFont val="WenQuanYi Zen Hei"/>
        <family val="2"/>
      </rPr>
      <t xml:space="preserve">交税）</t>
    </r>
    <r>
      <rPr>
        <sz val="9"/>
        <color rgb="FFFFFFFF"/>
        <rFont val="微软雅黑"/>
        <family val="0"/>
        <charset val="1"/>
      </rPr>
      <t xml:space="preserve">+ </t>
    </r>
    <r>
      <rPr>
        <sz val="9"/>
        <color rgb="FFFFFFFF"/>
        <rFont val="WenQuanYi Zen Hei"/>
        <family val="2"/>
      </rPr>
      <t xml:space="preserve">资金日记账　→　后面所有分表按单位、按项目自动汇总</t>
    </r>
  </si>
  <si>
    <t xml:space="preserve">挂靠单位累计开票</t>
  </si>
  <si>
    <t xml:space="preserve">我方应开成本票</t>
  </si>
  <si>
    <t xml:space="preserve">我方已开成本票</t>
  </si>
  <si>
    <t xml:space="preserve">还差成本票未开</t>
  </si>
  <si>
    <t xml:space="preserve">应收工程款</t>
  </si>
  <si>
    <t xml:space="preserve">业主已付挂靠单位</t>
  </si>
  <si>
    <t xml:space="preserve">挂靠单位已转我方</t>
  </si>
  <si>
    <r>
      <rPr>
        <b val="true"/>
        <sz val="9"/>
        <color rgb="FF404040"/>
        <rFont val="WenQuanYi Zen Hei"/>
        <family val="2"/>
      </rPr>
      <t xml:space="preserve">在途资金</t>
    </r>
    <r>
      <rPr>
        <b val="true"/>
        <sz val="9"/>
        <color rgb="FF404040"/>
        <rFont val="微软雅黑"/>
        <family val="0"/>
        <charset val="1"/>
      </rPr>
      <t xml:space="preserve">·</t>
    </r>
    <r>
      <rPr>
        <b val="true"/>
        <sz val="9"/>
        <color rgb="FF404040"/>
        <rFont val="WenQuanYi Zen Hei"/>
        <family val="2"/>
      </rPr>
      <t xml:space="preserve">代收未转</t>
    </r>
  </si>
  <si>
    <t xml:space="preserve">应提税费</t>
  </si>
  <si>
    <t xml:space="preserve">已交税</t>
  </si>
  <si>
    <t xml:space="preserve">欠税未交</t>
  </si>
  <si>
    <t xml:space="preserve">三账户资金余额</t>
  </si>
  <si>
    <t xml:space="preserve">历史数据对账</t>
  </si>
  <si>
    <t xml:space="preserve">业务流水校验</t>
  </si>
  <si>
    <t xml:space="preserve">日记账校验</t>
  </si>
  <si>
    <t xml:space="preserve">成本票缺口</t>
  </si>
  <si>
    <t xml:space="preserve">　每天怎么用</t>
  </si>
  <si>
    <t xml:space="preserve">新项目</t>
  </si>
  <si>
    <t xml:space="preserve">先到【项目档案】加一行：项目编号、全称、业主、一级单位、二级单位、我方主体。费率留空就按【单位档案】的默认值。</t>
  </si>
  <si>
    <t xml:space="preserve">挂靠单位开票出去</t>
  </si>
  <si>
    <t xml:space="preserve">【业务流水】录一行：业务类型选「销项开票」，开票方＝挂靠单位，收票方＝业主。管理费和我方该开多少成本票自动算。</t>
  </si>
  <si>
    <t xml:space="preserve">我们开成本票过去</t>
  </si>
  <si>
    <t xml:space="preserve">【业务流水】录一行：业务类型选「成本票」，开票方＝我方主体，收票方＝挂靠单位。</t>
  </si>
  <si>
    <t xml:space="preserve">业主把钱付给挂靠单位</t>
  </si>
  <si>
    <t xml:space="preserve">【业务流水】选「挂靠代收」，付款方＝业主，收款方＝挂靠单位。这笔钱还没到我们手上。</t>
  </si>
  <si>
    <t xml:space="preserve">挂靠单位把钱转给我们</t>
  </si>
  <si>
    <t xml:space="preserve">【业务流水】选「我方收款」；同时到【资金日记账】记实际到账，「工程回款」选是。</t>
  </si>
  <si>
    <t xml:space="preserve">交税</t>
  </si>
  <si>
    <t xml:space="preserve">【业务流水】选「已交税」。应交多少系统按单位档案的税率参数自动算。</t>
  </si>
  <si>
    <t xml:space="preserve">日常收付款</t>
  </si>
  <si>
    <t xml:space="preserve">【资金日记账】三个账户混着录，余额自动算。</t>
  </si>
  <si>
    <t xml:space="preserve">要看结果</t>
  </si>
  <si>
    <t xml:space="preserve">【单位汇总】看每个挂靠单位；【项目汇总】看每个工程；【链条核算】看三层链条差多少票；【代收台账】看谁压着我们的钱。</t>
  </si>
  <si>
    <r>
      <rPr>
        <b val="true"/>
        <sz val="15"/>
        <color rgb="FF1F3864"/>
        <rFont val="WenQuanYi Zen Hei"/>
        <family val="2"/>
      </rPr>
      <t xml:space="preserve">建筑挂靠业务核算系统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使用说明</t>
    </r>
  </si>
  <si>
    <t xml:space="preserve">这套表解决什么</t>
  </si>
  <si>
    <t xml:space="preserve">一句话</t>
  </si>
  <si>
    <t xml:space="preserve">挂靠单位帮我们开票出去、我们回开成本票给他们、业主的钱经挂靠单位转到我们手上，中间还有管理费和税差。这些原来要手工在八张表里对，现在只在【业务流水】录一行，后面全部自动。</t>
  </si>
  <si>
    <t xml:space="preserve">两个录入口</t>
  </si>
  <si>
    <t xml:space="preserve">【业务流水】记开票、成本票、回款、交税、管理费结算；【资金日记账】记三个账户实际的每一笔收付。其余所有表都是自动算的。</t>
  </si>
  <si>
    <t xml:space="preserve">链条怎么理解</t>
  </si>
  <si>
    <t xml:space="preserve">三层结构</t>
  </si>
  <si>
    <r>
      <rPr>
        <sz val="9"/>
        <rFont val="WenQuanYi Zen Hei"/>
        <family val="2"/>
      </rPr>
      <t xml:space="preserve">业主（民能 </t>
    </r>
    <r>
      <rPr>
        <sz val="9"/>
        <rFont val="微软雅黑"/>
        <family val="0"/>
        <charset val="1"/>
      </rPr>
      <t xml:space="preserve">/ </t>
    </r>
    <r>
      <rPr>
        <sz val="9"/>
        <rFont val="WenQuanYi Zen Hei"/>
        <family val="2"/>
      </rPr>
      <t xml:space="preserve">铜梁供电）← 一级单位 ← 二级单位 ← 我方（泓普 </t>
    </r>
    <r>
      <rPr>
        <sz val="9"/>
        <rFont val="微软雅黑"/>
        <family val="0"/>
        <charset val="1"/>
      </rPr>
      <t xml:space="preserve">/ </t>
    </r>
    <r>
      <rPr>
        <sz val="9"/>
        <rFont val="WenQuanYi Zen Hei"/>
        <family val="2"/>
      </rPr>
      <t xml:space="preserve">仟茂）。只有两层的项目，【项目档案】的二级单位留空即可。</t>
    </r>
  </si>
  <si>
    <t xml:space="preserve">举例</t>
  </si>
  <si>
    <r>
      <rPr>
        <sz val="9"/>
        <rFont val="WenQuanYi Zen Hei"/>
        <family val="2"/>
      </rPr>
      <t xml:space="preserve">金沁开 </t>
    </r>
    <r>
      <rPr>
        <sz val="9"/>
        <rFont val="微软雅黑"/>
        <family val="0"/>
        <charset val="1"/>
      </rPr>
      <t xml:space="preserve">100 </t>
    </r>
    <r>
      <rPr>
        <sz val="9"/>
        <rFont val="WenQuanYi Zen Hei"/>
        <family val="2"/>
      </rPr>
      <t xml:space="preserve">万票给民能，扣 </t>
    </r>
    <r>
      <rPr>
        <sz val="9"/>
        <rFont val="微软雅黑"/>
        <family val="0"/>
        <charset val="1"/>
      </rPr>
      <t xml:space="preserve">5% </t>
    </r>
    <r>
      <rPr>
        <sz val="9"/>
        <rFont val="WenQuanYi Zen Hei"/>
        <family val="2"/>
      </rPr>
      <t xml:space="preserve">管理费 → 康欣应开 </t>
    </r>
    <r>
      <rPr>
        <sz val="9"/>
        <rFont val="微软雅黑"/>
        <family val="0"/>
        <charset val="1"/>
      </rPr>
      <t xml:space="preserve">95 </t>
    </r>
    <r>
      <rPr>
        <sz val="9"/>
        <rFont val="WenQuanYi Zen Hei"/>
        <family val="2"/>
      </rPr>
      <t xml:space="preserve">万给金沁；康欣扣 </t>
    </r>
    <r>
      <rPr>
        <sz val="9"/>
        <rFont val="微软雅黑"/>
        <family val="0"/>
        <charset val="1"/>
      </rPr>
      <t xml:space="preserve">2% → </t>
    </r>
    <r>
      <rPr>
        <sz val="9"/>
        <rFont val="WenQuanYi Zen Hei"/>
        <family val="2"/>
      </rPr>
      <t xml:space="preserve">我们应开 </t>
    </r>
    <r>
      <rPr>
        <sz val="9"/>
        <rFont val="微软雅黑"/>
        <family val="0"/>
        <charset val="1"/>
      </rPr>
      <t xml:space="preserve">93.1 </t>
    </r>
    <r>
      <rPr>
        <sz val="9"/>
        <rFont val="WenQuanYi Zen Hei"/>
        <family val="2"/>
      </rPr>
      <t xml:space="preserve">万成本票给康欣。这三步在【链条核算】一行看完，最后一列直接告诉你还差多少成本票没开。</t>
    </r>
  </si>
  <si>
    <t xml:space="preserve">管理费率</t>
  </si>
  <si>
    <r>
      <rPr>
        <sz val="9"/>
        <rFont val="WenQuanYi Zen Hei"/>
        <family val="2"/>
      </rPr>
      <t xml:space="preserve">优先取【项目档案】的一级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二级费率；留空则取【单位档案】的默认管理费率。同一个单位不同项目费率不同（比如金沁有的 </t>
    </r>
    <r>
      <rPr>
        <sz val="9"/>
        <rFont val="微软雅黑"/>
        <family val="0"/>
        <charset val="1"/>
      </rPr>
      <t xml:space="preserve">5% </t>
    </r>
    <r>
      <rPr>
        <sz val="9"/>
        <rFont val="WenQuanYi Zen Hei"/>
        <family val="2"/>
      </rPr>
      <t xml:space="preserve">有的 </t>
    </r>
    <r>
      <rPr>
        <sz val="9"/>
        <rFont val="微软雅黑"/>
        <family val="0"/>
        <charset val="1"/>
      </rPr>
      <t xml:space="preserve">3%</t>
    </r>
    <r>
      <rPr>
        <sz val="9"/>
        <rFont val="WenQuanYi Zen Hei"/>
        <family val="2"/>
      </rPr>
      <t xml:space="preserve">），就在项目档案上填。</t>
    </r>
  </si>
  <si>
    <t xml:space="preserve">税差怎么算</t>
  </si>
  <si>
    <t xml:space="preserve">两种算法</t>
  </si>
  <si>
    <r>
      <rPr>
        <sz val="9"/>
        <rFont val="WenQuanYi Zen Hei"/>
        <family val="2"/>
      </rPr>
      <t xml:space="preserve">税差法：预提增值税 ＝ 上游开票销项税 − 我方成本票进项税，用于迅驰、金沁、安锐。全额销项法：预提增值税 ＝ 开票额 </t>
    </r>
    <r>
      <rPr>
        <sz val="9"/>
        <rFont val="微软雅黑"/>
        <family val="0"/>
        <charset val="1"/>
      </rPr>
      <t xml:space="preserve">÷(1+</t>
    </r>
    <r>
      <rPr>
        <sz val="9"/>
        <rFont val="WenQuanYi Zen Hei"/>
        <family val="2"/>
      </rPr>
      <t xml:space="preserve">税率</t>
    </r>
    <r>
      <rPr>
        <sz val="9"/>
        <rFont val="微软雅黑"/>
        <family val="0"/>
        <charset val="1"/>
      </rPr>
      <t xml:space="preserve">) × </t>
    </r>
    <r>
      <rPr>
        <sz val="9"/>
        <rFont val="WenQuanYi Zen Hei"/>
        <family val="2"/>
      </rPr>
      <t xml:space="preserve">税率，用于华城、康欣、湖南锦泰、杰华。德誉嘉无税差。</t>
    </r>
  </si>
  <si>
    <t xml:space="preserve">三个附加项</t>
  </si>
  <si>
    <r>
      <rPr>
        <sz val="9"/>
        <rFont val="WenQuanYi Zen Hei"/>
        <family val="2"/>
      </rPr>
      <t xml:space="preserve">附加税 ＝ 预提增值税 </t>
    </r>
    <r>
      <rPr>
        <sz val="9"/>
        <rFont val="微软雅黑"/>
        <family val="0"/>
        <charset val="1"/>
      </rPr>
      <t xml:space="preserve">× </t>
    </r>
    <r>
      <rPr>
        <sz val="9"/>
        <rFont val="WenQuanYi Zen Hei"/>
        <family val="2"/>
      </rPr>
      <t xml:space="preserve">附加税率（迅驰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华城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金沁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湖南锦泰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杰华 </t>
    </r>
    <r>
      <rPr>
        <sz val="9"/>
        <rFont val="微软雅黑"/>
        <family val="0"/>
        <charset val="1"/>
      </rPr>
      <t xml:space="preserve">12%</t>
    </r>
    <r>
      <rPr>
        <sz val="9"/>
        <rFont val="WenQuanYi Zen Hei"/>
        <family val="2"/>
      </rPr>
      <t xml:space="preserve">，康欣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安锐 </t>
    </r>
    <r>
      <rPr>
        <sz val="9"/>
        <rFont val="微软雅黑"/>
        <family val="0"/>
        <charset val="1"/>
      </rPr>
      <t xml:space="preserve">6%</t>
    </r>
    <r>
      <rPr>
        <sz val="9"/>
        <rFont val="WenQuanYi Zen Hei"/>
        <family val="2"/>
      </rPr>
      <t xml:space="preserve">）；印花税 ＝ 含税开票额 </t>
    </r>
    <r>
      <rPr>
        <sz val="9"/>
        <rFont val="微软雅黑"/>
        <family val="0"/>
        <charset val="1"/>
      </rPr>
      <t xml:space="preserve">× </t>
    </r>
    <r>
      <rPr>
        <sz val="9"/>
        <rFont val="WenQuanYi Zen Hei"/>
        <family val="2"/>
      </rPr>
      <t xml:space="preserve">印花税率；所得税 ＝ 不含税额 </t>
    </r>
    <r>
      <rPr>
        <sz val="9"/>
        <rFont val="微软雅黑"/>
        <family val="0"/>
        <charset val="1"/>
      </rPr>
      <t xml:space="preserve">× </t>
    </r>
    <r>
      <rPr>
        <sz val="9"/>
        <rFont val="WenQuanYi Zen Hei"/>
        <family val="2"/>
      </rPr>
      <t xml:space="preserve">预征率（目前只有康欣 </t>
    </r>
    <r>
      <rPr>
        <sz val="9"/>
        <rFont val="微软雅黑"/>
        <family val="0"/>
        <charset val="1"/>
      </rPr>
      <t xml:space="preserve">0.2%</t>
    </r>
    <r>
      <rPr>
        <sz val="9"/>
        <rFont val="WenQuanYi Zen Hei"/>
        <family val="2"/>
      </rPr>
      <t xml:space="preserve">）。</t>
    </r>
  </si>
  <si>
    <t xml:space="preserve">参数在哪改</t>
  </si>
  <si>
    <t xml:space="preserve">全部在【单位档案】。政策变了或跟对方重新谈了费率，改那一行就行，全表自动重算。</t>
  </si>
  <si>
    <t xml:space="preserve">钱在谁手上</t>
  </si>
  <si>
    <t xml:space="preserve">三个状态</t>
  </si>
  <si>
    <t xml:space="preserve">业主还没付 →【单位汇总】的「业主未付」；业主付了但挂靠单位压着 →「挂靠单位代收未转」；已经到我们账上 →「挂靠单位已转我方」。</t>
  </si>
  <si>
    <t xml:space="preserve">逐笔看</t>
  </si>
  <si>
    <t xml:space="preserve">【代收台账】一笔一笔列出业主付给挂靠单位、挂靠单位转给我们的每一次，最后一列是该单位当前压着我们多少钱。</t>
  </si>
  <si>
    <t xml:space="preserve">首页预警</t>
  </si>
  <si>
    <r>
      <rPr>
        <sz val="9"/>
        <rFont val="WenQuanYi Zen Hei"/>
        <family val="2"/>
      </rPr>
      <t xml:space="preserve">首页「在途资金 </t>
    </r>
    <r>
      <rPr>
        <sz val="9"/>
        <rFont val="微软雅黑"/>
        <family val="0"/>
        <charset val="1"/>
      </rPr>
      <t xml:space="preserve">· </t>
    </r>
    <r>
      <rPr>
        <sz val="9"/>
        <rFont val="WenQuanYi Zen Hei"/>
        <family val="2"/>
      </rPr>
      <t xml:space="preserve">代收未转」这张卡就是所有挂靠单位压着的钱合计，数字大了就该去催。</t>
    </r>
  </si>
  <si>
    <t xml:space="preserve">资金日记账</t>
  </si>
  <si>
    <t xml:space="preserve">三账户混录</t>
  </si>
  <si>
    <t xml:space="preserve">泓普、仟茂、现金混在一起按日期录，系统自动算「该账户余额」和「三账户合计」。</t>
  </si>
  <si>
    <t xml:space="preserve">和业务流水的关系</t>
  </si>
  <si>
    <t xml:space="preserve">日记账记的是真金白银进出，业务流水记的是应开应收。收到工程款时两边都要记：业务流水记「我方收款」，日记账记实际到账并把「工程回款」选「是」，两边可以互相核对。</t>
  </si>
  <si>
    <t xml:space="preserve">按项目看支出</t>
  </si>
  <si>
    <t xml:space="preserve">日记账填了项目编号，【费用统计】右半部分就能按项目出支出合计。</t>
  </si>
  <si>
    <t xml:space="preserve">历史数据</t>
  </si>
  <si>
    <t xml:space="preserve">已全部导入</t>
  </si>
  <si>
    <r>
      <rPr>
        <sz val="9"/>
        <rFont val="WenQuanYi Zen Hei"/>
        <family val="2"/>
      </rPr>
      <t xml:space="preserve">你原来八张对账表的 </t>
    </r>
    <r>
      <rPr>
        <sz val="9"/>
        <rFont val="微软雅黑"/>
        <family val="0"/>
        <charset val="1"/>
      </rPr>
      <t xml:space="preserve">370 </t>
    </r>
    <r>
      <rPr>
        <sz val="9"/>
        <rFont val="WenQuanYi Zen Hei"/>
        <family val="2"/>
      </rPr>
      <t xml:space="preserve">笔业务、日记账 </t>
    </r>
    <r>
      <rPr>
        <sz val="9"/>
        <rFont val="微软雅黑"/>
        <family val="0"/>
        <charset val="1"/>
      </rPr>
      <t xml:space="preserve">34 </t>
    </r>
    <r>
      <rPr>
        <sz val="9"/>
        <rFont val="WenQuanYi Zen Hei"/>
        <family val="2"/>
      </rPr>
      <t xml:space="preserve">笔都已经导入。【对账核对】把原表合计行和系统重算结果逐项比对，全部一致才说明导入没问题。</t>
    </r>
  </si>
  <si>
    <t xml:space="preserve">项目编号</t>
  </si>
  <si>
    <r>
      <rPr>
        <sz val="9"/>
        <rFont val="WenQuanYi Zen Hei"/>
        <family val="2"/>
      </rPr>
      <t xml:space="preserve">历史项目按出现顺序编成 </t>
    </r>
    <r>
      <rPr>
        <sz val="9"/>
        <rFont val="微软雅黑"/>
        <family val="0"/>
        <charset val="1"/>
      </rPr>
      <t xml:space="preserve">A001 </t>
    </r>
    <r>
      <rPr>
        <sz val="9"/>
        <rFont val="WenQuanYi Zen Hei"/>
        <family val="2"/>
      </rPr>
      <t xml:space="preserve">起，新项目是 </t>
    </r>
    <r>
      <rPr>
        <sz val="9"/>
        <rFont val="微软雅黑"/>
        <family val="0"/>
        <charset val="1"/>
      </rPr>
      <t xml:space="preserve">A059</t>
    </r>
    <r>
      <rPr>
        <sz val="9"/>
        <rFont val="WenQuanYi Zen Hei"/>
        <family val="2"/>
      </rPr>
      <t xml:space="preserve">。要改编号直接在【项目档案】改，业务流水的下拉会跟着变。</t>
    </r>
  </si>
  <si>
    <t xml:space="preserve">注意</t>
  </si>
  <si>
    <t xml:space="preserve">不要改灰色区</t>
  </si>
  <si>
    <t xml:space="preserve">淡黄色是手工录入，灰色是自动算的。灰色列被覆盖后不会报错，但分表会静默算错。</t>
  </si>
  <si>
    <t xml:space="preserve">管理费率列可以改</t>
  </si>
  <si>
    <t xml:space="preserve">【业务流水】的「管理费率」是带公式的默认值，个别单子谈了别的价，直接在那一格填数字覆盖即可。</t>
  </si>
  <si>
    <t xml:space="preserve">校验列必须全是√</t>
  </si>
  <si>
    <t xml:space="preserve">【业务流水】和【资金日记账】最右边的校验列出现红色，说明这一行有问题（项目编号不存在、单位不在档案、开票方不在该项目链条上等），要改掉。</t>
  </si>
  <si>
    <t xml:space="preserve">单位档案</t>
  </si>
  <si>
    <t xml:space="preserve">每个挂靠单位的管理费率和税费参数都在这里配。改这里，业务流水的自动计算立刻跟着变。</t>
  </si>
  <si>
    <t xml:space="preserve">单位简称</t>
  </si>
  <si>
    <t xml:space="preserve">单位全称</t>
  </si>
  <si>
    <t xml:space="preserve">类型</t>
  </si>
  <si>
    <t xml:space="preserve">默认
管理费率</t>
  </si>
  <si>
    <t xml:space="preserve">上游
开票税率</t>
  </si>
  <si>
    <t xml:space="preserve">我方回开
票种税率</t>
  </si>
  <si>
    <t xml:space="preserve">有无
税差</t>
  </si>
  <si>
    <t xml:space="preserve">增值税
计算方式</t>
  </si>
  <si>
    <t xml:space="preserve">增值税
预征率</t>
  </si>
  <si>
    <r>
      <rPr>
        <b val="true"/>
        <sz val="9"/>
        <color rgb="FFFFFFFF"/>
        <rFont val="WenQuanYi Zen Hei"/>
        <family val="2"/>
      </rPr>
      <t xml:space="preserve">附加税率
</t>
    </r>
    <r>
      <rPr>
        <b val="true"/>
        <sz val="9"/>
        <color rgb="FFFFFFFF"/>
        <rFont val="微软雅黑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按增值税</t>
    </r>
    <r>
      <rPr>
        <b val="true"/>
        <sz val="9"/>
        <color rgb="FFFFFFFF"/>
        <rFont val="微软雅黑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</si>
  <si>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印花税率
</t>
    </r>
    <r>
      <rPr>
        <b val="true"/>
        <sz val="9"/>
        <color rgb="FFFFFFFF"/>
        <rFont val="微软雅黑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按开票额</t>
    </r>
    <r>
      <rPr>
        <b val="true"/>
        <sz val="9"/>
        <color rgb="FFFFFFFF"/>
        <rFont val="微软雅黑"/>
        <family val="0"/>
        <charset val="1"/>
      </rPr>
      <t xml:space="preserve">)</t>
    </r>
  </si>
  <si>
    <t xml:space="preserve">所得税
预征率</t>
  </si>
  <si>
    <t xml:space="preserve">状态</t>
  </si>
  <si>
    <t xml:space="preserve">备注</t>
  </si>
  <si>
    <t xml:space="preserve">民能</t>
  </si>
  <si>
    <t xml:space="preserve">重庆民能实业有限公司</t>
  </si>
  <si>
    <t xml:space="preserve">业主</t>
  </si>
  <si>
    <t xml:space="preserve">否</t>
  </si>
  <si>
    <t xml:space="preserve">—</t>
  </si>
  <si>
    <t xml:space="preserve">正常</t>
  </si>
  <si>
    <t xml:space="preserve">工程发包方</t>
  </si>
  <si>
    <t xml:space="preserve">铜梁供电</t>
  </si>
  <si>
    <t xml:space="preserve">国网重庆铜梁供电分公司</t>
  </si>
  <si>
    <t xml:space="preserve">德誉嘉</t>
  </si>
  <si>
    <t xml:space="preserve">德誉嘉（德誉佳）</t>
  </si>
  <si>
    <t xml:space="preserve">挂靠单位</t>
  </si>
  <si>
    <r>
      <rPr>
        <sz val="9"/>
        <color rgb="FF0000C0"/>
        <rFont val="WenQuanYi Zen Hei"/>
        <family val="2"/>
      </rPr>
      <t xml:space="preserve">原扣</t>
    </r>
    <r>
      <rPr>
        <sz val="9"/>
        <color rgb="FF0000C0"/>
        <rFont val="微软雅黑"/>
        <family val="0"/>
        <charset val="1"/>
      </rPr>
      <t xml:space="preserve">8%</t>
    </r>
    <r>
      <rPr>
        <sz val="9"/>
        <color rgb="FF0000C0"/>
        <rFont val="WenQuanYi Zen Hei"/>
        <family val="2"/>
      </rPr>
      <t xml:space="preserve">返</t>
    </r>
    <r>
      <rPr>
        <sz val="9"/>
        <color rgb="FF0000C0"/>
        <rFont val="微软雅黑"/>
        <family val="0"/>
        <charset val="1"/>
      </rPr>
      <t xml:space="preserve">4%</t>
    </r>
    <r>
      <rPr>
        <sz val="9"/>
        <color rgb="FF0000C0"/>
        <rFont val="WenQuanYi Zen Hei"/>
        <family val="2"/>
      </rPr>
      <t xml:space="preserve">现金，现改为直接扣</t>
    </r>
    <r>
      <rPr>
        <sz val="9"/>
        <color rgb="FF0000C0"/>
        <rFont val="微软雅黑"/>
        <family val="0"/>
        <charset val="1"/>
      </rPr>
      <t xml:space="preserve">4%</t>
    </r>
    <r>
      <rPr>
        <sz val="9"/>
        <color rgb="FF0000C0"/>
        <rFont val="WenQuanYi Zen Hei"/>
        <family val="2"/>
      </rPr>
      <t xml:space="preserve">按下浮开票，无税差</t>
    </r>
  </si>
  <si>
    <t xml:space="preserve">迅驰</t>
  </si>
  <si>
    <t xml:space="preserve">是</t>
  </si>
  <si>
    <t xml:space="preserve">税差法</t>
  </si>
  <si>
    <r>
      <rPr>
        <sz val="9"/>
        <color rgb="FF0000C0"/>
        <rFont val="WenQuanYi Zen Hei"/>
        <family val="2"/>
      </rPr>
      <t xml:space="preserve">开</t>
    </r>
    <r>
      <rPr>
        <sz val="9"/>
        <color rgb="FF0000C0"/>
        <rFont val="微软雅黑"/>
        <family val="0"/>
        <charset val="1"/>
      </rPr>
      <t xml:space="preserve">9%</t>
    </r>
    <r>
      <rPr>
        <sz val="9"/>
        <color rgb="FF0000C0"/>
        <rFont val="WenQuanYi Zen Hei"/>
        <family val="2"/>
      </rPr>
      <t xml:space="preserve">专票给民能，我方只能开</t>
    </r>
    <r>
      <rPr>
        <sz val="9"/>
        <color rgb="FF0000C0"/>
        <rFont val="微软雅黑"/>
        <family val="0"/>
        <charset val="1"/>
      </rPr>
      <t xml:space="preserve">3%</t>
    </r>
    <r>
      <rPr>
        <sz val="9"/>
        <color rgb="FF0000C0"/>
        <rFont val="WenQuanYi Zen Hei"/>
        <family val="2"/>
      </rPr>
      <t xml:space="preserve">，税差补给对方</t>
    </r>
  </si>
  <si>
    <t xml:space="preserve">华城</t>
  </si>
  <si>
    <t xml:space="preserve">全额销项法</t>
  </si>
  <si>
    <r>
      <rPr>
        <sz val="9"/>
        <color rgb="FF0000C0"/>
        <rFont val="WenQuanYi Zen Hei"/>
        <family val="2"/>
      </rPr>
      <t xml:space="preserve">开</t>
    </r>
    <r>
      <rPr>
        <sz val="9"/>
        <color rgb="FF0000C0"/>
        <rFont val="微软雅黑"/>
        <family val="0"/>
        <charset val="1"/>
      </rPr>
      <t xml:space="preserve">3%</t>
    </r>
    <r>
      <rPr>
        <sz val="9"/>
        <color rgb="FF0000C0"/>
        <rFont val="WenQuanYi Zen Hei"/>
        <family val="2"/>
      </rPr>
      <t xml:space="preserve">劳务票，我方回</t>
    </r>
    <r>
      <rPr>
        <sz val="9"/>
        <color rgb="FF0000C0"/>
        <rFont val="微软雅黑"/>
        <family val="0"/>
        <charset val="1"/>
      </rPr>
      <t xml:space="preserve">1%</t>
    </r>
    <r>
      <rPr>
        <sz val="9"/>
        <color rgb="FF0000C0"/>
        <rFont val="WenQuanYi Zen Hei"/>
        <family val="2"/>
      </rPr>
      <t xml:space="preserve">普票</t>
    </r>
  </si>
  <si>
    <t xml:space="preserve">康欣</t>
  </si>
  <si>
    <r>
      <rPr>
        <sz val="9"/>
        <color rgb="FF0000C0"/>
        <rFont val="WenQuanYi Zen Hei"/>
        <family val="2"/>
      </rPr>
      <t xml:space="preserve">老项目不收管理费只过票；新项目直接开给民能下浮</t>
    </r>
    <r>
      <rPr>
        <sz val="9"/>
        <color rgb="FF0000C0"/>
        <rFont val="微软雅黑"/>
        <family val="0"/>
        <charset val="1"/>
      </rPr>
      <t xml:space="preserve">2%</t>
    </r>
  </si>
  <si>
    <t xml:space="preserve">金沁</t>
  </si>
  <si>
    <r>
      <rPr>
        <sz val="9"/>
        <color rgb="FF0000C0"/>
        <rFont val="WenQuanYi Zen Hei"/>
        <family val="2"/>
      </rPr>
      <t xml:space="preserve">部分项目扣</t>
    </r>
    <r>
      <rPr>
        <sz val="9"/>
        <color rgb="FF0000C0"/>
        <rFont val="微软雅黑"/>
        <family val="0"/>
        <charset val="1"/>
      </rPr>
      <t xml:space="preserve">5%</t>
    </r>
    <r>
      <rPr>
        <sz val="9"/>
        <color rgb="FF0000C0"/>
        <rFont val="WenQuanYi Zen Hei"/>
        <family val="2"/>
      </rPr>
      <t xml:space="preserve">部分扣</t>
    </r>
    <r>
      <rPr>
        <sz val="9"/>
        <color rgb="FF0000C0"/>
        <rFont val="微软雅黑"/>
        <family val="0"/>
        <charset val="1"/>
      </rPr>
      <t xml:space="preserve">3%</t>
    </r>
    <r>
      <rPr>
        <sz val="9"/>
        <color rgb="FF0000C0"/>
        <rFont val="WenQuanYi Zen Hei"/>
        <family val="2"/>
      </rPr>
      <t xml:space="preserve">，以项目档案费率为准</t>
    </r>
  </si>
  <si>
    <t xml:space="preserve">安锐</t>
  </si>
  <si>
    <r>
      <rPr>
        <sz val="9"/>
        <color rgb="FF0000C0"/>
        <rFont val="WenQuanYi Zen Hei"/>
        <family val="2"/>
      </rPr>
      <t xml:space="preserve">两端同为</t>
    </r>
    <r>
      <rPr>
        <sz val="9"/>
        <color rgb="FF0000C0"/>
        <rFont val="微软雅黑"/>
        <family val="0"/>
        <charset val="1"/>
      </rPr>
      <t xml:space="preserve">13%</t>
    </r>
    <r>
      <rPr>
        <sz val="9"/>
        <color rgb="FF0000C0"/>
        <rFont val="WenQuanYi Zen Hei"/>
        <family val="2"/>
      </rPr>
      <t xml:space="preserve">，税差即管理费部分</t>
    </r>
  </si>
  <si>
    <t xml:space="preserve">湖南锦泰</t>
  </si>
  <si>
    <t xml:space="preserve">湖南锦泰电力建设有限公司</t>
  </si>
  <si>
    <t xml:space="preserve">杰华</t>
  </si>
  <si>
    <t xml:space="preserve">重庆杰华电气有限公司</t>
  </si>
  <si>
    <t xml:space="preserve">泓普</t>
  </si>
  <si>
    <t xml:space="preserve">泓普（我方主体）</t>
  </si>
  <si>
    <t xml:space="preserve">我方主体</t>
  </si>
  <si>
    <t xml:space="preserve">主要开票主体</t>
  </si>
  <si>
    <t xml:space="preserve">仟茂</t>
  </si>
  <si>
    <t xml:space="preserve">仟茂（我方主体）</t>
  </si>
  <si>
    <r>
      <rPr>
        <sz val="9"/>
        <color rgb="FF0000C0"/>
        <rFont val="微软雅黑"/>
        <family val="0"/>
        <charset val="1"/>
      </rPr>
      <t xml:space="preserve">13%</t>
    </r>
    <r>
      <rPr>
        <sz val="9"/>
        <color rgb="FF0000C0"/>
        <rFont val="WenQuanYi Zen Hei"/>
        <family val="2"/>
      </rPr>
      <t xml:space="preserve">票种主体</t>
    </r>
  </si>
  <si>
    <t xml:space="preserve">税局</t>
  </si>
  <si>
    <t xml:space="preserve">税务机关</t>
  </si>
  <si>
    <t xml:space="preserve">其他</t>
  </si>
  <si>
    <r>
      <rPr>
        <sz val="8"/>
        <color rgb="FF808080"/>
        <rFont val="WenQuanYi Zen Hei"/>
        <family val="2"/>
      </rPr>
      <t xml:space="preserve">税差法：预提增值税 ＝ 上游开票销项税 − 我方成本票进项税（迅驰、金沁、安锐）。全额销项法：预提增值税 ＝ 开票额 </t>
    </r>
    <r>
      <rPr>
        <sz val="8"/>
        <color rgb="FF808080"/>
        <rFont val="微软雅黑"/>
        <family val="0"/>
        <charset val="1"/>
      </rPr>
      <t xml:space="preserve">÷(1+</t>
    </r>
    <r>
      <rPr>
        <sz val="8"/>
        <color rgb="FF808080"/>
        <rFont val="WenQuanYi Zen Hei"/>
        <family val="2"/>
      </rPr>
      <t xml:space="preserve">上游税率</t>
    </r>
    <r>
      <rPr>
        <sz val="8"/>
        <color rgb="FF808080"/>
        <rFont val="微软雅黑"/>
        <family val="0"/>
        <charset val="1"/>
      </rPr>
      <t xml:space="preserve">) × </t>
    </r>
    <r>
      <rPr>
        <sz val="8"/>
        <color rgb="FF808080"/>
        <rFont val="WenQuanYi Zen Hei"/>
        <family val="2"/>
      </rPr>
      <t xml:space="preserve">上游税率（华城、康欣、湖南锦泰、杰华）。预征率法：开票额 </t>
    </r>
    <r>
      <rPr>
        <sz val="8"/>
        <color rgb="FF808080"/>
        <rFont val="微软雅黑"/>
        <family val="0"/>
        <charset val="1"/>
      </rPr>
      <t xml:space="preserve">÷(1+</t>
    </r>
    <r>
      <rPr>
        <sz val="8"/>
        <color rgb="FF808080"/>
        <rFont val="WenQuanYi Zen Hei"/>
        <family val="2"/>
      </rPr>
      <t xml:space="preserve">上游税率</t>
    </r>
    <r>
      <rPr>
        <sz val="8"/>
        <color rgb="FF808080"/>
        <rFont val="微软雅黑"/>
        <family val="0"/>
        <charset val="1"/>
      </rPr>
      <t xml:space="preserve">) × </t>
    </r>
    <r>
      <rPr>
        <sz val="8"/>
        <color rgb="FF808080"/>
        <rFont val="WenQuanYi Zen Hei"/>
        <family val="2"/>
      </rPr>
      <t xml:space="preserve">预征率。附加税＝预提增值税</t>
    </r>
    <r>
      <rPr>
        <sz val="8"/>
        <color rgb="FF808080"/>
        <rFont val="微软雅黑"/>
        <family val="0"/>
        <charset val="1"/>
      </rPr>
      <t xml:space="preserve">×</t>
    </r>
    <r>
      <rPr>
        <sz val="8"/>
        <color rgb="FF808080"/>
        <rFont val="WenQuanYi Zen Hei"/>
        <family val="2"/>
      </rPr>
      <t xml:space="preserve">附加税率；印花税＝含税开票额</t>
    </r>
    <r>
      <rPr>
        <sz val="8"/>
        <color rgb="FF808080"/>
        <rFont val="微软雅黑"/>
        <family val="0"/>
        <charset val="1"/>
      </rPr>
      <t xml:space="preserve">×</t>
    </r>
    <r>
      <rPr>
        <sz val="8"/>
        <color rgb="FF808080"/>
        <rFont val="WenQuanYi Zen Hei"/>
        <family val="2"/>
      </rPr>
      <t xml:space="preserve">印花税率；所得税＝不含税额</t>
    </r>
    <r>
      <rPr>
        <sz val="8"/>
        <color rgb="FF808080"/>
        <rFont val="微软雅黑"/>
        <family val="0"/>
        <charset val="1"/>
      </rPr>
      <t xml:space="preserve">×</t>
    </r>
    <r>
      <rPr>
        <sz val="8"/>
        <color rgb="FF808080"/>
        <rFont val="WenQuanYi Zen Hei"/>
        <family val="2"/>
      </rPr>
      <t xml:space="preserve">所得税预征率。以上全部逐笔核对过你原表的数。</t>
    </r>
  </si>
  <si>
    <t xml:space="preserve">项目档案</t>
  </si>
  <si>
    <t xml:space="preserve">一个项目最多三层：业主 ← 一级单位 ← 二级单位 ← 我方。只有两层的项目，二级单位留空即可。费率留空时自动取【单位档案】的默认管理费率。</t>
  </si>
  <si>
    <t xml:space="preserve">项目全称</t>
  </si>
  <si>
    <t xml:space="preserve">一级单位</t>
  </si>
  <si>
    <t xml:space="preserve">一级
费率</t>
  </si>
  <si>
    <t xml:space="preserve">二级单位</t>
  </si>
  <si>
    <t xml:space="preserve">二级
费率</t>
  </si>
  <si>
    <t xml:space="preserve">开工日期</t>
  </si>
  <si>
    <t xml:space="preserve">合同额</t>
  </si>
  <si>
    <t xml:space="preserve">A001</t>
  </si>
  <si>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年度工程用施工机具等租赁服务（重庆铜梁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大太线老旧线路改造工程）</t>
    </r>
  </si>
  <si>
    <t xml:space="preserve">在建</t>
  </si>
  <si>
    <t xml:space="preserve">A002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</si>
  <si>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梧桐村</t>
    </r>
    <r>
      <rPr>
        <sz val="9"/>
        <color rgb="FF0000C0"/>
        <rFont val="微软雅黑"/>
        <family val="0"/>
        <charset val="1"/>
      </rPr>
      <t xml:space="preserve">4.5.6</t>
    </r>
    <r>
      <rPr>
        <sz val="9"/>
        <color rgb="FF0000C0"/>
        <rFont val="WenQuanYi Zen Hei"/>
        <family val="2"/>
      </rPr>
      <t xml:space="preserve">社台区重过载治理工程等</t>
    </r>
    <r>
      <rPr>
        <sz val="9"/>
        <color rgb="FF0000C0"/>
        <rFont val="微软雅黑"/>
        <family val="0"/>
        <charset val="1"/>
      </rPr>
      <t xml:space="preserve">23</t>
    </r>
    <r>
      <rPr>
        <sz val="9"/>
        <color rgb="FF0000C0"/>
        <rFont val="WenQuanYi Zen Hei"/>
        <family val="2"/>
      </rPr>
      <t xml:space="preserve">个项目</t>
    </r>
    <r>
      <rPr>
        <sz val="9"/>
        <color rgb="FF0000C0"/>
        <rFont val="微软雅黑"/>
        <family val="0"/>
        <charset val="1"/>
      </rPr>
      <t xml:space="preserve">(2025</t>
    </r>
    <r>
      <rPr>
        <sz val="9"/>
        <color rgb="FF0000C0"/>
        <rFont val="WenQuanYi Zen Hei"/>
        <family val="2"/>
      </rPr>
      <t xml:space="preserve">年配网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批、业扩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批民能施工）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侣新线凤飞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社台区重过载治理工程</t>
    </r>
    <r>
      <rPr>
        <sz val="9"/>
        <color rgb="FF0000C0"/>
        <rFont val="微软雅黑"/>
        <family val="0"/>
        <charset val="1"/>
      </rPr>
      <t xml:space="preserve">)</t>
    </r>
  </si>
  <si>
    <r>
      <rPr>
        <sz val="9"/>
        <color rgb="FF0000C0"/>
        <rFont val="WenQuanYi Zen Hei"/>
        <family val="2"/>
      </rPr>
      <t xml:space="preserve">该项目走了 </t>
    </r>
    <r>
      <rPr>
        <sz val="9"/>
        <color rgb="FF0000C0"/>
        <rFont val="微软雅黑"/>
        <family val="0"/>
        <charset val="1"/>
      </rPr>
      <t xml:space="preserve">2 </t>
    </r>
    <r>
      <rPr>
        <sz val="9"/>
        <color rgb="FF0000C0"/>
        <rFont val="WenQuanYi Zen Hei"/>
        <family val="2"/>
      </rPr>
      <t xml:space="preserve">条挂靠链：金沁、康欣，档案只能填一条，链条核算以此为准；其余链条请看单位项目明细</t>
    </r>
  </si>
  <si>
    <t xml:space="preserve">A003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</si>
  <si>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平双线新建联络工程</t>
    </r>
  </si>
  <si>
    <r>
      <rPr>
        <sz val="9"/>
        <color rgb="FF0000C0"/>
        <rFont val="WenQuanYi Zen Hei"/>
        <family val="2"/>
      </rPr>
      <t xml:space="preserve">该项目走了 </t>
    </r>
    <r>
      <rPr>
        <sz val="9"/>
        <color rgb="FF0000C0"/>
        <rFont val="微软雅黑"/>
        <family val="0"/>
        <charset val="1"/>
      </rPr>
      <t xml:space="preserve">3 </t>
    </r>
    <r>
      <rPr>
        <sz val="9"/>
        <color rgb="FF0000C0"/>
        <rFont val="WenQuanYi Zen Hei"/>
        <family val="2"/>
      </rPr>
      <t xml:space="preserve">条挂靠链：华城、德誉嘉、迅驰，档案只能填一条，链条核算以此为准；其余链条请看单位项目明细</t>
    </r>
  </si>
  <si>
    <t xml:space="preserve">A004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</si>
  <si>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水羊线金鸡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（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）社台区重过载治理工程</t>
    </r>
  </si>
  <si>
    <r>
      <rPr>
        <sz val="9"/>
        <color rgb="FF0000C0"/>
        <rFont val="WenQuanYi Zen Hei"/>
        <family val="2"/>
      </rPr>
      <t xml:space="preserve">该项目走了 </t>
    </r>
    <r>
      <rPr>
        <sz val="9"/>
        <color rgb="FF0000C0"/>
        <rFont val="微软雅黑"/>
        <family val="0"/>
        <charset val="1"/>
      </rPr>
      <t xml:space="preserve">3 </t>
    </r>
    <r>
      <rPr>
        <sz val="9"/>
        <color rgb="FF0000C0"/>
        <rFont val="WenQuanYi Zen Hei"/>
        <family val="2"/>
      </rPr>
      <t xml:space="preserve">条挂靠链：康欣、德誉嘉、迅驰，档案只能填一条，链条核算以此为准；其余链条请看单位项目明细</t>
    </r>
  </si>
  <si>
    <t xml:space="preserve">A005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</si>
  <si>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龙羊线七佛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社台区重过载治理工程</t>
    </r>
  </si>
  <si>
    <t xml:space="preserve">A006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</si>
  <si>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少柏线池塘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社柱台区电压越限治理工程</t>
    </r>
  </si>
  <si>
    <t xml:space="preserve">A007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</si>
  <si>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少柏线团山</t>
    </r>
    <r>
      <rPr>
        <sz val="9"/>
        <color rgb="FF0000C0"/>
        <rFont val="微软雅黑"/>
        <family val="0"/>
        <charset val="1"/>
      </rPr>
      <t xml:space="preserve">7.6.11</t>
    </r>
    <r>
      <rPr>
        <sz val="9"/>
        <color rgb="FF0000C0"/>
        <rFont val="WenQuanYi Zen Hei"/>
        <family val="2"/>
      </rPr>
      <t xml:space="preserve">社台区电压越限治理工程</t>
    </r>
  </si>
  <si>
    <t xml:space="preserve">A008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</si>
  <si>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平凉线惠丰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社等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个台区重过载治理工程</t>
    </r>
  </si>
  <si>
    <t xml:space="preserve">A009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</si>
  <si>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少柏线社田</t>
    </r>
    <r>
      <rPr>
        <sz val="9"/>
        <color rgb="FF0000C0"/>
        <rFont val="微软雅黑"/>
        <family val="0"/>
        <charset val="1"/>
      </rPr>
      <t xml:space="preserve">1.6.7</t>
    </r>
    <r>
      <rPr>
        <sz val="9"/>
        <color rgb="FF0000C0"/>
        <rFont val="WenQuanYi Zen Hei"/>
        <family val="2"/>
      </rPr>
      <t xml:space="preserve">社台区重过载治理工程（机械费）</t>
    </r>
  </si>
  <si>
    <t xml:space="preserve">A010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</si>
  <si>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大科新建联络工程（机械费）</t>
    </r>
  </si>
  <si>
    <t xml:space="preserve">A011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</si>
  <si>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大岭线新建联络工程（机械费）</t>
    </r>
  </si>
  <si>
    <t xml:space="preserve">A012</t>
  </si>
  <si>
    <r>
      <rPr>
        <sz val="9"/>
        <color rgb="FF0000C0"/>
        <rFont val="WenQuanYi Zen Hei"/>
        <family val="2"/>
      </rPr>
      <t xml:space="preserve">重庆铜梁重庆物华天宝镀膜科技有限公司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业扩配套工程（机械费）</t>
    </r>
  </si>
  <si>
    <t xml:space="preserve">A013</t>
  </si>
  <si>
    <t xml:space="preserve">1</t>
  </si>
  <si>
    <t xml:space="preserve">A014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</si>
  <si>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年度工程用特种设备租赁服务框架采购（铜梁公司</t>
    </r>
    <r>
      <rPr>
        <sz val="9"/>
        <color rgb="FF0000C0"/>
        <rFont val="微软雅黑"/>
        <family val="0"/>
        <charset val="1"/>
      </rPr>
      <t xml:space="preserve">2025</t>
    </r>
    <r>
      <rPr>
        <sz val="9"/>
        <color rgb="FF0000C0"/>
        <rFont val="WenQuanYi Zen Hei"/>
        <family val="2"/>
      </rPr>
      <t xml:space="preserve">年成本类优化营商环境项目（安居所张绍华等</t>
    </r>
    <r>
      <rPr>
        <sz val="9"/>
        <color rgb="FF0000C0"/>
        <rFont val="微软雅黑"/>
        <family val="0"/>
        <charset val="1"/>
      </rPr>
      <t xml:space="preserve">10</t>
    </r>
    <r>
      <rPr>
        <sz val="9"/>
        <color rgb="FF0000C0"/>
        <rFont val="WenQuanYi Zen Hei"/>
        <family val="2"/>
      </rPr>
      <t xml:space="preserve">个低压业扩项目）（机械费）</t>
    </r>
  </si>
  <si>
    <t xml:space="preserve">A015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</si>
  <si>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年度工程用特种设备租赁服务框架采购、铜梁公司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围塘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社等台区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个隐患治理项目。大桥</t>
    </r>
    <r>
      <rPr>
        <sz val="9"/>
        <color rgb="FF0000C0"/>
        <rFont val="微软雅黑"/>
        <family val="0"/>
        <charset val="1"/>
      </rPr>
      <t xml:space="preserve">7.8</t>
    </r>
    <r>
      <rPr>
        <sz val="9"/>
        <color rgb="FF0000C0"/>
        <rFont val="WenQuanYi Zen Hei"/>
        <family val="2"/>
      </rPr>
      <t xml:space="preserve">社等台区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个应急抢修项目</t>
    </r>
    <r>
      <rPr>
        <sz val="9"/>
        <color rgb="FF0000C0"/>
        <rFont val="微软雅黑"/>
        <family val="0"/>
        <charset val="1"/>
      </rPr>
      <t xml:space="preserve">)</t>
    </r>
    <r>
      <rPr>
        <sz val="9"/>
        <color rgb="FF0000C0"/>
        <rFont val="WenQuanYi Zen Hei"/>
        <family val="2"/>
      </rPr>
      <t xml:space="preserve">机械费</t>
    </r>
  </si>
  <si>
    <t xml:space="preserve">A016</t>
  </si>
  <si>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年度工程用特种设备租赁服务框架采购、峰盛模具</t>
    </r>
    <r>
      <rPr>
        <sz val="9"/>
        <color rgb="FF0000C0"/>
        <rFont val="微软雅黑"/>
        <family val="0"/>
        <charset val="1"/>
      </rPr>
      <t xml:space="preserve">ZBW-250KVA</t>
    </r>
    <r>
      <rPr>
        <sz val="9"/>
        <color rgb="FF0000C0"/>
        <rFont val="WenQuanYi Zen Hei"/>
        <family val="2"/>
      </rPr>
      <t xml:space="preserve">箱变拆除工程（机械费）</t>
    </r>
  </si>
  <si>
    <t xml:space="preserve">A017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</si>
  <si>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2025</t>
    </r>
    <r>
      <rPr>
        <sz val="9"/>
        <color rgb="FF0000C0"/>
        <rFont val="WenQuanYi Zen Hei"/>
        <family val="2"/>
      </rPr>
      <t xml:space="preserve">年成本类优化营商环境项目（平滩所何银强等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个低压业扩工程）</t>
    </r>
  </si>
  <si>
    <t xml:space="preserve">A018</t>
  </si>
  <si>
    <r>
      <rPr>
        <sz val="9"/>
        <color rgb="FF0000C0"/>
        <rFont val="WenQuanYi Zen Hei"/>
        <family val="2"/>
      </rPr>
      <t xml:space="preserve">重庆德誉佳实业有限公司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2025</t>
    </r>
    <r>
      <rPr>
        <sz val="9"/>
        <color rgb="FF0000C0"/>
        <rFont val="WenQuanYi Zen Hei"/>
        <family val="2"/>
      </rPr>
      <t xml:space="preserve">年成本类优化营商环境项目（平滩所何银强等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个低压业扩工程）</t>
    </r>
  </si>
  <si>
    <r>
      <rPr>
        <sz val="9"/>
        <color rgb="FF0000C0"/>
        <rFont val="WenQuanYi Zen Hei"/>
        <family val="2"/>
      </rPr>
      <t xml:space="preserve">该项目走了 </t>
    </r>
    <r>
      <rPr>
        <sz val="9"/>
        <color rgb="FF0000C0"/>
        <rFont val="微软雅黑"/>
        <family val="0"/>
        <charset val="1"/>
      </rPr>
      <t xml:space="preserve">2 </t>
    </r>
    <r>
      <rPr>
        <sz val="9"/>
        <color rgb="FF0000C0"/>
        <rFont val="WenQuanYi Zen Hei"/>
        <family val="2"/>
      </rPr>
      <t xml:space="preserve">条挂靠链：迅驰、德誉嘉，档案只能填一条，链条核算以此为准；其余链条请看单位项目明细</t>
    </r>
  </si>
  <si>
    <t xml:space="preserve">A019</t>
  </si>
  <si>
    <r>
      <rPr>
        <sz val="9"/>
        <color rgb="FF0000C0"/>
        <rFont val="WenQuanYi Zen Hei"/>
        <family val="2"/>
      </rPr>
      <t xml:space="preserve">重庆德誉佳实业有限公司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年度工程用施工机具等租赁服务框架采购（国网重庆铜梁公司</t>
    </r>
    <r>
      <rPr>
        <sz val="9"/>
        <color rgb="FF0000C0"/>
        <rFont val="微软雅黑"/>
        <family val="0"/>
        <charset val="1"/>
      </rPr>
      <t xml:space="preserve">110kV</t>
    </r>
    <r>
      <rPr>
        <sz val="9"/>
        <color rgb="FF0000C0"/>
        <rFont val="WenQuanYi Zen Hei"/>
        <family val="2"/>
      </rPr>
      <t xml:space="preserve">金湖东西电缆改造）</t>
    </r>
  </si>
  <si>
    <t xml:space="preserve">A020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</si>
  <si>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年度工程用施工机具等租赁服务框架采购（国网重庆铜梁公司</t>
    </r>
    <r>
      <rPr>
        <sz val="9"/>
        <color rgb="FF0000C0"/>
        <rFont val="微软雅黑"/>
        <family val="0"/>
        <charset val="1"/>
      </rPr>
      <t xml:space="preserve">110kV</t>
    </r>
    <r>
      <rPr>
        <sz val="9"/>
        <color rgb="FF0000C0"/>
        <rFont val="WenQuanYi Zen Hei"/>
        <family val="2"/>
      </rPr>
      <t xml:space="preserve">金湖东西电缆改造）</t>
    </r>
  </si>
  <si>
    <r>
      <rPr>
        <sz val="9"/>
        <color rgb="FF0000C0"/>
        <rFont val="WenQuanYi Zen Hei"/>
        <family val="2"/>
      </rPr>
      <t xml:space="preserve">该项目走了 </t>
    </r>
    <r>
      <rPr>
        <sz val="9"/>
        <color rgb="FF0000C0"/>
        <rFont val="微软雅黑"/>
        <family val="0"/>
        <charset val="1"/>
      </rPr>
      <t xml:space="preserve">2 </t>
    </r>
    <r>
      <rPr>
        <sz val="9"/>
        <color rgb="FF0000C0"/>
        <rFont val="WenQuanYi Zen Hei"/>
        <family val="2"/>
      </rPr>
      <t xml:space="preserve">条挂靠链：迅驰、金沁，档案只能填一条，链条核算以此为准；其余链条请看单位项目明细</t>
    </r>
  </si>
  <si>
    <t xml:space="preserve">A021</t>
  </si>
  <si>
    <r>
      <rPr>
        <sz val="9"/>
        <color rgb="FF0000C0"/>
        <rFont val="WenQuanYi Zen Hei"/>
        <family val="2"/>
      </rPr>
      <t xml:space="preserve">铜梁区园区屋顶分布式光伏发电建设项目</t>
    </r>
    <r>
      <rPr>
        <sz val="9"/>
        <color rgb="FF0000C0"/>
        <rFont val="微软雅黑"/>
        <family val="0"/>
        <charset val="1"/>
      </rPr>
      <t xml:space="preserve">-10kV</t>
    </r>
    <r>
      <rPr>
        <sz val="9"/>
        <color rgb="FF0000C0"/>
        <rFont val="WenQuanYi Zen Hei"/>
        <family val="2"/>
      </rPr>
      <t xml:space="preserve">电力新建工程（康欣</t>
    </r>
    <r>
      <rPr>
        <sz val="9"/>
        <color rgb="FF0000C0"/>
        <rFont val="微软雅黑"/>
        <family val="0"/>
        <charset val="1"/>
      </rPr>
      <t xml:space="preserve">3W</t>
    </r>
    <r>
      <rPr>
        <sz val="9"/>
        <color rgb="FF0000C0"/>
        <rFont val="WenQuanYi Zen Hei"/>
        <family val="2"/>
      </rPr>
      <t xml:space="preserve">，泓普</t>
    </r>
    <r>
      <rPr>
        <sz val="9"/>
        <color rgb="FF0000C0"/>
        <rFont val="微软雅黑"/>
        <family val="0"/>
        <charset val="1"/>
      </rPr>
      <t xml:space="preserve">7W</t>
    </r>
    <r>
      <rPr>
        <sz val="9"/>
        <color rgb="FF0000C0"/>
        <rFont val="WenQuanYi Zen Hei"/>
        <family val="2"/>
      </rPr>
      <t xml:space="preserve">）</t>
    </r>
  </si>
  <si>
    <t xml:space="preserve">A022</t>
  </si>
  <si>
    <r>
      <rPr>
        <sz val="9"/>
        <color rgb="FF0000C0"/>
        <rFont val="WenQuanYi Zen Hei"/>
        <family val="2"/>
      </rPr>
      <t xml:space="preserve">铜梁区园区屋顶分布式光伏发电建设项目</t>
    </r>
    <r>
      <rPr>
        <sz val="9"/>
        <color rgb="FF0000C0"/>
        <rFont val="微软雅黑"/>
        <family val="0"/>
        <charset val="1"/>
      </rPr>
      <t xml:space="preserve">-10kV</t>
    </r>
    <r>
      <rPr>
        <sz val="9"/>
        <color rgb="FF0000C0"/>
        <rFont val="WenQuanYi Zen Hei"/>
        <family val="2"/>
      </rPr>
      <t xml:space="preserve">电力新建工程（康欣</t>
    </r>
    <r>
      <rPr>
        <sz val="9"/>
        <color rgb="FF0000C0"/>
        <rFont val="微软雅黑"/>
        <family val="0"/>
        <charset val="1"/>
      </rPr>
      <t xml:space="preserve">3W</t>
    </r>
    <r>
      <rPr>
        <sz val="9"/>
        <color rgb="FF0000C0"/>
        <rFont val="WenQuanYi Zen Hei"/>
        <family val="2"/>
      </rPr>
      <t xml:space="preserve">，泓普</t>
    </r>
    <r>
      <rPr>
        <sz val="9"/>
        <color rgb="FF0000C0"/>
        <rFont val="微软雅黑"/>
        <family val="0"/>
        <charset val="1"/>
      </rPr>
      <t xml:space="preserve">6W</t>
    </r>
    <r>
      <rPr>
        <sz val="9"/>
        <color rgb="FF0000C0"/>
        <rFont val="WenQuanYi Zen Hei"/>
        <family val="2"/>
      </rPr>
      <t xml:space="preserve">）</t>
    </r>
  </si>
  <si>
    <t xml:space="preserve">A023</t>
  </si>
  <si>
    <r>
      <rPr>
        <sz val="9"/>
        <color rgb="FF0000C0"/>
        <rFont val="WenQuanYi Zen Hei"/>
        <family val="2"/>
      </rPr>
      <t xml:space="preserve">围龙镇巴岳农庄项目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桥亭水云居项目</t>
    </r>
    <r>
      <rPr>
        <sz val="9"/>
        <color rgb="FF0000C0"/>
        <rFont val="微软雅黑"/>
        <family val="0"/>
        <charset val="1"/>
      </rPr>
      <t xml:space="preserve">)</t>
    </r>
    <r>
      <rPr>
        <sz val="9"/>
        <color rgb="FF0000C0"/>
        <rFont val="WenQuanYi Zen Hei"/>
        <family val="2"/>
      </rPr>
      <t xml:space="preserve">双电源工程</t>
    </r>
  </si>
  <si>
    <t xml:space="preserve">A024</t>
  </si>
  <si>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年配电专业应急抢修抢险等外包项目（黄荆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社等台区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个隐患治理项目、三湾</t>
    </r>
    <r>
      <rPr>
        <sz val="9"/>
        <color rgb="FF0000C0"/>
        <rFont val="微软雅黑"/>
        <family val="0"/>
        <charset val="1"/>
      </rPr>
      <t xml:space="preserve">1.2</t>
    </r>
    <r>
      <rPr>
        <sz val="9"/>
        <color rgb="FF0000C0"/>
        <rFont val="WenQuanYi Zen Hei"/>
        <family val="2"/>
      </rPr>
      <t xml:space="preserve">社等台区</t>
    </r>
    <r>
      <rPr>
        <sz val="9"/>
        <color rgb="FF0000C0"/>
        <rFont val="微软雅黑"/>
        <family val="0"/>
        <charset val="1"/>
      </rPr>
      <t xml:space="preserve">2</t>
    </r>
    <r>
      <rPr>
        <sz val="9"/>
        <color rgb="FF0000C0"/>
        <rFont val="WenQuanYi Zen Hei"/>
        <family val="2"/>
      </rPr>
      <t xml:space="preserve">个应急抢修项目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</si>
  <si>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A025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</si>
  <si>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梧桐村</t>
    </r>
    <r>
      <rPr>
        <sz val="9"/>
        <color rgb="FF0000C0"/>
        <rFont val="微软雅黑"/>
        <family val="0"/>
        <charset val="1"/>
      </rPr>
      <t xml:space="preserve">4.5.6</t>
    </r>
    <r>
      <rPr>
        <sz val="9"/>
        <color rgb="FF0000C0"/>
        <rFont val="WenQuanYi Zen Hei"/>
        <family val="2"/>
      </rPr>
      <t xml:space="preserve">社台区重过载治理工程等</t>
    </r>
    <r>
      <rPr>
        <sz val="9"/>
        <color rgb="FF0000C0"/>
        <rFont val="微软雅黑"/>
        <family val="0"/>
        <charset val="1"/>
      </rPr>
      <t xml:space="preserve">23</t>
    </r>
    <r>
      <rPr>
        <sz val="9"/>
        <color rgb="FF0000C0"/>
        <rFont val="WenQuanYi Zen Hei"/>
        <family val="2"/>
      </rPr>
      <t xml:space="preserve">个项目</t>
    </r>
    <r>
      <rPr>
        <sz val="9"/>
        <color rgb="FF0000C0"/>
        <rFont val="微软雅黑"/>
        <family val="0"/>
        <charset val="1"/>
      </rPr>
      <t xml:space="preserve">(2025</t>
    </r>
    <r>
      <rPr>
        <sz val="9"/>
        <color rgb="FF0000C0"/>
        <rFont val="WenQuanYi Zen Hei"/>
        <family val="2"/>
      </rPr>
      <t xml:space="preserve">年配网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批、业扩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批民能施工</t>
    </r>
    <r>
      <rPr>
        <sz val="9"/>
        <color rgb="FF0000C0"/>
        <rFont val="微软雅黑"/>
        <family val="0"/>
        <charset val="1"/>
      </rPr>
      <t xml:space="preserve">)(</t>
    </r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侣新线铜安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社台区重过载治理工程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</si>
  <si>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A026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</si>
  <si>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梧桐村</t>
    </r>
    <r>
      <rPr>
        <sz val="9"/>
        <color rgb="FF0000C0"/>
        <rFont val="微软雅黑"/>
        <family val="0"/>
        <charset val="1"/>
      </rPr>
      <t xml:space="preserve">4.5.6</t>
    </r>
    <r>
      <rPr>
        <sz val="9"/>
        <color rgb="FF0000C0"/>
        <rFont val="WenQuanYi Zen Hei"/>
        <family val="2"/>
      </rPr>
      <t xml:space="preserve">社台区重过载治理工程等</t>
    </r>
    <r>
      <rPr>
        <sz val="9"/>
        <color rgb="FF0000C0"/>
        <rFont val="微软雅黑"/>
        <family val="0"/>
        <charset val="1"/>
      </rPr>
      <t xml:space="preserve">23</t>
    </r>
    <r>
      <rPr>
        <sz val="9"/>
        <color rgb="FF0000C0"/>
        <rFont val="WenQuanYi Zen Hei"/>
        <family val="2"/>
      </rPr>
      <t xml:space="preserve">个项目</t>
    </r>
    <r>
      <rPr>
        <sz val="9"/>
        <color rgb="FF0000C0"/>
        <rFont val="微软雅黑"/>
        <family val="0"/>
        <charset val="1"/>
      </rPr>
      <t xml:space="preserve">(2025</t>
    </r>
    <r>
      <rPr>
        <sz val="9"/>
        <color rgb="FF0000C0"/>
        <rFont val="WenQuanYi Zen Hei"/>
        <family val="2"/>
      </rPr>
      <t xml:space="preserve">年配网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批、业扩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批民能施工</t>
    </r>
    <r>
      <rPr>
        <sz val="9"/>
        <color rgb="FF0000C0"/>
        <rFont val="微软雅黑"/>
        <family val="0"/>
        <charset val="1"/>
      </rPr>
      <t xml:space="preserve">)(</t>
    </r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侣新线铜安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社台区重过载治理工程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</si>
  <si>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A027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</si>
  <si>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梧桐村</t>
    </r>
    <r>
      <rPr>
        <sz val="9"/>
        <color rgb="FF0000C0"/>
        <rFont val="微软雅黑"/>
        <family val="0"/>
        <charset val="1"/>
      </rPr>
      <t xml:space="preserve">4.5.6</t>
    </r>
    <r>
      <rPr>
        <sz val="9"/>
        <color rgb="FF0000C0"/>
        <rFont val="WenQuanYi Zen Hei"/>
        <family val="2"/>
      </rPr>
      <t xml:space="preserve">社台区重过载治理工程等</t>
    </r>
    <r>
      <rPr>
        <sz val="9"/>
        <color rgb="FF0000C0"/>
        <rFont val="微软雅黑"/>
        <family val="0"/>
        <charset val="1"/>
      </rPr>
      <t xml:space="preserve">23</t>
    </r>
    <r>
      <rPr>
        <sz val="9"/>
        <color rgb="FF0000C0"/>
        <rFont val="WenQuanYi Zen Hei"/>
        <family val="2"/>
      </rPr>
      <t xml:space="preserve">个项目</t>
    </r>
    <r>
      <rPr>
        <sz val="9"/>
        <color rgb="FF0000C0"/>
        <rFont val="微软雅黑"/>
        <family val="0"/>
        <charset val="1"/>
      </rPr>
      <t xml:space="preserve">(2025</t>
    </r>
    <r>
      <rPr>
        <sz val="9"/>
        <color rgb="FF0000C0"/>
        <rFont val="WenQuanYi Zen Hei"/>
        <family val="2"/>
      </rPr>
      <t xml:space="preserve">年配网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批、业扩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批民能施工</t>
    </r>
    <r>
      <rPr>
        <sz val="9"/>
        <color rgb="FF0000C0"/>
        <rFont val="微软雅黑"/>
        <family val="0"/>
        <charset val="1"/>
      </rPr>
      <t xml:space="preserve">)(</t>
    </r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平双线群益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社台区重过载治理工程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</si>
  <si>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A028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</si>
  <si>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梧桐村</t>
    </r>
    <r>
      <rPr>
        <sz val="9"/>
        <color rgb="FF0000C0"/>
        <rFont val="微软雅黑"/>
        <family val="0"/>
        <charset val="1"/>
      </rPr>
      <t xml:space="preserve">4.5.6</t>
    </r>
    <r>
      <rPr>
        <sz val="9"/>
        <color rgb="FF0000C0"/>
        <rFont val="WenQuanYi Zen Hei"/>
        <family val="2"/>
      </rPr>
      <t xml:space="preserve">社台区重过载治理工程等</t>
    </r>
    <r>
      <rPr>
        <sz val="9"/>
        <color rgb="FF0000C0"/>
        <rFont val="微软雅黑"/>
        <family val="0"/>
        <charset val="1"/>
      </rPr>
      <t xml:space="preserve">23</t>
    </r>
    <r>
      <rPr>
        <sz val="9"/>
        <color rgb="FF0000C0"/>
        <rFont val="WenQuanYi Zen Hei"/>
        <family val="2"/>
      </rPr>
      <t xml:space="preserve">个项目</t>
    </r>
    <r>
      <rPr>
        <sz val="9"/>
        <color rgb="FF0000C0"/>
        <rFont val="微软雅黑"/>
        <family val="0"/>
        <charset val="1"/>
      </rPr>
      <t xml:space="preserve">(2025</t>
    </r>
    <r>
      <rPr>
        <sz val="9"/>
        <color rgb="FF0000C0"/>
        <rFont val="WenQuanYi Zen Hei"/>
        <family val="2"/>
      </rPr>
      <t xml:space="preserve">年配网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批、业扩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批民能施工</t>
    </r>
    <r>
      <rPr>
        <sz val="9"/>
        <color rgb="FF0000C0"/>
        <rFont val="微软雅黑"/>
        <family val="0"/>
        <charset val="1"/>
      </rPr>
      <t xml:space="preserve">)(</t>
    </r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平镇线新桥社台区重过载治理工程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</si>
  <si>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A029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</si>
  <si>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梧桐村</t>
    </r>
    <r>
      <rPr>
        <sz val="9"/>
        <color rgb="FF0000C0"/>
        <rFont val="微软雅黑"/>
        <family val="0"/>
        <charset val="1"/>
      </rPr>
      <t xml:space="preserve">4.5.6</t>
    </r>
    <r>
      <rPr>
        <sz val="9"/>
        <color rgb="FF0000C0"/>
        <rFont val="WenQuanYi Zen Hei"/>
        <family val="2"/>
      </rPr>
      <t xml:space="preserve">社台区重过载治理工程等</t>
    </r>
    <r>
      <rPr>
        <sz val="9"/>
        <color rgb="FF0000C0"/>
        <rFont val="微软雅黑"/>
        <family val="0"/>
        <charset val="1"/>
      </rPr>
      <t xml:space="preserve">23</t>
    </r>
    <r>
      <rPr>
        <sz val="9"/>
        <color rgb="FF0000C0"/>
        <rFont val="WenQuanYi Zen Hei"/>
        <family val="2"/>
      </rPr>
      <t xml:space="preserve">个项目</t>
    </r>
    <r>
      <rPr>
        <sz val="9"/>
        <color rgb="FF0000C0"/>
        <rFont val="微软雅黑"/>
        <family val="0"/>
        <charset val="1"/>
      </rPr>
      <t xml:space="preserve">(2025</t>
    </r>
    <r>
      <rPr>
        <sz val="9"/>
        <color rgb="FF0000C0"/>
        <rFont val="WenQuanYi Zen Hei"/>
        <family val="2"/>
      </rPr>
      <t xml:space="preserve">年配网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批、业扩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批德誉佳施工</t>
    </r>
    <r>
      <rPr>
        <sz val="9"/>
        <color rgb="FF0000C0"/>
        <rFont val="微软雅黑"/>
        <family val="0"/>
        <charset val="1"/>
      </rPr>
      <t xml:space="preserve">)(</t>
    </r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侣新线铜安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社台区重过载治理工程</t>
    </r>
    <r>
      <rPr>
        <sz val="9"/>
        <color rgb="FF0000C0"/>
        <rFont val="微软雅黑"/>
        <family val="0"/>
        <charset val="1"/>
      </rPr>
      <t xml:space="preserve">)</t>
    </r>
  </si>
  <si>
    <r>
      <rPr>
        <sz val="9"/>
        <color rgb="FF0000C0"/>
        <rFont val="WenQuanYi Zen Hei"/>
        <family val="2"/>
      </rPr>
      <t xml:space="preserve">该项目走了 </t>
    </r>
    <r>
      <rPr>
        <sz val="9"/>
        <color rgb="FF0000C0"/>
        <rFont val="微软雅黑"/>
        <family val="0"/>
        <charset val="1"/>
      </rPr>
      <t xml:space="preserve">2 </t>
    </r>
    <r>
      <rPr>
        <sz val="9"/>
        <color rgb="FF0000C0"/>
        <rFont val="WenQuanYi Zen Hei"/>
        <family val="2"/>
      </rPr>
      <t xml:space="preserve">条挂靠链：德誉嘉、迅驰，档案只能填一条，链条核算以此为准；其余链条请看单位项目明细</t>
    </r>
  </si>
  <si>
    <t xml:space="preserve">A030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</si>
  <si>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梧桐村</t>
    </r>
    <r>
      <rPr>
        <sz val="9"/>
        <color rgb="FF0000C0"/>
        <rFont val="微软雅黑"/>
        <family val="0"/>
        <charset val="1"/>
      </rPr>
      <t xml:space="preserve">4.5.6</t>
    </r>
    <r>
      <rPr>
        <sz val="9"/>
        <color rgb="FF0000C0"/>
        <rFont val="WenQuanYi Zen Hei"/>
        <family val="2"/>
      </rPr>
      <t xml:space="preserve">社台区重过载治理工程等</t>
    </r>
    <r>
      <rPr>
        <sz val="9"/>
        <color rgb="FF0000C0"/>
        <rFont val="微软雅黑"/>
        <family val="0"/>
        <charset val="1"/>
      </rPr>
      <t xml:space="preserve">23</t>
    </r>
    <r>
      <rPr>
        <sz val="9"/>
        <color rgb="FF0000C0"/>
        <rFont val="WenQuanYi Zen Hei"/>
        <family val="2"/>
      </rPr>
      <t xml:space="preserve">个项目</t>
    </r>
    <r>
      <rPr>
        <sz val="9"/>
        <color rgb="FF0000C0"/>
        <rFont val="微软雅黑"/>
        <family val="0"/>
        <charset val="1"/>
      </rPr>
      <t xml:space="preserve">(2025</t>
    </r>
    <r>
      <rPr>
        <sz val="9"/>
        <color rgb="FF0000C0"/>
        <rFont val="WenQuanYi Zen Hei"/>
        <family val="2"/>
      </rPr>
      <t xml:space="preserve">年配网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批、业扩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批德誉佳施工</t>
    </r>
    <r>
      <rPr>
        <sz val="9"/>
        <color rgb="FF0000C0"/>
        <rFont val="微软雅黑"/>
        <family val="0"/>
        <charset val="1"/>
      </rPr>
      <t xml:space="preserve">)(</t>
    </r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侣新线铜安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社台区重过载治理工程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</si>
  <si>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A031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</si>
  <si>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梧桐村</t>
    </r>
    <r>
      <rPr>
        <sz val="9"/>
        <color rgb="FF0000C0"/>
        <rFont val="微软雅黑"/>
        <family val="0"/>
        <charset val="1"/>
      </rPr>
      <t xml:space="preserve">4.5.6</t>
    </r>
    <r>
      <rPr>
        <sz val="9"/>
        <color rgb="FF0000C0"/>
        <rFont val="WenQuanYi Zen Hei"/>
        <family val="2"/>
      </rPr>
      <t xml:space="preserve">社台区重过载治理工程等</t>
    </r>
    <r>
      <rPr>
        <sz val="9"/>
        <color rgb="FF0000C0"/>
        <rFont val="微软雅黑"/>
        <family val="0"/>
        <charset val="1"/>
      </rPr>
      <t xml:space="preserve">23</t>
    </r>
    <r>
      <rPr>
        <sz val="9"/>
        <color rgb="FF0000C0"/>
        <rFont val="WenQuanYi Zen Hei"/>
        <family val="2"/>
      </rPr>
      <t xml:space="preserve">个项目</t>
    </r>
    <r>
      <rPr>
        <sz val="9"/>
        <color rgb="FF0000C0"/>
        <rFont val="微软雅黑"/>
        <family val="0"/>
        <charset val="1"/>
      </rPr>
      <t xml:space="preserve">(2025</t>
    </r>
    <r>
      <rPr>
        <sz val="9"/>
        <color rgb="FF0000C0"/>
        <rFont val="WenQuanYi Zen Hei"/>
        <family val="2"/>
      </rPr>
      <t xml:space="preserve">年配网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批、业扩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批德誉佳施工</t>
    </r>
    <r>
      <rPr>
        <sz val="9"/>
        <color rgb="FF0000C0"/>
        <rFont val="微软雅黑"/>
        <family val="0"/>
        <charset val="1"/>
      </rPr>
      <t xml:space="preserve">)(</t>
    </r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平双线群益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社台区重过载治理工程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</si>
  <si>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A032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</si>
  <si>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梧桐村</t>
    </r>
    <r>
      <rPr>
        <sz val="9"/>
        <color rgb="FF0000C0"/>
        <rFont val="微软雅黑"/>
        <family val="0"/>
        <charset val="1"/>
      </rPr>
      <t xml:space="preserve">4.5.6</t>
    </r>
    <r>
      <rPr>
        <sz val="9"/>
        <color rgb="FF0000C0"/>
        <rFont val="WenQuanYi Zen Hei"/>
        <family val="2"/>
      </rPr>
      <t xml:space="preserve">社台区重过载治理工程等</t>
    </r>
    <r>
      <rPr>
        <sz val="9"/>
        <color rgb="FF0000C0"/>
        <rFont val="微软雅黑"/>
        <family val="0"/>
        <charset val="1"/>
      </rPr>
      <t xml:space="preserve">23</t>
    </r>
    <r>
      <rPr>
        <sz val="9"/>
        <color rgb="FF0000C0"/>
        <rFont val="WenQuanYi Zen Hei"/>
        <family val="2"/>
      </rPr>
      <t xml:space="preserve">个项目</t>
    </r>
    <r>
      <rPr>
        <sz val="9"/>
        <color rgb="FF0000C0"/>
        <rFont val="微软雅黑"/>
        <family val="0"/>
        <charset val="1"/>
      </rPr>
      <t xml:space="preserve">(2025</t>
    </r>
    <r>
      <rPr>
        <sz val="9"/>
        <color rgb="FF0000C0"/>
        <rFont val="WenQuanYi Zen Hei"/>
        <family val="2"/>
      </rPr>
      <t xml:space="preserve">年配网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批、业扩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批德誉佳施工</t>
    </r>
    <r>
      <rPr>
        <sz val="9"/>
        <color rgb="FF0000C0"/>
        <rFont val="微软雅黑"/>
        <family val="0"/>
        <charset val="1"/>
      </rPr>
      <t xml:space="preserve">)(</t>
    </r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平镇线新桥社台区重过载治理工程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</si>
  <si>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A033</t>
  </si>
  <si>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梧桐村</t>
    </r>
    <r>
      <rPr>
        <sz val="9"/>
        <color rgb="FF0000C0"/>
        <rFont val="微软雅黑"/>
        <family val="0"/>
        <charset val="1"/>
      </rPr>
      <t xml:space="preserve">4.5.6</t>
    </r>
    <r>
      <rPr>
        <sz val="9"/>
        <color rgb="FF0000C0"/>
        <rFont val="WenQuanYi Zen Hei"/>
        <family val="2"/>
      </rPr>
      <t xml:space="preserve">社台区重过载治理工程等</t>
    </r>
    <r>
      <rPr>
        <sz val="9"/>
        <color rgb="FF0000C0"/>
        <rFont val="微软雅黑"/>
        <family val="0"/>
        <charset val="1"/>
      </rPr>
      <t xml:space="preserve">23</t>
    </r>
    <r>
      <rPr>
        <sz val="9"/>
        <color rgb="FF0000C0"/>
        <rFont val="WenQuanYi Zen Hei"/>
        <family val="2"/>
      </rPr>
      <t xml:space="preserve">个项目</t>
    </r>
    <r>
      <rPr>
        <sz val="9"/>
        <color rgb="FF0000C0"/>
        <rFont val="微软雅黑"/>
        <family val="0"/>
        <charset val="1"/>
      </rPr>
      <t xml:space="preserve">(2025</t>
    </r>
    <r>
      <rPr>
        <sz val="9"/>
        <color rgb="FF0000C0"/>
        <rFont val="WenQuanYi Zen Hei"/>
        <family val="2"/>
      </rPr>
      <t xml:space="preserve">年配网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批、业扩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批德誉佳施工）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侣新线凤飞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社台区重过载治理工程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</si>
  <si>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A034</t>
  </si>
  <si>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年配电专业应急抢修抢险等外包项目（永嘉所许家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社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等台区</t>
    </r>
    <r>
      <rPr>
        <sz val="9"/>
        <color rgb="FF0000C0"/>
        <rFont val="微软雅黑"/>
        <family val="0"/>
        <charset val="1"/>
      </rPr>
      <t xml:space="preserve">2</t>
    </r>
    <r>
      <rPr>
        <sz val="9"/>
        <color rgb="FF0000C0"/>
        <rFont val="WenQuanYi Zen Hei"/>
        <family val="2"/>
      </rPr>
      <t xml:space="preserve">个隐患治理项目）</t>
    </r>
  </si>
  <si>
    <t xml:space="preserve">A035</t>
  </si>
  <si>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年配电专业应急抢修抢险等外包项目（永嘉所义和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社等台区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个对地不足隐患治理项目）</t>
    </r>
  </si>
  <si>
    <t xml:space="preserve">A036</t>
  </si>
  <si>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年配电专业应急抢修抢险等外包项目（永嘉所高丰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社等台区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个应急抢修项目）</t>
    </r>
  </si>
  <si>
    <t xml:space="preserve">A037</t>
  </si>
  <si>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35kV</t>
    </r>
    <r>
      <rPr>
        <sz val="9"/>
        <color rgb="FF0000C0"/>
        <rFont val="WenQuanYi Zen Hei"/>
        <family val="2"/>
      </rPr>
      <t xml:space="preserve">输电专业应急抢修检修外包项目（输电运检中心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35kV</t>
    </r>
    <r>
      <rPr>
        <sz val="9"/>
        <color rgb="FF0000C0"/>
        <rFont val="WenQuanYi Zen Hei"/>
        <family val="2"/>
      </rPr>
      <t xml:space="preserve">线路接地隐患消除等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个项目）</t>
    </r>
  </si>
  <si>
    <t xml:space="preserve">A038</t>
  </si>
  <si>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年配电专业应急抢修抢险等外包项目（永嘉所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西新线等</t>
    </r>
    <r>
      <rPr>
        <sz val="9"/>
        <color rgb="FF0000C0"/>
        <rFont val="微软雅黑"/>
        <family val="0"/>
        <charset val="1"/>
      </rPr>
      <t xml:space="preserve">2</t>
    </r>
    <r>
      <rPr>
        <sz val="9"/>
        <color rgb="FF0000C0"/>
        <rFont val="WenQuanYi Zen Hei"/>
        <family val="2"/>
      </rPr>
      <t xml:space="preserve">条线路综合检修项目）</t>
    </r>
  </si>
  <si>
    <t xml:space="preserve">A039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</si>
  <si>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永嘉所许家</t>
    </r>
    <r>
      <rPr>
        <sz val="9"/>
        <color rgb="FF0000C0"/>
        <rFont val="微软雅黑"/>
        <family val="0"/>
        <charset val="1"/>
      </rPr>
      <t xml:space="preserve">3
</t>
    </r>
    <r>
      <rPr>
        <sz val="9"/>
        <color rgb="FF0000C0"/>
        <rFont val="WenQuanYi Zen Hei"/>
        <family val="2"/>
      </rPr>
      <t xml:space="preserve">社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等台区</t>
    </r>
    <r>
      <rPr>
        <sz val="9"/>
        <color rgb="FF0000C0"/>
        <rFont val="微软雅黑"/>
        <family val="0"/>
        <charset val="1"/>
      </rPr>
      <t xml:space="preserve">2</t>
    </r>
    <r>
      <rPr>
        <sz val="9"/>
        <color rgb="FF0000C0"/>
        <rFont val="WenQuanYi Zen Hei"/>
        <family val="2"/>
      </rPr>
      <t xml:space="preserve">个隐患治理项目</t>
    </r>
    <r>
      <rPr>
        <sz val="9"/>
        <color rgb="FF0000C0"/>
        <rFont val="微软雅黑"/>
        <family val="0"/>
        <charset val="1"/>
      </rPr>
      <t xml:space="preserve">))</t>
    </r>
  </si>
  <si>
    <t xml:space="preserve">A040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</si>
  <si>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永嘉所高丰</t>
    </r>
    <r>
      <rPr>
        <sz val="9"/>
        <color rgb="FF0000C0"/>
        <rFont val="微软雅黑"/>
        <family val="0"/>
        <charset val="1"/>
      </rPr>
      <t xml:space="preserve">3
</t>
    </r>
    <r>
      <rPr>
        <sz val="9"/>
        <color rgb="FF0000C0"/>
        <rFont val="WenQuanYi Zen Hei"/>
        <family val="2"/>
      </rPr>
      <t xml:space="preserve">社等台区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个应急抢修项目</t>
    </r>
    <r>
      <rPr>
        <sz val="9"/>
        <color rgb="FF0000C0"/>
        <rFont val="微软雅黑"/>
        <family val="0"/>
        <charset val="1"/>
      </rPr>
      <t xml:space="preserve">))</t>
    </r>
  </si>
  <si>
    <t xml:space="preserve">A041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</si>
  <si>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永嘉所义和</t>
    </r>
    <r>
      <rPr>
        <sz val="9"/>
        <color rgb="FF0000C0"/>
        <rFont val="微软雅黑"/>
        <family val="0"/>
        <charset val="1"/>
      </rPr>
      <t xml:space="preserve">8
</t>
    </r>
    <r>
      <rPr>
        <sz val="9"/>
        <color rgb="FF0000C0"/>
        <rFont val="WenQuanYi Zen Hei"/>
        <family val="2"/>
      </rPr>
      <t xml:space="preserve">社等台区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个对地不足隐患治理项目</t>
    </r>
    <r>
      <rPr>
        <sz val="9"/>
        <color rgb="FF0000C0"/>
        <rFont val="微软雅黑"/>
        <family val="0"/>
        <charset val="1"/>
      </rPr>
      <t xml:space="preserve">))</t>
    </r>
  </si>
  <si>
    <t xml:space="preserve">A042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</si>
  <si>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35kV</t>
    </r>
    <r>
      <rPr>
        <sz val="9"/>
        <color rgb="FF0000C0"/>
        <rFont val="WenQuanYi Zen Hei"/>
        <family val="2"/>
      </rPr>
      <t xml:space="preserve">输电专业应急抢修检修外包项目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输电运检中心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35kV</t>
    </r>
    <r>
      <rPr>
        <sz val="9"/>
        <color rgb="FF0000C0"/>
        <rFont val="WenQuanYi Zen Hei"/>
        <family val="2"/>
      </rPr>
      <t xml:space="preserve">线路接地隐患消除等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个项目</t>
    </r>
    <r>
      <rPr>
        <sz val="9"/>
        <color rgb="FF0000C0"/>
        <rFont val="微软雅黑"/>
        <family val="0"/>
        <charset val="1"/>
      </rPr>
      <t xml:space="preserve">))</t>
    </r>
  </si>
  <si>
    <t xml:space="preserve">A043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</si>
  <si>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</t>
    </r>
    <r>
      <rPr>
        <sz val="9"/>
        <color rgb="FF0000C0"/>
        <rFont val="微软雅黑"/>
        <family val="0"/>
        <charset val="1"/>
      </rPr>
      <t xml:space="preserve">(10kV</t>
    </r>
    <r>
      <rPr>
        <sz val="9"/>
        <color rgb="FF0000C0"/>
        <rFont val="WenQuanYi Zen Hei"/>
        <family val="2"/>
      </rPr>
      <t xml:space="preserve">少盘线哨楼村支线</t>
    </r>
    <r>
      <rPr>
        <sz val="9"/>
        <color rgb="FF0000C0"/>
        <rFont val="微软雅黑"/>
        <family val="0"/>
        <charset val="1"/>
      </rPr>
      <t xml:space="preserve">#1</t>
    </r>
    <r>
      <rPr>
        <sz val="9"/>
        <color rgb="FF0000C0"/>
        <rFont val="WenQuanYi Zen Hei"/>
        <family val="2"/>
      </rPr>
      <t xml:space="preserve">杆线路迁改工程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</si>
  <si>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A044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</si>
  <si>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永嘉所许家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社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等台区</t>
    </r>
    <r>
      <rPr>
        <sz val="9"/>
        <color rgb="FF0000C0"/>
        <rFont val="微软雅黑"/>
        <family val="0"/>
        <charset val="1"/>
      </rPr>
      <t xml:space="preserve">2</t>
    </r>
    <r>
      <rPr>
        <sz val="9"/>
        <color rgb="FF0000C0"/>
        <rFont val="WenQuanYi Zen Hei"/>
        <family val="2"/>
      </rPr>
      <t xml:space="preserve">个隐患治理项目）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</si>
  <si>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A045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</si>
  <si>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永嘉所高丰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社等台区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个应急抢修项目</t>
    </r>
    <r>
      <rPr>
        <sz val="9"/>
        <color rgb="FF0000C0"/>
        <rFont val="微软雅黑"/>
        <family val="0"/>
        <charset val="1"/>
      </rPr>
      <t xml:space="preserve">))</t>
    </r>
  </si>
  <si>
    <t xml:space="preserve">A046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</si>
  <si>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永嘉所义和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社等台区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个对地不足隐患治理项目</t>
    </r>
    <r>
      <rPr>
        <sz val="9"/>
        <color rgb="FF0000C0"/>
        <rFont val="微软雅黑"/>
        <family val="0"/>
        <charset val="1"/>
      </rPr>
      <t xml:space="preserve">)</t>
    </r>
    <r>
      <rPr>
        <sz val="9"/>
        <color rgb="FF0000C0"/>
        <rFont val="WenQuanYi Zen Hei"/>
        <family val="2"/>
      </rPr>
      <t xml:space="preserve">）</t>
    </r>
  </si>
  <si>
    <t xml:space="preserve">A047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</si>
  <si>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35kV</t>
    </r>
    <r>
      <rPr>
        <sz val="9"/>
        <color rgb="FF0000C0"/>
        <rFont val="WenQuanYi Zen Hei"/>
        <family val="2"/>
      </rPr>
      <t xml:space="preserve">输电专业应急抢修检修外包项目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输电运检中心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35kV</t>
    </r>
    <r>
      <rPr>
        <sz val="9"/>
        <color rgb="FF0000C0"/>
        <rFont val="WenQuanYi Zen Hei"/>
        <family val="2"/>
      </rPr>
      <t xml:space="preserve">线路接地隐患消除等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个项目</t>
    </r>
    <r>
      <rPr>
        <sz val="9"/>
        <color rgb="FF0000C0"/>
        <rFont val="微软雅黑"/>
        <family val="0"/>
        <charset val="1"/>
      </rPr>
      <t xml:space="preserve">)</t>
    </r>
    <r>
      <rPr>
        <sz val="9"/>
        <color rgb="FF0000C0"/>
        <rFont val="WenQuanYi Zen Hei"/>
        <family val="2"/>
      </rPr>
      <t xml:space="preserve">）</t>
    </r>
  </si>
  <si>
    <t xml:space="preserve">A048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</si>
  <si>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永嘉所许家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社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等台区</t>
    </r>
    <r>
      <rPr>
        <sz val="9"/>
        <color rgb="FF0000C0"/>
        <rFont val="微软雅黑"/>
        <family val="0"/>
        <charset val="1"/>
      </rPr>
      <t xml:space="preserve">2</t>
    </r>
    <r>
      <rPr>
        <sz val="9"/>
        <color rgb="FF0000C0"/>
        <rFont val="WenQuanYi Zen Hei"/>
        <family val="2"/>
      </rPr>
      <t xml:space="preserve">个隐患治理项目</t>
    </r>
    <r>
      <rPr>
        <sz val="9"/>
        <color rgb="FF0000C0"/>
        <rFont val="微软雅黑"/>
        <family val="0"/>
        <charset val="1"/>
      </rPr>
      <t xml:space="preserve">))</t>
    </r>
  </si>
  <si>
    <t xml:space="preserve">A049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</si>
  <si>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永嘉所义和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社等台区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个对地不足隐患治理项目</t>
    </r>
    <r>
      <rPr>
        <sz val="9"/>
        <color rgb="FF0000C0"/>
        <rFont val="微软雅黑"/>
        <family val="0"/>
        <charset val="1"/>
      </rPr>
      <t xml:space="preserve">))</t>
    </r>
  </si>
  <si>
    <t xml:space="preserve">A050</t>
  </si>
  <si>
    <r>
      <rPr>
        <sz val="9"/>
        <color rgb="FF0000C0"/>
        <rFont val="WenQuanYi Zen Hei"/>
        <family val="2"/>
      </rPr>
      <t xml:space="preserve">重庆市铜梁区锦绣花园</t>
    </r>
    <r>
      <rPr>
        <sz val="9"/>
        <color rgb="FF0000C0"/>
        <rFont val="微软雅黑"/>
        <family val="0"/>
        <charset val="1"/>
      </rPr>
      <t xml:space="preserve">A</t>
    </r>
    <r>
      <rPr>
        <sz val="9"/>
        <color rgb="FF0000C0"/>
        <rFont val="WenQuanYi Zen Hei"/>
        <family val="2"/>
      </rPr>
      <t xml:space="preserve">区居民供电设施改造工程</t>
    </r>
  </si>
  <si>
    <t xml:space="preserve">A051</t>
  </si>
  <si>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</t>
    </r>
    <r>
      <rPr>
        <sz val="9"/>
        <color rgb="FF0000C0"/>
        <rFont val="微软雅黑"/>
        <family val="0"/>
        <charset val="1"/>
      </rPr>
      <t xml:space="preserve">(10kV</t>
    </r>
    <r>
      <rPr>
        <sz val="9"/>
        <color rgb="FF0000C0"/>
        <rFont val="WenQuanYi Zen Hei"/>
        <family val="2"/>
      </rPr>
      <t xml:space="preserve">少盘线哨楼村支线</t>
    </r>
    <r>
      <rPr>
        <sz val="9"/>
        <color rgb="FF0000C0"/>
        <rFont val="微软雅黑"/>
        <family val="0"/>
        <charset val="1"/>
      </rPr>
      <t xml:space="preserve">#1</t>
    </r>
    <r>
      <rPr>
        <sz val="9"/>
        <color rgb="FF0000C0"/>
        <rFont val="WenQuanYi Zen Hei"/>
        <family val="2"/>
      </rPr>
      <t xml:space="preserve">杆线路迁改
工程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</si>
  <si>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A052</t>
  </si>
  <si>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年配电专业应急抢修抢险等外包项目（永嘉所义和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社等台区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个对地不足隐患治理项目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</si>
  <si>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A053</t>
  </si>
  <si>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35kV</t>
    </r>
    <r>
      <rPr>
        <sz val="9"/>
        <color rgb="FF0000C0"/>
        <rFont val="WenQuanYi Zen Hei"/>
        <family val="2"/>
      </rPr>
      <t xml:space="preserve">输电专业应急抢修检修外包项目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输电运检中心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35kV</t>
    </r>
    <r>
      <rPr>
        <sz val="9"/>
        <color rgb="FF0000C0"/>
        <rFont val="WenQuanYi Zen Hei"/>
        <family val="2"/>
      </rPr>
      <t xml:space="preserve">线路接地隐患消除等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项目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</si>
  <si>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A054</t>
  </si>
  <si>
    <r>
      <rPr>
        <sz val="9"/>
        <color rgb="FF0000C0"/>
        <rFont val="WenQuanYi Zen Hei"/>
        <family val="2"/>
      </rPr>
      <t xml:space="preserve">重庆市铜梁区滨河东路</t>
    </r>
    <r>
      <rPr>
        <sz val="9"/>
        <color rgb="FF0000C0"/>
        <rFont val="微软雅黑"/>
        <family val="0"/>
        <charset val="1"/>
      </rPr>
      <t xml:space="preserve">68</t>
    </r>
    <r>
      <rPr>
        <sz val="9"/>
        <color rgb="FF0000C0"/>
        <rFont val="WenQuanYi Zen Hei"/>
        <family val="2"/>
      </rPr>
      <t xml:space="preserve">小区居民供电设施改造工程</t>
    </r>
  </si>
  <si>
    <t xml:space="preserve">A055</t>
  </si>
  <si>
    <t xml:space="preserve">重庆市铜梁区新华商住楼居民供电设施改造工程</t>
  </si>
  <si>
    <t xml:space="preserve">A056</t>
  </si>
  <si>
    <r>
      <rPr>
        <sz val="9"/>
        <color rgb="FF0000C0"/>
        <rFont val="WenQuanYi Zen Hei"/>
        <family val="2"/>
      </rPr>
      <t xml:space="preserve">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永嘉所许家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社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等台区</t>
    </r>
    <r>
      <rPr>
        <sz val="9"/>
        <color rgb="FF0000C0"/>
        <rFont val="微软雅黑"/>
        <family val="0"/>
        <charset val="1"/>
      </rPr>
      <t xml:space="preserve">2</t>
    </r>
    <r>
      <rPr>
        <sz val="9"/>
        <color rgb="FF0000C0"/>
        <rFont val="WenQuanYi Zen Hei"/>
        <family val="2"/>
      </rPr>
      <t xml:space="preserve">个隐患治理项目</t>
    </r>
    <r>
      <rPr>
        <sz val="9"/>
        <color rgb="FF0000C0"/>
        <rFont val="微软雅黑"/>
        <family val="0"/>
        <charset val="1"/>
      </rPr>
      <t xml:space="preserve">)</t>
    </r>
  </si>
  <si>
    <t xml:space="preserve">A057</t>
  </si>
  <si>
    <r>
      <rPr>
        <sz val="9"/>
        <color rgb="FF0000C0"/>
        <rFont val="WenQuanYi Zen Hei"/>
        <family val="2"/>
      </rPr>
      <t xml:space="preserve">华润电力重庆能源铜梁平滩农光互补项目</t>
    </r>
    <r>
      <rPr>
        <sz val="9"/>
        <color rgb="FF0000C0"/>
        <rFont val="微软雅黑"/>
        <family val="0"/>
        <charset val="1"/>
      </rPr>
      <t xml:space="preserve">220kV</t>
    </r>
    <r>
      <rPr>
        <sz val="9"/>
        <color rgb="FF0000C0"/>
        <rFont val="WenQuanYi Zen Hei"/>
        <family val="2"/>
      </rPr>
      <t xml:space="preserve">升压站</t>
    </r>
    <r>
      <rPr>
        <sz val="9"/>
        <color rgb="FF0000C0"/>
        <rFont val="微软雅黑"/>
        <family val="0"/>
        <charset val="1"/>
      </rPr>
      <t xml:space="preserve">PC</t>
    </r>
    <r>
      <rPr>
        <sz val="9"/>
        <color rgb="FF0000C0"/>
        <rFont val="WenQuanYi Zen Hei"/>
        <family val="2"/>
      </rPr>
      <t xml:space="preserve">工程</t>
    </r>
  </si>
  <si>
    <t xml:space="preserve">A058</t>
  </si>
  <si>
    <r>
      <rPr>
        <sz val="9"/>
        <color rgb="FF0000C0"/>
        <rFont val="WenQuanYi Zen Hei"/>
        <family val="2"/>
      </rPr>
      <t xml:space="preserve">重庆稷博汇物流有限公司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充电桩新装用电工程</t>
    </r>
  </si>
  <si>
    <t xml:space="preserve">A059</t>
  </si>
  <si>
    <t xml:space="preserve">（新项目：请填项目全称）</t>
  </si>
  <si>
    <t xml:space="preserve">本次新增项目</t>
  </si>
  <si>
    <t xml:space="preserve">A060</t>
  </si>
  <si>
    <r>
      <rPr>
        <sz val="9"/>
        <color rgb="FF0000C0"/>
        <rFont val="WenQuanYi Zen Hei"/>
        <family val="2"/>
      </rPr>
      <t xml:space="preserve">华润电力重庆能源铜梁平滩农光互补项目</t>
    </r>
    <r>
      <rPr>
        <sz val="9"/>
        <color rgb="FF0000C0"/>
        <rFont val="微软雅黑"/>
        <family val="0"/>
        <charset val="1"/>
      </rPr>
      <t xml:space="preserve">219kV</t>
    </r>
    <r>
      <rPr>
        <sz val="9"/>
        <color rgb="FF0000C0"/>
        <rFont val="WenQuanYi Zen Hei"/>
        <family val="2"/>
      </rPr>
      <t xml:space="preserve">升压站</t>
    </r>
    <r>
      <rPr>
        <sz val="9"/>
        <color rgb="FF0000C0"/>
        <rFont val="微软雅黑"/>
        <family val="0"/>
        <charset val="1"/>
      </rPr>
      <t xml:space="preserve">PC</t>
    </r>
    <r>
      <rPr>
        <sz val="9"/>
        <color rgb="FF0000C0"/>
        <rFont val="WenQuanYi Zen Hei"/>
        <family val="2"/>
      </rPr>
      <t xml:space="preserve">工程</t>
    </r>
  </si>
  <si>
    <t xml:space="preserve">A061</t>
  </si>
  <si>
    <r>
      <rPr>
        <sz val="9"/>
        <color rgb="FF0000C0"/>
        <rFont val="WenQuanYi Zen Hei"/>
        <family val="2"/>
      </rPr>
      <t xml:space="preserve">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年度工程用特种设备租赁服务框架采购（华润电力重庆能源铜梁平滩农光互补项目</t>
    </r>
    <r>
      <rPr>
        <sz val="9"/>
        <color rgb="FF0000C0"/>
        <rFont val="微软雅黑"/>
        <family val="0"/>
        <charset val="1"/>
      </rPr>
      <t xml:space="preserve">220kV</t>
    </r>
    <r>
      <rPr>
        <sz val="9"/>
        <color rgb="FF0000C0"/>
        <rFont val="WenQuanYi Zen Hei"/>
        <family val="2"/>
      </rPr>
      <t xml:space="preserve">升压站</t>
    </r>
    <r>
      <rPr>
        <sz val="9"/>
        <color rgb="FF0000C0"/>
        <rFont val="微软雅黑"/>
        <family val="0"/>
        <charset val="1"/>
      </rPr>
      <t xml:space="preserve">PC</t>
    </r>
    <r>
      <rPr>
        <sz val="9"/>
        <color rgb="FF0000C0"/>
        <rFont val="WenQuanYi Zen Hei"/>
        <family val="2"/>
      </rPr>
      <t xml:space="preserve">工程）</t>
    </r>
  </si>
  <si>
    <t xml:space="preserve">A062</t>
  </si>
  <si>
    <r>
      <rPr>
        <sz val="9"/>
        <color rgb="FF0000C0"/>
        <rFont val="WenQuanYi Zen Hei"/>
        <family val="2"/>
      </rPr>
      <t xml:space="preserve">重庆民能实业有 限公司
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
备租赁服务框架采购（重庆稷
博汇物流有 限公司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充电桩
新装用电工程）</t>
    </r>
  </si>
  <si>
    <t xml:space="preserve">A063</t>
  </si>
  <si>
    <r>
      <rPr>
        <sz val="9"/>
        <color rgb="FF0000C0"/>
        <rFont val="WenQuanYi Zen Hei"/>
        <family val="2"/>
      </rPr>
      <t xml:space="preserve">项目名称：重庆民能实业有限公司</t>
    </r>
    <r>
      <rPr>
        <sz val="9"/>
        <color rgb="FF0000C0"/>
        <rFont val="微软雅黑"/>
        <family val="0"/>
        <charset val="1"/>
      </rPr>
      <t xml:space="preserve">2025-2026</t>
    </r>
    <r>
      <rPr>
        <sz val="9"/>
        <color rgb="FF0000C0"/>
        <rFont val="WenQuanYi Zen Hei"/>
        <family val="2"/>
      </rPr>
      <t xml:space="preserve">年度工程用特种设备租赁服务框架采购（铜梁公司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年配电专业应急抢修抢险等外包项目
（永嘉所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西新线等</t>
    </r>
    <r>
      <rPr>
        <sz val="9"/>
        <color rgb="FF0000C0"/>
        <rFont val="微软雅黑"/>
        <family val="0"/>
        <charset val="1"/>
      </rPr>
      <t xml:space="preserve">2</t>
    </r>
    <r>
      <rPr>
        <sz val="9"/>
        <color rgb="FF0000C0"/>
        <rFont val="WenQuanYi Zen Hei"/>
        <family val="2"/>
      </rPr>
      <t xml:space="preserve">条线路综合检修项目））</t>
    </r>
  </si>
  <si>
    <t xml:space="preserve">业务流水（总表）</t>
  </si>
  <si>
    <t xml:space="preserve">所有开票、成本票、回款、交税、管理费结算都在这里录一行。右边灰色区自动算管理费、应开成本票和该笔要预提的各项税费；后面所有分表按项目、按单位自动汇总，不用再手工统计。</t>
  </si>
  <si>
    <r>
      <rPr>
        <b val="true"/>
        <sz val="9"/>
        <color rgb="FF1F3864"/>
        <rFont val="WenQuanYi Zen Hei"/>
        <family val="2"/>
      </rPr>
      <t xml:space="preserve">录入区 </t>
    </r>
    <r>
      <rPr>
        <b val="true"/>
        <sz val="9"/>
        <color rgb="FF1F3864"/>
        <rFont val="微软雅黑"/>
        <family val="0"/>
        <charset val="1"/>
      </rPr>
      <t xml:space="preserve">· </t>
    </r>
    <r>
      <rPr>
        <b val="true"/>
        <sz val="9"/>
        <color rgb="FF1F3864"/>
        <rFont val="WenQuanYi Zen Hei"/>
        <family val="2"/>
      </rPr>
      <t xml:space="preserve">淡黄色格子手工填写</t>
    </r>
  </si>
  <si>
    <r>
      <rPr>
        <b val="true"/>
        <sz val="9"/>
        <color rgb="FF1F3864"/>
        <rFont val="WenQuanYi Zen Hei"/>
        <family val="2"/>
      </rPr>
      <t xml:space="preserve">系统自动计算区 </t>
    </r>
    <r>
      <rPr>
        <b val="true"/>
        <sz val="9"/>
        <color rgb="FF1F3864"/>
        <rFont val="微软雅黑"/>
        <family val="0"/>
        <charset val="1"/>
      </rPr>
      <t xml:space="preserve">· </t>
    </r>
    <r>
      <rPr>
        <b val="true"/>
        <sz val="9"/>
        <color rgb="FF1F3864"/>
        <rFont val="WenQuanYi Zen Hei"/>
        <family val="2"/>
      </rPr>
      <t xml:space="preserve">请勿修改</t>
    </r>
  </si>
  <si>
    <t xml:space="preserve">序号</t>
  </si>
  <si>
    <t xml:space="preserve">日期</t>
  </si>
  <si>
    <t xml:space="preserve">业务类型</t>
  </si>
  <si>
    <r>
      <rPr>
        <b val="true"/>
        <sz val="9"/>
        <color rgb="FFFFFFFF"/>
        <rFont val="WenQuanYi Zen Hei"/>
        <family val="2"/>
      </rPr>
      <t xml:space="preserve">开票</t>
    </r>
    <r>
      <rPr>
        <b val="true"/>
        <sz val="9"/>
        <color rgb="FFFFFFFF"/>
        <rFont val="微软雅黑"/>
        <family val="0"/>
        <charset val="1"/>
      </rPr>
      <t xml:space="preserve">/
</t>
    </r>
    <r>
      <rPr>
        <b val="true"/>
        <sz val="9"/>
        <color rgb="FFFFFFFF"/>
        <rFont val="WenQuanYi Zen Hei"/>
        <family val="2"/>
      </rPr>
      <t xml:space="preserve">付款方</t>
    </r>
  </si>
  <si>
    <r>
      <rPr>
        <b val="true"/>
        <sz val="9"/>
        <color rgb="FFFFFFFF"/>
        <rFont val="WenQuanYi Zen Hei"/>
        <family val="2"/>
      </rPr>
      <t xml:space="preserve">收票</t>
    </r>
    <r>
      <rPr>
        <b val="true"/>
        <sz val="9"/>
        <color rgb="FFFFFFFF"/>
        <rFont val="微软雅黑"/>
        <family val="0"/>
        <charset val="1"/>
      </rPr>
      <t xml:space="preserve">/
</t>
    </r>
    <r>
      <rPr>
        <b val="true"/>
        <sz val="9"/>
        <color rgb="FFFFFFFF"/>
        <rFont val="WenQuanYi Zen Hei"/>
        <family val="2"/>
      </rPr>
      <t xml:space="preserve">收款方</t>
    </r>
  </si>
  <si>
    <t xml:space="preserve">发票性质</t>
  </si>
  <si>
    <t xml:space="preserve">金额</t>
  </si>
  <si>
    <t xml:space="preserve">摘要</t>
  </si>
  <si>
    <t xml:space="preserve">校验</t>
  </si>
  <si>
    <t xml:space="preserve">层级</t>
  </si>
  <si>
    <t xml:space="preserve">管理费</t>
  </si>
  <si>
    <t xml:space="preserve">应开成本票</t>
  </si>
  <si>
    <t xml:space="preserve">上游
税率</t>
  </si>
  <si>
    <t xml:space="preserve">我方
税率</t>
  </si>
  <si>
    <t xml:space="preserve">预提增值税</t>
  </si>
  <si>
    <t xml:space="preserve">预提附加税</t>
  </si>
  <si>
    <t xml:space="preserve">预提印花税</t>
  </si>
  <si>
    <t xml:space="preserve">预提所得税</t>
  </si>
  <si>
    <t xml:space="preserve">预提税费合计</t>
  </si>
  <si>
    <t xml:space="preserve">代收台账
序号</t>
  </si>
  <si>
    <t xml:space="preserve">来源表</t>
  </si>
  <si>
    <t xml:space="preserve">计入汇总</t>
  </si>
  <si>
    <t xml:space="preserve">销项开票</t>
  </si>
  <si>
    <r>
      <rPr>
        <sz val="9"/>
        <color rgb="FF0000C0"/>
        <rFont val="微软雅黑"/>
        <family val="0"/>
        <charset val="1"/>
      </rPr>
      <t xml:space="preserve">13%</t>
    </r>
    <r>
      <rPr>
        <sz val="9"/>
        <color rgb="FF0000C0"/>
        <rFont val="WenQuanYi Zen Hei"/>
        <family val="2"/>
      </rPr>
      <t xml:space="preserve">专票</t>
    </r>
  </si>
  <si>
    <r>
      <rPr>
        <sz val="9"/>
        <color rgb="FF0000C0"/>
        <rFont val="微软雅黑"/>
        <family val="0"/>
        <charset val="1"/>
      </rPr>
      <t xml:space="preserve">2025.11.27</t>
    </r>
    <r>
      <rPr>
        <sz val="9"/>
        <color rgb="FF0000C0"/>
        <rFont val="WenQuanYi Zen Hei"/>
        <family val="2"/>
      </rPr>
      <t xml:space="preserve">杰华开票到德誉嘉：大太线老旧线路</t>
    </r>
  </si>
  <si>
    <r>
      <rPr>
        <sz val="9"/>
        <color rgb="FF0000C0"/>
        <rFont val="WenQuanYi Zen Hei"/>
        <family val="2"/>
      </rPr>
      <t xml:space="preserve">与 德誉嘉 </t>
    </r>
    <r>
      <rPr>
        <sz val="9"/>
        <color rgb="FF0000C0"/>
        <rFont val="微软雅黑"/>
        <family val="0"/>
        <charset val="1"/>
      </rPr>
      <t xml:space="preserve">!64 </t>
    </r>
    <r>
      <rPr>
        <sz val="9"/>
        <color rgb="FF0000C0"/>
        <rFont val="WenQuanYi Zen Hei"/>
        <family val="2"/>
      </rPr>
      <t xml:space="preserve">为同一张票，只计一次</t>
    </r>
  </si>
  <si>
    <t xml:space="preserve">大太线老旧线路</t>
  </si>
  <si>
    <r>
      <rPr>
        <sz val="9"/>
        <color rgb="FF0000C0"/>
        <rFont val="微软雅黑"/>
        <family val="0"/>
        <charset val="1"/>
      </rPr>
      <t xml:space="preserve">2025.11.27</t>
    </r>
    <r>
      <rPr>
        <sz val="9"/>
        <color rgb="FF0000C0"/>
        <rFont val="WenQuanYi Zen Hei"/>
        <family val="2"/>
      </rPr>
      <t xml:space="preserve">德誉嘉开票到民能：大太线</t>
    </r>
  </si>
  <si>
    <t xml:space="preserve">历史导入</t>
  </si>
  <si>
    <t xml:space="preserve">管理费结算</t>
  </si>
  <si>
    <r>
      <rPr>
        <sz val="9"/>
        <color rgb="FF0000C0"/>
        <rFont val="微软雅黑"/>
        <family val="0"/>
        <charset val="1"/>
      </rPr>
      <t xml:space="preserve">2025.11.27</t>
    </r>
    <r>
      <rPr>
        <sz val="9"/>
        <color rgb="FF0000C0"/>
        <rFont val="WenQuanYi Zen Hei"/>
        <family val="2"/>
      </rPr>
      <t xml:space="preserve">杰华开票到德誉嘉：大太线</t>
    </r>
  </si>
  <si>
    <r>
      <rPr>
        <sz val="9"/>
        <color rgb="FF0000C0"/>
        <rFont val="微软雅黑"/>
        <family val="0"/>
        <charset val="1"/>
      </rPr>
      <t xml:space="preserve">3%</t>
    </r>
    <r>
      <rPr>
        <sz val="9"/>
        <color rgb="FF0000C0"/>
        <rFont val="WenQuanYi Zen Hei"/>
        <family val="2"/>
      </rPr>
      <t xml:space="preserve">专票</t>
    </r>
  </si>
  <si>
    <r>
      <rPr>
        <sz val="9"/>
        <color rgb="FF0000C0"/>
        <rFont val="微软雅黑"/>
        <family val="0"/>
        <charset val="1"/>
      </rPr>
      <t xml:space="preserve">2025.11.28</t>
    </r>
    <r>
      <rPr>
        <sz val="9"/>
        <color rgb="FF0000C0"/>
        <rFont val="WenQuanYi Zen Hei"/>
        <family val="2"/>
      </rPr>
      <t xml:space="preserve">金沁开到民能：大太线老旧改造</t>
    </r>
  </si>
  <si>
    <r>
      <rPr>
        <sz val="9"/>
        <color rgb="FF0000C0"/>
        <rFont val="微软雅黑"/>
        <family val="0"/>
        <charset val="1"/>
      </rPr>
      <t xml:space="preserve">2025.12.08</t>
    </r>
    <r>
      <rPr>
        <sz val="9"/>
        <color rgb="FF0000C0"/>
        <rFont val="WenQuanYi Zen Hei"/>
        <family val="2"/>
      </rPr>
      <t xml:space="preserve">康欣开劳务费到金沁：大太老旧路改造工程</t>
    </r>
  </si>
  <si>
    <t xml:space="preserve">挂靠代收</t>
  </si>
  <si>
    <t xml:space="preserve">我方收款</t>
  </si>
  <si>
    <r>
      <rPr>
        <sz val="9"/>
        <color rgb="FF0000C0"/>
        <rFont val="微软雅黑"/>
        <family val="0"/>
        <charset val="1"/>
      </rPr>
      <t xml:space="preserve">2025.12.08</t>
    </r>
    <r>
      <rPr>
        <sz val="9"/>
        <color rgb="FF0000C0"/>
        <rFont val="WenQuanYi Zen Hei"/>
        <family val="2"/>
      </rPr>
      <t xml:space="preserve">康欣开到金沁：大太线老旧改造</t>
    </r>
  </si>
  <si>
    <r>
      <rPr>
        <sz val="9"/>
        <color rgb="FF0000C0"/>
        <rFont val="WenQuanYi Zen Hei"/>
        <family val="2"/>
      </rPr>
      <t xml:space="preserve">与 康欣</t>
    </r>
    <r>
      <rPr>
        <sz val="9"/>
        <color rgb="FF0000C0"/>
        <rFont val="微软雅黑"/>
        <family val="0"/>
        <charset val="1"/>
      </rPr>
      <t xml:space="preserve">!66 </t>
    </r>
    <r>
      <rPr>
        <sz val="9"/>
        <color rgb="FF0000C0"/>
        <rFont val="WenQuanYi Zen Hei"/>
        <family val="2"/>
      </rPr>
      <t xml:space="preserve">为同一张票，只计一次</t>
    </r>
  </si>
  <si>
    <r>
      <rPr>
        <sz val="9"/>
        <color rgb="FF0000C0"/>
        <rFont val="微软雅黑"/>
        <family val="0"/>
        <charset val="1"/>
      </rPr>
      <t xml:space="preserve">2026.3.25</t>
    </r>
    <r>
      <rPr>
        <sz val="9"/>
        <color rgb="FF0000C0"/>
        <rFont val="WenQuanYi Zen Hei"/>
        <family val="2"/>
      </rPr>
      <t xml:space="preserve">华城开（劳务）票到民能：平双线</t>
    </r>
  </si>
  <si>
    <r>
      <rPr>
        <sz val="9"/>
        <color rgb="FF0000C0"/>
        <rFont val="微软雅黑"/>
        <family val="0"/>
        <charset val="1"/>
      </rPr>
      <t xml:space="preserve">2026.3.25</t>
    </r>
    <r>
      <rPr>
        <sz val="9"/>
        <color rgb="FF0000C0"/>
        <rFont val="WenQuanYi Zen Hei"/>
        <family val="2"/>
      </rPr>
      <t xml:space="preserve">号康欣开票到民能劳务票：水羊线金鸡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（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）社</t>
    </r>
  </si>
  <si>
    <r>
      <rPr>
        <sz val="9"/>
        <color rgb="FF0000C0"/>
        <rFont val="微软雅黑"/>
        <family val="0"/>
        <charset val="1"/>
      </rPr>
      <t xml:space="preserve">2026.3.25</t>
    </r>
    <r>
      <rPr>
        <sz val="9"/>
        <color rgb="FF0000C0"/>
        <rFont val="WenQuanYi Zen Hei"/>
        <family val="2"/>
      </rPr>
      <t xml:space="preserve">号康欣开票到民能劳务票：龙羊线七佛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</si>
  <si>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2026.3.25</t>
    </r>
    <r>
      <rPr>
        <sz val="9"/>
        <color rgb="FF0000C0"/>
        <rFont val="WenQuanYi Zen Hei"/>
        <family val="2"/>
      </rPr>
      <t xml:space="preserve">号康欣开票到民能劳务票：少柏线池塘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</si>
  <si>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2026.3.25</t>
    </r>
    <r>
      <rPr>
        <sz val="9"/>
        <color rgb="FF0000C0"/>
        <rFont val="WenQuanYi Zen Hei"/>
        <family val="2"/>
      </rPr>
      <t xml:space="preserve">号康欣开票到民能劳务票：少柏线团山</t>
    </r>
    <r>
      <rPr>
        <sz val="9"/>
        <color rgb="FF0000C0"/>
        <rFont val="微软雅黑"/>
        <family val="0"/>
        <charset val="1"/>
      </rPr>
      <t xml:space="preserve">7.6.11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</si>
  <si>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2026.3.25</t>
    </r>
    <r>
      <rPr>
        <sz val="9"/>
        <color rgb="FF0000C0"/>
        <rFont val="WenQuanYi Zen Hei"/>
        <family val="2"/>
      </rPr>
      <t xml:space="preserve">号康欣开票到民能劳务票：平凉线惠丰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</si>
  <si>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2026.3.26</t>
    </r>
    <r>
      <rPr>
        <sz val="9"/>
        <color rgb="FF0000C0"/>
        <rFont val="WenQuanYi Zen Hei"/>
        <family val="2"/>
      </rPr>
      <t xml:space="preserve">蒋玲支付税费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</si>
  <si>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华城开（设备）票到德誉佳：平双线</t>
    </r>
  </si>
  <si>
    <r>
      <rPr>
        <sz val="9"/>
        <color rgb="FF0000C0"/>
        <rFont val="WenQuanYi Zen Hei"/>
        <family val="2"/>
      </rPr>
      <t xml:space="preserve">与 德誉嘉 </t>
    </r>
    <r>
      <rPr>
        <sz val="9"/>
        <color rgb="FF0000C0"/>
        <rFont val="微软雅黑"/>
        <family val="0"/>
        <charset val="1"/>
      </rPr>
      <t xml:space="preserve">!11 </t>
    </r>
    <r>
      <rPr>
        <sz val="9"/>
        <color rgb="FF0000C0"/>
        <rFont val="WenQuanYi Zen Hei"/>
        <family val="2"/>
      </rPr>
      <t xml:space="preserve">为同一张票，只计一次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</si>
  <si>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安锐开到德誉佳：水羊线金鸡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（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）社</t>
    </r>
  </si>
  <si>
    <r>
      <rPr>
        <sz val="9"/>
        <color rgb="FF0000C0"/>
        <rFont val="WenQuanYi Zen Hei"/>
        <family val="2"/>
      </rPr>
      <t xml:space="preserve">与 德誉嘉 </t>
    </r>
    <r>
      <rPr>
        <sz val="9"/>
        <color rgb="FF0000C0"/>
        <rFont val="微软雅黑"/>
        <family val="0"/>
        <charset val="1"/>
      </rPr>
      <t xml:space="preserve">!12 </t>
    </r>
    <r>
      <rPr>
        <sz val="9"/>
        <color rgb="FF0000C0"/>
        <rFont val="WenQuanYi Zen Hei"/>
        <family val="2"/>
      </rPr>
      <t xml:space="preserve">为同一张票，只计一次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</si>
  <si>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安锐开到德誉佳：龙羊线七佛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</si>
  <si>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与 德誉嘉 </t>
    </r>
    <r>
      <rPr>
        <sz val="9"/>
        <color rgb="FF0000C0"/>
        <rFont val="微软雅黑"/>
        <family val="0"/>
        <charset val="1"/>
      </rPr>
      <t xml:space="preserve">!13 </t>
    </r>
    <r>
      <rPr>
        <sz val="9"/>
        <color rgb="FF0000C0"/>
        <rFont val="WenQuanYi Zen Hei"/>
        <family val="2"/>
      </rPr>
      <t xml:space="preserve">为同一张票，只计一次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</si>
  <si>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安锐开到德誉佳：少柏线池塘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</si>
  <si>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与 德誉嘉 </t>
    </r>
    <r>
      <rPr>
        <sz val="9"/>
        <color rgb="FF0000C0"/>
        <rFont val="微软雅黑"/>
        <family val="0"/>
        <charset val="1"/>
      </rPr>
      <t xml:space="preserve">!14 </t>
    </r>
    <r>
      <rPr>
        <sz val="9"/>
        <color rgb="FF0000C0"/>
        <rFont val="WenQuanYi Zen Hei"/>
        <family val="2"/>
      </rPr>
      <t xml:space="preserve">为同一张票，只计一次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</si>
  <si>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安锐开到德誉佳：少柏线团山</t>
    </r>
    <r>
      <rPr>
        <sz val="9"/>
        <color rgb="FF0000C0"/>
        <rFont val="微软雅黑"/>
        <family val="0"/>
        <charset val="1"/>
      </rPr>
      <t xml:space="preserve">7.6.11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</si>
  <si>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与 德誉嘉 </t>
    </r>
    <r>
      <rPr>
        <sz val="9"/>
        <color rgb="FF0000C0"/>
        <rFont val="微软雅黑"/>
        <family val="0"/>
        <charset val="1"/>
      </rPr>
      <t xml:space="preserve">!15 </t>
    </r>
    <r>
      <rPr>
        <sz val="9"/>
        <color rgb="FF0000C0"/>
        <rFont val="WenQuanYi Zen Hei"/>
        <family val="2"/>
      </rPr>
      <t xml:space="preserve">为同一张票，只计一次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</si>
  <si>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安锐开到德誉佳：平凉线惠丰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</si>
  <si>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与 德誉嘉 </t>
    </r>
    <r>
      <rPr>
        <sz val="9"/>
        <color rgb="FF0000C0"/>
        <rFont val="微软雅黑"/>
        <family val="0"/>
        <charset val="1"/>
      </rPr>
      <t xml:space="preserve">!16 </t>
    </r>
    <r>
      <rPr>
        <sz val="9"/>
        <color rgb="FF0000C0"/>
        <rFont val="WenQuanYi Zen Hei"/>
        <family val="2"/>
      </rPr>
      <t xml:space="preserve">为同一张票，只计一次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</si>
  <si>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德誉佳开票到民能：平凉线惠丰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</si>
  <si>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华城开票到德誉佳：平双线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</si>
  <si>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安锐开票到德誉佳：水羊线金鸡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（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）社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</si>
  <si>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安锐开票到德誉佳：龙羊线七佛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</si>
  <si>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安锐开票到德誉佳：少柏线池塘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</si>
  <si>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安锐开票到德誉佳：少柏线团山</t>
    </r>
    <r>
      <rPr>
        <sz val="9"/>
        <color rgb="FF0000C0"/>
        <rFont val="微软雅黑"/>
        <family val="0"/>
        <charset val="1"/>
      </rPr>
      <t xml:space="preserve">7.6.11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</si>
  <si>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安锐开票到德誉佳：平凉线惠丰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</si>
  <si>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德誉佳开票到民能：平双线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</si>
  <si>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德誉佳开票到民能：水羊线金鸡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（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）社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</si>
  <si>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德誉佳开票到民能：龙羊线七佛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</si>
  <si>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德誉佳开票到民能：少柏线池塘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</si>
  <si>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德誉佳开票到民能：少柏线团山</t>
    </r>
    <r>
      <rPr>
        <sz val="9"/>
        <color rgb="FF0000C0"/>
        <rFont val="微软雅黑"/>
        <family val="0"/>
        <charset val="1"/>
      </rPr>
      <t xml:space="preserve">7.6.11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</si>
  <si>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专票</t>
    </r>
    <r>
      <rPr>
        <sz val="9"/>
        <color rgb="FF0000C0"/>
        <rFont val="微软雅黑"/>
        <family val="0"/>
        <charset val="1"/>
      </rPr>
      <t xml:space="preserve">9%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</si>
  <si>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迅驰开票到民能：平凉线惠丰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</si>
  <si>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27</t>
    </r>
    <r>
      <rPr>
        <sz val="9"/>
        <color rgb="FF0000C0"/>
        <rFont val="WenQuanYi Zen Hei"/>
        <family val="2"/>
      </rPr>
      <t xml:space="preserve">日：铜梁项目部，转迅驰公司汪友琼开票税费</t>
    </r>
    <r>
      <rPr>
        <sz val="9"/>
        <color rgb="FF0000C0"/>
        <rFont val="微软雅黑"/>
        <family val="0"/>
        <charset val="1"/>
      </rPr>
      <t xml:space="preserve">6953.21</t>
    </r>
    <r>
      <rPr>
        <sz val="9"/>
        <color rgb="FF0000C0"/>
        <rFont val="WenQuanYi Zen Hei"/>
        <family val="2"/>
      </rPr>
      <t xml:space="preserve">元已报账</t>
    </r>
  </si>
  <si>
    <t xml:space="preserve">成本票</t>
  </si>
  <si>
    <r>
      <rPr>
        <sz val="9"/>
        <color rgb="FF0000C0"/>
        <rFont val="WenQuanYi Zen Hei"/>
        <family val="2"/>
      </rPr>
      <t xml:space="preserve">专票</t>
    </r>
    <r>
      <rPr>
        <sz val="9"/>
        <color rgb="FF0000C0"/>
        <rFont val="微软雅黑"/>
        <family val="0"/>
        <charset val="1"/>
      </rPr>
      <t xml:space="preserve">3%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</si>
  <si>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泓普开票到迅驰：平双线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</si>
  <si>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泓普开票到迅驰：水羊线金鸡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（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）社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</si>
  <si>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泓普开票到迅驰：龙羊线七佛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</si>
  <si>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泓普开票到迅驰：少柏线池塘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</si>
  <si>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泓普开票到迅驰：少柏线团山</t>
    </r>
    <r>
      <rPr>
        <sz val="9"/>
        <color rgb="FF0000C0"/>
        <rFont val="微软雅黑"/>
        <family val="0"/>
        <charset val="1"/>
      </rPr>
      <t xml:space="preserve">7.6.11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</si>
  <si>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泓普开票到迅驰：平凉线惠丰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</si>
  <si>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迅驰开票到民能：少柏线社田</t>
    </r>
    <r>
      <rPr>
        <sz val="9"/>
        <color rgb="FF0000C0"/>
        <rFont val="微软雅黑"/>
        <family val="0"/>
        <charset val="1"/>
      </rPr>
      <t xml:space="preserve">1.6.7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</si>
  <si>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迅驰开票到民能：大科新建联络工程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</si>
  <si>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迅驰开票到民能：大岭线新建联络工程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</si>
  <si>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迅驰开票到民能：物华天宝镀膜科技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</si>
  <si>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迅驰开票到民能：虎泉线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</si>
  <si>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迅驰开票到民能：安居所张绍华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</si>
  <si>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迅驰开票到民能：围塘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</si>
  <si>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迅驰开票到民能：特种设备租赁服务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</si>
  <si>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迅驰开票到民能：平双线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</si>
  <si>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迅驰开票到民能：水羊线金鸡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（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）社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</si>
  <si>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迅驰开票到民能：龙羊线七佛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</si>
  <si>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迅驰开票到民能：少柏线池塘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</si>
  <si>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2026.3.27</t>
    </r>
    <r>
      <rPr>
        <sz val="9"/>
        <color rgb="FF0000C0"/>
        <rFont val="WenQuanYi Zen Hei"/>
        <family val="2"/>
      </rPr>
      <t xml:space="preserve">迅驰开票到民能：少柏线团山</t>
    </r>
    <r>
      <rPr>
        <sz val="9"/>
        <color rgb="FF0000C0"/>
        <rFont val="微软雅黑"/>
        <family val="0"/>
        <charset val="1"/>
      </rPr>
      <t xml:space="preserve">7.6.11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</si>
  <si>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31</t>
    </r>
    <r>
      <rPr>
        <sz val="9"/>
        <color rgb="FF0000C0"/>
        <rFont val="WenQuanYi Zen Hei"/>
        <family val="2"/>
      </rPr>
      <t xml:space="preserve">日：孙代兰支付铜梁项目部，华城增值税：</t>
    </r>
    <r>
      <rPr>
        <sz val="9"/>
        <color rgb="FF0000C0"/>
        <rFont val="微软雅黑"/>
        <family val="0"/>
        <charset val="1"/>
      </rPr>
      <t xml:space="preserve">15039.5</t>
    </r>
    <r>
      <rPr>
        <sz val="9"/>
        <color rgb="FF0000C0"/>
        <rFont val="WenQuanYi Zen Hei"/>
        <family val="2"/>
      </rPr>
      <t xml:space="preserve">，附加税：</t>
    </r>
    <r>
      <rPr>
        <sz val="9"/>
        <color rgb="FF0000C0"/>
        <rFont val="微软雅黑"/>
        <family val="0"/>
        <charset val="1"/>
      </rPr>
      <t xml:space="preserve">1804.74</t>
    </r>
    <r>
      <rPr>
        <sz val="9"/>
        <color rgb="FF0000C0"/>
        <rFont val="WenQuanYi Zen Hei"/>
        <family val="2"/>
      </rPr>
      <t xml:space="preserve">，印花税</t>
    </r>
    <r>
      <rPr>
        <sz val="9"/>
        <color rgb="FF0000C0"/>
        <rFont val="微软雅黑"/>
        <family val="0"/>
        <charset val="1"/>
      </rPr>
      <t xml:space="preserve">39.22</t>
    </r>
  </si>
  <si>
    <r>
      <rPr>
        <sz val="9"/>
        <color rgb="FF0000C0"/>
        <rFont val="微软雅黑"/>
        <family val="0"/>
        <charset val="1"/>
      </rPr>
      <t xml:space="preserve">1%</t>
    </r>
    <r>
      <rPr>
        <sz val="9"/>
        <color rgb="FF0000C0"/>
        <rFont val="WenQuanYi Zen Hei"/>
        <family val="2"/>
      </rPr>
      <t xml:space="preserve">普票</t>
    </r>
  </si>
  <si>
    <r>
      <rPr>
        <sz val="9"/>
        <color rgb="FF0000C0"/>
        <rFont val="微软雅黑"/>
        <family val="0"/>
        <charset val="1"/>
      </rPr>
      <t xml:space="preserve">2026.3.31</t>
    </r>
    <r>
      <rPr>
        <sz val="9"/>
        <color rgb="FF0000C0"/>
        <rFont val="WenQuanYi Zen Hei"/>
        <family val="2"/>
      </rPr>
      <t xml:space="preserve">泓普开劳务票到华城：平双线</t>
    </r>
  </si>
  <si>
    <r>
      <rPr>
        <sz val="9"/>
        <color rgb="FF0000C0"/>
        <rFont val="微软雅黑"/>
        <family val="0"/>
        <charset val="1"/>
      </rPr>
      <t xml:space="preserve">2026.3.31</t>
    </r>
    <r>
      <rPr>
        <sz val="9"/>
        <color rgb="FF0000C0"/>
        <rFont val="WenQuanYi Zen Hei"/>
        <family val="2"/>
      </rPr>
      <t xml:space="preserve">泓普开票到迅驰：少柏线社田</t>
    </r>
    <r>
      <rPr>
        <sz val="9"/>
        <color rgb="FF0000C0"/>
        <rFont val="微软雅黑"/>
        <family val="0"/>
        <charset val="1"/>
      </rPr>
      <t xml:space="preserve">1.6.7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</si>
  <si>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2026.3.31</t>
    </r>
    <r>
      <rPr>
        <sz val="9"/>
        <color rgb="FF0000C0"/>
        <rFont val="WenQuanYi Zen Hei"/>
        <family val="2"/>
      </rPr>
      <t xml:space="preserve">泓普开票到迅驰：大科新建联络工程</t>
    </r>
  </si>
  <si>
    <r>
      <rPr>
        <sz val="9"/>
        <color rgb="FF0000C0"/>
        <rFont val="微软雅黑"/>
        <family val="0"/>
        <charset val="1"/>
      </rPr>
      <t xml:space="preserve">2026.3.31</t>
    </r>
    <r>
      <rPr>
        <sz val="9"/>
        <color rgb="FF0000C0"/>
        <rFont val="WenQuanYi Zen Hei"/>
        <family val="2"/>
      </rPr>
      <t xml:space="preserve">泓普开票到迅驰：大岭线新建联络工程</t>
    </r>
  </si>
  <si>
    <r>
      <rPr>
        <sz val="9"/>
        <color rgb="FF0000C0"/>
        <rFont val="微软雅黑"/>
        <family val="0"/>
        <charset val="1"/>
      </rPr>
      <t xml:space="preserve">2026.3.31</t>
    </r>
    <r>
      <rPr>
        <sz val="9"/>
        <color rgb="FF0000C0"/>
        <rFont val="WenQuanYi Zen Hei"/>
        <family val="2"/>
      </rPr>
      <t xml:space="preserve">泓普开票到迅驰：物华天宝镀膜科技</t>
    </r>
  </si>
  <si>
    <r>
      <rPr>
        <sz val="9"/>
        <color rgb="FF0000C0"/>
        <rFont val="微软雅黑"/>
        <family val="0"/>
        <charset val="1"/>
      </rPr>
      <t xml:space="preserve">2026.3.31</t>
    </r>
    <r>
      <rPr>
        <sz val="9"/>
        <color rgb="FF0000C0"/>
        <rFont val="WenQuanYi Zen Hei"/>
        <family val="2"/>
      </rPr>
      <t xml:space="preserve">泓普开票到迅驰：虎泉线</t>
    </r>
  </si>
  <si>
    <t xml:space="preserve">工资社保</t>
  </si>
  <si>
    <r>
      <rPr>
        <sz val="9"/>
        <color rgb="FF0000C0"/>
        <rFont val="微软雅黑"/>
        <family val="0"/>
        <charset val="1"/>
      </rPr>
      <t xml:space="preserve">2026.4</t>
    </r>
    <r>
      <rPr>
        <sz val="9"/>
        <color rgb="FF0000C0"/>
        <rFont val="WenQuanYi Zen Hei"/>
        <family val="2"/>
      </rPr>
      <t xml:space="preserve">月康欣代发社保及工资转款（打款到康欣）</t>
    </r>
  </si>
  <si>
    <r>
      <rPr>
        <sz val="9"/>
        <color rgb="FF0000C0"/>
        <rFont val="微软雅黑"/>
        <family val="0"/>
        <charset val="1"/>
      </rPr>
      <t xml:space="preserve">2026.4.16</t>
    </r>
    <r>
      <rPr>
        <sz val="9"/>
        <color rgb="FF0000C0"/>
        <rFont val="WenQuanYi Zen Hei"/>
        <family val="2"/>
      </rPr>
      <t xml:space="preserve">安锐开到德誉佳：平滩所何银强</t>
    </r>
  </si>
  <si>
    <r>
      <rPr>
        <sz val="9"/>
        <color rgb="FF0000C0"/>
        <rFont val="WenQuanYi Zen Hei"/>
        <family val="2"/>
      </rPr>
      <t xml:space="preserve">与 德誉嘉 </t>
    </r>
    <r>
      <rPr>
        <sz val="9"/>
        <color rgb="FF0000C0"/>
        <rFont val="微软雅黑"/>
        <family val="0"/>
        <charset val="1"/>
      </rPr>
      <t xml:space="preserve">!18 </t>
    </r>
    <r>
      <rPr>
        <sz val="9"/>
        <color rgb="FF0000C0"/>
        <rFont val="WenQuanYi Zen Hei"/>
        <family val="2"/>
      </rPr>
      <t xml:space="preserve">为同一张票，只计一次</t>
    </r>
  </si>
  <si>
    <r>
      <rPr>
        <sz val="9"/>
        <color rgb="FF0000C0"/>
        <rFont val="微软雅黑"/>
        <family val="0"/>
        <charset val="1"/>
      </rPr>
      <t xml:space="preserve">2026.4.16</t>
    </r>
    <r>
      <rPr>
        <sz val="9"/>
        <color rgb="FF0000C0"/>
        <rFont val="WenQuanYi Zen Hei"/>
        <family val="2"/>
      </rPr>
      <t xml:space="preserve">泓普开票到迅驰：安居所张绍华</t>
    </r>
  </si>
  <si>
    <r>
      <rPr>
        <sz val="9"/>
        <color rgb="FF0000C0"/>
        <rFont val="微软雅黑"/>
        <family val="0"/>
        <charset val="1"/>
      </rPr>
      <t xml:space="preserve">2026.4.16</t>
    </r>
    <r>
      <rPr>
        <sz val="9"/>
        <color rgb="FF0000C0"/>
        <rFont val="WenQuanYi Zen Hei"/>
        <family val="2"/>
      </rPr>
      <t xml:space="preserve">迅驰开票到民能：平滩所何银强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</si>
  <si>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16</t>
    </r>
    <r>
      <rPr>
        <sz val="9"/>
        <color rgb="FF0000C0"/>
        <rFont val="WenQuanYi Zen Hei"/>
        <family val="2"/>
      </rPr>
      <t xml:space="preserve">日：迅驰开平滩所何银强等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个低压业扩项目机械费补迅驰税差</t>
    </r>
    <r>
      <rPr>
        <sz val="9"/>
        <color rgb="FF0000C0"/>
        <rFont val="微软雅黑"/>
        <family val="0"/>
        <charset val="1"/>
      </rPr>
      <t xml:space="preserve">204.37</t>
    </r>
    <r>
      <rPr>
        <sz val="9"/>
        <color rgb="FF0000C0"/>
        <rFont val="WenQuanYi Zen Hei"/>
        <family val="2"/>
      </rPr>
      <t xml:space="preserve">元</t>
    </r>
  </si>
  <si>
    <r>
      <rPr>
        <sz val="9"/>
        <color rgb="FF0000C0"/>
        <rFont val="微软雅黑"/>
        <family val="0"/>
        <charset val="1"/>
      </rPr>
      <t xml:space="preserve">2026.4.16</t>
    </r>
    <r>
      <rPr>
        <sz val="9"/>
        <color rgb="FF0000C0"/>
        <rFont val="WenQuanYi Zen Hei"/>
        <family val="2"/>
      </rPr>
      <t xml:space="preserve">泓普开票到迅驰：平滩所何银强</t>
    </r>
  </si>
  <si>
    <r>
      <rPr>
        <sz val="9"/>
        <color rgb="FF0000C0"/>
        <rFont val="微软雅黑"/>
        <family val="0"/>
        <charset val="1"/>
      </rPr>
      <t xml:space="preserve">9%</t>
    </r>
    <r>
      <rPr>
        <sz val="9"/>
        <color rgb="FF0000C0"/>
        <rFont val="WenQuanYi Zen Hei"/>
        <family val="2"/>
      </rPr>
      <t xml:space="preserve">专票</t>
    </r>
  </si>
  <si>
    <r>
      <rPr>
        <sz val="9"/>
        <color rgb="FF0000C0"/>
        <rFont val="微软雅黑"/>
        <family val="0"/>
        <charset val="1"/>
      </rPr>
      <t xml:space="preserve">2026.4.16</t>
    </r>
    <r>
      <rPr>
        <sz val="9"/>
        <color rgb="FF0000C0"/>
        <rFont val="WenQuanYi Zen Hei"/>
        <family val="2"/>
      </rPr>
      <t xml:space="preserve">金沁开到民能：平滩所何银强</t>
    </r>
  </si>
  <si>
    <t xml:space="preserve">扣质保金</t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</si>
  <si>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16</t>
    </r>
    <r>
      <rPr>
        <sz val="9"/>
        <color rgb="FF0000C0"/>
        <rFont val="WenQuanYi Zen Hei"/>
        <family val="2"/>
      </rPr>
      <t xml:space="preserve">日：陈秋平支付金沁开票平滩所何银强等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个低压业扩项目预交增值税</t>
    </r>
    <r>
      <rPr>
        <sz val="9"/>
        <color rgb="FF0000C0"/>
        <rFont val="微软雅黑"/>
        <family val="0"/>
        <charset val="1"/>
      </rPr>
      <t xml:space="preserve">338.05</t>
    </r>
    <r>
      <rPr>
        <sz val="9"/>
        <color rgb="FF0000C0"/>
        <rFont val="WenQuanYi Zen Hei"/>
        <family val="2"/>
      </rPr>
      <t xml:space="preserve">元</t>
    </r>
    <r>
      <rPr>
        <sz val="9"/>
        <color rgb="FF0000C0"/>
        <rFont val="微软雅黑"/>
        <family val="0"/>
        <charset val="1"/>
      </rPr>
      <t xml:space="preserve">+2.6</t>
    </r>
    <r>
      <rPr>
        <sz val="9"/>
        <color rgb="FF0000C0"/>
        <rFont val="WenQuanYi Zen Hei"/>
        <family val="2"/>
      </rPr>
      <t xml:space="preserve">印花税</t>
    </r>
  </si>
  <si>
    <r>
      <rPr>
        <sz val="9"/>
        <color rgb="FF0000C0"/>
        <rFont val="微软雅黑"/>
        <family val="0"/>
        <charset val="1"/>
      </rPr>
      <t xml:space="preserve">2026.4.24</t>
    </r>
    <r>
      <rPr>
        <sz val="9"/>
        <color rgb="FF0000C0"/>
        <rFont val="WenQuanYi Zen Hei"/>
        <family val="2"/>
      </rPr>
      <t xml:space="preserve">泓普开劳务票到华城：平双线</t>
    </r>
  </si>
  <si>
    <r>
      <rPr>
        <sz val="9"/>
        <color rgb="FF0000C0"/>
        <rFont val="微软雅黑"/>
        <family val="0"/>
        <charset val="1"/>
      </rPr>
      <t xml:space="preserve">2026.4.24</t>
    </r>
    <r>
      <rPr>
        <sz val="9"/>
        <color rgb="FF0000C0"/>
        <rFont val="WenQuanYi Zen Hei"/>
        <family val="2"/>
      </rPr>
      <t xml:space="preserve">号泓普开</t>
    </r>
    <r>
      <rPr>
        <sz val="9"/>
        <color rgb="FF0000C0"/>
        <rFont val="微软雅黑"/>
        <family val="0"/>
        <charset val="1"/>
      </rPr>
      <t xml:space="preserve">38%</t>
    </r>
    <r>
      <rPr>
        <sz val="9"/>
        <color rgb="FF0000C0"/>
        <rFont val="WenQuanYi Zen Hei"/>
        <family val="2"/>
      </rPr>
      <t xml:space="preserve">工程管理服务费：水羊线金鸡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（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）社</t>
    </r>
  </si>
  <si>
    <r>
      <rPr>
        <sz val="9"/>
        <color rgb="FF0000C0"/>
        <rFont val="微软雅黑"/>
        <family val="0"/>
        <charset val="1"/>
      </rPr>
      <t xml:space="preserve">2026.4.24</t>
    </r>
    <r>
      <rPr>
        <sz val="9"/>
        <color rgb="FF0000C0"/>
        <rFont val="WenQuanYi Zen Hei"/>
        <family val="2"/>
      </rPr>
      <t xml:space="preserve">号泓普开</t>
    </r>
    <r>
      <rPr>
        <sz val="9"/>
        <color rgb="FF0000C0"/>
        <rFont val="微软雅黑"/>
        <family val="0"/>
        <charset val="1"/>
      </rPr>
      <t xml:space="preserve">38%</t>
    </r>
    <r>
      <rPr>
        <sz val="9"/>
        <color rgb="FF0000C0"/>
        <rFont val="WenQuanYi Zen Hei"/>
        <family val="2"/>
      </rPr>
      <t xml:space="preserve">工程管理服务费：龙羊线七佛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</si>
  <si>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2026.4.24</t>
    </r>
    <r>
      <rPr>
        <sz val="9"/>
        <color rgb="FF0000C0"/>
        <rFont val="WenQuanYi Zen Hei"/>
        <family val="2"/>
      </rPr>
      <t xml:space="preserve">号泓普开</t>
    </r>
    <r>
      <rPr>
        <sz val="9"/>
        <color rgb="FF0000C0"/>
        <rFont val="微软雅黑"/>
        <family val="0"/>
        <charset val="1"/>
      </rPr>
      <t xml:space="preserve">38%</t>
    </r>
    <r>
      <rPr>
        <sz val="9"/>
        <color rgb="FF0000C0"/>
        <rFont val="WenQuanYi Zen Hei"/>
        <family val="2"/>
      </rPr>
      <t xml:space="preserve">工程管理服务费：少柏线池塘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</si>
  <si>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2026.4.24</t>
    </r>
    <r>
      <rPr>
        <sz val="9"/>
        <color rgb="FF0000C0"/>
        <rFont val="WenQuanYi Zen Hei"/>
        <family val="2"/>
      </rPr>
      <t xml:space="preserve">号泓普开</t>
    </r>
    <r>
      <rPr>
        <sz val="9"/>
        <color rgb="FF0000C0"/>
        <rFont val="微软雅黑"/>
        <family val="0"/>
        <charset val="1"/>
      </rPr>
      <t xml:space="preserve">38%</t>
    </r>
    <r>
      <rPr>
        <sz val="9"/>
        <color rgb="FF0000C0"/>
        <rFont val="WenQuanYi Zen Hei"/>
        <family val="2"/>
      </rPr>
      <t xml:space="preserve">工程管理服务费：少柏线团山</t>
    </r>
    <r>
      <rPr>
        <sz val="9"/>
        <color rgb="FF0000C0"/>
        <rFont val="微软雅黑"/>
        <family val="0"/>
        <charset val="1"/>
      </rPr>
      <t xml:space="preserve">7.6.11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</si>
  <si>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2026.4.24</t>
    </r>
    <r>
      <rPr>
        <sz val="9"/>
        <color rgb="FF0000C0"/>
        <rFont val="WenQuanYi Zen Hei"/>
        <family val="2"/>
      </rPr>
      <t xml:space="preserve">号泓普开</t>
    </r>
    <r>
      <rPr>
        <sz val="9"/>
        <color rgb="FF0000C0"/>
        <rFont val="微软雅黑"/>
        <family val="0"/>
        <charset val="1"/>
      </rPr>
      <t xml:space="preserve">38%</t>
    </r>
    <r>
      <rPr>
        <sz val="9"/>
        <color rgb="FF0000C0"/>
        <rFont val="WenQuanYi Zen Hei"/>
        <family val="2"/>
      </rPr>
      <t xml:space="preserve">工程管理服务费：平凉线惠丰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</si>
  <si>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2026.5</t>
    </r>
    <r>
      <rPr>
        <sz val="9"/>
        <color rgb="FF0000C0"/>
        <rFont val="WenQuanYi Zen Hei"/>
        <family val="2"/>
      </rPr>
      <t xml:space="preserve">月康欣代发社保及工资转款（打款到康欣）</t>
    </r>
  </si>
  <si>
    <r>
      <rPr>
        <sz val="9"/>
        <color rgb="FF0000C0"/>
        <rFont val="微软雅黑"/>
        <family val="0"/>
        <charset val="1"/>
      </rPr>
      <t xml:space="preserve">2026.5.18</t>
    </r>
    <r>
      <rPr>
        <sz val="9"/>
        <color rgb="FF0000C0"/>
        <rFont val="WenQuanYi Zen Hei"/>
        <family val="2"/>
      </rPr>
      <t xml:space="preserve">泓普开票到迅驰：围塘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</si>
  <si>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2026.5.19</t>
    </r>
    <r>
      <rPr>
        <sz val="9"/>
        <color rgb="FF0000C0"/>
        <rFont val="WenQuanYi Zen Hei"/>
        <family val="2"/>
      </rPr>
      <t xml:space="preserve">仟茂开票到德誉佳：金湖东西线</t>
    </r>
  </si>
  <si>
    <r>
      <rPr>
        <sz val="9"/>
        <color rgb="FF0000C0"/>
        <rFont val="微软雅黑"/>
        <family val="0"/>
        <charset val="1"/>
      </rPr>
      <t xml:space="preserve">2026.5.19</t>
    </r>
    <r>
      <rPr>
        <sz val="9"/>
        <color rgb="FF0000C0"/>
        <rFont val="WenQuanYi Zen Hei"/>
        <family val="2"/>
      </rPr>
      <t xml:space="preserve">泓普开票到迅驰：特种设备租赁服务</t>
    </r>
  </si>
  <si>
    <r>
      <rPr>
        <sz val="9"/>
        <color rgb="FF0000C0"/>
        <rFont val="微软雅黑"/>
        <family val="0"/>
        <charset val="1"/>
      </rPr>
      <t xml:space="preserve">7.10</t>
    </r>
    <r>
      <rPr>
        <sz val="9"/>
        <color rgb="FF0000C0"/>
        <rFont val="WenQuanYi Zen Hei"/>
        <family val="2"/>
      </rPr>
      <t xml:space="preserve">号秋平回复已收到迅驰打款</t>
    </r>
  </si>
  <si>
    <r>
      <rPr>
        <sz val="9"/>
        <color rgb="FF0000C0"/>
        <rFont val="微软雅黑"/>
        <family val="0"/>
        <charset val="1"/>
      </rPr>
      <t xml:space="preserve">2026.5.19</t>
    </r>
    <r>
      <rPr>
        <sz val="9"/>
        <color rgb="FF0000C0"/>
        <rFont val="WenQuanYi Zen Hei"/>
        <family val="2"/>
      </rPr>
      <t xml:space="preserve">泓普开票到迅驰：金湖东西线</t>
    </r>
  </si>
  <si>
    <r>
      <rPr>
        <sz val="9"/>
        <color rgb="FF0000C0"/>
        <rFont val="微软雅黑"/>
        <family val="0"/>
        <charset val="1"/>
      </rPr>
      <t xml:space="preserve">2026.5.20</t>
    </r>
    <r>
      <rPr>
        <sz val="9"/>
        <color rgb="FF0000C0"/>
        <rFont val="WenQuanYi Zen Hei"/>
        <family val="2"/>
      </rPr>
      <t xml:space="preserve">康欣开土建发票到金沁：金湖东西电缆改造</t>
    </r>
  </si>
  <si>
    <r>
      <rPr>
        <sz val="9"/>
        <color rgb="FF0000C0"/>
        <rFont val="微软雅黑"/>
        <family val="0"/>
        <charset val="1"/>
      </rPr>
      <t xml:space="preserve">2026.5.20</t>
    </r>
    <r>
      <rPr>
        <sz val="9"/>
        <color rgb="FF0000C0"/>
        <rFont val="WenQuanYi Zen Hei"/>
        <family val="2"/>
      </rPr>
      <t xml:space="preserve">康欣开安装发票到金沁：金湖东西电缆改造</t>
    </r>
  </si>
  <si>
    <r>
      <rPr>
        <sz val="9"/>
        <color rgb="FF0000C0"/>
        <rFont val="微软雅黑"/>
        <family val="0"/>
        <charset val="1"/>
      </rPr>
      <t xml:space="preserve">2026.5.20</t>
    </r>
    <r>
      <rPr>
        <sz val="9"/>
        <color rgb="FF0000C0"/>
        <rFont val="WenQuanYi Zen Hei"/>
        <family val="2"/>
      </rPr>
      <t xml:space="preserve">德誉佳开票到民能：平滩所何银强</t>
    </r>
  </si>
  <si>
    <r>
      <rPr>
        <sz val="9"/>
        <color rgb="FF0000C0"/>
        <rFont val="微软雅黑"/>
        <family val="0"/>
        <charset val="1"/>
      </rPr>
      <t xml:space="preserve">2026.5.20</t>
    </r>
    <r>
      <rPr>
        <sz val="9"/>
        <color rgb="FF0000C0"/>
        <rFont val="WenQuanYi Zen Hei"/>
        <family val="2"/>
      </rPr>
      <t xml:space="preserve">安锐开票到德誉佳：平滩所何银强</t>
    </r>
  </si>
  <si>
    <r>
      <rPr>
        <sz val="9"/>
        <color rgb="FF0000C0"/>
        <rFont val="微软雅黑"/>
        <family val="0"/>
        <charset val="1"/>
      </rPr>
      <t xml:space="preserve">2026.5.20</t>
    </r>
    <r>
      <rPr>
        <sz val="9"/>
        <color rgb="FF0000C0"/>
        <rFont val="WenQuanYi Zen Hei"/>
        <family val="2"/>
      </rPr>
      <t xml:space="preserve">德誉佳开票到民能：金湖东西线</t>
    </r>
  </si>
  <si>
    <r>
      <rPr>
        <sz val="9"/>
        <color rgb="FF0000C0"/>
        <rFont val="微软雅黑"/>
        <family val="0"/>
        <charset val="1"/>
      </rPr>
      <t xml:space="preserve">2026.5.20</t>
    </r>
    <r>
      <rPr>
        <sz val="9"/>
        <color rgb="FF0000C0"/>
        <rFont val="WenQuanYi Zen Hei"/>
        <family val="2"/>
      </rPr>
      <t xml:space="preserve">迅驰开票到民能：金湖东西线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</si>
  <si>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20</t>
    </r>
    <r>
      <rPr>
        <sz val="9"/>
        <color rgb="FF0000C0"/>
        <rFont val="WenQuanYi Zen Hei"/>
        <family val="2"/>
      </rPr>
      <t xml:space="preserve">日转迅驰公司汪友琼税费</t>
    </r>
    <r>
      <rPr>
        <sz val="9"/>
        <color rgb="FF0000C0"/>
        <rFont val="微软雅黑"/>
        <family val="0"/>
        <charset val="1"/>
      </rPr>
      <t xml:space="preserve">2131.21</t>
    </r>
    <r>
      <rPr>
        <sz val="9"/>
        <color rgb="FF0000C0"/>
        <rFont val="WenQuanYi Zen Hei"/>
        <family val="2"/>
      </rPr>
      <t xml:space="preserve">元开：金湖东西电缆改造增发票</t>
    </r>
  </si>
  <si>
    <r>
      <rPr>
        <sz val="9"/>
        <color rgb="FF0000C0"/>
        <rFont val="微软雅黑"/>
        <family val="0"/>
        <charset val="1"/>
      </rPr>
      <t xml:space="preserve">2026.5.20</t>
    </r>
    <r>
      <rPr>
        <sz val="9"/>
        <color rgb="FF0000C0"/>
        <rFont val="WenQuanYi Zen Hei"/>
        <family val="2"/>
      </rPr>
      <t xml:space="preserve">陈秋平金湖东西交税：土建合同</t>
    </r>
    <r>
      <rPr>
        <sz val="9"/>
        <color rgb="FF0000C0"/>
        <rFont val="微软雅黑"/>
        <family val="0"/>
        <charset val="1"/>
      </rPr>
      <t xml:space="preserve">86841.23</t>
    </r>
    <r>
      <rPr>
        <sz val="9"/>
        <color rgb="FF0000C0"/>
        <rFont val="WenQuanYi Zen Hei"/>
        <family val="2"/>
      </rPr>
      <t xml:space="preserve">，印花税</t>
    </r>
    <r>
      <rPr>
        <sz val="9"/>
        <color rgb="FF0000C0"/>
        <rFont val="微软雅黑"/>
        <family val="0"/>
        <charset val="1"/>
      </rPr>
      <t xml:space="preserve">*0.0006/4</t>
    </r>
    <r>
      <rPr>
        <sz val="9"/>
        <color rgb="FF0000C0"/>
        <rFont val="WenQuanYi Zen Hei"/>
        <family val="2"/>
      </rPr>
      <t xml:space="preserve">计算，增值税</t>
    </r>
    <r>
      <rPr>
        <sz val="9"/>
        <color rgb="FF0000C0"/>
        <rFont val="微软雅黑"/>
        <family val="0"/>
        <charset val="1"/>
      </rPr>
      <t xml:space="preserve">33868/1.09*0.09/9*2</t>
    </r>
    <r>
      <rPr>
        <sz val="9"/>
        <color rgb="FF0000C0"/>
        <rFont val="WenQuanYi Zen Hei"/>
        <family val="2"/>
      </rPr>
      <t xml:space="preserve">，附加税是</t>
    </r>
    <r>
      <rPr>
        <sz val="9"/>
        <color rgb="FF0000C0"/>
        <rFont val="微软雅黑"/>
        <family val="0"/>
        <charset val="1"/>
      </rPr>
      <t xml:space="preserve">621*0.12/2</t>
    </r>
  </si>
  <si>
    <r>
      <rPr>
        <sz val="9"/>
        <color rgb="FF0000C0"/>
        <rFont val="微软雅黑"/>
        <family val="0"/>
        <charset val="1"/>
      </rPr>
      <t xml:space="preserve">2026.5.20</t>
    </r>
    <r>
      <rPr>
        <sz val="9"/>
        <color rgb="FF0000C0"/>
        <rFont val="WenQuanYi Zen Hei"/>
        <family val="2"/>
      </rPr>
      <t xml:space="preserve">陈秋平金湖东西交税：合同</t>
    </r>
    <r>
      <rPr>
        <sz val="9"/>
        <color rgb="FF0000C0"/>
        <rFont val="微软雅黑"/>
        <family val="0"/>
        <charset val="1"/>
      </rPr>
      <t xml:space="preserve">177298.41</t>
    </r>
    <r>
      <rPr>
        <sz val="9"/>
        <color rgb="FF0000C0"/>
        <rFont val="WenQuanYi Zen Hei"/>
        <family val="2"/>
      </rPr>
      <t xml:space="preserve">，印花税</t>
    </r>
    <r>
      <rPr>
        <sz val="9"/>
        <color rgb="FF0000C0"/>
        <rFont val="微软雅黑"/>
        <family val="0"/>
        <charset val="1"/>
      </rPr>
      <t xml:space="preserve">*0.0006/4</t>
    </r>
    <r>
      <rPr>
        <sz val="9"/>
        <color rgb="FF0000C0"/>
        <rFont val="WenQuanYi Zen Hei"/>
        <family val="2"/>
      </rPr>
      <t xml:space="preserve">计算，增值税</t>
    </r>
    <r>
      <rPr>
        <sz val="9"/>
        <color rgb="FF0000C0"/>
        <rFont val="微软雅黑"/>
        <family val="0"/>
        <charset val="1"/>
      </rPr>
      <t xml:space="preserve">69146/1.09*0.09/9*2</t>
    </r>
    <r>
      <rPr>
        <sz val="9"/>
        <color rgb="FF0000C0"/>
        <rFont val="WenQuanYi Zen Hei"/>
        <family val="2"/>
      </rPr>
      <t xml:space="preserve">，附加税是</t>
    </r>
    <r>
      <rPr>
        <sz val="9"/>
        <color rgb="FF0000C0"/>
        <rFont val="微软雅黑"/>
        <family val="0"/>
        <charset val="1"/>
      </rPr>
      <t xml:space="preserve">1268.73*0.12/2</t>
    </r>
  </si>
  <si>
    <t xml:space="preserve">金沁金湖东西会计交错税应退的</t>
  </si>
  <si>
    <r>
      <rPr>
        <sz val="9"/>
        <color rgb="FF0000C0"/>
        <rFont val="微软雅黑"/>
        <family val="0"/>
        <charset val="1"/>
      </rPr>
      <t xml:space="preserve">2026.5.20</t>
    </r>
    <r>
      <rPr>
        <sz val="9"/>
        <color rgb="FF0000C0"/>
        <rFont val="WenQuanYi Zen Hei"/>
        <family val="2"/>
      </rPr>
      <t xml:space="preserve">金沁开到民能：金湖东西（土建），管理费</t>
    </r>
    <r>
      <rPr>
        <sz val="9"/>
        <color rgb="FF0000C0"/>
        <rFont val="微软雅黑"/>
        <family val="0"/>
        <charset val="1"/>
      </rPr>
      <t xml:space="preserve">5%</t>
    </r>
  </si>
  <si>
    <r>
      <rPr>
        <sz val="9"/>
        <color rgb="FF0000C0"/>
        <rFont val="微软雅黑"/>
        <family val="0"/>
        <charset val="1"/>
      </rPr>
      <t xml:space="preserve">2026.5.21</t>
    </r>
    <r>
      <rPr>
        <sz val="9"/>
        <color rgb="FF0000C0"/>
        <rFont val="WenQuanYi Zen Hei"/>
        <family val="2"/>
      </rPr>
      <t xml:space="preserve">金沁开到民能：金湖东西（安装），管理费</t>
    </r>
    <r>
      <rPr>
        <sz val="9"/>
        <color rgb="FF0000C0"/>
        <rFont val="微软雅黑"/>
        <family val="0"/>
        <charset val="1"/>
      </rPr>
      <t xml:space="preserve">5%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</si>
  <si>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21</t>
    </r>
    <r>
      <rPr>
        <sz val="9"/>
        <color rgb="FF0000C0"/>
        <rFont val="WenQuanYi Zen Hei"/>
        <family val="2"/>
      </rPr>
      <t xml:space="preserve">日：预交金沁铜梁区园区屋顶分布式光伏发电建设项目</t>
    </r>
    <r>
      <rPr>
        <sz val="9"/>
        <color rgb="FF0000C0"/>
        <rFont val="微软雅黑"/>
        <family val="0"/>
        <charset val="1"/>
      </rPr>
      <t xml:space="preserve">-10kV</t>
    </r>
    <r>
      <rPr>
        <sz val="9"/>
        <color rgb="FF0000C0"/>
        <rFont val="WenQuanYi Zen Hei"/>
        <family val="2"/>
      </rPr>
      <t xml:space="preserve">电力新建工程印花税</t>
    </r>
    <r>
      <rPr>
        <sz val="9"/>
        <color rgb="FF0000C0"/>
        <rFont val="微软雅黑"/>
        <family val="0"/>
        <charset val="1"/>
      </rPr>
      <t xml:space="preserve">43.44</t>
    </r>
    <r>
      <rPr>
        <sz val="9"/>
        <color rgb="FF0000C0"/>
        <rFont val="WenQuanYi Zen Hei"/>
        <family val="2"/>
      </rPr>
      <t xml:space="preserve">元。</t>
    </r>
    <r>
      <rPr>
        <sz val="9"/>
        <color rgb="FF0000C0"/>
        <rFont val="微软雅黑"/>
        <family val="0"/>
        <charset val="1"/>
      </rPr>
      <t xml:space="preserve">22</t>
    </r>
    <r>
      <rPr>
        <sz val="9"/>
        <color rgb="FF0000C0"/>
        <rFont val="WenQuanYi Zen Hei"/>
        <family val="2"/>
      </rPr>
      <t xml:space="preserve">号增值税</t>
    </r>
    <r>
      <rPr>
        <sz val="9"/>
        <color rgb="FF0000C0"/>
        <rFont val="微软雅黑"/>
        <family val="0"/>
        <charset val="1"/>
      </rPr>
      <t xml:space="preserve">1944.95</t>
    </r>
    <r>
      <rPr>
        <sz val="9"/>
        <color rgb="FF0000C0"/>
        <rFont val="WenQuanYi Zen Hei"/>
        <family val="2"/>
      </rPr>
      <t xml:space="preserve">元（已报账）</t>
    </r>
  </si>
  <si>
    <r>
      <rPr>
        <sz val="9"/>
        <color rgb="FF0000C0"/>
        <rFont val="微软雅黑"/>
        <family val="0"/>
        <charset val="1"/>
      </rPr>
      <t xml:space="preserve">2026.5.22</t>
    </r>
    <r>
      <rPr>
        <sz val="9"/>
        <color rgb="FF0000C0"/>
        <rFont val="WenQuanYi Zen Hei"/>
        <family val="2"/>
      </rPr>
      <t xml:space="preserve">康欣开</t>
    </r>
    <r>
      <rPr>
        <sz val="9"/>
        <color rgb="FF0000C0"/>
        <rFont val="微软雅黑"/>
        <family val="0"/>
        <charset val="1"/>
      </rPr>
      <t xml:space="preserve">3%</t>
    </r>
    <r>
      <rPr>
        <sz val="9"/>
        <color rgb="FF0000C0"/>
        <rFont val="WenQuanYi Zen Hei"/>
        <family val="2"/>
      </rPr>
      <t xml:space="preserve">专票到金沁</t>
    </r>
    <r>
      <rPr>
        <sz val="9"/>
        <color rgb="FF0000C0"/>
        <rFont val="微软雅黑"/>
        <family val="0"/>
        <charset val="1"/>
      </rPr>
      <t xml:space="preserve">10W</t>
    </r>
    <r>
      <rPr>
        <sz val="9"/>
        <color rgb="FF0000C0"/>
        <rFont val="WenQuanYi Zen Hei"/>
        <family val="2"/>
      </rPr>
      <t xml:space="preserve">项目，管理费</t>
    </r>
    <r>
      <rPr>
        <sz val="9"/>
        <color rgb="FF0000C0"/>
        <rFont val="微软雅黑"/>
        <family val="0"/>
        <charset val="1"/>
      </rPr>
      <t xml:space="preserve">5%</t>
    </r>
    <r>
      <rPr>
        <sz val="9"/>
        <color rgb="FF0000C0"/>
        <rFont val="WenQuanYi Zen Hei"/>
        <family val="2"/>
      </rPr>
      <t xml:space="preserve">：电力新建工程（康欣</t>
    </r>
    <r>
      <rPr>
        <sz val="9"/>
        <color rgb="FF0000C0"/>
        <rFont val="微软雅黑"/>
        <family val="0"/>
        <charset val="1"/>
      </rPr>
      <t xml:space="preserve">3W</t>
    </r>
    <r>
      <rPr>
        <sz val="9"/>
        <color rgb="FF0000C0"/>
        <rFont val="WenQuanYi Zen Hei"/>
        <family val="2"/>
      </rPr>
      <t xml:space="preserve">，泓普</t>
    </r>
    <r>
      <rPr>
        <sz val="9"/>
        <color rgb="FF0000C0"/>
        <rFont val="微软雅黑"/>
        <family val="0"/>
        <charset val="1"/>
      </rPr>
      <t xml:space="preserve">7W</t>
    </r>
    <r>
      <rPr>
        <sz val="9"/>
        <color rgb="FF0000C0"/>
        <rFont val="WenQuanYi Zen Hei"/>
        <family val="2"/>
      </rPr>
      <t xml:space="preserve">）</t>
    </r>
  </si>
  <si>
    <r>
      <rPr>
        <sz val="9"/>
        <color rgb="FF0000C0"/>
        <rFont val="微软雅黑"/>
        <family val="0"/>
        <charset val="1"/>
      </rPr>
      <t xml:space="preserve">2026.5.22</t>
    </r>
    <r>
      <rPr>
        <sz val="9"/>
        <color rgb="FF0000C0"/>
        <rFont val="WenQuanYi Zen Hei"/>
        <family val="2"/>
      </rPr>
      <t xml:space="preserve">金沁开到民能：电力新建（康欣</t>
    </r>
    <r>
      <rPr>
        <sz val="9"/>
        <color rgb="FF0000C0"/>
        <rFont val="微软雅黑"/>
        <family val="0"/>
        <charset val="1"/>
      </rPr>
      <t xml:space="preserve">3W</t>
    </r>
    <r>
      <rPr>
        <sz val="9"/>
        <color rgb="FF0000C0"/>
        <rFont val="WenQuanYi Zen Hei"/>
        <family val="2"/>
      </rPr>
      <t xml:space="preserve">，泓普</t>
    </r>
    <r>
      <rPr>
        <sz val="9"/>
        <color rgb="FF0000C0"/>
        <rFont val="微软雅黑"/>
        <family val="0"/>
        <charset val="1"/>
      </rPr>
      <t xml:space="preserve">7W</t>
    </r>
    <r>
      <rPr>
        <sz val="9"/>
        <color rgb="FF0000C0"/>
        <rFont val="WenQuanYi Zen Hei"/>
        <family val="2"/>
      </rPr>
      <t xml:space="preserve">），管理费</t>
    </r>
    <r>
      <rPr>
        <sz val="9"/>
        <color rgb="FF0000C0"/>
        <rFont val="微软雅黑"/>
        <family val="0"/>
        <charset val="1"/>
      </rPr>
      <t xml:space="preserve">5%</t>
    </r>
  </si>
  <si>
    <r>
      <rPr>
        <sz val="9"/>
        <color rgb="FF0000C0"/>
        <rFont val="微软雅黑"/>
        <family val="0"/>
        <charset val="1"/>
      </rPr>
      <t xml:space="preserve">2026.5.26</t>
    </r>
    <r>
      <rPr>
        <sz val="9"/>
        <color rgb="FF0000C0"/>
        <rFont val="WenQuanYi Zen Hei"/>
        <family val="2"/>
      </rPr>
      <t xml:space="preserve">仟茂开到安锐：水羊线金鸡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（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）社</t>
    </r>
  </si>
  <si>
    <r>
      <rPr>
        <sz val="9"/>
        <color rgb="FF0000C0"/>
        <rFont val="微软雅黑"/>
        <family val="0"/>
        <charset val="1"/>
      </rPr>
      <t xml:space="preserve">2026.5.26</t>
    </r>
    <r>
      <rPr>
        <sz val="9"/>
        <color rgb="FF0000C0"/>
        <rFont val="WenQuanYi Zen Hei"/>
        <family val="2"/>
      </rPr>
      <t xml:space="preserve">仟茂开到安锐：龙羊线七佛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</si>
  <si>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2026.5.26</t>
    </r>
    <r>
      <rPr>
        <sz val="9"/>
        <color rgb="FF0000C0"/>
        <rFont val="WenQuanYi Zen Hei"/>
        <family val="2"/>
      </rPr>
      <t xml:space="preserve">仟茂开到安锐：少柏线团山</t>
    </r>
    <r>
      <rPr>
        <sz val="9"/>
        <color rgb="FF0000C0"/>
        <rFont val="微软雅黑"/>
        <family val="0"/>
        <charset val="1"/>
      </rPr>
      <t xml:space="preserve">7.6.11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</si>
  <si>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2026.5.26</t>
    </r>
    <r>
      <rPr>
        <sz val="9"/>
        <color rgb="FF0000C0"/>
        <rFont val="WenQuanYi Zen Hei"/>
        <family val="2"/>
      </rPr>
      <t xml:space="preserve">仟茂开到安锐：少柏线池塘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</si>
  <si>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2026.5.26</t>
    </r>
    <r>
      <rPr>
        <sz val="9"/>
        <color rgb="FF0000C0"/>
        <rFont val="WenQuanYi Zen Hei"/>
        <family val="2"/>
      </rPr>
      <t xml:space="preserve">仟茂开到安锐：平凉线惠丰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</si>
  <si>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</t>
    </r>
    <r>
      <rPr>
        <sz val="9"/>
        <color rgb="FF0000C0"/>
        <rFont val="WenQuanYi Zen Hei"/>
        <family val="2"/>
      </rPr>
      <t xml:space="preserve">月康欣代发社保及工资转款（打款到康欣）</t>
    </r>
  </si>
  <si>
    <r>
      <rPr>
        <sz val="9"/>
        <color rgb="FF0000C0"/>
        <rFont val="微软雅黑"/>
        <family val="0"/>
        <charset val="1"/>
      </rPr>
      <t xml:space="preserve">2026.6.2</t>
    </r>
    <r>
      <rPr>
        <sz val="9"/>
        <color rgb="FF0000C0"/>
        <rFont val="WenQuanYi Zen Hei"/>
        <family val="2"/>
      </rPr>
      <t xml:space="preserve">仟茂开到安锐：水羊线金鸡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（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）社</t>
    </r>
  </si>
  <si>
    <r>
      <rPr>
        <sz val="9"/>
        <color rgb="FF0000C0"/>
        <rFont val="微软雅黑"/>
        <family val="0"/>
        <charset val="1"/>
      </rPr>
      <t xml:space="preserve">2026.6.2</t>
    </r>
    <r>
      <rPr>
        <sz val="9"/>
        <color rgb="FF0000C0"/>
        <rFont val="WenQuanYi Zen Hei"/>
        <family val="2"/>
      </rPr>
      <t xml:space="preserve">仟茂开到安锐：龙羊线七佛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</si>
  <si>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</t>
    </r>
    <r>
      <rPr>
        <sz val="9"/>
        <color rgb="FF0000C0"/>
        <rFont val="WenQuanYi Zen Hei"/>
        <family val="2"/>
      </rPr>
      <t xml:space="preserve">仟茂开到安锐：少柏线团山</t>
    </r>
    <r>
      <rPr>
        <sz val="9"/>
        <color rgb="FF0000C0"/>
        <rFont val="微软雅黑"/>
        <family val="0"/>
        <charset val="1"/>
      </rPr>
      <t xml:space="preserve">7.6.11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</si>
  <si>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</t>
    </r>
    <r>
      <rPr>
        <sz val="9"/>
        <color rgb="FF0000C0"/>
        <rFont val="WenQuanYi Zen Hei"/>
        <family val="2"/>
      </rPr>
      <t xml:space="preserve">仟茂开到安锐：少柏线池塘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</si>
  <si>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</t>
    </r>
    <r>
      <rPr>
        <sz val="9"/>
        <color rgb="FF0000C0"/>
        <rFont val="WenQuanYi Zen Hei"/>
        <family val="2"/>
      </rPr>
      <t xml:space="preserve">仟茂开到安锐：平凉线惠丰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</si>
  <si>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2026.6.3</t>
    </r>
    <r>
      <rPr>
        <sz val="9"/>
        <color rgb="FF0000C0"/>
        <rFont val="WenQuanYi Zen Hei"/>
        <family val="2"/>
      </rPr>
      <t xml:space="preserve">陈秋平交税</t>
    </r>
  </si>
  <si>
    <r>
      <rPr>
        <sz val="9"/>
        <color rgb="FF0000C0"/>
        <rFont val="微软雅黑"/>
        <family val="0"/>
        <charset val="1"/>
      </rPr>
      <t xml:space="preserve">2026.6.4</t>
    </r>
    <r>
      <rPr>
        <sz val="9"/>
        <color rgb="FF0000C0"/>
        <rFont val="WenQuanYi Zen Hei"/>
        <family val="2"/>
      </rPr>
      <t xml:space="preserve">德誉佳打款给安锐</t>
    </r>
  </si>
  <si>
    <r>
      <rPr>
        <sz val="9"/>
        <color rgb="FF0000C0"/>
        <rFont val="微软雅黑"/>
        <family val="0"/>
        <charset val="1"/>
      </rPr>
      <t xml:space="preserve">2026.6.8</t>
    </r>
    <r>
      <rPr>
        <sz val="9"/>
        <color rgb="FF0000C0"/>
        <rFont val="WenQuanYi Zen Hei"/>
        <family val="2"/>
      </rPr>
      <t xml:space="preserve">号康欣开劳务票到民能：桥亭水云居（项目</t>
    </r>
    <r>
      <rPr>
        <sz val="9"/>
        <color rgb="FF0000C0"/>
        <rFont val="微软雅黑"/>
        <family val="0"/>
        <charset val="1"/>
      </rPr>
      <t xml:space="preserve">8W,</t>
    </r>
    <r>
      <rPr>
        <sz val="9"/>
        <color rgb="FF0000C0"/>
        <rFont val="WenQuanYi Zen Hei"/>
        <family val="2"/>
      </rPr>
      <t xml:space="preserve">其中康欣</t>
    </r>
    <r>
      <rPr>
        <sz val="9"/>
        <color rgb="FF0000C0"/>
        <rFont val="微软雅黑"/>
        <family val="0"/>
        <charset val="1"/>
      </rPr>
      <t xml:space="preserve">3w,</t>
    </r>
    <r>
      <rPr>
        <sz val="9"/>
        <color rgb="FF0000C0"/>
        <rFont val="WenQuanYi Zen Hei"/>
        <family val="2"/>
      </rPr>
      <t xml:space="preserve">泓普</t>
    </r>
    <r>
      <rPr>
        <sz val="9"/>
        <color rgb="FF0000C0"/>
        <rFont val="微软雅黑"/>
        <family val="0"/>
        <charset val="1"/>
      </rPr>
      <t xml:space="preserve">5W</t>
    </r>
    <r>
      <rPr>
        <sz val="9"/>
        <color rgb="FF0000C0"/>
        <rFont val="WenQuanYi Zen Hei"/>
        <family val="2"/>
      </rPr>
      <t xml:space="preserve">）</t>
    </r>
  </si>
  <si>
    <r>
      <rPr>
        <sz val="9"/>
        <color rgb="FF0000C0"/>
        <rFont val="微软雅黑"/>
        <family val="0"/>
        <charset val="1"/>
      </rPr>
      <t xml:space="preserve">2026.6.15</t>
    </r>
    <r>
      <rPr>
        <sz val="9"/>
        <color rgb="FF0000C0"/>
        <rFont val="WenQuanYi Zen Hei"/>
        <family val="2"/>
      </rPr>
      <t xml:space="preserve">康欣开到金沁：平滩所何银强</t>
    </r>
  </si>
  <si>
    <r>
      <rPr>
        <sz val="9"/>
        <color rgb="FF0000C0"/>
        <rFont val="微软雅黑"/>
        <family val="0"/>
        <charset val="1"/>
      </rPr>
      <t xml:space="preserve">2026.6.15</t>
    </r>
    <r>
      <rPr>
        <sz val="9"/>
        <color rgb="FF0000C0"/>
        <rFont val="WenQuanYi Zen Hei"/>
        <family val="2"/>
      </rPr>
      <t xml:space="preserve">康欣开到金沁：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电力新建工程，补金沁开票税差</t>
    </r>
    <r>
      <rPr>
        <sz val="9"/>
        <color rgb="FF0000C0"/>
        <rFont val="微软雅黑"/>
        <family val="0"/>
        <charset val="1"/>
      </rPr>
      <t xml:space="preserve">2357.68</t>
    </r>
    <r>
      <rPr>
        <sz val="9"/>
        <color rgb="FF0000C0"/>
        <rFont val="WenQuanYi Zen Hei"/>
        <family val="2"/>
      </rPr>
      <t xml:space="preserve">（已交</t>
    </r>
    <r>
      <rPr>
        <sz val="9"/>
        <color rgb="FF0000C0"/>
        <rFont val="微软雅黑"/>
        <family val="0"/>
        <charset val="1"/>
      </rPr>
      <t xml:space="preserve">1988.39</t>
    </r>
    <r>
      <rPr>
        <sz val="9"/>
        <color rgb="FF0000C0"/>
        <rFont val="WenQuanYi Zen Hei"/>
        <family val="2"/>
      </rPr>
      <t xml:space="preserve">），康欣开票税费</t>
    </r>
    <r>
      <rPr>
        <sz val="9"/>
        <color rgb="FF0000C0"/>
        <rFont val="微软雅黑"/>
        <family val="0"/>
        <charset val="1"/>
      </rPr>
      <t xml:space="preserve">2182.23</t>
    </r>
  </si>
  <si>
    <r>
      <rPr>
        <sz val="9"/>
        <color rgb="FF0000C0"/>
        <rFont val="微软雅黑"/>
        <family val="0"/>
        <charset val="1"/>
      </rPr>
      <t xml:space="preserve">2026.6.15</t>
    </r>
    <r>
      <rPr>
        <sz val="9"/>
        <color rgb="FF0000C0"/>
        <rFont val="WenQuanYi Zen Hei"/>
        <family val="2"/>
      </rPr>
      <t xml:space="preserve">康欣开到金沁：金湖东西（土建）</t>
    </r>
  </si>
  <si>
    <r>
      <rPr>
        <sz val="9"/>
        <color rgb="FF0000C0"/>
        <rFont val="WenQuanYi Zen Hei"/>
        <family val="2"/>
      </rPr>
      <t xml:space="preserve">与 康欣</t>
    </r>
    <r>
      <rPr>
        <sz val="9"/>
        <color rgb="FF0000C0"/>
        <rFont val="微软雅黑"/>
        <family val="0"/>
        <charset val="1"/>
      </rPr>
      <t xml:space="preserve">!37 </t>
    </r>
    <r>
      <rPr>
        <sz val="9"/>
        <color rgb="FF0000C0"/>
        <rFont val="WenQuanYi Zen Hei"/>
        <family val="2"/>
      </rPr>
      <t xml:space="preserve">为同一张票，只计一次</t>
    </r>
  </si>
  <si>
    <r>
      <rPr>
        <sz val="9"/>
        <color rgb="FF0000C0"/>
        <rFont val="微软雅黑"/>
        <family val="0"/>
        <charset val="1"/>
      </rPr>
      <t xml:space="preserve">2026.6.15</t>
    </r>
    <r>
      <rPr>
        <sz val="9"/>
        <color rgb="FF0000C0"/>
        <rFont val="WenQuanYi Zen Hei"/>
        <family val="2"/>
      </rPr>
      <t xml:space="preserve">康欣开到金沁：金湖东西（安装）</t>
    </r>
  </si>
  <si>
    <r>
      <rPr>
        <sz val="9"/>
        <color rgb="FF0000C0"/>
        <rFont val="WenQuanYi Zen Hei"/>
        <family val="2"/>
      </rPr>
      <t xml:space="preserve">与 康欣</t>
    </r>
    <r>
      <rPr>
        <sz val="9"/>
        <color rgb="FF0000C0"/>
        <rFont val="微软雅黑"/>
        <family val="0"/>
        <charset val="1"/>
      </rPr>
      <t xml:space="preserve">!38 </t>
    </r>
    <r>
      <rPr>
        <sz val="9"/>
        <color rgb="FF0000C0"/>
        <rFont val="WenQuanYi Zen Hei"/>
        <family val="2"/>
      </rPr>
      <t xml:space="preserve">为同一张票，只计一次</t>
    </r>
  </si>
  <si>
    <r>
      <rPr>
        <sz val="9"/>
        <color rgb="FF0000C0"/>
        <rFont val="微软雅黑"/>
        <family val="0"/>
        <charset val="1"/>
      </rPr>
      <t xml:space="preserve">2026.6.15</t>
    </r>
    <r>
      <rPr>
        <sz val="9"/>
        <color rgb="FF0000C0"/>
        <rFont val="WenQuanYi Zen Hei"/>
        <family val="2"/>
      </rPr>
      <t xml:space="preserve">康欣开到金沁：电力新建（康欣</t>
    </r>
    <r>
      <rPr>
        <sz val="9"/>
        <color rgb="FF0000C0"/>
        <rFont val="微软雅黑"/>
        <family val="0"/>
        <charset val="1"/>
      </rPr>
      <t xml:space="preserve">3W</t>
    </r>
    <r>
      <rPr>
        <sz val="9"/>
        <color rgb="FF0000C0"/>
        <rFont val="WenQuanYi Zen Hei"/>
        <family val="2"/>
      </rPr>
      <t xml:space="preserve">，泓普</t>
    </r>
    <r>
      <rPr>
        <sz val="9"/>
        <color rgb="FF0000C0"/>
        <rFont val="微软雅黑"/>
        <family val="0"/>
        <charset val="1"/>
      </rPr>
      <t xml:space="preserve">7W</t>
    </r>
    <r>
      <rPr>
        <sz val="9"/>
        <color rgb="FF0000C0"/>
        <rFont val="WenQuanYi Zen Hei"/>
        <family val="2"/>
      </rPr>
      <t xml:space="preserve">）</t>
    </r>
  </si>
  <si>
    <r>
      <rPr>
        <sz val="9"/>
        <color rgb="FF0000C0"/>
        <rFont val="WenQuanYi Zen Hei"/>
        <family val="2"/>
      </rPr>
      <t xml:space="preserve">与 康欣</t>
    </r>
    <r>
      <rPr>
        <sz val="9"/>
        <color rgb="FF0000C0"/>
        <rFont val="微软雅黑"/>
        <family val="0"/>
        <charset val="1"/>
      </rPr>
      <t xml:space="preserve">!50 </t>
    </r>
    <r>
      <rPr>
        <sz val="9"/>
        <color rgb="FF0000C0"/>
        <rFont val="WenQuanYi Zen Hei"/>
        <family val="2"/>
      </rPr>
      <t xml:space="preserve">为同一张票，只计一次</t>
    </r>
  </si>
  <si>
    <r>
      <rPr>
        <sz val="9"/>
        <color rgb="FF0000C0"/>
        <rFont val="WenQuanYi Zen Hei"/>
        <family val="2"/>
      </rPr>
      <t xml:space="preserve">与 康欣</t>
    </r>
    <r>
      <rPr>
        <sz val="9"/>
        <color rgb="FF0000C0"/>
        <rFont val="微软雅黑"/>
        <family val="0"/>
        <charset val="1"/>
      </rPr>
      <t xml:space="preserve">!34 </t>
    </r>
    <r>
      <rPr>
        <sz val="9"/>
        <color rgb="FF0000C0"/>
        <rFont val="WenQuanYi Zen Hei"/>
        <family val="2"/>
      </rPr>
      <t xml:space="preserve">为同一张票，只计一次</t>
    </r>
  </si>
  <si>
    <r>
      <rPr>
        <sz val="9"/>
        <color rgb="FF0000C0"/>
        <rFont val="微软雅黑"/>
        <family val="0"/>
        <charset val="1"/>
      </rPr>
      <t xml:space="preserve">2026.6.16</t>
    </r>
    <r>
      <rPr>
        <sz val="9"/>
        <color rgb="FF0000C0"/>
        <rFont val="WenQuanYi Zen Hei"/>
        <family val="2"/>
      </rPr>
      <t xml:space="preserve">金沁开到民能：金湖东西（安装）</t>
    </r>
  </si>
  <si>
    <r>
      <rPr>
        <sz val="9"/>
        <color rgb="FF0000C0"/>
        <rFont val="微软雅黑"/>
        <family val="0"/>
        <charset val="1"/>
      </rPr>
      <t xml:space="preserve">2026.6.16</t>
    </r>
    <r>
      <rPr>
        <sz val="9"/>
        <color rgb="FF0000C0"/>
        <rFont val="WenQuanYi Zen Hei"/>
        <family val="2"/>
      </rPr>
      <t xml:space="preserve">金沁开到民能：金湖东西（土建）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</si>
  <si>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16</t>
    </r>
    <r>
      <rPr>
        <sz val="9"/>
        <color rgb="FF0000C0"/>
        <rFont val="WenQuanYi Zen Hei"/>
        <family val="2"/>
      </rPr>
      <t xml:space="preserve">日：预交金沁国网重庆铜梁公司</t>
    </r>
    <r>
      <rPr>
        <sz val="9"/>
        <color rgb="FF0000C0"/>
        <rFont val="微软雅黑"/>
        <family val="0"/>
        <charset val="1"/>
      </rPr>
      <t xml:space="preserve">110kV</t>
    </r>
    <r>
      <rPr>
        <sz val="9"/>
        <color rgb="FF0000C0"/>
        <rFont val="WenQuanYi Zen Hei"/>
        <family val="2"/>
      </rPr>
      <t xml:space="preserve">金湖东西电缆改造增值税合计：</t>
    </r>
    <r>
      <rPr>
        <sz val="9"/>
        <color rgb="FF0000C0"/>
        <rFont val="微软雅黑"/>
        <family val="0"/>
        <charset val="1"/>
      </rPr>
      <t xml:space="preserve">692.49</t>
    </r>
    <r>
      <rPr>
        <sz val="9"/>
        <color rgb="FF0000C0"/>
        <rFont val="WenQuanYi Zen Hei"/>
        <family val="2"/>
      </rPr>
      <t xml:space="preserve">元（已报账）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</si>
  <si>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16</t>
    </r>
    <r>
      <rPr>
        <sz val="9"/>
        <color rgb="FF0000C0"/>
        <rFont val="WenQuanYi Zen Hei"/>
        <family val="2"/>
      </rPr>
      <t xml:space="preserve">日：预交金沁国网重庆铜梁公司</t>
    </r>
    <r>
      <rPr>
        <sz val="9"/>
        <color rgb="FF0000C0"/>
        <rFont val="微软雅黑"/>
        <family val="0"/>
        <charset val="1"/>
      </rPr>
      <t xml:space="preserve">110kV</t>
    </r>
    <r>
      <rPr>
        <sz val="9"/>
        <color rgb="FF0000C0"/>
        <rFont val="WenQuanYi Zen Hei"/>
        <family val="2"/>
      </rPr>
      <t xml:space="preserve">金湖东西电缆改造增值税合计：</t>
    </r>
    <r>
      <rPr>
        <sz val="9"/>
        <color rgb="FF0000C0"/>
        <rFont val="微软雅黑"/>
        <family val="0"/>
        <charset val="1"/>
      </rPr>
      <t xml:space="preserve">1413.82</t>
    </r>
    <r>
      <rPr>
        <sz val="9"/>
        <color rgb="FF0000C0"/>
        <rFont val="WenQuanYi Zen Hei"/>
        <family val="2"/>
      </rPr>
      <t xml:space="preserve">元</t>
    </r>
  </si>
  <si>
    <r>
      <rPr>
        <sz val="9"/>
        <color rgb="FF0000C0"/>
        <rFont val="微软雅黑"/>
        <family val="0"/>
        <charset val="1"/>
      </rPr>
      <t xml:space="preserve">14%</t>
    </r>
    <r>
      <rPr>
        <sz val="9"/>
        <color rgb="FF0000C0"/>
        <rFont val="WenQuanYi Zen Hei"/>
        <family val="2"/>
      </rPr>
      <t xml:space="preserve">专票</t>
    </r>
  </si>
  <si>
    <r>
      <rPr>
        <sz val="9"/>
        <color rgb="FF0000C0"/>
        <rFont val="微软雅黑"/>
        <family val="0"/>
        <charset val="1"/>
      </rPr>
      <t xml:space="preserve">2026.6.17</t>
    </r>
    <r>
      <rPr>
        <sz val="9"/>
        <color rgb="FF0000C0"/>
        <rFont val="WenQuanYi Zen Hei"/>
        <family val="2"/>
      </rPr>
      <t xml:space="preserve">仟茂开票到德誉佳：金湖东西线</t>
    </r>
  </si>
  <si>
    <r>
      <rPr>
        <sz val="9"/>
        <color rgb="FF0000C0"/>
        <rFont val="微软雅黑"/>
        <family val="0"/>
        <charset val="1"/>
      </rPr>
      <t xml:space="preserve">2026.6.18 </t>
    </r>
    <r>
      <rPr>
        <sz val="9"/>
        <color rgb="FF0000C0"/>
        <rFont val="WenQuanYi Zen Hei"/>
        <family val="2"/>
      </rPr>
      <t xml:space="preserve">德誉佳开票到民能：金湖东西线</t>
    </r>
  </si>
  <si>
    <r>
      <rPr>
        <sz val="9"/>
        <color rgb="FF0000C0"/>
        <rFont val="微软雅黑"/>
        <family val="0"/>
        <charset val="1"/>
      </rPr>
      <t xml:space="preserve">2026.6.18</t>
    </r>
    <r>
      <rPr>
        <sz val="9"/>
        <color rgb="FF0000C0"/>
        <rFont val="WenQuanYi Zen Hei"/>
        <family val="2"/>
      </rPr>
      <t xml:space="preserve">德誉佳开票到民能：金湖东西线</t>
    </r>
  </si>
  <si>
    <r>
      <rPr>
        <sz val="9"/>
        <color rgb="FF0000C0"/>
        <rFont val="微软雅黑"/>
        <family val="0"/>
        <charset val="1"/>
      </rPr>
      <t xml:space="preserve">2026.6.18</t>
    </r>
    <r>
      <rPr>
        <sz val="9"/>
        <color rgb="FF0000C0"/>
        <rFont val="WenQuanYi Zen Hei"/>
        <family val="2"/>
      </rPr>
      <t xml:space="preserve">仟茂开票到德誉佳：金湖东西线</t>
    </r>
  </si>
  <si>
    <r>
      <rPr>
        <sz val="9"/>
        <color rgb="FF0000C0"/>
        <rFont val="微软雅黑"/>
        <family val="0"/>
        <charset val="1"/>
      </rPr>
      <t xml:space="preserve">2026.6.22</t>
    </r>
    <r>
      <rPr>
        <sz val="9"/>
        <color rgb="FF0000C0"/>
        <rFont val="WenQuanYi Zen Hei"/>
        <family val="2"/>
      </rPr>
      <t xml:space="preserve">华城开劳务票到民能：黄荆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社和三湾</t>
    </r>
    <r>
      <rPr>
        <sz val="9"/>
        <color rgb="FF0000C0"/>
        <rFont val="微软雅黑"/>
        <family val="0"/>
        <charset val="1"/>
      </rPr>
      <t xml:space="preserve">1.2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</si>
  <si>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2026.6.22</t>
    </r>
    <r>
      <rPr>
        <sz val="9"/>
        <color rgb="FF0000C0"/>
        <rFont val="WenQuanYi Zen Hei"/>
        <family val="2"/>
      </rPr>
      <t xml:space="preserve">泓普开劳务票到华城：黄荆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社和三湾</t>
    </r>
    <r>
      <rPr>
        <sz val="9"/>
        <color rgb="FF0000C0"/>
        <rFont val="微软雅黑"/>
        <family val="0"/>
        <charset val="1"/>
      </rPr>
      <t xml:space="preserve">1.2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</si>
  <si>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22</t>
    </r>
    <r>
      <rPr>
        <sz val="9"/>
        <color rgb="FF0000C0"/>
        <rFont val="WenQuanYi Zen Hei"/>
        <family val="2"/>
      </rPr>
      <t xml:space="preserve">日：陈秋平交金沁开重庆铜梁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侣新线凤飞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社台区重过载治理工程票印花税</t>
    </r>
    <r>
      <rPr>
        <sz val="9"/>
        <color rgb="FF0000C0"/>
        <rFont val="微软雅黑"/>
        <family val="0"/>
        <charset val="1"/>
      </rPr>
      <t xml:space="preserve">2.44</t>
    </r>
    <r>
      <rPr>
        <sz val="9"/>
        <color rgb="FF0000C0"/>
        <rFont val="WenQuanYi Zen Hei"/>
        <family val="2"/>
      </rPr>
      <t xml:space="preserve">元</t>
    </r>
  </si>
  <si>
    <r>
      <rPr>
        <sz val="9"/>
        <color rgb="FF0000C0"/>
        <rFont val="微软雅黑"/>
        <family val="0"/>
        <charset val="1"/>
      </rPr>
      <t xml:space="preserve">2026.6.23</t>
    </r>
    <r>
      <rPr>
        <sz val="9"/>
        <color rgb="FF0000C0"/>
        <rFont val="WenQuanYi Zen Hei"/>
        <family val="2"/>
      </rPr>
      <t xml:space="preserve">转迅驰交税费给那个汪友琼</t>
    </r>
    <r>
      <rPr>
        <sz val="9"/>
        <color rgb="FF0000C0"/>
        <rFont val="微软雅黑"/>
        <family val="0"/>
        <charset val="1"/>
      </rPr>
      <t xml:space="preserve">1679.77</t>
    </r>
    <r>
      <rPr>
        <sz val="9"/>
        <color rgb="FF0000C0"/>
        <rFont val="WenQuanYi Zen Hei"/>
        <family val="2"/>
      </rPr>
      <t xml:space="preserve">元，</t>
    </r>
    <r>
      <rPr>
        <sz val="9"/>
        <color rgb="FF0000C0"/>
        <rFont val="微软雅黑"/>
        <family val="0"/>
        <charset val="1"/>
      </rPr>
      <t xml:space="preserve">6.23</t>
    </r>
    <r>
      <rPr>
        <sz val="9"/>
        <color rgb="FF0000C0"/>
        <rFont val="WenQuanYi Zen Hei"/>
        <family val="2"/>
      </rPr>
      <t xml:space="preserve">号迅驰开票总金额</t>
    </r>
    <r>
      <rPr>
        <sz val="9"/>
        <color rgb="FF0000C0"/>
        <rFont val="微软雅黑"/>
        <family val="0"/>
        <charset val="1"/>
      </rPr>
      <t xml:space="preserve">20571.13</t>
    </r>
    <r>
      <rPr>
        <sz val="9"/>
        <color rgb="FF0000C0"/>
        <rFont val="WenQuanYi Zen Hei"/>
        <family val="2"/>
      </rPr>
      <t xml:space="preserve">（</t>
    </r>
    <r>
      <rPr>
        <sz val="9"/>
        <color rgb="FF0000C0"/>
        <rFont val="微软雅黑"/>
        <family val="0"/>
        <charset val="1"/>
      </rPr>
      <t xml:space="preserve">9%</t>
    </r>
    <r>
      <rPr>
        <sz val="9"/>
        <color rgb="FF0000C0"/>
        <rFont val="WenQuanYi Zen Hei"/>
        <family val="2"/>
      </rPr>
      <t xml:space="preserve">）减去实际开票</t>
    </r>
    <r>
      <rPr>
        <sz val="9"/>
        <color rgb="FF0000C0"/>
        <rFont val="微软雅黑"/>
        <family val="0"/>
        <charset val="1"/>
      </rPr>
      <t xml:space="preserve">7194.31</t>
    </r>
    <r>
      <rPr>
        <sz val="9"/>
        <color rgb="FF0000C0"/>
        <rFont val="WenQuanYi Zen Hei"/>
        <family val="2"/>
      </rPr>
      <t xml:space="preserve">（</t>
    </r>
    <r>
      <rPr>
        <sz val="9"/>
        <color rgb="FF0000C0"/>
        <rFont val="微软雅黑"/>
        <family val="0"/>
        <charset val="1"/>
      </rPr>
      <t xml:space="preserve">3%</t>
    </r>
    <r>
      <rPr>
        <sz val="9"/>
        <color rgb="FF0000C0"/>
        <rFont val="WenQuanYi Zen Hei"/>
        <family val="2"/>
      </rPr>
      <t xml:space="preserve">）差额</t>
    </r>
    <r>
      <rPr>
        <sz val="9"/>
        <color rgb="FF0000C0"/>
        <rFont val="微软雅黑"/>
        <family val="0"/>
        <charset val="1"/>
      </rPr>
      <t xml:space="preserve">1488.99+</t>
    </r>
    <r>
      <rPr>
        <sz val="9"/>
        <color rgb="FF0000C0"/>
        <rFont val="WenQuanYi Zen Hei"/>
        <family val="2"/>
      </rPr>
      <t xml:space="preserve">附加</t>
    </r>
    <r>
      <rPr>
        <sz val="9"/>
        <color rgb="FF0000C0"/>
        <rFont val="微软雅黑"/>
        <family val="0"/>
        <charset val="1"/>
      </rPr>
      <t xml:space="preserve">178.68+</t>
    </r>
    <r>
      <rPr>
        <sz val="9"/>
        <color rgb="FF0000C0"/>
        <rFont val="WenQuanYi Zen Hei"/>
        <family val="2"/>
      </rPr>
      <t xml:space="preserve">印花</t>
    </r>
    <r>
      <rPr>
        <sz val="9"/>
        <color rgb="FF0000C0"/>
        <rFont val="微软雅黑"/>
        <family val="0"/>
        <charset val="1"/>
      </rPr>
      <t xml:space="preserve">12.1</t>
    </r>
  </si>
  <si>
    <r>
      <rPr>
        <sz val="9"/>
        <color rgb="FF0000C0"/>
        <rFont val="微软雅黑"/>
        <family val="0"/>
        <charset val="1"/>
      </rPr>
      <t xml:space="preserve">2026.6.23</t>
    </r>
    <r>
      <rPr>
        <sz val="9"/>
        <color rgb="FF0000C0"/>
        <rFont val="WenQuanYi Zen Hei"/>
        <family val="2"/>
      </rPr>
      <t xml:space="preserve">金沁开到民能：侣新线铜安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社，金沁开票金额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管理费</t>
    </r>
    <r>
      <rPr>
        <sz val="9"/>
        <color rgb="FF0000C0"/>
        <rFont val="微软雅黑"/>
        <family val="0"/>
        <charset val="1"/>
      </rPr>
      <t xml:space="preserve">5%-</t>
    </r>
    <r>
      <rPr>
        <sz val="9"/>
        <color rgb="FF0000C0"/>
        <rFont val="WenQuanYi Zen Hei"/>
        <family val="2"/>
      </rPr>
      <t xml:space="preserve">印花税差额</t>
    </r>
    <r>
      <rPr>
        <sz val="9"/>
        <color rgb="FF0000C0"/>
        <rFont val="微软雅黑"/>
        <family val="0"/>
        <charset val="1"/>
      </rPr>
      <t xml:space="preserve">30.8</t>
    </r>
  </si>
  <si>
    <r>
      <rPr>
        <sz val="9"/>
        <color rgb="FF0000C0"/>
        <rFont val="微软雅黑"/>
        <family val="0"/>
        <charset val="1"/>
      </rPr>
      <t xml:space="preserve">2026.6.23</t>
    </r>
    <r>
      <rPr>
        <sz val="9"/>
        <color rgb="FF0000C0"/>
        <rFont val="WenQuanYi Zen Hei"/>
        <family val="2"/>
      </rPr>
      <t xml:space="preserve">金沁开到民能：侣新线铜安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社，金沁开票金额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管理费</t>
    </r>
    <r>
      <rPr>
        <sz val="9"/>
        <color rgb="FF0000C0"/>
        <rFont val="微软雅黑"/>
        <family val="0"/>
        <charset val="1"/>
      </rPr>
      <t xml:space="preserve">5%-</t>
    </r>
    <r>
      <rPr>
        <sz val="9"/>
        <color rgb="FF0000C0"/>
        <rFont val="WenQuanYi Zen Hei"/>
        <family val="2"/>
      </rPr>
      <t xml:space="preserve">印花税差额</t>
    </r>
    <r>
      <rPr>
        <sz val="9"/>
        <color rgb="FF0000C0"/>
        <rFont val="微软雅黑"/>
        <family val="0"/>
        <charset val="1"/>
      </rPr>
      <t xml:space="preserve">30.8</t>
    </r>
  </si>
  <si>
    <r>
      <rPr>
        <sz val="9"/>
        <color rgb="FF0000C0"/>
        <rFont val="微软雅黑"/>
        <family val="0"/>
        <charset val="1"/>
      </rPr>
      <t xml:space="preserve">2026.6.23</t>
    </r>
    <r>
      <rPr>
        <sz val="9"/>
        <color rgb="FF0000C0"/>
        <rFont val="WenQuanYi Zen Hei"/>
        <family val="2"/>
      </rPr>
      <t xml:space="preserve">金沁开到民能：平双线群益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社，金沁开票金额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管理费</t>
    </r>
    <r>
      <rPr>
        <sz val="9"/>
        <color rgb="FF0000C0"/>
        <rFont val="微软雅黑"/>
        <family val="0"/>
        <charset val="1"/>
      </rPr>
      <t xml:space="preserve">5%-</t>
    </r>
    <r>
      <rPr>
        <sz val="9"/>
        <color rgb="FF0000C0"/>
        <rFont val="WenQuanYi Zen Hei"/>
        <family val="2"/>
      </rPr>
      <t xml:space="preserve">印花税差额</t>
    </r>
    <r>
      <rPr>
        <sz val="9"/>
        <color rgb="FF0000C0"/>
        <rFont val="微软雅黑"/>
        <family val="0"/>
        <charset val="1"/>
      </rPr>
      <t xml:space="preserve">30.8</t>
    </r>
  </si>
  <si>
    <r>
      <rPr>
        <sz val="9"/>
        <color rgb="FF0000C0"/>
        <rFont val="微软雅黑"/>
        <family val="0"/>
        <charset val="1"/>
      </rPr>
      <t xml:space="preserve">2026.6.23</t>
    </r>
    <r>
      <rPr>
        <sz val="9"/>
        <color rgb="FF0000C0"/>
        <rFont val="WenQuanYi Zen Hei"/>
        <family val="2"/>
      </rPr>
      <t xml:space="preserve">金沁开到民能：平镇线新桥社，金沁开票金额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管理费</t>
    </r>
    <r>
      <rPr>
        <sz val="9"/>
        <color rgb="FF0000C0"/>
        <rFont val="微软雅黑"/>
        <family val="0"/>
        <charset val="1"/>
      </rPr>
      <t xml:space="preserve">5%-</t>
    </r>
    <r>
      <rPr>
        <sz val="9"/>
        <color rgb="FF0000C0"/>
        <rFont val="WenQuanYi Zen Hei"/>
        <family val="2"/>
      </rPr>
      <t xml:space="preserve">印花税差额</t>
    </r>
    <r>
      <rPr>
        <sz val="9"/>
        <color rgb="FF0000C0"/>
        <rFont val="微软雅黑"/>
        <family val="0"/>
        <charset val="1"/>
      </rPr>
      <t xml:space="preserve">30.8</t>
    </r>
  </si>
  <si>
    <r>
      <rPr>
        <sz val="9"/>
        <color rgb="FF0000C0"/>
        <rFont val="微软雅黑"/>
        <family val="0"/>
        <charset val="1"/>
      </rPr>
      <t xml:space="preserve">2026.6.23</t>
    </r>
    <r>
      <rPr>
        <sz val="9"/>
        <color rgb="FF0000C0"/>
        <rFont val="WenQuanYi Zen Hei"/>
        <family val="2"/>
      </rPr>
      <t xml:space="preserve">金沁开到民能：侣新线凤飞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社，金沁开票金额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管理费</t>
    </r>
    <r>
      <rPr>
        <sz val="9"/>
        <color rgb="FF0000C0"/>
        <rFont val="微软雅黑"/>
        <family val="0"/>
        <charset val="1"/>
      </rPr>
      <t xml:space="preserve">5%-</t>
    </r>
    <r>
      <rPr>
        <sz val="9"/>
        <color rgb="FF0000C0"/>
        <rFont val="WenQuanYi Zen Hei"/>
        <family val="2"/>
      </rPr>
      <t xml:space="preserve">印花税差额</t>
    </r>
    <r>
      <rPr>
        <sz val="9"/>
        <color rgb="FF0000C0"/>
        <rFont val="微软雅黑"/>
        <family val="0"/>
        <charset val="1"/>
      </rPr>
      <t xml:space="preserve">30.8</t>
    </r>
  </si>
  <si>
    <r>
      <rPr>
        <sz val="9"/>
        <color rgb="FF0000C0"/>
        <rFont val="微软雅黑"/>
        <family val="0"/>
        <charset val="1"/>
      </rPr>
      <t xml:space="preserve">6.24</t>
    </r>
    <r>
      <rPr>
        <sz val="9"/>
        <color rgb="FF0000C0"/>
        <rFont val="WenQuanYi Zen Hei"/>
        <family val="2"/>
      </rPr>
      <t xml:space="preserve">金沁罗会计对账：成本票扣除税差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</si>
  <si>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23</t>
    </r>
    <r>
      <rPr>
        <sz val="9"/>
        <color rgb="FF0000C0"/>
        <rFont val="WenQuanYi Zen Hei"/>
        <family val="2"/>
      </rPr>
      <t xml:space="preserve">日：陈秋平交金沁开重庆铜梁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平镇线新桥社台区重过载治理工程票印花税</t>
    </r>
    <r>
      <rPr>
        <sz val="9"/>
        <color rgb="FF0000C0"/>
        <rFont val="微软雅黑"/>
        <family val="0"/>
        <charset val="1"/>
      </rPr>
      <t xml:space="preserve">1.71</t>
    </r>
    <r>
      <rPr>
        <sz val="9"/>
        <color rgb="FF0000C0"/>
        <rFont val="WenQuanYi Zen Hei"/>
        <family val="2"/>
      </rPr>
      <t xml:space="preserve">元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</si>
  <si>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23</t>
    </r>
    <r>
      <rPr>
        <sz val="9"/>
        <color rgb="FF0000C0"/>
        <rFont val="WenQuanYi Zen Hei"/>
        <family val="2"/>
      </rPr>
      <t xml:space="preserve">日：陈秋平交金沁开重庆铜梁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平双线群益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社台区重过载治理工程，重庆铜梁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侣新线铜安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社台区重过载治理工程印花税</t>
    </r>
    <r>
      <rPr>
        <sz val="9"/>
        <color rgb="FF0000C0"/>
        <rFont val="微软雅黑"/>
        <family val="0"/>
        <charset val="1"/>
      </rPr>
      <t xml:space="preserve">3.59</t>
    </r>
    <r>
      <rPr>
        <sz val="9"/>
        <color rgb="FF0000C0"/>
        <rFont val="WenQuanYi Zen Hei"/>
        <family val="2"/>
      </rPr>
      <t xml:space="preserve">元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</si>
  <si>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23</t>
    </r>
    <r>
      <rPr>
        <sz val="9"/>
        <color rgb="FF0000C0"/>
        <rFont val="WenQuanYi Zen Hei"/>
        <family val="2"/>
      </rPr>
      <t xml:space="preserve">日：陈秋平交金沁开重庆铜梁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侣新线铜安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社台区重过载治理工程印花税</t>
    </r>
    <r>
      <rPr>
        <sz val="9"/>
        <color rgb="FF0000C0"/>
        <rFont val="微软雅黑"/>
        <family val="0"/>
        <charset val="1"/>
      </rPr>
      <t xml:space="preserve">3.8</t>
    </r>
    <r>
      <rPr>
        <sz val="9"/>
        <color rgb="FF0000C0"/>
        <rFont val="WenQuanYi Zen Hei"/>
        <family val="2"/>
      </rPr>
      <t xml:space="preserve">元</t>
    </r>
  </si>
  <si>
    <r>
      <rPr>
        <sz val="9"/>
        <color rgb="FF0000C0"/>
        <rFont val="微软雅黑"/>
        <family val="0"/>
        <charset val="1"/>
      </rPr>
      <t xml:space="preserve">2026.6.23</t>
    </r>
    <r>
      <rPr>
        <sz val="9"/>
        <color rgb="FF0000C0"/>
        <rFont val="WenQuanYi Zen Hei"/>
        <family val="2"/>
      </rPr>
      <t xml:space="preserve">号陈秋平支付金沁开票税费：侣新线铜安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</si>
  <si>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2026.6.23</t>
    </r>
    <r>
      <rPr>
        <sz val="9"/>
        <color rgb="FF0000C0"/>
        <rFont val="WenQuanYi Zen Hei"/>
        <family val="2"/>
      </rPr>
      <t xml:space="preserve">号陈秋平支付金沁开票税费：群益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</si>
  <si>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2026.6.23</t>
    </r>
    <r>
      <rPr>
        <sz val="9"/>
        <color rgb="FF0000C0"/>
        <rFont val="WenQuanYi Zen Hei"/>
        <family val="2"/>
      </rPr>
      <t xml:space="preserve">号陈秋平支付金沁开票税费：侣新线铜安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</si>
  <si>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2026.6.23</t>
    </r>
    <r>
      <rPr>
        <sz val="9"/>
        <color rgb="FF0000C0"/>
        <rFont val="WenQuanYi Zen Hei"/>
        <family val="2"/>
      </rPr>
      <t xml:space="preserve">号陈秋平支付金沁开票税费：平镇线新桥社</t>
    </r>
  </si>
  <si>
    <r>
      <rPr>
        <sz val="9"/>
        <color rgb="FF0000C0"/>
        <rFont val="微软雅黑"/>
        <family val="0"/>
        <charset val="1"/>
      </rPr>
      <t xml:space="preserve">2026.6.23</t>
    </r>
    <r>
      <rPr>
        <sz val="9"/>
        <color rgb="FF0000C0"/>
        <rFont val="WenQuanYi Zen Hei"/>
        <family val="2"/>
      </rPr>
      <t xml:space="preserve">号陈秋平支付金沁开票税费：侣新线凤飞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</si>
  <si>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收到工程款：龙羊线七佛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</si>
  <si>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收到工程款：少柏线池塘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</si>
  <si>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收到工程款：水羊线金鸡</t>
    </r>
    <r>
      <rPr>
        <sz val="9"/>
        <color rgb="FF0000C0"/>
        <rFont val="微软雅黑"/>
        <family val="0"/>
        <charset val="1"/>
      </rPr>
      <t xml:space="preserve">3(4)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</si>
  <si>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收到工程款：平凉线惠丰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</si>
  <si>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收到工程款：少柏线团山</t>
    </r>
    <r>
      <rPr>
        <sz val="9"/>
        <color rgb="FF0000C0"/>
        <rFont val="微软雅黑"/>
        <family val="0"/>
        <charset val="1"/>
      </rPr>
      <t xml:space="preserve">7.6.11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</si>
  <si>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德誉佳开票到民能：侣新线铜安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社台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</si>
  <si>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德誉佳开票到民能：侣新线铜安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</si>
  <si>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德誉佳开票到民能：平双线群益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</si>
  <si>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德誉佳开票到民能：平镇线新桥社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</si>
  <si>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德誉佳开票到民能：侣新线凤飞</t>
    </r>
    <r>
      <rPr>
        <sz val="9"/>
        <color rgb="FF0000C0"/>
        <rFont val="微软雅黑"/>
        <family val="0"/>
        <charset val="1"/>
      </rPr>
      <t xml:space="preserve">7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</si>
  <si>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德誉佳开票到民能：黄荆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</si>
  <si>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仟茂开票到德誉佳：侣新线铜安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社台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</si>
  <si>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仟茂开票到德誉佳：侣新线铜安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</si>
  <si>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仟茂开票到德誉佳：平双线群益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</si>
  <si>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仟茂开票到德誉佳：平镇线新桥社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</si>
  <si>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仟茂开票到德誉佳：侣新线凤飞</t>
    </r>
    <r>
      <rPr>
        <sz val="9"/>
        <color rgb="FF0000C0"/>
        <rFont val="微软雅黑"/>
        <family val="0"/>
        <charset val="1"/>
      </rPr>
      <t xml:space="preserve">7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</si>
  <si>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仟茂开票到德誉佳：黄荆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</si>
  <si>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迅驰开票到民能：侣新线铜安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社台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</si>
  <si>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迅驰开票到民能：侣新线铜安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</si>
  <si>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迅驰开票到民能：平双线群益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</si>
  <si>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迅驰开票到民能：平镇线新桥社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</si>
  <si>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迅驰开票到民能：侣新线凤飞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</si>
  <si>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迅驰开票到民能：黄荆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</si>
  <si>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泓普开票到迅驰：侣新线铜安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</si>
  <si>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泓普开票到迅驰：平双线群益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</si>
  <si>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2026.6.25</t>
    </r>
    <r>
      <rPr>
        <sz val="9"/>
        <color rgb="FF0000C0"/>
        <rFont val="WenQuanYi Zen Hei"/>
        <family val="2"/>
      </rPr>
      <t xml:space="preserve">泓普开票到迅驰：黄荆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</si>
  <si>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2026.6.30</t>
    </r>
    <r>
      <rPr>
        <sz val="9"/>
        <color rgb="FF0000C0"/>
        <rFont val="WenQuanYi Zen Hei"/>
        <family val="2"/>
      </rPr>
      <t xml:space="preserve">开会信息：民能代付农民工工资</t>
    </r>
    <r>
      <rPr>
        <sz val="9"/>
        <color rgb="FF0000C0"/>
        <rFont val="微软雅黑"/>
        <family val="0"/>
        <charset val="1"/>
      </rPr>
      <t xml:space="preserve">165000</t>
    </r>
  </si>
  <si>
    <r>
      <rPr>
        <sz val="9"/>
        <color rgb="FF0000C0"/>
        <rFont val="微软雅黑"/>
        <family val="0"/>
        <charset val="1"/>
      </rPr>
      <t xml:space="preserve">2026.6.30</t>
    </r>
    <r>
      <rPr>
        <sz val="9"/>
        <color rgb="FF0000C0"/>
        <rFont val="WenQuanYi Zen Hei"/>
        <family val="2"/>
      </rPr>
      <t xml:space="preserve">开会信息：民能代付农民工工资</t>
    </r>
    <r>
      <rPr>
        <sz val="9"/>
        <color rgb="FF0000C0"/>
        <rFont val="微软雅黑"/>
        <family val="0"/>
        <charset val="1"/>
      </rPr>
      <t xml:space="preserve">3W+6W</t>
    </r>
  </si>
  <si>
    <r>
      <rPr>
        <sz val="9"/>
        <color rgb="FF0000C0"/>
        <rFont val="微软雅黑"/>
        <family val="0"/>
        <charset val="1"/>
      </rPr>
      <t xml:space="preserve">2026.6.30</t>
    </r>
    <r>
      <rPr>
        <sz val="9"/>
        <color rgb="FF0000C0"/>
        <rFont val="WenQuanYi Zen Hei"/>
        <family val="2"/>
      </rPr>
      <t xml:space="preserve">开会信息：民能代付农民工工资</t>
    </r>
    <r>
      <rPr>
        <sz val="9"/>
        <color rgb="FF0000C0"/>
        <rFont val="微软雅黑"/>
        <family val="0"/>
        <charset val="1"/>
      </rPr>
      <t xml:space="preserve">10W</t>
    </r>
  </si>
  <si>
    <r>
      <rPr>
        <sz val="9"/>
        <color rgb="FF0000C0"/>
        <rFont val="微软雅黑"/>
        <family val="0"/>
        <charset val="1"/>
      </rPr>
      <t xml:space="preserve">2026.6.30</t>
    </r>
    <r>
      <rPr>
        <sz val="9"/>
        <color rgb="FF0000C0"/>
        <rFont val="WenQuanYi Zen Hei"/>
        <family val="2"/>
      </rPr>
      <t xml:space="preserve">彭豪开会确定民能代付农民工工资：金湖东西线（土建）</t>
    </r>
  </si>
  <si>
    <r>
      <rPr>
        <sz val="9"/>
        <color rgb="FF0000C0"/>
        <rFont val="微软雅黑"/>
        <family val="0"/>
        <charset val="1"/>
      </rPr>
      <t xml:space="preserve">2026.6.30</t>
    </r>
    <r>
      <rPr>
        <sz val="9"/>
        <color rgb="FF0000C0"/>
        <rFont val="WenQuanYi Zen Hei"/>
        <family val="2"/>
      </rPr>
      <t xml:space="preserve">彭豪开会确定民能代付农民工工资：金湖东西线（安装）</t>
    </r>
  </si>
  <si>
    <r>
      <rPr>
        <sz val="9"/>
        <color rgb="FF0000C0"/>
        <rFont val="微软雅黑"/>
        <family val="0"/>
        <charset val="1"/>
      </rPr>
      <t xml:space="preserve">2026.6.30</t>
    </r>
    <r>
      <rPr>
        <sz val="9"/>
        <color rgb="FF0000C0"/>
        <rFont val="WenQuanYi Zen Hei"/>
        <family val="2"/>
      </rPr>
      <t xml:space="preserve">彭豪开会确定民能代付农民工工资：电力新建：康欣</t>
    </r>
    <r>
      <rPr>
        <sz val="9"/>
        <color rgb="FF0000C0"/>
        <rFont val="微软雅黑"/>
        <family val="0"/>
        <charset val="1"/>
      </rPr>
      <t xml:space="preserve">3W</t>
    </r>
    <r>
      <rPr>
        <sz val="9"/>
        <color rgb="FF0000C0"/>
        <rFont val="WenQuanYi Zen Hei"/>
        <family val="2"/>
      </rPr>
      <t xml:space="preserve">，泓普</t>
    </r>
    <r>
      <rPr>
        <sz val="9"/>
        <color rgb="FF0000C0"/>
        <rFont val="微软雅黑"/>
        <family val="0"/>
        <charset val="1"/>
      </rPr>
      <t xml:space="preserve">7W</t>
    </r>
  </si>
  <si>
    <r>
      <rPr>
        <sz val="9"/>
        <color rgb="FF0000C0"/>
        <rFont val="微软雅黑"/>
        <family val="0"/>
        <charset val="1"/>
      </rPr>
      <t xml:space="preserve">2026.6.30</t>
    </r>
    <r>
      <rPr>
        <sz val="9"/>
        <color rgb="FF0000C0"/>
        <rFont val="WenQuanYi Zen Hei"/>
        <family val="2"/>
      </rPr>
      <t xml:space="preserve">彭豪到康欣开会确认：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月民能代付泓普农民工工资，款项还未回康欣</t>
    </r>
  </si>
  <si>
    <r>
      <rPr>
        <sz val="9"/>
        <color rgb="FF0000C0"/>
        <rFont val="微软雅黑"/>
        <family val="0"/>
        <charset val="1"/>
      </rPr>
      <t xml:space="preserve">2026.7.1</t>
    </r>
    <r>
      <rPr>
        <sz val="9"/>
        <color rgb="FF0000C0"/>
        <rFont val="WenQuanYi Zen Hei"/>
        <family val="2"/>
      </rPr>
      <t xml:space="preserve">号泓普开材料票到康欣</t>
    </r>
  </si>
  <si>
    <r>
      <rPr>
        <sz val="9"/>
        <color rgb="FF0000C0"/>
        <rFont val="微软雅黑"/>
        <family val="0"/>
        <charset val="1"/>
      </rPr>
      <t xml:space="preserve">2026.7</t>
    </r>
    <r>
      <rPr>
        <sz val="9"/>
        <color rgb="FF0000C0"/>
        <rFont val="WenQuanYi Zen Hei"/>
        <family val="2"/>
      </rPr>
      <t xml:space="preserve">月康欣代发社保和工资工程款（工程款直接扣）</t>
    </r>
  </si>
  <si>
    <r>
      <rPr>
        <sz val="9"/>
        <color rgb="FF0000C0"/>
        <rFont val="WenQuanYi Zen Hei"/>
        <family val="2"/>
      </rPr>
      <t xml:space="preserve">未开票按</t>
    </r>
    <r>
      <rPr>
        <sz val="9"/>
        <color rgb="FF0000C0"/>
        <rFont val="微软雅黑"/>
        <family val="0"/>
        <charset val="1"/>
      </rPr>
      <t xml:space="preserve">3%</t>
    </r>
    <r>
      <rPr>
        <sz val="9"/>
        <color rgb="FF0000C0"/>
        <rFont val="WenQuanYi Zen Hei"/>
        <family val="2"/>
      </rPr>
      <t xml:space="preserve">扣点子</t>
    </r>
  </si>
  <si>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月专户支付科耀达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西钢线</t>
    </r>
    <r>
      <rPr>
        <sz val="9"/>
        <color rgb="FF0000C0"/>
        <rFont val="微软雅黑"/>
        <family val="0"/>
        <charset val="1"/>
      </rPr>
      <t xml:space="preserve">)</t>
    </r>
    <r>
      <rPr>
        <sz val="9"/>
        <color rgb="FF0000C0"/>
        <rFont val="WenQuanYi Zen Hei"/>
        <family val="2"/>
      </rPr>
      <t xml:space="preserve">民能支付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老项目专户</t>
    </r>
  </si>
  <si>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月专户支付金沁光伏民能支付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老项目专户</t>
    </r>
  </si>
  <si>
    <r>
      <rPr>
        <sz val="9"/>
        <color rgb="FF0000C0"/>
        <rFont val="WenQuanYi Zen Hei"/>
        <family val="2"/>
      </rPr>
      <t xml:space="preserve">彭豪项目部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月管理人员工资和员社保</t>
    </r>
  </si>
  <si>
    <r>
      <rPr>
        <sz val="9"/>
        <color rgb="FF0000C0"/>
        <rFont val="微软雅黑"/>
        <family val="0"/>
        <charset val="1"/>
      </rPr>
      <t xml:space="preserve">2026.7.1</t>
    </r>
    <r>
      <rPr>
        <sz val="9"/>
        <color rgb="FF0000C0"/>
        <rFont val="WenQuanYi Zen Hei"/>
        <family val="2"/>
      </rPr>
      <t xml:space="preserve">号泓普开票到康欣：桥亭水云居</t>
    </r>
    <r>
      <rPr>
        <sz val="9"/>
        <color rgb="FF0000C0"/>
        <rFont val="微软雅黑"/>
        <family val="0"/>
        <charset val="1"/>
      </rPr>
      <t xml:space="preserve">37800</t>
    </r>
    <r>
      <rPr>
        <sz val="9"/>
        <color rgb="FF0000C0"/>
        <rFont val="WenQuanYi Zen Hei"/>
        <family val="2"/>
      </rPr>
      <t xml:space="preserve">，</t>
    </r>
    <r>
      <rPr>
        <sz val="9"/>
        <color rgb="FF0000C0"/>
        <rFont val="微软雅黑"/>
        <family val="0"/>
        <charset val="1"/>
      </rPr>
      <t xml:space="preserve">12200</t>
    </r>
    <r>
      <rPr>
        <sz val="9"/>
        <color rgb="FF0000C0"/>
        <rFont val="WenQuanYi Zen Hei"/>
        <family val="2"/>
      </rPr>
      <t xml:space="preserve">扣</t>
    </r>
    <r>
      <rPr>
        <sz val="9"/>
        <color rgb="FF0000C0"/>
        <rFont val="微软雅黑"/>
        <family val="0"/>
        <charset val="1"/>
      </rPr>
      <t xml:space="preserve">3%</t>
    </r>
    <r>
      <rPr>
        <sz val="9"/>
        <color rgb="FF0000C0"/>
        <rFont val="WenQuanYi Zen Hei"/>
        <family val="2"/>
      </rPr>
      <t xml:space="preserve">个税不提供</t>
    </r>
  </si>
  <si>
    <r>
      <rPr>
        <sz val="9"/>
        <color rgb="FF0000C0"/>
        <rFont val="微软雅黑"/>
        <family val="0"/>
        <charset val="1"/>
      </rPr>
      <t xml:space="preserve">2026.7.2</t>
    </r>
    <r>
      <rPr>
        <sz val="9"/>
        <color rgb="FF0000C0"/>
        <rFont val="WenQuanYi Zen Hei"/>
        <family val="2"/>
      </rPr>
      <t xml:space="preserve">号孙代兰交</t>
    </r>
    <r>
      <rPr>
        <sz val="9"/>
        <color rgb="FF0000C0"/>
        <rFont val="微软雅黑"/>
        <family val="0"/>
        <charset val="1"/>
      </rPr>
      <t xml:space="preserve">5.20</t>
    </r>
    <r>
      <rPr>
        <sz val="9"/>
        <color rgb="FF0000C0"/>
        <rFont val="WenQuanYi Zen Hei"/>
        <family val="2"/>
      </rPr>
      <t xml:space="preserve">号开票的税费：</t>
    </r>
    <r>
      <rPr>
        <sz val="9"/>
        <color rgb="FF0000C0"/>
        <rFont val="微软雅黑"/>
        <family val="0"/>
        <charset val="1"/>
      </rPr>
      <t xml:space="preserve">3021.4+190.03</t>
    </r>
  </si>
  <si>
    <r>
      <rPr>
        <sz val="9"/>
        <color rgb="FF0000C0"/>
        <rFont val="微软雅黑"/>
        <family val="0"/>
        <charset val="1"/>
      </rPr>
      <t xml:space="preserve">2026.7.2</t>
    </r>
    <r>
      <rPr>
        <sz val="9"/>
        <color rgb="FF0000C0"/>
        <rFont val="WenQuanYi Zen Hei"/>
        <family val="2"/>
      </rPr>
      <t xml:space="preserve">泓普开票到迅驰：侣新线铜安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社台</t>
    </r>
  </si>
  <si>
    <r>
      <rPr>
        <sz val="9"/>
        <color rgb="FF0000C0"/>
        <rFont val="微软雅黑"/>
        <family val="0"/>
        <charset val="1"/>
      </rPr>
      <t xml:space="preserve">2026.7.2</t>
    </r>
    <r>
      <rPr>
        <sz val="9"/>
        <color rgb="FF0000C0"/>
        <rFont val="WenQuanYi Zen Hei"/>
        <family val="2"/>
      </rPr>
      <t xml:space="preserve">泓普开票到迅驰：平镇线新桥社</t>
    </r>
  </si>
  <si>
    <r>
      <rPr>
        <sz val="9"/>
        <color rgb="FF0000C0"/>
        <rFont val="微软雅黑"/>
        <family val="0"/>
        <charset val="1"/>
      </rPr>
      <t xml:space="preserve">2026.7.2</t>
    </r>
    <r>
      <rPr>
        <sz val="9"/>
        <color rgb="FF0000C0"/>
        <rFont val="WenQuanYi Zen Hei"/>
        <family val="2"/>
      </rPr>
      <t xml:space="preserve">泓普开票到迅驰：侣新线凤飞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</si>
  <si>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2026.7.3</t>
    </r>
    <r>
      <rPr>
        <sz val="9"/>
        <color rgb="FF0000C0"/>
        <rFont val="WenQuanYi Zen Hei"/>
        <family val="2"/>
      </rPr>
      <t xml:space="preserve">仟茂开（设备）票到华城：平双线</t>
    </r>
  </si>
  <si>
    <r>
      <rPr>
        <sz val="9"/>
        <color rgb="FF0000C0"/>
        <rFont val="微软雅黑"/>
        <family val="0"/>
        <charset val="1"/>
      </rPr>
      <t xml:space="preserve">2026.7.3</t>
    </r>
    <r>
      <rPr>
        <sz val="9"/>
        <color rgb="FF0000C0"/>
        <rFont val="WenQuanYi Zen Hei"/>
        <family val="2"/>
      </rPr>
      <t xml:space="preserve">已和夏旭对账确定收款金额，和陈秋平落实走流程收款，</t>
    </r>
    <r>
      <rPr>
        <sz val="9"/>
        <color rgb="FF0000C0"/>
        <rFont val="微软雅黑"/>
        <family val="0"/>
        <charset val="1"/>
      </rPr>
      <t xml:space="preserve">7.8</t>
    </r>
    <r>
      <rPr>
        <sz val="9"/>
        <color rgb="FF0000C0"/>
        <rFont val="WenQuanYi Zen Hei"/>
        <family val="2"/>
      </rPr>
      <t xml:space="preserve">号已到款</t>
    </r>
  </si>
  <si>
    <r>
      <rPr>
        <sz val="9"/>
        <color rgb="FF0000C0"/>
        <rFont val="微软雅黑"/>
        <family val="0"/>
        <charset val="1"/>
      </rPr>
      <t xml:space="preserve">2026.7.8</t>
    </r>
    <r>
      <rPr>
        <sz val="9"/>
        <color rgb="FF0000C0"/>
        <rFont val="WenQuanYi Zen Hei"/>
        <family val="2"/>
      </rPr>
      <t xml:space="preserve">仟茂开（设备）票到华城：平双线</t>
    </r>
  </si>
  <si>
    <t xml:space="preserve">泓普开票到康欣：金湖东西（安装）</t>
  </si>
  <si>
    <t xml:space="preserve">泓普开票到康欣：金湖东西（土建）</t>
  </si>
  <si>
    <r>
      <rPr>
        <sz val="9"/>
        <color rgb="FF0000C0"/>
        <rFont val="微软雅黑"/>
        <family val="0"/>
        <charset val="1"/>
      </rPr>
      <t xml:space="preserve">2026.7.15</t>
    </r>
    <r>
      <rPr>
        <sz val="9"/>
        <color rgb="FF0000C0"/>
        <rFont val="WenQuanYi Zen Hei"/>
        <family val="2"/>
      </rPr>
      <t xml:space="preserve">康欣开劳务费到金沁：侣新线铜安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</si>
  <si>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2026.7.15</t>
    </r>
    <r>
      <rPr>
        <sz val="9"/>
        <color rgb="FF0000C0"/>
        <rFont val="WenQuanYi Zen Hei"/>
        <family val="2"/>
      </rPr>
      <t xml:space="preserve">康欣开劳务费到金沁：侣新线铜安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</si>
  <si>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2026.7.15</t>
    </r>
    <r>
      <rPr>
        <sz val="9"/>
        <color rgb="FF0000C0"/>
        <rFont val="WenQuanYi Zen Hei"/>
        <family val="2"/>
      </rPr>
      <t xml:space="preserve">康欣开劳务费到金沁：平双线群益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</si>
  <si>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2026.7.15</t>
    </r>
    <r>
      <rPr>
        <sz val="9"/>
        <color rgb="FF0000C0"/>
        <rFont val="WenQuanYi Zen Hei"/>
        <family val="2"/>
      </rPr>
      <t xml:space="preserve">康欣开劳务费到金沁：平镇线新桥社</t>
    </r>
  </si>
  <si>
    <r>
      <rPr>
        <sz val="9"/>
        <color rgb="FF0000C0"/>
        <rFont val="微软雅黑"/>
        <family val="0"/>
        <charset val="1"/>
      </rPr>
      <t xml:space="preserve">2026.7.15</t>
    </r>
    <r>
      <rPr>
        <sz val="9"/>
        <color rgb="FF0000C0"/>
        <rFont val="WenQuanYi Zen Hei"/>
        <family val="2"/>
      </rPr>
      <t xml:space="preserve">康欣开劳务费到金沁：侣新线凤飞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</si>
  <si>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2026.7.15</t>
    </r>
    <r>
      <rPr>
        <sz val="9"/>
        <color rgb="FF0000C0"/>
        <rFont val="WenQuanYi Zen Hei"/>
        <family val="2"/>
      </rPr>
      <t xml:space="preserve">康欣开到金沁：金湖东西（土建）</t>
    </r>
  </si>
  <si>
    <r>
      <rPr>
        <sz val="9"/>
        <color rgb="FF0000C0"/>
        <rFont val="微软雅黑"/>
        <family val="0"/>
        <charset val="1"/>
      </rPr>
      <t xml:space="preserve">2026.7.15</t>
    </r>
    <r>
      <rPr>
        <sz val="9"/>
        <color rgb="FF0000C0"/>
        <rFont val="WenQuanYi Zen Hei"/>
        <family val="2"/>
      </rPr>
      <t xml:space="preserve">康欣开到金沁：金湖东西（安装）</t>
    </r>
  </si>
  <si>
    <r>
      <rPr>
        <sz val="9"/>
        <color rgb="FF0000C0"/>
        <rFont val="微软雅黑"/>
        <family val="0"/>
        <charset val="1"/>
      </rPr>
      <t xml:space="preserve">3%</t>
    </r>
    <r>
      <rPr>
        <sz val="9"/>
        <color rgb="FF0000C0"/>
        <rFont val="WenQuanYi Zen Hei"/>
        <family val="2"/>
      </rPr>
      <t xml:space="preserve">普票</t>
    </r>
  </si>
  <si>
    <r>
      <rPr>
        <sz val="9"/>
        <color rgb="FF0000C0"/>
        <rFont val="微软雅黑"/>
        <family val="0"/>
        <charset val="1"/>
      </rPr>
      <t xml:space="preserve">2026.7.15</t>
    </r>
    <r>
      <rPr>
        <sz val="9"/>
        <color rgb="FF0000C0"/>
        <rFont val="WenQuanYi Zen Hei"/>
        <family val="2"/>
      </rPr>
      <t xml:space="preserve">康欣开到金沁：侣新线铜安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</si>
  <si>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与 康欣</t>
    </r>
    <r>
      <rPr>
        <sz val="9"/>
        <color rgb="FF0000C0"/>
        <rFont val="微软雅黑"/>
        <family val="0"/>
        <charset val="1"/>
      </rPr>
      <t xml:space="preserve">!54 </t>
    </r>
    <r>
      <rPr>
        <sz val="9"/>
        <color rgb="FF0000C0"/>
        <rFont val="WenQuanYi Zen Hei"/>
        <family val="2"/>
      </rPr>
      <t xml:space="preserve">为同一张票，只计一次</t>
    </r>
  </si>
  <si>
    <r>
      <rPr>
        <sz val="9"/>
        <color rgb="FF0000C0"/>
        <rFont val="微软雅黑"/>
        <family val="0"/>
        <charset val="1"/>
      </rPr>
      <t xml:space="preserve">2026.7.15</t>
    </r>
    <r>
      <rPr>
        <sz val="9"/>
        <color rgb="FF0000C0"/>
        <rFont val="WenQuanYi Zen Hei"/>
        <family val="2"/>
      </rPr>
      <t xml:space="preserve">康欣开到金沁：侣新线铜安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</si>
  <si>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与 康欣</t>
    </r>
    <r>
      <rPr>
        <sz val="9"/>
        <color rgb="FF0000C0"/>
        <rFont val="微软雅黑"/>
        <family val="0"/>
        <charset val="1"/>
      </rPr>
      <t xml:space="preserve">!55 </t>
    </r>
    <r>
      <rPr>
        <sz val="9"/>
        <color rgb="FF0000C0"/>
        <rFont val="WenQuanYi Zen Hei"/>
        <family val="2"/>
      </rPr>
      <t xml:space="preserve">为同一张票，只计一次</t>
    </r>
  </si>
  <si>
    <r>
      <rPr>
        <sz val="9"/>
        <color rgb="FF0000C0"/>
        <rFont val="微软雅黑"/>
        <family val="0"/>
        <charset val="1"/>
      </rPr>
      <t xml:space="preserve">2026.7.15</t>
    </r>
    <r>
      <rPr>
        <sz val="9"/>
        <color rgb="FF0000C0"/>
        <rFont val="WenQuanYi Zen Hei"/>
        <family val="2"/>
      </rPr>
      <t xml:space="preserve">康欣开到金沁：平双线群益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</si>
  <si>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与 康欣</t>
    </r>
    <r>
      <rPr>
        <sz val="9"/>
        <color rgb="FF0000C0"/>
        <rFont val="微软雅黑"/>
        <family val="0"/>
        <charset val="1"/>
      </rPr>
      <t xml:space="preserve">!56 </t>
    </r>
    <r>
      <rPr>
        <sz val="9"/>
        <color rgb="FF0000C0"/>
        <rFont val="WenQuanYi Zen Hei"/>
        <family val="2"/>
      </rPr>
      <t xml:space="preserve">为同一张票，只计一次</t>
    </r>
  </si>
  <si>
    <r>
      <rPr>
        <sz val="9"/>
        <color rgb="FF0000C0"/>
        <rFont val="微软雅黑"/>
        <family val="0"/>
        <charset val="1"/>
      </rPr>
      <t xml:space="preserve">2026.7.15</t>
    </r>
    <r>
      <rPr>
        <sz val="9"/>
        <color rgb="FF0000C0"/>
        <rFont val="WenQuanYi Zen Hei"/>
        <family val="2"/>
      </rPr>
      <t xml:space="preserve">康欣开到金沁：平镇线新桥社</t>
    </r>
  </si>
  <si>
    <r>
      <rPr>
        <sz val="9"/>
        <color rgb="FF0000C0"/>
        <rFont val="WenQuanYi Zen Hei"/>
        <family val="2"/>
      </rPr>
      <t xml:space="preserve">与 康欣</t>
    </r>
    <r>
      <rPr>
        <sz val="9"/>
        <color rgb="FF0000C0"/>
        <rFont val="微软雅黑"/>
        <family val="0"/>
        <charset val="1"/>
      </rPr>
      <t xml:space="preserve">!57 </t>
    </r>
    <r>
      <rPr>
        <sz val="9"/>
        <color rgb="FF0000C0"/>
        <rFont val="WenQuanYi Zen Hei"/>
        <family val="2"/>
      </rPr>
      <t xml:space="preserve">为同一张票，只计一次</t>
    </r>
  </si>
  <si>
    <r>
      <rPr>
        <sz val="9"/>
        <color rgb="FF0000C0"/>
        <rFont val="微软雅黑"/>
        <family val="0"/>
        <charset val="1"/>
      </rPr>
      <t xml:space="preserve">2026.7.15</t>
    </r>
    <r>
      <rPr>
        <sz val="9"/>
        <color rgb="FF0000C0"/>
        <rFont val="WenQuanYi Zen Hei"/>
        <family val="2"/>
      </rPr>
      <t xml:space="preserve">康欣开到金沁：侣新线凤飞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</si>
  <si>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WenQuanYi Zen Hei"/>
        <family val="2"/>
      </rPr>
      <t xml:space="preserve">与 康欣</t>
    </r>
    <r>
      <rPr>
        <sz val="9"/>
        <color rgb="FF0000C0"/>
        <rFont val="微软雅黑"/>
        <family val="0"/>
        <charset val="1"/>
      </rPr>
      <t xml:space="preserve">!58 </t>
    </r>
    <r>
      <rPr>
        <sz val="9"/>
        <color rgb="FF0000C0"/>
        <rFont val="WenQuanYi Zen Hei"/>
        <family val="2"/>
      </rPr>
      <t xml:space="preserve">为同一张票，只计一次</t>
    </r>
  </si>
  <si>
    <r>
      <rPr>
        <sz val="9"/>
        <color rgb="FF0000C0"/>
        <rFont val="微软雅黑"/>
        <family val="0"/>
        <charset val="1"/>
      </rPr>
      <t xml:space="preserve">2026.7.20</t>
    </r>
    <r>
      <rPr>
        <sz val="9"/>
        <color rgb="FF0000C0"/>
        <rFont val="WenQuanYi Zen Hei"/>
        <family val="2"/>
      </rPr>
      <t xml:space="preserve">华城开票（劳务）到民能：永嘉所许家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</si>
  <si>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2026.7.20</t>
    </r>
    <r>
      <rPr>
        <sz val="9"/>
        <color rgb="FF0000C0"/>
        <rFont val="WenQuanYi Zen Hei"/>
        <family val="2"/>
      </rPr>
      <t xml:space="preserve">华城开票（劳务）到民能：永嘉所义和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</si>
  <si>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2026.7.20</t>
    </r>
    <r>
      <rPr>
        <sz val="9"/>
        <color rgb="FF0000C0"/>
        <rFont val="WenQuanYi Zen Hei"/>
        <family val="2"/>
      </rPr>
      <t xml:space="preserve">华城开票（劳务）到民能：永嘉所高丰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</si>
  <si>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2026.7.20</t>
    </r>
    <r>
      <rPr>
        <sz val="9"/>
        <color rgb="FF0000C0"/>
        <rFont val="WenQuanYi Zen Hei"/>
        <family val="2"/>
      </rPr>
      <t xml:space="preserve">华城开票（劳务）到民能：输电运检中心线路接地隐患消除</t>
    </r>
  </si>
  <si>
    <r>
      <rPr>
        <sz val="9"/>
        <color rgb="FF0000C0"/>
        <rFont val="微软雅黑"/>
        <family val="0"/>
        <charset val="1"/>
      </rPr>
      <t xml:space="preserve">2026.7.20</t>
    </r>
    <r>
      <rPr>
        <sz val="9"/>
        <color rgb="FF0000C0"/>
        <rFont val="WenQuanYi Zen Hei"/>
        <family val="2"/>
      </rPr>
      <t xml:space="preserve">号和华会计确定应收款</t>
    </r>
    <r>
      <rPr>
        <sz val="9"/>
        <color rgb="FF0000C0"/>
        <rFont val="微软雅黑"/>
        <family val="0"/>
        <charset val="1"/>
      </rPr>
      <t xml:space="preserve">307680-10129.24</t>
    </r>
    <r>
      <rPr>
        <sz val="9"/>
        <color rgb="FF0000C0"/>
        <rFont val="WenQuanYi Zen Hei"/>
        <family val="2"/>
      </rPr>
      <t xml:space="preserve">元</t>
    </r>
    <r>
      <rPr>
        <sz val="9"/>
        <color rgb="FF0000C0"/>
        <rFont val="微软雅黑"/>
        <family val="0"/>
        <charset val="1"/>
      </rPr>
      <t xml:space="preserve">-6153.6=291397.16</t>
    </r>
  </si>
  <si>
    <r>
      <rPr>
        <sz val="9"/>
        <color rgb="FF0000C0"/>
        <rFont val="微软雅黑"/>
        <family val="0"/>
        <charset val="1"/>
      </rPr>
      <t xml:space="preserve">2026.7.20</t>
    </r>
    <r>
      <rPr>
        <sz val="9"/>
        <color rgb="FF0000C0"/>
        <rFont val="WenQuanYi Zen Hei"/>
        <family val="2"/>
      </rPr>
      <t xml:space="preserve">泓普开劳务票到华城：平双线</t>
    </r>
  </si>
  <si>
    <r>
      <rPr>
        <sz val="9"/>
        <color rgb="FF0000C0"/>
        <rFont val="微软雅黑"/>
        <family val="0"/>
        <charset val="1"/>
      </rPr>
      <t xml:space="preserve">2026.7.20</t>
    </r>
    <r>
      <rPr>
        <sz val="9"/>
        <color rgb="FF0000C0"/>
        <rFont val="WenQuanYi Zen Hei"/>
        <family val="2"/>
      </rPr>
      <t xml:space="preserve">康欣开劳务费到民能</t>
    </r>
    <r>
      <rPr>
        <sz val="9"/>
        <color rgb="FF0000C0"/>
        <rFont val="微软雅黑"/>
        <family val="0"/>
        <charset val="1"/>
      </rPr>
      <t xml:space="preserve">:  </t>
    </r>
    <r>
      <rPr>
        <sz val="9"/>
        <color rgb="FF0000C0"/>
        <rFont val="WenQuanYi Zen Hei"/>
        <family val="2"/>
      </rPr>
      <t xml:space="preserve">哨楼村支线</t>
    </r>
  </si>
  <si>
    <r>
      <rPr>
        <sz val="9"/>
        <color rgb="FF0000C0"/>
        <rFont val="微软雅黑"/>
        <family val="0"/>
        <charset val="1"/>
      </rPr>
      <t xml:space="preserve">2026.7.20</t>
    </r>
    <r>
      <rPr>
        <sz val="9"/>
        <color rgb="FF0000C0"/>
        <rFont val="WenQuanYi Zen Hei"/>
        <family val="2"/>
      </rPr>
      <t xml:space="preserve">康欣开劳务费到金沁</t>
    </r>
    <r>
      <rPr>
        <sz val="9"/>
        <color rgb="FF0000C0"/>
        <rFont val="微软雅黑"/>
        <family val="0"/>
        <charset val="1"/>
      </rPr>
      <t xml:space="preserve">:  </t>
    </r>
    <r>
      <rPr>
        <sz val="9"/>
        <color rgb="FF0000C0"/>
        <rFont val="WenQuanYi Zen Hei"/>
        <family val="2"/>
      </rPr>
      <t xml:space="preserve">维新万头种猪养殖场</t>
    </r>
  </si>
  <si>
    <r>
      <rPr>
        <sz val="9"/>
        <color rgb="FF0000C0"/>
        <rFont val="微软雅黑"/>
        <family val="0"/>
        <charset val="1"/>
      </rPr>
      <t xml:space="preserve">2026.7.20</t>
    </r>
    <r>
      <rPr>
        <sz val="9"/>
        <color rgb="FF0000C0"/>
        <rFont val="WenQuanYi Zen Hei"/>
        <family val="2"/>
      </rPr>
      <t xml:space="preserve">康欣开票金沁：维新万头种猪养
殖场</t>
    </r>
  </si>
  <si>
    <r>
      <rPr>
        <sz val="9"/>
        <color rgb="FF0000C0"/>
        <rFont val="WenQuanYi Zen Hei"/>
        <family val="2"/>
      </rPr>
      <t xml:space="preserve">与 康欣</t>
    </r>
    <r>
      <rPr>
        <sz val="9"/>
        <color rgb="FF0000C0"/>
        <rFont val="微软雅黑"/>
        <family val="0"/>
        <charset val="1"/>
      </rPr>
      <t xml:space="preserve">!65 </t>
    </r>
    <r>
      <rPr>
        <sz val="9"/>
        <color rgb="FF0000C0"/>
        <rFont val="WenQuanYi Zen Hei"/>
        <family val="2"/>
      </rPr>
      <t xml:space="preserve">为同一张票，只计一次</t>
    </r>
  </si>
  <si>
    <r>
      <rPr>
        <sz val="9"/>
        <color rgb="FF0000C0"/>
        <rFont val="微软雅黑"/>
        <family val="0"/>
        <charset val="1"/>
      </rPr>
      <t xml:space="preserve">2026.7.21</t>
    </r>
    <r>
      <rPr>
        <sz val="9"/>
        <color rgb="FF0000C0"/>
        <rFont val="WenQuanYi Zen Hei"/>
        <family val="2"/>
      </rPr>
      <t xml:space="preserve">金沁开票民能：维新万头种猪养
殖场</t>
    </r>
  </si>
  <si>
    <r>
      <rPr>
        <sz val="9"/>
        <color rgb="FF0000C0"/>
        <rFont val="微软雅黑"/>
        <family val="0"/>
        <charset val="1"/>
      </rPr>
      <t xml:space="preserve">2026.7.22</t>
    </r>
    <r>
      <rPr>
        <sz val="9"/>
        <color rgb="FF0000C0"/>
        <rFont val="WenQuanYi Zen Hei"/>
        <family val="2"/>
      </rPr>
      <t xml:space="preserve">华城开票（劳务）到民能：永嘉所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西新线等</t>
    </r>
    <r>
      <rPr>
        <sz val="9"/>
        <color rgb="FF0000C0"/>
        <rFont val="微软雅黑"/>
        <family val="0"/>
        <charset val="1"/>
      </rPr>
      <t xml:space="preserve">2</t>
    </r>
    <r>
      <rPr>
        <sz val="9"/>
        <color rgb="FF0000C0"/>
        <rFont val="WenQuanYi Zen Hei"/>
        <family val="2"/>
      </rPr>
      <t xml:space="preserve">条线路</t>
    </r>
  </si>
  <si>
    <r>
      <rPr>
        <sz val="9"/>
        <color rgb="FF0000C0"/>
        <rFont val="微软雅黑"/>
        <family val="0"/>
        <charset val="1"/>
      </rPr>
      <t xml:space="preserve">2026.7.22</t>
    </r>
    <r>
      <rPr>
        <sz val="9"/>
        <color rgb="FF0000C0"/>
        <rFont val="WenQuanYi Zen Hei"/>
        <family val="2"/>
      </rPr>
      <t xml:space="preserve">德誉佳开票到民能：永嘉所许家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社</t>
    </r>
    <r>
      <rPr>
        <sz val="9"/>
        <color rgb="FF0000C0"/>
        <rFont val="微软雅黑"/>
        <family val="0"/>
        <charset val="1"/>
      </rPr>
      <t xml:space="preserve">1</t>
    </r>
  </si>
  <si>
    <r>
      <rPr>
        <sz val="9"/>
        <color rgb="FF0000C0"/>
        <rFont val="微软雅黑"/>
        <family val="0"/>
        <charset val="1"/>
      </rPr>
      <t xml:space="preserve">2026.7.22</t>
    </r>
    <r>
      <rPr>
        <sz val="9"/>
        <color rgb="FF0000C0"/>
        <rFont val="WenQuanYi Zen Hei"/>
        <family val="2"/>
      </rPr>
      <t xml:space="preserve">德誉佳开票到民能：永嘉所高丰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</si>
  <si>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2026.7.22</t>
    </r>
    <r>
      <rPr>
        <sz val="9"/>
        <color rgb="FF0000C0"/>
        <rFont val="WenQuanYi Zen Hei"/>
        <family val="2"/>
      </rPr>
      <t xml:space="preserve">德誉佳开票到民能：永嘉所义和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</si>
  <si>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2026.7.22</t>
    </r>
    <r>
      <rPr>
        <sz val="9"/>
        <color rgb="FF0000C0"/>
        <rFont val="WenQuanYi Zen Hei"/>
        <family val="2"/>
      </rPr>
      <t xml:space="preserve">德誉佳开票到民能：输电运检中心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</si>
  <si>
    <r>
      <rPr>
        <sz val="9"/>
        <color rgb="FF0000C0"/>
        <rFont val="微软雅黑"/>
        <family val="0"/>
        <charset val="1"/>
      </rPr>
      <t xml:space="preserve">2026.7.22</t>
    </r>
    <r>
      <rPr>
        <sz val="9"/>
        <color rgb="FF0000C0"/>
        <rFont val="WenQuanYi Zen Hei"/>
        <family val="2"/>
      </rPr>
      <t xml:space="preserve">德誉佳开票到民能：少盘线哨楼村支线</t>
    </r>
    <r>
      <rPr>
        <sz val="9"/>
        <color rgb="FF0000C0"/>
        <rFont val="微软雅黑"/>
        <family val="0"/>
        <charset val="1"/>
      </rPr>
      <t xml:space="preserve">#1</t>
    </r>
    <r>
      <rPr>
        <sz val="9"/>
        <color rgb="FF0000C0"/>
        <rFont val="WenQuanYi Zen Hei"/>
        <family val="2"/>
      </rPr>
      <t xml:space="preserve">杆</t>
    </r>
  </si>
  <si>
    <r>
      <rPr>
        <sz val="9"/>
        <color rgb="FF0000C0"/>
        <rFont val="微软雅黑"/>
        <family val="0"/>
        <charset val="1"/>
      </rPr>
      <t xml:space="preserve">2026.7.22</t>
    </r>
    <r>
      <rPr>
        <sz val="9"/>
        <color rgb="FF0000C0"/>
        <rFont val="WenQuanYi Zen Hei"/>
        <family val="2"/>
      </rPr>
      <t xml:space="preserve">德誉佳开票到民能：永嘉所许家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社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等台区</t>
    </r>
  </si>
  <si>
    <r>
      <rPr>
        <sz val="9"/>
        <color rgb="FF0000C0"/>
        <rFont val="微软雅黑"/>
        <family val="0"/>
        <charset val="1"/>
      </rPr>
      <t xml:space="preserve">2026.7.22</t>
    </r>
    <r>
      <rPr>
        <sz val="9"/>
        <color rgb="FF0000C0"/>
        <rFont val="WenQuanYi Zen Hei"/>
        <family val="2"/>
      </rPr>
      <t xml:space="preserve">德誉佳开票到民能：永嘉所高丰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社等台区</t>
    </r>
  </si>
  <si>
    <r>
      <rPr>
        <sz val="9"/>
        <color rgb="FF0000C0"/>
        <rFont val="微软雅黑"/>
        <family val="0"/>
        <charset val="1"/>
      </rPr>
      <t xml:space="preserve">2026.7.22</t>
    </r>
    <r>
      <rPr>
        <sz val="9"/>
        <color rgb="FF0000C0"/>
        <rFont val="WenQuanYi Zen Hei"/>
        <family val="2"/>
      </rPr>
      <t xml:space="preserve">仟茂开票到德誉佳：永嘉所许家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社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等台区</t>
    </r>
  </si>
  <si>
    <r>
      <rPr>
        <sz val="9"/>
        <color rgb="FF0000C0"/>
        <rFont val="微软雅黑"/>
        <family val="0"/>
        <charset val="1"/>
      </rPr>
      <t xml:space="preserve">2026.7.22</t>
    </r>
    <r>
      <rPr>
        <sz val="9"/>
        <color rgb="FF0000C0"/>
        <rFont val="WenQuanYi Zen Hei"/>
        <family val="2"/>
      </rPr>
      <t xml:space="preserve">仟茂开票到德誉佳：永嘉所高丰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社等台区</t>
    </r>
  </si>
  <si>
    <r>
      <rPr>
        <sz val="9"/>
        <color rgb="FF0000C0"/>
        <rFont val="微软雅黑"/>
        <family val="0"/>
        <charset val="1"/>
      </rPr>
      <t xml:space="preserve">2026.7.22</t>
    </r>
    <r>
      <rPr>
        <sz val="9"/>
        <color rgb="FF0000C0"/>
        <rFont val="WenQuanYi Zen Hei"/>
        <family val="2"/>
      </rPr>
      <t xml:space="preserve">仟茂开票到德誉佳：永嘉所义和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社等台区</t>
    </r>
  </si>
  <si>
    <r>
      <rPr>
        <sz val="9"/>
        <color rgb="FF0000C0"/>
        <rFont val="微软雅黑"/>
        <family val="0"/>
        <charset val="1"/>
      </rPr>
      <t xml:space="preserve">2026.7.22</t>
    </r>
    <r>
      <rPr>
        <sz val="9"/>
        <color rgb="FF0000C0"/>
        <rFont val="WenQuanYi Zen Hei"/>
        <family val="2"/>
      </rPr>
      <t xml:space="preserve">仟茂开票到德誉佳：输电运检中心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</si>
  <si>
    <r>
      <rPr>
        <sz val="9"/>
        <color rgb="FF0000C0"/>
        <rFont val="微软雅黑"/>
        <family val="0"/>
        <charset val="1"/>
      </rPr>
      <t xml:space="preserve">2026.7.22</t>
    </r>
    <r>
      <rPr>
        <sz val="9"/>
        <color rgb="FF0000C0"/>
        <rFont val="WenQuanYi Zen Hei"/>
        <family val="2"/>
      </rPr>
      <t xml:space="preserve">仟茂开票到德誉佳：少盘线哨楼村支线</t>
    </r>
  </si>
  <si>
    <r>
      <rPr>
        <sz val="9"/>
        <color rgb="FF0000C0"/>
        <rFont val="微软雅黑"/>
        <family val="0"/>
        <charset val="1"/>
      </rPr>
      <t xml:space="preserve">2026.7.22</t>
    </r>
    <r>
      <rPr>
        <sz val="9"/>
        <color rgb="FF0000C0"/>
        <rFont val="WenQuanYi Zen Hei"/>
        <family val="2"/>
      </rPr>
      <t xml:space="preserve">预交税费：预交增值税</t>
    </r>
    <r>
      <rPr>
        <sz val="9"/>
        <color rgb="FF0000C0"/>
        <rFont val="微软雅黑"/>
        <family val="0"/>
        <charset val="1"/>
      </rPr>
      <t xml:space="preserve">2%</t>
    </r>
    <r>
      <rPr>
        <sz val="9"/>
        <color rgb="FF0000C0"/>
        <rFont val="WenQuanYi Zen Hei"/>
        <family val="2"/>
      </rPr>
      <t xml:space="preserve">：</t>
    </r>
    <r>
      <rPr>
        <sz val="9"/>
        <color rgb="FF0000C0"/>
        <rFont val="微软雅黑"/>
        <family val="0"/>
        <charset val="1"/>
      </rPr>
      <t xml:space="preserve">3007.22</t>
    </r>
    <r>
      <rPr>
        <sz val="9"/>
        <color rgb="FF0000C0"/>
        <rFont val="WenQuanYi Zen Hei"/>
        <family val="2"/>
      </rPr>
      <t xml:space="preserve">，附加税</t>
    </r>
    <r>
      <rPr>
        <sz val="9"/>
        <color rgb="FF0000C0"/>
        <rFont val="微软雅黑"/>
        <family val="0"/>
        <charset val="1"/>
      </rPr>
      <t xml:space="preserve">12%</t>
    </r>
    <r>
      <rPr>
        <sz val="9"/>
        <color rgb="FF0000C0"/>
        <rFont val="WenQuanYi Zen Hei"/>
        <family val="2"/>
      </rPr>
      <t xml:space="preserve">：</t>
    </r>
    <r>
      <rPr>
        <sz val="9"/>
        <color rgb="FF0000C0"/>
        <rFont val="微软雅黑"/>
        <family val="0"/>
        <charset val="1"/>
      </rPr>
      <t xml:space="preserve">360.87</t>
    </r>
    <r>
      <rPr>
        <sz val="9"/>
        <color rgb="FF0000C0"/>
        <rFont val="WenQuanYi Zen Hei"/>
        <family val="2"/>
      </rPr>
      <t xml:space="preserve">，预交所得税</t>
    </r>
    <r>
      <rPr>
        <sz val="9"/>
        <color rgb="FF0000C0"/>
        <rFont val="微软雅黑"/>
        <family val="0"/>
        <charset val="1"/>
      </rPr>
      <t xml:space="preserve">0.2%</t>
    </r>
    <r>
      <rPr>
        <sz val="9"/>
        <color rgb="FF0000C0"/>
        <rFont val="WenQuanYi Zen Hei"/>
        <family val="2"/>
      </rPr>
      <t xml:space="preserve">：</t>
    </r>
    <r>
      <rPr>
        <sz val="9"/>
        <color rgb="FF0000C0"/>
        <rFont val="微软雅黑"/>
        <family val="0"/>
        <charset val="1"/>
      </rPr>
      <t xml:space="preserve">300.72</t>
    </r>
  </si>
  <si>
    <r>
      <rPr>
        <sz val="9"/>
        <color rgb="FF0000C0"/>
        <rFont val="微软雅黑"/>
        <family val="0"/>
        <charset val="1"/>
      </rPr>
      <t xml:space="preserve">2026.7.22</t>
    </r>
    <r>
      <rPr>
        <sz val="9"/>
        <color rgb="FF0000C0"/>
        <rFont val="WenQuanYi Zen Hei"/>
        <family val="2"/>
      </rPr>
      <t xml:space="preserve">泓普开票到迅驰：少盘线哨楼村支线</t>
    </r>
    <r>
      <rPr>
        <sz val="9"/>
        <color rgb="FF0000C0"/>
        <rFont val="微软雅黑"/>
        <family val="0"/>
        <charset val="1"/>
      </rPr>
      <t xml:space="preserve">#1</t>
    </r>
    <r>
      <rPr>
        <sz val="9"/>
        <color rgb="FF0000C0"/>
        <rFont val="WenQuanYi Zen Hei"/>
        <family val="2"/>
      </rPr>
      <t xml:space="preserve">杆线路迁改</t>
    </r>
  </si>
  <si>
    <r>
      <rPr>
        <sz val="9"/>
        <color rgb="FF0000C0"/>
        <rFont val="微软雅黑"/>
        <family val="0"/>
        <charset val="1"/>
      </rPr>
      <t xml:space="preserve">2026.7.23</t>
    </r>
    <r>
      <rPr>
        <sz val="9"/>
        <color rgb="FF0000C0"/>
        <rFont val="WenQuanYi Zen Hei"/>
        <family val="2"/>
      </rPr>
      <t xml:space="preserve">迅驰开票到民能：少盘线哨楼村支线</t>
    </r>
  </si>
  <si>
    <r>
      <rPr>
        <sz val="9"/>
        <color rgb="FF0000C0"/>
        <rFont val="微软雅黑"/>
        <family val="0"/>
        <charset val="1"/>
      </rPr>
      <t xml:space="preserve">2026.7.23</t>
    </r>
    <r>
      <rPr>
        <sz val="9"/>
        <color rgb="FF0000C0"/>
        <rFont val="WenQuanYi Zen Hei"/>
        <family val="2"/>
      </rPr>
      <t xml:space="preserve">和迅驰对账应退税费</t>
    </r>
    <r>
      <rPr>
        <sz val="9"/>
        <color rgb="FF0000C0"/>
        <rFont val="微软雅黑"/>
        <family val="0"/>
        <charset val="1"/>
      </rPr>
      <t xml:space="preserve">373.7</t>
    </r>
    <r>
      <rPr>
        <sz val="9"/>
        <color rgb="FF0000C0"/>
        <rFont val="WenQuanYi Zen Hei"/>
        <family val="2"/>
      </rPr>
      <t xml:space="preserve">，</t>
    </r>
    <r>
      <rPr>
        <sz val="9"/>
        <color rgb="FF0000C0"/>
        <rFont val="微软雅黑"/>
        <family val="0"/>
        <charset val="1"/>
      </rPr>
      <t xml:space="preserve">7.24</t>
    </r>
    <r>
      <rPr>
        <sz val="9"/>
        <color rgb="FF0000C0"/>
        <rFont val="WenQuanYi Zen Hei"/>
        <family val="2"/>
      </rPr>
      <t xml:space="preserve">已退，秋平微信收到转蒋玲提备用金账户了</t>
    </r>
  </si>
  <si>
    <r>
      <rPr>
        <sz val="9"/>
        <color rgb="FF0000C0"/>
        <rFont val="微软雅黑"/>
        <family val="0"/>
        <charset val="1"/>
      </rPr>
      <t xml:space="preserve">2026.7.23</t>
    </r>
    <r>
      <rPr>
        <sz val="9"/>
        <color rgb="FF0000C0"/>
        <rFont val="WenQuanYi Zen Hei"/>
        <family val="2"/>
      </rPr>
      <t xml:space="preserve">号和金沁对账无误，实际应收款为</t>
    </r>
    <r>
      <rPr>
        <sz val="9"/>
        <color rgb="FF0000C0"/>
        <rFont val="微软雅黑"/>
        <family val="0"/>
        <charset val="1"/>
      </rPr>
      <t xml:space="preserve">27709-1134.3</t>
    </r>
    <r>
      <rPr>
        <sz val="9"/>
        <color rgb="FF0000C0"/>
        <rFont val="WenQuanYi Zen Hei"/>
        <family val="2"/>
      </rPr>
      <t xml:space="preserve">（税差）</t>
    </r>
    <r>
      <rPr>
        <sz val="9"/>
        <color rgb="FF0000C0"/>
        <rFont val="微软雅黑"/>
        <family val="0"/>
        <charset val="1"/>
      </rPr>
      <t xml:space="preserve">-1385.45</t>
    </r>
    <r>
      <rPr>
        <sz val="9"/>
        <color rgb="FF0000C0"/>
        <rFont val="WenQuanYi Zen Hei"/>
        <family val="2"/>
      </rPr>
      <t xml:space="preserve">（管理费）</t>
    </r>
    <r>
      <rPr>
        <sz val="9"/>
        <color rgb="FF0000C0"/>
        <rFont val="微软雅黑"/>
        <family val="0"/>
        <charset val="1"/>
      </rPr>
      <t xml:space="preserve">-16.63</t>
    </r>
    <r>
      <rPr>
        <sz val="9"/>
        <color rgb="FF0000C0"/>
        <rFont val="WenQuanYi Zen Hei"/>
        <family val="2"/>
      </rPr>
      <t xml:space="preserve">（印花税）</t>
    </r>
    <r>
      <rPr>
        <sz val="9"/>
        <color rgb="FF0000C0"/>
        <rFont val="微软雅黑"/>
        <family val="0"/>
        <charset val="1"/>
      </rPr>
      <t xml:space="preserve">=25172.62</t>
    </r>
  </si>
  <si>
    <r>
      <rPr>
        <sz val="9"/>
        <color rgb="FF0000C0"/>
        <rFont val="微软雅黑"/>
        <family val="0"/>
        <charset val="1"/>
      </rPr>
      <t xml:space="preserve">2026.7.24</t>
    </r>
    <r>
      <rPr>
        <sz val="9"/>
        <color rgb="FF0000C0"/>
        <rFont val="WenQuanYi Zen Hei"/>
        <family val="2"/>
      </rPr>
      <t xml:space="preserve">泓普开票（劳务）到华城：永嘉所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西新线等</t>
    </r>
    <r>
      <rPr>
        <sz val="9"/>
        <color rgb="FF0000C0"/>
        <rFont val="微软雅黑"/>
        <family val="0"/>
        <charset val="1"/>
      </rPr>
      <t xml:space="preserve">2</t>
    </r>
    <r>
      <rPr>
        <sz val="9"/>
        <color rgb="FF0000C0"/>
        <rFont val="WenQuanYi Zen Hei"/>
        <family val="2"/>
      </rPr>
      <t xml:space="preserve">条线路</t>
    </r>
  </si>
  <si>
    <r>
      <rPr>
        <sz val="9"/>
        <color rgb="FF0000C0"/>
        <rFont val="微软雅黑"/>
        <family val="0"/>
        <charset val="1"/>
      </rPr>
      <t xml:space="preserve">2026.7.24</t>
    </r>
    <r>
      <rPr>
        <sz val="9"/>
        <color rgb="FF0000C0"/>
        <rFont val="WenQuanYi Zen Hei"/>
        <family val="2"/>
      </rPr>
      <t xml:space="preserve">泓普开票（劳务）到华城：永嘉所义和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</si>
  <si>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2026.7.24</t>
    </r>
    <r>
      <rPr>
        <sz val="9"/>
        <color rgb="FF0000C0"/>
        <rFont val="WenQuanYi Zen Hei"/>
        <family val="2"/>
      </rPr>
      <t xml:space="preserve">泓普开票（劳务）到华城：输电运检中心线路接地隐患消除</t>
    </r>
  </si>
  <si>
    <r>
      <rPr>
        <sz val="9"/>
        <color rgb="FF0000C0"/>
        <rFont val="微软雅黑"/>
        <family val="0"/>
        <charset val="1"/>
      </rPr>
      <t xml:space="preserve">2026.7.24</t>
    </r>
    <r>
      <rPr>
        <sz val="9"/>
        <color rgb="FF0000C0"/>
        <rFont val="WenQuanYi Zen Hei"/>
        <family val="2"/>
      </rPr>
      <t xml:space="preserve">湖南锦泰开票到铜梁供电分公司：滨河东路</t>
    </r>
    <r>
      <rPr>
        <sz val="9"/>
        <color rgb="FF0000C0"/>
        <rFont val="微软雅黑"/>
        <family val="0"/>
        <charset val="1"/>
      </rPr>
      <t xml:space="preserve">68</t>
    </r>
    <r>
      <rPr>
        <sz val="9"/>
        <color rgb="FF0000C0"/>
        <rFont val="WenQuanYi Zen Hei"/>
        <family val="2"/>
      </rPr>
      <t xml:space="preserve">小区</t>
    </r>
  </si>
  <si>
    <r>
      <rPr>
        <sz val="9"/>
        <color rgb="FF0000C0"/>
        <rFont val="微软雅黑"/>
        <family val="0"/>
        <charset val="1"/>
      </rPr>
      <t xml:space="preserve">2026.7.24</t>
    </r>
    <r>
      <rPr>
        <sz val="9"/>
        <color rgb="FF0000C0"/>
        <rFont val="WenQuanYi Zen Hei"/>
        <family val="2"/>
      </rPr>
      <t xml:space="preserve">湖南锦泰开票到铜梁供电分公司：新华商住楼</t>
    </r>
  </si>
  <si>
    <r>
      <rPr>
        <sz val="9"/>
        <color rgb="FF0000C0"/>
        <rFont val="微软雅黑"/>
        <family val="0"/>
        <charset val="1"/>
      </rPr>
      <t xml:space="preserve">2026.7.24</t>
    </r>
    <r>
      <rPr>
        <sz val="9"/>
        <color rgb="FF0000C0"/>
        <rFont val="WenQuanYi Zen Hei"/>
        <family val="2"/>
      </rPr>
      <t xml:space="preserve">湖南锦泰开票到铜梁供电分公司：锦绣花园</t>
    </r>
    <r>
      <rPr>
        <sz val="9"/>
        <color rgb="FF0000C0"/>
        <rFont val="微软雅黑"/>
        <family val="0"/>
        <charset val="1"/>
      </rPr>
      <t xml:space="preserve">A</t>
    </r>
    <r>
      <rPr>
        <sz val="9"/>
        <color rgb="FF0000C0"/>
        <rFont val="WenQuanYi Zen Hei"/>
        <family val="2"/>
      </rPr>
      <t xml:space="preserve">区</t>
    </r>
  </si>
  <si>
    <r>
      <rPr>
        <sz val="9"/>
        <color rgb="FF0000C0"/>
        <rFont val="微软雅黑"/>
        <family val="0"/>
        <charset val="1"/>
      </rPr>
      <t xml:space="preserve">2026.7.27</t>
    </r>
    <r>
      <rPr>
        <sz val="9"/>
        <color rgb="FF0000C0"/>
        <rFont val="WenQuanYi Zen Hei"/>
        <family val="2"/>
      </rPr>
      <t xml:space="preserve">彭总和郝总沟通再交：</t>
    </r>
    <r>
      <rPr>
        <sz val="9"/>
        <color rgb="FF0000C0"/>
        <rFont val="微软雅黑"/>
        <family val="0"/>
        <charset val="1"/>
      </rPr>
      <t xml:space="preserve">11886.62+2211.19</t>
    </r>
  </si>
  <si>
    <r>
      <rPr>
        <sz val="9"/>
        <color rgb="FF0000C0"/>
        <rFont val="微软雅黑"/>
        <family val="0"/>
        <charset val="1"/>
      </rPr>
      <t xml:space="preserve">2026.7.28</t>
    </r>
    <r>
      <rPr>
        <sz val="9"/>
        <color rgb="FF0000C0"/>
        <rFont val="WenQuanYi Zen Hei"/>
        <family val="2"/>
      </rPr>
      <t xml:space="preserve">民能代付工资：黄荆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社和三湾</t>
    </r>
    <r>
      <rPr>
        <sz val="9"/>
        <color rgb="FF0000C0"/>
        <rFont val="微软雅黑"/>
        <family val="0"/>
        <charset val="1"/>
      </rPr>
      <t xml:space="preserve">1.2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</si>
  <si>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2026.7.28</t>
    </r>
    <r>
      <rPr>
        <sz val="9"/>
        <color rgb="FF0000C0"/>
        <rFont val="WenQuanYi Zen Hei"/>
        <family val="2"/>
      </rPr>
      <t xml:space="preserve">民能代付工资：金湖东西电缆改造
（土建）</t>
    </r>
  </si>
  <si>
    <r>
      <rPr>
        <sz val="9"/>
        <color rgb="FF0000C0"/>
        <rFont val="微软雅黑"/>
        <family val="0"/>
        <charset val="1"/>
      </rPr>
      <t xml:space="preserve">2026.7.28</t>
    </r>
    <r>
      <rPr>
        <sz val="9"/>
        <color rgb="FF0000C0"/>
        <rFont val="WenQuanYi Zen Hei"/>
        <family val="2"/>
      </rPr>
      <t xml:space="preserve">民能代付工资：大太线老旧线路代发工资</t>
    </r>
    <r>
      <rPr>
        <sz val="9"/>
        <color rgb="FF0000C0"/>
        <rFont val="微软雅黑"/>
        <family val="0"/>
        <charset val="1"/>
      </rPr>
      <t xml:space="preserve">174907</t>
    </r>
    <r>
      <rPr>
        <sz val="9"/>
        <color rgb="FF0000C0"/>
        <rFont val="WenQuanYi Zen Hei"/>
        <family val="2"/>
      </rPr>
      <t xml:space="preserve">，提现</t>
    </r>
    <r>
      <rPr>
        <sz val="9"/>
        <color rgb="FF0000C0"/>
        <rFont val="微软雅黑"/>
        <family val="0"/>
        <charset val="1"/>
      </rPr>
      <t xml:space="preserve">22593</t>
    </r>
  </si>
  <si>
    <r>
      <rPr>
        <sz val="9"/>
        <color rgb="FF0000C0"/>
        <rFont val="微软雅黑"/>
        <family val="0"/>
        <charset val="1"/>
      </rPr>
      <t xml:space="preserve">2026.7.28</t>
    </r>
    <r>
      <rPr>
        <sz val="9"/>
        <color rgb="FF0000C0"/>
        <rFont val="WenQuanYi Zen Hei"/>
        <family val="2"/>
      </rPr>
      <t xml:space="preserve">民能代付工资：金湖东西电缆改造（安装）</t>
    </r>
  </si>
  <si>
    <r>
      <rPr>
        <sz val="9"/>
        <color rgb="FF0000C0"/>
        <rFont val="微软雅黑"/>
        <family val="0"/>
        <charset val="1"/>
      </rPr>
      <t xml:space="preserve">2026.7.28</t>
    </r>
    <r>
      <rPr>
        <sz val="9"/>
        <color rgb="FF0000C0"/>
        <rFont val="WenQuanYi Zen Hei"/>
        <family val="2"/>
      </rPr>
      <t xml:space="preserve">民能代付工资：侣新线铜安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</si>
  <si>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2026.7.28</t>
    </r>
    <r>
      <rPr>
        <sz val="9"/>
        <color rgb="FF0000C0"/>
        <rFont val="WenQuanYi Zen Hei"/>
        <family val="2"/>
      </rPr>
      <t xml:space="preserve">民能代付工资：侣新线铜安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</si>
  <si>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2026.7.28</t>
    </r>
    <r>
      <rPr>
        <sz val="9"/>
        <color rgb="FF0000C0"/>
        <rFont val="WenQuanYi Zen Hei"/>
        <family val="2"/>
      </rPr>
      <t xml:space="preserve">民能代付工资：平双线群益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</si>
  <si>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2026.7.28</t>
    </r>
    <r>
      <rPr>
        <sz val="9"/>
        <color rgb="FF0000C0"/>
        <rFont val="WenQuanYi Zen Hei"/>
        <family val="2"/>
      </rPr>
      <t xml:space="preserve">民能代付工资：平镇线新桥社台</t>
    </r>
  </si>
  <si>
    <r>
      <rPr>
        <sz val="9"/>
        <color rgb="FF0000C0"/>
        <rFont val="微软雅黑"/>
        <family val="0"/>
        <charset val="1"/>
      </rPr>
      <t xml:space="preserve">2026.7.28</t>
    </r>
    <r>
      <rPr>
        <sz val="9"/>
        <color rgb="FF0000C0"/>
        <rFont val="WenQuanYi Zen Hei"/>
        <family val="2"/>
      </rPr>
      <t xml:space="preserve">民能代付工资：侣新线凤飞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</si>
  <si>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2026.7.28</t>
    </r>
    <r>
      <rPr>
        <sz val="9"/>
        <color rgb="FF0000C0"/>
        <rFont val="WenQuanYi Zen Hei"/>
        <family val="2"/>
      </rPr>
      <t xml:space="preserve">彭豪确定代付民工工资：侣新线铜安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</si>
  <si>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2026.7.28</t>
    </r>
    <r>
      <rPr>
        <sz val="9"/>
        <color rgb="FF0000C0"/>
        <rFont val="WenQuanYi Zen Hei"/>
        <family val="2"/>
      </rPr>
      <t xml:space="preserve">彭豪确定代付民工工资：侣新线铜安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</si>
  <si>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2026.7.28</t>
    </r>
    <r>
      <rPr>
        <sz val="9"/>
        <color rgb="FF0000C0"/>
        <rFont val="WenQuanYi Zen Hei"/>
        <family val="2"/>
      </rPr>
      <t xml:space="preserve">彭豪确定代付民工工资：平双线群益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</si>
  <si>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2026.7.28</t>
    </r>
    <r>
      <rPr>
        <sz val="9"/>
        <color rgb="FF0000C0"/>
        <rFont val="WenQuanYi Zen Hei"/>
        <family val="2"/>
      </rPr>
      <t xml:space="preserve">彭豪确定代付民工工资：平镇线新桥社</t>
    </r>
  </si>
  <si>
    <r>
      <rPr>
        <sz val="9"/>
        <color rgb="FF0000C0"/>
        <rFont val="微软雅黑"/>
        <family val="0"/>
        <charset val="1"/>
      </rPr>
      <t xml:space="preserve">2026.7.28</t>
    </r>
    <r>
      <rPr>
        <sz val="9"/>
        <color rgb="FF0000C0"/>
        <rFont val="WenQuanYi Zen Hei"/>
        <family val="2"/>
      </rPr>
      <t xml:space="preserve">彭豪确定代付民工工资：侣新线凤飞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</si>
  <si>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2026.7.28</t>
    </r>
    <r>
      <rPr>
        <sz val="9"/>
        <color rgb="FF0000C0"/>
        <rFont val="WenQuanYi Zen Hei"/>
        <family val="2"/>
      </rPr>
      <t xml:space="preserve">民能代付民工工资：大太线老旧改造</t>
    </r>
  </si>
  <si>
    <r>
      <rPr>
        <sz val="9"/>
        <color rgb="FF0000C0"/>
        <rFont val="微软雅黑"/>
        <family val="0"/>
        <charset val="1"/>
      </rPr>
      <t xml:space="preserve">2026.8.3</t>
    </r>
    <r>
      <rPr>
        <sz val="9"/>
        <color rgb="FF0000C0"/>
        <rFont val="WenQuanYi Zen Hei"/>
        <family val="2"/>
      </rPr>
      <t xml:space="preserve">仟茂收到德誉嘉款项：黄荆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</si>
  <si>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2026.8.3</t>
    </r>
    <r>
      <rPr>
        <sz val="9"/>
        <color rgb="FF0000C0"/>
        <rFont val="WenQuanYi Zen Hei"/>
        <family val="2"/>
      </rPr>
      <t xml:space="preserve">仟茂收到德誉嘉款项：侣新线铜安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</si>
  <si>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2026.8.3</t>
    </r>
    <r>
      <rPr>
        <sz val="9"/>
        <color rgb="FF0000C0"/>
        <rFont val="WenQuanYi Zen Hei"/>
        <family val="2"/>
      </rPr>
      <t xml:space="preserve">仟茂收到德誉嘉款项：平双线群益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</si>
  <si>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2026.8.3</t>
    </r>
    <r>
      <rPr>
        <sz val="9"/>
        <color rgb="FF0000C0"/>
        <rFont val="WenQuanYi Zen Hei"/>
        <family val="2"/>
      </rPr>
      <t xml:space="preserve">仟茂收到德誉嘉款项：平镇线新桥社台</t>
    </r>
  </si>
  <si>
    <r>
      <rPr>
        <sz val="9"/>
        <color rgb="FF0000C0"/>
        <rFont val="微软雅黑"/>
        <family val="0"/>
        <charset val="1"/>
      </rPr>
      <t xml:space="preserve">2026.8.3</t>
    </r>
    <r>
      <rPr>
        <sz val="9"/>
        <color rgb="FF0000C0"/>
        <rFont val="WenQuanYi Zen Hei"/>
        <family val="2"/>
      </rPr>
      <t xml:space="preserve">仟茂收到德誉嘉款项：侣新线凤飞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社</t>
    </r>
  </si>
  <si>
    <r>
      <rPr>
        <sz val="9"/>
        <color rgb="FF0000C0"/>
        <rFont val="微软雅黑"/>
        <family val="0"/>
        <charset val="1"/>
      </rPr>
      <t xml:space="preserve">2026.8.5</t>
    </r>
    <r>
      <rPr>
        <sz val="9"/>
        <color rgb="FF0000C0"/>
        <rFont val="WenQuanYi Zen Hei"/>
        <family val="2"/>
      </rPr>
      <t xml:space="preserve">德誉嘉收到民能款项：大太线</t>
    </r>
  </si>
  <si>
    <r>
      <rPr>
        <sz val="9"/>
        <color rgb="FF0000C0"/>
        <rFont val="微软雅黑"/>
        <family val="0"/>
        <charset val="1"/>
      </rPr>
      <t xml:space="preserve">2026.8.14</t>
    </r>
    <r>
      <rPr>
        <sz val="9"/>
        <color rgb="FF0000C0"/>
        <rFont val="WenQuanYi Zen Hei"/>
        <family val="2"/>
      </rPr>
      <t xml:space="preserve">泓普开票（劳务）华城：华润电力滩农光互补项目</t>
    </r>
    <r>
      <rPr>
        <sz val="9"/>
        <color rgb="FF0000C0"/>
        <rFont val="微软雅黑"/>
        <family val="0"/>
        <charset val="1"/>
      </rPr>
      <t xml:space="preserve">220kV</t>
    </r>
    <r>
      <rPr>
        <sz val="9"/>
        <color rgb="FF0000C0"/>
        <rFont val="WenQuanYi Zen Hei"/>
        <family val="2"/>
      </rPr>
      <t xml:space="preserve">升压站</t>
    </r>
    <r>
      <rPr>
        <sz val="9"/>
        <color rgb="FF0000C0"/>
        <rFont val="微软雅黑"/>
        <family val="0"/>
        <charset val="1"/>
      </rPr>
      <t xml:space="preserve">PC</t>
    </r>
    <r>
      <rPr>
        <sz val="9"/>
        <color rgb="FF0000C0"/>
        <rFont val="WenQuanYi Zen Hei"/>
        <family val="2"/>
      </rPr>
      <t xml:space="preserve">工程</t>
    </r>
  </si>
  <si>
    <r>
      <rPr>
        <sz val="9"/>
        <color rgb="FF0000C0"/>
        <rFont val="微软雅黑"/>
        <family val="0"/>
        <charset val="1"/>
      </rPr>
      <t xml:space="preserve">2026.8.14</t>
    </r>
    <r>
      <rPr>
        <sz val="9"/>
        <color rgb="FF0000C0"/>
        <rFont val="WenQuanYi Zen Hei"/>
        <family val="2"/>
      </rPr>
      <t xml:space="preserve">康欣开劳务到民能：重庆稷博汇物流</t>
    </r>
  </si>
  <si>
    <r>
      <rPr>
        <sz val="9"/>
        <color rgb="FF0000C0"/>
        <rFont val="微软雅黑"/>
        <family val="0"/>
        <charset val="1"/>
      </rPr>
      <t xml:space="preserve">2026.8.17</t>
    </r>
    <r>
      <rPr>
        <sz val="9"/>
        <color rgb="FF0000C0"/>
        <rFont val="WenQuanYi Zen Hei"/>
        <family val="2"/>
      </rPr>
      <t xml:space="preserve">华城开票（劳务）到民能：华润电力平滩农光互补项目</t>
    </r>
    <r>
      <rPr>
        <sz val="9"/>
        <color rgb="FF0000C0"/>
        <rFont val="微软雅黑"/>
        <family val="0"/>
        <charset val="1"/>
      </rPr>
      <t xml:space="preserve">220kV</t>
    </r>
    <r>
      <rPr>
        <sz val="9"/>
        <color rgb="FF0000C0"/>
        <rFont val="WenQuanYi Zen Hei"/>
        <family val="2"/>
      </rPr>
      <t xml:space="preserve">升压站</t>
    </r>
    <r>
      <rPr>
        <sz val="9"/>
        <color rgb="FF0000C0"/>
        <rFont val="微软雅黑"/>
        <family val="0"/>
        <charset val="1"/>
      </rPr>
      <t xml:space="preserve">PC</t>
    </r>
    <r>
      <rPr>
        <sz val="9"/>
        <color rgb="FF0000C0"/>
        <rFont val="WenQuanYi Zen Hei"/>
        <family val="2"/>
      </rPr>
      <t xml:space="preserve">工程</t>
    </r>
  </si>
  <si>
    <r>
      <rPr>
        <sz val="9"/>
        <color rgb="FF0000C0"/>
        <rFont val="微软雅黑"/>
        <family val="0"/>
        <charset val="1"/>
      </rPr>
      <t xml:space="preserve">2026.8.21</t>
    </r>
    <r>
      <rPr>
        <sz val="9"/>
        <color rgb="FF0000C0"/>
        <rFont val="WenQuanYi Zen Hei"/>
        <family val="2"/>
      </rPr>
      <t xml:space="preserve">仟茂开票德誉嘉：平滩农光互补项目</t>
    </r>
  </si>
  <si>
    <r>
      <rPr>
        <sz val="9"/>
        <color rgb="FF0000C0"/>
        <rFont val="微软雅黑"/>
        <family val="0"/>
        <charset val="1"/>
      </rPr>
      <t xml:space="preserve">2026.8.21</t>
    </r>
    <r>
      <rPr>
        <sz val="9"/>
        <color rgb="FF0000C0"/>
        <rFont val="WenQuanYi Zen Hei"/>
        <family val="2"/>
      </rPr>
      <t xml:space="preserve">仟茂开票德誉嘉：充电桩新装用电工程</t>
    </r>
  </si>
  <si>
    <r>
      <rPr>
        <sz val="9"/>
        <color rgb="FF0000C0"/>
        <rFont val="微软雅黑"/>
        <family val="0"/>
        <charset val="1"/>
      </rPr>
      <t xml:space="preserve">2026.8.21</t>
    </r>
    <r>
      <rPr>
        <sz val="9"/>
        <color rgb="FF0000C0"/>
        <rFont val="WenQuanYi Zen Hei"/>
        <family val="2"/>
      </rPr>
      <t xml:space="preserve">仟茂开票德誉嘉：永嘉所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西新线</t>
    </r>
  </si>
  <si>
    <r>
      <rPr>
        <sz val="9"/>
        <color rgb="FF0000C0"/>
        <rFont val="微软雅黑"/>
        <family val="0"/>
        <charset val="1"/>
      </rPr>
      <t xml:space="preserve">2026.8.24</t>
    </r>
    <r>
      <rPr>
        <sz val="9"/>
        <color rgb="FF0000C0"/>
        <rFont val="WenQuanYi Zen Hei"/>
        <family val="2"/>
      </rPr>
      <t xml:space="preserve">德誉嘉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民能</t>
    </r>
    <r>
      <rPr>
        <sz val="9"/>
        <color rgb="FF0000C0"/>
        <rFont val="微软雅黑"/>
        <family val="0"/>
        <charset val="1"/>
      </rPr>
      <t xml:space="preserve">:</t>
    </r>
    <r>
      <rPr>
        <sz val="9"/>
        <color rgb="FF0000C0"/>
        <rFont val="WenQuanYi Zen Hei"/>
        <family val="2"/>
      </rPr>
      <t xml:space="preserve">永嘉所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西新线</t>
    </r>
  </si>
  <si>
    <r>
      <rPr>
        <sz val="9"/>
        <color rgb="FF0000C0"/>
        <rFont val="微软雅黑"/>
        <family val="0"/>
        <charset val="1"/>
      </rPr>
      <t xml:space="preserve">2026.8.24</t>
    </r>
    <r>
      <rPr>
        <sz val="9"/>
        <color rgb="FF0000C0"/>
        <rFont val="WenQuanYi Zen Hei"/>
        <family val="2"/>
      </rPr>
      <t xml:space="preserve">德誉嘉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民能</t>
    </r>
    <r>
      <rPr>
        <sz val="9"/>
        <color rgb="FF0000C0"/>
        <rFont val="微软雅黑"/>
        <family val="0"/>
        <charset val="1"/>
      </rPr>
      <t xml:space="preserve">:</t>
    </r>
    <r>
      <rPr>
        <sz val="9"/>
        <color rgb="FF0000C0"/>
        <rFont val="WenQuanYi Zen Hei"/>
        <family val="2"/>
      </rPr>
      <t xml:space="preserve">充电桩新装用电工程</t>
    </r>
  </si>
  <si>
    <r>
      <rPr>
        <sz val="9"/>
        <color rgb="FF0000C0"/>
        <rFont val="微软雅黑"/>
        <family val="0"/>
        <charset val="1"/>
      </rPr>
      <t xml:space="preserve">2026.8.24</t>
    </r>
    <r>
      <rPr>
        <sz val="9"/>
        <color rgb="FF0000C0"/>
        <rFont val="WenQuanYi Zen Hei"/>
        <family val="2"/>
      </rPr>
      <t xml:space="preserve">德誉嘉</t>
    </r>
    <r>
      <rPr>
        <sz val="9"/>
        <color rgb="FF0000C0"/>
        <rFont val="微软雅黑"/>
        <family val="0"/>
        <charset val="1"/>
      </rPr>
      <t xml:space="preserve">-</t>
    </r>
    <r>
      <rPr>
        <sz val="9"/>
        <color rgb="FF0000C0"/>
        <rFont val="WenQuanYi Zen Hei"/>
        <family val="2"/>
      </rPr>
      <t xml:space="preserve">民能</t>
    </r>
    <r>
      <rPr>
        <sz val="9"/>
        <color rgb="FF0000C0"/>
        <rFont val="微软雅黑"/>
        <family val="0"/>
        <charset val="1"/>
      </rPr>
      <t xml:space="preserve">:</t>
    </r>
    <r>
      <rPr>
        <sz val="9"/>
        <color rgb="FF0000C0"/>
        <rFont val="WenQuanYi Zen Hei"/>
        <family val="2"/>
      </rPr>
      <t xml:space="preserve">平滩农光互补项目</t>
    </r>
  </si>
  <si>
    <r>
      <rPr>
        <sz val="9"/>
        <color rgb="FF0000C0"/>
        <rFont val="微软雅黑"/>
        <family val="0"/>
        <charset val="1"/>
      </rPr>
      <t xml:space="preserve">2026.8.26</t>
    </r>
    <r>
      <rPr>
        <sz val="9"/>
        <color rgb="FF0000C0"/>
        <rFont val="WenQuanYi Zen Hei"/>
        <family val="2"/>
      </rPr>
      <t xml:space="preserve">仟茂收到德誉嘉款项：金湖东西线</t>
    </r>
  </si>
  <si>
    <r>
      <rPr>
        <b val="true"/>
        <sz val="15"/>
        <color rgb="FF1F3864"/>
        <rFont val="WenQuanYi Zen Hei"/>
        <family val="2"/>
      </rPr>
      <t xml:space="preserve">资金日记账（泓普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仟茂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现金 混合录入）</t>
    </r>
  </si>
  <si>
    <t xml:space="preserve">期初余额</t>
  </si>
  <si>
    <t xml:space="preserve">现金</t>
  </si>
  <si>
    <t xml:space="preserve">三个账户混在一起按日期录，右边自动出该账户即时余额和三账户合计余额；填了项目编号就能按项目筛选，工程回款把「工程回款」列选「是」即可与业务流水勾稽。</t>
  </si>
  <si>
    <t xml:space="preserve">资金账户</t>
  </si>
  <si>
    <t xml:space="preserve">费用类型</t>
  </si>
  <si>
    <t xml:space="preserve">往来单位</t>
  </si>
  <si>
    <t xml:space="preserve">经办人</t>
  </si>
  <si>
    <t xml:space="preserve">收入</t>
  </si>
  <si>
    <t xml:space="preserve">支出</t>
  </si>
  <si>
    <t xml:space="preserve">该账户余额</t>
  </si>
  <si>
    <t xml:space="preserve">三账户合计</t>
  </si>
  <si>
    <t xml:space="preserve">工程
回款</t>
  </si>
  <si>
    <t xml:space="preserve">月份</t>
  </si>
  <si>
    <t xml:space="preserve">货款</t>
  </si>
  <si>
    <t xml:space="preserve">彭豪</t>
  </si>
  <si>
    <r>
      <rPr>
        <sz val="9"/>
        <color rgb="FF0000C0"/>
        <rFont val="微软雅黑"/>
        <family val="0"/>
        <charset val="1"/>
      </rPr>
      <t xml:space="preserve">2026.8.03</t>
    </r>
    <r>
      <rPr>
        <sz val="9"/>
        <color rgb="FF0000C0"/>
        <rFont val="WenQuanYi Zen Hei"/>
        <family val="2"/>
      </rPr>
      <t xml:space="preserve">仟茂银收：收到电子汇入货款</t>
    </r>
  </si>
  <si>
    <t xml:space="preserve">餐费</t>
  </si>
  <si>
    <t xml:space="preserve">曾洪平</t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</si>
  <si>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号曾洪平报销：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华岭线红升</t>
    </r>
    <r>
      <rPr>
        <sz val="9"/>
        <color rgb="FF0000C0"/>
        <rFont val="微软雅黑"/>
        <family val="0"/>
        <charset val="1"/>
      </rPr>
      <t xml:space="preserve">6</t>
    </r>
    <r>
      <rPr>
        <sz val="9"/>
        <color rgb="FF0000C0"/>
        <rFont val="WenQuanYi Zen Hei"/>
        <family val="2"/>
      </rPr>
      <t xml:space="preserve">社台区隐患治理工程交底中午餐费</t>
    </r>
    <r>
      <rPr>
        <sz val="9"/>
        <color rgb="FF0000C0"/>
        <rFont val="微软雅黑"/>
        <family val="0"/>
        <charset val="1"/>
      </rPr>
      <t xml:space="preserve">15</t>
    </r>
    <r>
      <rPr>
        <sz val="9"/>
        <color rgb="FF0000C0"/>
        <rFont val="WenQuanYi Zen Hei"/>
        <family val="2"/>
      </rPr>
      <t xml:space="preserve">元</t>
    </r>
  </si>
  <si>
    <t xml:space="preserve">运费</t>
  </si>
  <si>
    <t xml:space="preserve">曾严</t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</si>
  <si>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号曾严报销：取绞磨</t>
    </r>
    <r>
      <rPr>
        <sz val="9"/>
        <color rgb="FF0000C0"/>
        <rFont val="微软雅黑"/>
        <family val="0"/>
        <charset val="1"/>
      </rPr>
      <t xml:space="preserve">3</t>
    </r>
    <r>
      <rPr>
        <sz val="9"/>
        <color rgb="FF0000C0"/>
        <rFont val="WenQuanYi Zen Hei"/>
        <family val="2"/>
      </rPr>
      <t xml:space="preserve">台，运费</t>
    </r>
    <r>
      <rPr>
        <sz val="9"/>
        <color rgb="FF0000C0"/>
        <rFont val="微软雅黑"/>
        <family val="0"/>
        <charset val="1"/>
      </rPr>
      <t xml:space="preserve">121</t>
    </r>
    <r>
      <rPr>
        <sz val="9"/>
        <color rgb="FF0000C0"/>
        <rFont val="WenQuanYi Zen Hei"/>
        <family val="2"/>
      </rPr>
      <t xml:space="preserve">元</t>
    </r>
  </si>
  <si>
    <t xml:space="preserve">耗材费</t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</si>
  <si>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号曾洪平报销：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少柏线池塘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</t>
    </r>
    <r>
      <rPr>
        <sz val="9"/>
        <color rgb="FF0000C0"/>
        <rFont val="微软雅黑"/>
        <family val="0"/>
        <charset val="1"/>
      </rPr>
      <t xml:space="preserve">#2</t>
    </r>
    <r>
      <rPr>
        <sz val="9"/>
        <color rgb="FF0000C0"/>
        <rFont val="WenQuanYi Zen Hei"/>
        <family val="2"/>
      </rPr>
      <t xml:space="preserve">变支线买杀虫剂</t>
    </r>
    <r>
      <rPr>
        <sz val="9"/>
        <color rgb="FF0000C0"/>
        <rFont val="微软雅黑"/>
        <family val="0"/>
        <charset val="1"/>
      </rPr>
      <t xml:space="preserve">2</t>
    </r>
    <r>
      <rPr>
        <sz val="9"/>
        <color rgb="FF0000C0"/>
        <rFont val="WenQuanYi Zen Hei"/>
        <family val="2"/>
      </rPr>
      <t xml:space="preserve">瓶</t>
    </r>
  </si>
  <si>
    <t xml:space="preserve">手续费</t>
  </si>
  <si>
    <r>
      <rPr>
        <sz val="9"/>
        <color rgb="FF0000C0"/>
        <rFont val="微软雅黑"/>
        <family val="0"/>
        <charset val="1"/>
      </rPr>
      <t xml:space="preserve">2026.08.5</t>
    </r>
    <r>
      <rPr>
        <sz val="9"/>
        <color rgb="FF0000C0"/>
        <rFont val="WenQuanYi Zen Hei"/>
        <family val="2"/>
      </rPr>
      <t xml:space="preserve">仟茂银付：支付转账手续费</t>
    </r>
  </si>
  <si>
    <t xml:space="preserve">燃油费</t>
  </si>
  <si>
    <r>
      <rPr>
        <sz val="9"/>
        <color rgb="FF0000C0"/>
        <rFont val="微软雅黑"/>
        <family val="0"/>
        <charset val="1"/>
      </rPr>
      <t xml:space="preserve">2026.08.05</t>
    </r>
    <r>
      <rPr>
        <sz val="9"/>
        <color rgb="FF0000C0"/>
        <rFont val="WenQuanYi Zen Hei"/>
        <family val="2"/>
      </rPr>
      <t xml:space="preserve">仟茂银付：支付燃油费</t>
    </r>
  </si>
  <si>
    <t xml:space="preserve">还借款</t>
  </si>
  <si>
    <r>
      <rPr>
        <sz val="9"/>
        <color rgb="FF0000C0"/>
        <rFont val="微软雅黑"/>
        <family val="0"/>
        <charset val="1"/>
      </rPr>
      <t xml:space="preserve">2026.08.05</t>
    </r>
    <r>
      <rPr>
        <sz val="9"/>
        <color rgb="FF0000C0"/>
        <rFont val="WenQuanYi Zen Hei"/>
        <family val="2"/>
      </rPr>
      <t xml:space="preserve">仟茂银付：还款孙代兰</t>
    </r>
  </si>
  <si>
    <t xml:space="preserve">社保</t>
  </si>
  <si>
    <t xml:space="preserve">孙代兰</t>
  </si>
  <si>
    <r>
      <rPr>
        <sz val="9"/>
        <color rgb="FF0000C0"/>
        <rFont val="微软雅黑"/>
        <family val="0"/>
        <charset val="1"/>
      </rPr>
      <t xml:space="preserve">2026.08.07</t>
    </r>
    <r>
      <rPr>
        <sz val="9"/>
        <color rgb="FF0000C0"/>
        <rFont val="WenQuanYi Zen Hei"/>
        <family val="2"/>
      </rPr>
      <t xml:space="preserve">泓普银付：支付员工社保</t>
    </r>
  </si>
  <si>
    <t xml:space="preserve">饮用水费用</t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</si>
  <si>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号曾洪平报销：项目部买水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桶</t>
    </r>
    <r>
      <rPr>
        <sz val="9"/>
        <color rgb="FF0000C0"/>
        <rFont val="微软雅黑"/>
        <family val="0"/>
        <charset val="1"/>
      </rPr>
      <t xml:space="preserve">/10</t>
    </r>
    <r>
      <rPr>
        <sz val="9"/>
        <color rgb="FF0000C0"/>
        <rFont val="WenQuanYi Zen Hei"/>
        <family val="2"/>
      </rPr>
      <t xml:space="preserve">元，取水器一个</t>
    </r>
    <r>
      <rPr>
        <sz val="9"/>
        <color rgb="FF0000C0"/>
        <rFont val="微软雅黑"/>
        <family val="0"/>
        <charset val="1"/>
      </rPr>
      <t xml:space="preserve">10</t>
    </r>
    <r>
      <rPr>
        <sz val="9"/>
        <color rgb="FF0000C0"/>
        <rFont val="WenQuanYi Zen Hei"/>
        <family val="2"/>
      </rPr>
      <t xml:space="preserve">元</t>
    </r>
  </si>
  <si>
    <t xml:space="preserve">借款</t>
  </si>
  <si>
    <r>
      <rPr>
        <sz val="9"/>
        <color rgb="FF0000C0"/>
        <rFont val="微软雅黑"/>
        <family val="0"/>
        <charset val="1"/>
      </rPr>
      <t xml:space="preserve">2026.08.08</t>
    </r>
    <r>
      <rPr>
        <sz val="9"/>
        <color rgb="FF0000C0"/>
        <rFont val="WenQuanYi Zen Hei"/>
        <family val="2"/>
      </rPr>
      <t xml:space="preserve">泓普银收：收到孙代兰借款</t>
    </r>
  </si>
  <si>
    <r>
      <rPr>
        <sz val="9"/>
        <color rgb="FF0000C0"/>
        <rFont val="微软雅黑"/>
        <family val="0"/>
        <charset val="1"/>
      </rPr>
      <t xml:space="preserve">2026.08.08</t>
    </r>
    <r>
      <rPr>
        <sz val="9"/>
        <color rgb="FF0000C0"/>
        <rFont val="WenQuanYi Zen Hei"/>
        <family val="2"/>
      </rPr>
      <t xml:space="preserve">泓普银付：支付员工社保</t>
    </r>
  </si>
  <si>
    <r>
      <rPr>
        <sz val="9"/>
        <color rgb="FF0000C0"/>
        <rFont val="微软雅黑"/>
        <family val="0"/>
        <charset val="1"/>
      </rPr>
      <t xml:space="preserve">2026.08.08</t>
    </r>
    <r>
      <rPr>
        <sz val="9"/>
        <color rgb="FF0000C0"/>
        <rFont val="WenQuanYi Zen Hei"/>
        <family val="2"/>
      </rPr>
      <t xml:space="preserve">泓普银收：收到备用金存款</t>
    </r>
  </si>
  <si>
    <t xml:space="preserve">转备用金</t>
  </si>
  <si>
    <t xml:space="preserve">蒋玲</t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</si>
  <si>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号蒋玲存备用金到基本户扣社保</t>
    </r>
    <r>
      <rPr>
        <sz val="9"/>
        <color rgb="FF0000C0"/>
        <rFont val="微软雅黑"/>
        <family val="0"/>
        <charset val="1"/>
      </rPr>
      <t xml:space="preserve">1100</t>
    </r>
  </si>
  <si>
    <r>
      <rPr>
        <sz val="9"/>
        <color rgb="FF0000C0"/>
        <rFont val="微软雅黑"/>
        <family val="0"/>
        <charset val="1"/>
      </rPr>
      <t xml:space="preserve">2026.08.10</t>
    </r>
    <r>
      <rPr>
        <sz val="9"/>
        <color rgb="FF0000C0"/>
        <rFont val="WenQuanYi Zen Hei"/>
        <family val="2"/>
      </rPr>
      <t xml:space="preserve">泓普银付：支付员工社保</t>
    </r>
  </si>
  <si>
    <r>
      <rPr>
        <sz val="9"/>
        <color rgb="FF0000C0"/>
        <rFont val="微软雅黑"/>
        <family val="0"/>
        <charset val="1"/>
      </rPr>
      <t xml:space="preserve">2026.8.10</t>
    </r>
    <r>
      <rPr>
        <sz val="9"/>
        <color rgb="FF0000C0"/>
        <rFont val="WenQuanYi Zen Hei"/>
        <family val="2"/>
      </rPr>
      <t xml:space="preserve">收到孙代兰借款</t>
    </r>
  </si>
  <si>
    <r>
      <rPr>
        <sz val="9"/>
        <color rgb="FF0000C0"/>
        <rFont val="微软雅黑"/>
        <family val="0"/>
        <charset val="1"/>
      </rPr>
      <t xml:space="preserve">2026.8.10</t>
    </r>
    <r>
      <rPr>
        <sz val="9"/>
        <color rgb="FF0000C0"/>
        <rFont val="WenQuanYi Zen Hei"/>
        <family val="2"/>
      </rPr>
      <t xml:space="preserve">转泓普基本户存备用金</t>
    </r>
  </si>
  <si>
    <t xml:space="preserve">办公费用</t>
  </si>
  <si>
    <t xml:space="preserve">李婷婷</t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</si>
  <si>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10</t>
    </r>
    <r>
      <rPr>
        <sz val="9"/>
        <color rgb="FF0000C0"/>
        <rFont val="WenQuanYi Zen Hei"/>
        <family val="2"/>
      </rPr>
      <t xml:space="preserve">号李婷婷报销：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号购买燕尾夹、文件袋等办公用品，共计</t>
    </r>
    <r>
      <rPr>
        <sz val="9"/>
        <color rgb="FF0000C0"/>
        <rFont val="微软雅黑"/>
        <family val="0"/>
        <charset val="1"/>
      </rPr>
      <t xml:space="preserve">186.16</t>
    </r>
    <r>
      <rPr>
        <sz val="9"/>
        <color rgb="FF0000C0"/>
        <rFont val="WenQuanYi Zen Hei"/>
        <family val="2"/>
      </rPr>
      <t xml:space="preserve">元</t>
    </r>
  </si>
  <si>
    <t xml:space="preserve">田云隆</t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</si>
  <si>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10</t>
    </r>
    <r>
      <rPr>
        <sz val="9"/>
        <color rgb="FF0000C0"/>
        <rFont val="WenQuanYi Zen Hei"/>
        <family val="2"/>
      </rPr>
      <t xml:space="preserve">号田云隆报销：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9</t>
    </r>
    <r>
      <rPr>
        <sz val="9"/>
        <color rgb="FF0000C0"/>
        <rFont val="WenQuanYi Zen Hei"/>
        <family val="2"/>
      </rPr>
      <t xml:space="preserve">日修复红岩厂围网（光伏项目）买柱子、围网共计</t>
    </r>
    <r>
      <rPr>
        <sz val="9"/>
        <color rgb="FF0000C0"/>
        <rFont val="微软雅黑"/>
        <family val="0"/>
        <charset val="1"/>
      </rPr>
      <t xml:space="preserve">400</t>
    </r>
    <r>
      <rPr>
        <sz val="9"/>
        <color rgb="FF0000C0"/>
        <rFont val="WenQuanYi Zen Hei"/>
        <family val="2"/>
      </rPr>
      <t xml:space="preserve">元。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</si>
  <si>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10</t>
    </r>
    <r>
      <rPr>
        <sz val="9"/>
        <color rgb="FF0000C0"/>
        <rFont val="WenQuanYi Zen Hei"/>
        <family val="2"/>
      </rPr>
      <t xml:space="preserve">号曾洪平报销：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少柏线池塘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社台区低压清理树障中午餐费</t>
    </r>
    <r>
      <rPr>
        <sz val="9"/>
        <color rgb="FF0000C0"/>
        <rFont val="微软雅黑"/>
        <family val="0"/>
        <charset val="1"/>
      </rPr>
      <t xml:space="preserve">5</t>
    </r>
    <r>
      <rPr>
        <sz val="9"/>
        <color rgb="FF0000C0"/>
        <rFont val="WenQuanYi Zen Hei"/>
        <family val="2"/>
      </rPr>
      <t xml:space="preserve">人，共计</t>
    </r>
    <r>
      <rPr>
        <sz val="9"/>
        <color rgb="FF0000C0"/>
        <rFont val="微软雅黑"/>
        <family val="0"/>
        <charset val="1"/>
      </rPr>
      <t xml:space="preserve">75</t>
    </r>
    <r>
      <rPr>
        <sz val="9"/>
        <color rgb="FF0000C0"/>
        <rFont val="WenQuanYi Zen Hei"/>
        <family val="2"/>
      </rPr>
      <t xml:space="preserve">元</t>
    </r>
  </si>
  <si>
    <t xml:space="preserve">陈秋平</t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</si>
  <si>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10</t>
    </r>
    <r>
      <rPr>
        <sz val="9"/>
        <color rgb="FF0000C0"/>
        <rFont val="WenQuanYi Zen Hei"/>
        <family val="2"/>
      </rPr>
      <t xml:space="preserve">号陈秋平报销</t>
    </r>
    <r>
      <rPr>
        <sz val="9"/>
        <color rgb="FF0000C0"/>
        <rFont val="微软雅黑"/>
        <family val="0"/>
        <charset val="1"/>
      </rPr>
      <t xml:space="preserve">: 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07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08</t>
    </r>
    <r>
      <rPr>
        <sz val="9"/>
        <color rgb="FF0000C0"/>
        <rFont val="WenQuanYi Zen Hei"/>
        <family val="2"/>
      </rPr>
      <t xml:space="preserve">日：买</t>
    </r>
    <r>
      <rPr>
        <sz val="9"/>
        <color rgb="FF0000C0"/>
        <rFont val="微软雅黑"/>
        <family val="0"/>
        <charset val="1"/>
      </rPr>
      <t xml:space="preserve">A4</t>
    </r>
    <r>
      <rPr>
        <sz val="9"/>
        <color rgb="FF0000C0"/>
        <rFont val="WenQuanYi Zen Hei"/>
        <family val="2"/>
      </rPr>
      <t xml:space="preserve">纸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件共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包，</t>
    </r>
    <r>
      <rPr>
        <sz val="9"/>
        <color rgb="FF0000C0"/>
        <rFont val="微软雅黑"/>
        <family val="0"/>
        <charset val="1"/>
      </rPr>
      <t xml:space="preserve">114.30</t>
    </r>
    <r>
      <rPr>
        <sz val="9"/>
        <color rgb="FF0000C0"/>
        <rFont val="WenQuanYi Zen Hei"/>
        <family val="2"/>
      </rPr>
      <t xml:space="preserve">元，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08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10</t>
    </r>
    <r>
      <rPr>
        <sz val="9"/>
        <color rgb="FF0000C0"/>
        <rFont val="WenQuanYi Zen Hei"/>
        <family val="2"/>
      </rPr>
      <t xml:space="preserve">日：买</t>
    </r>
    <r>
      <rPr>
        <sz val="9"/>
        <color rgb="FF0000C0"/>
        <rFont val="微软雅黑"/>
        <family val="0"/>
        <charset val="1"/>
      </rPr>
      <t xml:space="preserve">A4</t>
    </r>
    <r>
      <rPr>
        <sz val="9"/>
        <color rgb="FF0000C0"/>
        <rFont val="WenQuanYi Zen Hei"/>
        <family val="2"/>
      </rPr>
      <t xml:space="preserve">纸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件共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包，</t>
    </r>
    <r>
      <rPr>
        <sz val="9"/>
        <color rgb="FF0000C0"/>
        <rFont val="微软雅黑"/>
        <family val="0"/>
        <charset val="1"/>
      </rPr>
      <t xml:space="preserve">114.21</t>
    </r>
    <r>
      <rPr>
        <sz val="9"/>
        <color rgb="FF0000C0"/>
        <rFont val="WenQuanYi Zen Hei"/>
        <family val="2"/>
      </rPr>
      <t xml:space="preserve">元，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07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28</t>
    </r>
    <r>
      <rPr>
        <sz val="9"/>
        <color rgb="FF0000C0"/>
        <rFont val="WenQuanYi Zen Hei"/>
        <family val="2"/>
      </rPr>
      <t xml:space="preserve">日：买打印机墨水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瓶</t>
    </r>
    <r>
      <rPr>
        <sz val="9"/>
        <color rgb="FF0000C0"/>
        <rFont val="微软雅黑"/>
        <family val="0"/>
        <charset val="1"/>
      </rPr>
      <t xml:space="preserve">48</t>
    </r>
    <r>
      <rPr>
        <sz val="9"/>
        <color rgb="FF0000C0"/>
        <rFont val="WenQuanYi Zen Hei"/>
        <family val="2"/>
      </rPr>
      <t xml:space="preserve">元，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22</t>
    </r>
    <r>
      <rPr>
        <sz val="9"/>
        <color rgb="FF0000C0"/>
        <rFont val="WenQuanYi Zen Hei"/>
        <family val="2"/>
      </rPr>
      <t xml:space="preserve">日：买</t>
    </r>
    <r>
      <rPr>
        <sz val="9"/>
        <color rgb="FF0000C0"/>
        <rFont val="微软雅黑"/>
        <family val="0"/>
        <charset val="1"/>
      </rPr>
      <t xml:space="preserve">U</t>
    </r>
    <r>
      <rPr>
        <sz val="9"/>
        <color rgb="FF0000C0"/>
        <rFont val="WenQuanYi Zen Hei"/>
        <family val="2"/>
      </rPr>
      <t xml:space="preserve">盘</t>
    </r>
    <r>
      <rPr>
        <sz val="9"/>
        <color rgb="FF0000C0"/>
        <rFont val="微软雅黑"/>
        <family val="0"/>
        <charset val="1"/>
      </rPr>
      <t xml:space="preserve">2</t>
    </r>
    <r>
      <rPr>
        <sz val="9"/>
        <color rgb="FF0000C0"/>
        <rFont val="WenQuanYi Zen Hei"/>
        <family val="2"/>
      </rPr>
      <t xml:space="preserve">个，</t>
    </r>
    <r>
      <rPr>
        <sz val="9"/>
        <color rgb="FF0000C0"/>
        <rFont val="微软雅黑"/>
        <family val="0"/>
        <charset val="1"/>
      </rPr>
      <t xml:space="preserve">13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</si>
  <si>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10</t>
    </r>
    <r>
      <rPr>
        <sz val="9"/>
        <color rgb="FF0000C0"/>
        <rFont val="WenQuanYi Zen Hei"/>
        <family val="2"/>
      </rPr>
      <t xml:space="preserve">号陈秋平报销</t>
    </r>
    <r>
      <rPr>
        <sz val="9"/>
        <color rgb="FF0000C0"/>
        <rFont val="微软雅黑"/>
        <family val="0"/>
        <charset val="1"/>
      </rPr>
      <t xml:space="preserve">: 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07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01</t>
    </r>
    <r>
      <rPr>
        <sz val="9"/>
        <color rgb="FF0000C0"/>
        <rFont val="WenQuanYi Zen Hei"/>
        <family val="2"/>
      </rPr>
      <t xml:space="preserve">日：收康欣陈利寄来的资料到付</t>
    </r>
    <r>
      <rPr>
        <sz val="9"/>
        <color rgb="FF0000C0"/>
        <rFont val="微软雅黑"/>
        <family val="0"/>
        <charset val="1"/>
      </rPr>
      <t xml:space="preserve">11</t>
    </r>
    <r>
      <rPr>
        <sz val="9"/>
        <color rgb="FF0000C0"/>
        <rFont val="WenQuanYi Zen Hei"/>
        <family val="2"/>
      </rPr>
      <t xml:space="preserve">元，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07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09</t>
    </r>
    <r>
      <rPr>
        <sz val="9"/>
        <color rgb="FF0000C0"/>
        <rFont val="WenQuanYi Zen Hei"/>
        <family val="2"/>
      </rPr>
      <t xml:space="preserve">日：收康欣陈利寄来的资料到付</t>
    </r>
    <r>
      <rPr>
        <sz val="9"/>
        <color rgb="FF0000C0"/>
        <rFont val="微软雅黑"/>
        <family val="0"/>
        <charset val="1"/>
      </rPr>
      <t xml:space="preserve">11</t>
    </r>
    <r>
      <rPr>
        <sz val="9"/>
        <color rgb="FF0000C0"/>
        <rFont val="WenQuanYi Zen Hei"/>
        <family val="2"/>
      </rPr>
      <t xml:space="preserve">元，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07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09</t>
    </r>
    <r>
      <rPr>
        <sz val="9"/>
        <color rgb="FF0000C0"/>
        <rFont val="WenQuanYi Zen Hei"/>
        <family val="2"/>
      </rPr>
      <t xml:space="preserve">日：收迅驰廖巧寄来的资料到付</t>
    </r>
    <r>
      <rPr>
        <sz val="9"/>
        <color rgb="FF0000C0"/>
        <rFont val="微软雅黑"/>
        <family val="0"/>
        <charset val="1"/>
      </rPr>
      <t xml:space="preserve">11</t>
    </r>
    <r>
      <rPr>
        <sz val="9"/>
        <color rgb="FF0000C0"/>
        <rFont val="WenQuanYi Zen Hei"/>
        <family val="2"/>
      </rPr>
      <t xml:space="preserve">元，</t>
    </r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07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22</t>
    </r>
    <r>
      <rPr>
        <sz val="9"/>
        <color rgb="FF0000C0"/>
        <rFont val="WenQuanYi Zen Hei"/>
        <family val="2"/>
      </rPr>
      <t xml:space="preserve">日：收金沁杜春霞寄</t>
    </r>
  </si>
  <si>
    <t xml:space="preserve">账户费年费</t>
  </si>
  <si>
    <r>
      <rPr>
        <sz val="9"/>
        <color rgb="FF0000C0"/>
        <rFont val="微软雅黑"/>
        <family val="0"/>
        <charset val="1"/>
      </rPr>
      <t xml:space="preserve">2026.08.11</t>
    </r>
    <r>
      <rPr>
        <sz val="9"/>
        <color rgb="FF0000C0"/>
        <rFont val="WenQuanYi Zen Hei"/>
        <family val="2"/>
      </rPr>
      <t xml:space="preserve">泓普银付：支付财智账户卡普通卡年费</t>
    </r>
  </si>
  <si>
    <t xml:space="preserve">耗材费用</t>
  </si>
  <si>
    <t xml:space="preserve">刘建鑫</t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</si>
  <si>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22</t>
    </r>
    <r>
      <rPr>
        <sz val="9"/>
        <color rgb="FF0000C0"/>
        <rFont val="WenQuanYi Zen Hei"/>
        <family val="2"/>
      </rPr>
      <t xml:space="preserve">日刘建鑫报销：修油锯，换油锯火花塞：</t>
    </r>
    <r>
      <rPr>
        <sz val="9"/>
        <color rgb="FF0000C0"/>
        <rFont val="微软雅黑"/>
        <family val="0"/>
        <charset val="1"/>
      </rPr>
      <t xml:space="preserve">20</t>
    </r>
    <r>
      <rPr>
        <sz val="9"/>
        <color rgb="FF0000C0"/>
        <rFont val="WenQuanYi Zen Hei"/>
        <family val="2"/>
      </rPr>
      <t xml:space="preserve">元，换煤气</t>
    </r>
    <r>
      <rPr>
        <sz val="9"/>
        <color rgb="FF0000C0"/>
        <rFont val="微软雅黑"/>
        <family val="0"/>
        <charset val="1"/>
      </rPr>
      <t xml:space="preserve">2</t>
    </r>
    <r>
      <rPr>
        <sz val="9"/>
        <color rgb="FF0000C0"/>
        <rFont val="WenQuanYi Zen Hei"/>
        <family val="2"/>
      </rPr>
      <t xml:space="preserve">罐</t>
    </r>
    <r>
      <rPr>
        <sz val="9"/>
        <color rgb="FF0000C0"/>
        <rFont val="微软雅黑"/>
        <family val="0"/>
        <charset val="1"/>
      </rPr>
      <t xml:space="preserve">:260</t>
    </r>
    <r>
      <rPr>
        <sz val="9"/>
        <color rgb="FF0000C0"/>
        <rFont val="WenQuanYi Zen Hei"/>
        <family val="2"/>
      </rPr>
      <t xml:space="preserve">元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</si>
  <si>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25</t>
    </r>
    <r>
      <rPr>
        <sz val="9"/>
        <color rgb="FF0000C0"/>
        <rFont val="WenQuanYi Zen Hei"/>
        <family val="2"/>
      </rPr>
      <t xml:space="preserve">日陈秋平报销：寄资料给陈利</t>
    </r>
    <r>
      <rPr>
        <sz val="9"/>
        <color rgb="FF0000C0"/>
        <rFont val="微软雅黑"/>
        <family val="0"/>
        <charset val="1"/>
      </rPr>
      <t xml:space="preserve">9.68</t>
    </r>
    <r>
      <rPr>
        <sz val="9"/>
        <color rgb="FF0000C0"/>
        <rFont val="WenQuanYi Zen Hei"/>
        <family val="2"/>
      </rPr>
      <t xml:space="preserve">元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</si>
  <si>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25</t>
    </r>
    <r>
      <rPr>
        <sz val="9"/>
        <color rgb="FF0000C0"/>
        <rFont val="WenQuanYi Zen Hei"/>
        <family val="2"/>
      </rPr>
      <t xml:space="preserve">日陈秋平报销：做工器具试验合格证标签</t>
    </r>
    <r>
      <rPr>
        <sz val="9"/>
        <color rgb="FF0000C0"/>
        <rFont val="微软雅黑"/>
        <family val="0"/>
        <charset val="1"/>
      </rPr>
      <t xml:space="preserve">2000</t>
    </r>
    <r>
      <rPr>
        <sz val="9"/>
        <color rgb="FF0000C0"/>
        <rFont val="WenQuanYi Zen Hei"/>
        <family val="2"/>
      </rPr>
      <t xml:space="preserve">张共</t>
    </r>
    <r>
      <rPr>
        <sz val="9"/>
        <color rgb="FF0000C0"/>
        <rFont val="微软雅黑"/>
        <family val="0"/>
        <charset val="1"/>
      </rPr>
      <t xml:space="preserve">200</t>
    </r>
    <r>
      <rPr>
        <sz val="9"/>
        <color rgb="FF0000C0"/>
        <rFont val="WenQuanYi Zen Hei"/>
        <family val="2"/>
      </rPr>
      <t xml:space="preserve">元</t>
    </r>
  </si>
  <si>
    <r>
      <rPr>
        <sz val="9"/>
        <color rgb="FF0000C0"/>
        <rFont val="微软雅黑"/>
        <family val="0"/>
        <charset val="1"/>
      </rPr>
      <t xml:space="preserve">2026</t>
    </r>
    <r>
      <rPr>
        <sz val="9"/>
        <color rgb="FF0000C0"/>
        <rFont val="WenQuanYi Zen Hei"/>
        <family val="2"/>
      </rPr>
      <t xml:space="preserve">年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月</t>
    </r>
    <r>
      <rPr>
        <sz val="9"/>
        <color rgb="FF0000C0"/>
        <rFont val="微软雅黑"/>
        <family val="0"/>
        <charset val="1"/>
      </rPr>
      <t xml:space="preserve">25</t>
    </r>
    <r>
      <rPr>
        <sz val="9"/>
        <color rgb="FF0000C0"/>
        <rFont val="WenQuanYi Zen Hei"/>
        <family val="2"/>
      </rPr>
      <t xml:space="preserve">日陈秋平报销：买</t>
    </r>
    <r>
      <rPr>
        <sz val="9"/>
        <color rgb="FF0000C0"/>
        <rFont val="微软雅黑"/>
        <family val="0"/>
        <charset val="1"/>
      </rPr>
      <t xml:space="preserve">A4</t>
    </r>
    <r>
      <rPr>
        <sz val="9"/>
        <color rgb="FF0000C0"/>
        <rFont val="WenQuanYi Zen Hei"/>
        <family val="2"/>
      </rPr>
      <t xml:space="preserve">纸</t>
    </r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件</t>
    </r>
    <r>
      <rPr>
        <sz val="9"/>
        <color rgb="FF0000C0"/>
        <rFont val="微软雅黑"/>
        <family val="0"/>
        <charset val="1"/>
      </rPr>
      <t xml:space="preserve">8</t>
    </r>
    <r>
      <rPr>
        <sz val="9"/>
        <color rgb="FF0000C0"/>
        <rFont val="WenQuanYi Zen Hei"/>
        <family val="2"/>
      </rPr>
      <t xml:space="preserve">包</t>
    </r>
    <r>
      <rPr>
        <sz val="9"/>
        <color rgb="FF0000C0"/>
        <rFont val="微软雅黑"/>
        <family val="0"/>
        <charset val="1"/>
      </rPr>
      <t xml:space="preserve">114.3</t>
    </r>
    <r>
      <rPr>
        <sz val="9"/>
        <color rgb="FF0000C0"/>
        <rFont val="WenQuanYi Zen Hei"/>
        <family val="2"/>
      </rPr>
      <t xml:space="preserve">元</t>
    </r>
  </si>
  <si>
    <r>
      <rPr>
        <sz val="9"/>
        <color rgb="FF0000C0"/>
        <rFont val="微软雅黑"/>
        <family val="0"/>
        <charset val="1"/>
      </rPr>
      <t xml:space="preserve">2026.08.26</t>
    </r>
    <r>
      <rPr>
        <sz val="9"/>
        <color rgb="FF0000C0"/>
        <rFont val="WenQuanYi Zen Hei"/>
        <family val="2"/>
      </rPr>
      <t xml:space="preserve">仟茂银收：收到电汇入货款</t>
    </r>
  </si>
  <si>
    <r>
      <rPr>
        <sz val="9"/>
        <color rgb="FF0000C0"/>
        <rFont val="微软雅黑"/>
        <family val="0"/>
        <charset val="1"/>
      </rPr>
      <t xml:space="preserve">2026.08.27</t>
    </r>
    <r>
      <rPr>
        <sz val="9"/>
        <color rgb="FF0000C0"/>
        <rFont val="WenQuanYi Zen Hei"/>
        <family val="2"/>
      </rPr>
      <t xml:space="preserve">仟茂银付：支付转账手续费</t>
    </r>
  </si>
  <si>
    <r>
      <rPr>
        <sz val="9"/>
        <color rgb="FF0000C0"/>
        <rFont val="微软雅黑"/>
        <family val="0"/>
        <charset val="1"/>
      </rPr>
      <t xml:space="preserve">2026.08.27</t>
    </r>
    <r>
      <rPr>
        <sz val="9"/>
        <color rgb="FF0000C0"/>
        <rFont val="WenQuanYi Zen Hei"/>
        <family val="2"/>
      </rPr>
      <t xml:space="preserve">仟茂银付：支付燃油费</t>
    </r>
  </si>
  <si>
    <t xml:space="preserve">青苗费</t>
  </si>
  <si>
    <r>
      <rPr>
        <sz val="9"/>
        <color rgb="FF0000C0"/>
        <rFont val="微软雅黑"/>
        <family val="0"/>
        <charset val="1"/>
      </rPr>
      <t xml:space="preserve">2026.8.28</t>
    </r>
    <r>
      <rPr>
        <sz val="9"/>
        <color rgb="FF0000C0"/>
        <rFont val="WenQuanYi Zen Hei"/>
        <family val="2"/>
      </rPr>
      <t xml:space="preserve">曾洪平报销：</t>
    </r>
    <r>
      <rPr>
        <sz val="9"/>
        <color rgb="FF0000C0"/>
        <rFont val="微软雅黑"/>
        <family val="0"/>
        <charset val="1"/>
      </rPr>
      <t xml:space="preserve">10KV</t>
    </r>
    <r>
      <rPr>
        <sz val="9"/>
        <color rgb="FF0000C0"/>
        <rFont val="WenQuanYi Zen Hei"/>
        <family val="2"/>
      </rPr>
      <t xml:space="preserve">凉俸线垣楼村民委员会支线</t>
    </r>
    <r>
      <rPr>
        <sz val="9"/>
        <color rgb="FF0000C0"/>
        <rFont val="微软雅黑"/>
        <family val="0"/>
        <charset val="1"/>
      </rPr>
      <t xml:space="preserve">#01</t>
    </r>
    <r>
      <rPr>
        <sz val="9"/>
        <color rgb="FF0000C0"/>
        <rFont val="WenQuanYi Zen Hei"/>
        <family val="2"/>
      </rPr>
      <t xml:space="preserve">杆组立电杆赔偿花椒</t>
    </r>
    <r>
      <rPr>
        <sz val="9"/>
        <color rgb="FF0000C0"/>
        <rFont val="微软雅黑"/>
        <family val="0"/>
        <charset val="1"/>
      </rPr>
      <t xml:space="preserve">(</t>
    </r>
    <r>
      <rPr>
        <sz val="9"/>
        <color rgb="FF0000C0"/>
        <rFont val="WenQuanYi Zen Hei"/>
        <family val="2"/>
      </rPr>
      <t xml:space="preserve">青苗费</t>
    </r>
    <r>
      <rPr>
        <sz val="9"/>
        <color rgb="FF0000C0"/>
        <rFont val="微软雅黑"/>
        <family val="0"/>
        <charset val="1"/>
      </rPr>
      <t xml:space="preserve">)</t>
    </r>
    <r>
      <rPr>
        <sz val="9"/>
        <color rgb="FF0000C0"/>
        <rFont val="WenQuanYi Zen Hei"/>
        <family val="2"/>
      </rPr>
      <t xml:space="preserve">共计</t>
    </r>
    <r>
      <rPr>
        <sz val="9"/>
        <color rgb="FF0000C0"/>
        <rFont val="微软雅黑"/>
        <family val="0"/>
        <charset val="1"/>
      </rPr>
      <t xml:space="preserve">200</t>
    </r>
    <r>
      <rPr>
        <sz val="9"/>
        <color rgb="FF0000C0"/>
        <rFont val="WenQuanYi Zen Hei"/>
        <family val="2"/>
      </rPr>
      <t xml:space="preserve">元</t>
    </r>
  </si>
  <si>
    <r>
      <rPr>
        <sz val="9"/>
        <color rgb="FF0000C0"/>
        <rFont val="微软雅黑"/>
        <family val="0"/>
        <charset val="1"/>
      </rPr>
      <t xml:space="preserve">202.8.28</t>
    </r>
    <r>
      <rPr>
        <sz val="9"/>
        <color rgb="FF0000C0"/>
        <rFont val="WenQuanYi Zen Hei"/>
        <family val="2"/>
      </rPr>
      <t xml:space="preserve">李婷婷报销：鑫发塑胶项目跨越图片费用（</t>
    </r>
    <r>
      <rPr>
        <sz val="9"/>
        <color rgb="FF0000C0"/>
        <rFont val="微软雅黑"/>
        <family val="0"/>
        <charset val="1"/>
      </rPr>
      <t xml:space="preserve">7</t>
    </r>
    <r>
      <rPr>
        <sz val="9"/>
        <color rgb="FF0000C0"/>
        <rFont val="WenQuanYi Zen Hei"/>
        <family val="2"/>
      </rPr>
      <t xml:space="preserve">张）共</t>
    </r>
    <r>
      <rPr>
        <sz val="9"/>
        <color rgb="FF0000C0"/>
        <rFont val="微软雅黑"/>
        <family val="0"/>
        <charset val="1"/>
      </rPr>
      <t xml:space="preserve">105</t>
    </r>
    <r>
      <rPr>
        <sz val="9"/>
        <color rgb="FF0000C0"/>
        <rFont val="WenQuanYi Zen Hei"/>
        <family val="2"/>
      </rPr>
      <t xml:space="preserve">元</t>
    </r>
  </si>
  <si>
    <t xml:space="preserve">维修费</t>
  </si>
  <si>
    <r>
      <rPr>
        <sz val="9"/>
        <color rgb="FF0000C0"/>
        <rFont val="微软雅黑"/>
        <family val="0"/>
        <charset val="1"/>
      </rPr>
      <t xml:space="preserve">2026.8.28</t>
    </r>
    <r>
      <rPr>
        <sz val="9"/>
        <color rgb="FF0000C0"/>
        <rFont val="WenQuanYi Zen Hei"/>
        <family val="2"/>
      </rPr>
      <t xml:space="preserve">刘建鑫报销</t>
    </r>
    <r>
      <rPr>
        <sz val="9"/>
        <color rgb="FF0000C0"/>
        <rFont val="微软雅黑"/>
        <family val="0"/>
        <charset val="1"/>
      </rPr>
      <t xml:space="preserve">:</t>
    </r>
    <r>
      <rPr>
        <sz val="9"/>
        <color rgb="FF0000C0"/>
        <rFont val="WenQuanYi Zen Hei"/>
        <family val="2"/>
      </rPr>
      <t xml:space="preserve">维修发电机：</t>
    </r>
    <r>
      <rPr>
        <sz val="9"/>
        <color rgb="FF0000C0"/>
        <rFont val="微软雅黑"/>
        <family val="0"/>
        <charset val="1"/>
      </rPr>
      <t xml:space="preserve">300</t>
    </r>
    <r>
      <rPr>
        <sz val="9"/>
        <color rgb="FF0000C0"/>
        <rFont val="WenQuanYi Zen Hei"/>
        <family val="2"/>
      </rPr>
      <t xml:space="preserve">元</t>
    </r>
  </si>
  <si>
    <r>
      <rPr>
        <sz val="9"/>
        <color rgb="FF0000C0"/>
        <rFont val="微软雅黑"/>
        <family val="0"/>
        <charset val="1"/>
      </rPr>
      <t xml:space="preserve">2026.8.28</t>
    </r>
    <r>
      <rPr>
        <sz val="9"/>
        <color rgb="FF0000C0"/>
        <rFont val="WenQuanYi Zen Hei"/>
        <family val="2"/>
      </rPr>
      <t xml:space="preserve">刘建鑫报销</t>
    </r>
    <r>
      <rPr>
        <sz val="9"/>
        <color rgb="FF0000C0"/>
        <rFont val="微软雅黑"/>
        <family val="0"/>
        <charset val="1"/>
      </rPr>
      <t xml:space="preserve">:</t>
    </r>
    <r>
      <rPr>
        <sz val="9"/>
        <color rgb="FF0000C0"/>
        <rFont val="WenQuanYi Zen Hei"/>
        <family val="2"/>
      </rPr>
      <t xml:space="preserve">换桶装水</t>
    </r>
    <r>
      <rPr>
        <sz val="9"/>
        <color rgb="FF0000C0"/>
        <rFont val="微软雅黑"/>
        <family val="0"/>
        <charset val="1"/>
      </rPr>
      <t xml:space="preserve">4</t>
    </r>
    <r>
      <rPr>
        <sz val="9"/>
        <color rgb="FF0000C0"/>
        <rFont val="WenQuanYi Zen Hei"/>
        <family val="2"/>
      </rPr>
      <t xml:space="preserve">桶</t>
    </r>
    <r>
      <rPr>
        <sz val="9"/>
        <color rgb="FF0000C0"/>
        <rFont val="微软雅黑"/>
        <family val="0"/>
        <charset val="1"/>
      </rPr>
      <t xml:space="preserve">40</t>
    </r>
    <r>
      <rPr>
        <sz val="9"/>
        <color rgb="FF0000C0"/>
        <rFont val="WenQuanYi Zen Hei"/>
        <family val="2"/>
      </rPr>
      <t xml:space="preserve">元</t>
    </r>
  </si>
  <si>
    <r>
      <rPr>
        <sz val="9"/>
        <color rgb="FF0000C0"/>
        <rFont val="微软雅黑"/>
        <family val="0"/>
        <charset val="1"/>
      </rPr>
      <t xml:space="preserve">2026.8.28</t>
    </r>
    <r>
      <rPr>
        <sz val="9"/>
        <color rgb="FF0000C0"/>
        <rFont val="WenQuanYi Zen Hei"/>
        <family val="2"/>
      </rPr>
      <t xml:space="preserve">陈秋平报销：</t>
    </r>
    <r>
      <rPr>
        <sz val="9"/>
        <color rgb="FF0000C0"/>
        <rFont val="微软雅黑"/>
        <family val="0"/>
        <charset val="1"/>
      </rPr>
      <t xml:space="preserve">2026.8.23</t>
    </r>
    <r>
      <rPr>
        <sz val="9"/>
        <color rgb="FF0000C0"/>
        <rFont val="WenQuanYi Zen Hei"/>
        <family val="2"/>
      </rPr>
      <t xml:space="preserve">铜梁项目部缴纳考核款</t>
    </r>
    <r>
      <rPr>
        <sz val="9"/>
        <color rgb="FF0000C0"/>
        <rFont val="微软雅黑"/>
        <family val="0"/>
        <charset val="1"/>
      </rPr>
      <t xml:space="preserve">5250</t>
    </r>
    <r>
      <rPr>
        <sz val="9"/>
        <color rgb="FF0000C0"/>
        <rFont val="WenQuanYi Zen Hei"/>
        <family val="2"/>
      </rPr>
      <t xml:space="preserve">元</t>
    </r>
  </si>
  <si>
    <r>
      <rPr>
        <b val="true"/>
        <sz val="15"/>
        <color rgb="FF1F3864"/>
        <rFont val="WenQuanYi Zen Hei"/>
        <family val="2"/>
      </rPr>
      <t xml:space="preserve">分表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按挂靠单位汇总</t>
    </r>
  </si>
  <si>
    <t xml:space="preserve">每个挂靠单位一行：帮我们开了多少票出去、我们该开多少成本票给他、还差多少没开、业主付给他多少、他转给我们多少、还压着多少、税交了多少还欠多少。</t>
  </si>
  <si>
    <r>
      <rPr>
        <b val="true"/>
        <sz val="9"/>
        <color rgb="FFFFFFFF"/>
        <rFont val="WenQuanYi Zen Hei"/>
        <family val="2"/>
      </rPr>
      <t xml:space="preserve">开票额
</t>
    </r>
    <r>
      <rPr>
        <b val="true"/>
        <sz val="9"/>
        <color rgb="FFFFFFFF"/>
        <rFont val="微软雅黑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该单位开出</t>
    </r>
    <r>
      <rPr>
        <b val="true"/>
        <sz val="9"/>
        <color rgb="FFFFFFFF"/>
        <rFont val="微软雅黑"/>
        <family val="0"/>
        <charset val="1"/>
      </rPr>
      <t xml:space="preserve">)</t>
    </r>
  </si>
  <si>
    <t xml:space="preserve">应扣管理费</t>
  </si>
  <si>
    <t xml:space="preserve">应到成本票</t>
  </si>
  <si>
    <t xml:space="preserve">已收成本票</t>
  </si>
  <si>
    <t xml:space="preserve">还差成本票</t>
  </si>
  <si>
    <t xml:space="preserve">业主已付给
挂靠单位</t>
  </si>
  <si>
    <t xml:space="preserve">业主未付</t>
  </si>
  <si>
    <t xml:space="preserve">挂靠单位
已转我方</t>
  </si>
  <si>
    <t xml:space="preserve">挂靠单位
代收未转</t>
  </si>
  <si>
    <t xml:space="preserve">管理费
已结算</t>
  </si>
  <si>
    <t xml:space="preserve">合  计</t>
  </si>
  <si>
    <r>
      <rPr>
        <b val="true"/>
        <sz val="15"/>
        <color rgb="FF1F3864"/>
        <rFont val="WenQuanYi Zen Hei"/>
        <family val="2"/>
      </rPr>
      <t xml:space="preserve">分表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按项目汇总</t>
    </r>
  </si>
  <si>
    <t xml:space="preserve">每个项目一行：这个工程一共开了多少票、成本票开了多少、收了多少钱、还有多少没收、税还欠多少。</t>
  </si>
  <si>
    <r>
      <rPr>
        <b val="true"/>
        <sz val="15"/>
        <color rgb="FF1F3864"/>
        <rFont val="WenQuanYi Zen Hei"/>
        <family val="2"/>
      </rPr>
      <t xml:space="preserve">分表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单位 </t>
    </r>
    <r>
      <rPr>
        <b val="true"/>
        <sz val="15"/>
        <color rgb="FF1F3864"/>
        <rFont val="微软雅黑"/>
        <family val="0"/>
        <charset val="1"/>
      </rPr>
      <t xml:space="preserve">× </t>
    </r>
    <r>
      <rPr>
        <b val="true"/>
        <sz val="15"/>
        <color rgb="FF1F3864"/>
        <rFont val="WenQuanYi Zen Hei"/>
        <family val="2"/>
      </rPr>
      <t xml:space="preserve">项目明细</t>
    </r>
  </si>
  <si>
    <t xml:space="preserve">上面选一个挂靠单位，下面列出它名下每个项目的开票、成本票、回款、欠税情况。用筛选把「有无业务」选「有」即可。</t>
  </si>
  <si>
    <t xml:space="preserve">选择单位</t>
  </si>
  <si>
    <t xml:space="preserve">有无业务</t>
  </si>
  <si>
    <r>
      <rPr>
        <b val="true"/>
        <sz val="15"/>
        <color rgb="FF1F3864"/>
        <rFont val="WenQuanYi Zen Hei"/>
        <family val="2"/>
      </rPr>
      <t xml:space="preserve">分表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挂靠链条核算</t>
    </r>
  </si>
  <si>
    <t xml:space="preserve">把一个项目的三层链条摊开：一级单位帮我们开了多少票给业主、扣完管理费二级该收多少票、二级又开了多少、扣完管理费我们该开多少成本票、实际开了多少、还差多少。</t>
  </si>
  <si>
    <t xml:space="preserve">一级
开票额</t>
  </si>
  <si>
    <t xml:space="preserve">一级
管理费</t>
  </si>
  <si>
    <t xml:space="preserve">应开给一级</t>
  </si>
  <si>
    <t xml:space="preserve">二级
开票额</t>
  </si>
  <si>
    <t xml:space="preserve">二级
管理费</t>
  </si>
  <si>
    <t xml:space="preserve">我方应开
成本票</t>
  </si>
  <si>
    <t xml:space="preserve">我方已开
成本票</t>
  </si>
  <si>
    <t xml:space="preserve">未开差额</t>
  </si>
  <si>
    <r>
      <rPr>
        <b val="true"/>
        <sz val="15"/>
        <color rgb="FF1F3864"/>
        <rFont val="WenQuanYi Zen Hei"/>
        <family val="2"/>
      </rPr>
      <t xml:space="preserve">分表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税费台账</t>
    </r>
  </si>
  <si>
    <t xml:space="preserve">挂靠单位帮我们开票产生的预提税费，按单位汇总。应提是系统按单位档案的参数逐笔算出来的，已交是业务流水里「已交税」的合计。</t>
  </si>
  <si>
    <t xml:space="preserve">单位</t>
  </si>
  <si>
    <t xml:space="preserve">应提增值税</t>
  </si>
  <si>
    <t xml:space="preserve">应提附加税</t>
  </si>
  <si>
    <t xml:space="preserve">应提印花税</t>
  </si>
  <si>
    <t xml:space="preserve">应提所得税</t>
  </si>
  <si>
    <t xml:space="preserve">应提税费合计</t>
  </si>
  <si>
    <t xml:space="preserve">挂靠单位代收台账</t>
  </si>
  <si>
    <t xml:space="preserve">业主把钱付给挂靠单位、挂靠单位再转给我们，这两步在这里一笔一笔看。最右边「在途余额」就是这个单位收了钱还压着没给我们的数。</t>
  </si>
  <si>
    <t xml:space="preserve">业主付给
挂靠单位</t>
  </si>
  <si>
    <t xml:space="preserve">挂靠单位
转给我方</t>
  </si>
  <si>
    <t xml:space="preserve">该单位
在途余额</t>
  </si>
  <si>
    <r>
      <rPr>
        <b val="true"/>
        <sz val="15"/>
        <color rgb="FF1F3864"/>
        <rFont val="WenQuanYi Zen Hei"/>
        <family val="2"/>
      </rPr>
      <t xml:space="preserve">分表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费用统计</t>
    </r>
  </si>
  <si>
    <t xml:space="preserve">取自【资金日记账】。左边按费用类型分账户统计，右边按项目统计工程相关支出。</t>
  </si>
  <si>
    <r>
      <rPr>
        <b val="true"/>
        <sz val="9"/>
        <color rgb="FF1F3864"/>
        <rFont val="WenQuanYi Zen Hei"/>
        <family val="2"/>
      </rPr>
      <t xml:space="preserve">① 按费用类型 </t>
    </r>
    <r>
      <rPr>
        <b val="true"/>
        <sz val="9"/>
        <color rgb="FF1F3864"/>
        <rFont val="微软雅黑"/>
        <family val="0"/>
        <charset val="1"/>
      </rPr>
      <t xml:space="preserve">× </t>
    </r>
    <r>
      <rPr>
        <b val="true"/>
        <sz val="9"/>
        <color rgb="FF1F3864"/>
        <rFont val="WenQuanYi Zen Hei"/>
        <family val="2"/>
      </rPr>
      <t xml:space="preserve">资金账户</t>
    </r>
  </si>
  <si>
    <t xml:space="preserve">② 按项目统计（日记账口径）</t>
  </si>
  <si>
    <t xml:space="preserve">收入合计</t>
  </si>
  <si>
    <t xml:space="preserve">支出合计</t>
  </si>
  <si>
    <t xml:space="preserve">工程回款</t>
  </si>
  <si>
    <t xml:space="preserve">工资</t>
  </si>
  <si>
    <t xml:space="preserve">材料费</t>
  </si>
  <si>
    <t xml:space="preserve">税费</t>
  </si>
  <si>
    <t xml:space="preserve">租赁费</t>
  </si>
  <si>
    <t xml:space="preserve">考核款</t>
  </si>
  <si>
    <t xml:space="preserve">账户年费</t>
  </si>
  <si>
    <t xml:space="preserve">合计</t>
  </si>
  <si>
    <t xml:space="preserve">对账核对（历史数据导入校验）</t>
  </si>
  <si>
    <t xml:space="preserve">左边是你原来八张手工对账表的合计行，右边是本系统按导入的每一笔重新算出来的。两边应当完全一致；不一致的行会标红，说明原表的合计行与明细对不上，需要人工确认哪个对。</t>
  </si>
  <si>
    <t xml:space="preserve">核对项目</t>
  </si>
  <si>
    <t xml:space="preserve">原表合计行</t>
  </si>
  <si>
    <t xml:space="preserve">本系统重算</t>
  </si>
  <si>
    <t xml:space="preserve">差额</t>
  </si>
  <si>
    <t xml:space="preserve">说明</t>
  </si>
  <si>
    <t xml:space="preserve">开票额（该单位开出）</t>
  </si>
  <si>
    <t xml:space="preserve">业主付给挂靠单位</t>
  </si>
  <si>
    <t xml:space="preserve">挂靠单位转给我方</t>
  </si>
  <si>
    <t xml:space="preserve">△ 口径差异</t>
  </si>
  <si>
    <t xml:space="preserve">康欣与金沁是唯一的三层链条（民能←金沁←康欣←泓普）。原来这两张表把同一张票各记了一次，康欣表的「已提供成本票」列还把泓普开给康欣的、康欣开给金沁的、代发工资三种方向混在一列求和。本系统一张票只记一次、开票方收票方各自明确，所以这两个单位的合计与原表不同，属于口径修正而非导入错误。</t>
  </si>
  <si>
    <t xml:space="preserve">总体结论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</si>
</sst>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[RED]\-#,##0.00;\-"/>
    <numFmt numFmtId="166" formatCode="0.00%"/>
    <numFmt numFmtId="167" formatCode="yyyy\-mm\-dd"/>
    <numFmt numFmtId="168" formatCode="General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WenQuanYi Zen Hei"/>
      <family val="2"/>
    </font>
    <font>
      <sz val="9"/>
      <color rgb="FFFFFFFF"/>
      <name val="WenQuanYi Zen Hei"/>
      <family val="2"/>
    </font>
    <font>
      <sz val="9"/>
      <color rgb="FFFFFFFF"/>
      <name val="微软雅黑"/>
      <family val="0"/>
      <charset val="1"/>
    </font>
    <font>
      <b val="true"/>
      <sz val="9"/>
      <color rgb="FF404040"/>
      <name val="WenQuanYi Zen Hei"/>
      <family val="2"/>
    </font>
    <font>
      <b val="true"/>
      <sz val="16"/>
      <color rgb="FF1F3864"/>
      <name val="微软雅黑"/>
      <family val="0"/>
      <charset val="1"/>
    </font>
    <font>
      <b val="true"/>
      <sz val="9"/>
      <color rgb="FF404040"/>
      <name val="微软雅黑"/>
      <family val="0"/>
      <charset val="1"/>
    </font>
    <font>
      <b val="true"/>
      <sz val="10"/>
      <color rgb="FF1F4E79"/>
      <name val="WenQuanYi Zen Hei"/>
      <family val="2"/>
    </font>
    <font>
      <b val="true"/>
      <sz val="9"/>
      <name val="WenQuanYi Zen Hei"/>
      <family val="2"/>
    </font>
    <font>
      <b val="true"/>
      <sz val="9"/>
      <color rgb="FFFFFFFF"/>
      <name val="WenQuanYi Zen Hei"/>
      <family val="2"/>
    </font>
    <font>
      <sz val="9"/>
      <name val="微软雅黑"/>
      <family val="0"/>
      <charset val="1"/>
    </font>
    <font>
      <sz val="9"/>
      <name val="WenQuanYi Zen Hei"/>
      <family val="2"/>
    </font>
    <font>
      <b val="true"/>
      <sz val="15"/>
      <color rgb="FF1F3864"/>
      <name val="WenQuanYi Zen Hei"/>
      <family val="2"/>
    </font>
    <font>
      <b val="true"/>
      <sz val="15"/>
      <color rgb="FF1F3864"/>
      <name val="微软雅黑"/>
      <family val="0"/>
      <charset val="1"/>
    </font>
    <font>
      <sz val="8"/>
      <color rgb="FF808080"/>
      <name val="WenQuanYi Zen Hei"/>
      <family val="2"/>
    </font>
    <font>
      <b val="true"/>
      <sz val="9"/>
      <color rgb="FFFFFFFF"/>
      <name val="微软雅黑"/>
      <family val="0"/>
      <charset val="1"/>
    </font>
    <font>
      <sz val="9"/>
      <color rgb="FF0000C0"/>
      <name val="WenQuanYi Zen Hei"/>
      <family val="2"/>
    </font>
    <font>
      <sz val="9"/>
      <color rgb="FF0000C0"/>
      <name val="微软雅黑"/>
      <family val="0"/>
      <charset val="1"/>
    </font>
    <font>
      <sz val="8"/>
      <color rgb="FF808080"/>
      <name val="微软雅黑"/>
      <family val="0"/>
      <charset val="1"/>
    </font>
    <font>
      <b val="true"/>
      <sz val="9"/>
      <color rgb="FF1F3864"/>
      <name val="WenQuanYi Zen Hei"/>
      <family val="2"/>
    </font>
    <font>
      <b val="true"/>
      <sz val="9"/>
      <color rgb="FF1F3864"/>
      <name val="微软雅黑"/>
      <family val="0"/>
      <charset val="1"/>
    </font>
    <font>
      <sz val="9"/>
      <color rgb="FF006100"/>
      <name val="微软雅黑"/>
      <family val="0"/>
      <charset val="1"/>
    </font>
    <font>
      <sz val="9"/>
      <color rgb="FF006100"/>
      <name val="WenQuanYi Zen Hei"/>
      <family val="2"/>
    </font>
    <font>
      <b val="true"/>
      <sz val="9"/>
      <name val="微软雅黑"/>
      <family val="0"/>
      <charset val="1"/>
    </font>
    <font>
      <b val="true"/>
      <sz val="11"/>
      <color rgb="FF0000C0"/>
      <name val="WenQuanYi Zen Hei"/>
      <family val="2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F5597"/>
        <bgColor rgb="FF1F4E79"/>
      </patternFill>
    </fill>
    <fill>
      <patternFill patternType="solid">
        <fgColor rgb="FFD6E4F0"/>
        <bgColor rgb="FFDDEBF7"/>
      </patternFill>
    </fill>
    <fill>
      <patternFill patternType="solid">
        <fgColor rgb="FFFCE4E4"/>
        <bgColor rgb="FFEFEFEF"/>
      </patternFill>
    </fill>
    <fill>
      <patternFill patternType="solid">
        <fgColor rgb="FFE2EFDA"/>
        <bgColor rgb="FFEFEFEF"/>
      </patternFill>
    </fill>
    <fill>
      <patternFill patternType="solid">
        <fgColor rgb="FFFFF2CC"/>
        <bgColor rgb="FFFFF7E0"/>
      </patternFill>
    </fill>
    <fill>
      <patternFill patternType="solid">
        <fgColor rgb="FFFFF7E0"/>
        <bgColor rgb="FFFFF2CC"/>
      </patternFill>
    </fill>
    <fill>
      <patternFill patternType="solid">
        <fgColor rgb="FFEFEFEF"/>
        <bgColor rgb="FFE2EFDA"/>
      </patternFill>
    </fill>
    <fill>
      <patternFill patternType="solid">
        <fgColor rgb="FFDDEBF7"/>
        <bgColor rgb="FFD6E4F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9E9E9E"/>
      </left>
      <right style="thin">
        <color rgb="FF9E9E9E"/>
      </right>
      <top style="thin">
        <color rgb="FF9E9E9E"/>
      </top>
      <bottom style="thin">
        <color rgb="FF9E9E9E"/>
      </bottom>
      <diagonal/>
    </border>
    <border diagonalUp="false" diagonalDown="false">
      <left style="thin">
        <color rgb="FF9E9E9E"/>
      </left>
      <right/>
      <top style="thin">
        <color rgb="FF9E9E9E"/>
      </top>
      <bottom style="thin">
        <color rgb="FF9E9E9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4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5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6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6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7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7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4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6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2F559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E0"/>
          <bgColor rgb="FF000000"/>
        </patternFill>
      </fill>
    </dxf>
    <dxf>
      <fill>
        <patternFill patternType="solid">
          <fgColor rgb="FF0000C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EFEFEF"/>
          <bgColor rgb="FF000000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ont>
        <b val="1"/>
        <color rgb="FF9C0006"/>
      </font>
      <fill>
        <patternFill>
          <bgColor rgb="FFFCE4E4"/>
        </patternFill>
      </fill>
    </dxf>
    <dxf>
      <font>
        <color rgb="FF9C6500"/>
      </font>
      <fill>
        <patternFill>
          <bgColor rgb="FFFFF7E0"/>
        </patternFill>
      </fill>
    </dxf>
    <dxf>
      <fill>
        <patternFill patternType="solid">
          <fgColor rgb="FFFCE4E4"/>
          <bgColor rgb="FF000000"/>
        </patternFill>
      </fill>
    </dxf>
    <dxf>
      <fill>
        <patternFill patternType="solid">
          <fgColor rgb="FF9C0006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C0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C0C0C0"/>
      <rgbColor rgb="FF808080"/>
      <rgbColor rgb="FF9999FF"/>
      <rgbColor rgb="FF993366"/>
      <rgbColor rgb="FFFFF7E0"/>
      <rgbColor rgb="FFDDEBF7"/>
      <rgbColor rgb="FF660066"/>
      <rgbColor rgb="FFFF8080"/>
      <rgbColor rgb="FF2F5597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EFEF"/>
      <rgbColor rgb="FFE2EFDA"/>
      <rgbColor rgb="FFFFF2CC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ED7D31"/>
      <rgbColor rgb="FF7F7F7F"/>
      <rgbColor rgb="FF9E9E9E"/>
      <rgbColor rgb="FF1F3864"/>
      <rgbColor rgb="FF548235"/>
      <rgbColor rgb="FF003300"/>
      <rgbColor rgb="FF333300"/>
      <rgbColor rgb="FF993300"/>
      <rgbColor rgb="FF993366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L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3"/>
    <col collapsed="false" customWidth="true" hidden="false" outlineLevel="0" max="5" min="4" style="0" width="14"/>
    <col collapsed="false" customWidth="true" hidden="false" outlineLevel="0" max="6" min="6" style="0" width="3"/>
    <col collapsed="false" customWidth="true" hidden="false" outlineLevel="0" max="8" min="7" style="0" width="14"/>
    <col collapsed="false" customWidth="true" hidden="false" outlineLevel="0" max="9" min="9" style="0" width="3"/>
    <col collapsed="false" customWidth="true" hidden="false" outlineLevel="0" max="11" min="10" style="0" width="14"/>
    <col collapsed="false" customWidth="true" hidden="false" outlineLevel="0" max="12" min="12" style="0" width="3"/>
  </cols>
  <sheetData>
    <row r="1" customFormat="false" ht="42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8" hidden="false" customHeight="true" outlineLevel="0" collapsed="false">
      <c r="A4" s="3" t="s">
        <v>2</v>
      </c>
      <c r="B4" s="3"/>
      <c r="D4" s="3" t="s">
        <v>3</v>
      </c>
      <c r="E4" s="3"/>
      <c r="G4" s="3" t="s">
        <v>4</v>
      </c>
      <c r="H4" s="3"/>
      <c r="J4" s="4" t="s">
        <v>5</v>
      </c>
      <c r="K4" s="4"/>
    </row>
    <row r="5" customFormat="false" ht="30" hidden="false" customHeight="true" outlineLevel="0" collapsed="false">
      <c r="A5" s="5" t="n">
        <f aca="false">单位汇总!$C$36</f>
        <v>3695523.42</v>
      </c>
      <c r="B5" s="5"/>
      <c r="D5" s="5" t="n">
        <f aca="false">单位汇总!$E$36</f>
        <v>3534026.6</v>
      </c>
      <c r="E5" s="5"/>
      <c r="G5" s="5" t="n">
        <f aca="false">单位汇总!$F$36</f>
        <v>2587989.65</v>
      </c>
      <c r="H5" s="5"/>
      <c r="J5" s="6" t="n">
        <f aca="false">单位汇总!$G$36</f>
        <v>946036.95</v>
      </c>
      <c r="K5" s="6"/>
    </row>
    <row r="6" customFormat="false" ht="6" hidden="false" customHeight="true" outlineLevel="0" collapsed="false"/>
    <row r="7" customFormat="false" ht="18" hidden="false" customHeight="true" outlineLevel="0" collapsed="false">
      <c r="A7" s="7" t="s">
        <v>6</v>
      </c>
      <c r="B7" s="7"/>
      <c r="D7" s="7" t="s">
        <v>7</v>
      </c>
      <c r="E7" s="7"/>
      <c r="G7" s="7" t="s">
        <v>8</v>
      </c>
      <c r="H7" s="7"/>
      <c r="J7" s="4" t="s">
        <v>9</v>
      </c>
      <c r="K7" s="4"/>
    </row>
    <row r="8" customFormat="false" ht="30" hidden="false" customHeight="true" outlineLevel="0" collapsed="false">
      <c r="A8" s="8" t="n">
        <f aca="false">单位汇总!$C$36</f>
        <v>3695523.42</v>
      </c>
      <c r="B8" s="8"/>
      <c r="D8" s="8" t="n">
        <f aca="false">单位汇总!$K$36</f>
        <v>1853826.63</v>
      </c>
      <c r="E8" s="8"/>
      <c r="G8" s="8" t="n">
        <f aca="false">单位汇总!$M$36</f>
        <v>1528476.28</v>
      </c>
      <c r="H8" s="8"/>
      <c r="J8" s="6" t="n">
        <f aca="false">单位汇总!$N$36</f>
        <v>325350.35</v>
      </c>
      <c r="K8" s="6"/>
    </row>
    <row r="9" customFormat="false" ht="6" hidden="false" customHeight="true" outlineLevel="0" collapsed="false"/>
    <row r="10" customFormat="false" ht="18" hidden="false" customHeight="true" outlineLevel="0" collapsed="false">
      <c r="A10" s="9" t="s">
        <v>10</v>
      </c>
      <c r="B10" s="9"/>
      <c r="D10" s="9" t="s">
        <v>11</v>
      </c>
      <c r="E10" s="9"/>
      <c r="G10" s="4" t="s">
        <v>12</v>
      </c>
      <c r="H10" s="4"/>
      <c r="J10" s="9" t="s">
        <v>13</v>
      </c>
      <c r="K10" s="9"/>
    </row>
    <row r="11" customFormat="false" ht="30" hidden="false" customHeight="true" outlineLevel="0" collapsed="false">
      <c r="A11" s="10" t="n">
        <f aca="false">税费台账!$G$36</f>
        <v>144095.36</v>
      </c>
      <c r="B11" s="10"/>
      <c r="D11" s="10" t="n">
        <f aca="false">税费台账!$H$36</f>
        <v>72078.92</v>
      </c>
      <c r="E11" s="10"/>
      <c r="G11" s="6" t="n">
        <f aca="false">税费台账!$I$36</f>
        <v>72016.44</v>
      </c>
      <c r="H11" s="6"/>
      <c r="J11" s="10" t="n">
        <f aca="false">资金日记账!$C$2+资金日记账!$E$2+资金日记账!$G$2+SUM(资金日记账!$I$5:$I$1004)-SUM(资金日记账!$J$5:$J$1004)</f>
        <v>46938.83</v>
      </c>
      <c r="K11" s="10"/>
    </row>
    <row r="12" customFormat="false" ht="6" hidden="false" customHeight="true" outlineLevel="0" collapsed="false"/>
    <row r="13" customFormat="false" ht="21.75" hidden="false" customHeight="true" outlineLevel="0" collapsed="false">
      <c r="A13" s="11" t="s">
        <v>14</v>
      </c>
      <c r="B13" s="11"/>
      <c r="D13" s="12" t="str">
        <f aca="false">对账核对!$D$47</f>
        <v>✓ 历史数据导入无误（口径差异项见右侧说明）</v>
      </c>
      <c r="E13" s="12"/>
      <c r="F13" s="12"/>
      <c r="G13" s="12"/>
      <c r="H13" s="12"/>
      <c r="I13" s="12"/>
      <c r="J13" s="12"/>
      <c r="K13" s="12"/>
      <c r="L13" s="12"/>
    </row>
    <row r="14" customFormat="false" ht="21.75" hidden="false" customHeight="true" outlineLevel="0" collapsed="false">
      <c r="A14" s="11" t="s">
        <v>15</v>
      </c>
      <c r="B14" s="11"/>
      <c r="D14" s="12" t="str">
        <f aca="false">IF(COUNT(业务流水!$B$5:$B$1504)-COUNTIF(业务流水!$L$5:$L$1504,"√")-COUNTIF(业务流水!$L$5:$L$1504,"链条待确认")=0,"✓ 全部通过"&amp;IF(COUNTIF(业务流水!$L$5:$L$1504,"链条待确认")&gt;0,"（另有 "&amp;COUNTIF(业务流水!$L$5:$L$1504,"链条待确认")&amp;" 行是多链条项目，仅提示不影响汇总）",""),"✗ 有 "&amp;(COUNT(业务流水!$B$5:$B$1504)-COUNTIF(业务流水!$L$5:$L$1504,"√")-COUNTIF(业务流水!$L$5:$L$1504,"链条待确认"))&amp;" 行待修正")</f>
        <v>✓ 全部通过（另有 34 行是多链条项目，仅提示不影响汇总）</v>
      </c>
      <c r="E14" s="12"/>
      <c r="F14" s="12"/>
      <c r="G14" s="12"/>
      <c r="H14" s="12"/>
      <c r="I14" s="12"/>
      <c r="J14" s="12"/>
      <c r="K14" s="12"/>
      <c r="L14" s="12"/>
    </row>
    <row r="15" customFormat="false" ht="21.75" hidden="false" customHeight="true" outlineLevel="0" collapsed="false">
      <c r="A15" s="11" t="s">
        <v>16</v>
      </c>
      <c r="B15" s="11"/>
      <c r="D15" s="12" t="str">
        <f aca="false">IF(COUNTIF(资金日记账!$N$5:$N$1004,"√")=COUNT(资金日记账!$B$5:$B$1004),"✓ 全部通过","✗ 有 "&amp;(COUNT(资金日记账!$B$5:$B$1004)-COUNTIF(资金日记账!$N$5:$N$1004,"√"))&amp;" 行待修正")</f>
        <v>✓ 全部通过</v>
      </c>
      <c r="E15" s="12"/>
      <c r="F15" s="12"/>
      <c r="G15" s="12"/>
      <c r="H15" s="12"/>
      <c r="I15" s="12"/>
      <c r="J15" s="12"/>
      <c r="K15" s="12"/>
      <c r="L15" s="12"/>
    </row>
    <row r="16" customFormat="false" ht="21.75" hidden="false" customHeight="true" outlineLevel="0" collapsed="false">
      <c r="A16" s="11" t="s">
        <v>17</v>
      </c>
      <c r="B16" s="11"/>
      <c r="D16" s="12" t="str">
        <f aca="false">IF(单位汇总!$G$36&lt;1,"✓ 已开齐","还有 "&amp;TEXT(单位汇总!$G$36,"#,##0")&amp;" 元成本票没开")</f>
        <v>还有 946,037 元成本票没开</v>
      </c>
      <c r="E16" s="12"/>
      <c r="F16" s="12"/>
      <c r="G16" s="12"/>
      <c r="H16" s="12"/>
      <c r="I16" s="12"/>
      <c r="J16" s="12"/>
      <c r="K16" s="12"/>
      <c r="L16" s="12"/>
    </row>
    <row r="18" customFormat="false" ht="21.75" hidden="false" customHeight="true" outlineLevel="0" collapsed="false">
      <c r="A18" s="13" t="s">
        <v>18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</row>
    <row r="19" customFormat="false" ht="21.75" hidden="false" customHeight="true" outlineLevel="0" collapsed="false">
      <c r="A19" s="14" t="s">
        <v>19</v>
      </c>
      <c r="B19" s="14"/>
      <c r="C19" s="15"/>
      <c r="D19" s="16" t="s">
        <v>20</v>
      </c>
      <c r="E19" s="16"/>
      <c r="F19" s="16"/>
      <c r="G19" s="16"/>
      <c r="H19" s="16"/>
      <c r="I19" s="16"/>
      <c r="J19" s="16"/>
      <c r="K19" s="16"/>
      <c r="L19" s="16"/>
    </row>
    <row r="20" customFormat="false" ht="21.75" hidden="false" customHeight="true" outlineLevel="0" collapsed="false">
      <c r="A20" s="14" t="s">
        <v>21</v>
      </c>
      <c r="B20" s="14"/>
      <c r="C20" s="15"/>
      <c r="D20" s="16" t="s">
        <v>22</v>
      </c>
      <c r="E20" s="16"/>
      <c r="F20" s="16"/>
      <c r="G20" s="16"/>
      <c r="H20" s="16"/>
      <c r="I20" s="16"/>
      <c r="J20" s="16"/>
      <c r="K20" s="16"/>
      <c r="L20" s="16"/>
    </row>
    <row r="21" customFormat="false" ht="21.75" hidden="false" customHeight="true" outlineLevel="0" collapsed="false">
      <c r="A21" s="14" t="s">
        <v>23</v>
      </c>
      <c r="B21" s="14"/>
      <c r="C21" s="15"/>
      <c r="D21" s="16" t="s">
        <v>24</v>
      </c>
      <c r="E21" s="16"/>
      <c r="F21" s="16"/>
      <c r="G21" s="16"/>
      <c r="H21" s="16"/>
      <c r="I21" s="16"/>
      <c r="J21" s="16"/>
      <c r="K21" s="16"/>
      <c r="L21" s="16"/>
    </row>
    <row r="22" customFormat="false" ht="21.75" hidden="false" customHeight="true" outlineLevel="0" collapsed="false">
      <c r="A22" s="14" t="s">
        <v>25</v>
      </c>
      <c r="B22" s="14"/>
      <c r="C22" s="15"/>
      <c r="D22" s="16" t="s">
        <v>26</v>
      </c>
      <c r="E22" s="16"/>
      <c r="F22" s="16"/>
      <c r="G22" s="16"/>
      <c r="H22" s="16"/>
      <c r="I22" s="16"/>
      <c r="J22" s="16"/>
      <c r="K22" s="16"/>
      <c r="L22" s="16"/>
    </row>
    <row r="23" customFormat="false" ht="21.75" hidden="false" customHeight="true" outlineLevel="0" collapsed="false">
      <c r="A23" s="14" t="s">
        <v>27</v>
      </c>
      <c r="B23" s="14"/>
      <c r="C23" s="15"/>
      <c r="D23" s="16" t="s">
        <v>28</v>
      </c>
      <c r="E23" s="16"/>
      <c r="F23" s="16"/>
      <c r="G23" s="16"/>
      <c r="H23" s="16"/>
      <c r="I23" s="16"/>
      <c r="J23" s="16"/>
      <c r="K23" s="16"/>
      <c r="L23" s="16"/>
    </row>
    <row r="24" customFormat="false" ht="21.75" hidden="false" customHeight="true" outlineLevel="0" collapsed="false">
      <c r="A24" s="14" t="s">
        <v>29</v>
      </c>
      <c r="B24" s="14"/>
      <c r="C24" s="15"/>
      <c r="D24" s="16" t="s">
        <v>30</v>
      </c>
      <c r="E24" s="16"/>
      <c r="F24" s="16"/>
      <c r="G24" s="16"/>
      <c r="H24" s="16"/>
      <c r="I24" s="16"/>
      <c r="J24" s="16"/>
      <c r="K24" s="16"/>
      <c r="L24" s="16"/>
    </row>
    <row r="25" customFormat="false" ht="21.75" hidden="false" customHeight="true" outlineLevel="0" collapsed="false">
      <c r="A25" s="14" t="s">
        <v>31</v>
      </c>
      <c r="B25" s="14"/>
      <c r="C25" s="15"/>
      <c r="D25" s="16" t="s">
        <v>32</v>
      </c>
      <c r="E25" s="16"/>
      <c r="F25" s="16"/>
      <c r="G25" s="16"/>
      <c r="H25" s="16"/>
      <c r="I25" s="16"/>
      <c r="J25" s="16"/>
      <c r="K25" s="16"/>
      <c r="L25" s="16"/>
    </row>
    <row r="26" customFormat="false" ht="21.75" hidden="false" customHeight="true" outlineLevel="0" collapsed="false">
      <c r="A26" s="14" t="s">
        <v>33</v>
      </c>
      <c r="B26" s="14"/>
      <c r="C26" s="15"/>
      <c r="D26" s="16" t="s">
        <v>34</v>
      </c>
      <c r="E26" s="16"/>
      <c r="F26" s="16"/>
      <c r="G26" s="16"/>
      <c r="H26" s="16"/>
      <c r="I26" s="16"/>
      <c r="J26" s="16"/>
      <c r="K26" s="16"/>
      <c r="L26" s="16"/>
    </row>
  </sheetData>
  <mergeCells count="51">
    <mergeCell ref="A1:L1"/>
    <mergeCell ref="A2:L2"/>
    <mergeCell ref="A4:B4"/>
    <mergeCell ref="D4:E4"/>
    <mergeCell ref="G4:H4"/>
    <mergeCell ref="J4:K4"/>
    <mergeCell ref="A5:B5"/>
    <mergeCell ref="D5:E5"/>
    <mergeCell ref="G5:H5"/>
    <mergeCell ref="J5:K5"/>
    <mergeCell ref="A7:B7"/>
    <mergeCell ref="D7:E7"/>
    <mergeCell ref="G7:H7"/>
    <mergeCell ref="J7:K7"/>
    <mergeCell ref="A8:B8"/>
    <mergeCell ref="D8:E8"/>
    <mergeCell ref="G8:H8"/>
    <mergeCell ref="J8:K8"/>
    <mergeCell ref="A10:B10"/>
    <mergeCell ref="D10:E10"/>
    <mergeCell ref="G10:H10"/>
    <mergeCell ref="J10:K10"/>
    <mergeCell ref="A11:B11"/>
    <mergeCell ref="D11:E11"/>
    <mergeCell ref="G11:H11"/>
    <mergeCell ref="J11:K11"/>
    <mergeCell ref="A13:B13"/>
    <mergeCell ref="D13:L13"/>
    <mergeCell ref="A14:B14"/>
    <mergeCell ref="D14:L14"/>
    <mergeCell ref="A15:B15"/>
    <mergeCell ref="D15:L15"/>
    <mergeCell ref="A16:B16"/>
    <mergeCell ref="D16:L16"/>
    <mergeCell ref="A18:L18"/>
    <mergeCell ref="A19:B19"/>
    <mergeCell ref="D19:L19"/>
    <mergeCell ref="A20:B20"/>
    <mergeCell ref="D20:L20"/>
    <mergeCell ref="A21:B21"/>
    <mergeCell ref="D21:L21"/>
    <mergeCell ref="A22:B22"/>
    <mergeCell ref="D22:L22"/>
    <mergeCell ref="A23:B23"/>
    <mergeCell ref="D23:L23"/>
    <mergeCell ref="A24:B24"/>
    <mergeCell ref="D24:L24"/>
    <mergeCell ref="A25:B25"/>
    <mergeCell ref="D25:L25"/>
    <mergeCell ref="A26:B26"/>
    <mergeCell ref="D26:L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B2:C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4"/>
    <col collapsed="false" customWidth="true" hidden="false" outlineLevel="0" max="3" min="3" style="0" width="104"/>
  </cols>
  <sheetData>
    <row r="2" customFormat="false" ht="30" hidden="false" customHeight="true" outlineLevel="0" collapsed="false">
      <c r="B2" s="17" t="s">
        <v>35</v>
      </c>
      <c r="C2" s="17"/>
    </row>
    <row r="4" customFormat="false" ht="21.75" hidden="false" customHeight="true" outlineLevel="0" collapsed="false">
      <c r="B4" s="18" t="s">
        <v>36</v>
      </c>
      <c r="C4" s="18"/>
    </row>
    <row r="5" customFormat="false" ht="37.5" hidden="false" customHeight="true" outlineLevel="0" collapsed="false">
      <c r="B5" s="14" t="s">
        <v>37</v>
      </c>
      <c r="C5" s="16" t="s">
        <v>38</v>
      </c>
    </row>
    <row r="6" customFormat="false" ht="37.5" hidden="false" customHeight="true" outlineLevel="0" collapsed="false">
      <c r="B6" s="14" t="s">
        <v>39</v>
      </c>
      <c r="C6" s="16" t="s">
        <v>40</v>
      </c>
    </row>
    <row r="7" customFormat="false" ht="21.75" hidden="false" customHeight="true" outlineLevel="0" collapsed="false">
      <c r="B7" s="18" t="s">
        <v>41</v>
      </c>
      <c r="C7" s="18"/>
    </row>
    <row r="8" customFormat="false" ht="37.5" hidden="false" customHeight="true" outlineLevel="0" collapsed="false">
      <c r="B8" s="14" t="s">
        <v>42</v>
      </c>
      <c r="C8" s="16" t="s">
        <v>43</v>
      </c>
    </row>
    <row r="9" customFormat="false" ht="37.5" hidden="false" customHeight="true" outlineLevel="0" collapsed="false">
      <c r="B9" s="14" t="s">
        <v>44</v>
      </c>
      <c r="C9" s="16" t="s">
        <v>45</v>
      </c>
    </row>
    <row r="10" customFormat="false" ht="37.5" hidden="false" customHeight="true" outlineLevel="0" collapsed="false">
      <c r="B10" s="14" t="s">
        <v>46</v>
      </c>
      <c r="C10" s="16" t="s">
        <v>47</v>
      </c>
    </row>
    <row r="11" customFormat="false" ht="21.75" hidden="false" customHeight="true" outlineLevel="0" collapsed="false">
      <c r="B11" s="18" t="s">
        <v>48</v>
      </c>
      <c r="C11" s="18"/>
    </row>
    <row r="12" customFormat="false" ht="37.5" hidden="false" customHeight="true" outlineLevel="0" collapsed="false">
      <c r="B12" s="14" t="s">
        <v>49</v>
      </c>
      <c r="C12" s="16" t="s">
        <v>50</v>
      </c>
    </row>
    <row r="13" customFormat="false" ht="37.5" hidden="false" customHeight="true" outlineLevel="0" collapsed="false">
      <c r="B13" s="14" t="s">
        <v>51</v>
      </c>
      <c r="C13" s="16" t="s">
        <v>52</v>
      </c>
    </row>
    <row r="14" customFormat="false" ht="37.5" hidden="false" customHeight="true" outlineLevel="0" collapsed="false">
      <c r="B14" s="14" t="s">
        <v>53</v>
      </c>
      <c r="C14" s="16" t="s">
        <v>54</v>
      </c>
    </row>
    <row r="15" customFormat="false" ht="21.75" hidden="false" customHeight="true" outlineLevel="0" collapsed="false">
      <c r="B15" s="18" t="s">
        <v>55</v>
      </c>
      <c r="C15" s="18"/>
    </row>
    <row r="16" customFormat="false" ht="37.5" hidden="false" customHeight="true" outlineLevel="0" collapsed="false">
      <c r="B16" s="14" t="s">
        <v>56</v>
      </c>
      <c r="C16" s="16" t="s">
        <v>57</v>
      </c>
    </row>
    <row r="17" customFormat="false" ht="37.5" hidden="false" customHeight="true" outlineLevel="0" collapsed="false">
      <c r="B17" s="14" t="s">
        <v>58</v>
      </c>
      <c r="C17" s="16" t="s">
        <v>59</v>
      </c>
    </row>
    <row r="18" customFormat="false" ht="37.5" hidden="false" customHeight="true" outlineLevel="0" collapsed="false">
      <c r="B18" s="14" t="s">
        <v>60</v>
      </c>
      <c r="C18" s="16" t="s">
        <v>61</v>
      </c>
    </row>
    <row r="19" customFormat="false" ht="21.75" hidden="false" customHeight="true" outlineLevel="0" collapsed="false">
      <c r="B19" s="18" t="s">
        <v>62</v>
      </c>
      <c r="C19" s="18"/>
    </row>
    <row r="20" customFormat="false" ht="37.5" hidden="false" customHeight="true" outlineLevel="0" collapsed="false">
      <c r="B20" s="14" t="s">
        <v>63</v>
      </c>
      <c r="C20" s="16" t="s">
        <v>64</v>
      </c>
    </row>
    <row r="21" customFormat="false" ht="37.5" hidden="false" customHeight="true" outlineLevel="0" collapsed="false">
      <c r="B21" s="14" t="s">
        <v>65</v>
      </c>
      <c r="C21" s="16" t="s">
        <v>66</v>
      </c>
    </row>
    <row r="22" customFormat="false" ht="37.5" hidden="false" customHeight="true" outlineLevel="0" collapsed="false">
      <c r="B22" s="14" t="s">
        <v>67</v>
      </c>
      <c r="C22" s="16" t="s">
        <v>68</v>
      </c>
    </row>
    <row r="23" customFormat="false" ht="21.75" hidden="false" customHeight="true" outlineLevel="0" collapsed="false">
      <c r="B23" s="18" t="s">
        <v>69</v>
      </c>
      <c r="C23" s="18"/>
    </row>
    <row r="24" customFormat="false" ht="37.5" hidden="false" customHeight="true" outlineLevel="0" collapsed="false">
      <c r="B24" s="14" t="s">
        <v>70</v>
      </c>
      <c r="C24" s="16" t="s">
        <v>71</v>
      </c>
    </row>
    <row r="25" customFormat="false" ht="37.5" hidden="false" customHeight="true" outlineLevel="0" collapsed="false">
      <c r="B25" s="14" t="s">
        <v>72</v>
      </c>
      <c r="C25" s="16" t="s">
        <v>73</v>
      </c>
    </row>
    <row r="26" customFormat="false" ht="21.75" hidden="false" customHeight="true" outlineLevel="0" collapsed="false">
      <c r="B26" s="18" t="s">
        <v>74</v>
      </c>
      <c r="C26" s="18"/>
    </row>
    <row r="27" customFormat="false" ht="37.5" hidden="false" customHeight="true" outlineLevel="0" collapsed="false">
      <c r="B27" s="14" t="s">
        <v>75</v>
      </c>
      <c r="C27" s="16" t="s">
        <v>76</v>
      </c>
    </row>
    <row r="28" customFormat="false" ht="37.5" hidden="false" customHeight="true" outlineLevel="0" collapsed="false">
      <c r="B28" s="14" t="s">
        <v>77</v>
      </c>
      <c r="C28" s="16" t="s">
        <v>78</v>
      </c>
    </row>
    <row r="29" customFormat="false" ht="37.5" hidden="false" customHeight="true" outlineLevel="0" collapsed="false">
      <c r="B29" s="14" t="s">
        <v>79</v>
      </c>
      <c r="C29" s="16" t="s">
        <v>80</v>
      </c>
    </row>
  </sheetData>
  <mergeCells count="8">
    <mergeCell ref="B2:C2"/>
    <mergeCell ref="B4:C4"/>
    <mergeCell ref="B7:C7"/>
    <mergeCell ref="B11:C11"/>
    <mergeCell ref="B15:C15"/>
    <mergeCell ref="B19:C19"/>
    <mergeCell ref="B23:C23"/>
    <mergeCell ref="B26:C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N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6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13"/>
    <col collapsed="false" customWidth="true" hidden="false" outlineLevel="0" max="12" min="9" style="0" width="11"/>
    <col collapsed="false" customWidth="true" hidden="false" outlineLevel="0" max="13" min="13" style="0" width="8"/>
    <col collapsed="false" customWidth="true" hidden="false" outlineLevel="0" max="14" min="14" style="0" width="24"/>
  </cols>
  <sheetData>
    <row r="1" customFormat="false" ht="25.5" hidden="false" customHeight="true" outlineLevel="0" collapsed="false">
      <c r="A1" s="17" t="s">
        <v>81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</row>
    <row r="2" customFormat="false" ht="15" hidden="false" customHeight="true" outlineLevel="0" collapsed="false">
      <c r="A2" s="19" t="s">
        <v>82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5" customFormat="false" ht="30" hidden="false" customHeight="true" outlineLevel="0" collapsed="false">
      <c r="A5" s="20" t="s">
        <v>83</v>
      </c>
      <c r="B5" s="20" t="s">
        <v>84</v>
      </c>
      <c r="C5" s="20" t="s">
        <v>85</v>
      </c>
      <c r="D5" s="20" t="s">
        <v>86</v>
      </c>
      <c r="E5" s="20" t="s">
        <v>87</v>
      </c>
      <c r="F5" s="20" t="s">
        <v>88</v>
      </c>
      <c r="G5" s="20" t="s">
        <v>89</v>
      </c>
      <c r="H5" s="20" t="s">
        <v>90</v>
      </c>
      <c r="I5" s="20" t="s">
        <v>91</v>
      </c>
      <c r="J5" s="20" t="s">
        <v>92</v>
      </c>
      <c r="K5" s="20" t="s">
        <v>93</v>
      </c>
      <c r="L5" s="20" t="s">
        <v>94</v>
      </c>
      <c r="M5" s="20" t="s">
        <v>95</v>
      </c>
      <c r="N5" s="20" t="s">
        <v>96</v>
      </c>
    </row>
    <row r="6" customFormat="false" ht="16.5" hidden="false" customHeight="true" outlineLevel="0" collapsed="false">
      <c r="A6" s="21" t="s">
        <v>97</v>
      </c>
      <c r="B6" s="22" t="s">
        <v>98</v>
      </c>
      <c r="C6" s="21" t="s">
        <v>99</v>
      </c>
      <c r="D6" s="23"/>
      <c r="E6" s="23"/>
      <c r="F6" s="23"/>
      <c r="G6" s="21" t="s">
        <v>100</v>
      </c>
      <c r="H6" s="24" t="s">
        <v>101</v>
      </c>
      <c r="I6" s="23"/>
      <c r="J6" s="23"/>
      <c r="K6" s="23"/>
      <c r="L6" s="23"/>
      <c r="M6" s="21" t="s">
        <v>102</v>
      </c>
      <c r="N6" s="22" t="s">
        <v>103</v>
      </c>
    </row>
    <row r="7" customFormat="false" ht="16.5" hidden="false" customHeight="true" outlineLevel="0" collapsed="false">
      <c r="A7" s="21" t="s">
        <v>104</v>
      </c>
      <c r="B7" s="22" t="s">
        <v>105</v>
      </c>
      <c r="C7" s="21" t="s">
        <v>99</v>
      </c>
      <c r="D7" s="23"/>
      <c r="E7" s="23"/>
      <c r="F7" s="23"/>
      <c r="G7" s="21" t="s">
        <v>100</v>
      </c>
      <c r="H7" s="24" t="s">
        <v>101</v>
      </c>
      <c r="I7" s="23"/>
      <c r="J7" s="23"/>
      <c r="K7" s="23"/>
      <c r="L7" s="23"/>
      <c r="M7" s="21" t="s">
        <v>102</v>
      </c>
      <c r="N7" s="22" t="s">
        <v>103</v>
      </c>
    </row>
    <row r="8" customFormat="false" ht="16.5" hidden="false" customHeight="true" outlineLevel="0" collapsed="false">
      <c r="A8" s="21" t="s">
        <v>106</v>
      </c>
      <c r="B8" s="22" t="s">
        <v>107</v>
      </c>
      <c r="C8" s="21" t="s">
        <v>108</v>
      </c>
      <c r="D8" s="23" t="n">
        <v>0.04</v>
      </c>
      <c r="E8" s="23" t="n">
        <v>0.13</v>
      </c>
      <c r="F8" s="23" t="n">
        <v>0.13</v>
      </c>
      <c r="G8" s="21" t="s">
        <v>100</v>
      </c>
      <c r="H8" s="24" t="s">
        <v>101</v>
      </c>
      <c r="I8" s="23"/>
      <c r="J8" s="23"/>
      <c r="K8" s="23"/>
      <c r="L8" s="23"/>
      <c r="M8" s="21" t="s">
        <v>102</v>
      </c>
      <c r="N8" s="22" t="s">
        <v>109</v>
      </c>
    </row>
    <row r="9" customFormat="false" ht="16.5" hidden="false" customHeight="true" outlineLevel="0" collapsed="false">
      <c r="A9" s="21" t="s">
        <v>110</v>
      </c>
      <c r="B9" s="22" t="s">
        <v>110</v>
      </c>
      <c r="C9" s="21" t="s">
        <v>108</v>
      </c>
      <c r="D9" s="23" t="n">
        <v>0.04</v>
      </c>
      <c r="E9" s="23" t="n">
        <v>0.09</v>
      </c>
      <c r="F9" s="23" t="n">
        <v>0.03</v>
      </c>
      <c r="G9" s="21" t="s">
        <v>111</v>
      </c>
      <c r="H9" s="21" t="s">
        <v>112</v>
      </c>
      <c r="I9" s="23"/>
      <c r="J9" s="23" t="n">
        <v>0.12</v>
      </c>
      <c r="K9" s="23" t="n">
        <v>0.000588</v>
      </c>
      <c r="L9" s="23"/>
      <c r="M9" s="21" t="s">
        <v>102</v>
      </c>
      <c r="N9" s="22" t="s">
        <v>113</v>
      </c>
    </row>
    <row r="10" customFormat="false" ht="16.5" hidden="false" customHeight="true" outlineLevel="0" collapsed="false">
      <c r="A10" s="21" t="s">
        <v>114</v>
      </c>
      <c r="B10" s="22" t="s">
        <v>114</v>
      </c>
      <c r="C10" s="21" t="s">
        <v>108</v>
      </c>
      <c r="D10" s="23" t="n">
        <v>0.02</v>
      </c>
      <c r="E10" s="23" t="n">
        <v>0.03</v>
      </c>
      <c r="F10" s="23" t="n">
        <v>0.01</v>
      </c>
      <c r="G10" s="21" t="s">
        <v>111</v>
      </c>
      <c r="H10" s="21" t="s">
        <v>115</v>
      </c>
      <c r="I10" s="23"/>
      <c r="J10" s="23" t="n">
        <v>0.12</v>
      </c>
      <c r="K10" s="23" t="n">
        <v>0.0003</v>
      </c>
      <c r="L10" s="23"/>
      <c r="M10" s="21" t="s">
        <v>102</v>
      </c>
      <c r="N10" s="22" t="s">
        <v>116</v>
      </c>
    </row>
    <row r="11" customFormat="false" ht="16.5" hidden="false" customHeight="true" outlineLevel="0" collapsed="false">
      <c r="A11" s="21" t="s">
        <v>117</v>
      </c>
      <c r="B11" s="22" t="s">
        <v>117</v>
      </c>
      <c r="C11" s="21" t="s">
        <v>108</v>
      </c>
      <c r="D11" s="23" t="n">
        <v>0.02</v>
      </c>
      <c r="E11" s="23" t="n">
        <v>0.03</v>
      </c>
      <c r="F11" s="23" t="n">
        <v>0.03</v>
      </c>
      <c r="G11" s="21" t="s">
        <v>111</v>
      </c>
      <c r="H11" s="21" t="s">
        <v>115</v>
      </c>
      <c r="I11" s="23"/>
      <c r="J11" s="23" t="n">
        <v>0.06</v>
      </c>
      <c r="K11" s="23"/>
      <c r="L11" s="23" t="n">
        <v>0.002</v>
      </c>
      <c r="M11" s="21" t="s">
        <v>102</v>
      </c>
      <c r="N11" s="22" t="s">
        <v>118</v>
      </c>
    </row>
    <row r="12" customFormat="false" ht="16.5" hidden="false" customHeight="true" outlineLevel="0" collapsed="false">
      <c r="A12" s="21" t="s">
        <v>119</v>
      </c>
      <c r="B12" s="22" t="s">
        <v>119</v>
      </c>
      <c r="C12" s="21" t="s">
        <v>108</v>
      </c>
      <c r="D12" s="23" t="n">
        <v>0.05</v>
      </c>
      <c r="E12" s="23" t="n">
        <v>0.09</v>
      </c>
      <c r="F12" s="23" t="n">
        <v>0.03</v>
      </c>
      <c r="G12" s="21" t="s">
        <v>111</v>
      </c>
      <c r="H12" s="21" t="s">
        <v>112</v>
      </c>
      <c r="I12" s="23"/>
      <c r="J12" s="23" t="n">
        <v>0.12</v>
      </c>
      <c r="K12" s="23" t="n">
        <v>0.0006</v>
      </c>
      <c r="L12" s="23"/>
      <c r="M12" s="21" t="s">
        <v>102</v>
      </c>
      <c r="N12" s="22" t="s">
        <v>120</v>
      </c>
    </row>
    <row r="13" customFormat="false" ht="16.5" hidden="false" customHeight="true" outlineLevel="0" collapsed="false">
      <c r="A13" s="21" t="s">
        <v>121</v>
      </c>
      <c r="B13" s="22" t="s">
        <v>121</v>
      </c>
      <c r="C13" s="21" t="s">
        <v>108</v>
      </c>
      <c r="D13" s="23" t="n">
        <v>0.02</v>
      </c>
      <c r="E13" s="23" t="n">
        <v>0.13</v>
      </c>
      <c r="F13" s="23" t="n">
        <v>0.13</v>
      </c>
      <c r="G13" s="21" t="s">
        <v>111</v>
      </c>
      <c r="H13" s="21" t="s">
        <v>112</v>
      </c>
      <c r="I13" s="23"/>
      <c r="J13" s="23" t="n">
        <v>0.06</v>
      </c>
      <c r="K13" s="23"/>
      <c r="L13" s="23"/>
      <c r="M13" s="21" t="s">
        <v>102</v>
      </c>
      <c r="N13" s="22" t="s">
        <v>122</v>
      </c>
    </row>
    <row r="14" customFormat="false" ht="16.5" hidden="false" customHeight="true" outlineLevel="0" collapsed="false">
      <c r="A14" s="21" t="s">
        <v>123</v>
      </c>
      <c r="B14" s="22" t="s">
        <v>124</v>
      </c>
      <c r="C14" s="21" t="s">
        <v>108</v>
      </c>
      <c r="D14" s="23" t="n">
        <v>0.1</v>
      </c>
      <c r="E14" s="23" t="n">
        <v>0.09</v>
      </c>
      <c r="F14" s="23" t="n">
        <v>0.09</v>
      </c>
      <c r="G14" s="21" t="s">
        <v>111</v>
      </c>
      <c r="H14" s="21" t="s">
        <v>115</v>
      </c>
      <c r="I14" s="23"/>
      <c r="J14" s="23" t="n">
        <v>0.12</v>
      </c>
      <c r="K14" s="23"/>
      <c r="L14" s="23"/>
      <c r="M14" s="21" t="s">
        <v>102</v>
      </c>
      <c r="N14" s="22"/>
    </row>
    <row r="15" customFormat="false" ht="16.5" hidden="false" customHeight="true" outlineLevel="0" collapsed="false">
      <c r="A15" s="21" t="s">
        <v>125</v>
      </c>
      <c r="B15" s="22" t="s">
        <v>126</v>
      </c>
      <c r="C15" s="21" t="s">
        <v>108</v>
      </c>
      <c r="D15" s="23" t="n">
        <v>0.1</v>
      </c>
      <c r="E15" s="23" t="n">
        <v>0.13</v>
      </c>
      <c r="F15" s="23" t="n">
        <v>0.13</v>
      </c>
      <c r="G15" s="21" t="s">
        <v>111</v>
      </c>
      <c r="H15" s="21" t="s">
        <v>115</v>
      </c>
      <c r="I15" s="23"/>
      <c r="J15" s="23" t="n">
        <v>0.12</v>
      </c>
      <c r="K15" s="23"/>
      <c r="L15" s="23"/>
      <c r="M15" s="21" t="s">
        <v>102</v>
      </c>
      <c r="N15" s="22"/>
    </row>
    <row r="16" customFormat="false" ht="16.5" hidden="false" customHeight="true" outlineLevel="0" collapsed="false">
      <c r="A16" s="21" t="s">
        <v>127</v>
      </c>
      <c r="B16" s="22" t="s">
        <v>128</v>
      </c>
      <c r="C16" s="21" t="s">
        <v>129</v>
      </c>
      <c r="D16" s="23"/>
      <c r="E16" s="23" t="n">
        <v>0.03</v>
      </c>
      <c r="F16" s="23"/>
      <c r="G16" s="21" t="s">
        <v>100</v>
      </c>
      <c r="H16" s="24" t="s">
        <v>101</v>
      </c>
      <c r="I16" s="23"/>
      <c r="J16" s="23"/>
      <c r="K16" s="23"/>
      <c r="L16" s="23"/>
      <c r="M16" s="21" t="s">
        <v>102</v>
      </c>
      <c r="N16" s="22" t="s">
        <v>130</v>
      </c>
    </row>
    <row r="17" customFormat="false" ht="16.5" hidden="false" customHeight="true" outlineLevel="0" collapsed="false">
      <c r="A17" s="21" t="s">
        <v>131</v>
      </c>
      <c r="B17" s="22" t="s">
        <v>132</v>
      </c>
      <c r="C17" s="21" t="s">
        <v>129</v>
      </c>
      <c r="D17" s="23"/>
      <c r="E17" s="23" t="n">
        <v>0.13</v>
      </c>
      <c r="F17" s="23"/>
      <c r="G17" s="21" t="s">
        <v>100</v>
      </c>
      <c r="H17" s="24" t="s">
        <v>101</v>
      </c>
      <c r="I17" s="23"/>
      <c r="J17" s="23"/>
      <c r="K17" s="23"/>
      <c r="L17" s="23"/>
      <c r="M17" s="21" t="s">
        <v>102</v>
      </c>
      <c r="N17" s="25" t="s">
        <v>133</v>
      </c>
    </row>
    <row r="18" customFormat="false" ht="16.5" hidden="false" customHeight="true" outlineLevel="0" collapsed="false">
      <c r="A18" s="21" t="s">
        <v>134</v>
      </c>
      <c r="B18" s="22" t="s">
        <v>135</v>
      </c>
      <c r="C18" s="21" t="s">
        <v>136</v>
      </c>
      <c r="D18" s="23"/>
      <c r="E18" s="23"/>
      <c r="F18" s="23"/>
      <c r="G18" s="21" t="s">
        <v>100</v>
      </c>
      <c r="H18" s="24" t="s">
        <v>101</v>
      </c>
      <c r="I18" s="23"/>
      <c r="J18" s="23"/>
      <c r="K18" s="23"/>
      <c r="L18" s="23"/>
      <c r="M18" s="21" t="s">
        <v>102</v>
      </c>
      <c r="N18" s="22"/>
    </row>
    <row r="19" customFormat="false" ht="16.5" hidden="false" customHeight="true" outlineLevel="0" collapsed="false">
      <c r="A19" s="21"/>
      <c r="B19" s="22"/>
      <c r="C19" s="21"/>
      <c r="D19" s="23"/>
      <c r="E19" s="23"/>
      <c r="F19" s="23"/>
      <c r="G19" s="21"/>
      <c r="H19" s="21"/>
      <c r="I19" s="23"/>
      <c r="J19" s="23"/>
      <c r="K19" s="23"/>
      <c r="L19" s="23"/>
      <c r="M19" s="21"/>
      <c r="N19" s="22"/>
    </row>
    <row r="20" customFormat="false" ht="16.5" hidden="false" customHeight="true" outlineLevel="0" collapsed="false">
      <c r="A20" s="21"/>
      <c r="B20" s="22"/>
      <c r="C20" s="21"/>
      <c r="D20" s="23"/>
      <c r="E20" s="23"/>
      <c r="F20" s="23"/>
      <c r="G20" s="21"/>
      <c r="H20" s="21"/>
      <c r="I20" s="23"/>
      <c r="J20" s="23"/>
      <c r="K20" s="23"/>
      <c r="L20" s="23"/>
      <c r="M20" s="21"/>
      <c r="N20" s="22"/>
    </row>
    <row r="21" customFormat="false" ht="16.5" hidden="false" customHeight="true" outlineLevel="0" collapsed="false">
      <c r="A21" s="21"/>
      <c r="B21" s="22"/>
      <c r="C21" s="21"/>
      <c r="D21" s="23"/>
      <c r="E21" s="23"/>
      <c r="F21" s="23"/>
      <c r="G21" s="21"/>
      <c r="H21" s="21"/>
      <c r="I21" s="23"/>
      <c r="J21" s="23"/>
      <c r="K21" s="23"/>
      <c r="L21" s="23"/>
      <c r="M21" s="21"/>
      <c r="N21" s="22"/>
    </row>
    <row r="22" customFormat="false" ht="16.5" hidden="false" customHeight="true" outlineLevel="0" collapsed="false">
      <c r="A22" s="21"/>
      <c r="B22" s="22"/>
      <c r="C22" s="21"/>
      <c r="D22" s="23"/>
      <c r="E22" s="23"/>
      <c r="F22" s="23"/>
      <c r="G22" s="21"/>
      <c r="H22" s="21"/>
      <c r="I22" s="23"/>
      <c r="J22" s="23"/>
      <c r="K22" s="23"/>
      <c r="L22" s="23"/>
      <c r="M22" s="21"/>
      <c r="N22" s="22"/>
    </row>
    <row r="23" customFormat="false" ht="16.5" hidden="false" customHeight="true" outlineLevel="0" collapsed="false">
      <c r="A23" s="21"/>
      <c r="B23" s="22"/>
      <c r="C23" s="21"/>
      <c r="D23" s="23"/>
      <c r="E23" s="23"/>
      <c r="F23" s="23"/>
      <c r="G23" s="21"/>
      <c r="H23" s="21"/>
      <c r="I23" s="23"/>
      <c r="J23" s="23"/>
      <c r="K23" s="23"/>
      <c r="L23" s="23"/>
      <c r="M23" s="21"/>
      <c r="N23" s="22"/>
    </row>
    <row r="24" customFormat="false" ht="16.5" hidden="false" customHeight="true" outlineLevel="0" collapsed="false">
      <c r="A24" s="21"/>
      <c r="B24" s="22"/>
      <c r="C24" s="21"/>
      <c r="D24" s="23"/>
      <c r="E24" s="23"/>
      <c r="F24" s="23"/>
      <c r="G24" s="21"/>
      <c r="H24" s="21"/>
      <c r="I24" s="23"/>
      <c r="J24" s="23"/>
      <c r="K24" s="23"/>
      <c r="L24" s="23"/>
      <c r="M24" s="21"/>
      <c r="N24" s="22"/>
    </row>
    <row r="25" customFormat="false" ht="16.5" hidden="false" customHeight="true" outlineLevel="0" collapsed="false">
      <c r="A25" s="21"/>
      <c r="B25" s="22"/>
      <c r="C25" s="21"/>
      <c r="D25" s="23"/>
      <c r="E25" s="23"/>
      <c r="F25" s="23"/>
      <c r="G25" s="21"/>
      <c r="H25" s="21"/>
      <c r="I25" s="23"/>
      <c r="J25" s="23"/>
      <c r="K25" s="23"/>
      <c r="L25" s="23"/>
      <c r="M25" s="21"/>
      <c r="N25" s="22"/>
    </row>
    <row r="26" customFormat="false" ht="16.5" hidden="false" customHeight="true" outlineLevel="0" collapsed="false">
      <c r="A26" s="21"/>
      <c r="B26" s="22"/>
      <c r="C26" s="21"/>
      <c r="D26" s="23"/>
      <c r="E26" s="23"/>
      <c r="F26" s="23"/>
      <c r="G26" s="21"/>
      <c r="H26" s="21"/>
      <c r="I26" s="23"/>
      <c r="J26" s="23"/>
      <c r="K26" s="23"/>
      <c r="L26" s="23"/>
      <c r="M26" s="21"/>
      <c r="N26" s="22"/>
    </row>
    <row r="27" customFormat="false" ht="16.5" hidden="false" customHeight="true" outlineLevel="0" collapsed="false">
      <c r="A27" s="21"/>
      <c r="B27" s="22"/>
      <c r="C27" s="21"/>
      <c r="D27" s="23"/>
      <c r="E27" s="23"/>
      <c r="F27" s="23"/>
      <c r="G27" s="21"/>
      <c r="H27" s="21"/>
      <c r="I27" s="23"/>
      <c r="J27" s="23"/>
      <c r="K27" s="23"/>
      <c r="L27" s="23"/>
      <c r="M27" s="21"/>
      <c r="N27" s="22"/>
    </row>
    <row r="28" customFormat="false" ht="16.5" hidden="false" customHeight="true" outlineLevel="0" collapsed="false">
      <c r="A28" s="21"/>
      <c r="B28" s="22"/>
      <c r="C28" s="21"/>
      <c r="D28" s="23"/>
      <c r="E28" s="23"/>
      <c r="F28" s="23"/>
      <c r="G28" s="21"/>
      <c r="H28" s="21"/>
      <c r="I28" s="23"/>
      <c r="J28" s="23"/>
      <c r="K28" s="23"/>
      <c r="L28" s="23"/>
      <c r="M28" s="21"/>
      <c r="N28" s="22"/>
    </row>
    <row r="29" customFormat="false" ht="16.5" hidden="false" customHeight="true" outlineLevel="0" collapsed="false">
      <c r="A29" s="21"/>
      <c r="B29" s="22"/>
      <c r="C29" s="21"/>
      <c r="D29" s="23"/>
      <c r="E29" s="23"/>
      <c r="F29" s="23"/>
      <c r="G29" s="21"/>
      <c r="H29" s="21"/>
      <c r="I29" s="23"/>
      <c r="J29" s="23"/>
      <c r="K29" s="23"/>
      <c r="L29" s="23"/>
      <c r="M29" s="21"/>
      <c r="N29" s="22"/>
    </row>
    <row r="30" customFormat="false" ht="16.5" hidden="false" customHeight="true" outlineLevel="0" collapsed="false">
      <c r="A30" s="21"/>
      <c r="B30" s="22"/>
      <c r="C30" s="21"/>
      <c r="D30" s="23"/>
      <c r="E30" s="23"/>
      <c r="F30" s="23"/>
      <c r="G30" s="21"/>
      <c r="H30" s="21"/>
      <c r="I30" s="23"/>
      <c r="J30" s="23"/>
      <c r="K30" s="23"/>
      <c r="L30" s="23"/>
      <c r="M30" s="21"/>
      <c r="N30" s="22"/>
    </row>
    <row r="31" customFormat="false" ht="16.5" hidden="false" customHeight="true" outlineLevel="0" collapsed="false">
      <c r="A31" s="21"/>
      <c r="B31" s="22"/>
      <c r="C31" s="21"/>
      <c r="D31" s="23"/>
      <c r="E31" s="23"/>
      <c r="F31" s="23"/>
      <c r="G31" s="21"/>
      <c r="H31" s="21"/>
      <c r="I31" s="23"/>
      <c r="J31" s="23"/>
      <c r="K31" s="23"/>
      <c r="L31" s="23"/>
      <c r="M31" s="21"/>
      <c r="N31" s="22"/>
    </row>
    <row r="32" customFormat="false" ht="16.5" hidden="false" customHeight="true" outlineLevel="0" collapsed="false">
      <c r="A32" s="21"/>
      <c r="B32" s="22"/>
      <c r="C32" s="21"/>
      <c r="D32" s="23"/>
      <c r="E32" s="23"/>
      <c r="F32" s="23"/>
      <c r="G32" s="21"/>
      <c r="H32" s="21"/>
      <c r="I32" s="23"/>
      <c r="J32" s="23"/>
      <c r="K32" s="23"/>
      <c r="L32" s="23"/>
      <c r="M32" s="21"/>
      <c r="N32" s="22"/>
    </row>
    <row r="33" customFormat="false" ht="16.5" hidden="false" customHeight="true" outlineLevel="0" collapsed="false">
      <c r="A33" s="21"/>
      <c r="B33" s="22"/>
      <c r="C33" s="21"/>
      <c r="D33" s="23"/>
      <c r="E33" s="23"/>
      <c r="F33" s="23"/>
      <c r="G33" s="21"/>
      <c r="H33" s="21"/>
      <c r="I33" s="23"/>
      <c r="J33" s="23"/>
      <c r="K33" s="23"/>
      <c r="L33" s="23"/>
      <c r="M33" s="21"/>
      <c r="N33" s="22"/>
    </row>
    <row r="34" customFormat="false" ht="16.5" hidden="false" customHeight="true" outlineLevel="0" collapsed="false">
      <c r="A34" s="21"/>
      <c r="B34" s="22"/>
      <c r="C34" s="21"/>
      <c r="D34" s="23"/>
      <c r="E34" s="23"/>
      <c r="F34" s="23"/>
      <c r="G34" s="21"/>
      <c r="H34" s="21"/>
      <c r="I34" s="23"/>
      <c r="J34" s="23"/>
      <c r="K34" s="23"/>
      <c r="L34" s="23"/>
      <c r="M34" s="21"/>
      <c r="N34" s="22"/>
    </row>
    <row r="35" customFormat="false" ht="16.5" hidden="false" customHeight="true" outlineLevel="0" collapsed="false">
      <c r="A35" s="21"/>
      <c r="B35" s="22"/>
      <c r="C35" s="21"/>
      <c r="D35" s="23"/>
      <c r="E35" s="23"/>
      <c r="F35" s="23"/>
      <c r="G35" s="21"/>
      <c r="H35" s="21"/>
      <c r="I35" s="23"/>
      <c r="J35" s="23"/>
      <c r="K35" s="23"/>
      <c r="L35" s="23"/>
      <c r="M35" s="21"/>
      <c r="N35" s="22"/>
    </row>
    <row r="37" customFormat="false" ht="22.35" hidden="false" customHeight="true" outlineLevel="0" collapsed="false">
      <c r="A37" s="19" t="s">
        <v>137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</row>
  </sheetData>
  <mergeCells count="3">
    <mergeCell ref="A1:N1"/>
    <mergeCell ref="A2:N2"/>
    <mergeCell ref="A37:N37"/>
  </mergeCells>
  <dataValidations count="4">
    <dataValidation allowBlank="true" error="必须选择下拉中已维护的值，手工输入会导致取数错位" errorStyle="stop" errorTitle="请从下拉中选择" operator="between" showDropDown="false" showErrorMessage="true" showInputMessage="false" sqref="C6:C35" type="list">
      <formula1>"业主,挂靠单位,我方主体,其他"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G6:G35" type="list">
      <formula1>"是,否"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H6:H35" type="list">
      <formula1>"税差法,全额销项法,预征率法,—"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M6:M35" type="list">
      <formula1>"正常,停用"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L2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7" min="7" style="0" width="11"/>
    <col collapsed="false" customWidth="true" hidden="false" outlineLevel="0" max="9" min="8" style="0" width="12"/>
    <col collapsed="false" customWidth="true" hidden="false" outlineLevel="0" max="10" min="10" style="0" width="9"/>
    <col collapsed="false" customWidth="true" hidden="false" outlineLevel="0" max="11" min="11" style="0" width="13"/>
    <col collapsed="false" customWidth="true" hidden="false" outlineLevel="0" max="12" min="12" style="0" width="22"/>
  </cols>
  <sheetData>
    <row r="1" customFormat="false" ht="25.5" hidden="false" customHeight="true" outlineLevel="0" collapsed="false">
      <c r="A1" s="17" t="s">
        <v>138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customFormat="false" ht="15" hidden="false" customHeight="true" outlineLevel="0" collapsed="false">
      <c r="A2" s="19" t="s">
        <v>139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</row>
    <row r="5" customFormat="false" ht="30" hidden="false" customHeight="true" outlineLevel="0" collapsed="false">
      <c r="A5" s="20" t="s">
        <v>72</v>
      </c>
      <c r="B5" s="20" t="s">
        <v>140</v>
      </c>
      <c r="C5" s="20" t="s">
        <v>99</v>
      </c>
      <c r="D5" s="20" t="s">
        <v>141</v>
      </c>
      <c r="E5" s="20" t="s">
        <v>142</v>
      </c>
      <c r="F5" s="20" t="s">
        <v>143</v>
      </c>
      <c r="G5" s="20" t="s">
        <v>144</v>
      </c>
      <c r="H5" s="20" t="s">
        <v>129</v>
      </c>
      <c r="I5" s="20" t="s">
        <v>145</v>
      </c>
      <c r="J5" s="20" t="s">
        <v>95</v>
      </c>
      <c r="K5" s="20" t="s">
        <v>146</v>
      </c>
      <c r="L5" s="20" t="s">
        <v>96</v>
      </c>
    </row>
    <row r="6" customFormat="false" ht="16.5" hidden="false" customHeight="true" outlineLevel="0" collapsed="false">
      <c r="A6" s="24" t="s">
        <v>147</v>
      </c>
      <c r="B6" s="25" t="s">
        <v>148</v>
      </c>
      <c r="C6" s="21" t="s">
        <v>97</v>
      </c>
      <c r="D6" s="21" t="s">
        <v>106</v>
      </c>
      <c r="E6" s="23"/>
      <c r="F6" s="21" t="s">
        <v>125</v>
      </c>
      <c r="G6" s="23"/>
      <c r="H6" s="21" t="s">
        <v>127</v>
      </c>
      <c r="I6" s="26"/>
      <c r="J6" s="21" t="s">
        <v>149</v>
      </c>
      <c r="K6" s="27"/>
      <c r="L6" s="22"/>
    </row>
    <row r="7" customFormat="false" ht="16.5" hidden="false" customHeight="true" outlineLevel="0" collapsed="false">
      <c r="A7" s="24" t="s">
        <v>150</v>
      </c>
      <c r="B7" s="22" t="s">
        <v>151</v>
      </c>
      <c r="C7" s="21" t="s">
        <v>97</v>
      </c>
      <c r="D7" s="21" t="s">
        <v>119</v>
      </c>
      <c r="E7" s="23"/>
      <c r="F7" s="21" t="s">
        <v>117</v>
      </c>
      <c r="G7" s="23"/>
      <c r="H7" s="21" t="s">
        <v>127</v>
      </c>
      <c r="I7" s="26"/>
      <c r="J7" s="21" t="s">
        <v>149</v>
      </c>
      <c r="K7" s="27"/>
      <c r="L7" s="22" t="s">
        <v>152</v>
      </c>
    </row>
    <row r="8" customFormat="false" ht="16.5" hidden="false" customHeight="true" outlineLevel="0" collapsed="false">
      <c r="A8" s="24" t="s">
        <v>153</v>
      </c>
      <c r="B8" s="22" t="s">
        <v>154</v>
      </c>
      <c r="C8" s="21" t="s">
        <v>97</v>
      </c>
      <c r="D8" s="21" t="s">
        <v>114</v>
      </c>
      <c r="E8" s="23"/>
      <c r="F8" s="21"/>
      <c r="G8" s="23"/>
      <c r="H8" s="21" t="s">
        <v>127</v>
      </c>
      <c r="I8" s="26"/>
      <c r="J8" s="21" t="s">
        <v>149</v>
      </c>
      <c r="K8" s="27"/>
      <c r="L8" s="22" t="s">
        <v>155</v>
      </c>
    </row>
    <row r="9" customFormat="false" ht="16.5" hidden="false" customHeight="true" outlineLevel="0" collapsed="false">
      <c r="A9" s="24" t="s">
        <v>156</v>
      </c>
      <c r="B9" s="22" t="s">
        <v>157</v>
      </c>
      <c r="C9" s="21" t="s">
        <v>97</v>
      </c>
      <c r="D9" s="21" t="s">
        <v>117</v>
      </c>
      <c r="E9" s="23"/>
      <c r="F9" s="21"/>
      <c r="G9" s="23"/>
      <c r="H9" s="21" t="s">
        <v>127</v>
      </c>
      <c r="I9" s="26"/>
      <c r="J9" s="21" t="s">
        <v>149</v>
      </c>
      <c r="K9" s="27"/>
      <c r="L9" s="22" t="s">
        <v>158</v>
      </c>
    </row>
    <row r="10" customFormat="false" ht="16.5" hidden="false" customHeight="true" outlineLevel="0" collapsed="false">
      <c r="A10" s="24" t="s">
        <v>159</v>
      </c>
      <c r="B10" s="22" t="s">
        <v>160</v>
      </c>
      <c r="C10" s="21" t="s">
        <v>97</v>
      </c>
      <c r="D10" s="21" t="s">
        <v>117</v>
      </c>
      <c r="E10" s="23"/>
      <c r="F10" s="21"/>
      <c r="G10" s="23"/>
      <c r="H10" s="21" t="s">
        <v>127</v>
      </c>
      <c r="I10" s="26"/>
      <c r="J10" s="21" t="s">
        <v>149</v>
      </c>
      <c r="K10" s="27"/>
      <c r="L10" s="22" t="s">
        <v>158</v>
      </c>
    </row>
    <row r="11" customFormat="false" ht="16.5" hidden="false" customHeight="true" outlineLevel="0" collapsed="false">
      <c r="A11" s="24" t="s">
        <v>161</v>
      </c>
      <c r="B11" s="22" t="s">
        <v>162</v>
      </c>
      <c r="C11" s="21" t="s">
        <v>97</v>
      </c>
      <c r="D11" s="21" t="s">
        <v>117</v>
      </c>
      <c r="E11" s="23"/>
      <c r="F11" s="21"/>
      <c r="G11" s="23"/>
      <c r="H11" s="21" t="s">
        <v>127</v>
      </c>
      <c r="I11" s="26"/>
      <c r="J11" s="21" t="s">
        <v>149</v>
      </c>
      <c r="K11" s="27"/>
      <c r="L11" s="22" t="s">
        <v>158</v>
      </c>
    </row>
    <row r="12" customFormat="false" ht="16.5" hidden="false" customHeight="true" outlineLevel="0" collapsed="false">
      <c r="A12" s="24" t="s">
        <v>163</v>
      </c>
      <c r="B12" s="22" t="s">
        <v>164</v>
      </c>
      <c r="C12" s="21" t="s">
        <v>97</v>
      </c>
      <c r="D12" s="21" t="s">
        <v>117</v>
      </c>
      <c r="E12" s="23"/>
      <c r="F12" s="21"/>
      <c r="G12" s="23"/>
      <c r="H12" s="21" t="s">
        <v>127</v>
      </c>
      <c r="I12" s="26"/>
      <c r="J12" s="21" t="s">
        <v>149</v>
      </c>
      <c r="K12" s="27"/>
      <c r="L12" s="22" t="s">
        <v>158</v>
      </c>
    </row>
    <row r="13" customFormat="false" ht="16.5" hidden="false" customHeight="true" outlineLevel="0" collapsed="false">
      <c r="A13" s="24" t="s">
        <v>165</v>
      </c>
      <c r="B13" s="22" t="s">
        <v>166</v>
      </c>
      <c r="C13" s="21" t="s">
        <v>97</v>
      </c>
      <c r="D13" s="21" t="s">
        <v>117</v>
      </c>
      <c r="E13" s="23"/>
      <c r="F13" s="21" t="s">
        <v>117</v>
      </c>
      <c r="G13" s="23"/>
      <c r="H13" s="21" t="s">
        <v>127</v>
      </c>
      <c r="I13" s="26"/>
      <c r="J13" s="21" t="s">
        <v>149</v>
      </c>
      <c r="K13" s="27"/>
      <c r="L13" s="22" t="s">
        <v>158</v>
      </c>
    </row>
    <row r="14" customFormat="false" ht="16.5" hidden="false" customHeight="true" outlineLevel="0" collapsed="false">
      <c r="A14" s="24" t="s">
        <v>167</v>
      </c>
      <c r="B14" s="22" t="s">
        <v>168</v>
      </c>
      <c r="C14" s="21" t="s">
        <v>97</v>
      </c>
      <c r="D14" s="21" t="s">
        <v>110</v>
      </c>
      <c r="E14" s="23"/>
      <c r="F14" s="21"/>
      <c r="G14" s="23"/>
      <c r="H14" s="21" t="s">
        <v>127</v>
      </c>
      <c r="I14" s="26"/>
      <c r="J14" s="21" t="s">
        <v>149</v>
      </c>
      <c r="K14" s="27"/>
      <c r="L14" s="22"/>
    </row>
    <row r="15" customFormat="false" ht="16.5" hidden="false" customHeight="true" outlineLevel="0" collapsed="false">
      <c r="A15" s="24" t="s">
        <v>169</v>
      </c>
      <c r="B15" s="22" t="s">
        <v>170</v>
      </c>
      <c r="C15" s="21" t="s">
        <v>97</v>
      </c>
      <c r="D15" s="21" t="s">
        <v>110</v>
      </c>
      <c r="E15" s="23"/>
      <c r="F15" s="21"/>
      <c r="G15" s="23"/>
      <c r="H15" s="21" t="s">
        <v>127</v>
      </c>
      <c r="I15" s="26"/>
      <c r="J15" s="21" t="s">
        <v>149</v>
      </c>
      <c r="K15" s="27"/>
      <c r="L15" s="22"/>
    </row>
    <row r="16" customFormat="false" ht="16.5" hidden="false" customHeight="true" outlineLevel="0" collapsed="false">
      <c r="A16" s="24" t="s">
        <v>171</v>
      </c>
      <c r="B16" s="22" t="s">
        <v>172</v>
      </c>
      <c r="C16" s="21" t="s">
        <v>97</v>
      </c>
      <c r="D16" s="21" t="s">
        <v>110</v>
      </c>
      <c r="E16" s="23"/>
      <c r="F16" s="21"/>
      <c r="G16" s="23"/>
      <c r="H16" s="21" t="s">
        <v>127</v>
      </c>
      <c r="I16" s="26"/>
      <c r="J16" s="21" t="s">
        <v>149</v>
      </c>
      <c r="K16" s="27"/>
      <c r="L16" s="22"/>
    </row>
    <row r="17" customFormat="false" ht="16.5" hidden="false" customHeight="true" outlineLevel="0" collapsed="false">
      <c r="A17" s="24" t="s">
        <v>173</v>
      </c>
      <c r="B17" s="22" t="s">
        <v>174</v>
      </c>
      <c r="C17" s="21" t="s">
        <v>97</v>
      </c>
      <c r="D17" s="21" t="s">
        <v>110</v>
      </c>
      <c r="E17" s="23"/>
      <c r="F17" s="21"/>
      <c r="G17" s="23"/>
      <c r="H17" s="21" t="s">
        <v>127</v>
      </c>
      <c r="I17" s="26"/>
      <c r="J17" s="21" t="s">
        <v>149</v>
      </c>
      <c r="K17" s="27"/>
      <c r="L17" s="22"/>
    </row>
    <row r="18" customFormat="false" ht="16.5" hidden="false" customHeight="true" outlineLevel="0" collapsed="false">
      <c r="A18" s="24" t="s">
        <v>175</v>
      </c>
      <c r="B18" s="25" t="s">
        <v>176</v>
      </c>
      <c r="C18" s="21" t="s">
        <v>97</v>
      </c>
      <c r="D18" s="21" t="s">
        <v>110</v>
      </c>
      <c r="E18" s="23"/>
      <c r="F18" s="21"/>
      <c r="G18" s="23"/>
      <c r="H18" s="21" t="s">
        <v>127</v>
      </c>
      <c r="I18" s="26"/>
      <c r="J18" s="21" t="s">
        <v>149</v>
      </c>
      <c r="K18" s="27"/>
      <c r="L18" s="22"/>
    </row>
    <row r="19" customFormat="false" ht="16.5" hidden="false" customHeight="true" outlineLevel="0" collapsed="false">
      <c r="A19" s="24" t="s">
        <v>177</v>
      </c>
      <c r="B19" s="22" t="s">
        <v>178</v>
      </c>
      <c r="C19" s="21" t="s">
        <v>97</v>
      </c>
      <c r="D19" s="21" t="s">
        <v>110</v>
      </c>
      <c r="E19" s="23"/>
      <c r="F19" s="21"/>
      <c r="G19" s="23"/>
      <c r="H19" s="21" t="s">
        <v>127</v>
      </c>
      <c r="I19" s="26"/>
      <c r="J19" s="21" t="s">
        <v>149</v>
      </c>
      <c r="K19" s="27"/>
      <c r="L19" s="22"/>
    </row>
    <row r="20" customFormat="false" ht="16.5" hidden="false" customHeight="true" outlineLevel="0" collapsed="false">
      <c r="A20" s="24" t="s">
        <v>179</v>
      </c>
      <c r="B20" s="22" t="s">
        <v>180</v>
      </c>
      <c r="C20" s="21" t="s">
        <v>97</v>
      </c>
      <c r="D20" s="21" t="s">
        <v>110</v>
      </c>
      <c r="E20" s="23"/>
      <c r="F20" s="21"/>
      <c r="G20" s="23"/>
      <c r="H20" s="21" t="s">
        <v>127</v>
      </c>
      <c r="I20" s="26"/>
      <c r="J20" s="21" t="s">
        <v>149</v>
      </c>
      <c r="K20" s="27"/>
      <c r="L20" s="22"/>
    </row>
    <row r="21" customFormat="false" ht="16.5" hidden="false" customHeight="true" outlineLevel="0" collapsed="false">
      <c r="A21" s="24" t="s">
        <v>181</v>
      </c>
      <c r="B21" s="25" t="s">
        <v>182</v>
      </c>
      <c r="C21" s="21" t="s">
        <v>97</v>
      </c>
      <c r="D21" s="21" t="s">
        <v>110</v>
      </c>
      <c r="E21" s="23"/>
      <c r="F21" s="21"/>
      <c r="G21" s="23"/>
      <c r="H21" s="21" t="s">
        <v>127</v>
      </c>
      <c r="I21" s="26"/>
      <c r="J21" s="21" t="s">
        <v>149</v>
      </c>
      <c r="K21" s="27"/>
      <c r="L21" s="22"/>
    </row>
    <row r="22" customFormat="false" ht="16.5" hidden="false" customHeight="true" outlineLevel="0" collapsed="false">
      <c r="A22" s="24" t="s">
        <v>183</v>
      </c>
      <c r="B22" s="22" t="s">
        <v>184</v>
      </c>
      <c r="C22" s="21" t="s">
        <v>97</v>
      </c>
      <c r="D22" s="21" t="s">
        <v>119</v>
      </c>
      <c r="E22" s="23"/>
      <c r="F22" s="21" t="s">
        <v>117</v>
      </c>
      <c r="G22" s="23"/>
      <c r="H22" s="21" t="s">
        <v>127</v>
      </c>
      <c r="I22" s="26"/>
      <c r="J22" s="21" t="s">
        <v>149</v>
      </c>
      <c r="K22" s="27"/>
      <c r="L22" s="22"/>
    </row>
    <row r="23" customFormat="false" ht="16.5" hidden="false" customHeight="true" outlineLevel="0" collapsed="false">
      <c r="A23" s="24" t="s">
        <v>185</v>
      </c>
      <c r="B23" s="22" t="s">
        <v>186</v>
      </c>
      <c r="C23" s="21" t="s">
        <v>97</v>
      </c>
      <c r="D23" s="21" t="s">
        <v>106</v>
      </c>
      <c r="E23" s="23"/>
      <c r="F23" s="21" t="s">
        <v>121</v>
      </c>
      <c r="G23" s="23"/>
      <c r="H23" s="21" t="s">
        <v>127</v>
      </c>
      <c r="I23" s="26"/>
      <c r="J23" s="21" t="s">
        <v>149</v>
      </c>
      <c r="K23" s="27"/>
      <c r="L23" s="22" t="s">
        <v>187</v>
      </c>
    </row>
    <row r="24" customFormat="false" ht="16.5" hidden="false" customHeight="true" outlineLevel="0" collapsed="false">
      <c r="A24" s="24" t="s">
        <v>188</v>
      </c>
      <c r="B24" s="22" t="s">
        <v>189</v>
      </c>
      <c r="C24" s="21" t="s">
        <v>97</v>
      </c>
      <c r="D24" s="21" t="s">
        <v>106</v>
      </c>
      <c r="E24" s="23"/>
      <c r="F24" s="21"/>
      <c r="G24" s="23"/>
      <c r="H24" s="21" t="s">
        <v>127</v>
      </c>
      <c r="I24" s="26"/>
      <c r="J24" s="21" t="s">
        <v>149</v>
      </c>
      <c r="K24" s="27"/>
      <c r="L24" s="22"/>
    </row>
    <row r="25" customFormat="false" ht="16.5" hidden="false" customHeight="true" outlineLevel="0" collapsed="false">
      <c r="A25" s="24" t="s">
        <v>190</v>
      </c>
      <c r="B25" s="22" t="s">
        <v>191</v>
      </c>
      <c r="C25" s="21" t="s">
        <v>97</v>
      </c>
      <c r="D25" s="21" t="s">
        <v>119</v>
      </c>
      <c r="E25" s="23"/>
      <c r="F25" s="21" t="s">
        <v>117</v>
      </c>
      <c r="G25" s="23"/>
      <c r="H25" s="21" t="s">
        <v>127</v>
      </c>
      <c r="I25" s="26"/>
      <c r="J25" s="21" t="s">
        <v>149</v>
      </c>
      <c r="K25" s="27"/>
      <c r="L25" s="22" t="s">
        <v>192</v>
      </c>
    </row>
    <row r="26" customFormat="false" ht="16.5" hidden="false" customHeight="true" outlineLevel="0" collapsed="false">
      <c r="A26" s="24" t="s">
        <v>193</v>
      </c>
      <c r="B26" s="22" t="s">
        <v>194</v>
      </c>
      <c r="C26" s="21" t="s">
        <v>97</v>
      </c>
      <c r="D26" s="21" t="s">
        <v>119</v>
      </c>
      <c r="E26" s="23"/>
      <c r="F26" s="21"/>
      <c r="G26" s="23"/>
      <c r="H26" s="21" t="s">
        <v>127</v>
      </c>
      <c r="I26" s="26"/>
      <c r="J26" s="21" t="s">
        <v>149</v>
      </c>
      <c r="K26" s="27"/>
      <c r="L26" s="22"/>
    </row>
    <row r="27" customFormat="false" ht="16.5" hidden="false" customHeight="true" outlineLevel="0" collapsed="false">
      <c r="A27" s="24" t="s">
        <v>195</v>
      </c>
      <c r="B27" s="22" t="s">
        <v>196</v>
      </c>
      <c r="C27" s="21" t="s">
        <v>97</v>
      </c>
      <c r="D27" s="21" t="s">
        <v>117</v>
      </c>
      <c r="E27" s="23"/>
      <c r="F27" s="21"/>
      <c r="G27" s="23"/>
      <c r="H27" s="21" t="s">
        <v>127</v>
      </c>
      <c r="I27" s="26"/>
      <c r="J27" s="21" t="s">
        <v>149</v>
      </c>
      <c r="K27" s="27"/>
      <c r="L27" s="22"/>
    </row>
    <row r="28" customFormat="false" ht="16.5" hidden="false" customHeight="true" outlineLevel="0" collapsed="false">
      <c r="A28" s="24" t="s">
        <v>197</v>
      </c>
      <c r="B28" s="22" t="s">
        <v>198</v>
      </c>
      <c r="C28" s="21" t="s">
        <v>97</v>
      </c>
      <c r="D28" s="21" t="s">
        <v>117</v>
      </c>
      <c r="E28" s="23"/>
      <c r="F28" s="21"/>
      <c r="G28" s="23"/>
      <c r="H28" s="21" t="s">
        <v>127</v>
      </c>
      <c r="I28" s="26"/>
      <c r="J28" s="21" t="s">
        <v>149</v>
      </c>
      <c r="K28" s="27"/>
      <c r="L28" s="22"/>
    </row>
    <row r="29" customFormat="false" ht="16.5" hidden="false" customHeight="true" outlineLevel="0" collapsed="false">
      <c r="A29" s="24" t="s">
        <v>199</v>
      </c>
      <c r="B29" s="22" t="s">
        <v>200</v>
      </c>
      <c r="C29" s="21" t="s">
        <v>97</v>
      </c>
      <c r="D29" s="21" t="s">
        <v>114</v>
      </c>
      <c r="E29" s="23"/>
      <c r="F29" s="21"/>
      <c r="G29" s="23"/>
      <c r="H29" s="21" t="s">
        <v>127</v>
      </c>
      <c r="I29" s="26"/>
      <c r="J29" s="21" t="s">
        <v>149</v>
      </c>
      <c r="K29" s="27"/>
      <c r="L29" s="22" t="s">
        <v>155</v>
      </c>
    </row>
    <row r="30" customFormat="false" ht="16.5" hidden="false" customHeight="true" outlineLevel="0" collapsed="false">
      <c r="A30" s="24" t="s">
        <v>201</v>
      </c>
      <c r="B30" s="22" t="s">
        <v>202</v>
      </c>
      <c r="C30" s="21" t="s">
        <v>97</v>
      </c>
      <c r="D30" s="21" t="s">
        <v>119</v>
      </c>
      <c r="E30" s="23"/>
      <c r="F30" s="21" t="s">
        <v>117</v>
      </c>
      <c r="G30" s="23"/>
      <c r="H30" s="21" t="s">
        <v>127</v>
      </c>
      <c r="I30" s="26"/>
      <c r="J30" s="21" t="s">
        <v>149</v>
      </c>
      <c r="K30" s="27"/>
      <c r="L30" s="22"/>
    </row>
    <row r="31" customFormat="false" ht="16.5" hidden="false" customHeight="true" outlineLevel="0" collapsed="false">
      <c r="A31" s="24" t="s">
        <v>203</v>
      </c>
      <c r="B31" s="22" t="s">
        <v>204</v>
      </c>
      <c r="C31" s="21" t="s">
        <v>97</v>
      </c>
      <c r="D31" s="21" t="s">
        <v>119</v>
      </c>
      <c r="E31" s="23"/>
      <c r="F31" s="21" t="s">
        <v>117</v>
      </c>
      <c r="G31" s="23"/>
      <c r="H31" s="21" t="s">
        <v>127</v>
      </c>
      <c r="I31" s="26"/>
      <c r="J31" s="21" t="s">
        <v>149</v>
      </c>
      <c r="K31" s="27"/>
      <c r="L31" s="22"/>
    </row>
    <row r="32" customFormat="false" ht="16.5" hidden="false" customHeight="true" outlineLevel="0" collapsed="false">
      <c r="A32" s="24" t="s">
        <v>205</v>
      </c>
      <c r="B32" s="22" t="s">
        <v>206</v>
      </c>
      <c r="C32" s="21" t="s">
        <v>97</v>
      </c>
      <c r="D32" s="21" t="s">
        <v>119</v>
      </c>
      <c r="E32" s="23"/>
      <c r="F32" s="21" t="s">
        <v>117</v>
      </c>
      <c r="G32" s="23"/>
      <c r="H32" s="21" t="s">
        <v>127</v>
      </c>
      <c r="I32" s="26"/>
      <c r="J32" s="21" t="s">
        <v>149</v>
      </c>
      <c r="K32" s="27"/>
      <c r="L32" s="22"/>
    </row>
    <row r="33" customFormat="false" ht="16.5" hidden="false" customHeight="true" outlineLevel="0" collapsed="false">
      <c r="A33" s="24" t="s">
        <v>207</v>
      </c>
      <c r="B33" s="22" t="s">
        <v>208</v>
      </c>
      <c r="C33" s="21" t="s">
        <v>97</v>
      </c>
      <c r="D33" s="21" t="s">
        <v>119</v>
      </c>
      <c r="E33" s="23"/>
      <c r="F33" s="21" t="s">
        <v>117</v>
      </c>
      <c r="G33" s="23"/>
      <c r="H33" s="21" t="s">
        <v>127</v>
      </c>
      <c r="I33" s="26"/>
      <c r="J33" s="21" t="s">
        <v>149</v>
      </c>
      <c r="K33" s="27"/>
      <c r="L33" s="22"/>
    </row>
    <row r="34" customFormat="false" ht="16.5" hidden="false" customHeight="true" outlineLevel="0" collapsed="false">
      <c r="A34" s="24" t="s">
        <v>209</v>
      </c>
      <c r="B34" s="22" t="s">
        <v>210</v>
      </c>
      <c r="C34" s="21" t="s">
        <v>97</v>
      </c>
      <c r="D34" s="21" t="s">
        <v>106</v>
      </c>
      <c r="E34" s="23"/>
      <c r="F34" s="21"/>
      <c r="G34" s="23"/>
      <c r="H34" s="21" t="s">
        <v>127</v>
      </c>
      <c r="I34" s="26"/>
      <c r="J34" s="21" t="s">
        <v>149</v>
      </c>
      <c r="K34" s="27"/>
      <c r="L34" s="22" t="s">
        <v>211</v>
      </c>
    </row>
    <row r="35" customFormat="false" ht="16.5" hidden="false" customHeight="true" outlineLevel="0" collapsed="false">
      <c r="A35" s="24" t="s">
        <v>212</v>
      </c>
      <c r="B35" s="22" t="s">
        <v>213</v>
      </c>
      <c r="C35" s="21" t="s">
        <v>97</v>
      </c>
      <c r="D35" s="21" t="s">
        <v>106</v>
      </c>
      <c r="E35" s="23"/>
      <c r="F35" s="21"/>
      <c r="G35" s="23"/>
      <c r="H35" s="21" t="s">
        <v>127</v>
      </c>
      <c r="I35" s="26"/>
      <c r="J35" s="21" t="s">
        <v>149</v>
      </c>
      <c r="K35" s="27"/>
      <c r="L35" s="22" t="s">
        <v>211</v>
      </c>
    </row>
    <row r="36" customFormat="false" ht="16.5" hidden="false" customHeight="true" outlineLevel="0" collapsed="false">
      <c r="A36" s="24" t="s">
        <v>214</v>
      </c>
      <c r="B36" s="22" t="s">
        <v>215</v>
      </c>
      <c r="C36" s="21" t="s">
        <v>97</v>
      </c>
      <c r="D36" s="21" t="s">
        <v>106</v>
      </c>
      <c r="E36" s="23"/>
      <c r="F36" s="21"/>
      <c r="G36" s="23"/>
      <c r="H36" s="21" t="s">
        <v>127</v>
      </c>
      <c r="I36" s="26"/>
      <c r="J36" s="21" t="s">
        <v>149</v>
      </c>
      <c r="K36" s="27"/>
      <c r="L36" s="22" t="s">
        <v>211</v>
      </c>
    </row>
    <row r="37" customFormat="false" ht="16.5" hidden="false" customHeight="true" outlineLevel="0" collapsed="false">
      <c r="A37" s="24" t="s">
        <v>216</v>
      </c>
      <c r="B37" s="22" t="s">
        <v>217</v>
      </c>
      <c r="C37" s="21" t="s">
        <v>97</v>
      </c>
      <c r="D37" s="21" t="s">
        <v>106</v>
      </c>
      <c r="E37" s="23"/>
      <c r="F37" s="21"/>
      <c r="G37" s="23"/>
      <c r="H37" s="21" t="s">
        <v>127</v>
      </c>
      <c r="I37" s="26"/>
      <c r="J37" s="21" t="s">
        <v>149</v>
      </c>
      <c r="K37" s="27"/>
      <c r="L37" s="22" t="s">
        <v>211</v>
      </c>
    </row>
    <row r="38" customFormat="false" ht="16.5" hidden="false" customHeight="true" outlineLevel="0" collapsed="false">
      <c r="A38" s="24" t="s">
        <v>218</v>
      </c>
      <c r="B38" s="22" t="s">
        <v>219</v>
      </c>
      <c r="C38" s="21" t="s">
        <v>97</v>
      </c>
      <c r="D38" s="21" t="s">
        <v>106</v>
      </c>
      <c r="E38" s="23"/>
      <c r="F38" s="21"/>
      <c r="G38" s="23"/>
      <c r="H38" s="21" t="s">
        <v>127</v>
      </c>
      <c r="I38" s="26"/>
      <c r="J38" s="21" t="s">
        <v>149</v>
      </c>
      <c r="K38" s="27"/>
      <c r="L38" s="22" t="s">
        <v>211</v>
      </c>
    </row>
    <row r="39" customFormat="false" ht="16.5" hidden="false" customHeight="true" outlineLevel="0" collapsed="false">
      <c r="A39" s="24" t="s">
        <v>220</v>
      </c>
      <c r="B39" s="22" t="s">
        <v>221</v>
      </c>
      <c r="C39" s="21" t="s">
        <v>97</v>
      </c>
      <c r="D39" s="21" t="s">
        <v>114</v>
      </c>
      <c r="E39" s="23"/>
      <c r="F39" s="21"/>
      <c r="G39" s="23"/>
      <c r="H39" s="21" t="s">
        <v>127</v>
      </c>
      <c r="I39" s="26"/>
      <c r="J39" s="21" t="s">
        <v>149</v>
      </c>
      <c r="K39" s="27"/>
      <c r="L39" s="22"/>
    </row>
    <row r="40" customFormat="false" ht="16.5" hidden="false" customHeight="true" outlineLevel="0" collapsed="false">
      <c r="A40" s="24" t="s">
        <v>222</v>
      </c>
      <c r="B40" s="22" t="s">
        <v>223</v>
      </c>
      <c r="C40" s="21" t="s">
        <v>97</v>
      </c>
      <c r="D40" s="21" t="s">
        <v>114</v>
      </c>
      <c r="E40" s="23"/>
      <c r="F40" s="21"/>
      <c r="G40" s="23"/>
      <c r="H40" s="21" t="s">
        <v>127</v>
      </c>
      <c r="I40" s="26"/>
      <c r="J40" s="21" t="s">
        <v>149</v>
      </c>
      <c r="K40" s="27"/>
      <c r="L40" s="22"/>
    </row>
    <row r="41" customFormat="false" ht="16.5" hidden="false" customHeight="true" outlineLevel="0" collapsed="false">
      <c r="A41" s="24" t="s">
        <v>224</v>
      </c>
      <c r="B41" s="22" t="s">
        <v>225</v>
      </c>
      <c r="C41" s="21" t="s">
        <v>97</v>
      </c>
      <c r="D41" s="21" t="s">
        <v>114</v>
      </c>
      <c r="E41" s="23"/>
      <c r="F41" s="21"/>
      <c r="G41" s="23"/>
      <c r="H41" s="21" t="s">
        <v>127</v>
      </c>
      <c r="I41" s="26"/>
      <c r="J41" s="21" t="s">
        <v>149</v>
      </c>
      <c r="K41" s="27"/>
      <c r="L41" s="22"/>
    </row>
    <row r="42" customFormat="false" ht="16.5" hidden="false" customHeight="true" outlineLevel="0" collapsed="false">
      <c r="A42" s="24" t="s">
        <v>226</v>
      </c>
      <c r="B42" s="22" t="s">
        <v>227</v>
      </c>
      <c r="C42" s="21" t="s">
        <v>97</v>
      </c>
      <c r="D42" s="21" t="s">
        <v>114</v>
      </c>
      <c r="E42" s="23"/>
      <c r="F42" s="21"/>
      <c r="G42" s="23"/>
      <c r="H42" s="21" t="s">
        <v>127</v>
      </c>
      <c r="I42" s="26"/>
      <c r="J42" s="21" t="s">
        <v>149</v>
      </c>
      <c r="K42" s="27"/>
      <c r="L42" s="22"/>
    </row>
    <row r="43" customFormat="false" ht="16.5" hidden="false" customHeight="true" outlineLevel="0" collapsed="false">
      <c r="A43" s="24" t="s">
        <v>228</v>
      </c>
      <c r="B43" s="22" t="s">
        <v>229</v>
      </c>
      <c r="C43" s="21" t="s">
        <v>97</v>
      </c>
      <c r="D43" s="21" t="s">
        <v>114</v>
      </c>
      <c r="E43" s="23"/>
      <c r="F43" s="21"/>
      <c r="G43" s="23"/>
      <c r="H43" s="21" t="s">
        <v>127</v>
      </c>
      <c r="I43" s="26"/>
      <c r="J43" s="21" t="s">
        <v>149</v>
      </c>
      <c r="K43" s="27"/>
      <c r="L43" s="22"/>
    </row>
    <row r="44" customFormat="false" ht="16.5" hidden="false" customHeight="true" outlineLevel="0" collapsed="false">
      <c r="A44" s="24" t="s">
        <v>230</v>
      </c>
      <c r="B44" s="22" t="s">
        <v>231</v>
      </c>
      <c r="C44" s="21" t="s">
        <v>97</v>
      </c>
      <c r="D44" s="21" t="s">
        <v>106</v>
      </c>
      <c r="E44" s="23"/>
      <c r="F44" s="21"/>
      <c r="G44" s="23"/>
      <c r="H44" s="21" t="s">
        <v>127</v>
      </c>
      <c r="I44" s="26"/>
      <c r="J44" s="21" t="s">
        <v>149</v>
      </c>
      <c r="K44" s="27"/>
      <c r="L44" s="22"/>
    </row>
    <row r="45" customFormat="false" ht="16.5" hidden="false" customHeight="true" outlineLevel="0" collapsed="false">
      <c r="A45" s="24" t="s">
        <v>232</v>
      </c>
      <c r="B45" s="22" t="s">
        <v>233</v>
      </c>
      <c r="C45" s="21" t="s">
        <v>97</v>
      </c>
      <c r="D45" s="21" t="s">
        <v>106</v>
      </c>
      <c r="E45" s="23"/>
      <c r="F45" s="21"/>
      <c r="G45" s="23"/>
      <c r="H45" s="21" t="s">
        <v>127</v>
      </c>
      <c r="I45" s="26"/>
      <c r="J45" s="21" t="s">
        <v>149</v>
      </c>
      <c r="K45" s="27"/>
      <c r="L45" s="22"/>
    </row>
    <row r="46" customFormat="false" ht="16.5" hidden="false" customHeight="true" outlineLevel="0" collapsed="false">
      <c r="A46" s="24" t="s">
        <v>234</v>
      </c>
      <c r="B46" s="22" t="s">
        <v>235</v>
      </c>
      <c r="C46" s="21" t="s">
        <v>97</v>
      </c>
      <c r="D46" s="21" t="s">
        <v>106</v>
      </c>
      <c r="E46" s="23"/>
      <c r="F46" s="21"/>
      <c r="G46" s="23"/>
      <c r="H46" s="21" t="s">
        <v>127</v>
      </c>
      <c r="I46" s="26"/>
      <c r="J46" s="21" t="s">
        <v>149</v>
      </c>
      <c r="K46" s="27"/>
      <c r="L46" s="22"/>
    </row>
    <row r="47" customFormat="false" ht="16.5" hidden="false" customHeight="true" outlineLevel="0" collapsed="false">
      <c r="A47" s="24" t="s">
        <v>236</v>
      </c>
      <c r="B47" s="22" t="s">
        <v>237</v>
      </c>
      <c r="C47" s="21" t="s">
        <v>97</v>
      </c>
      <c r="D47" s="21" t="s">
        <v>106</v>
      </c>
      <c r="E47" s="23"/>
      <c r="F47" s="21"/>
      <c r="G47" s="23"/>
      <c r="H47" s="21" t="s">
        <v>127</v>
      </c>
      <c r="I47" s="26"/>
      <c r="J47" s="21" t="s">
        <v>149</v>
      </c>
      <c r="K47" s="27"/>
      <c r="L47" s="22"/>
    </row>
    <row r="48" customFormat="false" ht="16.5" hidden="false" customHeight="true" outlineLevel="0" collapsed="false">
      <c r="A48" s="24" t="s">
        <v>238</v>
      </c>
      <c r="B48" s="22" t="s">
        <v>239</v>
      </c>
      <c r="C48" s="21" t="s">
        <v>97</v>
      </c>
      <c r="D48" s="21" t="s">
        <v>106</v>
      </c>
      <c r="E48" s="23"/>
      <c r="F48" s="21"/>
      <c r="G48" s="23"/>
      <c r="H48" s="21" t="s">
        <v>127</v>
      </c>
      <c r="I48" s="26"/>
      <c r="J48" s="21" t="s">
        <v>149</v>
      </c>
      <c r="K48" s="27"/>
      <c r="L48" s="22"/>
    </row>
    <row r="49" customFormat="false" ht="16.5" hidden="false" customHeight="true" outlineLevel="0" collapsed="false">
      <c r="A49" s="24" t="s">
        <v>240</v>
      </c>
      <c r="B49" s="22" t="s">
        <v>241</v>
      </c>
      <c r="C49" s="21" t="s">
        <v>97</v>
      </c>
      <c r="D49" s="21" t="s">
        <v>106</v>
      </c>
      <c r="E49" s="23"/>
      <c r="F49" s="21"/>
      <c r="G49" s="23"/>
      <c r="H49" s="21" t="s">
        <v>127</v>
      </c>
      <c r="I49" s="26"/>
      <c r="J49" s="21" t="s">
        <v>149</v>
      </c>
      <c r="K49" s="27"/>
      <c r="L49" s="22"/>
    </row>
    <row r="50" customFormat="false" ht="16.5" hidden="false" customHeight="true" outlineLevel="0" collapsed="false">
      <c r="A50" s="24" t="s">
        <v>242</v>
      </c>
      <c r="B50" s="22" t="s">
        <v>243</v>
      </c>
      <c r="C50" s="21" t="s">
        <v>97</v>
      </c>
      <c r="D50" s="21" t="s">
        <v>106</v>
      </c>
      <c r="E50" s="23"/>
      <c r="F50" s="21"/>
      <c r="G50" s="23"/>
      <c r="H50" s="21" t="s">
        <v>127</v>
      </c>
      <c r="I50" s="26"/>
      <c r="J50" s="21" t="s">
        <v>149</v>
      </c>
      <c r="K50" s="27"/>
      <c r="L50" s="22"/>
    </row>
    <row r="51" customFormat="false" ht="16.5" hidden="false" customHeight="true" outlineLevel="0" collapsed="false">
      <c r="A51" s="24" t="s">
        <v>244</v>
      </c>
      <c r="B51" s="22" t="s">
        <v>245</v>
      </c>
      <c r="C51" s="21" t="s">
        <v>97</v>
      </c>
      <c r="D51" s="21" t="s">
        <v>106</v>
      </c>
      <c r="E51" s="23"/>
      <c r="F51" s="21"/>
      <c r="G51" s="23"/>
      <c r="H51" s="21" t="s">
        <v>127</v>
      </c>
      <c r="I51" s="26"/>
      <c r="J51" s="21" t="s">
        <v>149</v>
      </c>
      <c r="K51" s="27"/>
      <c r="L51" s="22"/>
    </row>
    <row r="52" customFormat="false" ht="16.5" hidden="false" customHeight="true" outlineLevel="0" collapsed="false">
      <c r="A52" s="24" t="s">
        <v>246</v>
      </c>
      <c r="B52" s="22" t="s">
        <v>247</v>
      </c>
      <c r="C52" s="21" t="s">
        <v>97</v>
      </c>
      <c r="D52" s="21" t="s">
        <v>106</v>
      </c>
      <c r="E52" s="23"/>
      <c r="F52" s="21"/>
      <c r="G52" s="23"/>
      <c r="H52" s="21" t="s">
        <v>127</v>
      </c>
      <c r="I52" s="26"/>
      <c r="J52" s="21" t="s">
        <v>149</v>
      </c>
      <c r="K52" s="27"/>
      <c r="L52" s="22"/>
    </row>
    <row r="53" customFormat="false" ht="16.5" hidden="false" customHeight="true" outlineLevel="0" collapsed="false">
      <c r="A53" s="24" t="s">
        <v>248</v>
      </c>
      <c r="B53" s="22" t="s">
        <v>249</v>
      </c>
      <c r="C53" s="21" t="s">
        <v>97</v>
      </c>
      <c r="D53" s="21" t="s">
        <v>106</v>
      </c>
      <c r="E53" s="23"/>
      <c r="F53" s="21"/>
      <c r="G53" s="23"/>
      <c r="H53" s="21" t="s">
        <v>127</v>
      </c>
      <c r="I53" s="26"/>
      <c r="J53" s="21" t="s">
        <v>149</v>
      </c>
      <c r="K53" s="27"/>
      <c r="L53" s="22"/>
    </row>
    <row r="54" customFormat="false" ht="16.5" hidden="false" customHeight="true" outlineLevel="0" collapsed="false">
      <c r="A54" s="24" t="s">
        <v>250</v>
      </c>
      <c r="B54" s="22" t="s">
        <v>251</v>
      </c>
      <c r="C54" s="21" t="s">
        <v>97</v>
      </c>
      <c r="D54" s="21" t="s">
        <v>106</v>
      </c>
      <c r="E54" s="23"/>
      <c r="F54" s="21"/>
      <c r="G54" s="23"/>
      <c r="H54" s="21" t="s">
        <v>127</v>
      </c>
      <c r="I54" s="26"/>
      <c r="J54" s="21" t="s">
        <v>149</v>
      </c>
      <c r="K54" s="27"/>
      <c r="L54" s="22"/>
    </row>
    <row r="55" customFormat="false" ht="16.5" hidden="false" customHeight="true" outlineLevel="0" collapsed="false">
      <c r="A55" s="24" t="s">
        <v>252</v>
      </c>
      <c r="B55" s="22" t="s">
        <v>253</v>
      </c>
      <c r="C55" s="21" t="s">
        <v>104</v>
      </c>
      <c r="D55" s="21" t="s">
        <v>123</v>
      </c>
      <c r="E55" s="23"/>
      <c r="F55" s="21"/>
      <c r="G55" s="23"/>
      <c r="H55" s="21" t="s">
        <v>127</v>
      </c>
      <c r="I55" s="26"/>
      <c r="J55" s="21" t="s">
        <v>149</v>
      </c>
      <c r="K55" s="27"/>
      <c r="L55" s="22"/>
    </row>
    <row r="56" customFormat="false" ht="16.5" hidden="false" customHeight="true" outlineLevel="0" collapsed="false">
      <c r="A56" s="24" t="s">
        <v>254</v>
      </c>
      <c r="B56" s="25" t="s">
        <v>255</v>
      </c>
      <c r="C56" s="21" t="s">
        <v>97</v>
      </c>
      <c r="D56" s="21" t="s">
        <v>110</v>
      </c>
      <c r="E56" s="23"/>
      <c r="F56" s="21"/>
      <c r="G56" s="23"/>
      <c r="H56" s="21" t="s">
        <v>127</v>
      </c>
      <c r="I56" s="26"/>
      <c r="J56" s="21" t="s">
        <v>149</v>
      </c>
      <c r="K56" s="27"/>
      <c r="L56" s="22"/>
    </row>
    <row r="57" customFormat="false" ht="16.5" hidden="false" customHeight="true" outlineLevel="0" collapsed="false">
      <c r="A57" s="24" t="s">
        <v>256</v>
      </c>
      <c r="B57" s="22" t="s">
        <v>257</v>
      </c>
      <c r="C57" s="21" t="s">
        <v>97</v>
      </c>
      <c r="D57" s="21" t="s">
        <v>114</v>
      </c>
      <c r="E57" s="23"/>
      <c r="F57" s="21"/>
      <c r="G57" s="23"/>
      <c r="H57" s="21" t="s">
        <v>127</v>
      </c>
      <c r="I57" s="26"/>
      <c r="J57" s="21" t="s">
        <v>149</v>
      </c>
      <c r="K57" s="27"/>
      <c r="L57" s="22"/>
    </row>
    <row r="58" customFormat="false" ht="16.5" hidden="false" customHeight="true" outlineLevel="0" collapsed="false">
      <c r="A58" s="24" t="s">
        <v>258</v>
      </c>
      <c r="B58" s="22" t="s">
        <v>259</v>
      </c>
      <c r="C58" s="21" t="s">
        <v>97</v>
      </c>
      <c r="D58" s="21" t="s">
        <v>114</v>
      </c>
      <c r="E58" s="23"/>
      <c r="F58" s="21"/>
      <c r="G58" s="23"/>
      <c r="H58" s="21" t="s">
        <v>127</v>
      </c>
      <c r="I58" s="26"/>
      <c r="J58" s="21" t="s">
        <v>149</v>
      </c>
      <c r="K58" s="27"/>
      <c r="L58" s="22"/>
    </row>
    <row r="59" customFormat="false" ht="16.5" hidden="false" customHeight="true" outlineLevel="0" collapsed="false">
      <c r="A59" s="24" t="s">
        <v>260</v>
      </c>
      <c r="B59" s="22" t="s">
        <v>261</v>
      </c>
      <c r="C59" s="21" t="s">
        <v>104</v>
      </c>
      <c r="D59" s="21" t="s">
        <v>123</v>
      </c>
      <c r="E59" s="23"/>
      <c r="F59" s="21"/>
      <c r="G59" s="23"/>
      <c r="H59" s="21" t="s">
        <v>127</v>
      </c>
      <c r="I59" s="26"/>
      <c r="J59" s="21" t="s">
        <v>149</v>
      </c>
      <c r="K59" s="27"/>
      <c r="L59" s="22"/>
    </row>
    <row r="60" customFormat="false" ht="16.5" hidden="false" customHeight="true" outlineLevel="0" collapsed="false">
      <c r="A60" s="24" t="s">
        <v>262</v>
      </c>
      <c r="B60" s="22" t="s">
        <v>263</v>
      </c>
      <c r="C60" s="21" t="s">
        <v>104</v>
      </c>
      <c r="D60" s="21" t="s">
        <v>123</v>
      </c>
      <c r="E60" s="23"/>
      <c r="F60" s="21"/>
      <c r="G60" s="23"/>
      <c r="H60" s="21" t="s">
        <v>127</v>
      </c>
      <c r="I60" s="26"/>
      <c r="J60" s="21" t="s">
        <v>149</v>
      </c>
      <c r="K60" s="27"/>
      <c r="L60" s="22"/>
    </row>
    <row r="61" customFormat="false" ht="16.5" hidden="false" customHeight="true" outlineLevel="0" collapsed="false">
      <c r="A61" s="24" t="s">
        <v>264</v>
      </c>
      <c r="B61" s="22" t="s">
        <v>265</v>
      </c>
      <c r="C61" s="21" t="s">
        <v>97</v>
      </c>
      <c r="D61" s="21" t="s">
        <v>114</v>
      </c>
      <c r="E61" s="23"/>
      <c r="F61" s="21" t="s">
        <v>97</v>
      </c>
      <c r="G61" s="23"/>
      <c r="H61" s="21" t="s">
        <v>127</v>
      </c>
      <c r="I61" s="26"/>
      <c r="J61" s="21" t="s">
        <v>149</v>
      </c>
      <c r="K61" s="27"/>
      <c r="L61" s="22"/>
    </row>
    <row r="62" customFormat="false" ht="16.5" hidden="false" customHeight="true" outlineLevel="0" collapsed="false">
      <c r="A62" s="24" t="s">
        <v>266</v>
      </c>
      <c r="B62" s="22" t="s">
        <v>267</v>
      </c>
      <c r="C62" s="21" t="s">
        <v>97</v>
      </c>
      <c r="D62" s="21" t="s">
        <v>114</v>
      </c>
      <c r="E62" s="23"/>
      <c r="F62" s="21"/>
      <c r="G62" s="23"/>
      <c r="H62" s="21" t="s">
        <v>127</v>
      </c>
      <c r="I62" s="26"/>
      <c r="J62" s="21" t="s">
        <v>149</v>
      </c>
      <c r="K62" s="27"/>
      <c r="L62" s="22"/>
    </row>
    <row r="63" customFormat="false" ht="16.5" hidden="false" customHeight="true" outlineLevel="0" collapsed="false">
      <c r="A63" s="24" t="s">
        <v>268</v>
      </c>
      <c r="B63" s="22" t="s">
        <v>269</v>
      </c>
      <c r="C63" s="21" t="s">
        <v>97</v>
      </c>
      <c r="D63" s="21" t="s">
        <v>117</v>
      </c>
      <c r="E63" s="23"/>
      <c r="F63" s="21"/>
      <c r="G63" s="23"/>
      <c r="H63" s="21" t="s">
        <v>127</v>
      </c>
      <c r="I63" s="26"/>
      <c r="J63" s="21" t="s">
        <v>149</v>
      </c>
      <c r="K63" s="27"/>
      <c r="L63" s="22"/>
    </row>
    <row r="64" customFormat="false" ht="16.5" hidden="false" customHeight="true" outlineLevel="0" collapsed="false">
      <c r="A64" s="24" t="s">
        <v>270</v>
      </c>
      <c r="B64" s="22" t="s">
        <v>271</v>
      </c>
      <c r="C64" s="21" t="s">
        <v>97</v>
      </c>
      <c r="D64" s="21"/>
      <c r="E64" s="23"/>
      <c r="F64" s="21"/>
      <c r="G64" s="23"/>
      <c r="H64" s="21" t="s">
        <v>127</v>
      </c>
      <c r="I64" s="26"/>
      <c r="J64" s="21" t="s">
        <v>149</v>
      </c>
      <c r="K64" s="27"/>
      <c r="L64" s="22" t="s">
        <v>272</v>
      </c>
    </row>
    <row r="65" customFormat="false" ht="16.5" hidden="false" customHeight="true" outlineLevel="0" collapsed="false">
      <c r="A65" s="24" t="s">
        <v>273</v>
      </c>
      <c r="B65" s="22" t="s">
        <v>274</v>
      </c>
      <c r="C65" s="21" t="s">
        <v>97</v>
      </c>
      <c r="D65" s="21" t="s">
        <v>114</v>
      </c>
      <c r="E65" s="23"/>
      <c r="F65" s="21"/>
      <c r="G65" s="23"/>
      <c r="H65" s="21" t="s">
        <v>127</v>
      </c>
      <c r="I65" s="26"/>
      <c r="J65" s="21" t="s">
        <v>149</v>
      </c>
      <c r="K65" s="27"/>
      <c r="L65" s="22"/>
    </row>
    <row r="66" customFormat="false" ht="16.5" hidden="false" customHeight="true" outlineLevel="0" collapsed="false">
      <c r="A66" s="24" t="s">
        <v>275</v>
      </c>
      <c r="B66" s="22" t="s">
        <v>276</v>
      </c>
      <c r="C66" s="21" t="s">
        <v>97</v>
      </c>
      <c r="D66" s="21" t="s">
        <v>106</v>
      </c>
      <c r="E66" s="23"/>
      <c r="F66" s="21"/>
      <c r="G66" s="23"/>
      <c r="H66" s="21" t="s">
        <v>127</v>
      </c>
      <c r="I66" s="26"/>
      <c r="J66" s="21" t="s">
        <v>149</v>
      </c>
      <c r="K66" s="27"/>
      <c r="L66" s="22"/>
    </row>
    <row r="67" customFormat="false" ht="16.5" hidden="false" customHeight="true" outlineLevel="0" collapsed="false">
      <c r="A67" s="24" t="s">
        <v>277</v>
      </c>
      <c r="B67" s="22" t="s">
        <v>278</v>
      </c>
      <c r="C67" s="21" t="s">
        <v>97</v>
      </c>
      <c r="D67" s="21" t="s">
        <v>106</v>
      </c>
      <c r="E67" s="23"/>
      <c r="F67" s="21"/>
      <c r="G67" s="23"/>
      <c r="H67" s="21" t="s">
        <v>127</v>
      </c>
      <c r="I67" s="26"/>
      <c r="J67" s="21" t="s">
        <v>149</v>
      </c>
      <c r="K67" s="27"/>
      <c r="L67" s="22"/>
    </row>
    <row r="68" customFormat="false" ht="16.5" hidden="false" customHeight="true" outlineLevel="0" collapsed="false">
      <c r="A68" s="24" t="s">
        <v>279</v>
      </c>
      <c r="B68" s="22" t="s">
        <v>280</v>
      </c>
      <c r="C68" s="21" t="s">
        <v>97</v>
      </c>
      <c r="D68" s="21" t="s">
        <v>106</v>
      </c>
      <c r="E68" s="23"/>
      <c r="F68" s="21"/>
      <c r="G68" s="23"/>
      <c r="H68" s="21" t="s">
        <v>127</v>
      </c>
      <c r="I68" s="26"/>
      <c r="J68" s="21" t="s">
        <v>149</v>
      </c>
      <c r="K68" s="27"/>
      <c r="L68" s="22"/>
    </row>
    <row r="69" customFormat="false" ht="16.5" hidden="false" customHeight="true" outlineLevel="0" collapsed="false">
      <c r="A69" s="24"/>
      <c r="B69" s="22"/>
      <c r="C69" s="21"/>
      <c r="D69" s="21"/>
      <c r="E69" s="23"/>
      <c r="F69" s="21"/>
      <c r="G69" s="23"/>
      <c r="H69" s="21"/>
      <c r="I69" s="26"/>
      <c r="J69" s="21"/>
      <c r="K69" s="27"/>
      <c r="L69" s="22"/>
    </row>
    <row r="70" customFormat="false" ht="16.5" hidden="false" customHeight="true" outlineLevel="0" collapsed="false">
      <c r="A70" s="24"/>
      <c r="B70" s="22"/>
      <c r="C70" s="21"/>
      <c r="D70" s="21"/>
      <c r="E70" s="23"/>
      <c r="F70" s="21"/>
      <c r="G70" s="23"/>
      <c r="H70" s="21"/>
      <c r="I70" s="26"/>
      <c r="J70" s="21"/>
      <c r="K70" s="27"/>
      <c r="L70" s="22"/>
    </row>
    <row r="71" customFormat="false" ht="16.5" hidden="false" customHeight="true" outlineLevel="0" collapsed="false">
      <c r="A71" s="24"/>
      <c r="B71" s="22"/>
      <c r="C71" s="21"/>
      <c r="D71" s="21"/>
      <c r="E71" s="23"/>
      <c r="F71" s="21"/>
      <c r="G71" s="23"/>
      <c r="H71" s="21"/>
      <c r="I71" s="26"/>
      <c r="J71" s="21"/>
      <c r="K71" s="27"/>
      <c r="L71" s="22"/>
    </row>
    <row r="72" customFormat="false" ht="16.5" hidden="false" customHeight="true" outlineLevel="0" collapsed="false">
      <c r="A72" s="24"/>
      <c r="B72" s="22"/>
      <c r="C72" s="21"/>
      <c r="D72" s="21"/>
      <c r="E72" s="23"/>
      <c r="F72" s="21"/>
      <c r="G72" s="23"/>
      <c r="H72" s="21"/>
      <c r="I72" s="26"/>
      <c r="J72" s="21"/>
      <c r="K72" s="27"/>
      <c r="L72" s="22"/>
    </row>
    <row r="73" customFormat="false" ht="16.5" hidden="false" customHeight="true" outlineLevel="0" collapsed="false">
      <c r="A73" s="24"/>
      <c r="B73" s="22"/>
      <c r="C73" s="21"/>
      <c r="D73" s="21"/>
      <c r="E73" s="23"/>
      <c r="F73" s="21"/>
      <c r="G73" s="23"/>
      <c r="H73" s="21"/>
      <c r="I73" s="26"/>
      <c r="J73" s="21"/>
      <c r="K73" s="27"/>
      <c r="L73" s="22"/>
    </row>
    <row r="74" customFormat="false" ht="16.5" hidden="false" customHeight="true" outlineLevel="0" collapsed="false">
      <c r="A74" s="24"/>
      <c r="B74" s="22"/>
      <c r="C74" s="21"/>
      <c r="D74" s="21"/>
      <c r="E74" s="23"/>
      <c r="F74" s="21"/>
      <c r="G74" s="23"/>
      <c r="H74" s="21"/>
      <c r="I74" s="26"/>
      <c r="J74" s="21"/>
      <c r="K74" s="27"/>
      <c r="L74" s="22"/>
    </row>
    <row r="75" customFormat="false" ht="16.5" hidden="false" customHeight="true" outlineLevel="0" collapsed="false">
      <c r="A75" s="24"/>
      <c r="B75" s="22"/>
      <c r="C75" s="21"/>
      <c r="D75" s="21"/>
      <c r="E75" s="23"/>
      <c r="F75" s="21"/>
      <c r="G75" s="23"/>
      <c r="H75" s="21"/>
      <c r="I75" s="26"/>
      <c r="J75" s="21"/>
      <c r="K75" s="27"/>
      <c r="L75" s="22"/>
    </row>
    <row r="76" customFormat="false" ht="16.5" hidden="false" customHeight="true" outlineLevel="0" collapsed="false">
      <c r="A76" s="24"/>
      <c r="B76" s="22"/>
      <c r="C76" s="21"/>
      <c r="D76" s="21"/>
      <c r="E76" s="23"/>
      <c r="F76" s="21"/>
      <c r="G76" s="23"/>
      <c r="H76" s="21"/>
      <c r="I76" s="26"/>
      <c r="J76" s="21"/>
      <c r="K76" s="27"/>
      <c r="L76" s="22"/>
    </row>
    <row r="77" customFormat="false" ht="16.5" hidden="false" customHeight="true" outlineLevel="0" collapsed="false">
      <c r="A77" s="24"/>
      <c r="B77" s="22"/>
      <c r="C77" s="21"/>
      <c r="D77" s="21"/>
      <c r="E77" s="23"/>
      <c r="F77" s="21"/>
      <c r="G77" s="23"/>
      <c r="H77" s="21"/>
      <c r="I77" s="26"/>
      <c r="J77" s="21"/>
      <c r="K77" s="27"/>
      <c r="L77" s="22"/>
    </row>
    <row r="78" customFormat="false" ht="16.5" hidden="false" customHeight="true" outlineLevel="0" collapsed="false">
      <c r="A78" s="24"/>
      <c r="B78" s="22"/>
      <c r="C78" s="21"/>
      <c r="D78" s="21"/>
      <c r="E78" s="23"/>
      <c r="F78" s="21"/>
      <c r="G78" s="23"/>
      <c r="H78" s="21"/>
      <c r="I78" s="26"/>
      <c r="J78" s="21"/>
      <c r="K78" s="27"/>
      <c r="L78" s="22"/>
    </row>
    <row r="79" customFormat="false" ht="16.5" hidden="false" customHeight="true" outlineLevel="0" collapsed="false">
      <c r="A79" s="24"/>
      <c r="B79" s="22"/>
      <c r="C79" s="21"/>
      <c r="D79" s="21"/>
      <c r="E79" s="23"/>
      <c r="F79" s="21"/>
      <c r="G79" s="23"/>
      <c r="H79" s="21"/>
      <c r="I79" s="26"/>
      <c r="J79" s="21"/>
      <c r="K79" s="27"/>
      <c r="L79" s="22"/>
    </row>
    <row r="80" customFormat="false" ht="16.5" hidden="false" customHeight="true" outlineLevel="0" collapsed="false">
      <c r="A80" s="24"/>
      <c r="B80" s="22"/>
      <c r="C80" s="21"/>
      <c r="D80" s="21"/>
      <c r="E80" s="23"/>
      <c r="F80" s="21"/>
      <c r="G80" s="23"/>
      <c r="H80" s="21"/>
      <c r="I80" s="26"/>
      <c r="J80" s="21"/>
      <c r="K80" s="27"/>
      <c r="L80" s="22"/>
    </row>
    <row r="81" customFormat="false" ht="16.5" hidden="false" customHeight="true" outlineLevel="0" collapsed="false">
      <c r="A81" s="24"/>
      <c r="B81" s="22"/>
      <c r="C81" s="21"/>
      <c r="D81" s="21"/>
      <c r="E81" s="23"/>
      <c r="F81" s="21"/>
      <c r="G81" s="23"/>
      <c r="H81" s="21"/>
      <c r="I81" s="26"/>
      <c r="J81" s="21"/>
      <c r="K81" s="27"/>
      <c r="L81" s="22"/>
    </row>
    <row r="82" customFormat="false" ht="16.5" hidden="false" customHeight="true" outlineLevel="0" collapsed="false">
      <c r="A82" s="24"/>
      <c r="B82" s="22"/>
      <c r="C82" s="21"/>
      <c r="D82" s="21"/>
      <c r="E82" s="23"/>
      <c r="F82" s="21"/>
      <c r="G82" s="23"/>
      <c r="H82" s="21"/>
      <c r="I82" s="26"/>
      <c r="J82" s="21"/>
      <c r="K82" s="27"/>
      <c r="L82" s="22"/>
    </row>
    <row r="83" customFormat="false" ht="16.5" hidden="false" customHeight="true" outlineLevel="0" collapsed="false">
      <c r="A83" s="24"/>
      <c r="B83" s="22"/>
      <c r="C83" s="21"/>
      <c r="D83" s="21"/>
      <c r="E83" s="23"/>
      <c r="F83" s="21"/>
      <c r="G83" s="23"/>
      <c r="H83" s="21"/>
      <c r="I83" s="26"/>
      <c r="J83" s="21"/>
      <c r="K83" s="27"/>
      <c r="L83" s="22"/>
    </row>
    <row r="84" customFormat="false" ht="16.5" hidden="false" customHeight="true" outlineLevel="0" collapsed="false">
      <c r="A84" s="24"/>
      <c r="B84" s="22"/>
      <c r="C84" s="21"/>
      <c r="D84" s="21"/>
      <c r="E84" s="23"/>
      <c r="F84" s="21"/>
      <c r="G84" s="23"/>
      <c r="H84" s="21"/>
      <c r="I84" s="26"/>
      <c r="J84" s="21"/>
      <c r="K84" s="27"/>
      <c r="L84" s="22"/>
    </row>
    <row r="85" customFormat="false" ht="16.5" hidden="false" customHeight="true" outlineLevel="0" collapsed="false">
      <c r="A85" s="24"/>
      <c r="B85" s="22"/>
      <c r="C85" s="21"/>
      <c r="D85" s="21"/>
      <c r="E85" s="23"/>
      <c r="F85" s="21"/>
      <c r="G85" s="23"/>
      <c r="H85" s="21"/>
      <c r="I85" s="26"/>
      <c r="J85" s="21"/>
      <c r="K85" s="27"/>
      <c r="L85" s="22"/>
    </row>
    <row r="86" customFormat="false" ht="16.5" hidden="false" customHeight="true" outlineLevel="0" collapsed="false">
      <c r="A86" s="24"/>
      <c r="B86" s="22"/>
      <c r="C86" s="21"/>
      <c r="D86" s="21"/>
      <c r="E86" s="23"/>
      <c r="F86" s="21"/>
      <c r="G86" s="23"/>
      <c r="H86" s="21"/>
      <c r="I86" s="26"/>
      <c r="J86" s="21"/>
      <c r="K86" s="27"/>
      <c r="L86" s="22"/>
    </row>
    <row r="87" customFormat="false" ht="16.5" hidden="false" customHeight="true" outlineLevel="0" collapsed="false">
      <c r="A87" s="24"/>
      <c r="B87" s="22"/>
      <c r="C87" s="21"/>
      <c r="D87" s="21"/>
      <c r="E87" s="23"/>
      <c r="F87" s="21"/>
      <c r="G87" s="23"/>
      <c r="H87" s="21"/>
      <c r="I87" s="26"/>
      <c r="J87" s="21"/>
      <c r="K87" s="27"/>
      <c r="L87" s="22"/>
    </row>
    <row r="88" customFormat="false" ht="16.5" hidden="false" customHeight="true" outlineLevel="0" collapsed="false">
      <c r="A88" s="24"/>
      <c r="B88" s="22"/>
      <c r="C88" s="21"/>
      <c r="D88" s="21"/>
      <c r="E88" s="23"/>
      <c r="F88" s="21"/>
      <c r="G88" s="23"/>
      <c r="H88" s="21"/>
      <c r="I88" s="26"/>
      <c r="J88" s="21"/>
      <c r="K88" s="27"/>
      <c r="L88" s="22"/>
    </row>
    <row r="89" customFormat="false" ht="16.5" hidden="false" customHeight="true" outlineLevel="0" collapsed="false">
      <c r="A89" s="24"/>
      <c r="B89" s="22"/>
      <c r="C89" s="21"/>
      <c r="D89" s="21"/>
      <c r="E89" s="23"/>
      <c r="F89" s="21"/>
      <c r="G89" s="23"/>
      <c r="H89" s="21"/>
      <c r="I89" s="26"/>
      <c r="J89" s="21"/>
      <c r="K89" s="27"/>
      <c r="L89" s="22"/>
    </row>
    <row r="90" customFormat="false" ht="16.5" hidden="false" customHeight="true" outlineLevel="0" collapsed="false">
      <c r="A90" s="24"/>
      <c r="B90" s="22"/>
      <c r="C90" s="21"/>
      <c r="D90" s="21"/>
      <c r="E90" s="23"/>
      <c r="F90" s="21"/>
      <c r="G90" s="23"/>
      <c r="H90" s="21"/>
      <c r="I90" s="26"/>
      <c r="J90" s="21"/>
      <c r="K90" s="27"/>
      <c r="L90" s="22"/>
    </row>
    <row r="91" customFormat="false" ht="16.5" hidden="false" customHeight="true" outlineLevel="0" collapsed="false">
      <c r="A91" s="24"/>
      <c r="B91" s="22"/>
      <c r="C91" s="21"/>
      <c r="D91" s="21"/>
      <c r="E91" s="23"/>
      <c r="F91" s="21"/>
      <c r="G91" s="23"/>
      <c r="H91" s="21"/>
      <c r="I91" s="26"/>
      <c r="J91" s="21"/>
      <c r="K91" s="27"/>
      <c r="L91" s="22"/>
    </row>
    <row r="92" customFormat="false" ht="16.5" hidden="false" customHeight="true" outlineLevel="0" collapsed="false">
      <c r="A92" s="24"/>
      <c r="B92" s="22"/>
      <c r="C92" s="21"/>
      <c r="D92" s="21"/>
      <c r="E92" s="23"/>
      <c r="F92" s="21"/>
      <c r="G92" s="23"/>
      <c r="H92" s="21"/>
      <c r="I92" s="26"/>
      <c r="J92" s="21"/>
      <c r="K92" s="27"/>
      <c r="L92" s="22"/>
    </row>
    <row r="93" customFormat="false" ht="16.5" hidden="false" customHeight="true" outlineLevel="0" collapsed="false">
      <c r="A93" s="24"/>
      <c r="B93" s="22"/>
      <c r="C93" s="21"/>
      <c r="D93" s="21"/>
      <c r="E93" s="23"/>
      <c r="F93" s="21"/>
      <c r="G93" s="23"/>
      <c r="H93" s="21"/>
      <c r="I93" s="26"/>
      <c r="J93" s="21"/>
      <c r="K93" s="27"/>
      <c r="L93" s="22"/>
    </row>
    <row r="94" customFormat="false" ht="16.5" hidden="false" customHeight="true" outlineLevel="0" collapsed="false">
      <c r="A94" s="24"/>
      <c r="B94" s="22"/>
      <c r="C94" s="21"/>
      <c r="D94" s="21"/>
      <c r="E94" s="23"/>
      <c r="F94" s="21"/>
      <c r="G94" s="23"/>
      <c r="H94" s="21"/>
      <c r="I94" s="26"/>
      <c r="J94" s="21"/>
      <c r="K94" s="27"/>
      <c r="L94" s="22"/>
    </row>
    <row r="95" customFormat="false" ht="16.5" hidden="false" customHeight="true" outlineLevel="0" collapsed="false">
      <c r="A95" s="24"/>
      <c r="B95" s="22"/>
      <c r="C95" s="21"/>
      <c r="D95" s="21"/>
      <c r="E95" s="23"/>
      <c r="F95" s="21"/>
      <c r="G95" s="23"/>
      <c r="H95" s="21"/>
      <c r="I95" s="26"/>
      <c r="J95" s="21"/>
      <c r="K95" s="27"/>
      <c r="L95" s="22"/>
    </row>
    <row r="96" customFormat="false" ht="16.5" hidden="false" customHeight="true" outlineLevel="0" collapsed="false">
      <c r="A96" s="24"/>
      <c r="B96" s="22"/>
      <c r="C96" s="21"/>
      <c r="D96" s="21"/>
      <c r="E96" s="23"/>
      <c r="F96" s="21"/>
      <c r="G96" s="23"/>
      <c r="H96" s="21"/>
      <c r="I96" s="26"/>
      <c r="J96" s="21"/>
      <c r="K96" s="27"/>
      <c r="L96" s="22"/>
    </row>
    <row r="97" customFormat="false" ht="16.5" hidden="false" customHeight="true" outlineLevel="0" collapsed="false">
      <c r="A97" s="24"/>
      <c r="B97" s="22"/>
      <c r="C97" s="21"/>
      <c r="D97" s="21"/>
      <c r="E97" s="23"/>
      <c r="F97" s="21"/>
      <c r="G97" s="23"/>
      <c r="H97" s="21"/>
      <c r="I97" s="26"/>
      <c r="J97" s="21"/>
      <c r="K97" s="27"/>
      <c r="L97" s="22"/>
    </row>
    <row r="98" customFormat="false" ht="16.5" hidden="false" customHeight="true" outlineLevel="0" collapsed="false">
      <c r="A98" s="24"/>
      <c r="B98" s="22"/>
      <c r="C98" s="21"/>
      <c r="D98" s="21"/>
      <c r="E98" s="23"/>
      <c r="F98" s="21"/>
      <c r="G98" s="23"/>
      <c r="H98" s="21"/>
      <c r="I98" s="26"/>
      <c r="J98" s="21"/>
      <c r="K98" s="27"/>
      <c r="L98" s="22"/>
    </row>
    <row r="99" customFormat="false" ht="16.5" hidden="false" customHeight="true" outlineLevel="0" collapsed="false">
      <c r="A99" s="24"/>
      <c r="B99" s="22"/>
      <c r="C99" s="21"/>
      <c r="D99" s="21"/>
      <c r="E99" s="23"/>
      <c r="F99" s="21"/>
      <c r="G99" s="23"/>
      <c r="H99" s="21"/>
      <c r="I99" s="26"/>
      <c r="J99" s="21"/>
      <c r="K99" s="27"/>
      <c r="L99" s="22"/>
    </row>
    <row r="100" customFormat="false" ht="16.5" hidden="false" customHeight="true" outlineLevel="0" collapsed="false">
      <c r="A100" s="24"/>
      <c r="B100" s="22"/>
      <c r="C100" s="21"/>
      <c r="D100" s="21"/>
      <c r="E100" s="23"/>
      <c r="F100" s="21"/>
      <c r="G100" s="23"/>
      <c r="H100" s="21"/>
      <c r="I100" s="26"/>
      <c r="J100" s="21"/>
      <c r="K100" s="27"/>
      <c r="L100" s="22"/>
    </row>
    <row r="101" customFormat="false" ht="16.5" hidden="false" customHeight="true" outlineLevel="0" collapsed="false">
      <c r="A101" s="24"/>
      <c r="B101" s="22"/>
      <c r="C101" s="21"/>
      <c r="D101" s="21"/>
      <c r="E101" s="23"/>
      <c r="F101" s="21"/>
      <c r="G101" s="23"/>
      <c r="H101" s="21"/>
      <c r="I101" s="26"/>
      <c r="J101" s="21"/>
      <c r="K101" s="27"/>
      <c r="L101" s="22"/>
    </row>
    <row r="102" customFormat="false" ht="16.5" hidden="false" customHeight="true" outlineLevel="0" collapsed="false">
      <c r="A102" s="24"/>
      <c r="B102" s="22"/>
      <c r="C102" s="21"/>
      <c r="D102" s="21"/>
      <c r="E102" s="23"/>
      <c r="F102" s="21"/>
      <c r="G102" s="23"/>
      <c r="H102" s="21"/>
      <c r="I102" s="26"/>
      <c r="J102" s="21"/>
      <c r="K102" s="27"/>
      <c r="L102" s="22"/>
    </row>
    <row r="103" customFormat="false" ht="16.5" hidden="false" customHeight="true" outlineLevel="0" collapsed="false">
      <c r="A103" s="24"/>
      <c r="B103" s="22"/>
      <c r="C103" s="21"/>
      <c r="D103" s="21"/>
      <c r="E103" s="23"/>
      <c r="F103" s="21"/>
      <c r="G103" s="23"/>
      <c r="H103" s="21"/>
      <c r="I103" s="26"/>
      <c r="J103" s="21"/>
      <c r="K103" s="27"/>
      <c r="L103" s="22"/>
    </row>
    <row r="104" customFormat="false" ht="16.5" hidden="false" customHeight="true" outlineLevel="0" collapsed="false">
      <c r="A104" s="24"/>
      <c r="B104" s="22"/>
      <c r="C104" s="21"/>
      <c r="D104" s="21"/>
      <c r="E104" s="23"/>
      <c r="F104" s="21"/>
      <c r="G104" s="23"/>
      <c r="H104" s="21"/>
      <c r="I104" s="26"/>
      <c r="J104" s="21"/>
      <c r="K104" s="27"/>
      <c r="L104" s="22"/>
    </row>
    <row r="105" customFormat="false" ht="16.5" hidden="false" customHeight="true" outlineLevel="0" collapsed="false">
      <c r="A105" s="24"/>
      <c r="B105" s="22"/>
      <c r="C105" s="21"/>
      <c r="D105" s="21"/>
      <c r="E105" s="23"/>
      <c r="F105" s="21"/>
      <c r="G105" s="23"/>
      <c r="H105" s="21"/>
      <c r="I105" s="26"/>
      <c r="J105" s="21"/>
      <c r="K105" s="27"/>
      <c r="L105" s="22"/>
    </row>
    <row r="106" customFormat="false" ht="16.5" hidden="false" customHeight="true" outlineLevel="0" collapsed="false">
      <c r="A106" s="24"/>
      <c r="B106" s="22"/>
      <c r="C106" s="21"/>
      <c r="D106" s="21"/>
      <c r="E106" s="23"/>
      <c r="F106" s="21"/>
      <c r="G106" s="23"/>
      <c r="H106" s="21"/>
      <c r="I106" s="26"/>
      <c r="J106" s="21"/>
      <c r="K106" s="27"/>
      <c r="L106" s="22"/>
    </row>
    <row r="107" customFormat="false" ht="16.5" hidden="false" customHeight="true" outlineLevel="0" collapsed="false">
      <c r="A107" s="24"/>
      <c r="B107" s="22"/>
      <c r="C107" s="21"/>
      <c r="D107" s="21"/>
      <c r="E107" s="23"/>
      <c r="F107" s="21"/>
      <c r="G107" s="23"/>
      <c r="H107" s="21"/>
      <c r="I107" s="26"/>
      <c r="J107" s="21"/>
      <c r="K107" s="27"/>
      <c r="L107" s="22"/>
    </row>
    <row r="108" customFormat="false" ht="16.5" hidden="false" customHeight="true" outlineLevel="0" collapsed="false">
      <c r="A108" s="24"/>
      <c r="B108" s="22"/>
      <c r="C108" s="21"/>
      <c r="D108" s="21"/>
      <c r="E108" s="23"/>
      <c r="F108" s="21"/>
      <c r="G108" s="23"/>
      <c r="H108" s="21"/>
      <c r="I108" s="26"/>
      <c r="J108" s="21"/>
      <c r="K108" s="27"/>
      <c r="L108" s="22"/>
    </row>
    <row r="109" customFormat="false" ht="16.5" hidden="false" customHeight="true" outlineLevel="0" collapsed="false">
      <c r="A109" s="24"/>
      <c r="B109" s="22"/>
      <c r="C109" s="21"/>
      <c r="D109" s="21"/>
      <c r="E109" s="23"/>
      <c r="F109" s="21"/>
      <c r="G109" s="23"/>
      <c r="H109" s="21"/>
      <c r="I109" s="26"/>
      <c r="J109" s="21"/>
      <c r="K109" s="27"/>
      <c r="L109" s="22"/>
    </row>
    <row r="110" customFormat="false" ht="16.5" hidden="false" customHeight="true" outlineLevel="0" collapsed="false">
      <c r="A110" s="24"/>
      <c r="B110" s="22"/>
      <c r="C110" s="21"/>
      <c r="D110" s="21"/>
      <c r="E110" s="23"/>
      <c r="F110" s="21"/>
      <c r="G110" s="23"/>
      <c r="H110" s="21"/>
      <c r="I110" s="26"/>
      <c r="J110" s="21"/>
      <c r="K110" s="27"/>
      <c r="L110" s="22"/>
    </row>
    <row r="111" customFormat="false" ht="16.5" hidden="false" customHeight="true" outlineLevel="0" collapsed="false">
      <c r="A111" s="24"/>
      <c r="B111" s="22"/>
      <c r="C111" s="21"/>
      <c r="D111" s="21"/>
      <c r="E111" s="23"/>
      <c r="F111" s="21"/>
      <c r="G111" s="23"/>
      <c r="H111" s="21"/>
      <c r="I111" s="26"/>
      <c r="J111" s="21"/>
      <c r="K111" s="27"/>
      <c r="L111" s="22"/>
    </row>
    <row r="112" customFormat="false" ht="16.5" hidden="false" customHeight="true" outlineLevel="0" collapsed="false">
      <c r="A112" s="24"/>
      <c r="B112" s="22"/>
      <c r="C112" s="21"/>
      <c r="D112" s="21"/>
      <c r="E112" s="23"/>
      <c r="F112" s="21"/>
      <c r="G112" s="23"/>
      <c r="H112" s="21"/>
      <c r="I112" s="26"/>
      <c r="J112" s="21"/>
      <c r="K112" s="27"/>
      <c r="L112" s="22"/>
    </row>
    <row r="113" customFormat="false" ht="16.5" hidden="false" customHeight="true" outlineLevel="0" collapsed="false">
      <c r="A113" s="24"/>
      <c r="B113" s="22"/>
      <c r="C113" s="21"/>
      <c r="D113" s="21"/>
      <c r="E113" s="23"/>
      <c r="F113" s="21"/>
      <c r="G113" s="23"/>
      <c r="H113" s="21"/>
      <c r="I113" s="26"/>
      <c r="J113" s="21"/>
      <c r="K113" s="27"/>
      <c r="L113" s="22"/>
    </row>
    <row r="114" customFormat="false" ht="16.5" hidden="false" customHeight="true" outlineLevel="0" collapsed="false">
      <c r="A114" s="24"/>
      <c r="B114" s="22"/>
      <c r="C114" s="21"/>
      <c r="D114" s="21"/>
      <c r="E114" s="23"/>
      <c r="F114" s="21"/>
      <c r="G114" s="23"/>
      <c r="H114" s="21"/>
      <c r="I114" s="26"/>
      <c r="J114" s="21"/>
      <c r="K114" s="27"/>
      <c r="L114" s="22"/>
    </row>
    <row r="115" customFormat="false" ht="16.5" hidden="false" customHeight="true" outlineLevel="0" collapsed="false">
      <c r="A115" s="24"/>
      <c r="B115" s="22"/>
      <c r="C115" s="21"/>
      <c r="D115" s="21"/>
      <c r="E115" s="23"/>
      <c r="F115" s="21"/>
      <c r="G115" s="23"/>
      <c r="H115" s="21"/>
      <c r="I115" s="26"/>
      <c r="J115" s="21"/>
      <c r="K115" s="27"/>
      <c r="L115" s="22"/>
    </row>
    <row r="116" customFormat="false" ht="16.5" hidden="false" customHeight="true" outlineLevel="0" collapsed="false">
      <c r="A116" s="24"/>
      <c r="B116" s="22"/>
      <c r="C116" s="21"/>
      <c r="D116" s="21"/>
      <c r="E116" s="23"/>
      <c r="F116" s="21"/>
      <c r="G116" s="23"/>
      <c r="H116" s="21"/>
      <c r="I116" s="26"/>
      <c r="J116" s="21"/>
      <c r="K116" s="27"/>
      <c r="L116" s="22"/>
    </row>
    <row r="117" customFormat="false" ht="16.5" hidden="false" customHeight="true" outlineLevel="0" collapsed="false">
      <c r="A117" s="24"/>
      <c r="B117" s="22"/>
      <c r="C117" s="21"/>
      <c r="D117" s="21"/>
      <c r="E117" s="23"/>
      <c r="F117" s="21"/>
      <c r="G117" s="23"/>
      <c r="H117" s="21"/>
      <c r="I117" s="26"/>
      <c r="J117" s="21"/>
      <c r="K117" s="27"/>
      <c r="L117" s="22"/>
    </row>
    <row r="118" customFormat="false" ht="16.5" hidden="false" customHeight="true" outlineLevel="0" collapsed="false">
      <c r="A118" s="24"/>
      <c r="B118" s="22"/>
      <c r="C118" s="21"/>
      <c r="D118" s="21"/>
      <c r="E118" s="23"/>
      <c r="F118" s="21"/>
      <c r="G118" s="23"/>
      <c r="H118" s="21"/>
      <c r="I118" s="26"/>
      <c r="J118" s="21"/>
      <c r="K118" s="27"/>
      <c r="L118" s="22"/>
    </row>
    <row r="119" customFormat="false" ht="16.5" hidden="false" customHeight="true" outlineLevel="0" collapsed="false">
      <c r="A119" s="24"/>
      <c r="B119" s="22"/>
      <c r="C119" s="21"/>
      <c r="D119" s="21"/>
      <c r="E119" s="23"/>
      <c r="F119" s="21"/>
      <c r="G119" s="23"/>
      <c r="H119" s="21"/>
      <c r="I119" s="26"/>
      <c r="J119" s="21"/>
      <c r="K119" s="27"/>
      <c r="L119" s="22"/>
    </row>
    <row r="120" customFormat="false" ht="16.5" hidden="false" customHeight="true" outlineLevel="0" collapsed="false">
      <c r="A120" s="24"/>
      <c r="B120" s="22"/>
      <c r="C120" s="21"/>
      <c r="D120" s="21"/>
      <c r="E120" s="23"/>
      <c r="F120" s="21"/>
      <c r="G120" s="23"/>
      <c r="H120" s="21"/>
      <c r="I120" s="26"/>
      <c r="J120" s="21"/>
      <c r="K120" s="27"/>
      <c r="L120" s="22"/>
    </row>
    <row r="121" customFormat="false" ht="16.5" hidden="false" customHeight="true" outlineLevel="0" collapsed="false">
      <c r="A121" s="24"/>
      <c r="B121" s="22"/>
      <c r="C121" s="21"/>
      <c r="D121" s="21"/>
      <c r="E121" s="23"/>
      <c r="F121" s="21"/>
      <c r="G121" s="23"/>
      <c r="H121" s="21"/>
      <c r="I121" s="26"/>
      <c r="J121" s="21"/>
      <c r="K121" s="27"/>
      <c r="L121" s="22"/>
    </row>
    <row r="122" customFormat="false" ht="16.5" hidden="false" customHeight="true" outlineLevel="0" collapsed="false">
      <c r="A122" s="24"/>
      <c r="B122" s="22"/>
      <c r="C122" s="21"/>
      <c r="D122" s="21"/>
      <c r="E122" s="23"/>
      <c r="F122" s="21"/>
      <c r="G122" s="23"/>
      <c r="H122" s="21"/>
      <c r="I122" s="26"/>
      <c r="J122" s="21"/>
      <c r="K122" s="27"/>
      <c r="L122" s="22"/>
    </row>
    <row r="123" customFormat="false" ht="16.5" hidden="false" customHeight="true" outlineLevel="0" collapsed="false">
      <c r="A123" s="24"/>
      <c r="B123" s="22"/>
      <c r="C123" s="21"/>
      <c r="D123" s="21"/>
      <c r="E123" s="23"/>
      <c r="F123" s="21"/>
      <c r="G123" s="23"/>
      <c r="H123" s="21"/>
      <c r="I123" s="26"/>
      <c r="J123" s="21"/>
      <c r="K123" s="27"/>
      <c r="L123" s="22"/>
    </row>
    <row r="124" customFormat="false" ht="16.5" hidden="false" customHeight="true" outlineLevel="0" collapsed="false">
      <c r="A124" s="24"/>
      <c r="B124" s="22"/>
      <c r="C124" s="21"/>
      <c r="D124" s="21"/>
      <c r="E124" s="23"/>
      <c r="F124" s="21"/>
      <c r="G124" s="23"/>
      <c r="H124" s="21"/>
      <c r="I124" s="26"/>
      <c r="J124" s="21"/>
      <c r="K124" s="27"/>
      <c r="L124" s="22"/>
    </row>
    <row r="125" customFormat="false" ht="16.5" hidden="false" customHeight="true" outlineLevel="0" collapsed="false">
      <c r="A125" s="24"/>
      <c r="B125" s="22"/>
      <c r="C125" s="21"/>
      <c r="D125" s="21"/>
      <c r="E125" s="23"/>
      <c r="F125" s="21"/>
      <c r="G125" s="23"/>
      <c r="H125" s="21"/>
      <c r="I125" s="26"/>
      <c r="J125" s="21"/>
      <c r="K125" s="27"/>
      <c r="L125" s="22"/>
    </row>
    <row r="126" customFormat="false" ht="16.5" hidden="false" customHeight="true" outlineLevel="0" collapsed="false">
      <c r="A126" s="24"/>
      <c r="B126" s="22"/>
      <c r="C126" s="21"/>
      <c r="D126" s="21"/>
      <c r="E126" s="23"/>
      <c r="F126" s="21"/>
      <c r="G126" s="23"/>
      <c r="H126" s="21"/>
      <c r="I126" s="26"/>
      <c r="J126" s="21"/>
      <c r="K126" s="27"/>
      <c r="L126" s="22"/>
    </row>
    <row r="127" customFormat="false" ht="16.5" hidden="false" customHeight="true" outlineLevel="0" collapsed="false">
      <c r="A127" s="24"/>
      <c r="B127" s="22"/>
      <c r="C127" s="21"/>
      <c r="D127" s="21"/>
      <c r="E127" s="23"/>
      <c r="F127" s="21"/>
      <c r="G127" s="23"/>
      <c r="H127" s="21"/>
      <c r="I127" s="26"/>
      <c r="J127" s="21"/>
      <c r="K127" s="27"/>
      <c r="L127" s="22"/>
    </row>
    <row r="128" customFormat="false" ht="16.5" hidden="false" customHeight="true" outlineLevel="0" collapsed="false">
      <c r="A128" s="24"/>
      <c r="B128" s="22"/>
      <c r="C128" s="21"/>
      <c r="D128" s="21"/>
      <c r="E128" s="23"/>
      <c r="F128" s="21"/>
      <c r="G128" s="23"/>
      <c r="H128" s="21"/>
      <c r="I128" s="26"/>
      <c r="J128" s="21"/>
      <c r="K128" s="27"/>
      <c r="L128" s="22"/>
    </row>
    <row r="129" customFormat="false" ht="16.5" hidden="false" customHeight="true" outlineLevel="0" collapsed="false">
      <c r="A129" s="24"/>
      <c r="B129" s="22"/>
      <c r="C129" s="21"/>
      <c r="D129" s="21"/>
      <c r="E129" s="23"/>
      <c r="F129" s="21"/>
      <c r="G129" s="23"/>
      <c r="H129" s="21"/>
      <c r="I129" s="26"/>
      <c r="J129" s="21"/>
      <c r="K129" s="27"/>
      <c r="L129" s="22"/>
    </row>
    <row r="130" customFormat="false" ht="16.5" hidden="false" customHeight="true" outlineLevel="0" collapsed="false">
      <c r="A130" s="24"/>
      <c r="B130" s="22"/>
      <c r="C130" s="21"/>
      <c r="D130" s="21"/>
      <c r="E130" s="23"/>
      <c r="F130" s="21"/>
      <c r="G130" s="23"/>
      <c r="H130" s="21"/>
      <c r="I130" s="26"/>
      <c r="J130" s="21"/>
      <c r="K130" s="27"/>
      <c r="L130" s="22"/>
    </row>
    <row r="131" customFormat="false" ht="16.5" hidden="false" customHeight="true" outlineLevel="0" collapsed="false">
      <c r="A131" s="24"/>
      <c r="B131" s="22"/>
      <c r="C131" s="21"/>
      <c r="D131" s="21"/>
      <c r="E131" s="23"/>
      <c r="F131" s="21"/>
      <c r="G131" s="23"/>
      <c r="H131" s="21"/>
      <c r="I131" s="26"/>
      <c r="J131" s="21"/>
      <c r="K131" s="27"/>
      <c r="L131" s="22"/>
    </row>
    <row r="132" customFormat="false" ht="16.5" hidden="false" customHeight="true" outlineLevel="0" collapsed="false">
      <c r="A132" s="24"/>
      <c r="B132" s="22"/>
      <c r="C132" s="21"/>
      <c r="D132" s="21"/>
      <c r="E132" s="23"/>
      <c r="F132" s="21"/>
      <c r="G132" s="23"/>
      <c r="H132" s="21"/>
      <c r="I132" s="26"/>
      <c r="J132" s="21"/>
      <c r="K132" s="27"/>
      <c r="L132" s="22"/>
    </row>
    <row r="133" customFormat="false" ht="16.5" hidden="false" customHeight="true" outlineLevel="0" collapsed="false">
      <c r="A133" s="24"/>
      <c r="B133" s="22"/>
      <c r="C133" s="21"/>
      <c r="D133" s="21"/>
      <c r="E133" s="23"/>
      <c r="F133" s="21"/>
      <c r="G133" s="23"/>
      <c r="H133" s="21"/>
      <c r="I133" s="26"/>
      <c r="J133" s="21"/>
      <c r="K133" s="27"/>
      <c r="L133" s="22"/>
    </row>
    <row r="134" customFormat="false" ht="16.5" hidden="false" customHeight="true" outlineLevel="0" collapsed="false">
      <c r="A134" s="24"/>
      <c r="B134" s="22"/>
      <c r="C134" s="21"/>
      <c r="D134" s="21"/>
      <c r="E134" s="23"/>
      <c r="F134" s="21"/>
      <c r="G134" s="23"/>
      <c r="H134" s="21"/>
      <c r="I134" s="26"/>
      <c r="J134" s="21"/>
      <c r="K134" s="27"/>
      <c r="L134" s="22"/>
    </row>
    <row r="135" customFormat="false" ht="16.5" hidden="false" customHeight="true" outlineLevel="0" collapsed="false">
      <c r="A135" s="24"/>
      <c r="B135" s="22"/>
      <c r="C135" s="21"/>
      <c r="D135" s="21"/>
      <c r="E135" s="23"/>
      <c r="F135" s="21"/>
      <c r="G135" s="23"/>
      <c r="H135" s="21"/>
      <c r="I135" s="26"/>
      <c r="J135" s="21"/>
      <c r="K135" s="27"/>
      <c r="L135" s="22"/>
    </row>
    <row r="136" customFormat="false" ht="16.5" hidden="false" customHeight="true" outlineLevel="0" collapsed="false">
      <c r="A136" s="24"/>
      <c r="B136" s="22"/>
      <c r="C136" s="21"/>
      <c r="D136" s="21"/>
      <c r="E136" s="23"/>
      <c r="F136" s="21"/>
      <c r="G136" s="23"/>
      <c r="H136" s="21"/>
      <c r="I136" s="26"/>
      <c r="J136" s="21"/>
      <c r="K136" s="27"/>
      <c r="L136" s="22"/>
    </row>
    <row r="137" customFormat="false" ht="16.5" hidden="false" customHeight="true" outlineLevel="0" collapsed="false">
      <c r="A137" s="24"/>
      <c r="B137" s="22"/>
      <c r="C137" s="21"/>
      <c r="D137" s="21"/>
      <c r="E137" s="23"/>
      <c r="F137" s="21"/>
      <c r="G137" s="23"/>
      <c r="H137" s="21"/>
      <c r="I137" s="26"/>
      <c r="J137" s="21"/>
      <c r="K137" s="27"/>
      <c r="L137" s="22"/>
    </row>
    <row r="138" customFormat="false" ht="16.5" hidden="false" customHeight="true" outlineLevel="0" collapsed="false">
      <c r="A138" s="24"/>
      <c r="B138" s="22"/>
      <c r="C138" s="21"/>
      <c r="D138" s="21"/>
      <c r="E138" s="23"/>
      <c r="F138" s="21"/>
      <c r="G138" s="23"/>
      <c r="H138" s="21"/>
      <c r="I138" s="26"/>
      <c r="J138" s="21"/>
      <c r="K138" s="27"/>
      <c r="L138" s="22"/>
    </row>
    <row r="139" customFormat="false" ht="16.5" hidden="false" customHeight="true" outlineLevel="0" collapsed="false">
      <c r="A139" s="24"/>
      <c r="B139" s="22"/>
      <c r="C139" s="21"/>
      <c r="D139" s="21"/>
      <c r="E139" s="23"/>
      <c r="F139" s="21"/>
      <c r="G139" s="23"/>
      <c r="H139" s="21"/>
      <c r="I139" s="26"/>
      <c r="J139" s="21"/>
      <c r="K139" s="27"/>
      <c r="L139" s="22"/>
    </row>
    <row r="140" customFormat="false" ht="16.5" hidden="false" customHeight="true" outlineLevel="0" collapsed="false">
      <c r="A140" s="24"/>
      <c r="B140" s="22"/>
      <c r="C140" s="21"/>
      <c r="D140" s="21"/>
      <c r="E140" s="23"/>
      <c r="F140" s="21"/>
      <c r="G140" s="23"/>
      <c r="H140" s="21"/>
      <c r="I140" s="26"/>
      <c r="J140" s="21"/>
      <c r="K140" s="27"/>
      <c r="L140" s="22"/>
    </row>
    <row r="141" customFormat="false" ht="16.5" hidden="false" customHeight="true" outlineLevel="0" collapsed="false">
      <c r="A141" s="24"/>
      <c r="B141" s="22"/>
      <c r="C141" s="21"/>
      <c r="D141" s="21"/>
      <c r="E141" s="23"/>
      <c r="F141" s="21"/>
      <c r="G141" s="23"/>
      <c r="H141" s="21"/>
      <c r="I141" s="26"/>
      <c r="J141" s="21"/>
      <c r="K141" s="27"/>
      <c r="L141" s="22"/>
    </row>
    <row r="142" customFormat="false" ht="16.5" hidden="false" customHeight="true" outlineLevel="0" collapsed="false">
      <c r="A142" s="24"/>
      <c r="B142" s="22"/>
      <c r="C142" s="21"/>
      <c r="D142" s="21"/>
      <c r="E142" s="23"/>
      <c r="F142" s="21"/>
      <c r="G142" s="23"/>
      <c r="H142" s="21"/>
      <c r="I142" s="26"/>
      <c r="J142" s="21"/>
      <c r="K142" s="27"/>
      <c r="L142" s="22"/>
    </row>
    <row r="143" customFormat="false" ht="16.5" hidden="false" customHeight="true" outlineLevel="0" collapsed="false">
      <c r="A143" s="24"/>
      <c r="B143" s="22"/>
      <c r="C143" s="21"/>
      <c r="D143" s="21"/>
      <c r="E143" s="23"/>
      <c r="F143" s="21"/>
      <c r="G143" s="23"/>
      <c r="H143" s="21"/>
      <c r="I143" s="26"/>
      <c r="J143" s="21"/>
      <c r="K143" s="27"/>
      <c r="L143" s="22"/>
    </row>
    <row r="144" customFormat="false" ht="16.5" hidden="false" customHeight="true" outlineLevel="0" collapsed="false">
      <c r="A144" s="24"/>
      <c r="B144" s="22"/>
      <c r="C144" s="21"/>
      <c r="D144" s="21"/>
      <c r="E144" s="23"/>
      <c r="F144" s="21"/>
      <c r="G144" s="23"/>
      <c r="H144" s="21"/>
      <c r="I144" s="26"/>
      <c r="J144" s="21"/>
      <c r="K144" s="27"/>
      <c r="L144" s="22"/>
    </row>
    <row r="145" customFormat="false" ht="16.5" hidden="false" customHeight="true" outlineLevel="0" collapsed="false">
      <c r="A145" s="24"/>
      <c r="B145" s="22"/>
      <c r="C145" s="21"/>
      <c r="D145" s="21"/>
      <c r="E145" s="23"/>
      <c r="F145" s="21"/>
      <c r="G145" s="23"/>
      <c r="H145" s="21"/>
      <c r="I145" s="26"/>
      <c r="J145" s="21"/>
      <c r="K145" s="27"/>
      <c r="L145" s="22"/>
    </row>
    <row r="146" customFormat="false" ht="16.5" hidden="false" customHeight="true" outlineLevel="0" collapsed="false">
      <c r="A146" s="24"/>
      <c r="B146" s="22"/>
      <c r="C146" s="21"/>
      <c r="D146" s="21"/>
      <c r="E146" s="23"/>
      <c r="F146" s="21"/>
      <c r="G146" s="23"/>
      <c r="H146" s="21"/>
      <c r="I146" s="26"/>
      <c r="J146" s="21"/>
      <c r="K146" s="27"/>
      <c r="L146" s="22"/>
    </row>
    <row r="147" customFormat="false" ht="16.5" hidden="false" customHeight="true" outlineLevel="0" collapsed="false">
      <c r="A147" s="24"/>
      <c r="B147" s="22"/>
      <c r="C147" s="21"/>
      <c r="D147" s="21"/>
      <c r="E147" s="23"/>
      <c r="F147" s="21"/>
      <c r="G147" s="23"/>
      <c r="H147" s="21"/>
      <c r="I147" s="26"/>
      <c r="J147" s="21"/>
      <c r="K147" s="27"/>
      <c r="L147" s="22"/>
    </row>
    <row r="148" customFormat="false" ht="16.5" hidden="false" customHeight="true" outlineLevel="0" collapsed="false">
      <c r="A148" s="24"/>
      <c r="B148" s="22"/>
      <c r="C148" s="21"/>
      <c r="D148" s="21"/>
      <c r="E148" s="23"/>
      <c r="F148" s="21"/>
      <c r="G148" s="23"/>
      <c r="H148" s="21"/>
      <c r="I148" s="26"/>
      <c r="J148" s="21"/>
      <c r="K148" s="27"/>
      <c r="L148" s="22"/>
    </row>
    <row r="149" customFormat="false" ht="16.5" hidden="false" customHeight="true" outlineLevel="0" collapsed="false">
      <c r="A149" s="24"/>
      <c r="B149" s="22"/>
      <c r="C149" s="21"/>
      <c r="D149" s="21"/>
      <c r="E149" s="23"/>
      <c r="F149" s="21"/>
      <c r="G149" s="23"/>
      <c r="H149" s="21"/>
      <c r="I149" s="26"/>
      <c r="J149" s="21"/>
      <c r="K149" s="27"/>
      <c r="L149" s="22"/>
    </row>
    <row r="150" customFormat="false" ht="16.5" hidden="false" customHeight="true" outlineLevel="0" collapsed="false">
      <c r="A150" s="24"/>
      <c r="B150" s="22"/>
      <c r="C150" s="21"/>
      <c r="D150" s="21"/>
      <c r="E150" s="23"/>
      <c r="F150" s="21"/>
      <c r="G150" s="23"/>
      <c r="H150" s="21"/>
      <c r="I150" s="26"/>
      <c r="J150" s="21"/>
      <c r="K150" s="27"/>
      <c r="L150" s="22"/>
    </row>
    <row r="151" customFormat="false" ht="16.5" hidden="false" customHeight="true" outlineLevel="0" collapsed="false">
      <c r="A151" s="24"/>
      <c r="B151" s="22"/>
      <c r="C151" s="21"/>
      <c r="D151" s="21"/>
      <c r="E151" s="23"/>
      <c r="F151" s="21"/>
      <c r="G151" s="23"/>
      <c r="H151" s="21"/>
      <c r="I151" s="26"/>
      <c r="J151" s="21"/>
      <c r="K151" s="27"/>
      <c r="L151" s="22"/>
    </row>
    <row r="152" customFormat="false" ht="16.5" hidden="false" customHeight="true" outlineLevel="0" collapsed="false">
      <c r="A152" s="24"/>
      <c r="B152" s="22"/>
      <c r="C152" s="21"/>
      <c r="D152" s="21"/>
      <c r="E152" s="23"/>
      <c r="F152" s="21"/>
      <c r="G152" s="23"/>
      <c r="H152" s="21"/>
      <c r="I152" s="26"/>
      <c r="J152" s="21"/>
      <c r="K152" s="27"/>
      <c r="L152" s="22"/>
    </row>
    <row r="153" customFormat="false" ht="16.5" hidden="false" customHeight="true" outlineLevel="0" collapsed="false">
      <c r="A153" s="24"/>
      <c r="B153" s="22"/>
      <c r="C153" s="21"/>
      <c r="D153" s="21"/>
      <c r="E153" s="23"/>
      <c r="F153" s="21"/>
      <c r="G153" s="23"/>
      <c r="H153" s="21"/>
      <c r="I153" s="26"/>
      <c r="J153" s="21"/>
      <c r="K153" s="27"/>
      <c r="L153" s="22"/>
    </row>
    <row r="154" customFormat="false" ht="16.5" hidden="false" customHeight="true" outlineLevel="0" collapsed="false">
      <c r="A154" s="24"/>
      <c r="B154" s="22"/>
      <c r="C154" s="21"/>
      <c r="D154" s="21"/>
      <c r="E154" s="23"/>
      <c r="F154" s="21"/>
      <c r="G154" s="23"/>
      <c r="H154" s="21"/>
      <c r="I154" s="26"/>
      <c r="J154" s="21"/>
      <c r="K154" s="27"/>
      <c r="L154" s="22"/>
    </row>
    <row r="155" customFormat="false" ht="16.5" hidden="false" customHeight="true" outlineLevel="0" collapsed="false">
      <c r="A155" s="24"/>
      <c r="B155" s="22"/>
      <c r="C155" s="21"/>
      <c r="D155" s="21"/>
      <c r="E155" s="23"/>
      <c r="F155" s="21"/>
      <c r="G155" s="23"/>
      <c r="H155" s="21"/>
      <c r="I155" s="26"/>
      <c r="J155" s="21"/>
      <c r="K155" s="27"/>
      <c r="L155" s="22"/>
    </row>
    <row r="156" customFormat="false" ht="16.5" hidden="false" customHeight="true" outlineLevel="0" collapsed="false">
      <c r="A156" s="24"/>
      <c r="B156" s="22"/>
      <c r="C156" s="21"/>
      <c r="D156" s="21"/>
      <c r="E156" s="23"/>
      <c r="F156" s="21"/>
      <c r="G156" s="23"/>
      <c r="H156" s="21"/>
      <c r="I156" s="26"/>
      <c r="J156" s="21"/>
      <c r="K156" s="27"/>
      <c r="L156" s="22"/>
    </row>
    <row r="157" customFormat="false" ht="16.5" hidden="false" customHeight="true" outlineLevel="0" collapsed="false">
      <c r="A157" s="24"/>
      <c r="B157" s="22"/>
      <c r="C157" s="21"/>
      <c r="D157" s="21"/>
      <c r="E157" s="23"/>
      <c r="F157" s="21"/>
      <c r="G157" s="23"/>
      <c r="H157" s="21"/>
      <c r="I157" s="26"/>
      <c r="J157" s="21"/>
      <c r="K157" s="27"/>
      <c r="L157" s="22"/>
    </row>
    <row r="158" customFormat="false" ht="16.5" hidden="false" customHeight="true" outlineLevel="0" collapsed="false">
      <c r="A158" s="24"/>
      <c r="B158" s="22"/>
      <c r="C158" s="21"/>
      <c r="D158" s="21"/>
      <c r="E158" s="23"/>
      <c r="F158" s="21"/>
      <c r="G158" s="23"/>
      <c r="H158" s="21"/>
      <c r="I158" s="26"/>
      <c r="J158" s="21"/>
      <c r="K158" s="27"/>
      <c r="L158" s="22"/>
    </row>
    <row r="159" customFormat="false" ht="16.5" hidden="false" customHeight="true" outlineLevel="0" collapsed="false">
      <c r="A159" s="24"/>
      <c r="B159" s="22"/>
      <c r="C159" s="21"/>
      <c r="D159" s="21"/>
      <c r="E159" s="23"/>
      <c r="F159" s="21"/>
      <c r="G159" s="23"/>
      <c r="H159" s="21"/>
      <c r="I159" s="26"/>
      <c r="J159" s="21"/>
      <c r="K159" s="27"/>
      <c r="L159" s="22"/>
    </row>
    <row r="160" customFormat="false" ht="16.5" hidden="false" customHeight="true" outlineLevel="0" collapsed="false">
      <c r="A160" s="24"/>
      <c r="B160" s="22"/>
      <c r="C160" s="21"/>
      <c r="D160" s="21"/>
      <c r="E160" s="23"/>
      <c r="F160" s="21"/>
      <c r="G160" s="23"/>
      <c r="H160" s="21"/>
      <c r="I160" s="26"/>
      <c r="J160" s="21"/>
      <c r="K160" s="27"/>
      <c r="L160" s="22"/>
    </row>
    <row r="161" customFormat="false" ht="16.5" hidden="false" customHeight="true" outlineLevel="0" collapsed="false">
      <c r="A161" s="24"/>
      <c r="B161" s="22"/>
      <c r="C161" s="21"/>
      <c r="D161" s="21"/>
      <c r="E161" s="23"/>
      <c r="F161" s="21"/>
      <c r="G161" s="23"/>
      <c r="H161" s="21"/>
      <c r="I161" s="26"/>
      <c r="J161" s="21"/>
      <c r="K161" s="27"/>
      <c r="L161" s="22"/>
    </row>
    <row r="162" customFormat="false" ht="16.5" hidden="false" customHeight="true" outlineLevel="0" collapsed="false">
      <c r="A162" s="24"/>
      <c r="B162" s="22"/>
      <c r="C162" s="21"/>
      <c r="D162" s="21"/>
      <c r="E162" s="23"/>
      <c r="F162" s="21"/>
      <c r="G162" s="23"/>
      <c r="H162" s="21"/>
      <c r="I162" s="26"/>
      <c r="J162" s="21"/>
      <c r="K162" s="27"/>
      <c r="L162" s="22"/>
    </row>
    <row r="163" customFormat="false" ht="16.5" hidden="false" customHeight="true" outlineLevel="0" collapsed="false">
      <c r="A163" s="24"/>
      <c r="B163" s="22"/>
      <c r="C163" s="21"/>
      <c r="D163" s="21"/>
      <c r="E163" s="23"/>
      <c r="F163" s="21"/>
      <c r="G163" s="23"/>
      <c r="H163" s="21"/>
      <c r="I163" s="26"/>
      <c r="J163" s="21"/>
      <c r="K163" s="27"/>
      <c r="L163" s="22"/>
    </row>
    <row r="164" customFormat="false" ht="16.5" hidden="false" customHeight="true" outlineLevel="0" collapsed="false">
      <c r="A164" s="24"/>
      <c r="B164" s="22"/>
      <c r="C164" s="21"/>
      <c r="D164" s="21"/>
      <c r="E164" s="23"/>
      <c r="F164" s="21"/>
      <c r="G164" s="23"/>
      <c r="H164" s="21"/>
      <c r="I164" s="26"/>
      <c r="J164" s="21"/>
      <c r="K164" s="27"/>
      <c r="L164" s="22"/>
    </row>
    <row r="165" customFormat="false" ht="16.5" hidden="false" customHeight="true" outlineLevel="0" collapsed="false">
      <c r="A165" s="24"/>
      <c r="B165" s="22"/>
      <c r="C165" s="21"/>
      <c r="D165" s="21"/>
      <c r="E165" s="23"/>
      <c r="F165" s="21"/>
      <c r="G165" s="23"/>
      <c r="H165" s="21"/>
      <c r="I165" s="26"/>
      <c r="J165" s="21"/>
      <c r="K165" s="27"/>
      <c r="L165" s="22"/>
    </row>
    <row r="166" customFormat="false" ht="16.5" hidden="false" customHeight="true" outlineLevel="0" collapsed="false">
      <c r="A166" s="24"/>
      <c r="B166" s="22"/>
      <c r="C166" s="21"/>
      <c r="D166" s="21"/>
      <c r="E166" s="23"/>
      <c r="F166" s="21"/>
      <c r="G166" s="23"/>
      <c r="H166" s="21"/>
      <c r="I166" s="26"/>
      <c r="J166" s="21"/>
      <c r="K166" s="27"/>
      <c r="L166" s="22"/>
    </row>
    <row r="167" customFormat="false" ht="16.5" hidden="false" customHeight="true" outlineLevel="0" collapsed="false">
      <c r="A167" s="24"/>
      <c r="B167" s="22"/>
      <c r="C167" s="21"/>
      <c r="D167" s="21"/>
      <c r="E167" s="23"/>
      <c r="F167" s="21"/>
      <c r="G167" s="23"/>
      <c r="H167" s="21"/>
      <c r="I167" s="26"/>
      <c r="J167" s="21"/>
      <c r="K167" s="27"/>
      <c r="L167" s="22"/>
    </row>
    <row r="168" customFormat="false" ht="16.5" hidden="false" customHeight="true" outlineLevel="0" collapsed="false">
      <c r="A168" s="24"/>
      <c r="B168" s="22"/>
      <c r="C168" s="21"/>
      <c r="D168" s="21"/>
      <c r="E168" s="23"/>
      <c r="F168" s="21"/>
      <c r="G168" s="23"/>
      <c r="H168" s="21"/>
      <c r="I168" s="26"/>
      <c r="J168" s="21"/>
      <c r="K168" s="27"/>
      <c r="L168" s="22"/>
    </row>
    <row r="169" customFormat="false" ht="16.5" hidden="false" customHeight="true" outlineLevel="0" collapsed="false">
      <c r="A169" s="24"/>
      <c r="B169" s="22"/>
      <c r="C169" s="21"/>
      <c r="D169" s="21"/>
      <c r="E169" s="23"/>
      <c r="F169" s="21"/>
      <c r="G169" s="23"/>
      <c r="H169" s="21"/>
      <c r="I169" s="26"/>
      <c r="J169" s="21"/>
      <c r="K169" s="27"/>
      <c r="L169" s="22"/>
    </row>
    <row r="170" customFormat="false" ht="16.5" hidden="false" customHeight="true" outlineLevel="0" collapsed="false">
      <c r="A170" s="24"/>
      <c r="B170" s="22"/>
      <c r="C170" s="21"/>
      <c r="D170" s="21"/>
      <c r="E170" s="23"/>
      <c r="F170" s="21"/>
      <c r="G170" s="23"/>
      <c r="H170" s="21"/>
      <c r="I170" s="26"/>
      <c r="J170" s="21"/>
      <c r="K170" s="27"/>
      <c r="L170" s="22"/>
    </row>
    <row r="171" customFormat="false" ht="16.5" hidden="false" customHeight="true" outlineLevel="0" collapsed="false">
      <c r="A171" s="24"/>
      <c r="B171" s="22"/>
      <c r="C171" s="21"/>
      <c r="D171" s="21"/>
      <c r="E171" s="23"/>
      <c r="F171" s="21"/>
      <c r="G171" s="23"/>
      <c r="H171" s="21"/>
      <c r="I171" s="26"/>
      <c r="J171" s="21"/>
      <c r="K171" s="27"/>
      <c r="L171" s="22"/>
    </row>
    <row r="172" customFormat="false" ht="16.5" hidden="false" customHeight="true" outlineLevel="0" collapsed="false">
      <c r="A172" s="24"/>
      <c r="B172" s="22"/>
      <c r="C172" s="21"/>
      <c r="D172" s="21"/>
      <c r="E172" s="23"/>
      <c r="F172" s="21"/>
      <c r="G172" s="23"/>
      <c r="H172" s="21"/>
      <c r="I172" s="26"/>
      <c r="J172" s="21"/>
      <c r="K172" s="27"/>
      <c r="L172" s="22"/>
    </row>
    <row r="173" customFormat="false" ht="16.5" hidden="false" customHeight="true" outlineLevel="0" collapsed="false">
      <c r="A173" s="24"/>
      <c r="B173" s="22"/>
      <c r="C173" s="21"/>
      <c r="D173" s="21"/>
      <c r="E173" s="23"/>
      <c r="F173" s="21"/>
      <c r="G173" s="23"/>
      <c r="H173" s="21"/>
      <c r="I173" s="26"/>
      <c r="J173" s="21"/>
      <c r="K173" s="27"/>
      <c r="L173" s="22"/>
    </row>
    <row r="174" customFormat="false" ht="16.5" hidden="false" customHeight="true" outlineLevel="0" collapsed="false">
      <c r="A174" s="24"/>
      <c r="B174" s="22"/>
      <c r="C174" s="21"/>
      <c r="D174" s="21"/>
      <c r="E174" s="23"/>
      <c r="F174" s="21"/>
      <c r="G174" s="23"/>
      <c r="H174" s="21"/>
      <c r="I174" s="26"/>
      <c r="J174" s="21"/>
      <c r="K174" s="27"/>
      <c r="L174" s="22"/>
    </row>
    <row r="175" customFormat="false" ht="16.5" hidden="false" customHeight="true" outlineLevel="0" collapsed="false">
      <c r="A175" s="24"/>
      <c r="B175" s="22"/>
      <c r="C175" s="21"/>
      <c r="D175" s="21"/>
      <c r="E175" s="23"/>
      <c r="F175" s="21"/>
      <c r="G175" s="23"/>
      <c r="H175" s="21"/>
      <c r="I175" s="26"/>
      <c r="J175" s="21"/>
      <c r="K175" s="27"/>
      <c r="L175" s="22"/>
    </row>
    <row r="176" customFormat="false" ht="16.5" hidden="false" customHeight="true" outlineLevel="0" collapsed="false">
      <c r="A176" s="24"/>
      <c r="B176" s="22"/>
      <c r="C176" s="21"/>
      <c r="D176" s="21"/>
      <c r="E176" s="23"/>
      <c r="F176" s="21"/>
      <c r="G176" s="23"/>
      <c r="H176" s="21"/>
      <c r="I176" s="26"/>
      <c r="J176" s="21"/>
      <c r="K176" s="27"/>
      <c r="L176" s="22"/>
    </row>
    <row r="177" customFormat="false" ht="16.5" hidden="false" customHeight="true" outlineLevel="0" collapsed="false">
      <c r="A177" s="24"/>
      <c r="B177" s="22"/>
      <c r="C177" s="21"/>
      <c r="D177" s="21"/>
      <c r="E177" s="23"/>
      <c r="F177" s="21"/>
      <c r="G177" s="23"/>
      <c r="H177" s="21"/>
      <c r="I177" s="26"/>
      <c r="J177" s="21"/>
      <c r="K177" s="27"/>
      <c r="L177" s="22"/>
    </row>
    <row r="178" customFormat="false" ht="16.5" hidden="false" customHeight="true" outlineLevel="0" collapsed="false">
      <c r="A178" s="24"/>
      <c r="B178" s="22"/>
      <c r="C178" s="21"/>
      <c r="D178" s="21"/>
      <c r="E178" s="23"/>
      <c r="F178" s="21"/>
      <c r="G178" s="23"/>
      <c r="H178" s="21"/>
      <c r="I178" s="26"/>
      <c r="J178" s="21"/>
      <c r="K178" s="27"/>
      <c r="L178" s="22"/>
    </row>
    <row r="179" customFormat="false" ht="16.5" hidden="false" customHeight="true" outlineLevel="0" collapsed="false">
      <c r="A179" s="24"/>
      <c r="B179" s="22"/>
      <c r="C179" s="21"/>
      <c r="D179" s="21"/>
      <c r="E179" s="23"/>
      <c r="F179" s="21"/>
      <c r="G179" s="23"/>
      <c r="H179" s="21"/>
      <c r="I179" s="26"/>
      <c r="J179" s="21"/>
      <c r="K179" s="27"/>
      <c r="L179" s="22"/>
    </row>
    <row r="180" customFormat="false" ht="16.5" hidden="false" customHeight="true" outlineLevel="0" collapsed="false">
      <c r="A180" s="24"/>
      <c r="B180" s="22"/>
      <c r="C180" s="21"/>
      <c r="D180" s="21"/>
      <c r="E180" s="23"/>
      <c r="F180" s="21"/>
      <c r="G180" s="23"/>
      <c r="H180" s="21"/>
      <c r="I180" s="26"/>
      <c r="J180" s="21"/>
      <c r="K180" s="27"/>
      <c r="L180" s="22"/>
    </row>
    <row r="181" customFormat="false" ht="16.5" hidden="false" customHeight="true" outlineLevel="0" collapsed="false">
      <c r="A181" s="24"/>
      <c r="B181" s="22"/>
      <c r="C181" s="21"/>
      <c r="D181" s="21"/>
      <c r="E181" s="23"/>
      <c r="F181" s="21"/>
      <c r="G181" s="23"/>
      <c r="H181" s="21"/>
      <c r="I181" s="26"/>
      <c r="J181" s="21"/>
      <c r="K181" s="27"/>
      <c r="L181" s="22"/>
    </row>
    <row r="182" customFormat="false" ht="16.5" hidden="false" customHeight="true" outlineLevel="0" collapsed="false">
      <c r="A182" s="24"/>
      <c r="B182" s="22"/>
      <c r="C182" s="21"/>
      <c r="D182" s="21"/>
      <c r="E182" s="23"/>
      <c r="F182" s="21"/>
      <c r="G182" s="23"/>
      <c r="H182" s="21"/>
      <c r="I182" s="26"/>
      <c r="J182" s="21"/>
      <c r="K182" s="27"/>
      <c r="L182" s="22"/>
    </row>
    <row r="183" customFormat="false" ht="16.5" hidden="false" customHeight="true" outlineLevel="0" collapsed="false">
      <c r="A183" s="24"/>
      <c r="B183" s="22"/>
      <c r="C183" s="21"/>
      <c r="D183" s="21"/>
      <c r="E183" s="23"/>
      <c r="F183" s="21"/>
      <c r="G183" s="23"/>
      <c r="H183" s="21"/>
      <c r="I183" s="26"/>
      <c r="J183" s="21"/>
      <c r="K183" s="27"/>
      <c r="L183" s="22"/>
    </row>
    <row r="184" customFormat="false" ht="16.5" hidden="false" customHeight="true" outlineLevel="0" collapsed="false">
      <c r="A184" s="24"/>
      <c r="B184" s="22"/>
      <c r="C184" s="21"/>
      <c r="D184" s="21"/>
      <c r="E184" s="23"/>
      <c r="F184" s="21"/>
      <c r="G184" s="23"/>
      <c r="H184" s="21"/>
      <c r="I184" s="26"/>
      <c r="J184" s="21"/>
      <c r="K184" s="27"/>
      <c r="L184" s="22"/>
    </row>
    <row r="185" customFormat="false" ht="16.5" hidden="false" customHeight="true" outlineLevel="0" collapsed="false">
      <c r="A185" s="24"/>
      <c r="B185" s="22"/>
      <c r="C185" s="21"/>
      <c r="D185" s="21"/>
      <c r="E185" s="23"/>
      <c r="F185" s="21"/>
      <c r="G185" s="23"/>
      <c r="H185" s="21"/>
      <c r="I185" s="26"/>
      <c r="J185" s="21"/>
      <c r="K185" s="27"/>
      <c r="L185" s="22"/>
    </row>
    <row r="186" customFormat="false" ht="16.5" hidden="false" customHeight="true" outlineLevel="0" collapsed="false">
      <c r="A186" s="24"/>
      <c r="B186" s="22"/>
      <c r="C186" s="21"/>
      <c r="D186" s="21"/>
      <c r="E186" s="23"/>
      <c r="F186" s="21"/>
      <c r="G186" s="23"/>
      <c r="H186" s="21"/>
      <c r="I186" s="26"/>
      <c r="J186" s="21"/>
      <c r="K186" s="27"/>
      <c r="L186" s="22"/>
    </row>
    <row r="187" customFormat="false" ht="16.5" hidden="false" customHeight="true" outlineLevel="0" collapsed="false">
      <c r="A187" s="24"/>
      <c r="B187" s="22"/>
      <c r="C187" s="21"/>
      <c r="D187" s="21"/>
      <c r="E187" s="23"/>
      <c r="F187" s="21"/>
      <c r="G187" s="23"/>
      <c r="H187" s="21"/>
      <c r="I187" s="26"/>
      <c r="J187" s="21"/>
      <c r="K187" s="27"/>
      <c r="L187" s="22"/>
    </row>
    <row r="188" customFormat="false" ht="16.5" hidden="false" customHeight="true" outlineLevel="0" collapsed="false">
      <c r="A188" s="24"/>
      <c r="B188" s="22"/>
      <c r="C188" s="21"/>
      <c r="D188" s="21"/>
      <c r="E188" s="23"/>
      <c r="F188" s="21"/>
      <c r="G188" s="23"/>
      <c r="H188" s="21"/>
      <c r="I188" s="26"/>
      <c r="J188" s="21"/>
      <c r="K188" s="27"/>
      <c r="L188" s="22"/>
    </row>
    <row r="189" customFormat="false" ht="16.5" hidden="false" customHeight="true" outlineLevel="0" collapsed="false">
      <c r="A189" s="24"/>
      <c r="B189" s="22"/>
      <c r="C189" s="21"/>
      <c r="D189" s="21"/>
      <c r="E189" s="23"/>
      <c r="F189" s="21"/>
      <c r="G189" s="23"/>
      <c r="H189" s="21"/>
      <c r="I189" s="26"/>
      <c r="J189" s="21"/>
      <c r="K189" s="27"/>
      <c r="L189" s="22"/>
    </row>
    <row r="190" customFormat="false" ht="16.5" hidden="false" customHeight="true" outlineLevel="0" collapsed="false">
      <c r="A190" s="24"/>
      <c r="B190" s="22"/>
      <c r="C190" s="21"/>
      <c r="D190" s="21"/>
      <c r="E190" s="23"/>
      <c r="F190" s="21"/>
      <c r="G190" s="23"/>
      <c r="H190" s="21"/>
      <c r="I190" s="26"/>
      <c r="J190" s="21"/>
      <c r="K190" s="27"/>
      <c r="L190" s="22"/>
    </row>
    <row r="191" customFormat="false" ht="16.5" hidden="false" customHeight="true" outlineLevel="0" collapsed="false">
      <c r="A191" s="24"/>
      <c r="B191" s="22"/>
      <c r="C191" s="21"/>
      <c r="D191" s="21"/>
      <c r="E191" s="23"/>
      <c r="F191" s="21"/>
      <c r="G191" s="23"/>
      <c r="H191" s="21"/>
      <c r="I191" s="26"/>
      <c r="J191" s="21"/>
      <c r="K191" s="27"/>
      <c r="L191" s="22"/>
    </row>
    <row r="192" customFormat="false" ht="16.5" hidden="false" customHeight="true" outlineLevel="0" collapsed="false">
      <c r="A192" s="24"/>
      <c r="B192" s="22"/>
      <c r="C192" s="21"/>
      <c r="D192" s="21"/>
      <c r="E192" s="23"/>
      <c r="F192" s="21"/>
      <c r="G192" s="23"/>
      <c r="H192" s="21"/>
      <c r="I192" s="26"/>
      <c r="J192" s="21"/>
      <c r="K192" s="27"/>
      <c r="L192" s="22"/>
    </row>
    <row r="193" customFormat="false" ht="16.5" hidden="false" customHeight="true" outlineLevel="0" collapsed="false">
      <c r="A193" s="24"/>
      <c r="B193" s="22"/>
      <c r="C193" s="21"/>
      <c r="D193" s="21"/>
      <c r="E193" s="23"/>
      <c r="F193" s="21"/>
      <c r="G193" s="23"/>
      <c r="H193" s="21"/>
      <c r="I193" s="26"/>
      <c r="J193" s="21"/>
      <c r="K193" s="27"/>
      <c r="L193" s="22"/>
    </row>
    <row r="194" customFormat="false" ht="16.5" hidden="false" customHeight="true" outlineLevel="0" collapsed="false">
      <c r="A194" s="24"/>
      <c r="B194" s="22"/>
      <c r="C194" s="21"/>
      <c r="D194" s="21"/>
      <c r="E194" s="23"/>
      <c r="F194" s="21"/>
      <c r="G194" s="23"/>
      <c r="H194" s="21"/>
      <c r="I194" s="26"/>
      <c r="J194" s="21"/>
      <c r="K194" s="27"/>
      <c r="L194" s="22"/>
    </row>
    <row r="195" customFormat="false" ht="16.5" hidden="false" customHeight="true" outlineLevel="0" collapsed="false">
      <c r="A195" s="24"/>
      <c r="B195" s="22"/>
      <c r="C195" s="21"/>
      <c r="D195" s="21"/>
      <c r="E195" s="23"/>
      <c r="F195" s="21"/>
      <c r="G195" s="23"/>
      <c r="H195" s="21"/>
      <c r="I195" s="26"/>
      <c r="J195" s="21"/>
      <c r="K195" s="27"/>
      <c r="L195" s="22"/>
    </row>
    <row r="196" customFormat="false" ht="16.5" hidden="false" customHeight="true" outlineLevel="0" collapsed="false">
      <c r="A196" s="24"/>
      <c r="B196" s="22"/>
      <c r="C196" s="21"/>
      <c r="D196" s="21"/>
      <c r="E196" s="23"/>
      <c r="F196" s="21"/>
      <c r="G196" s="23"/>
      <c r="H196" s="21"/>
      <c r="I196" s="26"/>
      <c r="J196" s="21"/>
      <c r="K196" s="27"/>
      <c r="L196" s="22"/>
    </row>
    <row r="197" customFormat="false" ht="16.5" hidden="false" customHeight="true" outlineLevel="0" collapsed="false">
      <c r="A197" s="24"/>
      <c r="B197" s="22"/>
      <c r="C197" s="21"/>
      <c r="D197" s="21"/>
      <c r="E197" s="23"/>
      <c r="F197" s="21"/>
      <c r="G197" s="23"/>
      <c r="H197" s="21"/>
      <c r="I197" s="26"/>
      <c r="J197" s="21"/>
      <c r="K197" s="27"/>
      <c r="L197" s="22"/>
    </row>
    <row r="198" customFormat="false" ht="16.5" hidden="false" customHeight="true" outlineLevel="0" collapsed="false">
      <c r="A198" s="24"/>
      <c r="B198" s="22"/>
      <c r="C198" s="21"/>
      <c r="D198" s="21"/>
      <c r="E198" s="23"/>
      <c r="F198" s="21"/>
      <c r="G198" s="23"/>
      <c r="H198" s="21"/>
      <c r="I198" s="26"/>
      <c r="J198" s="21"/>
      <c r="K198" s="27"/>
      <c r="L198" s="22"/>
    </row>
    <row r="199" customFormat="false" ht="16.5" hidden="false" customHeight="true" outlineLevel="0" collapsed="false">
      <c r="A199" s="24"/>
      <c r="B199" s="22"/>
      <c r="C199" s="21"/>
      <c r="D199" s="21"/>
      <c r="E199" s="23"/>
      <c r="F199" s="21"/>
      <c r="G199" s="23"/>
      <c r="H199" s="21"/>
      <c r="I199" s="26"/>
      <c r="J199" s="21"/>
      <c r="K199" s="27"/>
      <c r="L199" s="22"/>
    </row>
    <row r="200" customFormat="false" ht="16.5" hidden="false" customHeight="true" outlineLevel="0" collapsed="false">
      <c r="A200" s="24"/>
      <c r="B200" s="22"/>
      <c r="C200" s="21"/>
      <c r="D200" s="21"/>
      <c r="E200" s="23"/>
      <c r="F200" s="21"/>
      <c r="G200" s="23"/>
      <c r="H200" s="21"/>
      <c r="I200" s="26"/>
      <c r="J200" s="21"/>
      <c r="K200" s="27"/>
      <c r="L200" s="22"/>
    </row>
    <row r="201" customFormat="false" ht="16.5" hidden="false" customHeight="true" outlineLevel="0" collapsed="false">
      <c r="A201" s="24"/>
      <c r="B201" s="22"/>
      <c r="C201" s="21"/>
      <c r="D201" s="21"/>
      <c r="E201" s="23"/>
      <c r="F201" s="21"/>
      <c r="G201" s="23"/>
      <c r="H201" s="21"/>
      <c r="I201" s="26"/>
      <c r="J201" s="21"/>
      <c r="K201" s="27"/>
      <c r="L201" s="22"/>
    </row>
    <row r="202" customFormat="false" ht="16.5" hidden="false" customHeight="true" outlineLevel="0" collapsed="false">
      <c r="A202" s="24"/>
      <c r="B202" s="22"/>
      <c r="C202" s="21"/>
      <c r="D202" s="21"/>
      <c r="E202" s="23"/>
      <c r="F202" s="21"/>
      <c r="G202" s="23"/>
      <c r="H202" s="21"/>
      <c r="I202" s="26"/>
      <c r="J202" s="21"/>
      <c r="K202" s="27"/>
      <c r="L202" s="22"/>
    </row>
    <row r="203" customFormat="false" ht="16.5" hidden="false" customHeight="true" outlineLevel="0" collapsed="false">
      <c r="A203" s="24"/>
      <c r="B203" s="22"/>
      <c r="C203" s="21"/>
      <c r="D203" s="21"/>
      <c r="E203" s="23"/>
      <c r="F203" s="21"/>
      <c r="G203" s="23"/>
      <c r="H203" s="21"/>
      <c r="I203" s="26"/>
      <c r="J203" s="21"/>
      <c r="K203" s="27"/>
      <c r="L203" s="22"/>
    </row>
    <row r="204" customFormat="false" ht="16.5" hidden="false" customHeight="true" outlineLevel="0" collapsed="false">
      <c r="A204" s="24"/>
      <c r="B204" s="22"/>
      <c r="C204" s="21"/>
      <c r="D204" s="21"/>
      <c r="E204" s="23"/>
      <c r="F204" s="21"/>
      <c r="G204" s="23"/>
      <c r="H204" s="21"/>
      <c r="I204" s="26"/>
      <c r="J204" s="21"/>
      <c r="K204" s="27"/>
      <c r="L204" s="22"/>
    </row>
    <row r="205" customFormat="false" ht="16.5" hidden="false" customHeight="true" outlineLevel="0" collapsed="false">
      <c r="A205" s="24"/>
      <c r="B205" s="22"/>
      <c r="C205" s="21"/>
      <c r="D205" s="21"/>
      <c r="E205" s="23"/>
      <c r="F205" s="21"/>
      <c r="G205" s="23"/>
      <c r="H205" s="21"/>
      <c r="I205" s="26"/>
      <c r="J205" s="21"/>
      <c r="K205" s="27"/>
      <c r="L205" s="22"/>
    </row>
    <row r="206" customFormat="false" ht="16.5" hidden="false" customHeight="true" outlineLevel="0" collapsed="false">
      <c r="A206" s="24"/>
      <c r="B206" s="22"/>
      <c r="C206" s="21"/>
      <c r="D206" s="21"/>
      <c r="E206" s="23"/>
      <c r="F206" s="21"/>
      <c r="G206" s="23"/>
      <c r="H206" s="21"/>
      <c r="I206" s="26"/>
      <c r="J206" s="21"/>
      <c r="K206" s="27"/>
      <c r="L206" s="22"/>
    </row>
    <row r="207" customFormat="false" ht="16.5" hidden="false" customHeight="true" outlineLevel="0" collapsed="false">
      <c r="A207" s="24"/>
      <c r="B207" s="22"/>
      <c r="C207" s="21"/>
      <c r="D207" s="21"/>
      <c r="E207" s="23"/>
      <c r="F207" s="21"/>
      <c r="G207" s="23"/>
      <c r="H207" s="21"/>
      <c r="I207" s="26"/>
      <c r="J207" s="21"/>
      <c r="K207" s="27"/>
      <c r="L207" s="22"/>
    </row>
    <row r="208" customFormat="false" ht="16.5" hidden="false" customHeight="true" outlineLevel="0" collapsed="false">
      <c r="A208" s="24"/>
      <c r="B208" s="22"/>
      <c r="C208" s="21"/>
      <c r="D208" s="21"/>
      <c r="E208" s="23"/>
      <c r="F208" s="21"/>
      <c r="G208" s="23"/>
      <c r="H208" s="21"/>
      <c r="I208" s="26"/>
      <c r="J208" s="21"/>
      <c r="K208" s="27"/>
      <c r="L208" s="22"/>
    </row>
    <row r="209" customFormat="false" ht="16.5" hidden="false" customHeight="true" outlineLevel="0" collapsed="false">
      <c r="A209" s="24"/>
      <c r="B209" s="22"/>
      <c r="C209" s="21"/>
      <c r="D209" s="21"/>
      <c r="E209" s="23"/>
      <c r="F209" s="21"/>
      <c r="G209" s="23"/>
      <c r="H209" s="21"/>
      <c r="I209" s="26"/>
      <c r="J209" s="21"/>
      <c r="K209" s="27"/>
      <c r="L209" s="22"/>
    </row>
    <row r="210" customFormat="false" ht="16.5" hidden="false" customHeight="true" outlineLevel="0" collapsed="false">
      <c r="A210" s="24"/>
      <c r="B210" s="22"/>
      <c r="C210" s="21"/>
      <c r="D210" s="21"/>
      <c r="E210" s="23"/>
      <c r="F210" s="21"/>
      <c r="G210" s="23"/>
      <c r="H210" s="21"/>
      <c r="I210" s="26"/>
      <c r="J210" s="21"/>
      <c r="K210" s="27"/>
      <c r="L210" s="22"/>
    </row>
    <row r="211" customFormat="false" ht="16.5" hidden="false" customHeight="true" outlineLevel="0" collapsed="false">
      <c r="A211" s="24"/>
      <c r="B211" s="22"/>
      <c r="C211" s="21"/>
      <c r="D211" s="21"/>
      <c r="E211" s="23"/>
      <c r="F211" s="21"/>
      <c r="G211" s="23"/>
      <c r="H211" s="21"/>
      <c r="I211" s="26"/>
      <c r="J211" s="21"/>
      <c r="K211" s="27"/>
      <c r="L211" s="22"/>
    </row>
    <row r="212" customFormat="false" ht="16.5" hidden="false" customHeight="true" outlineLevel="0" collapsed="false">
      <c r="A212" s="24"/>
      <c r="B212" s="22"/>
      <c r="C212" s="21"/>
      <c r="D212" s="21"/>
      <c r="E212" s="23"/>
      <c r="F212" s="21"/>
      <c r="G212" s="23"/>
      <c r="H212" s="21"/>
      <c r="I212" s="26"/>
      <c r="J212" s="21"/>
      <c r="K212" s="27"/>
      <c r="L212" s="22"/>
    </row>
    <row r="213" customFormat="false" ht="16.5" hidden="false" customHeight="true" outlineLevel="0" collapsed="false">
      <c r="A213" s="24"/>
      <c r="B213" s="22"/>
      <c r="C213" s="21"/>
      <c r="D213" s="21"/>
      <c r="E213" s="23"/>
      <c r="F213" s="21"/>
      <c r="G213" s="23"/>
      <c r="H213" s="21"/>
      <c r="I213" s="26"/>
      <c r="J213" s="21"/>
      <c r="K213" s="27"/>
      <c r="L213" s="22"/>
    </row>
    <row r="214" customFormat="false" ht="16.5" hidden="false" customHeight="true" outlineLevel="0" collapsed="false">
      <c r="A214" s="24"/>
      <c r="B214" s="22"/>
      <c r="C214" s="21"/>
      <c r="D214" s="21"/>
      <c r="E214" s="23"/>
      <c r="F214" s="21"/>
      <c r="G214" s="23"/>
      <c r="H214" s="21"/>
      <c r="I214" s="26"/>
      <c r="J214" s="21"/>
      <c r="K214" s="27"/>
      <c r="L214" s="22"/>
    </row>
    <row r="215" customFormat="false" ht="16.5" hidden="false" customHeight="true" outlineLevel="0" collapsed="false">
      <c r="A215" s="24"/>
      <c r="B215" s="22"/>
      <c r="C215" s="21"/>
      <c r="D215" s="21"/>
      <c r="E215" s="23"/>
      <c r="F215" s="21"/>
      <c r="G215" s="23"/>
      <c r="H215" s="21"/>
      <c r="I215" s="26"/>
      <c r="J215" s="21"/>
      <c r="K215" s="27"/>
      <c r="L215" s="22"/>
    </row>
    <row r="216" customFormat="false" ht="16.5" hidden="false" customHeight="true" outlineLevel="0" collapsed="false">
      <c r="A216" s="24"/>
      <c r="B216" s="22"/>
      <c r="C216" s="21"/>
      <c r="D216" s="21"/>
      <c r="E216" s="23"/>
      <c r="F216" s="21"/>
      <c r="G216" s="23"/>
      <c r="H216" s="21"/>
      <c r="I216" s="26"/>
      <c r="J216" s="21"/>
      <c r="K216" s="27"/>
      <c r="L216" s="22"/>
    </row>
    <row r="217" customFormat="false" ht="16.5" hidden="false" customHeight="true" outlineLevel="0" collapsed="false">
      <c r="A217" s="24"/>
      <c r="B217" s="22"/>
      <c r="C217" s="21"/>
      <c r="D217" s="21"/>
      <c r="E217" s="23"/>
      <c r="F217" s="21"/>
      <c r="G217" s="23"/>
      <c r="H217" s="21"/>
      <c r="I217" s="26"/>
      <c r="J217" s="21"/>
      <c r="K217" s="27"/>
      <c r="L217" s="22"/>
    </row>
    <row r="218" customFormat="false" ht="16.5" hidden="false" customHeight="true" outlineLevel="0" collapsed="false">
      <c r="A218" s="24"/>
      <c r="B218" s="22"/>
      <c r="C218" s="21"/>
      <c r="D218" s="21"/>
      <c r="E218" s="23"/>
      <c r="F218" s="21"/>
      <c r="G218" s="23"/>
      <c r="H218" s="21"/>
      <c r="I218" s="26"/>
      <c r="J218" s="21"/>
      <c r="K218" s="27"/>
      <c r="L218" s="22"/>
    </row>
    <row r="219" customFormat="false" ht="16.5" hidden="false" customHeight="true" outlineLevel="0" collapsed="false">
      <c r="A219" s="24"/>
      <c r="B219" s="22"/>
      <c r="C219" s="21"/>
      <c r="D219" s="21"/>
      <c r="E219" s="23"/>
      <c r="F219" s="21"/>
      <c r="G219" s="23"/>
      <c r="H219" s="21"/>
      <c r="I219" s="26"/>
      <c r="J219" s="21"/>
      <c r="K219" s="27"/>
      <c r="L219" s="22"/>
    </row>
    <row r="220" customFormat="false" ht="16.5" hidden="false" customHeight="true" outlineLevel="0" collapsed="false">
      <c r="A220" s="24"/>
      <c r="B220" s="22"/>
      <c r="C220" s="21"/>
      <c r="D220" s="21"/>
      <c r="E220" s="23"/>
      <c r="F220" s="21"/>
      <c r="G220" s="23"/>
      <c r="H220" s="21"/>
      <c r="I220" s="26"/>
      <c r="J220" s="21"/>
      <c r="K220" s="27"/>
      <c r="L220" s="22"/>
    </row>
    <row r="221" customFormat="false" ht="16.5" hidden="false" customHeight="true" outlineLevel="0" collapsed="false">
      <c r="A221" s="24"/>
      <c r="B221" s="22"/>
      <c r="C221" s="21"/>
      <c r="D221" s="21"/>
      <c r="E221" s="23"/>
      <c r="F221" s="21"/>
      <c r="G221" s="23"/>
      <c r="H221" s="21"/>
      <c r="I221" s="26"/>
      <c r="J221" s="21"/>
      <c r="K221" s="27"/>
      <c r="L221" s="22"/>
    </row>
    <row r="222" customFormat="false" ht="16.5" hidden="false" customHeight="true" outlineLevel="0" collapsed="false">
      <c r="A222" s="24"/>
      <c r="B222" s="22"/>
      <c r="C222" s="21"/>
      <c r="D222" s="21"/>
      <c r="E222" s="23"/>
      <c r="F222" s="21"/>
      <c r="G222" s="23"/>
      <c r="H222" s="21"/>
      <c r="I222" s="26"/>
      <c r="J222" s="21"/>
      <c r="K222" s="27"/>
      <c r="L222" s="22"/>
    </row>
    <row r="223" customFormat="false" ht="16.5" hidden="false" customHeight="true" outlineLevel="0" collapsed="false">
      <c r="A223" s="24"/>
      <c r="B223" s="22"/>
      <c r="C223" s="21"/>
      <c r="D223" s="21"/>
      <c r="E223" s="23"/>
      <c r="F223" s="21"/>
      <c r="G223" s="23"/>
      <c r="H223" s="21"/>
      <c r="I223" s="26"/>
      <c r="J223" s="21"/>
      <c r="K223" s="27"/>
      <c r="L223" s="22"/>
    </row>
    <row r="224" customFormat="false" ht="16.5" hidden="false" customHeight="true" outlineLevel="0" collapsed="false">
      <c r="A224" s="24"/>
      <c r="B224" s="22"/>
      <c r="C224" s="21"/>
      <c r="D224" s="21"/>
      <c r="E224" s="23"/>
      <c r="F224" s="21"/>
      <c r="G224" s="23"/>
      <c r="H224" s="21"/>
      <c r="I224" s="26"/>
      <c r="J224" s="21"/>
      <c r="K224" s="27"/>
      <c r="L224" s="22"/>
    </row>
    <row r="225" customFormat="false" ht="16.5" hidden="false" customHeight="true" outlineLevel="0" collapsed="false">
      <c r="A225" s="24"/>
      <c r="B225" s="22"/>
      <c r="C225" s="21"/>
      <c r="D225" s="21"/>
      <c r="E225" s="23"/>
      <c r="F225" s="21"/>
      <c r="G225" s="23"/>
      <c r="H225" s="21"/>
      <c r="I225" s="26"/>
      <c r="J225" s="21"/>
      <c r="K225" s="27"/>
      <c r="L225" s="22"/>
    </row>
    <row r="226" customFormat="false" ht="16.5" hidden="false" customHeight="true" outlineLevel="0" collapsed="false">
      <c r="A226" s="24"/>
      <c r="B226" s="22"/>
      <c r="C226" s="21"/>
      <c r="D226" s="21"/>
      <c r="E226" s="23"/>
      <c r="F226" s="21"/>
      <c r="G226" s="23"/>
      <c r="H226" s="21"/>
      <c r="I226" s="26"/>
      <c r="J226" s="21"/>
      <c r="K226" s="27"/>
      <c r="L226" s="22"/>
    </row>
    <row r="227" customFormat="false" ht="16.5" hidden="false" customHeight="true" outlineLevel="0" collapsed="false">
      <c r="A227" s="24"/>
      <c r="B227" s="22"/>
      <c r="C227" s="21"/>
      <c r="D227" s="21"/>
      <c r="E227" s="23"/>
      <c r="F227" s="21"/>
      <c r="G227" s="23"/>
      <c r="H227" s="21"/>
      <c r="I227" s="26"/>
      <c r="J227" s="21"/>
      <c r="K227" s="27"/>
      <c r="L227" s="22"/>
    </row>
    <row r="228" customFormat="false" ht="16.5" hidden="false" customHeight="true" outlineLevel="0" collapsed="false">
      <c r="A228" s="24"/>
      <c r="B228" s="22"/>
      <c r="C228" s="21"/>
      <c r="D228" s="21"/>
      <c r="E228" s="23"/>
      <c r="F228" s="21"/>
      <c r="G228" s="23"/>
      <c r="H228" s="21"/>
      <c r="I228" s="26"/>
      <c r="J228" s="21"/>
      <c r="K228" s="27"/>
      <c r="L228" s="22"/>
    </row>
    <row r="229" customFormat="false" ht="16.5" hidden="false" customHeight="true" outlineLevel="0" collapsed="false">
      <c r="A229" s="24"/>
      <c r="B229" s="22"/>
      <c r="C229" s="21"/>
      <c r="D229" s="21"/>
      <c r="E229" s="23"/>
      <c r="F229" s="21"/>
      <c r="G229" s="23"/>
      <c r="H229" s="21"/>
      <c r="I229" s="26"/>
      <c r="J229" s="21"/>
      <c r="K229" s="27"/>
      <c r="L229" s="22"/>
    </row>
    <row r="230" customFormat="false" ht="16.5" hidden="false" customHeight="true" outlineLevel="0" collapsed="false">
      <c r="A230" s="24"/>
      <c r="B230" s="22"/>
      <c r="C230" s="21"/>
      <c r="D230" s="21"/>
      <c r="E230" s="23"/>
      <c r="F230" s="21"/>
      <c r="G230" s="23"/>
      <c r="H230" s="21"/>
      <c r="I230" s="26"/>
      <c r="J230" s="21"/>
      <c r="K230" s="27"/>
      <c r="L230" s="22"/>
    </row>
    <row r="231" customFormat="false" ht="16.5" hidden="false" customHeight="true" outlineLevel="0" collapsed="false">
      <c r="A231" s="24"/>
      <c r="B231" s="22"/>
      <c r="C231" s="21"/>
      <c r="D231" s="21"/>
      <c r="E231" s="23"/>
      <c r="F231" s="21"/>
      <c r="G231" s="23"/>
      <c r="H231" s="21"/>
      <c r="I231" s="26"/>
      <c r="J231" s="21"/>
      <c r="K231" s="27"/>
      <c r="L231" s="22"/>
    </row>
    <row r="232" customFormat="false" ht="16.5" hidden="false" customHeight="true" outlineLevel="0" collapsed="false">
      <c r="A232" s="24"/>
      <c r="B232" s="22"/>
      <c r="C232" s="21"/>
      <c r="D232" s="21"/>
      <c r="E232" s="23"/>
      <c r="F232" s="21"/>
      <c r="G232" s="23"/>
      <c r="H232" s="21"/>
      <c r="I232" s="26"/>
      <c r="J232" s="21"/>
      <c r="K232" s="27"/>
      <c r="L232" s="22"/>
    </row>
    <row r="233" customFormat="false" ht="16.5" hidden="false" customHeight="true" outlineLevel="0" collapsed="false">
      <c r="A233" s="24"/>
      <c r="B233" s="22"/>
      <c r="C233" s="21"/>
      <c r="D233" s="21"/>
      <c r="E233" s="23"/>
      <c r="F233" s="21"/>
      <c r="G233" s="23"/>
      <c r="H233" s="21"/>
      <c r="I233" s="26"/>
      <c r="J233" s="21"/>
      <c r="K233" s="27"/>
      <c r="L233" s="22"/>
    </row>
    <row r="234" customFormat="false" ht="16.5" hidden="false" customHeight="true" outlineLevel="0" collapsed="false">
      <c r="A234" s="24"/>
      <c r="B234" s="22"/>
      <c r="C234" s="21"/>
      <c r="D234" s="21"/>
      <c r="E234" s="23"/>
      <c r="F234" s="21"/>
      <c r="G234" s="23"/>
      <c r="H234" s="21"/>
      <c r="I234" s="26"/>
      <c r="J234" s="21"/>
      <c r="K234" s="27"/>
      <c r="L234" s="22"/>
    </row>
    <row r="235" customFormat="false" ht="16.5" hidden="false" customHeight="true" outlineLevel="0" collapsed="false">
      <c r="A235" s="24"/>
      <c r="B235" s="22"/>
      <c r="C235" s="21"/>
      <c r="D235" s="21"/>
      <c r="E235" s="23"/>
      <c r="F235" s="21"/>
      <c r="G235" s="23"/>
      <c r="H235" s="21"/>
      <c r="I235" s="26"/>
      <c r="J235" s="21"/>
      <c r="K235" s="27"/>
      <c r="L235" s="22"/>
    </row>
    <row r="236" customFormat="false" ht="16.5" hidden="false" customHeight="true" outlineLevel="0" collapsed="false">
      <c r="A236" s="24"/>
      <c r="B236" s="22"/>
      <c r="C236" s="21"/>
      <c r="D236" s="21"/>
      <c r="E236" s="23"/>
      <c r="F236" s="21"/>
      <c r="G236" s="23"/>
      <c r="H236" s="21"/>
      <c r="I236" s="26"/>
      <c r="J236" s="21"/>
      <c r="K236" s="27"/>
      <c r="L236" s="22"/>
    </row>
    <row r="237" customFormat="false" ht="16.5" hidden="false" customHeight="true" outlineLevel="0" collapsed="false">
      <c r="A237" s="24"/>
      <c r="B237" s="22"/>
      <c r="C237" s="21"/>
      <c r="D237" s="21"/>
      <c r="E237" s="23"/>
      <c r="F237" s="21"/>
      <c r="G237" s="23"/>
      <c r="H237" s="21"/>
      <c r="I237" s="26"/>
      <c r="J237" s="21"/>
      <c r="K237" s="27"/>
      <c r="L237" s="22"/>
    </row>
    <row r="238" customFormat="false" ht="16.5" hidden="false" customHeight="true" outlineLevel="0" collapsed="false">
      <c r="A238" s="24"/>
      <c r="B238" s="22"/>
      <c r="C238" s="21"/>
      <c r="D238" s="21"/>
      <c r="E238" s="23"/>
      <c r="F238" s="21"/>
      <c r="G238" s="23"/>
      <c r="H238" s="21"/>
      <c r="I238" s="26"/>
      <c r="J238" s="21"/>
      <c r="K238" s="27"/>
      <c r="L238" s="22"/>
    </row>
    <row r="239" customFormat="false" ht="16.5" hidden="false" customHeight="true" outlineLevel="0" collapsed="false">
      <c r="A239" s="24"/>
      <c r="B239" s="22"/>
      <c r="C239" s="21"/>
      <c r="D239" s="21"/>
      <c r="E239" s="23"/>
      <c r="F239" s="21"/>
      <c r="G239" s="23"/>
      <c r="H239" s="21"/>
      <c r="I239" s="26"/>
      <c r="J239" s="21"/>
      <c r="K239" s="27"/>
      <c r="L239" s="22"/>
    </row>
    <row r="240" customFormat="false" ht="16.5" hidden="false" customHeight="true" outlineLevel="0" collapsed="false">
      <c r="A240" s="24"/>
      <c r="B240" s="22"/>
      <c r="C240" s="21"/>
      <c r="D240" s="21"/>
      <c r="E240" s="23"/>
      <c r="F240" s="21"/>
      <c r="G240" s="23"/>
      <c r="H240" s="21"/>
      <c r="I240" s="26"/>
      <c r="J240" s="21"/>
      <c r="K240" s="27"/>
      <c r="L240" s="22"/>
    </row>
    <row r="241" customFormat="false" ht="16.5" hidden="false" customHeight="true" outlineLevel="0" collapsed="false">
      <c r="A241" s="24"/>
      <c r="B241" s="22"/>
      <c r="C241" s="21"/>
      <c r="D241" s="21"/>
      <c r="E241" s="23"/>
      <c r="F241" s="21"/>
      <c r="G241" s="23"/>
      <c r="H241" s="21"/>
      <c r="I241" s="26"/>
      <c r="J241" s="21"/>
      <c r="K241" s="27"/>
      <c r="L241" s="22"/>
    </row>
    <row r="242" customFormat="false" ht="16.5" hidden="false" customHeight="true" outlineLevel="0" collapsed="false">
      <c r="A242" s="24"/>
      <c r="B242" s="22"/>
      <c r="C242" s="21"/>
      <c r="D242" s="21"/>
      <c r="E242" s="23"/>
      <c r="F242" s="21"/>
      <c r="G242" s="23"/>
      <c r="H242" s="21"/>
      <c r="I242" s="26"/>
      <c r="J242" s="21"/>
      <c r="K242" s="27"/>
      <c r="L242" s="22"/>
    </row>
    <row r="243" customFormat="false" ht="16.5" hidden="false" customHeight="true" outlineLevel="0" collapsed="false">
      <c r="A243" s="24"/>
      <c r="B243" s="22"/>
      <c r="C243" s="21"/>
      <c r="D243" s="21"/>
      <c r="E243" s="23"/>
      <c r="F243" s="21"/>
      <c r="G243" s="23"/>
      <c r="H243" s="21"/>
      <c r="I243" s="26"/>
      <c r="J243" s="21"/>
      <c r="K243" s="27"/>
      <c r="L243" s="22"/>
    </row>
    <row r="244" customFormat="false" ht="16.5" hidden="false" customHeight="true" outlineLevel="0" collapsed="false">
      <c r="A244" s="24"/>
      <c r="B244" s="22"/>
      <c r="C244" s="21"/>
      <c r="D244" s="21"/>
      <c r="E244" s="23"/>
      <c r="F244" s="21"/>
      <c r="G244" s="23"/>
      <c r="H244" s="21"/>
      <c r="I244" s="26"/>
      <c r="J244" s="21"/>
      <c r="K244" s="27"/>
      <c r="L244" s="22"/>
    </row>
    <row r="245" customFormat="false" ht="16.5" hidden="false" customHeight="true" outlineLevel="0" collapsed="false">
      <c r="A245" s="24"/>
      <c r="B245" s="22"/>
      <c r="C245" s="21"/>
      <c r="D245" s="21"/>
      <c r="E245" s="23"/>
      <c r="F245" s="21"/>
      <c r="G245" s="23"/>
      <c r="H245" s="21"/>
      <c r="I245" s="26"/>
      <c r="J245" s="21"/>
      <c r="K245" s="27"/>
      <c r="L245" s="22"/>
    </row>
    <row r="246" customFormat="false" ht="16.5" hidden="false" customHeight="true" outlineLevel="0" collapsed="false">
      <c r="A246" s="24"/>
      <c r="B246" s="22"/>
      <c r="C246" s="21"/>
      <c r="D246" s="21"/>
      <c r="E246" s="23"/>
      <c r="F246" s="21"/>
      <c r="G246" s="23"/>
      <c r="H246" s="21"/>
      <c r="I246" s="26"/>
      <c r="J246" s="21"/>
      <c r="K246" s="27"/>
      <c r="L246" s="22"/>
    </row>
    <row r="247" customFormat="false" ht="16.5" hidden="false" customHeight="true" outlineLevel="0" collapsed="false">
      <c r="A247" s="24"/>
      <c r="B247" s="22"/>
      <c r="C247" s="21"/>
      <c r="D247" s="21"/>
      <c r="E247" s="23"/>
      <c r="F247" s="21"/>
      <c r="G247" s="23"/>
      <c r="H247" s="21"/>
      <c r="I247" s="26"/>
      <c r="J247" s="21"/>
      <c r="K247" s="27"/>
      <c r="L247" s="22"/>
    </row>
    <row r="248" customFormat="false" ht="16.5" hidden="false" customHeight="true" outlineLevel="0" collapsed="false">
      <c r="A248" s="24"/>
      <c r="B248" s="22"/>
      <c r="C248" s="21"/>
      <c r="D248" s="21"/>
      <c r="E248" s="23"/>
      <c r="F248" s="21"/>
      <c r="G248" s="23"/>
      <c r="H248" s="21"/>
      <c r="I248" s="26"/>
      <c r="J248" s="21"/>
      <c r="K248" s="27"/>
      <c r="L248" s="22"/>
    </row>
    <row r="249" customFormat="false" ht="16.5" hidden="false" customHeight="true" outlineLevel="0" collapsed="false">
      <c r="A249" s="24"/>
      <c r="B249" s="22"/>
      <c r="C249" s="21"/>
      <c r="D249" s="21"/>
      <c r="E249" s="23"/>
      <c r="F249" s="21"/>
      <c r="G249" s="23"/>
      <c r="H249" s="21"/>
      <c r="I249" s="26"/>
      <c r="J249" s="21"/>
      <c r="K249" s="27"/>
      <c r="L249" s="22"/>
    </row>
    <row r="250" customFormat="false" ht="16.5" hidden="false" customHeight="true" outlineLevel="0" collapsed="false">
      <c r="A250" s="24"/>
      <c r="B250" s="22"/>
      <c r="C250" s="21"/>
      <c r="D250" s="21"/>
      <c r="E250" s="23"/>
      <c r="F250" s="21"/>
      <c r="G250" s="23"/>
      <c r="H250" s="21"/>
      <c r="I250" s="26"/>
      <c r="J250" s="21"/>
      <c r="K250" s="27"/>
      <c r="L250" s="22"/>
    </row>
    <row r="251" customFormat="false" ht="16.5" hidden="false" customHeight="true" outlineLevel="0" collapsed="false">
      <c r="A251" s="24"/>
      <c r="B251" s="22"/>
      <c r="C251" s="21"/>
      <c r="D251" s="21"/>
      <c r="E251" s="23"/>
      <c r="F251" s="21"/>
      <c r="G251" s="23"/>
      <c r="H251" s="21"/>
      <c r="I251" s="26"/>
      <c r="J251" s="21"/>
      <c r="K251" s="27"/>
      <c r="L251" s="22"/>
    </row>
    <row r="252" customFormat="false" ht="16.5" hidden="false" customHeight="true" outlineLevel="0" collapsed="false">
      <c r="A252" s="24"/>
      <c r="B252" s="22"/>
      <c r="C252" s="21"/>
      <c r="D252" s="21"/>
      <c r="E252" s="23"/>
      <c r="F252" s="21"/>
      <c r="G252" s="23"/>
      <c r="H252" s="21"/>
      <c r="I252" s="26"/>
      <c r="J252" s="21"/>
      <c r="K252" s="27"/>
      <c r="L252" s="22"/>
    </row>
    <row r="253" customFormat="false" ht="16.5" hidden="false" customHeight="true" outlineLevel="0" collapsed="false">
      <c r="A253" s="24"/>
      <c r="B253" s="22"/>
      <c r="C253" s="21"/>
      <c r="D253" s="21"/>
      <c r="E253" s="23"/>
      <c r="F253" s="21"/>
      <c r="G253" s="23"/>
      <c r="H253" s="21"/>
      <c r="I253" s="26"/>
      <c r="J253" s="21"/>
      <c r="K253" s="27"/>
      <c r="L253" s="22"/>
    </row>
    <row r="254" customFormat="false" ht="16.5" hidden="false" customHeight="true" outlineLevel="0" collapsed="false">
      <c r="A254" s="24"/>
      <c r="B254" s="22"/>
      <c r="C254" s="21"/>
      <c r="D254" s="21"/>
      <c r="E254" s="23"/>
      <c r="F254" s="21"/>
      <c r="G254" s="23"/>
      <c r="H254" s="21"/>
      <c r="I254" s="26"/>
      <c r="J254" s="21"/>
      <c r="K254" s="27"/>
      <c r="L254" s="22"/>
    </row>
    <row r="255" customFormat="false" ht="16.5" hidden="false" customHeight="true" outlineLevel="0" collapsed="false">
      <c r="A255" s="24"/>
      <c r="B255" s="22"/>
      <c r="C255" s="21"/>
      <c r="D255" s="21"/>
      <c r="E255" s="23"/>
      <c r="F255" s="21"/>
      <c r="G255" s="23"/>
      <c r="H255" s="21"/>
      <c r="I255" s="26"/>
      <c r="J255" s="21"/>
      <c r="K255" s="27"/>
      <c r="L255" s="22"/>
    </row>
  </sheetData>
  <mergeCells count="2">
    <mergeCell ref="A1:L1"/>
    <mergeCell ref="A2:L2"/>
  </mergeCells>
  <dataValidations count="6">
    <dataValidation allowBlank="true" error="必须选择下拉中已维护的值，手工输入会导致取数错位" errorStyle="stop" errorTitle="请从下拉中选择" operator="between" showDropDown="false" showErrorMessage="true" showInputMessage="false" sqref="A6:A255" type="list">
      <formula1>单位档案!$A$6:$A$35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C6:C255" type="list">
      <formula1>单位档案!$A$6:$A$35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D6:D255" type="list">
      <formula1>单位档案!$A$6:$A$35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F6:F255" type="list">
      <formula1>单位档案!$A$6:$A$35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H6:H255" type="list">
      <formula1>单位档案!$A$6:$A$35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J6:J255" type="list">
      <formula1>"在建,已完工,已结清,暂停"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A1:Z15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10"/>
    <col collapsed="false" customWidth="true" hidden="false" outlineLevel="0" max="6" min="4" style="0" width="12"/>
    <col collapsed="false" customWidth="true" hidden="false" outlineLevel="0" max="7" min="7" style="0" width="11"/>
    <col collapsed="false" customWidth="true" hidden="false" outlineLevel="0" max="8" min="8" style="0" width="14"/>
    <col collapsed="false" customWidth="true" hidden="false" outlineLevel="0" max="9" min="9" style="0" width="9"/>
    <col collapsed="false" customWidth="true" hidden="false" outlineLevel="0" max="10" min="10" style="0" width="34"/>
    <col collapsed="false" customWidth="true" hidden="false" outlineLevel="0" max="11" min="11" style="0" width="16"/>
    <col collapsed="false" customWidth="true" hidden="false" outlineLevel="0" max="12" min="12" style="0" width="15"/>
    <col collapsed="false" customWidth="true" hidden="false" outlineLevel="0" max="13" min="13" style="0" width="38"/>
    <col collapsed="false" customWidth="true" hidden="false" outlineLevel="0" max="14" min="14" style="0" width="8"/>
    <col collapsed="false" customWidth="true" hidden="false" outlineLevel="0" max="15" min="15" style="0" width="12"/>
    <col collapsed="false" customWidth="true" hidden="false" outlineLevel="0" max="16" min="16" style="0" width="14"/>
    <col collapsed="false" customWidth="true" hidden="false" outlineLevel="0" max="18" min="17" style="0" width="8"/>
    <col collapsed="false" customWidth="true" hidden="false" outlineLevel="0" max="19" min="19" style="0" width="13"/>
    <col collapsed="false" customWidth="true" hidden="false" outlineLevel="0" max="22" min="20" style="0" width="12"/>
    <col collapsed="false" customWidth="true" hidden="false" outlineLevel="0" max="23" min="23" style="0" width="13"/>
    <col collapsed="false" customWidth="true" hidden="false" outlineLevel="0" max="24" min="24" style="0" width="9"/>
    <col collapsed="false" customWidth="true" hidden="false" outlineLevel="0" max="25" min="25" style="0" width="13"/>
    <col collapsed="false" customWidth="true" hidden="false" outlineLevel="0" max="26" min="26" style="0" width="10"/>
  </cols>
  <sheetData>
    <row r="1" customFormat="false" ht="25.5" hidden="false" customHeight="true" outlineLevel="0" collapsed="false">
      <c r="A1" s="17" t="s">
        <v>281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</row>
    <row r="2" customFormat="false" ht="15" hidden="false" customHeight="true" outlineLevel="0" collapsed="false">
      <c r="A2" s="19" t="s">
        <v>282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</row>
    <row r="3" customFormat="false" ht="15" hidden="false" customHeight="true" outlineLevel="0" collapsed="false">
      <c r="A3" s="28" t="s">
        <v>283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9" t="s">
        <v>284</v>
      </c>
      <c r="N3" s="29"/>
      <c r="O3" s="29"/>
      <c r="P3" s="29"/>
      <c r="Q3" s="29"/>
      <c r="R3" s="29"/>
      <c r="S3" s="29"/>
      <c r="T3" s="29"/>
      <c r="U3" s="29"/>
      <c r="V3" s="29"/>
      <c r="W3" s="29"/>
    </row>
    <row r="4" customFormat="false" ht="30" hidden="false" customHeight="true" outlineLevel="0" collapsed="false">
      <c r="A4" s="20" t="s">
        <v>285</v>
      </c>
      <c r="B4" s="20" t="s">
        <v>286</v>
      </c>
      <c r="C4" s="20" t="s">
        <v>72</v>
      </c>
      <c r="D4" s="20" t="s">
        <v>287</v>
      </c>
      <c r="E4" s="20" t="s">
        <v>288</v>
      </c>
      <c r="F4" s="20" t="s">
        <v>289</v>
      </c>
      <c r="G4" s="20" t="s">
        <v>290</v>
      </c>
      <c r="H4" s="20" t="s">
        <v>291</v>
      </c>
      <c r="I4" s="20" t="s">
        <v>46</v>
      </c>
      <c r="J4" s="20" t="s">
        <v>292</v>
      </c>
      <c r="K4" s="20" t="s">
        <v>96</v>
      </c>
      <c r="L4" s="20" t="s">
        <v>293</v>
      </c>
      <c r="M4" s="30" t="s">
        <v>140</v>
      </c>
      <c r="N4" s="30" t="s">
        <v>294</v>
      </c>
      <c r="O4" s="30" t="s">
        <v>295</v>
      </c>
      <c r="P4" s="30" t="s">
        <v>296</v>
      </c>
      <c r="Q4" s="30" t="s">
        <v>297</v>
      </c>
      <c r="R4" s="30" t="s">
        <v>298</v>
      </c>
      <c r="S4" s="30" t="s">
        <v>299</v>
      </c>
      <c r="T4" s="30" t="s">
        <v>300</v>
      </c>
      <c r="U4" s="30" t="s">
        <v>301</v>
      </c>
      <c r="V4" s="30" t="s">
        <v>302</v>
      </c>
      <c r="W4" s="30" t="s">
        <v>303</v>
      </c>
      <c r="X4" s="30" t="s">
        <v>304</v>
      </c>
      <c r="Y4" s="30" t="s">
        <v>305</v>
      </c>
      <c r="Z4" s="31" t="s">
        <v>306</v>
      </c>
    </row>
    <row r="5" customFormat="false" ht="15.75" hidden="false" customHeight="true" outlineLevel="0" collapsed="false">
      <c r="A5" s="32" t="n">
        <f aca="false">IF($B5="","",ROW()-4)</f>
        <v>1</v>
      </c>
      <c r="B5" s="26" t="n">
        <v>45988</v>
      </c>
      <c r="C5" s="24" t="s">
        <v>147</v>
      </c>
      <c r="D5" s="21" t="s">
        <v>307</v>
      </c>
      <c r="E5" s="21" t="s">
        <v>125</v>
      </c>
      <c r="F5" s="21" t="s">
        <v>106</v>
      </c>
      <c r="G5" s="24" t="s">
        <v>308</v>
      </c>
      <c r="H5" s="27" t="n">
        <v>122305.72</v>
      </c>
      <c r="I5" s="23" t="n">
        <v>0.1</v>
      </c>
      <c r="J5" s="25" t="s">
        <v>309</v>
      </c>
      <c r="K5" s="22" t="s">
        <v>310</v>
      </c>
      <c r="L5" s="33" t="str">
        <f aca="false">IF($B5="","",IF(NOT(ISNUMBER($B5)),"日期格式不对",IF($C5="","未选项目编号",IF(LEFT($M5,1)="⚠","项目编号不存在",IF($D5="","未选业务类型",IF($E5="","未选开票/付款方",IF(ISNA(MATCH($E5,单位档案!$A$6:$A$35,0)),"开票方不在单位档案",IF($F5="","未选收票/收款方",IF(ISNA(MATCH($F5,单位档案!$A$6:$A$35,0)),"收款方不在单位档案",IF(NOT(ISNUMBER($H5)),"金额须为数字",IF(AND($D5="销项开票",$N5="—"),"链条待确认","√")))))))))))</f>
        <v>√</v>
      </c>
      <c r="M5" s="34" t="str">
        <f aca="false">IF($C5="","",IFERROR(INDEX(项目档案!$B$6:$B$255,MATCH($C5,项目档案!$A$6:$A$255,0)),"⚠项目编号不存在"))</f>
        <v>2025-2026年度工程用施工机具等租赁服务（重庆铜梁10kV大太线老旧线路改造工程）</v>
      </c>
      <c r="N5" s="35" t="str">
        <f aca="false">IF($E5="","",IF($E5=IFERROR(INDEX(项目档案!$D$6:$D$255,MATCH($C5,项目档案!$A$6:$A$255,0)),""),"一级",IF($E5=IFERROR(INDEX(项目档案!$F$6:$F$255,MATCH($C5,项目档案!$A$6:$A$255,0)),""),"二级",IF($E5=IFERROR(INDEX(项目档案!$H$6:$H$255,MATCH($C5,项目档案!$A$6:$A$255,0)),""),"我方","—"))))</f>
        <v>二级</v>
      </c>
      <c r="O5" s="36" t="n">
        <f aca="false">IF($D5&lt;&gt;"销项开票",0,ROUND(N($H5)*N($I5),2))</f>
        <v>12230.57</v>
      </c>
      <c r="P5" s="36" t="n">
        <f aca="false">IF($D5&lt;&gt;"销项开票",0,ROUND(N($H5)-$O5,2))</f>
        <v>110075.15</v>
      </c>
      <c r="Q5" s="37" t="n">
        <f aca="false">IF($E5="","",N(IFERROR(INDEX(单位档案!$E$6:$E$35,MATCH($E5,单位档案!$A$6:$A$35,0)),"")))</f>
        <v>0.13</v>
      </c>
      <c r="R5" s="37" t="n">
        <f aca="false">IF($E5="","",N(IFERROR(INDEX(单位档案!$F$6:$F$35,MATCH($E5,单位档案!$A$6:$A$35,0)),"")))</f>
        <v>0.13</v>
      </c>
      <c r="S5" s="36" t="n">
        <f aca="false">IF(OR($D5&lt;&gt;"销项开票",IFERROR(INDEX(单位档案!$G$6:$G$35,MATCH($E5,单位档案!$A$6:$A$35,0)),"")&lt;&gt;"是",N($Q5)=0),0,IF(IFERROR(INDEX(单位档案!$H$6:$H$35,MATCH($E5,单位档案!$A$6:$A$35,0)),"")="税差法",ROUND(N($H5)/(1+$Q5)*$Q5-IF(N($R5)=0,0,$P5/(1+$R5)*$R5),2),ROUND(N($H5)/(1+$Q5)*$Q5,2)))</f>
        <v>14070.57</v>
      </c>
      <c r="T5" s="36" t="n">
        <f aca="false">ROUND($S5*N(IFERROR(INDEX(单位档案!$J$6:$J$35,MATCH($E5,单位档案!$A$6:$A$35,0)),"")),2)</f>
        <v>1688.47</v>
      </c>
      <c r="U5" s="36" t="n">
        <f aca="false">IF($D5&lt;&gt;"销项开票",0,ROUND(N($H5)*N(IFERROR(INDEX(单位档案!$K$6:$K$35,MATCH($E5,单位档案!$A$6:$A$35,0)),"")),2))</f>
        <v>0</v>
      </c>
      <c r="V5" s="36" t="n">
        <f aca="false">IF(OR($D5&lt;&gt;"销项开票",N($Q5)=0),0,ROUND(N($H5)/(1+$Q5)*N(IFERROR(INDEX(单位档案!$L$6:$L$35,MATCH($E5,单位档案!$A$6:$A$35,0)),"")),2))</f>
        <v>0</v>
      </c>
      <c r="W5" s="36" t="n">
        <f aca="false">ROUND($S5+$T5+$U5+$V5,2)</f>
        <v>15759.04</v>
      </c>
      <c r="X5" s="35" t="str">
        <f aca="false">IF(OR($D5="挂靠代收",$D5="我方收款"),COUNTIFS($D$5:$D5,"挂靠代收")+COUNTIFS($D$5:$D5,"我方收款"),"")</f>
        <v/>
      </c>
      <c r="Y5" s="35" t="s">
        <v>311</v>
      </c>
      <c r="Z5" s="21" t="s">
        <v>100</v>
      </c>
    </row>
    <row r="6" customFormat="false" ht="15.75" hidden="false" customHeight="true" outlineLevel="0" collapsed="false">
      <c r="A6" s="32" t="n">
        <f aca="false">IF($B6="","",ROW()-4)</f>
        <v>2</v>
      </c>
      <c r="B6" s="26" t="n">
        <v>45988</v>
      </c>
      <c r="C6" s="24" t="s">
        <v>147</v>
      </c>
      <c r="D6" s="21" t="s">
        <v>307</v>
      </c>
      <c r="E6" s="21" t="s">
        <v>106</v>
      </c>
      <c r="F6" s="21" t="s">
        <v>97</v>
      </c>
      <c r="G6" s="24" t="s">
        <v>308</v>
      </c>
      <c r="H6" s="27" t="n">
        <v>132941</v>
      </c>
      <c r="I6" s="23" t="n">
        <v>0.08</v>
      </c>
      <c r="J6" s="25" t="s">
        <v>312</v>
      </c>
      <c r="K6" s="22" t="s">
        <v>313</v>
      </c>
      <c r="L6" s="33" t="str">
        <f aca="false">IF($B6="","",IF(NOT(ISNUMBER($B6)),"日期格式不对",IF($C6="","未选项目编号",IF(LEFT($M6,1)="⚠","项目编号不存在",IF($D6="","未选业务类型",IF($E6="","未选开票/付款方",IF(ISNA(MATCH($E6,单位档案!$A$6:$A$35,0)),"开票方不在单位档案",IF($F6="","未选收票/收款方",IF(ISNA(MATCH($F6,单位档案!$A$6:$A$35,0)),"收款方不在单位档案",IF(NOT(ISNUMBER($H6)),"金额须为数字",IF(AND($D6="销项开票",$N6="—"),"链条待确认","√")))))))))))</f>
        <v>√</v>
      </c>
      <c r="M6" s="34" t="str">
        <f aca="false">IF($C6="","",IFERROR(INDEX(项目档案!$B$6:$B$255,MATCH($C6,项目档案!$A$6:$A$255,0)),"⚠项目编号不存在"))</f>
        <v>2025-2026年度工程用施工机具等租赁服务（重庆铜梁10kV大太线老旧线路改造工程）</v>
      </c>
      <c r="N6" s="35" t="str">
        <f aca="false">IF($E6="","",IF($E6=IFERROR(INDEX(项目档案!$D$6:$D$255,MATCH($C6,项目档案!$A$6:$A$255,0)),""),"一级",IF($E6=IFERROR(INDEX(项目档案!$F$6:$F$255,MATCH($C6,项目档案!$A$6:$A$255,0)),""),"二级",IF($E6=IFERROR(INDEX(项目档案!$H$6:$H$255,MATCH($C6,项目档案!$A$6:$A$255,0)),""),"我方","—"))))</f>
        <v>一级</v>
      </c>
      <c r="O6" s="36" t="n">
        <f aca="false">IF($D6&lt;&gt;"销项开票",0,ROUND(N($H6)*N($I6),2))</f>
        <v>10635.28</v>
      </c>
      <c r="P6" s="36" t="n">
        <f aca="false">IF($D6&lt;&gt;"销项开票",0,ROUND(N($H6)-$O6,2))</f>
        <v>122305.72</v>
      </c>
      <c r="Q6" s="37" t="n">
        <f aca="false">IF($E6="","",N(IFERROR(INDEX(单位档案!$E$6:$E$35,MATCH($E6,单位档案!$A$6:$A$35,0)),"")))</f>
        <v>0.13</v>
      </c>
      <c r="R6" s="37" t="n">
        <f aca="false">IF($E6="","",N(IFERROR(INDEX(单位档案!$F$6:$F$35,MATCH($E6,单位档案!$A$6:$A$35,0)),"")))</f>
        <v>0.13</v>
      </c>
      <c r="S6" s="36" t="n">
        <f aca="false">IF(OR($D6&lt;&gt;"销项开票",IFERROR(INDEX(单位档案!$G$6:$G$35,MATCH($E6,单位档案!$A$6:$A$35,0)),"")&lt;&gt;"是",N($Q6)=0),0,IF(IFERROR(INDEX(单位档案!$H$6:$H$35,MATCH($E6,单位档案!$A$6:$A$35,0)),"")="税差法",ROUND(N($H6)/(1+$Q6)*$Q6-IF(N($R6)=0,0,$P6/(1+$R6)*$R6),2),ROUND(N($H6)/(1+$Q6)*$Q6,2)))</f>
        <v>0</v>
      </c>
      <c r="T6" s="36" t="n">
        <f aca="false">ROUND($S6*N(IFERROR(INDEX(单位档案!$J$6:$J$35,MATCH($E6,单位档案!$A$6:$A$35,0)),"")),2)</f>
        <v>0</v>
      </c>
      <c r="U6" s="36" t="n">
        <f aca="false">IF($D6&lt;&gt;"销项开票",0,ROUND(N($H6)*N(IFERROR(INDEX(单位档案!$K$6:$K$35,MATCH($E6,单位档案!$A$6:$A$35,0)),"")),2))</f>
        <v>0</v>
      </c>
      <c r="V6" s="36" t="n">
        <f aca="false">IF(OR($D6&lt;&gt;"销项开票",N($Q6)=0),0,ROUND(N($H6)/(1+$Q6)*N(IFERROR(INDEX(单位档案!$L$6:$L$35,MATCH($E6,单位档案!$A$6:$A$35,0)),"")),2))</f>
        <v>0</v>
      </c>
      <c r="W6" s="36" t="n">
        <f aca="false">ROUND($S6+$T6+$U6+$V6,2)</f>
        <v>0</v>
      </c>
      <c r="X6" s="35" t="str">
        <f aca="false">IF(OR($D6="挂靠代收",$D6="我方收款"),COUNTIFS($D$5:$D6,"挂靠代收")+COUNTIFS($D$5:$D6,"我方收款"),"")</f>
        <v/>
      </c>
      <c r="Y6" s="35" t="s">
        <v>106</v>
      </c>
      <c r="Z6" s="21" t="s">
        <v>111</v>
      </c>
    </row>
    <row r="7" customFormat="false" ht="15.75" hidden="false" customHeight="true" outlineLevel="0" collapsed="false">
      <c r="A7" s="32" t="n">
        <f aca="false">IF($B7="","",ROW()-4)</f>
        <v>3</v>
      </c>
      <c r="B7" s="26" t="n">
        <v>45988</v>
      </c>
      <c r="C7" s="24" t="s">
        <v>147</v>
      </c>
      <c r="D7" s="21" t="s">
        <v>314</v>
      </c>
      <c r="E7" s="21" t="s">
        <v>127</v>
      </c>
      <c r="F7" s="21" t="s">
        <v>106</v>
      </c>
      <c r="G7" s="24" t="s">
        <v>308</v>
      </c>
      <c r="H7" s="27" t="n">
        <v>10635.28</v>
      </c>
      <c r="I7" s="23" t="str">
        <f aca="false">IF($D7&lt;&gt;"销项开票","",IF($N7="一级",IF(IFERROR(INDEX(项目档案!$E$6:$E$255,MATCH($C7,项目档案!$A$6:$A$255,0)),"")="",N(IFERROR(INDEX(单位档案!$D$6:$D$35,MATCH($E7,单位档案!$A$6:$A$35,0)),"")),IFERROR(INDEX(项目档案!$E$6:$E$255,MATCH($C7,项目档案!$A$6:$A$255,0)),"")),IF($N7="二级",IF(IFERROR(INDEX(项目档案!$G$6:$G$255,MATCH($C7,项目档案!$A$6:$A$255,0)),"")="",N(IFERROR(INDEX(单位档案!$D$6:$D$35,MATCH($E7,单位档案!$A$6:$A$35,0)),"")),IFERROR(INDEX(项目档案!$G$6:$G$255,MATCH($C7,项目档案!$A$6:$A$255,0)),"")),N(IFERROR(INDEX(单位档案!$D$6:$D$35,MATCH($E7,单位档案!$A$6:$A$35,0)),"")))))</f>
        <v/>
      </c>
      <c r="J7" s="25" t="s">
        <v>312</v>
      </c>
      <c r="K7" s="22" t="s">
        <v>313</v>
      </c>
      <c r="L7" s="33" t="str">
        <f aca="false">IF($B7="","",IF(NOT(ISNUMBER($B7)),"日期格式不对",IF($C7="","未选项目编号",IF(LEFT($M7,1)="⚠","项目编号不存在",IF($D7="","未选业务类型",IF($E7="","未选开票/付款方",IF(ISNA(MATCH($E7,单位档案!$A$6:$A$35,0)),"开票方不在单位档案",IF($F7="","未选收票/收款方",IF(ISNA(MATCH($F7,单位档案!$A$6:$A$35,0)),"收款方不在单位档案",IF(NOT(ISNUMBER($H7)),"金额须为数字",IF(AND($D7="销项开票",$N7="—"),"链条待确认","√")))))))))))</f>
        <v>√</v>
      </c>
      <c r="M7" s="34" t="str">
        <f aca="false">IF($C7="","",IFERROR(INDEX(项目档案!$B$6:$B$255,MATCH($C7,项目档案!$A$6:$A$255,0)),"⚠项目编号不存在"))</f>
        <v>2025-2026年度工程用施工机具等租赁服务（重庆铜梁10kV大太线老旧线路改造工程）</v>
      </c>
      <c r="N7" s="35" t="str">
        <f aca="false">IF($E7="","",IF($E7=IFERROR(INDEX(项目档案!$D$6:$D$255,MATCH($C7,项目档案!$A$6:$A$255,0)),""),"一级",IF($E7=IFERROR(INDEX(项目档案!$F$6:$F$255,MATCH($C7,项目档案!$A$6:$A$255,0)),""),"二级",IF($E7=IFERROR(INDEX(项目档案!$H$6:$H$255,MATCH($C7,项目档案!$A$6:$A$255,0)),""),"我方","—"))))</f>
        <v>我方</v>
      </c>
      <c r="O7" s="36" t="n">
        <f aca="false">IF($D7&lt;&gt;"销项开票",0,ROUND(N($H7)*N($I7),2))</f>
        <v>0</v>
      </c>
      <c r="P7" s="36" t="n">
        <f aca="false">IF($D7&lt;&gt;"销项开票",0,ROUND(N($H7)-$O7,2))</f>
        <v>0</v>
      </c>
      <c r="Q7" s="37" t="n">
        <f aca="false">IF($E7="","",N(IFERROR(INDEX(单位档案!$E$6:$E$35,MATCH($E7,单位档案!$A$6:$A$35,0)),"")))</f>
        <v>0.03</v>
      </c>
      <c r="R7" s="37" t="n">
        <f aca="false">IF($E7="","",N(IFERROR(INDEX(单位档案!$F$6:$F$35,MATCH($E7,单位档案!$A$6:$A$35,0)),"")))</f>
        <v>0</v>
      </c>
      <c r="S7" s="36" t="n">
        <f aca="false">IF(OR($D7&lt;&gt;"销项开票",IFERROR(INDEX(单位档案!$G$6:$G$35,MATCH($E7,单位档案!$A$6:$A$35,0)),"")&lt;&gt;"是",N($Q7)=0),0,IF(IFERROR(INDEX(单位档案!$H$6:$H$35,MATCH($E7,单位档案!$A$6:$A$35,0)),"")="税差法",ROUND(N($H7)/(1+$Q7)*$Q7-IF(N($R7)=0,0,$P7/(1+$R7)*$R7),2),ROUND(N($H7)/(1+$Q7)*$Q7,2)))</f>
        <v>0</v>
      </c>
      <c r="T7" s="36" t="n">
        <f aca="false">ROUND($S7*N(IFERROR(INDEX(单位档案!$J$6:$J$35,MATCH($E7,单位档案!$A$6:$A$35,0)),"")),2)</f>
        <v>0</v>
      </c>
      <c r="U7" s="36" t="n">
        <f aca="false">IF($D7&lt;&gt;"销项开票",0,ROUND(N($H7)*N(IFERROR(INDEX(单位档案!$K$6:$K$35,MATCH($E7,单位档案!$A$6:$A$35,0)),"")),2))</f>
        <v>0</v>
      </c>
      <c r="V7" s="36" t="n">
        <f aca="false">IF(OR($D7&lt;&gt;"销项开票",N($Q7)=0),0,ROUND(N($H7)/(1+$Q7)*N(IFERROR(INDEX(单位档案!$L$6:$L$35,MATCH($E7,单位档案!$A$6:$A$35,0)),"")),2))</f>
        <v>0</v>
      </c>
      <c r="W7" s="36" t="n">
        <f aca="false">ROUND($S7+$T7+$U7+$V7,2)</f>
        <v>0</v>
      </c>
      <c r="X7" s="35" t="str">
        <f aca="false">IF(OR($D7="挂靠代收",$D7="我方收款"),COUNTIFS($D$5:$D7,"挂靠代收")+COUNTIFS($D$5:$D7,"我方收款"),"")</f>
        <v/>
      </c>
      <c r="Y7" s="35" t="s">
        <v>106</v>
      </c>
      <c r="Z7" s="21" t="s">
        <v>111</v>
      </c>
    </row>
    <row r="8" customFormat="false" ht="15.75" hidden="false" customHeight="true" outlineLevel="0" collapsed="false">
      <c r="A8" s="32" t="n">
        <f aca="false">IF($B8="","",ROW()-4)</f>
        <v>4</v>
      </c>
      <c r="B8" s="26" t="n">
        <v>45988</v>
      </c>
      <c r="C8" s="24" t="s">
        <v>147</v>
      </c>
      <c r="D8" s="21" t="s">
        <v>307</v>
      </c>
      <c r="E8" s="21" t="s">
        <v>125</v>
      </c>
      <c r="F8" s="21" t="s">
        <v>106</v>
      </c>
      <c r="G8" s="24" t="s">
        <v>308</v>
      </c>
      <c r="H8" s="27" t="n">
        <v>122305.72</v>
      </c>
      <c r="I8" s="23" t="n">
        <f aca="false">IF($D8&lt;&gt;"销项开票","",IF($N8="一级",IF(IFERROR(INDEX(项目档案!$E$6:$E$255,MATCH($C8,项目档案!$A$6:$A$255,0)),"")="",N(IFERROR(INDEX(单位档案!$D$6:$D$35,MATCH($E8,单位档案!$A$6:$A$35,0)),"")),IFERROR(INDEX(项目档案!$E$6:$E$255,MATCH($C8,项目档案!$A$6:$A$255,0)),"")),IF($N8="二级",IF(IFERROR(INDEX(项目档案!$G$6:$G$255,MATCH($C8,项目档案!$A$6:$A$255,0)),"")="",N(IFERROR(INDEX(单位档案!$D$6:$D$35,MATCH($E8,单位档案!$A$6:$A$35,0)),"")),IFERROR(INDEX(项目档案!$G$6:$G$255,MATCH($C8,项目档案!$A$6:$A$255,0)),"")),N(IFERROR(INDEX(单位档案!$D$6:$D$35,MATCH($E8,单位档案!$A$6:$A$35,0)),"")))))</f>
        <v>0.1</v>
      </c>
      <c r="J8" s="25" t="s">
        <v>315</v>
      </c>
      <c r="K8" s="22" t="s">
        <v>313</v>
      </c>
      <c r="L8" s="33" t="str">
        <f aca="false">IF($B8="","",IF(NOT(ISNUMBER($B8)),"日期格式不对",IF($C8="","未选项目编号",IF(LEFT($M8,1)="⚠","项目编号不存在",IF($D8="","未选业务类型",IF($E8="","未选开票/付款方",IF(ISNA(MATCH($E8,单位档案!$A$6:$A$35,0)),"开票方不在单位档案",IF($F8="","未选收票/收款方",IF(ISNA(MATCH($F8,单位档案!$A$6:$A$35,0)),"收款方不在单位档案",IF(NOT(ISNUMBER($H8)),"金额须为数字",IF(AND($D8="销项开票",$N8="—"),"链条待确认","√")))))))))))</f>
        <v>√</v>
      </c>
      <c r="M8" s="34" t="str">
        <f aca="false">IF($C8="","",IFERROR(INDEX(项目档案!$B$6:$B$255,MATCH($C8,项目档案!$A$6:$A$255,0)),"⚠项目编号不存在"))</f>
        <v>2025-2026年度工程用施工机具等租赁服务（重庆铜梁10kV大太线老旧线路改造工程）</v>
      </c>
      <c r="N8" s="35" t="str">
        <f aca="false">IF($E8="","",IF($E8=IFERROR(INDEX(项目档案!$D$6:$D$255,MATCH($C8,项目档案!$A$6:$A$255,0)),""),"一级",IF($E8=IFERROR(INDEX(项目档案!$F$6:$F$255,MATCH($C8,项目档案!$A$6:$A$255,0)),""),"二级",IF($E8=IFERROR(INDEX(项目档案!$H$6:$H$255,MATCH($C8,项目档案!$A$6:$A$255,0)),""),"我方","—"))))</f>
        <v>二级</v>
      </c>
      <c r="O8" s="36" t="n">
        <f aca="false">IF($D8&lt;&gt;"销项开票",0,ROUND(N($H8)*N($I8),2))</f>
        <v>12230.57</v>
      </c>
      <c r="P8" s="36" t="n">
        <f aca="false">IF($D8&lt;&gt;"销项开票",0,ROUND(N($H8)-$O8,2))</f>
        <v>110075.15</v>
      </c>
      <c r="Q8" s="37" t="n">
        <f aca="false">IF($E8="","",N(IFERROR(INDEX(单位档案!$E$6:$E$35,MATCH($E8,单位档案!$A$6:$A$35,0)),"")))</f>
        <v>0.13</v>
      </c>
      <c r="R8" s="37" t="n">
        <f aca="false">IF($E8="","",N(IFERROR(INDEX(单位档案!$F$6:$F$35,MATCH($E8,单位档案!$A$6:$A$35,0)),"")))</f>
        <v>0.13</v>
      </c>
      <c r="S8" s="36" t="n">
        <f aca="false">IF(OR($D8&lt;&gt;"销项开票",IFERROR(INDEX(单位档案!$G$6:$G$35,MATCH($E8,单位档案!$A$6:$A$35,0)),"")&lt;&gt;"是",N($Q8)=0),0,IF(IFERROR(INDEX(单位档案!$H$6:$H$35,MATCH($E8,单位档案!$A$6:$A$35,0)),"")="税差法",ROUND(N($H8)/(1+$Q8)*$Q8-IF(N($R8)=0,0,$P8/(1+$R8)*$R8),2),ROUND(N($H8)/(1+$Q8)*$Q8,2)))</f>
        <v>14070.57</v>
      </c>
      <c r="T8" s="36" t="n">
        <f aca="false">ROUND($S8*N(IFERROR(INDEX(单位档案!$J$6:$J$35,MATCH($E8,单位档案!$A$6:$A$35,0)),"")),2)</f>
        <v>1688.47</v>
      </c>
      <c r="U8" s="36" t="n">
        <f aca="false">IF($D8&lt;&gt;"销项开票",0,ROUND(N($H8)*N(IFERROR(INDEX(单位档案!$K$6:$K$35,MATCH($E8,单位档案!$A$6:$A$35,0)),"")),2))</f>
        <v>0</v>
      </c>
      <c r="V8" s="36" t="n">
        <f aca="false">IF(OR($D8&lt;&gt;"销项开票",N($Q8)=0),0,ROUND(N($H8)/(1+$Q8)*N(IFERROR(INDEX(单位档案!$L$6:$L$35,MATCH($E8,单位档案!$A$6:$A$35,0)),"")),2))</f>
        <v>0</v>
      </c>
      <c r="W8" s="36" t="n">
        <f aca="false">ROUND($S8+$T8+$U8+$V8,2)</f>
        <v>15759.04</v>
      </c>
      <c r="X8" s="35" t="str">
        <f aca="false">IF(OR($D8="挂靠代收",$D8="我方收款"),COUNTIFS($D$5:$D8,"挂靠代收")+COUNTIFS($D$5:$D8,"我方收款"),"")</f>
        <v/>
      </c>
      <c r="Y8" s="35" t="s">
        <v>106</v>
      </c>
      <c r="Z8" s="21" t="s">
        <v>111</v>
      </c>
    </row>
    <row r="9" customFormat="false" ht="15.75" hidden="false" customHeight="true" outlineLevel="0" collapsed="false">
      <c r="A9" s="32" t="n">
        <f aca="false">IF($B9="","",ROW()-4)</f>
        <v>5</v>
      </c>
      <c r="B9" s="26" t="n">
        <v>45989</v>
      </c>
      <c r="C9" s="24" t="s">
        <v>150</v>
      </c>
      <c r="D9" s="21" t="s">
        <v>307</v>
      </c>
      <c r="E9" s="21" t="s">
        <v>119</v>
      </c>
      <c r="F9" s="21" t="s">
        <v>97</v>
      </c>
      <c r="G9" s="24" t="s">
        <v>316</v>
      </c>
      <c r="H9" s="27" t="n">
        <v>203652</v>
      </c>
      <c r="I9" s="23" t="n">
        <f aca="false">IF($D9&lt;&gt;"销项开票","",IF($N9="一级",IF(IFERROR(INDEX(项目档案!$E$6:$E$255,MATCH($C9,项目档案!$A$6:$A$255,0)),"")="",N(IFERROR(INDEX(单位档案!$D$6:$D$35,MATCH($E9,单位档案!$A$6:$A$35,0)),"")),IFERROR(INDEX(项目档案!$E$6:$E$255,MATCH($C9,项目档案!$A$6:$A$255,0)),"")),IF($N9="二级",IF(IFERROR(INDEX(项目档案!$G$6:$G$255,MATCH($C9,项目档案!$A$6:$A$255,0)),"")="",N(IFERROR(INDEX(单位档案!$D$6:$D$35,MATCH($E9,单位档案!$A$6:$A$35,0)),"")),IFERROR(INDEX(项目档案!$G$6:$G$255,MATCH($C9,项目档案!$A$6:$A$255,0)),"")),N(IFERROR(INDEX(单位档案!$D$6:$D$35,MATCH($E9,单位档案!$A$6:$A$35,0)),"")))))</f>
        <v>0.05</v>
      </c>
      <c r="J9" s="25" t="s">
        <v>317</v>
      </c>
      <c r="K9" s="22" t="s">
        <v>313</v>
      </c>
      <c r="L9" s="33" t="str">
        <f aca="false">IF($B9="","",IF(NOT(ISNUMBER($B9)),"日期格式不对",IF($C9="","未选项目编号",IF(LEFT($M9,1)="⚠","项目编号不存在",IF($D9="","未选业务类型",IF($E9="","未选开票/付款方",IF(ISNA(MATCH($E9,单位档案!$A$6:$A$35,0)),"开票方不在单位档案",IF($F9="","未选收票/收款方",IF(ISNA(MATCH($F9,单位档案!$A$6:$A$35,0)),"收款方不在单位档案",IF(NOT(ISNUMBER($H9)),"金额须为数字",IF(AND($D9="销项开票",$N9="—"),"链条待确认","√")))))))))))</f>
        <v>√</v>
      </c>
      <c r="M9" s="34" t="str">
        <f aca="false">IF($C9="","",IFERROR(INDEX(项目档案!$B$6:$B$255,MATCH($C9,项目档案!$A$6:$A$255,0)),"⚠项目编号不存在"))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9" s="35" t="str">
        <f aca="false">IF($E9="","",IF($E9=IFERROR(INDEX(项目档案!$D$6:$D$255,MATCH($C9,项目档案!$A$6:$A$255,0)),""),"一级",IF($E9=IFERROR(INDEX(项目档案!$F$6:$F$255,MATCH($C9,项目档案!$A$6:$A$255,0)),""),"二级",IF($E9=IFERROR(INDEX(项目档案!$H$6:$H$255,MATCH($C9,项目档案!$A$6:$A$255,0)),""),"我方","—"))))</f>
        <v>一级</v>
      </c>
      <c r="O9" s="36" t="n">
        <f aca="false">IF($D9&lt;&gt;"销项开票",0,ROUND(N($H9)*N($I9),2))</f>
        <v>10182.6</v>
      </c>
      <c r="P9" s="36" t="n">
        <f aca="false">IF($D9&lt;&gt;"销项开票",0,ROUND(N($H9)-$O9,2))</f>
        <v>193469.4</v>
      </c>
      <c r="Q9" s="37" t="n">
        <f aca="false">IF($E9="","",N(IFERROR(INDEX(单位档案!$E$6:$E$35,MATCH($E9,单位档案!$A$6:$A$35,0)),"")))</f>
        <v>0.09</v>
      </c>
      <c r="R9" s="37" t="n">
        <f aca="false">IF($E9="","",N(IFERROR(INDEX(单位档案!$F$6:$F$35,MATCH($E9,单位档案!$A$6:$A$35,0)),"")))</f>
        <v>0.03</v>
      </c>
      <c r="S9" s="36" t="n">
        <f aca="false">IF(OR($D9&lt;&gt;"销项开票",IFERROR(INDEX(单位档案!$G$6:$G$35,MATCH($E9,单位档案!$A$6:$A$35,0)),"")&lt;&gt;"是",N($Q9)=0),0,IF(IFERROR(INDEX(单位档案!$H$6:$H$35,MATCH($E9,单位档案!$A$6:$A$35,0)),"")="税差法",ROUND(N($H9)/(1+$Q9)*$Q9-IF(N($R9)=0,0,$P9/(1+$R9)*$R9),2),ROUND(N($H9)/(1+$Q9)*$Q9,2)))</f>
        <v>11180.27</v>
      </c>
      <c r="T9" s="36" t="n">
        <f aca="false">ROUND($S9*N(IFERROR(INDEX(单位档案!$J$6:$J$35,MATCH($E9,单位档案!$A$6:$A$35,0)),"")),2)</f>
        <v>1341.63</v>
      </c>
      <c r="U9" s="36" t="n">
        <f aca="false">IF($D9&lt;&gt;"销项开票",0,ROUND(N($H9)*N(IFERROR(INDEX(单位档案!$K$6:$K$35,MATCH($E9,单位档案!$A$6:$A$35,0)),"")),2))</f>
        <v>122.19</v>
      </c>
      <c r="V9" s="36" t="n">
        <f aca="false">IF(OR($D9&lt;&gt;"销项开票",N($Q9)=0),0,ROUND(N($H9)/(1+$Q9)*N(IFERROR(INDEX(单位档案!$L$6:$L$35,MATCH($E9,单位档案!$A$6:$A$35,0)),"")),2))</f>
        <v>0</v>
      </c>
      <c r="W9" s="36" t="n">
        <f aca="false">ROUND($S9+$T9+$U9+$V9,2)</f>
        <v>12644.09</v>
      </c>
      <c r="X9" s="35" t="str">
        <f aca="false">IF(OR($D9="挂靠代收",$D9="我方收款"),COUNTIFS($D$5:$D9,"挂靠代收")+COUNTIFS($D$5:$D9,"我方收款"),"")</f>
        <v/>
      </c>
      <c r="Y9" s="35" t="s">
        <v>119</v>
      </c>
      <c r="Z9" s="21" t="s">
        <v>111</v>
      </c>
    </row>
    <row r="10" customFormat="false" ht="15.75" hidden="false" customHeight="true" outlineLevel="0" collapsed="false">
      <c r="A10" s="32" t="n">
        <f aca="false">IF($B10="","",ROW()-4)</f>
        <v>6</v>
      </c>
      <c r="B10" s="26" t="n">
        <v>45999</v>
      </c>
      <c r="C10" s="24" t="s">
        <v>150</v>
      </c>
      <c r="D10" s="21" t="s">
        <v>307</v>
      </c>
      <c r="E10" s="21" t="s">
        <v>117</v>
      </c>
      <c r="F10" s="21" t="s">
        <v>119</v>
      </c>
      <c r="G10" s="24" t="s">
        <v>316</v>
      </c>
      <c r="H10" s="27" t="n">
        <v>203652</v>
      </c>
      <c r="I10" s="23" t="n">
        <f aca="false">IF($D10&lt;&gt;"销项开票","",IF($N10="一级",IF(IFERROR(INDEX(项目档案!$E$6:$E$255,MATCH($C10,项目档案!$A$6:$A$255,0)),"")="",N(IFERROR(INDEX(单位档案!$D$6:$D$35,MATCH($E10,单位档案!$A$6:$A$35,0)),"")),IFERROR(INDEX(项目档案!$E$6:$E$255,MATCH($C10,项目档案!$A$6:$A$255,0)),"")),IF($N10="二级",IF(IFERROR(INDEX(项目档案!$G$6:$G$255,MATCH($C10,项目档案!$A$6:$A$255,0)),"")="",N(IFERROR(INDEX(单位档案!$D$6:$D$35,MATCH($E10,单位档案!$A$6:$A$35,0)),"")),IFERROR(INDEX(项目档案!$G$6:$G$255,MATCH($C10,项目档案!$A$6:$A$255,0)),"")),N(IFERROR(INDEX(单位档案!$D$6:$D$35,MATCH($E10,单位档案!$A$6:$A$35,0)),"")))))</f>
        <v>0.02</v>
      </c>
      <c r="J10" s="25" t="s">
        <v>318</v>
      </c>
      <c r="K10" s="22" t="s">
        <v>313</v>
      </c>
      <c r="L10" s="33" t="str">
        <f aca="false">IF($B10="","",IF(NOT(ISNUMBER($B10)),"日期格式不对",IF($C10="","未选项目编号",IF(LEFT($M10,1)="⚠","项目编号不存在",IF($D10="","未选业务类型",IF($E10="","未选开票/付款方",IF(ISNA(MATCH($E10,单位档案!$A$6:$A$35,0)),"开票方不在单位档案",IF($F10="","未选收票/收款方",IF(ISNA(MATCH($F10,单位档案!$A$6:$A$35,0)),"收款方不在单位档案",IF(NOT(ISNUMBER($H10)),"金额须为数字",IF(AND($D10="销项开票",$N10="—"),"链条待确认","√")))))))))))</f>
        <v>√</v>
      </c>
      <c r="M10" s="34" t="str">
        <f aca="false">IF($C10="","",IFERROR(INDEX(项目档案!$B$6:$B$255,MATCH($C10,项目档案!$A$6:$A$255,0)),"⚠项目编号不存在"))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0" s="35" t="str">
        <f aca="false">IF($E10="","",IF($E10=IFERROR(INDEX(项目档案!$D$6:$D$255,MATCH($C10,项目档案!$A$6:$A$255,0)),""),"一级",IF($E10=IFERROR(INDEX(项目档案!$F$6:$F$255,MATCH($C10,项目档案!$A$6:$A$255,0)),""),"二级",IF($E10=IFERROR(INDEX(项目档案!$H$6:$H$255,MATCH($C10,项目档案!$A$6:$A$255,0)),""),"我方","—"))))</f>
        <v>二级</v>
      </c>
      <c r="O10" s="36" t="n">
        <f aca="false">IF($D10&lt;&gt;"销项开票",0,ROUND(N($H10)*N($I10),2))</f>
        <v>4073.04</v>
      </c>
      <c r="P10" s="36" t="n">
        <f aca="false">IF($D10&lt;&gt;"销项开票",0,ROUND(N($H10)-$O10,2))</f>
        <v>199578.96</v>
      </c>
      <c r="Q10" s="37" t="n">
        <f aca="false">IF($E10="","",N(IFERROR(INDEX(单位档案!$E$6:$E$35,MATCH($E10,单位档案!$A$6:$A$35,0)),"")))</f>
        <v>0.03</v>
      </c>
      <c r="R10" s="37" t="n">
        <f aca="false">IF($E10="","",N(IFERROR(INDEX(单位档案!$F$6:$F$35,MATCH($E10,单位档案!$A$6:$A$35,0)),"")))</f>
        <v>0.03</v>
      </c>
      <c r="S10" s="36" t="n">
        <f aca="false">IF(OR($D10&lt;&gt;"销项开票",IFERROR(INDEX(单位档案!$G$6:$G$35,MATCH($E10,单位档案!$A$6:$A$35,0)),"")&lt;&gt;"是",N($Q10)=0),0,IF(IFERROR(INDEX(单位档案!$H$6:$H$35,MATCH($E10,单位档案!$A$6:$A$35,0)),"")="税差法",ROUND(N($H10)/(1+$Q10)*$Q10-IF(N($R10)=0,0,$P10/(1+$R10)*$R10),2),ROUND(N($H10)/(1+$Q10)*$Q10,2)))</f>
        <v>5931.61</v>
      </c>
      <c r="T10" s="36" t="n">
        <f aca="false">ROUND($S10*N(IFERROR(INDEX(单位档案!$J$6:$J$35,MATCH($E10,单位档案!$A$6:$A$35,0)),"")),2)</f>
        <v>355.9</v>
      </c>
      <c r="U10" s="36" t="n">
        <f aca="false">IF($D10&lt;&gt;"销项开票",0,ROUND(N($H10)*N(IFERROR(INDEX(单位档案!$K$6:$K$35,MATCH($E10,单位档案!$A$6:$A$35,0)),"")),2))</f>
        <v>0</v>
      </c>
      <c r="V10" s="36" t="n">
        <f aca="false">IF(OR($D10&lt;&gt;"销项开票",N($Q10)=0),0,ROUND(N($H10)/(1+$Q10)*N(IFERROR(INDEX(单位档案!$L$6:$L$35,MATCH($E10,单位档案!$A$6:$A$35,0)),"")),2))</f>
        <v>395.44</v>
      </c>
      <c r="W10" s="36" t="n">
        <f aca="false">ROUND($S10+$T10+$U10+$V10,2)</f>
        <v>6682.95</v>
      </c>
      <c r="X10" s="35" t="str">
        <f aca="false">IF(OR($D10="挂靠代收",$D10="我方收款"),COUNTIFS($D$5:$D10,"挂靠代收")+COUNTIFS($D$5:$D10,"我方收款"),"")</f>
        <v/>
      </c>
      <c r="Y10" s="35" t="s">
        <v>117</v>
      </c>
      <c r="Z10" s="21" t="s">
        <v>111</v>
      </c>
    </row>
    <row r="11" customFormat="false" ht="15.75" hidden="false" customHeight="true" outlineLevel="0" collapsed="false">
      <c r="A11" s="32" t="n">
        <f aca="false">IF($B11="","",ROW()-4)</f>
        <v>7</v>
      </c>
      <c r="B11" s="26" t="n">
        <v>45999</v>
      </c>
      <c r="C11" s="24" t="s">
        <v>150</v>
      </c>
      <c r="D11" s="21" t="s">
        <v>319</v>
      </c>
      <c r="E11" s="21" t="s">
        <v>97</v>
      </c>
      <c r="F11" s="21" t="s">
        <v>117</v>
      </c>
      <c r="G11" s="24" t="s">
        <v>316</v>
      </c>
      <c r="H11" s="27" t="n">
        <v>197500</v>
      </c>
      <c r="I11" s="23" t="str">
        <f aca="false">IF($D11&lt;&gt;"销项开票","",IF($N11="一级",IF(IFERROR(INDEX(项目档案!$E$6:$E$255,MATCH($C11,项目档案!$A$6:$A$255,0)),"")="",N(IFERROR(INDEX(单位档案!$D$6:$D$35,MATCH($E11,单位档案!$A$6:$A$35,0)),"")),IFERROR(INDEX(项目档案!$E$6:$E$255,MATCH($C11,项目档案!$A$6:$A$255,0)),"")),IF($N11="二级",IF(IFERROR(INDEX(项目档案!$G$6:$G$255,MATCH($C11,项目档案!$A$6:$A$255,0)),"")="",N(IFERROR(INDEX(单位档案!$D$6:$D$35,MATCH($E11,单位档案!$A$6:$A$35,0)),"")),IFERROR(INDEX(项目档案!$G$6:$G$255,MATCH($C11,项目档案!$A$6:$A$255,0)),"")),N(IFERROR(INDEX(单位档案!$D$6:$D$35,MATCH($E11,单位档案!$A$6:$A$35,0)),"")))))</f>
        <v/>
      </c>
      <c r="J11" s="25" t="s">
        <v>318</v>
      </c>
      <c r="K11" s="22" t="s">
        <v>313</v>
      </c>
      <c r="L11" s="33" t="str">
        <f aca="false">IF($B11="","",IF(NOT(ISNUMBER($B11)),"日期格式不对",IF($C11="","未选项目编号",IF(LEFT($M11,1)="⚠","项目编号不存在",IF($D11="","未选业务类型",IF($E11="","未选开票/付款方",IF(ISNA(MATCH($E11,单位档案!$A$6:$A$35,0)),"开票方不在单位档案",IF($F11="","未选收票/收款方",IF(ISNA(MATCH($F11,单位档案!$A$6:$A$35,0)),"收款方不在单位档案",IF(NOT(ISNUMBER($H11)),"金额须为数字",IF(AND($D11="销项开票",$N11="—"),"链条待确认","√")))))))))))</f>
        <v>√</v>
      </c>
      <c r="M11" s="34" t="str">
        <f aca="false">IF($C11="","",IFERROR(INDEX(项目档案!$B$6:$B$255,MATCH($C11,项目档案!$A$6:$A$255,0)),"⚠项目编号不存在"))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1" s="35" t="str">
        <f aca="false">IF($E11="","",IF($E11=IFERROR(INDEX(项目档案!$D$6:$D$255,MATCH($C11,项目档案!$A$6:$A$255,0)),""),"一级",IF($E11=IFERROR(INDEX(项目档案!$F$6:$F$255,MATCH($C11,项目档案!$A$6:$A$255,0)),""),"二级",IF($E11=IFERROR(INDEX(项目档案!$H$6:$H$255,MATCH($C11,项目档案!$A$6:$A$255,0)),""),"我方","—"))))</f>
        <v>—</v>
      </c>
      <c r="O11" s="36" t="n">
        <f aca="false">IF($D11&lt;&gt;"销项开票",0,ROUND(N($H11)*N($I11),2))</f>
        <v>0</v>
      </c>
      <c r="P11" s="36" t="n">
        <f aca="false">IF($D11&lt;&gt;"销项开票",0,ROUND(N($H11)-$O11,2))</f>
        <v>0</v>
      </c>
      <c r="Q11" s="37" t="n">
        <f aca="false">IF($E11="","",N(IFERROR(INDEX(单位档案!$E$6:$E$35,MATCH($E11,单位档案!$A$6:$A$35,0)),"")))</f>
        <v>0</v>
      </c>
      <c r="R11" s="37" t="n">
        <f aca="false">IF($E11="","",N(IFERROR(INDEX(单位档案!$F$6:$F$35,MATCH($E11,单位档案!$A$6:$A$35,0)),"")))</f>
        <v>0</v>
      </c>
      <c r="S11" s="36" t="n">
        <f aca="false">IF(OR($D11&lt;&gt;"销项开票",IFERROR(INDEX(单位档案!$G$6:$G$35,MATCH($E11,单位档案!$A$6:$A$35,0)),"")&lt;&gt;"是",N($Q11)=0),0,IF(IFERROR(INDEX(单位档案!$H$6:$H$35,MATCH($E11,单位档案!$A$6:$A$35,0)),"")="税差法",ROUND(N($H11)/(1+$Q11)*$Q11-IF(N($R11)=0,0,$P11/(1+$R11)*$R11),2),ROUND(N($H11)/(1+$Q11)*$Q11,2)))</f>
        <v>0</v>
      </c>
      <c r="T11" s="36" t="n">
        <f aca="false">ROUND($S11*N(IFERROR(INDEX(单位档案!$J$6:$J$35,MATCH($E11,单位档案!$A$6:$A$35,0)),"")),2)</f>
        <v>0</v>
      </c>
      <c r="U11" s="36" t="n">
        <f aca="false">IF($D11&lt;&gt;"销项开票",0,ROUND(N($H11)*N(IFERROR(INDEX(单位档案!$K$6:$K$35,MATCH($E11,单位档案!$A$6:$A$35,0)),"")),2))</f>
        <v>0</v>
      </c>
      <c r="V11" s="36" t="n">
        <f aca="false">IF(OR($D11&lt;&gt;"销项开票",N($Q11)=0),0,ROUND(N($H11)/(1+$Q11)*N(IFERROR(INDEX(单位档案!$L$6:$L$35,MATCH($E11,单位档案!$A$6:$A$35,0)),"")),2))</f>
        <v>0</v>
      </c>
      <c r="W11" s="36" t="n">
        <f aca="false">ROUND($S11+$T11+$U11+$V11,2)</f>
        <v>0</v>
      </c>
      <c r="X11" s="35" t="n">
        <f aca="false">IF(OR($D11="挂靠代收",$D11="我方收款"),COUNTIFS($D$5:$D11,"挂靠代收")+COUNTIFS($D$5:$D11,"我方收款"),"")</f>
        <v>1</v>
      </c>
      <c r="Y11" s="35" t="s">
        <v>117</v>
      </c>
      <c r="Z11" s="21" t="s">
        <v>111</v>
      </c>
    </row>
    <row r="12" customFormat="false" ht="15.75" hidden="false" customHeight="true" outlineLevel="0" collapsed="false">
      <c r="A12" s="32" t="n">
        <f aca="false">IF($B12="","",ROW()-4)</f>
        <v>8</v>
      </c>
      <c r="B12" s="26" t="n">
        <v>45999</v>
      </c>
      <c r="C12" s="24" t="s">
        <v>150</v>
      </c>
      <c r="D12" s="21" t="s">
        <v>320</v>
      </c>
      <c r="E12" s="21" t="s">
        <v>117</v>
      </c>
      <c r="F12" s="21" t="s">
        <v>127</v>
      </c>
      <c r="G12" s="24" t="s">
        <v>316</v>
      </c>
      <c r="H12" s="27" t="n">
        <v>197500</v>
      </c>
      <c r="I12" s="23" t="str">
        <f aca="false">IF($D12&lt;&gt;"销项开票","",IF($N12="一级",IF(IFERROR(INDEX(项目档案!$E$6:$E$255,MATCH($C12,项目档案!$A$6:$A$255,0)),"")="",N(IFERROR(INDEX(单位档案!$D$6:$D$35,MATCH($E12,单位档案!$A$6:$A$35,0)),"")),IFERROR(INDEX(项目档案!$E$6:$E$255,MATCH($C12,项目档案!$A$6:$A$255,0)),"")),IF($N12="二级",IF(IFERROR(INDEX(项目档案!$G$6:$G$255,MATCH($C12,项目档案!$A$6:$A$255,0)),"")="",N(IFERROR(INDEX(单位档案!$D$6:$D$35,MATCH($E12,单位档案!$A$6:$A$35,0)),"")),IFERROR(INDEX(项目档案!$G$6:$G$255,MATCH($C12,项目档案!$A$6:$A$255,0)),"")),N(IFERROR(INDEX(单位档案!$D$6:$D$35,MATCH($E12,单位档案!$A$6:$A$35,0)),"")))))</f>
        <v/>
      </c>
      <c r="J12" s="25" t="s">
        <v>318</v>
      </c>
      <c r="K12" s="22" t="s">
        <v>313</v>
      </c>
      <c r="L12" s="33" t="str">
        <f aca="false">IF($B12="","",IF(NOT(ISNUMBER($B12)),"日期格式不对",IF($C12="","未选项目编号",IF(LEFT($M12,1)="⚠","项目编号不存在",IF($D12="","未选业务类型",IF($E12="","未选开票/付款方",IF(ISNA(MATCH($E12,单位档案!$A$6:$A$35,0)),"开票方不在单位档案",IF($F12="","未选收票/收款方",IF(ISNA(MATCH($F12,单位档案!$A$6:$A$35,0)),"收款方不在单位档案",IF(NOT(ISNUMBER($H12)),"金额须为数字",IF(AND($D12="销项开票",$N12="—"),"链条待确认","√")))))))))))</f>
        <v>√</v>
      </c>
      <c r="M12" s="34" t="str">
        <f aca="false">IF($C12="","",IFERROR(INDEX(项目档案!$B$6:$B$255,MATCH($C12,项目档案!$A$6:$A$255,0)),"⚠项目编号不存在"))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2" s="35" t="str">
        <f aca="false">IF($E12="","",IF($E12=IFERROR(INDEX(项目档案!$D$6:$D$255,MATCH($C12,项目档案!$A$6:$A$255,0)),""),"一级",IF($E12=IFERROR(INDEX(项目档案!$F$6:$F$255,MATCH($C12,项目档案!$A$6:$A$255,0)),""),"二级",IF($E12=IFERROR(INDEX(项目档案!$H$6:$H$255,MATCH($C12,项目档案!$A$6:$A$255,0)),""),"我方","—"))))</f>
        <v>二级</v>
      </c>
      <c r="O12" s="36" t="n">
        <f aca="false">IF($D12&lt;&gt;"销项开票",0,ROUND(N($H12)*N($I12),2))</f>
        <v>0</v>
      </c>
      <c r="P12" s="36" t="n">
        <f aca="false">IF($D12&lt;&gt;"销项开票",0,ROUND(N($H12)-$O12,2))</f>
        <v>0</v>
      </c>
      <c r="Q12" s="37" t="n">
        <f aca="false">IF($E12="","",N(IFERROR(INDEX(单位档案!$E$6:$E$35,MATCH($E12,单位档案!$A$6:$A$35,0)),"")))</f>
        <v>0.03</v>
      </c>
      <c r="R12" s="37" t="n">
        <f aca="false">IF($E12="","",N(IFERROR(INDEX(单位档案!$F$6:$F$35,MATCH($E12,单位档案!$A$6:$A$35,0)),"")))</f>
        <v>0.03</v>
      </c>
      <c r="S12" s="36" t="n">
        <f aca="false">IF(OR($D12&lt;&gt;"销项开票",IFERROR(INDEX(单位档案!$G$6:$G$35,MATCH($E12,单位档案!$A$6:$A$35,0)),"")&lt;&gt;"是",N($Q12)=0),0,IF(IFERROR(INDEX(单位档案!$H$6:$H$35,MATCH($E12,单位档案!$A$6:$A$35,0)),"")="税差法",ROUND(N($H12)/(1+$Q12)*$Q12-IF(N($R12)=0,0,$P12/(1+$R12)*$R12),2),ROUND(N($H12)/(1+$Q12)*$Q12,2)))</f>
        <v>0</v>
      </c>
      <c r="T12" s="36" t="n">
        <f aca="false">ROUND($S12*N(IFERROR(INDEX(单位档案!$J$6:$J$35,MATCH($E12,单位档案!$A$6:$A$35,0)),"")),2)</f>
        <v>0</v>
      </c>
      <c r="U12" s="36" t="n">
        <f aca="false">IF($D12&lt;&gt;"销项开票",0,ROUND(N($H12)*N(IFERROR(INDEX(单位档案!$K$6:$K$35,MATCH($E12,单位档案!$A$6:$A$35,0)),"")),2))</f>
        <v>0</v>
      </c>
      <c r="V12" s="36" t="n">
        <f aca="false">IF(OR($D12&lt;&gt;"销项开票",N($Q12)=0),0,ROUND(N($H12)/(1+$Q12)*N(IFERROR(INDEX(单位档案!$L$6:$L$35,MATCH($E12,单位档案!$A$6:$A$35,0)),"")),2))</f>
        <v>0</v>
      </c>
      <c r="W12" s="36" t="n">
        <f aca="false">ROUND($S12+$T12+$U12+$V12,2)</f>
        <v>0</v>
      </c>
      <c r="X12" s="35" t="n">
        <f aca="false">IF(OR($D12="挂靠代收",$D12="我方收款"),COUNTIFS($D$5:$D12,"挂靠代收")+COUNTIFS($D$5:$D12,"我方收款"),"")</f>
        <v>2</v>
      </c>
      <c r="Y12" s="35" t="s">
        <v>117</v>
      </c>
      <c r="Z12" s="21" t="s">
        <v>111</v>
      </c>
    </row>
    <row r="13" customFormat="false" ht="15.75" hidden="false" customHeight="true" outlineLevel="0" collapsed="false">
      <c r="A13" s="32" t="n">
        <f aca="false">IF($B13="","",ROW()-4)</f>
        <v>9</v>
      </c>
      <c r="B13" s="26" t="n">
        <v>45999</v>
      </c>
      <c r="C13" s="24" t="s">
        <v>150</v>
      </c>
      <c r="D13" s="21" t="s">
        <v>307</v>
      </c>
      <c r="E13" s="21" t="s">
        <v>117</v>
      </c>
      <c r="F13" s="21" t="s">
        <v>119</v>
      </c>
      <c r="G13" s="24" t="s">
        <v>316</v>
      </c>
      <c r="H13" s="27" t="n">
        <v>203652</v>
      </c>
      <c r="I13" s="23" t="n">
        <f aca="false">IF($D13&lt;&gt;"销项开票","",IF($N13="一级",IF(IFERROR(INDEX(项目档案!$E$6:$E$255,MATCH($C13,项目档案!$A$6:$A$255,0)),"")="",N(IFERROR(INDEX(单位档案!$D$6:$D$35,MATCH($E13,单位档案!$A$6:$A$35,0)),"")),IFERROR(INDEX(项目档案!$E$6:$E$255,MATCH($C13,项目档案!$A$6:$A$255,0)),"")),IF($N13="二级",IF(IFERROR(INDEX(项目档案!$G$6:$G$255,MATCH($C13,项目档案!$A$6:$A$255,0)),"")="",N(IFERROR(INDEX(单位档案!$D$6:$D$35,MATCH($E13,单位档案!$A$6:$A$35,0)),"")),IFERROR(INDEX(项目档案!$G$6:$G$255,MATCH($C13,项目档案!$A$6:$A$255,0)),"")),N(IFERROR(INDEX(单位档案!$D$6:$D$35,MATCH($E13,单位档案!$A$6:$A$35,0)),"")))))</f>
        <v>0.02</v>
      </c>
      <c r="J13" s="25" t="s">
        <v>321</v>
      </c>
      <c r="K13" s="22" t="s">
        <v>322</v>
      </c>
      <c r="L13" s="33" t="str">
        <f aca="false">IF($B13="","",IF(NOT(ISNUMBER($B13)),"日期格式不对",IF($C13="","未选项目编号",IF(LEFT($M13,1)="⚠","项目编号不存在",IF($D13="","未选业务类型",IF($E13="","未选开票/付款方",IF(ISNA(MATCH($E13,单位档案!$A$6:$A$35,0)),"开票方不在单位档案",IF($F13="","未选收票/收款方",IF(ISNA(MATCH($F13,单位档案!$A$6:$A$35,0)),"收款方不在单位档案",IF(NOT(ISNUMBER($H13)),"金额须为数字",IF(AND($D13="销项开票",$N13="—"),"链条待确认","√")))))))))))</f>
        <v>√</v>
      </c>
      <c r="M13" s="34" t="str">
        <f aca="false">IF($C13="","",IFERROR(INDEX(项目档案!$B$6:$B$255,MATCH($C13,项目档案!$A$6:$A$255,0)),"⚠项目编号不存在"))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3" s="35" t="str">
        <f aca="false">IF($E13="","",IF($E13=IFERROR(INDEX(项目档案!$D$6:$D$255,MATCH($C13,项目档案!$A$6:$A$255,0)),""),"一级",IF($E13=IFERROR(INDEX(项目档案!$F$6:$F$255,MATCH($C13,项目档案!$A$6:$A$255,0)),""),"二级",IF($E13=IFERROR(INDEX(项目档案!$H$6:$H$255,MATCH($C13,项目档案!$A$6:$A$255,0)),""),"我方","—"))))</f>
        <v>二级</v>
      </c>
      <c r="O13" s="36" t="n">
        <f aca="false">IF($D13&lt;&gt;"销项开票",0,ROUND(N($H13)*N($I13),2))</f>
        <v>4073.04</v>
      </c>
      <c r="P13" s="36" t="n">
        <f aca="false">IF($D13&lt;&gt;"销项开票",0,ROUND(N($H13)-$O13,2))</f>
        <v>199578.96</v>
      </c>
      <c r="Q13" s="37" t="n">
        <f aca="false">IF($E13="","",N(IFERROR(INDEX(单位档案!$E$6:$E$35,MATCH($E13,单位档案!$A$6:$A$35,0)),"")))</f>
        <v>0.03</v>
      </c>
      <c r="R13" s="37" t="n">
        <f aca="false">IF($E13="","",N(IFERROR(INDEX(单位档案!$F$6:$F$35,MATCH($E13,单位档案!$A$6:$A$35,0)),"")))</f>
        <v>0.03</v>
      </c>
      <c r="S13" s="36" t="n">
        <f aca="false">IF(OR($D13&lt;&gt;"销项开票",IFERROR(INDEX(单位档案!$G$6:$G$35,MATCH($E13,单位档案!$A$6:$A$35,0)),"")&lt;&gt;"是",N($Q13)=0),0,IF(IFERROR(INDEX(单位档案!$H$6:$H$35,MATCH($E13,单位档案!$A$6:$A$35,0)),"")="税差法",ROUND(N($H13)/(1+$Q13)*$Q13-IF(N($R13)=0,0,$P13/(1+$R13)*$R13),2),ROUND(N($H13)/(1+$Q13)*$Q13,2)))</f>
        <v>5931.61</v>
      </c>
      <c r="T13" s="36" t="n">
        <f aca="false">ROUND($S13*N(IFERROR(INDEX(单位档案!$J$6:$J$35,MATCH($E13,单位档案!$A$6:$A$35,0)),"")),2)</f>
        <v>355.9</v>
      </c>
      <c r="U13" s="36" t="n">
        <f aca="false">IF($D13&lt;&gt;"销项开票",0,ROUND(N($H13)*N(IFERROR(INDEX(单位档案!$K$6:$K$35,MATCH($E13,单位档案!$A$6:$A$35,0)),"")),2))</f>
        <v>0</v>
      </c>
      <c r="V13" s="36" t="n">
        <f aca="false">IF(OR($D13&lt;&gt;"销项开票",N($Q13)=0),0,ROUND(N($H13)/(1+$Q13)*N(IFERROR(INDEX(单位档案!$L$6:$L$35,MATCH($E13,单位档案!$A$6:$A$35,0)),"")),2))</f>
        <v>395.44</v>
      </c>
      <c r="W13" s="36" t="n">
        <f aca="false">ROUND($S13+$T13+$U13+$V13,2)</f>
        <v>6682.95</v>
      </c>
      <c r="X13" s="35" t="str">
        <f aca="false">IF(OR($D13="挂靠代收",$D13="我方收款"),COUNTIFS($D$5:$D13,"挂靠代收")+COUNTIFS($D$5:$D13,"我方收款"),"")</f>
        <v/>
      </c>
      <c r="Y13" s="35" t="s">
        <v>119</v>
      </c>
      <c r="Z13" s="21" t="s">
        <v>100</v>
      </c>
    </row>
    <row r="14" customFormat="false" ht="15.75" hidden="false" customHeight="true" outlineLevel="0" collapsed="false">
      <c r="A14" s="32" t="n">
        <f aca="false">IF($B14="","",ROW()-4)</f>
        <v>10</v>
      </c>
      <c r="B14" s="26" t="n">
        <v>46106</v>
      </c>
      <c r="C14" s="24" t="s">
        <v>153</v>
      </c>
      <c r="D14" s="21" t="s">
        <v>307</v>
      </c>
      <c r="E14" s="21" t="s">
        <v>114</v>
      </c>
      <c r="F14" s="21" t="s">
        <v>97</v>
      </c>
      <c r="G14" s="24" t="s">
        <v>316</v>
      </c>
      <c r="H14" s="27" t="n">
        <v>307680</v>
      </c>
      <c r="I14" s="23" t="n">
        <v>0.02</v>
      </c>
      <c r="J14" s="25" t="s">
        <v>323</v>
      </c>
      <c r="K14" s="22" t="s">
        <v>313</v>
      </c>
      <c r="L14" s="33" t="str">
        <f aca="false">IF($B14="","",IF(NOT(ISNUMBER($B14)),"日期格式不对",IF($C14="","未选项目编号",IF(LEFT($M14,1)="⚠","项目编号不存在",IF($D14="","未选业务类型",IF($E14="","未选开票/付款方",IF(ISNA(MATCH($E14,单位档案!$A$6:$A$35,0)),"开票方不在单位档案",IF($F14="","未选收票/收款方",IF(ISNA(MATCH($F14,单位档案!$A$6:$A$35,0)),"收款方不在单位档案",IF(NOT(ISNUMBER($H14)),"金额须为数字",IF(AND($D14="销项开票",$N14="—"),"链条待确认","√")))))))))))</f>
        <v>√</v>
      </c>
      <c r="M14" s="34" t="str">
        <f aca="false">IF($C14="","",IFERROR(INDEX(项目档案!$B$6:$B$255,MATCH($C14,项目档案!$A$6:$A$255,0)),"⚠项目编号不存在"))</f>
        <v>重庆铜梁10kV平双线新建联络工程</v>
      </c>
      <c r="N14" s="35" t="str">
        <f aca="false">IF($E14="","",IF($E14=IFERROR(INDEX(项目档案!$D$6:$D$255,MATCH($C14,项目档案!$A$6:$A$255,0)),""),"一级",IF($E14=IFERROR(INDEX(项目档案!$F$6:$F$255,MATCH($C14,项目档案!$A$6:$A$255,0)),""),"二级",IF($E14=IFERROR(INDEX(项目档案!$H$6:$H$255,MATCH($C14,项目档案!$A$6:$A$255,0)),""),"我方","—"))))</f>
        <v>一级</v>
      </c>
      <c r="O14" s="36" t="n">
        <f aca="false">IF($D14&lt;&gt;"销项开票",0,ROUND(N($H14)*N($I14),2))</f>
        <v>6153.6</v>
      </c>
      <c r="P14" s="36" t="n">
        <f aca="false">IF($D14&lt;&gt;"销项开票",0,ROUND(N($H14)-$O14,2))</f>
        <v>301526.4</v>
      </c>
      <c r="Q14" s="37" t="n">
        <f aca="false">IF($E14="","",N(IFERROR(INDEX(单位档案!$E$6:$E$35,MATCH($E14,单位档案!$A$6:$A$35,0)),"")))</f>
        <v>0.03</v>
      </c>
      <c r="R14" s="37" t="n">
        <f aca="false">IF($E14="","",N(IFERROR(INDEX(单位档案!$F$6:$F$35,MATCH($E14,单位档案!$A$6:$A$35,0)),"")))</f>
        <v>0.01</v>
      </c>
      <c r="S14" s="36" t="n">
        <f aca="false">IF(OR($D14&lt;&gt;"销项开票",IFERROR(INDEX(单位档案!$G$6:$G$35,MATCH($E14,单位档案!$A$6:$A$35,0)),"")&lt;&gt;"是",N($Q14)=0),0,IF(IFERROR(INDEX(单位档案!$H$6:$H$35,MATCH($E14,单位档案!$A$6:$A$35,0)),"")="税差法",ROUND(N($H14)/(1+$Q14)*$Q14-IF(N($R14)=0,0,$P14/(1+$R14)*$R14),2),ROUND(N($H14)/(1+$Q14)*$Q14,2)))</f>
        <v>8961.55</v>
      </c>
      <c r="T14" s="36" t="n">
        <f aca="false">ROUND($S14*N(IFERROR(INDEX(单位档案!$J$6:$J$35,MATCH($E14,单位档案!$A$6:$A$35,0)),"")),2)</f>
        <v>1075.39</v>
      </c>
      <c r="U14" s="36" t="n">
        <f aca="false">IF($D14&lt;&gt;"销项开票",0,ROUND(N($H14)*N(IFERROR(INDEX(单位档案!$K$6:$K$35,MATCH($E14,单位档案!$A$6:$A$35,0)),"")),2))</f>
        <v>92.3</v>
      </c>
      <c r="V14" s="36" t="n">
        <f aca="false">IF(OR($D14&lt;&gt;"销项开票",N($Q14)=0),0,ROUND(N($H14)/(1+$Q14)*N(IFERROR(INDEX(单位档案!$L$6:$L$35,MATCH($E14,单位档案!$A$6:$A$35,0)),"")),2))</f>
        <v>0</v>
      </c>
      <c r="W14" s="36" t="n">
        <f aca="false">ROUND($S14+$T14+$U14+$V14,2)</f>
        <v>10129.24</v>
      </c>
      <c r="X14" s="35" t="str">
        <f aca="false">IF(OR($D14="挂靠代收",$D14="我方收款"),COUNTIFS($D$5:$D14,"挂靠代收")+COUNTIFS($D$5:$D14,"我方收款"),"")</f>
        <v/>
      </c>
      <c r="Y14" s="35" t="s">
        <v>114</v>
      </c>
      <c r="Z14" s="21" t="s">
        <v>111</v>
      </c>
    </row>
    <row r="15" customFormat="false" ht="15.75" hidden="false" customHeight="true" outlineLevel="0" collapsed="false">
      <c r="A15" s="32" t="n">
        <f aca="false">IF($B15="","",ROW()-4)</f>
        <v>11</v>
      </c>
      <c r="B15" s="26" t="n">
        <v>46106</v>
      </c>
      <c r="C15" s="24" t="s">
        <v>156</v>
      </c>
      <c r="D15" s="21" t="s">
        <v>307</v>
      </c>
      <c r="E15" s="21" t="s">
        <v>117</v>
      </c>
      <c r="F15" s="21" t="s">
        <v>97</v>
      </c>
      <c r="G15" s="24" t="s">
        <v>316</v>
      </c>
      <c r="H15" s="27" t="n">
        <v>57991</v>
      </c>
      <c r="I15" s="23" t="n">
        <v>0.02</v>
      </c>
      <c r="J15" s="25" t="s">
        <v>324</v>
      </c>
      <c r="K15" s="22" t="s">
        <v>313</v>
      </c>
      <c r="L15" s="33" t="str">
        <f aca="false">IF($B15="","",IF(NOT(ISNUMBER($B15)),"日期格式不对",IF($C15="","未选项目编号",IF(LEFT($M15,1)="⚠","项目编号不存在",IF($D15="","未选业务类型",IF($E15="","未选开票/付款方",IF(ISNA(MATCH($E15,单位档案!$A$6:$A$35,0)),"开票方不在单位档案",IF($F15="","未选收票/收款方",IF(ISNA(MATCH($F15,单位档案!$A$6:$A$35,0)),"收款方不在单位档案",IF(NOT(ISNUMBER($H15)),"金额须为数字",IF(AND($D15="销项开票",$N15="—"),"链条待确认","√")))))))))))</f>
        <v>√</v>
      </c>
      <c r="M15" s="34" t="str">
        <f aca="false">IF($C15="","",IFERROR(INDEX(项目档案!$B$6:$B$255,MATCH($C15,项目档案!$A$6:$A$255,0)),"⚠项目编号不存在"))</f>
        <v>重庆铜梁10kV水羊线金鸡3（4）社台区重过载治理工程</v>
      </c>
      <c r="N15" s="35" t="str">
        <f aca="false">IF($E15="","",IF($E15=IFERROR(INDEX(项目档案!$D$6:$D$255,MATCH($C15,项目档案!$A$6:$A$255,0)),""),"一级",IF($E15=IFERROR(INDEX(项目档案!$F$6:$F$255,MATCH($C15,项目档案!$A$6:$A$255,0)),""),"二级",IF($E15=IFERROR(INDEX(项目档案!$H$6:$H$255,MATCH($C15,项目档案!$A$6:$A$255,0)),""),"我方","—"))))</f>
        <v>一级</v>
      </c>
      <c r="O15" s="36" t="n">
        <f aca="false">IF($D15&lt;&gt;"销项开票",0,ROUND(N($H15)*N($I15),2))</f>
        <v>1159.82</v>
      </c>
      <c r="P15" s="36" t="n">
        <f aca="false">IF($D15&lt;&gt;"销项开票",0,ROUND(N($H15)-$O15,2))</f>
        <v>56831.18</v>
      </c>
      <c r="Q15" s="37" t="n">
        <f aca="false">IF($E15="","",N(IFERROR(INDEX(单位档案!$E$6:$E$35,MATCH($E15,单位档案!$A$6:$A$35,0)),"")))</f>
        <v>0.03</v>
      </c>
      <c r="R15" s="37" t="n">
        <f aca="false">IF($E15="","",N(IFERROR(INDEX(单位档案!$F$6:$F$35,MATCH($E15,单位档案!$A$6:$A$35,0)),"")))</f>
        <v>0.03</v>
      </c>
      <c r="S15" s="36" t="n">
        <f aca="false">IF(OR($D15&lt;&gt;"销项开票",IFERROR(INDEX(单位档案!$G$6:$G$35,MATCH($E15,单位档案!$A$6:$A$35,0)),"")&lt;&gt;"是",N($Q15)=0),0,IF(IFERROR(INDEX(单位档案!$H$6:$H$35,MATCH($E15,单位档案!$A$6:$A$35,0)),"")="税差法",ROUND(N($H15)/(1+$Q15)*$Q15-IF(N($R15)=0,0,$P15/(1+$R15)*$R15),2),ROUND(N($H15)/(1+$Q15)*$Q15,2)))</f>
        <v>1689.06</v>
      </c>
      <c r="T15" s="36" t="n">
        <f aca="false">ROUND($S15*N(IFERROR(INDEX(单位档案!$J$6:$J$35,MATCH($E15,单位档案!$A$6:$A$35,0)),"")),2)</f>
        <v>101.34</v>
      </c>
      <c r="U15" s="36" t="n">
        <f aca="false">IF($D15&lt;&gt;"销项开票",0,ROUND(N($H15)*N(IFERROR(INDEX(单位档案!$K$6:$K$35,MATCH($E15,单位档案!$A$6:$A$35,0)),"")),2))</f>
        <v>0</v>
      </c>
      <c r="V15" s="36" t="n">
        <f aca="false">IF(OR($D15&lt;&gt;"销项开票",N($Q15)=0),0,ROUND(N($H15)/(1+$Q15)*N(IFERROR(INDEX(单位档案!$L$6:$L$35,MATCH($E15,单位档案!$A$6:$A$35,0)),"")),2))</f>
        <v>112.6</v>
      </c>
      <c r="W15" s="36" t="n">
        <f aca="false">ROUND($S15+$T15+$U15+$V15,2)</f>
        <v>1903</v>
      </c>
      <c r="X15" s="35" t="str">
        <f aca="false">IF(OR($D15="挂靠代收",$D15="我方收款"),COUNTIFS($D$5:$D15,"挂靠代收")+COUNTIFS($D$5:$D15,"我方收款"),"")</f>
        <v/>
      </c>
      <c r="Y15" s="35" t="s">
        <v>117</v>
      </c>
      <c r="Z15" s="21" t="s">
        <v>111</v>
      </c>
    </row>
    <row r="16" customFormat="false" ht="15.75" hidden="false" customHeight="true" outlineLevel="0" collapsed="false">
      <c r="A16" s="32" t="n">
        <f aca="false">IF($B16="","",ROW()-4)</f>
        <v>12</v>
      </c>
      <c r="B16" s="26" t="n">
        <v>46106</v>
      </c>
      <c r="C16" s="24" t="s">
        <v>159</v>
      </c>
      <c r="D16" s="21" t="s">
        <v>307</v>
      </c>
      <c r="E16" s="21" t="s">
        <v>117</v>
      </c>
      <c r="F16" s="21" t="s">
        <v>97</v>
      </c>
      <c r="G16" s="24" t="s">
        <v>316</v>
      </c>
      <c r="H16" s="27" t="n">
        <v>49074</v>
      </c>
      <c r="I16" s="23" t="n">
        <v>0.02</v>
      </c>
      <c r="J16" s="25" t="s">
        <v>325</v>
      </c>
      <c r="K16" s="22" t="s">
        <v>313</v>
      </c>
      <c r="L16" s="33" t="str">
        <f aca="false">IF($B16="","",IF(NOT(ISNUMBER($B16)),"日期格式不对",IF($C16="","未选项目编号",IF(LEFT($M16,1)="⚠","项目编号不存在",IF($D16="","未选业务类型",IF($E16="","未选开票/付款方",IF(ISNA(MATCH($E16,单位档案!$A$6:$A$35,0)),"开票方不在单位档案",IF($F16="","未选收票/收款方",IF(ISNA(MATCH($F16,单位档案!$A$6:$A$35,0)),"收款方不在单位档案",IF(NOT(ISNUMBER($H16)),"金额须为数字",IF(AND($D16="销项开票",$N16="—"),"链条待确认","√")))))))))))</f>
        <v>√</v>
      </c>
      <c r="M16" s="34" t="str">
        <f aca="false">IF($C16="","",IFERROR(INDEX(项目档案!$B$6:$B$255,MATCH($C16,项目档案!$A$6:$A$255,0)),"⚠项目编号不存在"))</f>
        <v>重庆铜梁10kV龙羊线七佛4社台区重过载治理工程</v>
      </c>
      <c r="N16" s="35" t="str">
        <f aca="false">IF($E16="","",IF($E16=IFERROR(INDEX(项目档案!$D$6:$D$255,MATCH($C16,项目档案!$A$6:$A$255,0)),""),"一级",IF($E16=IFERROR(INDEX(项目档案!$F$6:$F$255,MATCH($C16,项目档案!$A$6:$A$255,0)),""),"二级",IF($E16=IFERROR(INDEX(项目档案!$H$6:$H$255,MATCH($C16,项目档案!$A$6:$A$255,0)),""),"我方","—"))))</f>
        <v>一级</v>
      </c>
      <c r="O16" s="36" t="n">
        <f aca="false">IF($D16&lt;&gt;"销项开票",0,ROUND(N($H16)*N($I16),2))</f>
        <v>981.48</v>
      </c>
      <c r="P16" s="36" t="n">
        <f aca="false">IF($D16&lt;&gt;"销项开票",0,ROUND(N($H16)-$O16,2))</f>
        <v>48092.52</v>
      </c>
      <c r="Q16" s="37" t="n">
        <f aca="false">IF($E16="","",N(IFERROR(INDEX(单位档案!$E$6:$E$35,MATCH($E16,单位档案!$A$6:$A$35,0)),"")))</f>
        <v>0.03</v>
      </c>
      <c r="R16" s="37" t="n">
        <f aca="false">IF($E16="","",N(IFERROR(INDEX(单位档案!$F$6:$F$35,MATCH($E16,单位档案!$A$6:$A$35,0)),"")))</f>
        <v>0.03</v>
      </c>
      <c r="S16" s="36" t="n">
        <f aca="false">IF(OR($D16&lt;&gt;"销项开票",IFERROR(INDEX(单位档案!$G$6:$G$35,MATCH($E16,单位档案!$A$6:$A$35,0)),"")&lt;&gt;"是",N($Q16)=0),0,IF(IFERROR(INDEX(单位档案!$H$6:$H$35,MATCH($E16,单位档案!$A$6:$A$35,0)),"")="税差法",ROUND(N($H16)/(1+$Q16)*$Q16-IF(N($R16)=0,0,$P16/(1+$R16)*$R16),2),ROUND(N($H16)/(1+$Q16)*$Q16,2)))</f>
        <v>1429.34</v>
      </c>
      <c r="T16" s="36" t="n">
        <f aca="false">ROUND($S16*N(IFERROR(INDEX(单位档案!$J$6:$J$35,MATCH($E16,单位档案!$A$6:$A$35,0)),"")),2)</f>
        <v>85.76</v>
      </c>
      <c r="U16" s="36" t="n">
        <f aca="false">IF($D16&lt;&gt;"销项开票",0,ROUND(N($H16)*N(IFERROR(INDEX(单位档案!$K$6:$K$35,MATCH($E16,单位档案!$A$6:$A$35,0)),"")),2))</f>
        <v>0</v>
      </c>
      <c r="V16" s="36" t="n">
        <f aca="false">IF(OR($D16&lt;&gt;"销项开票",N($Q16)=0),0,ROUND(N($H16)/(1+$Q16)*N(IFERROR(INDEX(单位档案!$L$6:$L$35,MATCH($E16,单位档案!$A$6:$A$35,0)),"")),2))</f>
        <v>95.29</v>
      </c>
      <c r="W16" s="36" t="n">
        <f aca="false">ROUND($S16+$T16+$U16+$V16,2)</f>
        <v>1610.39</v>
      </c>
      <c r="X16" s="35" t="str">
        <f aca="false">IF(OR($D16="挂靠代收",$D16="我方收款"),COUNTIFS($D$5:$D16,"挂靠代收")+COUNTIFS($D$5:$D16,"我方收款"),"")</f>
        <v/>
      </c>
      <c r="Y16" s="35" t="s">
        <v>117</v>
      </c>
      <c r="Z16" s="21" t="s">
        <v>111</v>
      </c>
    </row>
    <row r="17" customFormat="false" ht="15.75" hidden="false" customHeight="true" outlineLevel="0" collapsed="false">
      <c r="A17" s="32" t="n">
        <f aca="false">IF($B17="","",ROW()-4)</f>
        <v>13</v>
      </c>
      <c r="B17" s="26" t="n">
        <v>46106</v>
      </c>
      <c r="C17" s="24" t="s">
        <v>161</v>
      </c>
      <c r="D17" s="21" t="s">
        <v>307</v>
      </c>
      <c r="E17" s="21" t="s">
        <v>117</v>
      </c>
      <c r="F17" s="21" t="s">
        <v>97</v>
      </c>
      <c r="G17" s="24" t="s">
        <v>316</v>
      </c>
      <c r="H17" s="27" t="n">
        <v>78842</v>
      </c>
      <c r="I17" s="23" t="n">
        <v>0.02</v>
      </c>
      <c r="J17" s="25" t="s">
        <v>326</v>
      </c>
      <c r="K17" s="22" t="s">
        <v>313</v>
      </c>
      <c r="L17" s="33" t="str">
        <f aca="false">IF($B17="","",IF(NOT(ISNUMBER($B17)),"日期格式不对",IF($C17="","未选项目编号",IF(LEFT($M17,1)="⚠","项目编号不存在",IF($D17="","未选业务类型",IF($E17="","未选开票/付款方",IF(ISNA(MATCH($E17,单位档案!$A$6:$A$35,0)),"开票方不在单位档案",IF($F17="","未选收票/收款方",IF(ISNA(MATCH($F17,单位档案!$A$6:$A$35,0)),"收款方不在单位档案",IF(NOT(ISNUMBER($H17)),"金额须为数字",IF(AND($D17="销项开票",$N17="—"),"链条待确认","√")))))))))))</f>
        <v>√</v>
      </c>
      <c r="M17" s="34" t="str">
        <f aca="false">IF($C17="","",IFERROR(INDEX(项目档案!$B$6:$B$255,MATCH($C17,项目档案!$A$6:$A$255,0)),"⚠项目编号不存在"))</f>
        <v>重庆铜梁10kV少柏线池塘4社柱台区电压越限治理工程</v>
      </c>
      <c r="N17" s="35" t="str">
        <f aca="false">IF($E17="","",IF($E17=IFERROR(INDEX(项目档案!$D$6:$D$255,MATCH($C17,项目档案!$A$6:$A$255,0)),""),"一级",IF($E17=IFERROR(INDEX(项目档案!$F$6:$F$255,MATCH($C17,项目档案!$A$6:$A$255,0)),""),"二级",IF($E17=IFERROR(INDEX(项目档案!$H$6:$H$255,MATCH($C17,项目档案!$A$6:$A$255,0)),""),"我方","—"))))</f>
        <v>一级</v>
      </c>
      <c r="O17" s="36" t="n">
        <f aca="false">IF($D17&lt;&gt;"销项开票",0,ROUND(N($H17)*N($I17),2))</f>
        <v>1576.84</v>
      </c>
      <c r="P17" s="36" t="n">
        <f aca="false">IF($D17&lt;&gt;"销项开票",0,ROUND(N($H17)-$O17,2))</f>
        <v>77265.16</v>
      </c>
      <c r="Q17" s="37" t="n">
        <f aca="false">IF($E17="","",N(IFERROR(INDEX(单位档案!$E$6:$E$35,MATCH($E17,单位档案!$A$6:$A$35,0)),"")))</f>
        <v>0.03</v>
      </c>
      <c r="R17" s="37" t="n">
        <f aca="false">IF($E17="","",N(IFERROR(INDEX(单位档案!$F$6:$F$35,MATCH($E17,单位档案!$A$6:$A$35,0)),"")))</f>
        <v>0.03</v>
      </c>
      <c r="S17" s="36" t="n">
        <f aca="false">IF(OR($D17&lt;&gt;"销项开票",IFERROR(INDEX(单位档案!$G$6:$G$35,MATCH($E17,单位档案!$A$6:$A$35,0)),"")&lt;&gt;"是",N($Q17)=0),0,IF(IFERROR(INDEX(单位档案!$H$6:$H$35,MATCH($E17,单位档案!$A$6:$A$35,0)),"")="税差法",ROUND(N($H17)/(1+$Q17)*$Q17-IF(N($R17)=0,0,$P17/(1+$R17)*$R17),2),ROUND(N($H17)/(1+$Q17)*$Q17,2)))</f>
        <v>2296.37</v>
      </c>
      <c r="T17" s="36" t="n">
        <f aca="false">ROUND($S17*N(IFERROR(INDEX(单位档案!$J$6:$J$35,MATCH($E17,单位档案!$A$6:$A$35,0)),"")),2)</f>
        <v>137.78</v>
      </c>
      <c r="U17" s="36" t="n">
        <f aca="false">IF($D17&lt;&gt;"销项开票",0,ROUND(N($H17)*N(IFERROR(INDEX(单位档案!$K$6:$K$35,MATCH($E17,单位档案!$A$6:$A$35,0)),"")),2))</f>
        <v>0</v>
      </c>
      <c r="V17" s="36" t="n">
        <f aca="false">IF(OR($D17&lt;&gt;"销项开票",N($Q17)=0),0,ROUND(N($H17)/(1+$Q17)*N(IFERROR(INDEX(单位档案!$L$6:$L$35,MATCH($E17,单位档案!$A$6:$A$35,0)),"")),2))</f>
        <v>153.09</v>
      </c>
      <c r="W17" s="36" t="n">
        <f aca="false">ROUND($S17+$T17+$U17+$V17,2)</f>
        <v>2587.24</v>
      </c>
      <c r="X17" s="35" t="str">
        <f aca="false">IF(OR($D17="挂靠代收",$D17="我方收款"),COUNTIFS($D$5:$D17,"挂靠代收")+COUNTIFS($D$5:$D17,"我方收款"),"")</f>
        <v/>
      </c>
      <c r="Y17" s="35" t="s">
        <v>117</v>
      </c>
      <c r="Z17" s="21" t="s">
        <v>111</v>
      </c>
    </row>
    <row r="18" customFormat="false" ht="15.75" hidden="false" customHeight="true" outlineLevel="0" collapsed="false">
      <c r="A18" s="32" t="n">
        <f aca="false">IF($B18="","",ROW()-4)</f>
        <v>14</v>
      </c>
      <c r="B18" s="26" t="n">
        <v>46106</v>
      </c>
      <c r="C18" s="24" t="s">
        <v>163</v>
      </c>
      <c r="D18" s="21" t="s">
        <v>307</v>
      </c>
      <c r="E18" s="21" t="s">
        <v>117</v>
      </c>
      <c r="F18" s="21" t="s">
        <v>97</v>
      </c>
      <c r="G18" s="24" t="s">
        <v>316</v>
      </c>
      <c r="H18" s="27" t="n">
        <v>79113</v>
      </c>
      <c r="I18" s="23" t="n">
        <v>0.02</v>
      </c>
      <c r="J18" s="25" t="s">
        <v>327</v>
      </c>
      <c r="K18" s="22" t="s">
        <v>313</v>
      </c>
      <c r="L18" s="33" t="str">
        <f aca="false">IF($B18="","",IF(NOT(ISNUMBER($B18)),"日期格式不对",IF($C18="","未选项目编号",IF(LEFT($M18,1)="⚠","项目编号不存在",IF($D18="","未选业务类型",IF($E18="","未选开票/付款方",IF(ISNA(MATCH($E18,单位档案!$A$6:$A$35,0)),"开票方不在单位档案",IF($F18="","未选收票/收款方",IF(ISNA(MATCH($F18,单位档案!$A$6:$A$35,0)),"收款方不在单位档案",IF(NOT(ISNUMBER($H18)),"金额须为数字",IF(AND($D18="销项开票",$N18="—"),"链条待确认","√")))))))))))</f>
        <v>√</v>
      </c>
      <c r="M18" s="34" t="str">
        <f aca="false">IF($C18="","",IFERROR(INDEX(项目档案!$B$6:$B$255,MATCH($C18,项目档案!$A$6:$A$255,0)),"⚠项目编号不存在"))</f>
        <v>重庆铜梁10kV少柏线团山7.6.11社台区电压越限治理工程</v>
      </c>
      <c r="N18" s="35" t="str">
        <f aca="false">IF($E18="","",IF($E18=IFERROR(INDEX(项目档案!$D$6:$D$255,MATCH($C18,项目档案!$A$6:$A$255,0)),""),"一级",IF($E18=IFERROR(INDEX(项目档案!$F$6:$F$255,MATCH($C18,项目档案!$A$6:$A$255,0)),""),"二级",IF($E18=IFERROR(INDEX(项目档案!$H$6:$H$255,MATCH($C18,项目档案!$A$6:$A$255,0)),""),"我方","—"))))</f>
        <v>一级</v>
      </c>
      <c r="O18" s="36" t="n">
        <f aca="false">IF($D18&lt;&gt;"销项开票",0,ROUND(N($H18)*N($I18),2))</f>
        <v>1582.26</v>
      </c>
      <c r="P18" s="36" t="n">
        <f aca="false">IF($D18&lt;&gt;"销项开票",0,ROUND(N($H18)-$O18,2))</f>
        <v>77530.74</v>
      </c>
      <c r="Q18" s="37" t="n">
        <f aca="false">IF($E18="","",N(IFERROR(INDEX(单位档案!$E$6:$E$35,MATCH($E18,单位档案!$A$6:$A$35,0)),"")))</f>
        <v>0.03</v>
      </c>
      <c r="R18" s="37" t="n">
        <f aca="false">IF($E18="","",N(IFERROR(INDEX(单位档案!$F$6:$F$35,MATCH($E18,单位档案!$A$6:$A$35,0)),"")))</f>
        <v>0.03</v>
      </c>
      <c r="S18" s="36" t="n">
        <f aca="false">IF(OR($D18&lt;&gt;"销项开票",IFERROR(INDEX(单位档案!$G$6:$G$35,MATCH($E18,单位档案!$A$6:$A$35,0)),"")&lt;&gt;"是",N($Q18)=0),0,IF(IFERROR(INDEX(单位档案!$H$6:$H$35,MATCH($E18,单位档案!$A$6:$A$35,0)),"")="税差法",ROUND(N($H18)/(1+$Q18)*$Q18-IF(N($R18)=0,0,$P18/(1+$R18)*$R18),2),ROUND(N($H18)/(1+$Q18)*$Q18,2)))</f>
        <v>2304.26</v>
      </c>
      <c r="T18" s="36" t="n">
        <f aca="false">ROUND($S18*N(IFERROR(INDEX(单位档案!$J$6:$J$35,MATCH($E18,单位档案!$A$6:$A$35,0)),"")),2)</f>
        <v>138.26</v>
      </c>
      <c r="U18" s="36" t="n">
        <f aca="false">IF($D18&lt;&gt;"销项开票",0,ROUND(N($H18)*N(IFERROR(INDEX(单位档案!$K$6:$K$35,MATCH($E18,单位档案!$A$6:$A$35,0)),"")),2))</f>
        <v>0</v>
      </c>
      <c r="V18" s="36" t="n">
        <f aca="false">IF(OR($D18&lt;&gt;"销项开票",N($Q18)=0),0,ROUND(N($H18)/(1+$Q18)*N(IFERROR(INDEX(单位档案!$L$6:$L$35,MATCH($E18,单位档案!$A$6:$A$35,0)),"")),2))</f>
        <v>153.62</v>
      </c>
      <c r="W18" s="36" t="n">
        <f aca="false">ROUND($S18+$T18+$U18+$V18,2)</f>
        <v>2596.14</v>
      </c>
      <c r="X18" s="35" t="str">
        <f aca="false">IF(OR($D18="挂靠代收",$D18="我方收款"),COUNTIFS($D$5:$D18,"挂靠代收")+COUNTIFS($D$5:$D18,"我方收款"),"")</f>
        <v/>
      </c>
      <c r="Y18" s="35" t="s">
        <v>117</v>
      </c>
      <c r="Z18" s="21" t="s">
        <v>111</v>
      </c>
    </row>
    <row r="19" customFormat="false" ht="15.75" hidden="false" customHeight="true" outlineLevel="0" collapsed="false">
      <c r="A19" s="32" t="n">
        <f aca="false">IF($B19="","",ROW()-4)</f>
        <v>15</v>
      </c>
      <c r="B19" s="26" t="n">
        <v>46106</v>
      </c>
      <c r="C19" s="24" t="s">
        <v>165</v>
      </c>
      <c r="D19" s="21" t="s">
        <v>307</v>
      </c>
      <c r="E19" s="21" t="s">
        <v>117</v>
      </c>
      <c r="F19" s="21" t="s">
        <v>97</v>
      </c>
      <c r="G19" s="24" t="s">
        <v>316</v>
      </c>
      <c r="H19" s="27" t="n">
        <v>107179</v>
      </c>
      <c r="I19" s="23" t="n">
        <v>0.02</v>
      </c>
      <c r="J19" s="25" t="s">
        <v>328</v>
      </c>
      <c r="K19" s="22" t="s">
        <v>313</v>
      </c>
      <c r="L19" s="33" t="str">
        <f aca="false">IF($B19="","",IF(NOT(ISNUMBER($B19)),"日期格式不对",IF($C19="","未选项目编号",IF(LEFT($M19,1)="⚠","项目编号不存在",IF($D19="","未选业务类型",IF($E19="","未选开票/付款方",IF(ISNA(MATCH($E19,单位档案!$A$6:$A$35,0)),"开票方不在单位档案",IF($F19="","未选收票/收款方",IF(ISNA(MATCH($F19,单位档案!$A$6:$A$35,0)),"收款方不在单位档案",IF(NOT(ISNUMBER($H19)),"金额须为数字",IF(AND($D19="销项开票",$N19="—"),"链条待确认","√")))))))))))</f>
        <v>√</v>
      </c>
      <c r="M19" s="34" t="str">
        <f aca="false">IF($C19="","",IFERROR(INDEX(项目档案!$B$6:$B$255,MATCH($C19,项目档案!$A$6:$A$255,0)),"⚠项目编号不存在"))</f>
        <v>重庆铜梁10kV平凉线惠丰9社等4个台区重过载治理工程</v>
      </c>
      <c r="N19" s="35" t="str">
        <f aca="false">IF($E19="","",IF($E19=IFERROR(INDEX(项目档案!$D$6:$D$255,MATCH($C19,项目档案!$A$6:$A$255,0)),""),"一级",IF($E19=IFERROR(INDEX(项目档案!$F$6:$F$255,MATCH($C19,项目档案!$A$6:$A$255,0)),""),"二级",IF($E19=IFERROR(INDEX(项目档案!$H$6:$H$255,MATCH($C19,项目档案!$A$6:$A$255,0)),""),"我方","—"))))</f>
        <v>一级</v>
      </c>
      <c r="O19" s="36" t="n">
        <f aca="false">IF($D19&lt;&gt;"销项开票",0,ROUND(N($H19)*N($I19),2))</f>
        <v>2143.58</v>
      </c>
      <c r="P19" s="36" t="n">
        <f aca="false">IF($D19&lt;&gt;"销项开票",0,ROUND(N($H19)-$O19,2))</f>
        <v>105035.42</v>
      </c>
      <c r="Q19" s="37" t="n">
        <f aca="false">IF($E19="","",N(IFERROR(INDEX(单位档案!$E$6:$E$35,MATCH($E19,单位档案!$A$6:$A$35,0)),"")))</f>
        <v>0.03</v>
      </c>
      <c r="R19" s="37" t="n">
        <f aca="false">IF($E19="","",N(IFERROR(INDEX(单位档案!$F$6:$F$35,MATCH($E19,单位档案!$A$6:$A$35,0)),"")))</f>
        <v>0.03</v>
      </c>
      <c r="S19" s="36" t="n">
        <f aca="false">IF(OR($D19&lt;&gt;"销项开票",IFERROR(INDEX(单位档案!$G$6:$G$35,MATCH($E19,单位档案!$A$6:$A$35,0)),"")&lt;&gt;"是",N($Q19)=0),0,IF(IFERROR(INDEX(单位档案!$H$6:$H$35,MATCH($E19,单位档案!$A$6:$A$35,0)),"")="税差法",ROUND(N($H19)/(1+$Q19)*$Q19-IF(N($R19)=0,0,$P19/(1+$R19)*$R19),2),ROUND(N($H19)/(1+$Q19)*$Q19,2)))</f>
        <v>3121.72</v>
      </c>
      <c r="T19" s="36" t="n">
        <f aca="false">ROUND($S19*N(IFERROR(INDEX(单位档案!$J$6:$J$35,MATCH($E19,单位档案!$A$6:$A$35,0)),"")),2)</f>
        <v>187.3</v>
      </c>
      <c r="U19" s="36" t="n">
        <f aca="false">IF($D19&lt;&gt;"销项开票",0,ROUND(N($H19)*N(IFERROR(INDEX(单位档案!$K$6:$K$35,MATCH($E19,单位档案!$A$6:$A$35,0)),"")),2))</f>
        <v>0</v>
      </c>
      <c r="V19" s="36" t="n">
        <f aca="false">IF(OR($D19&lt;&gt;"销项开票",N($Q19)=0),0,ROUND(N($H19)/(1+$Q19)*N(IFERROR(INDEX(单位档案!$L$6:$L$35,MATCH($E19,单位档案!$A$6:$A$35,0)),"")),2))</f>
        <v>208.11</v>
      </c>
      <c r="W19" s="36" t="n">
        <f aca="false">ROUND($S19+$T19+$U19+$V19,2)</f>
        <v>3517.13</v>
      </c>
      <c r="X19" s="35" t="str">
        <f aca="false">IF(OR($D19="挂靠代收",$D19="我方收款"),COUNTIFS($D$5:$D19,"挂靠代收")+COUNTIFS($D$5:$D19,"我方收款"),"")</f>
        <v/>
      </c>
      <c r="Y19" s="35" t="s">
        <v>117</v>
      </c>
      <c r="Z19" s="21" t="s">
        <v>111</v>
      </c>
    </row>
    <row r="20" customFormat="false" ht="15.75" hidden="false" customHeight="true" outlineLevel="0" collapsed="false">
      <c r="A20" s="32" t="n">
        <f aca="false">IF($B20="","",ROW()-4)</f>
        <v>16</v>
      </c>
      <c r="B20" s="26" t="n">
        <v>46106</v>
      </c>
      <c r="C20" s="24" t="s">
        <v>165</v>
      </c>
      <c r="D20" s="21" t="s">
        <v>314</v>
      </c>
      <c r="E20" s="21" t="s">
        <v>127</v>
      </c>
      <c r="F20" s="21" t="s">
        <v>117</v>
      </c>
      <c r="G20" s="24" t="s">
        <v>316</v>
      </c>
      <c r="H20" s="27" t="n">
        <v>7443.98</v>
      </c>
      <c r="I20" s="23" t="str">
        <f aca="false">IF($D20&lt;&gt;"销项开票","",IF($N20="一级",IF(IFERROR(INDEX(项目档案!$E$6:$E$255,MATCH($C20,项目档案!$A$6:$A$255,0)),"")="",N(IFERROR(INDEX(单位档案!$D$6:$D$35,MATCH($E20,单位档案!$A$6:$A$35,0)),"")),IFERROR(INDEX(项目档案!$E$6:$E$255,MATCH($C20,项目档案!$A$6:$A$255,0)),"")),IF($N20="二级",IF(IFERROR(INDEX(项目档案!$G$6:$G$255,MATCH($C20,项目档案!$A$6:$A$255,0)),"")="",N(IFERROR(INDEX(单位档案!$D$6:$D$35,MATCH($E20,单位档案!$A$6:$A$35,0)),"")),IFERROR(INDEX(项目档案!$G$6:$G$255,MATCH($C20,项目档案!$A$6:$A$255,0)),"")),N(IFERROR(INDEX(单位档案!$D$6:$D$35,MATCH($E20,单位档案!$A$6:$A$35,0)),"")))))</f>
        <v/>
      </c>
      <c r="J20" s="25" t="s">
        <v>328</v>
      </c>
      <c r="K20" s="22" t="s">
        <v>313</v>
      </c>
      <c r="L20" s="33" t="str">
        <f aca="false">IF($B20="","",IF(NOT(ISNUMBER($B20)),"日期格式不对",IF($C20="","未选项目编号",IF(LEFT($M20,1)="⚠","项目编号不存在",IF($D20="","未选业务类型",IF($E20="","未选开票/付款方",IF(ISNA(MATCH($E20,单位档案!$A$6:$A$35,0)),"开票方不在单位档案",IF($F20="","未选收票/收款方",IF(ISNA(MATCH($F20,单位档案!$A$6:$A$35,0)),"收款方不在单位档案",IF(NOT(ISNUMBER($H20)),"金额须为数字",IF(AND($D20="销项开票",$N20="—"),"链条待确认","√")))))))))))</f>
        <v>√</v>
      </c>
      <c r="M20" s="34" t="str">
        <f aca="false">IF($C20="","",IFERROR(INDEX(项目档案!$B$6:$B$255,MATCH($C20,项目档案!$A$6:$A$255,0)),"⚠项目编号不存在"))</f>
        <v>重庆铜梁10kV平凉线惠丰9社等4个台区重过载治理工程</v>
      </c>
      <c r="N20" s="35" t="str">
        <f aca="false">IF($E20="","",IF($E20=IFERROR(INDEX(项目档案!$D$6:$D$255,MATCH($C20,项目档案!$A$6:$A$255,0)),""),"一级",IF($E20=IFERROR(INDEX(项目档案!$F$6:$F$255,MATCH($C20,项目档案!$A$6:$A$255,0)),""),"二级",IF($E20=IFERROR(INDEX(项目档案!$H$6:$H$255,MATCH($C20,项目档案!$A$6:$A$255,0)),""),"我方","—"))))</f>
        <v>我方</v>
      </c>
      <c r="O20" s="36" t="n">
        <f aca="false">IF($D20&lt;&gt;"销项开票",0,ROUND(N($H20)*N($I20),2))</f>
        <v>0</v>
      </c>
      <c r="P20" s="36" t="n">
        <f aca="false">IF($D20&lt;&gt;"销项开票",0,ROUND(N($H20)-$O20,2))</f>
        <v>0</v>
      </c>
      <c r="Q20" s="37" t="n">
        <f aca="false">IF($E20="","",N(IFERROR(INDEX(单位档案!$E$6:$E$35,MATCH($E20,单位档案!$A$6:$A$35,0)),"")))</f>
        <v>0.03</v>
      </c>
      <c r="R20" s="37" t="n">
        <f aca="false">IF($E20="","",N(IFERROR(INDEX(单位档案!$F$6:$F$35,MATCH($E20,单位档案!$A$6:$A$35,0)),"")))</f>
        <v>0</v>
      </c>
      <c r="S20" s="36" t="n">
        <f aca="false">IF(OR($D20&lt;&gt;"销项开票",IFERROR(INDEX(单位档案!$G$6:$G$35,MATCH($E20,单位档案!$A$6:$A$35,0)),"")&lt;&gt;"是",N($Q20)=0),0,IF(IFERROR(INDEX(单位档案!$H$6:$H$35,MATCH($E20,单位档案!$A$6:$A$35,0)),"")="税差法",ROUND(N($H20)/(1+$Q20)*$Q20-IF(N($R20)=0,0,$P20/(1+$R20)*$R20),2),ROUND(N($H20)/(1+$Q20)*$Q20,2)))</f>
        <v>0</v>
      </c>
      <c r="T20" s="36" t="n">
        <f aca="false">ROUND($S20*N(IFERROR(INDEX(单位档案!$J$6:$J$35,MATCH($E20,单位档案!$A$6:$A$35,0)),"")),2)</f>
        <v>0</v>
      </c>
      <c r="U20" s="36" t="n">
        <f aca="false">IF($D20&lt;&gt;"销项开票",0,ROUND(N($H20)*N(IFERROR(INDEX(单位档案!$K$6:$K$35,MATCH($E20,单位档案!$A$6:$A$35,0)),"")),2))</f>
        <v>0</v>
      </c>
      <c r="V20" s="36" t="n">
        <f aca="false">IF(OR($D20&lt;&gt;"销项开票",N($Q20)=0),0,ROUND(N($H20)/(1+$Q20)*N(IFERROR(INDEX(单位档案!$L$6:$L$35,MATCH($E20,单位档案!$A$6:$A$35,0)),"")),2))</f>
        <v>0</v>
      </c>
      <c r="W20" s="36" t="n">
        <f aca="false">ROUND($S20+$T20+$U20+$V20,2)</f>
        <v>0</v>
      </c>
      <c r="X20" s="35" t="str">
        <f aca="false">IF(OR($D20="挂靠代收",$D20="我方收款"),COUNTIFS($D$5:$D20,"挂靠代收")+COUNTIFS($D$5:$D20,"我方收款"),"")</f>
        <v/>
      </c>
      <c r="Y20" s="35" t="s">
        <v>117</v>
      </c>
      <c r="Z20" s="21" t="s">
        <v>111</v>
      </c>
    </row>
    <row r="21" customFormat="false" ht="15.75" hidden="false" customHeight="true" outlineLevel="0" collapsed="false">
      <c r="A21" s="32" t="n">
        <f aca="false">IF($B21="","",ROW()-4)</f>
        <v>17</v>
      </c>
      <c r="B21" s="26" t="n">
        <v>46107</v>
      </c>
      <c r="C21" s="24" t="s">
        <v>165</v>
      </c>
      <c r="D21" s="21" t="s">
        <v>11</v>
      </c>
      <c r="E21" s="21" t="s">
        <v>117</v>
      </c>
      <c r="F21" s="21" t="s">
        <v>134</v>
      </c>
      <c r="G21" s="24"/>
      <c r="H21" s="27" t="n">
        <v>12213.85</v>
      </c>
      <c r="I21" s="23" t="str">
        <f aca="false">IF($D21&lt;&gt;"销项开票","",IF($N21="一级",IF(IFERROR(INDEX(项目档案!$E$6:$E$255,MATCH($C21,项目档案!$A$6:$A$255,0)),"")="",N(IFERROR(INDEX(单位档案!$D$6:$D$35,MATCH($E21,单位档案!$A$6:$A$35,0)),"")),IFERROR(INDEX(项目档案!$E$6:$E$255,MATCH($C21,项目档案!$A$6:$A$255,0)),"")),IF($N21="二级",IF(IFERROR(INDEX(项目档案!$G$6:$G$255,MATCH($C21,项目档案!$A$6:$A$255,0)),"")="",N(IFERROR(INDEX(单位档案!$D$6:$D$35,MATCH($E21,单位档案!$A$6:$A$35,0)),"")),IFERROR(INDEX(项目档案!$G$6:$G$255,MATCH($C21,项目档案!$A$6:$A$255,0)),"")),N(IFERROR(INDEX(单位档案!$D$6:$D$35,MATCH($E21,单位档案!$A$6:$A$35,0)),"")))))</f>
        <v/>
      </c>
      <c r="J21" s="25" t="s">
        <v>329</v>
      </c>
      <c r="K21" s="22" t="s">
        <v>313</v>
      </c>
      <c r="L21" s="33" t="str">
        <f aca="false">IF($B21="","",IF(NOT(ISNUMBER($B21)),"日期格式不对",IF($C21="","未选项目编号",IF(LEFT($M21,1)="⚠","项目编号不存在",IF($D21="","未选业务类型",IF($E21="","未选开票/付款方",IF(ISNA(MATCH($E21,单位档案!$A$6:$A$35,0)),"开票方不在单位档案",IF($F21="","未选收票/收款方",IF(ISNA(MATCH($F21,单位档案!$A$6:$A$35,0)),"收款方不在单位档案",IF(NOT(ISNUMBER($H21)),"金额须为数字",IF(AND($D21="销项开票",$N21="—"),"链条待确认","√")))))))))))</f>
        <v>√</v>
      </c>
      <c r="M21" s="34" t="str">
        <f aca="false">IF($C21="","",IFERROR(INDEX(项目档案!$B$6:$B$255,MATCH($C21,项目档案!$A$6:$A$255,0)),"⚠项目编号不存在"))</f>
        <v>重庆铜梁10kV平凉线惠丰9社等4个台区重过载治理工程</v>
      </c>
      <c r="N21" s="35" t="str">
        <f aca="false">IF($E21="","",IF($E21=IFERROR(INDEX(项目档案!$D$6:$D$255,MATCH($C21,项目档案!$A$6:$A$255,0)),""),"一级",IF($E21=IFERROR(INDEX(项目档案!$F$6:$F$255,MATCH($C21,项目档案!$A$6:$A$255,0)),""),"二级",IF($E21=IFERROR(INDEX(项目档案!$H$6:$H$255,MATCH($C21,项目档案!$A$6:$A$255,0)),""),"我方","—"))))</f>
        <v>一级</v>
      </c>
      <c r="O21" s="36" t="n">
        <f aca="false">IF($D21&lt;&gt;"销项开票",0,ROUND(N($H21)*N($I21),2))</f>
        <v>0</v>
      </c>
      <c r="P21" s="36" t="n">
        <f aca="false">IF($D21&lt;&gt;"销项开票",0,ROUND(N($H21)-$O21,2))</f>
        <v>0</v>
      </c>
      <c r="Q21" s="37" t="n">
        <f aca="false">IF($E21="","",N(IFERROR(INDEX(单位档案!$E$6:$E$35,MATCH($E21,单位档案!$A$6:$A$35,0)),"")))</f>
        <v>0.03</v>
      </c>
      <c r="R21" s="37" t="n">
        <f aca="false">IF($E21="","",N(IFERROR(INDEX(单位档案!$F$6:$F$35,MATCH($E21,单位档案!$A$6:$A$35,0)),"")))</f>
        <v>0.03</v>
      </c>
      <c r="S21" s="36" t="n">
        <f aca="false">IF(OR($D21&lt;&gt;"销项开票",IFERROR(INDEX(单位档案!$G$6:$G$35,MATCH($E21,单位档案!$A$6:$A$35,0)),"")&lt;&gt;"是",N($Q21)=0),0,IF(IFERROR(INDEX(单位档案!$H$6:$H$35,MATCH($E21,单位档案!$A$6:$A$35,0)),"")="税差法",ROUND(N($H21)/(1+$Q21)*$Q21-IF(N($R21)=0,0,$P21/(1+$R21)*$R21),2),ROUND(N($H21)/(1+$Q21)*$Q21,2)))</f>
        <v>0</v>
      </c>
      <c r="T21" s="36" t="n">
        <f aca="false">ROUND($S21*N(IFERROR(INDEX(单位档案!$J$6:$J$35,MATCH($E21,单位档案!$A$6:$A$35,0)),"")),2)</f>
        <v>0</v>
      </c>
      <c r="U21" s="36" t="n">
        <f aca="false">IF($D21&lt;&gt;"销项开票",0,ROUND(N($H21)*N(IFERROR(INDEX(单位档案!$K$6:$K$35,MATCH($E21,单位档案!$A$6:$A$35,0)),"")),2))</f>
        <v>0</v>
      </c>
      <c r="V21" s="36" t="n">
        <f aca="false">IF(OR($D21&lt;&gt;"销项开票",N($Q21)=0),0,ROUND(N($H21)/(1+$Q21)*N(IFERROR(INDEX(单位档案!$L$6:$L$35,MATCH($E21,单位档案!$A$6:$A$35,0)),"")),2))</f>
        <v>0</v>
      </c>
      <c r="W21" s="36" t="n">
        <f aca="false">ROUND($S21+$T21+$U21+$V21,2)</f>
        <v>0</v>
      </c>
      <c r="X21" s="35" t="str">
        <f aca="false">IF(OR($D21="挂靠代收",$D21="我方收款"),COUNTIFS($D$5:$D21,"挂靠代收")+COUNTIFS($D$5:$D21,"我方收款"),"")</f>
        <v/>
      </c>
      <c r="Y21" s="35" t="s">
        <v>117</v>
      </c>
      <c r="Z21" s="21" t="s">
        <v>111</v>
      </c>
    </row>
    <row r="22" customFormat="false" ht="15.75" hidden="false" customHeight="true" outlineLevel="0" collapsed="false">
      <c r="A22" s="32" t="n">
        <f aca="false">IF($B22="","",ROW()-4)</f>
        <v>18</v>
      </c>
      <c r="B22" s="26" t="n">
        <v>46108</v>
      </c>
      <c r="C22" s="24" t="s">
        <v>153</v>
      </c>
      <c r="D22" s="21" t="s">
        <v>307</v>
      </c>
      <c r="E22" s="21" t="s">
        <v>114</v>
      </c>
      <c r="F22" s="21" t="s">
        <v>106</v>
      </c>
      <c r="G22" s="24" t="s">
        <v>308</v>
      </c>
      <c r="H22" s="27" t="n">
        <v>130728</v>
      </c>
      <c r="I22" s="23" t="n">
        <v>0.02</v>
      </c>
      <c r="J22" s="25" t="s">
        <v>330</v>
      </c>
      <c r="K22" s="22" t="s">
        <v>331</v>
      </c>
      <c r="L22" s="33" t="str">
        <f aca="false">IF($B22="","",IF(NOT(ISNUMBER($B22)),"日期格式不对",IF($C22="","未选项目编号",IF(LEFT($M22,1)="⚠","项目编号不存在",IF($D22="","未选业务类型",IF($E22="","未选开票/付款方",IF(ISNA(MATCH($E22,单位档案!$A$6:$A$35,0)),"开票方不在单位档案",IF($F22="","未选收票/收款方",IF(ISNA(MATCH($F22,单位档案!$A$6:$A$35,0)),"收款方不在单位档案",IF(NOT(ISNUMBER($H22)),"金额须为数字",IF(AND($D22="销项开票",$N22="—"),"链条待确认","√")))))))))))</f>
        <v>√</v>
      </c>
      <c r="M22" s="34" t="str">
        <f aca="false">IF($C22="","",IFERROR(INDEX(项目档案!$B$6:$B$255,MATCH($C22,项目档案!$A$6:$A$255,0)),"⚠项目编号不存在"))</f>
        <v>重庆铜梁10kV平双线新建联络工程</v>
      </c>
      <c r="N22" s="35" t="str">
        <f aca="false">IF($E22="","",IF($E22=IFERROR(INDEX(项目档案!$D$6:$D$255,MATCH($C22,项目档案!$A$6:$A$255,0)),""),"一级",IF($E22=IFERROR(INDEX(项目档案!$F$6:$F$255,MATCH($C22,项目档案!$A$6:$A$255,0)),""),"二级",IF($E22=IFERROR(INDEX(项目档案!$H$6:$H$255,MATCH($C22,项目档案!$A$6:$A$255,0)),""),"我方","—"))))</f>
        <v>一级</v>
      </c>
      <c r="O22" s="36" t="n">
        <f aca="false">IF($D22&lt;&gt;"销项开票",0,ROUND(N($H22)*N($I22),2))</f>
        <v>2614.56</v>
      </c>
      <c r="P22" s="36" t="n">
        <f aca="false">IF($D22&lt;&gt;"销项开票",0,ROUND(N($H22)-$O22,2))</f>
        <v>128113.44</v>
      </c>
      <c r="Q22" s="37" t="n">
        <f aca="false">IF($E22="","",N(IFERROR(INDEX(单位档案!$E$6:$E$35,MATCH($E22,单位档案!$A$6:$A$35,0)),"")))</f>
        <v>0.03</v>
      </c>
      <c r="R22" s="37" t="n">
        <f aca="false">IF($E22="","",N(IFERROR(INDEX(单位档案!$F$6:$F$35,MATCH($E22,单位档案!$A$6:$A$35,0)),"")))</f>
        <v>0.01</v>
      </c>
      <c r="S22" s="36" t="n">
        <f aca="false">IF(OR($D22&lt;&gt;"销项开票",IFERROR(INDEX(单位档案!$G$6:$G$35,MATCH($E22,单位档案!$A$6:$A$35,0)),"")&lt;&gt;"是",N($Q22)=0),0,IF(IFERROR(INDEX(单位档案!$H$6:$H$35,MATCH($E22,单位档案!$A$6:$A$35,0)),"")="税差法",ROUND(N($H22)/(1+$Q22)*$Q22-IF(N($R22)=0,0,$P22/(1+$R22)*$R22),2),ROUND(N($H22)/(1+$Q22)*$Q22,2)))</f>
        <v>3807.61</v>
      </c>
      <c r="T22" s="36" t="n">
        <f aca="false">ROUND($S22*N(IFERROR(INDEX(单位档案!$J$6:$J$35,MATCH($E22,单位档案!$A$6:$A$35,0)),"")),2)</f>
        <v>456.91</v>
      </c>
      <c r="U22" s="36" t="n">
        <f aca="false">IF($D22&lt;&gt;"销项开票",0,ROUND(N($H22)*N(IFERROR(INDEX(单位档案!$K$6:$K$35,MATCH($E22,单位档案!$A$6:$A$35,0)),"")),2))</f>
        <v>39.22</v>
      </c>
      <c r="V22" s="36" t="n">
        <f aca="false">IF(OR($D22&lt;&gt;"销项开票",N($Q22)=0),0,ROUND(N($H22)/(1+$Q22)*N(IFERROR(INDEX(单位档案!$L$6:$L$35,MATCH($E22,单位档案!$A$6:$A$35,0)),"")),2))</f>
        <v>0</v>
      </c>
      <c r="W22" s="36" t="n">
        <f aca="false">ROUND($S22+$T22+$U22+$V22,2)</f>
        <v>4303.74</v>
      </c>
      <c r="X22" s="35" t="str">
        <f aca="false">IF(OR($D22="挂靠代收",$D22="我方收款"),COUNTIFS($D$5:$D22,"挂靠代收")+COUNTIFS($D$5:$D22,"我方收款"),"")</f>
        <v/>
      </c>
      <c r="Y22" s="35" t="s">
        <v>114</v>
      </c>
      <c r="Z22" s="21" t="s">
        <v>100</v>
      </c>
    </row>
    <row r="23" customFormat="false" ht="15.75" hidden="false" customHeight="true" outlineLevel="0" collapsed="false">
      <c r="A23" s="32" t="n">
        <f aca="false">IF($B23="","",ROW()-4)</f>
        <v>19</v>
      </c>
      <c r="B23" s="26" t="n">
        <v>46108</v>
      </c>
      <c r="C23" s="24" t="s">
        <v>153</v>
      </c>
      <c r="D23" s="21" t="s">
        <v>319</v>
      </c>
      <c r="E23" s="21" t="s">
        <v>97</v>
      </c>
      <c r="F23" s="21" t="s">
        <v>114</v>
      </c>
      <c r="G23" s="24" t="s">
        <v>308</v>
      </c>
      <c r="H23" s="27" t="n">
        <v>10458.24</v>
      </c>
      <c r="I23" s="23" t="str">
        <f aca="false">IF($D23&lt;&gt;"销项开票","",IF($N23="一级",IF(IFERROR(INDEX(项目档案!$E$6:$E$255,MATCH($C23,项目档案!$A$6:$A$255,0)),"")="",N(IFERROR(INDEX(单位档案!$D$6:$D$35,MATCH($E23,单位档案!$A$6:$A$35,0)),"")),IFERROR(INDEX(项目档案!$E$6:$E$255,MATCH($C23,项目档案!$A$6:$A$255,0)),"")),IF($N23="二级",IF(IFERROR(INDEX(项目档案!$G$6:$G$255,MATCH($C23,项目档案!$A$6:$A$255,0)),"")="",N(IFERROR(INDEX(单位档案!$D$6:$D$35,MATCH($E23,单位档案!$A$6:$A$35,0)),"")),IFERROR(INDEX(项目档案!$G$6:$G$255,MATCH($C23,项目档案!$A$6:$A$255,0)),"")),N(IFERROR(INDEX(单位档案!$D$6:$D$35,MATCH($E23,单位档案!$A$6:$A$35,0)),"")))))</f>
        <v/>
      </c>
      <c r="J23" s="25" t="s">
        <v>330</v>
      </c>
      <c r="K23" s="22" t="s">
        <v>313</v>
      </c>
      <c r="L23" s="33" t="str">
        <f aca="false">IF($B23="","",IF(NOT(ISNUMBER($B23)),"日期格式不对",IF($C23="","未选项目编号",IF(LEFT($M23,1)="⚠","项目编号不存在",IF($D23="","未选业务类型",IF($E23="","未选开票/付款方",IF(ISNA(MATCH($E23,单位档案!$A$6:$A$35,0)),"开票方不在单位档案",IF($F23="","未选收票/收款方",IF(ISNA(MATCH($F23,单位档案!$A$6:$A$35,0)),"收款方不在单位档案",IF(NOT(ISNUMBER($H23)),"金额须为数字",IF(AND($D23="销项开票",$N23="—"),"链条待确认","√")))))))))))</f>
        <v>√</v>
      </c>
      <c r="M23" s="34" t="str">
        <f aca="false">IF($C23="","",IFERROR(INDEX(项目档案!$B$6:$B$255,MATCH($C23,项目档案!$A$6:$A$255,0)),"⚠项目编号不存在"))</f>
        <v>重庆铜梁10kV平双线新建联络工程</v>
      </c>
      <c r="N23" s="35" t="str">
        <f aca="false">IF($E23="","",IF($E23=IFERROR(INDEX(项目档案!$D$6:$D$255,MATCH($C23,项目档案!$A$6:$A$255,0)),""),"一级",IF($E23=IFERROR(INDEX(项目档案!$F$6:$F$255,MATCH($C23,项目档案!$A$6:$A$255,0)),""),"二级",IF($E23=IFERROR(INDEX(项目档案!$H$6:$H$255,MATCH($C23,项目档案!$A$6:$A$255,0)),""),"我方","—"))))</f>
        <v>—</v>
      </c>
      <c r="O23" s="36" t="n">
        <f aca="false">IF($D23&lt;&gt;"销项开票",0,ROUND(N($H23)*N($I23),2))</f>
        <v>0</v>
      </c>
      <c r="P23" s="36" t="n">
        <f aca="false">IF($D23&lt;&gt;"销项开票",0,ROUND(N($H23)-$O23,2))</f>
        <v>0</v>
      </c>
      <c r="Q23" s="37" t="n">
        <f aca="false">IF($E23="","",N(IFERROR(INDEX(单位档案!$E$6:$E$35,MATCH($E23,单位档案!$A$6:$A$35,0)),"")))</f>
        <v>0</v>
      </c>
      <c r="R23" s="37" t="n">
        <f aca="false">IF($E23="","",N(IFERROR(INDEX(单位档案!$F$6:$F$35,MATCH($E23,单位档案!$A$6:$A$35,0)),"")))</f>
        <v>0</v>
      </c>
      <c r="S23" s="36" t="n">
        <f aca="false">IF(OR($D23&lt;&gt;"销项开票",IFERROR(INDEX(单位档案!$G$6:$G$35,MATCH($E23,单位档案!$A$6:$A$35,0)),"")&lt;&gt;"是",N($Q23)=0),0,IF(IFERROR(INDEX(单位档案!$H$6:$H$35,MATCH($E23,单位档案!$A$6:$A$35,0)),"")="税差法",ROUND(N($H23)/(1+$Q23)*$Q23-IF(N($R23)=0,0,$P23/(1+$R23)*$R23),2),ROUND(N($H23)/(1+$Q23)*$Q23,2)))</f>
        <v>0</v>
      </c>
      <c r="T23" s="36" t="n">
        <f aca="false">ROUND($S23*N(IFERROR(INDEX(单位档案!$J$6:$J$35,MATCH($E23,单位档案!$A$6:$A$35,0)),"")),2)</f>
        <v>0</v>
      </c>
      <c r="U23" s="36" t="n">
        <f aca="false">IF($D23&lt;&gt;"销项开票",0,ROUND(N($H23)*N(IFERROR(INDEX(单位档案!$K$6:$K$35,MATCH($E23,单位档案!$A$6:$A$35,0)),"")),2))</f>
        <v>0</v>
      </c>
      <c r="V23" s="36" t="n">
        <f aca="false">IF(OR($D23&lt;&gt;"销项开票",N($Q23)=0),0,ROUND(N($H23)/(1+$Q23)*N(IFERROR(INDEX(单位档案!$L$6:$L$35,MATCH($E23,单位档案!$A$6:$A$35,0)),"")),2))</f>
        <v>0</v>
      </c>
      <c r="W23" s="36" t="n">
        <f aca="false">ROUND($S23+$T23+$U23+$V23,2)</f>
        <v>0</v>
      </c>
      <c r="X23" s="35" t="n">
        <f aca="false">IF(OR($D23="挂靠代收",$D23="我方收款"),COUNTIFS($D$5:$D23,"挂靠代收")+COUNTIFS($D$5:$D23,"我方收款"),"")</f>
        <v>3</v>
      </c>
      <c r="Y23" s="35" t="s">
        <v>114</v>
      </c>
      <c r="Z23" s="21" t="s">
        <v>111</v>
      </c>
    </row>
    <row r="24" customFormat="false" ht="15.75" hidden="false" customHeight="true" outlineLevel="0" collapsed="false">
      <c r="A24" s="32" t="n">
        <f aca="false">IF($B24="","",ROW()-4)</f>
        <v>20</v>
      </c>
      <c r="B24" s="26" t="n">
        <v>46108</v>
      </c>
      <c r="C24" s="24" t="s">
        <v>156</v>
      </c>
      <c r="D24" s="21" t="s">
        <v>307</v>
      </c>
      <c r="E24" s="21" t="s">
        <v>121</v>
      </c>
      <c r="F24" s="21" t="s">
        <v>106</v>
      </c>
      <c r="G24" s="24" t="s">
        <v>308</v>
      </c>
      <c r="H24" s="27" t="n">
        <v>17260.86</v>
      </c>
      <c r="I24" s="23" t="n">
        <v>0.02</v>
      </c>
      <c r="J24" s="25" t="s">
        <v>332</v>
      </c>
      <c r="K24" s="22" t="s">
        <v>333</v>
      </c>
      <c r="L24" s="33" t="str">
        <f aca="false">IF($B24="","",IF(NOT(ISNUMBER($B24)),"日期格式不对",IF($C24="","未选项目编号",IF(LEFT($M24,1)="⚠","项目编号不存在",IF($D24="","未选业务类型",IF($E24="","未选开票/付款方",IF(ISNA(MATCH($E24,单位档案!$A$6:$A$35,0)),"开票方不在单位档案",IF($F24="","未选收票/收款方",IF(ISNA(MATCH($F24,单位档案!$A$6:$A$35,0)),"收款方不在单位档案",IF(NOT(ISNUMBER($H24)),"金额须为数字",IF(AND($D24="销项开票",$N24="—"),"链条待确认","√")))))))))))</f>
        <v>链条待确认</v>
      </c>
      <c r="M24" s="34" t="str">
        <f aca="false">IF($C24="","",IFERROR(INDEX(项目档案!$B$6:$B$255,MATCH($C24,项目档案!$A$6:$A$255,0)),"⚠项目编号不存在"))</f>
        <v>重庆铜梁10kV水羊线金鸡3（4）社台区重过载治理工程</v>
      </c>
      <c r="N24" s="35" t="str">
        <f aca="false">IF($E24="","",IF($E24=IFERROR(INDEX(项目档案!$D$6:$D$255,MATCH($C24,项目档案!$A$6:$A$255,0)),""),"一级",IF($E24=IFERROR(INDEX(项目档案!$F$6:$F$255,MATCH($C24,项目档案!$A$6:$A$255,0)),""),"二级",IF($E24=IFERROR(INDEX(项目档案!$H$6:$H$255,MATCH($C24,项目档案!$A$6:$A$255,0)),""),"我方","—"))))</f>
        <v>—</v>
      </c>
      <c r="O24" s="36" t="n">
        <f aca="false">IF($D24&lt;&gt;"销项开票",0,ROUND(N($H24)*N($I24),2))</f>
        <v>345.22</v>
      </c>
      <c r="P24" s="36" t="n">
        <f aca="false">IF($D24&lt;&gt;"销项开票",0,ROUND(N($H24)-$O24,2))</f>
        <v>16915.64</v>
      </c>
      <c r="Q24" s="37" t="n">
        <f aca="false">IF($E24="","",N(IFERROR(INDEX(单位档案!$E$6:$E$35,MATCH($E24,单位档案!$A$6:$A$35,0)),"")))</f>
        <v>0.13</v>
      </c>
      <c r="R24" s="37" t="n">
        <f aca="false">IF($E24="","",N(IFERROR(INDEX(单位档案!$F$6:$F$35,MATCH($E24,单位档案!$A$6:$A$35,0)),"")))</f>
        <v>0.13</v>
      </c>
      <c r="S24" s="36" t="n">
        <f aca="false">IF(OR($D24&lt;&gt;"销项开票",IFERROR(INDEX(单位档案!$G$6:$G$35,MATCH($E24,单位档案!$A$6:$A$35,0)),"")&lt;&gt;"是",N($Q24)=0),0,IF(IFERROR(INDEX(单位档案!$H$6:$H$35,MATCH($E24,单位档案!$A$6:$A$35,0)),"")="税差法",ROUND(N($H24)/(1+$Q24)*$Q24-IF(N($R24)=0,0,$P24/(1+$R24)*$R24),2),ROUND(N($H24)/(1+$Q24)*$Q24,2)))</f>
        <v>39.72</v>
      </c>
      <c r="T24" s="36" t="n">
        <f aca="false">ROUND($S24*N(IFERROR(INDEX(单位档案!$J$6:$J$35,MATCH($E24,单位档案!$A$6:$A$35,0)),"")),2)</f>
        <v>2.38</v>
      </c>
      <c r="U24" s="36" t="n">
        <f aca="false">IF($D24&lt;&gt;"销项开票",0,ROUND(N($H24)*N(IFERROR(INDEX(单位档案!$K$6:$K$35,MATCH($E24,单位档案!$A$6:$A$35,0)),"")),2))</f>
        <v>0</v>
      </c>
      <c r="V24" s="36" t="n">
        <f aca="false">IF(OR($D24&lt;&gt;"销项开票",N($Q24)=0),0,ROUND(N($H24)/(1+$Q24)*N(IFERROR(INDEX(单位档案!$L$6:$L$35,MATCH($E24,单位档案!$A$6:$A$35,0)),"")),2))</f>
        <v>0</v>
      </c>
      <c r="W24" s="36" t="n">
        <f aca="false">ROUND($S24+$T24+$U24+$V24,2)</f>
        <v>42.1</v>
      </c>
      <c r="X24" s="35" t="str">
        <f aca="false">IF(OR($D24="挂靠代收",$D24="我方收款"),COUNTIFS($D$5:$D24,"挂靠代收")+COUNTIFS($D$5:$D24,"我方收款"),"")</f>
        <v/>
      </c>
      <c r="Y24" s="35" t="s">
        <v>121</v>
      </c>
      <c r="Z24" s="21" t="s">
        <v>100</v>
      </c>
    </row>
    <row r="25" customFormat="false" ht="15.75" hidden="false" customHeight="true" outlineLevel="0" collapsed="false">
      <c r="A25" s="32" t="n">
        <f aca="false">IF($B25="","",ROW()-4)</f>
        <v>21</v>
      </c>
      <c r="B25" s="26" t="n">
        <v>46108</v>
      </c>
      <c r="C25" s="24" t="s">
        <v>159</v>
      </c>
      <c r="D25" s="21" t="s">
        <v>307</v>
      </c>
      <c r="E25" s="21" t="s">
        <v>121</v>
      </c>
      <c r="F25" s="21" t="s">
        <v>106</v>
      </c>
      <c r="G25" s="24" t="s">
        <v>308</v>
      </c>
      <c r="H25" s="27" t="n">
        <v>17281.65</v>
      </c>
      <c r="I25" s="23" t="n">
        <v>0.02</v>
      </c>
      <c r="J25" s="25" t="s">
        <v>334</v>
      </c>
      <c r="K25" s="22" t="s">
        <v>335</v>
      </c>
      <c r="L25" s="33" t="str">
        <f aca="false">IF($B25="","",IF(NOT(ISNUMBER($B25)),"日期格式不对",IF($C25="","未选项目编号",IF(LEFT($M25,1)="⚠","项目编号不存在",IF($D25="","未选业务类型",IF($E25="","未选开票/付款方",IF(ISNA(MATCH($E25,单位档案!$A$6:$A$35,0)),"开票方不在单位档案",IF($F25="","未选收票/收款方",IF(ISNA(MATCH($F25,单位档案!$A$6:$A$35,0)),"收款方不在单位档案",IF(NOT(ISNUMBER($H25)),"金额须为数字",IF(AND($D25="销项开票",$N25="—"),"链条待确认","√")))))))))))</f>
        <v>链条待确认</v>
      </c>
      <c r="M25" s="34" t="str">
        <f aca="false">IF($C25="","",IFERROR(INDEX(项目档案!$B$6:$B$255,MATCH($C25,项目档案!$A$6:$A$255,0)),"⚠项目编号不存在"))</f>
        <v>重庆铜梁10kV龙羊线七佛4社台区重过载治理工程</v>
      </c>
      <c r="N25" s="35" t="str">
        <f aca="false">IF($E25="","",IF($E25=IFERROR(INDEX(项目档案!$D$6:$D$255,MATCH($C25,项目档案!$A$6:$A$255,0)),""),"一级",IF($E25=IFERROR(INDEX(项目档案!$F$6:$F$255,MATCH($C25,项目档案!$A$6:$A$255,0)),""),"二级",IF($E25=IFERROR(INDEX(项目档案!$H$6:$H$255,MATCH($C25,项目档案!$A$6:$A$255,0)),""),"我方","—"))))</f>
        <v>—</v>
      </c>
      <c r="O25" s="36" t="n">
        <f aca="false">IF($D25&lt;&gt;"销项开票",0,ROUND(N($H25)*N($I25),2))</f>
        <v>345.63</v>
      </c>
      <c r="P25" s="36" t="n">
        <f aca="false">IF($D25&lt;&gt;"销项开票",0,ROUND(N($H25)-$O25,2))</f>
        <v>16936.02</v>
      </c>
      <c r="Q25" s="37" t="n">
        <f aca="false">IF($E25="","",N(IFERROR(INDEX(单位档案!$E$6:$E$35,MATCH($E25,单位档案!$A$6:$A$35,0)),"")))</f>
        <v>0.13</v>
      </c>
      <c r="R25" s="37" t="n">
        <f aca="false">IF($E25="","",N(IFERROR(INDEX(单位档案!$F$6:$F$35,MATCH($E25,单位档案!$A$6:$A$35,0)),"")))</f>
        <v>0.13</v>
      </c>
      <c r="S25" s="36" t="n">
        <f aca="false">IF(OR($D25&lt;&gt;"销项开票",IFERROR(INDEX(单位档案!$G$6:$G$35,MATCH($E25,单位档案!$A$6:$A$35,0)),"")&lt;&gt;"是",N($Q25)=0),0,IF(IFERROR(INDEX(单位档案!$H$6:$H$35,MATCH($E25,单位档案!$A$6:$A$35,0)),"")="税差法",ROUND(N($H25)/(1+$Q25)*$Q25-IF(N($R25)=0,0,$P25/(1+$R25)*$R25),2),ROUND(N($H25)/(1+$Q25)*$Q25,2)))</f>
        <v>39.76</v>
      </c>
      <c r="T25" s="36" t="n">
        <f aca="false">ROUND($S25*N(IFERROR(INDEX(单位档案!$J$6:$J$35,MATCH($E25,单位档案!$A$6:$A$35,0)),"")),2)</f>
        <v>2.39</v>
      </c>
      <c r="U25" s="36" t="n">
        <f aca="false">IF($D25&lt;&gt;"销项开票",0,ROUND(N($H25)*N(IFERROR(INDEX(单位档案!$K$6:$K$35,MATCH($E25,单位档案!$A$6:$A$35,0)),"")),2))</f>
        <v>0</v>
      </c>
      <c r="V25" s="36" t="n">
        <f aca="false">IF(OR($D25&lt;&gt;"销项开票",N($Q25)=0),0,ROUND(N($H25)/(1+$Q25)*N(IFERROR(INDEX(单位档案!$L$6:$L$35,MATCH($E25,单位档案!$A$6:$A$35,0)),"")),2))</f>
        <v>0</v>
      </c>
      <c r="W25" s="36" t="n">
        <f aca="false">ROUND($S25+$T25+$U25+$V25,2)</f>
        <v>42.15</v>
      </c>
      <c r="X25" s="35" t="str">
        <f aca="false">IF(OR($D25="挂靠代收",$D25="我方收款"),COUNTIFS($D$5:$D25,"挂靠代收")+COUNTIFS($D$5:$D25,"我方收款"),"")</f>
        <v/>
      </c>
      <c r="Y25" s="35" t="s">
        <v>121</v>
      </c>
      <c r="Z25" s="21" t="s">
        <v>100</v>
      </c>
    </row>
    <row r="26" customFormat="false" ht="15.75" hidden="false" customHeight="true" outlineLevel="0" collapsed="false">
      <c r="A26" s="32" t="n">
        <f aca="false">IF($B26="","",ROW()-4)</f>
        <v>22</v>
      </c>
      <c r="B26" s="26" t="n">
        <v>46108</v>
      </c>
      <c r="C26" s="24" t="s">
        <v>161</v>
      </c>
      <c r="D26" s="21" t="s">
        <v>307</v>
      </c>
      <c r="E26" s="21" t="s">
        <v>121</v>
      </c>
      <c r="F26" s="21" t="s">
        <v>106</v>
      </c>
      <c r="G26" s="24" t="s">
        <v>308</v>
      </c>
      <c r="H26" s="27" t="n">
        <v>27034.2</v>
      </c>
      <c r="I26" s="23" t="n">
        <v>0.02</v>
      </c>
      <c r="J26" s="25" t="s">
        <v>336</v>
      </c>
      <c r="K26" s="22" t="s">
        <v>337</v>
      </c>
      <c r="L26" s="33" t="str">
        <f aca="false">IF($B26="","",IF(NOT(ISNUMBER($B26)),"日期格式不对",IF($C26="","未选项目编号",IF(LEFT($M26,1)="⚠","项目编号不存在",IF($D26="","未选业务类型",IF($E26="","未选开票/付款方",IF(ISNA(MATCH($E26,单位档案!$A$6:$A$35,0)),"开票方不在单位档案",IF($F26="","未选收票/收款方",IF(ISNA(MATCH($F26,单位档案!$A$6:$A$35,0)),"收款方不在单位档案",IF(NOT(ISNUMBER($H26)),"金额须为数字",IF(AND($D26="销项开票",$N26="—"),"链条待确认","√")))))))))))</f>
        <v>链条待确认</v>
      </c>
      <c r="M26" s="34" t="str">
        <f aca="false">IF($C26="","",IFERROR(INDEX(项目档案!$B$6:$B$255,MATCH($C26,项目档案!$A$6:$A$255,0)),"⚠项目编号不存在"))</f>
        <v>重庆铜梁10kV少柏线池塘4社柱台区电压越限治理工程</v>
      </c>
      <c r="N26" s="35" t="str">
        <f aca="false">IF($E26="","",IF($E26=IFERROR(INDEX(项目档案!$D$6:$D$255,MATCH($C26,项目档案!$A$6:$A$255,0)),""),"一级",IF($E26=IFERROR(INDEX(项目档案!$F$6:$F$255,MATCH($C26,项目档案!$A$6:$A$255,0)),""),"二级",IF($E26=IFERROR(INDEX(项目档案!$H$6:$H$255,MATCH($C26,项目档案!$A$6:$A$255,0)),""),"我方","—"))))</f>
        <v>—</v>
      </c>
      <c r="O26" s="36" t="n">
        <f aca="false">IF($D26&lt;&gt;"销项开票",0,ROUND(N($H26)*N($I26),2))</f>
        <v>540.68</v>
      </c>
      <c r="P26" s="36" t="n">
        <f aca="false">IF($D26&lt;&gt;"销项开票",0,ROUND(N($H26)-$O26,2))</f>
        <v>26493.52</v>
      </c>
      <c r="Q26" s="37" t="n">
        <f aca="false">IF($E26="","",N(IFERROR(INDEX(单位档案!$E$6:$E$35,MATCH($E26,单位档案!$A$6:$A$35,0)),"")))</f>
        <v>0.13</v>
      </c>
      <c r="R26" s="37" t="n">
        <f aca="false">IF($E26="","",N(IFERROR(INDEX(单位档案!$F$6:$F$35,MATCH($E26,单位档案!$A$6:$A$35,0)),"")))</f>
        <v>0.13</v>
      </c>
      <c r="S26" s="36" t="n">
        <f aca="false">IF(OR($D26&lt;&gt;"销项开票",IFERROR(INDEX(单位档案!$G$6:$G$35,MATCH($E26,单位档案!$A$6:$A$35,0)),"")&lt;&gt;"是",N($Q26)=0),0,IF(IFERROR(INDEX(单位档案!$H$6:$H$35,MATCH($E26,单位档案!$A$6:$A$35,0)),"")="税差法",ROUND(N($H26)/(1+$Q26)*$Q26-IF(N($R26)=0,0,$P26/(1+$R26)*$R26),2),ROUND(N($H26)/(1+$Q26)*$Q26,2)))</f>
        <v>62.2</v>
      </c>
      <c r="T26" s="36" t="n">
        <f aca="false">ROUND($S26*N(IFERROR(INDEX(单位档案!$J$6:$J$35,MATCH($E26,单位档案!$A$6:$A$35,0)),"")),2)</f>
        <v>3.73</v>
      </c>
      <c r="U26" s="36" t="n">
        <f aca="false">IF($D26&lt;&gt;"销项开票",0,ROUND(N($H26)*N(IFERROR(INDEX(单位档案!$K$6:$K$35,MATCH($E26,单位档案!$A$6:$A$35,0)),"")),2))</f>
        <v>0</v>
      </c>
      <c r="V26" s="36" t="n">
        <f aca="false">IF(OR($D26&lt;&gt;"销项开票",N($Q26)=0),0,ROUND(N($H26)/(1+$Q26)*N(IFERROR(INDEX(单位档案!$L$6:$L$35,MATCH($E26,单位档案!$A$6:$A$35,0)),"")),2))</f>
        <v>0</v>
      </c>
      <c r="W26" s="36" t="n">
        <f aca="false">ROUND($S26+$T26+$U26+$V26,2)</f>
        <v>65.93</v>
      </c>
      <c r="X26" s="35" t="str">
        <f aca="false">IF(OR($D26="挂靠代收",$D26="我方收款"),COUNTIFS($D$5:$D26,"挂靠代收")+COUNTIFS($D$5:$D26,"我方收款"),"")</f>
        <v/>
      </c>
      <c r="Y26" s="35" t="s">
        <v>121</v>
      </c>
      <c r="Z26" s="21" t="s">
        <v>100</v>
      </c>
    </row>
    <row r="27" customFormat="false" ht="15.75" hidden="false" customHeight="true" outlineLevel="0" collapsed="false">
      <c r="A27" s="32" t="n">
        <f aca="false">IF($B27="","",ROW()-4)</f>
        <v>23</v>
      </c>
      <c r="B27" s="26" t="n">
        <v>46108</v>
      </c>
      <c r="C27" s="24" t="s">
        <v>163</v>
      </c>
      <c r="D27" s="21" t="s">
        <v>307</v>
      </c>
      <c r="E27" s="21" t="s">
        <v>121</v>
      </c>
      <c r="F27" s="21" t="s">
        <v>106</v>
      </c>
      <c r="G27" s="24" t="s">
        <v>308</v>
      </c>
      <c r="H27" s="27" t="n">
        <v>26876.33</v>
      </c>
      <c r="I27" s="23" t="n">
        <v>0.02</v>
      </c>
      <c r="J27" s="25" t="s">
        <v>338</v>
      </c>
      <c r="K27" s="22" t="s">
        <v>339</v>
      </c>
      <c r="L27" s="33" t="str">
        <f aca="false">IF($B27="","",IF(NOT(ISNUMBER($B27)),"日期格式不对",IF($C27="","未选项目编号",IF(LEFT($M27,1)="⚠","项目编号不存在",IF($D27="","未选业务类型",IF($E27="","未选开票/付款方",IF(ISNA(MATCH($E27,单位档案!$A$6:$A$35,0)),"开票方不在单位档案",IF($F27="","未选收票/收款方",IF(ISNA(MATCH($F27,单位档案!$A$6:$A$35,0)),"收款方不在单位档案",IF(NOT(ISNUMBER($H27)),"金额须为数字",IF(AND($D27="销项开票",$N27="—"),"链条待确认","√")))))))))))</f>
        <v>链条待确认</v>
      </c>
      <c r="M27" s="34" t="str">
        <f aca="false">IF($C27="","",IFERROR(INDEX(项目档案!$B$6:$B$255,MATCH($C27,项目档案!$A$6:$A$255,0)),"⚠项目编号不存在"))</f>
        <v>重庆铜梁10kV少柏线团山7.6.11社台区电压越限治理工程</v>
      </c>
      <c r="N27" s="35" t="str">
        <f aca="false">IF($E27="","",IF($E27=IFERROR(INDEX(项目档案!$D$6:$D$255,MATCH($C27,项目档案!$A$6:$A$255,0)),""),"一级",IF($E27=IFERROR(INDEX(项目档案!$F$6:$F$255,MATCH($C27,项目档案!$A$6:$A$255,0)),""),"二级",IF($E27=IFERROR(INDEX(项目档案!$H$6:$H$255,MATCH($C27,项目档案!$A$6:$A$255,0)),""),"我方","—"))))</f>
        <v>—</v>
      </c>
      <c r="O27" s="36" t="n">
        <f aca="false">IF($D27&lt;&gt;"销项开票",0,ROUND(N($H27)*N($I27),2))</f>
        <v>537.53</v>
      </c>
      <c r="P27" s="36" t="n">
        <f aca="false">IF($D27&lt;&gt;"销项开票",0,ROUND(N($H27)-$O27,2))</f>
        <v>26338.8</v>
      </c>
      <c r="Q27" s="37" t="n">
        <f aca="false">IF($E27="","",N(IFERROR(INDEX(单位档案!$E$6:$E$35,MATCH($E27,单位档案!$A$6:$A$35,0)),"")))</f>
        <v>0.13</v>
      </c>
      <c r="R27" s="37" t="n">
        <f aca="false">IF($E27="","",N(IFERROR(INDEX(单位档案!$F$6:$F$35,MATCH($E27,单位档案!$A$6:$A$35,0)),"")))</f>
        <v>0.13</v>
      </c>
      <c r="S27" s="36" t="n">
        <f aca="false">IF(OR($D27&lt;&gt;"销项开票",IFERROR(INDEX(单位档案!$G$6:$G$35,MATCH($E27,单位档案!$A$6:$A$35,0)),"")&lt;&gt;"是",N($Q27)=0),0,IF(IFERROR(INDEX(单位档案!$H$6:$H$35,MATCH($E27,单位档案!$A$6:$A$35,0)),"")="税差法",ROUND(N($H27)/(1+$Q27)*$Q27-IF(N($R27)=0,0,$P27/(1+$R27)*$R27),2),ROUND(N($H27)/(1+$Q27)*$Q27,2)))</f>
        <v>61.84</v>
      </c>
      <c r="T27" s="36" t="n">
        <f aca="false">ROUND($S27*N(IFERROR(INDEX(单位档案!$J$6:$J$35,MATCH($E27,单位档案!$A$6:$A$35,0)),"")),2)</f>
        <v>3.71</v>
      </c>
      <c r="U27" s="36" t="n">
        <f aca="false">IF($D27&lt;&gt;"销项开票",0,ROUND(N($H27)*N(IFERROR(INDEX(单位档案!$K$6:$K$35,MATCH($E27,单位档案!$A$6:$A$35,0)),"")),2))</f>
        <v>0</v>
      </c>
      <c r="V27" s="36" t="n">
        <f aca="false">IF(OR($D27&lt;&gt;"销项开票",N($Q27)=0),0,ROUND(N($H27)/(1+$Q27)*N(IFERROR(INDEX(单位档案!$L$6:$L$35,MATCH($E27,单位档案!$A$6:$A$35,0)),"")),2))</f>
        <v>0</v>
      </c>
      <c r="W27" s="36" t="n">
        <f aca="false">ROUND($S27+$T27+$U27+$V27,2)</f>
        <v>65.55</v>
      </c>
      <c r="X27" s="35" t="str">
        <f aca="false">IF(OR($D27="挂靠代收",$D27="我方收款"),COUNTIFS($D$5:$D27,"挂靠代收")+COUNTIFS($D$5:$D27,"我方收款"),"")</f>
        <v/>
      </c>
      <c r="Y27" s="35" t="s">
        <v>121</v>
      </c>
      <c r="Z27" s="21" t="s">
        <v>100</v>
      </c>
    </row>
    <row r="28" customFormat="false" ht="15.75" hidden="false" customHeight="true" outlineLevel="0" collapsed="false">
      <c r="A28" s="32" t="n">
        <f aca="false">IF($B28="","",ROW()-4)</f>
        <v>24</v>
      </c>
      <c r="B28" s="26" t="n">
        <v>46108</v>
      </c>
      <c r="C28" s="24" t="s">
        <v>165</v>
      </c>
      <c r="D28" s="21" t="s">
        <v>307</v>
      </c>
      <c r="E28" s="21" t="s">
        <v>121</v>
      </c>
      <c r="F28" s="21" t="s">
        <v>106</v>
      </c>
      <c r="G28" s="24" t="s">
        <v>308</v>
      </c>
      <c r="H28" s="27" t="n">
        <v>47966.22</v>
      </c>
      <c r="I28" s="23" t="n">
        <v>0.02</v>
      </c>
      <c r="J28" s="25" t="s">
        <v>340</v>
      </c>
      <c r="K28" s="22" t="s">
        <v>341</v>
      </c>
      <c r="L28" s="33" t="str">
        <f aca="false">IF($B28="","",IF(NOT(ISNUMBER($B28)),"日期格式不对",IF($C28="","未选项目编号",IF(LEFT($M28,1)="⚠","项目编号不存在",IF($D28="","未选业务类型",IF($E28="","未选开票/付款方",IF(ISNA(MATCH($E28,单位档案!$A$6:$A$35,0)),"开票方不在单位档案",IF($F28="","未选收票/收款方",IF(ISNA(MATCH($F28,单位档案!$A$6:$A$35,0)),"收款方不在单位档案",IF(NOT(ISNUMBER($H28)),"金额须为数字",IF(AND($D28="销项开票",$N28="—"),"链条待确认","√")))))))))))</f>
        <v>链条待确认</v>
      </c>
      <c r="M28" s="34" t="str">
        <f aca="false">IF($C28="","",IFERROR(INDEX(项目档案!$B$6:$B$255,MATCH($C28,项目档案!$A$6:$A$255,0)),"⚠项目编号不存在"))</f>
        <v>重庆铜梁10kV平凉线惠丰9社等4个台区重过载治理工程</v>
      </c>
      <c r="N28" s="35" t="str">
        <f aca="false">IF($E28="","",IF($E28=IFERROR(INDEX(项目档案!$D$6:$D$255,MATCH($C28,项目档案!$A$6:$A$255,0)),""),"一级",IF($E28=IFERROR(INDEX(项目档案!$F$6:$F$255,MATCH($C28,项目档案!$A$6:$A$255,0)),""),"二级",IF($E28=IFERROR(INDEX(项目档案!$H$6:$H$255,MATCH($C28,项目档案!$A$6:$A$255,0)),""),"我方","—"))))</f>
        <v>—</v>
      </c>
      <c r="O28" s="36" t="n">
        <f aca="false">IF($D28&lt;&gt;"销项开票",0,ROUND(N($H28)*N($I28),2))</f>
        <v>959.32</v>
      </c>
      <c r="P28" s="36" t="n">
        <f aca="false">IF($D28&lt;&gt;"销项开票",0,ROUND(N($H28)-$O28,2))</f>
        <v>47006.9</v>
      </c>
      <c r="Q28" s="37" t="n">
        <f aca="false">IF($E28="","",N(IFERROR(INDEX(单位档案!$E$6:$E$35,MATCH($E28,单位档案!$A$6:$A$35,0)),"")))</f>
        <v>0.13</v>
      </c>
      <c r="R28" s="37" t="n">
        <f aca="false">IF($E28="","",N(IFERROR(INDEX(单位档案!$F$6:$F$35,MATCH($E28,单位档案!$A$6:$A$35,0)),"")))</f>
        <v>0.13</v>
      </c>
      <c r="S28" s="36" t="n">
        <f aca="false">IF(OR($D28&lt;&gt;"销项开票",IFERROR(INDEX(单位档案!$G$6:$G$35,MATCH($E28,单位档案!$A$6:$A$35,0)),"")&lt;&gt;"是",N($Q28)=0),0,IF(IFERROR(INDEX(单位档案!$H$6:$H$35,MATCH($E28,单位档案!$A$6:$A$35,0)),"")="税差法",ROUND(N($H28)/(1+$Q28)*$Q28-IF(N($R28)=0,0,$P28/(1+$R28)*$R28),2),ROUND(N($H28)/(1+$Q28)*$Q28,2)))</f>
        <v>110.36</v>
      </c>
      <c r="T28" s="36" t="n">
        <f aca="false">ROUND($S28*N(IFERROR(INDEX(单位档案!$J$6:$J$35,MATCH($E28,单位档案!$A$6:$A$35,0)),"")),2)</f>
        <v>6.62</v>
      </c>
      <c r="U28" s="36" t="n">
        <f aca="false">IF($D28&lt;&gt;"销项开票",0,ROUND(N($H28)*N(IFERROR(INDEX(单位档案!$K$6:$K$35,MATCH($E28,单位档案!$A$6:$A$35,0)),"")),2))</f>
        <v>0</v>
      </c>
      <c r="V28" s="36" t="n">
        <f aca="false">IF(OR($D28&lt;&gt;"销项开票",N($Q28)=0),0,ROUND(N($H28)/(1+$Q28)*N(IFERROR(INDEX(单位档案!$L$6:$L$35,MATCH($E28,单位档案!$A$6:$A$35,0)),"")),2))</f>
        <v>0</v>
      </c>
      <c r="W28" s="36" t="n">
        <f aca="false">ROUND($S28+$T28+$U28+$V28,2)</f>
        <v>116.98</v>
      </c>
      <c r="X28" s="35" t="str">
        <f aca="false">IF(OR($D28="挂靠代收",$D28="我方收款"),COUNTIFS($D$5:$D28,"挂靠代收")+COUNTIFS($D$5:$D28,"我方收款"),"")</f>
        <v/>
      </c>
      <c r="Y28" s="35" t="s">
        <v>121</v>
      </c>
      <c r="Z28" s="21" t="s">
        <v>100</v>
      </c>
    </row>
    <row r="29" customFormat="false" ht="15.75" hidden="false" customHeight="true" outlineLevel="0" collapsed="false">
      <c r="A29" s="32" t="n">
        <f aca="false">IF($B29="","",ROW()-4)</f>
        <v>25</v>
      </c>
      <c r="B29" s="26" t="n">
        <v>46108</v>
      </c>
      <c r="C29" s="24" t="s">
        <v>165</v>
      </c>
      <c r="D29" s="21" t="s">
        <v>319</v>
      </c>
      <c r="E29" s="21" t="s">
        <v>97</v>
      </c>
      <c r="F29" s="21" t="s">
        <v>121</v>
      </c>
      <c r="G29" s="24" t="s">
        <v>308</v>
      </c>
      <c r="H29" s="27" t="n">
        <v>2728.39</v>
      </c>
      <c r="I29" s="23" t="str">
        <f aca="false">IF($D29&lt;&gt;"销项开票","",IF($N29="一级",IF(IFERROR(INDEX(项目档案!$E$6:$E$255,MATCH($C29,项目档案!$A$6:$A$255,0)),"")="",N(IFERROR(INDEX(单位档案!$D$6:$D$35,MATCH($E29,单位档案!$A$6:$A$35,0)),"")),IFERROR(INDEX(项目档案!$E$6:$E$255,MATCH($C29,项目档案!$A$6:$A$255,0)),"")),IF($N29="二级",IF(IFERROR(INDEX(项目档案!$G$6:$G$255,MATCH($C29,项目档案!$A$6:$A$255,0)),"")="",N(IFERROR(INDEX(单位档案!$D$6:$D$35,MATCH($E29,单位档案!$A$6:$A$35,0)),"")),IFERROR(INDEX(项目档案!$G$6:$G$255,MATCH($C29,项目档案!$A$6:$A$255,0)),"")),N(IFERROR(INDEX(单位档案!$D$6:$D$35,MATCH($E29,单位档案!$A$6:$A$35,0)),"")))))</f>
        <v/>
      </c>
      <c r="J29" s="25" t="s">
        <v>340</v>
      </c>
      <c r="K29" s="22" t="s">
        <v>313</v>
      </c>
      <c r="L29" s="33" t="str">
        <f aca="false">IF($B29="","",IF(NOT(ISNUMBER($B29)),"日期格式不对",IF($C29="","未选项目编号",IF(LEFT($M29,1)="⚠","项目编号不存在",IF($D29="","未选业务类型",IF($E29="","未选开票/付款方",IF(ISNA(MATCH($E29,单位档案!$A$6:$A$35,0)),"开票方不在单位档案",IF($F29="","未选收票/收款方",IF(ISNA(MATCH($F29,单位档案!$A$6:$A$35,0)),"收款方不在单位档案",IF(NOT(ISNUMBER($H29)),"金额须为数字",IF(AND($D29="销项开票",$N29="—"),"链条待确认","√")))))))))))</f>
        <v>√</v>
      </c>
      <c r="M29" s="34" t="str">
        <f aca="false">IF($C29="","",IFERROR(INDEX(项目档案!$B$6:$B$255,MATCH($C29,项目档案!$A$6:$A$255,0)),"⚠项目编号不存在"))</f>
        <v>重庆铜梁10kV平凉线惠丰9社等4个台区重过载治理工程</v>
      </c>
      <c r="N29" s="35" t="str">
        <f aca="false">IF($E29="","",IF($E29=IFERROR(INDEX(项目档案!$D$6:$D$255,MATCH($C29,项目档案!$A$6:$A$255,0)),""),"一级",IF($E29=IFERROR(INDEX(项目档案!$F$6:$F$255,MATCH($C29,项目档案!$A$6:$A$255,0)),""),"二级",IF($E29=IFERROR(INDEX(项目档案!$H$6:$H$255,MATCH($C29,项目档案!$A$6:$A$255,0)),""),"我方","—"))))</f>
        <v>—</v>
      </c>
      <c r="O29" s="36" t="n">
        <f aca="false">IF($D29&lt;&gt;"销项开票",0,ROUND(N($H29)*N($I29),2))</f>
        <v>0</v>
      </c>
      <c r="P29" s="36" t="n">
        <f aca="false">IF($D29&lt;&gt;"销项开票",0,ROUND(N($H29)-$O29,2))</f>
        <v>0</v>
      </c>
      <c r="Q29" s="37" t="n">
        <f aca="false">IF($E29="","",N(IFERROR(INDEX(单位档案!$E$6:$E$35,MATCH($E29,单位档案!$A$6:$A$35,0)),"")))</f>
        <v>0</v>
      </c>
      <c r="R29" s="37" t="n">
        <f aca="false">IF($E29="","",N(IFERROR(INDEX(单位档案!$F$6:$F$35,MATCH($E29,单位档案!$A$6:$A$35,0)),"")))</f>
        <v>0</v>
      </c>
      <c r="S29" s="36" t="n">
        <f aca="false">IF(OR($D29&lt;&gt;"销项开票",IFERROR(INDEX(单位档案!$G$6:$G$35,MATCH($E29,单位档案!$A$6:$A$35,0)),"")&lt;&gt;"是",N($Q29)=0),0,IF(IFERROR(INDEX(单位档案!$H$6:$H$35,MATCH($E29,单位档案!$A$6:$A$35,0)),"")="税差法",ROUND(N($H29)/(1+$Q29)*$Q29-IF(N($R29)=0,0,$P29/(1+$R29)*$R29),2),ROUND(N($H29)/(1+$Q29)*$Q29,2)))</f>
        <v>0</v>
      </c>
      <c r="T29" s="36" t="n">
        <f aca="false">ROUND($S29*N(IFERROR(INDEX(单位档案!$J$6:$J$35,MATCH($E29,单位档案!$A$6:$A$35,0)),"")),2)</f>
        <v>0</v>
      </c>
      <c r="U29" s="36" t="n">
        <f aca="false">IF($D29&lt;&gt;"销项开票",0,ROUND(N($H29)*N(IFERROR(INDEX(单位档案!$K$6:$K$35,MATCH($E29,单位档案!$A$6:$A$35,0)),"")),2))</f>
        <v>0</v>
      </c>
      <c r="V29" s="36" t="n">
        <f aca="false">IF(OR($D29&lt;&gt;"销项开票",N($Q29)=0),0,ROUND(N($H29)/(1+$Q29)*N(IFERROR(INDEX(单位档案!$L$6:$L$35,MATCH($E29,单位档案!$A$6:$A$35,0)),"")),2))</f>
        <v>0</v>
      </c>
      <c r="W29" s="36" t="n">
        <f aca="false">ROUND($S29+$T29+$U29+$V29,2)</f>
        <v>0</v>
      </c>
      <c r="X29" s="35" t="n">
        <f aca="false">IF(OR($D29="挂靠代收",$D29="我方收款"),COUNTIFS($D$5:$D29,"挂靠代收")+COUNTIFS($D$5:$D29,"我方收款"),"")</f>
        <v>4</v>
      </c>
      <c r="Y29" s="35" t="s">
        <v>121</v>
      </c>
      <c r="Z29" s="21" t="s">
        <v>111</v>
      </c>
    </row>
    <row r="30" customFormat="false" ht="15.75" hidden="false" customHeight="true" outlineLevel="0" collapsed="false">
      <c r="A30" s="32" t="n">
        <f aca="false">IF($B30="","",ROW()-4)</f>
        <v>26</v>
      </c>
      <c r="B30" s="26" t="n">
        <v>46108</v>
      </c>
      <c r="C30" s="24" t="s">
        <v>165</v>
      </c>
      <c r="D30" s="21" t="s">
        <v>314</v>
      </c>
      <c r="E30" s="21" t="s">
        <v>127</v>
      </c>
      <c r="F30" s="21" t="s">
        <v>121</v>
      </c>
      <c r="G30" s="24" t="s">
        <v>308</v>
      </c>
      <c r="H30" s="27" t="n">
        <v>2728.39</v>
      </c>
      <c r="I30" s="23" t="str">
        <f aca="false">IF($D30&lt;&gt;"销项开票","",IF($N30="一级",IF(IFERROR(INDEX(项目档案!$E$6:$E$255,MATCH($C30,项目档案!$A$6:$A$255,0)),"")="",N(IFERROR(INDEX(单位档案!$D$6:$D$35,MATCH($E30,单位档案!$A$6:$A$35,0)),"")),IFERROR(INDEX(项目档案!$E$6:$E$255,MATCH($C30,项目档案!$A$6:$A$255,0)),"")),IF($N30="二级",IF(IFERROR(INDEX(项目档案!$G$6:$G$255,MATCH($C30,项目档案!$A$6:$A$255,0)),"")="",N(IFERROR(INDEX(单位档案!$D$6:$D$35,MATCH($E30,单位档案!$A$6:$A$35,0)),"")),IFERROR(INDEX(项目档案!$G$6:$G$255,MATCH($C30,项目档案!$A$6:$A$255,0)),"")),N(IFERROR(INDEX(单位档案!$D$6:$D$35,MATCH($E30,单位档案!$A$6:$A$35,0)),"")))))</f>
        <v/>
      </c>
      <c r="J30" s="25" t="s">
        <v>340</v>
      </c>
      <c r="K30" s="22" t="s">
        <v>313</v>
      </c>
      <c r="L30" s="33" t="str">
        <f aca="false">IF($B30="","",IF(NOT(ISNUMBER($B30)),"日期格式不对",IF($C30="","未选项目编号",IF(LEFT($M30,1)="⚠","项目编号不存在",IF($D30="","未选业务类型",IF($E30="","未选开票/付款方",IF(ISNA(MATCH($E30,单位档案!$A$6:$A$35,0)),"开票方不在单位档案",IF($F30="","未选收票/收款方",IF(ISNA(MATCH($F30,单位档案!$A$6:$A$35,0)),"收款方不在单位档案",IF(NOT(ISNUMBER($H30)),"金额须为数字",IF(AND($D30="销项开票",$N30="—"),"链条待确认","√")))))))))))</f>
        <v>√</v>
      </c>
      <c r="M30" s="34" t="str">
        <f aca="false">IF($C30="","",IFERROR(INDEX(项目档案!$B$6:$B$255,MATCH($C30,项目档案!$A$6:$A$255,0)),"⚠项目编号不存在"))</f>
        <v>重庆铜梁10kV平凉线惠丰9社等4个台区重过载治理工程</v>
      </c>
      <c r="N30" s="35" t="str">
        <f aca="false">IF($E30="","",IF($E30=IFERROR(INDEX(项目档案!$D$6:$D$255,MATCH($C30,项目档案!$A$6:$A$255,0)),""),"一级",IF($E30=IFERROR(INDEX(项目档案!$F$6:$F$255,MATCH($C30,项目档案!$A$6:$A$255,0)),""),"二级",IF($E30=IFERROR(INDEX(项目档案!$H$6:$H$255,MATCH($C30,项目档案!$A$6:$A$255,0)),""),"我方","—"))))</f>
        <v>我方</v>
      </c>
      <c r="O30" s="36" t="n">
        <f aca="false">IF($D30&lt;&gt;"销项开票",0,ROUND(N($H30)*N($I30),2))</f>
        <v>0</v>
      </c>
      <c r="P30" s="36" t="n">
        <f aca="false">IF($D30&lt;&gt;"销项开票",0,ROUND(N($H30)-$O30,2))</f>
        <v>0</v>
      </c>
      <c r="Q30" s="37" t="n">
        <f aca="false">IF($E30="","",N(IFERROR(INDEX(单位档案!$E$6:$E$35,MATCH($E30,单位档案!$A$6:$A$35,0)),"")))</f>
        <v>0.03</v>
      </c>
      <c r="R30" s="37" t="n">
        <f aca="false">IF($E30="","",N(IFERROR(INDEX(单位档案!$F$6:$F$35,MATCH($E30,单位档案!$A$6:$A$35,0)),"")))</f>
        <v>0</v>
      </c>
      <c r="S30" s="36" t="n">
        <f aca="false">IF(OR($D30&lt;&gt;"销项开票",IFERROR(INDEX(单位档案!$G$6:$G$35,MATCH($E30,单位档案!$A$6:$A$35,0)),"")&lt;&gt;"是",N($Q30)=0),0,IF(IFERROR(INDEX(单位档案!$H$6:$H$35,MATCH($E30,单位档案!$A$6:$A$35,0)),"")="税差法",ROUND(N($H30)/(1+$Q30)*$Q30-IF(N($R30)=0,0,$P30/(1+$R30)*$R30),2),ROUND(N($H30)/(1+$Q30)*$Q30,2)))</f>
        <v>0</v>
      </c>
      <c r="T30" s="36" t="n">
        <f aca="false">ROUND($S30*N(IFERROR(INDEX(单位档案!$J$6:$J$35,MATCH($E30,单位档案!$A$6:$A$35,0)),"")),2)</f>
        <v>0</v>
      </c>
      <c r="U30" s="36" t="n">
        <f aca="false">IF($D30&lt;&gt;"销项开票",0,ROUND(N($H30)*N(IFERROR(INDEX(单位档案!$K$6:$K$35,MATCH($E30,单位档案!$A$6:$A$35,0)),"")),2))</f>
        <v>0</v>
      </c>
      <c r="V30" s="36" t="n">
        <f aca="false">IF(OR($D30&lt;&gt;"销项开票",N($Q30)=0),0,ROUND(N($H30)/(1+$Q30)*N(IFERROR(INDEX(单位档案!$L$6:$L$35,MATCH($E30,单位档案!$A$6:$A$35,0)),"")),2))</f>
        <v>0</v>
      </c>
      <c r="W30" s="36" t="n">
        <f aca="false">ROUND($S30+$T30+$U30+$V30,2)</f>
        <v>0</v>
      </c>
      <c r="X30" s="35" t="str">
        <f aca="false">IF(OR($D30="挂靠代收",$D30="我方收款"),COUNTIFS($D$5:$D30,"挂靠代收")+COUNTIFS($D$5:$D30,"我方收款"),"")</f>
        <v/>
      </c>
      <c r="Y30" s="35" t="s">
        <v>121</v>
      </c>
      <c r="Z30" s="21" t="s">
        <v>111</v>
      </c>
    </row>
    <row r="31" customFormat="false" ht="15.75" hidden="false" customHeight="true" outlineLevel="0" collapsed="false">
      <c r="A31" s="32" t="n">
        <f aca="false">IF($B31="","",ROW()-4)</f>
        <v>27</v>
      </c>
      <c r="B31" s="26" t="n">
        <v>46108</v>
      </c>
      <c r="C31" s="24" t="s">
        <v>165</v>
      </c>
      <c r="D31" s="21" t="s">
        <v>307</v>
      </c>
      <c r="E31" s="21" t="s">
        <v>106</v>
      </c>
      <c r="F31" s="21" t="s">
        <v>97</v>
      </c>
      <c r="G31" s="24" t="s">
        <v>308</v>
      </c>
      <c r="H31" s="27" t="n">
        <v>52137.2</v>
      </c>
      <c r="I31" s="23" t="n">
        <v>0.08</v>
      </c>
      <c r="J31" s="25" t="s">
        <v>342</v>
      </c>
      <c r="K31" s="22" t="s">
        <v>313</v>
      </c>
      <c r="L31" s="33" t="str">
        <f aca="false">IF($B31="","",IF(NOT(ISNUMBER($B31)),"日期格式不对",IF($C31="","未选项目编号",IF(LEFT($M31,1)="⚠","项目编号不存在",IF($D31="","未选业务类型",IF($E31="","未选开票/付款方",IF(ISNA(MATCH($E31,单位档案!$A$6:$A$35,0)),"开票方不在单位档案",IF($F31="","未选收票/收款方",IF(ISNA(MATCH($F31,单位档案!$A$6:$A$35,0)),"收款方不在单位档案",IF(NOT(ISNUMBER($H31)),"金额须为数字",IF(AND($D31="销项开票",$N31="—"),"链条待确认","√")))))))))))</f>
        <v>链条待确认</v>
      </c>
      <c r="M31" s="34" t="str">
        <f aca="false">IF($C31="","",IFERROR(INDEX(项目档案!$B$6:$B$255,MATCH($C31,项目档案!$A$6:$A$255,0)),"⚠项目编号不存在"))</f>
        <v>重庆铜梁10kV平凉线惠丰9社等4个台区重过载治理工程</v>
      </c>
      <c r="N31" s="35" t="str">
        <f aca="false">IF($E31="","",IF($E31=IFERROR(INDEX(项目档案!$D$6:$D$255,MATCH($C31,项目档案!$A$6:$A$255,0)),""),"一级",IF($E31=IFERROR(INDEX(项目档案!$F$6:$F$255,MATCH($C31,项目档案!$A$6:$A$255,0)),""),"二级",IF($E31=IFERROR(INDEX(项目档案!$H$6:$H$255,MATCH($C31,项目档案!$A$6:$A$255,0)),""),"我方","—"))))</f>
        <v>—</v>
      </c>
      <c r="O31" s="36" t="n">
        <f aca="false">IF($D31&lt;&gt;"销项开票",0,ROUND(N($H31)*N($I31),2))</f>
        <v>4170.98</v>
      </c>
      <c r="P31" s="36" t="n">
        <f aca="false">IF($D31&lt;&gt;"销项开票",0,ROUND(N($H31)-$O31,2))</f>
        <v>47966.22</v>
      </c>
      <c r="Q31" s="37" t="n">
        <f aca="false">IF($E31="","",N(IFERROR(INDEX(单位档案!$E$6:$E$35,MATCH($E31,单位档案!$A$6:$A$35,0)),"")))</f>
        <v>0.13</v>
      </c>
      <c r="R31" s="37" t="n">
        <f aca="false">IF($E31="","",N(IFERROR(INDEX(单位档案!$F$6:$F$35,MATCH($E31,单位档案!$A$6:$A$35,0)),"")))</f>
        <v>0.13</v>
      </c>
      <c r="S31" s="36" t="n">
        <f aca="false">IF(OR($D31&lt;&gt;"销项开票",IFERROR(INDEX(单位档案!$G$6:$G$35,MATCH($E31,单位档案!$A$6:$A$35,0)),"")&lt;&gt;"是",N($Q31)=0),0,IF(IFERROR(INDEX(单位档案!$H$6:$H$35,MATCH($E31,单位档案!$A$6:$A$35,0)),"")="税差法",ROUND(N($H31)/(1+$Q31)*$Q31-IF(N($R31)=0,0,$P31/(1+$R31)*$R31),2),ROUND(N($H31)/(1+$Q31)*$Q31,2)))</f>
        <v>0</v>
      </c>
      <c r="T31" s="36" t="n">
        <f aca="false">ROUND($S31*N(IFERROR(INDEX(单位档案!$J$6:$J$35,MATCH($E31,单位档案!$A$6:$A$35,0)),"")),2)</f>
        <v>0</v>
      </c>
      <c r="U31" s="36" t="n">
        <f aca="false">IF($D31&lt;&gt;"销项开票",0,ROUND(N($H31)*N(IFERROR(INDEX(单位档案!$K$6:$K$35,MATCH($E31,单位档案!$A$6:$A$35,0)),"")),2))</f>
        <v>0</v>
      </c>
      <c r="V31" s="36" t="n">
        <f aca="false">IF(OR($D31&lt;&gt;"销项开票",N($Q31)=0),0,ROUND(N($H31)/(1+$Q31)*N(IFERROR(INDEX(单位档案!$L$6:$L$35,MATCH($E31,单位档案!$A$6:$A$35,0)),"")),2))</f>
        <v>0</v>
      </c>
      <c r="W31" s="36" t="n">
        <f aca="false">ROUND($S31+$T31+$U31+$V31,2)</f>
        <v>0</v>
      </c>
      <c r="X31" s="35" t="str">
        <f aca="false">IF(OR($D31="挂靠代收",$D31="我方收款"),COUNTIFS($D$5:$D31,"挂靠代收")+COUNTIFS($D$5:$D31,"我方收款"),"")</f>
        <v/>
      </c>
      <c r="Y31" s="35" t="s">
        <v>106</v>
      </c>
      <c r="Z31" s="21" t="s">
        <v>111</v>
      </c>
    </row>
    <row r="32" customFormat="false" ht="15.75" hidden="false" customHeight="true" outlineLevel="0" collapsed="false">
      <c r="A32" s="32" t="n">
        <f aca="false">IF($B32="","",ROW()-4)</f>
        <v>28</v>
      </c>
      <c r="B32" s="26" t="n">
        <v>46108</v>
      </c>
      <c r="C32" s="24" t="s">
        <v>165</v>
      </c>
      <c r="D32" s="21" t="s">
        <v>307</v>
      </c>
      <c r="E32" s="21" t="s">
        <v>114</v>
      </c>
      <c r="F32" s="21" t="s">
        <v>106</v>
      </c>
      <c r="G32" s="24" t="s">
        <v>308</v>
      </c>
      <c r="H32" s="27" t="n">
        <v>130728</v>
      </c>
      <c r="I32" s="23" t="n">
        <f aca="false">IF($D32&lt;&gt;"销项开票","",IF($N32="一级",IF(IFERROR(INDEX(项目档案!$E$6:$E$255,MATCH($C32,项目档案!$A$6:$A$255,0)),"")="",N(IFERROR(INDEX(单位档案!$D$6:$D$35,MATCH($E32,单位档案!$A$6:$A$35,0)),"")),IFERROR(INDEX(项目档案!$E$6:$E$255,MATCH($C32,项目档案!$A$6:$A$255,0)),"")),IF($N32="二级",IF(IFERROR(INDEX(项目档案!$G$6:$G$255,MATCH($C32,项目档案!$A$6:$A$255,0)),"")="",N(IFERROR(INDEX(单位档案!$D$6:$D$35,MATCH($E32,单位档案!$A$6:$A$35,0)),"")),IFERROR(INDEX(项目档案!$G$6:$G$255,MATCH($C32,项目档案!$A$6:$A$255,0)),"")),N(IFERROR(INDEX(单位档案!$D$6:$D$35,MATCH($E32,单位档案!$A$6:$A$35,0)),"")))))</f>
        <v>0.02</v>
      </c>
      <c r="J32" s="25" t="s">
        <v>343</v>
      </c>
      <c r="K32" s="22" t="s">
        <v>313</v>
      </c>
      <c r="L32" s="33" t="str">
        <f aca="false">IF($B32="","",IF(NOT(ISNUMBER($B32)),"日期格式不对",IF($C32="","未选项目编号",IF(LEFT($M32,1)="⚠","项目编号不存在",IF($D32="","未选业务类型",IF($E32="","未选开票/付款方",IF(ISNA(MATCH($E32,单位档案!$A$6:$A$35,0)),"开票方不在单位档案",IF($F32="","未选收票/收款方",IF(ISNA(MATCH($F32,单位档案!$A$6:$A$35,0)),"收款方不在单位档案",IF(NOT(ISNUMBER($H32)),"金额须为数字",IF(AND($D32="销项开票",$N32="—"),"链条待确认","√")))))))))))</f>
        <v>链条待确认</v>
      </c>
      <c r="M32" s="34" t="str">
        <f aca="false">IF($C32="","",IFERROR(INDEX(项目档案!$B$6:$B$255,MATCH($C32,项目档案!$A$6:$A$255,0)),"⚠项目编号不存在"))</f>
        <v>重庆铜梁10kV平凉线惠丰9社等4个台区重过载治理工程</v>
      </c>
      <c r="N32" s="35" t="str">
        <f aca="false">IF($E32="","",IF($E32=IFERROR(INDEX(项目档案!$D$6:$D$255,MATCH($C32,项目档案!$A$6:$A$255,0)),""),"一级",IF($E32=IFERROR(INDEX(项目档案!$F$6:$F$255,MATCH($C32,项目档案!$A$6:$A$255,0)),""),"二级",IF($E32=IFERROR(INDEX(项目档案!$H$6:$H$255,MATCH($C32,项目档案!$A$6:$A$255,0)),""),"我方","—"))))</f>
        <v>—</v>
      </c>
      <c r="O32" s="36" t="n">
        <f aca="false">IF($D32&lt;&gt;"销项开票",0,ROUND(N($H32)*N($I32),2))</f>
        <v>2614.56</v>
      </c>
      <c r="P32" s="36" t="n">
        <f aca="false">IF($D32&lt;&gt;"销项开票",0,ROUND(N($H32)-$O32,2))</f>
        <v>128113.44</v>
      </c>
      <c r="Q32" s="37" t="n">
        <f aca="false">IF($E32="","",N(IFERROR(INDEX(单位档案!$E$6:$E$35,MATCH($E32,单位档案!$A$6:$A$35,0)),"")))</f>
        <v>0.03</v>
      </c>
      <c r="R32" s="37" t="n">
        <f aca="false">IF($E32="","",N(IFERROR(INDEX(单位档案!$F$6:$F$35,MATCH($E32,单位档案!$A$6:$A$35,0)),"")))</f>
        <v>0.01</v>
      </c>
      <c r="S32" s="36" t="n">
        <f aca="false">IF(OR($D32&lt;&gt;"销项开票",IFERROR(INDEX(单位档案!$G$6:$G$35,MATCH($E32,单位档案!$A$6:$A$35,0)),"")&lt;&gt;"是",N($Q32)=0),0,IF(IFERROR(INDEX(单位档案!$H$6:$H$35,MATCH($E32,单位档案!$A$6:$A$35,0)),"")="税差法",ROUND(N($H32)/(1+$Q32)*$Q32-IF(N($R32)=0,0,$P32/(1+$R32)*$R32),2),ROUND(N($H32)/(1+$Q32)*$Q32,2)))</f>
        <v>3807.61</v>
      </c>
      <c r="T32" s="36" t="n">
        <f aca="false">ROUND($S32*N(IFERROR(INDEX(单位档案!$J$6:$J$35,MATCH($E32,单位档案!$A$6:$A$35,0)),"")),2)</f>
        <v>456.91</v>
      </c>
      <c r="U32" s="36" t="n">
        <f aca="false">IF($D32&lt;&gt;"销项开票",0,ROUND(N($H32)*N(IFERROR(INDEX(单位档案!$K$6:$K$35,MATCH($E32,单位档案!$A$6:$A$35,0)),"")),2))</f>
        <v>39.22</v>
      </c>
      <c r="V32" s="36" t="n">
        <f aca="false">IF(OR($D32&lt;&gt;"销项开票",N($Q32)=0),0,ROUND(N($H32)/(1+$Q32)*N(IFERROR(INDEX(单位档案!$L$6:$L$35,MATCH($E32,单位档案!$A$6:$A$35,0)),"")),2))</f>
        <v>0</v>
      </c>
      <c r="W32" s="36" t="n">
        <f aca="false">ROUND($S32+$T32+$U32+$V32,2)</f>
        <v>4303.74</v>
      </c>
      <c r="X32" s="35" t="str">
        <f aca="false">IF(OR($D32="挂靠代收",$D32="我方收款"),COUNTIFS($D$5:$D32,"挂靠代收")+COUNTIFS($D$5:$D32,"我方收款"),"")</f>
        <v/>
      </c>
      <c r="Y32" s="35" t="s">
        <v>106</v>
      </c>
      <c r="Z32" s="21" t="s">
        <v>111</v>
      </c>
    </row>
    <row r="33" customFormat="false" ht="15.75" hidden="false" customHeight="true" outlineLevel="0" collapsed="false">
      <c r="A33" s="32" t="n">
        <f aca="false">IF($B33="","",ROW()-4)</f>
        <v>29</v>
      </c>
      <c r="B33" s="26" t="n">
        <v>46108</v>
      </c>
      <c r="C33" s="24" t="s">
        <v>165</v>
      </c>
      <c r="D33" s="21" t="s">
        <v>307</v>
      </c>
      <c r="E33" s="21" t="s">
        <v>121</v>
      </c>
      <c r="F33" s="21" t="s">
        <v>106</v>
      </c>
      <c r="G33" s="24" t="s">
        <v>308</v>
      </c>
      <c r="H33" s="27" t="n">
        <v>17260.86</v>
      </c>
      <c r="I33" s="23" t="n">
        <f aca="false">IF($D33&lt;&gt;"销项开票","",IF($N33="一级",IF(IFERROR(INDEX(项目档案!$E$6:$E$255,MATCH($C33,项目档案!$A$6:$A$255,0)),"")="",N(IFERROR(INDEX(单位档案!$D$6:$D$35,MATCH($E33,单位档案!$A$6:$A$35,0)),"")),IFERROR(INDEX(项目档案!$E$6:$E$255,MATCH($C33,项目档案!$A$6:$A$255,0)),"")),IF($N33="二级",IF(IFERROR(INDEX(项目档案!$G$6:$G$255,MATCH($C33,项目档案!$A$6:$A$255,0)),"")="",N(IFERROR(INDEX(单位档案!$D$6:$D$35,MATCH($E33,单位档案!$A$6:$A$35,0)),"")),IFERROR(INDEX(项目档案!$G$6:$G$255,MATCH($C33,项目档案!$A$6:$A$255,0)),"")),N(IFERROR(INDEX(单位档案!$D$6:$D$35,MATCH($E33,单位档案!$A$6:$A$35,0)),"")))))</f>
        <v>0.02</v>
      </c>
      <c r="J33" s="25" t="s">
        <v>344</v>
      </c>
      <c r="K33" s="22" t="s">
        <v>313</v>
      </c>
      <c r="L33" s="33" t="str">
        <f aca="false">IF($B33="","",IF(NOT(ISNUMBER($B33)),"日期格式不对",IF($C33="","未选项目编号",IF(LEFT($M33,1)="⚠","项目编号不存在",IF($D33="","未选业务类型",IF($E33="","未选开票/付款方",IF(ISNA(MATCH($E33,单位档案!$A$6:$A$35,0)),"开票方不在单位档案",IF($F33="","未选收票/收款方",IF(ISNA(MATCH($F33,单位档案!$A$6:$A$35,0)),"收款方不在单位档案",IF(NOT(ISNUMBER($H33)),"金额须为数字",IF(AND($D33="销项开票",$N33="—"),"链条待确认","√")))))))))))</f>
        <v>链条待确认</v>
      </c>
      <c r="M33" s="34" t="str">
        <f aca="false">IF($C33="","",IFERROR(INDEX(项目档案!$B$6:$B$255,MATCH($C33,项目档案!$A$6:$A$255,0)),"⚠项目编号不存在"))</f>
        <v>重庆铜梁10kV平凉线惠丰9社等4个台区重过载治理工程</v>
      </c>
      <c r="N33" s="35" t="str">
        <f aca="false">IF($E33="","",IF($E33=IFERROR(INDEX(项目档案!$D$6:$D$255,MATCH($C33,项目档案!$A$6:$A$255,0)),""),"一级",IF($E33=IFERROR(INDEX(项目档案!$F$6:$F$255,MATCH($C33,项目档案!$A$6:$A$255,0)),""),"二级",IF($E33=IFERROR(INDEX(项目档案!$H$6:$H$255,MATCH($C33,项目档案!$A$6:$A$255,0)),""),"我方","—"))))</f>
        <v>—</v>
      </c>
      <c r="O33" s="36" t="n">
        <f aca="false">IF($D33&lt;&gt;"销项开票",0,ROUND(N($H33)*N($I33),2))</f>
        <v>345.22</v>
      </c>
      <c r="P33" s="36" t="n">
        <f aca="false">IF($D33&lt;&gt;"销项开票",0,ROUND(N($H33)-$O33,2))</f>
        <v>16915.64</v>
      </c>
      <c r="Q33" s="37" t="n">
        <f aca="false">IF($E33="","",N(IFERROR(INDEX(单位档案!$E$6:$E$35,MATCH($E33,单位档案!$A$6:$A$35,0)),"")))</f>
        <v>0.13</v>
      </c>
      <c r="R33" s="37" t="n">
        <f aca="false">IF($E33="","",N(IFERROR(INDEX(单位档案!$F$6:$F$35,MATCH($E33,单位档案!$A$6:$A$35,0)),"")))</f>
        <v>0.13</v>
      </c>
      <c r="S33" s="36" t="n">
        <f aca="false">IF(OR($D33&lt;&gt;"销项开票",IFERROR(INDEX(单位档案!$G$6:$G$35,MATCH($E33,单位档案!$A$6:$A$35,0)),"")&lt;&gt;"是",N($Q33)=0),0,IF(IFERROR(INDEX(单位档案!$H$6:$H$35,MATCH($E33,单位档案!$A$6:$A$35,0)),"")="税差法",ROUND(N($H33)/(1+$Q33)*$Q33-IF(N($R33)=0,0,$P33/(1+$R33)*$R33),2),ROUND(N($H33)/(1+$Q33)*$Q33,2)))</f>
        <v>39.72</v>
      </c>
      <c r="T33" s="36" t="n">
        <f aca="false">ROUND($S33*N(IFERROR(INDEX(单位档案!$J$6:$J$35,MATCH($E33,单位档案!$A$6:$A$35,0)),"")),2)</f>
        <v>2.38</v>
      </c>
      <c r="U33" s="36" t="n">
        <f aca="false">IF($D33&lt;&gt;"销项开票",0,ROUND(N($H33)*N(IFERROR(INDEX(单位档案!$K$6:$K$35,MATCH($E33,单位档案!$A$6:$A$35,0)),"")),2))</f>
        <v>0</v>
      </c>
      <c r="V33" s="36" t="n">
        <f aca="false">IF(OR($D33&lt;&gt;"销项开票",N($Q33)=0),0,ROUND(N($H33)/(1+$Q33)*N(IFERROR(INDEX(单位档案!$L$6:$L$35,MATCH($E33,单位档案!$A$6:$A$35,0)),"")),2))</f>
        <v>0</v>
      </c>
      <c r="W33" s="36" t="n">
        <f aca="false">ROUND($S33+$T33+$U33+$V33,2)</f>
        <v>42.1</v>
      </c>
      <c r="X33" s="35" t="str">
        <f aca="false">IF(OR($D33="挂靠代收",$D33="我方收款"),COUNTIFS($D$5:$D33,"挂靠代收")+COUNTIFS($D$5:$D33,"我方收款"),"")</f>
        <v/>
      </c>
      <c r="Y33" s="35" t="s">
        <v>106</v>
      </c>
      <c r="Z33" s="21" t="s">
        <v>111</v>
      </c>
    </row>
    <row r="34" customFormat="false" ht="15.75" hidden="false" customHeight="true" outlineLevel="0" collapsed="false">
      <c r="A34" s="32" t="n">
        <f aca="false">IF($B34="","",ROW()-4)</f>
        <v>30</v>
      </c>
      <c r="B34" s="26" t="n">
        <v>46108</v>
      </c>
      <c r="C34" s="24" t="s">
        <v>165</v>
      </c>
      <c r="D34" s="21" t="s">
        <v>307</v>
      </c>
      <c r="E34" s="21" t="s">
        <v>121</v>
      </c>
      <c r="F34" s="21" t="s">
        <v>106</v>
      </c>
      <c r="G34" s="24" t="s">
        <v>308</v>
      </c>
      <c r="H34" s="27" t="n">
        <v>17281.65</v>
      </c>
      <c r="I34" s="23" t="n">
        <f aca="false">IF($D34&lt;&gt;"销项开票","",IF($N34="一级",IF(IFERROR(INDEX(项目档案!$E$6:$E$255,MATCH($C34,项目档案!$A$6:$A$255,0)),"")="",N(IFERROR(INDEX(单位档案!$D$6:$D$35,MATCH($E34,单位档案!$A$6:$A$35,0)),"")),IFERROR(INDEX(项目档案!$E$6:$E$255,MATCH($C34,项目档案!$A$6:$A$255,0)),"")),IF($N34="二级",IF(IFERROR(INDEX(项目档案!$G$6:$G$255,MATCH($C34,项目档案!$A$6:$A$255,0)),"")="",N(IFERROR(INDEX(单位档案!$D$6:$D$35,MATCH($E34,单位档案!$A$6:$A$35,0)),"")),IFERROR(INDEX(项目档案!$G$6:$G$255,MATCH($C34,项目档案!$A$6:$A$255,0)),"")),N(IFERROR(INDEX(单位档案!$D$6:$D$35,MATCH($E34,单位档案!$A$6:$A$35,0)),"")))))</f>
        <v>0.02</v>
      </c>
      <c r="J34" s="25" t="s">
        <v>345</v>
      </c>
      <c r="K34" s="22" t="s">
        <v>313</v>
      </c>
      <c r="L34" s="33" t="str">
        <f aca="false">IF($B34="","",IF(NOT(ISNUMBER($B34)),"日期格式不对",IF($C34="","未选项目编号",IF(LEFT($M34,1)="⚠","项目编号不存在",IF($D34="","未选业务类型",IF($E34="","未选开票/付款方",IF(ISNA(MATCH($E34,单位档案!$A$6:$A$35,0)),"开票方不在单位档案",IF($F34="","未选收票/收款方",IF(ISNA(MATCH($F34,单位档案!$A$6:$A$35,0)),"收款方不在单位档案",IF(NOT(ISNUMBER($H34)),"金额须为数字",IF(AND($D34="销项开票",$N34="—"),"链条待确认","√")))))))))))</f>
        <v>链条待确认</v>
      </c>
      <c r="M34" s="34" t="str">
        <f aca="false">IF($C34="","",IFERROR(INDEX(项目档案!$B$6:$B$255,MATCH($C34,项目档案!$A$6:$A$255,0)),"⚠项目编号不存在"))</f>
        <v>重庆铜梁10kV平凉线惠丰9社等4个台区重过载治理工程</v>
      </c>
      <c r="N34" s="35" t="str">
        <f aca="false">IF($E34="","",IF($E34=IFERROR(INDEX(项目档案!$D$6:$D$255,MATCH($C34,项目档案!$A$6:$A$255,0)),""),"一级",IF($E34=IFERROR(INDEX(项目档案!$F$6:$F$255,MATCH($C34,项目档案!$A$6:$A$255,0)),""),"二级",IF($E34=IFERROR(INDEX(项目档案!$H$6:$H$255,MATCH($C34,项目档案!$A$6:$A$255,0)),""),"我方","—"))))</f>
        <v>—</v>
      </c>
      <c r="O34" s="36" t="n">
        <f aca="false">IF($D34&lt;&gt;"销项开票",0,ROUND(N($H34)*N($I34),2))</f>
        <v>345.63</v>
      </c>
      <c r="P34" s="36" t="n">
        <f aca="false">IF($D34&lt;&gt;"销项开票",0,ROUND(N($H34)-$O34,2))</f>
        <v>16936.02</v>
      </c>
      <c r="Q34" s="37" t="n">
        <f aca="false">IF($E34="","",N(IFERROR(INDEX(单位档案!$E$6:$E$35,MATCH($E34,单位档案!$A$6:$A$35,0)),"")))</f>
        <v>0.13</v>
      </c>
      <c r="R34" s="37" t="n">
        <f aca="false">IF($E34="","",N(IFERROR(INDEX(单位档案!$F$6:$F$35,MATCH($E34,单位档案!$A$6:$A$35,0)),"")))</f>
        <v>0.13</v>
      </c>
      <c r="S34" s="36" t="n">
        <f aca="false">IF(OR($D34&lt;&gt;"销项开票",IFERROR(INDEX(单位档案!$G$6:$G$35,MATCH($E34,单位档案!$A$6:$A$35,0)),"")&lt;&gt;"是",N($Q34)=0),0,IF(IFERROR(INDEX(单位档案!$H$6:$H$35,MATCH($E34,单位档案!$A$6:$A$35,0)),"")="税差法",ROUND(N($H34)/(1+$Q34)*$Q34-IF(N($R34)=0,0,$P34/(1+$R34)*$R34),2),ROUND(N($H34)/(1+$Q34)*$Q34,2)))</f>
        <v>39.76</v>
      </c>
      <c r="T34" s="36" t="n">
        <f aca="false">ROUND($S34*N(IFERROR(INDEX(单位档案!$J$6:$J$35,MATCH($E34,单位档案!$A$6:$A$35,0)),"")),2)</f>
        <v>2.39</v>
      </c>
      <c r="U34" s="36" t="n">
        <f aca="false">IF($D34&lt;&gt;"销项开票",0,ROUND(N($H34)*N(IFERROR(INDEX(单位档案!$K$6:$K$35,MATCH($E34,单位档案!$A$6:$A$35,0)),"")),2))</f>
        <v>0</v>
      </c>
      <c r="V34" s="36" t="n">
        <f aca="false">IF(OR($D34&lt;&gt;"销项开票",N($Q34)=0),0,ROUND(N($H34)/(1+$Q34)*N(IFERROR(INDEX(单位档案!$L$6:$L$35,MATCH($E34,单位档案!$A$6:$A$35,0)),"")),2))</f>
        <v>0</v>
      </c>
      <c r="W34" s="36" t="n">
        <f aca="false">ROUND($S34+$T34+$U34+$V34,2)</f>
        <v>42.15</v>
      </c>
      <c r="X34" s="35" t="str">
        <f aca="false">IF(OR($D34="挂靠代收",$D34="我方收款"),COUNTIFS($D$5:$D34,"挂靠代收")+COUNTIFS($D$5:$D34,"我方收款"),"")</f>
        <v/>
      </c>
      <c r="Y34" s="35" t="s">
        <v>106</v>
      </c>
      <c r="Z34" s="21" t="s">
        <v>111</v>
      </c>
    </row>
    <row r="35" customFormat="false" ht="15.75" hidden="false" customHeight="true" outlineLevel="0" collapsed="false">
      <c r="A35" s="32" t="n">
        <f aca="false">IF($B35="","",ROW()-4)</f>
        <v>31</v>
      </c>
      <c r="B35" s="26" t="n">
        <v>46108</v>
      </c>
      <c r="C35" s="24" t="s">
        <v>165</v>
      </c>
      <c r="D35" s="21" t="s">
        <v>307</v>
      </c>
      <c r="E35" s="21" t="s">
        <v>121</v>
      </c>
      <c r="F35" s="21" t="s">
        <v>106</v>
      </c>
      <c r="G35" s="24" t="s">
        <v>308</v>
      </c>
      <c r="H35" s="27" t="n">
        <v>27034.2</v>
      </c>
      <c r="I35" s="23" t="n">
        <f aca="false">IF($D35&lt;&gt;"销项开票","",IF($N35="一级",IF(IFERROR(INDEX(项目档案!$E$6:$E$255,MATCH($C35,项目档案!$A$6:$A$255,0)),"")="",N(IFERROR(INDEX(单位档案!$D$6:$D$35,MATCH($E35,单位档案!$A$6:$A$35,0)),"")),IFERROR(INDEX(项目档案!$E$6:$E$255,MATCH($C35,项目档案!$A$6:$A$255,0)),"")),IF($N35="二级",IF(IFERROR(INDEX(项目档案!$G$6:$G$255,MATCH($C35,项目档案!$A$6:$A$255,0)),"")="",N(IFERROR(INDEX(单位档案!$D$6:$D$35,MATCH($E35,单位档案!$A$6:$A$35,0)),"")),IFERROR(INDEX(项目档案!$G$6:$G$255,MATCH($C35,项目档案!$A$6:$A$255,0)),"")),N(IFERROR(INDEX(单位档案!$D$6:$D$35,MATCH($E35,单位档案!$A$6:$A$35,0)),"")))))</f>
        <v>0.02</v>
      </c>
      <c r="J35" s="25" t="s">
        <v>346</v>
      </c>
      <c r="K35" s="22" t="s">
        <v>313</v>
      </c>
      <c r="L35" s="33" t="str">
        <f aca="false">IF($B35="","",IF(NOT(ISNUMBER($B35)),"日期格式不对",IF($C35="","未选项目编号",IF(LEFT($M35,1)="⚠","项目编号不存在",IF($D35="","未选业务类型",IF($E35="","未选开票/付款方",IF(ISNA(MATCH($E35,单位档案!$A$6:$A$35,0)),"开票方不在单位档案",IF($F35="","未选收票/收款方",IF(ISNA(MATCH($F35,单位档案!$A$6:$A$35,0)),"收款方不在单位档案",IF(NOT(ISNUMBER($H35)),"金额须为数字",IF(AND($D35="销项开票",$N35="—"),"链条待确认","√")))))))))))</f>
        <v>链条待确认</v>
      </c>
      <c r="M35" s="34" t="str">
        <f aca="false">IF($C35="","",IFERROR(INDEX(项目档案!$B$6:$B$255,MATCH($C35,项目档案!$A$6:$A$255,0)),"⚠项目编号不存在"))</f>
        <v>重庆铜梁10kV平凉线惠丰9社等4个台区重过载治理工程</v>
      </c>
      <c r="N35" s="35" t="str">
        <f aca="false">IF($E35="","",IF($E35=IFERROR(INDEX(项目档案!$D$6:$D$255,MATCH($C35,项目档案!$A$6:$A$255,0)),""),"一级",IF($E35=IFERROR(INDEX(项目档案!$F$6:$F$255,MATCH($C35,项目档案!$A$6:$A$255,0)),""),"二级",IF($E35=IFERROR(INDEX(项目档案!$H$6:$H$255,MATCH($C35,项目档案!$A$6:$A$255,0)),""),"我方","—"))))</f>
        <v>—</v>
      </c>
      <c r="O35" s="36" t="n">
        <f aca="false">IF($D35&lt;&gt;"销项开票",0,ROUND(N($H35)*N($I35),2))</f>
        <v>540.68</v>
      </c>
      <c r="P35" s="36" t="n">
        <f aca="false">IF($D35&lt;&gt;"销项开票",0,ROUND(N($H35)-$O35,2))</f>
        <v>26493.52</v>
      </c>
      <c r="Q35" s="37" t="n">
        <f aca="false">IF($E35="","",N(IFERROR(INDEX(单位档案!$E$6:$E$35,MATCH($E35,单位档案!$A$6:$A$35,0)),"")))</f>
        <v>0.13</v>
      </c>
      <c r="R35" s="37" t="n">
        <f aca="false">IF($E35="","",N(IFERROR(INDEX(单位档案!$F$6:$F$35,MATCH($E35,单位档案!$A$6:$A$35,0)),"")))</f>
        <v>0.13</v>
      </c>
      <c r="S35" s="36" t="n">
        <f aca="false">IF(OR($D35&lt;&gt;"销项开票",IFERROR(INDEX(单位档案!$G$6:$G$35,MATCH($E35,单位档案!$A$6:$A$35,0)),"")&lt;&gt;"是",N($Q35)=0),0,IF(IFERROR(INDEX(单位档案!$H$6:$H$35,MATCH($E35,单位档案!$A$6:$A$35,0)),"")="税差法",ROUND(N($H35)/(1+$Q35)*$Q35-IF(N($R35)=0,0,$P35/(1+$R35)*$R35),2),ROUND(N($H35)/(1+$Q35)*$Q35,2)))</f>
        <v>62.2</v>
      </c>
      <c r="T35" s="36" t="n">
        <f aca="false">ROUND($S35*N(IFERROR(INDEX(单位档案!$J$6:$J$35,MATCH($E35,单位档案!$A$6:$A$35,0)),"")),2)</f>
        <v>3.73</v>
      </c>
      <c r="U35" s="36" t="n">
        <f aca="false">IF($D35&lt;&gt;"销项开票",0,ROUND(N($H35)*N(IFERROR(INDEX(单位档案!$K$6:$K$35,MATCH($E35,单位档案!$A$6:$A$35,0)),"")),2))</f>
        <v>0</v>
      </c>
      <c r="V35" s="36" t="n">
        <f aca="false">IF(OR($D35&lt;&gt;"销项开票",N($Q35)=0),0,ROUND(N($H35)/(1+$Q35)*N(IFERROR(INDEX(单位档案!$L$6:$L$35,MATCH($E35,单位档案!$A$6:$A$35,0)),"")),2))</f>
        <v>0</v>
      </c>
      <c r="W35" s="36" t="n">
        <f aca="false">ROUND($S35+$T35+$U35+$V35,2)</f>
        <v>65.93</v>
      </c>
      <c r="X35" s="35" t="str">
        <f aca="false">IF(OR($D35="挂靠代收",$D35="我方收款"),COUNTIFS($D$5:$D35,"挂靠代收")+COUNTIFS($D$5:$D35,"我方收款"),"")</f>
        <v/>
      </c>
      <c r="Y35" s="35" t="s">
        <v>106</v>
      </c>
      <c r="Z35" s="21" t="s">
        <v>111</v>
      </c>
    </row>
    <row r="36" customFormat="false" ht="15.75" hidden="false" customHeight="true" outlineLevel="0" collapsed="false">
      <c r="A36" s="32" t="n">
        <f aca="false">IF($B36="","",ROW()-4)</f>
        <v>32</v>
      </c>
      <c r="B36" s="26" t="n">
        <v>46108</v>
      </c>
      <c r="C36" s="24" t="s">
        <v>165</v>
      </c>
      <c r="D36" s="21" t="s">
        <v>307</v>
      </c>
      <c r="E36" s="21" t="s">
        <v>121</v>
      </c>
      <c r="F36" s="21" t="s">
        <v>106</v>
      </c>
      <c r="G36" s="24" t="s">
        <v>308</v>
      </c>
      <c r="H36" s="27" t="n">
        <v>26876.33</v>
      </c>
      <c r="I36" s="23" t="n">
        <f aca="false">IF($D36&lt;&gt;"销项开票","",IF($N36="一级",IF(IFERROR(INDEX(项目档案!$E$6:$E$255,MATCH($C36,项目档案!$A$6:$A$255,0)),"")="",N(IFERROR(INDEX(单位档案!$D$6:$D$35,MATCH($E36,单位档案!$A$6:$A$35,0)),"")),IFERROR(INDEX(项目档案!$E$6:$E$255,MATCH($C36,项目档案!$A$6:$A$255,0)),"")),IF($N36="二级",IF(IFERROR(INDEX(项目档案!$G$6:$G$255,MATCH($C36,项目档案!$A$6:$A$255,0)),"")="",N(IFERROR(INDEX(单位档案!$D$6:$D$35,MATCH($E36,单位档案!$A$6:$A$35,0)),"")),IFERROR(INDEX(项目档案!$G$6:$G$255,MATCH($C36,项目档案!$A$6:$A$255,0)),"")),N(IFERROR(INDEX(单位档案!$D$6:$D$35,MATCH($E36,单位档案!$A$6:$A$35,0)),"")))))</f>
        <v>0.02</v>
      </c>
      <c r="J36" s="25" t="s">
        <v>347</v>
      </c>
      <c r="K36" s="22" t="s">
        <v>313</v>
      </c>
      <c r="L36" s="33" t="str">
        <f aca="false">IF($B36="","",IF(NOT(ISNUMBER($B36)),"日期格式不对",IF($C36="","未选项目编号",IF(LEFT($M36,1)="⚠","项目编号不存在",IF($D36="","未选业务类型",IF($E36="","未选开票/付款方",IF(ISNA(MATCH($E36,单位档案!$A$6:$A$35,0)),"开票方不在单位档案",IF($F36="","未选收票/收款方",IF(ISNA(MATCH($F36,单位档案!$A$6:$A$35,0)),"收款方不在单位档案",IF(NOT(ISNUMBER($H36)),"金额须为数字",IF(AND($D36="销项开票",$N36="—"),"链条待确认","√")))))))))))</f>
        <v>链条待确认</v>
      </c>
      <c r="M36" s="34" t="str">
        <f aca="false">IF($C36="","",IFERROR(INDEX(项目档案!$B$6:$B$255,MATCH($C36,项目档案!$A$6:$A$255,0)),"⚠项目编号不存在"))</f>
        <v>重庆铜梁10kV平凉线惠丰9社等4个台区重过载治理工程</v>
      </c>
      <c r="N36" s="35" t="str">
        <f aca="false">IF($E36="","",IF($E36=IFERROR(INDEX(项目档案!$D$6:$D$255,MATCH($C36,项目档案!$A$6:$A$255,0)),""),"一级",IF($E36=IFERROR(INDEX(项目档案!$F$6:$F$255,MATCH($C36,项目档案!$A$6:$A$255,0)),""),"二级",IF($E36=IFERROR(INDEX(项目档案!$H$6:$H$255,MATCH($C36,项目档案!$A$6:$A$255,0)),""),"我方","—"))))</f>
        <v>—</v>
      </c>
      <c r="O36" s="36" t="n">
        <f aca="false">IF($D36&lt;&gt;"销项开票",0,ROUND(N($H36)*N($I36),2))</f>
        <v>537.53</v>
      </c>
      <c r="P36" s="36" t="n">
        <f aca="false">IF($D36&lt;&gt;"销项开票",0,ROUND(N($H36)-$O36,2))</f>
        <v>26338.8</v>
      </c>
      <c r="Q36" s="37" t="n">
        <f aca="false">IF($E36="","",N(IFERROR(INDEX(单位档案!$E$6:$E$35,MATCH($E36,单位档案!$A$6:$A$35,0)),"")))</f>
        <v>0.13</v>
      </c>
      <c r="R36" s="37" t="n">
        <f aca="false">IF($E36="","",N(IFERROR(INDEX(单位档案!$F$6:$F$35,MATCH($E36,单位档案!$A$6:$A$35,0)),"")))</f>
        <v>0.13</v>
      </c>
      <c r="S36" s="36" t="n">
        <f aca="false">IF(OR($D36&lt;&gt;"销项开票",IFERROR(INDEX(单位档案!$G$6:$G$35,MATCH($E36,单位档案!$A$6:$A$35,0)),"")&lt;&gt;"是",N($Q36)=0),0,IF(IFERROR(INDEX(单位档案!$H$6:$H$35,MATCH($E36,单位档案!$A$6:$A$35,0)),"")="税差法",ROUND(N($H36)/(1+$Q36)*$Q36-IF(N($R36)=0,0,$P36/(1+$R36)*$R36),2),ROUND(N($H36)/(1+$Q36)*$Q36,2)))</f>
        <v>61.84</v>
      </c>
      <c r="T36" s="36" t="n">
        <f aca="false">ROUND($S36*N(IFERROR(INDEX(单位档案!$J$6:$J$35,MATCH($E36,单位档案!$A$6:$A$35,0)),"")),2)</f>
        <v>3.71</v>
      </c>
      <c r="U36" s="36" t="n">
        <f aca="false">IF($D36&lt;&gt;"销项开票",0,ROUND(N($H36)*N(IFERROR(INDEX(单位档案!$K$6:$K$35,MATCH($E36,单位档案!$A$6:$A$35,0)),"")),2))</f>
        <v>0</v>
      </c>
      <c r="V36" s="36" t="n">
        <f aca="false">IF(OR($D36&lt;&gt;"销项开票",N($Q36)=0),0,ROUND(N($H36)/(1+$Q36)*N(IFERROR(INDEX(单位档案!$L$6:$L$35,MATCH($E36,单位档案!$A$6:$A$35,0)),"")),2))</f>
        <v>0</v>
      </c>
      <c r="W36" s="36" t="n">
        <f aca="false">ROUND($S36+$T36+$U36+$V36,2)</f>
        <v>65.55</v>
      </c>
      <c r="X36" s="35" t="str">
        <f aca="false">IF(OR($D36="挂靠代收",$D36="我方收款"),COUNTIFS($D$5:$D36,"挂靠代收")+COUNTIFS($D$5:$D36,"我方收款"),"")</f>
        <v/>
      </c>
      <c r="Y36" s="35" t="s">
        <v>106</v>
      </c>
      <c r="Z36" s="21" t="s">
        <v>111</v>
      </c>
    </row>
    <row r="37" customFormat="false" ht="15.75" hidden="false" customHeight="true" outlineLevel="0" collapsed="false">
      <c r="A37" s="32" t="n">
        <f aca="false">IF($B37="","",ROW()-4)</f>
        <v>33</v>
      </c>
      <c r="B37" s="26" t="n">
        <v>46108</v>
      </c>
      <c r="C37" s="24" t="s">
        <v>165</v>
      </c>
      <c r="D37" s="21" t="s">
        <v>307</v>
      </c>
      <c r="E37" s="21" t="s">
        <v>121</v>
      </c>
      <c r="F37" s="21" t="s">
        <v>106</v>
      </c>
      <c r="G37" s="24" t="s">
        <v>308</v>
      </c>
      <c r="H37" s="27" t="n">
        <v>47966.22</v>
      </c>
      <c r="I37" s="23" t="n">
        <f aca="false">IF($D37&lt;&gt;"销项开票","",IF($N37="一级",IF(IFERROR(INDEX(项目档案!$E$6:$E$255,MATCH($C37,项目档案!$A$6:$A$255,0)),"")="",N(IFERROR(INDEX(单位档案!$D$6:$D$35,MATCH($E37,单位档案!$A$6:$A$35,0)),"")),IFERROR(INDEX(项目档案!$E$6:$E$255,MATCH($C37,项目档案!$A$6:$A$255,0)),"")),IF($N37="二级",IF(IFERROR(INDEX(项目档案!$G$6:$G$255,MATCH($C37,项目档案!$A$6:$A$255,0)),"")="",N(IFERROR(INDEX(单位档案!$D$6:$D$35,MATCH($E37,单位档案!$A$6:$A$35,0)),"")),IFERROR(INDEX(项目档案!$G$6:$G$255,MATCH($C37,项目档案!$A$6:$A$255,0)),"")),N(IFERROR(INDEX(单位档案!$D$6:$D$35,MATCH($E37,单位档案!$A$6:$A$35,0)),"")))))</f>
        <v>0.02</v>
      </c>
      <c r="J37" s="25" t="s">
        <v>348</v>
      </c>
      <c r="K37" s="22" t="s">
        <v>313</v>
      </c>
      <c r="L37" s="33" t="str">
        <f aca="false">IF($B37="","",IF(NOT(ISNUMBER($B37)),"日期格式不对",IF($C37="","未选项目编号",IF(LEFT($M37,1)="⚠","项目编号不存在",IF($D37="","未选业务类型",IF($E37="","未选开票/付款方",IF(ISNA(MATCH($E37,单位档案!$A$6:$A$35,0)),"开票方不在单位档案",IF($F37="","未选收票/收款方",IF(ISNA(MATCH($F37,单位档案!$A$6:$A$35,0)),"收款方不在单位档案",IF(NOT(ISNUMBER($H37)),"金额须为数字",IF(AND($D37="销项开票",$N37="—"),"链条待确认","√")))))))))))</f>
        <v>链条待确认</v>
      </c>
      <c r="M37" s="34" t="str">
        <f aca="false">IF($C37="","",IFERROR(INDEX(项目档案!$B$6:$B$255,MATCH($C37,项目档案!$A$6:$A$255,0)),"⚠项目编号不存在"))</f>
        <v>重庆铜梁10kV平凉线惠丰9社等4个台区重过载治理工程</v>
      </c>
      <c r="N37" s="35" t="str">
        <f aca="false">IF($E37="","",IF($E37=IFERROR(INDEX(项目档案!$D$6:$D$255,MATCH($C37,项目档案!$A$6:$A$255,0)),""),"一级",IF($E37=IFERROR(INDEX(项目档案!$F$6:$F$255,MATCH($C37,项目档案!$A$6:$A$255,0)),""),"二级",IF($E37=IFERROR(INDEX(项目档案!$H$6:$H$255,MATCH($C37,项目档案!$A$6:$A$255,0)),""),"我方","—"))))</f>
        <v>—</v>
      </c>
      <c r="O37" s="36" t="n">
        <f aca="false">IF($D37&lt;&gt;"销项开票",0,ROUND(N($H37)*N($I37),2))</f>
        <v>959.32</v>
      </c>
      <c r="P37" s="36" t="n">
        <f aca="false">IF($D37&lt;&gt;"销项开票",0,ROUND(N($H37)-$O37,2))</f>
        <v>47006.9</v>
      </c>
      <c r="Q37" s="37" t="n">
        <f aca="false">IF($E37="","",N(IFERROR(INDEX(单位档案!$E$6:$E$35,MATCH($E37,单位档案!$A$6:$A$35,0)),"")))</f>
        <v>0.13</v>
      </c>
      <c r="R37" s="37" t="n">
        <f aca="false">IF($E37="","",N(IFERROR(INDEX(单位档案!$F$6:$F$35,MATCH($E37,单位档案!$A$6:$A$35,0)),"")))</f>
        <v>0.13</v>
      </c>
      <c r="S37" s="36" t="n">
        <f aca="false">IF(OR($D37&lt;&gt;"销项开票",IFERROR(INDEX(单位档案!$G$6:$G$35,MATCH($E37,单位档案!$A$6:$A$35,0)),"")&lt;&gt;"是",N($Q37)=0),0,IF(IFERROR(INDEX(单位档案!$H$6:$H$35,MATCH($E37,单位档案!$A$6:$A$35,0)),"")="税差法",ROUND(N($H37)/(1+$Q37)*$Q37-IF(N($R37)=0,0,$P37/(1+$R37)*$R37),2),ROUND(N($H37)/(1+$Q37)*$Q37,2)))</f>
        <v>110.36</v>
      </c>
      <c r="T37" s="36" t="n">
        <f aca="false">ROUND($S37*N(IFERROR(INDEX(单位档案!$J$6:$J$35,MATCH($E37,单位档案!$A$6:$A$35,0)),"")),2)</f>
        <v>6.62</v>
      </c>
      <c r="U37" s="36" t="n">
        <f aca="false">IF($D37&lt;&gt;"销项开票",0,ROUND(N($H37)*N(IFERROR(INDEX(单位档案!$K$6:$K$35,MATCH($E37,单位档案!$A$6:$A$35,0)),"")),2))</f>
        <v>0</v>
      </c>
      <c r="V37" s="36" t="n">
        <f aca="false">IF(OR($D37&lt;&gt;"销项开票",N($Q37)=0),0,ROUND(N($H37)/(1+$Q37)*N(IFERROR(INDEX(单位档案!$L$6:$L$35,MATCH($E37,单位档案!$A$6:$A$35,0)),"")),2))</f>
        <v>0</v>
      </c>
      <c r="W37" s="36" t="n">
        <f aca="false">ROUND($S37+$T37+$U37+$V37,2)</f>
        <v>116.98</v>
      </c>
      <c r="X37" s="35" t="str">
        <f aca="false">IF(OR($D37="挂靠代收",$D37="我方收款"),COUNTIFS($D$5:$D37,"挂靠代收")+COUNTIFS($D$5:$D37,"我方收款"),"")</f>
        <v/>
      </c>
      <c r="Y37" s="35" t="s">
        <v>106</v>
      </c>
      <c r="Z37" s="21" t="s">
        <v>111</v>
      </c>
    </row>
    <row r="38" customFormat="false" ht="15.75" hidden="false" customHeight="true" outlineLevel="0" collapsed="false">
      <c r="A38" s="32" t="n">
        <f aca="false">IF($B38="","",ROW()-4)</f>
        <v>34</v>
      </c>
      <c r="B38" s="26" t="n">
        <v>46108</v>
      </c>
      <c r="C38" s="24" t="s">
        <v>153</v>
      </c>
      <c r="D38" s="21" t="s">
        <v>307</v>
      </c>
      <c r="E38" s="21" t="s">
        <v>106</v>
      </c>
      <c r="F38" s="21" t="s">
        <v>97</v>
      </c>
      <c r="G38" s="24" t="s">
        <v>308</v>
      </c>
      <c r="H38" s="27" t="n">
        <v>130728</v>
      </c>
      <c r="I38" s="23" t="n">
        <v>0.08</v>
      </c>
      <c r="J38" s="25" t="s">
        <v>349</v>
      </c>
      <c r="K38" s="22" t="s">
        <v>313</v>
      </c>
      <c r="L38" s="33" t="str">
        <f aca="false">IF($B38="","",IF(NOT(ISNUMBER($B38)),"日期格式不对",IF($C38="","未选项目编号",IF(LEFT($M38,1)="⚠","项目编号不存在",IF($D38="","未选业务类型",IF($E38="","未选开票/付款方",IF(ISNA(MATCH($E38,单位档案!$A$6:$A$35,0)),"开票方不在单位档案",IF($F38="","未选收票/收款方",IF(ISNA(MATCH($F38,单位档案!$A$6:$A$35,0)),"收款方不在单位档案",IF(NOT(ISNUMBER($H38)),"金额须为数字",IF(AND($D38="销项开票",$N38="—"),"链条待确认","√")))))))))))</f>
        <v>链条待确认</v>
      </c>
      <c r="M38" s="34" t="str">
        <f aca="false">IF($C38="","",IFERROR(INDEX(项目档案!$B$6:$B$255,MATCH($C38,项目档案!$A$6:$A$255,0)),"⚠项目编号不存在"))</f>
        <v>重庆铜梁10kV平双线新建联络工程</v>
      </c>
      <c r="N38" s="35" t="str">
        <f aca="false">IF($E38="","",IF($E38=IFERROR(INDEX(项目档案!$D$6:$D$255,MATCH($C38,项目档案!$A$6:$A$255,0)),""),"一级",IF($E38=IFERROR(INDEX(项目档案!$F$6:$F$255,MATCH($C38,项目档案!$A$6:$A$255,0)),""),"二级",IF($E38=IFERROR(INDEX(项目档案!$H$6:$H$255,MATCH($C38,项目档案!$A$6:$A$255,0)),""),"我方","—"))))</f>
        <v>—</v>
      </c>
      <c r="O38" s="36" t="n">
        <f aca="false">IF($D38&lt;&gt;"销项开票",0,ROUND(N($H38)*N($I38),2))</f>
        <v>10458.24</v>
      </c>
      <c r="P38" s="36" t="n">
        <f aca="false">IF($D38&lt;&gt;"销项开票",0,ROUND(N($H38)-$O38,2))</f>
        <v>120269.76</v>
      </c>
      <c r="Q38" s="37" t="n">
        <f aca="false">IF($E38="","",N(IFERROR(INDEX(单位档案!$E$6:$E$35,MATCH($E38,单位档案!$A$6:$A$35,0)),"")))</f>
        <v>0.13</v>
      </c>
      <c r="R38" s="37" t="n">
        <f aca="false">IF($E38="","",N(IFERROR(INDEX(单位档案!$F$6:$F$35,MATCH($E38,单位档案!$A$6:$A$35,0)),"")))</f>
        <v>0.13</v>
      </c>
      <c r="S38" s="36" t="n">
        <f aca="false">IF(OR($D38&lt;&gt;"销项开票",IFERROR(INDEX(单位档案!$G$6:$G$35,MATCH($E38,单位档案!$A$6:$A$35,0)),"")&lt;&gt;"是",N($Q38)=0),0,IF(IFERROR(INDEX(单位档案!$H$6:$H$35,MATCH($E38,单位档案!$A$6:$A$35,0)),"")="税差法",ROUND(N($H38)/(1+$Q38)*$Q38-IF(N($R38)=0,0,$P38/(1+$R38)*$R38),2),ROUND(N($H38)/(1+$Q38)*$Q38,2)))</f>
        <v>0</v>
      </c>
      <c r="T38" s="36" t="n">
        <f aca="false">ROUND($S38*N(IFERROR(INDEX(单位档案!$J$6:$J$35,MATCH($E38,单位档案!$A$6:$A$35,0)),"")),2)</f>
        <v>0</v>
      </c>
      <c r="U38" s="36" t="n">
        <f aca="false">IF($D38&lt;&gt;"销项开票",0,ROUND(N($H38)*N(IFERROR(INDEX(单位档案!$K$6:$K$35,MATCH($E38,单位档案!$A$6:$A$35,0)),"")),2))</f>
        <v>0</v>
      </c>
      <c r="V38" s="36" t="n">
        <f aca="false">IF(OR($D38&lt;&gt;"销项开票",N($Q38)=0),0,ROUND(N($H38)/(1+$Q38)*N(IFERROR(INDEX(单位档案!$L$6:$L$35,MATCH($E38,单位档案!$A$6:$A$35,0)),"")),2))</f>
        <v>0</v>
      </c>
      <c r="W38" s="36" t="n">
        <f aca="false">ROUND($S38+$T38+$U38+$V38,2)</f>
        <v>0</v>
      </c>
      <c r="X38" s="35" t="str">
        <f aca="false">IF(OR($D38="挂靠代收",$D38="我方收款"),COUNTIFS($D$5:$D38,"挂靠代收")+COUNTIFS($D$5:$D38,"我方收款"),"")</f>
        <v/>
      </c>
      <c r="Y38" s="35" t="s">
        <v>106</v>
      </c>
      <c r="Z38" s="21" t="s">
        <v>111</v>
      </c>
    </row>
    <row r="39" customFormat="false" ht="15.75" hidden="false" customHeight="true" outlineLevel="0" collapsed="false">
      <c r="A39" s="32" t="n">
        <f aca="false">IF($B39="","",ROW()-4)</f>
        <v>35</v>
      </c>
      <c r="B39" s="26" t="n">
        <v>46108</v>
      </c>
      <c r="C39" s="24" t="s">
        <v>156</v>
      </c>
      <c r="D39" s="21" t="s">
        <v>307</v>
      </c>
      <c r="E39" s="21" t="s">
        <v>106</v>
      </c>
      <c r="F39" s="21" t="s">
        <v>97</v>
      </c>
      <c r="G39" s="24" t="s">
        <v>308</v>
      </c>
      <c r="H39" s="27" t="n">
        <v>18761.8</v>
      </c>
      <c r="I39" s="23" t="n">
        <v>0.08</v>
      </c>
      <c r="J39" s="25" t="s">
        <v>350</v>
      </c>
      <c r="K39" s="22" t="s">
        <v>313</v>
      </c>
      <c r="L39" s="33" t="str">
        <f aca="false">IF($B39="","",IF(NOT(ISNUMBER($B39)),"日期格式不对",IF($C39="","未选项目编号",IF(LEFT($M39,1)="⚠","项目编号不存在",IF($D39="","未选业务类型",IF($E39="","未选开票/付款方",IF(ISNA(MATCH($E39,单位档案!$A$6:$A$35,0)),"开票方不在单位档案",IF($F39="","未选收票/收款方",IF(ISNA(MATCH($F39,单位档案!$A$6:$A$35,0)),"收款方不在单位档案",IF(NOT(ISNUMBER($H39)),"金额须为数字",IF(AND($D39="销项开票",$N39="—"),"链条待确认","√")))))))))))</f>
        <v>链条待确认</v>
      </c>
      <c r="M39" s="34" t="str">
        <f aca="false">IF($C39="","",IFERROR(INDEX(项目档案!$B$6:$B$255,MATCH($C39,项目档案!$A$6:$A$255,0)),"⚠项目编号不存在"))</f>
        <v>重庆铜梁10kV水羊线金鸡3（4）社台区重过载治理工程</v>
      </c>
      <c r="N39" s="35" t="str">
        <f aca="false">IF($E39="","",IF($E39=IFERROR(INDEX(项目档案!$D$6:$D$255,MATCH($C39,项目档案!$A$6:$A$255,0)),""),"一级",IF($E39=IFERROR(INDEX(项目档案!$F$6:$F$255,MATCH($C39,项目档案!$A$6:$A$255,0)),""),"二级",IF($E39=IFERROR(INDEX(项目档案!$H$6:$H$255,MATCH($C39,项目档案!$A$6:$A$255,0)),""),"我方","—"))))</f>
        <v>—</v>
      </c>
      <c r="O39" s="36" t="n">
        <f aca="false">IF($D39&lt;&gt;"销项开票",0,ROUND(N($H39)*N($I39),2))</f>
        <v>1500.94</v>
      </c>
      <c r="P39" s="36" t="n">
        <f aca="false">IF($D39&lt;&gt;"销项开票",0,ROUND(N($H39)-$O39,2))</f>
        <v>17260.86</v>
      </c>
      <c r="Q39" s="37" t="n">
        <f aca="false">IF($E39="","",N(IFERROR(INDEX(单位档案!$E$6:$E$35,MATCH($E39,单位档案!$A$6:$A$35,0)),"")))</f>
        <v>0.13</v>
      </c>
      <c r="R39" s="37" t="n">
        <f aca="false">IF($E39="","",N(IFERROR(INDEX(单位档案!$F$6:$F$35,MATCH($E39,单位档案!$A$6:$A$35,0)),"")))</f>
        <v>0.13</v>
      </c>
      <c r="S39" s="36" t="n">
        <f aca="false">IF(OR($D39&lt;&gt;"销项开票",IFERROR(INDEX(单位档案!$G$6:$G$35,MATCH($E39,单位档案!$A$6:$A$35,0)),"")&lt;&gt;"是",N($Q39)=0),0,IF(IFERROR(INDEX(单位档案!$H$6:$H$35,MATCH($E39,单位档案!$A$6:$A$35,0)),"")="税差法",ROUND(N($H39)/(1+$Q39)*$Q39-IF(N($R39)=0,0,$P39/(1+$R39)*$R39),2),ROUND(N($H39)/(1+$Q39)*$Q39,2)))</f>
        <v>0</v>
      </c>
      <c r="T39" s="36" t="n">
        <f aca="false">ROUND($S39*N(IFERROR(INDEX(单位档案!$J$6:$J$35,MATCH($E39,单位档案!$A$6:$A$35,0)),"")),2)</f>
        <v>0</v>
      </c>
      <c r="U39" s="36" t="n">
        <f aca="false">IF($D39&lt;&gt;"销项开票",0,ROUND(N($H39)*N(IFERROR(INDEX(单位档案!$K$6:$K$35,MATCH($E39,单位档案!$A$6:$A$35,0)),"")),2))</f>
        <v>0</v>
      </c>
      <c r="V39" s="36" t="n">
        <f aca="false">IF(OR($D39&lt;&gt;"销项开票",N($Q39)=0),0,ROUND(N($H39)/(1+$Q39)*N(IFERROR(INDEX(单位档案!$L$6:$L$35,MATCH($E39,单位档案!$A$6:$A$35,0)),"")),2))</f>
        <v>0</v>
      </c>
      <c r="W39" s="36" t="n">
        <f aca="false">ROUND($S39+$T39+$U39+$V39,2)</f>
        <v>0</v>
      </c>
      <c r="X39" s="35" t="str">
        <f aca="false">IF(OR($D39="挂靠代收",$D39="我方收款"),COUNTIFS($D$5:$D39,"挂靠代收")+COUNTIFS($D$5:$D39,"我方收款"),"")</f>
        <v/>
      </c>
      <c r="Y39" s="35" t="s">
        <v>106</v>
      </c>
      <c r="Z39" s="21" t="s">
        <v>111</v>
      </c>
    </row>
    <row r="40" customFormat="false" ht="15.75" hidden="false" customHeight="true" outlineLevel="0" collapsed="false">
      <c r="A40" s="32" t="n">
        <f aca="false">IF($B40="","",ROW()-4)</f>
        <v>36</v>
      </c>
      <c r="B40" s="26" t="n">
        <v>46108</v>
      </c>
      <c r="C40" s="24" t="s">
        <v>159</v>
      </c>
      <c r="D40" s="21" t="s">
        <v>307</v>
      </c>
      <c r="E40" s="21" t="s">
        <v>106</v>
      </c>
      <c r="F40" s="21" t="s">
        <v>97</v>
      </c>
      <c r="G40" s="24" t="s">
        <v>308</v>
      </c>
      <c r="H40" s="27" t="n">
        <v>18784.4</v>
      </c>
      <c r="I40" s="23" t="n">
        <v>0.08</v>
      </c>
      <c r="J40" s="25" t="s">
        <v>351</v>
      </c>
      <c r="K40" s="22" t="s">
        <v>313</v>
      </c>
      <c r="L40" s="33" t="str">
        <f aca="false">IF($B40="","",IF(NOT(ISNUMBER($B40)),"日期格式不对",IF($C40="","未选项目编号",IF(LEFT($M40,1)="⚠","项目编号不存在",IF($D40="","未选业务类型",IF($E40="","未选开票/付款方",IF(ISNA(MATCH($E40,单位档案!$A$6:$A$35,0)),"开票方不在单位档案",IF($F40="","未选收票/收款方",IF(ISNA(MATCH($F40,单位档案!$A$6:$A$35,0)),"收款方不在单位档案",IF(NOT(ISNUMBER($H40)),"金额须为数字",IF(AND($D40="销项开票",$N40="—"),"链条待确认","√")))))))))))</f>
        <v>链条待确认</v>
      </c>
      <c r="M40" s="34" t="str">
        <f aca="false">IF($C40="","",IFERROR(INDEX(项目档案!$B$6:$B$255,MATCH($C40,项目档案!$A$6:$A$255,0)),"⚠项目编号不存在"))</f>
        <v>重庆铜梁10kV龙羊线七佛4社台区重过载治理工程</v>
      </c>
      <c r="N40" s="35" t="str">
        <f aca="false">IF($E40="","",IF($E40=IFERROR(INDEX(项目档案!$D$6:$D$255,MATCH($C40,项目档案!$A$6:$A$255,0)),""),"一级",IF($E40=IFERROR(INDEX(项目档案!$F$6:$F$255,MATCH($C40,项目档案!$A$6:$A$255,0)),""),"二级",IF($E40=IFERROR(INDEX(项目档案!$H$6:$H$255,MATCH($C40,项目档案!$A$6:$A$255,0)),""),"我方","—"))))</f>
        <v>—</v>
      </c>
      <c r="O40" s="36" t="n">
        <f aca="false">IF($D40&lt;&gt;"销项开票",0,ROUND(N($H40)*N($I40),2))</f>
        <v>1502.75</v>
      </c>
      <c r="P40" s="36" t="n">
        <f aca="false">IF($D40&lt;&gt;"销项开票",0,ROUND(N($H40)-$O40,2))</f>
        <v>17281.65</v>
      </c>
      <c r="Q40" s="37" t="n">
        <f aca="false">IF($E40="","",N(IFERROR(INDEX(单位档案!$E$6:$E$35,MATCH($E40,单位档案!$A$6:$A$35,0)),"")))</f>
        <v>0.13</v>
      </c>
      <c r="R40" s="37" t="n">
        <f aca="false">IF($E40="","",N(IFERROR(INDEX(单位档案!$F$6:$F$35,MATCH($E40,单位档案!$A$6:$A$35,0)),"")))</f>
        <v>0.13</v>
      </c>
      <c r="S40" s="36" t="n">
        <f aca="false">IF(OR($D40&lt;&gt;"销项开票",IFERROR(INDEX(单位档案!$G$6:$G$35,MATCH($E40,单位档案!$A$6:$A$35,0)),"")&lt;&gt;"是",N($Q40)=0),0,IF(IFERROR(INDEX(单位档案!$H$6:$H$35,MATCH($E40,单位档案!$A$6:$A$35,0)),"")="税差法",ROUND(N($H40)/(1+$Q40)*$Q40-IF(N($R40)=0,0,$P40/(1+$R40)*$R40),2),ROUND(N($H40)/(1+$Q40)*$Q40,2)))</f>
        <v>0</v>
      </c>
      <c r="T40" s="36" t="n">
        <f aca="false">ROUND($S40*N(IFERROR(INDEX(单位档案!$J$6:$J$35,MATCH($E40,单位档案!$A$6:$A$35,0)),"")),2)</f>
        <v>0</v>
      </c>
      <c r="U40" s="36" t="n">
        <f aca="false">IF($D40&lt;&gt;"销项开票",0,ROUND(N($H40)*N(IFERROR(INDEX(单位档案!$K$6:$K$35,MATCH($E40,单位档案!$A$6:$A$35,0)),"")),2))</f>
        <v>0</v>
      </c>
      <c r="V40" s="36" t="n">
        <f aca="false">IF(OR($D40&lt;&gt;"销项开票",N($Q40)=0),0,ROUND(N($H40)/(1+$Q40)*N(IFERROR(INDEX(单位档案!$L$6:$L$35,MATCH($E40,单位档案!$A$6:$A$35,0)),"")),2))</f>
        <v>0</v>
      </c>
      <c r="W40" s="36" t="n">
        <f aca="false">ROUND($S40+$T40+$U40+$V40,2)</f>
        <v>0</v>
      </c>
      <c r="X40" s="35" t="str">
        <f aca="false">IF(OR($D40="挂靠代收",$D40="我方收款"),COUNTIFS($D$5:$D40,"挂靠代收")+COUNTIFS($D$5:$D40,"我方收款"),"")</f>
        <v/>
      </c>
      <c r="Y40" s="35" t="s">
        <v>106</v>
      </c>
      <c r="Z40" s="21" t="s">
        <v>111</v>
      </c>
    </row>
    <row r="41" customFormat="false" ht="15.75" hidden="false" customHeight="true" outlineLevel="0" collapsed="false">
      <c r="A41" s="32" t="n">
        <f aca="false">IF($B41="","",ROW()-4)</f>
        <v>37</v>
      </c>
      <c r="B41" s="26" t="n">
        <v>46108</v>
      </c>
      <c r="C41" s="24" t="s">
        <v>161</v>
      </c>
      <c r="D41" s="21" t="s">
        <v>307</v>
      </c>
      <c r="E41" s="21" t="s">
        <v>106</v>
      </c>
      <c r="F41" s="21" t="s">
        <v>97</v>
      </c>
      <c r="G41" s="24" t="s">
        <v>308</v>
      </c>
      <c r="H41" s="27" t="n">
        <v>29385</v>
      </c>
      <c r="I41" s="23" t="n">
        <v>0.08</v>
      </c>
      <c r="J41" s="25" t="s">
        <v>352</v>
      </c>
      <c r="K41" s="22" t="s">
        <v>313</v>
      </c>
      <c r="L41" s="33" t="str">
        <f aca="false">IF($B41="","",IF(NOT(ISNUMBER($B41)),"日期格式不对",IF($C41="","未选项目编号",IF(LEFT($M41,1)="⚠","项目编号不存在",IF($D41="","未选业务类型",IF($E41="","未选开票/付款方",IF(ISNA(MATCH($E41,单位档案!$A$6:$A$35,0)),"开票方不在单位档案",IF($F41="","未选收票/收款方",IF(ISNA(MATCH($F41,单位档案!$A$6:$A$35,0)),"收款方不在单位档案",IF(NOT(ISNUMBER($H41)),"金额须为数字",IF(AND($D41="销项开票",$N41="—"),"链条待确认","√")))))))))))</f>
        <v>链条待确认</v>
      </c>
      <c r="M41" s="34" t="str">
        <f aca="false">IF($C41="","",IFERROR(INDEX(项目档案!$B$6:$B$255,MATCH($C41,项目档案!$A$6:$A$255,0)),"⚠项目编号不存在"))</f>
        <v>重庆铜梁10kV少柏线池塘4社柱台区电压越限治理工程</v>
      </c>
      <c r="N41" s="35" t="str">
        <f aca="false">IF($E41="","",IF($E41=IFERROR(INDEX(项目档案!$D$6:$D$255,MATCH($C41,项目档案!$A$6:$A$255,0)),""),"一级",IF($E41=IFERROR(INDEX(项目档案!$F$6:$F$255,MATCH($C41,项目档案!$A$6:$A$255,0)),""),"二级",IF($E41=IFERROR(INDEX(项目档案!$H$6:$H$255,MATCH($C41,项目档案!$A$6:$A$255,0)),""),"我方","—"))))</f>
        <v>—</v>
      </c>
      <c r="O41" s="36" t="n">
        <f aca="false">IF($D41&lt;&gt;"销项开票",0,ROUND(N($H41)*N($I41),2))</f>
        <v>2350.8</v>
      </c>
      <c r="P41" s="36" t="n">
        <f aca="false">IF($D41&lt;&gt;"销项开票",0,ROUND(N($H41)-$O41,2))</f>
        <v>27034.2</v>
      </c>
      <c r="Q41" s="37" t="n">
        <f aca="false">IF($E41="","",N(IFERROR(INDEX(单位档案!$E$6:$E$35,MATCH($E41,单位档案!$A$6:$A$35,0)),"")))</f>
        <v>0.13</v>
      </c>
      <c r="R41" s="37" t="n">
        <f aca="false">IF($E41="","",N(IFERROR(INDEX(单位档案!$F$6:$F$35,MATCH($E41,单位档案!$A$6:$A$35,0)),"")))</f>
        <v>0.13</v>
      </c>
      <c r="S41" s="36" t="n">
        <f aca="false">IF(OR($D41&lt;&gt;"销项开票",IFERROR(INDEX(单位档案!$G$6:$G$35,MATCH($E41,单位档案!$A$6:$A$35,0)),"")&lt;&gt;"是",N($Q41)=0),0,IF(IFERROR(INDEX(单位档案!$H$6:$H$35,MATCH($E41,单位档案!$A$6:$A$35,0)),"")="税差法",ROUND(N($H41)/(1+$Q41)*$Q41-IF(N($R41)=0,0,$P41/(1+$R41)*$R41),2),ROUND(N($H41)/(1+$Q41)*$Q41,2)))</f>
        <v>0</v>
      </c>
      <c r="T41" s="36" t="n">
        <f aca="false">ROUND($S41*N(IFERROR(INDEX(单位档案!$J$6:$J$35,MATCH($E41,单位档案!$A$6:$A$35,0)),"")),2)</f>
        <v>0</v>
      </c>
      <c r="U41" s="36" t="n">
        <f aca="false">IF($D41&lt;&gt;"销项开票",0,ROUND(N($H41)*N(IFERROR(INDEX(单位档案!$K$6:$K$35,MATCH($E41,单位档案!$A$6:$A$35,0)),"")),2))</f>
        <v>0</v>
      </c>
      <c r="V41" s="36" t="n">
        <f aca="false">IF(OR($D41&lt;&gt;"销项开票",N($Q41)=0),0,ROUND(N($H41)/(1+$Q41)*N(IFERROR(INDEX(单位档案!$L$6:$L$35,MATCH($E41,单位档案!$A$6:$A$35,0)),"")),2))</f>
        <v>0</v>
      </c>
      <c r="W41" s="36" t="n">
        <f aca="false">ROUND($S41+$T41+$U41+$V41,2)</f>
        <v>0</v>
      </c>
      <c r="X41" s="35" t="str">
        <f aca="false">IF(OR($D41="挂靠代收",$D41="我方收款"),COUNTIFS($D$5:$D41,"挂靠代收")+COUNTIFS($D$5:$D41,"我方收款"),"")</f>
        <v/>
      </c>
      <c r="Y41" s="35" t="s">
        <v>106</v>
      </c>
      <c r="Z41" s="21" t="s">
        <v>111</v>
      </c>
    </row>
    <row r="42" customFormat="false" ht="15.75" hidden="false" customHeight="true" outlineLevel="0" collapsed="false">
      <c r="A42" s="32" t="n">
        <f aca="false">IF($B42="","",ROW()-4)</f>
        <v>38</v>
      </c>
      <c r="B42" s="26" t="n">
        <v>46108</v>
      </c>
      <c r="C42" s="24" t="s">
        <v>163</v>
      </c>
      <c r="D42" s="21" t="s">
        <v>307</v>
      </c>
      <c r="E42" s="21" t="s">
        <v>106</v>
      </c>
      <c r="F42" s="21" t="s">
        <v>97</v>
      </c>
      <c r="G42" s="24" t="s">
        <v>308</v>
      </c>
      <c r="H42" s="27" t="n">
        <v>29213.4</v>
      </c>
      <c r="I42" s="23" t="n">
        <v>0.08</v>
      </c>
      <c r="J42" s="25" t="s">
        <v>353</v>
      </c>
      <c r="K42" s="22" t="s">
        <v>313</v>
      </c>
      <c r="L42" s="33" t="str">
        <f aca="false">IF($B42="","",IF(NOT(ISNUMBER($B42)),"日期格式不对",IF($C42="","未选项目编号",IF(LEFT($M42,1)="⚠","项目编号不存在",IF($D42="","未选业务类型",IF($E42="","未选开票/付款方",IF(ISNA(MATCH($E42,单位档案!$A$6:$A$35,0)),"开票方不在单位档案",IF($F42="","未选收票/收款方",IF(ISNA(MATCH($F42,单位档案!$A$6:$A$35,0)),"收款方不在单位档案",IF(NOT(ISNUMBER($H42)),"金额须为数字",IF(AND($D42="销项开票",$N42="—"),"链条待确认","√")))))))))))</f>
        <v>链条待确认</v>
      </c>
      <c r="M42" s="34" t="str">
        <f aca="false">IF($C42="","",IFERROR(INDEX(项目档案!$B$6:$B$255,MATCH($C42,项目档案!$A$6:$A$255,0)),"⚠项目编号不存在"))</f>
        <v>重庆铜梁10kV少柏线团山7.6.11社台区电压越限治理工程</v>
      </c>
      <c r="N42" s="35" t="str">
        <f aca="false">IF($E42="","",IF($E42=IFERROR(INDEX(项目档案!$D$6:$D$255,MATCH($C42,项目档案!$A$6:$A$255,0)),""),"一级",IF($E42=IFERROR(INDEX(项目档案!$F$6:$F$255,MATCH($C42,项目档案!$A$6:$A$255,0)),""),"二级",IF($E42=IFERROR(INDEX(项目档案!$H$6:$H$255,MATCH($C42,项目档案!$A$6:$A$255,0)),""),"我方","—"))))</f>
        <v>—</v>
      </c>
      <c r="O42" s="36" t="n">
        <f aca="false">IF($D42&lt;&gt;"销项开票",0,ROUND(N($H42)*N($I42),2))</f>
        <v>2337.07</v>
      </c>
      <c r="P42" s="36" t="n">
        <f aca="false">IF($D42&lt;&gt;"销项开票",0,ROUND(N($H42)-$O42,2))</f>
        <v>26876.33</v>
      </c>
      <c r="Q42" s="37" t="n">
        <f aca="false">IF($E42="","",N(IFERROR(INDEX(单位档案!$E$6:$E$35,MATCH($E42,单位档案!$A$6:$A$35,0)),"")))</f>
        <v>0.13</v>
      </c>
      <c r="R42" s="37" t="n">
        <f aca="false">IF($E42="","",N(IFERROR(INDEX(单位档案!$F$6:$F$35,MATCH($E42,单位档案!$A$6:$A$35,0)),"")))</f>
        <v>0.13</v>
      </c>
      <c r="S42" s="36" t="n">
        <f aca="false">IF(OR($D42&lt;&gt;"销项开票",IFERROR(INDEX(单位档案!$G$6:$G$35,MATCH($E42,单位档案!$A$6:$A$35,0)),"")&lt;&gt;"是",N($Q42)=0),0,IF(IFERROR(INDEX(单位档案!$H$6:$H$35,MATCH($E42,单位档案!$A$6:$A$35,0)),"")="税差法",ROUND(N($H42)/(1+$Q42)*$Q42-IF(N($R42)=0,0,$P42/(1+$R42)*$R42),2),ROUND(N($H42)/(1+$Q42)*$Q42,2)))</f>
        <v>0</v>
      </c>
      <c r="T42" s="36" t="n">
        <f aca="false">ROUND($S42*N(IFERROR(INDEX(单位档案!$J$6:$J$35,MATCH($E42,单位档案!$A$6:$A$35,0)),"")),2)</f>
        <v>0</v>
      </c>
      <c r="U42" s="36" t="n">
        <f aca="false">IF($D42&lt;&gt;"销项开票",0,ROUND(N($H42)*N(IFERROR(INDEX(单位档案!$K$6:$K$35,MATCH($E42,单位档案!$A$6:$A$35,0)),"")),2))</f>
        <v>0</v>
      </c>
      <c r="V42" s="36" t="n">
        <f aca="false">IF(OR($D42&lt;&gt;"销项开票",N($Q42)=0),0,ROUND(N($H42)/(1+$Q42)*N(IFERROR(INDEX(单位档案!$L$6:$L$35,MATCH($E42,单位档案!$A$6:$A$35,0)),"")),2))</f>
        <v>0</v>
      </c>
      <c r="W42" s="36" t="n">
        <f aca="false">ROUND($S42+$T42+$U42+$V42,2)</f>
        <v>0</v>
      </c>
      <c r="X42" s="35" t="str">
        <f aca="false">IF(OR($D42="挂靠代收",$D42="我方收款"),COUNTIFS($D$5:$D42,"挂靠代收")+COUNTIFS($D$5:$D42,"我方收款"),"")</f>
        <v/>
      </c>
      <c r="Y42" s="35" t="s">
        <v>106</v>
      </c>
      <c r="Z42" s="21" t="s">
        <v>111</v>
      </c>
    </row>
    <row r="43" customFormat="false" ht="15.75" hidden="false" customHeight="true" outlineLevel="0" collapsed="false">
      <c r="A43" s="32" t="n">
        <f aca="false">IF($B43="","",ROW()-4)</f>
        <v>39</v>
      </c>
      <c r="B43" s="26" t="n">
        <v>46108</v>
      </c>
      <c r="C43" s="24" t="s">
        <v>165</v>
      </c>
      <c r="D43" s="21" t="s">
        <v>307</v>
      </c>
      <c r="E43" s="21" t="s">
        <v>110</v>
      </c>
      <c r="F43" s="21" t="s">
        <v>97</v>
      </c>
      <c r="G43" s="21" t="s">
        <v>354</v>
      </c>
      <c r="H43" s="27" t="n">
        <v>17020.8</v>
      </c>
      <c r="I43" s="23" t="n">
        <v>0.04</v>
      </c>
      <c r="J43" s="25" t="s">
        <v>355</v>
      </c>
      <c r="K43" s="22" t="s">
        <v>313</v>
      </c>
      <c r="L43" s="33" t="str">
        <f aca="false">IF($B43="","",IF(NOT(ISNUMBER($B43)),"日期格式不对",IF($C43="","未选项目编号",IF(LEFT($M43,1)="⚠","项目编号不存在",IF($D43="","未选业务类型",IF($E43="","未选开票/付款方",IF(ISNA(MATCH($E43,单位档案!$A$6:$A$35,0)),"开票方不在单位档案",IF($F43="","未选收票/收款方",IF(ISNA(MATCH($F43,单位档案!$A$6:$A$35,0)),"收款方不在单位档案",IF(NOT(ISNUMBER($H43)),"金额须为数字",IF(AND($D43="销项开票",$N43="—"),"链条待确认","√")))))))))))</f>
        <v>链条待确认</v>
      </c>
      <c r="M43" s="34" t="str">
        <f aca="false">IF($C43="","",IFERROR(INDEX(项目档案!$B$6:$B$255,MATCH($C43,项目档案!$A$6:$A$255,0)),"⚠项目编号不存在"))</f>
        <v>重庆铜梁10kV平凉线惠丰9社等4个台区重过载治理工程</v>
      </c>
      <c r="N43" s="35" t="str">
        <f aca="false">IF($E43="","",IF($E43=IFERROR(INDEX(项目档案!$D$6:$D$255,MATCH($C43,项目档案!$A$6:$A$255,0)),""),"一级",IF($E43=IFERROR(INDEX(项目档案!$F$6:$F$255,MATCH($C43,项目档案!$A$6:$A$255,0)),""),"二级",IF($E43=IFERROR(INDEX(项目档案!$H$6:$H$255,MATCH($C43,项目档案!$A$6:$A$255,0)),""),"我方","—"))))</f>
        <v>—</v>
      </c>
      <c r="O43" s="36" t="n">
        <f aca="false">IF($D43&lt;&gt;"销项开票",0,ROUND(N($H43)*N($I43),2))</f>
        <v>680.83</v>
      </c>
      <c r="P43" s="36" t="n">
        <f aca="false">IF($D43&lt;&gt;"销项开票",0,ROUND(N($H43)-$O43,2))</f>
        <v>16339.97</v>
      </c>
      <c r="Q43" s="37" t="n">
        <f aca="false">IF($E43="","",N(IFERROR(INDEX(单位档案!$E$6:$E$35,MATCH($E43,单位档案!$A$6:$A$35,0)),"")))</f>
        <v>0.09</v>
      </c>
      <c r="R43" s="37" t="n">
        <f aca="false">IF($E43="","",N(IFERROR(INDEX(单位档案!$F$6:$F$35,MATCH($E43,单位档案!$A$6:$A$35,0)),"")))</f>
        <v>0.03</v>
      </c>
      <c r="S43" s="36" t="n">
        <f aca="false">IF(OR($D43&lt;&gt;"销项开票",IFERROR(INDEX(单位档案!$G$6:$G$35,MATCH($E43,单位档案!$A$6:$A$35,0)),"")&lt;&gt;"是",N($Q43)=0),0,IF(IFERROR(INDEX(单位档案!$H$6:$H$35,MATCH($E43,单位档案!$A$6:$A$35,0)),"")="税差法",ROUND(N($H43)/(1+$Q43)*$Q43-IF(N($R43)=0,0,$P43/(1+$R43)*$R43),2),ROUND(N($H43)/(1+$Q43)*$Q43,2)))</f>
        <v>929.47</v>
      </c>
      <c r="T43" s="36" t="n">
        <f aca="false">ROUND($S43*N(IFERROR(INDEX(单位档案!$J$6:$J$35,MATCH($E43,单位档案!$A$6:$A$35,0)),"")),2)</f>
        <v>111.54</v>
      </c>
      <c r="U43" s="36" t="n">
        <f aca="false">IF($D43&lt;&gt;"销项开票",0,ROUND(N($H43)*N(IFERROR(INDEX(单位档案!$K$6:$K$35,MATCH($E43,单位档案!$A$6:$A$35,0)),"")),2))</f>
        <v>10.01</v>
      </c>
      <c r="V43" s="36" t="n">
        <f aca="false">IF(OR($D43&lt;&gt;"销项开票",N($Q43)=0),0,ROUND(N($H43)/(1+$Q43)*N(IFERROR(INDEX(单位档案!$L$6:$L$35,MATCH($E43,单位档案!$A$6:$A$35,0)),"")),2))</f>
        <v>0</v>
      </c>
      <c r="W43" s="36" t="n">
        <f aca="false">ROUND($S43+$T43+$U43+$V43,2)</f>
        <v>1051.02</v>
      </c>
      <c r="X43" s="35" t="str">
        <f aca="false">IF(OR($D43="挂靠代收",$D43="我方收款"),COUNTIFS($D$5:$D43,"挂靠代收")+COUNTIFS($D$5:$D43,"我方收款"),"")</f>
        <v/>
      </c>
      <c r="Y43" s="35" t="s">
        <v>110</v>
      </c>
      <c r="Z43" s="21" t="s">
        <v>111</v>
      </c>
    </row>
    <row r="44" customFormat="false" ht="15.75" hidden="false" customHeight="true" outlineLevel="0" collapsed="false">
      <c r="A44" s="32" t="n">
        <f aca="false">IF($B44="","",ROW()-4)</f>
        <v>40</v>
      </c>
      <c r="B44" s="26" t="n">
        <v>46108</v>
      </c>
      <c r="C44" s="24" t="s">
        <v>165</v>
      </c>
      <c r="D44" s="21" t="s">
        <v>314</v>
      </c>
      <c r="E44" s="21" t="s">
        <v>127</v>
      </c>
      <c r="F44" s="21" t="s">
        <v>110</v>
      </c>
      <c r="G44" s="21" t="s">
        <v>354</v>
      </c>
      <c r="H44" s="27" t="n">
        <v>4504.21</v>
      </c>
      <c r="I44" s="23" t="str">
        <f aca="false">IF($D44&lt;&gt;"销项开票","",IF($N44="一级",IF(IFERROR(INDEX(项目档案!$E$6:$E$255,MATCH($C44,项目档案!$A$6:$A$255,0)),"")="",N(IFERROR(INDEX(单位档案!$D$6:$D$35,MATCH($E44,单位档案!$A$6:$A$35,0)),"")),IFERROR(INDEX(项目档案!$E$6:$E$255,MATCH($C44,项目档案!$A$6:$A$255,0)),"")),IF($N44="二级",IF(IFERROR(INDEX(项目档案!$G$6:$G$255,MATCH($C44,项目档案!$A$6:$A$255,0)),"")="",N(IFERROR(INDEX(单位档案!$D$6:$D$35,MATCH($E44,单位档案!$A$6:$A$35,0)),"")),IFERROR(INDEX(项目档案!$G$6:$G$255,MATCH($C44,项目档案!$A$6:$A$255,0)),"")),N(IFERROR(INDEX(单位档案!$D$6:$D$35,MATCH($E44,单位档案!$A$6:$A$35,0)),"")))))</f>
        <v/>
      </c>
      <c r="J44" s="25" t="s">
        <v>355</v>
      </c>
      <c r="K44" s="22" t="s">
        <v>313</v>
      </c>
      <c r="L44" s="33" t="str">
        <f aca="false">IF($B44="","",IF(NOT(ISNUMBER($B44)),"日期格式不对",IF($C44="","未选项目编号",IF(LEFT($M44,1)="⚠","项目编号不存在",IF($D44="","未选业务类型",IF($E44="","未选开票/付款方",IF(ISNA(MATCH($E44,单位档案!$A$6:$A$35,0)),"开票方不在单位档案",IF($F44="","未选收票/收款方",IF(ISNA(MATCH($F44,单位档案!$A$6:$A$35,0)),"收款方不在单位档案",IF(NOT(ISNUMBER($H44)),"金额须为数字",IF(AND($D44="销项开票",$N44="—"),"链条待确认","√")))))))))))</f>
        <v>√</v>
      </c>
      <c r="M44" s="34" t="str">
        <f aca="false">IF($C44="","",IFERROR(INDEX(项目档案!$B$6:$B$255,MATCH($C44,项目档案!$A$6:$A$255,0)),"⚠项目编号不存在"))</f>
        <v>重庆铜梁10kV平凉线惠丰9社等4个台区重过载治理工程</v>
      </c>
      <c r="N44" s="35" t="str">
        <f aca="false">IF($E44="","",IF($E44=IFERROR(INDEX(项目档案!$D$6:$D$255,MATCH($C44,项目档案!$A$6:$A$255,0)),""),"一级",IF($E44=IFERROR(INDEX(项目档案!$F$6:$F$255,MATCH($C44,项目档案!$A$6:$A$255,0)),""),"二级",IF($E44=IFERROR(INDEX(项目档案!$H$6:$H$255,MATCH($C44,项目档案!$A$6:$A$255,0)),""),"我方","—"))))</f>
        <v>我方</v>
      </c>
      <c r="O44" s="36" t="n">
        <f aca="false">IF($D44&lt;&gt;"销项开票",0,ROUND(N($H44)*N($I44),2))</f>
        <v>0</v>
      </c>
      <c r="P44" s="36" t="n">
        <f aca="false">IF($D44&lt;&gt;"销项开票",0,ROUND(N($H44)-$O44,2))</f>
        <v>0</v>
      </c>
      <c r="Q44" s="37" t="n">
        <f aca="false">IF($E44="","",N(IFERROR(INDEX(单位档案!$E$6:$E$35,MATCH($E44,单位档案!$A$6:$A$35,0)),"")))</f>
        <v>0.03</v>
      </c>
      <c r="R44" s="37" t="n">
        <f aca="false">IF($E44="","",N(IFERROR(INDEX(单位档案!$F$6:$F$35,MATCH($E44,单位档案!$A$6:$A$35,0)),"")))</f>
        <v>0</v>
      </c>
      <c r="S44" s="36" t="n">
        <f aca="false">IF(OR($D44&lt;&gt;"销项开票",IFERROR(INDEX(单位档案!$G$6:$G$35,MATCH($E44,单位档案!$A$6:$A$35,0)),"")&lt;&gt;"是",N($Q44)=0),0,IF(IFERROR(INDEX(单位档案!$H$6:$H$35,MATCH($E44,单位档案!$A$6:$A$35,0)),"")="税差法",ROUND(N($H44)/(1+$Q44)*$Q44-IF(N($R44)=0,0,$P44/(1+$R44)*$R44),2),ROUND(N($H44)/(1+$Q44)*$Q44,2)))</f>
        <v>0</v>
      </c>
      <c r="T44" s="36" t="n">
        <f aca="false">ROUND($S44*N(IFERROR(INDEX(单位档案!$J$6:$J$35,MATCH($E44,单位档案!$A$6:$A$35,0)),"")),2)</f>
        <v>0</v>
      </c>
      <c r="U44" s="36" t="n">
        <f aca="false">IF($D44&lt;&gt;"销项开票",0,ROUND(N($H44)*N(IFERROR(INDEX(单位档案!$K$6:$K$35,MATCH($E44,单位档案!$A$6:$A$35,0)),"")),2))</f>
        <v>0</v>
      </c>
      <c r="V44" s="36" t="n">
        <f aca="false">IF(OR($D44&lt;&gt;"销项开票",N($Q44)=0),0,ROUND(N($H44)/(1+$Q44)*N(IFERROR(INDEX(单位档案!$L$6:$L$35,MATCH($E44,单位档案!$A$6:$A$35,0)),"")),2))</f>
        <v>0</v>
      </c>
      <c r="W44" s="36" t="n">
        <f aca="false">ROUND($S44+$T44+$U44+$V44,2)</f>
        <v>0</v>
      </c>
      <c r="X44" s="35" t="str">
        <f aca="false">IF(OR($D44="挂靠代收",$D44="我方收款"),COUNTIFS($D$5:$D44,"挂靠代收")+COUNTIFS($D$5:$D44,"我方收款"),"")</f>
        <v/>
      </c>
      <c r="Y44" s="35" t="s">
        <v>110</v>
      </c>
      <c r="Z44" s="21" t="s">
        <v>111</v>
      </c>
    </row>
    <row r="45" customFormat="false" ht="15.75" hidden="false" customHeight="true" outlineLevel="0" collapsed="false">
      <c r="A45" s="32" t="n">
        <f aca="false">IF($B45="","",ROW()-4)</f>
        <v>41</v>
      </c>
      <c r="B45" s="26" t="n">
        <v>46108</v>
      </c>
      <c r="C45" s="24" t="s">
        <v>165</v>
      </c>
      <c r="D45" s="21" t="s">
        <v>11</v>
      </c>
      <c r="E45" s="21" t="s">
        <v>110</v>
      </c>
      <c r="F45" s="21" t="s">
        <v>134</v>
      </c>
      <c r="G45" s="21"/>
      <c r="H45" s="27" t="n">
        <v>6953.21</v>
      </c>
      <c r="I45" s="23" t="str">
        <f aca="false">IF($D45&lt;&gt;"销项开票","",IF($N45="一级",IF(IFERROR(INDEX(项目档案!$E$6:$E$255,MATCH($C45,项目档案!$A$6:$A$255,0)),"")="",N(IFERROR(INDEX(单位档案!$D$6:$D$35,MATCH($E45,单位档案!$A$6:$A$35,0)),"")),IFERROR(INDEX(项目档案!$E$6:$E$255,MATCH($C45,项目档案!$A$6:$A$255,0)),"")),IF($N45="二级",IF(IFERROR(INDEX(项目档案!$G$6:$G$255,MATCH($C45,项目档案!$A$6:$A$255,0)),"")="",N(IFERROR(INDEX(单位档案!$D$6:$D$35,MATCH($E45,单位档案!$A$6:$A$35,0)),"")),IFERROR(INDEX(项目档案!$G$6:$G$255,MATCH($C45,项目档案!$A$6:$A$255,0)),"")),N(IFERROR(INDEX(单位档案!$D$6:$D$35,MATCH($E45,单位档案!$A$6:$A$35,0)),"")))))</f>
        <v/>
      </c>
      <c r="J45" s="25" t="s">
        <v>356</v>
      </c>
      <c r="K45" s="22" t="s">
        <v>313</v>
      </c>
      <c r="L45" s="33" t="str">
        <f aca="false">IF($B45="","",IF(NOT(ISNUMBER($B45)),"日期格式不对",IF($C45="","未选项目编号",IF(LEFT($M45,1)="⚠","项目编号不存在",IF($D45="","未选业务类型",IF($E45="","未选开票/付款方",IF(ISNA(MATCH($E45,单位档案!$A$6:$A$35,0)),"开票方不在单位档案",IF($F45="","未选收票/收款方",IF(ISNA(MATCH($F45,单位档案!$A$6:$A$35,0)),"收款方不在单位档案",IF(NOT(ISNUMBER($H45)),"金额须为数字",IF(AND($D45="销项开票",$N45="—"),"链条待确认","√")))))))))))</f>
        <v>√</v>
      </c>
      <c r="M45" s="34" t="str">
        <f aca="false">IF($C45="","",IFERROR(INDEX(项目档案!$B$6:$B$255,MATCH($C45,项目档案!$A$6:$A$255,0)),"⚠项目编号不存在"))</f>
        <v>重庆铜梁10kV平凉线惠丰9社等4个台区重过载治理工程</v>
      </c>
      <c r="N45" s="35" t="str">
        <f aca="false">IF($E45="","",IF($E45=IFERROR(INDEX(项目档案!$D$6:$D$255,MATCH($C45,项目档案!$A$6:$A$255,0)),""),"一级",IF($E45=IFERROR(INDEX(项目档案!$F$6:$F$255,MATCH($C45,项目档案!$A$6:$A$255,0)),""),"二级",IF($E45=IFERROR(INDEX(项目档案!$H$6:$H$255,MATCH($C45,项目档案!$A$6:$A$255,0)),""),"我方","—"))))</f>
        <v>—</v>
      </c>
      <c r="O45" s="36" t="n">
        <f aca="false">IF($D45&lt;&gt;"销项开票",0,ROUND(N($H45)*N($I45),2))</f>
        <v>0</v>
      </c>
      <c r="P45" s="36" t="n">
        <f aca="false">IF($D45&lt;&gt;"销项开票",0,ROUND(N($H45)-$O45,2))</f>
        <v>0</v>
      </c>
      <c r="Q45" s="37" t="n">
        <f aca="false">IF($E45="","",N(IFERROR(INDEX(单位档案!$E$6:$E$35,MATCH($E45,单位档案!$A$6:$A$35,0)),"")))</f>
        <v>0.09</v>
      </c>
      <c r="R45" s="37" t="n">
        <f aca="false">IF($E45="","",N(IFERROR(INDEX(单位档案!$F$6:$F$35,MATCH($E45,单位档案!$A$6:$A$35,0)),"")))</f>
        <v>0.03</v>
      </c>
      <c r="S45" s="36" t="n">
        <f aca="false">IF(OR($D45&lt;&gt;"销项开票",IFERROR(INDEX(单位档案!$G$6:$G$35,MATCH($E45,单位档案!$A$6:$A$35,0)),"")&lt;&gt;"是",N($Q45)=0),0,IF(IFERROR(INDEX(单位档案!$H$6:$H$35,MATCH($E45,单位档案!$A$6:$A$35,0)),"")="税差法",ROUND(N($H45)/(1+$Q45)*$Q45-IF(N($R45)=0,0,$P45/(1+$R45)*$R45),2),ROUND(N($H45)/(1+$Q45)*$Q45,2)))</f>
        <v>0</v>
      </c>
      <c r="T45" s="36" t="n">
        <f aca="false">ROUND($S45*N(IFERROR(INDEX(单位档案!$J$6:$J$35,MATCH($E45,单位档案!$A$6:$A$35,0)),"")),2)</f>
        <v>0</v>
      </c>
      <c r="U45" s="36" t="n">
        <f aca="false">IF($D45&lt;&gt;"销项开票",0,ROUND(N($H45)*N(IFERROR(INDEX(单位档案!$K$6:$K$35,MATCH($E45,单位档案!$A$6:$A$35,0)),"")),2))</f>
        <v>0</v>
      </c>
      <c r="V45" s="36" t="n">
        <f aca="false">IF(OR($D45&lt;&gt;"销项开票",N($Q45)=0),0,ROUND(N($H45)/(1+$Q45)*N(IFERROR(INDEX(单位档案!$L$6:$L$35,MATCH($E45,单位档案!$A$6:$A$35,0)),"")),2))</f>
        <v>0</v>
      </c>
      <c r="W45" s="36" t="n">
        <f aca="false">ROUND($S45+$T45+$U45+$V45,2)</f>
        <v>0</v>
      </c>
      <c r="X45" s="35" t="str">
        <f aca="false">IF(OR($D45="挂靠代收",$D45="我方收款"),COUNTIFS($D$5:$D45,"挂靠代收")+COUNTIFS($D$5:$D45,"我方收款"),"")</f>
        <v/>
      </c>
      <c r="Y45" s="35" t="s">
        <v>110</v>
      </c>
      <c r="Z45" s="21" t="s">
        <v>111</v>
      </c>
    </row>
    <row r="46" customFormat="false" ht="15.75" hidden="false" customHeight="true" outlineLevel="0" collapsed="false">
      <c r="A46" s="32" t="n">
        <f aca="false">IF($B46="","",ROW()-4)</f>
        <v>42</v>
      </c>
      <c r="B46" s="26" t="n">
        <v>46108</v>
      </c>
      <c r="C46" s="24" t="s">
        <v>165</v>
      </c>
      <c r="D46" s="21" t="s">
        <v>357</v>
      </c>
      <c r="E46" s="21" t="s">
        <v>127</v>
      </c>
      <c r="F46" s="21" t="s">
        <v>110</v>
      </c>
      <c r="G46" s="21" t="s">
        <v>358</v>
      </c>
      <c r="H46" s="27" t="n">
        <v>50873.28</v>
      </c>
      <c r="I46" s="23" t="str">
        <f aca="false">IF($D46&lt;&gt;"销项开票","",IF($N46="一级",IF(IFERROR(INDEX(项目档案!$E$6:$E$255,MATCH($C46,项目档案!$A$6:$A$255,0)),"")="",N(IFERROR(INDEX(单位档案!$D$6:$D$35,MATCH($E46,单位档案!$A$6:$A$35,0)),"")),IFERROR(INDEX(项目档案!$E$6:$E$255,MATCH($C46,项目档案!$A$6:$A$255,0)),"")),IF($N46="二级",IF(IFERROR(INDEX(项目档案!$G$6:$G$255,MATCH($C46,项目档案!$A$6:$A$255,0)),"")="",N(IFERROR(INDEX(单位档案!$D$6:$D$35,MATCH($E46,单位档案!$A$6:$A$35,0)),"")),IFERROR(INDEX(项目档案!$G$6:$G$255,MATCH($C46,项目档案!$A$6:$A$255,0)),"")),N(IFERROR(INDEX(单位档案!$D$6:$D$35,MATCH($E46,单位档案!$A$6:$A$35,0)),"")))))</f>
        <v/>
      </c>
      <c r="J46" s="25" t="s">
        <v>359</v>
      </c>
      <c r="K46" s="22" t="s">
        <v>313</v>
      </c>
      <c r="L46" s="33" t="str">
        <f aca="false">IF($B46="","",IF(NOT(ISNUMBER($B46)),"日期格式不对",IF($C46="","未选项目编号",IF(LEFT($M46,1)="⚠","项目编号不存在",IF($D46="","未选业务类型",IF($E46="","未选开票/付款方",IF(ISNA(MATCH($E46,单位档案!$A$6:$A$35,0)),"开票方不在单位档案",IF($F46="","未选收票/收款方",IF(ISNA(MATCH($F46,单位档案!$A$6:$A$35,0)),"收款方不在单位档案",IF(NOT(ISNUMBER($H46)),"金额须为数字",IF(AND($D46="销项开票",$N46="—"),"链条待确认","√")))))))))))</f>
        <v>√</v>
      </c>
      <c r="M46" s="34" t="str">
        <f aca="false">IF($C46="","",IFERROR(INDEX(项目档案!$B$6:$B$255,MATCH($C46,项目档案!$A$6:$A$255,0)),"⚠项目编号不存在"))</f>
        <v>重庆铜梁10kV平凉线惠丰9社等4个台区重过载治理工程</v>
      </c>
      <c r="N46" s="35" t="str">
        <f aca="false">IF($E46="","",IF($E46=IFERROR(INDEX(项目档案!$D$6:$D$255,MATCH($C46,项目档案!$A$6:$A$255,0)),""),"一级",IF($E46=IFERROR(INDEX(项目档案!$F$6:$F$255,MATCH($C46,项目档案!$A$6:$A$255,0)),""),"二级",IF($E46=IFERROR(INDEX(项目档案!$H$6:$H$255,MATCH($C46,项目档案!$A$6:$A$255,0)),""),"我方","—"))))</f>
        <v>我方</v>
      </c>
      <c r="O46" s="36" t="n">
        <f aca="false">IF($D46&lt;&gt;"销项开票",0,ROUND(N($H46)*N($I46),2))</f>
        <v>0</v>
      </c>
      <c r="P46" s="36" t="n">
        <f aca="false">IF($D46&lt;&gt;"销项开票",0,ROUND(N($H46)-$O46,2))</f>
        <v>0</v>
      </c>
      <c r="Q46" s="37" t="n">
        <f aca="false">IF($E46="","",N(IFERROR(INDEX(单位档案!$E$6:$E$35,MATCH($E46,单位档案!$A$6:$A$35,0)),"")))</f>
        <v>0.03</v>
      </c>
      <c r="R46" s="37" t="n">
        <f aca="false">IF($E46="","",N(IFERROR(INDEX(单位档案!$F$6:$F$35,MATCH($E46,单位档案!$A$6:$A$35,0)),"")))</f>
        <v>0</v>
      </c>
      <c r="S46" s="36" t="n">
        <f aca="false">IF(OR($D46&lt;&gt;"销项开票",IFERROR(INDEX(单位档案!$G$6:$G$35,MATCH($E46,单位档案!$A$6:$A$35,0)),"")&lt;&gt;"是",N($Q46)=0),0,IF(IFERROR(INDEX(单位档案!$H$6:$H$35,MATCH($E46,单位档案!$A$6:$A$35,0)),"")="税差法",ROUND(N($H46)/(1+$Q46)*$Q46-IF(N($R46)=0,0,$P46/(1+$R46)*$R46),2),ROUND(N($H46)/(1+$Q46)*$Q46,2)))</f>
        <v>0</v>
      </c>
      <c r="T46" s="36" t="n">
        <f aca="false">ROUND($S46*N(IFERROR(INDEX(单位档案!$J$6:$J$35,MATCH($E46,单位档案!$A$6:$A$35,0)),"")),2)</f>
        <v>0</v>
      </c>
      <c r="U46" s="36" t="n">
        <f aca="false">IF($D46&lt;&gt;"销项开票",0,ROUND(N($H46)*N(IFERROR(INDEX(单位档案!$K$6:$K$35,MATCH($E46,单位档案!$A$6:$A$35,0)),"")),2))</f>
        <v>0</v>
      </c>
      <c r="V46" s="36" t="n">
        <f aca="false">IF(OR($D46&lt;&gt;"销项开票",N($Q46)=0),0,ROUND(N($H46)/(1+$Q46)*N(IFERROR(INDEX(单位档案!$L$6:$L$35,MATCH($E46,单位档案!$A$6:$A$35,0)),"")),2))</f>
        <v>0</v>
      </c>
      <c r="W46" s="36" t="n">
        <f aca="false">ROUND($S46+$T46+$U46+$V46,2)</f>
        <v>0</v>
      </c>
      <c r="X46" s="35" t="str">
        <f aca="false">IF(OR($D46="挂靠代收",$D46="我方收款"),COUNTIFS($D$5:$D46,"挂靠代收")+COUNTIFS($D$5:$D46,"我方收款"),"")</f>
        <v/>
      </c>
      <c r="Y46" s="35" t="s">
        <v>110</v>
      </c>
      <c r="Z46" s="21" t="s">
        <v>111</v>
      </c>
    </row>
    <row r="47" customFormat="false" ht="15.75" hidden="false" customHeight="true" outlineLevel="0" collapsed="false">
      <c r="A47" s="32" t="n">
        <f aca="false">IF($B47="","",ROW()-4)</f>
        <v>43</v>
      </c>
      <c r="B47" s="26" t="n">
        <v>46108</v>
      </c>
      <c r="C47" s="24" t="s">
        <v>165</v>
      </c>
      <c r="D47" s="21" t="s">
        <v>357</v>
      </c>
      <c r="E47" s="21" t="s">
        <v>127</v>
      </c>
      <c r="F47" s="21" t="s">
        <v>110</v>
      </c>
      <c r="G47" s="21" t="s">
        <v>358</v>
      </c>
      <c r="H47" s="27" t="n">
        <v>9758.59</v>
      </c>
      <c r="I47" s="23" t="str">
        <f aca="false">IF($D47&lt;&gt;"销项开票","",IF($N47="一级",IF(IFERROR(INDEX(项目档案!$E$6:$E$255,MATCH($C47,项目档案!$A$6:$A$255,0)),"")="",N(IFERROR(INDEX(单位档案!$D$6:$D$35,MATCH($E47,单位档案!$A$6:$A$35,0)),"")),IFERROR(INDEX(项目档案!$E$6:$E$255,MATCH($C47,项目档案!$A$6:$A$255,0)),"")),IF($N47="二级",IF(IFERROR(INDEX(项目档案!$G$6:$G$255,MATCH($C47,项目档案!$A$6:$A$255,0)),"")="",N(IFERROR(INDEX(单位档案!$D$6:$D$35,MATCH($E47,单位档案!$A$6:$A$35,0)),"")),IFERROR(INDEX(项目档案!$G$6:$G$255,MATCH($C47,项目档案!$A$6:$A$255,0)),"")),N(IFERROR(INDEX(单位档案!$D$6:$D$35,MATCH($E47,单位档案!$A$6:$A$35,0)),"")))))</f>
        <v/>
      </c>
      <c r="J47" s="25" t="s">
        <v>360</v>
      </c>
      <c r="K47" s="22" t="s">
        <v>313</v>
      </c>
      <c r="L47" s="33" t="str">
        <f aca="false">IF($B47="","",IF(NOT(ISNUMBER($B47)),"日期格式不对",IF($C47="","未选项目编号",IF(LEFT($M47,1)="⚠","项目编号不存在",IF($D47="","未选业务类型",IF($E47="","未选开票/付款方",IF(ISNA(MATCH($E47,单位档案!$A$6:$A$35,0)),"开票方不在单位档案",IF($F47="","未选收票/收款方",IF(ISNA(MATCH($F47,单位档案!$A$6:$A$35,0)),"收款方不在单位档案",IF(NOT(ISNUMBER($H47)),"金额须为数字",IF(AND($D47="销项开票",$N47="—"),"链条待确认","√")))))))))))</f>
        <v>√</v>
      </c>
      <c r="M47" s="34" t="str">
        <f aca="false">IF($C47="","",IFERROR(INDEX(项目档案!$B$6:$B$255,MATCH($C47,项目档案!$A$6:$A$255,0)),"⚠项目编号不存在"))</f>
        <v>重庆铜梁10kV平凉线惠丰9社等4个台区重过载治理工程</v>
      </c>
      <c r="N47" s="35" t="str">
        <f aca="false">IF($E47="","",IF($E47=IFERROR(INDEX(项目档案!$D$6:$D$255,MATCH($C47,项目档案!$A$6:$A$255,0)),""),"一级",IF($E47=IFERROR(INDEX(项目档案!$F$6:$F$255,MATCH($C47,项目档案!$A$6:$A$255,0)),""),"二级",IF($E47=IFERROR(INDEX(项目档案!$H$6:$H$255,MATCH($C47,项目档案!$A$6:$A$255,0)),""),"我方","—"))))</f>
        <v>我方</v>
      </c>
      <c r="O47" s="36" t="n">
        <f aca="false">IF($D47&lt;&gt;"销项开票",0,ROUND(N($H47)*N($I47),2))</f>
        <v>0</v>
      </c>
      <c r="P47" s="36" t="n">
        <f aca="false">IF($D47&lt;&gt;"销项开票",0,ROUND(N($H47)-$O47,2))</f>
        <v>0</v>
      </c>
      <c r="Q47" s="37" t="n">
        <f aca="false">IF($E47="","",N(IFERROR(INDEX(单位档案!$E$6:$E$35,MATCH($E47,单位档案!$A$6:$A$35,0)),"")))</f>
        <v>0.03</v>
      </c>
      <c r="R47" s="37" t="n">
        <f aca="false">IF($E47="","",N(IFERROR(INDEX(单位档案!$F$6:$F$35,MATCH($E47,单位档案!$A$6:$A$35,0)),"")))</f>
        <v>0</v>
      </c>
      <c r="S47" s="36" t="n">
        <f aca="false">IF(OR($D47&lt;&gt;"销项开票",IFERROR(INDEX(单位档案!$G$6:$G$35,MATCH($E47,单位档案!$A$6:$A$35,0)),"")&lt;&gt;"是",N($Q47)=0),0,IF(IFERROR(INDEX(单位档案!$H$6:$H$35,MATCH($E47,单位档案!$A$6:$A$35,0)),"")="税差法",ROUND(N($H47)/(1+$Q47)*$Q47-IF(N($R47)=0,0,$P47/(1+$R47)*$R47),2),ROUND(N($H47)/(1+$Q47)*$Q47,2)))</f>
        <v>0</v>
      </c>
      <c r="T47" s="36" t="n">
        <f aca="false">ROUND($S47*N(IFERROR(INDEX(单位档案!$J$6:$J$35,MATCH($E47,单位档案!$A$6:$A$35,0)),"")),2)</f>
        <v>0</v>
      </c>
      <c r="U47" s="36" t="n">
        <f aca="false">IF($D47&lt;&gt;"销项开票",0,ROUND(N($H47)*N(IFERROR(INDEX(单位档案!$K$6:$K$35,MATCH($E47,单位档案!$A$6:$A$35,0)),"")),2))</f>
        <v>0</v>
      </c>
      <c r="V47" s="36" t="n">
        <f aca="false">IF(OR($D47&lt;&gt;"销项开票",N($Q47)=0),0,ROUND(N($H47)/(1+$Q47)*N(IFERROR(INDEX(单位档案!$L$6:$L$35,MATCH($E47,单位档案!$A$6:$A$35,0)),"")),2))</f>
        <v>0</v>
      </c>
      <c r="W47" s="36" t="n">
        <f aca="false">ROUND($S47+$T47+$U47+$V47,2)</f>
        <v>0</v>
      </c>
      <c r="X47" s="35" t="str">
        <f aca="false">IF(OR($D47="挂靠代收",$D47="我方收款"),COUNTIFS($D$5:$D47,"挂靠代收")+COUNTIFS($D$5:$D47,"我方收款"),"")</f>
        <v/>
      </c>
      <c r="Y47" s="35" t="s">
        <v>110</v>
      </c>
      <c r="Z47" s="21" t="s">
        <v>111</v>
      </c>
    </row>
    <row r="48" customFormat="false" ht="15.75" hidden="false" customHeight="true" outlineLevel="0" collapsed="false">
      <c r="A48" s="32" t="n">
        <f aca="false">IF($B48="","",ROW()-4)</f>
        <v>44</v>
      </c>
      <c r="B48" s="26" t="n">
        <v>46108</v>
      </c>
      <c r="C48" s="24" t="s">
        <v>165</v>
      </c>
      <c r="D48" s="21" t="s">
        <v>357</v>
      </c>
      <c r="E48" s="21" t="s">
        <v>127</v>
      </c>
      <c r="F48" s="21" t="s">
        <v>110</v>
      </c>
      <c r="G48" s="21" t="s">
        <v>358</v>
      </c>
      <c r="H48" s="27" t="n">
        <v>6581.38</v>
      </c>
      <c r="I48" s="23" t="str">
        <f aca="false">IF($D48&lt;&gt;"销项开票","",IF($N48="一级",IF(IFERROR(INDEX(项目档案!$E$6:$E$255,MATCH($C48,项目档案!$A$6:$A$255,0)),"")="",N(IFERROR(INDEX(单位档案!$D$6:$D$35,MATCH($E48,单位档案!$A$6:$A$35,0)),"")),IFERROR(INDEX(项目档案!$E$6:$E$255,MATCH($C48,项目档案!$A$6:$A$255,0)),"")),IF($N48="二级",IF(IFERROR(INDEX(项目档案!$G$6:$G$255,MATCH($C48,项目档案!$A$6:$A$255,0)),"")="",N(IFERROR(INDEX(单位档案!$D$6:$D$35,MATCH($E48,单位档案!$A$6:$A$35,0)),"")),IFERROR(INDEX(项目档案!$G$6:$G$255,MATCH($C48,项目档案!$A$6:$A$255,0)),"")),N(IFERROR(INDEX(单位档案!$D$6:$D$35,MATCH($E48,单位档案!$A$6:$A$35,0)),"")))))</f>
        <v/>
      </c>
      <c r="J48" s="25" t="s">
        <v>361</v>
      </c>
      <c r="K48" s="22" t="s">
        <v>313</v>
      </c>
      <c r="L48" s="33" t="str">
        <f aca="false">IF($B48="","",IF(NOT(ISNUMBER($B48)),"日期格式不对",IF($C48="","未选项目编号",IF(LEFT($M48,1)="⚠","项目编号不存在",IF($D48="","未选业务类型",IF($E48="","未选开票/付款方",IF(ISNA(MATCH($E48,单位档案!$A$6:$A$35,0)),"开票方不在单位档案",IF($F48="","未选收票/收款方",IF(ISNA(MATCH($F48,单位档案!$A$6:$A$35,0)),"收款方不在单位档案",IF(NOT(ISNUMBER($H48)),"金额须为数字",IF(AND($D48="销项开票",$N48="—"),"链条待确认","√")))))))))))</f>
        <v>√</v>
      </c>
      <c r="M48" s="34" t="str">
        <f aca="false">IF($C48="","",IFERROR(INDEX(项目档案!$B$6:$B$255,MATCH($C48,项目档案!$A$6:$A$255,0)),"⚠项目编号不存在"))</f>
        <v>重庆铜梁10kV平凉线惠丰9社等4个台区重过载治理工程</v>
      </c>
      <c r="N48" s="35" t="str">
        <f aca="false">IF($E48="","",IF($E48=IFERROR(INDEX(项目档案!$D$6:$D$255,MATCH($C48,项目档案!$A$6:$A$255,0)),""),"一级",IF($E48=IFERROR(INDEX(项目档案!$F$6:$F$255,MATCH($C48,项目档案!$A$6:$A$255,0)),""),"二级",IF($E48=IFERROR(INDEX(项目档案!$H$6:$H$255,MATCH($C48,项目档案!$A$6:$A$255,0)),""),"我方","—"))))</f>
        <v>我方</v>
      </c>
      <c r="O48" s="36" t="n">
        <f aca="false">IF($D48&lt;&gt;"销项开票",0,ROUND(N($H48)*N($I48),2))</f>
        <v>0</v>
      </c>
      <c r="P48" s="36" t="n">
        <f aca="false">IF($D48&lt;&gt;"销项开票",0,ROUND(N($H48)-$O48,2))</f>
        <v>0</v>
      </c>
      <c r="Q48" s="37" t="n">
        <f aca="false">IF($E48="","",N(IFERROR(INDEX(单位档案!$E$6:$E$35,MATCH($E48,单位档案!$A$6:$A$35,0)),"")))</f>
        <v>0.03</v>
      </c>
      <c r="R48" s="37" t="n">
        <f aca="false">IF($E48="","",N(IFERROR(INDEX(单位档案!$F$6:$F$35,MATCH($E48,单位档案!$A$6:$A$35,0)),"")))</f>
        <v>0</v>
      </c>
      <c r="S48" s="36" t="n">
        <f aca="false">IF(OR($D48&lt;&gt;"销项开票",IFERROR(INDEX(单位档案!$G$6:$G$35,MATCH($E48,单位档案!$A$6:$A$35,0)),"")&lt;&gt;"是",N($Q48)=0),0,IF(IFERROR(INDEX(单位档案!$H$6:$H$35,MATCH($E48,单位档案!$A$6:$A$35,0)),"")="税差法",ROUND(N($H48)/(1+$Q48)*$Q48-IF(N($R48)=0,0,$P48/(1+$R48)*$R48),2),ROUND(N($H48)/(1+$Q48)*$Q48,2)))</f>
        <v>0</v>
      </c>
      <c r="T48" s="36" t="n">
        <f aca="false">ROUND($S48*N(IFERROR(INDEX(单位档案!$J$6:$J$35,MATCH($E48,单位档案!$A$6:$A$35,0)),"")),2)</f>
        <v>0</v>
      </c>
      <c r="U48" s="36" t="n">
        <f aca="false">IF($D48&lt;&gt;"销项开票",0,ROUND(N($H48)*N(IFERROR(INDEX(单位档案!$K$6:$K$35,MATCH($E48,单位档案!$A$6:$A$35,0)),"")),2))</f>
        <v>0</v>
      </c>
      <c r="V48" s="36" t="n">
        <f aca="false">IF(OR($D48&lt;&gt;"销项开票",N($Q48)=0),0,ROUND(N($H48)/(1+$Q48)*N(IFERROR(INDEX(单位档案!$L$6:$L$35,MATCH($E48,单位档案!$A$6:$A$35,0)),"")),2))</f>
        <v>0</v>
      </c>
      <c r="W48" s="36" t="n">
        <f aca="false">ROUND($S48+$T48+$U48+$V48,2)</f>
        <v>0</v>
      </c>
      <c r="X48" s="35" t="str">
        <f aca="false">IF(OR($D48="挂靠代收",$D48="我方收款"),COUNTIFS($D$5:$D48,"挂靠代收")+COUNTIFS($D$5:$D48,"我方收款"),"")</f>
        <v/>
      </c>
      <c r="Y48" s="35" t="s">
        <v>110</v>
      </c>
      <c r="Z48" s="21" t="s">
        <v>111</v>
      </c>
    </row>
    <row r="49" customFormat="false" ht="15.75" hidden="false" customHeight="true" outlineLevel="0" collapsed="false">
      <c r="A49" s="32" t="n">
        <f aca="false">IF($B49="","",ROW()-4)</f>
        <v>45</v>
      </c>
      <c r="B49" s="26" t="n">
        <v>46108</v>
      </c>
      <c r="C49" s="24" t="s">
        <v>165</v>
      </c>
      <c r="D49" s="21" t="s">
        <v>357</v>
      </c>
      <c r="E49" s="21" t="s">
        <v>127</v>
      </c>
      <c r="F49" s="21" t="s">
        <v>110</v>
      </c>
      <c r="G49" s="21" t="s">
        <v>358</v>
      </c>
      <c r="H49" s="27" t="n">
        <v>12103.68</v>
      </c>
      <c r="I49" s="23" t="str">
        <f aca="false">IF($D49&lt;&gt;"销项开票","",IF($N49="一级",IF(IFERROR(INDEX(项目档案!$E$6:$E$255,MATCH($C49,项目档案!$A$6:$A$255,0)),"")="",N(IFERROR(INDEX(单位档案!$D$6:$D$35,MATCH($E49,单位档案!$A$6:$A$35,0)),"")),IFERROR(INDEX(项目档案!$E$6:$E$255,MATCH($C49,项目档案!$A$6:$A$255,0)),"")),IF($N49="二级",IF(IFERROR(INDEX(项目档案!$G$6:$G$255,MATCH($C49,项目档案!$A$6:$A$255,0)),"")="",N(IFERROR(INDEX(单位档案!$D$6:$D$35,MATCH($E49,单位档案!$A$6:$A$35,0)),"")),IFERROR(INDEX(项目档案!$G$6:$G$255,MATCH($C49,项目档案!$A$6:$A$255,0)),"")),N(IFERROR(INDEX(单位档案!$D$6:$D$35,MATCH($E49,单位档案!$A$6:$A$35,0)),"")))))</f>
        <v/>
      </c>
      <c r="J49" s="25" t="s">
        <v>362</v>
      </c>
      <c r="K49" s="22" t="s">
        <v>313</v>
      </c>
      <c r="L49" s="33" t="str">
        <f aca="false">IF($B49="","",IF(NOT(ISNUMBER($B49)),"日期格式不对",IF($C49="","未选项目编号",IF(LEFT($M49,1)="⚠","项目编号不存在",IF($D49="","未选业务类型",IF($E49="","未选开票/付款方",IF(ISNA(MATCH($E49,单位档案!$A$6:$A$35,0)),"开票方不在单位档案",IF($F49="","未选收票/收款方",IF(ISNA(MATCH($F49,单位档案!$A$6:$A$35,0)),"收款方不在单位档案",IF(NOT(ISNUMBER($H49)),"金额须为数字",IF(AND($D49="销项开票",$N49="—"),"链条待确认","√")))))))))))</f>
        <v>√</v>
      </c>
      <c r="M49" s="34" t="str">
        <f aca="false">IF($C49="","",IFERROR(INDEX(项目档案!$B$6:$B$255,MATCH($C49,项目档案!$A$6:$A$255,0)),"⚠项目编号不存在"))</f>
        <v>重庆铜梁10kV平凉线惠丰9社等4个台区重过载治理工程</v>
      </c>
      <c r="N49" s="35" t="str">
        <f aca="false">IF($E49="","",IF($E49=IFERROR(INDEX(项目档案!$D$6:$D$255,MATCH($C49,项目档案!$A$6:$A$255,0)),""),"一级",IF($E49=IFERROR(INDEX(项目档案!$F$6:$F$255,MATCH($C49,项目档案!$A$6:$A$255,0)),""),"二级",IF($E49=IFERROR(INDEX(项目档案!$H$6:$H$255,MATCH($C49,项目档案!$A$6:$A$255,0)),""),"我方","—"))))</f>
        <v>我方</v>
      </c>
      <c r="O49" s="36" t="n">
        <f aca="false">IF($D49&lt;&gt;"销项开票",0,ROUND(N($H49)*N($I49),2))</f>
        <v>0</v>
      </c>
      <c r="P49" s="36" t="n">
        <f aca="false">IF($D49&lt;&gt;"销项开票",0,ROUND(N($H49)-$O49,2))</f>
        <v>0</v>
      </c>
      <c r="Q49" s="37" t="n">
        <f aca="false">IF($E49="","",N(IFERROR(INDEX(单位档案!$E$6:$E$35,MATCH($E49,单位档案!$A$6:$A$35,0)),"")))</f>
        <v>0.03</v>
      </c>
      <c r="R49" s="37" t="n">
        <f aca="false">IF($E49="","",N(IFERROR(INDEX(单位档案!$F$6:$F$35,MATCH($E49,单位档案!$A$6:$A$35,0)),"")))</f>
        <v>0</v>
      </c>
      <c r="S49" s="36" t="n">
        <f aca="false">IF(OR($D49&lt;&gt;"销项开票",IFERROR(INDEX(单位档案!$G$6:$G$35,MATCH($E49,单位档案!$A$6:$A$35,0)),"")&lt;&gt;"是",N($Q49)=0),0,IF(IFERROR(INDEX(单位档案!$H$6:$H$35,MATCH($E49,单位档案!$A$6:$A$35,0)),"")="税差法",ROUND(N($H49)/(1+$Q49)*$Q49-IF(N($R49)=0,0,$P49/(1+$R49)*$R49),2),ROUND(N($H49)/(1+$Q49)*$Q49,2)))</f>
        <v>0</v>
      </c>
      <c r="T49" s="36" t="n">
        <f aca="false">ROUND($S49*N(IFERROR(INDEX(单位档案!$J$6:$J$35,MATCH($E49,单位档案!$A$6:$A$35,0)),"")),2)</f>
        <v>0</v>
      </c>
      <c r="U49" s="36" t="n">
        <f aca="false">IF($D49&lt;&gt;"销项开票",0,ROUND(N($H49)*N(IFERROR(INDEX(单位档案!$K$6:$K$35,MATCH($E49,单位档案!$A$6:$A$35,0)),"")),2))</f>
        <v>0</v>
      </c>
      <c r="V49" s="36" t="n">
        <f aca="false">IF(OR($D49&lt;&gt;"销项开票",N($Q49)=0),0,ROUND(N($H49)/(1+$Q49)*N(IFERROR(INDEX(单位档案!$L$6:$L$35,MATCH($E49,单位档案!$A$6:$A$35,0)),"")),2))</f>
        <v>0</v>
      </c>
      <c r="W49" s="36" t="n">
        <f aca="false">ROUND($S49+$T49+$U49+$V49,2)</f>
        <v>0</v>
      </c>
      <c r="X49" s="35" t="str">
        <f aca="false">IF(OR($D49="挂靠代收",$D49="我方收款"),COUNTIFS($D$5:$D49,"挂靠代收")+COUNTIFS($D$5:$D49,"我方收款"),"")</f>
        <v/>
      </c>
      <c r="Y49" s="35" t="s">
        <v>110</v>
      </c>
      <c r="Z49" s="21" t="s">
        <v>111</v>
      </c>
    </row>
    <row r="50" customFormat="false" ht="15.75" hidden="false" customHeight="true" outlineLevel="0" collapsed="false">
      <c r="A50" s="32" t="n">
        <f aca="false">IF($B50="","",ROW()-4)</f>
        <v>46</v>
      </c>
      <c r="B50" s="26" t="n">
        <v>46108</v>
      </c>
      <c r="C50" s="24" t="s">
        <v>165</v>
      </c>
      <c r="D50" s="21" t="s">
        <v>357</v>
      </c>
      <c r="E50" s="21" t="s">
        <v>127</v>
      </c>
      <c r="F50" s="21" t="s">
        <v>110</v>
      </c>
      <c r="G50" s="21" t="s">
        <v>358</v>
      </c>
      <c r="H50" s="27" t="n">
        <v>12444.1</v>
      </c>
      <c r="I50" s="23" t="str">
        <f aca="false">IF($D50&lt;&gt;"销项开票","",IF($N50="一级",IF(IFERROR(INDEX(项目档案!$E$6:$E$255,MATCH($C50,项目档案!$A$6:$A$255,0)),"")="",N(IFERROR(INDEX(单位档案!$D$6:$D$35,MATCH($E50,单位档案!$A$6:$A$35,0)),"")),IFERROR(INDEX(项目档案!$E$6:$E$255,MATCH($C50,项目档案!$A$6:$A$255,0)),"")),IF($N50="二级",IF(IFERROR(INDEX(项目档案!$G$6:$G$255,MATCH($C50,项目档案!$A$6:$A$255,0)),"")="",N(IFERROR(INDEX(单位档案!$D$6:$D$35,MATCH($E50,单位档案!$A$6:$A$35,0)),"")),IFERROR(INDEX(项目档案!$G$6:$G$255,MATCH($C50,项目档案!$A$6:$A$255,0)),"")),N(IFERROR(INDEX(单位档案!$D$6:$D$35,MATCH($E50,单位档案!$A$6:$A$35,0)),"")))))</f>
        <v/>
      </c>
      <c r="J50" s="25" t="s">
        <v>363</v>
      </c>
      <c r="K50" s="22" t="s">
        <v>313</v>
      </c>
      <c r="L50" s="33" t="str">
        <f aca="false">IF($B50="","",IF(NOT(ISNUMBER($B50)),"日期格式不对",IF($C50="","未选项目编号",IF(LEFT($M50,1)="⚠","项目编号不存在",IF($D50="","未选业务类型",IF($E50="","未选开票/付款方",IF(ISNA(MATCH($E50,单位档案!$A$6:$A$35,0)),"开票方不在单位档案",IF($F50="","未选收票/收款方",IF(ISNA(MATCH($F50,单位档案!$A$6:$A$35,0)),"收款方不在单位档案",IF(NOT(ISNUMBER($H50)),"金额须为数字",IF(AND($D50="销项开票",$N50="—"),"链条待确认","√")))))))))))</f>
        <v>√</v>
      </c>
      <c r="M50" s="34" t="str">
        <f aca="false">IF($C50="","",IFERROR(INDEX(项目档案!$B$6:$B$255,MATCH($C50,项目档案!$A$6:$A$255,0)),"⚠项目编号不存在"))</f>
        <v>重庆铜梁10kV平凉线惠丰9社等4个台区重过载治理工程</v>
      </c>
      <c r="N50" s="35" t="str">
        <f aca="false">IF($E50="","",IF($E50=IFERROR(INDEX(项目档案!$D$6:$D$255,MATCH($C50,项目档案!$A$6:$A$255,0)),""),"一级",IF($E50=IFERROR(INDEX(项目档案!$F$6:$F$255,MATCH($C50,项目档案!$A$6:$A$255,0)),""),"二级",IF($E50=IFERROR(INDEX(项目档案!$H$6:$H$255,MATCH($C50,项目档案!$A$6:$A$255,0)),""),"我方","—"))))</f>
        <v>我方</v>
      </c>
      <c r="O50" s="36" t="n">
        <f aca="false">IF($D50&lt;&gt;"销项开票",0,ROUND(N($H50)*N($I50),2))</f>
        <v>0</v>
      </c>
      <c r="P50" s="36" t="n">
        <f aca="false">IF($D50&lt;&gt;"销项开票",0,ROUND(N($H50)-$O50,2))</f>
        <v>0</v>
      </c>
      <c r="Q50" s="37" t="n">
        <f aca="false">IF($E50="","",N(IFERROR(INDEX(单位档案!$E$6:$E$35,MATCH($E50,单位档案!$A$6:$A$35,0)),"")))</f>
        <v>0.03</v>
      </c>
      <c r="R50" s="37" t="n">
        <f aca="false">IF($E50="","",N(IFERROR(INDEX(单位档案!$F$6:$F$35,MATCH($E50,单位档案!$A$6:$A$35,0)),"")))</f>
        <v>0</v>
      </c>
      <c r="S50" s="36" t="n">
        <f aca="false">IF(OR($D50&lt;&gt;"销项开票",IFERROR(INDEX(单位档案!$G$6:$G$35,MATCH($E50,单位档案!$A$6:$A$35,0)),"")&lt;&gt;"是",N($Q50)=0),0,IF(IFERROR(INDEX(单位档案!$H$6:$H$35,MATCH($E50,单位档案!$A$6:$A$35,0)),"")="税差法",ROUND(N($H50)/(1+$Q50)*$Q50-IF(N($R50)=0,0,$P50/(1+$R50)*$R50),2),ROUND(N($H50)/(1+$Q50)*$Q50,2)))</f>
        <v>0</v>
      </c>
      <c r="T50" s="36" t="n">
        <f aca="false">ROUND($S50*N(IFERROR(INDEX(单位档案!$J$6:$J$35,MATCH($E50,单位档案!$A$6:$A$35,0)),"")),2)</f>
        <v>0</v>
      </c>
      <c r="U50" s="36" t="n">
        <f aca="false">IF($D50&lt;&gt;"销项开票",0,ROUND(N($H50)*N(IFERROR(INDEX(单位档案!$K$6:$K$35,MATCH($E50,单位档案!$A$6:$A$35,0)),"")),2))</f>
        <v>0</v>
      </c>
      <c r="V50" s="36" t="n">
        <f aca="false">IF(OR($D50&lt;&gt;"销项开票",N($Q50)=0),0,ROUND(N($H50)/(1+$Q50)*N(IFERROR(INDEX(单位档案!$L$6:$L$35,MATCH($E50,单位档案!$A$6:$A$35,0)),"")),2))</f>
        <v>0</v>
      </c>
      <c r="W50" s="36" t="n">
        <f aca="false">ROUND($S50+$T50+$U50+$V50,2)</f>
        <v>0</v>
      </c>
      <c r="X50" s="35" t="str">
        <f aca="false">IF(OR($D50="挂靠代收",$D50="我方收款"),COUNTIFS($D$5:$D50,"挂靠代收")+COUNTIFS($D$5:$D50,"我方收款"),"")</f>
        <v/>
      </c>
      <c r="Y50" s="35" t="s">
        <v>110</v>
      </c>
      <c r="Z50" s="21" t="s">
        <v>111</v>
      </c>
    </row>
    <row r="51" customFormat="false" ht="15.75" hidden="false" customHeight="true" outlineLevel="0" collapsed="false">
      <c r="A51" s="32" t="n">
        <f aca="false">IF($B51="","",ROW()-4)</f>
        <v>47</v>
      </c>
      <c r="B51" s="26" t="n">
        <v>46108</v>
      </c>
      <c r="C51" s="24" t="s">
        <v>165</v>
      </c>
      <c r="D51" s="21" t="s">
        <v>357</v>
      </c>
      <c r="E51" s="21" t="s">
        <v>127</v>
      </c>
      <c r="F51" s="21" t="s">
        <v>110</v>
      </c>
      <c r="G51" s="21" t="s">
        <v>358</v>
      </c>
      <c r="H51" s="27" t="n">
        <v>16339.97</v>
      </c>
      <c r="I51" s="23" t="str">
        <f aca="false">IF($D51&lt;&gt;"销项开票","",IF($N51="一级",IF(IFERROR(INDEX(项目档案!$E$6:$E$255,MATCH($C51,项目档案!$A$6:$A$255,0)),"")="",N(IFERROR(INDEX(单位档案!$D$6:$D$35,MATCH($E51,单位档案!$A$6:$A$35,0)),"")),IFERROR(INDEX(项目档案!$E$6:$E$255,MATCH($C51,项目档案!$A$6:$A$255,0)),"")),IF($N51="二级",IF(IFERROR(INDEX(项目档案!$G$6:$G$255,MATCH($C51,项目档案!$A$6:$A$255,0)),"")="",N(IFERROR(INDEX(单位档案!$D$6:$D$35,MATCH($E51,单位档案!$A$6:$A$35,0)),"")),IFERROR(INDEX(项目档案!$G$6:$G$255,MATCH($C51,项目档案!$A$6:$A$255,0)),"")),N(IFERROR(INDEX(单位档案!$D$6:$D$35,MATCH($E51,单位档案!$A$6:$A$35,0)),"")))))</f>
        <v/>
      </c>
      <c r="J51" s="25" t="s">
        <v>364</v>
      </c>
      <c r="K51" s="22" t="s">
        <v>313</v>
      </c>
      <c r="L51" s="33" t="str">
        <f aca="false">IF($B51="","",IF(NOT(ISNUMBER($B51)),"日期格式不对",IF($C51="","未选项目编号",IF(LEFT($M51,1)="⚠","项目编号不存在",IF($D51="","未选业务类型",IF($E51="","未选开票/付款方",IF(ISNA(MATCH($E51,单位档案!$A$6:$A$35,0)),"开票方不在单位档案",IF($F51="","未选收票/收款方",IF(ISNA(MATCH($F51,单位档案!$A$6:$A$35,0)),"收款方不在单位档案",IF(NOT(ISNUMBER($H51)),"金额须为数字",IF(AND($D51="销项开票",$N51="—"),"链条待确认","√")))))))))))</f>
        <v>√</v>
      </c>
      <c r="M51" s="34" t="str">
        <f aca="false">IF($C51="","",IFERROR(INDEX(项目档案!$B$6:$B$255,MATCH($C51,项目档案!$A$6:$A$255,0)),"⚠项目编号不存在"))</f>
        <v>重庆铜梁10kV平凉线惠丰9社等4个台区重过载治理工程</v>
      </c>
      <c r="N51" s="35" t="str">
        <f aca="false">IF($E51="","",IF($E51=IFERROR(INDEX(项目档案!$D$6:$D$255,MATCH($C51,项目档案!$A$6:$A$255,0)),""),"一级",IF($E51=IFERROR(INDEX(项目档案!$F$6:$F$255,MATCH($C51,项目档案!$A$6:$A$255,0)),""),"二级",IF($E51=IFERROR(INDEX(项目档案!$H$6:$H$255,MATCH($C51,项目档案!$A$6:$A$255,0)),""),"我方","—"))))</f>
        <v>我方</v>
      </c>
      <c r="O51" s="36" t="n">
        <f aca="false">IF($D51&lt;&gt;"销项开票",0,ROUND(N($H51)*N($I51),2))</f>
        <v>0</v>
      </c>
      <c r="P51" s="36" t="n">
        <f aca="false">IF($D51&lt;&gt;"销项开票",0,ROUND(N($H51)-$O51,2))</f>
        <v>0</v>
      </c>
      <c r="Q51" s="37" t="n">
        <f aca="false">IF($E51="","",N(IFERROR(INDEX(单位档案!$E$6:$E$35,MATCH($E51,单位档案!$A$6:$A$35,0)),"")))</f>
        <v>0.03</v>
      </c>
      <c r="R51" s="37" t="n">
        <f aca="false">IF($E51="","",N(IFERROR(INDEX(单位档案!$F$6:$F$35,MATCH($E51,单位档案!$A$6:$A$35,0)),"")))</f>
        <v>0</v>
      </c>
      <c r="S51" s="36" t="n">
        <f aca="false">IF(OR($D51&lt;&gt;"销项开票",IFERROR(INDEX(单位档案!$G$6:$G$35,MATCH($E51,单位档案!$A$6:$A$35,0)),"")&lt;&gt;"是",N($Q51)=0),0,IF(IFERROR(INDEX(单位档案!$H$6:$H$35,MATCH($E51,单位档案!$A$6:$A$35,0)),"")="税差法",ROUND(N($H51)/(1+$Q51)*$Q51-IF(N($R51)=0,0,$P51/(1+$R51)*$R51),2),ROUND(N($H51)/(1+$Q51)*$Q51,2)))</f>
        <v>0</v>
      </c>
      <c r="T51" s="36" t="n">
        <f aca="false">ROUND($S51*N(IFERROR(INDEX(单位档案!$J$6:$J$35,MATCH($E51,单位档案!$A$6:$A$35,0)),"")),2)</f>
        <v>0</v>
      </c>
      <c r="U51" s="36" t="n">
        <f aca="false">IF($D51&lt;&gt;"销项开票",0,ROUND(N($H51)*N(IFERROR(INDEX(单位档案!$K$6:$K$35,MATCH($E51,单位档案!$A$6:$A$35,0)),"")),2))</f>
        <v>0</v>
      </c>
      <c r="V51" s="36" t="n">
        <f aca="false">IF(OR($D51&lt;&gt;"销项开票",N($Q51)=0),0,ROUND(N($H51)/(1+$Q51)*N(IFERROR(INDEX(单位档案!$L$6:$L$35,MATCH($E51,单位档案!$A$6:$A$35,0)),"")),2))</f>
        <v>0</v>
      </c>
      <c r="W51" s="36" t="n">
        <f aca="false">ROUND($S51+$T51+$U51+$V51,2)</f>
        <v>0</v>
      </c>
      <c r="X51" s="35" t="str">
        <f aca="false">IF(OR($D51="挂靠代收",$D51="我方收款"),COUNTIFS($D$5:$D51,"挂靠代收")+COUNTIFS($D$5:$D51,"我方收款"),"")</f>
        <v/>
      </c>
      <c r="Y51" s="35" t="s">
        <v>110</v>
      </c>
      <c r="Z51" s="21" t="s">
        <v>111</v>
      </c>
    </row>
    <row r="52" customFormat="false" ht="15.75" hidden="false" customHeight="true" outlineLevel="0" collapsed="false">
      <c r="A52" s="32" t="n">
        <f aca="false">IF($B52="","",ROW()-4)</f>
        <v>48</v>
      </c>
      <c r="B52" s="26" t="n">
        <v>46108</v>
      </c>
      <c r="C52" s="24" t="s">
        <v>167</v>
      </c>
      <c r="D52" s="21" t="s">
        <v>307</v>
      </c>
      <c r="E52" s="21" t="s">
        <v>110</v>
      </c>
      <c r="F52" s="21" t="s">
        <v>97</v>
      </c>
      <c r="G52" s="21" t="s">
        <v>354</v>
      </c>
      <c r="H52" s="27" t="n">
        <v>12923.2</v>
      </c>
      <c r="I52" s="23" t="n">
        <v>0.04</v>
      </c>
      <c r="J52" s="25" t="s">
        <v>365</v>
      </c>
      <c r="K52" s="22" t="s">
        <v>313</v>
      </c>
      <c r="L52" s="33" t="str">
        <f aca="false">IF($B52="","",IF(NOT(ISNUMBER($B52)),"日期格式不对",IF($C52="","未选项目编号",IF(LEFT($M52,1)="⚠","项目编号不存在",IF($D52="","未选业务类型",IF($E52="","未选开票/付款方",IF(ISNA(MATCH($E52,单位档案!$A$6:$A$35,0)),"开票方不在单位档案",IF($F52="","未选收票/收款方",IF(ISNA(MATCH($F52,单位档案!$A$6:$A$35,0)),"收款方不在单位档案",IF(NOT(ISNUMBER($H52)),"金额须为数字",IF(AND($D52="销项开票",$N52="—"),"链条待确认","√")))))))))))</f>
        <v>√</v>
      </c>
      <c r="M52" s="34" t="str">
        <f aca="false">IF($C52="","",IFERROR(INDEX(项目档案!$B$6:$B$255,MATCH($C52,项目档案!$A$6:$A$255,0)),"⚠项目编号不存在"))</f>
        <v>重庆铜梁10kV少柏线社田1.6.7社台区重过载治理工程（机械费）</v>
      </c>
      <c r="N52" s="35" t="str">
        <f aca="false">IF($E52="","",IF($E52=IFERROR(INDEX(项目档案!$D$6:$D$255,MATCH($C52,项目档案!$A$6:$A$255,0)),""),"一级",IF($E52=IFERROR(INDEX(项目档案!$F$6:$F$255,MATCH($C52,项目档案!$A$6:$A$255,0)),""),"二级",IF($E52=IFERROR(INDEX(项目档案!$H$6:$H$255,MATCH($C52,项目档案!$A$6:$A$255,0)),""),"我方","—"))))</f>
        <v>一级</v>
      </c>
      <c r="O52" s="36" t="n">
        <f aca="false">IF($D52&lt;&gt;"销项开票",0,ROUND(N($H52)*N($I52),2))</f>
        <v>516.93</v>
      </c>
      <c r="P52" s="36" t="n">
        <f aca="false">IF($D52&lt;&gt;"销项开票",0,ROUND(N($H52)-$O52,2))</f>
        <v>12406.27</v>
      </c>
      <c r="Q52" s="37" t="n">
        <f aca="false">IF($E52="","",N(IFERROR(INDEX(单位档案!$E$6:$E$35,MATCH($E52,单位档案!$A$6:$A$35,0)),"")))</f>
        <v>0.09</v>
      </c>
      <c r="R52" s="37" t="n">
        <f aca="false">IF($E52="","",N(IFERROR(INDEX(单位档案!$F$6:$F$35,MATCH($E52,单位档案!$A$6:$A$35,0)),"")))</f>
        <v>0.03</v>
      </c>
      <c r="S52" s="36" t="n">
        <f aca="false">IF(OR($D52&lt;&gt;"销项开票",IFERROR(INDEX(单位档案!$G$6:$G$35,MATCH($E52,单位档案!$A$6:$A$35,0)),"")&lt;&gt;"是",N($Q52)=0),0,IF(IFERROR(INDEX(单位档案!$H$6:$H$35,MATCH($E52,单位档案!$A$6:$A$35,0)),"")="税差法",ROUND(N($H52)/(1+$Q52)*$Q52-IF(N($R52)=0,0,$P52/(1+$R52)*$R52),2),ROUND(N($H52)/(1+$Q52)*$Q52,2)))</f>
        <v>705.71</v>
      </c>
      <c r="T52" s="36" t="n">
        <f aca="false">ROUND($S52*N(IFERROR(INDEX(单位档案!$J$6:$J$35,MATCH($E52,单位档案!$A$6:$A$35,0)),"")),2)</f>
        <v>84.69</v>
      </c>
      <c r="U52" s="36" t="n">
        <f aca="false">IF($D52&lt;&gt;"销项开票",0,ROUND(N($H52)*N(IFERROR(INDEX(单位档案!$K$6:$K$35,MATCH($E52,单位档案!$A$6:$A$35,0)),"")),2))</f>
        <v>7.6</v>
      </c>
      <c r="V52" s="36" t="n">
        <f aca="false">IF(OR($D52&lt;&gt;"销项开票",N($Q52)=0),0,ROUND(N($H52)/(1+$Q52)*N(IFERROR(INDEX(单位档案!$L$6:$L$35,MATCH($E52,单位档案!$A$6:$A$35,0)),"")),2))</f>
        <v>0</v>
      </c>
      <c r="W52" s="36" t="n">
        <f aca="false">ROUND($S52+$T52+$U52+$V52,2)</f>
        <v>798</v>
      </c>
      <c r="X52" s="35" t="str">
        <f aca="false">IF(OR($D52="挂靠代收",$D52="我方收款"),COUNTIFS($D$5:$D52,"挂靠代收")+COUNTIFS($D$5:$D52,"我方收款"),"")</f>
        <v/>
      </c>
      <c r="Y52" s="35" t="s">
        <v>110</v>
      </c>
      <c r="Z52" s="21" t="s">
        <v>111</v>
      </c>
    </row>
    <row r="53" customFormat="false" ht="15.75" hidden="false" customHeight="true" outlineLevel="0" collapsed="false">
      <c r="A53" s="32" t="n">
        <f aca="false">IF($B53="","",ROW()-4)</f>
        <v>49</v>
      </c>
      <c r="B53" s="26" t="n">
        <v>46108</v>
      </c>
      <c r="C53" s="24" t="s">
        <v>169</v>
      </c>
      <c r="D53" s="21" t="s">
        <v>307</v>
      </c>
      <c r="E53" s="21" t="s">
        <v>110</v>
      </c>
      <c r="F53" s="21" t="s">
        <v>97</v>
      </c>
      <c r="G53" s="21" t="s">
        <v>354</v>
      </c>
      <c r="H53" s="27" t="n">
        <v>3368.7</v>
      </c>
      <c r="I53" s="23" t="n">
        <v>0.040001</v>
      </c>
      <c r="J53" s="25" t="s">
        <v>366</v>
      </c>
      <c r="K53" s="22" t="s">
        <v>313</v>
      </c>
      <c r="L53" s="33" t="str">
        <f aca="false">IF($B53="","",IF(NOT(ISNUMBER($B53)),"日期格式不对",IF($C53="","未选项目编号",IF(LEFT($M53,1)="⚠","项目编号不存在",IF($D53="","未选业务类型",IF($E53="","未选开票/付款方",IF(ISNA(MATCH($E53,单位档案!$A$6:$A$35,0)),"开票方不在单位档案",IF($F53="","未选收票/收款方",IF(ISNA(MATCH($F53,单位档案!$A$6:$A$35,0)),"收款方不在单位档案",IF(NOT(ISNUMBER($H53)),"金额须为数字",IF(AND($D53="销项开票",$N53="—"),"链条待确认","√")))))))))))</f>
        <v>√</v>
      </c>
      <c r="M53" s="34" t="str">
        <f aca="false">IF($C53="","",IFERROR(INDEX(项目档案!$B$6:$B$255,MATCH($C53,项目档案!$A$6:$A$255,0)),"⚠项目编号不存在"))</f>
        <v>重庆铜梁10kV大科新建联络工程（机械费）</v>
      </c>
      <c r="N53" s="35" t="str">
        <f aca="false">IF($E53="","",IF($E53=IFERROR(INDEX(项目档案!$D$6:$D$255,MATCH($C53,项目档案!$A$6:$A$255,0)),""),"一级",IF($E53=IFERROR(INDEX(项目档案!$F$6:$F$255,MATCH($C53,项目档案!$A$6:$A$255,0)),""),"二级",IF($E53=IFERROR(INDEX(项目档案!$H$6:$H$255,MATCH($C53,项目档案!$A$6:$A$255,0)),""),"我方","—"))))</f>
        <v>一级</v>
      </c>
      <c r="O53" s="36" t="n">
        <f aca="false">IF($D53&lt;&gt;"销项开票",0,ROUND(N($H53)*N($I53),2))</f>
        <v>134.75</v>
      </c>
      <c r="P53" s="36" t="n">
        <f aca="false">IF($D53&lt;&gt;"销项开票",0,ROUND(N($H53)-$O53,2))</f>
        <v>3233.95</v>
      </c>
      <c r="Q53" s="37" t="n">
        <f aca="false">IF($E53="","",N(IFERROR(INDEX(单位档案!$E$6:$E$35,MATCH($E53,单位档案!$A$6:$A$35,0)),"")))</f>
        <v>0.09</v>
      </c>
      <c r="R53" s="37" t="n">
        <f aca="false">IF($E53="","",N(IFERROR(INDEX(单位档案!$F$6:$F$35,MATCH($E53,单位档案!$A$6:$A$35,0)),"")))</f>
        <v>0.03</v>
      </c>
      <c r="S53" s="36" t="n">
        <f aca="false">IF(OR($D53&lt;&gt;"销项开票",IFERROR(INDEX(单位档案!$G$6:$G$35,MATCH($E53,单位档案!$A$6:$A$35,0)),"")&lt;&gt;"是",N($Q53)=0),0,IF(IFERROR(INDEX(单位档案!$H$6:$H$35,MATCH($E53,单位档案!$A$6:$A$35,0)),"")="税差法",ROUND(N($H53)/(1+$Q53)*$Q53-IF(N($R53)=0,0,$P53/(1+$R53)*$R53),2),ROUND(N($H53)/(1+$Q53)*$Q53,2)))</f>
        <v>183.96</v>
      </c>
      <c r="T53" s="36" t="n">
        <f aca="false">ROUND($S53*N(IFERROR(INDEX(单位档案!$J$6:$J$35,MATCH($E53,单位档案!$A$6:$A$35,0)),"")),2)</f>
        <v>22.08</v>
      </c>
      <c r="U53" s="36" t="n">
        <f aca="false">IF($D53&lt;&gt;"销项开票",0,ROUND(N($H53)*N(IFERROR(INDEX(单位档案!$K$6:$K$35,MATCH($E53,单位档案!$A$6:$A$35,0)),"")),2))</f>
        <v>1.98</v>
      </c>
      <c r="V53" s="36" t="n">
        <f aca="false">IF(OR($D53&lt;&gt;"销项开票",N($Q53)=0),0,ROUND(N($H53)/(1+$Q53)*N(IFERROR(INDEX(单位档案!$L$6:$L$35,MATCH($E53,单位档案!$A$6:$A$35,0)),"")),2))</f>
        <v>0</v>
      </c>
      <c r="W53" s="36" t="n">
        <f aca="false">ROUND($S53+$T53+$U53+$V53,2)</f>
        <v>208.02</v>
      </c>
      <c r="X53" s="35" t="str">
        <f aca="false">IF(OR($D53="挂靠代收",$D53="我方收款"),COUNTIFS($D$5:$D53,"挂靠代收")+COUNTIFS($D$5:$D53,"我方收款"),"")</f>
        <v/>
      </c>
      <c r="Y53" s="35" t="s">
        <v>110</v>
      </c>
      <c r="Z53" s="21" t="s">
        <v>111</v>
      </c>
    </row>
    <row r="54" customFormat="false" ht="15.75" hidden="false" customHeight="true" outlineLevel="0" collapsed="false">
      <c r="A54" s="32" t="n">
        <f aca="false">IF($B54="","",ROW()-4)</f>
        <v>50</v>
      </c>
      <c r="B54" s="26" t="n">
        <v>46108</v>
      </c>
      <c r="C54" s="24" t="s">
        <v>171</v>
      </c>
      <c r="D54" s="21" t="s">
        <v>307</v>
      </c>
      <c r="E54" s="21" t="s">
        <v>110</v>
      </c>
      <c r="F54" s="21" t="s">
        <v>97</v>
      </c>
      <c r="G54" s="21" t="s">
        <v>354</v>
      </c>
      <c r="H54" s="27" t="n">
        <v>16154</v>
      </c>
      <c r="I54" s="23" t="n">
        <v>0.04</v>
      </c>
      <c r="J54" s="25" t="s">
        <v>367</v>
      </c>
      <c r="K54" s="22" t="s">
        <v>313</v>
      </c>
      <c r="L54" s="33" t="str">
        <f aca="false">IF($B54="","",IF(NOT(ISNUMBER($B54)),"日期格式不对",IF($C54="","未选项目编号",IF(LEFT($M54,1)="⚠","项目编号不存在",IF($D54="","未选业务类型",IF($E54="","未选开票/付款方",IF(ISNA(MATCH($E54,单位档案!$A$6:$A$35,0)),"开票方不在单位档案",IF($F54="","未选收票/收款方",IF(ISNA(MATCH($F54,单位档案!$A$6:$A$35,0)),"收款方不在单位档案",IF(NOT(ISNUMBER($H54)),"金额须为数字",IF(AND($D54="销项开票",$N54="—"),"链条待确认","√")))))))))))</f>
        <v>√</v>
      </c>
      <c r="M54" s="34" t="str">
        <f aca="false">IF($C54="","",IFERROR(INDEX(项目档案!$B$6:$B$255,MATCH($C54,项目档案!$A$6:$A$255,0)),"⚠项目编号不存在"))</f>
        <v>重庆铜梁10kV大岭线新建联络工程（机械费）</v>
      </c>
      <c r="N54" s="35" t="str">
        <f aca="false">IF($E54="","",IF($E54=IFERROR(INDEX(项目档案!$D$6:$D$255,MATCH($C54,项目档案!$A$6:$A$255,0)),""),"一级",IF($E54=IFERROR(INDEX(项目档案!$F$6:$F$255,MATCH($C54,项目档案!$A$6:$A$255,0)),""),"二级",IF($E54=IFERROR(INDEX(项目档案!$H$6:$H$255,MATCH($C54,项目档案!$A$6:$A$255,0)),""),"我方","—"))))</f>
        <v>一级</v>
      </c>
      <c r="O54" s="36" t="n">
        <f aca="false">IF($D54&lt;&gt;"销项开票",0,ROUND(N($H54)*N($I54),2))</f>
        <v>646.16</v>
      </c>
      <c r="P54" s="36" t="n">
        <f aca="false">IF($D54&lt;&gt;"销项开票",0,ROUND(N($H54)-$O54,2))</f>
        <v>15507.84</v>
      </c>
      <c r="Q54" s="37" t="n">
        <f aca="false">IF($E54="","",N(IFERROR(INDEX(单位档案!$E$6:$E$35,MATCH($E54,单位档案!$A$6:$A$35,0)),"")))</f>
        <v>0.09</v>
      </c>
      <c r="R54" s="37" t="n">
        <f aca="false">IF($E54="","",N(IFERROR(INDEX(单位档案!$F$6:$F$35,MATCH($E54,单位档案!$A$6:$A$35,0)),"")))</f>
        <v>0.03</v>
      </c>
      <c r="S54" s="36" t="n">
        <f aca="false">IF(OR($D54&lt;&gt;"销项开票",IFERROR(INDEX(单位档案!$G$6:$G$35,MATCH($E54,单位档案!$A$6:$A$35,0)),"")&lt;&gt;"是",N($Q54)=0),0,IF(IFERROR(INDEX(单位档案!$H$6:$H$35,MATCH($E54,单位档案!$A$6:$A$35,0)),"")="税差法",ROUND(N($H54)/(1+$Q54)*$Q54-IF(N($R54)=0,0,$P54/(1+$R54)*$R54),2),ROUND(N($H54)/(1+$Q54)*$Q54,2)))</f>
        <v>882.13</v>
      </c>
      <c r="T54" s="36" t="n">
        <f aca="false">ROUND($S54*N(IFERROR(INDEX(单位档案!$J$6:$J$35,MATCH($E54,单位档案!$A$6:$A$35,0)),"")),2)</f>
        <v>105.86</v>
      </c>
      <c r="U54" s="36" t="n">
        <f aca="false">IF($D54&lt;&gt;"销项开票",0,ROUND(N($H54)*N(IFERROR(INDEX(单位档案!$K$6:$K$35,MATCH($E54,单位档案!$A$6:$A$35,0)),"")),2))</f>
        <v>9.5</v>
      </c>
      <c r="V54" s="36" t="n">
        <f aca="false">IF(OR($D54&lt;&gt;"销项开票",N($Q54)=0),0,ROUND(N($H54)/(1+$Q54)*N(IFERROR(INDEX(单位档案!$L$6:$L$35,MATCH($E54,单位档案!$A$6:$A$35,0)),"")),2))</f>
        <v>0</v>
      </c>
      <c r="W54" s="36" t="n">
        <f aca="false">ROUND($S54+$T54+$U54+$V54,2)</f>
        <v>997.49</v>
      </c>
      <c r="X54" s="35" t="str">
        <f aca="false">IF(OR($D54="挂靠代收",$D54="我方收款"),COUNTIFS($D$5:$D54,"挂靠代收")+COUNTIFS($D$5:$D54,"我方收款"),"")</f>
        <v/>
      </c>
      <c r="Y54" s="35" t="s">
        <v>110</v>
      </c>
      <c r="Z54" s="21" t="s">
        <v>111</v>
      </c>
    </row>
    <row r="55" customFormat="false" ht="15.75" hidden="false" customHeight="true" outlineLevel="0" collapsed="false">
      <c r="A55" s="32" t="n">
        <f aca="false">IF($B55="","",ROW()-4)</f>
        <v>51</v>
      </c>
      <c r="B55" s="26" t="n">
        <v>46108</v>
      </c>
      <c r="C55" s="24" t="s">
        <v>173</v>
      </c>
      <c r="D55" s="21" t="s">
        <v>307</v>
      </c>
      <c r="E55" s="21" t="s">
        <v>110</v>
      </c>
      <c r="F55" s="21" t="s">
        <v>97</v>
      </c>
      <c r="G55" s="21" t="s">
        <v>354</v>
      </c>
      <c r="H55" s="27" t="n">
        <v>1615.4</v>
      </c>
      <c r="I55" s="23" t="n">
        <v>0.040002</v>
      </c>
      <c r="J55" s="25" t="s">
        <v>368</v>
      </c>
      <c r="K55" s="22" t="s">
        <v>313</v>
      </c>
      <c r="L55" s="33" t="str">
        <f aca="false">IF($B55="","",IF(NOT(ISNUMBER($B55)),"日期格式不对",IF($C55="","未选项目编号",IF(LEFT($M55,1)="⚠","项目编号不存在",IF($D55="","未选业务类型",IF($E55="","未选开票/付款方",IF(ISNA(MATCH($E55,单位档案!$A$6:$A$35,0)),"开票方不在单位档案",IF($F55="","未选收票/收款方",IF(ISNA(MATCH($F55,单位档案!$A$6:$A$35,0)),"收款方不在单位档案",IF(NOT(ISNUMBER($H55)),"金额须为数字",IF(AND($D55="销项开票",$N55="—"),"链条待确认","√")))))))))))</f>
        <v>√</v>
      </c>
      <c r="M55" s="34" t="str">
        <f aca="false">IF($C55="","",IFERROR(INDEX(项目档案!$B$6:$B$255,MATCH($C55,项目档案!$A$6:$A$255,0)),"⚠项目编号不存在"))</f>
        <v>重庆铜梁重庆物华天宝镀膜科技有限公司10kV业扩配套工程（机械费）</v>
      </c>
      <c r="N55" s="35" t="str">
        <f aca="false">IF($E55="","",IF($E55=IFERROR(INDEX(项目档案!$D$6:$D$255,MATCH($C55,项目档案!$A$6:$A$255,0)),""),"一级",IF($E55=IFERROR(INDEX(项目档案!$F$6:$F$255,MATCH($C55,项目档案!$A$6:$A$255,0)),""),"二级",IF($E55=IFERROR(INDEX(项目档案!$H$6:$H$255,MATCH($C55,项目档案!$A$6:$A$255,0)),""),"我方","—"))))</f>
        <v>一级</v>
      </c>
      <c r="O55" s="36" t="n">
        <f aca="false">IF($D55&lt;&gt;"销项开票",0,ROUND(N($H55)*N($I55),2))</f>
        <v>64.62</v>
      </c>
      <c r="P55" s="36" t="n">
        <f aca="false">IF($D55&lt;&gt;"销项开票",0,ROUND(N($H55)-$O55,2))</f>
        <v>1550.78</v>
      </c>
      <c r="Q55" s="37" t="n">
        <f aca="false">IF($E55="","",N(IFERROR(INDEX(单位档案!$E$6:$E$35,MATCH($E55,单位档案!$A$6:$A$35,0)),"")))</f>
        <v>0.09</v>
      </c>
      <c r="R55" s="37" t="n">
        <f aca="false">IF($E55="","",N(IFERROR(INDEX(单位档案!$F$6:$F$35,MATCH($E55,单位档案!$A$6:$A$35,0)),"")))</f>
        <v>0.03</v>
      </c>
      <c r="S55" s="36" t="n">
        <f aca="false">IF(OR($D55&lt;&gt;"销项开票",IFERROR(INDEX(单位档案!$G$6:$G$35,MATCH($E55,单位档案!$A$6:$A$35,0)),"")&lt;&gt;"是",N($Q55)=0),0,IF(IFERROR(INDEX(单位档案!$H$6:$H$35,MATCH($E55,单位档案!$A$6:$A$35,0)),"")="税差法",ROUND(N($H55)/(1+$Q55)*$Q55-IF(N($R55)=0,0,$P55/(1+$R55)*$R55),2),ROUND(N($H55)/(1+$Q55)*$Q55,2)))</f>
        <v>88.21</v>
      </c>
      <c r="T55" s="36" t="n">
        <f aca="false">ROUND($S55*N(IFERROR(INDEX(单位档案!$J$6:$J$35,MATCH($E55,单位档案!$A$6:$A$35,0)),"")),2)</f>
        <v>10.59</v>
      </c>
      <c r="U55" s="36" t="n">
        <f aca="false">IF($D55&lt;&gt;"销项开票",0,ROUND(N($H55)*N(IFERROR(INDEX(单位档案!$K$6:$K$35,MATCH($E55,单位档案!$A$6:$A$35,0)),"")),2))</f>
        <v>0.95</v>
      </c>
      <c r="V55" s="36" t="n">
        <f aca="false">IF(OR($D55&lt;&gt;"销项开票",N($Q55)=0),0,ROUND(N($H55)/(1+$Q55)*N(IFERROR(INDEX(单位档案!$L$6:$L$35,MATCH($E55,单位档案!$A$6:$A$35,0)),"")),2))</f>
        <v>0</v>
      </c>
      <c r="W55" s="36" t="n">
        <f aca="false">ROUND($S55+$T55+$U55+$V55,2)</f>
        <v>99.75</v>
      </c>
      <c r="X55" s="35" t="str">
        <f aca="false">IF(OR($D55="挂靠代收",$D55="我方收款"),COUNTIFS($D$5:$D55,"挂靠代收")+COUNTIFS($D$5:$D55,"我方收款"),"")</f>
        <v/>
      </c>
      <c r="Y55" s="35" t="s">
        <v>110</v>
      </c>
      <c r="Z55" s="21" t="s">
        <v>111</v>
      </c>
    </row>
    <row r="56" customFormat="false" ht="15.75" hidden="false" customHeight="true" outlineLevel="0" collapsed="false">
      <c r="A56" s="32" t="n">
        <f aca="false">IF($B56="","",ROW()-4)</f>
        <v>52</v>
      </c>
      <c r="B56" s="26" t="n">
        <v>46108</v>
      </c>
      <c r="C56" s="24" t="s">
        <v>175</v>
      </c>
      <c r="D56" s="21" t="s">
        <v>307</v>
      </c>
      <c r="E56" s="21" t="s">
        <v>110</v>
      </c>
      <c r="F56" s="21" t="s">
        <v>97</v>
      </c>
      <c r="G56" s="21" t="s">
        <v>354</v>
      </c>
      <c r="H56" s="27" t="n">
        <v>3230.8</v>
      </c>
      <c r="I56" s="23" t="n">
        <v>0.039999</v>
      </c>
      <c r="J56" s="25" t="s">
        <v>369</v>
      </c>
      <c r="K56" s="22" t="s">
        <v>313</v>
      </c>
      <c r="L56" s="33" t="str">
        <f aca="false">IF($B56="","",IF(NOT(ISNUMBER($B56)),"日期格式不对",IF($C56="","未选项目编号",IF(LEFT($M56,1)="⚠","项目编号不存在",IF($D56="","未选业务类型",IF($E56="","未选开票/付款方",IF(ISNA(MATCH($E56,单位档案!$A$6:$A$35,0)),"开票方不在单位档案",IF($F56="","未选收票/收款方",IF(ISNA(MATCH($F56,单位档案!$A$6:$A$35,0)),"收款方不在单位档案",IF(NOT(ISNUMBER($H56)),"金额须为数字",IF(AND($D56="销项开票",$N56="—"),"链条待确认","√")))))))))))</f>
        <v>√</v>
      </c>
      <c r="M56" s="34" t="str">
        <f aca="false">IF($C56="","",IFERROR(INDEX(项目档案!$B$6:$B$255,MATCH($C56,项目档案!$A$6:$A$255,0)),"⚠项目编号不存在"))</f>
        <v>1</v>
      </c>
      <c r="N56" s="35" t="str">
        <f aca="false">IF($E56="","",IF($E56=IFERROR(INDEX(项目档案!$D$6:$D$255,MATCH($C56,项目档案!$A$6:$A$255,0)),""),"一级",IF($E56=IFERROR(INDEX(项目档案!$F$6:$F$255,MATCH($C56,项目档案!$A$6:$A$255,0)),""),"二级",IF($E56=IFERROR(INDEX(项目档案!$H$6:$H$255,MATCH($C56,项目档案!$A$6:$A$255,0)),""),"我方","—"))))</f>
        <v>一级</v>
      </c>
      <c r="O56" s="36" t="n">
        <f aca="false">IF($D56&lt;&gt;"销项开票",0,ROUND(N($H56)*N($I56),2))</f>
        <v>129.23</v>
      </c>
      <c r="P56" s="36" t="n">
        <f aca="false">IF($D56&lt;&gt;"销项开票",0,ROUND(N($H56)-$O56,2))</f>
        <v>3101.57</v>
      </c>
      <c r="Q56" s="37" t="n">
        <f aca="false">IF($E56="","",N(IFERROR(INDEX(单位档案!$E$6:$E$35,MATCH($E56,单位档案!$A$6:$A$35,0)),"")))</f>
        <v>0.09</v>
      </c>
      <c r="R56" s="37" t="n">
        <f aca="false">IF($E56="","",N(IFERROR(INDEX(单位档案!$F$6:$F$35,MATCH($E56,单位档案!$A$6:$A$35,0)),"")))</f>
        <v>0.03</v>
      </c>
      <c r="S56" s="36" t="n">
        <f aca="false">IF(OR($D56&lt;&gt;"销项开票",IFERROR(INDEX(单位档案!$G$6:$G$35,MATCH($E56,单位档案!$A$6:$A$35,0)),"")&lt;&gt;"是",N($Q56)=0),0,IF(IFERROR(INDEX(单位档案!$H$6:$H$35,MATCH($E56,单位档案!$A$6:$A$35,0)),"")="税差法",ROUND(N($H56)/(1+$Q56)*$Q56-IF(N($R56)=0,0,$P56/(1+$R56)*$R56),2),ROUND(N($H56)/(1+$Q56)*$Q56,2)))</f>
        <v>176.43</v>
      </c>
      <c r="T56" s="36" t="n">
        <f aca="false">ROUND($S56*N(IFERROR(INDEX(单位档案!$J$6:$J$35,MATCH($E56,单位档案!$A$6:$A$35,0)),"")),2)</f>
        <v>21.17</v>
      </c>
      <c r="U56" s="36" t="n">
        <f aca="false">IF($D56&lt;&gt;"销项开票",0,ROUND(N($H56)*N(IFERROR(INDEX(单位档案!$K$6:$K$35,MATCH($E56,单位档案!$A$6:$A$35,0)),"")),2))</f>
        <v>1.9</v>
      </c>
      <c r="V56" s="36" t="n">
        <f aca="false">IF(OR($D56&lt;&gt;"销项开票",N($Q56)=0),0,ROUND(N($H56)/(1+$Q56)*N(IFERROR(INDEX(单位档案!$L$6:$L$35,MATCH($E56,单位档案!$A$6:$A$35,0)),"")),2))</f>
        <v>0</v>
      </c>
      <c r="W56" s="36" t="n">
        <f aca="false">ROUND($S56+$T56+$U56+$V56,2)</f>
        <v>199.5</v>
      </c>
      <c r="X56" s="35" t="str">
        <f aca="false">IF(OR($D56="挂靠代收",$D56="我方收款"),COUNTIFS($D$5:$D56,"挂靠代收")+COUNTIFS($D$5:$D56,"我方收款"),"")</f>
        <v/>
      </c>
      <c r="Y56" s="35" t="s">
        <v>110</v>
      </c>
      <c r="Z56" s="21" t="s">
        <v>111</v>
      </c>
    </row>
    <row r="57" customFormat="false" ht="15.75" hidden="false" customHeight="true" outlineLevel="0" collapsed="false">
      <c r="A57" s="32" t="n">
        <f aca="false">IF($B57="","",ROW()-4)</f>
        <v>53</v>
      </c>
      <c r="B57" s="26" t="n">
        <v>46108</v>
      </c>
      <c r="C57" s="24" t="s">
        <v>175</v>
      </c>
      <c r="D57" s="21" t="s">
        <v>319</v>
      </c>
      <c r="E57" s="21" t="s">
        <v>97</v>
      </c>
      <c r="F57" s="21" t="s">
        <v>110</v>
      </c>
      <c r="G57" s="21" t="s">
        <v>354</v>
      </c>
      <c r="H57" s="27" t="n">
        <v>3230.8</v>
      </c>
      <c r="I57" s="23" t="str">
        <f aca="false">IF($D57&lt;&gt;"销项开票","",IF($N57="一级",IF(IFERROR(INDEX(项目档案!$E$6:$E$255,MATCH($C57,项目档案!$A$6:$A$255,0)),"")="",N(IFERROR(INDEX(单位档案!$D$6:$D$35,MATCH($E57,单位档案!$A$6:$A$35,0)),"")),IFERROR(INDEX(项目档案!$E$6:$E$255,MATCH($C57,项目档案!$A$6:$A$255,0)),"")),IF($N57="二级",IF(IFERROR(INDEX(项目档案!$G$6:$G$255,MATCH($C57,项目档案!$A$6:$A$255,0)),"")="",N(IFERROR(INDEX(单位档案!$D$6:$D$35,MATCH($E57,单位档案!$A$6:$A$35,0)),"")),IFERROR(INDEX(项目档案!$G$6:$G$255,MATCH($C57,项目档案!$A$6:$A$255,0)),"")),N(IFERROR(INDEX(单位档案!$D$6:$D$35,MATCH($E57,单位档案!$A$6:$A$35,0)),"")))))</f>
        <v/>
      </c>
      <c r="J57" s="25" t="s">
        <v>369</v>
      </c>
      <c r="K57" s="22" t="s">
        <v>313</v>
      </c>
      <c r="L57" s="33" t="str">
        <f aca="false">IF($B57="","",IF(NOT(ISNUMBER($B57)),"日期格式不对",IF($C57="","未选项目编号",IF(LEFT($M57,1)="⚠","项目编号不存在",IF($D57="","未选业务类型",IF($E57="","未选开票/付款方",IF(ISNA(MATCH($E57,单位档案!$A$6:$A$35,0)),"开票方不在单位档案",IF($F57="","未选收票/收款方",IF(ISNA(MATCH($F57,单位档案!$A$6:$A$35,0)),"收款方不在单位档案",IF(NOT(ISNUMBER($H57)),"金额须为数字",IF(AND($D57="销项开票",$N57="—"),"链条待确认","√")))))))))))</f>
        <v>√</v>
      </c>
      <c r="M57" s="34" t="str">
        <f aca="false">IF($C57="","",IFERROR(INDEX(项目档案!$B$6:$B$255,MATCH($C57,项目档案!$A$6:$A$255,0)),"⚠项目编号不存在"))</f>
        <v>1</v>
      </c>
      <c r="N57" s="35" t="str">
        <f aca="false">IF($E57="","",IF($E57=IFERROR(INDEX(项目档案!$D$6:$D$255,MATCH($C57,项目档案!$A$6:$A$255,0)),""),"一级",IF($E57=IFERROR(INDEX(项目档案!$F$6:$F$255,MATCH($C57,项目档案!$A$6:$A$255,0)),""),"二级",IF($E57=IFERROR(INDEX(项目档案!$H$6:$H$255,MATCH($C57,项目档案!$A$6:$A$255,0)),""),"我方","—"))))</f>
        <v>—</v>
      </c>
      <c r="O57" s="36" t="n">
        <f aca="false">IF($D57&lt;&gt;"销项开票",0,ROUND(N($H57)*N($I57),2))</f>
        <v>0</v>
      </c>
      <c r="P57" s="36" t="n">
        <f aca="false">IF($D57&lt;&gt;"销项开票",0,ROUND(N($H57)-$O57,2))</f>
        <v>0</v>
      </c>
      <c r="Q57" s="37" t="n">
        <f aca="false">IF($E57="","",N(IFERROR(INDEX(单位档案!$E$6:$E$35,MATCH($E57,单位档案!$A$6:$A$35,0)),"")))</f>
        <v>0</v>
      </c>
      <c r="R57" s="37" t="n">
        <f aca="false">IF($E57="","",N(IFERROR(INDEX(单位档案!$F$6:$F$35,MATCH($E57,单位档案!$A$6:$A$35,0)),"")))</f>
        <v>0</v>
      </c>
      <c r="S57" s="36" t="n">
        <f aca="false">IF(OR($D57&lt;&gt;"销项开票",IFERROR(INDEX(单位档案!$G$6:$G$35,MATCH($E57,单位档案!$A$6:$A$35,0)),"")&lt;&gt;"是",N($Q57)=0),0,IF(IFERROR(INDEX(单位档案!$H$6:$H$35,MATCH($E57,单位档案!$A$6:$A$35,0)),"")="税差法",ROUND(N($H57)/(1+$Q57)*$Q57-IF(N($R57)=0,0,$P57/(1+$R57)*$R57),2),ROUND(N($H57)/(1+$Q57)*$Q57,2)))</f>
        <v>0</v>
      </c>
      <c r="T57" s="36" t="n">
        <f aca="false">ROUND($S57*N(IFERROR(INDEX(单位档案!$J$6:$J$35,MATCH($E57,单位档案!$A$6:$A$35,0)),"")),2)</f>
        <v>0</v>
      </c>
      <c r="U57" s="36" t="n">
        <f aca="false">IF($D57&lt;&gt;"销项开票",0,ROUND(N($H57)*N(IFERROR(INDEX(单位档案!$K$6:$K$35,MATCH($E57,单位档案!$A$6:$A$35,0)),"")),2))</f>
        <v>0</v>
      </c>
      <c r="V57" s="36" t="n">
        <f aca="false">IF(OR($D57&lt;&gt;"销项开票",N($Q57)=0),0,ROUND(N($H57)/(1+$Q57)*N(IFERROR(INDEX(单位档案!$L$6:$L$35,MATCH($E57,单位档案!$A$6:$A$35,0)),"")),2))</f>
        <v>0</v>
      </c>
      <c r="W57" s="36" t="n">
        <f aca="false">ROUND($S57+$T57+$U57+$V57,2)</f>
        <v>0</v>
      </c>
      <c r="X57" s="35" t="n">
        <f aca="false">IF(OR($D57="挂靠代收",$D57="我方收款"),COUNTIFS($D$5:$D57,"挂靠代收")+COUNTIFS($D$5:$D57,"我方收款"),"")</f>
        <v>5</v>
      </c>
      <c r="Y57" s="35" t="s">
        <v>110</v>
      </c>
      <c r="Z57" s="21" t="s">
        <v>111</v>
      </c>
    </row>
    <row r="58" customFormat="false" ht="15.75" hidden="false" customHeight="true" outlineLevel="0" collapsed="false">
      <c r="A58" s="32" t="n">
        <f aca="false">IF($B58="","",ROW()-4)</f>
        <v>54</v>
      </c>
      <c r="B58" s="26" t="n">
        <v>46108</v>
      </c>
      <c r="C58" s="24" t="s">
        <v>177</v>
      </c>
      <c r="D58" s="21" t="s">
        <v>307</v>
      </c>
      <c r="E58" s="21" t="s">
        <v>110</v>
      </c>
      <c r="F58" s="21" t="s">
        <v>97</v>
      </c>
      <c r="G58" s="21" t="s">
        <v>354</v>
      </c>
      <c r="H58" s="27" t="n">
        <v>3230.8</v>
      </c>
      <c r="I58" s="23" t="n">
        <v>0.039999</v>
      </c>
      <c r="J58" s="25" t="s">
        <v>370</v>
      </c>
      <c r="K58" s="22" t="s">
        <v>313</v>
      </c>
      <c r="L58" s="33" t="str">
        <f aca="false">IF($B58="","",IF(NOT(ISNUMBER($B58)),"日期格式不对",IF($C58="","未选项目编号",IF(LEFT($M58,1)="⚠","项目编号不存在",IF($D58="","未选业务类型",IF($E58="","未选开票/付款方",IF(ISNA(MATCH($E58,单位档案!$A$6:$A$35,0)),"开票方不在单位档案",IF($F58="","未选收票/收款方",IF(ISNA(MATCH($F58,单位档案!$A$6:$A$35,0)),"收款方不在单位档案",IF(NOT(ISNUMBER($H58)),"金额须为数字",IF(AND($D58="销项开票",$N58="—"),"链条待确认","√")))))))))))</f>
        <v>√</v>
      </c>
      <c r="M58" s="34" t="str">
        <f aca="false">IF($C58="","",IFERROR(INDEX(项目档案!$B$6:$B$255,MATCH($C58,项目档案!$A$6:$A$255,0)),"⚠项目编号不存在"))</f>
        <v>重庆民能实业有限公司2025-2026年度工程用特种设备租赁服务框架采购（铜梁公司2025年成本类优化营商环境项目（安居所张绍华等10个低压业扩项目）（机械费）</v>
      </c>
      <c r="N58" s="35" t="str">
        <f aca="false">IF($E58="","",IF($E58=IFERROR(INDEX(项目档案!$D$6:$D$255,MATCH($C58,项目档案!$A$6:$A$255,0)),""),"一级",IF($E58=IFERROR(INDEX(项目档案!$F$6:$F$255,MATCH($C58,项目档案!$A$6:$A$255,0)),""),"二级",IF($E58=IFERROR(INDEX(项目档案!$H$6:$H$255,MATCH($C58,项目档案!$A$6:$A$255,0)),""),"我方","—"))))</f>
        <v>一级</v>
      </c>
      <c r="O58" s="36" t="n">
        <f aca="false">IF($D58&lt;&gt;"销项开票",0,ROUND(N($H58)*N($I58),2))</f>
        <v>129.23</v>
      </c>
      <c r="P58" s="36" t="n">
        <f aca="false">IF($D58&lt;&gt;"销项开票",0,ROUND(N($H58)-$O58,2))</f>
        <v>3101.57</v>
      </c>
      <c r="Q58" s="37" t="n">
        <f aca="false">IF($E58="","",N(IFERROR(INDEX(单位档案!$E$6:$E$35,MATCH($E58,单位档案!$A$6:$A$35,0)),"")))</f>
        <v>0.09</v>
      </c>
      <c r="R58" s="37" t="n">
        <f aca="false">IF($E58="","",N(IFERROR(INDEX(单位档案!$F$6:$F$35,MATCH($E58,单位档案!$A$6:$A$35,0)),"")))</f>
        <v>0.03</v>
      </c>
      <c r="S58" s="36" t="n">
        <f aca="false">IF(OR($D58&lt;&gt;"销项开票",IFERROR(INDEX(单位档案!$G$6:$G$35,MATCH($E58,单位档案!$A$6:$A$35,0)),"")&lt;&gt;"是",N($Q58)=0),0,IF(IFERROR(INDEX(单位档案!$H$6:$H$35,MATCH($E58,单位档案!$A$6:$A$35,0)),"")="税差法",ROUND(N($H58)/(1+$Q58)*$Q58-IF(N($R58)=0,0,$P58/(1+$R58)*$R58),2),ROUND(N($H58)/(1+$Q58)*$Q58,2)))</f>
        <v>176.43</v>
      </c>
      <c r="T58" s="36" t="n">
        <f aca="false">ROUND($S58*N(IFERROR(INDEX(单位档案!$J$6:$J$35,MATCH($E58,单位档案!$A$6:$A$35,0)),"")),2)</f>
        <v>21.17</v>
      </c>
      <c r="U58" s="36" t="n">
        <f aca="false">IF($D58&lt;&gt;"销项开票",0,ROUND(N($H58)*N(IFERROR(INDEX(单位档案!$K$6:$K$35,MATCH($E58,单位档案!$A$6:$A$35,0)),"")),2))</f>
        <v>1.9</v>
      </c>
      <c r="V58" s="36" t="n">
        <f aca="false">IF(OR($D58&lt;&gt;"销项开票",N($Q58)=0),0,ROUND(N($H58)/(1+$Q58)*N(IFERROR(INDEX(单位档案!$L$6:$L$35,MATCH($E58,单位档案!$A$6:$A$35,0)),"")),2))</f>
        <v>0</v>
      </c>
      <c r="W58" s="36" t="n">
        <f aca="false">ROUND($S58+$T58+$U58+$V58,2)</f>
        <v>199.5</v>
      </c>
      <c r="X58" s="35" t="str">
        <f aca="false">IF(OR($D58="挂靠代收",$D58="我方收款"),COUNTIFS($D$5:$D58,"挂靠代收")+COUNTIFS($D$5:$D58,"我方收款"),"")</f>
        <v/>
      </c>
      <c r="Y58" s="35" t="s">
        <v>110</v>
      </c>
      <c r="Z58" s="21" t="s">
        <v>111</v>
      </c>
    </row>
    <row r="59" customFormat="false" ht="15.75" hidden="false" customHeight="true" outlineLevel="0" collapsed="false">
      <c r="A59" s="32" t="n">
        <f aca="false">IF($B59="","",ROW()-4)</f>
        <v>55</v>
      </c>
      <c r="B59" s="26" t="n">
        <v>46108</v>
      </c>
      <c r="C59" s="24" t="s">
        <v>179</v>
      </c>
      <c r="D59" s="21" t="s">
        <v>307</v>
      </c>
      <c r="E59" s="21" t="s">
        <v>110</v>
      </c>
      <c r="F59" s="21" t="s">
        <v>97</v>
      </c>
      <c r="G59" s="21" t="s">
        <v>354</v>
      </c>
      <c r="H59" s="27" t="n">
        <v>2423.1</v>
      </c>
      <c r="I59" s="23" t="n">
        <v>0.039998</v>
      </c>
      <c r="J59" s="25" t="s">
        <v>371</v>
      </c>
      <c r="K59" s="22" t="s">
        <v>313</v>
      </c>
      <c r="L59" s="33" t="str">
        <f aca="false">IF($B59="","",IF(NOT(ISNUMBER($B59)),"日期格式不对",IF($C59="","未选项目编号",IF(LEFT($M59,1)="⚠","项目编号不存在",IF($D59="","未选业务类型",IF($E59="","未选开票/付款方",IF(ISNA(MATCH($E59,单位档案!$A$6:$A$35,0)),"开票方不在单位档案",IF($F59="","未选收票/收款方",IF(ISNA(MATCH($F59,单位档案!$A$6:$A$35,0)),"收款方不在单位档案",IF(NOT(ISNUMBER($H59)),"金额须为数字",IF(AND($D59="销项开票",$N59="—"),"链条待确认","√")))))))))))</f>
        <v>√</v>
      </c>
      <c r="M59" s="34" t="str">
        <f aca="false">IF($C59="","",IFERROR(INDEX(项目档案!$B$6:$B$255,MATCH($C59,项目档案!$A$6:$A$255,0)),"⚠项目编号不存在"))</f>
        <v>重庆民能实业有限公司2025-2026年度工程用特种设备租赁服务框架采购、铜梁公司2026年配电专业应急抢修抢险等外包项目(围塘5社等台区3个隐患治理项目。大桥7.8社等台区3个应急抢修项目)机械费</v>
      </c>
      <c r="N59" s="35" t="str">
        <f aca="false">IF($E59="","",IF($E59=IFERROR(INDEX(项目档案!$D$6:$D$255,MATCH($C59,项目档案!$A$6:$A$255,0)),""),"一级",IF($E59=IFERROR(INDEX(项目档案!$F$6:$F$255,MATCH($C59,项目档案!$A$6:$A$255,0)),""),"二级",IF($E59=IFERROR(INDEX(项目档案!$H$6:$H$255,MATCH($C59,项目档案!$A$6:$A$255,0)),""),"我方","—"))))</f>
        <v>一级</v>
      </c>
      <c r="O59" s="36" t="n">
        <f aca="false">IF($D59&lt;&gt;"销项开票",0,ROUND(N($H59)*N($I59),2))</f>
        <v>96.92</v>
      </c>
      <c r="P59" s="36" t="n">
        <f aca="false">IF($D59&lt;&gt;"销项开票",0,ROUND(N($H59)-$O59,2))</f>
        <v>2326.18</v>
      </c>
      <c r="Q59" s="37" t="n">
        <f aca="false">IF($E59="","",N(IFERROR(INDEX(单位档案!$E$6:$E$35,MATCH($E59,单位档案!$A$6:$A$35,0)),"")))</f>
        <v>0.09</v>
      </c>
      <c r="R59" s="37" t="n">
        <f aca="false">IF($E59="","",N(IFERROR(INDEX(单位档案!$F$6:$F$35,MATCH($E59,单位档案!$A$6:$A$35,0)),"")))</f>
        <v>0.03</v>
      </c>
      <c r="S59" s="36" t="n">
        <f aca="false">IF(OR($D59&lt;&gt;"销项开票",IFERROR(INDEX(单位档案!$G$6:$G$35,MATCH($E59,单位档案!$A$6:$A$35,0)),"")&lt;&gt;"是",N($Q59)=0),0,IF(IFERROR(INDEX(单位档案!$H$6:$H$35,MATCH($E59,单位档案!$A$6:$A$35,0)),"")="税差法",ROUND(N($H59)/(1+$Q59)*$Q59-IF(N($R59)=0,0,$P59/(1+$R59)*$R59),2),ROUND(N($H59)/(1+$Q59)*$Q59,2)))</f>
        <v>132.32</v>
      </c>
      <c r="T59" s="36" t="n">
        <f aca="false">ROUND($S59*N(IFERROR(INDEX(单位档案!$J$6:$J$35,MATCH($E59,单位档案!$A$6:$A$35,0)),"")),2)</f>
        <v>15.88</v>
      </c>
      <c r="U59" s="36" t="n">
        <f aca="false">IF($D59&lt;&gt;"销项开票",0,ROUND(N($H59)*N(IFERROR(INDEX(单位档案!$K$6:$K$35,MATCH($E59,单位档案!$A$6:$A$35,0)),"")),2))</f>
        <v>1.42</v>
      </c>
      <c r="V59" s="36" t="n">
        <f aca="false">IF(OR($D59&lt;&gt;"销项开票",N($Q59)=0),0,ROUND(N($H59)/(1+$Q59)*N(IFERROR(INDEX(单位档案!$L$6:$L$35,MATCH($E59,单位档案!$A$6:$A$35,0)),"")),2))</f>
        <v>0</v>
      </c>
      <c r="W59" s="36" t="n">
        <f aca="false">ROUND($S59+$T59+$U59+$V59,2)</f>
        <v>149.62</v>
      </c>
      <c r="X59" s="35" t="str">
        <f aca="false">IF(OR($D59="挂靠代收",$D59="我方收款"),COUNTIFS($D$5:$D59,"挂靠代收")+COUNTIFS($D$5:$D59,"我方收款"),"")</f>
        <v/>
      </c>
      <c r="Y59" s="35" t="s">
        <v>110</v>
      </c>
      <c r="Z59" s="21" t="s">
        <v>111</v>
      </c>
    </row>
    <row r="60" customFormat="false" ht="15.75" hidden="false" customHeight="true" outlineLevel="0" collapsed="false">
      <c r="A60" s="32" t="n">
        <f aca="false">IF($B60="","",ROW()-4)</f>
        <v>56</v>
      </c>
      <c r="B60" s="26" t="n">
        <v>46108</v>
      </c>
      <c r="C60" s="24" t="s">
        <v>181</v>
      </c>
      <c r="D60" s="21" t="s">
        <v>307</v>
      </c>
      <c r="E60" s="21" t="s">
        <v>110</v>
      </c>
      <c r="F60" s="21" t="s">
        <v>97</v>
      </c>
      <c r="G60" s="21" t="s">
        <v>354</v>
      </c>
      <c r="H60" s="27" t="n">
        <v>880.39</v>
      </c>
      <c r="I60" s="23" t="n">
        <v>0.040005</v>
      </c>
      <c r="J60" s="25" t="s">
        <v>372</v>
      </c>
      <c r="K60" s="22" t="s">
        <v>313</v>
      </c>
      <c r="L60" s="33" t="str">
        <f aca="false">IF($B60="","",IF(NOT(ISNUMBER($B60)),"日期格式不对",IF($C60="","未选项目编号",IF(LEFT($M60,1)="⚠","项目编号不存在",IF($D60="","未选业务类型",IF($E60="","未选开票/付款方",IF(ISNA(MATCH($E60,单位档案!$A$6:$A$35,0)),"开票方不在单位档案",IF($F60="","未选收票/收款方",IF(ISNA(MATCH($F60,单位档案!$A$6:$A$35,0)),"收款方不在单位档案",IF(NOT(ISNUMBER($H60)),"金额须为数字",IF(AND($D60="销项开票",$N60="—"),"链条待确认","√")))))))))))</f>
        <v>√</v>
      </c>
      <c r="M60" s="34" t="str">
        <f aca="false">IF($C60="","",IFERROR(INDEX(项目档案!$B$6:$B$255,MATCH($C60,项目档案!$A$6:$A$255,0)),"⚠项目编号不存在"))</f>
        <v>2025-2026年度工程用特种设备租赁服务框架采购、峰盛模具ZBW-250KVA箱变拆除工程（机械费）</v>
      </c>
      <c r="N60" s="35" t="str">
        <f aca="false">IF($E60="","",IF($E60=IFERROR(INDEX(项目档案!$D$6:$D$255,MATCH($C60,项目档案!$A$6:$A$255,0)),""),"一级",IF($E60=IFERROR(INDEX(项目档案!$F$6:$F$255,MATCH($C60,项目档案!$A$6:$A$255,0)),""),"二级",IF($E60=IFERROR(INDEX(项目档案!$H$6:$H$255,MATCH($C60,项目档案!$A$6:$A$255,0)),""),"我方","—"))))</f>
        <v>一级</v>
      </c>
      <c r="O60" s="36" t="n">
        <f aca="false">IF($D60&lt;&gt;"销项开票",0,ROUND(N($H60)*N($I60),2))</f>
        <v>35.22</v>
      </c>
      <c r="P60" s="36" t="n">
        <f aca="false">IF($D60&lt;&gt;"销项开票",0,ROUND(N($H60)-$O60,2))</f>
        <v>845.17</v>
      </c>
      <c r="Q60" s="37" t="n">
        <f aca="false">IF($E60="","",N(IFERROR(INDEX(单位档案!$E$6:$E$35,MATCH($E60,单位档案!$A$6:$A$35,0)),"")))</f>
        <v>0.09</v>
      </c>
      <c r="R60" s="37" t="n">
        <f aca="false">IF($E60="","",N(IFERROR(INDEX(单位档案!$F$6:$F$35,MATCH($E60,单位档案!$A$6:$A$35,0)),"")))</f>
        <v>0.03</v>
      </c>
      <c r="S60" s="36" t="n">
        <f aca="false">IF(OR($D60&lt;&gt;"销项开票",IFERROR(INDEX(单位档案!$G$6:$G$35,MATCH($E60,单位档案!$A$6:$A$35,0)),"")&lt;&gt;"是",N($Q60)=0),0,IF(IFERROR(INDEX(单位档案!$H$6:$H$35,MATCH($E60,单位档案!$A$6:$A$35,0)),"")="税差法",ROUND(N($H60)/(1+$Q60)*$Q60-IF(N($R60)=0,0,$P60/(1+$R60)*$R60),2),ROUND(N($H60)/(1+$Q60)*$Q60,2)))</f>
        <v>48.08</v>
      </c>
      <c r="T60" s="36" t="n">
        <f aca="false">ROUND($S60*N(IFERROR(INDEX(单位档案!$J$6:$J$35,MATCH($E60,单位档案!$A$6:$A$35,0)),"")),2)</f>
        <v>5.77</v>
      </c>
      <c r="U60" s="36" t="n">
        <f aca="false">IF($D60&lt;&gt;"销项开票",0,ROUND(N($H60)*N(IFERROR(INDEX(单位档案!$K$6:$K$35,MATCH($E60,单位档案!$A$6:$A$35,0)),"")),2))</f>
        <v>0.52</v>
      </c>
      <c r="V60" s="36" t="n">
        <f aca="false">IF(OR($D60&lt;&gt;"销项开票",N($Q60)=0),0,ROUND(N($H60)/(1+$Q60)*N(IFERROR(INDEX(单位档案!$L$6:$L$35,MATCH($E60,单位档案!$A$6:$A$35,0)),"")),2))</f>
        <v>0</v>
      </c>
      <c r="W60" s="36" t="n">
        <f aca="false">ROUND($S60+$T60+$U60+$V60,2)</f>
        <v>54.37</v>
      </c>
      <c r="X60" s="35" t="str">
        <f aca="false">IF(OR($D60="挂靠代收",$D60="我方收款"),COUNTIFS($D$5:$D60,"挂靠代收")+COUNTIFS($D$5:$D60,"我方收款"),"")</f>
        <v/>
      </c>
      <c r="Y60" s="35" t="s">
        <v>110</v>
      </c>
      <c r="Z60" s="21" t="s">
        <v>111</v>
      </c>
    </row>
    <row r="61" customFormat="false" ht="15.75" hidden="false" customHeight="true" outlineLevel="0" collapsed="false">
      <c r="A61" s="32" t="n">
        <f aca="false">IF($B61="","",ROW()-4)</f>
        <v>57</v>
      </c>
      <c r="B61" s="26" t="n">
        <v>46108</v>
      </c>
      <c r="C61" s="24" t="s">
        <v>181</v>
      </c>
      <c r="D61" s="21" t="s">
        <v>314</v>
      </c>
      <c r="E61" s="21" t="s">
        <v>127</v>
      </c>
      <c r="F61" s="21" t="s">
        <v>110</v>
      </c>
      <c r="G61" s="21" t="s">
        <v>354</v>
      </c>
      <c r="H61" s="27" t="n">
        <v>1753.06</v>
      </c>
      <c r="I61" s="23" t="str">
        <f aca="false">IF($D61&lt;&gt;"销项开票","",IF($N61="一级",IF(IFERROR(INDEX(项目档案!$E$6:$E$255,MATCH($C61,项目档案!$A$6:$A$255,0)),"")="",N(IFERROR(INDEX(单位档案!$D$6:$D$35,MATCH($E61,单位档案!$A$6:$A$35,0)),"")),IFERROR(INDEX(项目档案!$E$6:$E$255,MATCH($C61,项目档案!$A$6:$A$255,0)),"")),IF($N61="二级",IF(IFERROR(INDEX(项目档案!$G$6:$G$255,MATCH($C61,项目档案!$A$6:$A$255,0)),"")="",N(IFERROR(INDEX(单位档案!$D$6:$D$35,MATCH($E61,单位档案!$A$6:$A$35,0)),"")),IFERROR(INDEX(项目档案!$G$6:$G$255,MATCH($C61,项目档案!$A$6:$A$255,0)),"")),N(IFERROR(INDEX(单位档案!$D$6:$D$35,MATCH($E61,单位档案!$A$6:$A$35,0)),"")))))</f>
        <v/>
      </c>
      <c r="J61" s="25" t="s">
        <v>372</v>
      </c>
      <c r="K61" s="22" t="s">
        <v>313</v>
      </c>
      <c r="L61" s="33" t="str">
        <f aca="false">IF($B61="","",IF(NOT(ISNUMBER($B61)),"日期格式不对",IF($C61="","未选项目编号",IF(LEFT($M61,1)="⚠","项目编号不存在",IF($D61="","未选业务类型",IF($E61="","未选开票/付款方",IF(ISNA(MATCH($E61,单位档案!$A$6:$A$35,0)),"开票方不在单位档案",IF($F61="","未选收票/收款方",IF(ISNA(MATCH($F61,单位档案!$A$6:$A$35,0)),"收款方不在单位档案",IF(NOT(ISNUMBER($H61)),"金额须为数字",IF(AND($D61="销项开票",$N61="—"),"链条待确认","√")))))))))))</f>
        <v>√</v>
      </c>
      <c r="M61" s="34" t="str">
        <f aca="false">IF($C61="","",IFERROR(INDEX(项目档案!$B$6:$B$255,MATCH($C61,项目档案!$A$6:$A$255,0)),"⚠项目编号不存在"))</f>
        <v>2025-2026年度工程用特种设备租赁服务框架采购、峰盛模具ZBW-250KVA箱变拆除工程（机械费）</v>
      </c>
      <c r="N61" s="35" t="str">
        <f aca="false">IF($E61="","",IF($E61=IFERROR(INDEX(项目档案!$D$6:$D$255,MATCH($C61,项目档案!$A$6:$A$255,0)),""),"一级",IF($E61=IFERROR(INDEX(项目档案!$F$6:$F$255,MATCH($C61,项目档案!$A$6:$A$255,0)),""),"二级",IF($E61=IFERROR(INDEX(项目档案!$H$6:$H$255,MATCH($C61,项目档案!$A$6:$A$255,0)),""),"我方","—"))))</f>
        <v>我方</v>
      </c>
      <c r="O61" s="36" t="n">
        <f aca="false">IF($D61&lt;&gt;"销项开票",0,ROUND(N($H61)*N($I61),2))</f>
        <v>0</v>
      </c>
      <c r="P61" s="36" t="n">
        <f aca="false">IF($D61&lt;&gt;"销项开票",0,ROUND(N($H61)-$O61,2))</f>
        <v>0</v>
      </c>
      <c r="Q61" s="37" t="n">
        <f aca="false">IF($E61="","",N(IFERROR(INDEX(单位档案!$E$6:$E$35,MATCH($E61,单位档案!$A$6:$A$35,0)),"")))</f>
        <v>0.03</v>
      </c>
      <c r="R61" s="37" t="n">
        <f aca="false">IF($E61="","",N(IFERROR(INDEX(单位档案!$F$6:$F$35,MATCH($E61,单位档案!$A$6:$A$35,0)),"")))</f>
        <v>0</v>
      </c>
      <c r="S61" s="36" t="n">
        <f aca="false">IF(OR($D61&lt;&gt;"销项开票",IFERROR(INDEX(单位档案!$G$6:$G$35,MATCH($E61,单位档案!$A$6:$A$35,0)),"")&lt;&gt;"是",N($Q61)=0),0,IF(IFERROR(INDEX(单位档案!$H$6:$H$35,MATCH($E61,单位档案!$A$6:$A$35,0)),"")="税差法",ROUND(N($H61)/(1+$Q61)*$Q61-IF(N($R61)=0,0,$P61/(1+$R61)*$R61),2),ROUND(N($H61)/(1+$Q61)*$Q61,2)))</f>
        <v>0</v>
      </c>
      <c r="T61" s="36" t="n">
        <f aca="false">ROUND($S61*N(IFERROR(INDEX(单位档案!$J$6:$J$35,MATCH($E61,单位档案!$A$6:$A$35,0)),"")),2)</f>
        <v>0</v>
      </c>
      <c r="U61" s="36" t="n">
        <f aca="false">IF($D61&lt;&gt;"销项开票",0,ROUND(N($H61)*N(IFERROR(INDEX(单位档案!$K$6:$K$35,MATCH($E61,单位档案!$A$6:$A$35,0)),"")),2))</f>
        <v>0</v>
      </c>
      <c r="V61" s="36" t="n">
        <f aca="false">IF(OR($D61&lt;&gt;"销项开票",N($Q61)=0),0,ROUND(N($H61)/(1+$Q61)*N(IFERROR(INDEX(单位档案!$L$6:$L$35,MATCH($E61,单位档案!$A$6:$A$35,0)),"")),2))</f>
        <v>0</v>
      </c>
      <c r="W61" s="36" t="n">
        <f aca="false">ROUND($S61+$T61+$U61+$V61,2)</f>
        <v>0</v>
      </c>
      <c r="X61" s="35" t="str">
        <f aca="false">IF(OR($D61="挂靠代收",$D61="我方收款"),COUNTIFS($D$5:$D61,"挂靠代收")+COUNTIFS($D$5:$D61,"我方收款"),"")</f>
        <v/>
      </c>
      <c r="Y61" s="35" t="s">
        <v>110</v>
      </c>
      <c r="Z61" s="21" t="s">
        <v>111</v>
      </c>
    </row>
    <row r="62" customFormat="false" ht="15.75" hidden="false" customHeight="true" outlineLevel="0" collapsed="false">
      <c r="A62" s="32" t="n">
        <f aca="false">IF($B62="","",ROW()-4)</f>
        <v>58</v>
      </c>
      <c r="B62" s="26" t="n">
        <v>46108</v>
      </c>
      <c r="C62" s="24" t="s">
        <v>153</v>
      </c>
      <c r="D62" s="21" t="s">
        <v>307</v>
      </c>
      <c r="E62" s="21" t="s">
        <v>110</v>
      </c>
      <c r="F62" s="21" t="s">
        <v>97</v>
      </c>
      <c r="G62" s="21" t="s">
        <v>354</v>
      </c>
      <c r="H62" s="27" t="n">
        <v>52993</v>
      </c>
      <c r="I62" s="23" t="n">
        <v>0.04</v>
      </c>
      <c r="J62" s="25" t="s">
        <v>373</v>
      </c>
      <c r="K62" s="22" t="s">
        <v>313</v>
      </c>
      <c r="L62" s="33" t="str">
        <f aca="false">IF($B62="","",IF(NOT(ISNUMBER($B62)),"日期格式不对",IF($C62="","未选项目编号",IF(LEFT($M62,1)="⚠","项目编号不存在",IF($D62="","未选业务类型",IF($E62="","未选开票/付款方",IF(ISNA(MATCH($E62,单位档案!$A$6:$A$35,0)),"开票方不在单位档案",IF($F62="","未选收票/收款方",IF(ISNA(MATCH($F62,单位档案!$A$6:$A$35,0)),"收款方不在单位档案",IF(NOT(ISNUMBER($H62)),"金额须为数字",IF(AND($D62="销项开票",$N62="—"),"链条待确认","√")))))))))))</f>
        <v>链条待确认</v>
      </c>
      <c r="M62" s="34" t="str">
        <f aca="false">IF($C62="","",IFERROR(INDEX(项目档案!$B$6:$B$255,MATCH($C62,项目档案!$A$6:$A$255,0)),"⚠项目编号不存在"))</f>
        <v>重庆铜梁10kV平双线新建联络工程</v>
      </c>
      <c r="N62" s="35" t="str">
        <f aca="false">IF($E62="","",IF($E62=IFERROR(INDEX(项目档案!$D$6:$D$255,MATCH($C62,项目档案!$A$6:$A$255,0)),""),"一级",IF($E62=IFERROR(INDEX(项目档案!$F$6:$F$255,MATCH($C62,项目档案!$A$6:$A$255,0)),""),"二级",IF($E62=IFERROR(INDEX(项目档案!$H$6:$H$255,MATCH($C62,项目档案!$A$6:$A$255,0)),""),"我方","—"))))</f>
        <v>—</v>
      </c>
      <c r="O62" s="36" t="n">
        <f aca="false">IF($D62&lt;&gt;"销项开票",0,ROUND(N($H62)*N($I62),2))</f>
        <v>2119.72</v>
      </c>
      <c r="P62" s="36" t="n">
        <f aca="false">IF($D62&lt;&gt;"销项开票",0,ROUND(N($H62)-$O62,2))</f>
        <v>50873.28</v>
      </c>
      <c r="Q62" s="37" t="n">
        <f aca="false">IF($E62="","",N(IFERROR(INDEX(单位档案!$E$6:$E$35,MATCH($E62,单位档案!$A$6:$A$35,0)),"")))</f>
        <v>0.09</v>
      </c>
      <c r="R62" s="37" t="n">
        <f aca="false">IF($E62="","",N(IFERROR(INDEX(单位档案!$F$6:$F$35,MATCH($E62,单位档案!$A$6:$A$35,0)),"")))</f>
        <v>0.03</v>
      </c>
      <c r="S62" s="36" t="n">
        <f aca="false">IF(OR($D62&lt;&gt;"销项开票",IFERROR(INDEX(单位档案!$G$6:$G$35,MATCH($E62,单位档案!$A$6:$A$35,0)),"")&lt;&gt;"是",N($Q62)=0),0,IF(IFERROR(INDEX(单位档案!$H$6:$H$35,MATCH($E62,单位档案!$A$6:$A$35,0)),"")="税差法",ROUND(N($H62)/(1+$Q62)*$Q62-IF(N($R62)=0,0,$P62/(1+$R62)*$R62),2),ROUND(N($H62)/(1+$Q62)*$Q62,2)))</f>
        <v>2893.82</v>
      </c>
      <c r="T62" s="36" t="n">
        <f aca="false">ROUND($S62*N(IFERROR(INDEX(单位档案!$J$6:$J$35,MATCH($E62,单位档案!$A$6:$A$35,0)),"")),2)</f>
        <v>347.26</v>
      </c>
      <c r="U62" s="36" t="n">
        <f aca="false">IF($D62&lt;&gt;"销项开票",0,ROUND(N($H62)*N(IFERROR(INDEX(单位档案!$K$6:$K$35,MATCH($E62,单位档案!$A$6:$A$35,0)),"")),2))</f>
        <v>31.16</v>
      </c>
      <c r="V62" s="36" t="n">
        <f aca="false">IF(OR($D62&lt;&gt;"销项开票",N($Q62)=0),0,ROUND(N($H62)/(1+$Q62)*N(IFERROR(INDEX(单位档案!$L$6:$L$35,MATCH($E62,单位档案!$A$6:$A$35,0)),"")),2))</f>
        <v>0</v>
      </c>
      <c r="W62" s="36" t="n">
        <f aca="false">ROUND($S62+$T62+$U62+$V62,2)</f>
        <v>3272.24</v>
      </c>
      <c r="X62" s="35" t="str">
        <f aca="false">IF(OR($D62="挂靠代收",$D62="我方收款"),COUNTIFS($D$5:$D62,"挂靠代收")+COUNTIFS($D$5:$D62,"我方收款"),"")</f>
        <v/>
      </c>
      <c r="Y62" s="35" t="s">
        <v>110</v>
      </c>
      <c r="Z62" s="21" t="s">
        <v>111</v>
      </c>
    </row>
    <row r="63" customFormat="false" ht="15.75" hidden="false" customHeight="true" outlineLevel="0" collapsed="false">
      <c r="A63" s="32" t="n">
        <f aca="false">IF($B63="","",ROW()-4)</f>
        <v>59</v>
      </c>
      <c r="B63" s="26" t="n">
        <v>46108</v>
      </c>
      <c r="C63" s="24" t="s">
        <v>156</v>
      </c>
      <c r="D63" s="21" t="s">
        <v>307</v>
      </c>
      <c r="E63" s="21" t="s">
        <v>110</v>
      </c>
      <c r="F63" s="21" t="s">
        <v>97</v>
      </c>
      <c r="G63" s="21" t="s">
        <v>354</v>
      </c>
      <c r="H63" s="27" t="n">
        <v>10165.2</v>
      </c>
      <c r="I63" s="23" t="n">
        <v>0.04</v>
      </c>
      <c r="J63" s="25" t="s">
        <v>374</v>
      </c>
      <c r="K63" s="22" t="s">
        <v>313</v>
      </c>
      <c r="L63" s="33" t="str">
        <f aca="false">IF($B63="","",IF(NOT(ISNUMBER($B63)),"日期格式不对",IF($C63="","未选项目编号",IF(LEFT($M63,1)="⚠","项目编号不存在",IF($D63="","未选业务类型",IF($E63="","未选开票/付款方",IF(ISNA(MATCH($E63,单位档案!$A$6:$A$35,0)),"开票方不在单位档案",IF($F63="","未选收票/收款方",IF(ISNA(MATCH($F63,单位档案!$A$6:$A$35,0)),"收款方不在单位档案",IF(NOT(ISNUMBER($H63)),"金额须为数字",IF(AND($D63="销项开票",$N63="—"),"链条待确认","√")))))))))))</f>
        <v>链条待确认</v>
      </c>
      <c r="M63" s="34" t="str">
        <f aca="false">IF($C63="","",IFERROR(INDEX(项目档案!$B$6:$B$255,MATCH($C63,项目档案!$A$6:$A$255,0)),"⚠项目编号不存在"))</f>
        <v>重庆铜梁10kV水羊线金鸡3（4）社台区重过载治理工程</v>
      </c>
      <c r="N63" s="35" t="str">
        <f aca="false">IF($E63="","",IF($E63=IFERROR(INDEX(项目档案!$D$6:$D$255,MATCH($C63,项目档案!$A$6:$A$255,0)),""),"一级",IF($E63=IFERROR(INDEX(项目档案!$F$6:$F$255,MATCH($C63,项目档案!$A$6:$A$255,0)),""),"二级",IF($E63=IFERROR(INDEX(项目档案!$H$6:$H$255,MATCH($C63,项目档案!$A$6:$A$255,0)),""),"我方","—"))))</f>
        <v>—</v>
      </c>
      <c r="O63" s="36" t="n">
        <f aca="false">IF($D63&lt;&gt;"销项开票",0,ROUND(N($H63)*N($I63),2))</f>
        <v>406.61</v>
      </c>
      <c r="P63" s="36" t="n">
        <f aca="false">IF($D63&lt;&gt;"销项开票",0,ROUND(N($H63)-$O63,2))</f>
        <v>9758.59</v>
      </c>
      <c r="Q63" s="37" t="n">
        <f aca="false">IF($E63="","",N(IFERROR(INDEX(单位档案!$E$6:$E$35,MATCH($E63,单位档案!$A$6:$A$35,0)),"")))</f>
        <v>0.09</v>
      </c>
      <c r="R63" s="37" t="n">
        <f aca="false">IF($E63="","",N(IFERROR(INDEX(单位档案!$F$6:$F$35,MATCH($E63,单位档案!$A$6:$A$35,0)),"")))</f>
        <v>0.03</v>
      </c>
      <c r="S63" s="36" t="n">
        <f aca="false">IF(OR($D63&lt;&gt;"销项开票",IFERROR(INDEX(单位档案!$G$6:$G$35,MATCH($E63,单位档案!$A$6:$A$35,0)),"")&lt;&gt;"是",N($Q63)=0),0,IF(IFERROR(INDEX(单位档案!$H$6:$H$35,MATCH($E63,单位档案!$A$6:$A$35,0)),"")="税差法",ROUND(N($H63)/(1+$Q63)*$Q63-IF(N($R63)=0,0,$P63/(1+$R63)*$R63),2),ROUND(N($H63)/(1+$Q63)*$Q63,2)))</f>
        <v>555.1</v>
      </c>
      <c r="T63" s="36" t="n">
        <f aca="false">ROUND($S63*N(IFERROR(INDEX(单位档案!$J$6:$J$35,MATCH($E63,单位档案!$A$6:$A$35,0)),"")),2)</f>
        <v>66.61</v>
      </c>
      <c r="U63" s="36" t="n">
        <f aca="false">IF($D63&lt;&gt;"销项开票",0,ROUND(N($H63)*N(IFERROR(INDEX(单位档案!$K$6:$K$35,MATCH($E63,单位档案!$A$6:$A$35,0)),"")),2))</f>
        <v>5.98</v>
      </c>
      <c r="V63" s="36" t="n">
        <f aca="false">IF(OR($D63&lt;&gt;"销项开票",N($Q63)=0),0,ROUND(N($H63)/(1+$Q63)*N(IFERROR(INDEX(单位档案!$L$6:$L$35,MATCH($E63,单位档案!$A$6:$A$35,0)),"")),2))</f>
        <v>0</v>
      </c>
      <c r="W63" s="36" t="n">
        <f aca="false">ROUND($S63+$T63+$U63+$V63,2)</f>
        <v>627.69</v>
      </c>
      <c r="X63" s="35" t="str">
        <f aca="false">IF(OR($D63="挂靠代收",$D63="我方收款"),COUNTIFS($D$5:$D63,"挂靠代收")+COUNTIFS($D$5:$D63,"我方收款"),"")</f>
        <v/>
      </c>
      <c r="Y63" s="35" t="s">
        <v>110</v>
      </c>
      <c r="Z63" s="21" t="s">
        <v>111</v>
      </c>
    </row>
    <row r="64" customFormat="false" ht="15.75" hidden="false" customHeight="true" outlineLevel="0" collapsed="false">
      <c r="A64" s="32" t="n">
        <f aca="false">IF($B64="","",ROW()-4)</f>
        <v>60</v>
      </c>
      <c r="B64" s="26" t="n">
        <v>46108</v>
      </c>
      <c r="C64" s="24" t="s">
        <v>159</v>
      </c>
      <c r="D64" s="21" t="s">
        <v>307</v>
      </c>
      <c r="E64" s="21" t="s">
        <v>110</v>
      </c>
      <c r="F64" s="21" t="s">
        <v>97</v>
      </c>
      <c r="G64" s="21" t="s">
        <v>354</v>
      </c>
      <c r="H64" s="27" t="n">
        <v>6855.6</v>
      </c>
      <c r="I64" s="23" t="n">
        <v>0.039999</v>
      </c>
      <c r="J64" s="25" t="s">
        <v>375</v>
      </c>
      <c r="K64" s="22" t="s">
        <v>313</v>
      </c>
      <c r="L64" s="33" t="str">
        <f aca="false">IF($B64="","",IF(NOT(ISNUMBER($B64)),"日期格式不对",IF($C64="","未选项目编号",IF(LEFT($M64,1)="⚠","项目编号不存在",IF($D64="","未选业务类型",IF($E64="","未选开票/付款方",IF(ISNA(MATCH($E64,单位档案!$A$6:$A$35,0)),"开票方不在单位档案",IF($F64="","未选收票/收款方",IF(ISNA(MATCH($F64,单位档案!$A$6:$A$35,0)),"收款方不在单位档案",IF(NOT(ISNUMBER($H64)),"金额须为数字",IF(AND($D64="销项开票",$N64="—"),"链条待确认","√")))))))))))</f>
        <v>链条待确认</v>
      </c>
      <c r="M64" s="34" t="str">
        <f aca="false">IF($C64="","",IFERROR(INDEX(项目档案!$B$6:$B$255,MATCH($C64,项目档案!$A$6:$A$255,0)),"⚠项目编号不存在"))</f>
        <v>重庆铜梁10kV龙羊线七佛4社台区重过载治理工程</v>
      </c>
      <c r="N64" s="35" t="str">
        <f aca="false">IF($E64="","",IF($E64=IFERROR(INDEX(项目档案!$D$6:$D$255,MATCH($C64,项目档案!$A$6:$A$255,0)),""),"一级",IF($E64=IFERROR(INDEX(项目档案!$F$6:$F$255,MATCH($C64,项目档案!$A$6:$A$255,0)),""),"二级",IF($E64=IFERROR(INDEX(项目档案!$H$6:$H$255,MATCH($C64,项目档案!$A$6:$A$255,0)),""),"我方","—"))))</f>
        <v>—</v>
      </c>
      <c r="O64" s="36" t="n">
        <f aca="false">IF($D64&lt;&gt;"销项开票",0,ROUND(N($H64)*N($I64),2))</f>
        <v>274.22</v>
      </c>
      <c r="P64" s="36" t="n">
        <f aca="false">IF($D64&lt;&gt;"销项开票",0,ROUND(N($H64)-$O64,2))</f>
        <v>6581.38</v>
      </c>
      <c r="Q64" s="37" t="n">
        <f aca="false">IF($E64="","",N(IFERROR(INDEX(单位档案!$E$6:$E$35,MATCH($E64,单位档案!$A$6:$A$35,0)),"")))</f>
        <v>0.09</v>
      </c>
      <c r="R64" s="37" t="n">
        <f aca="false">IF($E64="","",N(IFERROR(INDEX(单位档案!$F$6:$F$35,MATCH($E64,单位档案!$A$6:$A$35,0)),"")))</f>
        <v>0.03</v>
      </c>
      <c r="S64" s="36" t="n">
        <f aca="false">IF(OR($D64&lt;&gt;"销项开票",IFERROR(INDEX(单位档案!$G$6:$G$35,MATCH($E64,单位档案!$A$6:$A$35,0)),"")&lt;&gt;"是",N($Q64)=0),0,IF(IFERROR(INDEX(单位档案!$H$6:$H$35,MATCH($E64,单位档案!$A$6:$A$35,0)),"")="税差法",ROUND(N($H64)/(1+$Q64)*$Q64-IF(N($R64)=0,0,$P64/(1+$R64)*$R64),2),ROUND(N($H64)/(1+$Q64)*$Q64,2)))</f>
        <v>374.37</v>
      </c>
      <c r="T64" s="36" t="n">
        <f aca="false">ROUND($S64*N(IFERROR(INDEX(单位档案!$J$6:$J$35,MATCH($E64,单位档案!$A$6:$A$35,0)),"")),2)</f>
        <v>44.92</v>
      </c>
      <c r="U64" s="36" t="n">
        <f aca="false">IF($D64&lt;&gt;"销项开票",0,ROUND(N($H64)*N(IFERROR(INDEX(单位档案!$K$6:$K$35,MATCH($E64,单位档案!$A$6:$A$35,0)),"")),2))</f>
        <v>4.03</v>
      </c>
      <c r="V64" s="36" t="n">
        <f aca="false">IF(OR($D64&lt;&gt;"销项开票",N($Q64)=0),0,ROUND(N($H64)/(1+$Q64)*N(IFERROR(INDEX(单位档案!$L$6:$L$35,MATCH($E64,单位档案!$A$6:$A$35,0)),"")),2))</f>
        <v>0</v>
      </c>
      <c r="W64" s="36" t="n">
        <f aca="false">ROUND($S64+$T64+$U64+$V64,2)</f>
        <v>423.32</v>
      </c>
      <c r="X64" s="35" t="str">
        <f aca="false">IF(OR($D64="挂靠代收",$D64="我方收款"),COUNTIFS($D$5:$D64,"挂靠代收")+COUNTIFS($D$5:$D64,"我方收款"),"")</f>
        <v/>
      </c>
      <c r="Y64" s="35" t="s">
        <v>110</v>
      </c>
      <c r="Z64" s="21" t="s">
        <v>111</v>
      </c>
    </row>
    <row r="65" customFormat="false" ht="15.75" hidden="false" customHeight="true" outlineLevel="0" collapsed="false">
      <c r="A65" s="32" t="n">
        <f aca="false">IF($B65="","",ROW()-4)</f>
        <v>61</v>
      </c>
      <c r="B65" s="26" t="n">
        <v>46108</v>
      </c>
      <c r="C65" s="24" t="s">
        <v>161</v>
      </c>
      <c r="D65" s="21" t="s">
        <v>307</v>
      </c>
      <c r="E65" s="21" t="s">
        <v>110</v>
      </c>
      <c r="F65" s="21" t="s">
        <v>97</v>
      </c>
      <c r="G65" s="21" t="s">
        <v>354</v>
      </c>
      <c r="H65" s="27" t="n">
        <v>12608</v>
      </c>
      <c r="I65" s="23" t="n">
        <v>0.04</v>
      </c>
      <c r="J65" s="25" t="s">
        <v>376</v>
      </c>
      <c r="K65" s="22" t="s">
        <v>313</v>
      </c>
      <c r="L65" s="33" t="str">
        <f aca="false">IF($B65="","",IF(NOT(ISNUMBER($B65)),"日期格式不对",IF($C65="","未选项目编号",IF(LEFT($M65,1)="⚠","项目编号不存在",IF($D65="","未选业务类型",IF($E65="","未选开票/付款方",IF(ISNA(MATCH($E65,单位档案!$A$6:$A$35,0)),"开票方不在单位档案",IF($F65="","未选收票/收款方",IF(ISNA(MATCH($F65,单位档案!$A$6:$A$35,0)),"收款方不在单位档案",IF(NOT(ISNUMBER($H65)),"金额须为数字",IF(AND($D65="销项开票",$N65="—"),"链条待确认","√")))))))))))</f>
        <v>链条待确认</v>
      </c>
      <c r="M65" s="34" t="str">
        <f aca="false">IF($C65="","",IFERROR(INDEX(项目档案!$B$6:$B$255,MATCH($C65,项目档案!$A$6:$A$255,0)),"⚠项目编号不存在"))</f>
        <v>重庆铜梁10kV少柏线池塘4社柱台区电压越限治理工程</v>
      </c>
      <c r="N65" s="35" t="str">
        <f aca="false">IF($E65="","",IF($E65=IFERROR(INDEX(项目档案!$D$6:$D$255,MATCH($C65,项目档案!$A$6:$A$255,0)),""),"一级",IF($E65=IFERROR(INDEX(项目档案!$F$6:$F$255,MATCH($C65,项目档案!$A$6:$A$255,0)),""),"二级",IF($E65=IFERROR(INDEX(项目档案!$H$6:$H$255,MATCH($C65,项目档案!$A$6:$A$255,0)),""),"我方","—"))))</f>
        <v>—</v>
      </c>
      <c r="O65" s="36" t="n">
        <f aca="false">IF($D65&lt;&gt;"销项开票",0,ROUND(N($H65)*N($I65),2))</f>
        <v>504.32</v>
      </c>
      <c r="P65" s="36" t="n">
        <f aca="false">IF($D65&lt;&gt;"销项开票",0,ROUND(N($H65)-$O65,2))</f>
        <v>12103.68</v>
      </c>
      <c r="Q65" s="37" t="n">
        <f aca="false">IF($E65="","",N(IFERROR(INDEX(单位档案!$E$6:$E$35,MATCH($E65,单位档案!$A$6:$A$35,0)),"")))</f>
        <v>0.09</v>
      </c>
      <c r="R65" s="37" t="n">
        <f aca="false">IF($E65="","",N(IFERROR(INDEX(单位档案!$F$6:$F$35,MATCH($E65,单位档案!$A$6:$A$35,0)),"")))</f>
        <v>0.03</v>
      </c>
      <c r="S65" s="36" t="n">
        <f aca="false">IF(OR($D65&lt;&gt;"销项开票",IFERROR(INDEX(单位档案!$G$6:$G$35,MATCH($E65,单位档案!$A$6:$A$35,0)),"")&lt;&gt;"是",N($Q65)=0),0,IF(IFERROR(INDEX(单位档案!$H$6:$H$35,MATCH($E65,单位档案!$A$6:$A$35,0)),"")="税差法",ROUND(N($H65)/(1+$Q65)*$Q65-IF(N($R65)=0,0,$P65/(1+$R65)*$R65),2),ROUND(N($H65)/(1+$Q65)*$Q65,2)))</f>
        <v>688.49</v>
      </c>
      <c r="T65" s="36" t="n">
        <f aca="false">ROUND($S65*N(IFERROR(INDEX(单位档案!$J$6:$J$35,MATCH($E65,单位档案!$A$6:$A$35,0)),"")),2)</f>
        <v>82.62</v>
      </c>
      <c r="U65" s="36" t="n">
        <f aca="false">IF($D65&lt;&gt;"销项开票",0,ROUND(N($H65)*N(IFERROR(INDEX(单位档案!$K$6:$K$35,MATCH($E65,单位档案!$A$6:$A$35,0)),"")),2))</f>
        <v>7.41</v>
      </c>
      <c r="V65" s="36" t="n">
        <f aca="false">IF(OR($D65&lt;&gt;"销项开票",N($Q65)=0),0,ROUND(N($H65)/(1+$Q65)*N(IFERROR(INDEX(单位档案!$L$6:$L$35,MATCH($E65,单位档案!$A$6:$A$35,0)),"")),2))</f>
        <v>0</v>
      </c>
      <c r="W65" s="36" t="n">
        <f aca="false">ROUND($S65+$T65+$U65+$V65,2)</f>
        <v>778.52</v>
      </c>
      <c r="X65" s="35" t="str">
        <f aca="false">IF(OR($D65="挂靠代收",$D65="我方收款"),COUNTIFS($D$5:$D65,"挂靠代收")+COUNTIFS($D$5:$D65,"我方收款"),"")</f>
        <v/>
      </c>
      <c r="Y65" s="35" t="s">
        <v>110</v>
      </c>
      <c r="Z65" s="21" t="s">
        <v>111</v>
      </c>
    </row>
    <row r="66" customFormat="false" ht="15.75" hidden="false" customHeight="true" outlineLevel="0" collapsed="false">
      <c r="A66" s="32" t="n">
        <f aca="false">IF($B66="","",ROW()-4)</f>
        <v>62</v>
      </c>
      <c r="B66" s="26" t="n">
        <v>46108</v>
      </c>
      <c r="C66" s="24" t="s">
        <v>163</v>
      </c>
      <c r="D66" s="21" t="s">
        <v>307</v>
      </c>
      <c r="E66" s="21" t="s">
        <v>110</v>
      </c>
      <c r="F66" s="21" t="s">
        <v>97</v>
      </c>
      <c r="G66" s="21" t="s">
        <v>354</v>
      </c>
      <c r="H66" s="27" t="n">
        <v>12962.6</v>
      </c>
      <c r="I66" s="23" t="n">
        <v>0.04</v>
      </c>
      <c r="J66" s="25" t="s">
        <v>377</v>
      </c>
      <c r="K66" s="22" t="s">
        <v>313</v>
      </c>
      <c r="L66" s="33" t="str">
        <f aca="false">IF($B66="","",IF(NOT(ISNUMBER($B66)),"日期格式不对",IF($C66="","未选项目编号",IF(LEFT($M66,1)="⚠","项目编号不存在",IF($D66="","未选业务类型",IF($E66="","未选开票/付款方",IF(ISNA(MATCH($E66,单位档案!$A$6:$A$35,0)),"开票方不在单位档案",IF($F66="","未选收票/收款方",IF(ISNA(MATCH($F66,单位档案!$A$6:$A$35,0)),"收款方不在单位档案",IF(NOT(ISNUMBER($H66)),"金额须为数字",IF(AND($D66="销项开票",$N66="—"),"链条待确认","√")))))))))))</f>
        <v>链条待确认</v>
      </c>
      <c r="M66" s="34" t="str">
        <f aca="false">IF($C66="","",IFERROR(INDEX(项目档案!$B$6:$B$255,MATCH($C66,项目档案!$A$6:$A$255,0)),"⚠项目编号不存在"))</f>
        <v>重庆铜梁10kV少柏线团山7.6.11社台区电压越限治理工程</v>
      </c>
      <c r="N66" s="35" t="str">
        <f aca="false">IF($E66="","",IF($E66=IFERROR(INDEX(项目档案!$D$6:$D$255,MATCH($C66,项目档案!$A$6:$A$255,0)),""),"一级",IF($E66=IFERROR(INDEX(项目档案!$F$6:$F$255,MATCH($C66,项目档案!$A$6:$A$255,0)),""),"二级",IF($E66=IFERROR(INDEX(项目档案!$H$6:$H$255,MATCH($C66,项目档案!$A$6:$A$255,0)),""),"我方","—"))))</f>
        <v>—</v>
      </c>
      <c r="O66" s="36" t="n">
        <f aca="false">IF($D66&lt;&gt;"销项开票",0,ROUND(N($H66)*N($I66),2))</f>
        <v>518.5</v>
      </c>
      <c r="P66" s="36" t="n">
        <f aca="false">IF($D66&lt;&gt;"销项开票",0,ROUND(N($H66)-$O66,2))</f>
        <v>12444.1</v>
      </c>
      <c r="Q66" s="37" t="n">
        <f aca="false">IF($E66="","",N(IFERROR(INDEX(单位档案!$E$6:$E$35,MATCH($E66,单位档案!$A$6:$A$35,0)),"")))</f>
        <v>0.09</v>
      </c>
      <c r="R66" s="37" t="n">
        <f aca="false">IF($E66="","",N(IFERROR(INDEX(单位档案!$F$6:$F$35,MATCH($E66,单位档案!$A$6:$A$35,0)),"")))</f>
        <v>0.03</v>
      </c>
      <c r="S66" s="36" t="n">
        <f aca="false">IF(OR($D66&lt;&gt;"销项开票",IFERROR(INDEX(单位档案!$G$6:$G$35,MATCH($E66,单位档案!$A$6:$A$35,0)),"")&lt;&gt;"是",N($Q66)=0),0,IF(IFERROR(INDEX(单位档案!$H$6:$H$35,MATCH($E66,单位档案!$A$6:$A$35,0)),"")="税差法",ROUND(N($H66)/(1+$Q66)*$Q66-IF(N($R66)=0,0,$P66/(1+$R66)*$R66),2),ROUND(N($H66)/(1+$Q66)*$Q66,2)))</f>
        <v>707.86</v>
      </c>
      <c r="T66" s="36" t="n">
        <f aca="false">ROUND($S66*N(IFERROR(INDEX(单位档案!$J$6:$J$35,MATCH($E66,单位档案!$A$6:$A$35,0)),"")),2)</f>
        <v>84.94</v>
      </c>
      <c r="U66" s="36" t="n">
        <f aca="false">IF($D66&lt;&gt;"销项开票",0,ROUND(N($H66)*N(IFERROR(INDEX(单位档案!$K$6:$K$35,MATCH($E66,单位档案!$A$6:$A$35,0)),"")),2))</f>
        <v>7.62</v>
      </c>
      <c r="V66" s="36" t="n">
        <f aca="false">IF(OR($D66&lt;&gt;"销项开票",N($Q66)=0),0,ROUND(N($H66)/(1+$Q66)*N(IFERROR(INDEX(单位档案!$L$6:$L$35,MATCH($E66,单位档案!$A$6:$A$35,0)),"")),2))</f>
        <v>0</v>
      </c>
      <c r="W66" s="36" t="n">
        <f aca="false">ROUND($S66+$T66+$U66+$V66,2)</f>
        <v>800.42</v>
      </c>
      <c r="X66" s="35" t="str">
        <f aca="false">IF(OR($D66="挂靠代收",$D66="我方收款"),COUNTIFS($D$5:$D66,"挂靠代收")+COUNTIFS($D$5:$D66,"我方收款"),"")</f>
        <v/>
      </c>
      <c r="Y66" s="35" t="s">
        <v>110</v>
      </c>
      <c r="Z66" s="21" t="s">
        <v>111</v>
      </c>
    </row>
    <row r="67" customFormat="false" ht="15.75" hidden="false" customHeight="true" outlineLevel="0" collapsed="false">
      <c r="A67" s="32" t="n">
        <f aca="false">IF($B67="","",ROW()-4)</f>
        <v>63</v>
      </c>
      <c r="B67" s="26" t="n">
        <v>46112</v>
      </c>
      <c r="C67" s="24" t="s">
        <v>153</v>
      </c>
      <c r="D67" s="21" t="s">
        <v>11</v>
      </c>
      <c r="E67" s="21" t="s">
        <v>114</v>
      </c>
      <c r="F67" s="21" t="s">
        <v>134</v>
      </c>
      <c r="G67" s="21"/>
      <c r="H67" s="27" t="n">
        <v>16883.46</v>
      </c>
      <c r="I67" s="23" t="str">
        <f aca="false">IF($D67&lt;&gt;"销项开票","",IF($N67="一级",IF(IFERROR(INDEX(项目档案!$E$6:$E$255,MATCH($C67,项目档案!$A$6:$A$255,0)),"")="",N(IFERROR(INDEX(单位档案!$D$6:$D$35,MATCH($E67,单位档案!$A$6:$A$35,0)),"")),IFERROR(INDEX(项目档案!$E$6:$E$255,MATCH($C67,项目档案!$A$6:$A$255,0)),"")),IF($N67="二级",IF(IFERROR(INDEX(项目档案!$G$6:$G$255,MATCH($C67,项目档案!$A$6:$A$255,0)),"")="",N(IFERROR(INDEX(单位档案!$D$6:$D$35,MATCH($E67,单位档案!$A$6:$A$35,0)),"")),IFERROR(INDEX(项目档案!$G$6:$G$255,MATCH($C67,项目档案!$A$6:$A$255,0)),"")),N(IFERROR(INDEX(单位档案!$D$6:$D$35,MATCH($E67,单位档案!$A$6:$A$35,0)),"")))))</f>
        <v/>
      </c>
      <c r="J67" s="25" t="s">
        <v>378</v>
      </c>
      <c r="K67" s="22" t="s">
        <v>313</v>
      </c>
      <c r="L67" s="33" t="str">
        <f aca="false">IF($B67="","",IF(NOT(ISNUMBER($B67)),"日期格式不对",IF($C67="","未选项目编号",IF(LEFT($M67,1)="⚠","项目编号不存在",IF($D67="","未选业务类型",IF($E67="","未选开票/付款方",IF(ISNA(MATCH($E67,单位档案!$A$6:$A$35,0)),"开票方不在单位档案",IF($F67="","未选收票/收款方",IF(ISNA(MATCH($F67,单位档案!$A$6:$A$35,0)),"收款方不在单位档案",IF(NOT(ISNUMBER($H67)),"金额须为数字",IF(AND($D67="销项开票",$N67="—"),"链条待确认","√")))))))))))</f>
        <v>√</v>
      </c>
      <c r="M67" s="34" t="str">
        <f aca="false">IF($C67="","",IFERROR(INDEX(项目档案!$B$6:$B$255,MATCH($C67,项目档案!$A$6:$A$255,0)),"⚠项目编号不存在"))</f>
        <v>重庆铜梁10kV平双线新建联络工程</v>
      </c>
      <c r="N67" s="35" t="str">
        <f aca="false">IF($E67="","",IF($E67=IFERROR(INDEX(项目档案!$D$6:$D$255,MATCH($C67,项目档案!$A$6:$A$255,0)),""),"一级",IF($E67=IFERROR(INDEX(项目档案!$F$6:$F$255,MATCH($C67,项目档案!$A$6:$A$255,0)),""),"二级",IF($E67=IFERROR(INDEX(项目档案!$H$6:$H$255,MATCH($C67,项目档案!$A$6:$A$255,0)),""),"我方","—"))))</f>
        <v>一级</v>
      </c>
      <c r="O67" s="36" t="n">
        <f aca="false">IF($D67&lt;&gt;"销项开票",0,ROUND(N($H67)*N($I67),2))</f>
        <v>0</v>
      </c>
      <c r="P67" s="36" t="n">
        <f aca="false">IF($D67&lt;&gt;"销项开票",0,ROUND(N($H67)-$O67,2))</f>
        <v>0</v>
      </c>
      <c r="Q67" s="37" t="n">
        <f aca="false">IF($E67="","",N(IFERROR(INDEX(单位档案!$E$6:$E$35,MATCH($E67,单位档案!$A$6:$A$35,0)),"")))</f>
        <v>0.03</v>
      </c>
      <c r="R67" s="37" t="n">
        <f aca="false">IF($E67="","",N(IFERROR(INDEX(单位档案!$F$6:$F$35,MATCH($E67,单位档案!$A$6:$A$35,0)),"")))</f>
        <v>0.01</v>
      </c>
      <c r="S67" s="36" t="n">
        <f aca="false">IF(OR($D67&lt;&gt;"销项开票",IFERROR(INDEX(单位档案!$G$6:$G$35,MATCH($E67,单位档案!$A$6:$A$35,0)),"")&lt;&gt;"是",N($Q67)=0),0,IF(IFERROR(INDEX(单位档案!$H$6:$H$35,MATCH($E67,单位档案!$A$6:$A$35,0)),"")="税差法",ROUND(N($H67)/(1+$Q67)*$Q67-IF(N($R67)=0,0,$P67/(1+$R67)*$R67),2),ROUND(N($H67)/(1+$Q67)*$Q67,2)))</f>
        <v>0</v>
      </c>
      <c r="T67" s="36" t="n">
        <f aca="false">ROUND($S67*N(IFERROR(INDEX(单位档案!$J$6:$J$35,MATCH($E67,单位档案!$A$6:$A$35,0)),"")),2)</f>
        <v>0</v>
      </c>
      <c r="U67" s="36" t="n">
        <f aca="false">IF($D67&lt;&gt;"销项开票",0,ROUND(N($H67)*N(IFERROR(INDEX(单位档案!$K$6:$K$35,MATCH($E67,单位档案!$A$6:$A$35,0)),"")),2))</f>
        <v>0</v>
      </c>
      <c r="V67" s="36" t="n">
        <f aca="false">IF(OR($D67&lt;&gt;"销项开票",N($Q67)=0),0,ROUND(N($H67)/(1+$Q67)*N(IFERROR(INDEX(单位档案!$L$6:$L$35,MATCH($E67,单位档案!$A$6:$A$35,0)),"")),2))</f>
        <v>0</v>
      </c>
      <c r="W67" s="36" t="n">
        <f aca="false">ROUND($S67+$T67+$U67+$V67,2)</f>
        <v>0</v>
      </c>
      <c r="X67" s="35" t="str">
        <f aca="false">IF(OR($D67="挂靠代收",$D67="我方收款"),COUNTIFS($D$5:$D67,"挂靠代收")+COUNTIFS($D$5:$D67,"我方收款"),"")</f>
        <v/>
      </c>
      <c r="Y67" s="35" t="s">
        <v>114</v>
      </c>
      <c r="Z67" s="21" t="s">
        <v>111</v>
      </c>
    </row>
    <row r="68" customFormat="false" ht="15.75" hidden="false" customHeight="true" outlineLevel="0" collapsed="false">
      <c r="A68" s="32" t="n">
        <f aca="false">IF($B68="","",ROW()-4)</f>
        <v>64</v>
      </c>
      <c r="B68" s="26" t="n">
        <v>46112</v>
      </c>
      <c r="C68" s="24" t="s">
        <v>153</v>
      </c>
      <c r="D68" s="21" t="s">
        <v>357</v>
      </c>
      <c r="E68" s="21" t="s">
        <v>127</v>
      </c>
      <c r="F68" s="21" t="s">
        <v>114</v>
      </c>
      <c r="G68" s="24" t="s">
        <v>379</v>
      </c>
      <c r="H68" s="27" t="n">
        <v>80000</v>
      </c>
      <c r="I68" s="23" t="str">
        <f aca="false">IF($D68&lt;&gt;"销项开票","",IF($N68="一级",IF(IFERROR(INDEX(项目档案!$E$6:$E$255,MATCH($C68,项目档案!$A$6:$A$255,0)),"")="",N(IFERROR(INDEX(单位档案!$D$6:$D$35,MATCH($E68,单位档案!$A$6:$A$35,0)),"")),IFERROR(INDEX(项目档案!$E$6:$E$255,MATCH($C68,项目档案!$A$6:$A$255,0)),"")),IF($N68="二级",IF(IFERROR(INDEX(项目档案!$G$6:$G$255,MATCH($C68,项目档案!$A$6:$A$255,0)),"")="",N(IFERROR(INDEX(单位档案!$D$6:$D$35,MATCH($E68,单位档案!$A$6:$A$35,0)),"")),IFERROR(INDEX(项目档案!$G$6:$G$255,MATCH($C68,项目档案!$A$6:$A$255,0)),"")),N(IFERROR(INDEX(单位档案!$D$6:$D$35,MATCH($E68,单位档案!$A$6:$A$35,0)),"")))))</f>
        <v/>
      </c>
      <c r="J68" s="25" t="s">
        <v>380</v>
      </c>
      <c r="K68" s="22" t="s">
        <v>313</v>
      </c>
      <c r="L68" s="33" t="str">
        <f aca="false">IF($B68="","",IF(NOT(ISNUMBER($B68)),"日期格式不对",IF($C68="","未选项目编号",IF(LEFT($M68,1)="⚠","项目编号不存在",IF($D68="","未选业务类型",IF($E68="","未选开票/付款方",IF(ISNA(MATCH($E68,单位档案!$A$6:$A$35,0)),"开票方不在单位档案",IF($F68="","未选收票/收款方",IF(ISNA(MATCH($F68,单位档案!$A$6:$A$35,0)),"收款方不在单位档案",IF(NOT(ISNUMBER($H68)),"金额须为数字",IF(AND($D68="销项开票",$N68="—"),"链条待确认","√")))))))))))</f>
        <v>√</v>
      </c>
      <c r="M68" s="34" t="str">
        <f aca="false">IF($C68="","",IFERROR(INDEX(项目档案!$B$6:$B$255,MATCH($C68,项目档案!$A$6:$A$255,0)),"⚠项目编号不存在"))</f>
        <v>重庆铜梁10kV平双线新建联络工程</v>
      </c>
      <c r="N68" s="35" t="str">
        <f aca="false">IF($E68="","",IF($E68=IFERROR(INDEX(项目档案!$D$6:$D$255,MATCH($C68,项目档案!$A$6:$A$255,0)),""),"一级",IF($E68=IFERROR(INDEX(项目档案!$F$6:$F$255,MATCH($C68,项目档案!$A$6:$A$255,0)),""),"二级",IF($E68=IFERROR(INDEX(项目档案!$H$6:$H$255,MATCH($C68,项目档案!$A$6:$A$255,0)),""),"我方","—"))))</f>
        <v>我方</v>
      </c>
      <c r="O68" s="36" t="n">
        <f aca="false">IF($D68&lt;&gt;"销项开票",0,ROUND(N($H68)*N($I68),2))</f>
        <v>0</v>
      </c>
      <c r="P68" s="36" t="n">
        <f aca="false">IF($D68&lt;&gt;"销项开票",0,ROUND(N($H68)-$O68,2))</f>
        <v>0</v>
      </c>
      <c r="Q68" s="37" t="n">
        <f aca="false">IF($E68="","",N(IFERROR(INDEX(单位档案!$E$6:$E$35,MATCH($E68,单位档案!$A$6:$A$35,0)),"")))</f>
        <v>0.03</v>
      </c>
      <c r="R68" s="37" t="n">
        <f aca="false">IF($E68="","",N(IFERROR(INDEX(单位档案!$F$6:$F$35,MATCH($E68,单位档案!$A$6:$A$35,0)),"")))</f>
        <v>0</v>
      </c>
      <c r="S68" s="36" t="n">
        <f aca="false">IF(OR($D68&lt;&gt;"销项开票",IFERROR(INDEX(单位档案!$G$6:$G$35,MATCH($E68,单位档案!$A$6:$A$35,0)),"")&lt;&gt;"是",N($Q68)=0),0,IF(IFERROR(INDEX(单位档案!$H$6:$H$35,MATCH($E68,单位档案!$A$6:$A$35,0)),"")="税差法",ROUND(N($H68)/(1+$Q68)*$Q68-IF(N($R68)=0,0,$P68/(1+$R68)*$R68),2),ROUND(N($H68)/(1+$Q68)*$Q68,2)))</f>
        <v>0</v>
      </c>
      <c r="T68" s="36" t="n">
        <f aca="false">ROUND($S68*N(IFERROR(INDEX(单位档案!$J$6:$J$35,MATCH($E68,单位档案!$A$6:$A$35,0)),"")),2)</f>
        <v>0</v>
      </c>
      <c r="U68" s="36" t="n">
        <f aca="false">IF($D68&lt;&gt;"销项开票",0,ROUND(N($H68)*N(IFERROR(INDEX(单位档案!$K$6:$K$35,MATCH($E68,单位档案!$A$6:$A$35,0)),"")),2))</f>
        <v>0</v>
      </c>
      <c r="V68" s="36" t="n">
        <f aca="false">IF(OR($D68&lt;&gt;"销项开票",N($Q68)=0),0,ROUND(N($H68)/(1+$Q68)*N(IFERROR(INDEX(单位档案!$L$6:$L$35,MATCH($E68,单位档案!$A$6:$A$35,0)),"")),2))</f>
        <v>0</v>
      </c>
      <c r="W68" s="36" t="n">
        <f aca="false">ROUND($S68+$T68+$U68+$V68,2)</f>
        <v>0</v>
      </c>
      <c r="X68" s="35" t="str">
        <f aca="false">IF(OR($D68="挂靠代收",$D68="我方收款"),COUNTIFS($D$5:$D68,"挂靠代收")+COUNTIFS($D$5:$D68,"我方收款"),"")</f>
        <v/>
      </c>
      <c r="Y68" s="35" t="s">
        <v>114</v>
      </c>
      <c r="Z68" s="21" t="s">
        <v>111</v>
      </c>
    </row>
    <row r="69" customFormat="false" ht="15.75" hidden="false" customHeight="true" outlineLevel="0" collapsed="false">
      <c r="A69" s="32" t="n">
        <f aca="false">IF($B69="","",ROW()-4)</f>
        <v>65</v>
      </c>
      <c r="B69" s="26" t="n">
        <v>46112</v>
      </c>
      <c r="C69" s="24" t="s">
        <v>181</v>
      </c>
      <c r="D69" s="21" t="s">
        <v>357</v>
      </c>
      <c r="E69" s="21" t="s">
        <v>127</v>
      </c>
      <c r="F69" s="21" t="s">
        <v>110</v>
      </c>
      <c r="G69" s="21"/>
      <c r="H69" s="27" t="n">
        <v>12406.27</v>
      </c>
      <c r="I69" s="23" t="str">
        <f aca="false">IF($D69&lt;&gt;"销项开票","",IF($N69="一级",IF(IFERROR(INDEX(项目档案!$E$6:$E$255,MATCH($C69,项目档案!$A$6:$A$255,0)),"")="",N(IFERROR(INDEX(单位档案!$D$6:$D$35,MATCH($E69,单位档案!$A$6:$A$35,0)),"")),IFERROR(INDEX(项目档案!$E$6:$E$255,MATCH($C69,项目档案!$A$6:$A$255,0)),"")),IF($N69="二级",IF(IFERROR(INDEX(项目档案!$G$6:$G$255,MATCH($C69,项目档案!$A$6:$A$255,0)),"")="",N(IFERROR(INDEX(单位档案!$D$6:$D$35,MATCH($E69,单位档案!$A$6:$A$35,0)),"")),IFERROR(INDEX(项目档案!$G$6:$G$255,MATCH($C69,项目档案!$A$6:$A$255,0)),"")),N(IFERROR(INDEX(单位档案!$D$6:$D$35,MATCH($E69,单位档案!$A$6:$A$35,0)),"")))))</f>
        <v/>
      </c>
      <c r="J69" s="25" t="s">
        <v>381</v>
      </c>
      <c r="K69" s="22" t="s">
        <v>313</v>
      </c>
      <c r="L69" s="33" t="str">
        <f aca="false">IF($B69="","",IF(NOT(ISNUMBER($B69)),"日期格式不对",IF($C69="","未选项目编号",IF(LEFT($M69,1)="⚠","项目编号不存在",IF($D69="","未选业务类型",IF($E69="","未选开票/付款方",IF(ISNA(MATCH($E69,单位档案!$A$6:$A$35,0)),"开票方不在单位档案",IF($F69="","未选收票/收款方",IF(ISNA(MATCH($F69,单位档案!$A$6:$A$35,0)),"收款方不在单位档案",IF(NOT(ISNUMBER($H69)),"金额须为数字",IF(AND($D69="销项开票",$N69="—"),"链条待确认","√")))))))))))</f>
        <v>√</v>
      </c>
      <c r="M69" s="34" t="str">
        <f aca="false">IF($C69="","",IFERROR(INDEX(项目档案!$B$6:$B$255,MATCH($C69,项目档案!$A$6:$A$255,0)),"⚠项目编号不存在"))</f>
        <v>2025-2026年度工程用特种设备租赁服务框架采购、峰盛模具ZBW-250KVA箱变拆除工程（机械费）</v>
      </c>
      <c r="N69" s="35" t="str">
        <f aca="false">IF($E69="","",IF($E69=IFERROR(INDEX(项目档案!$D$6:$D$255,MATCH($C69,项目档案!$A$6:$A$255,0)),""),"一级",IF($E69=IFERROR(INDEX(项目档案!$F$6:$F$255,MATCH($C69,项目档案!$A$6:$A$255,0)),""),"二级",IF($E69=IFERROR(INDEX(项目档案!$H$6:$H$255,MATCH($C69,项目档案!$A$6:$A$255,0)),""),"我方","—"))))</f>
        <v>我方</v>
      </c>
      <c r="O69" s="36" t="n">
        <f aca="false">IF($D69&lt;&gt;"销项开票",0,ROUND(N($H69)*N($I69),2))</f>
        <v>0</v>
      </c>
      <c r="P69" s="36" t="n">
        <f aca="false">IF($D69&lt;&gt;"销项开票",0,ROUND(N($H69)-$O69,2))</f>
        <v>0</v>
      </c>
      <c r="Q69" s="37" t="n">
        <f aca="false">IF($E69="","",N(IFERROR(INDEX(单位档案!$E$6:$E$35,MATCH($E69,单位档案!$A$6:$A$35,0)),"")))</f>
        <v>0.03</v>
      </c>
      <c r="R69" s="37" t="n">
        <f aca="false">IF($E69="","",N(IFERROR(INDEX(单位档案!$F$6:$F$35,MATCH($E69,单位档案!$A$6:$A$35,0)),"")))</f>
        <v>0</v>
      </c>
      <c r="S69" s="36" t="n">
        <f aca="false">IF(OR($D69&lt;&gt;"销项开票",IFERROR(INDEX(单位档案!$G$6:$G$35,MATCH($E69,单位档案!$A$6:$A$35,0)),"")&lt;&gt;"是",N($Q69)=0),0,IF(IFERROR(INDEX(单位档案!$H$6:$H$35,MATCH($E69,单位档案!$A$6:$A$35,0)),"")="税差法",ROUND(N($H69)/(1+$Q69)*$Q69-IF(N($R69)=0,0,$P69/(1+$R69)*$R69),2),ROUND(N($H69)/(1+$Q69)*$Q69,2)))</f>
        <v>0</v>
      </c>
      <c r="T69" s="36" t="n">
        <f aca="false">ROUND($S69*N(IFERROR(INDEX(单位档案!$J$6:$J$35,MATCH($E69,单位档案!$A$6:$A$35,0)),"")),2)</f>
        <v>0</v>
      </c>
      <c r="U69" s="36" t="n">
        <f aca="false">IF($D69&lt;&gt;"销项开票",0,ROUND(N($H69)*N(IFERROR(INDEX(单位档案!$K$6:$K$35,MATCH($E69,单位档案!$A$6:$A$35,0)),"")),2))</f>
        <v>0</v>
      </c>
      <c r="V69" s="36" t="n">
        <f aca="false">IF(OR($D69&lt;&gt;"销项开票",N($Q69)=0),0,ROUND(N($H69)/(1+$Q69)*N(IFERROR(INDEX(单位档案!$L$6:$L$35,MATCH($E69,单位档案!$A$6:$A$35,0)),"")),2))</f>
        <v>0</v>
      </c>
      <c r="W69" s="36" t="n">
        <f aca="false">ROUND($S69+$T69+$U69+$V69,2)</f>
        <v>0</v>
      </c>
      <c r="X69" s="35" t="str">
        <f aca="false">IF(OR($D69="挂靠代收",$D69="我方收款"),COUNTIFS($D$5:$D69,"挂靠代收")+COUNTIFS($D$5:$D69,"我方收款"),"")</f>
        <v/>
      </c>
      <c r="Y69" s="35" t="s">
        <v>110</v>
      </c>
      <c r="Z69" s="21" t="s">
        <v>111</v>
      </c>
    </row>
    <row r="70" customFormat="false" ht="15.75" hidden="false" customHeight="true" outlineLevel="0" collapsed="false">
      <c r="A70" s="32" t="n">
        <f aca="false">IF($B70="","",ROW()-4)</f>
        <v>66</v>
      </c>
      <c r="B70" s="26" t="n">
        <v>46112</v>
      </c>
      <c r="C70" s="24" t="s">
        <v>181</v>
      </c>
      <c r="D70" s="21" t="s">
        <v>357</v>
      </c>
      <c r="E70" s="21" t="s">
        <v>127</v>
      </c>
      <c r="F70" s="21" t="s">
        <v>110</v>
      </c>
      <c r="G70" s="21"/>
      <c r="H70" s="27" t="n">
        <v>3233.95</v>
      </c>
      <c r="I70" s="23" t="str">
        <f aca="false">IF($D70&lt;&gt;"销项开票","",IF($N70="一级",IF(IFERROR(INDEX(项目档案!$E$6:$E$255,MATCH($C70,项目档案!$A$6:$A$255,0)),"")="",N(IFERROR(INDEX(单位档案!$D$6:$D$35,MATCH($E70,单位档案!$A$6:$A$35,0)),"")),IFERROR(INDEX(项目档案!$E$6:$E$255,MATCH($C70,项目档案!$A$6:$A$255,0)),"")),IF($N70="二级",IF(IFERROR(INDEX(项目档案!$G$6:$G$255,MATCH($C70,项目档案!$A$6:$A$255,0)),"")="",N(IFERROR(INDEX(单位档案!$D$6:$D$35,MATCH($E70,单位档案!$A$6:$A$35,0)),"")),IFERROR(INDEX(项目档案!$G$6:$G$255,MATCH($C70,项目档案!$A$6:$A$255,0)),"")),N(IFERROR(INDEX(单位档案!$D$6:$D$35,MATCH($E70,单位档案!$A$6:$A$35,0)),"")))))</f>
        <v/>
      </c>
      <c r="J70" s="25" t="s">
        <v>382</v>
      </c>
      <c r="K70" s="22" t="s">
        <v>313</v>
      </c>
      <c r="L70" s="33" t="str">
        <f aca="false">IF($B70="","",IF(NOT(ISNUMBER($B70)),"日期格式不对",IF($C70="","未选项目编号",IF(LEFT($M70,1)="⚠","项目编号不存在",IF($D70="","未选业务类型",IF($E70="","未选开票/付款方",IF(ISNA(MATCH($E70,单位档案!$A$6:$A$35,0)),"开票方不在单位档案",IF($F70="","未选收票/收款方",IF(ISNA(MATCH($F70,单位档案!$A$6:$A$35,0)),"收款方不在单位档案",IF(NOT(ISNUMBER($H70)),"金额须为数字",IF(AND($D70="销项开票",$N70="—"),"链条待确认","√")))))))))))</f>
        <v>√</v>
      </c>
      <c r="M70" s="34" t="str">
        <f aca="false">IF($C70="","",IFERROR(INDEX(项目档案!$B$6:$B$255,MATCH($C70,项目档案!$A$6:$A$255,0)),"⚠项目编号不存在"))</f>
        <v>2025-2026年度工程用特种设备租赁服务框架采购、峰盛模具ZBW-250KVA箱变拆除工程（机械费）</v>
      </c>
      <c r="N70" s="35" t="str">
        <f aca="false">IF($E70="","",IF($E70=IFERROR(INDEX(项目档案!$D$6:$D$255,MATCH($C70,项目档案!$A$6:$A$255,0)),""),"一级",IF($E70=IFERROR(INDEX(项目档案!$F$6:$F$255,MATCH($C70,项目档案!$A$6:$A$255,0)),""),"二级",IF($E70=IFERROR(INDEX(项目档案!$H$6:$H$255,MATCH($C70,项目档案!$A$6:$A$255,0)),""),"我方","—"))))</f>
        <v>我方</v>
      </c>
      <c r="O70" s="36" t="n">
        <f aca="false">IF($D70&lt;&gt;"销项开票",0,ROUND(N($H70)*N($I70),2))</f>
        <v>0</v>
      </c>
      <c r="P70" s="36" t="n">
        <f aca="false">IF($D70&lt;&gt;"销项开票",0,ROUND(N($H70)-$O70,2))</f>
        <v>0</v>
      </c>
      <c r="Q70" s="37" t="n">
        <f aca="false">IF($E70="","",N(IFERROR(INDEX(单位档案!$E$6:$E$35,MATCH($E70,单位档案!$A$6:$A$35,0)),"")))</f>
        <v>0.03</v>
      </c>
      <c r="R70" s="37" t="n">
        <f aca="false">IF($E70="","",N(IFERROR(INDEX(单位档案!$F$6:$F$35,MATCH($E70,单位档案!$A$6:$A$35,0)),"")))</f>
        <v>0</v>
      </c>
      <c r="S70" s="36" t="n">
        <f aca="false">IF(OR($D70&lt;&gt;"销项开票",IFERROR(INDEX(单位档案!$G$6:$G$35,MATCH($E70,单位档案!$A$6:$A$35,0)),"")&lt;&gt;"是",N($Q70)=0),0,IF(IFERROR(INDEX(单位档案!$H$6:$H$35,MATCH($E70,单位档案!$A$6:$A$35,0)),"")="税差法",ROUND(N($H70)/(1+$Q70)*$Q70-IF(N($R70)=0,0,$P70/(1+$R70)*$R70),2),ROUND(N($H70)/(1+$Q70)*$Q70,2)))</f>
        <v>0</v>
      </c>
      <c r="T70" s="36" t="n">
        <f aca="false">ROUND($S70*N(IFERROR(INDEX(单位档案!$J$6:$J$35,MATCH($E70,单位档案!$A$6:$A$35,0)),"")),2)</f>
        <v>0</v>
      </c>
      <c r="U70" s="36" t="n">
        <f aca="false">IF($D70&lt;&gt;"销项开票",0,ROUND(N($H70)*N(IFERROR(INDEX(单位档案!$K$6:$K$35,MATCH($E70,单位档案!$A$6:$A$35,0)),"")),2))</f>
        <v>0</v>
      </c>
      <c r="V70" s="36" t="n">
        <f aca="false">IF(OR($D70&lt;&gt;"销项开票",N($Q70)=0),0,ROUND(N($H70)/(1+$Q70)*N(IFERROR(INDEX(单位档案!$L$6:$L$35,MATCH($E70,单位档案!$A$6:$A$35,0)),"")),2))</f>
        <v>0</v>
      </c>
      <c r="W70" s="36" t="n">
        <f aca="false">ROUND($S70+$T70+$U70+$V70,2)</f>
        <v>0</v>
      </c>
      <c r="X70" s="35" t="str">
        <f aca="false">IF(OR($D70="挂靠代收",$D70="我方收款"),COUNTIFS($D$5:$D70,"挂靠代收")+COUNTIFS($D$5:$D70,"我方收款"),"")</f>
        <v/>
      </c>
      <c r="Y70" s="35" t="s">
        <v>110</v>
      </c>
      <c r="Z70" s="21" t="s">
        <v>111</v>
      </c>
    </row>
    <row r="71" customFormat="false" ht="15.75" hidden="false" customHeight="true" outlineLevel="0" collapsed="false">
      <c r="A71" s="32" t="n">
        <f aca="false">IF($B71="","",ROW()-4)</f>
        <v>67</v>
      </c>
      <c r="B71" s="26" t="n">
        <v>46112</v>
      </c>
      <c r="C71" s="24" t="s">
        <v>181</v>
      </c>
      <c r="D71" s="21" t="s">
        <v>357</v>
      </c>
      <c r="E71" s="21" t="s">
        <v>127</v>
      </c>
      <c r="F71" s="21" t="s">
        <v>110</v>
      </c>
      <c r="G71" s="21"/>
      <c r="H71" s="27" t="n">
        <v>15507.84</v>
      </c>
      <c r="I71" s="23" t="str">
        <f aca="false">IF($D71&lt;&gt;"销项开票","",IF($N71="一级",IF(IFERROR(INDEX(项目档案!$E$6:$E$255,MATCH($C71,项目档案!$A$6:$A$255,0)),"")="",N(IFERROR(INDEX(单位档案!$D$6:$D$35,MATCH($E71,单位档案!$A$6:$A$35,0)),"")),IFERROR(INDEX(项目档案!$E$6:$E$255,MATCH($C71,项目档案!$A$6:$A$255,0)),"")),IF($N71="二级",IF(IFERROR(INDEX(项目档案!$G$6:$G$255,MATCH($C71,项目档案!$A$6:$A$255,0)),"")="",N(IFERROR(INDEX(单位档案!$D$6:$D$35,MATCH($E71,单位档案!$A$6:$A$35,0)),"")),IFERROR(INDEX(项目档案!$G$6:$G$255,MATCH($C71,项目档案!$A$6:$A$255,0)),"")),N(IFERROR(INDEX(单位档案!$D$6:$D$35,MATCH($E71,单位档案!$A$6:$A$35,0)),"")))))</f>
        <v/>
      </c>
      <c r="J71" s="25" t="s">
        <v>383</v>
      </c>
      <c r="K71" s="22" t="s">
        <v>313</v>
      </c>
      <c r="L71" s="33" t="str">
        <f aca="false">IF($B71="","",IF(NOT(ISNUMBER($B71)),"日期格式不对",IF($C71="","未选项目编号",IF(LEFT($M71,1)="⚠","项目编号不存在",IF($D71="","未选业务类型",IF($E71="","未选开票/付款方",IF(ISNA(MATCH($E71,单位档案!$A$6:$A$35,0)),"开票方不在单位档案",IF($F71="","未选收票/收款方",IF(ISNA(MATCH($F71,单位档案!$A$6:$A$35,0)),"收款方不在单位档案",IF(NOT(ISNUMBER($H71)),"金额须为数字",IF(AND($D71="销项开票",$N71="—"),"链条待确认","√")))))))))))</f>
        <v>√</v>
      </c>
      <c r="M71" s="34" t="str">
        <f aca="false">IF($C71="","",IFERROR(INDEX(项目档案!$B$6:$B$255,MATCH($C71,项目档案!$A$6:$A$255,0)),"⚠项目编号不存在"))</f>
        <v>2025-2026年度工程用特种设备租赁服务框架采购、峰盛模具ZBW-250KVA箱变拆除工程（机械费）</v>
      </c>
      <c r="N71" s="35" t="str">
        <f aca="false">IF($E71="","",IF($E71=IFERROR(INDEX(项目档案!$D$6:$D$255,MATCH($C71,项目档案!$A$6:$A$255,0)),""),"一级",IF($E71=IFERROR(INDEX(项目档案!$F$6:$F$255,MATCH($C71,项目档案!$A$6:$A$255,0)),""),"二级",IF($E71=IFERROR(INDEX(项目档案!$H$6:$H$255,MATCH($C71,项目档案!$A$6:$A$255,0)),""),"我方","—"))))</f>
        <v>我方</v>
      </c>
      <c r="O71" s="36" t="n">
        <f aca="false">IF($D71&lt;&gt;"销项开票",0,ROUND(N($H71)*N($I71),2))</f>
        <v>0</v>
      </c>
      <c r="P71" s="36" t="n">
        <f aca="false">IF($D71&lt;&gt;"销项开票",0,ROUND(N($H71)-$O71,2))</f>
        <v>0</v>
      </c>
      <c r="Q71" s="37" t="n">
        <f aca="false">IF($E71="","",N(IFERROR(INDEX(单位档案!$E$6:$E$35,MATCH($E71,单位档案!$A$6:$A$35,0)),"")))</f>
        <v>0.03</v>
      </c>
      <c r="R71" s="37" t="n">
        <f aca="false">IF($E71="","",N(IFERROR(INDEX(单位档案!$F$6:$F$35,MATCH($E71,单位档案!$A$6:$A$35,0)),"")))</f>
        <v>0</v>
      </c>
      <c r="S71" s="36" t="n">
        <f aca="false">IF(OR($D71&lt;&gt;"销项开票",IFERROR(INDEX(单位档案!$G$6:$G$35,MATCH($E71,单位档案!$A$6:$A$35,0)),"")&lt;&gt;"是",N($Q71)=0),0,IF(IFERROR(INDEX(单位档案!$H$6:$H$35,MATCH($E71,单位档案!$A$6:$A$35,0)),"")="税差法",ROUND(N($H71)/(1+$Q71)*$Q71-IF(N($R71)=0,0,$P71/(1+$R71)*$R71),2),ROUND(N($H71)/(1+$Q71)*$Q71,2)))</f>
        <v>0</v>
      </c>
      <c r="T71" s="36" t="n">
        <f aca="false">ROUND($S71*N(IFERROR(INDEX(单位档案!$J$6:$J$35,MATCH($E71,单位档案!$A$6:$A$35,0)),"")),2)</f>
        <v>0</v>
      </c>
      <c r="U71" s="36" t="n">
        <f aca="false">IF($D71&lt;&gt;"销项开票",0,ROUND(N($H71)*N(IFERROR(INDEX(单位档案!$K$6:$K$35,MATCH($E71,单位档案!$A$6:$A$35,0)),"")),2))</f>
        <v>0</v>
      </c>
      <c r="V71" s="36" t="n">
        <f aca="false">IF(OR($D71&lt;&gt;"销项开票",N($Q71)=0),0,ROUND(N($H71)/(1+$Q71)*N(IFERROR(INDEX(单位档案!$L$6:$L$35,MATCH($E71,单位档案!$A$6:$A$35,0)),"")),2))</f>
        <v>0</v>
      </c>
      <c r="W71" s="36" t="n">
        <f aca="false">ROUND($S71+$T71+$U71+$V71,2)</f>
        <v>0</v>
      </c>
      <c r="X71" s="35" t="str">
        <f aca="false">IF(OR($D71="挂靠代收",$D71="我方收款"),COUNTIFS($D$5:$D71,"挂靠代收")+COUNTIFS($D$5:$D71,"我方收款"),"")</f>
        <v/>
      </c>
      <c r="Y71" s="35" t="s">
        <v>110</v>
      </c>
      <c r="Z71" s="21" t="s">
        <v>111</v>
      </c>
    </row>
    <row r="72" customFormat="false" ht="15.75" hidden="false" customHeight="true" outlineLevel="0" collapsed="false">
      <c r="A72" s="32" t="n">
        <f aca="false">IF($B72="","",ROW()-4)</f>
        <v>68</v>
      </c>
      <c r="B72" s="26" t="n">
        <v>46112</v>
      </c>
      <c r="C72" s="24" t="s">
        <v>181</v>
      </c>
      <c r="D72" s="21" t="s">
        <v>357</v>
      </c>
      <c r="E72" s="21" t="s">
        <v>127</v>
      </c>
      <c r="F72" s="21" t="s">
        <v>110</v>
      </c>
      <c r="G72" s="21"/>
      <c r="H72" s="27" t="n">
        <v>1550.78</v>
      </c>
      <c r="I72" s="23" t="str">
        <f aca="false">IF($D72&lt;&gt;"销项开票","",IF($N72="一级",IF(IFERROR(INDEX(项目档案!$E$6:$E$255,MATCH($C72,项目档案!$A$6:$A$255,0)),"")="",N(IFERROR(INDEX(单位档案!$D$6:$D$35,MATCH($E72,单位档案!$A$6:$A$35,0)),"")),IFERROR(INDEX(项目档案!$E$6:$E$255,MATCH($C72,项目档案!$A$6:$A$255,0)),"")),IF($N72="二级",IF(IFERROR(INDEX(项目档案!$G$6:$G$255,MATCH($C72,项目档案!$A$6:$A$255,0)),"")="",N(IFERROR(INDEX(单位档案!$D$6:$D$35,MATCH($E72,单位档案!$A$6:$A$35,0)),"")),IFERROR(INDEX(项目档案!$G$6:$G$255,MATCH($C72,项目档案!$A$6:$A$255,0)),"")),N(IFERROR(INDEX(单位档案!$D$6:$D$35,MATCH($E72,单位档案!$A$6:$A$35,0)),"")))))</f>
        <v/>
      </c>
      <c r="J72" s="25" t="s">
        <v>384</v>
      </c>
      <c r="K72" s="22" t="s">
        <v>313</v>
      </c>
      <c r="L72" s="33" t="str">
        <f aca="false">IF($B72="","",IF(NOT(ISNUMBER($B72)),"日期格式不对",IF($C72="","未选项目编号",IF(LEFT($M72,1)="⚠","项目编号不存在",IF($D72="","未选业务类型",IF($E72="","未选开票/付款方",IF(ISNA(MATCH($E72,单位档案!$A$6:$A$35,0)),"开票方不在单位档案",IF($F72="","未选收票/收款方",IF(ISNA(MATCH($F72,单位档案!$A$6:$A$35,0)),"收款方不在单位档案",IF(NOT(ISNUMBER($H72)),"金额须为数字",IF(AND($D72="销项开票",$N72="—"),"链条待确认","√")))))))))))</f>
        <v>√</v>
      </c>
      <c r="M72" s="34" t="str">
        <f aca="false">IF($C72="","",IFERROR(INDEX(项目档案!$B$6:$B$255,MATCH($C72,项目档案!$A$6:$A$255,0)),"⚠项目编号不存在"))</f>
        <v>2025-2026年度工程用特种设备租赁服务框架采购、峰盛模具ZBW-250KVA箱变拆除工程（机械费）</v>
      </c>
      <c r="N72" s="35" t="str">
        <f aca="false">IF($E72="","",IF($E72=IFERROR(INDEX(项目档案!$D$6:$D$255,MATCH($C72,项目档案!$A$6:$A$255,0)),""),"一级",IF($E72=IFERROR(INDEX(项目档案!$F$6:$F$255,MATCH($C72,项目档案!$A$6:$A$255,0)),""),"二级",IF($E72=IFERROR(INDEX(项目档案!$H$6:$H$255,MATCH($C72,项目档案!$A$6:$A$255,0)),""),"我方","—"))))</f>
        <v>我方</v>
      </c>
      <c r="O72" s="36" t="n">
        <f aca="false">IF($D72&lt;&gt;"销项开票",0,ROUND(N($H72)*N($I72),2))</f>
        <v>0</v>
      </c>
      <c r="P72" s="36" t="n">
        <f aca="false">IF($D72&lt;&gt;"销项开票",0,ROUND(N($H72)-$O72,2))</f>
        <v>0</v>
      </c>
      <c r="Q72" s="37" t="n">
        <f aca="false">IF($E72="","",N(IFERROR(INDEX(单位档案!$E$6:$E$35,MATCH($E72,单位档案!$A$6:$A$35,0)),"")))</f>
        <v>0.03</v>
      </c>
      <c r="R72" s="37" t="n">
        <f aca="false">IF($E72="","",N(IFERROR(INDEX(单位档案!$F$6:$F$35,MATCH($E72,单位档案!$A$6:$A$35,0)),"")))</f>
        <v>0</v>
      </c>
      <c r="S72" s="36" t="n">
        <f aca="false">IF(OR($D72&lt;&gt;"销项开票",IFERROR(INDEX(单位档案!$G$6:$G$35,MATCH($E72,单位档案!$A$6:$A$35,0)),"")&lt;&gt;"是",N($Q72)=0),0,IF(IFERROR(INDEX(单位档案!$H$6:$H$35,MATCH($E72,单位档案!$A$6:$A$35,0)),"")="税差法",ROUND(N($H72)/(1+$Q72)*$Q72-IF(N($R72)=0,0,$P72/(1+$R72)*$R72),2),ROUND(N($H72)/(1+$Q72)*$Q72,2)))</f>
        <v>0</v>
      </c>
      <c r="T72" s="36" t="n">
        <f aca="false">ROUND($S72*N(IFERROR(INDEX(单位档案!$J$6:$J$35,MATCH($E72,单位档案!$A$6:$A$35,0)),"")),2)</f>
        <v>0</v>
      </c>
      <c r="U72" s="36" t="n">
        <f aca="false">IF($D72&lt;&gt;"销项开票",0,ROUND(N($H72)*N(IFERROR(INDEX(单位档案!$K$6:$K$35,MATCH($E72,单位档案!$A$6:$A$35,0)),"")),2))</f>
        <v>0</v>
      </c>
      <c r="V72" s="36" t="n">
        <f aca="false">IF(OR($D72&lt;&gt;"销项开票",N($Q72)=0),0,ROUND(N($H72)/(1+$Q72)*N(IFERROR(INDEX(单位档案!$L$6:$L$35,MATCH($E72,单位档案!$A$6:$A$35,0)),"")),2))</f>
        <v>0</v>
      </c>
      <c r="W72" s="36" t="n">
        <f aca="false">ROUND($S72+$T72+$U72+$V72,2)</f>
        <v>0</v>
      </c>
      <c r="X72" s="35" t="str">
        <f aca="false">IF(OR($D72="挂靠代收",$D72="我方收款"),COUNTIFS($D$5:$D72,"挂靠代收")+COUNTIFS($D$5:$D72,"我方收款"),"")</f>
        <v/>
      </c>
      <c r="Y72" s="35" t="s">
        <v>110</v>
      </c>
      <c r="Z72" s="21" t="s">
        <v>111</v>
      </c>
    </row>
    <row r="73" customFormat="false" ht="15.75" hidden="false" customHeight="true" outlineLevel="0" collapsed="false">
      <c r="A73" s="32" t="n">
        <f aca="false">IF($B73="","",ROW()-4)</f>
        <v>69</v>
      </c>
      <c r="B73" s="26" t="n">
        <v>46112</v>
      </c>
      <c r="C73" s="24" t="s">
        <v>181</v>
      </c>
      <c r="D73" s="21" t="s">
        <v>357</v>
      </c>
      <c r="E73" s="21" t="s">
        <v>127</v>
      </c>
      <c r="F73" s="21" t="s">
        <v>110</v>
      </c>
      <c r="G73" s="21"/>
      <c r="H73" s="27" t="n">
        <v>3101.57</v>
      </c>
      <c r="I73" s="23" t="str">
        <f aca="false">IF($D73&lt;&gt;"销项开票","",IF($N73="一级",IF(IFERROR(INDEX(项目档案!$E$6:$E$255,MATCH($C73,项目档案!$A$6:$A$255,0)),"")="",N(IFERROR(INDEX(单位档案!$D$6:$D$35,MATCH($E73,单位档案!$A$6:$A$35,0)),"")),IFERROR(INDEX(项目档案!$E$6:$E$255,MATCH($C73,项目档案!$A$6:$A$255,0)),"")),IF($N73="二级",IF(IFERROR(INDEX(项目档案!$G$6:$G$255,MATCH($C73,项目档案!$A$6:$A$255,0)),"")="",N(IFERROR(INDEX(单位档案!$D$6:$D$35,MATCH($E73,单位档案!$A$6:$A$35,0)),"")),IFERROR(INDEX(项目档案!$G$6:$G$255,MATCH($C73,项目档案!$A$6:$A$255,0)),"")),N(IFERROR(INDEX(单位档案!$D$6:$D$35,MATCH($E73,单位档案!$A$6:$A$35,0)),"")))))</f>
        <v/>
      </c>
      <c r="J73" s="25" t="s">
        <v>385</v>
      </c>
      <c r="K73" s="22" t="s">
        <v>313</v>
      </c>
      <c r="L73" s="33" t="str">
        <f aca="false">IF($B73="","",IF(NOT(ISNUMBER($B73)),"日期格式不对",IF($C73="","未选项目编号",IF(LEFT($M73,1)="⚠","项目编号不存在",IF($D73="","未选业务类型",IF($E73="","未选开票/付款方",IF(ISNA(MATCH($E73,单位档案!$A$6:$A$35,0)),"开票方不在单位档案",IF($F73="","未选收票/收款方",IF(ISNA(MATCH($F73,单位档案!$A$6:$A$35,0)),"收款方不在单位档案",IF(NOT(ISNUMBER($H73)),"金额须为数字",IF(AND($D73="销项开票",$N73="—"),"链条待确认","√")))))))))))</f>
        <v>√</v>
      </c>
      <c r="M73" s="34" t="str">
        <f aca="false">IF($C73="","",IFERROR(INDEX(项目档案!$B$6:$B$255,MATCH($C73,项目档案!$A$6:$A$255,0)),"⚠项目编号不存在"))</f>
        <v>2025-2026年度工程用特种设备租赁服务框架采购、峰盛模具ZBW-250KVA箱变拆除工程（机械费）</v>
      </c>
      <c r="N73" s="35" t="str">
        <f aca="false">IF($E73="","",IF($E73=IFERROR(INDEX(项目档案!$D$6:$D$255,MATCH($C73,项目档案!$A$6:$A$255,0)),""),"一级",IF($E73=IFERROR(INDEX(项目档案!$F$6:$F$255,MATCH($C73,项目档案!$A$6:$A$255,0)),""),"二级",IF($E73=IFERROR(INDEX(项目档案!$H$6:$H$255,MATCH($C73,项目档案!$A$6:$A$255,0)),""),"我方","—"))))</f>
        <v>我方</v>
      </c>
      <c r="O73" s="36" t="n">
        <f aca="false">IF($D73&lt;&gt;"销项开票",0,ROUND(N($H73)*N($I73),2))</f>
        <v>0</v>
      </c>
      <c r="P73" s="36" t="n">
        <f aca="false">IF($D73&lt;&gt;"销项开票",0,ROUND(N($H73)-$O73,2))</f>
        <v>0</v>
      </c>
      <c r="Q73" s="37" t="n">
        <f aca="false">IF($E73="","",N(IFERROR(INDEX(单位档案!$E$6:$E$35,MATCH($E73,单位档案!$A$6:$A$35,0)),"")))</f>
        <v>0.03</v>
      </c>
      <c r="R73" s="37" t="n">
        <f aca="false">IF($E73="","",N(IFERROR(INDEX(单位档案!$F$6:$F$35,MATCH($E73,单位档案!$A$6:$A$35,0)),"")))</f>
        <v>0</v>
      </c>
      <c r="S73" s="36" t="n">
        <f aca="false">IF(OR($D73&lt;&gt;"销项开票",IFERROR(INDEX(单位档案!$G$6:$G$35,MATCH($E73,单位档案!$A$6:$A$35,0)),"")&lt;&gt;"是",N($Q73)=0),0,IF(IFERROR(INDEX(单位档案!$H$6:$H$35,MATCH($E73,单位档案!$A$6:$A$35,0)),"")="税差法",ROUND(N($H73)/(1+$Q73)*$Q73-IF(N($R73)=0,0,$P73/(1+$R73)*$R73),2),ROUND(N($H73)/(1+$Q73)*$Q73,2)))</f>
        <v>0</v>
      </c>
      <c r="T73" s="36" t="n">
        <f aca="false">ROUND($S73*N(IFERROR(INDEX(单位档案!$J$6:$J$35,MATCH($E73,单位档案!$A$6:$A$35,0)),"")),2)</f>
        <v>0</v>
      </c>
      <c r="U73" s="36" t="n">
        <f aca="false">IF($D73&lt;&gt;"销项开票",0,ROUND(N($H73)*N(IFERROR(INDEX(单位档案!$K$6:$K$35,MATCH($E73,单位档案!$A$6:$A$35,0)),"")),2))</f>
        <v>0</v>
      </c>
      <c r="V73" s="36" t="n">
        <f aca="false">IF(OR($D73&lt;&gt;"销项开票",N($Q73)=0),0,ROUND(N($H73)/(1+$Q73)*N(IFERROR(INDEX(单位档案!$L$6:$L$35,MATCH($E73,单位档案!$A$6:$A$35,0)),"")),2))</f>
        <v>0</v>
      </c>
      <c r="W73" s="36" t="n">
        <f aca="false">ROUND($S73+$T73+$U73+$V73,2)</f>
        <v>0</v>
      </c>
      <c r="X73" s="35" t="str">
        <f aca="false">IF(OR($D73="挂靠代收",$D73="我方收款"),COUNTIFS($D$5:$D73,"挂靠代收")+COUNTIFS($D$5:$D73,"我方收款"),"")</f>
        <v/>
      </c>
      <c r="Y73" s="35" t="s">
        <v>110</v>
      </c>
      <c r="Z73" s="21" t="s">
        <v>111</v>
      </c>
    </row>
    <row r="74" customFormat="false" ht="15.75" hidden="false" customHeight="true" outlineLevel="0" collapsed="false">
      <c r="A74" s="32" t="n">
        <f aca="false">IF($B74="","",ROW()-4)</f>
        <v>70</v>
      </c>
      <c r="B74" s="26" t="n">
        <v>46113</v>
      </c>
      <c r="C74" s="24" t="s">
        <v>165</v>
      </c>
      <c r="D74" s="21" t="s">
        <v>307</v>
      </c>
      <c r="E74" s="21" t="s">
        <v>117</v>
      </c>
      <c r="F74" s="21" t="s">
        <v>117</v>
      </c>
      <c r="G74" s="21" t="s">
        <v>386</v>
      </c>
      <c r="H74" s="27" t="n">
        <v>45640.85</v>
      </c>
      <c r="I74" s="23" t="n">
        <f aca="false">IF($D74&lt;&gt;"销项开票","",IF($N74="一级",IF(IFERROR(INDEX(项目档案!$E$6:$E$255,MATCH($C74,项目档案!$A$6:$A$255,0)),"")="",N(IFERROR(INDEX(单位档案!$D$6:$D$35,MATCH($E74,单位档案!$A$6:$A$35,0)),"")),IFERROR(INDEX(项目档案!$E$6:$E$255,MATCH($C74,项目档案!$A$6:$A$255,0)),"")),IF($N74="二级",IF(IFERROR(INDEX(项目档案!$G$6:$G$255,MATCH($C74,项目档案!$A$6:$A$255,0)),"")="",N(IFERROR(INDEX(单位档案!$D$6:$D$35,MATCH($E74,单位档案!$A$6:$A$35,0)),"")),IFERROR(INDEX(项目档案!$G$6:$G$255,MATCH($C74,项目档案!$A$6:$A$255,0)),"")),N(IFERROR(INDEX(单位档案!$D$6:$D$35,MATCH($E74,单位档案!$A$6:$A$35,0)),"")))))</f>
        <v>0.02</v>
      </c>
      <c r="J74" s="25" t="s">
        <v>387</v>
      </c>
      <c r="K74" s="22" t="s">
        <v>313</v>
      </c>
      <c r="L74" s="33" t="str">
        <f aca="false">IF($B74="","",IF(NOT(ISNUMBER($B74)),"日期格式不对",IF($C74="","未选项目编号",IF(LEFT($M74,1)="⚠","项目编号不存在",IF($D74="","未选业务类型",IF($E74="","未选开票/付款方",IF(ISNA(MATCH($E74,单位档案!$A$6:$A$35,0)),"开票方不在单位档案",IF($F74="","未选收票/收款方",IF(ISNA(MATCH($F74,单位档案!$A$6:$A$35,0)),"收款方不在单位档案",IF(NOT(ISNUMBER($H74)),"金额须为数字",IF(AND($D74="销项开票",$N74="—"),"链条待确认","√")))))))))))</f>
        <v>√</v>
      </c>
      <c r="M74" s="34" t="str">
        <f aca="false">IF($C74="","",IFERROR(INDEX(项目档案!$B$6:$B$255,MATCH($C74,项目档案!$A$6:$A$255,0)),"⚠项目编号不存在"))</f>
        <v>重庆铜梁10kV平凉线惠丰9社等4个台区重过载治理工程</v>
      </c>
      <c r="N74" s="35" t="str">
        <f aca="false">IF($E74="","",IF($E74=IFERROR(INDEX(项目档案!$D$6:$D$255,MATCH($C74,项目档案!$A$6:$A$255,0)),""),"一级",IF($E74=IFERROR(INDEX(项目档案!$F$6:$F$255,MATCH($C74,项目档案!$A$6:$A$255,0)),""),"二级",IF($E74=IFERROR(INDEX(项目档案!$H$6:$H$255,MATCH($C74,项目档案!$A$6:$A$255,0)),""),"我方","—"))))</f>
        <v>一级</v>
      </c>
      <c r="O74" s="36" t="n">
        <f aca="false">IF($D74&lt;&gt;"销项开票",0,ROUND(N($H74)*N($I74),2))</f>
        <v>912.82</v>
      </c>
      <c r="P74" s="36" t="n">
        <f aca="false">IF($D74&lt;&gt;"销项开票",0,ROUND(N($H74)-$O74,2))</f>
        <v>44728.03</v>
      </c>
      <c r="Q74" s="37" t="n">
        <f aca="false">IF($E74="","",N(IFERROR(INDEX(单位档案!$E$6:$E$35,MATCH($E74,单位档案!$A$6:$A$35,0)),"")))</f>
        <v>0.03</v>
      </c>
      <c r="R74" s="37" t="n">
        <f aca="false">IF($E74="","",N(IFERROR(INDEX(单位档案!$F$6:$F$35,MATCH($E74,单位档案!$A$6:$A$35,0)),"")))</f>
        <v>0.03</v>
      </c>
      <c r="S74" s="36" t="n">
        <f aca="false">IF(OR($D74&lt;&gt;"销项开票",IFERROR(INDEX(单位档案!$G$6:$G$35,MATCH($E74,单位档案!$A$6:$A$35,0)),"")&lt;&gt;"是",N($Q74)=0),0,IF(IFERROR(INDEX(单位档案!$H$6:$H$35,MATCH($E74,单位档案!$A$6:$A$35,0)),"")="税差法",ROUND(N($H74)/(1+$Q74)*$Q74-IF(N($R74)=0,0,$P74/(1+$R74)*$R74),2),ROUND(N($H74)/(1+$Q74)*$Q74,2)))</f>
        <v>1329.35</v>
      </c>
      <c r="T74" s="36" t="n">
        <f aca="false">ROUND($S74*N(IFERROR(INDEX(单位档案!$J$6:$J$35,MATCH($E74,单位档案!$A$6:$A$35,0)),"")),2)</f>
        <v>79.76</v>
      </c>
      <c r="U74" s="36" t="n">
        <f aca="false">IF($D74&lt;&gt;"销项开票",0,ROUND(N($H74)*N(IFERROR(INDEX(单位档案!$K$6:$K$35,MATCH($E74,单位档案!$A$6:$A$35,0)),"")),2))</f>
        <v>0</v>
      </c>
      <c r="V74" s="36" t="n">
        <f aca="false">IF(OR($D74&lt;&gt;"销项开票",N($Q74)=0),0,ROUND(N($H74)/(1+$Q74)*N(IFERROR(INDEX(单位档案!$L$6:$L$35,MATCH($E74,单位档案!$A$6:$A$35,0)),"")),2))</f>
        <v>88.62</v>
      </c>
      <c r="W74" s="36" t="n">
        <f aca="false">ROUND($S74+$T74+$U74+$V74,2)</f>
        <v>1497.73</v>
      </c>
      <c r="X74" s="35" t="str">
        <f aca="false">IF(OR($D74="挂靠代收",$D74="我方收款"),COUNTIFS($D$5:$D74,"挂靠代收")+COUNTIFS($D$5:$D74,"我方收款"),"")</f>
        <v/>
      </c>
      <c r="Y74" s="35" t="s">
        <v>117</v>
      </c>
      <c r="Z74" s="21" t="s">
        <v>111</v>
      </c>
    </row>
    <row r="75" customFormat="false" ht="15.75" hidden="false" customHeight="true" outlineLevel="0" collapsed="false">
      <c r="A75" s="32" t="n">
        <f aca="false">IF($B75="","",ROW()-4)</f>
        <v>71</v>
      </c>
      <c r="B75" s="26" t="n">
        <v>46128</v>
      </c>
      <c r="C75" s="24" t="s">
        <v>183</v>
      </c>
      <c r="D75" s="21" t="s">
        <v>307</v>
      </c>
      <c r="E75" s="21" t="s">
        <v>121</v>
      </c>
      <c r="F75" s="21" t="s">
        <v>106</v>
      </c>
      <c r="G75" s="24" t="s">
        <v>308</v>
      </c>
      <c r="H75" s="27" t="n">
        <v>5330.51</v>
      </c>
      <c r="I75" s="23" t="n">
        <f aca="false">IF($D75&lt;&gt;"销项开票","",IF($N75="一级",IF(IFERROR(INDEX(项目档案!$E$6:$E$255,MATCH($C75,项目档案!$A$6:$A$255,0)),"")="",N(IFERROR(INDEX(单位档案!$D$6:$D$35,MATCH($E75,单位档案!$A$6:$A$35,0)),"")),IFERROR(INDEX(项目档案!$E$6:$E$255,MATCH($C75,项目档案!$A$6:$A$255,0)),"")),IF($N75="二级",IF(IFERROR(INDEX(项目档案!$G$6:$G$255,MATCH($C75,项目档案!$A$6:$A$255,0)),"")="",N(IFERROR(INDEX(单位档案!$D$6:$D$35,MATCH($E75,单位档案!$A$6:$A$35,0)),"")),IFERROR(INDEX(项目档案!$G$6:$G$255,MATCH($C75,项目档案!$A$6:$A$255,0)),"")),N(IFERROR(INDEX(单位档案!$D$6:$D$35,MATCH($E75,单位档案!$A$6:$A$35,0)),"")))))</f>
        <v>0.02</v>
      </c>
      <c r="J75" s="25" t="s">
        <v>388</v>
      </c>
      <c r="K75" s="22" t="s">
        <v>389</v>
      </c>
      <c r="L75" s="33" t="str">
        <f aca="false">IF($B75="","",IF(NOT(ISNUMBER($B75)),"日期格式不对",IF($C75="","未选项目编号",IF(LEFT($M75,1)="⚠","项目编号不存在",IF($D75="","未选业务类型",IF($E75="","未选开票/付款方",IF(ISNA(MATCH($E75,单位档案!$A$6:$A$35,0)),"开票方不在单位档案",IF($F75="","未选收票/收款方",IF(ISNA(MATCH($F75,单位档案!$A$6:$A$35,0)),"收款方不在单位档案",IF(NOT(ISNUMBER($H75)),"金额须为数字",IF(AND($D75="销项开票",$N75="—"),"链条待确认","√")))))))))))</f>
        <v>链条待确认</v>
      </c>
      <c r="M75" s="34" t="str">
        <f aca="false">IF($C75="","",IFERROR(INDEX(项目档案!$B$6:$B$255,MATCH($C75,项目档案!$A$6:$A$255,0)),"⚠项目编号不存在"))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75" s="35" t="str">
        <f aca="false">IF($E75="","",IF($E75=IFERROR(INDEX(项目档案!$D$6:$D$255,MATCH($C75,项目档案!$A$6:$A$255,0)),""),"一级",IF($E75=IFERROR(INDEX(项目档案!$F$6:$F$255,MATCH($C75,项目档案!$A$6:$A$255,0)),""),"二级",IF($E75=IFERROR(INDEX(项目档案!$H$6:$H$255,MATCH($C75,项目档案!$A$6:$A$255,0)),""),"我方","—"))))</f>
        <v>—</v>
      </c>
      <c r="O75" s="36" t="n">
        <f aca="false">IF($D75&lt;&gt;"销项开票",0,ROUND(N($H75)*N($I75),2))</f>
        <v>106.61</v>
      </c>
      <c r="P75" s="36" t="n">
        <f aca="false">IF($D75&lt;&gt;"销项开票",0,ROUND(N($H75)-$O75,2))</f>
        <v>5223.9</v>
      </c>
      <c r="Q75" s="37" t="n">
        <f aca="false">IF($E75="","",N(IFERROR(INDEX(单位档案!$E$6:$E$35,MATCH($E75,单位档案!$A$6:$A$35,0)),"")))</f>
        <v>0.13</v>
      </c>
      <c r="R75" s="37" t="n">
        <f aca="false">IF($E75="","",N(IFERROR(INDEX(单位档案!$F$6:$F$35,MATCH($E75,单位档案!$A$6:$A$35,0)),"")))</f>
        <v>0.13</v>
      </c>
      <c r="S75" s="36" t="n">
        <f aca="false">IF(OR($D75&lt;&gt;"销项开票",IFERROR(INDEX(单位档案!$G$6:$G$35,MATCH($E75,单位档案!$A$6:$A$35,0)),"")&lt;&gt;"是",N($Q75)=0),0,IF(IFERROR(INDEX(单位档案!$H$6:$H$35,MATCH($E75,单位档案!$A$6:$A$35,0)),"")="税差法",ROUND(N($H75)/(1+$Q75)*$Q75-IF(N($R75)=0,0,$P75/(1+$R75)*$R75),2),ROUND(N($H75)/(1+$Q75)*$Q75,2)))</f>
        <v>12.26</v>
      </c>
      <c r="T75" s="36" t="n">
        <f aca="false">ROUND($S75*N(IFERROR(INDEX(单位档案!$J$6:$J$35,MATCH($E75,单位档案!$A$6:$A$35,0)),"")),2)</f>
        <v>0.74</v>
      </c>
      <c r="U75" s="36" t="n">
        <f aca="false">IF($D75&lt;&gt;"销项开票",0,ROUND(N($H75)*N(IFERROR(INDEX(单位档案!$K$6:$K$35,MATCH($E75,单位档案!$A$6:$A$35,0)),"")),2))</f>
        <v>0</v>
      </c>
      <c r="V75" s="36" t="n">
        <f aca="false">IF(OR($D75&lt;&gt;"销项开票",N($Q75)=0),0,ROUND(N($H75)/(1+$Q75)*N(IFERROR(INDEX(单位档案!$L$6:$L$35,MATCH($E75,单位档案!$A$6:$A$35,0)),"")),2))</f>
        <v>0</v>
      </c>
      <c r="W75" s="36" t="n">
        <f aca="false">ROUND($S75+$T75+$U75+$V75,2)</f>
        <v>13</v>
      </c>
      <c r="X75" s="35" t="str">
        <f aca="false">IF(OR($D75="挂靠代收",$D75="我方收款"),COUNTIFS($D$5:$D75,"挂靠代收")+COUNTIFS($D$5:$D75,"我方收款"),"")</f>
        <v/>
      </c>
      <c r="Y75" s="35" t="s">
        <v>121</v>
      </c>
      <c r="Z75" s="21" t="s">
        <v>100</v>
      </c>
    </row>
    <row r="76" customFormat="false" ht="15.75" hidden="false" customHeight="true" outlineLevel="0" collapsed="false">
      <c r="A76" s="32" t="n">
        <f aca="false">IF($B76="","",ROW()-4)</f>
        <v>72</v>
      </c>
      <c r="B76" s="26" t="n">
        <v>46128</v>
      </c>
      <c r="C76" s="24" t="s">
        <v>181</v>
      </c>
      <c r="D76" s="21" t="s">
        <v>357</v>
      </c>
      <c r="E76" s="21" t="s">
        <v>127</v>
      </c>
      <c r="F76" s="21" t="s">
        <v>110</v>
      </c>
      <c r="G76" s="21"/>
      <c r="H76" s="27" t="n">
        <v>3101.57</v>
      </c>
      <c r="I76" s="23" t="str">
        <f aca="false">IF($D76&lt;&gt;"销项开票","",IF($N76="一级",IF(IFERROR(INDEX(项目档案!$E$6:$E$255,MATCH($C76,项目档案!$A$6:$A$255,0)),"")="",N(IFERROR(INDEX(单位档案!$D$6:$D$35,MATCH($E76,单位档案!$A$6:$A$35,0)),"")),IFERROR(INDEX(项目档案!$E$6:$E$255,MATCH($C76,项目档案!$A$6:$A$255,0)),"")),IF($N76="二级",IF(IFERROR(INDEX(项目档案!$G$6:$G$255,MATCH($C76,项目档案!$A$6:$A$255,0)),"")="",N(IFERROR(INDEX(单位档案!$D$6:$D$35,MATCH($E76,单位档案!$A$6:$A$35,0)),"")),IFERROR(INDEX(项目档案!$G$6:$G$255,MATCH($C76,项目档案!$A$6:$A$255,0)),"")),N(IFERROR(INDEX(单位档案!$D$6:$D$35,MATCH($E76,单位档案!$A$6:$A$35,0)),"")))))</f>
        <v/>
      </c>
      <c r="J76" s="25" t="s">
        <v>390</v>
      </c>
      <c r="K76" s="22" t="s">
        <v>313</v>
      </c>
      <c r="L76" s="33" t="str">
        <f aca="false">IF($B76="","",IF(NOT(ISNUMBER($B76)),"日期格式不对",IF($C76="","未选项目编号",IF(LEFT($M76,1)="⚠","项目编号不存在",IF($D76="","未选业务类型",IF($E76="","未选开票/付款方",IF(ISNA(MATCH($E76,单位档案!$A$6:$A$35,0)),"开票方不在单位档案",IF($F76="","未选收票/收款方",IF(ISNA(MATCH($F76,单位档案!$A$6:$A$35,0)),"收款方不在单位档案",IF(NOT(ISNUMBER($H76)),"金额须为数字",IF(AND($D76="销项开票",$N76="—"),"链条待确认","√")))))))))))</f>
        <v>√</v>
      </c>
      <c r="M76" s="34" t="str">
        <f aca="false">IF($C76="","",IFERROR(INDEX(项目档案!$B$6:$B$255,MATCH($C76,项目档案!$A$6:$A$255,0)),"⚠项目编号不存在"))</f>
        <v>2025-2026年度工程用特种设备租赁服务框架采购、峰盛模具ZBW-250KVA箱变拆除工程（机械费）</v>
      </c>
      <c r="N76" s="35" t="str">
        <f aca="false">IF($E76="","",IF($E76=IFERROR(INDEX(项目档案!$D$6:$D$255,MATCH($C76,项目档案!$A$6:$A$255,0)),""),"一级",IF($E76=IFERROR(INDEX(项目档案!$F$6:$F$255,MATCH($C76,项目档案!$A$6:$A$255,0)),""),"二级",IF($E76=IFERROR(INDEX(项目档案!$H$6:$H$255,MATCH($C76,项目档案!$A$6:$A$255,0)),""),"我方","—"))))</f>
        <v>我方</v>
      </c>
      <c r="O76" s="36" t="n">
        <f aca="false">IF($D76&lt;&gt;"销项开票",0,ROUND(N($H76)*N($I76),2))</f>
        <v>0</v>
      </c>
      <c r="P76" s="36" t="n">
        <f aca="false">IF($D76&lt;&gt;"销项开票",0,ROUND(N($H76)-$O76,2))</f>
        <v>0</v>
      </c>
      <c r="Q76" s="37" t="n">
        <f aca="false">IF($E76="","",N(IFERROR(INDEX(单位档案!$E$6:$E$35,MATCH($E76,单位档案!$A$6:$A$35,0)),"")))</f>
        <v>0.03</v>
      </c>
      <c r="R76" s="37" t="n">
        <f aca="false">IF($E76="","",N(IFERROR(INDEX(单位档案!$F$6:$F$35,MATCH($E76,单位档案!$A$6:$A$35,0)),"")))</f>
        <v>0</v>
      </c>
      <c r="S76" s="36" t="n">
        <f aca="false">IF(OR($D76&lt;&gt;"销项开票",IFERROR(INDEX(单位档案!$G$6:$G$35,MATCH($E76,单位档案!$A$6:$A$35,0)),"")&lt;&gt;"是",N($Q76)=0),0,IF(IFERROR(INDEX(单位档案!$H$6:$H$35,MATCH($E76,单位档案!$A$6:$A$35,0)),"")="税差法",ROUND(N($H76)/(1+$Q76)*$Q76-IF(N($R76)=0,0,$P76/(1+$R76)*$R76),2),ROUND(N($H76)/(1+$Q76)*$Q76,2)))</f>
        <v>0</v>
      </c>
      <c r="T76" s="36" t="n">
        <f aca="false">ROUND($S76*N(IFERROR(INDEX(单位档案!$J$6:$J$35,MATCH($E76,单位档案!$A$6:$A$35,0)),"")),2)</f>
        <v>0</v>
      </c>
      <c r="U76" s="36" t="n">
        <f aca="false">IF($D76&lt;&gt;"销项开票",0,ROUND(N($H76)*N(IFERROR(INDEX(单位档案!$K$6:$K$35,MATCH($E76,单位档案!$A$6:$A$35,0)),"")),2))</f>
        <v>0</v>
      </c>
      <c r="V76" s="36" t="n">
        <f aca="false">IF(OR($D76&lt;&gt;"销项开票",N($Q76)=0),0,ROUND(N($H76)/(1+$Q76)*N(IFERROR(INDEX(单位档案!$L$6:$L$35,MATCH($E76,单位档案!$A$6:$A$35,0)),"")),2))</f>
        <v>0</v>
      </c>
      <c r="W76" s="36" t="n">
        <f aca="false">ROUND($S76+$T76+$U76+$V76,2)</f>
        <v>0</v>
      </c>
      <c r="X76" s="35" t="str">
        <f aca="false">IF(OR($D76="挂靠代收",$D76="我方收款"),COUNTIFS($D$5:$D76,"挂靠代收")+COUNTIFS($D$5:$D76,"我方收款"),"")</f>
        <v/>
      </c>
      <c r="Y76" s="35" t="s">
        <v>110</v>
      </c>
      <c r="Z76" s="21" t="s">
        <v>111</v>
      </c>
    </row>
    <row r="77" customFormat="false" ht="15.75" hidden="false" customHeight="true" outlineLevel="0" collapsed="false">
      <c r="A77" s="32" t="n">
        <f aca="false">IF($B77="","",ROW()-4)</f>
        <v>73</v>
      </c>
      <c r="B77" s="26" t="n">
        <v>46128</v>
      </c>
      <c r="C77" s="24" t="s">
        <v>185</v>
      </c>
      <c r="D77" s="21" t="s">
        <v>307</v>
      </c>
      <c r="E77" s="21" t="s">
        <v>110</v>
      </c>
      <c r="F77" s="21" t="s">
        <v>97</v>
      </c>
      <c r="G77" s="21" t="s">
        <v>354</v>
      </c>
      <c r="H77" s="27" t="n">
        <v>3309.6</v>
      </c>
      <c r="I77" s="23" t="n">
        <v>0.039999</v>
      </c>
      <c r="J77" s="25" t="s">
        <v>391</v>
      </c>
      <c r="K77" s="22" t="s">
        <v>313</v>
      </c>
      <c r="L77" s="33" t="str">
        <f aca="false">IF($B77="","",IF(NOT(ISNUMBER($B77)),"日期格式不对",IF($C77="","未选项目编号",IF(LEFT($M77,1)="⚠","项目编号不存在",IF($D77="","未选业务类型",IF($E77="","未选开票/付款方",IF(ISNA(MATCH($E77,单位档案!$A$6:$A$35,0)),"开票方不在单位档案",IF($F77="","未选收票/收款方",IF(ISNA(MATCH($F77,单位档案!$A$6:$A$35,0)),"收款方不在单位档案",IF(NOT(ISNUMBER($H77)),"金额须为数字",IF(AND($D77="销项开票",$N77="—"),"链条待确认","√")))))))))))</f>
        <v>链条待确认</v>
      </c>
      <c r="M77" s="34" t="str">
        <f aca="false">IF($C77="","",IFERROR(INDEX(项目档案!$B$6:$B$255,MATCH($C77,项目档案!$A$6:$A$255,0)),"⚠项目编号不存在"))</f>
        <v>重庆德誉佳实业有限公司2025-2026年度工程用特种设备租赁服务框架采购-铜梁公司2025年成本类优化营商环境项目（平滩所何银强等5个低压业扩工程）</v>
      </c>
      <c r="N77" s="35" t="str">
        <f aca="false">IF($E77="","",IF($E77=IFERROR(INDEX(项目档案!$D$6:$D$255,MATCH($C77,项目档案!$A$6:$A$255,0)),""),"一级",IF($E77=IFERROR(INDEX(项目档案!$F$6:$F$255,MATCH($C77,项目档案!$A$6:$A$255,0)),""),"二级",IF($E77=IFERROR(INDEX(项目档案!$H$6:$H$255,MATCH($C77,项目档案!$A$6:$A$255,0)),""),"我方","—"))))</f>
        <v>—</v>
      </c>
      <c r="O77" s="36" t="n">
        <f aca="false">IF($D77&lt;&gt;"销项开票",0,ROUND(N($H77)*N($I77),2))</f>
        <v>132.38</v>
      </c>
      <c r="P77" s="36" t="n">
        <f aca="false">IF($D77&lt;&gt;"销项开票",0,ROUND(N($H77)-$O77,2))</f>
        <v>3177.22</v>
      </c>
      <c r="Q77" s="37" t="n">
        <f aca="false">IF($E77="","",N(IFERROR(INDEX(单位档案!$E$6:$E$35,MATCH($E77,单位档案!$A$6:$A$35,0)),"")))</f>
        <v>0.09</v>
      </c>
      <c r="R77" s="37" t="n">
        <f aca="false">IF($E77="","",N(IFERROR(INDEX(单位档案!$F$6:$F$35,MATCH($E77,单位档案!$A$6:$A$35,0)),"")))</f>
        <v>0.03</v>
      </c>
      <c r="S77" s="36" t="n">
        <f aca="false">IF(OR($D77&lt;&gt;"销项开票",IFERROR(INDEX(单位档案!$G$6:$G$35,MATCH($E77,单位档案!$A$6:$A$35,0)),"")&lt;&gt;"是",N($Q77)=0),0,IF(IFERROR(INDEX(单位档案!$H$6:$H$35,MATCH($E77,单位档案!$A$6:$A$35,0)),"")="税差法",ROUND(N($H77)/(1+$Q77)*$Q77-IF(N($R77)=0,0,$P77/(1+$R77)*$R77),2),ROUND(N($H77)/(1+$Q77)*$Q77,2)))</f>
        <v>180.73</v>
      </c>
      <c r="T77" s="36" t="n">
        <f aca="false">ROUND($S77*N(IFERROR(INDEX(单位档案!$J$6:$J$35,MATCH($E77,单位档案!$A$6:$A$35,0)),"")),2)</f>
        <v>21.69</v>
      </c>
      <c r="U77" s="36" t="n">
        <f aca="false">IF($D77&lt;&gt;"销项开票",0,ROUND(N($H77)*N(IFERROR(INDEX(单位档案!$K$6:$K$35,MATCH($E77,单位档案!$A$6:$A$35,0)),"")),2))</f>
        <v>1.95</v>
      </c>
      <c r="V77" s="36" t="n">
        <f aca="false">IF(OR($D77&lt;&gt;"销项开票",N($Q77)=0),0,ROUND(N($H77)/(1+$Q77)*N(IFERROR(INDEX(单位档案!$L$6:$L$35,MATCH($E77,单位档案!$A$6:$A$35,0)),"")),2))</f>
        <v>0</v>
      </c>
      <c r="W77" s="36" t="n">
        <f aca="false">ROUND($S77+$T77+$U77+$V77,2)</f>
        <v>204.37</v>
      </c>
      <c r="X77" s="35" t="str">
        <f aca="false">IF(OR($D77="挂靠代收",$D77="我方收款"),COUNTIFS($D$5:$D77,"挂靠代收")+COUNTIFS($D$5:$D77,"我方收款"),"")</f>
        <v/>
      </c>
      <c r="Y77" s="35" t="s">
        <v>110</v>
      </c>
      <c r="Z77" s="21" t="s">
        <v>111</v>
      </c>
    </row>
    <row r="78" customFormat="false" ht="15.75" hidden="false" customHeight="true" outlineLevel="0" collapsed="false">
      <c r="A78" s="32" t="n">
        <f aca="false">IF($B78="","",ROW()-4)</f>
        <v>74</v>
      </c>
      <c r="B78" s="26" t="n">
        <v>46128</v>
      </c>
      <c r="C78" s="24" t="s">
        <v>185</v>
      </c>
      <c r="D78" s="21" t="s">
        <v>11</v>
      </c>
      <c r="E78" s="21" t="s">
        <v>110</v>
      </c>
      <c r="F78" s="21" t="s">
        <v>134</v>
      </c>
      <c r="G78" s="21"/>
      <c r="H78" s="27" t="n">
        <v>204.36</v>
      </c>
      <c r="I78" s="23" t="str">
        <f aca="false">IF($D78&lt;&gt;"销项开票","",IF($N78="一级",IF(IFERROR(INDEX(项目档案!$E$6:$E$255,MATCH($C78,项目档案!$A$6:$A$255,0)),"")="",N(IFERROR(INDEX(单位档案!$D$6:$D$35,MATCH($E78,单位档案!$A$6:$A$35,0)),"")),IFERROR(INDEX(项目档案!$E$6:$E$255,MATCH($C78,项目档案!$A$6:$A$255,0)),"")),IF($N78="二级",IF(IFERROR(INDEX(项目档案!$G$6:$G$255,MATCH($C78,项目档案!$A$6:$A$255,0)),"")="",N(IFERROR(INDEX(单位档案!$D$6:$D$35,MATCH($E78,单位档案!$A$6:$A$35,0)),"")),IFERROR(INDEX(项目档案!$G$6:$G$255,MATCH($C78,项目档案!$A$6:$A$255,0)),"")),N(IFERROR(INDEX(单位档案!$D$6:$D$35,MATCH($E78,单位档案!$A$6:$A$35,0)),"")))))</f>
        <v/>
      </c>
      <c r="J78" s="25" t="s">
        <v>392</v>
      </c>
      <c r="K78" s="22" t="s">
        <v>313</v>
      </c>
      <c r="L78" s="33" t="str">
        <f aca="false">IF($B78="","",IF(NOT(ISNUMBER($B78)),"日期格式不对",IF($C78="","未选项目编号",IF(LEFT($M78,1)="⚠","项目编号不存在",IF($D78="","未选业务类型",IF($E78="","未选开票/付款方",IF(ISNA(MATCH($E78,单位档案!$A$6:$A$35,0)),"开票方不在单位档案",IF($F78="","未选收票/收款方",IF(ISNA(MATCH($F78,单位档案!$A$6:$A$35,0)),"收款方不在单位档案",IF(NOT(ISNUMBER($H78)),"金额须为数字",IF(AND($D78="销项开票",$N78="—"),"链条待确认","√")))))))))))</f>
        <v>√</v>
      </c>
      <c r="M78" s="34" t="str">
        <f aca="false">IF($C78="","",IFERROR(INDEX(项目档案!$B$6:$B$255,MATCH($C78,项目档案!$A$6:$A$255,0)),"⚠项目编号不存在"))</f>
        <v>重庆德誉佳实业有限公司2025-2026年度工程用特种设备租赁服务框架采购-铜梁公司2025年成本类优化营商环境项目（平滩所何银强等5个低压业扩工程）</v>
      </c>
      <c r="N78" s="35" t="str">
        <f aca="false">IF($E78="","",IF($E78=IFERROR(INDEX(项目档案!$D$6:$D$255,MATCH($C78,项目档案!$A$6:$A$255,0)),""),"一级",IF($E78=IFERROR(INDEX(项目档案!$F$6:$F$255,MATCH($C78,项目档案!$A$6:$A$255,0)),""),"二级",IF($E78=IFERROR(INDEX(项目档案!$H$6:$H$255,MATCH($C78,项目档案!$A$6:$A$255,0)),""),"我方","—"))))</f>
        <v>—</v>
      </c>
      <c r="O78" s="36" t="n">
        <f aca="false">IF($D78&lt;&gt;"销项开票",0,ROUND(N($H78)*N($I78),2))</f>
        <v>0</v>
      </c>
      <c r="P78" s="36" t="n">
        <f aca="false">IF($D78&lt;&gt;"销项开票",0,ROUND(N($H78)-$O78,2))</f>
        <v>0</v>
      </c>
      <c r="Q78" s="37" t="n">
        <f aca="false">IF($E78="","",N(IFERROR(INDEX(单位档案!$E$6:$E$35,MATCH($E78,单位档案!$A$6:$A$35,0)),"")))</f>
        <v>0.09</v>
      </c>
      <c r="R78" s="37" t="n">
        <f aca="false">IF($E78="","",N(IFERROR(INDEX(单位档案!$F$6:$F$35,MATCH($E78,单位档案!$A$6:$A$35,0)),"")))</f>
        <v>0.03</v>
      </c>
      <c r="S78" s="36" t="n">
        <f aca="false">IF(OR($D78&lt;&gt;"销项开票",IFERROR(INDEX(单位档案!$G$6:$G$35,MATCH($E78,单位档案!$A$6:$A$35,0)),"")&lt;&gt;"是",N($Q78)=0),0,IF(IFERROR(INDEX(单位档案!$H$6:$H$35,MATCH($E78,单位档案!$A$6:$A$35,0)),"")="税差法",ROUND(N($H78)/(1+$Q78)*$Q78-IF(N($R78)=0,0,$P78/(1+$R78)*$R78),2),ROUND(N($H78)/(1+$Q78)*$Q78,2)))</f>
        <v>0</v>
      </c>
      <c r="T78" s="36" t="n">
        <f aca="false">ROUND($S78*N(IFERROR(INDEX(单位档案!$J$6:$J$35,MATCH($E78,单位档案!$A$6:$A$35,0)),"")),2)</f>
        <v>0</v>
      </c>
      <c r="U78" s="36" t="n">
        <f aca="false">IF($D78&lt;&gt;"销项开票",0,ROUND(N($H78)*N(IFERROR(INDEX(单位档案!$K$6:$K$35,MATCH($E78,单位档案!$A$6:$A$35,0)),"")),2))</f>
        <v>0</v>
      </c>
      <c r="V78" s="36" t="n">
        <f aca="false">IF(OR($D78&lt;&gt;"销项开票",N($Q78)=0),0,ROUND(N($H78)/(1+$Q78)*N(IFERROR(INDEX(单位档案!$L$6:$L$35,MATCH($E78,单位档案!$A$6:$A$35,0)),"")),2))</f>
        <v>0</v>
      </c>
      <c r="W78" s="36" t="n">
        <f aca="false">ROUND($S78+$T78+$U78+$V78,2)</f>
        <v>0</v>
      </c>
      <c r="X78" s="35" t="str">
        <f aca="false">IF(OR($D78="挂靠代收",$D78="我方收款"),COUNTIFS($D$5:$D78,"挂靠代收")+COUNTIFS($D$5:$D78,"我方收款"),"")</f>
        <v/>
      </c>
      <c r="Y78" s="35" t="s">
        <v>110</v>
      </c>
      <c r="Z78" s="21" t="s">
        <v>111</v>
      </c>
    </row>
    <row r="79" customFormat="false" ht="15.75" hidden="false" customHeight="true" outlineLevel="0" collapsed="false">
      <c r="A79" s="32" t="n">
        <f aca="false">IF($B79="","",ROW()-4)</f>
        <v>75</v>
      </c>
      <c r="B79" s="26" t="n">
        <v>46128</v>
      </c>
      <c r="C79" s="24" t="s">
        <v>185</v>
      </c>
      <c r="D79" s="21" t="s">
        <v>357</v>
      </c>
      <c r="E79" s="21" t="s">
        <v>127</v>
      </c>
      <c r="F79" s="21" t="s">
        <v>110</v>
      </c>
      <c r="G79" s="21" t="s">
        <v>358</v>
      </c>
      <c r="H79" s="27" t="n">
        <v>3177.22</v>
      </c>
      <c r="I79" s="23" t="str">
        <f aca="false">IF($D79&lt;&gt;"销项开票","",IF($N79="一级",IF(IFERROR(INDEX(项目档案!$E$6:$E$255,MATCH($C79,项目档案!$A$6:$A$255,0)),"")="",N(IFERROR(INDEX(单位档案!$D$6:$D$35,MATCH($E79,单位档案!$A$6:$A$35,0)),"")),IFERROR(INDEX(项目档案!$E$6:$E$255,MATCH($C79,项目档案!$A$6:$A$255,0)),"")),IF($N79="二级",IF(IFERROR(INDEX(项目档案!$G$6:$G$255,MATCH($C79,项目档案!$A$6:$A$255,0)),"")="",N(IFERROR(INDEX(单位档案!$D$6:$D$35,MATCH($E79,单位档案!$A$6:$A$35,0)),"")),IFERROR(INDEX(项目档案!$G$6:$G$255,MATCH($C79,项目档案!$A$6:$A$255,0)),"")),N(IFERROR(INDEX(单位档案!$D$6:$D$35,MATCH($E79,单位档案!$A$6:$A$35,0)),"")))))</f>
        <v/>
      </c>
      <c r="J79" s="25" t="s">
        <v>393</v>
      </c>
      <c r="K79" s="22" t="s">
        <v>313</v>
      </c>
      <c r="L79" s="33" t="str">
        <f aca="false">IF($B79="","",IF(NOT(ISNUMBER($B79)),"日期格式不对",IF($C79="","未选项目编号",IF(LEFT($M79,1)="⚠","项目编号不存在",IF($D79="","未选业务类型",IF($E79="","未选开票/付款方",IF(ISNA(MATCH($E79,单位档案!$A$6:$A$35,0)),"开票方不在单位档案",IF($F79="","未选收票/收款方",IF(ISNA(MATCH($F79,单位档案!$A$6:$A$35,0)),"收款方不在单位档案",IF(NOT(ISNUMBER($H79)),"金额须为数字",IF(AND($D79="销项开票",$N79="—"),"链条待确认","√")))))))))))</f>
        <v>√</v>
      </c>
      <c r="M79" s="34" t="str">
        <f aca="false">IF($C79="","",IFERROR(INDEX(项目档案!$B$6:$B$255,MATCH($C79,项目档案!$A$6:$A$255,0)),"⚠项目编号不存在"))</f>
        <v>重庆德誉佳实业有限公司2025-2026年度工程用特种设备租赁服务框架采购-铜梁公司2025年成本类优化营商环境项目（平滩所何银强等5个低压业扩工程）</v>
      </c>
      <c r="N79" s="35" t="str">
        <f aca="false">IF($E79="","",IF($E79=IFERROR(INDEX(项目档案!$D$6:$D$255,MATCH($C79,项目档案!$A$6:$A$255,0)),""),"一级",IF($E79=IFERROR(INDEX(项目档案!$F$6:$F$255,MATCH($C79,项目档案!$A$6:$A$255,0)),""),"二级",IF($E79=IFERROR(INDEX(项目档案!$H$6:$H$255,MATCH($C79,项目档案!$A$6:$A$255,0)),""),"我方","—"))))</f>
        <v>我方</v>
      </c>
      <c r="O79" s="36" t="n">
        <f aca="false">IF($D79&lt;&gt;"销项开票",0,ROUND(N($H79)*N($I79),2))</f>
        <v>0</v>
      </c>
      <c r="P79" s="36" t="n">
        <f aca="false">IF($D79&lt;&gt;"销项开票",0,ROUND(N($H79)-$O79,2))</f>
        <v>0</v>
      </c>
      <c r="Q79" s="37" t="n">
        <f aca="false">IF($E79="","",N(IFERROR(INDEX(单位档案!$E$6:$E$35,MATCH($E79,单位档案!$A$6:$A$35,0)),"")))</f>
        <v>0.03</v>
      </c>
      <c r="R79" s="37" t="n">
        <f aca="false">IF($E79="","",N(IFERROR(INDEX(单位档案!$F$6:$F$35,MATCH($E79,单位档案!$A$6:$A$35,0)),"")))</f>
        <v>0</v>
      </c>
      <c r="S79" s="36" t="n">
        <f aca="false">IF(OR($D79&lt;&gt;"销项开票",IFERROR(INDEX(单位档案!$G$6:$G$35,MATCH($E79,单位档案!$A$6:$A$35,0)),"")&lt;&gt;"是",N($Q79)=0),0,IF(IFERROR(INDEX(单位档案!$H$6:$H$35,MATCH($E79,单位档案!$A$6:$A$35,0)),"")="税差法",ROUND(N($H79)/(1+$Q79)*$Q79-IF(N($R79)=0,0,$P79/(1+$R79)*$R79),2),ROUND(N($H79)/(1+$Q79)*$Q79,2)))</f>
        <v>0</v>
      </c>
      <c r="T79" s="36" t="n">
        <f aca="false">ROUND($S79*N(IFERROR(INDEX(单位档案!$J$6:$J$35,MATCH($E79,单位档案!$A$6:$A$35,0)),"")),2)</f>
        <v>0</v>
      </c>
      <c r="U79" s="36" t="n">
        <f aca="false">IF($D79&lt;&gt;"销项开票",0,ROUND(N($H79)*N(IFERROR(INDEX(单位档案!$K$6:$K$35,MATCH($E79,单位档案!$A$6:$A$35,0)),"")),2))</f>
        <v>0</v>
      </c>
      <c r="V79" s="36" t="n">
        <f aca="false">IF(OR($D79&lt;&gt;"销项开票",N($Q79)=0),0,ROUND(N($H79)/(1+$Q79)*N(IFERROR(INDEX(单位档案!$L$6:$L$35,MATCH($E79,单位档案!$A$6:$A$35,0)),"")),2))</f>
        <v>0</v>
      </c>
      <c r="W79" s="36" t="n">
        <f aca="false">ROUND($S79+$T79+$U79+$V79,2)</f>
        <v>0</v>
      </c>
      <c r="X79" s="35" t="str">
        <f aca="false">IF(OR($D79="挂靠代收",$D79="我方收款"),COUNTIFS($D$5:$D79,"挂靠代收")+COUNTIFS($D$5:$D79,"我方收款"),"")</f>
        <v/>
      </c>
      <c r="Y79" s="35" t="s">
        <v>110</v>
      </c>
      <c r="Z79" s="21" t="s">
        <v>111</v>
      </c>
    </row>
    <row r="80" customFormat="false" ht="15.75" hidden="false" customHeight="true" outlineLevel="0" collapsed="false">
      <c r="A80" s="32" t="n">
        <f aca="false">IF($B80="","",ROW()-4)</f>
        <v>76</v>
      </c>
      <c r="B80" s="26" t="n">
        <v>46128</v>
      </c>
      <c r="C80" s="24" t="s">
        <v>185</v>
      </c>
      <c r="D80" s="21" t="s">
        <v>314</v>
      </c>
      <c r="E80" s="21" t="s">
        <v>127</v>
      </c>
      <c r="F80" s="21" t="s">
        <v>110</v>
      </c>
      <c r="G80" s="21" t="s">
        <v>358</v>
      </c>
      <c r="H80" s="27" t="n">
        <v>132.38</v>
      </c>
      <c r="I80" s="23" t="str">
        <f aca="false">IF($D80&lt;&gt;"销项开票","",IF($N80="一级",IF(IFERROR(INDEX(项目档案!$E$6:$E$255,MATCH($C80,项目档案!$A$6:$A$255,0)),"")="",N(IFERROR(INDEX(单位档案!$D$6:$D$35,MATCH($E80,单位档案!$A$6:$A$35,0)),"")),IFERROR(INDEX(项目档案!$E$6:$E$255,MATCH($C80,项目档案!$A$6:$A$255,0)),"")),IF($N80="二级",IF(IFERROR(INDEX(项目档案!$G$6:$G$255,MATCH($C80,项目档案!$A$6:$A$255,0)),"")="",N(IFERROR(INDEX(单位档案!$D$6:$D$35,MATCH($E80,单位档案!$A$6:$A$35,0)),"")),IFERROR(INDEX(项目档案!$G$6:$G$255,MATCH($C80,项目档案!$A$6:$A$255,0)),"")),N(IFERROR(INDEX(单位档案!$D$6:$D$35,MATCH($E80,单位档案!$A$6:$A$35,0)),"")))))</f>
        <v/>
      </c>
      <c r="J80" s="25" t="s">
        <v>393</v>
      </c>
      <c r="K80" s="22" t="s">
        <v>313</v>
      </c>
      <c r="L80" s="33" t="str">
        <f aca="false">IF($B80="","",IF(NOT(ISNUMBER($B80)),"日期格式不对",IF($C80="","未选项目编号",IF(LEFT($M80,1)="⚠","项目编号不存在",IF($D80="","未选业务类型",IF($E80="","未选开票/付款方",IF(ISNA(MATCH($E80,单位档案!$A$6:$A$35,0)),"开票方不在单位档案",IF($F80="","未选收票/收款方",IF(ISNA(MATCH($F80,单位档案!$A$6:$A$35,0)),"收款方不在单位档案",IF(NOT(ISNUMBER($H80)),"金额须为数字",IF(AND($D80="销项开票",$N80="—"),"链条待确认","√")))))))))))</f>
        <v>√</v>
      </c>
      <c r="M80" s="34" t="str">
        <f aca="false">IF($C80="","",IFERROR(INDEX(项目档案!$B$6:$B$255,MATCH($C80,项目档案!$A$6:$A$255,0)),"⚠项目编号不存在"))</f>
        <v>重庆德誉佳实业有限公司2025-2026年度工程用特种设备租赁服务框架采购-铜梁公司2025年成本类优化营商环境项目（平滩所何银强等5个低压业扩工程）</v>
      </c>
      <c r="N80" s="35" t="str">
        <f aca="false">IF($E80="","",IF($E80=IFERROR(INDEX(项目档案!$D$6:$D$255,MATCH($C80,项目档案!$A$6:$A$255,0)),""),"一级",IF($E80=IFERROR(INDEX(项目档案!$F$6:$F$255,MATCH($C80,项目档案!$A$6:$A$255,0)),""),"二级",IF($E80=IFERROR(INDEX(项目档案!$H$6:$H$255,MATCH($C80,项目档案!$A$6:$A$255,0)),""),"我方","—"))))</f>
        <v>我方</v>
      </c>
      <c r="O80" s="36" t="n">
        <f aca="false">IF($D80&lt;&gt;"销项开票",0,ROUND(N($H80)*N($I80),2))</f>
        <v>0</v>
      </c>
      <c r="P80" s="36" t="n">
        <f aca="false">IF($D80&lt;&gt;"销项开票",0,ROUND(N($H80)-$O80,2))</f>
        <v>0</v>
      </c>
      <c r="Q80" s="37" t="n">
        <f aca="false">IF($E80="","",N(IFERROR(INDEX(单位档案!$E$6:$E$35,MATCH($E80,单位档案!$A$6:$A$35,0)),"")))</f>
        <v>0.03</v>
      </c>
      <c r="R80" s="37" t="n">
        <f aca="false">IF($E80="","",N(IFERROR(INDEX(单位档案!$F$6:$F$35,MATCH($E80,单位档案!$A$6:$A$35,0)),"")))</f>
        <v>0</v>
      </c>
      <c r="S80" s="36" t="n">
        <f aca="false">IF(OR($D80&lt;&gt;"销项开票",IFERROR(INDEX(单位档案!$G$6:$G$35,MATCH($E80,单位档案!$A$6:$A$35,0)),"")&lt;&gt;"是",N($Q80)=0),0,IF(IFERROR(INDEX(单位档案!$H$6:$H$35,MATCH($E80,单位档案!$A$6:$A$35,0)),"")="税差法",ROUND(N($H80)/(1+$Q80)*$Q80-IF(N($R80)=0,0,$P80/(1+$R80)*$R80),2),ROUND(N($H80)/(1+$Q80)*$Q80,2)))</f>
        <v>0</v>
      </c>
      <c r="T80" s="36" t="n">
        <f aca="false">ROUND($S80*N(IFERROR(INDEX(单位档案!$J$6:$J$35,MATCH($E80,单位档案!$A$6:$A$35,0)),"")),2)</f>
        <v>0</v>
      </c>
      <c r="U80" s="36" t="n">
        <f aca="false">IF($D80&lt;&gt;"销项开票",0,ROUND(N($H80)*N(IFERROR(INDEX(单位档案!$K$6:$K$35,MATCH($E80,单位档案!$A$6:$A$35,0)),"")),2))</f>
        <v>0</v>
      </c>
      <c r="V80" s="36" t="n">
        <f aca="false">IF(OR($D80&lt;&gt;"销项开票",N($Q80)=0),0,ROUND(N($H80)/(1+$Q80)*N(IFERROR(INDEX(单位档案!$L$6:$L$35,MATCH($E80,单位档案!$A$6:$A$35,0)),"")),2))</f>
        <v>0</v>
      </c>
      <c r="W80" s="36" t="n">
        <f aca="false">ROUND($S80+$T80+$U80+$V80,2)</f>
        <v>0</v>
      </c>
      <c r="X80" s="35" t="str">
        <f aca="false">IF(OR($D80="挂靠代收",$D80="我方收款"),COUNTIFS($D$5:$D80,"挂靠代收")+COUNTIFS($D$5:$D80,"我方收款"),"")</f>
        <v/>
      </c>
      <c r="Y80" s="35" t="s">
        <v>110</v>
      </c>
      <c r="Z80" s="21" t="s">
        <v>111</v>
      </c>
    </row>
    <row r="81" customFormat="false" ht="15.75" hidden="false" customHeight="true" outlineLevel="0" collapsed="false">
      <c r="A81" s="32" t="n">
        <f aca="false">IF($B81="","",ROW()-4)</f>
        <v>77</v>
      </c>
      <c r="B81" s="26" t="n">
        <v>46128</v>
      </c>
      <c r="C81" s="24" t="s">
        <v>183</v>
      </c>
      <c r="D81" s="21" t="s">
        <v>307</v>
      </c>
      <c r="E81" s="21" t="s">
        <v>119</v>
      </c>
      <c r="F81" s="21" t="s">
        <v>97</v>
      </c>
      <c r="G81" s="24" t="s">
        <v>394</v>
      </c>
      <c r="H81" s="27" t="n">
        <v>17380.98</v>
      </c>
      <c r="I81" s="23" t="n">
        <v>0.03</v>
      </c>
      <c r="J81" s="25" t="s">
        <v>395</v>
      </c>
      <c r="K81" s="22" t="s">
        <v>313</v>
      </c>
      <c r="L81" s="33" t="str">
        <f aca="false">IF($B81="","",IF(NOT(ISNUMBER($B81)),"日期格式不对",IF($C81="","未选项目编号",IF(LEFT($M81,1)="⚠","项目编号不存在",IF($D81="","未选业务类型",IF($E81="","未选开票/付款方",IF(ISNA(MATCH($E81,单位档案!$A$6:$A$35,0)),"开票方不在单位档案",IF($F81="","未选收票/收款方",IF(ISNA(MATCH($F81,单位档案!$A$6:$A$35,0)),"收款方不在单位档案",IF(NOT(ISNUMBER($H81)),"金额须为数字",IF(AND($D81="销项开票",$N81="—"),"链条待确认","√")))))))))))</f>
        <v>√</v>
      </c>
      <c r="M81" s="34" t="str">
        <f aca="false">IF($C81="","",IFERROR(INDEX(项目档案!$B$6:$B$255,MATCH($C81,项目档案!$A$6:$A$255,0)),"⚠项目编号不存在"))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81" s="35" t="str">
        <f aca="false">IF($E81="","",IF($E81=IFERROR(INDEX(项目档案!$D$6:$D$255,MATCH($C81,项目档案!$A$6:$A$255,0)),""),"一级",IF($E81=IFERROR(INDEX(项目档案!$F$6:$F$255,MATCH($C81,项目档案!$A$6:$A$255,0)),""),"二级",IF($E81=IFERROR(INDEX(项目档案!$H$6:$H$255,MATCH($C81,项目档案!$A$6:$A$255,0)),""),"我方","—"))))</f>
        <v>一级</v>
      </c>
      <c r="O81" s="36" t="n">
        <f aca="false">IF($D81&lt;&gt;"销项开票",0,ROUND(N($H81)*N($I81),2))</f>
        <v>521.43</v>
      </c>
      <c r="P81" s="36" t="n">
        <f aca="false">IF($D81&lt;&gt;"销项开票",0,ROUND(N($H81)-$O81,2))</f>
        <v>16859.55</v>
      </c>
      <c r="Q81" s="37" t="n">
        <f aca="false">IF($E81="","",N(IFERROR(INDEX(单位档案!$E$6:$E$35,MATCH($E81,单位档案!$A$6:$A$35,0)),"")))</f>
        <v>0.09</v>
      </c>
      <c r="R81" s="37" t="n">
        <f aca="false">IF($E81="","",N(IFERROR(INDEX(单位档案!$F$6:$F$35,MATCH($E81,单位档案!$A$6:$A$35,0)),"")))</f>
        <v>0.03</v>
      </c>
      <c r="S81" s="36" t="n">
        <f aca="false">IF(OR($D81&lt;&gt;"销项开票",IFERROR(INDEX(单位档案!$G$6:$G$35,MATCH($E81,单位档案!$A$6:$A$35,0)),"")&lt;&gt;"是",N($Q81)=0),0,IF(IFERROR(INDEX(单位档案!$H$6:$H$35,MATCH($E81,单位档案!$A$6:$A$35,0)),"")="税差法",ROUND(N($H81)/(1+$Q81)*$Q81-IF(N($R81)=0,0,$P81/(1+$R81)*$R81),2),ROUND(N($H81)/(1+$Q81)*$Q81,2)))</f>
        <v>944.07</v>
      </c>
      <c r="T81" s="36" t="n">
        <f aca="false">ROUND($S81*N(IFERROR(INDEX(单位档案!$J$6:$J$35,MATCH($E81,单位档案!$A$6:$A$35,0)),"")),2)</f>
        <v>113.29</v>
      </c>
      <c r="U81" s="36" t="n">
        <f aca="false">IF($D81&lt;&gt;"销项开票",0,ROUND(N($H81)*N(IFERROR(INDEX(单位档案!$K$6:$K$35,MATCH($E81,单位档案!$A$6:$A$35,0)),"")),2))</f>
        <v>10.43</v>
      </c>
      <c r="V81" s="36" t="n">
        <f aca="false">IF(OR($D81&lt;&gt;"销项开票",N($Q81)=0),0,ROUND(N($H81)/(1+$Q81)*N(IFERROR(INDEX(单位档案!$L$6:$L$35,MATCH($E81,单位档案!$A$6:$A$35,0)),"")),2))</f>
        <v>0</v>
      </c>
      <c r="W81" s="36" t="n">
        <f aca="false">ROUND($S81+$T81+$U81+$V81,2)</f>
        <v>1067.79</v>
      </c>
      <c r="X81" s="35" t="str">
        <f aca="false">IF(OR($D81="挂靠代收",$D81="我方收款"),COUNTIFS($D$5:$D81,"挂靠代收")+COUNTIFS($D$5:$D81,"我方收款"),"")</f>
        <v/>
      </c>
      <c r="Y81" s="35" t="s">
        <v>119</v>
      </c>
      <c r="Z81" s="21" t="s">
        <v>111</v>
      </c>
    </row>
    <row r="82" customFormat="false" ht="15.75" hidden="false" customHeight="true" outlineLevel="0" collapsed="false">
      <c r="A82" s="32" t="n">
        <f aca="false">IF($B82="","",ROW()-4)</f>
        <v>78</v>
      </c>
      <c r="B82" s="26" t="n">
        <v>46128</v>
      </c>
      <c r="C82" s="24" t="s">
        <v>183</v>
      </c>
      <c r="D82" s="21" t="s">
        <v>314</v>
      </c>
      <c r="E82" s="21" t="s">
        <v>127</v>
      </c>
      <c r="F82" s="21" t="s">
        <v>119</v>
      </c>
      <c r="G82" s="24" t="s">
        <v>394</v>
      </c>
      <c r="H82" s="27" t="n">
        <v>521.43</v>
      </c>
      <c r="I82" s="23" t="str">
        <f aca="false">IF($D82&lt;&gt;"销项开票","",IF($N82="一级",IF(IFERROR(INDEX(项目档案!$E$6:$E$255,MATCH($C82,项目档案!$A$6:$A$255,0)),"")="",N(IFERROR(INDEX(单位档案!$D$6:$D$35,MATCH($E82,单位档案!$A$6:$A$35,0)),"")),IFERROR(INDEX(项目档案!$E$6:$E$255,MATCH($C82,项目档案!$A$6:$A$255,0)),"")),IF($N82="二级",IF(IFERROR(INDEX(项目档案!$G$6:$G$255,MATCH($C82,项目档案!$A$6:$A$255,0)),"")="",N(IFERROR(INDEX(单位档案!$D$6:$D$35,MATCH($E82,单位档案!$A$6:$A$35,0)),"")),IFERROR(INDEX(项目档案!$G$6:$G$255,MATCH($C82,项目档案!$A$6:$A$255,0)),"")),N(IFERROR(INDEX(单位档案!$D$6:$D$35,MATCH($E82,单位档案!$A$6:$A$35,0)),"")))))</f>
        <v/>
      </c>
      <c r="J82" s="25" t="s">
        <v>395</v>
      </c>
      <c r="K82" s="22" t="s">
        <v>313</v>
      </c>
      <c r="L82" s="33" t="str">
        <f aca="false">IF($B82="","",IF(NOT(ISNUMBER($B82)),"日期格式不对",IF($C82="","未选项目编号",IF(LEFT($M82,1)="⚠","项目编号不存在",IF($D82="","未选业务类型",IF($E82="","未选开票/付款方",IF(ISNA(MATCH($E82,单位档案!$A$6:$A$35,0)),"开票方不在单位档案",IF($F82="","未选收票/收款方",IF(ISNA(MATCH($F82,单位档案!$A$6:$A$35,0)),"收款方不在单位档案",IF(NOT(ISNUMBER($H82)),"金额须为数字",IF(AND($D82="销项开票",$N82="—"),"链条待确认","√")))))))))))</f>
        <v>√</v>
      </c>
      <c r="M82" s="34" t="str">
        <f aca="false">IF($C82="","",IFERROR(INDEX(项目档案!$B$6:$B$255,MATCH($C82,项目档案!$A$6:$A$255,0)),"⚠项目编号不存在"))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82" s="35" t="str">
        <f aca="false">IF($E82="","",IF($E82=IFERROR(INDEX(项目档案!$D$6:$D$255,MATCH($C82,项目档案!$A$6:$A$255,0)),""),"一级",IF($E82=IFERROR(INDEX(项目档案!$F$6:$F$255,MATCH($C82,项目档案!$A$6:$A$255,0)),""),"二级",IF($E82=IFERROR(INDEX(项目档案!$H$6:$H$255,MATCH($C82,项目档案!$A$6:$A$255,0)),""),"我方","—"))))</f>
        <v>我方</v>
      </c>
      <c r="O82" s="36" t="n">
        <f aca="false">IF($D82&lt;&gt;"销项开票",0,ROUND(N($H82)*N($I82),2))</f>
        <v>0</v>
      </c>
      <c r="P82" s="36" t="n">
        <f aca="false">IF($D82&lt;&gt;"销项开票",0,ROUND(N($H82)-$O82,2))</f>
        <v>0</v>
      </c>
      <c r="Q82" s="37" t="n">
        <f aca="false">IF($E82="","",N(IFERROR(INDEX(单位档案!$E$6:$E$35,MATCH($E82,单位档案!$A$6:$A$35,0)),"")))</f>
        <v>0.03</v>
      </c>
      <c r="R82" s="37" t="n">
        <f aca="false">IF($E82="","",N(IFERROR(INDEX(单位档案!$F$6:$F$35,MATCH($E82,单位档案!$A$6:$A$35,0)),"")))</f>
        <v>0</v>
      </c>
      <c r="S82" s="36" t="n">
        <f aca="false">IF(OR($D82&lt;&gt;"销项开票",IFERROR(INDEX(单位档案!$G$6:$G$35,MATCH($E82,单位档案!$A$6:$A$35,0)),"")&lt;&gt;"是",N($Q82)=0),0,IF(IFERROR(INDEX(单位档案!$H$6:$H$35,MATCH($E82,单位档案!$A$6:$A$35,0)),"")="税差法",ROUND(N($H82)/(1+$Q82)*$Q82-IF(N($R82)=0,0,$P82/(1+$R82)*$R82),2),ROUND(N($H82)/(1+$Q82)*$Q82,2)))</f>
        <v>0</v>
      </c>
      <c r="T82" s="36" t="n">
        <f aca="false">ROUND($S82*N(IFERROR(INDEX(单位档案!$J$6:$J$35,MATCH($E82,单位档案!$A$6:$A$35,0)),"")),2)</f>
        <v>0</v>
      </c>
      <c r="U82" s="36" t="n">
        <f aca="false">IF($D82&lt;&gt;"销项开票",0,ROUND(N($H82)*N(IFERROR(INDEX(单位档案!$K$6:$K$35,MATCH($E82,单位档案!$A$6:$A$35,0)),"")),2))</f>
        <v>0</v>
      </c>
      <c r="V82" s="36" t="n">
        <f aca="false">IF(OR($D82&lt;&gt;"销项开票",N($Q82)=0),0,ROUND(N($H82)/(1+$Q82)*N(IFERROR(INDEX(单位档案!$L$6:$L$35,MATCH($E82,单位档案!$A$6:$A$35,0)),"")),2))</f>
        <v>0</v>
      </c>
      <c r="W82" s="36" t="n">
        <f aca="false">ROUND($S82+$T82+$U82+$V82,2)</f>
        <v>0</v>
      </c>
      <c r="X82" s="35" t="str">
        <f aca="false">IF(OR($D82="挂靠代收",$D82="我方收款"),COUNTIFS($D$5:$D82,"挂靠代收")+COUNTIFS($D$5:$D82,"我方收款"),"")</f>
        <v/>
      </c>
      <c r="Y82" s="35" t="s">
        <v>119</v>
      </c>
      <c r="Z82" s="21" t="s">
        <v>111</v>
      </c>
    </row>
    <row r="83" customFormat="false" ht="15.75" hidden="false" customHeight="true" outlineLevel="0" collapsed="false">
      <c r="A83" s="32" t="n">
        <f aca="false">IF($B83="","",ROW()-4)</f>
        <v>79</v>
      </c>
      <c r="B83" s="26" t="n">
        <v>46128</v>
      </c>
      <c r="C83" s="24" t="s">
        <v>183</v>
      </c>
      <c r="D83" s="21" t="s">
        <v>396</v>
      </c>
      <c r="E83" s="21" t="s">
        <v>119</v>
      </c>
      <c r="F83" s="21" t="s">
        <v>127</v>
      </c>
      <c r="G83" s="24" t="s">
        <v>394</v>
      </c>
      <c r="H83" s="27" t="n">
        <v>521.43</v>
      </c>
      <c r="I83" s="23" t="str">
        <f aca="false">IF($D83&lt;&gt;"销项开票","",IF($N83="一级",IF(IFERROR(INDEX(项目档案!$E$6:$E$255,MATCH($C83,项目档案!$A$6:$A$255,0)),"")="",N(IFERROR(INDEX(单位档案!$D$6:$D$35,MATCH($E83,单位档案!$A$6:$A$35,0)),"")),IFERROR(INDEX(项目档案!$E$6:$E$255,MATCH($C83,项目档案!$A$6:$A$255,0)),"")),IF($N83="二级",IF(IFERROR(INDEX(项目档案!$G$6:$G$255,MATCH($C83,项目档案!$A$6:$A$255,0)),"")="",N(IFERROR(INDEX(单位档案!$D$6:$D$35,MATCH($E83,单位档案!$A$6:$A$35,0)),"")),IFERROR(INDEX(项目档案!$G$6:$G$255,MATCH($C83,项目档案!$A$6:$A$255,0)),"")),N(IFERROR(INDEX(单位档案!$D$6:$D$35,MATCH($E83,单位档案!$A$6:$A$35,0)),"")))))</f>
        <v/>
      </c>
      <c r="J83" s="25" t="s">
        <v>395</v>
      </c>
      <c r="K83" s="22" t="s">
        <v>313</v>
      </c>
      <c r="L83" s="33" t="str">
        <f aca="false">IF($B83="","",IF(NOT(ISNUMBER($B83)),"日期格式不对",IF($C83="","未选项目编号",IF(LEFT($M83,1)="⚠","项目编号不存在",IF($D83="","未选业务类型",IF($E83="","未选开票/付款方",IF(ISNA(MATCH($E83,单位档案!$A$6:$A$35,0)),"开票方不在单位档案",IF($F83="","未选收票/收款方",IF(ISNA(MATCH($F83,单位档案!$A$6:$A$35,0)),"收款方不在单位档案",IF(NOT(ISNUMBER($H83)),"金额须为数字",IF(AND($D83="销项开票",$N83="—"),"链条待确认","√")))))))))))</f>
        <v>√</v>
      </c>
      <c r="M83" s="34" t="str">
        <f aca="false">IF($C83="","",IFERROR(INDEX(项目档案!$B$6:$B$255,MATCH($C83,项目档案!$A$6:$A$255,0)),"⚠项目编号不存在"))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83" s="35" t="str">
        <f aca="false">IF($E83="","",IF($E83=IFERROR(INDEX(项目档案!$D$6:$D$255,MATCH($C83,项目档案!$A$6:$A$255,0)),""),"一级",IF($E83=IFERROR(INDEX(项目档案!$F$6:$F$255,MATCH($C83,项目档案!$A$6:$A$255,0)),""),"二级",IF($E83=IFERROR(INDEX(项目档案!$H$6:$H$255,MATCH($C83,项目档案!$A$6:$A$255,0)),""),"我方","—"))))</f>
        <v>一级</v>
      </c>
      <c r="O83" s="36" t="n">
        <f aca="false">IF($D83&lt;&gt;"销项开票",0,ROUND(N($H83)*N($I83),2))</f>
        <v>0</v>
      </c>
      <c r="P83" s="36" t="n">
        <f aca="false">IF($D83&lt;&gt;"销项开票",0,ROUND(N($H83)-$O83,2))</f>
        <v>0</v>
      </c>
      <c r="Q83" s="37" t="n">
        <f aca="false">IF($E83="","",N(IFERROR(INDEX(单位档案!$E$6:$E$35,MATCH($E83,单位档案!$A$6:$A$35,0)),"")))</f>
        <v>0.09</v>
      </c>
      <c r="R83" s="37" t="n">
        <f aca="false">IF($E83="","",N(IFERROR(INDEX(单位档案!$F$6:$F$35,MATCH($E83,单位档案!$A$6:$A$35,0)),"")))</f>
        <v>0.03</v>
      </c>
      <c r="S83" s="36" t="n">
        <f aca="false">IF(OR($D83&lt;&gt;"销项开票",IFERROR(INDEX(单位档案!$G$6:$G$35,MATCH($E83,单位档案!$A$6:$A$35,0)),"")&lt;&gt;"是",N($Q83)=0),0,IF(IFERROR(INDEX(单位档案!$H$6:$H$35,MATCH($E83,单位档案!$A$6:$A$35,0)),"")="税差法",ROUND(N($H83)/(1+$Q83)*$Q83-IF(N($R83)=0,0,$P83/(1+$R83)*$R83),2),ROUND(N($H83)/(1+$Q83)*$Q83,2)))</f>
        <v>0</v>
      </c>
      <c r="T83" s="36" t="n">
        <f aca="false">ROUND($S83*N(IFERROR(INDEX(单位档案!$J$6:$J$35,MATCH($E83,单位档案!$A$6:$A$35,0)),"")),2)</f>
        <v>0</v>
      </c>
      <c r="U83" s="36" t="n">
        <f aca="false">IF($D83&lt;&gt;"销项开票",0,ROUND(N($H83)*N(IFERROR(INDEX(单位档案!$K$6:$K$35,MATCH($E83,单位档案!$A$6:$A$35,0)),"")),2))</f>
        <v>0</v>
      </c>
      <c r="V83" s="36" t="n">
        <f aca="false">IF(OR($D83&lt;&gt;"销项开票",N($Q83)=0),0,ROUND(N($H83)/(1+$Q83)*N(IFERROR(INDEX(单位档案!$L$6:$L$35,MATCH($E83,单位档案!$A$6:$A$35,0)),"")),2))</f>
        <v>0</v>
      </c>
      <c r="W83" s="36" t="n">
        <f aca="false">ROUND($S83+$T83+$U83+$V83,2)</f>
        <v>0</v>
      </c>
      <c r="X83" s="35" t="str">
        <f aca="false">IF(OR($D83="挂靠代收",$D83="我方收款"),COUNTIFS($D$5:$D83,"挂靠代收")+COUNTIFS($D$5:$D83,"我方收款"),"")</f>
        <v/>
      </c>
      <c r="Y83" s="35" t="s">
        <v>119</v>
      </c>
      <c r="Z83" s="21" t="s">
        <v>111</v>
      </c>
    </row>
    <row r="84" customFormat="false" ht="15.75" hidden="false" customHeight="true" outlineLevel="0" collapsed="false">
      <c r="A84" s="32" t="n">
        <f aca="false">IF($B84="","",ROW()-4)</f>
        <v>80</v>
      </c>
      <c r="B84" s="26" t="n">
        <v>46128</v>
      </c>
      <c r="C84" s="24" t="s">
        <v>183</v>
      </c>
      <c r="D84" s="21" t="s">
        <v>11</v>
      </c>
      <c r="E84" s="21" t="s">
        <v>119</v>
      </c>
      <c r="F84" s="21" t="s">
        <v>134</v>
      </c>
      <c r="G84" s="21"/>
      <c r="H84" s="27" t="n">
        <v>340.65</v>
      </c>
      <c r="I84" s="23" t="str">
        <f aca="false">IF($D84&lt;&gt;"销项开票","",IF($N84="一级",IF(IFERROR(INDEX(项目档案!$E$6:$E$255,MATCH($C84,项目档案!$A$6:$A$255,0)),"")="",N(IFERROR(INDEX(单位档案!$D$6:$D$35,MATCH($E84,单位档案!$A$6:$A$35,0)),"")),IFERROR(INDEX(项目档案!$E$6:$E$255,MATCH($C84,项目档案!$A$6:$A$255,0)),"")),IF($N84="二级",IF(IFERROR(INDEX(项目档案!$G$6:$G$255,MATCH($C84,项目档案!$A$6:$A$255,0)),"")="",N(IFERROR(INDEX(单位档案!$D$6:$D$35,MATCH($E84,单位档案!$A$6:$A$35,0)),"")),IFERROR(INDEX(项目档案!$G$6:$G$255,MATCH($C84,项目档案!$A$6:$A$255,0)),"")),N(IFERROR(INDEX(单位档案!$D$6:$D$35,MATCH($E84,单位档案!$A$6:$A$35,0)),"")))))</f>
        <v/>
      </c>
      <c r="J84" s="25" t="s">
        <v>397</v>
      </c>
      <c r="K84" s="22" t="s">
        <v>313</v>
      </c>
      <c r="L84" s="33" t="str">
        <f aca="false">IF($B84="","",IF(NOT(ISNUMBER($B84)),"日期格式不对",IF($C84="","未选项目编号",IF(LEFT($M84,1)="⚠","项目编号不存在",IF($D84="","未选业务类型",IF($E84="","未选开票/付款方",IF(ISNA(MATCH($E84,单位档案!$A$6:$A$35,0)),"开票方不在单位档案",IF($F84="","未选收票/收款方",IF(ISNA(MATCH($F84,单位档案!$A$6:$A$35,0)),"收款方不在单位档案",IF(NOT(ISNUMBER($H84)),"金额须为数字",IF(AND($D84="销项开票",$N84="—"),"链条待确认","√")))))))))))</f>
        <v>√</v>
      </c>
      <c r="M84" s="34" t="str">
        <f aca="false">IF($C84="","",IFERROR(INDEX(项目档案!$B$6:$B$255,MATCH($C84,项目档案!$A$6:$A$255,0)),"⚠项目编号不存在"))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84" s="35" t="str">
        <f aca="false">IF($E84="","",IF($E84=IFERROR(INDEX(项目档案!$D$6:$D$255,MATCH($C84,项目档案!$A$6:$A$255,0)),""),"一级",IF($E84=IFERROR(INDEX(项目档案!$F$6:$F$255,MATCH($C84,项目档案!$A$6:$A$255,0)),""),"二级",IF($E84=IFERROR(INDEX(项目档案!$H$6:$H$255,MATCH($C84,项目档案!$A$6:$A$255,0)),""),"我方","—"))))</f>
        <v>一级</v>
      </c>
      <c r="O84" s="36" t="n">
        <f aca="false">IF($D84&lt;&gt;"销项开票",0,ROUND(N($H84)*N($I84),2))</f>
        <v>0</v>
      </c>
      <c r="P84" s="36" t="n">
        <f aca="false">IF($D84&lt;&gt;"销项开票",0,ROUND(N($H84)-$O84,2))</f>
        <v>0</v>
      </c>
      <c r="Q84" s="37" t="n">
        <f aca="false">IF($E84="","",N(IFERROR(INDEX(单位档案!$E$6:$E$35,MATCH($E84,单位档案!$A$6:$A$35,0)),"")))</f>
        <v>0.09</v>
      </c>
      <c r="R84" s="37" t="n">
        <f aca="false">IF($E84="","",N(IFERROR(INDEX(单位档案!$F$6:$F$35,MATCH($E84,单位档案!$A$6:$A$35,0)),"")))</f>
        <v>0.03</v>
      </c>
      <c r="S84" s="36" t="n">
        <f aca="false">IF(OR($D84&lt;&gt;"销项开票",IFERROR(INDEX(单位档案!$G$6:$G$35,MATCH($E84,单位档案!$A$6:$A$35,0)),"")&lt;&gt;"是",N($Q84)=0),0,IF(IFERROR(INDEX(单位档案!$H$6:$H$35,MATCH($E84,单位档案!$A$6:$A$35,0)),"")="税差法",ROUND(N($H84)/(1+$Q84)*$Q84-IF(N($R84)=0,0,$P84/(1+$R84)*$R84),2),ROUND(N($H84)/(1+$Q84)*$Q84,2)))</f>
        <v>0</v>
      </c>
      <c r="T84" s="36" t="n">
        <f aca="false">ROUND($S84*N(IFERROR(INDEX(单位档案!$J$6:$J$35,MATCH($E84,单位档案!$A$6:$A$35,0)),"")),2)</f>
        <v>0</v>
      </c>
      <c r="U84" s="36" t="n">
        <f aca="false">IF($D84&lt;&gt;"销项开票",0,ROUND(N($H84)*N(IFERROR(INDEX(单位档案!$K$6:$K$35,MATCH($E84,单位档案!$A$6:$A$35,0)),"")),2))</f>
        <v>0</v>
      </c>
      <c r="V84" s="36" t="n">
        <f aca="false">IF(OR($D84&lt;&gt;"销项开票",N($Q84)=0),0,ROUND(N($H84)/(1+$Q84)*N(IFERROR(INDEX(单位档案!$L$6:$L$35,MATCH($E84,单位档案!$A$6:$A$35,0)),"")),2))</f>
        <v>0</v>
      </c>
      <c r="W84" s="36" t="n">
        <f aca="false">ROUND($S84+$T84+$U84+$V84,2)</f>
        <v>0</v>
      </c>
      <c r="X84" s="35" t="str">
        <f aca="false">IF(OR($D84="挂靠代收",$D84="我方收款"),COUNTIFS($D$5:$D84,"挂靠代收")+COUNTIFS($D$5:$D84,"我方收款"),"")</f>
        <v/>
      </c>
      <c r="Y84" s="35" t="s">
        <v>119</v>
      </c>
      <c r="Z84" s="21" t="s">
        <v>111</v>
      </c>
    </row>
    <row r="85" customFormat="false" ht="15.75" hidden="false" customHeight="true" outlineLevel="0" collapsed="false">
      <c r="A85" s="32" t="n">
        <f aca="false">IF($B85="","",ROW()-4)</f>
        <v>81</v>
      </c>
      <c r="B85" s="26" t="n">
        <v>46136</v>
      </c>
      <c r="C85" s="24" t="s">
        <v>153</v>
      </c>
      <c r="D85" s="21" t="s">
        <v>357</v>
      </c>
      <c r="E85" s="21" t="s">
        <v>127</v>
      </c>
      <c r="F85" s="21" t="s">
        <v>114</v>
      </c>
      <c r="G85" s="24" t="s">
        <v>379</v>
      </c>
      <c r="H85" s="27" t="n">
        <v>105000</v>
      </c>
      <c r="I85" s="23" t="str">
        <f aca="false">IF($D85&lt;&gt;"销项开票","",IF($N85="一级",IF(IFERROR(INDEX(项目档案!$E$6:$E$255,MATCH($C85,项目档案!$A$6:$A$255,0)),"")="",N(IFERROR(INDEX(单位档案!$D$6:$D$35,MATCH($E85,单位档案!$A$6:$A$35,0)),"")),IFERROR(INDEX(项目档案!$E$6:$E$255,MATCH($C85,项目档案!$A$6:$A$255,0)),"")),IF($N85="二级",IF(IFERROR(INDEX(项目档案!$G$6:$G$255,MATCH($C85,项目档案!$A$6:$A$255,0)),"")="",N(IFERROR(INDEX(单位档案!$D$6:$D$35,MATCH($E85,单位档案!$A$6:$A$35,0)),"")),IFERROR(INDEX(项目档案!$G$6:$G$255,MATCH($C85,项目档案!$A$6:$A$255,0)),"")),N(IFERROR(INDEX(单位档案!$D$6:$D$35,MATCH($E85,单位档案!$A$6:$A$35,0)),"")))))</f>
        <v/>
      </c>
      <c r="J85" s="25" t="s">
        <v>398</v>
      </c>
      <c r="K85" s="22" t="s">
        <v>313</v>
      </c>
      <c r="L85" s="33" t="str">
        <f aca="false">IF($B85="","",IF(NOT(ISNUMBER($B85)),"日期格式不对",IF($C85="","未选项目编号",IF(LEFT($M85,1)="⚠","项目编号不存在",IF($D85="","未选业务类型",IF($E85="","未选开票/付款方",IF(ISNA(MATCH($E85,单位档案!$A$6:$A$35,0)),"开票方不在单位档案",IF($F85="","未选收票/收款方",IF(ISNA(MATCH($F85,单位档案!$A$6:$A$35,0)),"收款方不在单位档案",IF(NOT(ISNUMBER($H85)),"金额须为数字",IF(AND($D85="销项开票",$N85="—"),"链条待确认","√")))))))))))</f>
        <v>√</v>
      </c>
      <c r="M85" s="34" t="str">
        <f aca="false">IF($C85="","",IFERROR(INDEX(项目档案!$B$6:$B$255,MATCH($C85,项目档案!$A$6:$A$255,0)),"⚠项目编号不存在"))</f>
        <v>重庆铜梁10kV平双线新建联络工程</v>
      </c>
      <c r="N85" s="35" t="str">
        <f aca="false">IF($E85="","",IF($E85=IFERROR(INDEX(项目档案!$D$6:$D$255,MATCH($C85,项目档案!$A$6:$A$255,0)),""),"一级",IF($E85=IFERROR(INDEX(项目档案!$F$6:$F$255,MATCH($C85,项目档案!$A$6:$A$255,0)),""),"二级",IF($E85=IFERROR(INDEX(项目档案!$H$6:$H$255,MATCH($C85,项目档案!$A$6:$A$255,0)),""),"我方","—"))))</f>
        <v>我方</v>
      </c>
      <c r="O85" s="36" t="n">
        <f aca="false">IF($D85&lt;&gt;"销项开票",0,ROUND(N($H85)*N($I85),2))</f>
        <v>0</v>
      </c>
      <c r="P85" s="36" t="n">
        <f aca="false">IF($D85&lt;&gt;"销项开票",0,ROUND(N($H85)-$O85,2))</f>
        <v>0</v>
      </c>
      <c r="Q85" s="37" t="n">
        <f aca="false">IF($E85="","",N(IFERROR(INDEX(单位档案!$E$6:$E$35,MATCH($E85,单位档案!$A$6:$A$35,0)),"")))</f>
        <v>0.03</v>
      </c>
      <c r="R85" s="37" t="n">
        <f aca="false">IF($E85="","",N(IFERROR(INDEX(单位档案!$F$6:$F$35,MATCH($E85,单位档案!$A$6:$A$35,0)),"")))</f>
        <v>0</v>
      </c>
      <c r="S85" s="36" t="n">
        <f aca="false">IF(OR($D85&lt;&gt;"销项开票",IFERROR(INDEX(单位档案!$G$6:$G$35,MATCH($E85,单位档案!$A$6:$A$35,0)),"")&lt;&gt;"是",N($Q85)=0),0,IF(IFERROR(INDEX(单位档案!$H$6:$H$35,MATCH($E85,单位档案!$A$6:$A$35,0)),"")="税差法",ROUND(N($H85)/(1+$Q85)*$Q85-IF(N($R85)=0,0,$P85/(1+$R85)*$R85),2),ROUND(N($H85)/(1+$Q85)*$Q85,2)))</f>
        <v>0</v>
      </c>
      <c r="T85" s="36" t="n">
        <f aca="false">ROUND($S85*N(IFERROR(INDEX(单位档案!$J$6:$J$35,MATCH($E85,单位档案!$A$6:$A$35,0)),"")),2)</f>
        <v>0</v>
      </c>
      <c r="U85" s="36" t="n">
        <f aca="false">IF($D85&lt;&gt;"销项开票",0,ROUND(N($H85)*N(IFERROR(INDEX(单位档案!$K$6:$K$35,MATCH($E85,单位档案!$A$6:$A$35,0)),"")),2))</f>
        <v>0</v>
      </c>
      <c r="V85" s="36" t="n">
        <f aca="false">IF(OR($D85&lt;&gt;"销项开票",N($Q85)=0),0,ROUND(N($H85)/(1+$Q85)*N(IFERROR(INDEX(单位档案!$L$6:$L$35,MATCH($E85,单位档案!$A$6:$A$35,0)),"")),2))</f>
        <v>0</v>
      </c>
      <c r="W85" s="36" t="n">
        <f aca="false">ROUND($S85+$T85+$U85+$V85,2)</f>
        <v>0</v>
      </c>
      <c r="X85" s="35" t="str">
        <f aca="false">IF(OR($D85="挂靠代收",$D85="我方收款"),COUNTIFS($D$5:$D85,"挂靠代收")+COUNTIFS($D$5:$D85,"我方收款"),"")</f>
        <v/>
      </c>
      <c r="Y85" s="35" t="s">
        <v>114</v>
      </c>
      <c r="Z85" s="21" t="s">
        <v>111</v>
      </c>
    </row>
    <row r="86" customFormat="false" ht="15.75" hidden="false" customHeight="true" outlineLevel="0" collapsed="false">
      <c r="A86" s="32" t="n">
        <f aca="false">IF($B86="","",ROW()-4)</f>
        <v>82</v>
      </c>
      <c r="B86" s="26" t="n">
        <v>46136</v>
      </c>
      <c r="C86" s="24" t="s">
        <v>153</v>
      </c>
      <c r="D86" s="21" t="s">
        <v>319</v>
      </c>
      <c r="E86" s="21" t="s">
        <v>97</v>
      </c>
      <c r="F86" s="21" t="s">
        <v>114</v>
      </c>
      <c r="G86" s="24" t="s">
        <v>379</v>
      </c>
      <c r="H86" s="27" t="n">
        <v>10129.24</v>
      </c>
      <c r="I86" s="23" t="str">
        <f aca="false">IF($D86&lt;&gt;"销项开票","",IF($N86="一级",IF(IFERROR(INDEX(项目档案!$E$6:$E$255,MATCH($C86,项目档案!$A$6:$A$255,0)),"")="",N(IFERROR(INDEX(单位档案!$D$6:$D$35,MATCH($E86,单位档案!$A$6:$A$35,0)),"")),IFERROR(INDEX(项目档案!$E$6:$E$255,MATCH($C86,项目档案!$A$6:$A$255,0)),"")),IF($N86="二级",IF(IFERROR(INDEX(项目档案!$G$6:$G$255,MATCH($C86,项目档案!$A$6:$A$255,0)),"")="",N(IFERROR(INDEX(单位档案!$D$6:$D$35,MATCH($E86,单位档案!$A$6:$A$35,0)),"")),IFERROR(INDEX(项目档案!$G$6:$G$255,MATCH($C86,项目档案!$A$6:$A$255,0)),"")),N(IFERROR(INDEX(单位档案!$D$6:$D$35,MATCH($E86,单位档案!$A$6:$A$35,0)),"")))))</f>
        <v/>
      </c>
      <c r="J86" s="25" t="s">
        <v>398</v>
      </c>
      <c r="K86" s="22" t="s">
        <v>313</v>
      </c>
      <c r="L86" s="33" t="str">
        <f aca="false">IF($B86="","",IF(NOT(ISNUMBER($B86)),"日期格式不对",IF($C86="","未选项目编号",IF(LEFT($M86,1)="⚠","项目编号不存在",IF($D86="","未选业务类型",IF($E86="","未选开票/付款方",IF(ISNA(MATCH($E86,单位档案!$A$6:$A$35,0)),"开票方不在单位档案",IF($F86="","未选收票/收款方",IF(ISNA(MATCH($F86,单位档案!$A$6:$A$35,0)),"收款方不在单位档案",IF(NOT(ISNUMBER($H86)),"金额须为数字",IF(AND($D86="销项开票",$N86="—"),"链条待确认","√")))))))))))</f>
        <v>√</v>
      </c>
      <c r="M86" s="34" t="str">
        <f aca="false">IF($C86="","",IFERROR(INDEX(项目档案!$B$6:$B$255,MATCH($C86,项目档案!$A$6:$A$255,0)),"⚠项目编号不存在"))</f>
        <v>重庆铜梁10kV平双线新建联络工程</v>
      </c>
      <c r="N86" s="35" t="str">
        <f aca="false">IF($E86="","",IF($E86=IFERROR(INDEX(项目档案!$D$6:$D$255,MATCH($C86,项目档案!$A$6:$A$255,0)),""),"一级",IF($E86=IFERROR(INDEX(项目档案!$F$6:$F$255,MATCH($C86,项目档案!$A$6:$A$255,0)),""),"二级",IF($E86=IFERROR(INDEX(项目档案!$H$6:$H$255,MATCH($C86,项目档案!$A$6:$A$255,0)),""),"我方","—"))))</f>
        <v>—</v>
      </c>
      <c r="O86" s="36" t="n">
        <f aca="false">IF($D86&lt;&gt;"销项开票",0,ROUND(N($H86)*N($I86),2))</f>
        <v>0</v>
      </c>
      <c r="P86" s="36" t="n">
        <f aca="false">IF($D86&lt;&gt;"销项开票",0,ROUND(N($H86)-$O86,2))</f>
        <v>0</v>
      </c>
      <c r="Q86" s="37" t="n">
        <f aca="false">IF($E86="","",N(IFERROR(INDEX(单位档案!$E$6:$E$35,MATCH($E86,单位档案!$A$6:$A$35,0)),"")))</f>
        <v>0</v>
      </c>
      <c r="R86" s="37" t="n">
        <f aca="false">IF($E86="","",N(IFERROR(INDEX(单位档案!$F$6:$F$35,MATCH($E86,单位档案!$A$6:$A$35,0)),"")))</f>
        <v>0</v>
      </c>
      <c r="S86" s="36" t="n">
        <f aca="false">IF(OR($D86&lt;&gt;"销项开票",IFERROR(INDEX(单位档案!$G$6:$G$35,MATCH($E86,单位档案!$A$6:$A$35,0)),"")&lt;&gt;"是",N($Q86)=0),0,IF(IFERROR(INDEX(单位档案!$H$6:$H$35,MATCH($E86,单位档案!$A$6:$A$35,0)),"")="税差法",ROUND(N($H86)/(1+$Q86)*$Q86-IF(N($R86)=0,0,$P86/(1+$R86)*$R86),2),ROUND(N($H86)/(1+$Q86)*$Q86,2)))</f>
        <v>0</v>
      </c>
      <c r="T86" s="36" t="n">
        <f aca="false">ROUND($S86*N(IFERROR(INDEX(单位档案!$J$6:$J$35,MATCH($E86,单位档案!$A$6:$A$35,0)),"")),2)</f>
        <v>0</v>
      </c>
      <c r="U86" s="36" t="n">
        <f aca="false">IF($D86&lt;&gt;"销项开票",0,ROUND(N($H86)*N(IFERROR(INDEX(单位档案!$K$6:$K$35,MATCH($E86,单位档案!$A$6:$A$35,0)),"")),2))</f>
        <v>0</v>
      </c>
      <c r="V86" s="36" t="n">
        <f aca="false">IF(OR($D86&lt;&gt;"销项开票",N($Q86)=0),0,ROUND(N($H86)/(1+$Q86)*N(IFERROR(INDEX(单位档案!$L$6:$L$35,MATCH($E86,单位档案!$A$6:$A$35,0)),"")),2))</f>
        <v>0</v>
      </c>
      <c r="W86" s="36" t="n">
        <f aca="false">ROUND($S86+$T86+$U86+$V86,2)</f>
        <v>0</v>
      </c>
      <c r="X86" s="35" t="n">
        <f aca="false">IF(OR($D86="挂靠代收",$D86="我方收款"),COUNTIFS($D$5:$D86,"挂靠代收")+COUNTIFS($D$5:$D86,"我方收款"),"")</f>
        <v>6</v>
      </c>
      <c r="Y86" s="35" t="s">
        <v>114</v>
      </c>
      <c r="Z86" s="21" t="s">
        <v>111</v>
      </c>
    </row>
    <row r="87" customFormat="false" ht="15.75" hidden="false" customHeight="true" outlineLevel="0" collapsed="false">
      <c r="A87" s="32" t="n">
        <f aca="false">IF($B87="","",ROW()-4)</f>
        <v>83</v>
      </c>
      <c r="B87" s="26" t="n">
        <v>46136</v>
      </c>
      <c r="C87" s="24" t="s">
        <v>153</v>
      </c>
      <c r="D87" s="21" t="s">
        <v>314</v>
      </c>
      <c r="E87" s="21" t="s">
        <v>127</v>
      </c>
      <c r="F87" s="21" t="s">
        <v>114</v>
      </c>
      <c r="G87" s="24" t="s">
        <v>379</v>
      </c>
      <c r="H87" s="27" t="n">
        <v>6153.6</v>
      </c>
      <c r="I87" s="23" t="str">
        <f aca="false">IF($D87&lt;&gt;"销项开票","",IF($N87="一级",IF(IFERROR(INDEX(项目档案!$E$6:$E$255,MATCH($C87,项目档案!$A$6:$A$255,0)),"")="",N(IFERROR(INDEX(单位档案!$D$6:$D$35,MATCH($E87,单位档案!$A$6:$A$35,0)),"")),IFERROR(INDEX(项目档案!$E$6:$E$255,MATCH($C87,项目档案!$A$6:$A$255,0)),"")),IF($N87="二级",IF(IFERROR(INDEX(项目档案!$G$6:$G$255,MATCH($C87,项目档案!$A$6:$A$255,0)),"")="",N(IFERROR(INDEX(单位档案!$D$6:$D$35,MATCH($E87,单位档案!$A$6:$A$35,0)),"")),IFERROR(INDEX(项目档案!$G$6:$G$255,MATCH($C87,项目档案!$A$6:$A$255,0)),"")),N(IFERROR(INDEX(单位档案!$D$6:$D$35,MATCH($E87,单位档案!$A$6:$A$35,0)),"")))))</f>
        <v/>
      </c>
      <c r="J87" s="25" t="s">
        <v>398</v>
      </c>
      <c r="K87" s="22" t="s">
        <v>313</v>
      </c>
      <c r="L87" s="33" t="str">
        <f aca="false">IF($B87="","",IF(NOT(ISNUMBER($B87)),"日期格式不对",IF($C87="","未选项目编号",IF(LEFT($M87,1)="⚠","项目编号不存在",IF($D87="","未选业务类型",IF($E87="","未选开票/付款方",IF(ISNA(MATCH($E87,单位档案!$A$6:$A$35,0)),"开票方不在单位档案",IF($F87="","未选收票/收款方",IF(ISNA(MATCH($F87,单位档案!$A$6:$A$35,0)),"收款方不在单位档案",IF(NOT(ISNUMBER($H87)),"金额须为数字",IF(AND($D87="销项开票",$N87="—"),"链条待确认","√")))))))))))</f>
        <v>√</v>
      </c>
      <c r="M87" s="34" t="str">
        <f aca="false">IF($C87="","",IFERROR(INDEX(项目档案!$B$6:$B$255,MATCH($C87,项目档案!$A$6:$A$255,0)),"⚠项目编号不存在"))</f>
        <v>重庆铜梁10kV平双线新建联络工程</v>
      </c>
      <c r="N87" s="35" t="str">
        <f aca="false">IF($E87="","",IF($E87=IFERROR(INDEX(项目档案!$D$6:$D$255,MATCH($C87,项目档案!$A$6:$A$255,0)),""),"一级",IF($E87=IFERROR(INDEX(项目档案!$F$6:$F$255,MATCH($C87,项目档案!$A$6:$A$255,0)),""),"二级",IF($E87=IFERROR(INDEX(项目档案!$H$6:$H$255,MATCH($C87,项目档案!$A$6:$A$255,0)),""),"我方","—"))))</f>
        <v>我方</v>
      </c>
      <c r="O87" s="36" t="n">
        <f aca="false">IF($D87&lt;&gt;"销项开票",0,ROUND(N($H87)*N($I87),2))</f>
        <v>0</v>
      </c>
      <c r="P87" s="36" t="n">
        <f aca="false">IF($D87&lt;&gt;"销项开票",0,ROUND(N($H87)-$O87,2))</f>
        <v>0</v>
      </c>
      <c r="Q87" s="37" t="n">
        <f aca="false">IF($E87="","",N(IFERROR(INDEX(单位档案!$E$6:$E$35,MATCH($E87,单位档案!$A$6:$A$35,0)),"")))</f>
        <v>0.03</v>
      </c>
      <c r="R87" s="37" t="n">
        <f aca="false">IF($E87="","",N(IFERROR(INDEX(单位档案!$F$6:$F$35,MATCH($E87,单位档案!$A$6:$A$35,0)),"")))</f>
        <v>0</v>
      </c>
      <c r="S87" s="36" t="n">
        <f aca="false">IF(OR($D87&lt;&gt;"销项开票",IFERROR(INDEX(单位档案!$G$6:$G$35,MATCH($E87,单位档案!$A$6:$A$35,0)),"")&lt;&gt;"是",N($Q87)=0),0,IF(IFERROR(INDEX(单位档案!$H$6:$H$35,MATCH($E87,单位档案!$A$6:$A$35,0)),"")="税差法",ROUND(N($H87)/(1+$Q87)*$Q87-IF(N($R87)=0,0,$P87/(1+$R87)*$R87),2),ROUND(N($H87)/(1+$Q87)*$Q87,2)))</f>
        <v>0</v>
      </c>
      <c r="T87" s="36" t="n">
        <f aca="false">ROUND($S87*N(IFERROR(INDEX(单位档案!$J$6:$J$35,MATCH($E87,单位档案!$A$6:$A$35,0)),"")),2)</f>
        <v>0</v>
      </c>
      <c r="U87" s="36" t="n">
        <f aca="false">IF($D87&lt;&gt;"销项开票",0,ROUND(N($H87)*N(IFERROR(INDEX(单位档案!$K$6:$K$35,MATCH($E87,单位档案!$A$6:$A$35,0)),"")),2))</f>
        <v>0</v>
      </c>
      <c r="V87" s="36" t="n">
        <f aca="false">IF(OR($D87&lt;&gt;"销项开票",N($Q87)=0),0,ROUND(N($H87)/(1+$Q87)*N(IFERROR(INDEX(单位档案!$L$6:$L$35,MATCH($E87,单位档案!$A$6:$A$35,0)),"")),2))</f>
        <v>0</v>
      </c>
      <c r="W87" s="36" t="n">
        <f aca="false">ROUND($S87+$T87+$U87+$V87,2)</f>
        <v>0</v>
      </c>
      <c r="X87" s="35" t="str">
        <f aca="false">IF(OR($D87="挂靠代收",$D87="我方收款"),COUNTIFS($D$5:$D87,"挂靠代收")+COUNTIFS($D$5:$D87,"我方收款"),"")</f>
        <v/>
      </c>
      <c r="Y87" s="35" t="s">
        <v>114</v>
      </c>
      <c r="Z87" s="21" t="s">
        <v>111</v>
      </c>
    </row>
    <row r="88" customFormat="false" ht="15.75" hidden="false" customHeight="true" outlineLevel="0" collapsed="false">
      <c r="A88" s="32" t="n">
        <f aca="false">IF($B88="","",ROW()-4)</f>
        <v>84</v>
      </c>
      <c r="B88" s="26" t="n">
        <v>46136</v>
      </c>
      <c r="C88" s="24" t="s">
        <v>165</v>
      </c>
      <c r="D88" s="21" t="s">
        <v>357</v>
      </c>
      <c r="E88" s="21" t="s">
        <v>127</v>
      </c>
      <c r="F88" s="21" t="s">
        <v>117</v>
      </c>
      <c r="G88" s="24" t="s">
        <v>379</v>
      </c>
      <c r="H88" s="27" t="n">
        <v>21595.85</v>
      </c>
      <c r="I88" s="23" t="str">
        <f aca="false">IF($D88&lt;&gt;"销项开票","",IF($N88="一级",IF(IFERROR(INDEX(项目档案!$E$6:$E$255,MATCH($C88,项目档案!$A$6:$A$255,0)),"")="",N(IFERROR(INDEX(单位档案!$D$6:$D$35,MATCH($E88,单位档案!$A$6:$A$35,0)),"")),IFERROR(INDEX(项目档案!$E$6:$E$255,MATCH($C88,项目档案!$A$6:$A$255,0)),"")),IF($N88="二级",IF(IFERROR(INDEX(项目档案!$G$6:$G$255,MATCH($C88,项目档案!$A$6:$A$255,0)),"")="",N(IFERROR(INDEX(单位档案!$D$6:$D$35,MATCH($E88,单位档案!$A$6:$A$35,0)),"")),IFERROR(INDEX(项目档案!$G$6:$G$255,MATCH($C88,项目档案!$A$6:$A$255,0)),"")),N(IFERROR(INDEX(单位档案!$D$6:$D$35,MATCH($E88,单位档案!$A$6:$A$35,0)),"")))))</f>
        <v/>
      </c>
      <c r="J88" s="25" t="s">
        <v>399</v>
      </c>
      <c r="K88" s="22" t="s">
        <v>313</v>
      </c>
      <c r="L88" s="33" t="str">
        <f aca="false">IF($B88="","",IF(NOT(ISNUMBER($B88)),"日期格式不对",IF($C88="","未选项目编号",IF(LEFT($M88,1)="⚠","项目编号不存在",IF($D88="","未选业务类型",IF($E88="","未选开票/付款方",IF(ISNA(MATCH($E88,单位档案!$A$6:$A$35,0)),"开票方不在单位档案",IF($F88="","未选收票/收款方",IF(ISNA(MATCH($F88,单位档案!$A$6:$A$35,0)),"收款方不在单位档案",IF(NOT(ISNUMBER($H88)),"金额须为数字",IF(AND($D88="销项开票",$N88="—"),"链条待确认","√")))))))))))</f>
        <v>√</v>
      </c>
      <c r="M88" s="34" t="str">
        <f aca="false">IF($C88="","",IFERROR(INDEX(项目档案!$B$6:$B$255,MATCH($C88,项目档案!$A$6:$A$255,0)),"⚠项目编号不存在"))</f>
        <v>重庆铜梁10kV平凉线惠丰9社等4个台区重过载治理工程</v>
      </c>
      <c r="N88" s="35" t="str">
        <f aca="false">IF($E88="","",IF($E88=IFERROR(INDEX(项目档案!$D$6:$D$255,MATCH($C88,项目档案!$A$6:$A$255,0)),""),"一级",IF($E88=IFERROR(INDEX(项目档案!$F$6:$F$255,MATCH($C88,项目档案!$A$6:$A$255,0)),""),"二级",IF($E88=IFERROR(INDEX(项目档案!$H$6:$H$255,MATCH($C88,项目档案!$A$6:$A$255,0)),""),"我方","—"))))</f>
        <v>我方</v>
      </c>
      <c r="O88" s="36" t="n">
        <f aca="false">IF($D88&lt;&gt;"销项开票",0,ROUND(N($H88)*N($I88),2))</f>
        <v>0</v>
      </c>
      <c r="P88" s="36" t="n">
        <f aca="false">IF($D88&lt;&gt;"销项开票",0,ROUND(N($H88)-$O88,2))</f>
        <v>0</v>
      </c>
      <c r="Q88" s="37" t="n">
        <f aca="false">IF($E88="","",N(IFERROR(INDEX(单位档案!$E$6:$E$35,MATCH($E88,单位档案!$A$6:$A$35,0)),"")))</f>
        <v>0.03</v>
      </c>
      <c r="R88" s="37" t="n">
        <f aca="false">IF($E88="","",N(IFERROR(INDEX(单位档案!$F$6:$F$35,MATCH($E88,单位档案!$A$6:$A$35,0)),"")))</f>
        <v>0</v>
      </c>
      <c r="S88" s="36" t="n">
        <f aca="false">IF(OR($D88&lt;&gt;"销项开票",IFERROR(INDEX(单位档案!$G$6:$G$35,MATCH($E88,单位档案!$A$6:$A$35,0)),"")&lt;&gt;"是",N($Q88)=0),0,IF(IFERROR(INDEX(单位档案!$H$6:$H$35,MATCH($E88,单位档案!$A$6:$A$35,0)),"")="税差法",ROUND(N($H88)/(1+$Q88)*$Q88-IF(N($R88)=0,0,$P88/(1+$R88)*$R88),2),ROUND(N($H88)/(1+$Q88)*$Q88,2)))</f>
        <v>0</v>
      </c>
      <c r="T88" s="36" t="n">
        <f aca="false">ROUND($S88*N(IFERROR(INDEX(单位档案!$J$6:$J$35,MATCH($E88,单位档案!$A$6:$A$35,0)),"")),2)</f>
        <v>0</v>
      </c>
      <c r="U88" s="36" t="n">
        <f aca="false">IF($D88&lt;&gt;"销项开票",0,ROUND(N($H88)*N(IFERROR(INDEX(单位档案!$K$6:$K$35,MATCH($E88,单位档案!$A$6:$A$35,0)),"")),2))</f>
        <v>0</v>
      </c>
      <c r="V88" s="36" t="n">
        <f aca="false">IF(OR($D88&lt;&gt;"销项开票",N($Q88)=0),0,ROUND(N($H88)/(1+$Q88)*N(IFERROR(INDEX(单位档案!$L$6:$L$35,MATCH($E88,单位档案!$A$6:$A$35,0)),"")),2))</f>
        <v>0</v>
      </c>
      <c r="W88" s="36" t="n">
        <f aca="false">ROUND($S88+$T88+$U88+$V88,2)</f>
        <v>0</v>
      </c>
      <c r="X88" s="35" t="str">
        <f aca="false">IF(OR($D88="挂靠代收",$D88="我方收款"),COUNTIFS($D$5:$D88,"挂靠代收")+COUNTIFS($D$5:$D88,"我方收款"),"")</f>
        <v/>
      </c>
      <c r="Y88" s="35" t="s">
        <v>117</v>
      </c>
      <c r="Z88" s="21" t="s">
        <v>111</v>
      </c>
    </row>
    <row r="89" customFormat="false" ht="15.75" hidden="false" customHeight="true" outlineLevel="0" collapsed="false">
      <c r="A89" s="32" t="n">
        <f aca="false">IF($B89="","",ROW()-4)</f>
        <v>85</v>
      </c>
      <c r="B89" s="26" t="n">
        <v>46136</v>
      </c>
      <c r="C89" s="24" t="s">
        <v>165</v>
      </c>
      <c r="D89" s="21" t="s">
        <v>357</v>
      </c>
      <c r="E89" s="21" t="s">
        <v>127</v>
      </c>
      <c r="F89" s="21" t="s">
        <v>117</v>
      </c>
      <c r="G89" s="24" t="s">
        <v>379</v>
      </c>
      <c r="H89" s="27" t="n">
        <v>18275.16</v>
      </c>
      <c r="I89" s="23" t="str">
        <f aca="false">IF($D89&lt;&gt;"销项开票","",IF($N89="一级",IF(IFERROR(INDEX(项目档案!$E$6:$E$255,MATCH($C89,项目档案!$A$6:$A$255,0)),"")="",N(IFERROR(INDEX(单位档案!$D$6:$D$35,MATCH($E89,单位档案!$A$6:$A$35,0)),"")),IFERROR(INDEX(项目档案!$E$6:$E$255,MATCH($C89,项目档案!$A$6:$A$255,0)),"")),IF($N89="二级",IF(IFERROR(INDEX(项目档案!$G$6:$G$255,MATCH($C89,项目档案!$A$6:$A$255,0)),"")="",N(IFERROR(INDEX(单位档案!$D$6:$D$35,MATCH($E89,单位档案!$A$6:$A$35,0)),"")),IFERROR(INDEX(项目档案!$G$6:$G$255,MATCH($C89,项目档案!$A$6:$A$255,0)),"")),N(IFERROR(INDEX(单位档案!$D$6:$D$35,MATCH($E89,单位档案!$A$6:$A$35,0)),"")))))</f>
        <v/>
      </c>
      <c r="J89" s="25" t="s">
        <v>400</v>
      </c>
      <c r="K89" s="22" t="s">
        <v>313</v>
      </c>
      <c r="L89" s="33" t="str">
        <f aca="false">IF($B89="","",IF(NOT(ISNUMBER($B89)),"日期格式不对",IF($C89="","未选项目编号",IF(LEFT($M89,1)="⚠","项目编号不存在",IF($D89="","未选业务类型",IF($E89="","未选开票/付款方",IF(ISNA(MATCH($E89,单位档案!$A$6:$A$35,0)),"开票方不在单位档案",IF($F89="","未选收票/收款方",IF(ISNA(MATCH($F89,单位档案!$A$6:$A$35,0)),"收款方不在单位档案",IF(NOT(ISNUMBER($H89)),"金额须为数字",IF(AND($D89="销项开票",$N89="—"),"链条待确认","√")))))))))))</f>
        <v>√</v>
      </c>
      <c r="M89" s="34" t="str">
        <f aca="false">IF($C89="","",IFERROR(INDEX(项目档案!$B$6:$B$255,MATCH($C89,项目档案!$A$6:$A$255,0)),"⚠项目编号不存在"))</f>
        <v>重庆铜梁10kV平凉线惠丰9社等4个台区重过载治理工程</v>
      </c>
      <c r="N89" s="35" t="str">
        <f aca="false">IF($E89="","",IF($E89=IFERROR(INDEX(项目档案!$D$6:$D$255,MATCH($C89,项目档案!$A$6:$A$255,0)),""),"一级",IF($E89=IFERROR(INDEX(项目档案!$F$6:$F$255,MATCH($C89,项目档案!$A$6:$A$255,0)),""),"二级",IF($E89=IFERROR(INDEX(项目档案!$H$6:$H$255,MATCH($C89,项目档案!$A$6:$A$255,0)),""),"我方","—"))))</f>
        <v>我方</v>
      </c>
      <c r="O89" s="36" t="n">
        <f aca="false">IF($D89&lt;&gt;"销项开票",0,ROUND(N($H89)*N($I89),2))</f>
        <v>0</v>
      </c>
      <c r="P89" s="36" t="n">
        <f aca="false">IF($D89&lt;&gt;"销项开票",0,ROUND(N($H89)-$O89,2))</f>
        <v>0</v>
      </c>
      <c r="Q89" s="37" t="n">
        <f aca="false">IF($E89="","",N(IFERROR(INDEX(单位档案!$E$6:$E$35,MATCH($E89,单位档案!$A$6:$A$35,0)),"")))</f>
        <v>0.03</v>
      </c>
      <c r="R89" s="37" t="n">
        <f aca="false">IF($E89="","",N(IFERROR(INDEX(单位档案!$F$6:$F$35,MATCH($E89,单位档案!$A$6:$A$35,0)),"")))</f>
        <v>0</v>
      </c>
      <c r="S89" s="36" t="n">
        <f aca="false">IF(OR($D89&lt;&gt;"销项开票",IFERROR(INDEX(单位档案!$G$6:$G$35,MATCH($E89,单位档案!$A$6:$A$35,0)),"")&lt;&gt;"是",N($Q89)=0),0,IF(IFERROR(INDEX(单位档案!$H$6:$H$35,MATCH($E89,单位档案!$A$6:$A$35,0)),"")="税差法",ROUND(N($H89)/(1+$Q89)*$Q89-IF(N($R89)=0,0,$P89/(1+$R89)*$R89),2),ROUND(N($H89)/(1+$Q89)*$Q89,2)))</f>
        <v>0</v>
      </c>
      <c r="T89" s="36" t="n">
        <f aca="false">ROUND($S89*N(IFERROR(INDEX(单位档案!$J$6:$J$35,MATCH($E89,单位档案!$A$6:$A$35,0)),"")),2)</f>
        <v>0</v>
      </c>
      <c r="U89" s="36" t="n">
        <f aca="false">IF($D89&lt;&gt;"销项开票",0,ROUND(N($H89)*N(IFERROR(INDEX(单位档案!$K$6:$K$35,MATCH($E89,单位档案!$A$6:$A$35,0)),"")),2))</f>
        <v>0</v>
      </c>
      <c r="V89" s="36" t="n">
        <f aca="false">IF(OR($D89&lt;&gt;"销项开票",N($Q89)=0),0,ROUND(N($H89)/(1+$Q89)*N(IFERROR(INDEX(单位档案!$L$6:$L$35,MATCH($E89,单位档案!$A$6:$A$35,0)),"")),2))</f>
        <v>0</v>
      </c>
      <c r="W89" s="36" t="n">
        <f aca="false">ROUND($S89+$T89+$U89+$V89,2)</f>
        <v>0</v>
      </c>
      <c r="X89" s="35" t="str">
        <f aca="false">IF(OR($D89="挂靠代收",$D89="我方收款"),COUNTIFS($D$5:$D89,"挂靠代收")+COUNTIFS($D$5:$D89,"我方收款"),"")</f>
        <v/>
      </c>
      <c r="Y89" s="35" t="s">
        <v>117</v>
      </c>
      <c r="Z89" s="21" t="s">
        <v>111</v>
      </c>
    </row>
    <row r="90" customFormat="false" ht="15.75" hidden="false" customHeight="true" outlineLevel="0" collapsed="false">
      <c r="A90" s="32" t="n">
        <f aca="false">IF($B90="","",ROW()-4)</f>
        <v>86</v>
      </c>
      <c r="B90" s="26" t="n">
        <v>46136</v>
      </c>
      <c r="C90" s="24" t="s">
        <v>165</v>
      </c>
      <c r="D90" s="21" t="s">
        <v>357</v>
      </c>
      <c r="E90" s="21" t="s">
        <v>127</v>
      </c>
      <c r="F90" s="21" t="s">
        <v>117</v>
      </c>
      <c r="G90" s="24" t="s">
        <v>379</v>
      </c>
      <c r="H90" s="27" t="n">
        <v>29360.76</v>
      </c>
      <c r="I90" s="23" t="str">
        <f aca="false">IF($D90&lt;&gt;"销项开票","",IF($N90="一级",IF(IFERROR(INDEX(项目档案!$E$6:$E$255,MATCH($C90,项目档案!$A$6:$A$255,0)),"")="",N(IFERROR(INDEX(单位档案!$D$6:$D$35,MATCH($E90,单位档案!$A$6:$A$35,0)),"")),IFERROR(INDEX(项目档案!$E$6:$E$255,MATCH($C90,项目档案!$A$6:$A$255,0)),"")),IF($N90="二级",IF(IFERROR(INDEX(项目档案!$G$6:$G$255,MATCH($C90,项目档案!$A$6:$A$255,0)),"")="",N(IFERROR(INDEX(单位档案!$D$6:$D$35,MATCH($E90,单位档案!$A$6:$A$35,0)),"")),IFERROR(INDEX(项目档案!$G$6:$G$255,MATCH($C90,项目档案!$A$6:$A$255,0)),"")),N(IFERROR(INDEX(单位档案!$D$6:$D$35,MATCH($E90,单位档案!$A$6:$A$35,0)),"")))))</f>
        <v/>
      </c>
      <c r="J90" s="25" t="s">
        <v>401</v>
      </c>
      <c r="K90" s="22" t="s">
        <v>313</v>
      </c>
      <c r="L90" s="33" t="str">
        <f aca="false">IF($B90="","",IF(NOT(ISNUMBER($B90)),"日期格式不对",IF($C90="","未选项目编号",IF(LEFT($M90,1)="⚠","项目编号不存在",IF($D90="","未选业务类型",IF($E90="","未选开票/付款方",IF(ISNA(MATCH($E90,单位档案!$A$6:$A$35,0)),"开票方不在单位档案",IF($F90="","未选收票/收款方",IF(ISNA(MATCH($F90,单位档案!$A$6:$A$35,0)),"收款方不在单位档案",IF(NOT(ISNUMBER($H90)),"金额须为数字",IF(AND($D90="销项开票",$N90="—"),"链条待确认","√")))))))))))</f>
        <v>√</v>
      </c>
      <c r="M90" s="34" t="str">
        <f aca="false">IF($C90="","",IFERROR(INDEX(项目档案!$B$6:$B$255,MATCH($C90,项目档案!$A$6:$A$255,0)),"⚠项目编号不存在"))</f>
        <v>重庆铜梁10kV平凉线惠丰9社等4个台区重过载治理工程</v>
      </c>
      <c r="N90" s="35" t="str">
        <f aca="false">IF($E90="","",IF($E90=IFERROR(INDEX(项目档案!$D$6:$D$255,MATCH($C90,项目档案!$A$6:$A$255,0)),""),"一级",IF($E90=IFERROR(INDEX(项目档案!$F$6:$F$255,MATCH($C90,项目档案!$A$6:$A$255,0)),""),"二级",IF($E90=IFERROR(INDEX(项目档案!$H$6:$H$255,MATCH($C90,项目档案!$A$6:$A$255,0)),""),"我方","—"))))</f>
        <v>我方</v>
      </c>
      <c r="O90" s="36" t="n">
        <f aca="false">IF($D90&lt;&gt;"销项开票",0,ROUND(N($H90)*N($I90),2))</f>
        <v>0</v>
      </c>
      <c r="P90" s="36" t="n">
        <f aca="false">IF($D90&lt;&gt;"销项开票",0,ROUND(N($H90)-$O90,2))</f>
        <v>0</v>
      </c>
      <c r="Q90" s="37" t="n">
        <f aca="false">IF($E90="","",N(IFERROR(INDEX(单位档案!$E$6:$E$35,MATCH($E90,单位档案!$A$6:$A$35,0)),"")))</f>
        <v>0.03</v>
      </c>
      <c r="R90" s="37" t="n">
        <f aca="false">IF($E90="","",N(IFERROR(INDEX(单位档案!$F$6:$F$35,MATCH($E90,单位档案!$A$6:$A$35,0)),"")))</f>
        <v>0</v>
      </c>
      <c r="S90" s="36" t="n">
        <f aca="false">IF(OR($D90&lt;&gt;"销项开票",IFERROR(INDEX(单位档案!$G$6:$G$35,MATCH($E90,单位档案!$A$6:$A$35,0)),"")&lt;&gt;"是",N($Q90)=0),0,IF(IFERROR(INDEX(单位档案!$H$6:$H$35,MATCH($E90,单位档案!$A$6:$A$35,0)),"")="税差法",ROUND(N($H90)/(1+$Q90)*$Q90-IF(N($R90)=0,0,$P90/(1+$R90)*$R90),2),ROUND(N($H90)/(1+$Q90)*$Q90,2)))</f>
        <v>0</v>
      </c>
      <c r="T90" s="36" t="n">
        <f aca="false">ROUND($S90*N(IFERROR(INDEX(单位档案!$J$6:$J$35,MATCH($E90,单位档案!$A$6:$A$35,0)),"")),2)</f>
        <v>0</v>
      </c>
      <c r="U90" s="36" t="n">
        <f aca="false">IF($D90&lt;&gt;"销项开票",0,ROUND(N($H90)*N(IFERROR(INDEX(单位档案!$K$6:$K$35,MATCH($E90,单位档案!$A$6:$A$35,0)),"")),2))</f>
        <v>0</v>
      </c>
      <c r="V90" s="36" t="n">
        <f aca="false">IF(OR($D90&lt;&gt;"销项开票",N($Q90)=0),0,ROUND(N($H90)/(1+$Q90)*N(IFERROR(INDEX(单位档案!$L$6:$L$35,MATCH($E90,单位档案!$A$6:$A$35,0)),"")),2))</f>
        <v>0</v>
      </c>
      <c r="W90" s="36" t="n">
        <f aca="false">ROUND($S90+$T90+$U90+$V90,2)</f>
        <v>0</v>
      </c>
      <c r="X90" s="35" t="str">
        <f aca="false">IF(OR($D90="挂靠代收",$D90="我方收款"),COUNTIFS($D$5:$D90,"挂靠代收")+COUNTIFS($D$5:$D90,"我方收款"),"")</f>
        <v/>
      </c>
      <c r="Y90" s="35" t="s">
        <v>117</v>
      </c>
      <c r="Z90" s="21" t="s">
        <v>111</v>
      </c>
    </row>
    <row r="91" customFormat="false" ht="15.75" hidden="false" customHeight="true" outlineLevel="0" collapsed="false">
      <c r="A91" s="32" t="n">
        <f aca="false">IF($B91="","",ROW()-4)</f>
        <v>87</v>
      </c>
      <c r="B91" s="26" t="n">
        <v>46136</v>
      </c>
      <c r="C91" s="24" t="s">
        <v>165</v>
      </c>
      <c r="D91" s="21" t="s">
        <v>357</v>
      </c>
      <c r="E91" s="21" t="s">
        <v>127</v>
      </c>
      <c r="F91" s="21" t="s">
        <v>117</v>
      </c>
      <c r="G91" s="24" t="s">
        <v>379</v>
      </c>
      <c r="H91" s="27" t="n">
        <v>29461.68</v>
      </c>
      <c r="I91" s="23" t="str">
        <f aca="false">IF($D91&lt;&gt;"销项开票","",IF($N91="一级",IF(IFERROR(INDEX(项目档案!$E$6:$E$255,MATCH($C91,项目档案!$A$6:$A$255,0)),"")="",N(IFERROR(INDEX(单位档案!$D$6:$D$35,MATCH($E91,单位档案!$A$6:$A$35,0)),"")),IFERROR(INDEX(项目档案!$E$6:$E$255,MATCH($C91,项目档案!$A$6:$A$255,0)),"")),IF($N91="二级",IF(IFERROR(INDEX(项目档案!$G$6:$G$255,MATCH($C91,项目档案!$A$6:$A$255,0)),"")="",N(IFERROR(INDEX(单位档案!$D$6:$D$35,MATCH($E91,单位档案!$A$6:$A$35,0)),"")),IFERROR(INDEX(项目档案!$G$6:$G$255,MATCH($C91,项目档案!$A$6:$A$255,0)),"")),N(IFERROR(INDEX(单位档案!$D$6:$D$35,MATCH($E91,单位档案!$A$6:$A$35,0)),"")))))</f>
        <v/>
      </c>
      <c r="J91" s="25" t="s">
        <v>402</v>
      </c>
      <c r="K91" s="22" t="s">
        <v>313</v>
      </c>
      <c r="L91" s="33" t="str">
        <f aca="false">IF($B91="","",IF(NOT(ISNUMBER($B91)),"日期格式不对",IF($C91="","未选项目编号",IF(LEFT($M91,1)="⚠","项目编号不存在",IF($D91="","未选业务类型",IF($E91="","未选开票/付款方",IF(ISNA(MATCH($E91,单位档案!$A$6:$A$35,0)),"开票方不在单位档案",IF($F91="","未选收票/收款方",IF(ISNA(MATCH($F91,单位档案!$A$6:$A$35,0)),"收款方不在单位档案",IF(NOT(ISNUMBER($H91)),"金额须为数字",IF(AND($D91="销项开票",$N91="—"),"链条待确认","√")))))))))))</f>
        <v>√</v>
      </c>
      <c r="M91" s="34" t="str">
        <f aca="false">IF($C91="","",IFERROR(INDEX(项目档案!$B$6:$B$255,MATCH($C91,项目档案!$A$6:$A$255,0)),"⚠项目编号不存在"))</f>
        <v>重庆铜梁10kV平凉线惠丰9社等4个台区重过载治理工程</v>
      </c>
      <c r="N91" s="35" t="str">
        <f aca="false">IF($E91="","",IF($E91=IFERROR(INDEX(项目档案!$D$6:$D$255,MATCH($C91,项目档案!$A$6:$A$255,0)),""),"一级",IF($E91=IFERROR(INDEX(项目档案!$F$6:$F$255,MATCH($C91,项目档案!$A$6:$A$255,0)),""),"二级",IF($E91=IFERROR(INDEX(项目档案!$H$6:$H$255,MATCH($C91,项目档案!$A$6:$A$255,0)),""),"我方","—"))))</f>
        <v>我方</v>
      </c>
      <c r="O91" s="36" t="n">
        <f aca="false">IF($D91&lt;&gt;"销项开票",0,ROUND(N($H91)*N($I91),2))</f>
        <v>0</v>
      </c>
      <c r="P91" s="36" t="n">
        <f aca="false">IF($D91&lt;&gt;"销项开票",0,ROUND(N($H91)-$O91,2))</f>
        <v>0</v>
      </c>
      <c r="Q91" s="37" t="n">
        <f aca="false">IF($E91="","",N(IFERROR(INDEX(单位档案!$E$6:$E$35,MATCH($E91,单位档案!$A$6:$A$35,0)),"")))</f>
        <v>0.03</v>
      </c>
      <c r="R91" s="37" t="n">
        <f aca="false">IF($E91="","",N(IFERROR(INDEX(单位档案!$F$6:$F$35,MATCH($E91,单位档案!$A$6:$A$35,0)),"")))</f>
        <v>0</v>
      </c>
      <c r="S91" s="36" t="n">
        <f aca="false">IF(OR($D91&lt;&gt;"销项开票",IFERROR(INDEX(单位档案!$G$6:$G$35,MATCH($E91,单位档案!$A$6:$A$35,0)),"")&lt;&gt;"是",N($Q91)=0),0,IF(IFERROR(INDEX(单位档案!$H$6:$H$35,MATCH($E91,单位档案!$A$6:$A$35,0)),"")="税差法",ROUND(N($H91)/(1+$Q91)*$Q91-IF(N($R91)=0,0,$P91/(1+$R91)*$R91),2),ROUND(N($H91)/(1+$Q91)*$Q91,2)))</f>
        <v>0</v>
      </c>
      <c r="T91" s="36" t="n">
        <f aca="false">ROUND($S91*N(IFERROR(INDEX(单位档案!$J$6:$J$35,MATCH($E91,单位档案!$A$6:$A$35,0)),"")),2)</f>
        <v>0</v>
      </c>
      <c r="U91" s="36" t="n">
        <f aca="false">IF($D91&lt;&gt;"销项开票",0,ROUND(N($H91)*N(IFERROR(INDEX(单位档案!$K$6:$K$35,MATCH($E91,单位档案!$A$6:$A$35,0)),"")),2))</f>
        <v>0</v>
      </c>
      <c r="V91" s="36" t="n">
        <f aca="false">IF(OR($D91&lt;&gt;"销项开票",N($Q91)=0),0,ROUND(N($H91)/(1+$Q91)*N(IFERROR(INDEX(单位档案!$L$6:$L$35,MATCH($E91,单位档案!$A$6:$A$35,0)),"")),2))</f>
        <v>0</v>
      </c>
      <c r="W91" s="36" t="n">
        <f aca="false">ROUND($S91+$T91+$U91+$V91,2)</f>
        <v>0</v>
      </c>
      <c r="X91" s="35" t="str">
        <f aca="false">IF(OR($D91="挂靠代收",$D91="我方收款"),COUNTIFS($D$5:$D91,"挂靠代收")+COUNTIFS($D$5:$D91,"我方收款"),"")</f>
        <v/>
      </c>
      <c r="Y91" s="35" t="s">
        <v>117</v>
      </c>
      <c r="Z91" s="21" t="s">
        <v>111</v>
      </c>
    </row>
    <row r="92" customFormat="false" ht="15.75" hidden="false" customHeight="true" outlineLevel="0" collapsed="false">
      <c r="A92" s="32" t="n">
        <f aca="false">IF($B92="","",ROW()-4)</f>
        <v>88</v>
      </c>
      <c r="B92" s="26" t="n">
        <v>46136</v>
      </c>
      <c r="C92" s="24" t="s">
        <v>165</v>
      </c>
      <c r="D92" s="21" t="s">
        <v>357</v>
      </c>
      <c r="E92" s="21" t="s">
        <v>127</v>
      </c>
      <c r="F92" s="21" t="s">
        <v>117</v>
      </c>
      <c r="G92" s="24" t="s">
        <v>379</v>
      </c>
      <c r="H92" s="27" t="n">
        <v>39913.46</v>
      </c>
      <c r="I92" s="23" t="str">
        <f aca="false">IF($D92&lt;&gt;"销项开票","",IF($N92="一级",IF(IFERROR(INDEX(项目档案!$E$6:$E$255,MATCH($C92,项目档案!$A$6:$A$255,0)),"")="",N(IFERROR(INDEX(单位档案!$D$6:$D$35,MATCH($E92,单位档案!$A$6:$A$35,0)),"")),IFERROR(INDEX(项目档案!$E$6:$E$255,MATCH($C92,项目档案!$A$6:$A$255,0)),"")),IF($N92="二级",IF(IFERROR(INDEX(项目档案!$G$6:$G$255,MATCH($C92,项目档案!$A$6:$A$255,0)),"")="",N(IFERROR(INDEX(单位档案!$D$6:$D$35,MATCH($E92,单位档案!$A$6:$A$35,0)),"")),IFERROR(INDEX(项目档案!$G$6:$G$255,MATCH($C92,项目档案!$A$6:$A$255,0)),"")),N(IFERROR(INDEX(单位档案!$D$6:$D$35,MATCH($E92,单位档案!$A$6:$A$35,0)),"")))))</f>
        <v/>
      </c>
      <c r="J92" s="25" t="s">
        <v>403</v>
      </c>
      <c r="K92" s="22" t="s">
        <v>313</v>
      </c>
      <c r="L92" s="33" t="str">
        <f aca="false">IF($B92="","",IF(NOT(ISNUMBER($B92)),"日期格式不对",IF($C92="","未选项目编号",IF(LEFT($M92,1)="⚠","项目编号不存在",IF($D92="","未选业务类型",IF($E92="","未选开票/付款方",IF(ISNA(MATCH($E92,单位档案!$A$6:$A$35,0)),"开票方不在单位档案",IF($F92="","未选收票/收款方",IF(ISNA(MATCH($F92,单位档案!$A$6:$A$35,0)),"收款方不在单位档案",IF(NOT(ISNUMBER($H92)),"金额须为数字",IF(AND($D92="销项开票",$N92="—"),"链条待确认","√")))))))))))</f>
        <v>√</v>
      </c>
      <c r="M92" s="34" t="str">
        <f aca="false">IF($C92="","",IFERROR(INDEX(项目档案!$B$6:$B$255,MATCH($C92,项目档案!$A$6:$A$255,0)),"⚠项目编号不存在"))</f>
        <v>重庆铜梁10kV平凉线惠丰9社等4个台区重过载治理工程</v>
      </c>
      <c r="N92" s="35" t="str">
        <f aca="false">IF($E92="","",IF($E92=IFERROR(INDEX(项目档案!$D$6:$D$255,MATCH($C92,项目档案!$A$6:$A$255,0)),""),"一级",IF($E92=IFERROR(INDEX(项目档案!$F$6:$F$255,MATCH($C92,项目档案!$A$6:$A$255,0)),""),"二级",IF($E92=IFERROR(INDEX(项目档案!$H$6:$H$255,MATCH($C92,项目档案!$A$6:$A$255,0)),""),"我方","—"))))</f>
        <v>我方</v>
      </c>
      <c r="O92" s="36" t="n">
        <f aca="false">IF($D92&lt;&gt;"销项开票",0,ROUND(N($H92)*N($I92),2))</f>
        <v>0</v>
      </c>
      <c r="P92" s="36" t="n">
        <f aca="false">IF($D92&lt;&gt;"销项开票",0,ROUND(N($H92)-$O92,2))</f>
        <v>0</v>
      </c>
      <c r="Q92" s="37" t="n">
        <f aca="false">IF($E92="","",N(IFERROR(INDEX(单位档案!$E$6:$E$35,MATCH($E92,单位档案!$A$6:$A$35,0)),"")))</f>
        <v>0.03</v>
      </c>
      <c r="R92" s="37" t="n">
        <f aca="false">IF($E92="","",N(IFERROR(INDEX(单位档案!$F$6:$F$35,MATCH($E92,单位档案!$A$6:$A$35,0)),"")))</f>
        <v>0</v>
      </c>
      <c r="S92" s="36" t="n">
        <f aca="false">IF(OR($D92&lt;&gt;"销项开票",IFERROR(INDEX(单位档案!$G$6:$G$35,MATCH($E92,单位档案!$A$6:$A$35,0)),"")&lt;&gt;"是",N($Q92)=0),0,IF(IFERROR(INDEX(单位档案!$H$6:$H$35,MATCH($E92,单位档案!$A$6:$A$35,0)),"")="税差法",ROUND(N($H92)/(1+$Q92)*$Q92-IF(N($R92)=0,0,$P92/(1+$R92)*$R92),2),ROUND(N($H92)/(1+$Q92)*$Q92,2)))</f>
        <v>0</v>
      </c>
      <c r="T92" s="36" t="n">
        <f aca="false">ROUND($S92*N(IFERROR(INDEX(单位档案!$J$6:$J$35,MATCH($E92,单位档案!$A$6:$A$35,0)),"")),2)</f>
        <v>0</v>
      </c>
      <c r="U92" s="36" t="n">
        <f aca="false">IF($D92&lt;&gt;"销项开票",0,ROUND(N($H92)*N(IFERROR(INDEX(单位档案!$K$6:$K$35,MATCH($E92,单位档案!$A$6:$A$35,0)),"")),2))</f>
        <v>0</v>
      </c>
      <c r="V92" s="36" t="n">
        <f aca="false">IF(OR($D92&lt;&gt;"销项开票",N($Q92)=0),0,ROUND(N($H92)/(1+$Q92)*N(IFERROR(INDEX(单位档案!$L$6:$L$35,MATCH($E92,单位档案!$A$6:$A$35,0)),"")),2))</f>
        <v>0</v>
      </c>
      <c r="W92" s="36" t="n">
        <f aca="false">ROUND($S92+$T92+$U92+$V92,2)</f>
        <v>0</v>
      </c>
      <c r="X92" s="35" t="str">
        <f aca="false">IF(OR($D92="挂靠代收",$D92="我方收款"),COUNTIFS($D$5:$D92,"挂靠代收")+COUNTIFS($D$5:$D92,"我方收款"),"")</f>
        <v/>
      </c>
      <c r="Y92" s="35" t="s">
        <v>117</v>
      </c>
      <c r="Z92" s="21" t="s">
        <v>111</v>
      </c>
    </row>
    <row r="93" customFormat="false" ht="15.75" hidden="false" customHeight="true" outlineLevel="0" collapsed="false">
      <c r="A93" s="32" t="n">
        <f aca="false">IF($B93="","",ROW()-4)</f>
        <v>89</v>
      </c>
      <c r="B93" s="26" t="n">
        <v>46143</v>
      </c>
      <c r="C93" s="24" t="s">
        <v>165</v>
      </c>
      <c r="D93" s="21" t="s">
        <v>307</v>
      </c>
      <c r="E93" s="21" t="s">
        <v>117</v>
      </c>
      <c r="F93" s="21" t="s">
        <v>117</v>
      </c>
      <c r="G93" s="21" t="s">
        <v>386</v>
      </c>
      <c r="H93" s="27" t="n">
        <v>45073.8</v>
      </c>
      <c r="I93" s="23" t="n">
        <f aca="false">IF($D93&lt;&gt;"销项开票","",IF($N93="一级",IF(IFERROR(INDEX(项目档案!$E$6:$E$255,MATCH($C93,项目档案!$A$6:$A$255,0)),"")="",N(IFERROR(INDEX(单位档案!$D$6:$D$35,MATCH($E93,单位档案!$A$6:$A$35,0)),"")),IFERROR(INDEX(项目档案!$E$6:$E$255,MATCH($C93,项目档案!$A$6:$A$255,0)),"")),IF($N93="二级",IF(IFERROR(INDEX(项目档案!$G$6:$G$255,MATCH($C93,项目档案!$A$6:$A$255,0)),"")="",N(IFERROR(INDEX(单位档案!$D$6:$D$35,MATCH($E93,单位档案!$A$6:$A$35,0)),"")),IFERROR(INDEX(项目档案!$G$6:$G$255,MATCH($C93,项目档案!$A$6:$A$255,0)),"")),N(IFERROR(INDEX(单位档案!$D$6:$D$35,MATCH($E93,单位档案!$A$6:$A$35,0)),"")))))</f>
        <v>0.02</v>
      </c>
      <c r="J93" s="25" t="s">
        <v>404</v>
      </c>
      <c r="K93" s="22" t="s">
        <v>313</v>
      </c>
      <c r="L93" s="33" t="str">
        <f aca="false">IF($B93="","",IF(NOT(ISNUMBER($B93)),"日期格式不对",IF($C93="","未选项目编号",IF(LEFT($M93,1)="⚠","项目编号不存在",IF($D93="","未选业务类型",IF($E93="","未选开票/付款方",IF(ISNA(MATCH($E93,单位档案!$A$6:$A$35,0)),"开票方不在单位档案",IF($F93="","未选收票/收款方",IF(ISNA(MATCH($F93,单位档案!$A$6:$A$35,0)),"收款方不在单位档案",IF(NOT(ISNUMBER($H93)),"金额须为数字",IF(AND($D93="销项开票",$N93="—"),"链条待确认","√")))))))))))</f>
        <v>√</v>
      </c>
      <c r="M93" s="34" t="str">
        <f aca="false">IF($C93="","",IFERROR(INDEX(项目档案!$B$6:$B$255,MATCH($C93,项目档案!$A$6:$A$255,0)),"⚠项目编号不存在"))</f>
        <v>重庆铜梁10kV平凉线惠丰9社等4个台区重过载治理工程</v>
      </c>
      <c r="N93" s="35" t="str">
        <f aca="false">IF($E93="","",IF($E93=IFERROR(INDEX(项目档案!$D$6:$D$255,MATCH($C93,项目档案!$A$6:$A$255,0)),""),"一级",IF($E93=IFERROR(INDEX(项目档案!$F$6:$F$255,MATCH($C93,项目档案!$A$6:$A$255,0)),""),"二级",IF($E93=IFERROR(INDEX(项目档案!$H$6:$H$255,MATCH($C93,项目档案!$A$6:$A$255,0)),""),"我方","—"))))</f>
        <v>一级</v>
      </c>
      <c r="O93" s="36" t="n">
        <f aca="false">IF($D93&lt;&gt;"销项开票",0,ROUND(N($H93)*N($I93),2))</f>
        <v>901.48</v>
      </c>
      <c r="P93" s="36" t="n">
        <f aca="false">IF($D93&lt;&gt;"销项开票",0,ROUND(N($H93)-$O93,2))</f>
        <v>44172.32</v>
      </c>
      <c r="Q93" s="37" t="n">
        <f aca="false">IF($E93="","",N(IFERROR(INDEX(单位档案!$E$6:$E$35,MATCH($E93,单位档案!$A$6:$A$35,0)),"")))</f>
        <v>0.03</v>
      </c>
      <c r="R93" s="37" t="n">
        <f aca="false">IF($E93="","",N(IFERROR(INDEX(单位档案!$F$6:$F$35,MATCH($E93,单位档案!$A$6:$A$35,0)),"")))</f>
        <v>0.03</v>
      </c>
      <c r="S93" s="36" t="n">
        <f aca="false">IF(OR($D93&lt;&gt;"销项开票",IFERROR(INDEX(单位档案!$G$6:$G$35,MATCH($E93,单位档案!$A$6:$A$35,0)),"")&lt;&gt;"是",N($Q93)=0),0,IF(IFERROR(INDEX(单位档案!$H$6:$H$35,MATCH($E93,单位档案!$A$6:$A$35,0)),"")="税差法",ROUND(N($H93)/(1+$Q93)*$Q93-IF(N($R93)=0,0,$P93/(1+$R93)*$R93),2),ROUND(N($H93)/(1+$Q93)*$Q93,2)))</f>
        <v>1312.83</v>
      </c>
      <c r="T93" s="36" t="n">
        <f aca="false">ROUND($S93*N(IFERROR(INDEX(单位档案!$J$6:$J$35,MATCH($E93,单位档案!$A$6:$A$35,0)),"")),2)</f>
        <v>78.77</v>
      </c>
      <c r="U93" s="36" t="n">
        <f aca="false">IF($D93&lt;&gt;"销项开票",0,ROUND(N($H93)*N(IFERROR(INDEX(单位档案!$K$6:$K$35,MATCH($E93,单位档案!$A$6:$A$35,0)),"")),2))</f>
        <v>0</v>
      </c>
      <c r="V93" s="36" t="n">
        <f aca="false">IF(OR($D93&lt;&gt;"销项开票",N($Q93)=0),0,ROUND(N($H93)/(1+$Q93)*N(IFERROR(INDEX(单位档案!$L$6:$L$35,MATCH($E93,单位档案!$A$6:$A$35,0)),"")),2))</f>
        <v>87.52</v>
      </c>
      <c r="W93" s="36" t="n">
        <f aca="false">ROUND($S93+$T93+$U93+$V93,2)</f>
        <v>1479.12</v>
      </c>
      <c r="X93" s="35" t="str">
        <f aca="false">IF(OR($D93="挂靠代收",$D93="我方收款"),COUNTIFS($D$5:$D93,"挂靠代收")+COUNTIFS($D$5:$D93,"我方收款"),"")</f>
        <v/>
      </c>
      <c r="Y93" s="35" t="s">
        <v>117</v>
      </c>
      <c r="Z93" s="21" t="s">
        <v>111</v>
      </c>
    </row>
    <row r="94" customFormat="false" ht="15.75" hidden="false" customHeight="true" outlineLevel="0" collapsed="false">
      <c r="A94" s="32" t="n">
        <f aca="false">IF($B94="","",ROW()-4)</f>
        <v>90</v>
      </c>
      <c r="B94" s="26" t="n">
        <v>46160</v>
      </c>
      <c r="C94" s="24" t="s">
        <v>181</v>
      </c>
      <c r="D94" s="21" t="s">
        <v>357</v>
      </c>
      <c r="E94" s="21" t="s">
        <v>127</v>
      </c>
      <c r="F94" s="21" t="s">
        <v>110</v>
      </c>
      <c r="G94" s="21"/>
      <c r="H94" s="27" t="n">
        <v>2326.18</v>
      </c>
      <c r="I94" s="23" t="str">
        <f aca="false">IF($D94&lt;&gt;"销项开票","",IF($N94="一级",IF(IFERROR(INDEX(项目档案!$E$6:$E$255,MATCH($C94,项目档案!$A$6:$A$255,0)),"")="",N(IFERROR(INDEX(单位档案!$D$6:$D$35,MATCH($E94,单位档案!$A$6:$A$35,0)),"")),IFERROR(INDEX(项目档案!$E$6:$E$255,MATCH($C94,项目档案!$A$6:$A$255,0)),"")),IF($N94="二级",IF(IFERROR(INDEX(项目档案!$G$6:$G$255,MATCH($C94,项目档案!$A$6:$A$255,0)),"")="",N(IFERROR(INDEX(单位档案!$D$6:$D$35,MATCH($E94,单位档案!$A$6:$A$35,0)),"")),IFERROR(INDEX(项目档案!$G$6:$G$255,MATCH($C94,项目档案!$A$6:$A$255,0)),"")),N(IFERROR(INDEX(单位档案!$D$6:$D$35,MATCH($E94,单位档案!$A$6:$A$35,0)),"")))))</f>
        <v/>
      </c>
      <c r="J94" s="25" t="s">
        <v>405</v>
      </c>
      <c r="K94" s="22" t="s">
        <v>313</v>
      </c>
      <c r="L94" s="33" t="str">
        <f aca="false">IF($B94="","",IF(NOT(ISNUMBER($B94)),"日期格式不对",IF($C94="","未选项目编号",IF(LEFT($M94,1)="⚠","项目编号不存在",IF($D94="","未选业务类型",IF($E94="","未选开票/付款方",IF(ISNA(MATCH($E94,单位档案!$A$6:$A$35,0)),"开票方不在单位档案",IF($F94="","未选收票/收款方",IF(ISNA(MATCH($F94,单位档案!$A$6:$A$35,0)),"收款方不在单位档案",IF(NOT(ISNUMBER($H94)),"金额须为数字",IF(AND($D94="销项开票",$N94="—"),"链条待确认","√")))))))))))</f>
        <v>√</v>
      </c>
      <c r="M94" s="34" t="str">
        <f aca="false">IF($C94="","",IFERROR(INDEX(项目档案!$B$6:$B$255,MATCH($C94,项目档案!$A$6:$A$255,0)),"⚠项目编号不存在"))</f>
        <v>2025-2026年度工程用特种设备租赁服务框架采购、峰盛模具ZBW-250KVA箱变拆除工程（机械费）</v>
      </c>
      <c r="N94" s="35" t="str">
        <f aca="false">IF($E94="","",IF($E94=IFERROR(INDEX(项目档案!$D$6:$D$255,MATCH($C94,项目档案!$A$6:$A$255,0)),""),"一级",IF($E94=IFERROR(INDEX(项目档案!$F$6:$F$255,MATCH($C94,项目档案!$A$6:$A$255,0)),""),"二级",IF($E94=IFERROR(INDEX(项目档案!$H$6:$H$255,MATCH($C94,项目档案!$A$6:$A$255,0)),""),"我方","—"))))</f>
        <v>我方</v>
      </c>
      <c r="O94" s="36" t="n">
        <f aca="false">IF($D94&lt;&gt;"销项开票",0,ROUND(N($H94)*N($I94),2))</f>
        <v>0</v>
      </c>
      <c r="P94" s="36" t="n">
        <f aca="false">IF($D94&lt;&gt;"销项开票",0,ROUND(N($H94)-$O94,2))</f>
        <v>0</v>
      </c>
      <c r="Q94" s="37" t="n">
        <f aca="false">IF($E94="","",N(IFERROR(INDEX(单位档案!$E$6:$E$35,MATCH($E94,单位档案!$A$6:$A$35,0)),"")))</f>
        <v>0.03</v>
      </c>
      <c r="R94" s="37" t="n">
        <f aca="false">IF($E94="","",N(IFERROR(INDEX(单位档案!$F$6:$F$35,MATCH($E94,单位档案!$A$6:$A$35,0)),"")))</f>
        <v>0</v>
      </c>
      <c r="S94" s="36" t="n">
        <f aca="false">IF(OR($D94&lt;&gt;"销项开票",IFERROR(INDEX(单位档案!$G$6:$G$35,MATCH($E94,单位档案!$A$6:$A$35,0)),"")&lt;&gt;"是",N($Q94)=0),0,IF(IFERROR(INDEX(单位档案!$H$6:$H$35,MATCH($E94,单位档案!$A$6:$A$35,0)),"")="税差法",ROUND(N($H94)/(1+$Q94)*$Q94-IF(N($R94)=0,0,$P94/(1+$R94)*$R94),2),ROUND(N($H94)/(1+$Q94)*$Q94,2)))</f>
        <v>0</v>
      </c>
      <c r="T94" s="36" t="n">
        <f aca="false">ROUND($S94*N(IFERROR(INDEX(单位档案!$J$6:$J$35,MATCH($E94,单位档案!$A$6:$A$35,0)),"")),2)</f>
        <v>0</v>
      </c>
      <c r="U94" s="36" t="n">
        <f aca="false">IF($D94&lt;&gt;"销项开票",0,ROUND(N($H94)*N(IFERROR(INDEX(单位档案!$K$6:$K$35,MATCH($E94,单位档案!$A$6:$A$35,0)),"")),2))</f>
        <v>0</v>
      </c>
      <c r="V94" s="36" t="n">
        <f aca="false">IF(OR($D94&lt;&gt;"销项开票",N($Q94)=0),0,ROUND(N($H94)/(1+$Q94)*N(IFERROR(INDEX(单位档案!$L$6:$L$35,MATCH($E94,单位档案!$A$6:$A$35,0)),"")),2))</f>
        <v>0</v>
      </c>
      <c r="W94" s="36" t="n">
        <f aca="false">ROUND($S94+$T94+$U94+$V94,2)</f>
        <v>0</v>
      </c>
      <c r="X94" s="35" t="str">
        <f aca="false">IF(OR($D94="挂靠代收",$D94="我方收款"),COUNTIFS($D$5:$D94,"挂靠代收")+COUNTIFS($D$5:$D94,"我方收款"),"")</f>
        <v/>
      </c>
      <c r="Y94" s="35" t="s">
        <v>110</v>
      </c>
      <c r="Z94" s="21" t="s">
        <v>111</v>
      </c>
    </row>
    <row r="95" customFormat="false" ht="15.75" hidden="false" customHeight="true" outlineLevel="0" collapsed="false">
      <c r="A95" s="32" t="n">
        <f aca="false">IF($B95="","",ROW()-4)</f>
        <v>91</v>
      </c>
      <c r="B95" s="26" t="n">
        <v>46161</v>
      </c>
      <c r="C95" s="24" t="s">
        <v>188</v>
      </c>
      <c r="D95" s="21" t="s">
        <v>357</v>
      </c>
      <c r="E95" s="21" t="s">
        <v>131</v>
      </c>
      <c r="F95" s="21" t="s">
        <v>106</v>
      </c>
      <c r="G95" s="24" t="s">
        <v>308</v>
      </c>
      <c r="H95" s="27" t="n">
        <v>49836.4</v>
      </c>
      <c r="I95" s="23" t="str">
        <f aca="false">IF($D95&lt;&gt;"销项开票","",IF($N95="一级",IF(IFERROR(INDEX(项目档案!$E$6:$E$255,MATCH($C95,项目档案!$A$6:$A$255,0)),"")="",N(IFERROR(INDEX(单位档案!$D$6:$D$35,MATCH($E95,单位档案!$A$6:$A$35,0)),"")),IFERROR(INDEX(项目档案!$E$6:$E$255,MATCH($C95,项目档案!$A$6:$A$255,0)),"")),IF($N95="二级",IF(IFERROR(INDEX(项目档案!$G$6:$G$255,MATCH($C95,项目档案!$A$6:$A$255,0)),"")="",N(IFERROR(INDEX(单位档案!$D$6:$D$35,MATCH($E95,单位档案!$A$6:$A$35,0)),"")),IFERROR(INDEX(项目档案!$G$6:$G$255,MATCH($C95,项目档案!$A$6:$A$255,0)),"")),N(IFERROR(INDEX(单位档案!$D$6:$D$35,MATCH($E95,单位档案!$A$6:$A$35,0)),"")))))</f>
        <v/>
      </c>
      <c r="J95" s="25" t="s">
        <v>406</v>
      </c>
      <c r="K95" s="22" t="s">
        <v>313</v>
      </c>
      <c r="L95" s="33" t="str">
        <f aca="false">IF($B95="","",IF(NOT(ISNUMBER($B95)),"日期格式不对",IF($C95="","未选项目编号",IF(LEFT($M95,1)="⚠","项目编号不存在",IF($D95="","未选业务类型",IF($E95="","未选开票/付款方",IF(ISNA(MATCH($E95,单位档案!$A$6:$A$35,0)),"开票方不在单位档案",IF($F95="","未选收票/收款方",IF(ISNA(MATCH($F95,单位档案!$A$6:$A$35,0)),"收款方不在单位档案",IF(NOT(ISNUMBER($H95)),"金额须为数字",IF(AND($D95="销项开票",$N95="—"),"链条待确认","√")))))))))))</f>
        <v>√</v>
      </c>
      <c r="M95" s="34" t="str">
        <f aca="false">IF($C95="","",IFERROR(INDEX(项目档案!$B$6:$B$255,MATCH($C95,项目档案!$A$6:$A$255,0)),"⚠项目编号不存在"))</f>
        <v>重庆德誉佳实业有限公司2025-2026年度工程用施工机具等租赁服务框架采购（国网重庆铜梁公司110kV金湖东西电缆改造）</v>
      </c>
      <c r="N95" s="35" t="str">
        <f aca="false">IF($E95="","",IF($E95=IFERROR(INDEX(项目档案!$D$6:$D$255,MATCH($C95,项目档案!$A$6:$A$255,0)),""),"一级",IF($E95=IFERROR(INDEX(项目档案!$F$6:$F$255,MATCH($C95,项目档案!$A$6:$A$255,0)),""),"二级",IF($E95=IFERROR(INDEX(项目档案!$H$6:$H$255,MATCH($C95,项目档案!$A$6:$A$255,0)),""),"我方","—"))))</f>
        <v>—</v>
      </c>
      <c r="O95" s="36" t="n">
        <f aca="false">IF($D95&lt;&gt;"销项开票",0,ROUND(N($H95)*N($I95),2))</f>
        <v>0</v>
      </c>
      <c r="P95" s="36" t="n">
        <f aca="false">IF($D95&lt;&gt;"销项开票",0,ROUND(N($H95)-$O95,2))</f>
        <v>0</v>
      </c>
      <c r="Q95" s="37" t="n">
        <f aca="false">IF($E95="","",N(IFERROR(INDEX(单位档案!$E$6:$E$35,MATCH($E95,单位档案!$A$6:$A$35,0)),"")))</f>
        <v>0.13</v>
      </c>
      <c r="R95" s="37" t="n">
        <f aca="false">IF($E95="","",N(IFERROR(INDEX(单位档案!$F$6:$F$35,MATCH($E95,单位档案!$A$6:$A$35,0)),"")))</f>
        <v>0</v>
      </c>
      <c r="S95" s="36" t="n">
        <f aca="false">IF(OR($D95&lt;&gt;"销项开票",IFERROR(INDEX(单位档案!$G$6:$G$35,MATCH($E95,单位档案!$A$6:$A$35,0)),"")&lt;&gt;"是",N($Q95)=0),0,IF(IFERROR(INDEX(单位档案!$H$6:$H$35,MATCH($E95,单位档案!$A$6:$A$35,0)),"")="税差法",ROUND(N($H95)/(1+$Q95)*$Q95-IF(N($R95)=0,0,$P95/(1+$R95)*$R95),2),ROUND(N($H95)/(1+$Q95)*$Q95,2)))</f>
        <v>0</v>
      </c>
      <c r="T95" s="36" t="n">
        <f aca="false">ROUND($S95*N(IFERROR(INDEX(单位档案!$J$6:$J$35,MATCH($E95,单位档案!$A$6:$A$35,0)),"")),2)</f>
        <v>0</v>
      </c>
      <c r="U95" s="36" t="n">
        <f aca="false">IF($D95&lt;&gt;"销项开票",0,ROUND(N($H95)*N(IFERROR(INDEX(单位档案!$K$6:$K$35,MATCH($E95,单位档案!$A$6:$A$35,0)),"")),2))</f>
        <v>0</v>
      </c>
      <c r="V95" s="36" t="n">
        <f aca="false">IF(OR($D95&lt;&gt;"销项开票",N($Q95)=0),0,ROUND(N($H95)/(1+$Q95)*N(IFERROR(INDEX(单位档案!$L$6:$L$35,MATCH($E95,单位档案!$A$6:$A$35,0)),"")),2))</f>
        <v>0</v>
      </c>
      <c r="W95" s="36" t="n">
        <f aca="false">ROUND($S95+$T95+$U95+$V95,2)</f>
        <v>0</v>
      </c>
      <c r="X95" s="35" t="str">
        <f aca="false">IF(OR($D95="挂靠代收",$D95="我方收款"),COUNTIFS($D$5:$D95,"挂靠代收")+COUNTIFS($D$5:$D95,"我方收款"),"")</f>
        <v/>
      </c>
      <c r="Y95" s="35" t="s">
        <v>106</v>
      </c>
      <c r="Z95" s="21" t="s">
        <v>111</v>
      </c>
    </row>
    <row r="96" customFormat="false" ht="15.75" hidden="false" customHeight="true" outlineLevel="0" collapsed="false">
      <c r="A96" s="32" t="n">
        <f aca="false">IF($B96="","",ROW()-4)</f>
        <v>92</v>
      </c>
      <c r="B96" s="26" t="n">
        <v>46161</v>
      </c>
      <c r="C96" s="24" t="s">
        <v>181</v>
      </c>
      <c r="D96" s="21" t="s">
        <v>357</v>
      </c>
      <c r="E96" s="21" t="s">
        <v>127</v>
      </c>
      <c r="F96" s="21" t="s">
        <v>110</v>
      </c>
      <c r="G96" s="21"/>
      <c r="H96" s="27" t="n">
        <v>845.17</v>
      </c>
      <c r="I96" s="23" t="str">
        <f aca="false">IF($D96&lt;&gt;"销项开票","",IF($N96="一级",IF(IFERROR(INDEX(项目档案!$E$6:$E$255,MATCH($C96,项目档案!$A$6:$A$255,0)),"")="",N(IFERROR(INDEX(单位档案!$D$6:$D$35,MATCH($E96,单位档案!$A$6:$A$35,0)),"")),IFERROR(INDEX(项目档案!$E$6:$E$255,MATCH($C96,项目档案!$A$6:$A$255,0)),"")),IF($N96="二级",IF(IFERROR(INDEX(项目档案!$G$6:$G$255,MATCH($C96,项目档案!$A$6:$A$255,0)),"")="",N(IFERROR(INDEX(单位档案!$D$6:$D$35,MATCH($E96,单位档案!$A$6:$A$35,0)),"")),IFERROR(INDEX(项目档案!$G$6:$G$255,MATCH($C96,项目档案!$A$6:$A$255,0)),"")),N(IFERROR(INDEX(单位档案!$D$6:$D$35,MATCH($E96,单位档案!$A$6:$A$35,0)),"")))))</f>
        <v/>
      </c>
      <c r="J96" s="25" t="s">
        <v>407</v>
      </c>
      <c r="K96" s="22" t="s">
        <v>313</v>
      </c>
      <c r="L96" s="33" t="str">
        <f aca="false">IF($B96="","",IF(NOT(ISNUMBER($B96)),"日期格式不对",IF($C96="","未选项目编号",IF(LEFT($M96,1)="⚠","项目编号不存在",IF($D96="","未选业务类型",IF($E96="","未选开票/付款方",IF(ISNA(MATCH($E96,单位档案!$A$6:$A$35,0)),"开票方不在单位档案",IF($F96="","未选收票/收款方",IF(ISNA(MATCH($F96,单位档案!$A$6:$A$35,0)),"收款方不在单位档案",IF(NOT(ISNUMBER($H96)),"金额须为数字",IF(AND($D96="销项开票",$N96="—"),"链条待确认","√")))))))))))</f>
        <v>√</v>
      </c>
      <c r="M96" s="34" t="str">
        <f aca="false">IF($C96="","",IFERROR(INDEX(项目档案!$B$6:$B$255,MATCH($C96,项目档案!$A$6:$A$255,0)),"⚠项目编号不存在"))</f>
        <v>2025-2026年度工程用特种设备租赁服务框架采购、峰盛模具ZBW-250KVA箱变拆除工程（机械费）</v>
      </c>
      <c r="N96" s="35" t="str">
        <f aca="false">IF($E96="","",IF($E96=IFERROR(INDEX(项目档案!$D$6:$D$255,MATCH($C96,项目档案!$A$6:$A$255,0)),""),"一级",IF($E96=IFERROR(INDEX(项目档案!$F$6:$F$255,MATCH($C96,项目档案!$A$6:$A$255,0)),""),"二级",IF($E96=IFERROR(INDEX(项目档案!$H$6:$H$255,MATCH($C96,项目档案!$A$6:$A$255,0)),""),"我方","—"))))</f>
        <v>我方</v>
      </c>
      <c r="O96" s="36" t="n">
        <f aca="false">IF($D96&lt;&gt;"销项开票",0,ROUND(N($H96)*N($I96),2))</f>
        <v>0</v>
      </c>
      <c r="P96" s="36" t="n">
        <f aca="false">IF($D96&lt;&gt;"销项开票",0,ROUND(N($H96)-$O96,2))</f>
        <v>0</v>
      </c>
      <c r="Q96" s="37" t="n">
        <f aca="false">IF($E96="","",N(IFERROR(INDEX(单位档案!$E$6:$E$35,MATCH($E96,单位档案!$A$6:$A$35,0)),"")))</f>
        <v>0.03</v>
      </c>
      <c r="R96" s="37" t="n">
        <f aca="false">IF($E96="","",N(IFERROR(INDEX(单位档案!$F$6:$F$35,MATCH($E96,单位档案!$A$6:$A$35,0)),"")))</f>
        <v>0</v>
      </c>
      <c r="S96" s="36" t="n">
        <f aca="false">IF(OR($D96&lt;&gt;"销项开票",IFERROR(INDEX(单位档案!$G$6:$G$35,MATCH($E96,单位档案!$A$6:$A$35,0)),"")&lt;&gt;"是",N($Q96)=0),0,IF(IFERROR(INDEX(单位档案!$H$6:$H$35,MATCH($E96,单位档案!$A$6:$A$35,0)),"")="税差法",ROUND(N($H96)/(1+$Q96)*$Q96-IF(N($R96)=0,0,$P96/(1+$R96)*$R96),2),ROUND(N($H96)/(1+$Q96)*$Q96,2)))</f>
        <v>0</v>
      </c>
      <c r="T96" s="36" t="n">
        <f aca="false">ROUND($S96*N(IFERROR(INDEX(单位档案!$J$6:$J$35,MATCH($E96,单位档案!$A$6:$A$35,0)),"")),2)</f>
        <v>0</v>
      </c>
      <c r="U96" s="36" t="n">
        <f aca="false">IF($D96&lt;&gt;"销项开票",0,ROUND(N($H96)*N(IFERROR(INDEX(单位档案!$K$6:$K$35,MATCH($E96,单位档案!$A$6:$A$35,0)),"")),2))</f>
        <v>0</v>
      </c>
      <c r="V96" s="36" t="n">
        <f aca="false">IF(OR($D96&lt;&gt;"销项开票",N($Q96)=0),0,ROUND(N($H96)/(1+$Q96)*N(IFERROR(INDEX(单位档案!$L$6:$L$35,MATCH($E96,单位档案!$A$6:$A$35,0)),"")),2))</f>
        <v>0</v>
      </c>
      <c r="W96" s="36" t="n">
        <f aca="false">ROUND($S96+$T96+$U96+$V96,2)</f>
        <v>0</v>
      </c>
      <c r="X96" s="35" t="str">
        <f aca="false">IF(OR($D96="挂靠代收",$D96="我方收款"),COUNTIFS($D$5:$D96,"挂靠代收")+COUNTIFS($D$5:$D96,"我方收款"),"")</f>
        <v/>
      </c>
      <c r="Y96" s="35" t="s">
        <v>110</v>
      </c>
      <c r="Z96" s="21" t="s">
        <v>111</v>
      </c>
    </row>
    <row r="97" customFormat="false" ht="15.75" hidden="false" customHeight="true" outlineLevel="0" collapsed="false">
      <c r="A97" s="32" t="n">
        <f aca="false">IF($B97="","",ROW()-4)</f>
        <v>93</v>
      </c>
      <c r="B97" s="26" t="n">
        <v>46161</v>
      </c>
      <c r="C97" s="24" t="s">
        <v>181</v>
      </c>
      <c r="D97" s="21" t="s">
        <v>320</v>
      </c>
      <c r="E97" s="21" t="s">
        <v>110</v>
      </c>
      <c r="F97" s="21" t="s">
        <v>127</v>
      </c>
      <c r="G97" s="21"/>
      <c r="H97" s="27" t="n">
        <v>3101.57</v>
      </c>
      <c r="I97" s="23" t="str">
        <f aca="false">IF($D97&lt;&gt;"销项开票","",IF($N97="一级",IF(IFERROR(INDEX(项目档案!$E$6:$E$255,MATCH($C97,项目档案!$A$6:$A$255,0)),"")="",N(IFERROR(INDEX(单位档案!$D$6:$D$35,MATCH($E97,单位档案!$A$6:$A$35,0)),"")),IFERROR(INDEX(项目档案!$E$6:$E$255,MATCH($C97,项目档案!$A$6:$A$255,0)),"")),IF($N97="二级",IF(IFERROR(INDEX(项目档案!$G$6:$G$255,MATCH($C97,项目档案!$A$6:$A$255,0)),"")="",N(IFERROR(INDEX(单位档案!$D$6:$D$35,MATCH($E97,单位档案!$A$6:$A$35,0)),"")),IFERROR(INDEX(项目档案!$G$6:$G$255,MATCH($C97,项目档案!$A$6:$A$255,0)),"")),N(IFERROR(INDEX(单位档案!$D$6:$D$35,MATCH($E97,单位档案!$A$6:$A$35,0)),"")))))</f>
        <v/>
      </c>
      <c r="J97" s="25" t="s">
        <v>408</v>
      </c>
      <c r="K97" s="22" t="s">
        <v>313</v>
      </c>
      <c r="L97" s="33" t="str">
        <f aca="false">IF($B97="","",IF(NOT(ISNUMBER($B97)),"日期格式不对",IF($C97="","未选项目编号",IF(LEFT($M97,1)="⚠","项目编号不存在",IF($D97="","未选业务类型",IF($E97="","未选开票/付款方",IF(ISNA(MATCH($E97,单位档案!$A$6:$A$35,0)),"开票方不在单位档案",IF($F97="","未选收票/收款方",IF(ISNA(MATCH($F97,单位档案!$A$6:$A$35,0)),"收款方不在单位档案",IF(NOT(ISNUMBER($H97)),"金额须为数字",IF(AND($D97="销项开票",$N97="—"),"链条待确认","√")))))))))))</f>
        <v>√</v>
      </c>
      <c r="M97" s="34" t="str">
        <f aca="false">IF($C97="","",IFERROR(INDEX(项目档案!$B$6:$B$255,MATCH($C97,项目档案!$A$6:$A$255,0)),"⚠项目编号不存在"))</f>
        <v>2025-2026年度工程用特种设备租赁服务框架采购、峰盛模具ZBW-250KVA箱变拆除工程（机械费）</v>
      </c>
      <c r="N97" s="35" t="str">
        <f aca="false">IF($E97="","",IF($E97=IFERROR(INDEX(项目档案!$D$6:$D$255,MATCH($C97,项目档案!$A$6:$A$255,0)),""),"一级",IF($E97=IFERROR(INDEX(项目档案!$F$6:$F$255,MATCH($C97,项目档案!$A$6:$A$255,0)),""),"二级",IF($E97=IFERROR(INDEX(项目档案!$H$6:$H$255,MATCH($C97,项目档案!$A$6:$A$255,0)),""),"我方","—"))))</f>
        <v>一级</v>
      </c>
      <c r="O97" s="36" t="n">
        <f aca="false">IF($D97&lt;&gt;"销项开票",0,ROUND(N($H97)*N($I97),2))</f>
        <v>0</v>
      </c>
      <c r="P97" s="36" t="n">
        <f aca="false">IF($D97&lt;&gt;"销项开票",0,ROUND(N($H97)-$O97,2))</f>
        <v>0</v>
      </c>
      <c r="Q97" s="37" t="n">
        <f aca="false">IF($E97="","",N(IFERROR(INDEX(单位档案!$E$6:$E$35,MATCH($E97,单位档案!$A$6:$A$35,0)),"")))</f>
        <v>0.09</v>
      </c>
      <c r="R97" s="37" t="n">
        <f aca="false">IF($E97="","",N(IFERROR(INDEX(单位档案!$F$6:$F$35,MATCH($E97,单位档案!$A$6:$A$35,0)),"")))</f>
        <v>0.03</v>
      </c>
      <c r="S97" s="36" t="n">
        <f aca="false">IF(OR($D97&lt;&gt;"销项开票",IFERROR(INDEX(单位档案!$G$6:$G$35,MATCH($E97,单位档案!$A$6:$A$35,0)),"")&lt;&gt;"是",N($Q97)=0),0,IF(IFERROR(INDEX(单位档案!$H$6:$H$35,MATCH($E97,单位档案!$A$6:$A$35,0)),"")="税差法",ROUND(N($H97)/(1+$Q97)*$Q97-IF(N($R97)=0,0,$P97/(1+$R97)*$R97),2),ROUND(N($H97)/(1+$Q97)*$Q97,2)))</f>
        <v>0</v>
      </c>
      <c r="T97" s="36" t="n">
        <f aca="false">ROUND($S97*N(IFERROR(INDEX(单位档案!$J$6:$J$35,MATCH($E97,单位档案!$A$6:$A$35,0)),"")),2)</f>
        <v>0</v>
      </c>
      <c r="U97" s="36" t="n">
        <f aca="false">IF($D97&lt;&gt;"销项开票",0,ROUND(N($H97)*N(IFERROR(INDEX(单位档案!$K$6:$K$35,MATCH($E97,单位档案!$A$6:$A$35,0)),"")),2))</f>
        <v>0</v>
      </c>
      <c r="V97" s="36" t="n">
        <f aca="false">IF(OR($D97&lt;&gt;"销项开票",N($Q97)=0),0,ROUND(N($H97)/(1+$Q97)*N(IFERROR(INDEX(单位档案!$L$6:$L$35,MATCH($E97,单位档案!$A$6:$A$35,0)),"")),2))</f>
        <v>0</v>
      </c>
      <c r="W97" s="36" t="n">
        <f aca="false">ROUND($S97+$T97+$U97+$V97,2)</f>
        <v>0</v>
      </c>
      <c r="X97" s="35" t="n">
        <f aca="false">IF(OR($D97="挂靠代收",$D97="我方收款"),COUNTIFS($D$5:$D97,"挂靠代收")+COUNTIFS($D$5:$D97,"我方收款"),"")</f>
        <v>7</v>
      </c>
      <c r="Y97" s="35" t="s">
        <v>110</v>
      </c>
      <c r="Z97" s="21" t="s">
        <v>111</v>
      </c>
    </row>
    <row r="98" customFormat="false" ht="15.75" hidden="false" customHeight="true" outlineLevel="0" collapsed="false">
      <c r="A98" s="32" t="n">
        <f aca="false">IF($B98="","",ROW()-4)</f>
        <v>94</v>
      </c>
      <c r="B98" s="26" t="n">
        <v>46161</v>
      </c>
      <c r="C98" s="24" t="s">
        <v>190</v>
      </c>
      <c r="D98" s="21" t="s">
        <v>357</v>
      </c>
      <c r="E98" s="21" t="s">
        <v>127</v>
      </c>
      <c r="F98" s="21" t="s">
        <v>110</v>
      </c>
      <c r="G98" s="21" t="s">
        <v>358</v>
      </c>
      <c r="H98" s="27" t="n">
        <v>37067.52</v>
      </c>
      <c r="I98" s="23" t="str">
        <f aca="false">IF($D98&lt;&gt;"销项开票","",IF($N98="一级",IF(IFERROR(INDEX(项目档案!$E$6:$E$255,MATCH($C98,项目档案!$A$6:$A$255,0)),"")="",N(IFERROR(INDEX(单位档案!$D$6:$D$35,MATCH($E98,单位档案!$A$6:$A$35,0)),"")),IFERROR(INDEX(项目档案!$E$6:$E$255,MATCH($C98,项目档案!$A$6:$A$255,0)),"")),IF($N98="二级",IF(IFERROR(INDEX(项目档案!$G$6:$G$255,MATCH($C98,项目档案!$A$6:$A$255,0)),"")="",N(IFERROR(INDEX(单位档案!$D$6:$D$35,MATCH($E98,单位档案!$A$6:$A$35,0)),"")),IFERROR(INDEX(项目档案!$G$6:$G$255,MATCH($C98,项目档案!$A$6:$A$255,0)),"")),N(IFERROR(INDEX(单位档案!$D$6:$D$35,MATCH($E98,单位档案!$A$6:$A$35,0)),"")))))</f>
        <v/>
      </c>
      <c r="J98" s="25" t="s">
        <v>409</v>
      </c>
      <c r="K98" s="22" t="s">
        <v>313</v>
      </c>
      <c r="L98" s="33" t="str">
        <f aca="false">IF($B98="","",IF(NOT(ISNUMBER($B98)),"日期格式不对",IF($C98="","未选项目编号",IF(LEFT($M98,1)="⚠","项目编号不存在",IF($D98="","未选业务类型",IF($E98="","未选开票/付款方",IF(ISNA(MATCH($E98,单位档案!$A$6:$A$35,0)),"开票方不在单位档案",IF($F98="","未选收票/收款方",IF(ISNA(MATCH($F98,单位档案!$A$6:$A$35,0)),"收款方不在单位档案",IF(NOT(ISNUMBER($H98)),"金额须为数字",IF(AND($D98="销项开票",$N98="—"),"链条待确认","√")))))))))))</f>
        <v>√</v>
      </c>
      <c r="M98" s="34" t="str">
        <f aca="false">IF($C98="","",IFERROR(INDEX(项目档案!$B$6:$B$255,MATCH($C98,项目档案!$A$6:$A$255,0)),"⚠项目编号不存在"))</f>
        <v>重庆民能实业有限公司2025-2026年度工程用施工机具等租赁服务框架采购（国网重庆铜梁公司110kV金湖东西电缆改造）</v>
      </c>
      <c r="N98" s="35" t="str">
        <f aca="false">IF($E98="","",IF($E98=IFERROR(INDEX(项目档案!$D$6:$D$255,MATCH($C98,项目档案!$A$6:$A$255,0)),""),"一级",IF($E98=IFERROR(INDEX(项目档案!$F$6:$F$255,MATCH($C98,项目档案!$A$6:$A$255,0)),""),"二级",IF($E98=IFERROR(INDEX(项目档案!$H$6:$H$255,MATCH($C98,项目档案!$A$6:$A$255,0)),""),"我方","—"))))</f>
        <v>我方</v>
      </c>
      <c r="O98" s="36" t="n">
        <f aca="false">IF($D98&lt;&gt;"销项开票",0,ROUND(N($H98)*N($I98),2))</f>
        <v>0</v>
      </c>
      <c r="P98" s="36" t="n">
        <f aca="false">IF($D98&lt;&gt;"销项开票",0,ROUND(N($H98)-$O98,2))</f>
        <v>0</v>
      </c>
      <c r="Q98" s="37" t="n">
        <f aca="false">IF($E98="","",N(IFERROR(INDEX(单位档案!$E$6:$E$35,MATCH($E98,单位档案!$A$6:$A$35,0)),"")))</f>
        <v>0.03</v>
      </c>
      <c r="R98" s="37" t="n">
        <f aca="false">IF($E98="","",N(IFERROR(INDEX(单位档案!$F$6:$F$35,MATCH($E98,单位档案!$A$6:$A$35,0)),"")))</f>
        <v>0</v>
      </c>
      <c r="S98" s="36" t="n">
        <f aca="false">IF(OR($D98&lt;&gt;"销项开票",IFERROR(INDEX(单位档案!$G$6:$G$35,MATCH($E98,单位档案!$A$6:$A$35,0)),"")&lt;&gt;"是",N($Q98)=0),0,IF(IFERROR(INDEX(单位档案!$H$6:$H$35,MATCH($E98,单位档案!$A$6:$A$35,0)),"")="税差法",ROUND(N($H98)/(1+$Q98)*$Q98-IF(N($R98)=0,0,$P98/(1+$R98)*$R98),2),ROUND(N($H98)/(1+$Q98)*$Q98,2)))</f>
        <v>0</v>
      </c>
      <c r="T98" s="36" t="n">
        <f aca="false">ROUND($S98*N(IFERROR(INDEX(单位档案!$J$6:$J$35,MATCH($E98,单位档案!$A$6:$A$35,0)),"")),2)</f>
        <v>0</v>
      </c>
      <c r="U98" s="36" t="n">
        <f aca="false">IF($D98&lt;&gt;"销项开票",0,ROUND(N($H98)*N(IFERROR(INDEX(单位档案!$K$6:$K$35,MATCH($E98,单位档案!$A$6:$A$35,0)),"")),2))</f>
        <v>0</v>
      </c>
      <c r="V98" s="36" t="n">
        <f aca="false">IF(OR($D98&lt;&gt;"销项开票",N($Q98)=0),0,ROUND(N($H98)/(1+$Q98)*N(IFERROR(INDEX(单位档案!$L$6:$L$35,MATCH($E98,单位档案!$A$6:$A$35,0)),"")),2))</f>
        <v>0</v>
      </c>
      <c r="W98" s="36" t="n">
        <f aca="false">ROUND($S98+$T98+$U98+$V98,2)</f>
        <v>0</v>
      </c>
      <c r="X98" s="35" t="str">
        <f aca="false">IF(OR($D98="挂靠代收",$D98="我方收款"),COUNTIFS($D$5:$D98,"挂靠代收")+COUNTIFS($D$5:$D98,"我方收款"),"")</f>
        <v/>
      </c>
      <c r="Y98" s="35" t="s">
        <v>110</v>
      </c>
      <c r="Z98" s="21" t="s">
        <v>111</v>
      </c>
    </row>
    <row r="99" customFormat="false" ht="15.75" hidden="false" customHeight="true" outlineLevel="0" collapsed="false">
      <c r="A99" s="32" t="n">
        <f aca="false">IF($B99="","",ROW()-4)</f>
        <v>95</v>
      </c>
      <c r="B99" s="26" t="n">
        <v>46162</v>
      </c>
      <c r="C99" s="24" t="s">
        <v>190</v>
      </c>
      <c r="D99" s="21" t="s">
        <v>307</v>
      </c>
      <c r="E99" s="21" t="s">
        <v>117</v>
      </c>
      <c r="F99" s="21" t="s">
        <v>119</v>
      </c>
      <c r="G99" s="24" t="s">
        <v>316</v>
      </c>
      <c r="H99" s="27" t="n">
        <v>32174.6</v>
      </c>
      <c r="I99" s="23" t="n">
        <f aca="false">IF($D99&lt;&gt;"销项开票","",IF($N99="一级",IF(IFERROR(INDEX(项目档案!$E$6:$E$255,MATCH($C99,项目档案!$A$6:$A$255,0)),"")="",N(IFERROR(INDEX(单位档案!$D$6:$D$35,MATCH($E99,单位档案!$A$6:$A$35,0)),"")),IFERROR(INDEX(项目档案!$E$6:$E$255,MATCH($C99,项目档案!$A$6:$A$255,0)),"")),IF($N99="二级",IF(IFERROR(INDEX(项目档案!$G$6:$G$255,MATCH($C99,项目档案!$A$6:$A$255,0)),"")="",N(IFERROR(INDEX(单位档案!$D$6:$D$35,MATCH($E99,单位档案!$A$6:$A$35,0)),"")),IFERROR(INDEX(项目档案!$G$6:$G$255,MATCH($C99,项目档案!$A$6:$A$255,0)),"")),N(IFERROR(INDEX(单位档案!$D$6:$D$35,MATCH($E99,单位档案!$A$6:$A$35,0)),"")))))</f>
        <v>0.02</v>
      </c>
      <c r="J99" s="25" t="s">
        <v>410</v>
      </c>
      <c r="K99" s="22" t="s">
        <v>313</v>
      </c>
      <c r="L99" s="33" t="str">
        <f aca="false">IF($B99="","",IF(NOT(ISNUMBER($B99)),"日期格式不对",IF($C99="","未选项目编号",IF(LEFT($M99,1)="⚠","项目编号不存在",IF($D99="","未选业务类型",IF($E99="","未选开票/付款方",IF(ISNA(MATCH($E99,单位档案!$A$6:$A$35,0)),"开票方不在单位档案",IF($F99="","未选收票/收款方",IF(ISNA(MATCH($F99,单位档案!$A$6:$A$35,0)),"收款方不在单位档案",IF(NOT(ISNUMBER($H99)),"金额须为数字",IF(AND($D99="销项开票",$N99="—"),"链条待确认","√")))))))))))</f>
        <v>√</v>
      </c>
      <c r="M99" s="34" t="str">
        <f aca="false">IF($C99="","",IFERROR(INDEX(项目档案!$B$6:$B$255,MATCH($C99,项目档案!$A$6:$A$255,0)),"⚠项目编号不存在"))</f>
        <v>重庆民能实业有限公司2025-2026年度工程用施工机具等租赁服务框架采购（国网重庆铜梁公司110kV金湖东西电缆改造）</v>
      </c>
      <c r="N99" s="35" t="str">
        <f aca="false">IF($E99="","",IF($E99=IFERROR(INDEX(项目档案!$D$6:$D$255,MATCH($C99,项目档案!$A$6:$A$255,0)),""),"一级",IF($E99=IFERROR(INDEX(项目档案!$F$6:$F$255,MATCH($C99,项目档案!$A$6:$A$255,0)),""),"二级",IF($E99=IFERROR(INDEX(项目档案!$H$6:$H$255,MATCH($C99,项目档案!$A$6:$A$255,0)),""),"我方","—"))))</f>
        <v>二级</v>
      </c>
      <c r="O99" s="36" t="n">
        <f aca="false">IF($D99&lt;&gt;"销项开票",0,ROUND(N($H99)*N($I99),2))</f>
        <v>643.49</v>
      </c>
      <c r="P99" s="36" t="n">
        <f aca="false">IF($D99&lt;&gt;"销项开票",0,ROUND(N($H99)-$O99,2))</f>
        <v>31531.11</v>
      </c>
      <c r="Q99" s="37" t="n">
        <f aca="false">IF($E99="","",N(IFERROR(INDEX(单位档案!$E$6:$E$35,MATCH($E99,单位档案!$A$6:$A$35,0)),"")))</f>
        <v>0.03</v>
      </c>
      <c r="R99" s="37" t="n">
        <f aca="false">IF($E99="","",N(IFERROR(INDEX(单位档案!$F$6:$F$35,MATCH($E99,单位档案!$A$6:$A$35,0)),"")))</f>
        <v>0.03</v>
      </c>
      <c r="S99" s="36" t="n">
        <f aca="false">IF(OR($D99&lt;&gt;"销项开票",IFERROR(INDEX(单位档案!$G$6:$G$35,MATCH($E99,单位档案!$A$6:$A$35,0)),"")&lt;&gt;"是",N($Q99)=0),0,IF(IFERROR(INDEX(单位档案!$H$6:$H$35,MATCH($E99,单位档案!$A$6:$A$35,0)),"")="税差法",ROUND(N($H99)/(1+$Q99)*$Q99-IF(N($R99)=0,0,$P99/(1+$R99)*$R99),2),ROUND(N($H99)/(1+$Q99)*$Q99,2)))</f>
        <v>937.12</v>
      </c>
      <c r="T99" s="36" t="n">
        <f aca="false">ROUND($S99*N(IFERROR(INDEX(单位档案!$J$6:$J$35,MATCH($E99,单位档案!$A$6:$A$35,0)),"")),2)</f>
        <v>56.23</v>
      </c>
      <c r="U99" s="36" t="n">
        <f aca="false">IF($D99&lt;&gt;"销项开票",0,ROUND(N($H99)*N(IFERROR(INDEX(单位档案!$K$6:$K$35,MATCH($E99,单位档案!$A$6:$A$35,0)),"")),2))</f>
        <v>0</v>
      </c>
      <c r="V99" s="36" t="n">
        <f aca="false">IF(OR($D99&lt;&gt;"销项开票",N($Q99)=0),0,ROUND(N($H99)/(1+$Q99)*N(IFERROR(INDEX(单位档案!$L$6:$L$35,MATCH($E99,单位档案!$A$6:$A$35,0)),"")),2))</f>
        <v>62.47</v>
      </c>
      <c r="W99" s="36" t="n">
        <f aca="false">ROUND($S99+$T99+$U99+$V99,2)</f>
        <v>1055.82</v>
      </c>
      <c r="X99" s="35" t="str">
        <f aca="false">IF(OR($D99="挂靠代收",$D99="我方收款"),COUNTIFS($D$5:$D99,"挂靠代收")+COUNTIFS($D$5:$D99,"我方收款"),"")</f>
        <v/>
      </c>
      <c r="Y99" s="35" t="s">
        <v>117</v>
      </c>
      <c r="Z99" s="21" t="s">
        <v>111</v>
      </c>
    </row>
    <row r="100" customFormat="false" ht="15.75" hidden="false" customHeight="true" outlineLevel="0" collapsed="false">
      <c r="A100" s="32" t="n">
        <f aca="false">IF($B100="","",ROW()-4)</f>
        <v>96</v>
      </c>
      <c r="B100" s="26" t="n">
        <v>46162</v>
      </c>
      <c r="C100" s="24" t="s">
        <v>190</v>
      </c>
      <c r="D100" s="21" t="s">
        <v>307</v>
      </c>
      <c r="E100" s="21" t="s">
        <v>117</v>
      </c>
      <c r="F100" s="21" t="s">
        <v>119</v>
      </c>
      <c r="G100" s="24" t="s">
        <v>316</v>
      </c>
      <c r="H100" s="27" t="n">
        <v>65688.7</v>
      </c>
      <c r="I100" s="23" t="n">
        <f aca="false">IF($D100&lt;&gt;"销项开票","",IF($N100="一级",IF(IFERROR(INDEX(项目档案!$E$6:$E$255,MATCH($C100,项目档案!$A$6:$A$255,0)),"")="",N(IFERROR(INDEX(单位档案!$D$6:$D$35,MATCH($E100,单位档案!$A$6:$A$35,0)),"")),IFERROR(INDEX(项目档案!$E$6:$E$255,MATCH($C100,项目档案!$A$6:$A$255,0)),"")),IF($N100="二级",IF(IFERROR(INDEX(项目档案!$G$6:$G$255,MATCH($C100,项目档案!$A$6:$A$255,0)),"")="",N(IFERROR(INDEX(单位档案!$D$6:$D$35,MATCH($E100,单位档案!$A$6:$A$35,0)),"")),IFERROR(INDEX(项目档案!$G$6:$G$255,MATCH($C100,项目档案!$A$6:$A$255,0)),"")),N(IFERROR(INDEX(单位档案!$D$6:$D$35,MATCH($E100,单位档案!$A$6:$A$35,0)),"")))))</f>
        <v>0.02</v>
      </c>
      <c r="J100" s="25" t="s">
        <v>411</v>
      </c>
      <c r="K100" s="22" t="s">
        <v>313</v>
      </c>
      <c r="L100" s="33" t="str">
        <f aca="false">IF($B100="","",IF(NOT(ISNUMBER($B100)),"日期格式不对",IF($C100="","未选项目编号",IF(LEFT($M100,1)="⚠","项目编号不存在",IF($D100="","未选业务类型",IF($E100="","未选开票/付款方",IF(ISNA(MATCH($E100,单位档案!$A$6:$A$35,0)),"开票方不在单位档案",IF($F100="","未选收票/收款方",IF(ISNA(MATCH($F100,单位档案!$A$6:$A$35,0)),"收款方不在单位档案",IF(NOT(ISNUMBER($H100)),"金额须为数字",IF(AND($D100="销项开票",$N100="—"),"链条待确认","√")))))))))))</f>
        <v>√</v>
      </c>
      <c r="M100" s="34" t="str">
        <f aca="false">IF($C100="","",IFERROR(INDEX(项目档案!$B$6:$B$255,MATCH($C100,项目档案!$A$6:$A$255,0)),"⚠项目编号不存在"))</f>
        <v>重庆民能实业有限公司2025-2026年度工程用施工机具等租赁服务框架采购（国网重庆铜梁公司110kV金湖东西电缆改造）</v>
      </c>
      <c r="N100" s="35" t="str">
        <f aca="false">IF($E100="","",IF($E100=IFERROR(INDEX(项目档案!$D$6:$D$255,MATCH($C100,项目档案!$A$6:$A$255,0)),""),"一级",IF($E100=IFERROR(INDEX(项目档案!$F$6:$F$255,MATCH($C100,项目档案!$A$6:$A$255,0)),""),"二级",IF($E100=IFERROR(INDEX(项目档案!$H$6:$H$255,MATCH($C100,项目档案!$A$6:$A$255,0)),""),"我方","—"))))</f>
        <v>二级</v>
      </c>
      <c r="O100" s="36" t="n">
        <f aca="false">IF($D100&lt;&gt;"销项开票",0,ROUND(N($H100)*N($I100),2))</f>
        <v>1313.77</v>
      </c>
      <c r="P100" s="36" t="n">
        <f aca="false">IF($D100&lt;&gt;"销项开票",0,ROUND(N($H100)-$O100,2))</f>
        <v>64374.93</v>
      </c>
      <c r="Q100" s="37" t="n">
        <f aca="false">IF($E100="","",N(IFERROR(INDEX(单位档案!$E$6:$E$35,MATCH($E100,单位档案!$A$6:$A$35,0)),"")))</f>
        <v>0.03</v>
      </c>
      <c r="R100" s="37" t="n">
        <f aca="false">IF($E100="","",N(IFERROR(INDEX(单位档案!$F$6:$F$35,MATCH($E100,单位档案!$A$6:$A$35,0)),"")))</f>
        <v>0.03</v>
      </c>
      <c r="S100" s="36" t="n">
        <f aca="false">IF(OR($D100&lt;&gt;"销项开票",IFERROR(INDEX(单位档案!$G$6:$G$35,MATCH($E100,单位档案!$A$6:$A$35,0)),"")&lt;&gt;"是",N($Q100)=0),0,IF(IFERROR(INDEX(单位档案!$H$6:$H$35,MATCH($E100,单位档案!$A$6:$A$35,0)),"")="税差法",ROUND(N($H100)/(1+$Q100)*$Q100-IF(N($R100)=0,0,$P100/(1+$R100)*$R100),2),ROUND(N($H100)/(1+$Q100)*$Q100,2)))</f>
        <v>1913.26</v>
      </c>
      <c r="T100" s="36" t="n">
        <f aca="false">ROUND($S100*N(IFERROR(INDEX(单位档案!$J$6:$J$35,MATCH($E100,单位档案!$A$6:$A$35,0)),"")),2)</f>
        <v>114.8</v>
      </c>
      <c r="U100" s="36" t="n">
        <f aca="false">IF($D100&lt;&gt;"销项开票",0,ROUND(N($H100)*N(IFERROR(INDEX(单位档案!$K$6:$K$35,MATCH($E100,单位档案!$A$6:$A$35,0)),"")),2))</f>
        <v>0</v>
      </c>
      <c r="V100" s="36" t="n">
        <f aca="false">IF(OR($D100&lt;&gt;"销项开票",N($Q100)=0),0,ROUND(N($H100)/(1+$Q100)*N(IFERROR(INDEX(单位档案!$L$6:$L$35,MATCH($E100,单位档案!$A$6:$A$35,0)),"")),2))</f>
        <v>127.55</v>
      </c>
      <c r="W100" s="36" t="n">
        <f aca="false">ROUND($S100+$T100+$U100+$V100,2)</f>
        <v>2155.61</v>
      </c>
      <c r="X100" s="35" t="str">
        <f aca="false">IF(OR($D100="挂靠代收",$D100="我方收款"),COUNTIFS($D$5:$D100,"挂靠代收")+COUNTIFS($D$5:$D100,"我方收款"),"")</f>
        <v/>
      </c>
      <c r="Y100" s="35" t="s">
        <v>117</v>
      </c>
      <c r="Z100" s="21" t="s">
        <v>111</v>
      </c>
    </row>
    <row r="101" customFormat="false" ht="15.75" hidden="false" customHeight="true" outlineLevel="0" collapsed="false">
      <c r="A101" s="32" t="n">
        <f aca="false">IF($B101="","",ROW()-4)</f>
        <v>97</v>
      </c>
      <c r="B101" s="26" t="n">
        <v>46162</v>
      </c>
      <c r="C101" s="24" t="s">
        <v>185</v>
      </c>
      <c r="D101" s="21" t="s">
        <v>307</v>
      </c>
      <c r="E101" s="21" t="s">
        <v>106</v>
      </c>
      <c r="F101" s="21" t="s">
        <v>97</v>
      </c>
      <c r="G101" s="24" t="s">
        <v>308</v>
      </c>
      <c r="H101" s="27" t="n">
        <v>5794.03</v>
      </c>
      <c r="I101" s="23" t="n">
        <v>0.08</v>
      </c>
      <c r="J101" s="25" t="s">
        <v>412</v>
      </c>
      <c r="K101" s="22" t="s">
        <v>313</v>
      </c>
      <c r="L101" s="33" t="str">
        <f aca="false">IF($B101="","",IF(NOT(ISNUMBER($B101)),"日期格式不对",IF($C101="","未选项目编号",IF(LEFT($M101,1)="⚠","项目编号不存在",IF($D101="","未选业务类型",IF($E101="","未选开票/付款方",IF(ISNA(MATCH($E101,单位档案!$A$6:$A$35,0)),"开票方不在单位档案",IF($F101="","未选收票/收款方",IF(ISNA(MATCH($F101,单位档案!$A$6:$A$35,0)),"收款方不在单位档案",IF(NOT(ISNUMBER($H101)),"金额须为数字",IF(AND($D101="销项开票",$N101="—"),"链条待确认","√")))))))))))</f>
        <v>√</v>
      </c>
      <c r="M101" s="34" t="str">
        <f aca="false">IF($C101="","",IFERROR(INDEX(项目档案!$B$6:$B$255,MATCH($C101,项目档案!$A$6:$A$255,0)),"⚠项目编号不存在"))</f>
        <v>重庆德誉佳实业有限公司2025-2026年度工程用特种设备租赁服务框架采购-铜梁公司2025年成本类优化营商环境项目（平滩所何银强等5个低压业扩工程）</v>
      </c>
      <c r="N101" s="35" t="str">
        <f aca="false">IF($E101="","",IF($E101=IFERROR(INDEX(项目档案!$D$6:$D$255,MATCH($C101,项目档案!$A$6:$A$255,0)),""),"一级",IF($E101=IFERROR(INDEX(项目档案!$F$6:$F$255,MATCH($C101,项目档案!$A$6:$A$255,0)),""),"二级",IF($E101=IFERROR(INDEX(项目档案!$H$6:$H$255,MATCH($C101,项目档案!$A$6:$A$255,0)),""),"我方","—"))))</f>
        <v>一级</v>
      </c>
      <c r="O101" s="36" t="n">
        <f aca="false">IF($D101&lt;&gt;"销项开票",0,ROUND(N($H101)*N($I101),2))</f>
        <v>463.52</v>
      </c>
      <c r="P101" s="36" t="n">
        <f aca="false">IF($D101&lt;&gt;"销项开票",0,ROUND(N($H101)-$O101,2))</f>
        <v>5330.51</v>
      </c>
      <c r="Q101" s="37" t="n">
        <f aca="false">IF($E101="","",N(IFERROR(INDEX(单位档案!$E$6:$E$35,MATCH($E101,单位档案!$A$6:$A$35,0)),"")))</f>
        <v>0.13</v>
      </c>
      <c r="R101" s="37" t="n">
        <f aca="false">IF($E101="","",N(IFERROR(INDEX(单位档案!$F$6:$F$35,MATCH($E101,单位档案!$A$6:$A$35,0)),"")))</f>
        <v>0.13</v>
      </c>
      <c r="S101" s="36" t="n">
        <f aca="false">IF(OR($D101&lt;&gt;"销项开票",IFERROR(INDEX(单位档案!$G$6:$G$35,MATCH($E101,单位档案!$A$6:$A$35,0)),"")&lt;&gt;"是",N($Q101)=0),0,IF(IFERROR(INDEX(单位档案!$H$6:$H$35,MATCH($E101,单位档案!$A$6:$A$35,0)),"")="税差法",ROUND(N($H101)/(1+$Q101)*$Q101-IF(N($R101)=0,0,$P101/(1+$R101)*$R101),2),ROUND(N($H101)/(1+$Q101)*$Q101,2)))</f>
        <v>0</v>
      </c>
      <c r="T101" s="36" t="n">
        <f aca="false">ROUND($S101*N(IFERROR(INDEX(单位档案!$J$6:$J$35,MATCH($E101,单位档案!$A$6:$A$35,0)),"")),2)</f>
        <v>0</v>
      </c>
      <c r="U101" s="36" t="n">
        <f aca="false">IF($D101&lt;&gt;"销项开票",0,ROUND(N($H101)*N(IFERROR(INDEX(单位档案!$K$6:$K$35,MATCH($E101,单位档案!$A$6:$A$35,0)),"")),2))</f>
        <v>0</v>
      </c>
      <c r="V101" s="36" t="n">
        <f aca="false">IF(OR($D101&lt;&gt;"销项开票",N($Q101)=0),0,ROUND(N($H101)/(1+$Q101)*N(IFERROR(INDEX(单位档案!$L$6:$L$35,MATCH($E101,单位档案!$A$6:$A$35,0)),"")),2))</f>
        <v>0</v>
      </c>
      <c r="W101" s="36" t="n">
        <f aca="false">ROUND($S101+$T101+$U101+$V101,2)</f>
        <v>0</v>
      </c>
      <c r="X101" s="35" t="str">
        <f aca="false">IF(OR($D101="挂靠代收",$D101="我方收款"),COUNTIFS($D$5:$D101,"挂靠代收")+COUNTIFS($D$5:$D101,"我方收款"),"")</f>
        <v/>
      </c>
      <c r="Y101" s="35" t="s">
        <v>106</v>
      </c>
      <c r="Z101" s="21" t="s">
        <v>111</v>
      </c>
    </row>
    <row r="102" customFormat="false" ht="15.75" hidden="false" customHeight="true" outlineLevel="0" collapsed="false">
      <c r="A102" s="32" t="n">
        <f aca="false">IF($B102="","",ROW()-4)</f>
        <v>98</v>
      </c>
      <c r="B102" s="26" t="n">
        <v>46162</v>
      </c>
      <c r="C102" s="24" t="s">
        <v>185</v>
      </c>
      <c r="D102" s="21" t="s">
        <v>314</v>
      </c>
      <c r="E102" s="21" t="s">
        <v>127</v>
      </c>
      <c r="F102" s="21" t="s">
        <v>106</v>
      </c>
      <c r="G102" s="24" t="s">
        <v>308</v>
      </c>
      <c r="H102" s="27" t="n">
        <v>463.52</v>
      </c>
      <c r="I102" s="23" t="str">
        <f aca="false">IF($D102&lt;&gt;"销项开票","",IF($N102="一级",IF(IFERROR(INDEX(项目档案!$E$6:$E$255,MATCH($C102,项目档案!$A$6:$A$255,0)),"")="",N(IFERROR(INDEX(单位档案!$D$6:$D$35,MATCH($E102,单位档案!$A$6:$A$35,0)),"")),IFERROR(INDEX(项目档案!$E$6:$E$255,MATCH($C102,项目档案!$A$6:$A$255,0)),"")),IF($N102="二级",IF(IFERROR(INDEX(项目档案!$G$6:$G$255,MATCH($C102,项目档案!$A$6:$A$255,0)),"")="",N(IFERROR(INDEX(单位档案!$D$6:$D$35,MATCH($E102,单位档案!$A$6:$A$35,0)),"")),IFERROR(INDEX(项目档案!$G$6:$G$255,MATCH($C102,项目档案!$A$6:$A$255,0)),"")),N(IFERROR(INDEX(单位档案!$D$6:$D$35,MATCH($E102,单位档案!$A$6:$A$35,0)),"")))))</f>
        <v/>
      </c>
      <c r="J102" s="25" t="s">
        <v>412</v>
      </c>
      <c r="K102" s="22" t="s">
        <v>313</v>
      </c>
      <c r="L102" s="33" t="str">
        <f aca="false">IF($B102="","",IF(NOT(ISNUMBER($B102)),"日期格式不对",IF($C102="","未选项目编号",IF(LEFT($M102,1)="⚠","项目编号不存在",IF($D102="","未选业务类型",IF($E102="","未选开票/付款方",IF(ISNA(MATCH($E102,单位档案!$A$6:$A$35,0)),"开票方不在单位档案",IF($F102="","未选收票/收款方",IF(ISNA(MATCH($F102,单位档案!$A$6:$A$35,0)),"收款方不在单位档案",IF(NOT(ISNUMBER($H102)),"金额须为数字",IF(AND($D102="销项开票",$N102="—"),"链条待确认","√")))))))))))</f>
        <v>√</v>
      </c>
      <c r="M102" s="34" t="str">
        <f aca="false">IF($C102="","",IFERROR(INDEX(项目档案!$B$6:$B$255,MATCH($C102,项目档案!$A$6:$A$255,0)),"⚠项目编号不存在"))</f>
        <v>重庆德誉佳实业有限公司2025-2026年度工程用特种设备租赁服务框架采购-铜梁公司2025年成本类优化营商环境项目（平滩所何银强等5个低压业扩工程）</v>
      </c>
      <c r="N102" s="35" t="str">
        <f aca="false">IF($E102="","",IF($E102=IFERROR(INDEX(项目档案!$D$6:$D$255,MATCH($C102,项目档案!$A$6:$A$255,0)),""),"一级",IF($E102=IFERROR(INDEX(项目档案!$F$6:$F$255,MATCH($C102,项目档案!$A$6:$A$255,0)),""),"二级",IF($E102=IFERROR(INDEX(项目档案!$H$6:$H$255,MATCH($C102,项目档案!$A$6:$A$255,0)),""),"我方","—"))))</f>
        <v>我方</v>
      </c>
      <c r="O102" s="36" t="n">
        <f aca="false">IF($D102&lt;&gt;"销项开票",0,ROUND(N($H102)*N($I102),2))</f>
        <v>0</v>
      </c>
      <c r="P102" s="36" t="n">
        <f aca="false">IF($D102&lt;&gt;"销项开票",0,ROUND(N($H102)-$O102,2))</f>
        <v>0</v>
      </c>
      <c r="Q102" s="37" t="n">
        <f aca="false">IF($E102="","",N(IFERROR(INDEX(单位档案!$E$6:$E$35,MATCH($E102,单位档案!$A$6:$A$35,0)),"")))</f>
        <v>0.03</v>
      </c>
      <c r="R102" s="37" t="n">
        <f aca="false">IF($E102="","",N(IFERROR(INDEX(单位档案!$F$6:$F$35,MATCH($E102,单位档案!$A$6:$A$35,0)),"")))</f>
        <v>0</v>
      </c>
      <c r="S102" s="36" t="n">
        <f aca="false">IF(OR($D102&lt;&gt;"销项开票",IFERROR(INDEX(单位档案!$G$6:$G$35,MATCH($E102,单位档案!$A$6:$A$35,0)),"")&lt;&gt;"是",N($Q102)=0),0,IF(IFERROR(INDEX(单位档案!$H$6:$H$35,MATCH($E102,单位档案!$A$6:$A$35,0)),"")="税差法",ROUND(N($H102)/(1+$Q102)*$Q102-IF(N($R102)=0,0,$P102/(1+$R102)*$R102),2),ROUND(N($H102)/(1+$Q102)*$Q102,2)))</f>
        <v>0</v>
      </c>
      <c r="T102" s="36" t="n">
        <f aca="false">ROUND($S102*N(IFERROR(INDEX(单位档案!$J$6:$J$35,MATCH($E102,单位档案!$A$6:$A$35,0)),"")),2)</f>
        <v>0</v>
      </c>
      <c r="U102" s="36" t="n">
        <f aca="false">IF($D102&lt;&gt;"销项开票",0,ROUND(N($H102)*N(IFERROR(INDEX(单位档案!$K$6:$K$35,MATCH($E102,单位档案!$A$6:$A$35,0)),"")),2))</f>
        <v>0</v>
      </c>
      <c r="V102" s="36" t="n">
        <f aca="false">IF(OR($D102&lt;&gt;"销项开票",N($Q102)=0),0,ROUND(N($H102)/(1+$Q102)*N(IFERROR(INDEX(单位档案!$L$6:$L$35,MATCH($E102,单位档案!$A$6:$A$35,0)),"")),2))</f>
        <v>0</v>
      </c>
      <c r="W102" s="36" t="n">
        <f aca="false">ROUND($S102+$T102+$U102+$V102,2)</f>
        <v>0</v>
      </c>
      <c r="X102" s="35" t="str">
        <f aca="false">IF(OR($D102="挂靠代收",$D102="我方收款"),COUNTIFS($D$5:$D102,"挂靠代收")+COUNTIFS($D$5:$D102,"我方收款"),"")</f>
        <v/>
      </c>
      <c r="Y102" s="35" t="s">
        <v>106</v>
      </c>
      <c r="Z102" s="21" t="s">
        <v>111</v>
      </c>
    </row>
    <row r="103" customFormat="false" ht="15.75" hidden="false" customHeight="true" outlineLevel="0" collapsed="false">
      <c r="A103" s="32" t="n">
        <f aca="false">IF($B103="","",ROW()-4)</f>
        <v>99</v>
      </c>
      <c r="B103" s="26" t="n">
        <v>46162</v>
      </c>
      <c r="C103" s="24" t="s">
        <v>185</v>
      </c>
      <c r="D103" s="21" t="s">
        <v>307</v>
      </c>
      <c r="E103" s="21" t="s">
        <v>121</v>
      </c>
      <c r="F103" s="21" t="s">
        <v>106</v>
      </c>
      <c r="G103" s="24" t="s">
        <v>308</v>
      </c>
      <c r="H103" s="27" t="n">
        <v>5330.51</v>
      </c>
      <c r="I103" s="23" t="n">
        <f aca="false">IF($D103&lt;&gt;"销项开票","",IF($N103="一级",IF(IFERROR(INDEX(项目档案!$E$6:$E$255,MATCH($C103,项目档案!$A$6:$A$255,0)),"")="",N(IFERROR(INDEX(单位档案!$D$6:$D$35,MATCH($E103,单位档案!$A$6:$A$35,0)),"")),IFERROR(INDEX(项目档案!$E$6:$E$255,MATCH($C103,项目档案!$A$6:$A$255,0)),"")),IF($N103="二级",IF(IFERROR(INDEX(项目档案!$G$6:$G$255,MATCH($C103,项目档案!$A$6:$A$255,0)),"")="",N(IFERROR(INDEX(单位档案!$D$6:$D$35,MATCH($E103,单位档案!$A$6:$A$35,0)),"")),IFERROR(INDEX(项目档案!$G$6:$G$255,MATCH($C103,项目档案!$A$6:$A$255,0)),"")),N(IFERROR(INDEX(单位档案!$D$6:$D$35,MATCH($E103,单位档案!$A$6:$A$35,0)),"")))))</f>
        <v>0.02</v>
      </c>
      <c r="J103" s="25" t="s">
        <v>413</v>
      </c>
      <c r="K103" s="22" t="s">
        <v>313</v>
      </c>
      <c r="L103" s="33" t="str">
        <f aca="false">IF($B103="","",IF(NOT(ISNUMBER($B103)),"日期格式不对",IF($C103="","未选项目编号",IF(LEFT($M103,1)="⚠","项目编号不存在",IF($D103="","未选业务类型",IF($E103="","未选开票/付款方",IF(ISNA(MATCH($E103,单位档案!$A$6:$A$35,0)),"开票方不在单位档案",IF($F103="","未选收票/收款方",IF(ISNA(MATCH($F103,单位档案!$A$6:$A$35,0)),"收款方不在单位档案",IF(NOT(ISNUMBER($H103)),"金额须为数字",IF(AND($D103="销项开票",$N103="—"),"链条待确认","√")))))))))))</f>
        <v>√</v>
      </c>
      <c r="M103" s="34" t="str">
        <f aca="false">IF($C103="","",IFERROR(INDEX(项目档案!$B$6:$B$255,MATCH($C103,项目档案!$A$6:$A$255,0)),"⚠项目编号不存在"))</f>
        <v>重庆德誉佳实业有限公司2025-2026年度工程用特种设备租赁服务框架采购-铜梁公司2025年成本类优化营商环境项目（平滩所何银强等5个低压业扩工程）</v>
      </c>
      <c r="N103" s="35" t="str">
        <f aca="false">IF($E103="","",IF($E103=IFERROR(INDEX(项目档案!$D$6:$D$255,MATCH($C103,项目档案!$A$6:$A$255,0)),""),"一级",IF($E103=IFERROR(INDEX(项目档案!$F$6:$F$255,MATCH($C103,项目档案!$A$6:$A$255,0)),""),"二级",IF($E103=IFERROR(INDEX(项目档案!$H$6:$H$255,MATCH($C103,项目档案!$A$6:$A$255,0)),""),"我方","—"))))</f>
        <v>二级</v>
      </c>
      <c r="O103" s="36" t="n">
        <f aca="false">IF($D103&lt;&gt;"销项开票",0,ROUND(N($H103)*N($I103),2))</f>
        <v>106.61</v>
      </c>
      <c r="P103" s="36" t="n">
        <f aca="false">IF($D103&lt;&gt;"销项开票",0,ROUND(N($H103)-$O103,2))</f>
        <v>5223.9</v>
      </c>
      <c r="Q103" s="37" t="n">
        <f aca="false">IF($E103="","",N(IFERROR(INDEX(单位档案!$E$6:$E$35,MATCH($E103,单位档案!$A$6:$A$35,0)),"")))</f>
        <v>0.13</v>
      </c>
      <c r="R103" s="37" t="n">
        <f aca="false">IF($E103="","",N(IFERROR(INDEX(单位档案!$F$6:$F$35,MATCH($E103,单位档案!$A$6:$A$35,0)),"")))</f>
        <v>0.13</v>
      </c>
      <c r="S103" s="36" t="n">
        <f aca="false">IF(OR($D103&lt;&gt;"销项开票",IFERROR(INDEX(单位档案!$G$6:$G$35,MATCH($E103,单位档案!$A$6:$A$35,0)),"")&lt;&gt;"是",N($Q103)=0),0,IF(IFERROR(INDEX(单位档案!$H$6:$H$35,MATCH($E103,单位档案!$A$6:$A$35,0)),"")="税差法",ROUND(N($H103)/(1+$Q103)*$Q103-IF(N($R103)=0,0,$P103/(1+$R103)*$R103),2),ROUND(N($H103)/(1+$Q103)*$Q103,2)))</f>
        <v>12.26</v>
      </c>
      <c r="T103" s="36" t="n">
        <f aca="false">ROUND($S103*N(IFERROR(INDEX(单位档案!$J$6:$J$35,MATCH($E103,单位档案!$A$6:$A$35,0)),"")),2)</f>
        <v>0.74</v>
      </c>
      <c r="U103" s="36" t="n">
        <f aca="false">IF($D103&lt;&gt;"销项开票",0,ROUND(N($H103)*N(IFERROR(INDEX(单位档案!$K$6:$K$35,MATCH($E103,单位档案!$A$6:$A$35,0)),"")),2))</f>
        <v>0</v>
      </c>
      <c r="V103" s="36" t="n">
        <f aca="false">IF(OR($D103&lt;&gt;"销项开票",N($Q103)=0),0,ROUND(N($H103)/(1+$Q103)*N(IFERROR(INDEX(单位档案!$L$6:$L$35,MATCH($E103,单位档案!$A$6:$A$35,0)),"")),2))</f>
        <v>0</v>
      </c>
      <c r="W103" s="36" t="n">
        <f aca="false">ROUND($S103+$T103+$U103+$V103,2)</f>
        <v>13</v>
      </c>
      <c r="X103" s="35" t="str">
        <f aca="false">IF(OR($D103="挂靠代收",$D103="我方收款"),COUNTIFS($D$5:$D103,"挂靠代收")+COUNTIFS($D$5:$D103,"我方收款"),"")</f>
        <v/>
      </c>
      <c r="Y103" s="35" t="s">
        <v>106</v>
      </c>
      <c r="Z103" s="21" t="s">
        <v>111</v>
      </c>
    </row>
    <row r="104" customFormat="false" ht="15.75" hidden="false" customHeight="true" outlineLevel="0" collapsed="false">
      <c r="A104" s="32" t="n">
        <f aca="false">IF($B104="","",ROW()-4)</f>
        <v>100</v>
      </c>
      <c r="B104" s="26" t="n">
        <v>46162</v>
      </c>
      <c r="C104" s="24" t="s">
        <v>188</v>
      </c>
      <c r="D104" s="21" t="s">
        <v>307</v>
      </c>
      <c r="E104" s="21" t="s">
        <v>106</v>
      </c>
      <c r="F104" s="21" t="s">
        <v>97</v>
      </c>
      <c r="G104" s="24" t="s">
        <v>308</v>
      </c>
      <c r="H104" s="27" t="n">
        <v>54170</v>
      </c>
      <c r="I104" s="23" t="n">
        <v>0.08</v>
      </c>
      <c r="J104" s="25" t="s">
        <v>414</v>
      </c>
      <c r="K104" s="22" t="s">
        <v>313</v>
      </c>
      <c r="L104" s="33" t="str">
        <f aca="false">IF($B104="","",IF(NOT(ISNUMBER($B104)),"日期格式不对",IF($C104="","未选项目编号",IF(LEFT($M104,1)="⚠","项目编号不存在",IF($D104="","未选业务类型",IF($E104="","未选开票/付款方",IF(ISNA(MATCH($E104,单位档案!$A$6:$A$35,0)),"开票方不在单位档案",IF($F104="","未选收票/收款方",IF(ISNA(MATCH($F104,单位档案!$A$6:$A$35,0)),"收款方不在单位档案",IF(NOT(ISNUMBER($H104)),"金额须为数字",IF(AND($D104="销项开票",$N104="—"),"链条待确认","√")))))))))))</f>
        <v>√</v>
      </c>
      <c r="M104" s="34" t="str">
        <f aca="false">IF($C104="","",IFERROR(INDEX(项目档案!$B$6:$B$255,MATCH($C104,项目档案!$A$6:$A$255,0)),"⚠项目编号不存在"))</f>
        <v>重庆德誉佳实业有限公司2025-2026年度工程用施工机具等租赁服务框架采购（国网重庆铜梁公司110kV金湖东西电缆改造）</v>
      </c>
      <c r="N104" s="35" t="str">
        <f aca="false">IF($E104="","",IF($E104=IFERROR(INDEX(项目档案!$D$6:$D$255,MATCH($C104,项目档案!$A$6:$A$255,0)),""),"一级",IF($E104=IFERROR(INDEX(项目档案!$F$6:$F$255,MATCH($C104,项目档案!$A$6:$A$255,0)),""),"二级",IF($E104=IFERROR(INDEX(项目档案!$H$6:$H$255,MATCH($C104,项目档案!$A$6:$A$255,0)),""),"我方","—"))))</f>
        <v>一级</v>
      </c>
      <c r="O104" s="36" t="n">
        <f aca="false">IF($D104&lt;&gt;"销项开票",0,ROUND(N($H104)*N($I104),2))</f>
        <v>4333.6</v>
      </c>
      <c r="P104" s="36" t="n">
        <f aca="false">IF($D104&lt;&gt;"销项开票",0,ROUND(N($H104)-$O104,2))</f>
        <v>49836.4</v>
      </c>
      <c r="Q104" s="37" t="n">
        <f aca="false">IF($E104="","",N(IFERROR(INDEX(单位档案!$E$6:$E$35,MATCH($E104,单位档案!$A$6:$A$35,0)),"")))</f>
        <v>0.13</v>
      </c>
      <c r="R104" s="37" t="n">
        <f aca="false">IF($E104="","",N(IFERROR(INDEX(单位档案!$F$6:$F$35,MATCH($E104,单位档案!$A$6:$A$35,0)),"")))</f>
        <v>0.13</v>
      </c>
      <c r="S104" s="36" t="n">
        <f aca="false">IF(OR($D104&lt;&gt;"销项开票",IFERROR(INDEX(单位档案!$G$6:$G$35,MATCH($E104,单位档案!$A$6:$A$35,0)),"")&lt;&gt;"是",N($Q104)=0),0,IF(IFERROR(INDEX(单位档案!$H$6:$H$35,MATCH($E104,单位档案!$A$6:$A$35,0)),"")="税差法",ROUND(N($H104)/(1+$Q104)*$Q104-IF(N($R104)=0,0,$P104/(1+$R104)*$R104),2),ROUND(N($H104)/(1+$Q104)*$Q104,2)))</f>
        <v>0</v>
      </c>
      <c r="T104" s="36" t="n">
        <f aca="false">ROUND($S104*N(IFERROR(INDEX(单位档案!$J$6:$J$35,MATCH($E104,单位档案!$A$6:$A$35,0)),"")),2)</f>
        <v>0</v>
      </c>
      <c r="U104" s="36" t="n">
        <f aca="false">IF($D104&lt;&gt;"销项开票",0,ROUND(N($H104)*N(IFERROR(INDEX(单位档案!$K$6:$K$35,MATCH($E104,单位档案!$A$6:$A$35,0)),"")),2))</f>
        <v>0</v>
      </c>
      <c r="V104" s="36" t="n">
        <f aca="false">IF(OR($D104&lt;&gt;"销项开票",N($Q104)=0),0,ROUND(N($H104)/(1+$Q104)*N(IFERROR(INDEX(单位档案!$L$6:$L$35,MATCH($E104,单位档案!$A$6:$A$35,0)),"")),2))</f>
        <v>0</v>
      </c>
      <c r="W104" s="36" t="n">
        <f aca="false">ROUND($S104+$T104+$U104+$V104,2)</f>
        <v>0</v>
      </c>
      <c r="X104" s="35" t="str">
        <f aca="false">IF(OR($D104="挂靠代收",$D104="我方收款"),COUNTIFS($D$5:$D104,"挂靠代收")+COUNTIFS($D$5:$D104,"我方收款"),"")</f>
        <v/>
      </c>
      <c r="Y104" s="35" t="s">
        <v>106</v>
      </c>
      <c r="Z104" s="21" t="s">
        <v>111</v>
      </c>
    </row>
    <row r="105" customFormat="false" ht="15.75" hidden="false" customHeight="true" outlineLevel="0" collapsed="false">
      <c r="A105" s="32" t="n">
        <f aca="false">IF($B105="","",ROW()-4)</f>
        <v>101</v>
      </c>
      <c r="B105" s="26" t="n">
        <v>46162</v>
      </c>
      <c r="C105" s="24" t="s">
        <v>188</v>
      </c>
      <c r="D105" s="21" t="s">
        <v>314</v>
      </c>
      <c r="E105" s="21" t="s">
        <v>127</v>
      </c>
      <c r="F105" s="21" t="s">
        <v>106</v>
      </c>
      <c r="G105" s="24" t="s">
        <v>308</v>
      </c>
      <c r="H105" s="27" t="n">
        <v>4333.6</v>
      </c>
      <c r="I105" s="23" t="str">
        <f aca="false">IF($D105&lt;&gt;"销项开票","",IF($N105="一级",IF(IFERROR(INDEX(项目档案!$E$6:$E$255,MATCH($C105,项目档案!$A$6:$A$255,0)),"")="",N(IFERROR(INDEX(单位档案!$D$6:$D$35,MATCH($E105,单位档案!$A$6:$A$35,0)),"")),IFERROR(INDEX(项目档案!$E$6:$E$255,MATCH($C105,项目档案!$A$6:$A$255,0)),"")),IF($N105="二级",IF(IFERROR(INDEX(项目档案!$G$6:$G$255,MATCH($C105,项目档案!$A$6:$A$255,0)),"")="",N(IFERROR(INDEX(单位档案!$D$6:$D$35,MATCH($E105,单位档案!$A$6:$A$35,0)),"")),IFERROR(INDEX(项目档案!$G$6:$G$255,MATCH($C105,项目档案!$A$6:$A$255,0)),"")),N(IFERROR(INDEX(单位档案!$D$6:$D$35,MATCH($E105,单位档案!$A$6:$A$35,0)),"")))))</f>
        <v/>
      </c>
      <c r="J105" s="25" t="s">
        <v>414</v>
      </c>
      <c r="K105" s="22" t="s">
        <v>313</v>
      </c>
      <c r="L105" s="33" t="str">
        <f aca="false">IF($B105="","",IF(NOT(ISNUMBER($B105)),"日期格式不对",IF($C105="","未选项目编号",IF(LEFT($M105,1)="⚠","项目编号不存在",IF($D105="","未选业务类型",IF($E105="","未选开票/付款方",IF(ISNA(MATCH($E105,单位档案!$A$6:$A$35,0)),"开票方不在单位档案",IF($F105="","未选收票/收款方",IF(ISNA(MATCH($F105,单位档案!$A$6:$A$35,0)),"收款方不在单位档案",IF(NOT(ISNUMBER($H105)),"金额须为数字",IF(AND($D105="销项开票",$N105="—"),"链条待确认","√")))))))))))</f>
        <v>√</v>
      </c>
      <c r="M105" s="34" t="str">
        <f aca="false">IF($C105="","",IFERROR(INDEX(项目档案!$B$6:$B$255,MATCH($C105,项目档案!$A$6:$A$255,0)),"⚠项目编号不存在"))</f>
        <v>重庆德誉佳实业有限公司2025-2026年度工程用施工机具等租赁服务框架采购（国网重庆铜梁公司110kV金湖东西电缆改造）</v>
      </c>
      <c r="N105" s="35" t="str">
        <f aca="false">IF($E105="","",IF($E105=IFERROR(INDEX(项目档案!$D$6:$D$255,MATCH($C105,项目档案!$A$6:$A$255,0)),""),"一级",IF($E105=IFERROR(INDEX(项目档案!$F$6:$F$255,MATCH($C105,项目档案!$A$6:$A$255,0)),""),"二级",IF($E105=IFERROR(INDEX(项目档案!$H$6:$H$255,MATCH($C105,项目档案!$A$6:$A$255,0)),""),"我方","—"))))</f>
        <v>我方</v>
      </c>
      <c r="O105" s="36" t="n">
        <f aca="false">IF($D105&lt;&gt;"销项开票",0,ROUND(N($H105)*N($I105),2))</f>
        <v>0</v>
      </c>
      <c r="P105" s="36" t="n">
        <f aca="false">IF($D105&lt;&gt;"销项开票",0,ROUND(N($H105)-$O105,2))</f>
        <v>0</v>
      </c>
      <c r="Q105" s="37" t="n">
        <f aca="false">IF($E105="","",N(IFERROR(INDEX(单位档案!$E$6:$E$35,MATCH($E105,单位档案!$A$6:$A$35,0)),"")))</f>
        <v>0.03</v>
      </c>
      <c r="R105" s="37" t="n">
        <f aca="false">IF($E105="","",N(IFERROR(INDEX(单位档案!$F$6:$F$35,MATCH($E105,单位档案!$A$6:$A$35,0)),"")))</f>
        <v>0</v>
      </c>
      <c r="S105" s="36" t="n">
        <f aca="false">IF(OR($D105&lt;&gt;"销项开票",IFERROR(INDEX(单位档案!$G$6:$G$35,MATCH($E105,单位档案!$A$6:$A$35,0)),"")&lt;&gt;"是",N($Q105)=0),0,IF(IFERROR(INDEX(单位档案!$H$6:$H$35,MATCH($E105,单位档案!$A$6:$A$35,0)),"")="税差法",ROUND(N($H105)/(1+$Q105)*$Q105-IF(N($R105)=0,0,$P105/(1+$R105)*$R105),2),ROUND(N($H105)/(1+$Q105)*$Q105,2)))</f>
        <v>0</v>
      </c>
      <c r="T105" s="36" t="n">
        <f aca="false">ROUND($S105*N(IFERROR(INDEX(单位档案!$J$6:$J$35,MATCH($E105,单位档案!$A$6:$A$35,0)),"")),2)</f>
        <v>0</v>
      </c>
      <c r="U105" s="36" t="n">
        <f aca="false">IF($D105&lt;&gt;"销项开票",0,ROUND(N($H105)*N(IFERROR(INDEX(单位档案!$K$6:$K$35,MATCH($E105,单位档案!$A$6:$A$35,0)),"")),2))</f>
        <v>0</v>
      </c>
      <c r="V105" s="36" t="n">
        <f aca="false">IF(OR($D105&lt;&gt;"销项开票",N($Q105)=0),0,ROUND(N($H105)/(1+$Q105)*N(IFERROR(INDEX(单位档案!$L$6:$L$35,MATCH($E105,单位档案!$A$6:$A$35,0)),"")),2))</f>
        <v>0</v>
      </c>
      <c r="W105" s="36" t="n">
        <f aca="false">ROUND($S105+$T105+$U105+$V105,2)</f>
        <v>0</v>
      </c>
      <c r="X105" s="35" t="str">
        <f aca="false">IF(OR($D105="挂靠代收",$D105="我方收款"),COUNTIFS($D$5:$D105,"挂靠代收")+COUNTIFS($D$5:$D105,"我方收款"),"")</f>
        <v/>
      </c>
      <c r="Y105" s="35" t="s">
        <v>106</v>
      </c>
      <c r="Z105" s="21" t="s">
        <v>111</v>
      </c>
    </row>
    <row r="106" customFormat="false" ht="15.75" hidden="false" customHeight="true" outlineLevel="0" collapsed="false">
      <c r="A106" s="32" t="n">
        <f aca="false">IF($B106="","",ROW()-4)</f>
        <v>102</v>
      </c>
      <c r="B106" s="26" t="n">
        <v>46162</v>
      </c>
      <c r="C106" s="24" t="s">
        <v>190</v>
      </c>
      <c r="D106" s="21" t="s">
        <v>307</v>
      </c>
      <c r="E106" s="21" t="s">
        <v>110</v>
      </c>
      <c r="F106" s="21" t="s">
        <v>97</v>
      </c>
      <c r="G106" s="21" t="s">
        <v>354</v>
      </c>
      <c r="H106" s="27" t="n">
        <v>38612</v>
      </c>
      <c r="I106" s="23" t="n">
        <v>0.04</v>
      </c>
      <c r="J106" s="25" t="s">
        <v>415</v>
      </c>
      <c r="K106" s="22" t="s">
        <v>313</v>
      </c>
      <c r="L106" s="33" t="str">
        <f aca="false">IF($B106="","",IF(NOT(ISNUMBER($B106)),"日期格式不对",IF($C106="","未选项目编号",IF(LEFT($M106,1)="⚠","项目编号不存在",IF($D106="","未选业务类型",IF($E106="","未选开票/付款方",IF(ISNA(MATCH($E106,单位档案!$A$6:$A$35,0)),"开票方不在单位档案",IF($F106="","未选收票/收款方",IF(ISNA(MATCH($F106,单位档案!$A$6:$A$35,0)),"收款方不在单位档案",IF(NOT(ISNUMBER($H106)),"金额须为数字",IF(AND($D106="销项开票",$N106="—"),"链条待确认","√")))))))))))</f>
        <v>链条待确认</v>
      </c>
      <c r="M106" s="34" t="str">
        <f aca="false">IF($C106="","",IFERROR(INDEX(项目档案!$B$6:$B$255,MATCH($C106,项目档案!$A$6:$A$255,0)),"⚠项目编号不存在"))</f>
        <v>重庆民能实业有限公司2025-2026年度工程用施工机具等租赁服务框架采购（国网重庆铜梁公司110kV金湖东西电缆改造）</v>
      </c>
      <c r="N106" s="35" t="str">
        <f aca="false">IF($E106="","",IF($E106=IFERROR(INDEX(项目档案!$D$6:$D$255,MATCH($C106,项目档案!$A$6:$A$255,0)),""),"一级",IF($E106=IFERROR(INDEX(项目档案!$F$6:$F$255,MATCH($C106,项目档案!$A$6:$A$255,0)),""),"二级",IF($E106=IFERROR(INDEX(项目档案!$H$6:$H$255,MATCH($C106,项目档案!$A$6:$A$255,0)),""),"我方","—"))))</f>
        <v>—</v>
      </c>
      <c r="O106" s="36" t="n">
        <f aca="false">IF($D106&lt;&gt;"销项开票",0,ROUND(N($H106)*N($I106),2))</f>
        <v>1544.48</v>
      </c>
      <c r="P106" s="36" t="n">
        <f aca="false">IF($D106&lt;&gt;"销项开票",0,ROUND(N($H106)-$O106,2))</f>
        <v>37067.52</v>
      </c>
      <c r="Q106" s="37" t="n">
        <f aca="false">IF($E106="","",N(IFERROR(INDEX(单位档案!$E$6:$E$35,MATCH($E106,单位档案!$A$6:$A$35,0)),"")))</f>
        <v>0.09</v>
      </c>
      <c r="R106" s="37" t="n">
        <f aca="false">IF($E106="","",N(IFERROR(INDEX(单位档案!$F$6:$F$35,MATCH($E106,单位档案!$A$6:$A$35,0)),"")))</f>
        <v>0.03</v>
      </c>
      <c r="S106" s="36" t="n">
        <f aca="false">IF(OR($D106&lt;&gt;"销项开票",IFERROR(INDEX(单位档案!$G$6:$G$35,MATCH($E106,单位档案!$A$6:$A$35,0)),"")&lt;&gt;"是",N($Q106)=0),0,IF(IFERROR(INDEX(单位档案!$H$6:$H$35,MATCH($E106,单位档案!$A$6:$A$35,0)),"")="税差法",ROUND(N($H106)/(1+$Q106)*$Q106-IF(N($R106)=0,0,$P106/(1+$R106)*$R106),2),ROUND(N($H106)/(1+$Q106)*$Q106,2)))</f>
        <v>2108.51</v>
      </c>
      <c r="T106" s="36" t="n">
        <f aca="false">ROUND($S106*N(IFERROR(INDEX(单位档案!$J$6:$J$35,MATCH($E106,单位档案!$A$6:$A$35,0)),"")),2)</f>
        <v>253.02</v>
      </c>
      <c r="U106" s="36" t="n">
        <f aca="false">IF($D106&lt;&gt;"销项开票",0,ROUND(N($H106)*N(IFERROR(INDEX(单位档案!$K$6:$K$35,MATCH($E106,单位档案!$A$6:$A$35,0)),"")),2))</f>
        <v>22.7</v>
      </c>
      <c r="V106" s="36" t="n">
        <f aca="false">IF(OR($D106&lt;&gt;"销项开票",N($Q106)=0),0,ROUND(N($H106)/(1+$Q106)*N(IFERROR(INDEX(单位档案!$L$6:$L$35,MATCH($E106,单位档案!$A$6:$A$35,0)),"")),2))</f>
        <v>0</v>
      </c>
      <c r="W106" s="36" t="n">
        <f aca="false">ROUND($S106+$T106+$U106+$V106,2)</f>
        <v>2384.23</v>
      </c>
      <c r="X106" s="35" t="str">
        <f aca="false">IF(OR($D106="挂靠代收",$D106="我方收款"),COUNTIFS($D$5:$D106,"挂靠代收")+COUNTIFS($D$5:$D106,"我方收款"),"")</f>
        <v/>
      </c>
      <c r="Y106" s="35" t="s">
        <v>110</v>
      </c>
      <c r="Z106" s="21" t="s">
        <v>111</v>
      </c>
    </row>
    <row r="107" customFormat="false" ht="15.75" hidden="false" customHeight="true" outlineLevel="0" collapsed="false">
      <c r="A107" s="32" t="n">
        <f aca="false">IF($B107="","",ROW()-4)</f>
        <v>103</v>
      </c>
      <c r="B107" s="26" t="n">
        <v>46162</v>
      </c>
      <c r="C107" s="24" t="s">
        <v>190</v>
      </c>
      <c r="D107" s="21" t="s">
        <v>11</v>
      </c>
      <c r="E107" s="21" t="s">
        <v>110</v>
      </c>
      <c r="F107" s="21" t="s">
        <v>134</v>
      </c>
      <c r="G107" s="21"/>
      <c r="H107" s="27" t="n">
        <v>2131.21</v>
      </c>
      <c r="I107" s="23" t="str">
        <f aca="false">IF($D107&lt;&gt;"销项开票","",IF($N107="一级",IF(IFERROR(INDEX(项目档案!$E$6:$E$255,MATCH($C107,项目档案!$A$6:$A$255,0)),"")="",N(IFERROR(INDEX(单位档案!$D$6:$D$35,MATCH($E107,单位档案!$A$6:$A$35,0)),"")),IFERROR(INDEX(项目档案!$E$6:$E$255,MATCH($C107,项目档案!$A$6:$A$255,0)),"")),IF($N107="二级",IF(IFERROR(INDEX(项目档案!$G$6:$G$255,MATCH($C107,项目档案!$A$6:$A$255,0)),"")="",N(IFERROR(INDEX(单位档案!$D$6:$D$35,MATCH($E107,单位档案!$A$6:$A$35,0)),"")),IFERROR(INDEX(项目档案!$G$6:$G$255,MATCH($C107,项目档案!$A$6:$A$255,0)),"")),N(IFERROR(INDEX(单位档案!$D$6:$D$35,MATCH($E107,单位档案!$A$6:$A$35,0)),"")))))</f>
        <v/>
      </c>
      <c r="J107" s="25" t="s">
        <v>416</v>
      </c>
      <c r="K107" s="22" t="s">
        <v>313</v>
      </c>
      <c r="L107" s="33" t="str">
        <f aca="false">IF($B107="","",IF(NOT(ISNUMBER($B107)),"日期格式不对",IF($C107="","未选项目编号",IF(LEFT($M107,1)="⚠","项目编号不存在",IF($D107="","未选业务类型",IF($E107="","未选开票/付款方",IF(ISNA(MATCH($E107,单位档案!$A$6:$A$35,0)),"开票方不在单位档案",IF($F107="","未选收票/收款方",IF(ISNA(MATCH($F107,单位档案!$A$6:$A$35,0)),"收款方不在单位档案",IF(NOT(ISNUMBER($H107)),"金额须为数字",IF(AND($D107="销项开票",$N107="—"),"链条待确认","√")))))))))))</f>
        <v>√</v>
      </c>
      <c r="M107" s="34" t="str">
        <f aca="false">IF($C107="","",IFERROR(INDEX(项目档案!$B$6:$B$255,MATCH($C107,项目档案!$A$6:$A$255,0)),"⚠项目编号不存在"))</f>
        <v>重庆民能实业有限公司2025-2026年度工程用施工机具等租赁服务框架采购（国网重庆铜梁公司110kV金湖东西电缆改造）</v>
      </c>
      <c r="N107" s="35" t="str">
        <f aca="false">IF($E107="","",IF($E107=IFERROR(INDEX(项目档案!$D$6:$D$255,MATCH($C107,项目档案!$A$6:$A$255,0)),""),"一级",IF($E107=IFERROR(INDEX(项目档案!$F$6:$F$255,MATCH($C107,项目档案!$A$6:$A$255,0)),""),"二级",IF($E107=IFERROR(INDEX(项目档案!$H$6:$H$255,MATCH($C107,项目档案!$A$6:$A$255,0)),""),"我方","—"))))</f>
        <v>—</v>
      </c>
      <c r="O107" s="36" t="n">
        <f aca="false">IF($D107&lt;&gt;"销项开票",0,ROUND(N($H107)*N($I107),2))</f>
        <v>0</v>
      </c>
      <c r="P107" s="36" t="n">
        <f aca="false">IF($D107&lt;&gt;"销项开票",0,ROUND(N($H107)-$O107,2))</f>
        <v>0</v>
      </c>
      <c r="Q107" s="37" t="n">
        <f aca="false">IF($E107="","",N(IFERROR(INDEX(单位档案!$E$6:$E$35,MATCH($E107,单位档案!$A$6:$A$35,0)),"")))</f>
        <v>0.09</v>
      </c>
      <c r="R107" s="37" t="n">
        <f aca="false">IF($E107="","",N(IFERROR(INDEX(单位档案!$F$6:$F$35,MATCH($E107,单位档案!$A$6:$A$35,0)),"")))</f>
        <v>0.03</v>
      </c>
      <c r="S107" s="36" t="n">
        <f aca="false">IF(OR($D107&lt;&gt;"销项开票",IFERROR(INDEX(单位档案!$G$6:$G$35,MATCH($E107,单位档案!$A$6:$A$35,0)),"")&lt;&gt;"是",N($Q107)=0),0,IF(IFERROR(INDEX(单位档案!$H$6:$H$35,MATCH($E107,单位档案!$A$6:$A$35,0)),"")="税差法",ROUND(N($H107)/(1+$Q107)*$Q107-IF(N($R107)=0,0,$P107/(1+$R107)*$R107),2),ROUND(N($H107)/(1+$Q107)*$Q107,2)))</f>
        <v>0</v>
      </c>
      <c r="T107" s="36" t="n">
        <f aca="false">ROUND($S107*N(IFERROR(INDEX(单位档案!$J$6:$J$35,MATCH($E107,单位档案!$A$6:$A$35,0)),"")),2)</f>
        <v>0</v>
      </c>
      <c r="U107" s="36" t="n">
        <f aca="false">IF($D107&lt;&gt;"销项开票",0,ROUND(N($H107)*N(IFERROR(INDEX(单位档案!$K$6:$K$35,MATCH($E107,单位档案!$A$6:$A$35,0)),"")),2))</f>
        <v>0</v>
      </c>
      <c r="V107" s="36" t="n">
        <f aca="false">IF(OR($D107&lt;&gt;"销项开票",N($Q107)=0),0,ROUND(N($H107)/(1+$Q107)*N(IFERROR(INDEX(单位档案!$L$6:$L$35,MATCH($E107,单位档案!$A$6:$A$35,0)),"")),2))</f>
        <v>0</v>
      </c>
      <c r="W107" s="36" t="n">
        <f aca="false">ROUND($S107+$T107+$U107+$V107,2)</f>
        <v>0</v>
      </c>
      <c r="X107" s="35" t="str">
        <f aca="false">IF(OR($D107="挂靠代收",$D107="我方收款"),COUNTIFS($D$5:$D107,"挂靠代收")+COUNTIFS($D$5:$D107,"我方收款"),"")</f>
        <v/>
      </c>
      <c r="Y107" s="35" t="s">
        <v>110</v>
      </c>
      <c r="Z107" s="21" t="s">
        <v>111</v>
      </c>
    </row>
    <row r="108" customFormat="false" ht="15.75" hidden="false" customHeight="true" outlineLevel="0" collapsed="false">
      <c r="A108" s="32" t="n">
        <f aca="false">IF($B108="","",ROW()-4)</f>
        <v>104</v>
      </c>
      <c r="B108" s="26" t="n">
        <v>46162</v>
      </c>
      <c r="C108" s="24" t="s">
        <v>190</v>
      </c>
      <c r="D108" s="21" t="s">
        <v>314</v>
      </c>
      <c r="E108" s="21" t="s">
        <v>127</v>
      </c>
      <c r="F108" s="21" t="s">
        <v>110</v>
      </c>
      <c r="G108" s="21"/>
      <c r="H108" s="27" t="n">
        <v>1544.48</v>
      </c>
      <c r="I108" s="23" t="str">
        <f aca="false">IF($D108&lt;&gt;"销项开票","",IF($N108="一级",IF(IFERROR(INDEX(项目档案!$E$6:$E$255,MATCH($C108,项目档案!$A$6:$A$255,0)),"")="",N(IFERROR(INDEX(单位档案!$D$6:$D$35,MATCH($E108,单位档案!$A$6:$A$35,0)),"")),IFERROR(INDEX(项目档案!$E$6:$E$255,MATCH($C108,项目档案!$A$6:$A$255,0)),"")),IF($N108="二级",IF(IFERROR(INDEX(项目档案!$G$6:$G$255,MATCH($C108,项目档案!$A$6:$A$255,0)),"")="",N(IFERROR(INDEX(单位档案!$D$6:$D$35,MATCH($E108,单位档案!$A$6:$A$35,0)),"")),IFERROR(INDEX(项目档案!$G$6:$G$255,MATCH($C108,项目档案!$A$6:$A$255,0)),"")),N(IFERROR(INDEX(单位档案!$D$6:$D$35,MATCH($E108,单位档案!$A$6:$A$35,0)),"")))))</f>
        <v/>
      </c>
      <c r="J108" s="25" t="s">
        <v>416</v>
      </c>
      <c r="K108" s="22" t="s">
        <v>313</v>
      </c>
      <c r="L108" s="33" t="str">
        <f aca="false">IF($B108="","",IF(NOT(ISNUMBER($B108)),"日期格式不对",IF($C108="","未选项目编号",IF(LEFT($M108,1)="⚠","项目编号不存在",IF($D108="","未选业务类型",IF($E108="","未选开票/付款方",IF(ISNA(MATCH($E108,单位档案!$A$6:$A$35,0)),"开票方不在单位档案",IF($F108="","未选收票/收款方",IF(ISNA(MATCH($F108,单位档案!$A$6:$A$35,0)),"收款方不在单位档案",IF(NOT(ISNUMBER($H108)),"金额须为数字",IF(AND($D108="销项开票",$N108="—"),"链条待确认","√")))))))))))</f>
        <v>√</v>
      </c>
      <c r="M108" s="34" t="str">
        <f aca="false">IF($C108="","",IFERROR(INDEX(项目档案!$B$6:$B$255,MATCH($C108,项目档案!$A$6:$A$255,0)),"⚠项目编号不存在"))</f>
        <v>重庆民能实业有限公司2025-2026年度工程用施工机具等租赁服务框架采购（国网重庆铜梁公司110kV金湖东西电缆改造）</v>
      </c>
      <c r="N108" s="35" t="str">
        <f aca="false">IF($E108="","",IF($E108=IFERROR(INDEX(项目档案!$D$6:$D$255,MATCH($C108,项目档案!$A$6:$A$255,0)),""),"一级",IF($E108=IFERROR(INDEX(项目档案!$F$6:$F$255,MATCH($C108,项目档案!$A$6:$A$255,0)),""),"二级",IF($E108=IFERROR(INDEX(项目档案!$H$6:$H$255,MATCH($C108,项目档案!$A$6:$A$255,0)),""),"我方","—"))))</f>
        <v>我方</v>
      </c>
      <c r="O108" s="36" t="n">
        <f aca="false">IF($D108&lt;&gt;"销项开票",0,ROUND(N($H108)*N($I108),2))</f>
        <v>0</v>
      </c>
      <c r="P108" s="36" t="n">
        <f aca="false">IF($D108&lt;&gt;"销项开票",0,ROUND(N($H108)-$O108,2))</f>
        <v>0</v>
      </c>
      <c r="Q108" s="37" t="n">
        <f aca="false">IF($E108="","",N(IFERROR(INDEX(单位档案!$E$6:$E$35,MATCH($E108,单位档案!$A$6:$A$35,0)),"")))</f>
        <v>0.03</v>
      </c>
      <c r="R108" s="37" t="n">
        <f aca="false">IF($E108="","",N(IFERROR(INDEX(单位档案!$F$6:$F$35,MATCH($E108,单位档案!$A$6:$A$35,0)),"")))</f>
        <v>0</v>
      </c>
      <c r="S108" s="36" t="n">
        <f aca="false">IF(OR($D108&lt;&gt;"销项开票",IFERROR(INDEX(单位档案!$G$6:$G$35,MATCH($E108,单位档案!$A$6:$A$35,0)),"")&lt;&gt;"是",N($Q108)=0),0,IF(IFERROR(INDEX(单位档案!$H$6:$H$35,MATCH($E108,单位档案!$A$6:$A$35,0)),"")="税差法",ROUND(N($H108)/(1+$Q108)*$Q108-IF(N($R108)=0,0,$P108/(1+$R108)*$R108),2),ROUND(N($H108)/(1+$Q108)*$Q108,2)))</f>
        <v>0</v>
      </c>
      <c r="T108" s="36" t="n">
        <f aca="false">ROUND($S108*N(IFERROR(INDEX(单位档案!$J$6:$J$35,MATCH($E108,单位档案!$A$6:$A$35,0)),"")),2)</f>
        <v>0</v>
      </c>
      <c r="U108" s="36" t="n">
        <f aca="false">IF($D108&lt;&gt;"销项开票",0,ROUND(N($H108)*N(IFERROR(INDEX(单位档案!$K$6:$K$35,MATCH($E108,单位档案!$A$6:$A$35,0)),"")),2))</f>
        <v>0</v>
      </c>
      <c r="V108" s="36" t="n">
        <f aca="false">IF(OR($D108&lt;&gt;"销项开票",N($Q108)=0),0,ROUND(N($H108)/(1+$Q108)*N(IFERROR(INDEX(单位档案!$L$6:$L$35,MATCH($E108,单位档案!$A$6:$A$35,0)),"")),2))</f>
        <v>0</v>
      </c>
      <c r="W108" s="36" t="n">
        <f aca="false">ROUND($S108+$T108+$U108+$V108,2)</f>
        <v>0</v>
      </c>
      <c r="X108" s="35" t="str">
        <f aca="false">IF(OR($D108="挂靠代收",$D108="我方收款"),COUNTIFS($D$5:$D108,"挂靠代收")+COUNTIFS($D$5:$D108,"我方收款"),"")</f>
        <v/>
      </c>
      <c r="Y108" s="35" t="s">
        <v>110</v>
      </c>
      <c r="Z108" s="21" t="s">
        <v>111</v>
      </c>
    </row>
    <row r="109" customFormat="false" ht="15.75" hidden="false" customHeight="true" outlineLevel="0" collapsed="false">
      <c r="A109" s="32" t="n">
        <f aca="false">IF($B109="","",ROW()-4)</f>
        <v>105</v>
      </c>
      <c r="B109" s="26" t="n">
        <v>46162</v>
      </c>
      <c r="C109" s="24" t="s">
        <v>190</v>
      </c>
      <c r="D109" s="21" t="s">
        <v>11</v>
      </c>
      <c r="E109" s="21" t="s">
        <v>119</v>
      </c>
      <c r="F109" s="21" t="s">
        <v>134</v>
      </c>
      <c r="G109" s="21"/>
      <c r="H109" s="27" t="n">
        <v>671.73</v>
      </c>
      <c r="I109" s="23" t="str">
        <f aca="false">IF($D109&lt;&gt;"销项开票","",IF($N109="一级",IF(IFERROR(INDEX(项目档案!$E$6:$E$255,MATCH($C109,项目档案!$A$6:$A$255,0)),"")="",N(IFERROR(INDEX(单位档案!$D$6:$D$35,MATCH($E109,单位档案!$A$6:$A$35,0)),"")),IFERROR(INDEX(项目档案!$E$6:$E$255,MATCH($C109,项目档案!$A$6:$A$255,0)),"")),IF($N109="二级",IF(IFERROR(INDEX(项目档案!$G$6:$G$255,MATCH($C109,项目档案!$A$6:$A$255,0)),"")="",N(IFERROR(INDEX(单位档案!$D$6:$D$35,MATCH($E109,单位档案!$A$6:$A$35,0)),"")),IFERROR(INDEX(项目档案!$G$6:$G$255,MATCH($C109,项目档案!$A$6:$A$255,0)),"")),N(IFERROR(INDEX(单位档案!$D$6:$D$35,MATCH($E109,单位档案!$A$6:$A$35,0)),"")))))</f>
        <v/>
      </c>
      <c r="J109" s="25" t="s">
        <v>417</v>
      </c>
      <c r="K109" s="22" t="s">
        <v>313</v>
      </c>
      <c r="L109" s="33" t="str">
        <f aca="false">IF($B109="","",IF(NOT(ISNUMBER($B109)),"日期格式不对",IF($C109="","未选项目编号",IF(LEFT($M109,1)="⚠","项目编号不存在",IF($D109="","未选业务类型",IF($E109="","未选开票/付款方",IF(ISNA(MATCH($E109,单位档案!$A$6:$A$35,0)),"开票方不在单位档案",IF($F109="","未选收票/收款方",IF(ISNA(MATCH($F109,单位档案!$A$6:$A$35,0)),"收款方不在单位档案",IF(NOT(ISNUMBER($H109)),"金额须为数字",IF(AND($D109="销项开票",$N109="—"),"链条待确认","√")))))))))))</f>
        <v>√</v>
      </c>
      <c r="M109" s="34" t="str">
        <f aca="false">IF($C109="","",IFERROR(INDEX(项目档案!$B$6:$B$255,MATCH($C109,项目档案!$A$6:$A$255,0)),"⚠项目编号不存在"))</f>
        <v>重庆民能实业有限公司2025-2026年度工程用施工机具等租赁服务框架采购（国网重庆铜梁公司110kV金湖东西电缆改造）</v>
      </c>
      <c r="N109" s="35" t="str">
        <f aca="false">IF($E109="","",IF($E109=IFERROR(INDEX(项目档案!$D$6:$D$255,MATCH($C109,项目档案!$A$6:$A$255,0)),""),"一级",IF($E109=IFERROR(INDEX(项目档案!$F$6:$F$255,MATCH($C109,项目档案!$A$6:$A$255,0)),""),"二级",IF($E109=IFERROR(INDEX(项目档案!$H$6:$H$255,MATCH($C109,项目档案!$A$6:$A$255,0)),""),"我方","—"))))</f>
        <v>一级</v>
      </c>
      <c r="O109" s="36" t="n">
        <f aca="false">IF($D109&lt;&gt;"销项开票",0,ROUND(N($H109)*N($I109),2))</f>
        <v>0</v>
      </c>
      <c r="P109" s="36" t="n">
        <f aca="false">IF($D109&lt;&gt;"销项开票",0,ROUND(N($H109)-$O109,2))</f>
        <v>0</v>
      </c>
      <c r="Q109" s="37" t="n">
        <f aca="false">IF($E109="","",N(IFERROR(INDEX(单位档案!$E$6:$E$35,MATCH($E109,单位档案!$A$6:$A$35,0)),"")))</f>
        <v>0.09</v>
      </c>
      <c r="R109" s="37" t="n">
        <f aca="false">IF($E109="","",N(IFERROR(INDEX(单位档案!$F$6:$F$35,MATCH($E109,单位档案!$A$6:$A$35,0)),"")))</f>
        <v>0.03</v>
      </c>
      <c r="S109" s="36" t="n">
        <f aca="false">IF(OR($D109&lt;&gt;"销项开票",IFERROR(INDEX(单位档案!$G$6:$G$35,MATCH($E109,单位档案!$A$6:$A$35,0)),"")&lt;&gt;"是",N($Q109)=0),0,IF(IFERROR(INDEX(单位档案!$H$6:$H$35,MATCH($E109,单位档案!$A$6:$A$35,0)),"")="税差法",ROUND(N($H109)/(1+$Q109)*$Q109-IF(N($R109)=0,0,$P109/(1+$R109)*$R109),2),ROUND(N($H109)/(1+$Q109)*$Q109,2)))</f>
        <v>0</v>
      </c>
      <c r="T109" s="36" t="n">
        <f aca="false">ROUND($S109*N(IFERROR(INDEX(单位档案!$J$6:$J$35,MATCH($E109,单位档案!$A$6:$A$35,0)),"")),2)</f>
        <v>0</v>
      </c>
      <c r="U109" s="36" t="n">
        <f aca="false">IF($D109&lt;&gt;"销项开票",0,ROUND(N($H109)*N(IFERROR(INDEX(单位档案!$K$6:$K$35,MATCH($E109,单位档案!$A$6:$A$35,0)),"")),2))</f>
        <v>0</v>
      </c>
      <c r="V109" s="36" t="n">
        <f aca="false">IF(OR($D109&lt;&gt;"销项开票",N($Q109)=0),0,ROUND(N($H109)/(1+$Q109)*N(IFERROR(INDEX(单位档案!$L$6:$L$35,MATCH($E109,单位档案!$A$6:$A$35,0)),"")),2))</f>
        <v>0</v>
      </c>
      <c r="W109" s="36" t="n">
        <f aca="false">ROUND($S109+$T109+$U109+$V109,2)</f>
        <v>0</v>
      </c>
      <c r="X109" s="35" t="str">
        <f aca="false">IF(OR($D109="挂靠代收",$D109="我方收款"),COUNTIFS($D$5:$D109,"挂靠代收")+COUNTIFS($D$5:$D109,"我方收款"),"")</f>
        <v/>
      </c>
      <c r="Y109" s="35" t="s">
        <v>119</v>
      </c>
      <c r="Z109" s="21" t="s">
        <v>111</v>
      </c>
    </row>
    <row r="110" customFormat="false" ht="15.75" hidden="false" customHeight="true" outlineLevel="0" collapsed="false">
      <c r="A110" s="32" t="n">
        <f aca="false">IF($B110="","",ROW()-4)</f>
        <v>106</v>
      </c>
      <c r="B110" s="26" t="n">
        <v>46162</v>
      </c>
      <c r="C110" s="24" t="s">
        <v>190</v>
      </c>
      <c r="D110" s="21" t="s">
        <v>11</v>
      </c>
      <c r="E110" s="21" t="s">
        <v>119</v>
      </c>
      <c r="F110" s="21" t="s">
        <v>134</v>
      </c>
      <c r="G110" s="21"/>
      <c r="H110" s="27" t="n">
        <v>1371.43</v>
      </c>
      <c r="I110" s="23" t="str">
        <f aca="false">IF($D110&lt;&gt;"销项开票","",IF($N110="一级",IF(IFERROR(INDEX(项目档案!$E$6:$E$255,MATCH($C110,项目档案!$A$6:$A$255,0)),"")="",N(IFERROR(INDEX(单位档案!$D$6:$D$35,MATCH($E110,单位档案!$A$6:$A$35,0)),"")),IFERROR(INDEX(项目档案!$E$6:$E$255,MATCH($C110,项目档案!$A$6:$A$255,0)),"")),IF($N110="二级",IF(IFERROR(INDEX(项目档案!$G$6:$G$255,MATCH($C110,项目档案!$A$6:$A$255,0)),"")="",N(IFERROR(INDEX(单位档案!$D$6:$D$35,MATCH($E110,单位档案!$A$6:$A$35,0)),"")),IFERROR(INDEX(项目档案!$G$6:$G$255,MATCH($C110,项目档案!$A$6:$A$255,0)),"")),N(IFERROR(INDEX(单位档案!$D$6:$D$35,MATCH($E110,单位档案!$A$6:$A$35,0)),"")))))</f>
        <v/>
      </c>
      <c r="J110" s="25" t="s">
        <v>418</v>
      </c>
      <c r="K110" s="22" t="s">
        <v>313</v>
      </c>
      <c r="L110" s="33" t="str">
        <f aca="false">IF($B110="","",IF(NOT(ISNUMBER($B110)),"日期格式不对",IF($C110="","未选项目编号",IF(LEFT($M110,1)="⚠","项目编号不存在",IF($D110="","未选业务类型",IF($E110="","未选开票/付款方",IF(ISNA(MATCH($E110,单位档案!$A$6:$A$35,0)),"开票方不在单位档案",IF($F110="","未选收票/收款方",IF(ISNA(MATCH($F110,单位档案!$A$6:$A$35,0)),"收款方不在单位档案",IF(NOT(ISNUMBER($H110)),"金额须为数字",IF(AND($D110="销项开票",$N110="—"),"链条待确认","√")))))))))))</f>
        <v>√</v>
      </c>
      <c r="M110" s="34" t="str">
        <f aca="false">IF($C110="","",IFERROR(INDEX(项目档案!$B$6:$B$255,MATCH($C110,项目档案!$A$6:$A$255,0)),"⚠项目编号不存在"))</f>
        <v>重庆民能实业有限公司2025-2026年度工程用施工机具等租赁服务框架采购（国网重庆铜梁公司110kV金湖东西电缆改造）</v>
      </c>
      <c r="N110" s="35" t="str">
        <f aca="false">IF($E110="","",IF($E110=IFERROR(INDEX(项目档案!$D$6:$D$255,MATCH($C110,项目档案!$A$6:$A$255,0)),""),"一级",IF($E110=IFERROR(INDEX(项目档案!$F$6:$F$255,MATCH($C110,项目档案!$A$6:$A$255,0)),""),"二级",IF($E110=IFERROR(INDEX(项目档案!$H$6:$H$255,MATCH($C110,项目档案!$A$6:$A$255,0)),""),"我方","—"))))</f>
        <v>一级</v>
      </c>
      <c r="O110" s="36" t="n">
        <f aca="false">IF($D110&lt;&gt;"销项开票",0,ROUND(N($H110)*N($I110),2))</f>
        <v>0</v>
      </c>
      <c r="P110" s="36" t="n">
        <f aca="false">IF($D110&lt;&gt;"销项开票",0,ROUND(N($H110)-$O110,2))</f>
        <v>0</v>
      </c>
      <c r="Q110" s="37" t="n">
        <f aca="false">IF($E110="","",N(IFERROR(INDEX(单位档案!$E$6:$E$35,MATCH($E110,单位档案!$A$6:$A$35,0)),"")))</f>
        <v>0.09</v>
      </c>
      <c r="R110" s="37" t="n">
        <f aca="false">IF($E110="","",N(IFERROR(INDEX(单位档案!$F$6:$F$35,MATCH($E110,单位档案!$A$6:$A$35,0)),"")))</f>
        <v>0.03</v>
      </c>
      <c r="S110" s="36" t="n">
        <f aca="false">IF(OR($D110&lt;&gt;"销项开票",IFERROR(INDEX(单位档案!$G$6:$G$35,MATCH($E110,单位档案!$A$6:$A$35,0)),"")&lt;&gt;"是",N($Q110)=0),0,IF(IFERROR(INDEX(单位档案!$H$6:$H$35,MATCH($E110,单位档案!$A$6:$A$35,0)),"")="税差法",ROUND(N($H110)/(1+$Q110)*$Q110-IF(N($R110)=0,0,$P110/(1+$R110)*$R110),2),ROUND(N($H110)/(1+$Q110)*$Q110,2)))</f>
        <v>0</v>
      </c>
      <c r="T110" s="36" t="n">
        <f aca="false">ROUND($S110*N(IFERROR(INDEX(单位档案!$J$6:$J$35,MATCH($E110,单位档案!$A$6:$A$35,0)),"")),2)</f>
        <v>0</v>
      </c>
      <c r="U110" s="36" t="n">
        <f aca="false">IF($D110&lt;&gt;"销项开票",0,ROUND(N($H110)*N(IFERROR(INDEX(单位档案!$K$6:$K$35,MATCH($E110,单位档案!$A$6:$A$35,0)),"")),2))</f>
        <v>0</v>
      </c>
      <c r="V110" s="36" t="n">
        <f aca="false">IF(OR($D110&lt;&gt;"销项开票",N($Q110)=0),0,ROUND(N($H110)/(1+$Q110)*N(IFERROR(INDEX(单位档案!$L$6:$L$35,MATCH($E110,单位档案!$A$6:$A$35,0)),"")),2))</f>
        <v>0</v>
      </c>
      <c r="W110" s="36" t="n">
        <f aca="false">ROUND($S110+$T110+$U110+$V110,2)</f>
        <v>0</v>
      </c>
      <c r="X110" s="35" t="str">
        <f aca="false">IF(OR($D110="挂靠代收",$D110="我方收款"),COUNTIFS($D$5:$D110,"挂靠代收")+COUNTIFS($D$5:$D110,"我方收款"),"")</f>
        <v/>
      </c>
      <c r="Y110" s="35" t="s">
        <v>119</v>
      </c>
      <c r="Z110" s="21" t="s">
        <v>111</v>
      </c>
    </row>
    <row r="111" customFormat="false" ht="15.75" hidden="false" customHeight="true" outlineLevel="0" collapsed="false">
      <c r="A111" s="32" t="n">
        <f aca="false">IF($B111="","",ROW()-4)</f>
        <v>107</v>
      </c>
      <c r="B111" s="26" t="n">
        <v>46162</v>
      </c>
      <c r="C111" s="24" t="s">
        <v>190</v>
      </c>
      <c r="D111" s="21" t="s">
        <v>11</v>
      </c>
      <c r="E111" s="21" t="s">
        <v>119</v>
      </c>
      <c r="F111" s="21" t="s">
        <v>134</v>
      </c>
      <c r="G111" s="21"/>
      <c r="H111" s="27" t="n">
        <v>686.13</v>
      </c>
      <c r="I111" s="23" t="str">
        <f aca="false">IF($D111&lt;&gt;"销项开票","",IF($N111="一级",IF(IFERROR(INDEX(项目档案!$E$6:$E$255,MATCH($C111,项目档案!$A$6:$A$255,0)),"")="",N(IFERROR(INDEX(单位档案!$D$6:$D$35,MATCH($E111,单位档案!$A$6:$A$35,0)),"")),IFERROR(INDEX(项目档案!$E$6:$E$255,MATCH($C111,项目档案!$A$6:$A$255,0)),"")),IF($N111="二级",IF(IFERROR(INDEX(项目档案!$G$6:$G$255,MATCH($C111,项目档案!$A$6:$A$255,0)),"")="",N(IFERROR(INDEX(单位档案!$D$6:$D$35,MATCH($E111,单位档案!$A$6:$A$35,0)),"")),IFERROR(INDEX(项目档案!$G$6:$G$255,MATCH($C111,项目档案!$A$6:$A$255,0)),"")),N(IFERROR(INDEX(单位档案!$D$6:$D$35,MATCH($E111,单位档案!$A$6:$A$35,0)),"")))))</f>
        <v/>
      </c>
      <c r="J111" s="22" t="s">
        <v>419</v>
      </c>
      <c r="K111" s="22" t="s">
        <v>313</v>
      </c>
      <c r="L111" s="33" t="str">
        <f aca="false">IF($B111="","",IF(NOT(ISNUMBER($B111)),"日期格式不对",IF($C111="","未选项目编号",IF(LEFT($M111,1)="⚠","项目编号不存在",IF($D111="","未选业务类型",IF($E111="","未选开票/付款方",IF(ISNA(MATCH($E111,单位档案!$A$6:$A$35,0)),"开票方不在单位档案",IF($F111="","未选收票/收款方",IF(ISNA(MATCH($F111,单位档案!$A$6:$A$35,0)),"收款方不在单位档案",IF(NOT(ISNUMBER($H111)),"金额须为数字",IF(AND($D111="销项开票",$N111="—"),"链条待确认","√")))))))))))</f>
        <v>√</v>
      </c>
      <c r="M111" s="34" t="str">
        <f aca="false">IF($C111="","",IFERROR(INDEX(项目档案!$B$6:$B$255,MATCH($C111,项目档案!$A$6:$A$255,0)),"⚠项目编号不存在"))</f>
        <v>重庆民能实业有限公司2025-2026年度工程用施工机具等租赁服务框架采购（国网重庆铜梁公司110kV金湖东西电缆改造）</v>
      </c>
      <c r="N111" s="35" t="str">
        <f aca="false">IF($E111="","",IF($E111=IFERROR(INDEX(项目档案!$D$6:$D$255,MATCH($C111,项目档案!$A$6:$A$255,0)),""),"一级",IF($E111=IFERROR(INDEX(项目档案!$F$6:$F$255,MATCH($C111,项目档案!$A$6:$A$255,0)),""),"二级",IF($E111=IFERROR(INDEX(项目档案!$H$6:$H$255,MATCH($C111,项目档案!$A$6:$A$255,0)),""),"我方","—"))))</f>
        <v>一级</v>
      </c>
      <c r="O111" s="36" t="n">
        <f aca="false">IF($D111&lt;&gt;"销项开票",0,ROUND(N($H111)*N($I111),2))</f>
        <v>0</v>
      </c>
      <c r="P111" s="36" t="n">
        <f aca="false">IF($D111&lt;&gt;"销项开票",0,ROUND(N($H111)-$O111,2))</f>
        <v>0</v>
      </c>
      <c r="Q111" s="37" t="n">
        <f aca="false">IF($E111="","",N(IFERROR(INDEX(单位档案!$E$6:$E$35,MATCH($E111,单位档案!$A$6:$A$35,0)),"")))</f>
        <v>0.09</v>
      </c>
      <c r="R111" s="37" t="n">
        <f aca="false">IF($E111="","",N(IFERROR(INDEX(单位档案!$F$6:$F$35,MATCH($E111,单位档案!$A$6:$A$35,0)),"")))</f>
        <v>0.03</v>
      </c>
      <c r="S111" s="36" t="n">
        <f aca="false">IF(OR($D111&lt;&gt;"销项开票",IFERROR(INDEX(单位档案!$G$6:$G$35,MATCH($E111,单位档案!$A$6:$A$35,0)),"")&lt;&gt;"是",N($Q111)=0),0,IF(IFERROR(INDEX(单位档案!$H$6:$H$35,MATCH($E111,单位档案!$A$6:$A$35,0)),"")="税差法",ROUND(N($H111)/(1+$Q111)*$Q111-IF(N($R111)=0,0,$P111/(1+$R111)*$R111),2),ROUND(N($H111)/(1+$Q111)*$Q111,2)))</f>
        <v>0</v>
      </c>
      <c r="T111" s="36" t="n">
        <f aca="false">ROUND($S111*N(IFERROR(INDEX(单位档案!$J$6:$J$35,MATCH($E111,单位档案!$A$6:$A$35,0)),"")),2)</f>
        <v>0</v>
      </c>
      <c r="U111" s="36" t="n">
        <f aca="false">IF($D111&lt;&gt;"销项开票",0,ROUND(N($H111)*N(IFERROR(INDEX(单位档案!$K$6:$K$35,MATCH($E111,单位档案!$A$6:$A$35,0)),"")),2))</f>
        <v>0</v>
      </c>
      <c r="V111" s="36" t="n">
        <f aca="false">IF(OR($D111&lt;&gt;"销项开票",N($Q111)=0),0,ROUND(N($H111)/(1+$Q111)*N(IFERROR(INDEX(单位档案!$L$6:$L$35,MATCH($E111,单位档案!$A$6:$A$35,0)),"")),2))</f>
        <v>0</v>
      </c>
      <c r="W111" s="36" t="n">
        <f aca="false">ROUND($S111+$T111+$U111+$V111,2)</f>
        <v>0</v>
      </c>
      <c r="X111" s="35" t="str">
        <f aca="false">IF(OR($D111="挂靠代收",$D111="我方收款"),COUNTIFS($D$5:$D111,"挂靠代收")+COUNTIFS($D$5:$D111,"我方收款"),"")</f>
        <v/>
      </c>
      <c r="Y111" s="35" t="s">
        <v>119</v>
      </c>
      <c r="Z111" s="21" t="s">
        <v>111</v>
      </c>
    </row>
    <row r="112" customFormat="false" ht="15.75" hidden="false" customHeight="true" outlineLevel="0" collapsed="false">
      <c r="A112" s="32" t="n">
        <f aca="false">IF($B112="","",ROW()-4)</f>
        <v>108</v>
      </c>
      <c r="B112" s="26" t="n">
        <v>46162</v>
      </c>
      <c r="C112" s="24" t="s">
        <v>190</v>
      </c>
      <c r="D112" s="21" t="s">
        <v>307</v>
      </c>
      <c r="E112" s="21" t="s">
        <v>119</v>
      </c>
      <c r="F112" s="21" t="s">
        <v>97</v>
      </c>
      <c r="G112" s="24" t="s">
        <v>394</v>
      </c>
      <c r="H112" s="27" t="n">
        <v>33868</v>
      </c>
      <c r="I112" s="23" t="n">
        <v>0.05</v>
      </c>
      <c r="J112" s="25" t="s">
        <v>420</v>
      </c>
      <c r="K112" s="22" t="s">
        <v>313</v>
      </c>
      <c r="L112" s="33" t="str">
        <f aca="false">IF($B112="","",IF(NOT(ISNUMBER($B112)),"日期格式不对",IF($C112="","未选项目编号",IF(LEFT($M112,1)="⚠","项目编号不存在",IF($D112="","未选业务类型",IF($E112="","未选开票/付款方",IF(ISNA(MATCH($E112,单位档案!$A$6:$A$35,0)),"开票方不在单位档案",IF($F112="","未选收票/收款方",IF(ISNA(MATCH($F112,单位档案!$A$6:$A$35,0)),"收款方不在单位档案",IF(NOT(ISNUMBER($H112)),"金额须为数字",IF(AND($D112="销项开票",$N112="—"),"链条待确认","√")))))))))))</f>
        <v>√</v>
      </c>
      <c r="M112" s="34" t="str">
        <f aca="false">IF($C112="","",IFERROR(INDEX(项目档案!$B$6:$B$255,MATCH($C112,项目档案!$A$6:$A$255,0)),"⚠项目编号不存在"))</f>
        <v>重庆民能实业有限公司2025-2026年度工程用施工机具等租赁服务框架采购（国网重庆铜梁公司110kV金湖东西电缆改造）</v>
      </c>
      <c r="N112" s="35" t="str">
        <f aca="false">IF($E112="","",IF($E112=IFERROR(INDEX(项目档案!$D$6:$D$255,MATCH($C112,项目档案!$A$6:$A$255,0)),""),"一级",IF($E112=IFERROR(INDEX(项目档案!$F$6:$F$255,MATCH($C112,项目档案!$A$6:$A$255,0)),""),"二级",IF($E112=IFERROR(INDEX(项目档案!$H$6:$H$255,MATCH($C112,项目档案!$A$6:$A$255,0)),""),"我方","—"))))</f>
        <v>一级</v>
      </c>
      <c r="O112" s="36" t="n">
        <f aca="false">IF($D112&lt;&gt;"销项开票",0,ROUND(N($H112)*N($I112),2))</f>
        <v>1693.4</v>
      </c>
      <c r="P112" s="36" t="n">
        <f aca="false">IF($D112&lt;&gt;"销项开票",0,ROUND(N($H112)-$O112,2))</f>
        <v>32174.6</v>
      </c>
      <c r="Q112" s="37" t="n">
        <f aca="false">IF($E112="","",N(IFERROR(INDEX(单位档案!$E$6:$E$35,MATCH($E112,单位档案!$A$6:$A$35,0)),"")))</f>
        <v>0.09</v>
      </c>
      <c r="R112" s="37" t="n">
        <f aca="false">IF($E112="","",N(IFERROR(INDEX(单位档案!$F$6:$F$35,MATCH($E112,单位档案!$A$6:$A$35,0)),"")))</f>
        <v>0.03</v>
      </c>
      <c r="S112" s="36" t="n">
        <f aca="false">IF(OR($D112&lt;&gt;"销项开票",IFERROR(INDEX(单位档案!$G$6:$G$35,MATCH($E112,单位档案!$A$6:$A$35,0)),"")&lt;&gt;"是",N($Q112)=0),0,IF(IFERROR(INDEX(单位档案!$H$6:$H$35,MATCH($E112,单位档案!$A$6:$A$35,0)),"")="税差法",ROUND(N($H112)/(1+$Q112)*$Q112-IF(N($R112)=0,0,$P112/(1+$R112)*$R112),2),ROUND(N($H112)/(1+$Q112)*$Q112,2)))</f>
        <v>1859.32</v>
      </c>
      <c r="T112" s="36" t="n">
        <f aca="false">ROUND($S112*N(IFERROR(INDEX(单位档案!$J$6:$J$35,MATCH($E112,单位档案!$A$6:$A$35,0)),"")),2)</f>
        <v>223.12</v>
      </c>
      <c r="U112" s="36" t="n">
        <f aca="false">IF($D112&lt;&gt;"销项开票",0,ROUND(N($H112)*N(IFERROR(INDEX(单位档案!$K$6:$K$35,MATCH($E112,单位档案!$A$6:$A$35,0)),"")),2))</f>
        <v>20.32</v>
      </c>
      <c r="V112" s="36" t="n">
        <f aca="false">IF(OR($D112&lt;&gt;"销项开票",N($Q112)=0),0,ROUND(N($H112)/(1+$Q112)*N(IFERROR(INDEX(单位档案!$L$6:$L$35,MATCH($E112,单位档案!$A$6:$A$35,0)),"")),2))</f>
        <v>0</v>
      </c>
      <c r="W112" s="36" t="n">
        <f aca="false">ROUND($S112+$T112+$U112+$V112,2)</f>
        <v>2102.76</v>
      </c>
      <c r="X112" s="35" t="str">
        <f aca="false">IF(OR($D112="挂靠代收",$D112="我方收款"),COUNTIFS($D$5:$D112,"挂靠代收")+COUNTIFS($D$5:$D112,"我方收款"),"")</f>
        <v/>
      </c>
      <c r="Y112" s="35" t="s">
        <v>119</v>
      </c>
      <c r="Z112" s="21" t="s">
        <v>111</v>
      </c>
    </row>
    <row r="113" customFormat="false" ht="15.75" hidden="false" customHeight="true" outlineLevel="0" collapsed="false">
      <c r="A113" s="32" t="n">
        <f aca="false">IF($B113="","",ROW()-4)</f>
        <v>109</v>
      </c>
      <c r="B113" s="26" t="n">
        <v>46162</v>
      </c>
      <c r="C113" s="24" t="s">
        <v>190</v>
      </c>
      <c r="D113" s="21" t="s">
        <v>314</v>
      </c>
      <c r="E113" s="21" t="s">
        <v>127</v>
      </c>
      <c r="F113" s="21" t="s">
        <v>119</v>
      </c>
      <c r="G113" s="24" t="s">
        <v>394</v>
      </c>
      <c r="H113" s="27" t="n">
        <v>1693.4</v>
      </c>
      <c r="I113" s="23" t="str">
        <f aca="false">IF($D113&lt;&gt;"销项开票","",IF($N113="一级",IF(IFERROR(INDEX(项目档案!$E$6:$E$255,MATCH($C113,项目档案!$A$6:$A$255,0)),"")="",N(IFERROR(INDEX(单位档案!$D$6:$D$35,MATCH($E113,单位档案!$A$6:$A$35,0)),"")),IFERROR(INDEX(项目档案!$E$6:$E$255,MATCH($C113,项目档案!$A$6:$A$255,0)),"")),IF($N113="二级",IF(IFERROR(INDEX(项目档案!$G$6:$G$255,MATCH($C113,项目档案!$A$6:$A$255,0)),"")="",N(IFERROR(INDEX(单位档案!$D$6:$D$35,MATCH($E113,单位档案!$A$6:$A$35,0)),"")),IFERROR(INDEX(项目档案!$G$6:$G$255,MATCH($C113,项目档案!$A$6:$A$255,0)),"")),N(IFERROR(INDEX(单位档案!$D$6:$D$35,MATCH($E113,单位档案!$A$6:$A$35,0)),"")))))</f>
        <v/>
      </c>
      <c r="J113" s="25" t="s">
        <v>420</v>
      </c>
      <c r="K113" s="22" t="s">
        <v>313</v>
      </c>
      <c r="L113" s="33" t="str">
        <f aca="false">IF($B113="","",IF(NOT(ISNUMBER($B113)),"日期格式不对",IF($C113="","未选项目编号",IF(LEFT($M113,1)="⚠","项目编号不存在",IF($D113="","未选业务类型",IF($E113="","未选开票/付款方",IF(ISNA(MATCH($E113,单位档案!$A$6:$A$35,0)),"开票方不在单位档案",IF($F113="","未选收票/收款方",IF(ISNA(MATCH($F113,单位档案!$A$6:$A$35,0)),"收款方不在单位档案",IF(NOT(ISNUMBER($H113)),"金额须为数字",IF(AND($D113="销项开票",$N113="—"),"链条待确认","√")))))))))))</f>
        <v>√</v>
      </c>
      <c r="M113" s="34" t="str">
        <f aca="false">IF($C113="","",IFERROR(INDEX(项目档案!$B$6:$B$255,MATCH($C113,项目档案!$A$6:$A$255,0)),"⚠项目编号不存在"))</f>
        <v>重庆民能实业有限公司2025-2026年度工程用施工机具等租赁服务框架采购（国网重庆铜梁公司110kV金湖东西电缆改造）</v>
      </c>
      <c r="N113" s="35" t="str">
        <f aca="false">IF($E113="","",IF($E113=IFERROR(INDEX(项目档案!$D$6:$D$255,MATCH($C113,项目档案!$A$6:$A$255,0)),""),"一级",IF($E113=IFERROR(INDEX(项目档案!$F$6:$F$255,MATCH($C113,项目档案!$A$6:$A$255,0)),""),"二级",IF($E113=IFERROR(INDEX(项目档案!$H$6:$H$255,MATCH($C113,项目档案!$A$6:$A$255,0)),""),"我方","—"))))</f>
        <v>我方</v>
      </c>
      <c r="O113" s="36" t="n">
        <f aca="false">IF($D113&lt;&gt;"销项开票",0,ROUND(N($H113)*N($I113),2))</f>
        <v>0</v>
      </c>
      <c r="P113" s="36" t="n">
        <f aca="false">IF($D113&lt;&gt;"销项开票",0,ROUND(N($H113)-$O113,2))</f>
        <v>0</v>
      </c>
      <c r="Q113" s="37" t="n">
        <f aca="false">IF($E113="","",N(IFERROR(INDEX(单位档案!$E$6:$E$35,MATCH($E113,单位档案!$A$6:$A$35,0)),"")))</f>
        <v>0.03</v>
      </c>
      <c r="R113" s="37" t="n">
        <f aca="false">IF($E113="","",N(IFERROR(INDEX(单位档案!$F$6:$F$35,MATCH($E113,单位档案!$A$6:$A$35,0)),"")))</f>
        <v>0</v>
      </c>
      <c r="S113" s="36" t="n">
        <f aca="false">IF(OR($D113&lt;&gt;"销项开票",IFERROR(INDEX(单位档案!$G$6:$G$35,MATCH($E113,单位档案!$A$6:$A$35,0)),"")&lt;&gt;"是",N($Q113)=0),0,IF(IFERROR(INDEX(单位档案!$H$6:$H$35,MATCH($E113,单位档案!$A$6:$A$35,0)),"")="税差法",ROUND(N($H113)/(1+$Q113)*$Q113-IF(N($R113)=0,0,$P113/(1+$R113)*$R113),2),ROUND(N($H113)/(1+$Q113)*$Q113,2)))</f>
        <v>0</v>
      </c>
      <c r="T113" s="36" t="n">
        <f aca="false">ROUND($S113*N(IFERROR(INDEX(单位档案!$J$6:$J$35,MATCH($E113,单位档案!$A$6:$A$35,0)),"")),2)</f>
        <v>0</v>
      </c>
      <c r="U113" s="36" t="n">
        <f aca="false">IF($D113&lt;&gt;"销项开票",0,ROUND(N($H113)*N(IFERROR(INDEX(单位档案!$K$6:$K$35,MATCH($E113,单位档案!$A$6:$A$35,0)),"")),2))</f>
        <v>0</v>
      </c>
      <c r="V113" s="36" t="n">
        <f aca="false">IF(OR($D113&lt;&gt;"销项开票",N($Q113)=0),0,ROUND(N($H113)/(1+$Q113)*N(IFERROR(INDEX(单位档案!$L$6:$L$35,MATCH($E113,单位档案!$A$6:$A$35,0)),"")),2))</f>
        <v>0</v>
      </c>
      <c r="W113" s="36" t="n">
        <f aca="false">ROUND($S113+$T113+$U113+$V113,2)</f>
        <v>0</v>
      </c>
      <c r="X113" s="35" t="str">
        <f aca="false">IF(OR($D113="挂靠代收",$D113="我方收款"),COUNTIFS($D$5:$D113,"挂靠代收")+COUNTIFS($D$5:$D113,"我方收款"),"")</f>
        <v/>
      </c>
      <c r="Y113" s="35" t="s">
        <v>119</v>
      </c>
      <c r="Z113" s="21" t="s">
        <v>111</v>
      </c>
    </row>
    <row r="114" customFormat="false" ht="15.75" hidden="false" customHeight="true" outlineLevel="0" collapsed="false">
      <c r="A114" s="32" t="n">
        <f aca="false">IF($B114="","",ROW()-4)</f>
        <v>110</v>
      </c>
      <c r="B114" s="26" t="n">
        <v>46163</v>
      </c>
      <c r="C114" s="24" t="s">
        <v>190</v>
      </c>
      <c r="D114" s="21" t="s">
        <v>307</v>
      </c>
      <c r="E114" s="21" t="s">
        <v>119</v>
      </c>
      <c r="F114" s="21" t="s">
        <v>97</v>
      </c>
      <c r="G114" s="24" t="s">
        <v>394</v>
      </c>
      <c r="H114" s="27" t="n">
        <v>69146</v>
      </c>
      <c r="I114" s="23" t="n">
        <v>0.05</v>
      </c>
      <c r="J114" s="25" t="s">
        <v>421</v>
      </c>
      <c r="K114" s="22" t="s">
        <v>313</v>
      </c>
      <c r="L114" s="33" t="str">
        <f aca="false">IF($B114="","",IF(NOT(ISNUMBER($B114)),"日期格式不对",IF($C114="","未选项目编号",IF(LEFT($M114,1)="⚠","项目编号不存在",IF($D114="","未选业务类型",IF($E114="","未选开票/付款方",IF(ISNA(MATCH($E114,单位档案!$A$6:$A$35,0)),"开票方不在单位档案",IF($F114="","未选收票/收款方",IF(ISNA(MATCH($F114,单位档案!$A$6:$A$35,0)),"收款方不在单位档案",IF(NOT(ISNUMBER($H114)),"金额须为数字",IF(AND($D114="销项开票",$N114="—"),"链条待确认","√")))))))))))</f>
        <v>√</v>
      </c>
      <c r="M114" s="34" t="str">
        <f aca="false">IF($C114="","",IFERROR(INDEX(项目档案!$B$6:$B$255,MATCH($C114,项目档案!$A$6:$A$255,0)),"⚠项目编号不存在"))</f>
        <v>重庆民能实业有限公司2025-2026年度工程用施工机具等租赁服务框架采购（国网重庆铜梁公司110kV金湖东西电缆改造）</v>
      </c>
      <c r="N114" s="35" t="str">
        <f aca="false">IF($E114="","",IF($E114=IFERROR(INDEX(项目档案!$D$6:$D$255,MATCH($C114,项目档案!$A$6:$A$255,0)),""),"一级",IF($E114=IFERROR(INDEX(项目档案!$F$6:$F$255,MATCH($C114,项目档案!$A$6:$A$255,0)),""),"二级",IF($E114=IFERROR(INDEX(项目档案!$H$6:$H$255,MATCH($C114,项目档案!$A$6:$A$255,0)),""),"我方","—"))))</f>
        <v>一级</v>
      </c>
      <c r="O114" s="36" t="n">
        <f aca="false">IF($D114&lt;&gt;"销项开票",0,ROUND(N($H114)*N($I114),2))</f>
        <v>3457.3</v>
      </c>
      <c r="P114" s="36" t="n">
        <f aca="false">IF($D114&lt;&gt;"销项开票",0,ROUND(N($H114)-$O114,2))</f>
        <v>65688.7</v>
      </c>
      <c r="Q114" s="37" t="n">
        <f aca="false">IF($E114="","",N(IFERROR(INDEX(单位档案!$E$6:$E$35,MATCH($E114,单位档案!$A$6:$A$35,0)),"")))</f>
        <v>0.09</v>
      </c>
      <c r="R114" s="37" t="n">
        <f aca="false">IF($E114="","",N(IFERROR(INDEX(单位档案!$F$6:$F$35,MATCH($E114,单位档案!$A$6:$A$35,0)),"")))</f>
        <v>0.03</v>
      </c>
      <c r="S114" s="36" t="n">
        <f aca="false">IF(OR($D114&lt;&gt;"销项开票",IFERROR(INDEX(单位档案!$G$6:$G$35,MATCH($E114,单位档案!$A$6:$A$35,0)),"")&lt;&gt;"是",N($Q114)=0),0,IF(IFERROR(INDEX(单位档案!$H$6:$H$35,MATCH($E114,单位档案!$A$6:$A$35,0)),"")="税差法",ROUND(N($H114)/(1+$Q114)*$Q114-IF(N($R114)=0,0,$P114/(1+$R114)*$R114),2),ROUND(N($H114)/(1+$Q114)*$Q114,2)))</f>
        <v>3796.04</v>
      </c>
      <c r="T114" s="36" t="n">
        <f aca="false">ROUND($S114*N(IFERROR(INDEX(单位档案!$J$6:$J$35,MATCH($E114,单位档案!$A$6:$A$35,0)),"")),2)</f>
        <v>455.52</v>
      </c>
      <c r="U114" s="36" t="n">
        <f aca="false">IF($D114&lt;&gt;"销项开票",0,ROUND(N($H114)*N(IFERROR(INDEX(单位档案!$K$6:$K$35,MATCH($E114,单位档案!$A$6:$A$35,0)),"")),2))</f>
        <v>41.49</v>
      </c>
      <c r="V114" s="36" t="n">
        <f aca="false">IF(OR($D114&lt;&gt;"销项开票",N($Q114)=0),0,ROUND(N($H114)/(1+$Q114)*N(IFERROR(INDEX(单位档案!$L$6:$L$35,MATCH($E114,单位档案!$A$6:$A$35,0)),"")),2))</f>
        <v>0</v>
      </c>
      <c r="W114" s="36" t="n">
        <f aca="false">ROUND($S114+$T114+$U114+$V114,2)</f>
        <v>4293.05</v>
      </c>
      <c r="X114" s="35" t="str">
        <f aca="false">IF(OR($D114="挂靠代收",$D114="我方收款"),COUNTIFS($D$5:$D114,"挂靠代收")+COUNTIFS($D$5:$D114,"我方收款"),"")</f>
        <v/>
      </c>
      <c r="Y114" s="35" t="s">
        <v>119</v>
      </c>
      <c r="Z114" s="21" t="s">
        <v>111</v>
      </c>
    </row>
    <row r="115" customFormat="false" ht="15.75" hidden="false" customHeight="true" outlineLevel="0" collapsed="false">
      <c r="A115" s="32" t="n">
        <f aca="false">IF($B115="","",ROW()-4)</f>
        <v>111</v>
      </c>
      <c r="B115" s="26" t="n">
        <v>46163</v>
      </c>
      <c r="C115" s="24" t="s">
        <v>190</v>
      </c>
      <c r="D115" s="21" t="s">
        <v>314</v>
      </c>
      <c r="E115" s="21" t="s">
        <v>127</v>
      </c>
      <c r="F115" s="21" t="s">
        <v>119</v>
      </c>
      <c r="G115" s="24" t="s">
        <v>394</v>
      </c>
      <c r="H115" s="27" t="n">
        <v>3457.3</v>
      </c>
      <c r="I115" s="23" t="str">
        <f aca="false">IF($D115&lt;&gt;"销项开票","",IF($N115="一级",IF(IFERROR(INDEX(项目档案!$E$6:$E$255,MATCH($C115,项目档案!$A$6:$A$255,0)),"")="",N(IFERROR(INDEX(单位档案!$D$6:$D$35,MATCH($E115,单位档案!$A$6:$A$35,0)),"")),IFERROR(INDEX(项目档案!$E$6:$E$255,MATCH($C115,项目档案!$A$6:$A$255,0)),"")),IF($N115="二级",IF(IFERROR(INDEX(项目档案!$G$6:$G$255,MATCH($C115,项目档案!$A$6:$A$255,0)),"")="",N(IFERROR(INDEX(单位档案!$D$6:$D$35,MATCH($E115,单位档案!$A$6:$A$35,0)),"")),IFERROR(INDEX(项目档案!$G$6:$G$255,MATCH($C115,项目档案!$A$6:$A$255,0)),"")),N(IFERROR(INDEX(单位档案!$D$6:$D$35,MATCH($E115,单位档案!$A$6:$A$35,0)),"")))))</f>
        <v/>
      </c>
      <c r="J115" s="25" t="s">
        <v>421</v>
      </c>
      <c r="K115" s="22" t="s">
        <v>313</v>
      </c>
      <c r="L115" s="33" t="str">
        <f aca="false">IF($B115="","",IF(NOT(ISNUMBER($B115)),"日期格式不对",IF($C115="","未选项目编号",IF(LEFT($M115,1)="⚠","项目编号不存在",IF($D115="","未选业务类型",IF($E115="","未选开票/付款方",IF(ISNA(MATCH($E115,单位档案!$A$6:$A$35,0)),"开票方不在单位档案",IF($F115="","未选收票/收款方",IF(ISNA(MATCH($F115,单位档案!$A$6:$A$35,0)),"收款方不在单位档案",IF(NOT(ISNUMBER($H115)),"金额须为数字",IF(AND($D115="销项开票",$N115="—"),"链条待确认","√")))))))))))</f>
        <v>√</v>
      </c>
      <c r="M115" s="34" t="str">
        <f aca="false">IF($C115="","",IFERROR(INDEX(项目档案!$B$6:$B$255,MATCH($C115,项目档案!$A$6:$A$255,0)),"⚠项目编号不存在"))</f>
        <v>重庆民能实业有限公司2025-2026年度工程用施工机具等租赁服务框架采购（国网重庆铜梁公司110kV金湖东西电缆改造）</v>
      </c>
      <c r="N115" s="35" t="str">
        <f aca="false">IF($E115="","",IF($E115=IFERROR(INDEX(项目档案!$D$6:$D$255,MATCH($C115,项目档案!$A$6:$A$255,0)),""),"一级",IF($E115=IFERROR(INDEX(项目档案!$F$6:$F$255,MATCH($C115,项目档案!$A$6:$A$255,0)),""),"二级",IF($E115=IFERROR(INDEX(项目档案!$H$6:$H$255,MATCH($C115,项目档案!$A$6:$A$255,0)),""),"我方","—"))))</f>
        <v>我方</v>
      </c>
      <c r="O115" s="36" t="n">
        <f aca="false">IF($D115&lt;&gt;"销项开票",0,ROUND(N($H115)*N($I115),2))</f>
        <v>0</v>
      </c>
      <c r="P115" s="36" t="n">
        <f aca="false">IF($D115&lt;&gt;"销项开票",0,ROUND(N($H115)-$O115,2))</f>
        <v>0</v>
      </c>
      <c r="Q115" s="37" t="n">
        <f aca="false">IF($E115="","",N(IFERROR(INDEX(单位档案!$E$6:$E$35,MATCH($E115,单位档案!$A$6:$A$35,0)),"")))</f>
        <v>0.03</v>
      </c>
      <c r="R115" s="37" t="n">
        <f aca="false">IF($E115="","",N(IFERROR(INDEX(单位档案!$F$6:$F$35,MATCH($E115,单位档案!$A$6:$A$35,0)),"")))</f>
        <v>0</v>
      </c>
      <c r="S115" s="36" t="n">
        <f aca="false">IF(OR($D115&lt;&gt;"销项开票",IFERROR(INDEX(单位档案!$G$6:$G$35,MATCH($E115,单位档案!$A$6:$A$35,0)),"")&lt;&gt;"是",N($Q115)=0),0,IF(IFERROR(INDEX(单位档案!$H$6:$H$35,MATCH($E115,单位档案!$A$6:$A$35,0)),"")="税差法",ROUND(N($H115)/(1+$Q115)*$Q115-IF(N($R115)=0,0,$P115/(1+$R115)*$R115),2),ROUND(N($H115)/(1+$Q115)*$Q115,2)))</f>
        <v>0</v>
      </c>
      <c r="T115" s="36" t="n">
        <f aca="false">ROUND($S115*N(IFERROR(INDEX(单位档案!$J$6:$J$35,MATCH($E115,单位档案!$A$6:$A$35,0)),"")),2)</f>
        <v>0</v>
      </c>
      <c r="U115" s="36" t="n">
        <f aca="false">IF($D115&lt;&gt;"销项开票",0,ROUND(N($H115)*N(IFERROR(INDEX(单位档案!$K$6:$K$35,MATCH($E115,单位档案!$A$6:$A$35,0)),"")),2))</f>
        <v>0</v>
      </c>
      <c r="V115" s="36" t="n">
        <f aca="false">IF(OR($D115&lt;&gt;"销项开票",N($Q115)=0),0,ROUND(N($H115)/(1+$Q115)*N(IFERROR(INDEX(单位档案!$L$6:$L$35,MATCH($E115,单位档案!$A$6:$A$35,0)),"")),2))</f>
        <v>0</v>
      </c>
      <c r="W115" s="36" t="n">
        <f aca="false">ROUND($S115+$T115+$U115+$V115,2)</f>
        <v>0</v>
      </c>
      <c r="X115" s="35" t="str">
        <f aca="false">IF(OR($D115="挂靠代收",$D115="我方收款"),COUNTIFS($D$5:$D115,"挂靠代收")+COUNTIFS($D$5:$D115,"我方收款"),"")</f>
        <v/>
      </c>
      <c r="Y115" s="35" t="s">
        <v>119</v>
      </c>
      <c r="Z115" s="21" t="s">
        <v>111</v>
      </c>
    </row>
    <row r="116" customFormat="false" ht="15.75" hidden="false" customHeight="true" outlineLevel="0" collapsed="false">
      <c r="A116" s="32" t="n">
        <f aca="false">IF($B116="","",ROW()-4)</f>
        <v>112</v>
      </c>
      <c r="B116" s="26" t="n">
        <v>46163</v>
      </c>
      <c r="C116" s="24" t="s">
        <v>193</v>
      </c>
      <c r="D116" s="21" t="s">
        <v>11</v>
      </c>
      <c r="E116" s="21" t="s">
        <v>119</v>
      </c>
      <c r="F116" s="21" t="s">
        <v>134</v>
      </c>
      <c r="G116" s="21"/>
      <c r="H116" s="27" t="n">
        <v>1988.39</v>
      </c>
      <c r="I116" s="23" t="str">
        <f aca="false">IF($D116&lt;&gt;"销项开票","",IF($N116="一级",IF(IFERROR(INDEX(项目档案!$E$6:$E$255,MATCH($C116,项目档案!$A$6:$A$255,0)),"")="",N(IFERROR(INDEX(单位档案!$D$6:$D$35,MATCH($E116,单位档案!$A$6:$A$35,0)),"")),IFERROR(INDEX(项目档案!$E$6:$E$255,MATCH($C116,项目档案!$A$6:$A$255,0)),"")),IF($N116="二级",IF(IFERROR(INDEX(项目档案!$G$6:$G$255,MATCH($C116,项目档案!$A$6:$A$255,0)),"")="",N(IFERROR(INDEX(单位档案!$D$6:$D$35,MATCH($E116,单位档案!$A$6:$A$35,0)),"")),IFERROR(INDEX(项目档案!$G$6:$G$255,MATCH($C116,项目档案!$A$6:$A$255,0)),"")),N(IFERROR(INDEX(单位档案!$D$6:$D$35,MATCH($E116,单位档案!$A$6:$A$35,0)),"")))))</f>
        <v/>
      </c>
      <c r="J116" s="25" t="s">
        <v>422</v>
      </c>
      <c r="K116" s="22" t="s">
        <v>313</v>
      </c>
      <c r="L116" s="33" t="str">
        <f aca="false">IF($B116="","",IF(NOT(ISNUMBER($B116)),"日期格式不对",IF($C116="","未选项目编号",IF(LEFT($M116,1)="⚠","项目编号不存在",IF($D116="","未选业务类型",IF($E116="","未选开票/付款方",IF(ISNA(MATCH($E116,单位档案!$A$6:$A$35,0)),"开票方不在单位档案",IF($F116="","未选收票/收款方",IF(ISNA(MATCH($F116,单位档案!$A$6:$A$35,0)),"收款方不在单位档案",IF(NOT(ISNUMBER($H116)),"金额须为数字",IF(AND($D116="销项开票",$N116="—"),"链条待确认","√")))))))))))</f>
        <v>√</v>
      </c>
      <c r="M116" s="34" t="str">
        <f aca="false">IF($C116="","",IFERROR(INDEX(项目档案!$B$6:$B$255,MATCH($C116,项目档案!$A$6:$A$255,0)),"⚠项目编号不存在"))</f>
        <v>铜梁区园区屋顶分布式光伏发电建设项目-10kV电力新建工程（康欣3W，泓普7W）</v>
      </c>
      <c r="N116" s="35" t="str">
        <f aca="false">IF($E116="","",IF($E116=IFERROR(INDEX(项目档案!$D$6:$D$255,MATCH($C116,项目档案!$A$6:$A$255,0)),""),"一级",IF($E116=IFERROR(INDEX(项目档案!$F$6:$F$255,MATCH($C116,项目档案!$A$6:$A$255,0)),""),"二级",IF($E116=IFERROR(INDEX(项目档案!$H$6:$H$255,MATCH($C116,项目档案!$A$6:$A$255,0)),""),"我方","—"))))</f>
        <v>一级</v>
      </c>
      <c r="O116" s="36" t="n">
        <f aca="false">IF($D116&lt;&gt;"销项开票",0,ROUND(N($H116)*N($I116),2))</f>
        <v>0</v>
      </c>
      <c r="P116" s="36" t="n">
        <f aca="false">IF($D116&lt;&gt;"销项开票",0,ROUND(N($H116)-$O116,2))</f>
        <v>0</v>
      </c>
      <c r="Q116" s="37" t="n">
        <f aca="false">IF($E116="","",N(IFERROR(INDEX(单位档案!$E$6:$E$35,MATCH($E116,单位档案!$A$6:$A$35,0)),"")))</f>
        <v>0.09</v>
      </c>
      <c r="R116" s="37" t="n">
        <f aca="false">IF($E116="","",N(IFERROR(INDEX(单位档案!$F$6:$F$35,MATCH($E116,单位档案!$A$6:$A$35,0)),"")))</f>
        <v>0.03</v>
      </c>
      <c r="S116" s="36" t="n">
        <f aca="false">IF(OR($D116&lt;&gt;"销项开票",IFERROR(INDEX(单位档案!$G$6:$G$35,MATCH($E116,单位档案!$A$6:$A$35,0)),"")&lt;&gt;"是",N($Q116)=0),0,IF(IFERROR(INDEX(单位档案!$H$6:$H$35,MATCH($E116,单位档案!$A$6:$A$35,0)),"")="税差法",ROUND(N($H116)/(1+$Q116)*$Q116-IF(N($R116)=0,0,$P116/(1+$R116)*$R116),2),ROUND(N($H116)/(1+$Q116)*$Q116,2)))</f>
        <v>0</v>
      </c>
      <c r="T116" s="36" t="n">
        <f aca="false">ROUND($S116*N(IFERROR(INDEX(单位档案!$J$6:$J$35,MATCH($E116,单位档案!$A$6:$A$35,0)),"")),2)</f>
        <v>0</v>
      </c>
      <c r="U116" s="36" t="n">
        <f aca="false">IF($D116&lt;&gt;"销项开票",0,ROUND(N($H116)*N(IFERROR(INDEX(单位档案!$K$6:$K$35,MATCH($E116,单位档案!$A$6:$A$35,0)),"")),2))</f>
        <v>0</v>
      </c>
      <c r="V116" s="36" t="n">
        <f aca="false">IF(OR($D116&lt;&gt;"销项开票",N($Q116)=0),0,ROUND(N($H116)/(1+$Q116)*N(IFERROR(INDEX(单位档案!$L$6:$L$35,MATCH($E116,单位档案!$A$6:$A$35,0)),"")),2))</f>
        <v>0</v>
      </c>
      <c r="W116" s="36" t="n">
        <f aca="false">ROUND($S116+$T116+$U116+$V116,2)</f>
        <v>0</v>
      </c>
      <c r="X116" s="35" t="str">
        <f aca="false">IF(OR($D116="挂靠代收",$D116="我方收款"),COUNTIFS($D$5:$D116,"挂靠代收")+COUNTIFS($D$5:$D116,"我方收款"),"")</f>
        <v/>
      </c>
      <c r="Y116" s="35" t="s">
        <v>119</v>
      </c>
      <c r="Z116" s="21" t="s">
        <v>111</v>
      </c>
    </row>
    <row r="117" customFormat="false" ht="15.75" hidden="false" customHeight="true" outlineLevel="0" collapsed="false">
      <c r="A117" s="32" t="n">
        <f aca="false">IF($B117="","",ROW()-4)</f>
        <v>113</v>
      </c>
      <c r="B117" s="26" t="n">
        <v>46164</v>
      </c>
      <c r="C117" s="24" t="s">
        <v>195</v>
      </c>
      <c r="D117" s="21" t="s">
        <v>307</v>
      </c>
      <c r="E117" s="21" t="s">
        <v>117</v>
      </c>
      <c r="F117" s="21" t="s">
        <v>119</v>
      </c>
      <c r="G117" s="24" t="s">
        <v>394</v>
      </c>
      <c r="H117" s="27" t="n">
        <v>70000</v>
      </c>
      <c r="I117" s="23" t="n">
        <v>0.05</v>
      </c>
      <c r="J117" s="25" t="s">
        <v>423</v>
      </c>
      <c r="K117" s="22" t="s">
        <v>313</v>
      </c>
      <c r="L117" s="33" t="str">
        <f aca="false">IF($B117="","",IF(NOT(ISNUMBER($B117)),"日期格式不对",IF($C117="","未选项目编号",IF(LEFT($M117,1)="⚠","项目编号不存在",IF($D117="","未选业务类型",IF($E117="","未选开票/付款方",IF(ISNA(MATCH($E117,单位档案!$A$6:$A$35,0)),"开票方不在单位档案",IF($F117="","未选收票/收款方",IF(ISNA(MATCH($F117,单位档案!$A$6:$A$35,0)),"收款方不在单位档案",IF(NOT(ISNUMBER($H117)),"金额须为数字",IF(AND($D117="销项开票",$N117="—"),"链条待确认","√")))))))))))</f>
        <v>√</v>
      </c>
      <c r="M117" s="34" t="str">
        <f aca="false">IF($C117="","",IFERROR(INDEX(项目档案!$B$6:$B$255,MATCH($C117,项目档案!$A$6:$A$255,0)),"⚠项目编号不存在"))</f>
        <v>铜梁区园区屋顶分布式光伏发电建设项目-10kV电力新建工程（康欣3W，泓普6W）</v>
      </c>
      <c r="N117" s="35" t="str">
        <f aca="false">IF($E117="","",IF($E117=IFERROR(INDEX(项目档案!$D$6:$D$255,MATCH($C117,项目档案!$A$6:$A$255,0)),""),"一级",IF($E117=IFERROR(INDEX(项目档案!$F$6:$F$255,MATCH($C117,项目档案!$A$6:$A$255,0)),""),"二级",IF($E117=IFERROR(INDEX(项目档案!$H$6:$H$255,MATCH($C117,项目档案!$A$6:$A$255,0)),""),"我方","—"))))</f>
        <v>一级</v>
      </c>
      <c r="O117" s="36" t="n">
        <f aca="false">IF($D117&lt;&gt;"销项开票",0,ROUND(N($H117)*N($I117),2))</f>
        <v>3500</v>
      </c>
      <c r="P117" s="36" t="n">
        <f aca="false">IF($D117&lt;&gt;"销项开票",0,ROUND(N($H117)-$O117,2))</f>
        <v>66500</v>
      </c>
      <c r="Q117" s="37" t="n">
        <f aca="false">IF($E117="","",N(IFERROR(INDEX(单位档案!$E$6:$E$35,MATCH($E117,单位档案!$A$6:$A$35,0)),"")))</f>
        <v>0.03</v>
      </c>
      <c r="R117" s="37" t="n">
        <f aca="false">IF($E117="","",N(IFERROR(INDEX(单位档案!$F$6:$F$35,MATCH($E117,单位档案!$A$6:$A$35,0)),"")))</f>
        <v>0.03</v>
      </c>
      <c r="S117" s="36" t="n">
        <f aca="false">IF(OR($D117&lt;&gt;"销项开票",IFERROR(INDEX(单位档案!$G$6:$G$35,MATCH($E117,单位档案!$A$6:$A$35,0)),"")&lt;&gt;"是",N($Q117)=0),0,IF(IFERROR(INDEX(单位档案!$H$6:$H$35,MATCH($E117,单位档案!$A$6:$A$35,0)),"")="税差法",ROUND(N($H117)/(1+$Q117)*$Q117-IF(N($R117)=0,0,$P117/(1+$R117)*$R117),2),ROUND(N($H117)/(1+$Q117)*$Q117,2)))</f>
        <v>2038.83</v>
      </c>
      <c r="T117" s="36" t="n">
        <f aca="false">ROUND($S117*N(IFERROR(INDEX(单位档案!$J$6:$J$35,MATCH($E117,单位档案!$A$6:$A$35,0)),"")),2)</f>
        <v>122.33</v>
      </c>
      <c r="U117" s="36" t="n">
        <f aca="false">IF($D117&lt;&gt;"销项开票",0,ROUND(N($H117)*N(IFERROR(INDEX(单位档案!$K$6:$K$35,MATCH($E117,单位档案!$A$6:$A$35,0)),"")),2))</f>
        <v>0</v>
      </c>
      <c r="V117" s="36" t="n">
        <f aca="false">IF(OR($D117&lt;&gt;"销项开票",N($Q117)=0),0,ROUND(N($H117)/(1+$Q117)*N(IFERROR(INDEX(单位档案!$L$6:$L$35,MATCH($E117,单位档案!$A$6:$A$35,0)),"")),2))</f>
        <v>135.92</v>
      </c>
      <c r="W117" s="36" t="n">
        <f aca="false">ROUND($S117+$T117+$U117+$V117,2)</f>
        <v>2297.08</v>
      </c>
      <c r="X117" s="35" t="str">
        <f aca="false">IF(OR($D117="挂靠代收",$D117="我方收款"),COUNTIFS($D$5:$D117,"挂靠代收")+COUNTIFS($D$5:$D117,"我方收款"),"")</f>
        <v/>
      </c>
      <c r="Y117" s="35" t="s">
        <v>117</v>
      </c>
      <c r="Z117" s="21" t="s">
        <v>111</v>
      </c>
    </row>
    <row r="118" customFormat="false" ht="15.75" hidden="false" customHeight="true" outlineLevel="0" collapsed="false">
      <c r="A118" s="32" t="n">
        <f aca="false">IF($B118="","",ROW()-4)</f>
        <v>114</v>
      </c>
      <c r="B118" s="26" t="n">
        <v>46164</v>
      </c>
      <c r="C118" s="24" t="s">
        <v>195</v>
      </c>
      <c r="D118" s="21" t="s">
        <v>307</v>
      </c>
      <c r="E118" s="21" t="s">
        <v>117</v>
      </c>
      <c r="F118" s="21" t="s">
        <v>119</v>
      </c>
      <c r="G118" s="24" t="s">
        <v>394</v>
      </c>
      <c r="H118" s="27" t="n">
        <v>66500</v>
      </c>
      <c r="I118" s="23" t="n">
        <f aca="false">IF($D118&lt;&gt;"销项开票","",IF($N118="一级",IF(IFERROR(INDEX(项目档案!$E$6:$E$255,MATCH($C118,项目档案!$A$6:$A$255,0)),"")="",N(IFERROR(INDEX(单位档案!$D$6:$D$35,MATCH($E118,单位档案!$A$6:$A$35,0)),"")),IFERROR(INDEX(项目档案!$E$6:$E$255,MATCH($C118,项目档案!$A$6:$A$255,0)),"")),IF($N118="二级",IF(IFERROR(INDEX(项目档案!$G$6:$G$255,MATCH($C118,项目档案!$A$6:$A$255,0)),"")="",N(IFERROR(INDEX(单位档案!$D$6:$D$35,MATCH($E118,单位档案!$A$6:$A$35,0)),"")),IFERROR(INDEX(项目档案!$G$6:$G$255,MATCH($C118,项目档案!$A$6:$A$255,0)),"")),N(IFERROR(INDEX(单位档案!$D$6:$D$35,MATCH($E118,单位档案!$A$6:$A$35,0)),"")))))</f>
        <v>0.02</v>
      </c>
      <c r="J118" s="25" t="s">
        <v>423</v>
      </c>
      <c r="K118" s="22" t="s">
        <v>313</v>
      </c>
      <c r="L118" s="33" t="str">
        <f aca="false">IF($B118="","",IF(NOT(ISNUMBER($B118)),"日期格式不对",IF($C118="","未选项目编号",IF(LEFT($M118,1)="⚠","项目编号不存在",IF($D118="","未选业务类型",IF($E118="","未选开票/付款方",IF(ISNA(MATCH($E118,单位档案!$A$6:$A$35,0)),"开票方不在单位档案",IF($F118="","未选收票/收款方",IF(ISNA(MATCH($F118,单位档案!$A$6:$A$35,0)),"收款方不在单位档案",IF(NOT(ISNUMBER($H118)),"金额须为数字",IF(AND($D118="销项开票",$N118="—"),"链条待确认","√")))))))))))</f>
        <v>√</v>
      </c>
      <c r="M118" s="34" t="str">
        <f aca="false">IF($C118="","",IFERROR(INDEX(项目档案!$B$6:$B$255,MATCH($C118,项目档案!$A$6:$A$255,0)),"⚠项目编号不存在"))</f>
        <v>铜梁区园区屋顶分布式光伏发电建设项目-10kV电力新建工程（康欣3W，泓普6W）</v>
      </c>
      <c r="N118" s="35" t="str">
        <f aca="false">IF($E118="","",IF($E118=IFERROR(INDEX(项目档案!$D$6:$D$255,MATCH($C118,项目档案!$A$6:$A$255,0)),""),"一级",IF($E118=IFERROR(INDEX(项目档案!$F$6:$F$255,MATCH($C118,项目档案!$A$6:$A$255,0)),""),"二级",IF($E118=IFERROR(INDEX(项目档案!$H$6:$H$255,MATCH($C118,项目档案!$A$6:$A$255,0)),""),"我方","—"))))</f>
        <v>一级</v>
      </c>
      <c r="O118" s="36" t="n">
        <f aca="false">IF($D118&lt;&gt;"销项开票",0,ROUND(N($H118)*N($I118),2))</f>
        <v>1330</v>
      </c>
      <c r="P118" s="36" t="n">
        <f aca="false">IF($D118&lt;&gt;"销项开票",0,ROUND(N($H118)-$O118,2))</f>
        <v>65170</v>
      </c>
      <c r="Q118" s="37" t="n">
        <f aca="false">IF($E118="","",N(IFERROR(INDEX(单位档案!$E$6:$E$35,MATCH($E118,单位档案!$A$6:$A$35,0)),"")))</f>
        <v>0.03</v>
      </c>
      <c r="R118" s="37" t="n">
        <f aca="false">IF($E118="","",N(IFERROR(INDEX(单位档案!$F$6:$F$35,MATCH($E118,单位档案!$A$6:$A$35,0)),"")))</f>
        <v>0.03</v>
      </c>
      <c r="S118" s="36" t="n">
        <f aca="false">IF(OR($D118&lt;&gt;"销项开票",IFERROR(INDEX(单位档案!$G$6:$G$35,MATCH($E118,单位档案!$A$6:$A$35,0)),"")&lt;&gt;"是",N($Q118)=0),0,IF(IFERROR(INDEX(单位档案!$H$6:$H$35,MATCH($E118,单位档案!$A$6:$A$35,0)),"")="税差法",ROUND(N($H118)/(1+$Q118)*$Q118-IF(N($R118)=0,0,$P118/(1+$R118)*$R118),2),ROUND(N($H118)/(1+$Q118)*$Q118,2)))</f>
        <v>1936.89</v>
      </c>
      <c r="T118" s="36" t="n">
        <f aca="false">ROUND($S118*N(IFERROR(INDEX(单位档案!$J$6:$J$35,MATCH($E118,单位档案!$A$6:$A$35,0)),"")),2)</f>
        <v>116.21</v>
      </c>
      <c r="U118" s="36" t="n">
        <f aca="false">IF($D118&lt;&gt;"销项开票",0,ROUND(N($H118)*N(IFERROR(INDEX(单位档案!$K$6:$K$35,MATCH($E118,单位档案!$A$6:$A$35,0)),"")),2))</f>
        <v>0</v>
      </c>
      <c r="V118" s="36" t="n">
        <f aca="false">IF(OR($D118&lt;&gt;"销项开票",N($Q118)=0),0,ROUND(N($H118)/(1+$Q118)*N(IFERROR(INDEX(单位档案!$L$6:$L$35,MATCH($E118,单位档案!$A$6:$A$35,0)),"")),2))</f>
        <v>129.13</v>
      </c>
      <c r="W118" s="36" t="n">
        <f aca="false">ROUND($S118+$T118+$U118+$V118,2)</f>
        <v>2182.23</v>
      </c>
      <c r="X118" s="35" t="str">
        <f aca="false">IF(OR($D118="挂靠代收",$D118="我方收款"),COUNTIFS($D$5:$D118,"挂靠代收")+COUNTIFS($D$5:$D118,"我方收款"),"")</f>
        <v/>
      </c>
      <c r="Y118" s="35" t="s">
        <v>117</v>
      </c>
      <c r="Z118" s="21" t="s">
        <v>111</v>
      </c>
    </row>
    <row r="119" customFormat="false" ht="15.75" hidden="false" customHeight="true" outlineLevel="0" collapsed="false">
      <c r="A119" s="32" t="n">
        <f aca="false">IF($B119="","",ROW()-4)</f>
        <v>115</v>
      </c>
      <c r="B119" s="26" t="n">
        <v>46164</v>
      </c>
      <c r="C119" s="24" t="s">
        <v>195</v>
      </c>
      <c r="D119" s="21" t="s">
        <v>314</v>
      </c>
      <c r="E119" s="21" t="s">
        <v>127</v>
      </c>
      <c r="F119" s="21" t="s">
        <v>117</v>
      </c>
      <c r="G119" s="24" t="s">
        <v>394</v>
      </c>
      <c r="H119" s="27" t="n">
        <v>3500</v>
      </c>
      <c r="I119" s="23" t="str">
        <f aca="false">IF($D119&lt;&gt;"销项开票","",IF($N119="一级",IF(IFERROR(INDEX(项目档案!$E$6:$E$255,MATCH($C119,项目档案!$A$6:$A$255,0)),"")="",N(IFERROR(INDEX(单位档案!$D$6:$D$35,MATCH($E119,单位档案!$A$6:$A$35,0)),"")),IFERROR(INDEX(项目档案!$E$6:$E$255,MATCH($C119,项目档案!$A$6:$A$255,0)),"")),IF($N119="二级",IF(IFERROR(INDEX(项目档案!$G$6:$G$255,MATCH($C119,项目档案!$A$6:$A$255,0)),"")="",N(IFERROR(INDEX(单位档案!$D$6:$D$35,MATCH($E119,单位档案!$A$6:$A$35,0)),"")),IFERROR(INDEX(项目档案!$G$6:$G$255,MATCH($C119,项目档案!$A$6:$A$255,0)),"")),N(IFERROR(INDEX(单位档案!$D$6:$D$35,MATCH($E119,单位档案!$A$6:$A$35,0)),"")))))</f>
        <v/>
      </c>
      <c r="J119" s="25" t="s">
        <v>423</v>
      </c>
      <c r="K119" s="22" t="s">
        <v>313</v>
      </c>
      <c r="L119" s="33" t="str">
        <f aca="false">IF($B119="","",IF(NOT(ISNUMBER($B119)),"日期格式不对",IF($C119="","未选项目编号",IF(LEFT($M119,1)="⚠","项目编号不存在",IF($D119="","未选业务类型",IF($E119="","未选开票/付款方",IF(ISNA(MATCH($E119,单位档案!$A$6:$A$35,0)),"开票方不在单位档案",IF($F119="","未选收票/收款方",IF(ISNA(MATCH($F119,单位档案!$A$6:$A$35,0)),"收款方不在单位档案",IF(NOT(ISNUMBER($H119)),"金额须为数字",IF(AND($D119="销项开票",$N119="—"),"链条待确认","√")))))))))))</f>
        <v>√</v>
      </c>
      <c r="M119" s="34" t="str">
        <f aca="false">IF($C119="","",IFERROR(INDEX(项目档案!$B$6:$B$255,MATCH($C119,项目档案!$A$6:$A$255,0)),"⚠项目编号不存在"))</f>
        <v>铜梁区园区屋顶分布式光伏发电建设项目-10kV电力新建工程（康欣3W，泓普6W）</v>
      </c>
      <c r="N119" s="35" t="str">
        <f aca="false">IF($E119="","",IF($E119=IFERROR(INDEX(项目档案!$D$6:$D$255,MATCH($C119,项目档案!$A$6:$A$255,0)),""),"一级",IF($E119=IFERROR(INDEX(项目档案!$F$6:$F$255,MATCH($C119,项目档案!$A$6:$A$255,0)),""),"二级",IF($E119=IFERROR(INDEX(项目档案!$H$6:$H$255,MATCH($C119,项目档案!$A$6:$A$255,0)),""),"我方","—"))))</f>
        <v>我方</v>
      </c>
      <c r="O119" s="36" t="n">
        <f aca="false">IF($D119&lt;&gt;"销项开票",0,ROUND(N($H119)*N($I119),2))</f>
        <v>0</v>
      </c>
      <c r="P119" s="36" t="n">
        <f aca="false">IF($D119&lt;&gt;"销项开票",0,ROUND(N($H119)-$O119,2))</f>
        <v>0</v>
      </c>
      <c r="Q119" s="37" t="n">
        <f aca="false">IF($E119="","",N(IFERROR(INDEX(单位档案!$E$6:$E$35,MATCH($E119,单位档案!$A$6:$A$35,0)),"")))</f>
        <v>0.03</v>
      </c>
      <c r="R119" s="37" t="n">
        <f aca="false">IF($E119="","",N(IFERROR(INDEX(单位档案!$F$6:$F$35,MATCH($E119,单位档案!$A$6:$A$35,0)),"")))</f>
        <v>0</v>
      </c>
      <c r="S119" s="36" t="n">
        <f aca="false">IF(OR($D119&lt;&gt;"销项开票",IFERROR(INDEX(单位档案!$G$6:$G$35,MATCH($E119,单位档案!$A$6:$A$35,0)),"")&lt;&gt;"是",N($Q119)=0),0,IF(IFERROR(INDEX(单位档案!$H$6:$H$35,MATCH($E119,单位档案!$A$6:$A$35,0)),"")="税差法",ROUND(N($H119)/(1+$Q119)*$Q119-IF(N($R119)=0,0,$P119/(1+$R119)*$R119),2),ROUND(N($H119)/(1+$Q119)*$Q119,2)))</f>
        <v>0</v>
      </c>
      <c r="T119" s="36" t="n">
        <f aca="false">ROUND($S119*N(IFERROR(INDEX(单位档案!$J$6:$J$35,MATCH($E119,单位档案!$A$6:$A$35,0)),"")),2)</f>
        <v>0</v>
      </c>
      <c r="U119" s="36" t="n">
        <f aca="false">IF($D119&lt;&gt;"销项开票",0,ROUND(N($H119)*N(IFERROR(INDEX(单位档案!$K$6:$K$35,MATCH($E119,单位档案!$A$6:$A$35,0)),"")),2))</f>
        <v>0</v>
      </c>
      <c r="V119" s="36" t="n">
        <f aca="false">IF(OR($D119&lt;&gt;"销项开票",N($Q119)=0),0,ROUND(N($H119)/(1+$Q119)*N(IFERROR(INDEX(单位档案!$L$6:$L$35,MATCH($E119,单位档案!$A$6:$A$35,0)),"")),2))</f>
        <v>0</v>
      </c>
      <c r="W119" s="36" t="n">
        <f aca="false">ROUND($S119+$T119+$U119+$V119,2)</f>
        <v>0</v>
      </c>
      <c r="X119" s="35" t="str">
        <f aca="false">IF(OR($D119="挂靠代收",$D119="我方收款"),COUNTIFS($D$5:$D119,"挂靠代收")+COUNTIFS($D$5:$D119,"我方收款"),"")</f>
        <v/>
      </c>
      <c r="Y119" s="35" t="s">
        <v>117</v>
      </c>
      <c r="Z119" s="21" t="s">
        <v>111</v>
      </c>
    </row>
    <row r="120" customFormat="false" ht="15.75" hidden="false" customHeight="true" outlineLevel="0" collapsed="false">
      <c r="A120" s="32" t="n">
        <f aca="false">IF($B120="","",ROW()-4)</f>
        <v>116</v>
      </c>
      <c r="B120" s="26" t="n">
        <v>46164</v>
      </c>
      <c r="C120" s="24" t="s">
        <v>193</v>
      </c>
      <c r="D120" s="21" t="s">
        <v>307</v>
      </c>
      <c r="E120" s="21" t="s">
        <v>119</v>
      </c>
      <c r="F120" s="21" t="s">
        <v>97</v>
      </c>
      <c r="G120" s="24" t="s">
        <v>394</v>
      </c>
      <c r="H120" s="27" t="n">
        <v>70000</v>
      </c>
      <c r="I120" s="23" t="n">
        <v>0.05</v>
      </c>
      <c r="J120" s="25" t="s">
        <v>424</v>
      </c>
      <c r="K120" s="22" t="s">
        <v>313</v>
      </c>
      <c r="L120" s="33" t="str">
        <f aca="false">IF($B120="","",IF(NOT(ISNUMBER($B120)),"日期格式不对",IF($C120="","未选项目编号",IF(LEFT($M120,1)="⚠","项目编号不存在",IF($D120="","未选业务类型",IF($E120="","未选开票/付款方",IF(ISNA(MATCH($E120,单位档案!$A$6:$A$35,0)),"开票方不在单位档案",IF($F120="","未选收票/收款方",IF(ISNA(MATCH($F120,单位档案!$A$6:$A$35,0)),"收款方不在单位档案",IF(NOT(ISNUMBER($H120)),"金额须为数字",IF(AND($D120="销项开票",$N120="—"),"链条待确认","√")))))))))))</f>
        <v>√</v>
      </c>
      <c r="M120" s="34" t="str">
        <f aca="false">IF($C120="","",IFERROR(INDEX(项目档案!$B$6:$B$255,MATCH($C120,项目档案!$A$6:$A$255,0)),"⚠项目编号不存在"))</f>
        <v>铜梁区园区屋顶分布式光伏发电建设项目-10kV电力新建工程（康欣3W，泓普7W）</v>
      </c>
      <c r="N120" s="35" t="str">
        <f aca="false">IF($E120="","",IF($E120=IFERROR(INDEX(项目档案!$D$6:$D$255,MATCH($C120,项目档案!$A$6:$A$255,0)),""),"一级",IF($E120=IFERROR(INDEX(项目档案!$F$6:$F$255,MATCH($C120,项目档案!$A$6:$A$255,0)),""),"二级",IF($E120=IFERROR(INDEX(项目档案!$H$6:$H$255,MATCH($C120,项目档案!$A$6:$A$255,0)),""),"我方","—"))))</f>
        <v>一级</v>
      </c>
      <c r="O120" s="36" t="n">
        <f aca="false">IF($D120&lt;&gt;"销项开票",0,ROUND(N($H120)*N($I120),2))</f>
        <v>3500</v>
      </c>
      <c r="P120" s="36" t="n">
        <f aca="false">IF($D120&lt;&gt;"销项开票",0,ROUND(N($H120)-$O120,2))</f>
        <v>66500</v>
      </c>
      <c r="Q120" s="37" t="n">
        <f aca="false">IF($E120="","",N(IFERROR(INDEX(单位档案!$E$6:$E$35,MATCH($E120,单位档案!$A$6:$A$35,0)),"")))</f>
        <v>0.09</v>
      </c>
      <c r="R120" s="37" t="n">
        <f aca="false">IF($E120="","",N(IFERROR(INDEX(单位档案!$F$6:$F$35,MATCH($E120,单位档案!$A$6:$A$35,0)),"")))</f>
        <v>0.03</v>
      </c>
      <c r="S120" s="36" t="n">
        <f aca="false">IF(OR($D120&lt;&gt;"销项开票",IFERROR(INDEX(单位档案!$G$6:$G$35,MATCH($E120,单位档案!$A$6:$A$35,0)),"")&lt;&gt;"是",N($Q120)=0),0,IF(IFERROR(INDEX(单位档案!$H$6:$H$35,MATCH($E120,单位档案!$A$6:$A$35,0)),"")="税差法",ROUND(N($H120)/(1+$Q120)*$Q120-IF(N($R120)=0,0,$P120/(1+$R120)*$R120),2),ROUND(N($H120)/(1+$Q120)*$Q120,2)))</f>
        <v>3842.92</v>
      </c>
      <c r="T120" s="36" t="n">
        <f aca="false">ROUND($S120*N(IFERROR(INDEX(单位档案!$J$6:$J$35,MATCH($E120,单位档案!$A$6:$A$35,0)),"")),2)</f>
        <v>461.15</v>
      </c>
      <c r="U120" s="36" t="n">
        <f aca="false">IF($D120&lt;&gt;"销项开票",0,ROUND(N($H120)*N(IFERROR(INDEX(单位档案!$K$6:$K$35,MATCH($E120,单位档案!$A$6:$A$35,0)),"")),2))</f>
        <v>42</v>
      </c>
      <c r="V120" s="36" t="n">
        <f aca="false">IF(OR($D120&lt;&gt;"销项开票",N($Q120)=0),0,ROUND(N($H120)/(1+$Q120)*N(IFERROR(INDEX(单位档案!$L$6:$L$35,MATCH($E120,单位档案!$A$6:$A$35,0)),"")),2))</f>
        <v>0</v>
      </c>
      <c r="W120" s="36" t="n">
        <f aca="false">ROUND($S120+$T120+$U120+$V120,2)</f>
        <v>4346.07</v>
      </c>
      <c r="X120" s="35" t="str">
        <f aca="false">IF(OR($D120="挂靠代收",$D120="我方收款"),COUNTIFS($D$5:$D120,"挂靠代收")+COUNTIFS($D$5:$D120,"我方收款"),"")</f>
        <v/>
      </c>
      <c r="Y120" s="35" t="s">
        <v>119</v>
      </c>
      <c r="Z120" s="21" t="s">
        <v>111</v>
      </c>
    </row>
    <row r="121" customFormat="false" ht="15.75" hidden="false" customHeight="true" outlineLevel="0" collapsed="false">
      <c r="A121" s="32" t="n">
        <f aca="false">IF($B121="","",ROW()-4)</f>
        <v>117</v>
      </c>
      <c r="B121" s="26" t="n">
        <v>46164</v>
      </c>
      <c r="C121" s="24" t="s">
        <v>193</v>
      </c>
      <c r="D121" s="21" t="s">
        <v>314</v>
      </c>
      <c r="E121" s="21" t="s">
        <v>127</v>
      </c>
      <c r="F121" s="21" t="s">
        <v>119</v>
      </c>
      <c r="G121" s="24" t="s">
        <v>394</v>
      </c>
      <c r="H121" s="27" t="n">
        <v>3500</v>
      </c>
      <c r="I121" s="23" t="str">
        <f aca="false">IF($D121&lt;&gt;"销项开票","",IF($N121="一级",IF(IFERROR(INDEX(项目档案!$E$6:$E$255,MATCH($C121,项目档案!$A$6:$A$255,0)),"")="",N(IFERROR(INDEX(单位档案!$D$6:$D$35,MATCH($E121,单位档案!$A$6:$A$35,0)),"")),IFERROR(INDEX(项目档案!$E$6:$E$255,MATCH($C121,项目档案!$A$6:$A$255,0)),"")),IF($N121="二级",IF(IFERROR(INDEX(项目档案!$G$6:$G$255,MATCH($C121,项目档案!$A$6:$A$255,0)),"")="",N(IFERROR(INDEX(单位档案!$D$6:$D$35,MATCH($E121,单位档案!$A$6:$A$35,0)),"")),IFERROR(INDEX(项目档案!$G$6:$G$255,MATCH($C121,项目档案!$A$6:$A$255,0)),"")),N(IFERROR(INDEX(单位档案!$D$6:$D$35,MATCH($E121,单位档案!$A$6:$A$35,0)),"")))))</f>
        <v/>
      </c>
      <c r="J121" s="25" t="s">
        <v>424</v>
      </c>
      <c r="K121" s="22" t="s">
        <v>313</v>
      </c>
      <c r="L121" s="33" t="str">
        <f aca="false">IF($B121="","",IF(NOT(ISNUMBER($B121)),"日期格式不对",IF($C121="","未选项目编号",IF(LEFT($M121,1)="⚠","项目编号不存在",IF($D121="","未选业务类型",IF($E121="","未选开票/付款方",IF(ISNA(MATCH($E121,单位档案!$A$6:$A$35,0)),"开票方不在单位档案",IF($F121="","未选收票/收款方",IF(ISNA(MATCH($F121,单位档案!$A$6:$A$35,0)),"收款方不在单位档案",IF(NOT(ISNUMBER($H121)),"金额须为数字",IF(AND($D121="销项开票",$N121="—"),"链条待确认","√")))))))))))</f>
        <v>√</v>
      </c>
      <c r="M121" s="34" t="str">
        <f aca="false">IF($C121="","",IFERROR(INDEX(项目档案!$B$6:$B$255,MATCH($C121,项目档案!$A$6:$A$255,0)),"⚠项目编号不存在"))</f>
        <v>铜梁区园区屋顶分布式光伏发电建设项目-10kV电力新建工程（康欣3W，泓普7W）</v>
      </c>
      <c r="N121" s="35" t="str">
        <f aca="false">IF($E121="","",IF($E121=IFERROR(INDEX(项目档案!$D$6:$D$255,MATCH($C121,项目档案!$A$6:$A$255,0)),""),"一级",IF($E121=IFERROR(INDEX(项目档案!$F$6:$F$255,MATCH($C121,项目档案!$A$6:$A$255,0)),""),"二级",IF($E121=IFERROR(INDEX(项目档案!$H$6:$H$255,MATCH($C121,项目档案!$A$6:$A$255,0)),""),"我方","—"))))</f>
        <v>我方</v>
      </c>
      <c r="O121" s="36" t="n">
        <f aca="false">IF($D121&lt;&gt;"销项开票",0,ROUND(N($H121)*N($I121),2))</f>
        <v>0</v>
      </c>
      <c r="P121" s="36" t="n">
        <f aca="false">IF($D121&lt;&gt;"销项开票",0,ROUND(N($H121)-$O121,2))</f>
        <v>0</v>
      </c>
      <c r="Q121" s="37" t="n">
        <f aca="false">IF($E121="","",N(IFERROR(INDEX(单位档案!$E$6:$E$35,MATCH($E121,单位档案!$A$6:$A$35,0)),"")))</f>
        <v>0.03</v>
      </c>
      <c r="R121" s="37" t="n">
        <f aca="false">IF($E121="","",N(IFERROR(INDEX(单位档案!$F$6:$F$35,MATCH($E121,单位档案!$A$6:$A$35,0)),"")))</f>
        <v>0</v>
      </c>
      <c r="S121" s="36" t="n">
        <f aca="false">IF(OR($D121&lt;&gt;"销项开票",IFERROR(INDEX(单位档案!$G$6:$G$35,MATCH($E121,单位档案!$A$6:$A$35,0)),"")&lt;&gt;"是",N($Q121)=0),0,IF(IFERROR(INDEX(单位档案!$H$6:$H$35,MATCH($E121,单位档案!$A$6:$A$35,0)),"")="税差法",ROUND(N($H121)/(1+$Q121)*$Q121-IF(N($R121)=0,0,$P121/(1+$R121)*$R121),2),ROUND(N($H121)/(1+$Q121)*$Q121,2)))</f>
        <v>0</v>
      </c>
      <c r="T121" s="36" t="n">
        <f aca="false">ROUND($S121*N(IFERROR(INDEX(单位档案!$J$6:$J$35,MATCH($E121,单位档案!$A$6:$A$35,0)),"")),2)</f>
        <v>0</v>
      </c>
      <c r="U121" s="36" t="n">
        <f aca="false">IF($D121&lt;&gt;"销项开票",0,ROUND(N($H121)*N(IFERROR(INDEX(单位档案!$K$6:$K$35,MATCH($E121,单位档案!$A$6:$A$35,0)),"")),2))</f>
        <v>0</v>
      </c>
      <c r="V121" s="36" t="n">
        <f aca="false">IF(OR($D121&lt;&gt;"销项开票",N($Q121)=0),0,ROUND(N($H121)/(1+$Q121)*N(IFERROR(INDEX(单位档案!$L$6:$L$35,MATCH($E121,单位档案!$A$6:$A$35,0)),"")),2))</f>
        <v>0</v>
      </c>
      <c r="W121" s="36" t="n">
        <f aca="false">ROUND($S121+$T121+$U121+$V121,2)</f>
        <v>0</v>
      </c>
      <c r="X121" s="35" t="str">
        <f aca="false">IF(OR($D121="挂靠代收",$D121="我方收款"),COUNTIFS($D$5:$D121,"挂靠代收")+COUNTIFS($D$5:$D121,"我方收款"),"")</f>
        <v/>
      </c>
      <c r="Y121" s="35" t="s">
        <v>119</v>
      </c>
      <c r="Z121" s="21" t="s">
        <v>111</v>
      </c>
    </row>
    <row r="122" customFormat="false" ht="15.75" hidden="false" customHeight="true" outlineLevel="0" collapsed="false">
      <c r="A122" s="32" t="n">
        <f aca="false">IF($B122="","",ROW()-4)</f>
        <v>118</v>
      </c>
      <c r="B122" s="26" t="n">
        <v>46168</v>
      </c>
      <c r="C122" s="24" t="s">
        <v>183</v>
      </c>
      <c r="D122" s="21" t="s">
        <v>357</v>
      </c>
      <c r="E122" s="21" t="s">
        <v>131</v>
      </c>
      <c r="F122" s="21" t="s">
        <v>121</v>
      </c>
      <c r="G122" s="24" t="s">
        <v>308</v>
      </c>
      <c r="H122" s="27" t="n">
        <v>16397.82</v>
      </c>
      <c r="I122" s="23" t="str">
        <f aca="false">IF($D122&lt;&gt;"销项开票","",IF($N122="一级",IF(IFERROR(INDEX(项目档案!$E$6:$E$255,MATCH($C122,项目档案!$A$6:$A$255,0)),"")="",N(IFERROR(INDEX(单位档案!$D$6:$D$35,MATCH($E122,单位档案!$A$6:$A$35,0)),"")),IFERROR(INDEX(项目档案!$E$6:$E$255,MATCH($C122,项目档案!$A$6:$A$255,0)),"")),IF($N122="二级",IF(IFERROR(INDEX(项目档案!$G$6:$G$255,MATCH($C122,项目档案!$A$6:$A$255,0)),"")="",N(IFERROR(INDEX(单位档案!$D$6:$D$35,MATCH($E122,单位档案!$A$6:$A$35,0)),"")),IFERROR(INDEX(项目档案!$G$6:$G$255,MATCH($C122,项目档案!$A$6:$A$255,0)),"")),N(IFERROR(INDEX(单位档案!$D$6:$D$35,MATCH($E122,单位档案!$A$6:$A$35,0)),"")))))</f>
        <v/>
      </c>
      <c r="J122" s="25" t="s">
        <v>425</v>
      </c>
      <c r="K122" s="22" t="s">
        <v>313</v>
      </c>
      <c r="L122" s="33" t="str">
        <f aca="false">IF($B122="","",IF(NOT(ISNUMBER($B122)),"日期格式不对",IF($C122="","未选项目编号",IF(LEFT($M122,1)="⚠","项目编号不存在",IF($D122="","未选业务类型",IF($E122="","未选开票/付款方",IF(ISNA(MATCH($E122,单位档案!$A$6:$A$35,0)),"开票方不在单位档案",IF($F122="","未选收票/收款方",IF(ISNA(MATCH($F122,单位档案!$A$6:$A$35,0)),"收款方不在单位档案",IF(NOT(ISNUMBER($H122)),"金额须为数字",IF(AND($D122="销项开票",$N122="—"),"链条待确认","√")))))))))))</f>
        <v>√</v>
      </c>
      <c r="M122" s="34" t="str">
        <f aca="false">IF($C122="","",IFERROR(INDEX(项目档案!$B$6:$B$255,MATCH($C122,项目档案!$A$6:$A$255,0)),"⚠项目编号不存在"))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122" s="35" t="str">
        <f aca="false">IF($E122="","",IF($E122=IFERROR(INDEX(项目档案!$D$6:$D$255,MATCH($C122,项目档案!$A$6:$A$255,0)),""),"一级",IF($E122=IFERROR(INDEX(项目档案!$F$6:$F$255,MATCH($C122,项目档案!$A$6:$A$255,0)),""),"二级",IF($E122=IFERROR(INDEX(项目档案!$H$6:$H$255,MATCH($C122,项目档案!$A$6:$A$255,0)),""),"我方","—"))))</f>
        <v>—</v>
      </c>
      <c r="O122" s="36" t="n">
        <f aca="false">IF($D122&lt;&gt;"销项开票",0,ROUND(N($H122)*N($I122),2))</f>
        <v>0</v>
      </c>
      <c r="P122" s="36" t="n">
        <f aca="false">IF($D122&lt;&gt;"销项开票",0,ROUND(N($H122)-$O122,2))</f>
        <v>0</v>
      </c>
      <c r="Q122" s="37" t="n">
        <f aca="false">IF($E122="","",N(IFERROR(INDEX(单位档案!$E$6:$E$35,MATCH($E122,单位档案!$A$6:$A$35,0)),"")))</f>
        <v>0.13</v>
      </c>
      <c r="R122" s="37" t="n">
        <f aca="false">IF($E122="","",N(IFERROR(INDEX(单位档案!$F$6:$F$35,MATCH($E122,单位档案!$A$6:$A$35,0)),"")))</f>
        <v>0</v>
      </c>
      <c r="S122" s="36" t="n">
        <f aca="false">IF(OR($D122&lt;&gt;"销项开票",IFERROR(INDEX(单位档案!$G$6:$G$35,MATCH($E122,单位档案!$A$6:$A$35,0)),"")&lt;&gt;"是",N($Q122)=0),0,IF(IFERROR(INDEX(单位档案!$H$6:$H$35,MATCH($E122,单位档案!$A$6:$A$35,0)),"")="税差法",ROUND(N($H122)/(1+$Q122)*$Q122-IF(N($R122)=0,0,$P122/(1+$R122)*$R122),2),ROUND(N($H122)/(1+$Q122)*$Q122,2)))</f>
        <v>0</v>
      </c>
      <c r="T122" s="36" t="n">
        <f aca="false">ROUND($S122*N(IFERROR(INDEX(单位档案!$J$6:$J$35,MATCH($E122,单位档案!$A$6:$A$35,0)),"")),2)</f>
        <v>0</v>
      </c>
      <c r="U122" s="36" t="n">
        <f aca="false">IF($D122&lt;&gt;"销项开票",0,ROUND(N($H122)*N(IFERROR(INDEX(单位档案!$K$6:$K$35,MATCH($E122,单位档案!$A$6:$A$35,0)),"")),2))</f>
        <v>0</v>
      </c>
      <c r="V122" s="36" t="n">
        <f aca="false">IF(OR($D122&lt;&gt;"销项开票",N($Q122)=0),0,ROUND(N($H122)/(1+$Q122)*N(IFERROR(INDEX(单位档案!$L$6:$L$35,MATCH($E122,单位档案!$A$6:$A$35,0)),"")),2))</f>
        <v>0</v>
      </c>
      <c r="W122" s="36" t="n">
        <f aca="false">ROUND($S122+$T122+$U122+$V122,2)</f>
        <v>0</v>
      </c>
      <c r="X122" s="35" t="str">
        <f aca="false">IF(OR($D122="挂靠代收",$D122="我方收款"),COUNTIFS($D$5:$D122,"挂靠代收")+COUNTIFS($D$5:$D122,"我方收款"),"")</f>
        <v/>
      </c>
      <c r="Y122" s="35" t="s">
        <v>121</v>
      </c>
      <c r="Z122" s="21" t="s">
        <v>111</v>
      </c>
    </row>
    <row r="123" customFormat="false" ht="15.75" hidden="false" customHeight="true" outlineLevel="0" collapsed="false">
      <c r="A123" s="32" t="n">
        <f aca="false">IF($B123="","",ROW()-4)</f>
        <v>119</v>
      </c>
      <c r="B123" s="26" t="n">
        <v>46168</v>
      </c>
      <c r="C123" s="24" t="s">
        <v>183</v>
      </c>
      <c r="D123" s="21" t="s">
        <v>357</v>
      </c>
      <c r="E123" s="21" t="s">
        <v>131</v>
      </c>
      <c r="F123" s="21" t="s">
        <v>121</v>
      </c>
      <c r="G123" s="24" t="s">
        <v>308</v>
      </c>
      <c r="H123" s="27" t="n">
        <v>16417.57</v>
      </c>
      <c r="I123" s="23" t="str">
        <f aca="false">IF($D123&lt;&gt;"销项开票","",IF($N123="一级",IF(IFERROR(INDEX(项目档案!$E$6:$E$255,MATCH($C123,项目档案!$A$6:$A$255,0)),"")="",N(IFERROR(INDEX(单位档案!$D$6:$D$35,MATCH($E123,单位档案!$A$6:$A$35,0)),"")),IFERROR(INDEX(项目档案!$E$6:$E$255,MATCH($C123,项目档案!$A$6:$A$255,0)),"")),IF($N123="二级",IF(IFERROR(INDEX(项目档案!$G$6:$G$255,MATCH($C123,项目档案!$A$6:$A$255,0)),"")="",N(IFERROR(INDEX(单位档案!$D$6:$D$35,MATCH($E123,单位档案!$A$6:$A$35,0)),"")),IFERROR(INDEX(项目档案!$G$6:$G$255,MATCH($C123,项目档案!$A$6:$A$255,0)),"")),N(IFERROR(INDEX(单位档案!$D$6:$D$35,MATCH($E123,单位档案!$A$6:$A$35,0)),"")))))</f>
        <v/>
      </c>
      <c r="J123" s="25" t="s">
        <v>426</v>
      </c>
      <c r="K123" s="22" t="s">
        <v>313</v>
      </c>
      <c r="L123" s="33" t="str">
        <f aca="false">IF($B123="","",IF(NOT(ISNUMBER($B123)),"日期格式不对",IF($C123="","未选项目编号",IF(LEFT($M123,1)="⚠","项目编号不存在",IF($D123="","未选业务类型",IF($E123="","未选开票/付款方",IF(ISNA(MATCH($E123,单位档案!$A$6:$A$35,0)),"开票方不在单位档案",IF($F123="","未选收票/收款方",IF(ISNA(MATCH($F123,单位档案!$A$6:$A$35,0)),"收款方不在单位档案",IF(NOT(ISNUMBER($H123)),"金额须为数字",IF(AND($D123="销项开票",$N123="—"),"链条待确认","√")))))))))))</f>
        <v>√</v>
      </c>
      <c r="M123" s="34" t="str">
        <f aca="false">IF($C123="","",IFERROR(INDEX(项目档案!$B$6:$B$255,MATCH($C123,项目档案!$A$6:$A$255,0)),"⚠项目编号不存在"))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123" s="35" t="str">
        <f aca="false">IF($E123="","",IF($E123=IFERROR(INDEX(项目档案!$D$6:$D$255,MATCH($C123,项目档案!$A$6:$A$255,0)),""),"一级",IF($E123=IFERROR(INDEX(项目档案!$F$6:$F$255,MATCH($C123,项目档案!$A$6:$A$255,0)),""),"二级",IF($E123=IFERROR(INDEX(项目档案!$H$6:$H$255,MATCH($C123,项目档案!$A$6:$A$255,0)),""),"我方","—"))))</f>
        <v>—</v>
      </c>
      <c r="O123" s="36" t="n">
        <f aca="false">IF($D123&lt;&gt;"销项开票",0,ROUND(N($H123)*N($I123),2))</f>
        <v>0</v>
      </c>
      <c r="P123" s="36" t="n">
        <f aca="false">IF($D123&lt;&gt;"销项开票",0,ROUND(N($H123)-$O123,2))</f>
        <v>0</v>
      </c>
      <c r="Q123" s="37" t="n">
        <f aca="false">IF($E123="","",N(IFERROR(INDEX(单位档案!$E$6:$E$35,MATCH($E123,单位档案!$A$6:$A$35,0)),"")))</f>
        <v>0.13</v>
      </c>
      <c r="R123" s="37" t="n">
        <f aca="false">IF($E123="","",N(IFERROR(INDEX(单位档案!$F$6:$F$35,MATCH($E123,单位档案!$A$6:$A$35,0)),"")))</f>
        <v>0</v>
      </c>
      <c r="S123" s="36" t="n">
        <f aca="false">IF(OR($D123&lt;&gt;"销项开票",IFERROR(INDEX(单位档案!$G$6:$G$35,MATCH($E123,单位档案!$A$6:$A$35,0)),"")&lt;&gt;"是",N($Q123)=0),0,IF(IFERROR(INDEX(单位档案!$H$6:$H$35,MATCH($E123,单位档案!$A$6:$A$35,0)),"")="税差法",ROUND(N($H123)/(1+$Q123)*$Q123-IF(N($R123)=0,0,$P123/(1+$R123)*$R123),2),ROUND(N($H123)/(1+$Q123)*$Q123,2)))</f>
        <v>0</v>
      </c>
      <c r="T123" s="36" t="n">
        <f aca="false">ROUND($S123*N(IFERROR(INDEX(单位档案!$J$6:$J$35,MATCH($E123,单位档案!$A$6:$A$35,0)),"")),2)</f>
        <v>0</v>
      </c>
      <c r="U123" s="36" t="n">
        <f aca="false">IF($D123&lt;&gt;"销项开票",0,ROUND(N($H123)*N(IFERROR(INDEX(单位档案!$K$6:$K$35,MATCH($E123,单位档案!$A$6:$A$35,0)),"")),2))</f>
        <v>0</v>
      </c>
      <c r="V123" s="36" t="n">
        <f aca="false">IF(OR($D123&lt;&gt;"销项开票",N($Q123)=0),0,ROUND(N($H123)/(1+$Q123)*N(IFERROR(INDEX(单位档案!$L$6:$L$35,MATCH($E123,单位档案!$A$6:$A$35,0)),"")),2))</f>
        <v>0</v>
      </c>
      <c r="W123" s="36" t="n">
        <f aca="false">ROUND($S123+$T123+$U123+$V123,2)</f>
        <v>0</v>
      </c>
      <c r="X123" s="35" t="str">
        <f aca="false">IF(OR($D123="挂靠代收",$D123="我方收款"),COUNTIFS($D$5:$D123,"挂靠代收")+COUNTIFS($D$5:$D123,"我方收款"),"")</f>
        <v/>
      </c>
      <c r="Y123" s="35" t="s">
        <v>121</v>
      </c>
      <c r="Z123" s="21" t="s">
        <v>111</v>
      </c>
    </row>
    <row r="124" customFormat="false" ht="15.75" hidden="false" customHeight="true" outlineLevel="0" collapsed="false">
      <c r="A124" s="32" t="n">
        <f aca="false">IF($B124="","",ROW()-4)</f>
        <v>120</v>
      </c>
      <c r="B124" s="26" t="n">
        <v>46168</v>
      </c>
      <c r="C124" s="24" t="s">
        <v>183</v>
      </c>
      <c r="D124" s="21" t="s">
        <v>357</v>
      </c>
      <c r="E124" s="21" t="s">
        <v>131</v>
      </c>
      <c r="F124" s="21" t="s">
        <v>121</v>
      </c>
      <c r="G124" s="24" t="s">
        <v>308</v>
      </c>
      <c r="H124" s="27" t="n">
        <v>25682.49</v>
      </c>
      <c r="I124" s="23" t="str">
        <f aca="false">IF($D124&lt;&gt;"销项开票","",IF($N124="一级",IF(IFERROR(INDEX(项目档案!$E$6:$E$255,MATCH($C124,项目档案!$A$6:$A$255,0)),"")="",N(IFERROR(INDEX(单位档案!$D$6:$D$35,MATCH($E124,单位档案!$A$6:$A$35,0)),"")),IFERROR(INDEX(项目档案!$E$6:$E$255,MATCH($C124,项目档案!$A$6:$A$255,0)),"")),IF($N124="二级",IF(IFERROR(INDEX(项目档案!$G$6:$G$255,MATCH($C124,项目档案!$A$6:$A$255,0)),"")="",N(IFERROR(INDEX(单位档案!$D$6:$D$35,MATCH($E124,单位档案!$A$6:$A$35,0)),"")),IFERROR(INDEX(项目档案!$G$6:$G$255,MATCH($C124,项目档案!$A$6:$A$255,0)),"")),N(IFERROR(INDEX(单位档案!$D$6:$D$35,MATCH($E124,单位档案!$A$6:$A$35,0)),"")))))</f>
        <v/>
      </c>
      <c r="J124" s="25" t="s">
        <v>427</v>
      </c>
      <c r="K124" s="22" t="s">
        <v>313</v>
      </c>
      <c r="L124" s="33" t="str">
        <f aca="false">IF($B124="","",IF(NOT(ISNUMBER($B124)),"日期格式不对",IF($C124="","未选项目编号",IF(LEFT($M124,1)="⚠","项目编号不存在",IF($D124="","未选业务类型",IF($E124="","未选开票/付款方",IF(ISNA(MATCH($E124,单位档案!$A$6:$A$35,0)),"开票方不在单位档案",IF($F124="","未选收票/收款方",IF(ISNA(MATCH($F124,单位档案!$A$6:$A$35,0)),"收款方不在单位档案",IF(NOT(ISNUMBER($H124)),"金额须为数字",IF(AND($D124="销项开票",$N124="—"),"链条待确认","√")))))))))))</f>
        <v>√</v>
      </c>
      <c r="M124" s="34" t="str">
        <f aca="false">IF($C124="","",IFERROR(INDEX(项目档案!$B$6:$B$255,MATCH($C124,项目档案!$A$6:$A$255,0)),"⚠项目编号不存在"))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124" s="35" t="str">
        <f aca="false">IF($E124="","",IF($E124=IFERROR(INDEX(项目档案!$D$6:$D$255,MATCH($C124,项目档案!$A$6:$A$255,0)),""),"一级",IF($E124=IFERROR(INDEX(项目档案!$F$6:$F$255,MATCH($C124,项目档案!$A$6:$A$255,0)),""),"二级",IF($E124=IFERROR(INDEX(项目档案!$H$6:$H$255,MATCH($C124,项目档案!$A$6:$A$255,0)),""),"我方","—"))))</f>
        <v>—</v>
      </c>
      <c r="O124" s="36" t="n">
        <f aca="false">IF($D124&lt;&gt;"销项开票",0,ROUND(N($H124)*N($I124),2))</f>
        <v>0</v>
      </c>
      <c r="P124" s="36" t="n">
        <f aca="false">IF($D124&lt;&gt;"销项开票",0,ROUND(N($H124)-$O124,2))</f>
        <v>0</v>
      </c>
      <c r="Q124" s="37" t="n">
        <f aca="false">IF($E124="","",N(IFERROR(INDEX(单位档案!$E$6:$E$35,MATCH($E124,单位档案!$A$6:$A$35,0)),"")))</f>
        <v>0.13</v>
      </c>
      <c r="R124" s="37" t="n">
        <f aca="false">IF($E124="","",N(IFERROR(INDEX(单位档案!$F$6:$F$35,MATCH($E124,单位档案!$A$6:$A$35,0)),"")))</f>
        <v>0</v>
      </c>
      <c r="S124" s="36" t="n">
        <f aca="false">IF(OR($D124&lt;&gt;"销项开票",IFERROR(INDEX(单位档案!$G$6:$G$35,MATCH($E124,单位档案!$A$6:$A$35,0)),"")&lt;&gt;"是",N($Q124)=0),0,IF(IFERROR(INDEX(单位档案!$H$6:$H$35,MATCH($E124,单位档案!$A$6:$A$35,0)),"")="税差法",ROUND(N($H124)/(1+$Q124)*$Q124-IF(N($R124)=0,0,$P124/(1+$R124)*$R124),2),ROUND(N($H124)/(1+$Q124)*$Q124,2)))</f>
        <v>0</v>
      </c>
      <c r="T124" s="36" t="n">
        <f aca="false">ROUND($S124*N(IFERROR(INDEX(单位档案!$J$6:$J$35,MATCH($E124,单位档案!$A$6:$A$35,0)),"")),2)</f>
        <v>0</v>
      </c>
      <c r="U124" s="36" t="n">
        <f aca="false">IF($D124&lt;&gt;"销项开票",0,ROUND(N($H124)*N(IFERROR(INDEX(单位档案!$K$6:$K$35,MATCH($E124,单位档案!$A$6:$A$35,0)),"")),2))</f>
        <v>0</v>
      </c>
      <c r="V124" s="36" t="n">
        <f aca="false">IF(OR($D124&lt;&gt;"销项开票",N($Q124)=0),0,ROUND(N($H124)/(1+$Q124)*N(IFERROR(INDEX(单位档案!$L$6:$L$35,MATCH($E124,单位档案!$A$6:$A$35,0)),"")),2))</f>
        <v>0</v>
      </c>
      <c r="W124" s="36" t="n">
        <f aca="false">ROUND($S124+$T124+$U124+$V124,2)</f>
        <v>0</v>
      </c>
      <c r="X124" s="35" t="str">
        <f aca="false">IF(OR($D124="挂靠代收",$D124="我方收款"),COUNTIFS($D$5:$D124,"挂靠代收")+COUNTIFS($D$5:$D124,"我方收款"),"")</f>
        <v/>
      </c>
      <c r="Y124" s="35" t="s">
        <v>121</v>
      </c>
      <c r="Z124" s="21" t="s">
        <v>111</v>
      </c>
    </row>
    <row r="125" customFormat="false" ht="15.75" hidden="false" customHeight="true" outlineLevel="0" collapsed="false">
      <c r="A125" s="32" t="n">
        <f aca="false">IF($B125="","",ROW()-4)</f>
        <v>121</v>
      </c>
      <c r="B125" s="26" t="n">
        <v>46168</v>
      </c>
      <c r="C125" s="24" t="s">
        <v>183</v>
      </c>
      <c r="D125" s="21" t="s">
        <v>357</v>
      </c>
      <c r="E125" s="21" t="s">
        <v>131</v>
      </c>
      <c r="F125" s="21" t="s">
        <v>121</v>
      </c>
      <c r="G125" s="24" t="s">
        <v>308</v>
      </c>
      <c r="H125" s="27" t="n">
        <v>25532.51</v>
      </c>
      <c r="I125" s="23" t="str">
        <f aca="false">IF($D125&lt;&gt;"销项开票","",IF($N125="一级",IF(IFERROR(INDEX(项目档案!$E$6:$E$255,MATCH($C125,项目档案!$A$6:$A$255,0)),"")="",N(IFERROR(INDEX(单位档案!$D$6:$D$35,MATCH($E125,单位档案!$A$6:$A$35,0)),"")),IFERROR(INDEX(项目档案!$E$6:$E$255,MATCH($C125,项目档案!$A$6:$A$255,0)),"")),IF($N125="二级",IF(IFERROR(INDEX(项目档案!$G$6:$G$255,MATCH($C125,项目档案!$A$6:$A$255,0)),"")="",N(IFERROR(INDEX(单位档案!$D$6:$D$35,MATCH($E125,单位档案!$A$6:$A$35,0)),"")),IFERROR(INDEX(项目档案!$G$6:$G$255,MATCH($C125,项目档案!$A$6:$A$255,0)),"")),N(IFERROR(INDEX(单位档案!$D$6:$D$35,MATCH($E125,单位档案!$A$6:$A$35,0)),"")))))</f>
        <v/>
      </c>
      <c r="J125" s="25" t="s">
        <v>428</v>
      </c>
      <c r="K125" s="22" t="s">
        <v>313</v>
      </c>
      <c r="L125" s="33" t="str">
        <f aca="false">IF($B125="","",IF(NOT(ISNUMBER($B125)),"日期格式不对",IF($C125="","未选项目编号",IF(LEFT($M125,1)="⚠","项目编号不存在",IF($D125="","未选业务类型",IF($E125="","未选开票/付款方",IF(ISNA(MATCH($E125,单位档案!$A$6:$A$35,0)),"开票方不在单位档案",IF($F125="","未选收票/收款方",IF(ISNA(MATCH($F125,单位档案!$A$6:$A$35,0)),"收款方不在单位档案",IF(NOT(ISNUMBER($H125)),"金额须为数字",IF(AND($D125="销项开票",$N125="—"),"链条待确认","√")))))))))))</f>
        <v>√</v>
      </c>
      <c r="M125" s="34" t="str">
        <f aca="false">IF($C125="","",IFERROR(INDEX(项目档案!$B$6:$B$255,MATCH($C125,项目档案!$A$6:$A$255,0)),"⚠项目编号不存在"))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125" s="35" t="str">
        <f aca="false">IF($E125="","",IF($E125=IFERROR(INDEX(项目档案!$D$6:$D$255,MATCH($C125,项目档案!$A$6:$A$255,0)),""),"一级",IF($E125=IFERROR(INDEX(项目档案!$F$6:$F$255,MATCH($C125,项目档案!$A$6:$A$255,0)),""),"二级",IF($E125=IFERROR(INDEX(项目档案!$H$6:$H$255,MATCH($C125,项目档案!$A$6:$A$255,0)),""),"我方","—"))))</f>
        <v>—</v>
      </c>
      <c r="O125" s="36" t="n">
        <f aca="false">IF($D125&lt;&gt;"销项开票",0,ROUND(N($H125)*N($I125),2))</f>
        <v>0</v>
      </c>
      <c r="P125" s="36" t="n">
        <f aca="false">IF($D125&lt;&gt;"销项开票",0,ROUND(N($H125)-$O125,2))</f>
        <v>0</v>
      </c>
      <c r="Q125" s="37" t="n">
        <f aca="false">IF($E125="","",N(IFERROR(INDEX(单位档案!$E$6:$E$35,MATCH($E125,单位档案!$A$6:$A$35,0)),"")))</f>
        <v>0.13</v>
      </c>
      <c r="R125" s="37" t="n">
        <f aca="false">IF($E125="","",N(IFERROR(INDEX(单位档案!$F$6:$F$35,MATCH($E125,单位档案!$A$6:$A$35,0)),"")))</f>
        <v>0</v>
      </c>
      <c r="S125" s="36" t="n">
        <f aca="false">IF(OR($D125&lt;&gt;"销项开票",IFERROR(INDEX(单位档案!$G$6:$G$35,MATCH($E125,单位档案!$A$6:$A$35,0)),"")&lt;&gt;"是",N($Q125)=0),0,IF(IFERROR(INDEX(单位档案!$H$6:$H$35,MATCH($E125,单位档案!$A$6:$A$35,0)),"")="税差法",ROUND(N($H125)/(1+$Q125)*$Q125-IF(N($R125)=0,0,$P125/(1+$R125)*$R125),2),ROUND(N($H125)/(1+$Q125)*$Q125,2)))</f>
        <v>0</v>
      </c>
      <c r="T125" s="36" t="n">
        <f aca="false">ROUND($S125*N(IFERROR(INDEX(单位档案!$J$6:$J$35,MATCH($E125,单位档案!$A$6:$A$35,0)),"")),2)</f>
        <v>0</v>
      </c>
      <c r="U125" s="36" t="n">
        <f aca="false">IF($D125&lt;&gt;"销项开票",0,ROUND(N($H125)*N(IFERROR(INDEX(单位档案!$K$6:$K$35,MATCH($E125,单位档案!$A$6:$A$35,0)),"")),2))</f>
        <v>0</v>
      </c>
      <c r="V125" s="36" t="n">
        <f aca="false">IF(OR($D125&lt;&gt;"销项开票",N($Q125)=0),0,ROUND(N($H125)/(1+$Q125)*N(IFERROR(INDEX(单位档案!$L$6:$L$35,MATCH($E125,单位档案!$A$6:$A$35,0)),"")),2))</f>
        <v>0</v>
      </c>
      <c r="W125" s="36" t="n">
        <f aca="false">ROUND($S125+$T125+$U125+$V125,2)</f>
        <v>0</v>
      </c>
      <c r="X125" s="35" t="str">
        <f aca="false">IF(OR($D125="挂靠代收",$D125="我方收款"),COUNTIFS($D$5:$D125,"挂靠代收")+COUNTIFS($D$5:$D125,"我方收款"),"")</f>
        <v/>
      </c>
      <c r="Y125" s="35" t="s">
        <v>121</v>
      </c>
      <c r="Z125" s="21" t="s">
        <v>111</v>
      </c>
    </row>
    <row r="126" customFormat="false" ht="15.75" hidden="false" customHeight="true" outlineLevel="0" collapsed="false">
      <c r="A126" s="32" t="n">
        <f aca="false">IF($B126="","",ROW()-4)</f>
        <v>122</v>
      </c>
      <c r="B126" s="26" t="n">
        <v>46168</v>
      </c>
      <c r="C126" s="24" t="s">
        <v>183</v>
      </c>
      <c r="D126" s="21" t="s">
        <v>357</v>
      </c>
      <c r="E126" s="21" t="s">
        <v>131</v>
      </c>
      <c r="F126" s="21" t="s">
        <v>121</v>
      </c>
      <c r="G126" s="24" t="s">
        <v>308</v>
      </c>
      <c r="H126" s="27" t="n">
        <v>45567.91</v>
      </c>
      <c r="I126" s="23" t="str">
        <f aca="false">IF($D126&lt;&gt;"销项开票","",IF($N126="一级",IF(IFERROR(INDEX(项目档案!$E$6:$E$255,MATCH($C126,项目档案!$A$6:$A$255,0)),"")="",N(IFERROR(INDEX(单位档案!$D$6:$D$35,MATCH($E126,单位档案!$A$6:$A$35,0)),"")),IFERROR(INDEX(项目档案!$E$6:$E$255,MATCH($C126,项目档案!$A$6:$A$255,0)),"")),IF($N126="二级",IF(IFERROR(INDEX(项目档案!$G$6:$G$255,MATCH($C126,项目档案!$A$6:$A$255,0)),"")="",N(IFERROR(INDEX(单位档案!$D$6:$D$35,MATCH($E126,单位档案!$A$6:$A$35,0)),"")),IFERROR(INDEX(项目档案!$G$6:$G$255,MATCH($C126,项目档案!$A$6:$A$255,0)),"")),N(IFERROR(INDEX(单位档案!$D$6:$D$35,MATCH($E126,单位档案!$A$6:$A$35,0)),"")))))</f>
        <v/>
      </c>
      <c r="J126" s="25" t="s">
        <v>429</v>
      </c>
      <c r="K126" s="22" t="s">
        <v>313</v>
      </c>
      <c r="L126" s="33" t="str">
        <f aca="false">IF($B126="","",IF(NOT(ISNUMBER($B126)),"日期格式不对",IF($C126="","未选项目编号",IF(LEFT($M126,1)="⚠","项目编号不存在",IF($D126="","未选业务类型",IF($E126="","未选开票/付款方",IF(ISNA(MATCH($E126,单位档案!$A$6:$A$35,0)),"开票方不在单位档案",IF($F126="","未选收票/收款方",IF(ISNA(MATCH($F126,单位档案!$A$6:$A$35,0)),"收款方不在单位档案",IF(NOT(ISNUMBER($H126)),"金额须为数字",IF(AND($D126="销项开票",$N126="—"),"链条待确认","√")))))))))))</f>
        <v>√</v>
      </c>
      <c r="M126" s="34" t="str">
        <f aca="false">IF($C126="","",IFERROR(INDEX(项目档案!$B$6:$B$255,MATCH($C126,项目档案!$A$6:$A$255,0)),"⚠项目编号不存在"))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126" s="35" t="str">
        <f aca="false">IF($E126="","",IF($E126=IFERROR(INDEX(项目档案!$D$6:$D$255,MATCH($C126,项目档案!$A$6:$A$255,0)),""),"一级",IF($E126=IFERROR(INDEX(项目档案!$F$6:$F$255,MATCH($C126,项目档案!$A$6:$A$255,0)),""),"二级",IF($E126=IFERROR(INDEX(项目档案!$H$6:$H$255,MATCH($C126,项目档案!$A$6:$A$255,0)),""),"我方","—"))))</f>
        <v>—</v>
      </c>
      <c r="O126" s="36" t="n">
        <f aca="false">IF($D126&lt;&gt;"销项开票",0,ROUND(N($H126)*N($I126),2))</f>
        <v>0</v>
      </c>
      <c r="P126" s="36" t="n">
        <f aca="false">IF($D126&lt;&gt;"销项开票",0,ROUND(N($H126)-$O126,2))</f>
        <v>0</v>
      </c>
      <c r="Q126" s="37" t="n">
        <f aca="false">IF($E126="","",N(IFERROR(INDEX(单位档案!$E$6:$E$35,MATCH($E126,单位档案!$A$6:$A$35,0)),"")))</f>
        <v>0.13</v>
      </c>
      <c r="R126" s="37" t="n">
        <f aca="false">IF($E126="","",N(IFERROR(INDEX(单位档案!$F$6:$F$35,MATCH($E126,单位档案!$A$6:$A$35,0)),"")))</f>
        <v>0</v>
      </c>
      <c r="S126" s="36" t="n">
        <f aca="false">IF(OR($D126&lt;&gt;"销项开票",IFERROR(INDEX(单位档案!$G$6:$G$35,MATCH($E126,单位档案!$A$6:$A$35,0)),"")&lt;&gt;"是",N($Q126)=0),0,IF(IFERROR(INDEX(单位档案!$H$6:$H$35,MATCH($E126,单位档案!$A$6:$A$35,0)),"")="税差法",ROUND(N($H126)/(1+$Q126)*$Q126-IF(N($R126)=0,0,$P126/(1+$R126)*$R126),2),ROUND(N($H126)/(1+$Q126)*$Q126,2)))</f>
        <v>0</v>
      </c>
      <c r="T126" s="36" t="n">
        <f aca="false">ROUND($S126*N(IFERROR(INDEX(单位档案!$J$6:$J$35,MATCH($E126,单位档案!$A$6:$A$35,0)),"")),2)</f>
        <v>0</v>
      </c>
      <c r="U126" s="36" t="n">
        <f aca="false">IF($D126&lt;&gt;"销项开票",0,ROUND(N($H126)*N(IFERROR(INDEX(单位档案!$K$6:$K$35,MATCH($E126,单位档案!$A$6:$A$35,0)),"")),2))</f>
        <v>0</v>
      </c>
      <c r="V126" s="36" t="n">
        <f aca="false">IF(OR($D126&lt;&gt;"销项开票",N($Q126)=0),0,ROUND(N($H126)/(1+$Q126)*N(IFERROR(INDEX(单位档案!$L$6:$L$35,MATCH($E126,单位档案!$A$6:$A$35,0)),"")),2))</f>
        <v>0</v>
      </c>
      <c r="W126" s="36" t="n">
        <f aca="false">ROUND($S126+$T126+$U126+$V126,2)</f>
        <v>0</v>
      </c>
      <c r="X126" s="35" t="str">
        <f aca="false">IF(OR($D126="挂靠代收",$D126="我方收款"),COUNTIFS($D$5:$D126,"挂靠代收")+COUNTIFS($D$5:$D126,"我方收款"),"")</f>
        <v/>
      </c>
      <c r="Y126" s="35" t="s">
        <v>121</v>
      </c>
      <c r="Z126" s="21" t="s">
        <v>111</v>
      </c>
    </row>
    <row r="127" customFormat="false" ht="15.75" hidden="false" customHeight="true" outlineLevel="0" collapsed="false">
      <c r="A127" s="32" t="n">
        <f aca="false">IF($B127="","",ROW()-4)</f>
        <v>123</v>
      </c>
      <c r="B127" s="26" t="n">
        <v>46174</v>
      </c>
      <c r="C127" s="24" t="s">
        <v>165</v>
      </c>
      <c r="D127" s="21" t="s">
        <v>307</v>
      </c>
      <c r="E127" s="21" t="s">
        <v>117</v>
      </c>
      <c r="F127" s="21" t="s">
        <v>117</v>
      </c>
      <c r="G127" s="21" t="s">
        <v>386</v>
      </c>
      <c r="H127" s="27" t="n">
        <v>24573.8</v>
      </c>
      <c r="I127" s="23" t="n">
        <f aca="false">IF($D127&lt;&gt;"销项开票","",IF($N127="一级",IF(IFERROR(INDEX(项目档案!$E$6:$E$255,MATCH($C127,项目档案!$A$6:$A$255,0)),"")="",N(IFERROR(INDEX(单位档案!$D$6:$D$35,MATCH($E127,单位档案!$A$6:$A$35,0)),"")),IFERROR(INDEX(项目档案!$E$6:$E$255,MATCH($C127,项目档案!$A$6:$A$255,0)),"")),IF($N127="二级",IF(IFERROR(INDEX(项目档案!$G$6:$G$255,MATCH($C127,项目档案!$A$6:$A$255,0)),"")="",N(IFERROR(INDEX(单位档案!$D$6:$D$35,MATCH($E127,单位档案!$A$6:$A$35,0)),"")),IFERROR(INDEX(项目档案!$G$6:$G$255,MATCH($C127,项目档案!$A$6:$A$255,0)),"")),N(IFERROR(INDEX(单位档案!$D$6:$D$35,MATCH($E127,单位档案!$A$6:$A$35,0)),"")))))</f>
        <v>0.02</v>
      </c>
      <c r="J127" s="25" t="s">
        <v>430</v>
      </c>
      <c r="K127" s="22" t="s">
        <v>313</v>
      </c>
      <c r="L127" s="33" t="str">
        <f aca="false">IF($B127="","",IF(NOT(ISNUMBER($B127)),"日期格式不对",IF($C127="","未选项目编号",IF(LEFT($M127,1)="⚠","项目编号不存在",IF($D127="","未选业务类型",IF($E127="","未选开票/付款方",IF(ISNA(MATCH($E127,单位档案!$A$6:$A$35,0)),"开票方不在单位档案",IF($F127="","未选收票/收款方",IF(ISNA(MATCH($F127,单位档案!$A$6:$A$35,0)),"收款方不在单位档案",IF(NOT(ISNUMBER($H127)),"金额须为数字",IF(AND($D127="销项开票",$N127="—"),"链条待确认","√")))))))))))</f>
        <v>√</v>
      </c>
      <c r="M127" s="34" t="str">
        <f aca="false">IF($C127="","",IFERROR(INDEX(项目档案!$B$6:$B$255,MATCH($C127,项目档案!$A$6:$A$255,0)),"⚠项目编号不存在"))</f>
        <v>重庆铜梁10kV平凉线惠丰9社等4个台区重过载治理工程</v>
      </c>
      <c r="N127" s="35" t="str">
        <f aca="false">IF($E127="","",IF($E127=IFERROR(INDEX(项目档案!$D$6:$D$255,MATCH($C127,项目档案!$A$6:$A$255,0)),""),"一级",IF($E127=IFERROR(INDEX(项目档案!$F$6:$F$255,MATCH($C127,项目档案!$A$6:$A$255,0)),""),"二级",IF($E127=IFERROR(INDEX(项目档案!$H$6:$H$255,MATCH($C127,项目档案!$A$6:$A$255,0)),""),"我方","—"))))</f>
        <v>一级</v>
      </c>
      <c r="O127" s="36" t="n">
        <f aca="false">IF($D127&lt;&gt;"销项开票",0,ROUND(N($H127)*N($I127),2))</f>
        <v>491.48</v>
      </c>
      <c r="P127" s="36" t="n">
        <f aca="false">IF($D127&lt;&gt;"销项开票",0,ROUND(N($H127)-$O127,2))</f>
        <v>24082.32</v>
      </c>
      <c r="Q127" s="37" t="n">
        <f aca="false">IF($E127="","",N(IFERROR(INDEX(单位档案!$E$6:$E$35,MATCH($E127,单位档案!$A$6:$A$35,0)),"")))</f>
        <v>0.03</v>
      </c>
      <c r="R127" s="37" t="n">
        <f aca="false">IF($E127="","",N(IFERROR(INDEX(单位档案!$F$6:$F$35,MATCH($E127,单位档案!$A$6:$A$35,0)),"")))</f>
        <v>0.03</v>
      </c>
      <c r="S127" s="36" t="n">
        <f aca="false">IF(OR($D127&lt;&gt;"销项开票",IFERROR(INDEX(单位档案!$G$6:$G$35,MATCH($E127,单位档案!$A$6:$A$35,0)),"")&lt;&gt;"是",N($Q127)=0),0,IF(IFERROR(INDEX(单位档案!$H$6:$H$35,MATCH($E127,单位档案!$A$6:$A$35,0)),"")="税差法",ROUND(N($H127)/(1+$Q127)*$Q127-IF(N($R127)=0,0,$P127/(1+$R127)*$R127),2),ROUND(N($H127)/(1+$Q127)*$Q127,2)))</f>
        <v>715.74</v>
      </c>
      <c r="T127" s="36" t="n">
        <f aca="false">ROUND($S127*N(IFERROR(INDEX(单位档案!$J$6:$J$35,MATCH($E127,单位档案!$A$6:$A$35,0)),"")),2)</f>
        <v>42.94</v>
      </c>
      <c r="U127" s="36" t="n">
        <f aca="false">IF($D127&lt;&gt;"销项开票",0,ROUND(N($H127)*N(IFERROR(INDEX(单位档案!$K$6:$K$35,MATCH($E127,单位档案!$A$6:$A$35,0)),"")),2))</f>
        <v>0</v>
      </c>
      <c r="V127" s="36" t="n">
        <f aca="false">IF(OR($D127&lt;&gt;"销项开票",N($Q127)=0),0,ROUND(N($H127)/(1+$Q127)*N(IFERROR(INDEX(单位档案!$L$6:$L$35,MATCH($E127,单位档案!$A$6:$A$35,0)),"")),2))</f>
        <v>47.72</v>
      </c>
      <c r="W127" s="36" t="n">
        <f aca="false">ROUND($S127+$T127+$U127+$V127,2)</f>
        <v>806.4</v>
      </c>
      <c r="X127" s="35" t="str">
        <f aca="false">IF(OR($D127="挂靠代收",$D127="我方收款"),COUNTIFS($D$5:$D127,"挂靠代收")+COUNTIFS($D$5:$D127,"我方收款"),"")</f>
        <v/>
      </c>
      <c r="Y127" s="35" t="s">
        <v>117</v>
      </c>
      <c r="Z127" s="21" t="s">
        <v>111</v>
      </c>
    </row>
    <row r="128" customFormat="false" ht="15.75" hidden="false" customHeight="true" outlineLevel="0" collapsed="false">
      <c r="A128" s="32" t="n">
        <f aca="false">IF($B128="","",ROW()-4)</f>
        <v>124</v>
      </c>
      <c r="B128" s="26" t="n">
        <v>46175</v>
      </c>
      <c r="C128" s="24" t="s">
        <v>183</v>
      </c>
      <c r="D128" s="21" t="s">
        <v>357</v>
      </c>
      <c r="E128" s="21" t="s">
        <v>131</v>
      </c>
      <c r="F128" s="21" t="s">
        <v>121</v>
      </c>
      <c r="G128" s="24" t="s">
        <v>308</v>
      </c>
      <c r="H128" s="27" t="n">
        <v>517.83</v>
      </c>
      <c r="I128" s="23" t="str">
        <f aca="false">IF($D128&lt;&gt;"销项开票","",IF($N128="一级",IF(IFERROR(INDEX(项目档案!$E$6:$E$255,MATCH($C128,项目档案!$A$6:$A$255,0)),"")="",N(IFERROR(INDEX(单位档案!$D$6:$D$35,MATCH($E128,单位档案!$A$6:$A$35,0)),"")),IFERROR(INDEX(项目档案!$E$6:$E$255,MATCH($C128,项目档案!$A$6:$A$255,0)),"")),IF($N128="二级",IF(IFERROR(INDEX(项目档案!$G$6:$G$255,MATCH($C128,项目档案!$A$6:$A$255,0)),"")="",N(IFERROR(INDEX(单位档案!$D$6:$D$35,MATCH($E128,单位档案!$A$6:$A$35,0)),"")),IFERROR(INDEX(项目档案!$G$6:$G$255,MATCH($C128,项目档案!$A$6:$A$255,0)),"")),N(IFERROR(INDEX(单位档案!$D$6:$D$35,MATCH($E128,单位档案!$A$6:$A$35,0)),"")))))</f>
        <v/>
      </c>
      <c r="J128" s="25" t="s">
        <v>431</v>
      </c>
      <c r="K128" s="22" t="s">
        <v>313</v>
      </c>
      <c r="L128" s="33" t="str">
        <f aca="false">IF($B128="","",IF(NOT(ISNUMBER($B128)),"日期格式不对",IF($C128="","未选项目编号",IF(LEFT($M128,1)="⚠","项目编号不存在",IF($D128="","未选业务类型",IF($E128="","未选开票/付款方",IF(ISNA(MATCH($E128,单位档案!$A$6:$A$35,0)),"开票方不在单位档案",IF($F128="","未选收票/收款方",IF(ISNA(MATCH($F128,单位档案!$A$6:$A$35,0)),"收款方不在单位档案",IF(NOT(ISNUMBER($H128)),"金额须为数字",IF(AND($D128="销项开票",$N128="—"),"链条待确认","√")))))))))))</f>
        <v>√</v>
      </c>
      <c r="M128" s="34" t="str">
        <f aca="false">IF($C128="","",IFERROR(INDEX(项目档案!$B$6:$B$255,MATCH($C128,项目档案!$A$6:$A$255,0)),"⚠项目编号不存在"))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128" s="35" t="str">
        <f aca="false">IF($E128="","",IF($E128=IFERROR(INDEX(项目档案!$D$6:$D$255,MATCH($C128,项目档案!$A$6:$A$255,0)),""),"一级",IF($E128=IFERROR(INDEX(项目档案!$F$6:$F$255,MATCH($C128,项目档案!$A$6:$A$255,0)),""),"二级",IF($E128=IFERROR(INDEX(项目档案!$H$6:$H$255,MATCH($C128,项目档案!$A$6:$A$255,0)),""),"我方","—"))))</f>
        <v>—</v>
      </c>
      <c r="O128" s="36" t="n">
        <f aca="false">IF($D128&lt;&gt;"销项开票",0,ROUND(N($H128)*N($I128),2))</f>
        <v>0</v>
      </c>
      <c r="P128" s="36" t="n">
        <f aca="false">IF($D128&lt;&gt;"销项开票",0,ROUND(N($H128)-$O128,2))</f>
        <v>0</v>
      </c>
      <c r="Q128" s="37" t="n">
        <f aca="false">IF($E128="","",N(IFERROR(INDEX(单位档案!$E$6:$E$35,MATCH($E128,单位档案!$A$6:$A$35,0)),"")))</f>
        <v>0.13</v>
      </c>
      <c r="R128" s="37" t="n">
        <f aca="false">IF($E128="","",N(IFERROR(INDEX(单位档案!$F$6:$F$35,MATCH($E128,单位档案!$A$6:$A$35,0)),"")))</f>
        <v>0</v>
      </c>
      <c r="S128" s="36" t="n">
        <f aca="false">IF(OR($D128&lt;&gt;"销项开票",IFERROR(INDEX(单位档案!$G$6:$G$35,MATCH($E128,单位档案!$A$6:$A$35,0)),"")&lt;&gt;"是",N($Q128)=0),0,IF(IFERROR(INDEX(单位档案!$H$6:$H$35,MATCH($E128,单位档案!$A$6:$A$35,0)),"")="税差法",ROUND(N($H128)/(1+$Q128)*$Q128-IF(N($R128)=0,0,$P128/(1+$R128)*$R128),2),ROUND(N($H128)/(1+$Q128)*$Q128,2)))</f>
        <v>0</v>
      </c>
      <c r="T128" s="36" t="n">
        <f aca="false">ROUND($S128*N(IFERROR(INDEX(单位档案!$J$6:$J$35,MATCH($E128,单位档案!$A$6:$A$35,0)),"")),2)</f>
        <v>0</v>
      </c>
      <c r="U128" s="36" t="n">
        <f aca="false">IF($D128&lt;&gt;"销项开票",0,ROUND(N($H128)*N(IFERROR(INDEX(单位档案!$K$6:$K$35,MATCH($E128,单位档案!$A$6:$A$35,0)),"")),2))</f>
        <v>0</v>
      </c>
      <c r="V128" s="36" t="n">
        <f aca="false">IF(OR($D128&lt;&gt;"销项开票",N($Q128)=0),0,ROUND(N($H128)/(1+$Q128)*N(IFERROR(INDEX(单位档案!$L$6:$L$35,MATCH($E128,单位档案!$A$6:$A$35,0)),"")),2))</f>
        <v>0</v>
      </c>
      <c r="W128" s="36" t="n">
        <f aca="false">ROUND($S128+$T128+$U128+$V128,2)</f>
        <v>0</v>
      </c>
      <c r="X128" s="35" t="str">
        <f aca="false">IF(OR($D128="挂靠代收",$D128="我方收款"),COUNTIFS($D$5:$D128,"挂靠代收")+COUNTIFS($D$5:$D128,"我方收款"),"")</f>
        <v/>
      </c>
      <c r="Y128" s="35" t="s">
        <v>121</v>
      </c>
      <c r="Z128" s="21" t="s">
        <v>111</v>
      </c>
    </row>
    <row r="129" customFormat="false" ht="15.75" hidden="false" customHeight="true" outlineLevel="0" collapsed="false">
      <c r="A129" s="32" t="n">
        <f aca="false">IF($B129="","",ROW()-4)</f>
        <v>125</v>
      </c>
      <c r="B129" s="26" t="n">
        <v>46175</v>
      </c>
      <c r="C129" s="24" t="s">
        <v>183</v>
      </c>
      <c r="D129" s="21" t="s">
        <v>357</v>
      </c>
      <c r="E129" s="21" t="s">
        <v>131</v>
      </c>
      <c r="F129" s="21" t="s">
        <v>121</v>
      </c>
      <c r="G129" s="24" t="s">
        <v>308</v>
      </c>
      <c r="H129" s="27" t="n">
        <v>518.45</v>
      </c>
      <c r="I129" s="23" t="str">
        <f aca="false">IF($D129&lt;&gt;"销项开票","",IF($N129="一级",IF(IFERROR(INDEX(项目档案!$E$6:$E$255,MATCH($C129,项目档案!$A$6:$A$255,0)),"")="",N(IFERROR(INDEX(单位档案!$D$6:$D$35,MATCH($E129,单位档案!$A$6:$A$35,0)),"")),IFERROR(INDEX(项目档案!$E$6:$E$255,MATCH($C129,项目档案!$A$6:$A$255,0)),"")),IF($N129="二级",IF(IFERROR(INDEX(项目档案!$G$6:$G$255,MATCH($C129,项目档案!$A$6:$A$255,0)),"")="",N(IFERROR(INDEX(单位档案!$D$6:$D$35,MATCH($E129,单位档案!$A$6:$A$35,0)),"")),IFERROR(INDEX(项目档案!$G$6:$G$255,MATCH($C129,项目档案!$A$6:$A$255,0)),"")),N(IFERROR(INDEX(单位档案!$D$6:$D$35,MATCH($E129,单位档案!$A$6:$A$35,0)),"")))))</f>
        <v/>
      </c>
      <c r="J129" s="25" t="s">
        <v>432</v>
      </c>
      <c r="K129" s="22" t="s">
        <v>313</v>
      </c>
      <c r="L129" s="33" t="str">
        <f aca="false">IF($B129="","",IF(NOT(ISNUMBER($B129)),"日期格式不对",IF($C129="","未选项目编号",IF(LEFT($M129,1)="⚠","项目编号不存在",IF($D129="","未选业务类型",IF($E129="","未选开票/付款方",IF(ISNA(MATCH($E129,单位档案!$A$6:$A$35,0)),"开票方不在单位档案",IF($F129="","未选收票/收款方",IF(ISNA(MATCH($F129,单位档案!$A$6:$A$35,0)),"收款方不在单位档案",IF(NOT(ISNUMBER($H129)),"金额须为数字",IF(AND($D129="销项开票",$N129="—"),"链条待确认","√")))))))))))</f>
        <v>√</v>
      </c>
      <c r="M129" s="34" t="str">
        <f aca="false">IF($C129="","",IFERROR(INDEX(项目档案!$B$6:$B$255,MATCH($C129,项目档案!$A$6:$A$255,0)),"⚠项目编号不存在"))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129" s="35" t="str">
        <f aca="false">IF($E129="","",IF($E129=IFERROR(INDEX(项目档案!$D$6:$D$255,MATCH($C129,项目档案!$A$6:$A$255,0)),""),"一级",IF($E129=IFERROR(INDEX(项目档案!$F$6:$F$255,MATCH($C129,项目档案!$A$6:$A$255,0)),""),"二级",IF($E129=IFERROR(INDEX(项目档案!$H$6:$H$255,MATCH($C129,项目档案!$A$6:$A$255,0)),""),"我方","—"))))</f>
        <v>—</v>
      </c>
      <c r="O129" s="36" t="n">
        <f aca="false">IF($D129&lt;&gt;"销项开票",0,ROUND(N($H129)*N($I129),2))</f>
        <v>0</v>
      </c>
      <c r="P129" s="36" t="n">
        <f aca="false">IF($D129&lt;&gt;"销项开票",0,ROUND(N($H129)-$O129,2))</f>
        <v>0</v>
      </c>
      <c r="Q129" s="37" t="n">
        <f aca="false">IF($E129="","",N(IFERROR(INDEX(单位档案!$E$6:$E$35,MATCH($E129,单位档案!$A$6:$A$35,0)),"")))</f>
        <v>0.13</v>
      </c>
      <c r="R129" s="37" t="n">
        <f aca="false">IF($E129="","",N(IFERROR(INDEX(单位档案!$F$6:$F$35,MATCH($E129,单位档案!$A$6:$A$35,0)),"")))</f>
        <v>0</v>
      </c>
      <c r="S129" s="36" t="n">
        <f aca="false">IF(OR($D129&lt;&gt;"销项开票",IFERROR(INDEX(单位档案!$G$6:$G$35,MATCH($E129,单位档案!$A$6:$A$35,0)),"")&lt;&gt;"是",N($Q129)=0),0,IF(IFERROR(INDEX(单位档案!$H$6:$H$35,MATCH($E129,单位档案!$A$6:$A$35,0)),"")="税差法",ROUND(N($H129)/(1+$Q129)*$Q129-IF(N($R129)=0,0,$P129/(1+$R129)*$R129),2),ROUND(N($H129)/(1+$Q129)*$Q129,2)))</f>
        <v>0</v>
      </c>
      <c r="T129" s="36" t="n">
        <f aca="false">ROUND($S129*N(IFERROR(INDEX(单位档案!$J$6:$J$35,MATCH($E129,单位档案!$A$6:$A$35,0)),"")),2)</f>
        <v>0</v>
      </c>
      <c r="U129" s="36" t="n">
        <f aca="false">IF($D129&lt;&gt;"销项开票",0,ROUND(N($H129)*N(IFERROR(INDEX(单位档案!$K$6:$K$35,MATCH($E129,单位档案!$A$6:$A$35,0)),"")),2))</f>
        <v>0</v>
      </c>
      <c r="V129" s="36" t="n">
        <f aca="false">IF(OR($D129&lt;&gt;"销项开票",N($Q129)=0),0,ROUND(N($H129)/(1+$Q129)*N(IFERROR(INDEX(单位档案!$L$6:$L$35,MATCH($E129,单位档案!$A$6:$A$35,0)),"")),2))</f>
        <v>0</v>
      </c>
      <c r="W129" s="36" t="n">
        <f aca="false">ROUND($S129+$T129+$U129+$V129,2)</f>
        <v>0</v>
      </c>
      <c r="X129" s="35" t="str">
        <f aca="false">IF(OR($D129="挂靠代收",$D129="我方收款"),COUNTIFS($D$5:$D129,"挂靠代收")+COUNTIFS($D$5:$D129,"我方收款"),"")</f>
        <v/>
      </c>
      <c r="Y129" s="35" t="s">
        <v>121</v>
      </c>
      <c r="Z129" s="21" t="s">
        <v>111</v>
      </c>
    </row>
    <row r="130" customFormat="false" ht="15.75" hidden="false" customHeight="true" outlineLevel="0" collapsed="false">
      <c r="A130" s="32" t="n">
        <f aca="false">IF($B130="","",ROW()-4)</f>
        <v>126</v>
      </c>
      <c r="B130" s="26" t="n">
        <v>46175</v>
      </c>
      <c r="C130" s="24" t="s">
        <v>183</v>
      </c>
      <c r="D130" s="21" t="s">
        <v>357</v>
      </c>
      <c r="E130" s="21" t="s">
        <v>131</v>
      </c>
      <c r="F130" s="21" t="s">
        <v>121</v>
      </c>
      <c r="G130" s="24" t="s">
        <v>308</v>
      </c>
      <c r="H130" s="27" t="n">
        <v>811.03</v>
      </c>
      <c r="I130" s="23" t="str">
        <f aca="false">IF($D130&lt;&gt;"销项开票","",IF($N130="一级",IF(IFERROR(INDEX(项目档案!$E$6:$E$255,MATCH($C130,项目档案!$A$6:$A$255,0)),"")="",N(IFERROR(INDEX(单位档案!$D$6:$D$35,MATCH($E130,单位档案!$A$6:$A$35,0)),"")),IFERROR(INDEX(项目档案!$E$6:$E$255,MATCH($C130,项目档案!$A$6:$A$255,0)),"")),IF($N130="二级",IF(IFERROR(INDEX(项目档案!$G$6:$G$255,MATCH($C130,项目档案!$A$6:$A$255,0)),"")="",N(IFERROR(INDEX(单位档案!$D$6:$D$35,MATCH($E130,单位档案!$A$6:$A$35,0)),"")),IFERROR(INDEX(项目档案!$G$6:$G$255,MATCH($C130,项目档案!$A$6:$A$255,0)),"")),N(IFERROR(INDEX(单位档案!$D$6:$D$35,MATCH($E130,单位档案!$A$6:$A$35,0)),"")))))</f>
        <v/>
      </c>
      <c r="J130" s="25" t="s">
        <v>433</v>
      </c>
      <c r="K130" s="22" t="s">
        <v>313</v>
      </c>
      <c r="L130" s="33" t="str">
        <f aca="false">IF($B130="","",IF(NOT(ISNUMBER($B130)),"日期格式不对",IF($C130="","未选项目编号",IF(LEFT($M130,1)="⚠","项目编号不存在",IF($D130="","未选业务类型",IF($E130="","未选开票/付款方",IF(ISNA(MATCH($E130,单位档案!$A$6:$A$35,0)),"开票方不在单位档案",IF($F130="","未选收票/收款方",IF(ISNA(MATCH($F130,单位档案!$A$6:$A$35,0)),"收款方不在单位档案",IF(NOT(ISNUMBER($H130)),"金额须为数字",IF(AND($D130="销项开票",$N130="—"),"链条待确认","√")))))))))))</f>
        <v>√</v>
      </c>
      <c r="M130" s="34" t="str">
        <f aca="false">IF($C130="","",IFERROR(INDEX(项目档案!$B$6:$B$255,MATCH($C130,项目档案!$A$6:$A$255,0)),"⚠项目编号不存在"))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130" s="35" t="str">
        <f aca="false">IF($E130="","",IF($E130=IFERROR(INDEX(项目档案!$D$6:$D$255,MATCH($C130,项目档案!$A$6:$A$255,0)),""),"一级",IF($E130=IFERROR(INDEX(项目档案!$F$6:$F$255,MATCH($C130,项目档案!$A$6:$A$255,0)),""),"二级",IF($E130=IFERROR(INDEX(项目档案!$H$6:$H$255,MATCH($C130,项目档案!$A$6:$A$255,0)),""),"我方","—"))))</f>
        <v>—</v>
      </c>
      <c r="O130" s="36" t="n">
        <f aca="false">IF($D130&lt;&gt;"销项开票",0,ROUND(N($H130)*N($I130),2))</f>
        <v>0</v>
      </c>
      <c r="P130" s="36" t="n">
        <f aca="false">IF($D130&lt;&gt;"销项开票",0,ROUND(N($H130)-$O130,2))</f>
        <v>0</v>
      </c>
      <c r="Q130" s="37" t="n">
        <f aca="false">IF($E130="","",N(IFERROR(INDEX(单位档案!$E$6:$E$35,MATCH($E130,单位档案!$A$6:$A$35,0)),"")))</f>
        <v>0.13</v>
      </c>
      <c r="R130" s="37" t="n">
        <f aca="false">IF($E130="","",N(IFERROR(INDEX(单位档案!$F$6:$F$35,MATCH($E130,单位档案!$A$6:$A$35,0)),"")))</f>
        <v>0</v>
      </c>
      <c r="S130" s="36" t="n">
        <f aca="false">IF(OR($D130&lt;&gt;"销项开票",IFERROR(INDEX(单位档案!$G$6:$G$35,MATCH($E130,单位档案!$A$6:$A$35,0)),"")&lt;&gt;"是",N($Q130)=0),0,IF(IFERROR(INDEX(单位档案!$H$6:$H$35,MATCH($E130,单位档案!$A$6:$A$35,0)),"")="税差法",ROUND(N($H130)/(1+$Q130)*$Q130-IF(N($R130)=0,0,$P130/(1+$R130)*$R130),2),ROUND(N($H130)/(1+$Q130)*$Q130,2)))</f>
        <v>0</v>
      </c>
      <c r="T130" s="36" t="n">
        <f aca="false">ROUND($S130*N(IFERROR(INDEX(单位档案!$J$6:$J$35,MATCH($E130,单位档案!$A$6:$A$35,0)),"")),2)</f>
        <v>0</v>
      </c>
      <c r="U130" s="36" t="n">
        <f aca="false">IF($D130&lt;&gt;"销项开票",0,ROUND(N($H130)*N(IFERROR(INDEX(单位档案!$K$6:$K$35,MATCH($E130,单位档案!$A$6:$A$35,0)),"")),2))</f>
        <v>0</v>
      </c>
      <c r="V130" s="36" t="n">
        <f aca="false">IF(OR($D130&lt;&gt;"销项开票",N($Q130)=0),0,ROUND(N($H130)/(1+$Q130)*N(IFERROR(INDEX(单位档案!$L$6:$L$35,MATCH($E130,单位档案!$A$6:$A$35,0)),"")),2))</f>
        <v>0</v>
      </c>
      <c r="W130" s="36" t="n">
        <f aca="false">ROUND($S130+$T130+$U130+$V130,2)</f>
        <v>0</v>
      </c>
      <c r="X130" s="35" t="str">
        <f aca="false">IF(OR($D130="挂靠代收",$D130="我方收款"),COUNTIFS($D$5:$D130,"挂靠代收")+COUNTIFS($D$5:$D130,"我方收款"),"")</f>
        <v/>
      </c>
      <c r="Y130" s="35" t="s">
        <v>121</v>
      </c>
      <c r="Z130" s="21" t="s">
        <v>111</v>
      </c>
    </row>
    <row r="131" customFormat="false" ht="15.75" hidden="false" customHeight="true" outlineLevel="0" collapsed="false">
      <c r="A131" s="32" t="n">
        <f aca="false">IF($B131="","",ROW()-4)</f>
        <v>127</v>
      </c>
      <c r="B131" s="26" t="n">
        <v>46175</v>
      </c>
      <c r="C131" s="24" t="s">
        <v>183</v>
      </c>
      <c r="D131" s="21" t="s">
        <v>357</v>
      </c>
      <c r="E131" s="21" t="s">
        <v>131</v>
      </c>
      <c r="F131" s="21" t="s">
        <v>121</v>
      </c>
      <c r="G131" s="24" t="s">
        <v>308</v>
      </c>
      <c r="H131" s="27" t="n">
        <v>806.29</v>
      </c>
      <c r="I131" s="23" t="str">
        <f aca="false">IF($D131&lt;&gt;"销项开票","",IF($N131="一级",IF(IFERROR(INDEX(项目档案!$E$6:$E$255,MATCH($C131,项目档案!$A$6:$A$255,0)),"")="",N(IFERROR(INDEX(单位档案!$D$6:$D$35,MATCH($E131,单位档案!$A$6:$A$35,0)),"")),IFERROR(INDEX(项目档案!$E$6:$E$255,MATCH($C131,项目档案!$A$6:$A$255,0)),"")),IF($N131="二级",IF(IFERROR(INDEX(项目档案!$G$6:$G$255,MATCH($C131,项目档案!$A$6:$A$255,0)),"")="",N(IFERROR(INDEX(单位档案!$D$6:$D$35,MATCH($E131,单位档案!$A$6:$A$35,0)),"")),IFERROR(INDEX(项目档案!$G$6:$G$255,MATCH($C131,项目档案!$A$6:$A$255,0)),"")),N(IFERROR(INDEX(单位档案!$D$6:$D$35,MATCH($E131,单位档案!$A$6:$A$35,0)),"")))))</f>
        <v/>
      </c>
      <c r="J131" s="25" t="s">
        <v>434</v>
      </c>
      <c r="K131" s="22" t="s">
        <v>313</v>
      </c>
      <c r="L131" s="33" t="str">
        <f aca="false">IF($B131="","",IF(NOT(ISNUMBER($B131)),"日期格式不对",IF($C131="","未选项目编号",IF(LEFT($M131,1)="⚠","项目编号不存在",IF($D131="","未选业务类型",IF($E131="","未选开票/付款方",IF(ISNA(MATCH($E131,单位档案!$A$6:$A$35,0)),"开票方不在单位档案",IF($F131="","未选收票/收款方",IF(ISNA(MATCH($F131,单位档案!$A$6:$A$35,0)),"收款方不在单位档案",IF(NOT(ISNUMBER($H131)),"金额须为数字",IF(AND($D131="销项开票",$N131="—"),"链条待确认","√")))))))))))</f>
        <v>√</v>
      </c>
      <c r="M131" s="34" t="str">
        <f aca="false">IF($C131="","",IFERROR(INDEX(项目档案!$B$6:$B$255,MATCH($C131,项目档案!$A$6:$A$255,0)),"⚠项目编号不存在"))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131" s="35" t="str">
        <f aca="false">IF($E131="","",IF($E131=IFERROR(INDEX(项目档案!$D$6:$D$255,MATCH($C131,项目档案!$A$6:$A$255,0)),""),"一级",IF($E131=IFERROR(INDEX(项目档案!$F$6:$F$255,MATCH($C131,项目档案!$A$6:$A$255,0)),""),"二级",IF($E131=IFERROR(INDEX(项目档案!$H$6:$H$255,MATCH($C131,项目档案!$A$6:$A$255,0)),""),"我方","—"))))</f>
        <v>—</v>
      </c>
      <c r="O131" s="36" t="n">
        <f aca="false">IF($D131&lt;&gt;"销项开票",0,ROUND(N($H131)*N($I131),2))</f>
        <v>0</v>
      </c>
      <c r="P131" s="36" t="n">
        <f aca="false">IF($D131&lt;&gt;"销项开票",0,ROUND(N($H131)-$O131,2))</f>
        <v>0</v>
      </c>
      <c r="Q131" s="37" t="n">
        <f aca="false">IF($E131="","",N(IFERROR(INDEX(单位档案!$E$6:$E$35,MATCH($E131,单位档案!$A$6:$A$35,0)),"")))</f>
        <v>0.13</v>
      </c>
      <c r="R131" s="37" t="n">
        <f aca="false">IF($E131="","",N(IFERROR(INDEX(单位档案!$F$6:$F$35,MATCH($E131,单位档案!$A$6:$A$35,0)),"")))</f>
        <v>0</v>
      </c>
      <c r="S131" s="36" t="n">
        <f aca="false">IF(OR($D131&lt;&gt;"销项开票",IFERROR(INDEX(单位档案!$G$6:$G$35,MATCH($E131,单位档案!$A$6:$A$35,0)),"")&lt;&gt;"是",N($Q131)=0),0,IF(IFERROR(INDEX(单位档案!$H$6:$H$35,MATCH($E131,单位档案!$A$6:$A$35,0)),"")="税差法",ROUND(N($H131)/(1+$Q131)*$Q131-IF(N($R131)=0,0,$P131/(1+$R131)*$R131),2),ROUND(N($H131)/(1+$Q131)*$Q131,2)))</f>
        <v>0</v>
      </c>
      <c r="T131" s="36" t="n">
        <f aca="false">ROUND($S131*N(IFERROR(INDEX(单位档案!$J$6:$J$35,MATCH($E131,单位档案!$A$6:$A$35,0)),"")),2)</f>
        <v>0</v>
      </c>
      <c r="U131" s="36" t="n">
        <f aca="false">IF($D131&lt;&gt;"销项开票",0,ROUND(N($H131)*N(IFERROR(INDEX(单位档案!$K$6:$K$35,MATCH($E131,单位档案!$A$6:$A$35,0)),"")),2))</f>
        <v>0</v>
      </c>
      <c r="V131" s="36" t="n">
        <f aca="false">IF(OR($D131&lt;&gt;"销项开票",N($Q131)=0),0,ROUND(N($H131)/(1+$Q131)*N(IFERROR(INDEX(单位档案!$L$6:$L$35,MATCH($E131,单位档案!$A$6:$A$35,0)),"")),2))</f>
        <v>0</v>
      </c>
      <c r="W131" s="36" t="n">
        <f aca="false">ROUND($S131+$T131+$U131+$V131,2)</f>
        <v>0</v>
      </c>
      <c r="X131" s="35" t="str">
        <f aca="false">IF(OR($D131="挂靠代收",$D131="我方收款"),COUNTIFS($D$5:$D131,"挂靠代收")+COUNTIFS($D$5:$D131,"我方收款"),"")</f>
        <v/>
      </c>
      <c r="Y131" s="35" t="s">
        <v>121</v>
      </c>
      <c r="Z131" s="21" t="s">
        <v>111</v>
      </c>
    </row>
    <row r="132" customFormat="false" ht="15.75" hidden="false" customHeight="true" outlineLevel="0" collapsed="false">
      <c r="A132" s="32" t="n">
        <f aca="false">IF($B132="","",ROW()-4)</f>
        <v>128</v>
      </c>
      <c r="B132" s="26" t="n">
        <v>46175</v>
      </c>
      <c r="C132" s="24" t="s">
        <v>183</v>
      </c>
      <c r="D132" s="21" t="s">
        <v>357</v>
      </c>
      <c r="E132" s="21" t="s">
        <v>131</v>
      </c>
      <c r="F132" s="21" t="s">
        <v>121</v>
      </c>
      <c r="G132" s="24" t="s">
        <v>308</v>
      </c>
      <c r="H132" s="27" t="n">
        <v>1438.99</v>
      </c>
      <c r="I132" s="23" t="str">
        <f aca="false">IF($D132&lt;&gt;"销项开票","",IF($N132="一级",IF(IFERROR(INDEX(项目档案!$E$6:$E$255,MATCH($C132,项目档案!$A$6:$A$255,0)),"")="",N(IFERROR(INDEX(单位档案!$D$6:$D$35,MATCH($E132,单位档案!$A$6:$A$35,0)),"")),IFERROR(INDEX(项目档案!$E$6:$E$255,MATCH($C132,项目档案!$A$6:$A$255,0)),"")),IF($N132="二级",IF(IFERROR(INDEX(项目档案!$G$6:$G$255,MATCH($C132,项目档案!$A$6:$A$255,0)),"")="",N(IFERROR(INDEX(单位档案!$D$6:$D$35,MATCH($E132,单位档案!$A$6:$A$35,0)),"")),IFERROR(INDEX(项目档案!$G$6:$G$255,MATCH($C132,项目档案!$A$6:$A$255,0)),"")),N(IFERROR(INDEX(单位档案!$D$6:$D$35,MATCH($E132,单位档案!$A$6:$A$35,0)),"")))))</f>
        <v/>
      </c>
      <c r="J132" s="25" t="s">
        <v>435</v>
      </c>
      <c r="K132" s="22" t="s">
        <v>313</v>
      </c>
      <c r="L132" s="33" t="str">
        <f aca="false">IF($B132="","",IF(NOT(ISNUMBER($B132)),"日期格式不对",IF($C132="","未选项目编号",IF(LEFT($M132,1)="⚠","项目编号不存在",IF($D132="","未选业务类型",IF($E132="","未选开票/付款方",IF(ISNA(MATCH($E132,单位档案!$A$6:$A$35,0)),"开票方不在单位档案",IF($F132="","未选收票/收款方",IF(ISNA(MATCH($F132,单位档案!$A$6:$A$35,0)),"收款方不在单位档案",IF(NOT(ISNUMBER($H132)),"金额须为数字",IF(AND($D132="销项开票",$N132="—"),"链条待确认","√")))))))))))</f>
        <v>√</v>
      </c>
      <c r="M132" s="34" t="str">
        <f aca="false">IF($C132="","",IFERROR(INDEX(项目档案!$B$6:$B$255,MATCH($C132,项目档案!$A$6:$A$255,0)),"⚠项目编号不存在"))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132" s="35" t="str">
        <f aca="false">IF($E132="","",IF($E132=IFERROR(INDEX(项目档案!$D$6:$D$255,MATCH($C132,项目档案!$A$6:$A$255,0)),""),"一级",IF($E132=IFERROR(INDEX(项目档案!$F$6:$F$255,MATCH($C132,项目档案!$A$6:$A$255,0)),""),"二级",IF($E132=IFERROR(INDEX(项目档案!$H$6:$H$255,MATCH($C132,项目档案!$A$6:$A$255,0)),""),"我方","—"))))</f>
        <v>—</v>
      </c>
      <c r="O132" s="36" t="n">
        <f aca="false">IF($D132&lt;&gt;"销项开票",0,ROUND(N($H132)*N($I132),2))</f>
        <v>0</v>
      </c>
      <c r="P132" s="36" t="n">
        <f aca="false">IF($D132&lt;&gt;"销项开票",0,ROUND(N($H132)-$O132,2))</f>
        <v>0</v>
      </c>
      <c r="Q132" s="37" t="n">
        <f aca="false">IF($E132="","",N(IFERROR(INDEX(单位档案!$E$6:$E$35,MATCH($E132,单位档案!$A$6:$A$35,0)),"")))</f>
        <v>0.13</v>
      </c>
      <c r="R132" s="37" t="n">
        <f aca="false">IF($E132="","",N(IFERROR(INDEX(单位档案!$F$6:$F$35,MATCH($E132,单位档案!$A$6:$A$35,0)),"")))</f>
        <v>0</v>
      </c>
      <c r="S132" s="36" t="n">
        <f aca="false">IF(OR($D132&lt;&gt;"销项开票",IFERROR(INDEX(单位档案!$G$6:$G$35,MATCH($E132,单位档案!$A$6:$A$35,0)),"")&lt;&gt;"是",N($Q132)=0),0,IF(IFERROR(INDEX(单位档案!$H$6:$H$35,MATCH($E132,单位档案!$A$6:$A$35,0)),"")="税差法",ROUND(N($H132)/(1+$Q132)*$Q132-IF(N($R132)=0,0,$P132/(1+$R132)*$R132),2),ROUND(N($H132)/(1+$Q132)*$Q132,2)))</f>
        <v>0</v>
      </c>
      <c r="T132" s="36" t="n">
        <f aca="false">ROUND($S132*N(IFERROR(INDEX(单位档案!$J$6:$J$35,MATCH($E132,单位档案!$A$6:$A$35,0)),"")),2)</f>
        <v>0</v>
      </c>
      <c r="U132" s="36" t="n">
        <f aca="false">IF($D132&lt;&gt;"销项开票",0,ROUND(N($H132)*N(IFERROR(INDEX(单位档案!$K$6:$K$35,MATCH($E132,单位档案!$A$6:$A$35,0)),"")),2))</f>
        <v>0</v>
      </c>
      <c r="V132" s="36" t="n">
        <f aca="false">IF(OR($D132&lt;&gt;"销项开票",N($Q132)=0),0,ROUND(N($H132)/(1+$Q132)*N(IFERROR(INDEX(单位档案!$L$6:$L$35,MATCH($E132,单位档案!$A$6:$A$35,0)),"")),2))</f>
        <v>0</v>
      </c>
      <c r="W132" s="36" t="n">
        <f aca="false">ROUND($S132+$T132+$U132+$V132,2)</f>
        <v>0</v>
      </c>
      <c r="X132" s="35" t="str">
        <f aca="false">IF(OR($D132="挂靠代收",$D132="我方收款"),COUNTIFS($D$5:$D132,"挂靠代收")+COUNTIFS($D$5:$D132,"我方收款"),"")</f>
        <v/>
      </c>
      <c r="Y132" s="35" t="s">
        <v>121</v>
      </c>
      <c r="Z132" s="21" t="s">
        <v>111</v>
      </c>
    </row>
    <row r="133" customFormat="false" ht="15.75" hidden="false" customHeight="true" outlineLevel="0" collapsed="false">
      <c r="A133" s="32" t="n">
        <f aca="false">IF($B133="","",ROW()-4)</f>
        <v>129</v>
      </c>
      <c r="B133" s="26" t="n">
        <v>46176</v>
      </c>
      <c r="C133" s="24" t="s">
        <v>183</v>
      </c>
      <c r="D133" s="21" t="s">
        <v>11</v>
      </c>
      <c r="E133" s="21" t="s">
        <v>121</v>
      </c>
      <c r="F133" s="21" t="s">
        <v>134</v>
      </c>
      <c r="G133" s="21"/>
      <c r="H133" s="27" t="n">
        <v>332.72</v>
      </c>
      <c r="I133" s="23" t="str">
        <f aca="false">IF($D133&lt;&gt;"销项开票","",IF($N133="一级",IF(IFERROR(INDEX(项目档案!$E$6:$E$255,MATCH($C133,项目档案!$A$6:$A$255,0)),"")="",N(IFERROR(INDEX(单位档案!$D$6:$D$35,MATCH($E133,单位档案!$A$6:$A$35,0)),"")),IFERROR(INDEX(项目档案!$E$6:$E$255,MATCH($C133,项目档案!$A$6:$A$255,0)),"")),IF($N133="二级",IF(IFERROR(INDEX(项目档案!$G$6:$G$255,MATCH($C133,项目档案!$A$6:$A$255,0)),"")="",N(IFERROR(INDEX(单位档案!$D$6:$D$35,MATCH($E133,单位档案!$A$6:$A$35,0)),"")),IFERROR(INDEX(项目档案!$G$6:$G$255,MATCH($C133,项目档案!$A$6:$A$255,0)),"")),N(IFERROR(INDEX(单位档案!$D$6:$D$35,MATCH($E133,单位档案!$A$6:$A$35,0)),"")))))</f>
        <v/>
      </c>
      <c r="J133" s="25" t="s">
        <v>436</v>
      </c>
      <c r="K133" s="22" t="s">
        <v>313</v>
      </c>
      <c r="L133" s="33" t="str">
        <f aca="false">IF($B133="","",IF(NOT(ISNUMBER($B133)),"日期格式不对",IF($C133="","未选项目编号",IF(LEFT($M133,1)="⚠","项目编号不存在",IF($D133="","未选业务类型",IF($E133="","未选开票/付款方",IF(ISNA(MATCH($E133,单位档案!$A$6:$A$35,0)),"开票方不在单位档案",IF($F133="","未选收票/收款方",IF(ISNA(MATCH($F133,单位档案!$A$6:$A$35,0)),"收款方不在单位档案",IF(NOT(ISNUMBER($H133)),"金额须为数字",IF(AND($D133="销项开票",$N133="—"),"链条待确认","√")))))))))))</f>
        <v>√</v>
      </c>
      <c r="M133" s="34" t="str">
        <f aca="false">IF($C133="","",IFERROR(INDEX(项目档案!$B$6:$B$255,MATCH($C133,项目档案!$A$6:$A$255,0)),"⚠项目编号不存在"))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133" s="35" t="str">
        <f aca="false">IF($E133="","",IF($E133=IFERROR(INDEX(项目档案!$D$6:$D$255,MATCH($C133,项目档案!$A$6:$A$255,0)),""),"一级",IF($E133=IFERROR(INDEX(项目档案!$F$6:$F$255,MATCH($C133,项目档案!$A$6:$A$255,0)),""),"二级",IF($E133=IFERROR(INDEX(项目档案!$H$6:$H$255,MATCH($C133,项目档案!$A$6:$A$255,0)),""),"我方","—"))))</f>
        <v>—</v>
      </c>
      <c r="O133" s="36" t="n">
        <f aca="false">IF($D133&lt;&gt;"销项开票",0,ROUND(N($H133)*N($I133),2))</f>
        <v>0</v>
      </c>
      <c r="P133" s="36" t="n">
        <f aca="false">IF($D133&lt;&gt;"销项开票",0,ROUND(N($H133)-$O133,2))</f>
        <v>0</v>
      </c>
      <c r="Q133" s="37" t="n">
        <f aca="false">IF($E133="","",N(IFERROR(INDEX(单位档案!$E$6:$E$35,MATCH($E133,单位档案!$A$6:$A$35,0)),"")))</f>
        <v>0.13</v>
      </c>
      <c r="R133" s="37" t="n">
        <f aca="false">IF($E133="","",N(IFERROR(INDEX(单位档案!$F$6:$F$35,MATCH($E133,单位档案!$A$6:$A$35,0)),"")))</f>
        <v>0.13</v>
      </c>
      <c r="S133" s="36" t="n">
        <f aca="false">IF(OR($D133&lt;&gt;"销项开票",IFERROR(INDEX(单位档案!$G$6:$G$35,MATCH($E133,单位档案!$A$6:$A$35,0)),"")&lt;&gt;"是",N($Q133)=0),0,IF(IFERROR(INDEX(单位档案!$H$6:$H$35,MATCH($E133,单位档案!$A$6:$A$35,0)),"")="税差法",ROUND(N($H133)/(1+$Q133)*$Q133-IF(N($R133)=0,0,$P133/(1+$R133)*$R133),2),ROUND(N($H133)/(1+$Q133)*$Q133,2)))</f>
        <v>0</v>
      </c>
      <c r="T133" s="36" t="n">
        <f aca="false">ROUND($S133*N(IFERROR(INDEX(单位档案!$J$6:$J$35,MATCH($E133,单位档案!$A$6:$A$35,0)),"")),2)</f>
        <v>0</v>
      </c>
      <c r="U133" s="36" t="n">
        <f aca="false">IF($D133&lt;&gt;"销项开票",0,ROUND(N($H133)*N(IFERROR(INDEX(单位档案!$K$6:$K$35,MATCH($E133,单位档案!$A$6:$A$35,0)),"")),2))</f>
        <v>0</v>
      </c>
      <c r="V133" s="36" t="n">
        <f aca="false">IF(OR($D133&lt;&gt;"销项开票",N($Q133)=0),0,ROUND(N($H133)/(1+$Q133)*N(IFERROR(INDEX(单位档案!$L$6:$L$35,MATCH($E133,单位档案!$A$6:$A$35,0)),"")),2))</f>
        <v>0</v>
      </c>
      <c r="W133" s="36" t="n">
        <f aca="false">ROUND($S133+$T133+$U133+$V133,2)</f>
        <v>0</v>
      </c>
      <c r="X133" s="35" t="str">
        <f aca="false">IF(OR($D133="挂靠代收",$D133="我方收款"),COUNTIFS($D$5:$D133,"挂靠代收")+COUNTIFS($D$5:$D133,"我方收款"),"")</f>
        <v/>
      </c>
      <c r="Y133" s="35" t="s">
        <v>121</v>
      </c>
      <c r="Z133" s="21" t="s">
        <v>111</v>
      </c>
    </row>
    <row r="134" customFormat="false" ht="15.75" hidden="false" customHeight="true" outlineLevel="0" collapsed="false">
      <c r="A134" s="32" t="n">
        <f aca="false">IF($B134="","",ROW()-4)</f>
        <v>130</v>
      </c>
      <c r="B134" s="26" t="n">
        <v>46177</v>
      </c>
      <c r="C134" s="24" t="s">
        <v>183</v>
      </c>
      <c r="D134" s="21" t="s">
        <v>319</v>
      </c>
      <c r="E134" s="21" t="s">
        <v>97</v>
      </c>
      <c r="F134" s="21" t="s">
        <v>121</v>
      </c>
      <c r="G134" s="21"/>
      <c r="H134" s="27" t="n">
        <v>5330.51</v>
      </c>
      <c r="I134" s="23" t="str">
        <f aca="false">IF($D134&lt;&gt;"销项开票","",IF($N134="一级",IF(IFERROR(INDEX(项目档案!$E$6:$E$255,MATCH($C134,项目档案!$A$6:$A$255,0)),"")="",N(IFERROR(INDEX(单位档案!$D$6:$D$35,MATCH($E134,单位档案!$A$6:$A$35,0)),"")),IFERROR(INDEX(项目档案!$E$6:$E$255,MATCH($C134,项目档案!$A$6:$A$255,0)),"")),IF($N134="二级",IF(IFERROR(INDEX(项目档案!$G$6:$G$255,MATCH($C134,项目档案!$A$6:$A$255,0)),"")="",N(IFERROR(INDEX(单位档案!$D$6:$D$35,MATCH($E134,单位档案!$A$6:$A$35,0)),"")),IFERROR(INDEX(项目档案!$G$6:$G$255,MATCH($C134,项目档案!$A$6:$A$255,0)),"")),N(IFERROR(INDEX(单位档案!$D$6:$D$35,MATCH($E134,单位档案!$A$6:$A$35,0)),"")))))</f>
        <v/>
      </c>
      <c r="J134" s="25" t="s">
        <v>437</v>
      </c>
      <c r="K134" s="22" t="s">
        <v>313</v>
      </c>
      <c r="L134" s="33" t="str">
        <f aca="false">IF($B134="","",IF(NOT(ISNUMBER($B134)),"日期格式不对",IF($C134="","未选项目编号",IF(LEFT($M134,1)="⚠","项目编号不存在",IF($D134="","未选业务类型",IF($E134="","未选开票/付款方",IF(ISNA(MATCH($E134,单位档案!$A$6:$A$35,0)),"开票方不在单位档案",IF($F134="","未选收票/收款方",IF(ISNA(MATCH($F134,单位档案!$A$6:$A$35,0)),"收款方不在单位档案",IF(NOT(ISNUMBER($H134)),"金额须为数字",IF(AND($D134="销项开票",$N134="—"),"链条待确认","√")))))))))))</f>
        <v>√</v>
      </c>
      <c r="M134" s="34" t="str">
        <f aca="false">IF($C134="","",IFERROR(INDEX(项目档案!$B$6:$B$255,MATCH($C134,项目档案!$A$6:$A$255,0)),"⚠项目编号不存在"))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134" s="35" t="str">
        <f aca="false">IF($E134="","",IF($E134=IFERROR(INDEX(项目档案!$D$6:$D$255,MATCH($C134,项目档案!$A$6:$A$255,0)),""),"一级",IF($E134=IFERROR(INDEX(项目档案!$F$6:$F$255,MATCH($C134,项目档案!$A$6:$A$255,0)),""),"二级",IF($E134=IFERROR(INDEX(项目档案!$H$6:$H$255,MATCH($C134,项目档案!$A$6:$A$255,0)),""),"我方","—"))))</f>
        <v>—</v>
      </c>
      <c r="O134" s="36" t="n">
        <f aca="false">IF($D134&lt;&gt;"销项开票",0,ROUND(N($H134)*N($I134),2))</f>
        <v>0</v>
      </c>
      <c r="P134" s="36" t="n">
        <f aca="false">IF($D134&lt;&gt;"销项开票",0,ROUND(N($H134)-$O134,2))</f>
        <v>0</v>
      </c>
      <c r="Q134" s="37" t="n">
        <f aca="false">IF($E134="","",N(IFERROR(INDEX(单位档案!$E$6:$E$35,MATCH($E134,单位档案!$A$6:$A$35,0)),"")))</f>
        <v>0</v>
      </c>
      <c r="R134" s="37" t="n">
        <f aca="false">IF($E134="","",N(IFERROR(INDEX(单位档案!$F$6:$F$35,MATCH($E134,单位档案!$A$6:$A$35,0)),"")))</f>
        <v>0</v>
      </c>
      <c r="S134" s="36" t="n">
        <f aca="false">IF(OR($D134&lt;&gt;"销项开票",IFERROR(INDEX(单位档案!$G$6:$G$35,MATCH($E134,单位档案!$A$6:$A$35,0)),"")&lt;&gt;"是",N($Q134)=0),0,IF(IFERROR(INDEX(单位档案!$H$6:$H$35,MATCH($E134,单位档案!$A$6:$A$35,0)),"")="税差法",ROUND(N($H134)/(1+$Q134)*$Q134-IF(N($R134)=0,0,$P134/(1+$R134)*$R134),2),ROUND(N($H134)/(1+$Q134)*$Q134,2)))</f>
        <v>0</v>
      </c>
      <c r="T134" s="36" t="n">
        <f aca="false">ROUND($S134*N(IFERROR(INDEX(单位档案!$J$6:$J$35,MATCH($E134,单位档案!$A$6:$A$35,0)),"")),2)</f>
        <v>0</v>
      </c>
      <c r="U134" s="36" t="n">
        <f aca="false">IF($D134&lt;&gt;"销项开票",0,ROUND(N($H134)*N(IFERROR(INDEX(单位档案!$K$6:$K$35,MATCH($E134,单位档案!$A$6:$A$35,0)),"")),2))</f>
        <v>0</v>
      </c>
      <c r="V134" s="36" t="n">
        <f aca="false">IF(OR($D134&lt;&gt;"销项开票",N($Q134)=0),0,ROUND(N($H134)/(1+$Q134)*N(IFERROR(INDEX(单位档案!$L$6:$L$35,MATCH($E134,单位档案!$A$6:$A$35,0)),"")),2))</f>
        <v>0</v>
      </c>
      <c r="W134" s="36" t="n">
        <f aca="false">ROUND($S134+$T134+$U134+$V134,2)</f>
        <v>0</v>
      </c>
      <c r="X134" s="35" t="n">
        <f aca="false">IF(OR($D134="挂靠代收",$D134="我方收款"),COUNTIFS($D$5:$D134,"挂靠代收")+COUNTIFS($D$5:$D134,"我方收款"),"")</f>
        <v>8</v>
      </c>
      <c r="Y134" s="35" t="s">
        <v>121</v>
      </c>
      <c r="Z134" s="21" t="s">
        <v>111</v>
      </c>
    </row>
    <row r="135" customFormat="false" ht="15.75" hidden="false" customHeight="true" outlineLevel="0" collapsed="false">
      <c r="A135" s="32" t="n">
        <f aca="false">IF($B135="","",ROW()-4)</f>
        <v>131</v>
      </c>
      <c r="B135" s="26" t="n">
        <v>46177</v>
      </c>
      <c r="C135" s="24" t="s">
        <v>185</v>
      </c>
      <c r="D135" s="21" t="s">
        <v>319</v>
      </c>
      <c r="E135" s="21" t="s">
        <v>97</v>
      </c>
      <c r="F135" s="21" t="s">
        <v>106</v>
      </c>
      <c r="G135" s="21"/>
      <c r="H135" s="27" t="n">
        <v>5794.03</v>
      </c>
      <c r="I135" s="23" t="str">
        <f aca="false">IF($D135&lt;&gt;"销项开票","",IF($N135="一级",IF(IFERROR(INDEX(项目档案!$E$6:$E$255,MATCH($C135,项目档案!$A$6:$A$255,0)),"")="",N(IFERROR(INDEX(单位档案!$D$6:$D$35,MATCH($E135,单位档案!$A$6:$A$35,0)),"")),IFERROR(INDEX(项目档案!$E$6:$E$255,MATCH($C135,项目档案!$A$6:$A$255,0)),"")),IF($N135="二级",IF(IFERROR(INDEX(项目档案!$G$6:$G$255,MATCH($C135,项目档案!$A$6:$A$255,0)),"")="",N(IFERROR(INDEX(单位档案!$D$6:$D$35,MATCH($E135,单位档案!$A$6:$A$35,0)),"")),IFERROR(INDEX(项目档案!$G$6:$G$255,MATCH($C135,项目档案!$A$6:$A$255,0)),"")),N(IFERROR(INDEX(单位档案!$D$6:$D$35,MATCH($E135,单位档案!$A$6:$A$35,0)),"")))))</f>
        <v/>
      </c>
      <c r="J135" s="25" t="s">
        <v>437</v>
      </c>
      <c r="K135" s="22" t="s">
        <v>313</v>
      </c>
      <c r="L135" s="33" t="str">
        <f aca="false">IF($B135="","",IF(NOT(ISNUMBER($B135)),"日期格式不对",IF($C135="","未选项目编号",IF(LEFT($M135,1)="⚠","项目编号不存在",IF($D135="","未选业务类型",IF($E135="","未选开票/付款方",IF(ISNA(MATCH($E135,单位档案!$A$6:$A$35,0)),"开票方不在单位档案",IF($F135="","未选收票/收款方",IF(ISNA(MATCH($F135,单位档案!$A$6:$A$35,0)),"收款方不在单位档案",IF(NOT(ISNUMBER($H135)),"金额须为数字",IF(AND($D135="销项开票",$N135="—"),"链条待确认","√")))))))))))</f>
        <v>√</v>
      </c>
      <c r="M135" s="34" t="str">
        <f aca="false">IF($C135="","",IFERROR(INDEX(项目档案!$B$6:$B$255,MATCH($C135,项目档案!$A$6:$A$255,0)),"⚠项目编号不存在"))</f>
        <v>重庆德誉佳实业有限公司2025-2026年度工程用特种设备租赁服务框架采购-铜梁公司2025年成本类优化营商环境项目（平滩所何银强等5个低压业扩工程）</v>
      </c>
      <c r="N135" s="35" t="str">
        <f aca="false">IF($E135="","",IF($E135=IFERROR(INDEX(项目档案!$D$6:$D$255,MATCH($C135,项目档案!$A$6:$A$255,0)),""),"一级",IF($E135=IFERROR(INDEX(项目档案!$F$6:$F$255,MATCH($C135,项目档案!$A$6:$A$255,0)),""),"二级",IF($E135=IFERROR(INDEX(项目档案!$H$6:$H$255,MATCH($C135,项目档案!$A$6:$A$255,0)),""),"我方","—"))))</f>
        <v>—</v>
      </c>
      <c r="O135" s="36" t="n">
        <f aca="false">IF($D135&lt;&gt;"销项开票",0,ROUND(N($H135)*N($I135),2))</f>
        <v>0</v>
      </c>
      <c r="P135" s="36" t="n">
        <f aca="false">IF($D135&lt;&gt;"销项开票",0,ROUND(N($H135)-$O135,2))</f>
        <v>0</v>
      </c>
      <c r="Q135" s="37" t="n">
        <f aca="false">IF($E135="","",N(IFERROR(INDEX(单位档案!$E$6:$E$35,MATCH($E135,单位档案!$A$6:$A$35,0)),"")))</f>
        <v>0</v>
      </c>
      <c r="R135" s="37" t="n">
        <f aca="false">IF($E135="","",N(IFERROR(INDEX(单位档案!$F$6:$F$35,MATCH($E135,单位档案!$A$6:$A$35,0)),"")))</f>
        <v>0</v>
      </c>
      <c r="S135" s="36" t="n">
        <f aca="false">IF(OR($D135&lt;&gt;"销项开票",IFERROR(INDEX(单位档案!$G$6:$G$35,MATCH($E135,单位档案!$A$6:$A$35,0)),"")&lt;&gt;"是",N($Q135)=0),0,IF(IFERROR(INDEX(单位档案!$H$6:$H$35,MATCH($E135,单位档案!$A$6:$A$35,0)),"")="税差法",ROUND(N($H135)/(1+$Q135)*$Q135-IF(N($R135)=0,0,$P135/(1+$R135)*$R135),2),ROUND(N($H135)/(1+$Q135)*$Q135,2)))</f>
        <v>0</v>
      </c>
      <c r="T135" s="36" t="n">
        <f aca="false">ROUND($S135*N(IFERROR(INDEX(单位档案!$J$6:$J$35,MATCH($E135,单位档案!$A$6:$A$35,0)),"")),2)</f>
        <v>0</v>
      </c>
      <c r="U135" s="36" t="n">
        <f aca="false">IF($D135&lt;&gt;"销项开票",0,ROUND(N($H135)*N(IFERROR(INDEX(单位档案!$K$6:$K$35,MATCH($E135,单位档案!$A$6:$A$35,0)),"")),2))</f>
        <v>0</v>
      </c>
      <c r="V135" s="36" t="n">
        <f aca="false">IF(OR($D135&lt;&gt;"销项开票",N($Q135)=0),0,ROUND(N($H135)/(1+$Q135)*N(IFERROR(INDEX(单位档案!$L$6:$L$35,MATCH($E135,单位档案!$A$6:$A$35,0)),"")),2))</f>
        <v>0</v>
      </c>
      <c r="W135" s="36" t="n">
        <f aca="false">ROUND($S135+$T135+$U135+$V135,2)</f>
        <v>0</v>
      </c>
      <c r="X135" s="35" t="n">
        <f aca="false">IF(OR($D135="挂靠代收",$D135="我方收款"),COUNTIFS($D$5:$D135,"挂靠代收")+COUNTIFS($D$5:$D135,"我方收款"),"")</f>
        <v>9</v>
      </c>
      <c r="Y135" s="35" t="s">
        <v>106</v>
      </c>
      <c r="Z135" s="21" t="s">
        <v>111</v>
      </c>
    </row>
    <row r="136" customFormat="false" ht="15.75" hidden="false" customHeight="true" outlineLevel="0" collapsed="false">
      <c r="A136" s="32" t="n">
        <f aca="false">IF($B136="","",ROW()-4)</f>
        <v>132</v>
      </c>
      <c r="B136" s="26" t="n">
        <v>46177</v>
      </c>
      <c r="C136" s="24" t="s">
        <v>185</v>
      </c>
      <c r="D136" s="21" t="s">
        <v>320</v>
      </c>
      <c r="E136" s="21" t="s">
        <v>106</v>
      </c>
      <c r="F136" s="21" t="s">
        <v>127</v>
      </c>
      <c r="G136" s="21"/>
      <c r="H136" s="27" t="n">
        <v>5330.51</v>
      </c>
      <c r="I136" s="23" t="str">
        <f aca="false">IF($D136&lt;&gt;"销项开票","",IF($N136="一级",IF(IFERROR(INDEX(项目档案!$E$6:$E$255,MATCH($C136,项目档案!$A$6:$A$255,0)),"")="",N(IFERROR(INDEX(单位档案!$D$6:$D$35,MATCH($E136,单位档案!$A$6:$A$35,0)),"")),IFERROR(INDEX(项目档案!$E$6:$E$255,MATCH($C136,项目档案!$A$6:$A$255,0)),"")),IF($N136="二级",IF(IFERROR(INDEX(项目档案!$G$6:$G$255,MATCH($C136,项目档案!$A$6:$A$255,0)),"")="",N(IFERROR(INDEX(单位档案!$D$6:$D$35,MATCH($E136,单位档案!$A$6:$A$35,0)),"")),IFERROR(INDEX(项目档案!$G$6:$G$255,MATCH($C136,项目档案!$A$6:$A$255,0)),"")),N(IFERROR(INDEX(单位档案!$D$6:$D$35,MATCH($E136,单位档案!$A$6:$A$35,0)),"")))))</f>
        <v/>
      </c>
      <c r="J136" s="25" t="s">
        <v>437</v>
      </c>
      <c r="K136" s="22" t="s">
        <v>313</v>
      </c>
      <c r="L136" s="33" t="str">
        <f aca="false">IF($B136="","",IF(NOT(ISNUMBER($B136)),"日期格式不对",IF($C136="","未选项目编号",IF(LEFT($M136,1)="⚠","项目编号不存在",IF($D136="","未选业务类型",IF($E136="","未选开票/付款方",IF(ISNA(MATCH($E136,单位档案!$A$6:$A$35,0)),"开票方不在单位档案",IF($F136="","未选收票/收款方",IF(ISNA(MATCH($F136,单位档案!$A$6:$A$35,0)),"收款方不在单位档案",IF(NOT(ISNUMBER($H136)),"金额须为数字",IF(AND($D136="销项开票",$N136="—"),"链条待确认","√")))))))))))</f>
        <v>√</v>
      </c>
      <c r="M136" s="34" t="str">
        <f aca="false">IF($C136="","",IFERROR(INDEX(项目档案!$B$6:$B$255,MATCH($C136,项目档案!$A$6:$A$255,0)),"⚠项目编号不存在"))</f>
        <v>重庆德誉佳实业有限公司2025-2026年度工程用特种设备租赁服务框架采购-铜梁公司2025年成本类优化营商环境项目（平滩所何银强等5个低压业扩工程）</v>
      </c>
      <c r="N136" s="35" t="str">
        <f aca="false">IF($E136="","",IF($E136=IFERROR(INDEX(项目档案!$D$6:$D$255,MATCH($C136,项目档案!$A$6:$A$255,0)),""),"一级",IF($E136=IFERROR(INDEX(项目档案!$F$6:$F$255,MATCH($C136,项目档案!$A$6:$A$255,0)),""),"二级",IF($E136=IFERROR(INDEX(项目档案!$H$6:$H$255,MATCH($C136,项目档案!$A$6:$A$255,0)),""),"我方","—"))))</f>
        <v>一级</v>
      </c>
      <c r="O136" s="36" t="n">
        <f aca="false">IF($D136&lt;&gt;"销项开票",0,ROUND(N($H136)*N($I136),2))</f>
        <v>0</v>
      </c>
      <c r="P136" s="36" t="n">
        <f aca="false">IF($D136&lt;&gt;"销项开票",0,ROUND(N($H136)-$O136,2))</f>
        <v>0</v>
      </c>
      <c r="Q136" s="37" t="n">
        <f aca="false">IF($E136="","",N(IFERROR(INDEX(单位档案!$E$6:$E$35,MATCH($E136,单位档案!$A$6:$A$35,0)),"")))</f>
        <v>0.13</v>
      </c>
      <c r="R136" s="37" t="n">
        <f aca="false">IF($E136="","",N(IFERROR(INDEX(单位档案!$F$6:$F$35,MATCH($E136,单位档案!$A$6:$A$35,0)),"")))</f>
        <v>0.13</v>
      </c>
      <c r="S136" s="36" t="n">
        <f aca="false">IF(OR($D136&lt;&gt;"销项开票",IFERROR(INDEX(单位档案!$G$6:$G$35,MATCH($E136,单位档案!$A$6:$A$35,0)),"")&lt;&gt;"是",N($Q136)=0),0,IF(IFERROR(INDEX(单位档案!$H$6:$H$35,MATCH($E136,单位档案!$A$6:$A$35,0)),"")="税差法",ROUND(N($H136)/(1+$Q136)*$Q136-IF(N($R136)=0,0,$P136/(1+$R136)*$R136),2),ROUND(N($H136)/(1+$Q136)*$Q136,2)))</f>
        <v>0</v>
      </c>
      <c r="T136" s="36" t="n">
        <f aca="false">ROUND($S136*N(IFERROR(INDEX(单位档案!$J$6:$J$35,MATCH($E136,单位档案!$A$6:$A$35,0)),"")),2)</f>
        <v>0</v>
      </c>
      <c r="U136" s="36" t="n">
        <f aca="false">IF($D136&lt;&gt;"销项开票",0,ROUND(N($H136)*N(IFERROR(INDEX(单位档案!$K$6:$K$35,MATCH($E136,单位档案!$A$6:$A$35,0)),"")),2))</f>
        <v>0</v>
      </c>
      <c r="V136" s="36" t="n">
        <f aca="false">IF(OR($D136&lt;&gt;"销项开票",N($Q136)=0),0,ROUND(N($H136)/(1+$Q136)*N(IFERROR(INDEX(单位档案!$L$6:$L$35,MATCH($E136,单位档案!$A$6:$A$35,0)),"")),2))</f>
        <v>0</v>
      </c>
      <c r="W136" s="36" t="n">
        <f aca="false">ROUND($S136+$T136+$U136+$V136,2)</f>
        <v>0</v>
      </c>
      <c r="X136" s="35" t="n">
        <f aca="false">IF(OR($D136="挂靠代收",$D136="我方收款"),COUNTIFS($D$5:$D136,"挂靠代收")+COUNTIFS($D$5:$D136,"我方收款"),"")</f>
        <v>10</v>
      </c>
      <c r="Y136" s="35" t="s">
        <v>106</v>
      </c>
      <c r="Z136" s="21" t="s">
        <v>111</v>
      </c>
    </row>
    <row r="137" customFormat="false" ht="15.75" hidden="false" customHeight="true" outlineLevel="0" collapsed="false">
      <c r="A137" s="32" t="n">
        <f aca="false">IF($B137="","",ROW()-4)</f>
        <v>133</v>
      </c>
      <c r="B137" s="26" t="n">
        <v>46181</v>
      </c>
      <c r="C137" s="24" t="s">
        <v>197</v>
      </c>
      <c r="D137" s="21" t="s">
        <v>307</v>
      </c>
      <c r="E137" s="21" t="s">
        <v>117</v>
      </c>
      <c r="F137" s="21" t="s">
        <v>97</v>
      </c>
      <c r="G137" s="24" t="s">
        <v>394</v>
      </c>
      <c r="H137" s="27" t="n">
        <v>50000</v>
      </c>
      <c r="I137" s="23" t="n">
        <f aca="false">IF($D137&lt;&gt;"销项开票","",IF($N137="一级",IF(IFERROR(INDEX(项目档案!$E$6:$E$255,MATCH($C137,项目档案!$A$6:$A$255,0)),"")="",N(IFERROR(INDEX(单位档案!$D$6:$D$35,MATCH($E137,单位档案!$A$6:$A$35,0)),"")),IFERROR(INDEX(项目档案!$E$6:$E$255,MATCH($C137,项目档案!$A$6:$A$255,0)),"")),IF($N137="二级",IF(IFERROR(INDEX(项目档案!$G$6:$G$255,MATCH($C137,项目档案!$A$6:$A$255,0)),"")="",N(IFERROR(INDEX(单位档案!$D$6:$D$35,MATCH($E137,单位档案!$A$6:$A$35,0)),"")),IFERROR(INDEX(项目档案!$G$6:$G$255,MATCH($C137,项目档案!$A$6:$A$255,0)),"")),N(IFERROR(INDEX(单位档案!$D$6:$D$35,MATCH($E137,单位档案!$A$6:$A$35,0)),"")))))</f>
        <v>0.02</v>
      </c>
      <c r="J137" s="25" t="s">
        <v>438</v>
      </c>
      <c r="K137" s="22" t="s">
        <v>313</v>
      </c>
      <c r="L137" s="33" t="str">
        <f aca="false">IF($B137="","",IF(NOT(ISNUMBER($B137)),"日期格式不对",IF($C137="","未选项目编号",IF(LEFT($M137,1)="⚠","项目编号不存在",IF($D137="","未选业务类型",IF($E137="","未选开票/付款方",IF(ISNA(MATCH($E137,单位档案!$A$6:$A$35,0)),"开票方不在单位档案",IF($F137="","未选收票/收款方",IF(ISNA(MATCH($F137,单位档案!$A$6:$A$35,0)),"收款方不在单位档案",IF(NOT(ISNUMBER($H137)),"金额须为数字",IF(AND($D137="销项开票",$N137="—"),"链条待确认","√")))))))))))</f>
        <v>√</v>
      </c>
      <c r="M137" s="34" t="str">
        <f aca="false">IF($C137="","",IFERROR(INDEX(项目档案!$B$6:$B$255,MATCH($C137,项目档案!$A$6:$A$255,0)),"⚠项目编号不存在"))</f>
        <v>围龙镇巴岳农庄项目(桥亭水云居项目)双电源工程</v>
      </c>
      <c r="N137" s="35" t="str">
        <f aca="false">IF($E137="","",IF($E137=IFERROR(INDEX(项目档案!$D$6:$D$255,MATCH($C137,项目档案!$A$6:$A$255,0)),""),"一级",IF($E137=IFERROR(INDEX(项目档案!$F$6:$F$255,MATCH($C137,项目档案!$A$6:$A$255,0)),""),"二级",IF($E137=IFERROR(INDEX(项目档案!$H$6:$H$255,MATCH($C137,项目档案!$A$6:$A$255,0)),""),"我方","—"))))</f>
        <v>一级</v>
      </c>
      <c r="O137" s="36" t="n">
        <f aca="false">IF($D137&lt;&gt;"销项开票",0,ROUND(N($H137)*N($I137),2))</f>
        <v>1000</v>
      </c>
      <c r="P137" s="36" t="n">
        <f aca="false">IF($D137&lt;&gt;"销项开票",0,ROUND(N($H137)-$O137,2))</f>
        <v>49000</v>
      </c>
      <c r="Q137" s="37" t="n">
        <f aca="false">IF($E137="","",N(IFERROR(INDEX(单位档案!$E$6:$E$35,MATCH($E137,单位档案!$A$6:$A$35,0)),"")))</f>
        <v>0.03</v>
      </c>
      <c r="R137" s="37" t="n">
        <f aca="false">IF($E137="","",N(IFERROR(INDEX(单位档案!$F$6:$F$35,MATCH($E137,单位档案!$A$6:$A$35,0)),"")))</f>
        <v>0.03</v>
      </c>
      <c r="S137" s="36" t="n">
        <f aca="false">IF(OR($D137&lt;&gt;"销项开票",IFERROR(INDEX(单位档案!$G$6:$G$35,MATCH($E137,单位档案!$A$6:$A$35,0)),"")&lt;&gt;"是",N($Q137)=0),0,IF(IFERROR(INDEX(单位档案!$H$6:$H$35,MATCH($E137,单位档案!$A$6:$A$35,0)),"")="税差法",ROUND(N($H137)/(1+$Q137)*$Q137-IF(N($R137)=0,0,$P137/(1+$R137)*$R137),2),ROUND(N($H137)/(1+$Q137)*$Q137,2)))</f>
        <v>1456.31</v>
      </c>
      <c r="T137" s="36" t="n">
        <f aca="false">ROUND($S137*N(IFERROR(INDEX(单位档案!$J$6:$J$35,MATCH($E137,单位档案!$A$6:$A$35,0)),"")),2)</f>
        <v>87.38</v>
      </c>
      <c r="U137" s="36" t="n">
        <f aca="false">IF($D137&lt;&gt;"销项开票",0,ROUND(N($H137)*N(IFERROR(INDEX(单位档案!$K$6:$K$35,MATCH($E137,单位档案!$A$6:$A$35,0)),"")),2))</f>
        <v>0</v>
      </c>
      <c r="V137" s="36" t="n">
        <f aca="false">IF(OR($D137&lt;&gt;"销项开票",N($Q137)=0),0,ROUND(N($H137)/(1+$Q137)*N(IFERROR(INDEX(单位档案!$L$6:$L$35,MATCH($E137,单位档案!$A$6:$A$35,0)),"")),2))</f>
        <v>97.09</v>
      </c>
      <c r="W137" s="36" t="n">
        <f aca="false">ROUND($S137+$T137+$U137+$V137,2)</f>
        <v>1640.78</v>
      </c>
      <c r="X137" s="35" t="str">
        <f aca="false">IF(OR($D137="挂靠代收",$D137="我方收款"),COUNTIFS($D$5:$D137,"挂靠代收")+COUNTIFS($D$5:$D137,"我方收款"),"")</f>
        <v/>
      </c>
      <c r="Y137" s="35" t="s">
        <v>117</v>
      </c>
      <c r="Z137" s="21" t="s">
        <v>111</v>
      </c>
    </row>
    <row r="138" customFormat="false" ht="15.75" hidden="false" customHeight="true" outlineLevel="0" collapsed="false">
      <c r="A138" s="32" t="n">
        <f aca="false">IF($B138="","",ROW()-4)</f>
        <v>134</v>
      </c>
      <c r="B138" s="26" t="n">
        <v>46188</v>
      </c>
      <c r="C138" s="24" t="s">
        <v>183</v>
      </c>
      <c r="D138" s="21" t="s">
        <v>307</v>
      </c>
      <c r="E138" s="21" t="s">
        <v>117</v>
      </c>
      <c r="F138" s="21" t="s">
        <v>119</v>
      </c>
      <c r="G138" s="24" t="s">
        <v>316</v>
      </c>
      <c r="H138" s="27" t="n">
        <v>16859.55</v>
      </c>
      <c r="I138" s="23" t="n">
        <f aca="false">IF($D138&lt;&gt;"销项开票","",IF($N138="一级",IF(IFERROR(INDEX(项目档案!$E$6:$E$255,MATCH($C138,项目档案!$A$6:$A$255,0)),"")="",N(IFERROR(INDEX(单位档案!$D$6:$D$35,MATCH($E138,单位档案!$A$6:$A$35,0)),"")),IFERROR(INDEX(项目档案!$E$6:$E$255,MATCH($C138,项目档案!$A$6:$A$255,0)),"")),IF($N138="二级",IF(IFERROR(INDEX(项目档案!$G$6:$G$255,MATCH($C138,项目档案!$A$6:$A$255,0)),"")="",N(IFERROR(INDEX(单位档案!$D$6:$D$35,MATCH($E138,单位档案!$A$6:$A$35,0)),"")),IFERROR(INDEX(项目档案!$G$6:$G$255,MATCH($C138,项目档案!$A$6:$A$255,0)),"")),N(IFERROR(INDEX(单位档案!$D$6:$D$35,MATCH($E138,单位档案!$A$6:$A$35,0)),"")))))</f>
        <v>0.02</v>
      </c>
      <c r="J138" s="25" t="s">
        <v>439</v>
      </c>
      <c r="K138" s="22" t="s">
        <v>313</v>
      </c>
      <c r="L138" s="33" t="str">
        <f aca="false">IF($B138="","",IF(NOT(ISNUMBER($B138)),"日期格式不对",IF($C138="","未选项目编号",IF(LEFT($M138,1)="⚠","项目编号不存在",IF($D138="","未选业务类型",IF($E138="","未选开票/付款方",IF(ISNA(MATCH($E138,单位档案!$A$6:$A$35,0)),"开票方不在单位档案",IF($F138="","未选收票/收款方",IF(ISNA(MATCH($F138,单位档案!$A$6:$A$35,0)),"收款方不在单位档案",IF(NOT(ISNUMBER($H138)),"金额须为数字",IF(AND($D138="销项开票",$N138="—"),"链条待确认","√")))))))))))</f>
        <v>√</v>
      </c>
      <c r="M138" s="34" t="str">
        <f aca="false">IF($C138="","",IFERROR(INDEX(项目档案!$B$6:$B$255,MATCH($C138,项目档案!$A$6:$A$255,0)),"⚠项目编号不存在"))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138" s="35" t="str">
        <f aca="false">IF($E138="","",IF($E138=IFERROR(INDEX(项目档案!$D$6:$D$255,MATCH($C138,项目档案!$A$6:$A$255,0)),""),"一级",IF($E138=IFERROR(INDEX(项目档案!$F$6:$F$255,MATCH($C138,项目档案!$A$6:$A$255,0)),""),"二级",IF($E138=IFERROR(INDEX(项目档案!$H$6:$H$255,MATCH($C138,项目档案!$A$6:$A$255,0)),""),"我方","—"))))</f>
        <v>二级</v>
      </c>
      <c r="O138" s="36" t="n">
        <f aca="false">IF($D138&lt;&gt;"销项开票",0,ROUND(N($H138)*N($I138),2))</f>
        <v>337.19</v>
      </c>
      <c r="P138" s="36" t="n">
        <f aca="false">IF($D138&lt;&gt;"销项开票",0,ROUND(N($H138)-$O138,2))</f>
        <v>16522.36</v>
      </c>
      <c r="Q138" s="37" t="n">
        <f aca="false">IF($E138="","",N(IFERROR(INDEX(单位档案!$E$6:$E$35,MATCH($E138,单位档案!$A$6:$A$35,0)),"")))</f>
        <v>0.03</v>
      </c>
      <c r="R138" s="37" t="n">
        <f aca="false">IF($E138="","",N(IFERROR(INDEX(单位档案!$F$6:$F$35,MATCH($E138,单位档案!$A$6:$A$35,0)),"")))</f>
        <v>0.03</v>
      </c>
      <c r="S138" s="36" t="n">
        <f aca="false">IF(OR($D138&lt;&gt;"销项开票",IFERROR(INDEX(单位档案!$G$6:$G$35,MATCH($E138,单位档案!$A$6:$A$35,0)),"")&lt;&gt;"是",N($Q138)=0),0,IF(IFERROR(INDEX(单位档案!$H$6:$H$35,MATCH($E138,单位档案!$A$6:$A$35,0)),"")="税差法",ROUND(N($H138)/(1+$Q138)*$Q138-IF(N($R138)=0,0,$P138/(1+$R138)*$R138),2),ROUND(N($H138)/(1+$Q138)*$Q138,2)))</f>
        <v>491.05</v>
      </c>
      <c r="T138" s="36" t="n">
        <f aca="false">ROUND($S138*N(IFERROR(INDEX(单位档案!$J$6:$J$35,MATCH($E138,单位档案!$A$6:$A$35,0)),"")),2)</f>
        <v>29.46</v>
      </c>
      <c r="U138" s="36" t="n">
        <f aca="false">IF($D138&lt;&gt;"销项开票",0,ROUND(N($H138)*N(IFERROR(INDEX(单位档案!$K$6:$K$35,MATCH($E138,单位档案!$A$6:$A$35,0)),"")),2))</f>
        <v>0</v>
      </c>
      <c r="V138" s="36" t="n">
        <f aca="false">IF(OR($D138&lt;&gt;"销项开票",N($Q138)=0),0,ROUND(N($H138)/(1+$Q138)*N(IFERROR(INDEX(单位档案!$L$6:$L$35,MATCH($E138,单位档案!$A$6:$A$35,0)),"")),2))</f>
        <v>32.74</v>
      </c>
      <c r="W138" s="36" t="n">
        <f aca="false">ROUND($S138+$T138+$U138+$V138,2)</f>
        <v>553.25</v>
      </c>
      <c r="X138" s="35" t="str">
        <f aca="false">IF(OR($D138="挂靠代收",$D138="我方收款"),COUNTIFS($D$5:$D138,"挂靠代收")+COUNTIFS($D$5:$D138,"我方收款"),"")</f>
        <v/>
      </c>
      <c r="Y138" s="35" t="s">
        <v>117</v>
      </c>
      <c r="Z138" s="21" t="s">
        <v>111</v>
      </c>
    </row>
    <row r="139" customFormat="false" ht="15.75" hidden="false" customHeight="true" outlineLevel="0" collapsed="false">
      <c r="A139" s="32" t="n">
        <f aca="false">IF($B139="","",ROW()-4)</f>
        <v>135</v>
      </c>
      <c r="B139" s="26" t="n">
        <v>46188</v>
      </c>
      <c r="C139" s="24" t="s">
        <v>195</v>
      </c>
      <c r="D139" s="21" t="s">
        <v>320</v>
      </c>
      <c r="E139" s="21" t="s">
        <v>117</v>
      </c>
      <c r="F139" s="21" t="s">
        <v>127</v>
      </c>
      <c r="G139" s="21"/>
      <c r="H139" s="27" t="n">
        <v>4539.92</v>
      </c>
      <c r="I139" s="23" t="str">
        <f aca="false">IF($D139&lt;&gt;"销项开票","",IF($N139="一级",IF(IFERROR(INDEX(项目档案!$E$6:$E$255,MATCH($C139,项目档案!$A$6:$A$255,0)),"")="",N(IFERROR(INDEX(单位档案!$D$6:$D$35,MATCH($E139,单位档案!$A$6:$A$35,0)),"")),IFERROR(INDEX(项目档案!$E$6:$E$255,MATCH($C139,项目档案!$A$6:$A$255,0)),"")),IF($N139="二级",IF(IFERROR(INDEX(项目档案!$G$6:$G$255,MATCH($C139,项目档案!$A$6:$A$255,0)),"")="",N(IFERROR(INDEX(单位档案!$D$6:$D$35,MATCH($E139,单位档案!$A$6:$A$35,0)),"")),IFERROR(INDEX(项目档案!$G$6:$G$255,MATCH($C139,项目档案!$A$6:$A$255,0)),"")),N(IFERROR(INDEX(单位档案!$D$6:$D$35,MATCH($E139,单位档案!$A$6:$A$35,0)),"")))))</f>
        <v/>
      </c>
      <c r="J139" s="25" t="s">
        <v>440</v>
      </c>
      <c r="K139" s="22" t="s">
        <v>313</v>
      </c>
      <c r="L139" s="33" t="str">
        <f aca="false">IF($B139="","",IF(NOT(ISNUMBER($B139)),"日期格式不对",IF($C139="","未选项目编号",IF(LEFT($M139,1)="⚠","项目编号不存在",IF($D139="","未选业务类型",IF($E139="","未选开票/付款方",IF(ISNA(MATCH($E139,单位档案!$A$6:$A$35,0)),"开票方不在单位档案",IF($F139="","未选收票/收款方",IF(ISNA(MATCH($F139,单位档案!$A$6:$A$35,0)),"收款方不在单位档案",IF(NOT(ISNUMBER($H139)),"金额须为数字",IF(AND($D139="销项开票",$N139="—"),"链条待确认","√")))))))))))</f>
        <v>√</v>
      </c>
      <c r="M139" s="34" t="str">
        <f aca="false">IF($C139="","",IFERROR(INDEX(项目档案!$B$6:$B$255,MATCH($C139,项目档案!$A$6:$A$255,0)),"⚠项目编号不存在"))</f>
        <v>铜梁区园区屋顶分布式光伏发电建设项目-10kV电力新建工程（康欣3W，泓普6W）</v>
      </c>
      <c r="N139" s="35" t="str">
        <f aca="false">IF($E139="","",IF($E139=IFERROR(INDEX(项目档案!$D$6:$D$255,MATCH($C139,项目档案!$A$6:$A$255,0)),""),"一级",IF($E139=IFERROR(INDEX(项目档案!$F$6:$F$255,MATCH($C139,项目档案!$A$6:$A$255,0)),""),"二级",IF($E139=IFERROR(INDEX(项目档案!$H$6:$H$255,MATCH($C139,项目档案!$A$6:$A$255,0)),""),"我方","—"))))</f>
        <v>一级</v>
      </c>
      <c r="O139" s="36" t="n">
        <f aca="false">IF($D139&lt;&gt;"销项开票",0,ROUND(N($H139)*N($I139),2))</f>
        <v>0</v>
      </c>
      <c r="P139" s="36" t="n">
        <f aca="false">IF($D139&lt;&gt;"销项开票",0,ROUND(N($H139)-$O139,2))</f>
        <v>0</v>
      </c>
      <c r="Q139" s="37" t="n">
        <f aca="false">IF($E139="","",N(IFERROR(INDEX(单位档案!$E$6:$E$35,MATCH($E139,单位档案!$A$6:$A$35,0)),"")))</f>
        <v>0.03</v>
      </c>
      <c r="R139" s="37" t="n">
        <f aca="false">IF($E139="","",N(IFERROR(INDEX(单位档案!$F$6:$F$35,MATCH($E139,单位档案!$A$6:$A$35,0)),"")))</f>
        <v>0.03</v>
      </c>
      <c r="S139" s="36" t="n">
        <f aca="false">IF(OR($D139&lt;&gt;"销项开票",IFERROR(INDEX(单位档案!$G$6:$G$35,MATCH($E139,单位档案!$A$6:$A$35,0)),"")&lt;&gt;"是",N($Q139)=0),0,IF(IFERROR(INDEX(单位档案!$H$6:$H$35,MATCH($E139,单位档案!$A$6:$A$35,0)),"")="税差法",ROUND(N($H139)/(1+$Q139)*$Q139-IF(N($R139)=0,0,$P139/(1+$R139)*$R139),2),ROUND(N($H139)/(1+$Q139)*$Q139,2)))</f>
        <v>0</v>
      </c>
      <c r="T139" s="36" t="n">
        <f aca="false">ROUND($S139*N(IFERROR(INDEX(单位档案!$J$6:$J$35,MATCH($E139,单位档案!$A$6:$A$35,0)),"")),2)</f>
        <v>0</v>
      </c>
      <c r="U139" s="36" t="n">
        <f aca="false">IF($D139&lt;&gt;"销项开票",0,ROUND(N($H139)*N(IFERROR(INDEX(单位档案!$K$6:$K$35,MATCH($E139,单位档案!$A$6:$A$35,0)),"")),2))</f>
        <v>0</v>
      </c>
      <c r="V139" s="36" t="n">
        <f aca="false">IF(OR($D139&lt;&gt;"销项开票",N($Q139)=0),0,ROUND(N($H139)/(1+$Q139)*N(IFERROR(INDEX(单位档案!$L$6:$L$35,MATCH($E139,单位档案!$A$6:$A$35,0)),"")),2))</f>
        <v>0</v>
      </c>
      <c r="W139" s="36" t="n">
        <f aca="false">ROUND($S139+$T139+$U139+$V139,2)</f>
        <v>0</v>
      </c>
      <c r="X139" s="35" t="n">
        <f aca="false">IF(OR($D139="挂靠代收",$D139="我方收款"),COUNTIFS($D$5:$D139,"挂靠代收")+COUNTIFS($D$5:$D139,"我方收款"),"")</f>
        <v>11</v>
      </c>
      <c r="Y139" s="35" t="s">
        <v>117</v>
      </c>
      <c r="Z139" s="21" t="s">
        <v>111</v>
      </c>
    </row>
    <row r="140" customFormat="false" ht="15.75" hidden="false" customHeight="true" outlineLevel="0" collapsed="false">
      <c r="A140" s="32" t="n">
        <f aca="false">IF($B140="","",ROW()-4)</f>
        <v>136</v>
      </c>
      <c r="B140" s="26" t="n">
        <v>46188</v>
      </c>
      <c r="C140" s="24" t="s">
        <v>190</v>
      </c>
      <c r="D140" s="21" t="s">
        <v>307</v>
      </c>
      <c r="E140" s="21" t="s">
        <v>117</v>
      </c>
      <c r="F140" s="21" t="s">
        <v>119</v>
      </c>
      <c r="G140" s="24" t="s">
        <v>316</v>
      </c>
      <c r="H140" s="27" t="n">
        <v>32174.6</v>
      </c>
      <c r="I140" s="23" t="n">
        <f aca="false">IF($D140&lt;&gt;"销项开票","",IF($N140="一级",IF(IFERROR(INDEX(项目档案!$E$6:$E$255,MATCH($C140,项目档案!$A$6:$A$255,0)),"")="",N(IFERROR(INDEX(单位档案!$D$6:$D$35,MATCH($E140,单位档案!$A$6:$A$35,0)),"")),IFERROR(INDEX(项目档案!$E$6:$E$255,MATCH($C140,项目档案!$A$6:$A$255,0)),"")),IF($N140="二级",IF(IFERROR(INDEX(项目档案!$G$6:$G$255,MATCH($C140,项目档案!$A$6:$A$255,0)),"")="",N(IFERROR(INDEX(单位档案!$D$6:$D$35,MATCH($E140,单位档案!$A$6:$A$35,0)),"")),IFERROR(INDEX(项目档案!$G$6:$G$255,MATCH($C140,项目档案!$A$6:$A$255,0)),"")),N(IFERROR(INDEX(单位档案!$D$6:$D$35,MATCH($E140,单位档案!$A$6:$A$35,0)),"")))))</f>
        <v>0.02</v>
      </c>
      <c r="J140" s="25" t="s">
        <v>441</v>
      </c>
      <c r="K140" s="22" t="s">
        <v>442</v>
      </c>
      <c r="L140" s="33" t="str">
        <f aca="false">IF($B140="","",IF(NOT(ISNUMBER($B140)),"日期格式不对",IF($C140="","未选项目编号",IF(LEFT($M140,1)="⚠","项目编号不存在",IF($D140="","未选业务类型",IF($E140="","未选开票/付款方",IF(ISNA(MATCH($E140,单位档案!$A$6:$A$35,0)),"开票方不在单位档案",IF($F140="","未选收票/收款方",IF(ISNA(MATCH($F140,单位档案!$A$6:$A$35,0)),"收款方不在单位档案",IF(NOT(ISNUMBER($H140)),"金额须为数字",IF(AND($D140="销项开票",$N140="—"),"链条待确认","√")))))))))))</f>
        <v>√</v>
      </c>
      <c r="M140" s="34" t="str">
        <f aca="false">IF($C140="","",IFERROR(INDEX(项目档案!$B$6:$B$255,MATCH($C140,项目档案!$A$6:$A$255,0)),"⚠项目编号不存在"))</f>
        <v>重庆民能实业有限公司2025-2026年度工程用施工机具等租赁服务框架采购（国网重庆铜梁公司110kV金湖东西电缆改造）</v>
      </c>
      <c r="N140" s="35" t="str">
        <f aca="false">IF($E140="","",IF($E140=IFERROR(INDEX(项目档案!$D$6:$D$255,MATCH($C140,项目档案!$A$6:$A$255,0)),""),"一级",IF($E140=IFERROR(INDEX(项目档案!$F$6:$F$255,MATCH($C140,项目档案!$A$6:$A$255,0)),""),"二级",IF($E140=IFERROR(INDEX(项目档案!$H$6:$H$255,MATCH($C140,项目档案!$A$6:$A$255,0)),""),"我方","—"))))</f>
        <v>二级</v>
      </c>
      <c r="O140" s="36" t="n">
        <f aca="false">IF($D140&lt;&gt;"销项开票",0,ROUND(N($H140)*N($I140),2))</f>
        <v>643.49</v>
      </c>
      <c r="P140" s="36" t="n">
        <f aca="false">IF($D140&lt;&gt;"销项开票",0,ROUND(N($H140)-$O140,2))</f>
        <v>31531.11</v>
      </c>
      <c r="Q140" s="37" t="n">
        <f aca="false">IF($E140="","",N(IFERROR(INDEX(单位档案!$E$6:$E$35,MATCH($E140,单位档案!$A$6:$A$35,0)),"")))</f>
        <v>0.03</v>
      </c>
      <c r="R140" s="37" t="n">
        <f aca="false">IF($E140="","",N(IFERROR(INDEX(单位档案!$F$6:$F$35,MATCH($E140,单位档案!$A$6:$A$35,0)),"")))</f>
        <v>0.03</v>
      </c>
      <c r="S140" s="36" t="n">
        <f aca="false">IF(OR($D140&lt;&gt;"销项开票",IFERROR(INDEX(单位档案!$G$6:$G$35,MATCH($E140,单位档案!$A$6:$A$35,0)),"")&lt;&gt;"是",N($Q140)=0),0,IF(IFERROR(INDEX(单位档案!$H$6:$H$35,MATCH($E140,单位档案!$A$6:$A$35,0)),"")="税差法",ROUND(N($H140)/(1+$Q140)*$Q140-IF(N($R140)=0,0,$P140/(1+$R140)*$R140),2),ROUND(N($H140)/(1+$Q140)*$Q140,2)))</f>
        <v>937.12</v>
      </c>
      <c r="T140" s="36" t="n">
        <f aca="false">ROUND($S140*N(IFERROR(INDEX(单位档案!$J$6:$J$35,MATCH($E140,单位档案!$A$6:$A$35,0)),"")),2)</f>
        <v>56.23</v>
      </c>
      <c r="U140" s="36" t="n">
        <f aca="false">IF($D140&lt;&gt;"销项开票",0,ROUND(N($H140)*N(IFERROR(INDEX(单位档案!$K$6:$K$35,MATCH($E140,单位档案!$A$6:$A$35,0)),"")),2))</f>
        <v>0</v>
      </c>
      <c r="V140" s="36" t="n">
        <f aca="false">IF(OR($D140&lt;&gt;"销项开票",N($Q140)=0),0,ROUND(N($H140)/(1+$Q140)*N(IFERROR(INDEX(单位档案!$L$6:$L$35,MATCH($E140,单位档案!$A$6:$A$35,0)),"")),2))</f>
        <v>62.47</v>
      </c>
      <c r="W140" s="36" t="n">
        <f aca="false">ROUND($S140+$T140+$U140+$V140,2)</f>
        <v>1055.82</v>
      </c>
      <c r="X140" s="35" t="str">
        <f aca="false">IF(OR($D140="挂靠代收",$D140="我方收款"),COUNTIFS($D$5:$D140,"挂靠代收")+COUNTIFS($D$5:$D140,"我方收款"),"")</f>
        <v/>
      </c>
      <c r="Y140" s="35" t="s">
        <v>119</v>
      </c>
      <c r="Z140" s="21" t="s">
        <v>100</v>
      </c>
    </row>
    <row r="141" customFormat="false" ht="15.75" hidden="false" customHeight="true" outlineLevel="0" collapsed="false">
      <c r="A141" s="32" t="n">
        <f aca="false">IF($B141="","",ROW()-4)</f>
        <v>137</v>
      </c>
      <c r="B141" s="26" t="n">
        <v>46188</v>
      </c>
      <c r="C141" s="24" t="s">
        <v>190</v>
      </c>
      <c r="D141" s="21" t="s">
        <v>307</v>
      </c>
      <c r="E141" s="21" t="s">
        <v>117</v>
      </c>
      <c r="F141" s="21" t="s">
        <v>119</v>
      </c>
      <c r="G141" s="24" t="s">
        <v>316</v>
      </c>
      <c r="H141" s="27" t="n">
        <v>65688.7</v>
      </c>
      <c r="I141" s="23" t="n">
        <f aca="false">IF($D141&lt;&gt;"销项开票","",IF($N141="一级",IF(IFERROR(INDEX(项目档案!$E$6:$E$255,MATCH($C141,项目档案!$A$6:$A$255,0)),"")="",N(IFERROR(INDEX(单位档案!$D$6:$D$35,MATCH($E141,单位档案!$A$6:$A$35,0)),"")),IFERROR(INDEX(项目档案!$E$6:$E$255,MATCH($C141,项目档案!$A$6:$A$255,0)),"")),IF($N141="二级",IF(IFERROR(INDEX(项目档案!$G$6:$G$255,MATCH($C141,项目档案!$A$6:$A$255,0)),"")="",N(IFERROR(INDEX(单位档案!$D$6:$D$35,MATCH($E141,单位档案!$A$6:$A$35,0)),"")),IFERROR(INDEX(项目档案!$G$6:$G$255,MATCH($C141,项目档案!$A$6:$A$255,0)),"")),N(IFERROR(INDEX(单位档案!$D$6:$D$35,MATCH($E141,单位档案!$A$6:$A$35,0)),"")))))</f>
        <v>0.02</v>
      </c>
      <c r="J141" s="25" t="s">
        <v>443</v>
      </c>
      <c r="K141" s="22" t="s">
        <v>444</v>
      </c>
      <c r="L141" s="33" t="str">
        <f aca="false">IF($B141="","",IF(NOT(ISNUMBER($B141)),"日期格式不对",IF($C141="","未选项目编号",IF(LEFT($M141,1)="⚠","项目编号不存在",IF($D141="","未选业务类型",IF($E141="","未选开票/付款方",IF(ISNA(MATCH($E141,单位档案!$A$6:$A$35,0)),"开票方不在单位档案",IF($F141="","未选收票/收款方",IF(ISNA(MATCH($F141,单位档案!$A$6:$A$35,0)),"收款方不在单位档案",IF(NOT(ISNUMBER($H141)),"金额须为数字",IF(AND($D141="销项开票",$N141="—"),"链条待确认","√")))))))))))</f>
        <v>√</v>
      </c>
      <c r="M141" s="34" t="str">
        <f aca="false">IF($C141="","",IFERROR(INDEX(项目档案!$B$6:$B$255,MATCH($C141,项目档案!$A$6:$A$255,0)),"⚠项目编号不存在"))</f>
        <v>重庆民能实业有限公司2025-2026年度工程用施工机具等租赁服务框架采购（国网重庆铜梁公司110kV金湖东西电缆改造）</v>
      </c>
      <c r="N141" s="35" t="str">
        <f aca="false">IF($E141="","",IF($E141=IFERROR(INDEX(项目档案!$D$6:$D$255,MATCH($C141,项目档案!$A$6:$A$255,0)),""),"一级",IF($E141=IFERROR(INDEX(项目档案!$F$6:$F$255,MATCH($C141,项目档案!$A$6:$A$255,0)),""),"二级",IF($E141=IFERROR(INDEX(项目档案!$H$6:$H$255,MATCH($C141,项目档案!$A$6:$A$255,0)),""),"我方","—"))))</f>
        <v>二级</v>
      </c>
      <c r="O141" s="36" t="n">
        <f aca="false">IF($D141&lt;&gt;"销项开票",0,ROUND(N($H141)*N($I141),2))</f>
        <v>1313.77</v>
      </c>
      <c r="P141" s="36" t="n">
        <f aca="false">IF($D141&lt;&gt;"销项开票",0,ROUND(N($H141)-$O141,2))</f>
        <v>64374.93</v>
      </c>
      <c r="Q141" s="37" t="n">
        <f aca="false">IF($E141="","",N(IFERROR(INDEX(单位档案!$E$6:$E$35,MATCH($E141,单位档案!$A$6:$A$35,0)),"")))</f>
        <v>0.03</v>
      </c>
      <c r="R141" s="37" t="n">
        <f aca="false">IF($E141="","",N(IFERROR(INDEX(单位档案!$F$6:$F$35,MATCH($E141,单位档案!$A$6:$A$35,0)),"")))</f>
        <v>0.03</v>
      </c>
      <c r="S141" s="36" t="n">
        <f aca="false">IF(OR($D141&lt;&gt;"销项开票",IFERROR(INDEX(单位档案!$G$6:$G$35,MATCH($E141,单位档案!$A$6:$A$35,0)),"")&lt;&gt;"是",N($Q141)=0),0,IF(IFERROR(INDEX(单位档案!$H$6:$H$35,MATCH($E141,单位档案!$A$6:$A$35,0)),"")="税差法",ROUND(N($H141)/(1+$Q141)*$Q141-IF(N($R141)=0,0,$P141/(1+$R141)*$R141),2),ROUND(N($H141)/(1+$Q141)*$Q141,2)))</f>
        <v>1913.26</v>
      </c>
      <c r="T141" s="36" t="n">
        <f aca="false">ROUND($S141*N(IFERROR(INDEX(单位档案!$J$6:$J$35,MATCH($E141,单位档案!$A$6:$A$35,0)),"")),2)</f>
        <v>114.8</v>
      </c>
      <c r="U141" s="36" t="n">
        <f aca="false">IF($D141&lt;&gt;"销项开票",0,ROUND(N($H141)*N(IFERROR(INDEX(单位档案!$K$6:$K$35,MATCH($E141,单位档案!$A$6:$A$35,0)),"")),2))</f>
        <v>0</v>
      </c>
      <c r="V141" s="36" t="n">
        <f aca="false">IF(OR($D141&lt;&gt;"销项开票",N($Q141)=0),0,ROUND(N($H141)/(1+$Q141)*N(IFERROR(INDEX(单位档案!$L$6:$L$35,MATCH($E141,单位档案!$A$6:$A$35,0)),"")),2))</f>
        <v>127.55</v>
      </c>
      <c r="W141" s="36" t="n">
        <f aca="false">ROUND($S141+$T141+$U141+$V141,2)</f>
        <v>2155.61</v>
      </c>
      <c r="X141" s="35" t="str">
        <f aca="false">IF(OR($D141="挂靠代收",$D141="我方收款"),COUNTIFS($D$5:$D141,"挂靠代收")+COUNTIFS($D$5:$D141,"我方收款"),"")</f>
        <v/>
      </c>
      <c r="Y141" s="35" t="s">
        <v>119</v>
      </c>
      <c r="Z141" s="21" t="s">
        <v>100</v>
      </c>
    </row>
    <row r="142" customFormat="false" ht="15.75" hidden="false" customHeight="true" outlineLevel="0" collapsed="false">
      <c r="A142" s="32" t="n">
        <f aca="false">IF($B142="","",ROW()-4)</f>
        <v>138</v>
      </c>
      <c r="B142" s="26" t="n">
        <v>46188</v>
      </c>
      <c r="C142" s="24" t="s">
        <v>193</v>
      </c>
      <c r="D142" s="21" t="s">
        <v>307</v>
      </c>
      <c r="E142" s="21" t="s">
        <v>117</v>
      </c>
      <c r="F142" s="21" t="s">
        <v>119</v>
      </c>
      <c r="G142" s="24" t="s">
        <v>316</v>
      </c>
      <c r="H142" s="27" t="n">
        <v>66500</v>
      </c>
      <c r="I142" s="23" t="n">
        <f aca="false">IF($D142&lt;&gt;"销项开票","",IF($N142="一级",IF(IFERROR(INDEX(项目档案!$E$6:$E$255,MATCH($C142,项目档案!$A$6:$A$255,0)),"")="",N(IFERROR(INDEX(单位档案!$D$6:$D$35,MATCH($E142,单位档案!$A$6:$A$35,0)),"")),IFERROR(INDEX(项目档案!$E$6:$E$255,MATCH($C142,项目档案!$A$6:$A$255,0)),"")),IF($N142="二级",IF(IFERROR(INDEX(项目档案!$G$6:$G$255,MATCH($C142,项目档案!$A$6:$A$255,0)),"")="",N(IFERROR(INDEX(单位档案!$D$6:$D$35,MATCH($E142,单位档案!$A$6:$A$35,0)),"")),IFERROR(INDEX(项目档案!$G$6:$G$255,MATCH($C142,项目档案!$A$6:$A$255,0)),"")),N(IFERROR(INDEX(单位档案!$D$6:$D$35,MATCH($E142,单位档案!$A$6:$A$35,0)),"")))))</f>
        <v>0.02</v>
      </c>
      <c r="J142" s="25" t="s">
        <v>445</v>
      </c>
      <c r="K142" s="22" t="s">
        <v>446</v>
      </c>
      <c r="L142" s="33" t="str">
        <f aca="false">IF($B142="","",IF(NOT(ISNUMBER($B142)),"日期格式不对",IF($C142="","未选项目编号",IF(LEFT($M142,1)="⚠","项目编号不存在",IF($D142="","未选业务类型",IF($E142="","未选开票/付款方",IF(ISNA(MATCH($E142,单位档案!$A$6:$A$35,0)),"开票方不在单位档案",IF($F142="","未选收票/收款方",IF(ISNA(MATCH($F142,单位档案!$A$6:$A$35,0)),"收款方不在单位档案",IF(NOT(ISNUMBER($H142)),"金额须为数字",IF(AND($D142="销项开票",$N142="—"),"链条待确认","√")))))))))))</f>
        <v>链条待确认</v>
      </c>
      <c r="M142" s="34" t="str">
        <f aca="false">IF($C142="","",IFERROR(INDEX(项目档案!$B$6:$B$255,MATCH($C142,项目档案!$A$6:$A$255,0)),"⚠项目编号不存在"))</f>
        <v>铜梁区园区屋顶分布式光伏发电建设项目-10kV电力新建工程（康欣3W，泓普7W）</v>
      </c>
      <c r="N142" s="35" t="str">
        <f aca="false">IF($E142="","",IF($E142=IFERROR(INDEX(项目档案!$D$6:$D$255,MATCH($C142,项目档案!$A$6:$A$255,0)),""),"一级",IF($E142=IFERROR(INDEX(项目档案!$F$6:$F$255,MATCH($C142,项目档案!$A$6:$A$255,0)),""),"二级",IF($E142=IFERROR(INDEX(项目档案!$H$6:$H$255,MATCH($C142,项目档案!$A$6:$A$255,0)),""),"我方","—"))))</f>
        <v>—</v>
      </c>
      <c r="O142" s="36" t="n">
        <f aca="false">IF($D142&lt;&gt;"销项开票",0,ROUND(N($H142)*N($I142),2))</f>
        <v>1330</v>
      </c>
      <c r="P142" s="36" t="n">
        <f aca="false">IF($D142&lt;&gt;"销项开票",0,ROUND(N($H142)-$O142,2))</f>
        <v>65170</v>
      </c>
      <c r="Q142" s="37" t="n">
        <f aca="false">IF($E142="","",N(IFERROR(INDEX(单位档案!$E$6:$E$35,MATCH($E142,单位档案!$A$6:$A$35,0)),"")))</f>
        <v>0.03</v>
      </c>
      <c r="R142" s="37" t="n">
        <f aca="false">IF($E142="","",N(IFERROR(INDEX(单位档案!$F$6:$F$35,MATCH($E142,单位档案!$A$6:$A$35,0)),"")))</f>
        <v>0.03</v>
      </c>
      <c r="S142" s="36" t="n">
        <f aca="false">IF(OR($D142&lt;&gt;"销项开票",IFERROR(INDEX(单位档案!$G$6:$G$35,MATCH($E142,单位档案!$A$6:$A$35,0)),"")&lt;&gt;"是",N($Q142)=0),0,IF(IFERROR(INDEX(单位档案!$H$6:$H$35,MATCH($E142,单位档案!$A$6:$A$35,0)),"")="税差法",ROUND(N($H142)/(1+$Q142)*$Q142-IF(N($R142)=0,0,$P142/(1+$R142)*$R142),2),ROUND(N($H142)/(1+$Q142)*$Q142,2)))</f>
        <v>1936.89</v>
      </c>
      <c r="T142" s="36" t="n">
        <f aca="false">ROUND($S142*N(IFERROR(INDEX(单位档案!$J$6:$J$35,MATCH($E142,单位档案!$A$6:$A$35,0)),"")),2)</f>
        <v>116.21</v>
      </c>
      <c r="U142" s="36" t="n">
        <f aca="false">IF($D142&lt;&gt;"销项开票",0,ROUND(N($H142)*N(IFERROR(INDEX(单位档案!$K$6:$K$35,MATCH($E142,单位档案!$A$6:$A$35,0)),"")),2))</f>
        <v>0</v>
      </c>
      <c r="V142" s="36" t="n">
        <f aca="false">IF(OR($D142&lt;&gt;"销项开票",N($Q142)=0),0,ROUND(N($H142)/(1+$Q142)*N(IFERROR(INDEX(单位档案!$L$6:$L$35,MATCH($E142,单位档案!$A$6:$A$35,0)),"")),2))</f>
        <v>129.13</v>
      </c>
      <c r="W142" s="36" t="n">
        <f aca="false">ROUND($S142+$T142+$U142+$V142,2)</f>
        <v>2182.23</v>
      </c>
      <c r="X142" s="35" t="str">
        <f aca="false">IF(OR($D142="挂靠代收",$D142="我方收款"),COUNTIFS($D$5:$D142,"挂靠代收")+COUNTIFS($D$5:$D142,"我方收款"),"")</f>
        <v/>
      </c>
      <c r="Y142" s="35" t="s">
        <v>119</v>
      </c>
      <c r="Z142" s="21" t="s">
        <v>100</v>
      </c>
    </row>
    <row r="143" customFormat="false" ht="15.75" hidden="false" customHeight="true" outlineLevel="0" collapsed="false">
      <c r="A143" s="32" t="n">
        <f aca="false">IF($B143="","",ROW()-4)</f>
        <v>139</v>
      </c>
      <c r="B143" s="26" t="n">
        <v>46188</v>
      </c>
      <c r="C143" s="24" t="s">
        <v>183</v>
      </c>
      <c r="D143" s="21" t="s">
        <v>307</v>
      </c>
      <c r="E143" s="21" t="s">
        <v>117</v>
      </c>
      <c r="F143" s="21" t="s">
        <v>119</v>
      </c>
      <c r="G143" s="24" t="s">
        <v>316</v>
      </c>
      <c r="H143" s="27" t="n">
        <v>16859.55</v>
      </c>
      <c r="I143" s="23" t="n">
        <f aca="false">IF($D143&lt;&gt;"销项开票","",IF($N143="一级",IF(IFERROR(INDEX(项目档案!$E$6:$E$255,MATCH($C143,项目档案!$A$6:$A$255,0)),"")="",N(IFERROR(INDEX(单位档案!$D$6:$D$35,MATCH($E143,单位档案!$A$6:$A$35,0)),"")),IFERROR(INDEX(项目档案!$E$6:$E$255,MATCH($C143,项目档案!$A$6:$A$255,0)),"")),IF($N143="二级",IF(IFERROR(INDEX(项目档案!$G$6:$G$255,MATCH($C143,项目档案!$A$6:$A$255,0)),"")="",N(IFERROR(INDEX(单位档案!$D$6:$D$35,MATCH($E143,单位档案!$A$6:$A$35,0)),"")),IFERROR(INDEX(项目档案!$G$6:$G$255,MATCH($C143,项目档案!$A$6:$A$255,0)),"")),N(IFERROR(INDEX(单位档案!$D$6:$D$35,MATCH($E143,单位档案!$A$6:$A$35,0)),"")))))</f>
        <v>0.02</v>
      </c>
      <c r="J143" s="25" t="s">
        <v>439</v>
      </c>
      <c r="K143" s="22" t="s">
        <v>447</v>
      </c>
      <c r="L143" s="33" t="str">
        <f aca="false">IF($B143="","",IF(NOT(ISNUMBER($B143)),"日期格式不对",IF($C143="","未选项目编号",IF(LEFT($M143,1)="⚠","项目编号不存在",IF($D143="","未选业务类型",IF($E143="","未选开票/付款方",IF(ISNA(MATCH($E143,单位档案!$A$6:$A$35,0)),"开票方不在单位档案",IF($F143="","未选收票/收款方",IF(ISNA(MATCH($F143,单位档案!$A$6:$A$35,0)),"收款方不在单位档案",IF(NOT(ISNUMBER($H143)),"金额须为数字",IF(AND($D143="销项开票",$N143="—"),"链条待确认","√")))))))))))</f>
        <v>√</v>
      </c>
      <c r="M143" s="34" t="str">
        <f aca="false">IF($C143="","",IFERROR(INDEX(项目档案!$B$6:$B$255,MATCH($C143,项目档案!$A$6:$A$255,0)),"⚠项目编号不存在"))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143" s="35" t="str">
        <f aca="false">IF($E143="","",IF($E143=IFERROR(INDEX(项目档案!$D$6:$D$255,MATCH($C143,项目档案!$A$6:$A$255,0)),""),"一级",IF($E143=IFERROR(INDEX(项目档案!$F$6:$F$255,MATCH($C143,项目档案!$A$6:$A$255,0)),""),"二级",IF($E143=IFERROR(INDEX(项目档案!$H$6:$H$255,MATCH($C143,项目档案!$A$6:$A$255,0)),""),"我方","—"))))</f>
        <v>二级</v>
      </c>
      <c r="O143" s="36" t="n">
        <f aca="false">IF($D143&lt;&gt;"销项开票",0,ROUND(N($H143)*N($I143),2))</f>
        <v>337.19</v>
      </c>
      <c r="P143" s="36" t="n">
        <f aca="false">IF($D143&lt;&gt;"销项开票",0,ROUND(N($H143)-$O143,2))</f>
        <v>16522.36</v>
      </c>
      <c r="Q143" s="37" t="n">
        <f aca="false">IF($E143="","",N(IFERROR(INDEX(单位档案!$E$6:$E$35,MATCH($E143,单位档案!$A$6:$A$35,0)),"")))</f>
        <v>0.03</v>
      </c>
      <c r="R143" s="37" t="n">
        <f aca="false">IF($E143="","",N(IFERROR(INDEX(单位档案!$F$6:$F$35,MATCH($E143,单位档案!$A$6:$A$35,0)),"")))</f>
        <v>0.03</v>
      </c>
      <c r="S143" s="36" t="n">
        <f aca="false">IF(OR($D143&lt;&gt;"销项开票",IFERROR(INDEX(单位档案!$G$6:$G$35,MATCH($E143,单位档案!$A$6:$A$35,0)),"")&lt;&gt;"是",N($Q143)=0),0,IF(IFERROR(INDEX(单位档案!$H$6:$H$35,MATCH($E143,单位档案!$A$6:$A$35,0)),"")="税差法",ROUND(N($H143)/(1+$Q143)*$Q143-IF(N($R143)=0,0,$P143/(1+$R143)*$R143),2),ROUND(N($H143)/(1+$Q143)*$Q143,2)))</f>
        <v>491.05</v>
      </c>
      <c r="T143" s="36" t="n">
        <f aca="false">ROUND($S143*N(IFERROR(INDEX(单位档案!$J$6:$J$35,MATCH($E143,单位档案!$A$6:$A$35,0)),"")),2)</f>
        <v>29.46</v>
      </c>
      <c r="U143" s="36" t="n">
        <f aca="false">IF($D143&lt;&gt;"销项开票",0,ROUND(N($H143)*N(IFERROR(INDEX(单位档案!$K$6:$K$35,MATCH($E143,单位档案!$A$6:$A$35,0)),"")),2))</f>
        <v>0</v>
      </c>
      <c r="V143" s="36" t="n">
        <f aca="false">IF(OR($D143&lt;&gt;"销项开票",N($Q143)=0),0,ROUND(N($H143)/(1+$Q143)*N(IFERROR(INDEX(单位档案!$L$6:$L$35,MATCH($E143,单位档案!$A$6:$A$35,0)),"")),2))</f>
        <v>32.74</v>
      </c>
      <c r="W143" s="36" t="n">
        <f aca="false">ROUND($S143+$T143+$U143+$V143,2)</f>
        <v>553.25</v>
      </c>
      <c r="X143" s="35" t="str">
        <f aca="false">IF(OR($D143="挂靠代收",$D143="我方收款"),COUNTIFS($D$5:$D143,"挂靠代收")+COUNTIFS($D$5:$D143,"我方收款"),"")</f>
        <v/>
      </c>
      <c r="Y143" s="35" t="s">
        <v>119</v>
      </c>
      <c r="Z143" s="21" t="s">
        <v>100</v>
      </c>
    </row>
    <row r="144" customFormat="false" ht="15.75" hidden="false" customHeight="true" outlineLevel="0" collapsed="false">
      <c r="A144" s="32" t="n">
        <f aca="false">IF($B144="","",ROW()-4)</f>
        <v>140</v>
      </c>
      <c r="B144" s="26" t="n">
        <v>46189</v>
      </c>
      <c r="C144" s="24" t="s">
        <v>190</v>
      </c>
      <c r="D144" s="21" t="s">
        <v>307</v>
      </c>
      <c r="E144" s="21" t="s">
        <v>119</v>
      </c>
      <c r="F144" s="21" t="s">
        <v>97</v>
      </c>
      <c r="G144" s="24" t="s">
        <v>316</v>
      </c>
      <c r="H144" s="27" t="n">
        <v>69057.4</v>
      </c>
      <c r="I144" s="23" t="n">
        <f aca="false">IF($D144&lt;&gt;"销项开票","",IF($N144="一级",IF(IFERROR(INDEX(项目档案!$E$6:$E$255,MATCH($C144,项目档案!$A$6:$A$255,0)),"")="",N(IFERROR(INDEX(单位档案!$D$6:$D$35,MATCH($E144,单位档案!$A$6:$A$35,0)),"")),IFERROR(INDEX(项目档案!$E$6:$E$255,MATCH($C144,项目档案!$A$6:$A$255,0)),"")),IF($N144="二级",IF(IFERROR(INDEX(项目档案!$G$6:$G$255,MATCH($C144,项目档案!$A$6:$A$255,0)),"")="",N(IFERROR(INDEX(单位档案!$D$6:$D$35,MATCH($E144,单位档案!$A$6:$A$35,0)),"")),IFERROR(INDEX(项目档案!$G$6:$G$255,MATCH($C144,项目档案!$A$6:$A$255,0)),"")),N(IFERROR(INDEX(单位档案!$D$6:$D$35,MATCH($E144,单位档案!$A$6:$A$35,0)),"")))))</f>
        <v>0.05</v>
      </c>
      <c r="J144" s="25" t="s">
        <v>448</v>
      </c>
      <c r="K144" s="22" t="s">
        <v>313</v>
      </c>
      <c r="L144" s="33" t="str">
        <f aca="false">IF($B144="","",IF(NOT(ISNUMBER($B144)),"日期格式不对",IF($C144="","未选项目编号",IF(LEFT($M144,1)="⚠","项目编号不存在",IF($D144="","未选业务类型",IF($E144="","未选开票/付款方",IF(ISNA(MATCH($E144,单位档案!$A$6:$A$35,0)),"开票方不在单位档案",IF($F144="","未选收票/收款方",IF(ISNA(MATCH($F144,单位档案!$A$6:$A$35,0)),"收款方不在单位档案",IF(NOT(ISNUMBER($H144)),"金额须为数字",IF(AND($D144="销项开票",$N144="—"),"链条待确认","√")))))))))))</f>
        <v>√</v>
      </c>
      <c r="M144" s="34" t="str">
        <f aca="false">IF($C144="","",IFERROR(INDEX(项目档案!$B$6:$B$255,MATCH($C144,项目档案!$A$6:$A$255,0)),"⚠项目编号不存在"))</f>
        <v>重庆民能实业有限公司2025-2026年度工程用施工机具等租赁服务框架采购（国网重庆铜梁公司110kV金湖东西电缆改造）</v>
      </c>
      <c r="N144" s="35" t="str">
        <f aca="false">IF($E144="","",IF($E144=IFERROR(INDEX(项目档案!$D$6:$D$255,MATCH($C144,项目档案!$A$6:$A$255,0)),""),"一级",IF($E144=IFERROR(INDEX(项目档案!$F$6:$F$255,MATCH($C144,项目档案!$A$6:$A$255,0)),""),"二级",IF($E144=IFERROR(INDEX(项目档案!$H$6:$H$255,MATCH($C144,项目档案!$A$6:$A$255,0)),""),"我方","—"))))</f>
        <v>一级</v>
      </c>
      <c r="O144" s="36" t="n">
        <f aca="false">IF($D144&lt;&gt;"销项开票",0,ROUND(N($H144)*N($I144),2))</f>
        <v>3452.87</v>
      </c>
      <c r="P144" s="36" t="n">
        <f aca="false">IF($D144&lt;&gt;"销项开票",0,ROUND(N($H144)-$O144,2))</f>
        <v>65604.53</v>
      </c>
      <c r="Q144" s="37" t="n">
        <f aca="false">IF($E144="","",N(IFERROR(INDEX(单位档案!$E$6:$E$35,MATCH($E144,单位档案!$A$6:$A$35,0)),"")))</f>
        <v>0.09</v>
      </c>
      <c r="R144" s="37" t="n">
        <f aca="false">IF($E144="","",N(IFERROR(INDEX(单位档案!$F$6:$F$35,MATCH($E144,单位档案!$A$6:$A$35,0)),"")))</f>
        <v>0.03</v>
      </c>
      <c r="S144" s="36" t="n">
        <f aca="false">IF(OR($D144&lt;&gt;"销项开票",IFERROR(INDEX(单位档案!$G$6:$G$35,MATCH($E144,单位档案!$A$6:$A$35,0)),"")&lt;&gt;"是",N($Q144)=0),0,IF(IFERROR(INDEX(单位档案!$H$6:$H$35,MATCH($E144,单位档案!$A$6:$A$35,0)),"")="税差法",ROUND(N($H144)/(1+$Q144)*$Q144-IF(N($R144)=0,0,$P144/(1+$R144)*$R144),2),ROUND(N($H144)/(1+$Q144)*$Q144,2)))</f>
        <v>3791.18</v>
      </c>
      <c r="T144" s="36" t="n">
        <f aca="false">ROUND($S144*N(IFERROR(INDEX(单位档案!$J$6:$J$35,MATCH($E144,单位档案!$A$6:$A$35,0)),"")),2)</f>
        <v>454.94</v>
      </c>
      <c r="U144" s="36" t="n">
        <f aca="false">IF($D144&lt;&gt;"销项开票",0,ROUND(N($H144)*N(IFERROR(INDEX(单位档案!$K$6:$K$35,MATCH($E144,单位档案!$A$6:$A$35,0)),"")),2))</f>
        <v>41.43</v>
      </c>
      <c r="V144" s="36" t="n">
        <f aca="false">IF(OR($D144&lt;&gt;"销项开票",N($Q144)=0),0,ROUND(N($H144)/(1+$Q144)*N(IFERROR(INDEX(单位档案!$L$6:$L$35,MATCH($E144,单位档案!$A$6:$A$35,0)),"")),2))</f>
        <v>0</v>
      </c>
      <c r="W144" s="36" t="n">
        <f aca="false">ROUND($S144+$T144+$U144+$V144,2)</f>
        <v>4287.55</v>
      </c>
      <c r="X144" s="35" t="str">
        <f aca="false">IF(OR($D144="挂靠代收",$D144="我方收款"),COUNTIFS($D$5:$D144,"挂靠代收")+COUNTIFS($D$5:$D144,"我方收款"),"")</f>
        <v/>
      </c>
      <c r="Y144" s="35" t="s">
        <v>117</v>
      </c>
      <c r="Z144" s="21" t="s">
        <v>111</v>
      </c>
    </row>
    <row r="145" customFormat="false" ht="15.75" hidden="false" customHeight="true" outlineLevel="0" collapsed="false">
      <c r="A145" s="32" t="n">
        <f aca="false">IF($B145="","",ROW()-4)</f>
        <v>141</v>
      </c>
      <c r="B145" s="26" t="n">
        <v>46189</v>
      </c>
      <c r="C145" s="24" t="s">
        <v>190</v>
      </c>
      <c r="D145" s="21" t="s">
        <v>307</v>
      </c>
      <c r="E145" s="21" t="s">
        <v>119</v>
      </c>
      <c r="F145" s="21" t="s">
        <v>97</v>
      </c>
      <c r="G145" s="24" t="s">
        <v>316</v>
      </c>
      <c r="H145" s="27" t="n">
        <v>33824.75</v>
      </c>
      <c r="I145" s="23" t="n">
        <f aca="false">IF($D145&lt;&gt;"销项开票","",IF($N145="一级",IF(IFERROR(INDEX(项目档案!$E$6:$E$255,MATCH($C145,项目档案!$A$6:$A$255,0)),"")="",N(IFERROR(INDEX(单位档案!$D$6:$D$35,MATCH($E145,单位档案!$A$6:$A$35,0)),"")),IFERROR(INDEX(项目档案!$E$6:$E$255,MATCH($C145,项目档案!$A$6:$A$255,0)),"")),IF($N145="二级",IF(IFERROR(INDEX(项目档案!$G$6:$G$255,MATCH($C145,项目档案!$A$6:$A$255,0)),"")="",N(IFERROR(INDEX(单位档案!$D$6:$D$35,MATCH($E145,单位档案!$A$6:$A$35,0)),"")),IFERROR(INDEX(项目档案!$G$6:$G$255,MATCH($C145,项目档案!$A$6:$A$255,0)),"")),N(IFERROR(INDEX(单位档案!$D$6:$D$35,MATCH($E145,单位档案!$A$6:$A$35,0)),"")))))</f>
        <v>0.05</v>
      </c>
      <c r="J145" s="25" t="s">
        <v>449</v>
      </c>
      <c r="K145" s="22" t="s">
        <v>313</v>
      </c>
      <c r="L145" s="33" t="str">
        <f aca="false">IF($B145="","",IF(NOT(ISNUMBER($B145)),"日期格式不对",IF($C145="","未选项目编号",IF(LEFT($M145,1)="⚠","项目编号不存在",IF($D145="","未选业务类型",IF($E145="","未选开票/付款方",IF(ISNA(MATCH($E145,单位档案!$A$6:$A$35,0)),"开票方不在单位档案",IF($F145="","未选收票/收款方",IF(ISNA(MATCH($F145,单位档案!$A$6:$A$35,0)),"收款方不在单位档案",IF(NOT(ISNUMBER($H145)),"金额须为数字",IF(AND($D145="销项开票",$N145="—"),"链条待确认","√")))))))))))</f>
        <v>√</v>
      </c>
      <c r="M145" s="34" t="str">
        <f aca="false">IF($C145="","",IFERROR(INDEX(项目档案!$B$6:$B$255,MATCH($C145,项目档案!$A$6:$A$255,0)),"⚠项目编号不存在"))</f>
        <v>重庆民能实业有限公司2025-2026年度工程用施工机具等租赁服务框架采购（国网重庆铜梁公司110kV金湖东西电缆改造）</v>
      </c>
      <c r="N145" s="35" t="str">
        <f aca="false">IF($E145="","",IF($E145=IFERROR(INDEX(项目档案!$D$6:$D$255,MATCH($C145,项目档案!$A$6:$A$255,0)),""),"一级",IF($E145=IFERROR(INDEX(项目档案!$F$6:$F$255,MATCH($C145,项目档案!$A$6:$A$255,0)),""),"二级",IF($E145=IFERROR(INDEX(项目档案!$H$6:$H$255,MATCH($C145,项目档案!$A$6:$A$255,0)),""),"我方","—"))))</f>
        <v>一级</v>
      </c>
      <c r="O145" s="36" t="n">
        <f aca="false">IF($D145&lt;&gt;"销项开票",0,ROUND(N($H145)*N($I145),2))</f>
        <v>1691.24</v>
      </c>
      <c r="P145" s="36" t="n">
        <f aca="false">IF($D145&lt;&gt;"销项开票",0,ROUND(N($H145)-$O145,2))</f>
        <v>32133.51</v>
      </c>
      <c r="Q145" s="37" t="n">
        <f aca="false">IF($E145="","",N(IFERROR(INDEX(单位档案!$E$6:$E$35,MATCH($E145,单位档案!$A$6:$A$35,0)),"")))</f>
        <v>0.09</v>
      </c>
      <c r="R145" s="37" t="n">
        <f aca="false">IF($E145="","",N(IFERROR(INDEX(单位档案!$F$6:$F$35,MATCH($E145,单位档案!$A$6:$A$35,0)),"")))</f>
        <v>0.03</v>
      </c>
      <c r="S145" s="36" t="n">
        <f aca="false">IF(OR($D145&lt;&gt;"销项开票",IFERROR(INDEX(单位档案!$G$6:$G$35,MATCH($E145,单位档案!$A$6:$A$35,0)),"")&lt;&gt;"是",N($Q145)=0),0,IF(IFERROR(INDEX(单位档案!$H$6:$H$35,MATCH($E145,单位档案!$A$6:$A$35,0)),"")="税差法",ROUND(N($H145)/(1+$Q145)*$Q145-IF(N($R145)=0,0,$P145/(1+$R145)*$R145),2),ROUND(N($H145)/(1+$Q145)*$Q145,2)))</f>
        <v>1856.94</v>
      </c>
      <c r="T145" s="36" t="n">
        <f aca="false">ROUND($S145*N(IFERROR(INDEX(单位档案!$J$6:$J$35,MATCH($E145,单位档案!$A$6:$A$35,0)),"")),2)</f>
        <v>222.83</v>
      </c>
      <c r="U145" s="36" t="n">
        <f aca="false">IF($D145&lt;&gt;"销项开票",0,ROUND(N($H145)*N(IFERROR(INDEX(单位档案!$K$6:$K$35,MATCH($E145,单位档案!$A$6:$A$35,0)),"")),2))</f>
        <v>20.29</v>
      </c>
      <c r="V145" s="36" t="n">
        <f aca="false">IF(OR($D145&lt;&gt;"销项开票",N($Q145)=0),0,ROUND(N($H145)/(1+$Q145)*N(IFERROR(INDEX(单位档案!$L$6:$L$35,MATCH($E145,单位档案!$A$6:$A$35,0)),"")),2))</f>
        <v>0</v>
      </c>
      <c r="W145" s="36" t="n">
        <f aca="false">ROUND($S145+$T145+$U145+$V145,2)</f>
        <v>2100.06</v>
      </c>
      <c r="X145" s="35" t="str">
        <f aca="false">IF(OR($D145="挂靠代收",$D145="我方收款"),COUNTIFS($D$5:$D145,"挂靠代收")+COUNTIFS($D$5:$D145,"我方收款"),"")</f>
        <v/>
      </c>
      <c r="Y145" s="35" t="s">
        <v>117</v>
      </c>
      <c r="Z145" s="21" t="s">
        <v>111</v>
      </c>
    </row>
    <row r="146" customFormat="false" ht="15.75" hidden="false" customHeight="true" outlineLevel="0" collapsed="false">
      <c r="A146" s="32" t="n">
        <f aca="false">IF($B146="","",ROW()-4)</f>
        <v>142</v>
      </c>
      <c r="B146" s="26" t="n">
        <v>46189</v>
      </c>
      <c r="C146" s="24" t="s">
        <v>190</v>
      </c>
      <c r="D146" s="21" t="s">
        <v>307</v>
      </c>
      <c r="E146" s="21" t="s">
        <v>119</v>
      </c>
      <c r="F146" s="21" t="s">
        <v>97</v>
      </c>
      <c r="G146" s="24" t="s">
        <v>394</v>
      </c>
      <c r="H146" s="27" t="n">
        <v>72692</v>
      </c>
      <c r="I146" s="23" t="n">
        <v>0.05</v>
      </c>
      <c r="J146" s="25" t="s">
        <v>449</v>
      </c>
      <c r="K146" s="22" t="s">
        <v>313</v>
      </c>
      <c r="L146" s="33" t="str">
        <f aca="false">IF($B146="","",IF(NOT(ISNUMBER($B146)),"日期格式不对",IF($C146="","未选项目编号",IF(LEFT($M146,1)="⚠","项目编号不存在",IF($D146="","未选业务类型",IF($E146="","未选开票/付款方",IF(ISNA(MATCH($E146,单位档案!$A$6:$A$35,0)),"开票方不在单位档案",IF($F146="","未选收票/收款方",IF(ISNA(MATCH($F146,单位档案!$A$6:$A$35,0)),"收款方不在单位档案",IF(NOT(ISNUMBER($H146)),"金额须为数字",IF(AND($D146="销项开票",$N146="—"),"链条待确认","√")))))))))))</f>
        <v>√</v>
      </c>
      <c r="M146" s="34" t="str">
        <f aca="false">IF($C146="","",IFERROR(INDEX(项目档案!$B$6:$B$255,MATCH($C146,项目档案!$A$6:$A$255,0)),"⚠项目编号不存在"))</f>
        <v>重庆民能实业有限公司2025-2026年度工程用施工机具等租赁服务框架采购（国网重庆铜梁公司110kV金湖东西电缆改造）</v>
      </c>
      <c r="N146" s="35" t="str">
        <f aca="false">IF($E146="","",IF($E146=IFERROR(INDEX(项目档案!$D$6:$D$255,MATCH($C146,项目档案!$A$6:$A$255,0)),""),"一级",IF($E146=IFERROR(INDEX(项目档案!$F$6:$F$255,MATCH($C146,项目档案!$A$6:$A$255,0)),""),"二级",IF($E146=IFERROR(INDEX(项目档案!$H$6:$H$255,MATCH($C146,项目档案!$A$6:$A$255,0)),""),"我方","—"))))</f>
        <v>一级</v>
      </c>
      <c r="O146" s="36" t="n">
        <f aca="false">IF($D146&lt;&gt;"销项开票",0,ROUND(N($H146)*N($I146),2))</f>
        <v>3634.6</v>
      </c>
      <c r="P146" s="36" t="n">
        <f aca="false">IF($D146&lt;&gt;"销项开票",0,ROUND(N($H146)-$O146,2))</f>
        <v>69057.4</v>
      </c>
      <c r="Q146" s="37" t="n">
        <f aca="false">IF($E146="","",N(IFERROR(INDEX(单位档案!$E$6:$E$35,MATCH($E146,单位档案!$A$6:$A$35,0)),"")))</f>
        <v>0.09</v>
      </c>
      <c r="R146" s="37" t="n">
        <f aca="false">IF($E146="","",N(IFERROR(INDEX(单位档案!$F$6:$F$35,MATCH($E146,单位档案!$A$6:$A$35,0)),"")))</f>
        <v>0.03</v>
      </c>
      <c r="S146" s="36" t="n">
        <f aca="false">IF(OR($D146&lt;&gt;"销项开票",IFERROR(INDEX(单位档案!$G$6:$G$35,MATCH($E146,单位档案!$A$6:$A$35,0)),"")&lt;&gt;"是",N($Q146)=0),0,IF(IFERROR(INDEX(单位档案!$H$6:$H$35,MATCH($E146,单位档案!$A$6:$A$35,0)),"")="税差法",ROUND(N($H146)/(1+$Q146)*$Q146-IF(N($R146)=0,0,$P146/(1+$R146)*$R146),2),ROUND(N($H146)/(1+$Q146)*$Q146,2)))</f>
        <v>3990.71</v>
      </c>
      <c r="T146" s="36" t="n">
        <f aca="false">ROUND($S146*N(IFERROR(INDEX(单位档案!$J$6:$J$35,MATCH($E146,单位档案!$A$6:$A$35,0)),"")),2)</f>
        <v>478.89</v>
      </c>
      <c r="U146" s="36" t="n">
        <f aca="false">IF($D146&lt;&gt;"销项开票",0,ROUND(N($H146)*N(IFERROR(INDEX(单位档案!$K$6:$K$35,MATCH($E146,单位档案!$A$6:$A$35,0)),"")),2))</f>
        <v>43.62</v>
      </c>
      <c r="V146" s="36" t="n">
        <f aca="false">IF(OR($D146&lt;&gt;"销项开票",N($Q146)=0),0,ROUND(N($H146)/(1+$Q146)*N(IFERROR(INDEX(单位档案!$L$6:$L$35,MATCH($E146,单位档案!$A$6:$A$35,0)),"")),2))</f>
        <v>0</v>
      </c>
      <c r="W146" s="36" t="n">
        <f aca="false">ROUND($S146+$T146+$U146+$V146,2)</f>
        <v>4513.22</v>
      </c>
      <c r="X146" s="35" t="str">
        <f aca="false">IF(OR($D146="挂靠代收",$D146="我方收款"),COUNTIFS($D$5:$D146,"挂靠代收")+COUNTIFS($D$5:$D146,"我方收款"),"")</f>
        <v/>
      </c>
      <c r="Y146" s="35" t="s">
        <v>119</v>
      </c>
      <c r="Z146" s="21" t="s">
        <v>111</v>
      </c>
    </row>
    <row r="147" customFormat="false" ht="15.75" hidden="false" customHeight="true" outlineLevel="0" collapsed="false">
      <c r="A147" s="32" t="n">
        <f aca="false">IF($B147="","",ROW()-4)</f>
        <v>143</v>
      </c>
      <c r="B147" s="26" t="n">
        <v>46189</v>
      </c>
      <c r="C147" s="24" t="s">
        <v>190</v>
      </c>
      <c r="D147" s="21" t="s">
        <v>314</v>
      </c>
      <c r="E147" s="21" t="s">
        <v>127</v>
      </c>
      <c r="F147" s="21" t="s">
        <v>119</v>
      </c>
      <c r="G147" s="24" t="s">
        <v>394</v>
      </c>
      <c r="H147" s="27" t="n">
        <v>3634.6</v>
      </c>
      <c r="I147" s="23" t="str">
        <f aca="false">IF($D147&lt;&gt;"销项开票","",IF($N147="一级",IF(IFERROR(INDEX(项目档案!$E$6:$E$255,MATCH($C147,项目档案!$A$6:$A$255,0)),"")="",N(IFERROR(INDEX(单位档案!$D$6:$D$35,MATCH($E147,单位档案!$A$6:$A$35,0)),"")),IFERROR(INDEX(项目档案!$E$6:$E$255,MATCH($C147,项目档案!$A$6:$A$255,0)),"")),IF($N147="二级",IF(IFERROR(INDEX(项目档案!$G$6:$G$255,MATCH($C147,项目档案!$A$6:$A$255,0)),"")="",N(IFERROR(INDEX(单位档案!$D$6:$D$35,MATCH($E147,单位档案!$A$6:$A$35,0)),"")),IFERROR(INDEX(项目档案!$G$6:$G$255,MATCH($C147,项目档案!$A$6:$A$255,0)),"")),N(IFERROR(INDEX(单位档案!$D$6:$D$35,MATCH($E147,单位档案!$A$6:$A$35,0)),"")))))</f>
        <v/>
      </c>
      <c r="J147" s="25" t="s">
        <v>449</v>
      </c>
      <c r="K147" s="22" t="s">
        <v>313</v>
      </c>
      <c r="L147" s="33" t="str">
        <f aca="false">IF($B147="","",IF(NOT(ISNUMBER($B147)),"日期格式不对",IF($C147="","未选项目编号",IF(LEFT($M147,1)="⚠","项目编号不存在",IF($D147="","未选业务类型",IF($E147="","未选开票/付款方",IF(ISNA(MATCH($E147,单位档案!$A$6:$A$35,0)),"开票方不在单位档案",IF($F147="","未选收票/收款方",IF(ISNA(MATCH($F147,单位档案!$A$6:$A$35,0)),"收款方不在单位档案",IF(NOT(ISNUMBER($H147)),"金额须为数字",IF(AND($D147="销项开票",$N147="—"),"链条待确认","√")))))))))))</f>
        <v>√</v>
      </c>
      <c r="M147" s="34" t="str">
        <f aca="false">IF($C147="","",IFERROR(INDEX(项目档案!$B$6:$B$255,MATCH($C147,项目档案!$A$6:$A$255,0)),"⚠项目编号不存在"))</f>
        <v>重庆民能实业有限公司2025-2026年度工程用施工机具等租赁服务框架采购（国网重庆铜梁公司110kV金湖东西电缆改造）</v>
      </c>
      <c r="N147" s="35" t="str">
        <f aca="false">IF($E147="","",IF($E147=IFERROR(INDEX(项目档案!$D$6:$D$255,MATCH($C147,项目档案!$A$6:$A$255,0)),""),"一级",IF($E147=IFERROR(INDEX(项目档案!$F$6:$F$255,MATCH($C147,项目档案!$A$6:$A$255,0)),""),"二级",IF($E147=IFERROR(INDEX(项目档案!$H$6:$H$255,MATCH($C147,项目档案!$A$6:$A$255,0)),""),"我方","—"))))</f>
        <v>我方</v>
      </c>
      <c r="O147" s="36" t="n">
        <f aca="false">IF($D147&lt;&gt;"销项开票",0,ROUND(N($H147)*N($I147),2))</f>
        <v>0</v>
      </c>
      <c r="P147" s="36" t="n">
        <f aca="false">IF($D147&lt;&gt;"销项开票",0,ROUND(N($H147)-$O147,2))</f>
        <v>0</v>
      </c>
      <c r="Q147" s="37" t="n">
        <f aca="false">IF($E147="","",N(IFERROR(INDEX(单位档案!$E$6:$E$35,MATCH($E147,单位档案!$A$6:$A$35,0)),"")))</f>
        <v>0.03</v>
      </c>
      <c r="R147" s="37" t="n">
        <f aca="false">IF($E147="","",N(IFERROR(INDEX(单位档案!$F$6:$F$35,MATCH($E147,单位档案!$A$6:$A$35,0)),"")))</f>
        <v>0</v>
      </c>
      <c r="S147" s="36" t="n">
        <f aca="false">IF(OR($D147&lt;&gt;"销项开票",IFERROR(INDEX(单位档案!$G$6:$G$35,MATCH($E147,单位档案!$A$6:$A$35,0)),"")&lt;&gt;"是",N($Q147)=0),0,IF(IFERROR(INDEX(单位档案!$H$6:$H$35,MATCH($E147,单位档案!$A$6:$A$35,0)),"")="税差法",ROUND(N($H147)/(1+$Q147)*$Q147-IF(N($R147)=0,0,$P147/(1+$R147)*$R147),2),ROUND(N($H147)/(1+$Q147)*$Q147,2)))</f>
        <v>0</v>
      </c>
      <c r="T147" s="36" t="n">
        <f aca="false">ROUND($S147*N(IFERROR(INDEX(单位档案!$J$6:$J$35,MATCH($E147,单位档案!$A$6:$A$35,0)),"")),2)</f>
        <v>0</v>
      </c>
      <c r="U147" s="36" t="n">
        <f aca="false">IF($D147&lt;&gt;"销项开票",0,ROUND(N($H147)*N(IFERROR(INDEX(单位档案!$K$6:$K$35,MATCH($E147,单位档案!$A$6:$A$35,0)),"")),2))</f>
        <v>0</v>
      </c>
      <c r="V147" s="36" t="n">
        <f aca="false">IF(OR($D147&lt;&gt;"销项开票",N($Q147)=0),0,ROUND(N($H147)/(1+$Q147)*N(IFERROR(INDEX(单位档案!$L$6:$L$35,MATCH($E147,单位档案!$A$6:$A$35,0)),"")),2))</f>
        <v>0</v>
      </c>
      <c r="W147" s="36" t="n">
        <f aca="false">ROUND($S147+$T147+$U147+$V147,2)</f>
        <v>0</v>
      </c>
      <c r="X147" s="35" t="str">
        <f aca="false">IF(OR($D147="挂靠代收",$D147="我方收款"),COUNTIFS($D$5:$D147,"挂靠代收")+COUNTIFS($D$5:$D147,"我方收款"),"")</f>
        <v/>
      </c>
      <c r="Y147" s="35" t="s">
        <v>119</v>
      </c>
      <c r="Z147" s="21" t="s">
        <v>111</v>
      </c>
    </row>
    <row r="148" customFormat="false" ht="15.75" hidden="false" customHeight="true" outlineLevel="0" collapsed="false">
      <c r="A148" s="32" t="n">
        <f aca="false">IF($B148="","",ROW()-4)</f>
        <v>144</v>
      </c>
      <c r="B148" s="26" t="n">
        <v>46189</v>
      </c>
      <c r="C148" s="24" t="s">
        <v>190</v>
      </c>
      <c r="D148" s="21" t="s">
        <v>307</v>
      </c>
      <c r="E148" s="21" t="s">
        <v>119</v>
      </c>
      <c r="F148" s="21" t="s">
        <v>97</v>
      </c>
      <c r="G148" s="24" t="s">
        <v>394</v>
      </c>
      <c r="H148" s="27" t="n">
        <v>35605</v>
      </c>
      <c r="I148" s="23" t="n">
        <v>0.05</v>
      </c>
      <c r="J148" s="25" t="s">
        <v>448</v>
      </c>
      <c r="K148" s="22" t="s">
        <v>313</v>
      </c>
      <c r="L148" s="33" t="str">
        <f aca="false">IF($B148="","",IF(NOT(ISNUMBER($B148)),"日期格式不对",IF($C148="","未选项目编号",IF(LEFT($M148,1)="⚠","项目编号不存在",IF($D148="","未选业务类型",IF($E148="","未选开票/付款方",IF(ISNA(MATCH($E148,单位档案!$A$6:$A$35,0)),"开票方不在单位档案",IF($F148="","未选收票/收款方",IF(ISNA(MATCH($F148,单位档案!$A$6:$A$35,0)),"收款方不在单位档案",IF(NOT(ISNUMBER($H148)),"金额须为数字",IF(AND($D148="销项开票",$N148="—"),"链条待确认","√")))))))))))</f>
        <v>√</v>
      </c>
      <c r="M148" s="34" t="str">
        <f aca="false">IF($C148="","",IFERROR(INDEX(项目档案!$B$6:$B$255,MATCH($C148,项目档案!$A$6:$A$255,0)),"⚠项目编号不存在"))</f>
        <v>重庆民能实业有限公司2025-2026年度工程用施工机具等租赁服务框架采购（国网重庆铜梁公司110kV金湖东西电缆改造）</v>
      </c>
      <c r="N148" s="35" t="str">
        <f aca="false">IF($E148="","",IF($E148=IFERROR(INDEX(项目档案!$D$6:$D$255,MATCH($C148,项目档案!$A$6:$A$255,0)),""),"一级",IF($E148=IFERROR(INDEX(项目档案!$F$6:$F$255,MATCH($C148,项目档案!$A$6:$A$255,0)),""),"二级",IF($E148=IFERROR(INDEX(项目档案!$H$6:$H$255,MATCH($C148,项目档案!$A$6:$A$255,0)),""),"我方","—"))))</f>
        <v>一级</v>
      </c>
      <c r="O148" s="36" t="n">
        <f aca="false">IF($D148&lt;&gt;"销项开票",0,ROUND(N($H148)*N($I148),2))</f>
        <v>1780.25</v>
      </c>
      <c r="P148" s="36" t="n">
        <f aca="false">IF($D148&lt;&gt;"销项开票",0,ROUND(N($H148)-$O148,2))</f>
        <v>33824.75</v>
      </c>
      <c r="Q148" s="37" t="n">
        <f aca="false">IF($E148="","",N(IFERROR(INDEX(单位档案!$E$6:$E$35,MATCH($E148,单位档案!$A$6:$A$35,0)),"")))</f>
        <v>0.09</v>
      </c>
      <c r="R148" s="37" t="n">
        <f aca="false">IF($E148="","",N(IFERROR(INDEX(单位档案!$F$6:$F$35,MATCH($E148,单位档案!$A$6:$A$35,0)),"")))</f>
        <v>0.03</v>
      </c>
      <c r="S148" s="36" t="n">
        <f aca="false">IF(OR($D148&lt;&gt;"销项开票",IFERROR(INDEX(单位档案!$G$6:$G$35,MATCH($E148,单位档案!$A$6:$A$35,0)),"")&lt;&gt;"是",N($Q148)=0),0,IF(IFERROR(INDEX(单位档案!$H$6:$H$35,MATCH($E148,单位档案!$A$6:$A$35,0)),"")="税差法",ROUND(N($H148)/(1+$Q148)*$Q148-IF(N($R148)=0,0,$P148/(1+$R148)*$R148),2),ROUND(N($H148)/(1+$Q148)*$Q148,2)))</f>
        <v>1954.68</v>
      </c>
      <c r="T148" s="36" t="n">
        <f aca="false">ROUND($S148*N(IFERROR(INDEX(单位档案!$J$6:$J$35,MATCH($E148,单位档案!$A$6:$A$35,0)),"")),2)</f>
        <v>234.56</v>
      </c>
      <c r="U148" s="36" t="n">
        <f aca="false">IF($D148&lt;&gt;"销项开票",0,ROUND(N($H148)*N(IFERROR(INDEX(单位档案!$K$6:$K$35,MATCH($E148,单位档案!$A$6:$A$35,0)),"")),2))</f>
        <v>21.36</v>
      </c>
      <c r="V148" s="36" t="n">
        <f aca="false">IF(OR($D148&lt;&gt;"销项开票",N($Q148)=0),0,ROUND(N($H148)/(1+$Q148)*N(IFERROR(INDEX(单位档案!$L$6:$L$35,MATCH($E148,单位档案!$A$6:$A$35,0)),"")),2))</f>
        <v>0</v>
      </c>
      <c r="W148" s="36" t="n">
        <f aca="false">ROUND($S148+$T148+$U148+$V148,2)</f>
        <v>2210.6</v>
      </c>
      <c r="X148" s="35" t="str">
        <f aca="false">IF(OR($D148="挂靠代收",$D148="我方收款"),COUNTIFS($D$5:$D148,"挂靠代收")+COUNTIFS($D$5:$D148,"我方收款"),"")</f>
        <v/>
      </c>
      <c r="Y148" s="35" t="s">
        <v>119</v>
      </c>
      <c r="Z148" s="21" t="s">
        <v>111</v>
      </c>
    </row>
    <row r="149" customFormat="false" ht="15.75" hidden="false" customHeight="true" outlineLevel="0" collapsed="false">
      <c r="A149" s="32" t="n">
        <f aca="false">IF($B149="","",ROW()-4)</f>
        <v>145</v>
      </c>
      <c r="B149" s="26" t="n">
        <v>46189</v>
      </c>
      <c r="C149" s="24" t="s">
        <v>190</v>
      </c>
      <c r="D149" s="21" t="s">
        <v>314</v>
      </c>
      <c r="E149" s="21" t="s">
        <v>127</v>
      </c>
      <c r="F149" s="21" t="s">
        <v>119</v>
      </c>
      <c r="G149" s="24" t="s">
        <v>394</v>
      </c>
      <c r="H149" s="27" t="n">
        <v>1780.25</v>
      </c>
      <c r="I149" s="23" t="str">
        <f aca="false">IF($D149&lt;&gt;"销项开票","",IF($N149="一级",IF(IFERROR(INDEX(项目档案!$E$6:$E$255,MATCH($C149,项目档案!$A$6:$A$255,0)),"")="",N(IFERROR(INDEX(单位档案!$D$6:$D$35,MATCH($E149,单位档案!$A$6:$A$35,0)),"")),IFERROR(INDEX(项目档案!$E$6:$E$255,MATCH($C149,项目档案!$A$6:$A$255,0)),"")),IF($N149="二级",IF(IFERROR(INDEX(项目档案!$G$6:$G$255,MATCH($C149,项目档案!$A$6:$A$255,0)),"")="",N(IFERROR(INDEX(单位档案!$D$6:$D$35,MATCH($E149,单位档案!$A$6:$A$35,0)),"")),IFERROR(INDEX(项目档案!$G$6:$G$255,MATCH($C149,项目档案!$A$6:$A$255,0)),"")),N(IFERROR(INDEX(单位档案!$D$6:$D$35,MATCH($E149,单位档案!$A$6:$A$35,0)),"")))))</f>
        <v/>
      </c>
      <c r="J149" s="25" t="s">
        <v>448</v>
      </c>
      <c r="K149" s="22" t="s">
        <v>313</v>
      </c>
      <c r="L149" s="33" t="str">
        <f aca="false">IF($B149="","",IF(NOT(ISNUMBER($B149)),"日期格式不对",IF($C149="","未选项目编号",IF(LEFT($M149,1)="⚠","项目编号不存在",IF($D149="","未选业务类型",IF($E149="","未选开票/付款方",IF(ISNA(MATCH($E149,单位档案!$A$6:$A$35,0)),"开票方不在单位档案",IF($F149="","未选收票/收款方",IF(ISNA(MATCH($F149,单位档案!$A$6:$A$35,0)),"收款方不在单位档案",IF(NOT(ISNUMBER($H149)),"金额须为数字",IF(AND($D149="销项开票",$N149="—"),"链条待确认","√")))))))))))</f>
        <v>√</v>
      </c>
      <c r="M149" s="34" t="str">
        <f aca="false">IF($C149="","",IFERROR(INDEX(项目档案!$B$6:$B$255,MATCH($C149,项目档案!$A$6:$A$255,0)),"⚠项目编号不存在"))</f>
        <v>重庆民能实业有限公司2025-2026年度工程用施工机具等租赁服务框架采购（国网重庆铜梁公司110kV金湖东西电缆改造）</v>
      </c>
      <c r="N149" s="35" t="str">
        <f aca="false">IF($E149="","",IF($E149=IFERROR(INDEX(项目档案!$D$6:$D$255,MATCH($C149,项目档案!$A$6:$A$255,0)),""),"一级",IF($E149=IFERROR(INDEX(项目档案!$F$6:$F$255,MATCH($C149,项目档案!$A$6:$A$255,0)),""),"二级",IF($E149=IFERROR(INDEX(项目档案!$H$6:$H$255,MATCH($C149,项目档案!$A$6:$A$255,0)),""),"我方","—"))))</f>
        <v>我方</v>
      </c>
      <c r="O149" s="36" t="n">
        <f aca="false">IF($D149&lt;&gt;"销项开票",0,ROUND(N($H149)*N($I149),2))</f>
        <v>0</v>
      </c>
      <c r="P149" s="36" t="n">
        <f aca="false">IF($D149&lt;&gt;"销项开票",0,ROUND(N($H149)-$O149,2))</f>
        <v>0</v>
      </c>
      <c r="Q149" s="37" t="n">
        <f aca="false">IF($E149="","",N(IFERROR(INDEX(单位档案!$E$6:$E$35,MATCH($E149,单位档案!$A$6:$A$35,0)),"")))</f>
        <v>0.03</v>
      </c>
      <c r="R149" s="37" t="n">
        <f aca="false">IF($E149="","",N(IFERROR(INDEX(单位档案!$F$6:$F$35,MATCH($E149,单位档案!$A$6:$A$35,0)),"")))</f>
        <v>0</v>
      </c>
      <c r="S149" s="36" t="n">
        <f aca="false">IF(OR($D149&lt;&gt;"销项开票",IFERROR(INDEX(单位档案!$G$6:$G$35,MATCH($E149,单位档案!$A$6:$A$35,0)),"")&lt;&gt;"是",N($Q149)=0),0,IF(IFERROR(INDEX(单位档案!$H$6:$H$35,MATCH($E149,单位档案!$A$6:$A$35,0)),"")="税差法",ROUND(N($H149)/(1+$Q149)*$Q149-IF(N($R149)=0,0,$P149/(1+$R149)*$R149),2),ROUND(N($H149)/(1+$Q149)*$Q149,2)))</f>
        <v>0</v>
      </c>
      <c r="T149" s="36" t="n">
        <f aca="false">ROUND($S149*N(IFERROR(INDEX(单位档案!$J$6:$J$35,MATCH($E149,单位档案!$A$6:$A$35,0)),"")),2)</f>
        <v>0</v>
      </c>
      <c r="U149" s="36" t="n">
        <f aca="false">IF($D149&lt;&gt;"销项开票",0,ROUND(N($H149)*N(IFERROR(INDEX(单位档案!$K$6:$K$35,MATCH($E149,单位档案!$A$6:$A$35,0)),"")),2))</f>
        <v>0</v>
      </c>
      <c r="V149" s="36" t="n">
        <f aca="false">IF(OR($D149&lt;&gt;"销项开票",N($Q149)=0),0,ROUND(N($H149)/(1+$Q149)*N(IFERROR(INDEX(单位档案!$L$6:$L$35,MATCH($E149,单位档案!$A$6:$A$35,0)),"")),2))</f>
        <v>0</v>
      </c>
      <c r="W149" s="36" t="n">
        <f aca="false">ROUND($S149+$T149+$U149+$V149,2)</f>
        <v>0</v>
      </c>
      <c r="X149" s="35" t="str">
        <f aca="false">IF(OR($D149="挂靠代收",$D149="我方收款"),COUNTIFS($D$5:$D149,"挂靠代收")+COUNTIFS($D$5:$D149,"我方收款"),"")</f>
        <v/>
      </c>
      <c r="Y149" s="35" t="s">
        <v>119</v>
      </c>
      <c r="Z149" s="21" t="s">
        <v>111</v>
      </c>
    </row>
    <row r="150" customFormat="false" ht="15.75" hidden="false" customHeight="true" outlineLevel="0" collapsed="false">
      <c r="A150" s="32" t="n">
        <f aca="false">IF($B150="","",ROW()-4)</f>
        <v>146</v>
      </c>
      <c r="B150" s="26" t="n">
        <v>46189</v>
      </c>
      <c r="C150" s="24" t="s">
        <v>190</v>
      </c>
      <c r="D150" s="21" t="s">
        <v>11</v>
      </c>
      <c r="E150" s="21" t="s">
        <v>119</v>
      </c>
      <c r="F150" s="21" t="s">
        <v>134</v>
      </c>
      <c r="G150" s="21"/>
      <c r="H150" s="27" t="n">
        <v>692.49</v>
      </c>
      <c r="I150" s="23" t="str">
        <f aca="false">IF($D150&lt;&gt;"销项开票","",IF($N150="一级",IF(IFERROR(INDEX(项目档案!$E$6:$E$255,MATCH($C150,项目档案!$A$6:$A$255,0)),"")="",N(IFERROR(INDEX(单位档案!$D$6:$D$35,MATCH($E150,单位档案!$A$6:$A$35,0)),"")),IFERROR(INDEX(项目档案!$E$6:$E$255,MATCH($C150,项目档案!$A$6:$A$255,0)),"")),IF($N150="二级",IF(IFERROR(INDEX(项目档案!$G$6:$G$255,MATCH($C150,项目档案!$A$6:$A$255,0)),"")="",N(IFERROR(INDEX(单位档案!$D$6:$D$35,MATCH($E150,单位档案!$A$6:$A$35,0)),"")),IFERROR(INDEX(项目档案!$G$6:$G$255,MATCH($C150,项目档案!$A$6:$A$255,0)),"")),N(IFERROR(INDEX(单位档案!$D$6:$D$35,MATCH($E150,单位档案!$A$6:$A$35,0)),"")))))</f>
        <v/>
      </c>
      <c r="J150" s="25" t="s">
        <v>450</v>
      </c>
      <c r="K150" s="22" t="s">
        <v>313</v>
      </c>
      <c r="L150" s="33" t="str">
        <f aca="false">IF($B150="","",IF(NOT(ISNUMBER($B150)),"日期格式不对",IF($C150="","未选项目编号",IF(LEFT($M150,1)="⚠","项目编号不存在",IF($D150="","未选业务类型",IF($E150="","未选开票/付款方",IF(ISNA(MATCH($E150,单位档案!$A$6:$A$35,0)),"开票方不在单位档案",IF($F150="","未选收票/收款方",IF(ISNA(MATCH($F150,单位档案!$A$6:$A$35,0)),"收款方不在单位档案",IF(NOT(ISNUMBER($H150)),"金额须为数字",IF(AND($D150="销项开票",$N150="—"),"链条待确认","√")))))))))))</f>
        <v>√</v>
      </c>
      <c r="M150" s="34" t="str">
        <f aca="false">IF($C150="","",IFERROR(INDEX(项目档案!$B$6:$B$255,MATCH($C150,项目档案!$A$6:$A$255,0)),"⚠项目编号不存在"))</f>
        <v>重庆民能实业有限公司2025-2026年度工程用施工机具等租赁服务框架采购（国网重庆铜梁公司110kV金湖东西电缆改造）</v>
      </c>
      <c r="N150" s="35" t="str">
        <f aca="false">IF($E150="","",IF($E150=IFERROR(INDEX(项目档案!$D$6:$D$255,MATCH($C150,项目档案!$A$6:$A$255,0)),""),"一级",IF($E150=IFERROR(INDEX(项目档案!$F$6:$F$255,MATCH($C150,项目档案!$A$6:$A$255,0)),""),"二级",IF($E150=IFERROR(INDEX(项目档案!$H$6:$H$255,MATCH($C150,项目档案!$A$6:$A$255,0)),""),"我方","—"))))</f>
        <v>一级</v>
      </c>
      <c r="O150" s="36" t="n">
        <f aca="false">IF($D150&lt;&gt;"销项开票",0,ROUND(N($H150)*N($I150),2))</f>
        <v>0</v>
      </c>
      <c r="P150" s="36" t="n">
        <f aca="false">IF($D150&lt;&gt;"销项开票",0,ROUND(N($H150)-$O150,2))</f>
        <v>0</v>
      </c>
      <c r="Q150" s="37" t="n">
        <f aca="false">IF($E150="","",N(IFERROR(INDEX(单位档案!$E$6:$E$35,MATCH($E150,单位档案!$A$6:$A$35,0)),"")))</f>
        <v>0.09</v>
      </c>
      <c r="R150" s="37" t="n">
        <f aca="false">IF($E150="","",N(IFERROR(INDEX(单位档案!$F$6:$F$35,MATCH($E150,单位档案!$A$6:$A$35,0)),"")))</f>
        <v>0.03</v>
      </c>
      <c r="S150" s="36" t="n">
        <f aca="false">IF(OR($D150&lt;&gt;"销项开票",IFERROR(INDEX(单位档案!$G$6:$G$35,MATCH($E150,单位档案!$A$6:$A$35,0)),"")&lt;&gt;"是",N($Q150)=0),0,IF(IFERROR(INDEX(单位档案!$H$6:$H$35,MATCH($E150,单位档案!$A$6:$A$35,0)),"")="税差法",ROUND(N($H150)/(1+$Q150)*$Q150-IF(N($R150)=0,0,$P150/(1+$R150)*$R150),2),ROUND(N($H150)/(1+$Q150)*$Q150,2)))</f>
        <v>0</v>
      </c>
      <c r="T150" s="36" t="n">
        <f aca="false">ROUND($S150*N(IFERROR(INDEX(单位档案!$J$6:$J$35,MATCH($E150,单位档案!$A$6:$A$35,0)),"")),2)</f>
        <v>0</v>
      </c>
      <c r="U150" s="36" t="n">
        <f aca="false">IF($D150&lt;&gt;"销项开票",0,ROUND(N($H150)*N(IFERROR(INDEX(单位档案!$K$6:$K$35,MATCH($E150,单位档案!$A$6:$A$35,0)),"")),2))</f>
        <v>0</v>
      </c>
      <c r="V150" s="36" t="n">
        <f aca="false">IF(OR($D150&lt;&gt;"销项开票",N($Q150)=0),0,ROUND(N($H150)/(1+$Q150)*N(IFERROR(INDEX(单位档案!$L$6:$L$35,MATCH($E150,单位档案!$A$6:$A$35,0)),"")),2))</f>
        <v>0</v>
      </c>
      <c r="W150" s="36" t="n">
        <f aca="false">ROUND($S150+$T150+$U150+$V150,2)</f>
        <v>0</v>
      </c>
      <c r="X150" s="35" t="str">
        <f aca="false">IF(OR($D150="挂靠代收",$D150="我方收款"),COUNTIFS($D$5:$D150,"挂靠代收")+COUNTIFS($D$5:$D150,"我方收款"),"")</f>
        <v/>
      </c>
      <c r="Y150" s="35" t="s">
        <v>119</v>
      </c>
      <c r="Z150" s="21" t="s">
        <v>111</v>
      </c>
    </row>
    <row r="151" customFormat="false" ht="15.75" hidden="false" customHeight="true" outlineLevel="0" collapsed="false">
      <c r="A151" s="32" t="n">
        <f aca="false">IF($B151="","",ROW()-4)</f>
        <v>147</v>
      </c>
      <c r="B151" s="26" t="n">
        <v>46189</v>
      </c>
      <c r="C151" s="24" t="s">
        <v>190</v>
      </c>
      <c r="D151" s="21" t="s">
        <v>11</v>
      </c>
      <c r="E151" s="21" t="s">
        <v>119</v>
      </c>
      <c r="F151" s="21" t="s">
        <v>134</v>
      </c>
      <c r="G151" s="21"/>
      <c r="H151" s="27" t="n">
        <v>1413.82</v>
      </c>
      <c r="I151" s="23" t="str">
        <f aca="false">IF($D151&lt;&gt;"销项开票","",IF($N151="一级",IF(IFERROR(INDEX(项目档案!$E$6:$E$255,MATCH($C151,项目档案!$A$6:$A$255,0)),"")="",N(IFERROR(INDEX(单位档案!$D$6:$D$35,MATCH($E151,单位档案!$A$6:$A$35,0)),"")),IFERROR(INDEX(项目档案!$E$6:$E$255,MATCH($C151,项目档案!$A$6:$A$255,0)),"")),IF($N151="二级",IF(IFERROR(INDEX(项目档案!$G$6:$G$255,MATCH($C151,项目档案!$A$6:$A$255,0)),"")="",N(IFERROR(INDEX(单位档案!$D$6:$D$35,MATCH($E151,单位档案!$A$6:$A$35,0)),"")),IFERROR(INDEX(项目档案!$G$6:$G$255,MATCH($C151,项目档案!$A$6:$A$255,0)),"")),N(IFERROR(INDEX(单位档案!$D$6:$D$35,MATCH($E151,单位档案!$A$6:$A$35,0)),"")))))</f>
        <v/>
      </c>
      <c r="J151" s="25" t="s">
        <v>451</v>
      </c>
      <c r="K151" s="22" t="s">
        <v>313</v>
      </c>
      <c r="L151" s="33" t="str">
        <f aca="false">IF($B151="","",IF(NOT(ISNUMBER($B151)),"日期格式不对",IF($C151="","未选项目编号",IF(LEFT($M151,1)="⚠","项目编号不存在",IF($D151="","未选业务类型",IF($E151="","未选开票/付款方",IF(ISNA(MATCH($E151,单位档案!$A$6:$A$35,0)),"开票方不在单位档案",IF($F151="","未选收票/收款方",IF(ISNA(MATCH($F151,单位档案!$A$6:$A$35,0)),"收款方不在单位档案",IF(NOT(ISNUMBER($H151)),"金额须为数字",IF(AND($D151="销项开票",$N151="—"),"链条待确认","√")))))))))))</f>
        <v>√</v>
      </c>
      <c r="M151" s="34" t="str">
        <f aca="false">IF($C151="","",IFERROR(INDEX(项目档案!$B$6:$B$255,MATCH($C151,项目档案!$A$6:$A$255,0)),"⚠项目编号不存在"))</f>
        <v>重庆民能实业有限公司2025-2026年度工程用施工机具等租赁服务框架采购（国网重庆铜梁公司110kV金湖东西电缆改造）</v>
      </c>
      <c r="N151" s="35" t="str">
        <f aca="false">IF($E151="","",IF($E151=IFERROR(INDEX(项目档案!$D$6:$D$255,MATCH($C151,项目档案!$A$6:$A$255,0)),""),"一级",IF($E151=IFERROR(INDEX(项目档案!$F$6:$F$255,MATCH($C151,项目档案!$A$6:$A$255,0)),""),"二级",IF($E151=IFERROR(INDEX(项目档案!$H$6:$H$255,MATCH($C151,项目档案!$A$6:$A$255,0)),""),"我方","—"))))</f>
        <v>一级</v>
      </c>
      <c r="O151" s="36" t="n">
        <f aca="false">IF($D151&lt;&gt;"销项开票",0,ROUND(N($H151)*N($I151),2))</f>
        <v>0</v>
      </c>
      <c r="P151" s="36" t="n">
        <f aca="false">IF($D151&lt;&gt;"销项开票",0,ROUND(N($H151)-$O151,2))</f>
        <v>0</v>
      </c>
      <c r="Q151" s="37" t="n">
        <f aca="false">IF($E151="","",N(IFERROR(INDEX(单位档案!$E$6:$E$35,MATCH($E151,单位档案!$A$6:$A$35,0)),"")))</f>
        <v>0.09</v>
      </c>
      <c r="R151" s="37" t="n">
        <f aca="false">IF($E151="","",N(IFERROR(INDEX(单位档案!$F$6:$F$35,MATCH($E151,单位档案!$A$6:$A$35,0)),"")))</f>
        <v>0.03</v>
      </c>
      <c r="S151" s="36" t="n">
        <f aca="false">IF(OR($D151&lt;&gt;"销项开票",IFERROR(INDEX(单位档案!$G$6:$G$35,MATCH($E151,单位档案!$A$6:$A$35,0)),"")&lt;&gt;"是",N($Q151)=0),0,IF(IFERROR(INDEX(单位档案!$H$6:$H$35,MATCH($E151,单位档案!$A$6:$A$35,0)),"")="税差法",ROUND(N($H151)/(1+$Q151)*$Q151-IF(N($R151)=0,0,$P151/(1+$R151)*$R151),2),ROUND(N($H151)/(1+$Q151)*$Q151,2)))</f>
        <v>0</v>
      </c>
      <c r="T151" s="36" t="n">
        <f aca="false">ROUND($S151*N(IFERROR(INDEX(单位档案!$J$6:$J$35,MATCH($E151,单位档案!$A$6:$A$35,0)),"")),2)</f>
        <v>0</v>
      </c>
      <c r="U151" s="36" t="n">
        <f aca="false">IF($D151&lt;&gt;"销项开票",0,ROUND(N($H151)*N(IFERROR(INDEX(单位档案!$K$6:$K$35,MATCH($E151,单位档案!$A$6:$A$35,0)),"")),2))</f>
        <v>0</v>
      </c>
      <c r="V151" s="36" t="n">
        <f aca="false">IF(OR($D151&lt;&gt;"销项开票",N($Q151)=0),0,ROUND(N($H151)/(1+$Q151)*N(IFERROR(INDEX(单位档案!$L$6:$L$35,MATCH($E151,单位档案!$A$6:$A$35,0)),"")),2))</f>
        <v>0</v>
      </c>
      <c r="W151" s="36" t="n">
        <f aca="false">ROUND($S151+$T151+$U151+$V151,2)</f>
        <v>0</v>
      </c>
      <c r="X151" s="35" t="str">
        <f aca="false">IF(OR($D151="挂靠代收",$D151="我方收款"),COUNTIFS($D$5:$D151,"挂靠代收")+COUNTIFS($D$5:$D151,"我方收款"),"")</f>
        <v/>
      </c>
      <c r="Y151" s="35" t="s">
        <v>119</v>
      </c>
      <c r="Z151" s="21" t="s">
        <v>111</v>
      </c>
    </row>
    <row r="152" customFormat="false" ht="15.75" hidden="false" customHeight="true" outlineLevel="0" collapsed="false">
      <c r="A152" s="32" t="n">
        <f aca="false">IF($B152="","",ROW()-4)</f>
        <v>148</v>
      </c>
      <c r="B152" s="26" t="n">
        <v>46190</v>
      </c>
      <c r="C152" s="24" t="s">
        <v>188</v>
      </c>
      <c r="D152" s="21" t="s">
        <v>357</v>
      </c>
      <c r="E152" s="21" t="s">
        <v>131</v>
      </c>
      <c r="F152" s="21" t="s">
        <v>106</v>
      </c>
      <c r="G152" s="24" t="s">
        <v>452</v>
      </c>
      <c r="H152" s="27" t="n">
        <v>35769.6</v>
      </c>
      <c r="I152" s="23" t="str">
        <f aca="false">IF($D152&lt;&gt;"销项开票","",IF($N152="一级",IF(IFERROR(INDEX(项目档案!$E$6:$E$255,MATCH($C152,项目档案!$A$6:$A$255,0)),"")="",N(IFERROR(INDEX(单位档案!$D$6:$D$35,MATCH($E152,单位档案!$A$6:$A$35,0)),"")),IFERROR(INDEX(项目档案!$E$6:$E$255,MATCH($C152,项目档案!$A$6:$A$255,0)),"")),IF($N152="二级",IF(IFERROR(INDEX(项目档案!$G$6:$G$255,MATCH($C152,项目档案!$A$6:$A$255,0)),"")="",N(IFERROR(INDEX(单位档案!$D$6:$D$35,MATCH($E152,单位档案!$A$6:$A$35,0)),"")),IFERROR(INDEX(项目档案!$G$6:$G$255,MATCH($C152,项目档案!$A$6:$A$255,0)),"")),N(IFERROR(INDEX(单位档案!$D$6:$D$35,MATCH($E152,单位档案!$A$6:$A$35,0)),"")))))</f>
        <v/>
      </c>
      <c r="J152" s="25" t="s">
        <v>453</v>
      </c>
      <c r="K152" s="22" t="s">
        <v>313</v>
      </c>
      <c r="L152" s="33" t="str">
        <f aca="false">IF($B152="","",IF(NOT(ISNUMBER($B152)),"日期格式不对",IF($C152="","未选项目编号",IF(LEFT($M152,1)="⚠","项目编号不存在",IF($D152="","未选业务类型",IF($E152="","未选开票/付款方",IF(ISNA(MATCH($E152,单位档案!$A$6:$A$35,0)),"开票方不在单位档案",IF($F152="","未选收票/收款方",IF(ISNA(MATCH($F152,单位档案!$A$6:$A$35,0)),"收款方不在单位档案",IF(NOT(ISNUMBER($H152)),"金额须为数字",IF(AND($D152="销项开票",$N152="—"),"链条待确认","√")))))))))))</f>
        <v>√</v>
      </c>
      <c r="M152" s="34" t="str">
        <f aca="false">IF($C152="","",IFERROR(INDEX(项目档案!$B$6:$B$255,MATCH($C152,项目档案!$A$6:$A$255,0)),"⚠项目编号不存在"))</f>
        <v>重庆德誉佳实业有限公司2025-2026年度工程用施工机具等租赁服务框架采购（国网重庆铜梁公司110kV金湖东西电缆改造）</v>
      </c>
      <c r="N152" s="35" t="str">
        <f aca="false">IF($E152="","",IF($E152=IFERROR(INDEX(项目档案!$D$6:$D$255,MATCH($C152,项目档案!$A$6:$A$255,0)),""),"一级",IF($E152=IFERROR(INDEX(项目档案!$F$6:$F$255,MATCH($C152,项目档案!$A$6:$A$255,0)),""),"二级",IF($E152=IFERROR(INDEX(项目档案!$H$6:$H$255,MATCH($C152,项目档案!$A$6:$A$255,0)),""),"我方","—"))))</f>
        <v>—</v>
      </c>
      <c r="O152" s="36" t="n">
        <f aca="false">IF($D152&lt;&gt;"销项开票",0,ROUND(N($H152)*N($I152),2))</f>
        <v>0</v>
      </c>
      <c r="P152" s="36" t="n">
        <f aca="false">IF($D152&lt;&gt;"销项开票",0,ROUND(N($H152)-$O152,2))</f>
        <v>0</v>
      </c>
      <c r="Q152" s="37" t="n">
        <f aca="false">IF($E152="","",N(IFERROR(INDEX(单位档案!$E$6:$E$35,MATCH($E152,单位档案!$A$6:$A$35,0)),"")))</f>
        <v>0.13</v>
      </c>
      <c r="R152" s="37" t="n">
        <f aca="false">IF($E152="","",N(IFERROR(INDEX(单位档案!$F$6:$F$35,MATCH($E152,单位档案!$A$6:$A$35,0)),"")))</f>
        <v>0</v>
      </c>
      <c r="S152" s="36" t="n">
        <f aca="false">IF(OR($D152&lt;&gt;"销项开票",IFERROR(INDEX(单位档案!$G$6:$G$35,MATCH($E152,单位档案!$A$6:$A$35,0)),"")&lt;&gt;"是",N($Q152)=0),0,IF(IFERROR(INDEX(单位档案!$H$6:$H$35,MATCH($E152,单位档案!$A$6:$A$35,0)),"")="税差法",ROUND(N($H152)/(1+$Q152)*$Q152-IF(N($R152)=0,0,$P152/(1+$R152)*$R152),2),ROUND(N($H152)/(1+$Q152)*$Q152,2)))</f>
        <v>0</v>
      </c>
      <c r="T152" s="36" t="n">
        <f aca="false">ROUND($S152*N(IFERROR(INDEX(单位档案!$J$6:$J$35,MATCH($E152,单位档案!$A$6:$A$35,0)),"")),2)</f>
        <v>0</v>
      </c>
      <c r="U152" s="36" t="n">
        <f aca="false">IF($D152&lt;&gt;"销项开票",0,ROUND(N($H152)*N(IFERROR(INDEX(单位档案!$K$6:$K$35,MATCH($E152,单位档案!$A$6:$A$35,0)),"")),2))</f>
        <v>0</v>
      </c>
      <c r="V152" s="36" t="n">
        <f aca="false">IF(OR($D152&lt;&gt;"销项开票",N($Q152)=0),0,ROUND(N($H152)/(1+$Q152)*N(IFERROR(INDEX(单位档案!$L$6:$L$35,MATCH($E152,单位档案!$A$6:$A$35,0)),"")),2))</f>
        <v>0</v>
      </c>
      <c r="W152" s="36" t="n">
        <f aca="false">ROUND($S152+$T152+$U152+$V152,2)</f>
        <v>0</v>
      </c>
      <c r="X152" s="35" t="str">
        <f aca="false">IF(OR($D152="挂靠代收",$D152="我方收款"),COUNTIFS($D$5:$D152,"挂靠代收")+COUNTIFS($D$5:$D152,"我方收款"),"")</f>
        <v/>
      </c>
      <c r="Y152" s="35" t="s">
        <v>106</v>
      </c>
      <c r="Z152" s="21" t="s">
        <v>111</v>
      </c>
    </row>
    <row r="153" customFormat="false" ht="15.75" hidden="false" customHeight="true" outlineLevel="0" collapsed="false">
      <c r="A153" s="32" t="n">
        <f aca="false">IF($B153="","",ROW()-4)</f>
        <v>149</v>
      </c>
      <c r="B153" s="26" t="n">
        <v>46191</v>
      </c>
      <c r="C153" s="24" t="s">
        <v>188</v>
      </c>
      <c r="D153" s="21" t="s">
        <v>307</v>
      </c>
      <c r="E153" s="21" t="s">
        <v>106</v>
      </c>
      <c r="F153" s="21" t="s">
        <v>97</v>
      </c>
      <c r="G153" s="24" t="s">
        <v>308</v>
      </c>
      <c r="H153" s="27" t="n">
        <v>58660</v>
      </c>
      <c r="I153" s="23" t="n">
        <v>0.08</v>
      </c>
      <c r="J153" s="25" t="s">
        <v>454</v>
      </c>
      <c r="K153" s="22" t="s">
        <v>313</v>
      </c>
      <c r="L153" s="33" t="str">
        <f aca="false">IF($B153="","",IF(NOT(ISNUMBER($B153)),"日期格式不对",IF($C153="","未选项目编号",IF(LEFT($M153,1)="⚠","项目编号不存在",IF($D153="","未选业务类型",IF($E153="","未选开票/付款方",IF(ISNA(MATCH($E153,单位档案!$A$6:$A$35,0)),"开票方不在单位档案",IF($F153="","未选收票/收款方",IF(ISNA(MATCH($F153,单位档案!$A$6:$A$35,0)),"收款方不在单位档案",IF(NOT(ISNUMBER($H153)),"金额须为数字",IF(AND($D153="销项开票",$N153="—"),"链条待确认","√")))))))))))</f>
        <v>√</v>
      </c>
      <c r="M153" s="34" t="str">
        <f aca="false">IF($C153="","",IFERROR(INDEX(项目档案!$B$6:$B$255,MATCH($C153,项目档案!$A$6:$A$255,0)),"⚠项目编号不存在"))</f>
        <v>重庆德誉佳实业有限公司2025-2026年度工程用施工机具等租赁服务框架采购（国网重庆铜梁公司110kV金湖东西电缆改造）</v>
      </c>
      <c r="N153" s="35" t="str">
        <f aca="false">IF($E153="","",IF($E153=IFERROR(INDEX(项目档案!$D$6:$D$255,MATCH($C153,项目档案!$A$6:$A$255,0)),""),"一级",IF($E153=IFERROR(INDEX(项目档案!$F$6:$F$255,MATCH($C153,项目档案!$A$6:$A$255,0)),""),"二级",IF($E153=IFERROR(INDEX(项目档案!$H$6:$H$255,MATCH($C153,项目档案!$A$6:$A$255,0)),""),"我方","—"))))</f>
        <v>一级</v>
      </c>
      <c r="O153" s="36" t="n">
        <f aca="false">IF($D153&lt;&gt;"销项开票",0,ROUND(N($H153)*N($I153),2))</f>
        <v>4692.8</v>
      </c>
      <c r="P153" s="36" t="n">
        <f aca="false">IF($D153&lt;&gt;"销项开票",0,ROUND(N($H153)-$O153,2))</f>
        <v>53967.2</v>
      </c>
      <c r="Q153" s="37" t="n">
        <f aca="false">IF($E153="","",N(IFERROR(INDEX(单位档案!$E$6:$E$35,MATCH($E153,单位档案!$A$6:$A$35,0)),"")))</f>
        <v>0.13</v>
      </c>
      <c r="R153" s="37" t="n">
        <f aca="false">IF($E153="","",N(IFERROR(INDEX(单位档案!$F$6:$F$35,MATCH($E153,单位档案!$A$6:$A$35,0)),"")))</f>
        <v>0.13</v>
      </c>
      <c r="S153" s="36" t="n">
        <f aca="false">IF(OR($D153&lt;&gt;"销项开票",IFERROR(INDEX(单位档案!$G$6:$G$35,MATCH($E153,单位档案!$A$6:$A$35,0)),"")&lt;&gt;"是",N($Q153)=0),0,IF(IFERROR(INDEX(单位档案!$H$6:$H$35,MATCH($E153,单位档案!$A$6:$A$35,0)),"")="税差法",ROUND(N($H153)/(1+$Q153)*$Q153-IF(N($R153)=0,0,$P153/(1+$R153)*$R153),2),ROUND(N($H153)/(1+$Q153)*$Q153,2)))</f>
        <v>0</v>
      </c>
      <c r="T153" s="36" t="n">
        <f aca="false">ROUND($S153*N(IFERROR(INDEX(单位档案!$J$6:$J$35,MATCH($E153,单位档案!$A$6:$A$35,0)),"")),2)</f>
        <v>0</v>
      </c>
      <c r="U153" s="36" t="n">
        <f aca="false">IF($D153&lt;&gt;"销项开票",0,ROUND(N($H153)*N(IFERROR(INDEX(单位档案!$K$6:$K$35,MATCH($E153,单位档案!$A$6:$A$35,0)),"")),2))</f>
        <v>0</v>
      </c>
      <c r="V153" s="36" t="n">
        <f aca="false">IF(OR($D153&lt;&gt;"销项开票",N($Q153)=0),0,ROUND(N($H153)/(1+$Q153)*N(IFERROR(INDEX(单位档案!$L$6:$L$35,MATCH($E153,单位档案!$A$6:$A$35,0)),"")),2))</f>
        <v>0</v>
      </c>
      <c r="W153" s="36" t="n">
        <f aca="false">ROUND($S153+$T153+$U153+$V153,2)</f>
        <v>0</v>
      </c>
      <c r="X153" s="35" t="str">
        <f aca="false">IF(OR($D153="挂靠代收",$D153="我方收款"),COUNTIFS($D$5:$D153,"挂靠代收")+COUNTIFS($D$5:$D153,"我方收款"),"")</f>
        <v/>
      </c>
      <c r="Y153" s="35" t="s">
        <v>106</v>
      </c>
      <c r="Z153" s="21" t="s">
        <v>111</v>
      </c>
    </row>
    <row r="154" customFormat="false" ht="15.75" hidden="false" customHeight="true" outlineLevel="0" collapsed="false">
      <c r="A154" s="32" t="n">
        <f aca="false">IF($B154="","",ROW()-4)</f>
        <v>150</v>
      </c>
      <c r="B154" s="26" t="n">
        <v>46191</v>
      </c>
      <c r="C154" s="24" t="s">
        <v>188</v>
      </c>
      <c r="D154" s="21" t="s">
        <v>307</v>
      </c>
      <c r="E154" s="21" t="s">
        <v>106</v>
      </c>
      <c r="F154" s="21" t="s">
        <v>97</v>
      </c>
      <c r="G154" s="24" t="s">
        <v>308</v>
      </c>
      <c r="H154" s="27" t="n">
        <v>38880</v>
      </c>
      <c r="I154" s="23" t="n">
        <v>0.08</v>
      </c>
      <c r="J154" s="25" t="s">
        <v>455</v>
      </c>
      <c r="K154" s="22" t="s">
        <v>313</v>
      </c>
      <c r="L154" s="33" t="str">
        <f aca="false">IF($B154="","",IF(NOT(ISNUMBER($B154)),"日期格式不对",IF($C154="","未选项目编号",IF(LEFT($M154,1)="⚠","项目编号不存在",IF($D154="","未选业务类型",IF($E154="","未选开票/付款方",IF(ISNA(MATCH($E154,单位档案!$A$6:$A$35,0)),"开票方不在单位档案",IF($F154="","未选收票/收款方",IF(ISNA(MATCH($F154,单位档案!$A$6:$A$35,0)),"收款方不在单位档案",IF(NOT(ISNUMBER($H154)),"金额须为数字",IF(AND($D154="销项开票",$N154="—"),"链条待确认","√")))))))))))</f>
        <v>√</v>
      </c>
      <c r="M154" s="34" t="str">
        <f aca="false">IF($C154="","",IFERROR(INDEX(项目档案!$B$6:$B$255,MATCH($C154,项目档案!$A$6:$A$255,0)),"⚠项目编号不存在"))</f>
        <v>重庆德誉佳实业有限公司2025-2026年度工程用施工机具等租赁服务框架采购（国网重庆铜梁公司110kV金湖东西电缆改造）</v>
      </c>
      <c r="N154" s="35" t="str">
        <f aca="false">IF($E154="","",IF($E154=IFERROR(INDEX(项目档案!$D$6:$D$255,MATCH($C154,项目档案!$A$6:$A$255,0)),""),"一级",IF($E154=IFERROR(INDEX(项目档案!$F$6:$F$255,MATCH($C154,项目档案!$A$6:$A$255,0)),""),"二级",IF($E154=IFERROR(INDEX(项目档案!$H$6:$H$255,MATCH($C154,项目档案!$A$6:$A$255,0)),""),"我方","—"))))</f>
        <v>一级</v>
      </c>
      <c r="O154" s="36" t="n">
        <f aca="false">IF($D154&lt;&gt;"销项开票",0,ROUND(N($H154)*N($I154),2))</f>
        <v>3110.4</v>
      </c>
      <c r="P154" s="36" t="n">
        <f aca="false">IF($D154&lt;&gt;"销项开票",0,ROUND(N($H154)-$O154,2))</f>
        <v>35769.6</v>
      </c>
      <c r="Q154" s="37" t="n">
        <f aca="false">IF($E154="","",N(IFERROR(INDEX(单位档案!$E$6:$E$35,MATCH($E154,单位档案!$A$6:$A$35,0)),"")))</f>
        <v>0.13</v>
      </c>
      <c r="R154" s="37" t="n">
        <f aca="false">IF($E154="","",N(IFERROR(INDEX(单位档案!$F$6:$F$35,MATCH($E154,单位档案!$A$6:$A$35,0)),"")))</f>
        <v>0.13</v>
      </c>
      <c r="S154" s="36" t="n">
        <f aca="false">IF(OR($D154&lt;&gt;"销项开票",IFERROR(INDEX(单位档案!$G$6:$G$35,MATCH($E154,单位档案!$A$6:$A$35,0)),"")&lt;&gt;"是",N($Q154)=0),0,IF(IFERROR(INDEX(单位档案!$H$6:$H$35,MATCH($E154,单位档案!$A$6:$A$35,0)),"")="税差法",ROUND(N($H154)/(1+$Q154)*$Q154-IF(N($R154)=0,0,$P154/(1+$R154)*$R154),2),ROUND(N($H154)/(1+$Q154)*$Q154,2)))</f>
        <v>0</v>
      </c>
      <c r="T154" s="36" t="n">
        <f aca="false">ROUND($S154*N(IFERROR(INDEX(单位档案!$J$6:$J$35,MATCH($E154,单位档案!$A$6:$A$35,0)),"")),2)</f>
        <v>0</v>
      </c>
      <c r="U154" s="36" t="n">
        <f aca="false">IF($D154&lt;&gt;"销项开票",0,ROUND(N($H154)*N(IFERROR(INDEX(单位档案!$K$6:$K$35,MATCH($E154,单位档案!$A$6:$A$35,0)),"")),2))</f>
        <v>0</v>
      </c>
      <c r="V154" s="36" t="n">
        <f aca="false">IF(OR($D154&lt;&gt;"销项开票",N($Q154)=0),0,ROUND(N($H154)/(1+$Q154)*N(IFERROR(INDEX(单位档案!$L$6:$L$35,MATCH($E154,单位档案!$A$6:$A$35,0)),"")),2))</f>
        <v>0</v>
      </c>
      <c r="W154" s="36" t="n">
        <f aca="false">ROUND($S154+$T154+$U154+$V154,2)</f>
        <v>0</v>
      </c>
      <c r="X154" s="35" t="str">
        <f aca="false">IF(OR($D154="挂靠代收",$D154="我方收款"),COUNTIFS($D$5:$D154,"挂靠代收")+COUNTIFS($D$5:$D154,"我方收款"),"")</f>
        <v/>
      </c>
      <c r="Y154" s="35" t="s">
        <v>106</v>
      </c>
      <c r="Z154" s="21" t="s">
        <v>111</v>
      </c>
    </row>
    <row r="155" customFormat="false" ht="15.75" hidden="false" customHeight="true" outlineLevel="0" collapsed="false">
      <c r="A155" s="32" t="n">
        <f aca="false">IF($B155="","",ROW()-4)</f>
        <v>151</v>
      </c>
      <c r="B155" s="26" t="n">
        <v>46191</v>
      </c>
      <c r="C155" s="24" t="s">
        <v>188</v>
      </c>
      <c r="D155" s="21" t="s">
        <v>314</v>
      </c>
      <c r="E155" s="21" t="s">
        <v>127</v>
      </c>
      <c r="F155" s="21" t="s">
        <v>106</v>
      </c>
      <c r="G155" s="24" t="s">
        <v>308</v>
      </c>
      <c r="H155" s="27" t="n">
        <v>7803.2</v>
      </c>
      <c r="I155" s="23" t="str">
        <f aca="false">IF($D155&lt;&gt;"销项开票","",IF($N155="一级",IF(IFERROR(INDEX(项目档案!$E$6:$E$255,MATCH($C155,项目档案!$A$6:$A$255,0)),"")="",N(IFERROR(INDEX(单位档案!$D$6:$D$35,MATCH($E155,单位档案!$A$6:$A$35,0)),"")),IFERROR(INDEX(项目档案!$E$6:$E$255,MATCH($C155,项目档案!$A$6:$A$255,0)),"")),IF($N155="二级",IF(IFERROR(INDEX(项目档案!$G$6:$G$255,MATCH($C155,项目档案!$A$6:$A$255,0)),"")="",N(IFERROR(INDEX(单位档案!$D$6:$D$35,MATCH($E155,单位档案!$A$6:$A$35,0)),"")),IFERROR(INDEX(项目档案!$G$6:$G$255,MATCH($C155,项目档案!$A$6:$A$255,0)),"")),N(IFERROR(INDEX(单位档案!$D$6:$D$35,MATCH($E155,单位档案!$A$6:$A$35,0)),"")))))</f>
        <v/>
      </c>
      <c r="J155" s="25" t="s">
        <v>455</v>
      </c>
      <c r="K155" s="22" t="s">
        <v>313</v>
      </c>
      <c r="L155" s="33" t="str">
        <f aca="false">IF($B155="","",IF(NOT(ISNUMBER($B155)),"日期格式不对",IF($C155="","未选项目编号",IF(LEFT($M155,1)="⚠","项目编号不存在",IF($D155="","未选业务类型",IF($E155="","未选开票/付款方",IF(ISNA(MATCH($E155,单位档案!$A$6:$A$35,0)),"开票方不在单位档案",IF($F155="","未选收票/收款方",IF(ISNA(MATCH($F155,单位档案!$A$6:$A$35,0)),"收款方不在单位档案",IF(NOT(ISNUMBER($H155)),"金额须为数字",IF(AND($D155="销项开票",$N155="—"),"链条待确认","√")))))))))))</f>
        <v>√</v>
      </c>
      <c r="M155" s="34" t="str">
        <f aca="false">IF($C155="","",IFERROR(INDEX(项目档案!$B$6:$B$255,MATCH($C155,项目档案!$A$6:$A$255,0)),"⚠项目编号不存在"))</f>
        <v>重庆德誉佳实业有限公司2025-2026年度工程用施工机具等租赁服务框架采购（国网重庆铜梁公司110kV金湖东西电缆改造）</v>
      </c>
      <c r="N155" s="35" t="str">
        <f aca="false">IF($E155="","",IF($E155=IFERROR(INDEX(项目档案!$D$6:$D$255,MATCH($C155,项目档案!$A$6:$A$255,0)),""),"一级",IF($E155=IFERROR(INDEX(项目档案!$F$6:$F$255,MATCH($C155,项目档案!$A$6:$A$255,0)),""),"二级",IF($E155=IFERROR(INDEX(项目档案!$H$6:$H$255,MATCH($C155,项目档案!$A$6:$A$255,0)),""),"我方","—"))))</f>
        <v>我方</v>
      </c>
      <c r="O155" s="36" t="n">
        <f aca="false">IF($D155&lt;&gt;"销项开票",0,ROUND(N($H155)*N($I155),2))</f>
        <v>0</v>
      </c>
      <c r="P155" s="36" t="n">
        <f aca="false">IF($D155&lt;&gt;"销项开票",0,ROUND(N($H155)-$O155,2))</f>
        <v>0</v>
      </c>
      <c r="Q155" s="37" t="n">
        <f aca="false">IF($E155="","",N(IFERROR(INDEX(单位档案!$E$6:$E$35,MATCH($E155,单位档案!$A$6:$A$35,0)),"")))</f>
        <v>0.03</v>
      </c>
      <c r="R155" s="37" t="n">
        <f aca="false">IF($E155="","",N(IFERROR(INDEX(单位档案!$F$6:$F$35,MATCH($E155,单位档案!$A$6:$A$35,0)),"")))</f>
        <v>0</v>
      </c>
      <c r="S155" s="36" t="n">
        <f aca="false">IF(OR($D155&lt;&gt;"销项开票",IFERROR(INDEX(单位档案!$G$6:$G$35,MATCH($E155,单位档案!$A$6:$A$35,0)),"")&lt;&gt;"是",N($Q155)=0),0,IF(IFERROR(INDEX(单位档案!$H$6:$H$35,MATCH($E155,单位档案!$A$6:$A$35,0)),"")="税差法",ROUND(N($H155)/(1+$Q155)*$Q155-IF(N($R155)=0,0,$P155/(1+$R155)*$R155),2),ROUND(N($H155)/(1+$Q155)*$Q155,2)))</f>
        <v>0</v>
      </c>
      <c r="T155" s="36" t="n">
        <f aca="false">ROUND($S155*N(IFERROR(INDEX(单位档案!$J$6:$J$35,MATCH($E155,单位档案!$A$6:$A$35,0)),"")),2)</f>
        <v>0</v>
      </c>
      <c r="U155" s="36" t="n">
        <f aca="false">IF($D155&lt;&gt;"销项开票",0,ROUND(N($H155)*N(IFERROR(INDEX(单位档案!$K$6:$K$35,MATCH($E155,单位档案!$A$6:$A$35,0)),"")),2))</f>
        <v>0</v>
      </c>
      <c r="V155" s="36" t="n">
        <f aca="false">IF(OR($D155&lt;&gt;"销项开票",N($Q155)=0),0,ROUND(N($H155)/(1+$Q155)*N(IFERROR(INDEX(单位档案!$L$6:$L$35,MATCH($E155,单位档案!$A$6:$A$35,0)),"")),2))</f>
        <v>0</v>
      </c>
      <c r="W155" s="36" t="n">
        <f aca="false">ROUND($S155+$T155+$U155+$V155,2)</f>
        <v>0</v>
      </c>
      <c r="X155" s="35" t="str">
        <f aca="false">IF(OR($D155="挂靠代收",$D155="我方收款"),COUNTIFS($D$5:$D155,"挂靠代收")+COUNTIFS($D$5:$D155,"我方收款"),"")</f>
        <v/>
      </c>
      <c r="Y155" s="35" t="s">
        <v>106</v>
      </c>
      <c r="Z155" s="21" t="s">
        <v>111</v>
      </c>
    </row>
    <row r="156" customFormat="false" ht="15.75" hidden="false" customHeight="true" outlineLevel="0" collapsed="false">
      <c r="A156" s="32" t="n">
        <f aca="false">IF($B156="","",ROW()-4)</f>
        <v>152</v>
      </c>
      <c r="B156" s="26" t="n">
        <v>46191</v>
      </c>
      <c r="C156" s="24" t="s">
        <v>188</v>
      </c>
      <c r="D156" s="21" t="s">
        <v>357</v>
      </c>
      <c r="E156" s="21" t="s">
        <v>131</v>
      </c>
      <c r="F156" s="21" t="s">
        <v>106</v>
      </c>
      <c r="G156" s="24" t="s">
        <v>308</v>
      </c>
      <c r="H156" s="27" t="n">
        <v>53967.2</v>
      </c>
      <c r="I156" s="23" t="str">
        <f aca="false">IF($D156&lt;&gt;"销项开票","",IF($N156="一级",IF(IFERROR(INDEX(项目档案!$E$6:$E$255,MATCH($C156,项目档案!$A$6:$A$255,0)),"")="",N(IFERROR(INDEX(单位档案!$D$6:$D$35,MATCH($E156,单位档案!$A$6:$A$35,0)),"")),IFERROR(INDEX(项目档案!$E$6:$E$255,MATCH($C156,项目档案!$A$6:$A$255,0)),"")),IF($N156="二级",IF(IFERROR(INDEX(项目档案!$G$6:$G$255,MATCH($C156,项目档案!$A$6:$A$255,0)),"")="",N(IFERROR(INDEX(单位档案!$D$6:$D$35,MATCH($E156,单位档案!$A$6:$A$35,0)),"")),IFERROR(INDEX(项目档案!$G$6:$G$255,MATCH($C156,项目档案!$A$6:$A$255,0)),"")),N(IFERROR(INDEX(单位档案!$D$6:$D$35,MATCH($E156,单位档案!$A$6:$A$35,0)),"")))))</f>
        <v/>
      </c>
      <c r="J156" s="25" t="s">
        <v>456</v>
      </c>
      <c r="K156" s="22" t="s">
        <v>313</v>
      </c>
      <c r="L156" s="33" t="str">
        <f aca="false">IF($B156="","",IF(NOT(ISNUMBER($B156)),"日期格式不对",IF($C156="","未选项目编号",IF(LEFT($M156,1)="⚠","项目编号不存在",IF($D156="","未选业务类型",IF($E156="","未选开票/付款方",IF(ISNA(MATCH($E156,单位档案!$A$6:$A$35,0)),"开票方不在单位档案",IF($F156="","未选收票/收款方",IF(ISNA(MATCH($F156,单位档案!$A$6:$A$35,0)),"收款方不在单位档案",IF(NOT(ISNUMBER($H156)),"金额须为数字",IF(AND($D156="销项开票",$N156="—"),"链条待确认","√")))))))))))</f>
        <v>√</v>
      </c>
      <c r="M156" s="34" t="str">
        <f aca="false">IF($C156="","",IFERROR(INDEX(项目档案!$B$6:$B$255,MATCH($C156,项目档案!$A$6:$A$255,0)),"⚠项目编号不存在"))</f>
        <v>重庆德誉佳实业有限公司2025-2026年度工程用施工机具等租赁服务框架采购（国网重庆铜梁公司110kV金湖东西电缆改造）</v>
      </c>
      <c r="N156" s="35" t="str">
        <f aca="false">IF($E156="","",IF($E156=IFERROR(INDEX(项目档案!$D$6:$D$255,MATCH($C156,项目档案!$A$6:$A$255,0)),""),"一级",IF($E156=IFERROR(INDEX(项目档案!$F$6:$F$255,MATCH($C156,项目档案!$A$6:$A$255,0)),""),"二级",IF($E156=IFERROR(INDEX(项目档案!$H$6:$H$255,MATCH($C156,项目档案!$A$6:$A$255,0)),""),"我方","—"))))</f>
        <v>—</v>
      </c>
      <c r="O156" s="36" t="n">
        <f aca="false">IF($D156&lt;&gt;"销项开票",0,ROUND(N($H156)*N($I156),2))</f>
        <v>0</v>
      </c>
      <c r="P156" s="36" t="n">
        <f aca="false">IF($D156&lt;&gt;"销项开票",0,ROUND(N($H156)-$O156,2))</f>
        <v>0</v>
      </c>
      <c r="Q156" s="37" t="n">
        <f aca="false">IF($E156="","",N(IFERROR(INDEX(单位档案!$E$6:$E$35,MATCH($E156,单位档案!$A$6:$A$35,0)),"")))</f>
        <v>0.13</v>
      </c>
      <c r="R156" s="37" t="n">
        <f aca="false">IF($E156="","",N(IFERROR(INDEX(单位档案!$F$6:$F$35,MATCH($E156,单位档案!$A$6:$A$35,0)),"")))</f>
        <v>0</v>
      </c>
      <c r="S156" s="36" t="n">
        <f aca="false">IF(OR($D156&lt;&gt;"销项开票",IFERROR(INDEX(单位档案!$G$6:$G$35,MATCH($E156,单位档案!$A$6:$A$35,0)),"")&lt;&gt;"是",N($Q156)=0),0,IF(IFERROR(INDEX(单位档案!$H$6:$H$35,MATCH($E156,单位档案!$A$6:$A$35,0)),"")="税差法",ROUND(N($H156)/(1+$Q156)*$Q156-IF(N($R156)=0,0,$P156/(1+$R156)*$R156),2),ROUND(N($H156)/(1+$Q156)*$Q156,2)))</f>
        <v>0</v>
      </c>
      <c r="T156" s="36" t="n">
        <f aca="false">ROUND($S156*N(IFERROR(INDEX(单位档案!$J$6:$J$35,MATCH($E156,单位档案!$A$6:$A$35,0)),"")),2)</f>
        <v>0</v>
      </c>
      <c r="U156" s="36" t="n">
        <f aca="false">IF($D156&lt;&gt;"销项开票",0,ROUND(N($H156)*N(IFERROR(INDEX(单位档案!$K$6:$K$35,MATCH($E156,单位档案!$A$6:$A$35,0)),"")),2))</f>
        <v>0</v>
      </c>
      <c r="V156" s="36" t="n">
        <f aca="false">IF(OR($D156&lt;&gt;"销项开票",N($Q156)=0),0,ROUND(N($H156)/(1+$Q156)*N(IFERROR(INDEX(单位档案!$L$6:$L$35,MATCH($E156,单位档案!$A$6:$A$35,0)),"")),2))</f>
        <v>0</v>
      </c>
      <c r="W156" s="36" t="n">
        <f aca="false">ROUND($S156+$T156+$U156+$V156,2)</f>
        <v>0</v>
      </c>
      <c r="X156" s="35" t="str">
        <f aca="false">IF(OR($D156="挂靠代收",$D156="我方收款"),COUNTIFS($D$5:$D156,"挂靠代收")+COUNTIFS($D$5:$D156,"我方收款"),"")</f>
        <v/>
      </c>
      <c r="Y156" s="35" t="s">
        <v>106</v>
      </c>
      <c r="Z156" s="21" t="s">
        <v>111</v>
      </c>
    </row>
    <row r="157" customFormat="false" ht="15.75" hidden="false" customHeight="true" outlineLevel="0" collapsed="false">
      <c r="A157" s="32" t="n">
        <f aca="false">IF($B157="","",ROW()-4)</f>
        <v>153</v>
      </c>
      <c r="B157" s="26" t="n">
        <v>46195</v>
      </c>
      <c r="C157" s="24" t="s">
        <v>199</v>
      </c>
      <c r="D157" s="21" t="s">
        <v>307</v>
      </c>
      <c r="E157" s="21" t="s">
        <v>114</v>
      </c>
      <c r="F157" s="21" t="s">
        <v>97</v>
      </c>
      <c r="G157" s="24" t="s">
        <v>316</v>
      </c>
      <c r="H157" s="27" t="n">
        <v>6701.38</v>
      </c>
      <c r="I157" s="23" t="n">
        <v>0.02</v>
      </c>
      <c r="J157" s="25" t="s">
        <v>457</v>
      </c>
      <c r="K157" s="22" t="s">
        <v>313</v>
      </c>
      <c r="L157" s="33" t="str">
        <f aca="false">IF($B157="","",IF(NOT(ISNUMBER($B157)),"日期格式不对",IF($C157="","未选项目编号",IF(LEFT($M157,1)="⚠","项目编号不存在",IF($D157="","未选业务类型",IF($E157="","未选开票/付款方",IF(ISNA(MATCH($E157,单位档案!$A$6:$A$35,0)),"开票方不在单位档案",IF($F157="","未选收票/收款方",IF(ISNA(MATCH($F157,单位档案!$A$6:$A$35,0)),"收款方不在单位档案",IF(NOT(ISNUMBER($H157)),"金额须为数字",IF(AND($D157="销项开票",$N157="—"),"链条待确认","√")))))))))))</f>
        <v>√</v>
      </c>
      <c r="M157" s="34" t="str">
        <f aca="false">IF($C157="","",IFERROR(INDEX(项目档案!$B$6:$B$255,MATCH($C157,项目档案!$A$6:$A$255,0)),"⚠项目编号不存在"))</f>
        <v>铜梁公司2026年配电专业应急抢修抢险等外包项目（黄荆4社等台区4个隐患治理项目、三湾1.2社等台区2个应急抢修项目)</v>
      </c>
      <c r="N157" s="35" t="str">
        <f aca="false">IF($E157="","",IF($E157=IFERROR(INDEX(项目档案!$D$6:$D$255,MATCH($C157,项目档案!$A$6:$A$255,0)),""),"一级",IF($E157=IFERROR(INDEX(项目档案!$F$6:$F$255,MATCH($C157,项目档案!$A$6:$A$255,0)),""),"二级",IF($E157=IFERROR(INDEX(项目档案!$H$6:$H$255,MATCH($C157,项目档案!$A$6:$A$255,0)),""),"我方","—"))))</f>
        <v>一级</v>
      </c>
      <c r="O157" s="36" t="n">
        <f aca="false">IF($D157&lt;&gt;"销项开票",0,ROUND(N($H157)*N($I157),2))</f>
        <v>134.03</v>
      </c>
      <c r="P157" s="36" t="n">
        <f aca="false">IF($D157&lt;&gt;"销项开票",0,ROUND(N($H157)-$O157,2))</f>
        <v>6567.35</v>
      </c>
      <c r="Q157" s="37" t="n">
        <f aca="false">IF($E157="","",N(IFERROR(INDEX(单位档案!$E$6:$E$35,MATCH($E157,单位档案!$A$6:$A$35,0)),"")))</f>
        <v>0.03</v>
      </c>
      <c r="R157" s="37" t="n">
        <f aca="false">IF($E157="","",N(IFERROR(INDEX(单位档案!$F$6:$F$35,MATCH($E157,单位档案!$A$6:$A$35,0)),"")))</f>
        <v>0.01</v>
      </c>
      <c r="S157" s="36" t="n">
        <f aca="false">IF(OR($D157&lt;&gt;"销项开票",IFERROR(INDEX(单位档案!$G$6:$G$35,MATCH($E157,单位档案!$A$6:$A$35,0)),"")&lt;&gt;"是",N($Q157)=0),0,IF(IFERROR(INDEX(单位档案!$H$6:$H$35,MATCH($E157,单位档案!$A$6:$A$35,0)),"")="税差法",ROUND(N($H157)/(1+$Q157)*$Q157-IF(N($R157)=0,0,$P157/(1+$R157)*$R157),2),ROUND(N($H157)/(1+$Q157)*$Q157,2)))</f>
        <v>195.19</v>
      </c>
      <c r="T157" s="36" t="n">
        <f aca="false">ROUND($S157*N(IFERROR(INDEX(单位档案!$J$6:$J$35,MATCH($E157,单位档案!$A$6:$A$35,0)),"")),2)</f>
        <v>23.42</v>
      </c>
      <c r="U157" s="36" t="n">
        <f aca="false">IF($D157&lt;&gt;"销项开票",0,ROUND(N($H157)*N(IFERROR(INDEX(单位档案!$K$6:$K$35,MATCH($E157,单位档案!$A$6:$A$35,0)),"")),2))</f>
        <v>2.01</v>
      </c>
      <c r="V157" s="36" t="n">
        <f aca="false">IF(OR($D157&lt;&gt;"销项开票",N($Q157)=0),0,ROUND(N($H157)/(1+$Q157)*N(IFERROR(INDEX(单位档案!$L$6:$L$35,MATCH($E157,单位档案!$A$6:$A$35,0)),"")),2))</f>
        <v>0</v>
      </c>
      <c r="W157" s="36" t="n">
        <f aca="false">ROUND($S157+$T157+$U157+$V157,2)</f>
        <v>220.62</v>
      </c>
      <c r="X157" s="35" t="str">
        <f aca="false">IF(OR($D157="挂靠代收",$D157="我方收款"),COUNTIFS($D$5:$D157,"挂靠代收")+COUNTIFS($D$5:$D157,"我方收款"),"")</f>
        <v/>
      </c>
      <c r="Y157" s="35" t="s">
        <v>114</v>
      </c>
      <c r="Z157" s="21" t="s">
        <v>111</v>
      </c>
    </row>
    <row r="158" customFormat="false" ht="15.75" hidden="false" customHeight="true" outlineLevel="0" collapsed="false">
      <c r="A158" s="32" t="n">
        <f aca="false">IF($B158="","",ROW()-4)</f>
        <v>154</v>
      </c>
      <c r="B158" s="26" t="n">
        <v>46195</v>
      </c>
      <c r="C158" s="24" t="s">
        <v>199</v>
      </c>
      <c r="D158" s="21" t="s">
        <v>357</v>
      </c>
      <c r="E158" s="21" t="s">
        <v>127</v>
      </c>
      <c r="F158" s="21" t="s">
        <v>114</v>
      </c>
      <c r="G158" s="24" t="s">
        <v>316</v>
      </c>
      <c r="H158" s="27" t="n">
        <v>6567.35</v>
      </c>
      <c r="I158" s="23" t="str">
        <f aca="false">IF($D158&lt;&gt;"销项开票","",IF($N158="一级",IF(IFERROR(INDEX(项目档案!$E$6:$E$255,MATCH($C158,项目档案!$A$6:$A$255,0)),"")="",N(IFERROR(INDEX(单位档案!$D$6:$D$35,MATCH($E158,单位档案!$A$6:$A$35,0)),"")),IFERROR(INDEX(项目档案!$E$6:$E$255,MATCH($C158,项目档案!$A$6:$A$255,0)),"")),IF($N158="二级",IF(IFERROR(INDEX(项目档案!$G$6:$G$255,MATCH($C158,项目档案!$A$6:$A$255,0)),"")="",N(IFERROR(INDEX(单位档案!$D$6:$D$35,MATCH($E158,单位档案!$A$6:$A$35,0)),"")),IFERROR(INDEX(项目档案!$G$6:$G$255,MATCH($C158,项目档案!$A$6:$A$255,0)),"")),N(IFERROR(INDEX(单位档案!$D$6:$D$35,MATCH($E158,单位档案!$A$6:$A$35,0)),"")))))</f>
        <v/>
      </c>
      <c r="J158" s="25" t="s">
        <v>458</v>
      </c>
      <c r="K158" s="22" t="s">
        <v>313</v>
      </c>
      <c r="L158" s="33" t="str">
        <f aca="false">IF($B158="","",IF(NOT(ISNUMBER($B158)),"日期格式不对",IF($C158="","未选项目编号",IF(LEFT($M158,1)="⚠","项目编号不存在",IF($D158="","未选业务类型",IF($E158="","未选开票/付款方",IF(ISNA(MATCH($E158,单位档案!$A$6:$A$35,0)),"开票方不在单位档案",IF($F158="","未选收票/收款方",IF(ISNA(MATCH($F158,单位档案!$A$6:$A$35,0)),"收款方不在单位档案",IF(NOT(ISNUMBER($H158)),"金额须为数字",IF(AND($D158="销项开票",$N158="—"),"链条待确认","√")))))))))))</f>
        <v>√</v>
      </c>
      <c r="M158" s="34" t="str">
        <f aca="false">IF($C158="","",IFERROR(INDEX(项目档案!$B$6:$B$255,MATCH($C158,项目档案!$A$6:$A$255,0)),"⚠项目编号不存在"))</f>
        <v>铜梁公司2026年配电专业应急抢修抢险等外包项目（黄荆4社等台区4个隐患治理项目、三湾1.2社等台区2个应急抢修项目)</v>
      </c>
      <c r="N158" s="35" t="str">
        <f aca="false">IF($E158="","",IF($E158=IFERROR(INDEX(项目档案!$D$6:$D$255,MATCH($C158,项目档案!$A$6:$A$255,0)),""),"一级",IF($E158=IFERROR(INDEX(项目档案!$F$6:$F$255,MATCH($C158,项目档案!$A$6:$A$255,0)),""),"二级",IF($E158=IFERROR(INDEX(项目档案!$H$6:$H$255,MATCH($C158,项目档案!$A$6:$A$255,0)),""),"我方","—"))))</f>
        <v>我方</v>
      </c>
      <c r="O158" s="36" t="n">
        <f aca="false">IF($D158&lt;&gt;"销项开票",0,ROUND(N($H158)*N($I158),2))</f>
        <v>0</v>
      </c>
      <c r="P158" s="36" t="n">
        <f aca="false">IF($D158&lt;&gt;"销项开票",0,ROUND(N($H158)-$O158,2))</f>
        <v>0</v>
      </c>
      <c r="Q158" s="37" t="n">
        <f aca="false">IF($E158="","",N(IFERROR(INDEX(单位档案!$E$6:$E$35,MATCH($E158,单位档案!$A$6:$A$35,0)),"")))</f>
        <v>0.03</v>
      </c>
      <c r="R158" s="37" t="n">
        <f aca="false">IF($E158="","",N(IFERROR(INDEX(单位档案!$F$6:$F$35,MATCH($E158,单位档案!$A$6:$A$35,0)),"")))</f>
        <v>0</v>
      </c>
      <c r="S158" s="36" t="n">
        <f aca="false">IF(OR($D158&lt;&gt;"销项开票",IFERROR(INDEX(单位档案!$G$6:$G$35,MATCH($E158,单位档案!$A$6:$A$35,0)),"")&lt;&gt;"是",N($Q158)=0),0,IF(IFERROR(INDEX(单位档案!$H$6:$H$35,MATCH($E158,单位档案!$A$6:$A$35,0)),"")="税差法",ROUND(N($H158)/(1+$Q158)*$Q158-IF(N($R158)=0,0,$P158/(1+$R158)*$R158),2),ROUND(N($H158)/(1+$Q158)*$Q158,2)))</f>
        <v>0</v>
      </c>
      <c r="T158" s="36" t="n">
        <f aca="false">ROUND($S158*N(IFERROR(INDEX(单位档案!$J$6:$J$35,MATCH($E158,单位档案!$A$6:$A$35,0)),"")),2)</f>
        <v>0</v>
      </c>
      <c r="U158" s="36" t="n">
        <f aca="false">IF($D158&lt;&gt;"销项开票",0,ROUND(N($H158)*N(IFERROR(INDEX(单位档案!$K$6:$K$35,MATCH($E158,单位档案!$A$6:$A$35,0)),"")),2))</f>
        <v>0</v>
      </c>
      <c r="V158" s="36" t="n">
        <f aca="false">IF(OR($D158&lt;&gt;"销项开票",N($Q158)=0),0,ROUND(N($H158)/(1+$Q158)*N(IFERROR(INDEX(单位档案!$L$6:$L$35,MATCH($E158,单位档案!$A$6:$A$35,0)),"")),2))</f>
        <v>0</v>
      </c>
      <c r="W158" s="36" t="n">
        <f aca="false">ROUND($S158+$T158+$U158+$V158,2)</f>
        <v>0</v>
      </c>
      <c r="X158" s="35" t="str">
        <f aca="false">IF(OR($D158="挂靠代收",$D158="我方收款"),COUNTIFS($D$5:$D158,"挂靠代收")+COUNTIFS($D$5:$D158,"我方收款"),"")</f>
        <v/>
      </c>
      <c r="Y158" s="35" t="s">
        <v>114</v>
      </c>
      <c r="Z158" s="21" t="s">
        <v>111</v>
      </c>
    </row>
    <row r="159" customFormat="false" ht="15.75" hidden="false" customHeight="true" outlineLevel="0" collapsed="false">
      <c r="A159" s="32" t="n">
        <f aca="false">IF($B159="","",ROW()-4)</f>
        <v>155</v>
      </c>
      <c r="B159" s="26" t="n">
        <v>46195</v>
      </c>
      <c r="C159" s="24" t="s">
        <v>199</v>
      </c>
      <c r="D159" s="21" t="s">
        <v>314</v>
      </c>
      <c r="E159" s="21" t="s">
        <v>127</v>
      </c>
      <c r="F159" s="21" t="s">
        <v>114</v>
      </c>
      <c r="G159" s="24" t="s">
        <v>316</v>
      </c>
      <c r="H159" s="27" t="n">
        <v>134.03</v>
      </c>
      <c r="I159" s="23" t="str">
        <f aca="false">IF($D159&lt;&gt;"销项开票","",IF($N159="一级",IF(IFERROR(INDEX(项目档案!$E$6:$E$255,MATCH($C159,项目档案!$A$6:$A$255,0)),"")="",N(IFERROR(INDEX(单位档案!$D$6:$D$35,MATCH($E159,单位档案!$A$6:$A$35,0)),"")),IFERROR(INDEX(项目档案!$E$6:$E$255,MATCH($C159,项目档案!$A$6:$A$255,0)),"")),IF($N159="二级",IF(IFERROR(INDEX(项目档案!$G$6:$G$255,MATCH($C159,项目档案!$A$6:$A$255,0)),"")="",N(IFERROR(INDEX(单位档案!$D$6:$D$35,MATCH($E159,单位档案!$A$6:$A$35,0)),"")),IFERROR(INDEX(项目档案!$G$6:$G$255,MATCH($C159,项目档案!$A$6:$A$255,0)),"")),N(IFERROR(INDEX(单位档案!$D$6:$D$35,MATCH($E159,单位档案!$A$6:$A$35,0)),"")))))</f>
        <v/>
      </c>
      <c r="J159" s="25" t="s">
        <v>458</v>
      </c>
      <c r="K159" s="22" t="s">
        <v>313</v>
      </c>
      <c r="L159" s="33" t="str">
        <f aca="false">IF($B159="","",IF(NOT(ISNUMBER($B159)),"日期格式不对",IF($C159="","未选项目编号",IF(LEFT($M159,1)="⚠","项目编号不存在",IF($D159="","未选业务类型",IF($E159="","未选开票/付款方",IF(ISNA(MATCH($E159,单位档案!$A$6:$A$35,0)),"开票方不在单位档案",IF($F159="","未选收票/收款方",IF(ISNA(MATCH($F159,单位档案!$A$6:$A$35,0)),"收款方不在单位档案",IF(NOT(ISNUMBER($H159)),"金额须为数字",IF(AND($D159="销项开票",$N159="—"),"链条待确认","√")))))))))))</f>
        <v>√</v>
      </c>
      <c r="M159" s="34" t="str">
        <f aca="false">IF($C159="","",IFERROR(INDEX(项目档案!$B$6:$B$255,MATCH($C159,项目档案!$A$6:$A$255,0)),"⚠项目编号不存在"))</f>
        <v>铜梁公司2026年配电专业应急抢修抢险等外包项目（黄荆4社等台区4个隐患治理项目、三湾1.2社等台区2个应急抢修项目)</v>
      </c>
      <c r="N159" s="35" t="str">
        <f aca="false">IF($E159="","",IF($E159=IFERROR(INDEX(项目档案!$D$6:$D$255,MATCH($C159,项目档案!$A$6:$A$255,0)),""),"一级",IF($E159=IFERROR(INDEX(项目档案!$F$6:$F$255,MATCH($C159,项目档案!$A$6:$A$255,0)),""),"二级",IF($E159=IFERROR(INDEX(项目档案!$H$6:$H$255,MATCH($C159,项目档案!$A$6:$A$255,0)),""),"我方","—"))))</f>
        <v>我方</v>
      </c>
      <c r="O159" s="36" t="n">
        <f aca="false">IF($D159&lt;&gt;"销项开票",0,ROUND(N($H159)*N($I159),2))</f>
        <v>0</v>
      </c>
      <c r="P159" s="36" t="n">
        <f aca="false">IF($D159&lt;&gt;"销项开票",0,ROUND(N($H159)-$O159,2))</f>
        <v>0</v>
      </c>
      <c r="Q159" s="37" t="n">
        <f aca="false">IF($E159="","",N(IFERROR(INDEX(单位档案!$E$6:$E$35,MATCH($E159,单位档案!$A$6:$A$35,0)),"")))</f>
        <v>0.03</v>
      </c>
      <c r="R159" s="37" t="n">
        <f aca="false">IF($E159="","",N(IFERROR(INDEX(单位档案!$F$6:$F$35,MATCH($E159,单位档案!$A$6:$A$35,0)),"")))</f>
        <v>0</v>
      </c>
      <c r="S159" s="36" t="n">
        <f aca="false">IF(OR($D159&lt;&gt;"销项开票",IFERROR(INDEX(单位档案!$G$6:$G$35,MATCH($E159,单位档案!$A$6:$A$35,0)),"")&lt;&gt;"是",N($Q159)=0),0,IF(IFERROR(INDEX(单位档案!$H$6:$H$35,MATCH($E159,单位档案!$A$6:$A$35,0)),"")="税差法",ROUND(N($H159)/(1+$Q159)*$Q159-IF(N($R159)=0,0,$P159/(1+$R159)*$R159),2),ROUND(N($H159)/(1+$Q159)*$Q159,2)))</f>
        <v>0</v>
      </c>
      <c r="T159" s="36" t="n">
        <f aca="false">ROUND($S159*N(IFERROR(INDEX(单位档案!$J$6:$J$35,MATCH($E159,单位档案!$A$6:$A$35,0)),"")),2)</f>
        <v>0</v>
      </c>
      <c r="U159" s="36" t="n">
        <f aca="false">IF($D159&lt;&gt;"销项开票",0,ROUND(N($H159)*N(IFERROR(INDEX(单位档案!$K$6:$K$35,MATCH($E159,单位档案!$A$6:$A$35,0)),"")),2))</f>
        <v>0</v>
      </c>
      <c r="V159" s="36" t="n">
        <f aca="false">IF(OR($D159&lt;&gt;"销项开票",N($Q159)=0),0,ROUND(N($H159)/(1+$Q159)*N(IFERROR(INDEX(单位档案!$L$6:$L$35,MATCH($E159,单位档案!$A$6:$A$35,0)),"")),2))</f>
        <v>0</v>
      </c>
      <c r="W159" s="36" t="n">
        <f aca="false">ROUND($S159+$T159+$U159+$V159,2)</f>
        <v>0</v>
      </c>
      <c r="X159" s="35" t="str">
        <f aca="false">IF(OR($D159="挂靠代收",$D159="我方收款"),COUNTIFS($D$5:$D159,"挂靠代收")+COUNTIFS($D$5:$D159,"我方收款"),"")</f>
        <v/>
      </c>
      <c r="Y159" s="35" t="s">
        <v>114</v>
      </c>
      <c r="Z159" s="21" t="s">
        <v>111</v>
      </c>
    </row>
    <row r="160" customFormat="false" ht="15.75" hidden="false" customHeight="true" outlineLevel="0" collapsed="false">
      <c r="A160" s="32" t="n">
        <f aca="false">IF($B160="","",ROW()-4)</f>
        <v>156</v>
      </c>
      <c r="B160" s="26" t="n">
        <v>46195</v>
      </c>
      <c r="C160" s="24" t="s">
        <v>150</v>
      </c>
      <c r="D160" s="21" t="s">
        <v>11</v>
      </c>
      <c r="E160" s="21" t="s">
        <v>119</v>
      </c>
      <c r="F160" s="21" t="s">
        <v>134</v>
      </c>
      <c r="G160" s="21"/>
      <c r="H160" s="27" t="n">
        <v>2.44</v>
      </c>
      <c r="I160" s="23" t="str">
        <f aca="false">IF($D160&lt;&gt;"销项开票","",IF($N160="一级",IF(IFERROR(INDEX(项目档案!$E$6:$E$255,MATCH($C160,项目档案!$A$6:$A$255,0)),"")="",N(IFERROR(INDEX(单位档案!$D$6:$D$35,MATCH($E160,单位档案!$A$6:$A$35,0)),"")),IFERROR(INDEX(项目档案!$E$6:$E$255,MATCH($C160,项目档案!$A$6:$A$255,0)),"")),IF($N160="二级",IF(IFERROR(INDEX(项目档案!$G$6:$G$255,MATCH($C160,项目档案!$A$6:$A$255,0)),"")="",N(IFERROR(INDEX(单位档案!$D$6:$D$35,MATCH($E160,单位档案!$A$6:$A$35,0)),"")),IFERROR(INDEX(项目档案!$G$6:$G$255,MATCH($C160,项目档案!$A$6:$A$255,0)),"")),N(IFERROR(INDEX(单位档案!$D$6:$D$35,MATCH($E160,单位档案!$A$6:$A$35,0)),"")))))</f>
        <v/>
      </c>
      <c r="J160" s="25" t="s">
        <v>459</v>
      </c>
      <c r="K160" s="22" t="s">
        <v>313</v>
      </c>
      <c r="L160" s="33" t="str">
        <f aca="false">IF($B160="","",IF(NOT(ISNUMBER($B160)),"日期格式不对",IF($C160="","未选项目编号",IF(LEFT($M160,1)="⚠","项目编号不存在",IF($D160="","未选业务类型",IF($E160="","未选开票/付款方",IF(ISNA(MATCH($E160,单位档案!$A$6:$A$35,0)),"开票方不在单位档案",IF($F160="","未选收票/收款方",IF(ISNA(MATCH($F160,单位档案!$A$6:$A$35,0)),"收款方不在单位档案",IF(NOT(ISNUMBER($H160)),"金额须为数字",IF(AND($D160="销项开票",$N160="—"),"链条待确认","√")))))))))))</f>
        <v>√</v>
      </c>
      <c r="M160" s="34" t="str">
        <f aca="false">IF($C160="","",IFERROR(INDEX(项目档案!$B$6:$B$255,MATCH($C160,项目档案!$A$6:$A$255,0)),"⚠项目编号不存在"))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60" s="35" t="str">
        <f aca="false">IF($E160="","",IF($E160=IFERROR(INDEX(项目档案!$D$6:$D$255,MATCH($C160,项目档案!$A$6:$A$255,0)),""),"一级",IF($E160=IFERROR(INDEX(项目档案!$F$6:$F$255,MATCH($C160,项目档案!$A$6:$A$255,0)),""),"二级",IF($E160=IFERROR(INDEX(项目档案!$H$6:$H$255,MATCH($C160,项目档案!$A$6:$A$255,0)),""),"我方","—"))))</f>
        <v>一级</v>
      </c>
      <c r="O160" s="36" t="n">
        <f aca="false">IF($D160&lt;&gt;"销项开票",0,ROUND(N($H160)*N($I160),2))</f>
        <v>0</v>
      </c>
      <c r="P160" s="36" t="n">
        <f aca="false">IF($D160&lt;&gt;"销项开票",0,ROUND(N($H160)-$O160,2))</f>
        <v>0</v>
      </c>
      <c r="Q160" s="37" t="n">
        <f aca="false">IF($E160="","",N(IFERROR(INDEX(单位档案!$E$6:$E$35,MATCH($E160,单位档案!$A$6:$A$35,0)),"")))</f>
        <v>0.09</v>
      </c>
      <c r="R160" s="37" t="n">
        <f aca="false">IF($E160="","",N(IFERROR(INDEX(单位档案!$F$6:$F$35,MATCH($E160,单位档案!$A$6:$A$35,0)),"")))</f>
        <v>0.03</v>
      </c>
      <c r="S160" s="36" t="n">
        <f aca="false">IF(OR($D160&lt;&gt;"销项开票",IFERROR(INDEX(单位档案!$G$6:$G$35,MATCH($E160,单位档案!$A$6:$A$35,0)),"")&lt;&gt;"是",N($Q160)=0),0,IF(IFERROR(INDEX(单位档案!$H$6:$H$35,MATCH($E160,单位档案!$A$6:$A$35,0)),"")="税差法",ROUND(N($H160)/(1+$Q160)*$Q160-IF(N($R160)=0,0,$P160/(1+$R160)*$R160),2),ROUND(N($H160)/(1+$Q160)*$Q160,2)))</f>
        <v>0</v>
      </c>
      <c r="T160" s="36" t="n">
        <f aca="false">ROUND($S160*N(IFERROR(INDEX(单位档案!$J$6:$J$35,MATCH($E160,单位档案!$A$6:$A$35,0)),"")),2)</f>
        <v>0</v>
      </c>
      <c r="U160" s="36" t="n">
        <f aca="false">IF($D160&lt;&gt;"销项开票",0,ROUND(N($H160)*N(IFERROR(INDEX(单位档案!$K$6:$K$35,MATCH($E160,单位档案!$A$6:$A$35,0)),"")),2))</f>
        <v>0</v>
      </c>
      <c r="V160" s="36" t="n">
        <f aca="false">IF(OR($D160&lt;&gt;"销项开票",N($Q160)=0),0,ROUND(N($H160)/(1+$Q160)*N(IFERROR(INDEX(单位档案!$L$6:$L$35,MATCH($E160,单位档案!$A$6:$A$35,0)),"")),2))</f>
        <v>0</v>
      </c>
      <c r="W160" s="36" t="n">
        <f aca="false">ROUND($S160+$T160+$U160+$V160,2)</f>
        <v>0</v>
      </c>
      <c r="X160" s="35" t="str">
        <f aca="false">IF(OR($D160="挂靠代收",$D160="我方收款"),COUNTIFS($D$5:$D160,"挂靠代收")+COUNTIFS($D$5:$D160,"我方收款"),"")</f>
        <v/>
      </c>
      <c r="Y160" s="35" t="s">
        <v>119</v>
      </c>
      <c r="Z160" s="21" t="s">
        <v>111</v>
      </c>
    </row>
    <row r="161" customFormat="false" ht="15.75" hidden="false" customHeight="true" outlineLevel="0" collapsed="false">
      <c r="A161" s="32" t="n">
        <f aca="false">IF($B161="","",ROW()-4)</f>
        <v>157</v>
      </c>
      <c r="B161" s="26" t="n">
        <v>46196</v>
      </c>
      <c r="C161" s="24" t="s">
        <v>199</v>
      </c>
      <c r="D161" s="21" t="s">
        <v>11</v>
      </c>
      <c r="E161" s="21" t="s">
        <v>110</v>
      </c>
      <c r="F161" s="21" t="s">
        <v>134</v>
      </c>
      <c r="G161" s="21"/>
      <c r="H161" s="27" t="n">
        <v>1679.77</v>
      </c>
      <c r="I161" s="23" t="str">
        <f aca="false">IF($D161&lt;&gt;"销项开票","",IF($N161="一级",IF(IFERROR(INDEX(项目档案!$E$6:$E$255,MATCH($C161,项目档案!$A$6:$A$255,0)),"")="",N(IFERROR(INDEX(单位档案!$D$6:$D$35,MATCH($E161,单位档案!$A$6:$A$35,0)),"")),IFERROR(INDEX(项目档案!$E$6:$E$255,MATCH($C161,项目档案!$A$6:$A$255,0)),"")),IF($N161="二级",IF(IFERROR(INDEX(项目档案!$G$6:$G$255,MATCH($C161,项目档案!$A$6:$A$255,0)),"")="",N(IFERROR(INDEX(单位档案!$D$6:$D$35,MATCH($E161,单位档案!$A$6:$A$35,0)),"")),IFERROR(INDEX(项目档案!$G$6:$G$255,MATCH($C161,项目档案!$A$6:$A$255,0)),"")),N(IFERROR(INDEX(单位档案!$D$6:$D$35,MATCH($E161,单位档案!$A$6:$A$35,0)),"")))))</f>
        <v/>
      </c>
      <c r="J161" s="25" t="s">
        <v>460</v>
      </c>
      <c r="K161" s="22" t="s">
        <v>313</v>
      </c>
      <c r="L161" s="33" t="str">
        <f aca="false">IF($B161="","",IF(NOT(ISNUMBER($B161)),"日期格式不对",IF($C161="","未选项目编号",IF(LEFT($M161,1)="⚠","项目编号不存在",IF($D161="","未选业务类型",IF($E161="","未选开票/付款方",IF(ISNA(MATCH($E161,单位档案!$A$6:$A$35,0)),"开票方不在单位档案",IF($F161="","未选收票/收款方",IF(ISNA(MATCH($F161,单位档案!$A$6:$A$35,0)),"收款方不在单位档案",IF(NOT(ISNUMBER($H161)),"金额须为数字",IF(AND($D161="销项开票",$N161="—"),"链条待确认","√")))))))))))</f>
        <v>√</v>
      </c>
      <c r="M161" s="34" t="str">
        <f aca="false">IF($C161="","",IFERROR(INDEX(项目档案!$B$6:$B$255,MATCH($C161,项目档案!$A$6:$A$255,0)),"⚠项目编号不存在"))</f>
        <v>铜梁公司2026年配电专业应急抢修抢险等外包项目（黄荆4社等台区4个隐患治理项目、三湾1.2社等台区2个应急抢修项目)</v>
      </c>
      <c r="N161" s="35" t="str">
        <f aca="false">IF($E161="","",IF($E161=IFERROR(INDEX(项目档案!$D$6:$D$255,MATCH($C161,项目档案!$A$6:$A$255,0)),""),"一级",IF($E161=IFERROR(INDEX(项目档案!$F$6:$F$255,MATCH($C161,项目档案!$A$6:$A$255,0)),""),"二级",IF($E161=IFERROR(INDEX(项目档案!$H$6:$H$255,MATCH($C161,项目档案!$A$6:$A$255,0)),""),"我方","—"))))</f>
        <v>—</v>
      </c>
      <c r="O161" s="36" t="n">
        <f aca="false">IF($D161&lt;&gt;"销项开票",0,ROUND(N($H161)*N($I161),2))</f>
        <v>0</v>
      </c>
      <c r="P161" s="36" t="n">
        <f aca="false">IF($D161&lt;&gt;"销项开票",0,ROUND(N($H161)-$O161,2))</f>
        <v>0</v>
      </c>
      <c r="Q161" s="37" t="n">
        <f aca="false">IF($E161="","",N(IFERROR(INDEX(单位档案!$E$6:$E$35,MATCH($E161,单位档案!$A$6:$A$35,0)),"")))</f>
        <v>0.09</v>
      </c>
      <c r="R161" s="37" t="n">
        <f aca="false">IF($E161="","",N(IFERROR(INDEX(单位档案!$F$6:$F$35,MATCH($E161,单位档案!$A$6:$A$35,0)),"")))</f>
        <v>0.03</v>
      </c>
      <c r="S161" s="36" t="n">
        <f aca="false">IF(OR($D161&lt;&gt;"销项开票",IFERROR(INDEX(单位档案!$G$6:$G$35,MATCH($E161,单位档案!$A$6:$A$35,0)),"")&lt;&gt;"是",N($Q161)=0),0,IF(IFERROR(INDEX(单位档案!$H$6:$H$35,MATCH($E161,单位档案!$A$6:$A$35,0)),"")="税差法",ROUND(N($H161)/(1+$Q161)*$Q161-IF(N($R161)=0,0,$P161/(1+$R161)*$R161),2),ROUND(N($H161)/(1+$Q161)*$Q161,2)))</f>
        <v>0</v>
      </c>
      <c r="T161" s="36" t="n">
        <f aca="false">ROUND($S161*N(IFERROR(INDEX(单位档案!$J$6:$J$35,MATCH($E161,单位档案!$A$6:$A$35,0)),"")),2)</f>
        <v>0</v>
      </c>
      <c r="U161" s="36" t="n">
        <f aca="false">IF($D161&lt;&gt;"销项开票",0,ROUND(N($H161)*N(IFERROR(INDEX(单位档案!$K$6:$K$35,MATCH($E161,单位档案!$A$6:$A$35,0)),"")),2))</f>
        <v>0</v>
      </c>
      <c r="V161" s="36" t="n">
        <f aca="false">IF(OR($D161&lt;&gt;"销项开票",N($Q161)=0),0,ROUND(N($H161)/(1+$Q161)*N(IFERROR(INDEX(单位档案!$L$6:$L$35,MATCH($E161,单位档案!$A$6:$A$35,0)),"")),2))</f>
        <v>0</v>
      </c>
      <c r="W161" s="36" t="n">
        <f aca="false">ROUND($S161+$T161+$U161+$V161,2)</f>
        <v>0</v>
      </c>
      <c r="X161" s="35" t="str">
        <f aca="false">IF(OR($D161="挂靠代收",$D161="我方收款"),COUNTIFS($D$5:$D161,"挂靠代收")+COUNTIFS($D$5:$D161,"我方收款"),"")</f>
        <v/>
      </c>
      <c r="Y161" s="35" t="s">
        <v>110</v>
      </c>
      <c r="Z161" s="21" t="s">
        <v>111</v>
      </c>
    </row>
    <row r="162" customFormat="false" ht="15.75" hidden="false" customHeight="true" outlineLevel="0" collapsed="false">
      <c r="A162" s="32" t="n">
        <f aca="false">IF($B162="","",ROW()-4)</f>
        <v>158</v>
      </c>
      <c r="B162" s="26" t="n">
        <v>46196</v>
      </c>
      <c r="C162" s="24" t="s">
        <v>199</v>
      </c>
      <c r="D162" s="21" t="s">
        <v>314</v>
      </c>
      <c r="E162" s="21" t="s">
        <v>127</v>
      </c>
      <c r="F162" s="21" t="s">
        <v>110</v>
      </c>
      <c r="G162" s="21"/>
      <c r="H162" s="27" t="n">
        <v>706.05</v>
      </c>
      <c r="I162" s="23" t="str">
        <f aca="false">IF($D162&lt;&gt;"销项开票","",IF($N162="一级",IF(IFERROR(INDEX(项目档案!$E$6:$E$255,MATCH($C162,项目档案!$A$6:$A$255,0)),"")="",N(IFERROR(INDEX(单位档案!$D$6:$D$35,MATCH($E162,单位档案!$A$6:$A$35,0)),"")),IFERROR(INDEX(项目档案!$E$6:$E$255,MATCH($C162,项目档案!$A$6:$A$255,0)),"")),IF($N162="二级",IF(IFERROR(INDEX(项目档案!$G$6:$G$255,MATCH($C162,项目档案!$A$6:$A$255,0)),"")="",N(IFERROR(INDEX(单位档案!$D$6:$D$35,MATCH($E162,单位档案!$A$6:$A$35,0)),"")),IFERROR(INDEX(项目档案!$G$6:$G$255,MATCH($C162,项目档案!$A$6:$A$255,0)),"")),N(IFERROR(INDEX(单位档案!$D$6:$D$35,MATCH($E162,单位档案!$A$6:$A$35,0)),"")))))</f>
        <v/>
      </c>
      <c r="J162" s="25" t="s">
        <v>460</v>
      </c>
      <c r="K162" s="22" t="s">
        <v>313</v>
      </c>
      <c r="L162" s="33" t="str">
        <f aca="false">IF($B162="","",IF(NOT(ISNUMBER($B162)),"日期格式不对",IF($C162="","未选项目编号",IF(LEFT($M162,1)="⚠","项目编号不存在",IF($D162="","未选业务类型",IF($E162="","未选开票/付款方",IF(ISNA(MATCH($E162,单位档案!$A$6:$A$35,0)),"开票方不在单位档案",IF($F162="","未选收票/收款方",IF(ISNA(MATCH($F162,单位档案!$A$6:$A$35,0)),"收款方不在单位档案",IF(NOT(ISNUMBER($H162)),"金额须为数字",IF(AND($D162="销项开票",$N162="—"),"链条待确认","√")))))))))))</f>
        <v>√</v>
      </c>
      <c r="M162" s="34" t="str">
        <f aca="false">IF($C162="","",IFERROR(INDEX(项目档案!$B$6:$B$255,MATCH($C162,项目档案!$A$6:$A$255,0)),"⚠项目编号不存在"))</f>
        <v>铜梁公司2026年配电专业应急抢修抢险等外包项目（黄荆4社等台区4个隐患治理项目、三湾1.2社等台区2个应急抢修项目)</v>
      </c>
      <c r="N162" s="35" t="str">
        <f aca="false">IF($E162="","",IF($E162=IFERROR(INDEX(项目档案!$D$6:$D$255,MATCH($C162,项目档案!$A$6:$A$255,0)),""),"一级",IF($E162=IFERROR(INDEX(项目档案!$F$6:$F$255,MATCH($C162,项目档案!$A$6:$A$255,0)),""),"二级",IF($E162=IFERROR(INDEX(项目档案!$H$6:$H$255,MATCH($C162,项目档案!$A$6:$A$255,0)),""),"我方","—"))))</f>
        <v>我方</v>
      </c>
      <c r="O162" s="36" t="n">
        <f aca="false">IF($D162&lt;&gt;"销项开票",0,ROUND(N($H162)*N($I162),2))</f>
        <v>0</v>
      </c>
      <c r="P162" s="36" t="n">
        <f aca="false">IF($D162&lt;&gt;"销项开票",0,ROUND(N($H162)-$O162,2))</f>
        <v>0</v>
      </c>
      <c r="Q162" s="37" t="n">
        <f aca="false">IF($E162="","",N(IFERROR(INDEX(单位档案!$E$6:$E$35,MATCH($E162,单位档案!$A$6:$A$35,0)),"")))</f>
        <v>0.03</v>
      </c>
      <c r="R162" s="37" t="n">
        <f aca="false">IF($E162="","",N(IFERROR(INDEX(单位档案!$F$6:$F$35,MATCH($E162,单位档案!$A$6:$A$35,0)),"")))</f>
        <v>0</v>
      </c>
      <c r="S162" s="36" t="n">
        <f aca="false">IF(OR($D162&lt;&gt;"销项开票",IFERROR(INDEX(单位档案!$G$6:$G$35,MATCH($E162,单位档案!$A$6:$A$35,0)),"")&lt;&gt;"是",N($Q162)=0),0,IF(IFERROR(INDEX(单位档案!$H$6:$H$35,MATCH($E162,单位档案!$A$6:$A$35,0)),"")="税差法",ROUND(N($H162)/(1+$Q162)*$Q162-IF(N($R162)=0,0,$P162/(1+$R162)*$R162),2),ROUND(N($H162)/(1+$Q162)*$Q162,2)))</f>
        <v>0</v>
      </c>
      <c r="T162" s="36" t="n">
        <f aca="false">ROUND($S162*N(IFERROR(INDEX(单位档案!$J$6:$J$35,MATCH($E162,单位档案!$A$6:$A$35,0)),"")),2)</f>
        <v>0</v>
      </c>
      <c r="U162" s="36" t="n">
        <f aca="false">IF($D162&lt;&gt;"销项开票",0,ROUND(N($H162)*N(IFERROR(INDEX(单位档案!$K$6:$K$35,MATCH($E162,单位档案!$A$6:$A$35,0)),"")),2))</f>
        <v>0</v>
      </c>
      <c r="V162" s="36" t="n">
        <f aca="false">IF(OR($D162&lt;&gt;"销项开票",N($Q162)=0),0,ROUND(N($H162)/(1+$Q162)*N(IFERROR(INDEX(单位档案!$L$6:$L$35,MATCH($E162,单位档案!$A$6:$A$35,0)),"")),2))</f>
        <v>0</v>
      </c>
      <c r="W162" s="36" t="n">
        <f aca="false">ROUND($S162+$T162+$U162+$V162,2)</f>
        <v>0</v>
      </c>
      <c r="X162" s="35" t="str">
        <f aca="false">IF(OR($D162="挂靠代收",$D162="我方收款"),COUNTIFS($D$5:$D162,"挂靠代收")+COUNTIFS($D$5:$D162,"我方收款"),"")</f>
        <v/>
      </c>
      <c r="Y162" s="35" t="s">
        <v>110</v>
      </c>
      <c r="Z162" s="21" t="s">
        <v>111</v>
      </c>
    </row>
    <row r="163" customFormat="false" ht="15.75" hidden="false" customHeight="true" outlineLevel="0" collapsed="false">
      <c r="A163" s="32" t="n">
        <f aca="false">IF($B163="","",ROW()-4)</f>
        <v>159</v>
      </c>
      <c r="B163" s="26" t="n">
        <v>46196</v>
      </c>
      <c r="C163" s="24" t="s">
        <v>201</v>
      </c>
      <c r="D163" s="21" t="s">
        <v>307</v>
      </c>
      <c r="E163" s="21" t="s">
        <v>119</v>
      </c>
      <c r="F163" s="21" t="s">
        <v>97</v>
      </c>
      <c r="G163" s="24" t="s">
        <v>316</v>
      </c>
      <c r="H163" s="27" t="n">
        <v>22832.51</v>
      </c>
      <c r="I163" s="23" t="n">
        <v>0.05</v>
      </c>
      <c r="J163" s="25" t="s">
        <v>461</v>
      </c>
      <c r="K163" s="22" t="s">
        <v>313</v>
      </c>
      <c r="L163" s="33" t="str">
        <f aca="false">IF($B163="","",IF(NOT(ISNUMBER($B163)),"日期格式不对",IF($C163="","未选项目编号",IF(LEFT($M163,1)="⚠","项目编号不存在",IF($D163="","未选业务类型",IF($E163="","未选开票/付款方",IF(ISNA(MATCH($E163,单位档案!$A$6:$A$35,0)),"开票方不在单位档案",IF($F163="","未选收票/收款方",IF(ISNA(MATCH($F163,单位档案!$A$6:$A$35,0)),"收款方不在单位档案",IF(NOT(ISNUMBER($H163)),"金额须为数字",IF(AND($D163="销项开票",$N163="—"),"链条待确认","√")))))))))))</f>
        <v>√</v>
      </c>
      <c r="M163" s="34" t="str">
        <f aca="false">IF($C163="","",IFERROR(INDEX(项目档案!$B$6:$B$255,MATCH($C163,项目档案!$A$6:$A$255,0)),"⚠项目编号不存在"))</f>
        <v>重庆铜梁10kV梧桐村4.5.6社台区重过载治理工程等23个项目(2025年配网6批、业扩5批民能施工)(重庆铜梁10kV侣新线铜安1社台区重过载治理工程)</v>
      </c>
      <c r="N163" s="35" t="str">
        <f aca="false">IF($E163="","",IF($E163=IFERROR(INDEX(项目档案!$D$6:$D$255,MATCH($C163,项目档案!$A$6:$A$255,0)),""),"一级",IF($E163=IFERROR(INDEX(项目档案!$F$6:$F$255,MATCH($C163,项目档案!$A$6:$A$255,0)),""),"二级",IF($E163=IFERROR(INDEX(项目档案!$H$6:$H$255,MATCH($C163,项目档案!$A$6:$A$255,0)),""),"我方","—"))))</f>
        <v>一级</v>
      </c>
      <c r="O163" s="36" t="n">
        <f aca="false">IF($D163&lt;&gt;"销项开票",0,ROUND(N($H163)*N($I163),2))</f>
        <v>1141.63</v>
      </c>
      <c r="P163" s="36" t="n">
        <f aca="false">IF($D163&lt;&gt;"销项开票",0,ROUND(N($H163)-$O163,2))</f>
        <v>21690.88</v>
      </c>
      <c r="Q163" s="37" t="n">
        <f aca="false">IF($E163="","",N(IFERROR(INDEX(单位档案!$E$6:$E$35,MATCH($E163,单位档案!$A$6:$A$35,0)),"")))</f>
        <v>0.09</v>
      </c>
      <c r="R163" s="37" t="n">
        <f aca="false">IF($E163="","",N(IFERROR(INDEX(单位档案!$F$6:$F$35,MATCH($E163,单位档案!$A$6:$A$35,0)),"")))</f>
        <v>0.03</v>
      </c>
      <c r="S163" s="36" t="n">
        <f aca="false">IF(OR($D163&lt;&gt;"销项开票",IFERROR(INDEX(单位档案!$G$6:$G$35,MATCH($E163,单位档案!$A$6:$A$35,0)),"")&lt;&gt;"是",N($Q163)=0),0,IF(IFERROR(INDEX(单位档案!$H$6:$H$35,MATCH($E163,单位档案!$A$6:$A$35,0)),"")="税差法",ROUND(N($H163)/(1+$Q163)*$Q163-IF(N($R163)=0,0,$P163/(1+$R163)*$R163),2),ROUND(N($H163)/(1+$Q163)*$Q163,2)))</f>
        <v>1253.48</v>
      </c>
      <c r="T163" s="36" t="n">
        <f aca="false">ROUND($S163*N(IFERROR(INDEX(单位档案!$J$6:$J$35,MATCH($E163,单位档案!$A$6:$A$35,0)),"")),2)</f>
        <v>150.42</v>
      </c>
      <c r="U163" s="36" t="n">
        <f aca="false">IF($D163&lt;&gt;"销项开票",0,ROUND(N($H163)*N(IFERROR(INDEX(单位档案!$K$6:$K$35,MATCH($E163,单位档案!$A$6:$A$35,0)),"")),2))</f>
        <v>13.7</v>
      </c>
      <c r="V163" s="36" t="n">
        <f aca="false">IF(OR($D163&lt;&gt;"销项开票",N($Q163)=0),0,ROUND(N($H163)/(1+$Q163)*N(IFERROR(INDEX(单位档案!$L$6:$L$35,MATCH($E163,单位档案!$A$6:$A$35,0)),"")),2))</f>
        <v>0</v>
      </c>
      <c r="W163" s="36" t="n">
        <f aca="false">ROUND($S163+$T163+$U163+$V163,2)</f>
        <v>1417.6</v>
      </c>
      <c r="X163" s="35" t="str">
        <f aca="false">IF(OR($D163="挂靠代收",$D163="我方收款"),COUNTIFS($D$5:$D163,"挂靠代收")+COUNTIFS($D$5:$D163,"我方收款"),"")</f>
        <v/>
      </c>
      <c r="Y163" s="35" t="s">
        <v>119</v>
      </c>
      <c r="Z163" s="21" t="s">
        <v>111</v>
      </c>
    </row>
    <row r="164" customFormat="false" ht="15.75" hidden="false" customHeight="true" outlineLevel="0" collapsed="false">
      <c r="A164" s="32" t="n">
        <f aca="false">IF($B164="","",ROW()-4)</f>
        <v>160</v>
      </c>
      <c r="B164" s="26" t="n">
        <v>46196</v>
      </c>
      <c r="C164" s="24" t="s">
        <v>203</v>
      </c>
      <c r="D164" s="21" t="s">
        <v>307</v>
      </c>
      <c r="E164" s="21" t="s">
        <v>119</v>
      </c>
      <c r="F164" s="21" t="s">
        <v>97</v>
      </c>
      <c r="G164" s="24" t="s">
        <v>316</v>
      </c>
      <c r="H164" s="27" t="n">
        <v>18682.87</v>
      </c>
      <c r="I164" s="23" t="n">
        <v>0.05</v>
      </c>
      <c r="J164" s="25" t="s">
        <v>462</v>
      </c>
      <c r="K164" s="22" t="s">
        <v>313</v>
      </c>
      <c r="L164" s="33" t="str">
        <f aca="false">IF($B164="","",IF(NOT(ISNUMBER($B164)),"日期格式不对",IF($C164="","未选项目编号",IF(LEFT($M164,1)="⚠","项目编号不存在",IF($D164="","未选业务类型",IF($E164="","未选开票/付款方",IF(ISNA(MATCH($E164,单位档案!$A$6:$A$35,0)),"开票方不在单位档案",IF($F164="","未选收票/收款方",IF(ISNA(MATCH($F164,单位档案!$A$6:$A$35,0)),"收款方不在单位档案",IF(NOT(ISNUMBER($H164)),"金额须为数字",IF(AND($D164="销项开票",$N164="—"),"链条待确认","√")))))))))))</f>
        <v>√</v>
      </c>
      <c r="M164" s="34" t="str">
        <f aca="false">IF($C164="","",IFERROR(INDEX(项目档案!$B$6:$B$255,MATCH($C164,项目档案!$A$6:$A$255,0)),"⚠项目编号不存在"))</f>
        <v>重庆铜梁10kV梧桐村4.5.6社台区重过载治理工程等23个项目(2025年配网6批、业扩5批民能施工)(重庆铜梁10kV侣新线铜安9社台区重过载治理工程)</v>
      </c>
      <c r="N164" s="35" t="str">
        <f aca="false">IF($E164="","",IF($E164=IFERROR(INDEX(项目档案!$D$6:$D$255,MATCH($C164,项目档案!$A$6:$A$255,0)),""),"一级",IF($E164=IFERROR(INDEX(项目档案!$F$6:$F$255,MATCH($C164,项目档案!$A$6:$A$255,0)),""),"二级",IF($E164=IFERROR(INDEX(项目档案!$H$6:$H$255,MATCH($C164,项目档案!$A$6:$A$255,0)),""),"我方","—"))))</f>
        <v>一级</v>
      </c>
      <c r="O164" s="36" t="n">
        <f aca="false">IF($D164&lt;&gt;"销项开票",0,ROUND(N($H164)*N($I164),2))</f>
        <v>934.14</v>
      </c>
      <c r="P164" s="36" t="n">
        <f aca="false">IF($D164&lt;&gt;"销项开票",0,ROUND(N($H164)-$O164,2))</f>
        <v>17748.73</v>
      </c>
      <c r="Q164" s="37" t="n">
        <f aca="false">IF($E164="","",N(IFERROR(INDEX(单位档案!$E$6:$E$35,MATCH($E164,单位档案!$A$6:$A$35,0)),"")))</f>
        <v>0.09</v>
      </c>
      <c r="R164" s="37" t="n">
        <f aca="false">IF($E164="","",N(IFERROR(INDEX(单位档案!$F$6:$F$35,MATCH($E164,单位档案!$A$6:$A$35,0)),"")))</f>
        <v>0.03</v>
      </c>
      <c r="S164" s="36" t="n">
        <f aca="false">IF(OR($D164&lt;&gt;"销项开票",IFERROR(INDEX(单位档案!$G$6:$G$35,MATCH($E164,单位档案!$A$6:$A$35,0)),"")&lt;&gt;"是",N($Q164)=0),0,IF(IFERROR(INDEX(单位档案!$H$6:$H$35,MATCH($E164,单位档案!$A$6:$A$35,0)),"")="税差法",ROUND(N($H164)/(1+$Q164)*$Q164-IF(N($R164)=0,0,$P164/(1+$R164)*$R164),2),ROUND(N($H164)/(1+$Q164)*$Q164,2)))</f>
        <v>1025.67</v>
      </c>
      <c r="T164" s="36" t="n">
        <f aca="false">ROUND($S164*N(IFERROR(INDEX(单位档案!$J$6:$J$35,MATCH($E164,单位档案!$A$6:$A$35,0)),"")),2)</f>
        <v>123.08</v>
      </c>
      <c r="U164" s="36" t="n">
        <f aca="false">IF($D164&lt;&gt;"销项开票",0,ROUND(N($H164)*N(IFERROR(INDEX(单位档案!$K$6:$K$35,MATCH($E164,单位档案!$A$6:$A$35,0)),"")),2))</f>
        <v>11.21</v>
      </c>
      <c r="V164" s="36" t="n">
        <f aca="false">IF(OR($D164&lt;&gt;"销项开票",N($Q164)=0),0,ROUND(N($H164)/(1+$Q164)*N(IFERROR(INDEX(单位档案!$L$6:$L$35,MATCH($E164,单位档案!$A$6:$A$35,0)),"")),2))</f>
        <v>0</v>
      </c>
      <c r="W164" s="36" t="n">
        <f aca="false">ROUND($S164+$T164+$U164+$V164,2)</f>
        <v>1159.96</v>
      </c>
      <c r="X164" s="35" t="str">
        <f aca="false">IF(OR($D164="挂靠代收",$D164="我方收款"),COUNTIFS($D$5:$D164,"挂靠代收")+COUNTIFS($D$5:$D164,"我方收款"),"")</f>
        <v/>
      </c>
      <c r="Y164" s="35" t="s">
        <v>119</v>
      </c>
      <c r="Z164" s="21" t="s">
        <v>111</v>
      </c>
    </row>
    <row r="165" customFormat="false" ht="15.75" hidden="false" customHeight="true" outlineLevel="0" collapsed="false">
      <c r="A165" s="32" t="n">
        <f aca="false">IF($B165="","",ROW()-4)</f>
        <v>161</v>
      </c>
      <c r="B165" s="26" t="n">
        <v>46196</v>
      </c>
      <c r="C165" s="24" t="s">
        <v>205</v>
      </c>
      <c r="D165" s="21" t="s">
        <v>307</v>
      </c>
      <c r="E165" s="21" t="s">
        <v>119</v>
      </c>
      <c r="F165" s="21" t="s">
        <v>97</v>
      </c>
      <c r="G165" s="24" t="s">
        <v>316</v>
      </c>
      <c r="H165" s="27" t="n">
        <v>4665.53</v>
      </c>
      <c r="I165" s="23" t="n">
        <v>0.050001</v>
      </c>
      <c r="J165" s="25" t="s">
        <v>463</v>
      </c>
      <c r="K165" s="22" t="s">
        <v>313</v>
      </c>
      <c r="L165" s="33" t="str">
        <f aca="false">IF($B165="","",IF(NOT(ISNUMBER($B165)),"日期格式不对",IF($C165="","未选项目编号",IF(LEFT($M165,1)="⚠","项目编号不存在",IF($D165="","未选业务类型",IF($E165="","未选开票/付款方",IF(ISNA(MATCH($E165,单位档案!$A$6:$A$35,0)),"开票方不在单位档案",IF($F165="","未选收票/收款方",IF(ISNA(MATCH($F165,单位档案!$A$6:$A$35,0)),"收款方不在单位档案",IF(NOT(ISNUMBER($H165)),"金额须为数字",IF(AND($D165="销项开票",$N165="—"),"链条待确认","√")))))))))))</f>
        <v>√</v>
      </c>
      <c r="M165" s="34" t="str">
        <f aca="false">IF($C165="","",IFERROR(INDEX(项目档案!$B$6:$B$255,MATCH($C165,项目档案!$A$6:$A$255,0)),"⚠项目编号不存在"))</f>
        <v>重庆铜梁10kV梧桐村4.5.6社台区重过载治理工程等23个项目(2025年配网6批、业扩5批民能施工)(重庆铜梁10kV平双线群益7社台区重过载治理工程)</v>
      </c>
      <c r="N165" s="35" t="str">
        <f aca="false">IF($E165="","",IF($E165=IFERROR(INDEX(项目档案!$D$6:$D$255,MATCH($C165,项目档案!$A$6:$A$255,0)),""),"一级",IF($E165=IFERROR(INDEX(项目档案!$F$6:$F$255,MATCH($C165,项目档案!$A$6:$A$255,0)),""),"二级",IF($E165=IFERROR(INDEX(项目档案!$H$6:$H$255,MATCH($C165,项目档案!$A$6:$A$255,0)),""),"我方","—"))))</f>
        <v>一级</v>
      </c>
      <c r="O165" s="36" t="n">
        <f aca="false">IF($D165&lt;&gt;"销项开票",0,ROUND(N($H165)*N($I165),2))</f>
        <v>233.28</v>
      </c>
      <c r="P165" s="36" t="n">
        <f aca="false">IF($D165&lt;&gt;"销项开票",0,ROUND(N($H165)-$O165,2))</f>
        <v>4432.25</v>
      </c>
      <c r="Q165" s="37" t="n">
        <f aca="false">IF($E165="","",N(IFERROR(INDEX(单位档案!$E$6:$E$35,MATCH($E165,单位档案!$A$6:$A$35,0)),"")))</f>
        <v>0.09</v>
      </c>
      <c r="R165" s="37" t="n">
        <f aca="false">IF($E165="","",N(IFERROR(INDEX(单位档案!$F$6:$F$35,MATCH($E165,单位档案!$A$6:$A$35,0)),"")))</f>
        <v>0.03</v>
      </c>
      <c r="S165" s="36" t="n">
        <f aca="false">IF(OR($D165&lt;&gt;"销项开票",IFERROR(INDEX(单位档案!$G$6:$G$35,MATCH($E165,单位档案!$A$6:$A$35,0)),"")&lt;&gt;"是",N($Q165)=0),0,IF(IFERROR(INDEX(单位档案!$H$6:$H$35,MATCH($E165,单位档案!$A$6:$A$35,0)),"")="税差法",ROUND(N($H165)/(1+$Q165)*$Q165-IF(N($R165)=0,0,$P165/(1+$R165)*$R165),2),ROUND(N($H165)/(1+$Q165)*$Q165,2)))</f>
        <v>256.13</v>
      </c>
      <c r="T165" s="36" t="n">
        <f aca="false">ROUND($S165*N(IFERROR(INDEX(单位档案!$J$6:$J$35,MATCH($E165,单位档案!$A$6:$A$35,0)),"")),2)</f>
        <v>30.74</v>
      </c>
      <c r="U165" s="36" t="n">
        <f aca="false">IF($D165&lt;&gt;"销项开票",0,ROUND(N($H165)*N(IFERROR(INDEX(单位档案!$K$6:$K$35,MATCH($E165,单位档案!$A$6:$A$35,0)),"")),2))</f>
        <v>2.8</v>
      </c>
      <c r="V165" s="36" t="n">
        <f aca="false">IF(OR($D165&lt;&gt;"销项开票",N($Q165)=0),0,ROUND(N($H165)/(1+$Q165)*N(IFERROR(INDEX(单位档案!$L$6:$L$35,MATCH($E165,单位档案!$A$6:$A$35,0)),"")),2))</f>
        <v>0</v>
      </c>
      <c r="W165" s="36" t="n">
        <f aca="false">ROUND($S165+$T165+$U165+$V165,2)</f>
        <v>289.67</v>
      </c>
      <c r="X165" s="35" t="str">
        <f aca="false">IF(OR($D165="挂靠代收",$D165="我方收款"),COUNTIFS($D$5:$D165,"挂靠代收")+COUNTIFS($D$5:$D165,"我方收款"),"")</f>
        <v/>
      </c>
      <c r="Y165" s="35" t="s">
        <v>119</v>
      </c>
      <c r="Z165" s="21" t="s">
        <v>111</v>
      </c>
    </row>
    <row r="166" customFormat="false" ht="15.75" hidden="false" customHeight="true" outlineLevel="0" collapsed="false">
      <c r="A166" s="32" t="n">
        <f aca="false">IF($B166="","",ROW()-4)</f>
        <v>162</v>
      </c>
      <c r="B166" s="26" t="n">
        <v>46196</v>
      </c>
      <c r="C166" s="24" t="s">
        <v>207</v>
      </c>
      <c r="D166" s="21" t="s">
        <v>307</v>
      </c>
      <c r="E166" s="21" t="s">
        <v>119</v>
      </c>
      <c r="F166" s="21" t="s">
        <v>97</v>
      </c>
      <c r="G166" s="24" t="s">
        <v>316</v>
      </c>
      <c r="H166" s="27" t="n">
        <v>11400.98</v>
      </c>
      <c r="I166" s="23" t="n">
        <v>0.05</v>
      </c>
      <c r="J166" s="25" t="s">
        <v>464</v>
      </c>
      <c r="K166" s="22" t="s">
        <v>313</v>
      </c>
      <c r="L166" s="33" t="str">
        <f aca="false">IF($B166="","",IF(NOT(ISNUMBER($B166)),"日期格式不对",IF($C166="","未选项目编号",IF(LEFT($M166,1)="⚠","项目编号不存在",IF($D166="","未选业务类型",IF($E166="","未选开票/付款方",IF(ISNA(MATCH($E166,单位档案!$A$6:$A$35,0)),"开票方不在单位档案",IF($F166="","未选收票/收款方",IF(ISNA(MATCH($F166,单位档案!$A$6:$A$35,0)),"收款方不在单位档案",IF(NOT(ISNUMBER($H166)),"金额须为数字",IF(AND($D166="销项开票",$N166="—"),"链条待确认","√")))))))))))</f>
        <v>√</v>
      </c>
      <c r="M166" s="34" t="str">
        <f aca="false">IF($C166="","",IFERROR(INDEX(项目档案!$B$6:$B$255,MATCH($C166,项目档案!$A$6:$A$255,0)),"⚠项目编号不存在"))</f>
        <v>重庆铜梁10kV梧桐村4.5.6社台区重过载治理工程等23个项目(2025年配网6批、业扩5批民能施工)(重庆铜梁10kV平镇线新桥社台区重过载治理工程)</v>
      </c>
      <c r="N166" s="35" t="str">
        <f aca="false">IF($E166="","",IF($E166=IFERROR(INDEX(项目档案!$D$6:$D$255,MATCH($C166,项目档案!$A$6:$A$255,0)),""),"一级",IF($E166=IFERROR(INDEX(项目档案!$F$6:$F$255,MATCH($C166,项目档案!$A$6:$A$255,0)),""),"二级",IF($E166=IFERROR(INDEX(项目档案!$H$6:$H$255,MATCH($C166,项目档案!$A$6:$A$255,0)),""),"我方","—"))))</f>
        <v>一级</v>
      </c>
      <c r="O166" s="36" t="n">
        <f aca="false">IF($D166&lt;&gt;"销项开票",0,ROUND(N($H166)*N($I166),2))</f>
        <v>570.05</v>
      </c>
      <c r="P166" s="36" t="n">
        <f aca="false">IF($D166&lt;&gt;"销项开票",0,ROUND(N($H166)-$O166,2))</f>
        <v>10830.93</v>
      </c>
      <c r="Q166" s="37" t="n">
        <f aca="false">IF($E166="","",N(IFERROR(INDEX(单位档案!$E$6:$E$35,MATCH($E166,单位档案!$A$6:$A$35,0)),"")))</f>
        <v>0.09</v>
      </c>
      <c r="R166" s="37" t="n">
        <f aca="false">IF($E166="","",N(IFERROR(INDEX(单位档案!$F$6:$F$35,MATCH($E166,单位档案!$A$6:$A$35,0)),"")))</f>
        <v>0.03</v>
      </c>
      <c r="S166" s="36" t="n">
        <f aca="false">IF(OR($D166&lt;&gt;"销项开票",IFERROR(INDEX(单位档案!$G$6:$G$35,MATCH($E166,单位档案!$A$6:$A$35,0)),"")&lt;&gt;"是",N($Q166)=0),0,IF(IFERROR(INDEX(单位档案!$H$6:$H$35,MATCH($E166,单位档案!$A$6:$A$35,0)),"")="税差法",ROUND(N($H166)/(1+$Q166)*$Q166-IF(N($R166)=0,0,$P166/(1+$R166)*$R166),2),ROUND(N($H166)/(1+$Q166)*$Q166,2)))</f>
        <v>625.9</v>
      </c>
      <c r="T166" s="36" t="n">
        <f aca="false">ROUND($S166*N(IFERROR(INDEX(单位档案!$J$6:$J$35,MATCH($E166,单位档案!$A$6:$A$35,0)),"")),2)</f>
        <v>75.11</v>
      </c>
      <c r="U166" s="36" t="n">
        <f aca="false">IF($D166&lt;&gt;"销项开票",0,ROUND(N($H166)*N(IFERROR(INDEX(单位档案!$K$6:$K$35,MATCH($E166,单位档案!$A$6:$A$35,0)),"")),2))</f>
        <v>6.84</v>
      </c>
      <c r="V166" s="36" t="n">
        <f aca="false">IF(OR($D166&lt;&gt;"销项开票",N($Q166)=0),0,ROUND(N($H166)/(1+$Q166)*N(IFERROR(INDEX(单位档案!$L$6:$L$35,MATCH($E166,单位档案!$A$6:$A$35,0)),"")),2))</f>
        <v>0</v>
      </c>
      <c r="W166" s="36" t="n">
        <f aca="false">ROUND($S166+$T166+$U166+$V166,2)</f>
        <v>707.85</v>
      </c>
      <c r="X166" s="35" t="str">
        <f aca="false">IF(OR($D166="挂靠代收",$D166="我方收款"),COUNTIFS($D$5:$D166,"挂靠代收")+COUNTIFS($D$5:$D166,"我方收款"),"")</f>
        <v/>
      </c>
      <c r="Y166" s="35" t="s">
        <v>119</v>
      </c>
      <c r="Z166" s="21" t="s">
        <v>111</v>
      </c>
    </row>
    <row r="167" customFormat="false" ht="15.75" hidden="false" customHeight="true" outlineLevel="0" collapsed="false">
      <c r="A167" s="32" t="n">
        <f aca="false">IF($B167="","",ROW()-4)</f>
        <v>163</v>
      </c>
      <c r="B167" s="26" t="n">
        <v>46196</v>
      </c>
      <c r="C167" s="24" t="s">
        <v>150</v>
      </c>
      <c r="D167" s="21" t="s">
        <v>307</v>
      </c>
      <c r="E167" s="21" t="s">
        <v>119</v>
      </c>
      <c r="F167" s="21" t="s">
        <v>97</v>
      </c>
      <c r="G167" s="24" t="s">
        <v>316</v>
      </c>
      <c r="H167" s="27" t="n">
        <v>12987.74</v>
      </c>
      <c r="I167" s="23" t="n">
        <v>0.05</v>
      </c>
      <c r="J167" s="25" t="s">
        <v>465</v>
      </c>
      <c r="K167" s="22" t="s">
        <v>313</v>
      </c>
      <c r="L167" s="33" t="str">
        <f aca="false">IF($B167="","",IF(NOT(ISNUMBER($B167)),"日期格式不对",IF($C167="","未选项目编号",IF(LEFT($M167,1)="⚠","项目编号不存在",IF($D167="","未选业务类型",IF($E167="","未选开票/付款方",IF(ISNA(MATCH($E167,单位档案!$A$6:$A$35,0)),"开票方不在单位档案",IF($F167="","未选收票/收款方",IF(ISNA(MATCH($F167,单位档案!$A$6:$A$35,0)),"收款方不在单位档案",IF(NOT(ISNUMBER($H167)),"金额须为数字",IF(AND($D167="销项开票",$N167="—"),"链条待确认","√")))))))))))</f>
        <v>√</v>
      </c>
      <c r="M167" s="34" t="str">
        <f aca="false">IF($C167="","",IFERROR(INDEX(项目档案!$B$6:$B$255,MATCH($C167,项目档案!$A$6:$A$255,0)),"⚠项目编号不存在"))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67" s="35" t="str">
        <f aca="false">IF($E167="","",IF($E167=IFERROR(INDEX(项目档案!$D$6:$D$255,MATCH($C167,项目档案!$A$6:$A$255,0)),""),"一级",IF($E167=IFERROR(INDEX(项目档案!$F$6:$F$255,MATCH($C167,项目档案!$A$6:$A$255,0)),""),"二级",IF($E167=IFERROR(INDEX(项目档案!$H$6:$H$255,MATCH($C167,项目档案!$A$6:$A$255,0)),""),"我方","—"))))</f>
        <v>一级</v>
      </c>
      <c r="O167" s="36" t="n">
        <f aca="false">IF($D167&lt;&gt;"销项开票",0,ROUND(N($H167)*N($I167),2))</f>
        <v>649.39</v>
      </c>
      <c r="P167" s="36" t="n">
        <f aca="false">IF($D167&lt;&gt;"销项开票",0,ROUND(N($H167)-$O167,2))</f>
        <v>12338.35</v>
      </c>
      <c r="Q167" s="37" t="n">
        <f aca="false">IF($E167="","",N(IFERROR(INDEX(单位档案!$E$6:$E$35,MATCH($E167,单位档案!$A$6:$A$35,0)),"")))</f>
        <v>0.09</v>
      </c>
      <c r="R167" s="37" t="n">
        <f aca="false">IF($E167="","",N(IFERROR(INDEX(单位档案!$F$6:$F$35,MATCH($E167,单位档案!$A$6:$A$35,0)),"")))</f>
        <v>0.03</v>
      </c>
      <c r="S167" s="36" t="n">
        <f aca="false">IF(OR($D167&lt;&gt;"销项开票",IFERROR(INDEX(单位档案!$G$6:$G$35,MATCH($E167,单位档案!$A$6:$A$35,0)),"")&lt;&gt;"是",N($Q167)=0),0,IF(IFERROR(INDEX(单位档案!$H$6:$H$35,MATCH($E167,单位档案!$A$6:$A$35,0)),"")="税差法",ROUND(N($H167)/(1+$Q167)*$Q167-IF(N($R167)=0,0,$P167/(1+$R167)*$R167),2),ROUND(N($H167)/(1+$Q167)*$Q167,2)))</f>
        <v>713.01</v>
      </c>
      <c r="T167" s="36" t="n">
        <f aca="false">ROUND($S167*N(IFERROR(INDEX(单位档案!$J$6:$J$35,MATCH($E167,单位档案!$A$6:$A$35,0)),"")),2)</f>
        <v>85.56</v>
      </c>
      <c r="U167" s="36" t="n">
        <f aca="false">IF($D167&lt;&gt;"销项开票",0,ROUND(N($H167)*N(IFERROR(INDEX(单位档案!$K$6:$K$35,MATCH($E167,单位档案!$A$6:$A$35,0)),"")),2))</f>
        <v>7.79</v>
      </c>
      <c r="V167" s="36" t="n">
        <f aca="false">IF(OR($D167&lt;&gt;"销项开票",N($Q167)=0),0,ROUND(N($H167)/(1+$Q167)*N(IFERROR(INDEX(单位档案!$L$6:$L$35,MATCH($E167,单位档案!$A$6:$A$35,0)),"")),2))</f>
        <v>0</v>
      </c>
      <c r="W167" s="36" t="n">
        <f aca="false">ROUND($S167+$T167+$U167+$V167,2)</f>
        <v>806.36</v>
      </c>
      <c r="X167" s="35" t="str">
        <f aca="false">IF(OR($D167="挂靠代收",$D167="我方收款"),COUNTIFS($D$5:$D167,"挂靠代收")+COUNTIFS($D$5:$D167,"我方收款"),"")</f>
        <v/>
      </c>
      <c r="Y167" s="35" t="s">
        <v>119</v>
      </c>
      <c r="Z167" s="21" t="s">
        <v>111</v>
      </c>
    </row>
    <row r="168" customFormat="false" ht="15.75" hidden="false" customHeight="true" outlineLevel="0" collapsed="false">
      <c r="A168" s="32" t="n">
        <f aca="false">IF($B168="","",ROW()-4)</f>
        <v>164</v>
      </c>
      <c r="B168" s="26" t="n">
        <v>46196</v>
      </c>
      <c r="C168" s="24" t="s">
        <v>150</v>
      </c>
      <c r="D168" s="21" t="s">
        <v>307</v>
      </c>
      <c r="E168" s="21" t="s">
        <v>119</v>
      </c>
      <c r="F168" s="21" t="s">
        <v>119</v>
      </c>
      <c r="G168" s="21"/>
      <c r="H168" s="27" t="n">
        <v>30.84</v>
      </c>
      <c r="I168" s="23" t="n">
        <f aca="false">IF($D168&lt;&gt;"销项开票","",IF($N168="一级",IF(IFERROR(INDEX(项目档案!$E$6:$E$255,MATCH($C168,项目档案!$A$6:$A$255,0)),"")="",N(IFERROR(INDEX(单位档案!$D$6:$D$35,MATCH($E168,单位档案!$A$6:$A$35,0)),"")),IFERROR(INDEX(项目档案!$E$6:$E$255,MATCH($C168,项目档案!$A$6:$A$255,0)),"")),IF($N168="二级",IF(IFERROR(INDEX(项目档案!$G$6:$G$255,MATCH($C168,项目档案!$A$6:$A$255,0)),"")="",N(IFERROR(INDEX(单位档案!$D$6:$D$35,MATCH($E168,单位档案!$A$6:$A$35,0)),"")),IFERROR(INDEX(项目档案!$G$6:$G$255,MATCH($C168,项目档案!$A$6:$A$255,0)),"")),N(IFERROR(INDEX(单位档案!$D$6:$D$35,MATCH($E168,单位档案!$A$6:$A$35,0)),"")))))</f>
        <v>0.05</v>
      </c>
      <c r="J168" s="25" t="s">
        <v>466</v>
      </c>
      <c r="K168" s="22" t="s">
        <v>313</v>
      </c>
      <c r="L168" s="33" t="str">
        <f aca="false">IF($B168="","",IF(NOT(ISNUMBER($B168)),"日期格式不对",IF($C168="","未选项目编号",IF(LEFT($M168,1)="⚠","项目编号不存在",IF($D168="","未选业务类型",IF($E168="","未选开票/付款方",IF(ISNA(MATCH($E168,单位档案!$A$6:$A$35,0)),"开票方不在单位档案",IF($F168="","未选收票/收款方",IF(ISNA(MATCH($F168,单位档案!$A$6:$A$35,0)),"收款方不在单位档案",IF(NOT(ISNUMBER($H168)),"金额须为数字",IF(AND($D168="销项开票",$N168="—"),"链条待确认","√")))))))))))</f>
        <v>√</v>
      </c>
      <c r="M168" s="34" t="str">
        <f aca="false">IF($C168="","",IFERROR(INDEX(项目档案!$B$6:$B$255,MATCH($C168,项目档案!$A$6:$A$255,0)),"⚠项目编号不存在"))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68" s="35" t="str">
        <f aca="false">IF($E168="","",IF($E168=IFERROR(INDEX(项目档案!$D$6:$D$255,MATCH($C168,项目档案!$A$6:$A$255,0)),""),"一级",IF($E168=IFERROR(INDEX(项目档案!$F$6:$F$255,MATCH($C168,项目档案!$A$6:$A$255,0)),""),"二级",IF($E168=IFERROR(INDEX(项目档案!$H$6:$H$255,MATCH($C168,项目档案!$A$6:$A$255,0)),""),"我方","—"))))</f>
        <v>一级</v>
      </c>
      <c r="O168" s="36" t="n">
        <f aca="false">IF($D168&lt;&gt;"销项开票",0,ROUND(N($H168)*N($I168),2))</f>
        <v>1.54</v>
      </c>
      <c r="P168" s="36" t="n">
        <f aca="false">IF($D168&lt;&gt;"销项开票",0,ROUND(N($H168)-$O168,2))</f>
        <v>29.3</v>
      </c>
      <c r="Q168" s="37" t="n">
        <f aca="false">IF($E168="","",N(IFERROR(INDEX(单位档案!$E$6:$E$35,MATCH($E168,单位档案!$A$6:$A$35,0)),"")))</f>
        <v>0.09</v>
      </c>
      <c r="R168" s="37" t="n">
        <f aca="false">IF($E168="","",N(IFERROR(INDEX(单位档案!$F$6:$F$35,MATCH($E168,单位档案!$A$6:$A$35,0)),"")))</f>
        <v>0.03</v>
      </c>
      <c r="S168" s="36" t="n">
        <f aca="false">IF(OR($D168&lt;&gt;"销项开票",IFERROR(INDEX(单位档案!$G$6:$G$35,MATCH($E168,单位档案!$A$6:$A$35,0)),"")&lt;&gt;"是",N($Q168)=0),0,IF(IFERROR(INDEX(单位档案!$H$6:$H$35,MATCH($E168,单位档案!$A$6:$A$35,0)),"")="税差法",ROUND(N($H168)/(1+$Q168)*$Q168-IF(N($R168)=0,0,$P168/(1+$R168)*$R168),2),ROUND(N($H168)/(1+$Q168)*$Q168,2)))</f>
        <v>1.69</v>
      </c>
      <c r="T168" s="36" t="n">
        <f aca="false">ROUND($S168*N(IFERROR(INDEX(单位档案!$J$6:$J$35,MATCH($E168,单位档案!$A$6:$A$35,0)),"")),2)</f>
        <v>0.2</v>
      </c>
      <c r="U168" s="36" t="n">
        <f aca="false">IF($D168&lt;&gt;"销项开票",0,ROUND(N($H168)*N(IFERROR(INDEX(单位档案!$K$6:$K$35,MATCH($E168,单位档案!$A$6:$A$35,0)),"")),2))</f>
        <v>0.02</v>
      </c>
      <c r="V168" s="36" t="n">
        <f aca="false">IF(OR($D168&lt;&gt;"销项开票",N($Q168)=0),0,ROUND(N($H168)/(1+$Q168)*N(IFERROR(INDEX(单位档案!$L$6:$L$35,MATCH($E168,单位档案!$A$6:$A$35,0)),"")),2))</f>
        <v>0</v>
      </c>
      <c r="W168" s="36" t="n">
        <f aca="false">ROUND($S168+$T168+$U168+$V168,2)</f>
        <v>1.91</v>
      </c>
      <c r="X168" s="35" t="str">
        <f aca="false">IF(OR($D168="挂靠代收",$D168="我方收款"),COUNTIFS($D$5:$D168,"挂靠代收")+COUNTIFS($D$5:$D168,"我方收款"),"")</f>
        <v/>
      </c>
      <c r="Y168" s="35" t="s">
        <v>119</v>
      </c>
      <c r="Z168" s="21" t="s">
        <v>111</v>
      </c>
    </row>
    <row r="169" customFormat="false" ht="15.75" hidden="false" customHeight="true" outlineLevel="0" collapsed="false">
      <c r="A169" s="32" t="n">
        <f aca="false">IF($B169="","",ROW()-4)</f>
        <v>165</v>
      </c>
      <c r="B169" s="26" t="n">
        <v>46196</v>
      </c>
      <c r="C169" s="24" t="s">
        <v>150</v>
      </c>
      <c r="D169" s="21" t="s">
        <v>320</v>
      </c>
      <c r="E169" s="21" t="s">
        <v>119</v>
      </c>
      <c r="F169" s="21" t="s">
        <v>127</v>
      </c>
      <c r="G169" s="21"/>
      <c r="H169" s="27" t="n">
        <v>30.8</v>
      </c>
      <c r="I169" s="23" t="str">
        <f aca="false">IF($D169&lt;&gt;"销项开票","",IF($N169="一级",IF(IFERROR(INDEX(项目档案!$E$6:$E$255,MATCH($C169,项目档案!$A$6:$A$255,0)),"")="",N(IFERROR(INDEX(单位档案!$D$6:$D$35,MATCH($E169,单位档案!$A$6:$A$35,0)),"")),IFERROR(INDEX(项目档案!$E$6:$E$255,MATCH($C169,项目档案!$A$6:$A$255,0)),"")),IF($N169="二级",IF(IFERROR(INDEX(项目档案!$G$6:$G$255,MATCH($C169,项目档案!$A$6:$A$255,0)),"")="",N(IFERROR(INDEX(单位档案!$D$6:$D$35,MATCH($E169,单位档案!$A$6:$A$35,0)),"")),IFERROR(INDEX(项目档案!$G$6:$G$255,MATCH($C169,项目档案!$A$6:$A$255,0)),"")),N(IFERROR(INDEX(单位档案!$D$6:$D$35,MATCH($E169,单位档案!$A$6:$A$35,0)),"")))))</f>
        <v/>
      </c>
      <c r="J169" s="25" t="s">
        <v>466</v>
      </c>
      <c r="K169" s="22" t="s">
        <v>313</v>
      </c>
      <c r="L169" s="33" t="str">
        <f aca="false">IF($B169="","",IF(NOT(ISNUMBER($B169)),"日期格式不对",IF($C169="","未选项目编号",IF(LEFT($M169,1)="⚠","项目编号不存在",IF($D169="","未选业务类型",IF($E169="","未选开票/付款方",IF(ISNA(MATCH($E169,单位档案!$A$6:$A$35,0)),"开票方不在单位档案",IF($F169="","未选收票/收款方",IF(ISNA(MATCH($F169,单位档案!$A$6:$A$35,0)),"收款方不在单位档案",IF(NOT(ISNUMBER($H169)),"金额须为数字",IF(AND($D169="销项开票",$N169="—"),"链条待确认","√")))))))))))</f>
        <v>√</v>
      </c>
      <c r="M169" s="34" t="str">
        <f aca="false">IF($C169="","",IFERROR(INDEX(项目档案!$B$6:$B$255,MATCH($C169,项目档案!$A$6:$A$255,0)),"⚠项目编号不存在"))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69" s="35" t="str">
        <f aca="false">IF($E169="","",IF($E169=IFERROR(INDEX(项目档案!$D$6:$D$255,MATCH($C169,项目档案!$A$6:$A$255,0)),""),"一级",IF($E169=IFERROR(INDEX(项目档案!$F$6:$F$255,MATCH($C169,项目档案!$A$6:$A$255,0)),""),"二级",IF($E169=IFERROR(INDEX(项目档案!$H$6:$H$255,MATCH($C169,项目档案!$A$6:$A$255,0)),""),"我方","—"))))</f>
        <v>一级</v>
      </c>
      <c r="O169" s="36" t="n">
        <f aca="false">IF($D169&lt;&gt;"销项开票",0,ROUND(N($H169)*N($I169),2))</f>
        <v>0</v>
      </c>
      <c r="P169" s="36" t="n">
        <f aca="false">IF($D169&lt;&gt;"销项开票",0,ROUND(N($H169)-$O169,2))</f>
        <v>0</v>
      </c>
      <c r="Q169" s="37" t="n">
        <f aca="false">IF($E169="","",N(IFERROR(INDEX(单位档案!$E$6:$E$35,MATCH($E169,单位档案!$A$6:$A$35,0)),"")))</f>
        <v>0.09</v>
      </c>
      <c r="R169" s="37" t="n">
        <f aca="false">IF($E169="","",N(IFERROR(INDEX(单位档案!$F$6:$F$35,MATCH($E169,单位档案!$A$6:$A$35,0)),"")))</f>
        <v>0.03</v>
      </c>
      <c r="S169" s="36" t="n">
        <f aca="false">IF(OR($D169&lt;&gt;"销项开票",IFERROR(INDEX(单位档案!$G$6:$G$35,MATCH($E169,单位档案!$A$6:$A$35,0)),"")&lt;&gt;"是",N($Q169)=0),0,IF(IFERROR(INDEX(单位档案!$H$6:$H$35,MATCH($E169,单位档案!$A$6:$A$35,0)),"")="税差法",ROUND(N($H169)/(1+$Q169)*$Q169-IF(N($R169)=0,0,$P169/(1+$R169)*$R169),2),ROUND(N($H169)/(1+$Q169)*$Q169,2)))</f>
        <v>0</v>
      </c>
      <c r="T169" s="36" t="n">
        <f aca="false">ROUND($S169*N(IFERROR(INDEX(单位档案!$J$6:$J$35,MATCH($E169,单位档案!$A$6:$A$35,0)),"")),2)</f>
        <v>0</v>
      </c>
      <c r="U169" s="36" t="n">
        <f aca="false">IF($D169&lt;&gt;"销项开票",0,ROUND(N($H169)*N(IFERROR(INDEX(单位档案!$K$6:$K$35,MATCH($E169,单位档案!$A$6:$A$35,0)),"")),2))</f>
        <v>0</v>
      </c>
      <c r="V169" s="36" t="n">
        <f aca="false">IF(OR($D169&lt;&gt;"销项开票",N($Q169)=0),0,ROUND(N($H169)/(1+$Q169)*N(IFERROR(INDEX(单位档案!$L$6:$L$35,MATCH($E169,单位档案!$A$6:$A$35,0)),"")),2))</f>
        <v>0</v>
      </c>
      <c r="W169" s="36" t="n">
        <f aca="false">ROUND($S169+$T169+$U169+$V169,2)</f>
        <v>0</v>
      </c>
      <c r="X169" s="35" t="n">
        <f aca="false">IF(OR($D169="挂靠代收",$D169="我方收款"),COUNTIFS($D$5:$D169,"挂靠代收")+COUNTIFS($D$5:$D169,"我方收款"),"")</f>
        <v>12</v>
      </c>
      <c r="Y169" s="35" t="s">
        <v>119</v>
      </c>
      <c r="Z169" s="21" t="s">
        <v>111</v>
      </c>
    </row>
    <row r="170" customFormat="false" ht="15.75" hidden="false" customHeight="true" outlineLevel="0" collapsed="false">
      <c r="A170" s="32" t="n">
        <f aca="false">IF($B170="","",ROW()-4)</f>
        <v>166</v>
      </c>
      <c r="B170" s="26" t="n">
        <v>46196</v>
      </c>
      <c r="C170" s="24" t="s">
        <v>150</v>
      </c>
      <c r="D170" s="21" t="s">
        <v>314</v>
      </c>
      <c r="E170" s="21" t="s">
        <v>127</v>
      </c>
      <c r="F170" s="21" t="s">
        <v>119</v>
      </c>
      <c r="G170" s="21"/>
      <c r="H170" s="27" t="n">
        <v>3528.48</v>
      </c>
      <c r="I170" s="23" t="str">
        <f aca="false">IF($D170&lt;&gt;"销项开票","",IF($N170="一级",IF(IFERROR(INDEX(项目档案!$E$6:$E$255,MATCH($C170,项目档案!$A$6:$A$255,0)),"")="",N(IFERROR(INDEX(单位档案!$D$6:$D$35,MATCH($E170,单位档案!$A$6:$A$35,0)),"")),IFERROR(INDEX(项目档案!$E$6:$E$255,MATCH($C170,项目档案!$A$6:$A$255,0)),"")),IF($N170="二级",IF(IFERROR(INDEX(项目档案!$G$6:$G$255,MATCH($C170,项目档案!$A$6:$A$255,0)),"")="",N(IFERROR(INDEX(单位档案!$D$6:$D$35,MATCH($E170,单位档案!$A$6:$A$35,0)),"")),IFERROR(INDEX(项目档案!$G$6:$G$255,MATCH($C170,项目档案!$A$6:$A$255,0)),"")),N(IFERROR(INDEX(单位档案!$D$6:$D$35,MATCH($E170,单位档案!$A$6:$A$35,0)),"")))))</f>
        <v/>
      </c>
      <c r="J170" s="25" t="s">
        <v>466</v>
      </c>
      <c r="K170" s="22" t="s">
        <v>313</v>
      </c>
      <c r="L170" s="33" t="str">
        <f aca="false">IF($B170="","",IF(NOT(ISNUMBER($B170)),"日期格式不对",IF($C170="","未选项目编号",IF(LEFT($M170,1)="⚠","项目编号不存在",IF($D170="","未选业务类型",IF($E170="","未选开票/付款方",IF(ISNA(MATCH($E170,单位档案!$A$6:$A$35,0)),"开票方不在单位档案",IF($F170="","未选收票/收款方",IF(ISNA(MATCH($F170,单位档案!$A$6:$A$35,0)),"收款方不在单位档案",IF(NOT(ISNUMBER($H170)),"金额须为数字",IF(AND($D170="销项开票",$N170="—"),"链条待确认","√")))))))))))</f>
        <v>√</v>
      </c>
      <c r="M170" s="34" t="str">
        <f aca="false">IF($C170="","",IFERROR(INDEX(项目档案!$B$6:$B$255,MATCH($C170,项目档案!$A$6:$A$255,0)),"⚠项目编号不存在"))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70" s="35" t="str">
        <f aca="false">IF($E170="","",IF($E170=IFERROR(INDEX(项目档案!$D$6:$D$255,MATCH($C170,项目档案!$A$6:$A$255,0)),""),"一级",IF($E170=IFERROR(INDEX(项目档案!$F$6:$F$255,MATCH($C170,项目档案!$A$6:$A$255,0)),""),"二级",IF($E170=IFERROR(INDEX(项目档案!$H$6:$H$255,MATCH($C170,项目档案!$A$6:$A$255,0)),""),"我方","—"))))</f>
        <v>我方</v>
      </c>
      <c r="O170" s="36" t="n">
        <f aca="false">IF($D170&lt;&gt;"销项开票",0,ROUND(N($H170)*N($I170),2))</f>
        <v>0</v>
      </c>
      <c r="P170" s="36" t="n">
        <f aca="false">IF($D170&lt;&gt;"销项开票",0,ROUND(N($H170)-$O170,2))</f>
        <v>0</v>
      </c>
      <c r="Q170" s="37" t="n">
        <f aca="false">IF($E170="","",N(IFERROR(INDEX(单位档案!$E$6:$E$35,MATCH($E170,单位档案!$A$6:$A$35,0)),"")))</f>
        <v>0.03</v>
      </c>
      <c r="R170" s="37" t="n">
        <f aca="false">IF($E170="","",N(IFERROR(INDEX(单位档案!$F$6:$F$35,MATCH($E170,单位档案!$A$6:$A$35,0)),"")))</f>
        <v>0</v>
      </c>
      <c r="S170" s="36" t="n">
        <f aca="false">IF(OR($D170&lt;&gt;"销项开票",IFERROR(INDEX(单位档案!$G$6:$G$35,MATCH($E170,单位档案!$A$6:$A$35,0)),"")&lt;&gt;"是",N($Q170)=0),0,IF(IFERROR(INDEX(单位档案!$H$6:$H$35,MATCH($E170,单位档案!$A$6:$A$35,0)),"")="税差法",ROUND(N($H170)/(1+$Q170)*$Q170-IF(N($R170)=0,0,$P170/(1+$R170)*$R170),2),ROUND(N($H170)/(1+$Q170)*$Q170,2)))</f>
        <v>0</v>
      </c>
      <c r="T170" s="36" t="n">
        <f aca="false">ROUND($S170*N(IFERROR(INDEX(单位档案!$J$6:$J$35,MATCH($E170,单位档案!$A$6:$A$35,0)),"")),2)</f>
        <v>0</v>
      </c>
      <c r="U170" s="36" t="n">
        <f aca="false">IF($D170&lt;&gt;"销项开票",0,ROUND(N($H170)*N(IFERROR(INDEX(单位档案!$K$6:$K$35,MATCH($E170,单位档案!$A$6:$A$35,0)),"")),2))</f>
        <v>0</v>
      </c>
      <c r="V170" s="36" t="n">
        <f aca="false">IF(OR($D170&lt;&gt;"销项开票",N($Q170)=0),0,ROUND(N($H170)/(1+$Q170)*N(IFERROR(INDEX(单位档案!$L$6:$L$35,MATCH($E170,单位档案!$A$6:$A$35,0)),"")),2))</f>
        <v>0</v>
      </c>
      <c r="W170" s="36" t="n">
        <f aca="false">ROUND($S170+$T170+$U170+$V170,2)</f>
        <v>0</v>
      </c>
      <c r="X170" s="35" t="str">
        <f aca="false">IF(OR($D170="挂靠代收",$D170="我方收款"),COUNTIFS($D$5:$D170,"挂靠代收")+COUNTIFS($D$5:$D170,"我方收款"),"")</f>
        <v/>
      </c>
      <c r="Y170" s="35" t="s">
        <v>119</v>
      </c>
      <c r="Z170" s="21" t="s">
        <v>111</v>
      </c>
    </row>
    <row r="171" customFormat="false" ht="15.75" hidden="false" customHeight="true" outlineLevel="0" collapsed="false">
      <c r="A171" s="32" t="n">
        <f aca="false">IF($B171="","",ROW()-4)</f>
        <v>167</v>
      </c>
      <c r="B171" s="26" t="n">
        <v>46196</v>
      </c>
      <c r="C171" s="24" t="s">
        <v>150</v>
      </c>
      <c r="D171" s="21" t="s">
        <v>11</v>
      </c>
      <c r="E171" s="21" t="s">
        <v>119</v>
      </c>
      <c r="F171" s="21" t="s">
        <v>134</v>
      </c>
      <c r="G171" s="21"/>
      <c r="H171" s="27" t="n">
        <v>1.71</v>
      </c>
      <c r="I171" s="23" t="str">
        <f aca="false">IF($D171&lt;&gt;"销项开票","",IF($N171="一级",IF(IFERROR(INDEX(项目档案!$E$6:$E$255,MATCH($C171,项目档案!$A$6:$A$255,0)),"")="",N(IFERROR(INDEX(单位档案!$D$6:$D$35,MATCH($E171,单位档案!$A$6:$A$35,0)),"")),IFERROR(INDEX(项目档案!$E$6:$E$255,MATCH($C171,项目档案!$A$6:$A$255,0)),"")),IF($N171="二级",IF(IFERROR(INDEX(项目档案!$G$6:$G$255,MATCH($C171,项目档案!$A$6:$A$255,0)),"")="",N(IFERROR(INDEX(单位档案!$D$6:$D$35,MATCH($E171,单位档案!$A$6:$A$35,0)),"")),IFERROR(INDEX(项目档案!$G$6:$G$255,MATCH($C171,项目档案!$A$6:$A$255,0)),"")),N(IFERROR(INDEX(单位档案!$D$6:$D$35,MATCH($E171,单位档案!$A$6:$A$35,0)),"")))))</f>
        <v/>
      </c>
      <c r="J171" s="25" t="s">
        <v>467</v>
      </c>
      <c r="K171" s="22" t="s">
        <v>313</v>
      </c>
      <c r="L171" s="33" t="str">
        <f aca="false">IF($B171="","",IF(NOT(ISNUMBER($B171)),"日期格式不对",IF($C171="","未选项目编号",IF(LEFT($M171,1)="⚠","项目编号不存在",IF($D171="","未选业务类型",IF($E171="","未选开票/付款方",IF(ISNA(MATCH($E171,单位档案!$A$6:$A$35,0)),"开票方不在单位档案",IF($F171="","未选收票/收款方",IF(ISNA(MATCH($F171,单位档案!$A$6:$A$35,0)),"收款方不在单位档案",IF(NOT(ISNUMBER($H171)),"金额须为数字",IF(AND($D171="销项开票",$N171="—"),"链条待确认","√")))))))))))</f>
        <v>√</v>
      </c>
      <c r="M171" s="34" t="str">
        <f aca="false">IF($C171="","",IFERROR(INDEX(项目档案!$B$6:$B$255,MATCH($C171,项目档案!$A$6:$A$255,0)),"⚠项目编号不存在"))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71" s="35" t="str">
        <f aca="false">IF($E171="","",IF($E171=IFERROR(INDEX(项目档案!$D$6:$D$255,MATCH($C171,项目档案!$A$6:$A$255,0)),""),"一级",IF($E171=IFERROR(INDEX(项目档案!$F$6:$F$255,MATCH($C171,项目档案!$A$6:$A$255,0)),""),"二级",IF($E171=IFERROR(INDEX(项目档案!$H$6:$H$255,MATCH($C171,项目档案!$A$6:$A$255,0)),""),"我方","—"))))</f>
        <v>一级</v>
      </c>
      <c r="O171" s="36" t="n">
        <f aca="false">IF($D171&lt;&gt;"销项开票",0,ROUND(N($H171)*N($I171),2))</f>
        <v>0</v>
      </c>
      <c r="P171" s="36" t="n">
        <f aca="false">IF($D171&lt;&gt;"销项开票",0,ROUND(N($H171)-$O171,2))</f>
        <v>0</v>
      </c>
      <c r="Q171" s="37" t="n">
        <f aca="false">IF($E171="","",N(IFERROR(INDEX(单位档案!$E$6:$E$35,MATCH($E171,单位档案!$A$6:$A$35,0)),"")))</f>
        <v>0.09</v>
      </c>
      <c r="R171" s="37" t="n">
        <f aca="false">IF($E171="","",N(IFERROR(INDEX(单位档案!$F$6:$F$35,MATCH($E171,单位档案!$A$6:$A$35,0)),"")))</f>
        <v>0.03</v>
      </c>
      <c r="S171" s="36" t="n">
        <f aca="false">IF(OR($D171&lt;&gt;"销项开票",IFERROR(INDEX(单位档案!$G$6:$G$35,MATCH($E171,单位档案!$A$6:$A$35,0)),"")&lt;&gt;"是",N($Q171)=0),0,IF(IFERROR(INDEX(单位档案!$H$6:$H$35,MATCH($E171,单位档案!$A$6:$A$35,0)),"")="税差法",ROUND(N($H171)/(1+$Q171)*$Q171-IF(N($R171)=0,0,$P171/(1+$R171)*$R171),2),ROUND(N($H171)/(1+$Q171)*$Q171,2)))</f>
        <v>0</v>
      </c>
      <c r="T171" s="36" t="n">
        <f aca="false">ROUND($S171*N(IFERROR(INDEX(单位档案!$J$6:$J$35,MATCH($E171,单位档案!$A$6:$A$35,0)),"")),2)</f>
        <v>0</v>
      </c>
      <c r="U171" s="36" t="n">
        <f aca="false">IF($D171&lt;&gt;"销项开票",0,ROUND(N($H171)*N(IFERROR(INDEX(单位档案!$K$6:$K$35,MATCH($E171,单位档案!$A$6:$A$35,0)),"")),2))</f>
        <v>0</v>
      </c>
      <c r="V171" s="36" t="n">
        <f aca="false">IF(OR($D171&lt;&gt;"销项开票",N($Q171)=0),0,ROUND(N($H171)/(1+$Q171)*N(IFERROR(INDEX(单位档案!$L$6:$L$35,MATCH($E171,单位档案!$A$6:$A$35,0)),"")),2))</f>
        <v>0</v>
      </c>
      <c r="W171" s="36" t="n">
        <f aca="false">ROUND($S171+$T171+$U171+$V171,2)</f>
        <v>0</v>
      </c>
      <c r="X171" s="35" t="str">
        <f aca="false">IF(OR($D171="挂靠代收",$D171="我方收款"),COUNTIFS($D$5:$D171,"挂靠代收")+COUNTIFS($D$5:$D171,"我方收款"),"")</f>
        <v/>
      </c>
      <c r="Y171" s="35" t="s">
        <v>119</v>
      </c>
      <c r="Z171" s="21" t="s">
        <v>111</v>
      </c>
    </row>
    <row r="172" customFormat="false" ht="15.75" hidden="false" customHeight="true" outlineLevel="0" collapsed="false">
      <c r="A172" s="32" t="n">
        <f aca="false">IF($B172="","",ROW()-4)</f>
        <v>168</v>
      </c>
      <c r="B172" s="26" t="n">
        <v>46196</v>
      </c>
      <c r="C172" s="24" t="s">
        <v>150</v>
      </c>
      <c r="D172" s="21" t="s">
        <v>11</v>
      </c>
      <c r="E172" s="21" t="s">
        <v>119</v>
      </c>
      <c r="F172" s="21" t="s">
        <v>134</v>
      </c>
      <c r="G172" s="21"/>
      <c r="H172" s="27" t="n">
        <v>3.59</v>
      </c>
      <c r="I172" s="23" t="str">
        <f aca="false">IF($D172&lt;&gt;"销项开票","",IF($N172="一级",IF(IFERROR(INDEX(项目档案!$E$6:$E$255,MATCH($C172,项目档案!$A$6:$A$255,0)),"")="",N(IFERROR(INDEX(单位档案!$D$6:$D$35,MATCH($E172,单位档案!$A$6:$A$35,0)),"")),IFERROR(INDEX(项目档案!$E$6:$E$255,MATCH($C172,项目档案!$A$6:$A$255,0)),"")),IF($N172="二级",IF(IFERROR(INDEX(项目档案!$G$6:$G$255,MATCH($C172,项目档案!$A$6:$A$255,0)),"")="",N(IFERROR(INDEX(单位档案!$D$6:$D$35,MATCH($E172,单位档案!$A$6:$A$35,0)),"")),IFERROR(INDEX(项目档案!$G$6:$G$255,MATCH($C172,项目档案!$A$6:$A$255,0)),"")),N(IFERROR(INDEX(单位档案!$D$6:$D$35,MATCH($E172,单位档案!$A$6:$A$35,0)),"")))))</f>
        <v/>
      </c>
      <c r="J172" s="25" t="s">
        <v>468</v>
      </c>
      <c r="K172" s="22" t="s">
        <v>313</v>
      </c>
      <c r="L172" s="33" t="str">
        <f aca="false">IF($B172="","",IF(NOT(ISNUMBER($B172)),"日期格式不对",IF($C172="","未选项目编号",IF(LEFT($M172,1)="⚠","项目编号不存在",IF($D172="","未选业务类型",IF($E172="","未选开票/付款方",IF(ISNA(MATCH($E172,单位档案!$A$6:$A$35,0)),"开票方不在单位档案",IF($F172="","未选收票/收款方",IF(ISNA(MATCH($F172,单位档案!$A$6:$A$35,0)),"收款方不在单位档案",IF(NOT(ISNUMBER($H172)),"金额须为数字",IF(AND($D172="销项开票",$N172="—"),"链条待确认","√")))))))))))</f>
        <v>√</v>
      </c>
      <c r="M172" s="34" t="str">
        <f aca="false">IF($C172="","",IFERROR(INDEX(项目档案!$B$6:$B$255,MATCH($C172,项目档案!$A$6:$A$255,0)),"⚠项目编号不存在"))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72" s="35" t="str">
        <f aca="false">IF($E172="","",IF($E172=IFERROR(INDEX(项目档案!$D$6:$D$255,MATCH($C172,项目档案!$A$6:$A$255,0)),""),"一级",IF($E172=IFERROR(INDEX(项目档案!$F$6:$F$255,MATCH($C172,项目档案!$A$6:$A$255,0)),""),"二级",IF($E172=IFERROR(INDEX(项目档案!$H$6:$H$255,MATCH($C172,项目档案!$A$6:$A$255,0)),""),"我方","—"))))</f>
        <v>一级</v>
      </c>
      <c r="O172" s="36" t="n">
        <f aca="false">IF($D172&lt;&gt;"销项开票",0,ROUND(N($H172)*N($I172),2))</f>
        <v>0</v>
      </c>
      <c r="P172" s="36" t="n">
        <f aca="false">IF($D172&lt;&gt;"销项开票",0,ROUND(N($H172)-$O172,2))</f>
        <v>0</v>
      </c>
      <c r="Q172" s="37" t="n">
        <f aca="false">IF($E172="","",N(IFERROR(INDEX(单位档案!$E$6:$E$35,MATCH($E172,单位档案!$A$6:$A$35,0)),"")))</f>
        <v>0.09</v>
      </c>
      <c r="R172" s="37" t="n">
        <f aca="false">IF($E172="","",N(IFERROR(INDEX(单位档案!$F$6:$F$35,MATCH($E172,单位档案!$A$6:$A$35,0)),"")))</f>
        <v>0.03</v>
      </c>
      <c r="S172" s="36" t="n">
        <f aca="false">IF(OR($D172&lt;&gt;"销项开票",IFERROR(INDEX(单位档案!$G$6:$G$35,MATCH($E172,单位档案!$A$6:$A$35,0)),"")&lt;&gt;"是",N($Q172)=0),0,IF(IFERROR(INDEX(单位档案!$H$6:$H$35,MATCH($E172,单位档案!$A$6:$A$35,0)),"")="税差法",ROUND(N($H172)/(1+$Q172)*$Q172-IF(N($R172)=0,0,$P172/(1+$R172)*$R172),2),ROUND(N($H172)/(1+$Q172)*$Q172,2)))</f>
        <v>0</v>
      </c>
      <c r="T172" s="36" t="n">
        <f aca="false">ROUND($S172*N(IFERROR(INDEX(单位档案!$J$6:$J$35,MATCH($E172,单位档案!$A$6:$A$35,0)),"")),2)</f>
        <v>0</v>
      </c>
      <c r="U172" s="36" t="n">
        <f aca="false">IF($D172&lt;&gt;"销项开票",0,ROUND(N($H172)*N(IFERROR(INDEX(单位档案!$K$6:$K$35,MATCH($E172,单位档案!$A$6:$A$35,0)),"")),2))</f>
        <v>0</v>
      </c>
      <c r="V172" s="36" t="n">
        <f aca="false">IF(OR($D172&lt;&gt;"销项开票",N($Q172)=0),0,ROUND(N($H172)/(1+$Q172)*N(IFERROR(INDEX(单位档案!$L$6:$L$35,MATCH($E172,单位档案!$A$6:$A$35,0)),"")),2))</f>
        <v>0</v>
      </c>
      <c r="W172" s="36" t="n">
        <f aca="false">ROUND($S172+$T172+$U172+$V172,2)</f>
        <v>0</v>
      </c>
      <c r="X172" s="35" t="str">
        <f aca="false">IF(OR($D172="挂靠代收",$D172="我方收款"),COUNTIFS($D$5:$D172,"挂靠代收")+COUNTIFS($D$5:$D172,"我方收款"),"")</f>
        <v/>
      </c>
      <c r="Y172" s="35" t="s">
        <v>119</v>
      </c>
      <c r="Z172" s="21" t="s">
        <v>111</v>
      </c>
    </row>
    <row r="173" customFormat="false" ht="15.75" hidden="false" customHeight="true" outlineLevel="0" collapsed="false">
      <c r="A173" s="32" t="n">
        <f aca="false">IF($B173="","",ROW()-4)</f>
        <v>169</v>
      </c>
      <c r="B173" s="26" t="n">
        <v>46196</v>
      </c>
      <c r="C173" s="24" t="s">
        <v>150</v>
      </c>
      <c r="D173" s="21" t="s">
        <v>11</v>
      </c>
      <c r="E173" s="21" t="s">
        <v>119</v>
      </c>
      <c r="F173" s="21" t="s">
        <v>134</v>
      </c>
      <c r="G173" s="21"/>
      <c r="H173" s="27" t="n">
        <v>3.8</v>
      </c>
      <c r="I173" s="23" t="str">
        <f aca="false">IF($D173&lt;&gt;"销项开票","",IF($N173="一级",IF(IFERROR(INDEX(项目档案!$E$6:$E$255,MATCH($C173,项目档案!$A$6:$A$255,0)),"")="",N(IFERROR(INDEX(单位档案!$D$6:$D$35,MATCH($E173,单位档案!$A$6:$A$35,0)),"")),IFERROR(INDEX(项目档案!$E$6:$E$255,MATCH($C173,项目档案!$A$6:$A$255,0)),"")),IF($N173="二级",IF(IFERROR(INDEX(项目档案!$G$6:$G$255,MATCH($C173,项目档案!$A$6:$A$255,0)),"")="",N(IFERROR(INDEX(单位档案!$D$6:$D$35,MATCH($E173,单位档案!$A$6:$A$35,0)),"")),IFERROR(INDEX(项目档案!$G$6:$G$255,MATCH($C173,项目档案!$A$6:$A$255,0)),"")),N(IFERROR(INDEX(单位档案!$D$6:$D$35,MATCH($E173,单位档案!$A$6:$A$35,0)),"")))))</f>
        <v/>
      </c>
      <c r="J173" s="25" t="s">
        <v>469</v>
      </c>
      <c r="K173" s="22" t="s">
        <v>313</v>
      </c>
      <c r="L173" s="33" t="str">
        <f aca="false">IF($B173="","",IF(NOT(ISNUMBER($B173)),"日期格式不对",IF($C173="","未选项目编号",IF(LEFT($M173,1)="⚠","项目编号不存在",IF($D173="","未选业务类型",IF($E173="","未选开票/付款方",IF(ISNA(MATCH($E173,单位档案!$A$6:$A$35,0)),"开票方不在单位档案",IF($F173="","未选收票/收款方",IF(ISNA(MATCH($F173,单位档案!$A$6:$A$35,0)),"收款方不在单位档案",IF(NOT(ISNUMBER($H173)),"金额须为数字",IF(AND($D173="销项开票",$N173="—"),"链条待确认","√")))))))))))</f>
        <v>√</v>
      </c>
      <c r="M173" s="34" t="str">
        <f aca="false">IF($C173="","",IFERROR(INDEX(项目档案!$B$6:$B$255,MATCH($C173,项目档案!$A$6:$A$255,0)),"⚠项目编号不存在"))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73" s="35" t="str">
        <f aca="false">IF($E173="","",IF($E173=IFERROR(INDEX(项目档案!$D$6:$D$255,MATCH($C173,项目档案!$A$6:$A$255,0)),""),"一级",IF($E173=IFERROR(INDEX(项目档案!$F$6:$F$255,MATCH($C173,项目档案!$A$6:$A$255,0)),""),"二级",IF($E173=IFERROR(INDEX(项目档案!$H$6:$H$255,MATCH($C173,项目档案!$A$6:$A$255,0)),""),"我方","—"))))</f>
        <v>一级</v>
      </c>
      <c r="O173" s="36" t="n">
        <f aca="false">IF($D173&lt;&gt;"销项开票",0,ROUND(N($H173)*N($I173),2))</f>
        <v>0</v>
      </c>
      <c r="P173" s="36" t="n">
        <f aca="false">IF($D173&lt;&gt;"销项开票",0,ROUND(N($H173)-$O173,2))</f>
        <v>0</v>
      </c>
      <c r="Q173" s="37" t="n">
        <f aca="false">IF($E173="","",N(IFERROR(INDEX(单位档案!$E$6:$E$35,MATCH($E173,单位档案!$A$6:$A$35,0)),"")))</f>
        <v>0.09</v>
      </c>
      <c r="R173" s="37" t="n">
        <f aca="false">IF($E173="","",N(IFERROR(INDEX(单位档案!$F$6:$F$35,MATCH($E173,单位档案!$A$6:$A$35,0)),"")))</f>
        <v>0.03</v>
      </c>
      <c r="S173" s="36" t="n">
        <f aca="false">IF(OR($D173&lt;&gt;"销项开票",IFERROR(INDEX(单位档案!$G$6:$G$35,MATCH($E173,单位档案!$A$6:$A$35,0)),"")&lt;&gt;"是",N($Q173)=0),0,IF(IFERROR(INDEX(单位档案!$H$6:$H$35,MATCH($E173,单位档案!$A$6:$A$35,0)),"")="税差法",ROUND(N($H173)/(1+$Q173)*$Q173-IF(N($R173)=0,0,$P173/(1+$R173)*$R173),2),ROUND(N($H173)/(1+$Q173)*$Q173,2)))</f>
        <v>0</v>
      </c>
      <c r="T173" s="36" t="n">
        <f aca="false">ROUND($S173*N(IFERROR(INDEX(单位档案!$J$6:$J$35,MATCH($E173,单位档案!$A$6:$A$35,0)),"")),2)</f>
        <v>0</v>
      </c>
      <c r="U173" s="36" t="n">
        <f aca="false">IF($D173&lt;&gt;"销项开票",0,ROUND(N($H173)*N(IFERROR(INDEX(单位档案!$K$6:$K$35,MATCH($E173,单位档案!$A$6:$A$35,0)),"")),2))</f>
        <v>0</v>
      </c>
      <c r="V173" s="36" t="n">
        <f aca="false">IF(OR($D173&lt;&gt;"销项开票",N($Q173)=0),0,ROUND(N($H173)/(1+$Q173)*N(IFERROR(INDEX(单位档案!$L$6:$L$35,MATCH($E173,单位档案!$A$6:$A$35,0)),"")),2))</f>
        <v>0</v>
      </c>
      <c r="W173" s="36" t="n">
        <f aca="false">ROUND($S173+$T173+$U173+$V173,2)</f>
        <v>0</v>
      </c>
      <c r="X173" s="35" t="str">
        <f aca="false">IF(OR($D173="挂靠代收",$D173="我方收款"),COUNTIFS($D$5:$D173,"挂靠代收")+COUNTIFS($D$5:$D173,"我方收款"),"")</f>
        <v/>
      </c>
      <c r="Y173" s="35" t="s">
        <v>119</v>
      </c>
      <c r="Z173" s="21" t="s">
        <v>111</v>
      </c>
    </row>
    <row r="174" customFormat="false" ht="15.75" hidden="false" customHeight="true" outlineLevel="0" collapsed="false">
      <c r="A174" s="32" t="n">
        <f aca="false">IF($B174="","",ROW()-4)</f>
        <v>170</v>
      </c>
      <c r="B174" s="26" t="n">
        <v>46196</v>
      </c>
      <c r="C174" s="24" t="s">
        <v>150</v>
      </c>
      <c r="D174" s="21" t="s">
        <v>11</v>
      </c>
      <c r="E174" s="21" t="s">
        <v>119</v>
      </c>
      <c r="F174" s="21" t="s">
        <v>134</v>
      </c>
      <c r="G174" s="21"/>
      <c r="H174" s="27" t="n">
        <v>704.91</v>
      </c>
      <c r="I174" s="23" t="str">
        <f aca="false">IF($D174&lt;&gt;"销项开票","",IF($N174="一级",IF(IFERROR(INDEX(项目档案!$E$6:$E$255,MATCH($C174,项目档案!$A$6:$A$255,0)),"")="",N(IFERROR(INDEX(单位档案!$D$6:$D$35,MATCH($E174,单位档案!$A$6:$A$35,0)),"")),IFERROR(INDEX(项目档案!$E$6:$E$255,MATCH($C174,项目档案!$A$6:$A$255,0)),"")),IF($N174="二级",IF(IFERROR(INDEX(项目档案!$G$6:$G$255,MATCH($C174,项目档案!$A$6:$A$255,0)),"")="",N(IFERROR(INDEX(单位档案!$D$6:$D$35,MATCH($E174,单位档案!$A$6:$A$35,0)),"")),IFERROR(INDEX(项目档案!$G$6:$G$255,MATCH($C174,项目档案!$A$6:$A$255,0)),"")),N(IFERROR(INDEX(单位档案!$D$6:$D$35,MATCH($E174,单位档案!$A$6:$A$35,0)),"")))))</f>
        <v/>
      </c>
      <c r="J174" s="25" t="s">
        <v>470</v>
      </c>
      <c r="K174" s="22" t="s">
        <v>313</v>
      </c>
      <c r="L174" s="33" t="str">
        <f aca="false">IF($B174="","",IF(NOT(ISNUMBER($B174)),"日期格式不对",IF($C174="","未选项目编号",IF(LEFT($M174,1)="⚠","项目编号不存在",IF($D174="","未选业务类型",IF($E174="","未选开票/付款方",IF(ISNA(MATCH($E174,单位档案!$A$6:$A$35,0)),"开票方不在单位档案",IF($F174="","未选收票/收款方",IF(ISNA(MATCH($F174,单位档案!$A$6:$A$35,0)),"收款方不在单位档案",IF(NOT(ISNUMBER($H174)),"金额须为数字",IF(AND($D174="销项开票",$N174="—"),"链条待确认","√")))))))))))</f>
        <v>√</v>
      </c>
      <c r="M174" s="34" t="str">
        <f aca="false">IF($C174="","",IFERROR(INDEX(项目档案!$B$6:$B$255,MATCH($C174,项目档案!$A$6:$A$255,0)),"⚠项目编号不存在"))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74" s="35" t="str">
        <f aca="false">IF($E174="","",IF($E174=IFERROR(INDEX(项目档案!$D$6:$D$255,MATCH($C174,项目档案!$A$6:$A$255,0)),""),"一级",IF($E174=IFERROR(INDEX(项目档案!$F$6:$F$255,MATCH($C174,项目档案!$A$6:$A$255,0)),""),"二级",IF($E174=IFERROR(INDEX(项目档案!$H$6:$H$255,MATCH($C174,项目档案!$A$6:$A$255,0)),""),"我方","—"))))</f>
        <v>一级</v>
      </c>
      <c r="O174" s="36" t="n">
        <f aca="false">IF($D174&lt;&gt;"销项开票",0,ROUND(N($H174)*N($I174),2))</f>
        <v>0</v>
      </c>
      <c r="P174" s="36" t="n">
        <f aca="false">IF($D174&lt;&gt;"销项开票",0,ROUND(N($H174)-$O174,2))</f>
        <v>0</v>
      </c>
      <c r="Q174" s="37" t="n">
        <f aca="false">IF($E174="","",N(IFERROR(INDEX(单位档案!$E$6:$E$35,MATCH($E174,单位档案!$A$6:$A$35,0)),"")))</f>
        <v>0.09</v>
      </c>
      <c r="R174" s="37" t="n">
        <f aca="false">IF($E174="","",N(IFERROR(INDEX(单位档案!$F$6:$F$35,MATCH($E174,单位档案!$A$6:$A$35,0)),"")))</f>
        <v>0.03</v>
      </c>
      <c r="S174" s="36" t="n">
        <f aca="false">IF(OR($D174&lt;&gt;"销项开票",IFERROR(INDEX(单位档案!$G$6:$G$35,MATCH($E174,单位档案!$A$6:$A$35,0)),"")&lt;&gt;"是",N($Q174)=0),0,IF(IFERROR(INDEX(单位档案!$H$6:$H$35,MATCH($E174,单位档案!$A$6:$A$35,0)),"")="税差法",ROUND(N($H174)/(1+$Q174)*$Q174-IF(N($R174)=0,0,$P174/(1+$R174)*$R174),2),ROUND(N($H174)/(1+$Q174)*$Q174,2)))</f>
        <v>0</v>
      </c>
      <c r="T174" s="36" t="n">
        <f aca="false">ROUND($S174*N(IFERROR(INDEX(单位档案!$J$6:$J$35,MATCH($E174,单位档案!$A$6:$A$35,0)),"")),2)</f>
        <v>0</v>
      </c>
      <c r="U174" s="36" t="n">
        <f aca="false">IF($D174&lt;&gt;"销项开票",0,ROUND(N($H174)*N(IFERROR(INDEX(单位档案!$K$6:$K$35,MATCH($E174,单位档案!$A$6:$A$35,0)),"")),2))</f>
        <v>0</v>
      </c>
      <c r="V174" s="36" t="n">
        <f aca="false">IF(OR($D174&lt;&gt;"销项开票",N($Q174)=0),0,ROUND(N($H174)/(1+$Q174)*N(IFERROR(INDEX(单位档案!$L$6:$L$35,MATCH($E174,单位档案!$A$6:$A$35,0)),"")),2))</f>
        <v>0</v>
      </c>
      <c r="W174" s="36" t="n">
        <f aca="false">ROUND($S174+$T174+$U174+$V174,2)</f>
        <v>0</v>
      </c>
      <c r="X174" s="35" t="str">
        <f aca="false">IF(OR($D174="挂靠代收",$D174="我方收款"),COUNTIFS($D$5:$D174,"挂靠代收")+COUNTIFS($D$5:$D174,"我方收款"),"")</f>
        <v/>
      </c>
      <c r="Y174" s="35" t="s">
        <v>119</v>
      </c>
      <c r="Z174" s="21" t="s">
        <v>111</v>
      </c>
    </row>
    <row r="175" customFormat="false" ht="15.75" hidden="false" customHeight="true" outlineLevel="0" collapsed="false">
      <c r="A175" s="32" t="n">
        <f aca="false">IF($B175="","",ROW()-4)</f>
        <v>171</v>
      </c>
      <c r="B175" s="26" t="n">
        <v>46196</v>
      </c>
      <c r="C175" s="24" t="s">
        <v>150</v>
      </c>
      <c r="D175" s="21" t="s">
        <v>11</v>
      </c>
      <c r="E175" s="21" t="s">
        <v>119</v>
      </c>
      <c r="F175" s="21" t="s">
        <v>134</v>
      </c>
      <c r="G175" s="21"/>
      <c r="H175" s="27" t="n">
        <v>144.04</v>
      </c>
      <c r="I175" s="23" t="str">
        <f aca="false">IF($D175&lt;&gt;"销项开票","",IF($N175="一级",IF(IFERROR(INDEX(项目档案!$E$6:$E$255,MATCH($C175,项目档案!$A$6:$A$255,0)),"")="",N(IFERROR(INDEX(单位档案!$D$6:$D$35,MATCH($E175,单位档案!$A$6:$A$35,0)),"")),IFERROR(INDEX(项目档案!$E$6:$E$255,MATCH($C175,项目档案!$A$6:$A$255,0)),"")),IF($N175="二级",IF(IFERROR(INDEX(项目档案!$G$6:$G$255,MATCH($C175,项目档案!$A$6:$A$255,0)),"")="",N(IFERROR(INDEX(单位档案!$D$6:$D$35,MATCH($E175,单位档案!$A$6:$A$35,0)),"")),IFERROR(INDEX(项目档案!$G$6:$G$255,MATCH($C175,项目档案!$A$6:$A$255,0)),"")),N(IFERROR(INDEX(单位档案!$D$6:$D$35,MATCH($E175,单位档案!$A$6:$A$35,0)),"")))))</f>
        <v/>
      </c>
      <c r="J175" s="25" t="s">
        <v>471</v>
      </c>
      <c r="K175" s="22" t="s">
        <v>313</v>
      </c>
      <c r="L175" s="33" t="str">
        <f aca="false">IF($B175="","",IF(NOT(ISNUMBER($B175)),"日期格式不对",IF($C175="","未选项目编号",IF(LEFT($M175,1)="⚠","项目编号不存在",IF($D175="","未选业务类型",IF($E175="","未选开票/付款方",IF(ISNA(MATCH($E175,单位档案!$A$6:$A$35,0)),"开票方不在单位档案",IF($F175="","未选收票/收款方",IF(ISNA(MATCH($F175,单位档案!$A$6:$A$35,0)),"收款方不在单位档案",IF(NOT(ISNUMBER($H175)),"金额须为数字",IF(AND($D175="销项开票",$N175="—"),"链条待确认","√")))))))))))</f>
        <v>√</v>
      </c>
      <c r="M175" s="34" t="str">
        <f aca="false">IF($C175="","",IFERROR(INDEX(项目档案!$B$6:$B$255,MATCH($C175,项目档案!$A$6:$A$255,0)),"⚠项目编号不存在"))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75" s="35" t="str">
        <f aca="false">IF($E175="","",IF($E175=IFERROR(INDEX(项目档案!$D$6:$D$255,MATCH($C175,项目档案!$A$6:$A$255,0)),""),"一级",IF($E175=IFERROR(INDEX(项目档案!$F$6:$F$255,MATCH($C175,项目档案!$A$6:$A$255,0)),""),"二级",IF($E175=IFERROR(INDEX(项目档案!$H$6:$H$255,MATCH($C175,项目档案!$A$6:$A$255,0)),""),"我方","—"))))</f>
        <v>一级</v>
      </c>
      <c r="O175" s="36" t="n">
        <f aca="false">IF($D175&lt;&gt;"销项开票",0,ROUND(N($H175)*N($I175),2))</f>
        <v>0</v>
      </c>
      <c r="P175" s="36" t="n">
        <f aca="false">IF($D175&lt;&gt;"销项开票",0,ROUND(N($H175)-$O175,2))</f>
        <v>0</v>
      </c>
      <c r="Q175" s="37" t="n">
        <f aca="false">IF($E175="","",N(IFERROR(INDEX(单位档案!$E$6:$E$35,MATCH($E175,单位档案!$A$6:$A$35,0)),"")))</f>
        <v>0.09</v>
      </c>
      <c r="R175" s="37" t="n">
        <f aca="false">IF($E175="","",N(IFERROR(INDEX(单位档案!$F$6:$F$35,MATCH($E175,单位档案!$A$6:$A$35,0)),"")))</f>
        <v>0.03</v>
      </c>
      <c r="S175" s="36" t="n">
        <f aca="false">IF(OR($D175&lt;&gt;"销项开票",IFERROR(INDEX(单位档案!$G$6:$G$35,MATCH($E175,单位档案!$A$6:$A$35,0)),"")&lt;&gt;"是",N($Q175)=0),0,IF(IFERROR(INDEX(单位档案!$H$6:$H$35,MATCH($E175,单位档案!$A$6:$A$35,0)),"")="税差法",ROUND(N($H175)/(1+$Q175)*$Q175-IF(N($R175)=0,0,$P175/(1+$R175)*$R175),2),ROUND(N($H175)/(1+$Q175)*$Q175,2)))</f>
        <v>0</v>
      </c>
      <c r="T175" s="36" t="n">
        <f aca="false">ROUND($S175*N(IFERROR(INDEX(单位档案!$J$6:$J$35,MATCH($E175,单位档案!$A$6:$A$35,0)),"")),2)</f>
        <v>0</v>
      </c>
      <c r="U175" s="36" t="n">
        <f aca="false">IF($D175&lt;&gt;"销项开票",0,ROUND(N($H175)*N(IFERROR(INDEX(单位档案!$K$6:$K$35,MATCH($E175,单位档案!$A$6:$A$35,0)),"")),2))</f>
        <v>0</v>
      </c>
      <c r="V175" s="36" t="n">
        <f aca="false">IF(OR($D175&lt;&gt;"销项开票",N($Q175)=0),0,ROUND(N($H175)/(1+$Q175)*N(IFERROR(INDEX(单位档案!$L$6:$L$35,MATCH($E175,单位档案!$A$6:$A$35,0)),"")),2))</f>
        <v>0</v>
      </c>
      <c r="W175" s="36" t="n">
        <f aca="false">ROUND($S175+$T175+$U175+$V175,2)</f>
        <v>0</v>
      </c>
      <c r="X175" s="35" t="str">
        <f aca="false">IF(OR($D175="挂靠代收",$D175="我方收款"),COUNTIFS($D$5:$D175,"挂靠代收")+COUNTIFS($D$5:$D175,"我方收款"),"")</f>
        <v/>
      </c>
      <c r="Y175" s="35" t="s">
        <v>119</v>
      </c>
      <c r="Z175" s="21" t="s">
        <v>111</v>
      </c>
    </row>
    <row r="176" customFormat="false" ht="15.75" hidden="false" customHeight="true" outlineLevel="0" collapsed="false">
      <c r="A176" s="32" t="n">
        <f aca="false">IF($B176="","",ROW()-4)</f>
        <v>172</v>
      </c>
      <c r="B176" s="26" t="n">
        <v>46196</v>
      </c>
      <c r="C176" s="24" t="s">
        <v>150</v>
      </c>
      <c r="D176" s="21" t="s">
        <v>11</v>
      </c>
      <c r="E176" s="21" t="s">
        <v>119</v>
      </c>
      <c r="F176" s="21" t="s">
        <v>134</v>
      </c>
      <c r="G176" s="21"/>
      <c r="H176" s="27" t="n">
        <v>576.8</v>
      </c>
      <c r="I176" s="23" t="str">
        <f aca="false">IF($D176&lt;&gt;"销项开票","",IF($N176="一级",IF(IFERROR(INDEX(项目档案!$E$6:$E$255,MATCH($C176,项目档案!$A$6:$A$255,0)),"")="",N(IFERROR(INDEX(单位档案!$D$6:$D$35,MATCH($E176,单位档案!$A$6:$A$35,0)),"")),IFERROR(INDEX(项目档案!$E$6:$E$255,MATCH($C176,项目档案!$A$6:$A$255,0)),"")),IF($N176="二级",IF(IFERROR(INDEX(项目档案!$G$6:$G$255,MATCH($C176,项目档案!$A$6:$A$255,0)),"")="",N(IFERROR(INDEX(单位档案!$D$6:$D$35,MATCH($E176,单位档案!$A$6:$A$35,0)),"")),IFERROR(INDEX(项目档案!$G$6:$G$255,MATCH($C176,项目档案!$A$6:$A$255,0)),"")),N(IFERROR(INDEX(单位档案!$D$6:$D$35,MATCH($E176,单位档案!$A$6:$A$35,0)),"")))))</f>
        <v/>
      </c>
      <c r="J176" s="25" t="s">
        <v>472</v>
      </c>
      <c r="K176" s="22" t="s">
        <v>313</v>
      </c>
      <c r="L176" s="33" t="str">
        <f aca="false">IF($B176="","",IF(NOT(ISNUMBER($B176)),"日期格式不对",IF($C176="","未选项目编号",IF(LEFT($M176,1)="⚠","项目编号不存在",IF($D176="","未选业务类型",IF($E176="","未选开票/付款方",IF(ISNA(MATCH($E176,单位档案!$A$6:$A$35,0)),"开票方不在单位档案",IF($F176="","未选收票/收款方",IF(ISNA(MATCH($F176,单位档案!$A$6:$A$35,0)),"收款方不在单位档案",IF(NOT(ISNUMBER($H176)),"金额须为数字",IF(AND($D176="销项开票",$N176="—"),"链条待确认","√")))))))))))</f>
        <v>√</v>
      </c>
      <c r="M176" s="34" t="str">
        <f aca="false">IF($C176="","",IFERROR(INDEX(项目档案!$B$6:$B$255,MATCH($C176,项目档案!$A$6:$A$255,0)),"⚠项目编号不存在"))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76" s="35" t="str">
        <f aca="false">IF($E176="","",IF($E176=IFERROR(INDEX(项目档案!$D$6:$D$255,MATCH($C176,项目档案!$A$6:$A$255,0)),""),"一级",IF($E176=IFERROR(INDEX(项目档案!$F$6:$F$255,MATCH($C176,项目档案!$A$6:$A$255,0)),""),"二级",IF($E176=IFERROR(INDEX(项目档案!$H$6:$H$255,MATCH($C176,项目档案!$A$6:$A$255,0)),""),"我方","—"))))</f>
        <v>一级</v>
      </c>
      <c r="O176" s="36" t="n">
        <f aca="false">IF($D176&lt;&gt;"销项开票",0,ROUND(N($H176)*N($I176),2))</f>
        <v>0</v>
      </c>
      <c r="P176" s="36" t="n">
        <f aca="false">IF($D176&lt;&gt;"销项开票",0,ROUND(N($H176)-$O176,2))</f>
        <v>0</v>
      </c>
      <c r="Q176" s="37" t="n">
        <f aca="false">IF($E176="","",N(IFERROR(INDEX(单位档案!$E$6:$E$35,MATCH($E176,单位档案!$A$6:$A$35,0)),"")))</f>
        <v>0.09</v>
      </c>
      <c r="R176" s="37" t="n">
        <f aca="false">IF($E176="","",N(IFERROR(INDEX(单位档案!$F$6:$F$35,MATCH($E176,单位档案!$A$6:$A$35,0)),"")))</f>
        <v>0.03</v>
      </c>
      <c r="S176" s="36" t="n">
        <f aca="false">IF(OR($D176&lt;&gt;"销项开票",IFERROR(INDEX(单位档案!$G$6:$G$35,MATCH($E176,单位档案!$A$6:$A$35,0)),"")&lt;&gt;"是",N($Q176)=0),0,IF(IFERROR(INDEX(单位档案!$H$6:$H$35,MATCH($E176,单位档案!$A$6:$A$35,0)),"")="税差法",ROUND(N($H176)/(1+$Q176)*$Q176-IF(N($R176)=0,0,$P176/(1+$R176)*$R176),2),ROUND(N($H176)/(1+$Q176)*$Q176,2)))</f>
        <v>0</v>
      </c>
      <c r="T176" s="36" t="n">
        <f aca="false">ROUND($S176*N(IFERROR(INDEX(单位档案!$J$6:$J$35,MATCH($E176,单位档案!$A$6:$A$35,0)),"")),2)</f>
        <v>0</v>
      </c>
      <c r="U176" s="36" t="n">
        <f aca="false">IF($D176&lt;&gt;"销项开票",0,ROUND(N($H176)*N(IFERROR(INDEX(单位档案!$K$6:$K$35,MATCH($E176,单位档案!$A$6:$A$35,0)),"")),2))</f>
        <v>0</v>
      </c>
      <c r="V176" s="36" t="n">
        <f aca="false">IF(OR($D176&lt;&gt;"销项开票",N($Q176)=0),0,ROUND(N($H176)/(1+$Q176)*N(IFERROR(INDEX(单位档案!$L$6:$L$35,MATCH($E176,单位档案!$A$6:$A$35,0)),"")),2))</f>
        <v>0</v>
      </c>
      <c r="W176" s="36" t="n">
        <f aca="false">ROUND($S176+$T176+$U176+$V176,2)</f>
        <v>0</v>
      </c>
      <c r="X176" s="35" t="str">
        <f aca="false">IF(OR($D176="挂靠代收",$D176="我方收款"),COUNTIFS($D$5:$D176,"挂靠代收")+COUNTIFS($D$5:$D176,"我方收款"),"")</f>
        <v/>
      </c>
      <c r="Y176" s="35" t="s">
        <v>119</v>
      </c>
      <c r="Z176" s="21" t="s">
        <v>111</v>
      </c>
    </row>
    <row r="177" customFormat="false" ht="15.75" hidden="false" customHeight="true" outlineLevel="0" collapsed="false">
      <c r="A177" s="32" t="n">
        <f aca="false">IF($B177="","",ROW()-4)</f>
        <v>173</v>
      </c>
      <c r="B177" s="26" t="n">
        <v>46196</v>
      </c>
      <c r="C177" s="24" t="s">
        <v>150</v>
      </c>
      <c r="D177" s="21" t="s">
        <v>11</v>
      </c>
      <c r="E177" s="21" t="s">
        <v>119</v>
      </c>
      <c r="F177" s="21" t="s">
        <v>134</v>
      </c>
      <c r="G177" s="21"/>
      <c r="H177" s="27" t="n">
        <v>351.99</v>
      </c>
      <c r="I177" s="23" t="str">
        <f aca="false">IF($D177&lt;&gt;"销项开票","",IF($N177="一级",IF(IFERROR(INDEX(项目档案!$E$6:$E$255,MATCH($C177,项目档案!$A$6:$A$255,0)),"")="",N(IFERROR(INDEX(单位档案!$D$6:$D$35,MATCH($E177,单位档案!$A$6:$A$35,0)),"")),IFERROR(INDEX(项目档案!$E$6:$E$255,MATCH($C177,项目档案!$A$6:$A$255,0)),"")),IF($N177="二级",IF(IFERROR(INDEX(项目档案!$G$6:$G$255,MATCH($C177,项目档案!$A$6:$A$255,0)),"")="",N(IFERROR(INDEX(单位档案!$D$6:$D$35,MATCH($E177,单位档案!$A$6:$A$35,0)),"")),IFERROR(INDEX(项目档案!$G$6:$G$255,MATCH($C177,项目档案!$A$6:$A$255,0)),"")),N(IFERROR(INDEX(单位档案!$D$6:$D$35,MATCH($E177,单位档案!$A$6:$A$35,0)),"")))))</f>
        <v/>
      </c>
      <c r="J177" s="25" t="s">
        <v>473</v>
      </c>
      <c r="K177" s="22" t="s">
        <v>313</v>
      </c>
      <c r="L177" s="33" t="str">
        <f aca="false">IF($B177="","",IF(NOT(ISNUMBER($B177)),"日期格式不对",IF($C177="","未选项目编号",IF(LEFT($M177,1)="⚠","项目编号不存在",IF($D177="","未选业务类型",IF($E177="","未选开票/付款方",IF(ISNA(MATCH($E177,单位档案!$A$6:$A$35,0)),"开票方不在单位档案",IF($F177="","未选收票/收款方",IF(ISNA(MATCH($F177,单位档案!$A$6:$A$35,0)),"收款方不在单位档案",IF(NOT(ISNUMBER($H177)),"金额须为数字",IF(AND($D177="销项开票",$N177="—"),"链条待确认","√")))))))))))</f>
        <v>√</v>
      </c>
      <c r="M177" s="34" t="str">
        <f aca="false">IF($C177="","",IFERROR(INDEX(项目档案!$B$6:$B$255,MATCH($C177,项目档案!$A$6:$A$255,0)),"⚠项目编号不存在"))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77" s="35" t="str">
        <f aca="false">IF($E177="","",IF($E177=IFERROR(INDEX(项目档案!$D$6:$D$255,MATCH($C177,项目档案!$A$6:$A$255,0)),""),"一级",IF($E177=IFERROR(INDEX(项目档案!$F$6:$F$255,MATCH($C177,项目档案!$A$6:$A$255,0)),""),"二级",IF($E177=IFERROR(INDEX(项目档案!$H$6:$H$255,MATCH($C177,项目档案!$A$6:$A$255,0)),""),"我方","—"))))</f>
        <v>一级</v>
      </c>
      <c r="O177" s="36" t="n">
        <f aca="false">IF($D177&lt;&gt;"销项开票",0,ROUND(N($H177)*N($I177),2))</f>
        <v>0</v>
      </c>
      <c r="P177" s="36" t="n">
        <f aca="false">IF($D177&lt;&gt;"销项开票",0,ROUND(N($H177)-$O177,2))</f>
        <v>0</v>
      </c>
      <c r="Q177" s="37" t="n">
        <f aca="false">IF($E177="","",N(IFERROR(INDEX(单位档案!$E$6:$E$35,MATCH($E177,单位档案!$A$6:$A$35,0)),"")))</f>
        <v>0.09</v>
      </c>
      <c r="R177" s="37" t="n">
        <f aca="false">IF($E177="","",N(IFERROR(INDEX(单位档案!$F$6:$F$35,MATCH($E177,单位档案!$A$6:$A$35,0)),"")))</f>
        <v>0.03</v>
      </c>
      <c r="S177" s="36" t="n">
        <f aca="false">IF(OR($D177&lt;&gt;"销项开票",IFERROR(INDEX(单位档案!$G$6:$G$35,MATCH($E177,单位档案!$A$6:$A$35,0)),"")&lt;&gt;"是",N($Q177)=0),0,IF(IFERROR(INDEX(单位档案!$H$6:$H$35,MATCH($E177,单位档案!$A$6:$A$35,0)),"")="税差法",ROUND(N($H177)/(1+$Q177)*$Q177-IF(N($R177)=0,0,$P177/(1+$R177)*$R177),2),ROUND(N($H177)/(1+$Q177)*$Q177,2)))</f>
        <v>0</v>
      </c>
      <c r="T177" s="36" t="n">
        <f aca="false">ROUND($S177*N(IFERROR(INDEX(单位档案!$J$6:$J$35,MATCH($E177,单位档案!$A$6:$A$35,0)),"")),2)</f>
        <v>0</v>
      </c>
      <c r="U177" s="36" t="n">
        <f aca="false">IF($D177&lt;&gt;"销项开票",0,ROUND(N($H177)*N(IFERROR(INDEX(单位档案!$K$6:$K$35,MATCH($E177,单位档案!$A$6:$A$35,0)),"")),2))</f>
        <v>0</v>
      </c>
      <c r="V177" s="36" t="n">
        <f aca="false">IF(OR($D177&lt;&gt;"销项开票",N($Q177)=0),0,ROUND(N($H177)/(1+$Q177)*N(IFERROR(INDEX(单位档案!$L$6:$L$35,MATCH($E177,单位档案!$A$6:$A$35,0)),"")),2))</f>
        <v>0</v>
      </c>
      <c r="W177" s="36" t="n">
        <f aca="false">ROUND($S177+$T177+$U177+$V177,2)</f>
        <v>0</v>
      </c>
      <c r="X177" s="35" t="str">
        <f aca="false">IF(OR($D177="挂靠代收",$D177="我方收款"),COUNTIFS($D$5:$D177,"挂靠代收")+COUNTIFS($D$5:$D177,"我方收款"),"")</f>
        <v/>
      </c>
      <c r="Y177" s="35" t="s">
        <v>119</v>
      </c>
      <c r="Z177" s="21" t="s">
        <v>111</v>
      </c>
    </row>
    <row r="178" customFormat="false" ht="15.75" hidden="false" customHeight="true" outlineLevel="0" collapsed="false">
      <c r="A178" s="32" t="n">
        <f aca="false">IF($B178="","",ROW()-4)</f>
        <v>174</v>
      </c>
      <c r="B178" s="26" t="n">
        <v>46196</v>
      </c>
      <c r="C178" s="24" t="s">
        <v>150</v>
      </c>
      <c r="D178" s="21" t="s">
        <v>11</v>
      </c>
      <c r="E178" s="21" t="s">
        <v>119</v>
      </c>
      <c r="F178" s="21" t="s">
        <v>134</v>
      </c>
      <c r="G178" s="21"/>
      <c r="H178" s="27" t="n">
        <v>400.97</v>
      </c>
      <c r="I178" s="23" t="str">
        <f aca="false">IF($D178&lt;&gt;"销项开票","",IF($N178="一级",IF(IFERROR(INDEX(项目档案!$E$6:$E$255,MATCH($C178,项目档案!$A$6:$A$255,0)),"")="",N(IFERROR(INDEX(单位档案!$D$6:$D$35,MATCH($E178,单位档案!$A$6:$A$35,0)),"")),IFERROR(INDEX(项目档案!$E$6:$E$255,MATCH($C178,项目档案!$A$6:$A$255,0)),"")),IF($N178="二级",IF(IFERROR(INDEX(项目档案!$G$6:$G$255,MATCH($C178,项目档案!$A$6:$A$255,0)),"")="",N(IFERROR(INDEX(单位档案!$D$6:$D$35,MATCH($E178,单位档案!$A$6:$A$35,0)),"")),IFERROR(INDEX(项目档案!$G$6:$G$255,MATCH($C178,项目档案!$A$6:$A$255,0)),"")),N(IFERROR(INDEX(单位档案!$D$6:$D$35,MATCH($E178,单位档案!$A$6:$A$35,0)),"")))))</f>
        <v/>
      </c>
      <c r="J178" s="25" t="s">
        <v>474</v>
      </c>
      <c r="K178" s="22" t="s">
        <v>313</v>
      </c>
      <c r="L178" s="33" t="str">
        <f aca="false">IF($B178="","",IF(NOT(ISNUMBER($B178)),"日期格式不对",IF($C178="","未选项目编号",IF(LEFT($M178,1)="⚠","项目编号不存在",IF($D178="","未选业务类型",IF($E178="","未选开票/付款方",IF(ISNA(MATCH($E178,单位档案!$A$6:$A$35,0)),"开票方不在单位档案",IF($F178="","未选收票/收款方",IF(ISNA(MATCH($F178,单位档案!$A$6:$A$35,0)),"收款方不在单位档案",IF(NOT(ISNUMBER($H178)),"金额须为数字",IF(AND($D178="销项开票",$N178="—"),"链条待确认","√")))))))))))</f>
        <v>√</v>
      </c>
      <c r="M178" s="34" t="str">
        <f aca="false">IF($C178="","",IFERROR(INDEX(项目档案!$B$6:$B$255,MATCH($C178,项目档案!$A$6:$A$255,0)),"⚠项目编号不存在"))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78" s="35" t="str">
        <f aca="false">IF($E178="","",IF($E178=IFERROR(INDEX(项目档案!$D$6:$D$255,MATCH($C178,项目档案!$A$6:$A$255,0)),""),"一级",IF($E178=IFERROR(INDEX(项目档案!$F$6:$F$255,MATCH($C178,项目档案!$A$6:$A$255,0)),""),"二级",IF($E178=IFERROR(INDEX(项目档案!$H$6:$H$255,MATCH($C178,项目档案!$A$6:$A$255,0)),""),"我方","—"))))</f>
        <v>一级</v>
      </c>
      <c r="O178" s="36" t="n">
        <f aca="false">IF($D178&lt;&gt;"销项开票",0,ROUND(N($H178)*N($I178),2))</f>
        <v>0</v>
      </c>
      <c r="P178" s="36" t="n">
        <f aca="false">IF($D178&lt;&gt;"销项开票",0,ROUND(N($H178)-$O178,2))</f>
        <v>0</v>
      </c>
      <c r="Q178" s="37" t="n">
        <f aca="false">IF($E178="","",N(IFERROR(INDEX(单位档案!$E$6:$E$35,MATCH($E178,单位档案!$A$6:$A$35,0)),"")))</f>
        <v>0.09</v>
      </c>
      <c r="R178" s="37" t="n">
        <f aca="false">IF($E178="","",N(IFERROR(INDEX(单位档案!$F$6:$F$35,MATCH($E178,单位档案!$A$6:$A$35,0)),"")))</f>
        <v>0.03</v>
      </c>
      <c r="S178" s="36" t="n">
        <f aca="false">IF(OR($D178&lt;&gt;"销项开票",IFERROR(INDEX(单位档案!$G$6:$G$35,MATCH($E178,单位档案!$A$6:$A$35,0)),"")&lt;&gt;"是",N($Q178)=0),0,IF(IFERROR(INDEX(单位档案!$H$6:$H$35,MATCH($E178,单位档案!$A$6:$A$35,0)),"")="税差法",ROUND(N($H178)/(1+$Q178)*$Q178-IF(N($R178)=0,0,$P178/(1+$R178)*$R178),2),ROUND(N($H178)/(1+$Q178)*$Q178,2)))</f>
        <v>0</v>
      </c>
      <c r="T178" s="36" t="n">
        <f aca="false">ROUND($S178*N(IFERROR(INDEX(单位档案!$J$6:$J$35,MATCH($E178,单位档案!$A$6:$A$35,0)),"")),2)</f>
        <v>0</v>
      </c>
      <c r="U178" s="36" t="n">
        <f aca="false">IF($D178&lt;&gt;"销项开票",0,ROUND(N($H178)*N(IFERROR(INDEX(单位档案!$K$6:$K$35,MATCH($E178,单位档案!$A$6:$A$35,0)),"")),2))</f>
        <v>0</v>
      </c>
      <c r="V178" s="36" t="n">
        <f aca="false">IF(OR($D178&lt;&gt;"销项开票",N($Q178)=0),0,ROUND(N($H178)/(1+$Q178)*N(IFERROR(INDEX(单位档案!$L$6:$L$35,MATCH($E178,单位档案!$A$6:$A$35,0)),"")),2))</f>
        <v>0</v>
      </c>
      <c r="W178" s="36" t="n">
        <f aca="false">ROUND($S178+$T178+$U178+$V178,2)</f>
        <v>0</v>
      </c>
      <c r="X178" s="35" t="str">
        <f aca="false">IF(OR($D178="挂靠代收",$D178="我方收款"),COUNTIFS($D$5:$D178,"挂靠代收")+COUNTIFS($D$5:$D178,"我方收款"),"")</f>
        <v/>
      </c>
      <c r="Y178" s="35" t="s">
        <v>119</v>
      </c>
      <c r="Z178" s="21" t="s">
        <v>111</v>
      </c>
    </row>
    <row r="179" customFormat="false" ht="15.75" hidden="false" customHeight="true" outlineLevel="0" collapsed="false">
      <c r="A179" s="32" t="n">
        <f aca="false">IF($B179="","",ROW()-4)</f>
        <v>175</v>
      </c>
      <c r="B179" s="26" t="n">
        <v>46196</v>
      </c>
      <c r="C179" s="24" t="s">
        <v>150</v>
      </c>
      <c r="D179" s="21" t="s">
        <v>11</v>
      </c>
      <c r="E179" s="21" t="s">
        <v>119</v>
      </c>
      <c r="F179" s="21" t="s">
        <v>134</v>
      </c>
      <c r="G179" s="21"/>
      <c r="H179" s="27" t="n">
        <v>30.84</v>
      </c>
      <c r="I179" s="23" t="str">
        <f aca="false">IF($D179&lt;&gt;"销项开票","",IF($N179="一级",IF(IFERROR(INDEX(项目档案!$E$6:$E$255,MATCH($C179,项目档案!$A$6:$A$255,0)),"")="",N(IFERROR(INDEX(单位档案!$D$6:$D$35,MATCH($E179,单位档案!$A$6:$A$35,0)),"")),IFERROR(INDEX(项目档案!$E$6:$E$255,MATCH($C179,项目档案!$A$6:$A$255,0)),"")),IF($N179="二级",IF(IFERROR(INDEX(项目档案!$G$6:$G$255,MATCH($C179,项目档案!$A$6:$A$255,0)),"")="",N(IFERROR(INDEX(单位档案!$D$6:$D$35,MATCH($E179,单位档案!$A$6:$A$35,0)),"")),IFERROR(INDEX(项目档案!$G$6:$G$255,MATCH($C179,项目档案!$A$6:$A$255,0)),"")),N(IFERROR(INDEX(单位档案!$D$6:$D$35,MATCH($E179,单位档案!$A$6:$A$35,0)),"")))))</f>
        <v/>
      </c>
      <c r="J179" s="25" t="s">
        <v>466</v>
      </c>
      <c r="K179" s="22" t="s">
        <v>313</v>
      </c>
      <c r="L179" s="33" t="str">
        <f aca="false">IF($B179="","",IF(NOT(ISNUMBER($B179)),"日期格式不对",IF($C179="","未选项目编号",IF(LEFT($M179,1)="⚠","项目编号不存在",IF($D179="","未选业务类型",IF($E179="","未选开票/付款方",IF(ISNA(MATCH($E179,单位档案!$A$6:$A$35,0)),"开票方不在单位档案",IF($F179="","未选收票/收款方",IF(ISNA(MATCH($F179,单位档案!$A$6:$A$35,0)),"收款方不在单位档案",IF(NOT(ISNUMBER($H179)),"金额须为数字",IF(AND($D179="销项开票",$N179="—"),"链条待确认","√")))))))))))</f>
        <v>√</v>
      </c>
      <c r="M179" s="34" t="str">
        <f aca="false">IF($C179="","",IFERROR(INDEX(项目档案!$B$6:$B$255,MATCH($C179,项目档案!$A$6:$A$255,0)),"⚠项目编号不存在"))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179" s="35" t="str">
        <f aca="false">IF($E179="","",IF($E179=IFERROR(INDEX(项目档案!$D$6:$D$255,MATCH($C179,项目档案!$A$6:$A$255,0)),""),"一级",IF($E179=IFERROR(INDEX(项目档案!$F$6:$F$255,MATCH($C179,项目档案!$A$6:$A$255,0)),""),"二级",IF($E179=IFERROR(INDEX(项目档案!$H$6:$H$255,MATCH($C179,项目档案!$A$6:$A$255,0)),""),"我方","—"))))</f>
        <v>一级</v>
      </c>
      <c r="O179" s="36" t="n">
        <f aca="false">IF($D179&lt;&gt;"销项开票",0,ROUND(N($H179)*N($I179),2))</f>
        <v>0</v>
      </c>
      <c r="P179" s="36" t="n">
        <f aca="false">IF($D179&lt;&gt;"销项开票",0,ROUND(N($H179)-$O179,2))</f>
        <v>0</v>
      </c>
      <c r="Q179" s="37" t="n">
        <f aca="false">IF($E179="","",N(IFERROR(INDEX(单位档案!$E$6:$E$35,MATCH($E179,单位档案!$A$6:$A$35,0)),"")))</f>
        <v>0.09</v>
      </c>
      <c r="R179" s="37" t="n">
        <f aca="false">IF($E179="","",N(IFERROR(INDEX(单位档案!$F$6:$F$35,MATCH($E179,单位档案!$A$6:$A$35,0)),"")))</f>
        <v>0.03</v>
      </c>
      <c r="S179" s="36" t="n">
        <f aca="false">IF(OR($D179&lt;&gt;"销项开票",IFERROR(INDEX(单位档案!$G$6:$G$35,MATCH($E179,单位档案!$A$6:$A$35,0)),"")&lt;&gt;"是",N($Q179)=0),0,IF(IFERROR(INDEX(单位档案!$H$6:$H$35,MATCH($E179,单位档案!$A$6:$A$35,0)),"")="税差法",ROUND(N($H179)/(1+$Q179)*$Q179-IF(N($R179)=0,0,$P179/(1+$R179)*$R179),2),ROUND(N($H179)/(1+$Q179)*$Q179,2)))</f>
        <v>0</v>
      </c>
      <c r="T179" s="36" t="n">
        <f aca="false">ROUND($S179*N(IFERROR(INDEX(单位档案!$J$6:$J$35,MATCH($E179,单位档案!$A$6:$A$35,0)),"")),2)</f>
        <v>0</v>
      </c>
      <c r="U179" s="36" t="n">
        <f aca="false">IF($D179&lt;&gt;"销项开票",0,ROUND(N($H179)*N(IFERROR(INDEX(单位档案!$K$6:$K$35,MATCH($E179,单位档案!$A$6:$A$35,0)),"")),2))</f>
        <v>0</v>
      </c>
      <c r="V179" s="36" t="n">
        <f aca="false">IF(OR($D179&lt;&gt;"销项开票",N($Q179)=0),0,ROUND(N($H179)/(1+$Q179)*N(IFERROR(INDEX(单位档案!$L$6:$L$35,MATCH($E179,单位档案!$A$6:$A$35,0)),"")),2))</f>
        <v>0</v>
      </c>
      <c r="W179" s="36" t="n">
        <f aca="false">ROUND($S179+$T179+$U179+$V179,2)</f>
        <v>0</v>
      </c>
      <c r="X179" s="35" t="str">
        <f aca="false">IF(OR($D179="挂靠代收",$D179="我方收款"),COUNTIFS($D$5:$D179,"挂靠代收")+COUNTIFS($D$5:$D179,"我方收款"),"")</f>
        <v/>
      </c>
      <c r="Y179" s="35" t="s">
        <v>119</v>
      </c>
      <c r="Z179" s="21" t="s">
        <v>111</v>
      </c>
    </row>
    <row r="180" customFormat="false" ht="15.75" hidden="false" customHeight="true" outlineLevel="0" collapsed="false">
      <c r="A180" s="32" t="n">
        <f aca="false">IF($B180="","",ROW()-4)</f>
        <v>176</v>
      </c>
      <c r="B180" s="26" t="n">
        <v>46198</v>
      </c>
      <c r="C180" s="24" t="s">
        <v>165</v>
      </c>
      <c r="D180" s="21" t="s">
        <v>319</v>
      </c>
      <c r="E180" s="21" t="s">
        <v>97</v>
      </c>
      <c r="F180" s="21" t="s">
        <v>117</v>
      </c>
      <c r="G180" s="21"/>
      <c r="H180" s="27" t="n">
        <v>49074</v>
      </c>
      <c r="I180" s="23" t="str">
        <f aca="false">IF($D180&lt;&gt;"销项开票","",IF($N180="一级",IF(IFERROR(INDEX(项目档案!$E$6:$E$255,MATCH($C180,项目档案!$A$6:$A$255,0)),"")="",N(IFERROR(INDEX(单位档案!$D$6:$D$35,MATCH($E180,单位档案!$A$6:$A$35,0)),"")),IFERROR(INDEX(项目档案!$E$6:$E$255,MATCH($C180,项目档案!$A$6:$A$255,0)),"")),IF($N180="二级",IF(IFERROR(INDEX(项目档案!$G$6:$G$255,MATCH($C180,项目档案!$A$6:$A$255,0)),"")="",N(IFERROR(INDEX(单位档案!$D$6:$D$35,MATCH($E180,单位档案!$A$6:$A$35,0)),"")),IFERROR(INDEX(项目档案!$G$6:$G$255,MATCH($C180,项目档案!$A$6:$A$255,0)),"")),N(IFERROR(INDEX(单位档案!$D$6:$D$35,MATCH($E180,单位档案!$A$6:$A$35,0)),"")))))</f>
        <v/>
      </c>
      <c r="J180" s="25" t="s">
        <v>475</v>
      </c>
      <c r="K180" s="22" t="s">
        <v>313</v>
      </c>
      <c r="L180" s="33" t="str">
        <f aca="false">IF($B180="","",IF(NOT(ISNUMBER($B180)),"日期格式不对",IF($C180="","未选项目编号",IF(LEFT($M180,1)="⚠","项目编号不存在",IF($D180="","未选业务类型",IF($E180="","未选开票/付款方",IF(ISNA(MATCH($E180,单位档案!$A$6:$A$35,0)),"开票方不在单位档案",IF($F180="","未选收票/收款方",IF(ISNA(MATCH($F180,单位档案!$A$6:$A$35,0)),"收款方不在单位档案",IF(NOT(ISNUMBER($H180)),"金额须为数字",IF(AND($D180="销项开票",$N180="—"),"链条待确认","√")))))))))))</f>
        <v>√</v>
      </c>
      <c r="M180" s="34" t="str">
        <f aca="false">IF($C180="","",IFERROR(INDEX(项目档案!$B$6:$B$255,MATCH($C180,项目档案!$A$6:$A$255,0)),"⚠项目编号不存在"))</f>
        <v>重庆铜梁10kV平凉线惠丰9社等4个台区重过载治理工程</v>
      </c>
      <c r="N180" s="35" t="str">
        <f aca="false">IF($E180="","",IF($E180=IFERROR(INDEX(项目档案!$D$6:$D$255,MATCH($C180,项目档案!$A$6:$A$255,0)),""),"一级",IF($E180=IFERROR(INDEX(项目档案!$F$6:$F$255,MATCH($C180,项目档案!$A$6:$A$255,0)),""),"二级",IF($E180=IFERROR(INDEX(项目档案!$H$6:$H$255,MATCH($C180,项目档案!$A$6:$A$255,0)),""),"我方","—"))))</f>
        <v>—</v>
      </c>
      <c r="O180" s="36" t="n">
        <f aca="false">IF($D180&lt;&gt;"销项开票",0,ROUND(N($H180)*N($I180),2))</f>
        <v>0</v>
      </c>
      <c r="P180" s="36" t="n">
        <f aca="false">IF($D180&lt;&gt;"销项开票",0,ROUND(N($H180)-$O180,2))</f>
        <v>0</v>
      </c>
      <c r="Q180" s="37" t="n">
        <f aca="false">IF($E180="","",N(IFERROR(INDEX(单位档案!$E$6:$E$35,MATCH($E180,单位档案!$A$6:$A$35,0)),"")))</f>
        <v>0</v>
      </c>
      <c r="R180" s="37" t="n">
        <f aca="false">IF($E180="","",N(IFERROR(INDEX(单位档案!$F$6:$F$35,MATCH($E180,单位档案!$A$6:$A$35,0)),"")))</f>
        <v>0</v>
      </c>
      <c r="S180" s="36" t="n">
        <f aca="false">IF(OR($D180&lt;&gt;"销项开票",IFERROR(INDEX(单位档案!$G$6:$G$35,MATCH($E180,单位档案!$A$6:$A$35,0)),"")&lt;&gt;"是",N($Q180)=0),0,IF(IFERROR(INDEX(单位档案!$H$6:$H$35,MATCH($E180,单位档案!$A$6:$A$35,0)),"")="税差法",ROUND(N($H180)/(1+$Q180)*$Q180-IF(N($R180)=0,0,$P180/(1+$R180)*$R180),2),ROUND(N($H180)/(1+$Q180)*$Q180,2)))</f>
        <v>0</v>
      </c>
      <c r="T180" s="36" t="n">
        <f aca="false">ROUND($S180*N(IFERROR(INDEX(单位档案!$J$6:$J$35,MATCH($E180,单位档案!$A$6:$A$35,0)),"")),2)</f>
        <v>0</v>
      </c>
      <c r="U180" s="36" t="n">
        <f aca="false">IF($D180&lt;&gt;"销项开票",0,ROUND(N($H180)*N(IFERROR(INDEX(单位档案!$K$6:$K$35,MATCH($E180,单位档案!$A$6:$A$35,0)),"")),2))</f>
        <v>0</v>
      </c>
      <c r="V180" s="36" t="n">
        <f aca="false">IF(OR($D180&lt;&gt;"销项开票",N($Q180)=0),0,ROUND(N($H180)/(1+$Q180)*N(IFERROR(INDEX(单位档案!$L$6:$L$35,MATCH($E180,单位档案!$A$6:$A$35,0)),"")),2))</f>
        <v>0</v>
      </c>
      <c r="W180" s="36" t="n">
        <f aca="false">ROUND($S180+$T180+$U180+$V180,2)</f>
        <v>0</v>
      </c>
      <c r="X180" s="35" t="n">
        <f aca="false">IF(OR($D180="挂靠代收",$D180="我方收款"),COUNTIFS($D$5:$D180,"挂靠代收")+COUNTIFS($D$5:$D180,"我方收款"),"")</f>
        <v>13</v>
      </c>
      <c r="Y180" s="35" t="s">
        <v>117</v>
      </c>
      <c r="Z180" s="21" t="s">
        <v>111</v>
      </c>
    </row>
    <row r="181" customFormat="false" ht="15.75" hidden="false" customHeight="true" outlineLevel="0" collapsed="false">
      <c r="A181" s="32" t="n">
        <f aca="false">IF($B181="","",ROW()-4)</f>
        <v>177</v>
      </c>
      <c r="B181" s="26" t="n">
        <v>46198</v>
      </c>
      <c r="C181" s="24" t="s">
        <v>165</v>
      </c>
      <c r="D181" s="21" t="s">
        <v>319</v>
      </c>
      <c r="E181" s="21" t="s">
        <v>97</v>
      </c>
      <c r="F181" s="21" t="s">
        <v>117</v>
      </c>
      <c r="G181" s="21"/>
      <c r="H181" s="27" t="n">
        <v>78842</v>
      </c>
      <c r="I181" s="23" t="str">
        <f aca="false">IF($D181&lt;&gt;"销项开票","",IF($N181="一级",IF(IFERROR(INDEX(项目档案!$E$6:$E$255,MATCH($C181,项目档案!$A$6:$A$255,0)),"")="",N(IFERROR(INDEX(单位档案!$D$6:$D$35,MATCH($E181,单位档案!$A$6:$A$35,0)),"")),IFERROR(INDEX(项目档案!$E$6:$E$255,MATCH($C181,项目档案!$A$6:$A$255,0)),"")),IF($N181="二级",IF(IFERROR(INDEX(项目档案!$G$6:$G$255,MATCH($C181,项目档案!$A$6:$A$255,0)),"")="",N(IFERROR(INDEX(单位档案!$D$6:$D$35,MATCH($E181,单位档案!$A$6:$A$35,0)),"")),IFERROR(INDEX(项目档案!$G$6:$G$255,MATCH($C181,项目档案!$A$6:$A$255,0)),"")),N(IFERROR(INDEX(单位档案!$D$6:$D$35,MATCH($E181,单位档案!$A$6:$A$35,0)),"")))))</f>
        <v/>
      </c>
      <c r="J181" s="25" t="s">
        <v>476</v>
      </c>
      <c r="K181" s="22" t="s">
        <v>313</v>
      </c>
      <c r="L181" s="33" t="str">
        <f aca="false">IF($B181="","",IF(NOT(ISNUMBER($B181)),"日期格式不对",IF($C181="","未选项目编号",IF(LEFT($M181,1)="⚠","项目编号不存在",IF($D181="","未选业务类型",IF($E181="","未选开票/付款方",IF(ISNA(MATCH($E181,单位档案!$A$6:$A$35,0)),"开票方不在单位档案",IF($F181="","未选收票/收款方",IF(ISNA(MATCH($F181,单位档案!$A$6:$A$35,0)),"收款方不在单位档案",IF(NOT(ISNUMBER($H181)),"金额须为数字",IF(AND($D181="销项开票",$N181="—"),"链条待确认","√")))))))))))</f>
        <v>√</v>
      </c>
      <c r="M181" s="34" t="str">
        <f aca="false">IF($C181="","",IFERROR(INDEX(项目档案!$B$6:$B$255,MATCH($C181,项目档案!$A$6:$A$255,0)),"⚠项目编号不存在"))</f>
        <v>重庆铜梁10kV平凉线惠丰9社等4个台区重过载治理工程</v>
      </c>
      <c r="N181" s="35" t="str">
        <f aca="false">IF($E181="","",IF($E181=IFERROR(INDEX(项目档案!$D$6:$D$255,MATCH($C181,项目档案!$A$6:$A$255,0)),""),"一级",IF($E181=IFERROR(INDEX(项目档案!$F$6:$F$255,MATCH($C181,项目档案!$A$6:$A$255,0)),""),"二级",IF($E181=IFERROR(INDEX(项目档案!$H$6:$H$255,MATCH($C181,项目档案!$A$6:$A$255,0)),""),"我方","—"))))</f>
        <v>—</v>
      </c>
      <c r="O181" s="36" t="n">
        <f aca="false">IF($D181&lt;&gt;"销项开票",0,ROUND(N($H181)*N($I181),2))</f>
        <v>0</v>
      </c>
      <c r="P181" s="36" t="n">
        <f aca="false">IF($D181&lt;&gt;"销项开票",0,ROUND(N($H181)-$O181,2))</f>
        <v>0</v>
      </c>
      <c r="Q181" s="37" t="n">
        <f aca="false">IF($E181="","",N(IFERROR(INDEX(单位档案!$E$6:$E$35,MATCH($E181,单位档案!$A$6:$A$35,0)),"")))</f>
        <v>0</v>
      </c>
      <c r="R181" s="37" t="n">
        <f aca="false">IF($E181="","",N(IFERROR(INDEX(单位档案!$F$6:$F$35,MATCH($E181,单位档案!$A$6:$A$35,0)),"")))</f>
        <v>0</v>
      </c>
      <c r="S181" s="36" t="n">
        <f aca="false">IF(OR($D181&lt;&gt;"销项开票",IFERROR(INDEX(单位档案!$G$6:$G$35,MATCH($E181,单位档案!$A$6:$A$35,0)),"")&lt;&gt;"是",N($Q181)=0),0,IF(IFERROR(INDEX(单位档案!$H$6:$H$35,MATCH($E181,单位档案!$A$6:$A$35,0)),"")="税差法",ROUND(N($H181)/(1+$Q181)*$Q181-IF(N($R181)=0,0,$P181/(1+$R181)*$R181),2),ROUND(N($H181)/(1+$Q181)*$Q181,2)))</f>
        <v>0</v>
      </c>
      <c r="T181" s="36" t="n">
        <f aca="false">ROUND($S181*N(IFERROR(INDEX(单位档案!$J$6:$J$35,MATCH($E181,单位档案!$A$6:$A$35,0)),"")),2)</f>
        <v>0</v>
      </c>
      <c r="U181" s="36" t="n">
        <f aca="false">IF($D181&lt;&gt;"销项开票",0,ROUND(N($H181)*N(IFERROR(INDEX(单位档案!$K$6:$K$35,MATCH($E181,单位档案!$A$6:$A$35,0)),"")),2))</f>
        <v>0</v>
      </c>
      <c r="V181" s="36" t="n">
        <f aca="false">IF(OR($D181&lt;&gt;"销项开票",N($Q181)=0),0,ROUND(N($H181)/(1+$Q181)*N(IFERROR(INDEX(单位档案!$L$6:$L$35,MATCH($E181,单位档案!$A$6:$A$35,0)),"")),2))</f>
        <v>0</v>
      </c>
      <c r="W181" s="36" t="n">
        <f aca="false">ROUND($S181+$T181+$U181+$V181,2)</f>
        <v>0</v>
      </c>
      <c r="X181" s="35" t="n">
        <f aca="false">IF(OR($D181="挂靠代收",$D181="我方收款"),COUNTIFS($D$5:$D181,"挂靠代收")+COUNTIFS($D$5:$D181,"我方收款"),"")</f>
        <v>14</v>
      </c>
      <c r="Y181" s="35" t="s">
        <v>117</v>
      </c>
      <c r="Z181" s="21" t="s">
        <v>111</v>
      </c>
    </row>
    <row r="182" customFormat="false" ht="15.75" hidden="false" customHeight="true" outlineLevel="0" collapsed="false">
      <c r="A182" s="32" t="n">
        <f aca="false">IF($B182="","",ROW()-4)</f>
        <v>178</v>
      </c>
      <c r="B182" s="26" t="n">
        <v>46198</v>
      </c>
      <c r="C182" s="24" t="s">
        <v>165</v>
      </c>
      <c r="D182" s="21" t="s">
        <v>319</v>
      </c>
      <c r="E182" s="21" t="s">
        <v>97</v>
      </c>
      <c r="F182" s="21" t="s">
        <v>117</v>
      </c>
      <c r="G182" s="21"/>
      <c r="H182" s="27" t="n">
        <v>57991</v>
      </c>
      <c r="I182" s="23" t="str">
        <f aca="false">IF($D182&lt;&gt;"销项开票","",IF($N182="一级",IF(IFERROR(INDEX(项目档案!$E$6:$E$255,MATCH($C182,项目档案!$A$6:$A$255,0)),"")="",N(IFERROR(INDEX(单位档案!$D$6:$D$35,MATCH($E182,单位档案!$A$6:$A$35,0)),"")),IFERROR(INDEX(项目档案!$E$6:$E$255,MATCH($C182,项目档案!$A$6:$A$255,0)),"")),IF($N182="二级",IF(IFERROR(INDEX(项目档案!$G$6:$G$255,MATCH($C182,项目档案!$A$6:$A$255,0)),"")="",N(IFERROR(INDEX(单位档案!$D$6:$D$35,MATCH($E182,单位档案!$A$6:$A$35,0)),"")),IFERROR(INDEX(项目档案!$G$6:$G$255,MATCH($C182,项目档案!$A$6:$A$255,0)),"")),N(IFERROR(INDEX(单位档案!$D$6:$D$35,MATCH($E182,单位档案!$A$6:$A$35,0)),"")))))</f>
        <v/>
      </c>
      <c r="J182" s="25" t="s">
        <v>477</v>
      </c>
      <c r="K182" s="22" t="s">
        <v>313</v>
      </c>
      <c r="L182" s="33" t="str">
        <f aca="false">IF($B182="","",IF(NOT(ISNUMBER($B182)),"日期格式不对",IF($C182="","未选项目编号",IF(LEFT($M182,1)="⚠","项目编号不存在",IF($D182="","未选业务类型",IF($E182="","未选开票/付款方",IF(ISNA(MATCH($E182,单位档案!$A$6:$A$35,0)),"开票方不在单位档案",IF($F182="","未选收票/收款方",IF(ISNA(MATCH($F182,单位档案!$A$6:$A$35,0)),"收款方不在单位档案",IF(NOT(ISNUMBER($H182)),"金额须为数字",IF(AND($D182="销项开票",$N182="—"),"链条待确认","√")))))))))))</f>
        <v>√</v>
      </c>
      <c r="M182" s="34" t="str">
        <f aca="false">IF($C182="","",IFERROR(INDEX(项目档案!$B$6:$B$255,MATCH($C182,项目档案!$A$6:$A$255,0)),"⚠项目编号不存在"))</f>
        <v>重庆铜梁10kV平凉线惠丰9社等4个台区重过载治理工程</v>
      </c>
      <c r="N182" s="35" t="str">
        <f aca="false">IF($E182="","",IF($E182=IFERROR(INDEX(项目档案!$D$6:$D$255,MATCH($C182,项目档案!$A$6:$A$255,0)),""),"一级",IF($E182=IFERROR(INDEX(项目档案!$F$6:$F$255,MATCH($C182,项目档案!$A$6:$A$255,0)),""),"二级",IF($E182=IFERROR(INDEX(项目档案!$H$6:$H$255,MATCH($C182,项目档案!$A$6:$A$255,0)),""),"我方","—"))))</f>
        <v>—</v>
      </c>
      <c r="O182" s="36" t="n">
        <f aca="false">IF($D182&lt;&gt;"销项开票",0,ROUND(N($H182)*N($I182),2))</f>
        <v>0</v>
      </c>
      <c r="P182" s="36" t="n">
        <f aca="false">IF($D182&lt;&gt;"销项开票",0,ROUND(N($H182)-$O182,2))</f>
        <v>0</v>
      </c>
      <c r="Q182" s="37" t="n">
        <f aca="false">IF($E182="","",N(IFERROR(INDEX(单位档案!$E$6:$E$35,MATCH($E182,单位档案!$A$6:$A$35,0)),"")))</f>
        <v>0</v>
      </c>
      <c r="R182" s="37" t="n">
        <f aca="false">IF($E182="","",N(IFERROR(INDEX(单位档案!$F$6:$F$35,MATCH($E182,单位档案!$A$6:$A$35,0)),"")))</f>
        <v>0</v>
      </c>
      <c r="S182" s="36" t="n">
        <f aca="false">IF(OR($D182&lt;&gt;"销项开票",IFERROR(INDEX(单位档案!$G$6:$G$35,MATCH($E182,单位档案!$A$6:$A$35,0)),"")&lt;&gt;"是",N($Q182)=0),0,IF(IFERROR(INDEX(单位档案!$H$6:$H$35,MATCH($E182,单位档案!$A$6:$A$35,0)),"")="税差法",ROUND(N($H182)/(1+$Q182)*$Q182-IF(N($R182)=0,0,$P182/(1+$R182)*$R182),2),ROUND(N($H182)/(1+$Q182)*$Q182,2)))</f>
        <v>0</v>
      </c>
      <c r="T182" s="36" t="n">
        <f aca="false">ROUND($S182*N(IFERROR(INDEX(单位档案!$J$6:$J$35,MATCH($E182,单位档案!$A$6:$A$35,0)),"")),2)</f>
        <v>0</v>
      </c>
      <c r="U182" s="36" t="n">
        <f aca="false">IF($D182&lt;&gt;"销项开票",0,ROUND(N($H182)*N(IFERROR(INDEX(单位档案!$K$6:$K$35,MATCH($E182,单位档案!$A$6:$A$35,0)),"")),2))</f>
        <v>0</v>
      </c>
      <c r="V182" s="36" t="n">
        <f aca="false">IF(OR($D182&lt;&gt;"销项开票",N($Q182)=0),0,ROUND(N($H182)/(1+$Q182)*N(IFERROR(INDEX(单位档案!$L$6:$L$35,MATCH($E182,单位档案!$A$6:$A$35,0)),"")),2))</f>
        <v>0</v>
      </c>
      <c r="W182" s="36" t="n">
        <f aca="false">ROUND($S182+$T182+$U182+$V182,2)</f>
        <v>0</v>
      </c>
      <c r="X182" s="35" t="n">
        <f aca="false">IF(OR($D182="挂靠代收",$D182="我方收款"),COUNTIFS($D$5:$D182,"挂靠代收")+COUNTIFS($D$5:$D182,"我方收款"),"")</f>
        <v>15</v>
      </c>
      <c r="Y182" s="35" t="s">
        <v>117</v>
      </c>
      <c r="Z182" s="21" t="s">
        <v>111</v>
      </c>
    </row>
    <row r="183" customFormat="false" ht="15.75" hidden="false" customHeight="true" outlineLevel="0" collapsed="false">
      <c r="A183" s="32" t="n">
        <f aca="false">IF($B183="","",ROW()-4)</f>
        <v>179</v>
      </c>
      <c r="B183" s="26" t="n">
        <v>46198</v>
      </c>
      <c r="C183" s="24" t="s">
        <v>165</v>
      </c>
      <c r="D183" s="21" t="s">
        <v>319</v>
      </c>
      <c r="E183" s="21" t="s">
        <v>97</v>
      </c>
      <c r="F183" s="21" t="s">
        <v>117</v>
      </c>
      <c r="G183" s="21"/>
      <c r="H183" s="27" t="n">
        <v>107179</v>
      </c>
      <c r="I183" s="23" t="str">
        <f aca="false">IF($D183&lt;&gt;"销项开票","",IF($N183="一级",IF(IFERROR(INDEX(项目档案!$E$6:$E$255,MATCH($C183,项目档案!$A$6:$A$255,0)),"")="",N(IFERROR(INDEX(单位档案!$D$6:$D$35,MATCH($E183,单位档案!$A$6:$A$35,0)),"")),IFERROR(INDEX(项目档案!$E$6:$E$255,MATCH($C183,项目档案!$A$6:$A$255,0)),"")),IF($N183="二级",IF(IFERROR(INDEX(项目档案!$G$6:$G$255,MATCH($C183,项目档案!$A$6:$A$255,0)),"")="",N(IFERROR(INDEX(单位档案!$D$6:$D$35,MATCH($E183,单位档案!$A$6:$A$35,0)),"")),IFERROR(INDEX(项目档案!$G$6:$G$255,MATCH($C183,项目档案!$A$6:$A$255,0)),"")),N(IFERROR(INDEX(单位档案!$D$6:$D$35,MATCH($E183,单位档案!$A$6:$A$35,0)),"")))))</f>
        <v/>
      </c>
      <c r="J183" s="25" t="s">
        <v>478</v>
      </c>
      <c r="K183" s="22" t="s">
        <v>313</v>
      </c>
      <c r="L183" s="33" t="str">
        <f aca="false">IF($B183="","",IF(NOT(ISNUMBER($B183)),"日期格式不对",IF($C183="","未选项目编号",IF(LEFT($M183,1)="⚠","项目编号不存在",IF($D183="","未选业务类型",IF($E183="","未选开票/付款方",IF(ISNA(MATCH($E183,单位档案!$A$6:$A$35,0)),"开票方不在单位档案",IF($F183="","未选收票/收款方",IF(ISNA(MATCH($F183,单位档案!$A$6:$A$35,0)),"收款方不在单位档案",IF(NOT(ISNUMBER($H183)),"金额须为数字",IF(AND($D183="销项开票",$N183="—"),"链条待确认","√")))))))))))</f>
        <v>√</v>
      </c>
      <c r="M183" s="34" t="str">
        <f aca="false">IF($C183="","",IFERROR(INDEX(项目档案!$B$6:$B$255,MATCH($C183,项目档案!$A$6:$A$255,0)),"⚠项目编号不存在"))</f>
        <v>重庆铜梁10kV平凉线惠丰9社等4个台区重过载治理工程</v>
      </c>
      <c r="N183" s="35" t="str">
        <f aca="false">IF($E183="","",IF($E183=IFERROR(INDEX(项目档案!$D$6:$D$255,MATCH($C183,项目档案!$A$6:$A$255,0)),""),"一级",IF($E183=IFERROR(INDEX(项目档案!$F$6:$F$255,MATCH($C183,项目档案!$A$6:$A$255,0)),""),"二级",IF($E183=IFERROR(INDEX(项目档案!$H$6:$H$255,MATCH($C183,项目档案!$A$6:$A$255,0)),""),"我方","—"))))</f>
        <v>—</v>
      </c>
      <c r="O183" s="36" t="n">
        <f aca="false">IF($D183&lt;&gt;"销项开票",0,ROUND(N($H183)*N($I183),2))</f>
        <v>0</v>
      </c>
      <c r="P183" s="36" t="n">
        <f aca="false">IF($D183&lt;&gt;"销项开票",0,ROUND(N($H183)-$O183,2))</f>
        <v>0</v>
      </c>
      <c r="Q183" s="37" t="n">
        <f aca="false">IF($E183="","",N(IFERROR(INDEX(单位档案!$E$6:$E$35,MATCH($E183,单位档案!$A$6:$A$35,0)),"")))</f>
        <v>0</v>
      </c>
      <c r="R183" s="37" t="n">
        <f aca="false">IF($E183="","",N(IFERROR(INDEX(单位档案!$F$6:$F$35,MATCH($E183,单位档案!$A$6:$A$35,0)),"")))</f>
        <v>0</v>
      </c>
      <c r="S183" s="36" t="n">
        <f aca="false">IF(OR($D183&lt;&gt;"销项开票",IFERROR(INDEX(单位档案!$G$6:$G$35,MATCH($E183,单位档案!$A$6:$A$35,0)),"")&lt;&gt;"是",N($Q183)=0),0,IF(IFERROR(INDEX(单位档案!$H$6:$H$35,MATCH($E183,单位档案!$A$6:$A$35,0)),"")="税差法",ROUND(N($H183)/(1+$Q183)*$Q183-IF(N($R183)=0,0,$P183/(1+$R183)*$R183),2),ROUND(N($H183)/(1+$Q183)*$Q183,2)))</f>
        <v>0</v>
      </c>
      <c r="T183" s="36" t="n">
        <f aca="false">ROUND($S183*N(IFERROR(INDEX(单位档案!$J$6:$J$35,MATCH($E183,单位档案!$A$6:$A$35,0)),"")),2)</f>
        <v>0</v>
      </c>
      <c r="U183" s="36" t="n">
        <f aca="false">IF($D183&lt;&gt;"销项开票",0,ROUND(N($H183)*N(IFERROR(INDEX(单位档案!$K$6:$K$35,MATCH($E183,单位档案!$A$6:$A$35,0)),"")),2))</f>
        <v>0</v>
      </c>
      <c r="V183" s="36" t="n">
        <f aca="false">IF(OR($D183&lt;&gt;"销项开票",N($Q183)=0),0,ROUND(N($H183)/(1+$Q183)*N(IFERROR(INDEX(单位档案!$L$6:$L$35,MATCH($E183,单位档案!$A$6:$A$35,0)),"")),2))</f>
        <v>0</v>
      </c>
      <c r="W183" s="36" t="n">
        <f aca="false">ROUND($S183+$T183+$U183+$V183,2)</f>
        <v>0</v>
      </c>
      <c r="X183" s="35" t="n">
        <f aca="false">IF(OR($D183="挂靠代收",$D183="我方收款"),COUNTIFS($D$5:$D183,"挂靠代收")+COUNTIFS($D$5:$D183,"我方收款"),"")</f>
        <v>16</v>
      </c>
      <c r="Y183" s="35" t="s">
        <v>117</v>
      </c>
      <c r="Z183" s="21" t="s">
        <v>111</v>
      </c>
    </row>
    <row r="184" customFormat="false" ht="15.75" hidden="false" customHeight="true" outlineLevel="0" collapsed="false">
      <c r="A184" s="32" t="n">
        <f aca="false">IF($B184="","",ROW()-4)</f>
        <v>180</v>
      </c>
      <c r="B184" s="26" t="n">
        <v>46198</v>
      </c>
      <c r="C184" s="24" t="s">
        <v>165</v>
      </c>
      <c r="D184" s="21" t="s">
        <v>319</v>
      </c>
      <c r="E184" s="21" t="s">
        <v>97</v>
      </c>
      <c r="F184" s="21" t="s">
        <v>117</v>
      </c>
      <c r="G184" s="21"/>
      <c r="H184" s="27" t="n">
        <v>79113</v>
      </c>
      <c r="I184" s="23" t="str">
        <f aca="false">IF($D184&lt;&gt;"销项开票","",IF($N184="一级",IF(IFERROR(INDEX(项目档案!$E$6:$E$255,MATCH($C184,项目档案!$A$6:$A$255,0)),"")="",N(IFERROR(INDEX(单位档案!$D$6:$D$35,MATCH($E184,单位档案!$A$6:$A$35,0)),"")),IFERROR(INDEX(项目档案!$E$6:$E$255,MATCH($C184,项目档案!$A$6:$A$255,0)),"")),IF($N184="二级",IF(IFERROR(INDEX(项目档案!$G$6:$G$255,MATCH($C184,项目档案!$A$6:$A$255,0)),"")="",N(IFERROR(INDEX(单位档案!$D$6:$D$35,MATCH($E184,单位档案!$A$6:$A$35,0)),"")),IFERROR(INDEX(项目档案!$G$6:$G$255,MATCH($C184,项目档案!$A$6:$A$255,0)),"")),N(IFERROR(INDEX(单位档案!$D$6:$D$35,MATCH($E184,单位档案!$A$6:$A$35,0)),"")))))</f>
        <v/>
      </c>
      <c r="J184" s="25" t="s">
        <v>479</v>
      </c>
      <c r="K184" s="22" t="s">
        <v>313</v>
      </c>
      <c r="L184" s="33" t="str">
        <f aca="false">IF($B184="","",IF(NOT(ISNUMBER($B184)),"日期格式不对",IF($C184="","未选项目编号",IF(LEFT($M184,1)="⚠","项目编号不存在",IF($D184="","未选业务类型",IF($E184="","未选开票/付款方",IF(ISNA(MATCH($E184,单位档案!$A$6:$A$35,0)),"开票方不在单位档案",IF($F184="","未选收票/收款方",IF(ISNA(MATCH($F184,单位档案!$A$6:$A$35,0)),"收款方不在单位档案",IF(NOT(ISNUMBER($H184)),"金额须为数字",IF(AND($D184="销项开票",$N184="—"),"链条待确认","√")))))))))))</f>
        <v>√</v>
      </c>
      <c r="M184" s="34" t="str">
        <f aca="false">IF($C184="","",IFERROR(INDEX(项目档案!$B$6:$B$255,MATCH($C184,项目档案!$A$6:$A$255,0)),"⚠项目编号不存在"))</f>
        <v>重庆铜梁10kV平凉线惠丰9社等4个台区重过载治理工程</v>
      </c>
      <c r="N184" s="35" t="str">
        <f aca="false">IF($E184="","",IF($E184=IFERROR(INDEX(项目档案!$D$6:$D$255,MATCH($C184,项目档案!$A$6:$A$255,0)),""),"一级",IF($E184=IFERROR(INDEX(项目档案!$F$6:$F$255,MATCH($C184,项目档案!$A$6:$A$255,0)),""),"二级",IF($E184=IFERROR(INDEX(项目档案!$H$6:$H$255,MATCH($C184,项目档案!$A$6:$A$255,0)),""),"我方","—"))))</f>
        <v>—</v>
      </c>
      <c r="O184" s="36" t="n">
        <f aca="false">IF($D184&lt;&gt;"销项开票",0,ROUND(N($H184)*N($I184),2))</f>
        <v>0</v>
      </c>
      <c r="P184" s="36" t="n">
        <f aca="false">IF($D184&lt;&gt;"销项开票",0,ROUND(N($H184)-$O184,2))</f>
        <v>0</v>
      </c>
      <c r="Q184" s="37" t="n">
        <f aca="false">IF($E184="","",N(IFERROR(INDEX(单位档案!$E$6:$E$35,MATCH($E184,单位档案!$A$6:$A$35,0)),"")))</f>
        <v>0</v>
      </c>
      <c r="R184" s="37" t="n">
        <f aca="false">IF($E184="","",N(IFERROR(INDEX(单位档案!$F$6:$F$35,MATCH($E184,单位档案!$A$6:$A$35,0)),"")))</f>
        <v>0</v>
      </c>
      <c r="S184" s="36" t="n">
        <f aca="false">IF(OR($D184&lt;&gt;"销项开票",IFERROR(INDEX(单位档案!$G$6:$G$35,MATCH($E184,单位档案!$A$6:$A$35,0)),"")&lt;&gt;"是",N($Q184)=0),0,IF(IFERROR(INDEX(单位档案!$H$6:$H$35,MATCH($E184,单位档案!$A$6:$A$35,0)),"")="税差法",ROUND(N($H184)/(1+$Q184)*$Q184-IF(N($R184)=0,0,$P184/(1+$R184)*$R184),2),ROUND(N($H184)/(1+$Q184)*$Q184,2)))</f>
        <v>0</v>
      </c>
      <c r="T184" s="36" t="n">
        <f aca="false">ROUND($S184*N(IFERROR(INDEX(单位档案!$J$6:$J$35,MATCH($E184,单位档案!$A$6:$A$35,0)),"")),2)</f>
        <v>0</v>
      </c>
      <c r="U184" s="36" t="n">
        <f aca="false">IF($D184&lt;&gt;"销项开票",0,ROUND(N($H184)*N(IFERROR(INDEX(单位档案!$K$6:$K$35,MATCH($E184,单位档案!$A$6:$A$35,0)),"")),2))</f>
        <v>0</v>
      </c>
      <c r="V184" s="36" t="n">
        <f aca="false">IF(OR($D184&lt;&gt;"销项开票",N($Q184)=0),0,ROUND(N($H184)/(1+$Q184)*N(IFERROR(INDEX(单位档案!$L$6:$L$35,MATCH($E184,单位档案!$A$6:$A$35,0)),"")),2))</f>
        <v>0</v>
      </c>
      <c r="W184" s="36" t="n">
        <f aca="false">ROUND($S184+$T184+$U184+$V184,2)</f>
        <v>0</v>
      </c>
      <c r="X184" s="35" t="n">
        <f aca="false">IF(OR($D184="挂靠代收",$D184="我方收款"),COUNTIFS($D$5:$D184,"挂靠代收")+COUNTIFS($D$5:$D184,"我方收款"),"")</f>
        <v>17</v>
      </c>
      <c r="Y184" s="35" t="s">
        <v>117</v>
      </c>
      <c r="Z184" s="21" t="s">
        <v>111</v>
      </c>
    </row>
    <row r="185" customFormat="false" ht="15.75" hidden="false" customHeight="true" outlineLevel="0" collapsed="false">
      <c r="A185" s="32" t="n">
        <f aca="false">IF($B185="","",ROW()-4)</f>
        <v>181</v>
      </c>
      <c r="B185" s="26" t="n">
        <v>46198</v>
      </c>
      <c r="C185" s="24" t="s">
        <v>209</v>
      </c>
      <c r="D185" s="21" t="s">
        <v>307</v>
      </c>
      <c r="E185" s="21" t="s">
        <v>106</v>
      </c>
      <c r="F185" s="21" t="s">
        <v>97</v>
      </c>
      <c r="G185" s="24" t="s">
        <v>308</v>
      </c>
      <c r="H185" s="27" t="n">
        <v>9704.24</v>
      </c>
      <c r="I185" s="23" t="n">
        <v>0.08</v>
      </c>
      <c r="J185" s="25" t="s">
        <v>480</v>
      </c>
      <c r="K185" s="22" t="s">
        <v>313</v>
      </c>
      <c r="L185" s="33" t="str">
        <f aca="false">IF($B185="","",IF(NOT(ISNUMBER($B185)),"日期格式不对",IF($C185="","未选项目编号",IF(LEFT($M185,1)="⚠","项目编号不存在",IF($D185="","未选业务类型",IF($E185="","未选开票/付款方",IF(ISNA(MATCH($E185,单位档案!$A$6:$A$35,0)),"开票方不在单位档案",IF($F185="","未选收票/收款方",IF(ISNA(MATCH($F185,单位档案!$A$6:$A$35,0)),"收款方不在单位档案",IF(NOT(ISNUMBER($H185)),"金额须为数字",IF(AND($D185="销项开票",$N185="—"),"链条待确认","√")))))))))))</f>
        <v>√</v>
      </c>
      <c r="M185" s="34" t="str">
        <f aca="false">IF($C185="","",IFERROR(INDEX(项目档案!$B$6:$B$255,MATCH($C185,项目档案!$A$6:$A$255,0)),"⚠项目编号不存在"))</f>
        <v>重庆铜梁10kV梧桐村4.5.6社台区重过载治理工程等23个项目(2025年配网6批、业扩5批德誉佳施工)(重庆铜梁10kV侣新线铜安1社台区重过载治理工程)</v>
      </c>
      <c r="N185" s="35" t="str">
        <f aca="false">IF($E185="","",IF($E185=IFERROR(INDEX(项目档案!$D$6:$D$255,MATCH($C185,项目档案!$A$6:$A$255,0)),""),"一级",IF($E185=IFERROR(INDEX(项目档案!$F$6:$F$255,MATCH($C185,项目档案!$A$6:$A$255,0)),""),"二级",IF($E185=IFERROR(INDEX(项目档案!$H$6:$H$255,MATCH($C185,项目档案!$A$6:$A$255,0)),""),"我方","—"))))</f>
        <v>一级</v>
      </c>
      <c r="O185" s="36" t="n">
        <f aca="false">IF($D185&lt;&gt;"销项开票",0,ROUND(N($H185)*N($I185),2))</f>
        <v>776.34</v>
      </c>
      <c r="P185" s="36" t="n">
        <f aca="false">IF($D185&lt;&gt;"销项开票",0,ROUND(N($H185)-$O185,2))</f>
        <v>8927.9</v>
      </c>
      <c r="Q185" s="37" t="n">
        <f aca="false">IF($E185="","",N(IFERROR(INDEX(单位档案!$E$6:$E$35,MATCH($E185,单位档案!$A$6:$A$35,0)),"")))</f>
        <v>0.13</v>
      </c>
      <c r="R185" s="37" t="n">
        <f aca="false">IF($E185="","",N(IFERROR(INDEX(单位档案!$F$6:$F$35,MATCH($E185,单位档案!$A$6:$A$35,0)),"")))</f>
        <v>0.13</v>
      </c>
      <c r="S185" s="36" t="n">
        <f aca="false">IF(OR($D185&lt;&gt;"销项开票",IFERROR(INDEX(单位档案!$G$6:$G$35,MATCH($E185,单位档案!$A$6:$A$35,0)),"")&lt;&gt;"是",N($Q185)=0),0,IF(IFERROR(INDEX(单位档案!$H$6:$H$35,MATCH($E185,单位档案!$A$6:$A$35,0)),"")="税差法",ROUND(N($H185)/(1+$Q185)*$Q185-IF(N($R185)=0,0,$P185/(1+$R185)*$R185),2),ROUND(N($H185)/(1+$Q185)*$Q185,2)))</f>
        <v>0</v>
      </c>
      <c r="T185" s="36" t="n">
        <f aca="false">ROUND($S185*N(IFERROR(INDEX(单位档案!$J$6:$J$35,MATCH($E185,单位档案!$A$6:$A$35,0)),"")),2)</f>
        <v>0</v>
      </c>
      <c r="U185" s="36" t="n">
        <f aca="false">IF($D185&lt;&gt;"销项开票",0,ROUND(N($H185)*N(IFERROR(INDEX(单位档案!$K$6:$K$35,MATCH($E185,单位档案!$A$6:$A$35,0)),"")),2))</f>
        <v>0</v>
      </c>
      <c r="V185" s="36" t="n">
        <f aca="false">IF(OR($D185&lt;&gt;"销项开票",N($Q185)=0),0,ROUND(N($H185)/(1+$Q185)*N(IFERROR(INDEX(单位档案!$L$6:$L$35,MATCH($E185,单位档案!$A$6:$A$35,0)),"")),2))</f>
        <v>0</v>
      </c>
      <c r="W185" s="36" t="n">
        <f aca="false">ROUND($S185+$T185+$U185+$V185,2)</f>
        <v>0</v>
      </c>
      <c r="X185" s="35" t="str">
        <f aca="false">IF(OR($D185="挂靠代收",$D185="我方收款"),COUNTIFS($D$5:$D185,"挂靠代收")+COUNTIFS($D$5:$D185,"我方收款"),"")</f>
        <v/>
      </c>
      <c r="Y185" s="35" t="s">
        <v>106</v>
      </c>
      <c r="Z185" s="21" t="s">
        <v>111</v>
      </c>
    </row>
    <row r="186" customFormat="false" ht="15.75" hidden="false" customHeight="true" outlineLevel="0" collapsed="false">
      <c r="A186" s="32" t="n">
        <f aca="false">IF($B186="","",ROW()-4)</f>
        <v>182</v>
      </c>
      <c r="B186" s="26" t="n">
        <v>46198</v>
      </c>
      <c r="C186" s="24" t="s">
        <v>209</v>
      </c>
      <c r="D186" s="21" t="s">
        <v>319</v>
      </c>
      <c r="E186" s="21" t="s">
        <v>97</v>
      </c>
      <c r="F186" s="21" t="s">
        <v>106</v>
      </c>
      <c r="G186" s="24" t="s">
        <v>308</v>
      </c>
      <c r="H186" s="27" t="n">
        <v>9704.24</v>
      </c>
      <c r="I186" s="23" t="str">
        <f aca="false">IF($D186&lt;&gt;"销项开票","",IF($N186="一级",IF(IFERROR(INDEX(项目档案!$E$6:$E$255,MATCH($C186,项目档案!$A$6:$A$255,0)),"")="",N(IFERROR(INDEX(单位档案!$D$6:$D$35,MATCH($E186,单位档案!$A$6:$A$35,0)),"")),IFERROR(INDEX(项目档案!$E$6:$E$255,MATCH($C186,项目档案!$A$6:$A$255,0)),"")),IF($N186="二级",IF(IFERROR(INDEX(项目档案!$G$6:$G$255,MATCH($C186,项目档案!$A$6:$A$255,0)),"")="",N(IFERROR(INDEX(单位档案!$D$6:$D$35,MATCH($E186,单位档案!$A$6:$A$35,0)),"")),IFERROR(INDEX(项目档案!$G$6:$G$255,MATCH($C186,项目档案!$A$6:$A$255,0)),"")),N(IFERROR(INDEX(单位档案!$D$6:$D$35,MATCH($E186,单位档案!$A$6:$A$35,0)),"")))))</f>
        <v/>
      </c>
      <c r="J186" s="25" t="s">
        <v>480</v>
      </c>
      <c r="K186" s="22" t="s">
        <v>313</v>
      </c>
      <c r="L186" s="33" t="str">
        <f aca="false">IF($B186="","",IF(NOT(ISNUMBER($B186)),"日期格式不对",IF($C186="","未选项目编号",IF(LEFT($M186,1)="⚠","项目编号不存在",IF($D186="","未选业务类型",IF($E186="","未选开票/付款方",IF(ISNA(MATCH($E186,单位档案!$A$6:$A$35,0)),"开票方不在单位档案",IF($F186="","未选收票/收款方",IF(ISNA(MATCH($F186,单位档案!$A$6:$A$35,0)),"收款方不在单位档案",IF(NOT(ISNUMBER($H186)),"金额须为数字",IF(AND($D186="销项开票",$N186="—"),"链条待确认","√")))))))))))</f>
        <v>√</v>
      </c>
      <c r="M186" s="34" t="str">
        <f aca="false">IF($C186="","",IFERROR(INDEX(项目档案!$B$6:$B$255,MATCH($C186,项目档案!$A$6:$A$255,0)),"⚠项目编号不存在"))</f>
        <v>重庆铜梁10kV梧桐村4.5.6社台区重过载治理工程等23个项目(2025年配网6批、业扩5批德誉佳施工)(重庆铜梁10kV侣新线铜安1社台区重过载治理工程)</v>
      </c>
      <c r="N186" s="35" t="str">
        <f aca="false">IF($E186="","",IF($E186=IFERROR(INDEX(项目档案!$D$6:$D$255,MATCH($C186,项目档案!$A$6:$A$255,0)),""),"一级",IF($E186=IFERROR(INDEX(项目档案!$F$6:$F$255,MATCH($C186,项目档案!$A$6:$A$255,0)),""),"二级",IF($E186=IFERROR(INDEX(项目档案!$H$6:$H$255,MATCH($C186,项目档案!$A$6:$A$255,0)),""),"我方","—"))))</f>
        <v>—</v>
      </c>
      <c r="O186" s="36" t="n">
        <f aca="false">IF($D186&lt;&gt;"销项开票",0,ROUND(N($H186)*N($I186),2))</f>
        <v>0</v>
      </c>
      <c r="P186" s="36" t="n">
        <f aca="false">IF($D186&lt;&gt;"销项开票",0,ROUND(N($H186)-$O186,2))</f>
        <v>0</v>
      </c>
      <c r="Q186" s="37" t="n">
        <f aca="false">IF($E186="","",N(IFERROR(INDEX(单位档案!$E$6:$E$35,MATCH($E186,单位档案!$A$6:$A$35,0)),"")))</f>
        <v>0</v>
      </c>
      <c r="R186" s="37" t="n">
        <f aca="false">IF($E186="","",N(IFERROR(INDEX(单位档案!$F$6:$F$35,MATCH($E186,单位档案!$A$6:$A$35,0)),"")))</f>
        <v>0</v>
      </c>
      <c r="S186" s="36" t="n">
        <f aca="false">IF(OR($D186&lt;&gt;"销项开票",IFERROR(INDEX(单位档案!$G$6:$G$35,MATCH($E186,单位档案!$A$6:$A$35,0)),"")&lt;&gt;"是",N($Q186)=0),0,IF(IFERROR(INDEX(单位档案!$H$6:$H$35,MATCH($E186,单位档案!$A$6:$A$35,0)),"")="税差法",ROUND(N($H186)/(1+$Q186)*$Q186-IF(N($R186)=0,0,$P186/(1+$R186)*$R186),2),ROUND(N($H186)/(1+$Q186)*$Q186,2)))</f>
        <v>0</v>
      </c>
      <c r="T186" s="36" t="n">
        <f aca="false">ROUND($S186*N(IFERROR(INDEX(单位档案!$J$6:$J$35,MATCH($E186,单位档案!$A$6:$A$35,0)),"")),2)</f>
        <v>0</v>
      </c>
      <c r="U186" s="36" t="n">
        <f aca="false">IF($D186&lt;&gt;"销项开票",0,ROUND(N($H186)*N(IFERROR(INDEX(单位档案!$K$6:$K$35,MATCH($E186,单位档案!$A$6:$A$35,0)),"")),2))</f>
        <v>0</v>
      </c>
      <c r="V186" s="36" t="n">
        <f aca="false">IF(OR($D186&lt;&gt;"销项开票",N($Q186)=0),0,ROUND(N($H186)/(1+$Q186)*N(IFERROR(INDEX(单位档案!$L$6:$L$35,MATCH($E186,单位档案!$A$6:$A$35,0)),"")),2))</f>
        <v>0</v>
      </c>
      <c r="W186" s="36" t="n">
        <f aca="false">ROUND($S186+$T186+$U186+$V186,2)</f>
        <v>0</v>
      </c>
      <c r="X186" s="35" t="n">
        <f aca="false">IF(OR($D186="挂靠代收",$D186="我方收款"),COUNTIFS($D$5:$D186,"挂靠代收")+COUNTIFS($D$5:$D186,"我方收款"),"")</f>
        <v>18</v>
      </c>
      <c r="Y186" s="35" t="s">
        <v>106</v>
      </c>
      <c r="Z186" s="21" t="s">
        <v>111</v>
      </c>
    </row>
    <row r="187" customFormat="false" ht="15.75" hidden="false" customHeight="true" outlineLevel="0" collapsed="false">
      <c r="A187" s="32" t="n">
        <f aca="false">IF($B187="","",ROW()-4)</f>
        <v>183</v>
      </c>
      <c r="B187" s="26" t="n">
        <v>46198</v>
      </c>
      <c r="C187" s="24" t="s">
        <v>212</v>
      </c>
      <c r="D187" s="21" t="s">
        <v>307</v>
      </c>
      <c r="E187" s="21" t="s">
        <v>106</v>
      </c>
      <c r="F187" s="21" t="s">
        <v>97</v>
      </c>
      <c r="G187" s="24" t="s">
        <v>308</v>
      </c>
      <c r="H187" s="27" t="n">
        <v>8972.71</v>
      </c>
      <c r="I187" s="23" t="n">
        <v>0.08</v>
      </c>
      <c r="J187" s="25" t="s">
        <v>481</v>
      </c>
      <c r="K187" s="22" t="s">
        <v>313</v>
      </c>
      <c r="L187" s="33" t="str">
        <f aca="false">IF($B187="","",IF(NOT(ISNUMBER($B187)),"日期格式不对",IF($C187="","未选项目编号",IF(LEFT($M187,1)="⚠","项目编号不存在",IF($D187="","未选业务类型",IF($E187="","未选开票/付款方",IF(ISNA(MATCH($E187,单位档案!$A$6:$A$35,0)),"开票方不在单位档案",IF($F187="","未选收票/收款方",IF(ISNA(MATCH($F187,单位档案!$A$6:$A$35,0)),"收款方不在单位档案",IF(NOT(ISNUMBER($H187)),"金额须为数字",IF(AND($D187="销项开票",$N187="—"),"链条待确认","√")))))))))))</f>
        <v>√</v>
      </c>
      <c r="M187" s="34" t="str">
        <f aca="false">IF($C187="","",IFERROR(INDEX(项目档案!$B$6:$B$255,MATCH($C187,项目档案!$A$6:$A$255,0)),"⚠项目编号不存在"))</f>
        <v>重庆铜梁10kV梧桐村4.5.6社台区重过载治理工程等23个项目(2025年配网6批、业扩5批德誉佳施工)(重庆铜梁10kV侣新线铜安9社台区重过载治理工程)</v>
      </c>
      <c r="N187" s="35" t="str">
        <f aca="false">IF($E187="","",IF($E187=IFERROR(INDEX(项目档案!$D$6:$D$255,MATCH($C187,项目档案!$A$6:$A$255,0)),""),"一级",IF($E187=IFERROR(INDEX(项目档案!$F$6:$F$255,MATCH($C187,项目档案!$A$6:$A$255,0)),""),"二级",IF($E187=IFERROR(INDEX(项目档案!$H$6:$H$255,MATCH($C187,项目档案!$A$6:$A$255,0)),""),"我方","—"))))</f>
        <v>一级</v>
      </c>
      <c r="O187" s="36" t="n">
        <f aca="false">IF($D187&lt;&gt;"销项开票",0,ROUND(N($H187)*N($I187),2))</f>
        <v>717.82</v>
      </c>
      <c r="P187" s="36" t="n">
        <f aca="false">IF($D187&lt;&gt;"销项开票",0,ROUND(N($H187)-$O187,2))</f>
        <v>8254.89</v>
      </c>
      <c r="Q187" s="37" t="n">
        <f aca="false">IF($E187="","",N(IFERROR(INDEX(单位档案!$E$6:$E$35,MATCH($E187,单位档案!$A$6:$A$35,0)),"")))</f>
        <v>0.13</v>
      </c>
      <c r="R187" s="37" t="n">
        <f aca="false">IF($E187="","",N(IFERROR(INDEX(单位档案!$F$6:$F$35,MATCH($E187,单位档案!$A$6:$A$35,0)),"")))</f>
        <v>0.13</v>
      </c>
      <c r="S187" s="36" t="n">
        <f aca="false">IF(OR($D187&lt;&gt;"销项开票",IFERROR(INDEX(单位档案!$G$6:$G$35,MATCH($E187,单位档案!$A$6:$A$35,0)),"")&lt;&gt;"是",N($Q187)=0),0,IF(IFERROR(INDEX(单位档案!$H$6:$H$35,MATCH($E187,单位档案!$A$6:$A$35,0)),"")="税差法",ROUND(N($H187)/(1+$Q187)*$Q187-IF(N($R187)=0,0,$P187/(1+$R187)*$R187),2),ROUND(N($H187)/(1+$Q187)*$Q187,2)))</f>
        <v>0</v>
      </c>
      <c r="T187" s="36" t="n">
        <f aca="false">ROUND($S187*N(IFERROR(INDEX(单位档案!$J$6:$J$35,MATCH($E187,单位档案!$A$6:$A$35,0)),"")),2)</f>
        <v>0</v>
      </c>
      <c r="U187" s="36" t="n">
        <f aca="false">IF($D187&lt;&gt;"销项开票",0,ROUND(N($H187)*N(IFERROR(INDEX(单位档案!$K$6:$K$35,MATCH($E187,单位档案!$A$6:$A$35,0)),"")),2))</f>
        <v>0</v>
      </c>
      <c r="V187" s="36" t="n">
        <f aca="false">IF(OR($D187&lt;&gt;"销项开票",N($Q187)=0),0,ROUND(N($H187)/(1+$Q187)*N(IFERROR(INDEX(单位档案!$L$6:$L$35,MATCH($E187,单位档案!$A$6:$A$35,0)),"")),2))</f>
        <v>0</v>
      </c>
      <c r="W187" s="36" t="n">
        <f aca="false">ROUND($S187+$T187+$U187+$V187,2)</f>
        <v>0</v>
      </c>
      <c r="X187" s="35" t="str">
        <f aca="false">IF(OR($D187="挂靠代收",$D187="我方收款"),COUNTIFS($D$5:$D187,"挂靠代收")+COUNTIFS($D$5:$D187,"我方收款"),"")</f>
        <v/>
      </c>
      <c r="Y187" s="35" t="s">
        <v>106</v>
      </c>
      <c r="Z187" s="21" t="s">
        <v>111</v>
      </c>
    </row>
    <row r="188" customFormat="false" ht="15.75" hidden="false" customHeight="true" outlineLevel="0" collapsed="false">
      <c r="A188" s="32" t="n">
        <f aca="false">IF($B188="","",ROW()-4)</f>
        <v>184</v>
      </c>
      <c r="B188" s="26" t="n">
        <v>46198</v>
      </c>
      <c r="C188" s="24" t="s">
        <v>214</v>
      </c>
      <c r="D188" s="21" t="s">
        <v>307</v>
      </c>
      <c r="E188" s="21" t="s">
        <v>106</v>
      </c>
      <c r="F188" s="21" t="s">
        <v>97</v>
      </c>
      <c r="G188" s="24" t="s">
        <v>308</v>
      </c>
      <c r="H188" s="27" t="n">
        <v>2056.75</v>
      </c>
      <c r="I188" s="23" t="n">
        <v>0.08</v>
      </c>
      <c r="J188" s="25" t="s">
        <v>482</v>
      </c>
      <c r="K188" s="22" t="s">
        <v>313</v>
      </c>
      <c r="L188" s="33" t="str">
        <f aca="false">IF($B188="","",IF(NOT(ISNUMBER($B188)),"日期格式不对",IF($C188="","未选项目编号",IF(LEFT($M188,1)="⚠","项目编号不存在",IF($D188="","未选业务类型",IF($E188="","未选开票/付款方",IF(ISNA(MATCH($E188,单位档案!$A$6:$A$35,0)),"开票方不在单位档案",IF($F188="","未选收票/收款方",IF(ISNA(MATCH($F188,单位档案!$A$6:$A$35,0)),"收款方不在单位档案",IF(NOT(ISNUMBER($H188)),"金额须为数字",IF(AND($D188="销项开票",$N188="—"),"链条待确认","√")))))))))))</f>
        <v>√</v>
      </c>
      <c r="M188" s="34" t="str">
        <f aca="false">IF($C188="","",IFERROR(INDEX(项目档案!$B$6:$B$255,MATCH($C188,项目档案!$A$6:$A$255,0)),"⚠项目编号不存在"))</f>
        <v>重庆铜梁10kV梧桐村4.5.6社台区重过载治理工程等23个项目(2025年配网6批、业扩5批德誉佳施工)(重庆铜梁10kV平双线群益7社台区重过载治理工程)</v>
      </c>
      <c r="N188" s="35" t="str">
        <f aca="false">IF($E188="","",IF($E188=IFERROR(INDEX(项目档案!$D$6:$D$255,MATCH($C188,项目档案!$A$6:$A$255,0)),""),"一级",IF($E188=IFERROR(INDEX(项目档案!$F$6:$F$255,MATCH($C188,项目档案!$A$6:$A$255,0)),""),"二级",IF($E188=IFERROR(INDEX(项目档案!$H$6:$H$255,MATCH($C188,项目档案!$A$6:$A$255,0)),""),"我方","—"))))</f>
        <v>一级</v>
      </c>
      <c r="O188" s="36" t="n">
        <f aca="false">IF($D188&lt;&gt;"销项开票",0,ROUND(N($H188)*N($I188),2))</f>
        <v>164.54</v>
      </c>
      <c r="P188" s="36" t="n">
        <f aca="false">IF($D188&lt;&gt;"销项开票",0,ROUND(N($H188)-$O188,2))</f>
        <v>1892.21</v>
      </c>
      <c r="Q188" s="37" t="n">
        <f aca="false">IF($E188="","",N(IFERROR(INDEX(单位档案!$E$6:$E$35,MATCH($E188,单位档案!$A$6:$A$35,0)),"")))</f>
        <v>0.13</v>
      </c>
      <c r="R188" s="37" t="n">
        <f aca="false">IF($E188="","",N(IFERROR(INDEX(单位档案!$F$6:$F$35,MATCH($E188,单位档案!$A$6:$A$35,0)),"")))</f>
        <v>0.13</v>
      </c>
      <c r="S188" s="36" t="n">
        <f aca="false">IF(OR($D188&lt;&gt;"销项开票",IFERROR(INDEX(单位档案!$G$6:$G$35,MATCH($E188,单位档案!$A$6:$A$35,0)),"")&lt;&gt;"是",N($Q188)=0),0,IF(IFERROR(INDEX(单位档案!$H$6:$H$35,MATCH($E188,单位档案!$A$6:$A$35,0)),"")="税差法",ROUND(N($H188)/(1+$Q188)*$Q188-IF(N($R188)=0,0,$P188/(1+$R188)*$R188),2),ROUND(N($H188)/(1+$Q188)*$Q188,2)))</f>
        <v>0</v>
      </c>
      <c r="T188" s="36" t="n">
        <f aca="false">ROUND($S188*N(IFERROR(INDEX(单位档案!$J$6:$J$35,MATCH($E188,单位档案!$A$6:$A$35,0)),"")),2)</f>
        <v>0</v>
      </c>
      <c r="U188" s="36" t="n">
        <f aca="false">IF($D188&lt;&gt;"销项开票",0,ROUND(N($H188)*N(IFERROR(INDEX(单位档案!$K$6:$K$35,MATCH($E188,单位档案!$A$6:$A$35,0)),"")),2))</f>
        <v>0</v>
      </c>
      <c r="V188" s="36" t="n">
        <f aca="false">IF(OR($D188&lt;&gt;"销项开票",N($Q188)=0),0,ROUND(N($H188)/(1+$Q188)*N(IFERROR(INDEX(单位档案!$L$6:$L$35,MATCH($E188,单位档案!$A$6:$A$35,0)),"")),2))</f>
        <v>0</v>
      </c>
      <c r="W188" s="36" t="n">
        <f aca="false">ROUND($S188+$T188+$U188+$V188,2)</f>
        <v>0</v>
      </c>
      <c r="X188" s="35" t="str">
        <f aca="false">IF(OR($D188="挂靠代收",$D188="我方收款"),COUNTIFS($D$5:$D188,"挂靠代收")+COUNTIFS($D$5:$D188,"我方收款"),"")</f>
        <v/>
      </c>
      <c r="Y188" s="35" t="s">
        <v>106</v>
      </c>
      <c r="Z188" s="21" t="s">
        <v>111</v>
      </c>
    </row>
    <row r="189" customFormat="false" ht="15.75" hidden="false" customHeight="true" outlineLevel="0" collapsed="false">
      <c r="A189" s="32" t="n">
        <f aca="false">IF($B189="","",ROW()-4)</f>
        <v>185</v>
      </c>
      <c r="B189" s="26" t="n">
        <v>46198</v>
      </c>
      <c r="C189" s="24" t="s">
        <v>214</v>
      </c>
      <c r="D189" s="21" t="s">
        <v>319</v>
      </c>
      <c r="E189" s="21" t="s">
        <v>97</v>
      </c>
      <c r="F189" s="21" t="s">
        <v>106</v>
      </c>
      <c r="G189" s="24" t="s">
        <v>308</v>
      </c>
      <c r="H189" s="27" t="n">
        <v>2056.75</v>
      </c>
      <c r="I189" s="23" t="str">
        <f aca="false">IF($D189&lt;&gt;"销项开票","",IF($N189="一级",IF(IFERROR(INDEX(项目档案!$E$6:$E$255,MATCH($C189,项目档案!$A$6:$A$255,0)),"")="",N(IFERROR(INDEX(单位档案!$D$6:$D$35,MATCH($E189,单位档案!$A$6:$A$35,0)),"")),IFERROR(INDEX(项目档案!$E$6:$E$255,MATCH($C189,项目档案!$A$6:$A$255,0)),"")),IF($N189="二级",IF(IFERROR(INDEX(项目档案!$G$6:$G$255,MATCH($C189,项目档案!$A$6:$A$255,0)),"")="",N(IFERROR(INDEX(单位档案!$D$6:$D$35,MATCH($E189,单位档案!$A$6:$A$35,0)),"")),IFERROR(INDEX(项目档案!$G$6:$G$255,MATCH($C189,项目档案!$A$6:$A$255,0)),"")),N(IFERROR(INDEX(单位档案!$D$6:$D$35,MATCH($E189,单位档案!$A$6:$A$35,0)),"")))))</f>
        <v/>
      </c>
      <c r="J189" s="25" t="s">
        <v>482</v>
      </c>
      <c r="K189" s="22" t="s">
        <v>313</v>
      </c>
      <c r="L189" s="33" t="str">
        <f aca="false">IF($B189="","",IF(NOT(ISNUMBER($B189)),"日期格式不对",IF($C189="","未选项目编号",IF(LEFT($M189,1)="⚠","项目编号不存在",IF($D189="","未选业务类型",IF($E189="","未选开票/付款方",IF(ISNA(MATCH($E189,单位档案!$A$6:$A$35,0)),"开票方不在单位档案",IF($F189="","未选收票/收款方",IF(ISNA(MATCH($F189,单位档案!$A$6:$A$35,0)),"收款方不在单位档案",IF(NOT(ISNUMBER($H189)),"金额须为数字",IF(AND($D189="销项开票",$N189="—"),"链条待确认","√")))))))))))</f>
        <v>√</v>
      </c>
      <c r="M189" s="34" t="str">
        <f aca="false">IF($C189="","",IFERROR(INDEX(项目档案!$B$6:$B$255,MATCH($C189,项目档案!$A$6:$A$255,0)),"⚠项目编号不存在"))</f>
        <v>重庆铜梁10kV梧桐村4.5.6社台区重过载治理工程等23个项目(2025年配网6批、业扩5批德誉佳施工)(重庆铜梁10kV平双线群益7社台区重过载治理工程)</v>
      </c>
      <c r="N189" s="35" t="str">
        <f aca="false">IF($E189="","",IF($E189=IFERROR(INDEX(项目档案!$D$6:$D$255,MATCH($C189,项目档案!$A$6:$A$255,0)),""),"一级",IF($E189=IFERROR(INDEX(项目档案!$F$6:$F$255,MATCH($C189,项目档案!$A$6:$A$255,0)),""),"二级",IF($E189=IFERROR(INDEX(项目档案!$H$6:$H$255,MATCH($C189,项目档案!$A$6:$A$255,0)),""),"我方","—"))))</f>
        <v>—</v>
      </c>
      <c r="O189" s="36" t="n">
        <f aca="false">IF($D189&lt;&gt;"销项开票",0,ROUND(N($H189)*N($I189),2))</f>
        <v>0</v>
      </c>
      <c r="P189" s="36" t="n">
        <f aca="false">IF($D189&lt;&gt;"销项开票",0,ROUND(N($H189)-$O189,2))</f>
        <v>0</v>
      </c>
      <c r="Q189" s="37" t="n">
        <f aca="false">IF($E189="","",N(IFERROR(INDEX(单位档案!$E$6:$E$35,MATCH($E189,单位档案!$A$6:$A$35,0)),"")))</f>
        <v>0</v>
      </c>
      <c r="R189" s="37" t="n">
        <f aca="false">IF($E189="","",N(IFERROR(INDEX(单位档案!$F$6:$F$35,MATCH($E189,单位档案!$A$6:$A$35,0)),"")))</f>
        <v>0</v>
      </c>
      <c r="S189" s="36" t="n">
        <f aca="false">IF(OR($D189&lt;&gt;"销项开票",IFERROR(INDEX(单位档案!$G$6:$G$35,MATCH($E189,单位档案!$A$6:$A$35,0)),"")&lt;&gt;"是",N($Q189)=0),0,IF(IFERROR(INDEX(单位档案!$H$6:$H$35,MATCH($E189,单位档案!$A$6:$A$35,0)),"")="税差法",ROUND(N($H189)/(1+$Q189)*$Q189-IF(N($R189)=0,0,$P189/(1+$R189)*$R189),2),ROUND(N($H189)/(1+$Q189)*$Q189,2)))</f>
        <v>0</v>
      </c>
      <c r="T189" s="36" t="n">
        <f aca="false">ROUND($S189*N(IFERROR(INDEX(单位档案!$J$6:$J$35,MATCH($E189,单位档案!$A$6:$A$35,0)),"")),2)</f>
        <v>0</v>
      </c>
      <c r="U189" s="36" t="n">
        <f aca="false">IF($D189&lt;&gt;"销项开票",0,ROUND(N($H189)*N(IFERROR(INDEX(单位档案!$K$6:$K$35,MATCH($E189,单位档案!$A$6:$A$35,0)),"")),2))</f>
        <v>0</v>
      </c>
      <c r="V189" s="36" t="n">
        <f aca="false">IF(OR($D189&lt;&gt;"销项开票",N($Q189)=0),0,ROUND(N($H189)/(1+$Q189)*N(IFERROR(INDEX(单位档案!$L$6:$L$35,MATCH($E189,单位档案!$A$6:$A$35,0)),"")),2))</f>
        <v>0</v>
      </c>
      <c r="W189" s="36" t="n">
        <f aca="false">ROUND($S189+$T189+$U189+$V189,2)</f>
        <v>0</v>
      </c>
      <c r="X189" s="35" t="n">
        <f aca="false">IF(OR($D189="挂靠代收",$D189="我方收款"),COUNTIFS($D$5:$D189,"挂靠代收")+COUNTIFS($D$5:$D189,"我方收款"),"")</f>
        <v>19</v>
      </c>
      <c r="Y189" s="35" t="s">
        <v>106</v>
      </c>
      <c r="Z189" s="21" t="s">
        <v>111</v>
      </c>
    </row>
    <row r="190" customFormat="false" ht="15.75" hidden="false" customHeight="true" outlineLevel="0" collapsed="false">
      <c r="A190" s="32" t="n">
        <f aca="false">IF($B190="","",ROW()-4)</f>
        <v>186</v>
      </c>
      <c r="B190" s="26" t="n">
        <v>46198</v>
      </c>
      <c r="C190" s="24" t="s">
        <v>216</v>
      </c>
      <c r="D190" s="21" t="s">
        <v>307</v>
      </c>
      <c r="E190" s="21" t="s">
        <v>106</v>
      </c>
      <c r="F190" s="21" t="s">
        <v>97</v>
      </c>
      <c r="G190" s="24" t="s">
        <v>308</v>
      </c>
      <c r="H190" s="27" t="n">
        <v>5618.58</v>
      </c>
      <c r="I190" s="23" t="n">
        <v>0.080001</v>
      </c>
      <c r="J190" s="25" t="s">
        <v>483</v>
      </c>
      <c r="K190" s="22" t="s">
        <v>313</v>
      </c>
      <c r="L190" s="33" t="str">
        <f aca="false">IF($B190="","",IF(NOT(ISNUMBER($B190)),"日期格式不对",IF($C190="","未选项目编号",IF(LEFT($M190,1)="⚠","项目编号不存在",IF($D190="","未选业务类型",IF($E190="","未选开票/付款方",IF(ISNA(MATCH($E190,单位档案!$A$6:$A$35,0)),"开票方不在单位档案",IF($F190="","未选收票/收款方",IF(ISNA(MATCH($F190,单位档案!$A$6:$A$35,0)),"收款方不在单位档案",IF(NOT(ISNUMBER($H190)),"金额须为数字",IF(AND($D190="销项开票",$N190="—"),"链条待确认","√")))))))))))</f>
        <v>√</v>
      </c>
      <c r="M190" s="34" t="str">
        <f aca="false">IF($C190="","",IFERROR(INDEX(项目档案!$B$6:$B$255,MATCH($C190,项目档案!$A$6:$A$255,0)),"⚠项目编号不存在"))</f>
        <v>重庆铜梁10kV梧桐村4.5.6社台区重过载治理工程等23个项目(2025年配网6批、业扩5批德誉佳施工)(重庆铜梁10kV平镇线新桥社台区重过载治理工程)</v>
      </c>
      <c r="N190" s="35" t="str">
        <f aca="false">IF($E190="","",IF($E190=IFERROR(INDEX(项目档案!$D$6:$D$255,MATCH($C190,项目档案!$A$6:$A$255,0)),""),"一级",IF($E190=IFERROR(INDEX(项目档案!$F$6:$F$255,MATCH($C190,项目档案!$A$6:$A$255,0)),""),"二级",IF($E190=IFERROR(INDEX(项目档案!$H$6:$H$255,MATCH($C190,项目档案!$A$6:$A$255,0)),""),"我方","—"))))</f>
        <v>一级</v>
      </c>
      <c r="O190" s="36" t="n">
        <f aca="false">IF($D190&lt;&gt;"销项开票",0,ROUND(N($H190)*N($I190),2))</f>
        <v>449.49</v>
      </c>
      <c r="P190" s="36" t="n">
        <f aca="false">IF($D190&lt;&gt;"销项开票",0,ROUND(N($H190)-$O190,2))</f>
        <v>5169.09</v>
      </c>
      <c r="Q190" s="37" t="n">
        <f aca="false">IF($E190="","",N(IFERROR(INDEX(单位档案!$E$6:$E$35,MATCH($E190,单位档案!$A$6:$A$35,0)),"")))</f>
        <v>0.13</v>
      </c>
      <c r="R190" s="37" t="n">
        <f aca="false">IF($E190="","",N(IFERROR(INDEX(单位档案!$F$6:$F$35,MATCH($E190,单位档案!$A$6:$A$35,0)),"")))</f>
        <v>0.13</v>
      </c>
      <c r="S190" s="36" t="n">
        <f aca="false">IF(OR($D190&lt;&gt;"销项开票",IFERROR(INDEX(单位档案!$G$6:$G$35,MATCH($E190,单位档案!$A$6:$A$35,0)),"")&lt;&gt;"是",N($Q190)=0),0,IF(IFERROR(INDEX(单位档案!$H$6:$H$35,MATCH($E190,单位档案!$A$6:$A$35,0)),"")="税差法",ROUND(N($H190)/(1+$Q190)*$Q190-IF(N($R190)=0,0,$P190/(1+$R190)*$R190),2),ROUND(N($H190)/(1+$Q190)*$Q190,2)))</f>
        <v>0</v>
      </c>
      <c r="T190" s="36" t="n">
        <f aca="false">ROUND($S190*N(IFERROR(INDEX(单位档案!$J$6:$J$35,MATCH($E190,单位档案!$A$6:$A$35,0)),"")),2)</f>
        <v>0</v>
      </c>
      <c r="U190" s="36" t="n">
        <f aca="false">IF($D190&lt;&gt;"销项开票",0,ROUND(N($H190)*N(IFERROR(INDEX(单位档案!$K$6:$K$35,MATCH($E190,单位档案!$A$6:$A$35,0)),"")),2))</f>
        <v>0</v>
      </c>
      <c r="V190" s="36" t="n">
        <f aca="false">IF(OR($D190&lt;&gt;"销项开票",N($Q190)=0),0,ROUND(N($H190)/(1+$Q190)*N(IFERROR(INDEX(单位档案!$L$6:$L$35,MATCH($E190,单位档案!$A$6:$A$35,0)),"")),2))</f>
        <v>0</v>
      </c>
      <c r="W190" s="36" t="n">
        <f aca="false">ROUND($S190+$T190+$U190+$V190,2)</f>
        <v>0</v>
      </c>
      <c r="X190" s="35" t="str">
        <f aca="false">IF(OR($D190="挂靠代收",$D190="我方收款"),COUNTIFS($D$5:$D190,"挂靠代收")+COUNTIFS($D$5:$D190,"我方收款"),"")</f>
        <v/>
      </c>
      <c r="Y190" s="35" t="s">
        <v>106</v>
      </c>
      <c r="Z190" s="21" t="s">
        <v>111</v>
      </c>
    </row>
    <row r="191" customFormat="false" ht="15.75" hidden="false" customHeight="true" outlineLevel="0" collapsed="false">
      <c r="A191" s="32" t="n">
        <f aca="false">IF($B191="","",ROW()-4)</f>
        <v>187</v>
      </c>
      <c r="B191" s="26" t="n">
        <v>46198</v>
      </c>
      <c r="C191" s="24" t="s">
        <v>216</v>
      </c>
      <c r="D191" s="21" t="s">
        <v>319</v>
      </c>
      <c r="E191" s="21" t="s">
        <v>97</v>
      </c>
      <c r="F191" s="21" t="s">
        <v>106</v>
      </c>
      <c r="G191" s="24" t="s">
        <v>308</v>
      </c>
      <c r="H191" s="27" t="n">
        <v>5618.58</v>
      </c>
      <c r="I191" s="23" t="str">
        <f aca="false">IF($D191&lt;&gt;"销项开票","",IF($N191="一级",IF(IFERROR(INDEX(项目档案!$E$6:$E$255,MATCH($C191,项目档案!$A$6:$A$255,0)),"")="",N(IFERROR(INDEX(单位档案!$D$6:$D$35,MATCH($E191,单位档案!$A$6:$A$35,0)),"")),IFERROR(INDEX(项目档案!$E$6:$E$255,MATCH($C191,项目档案!$A$6:$A$255,0)),"")),IF($N191="二级",IF(IFERROR(INDEX(项目档案!$G$6:$G$255,MATCH($C191,项目档案!$A$6:$A$255,0)),"")="",N(IFERROR(INDEX(单位档案!$D$6:$D$35,MATCH($E191,单位档案!$A$6:$A$35,0)),"")),IFERROR(INDEX(项目档案!$G$6:$G$255,MATCH($C191,项目档案!$A$6:$A$255,0)),"")),N(IFERROR(INDEX(单位档案!$D$6:$D$35,MATCH($E191,单位档案!$A$6:$A$35,0)),"")))))</f>
        <v/>
      </c>
      <c r="J191" s="25" t="s">
        <v>483</v>
      </c>
      <c r="K191" s="22" t="s">
        <v>313</v>
      </c>
      <c r="L191" s="33" t="str">
        <f aca="false">IF($B191="","",IF(NOT(ISNUMBER($B191)),"日期格式不对",IF($C191="","未选项目编号",IF(LEFT($M191,1)="⚠","项目编号不存在",IF($D191="","未选业务类型",IF($E191="","未选开票/付款方",IF(ISNA(MATCH($E191,单位档案!$A$6:$A$35,0)),"开票方不在单位档案",IF($F191="","未选收票/收款方",IF(ISNA(MATCH($F191,单位档案!$A$6:$A$35,0)),"收款方不在单位档案",IF(NOT(ISNUMBER($H191)),"金额须为数字",IF(AND($D191="销项开票",$N191="—"),"链条待确认","√")))))))))))</f>
        <v>√</v>
      </c>
      <c r="M191" s="34" t="str">
        <f aca="false">IF($C191="","",IFERROR(INDEX(项目档案!$B$6:$B$255,MATCH($C191,项目档案!$A$6:$A$255,0)),"⚠项目编号不存在"))</f>
        <v>重庆铜梁10kV梧桐村4.5.6社台区重过载治理工程等23个项目(2025年配网6批、业扩5批德誉佳施工)(重庆铜梁10kV平镇线新桥社台区重过载治理工程)</v>
      </c>
      <c r="N191" s="35" t="str">
        <f aca="false">IF($E191="","",IF($E191=IFERROR(INDEX(项目档案!$D$6:$D$255,MATCH($C191,项目档案!$A$6:$A$255,0)),""),"一级",IF($E191=IFERROR(INDEX(项目档案!$F$6:$F$255,MATCH($C191,项目档案!$A$6:$A$255,0)),""),"二级",IF($E191=IFERROR(INDEX(项目档案!$H$6:$H$255,MATCH($C191,项目档案!$A$6:$A$255,0)),""),"我方","—"))))</f>
        <v>—</v>
      </c>
      <c r="O191" s="36" t="n">
        <f aca="false">IF($D191&lt;&gt;"销项开票",0,ROUND(N($H191)*N($I191),2))</f>
        <v>0</v>
      </c>
      <c r="P191" s="36" t="n">
        <f aca="false">IF($D191&lt;&gt;"销项开票",0,ROUND(N($H191)-$O191,2))</f>
        <v>0</v>
      </c>
      <c r="Q191" s="37" t="n">
        <f aca="false">IF($E191="","",N(IFERROR(INDEX(单位档案!$E$6:$E$35,MATCH($E191,单位档案!$A$6:$A$35,0)),"")))</f>
        <v>0</v>
      </c>
      <c r="R191" s="37" t="n">
        <f aca="false">IF($E191="","",N(IFERROR(INDEX(单位档案!$F$6:$F$35,MATCH($E191,单位档案!$A$6:$A$35,0)),"")))</f>
        <v>0</v>
      </c>
      <c r="S191" s="36" t="n">
        <f aca="false">IF(OR($D191&lt;&gt;"销项开票",IFERROR(INDEX(单位档案!$G$6:$G$35,MATCH($E191,单位档案!$A$6:$A$35,0)),"")&lt;&gt;"是",N($Q191)=0),0,IF(IFERROR(INDEX(单位档案!$H$6:$H$35,MATCH($E191,单位档案!$A$6:$A$35,0)),"")="税差法",ROUND(N($H191)/(1+$Q191)*$Q191-IF(N($R191)=0,0,$P191/(1+$R191)*$R191),2),ROUND(N($H191)/(1+$Q191)*$Q191,2)))</f>
        <v>0</v>
      </c>
      <c r="T191" s="36" t="n">
        <f aca="false">ROUND($S191*N(IFERROR(INDEX(单位档案!$J$6:$J$35,MATCH($E191,单位档案!$A$6:$A$35,0)),"")),2)</f>
        <v>0</v>
      </c>
      <c r="U191" s="36" t="n">
        <f aca="false">IF($D191&lt;&gt;"销项开票",0,ROUND(N($H191)*N(IFERROR(INDEX(单位档案!$K$6:$K$35,MATCH($E191,单位档案!$A$6:$A$35,0)),"")),2))</f>
        <v>0</v>
      </c>
      <c r="V191" s="36" t="n">
        <f aca="false">IF(OR($D191&lt;&gt;"销项开票",N($Q191)=0),0,ROUND(N($H191)/(1+$Q191)*N(IFERROR(INDEX(单位档案!$L$6:$L$35,MATCH($E191,单位档案!$A$6:$A$35,0)),"")),2))</f>
        <v>0</v>
      </c>
      <c r="W191" s="36" t="n">
        <f aca="false">ROUND($S191+$T191+$U191+$V191,2)</f>
        <v>0</v>
      </c>
      <c r="X191" s="35" t="n">
        <f aca="false">IF(OR($D191="挂靠代收",$D191="我方收款"),COUNTIFS($D$5:$D191,"挂靠代收")+COUNTIFS($D$5:$D191,"我方收款"),"")</f>
        <v>20</v>
      </c>
      <c r="Y191" s="35" t="s">
        <v>106</v>
      </c>
      <c r="Z191" s="21" t="s">
        <v>111</v>
      </c>
    </row>
    <row r="192" customFormat="false" ht="15.75" hidden="false" customHeight="true" outlineLevel="0" collapsed="false">
      <c r="A192" s="32" t="n">
        <f aca="false">IF($B192="","",ROW()-4)</f>
        <v>188</v>
      </c>
      <c r="B192" s="26" t="n">
        <v>46198</v>
      </c>
      <c r="C192" s="24" t="s">
        <v>218</v>
      </c>
      <c r="D192" s="21" t="s">
        <v>307</v>
      </c>
      <c r="E192" s="21" t="s">
        <v>106</v>
      </c>
      <c r="F192" s="21" t="s">
        <v>97</v>
      </c>
      <c r="G192" s="24" t="s">
        <v>308</v>
      </c>
      <c r="H192" s="27" t="n">
        <v>6328.34</v>
      </c>
      <c r="I192" s="23" t="n">
        <v>0.08</v>
      </c>
      <c r="J192" s="25" t="s">
        <v>484</v>
      </c>
      <c r="K192" s="22" t="s">
        <v>313</v>
      </c>
      <c r="L192" s="33" t="str">
        <f aca="false">IF($B192="","",IF(NOT(ISNUMBER($B192)),"日期格式不对",IF($C192="","未选项目编号",IF(LEFT($M192,1)="⚠","项目编号不存在",IF($D192="","未选业务类型",IF($E192="","未选开票/付款方",IF(ISNA(MATCH($E192,单位档案!$A$6:$A$35,0)),"开票方不在单位档案",IF($F192="","未选收票/收款方",IF(ISNA(MATCH($F192,单位档案!$A$6:$A$35,0)),"收款方不在单位档案",IF(NOT(ISNUMBER($H192)),"金额须为数字",IF(AND($D192="销项开票",$N192="—"),"链条待确认","√")))))))))))</f>
        <v>√</v>
      </c>
      <c r="M192" s="34" t="str">
        <f aca="false">IF($C192="","",IFERROR(INDEX(项目档案!$B$6:$B$255,MATCH($C192,项目档案!$A$6:$A$255,0)),"⚠项目编号不存在"))</f>
        <v>重庆铜梁10kV梧桐村4.5.6社台区重过载治理工程等23个项目(2025年配网6批、业扩5批德誉佳施工）(重庆铜梁10kV侣新线凤飞7社台区重过载治理工程)</v>
      </c>
      <c r="N192" s="35" t="str">
        <f aca="false">IF($E192="","",IF($E192=IFERROR(INDEX(项目档案!$D$6:$D$255,MATCH($C192,项目档案!$A$6:$A$255,0)),""),"一级",IF($E192=IFERROR(INDEX(项目档案!$F$6:$F$255,MATCH($C192,项目档案!$A$6:$A$255,0)),""),"二级",IF($E192=IFERROR(INDEX(项目档案!$H$6:$H$255,MATCH($C192,项目档案!$A$6:$A$255,0)),""),"我方","—"))))</f>
        <v>一级</v>
      </c>
      <c r="O192" s="36" t="n">
        <f aca="false">IF($D192&lt;&gt;"销项开票",0,ROUND(N($H192)*N($I192),2))</f>
        <v>506.27</v>
      </c>
      <c r="P192" s="36" t="n">
        <f aca="false">IF($D192&lt;&gt;"销项开票",0,ROUND(N($H192)-$O192,2))</f>
        <v>5822.07</v>
      </c>
      <c r="Q192" s="37" t="n">
        <f aca="false">IF($E192="","",N(IFERROR(INDEX(单位档案!$E$6:$E$35,MATCH($E192,单位档案!$A$6:$A$35,0)),"")))</f>
        <v>0.13</v>
      </c>
      <c r="R192" s="37" t="n">
        <f aca="false">IF($E192="","",N(IFERROR(INDEX(单位档案!$F$6:$F$35,MATCH($E192,单位档案!$A$6:$A$35,0)),"")))</f>
        <v>0.13</v>
      </c>
      <c r="S192" s="36" t="n">
        <f aca="false">IF(OR($D192&lt;&gt;"销项开票",IFERROR(INDEX(单位档案!$G$6:$G$35,MATCH($E192,单位档案!$A$6:$A$35,0)),"")&lt;&gt;"是",N($Q192)=0),0,IF(IFERROR(INDEX(单位档案!$H$6:$H$35,MATCH($E192,单位档案!$A$6:$A$35,0)),"")="税差法",ROUND(N($H192)/(1+$Q192)*$Q192-IF(N($R192)=0,0,$P192/(1+$R192)*$R192),2),ROUND(N($H192)/(1+$Q192)*$Q192,2)))</f>
        <v>0</v>
      </c>
      <c r="T192" s="36" t="n">
        <f aca="false">ROUND($S192*N(IFERROR(INDEX(单位档案!$J$6:$J$35,MATCH($E192,单位档案!$A$6:$A$35,0)),"")),2)</f>
        <v>0</v>
      </c>
      <c r="U192" s="36" t="n">
        <f aca="false">IF($D192&lt;&gt;"销项开票",0,ROUND(N($H192)*N(IFERROR(INDEX(单位档案!$K$6:$K$35,MATCH($E192,单位档案!$A$6:$A$35,0)),"")),2))</f>
        <v>0</v>
      </c>
      <c r="V192" s="36" t="n">
        <f aca="false">IF(OR($D192&lt;&gt;"销项开票",N($Q192)=0),0,ROUND(N($H192)/(1+$Q192)*N(IFERROR(INDEX(单位档案!$L$6:$L$35,MATCH($E192,单位档案!$A$6:$A$35,0)),"")),2))</f>
        <v>0</v>
      </c>
      <c r="W192" s="36" t="n">
        <f aca="false">ROUND($S192+$T192+$U192+$V192,2)</f>
        <v>0</v>
      </c>
      <c r="X192" s="35" t="str">
        <f aca="false">IF(OR($D192="挂靠代收",$D192="我方收款"),COUNTIFS($D$5:$D192,"挂靠代收")+COUNTIFS($D$5:$D192,"我方收款"),"")</f>
        <v/>
      </c>
      <c r="Y192" s="35" t="s">
        <v>106</v>
      </c>
      <c r="Z192" s="21" t="s">
        <v>111</v>
      </c>
    </row>
    <row r="193" customFormat="false" ht="15.75" hidden="false" customHeight="true" outlineLevel="0" collapsed="false">
      <c r="A193" s="32" t="n">
        <f aca="false">IF($B193="","",ROW()-4)</f>
        <v>189</v>
      </c>
      <c r="B193" s="26" t="n">
        <v>46198</v>
      </c>
      <c r="C193" s="24" t="s">
        <v>218</v>
      </c>
      <c r="D193" s="21" t="s">
        <v>319</v>
      </c>
      <c r="E193" s="21" t="s">
        <v>97</v>
      </c>
      <c r="F193" s="21" t="s">
        <v>106</v>
      </c>
      <c r="G193" s="24" t="s">
        <v>308</v>
      </c>
      <c r="H193" s="27" t="n">
        <v>6328.34</v>
      </c>
      <c r="I193" s="23" t="str">
        <f aca="false">IF($D193&lt;&gt;"销项开票","",IF($N193="一级",IF(IFERROR(INDEX(项目档案!$E$6:$E$255,MATCH($C193,项目档案!$A$6:$A$255,0)),"")="",N(IFERROR(INDEX(单位档案!$D$6:$D$35,MATCH($E193,单位档案!$A$6:$A$35,0)),"")),IFERROR(INDEX(项目档案!$E$6:$E$255,MATCH($C193,项目档案!$A$6:$A$255,0)),"")),IF($N193="二级",IF(IFERROR(INDEX(项目档案!$G$6:$G$255,MATCH($C193,项目档案!$A$6:$A$255,0)),"")="",N(IFERROR(INDEX(单位档案!$D$6:$D$35,MATCH($E193,单位档案!$A$6:$A$35,0)),"")),IFERROR(INDEX(项目档案!$G$6:$G$255,MATCH($C193,项目档案!$A$6:$A$255,0)),"")),N(IFERROR(INDEX(单位档案!$D$6:$D$35,MATCH($E193,单位档案!$A$6:$A$35,0)),"")))))</f>
        <v/>
      </c>
      <c r="J193" s="25" t="s">
        <v>484</v>
      </c>
      <c r="K193" s="22" t="s">
        <v>313</v>
      </c>
      <c r="L193" s="33" t="str">
        <f aca="false">IF($B193="","",IF(NOT(ISNUMBER($B193)),"日期格式不对",IF($C193="","未选项目编号",IF(LEFT($M193,1)="⚠","项目编号不存在",IF($D193="","未选业务类型",IF($E193="","未选开票/付款方",IF(ISNA(MATCH($E193,单位档案!$A$6:$A$35,0)),"开票方不在单位档案",IF($F193="","未选收票/收款方",IF(ISNA(MATCH($F193,单位档案!$A$6:$A$35,0)),"收款方不在单位档案",IF(NOT(ISNUMBER($H193)),"金额须为数字",IF(AND($D193="销项开票",$N193="—"),"链条待确认","√")))))))))))</f>
        <v>√</v>
      </c>
      <c r="M193" s="34" t="str">
        <f aca="false">IF($C193="","",IFERROR(INDEX(项目档案!$B$6:$B$255,MATCH($C193,项目档案!$A$6:$A$255,0)),"⚠项目编号不存在"))</f>
        <v>重庆铜梁10kV梧桐村4.5.6社台区重过载治理工程等23个项目(2025年配网6批、业扩5批德誉佳施工）(重庆铜梁10kV侣新线凤飞7社台区重过载治理工程)</v>
      </c>
      <c r="N193" s="35" t="str">
        <f aca="false">IF($E193="","",IF($E193=IFERROR(INDEX(项目档案!$D$6:$D$255,MATCH($C193,项目档案!$A$6:$A$255,0)),""),"一级",IF($E193=IFERROR(INDEX(项目档案!$F$6:$F$255,MATCH($C193,项目档案!$A$6:$A$255,0)),""),"二级",IF($E193=IFERROR(INDEX(项目档案!$H$6:$H$255,MATCH($C193,项目档案!$A$6:$A$255,0)),""),"我方","—"))))</f>
        <v>—</v>
      </c>
      <c r="O193" s="36" t="n">
        <f aca="false">IF($D193&lt;&gt;"销项开票",0,ROUND(N($H193)*N($I193),2))</f>
        <v>0</v>
      </c>
      <c r="P193" s="36" t="n">
        <f aca="false">IF($D193&lt;&gt;"销项开票",0,ROUND(N($H193)-$O193,2))</f>
        <v>0</v>
      </c>
      <c r="Q193" s="37" t="n">
        <f aca="false">IF($E193="","",N(IFERROR(INDEX(单位档案!$E$6:$E$35,MATCH($E193,单位档案!$A$6:$A$35,0)),"")))</f>
        <v>0</v>
      </c>
      <c r="R193" s="37" t="n">
        <f aca="false">IF($E193="","",N(IFERROR(INDEX(单位档案!$F$6:$F$35,MATCH($E193,单位档案!$A$6:$A$35,0)),"")))</f>
        <v>0</v>
      </c>
      <c r="S193" s="36" t="n">
        <f aca="false">IF(OR($D193&lt;&gt;"销项开票",IFERROR(INDEX(单位档案!$G$6:$G$35,MATCH($E193,单位档案!$A$6:$A$35,0)),"")&lt;&gt;"是",N($Q193)=0),0,IF(IFERROR(INDEX(单位档案!$H$6:$H$35,MATCH($E193,单位档案!$A$6:$A$35,0)),"")="税差法",ROUND(N($H193)/(1+$Q193)*$Q193-IF(N($R193)=0,0,$P193/(1+$R193)*$R193),2),ROUND(N($H193)/(1+$Q193)*$Q193,2)))</f>
        <v>0</v>
      </c>
      <c r="T193" s="36" t="n">
        <f aca="false">ROUND($S193*N(IFERROR(INDEX(单位档案!$J$6:$J$35,MATCH($E193,单位档案!$A$6:$A$35,0)),"")),2)</f>
        <v>0</v>
      </c>
      <c r="U193" s="36" t="n">
        <f aca="false">IF($D193&lt;&gt;"销项开票",0,ROUND(N($H193)*N(IFERROR(INDEX(单位档案!$K$6:$K$35,MATCH($E193,单位档案!$A$6:$A$35,0)),"")),2))</f>
        <v>0</v>
      </c>
      <c r="V193" s="36" t="n">
        <f aca="false">IF(OR($D193&lt;&gt;"销项开票",N($Q193)=0),0,ROUND(N($H193)/(1+$Q193)*N(IFERROR(INDEX(单位档案!$L$6:$L$35,MATCH($E193,单位档案!$A$6:$A$35,0)),"")),2))</f>
        <v>0</v>
      </c>
      <c r="W193" s="36" t="n">
        <f aca="false">ROUND($S193+$T193+$U193+$V193,2)</f>
        <v>0</v>
      </c>
      <c r="X193" s="35" t="n">
        <f aca="false">IF(OR($D193="挂靠代收",$D193="我方收款"),COUNTIFS($D$5:$D193,"挂靠代收")+COUNTIFS($D$5:$D193,"我方收款"),"")</f>
        <v>21</v>
      </c>
      <c r="Y193" s="35" t="s">
        <v>106</v>
      </c>
      <c r="Z193" s="21" t="s">
        <v>111</v>
      </c>
    </row>
    <row r="194" customFormat="false" ht="15.75" hidden="false" customHeight="true" outlineLevel="0" collapsed="false">
      <c r="A194" s="32" t="n">
        <f aca="false">IF($B194="","",ROW()-4)</f>
        <v>190</v>
      </c>
      <c r="B194" s="26" t="n">
        <v>46198</v>
      </c>
      <c r="C194" s="24" t="s">
        <v>199</v>
      </c>
      <c r="D194" s="21" t="s">
        <v>307</v>
      </c>
      <c r="E194" s="21" t="s">
        <v>106</v>
      </c>
      <c r="F194" s="21" t="s">
        <v>97</v>
      </c>
      <c r="G194" s="24" t="s">
        <v>308</v>
      </c>
      <c r="H194" s="27" t="n">
        <v>2691.79</v>
      </c>
      <c r="I194" s="23" t="n">
        <v>0.079999</v>
      </c>
      <c r="J194" s="25" t="s">
        <v>485</v>
      </c>
      <c r="K194" s="22" t="s">
        <v>313</v>
      </c>
      <c r="L194" s="33" t="str">
        <f aca="false">IF($B194="","",IF(NOT(ISNUMBER($B194)),"日期格式不对",IF($C194="","未选项目编号",IF(LEFT($M194,1)="⚠","项目编号不存在",IF($D194="","未选业务类型",IF($E194="","未选开票/付款方",IF(ISNA(MATCH($E194,单位档案!$A$6:$A$35,0)),"开票方不在单位档案",IF($F194="","未选收票/收款方",IF(ISNA(MATCH($F194,单位档案!$A$6:$A$35,0)),"收款方不在单位档案",IF(NOT(ISNUMBER($H194)),"金额须为数字",IF(AND($D194="销项开票",$N194="—"),"链条待确认","√")))))))))))</f>
        <v>链条待确认</v>
      </c>
      <c r="M194" s="34" t="str">
        <f aca="false">IF($C194="","",IFERROR(INDEX(项目档案!$B$6:$B$255,MATCH($C194,项目档案!$A$6:$A$255,0)),"⚠项目编号不存在"))</f>
        <v>铜梁公司2026年配电专业应急抢修抢险等外包项目（黄荆4社等台区4个隐患治理项目、三湾1.2社等台区2个应急抢修项目)</v>
      </c>
      <c r="N194" s="35" t="str">
        <f aca="false">IF($E194="","",IF($E194=IFERROR(INDEX(项目档案!$D$6:$D$255,MATCH($C194,项目档案!$A$6:$A$255,0)),""),"一级",IF($E194=IFERROR(INDEX(项目档案!$F$6:$F$255,MATCH($C194,项目档案!$A$6:$A$255,0)),""),"二级",IF($E194=IFERROR(INDEX(项目档案!$H$6:$H$255,MATCH($C194,项目档案!$A$6:$A$255,0)),""),"我方","—"))))</f>
        <v>—</v>
      </c>
      <c r="O194" s="36" t="n">
        <f aca="false">IF($D194&lt;&gt;"销项开票",0,ROUND(N($H194)*N($I194),2))</f>
        <v>215.34</v>
      </c>
      <c r="P194" s="36" t="n">
        <f aca="false">IF($D194&lt;&gt;"销项开票",0,ROUND(N($H194)-$O194,2))</f>
        <v>2476.45</v>
      </c>
      <c r="Q194" s="37" t="n">
        <f aca="false">IF($E194="","",N(IFERROR(INDEX(单位档案!$E$6:$E$35,MATCH($E194,单位档案!$A$6:$A$35,0)),"")))</f>
        <v>0.13</v>
      </c>
      <c r="R194" s="37" t="n">
        <f aca="false">IF($E194="","",N(IFERROR(INDEX(单位档案!$F$6:$F$35,MATCH($E194,单位档案!$A$6:$A$35,0)),"")))</f>
        <v>0.13</v>
      </c>
      <c r="S194" s="36" t="n">
        <f aca="false">IF(OR($D194&lt;&gt;"销项开票",IFERROR(INDEX(单位档案!$G$6:$G$35,MATCH($E194,单位档案!$A$6:$A$35,0)),"")&lt;&gt;"是",N($Q194)=0),0,IF(IFERROR(INDEX(单位档案!$H$6:$H$35,MATCH($E194,单位档案!$A$6:$A$35,0)),"")="税差法",ROUND(N($H194)/(1+$Q194)*$Q194-IF(N($R194)=0,0,$P194/(1+$R194)*$R194),2),ROUND(N($H194)/(1+$Q194)*$Q194,2)))</f>
        <v>0</v>
      </c>
      <c r="T194" s="36" t="n">
        <f aca="false">ROUND($S194*N(IFERROR(INDEX(单位档案!$J$6:$J$35,MATCH($E194,单位档案!$A$6:$A$35,0)),"")),2)</f>
        <v>0</v>
      </c>
      <c r="U194" s="36" t="n">
        <f aca="false">IF($D194&lt;&gt;"销项开票",0,ROUND(N($H194)*N(IFERROR(INDEX(单位档案!$K$6:$K$35,MATCH($E194,单位档案!$A$6:$A$35,0)),"")),2))</f>
        <v>0</v>
      </c>
      <c r="V194" s="36" t="n">
        <f aca="false">IF(OR($D194&lt;&gt;"销项开票",N($Q194)=0),0,ROUND(N($H194)/(1+$Q194)*N(IFERROR(INDEX(单位档案!$L$6:$L$35,MATCH($E194,单位档案!$A$6:$A$35,0)),"")),2))</f>
        <v>0</v>
      </c>
      <c r="W194" s="36" t="n">
        <f aca="false">ROUND($S194+$T194+$U194+$V194,2)</f>
        <v>0</v>
      </c>
      <c r="X194" s="35" t="str">
        <f aca="false">IF(OR($D194="挂靠代收",$D194="我方收款"),COUNTIFS($D$5:$D194,"挂靠代收")+COUNTIFS($D$5:$D194,"我方收款"),"")</f>
        <v/>
      </c>
      <c r="Y194" s="35" t="s">
        <v>106</v>
      </c>
      <c r="Z194" s="21" t="s">
        <v>111</v>
      </c>
    </row>
    <row r="195" customFormat="false" ht="15.75" hidden="false" customHeight="true" outlineLevel="0" collapsed="false">
      <c r="A195" s="32" t="n">
        <f aca="false">IF($B195="","",ROW()-4)</f>
        <v>191</v>
      </c>
      <c r="B195" s="26" t="n">
        <v>46198</v>
      </c>
      <c r="C195" s="24" t="s">
        <v>199</v>
      </c>
      <c r="D195" s="21" t="s">
        <v>319</v>
      </c>
      <c r="E195" s="21" t="s">
        <v>97</v>
      </c>
      <c r="F195" s="21" t="s">
        <v>106</v>
      </c>
      <c r="G195" s="24" t="s">
        <v>308</v>
      </c>
      <c r="H195" s="27" t="n">
        <v>2691.79</v>
      </c>
      <c r="I195" s="23" t="str">
        <f aca="false">IF($D195&lt;&gt;"销项开票","",IF($N195="一级",IF(IFERROR(INDEX(项目档案!$E$6:$E$255,MATCH($C195,项目档案!$A$6:$A$255,0)),"")="",N(IFERROR(INDEX(单位档案!$D$6:$D$35,MATCH($E195,单位档案!$A$6:$A$35,0)),"")),IFERROR(INDEX(项目档案!$E$6:$E$255,MATCH($C195,项目档案!$A$6:$A$255,0)),"")),IF($N195="二级",IF(IFERROR(INDEX(项目档案!$G$6:$G$255,MATCH($C195,项目档案!$A$6:$A$255,0)),"")="",N(IFERROR(INDEX(单位档案!$D$6:$D$35,MATCH($E195,单位档案!$A$6:$A$35,0)),"")),IFERROR(INDEX(项目档案!$G$6:$G$255,MATCH($C195,项目档案!$A$6:$A$255,0)),"")),N(IFERROR(INDEX(单位档案!$D$6:$D$35,MATCH($E195,单位档案!$A$6:$A$35,0)),"")))))</f>
        <v/>
      </c>
      <c r="J195" s="25" t="s">
        <v>485</v>
      </c>
      <c r="K195" s="22" t="s">
        <v>313</v>
      </c>
      <c r="L195" s="33" t="str">
        <f aca="false">IF($B195="","",IF(NOT(ISNUMBER($B195)),"日期格式不对",IF($C195="","未选项目编号",IF(LEFT($M195,1)="⚠","项目编号不存在",IF($D195="","未选业务类型",IF($E195="","未选开票/付款方",IF(ISNA(MATCH($E195,单位档案!$A$6:$A$35,0)),"开票方不在单位档案",IF($F195="","未选收票/收款方",IF(ISNA(MATCH($F195,单位档案!$A$6:$A$35,0)),"收款方不在单位档案",IF(NOT(ISNUMBER($H195)),"金额须为数字",IF(AND($D195="销项开票",$N195="—"),"链条待确认","√")))))))))))</f>
        <v>√</v>
      </c>
      <c r="M195" s="34" t="str">
        <f aca="false">IF($C195="","",IFERROR(INDEX(项目档案!$B$6:$B$255,MATCH($C195,项目档案!$A$6:$A$255,0)),"⚠项目编号不存在"))</f>
        <v>铜梁公司2026年配电专业应急抢修抢险等外包项目（黄荆4社等台区4个隐患治理项目、三湾1.2社等台区2个应急抢修项目)</v>
      </c>
      <c r="N195" s="35" t="str">
        <f aca="false">IF($E195="","",IF($E195=IFERROR(INDEX(项目档案!$D$6:$D$255,MATCH($C195,项目档案!$A$6:$A$255,0)),""),"一级",IF($E195=IFERROR(INDEX(项目档案!$F$6:$F$255,MATCH($C195,项目档案!$A$6:$A$255,0)),""),"二级",IF($E195=IFERROR(INDEX(项目档案!$H$6:$H$255,MATCH($C195,项目档案!$A$6:$A$255,0)),""),"我方","—"))))</f>
        <v>—</v>
      </c>
      <c r="O195" s="36" t="n">
        <f aca="false">IF($D195&lt;&gt;"销项开票",0,ROUND(N($H195)*N($I195),2))</f>
        <v>0</v>
      </c>
      <c r="P195" s="36" t="n">
        <f aca="false">IF($D195&lt;&gt;"销项开票",0,ROUND(N($H195)-$O195,2))</f>
        <v>0</v>
      </c>
      <c r="Q195" s="37" t="n">
        <f aca="false">IF($E195="","",N(IFERROR(INDEX(单位档案!$E$6:$E$35,MATCH($E195,单位档案!$A$6:$A$35,0)),"")))</f>
        <v>0</v>
      </c>
      <c r="R195" s="37" t="n">
        <f aca="false">IF($E195="","",N(IFERROR(INDEX(单位档案!$F$6:$F$35,MATCH($E195,单位档案!$A$6:$A$35,0)),"")))</f>
        <v>0</v>
      </c>
      <c r="S195" s="36" t="n">
        <f aca="false">IF(OR($D195&lt;&gt;"销项开票",IFERROR(INDEX(单位档案!$G$6:$G$35,MATCH($E195,单位档案!$A$6:$A$35,0)),"")&lt;&gt;"是",N($Q195)=0),0,IF(IFERROR(INDEX(单位档案!$H$6:$H$35,MATCH($E195,单位档案!$A$6:$A$35,0)),"")="税差法",ROUND(N($H195)/(1+$Q195)*$Q195-IF(N($R195)=0,0,$P195/(1+$R195)*$R195),2),ROUND(N($H195)/(1+$Q195)*$Q195,2)))</f>
        <v>0</v>
      </c>
      <c r="T195" s="36" t="n">
        <f aca="false">ROUND($S195*N(IFERROR(INDEX(单位档案!$J$6:$J$35,MATCH($E195,单位档案!$A$6:$A$35,0)),"")),2)</f>
        <v>0</v>
      </c>
      <c r="U195" s="36" t="n">
        <f aca="false">IF($D195&lt;&gt;"销项开票",0,ROUND(N($H195)*N(IFERROR(INDEX(单位档案!$K$6:$K$35,MATCH($E195,单位档案!$A$6:$A$35,0)),"")),2))</f>
        <v>0</v>
      </c>
      <c r="V195" s="36" t="n">
        <f aca="false">IF(OR($D195&lt;&gt;"销项开票",N($Q195)=0),0,ROUND(N($H195)/(1+$Q195)*N(IFERROR(INDEX(单位档案!$L$6:$L$35,MATCH($E195,单位档案!$A$6:$A$35,0)),"")),2))</f>
        <v>0</v>
      </c>
      <c r="W195" s="36" t="n">
        <f aca="false">ROUND($S195+$T195+$U195+$V195,2)</f>
        <v>0</v>
      </c>
      <c r="X195" s="35" t="n">
        <f aca="false">IF(OR($D195="挂靠代收",$D195="我方收款"),COUNTIFS($D$5:$D195,"挂靠代收")+COUNTIFS($D$5:$D195,"我方收款"),"")</f>
        <v>22</v>
      </c>
      <c r="Y195" s="35" t="s">
        <v>106</v>
      </c>
      <c r="Z195" s="21" t="s">
        <v>111</v>
      </c>
    </row>
    <row r="196" customFormat="false" ht="15.75" hidden="false" customHeight="true" outlineLevel="0" collapsed="false">
      <c r="A196" s="32" t="n">
        <f aca="false">IF($B196="","",ROW()-4)</f>
        <v>192</v>
      </c>
      <c r="B196" s="26" t="n">
        <v>46198</v>
      </c>
      <c r="C196" s="24" t="s">
        <v>199</v>
      </c>
      <c r="D196" s="21" t="s">
        <v>314</v>
      </c>
      <c r="E196" s="21" t="s">
        <v>127</v>
      </c>
      <c r="F196" s="21" t="s">
        <v>106</v>
      </c>
      <c r="G196" s="24" t="s">
        <v>308</v>
      </c>
      <c r="H196" s="27" t="n">
        <v>2829.79</v>
      </c>
      <c r="I196" s="23" t="str">
        <f aca="false">IF($D196&lt;&gt;"销项开票","",IF($N196="一级",IF(IFERROR(INDEX(项目档案!$E$6:$E$255,MATCH($C196,项目档案!$A$6:$A$255,0)),"")="",N(IFERROR(INDEX(单位档案!$D$6:$D$35,MATCH($E196,单位档案!$A$6:$A$35,0)),"")),IFERROR(INDEX(项目档案!$E$6:$E$255,MATCH($C196,项目档案!$A$6:$A$255,0)),"")),IF($N196="二级",IF(IFERROR(INDEX(项目档案!$G$6:$G$255,MATCH($C196,项目档案!$A$6:$A$255,0)),"")="",N(IFERROR(INDEX(单位档案!$D$6:$D$35,MATCH($E196,单位档案!$A$6:$A$35,0)),"")),IFERROR(INDEX(项目档案!$G$6:$G$255,MATCH($C196,项目档案!$A$6:$A$255,0)),"")),N(IFERROR(INDEX(单位档案!$D$6:$D$35,MATCH($E196,单位档案!$A$6:$A$35,0)),"")))))</f>
        <v/>
      </c>
      <c r="J196" s="25" t="s">
        <v>485</v>
      </c>
      <c r="K196" s="22" t="s">
        <v>313</v>
      </c>
      <c r="L196" s="33" t="str">
        <f aca="false">IF($B196="","",IF(NOT(ISNUMBER($B196)),"日期格式不对",IF($C196="","未选项目编号",IF(LEFT($M196,1)="⚠","项目编号不存在",IF($D196="","未选业务类型",IF($E196="","未选开票/付款方",IF(ISNA(MATCH($E196,单位档案!$A$6:$A$35,0)),"开票方不在单位档案",IF($F196="","未选收票/收款方",IF(ISNA(MATCH($F196,单位档案!$A$6:$A$35,0)),"收款方不在单位档案",IF(NOT(ISNUMBER($H196)),"金额须为数字",IF(AND($D196="销项开票",$N196="—"),"链条待确认","√")))))))))))</f>
        <v>√</v>
      </c>
      <c r="M196" s="34" t="str">
        <f aca="false">IF($C196="","",IFERROR(INDEX(项目档案!$B$6:$B$255,MATCH($C196,项目档案!$A$6:$A$255,0)),"⚠项目编号不存在"))</f>
        <v>铜梁公司2026年配电专业应急抢修抢险等外包项目（黄荆4社等台区4个隐患治理项目、三湾1.2社等台区2个应急抢修项目)</v>
      </c>
      <c r="N196" s="35" t="str">
        <f aca="false">IF($E196="","",IF($E196=IFERROR(INDEX(项目档案!$D$6:$D$255,MATCH($C196,项目档案!$A$6:$A$255,0)),""),"一级",IF($E196=IFERROR(INDEX(项目档案!$F$6:$F$255,MATCH($C196,项目档案!$A$6:$A$255,0)),""),"二级",IF($E196=IFERROR(INDEX(项目档案!$H$6:$H$255,MATCH($C196,项目档案!$A$6:$A$255,0)),""),"我方","—"))))</f>
        <v>我方</v>
      </c>
      <c r="O196" s="36" t="n">
        <f aca="false">IF($D196&lt;&gt;"销项开票",0,ROUND(N($H196)*N($I196),2))</f>
        <v>0</v>
      </c>
      <c r="P196" s="36" t="n">
        <f aca="false">IF($D196&lt;&gt;"销项开票",0,ROUND(N($H196)-$O196,2))</f>
        <v>0</v>
      </c>
      <c r="Q196" s="37" t="n">
        <f aca="false">IF($E196="","",N(IFERROR(INDEX(单位档案!$E$6:$E$35,MATCH($E196,单位档案!$A$6:$A$35,0)),"")))</f>
        <v>0.03</v>
      </c>
      <c r="R196" s="37" t="n">
        <f aca="false">IF($E196="","",N(IFERROR(INDEX(单位档案!$F$6:$F$35,MATCH($E196,单位档案!$A$6:$A$35,0)),"")))</f>
        <v>0</v>
      </c>
      <c r="S196" s="36" t="n">
        <f aca="false">IF(OR($D196&lt;&gt;"销项开票",IFERROR(INDEX(单位档案!$G$6:$G$35,MATCH($E196,单位档案!$A$6:$A$35,0)),"")&lt;&gt;"是",N($Q196)=0),0,IF(IFERROR(INDEX(单位档案!$H$6:$H$35,MATCH($E196,单位档案!$A$6:$A$35,0)),"")="税差法",ROUND(N($H196)/(1+$Q196)*$Q196-IF(N($R196)=0,0,$P196/(1+$R196)*$R196),2),ROUND(N($H196)/(1+$Q196)*$Q196,2)))</f>
        <v>0</v>
      </c>
      <c r="T196" s="36" t="n">
        <f aca="false">ROUND($S196*N(IFERROR(INDEX(单位档案!$J$6:$J$35,MATCH($E196,单位档案!$A$6:$A$35,0)),"")),2)</f>
        <v>0</v>
      </c>
      <c r="U196" s="36" t="n">
        <f aca="false">IF($D196&lt;&gt;"销项开票",0,ROUND(N($H196)*N(IFERROR(INDEX(单位档案!$K$6:$K$35,MATCH($E196,单位档案!$A$6:$A$35,0)),"")),2))</f>
        <v>0</v>
      </c>
      <c r="V196" s="36" t="n">
        <f aca="false">IF(OR($D196&lt;&gt;"销项开票",N($Q196)=0),0,ROUND(N($H196)/(1+$Q196)*N(IFERROR(INDEX(单位档案!$L$6:$L$35,MATCH($E196,单位档案!$A$6:$A$35,0)),"")),2))</f>
        <v>0</v>
      </c>
      <c r="W196" s="36" t="n">
        <f aca="false">ROUND($S196+$T196+$U196+$V196,2)</f>
        <v>0</v>
      </c>
      <c r="X196" s="35" t="str">
        <f aca="false">IF(OR($D196="挂靠代收",$D196="我方收款"),COUNTIFS($D$5:$D196,"挂靠代收")+COUNTIFS($D$5:$D196,"我方收款"),"")</f>
        <v/>
      </c>
      <c r="Y196" s="35" t="s">
        <v>106</v>
      </c>
      <c r="Z196" s="21" t="s">
        <v>111</v>
      </c>
    </row>
    <row r="197" customFormat="false" ht="15.75" hidden="false" customHeight="true" outlineLevel="0" collapsed="false">
      <c r="A197" s="32" t="n">
        <f aca="false">IF($B197="","",ROW()-4)</f>
        <v>193</v>
      </c>
      <c r="B197" s="26" t="n">
        <v>46198</v>
      </c>
      <c r="C197" s="24" t="s">
        <v>199</v>
      </c>
      <c r="D197" s="21" t="s">
        <v>357</v>
      </c>
      <c r="E197" s="21" t="s">
        <v>131</v>
      </c>
      <c r="F197" s="21" t="s">
        <v>106</v>
      </c>
      <c r="G197" s="24" t="s">
        <v>308</v>
      </c>
      <c r="H197" s="27" t="n">
        <v>8927.9</v>
      </c>
      <c r="I197" s="23" t="str">
        <f aca="false">IF($D197&lt;&gt;"销项开票","",IF($N197="一级",IF(IFERROR(INDEX(项目档案!$E$6:$E$255,MATCH($C197,项目档案!$A$6:$A$255,0)),"")="",N(IFERROR(INDEX(单位档案!$D$6:$D$35,MATCH($E197,单位档案!$A$6:$A$35,0)),"")),IFERROR(INDEX(项目档案!$E$6:$E$255,MATCH($C197,项目档案!$A$6:$A$255,0)),"")),IF($N197="二级",IF(IFERROR(INDEX(项目档案!$G$6:$G$255,MATCH($C197,项目档案!$A$6:$A$255,0)),"")="",N(IFERROR(INDEX(单位档案!$D$6:$D$35,MATCH($E197,单位档案!$A$6:$A$35,0)),"")),IFERROR(INDEX(项目档案!$G$6:$G$255,MATCH($C197,项目档案!$A$6:$A$255,0)),"")),N(IFERROR(INDEX(单位档案!$D$6:$D$35,MATCH($E197,单位档案!$A$6:$A$35,0)),"")))))</f>
        <v/>
      </c>
      <c r="J197" s="25" t="s">
        <v>486</v>
      </c>
      <c r="K197" s="22" t="s">
        <v>313</v>
      </c>
      <c r="L197" s="33" t="str">
        <f aca="false">IF($B197="","",IF(NOT(ISNUMBER($B197)),"日期格式不对",IF($C197="","未选项目编号",IF(LEFT($M197,1)="⚠","项目编号不存在",IF($D197="","未选业务类型",IF($E197="","未选开票/付款方",IF(ISNA(MATCH($E197,单位档案!$A$6:$A$35,0)),"开票方不在单位档案",IF($F197="","未选收票/收款方",IF(ISNA(MATCH($F197,单位档案!$A$6:$A$35,0)),"收款方不在单位档案",IF(NOT(ISNUMBER($H197)),"金额须为数字",IF(AND($D197="销项开票",$N197="—"),"链条待确认","√")))))))))))</f>
        <v>√</v>
      </c>
      <c r="M197" s="34" t="str">
        <f aca="false">IF($C197="","",IFERROR(INDEX(项目档案!$B$6:$B$255,MATCH($C197,项目档案!$A$6:$A$255,0)),"⚠项目编号不存在"))</f>
        <v>铜梁公司2026年配电专业应急抢修抢险等外包项目（黄荆4社等台区4个隐患治理项目、三湾1.2社等台区2个应急抢修项目)</v>
      </c>
      <c r="N197" s="35" t="str">
        <f aca="false">IF($E197="","",IF($E197=IFERROR(INDEX(项目档案!$D$6:$D$255,MATCH($C197,项目档案!$A$6:$A$255,0)),""),"一级",IF($E197=IFERROR(INDEX(项目档案!$F$6:$F$255,MATCH($C197,项目档案!$A$6:$A$255,0)),""),"二级",IF($E197=IFERROR(INDEX(项目档案!$H$6:$H$255,MATCH($C197,项目档案!$A$6:$A$255,0)),""),"我方","—"))))</f>
        <v>—</v>
      </c>
      <c r="O197" s="36" t="n">
        <f aca="false">IF($D197&lt;&gt;"销项开票",0,ROUND(N($H197)*N($I197),2))</f>
        <v>0</v>
      </c>
      <c r="P197" s="36" t="n">
        <f aca="false">IF($D197&lt;&gt;"销项开票",0,ROUND(N($H197)-$O197,2))</f>
        <v>0</v>
      </c>
      <c r="Q197" s="37" t="n">
        <f aca="false">IF($E197="","",N(IFERROR(INDEX(单位档案!$E$6:$E$35,MATCH($E197,单位档案!$A$6:$A$35,0)),"")))</f>
        <v>0.13</v>
      </c>
      <c r="R197" s="37" t="n">
        <f aca="false">IF($E197="","",N(IFERROR(INDEX(单位档案!$F$6:$F$35,MATCH($E197,单位档案!$A$6:$A$35,0)),"")))</f>
        <v>0</v>
      </c>
      <c r="S197" s="36" t="n">
        <f aca="false">IF(OR($D197&lt;&gt;"销项开票",IFERROR(INDEX(单位档案!$G$6:$G$35,MATCH($E197,单位档案!$A$6:$A$35,0)),"")&lt;&gt;"是",N($Q197)=0),0,IF(IFERROR(INDEX(单位档案!$H$6:$H$35,MATCH($E197,单位档案!$A$6:$A$35,0)),"")="税差法",ROUND(N($H197)/(1+$Q197)*$Q197-IF(N($R197)=0,0,$P197/(1+$R197)*$R197),2),ROUND(N($H197)/(1+$Q197)*$Q197,2)))</f>
        <v>0</v>
      </c>
      <c r="T197" s="36" t="n">
        <f aca="false">ROUND($S197*N(IFERROR(INDEX(单位档案!$J$6:$J$35,MATCH($E197,单位档案!$A$6:$A$35,0)),"")),2)</f>
        <v>0</v>
      </c>
      <c r="U197" s="36" t="n">
        <f aca="false">IF($D197&lt;&gt;"销项开票",0,ROUND(N($H197)*N(IFERROR(INDEX(单位档案!$K$6:$K$35,MATCH($E197,单位档案!$A$6:$A$35,0)),"")),2))</f>
        <v>0</v>
      </c>
      <c r="V197" s="36" t="n">
        <f aca="false">IF(OR($D197&lt;&gt;"销项开票",N($Q197)=0),0,ROUND(N($H197)/(1+$Q197)*N(IFERROR(INDEX(单位档案!$L$6:$L$35,MATCH($E197,单位档案!$A$6:$A$35,0)),"")),2))</f>
        <v>0</v>
      </c>
      <c r="W197" s="36" t="n">
        <f aca="false">ROUND($S197+$T197+$U197+$V197,2)</f>
        <v>0</v>
      </c>
      <c r="X197" s="35" t="str">
        <f aca="false">IF(OR($D197="挂靠代收",$D197="我方收款"),COUNTIFS($D$5:$D197,"挂靠代收")+COUNTIFS($D$5:$D197,"我方收款"),"")</f>
        <v/>
      </c>
      <c r="Y197" s="35" t="s">
        <v>106</v>
      </c>
      <c r="Z197" s="21" t="s">
        <v>111</v>
      </c>
    </row>
    <row r="198" customFormat="false" ht="15.75" hidden="false" customHeight="true" outlineLevel="0" collapsed="false">
      <c r="A198" s="32" t="n">
        <f aca="false">IF($B198="","",ROW()-4)</f>
        <v>194</v>
      </c>
      <c r="B198" s="26" t="n">
        <v>46198</v>
      </c>
      <c r="C198" s="24" t="s">
        <v>199</v>
      </c>
      <c r="D198" s="21" t="s">
        <v>357</v>
      </c>
      <c r="E198" s="21" t="s">
        <v>131</v>
      </c>
      <c r="F198" s="21" t="s">
        <v>106</v>
      </c>
      <c r="G198" s="24" t="s">
        <v>308</v>
      </c>
      <c r="H198" s="27" t="n">
        <v>8254.9</v>
      </c>
      <c r="I198" s="23" t="str">
        <f aca="false">IF($D198&lt;&gt;"销项开票","",IF($N198="一级",IF(IFERROR(INDEX(项目档案!$E$6:$E$255,MATCH($C198,项目档案!$A$6:$A$255,0)),"")="",N(IFERROR(INDEX(单位档案!$D$6:$D$35,MATCH($E198,单位档案!$A$6:$A$35,0)),"")),IFERROR(INDEX(项目档案!$E$6:$E$255,MATCH($C198,项目档案!$A$6:$A$255,0)),"")),IF($N198="二级",IF(IFERROR(INDEX(项目档案!$G$6:$G$255,MATCH($C198,项目档案!$A$6:$A$255,0)),"")="",N(IFERROR(INDEX(单位档案!$D$6:$D$35,MATCH($E198,单位档案!$A$6:$A$35,0)),"")),IFERROR(INDEX(项目档案!$G$6:$G$255,MATCH($C198,项目档案!$A$6:$A$255,0)),"")),N(IFERROR(INDEX(单位档案!$D$6:$D$35,MATCH($E198,单位档案!$A$6:$A$35,0)),"")))))</f>
        <v/>
      </c>
      <c r="J198" s="25" t="s">
        <v>487</v>
      </c>
      <c r="K198" s="22" t="s">
        <v>313</v>
      </c>
      <c r="L198" s="33" t="str">
        <f aca="false">IF($B198="","",IF(NOT(ISNUMBER($B198)),"日期格式不对",IF($C198="","未选项目编号",IF(LEFT($M198,1)="⚠","项目编号不存在",IF($D198="","未选业务类型",IF($E198="","未选开票/付款方",IF(ISNA(MATCH($E198,单位档案!$A$6:$A$35,0)),"开票方不在单位档案",IF($F198="","未选收票/收款方",IF(ISNA(MATCH($F198,单位档案!$A$6:$A$35,0)),"收款方不在单位档案",IF(NOT(ISNUMBER($H198)),"金额须为数字",IF(AND($D198="销项开票",$N198="—"),"链条待确认","√")))))))))))</f>
        <v>√</v>
      </c>
      <c r="M198" s="34" t="str">
        <f aca="false">IF($C198="","",IFERROR(INDEX(项目档案!$B$6:$B$255,MATCH($C198,项目档案!$A$6:$A$255,0)),"⚠项目编号不存在"))</f>
        <v>铜梁公司2026年配电专业应急抢修抢险等外包项目（黄荆4社等台区4个隐患治理项目、三湾1.2社等台区2个应急抢修项目)</v>
      </c>
      <c r="N198" s="35" t="str">
        <f aca="false">IF($E198="","",IF($E198=IFERROR(INDEX(项目档案!$D$6:$D$255,MATCH($C198,项目档案!$A$6:$A$255,0)),""),"一级",IF($E198=IFERROR(INDEX(项目档案!$F$6:$F$255,MATCH($C198,项目档案!$A$6:$A$255,0)),""),"二级",IF($E198=IFERROR(INDEX(项目档案!$H$6:$H$255,MATCH($C198,项目档案!$A$6:$A$255,0)),""),"我方","—"))))</f>
        <v>—</v>
      </c>
      <c r="O198" s="36" t="n">
        <f aca="false">IF($D198&lt;&gt;"销项开票",0,ROUND(N($H198)*N($I198),2))</f>
        <v>0</v>
      </c>
      <c r="P198" s="36" t="n">
        <f aca="false">IF($D198&lt;&gt;"销项开票",0,ROUND(N($H198)-$O198,2))</f>
        <v>0</v>
      </c>
      <c r="Q198" s="37" t="n">
        <f aca="false">IF($E198="","",N(IFERROR(INDEX(单位档案!$E$6:$E$35,MATCH($E198,单位档案!$A$6:$A$35,0)),"")))</f>
        <v>0.13</v>
      </c>
      <c r="R198" s="37" t="n">
        <f aca="false">IF($E198="","",N(IFERROR(INDEX(单位档案!$F$6:$F$35,MATCH($E198,单位档案!$A$6:$A$35,0)),"")))</f>
        <v>0</v>
      </c>
      <c r="S198" s="36" t="n">
        <f aca="false">IF(OR($D198&lt;&gt;"销项开票",IFERROR(INDEX(单位档案!$G$6:$G$35,MATCH($E198,单位档案!$A$6:$A$35,0)),"")&lt;&gt;"是",N($Q198)=0),0,IF(IFERROR(INDEX(单位档案!$H$6:$H$35,MATCH($E198,单位档案!$A$6:$A$35,0)),"")="税差法",ROUND(N($H198)/(1+$Q198)*$Q198-IF(N($R198)=0,0,$P198/(1+$R198)*$R198),2),ROUND(N($H198)/(1+$Q198)*$Q198,2)))</f>
        <v>0</v>
      </c>
      <c r="T198" s="36" t="n">
        <f aca="false">ROUND($S198*N(IFERROR(INDEX(单位档案!$J$6:$J$35,MATCH($E198,单位档案!$A$6:$A$35,0)),"")),2)</f>
        <v>0</v>
      </c>
      <c r="U198" s="36" t="n">
        <f aca="false">IF($D198&lt;&gt;"销项开票",0,ROUND(N($H198)*N(IFERROR(INDEX(单位档案!$K$6:$K$35,MATCH($E198,单位档案!$A$6:$A$35,0)),"")),2))</f>
        <v>0</v>
      </c>
      <c r="V198" s="36" t="n">
        <f aca="false">IF(OR($D198&lt;&gt;"销项开票",N($Q198)=0),0,ROUND(N($H198)/(1+$Q198)*N(IFERROR(INDEX(单位档案!$L$6:$L$35,MATCH($E198,单位档案!$A$6:$A$35,0)),"")),2))</f>
        <v>0</v>
      </c>
      <c r="W198" s="36" t="n">
        <f aca="false">ROUND($S198+$T198+$U198+$V198,2)</f>
        <v>0</v>
      </c>
      <c r="X198" s="35" t="str">
        <f aca="false">IF(OR($D198="挂靠代收",$D198="我方收款"),COUNTIFS($D$5:$D198,"挂靠代收")+COUNTIFS($D$5:$D198,"我方收款"),"")</f>
        <v/>
      </c>
      <c r="Y198" s="35" t="s">
        <v>106</v>
      </c>
      <c r="Z198" s="21" t="s">
        <v>111</v>
      </c>
    </row>
    <row r="199" customFormat="false" ht="15.75" hidden="false" customHeight="true" outlineLevel="0" collapsed="false">
      <c r="A199" s="32" t="n">
        <f aca="false">IF($B199="","",ROW()-4)</f>
        <v>195</v>
      </c>
      <c r="B199" s="26" t="n">
        <v>46198</v>
      </c>
      <c r="C199" s="24" t="s">
        <v>199</v>
      </c>
      <c r="D199" s="21" t="s">
        <v>357</v>
      </c>
      <c r="E199" s="21" t="s">
        <v>131</v>
      </c>
      <c r="F199" s="21" t="s">
        <v>106</v>
      </c>
      <c r="G199" s="24" t="s">
        <v>308</v>
      </c>
      <c r="H199" s="27" t="n">
        <v>1892.21</v>
      </c>
      <c r="I199" s="23" t="str">
        <f aca="false">IF($D199&lt;&gt;"销项开票","",IF($N199="一级",IF(IFERROR(INDEX(项目档案!$E$6:$E$255,MATCH($C199,项目档案!$A$6:$A$255,0)),"")="",N(IFERROR(INDEX(单位档案!$D$6:$D$35,MATCH($E199,单位档案!$A$6:$A$35,0)),"")),IFERROR(INDEX(项目档案!$E$6:$E$255,MATCH($C199,项目档案!$A$6:$A$255,0)),"")),IF($N199="二级",IF(IFERROR(INDEX(项目档案!$G$6:$G$255,MATCH($C199,项目档案!$A$6:$A$255,0)),"")="",N(IFERROR(INDEX(单位档案!$D$6:$D$35,MATCH($E199,单位档案!$A$6:$A$35,0)),"")),IFERROR(INDEX(项目档案!$G$6:$G$255,MATCH($C199,项目档案!$A$6:$A$255,0)),"")),N(IFERROR(INDEX(单位档案!$D$6:$D$35,MATCH($E199,单位档案!$A$6:$A$35,0)),"")))))</f>
        <v/>
      </c>
      <c r="J199" s="25" t="s">
        <v>488</v>
      </c>
      <c r="K199" s="22" t="s">
        <v>313</v>
      </c>
      <c r="L199" s="33" t="str">
        <f aca="false">IF($B199="","",IF(NOT(ISNUMBER($B199)),"日期格式不对",IF($C199="","未选项目编号",IF(LEFT($M199,1)="⚠","项目编号不存在",IF($D199="","未选业务类型",IF($E199="","未选开票/付款方",IF(ISNA(MATCH($E199,单位档案!$A$6:$A$35,0)),"开票方不在单位档案",IF($F199="","未选收票/收款方",IF(ISNA(MATCH($F199,单位档案!$A$6:$A$35,0)),"收款方不在单位档案",IF(NOT(ISNUMBER($H199)),"金额须为数字",IF(AND($D199="销项开票",$N199="—"),"链条待确认","√")))))))))))</f>
        <v>√</v>
      </c>
      <c r="M199" s="34" t="str">
        <f aca="false">IF($C199="","",IFERROR(INDEX(项目档案!$B$6:$B$255,MATCH($C199,项目档案!$A$6:$A$255,0)),"⚠项目编号不存在"))</f>
        <v>铜梁公司2026年配电专业应急抢修抢险等外包项目（黄荆4社等台区4个隐患治理项目、三湾1.2社等台区2个应急抢修项目)</v>
      </c>
      <c r="N199" s="35" t="str">
        <f aca="false">IF($E199="","",IF($E199=IFERROR(INDEX(项目档案!$D$6:$D$255,MATCH($C199,项目档案!$A$6:$A$255,0)),""),"一级",IF($E199=IFERROR(INDEX(项目档案!$F$6:$F$255,MATCH($C199,项目档案!$A$6:$A$255,0)),""),"二级",IF($E199=IFERROR(INDEX(项目档案!$H$6:$H$255,MATCH($C199,项目档案!$A$6:$A$255,0)),""),"我方","—"))))</f>
        <v>—</v>
      </c>
      <c r="O199" s="36" t="n">
        <f aca="false">IF($D199&lt;&gt;"销项开票",0,ROUND(N($H199)*N($I199),2))</f>
        <v>0</v>
      </c>
      <c r="P199" s="36" t="n">
        <f aca="false">IF($D199&lt;&gt;"销项开票",0,ROUND(N($H199)-$O199,2))</f>
        <v>0</v>
      </c>
      <c r="Q199" s="37" t="n">
        <f aca="false">IF($E199="","",N(IFERROR(INDEX(单位档案!$E$6:$E$35,MATCH($E199,单位档案!$A$6:$A$35,0)),"")))</f>
        <v>0.13</v>
      </c>
      <c r="R199" s="37" t="n">
        <f aca="false">IF($E199="","",N(IFERROR(INDEX(单位档案!$F$6:$F$35,MATCH($E199,单位档案!$A$6:$A$35,0)),"")))</f>
        <v>0</v>
      </c>
      <c r="S199" s="36" t="n">
        <f aca="false">IF(OR($D199&lt;&gt;"销项开票",IFERROR(INDEX(单位档案!$G$6:$G$35,MATCH($E199,单位档案!$A$6:$A$35,0)),"")&lt;&gt;"是",N($Q199)=0),0,IF(IFERROR(INDEX(单位档案!$H$6:$H$35,MATCH($E199,单位档案!$A$6:$A$35,0)),"")="税差法",ROUND(N($H199)/(1+$Q199)*$Q199-IF(N($R199)=0,0,$P199/(1+$R199)*$R199),2),ROUND(N($H199)/(1+$Q199)*$Q199,2)))</f>
        <v>0</v>
      </c>
      <c r="T199" s="36" t="n">
        <f aca="false">ROUND($S199*N(IFERROR(INDEX(单位档案!$J$6:$J$35,MATCH($E199,单位档案!$A$6:$A$35,0)),"")),2)</f>
        <v>0</v>
      </c>
      <c r="U199" s="36" t="n">
        <f aca="false">IF($D199&lt;&gt;"销项开票",0,ROUND(N($H199)*N(IFERROR(INDEX(单位档案!$K$6:$K$35,MATCH($E199,单位档案!$A$6:$A$35,0)),"")),2))</f>
        <v>0</v>
      </c>
      <c r="V199" s="36" t="n">
        <f aca="false">IF(OR($D199&lt;&gt;"销项开票",N($Q199)=0),0,ROUND(N($H199)/(1+$Q199)*N(IFERROR(INDEX(单位档案!$L$6:$L$35,MATCH($E199,单位档案!$A$6:$A$35,0)),"")),2))</f>
        <v>0</v>
      </c>
      <c r="W199" s="36" t="n">
        <f aca="false">ROUND($S199+$T199+$U199+$V199,2)</f>
        <v>0</v>
      </c>
      <c r="X199" s="35" t="str">
        <f aca="false">IF(OR($D199="挂靠代收",$D199="我方收款"),COUNTIFS($D$5:$D199,"挂靠代收")+COUNTIFS($D$5:$D199,"我方收款"),"")</f>
        <v/>
      </c>
      <c r="Y199" s="35" t="s">
        <v>106</v>
      </c>
      <c r="Z199" s="21" t="s">
        <v>111</v>
      </c>
    </row>
    <row r="200" customFormat="false" ht="15.75" hidden="false" customHeight="true" outlineLevel="0" collapsed="false">
      <c r="A200" s="32" t="n">
        <f aca="false">IF($B200="","",ROW()-4)</f>
        <v>196</v>
      </c>
      <c r="B200" s="26" t="n">
        <v>46198</v>
      </c>
      <c r="C200" s="24" t="s">
        <v>199</v>
      </c>
      <c r="D200" s="21" t="s">
        <v>357</v>
      </c>
      <c r="E200" s="21" t="s">
        <v>131</v>
      </c>
      <c r="F200" s="21" t="s">
        <v>106</v>
      </c>
      <c r="G200" s="24" t="s">
        <v>308</v>
      </c>
      <c r="H200" s="27" t="n">
        <v>5169.09</v>
      </c>
      <c r="I200" s="23" t="str">
        <f aca="false">IF($D200&lt;&gt;"销项开票","",IF($N200="一级",IF(IFERROR(INDEX(项目档案!$E$6:$E$255,MATCH($C200,项目档案!$A$6:$A$255,0)),"")="",N(IFERROR(INDEX(单位档案!$D$6:$D$35,MATCH($E200,单位档案!$A$6:$A$35,0)),"")),IFERROR(INDEX(项目档案!$E$6:$E$255,MATCH($C200,项目档案!$A$6:$A$255,0)),"")),IF($N200="二级",IF(IFERROR(INDEX(项目档案!$G$6:$G$255,MATCH($C200,项目档案!$A$6:$A$255,0)),"")="",N(IFERROR(INDEX(单位档案!$D$6:$D$35,MATCH($E200,单位档案!$A$6:$A$35,0)),"")),IFERROR(INDEX(项目档案!$G$6:$G$255,MATCH($C200,项目档案!$A$6:$A$255,0)),"")),N(IFERROR(INDEX(单位档案!$D$6:$D$35,MATCH($E200,单位档案!$A$6:$A$35,0)),"")))))</f>
        <v/>
      </c>
      <c r="J200" s="25" t="s">
        <v>489</v>
      </c>
      <c r="K200" s="22" t="s">
        <v>313</v>
      </c>
      <c r="L200" s="33" t="str">
        <f aca="false">IF($B200="","",IF(NOT(ISNUMBER($B200)),"日期格式不对",IF($C200="","未选项目编号",IF(LEFT($M200,1)="⚠","项目编号不存在",IF($D200="","未选业务类型",IF($E200="","未选开票/付款方",IF(ISNA(MATCH($E200,单位档案!$A$6:$A$35,0)),"开票方不在单位档案",IF($F200="","未选收票/收款方",IF(ISNA(MATCH($F200,单位档案!$A$6:$A$35,0)),"收款方不在单位档案",IF(NOT(ISNUMBER($H200)),"金额须为数字",IF(AND($D200="销项开票",$N200="—"),"链条待确认","√")))))))))))</f>
        <v>√</v>
      </c>
      <c r="M200" s="34" t="str">
        <f aca="false">IF($C200="","",IFERROR(INDEX(项目档案!$B$6:$B$255,MATCH($C200,项目档案!$A$6:$A$255,0)),"⚠项目编号不存在"))</f>
        <v>铜梁公司2026年配电专业应急抢修抢险等外包项目（黄荆4社等台区4个隐患治理项目、三湾1.2社等台区2个应急抢修项目)</v>
      </c>
      <c r="N200" s="35" t="str">
        <f aca="false">IF($E200="","",IF($E200=IFERROR(INDEX(项目档案!$D$6:$D$255,MATCH($C200,项目档案!$A$6:$A$255,0)),""),"一级",IF($E200=IFERROR(INDEX(项目档案!$F$6:$F$255,MATCH($C200,项目档案!$A$6:$A$255,0)),""),"二级",IF($E200=IFERROR(INDEX(项目档案!$H$6:$H$255,MATCH($C200,项目档案!$A$6:$A$255,0)),""),"我方","—"))))</f>
        <v>—</v>
      </c>
      <c r="O200" s="36" t="n">
        <f aca="false">IF($D200&lt;&gt;"销项开票",0,ROUND(N($H200)*N($I200),2))</f>
        <v>0</v>
      </c>
      <c r="P200" s="36" t="n">
        <f aca="false">IF($D200&lt;&gt;"销项开票",0,ROUND(N($H200)-$O200,2))</f>
        <v>0</v>
      </c>
      <c r="Q200" s="37" t="n">
        <f aca="false">IF($E200="","",N(IFERROR(INDEX(单位档案!$E$6:$E$35,MATCH($E200,单位档案!$A$6:$A$35,0)),"")))</f>
        <v>0.13</v>
      </c>
      <c r="R200" s="37" t="n">
        <f aca="false">IF($E200="","",N(IFERROR(INDEX(单位档案!$F$6:$F$35,MATCH($E200,单位档案!$A$6:$A$35,0)),"")))</f>
        <v>0</v>
      </c>
      <c r="S200" s="36" t="n">
        <f aca="false">IF(OR($D200&lt;&gt;"销项开票",IFERROR(INDEX(单位档案!$G$6:$G$35,MATCH($E200,单位档案!$A$6:$A$35,0)),"")&lt;&gt;"是",N($Q200)=0),0,IF(IFERROR(INDEX(单位档案!$H$6:$H$35,MATCH($E200,单位档案!$A$6:$A$35,0)),"")="税差法",ROUND(N($H200)/(1+$Q200)*$Q200-IF(N($R200)=0,0,$P200/(1+$R200)*$R200),2),ROUND(N($H200)/(1+$Q200)*$Q200,2)))</f>
        <v>0</v>
      </c>
      <c r="T200" s="36" t="n">
        <f aca="false">ROUND($S200*N(IFERROR(INDEX(单位档案!$J$6:$J$35,MATCH($E200,单位档案!$A$6:$A$35,0)),"")),2)</f>
        <v>0</v>
      </c>
      <c r="U200" s="36" t="n">
        <f aca="false">IF($D200&lt;&gt;"销项开票",0,ROUND(N($H200)*N(IFERROR(INDEX(单位档案!$K$6:$K$35,MATCH($E200,单位档案!$A$6:$A$35,0)),"")),2))</f>
        <v>0</v>
      </c>
      <c r="V200" s="36" t="n">
        <f aca="false">IF(OR($D200&lt;&gt;"销项开票",N($Q200)=0),0,ROUND(N($H200)/(1+$Q200)*N(IFERROR(INDEX(单位档案!$L$6:$L$35,MATCH($E200,单位档案!$A$6:$A$35,0)),"")),2))</f>
        <v>0</v>
      </c>
      <c r="W200" s="36" t="n">
        <f aca="false">ROUND($S200+$T200+$U200+$V200,2)</f>
        <v>0</v>
      </c>
      <c r="X200" s="35" t="str">
        <f aca="false">IF(OR($D200="挂靠代收",$D200="我方收款"),COUNTIFS($D$5:$D200,"挂靠代收")+COUNTIFS($D$5:$D200,"我方收款"),"")</f>
        <v/>
      </c>
      <c r="Y200" s="35" t="s">
        <v>106</v>
      </c>
      <c r="Z200" s="21" t="s">
        <v>111</v>
      </c>
    </row>
    <row r="201" customFormat="false" ht="15.75" hidden="false" customHeight="true" outlineLevel="0" collapsed="false">
      <c r="A201" s="32" t="n">
        <f aca="false">IF($B201="","",ROW()-4)</f>
        <v>197</v>
      </c>
      <c r="B201" s="26" t="n">
        <v>46198</v>
      </c>
      <c r="C201" s="24" t="s">
        <v>199</v>
      </c>
      <c r="D201" s="21" t="s">
        <v>357</v>
      </c>
      <c r="E201" s="21" t="s">
        <v>131</v>
      </c>
      <c r="F201" s="21" t="s">
        <v>106</v>
      </c>
      <c r="G201" s="24" t="s">
        <v>308</v>
      </c>
      <c r="H201" s="27" t="n">
        <v>5822.07</v>
      </c>
      <c r="I201" s="23" t="str">
        <f aca="false">IF($D201&lt;&gt;"销项开票","",IF($N201="一级",IF(IFERROR(INDEX(项目档案!$E$6:$E$255,MATCH($C201,项目档案!$A$6:$A$255,0)),"")="",N(IFERROR(INDEX(单位档案!$D$6:$D$35,MATCH($E201,单位档案!$A$6:$A$35,0)),"")),IFERROR(INDEX(项目档案!$E$6:$E$255,MATCH($C201,项目档案!$A$6:$A$255,0)),"")),IF($N201="二级",IF(IFERROR(INDEX(项目档案!$G$6:$G$255,MATCH($C201,项目档案!$A$6:$A$255,0)),"")="",N(IFERROR(INDEX(单位档案!$D$6:$D$35,MATCH($E201,单位档案!$A$6:$A$35,0)),"")),IFERROR(INDEX(项目档案!$G$6:$G$255,MATCH($C201,项目档案!$A$6:$A$255,0)),"")),N(IFERROR(INDEX(单位档案!$D$6:$D$35,MATCH($E201,单位档案!$A$6:$A$35,0)),"")))))</f>
        <v/>
      </c>
      <c r="J201" s="25" t="s">
        <v>490</v>
      </c>
      <c r="K201" s="22" t="s">
        <v>313</v>
      </c>
      <c r="L201" s="33" t="str">
        <f aca="false">IF($B201="","",IF(NOT(ISNUMBER($B201)),"日期格式不对",IF($C201="","未选项目编号",IF(LEFT($M201,1)="⚠","项目编号不存在",IF($D201="","未选业务类型",IF($E201="","未选开票/付款方",IF(ISNA(MATCH($E201,单位档案!$A$6:$A$35,0)),"开票方不在单位档案",IF($F201="","未选收票/收款方",IF(ISNA(MATCH($F201,单位档案!$A$6:$A$35,0)),"收款方不在单位档案",IF(NOT(ISNUMBER($H201)),"金额须为数字",IF(AND($D201="销项开票",$N201="—"),"链条待确认","√")))))))))))</f>
        <v>√</v>
      </c>
      <c r="M201" s="34" t="str">
        <f aca="false">IF($C201="","",IFERROR(INDEX(项目档案!$B$6:$B$255,MATCH($C201,项目档案!$A$6:$A$255,0)),"⚠项目编号不存在"))</f>
        <v>铜梁公司2026年配电专业应急抢修抢险等外包项目（黄荆4社等台区4个隐患治理项目、三湾1.2社等台区2个应急抢修项目)</v>
      </c>
      <c r="N201" s="35" t="str">
        <f aca="false">IF($E201="","",IF($E201=IFERROR(INDEX(项目档案!$D$6:$D$255,MATCH($C201,项目档案!$A$6:$A$255,0)),""),"一级",IF($E201=IFERROR(INDEX(项目档案!$F$6:$F$255,MATCH($C201,项目档案!$A$6:$A$255,0)),""),"二级",IF($E201=IFERROR(INDEX(项目档案!$H$6:$H$255,MATCH($C201,项目档案!$A$6:$A$255,0)),""),"我方","—"))))</f>
        <v>—</v>
      </c>
      <c r="O201" s="36" t="n">
        <f aca="false">IF($D201&lt;&gt;"销项开票",0,ROUND(N($H201)*N($I201),2))</f>
        <v>0</v>
      </c>
      <c r="P201" s="36" t="n">
        <f aca="false">IF($D201&lt;&gt;"销项开票",0,ROUND(N($H201)-$O201,2))</f>
        <v>0</v>
      </c>
      <c r="Q201" s="37" t="n">
        <f aca="false">IF($E201="","",N(IFERROR(INDEX(单位档案!$E$6:$E$35,MATCH($E201,单位档案!$A$6:$A$35,0)),"")))</f>
        <v>0.13</v>
      </c>
      <c r="R201" s="37" t="n">
        <f aca="false">IF($E201="","",N(IFERROR(INDEX(单位档案!$F$6:$F$35,MATCH($E201,单位档案!$A$6:$A$35,0)),"")))</f>
        <v>0</v>
      </c>
      <c r="S201" s="36" t="n">
        <f aca="false">IF(OR($D201&lt;&gt;"销项开票",IFERROR(INDEX(单位档案!$G$6:$G$35,MATCH($E201,单位档案!$A$6:$A$35,0)),"")&lt;&gt;"是",N($Q201)=0),0,IF(IFERROR(INDEX(单位档案!$H$6:$H$35,MATCH($E201,单位档案!$A$6:$A$35,0)),"")="税差法",ROUND(N($H201)/(1+$Q201)*$Q201-IF(N($R201)=0,0,$P201/(1+$R201)*$R201),2),ROUND(N($H201)/(1+$Q201)*$Q201,2)))</f>
        <v>0</v>
      </c>
      <c r="T201" s="36" t="n">
        <f aca="false">ROUND($S201*N(IFERROR(INDEX(单位档案!$J$6:$J$35,MATCH($E201,单位档案!$A$6:$A$35,0)),"")),2)</f>
        <v>0</v>
      </c>
      <c r="U201" s="36" t="n">
        <f aca="false">IF($D201&lt;&gt;"销项开票",0,ROUND(N($H201)*N(IFERROR(INDEX(单位档案!$K$6:$K$35,MATCH($E201,单位档案!$A$6:$A$35,0)),"")),2))</f>
        <v>0</v>
      </c>
      <c r="V201" s="36" t="n">
        <f aca="false">IF(OR($D201&lt;&gt;"销项开票",N($Q201)=0),0,ROUND(N($H201)/(1+$Q201)*N(IFERROR(INDEX(单位档案!$L$6:$L$35,MATCH($E201,单位档案!$A$6:$A$35,0)),"")),2))</f>
        <v>0</v>
      </c>
      <c r="W201" s="36" t="n">
        <f aca="false">ROUND($S201+$T201+$U201+$V201,2)</f>
        <v>0</v>
      </c>
      <c r="X201" s="35" t="str">
        <f aca="false">IF(OR($D201="挂靠代收",$D201="我方收款"),COUNTIFS($D$5:$D201,"挂靠代收")+COUNTIFS($D$5:$D201,"我方收款"),"")</f>
        <v/>
      </c>
      <c r="Y201" s="35" t="s">
        <v>106</v>
      </c>
      <c r="Z201" s="21" t="s">
        <v>111</v>
      </c>
    </row>
    <row r="202" customFormat="false" ht="15.75" hidden="false" customHeight="true" outlineLevel="0" collapsed="false">
      <c r="A202" s="32" t="n">
        <f aca="false">IF($B202="","",ROW()-4)</f>
        <v>198</v>
      </c>
      <c r="B202" s="26" t="n">
        <v>46198</v>
      </c>
      <c r="C202" s="24" t="s">
        <v>199</v>
      </c>
      <c r="D202" s="21" t="s">
        <v>357</v>
      </c>
      <c r="E202" s="21" t="s">
        <v>131</v>
      </c>
      <c r="F202" s="21" t="s">
        <v>106</v>
      </c>
      <c r="G202" s="24" t="s">
        <v>308</v>
      </c>
      <c r="H202" s="27" t="n">
        <v>2476.45</v>
      </c>
      <c r="I202" s="23" t="str">
        <f aca="false">IF($D202&lt;&gt;"销项开票","",IF($N202="一级",IF(IFERROR(INDEX(项目档案!$E$6:$E$255,MATCH($C202,项目档案!$A$6:$A$255,0)),"")="",N(IFERROR(INDEX(单位档案!$D$6:$D$35,MATCH($E202,单位档案!$A$6:$A$35,0)),"")),IFERROR(INDEX(项目档案!$E$6:$E$255,MATCH($C202,项目档案!$A$6:$A$255,0)),"")),IF($N202="二级",IF(IFERROR(INDEX(项目档案!$G$6:$G$255,MATCH($C202,项目档案!$A$6:$A$255,0)),"")="",N(IFERROR(INDEX(单位档案!$D$6:$D$35,MATCH($E202,单位档案!$A$6:$A$35,0)),"")),IFERROR(INDEX(项目档案!$G$6:$G$255,MATCH($C202,项目档案!$A$6:$A$255,0)),"")),N(IFERROR(INDEX(单位档案!$D$6:$D$35,MATCH($E202,单位档案!$A$6:$A$35,0)),"")))))</f>
        <v/>
      </c>
      <c r="J202" s="25" t="s">
        <v>491</v>
      </c>
      <c r="K202" s="22" t="s">
        <v>313</v>
      </c>
      <c r="L202" s="33" t="str">
        <f aca="false">IF($B202="","",IF(NOT(ISNUMBER($B202)),"日期格式不对",IF($C202="","未选项目编号",IF(LEFT($M202,1)="⚠","项目编号不存在",IF($D202="","未选业务类型",IF($E202="","未选开票/付款方",IF(ISNA(MATCH($E202,单位档案!$A$6:$A$35,0)),"开票方不在单位档案",IF($F202="","未选收票/收款方",IF(ISNA(MATCH($F202,单位档案!$A$6:$A$35,0)),"收款方不在单位档案",IF(NOT(ISNUMBER($H202)),"金额须为数字",IF(AND($D202="销项开票",$N202="—"),"链条待确认","√")))))))))))</f>
        <v>√</v>
      </c>
      <c r="M202" s="34" t="str">
        <f aca="false">IF($C202="","",IFERROR(INDEX(项目档案!$B$6:$B$255,MATCH($C202,项目档案!$A$6:$A$255,0)),"⚠项目编号不存在"))</f>
        <v>铜梁公司2026年配电专业应急抢修抢险等外包项目（黄荆4社等台区4个隐患治理项目、三湾1.2社等台区2个应急抢修项目)</v>
      </c>
      <c r="N202" s="35" t="str">
        <f aca="false">IF($E202="","",IF($E202=IFERROR(INDEX(项目档案!$D$6:$D$255,MATCH($C202,项目档案!$A$6:$A$255,0)),""),"一级",IF($E202=IFERROR(INDEX(项目档案!$F$6:$F$255,MATCH($C202,项目档案!$A$6:$A$255,0)),""),"二级",IF($E202=IFERROR(INDEX(项目档案!$H$6:$H$255,MATCH($C202,项目档案!$A$6:$A$255,0)),""),"我方","—"))))</f>
        <v>—</v>
      </c>
      <c r="O202" s="36" t="n">
        <f aca="false">IF($D202&lt;&gt;"销项开票",0,ROUND(N($H202)*N($I202),2))</f>
        <v>0</v>
      </c>
      <c r="P202" s="36" t="n">
        <f aca="false">IF($D202&lt;&gt;"销项开票",0,ROUND(N($H202)-$O202,2))</f>
        <v>0</v>
      </c>
      <c r="Q202" s="37" t="n">
        <f aca="false">IF($E202="","",N(IFERROR(INDEX(单位档案!$E$6:$E$35,MATCH($E202,单位档案!$A$6:$A$35,0)),"")))</f>
        <v>0.13</v>
      </c>
      <c r="R202" s="37" t="n">
        <f aca="false">IF($E202="","",N(IFERROR(INDEX(单位档案!$F$6:$F$35,MATCH($E202,单位档案!$A$6:$A$35,0)),"")))</f>
        <v>0</v>
      </c>
      <c r="S202" s="36" t="n">
        <f aca="false">IF(OR($D202&lt;&gt;"销项开票",IFERROR(INDEX(单位档案!$G$6:$G$35,MATCH($E202,单位档案!$A$6:$A$35,0)),"")&lt;&gt;"是",N($Q202)=0),0,IF(IFERROR(INDEX(单位档案!$H$6:$H$35,MATCH($E202,单位档案!$A$6:$A$35,0)),"")="税差法",ROUND(N($H202)/(1+$Q202)*$Q202-IF(N($R202)=0,0,$P202/(1+$R202)*$R202),2),ROUND(N($H202)/(1+$Q202)*$Q202,2)))</f>
        <v>0</v>
      </c>
      <c r="T202" s="36" t="n">
        <f aca="false">ROUND($S202*N(IFERROR(INDEX(单位档案!$J$6:$J$35,MATCH($E202,单位档案!$A$6:$A$35,0)),"")),2)</f>
        <v>0</v>
      </c>
      <c r="U202" s="36" t="n">
        <f aca="false">IF($D202&lt;&gt;"销项开票",0,ROUND(N($H202)*N(IFERROR(INDEX(单位档案!$K$6:$K$35,MATCH($E202,单位档案!$A$6:$A$35,0)),"")),2))</f>
        <v>0</v>
      </c>
      <c r="V202" s="36" t="n">
        <f aca="false">IF(OR($D202&lt;&gt;"销项开票",N($Q202)=0),0,ROUND(N($H202)/(1+$Q202)*N(IFERROR(INDEX(单位档案!$L$6:$L$35,MATCH($E202,单位档案!$A$6:$A$35,0)),"")),2))</f>
        <v>0</v>
      </c>
      <c r="W202" s="36" t="n">
        <f aca="false">ROUND($S202+$T202+$U202+$V202,2)</f>
        <v>0</v>
      </c>
      <c r="X202" s="35" t="str">
        <f aca="false">IF(OR($D202="挂靠代收",$D202="我方收款"),COUNTIFS($D$5:$D202,"挂靠代收")+COUNTIFS($D$5:$D202,"我方收款"),"")</f>
        <v/>
      </c>
      <c r="Y202" s="35" t="s">
        <v>106</v>
      </c>
      <c r="Z202" s="21" t="s">
        <v>111</v>
      </c>
    </row>
    <row r="203" customFormat="false" ht="15.75" hidden="false" customHeight="true" outlineLevel="0" collapsed="false">
      <c r="A203" s="32" t="n">
        <f aca="false">IF($B203="","",ROW()-4)</f>
        <v>199</v>
      </c>
      <c r="B203" s="26" t="n">
        <v>46198</v>
      </c>
      <c r="C203" s="24" t="s">
        <v>209</v>
      </c>
      <c r="D203" s="21" t="s">
        <v>307</v>
      </c>
      <c r="E203" s="21" t="s">
        <v>110</v>
      </c>
      <c r="F203" s="21" t="s">
        <v>97</v>
      </c>
      <c r="G203" s="21" t="s">
        <v>354</v>
      </c>
      <c r="H203" s="27" t="n">
        <v>5752.4</v>
      </c>
      <c r="I203" s="23" t="n">
        <v>0.040001</v>
      </c>
      <c r="J203" s="25" t="s">
        <v>492</v>
      </c>
      <c r="K203" s="22" t="s">
        <v>313</v>
      </c>
      <c r="L203" s="33" t="str">
        <f aca="false">IF($B203="","",IF(NOT(ISNUMBER($B203)),"日期格式不对",IF($C203="","未选项目编号",IF(LEFT($M203,1)="⚠","项目编号不存在",IF($D203="","未选业务类型",IF($E203="","未选开票/付款方",IF(ISNA(MATCH($E203,单位档案!$A$6:$A$35,0)),"开票方不在单位档案",IF($F203="","未选收票/收款方",IF(ISNA(MATCH($F203,单位档案!$A$6:$A$35,0)),"收款方不在单位档案",IF(NOT(ISNUMBER($H203)),"金额须为数字",IF(AND($D203="销项开票",$N203="—"),"链条待确认","√")))))))))))</f>
        <v>链条待确认</v>
      </c>
      <c r="M203" s="34" t="str">
        <f aca="false">IF($C203="","",IFERROR(INDEX(项目档案!$B$6:$B$255,MATCH($C203,项目档案!$A$6:$A$255,0)),"⚠项目编号不存在"))</f>
        <v>重庆铜梁10kV梧桐村4.5.6社台区重过载治理工程等23个项目(2025年配网6批、业扩5批德誉佳施工)(重庆铜梁10kV侣新线铜安1社台区重过载治理工程)</v>
      </c>
      <c r="N203" s="35" t="str">
        <f aca="false">IF($E203="","",IF($E203=IFERROR(INDEX(项目档案!$D$6:$D$255,MATCH($C203,项目档案!$A$6:$A$255,0)),""),"一级",IF($E203=IFERROR(INDEX(项目档案!$F$6:$F$255,MATCH($C203,项目档案!$A$6:$A$255,0)),""),"二级",IF($E203=IFERROR(INDEX(项目档案!$H$6:$H$255,MATCH($C203,项目档案!$A$6:$A$255,0)),""),"我方","—"))))</f>
        <v>—</v>
      </c>
      <c r="O203" s="36" t="n">
        <f aca="false">IF($D203&lt;&gt;"销项开票",0,ROUND(N($H203)*N($I203),2))</f>
        <v>230.1</v>
      </c>
      <c r="P203" s="36" t="n">
        <f aca="false">IF($D203&lt;&gt;"销项开票",0,ROUND(N($H203)-$O203,2))</f>
        <v>5522.3</v>
      </c>
      <c r="Q203" s="37" t="n">
        <f aca="false">IF($E203="","",N(IFERROR(INDEX(单位档案!$E$6:$E$35,MATCH($E203,单位档案!$A$6:$A$35,0)),"")))</f>
        <v>0.09</v>
      </c>
      <c r="R203" s="37" t="n">
        <f aca="false">IF($E203="","",N(IFERROR(INDEX(单位档案!$F$6:$F$35,MATCH($E203,单位档案!$A$6:$A$35,0)),"")))</f>
        <v>0.03</v>
      </c>
      <c r="S203" s="36" t="n">
        <f aca="false">IF(OR($D203&lt;&gt;"销项开票",IFERROR(INDEX(单位档案!$G$6:$G$35,MATCH($E203,单位档案!$A$6:$A$35,0)),"")&lt;&gt;"是",N($Q203)=0),0,IF(IFERROR(INDEX(单位档案!$H$6:$H$35,MATCH($E203,单位档案!$A$6:$A$35,0)),"")="税差法",ROUND(N($H203)/(1+$Q203)*$Q203-IF(N($R203)=0,0,$P203/(1+$R203)*$R203),2),ROUND(N($H203)/(1+$Q203)*$Q203,2)))</f>
        <v>314.13</v>
      </c>
      <c r="T203" s="36" t="n">
        <f aca="false">ROUND($S203*N(IFERROR(INDEX(单位档案!$J$6:$J$35,MATCH($E203,单位档案!$A$6:$A$35,0)),"")),2)</f>
        <v>37.7</v>
      </c>
      <c r="U203" s="36" t="n">
        <f aca="false">IF($D203&lt;&gt;"销项开票",0,ROUND(N($H203)*N(IFERROR(INDEX(单位档案!$K$6:$K$35,MATCH($E203,单位档案!$A$6:$A$35,0)),"")),2))</f>
        <v>3.38</v>
      </c>
      <c r="V203" s="36" t="n">
        <f aca="false">IF(OR($D203&lt;&gt;"销项开票",N($Q203)=0),0,ROUND(N($H203)/(1+$Q203)*N(IFERROR(INDEX(单位档案!$L$6:$L$35,MATCH($E203,单位档案!$A$6:$A$35,0)),"")),2))</f>
        <v>0</v>
      </c>
      <c r="W203" s="36" t="n">
        <f aca="false">ROUND($S203+$T203+$U203+$V203,2)</f>
        <v>355.21</v>
      </c>
      <c r="X203" s="35" t="str">
        <f aca="false">IF(OR($D203="挂靠代收",$D203="我方收款"),COUNTIFS($D$5:$D203,"挂靠代收")+COUNTIFS($D$5:$D203,"我方收款"),"")</f>
        <v/>
      </c>
      <c r="Y203" s="35" t="s">
        <v>110</v>
      </c>
      <c r="Z203" s="21" t="s">
        <v>111</v>
      </c>
    </row>
    <row r="204" customFormat="false" ht="15.75" hidden="false" customHeight="true" outlineLevel="0" collapsed="false">
      <c r="A204" s="32" t="n">
        <f aca="false">IF($B204="","",ROW()-4)</f>
        <v>200</v>
      </c>
      <c r="B204" s="26" t="n">
        <v>46198</v>
      </c>
      <c r="C204" s="24" t="s">
        <v>212</v>
      </c>
      <c r="D204" s="21" t="s">
        <v>307</v>
      </c>
      <c r="E204" s="21" t="s">
        <v>110</v>
      </c>
      <c r="F204" s="21" t="s">
        <v>97</v>
      </c>
      <c r="G204" s="21" t="s">
        <v>354</v>
      </c>
      <c r="H204" s="27" t="n">
        <v>3861.2</v>
      </c>
      <c r="I204" s="23" t="n">
        <v>0.040001</v>
      </c>
      <c r="J204" s="25" t="s">
        <v>493</v>
      </c>
      <c r="K204" s="22" t="s">
        <v>313</v>
      </c>
      <c r="L204" s="33" t="str">
        <f aca="false">IF($B204="","",IF(NOT(ISNUMBER($B204)),"日期格式不对",IF($C204="","未选项目编号",IF(LEFT($M204,1)="⚠","项目编号不存在",IF($D204="","未选业务类型",IF($E204="","未选开票/付款方",IF(ISNA(MATCH($E204,单位档案!$A$6:$A$35,0)),"开票方不在单位档案",IF($F204="","未选收票/收款方",IF(ISNA(MATCH($F204,单位档案!$A$6:$A$35,0)),"收款方不在单位档案",IF(NOT(ISNUMBER($H204)),"金额须为数字",IF(AND($D204="销项开票",$N204="—"),"链条待确认","√")))))))))))</f>
        <v>链条待确认</v>
      </c>
      <c r="M204" s="34" t="str">
        <f aca="false">IF($C204="","",IFERROR(INDEX(项目档案!$B$6:$B$255,MATCH($C204,项目档案!$A$6:$A$255,0)),"⚠项目编号不存在"))</f>
        <v>重庆铜梁10kV梧桐村4.5.6社台区重过载治理工程等23个项目(2025年配网6批、业扩5批德誉佳施工)(重庆铜梁10kV侣新线铜安9社台区重过载治理工程)</v>
      </c>
      <c r="N204" s="35" t="str">
        <f aca="false">IF($E204="","",IF($E204=IFERROR(INDEX(项目档案!$D$6:$D$255,MATCH($C204,项目档案!$A$6:$A$255,0)),""),"一级",IF($E204=IFERROR(INDEX(项目档案!$F$6:$F$255,MATCH($C204,项目档案!$A$6:$A$255,0)),""),"二级",IF($E204=IFERROR(INDEX(项目档案!$H$6:$H$255,MATCH($C204,项目档案!$A$6:$A$255,0)),""),"我方","—"))))</f>
        <v>—</v>
      </c>
      <c r="O204" s="36" t="n">
        <f aca="false">IF($D204&lt;&gt;"销项开票",0,ROUND(N($H204)*N($I204),2))</f>
        <v>154.45</v>
      </c>
      <c r="P204" s="36" t="n">
        <f aca="false">IF($D204&lt;&gt;"销项开票",0,ROUND(N($H204)-$O204,2))</f>
        <v>3706.75</v>
      </c>
      <c r="Q204" s="37" t="n">
        <f aca="false">IF($E204="","",N(IFERROR(INDEX(单位档案!$E$6:$E$35,MATCH($E204,单位档案!$A$6:$A$35,0)),"")))</f>
        <v>0.09</v>
      </c>
      <c r="R204" s="37" t="n">
        <f aca="false">IF($E204="","",N(IFERROR(INDEX(单位档案!$F$6:$F$35,MATCH($E204,单位档案!$A$6:$A$35,0)),"")))</f>
        <v>0.03</v>
      </c>
      <c r="S204" s="36" t="n">
        <f aca="false">IF(OR($D204&lt;&gt;"销项开票",IFERROR(INDEX(单位档案!$G$6:$G$35,MATCH($E204,单位档案!$A$6:$A$35,0)),"")&lt;&gt;"是",N($Q204)=0),0,IF(IFERROR(INDEX(单位档案!$H$6:$H$35,MATCH($E204,单位档案!$A$6:$A$35,0)),"")="税差法",ROUND(N($H204)/(1+$Q204)*$Q204-IF(N($R204)=0,0,$P204/(1+$R204)*$R204),2),ROUND(N($H204)/(1+$Q204)*$Q204,2)))</f>
        <v>210.85</v>
      </c>
      <c r="T204" s="36" t="n">
        <f aca="false">ROUND($S204*N(IFERROR(INDEX(单位档案!$J$6:$J$35,MATCH($E204,单位档案!$A$6:$A$35,0)),"")),2)</f>
        <v>25.3</v>
      </c>
      <c r="U204" s="36" t="n">
        <f aca="false">IF($D204&lt;&gt;"销项开票",0,ROUND(N($H204)*N(IFERROR(INDEX(单位档案!$K$6:$K$35,MATCH($E204,单位档案!$A$6:$A$35,0)),"")),2))</f>
        <v>2.27</v>
      </c>
      <c r="V204" s="36" t="n">
        <f aca="false">IF(OR($D204&lt;&gt;"销项开票",N($Q204)=0),0,ROUND(N($H204)/(1+$Q204)*N(IFERROR(INDEX(单位档案!$L$6:$L$35,MATCH($E204,单位档案!$A$6:$A$35,0)),"")),2))</f>
        <v>0</v>
      </c>
      <c r="W204" s="36" t="n">
        <f aca="false">ROUND($S204+$T204+$U204+$V204,2)</f>
        <v>238.42</v>
      </c>
      <c r="X204" s="35" t="str">
        <f aca="false">IF(OR($D204="挂靠代收",$D204="我方收款"),COUNTIFS($D$5:$D204,"挂靠代收")+COUNTIFS($D$5:$D204,"我方收款"),"")</f>
        <v/>
      </c>
      <c r="Y204" s="35" t="s">
        <v>110</v>
      </c>
      <c r="Z204" s="21" t="s">
        <v>111</v>
      </c>
    </row>
    <row r="205" customFormat="false" ht="15.75" hidden="false" customHeight="true" outlineLevel="0" collapsed="false">
      <c r="A205" s="32" t="n">
        <f aca="false">IF($B205="","",ROW()-4)</f>
        <v>201</v>
      </c>
      <c r="B205" s="26" t="n">
        <v>46198</v>
      </c>
      <c r="C205" s="24" t="s">
        <v>214</v>
      </c>
      <c r="D205" s="21" t="s">
        <v>307</v>
      </c>
      <c r="E205" s="21" t="s">
        <v>110</v>
      </c>
      <c r="F205" s="21" t="s">
        <v>97</v>
      </c>
      <c r="G205" s="21" t="s">
        <v>354</v>
      </c>
      <c r="H205" s="27" t="n">
        <v>1615.4</v>
      </c>
      <c r="I205" s="23" t="n">
        <v>0.040002</v>
      </c>
      <c r="J205" s="25" t="s">
        <v>494</v>
      </c>
      <c r="K205" s="22" t="s">
        <v>313</v>
      </c>
      <c r="L205" s="33" t="str">
        <f aca="false">IF($B205="","",IF(NOT(ISNUMBER($B205)),"日期格式不对",IF($C205="","未选项目编号",IF(LEFT($M205,1)="⚠","项目编号不存在",IF($D205="","未选业务类型",IF($E205="","未选开票/付款方",IF(ISNA(MATCH($E205,单位档案!$A$6:$A$35,0)),"开票方不在单位档案",IF($F205="","未选收票/收款方",IF(ISNA(MATCH($F205,单位档案!$A$6:$A$35,0)),"收款方不在单位档案",IF(NOT(ISNUMBER($H205)),"金额须为数字",IF(AND($D205="销项开票",$N205="—"),"链条待确认","√")))))))))))</f>
        <v>链条待确认</v>
      </c>
      <c r="M205" s="34" t="str">
        <f aca="false">IF($C205="","",IFERROR(INDEX(项目档案!$B$6:$B$255,MATCH($C205,项目档案!$A$6:$A$255,0)),"⚠项目编号不存在"))</f>
        <v>重庆铜梁10kV梧桐村4.5.6社台区重过载治理工程等23个项目(2025年配网6批、业扩5批德誉佳施工)(重庆铜梁10kV平双线群益7社台区重过载治理工程)</v>
      </c>
      <c r="N205" s="35" t="str">
        <f aca="false">IF($E205="","",IF($E205=IFERROR(INDEX(项目档案!$D$6:$D$255,MATCH($C205,项目档案!$A$6:$A$255,0)),""),"一级",IF($E205=IFERROR(INDEX(项目档案!$F$6:$F$255,MATCH($C205,项目档案!$A$6:$A$255,0)),""),"二级",IF($E205=IFERROR(INDEX(项目档案!$H$6:$H$255,MATCH($C205,项目档案!$A$6:$A$255,0)),""),"我方","—"))))</f>
        <v>—</v>
      </c>
      <c r="O205" s="36" t="n">
        <f aca="false">IF($D205&lt;&gt;"销项开票",0,ROUND(N($H205)*N($I205),2))</f>
        <v>64.62</v>
      </c>
      <c r="P205" s="36" t="n">
        <f aca="false">IF($D205&lt;&gt;"销项开票",0,ROUND(N($H205)-$O205,2))</f>
        <v>1550.78</v>
      </c>
      <c r="Q205" s="37" t="n">
        <f aca="false">IF($E205="","",N(IFERROR(INDEX(单位档案!$E$6:$E$35,MATCH($E205,单位档案!$A$6:$A$35,0)),"")))</f>
        <v>0.09</v>
      </c>
      <c r="R205" s="37" t="n">
        <f aca="false">IF($E205="","",N(IFERROR(INDEX(单位档案!$F$6:$F$35,MATCH($E205,单位档案!$A$6:$A$35,0)),"")))</f>
        <v>0.03</v>
      </c>
      <c r="S205" s="36" t="n">
        <f aca="false">IF(OR($D205&lt;&gt;"销项开票",IFERROR(INDEX(单位档案!$G$6:$G$35,MATCH($E205,单位档案!$A$6:$A$35,0)),"")&lt;&gt;"是",N($Q205)=0),0,IF(IFERROR(INDEX(单位档案!$H$6:$H$35,MATCH($E205,单位档案!$A$6:$A$35,0)),"")="税差法",ROUND(N($H205)/(1+$Q205)*$Q205-IF(N($R205)=0,0,$P205/(1+$R205)*$R205),2),ROUND(N($H205)/(1+$Q205)*$Q205,2)))</f>
        <v>88.21</v>
      </c>
      <c r="T205" s="36" t="n">
        <f aca="false">ROUND($S205*N(IFERROR(INDEX(单位档案!$J$6:$J$35,MATCH($E205,单位档案!$A$6:$A$35,0)),"")),2)</f>
        <v>10.59</v>
      </c>
      <c r="U205" s="36" t="n">
        <f aca="false">IF($D205&lt;&gt;"销项开票",0,ROUND(N($H205)*N(IFERROR(INDEX(单位档案!$K$6:$K$35,MATCH($E205,单位档案!$A$6:$A$35,0)),"")),2))</f>
        <v>0.95</v>
      </c>
      <c r="V205" s="36" t="n">
        <f aca="false">IF(OR($D205&lt;&gt;"销项开票",N($Q205)=0),0,ROUND(N($H205)/(1+$Q205)*N(IFERROR(INDEX(单位档案!$L$6:$L$35,MATCH($E205,单位档案!$A$6:$A$35,0)),"")),2))</f>
        <v>0</v>
      </c>
      <c r="W205" s="36" t="n">
        <f aca="false">ROUND($S205+$T205+$U205+$V205,2)</f>
        <v>99.75</v>
      </c>
      <c r="X205" s="35" t="str">
        <f aca="false">IF(OR($D205="挂靠代收",$D205="我方收款"),COUNTIFS($D$5:$D205,"挂靠代收")+COUNTIFS($D$5:$D205,"我方收款"),"")</f>
        <v/>
      </c>
      <c r="Y205" s="35" t="s">
        <v>110</v>
      </c>
      <c r="Z205" s="21" t="s">
        <v>111</v>
      </c>
    </row>
    <row r="206" customFormat="false" ht="15.75" hidden="false" customHeight="true" outlineLevel="0" collapsed="false">
      <c r="A206" s="32" t="n">
        <f aca="false">IF($B206="","",ROW()-4)</f>
        <v>202</v>
      </c>
      <c r="B206" s="26" t="n">
        <v>46198</v>
      </c>
      <c r="C206" s="24" t="s">
        <v>216</v>
      </c>
      <c r="D206" s="21" t="s">
        <v>307</v>
      </c>
      <c r="E206" s="21" t="s">
        <v>110</v>
      </c>
      <c r="F206" s="21" t="s">
        <v>97</v>
      </c>
      <c r="G206" s="21" t="s">
        <v>354</v>
      </c>
      <c r="H206" s="27" t="n">
        <v>2245.8</v>
      </c>
      <c r="I206" s="23" t="n">
        <v>0.039999</v>
      </c>
      <c r="J206" s="25" t="s">
        <v>495</v>
      </c>
      <c r="K206" s="22" t="s">
        <v>313</v>
      </c>
      <c r="L206" s="33" t="str">
        <f aca="false">IF($B206="","",IF(NOT(ISNUMBER($B206)),"日期格式不对",IF($C206="","未选项目编号",IF(LEFT($M206,1)="⚠","项目编号不存在",IF($D206="","未选业务类型",IF($E206="","未选开票/付款方",IF(ISNA(MATCH($E206,单位档案!$A$6:$A$35,0)),"开票方不在单位档案",IF($F206="","未选收票/收款方",IF(ISNA(MATCH($F206,单位档案!$A$6:$A$35,0)),"收款方不在单位档案",IF(NOT(ISNUMBER($H206)),"金额须为数字",IF(AND($D206="销项开票",$N206="—"),"链条待确认","√")))))))))))</f>
        <v>链条待确认</v>
      </c>
      <c r="M206" s="34" t="str">
        <f aca="false">IF($C206="","",IFERROR(INDEX(项目档案!$B$6:$B$255,MATCH($C206,项目档案!$A$6:$A$255,0)),"⚠项目编号不存在"))</f>
        <v>重庆铜梁10kV梧桐村4.5.6社台区重过载治理工程等23个项目(2025年配网6批、业扩5批德誉佳施工)(重庆铜梁10kV平镇线新桥社台区重过载治理工程)</v>
      </c>
      <c r="N206" s="35" t="str">
        <f aca="false">IF($E206="","",IF($E206=IFERROR(INDEX(项目档案!$D$6:$D$255,MATCH($C206,项目档案!$A$6:$A$255,0)),""),"一级",IF($E206=IFERROR(INDEX(项目档案!$F$6:$F$255,MATCH($C206,项目档案!$A$6:$A$255,0)),""),"二级",IF($E206=IFERROR(INDEX(项目档案!$H$6:$H$255,MATCH($C206,项目档案!$A$6:$A$255,0)),""),"我方","—"))))</f>
        <v>—</v>
      </c>
      <c r="O206" s="36" t="n">
        <f aca="false">IF($D206&lt;&gt;"销项开票",0,ROUND(N($H206)*N($I206),2))</f>
        <v>89.83</v>
      </c>
      <c r="P206" s="36" t="n">
        <f aca="false">IF($D206&lt;&gt;"销项开票",0,ROUND(N($H206)-$O206,2))</f>
        <v>2155.97</v>
      </c>
      <c r="Q206" s="37" t="n">
        <f aca="false">IF($E206="","",N(IFERROR(INDEX(单位档案!$E$6:$E$35,MATCH($E206,单位档案!$A$6:$A$35,0)),"")))</f>
        <v>0.09</v>
      </c>
      <c r="R206" s="37" t="n">
        <f aca="false">IF($E206="","",N(IFERROR(INDEX(单位档案!$F$6:$F$35,MATCH($E206,单位档案!$A$6:$A$35,0)),"")))</f>
        <v>0.03</v>
      </c>
      <c r="S206" s="36" t="n">
        <f aca="false">IF(OR($D206&lt;&gt;"销项开票",IFERROR(INDEX(单位档案!$G$6:$G$35,MATCH($E206,单位档案!$A$6:$A$35,0)),"")&lt;&gt;"是",N($Q206)=0),0,IF(IFERROR(INDEX(单位档案!$H$6:$H$35,MATCH($E206,单位档案!$A$6:$A$35,0)),"")="税差法",ROUND(N($H206)/(1+$Q206)*$Q206-IF(N($R206)=0,0,$P206/(1+$R206)*$R206),2),ROUND(N($H206)/(1+$Q206)*$Q206,2)))</f>
        <v>122.64</v>
      </c>
      <c r="T206" s="36" t="n">
        <f aca="false">ROUND($S206*N(IFERROR(INDEX(单位档案!$J$6:$J$35,MATCH($E206,单位档案!$A$6:$A$35,0)),"")),2)</f>
        <v>14.72</v>
      </c>
      <c r="U206" s="36" t="n">
        <f aca="false">IF($D206&lt;&gt;"销项开票",0,ROUND(N($H206)*N(IFERROR(INDEX(单位档案!$K$6:$K$35,MATCH($E206,单位档案!$A$6:$A$35,0)),"")),2))</f>
        <v>1.32</v>
      </c>
      <c r="V206" s="36" t="n">
        <f aca="false">IF(OR($D206&lt;&gt;"销项开票",N($Q206)=0),0,ROUND(N($H206)/(1+$Q206)*N(IFERROR(INDEX(单位档案!$L$6:$L$35,MATCH($E206,单位档案!$A$6:$A$35,0)),"")),2))</f>
        <v>0</v>
      </c>
      <c r="W206" s="36" t="n">
        <f aca="false">ROUND($S206+$T206+$U206+$V206,2)</f>
        <v>138.68</v>
      </c>
      <c r="X206" s="35" t="str">
        <f aca="false">IF(OR($D206="挂靠代收",$D206="我方收款"),COUNTIFS($D$5:$D206,"挂靠代收")+COUNTIFS($D$5:$D206,"我方收款"),"")</f>
        <v/>
      </c>
      <c r="Y206" s="35" t="s">
        <v>110</v>
      </c>
      <c r="Z206" s="21" t="s">
        <v>111</v>
      </c>
    </row>
    <row r="207" customFormat="false" ht="15.75" hidden="false" customHeight="true" outlineLevel="0" collapsed="false">
      <c r="A207" s="32" t="n">
        <f aca="false">IF($B207="","",ROW()-4)</f>
        <v>203</v>
      </c>
      <c r="B207" s="26" t="n">
        <v>46198</v>
      </c>
      <c r="C207" s="24" t="s">
        <v>218</v>
      </c>
      <c r="D207" s="21" t="s">
        <v>307</v>
      </c>
      <c r="E207" s="21" t="s">
        <v>110</v>
      </c>
      <c r="F207" s="21" t="s">
        <v>97</v>
      </c>
      <c r="G207" s="21" t="s">
        <v>354</v>
      </c>
      <c r="H207" s="27" t="n">
        <v>2245.8</v>
      </c>
      <c r="I207" s="23" t="n">
        <v>0.039999</v>
      </c>
      <c r="J207" s="25" t="s">
        <v>496</v>
      </c>
      <c r="K207" s="22" t="s">
        <v>313</v>
      </c>
      <c r="L207" s="33" t="str">
        <f aca="false">IF($B207="","",IF(NOT(ISNUMBER($B207)),"日期格式不对",IF($C207="","未选项目编号",IF(LEFT($M207,1)="⚠","项目编号不存在",IF($D207="","未选业务类型",IF($E207="","未选开票/付款方",IF(ISNA(MATCH($E207,单位档案!$A$6:$A$35,0)),"开票方不在单位档案",IF($F207="","未选收票/收款方",IF(ISNA(MATCH($F207,单位档案!$A$6:$A$35,0)),"收款方不在单位档案",IF(NOT(ISNUMBER($H207)),"金额须为数字",IF(AND($D207="销项开票",$N207="—"),"链条待确认","√")))))))))))</f>
        <v>链条待确认</v>
      </c>
      <c r="M207" s="34" t="str">
        <f aca="false">IF($C207="","",IFERROR(INDEX(项目档案!$B$6:$B$255,MATCH($C207,项目档案!$A$6:$A$255,0)),"⚠项目编号不存在"))</f>
        <v>重庆铜梁10kV梧桐村4.5.6社台区重过载治理工程等23个项目(2025年配网6批、业扩5批德誉佳施工）(重庆铜梁10kV侣新线凤飞7社台区重过载治理工程)</v>
      </c>
      <c r="N207" s="35" t="str">
        <f aca="false">IF($E207="","",IF($E207=IFERROR(INDEX(项目档案!$D$6:$D$255,MATCH($C207,项目档案!$A$6:$A$255,0)),""),"一级",IF($E207=IFERROR(INDEX(项目档案!$F$6:$F$255,MATCH($C207,项目档案!$A$6:$A$255,0)),""),"二级",IF($E207=IFERROR(INDEX(项目档案!$H$6:$H$255,MATCH($C207,项目档案!$A$6:$A$255,0)),""),"我方","—"))))</f>
        <v>—</v>
      </c>
      <c r="O207" s="36" t="n">
        <f aca="false">IF($D207&lt;&gt;"销项开票",0,ROUND(N($H207)*N($I207),2))</f>
        <v>89.83</v>
      </c>
      <c r="P207" s="36" t="n">
        <f aca="false">IF($D207&lt;&gt;"销项开票",0,ROUND(N($H207)-$O207,2))</f>
        <v>2155.97</v>
      </c>
      <c r="Q207" s="37" t="n">
        <f aca="false">IF($E207="","",N(IFERROR(INDEX(单位档案!$E$6:$E$35,MATCH($E207,单位档案!$A$6:$A$35,0)),"")))</f>
        <v>0.09</v>
      </c>
      <c r="R207" s="37" t="n">
        <f aca="false">IF($E207="","",N(IFERROR(INDEX(单位档案!$F$6:$F$35,MATCH($E207,单位档案!$A$6:$A$35,0)),"")))</f>
        <v>0.03</v>
      </c>
      <c r="S207" s="36" t="n">
        <f aca="false">IF(OR($D207&lt;&gt;"销项开票",IFERROR(INDEX(单位档案!$G$6:$G$35,MATCH($E207,单位档案!$A$6:$A$35,0)),"")&lt;&gt;"是",N($Q207)=0),0,IF(IFERROR(INDEX(单位档案!$H$6:$H$35,MATCH($E207,单位档案!$A$6:$A$35,0)),"")="税差法",ROUND(N($H207)/(1+$Q207)*$Q207-IF(N($R207)=0,0,$P207/(1+$R207)*$R207),2),ROUND(N($H207)/(1+$Q207)*$Q207,2)))</f>
        <v>122.64</v>
      </c>
      <c r="T207" s="36" t="n">
        <f aca="false">ROUND($S207*N(IFERROR(INDEX(单位档案!$J$6:$J$35,MATCH($E207,单位档案!$A$6:$A$35,0)),"")),2)</f>
        <v>14.72</v>
      </c>
      <c r="U207" s="36" t="n">
        <f aca="false">IF($D207&lt;&gt;"销项开票",0,ROUND(N($H207)*N(IFERROR(INDEX(单位档案!$K$6:$K$35,MATCH($E207,单位档案!$A$6:$A$35,0)),"")),2))</f>
        <v>1.32</v>
      </c>
      <c r="V207" s="36" t="n">
        <f aca="false">IF(OR($D207&lt;&gt;"销项开票",N($Q207)=0),0,ROUND(N($H207)/(1+$Q207)*N(IFERROR(INDEX(单位档案!$L$6:$L$35,MATCH($E207,单位档案!$A$6:$A$35,0)),"")),2))</f>
        <v>0</v>
      </c>
      <c r="W207" s="36" t="n">
        <f aca="false">ROUND($S207+$T207+$U207+$V207,2)</f>
        <v>138.68</v>
      </c>
      <c r="X207" s="35" t="str">
        <f aca="false">IF(OR($D207="挂靠代收",$D207="我方收款"),COUNTIFS($D$5:$D207,"挂靠代收")+COUNTIFS($D$5:$D207,"我方收款"),"")</f>
        <v/>
      </c>
      <c r="Y207" s="35" t="s">
        <v>110</v>
      </c>
      <c r="Z207" s="21" t="s">
        <v>111</v>
      </c>
    </row>
    <row r="208" customFormat="false" ht="15.75" hidden="false" customHeight="true" outlineLevel="0" collapsed="false">
      <c r="A208" s="32" t="n">
        <f aca="false">IF($B208="","",ROW()-4)</f>
        <v>204</v>
      </c>
      <c r="B208" s="26" t="n">
        <v>46198</v>
      </c>
      <c r="C208" s="24" t="s">
        <v>199</v>
      </c>
      <c r="D208" s="21" t="s">
        <v>307</v>
      </c>
      <c r="E208" s="21" t="s">
        <v>110</v>
      </c>
      <c r="F208" s="21" t="s">
        <v>97</v>
      </c>
      <c r="G208" s="21" t="s">
        <v>354</v>
      </c>
      <c r="H208" s="27" t="n">
        <v>1930.6</v>
      </c>
      <c r="I208" s="23" t="n">
        <v>0.039998</v>
      </c>
      <c r="J208" s="25" t="s">
        <v>497</v>
      </c>
      <c r="K208" s="22" t="s">
        <v>313</v>
      </c>
      <c r="L208" s="33" t="str">
        <f aca="false">IF($B208="","",IF(NOT(ISNUMBER($B208)),"日期格式不对",IF($C208="","未选项目编号",IF(LEFT($M208,1)="⚠","项目编号不存在",IF($D208="","未选业务类型",IF($E208="","未选开票/付款方",IF(ISNA(MATCH($E208,单位档案!$A$6:$A$35,0)),"开票方不在单位档案",IF($F208="","未选收票/收款方",IF(ISNA(MATCH($F208,单位档案!$A$6:$A$35,0)),"收款方不在单位档案",IF(NOT(ISNUMBER($H208)),"金额须为数字",IF(AND($D208="销项开票",$N208="—"),"链条待确认","√")))))))))))</f>
        <v>链条待确认</v>
      </c>
      <c r="M208" s="34" t="str">
        <f aca="false">IF($C208="","",IFERROR(INDEX(项目档案!$B$6:$B$255,MATCH($C208,项目档案!$A$6:$A$255,0)),"⚠项目编号不存在"))</f>
        <v>铜梁公司2026年配电专业应急抢修抢险等外包项目（黄荆4社等台区4个隐患治理项目、三湾1.2社等台区2个应急抢修项目)</v>
      </c>
      <c r="N208" s="35" t="str">
        <f aca="false">IF($E208="","",IF($E208=IFERROR(INDEX(项目档案!$D$6:$D$255,MATCH($C208,项目档案!$A$6:$A$255,0)),""),"一级",IF($E208=IFERROR(INDEX(项目档案!$F$6:$F$255,MATCH($C208,项目档案!$A$6:$A$255,0)),""),"二级",IF($E208=IFERROR(INDEX(项目档案!$H$6:$H$255,MATCH($C208,项目档案!$A$6:$A$255,0)),""),"我方","—"))))</f>
        <v>—</v>
      </c>
      <c r="O208" s="36" t="n">
        <f aca="false">IF($D208&lt;&gt;"销项开票",0,ROUND(N($H208)*N($I208),2))</f>
        <v>77.22</v>
      </c>
      <c r="P208" s="36" t="n">
        <f aca="false">IF($D208&lt;&gt;"销项开票",0,ROUND(N($H208)-$O208,2))</f>
        <v>1853.38</v>
      </c>
      <c r="Q208" s="37" t="n">
        <f aca="false">IF($E208="","",N(IFERROR(INDEX(单位档案!$E$6:$E$35,MATCH($E208,单位档案!$A$6:$A$35,0)),"")))</f>
        <v>0.09</v>
      </c>
      <c r="R208" s="37" t="n">
        <f aca="false">IF($E208="","",N(IFERROR(INDEX(单位档案!$F$6:$F$35,MATCH($E208,单位档案!$A$6:$A$35,0)),"")))</f>
        <v>0.03</v>
      </c>
      <c r="S208" s="36" t="n">
        <f aca="false">IF(OR($D208&lt;&gt;"销项开票",IFERROR(INDEX(单位档案!$G$6:$G$35,MATCH($E208,单位档案!$A$6:$A$35,0)),"")&lt;&gt;"是",N($Q208)=0),0,IF(IFERROR(INDEX(单位档案!$H$6:$H$35,MATCH($E208,单位档案!$A$6:$A$35,0)),"")="税差法",ROUND(N($H208)/(1+$Q208)*$Q208-IF(N($R208)=0,0,$P208/(1+$R208)*$R208),2),ROUND(N($H208)/(1+$Q208)*$Q208,2)))</f>
        <v>105.43</v>
      </c>
      <c r="T208" s="36" t="n">
        <f aca="false">ROUND($S208*N(IFERROR(INDEX(单位档案!$J$6:$J$35,MATCH($E208,单位档案!$A$6:$A$35,0)),"")),2)</f>
        <v>12.65</v>
      </c>
      <c r="U208" s="36" t="n">
        <f aca="false">IF($D208&lt;&gt;"销项开票",0,ROUND(N($H208)*N(IFERROR(INDEX(单位档案!$K$6:$K$35,MATCH($E208,单位档案!$A$6:$A$35,0)),"")),2))</f>
        <v>1.14</v>
      </c>
      <c r="V208" s="36" t="n">
        <f aca="false">IF(OR($D208&lt;&gt;"销项开票",N($Q208)=0),0,ROUND(N($H208)/(1+$Q208)*N(IFERROR(INDEX(单位档案!$L$6:$L$35,MATCH($E208,单位档案!$A$6:$A$35,0)),"")),2))</f>
        <v>0</v>
      </c>
      <c r="W208" s="36" t="n">
        <f aca="false">ROUND($S208+$T208+$U208+$V208,2)</f>
        <v>119.22</v>
      </c>
      <c r="X208" s="35" t="str">
        <f aca="false">IF(OR($D208="挂靠代收",$D208="我方收款"),COUNTIFS($D$5:$D208,"挂靠代收")+COUNTIFS($D$5:$D208,"我方收款"),"")</f>
        <v/>
      </c>
      <c r="Y208" s="35" t="s">
        <v>110</v>
      </c>
      <c r="Z208" s="21" t="s">
        <v>111</v>
      </c>
    </row>
    <row r="209" customFormat="false" ht="15.75" hidden="false" customHeight="true" outlineLevel="0" collapsed="false">
      <c r="A209" s="32" t="n">
        <f aca="false">IF($B209="","",ROW()-4)</f>
        <v>205</v>
      </c>
      <c r="B209" s="26" t="n">
        <v>46198</v>
      </c>
      <c r="C209" s="24" t="s">
        <v>199</v>
      </c>
      <c r="D209" s="21" t="s">
        <v>357</v>
      </c>
      <c r="E209" s="21" t="s">
        <v>127</v>
      </c>
      <c r="F209" s="21" t="s">
        <v>110</v>
      </c>
      <c r="G209" s="21" t="s">
        <v>358</v>
      </c>
      <c r="H209" s="27" t="n">
        <v>3706.75</v>
      </c>
      <c r="I209" s="23" t="str">
        <f aca="false">IF($D209&lt;&gt;"销项开票","",IF($N209="一级",IF(IFERROR(INDEX(项目档案!$E$6:$E$255,MATCH($C209,项目档案!$A$6:$A$255,0)),"")="",N(IFERROR(INDEX(单位档案!$D$6:$D$35,MATCH($E209,单位档案!$A$6:$A$35,0)),"")),IFERROR(INDEX(项目档案!$E$6:$E$255,MATCH($C209,项目档案!$A$6:$A$255,0)),"")),IF($N209="二级",IF(IFERROR(INDEX(项目档案!$G$6:$G$255,MATCH($C209,项目档案!$A$6:$A$255,0)),"")="",N(IFERROR(INDEX(单位档案!$D$6:$D$35,MATCH($E209,单位档案!$A$6:$A$35,0)),"")),IFERROR(INDEX(项目档案!$G$6:$G$255,MATCH($C209,项目档案!$A$6:$A$255,0)),"")),N(IFERROR(INDEX(单位档案!$D$6:$D$35,MATCH($E209,单位档案!$A$6:$A$35,0)),"")))))</f>
        <v/>
      </c>
      <c r="J209" s="25" t="s">
        <v>498</v>
      </c>
      <c r="K209" s="22" t="s">
        <v>313</v>
      </c>
      <c r="L209" s="33" t="str">
        <f aca="false">IF($B209="","",IF(NOT(ISNUMBER($B209)),"日期格式不对",IF($C209="","未选项目编号",IF(LEFT($M209,1)="⚠","项目编号不存在",IF($D209="","未选业务类型",IF($E209="","未选开票/付款方",IF(ISNA(MATCH($E209,单位档案!$A$6:$A$35,0)),"开票方不在单位档案",IF($F209="","未选收票/收款方",IF(ISNA(MATCH($F209,单位档案!$A$6:$A$35,0)),"收款方不在单位档案",IF(NOT(ISNUMBER($H209)),"金额须为数字",IF(AND($D209="销项开票",$N209="—"),"链条待确认","√")))))))))))</f>
        <v>√</v>
      </c>
      <c r="M209" s="34" t="str">
        <f aca="false">IF($C209="","",IFERROR(INDEX(项目档案!$B$6:$B$255,MATCH($C209,项目档案!$A$6:$A$255,0)),"⚠项目编号不存在"))</f>
        <v>铜梁公司2026年配电专业应急抢修抢险等外包项目（黄荆4社等台区4个隐患治理项目、三湾1.2社等台区2个应急抢修项目)</v>
      </c>
      <c r="N209" s="35" t="str">
        <f aca="false">IF($E209="","",IF($E209=IFERROR(INDEX(项目档案!$D$6:$D$255,MATCH($C209,项目档案!$A$6:$A$255,0)),""),"一级",IF($E209=IFERROR(INDEX(项目档案!$F$6:$F$255,MATCH($C209,项目档案!$A$6:$A$255,0)),""),"二级",IF($E209=IFERROR(INDEX(项目档案!$H$6:$H$255,MATCH($C209,项目档案!$A$6:$A$255,0)),""),"我方","—"))))</f>
        <v>我方</v>
      </c>
      <c r="O209" s="36" t="n">
        <f aca="false">IF($D209&lt;&gt;"销项开票",0,ROUND(N($H209)*N($I209),2))</f>
        <v>0</v>
      </c>
      <c r="P209" s="36" t="n">
        <f aca="false">IF($D209&lt;&gt;"销项开票",0,ROUND(N($H209)-$O209,2))</f>
        <v>0</v>
      </c>
      <c r="Q209" s="37" t="n">
        <f aca="false">IF($E209="","",N(IFERROR(INDEX(单位档案!$E$6:$E$35,MATCH($E209,单位档案!$A$6:$A$35,0)),"")))</f>
        <v>0.03</v>
      </c>
      <c r="R209" s="37" t="n">
        <f aca="false">IF($E209="","",N(IFERROR(INDEX(单位档案!$F$6:$F$35,MATCH($E209,单位档案!$A$6:$A$35,0)),"")))</f>
        <v>0</v>
      </c>
      <c r="S209" s="36" t="n">
        <f aca="false">IF(OR($D209&lt;&gt;"销项开票",IFERROR(INDEX(单位档案!$G$6:$G$35,MATCH($E209,单位档案!$A$6:$A$35,0)),"")&lt;&gt;"是",N($Q209)=0),0,IF(IFERROR(INDEX(单位档案!$H$6:$H$35,MATCH($E209,单位档案!$A$6:$A$35,0)),"")="税差法",ROUND(N($H209)/(1+$Q209)*$Q209-IF(N($R209)=0,0,$P209/(1+$R209)*$R209),2),ROUND(N($H209)/(1+$Q209)*$Q209,2)))</f>
        <v>0</v>
      </c>
      <c r="T209" s="36" t="n">
        <f aca="false">ROUND($S209*N(IFERROR(INDEX(单位档案!$J$6:$J$35,MATCH($E209,单位档案!$A$6:$A$35,0)),"")),2)</f>
        <v>0</v>
      </c>
      <c r="U209" s="36" t="n">
        <f aca="false">IF($D209&lt;&gt;"销项开票",0,ROUND(N($H209)*N(IFERROR(INDEX(单位档案!$K$6:$K$35,MATCH($E209,单位档案!$A$6:$A$35,0)),"")),2))</f>
        <v>0</v>
      </c>
      <c r="V209" s="36" t="n">
        <f aca="false">IF(OR($D209&lt;&gt;"销项开票",N($Q209)=0),0,ROUND(N($H209)/(1+$Q209)*N(IFERROR(INDEX(单位档案!$L$6:$L$35,MATCH($E209,单位档案!$A$6:$A$35,0)),"")),2))</f>
        <v>0</v>
      </c>
      <c r="W209" s="36" t="n">
        <f aca="false">ROUND($S209+$T209+$U209+$V209,2)</f>
        <v>0</v>
      </c>
      <c r="X209" s="35" t="str">
        <f aca="false">IF(OR($D209="挂靠代收",$D209="我方收款"),COUNTIFS($D$5:$D209,"挂靠代收")+COUNTIFS($D$5:$D209,"我方收款"),"")</f>
        <v/>
      </c>
      <c r="Y209" s="35" t="s">
        <v>110</v>
      </c>
      <c r="Z209" s="21" t="s">
        <v>111</v>
      </c>
    </row>
    <row r="210" customFormat="false" ht="15.75" hidden="false" customHeight="true" outlineLevel="0" collapsed="false">
      <c r="A210" s="32" t="n">
        <f aca="false">IF($B210="","",ROW()-4)</f>
        <v>206</v>
      </c>
      <c r="B210" s="26" t="n">
        <v>46198</v>
      </c>
      <c r="C210" s="24" t="s">
        <v>199</v>
      </c>
      <c r="D210" s="21" t="s">
        <v>357</v>
      </c>
      <c r="E210" s="21" t="s">
        <v>127</v>
      </c>
      <c r="F210" s="21" t="s">
        <v>110</v>
      </c>
      <c r="G210" s="21" t="s">
        <v>358</v>
      </c>
      <c r="H210" s="27" t="n">
        <v>1550.78</v>
      </c>
      <c r="I210" s="23" t="str">
        <f aca="false">IF($D210&lt;&gt;"销项开票","",IF($N210="一级",IF(IFERROR(INDEX(项目档案!$E$6:$E$255,MATCH($C210,项目档案!$A$6:$A$255,0)),"")="",N(IFERROR(INDEX(单位档案!$D$6:$D$35,MATCH($E210,单位档案!$A$6:$A$35,0)),"")),IFERROR(INDEX(项目档案!$E$6:$E$255,MATCH($C210,项目档案!$A$6:$A$255,0)),"")),IF($N210="二级",IF(IFERROR(INDEX(项目档案!$G$6:$G$255,MATCH($C210,项目档案!$A$6:$A$255,0)),"")="",N(IFERROR(INDEX(单位档案!$D$6:$D$35,MATCH($E210,单位档案!$A$6:$A$35,0)),"")),IFERROR(INDEX(项目档案!$G$6:$G$255,MATCH($C210,项目档案!$A$6:$A$255,0)),"")),N(IFERROR(INDEX(单位档案!$D$6:$D$35,MATCH($E210,单位档案!$A$6:$A$35,0)),"")))))</f>
        <v/>
      </c>
      <c r="J210" s="25" t="s">
        <v>499</v>
      </c>
      <c r="K210" s="22" t="s">
        <v>313</v>
      </c>
      <c r="L210" s="33" t="str">
        <f aca="false">IF($B210="","",IF(NOT(ISNUMBER($B210)),"日期格式不对",IF($C210="","未选项目编号",IF(LEFT($M210,1)="⚠","项目编号不存在",IF($D210="","未选业务类型",IF($E210="","未选开票/付款方",IF(ISNA(MATCH($E210,单位档案!$A$6:$A$35,0)),"开票方不在单位档案",IF($F210="","未选收票/收款方",IF(ISNA(MATCH($F210,单位档案!$A$6:$A$35,0)),"收款方不在单位档案",IF(NOT(ISNUMBER($H210)),"金额须为数字",IF(AND($D210="销项开票",$N210="—"),"链条待确认","√")))))))))))</f>
        <v>√</v>
      </c>
      <c r="M210" s="34" t="str">
        <f aca="false">IF($C210="","",IFERROR(INDEX(项目档案!$B$6:$B$255,MATCH($C210,项目档案!$A$6:$A$255,0)),"⚠项目编号不存在"))</f>
        <v>铜梁公司2026年配电专业应急抢修抢险等外包项目（黄荆4社等台区4个隐患治理项目、三湾1.2社等台区2个应急抢修项目)</v>
      </c>
      <c r="N210" s="35" t="str">
        <f aca="false">IF($E210="","",IF($E210=IFERROR(INDEX(项目档案!$D$6:$D$255,MATCH($C210,项目档案!$A$6:$A$255,0)),""),"一级",IF($E210=IFERROR(INDEX(项目档案!$F$6:$F$255,MATCH($C210,项目档案!$A$6:$A$255,0)),""),"二级",IF($E210=IFERROR(INDEX(项目档案!$H$6:$H$255,MATCH($C210,项目档案!$A$6:$A$255,0)),""),"我方","—"))))</f>
        <v>我方</v>
      </c>
      <c r="O210" s="36" t="n">
        <f aca="false">IF($D210&lt;&gt;"销项开票",0,ROUND(N($H210)*N($I210),2))</f>
        <v>0</v>
      </c>
      <c r="P210" s="36" t="n">
        <f aca="false">IF($D210&lt;&gt;"销项开票",0,ROUND(N($H210)-$O210,2))</f>
        <v>0</v>
      </c>
      <c r="Q210" s="37" t="n">
        <f aca="false">IF($E210="","",N(IFERROR(INDEX(单位档案!$E$6:$E$35,MATCH($E210,单位档案!$A$6:$A$35,0)),"")))</f>
        <v>0.03</v>
      </c>
      <c r="R210" s="37" t="n">
        <f aca="false">IF($E210="","",N(IFERROR(INDEX(单位档案!$F$6:$F$35,MATCH($E210,单位档案!$A$6:$A$35,0)),"")))</f>
        <v>0</v>
      </c>
      <c r="S210" s="36" t="n">
        <f aca="false">IF(OR($D210&lt;&gt;"销项开票",IFERROR(INDEX(单位档案!$G$6:$G$35,MATCH($E210,单位档案!$A$6:$A$35,0)),"")&lt;&gt;"是",N($Q210)=0),0,IF(IFERROR(INDEX(单位档案!$H$6:$H$35,MATCH($E210,单位档案!$A$6:$A$35,0)),"")="税差法",ROUND(N($H210)/(1+$Q210)*$Q210-IF(N($R210)=0,0,$P210/(1+$R210)*$R210),2),ROUND(N($H210)/(1+$Q210)*$Q210,2)))</f>
        <v>0</v>
      </c>
      <c r="T210" s="36" t="n">
        <f aca="false">ROUND($S210*N(IFERROR(INDEX(单位档案!$J$6:$J$35,MATCH($E210,单位档案!$A$6:$A$35,0)),"")),2)</f>
        <v>0</v>
      </c>
      <c r="U210" s="36" t="n">
        <f aca="false">IF($D210&lt;&gt;"销项开票",0,ROUND(N($H210)*N(IFERROR(INDEX(单位档案!$K$6:$K$35,MATCH($E210,单位档案!$A$6:$A$35,0)),"")),2))</f>
        <v>0</v>
      </c>
      <c r="V210" s="36" t="n">
        <f aca="false">IF(OR($D210&lt;&gt;"销项开票",N($Q210)=0),0,ROUND(N($H210)/(1+$Q210)*N(IFERROR(INDEX(单位档案!$L$6:$L$35,MATCH($E210,单位档案!$A$6:$A$35,0)),"")),2))</f>
        <v>0</v>
      </c>
      <c r="W210" s="36" t="n">
        <f aca="false">ROUND($S210+$T210+$U210+$V210,2)</f>
        <v>0</v>
      </c>
      <c r="X210" s="35" t="str">
        <f aca="false">IF(OR($D210="挂靠代收",$D210="我方收款"),COUNTIFS($D$5:$D210,"挂靠代收")+COUNTIFS($D$5:$D210,"我方收款"),"")</f>
        <v/>
      </c>
      <c r="Y210" s="35" t="s">
        <v>110</v>
      </c>
      <c r="Z210" s="21" t="s">
        <v>111</v>
      </c>
    </row>
    <row r="211" customFormat="false" ht="15.75" hidden="false" customHeight="true" outlineLevel="0" collapsed="false">
      <c r="A211" s="32" t="n">
        <f aca="false">IF($B211="","",ROW()-4)</f>
        <v>207</v>
      </c>
      <c r="B211" s="26" t="n">
        <v>46198</v>
      </c>
      <c r="C211" s="24" t="s">
        <v>199</v>
      </c>
      <c r="D211" s="21" t="s">
        <v>357</v>
      </c>
      <c r="E211" s="21" t="s">
        <v>127</v>
      </c>
      <c r="F211" s="21" t="s">
        <v>110</v>
      </c>
      <c r="G211" s="21" t="s">
        <v>358</v>
      </c>
      <c r="H211" s="27" t="n">
        <v>1853.38</v>
      </c>
      <c r="I211" s="23" t="str">
        <f aca="false">IF($D211&lt;&gt;"销项开票","",IF($N211="一级",IF(IFERROR(INDEX(项目档案!$E$6:$E$255,MATCH($C211,项目档案!$A$6:$A$255,0)),"")="",N(IFERROR(INDEX(单位档案!$D$6:$D$35,MATCH($E211,单位档案!$A$6:$A$35,0)),"")),IFERROR(INDEX(项目档案!$E$6:$E$255,MATCH($C211,项目档案!$A$6:$A$255,0)),"")),IF($N211="二级",IF(IFERROR(INDEX(项目档案!$G$6:$G$255,MATCH($C211,项目档案!$A$6:$A$255,0)),"")="",N(IFERROR(INDEX(单位档案!$D$6:$D$35,MATCH($E211,单位档案!$A$6:$A$35,0)),"")),IFERROR(INDEX(项目档案!$G$6:$G$255,MATCH($C211,项目档案!$A$6:$A$255,0)),"")),N(IFERROR(INDEX(单位档案!$D$6:$D$35,MATCH($E211,单位档案!$A$6:$A$35,0)),"")))))</f>
        <v/>
      </c>
      <c r="J211" s="25" t="s">
        <v>500</v>
      </c>
      <c r="K211" s="22" t="s">
        <v>313</v>
      </c>
      <c r="L211" s="33" t="str">
        <f aca="false">IF($B211="","",IF(NOT(ISNUMBER($B211)),"日期格式不对",IF($C211="","未选项目编号",IF(LEFT($M211,1)="⚠","项目编号不存在",IF($D211="","未选业务类型",IF($E211="","未选开票/付款方",IF(ISNA(MATCH($E211,单位档案!$A$6:$A$35,0)),"开票方不在单位档案",IF($F211="","未选收票/收款方",IF(ISNA(MATCH($F211,单位档案!$A$6:$A$35,0)),"收款方不在单位档案",IF(NOT(ISNUMBER($H211)),"金额须为数字",IF(AND($D211="销项开票",$N211="—"),"链条待确认","√")))))))))))</f>
        <v>√</v>
      </c>
      <c r="M211" s="34" t="str">
        <f aca="false">IF($C211="","",IFERROR(INDEX(项目档案!$B$6:$B$255,MATCH($C211,项目档案!$A$6:$A$255,0)),"⚠项目编号不存在"))</f>
        <v>铜梁公司2026年配电专业应急抢修抢险等外包项目（黄荆4社等台区4个隐患治理项目、三湾1.2社等台区2个应急抢修项目)</v>
      </c>
      <c r="N211" s="35" t="str">
        <f aca="false">IF($E211="","",IF($E211=IFERROR(INDEX(项目档案!$D$6:$D$255,MATCH($C211,项目档案!$A$6:$A$255,0)),""),"一级",IF($E211=IFERROR(INDEX(项目档案!$F$6:$F$255,MATCH($C211,项目档案!$A$6:$A$255,0)),""),"二级",IF($E211=IFERROR(INDEX(项目档案!$H$6:$H$255,MATCH($C211,项目档案!$A$6:$A$255,0)),""),"我方","—"))))</f>
        <v>我方</v>
      </c>
      <c r="O211" s="36" t="n">
        <f aca="false">IF($D211&lt;&gt;"销项开票",0,ROUND(N($H211)*N($I211),2))</f>
        <v>0</v>
      </c>
      <c r="P211" s="36" t="n">
        <f aca="false">IF($D211&lt;&gt;"销项开票",0,ROUND(N($H211)-$O211,2))</f>
        <v>0</v>
      </c>
      <c r="Q211" s="37" t="n">
        <f aca="false">IF($E211="","",N(IFERROR(INDEX(单位档案!$E$6:$E$35,MATCH($E211,单位档案!$A$6:$A$35,0)),"")))</f>
        <v>0.03</v>
      </c>
      <c r="R211" s="37" t="n">
        <f aca="false">IF($E211="","",N(IFERROR(INDEX(单位档案!$F$6:$F$35,MATCH($E211,单位档案!$A$6:$A$35,0)),"")))</f>
        <v>0</v>
      </c>
      <c r="S211" s="36" t="n">
        <f aca="false">IF(OR($D211&lt;&gt;"销项开票",IFERROR(INDEX(单位档案!$G$6:$G$35,MATCH($E211,单位档案!$A$6:$A$35,0)),"")&lt;&gt;"是",N($Q211)=0),0,IF(IFERROR(INDEX(单位档案!$H$6:$H$35,MATCH($E211,单位档案!$A$6:$A$35,0)),"")="税差法",ROUND(N($H211)/(1+$Q211)*$Q211-IF(N($R211)=0,0,$P211/(1+$R211)*$R211),2),ROUND(N($H211)/(1+$Q211)*$Q211,2)))</f>
        <v>0</v>
      </c>
      <c r="T211" s="36" t="n">
        <f aca="false">ROUND($S211*N(IFERROR(INDEX(单位档案!$J$6:$J$35,MATCH($E211,单位档案!$A$6:$A$35,0)),"")),2)</f>
        <v>0</v>
      </c>
      <c r="U211" s="36" t="n">
        <f aca="false">IF($D211&lt;&gt;"销项开票",0,ROUND(N($H211)*N(IFERROR(INDEX(单位档案!$K$6:$K$35,MATCH($E211,单位档案!$A$6:$A$35,0)),"")),2))</f>
        <v>0</v>
      </c>
      <c r="V211" s="36" t="n">
        <f aca="false">IF(OR($D211&lt;&gt;"销项开票",N($Q211)=0),0,ROUND(N($H211)/(1+$Q211)*N(IFERROR(INDEX(单位档案!$L$6:$L$35,MATCH($E211,单位档案!$A$6:$A$35,0)),"")),2))</f>
        <v>0</v>
      </c>
      <c r="W211" s="36" t="n">
        <f aca="false">ROUND($S211+$T211+$U211+$V211,2)</f>
        <v>0</v>
      </c>
      <c r="X211" s="35" t="str">
        <f aca="false">IF(OR($D211="挂靠代收",$D211="我方收款"),COUNTIFS($D$5:$D211,"挂靠代收")+COUNTIFS($D$5:$D211,"我方收款"),"")</f>
        <v/>
      </c>
      <c r="Y211" s="35" t="s">
        <v>110</v>
      </c>
      <c r="Z211" s="21" t="s">
        <v>111</v>
      </c>
    </row>
    <row r="212" customFormat="false" ht="15.75" hidden="false" customHeight="true" outlineLevel="0" collapsed="false">
      <c r="A212" s="32" t="n">
        <f aca="false">IF($B212="","",ROW()-4)</f>
        <v>208</v>
      </c>
      <c r="B212" s="26" t="n">
        <v>46203</v>
      </c>
      <c r="C212" s="24" t="s">
        <v>183</v>
      </c>
      <c r="D212" s="21" t="s">
        <v>319</v>
      </c>
      <c r="E212" s="21" t="s">
        <v>97</v>
      </c>
      <c r="F212" s="21" t="s">
        <v>117</v>
      </c>
      <c r="G212" s="21"/>
      <c r="H212" s="27" t="n">
        <v>16500</v>
      </c>
      <c r="I212" s="23" t="str">
        <f aca="false">IF($D212&lt;&gt;"销项开票","",IF($N212="一级",IF(IFERROR(INDEX(项目档案!$E$6:$E$255,MATCH($C212,项目档案!$A$6:$A$255,0)),"")="",N(IFERROR(INDEX(单位档案!$D$6:$D$35,MATCH($E212,单位档案!$A$6:$A$35,0)),"")),IFERROR(INDEX(项目档案!$E$6:$E$255,MATCH($C212,项目档案!$A$6:$A$255,0)),"")),IF($N212="二级",IF(IFERROR(INDEX(项目档案!$G$6:$G$255,MATCH($C212,项目档案!$A$6:$A$255,0)),"")="",N(IFERROR(INDEX(单位档案!$D$6:$D$35,MATCH($E212,单位档案!$A$6:$A$35,0)),"")),IFERROR(INDEX(项目档案!$G$6:$G$255,MATCH($C212,项目档案!$A$6:$A$255,0)),"")),N(IFERROR(INDEX(单位档案!$D$6:$D$35,MATCH($E212,单位档案!$A$6:$A$35,0)),"")))))</f>
        <v/>
      </c>
      <c r="J212" s="25" t="s">
        <v>501</v>
      </c>
      <c r="K212" s="22" t="s">
        <v>313</v>
      </c>
      <c r="L212" s="33" t="str">
        <f aca="false">IF($B212="","",IF(NOT(ISNUMBER($B212)),"日期格式不对",IF($C212="","未选项目编号",IF(LEFT($M212,1)="⚠","项目编号不存在",IF($D212="","未选业务类型",IF($E212="","未选开票/付款方",IF(ISNA(MATCH($E212,单位档案!$A$6:$A$35,0)),"开票方不在单位档案",IF($F212="","未选收票/收款方",IF(ISNA(MATCH($F212,单位档案!$A$6:$A$35,0)),"收款方不在单位档案",IF(NOT(ISNUMBER($H212)),"金额须为数字",IF(AND($D212="销项开票",$N212="—"),"链条待确认","√")))))))))))</f>
        <v>√</v>
      </c>
      <c r="M212" s="34" t="str">
        <f aca="false">IF($C212="","",IFERROR(INDEX(项目档案!$B$6:$B$255,MATCH($C212,项目档案!$A$6:$A$255,0)),"⚠项目编号不存在"))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212" s="35" t="str">
        <f aca="false">IF($E212="","",IF($E212=IFERROR(INDEX(项目档案!$D$6:$D$255,MATCH($C212,项目档案!$A$6:$A$255,0)),""),"一级",IF($E212=IFERROR(INDEX(项目档案!$F$6:$F$255,MATCH($C212,项目档案!$A$6:$A$255,0)),""),"二级",IF($E212=IFERROR(INDEX(项目档案!$H$6:$H$255,MATCH($C212,项目档案!$A$6:$A$255,0)),""),"我方","—"))))</f>
        <v>—</v>
      </c>
      <c r="O212" s="36" t="n">
        <f aca="false">IF($D212&lt;&gt;"销项开票",0,ROUND(N($H212)*N($I212),2))</f>
        <v>0</v>
      </c>
      <c r="P212" s="36" t="n">
        <f aca="false">IF($D212&lt;&gt;"销项开票",0,ROUND(N($H212)-$O212,2))</f>
        <v>0</v>
      </c>
      <c r="Q212" s="37" t="n">
        <f aca="false">IF($E212="","",N(IFERROR(INDEX(单位档案!$E$6:$E$35,MATCH($E212,单位档案!$A$6:$A$35,0)),"")))</f>
        <v>0</v>
      </c>
      <c r="R212" s="37" t="n">
        <f aca="false">IF($E212="","",N(IFERROR(INDEX(单位档案!$F$6:$F$35,MATCH($E212,单位档案!$A$6:$A$35,0)),"")))</f>
        <v>0</v>
      </c>
      <c r="S212" s="36" t="n">
        <f aca="false">IF(OR($D212&lt;&gt;"销项开票",IFERROR(INDEX(单位档案!$G$6:$G$35,MATCH($E212,单位档案!$A$6:$A$35,0)),"")&lt;&gt;"是",N($Q212)=0),0,IF(IFERROR(INDEX(单位档案!$H$6:$H$35,MATCH($E212,单位档案!$A$6:$A$35,0)),"")="税差法",ROUND(N($H212)/(1+$Q212)*$Q212-IF(N($R212)=0,0,$P212/(1+$R212)*$R212),2),ROUND(N($H212)/(1+$Q212)*$Q212,2)))</f>
        <v>0</v>
      </c>
      <c r="T212" s="36" t="n">
        <f aca="false">ROUND($S212*N(IFERROR(INDEX(单位档案!$J$6:$J$35,MATCH($E212,单位档案!$A$6:$A$35,0)),"")),2)</f>
        <v>0</v>
      </c>
      <c r="U212" s="36" t="n">
        <f aca="false">IF($D212&lt;&gt;"销项开票",0,ROUND(N($H212)*N(IFERROR(INDEX(单位档案!$K$6:$K$35,MATCH($E212,单位档案!$A$6:$A$35,0)),"")),2))</f>
        <v>0</v>
      </c>
      <c r="V212" s="36" t="n">
        <f aca="false">IF(OR($D212&lt;&gt;"销项开票",N($Q212)=0),0,ROUND(N($H212)/(1+$Q212)*N(IFERROR(INDEX(单位档案!$L$6:$L$35,MATCH($E212,单位档案!$A$6:$A$35,0)),"")),2))</f>
        <v>0</v>
      </c>
      <c r="W212" s="36" t="n">
        <f aca="false">ROUND($S212+$T212+$U212+$V212,2)</f>
        <v>0</v>
      </c>
      <c r="X212" s="35" t="n">
        <f aca="false">IF(OR($D212="挂靠代收",$D212="我方收款"),COUNTIFS($D$5:$D212,"挂靠代收")+COUNTIFS($D$5:$D212,"我方收款"),"")</f>
        <v>23</v>
      </c>
      <c r="Y212" s="35" t="s">
        <v>117</v>
      </c>
      <c r="Z212" s="21" t="s">
        <v>111</v>
      </c>
    </row>
    <row r="213" customFormat="false" ht="15.75" hidden="false" customHeight="true" outlineLevel="0" collapsed="false">
      <c r="A213" s="32" t="n">
        <f aca="false">IF($B213="","",ROW()-4)</f>
        <v>209</v>
      </c>
      <c r="B213" s="26" t="n">
        <v>46203</v>
      </c>
      <c r="C213" s="24" t="s">
        <v>190</v>
      </c>
      <c r="D213" s="21" t="s">
        <v>319</v>
      </c>
      <c r="E213" s="21" t="s">
        <v>97</v>
      </c>
      <c r="F213" s="21" t="s">
        <v>117</v>
      </c>
      <c r="G213" s="21"/>
      <c r="H213" s="27" t="n">
        <v>30000</v>
      </c>
      <c r="I213" s="23" t="str">
        <f aca="false">IF($D213&lt;&gt;"销项开票","",IF($N213="一级",IF(IFERROR(INDEX(项目档案!$E$6:$E$255,MATCH($C213,项目档案!$A$6:$A$255,0)),"")="",N(IFERROR(INDEX(单位档案!$D$6:$D$35,MATCH($E213,单位档案!$A$6:$A$35,0)),"")),IFERROR(INDEX(项目档案!$E$6:$E$255,MATCH($C213,项目档案!$A$6:$A$255,0)),"")),IF($N213="二级",IF(IFERROR(INDEX(项目档案!$G$6:$G$255,MATCH($C213,项目档案!$A$6:$A$255,0)),"")="",N(IFERROR(INDEX(单位档案!$D$6:$D$35,MATCH($E213,单位档案!$A$6:$A$35,0)),"")),IFERROR(INDEX(项目档案!$G$6:$G$255,MATCH($C213,项目档案!$A$6:$A$255,0)),"")),N(IFERROR(INDEX(单位档案!$D$6:$D$35,MATCH($E213,单位档案!$A$6:$A$35,0)),"")))))</f>
        <v/>
      </c>
      <c r="J213" s="25" t="s">
        <v>502</v>
      </c>
      <c r="K213" s="22" t="s">
        <v>313</v>
      </c>
      <c r="L213" s="33" t="str">
        <f aca="false">IF($B213="","",IF(NOT(ISNUMBER($B213)),"日期格式不对",IF($C213="","未选项目编号",IF(LEFT($M213,1)="⚠","项目编号不存在",IF($D213="","未选业务类型",IF($E213="","未选开票/付款方",IF(ISNA(MATCH($E213,单位档案!$A$6:$A$35,0)),"开票方不在单位档案",IF($F213="","未选收票/收款方",IF(ISNA(MATCH($F213,单位档案!$A$6:$A$35,0)),"收款方不在单位档案",IF(NOT(ISNUMBER($H213)),"金额须为数字",IF(AND($D213="销项开票",$N213="—"),"链条待确认","√")))))))))))</f>
        <v>√</v>
      </c>
      <c r="M213" s="34" t="str">
        <f aca="false">IF($C213="","",IFERROR(INDEX(项目档案!$B$6:$B$255,MATCH($C213,项目档案!$A$6:$A$255,0)),"⚠项目编号不存在"))</f>
        <v>重庆民能实业有限公司2025-2026年度工程用施工机具等租赁服务框架采购（国网重庆铜梁公司110kV金湖东西电缆改造）</v>
      </c>
      <c r="N213" s="35" t="str">
        <f aca="false">IF($E213="","",IF($E213=IFERROR(INDEX(项目档案!$D$6:$D$255,MATCH($C213,项目档案!$A$6:$A$255,0)),""),"一级",IF($E213=IFERROR(INDEX(项目档案!$F$6:$F$255,MATCH($C213,项目档案!$A$6:$A$255,0)),""),"二级",IF($E213=IFERROR(INDEX(项目档案!$H$6:$H$255,MATCH($C213,项目档案!$A$6:$A$255,0)),""),"我方","—"))))</f>
        <v>—</v>
      </c>
      <c r="O213" s="36" t="n">
        <f aca="false">IF($D213&lt;&gt;"销项开票",0,ROUND(N($H213)*N($I213),2))</f>
        <v>0</v>
      </c>
      <c r="P213" s="36" t="n">
        <f aca="false">IF($D213&lt;&gt;"销项开票",0,ROUND(N($H213)-$O213,2))</f>
        <v>0</v>
      </c>
      <c r="Q213" s="37" t="n">
        <f aca="false">IF($E213="","",N(IFERROR(INDEX(单位档案!$E$6:$E$35,MATCH($E213,单位档案!$A$6:$A$35,0)),"")))</f>
        <v>0</v>
      </c>
      <c r="R213" s="37" t="n">
        <f aca="false">IF($E213="","",N(IFERROR(INDEX(单位档案!$F$6:$F$35,MATCH($E213,单位档案!$A$6:$A$35,0)),"")))</f>
        <v>0</v>
      </c>
      <c r="S213" s="36" t="n">
        <f aca="false">IF(OR($D213&lt;&gt;"销项开票",IFERROR(INDEX(单位档案!$G$6:$G$35,MATCH($E213,单位档案!$A$6:$A$35,0)),"")&lt;&gt;"是",N($Q213)=0),0,IF(IFERROR(INDEX(单位档案!$H$6:$H$35,MATCH($E213,单位档案!$A$6:$A$35,0)),"")="税差法",ROUND(N($H213)/(1+$Q213)*$Q213-IF(N($R213)=0,0,$P213/(1+$R213)*$R213),2),ROUND(N($H213)/(1+$Q213)*$Q213,2)))</f>
        <v>0</v>
      </c>
      <c r="T213" s="36" t="n">
        <f aca="false">ROUND($S213*N(IFERROR(INDEX(单位档案!$J$6:$J$35,MATCH($E213,单位档案!$A$6:$A$35,0)),"")),2)</f>
        <v>0</v>
      </c>
      <c r="U213" s="36" t="n">
        <f aca="false">IF($D213&lt;&gt;"销项开票",0,ROUND(N($H213)*N(IFERROR(INDEX(单位档案!$K$6:$K$35,MATCH($E213,单位档案!$A$6:$A$35,0)),"")),2))</f>
        <v>0</v>
      </c>
      <c r="V213" s="36" t="n">
        <f aca="false">IF(OR($D213&lt;&gt;"销项开票",N($Q213)=0),0,ROUND(N($H213)/(1+$Q213)*N(IFERROR(INDEX(单位档案!$L$6:$L$35,MATCH($E213,单位档案!$A$6:$A$35,0)),"")),2))</f>
        <v>0</v>
      </c>
      <c r="W213" s="36" t="n">
        <f aca="false">ROUND($S213+$T213+$U213+$V213,2)</f>
        <v>0</v>
      </c>
      <c r="X213" s="35" t="n">
        <f aca="false">IF(OR($D213="挂靠代收",$D213="我方收款"),COUNTIFS($D$5:$D213,"挂靠代收")+COUNTIFS($D$5:$D213,"我方收款"),"")</f>
        <v>24</v>
      </c>
      <c r="Y213" s="35" t="s">
        <v>117</v>
      </c>
      <c r="Z213" s="21" t="s">
        <v>111</v>
      </c>
    </row>
    <row r="214" customFormat="false" ht="15.75" hidden="false" customHeight="true" outlineLevel="0" collapsed="false">
      <c r="A214" s="32" t="n">
        <f aca="false">IF($B214="","",ROW()-4)</f>
        <v>210</v>
      </c>
      <c r="B214" s="26" t="n">
        <v>46203</v>
      </c>
      <c r="C214" s="24" t="s">
        <v>190</v>
      </c>
      <c r="D214" s="21" t="s">
        <v>320</v>
      </c>
      <c r="E214" s="21" t="s">
        <v>117</v>
      </c>
      <c r="F214" s="21" t="s">
        <v>127</v>
      </c>
      <c r="G214" s="21"/>
      <c r="H214" s="27" t="n">
        <v>30000</v>
      </c>
      <c r="I214" s="23" t="str">
        <f aca="false">IF($D214&lt;&gt;"销项开票","",IF($N214="一级",IF(IFERROR(INDEX(项目档案!$E$6:$E$255,MATCH($C214,项目档案!$A$6:$A$255,0)),"")="",N(IFERROR(INDEX(单位档案!$D$6:$D$35,MATCH($E214,单位档案!$A$6:$A$35,0)),"")),IFERROR(INDEX(项目档案!$E$6:$E$255,MATCH($C214,项目档案!$A$6:$A$255,0)),"")),IF($N214="二级",IF(IFERROR(INDEX(项目档案!$G$6:$G$255,MATCH($C214,项目档案!$A$6:$A$255,0)),"")="",N(IFERROR(INDEX(单位档案!$D$6:$D$35,MATCH($E214,单位档案!$A$6:$A$35,0)),"")),IFERROR(INDEX(项目档案!$G$6:$G$255,MATCH($C214,项目档案!$A$6:$A$255,0)),"")),N(IFERROR(INDEX(单位档案!$D$6:$D$35,MATCH($E214,单位档案!$A$6:$A$35,0)),"")))))</f>
        <v/>
      </c>
      <c r="J214" s="25" t="s">
        <v>502</v>
      </c>
      <c r="K214" s="22" t="s">
        <v>313</v>
      </c>
      <c r="L214" s="33" t="str">
        <f aca="false">IF($B214="","",IF(NOT(ISNUMBER($B214)),"日期格式不对",IF($C214="","未选项目编号",IF(LEFT($M214,1)="⚠","项目编号不存在",IF($D214="","未选业务类型",IF($E214="","未选开票/付款方",IF(ISNA(MATCH($E214,单位档案!$A$6:$A$35,0)),"开票方不在单位档案",IF($F214="","未选收票/收款方",IF(ISNA(MATCH($F214,单位档案!$A$6:$A$35,0)),"收款方不在单位档案",IF(NOT(ISNUMBER($H214)),"金额须为数字",IF(AND($D214="销项开票",$N214="—"),"链条待确认","√")))))))))))</f>
        <v>√</v>
      </c>
      <c r="M214" s="34" t="str">
        <f aca="false">IF($C214="","",IFERROR(INDEX(项目档案!$B$6:$B$255,MATCH($C214,项目档案!$A$6:$A$255,0)),"⚠项目编号不存在"))</f>
        <v>重庆民能实业有限公司2025-2026年度工程用施工机具等租赁服务框架采购（国网重庆铜梁公司110kV金湖东西电缆改造）</v>
      </c>
      <c r="N214" s="35" t="str">
        <f aca="false">IF($E214="","",IF($E214=IFERROR(INDEX(项目档案!$D$6:$D$255,MATCH($C214,项目档案!$A$6:$A$255,0)),""),"一级",IF($E214=IFERROR(INDEX(项目档案!$F$6:$F$255,MATCH($C214,项目档案!$A$6:$A$255,0)),""),"二级",IF($E214=IFERROR(INDEX(项目档案!$H$6:$H$255,MATCH($C214,项目档案!$A$6:$A$255,0)),""),"我方","—"))))</f>
        <v>二级</v>
      </c>
      <c r="O214" s="36" t="n">
        <f aca="false">IF($D214&lt;&gt;"销项开票",0,ROUND(N($H214)*N($I214),2))</f>
        <v>0</v>
      </c>
      <c r="P214" s="36" t="n">
        <f aca="false">IF($D214&lt;&gt;"销项开票",0,ROUND(N($H214)-$O214,2))</f>
        <v>0</v>
      </c>
      <c r="Q214" s="37" t="n">
        <f aca="false">IF($E214="","",N(IFERROR(INDEX(单位档案!$E$6:$E$35,MATCH($E214,单位档案!$A$6:$A$35,0)),"")))</f>
        <v>0.03</v>
      </c>
      <c r="R214" s="37" t="n">
        <f aca="false">IF($E214="","",N(IFERROR(INDEX(单位档案!$F$6:$F$35,MATCH($E214,单位档案!$A$6:$A$35,0)),"")))</f>
        <v>0.03</v>
      </c>
      <c r="S214" s="36" t="n">
        <f aca="false">IF(OR($D214&lt;&gt;"销项开票",IFERROR(INDEX(单位档案!$G$6:$G$35,MATCH($E214,单位档案!$A$6:$A$35,0)),"")&lt;&gt;"是",N($Q214)=0),0,IF(IFERROR(INDEX(单位档案!$H$6:$H$35,MATCH($E214,单位档案!$A$6:$A$35,0)),"")="税差法",ROUND(N($H214)/(1+$Q214)*$Q214-IF(N($R214)=0,0,$P214/(1+$R214)*$R214),2),ROUND(N($H214)/(1+$Q214)*$Q214,2)))</f>
        <v>0</v>
      </c>
      <c r="T214" s="36" t="n">
        <f aca="false">ROUND($S214*N(IFERROR(INDEX(单位档案!$J$6:$J$35,MATCH($E214,单位档案!$A$6:$A$35,0)),"")),2)</f>
        <v>0</v>
      </c>
      <c r="U214" s="36" t="n">
        <f aca="false">IF($D214&lt;&gt;"销项开票",0,ROUND(N($H214)*N(IFERROR(INDEX(单位档案!$K$6:$K$35,MATCH($E214,单位档案!$A$6:$A$35,0)),"")),2))</f>
        <v>0</v>
      </c>
      <c r="V214" s="36" t="n">
        <f aca="false">IF(OR($D214&lt;&gt;"销项开票",N($Q214)=0),0,ROUND(N($H214)/(1+$Q214)*N(IFERROR(INDEX(单位档案!$L$6:$L$35,MATCH($E214,单位档案!$A$6:$A$35,0)),"")),2))</f>
        <v>0</v>
      </c>
      <c r="W214" s="36" t="n">
        <f aca="false">ROUND($S214+$T214+$U214+$V214,2)</f>
        <v>0</v>
      </c>
      <c r="X214" s="35" t="n">
        <f aca="false">IF(OR($D214="挂靠代收",$D214="我方收款"),COUNTIFS($D$5:$D214,"挂靠代收")+COUNTIFS($D$5:$D214,"我方收款"),"")</f>
        <v>25</v>
      </c>
      <c r="Y214" s="35" t="s">
        <v>117</v>
      </c>
      <c r="Z214" s="21" t="s">
        <v>111</v>
      </c>
    </row>
    <row r="215" customFormat="false" ht="15.75" hidden="false" customHeight="true" outlineLevel="0" collapsed="false">
      <c r="A215" s="32" t="n">
        <f aca="false">IF($B215="","",ROW()-4)</f>
        <v>211</v>
      </c>
      <c r="B215" s="26" t="n">
        <v>46203</v>
      </c>
      <c r="C215" s="24" t="s">
        <v>190</v>
      </c>
      <c r="D215" s="21" t="s">
        <v>319</v>
      </c>
      <c r="E215" s="21" t="s">
        <v>97</v>
      </c>
      <c r="F215" s="21" t="s">
        <v>117</v>
      </c>
      <c r="G215" s="21"/>
      <c r="H215" s="27" t="n">
        <v>60000</v>
      </c>
      <c r="I215" s="23" t="str">
        <f aca="false">IF($D215&lt;&gt;"销项开票","",IF($N215="一级",IF(IFERROR(INDEX(项目档案!$E$6:$E$255,MATCH($C215,项目档案!$A$6:$A$255,0)),"")="",N(IFERROR(INDEX(单位档案!$D$6:$D$35,MATCH($E215,单位档案!$A$6:$A$35,0)),"")),IFERROR(INDEX(项目档案!$E$6:$E$255,MATCH($C215,项目档案!$A$6:$A$255,0)),"")),IF($N215="二级",IF(IFERROR(INDEX(项目档案!$G$6:$G$255,MATCH($C215,项目档案!$A$6:$A$255,0)),"")="",N(IFERROR(INDEX(单位档案!$D$6:$D$35,MATCH($E215,单位档案!$A$6:$A$35,0)),"")),IFERROR(INDEX(项目档案!$G$6:$G$255,MATCH($C215,项目档案!$A$6:$A$255,0)),"")),N(IFERROR(INDEX(单位档案!$D$6:$D$35,MATCH($E215,单位档案!$A$6:$A$35,0)),"")))))</f>
        <v/>
      </c>
      <c r="J215" s="25" t="s">
        <v>502</v>
      </c>
      <c r="K215" s="22" t="s">
        <v>313</v>
      </c>
      <c r="L215" s="33" t="str">
        <f aca="false">IF($B215="","",IF(NOT(ISNUMBER($B215)),"日期格式不对",IF($C215="","未选项目编号",IF(LEFT($M215,1)="⚠","项目编号不存在",IF($D215="","未选业务类型",IF($E215="","未选开票/付款方",IF(ISNA(MATCH($E215,单位档案!$A$6:$A$35,0)),"开票方不在单位档案",IF($F215="","未选收票/收款方",IF(ISNA(MATCH($F215,单位档案!$A$6:$A$35,0)),"收款方不在单位档案",IF(NOT(ISNUMBER($H215)),"金额须为数字",IF(AND($D215="销项开票",$N215="—"),"链条待确认","√")))))))))))</f>
        <v>√</v>
      </c>
      <c r="M215" s="34" t="str">
        <f aca="false">IF($C215="","",IFERROR(INDEX(项目档案!$B$6:$B$255,MATCH($C215,项目档案!$A$6:$A$255,0)),"⚠项目编号不存在"))</f>
        <v>重庆民能实业有限公司2025-2026年度工程用施工机具等租赁服务框架采购（国网重庆铜梁公司110kV金湖东西电缆改造）</v>
      </c>
      <c r="N215" s="35" t="str">
        <f aca="false">IF($E215="","",IF($E215=IFERROR(INDEX(项目档案!$D$6:$D$255,MATCH($C215,项目档案!$A$6:$A$255,0)),""),"一级",IF($E215=IFERROR(INDEX(项目档案!$F$6:$F$255,MATCH($C215,项目档案!$A$6:$A$255,0)),""),"二级",IF($E215=IFERROR(INDEX(项目档案!$H$6:$H$255,MATCH($C215,项目档案!$A$6:$A$255,0)),""),"我方","—"))))</f>
        <v>—</v>
      </c>
      <c r="O215" s="36" t="n">
        <f aca="false">IF($D215&lt;&gt;"销项开票",0,ROUND(N($H215)*N($I215),2))</f>
        <v>0</v>
      </c>
      <c r="P215" s="36" t="n">
        <f aca="false">IF($D215&lt;&gt;"销项开票",0,ROUND(N($H215)-$O215,2))</f>
        <v>0</v>
      </c>
      <c r="Q215" s="37" t="n">
        <f aca="false">IF($E215="","",N(IFERROR(INDEX(单位档案!$E$6:$E$35,MATCH($E215,单位档案!$A$6:$A$35,0)),"")))</f>
        <v>0</v>
      </c>
      <c r="R215" s="37" t="n">
        <f aca="false">IF($E215="","",N(IFERROR(INDEX(单位档案!$F$6:$F$35,MATCH($E215,单位档案!$A$6:$A$35,0)),"")))</f>
        <v>0</v>
      </c>
      <c r="S215" s="36" t="n">
        <f aca="false">IF(OR($D215&lt;&gt;"销项开票",IFERROR(INDEX(单位档案!$G$6:$G$35,MATCH($E215,单位档案!$A$6:$A$35,0)),"")&lt;&gt;"是",N($Q215)=0),0,IF(IFERROR(INDEX(单位档案!$H$6:$H$35,MATCH($E215,单位档案!$A$6:$A$35,0)),"")="税差法",ROUND(N($H215)/(1+$Q215)*$Q215-IF(N($R215)=0,0,$P215/(1+$R215)*$R215),2),ROUND(N($H215)/(1+$Q215)*$Q215,2)))</f>
        <v>0</v>
      </c>
      <c r="T215" s="36" t="n">
        <f aca="false">ROUND($S215*N(IFERROR(INDEX(单位档案!$J$6:$J$35,MATCH($E215,单位档案!$A$6:$A$35,0)),"")),2)</f>
        <v>0</v>
      </c>
      <c r="U215" s="36" t="n">
        <f aca="false">IF($D215&lt;&gt;"销项开票",0,ROUND(N($H215)*N(IFERROR(INDEX(单位档案!$K$6:$K$35,MATCH($E215,单位档案!$A$6:$A$35,0)),"")),2))</f>
        <v>0</v>
      </c>
      <c r="V215" s="36" t="n">
        <f aca="false">IF(OR($D215&lt;&gt;"销项开票",N($Q215)=0),0,ROUND(N($H215)/(1+$Q215)*N(IFERROR(INDEX(单位档案!$L$6:$L$35,MATCH($E215,单位档案!$A$6:$A$35,0)),"")),2))</f>
        <v>0</v>
      </c>
      <c r="W215" s="36" t="n">
        <f aca="false">ROUND($S215+$T215+$U215+$V215,2)</f>
        <v>0</v>
      </c>
      <c r="X215" s="35" t="n">
        <f aca="false">IF(OR($D215="挂靠代收",$D215="我方收款"),COUNTIFS($D$5:$D215,"挂靠代收")+COUNTIFS($D$5:$D215,"我方收款"),"")</f>
        <v>26</v>
      </c>
      <c r="Y215" s="35" t="s">
        <v>117</v>
      </c>
      <c r="Z215" s="21" t="s">
        <v>111</v>
      </c>
    </row>
    <row r="216" customFormat="false" ht="15.75" hidden="false" customHeight="true" outlineLevel="0" collapsed="false">
      <c r="A216" s="32" t="n">
        <f aca="false">IF($B216="","",ROW()-4)</f>
        <v>212</v>
      </c>
      <c r="B216" s="26" t="n">
        <v>46203</v>
      </c>
      <c r="C216" s="24" t="s">
        <v>190</v>
      </c>
      <c r="D216" s="21" t="s">
        <v>320</v>
      </c>
      <c r="E216" s="21" t="s">
        <v>117</v>
      </c>
      <c r="F216" s="21" t="s">
        <v>127</v>
      </c>
      <c r="G216" s="21"/>
      <c r="H216" s="27" t="n">
        <v>60000</v>
      </c>
      <c r="I216" s="23" t="str">
        <f aca="false">IF($D216&lt;&gt;"销项开票","",IF($N216="一级",IF(IFERROR(INDEX(项目档案!$E$6:$E$255,MATCH($C216,项目档案!$A$6:$A$255,0)),"")="",N(IFERROR(INDEX(单位档案!$D$6:$D$35,MATCH($E216,单位档案!$A$6:$A$35,0)),"")),IFERROR(INDEX(项目档案!$E$6:$E$255,MATCH($C216,项目档案!$A$6:$A$255,0)),"")),IF($N216="二级",IF(IFERROR(INDEX(项目档案!$G$6:$G$255,MATCH($C216,项目档案!$A$6:$A$255,0)),"")="",N(IFERROR(INDEX(单位档案!$D$6:$D$35,MATCH($E216,单位档案!$A$6:$A$35,0)),"")),IFERROR(INDEX(项目档案!$G$6:$G$255,MATCH($C216,项目档案!$A$6:$A$255,0)),"")),N(IFERROR(INDEX(单位档案!$D$6:$D$35,MATCH($E216,单位档案!$A$6:$A$35,0)),"")))))</f>
        <v/>
      </c>
      <c r="J216" s="25" t="s">
        <v>502</v>
      </c>
      <c r="K216" s="22" t="s">
        <v>313</v>
      </c>
      <c r="L216" s="33" t="str">
        <f aca="false">IF($B216="","",IF(NOT(ISNUMBER($B216)),"日期格式不对",IF($C216="","未选项目编号",IF(LEFT($M216,1)="⚠","项目编号不存在",IF($D216="","未选业务类型",IF($E216="","未选开票/付款方",IF(ISNA(MATCH($E216,单位档案!$A$6:$A$35,0)),"开票方不在单位档案",IF($F216="","未选收票/收款方",IF(ISNA(MATCH($F216,单位档案!$A$6:$A$35,0)),"收款方不在单位档案",IF(NOT(ISNUMBER($H216)),"金额须为数字",IF(AND($D216="销项开票",$N216="—"),"链条待确认","√")))))))))))</f>
        <v>√</v>
      </c>
      <c r="M216" s="34" t="str">
        <f aca="false">IF($C216="","",IFERROR(INDEX(项目档案!$B$6:$B$255,MATCH($C216,项目档案!$A$6:$A$255,0)),"⚠项目编号不存在"))</f>
        <v>重庆民能实业有限公司2025-2026年度工程用施工机具等租赁服务框架采购（国网重庆铜梁公司110kV金湖东西电缆改造）</v>
      </c>
      <c r="N216" s="35" t="str">
        <f aca="false">IF($E216="","",IF($E216=IFERROR(INDEX(项目档案!$D$6:$D$255,MATCH($C216,项目档案!$A$6:$A$255,0)),""),"一级",IF($E216=IFERROR(INDEX(项目档案!$F$6:$F$255,MATCH($C216,项目档案!$A$6:$A$255,0)),""),"二级",IF($E216=IFERROR(INDEX(项目档案!$H$6:$H$255,MATCH($C216,项目档案!$A$6:$A$255,0)),""),"我方","—"))))</f>
        <v>二级</v>
      </c>
      <c r="O216" s="36" t="n">
        <f aca="false">IF($D216&lt;&gt;"销项开票",0,ROUND(N($H216)*N($I216),2))</f>
        <v>0</v>
      </c>
      <c r="P216" s="36" t="n">
        <f aca="false">IF($D216&lt;&gt;"销项开票",0,ROUND(N($H216)-$O216,2))</f>
        <v>0</v>
      </c>
      <c r="Q216" s="37" t="n">
        <f aca="false">IF($E216="","",N(IFERROR(INDEX(单位档案!$E$6:$E$35,MATCH($E216,单位档案!$A$6:$A$35,0)),"")))</f>
        <v>0.03</v>
      </c>
      <c r="R216" s="37" t="n">
        <f aca="false">IF($E216="","",N(IFERROR(INDEX(单位档案!$F$6:$F$35,MATCH($E216,单位档案!$A$6:$A$35,0)),"")))</f>
        <v>0.03</v>
      </c>
      <c r="S216" s="36" t="n">
        <f aca="false">IF(OR($D216&lt;&gt;"销项开票",IFERROR(INDEX(单位档案!$G$6:$G$35,MATCH($E216,单位档案!$A$6:$A$35,0)),"")&lt;&gt;"是",N($Q216)=0),0,IF(IFERROR(INDEX(单位档案!$H$6:$H$35,MATCH($E216,单位档案!$A$6:$A$35,0)),"")="税差法",ROUND(N($H216)/(1+$Q216)*$Q216-IF(N($R216)=0,0,$P216/(1+$R216)*$R216),2),ROUND(N($H216)/(1+$Q216)*$Q216,2)))</f>
        <v>0</v>
      </c>
      <c r="T216" s="36" t="n">
        <f aca="false">ROUND($S216*N(IFERROR(INDEX(单位档案!$J$6:$J$35,MATCH($E216,单位档案!$A$6:$A$35,0)),"")),2)</f>
        <v>0</v>
      </c>
      <c r="U216" s="36" t="n">
        <f aca="false">IF($D216&lt;&gt;"销项开票",0,ROUND(N($H216)*N(IFERROR(INDEX(单位档案!$K$6:$K$35,MATCH($E216,单位档案!$A$6:$A$35,0)),"")),2))</f>
        <v>0</v>
      </c>
      <c r="V216" s="36" t="n">
        <f aca="false">IF(OR($D216&lt;&gt;"销项开票",N($Q216)=0),0,ROUND(N($H216)/(1+$Q216)*N(IFERROR(INDEX(单位档案!$L$6:$L$35,MATCH($E216,单位档案!$A$6:$A$35,0)),"")),2))</f>
        <v>0</v>
      </c>
      <c r="W216" s="36" t="n">
        <f aca="false">ROUND($S216+$T216+$U216+$V216,2)</f>
        <v>0</v>
      </c>
      <c r="X216" s="35" t="n">
        <f aca="false">IF(OR($D216="挂靠代收",$D216="我方收款"),COUNTIFS($D$5:$D216,"挂靠代收")+COUNTIFS($D$5:$D216,"我方收款"),"")</f>
        <v>27</v>
      </c>
      <c r="Y216" s="35" t="s">
        <v>117</v>
      </c>
      <c r="Z216" s="21" t="s">
        <v>111</v>
      </c>
    </row>
    <row r="217" customFormat="false" ht="15.75" hidden="false" customHeight="true" outlineLevel="0" collapsed="false">
      <c r="A217" s="32" t="n">
        <f aca="false">IF($B217="","",ROW()-4)</f>
        <v>213</v>
      </c>
      <c r="B217" s="26" t="n">
        <v>46203</v>
      </c>
      <c r="C217" s="24" t="s">
        <v>195</v>
      </c>
      <c r="D217" s="21" t="s">
        <v>319</v>
      </c>
      <c r="E217" s="21" t="s">
        <v>97</v>
      </c>
      <c r="F217" s="21" t="s">
        <v>117</v>
      </c>
      <c r="G217" s="21"/>
      <c r="H217" s="27" t="n">
        <v>70000</v>
      </c>
      <c r="I217" s="23" t="str">
        <f aca="false">IF($D217&lt;&gt;"销项开票","",IF($N217="一级",IF(IFERROR(INDEX(项目档案!$E$6:$E$255,MATCH($C217,项目档案!$A$6:$A$255,0)),"")="",N(IFERROR(INDEX(单位档案!$D$6:$D$35,MATCH($E217,单位档案!$A$6:$A$35,0)),"")),IFERROR(INDEX(项目档案!$E$6:$E$255,MATCH($C217,项目档案!$A$6:$A$255,0)),"")),IF($N217="二级",IF(IFERROR(INDEX(项目档案!$G$6:$G$255,MATCH($C217,项目档案!$A$6:$A$255,0)),"")="",N(IFERROR(INDEX(单位档案!$D$6:$D$35,MATCH($E217,单位档案!$A$6:$A$35,0)),"")),IFERROR(INDEX(项目档案!$G$6:$G$255,MATCH($C217,项目档案!$A$6:$A$255,0)),"")),N(IFERROR(INDEX(单位档案!$D$6:$D$35,MATCH($E217,单位档案!$A$6:$A$35,0)),"")))))</f>
        <v/>
      </c>
      <c r="J217" s="25" t="s">
        <v>503</v>
      </c>
      <c r="K217" s="22" t="s">
        <v>313</v>
      </c>
      <c r="L217" s="33" t="str">
        <f aca="false">IF($B217="","",IF(NOT(ISNUMBER($B217)),"日期格式不对",IF($C217="","未选项目编号",IF(LEFT($M217,1)="⚠","项目编号不存在",IF($D217="","未选业务类型",IF($E217="","未选开票/付款方",IF(ISNA(MATCH($E217,单位档案!$A$6:$A$35,0)),"开票方不在单位档案",IF($F217="","未选收票/收款方",IF(ISNA(MATCH($F217,单位档案!$A$6:$A$35,0)),"收款方不在单位档案",IF(NOT(ISNUMBER($H217)),"金额须为数字",IF(AND($D217="销项开票",$N217="—"),"链条待确认","√")))))))))))</f>
        <v>√</v>
      </c>
      <c r="M217" s="34" t="str">
        <f aca="false">IF($C217="","",IFERROR(INDEX(项目档案!$B$6:$B$255,MATCH($C217,项目档案!$A$6:$A$255,0)),"⚠项目编号不存在"))</f>
        <v>铜梁区园区屋顶分布式光伏发电建设项目-10kV电力新建工程（康欣3W，泓普6W）</v>
      </c>
      <c r="N217" s="35" t="str">
        <f aca="false">IF($E217="","",IF($E217=IFERROR(INDEX(项目档案!$D$6:$D$255,MATCH($C217,项目档案!$A$6:$A$255,0)),""),"一级",IF($E217=IFERROR(INDEX(项目档案!$F$6:$F$255,MATCH($C217,项目档案!$A$6:$A$255,0)),""),"二级",IF($E217=IFERROR(INDEX(项目档案!$H$6:$H$255,MATCH($C217,项目档案!$A$6:$A$255,0)),""),"我方","—"))))</f>
        <v>—</v>
      </c>
      <c r="O217" s="36" t="n">
        <f aca="false">IF($D217&lt;&gt;"销项开票",0,ROUND(N($H217)*N($I217),2))</f>
        <v>0</v>
      </c>
      <c r="P217" s="36" t="n">
        <f aca="false">IF($D217&lt;&gt;"销项开票",0,ROUND(N($H217)-$O217,2))</f>
        <v>0</v>
      </c>
      <c r="Q217" s="37" t="n">
        <f aca="false">IF($E217="","",N(IFERROR(INDEX(单位档案!$E$6:$E$35,MATCH($E217,单位档案!$A$6:$A$35,0)),"")))</f>
        <v>0</v>
      </c>
      <c r="R217" s="37" t="n">
        <f aca="false">IF($E217="","",N(IFERROR(INDEX(单位档案!$F$6:$F$35,MATCH($E217,单位档案!$A$6:$A$35,0)),"")))</f>
        <v>0</v>
      </c>
      <c r="S217" s="36" t="n">
        <f aca="false">IF(OR($D217&lt;&gt;"销项开票",IFERROR(INDEX(单位档案!$G$6:$G$35,MATCH($E217,单位档案!$A$6:$A$35,0)),"")&lt;&gt;"是",N($Q217)=0),0,IF(IFERROR(INDEX(单位档案!$H$6:$H$35,MATCH($E217,单位档案!$A$6:$A$35,0)),"")="税差法",ROUND(N($H217)/(1+$Q217)*$Q217-IF(N($R217)=0,0,$P217/(1+$R217)*$R217),2),ROUND(N($H217)/(1+$Q217)*$Q217,2)))</f>
        <v>0</v>
      </c>
      <c r="T217" s="36" t="n">
        <f aca="false">ROUND($S217*N(IFERROR(INDEX(单位档案!$J$6:$J$35,MATCH($E217,单位档案!$A$6:$A$35,0)),"")),2)</f>
        <v>0</v>
      </c>
      <c r="U217" s="36" t="n">
        <f aca="false">IF($D217&lt;&gt;"销项开票",0,ROUND(N($H217)*N(IFERROR(INDEX(单位档案!$K$6:$K$35,MATCH($E217,单位档案!$A$6:$A$35,0)),"")),2))</f>
        <v>0</v>
      </c>
      <c r="V217" s="36" t="n">
        <f aca="false">IF(OR($D217&lt;&gt;"销项开票",N($Q217)=0),0,ROUND(N($H217)/(1+$Q217)*N(IFERROR(INDEX(单位档案!$L$6:$L$35,MATCH($E217,单位档案!$A$6:$A$35,0)),"")),2))</f>
        <v>0</v>
      </c>
      <c r="W217" s="36" t="n">
        <f aca="false">ROUND($S217+$T217+$U217+$V217,2)</f>
        <v>0</v>
      </c>
      <c r="X217" s="35" t="n">
        <f aca="false">IF(OR($D217="挂靠代收",$D217="我方收款"),COUNTIFS($D$5:$D217,"挂靠代收")+COUNTIFS($D$5:$D217,"我方收款"),"")</f>
        <v>28</v>
      </c>
      <c r="Y217" s="35" t="s">
        <v>117</v>
      </c>
      <c r="Z217" s="21" t="s">
        <v>111</v>
      </c>
    </row>
    <row r="218" customFormat="false" ht="15.75" hidden="false" customHeight="true" outlineLevel="0" collapsed="false">
      <c r="A218" s="32" t="n">
        <f aca="false">IF($B218="","",ROW()-4)</f>
        <v>214</v>
      </c>
      <c r="B218" s="26" t="n">
        <v>46203</v>
      </c>
      <c r="C218" s="24" t="s">
        <v>195</v>
      </c>
      <c r="D218" s="21" t="s">
        <v>320</v>
      </c>
      <c r="E218" s="21" t="s">
        <v>117</v>
      </c>
      <c r="F218" s="21" t="s">
        <v>127</v>
      </c>
      <c r="G218" s="21"/>
      <c r="H218" s="27" t="n">
        <v>70000</v>
      </c>
      <c r="I218" s="23" t="str">
        <f aca="false">IF($D218&lt;&gt;"销项开票","",IF($N218="一级",IF(IFERROR(INDEX(项目档案!$E$6:$E$255,MATCH($C218,项目档案!$A$6:$A$255,0)),"")="",N(IFERROR(INDEX(单位档案!$D$6:$D$35,MATCH($E218,单位档案!$A$6:$A$35,0)),"")),IFERROR(INDEX(项目档案!$E$6:$E$255,MATCH($C218,项目档案!$A$6:$A$255,0)),"")),IF($N218="二级",IF(IFERROR(INDEX(项目档案!$G$6:$G$255,MATCH($C218,项目档案!$A$6:$A$255,0)),"")="",N(IFERROR(INDEX(单位档案!$D$6:$D$35,MATCH($E218,单位档案!$A$6:$A$35,0)),"")),IFERROR(INDEX(项目档案!$G$6:$G$255,MATCH($C218,项目档案!$A$6:$A$255,0)),"")),N(IFERROR(INDEX(单位档案!$D$6:$D$35,MATCH($E218,单位档案!$A$6:$A$35,0)),"")))))</f>
        <v/>
      </c>
      <c r="J218" s="25" t="s">
        <v>503</v>
      </c>
      <c r="K218" s="22" t="s">
        <v>313</v>
      </c>
      <c r="L218" s="33" t="str">
        <f aca="false">IF($B218="","",IF(NOT(ISNUMBER($B218)),"日期格式不对",IF($C218="","未选项目编号",IF(LEFT($M218,1)="⚠","项目编号不存在",IF($D218="","未选业务类型",IF($E218="","未选开票/付款方",IF(ISNA(MATCH($E218,单位档案!$A$6:$A$35,0)),"开票方不在单位档案",IF($F218="","未选收票/收款方",IF(ISNA(MATCH($F218,单位档案!$A$6:$A$35,0)),"收款方不在单位档案",IF(NOT(ISNUMBER($H218)),"金额须为数字",IF(AND($D218="销项开票",$N218="—"),"链条待确认","√")))))))))))</f>
        <v>√</v>
      </c>
      <c r="M218" s="34" t="str">
        <f aca="false">IF($C218="","",IFERROR(INDEX(项目档案!$B$6:$B$255,MATCH($C218,项目档案!$A$6:$A$255,0)),"⚠项目编号不存在"))</f>
        <v>铜梁区园区屋顶分布式光伏发电建设项目-10kV电力新建工程（康欣3W，泓普6W）</v>
      </c>
      <c r="N218" s="35" t="str">
        <f aca="false">IF($E218="","",IF($E218=IFERROR(INDEX(项目档案!$D$6:$D$255,MATCH($C218,项目档案!$A$6:$A$255,0)),""),"一级",IF($E218=IFERROR(INDEX(项目档案!$F$6:$F$255,MATCH($C218,项目档案!$A$6:$A$255,0)),""),"二级",IF($E218=IFERROR(INDEX(项目档案!$H$6:$H$255,MATCH($C218,项目档案!$A$6:$A$255,0)),""),"我方","—"))))</f>
        <v>一级</v>
      </c>
      <c r="O218" s="36" t="n">
        <f aca="false">IF($D218&lt;&gt;"销项开票",0,ROUND(N($H218)*N($I218),2))</f>
        <v>0</v>
      </c>
      <c r="P218" s="36" t="n">
        <f aca="false">IF($D218&lt;&gt;"销项开票",0,ROUND(N($H218)-$O218,2))</f>
        <v>0</v>
      </c>
      <c r="Q218" s="37" t="n">
        <f aca="false">IF($E218="","",N(IFERROR(INDEX(单位档案!$E$6:$E$35,MATCH($E218,单位档案!$A$6:$A$35,0)),"")))</f>
        <v>0.03</v>
      </c>
      <c r="R218" s="37" t="n">
        <f aca="false">IF($E218="","",N(IFERROR(INDEX(单位档案!$F$6:$F$35,MATCH($E218,单位档案!$A$6:$A$35,0)),"")))</f>
        <v>0.03</v>
      </c>
      <c r="S218" s="36" t="n">
        <f aca="false">IF(OR($D218&lt;&gt;"销项开票",IFERROR(INDEX(单位档案!$G$6:$G$35,MATCH($E218,单位档案!$A$6:$A$35,0)),"")&lt;&gt;"是",N($Q218)=0),0,IF(IFERROR(INDEX(单位档案!$H$6:$H$35,MATCH($E218,单位档案!$A$6:$A$35,0)),"")="税差法",ROUND(N($H218)/(1+$Q218)*$Q218-IF(N($R218)=0,0,$P218/(1+$R218)*$R218),2),ROUND(N($H218)/(1+$Q218)*$Q218,2)))</f>
        <v>0</v>
      </c>
      <c r="T218" s="36" t="n">
        <f aca="false">ROUND($S218*N(IFERROR(INDEX(单位档案!$J$6:$J$35,MATCH($E218,单位档案!$A$6:$A$35,0)),"")),2)</f>
        <v>0</v>
      </c>
      <c r="U218" s="36" t="n">
        <f aca="false">IF($D218&lt;&gt;"销项开票",0,ROUND(N($H218)*N(IFERROR(INDEX(单位档案!$K$6:$K$35,MATCH($E218,单位档案!$A$6:$A$35,0)),"")),2))</f>
        <v>0</v>
      </c>
      <c r="V218" s="36" t="n">
        <f aca="false">IF(OR($D218&lt;&gt;"销项开票",N($Q218)=0),0,ROUND(N($H218)/(1+$Q218)*N(IFERROR(INDEX(单位档案!$L$6:$L$35,MATCH($E218,单位档案!$A$6:$A$35,0)),"")),2))</f>
        <v>0</v>
      </c>
      <c r="W218" s="36" t="n">
        <f aca="false">ROUND($S218+$T218+$U218+$V218,2)</f>
        <v>0</v>
      </c>
      <c r="X218" s="35" t="n">
        <f aca="false">IF(OR($D218="挂靠代收",$D218="我方收款"),COUNTIFS($D$5:$D218,"挂靠代收")+COUNTIFS($D$5:$D218,"我方收款"),"")</f>
        <v>29</v>
      </c>
      <c r="Y218" s="35" t="s">
        <v>117</v>
      </c>
      <c r="Z218" s="21" t="s">
        <v>111</v>
      </c>
    </row>
    <row r="219" customFormat="false" ht="15.75" hidden="false" customHeight="true" outlineLevel="0" collapsed="false">
      <c r="A219" s="32" t="n">
        <f aca="false">IF($B219="","",ROW()-4)</f>
        <v>215</v>
      </c>
      <c r="B219" s="26" t="n">
        <v>46203</v>
      </c>
      <c r="C219" s="24" t="s">
        <v>190</v>
      </c>
      <c r="D219" s="21" t="s">
        <v>319</v>
      </c>
      <c r="E219" s="21" t="s">
        <v>97</v>
      </c>
      <c r="F219" s="21" t="s">
        <v>119</v>
      </c>
      <c r="G219" s="21"/>
      <c r="H219" s="27" t="n">
        <v>30000</v>
      </c>
      <c r="I219" s="23" t="str">
        <f aca="false">IF($D219&lt;&gt;"销项开票","",IF($N219="一级",IF(IFERROR(INDEX(项目档案!$E$6:$E$255,MATCH($C219,项目档案!$A$6:$A$255,0)),"")="",N(IFERROR(INDEX(单位档案!$D$6:$D$35,MATCH($E219,单位档案!$A$6:$A$35,0)),"")),IFERROR(INDEX(项目档案!$E$6:$E$255,MATCH($C219,项目档案!$A$6:$A$255,0)),"")),IF($N219="二级",IF(IFERROR(INDEX(项目档案!$G$6:$G$255,MATCH($C219,项目档案!$A$6:$A$255,0)),"")="",N(IFERROR(INDEX(单位档案!$D$6:$D$35,MATCH($E219,单位档案!$A$6:$A$35,0)),"")),IFERROR(INDEX(项目档案!$G$6:$G$255,MATCH($C219,项目档案!$A$6:$A$255,0)),"")),N(IFERROR(INDEX(单位档案!$D$6:$D$35,MATCH($E219,单位档案!$A$6:$A$35,0)),"")))))</f>
        <v/>
      </c>
      <c r="J219" s="25" t="s">
        <v>504</v>
      </c>
      <c r="K219" s="22" t="s">
        <v>313</v>
      </c>
      <c r="L219" s="33" t="str">
        <f aca="false">IF($B219="","",IF(NOT(ISNUMBER($B219)),"日期格式不对",IF($C219="","未选项目编号",IF(LEFT($M219,1)="⚠","项目编号不存在",IF($D219="","未选业务类型",IF($E219="","未选开票/付款方",IF(ISNA(MATCH($E219,单位档案!$A$6:$A$35,0)),"开票方不在单位档案",IF($F219="","未选收票/收款方",IF(ISNA(MATCH($F219,单位档案!$A$6:$A$35,0)),"收款方不在单位档案",IF(NOT(ISNUMBER($H219)),"金额须为数字",IF(AND($D219="销项开票",$N219="—"),"链条待确认","√")))))))))))</f>
        <v>√</v>
      </c>
      <c r="M219" s="34" t="str">
        <f aca="false">IF($C219="","",IFERROR(INDEX(项目档案!$B$6:$B$255,MATCH($C219,项目档案!$A$6:$A$255,0)),"⚠项目编号不存在"))</f>
        <v>重庆民能实业有限公司2025-2026年度工程用施工机具等租赁服务框架采购（国网重庆铜梁公司110kV金湖东西电缆改造）</v>
      </c>
      <c r="N219" s="35" t="str">
        <f aca="false">IF($E219="","",IF($E219=IFERROR(INDEX(项目档案!$D$6:$D$255,MATCH($C219,项目档案!$A$6:$A$255,0)),""),"一级",IF($E219=IFERROR(INDEX(项目档案!$F$6:$F$255,MATCH($C219,项目档案!$A$6:$A$255,0)),""),"二级",IF($E219=IFERROR(INDEX(项目档案!$H$6:$H$255,MATCH($C219,项目档案!$A$6:$A$255,0)),""),"我方","—"))))</f>
        <v>—</v>
      </c>
      <c r="O219" s="36" t="n">
        <f aca="false">IF($D219&lt;&gt;"销项开票",0,ROUND(N($H219)*N($I219),2))</f>
        <v>0</v>
      </c>
      <c r="P219" s="36" t="n">
        <f aca="false">IF($D219&lt;&gt;"销项开票",0,ROUND(N($H219)-$O219,2))</f>
        <v>0</v>
      </c>
      <c r="Q219" s="37" t="n">
        <f aca="false">IF($E219="","",N(IFERROR(INDEX(单位档案!$E$6:$E$35,MATCH($E219,单位档案!$A$6:$A$35,0)),"")))</f>
        <v>0</v>
      </c>
      <c r="R219" s="37" t="n">
        <f aca="false">IF($E219="","",N(IFERROR(INDEX(单位档案!$F$6:$F$35,MATCH($E219,单位档案!$A$6:$A$35,0)),"")))</f>
        <v>0</v>
      </c>
      <c r="S219" s="36" t="n">
        <f aca="false">IF(OR($D219&lt;&gt;"销项开票",IFERROR(INDEX(单位档案!$G$6:$G$35,MATCH($E219,单位档案!$A$6:$A$35,0)),"")&lt;&gt;"是",N($Q219)=0),0,IF(IFERROR(INDEX(单位档案!$H$6:$H$35,MATCH($E219,单位档案!$A$6:$A$35,0)),"")="税差法",ROUND(N($H219)/(1+$Q219)*$Q219-IF(N($R219)=0,0,$P219/(1+$R219)*$R219),2),ROUND(N($H219)/(1+$Q219)*$Q219,2)))</f>
        <v>0</v>
      </c>
      <c r="T219" s="36" t="n">
        <f aca="false">ROUND($S219*N(IFERROR(INDEX(单位档案!$J$6:$J$35,MATCH($E219,单位档案!$A$6:$A$35,0)),"")),2)</f>
        <v>0</v>
      </c>
      <c r="U219" s="36" t="n">
        <f aca="false">IF($D219&lt;&gt;"销项开票",0,ROUND(N($H219)*N(IFERROR(INDEX(单位档案!$K$6:$K$35,MATCH($E219,单位档案!$A$6:$A$35,0)),"")),2))</f>
        <v>0</v>
      </c>
      <c r="V219" s="36" t="n">
        <f aca="false">IF(OR($D219&lt;&gt;"销项开票",N($Q219)=0),0,ROUND(N($H219)/(1+$Q219)*N(IFERROR(INDEX(单位档案!$L$6:$L$35,MATCH($E219,单位档案!$A$6:$A$35,0)),"")),2))</f>
        <v>0</v>
      </c>
      <c r="W219" s="36" t="n">
        <f aca="false">ROUND($S219+$T219+$U219+$V219,2)</f>
        <v>0</v>
      </c>
      <c r="X219" s="35" t="n">
        <f aca="false">IF(OR($D219="挂靠代收",$D219="我方收款"),COUNTIFS($D$5:$D219,"挂靠代收")+COUNTIFS($D$5:$D219,"我方收款"),"")</f>
        <v>30</v>
      </c>
      <c r="Y219" s="35" t="s">
        <v>119</v>
      </c>
      <c r="Z219" s="21" t="s">
        <v>111</v>
      </c>
    </row>
    <row r="220" customFormat="false" ht="15.75" hidden="false" customHeight="true" outlineLevel="0" collapsed="false">
      <c r="A220" s="32" t="n">
        <f aca="false">IF($B220="","",ROW()-4)</f>
        <v>216</v>
      </c>
      <c r="B220" s="26" t="n">
        <v>46203</v>
      </c>
      <c r="C220" s="24" t="s">
        <v>190</v>
      </c>
      <c r="D220" s="21" t="s">
        <v>320</v>
      </c>
      <c r="E220" s="21" t="s">
        <v>119</v>
      </c>
      <c r="F220" s="21" t="s">
        <v>127</v>
      </c>
      <c r="G220" s="21"/>
      <c r="H220" s="27" t="n">
        <v>30000</v>
      </c>
      <c r="I220" s="23" t="str">
        <f aca="false">IF($D220&lt;&gt;"销项开票","",IF($N220="一级",IF(IFERROR(INDEX(项目档案!$E$6:$E$255,MATCH($C220,项目档案!$A$6:$A$255,0)),"")="",N(IFERROR(INDEX(单位档案!$D$6:$D$35,MATCH($E220,单位档案!$A$6:$A$35,0)),"")),IFERROR(INDEX(项目档案!$E$6:$E$255,MATCH($C220,项目档案!$A$6:$A$255,0)),"")),IF($N220="二级",IF(IFERROR(INDEX(项目档案!$G$6:$G$255,MATCH($C220,项目档案!$A$6:$A$255,0)),"")="",N(IFERROR(INDEX(单位档案!$D$6:$D$35,MATCH($E220,单位档案!$A$6:$A$35,0)),"")),IFERROR(INDEX(项目档案!$G$6:$G$255,MATCH($C220,项目档案!$A$6:$A$255,0)),"")),N(IFERROR(INDEX(单位档案!$D$6:$D$35,MATCH($E220,单位档案!$A$6:$A$35,0)),"")))))</f>
        <v/>
      </c>
      <c r="J220" s="25" t="s">
        <v>504</v>
      </c>
      <c r="K220" s="22" t="s">
        <v>313</v>
      </c>
      <c r="L220" s="33" t="str">
        <f aca="false">IF($B220="","",IF(NOT(ISNUMBER($B220)),"日期格式不对",IF($C220="","未选项目编号",IF(LEFT($M220,1)="⚠","项目编号不存在",IF($D220="","未选业务类型",IF($E220="","未选开票/付款方",IF(ISNA(MATCH($E220,单位档案!$A$6:$A$35,0)),"开票方不在单位档案",IF($F220="","未选收票/收款方",IF(ISNA(MATCH($F220,单位档案!$A$6:$A$35,0)),"收款方不在单位档案",IF(NOT(ISNUMBER($H220)),"金额须为数字",IF(AND($D220="销项开票",$N220="—"),"链条待确认","√")))))))))))</f>
        <v>√</v>
      </c>
      <c r="M220" s="34" t="str">
        <f aca="false">IF($C220="","",IFERROR(INDEX(项目档案!$B$6:$B$255,MATCH($C220,项目档案!$A$6:$A$255,0)),"⚠项目编号不存在"))</f>
        <v>重庆民能实业有限公司2025-2026年度工程用施工机具等租赁服务框架采购（国网重庆铜梁公司110kV金湖东西电缆改造）</v>
      </c>
      <c r="N220" s="35" t="str">
        <f aca="false">IF($E220="","",IF($E220=IFERROR(INDEX(项目档案!$D$6:$D$255,MATCH($C220,项目档案!$A$6:$A$255,0)),""),"一级",IF($E220=IFERROR(INDEX(项目档案!$F$6:$F$255,MATCH($C220,项目档案!$A$6:$A$255,0)),""),"二级",IF($E220=IFERROR(INDEX(项目档案!$H$6:$H$255,MATCH($C220,项目档案!$A$6:$A$255,0)),""),"我方","—"))))</f>
        <v>一级</v>
      </c>
      <c r="O220" s="36" t="n">
        <f aca="false">IF($D220&lt;&gt;"销项开票",0,ROUND(N($H220)*N($I220),2))</f>
        <v>0</v>
      </c>
      <c r="P220" s="36" t="n">
        <f aca="false">IF($D220&lt;&gt;"销项开票",0,ROUND(N($H220)-$O220,2))</f>
        <v>0</v>
      </c>
      <c r="Q220" s="37" t="n">
        <f aca="false">IF($E220="","",N(IFERROR(INDEX(单位档案!$E$6:$E$35,MATCH($E220,单位档案!$A$6:$A$35,0)),"")))</f>
        <v>0.09</v>
      </c>
      <c r="R220" s="37" t="n">
        <f aca="false">IF($E220="","",N(IFERROR(INDEX(单位档案!$F$6:$F$35,MATCH($E220,单位档案!$A$6:$A$35,0)),"")))</f>
        <v>0.03</v>
      </c>
      <c r="S220" s="36" t="n">
        <f aca="false">IF(OR($D220&lt;&gt;"销项开票",IFERROR(INDEX(单位档案!$G$6:$G$35,MATCH($E220,单位档案!$A$6:$A$35,0)),"")&lt;&gt;"是",N($Q220)=0),0,IF(IFERROR(INDEX(单位档案!$H$6:$H$35,MATCH($E220,单位档案!$A$6:$A$35,0)),"")="税差法",ROUND(N($H220)/(1+$Q220)*$Q220-IF(N($R220)=0,0,$P220/(1+$R220)*$R220),2),ROUND(N($H220)/(1+$Q220)*$Q220,2)))</f>
        <v>0</v>
      </c>
      <c r="T220" s="36" t="n">
        <f aca="false">ROUND($S220*N(IFERROR(INDEX(单位档案!$J$6:$J$35,MATCH($E220,单位档案!$A$6:$A$35,0)),"")),2)</f>
        <v>0</v>
      </c>
      <c r="U220" s="36" t="n">
        <f aca="false">IF($D220&lt;&gt;"销项开票",0,ROUND(N($H220)*N(IFERROR(INDEX(单位档案!$K$6:$K$35,MATCH($E220,单位档案!$A$6:$A$35,0)),"")),2))</f>
        <v>0</v>
      </c>
      <c r="V220" s="36" t="n">
        <f aca="false">IF(OR($D220&lt;&gt;"销项开票",N($Q220)=0),0,ROUND(N($H220)/(1+$Q220)*N(IFERROR(INDEX(单位档案!$L$6:$L$35,MATCH($E220,单位档案!$A$6:$A$35,0)),"")),2))</f>
        <v>0</v>
      </c>
      <c r="W220" s="36" t="n">
        <f aca="false">ROUND($S220+$T220+$U220+$V220,2)</f>
        <v>0</v>
      </c>
      <c r="X220" s="35" t="n">
        <f aca="false">IF(OR($D220="挂靠代收",$D220="我方收款"),COUNTIFS($D$5:$D220,"挂靠代收")+COUNTIFS($D$5:$D220,"我方收款"),"")</f>
        <v>31</v>
      </c>
      <c r="Y220" s="35" t="s">
        <v>119</v>
      </c>
      <c r="Z220" s="21" t="s">
        <v>111</v>
      </c>
    </row>
    <row r="221" customFormat="false" ht="15.75" hidden="false" customHeight="true" outlineLevel="0" collapsed="false">
      <c r="A221" s="32" t="n">
        <f aca="false">IF($B221="","",ROW()-4)</f>
        <v>217</v>
      </c>
      <c r="B221" s="26" t="n">
        <v>46203</v>
      </c>
      <c r="C221" s="24" t="s">
        <v>190</v>
      </c>
      <c r="D221" s="21" t="s">
        <v>319</v>
      </c>
      <c r="E221" s="21" t="s">
        <v>97</v>
      </c>
      <c r="F221" s="21" t="s">
        <v>119</v>
      </c>
      <c r="G221" s="21"/>
      <c r="H221" s="27" t="n">
        <v>60000</v>
      </c>
      <c r="I221" s="23" t="str">
        <f aca="false">IF($D221&lt;&gt;"销项开票","",IF($N221="一级",IF(IFERROR(INDEX(项目档案!$E$6:$E$255,MATCH($C221,项目档案!$A$6:$A$255,0)),"")="",N(IFERROR(INDEX(单位档案!$D$6:$D$35,MATCH($E221,单位档案!$A$6:$A$35,0)),"")),IFERROR(INDEX(项目档案!$E$6:$E$255,MATCH($C221,项目档案!$A$6:$A$255,0)),"")),IF($N221="二级",IF(IFERROR(INDEX(项目档案!$G$6:$G$255,MATCH($C221,项目档案!$A$6:$A$255,0)),"")="",N(IFERROR(INDEX(单位档案!$D$6:$D$35,MATCH($E221,单位档案!$A$6:$A$35,0)),"")),IFERROR(INDEX(项目档案!$G$6:$G$255,MATCH($C221,项目档案!$A$6:$A$255,0)),"")),N(IFERROR(INDEX(单位档案!$D$6:$D$35,MATCH($E221,单位档案!$A$6:$A$35,0)),"")))))</f>
        <v/>
      </c>
      <c r="J221" s="25" t="s">
        <v>505</v>
      </c>
      <c r="K221" s="22" t="s">
        <v>313</v>
      </c>
      <c r="L221" s="33" t="str">
        <f aca="false">IF($B221="","",IF(NOT(ISNUMBER($B221)),"日期格式不对",IF($C221="","未选项目编号",IF(LEFT($M221,1)="⚠","项目编号不存在",IF($D221="","未选业务类型",IF($E221="","未选开票/付款方",IF(ISNA(MATCH($E221,单位档案!$A$6:$A$35,0)),"开票方不在单位档案",IF($F221="","未选收票/收款方",IF(ISNA(MATCH($F221,单位档案!$A$6:$A$35,0)),"收款方不在单位档案",IF(NOT(ISNUMBER($H221)),"金额须为数字",IF(AND($D221="销项开票",$N221="—"),"链条待确认","√")))))))))))</f>
        <v>√</v>
      </c>
      <c r="M221" s="34" t="str">
        <f aca="false">IF($C221="","",IFERROR(INDEX(项目档案!$B$6:$B$255,MATCH($C221,项目档案!$A$6:$A$255,0)),"⚠项目编号不存在"))</f>
        <v>重庆民能实业有限公司2025-2026年度工程用施工机具等租赁服务框架采购（国网重庆铜梁公司110kV金湖东西电缆改造）</v>
      </c>
      <c r="N221" s="35" t="str">
        <f aca="false">IF($E221="","",IF($E221=IFERROR(INDEX(项目档案!$D$6:$D$255,MATCH($C221,项目档案!$A$6:$A$255,0)),""),"一级",IF($E221=IFERROR(INDEX(项目档案!$F$6:$F$255,MATCH($C221,项目档案!$A$6:$A$255,0)),""),"二级",IF($E221=IFERROR(INDEX(项目档案!$H$6:$H$255,MATCH($C221,项目档案!$A$6:$A$255,0)),""),"我方","—"))))</f>
        <v>—</v>
      </c>
      <c r="O221" s="36" t="n">
        <f aca="false">IF($D221&lt;&gt;"销项开票",0,ROUND(N($H221)*N($I221),2))</f>
        <v>0</v>
      </c>
      <c r="P221" s="36" t="n">
        <f aca="false">IF($D221&lt;&gt;"销项开票",0,ROUND(N($H221)-$O221,2))</f>
        <v>0</v>
      </c>
      <c r="Q221" s="37" t="n">
        <f aca="false">IF($E221="","",N(IFERROR(INDEX(单位档案!$E$6:$E$35,MATCH($E221,单位档案!$A$6:$A$35,0)),"")))</f>
        <v>0</v>
      </c>
      <c r="R221" s="37" t="n">
        <f aca="false">IF($E221="","",N(IFERROR(INDEX(单位档案!$F$6:$F$35,MATCH($E221,单位档案!$A$6:$A$35,0)),"")))</f>
        <v>0</v>
      </c>
      <c r="S221" s="36" t="n">
        <f aca="false">IF(OR($D221&lt;&gt;"销项开票",IFERROR(INDEX(单位档案!$G$6:$G$35,MATCH($E221,单位档案!$A$6:$A$35,0)),"")&lt;&gt;"是",N($Q221)=0),0,IF(IFERROR(INDEX(单位档案!$H$6:$H$35,MATCH($E221,单位档案!$A$6:$A$35,0)),"")="税差法",ROUND(N($H221)/(1+$Q221)*$Q221-IF(N($R221)=0,0,$P221/(1+$R221)*$R221),2),ROUND(N($H221)/(1+$Q221)*$Q221,2)))</f>
        <v>0</v>
      </c>
      <c r="T221" s="36" t="n">
        <f aca="false">ROUND($S221*N(IFERROR(INDEX(单位档案!$J$6:$J$35,MATCH($E221,单位档案!$A$6:$A$35,0)),"")),2)</f>
        <v>0</v>
      </c>
      <c r="U221" s="36" t="n">
        <f aca="false">IF($D221&lt;&gt;"销项开票",0,ROUND(N($H221)*N(IFERROR(INDEX(单位档案!$K$6:$K$35,MATCH($E221,单位档案!$A$6:$A$35,0)),"")),2))</f>
        <v>0</v>
      </c>
      <c r="V221" s="36" t="n">
        <f aca="false">IF(OR($D221&lt;&gt;"销项开票",N($Q221)=0),0,ROUND(N($H221)/(1+$Q221)*N(IFERROR(INDEX(单位档案!$L$6:$L$35,MATCH($E221,单位档案!$A$6:$A$35,0)),"")),2))</f>
        <v>0</v>
      </c>
      <c r="W221" s="36" t="n">
        <f aca="false">ROUND($S221+$T221+$U221+$V221,2)</f>
        <v>0</v>
      </c>
      <c r="X221" s="35" t="n">
        <f aca="false">IF(OR($D221="挂靠代收",$D221="我方收款"),COUNTIFS($D$5:$D221,"挂靠代收")+COUNTIFS($D$5:$D221,"我方收款"),"")</f>
        <v>32</v>
      </c>
      <c r="Y221" s="35" t="s">
        <v>119</v>
      </c>
      <c r="Z221" s="21" t="s">
        <v>111</v>
      </c>
    </row>
    <row r="222" customFormat="false" ht="15.75" hidden="false" customHeight="true" outlineLevel="0" collapsed="false">
      <c r="A222" s="32" t="n">
        <f aca="false">IF($B222="","",ROW()-4)</f>
        <v>218</v>
      </c>
      <c r="B222" s="26" t="n">
        <v>46203</v>
      </c>
      <c r="C222" s="24" t="s">
        <v>190</v>
      </c>
      <c r="D222" s="21" t="s">
        <v>320</v>
      </c>
      <c r="E222" s="21" t="s">
        <v>119</v>
      </c>
      <c r="F222" s="21" t="s">
        <v>127</v>
      </c>
      <c r="G222" s="21"/>
      <c r="H222" s="27" t="n">
        <v>60000</v>
      </c>
      <c r="I222" s="23" t="str">
        <f aca="false">IF($D222&lt;&gt;"销项开票","",IF($N222="一级",IF(IFERROR(INDEX(项目档案!$E$6:$E$255,MATCH($C222,项目档案!$A$6:$A$255,0)),"")="",N(IFERROR(INDEX(单位档案!$D$6:$D$35,MATCH($E222,单位档案!$A$6:$A$35,0)),"")),IFERROR(INDEX(项目档案!$E$6:$E$255,MATCH($C222,项目档案!$A$6:$A$255,0)),"")),IF($N222="二级",IF(IFERROR(INDEX(项目档案!$G$6:$G$255,MATCH($C222,项目档案!$A$6:$A$255,0)),"")="",N(IFERROR(INDEX(单位档案!$D$6:$D$35,MATCH($E222,单位档案!$A$6:$A$35,0)),"")),IFERROR(INDEX(项目档案!$G$6:$G$255,MATCH($C222,项目档案!$A$6:$A$255,0)),"")),N(IFERROR(INDEX(单位档案!$D$6:$D$35,MATCH($E222,单位档案!$A$6:$A$35,0)),"")))))</f>
        <v/>
      </c>
      <c r="J222" s="25" t="s">
        <v>505</v>
      </c>
      <c r="K222" s="22" t="s">
        <v>313</v>
      </c>
      <c r="L222" s="33" t="str">
        <f aca="false">IF($B222="","",IF(NOT(ISNUMBER($B222)),"日期格式不对",IF($C222="","未选项目编号",IF(LEFT($M222,1)="⚠","项目编号不存在",IF($D222="","未选业务类型",IF($E222="","未选开票/付款方",IF(ISNA(MATCH($E222,单位档案!$A$6:$A$35,0)),"开票方不在单位档案",IF($F222="","未选收票/收款方",IF(ISNA(MATCH($F222,单位档案!$A$6:$A$35,0)),"收款方不在单位档案",IF(NOT(ISNUMBER($H222)),"金额须为数字",IF(AND($D222="销项开票",$N222="—"),"链条待确认","√")))))))))))</f>
        <v>√</v>
      </c>
      <c r="M222" s="34" t="str">
        <f aca="false">IF($C222="","",IFERROR(INDEX(项目档案!$B$6:$B$255,MATCH($C222,项目档案!$A$6:$A$255,0)),"⚠项目编号不存在"))</f>
        <v>重庆民能实业有限公司2025-2026年度工程用施工机具等租赁服务框架采购（国网重庆铜梁公司110kV金湖东西电缆改造）</v>
      </c>
      <c r="N222" s="35" t="str">
        <f aca="false">IF($E222="","",IF($E222=IFERROR(INDEX(项目档案!$D$6:$D$255,MATCH($C222,项目档案!$A$6:$A$255,0)),""),"一级",IF($E222=IFERROR(INDEX(项目档案!$F$6:$F$255,MATCH($C222,项目档案!$A$6:$A$255,0)),""),"二级",IF($E222=IFERROR(INDEX(项目档案!$H$6:$H$255,MATCH($C222,项目档案!$A$6:$A$255,0)),""),"我方","—"))))</f>
        <v>一级</v>
      </c>
      <c r="O222" s="36" t="n">
        <f aca="false">IF($D222&lt;&gt;"销项开票",0,ROUND(N($H222)*N($I222),2))</f>
        <v>0</v>
      </c>
      <c r="P222" s="36" t="n">
        <f aca="false">IF($D222&lt;&gt;"销项开票",0,ROUND(N($H222)-$O222,2))</f>
        <v>0</v>
      </c>
      <c r="Q222" s="37" t="n">
        <f aca="false">IF($E222="","",N(IFERROR(INDEX(单位档案!$E$6:$E$35,MATCH($E222,单位档案!$A$6:$A$35,0)),"")))</f>
        <v>0.09</v>
      </c>
      <c r="R222" s="37" t="n">
        <f aca="false">IF($E222="","",N(IFERROR(INDEX(单位档案!$F$6:$F$35,MATCH($E222,单位档案!$A$6:$A$35,0)),"")))</f>
        <v>0.03</v>
      </c>
      <c r="S222" s="36" t="n">
        <f aca="false">IF(OR($D222&lt;&gt;"销项开票",IFERROR(INDEX(单位档案!$G$6:$G$35,MATCH($E222,单位档案!$A$6:$A$35,0)),"")&lt;&gt;"是",N($Q222)=0),0,IF(IFERROR(INDEX(单位档案!$H$6:$H$35,MATCH($E222,单位档案!$A$6:$A$35,0)),"")="税差法",ROUND(N($H222)/(1+$Q222)*$Q222-IF(N($R222)=0,0,$P222/(1+$R222)*$R222),2),ROUND(N($H222)/(1+$Q222)*$Q222,2)))</f>
        <v>0</v>
      </c>
      <c r="T222" s="36" t="n">
        <f aca="false">ROUND($S222*N(IFERROR(INDEX(单位档案!$J$6:$J$35,MATCH($E222,单位档案!$A$6:$A$35,0)),"")),2)</f>
        <v>0</v>
      </c>
      <c r="U222" s="36" t="n">
        <f aca="false">IF($D222&lt;&gt;"销项开票",0,ROUND(N($H222)*N(IFERROR(INDEX(单位档案!$K$6:$K$35,MATCH($E222,单位档案!$A$6:$A$35,0)),"")),2))</f>
        <v>0</v>
      </c>
      <c r="V222" s="36" t="n">
        <f aca="false">IF(OR($D222&lt;&gt;"销项开票",N($Q222)=0),0,ROUND(N($H222)/(1+$Q222)*N(IFERROR(INDEX(单位档案!$L$6:$L$35,MATCH($E222,单位档案!$A$6:$A$35,0)),"")),2))</f>
        <v>0</v>
      </c>
      <c r="W222" s="36" t="n">
        <f aca="false">ROUND($S222+$T222+$U222+$V222,2)</f>
        <v>0</v>
      </c>
      <c r="X222" s="35" t="n">
        <f aca="false">IF(OR($D222="挂靠代收",$D222="我方收款"),COUNTIFS($D$5:$D222,"挂靠代收")+COUNTIFS($D$5:$D222,"我方收款"),"")</f>
        <v>33</v>
      </c>
      <c r="Y222" s="35" t="s">
        <v>119</v>
      </c>
      <c r="Z222" s="21" t="s">
        <v>111</v>
      </c>
    </row>
    <row r="223" customFormat="false" ht="15.75" hidden="false" customHeight="true" outlineLevel="0" collapsed="false">
      <c r="A223" s="32" t="n">
        <f aca="false">IF($B223="","",ROW()-4)</f>
        <v>219</v>
      </c>
      <c r="B223" s="26" t="n">
        <v>46203</v>
      </c>
      <c r="C223" s="24" t="s">
        <v>193</v>
      </c>
      <c r="D223" s="21" t="s">
        <v>319</v>
      </c>
      <c r="E223" s="21" t="s">
        <v>97</v>
      </c>
      <c r="F223" s="21" t="s">
        <v>119</v>
      </c>
      <c r="G223" s="21"/>
      <c r="H223" s="27" t="n">
        <v>100000</v>
      </c>
      <c r="I223" s="23" t="str">
        <f aca="false">IF($D223&lt;&gt;"销项开票","",IF($N223="一级",IF(IFERROR(INDEX(项目档案!$E$6:$E$255,MATCH($C223,项目档案!$A$6:$A$255,0)),"")="",N(IFERROR(INDEX(单位档案!$D$6:$D$35,MATCH($E223,单位档案!$A$6:$A$35,0)),"")),IFERROR(INDEX(项目档案!$E$6:$E$255,MATCH($C223,项目档案!$A$6:$A$255,0)),"")),IF($N223="二级",IF(IFERROR(INDEX(项目档案!$G$6:$G$255,MATCH($C223,项目档案!$A$6:$A$255,0)),"")="",N(IFERROR(INDEX(单位档案!$D$6:$D$35,MATCH($E223,单位档案!$A$6:$A$35,0)),"")),IFERROR(INDEX(项目档案!$G$6:$G$255,MATCH($C223,项目档案!$A$6:$A$255,0)),"")),N(IFERROR(INDEX(单位档案!$D$6:$D$35,MATCH($E223,单位档案!$A$6:$A$35,0)),"")))))</f>
        <v/>
      </c>
      <c r="J223" s="25" t="s">
        <v>506</v>
      </c>
      <c r="K223" s="22" t="s">
        <v>313</v>
      </c>
      <c r="L223" s="33" t="str">
        <f aca="false">IF($B223="","",IF(NOT(ISNUMBER($B223)),"日期格式不对",IF($C223="","未选项目编号",IF(LEFT($M223,1)="⚠","项目编号不存在",IF($D223="","未选业务类型",IF($E223="","未选开票/付款方",IF(ISNA(MATCH($E223,单位档案!$A$6:$A$35,0)),"开票方不在单位档案",IF($F223="","未选收票/收款方",IF(ISNA(MATCH($F223,单位档案!$A$6:$A$35,0)),"收款方不在单位档案",IF(NOT(ISNUMBER($H223)),"金额须为数字",IF(AND($D223="销项开票",$N223="—"),"链条待确认","√")))))))))))</f>
        <v>√</v>
      </c>
      <c r="M223" s="34" t="str">
        <f aca="false">IF($C223="","",IFERROR(INDEX(项目档案!$B$6:$B$255,MATCH($C223,项目档案!$A$6:$A$255,0)),"⚠项目编号不存在"))</f>
        <v>铜梁区园区屋顶分布式光伏发电建设项目-10kV电力新建工程（康欣3W，泓普7W）</v>
      </c>
      <c r="N223" s="35" t="str">
        <f aca="false">IF($E223="","",IF($E223=IFERROR(INDEX(项目档案!$D$6:$D$255,MATCH($C223,项目档案!$A$6:$A$255,0)),""),"一级",IF($E223=IFERROR(INDEX(项目档案!$F$6:$F$255,MATCH($C223,项目档案!$A$6:$A$255,0)),""),"二级",IF($E223=IFERROR(INDEX(项目档案!$H$6:$H$255,MATCH($C223,项目档案!$A$6:$A$255,0)),""),"我方","—"))))</f>
        <v>—</v>
      </c>
      <c r="O223" s="36" t="n">
        <f aca="false">IF($D223&lt;&gt;"销项开票",0,ROUND(N($H223)*N($I223),2))</f>
        <v>0</v>
      </c>
      <c r="P223" s="36" t="n">
        <f aca="false">IF($D223&lt;&gt;"销项开票",0,ROUND(N($H223)-$O223,2))</f>
        <v>0</v>
      </c>
      <c r="Q223" s="37" t="n">
        <f aca="false">IF($E223="","",N(IFERROR(INDEX(单位档案!$E$6:$E$35,MATCH($E223,单位档案!$A$6:$A$35,0)),"")))</f>
        <v>0</v>
      </c>
      <c r="R223" s="37" t="n">
        <f aca="false">IF($E223="","",N(IFERROR(INDEX(单位档案!$F$6:$F$35,MATCH($E223,单位档案!$A$6:$A$35,0)),"")))</f>
        <v>0</v>
      </c>
      <c r="S223" s="36" t="n">
        <f aca="false">IF(OR($D223&lt;&gt;"销项开票",IFERROR(INDEX(单位档案!$G$6:$G$35,MATCH($E223,单位档案!$A$6:$A$35,0)),"")&lt;&gt;"是",N($Q223)=0),0,IF(IFERROR(INDEX(单位档案!$H$6:$H$35,MATCH($E223,单位档案!$A$6:$A$35,0)),"")="税差法",ROUND(N($H223)/(1+$Q223)*$Q223-IF(N($R223)=0,0,$P223/(1+$R223)*$R223),2),ROUND(N($H223)/(1+$Q223)*$Q223,2)))</f>
        <v>0</v>
      </c>
      <c r="T223" s="36" t="n">
        <f aca="false">ROUND($S223*N(IFERROR(INDEX(单位档案!$J$6:$J$35,MATCH($E223,单位档案!$A$6:$A$35,0)),"")),2)</f>
        <v>0</v>
      </c>
      <c r="U223" s="36" t="n">
        <f aca="false">IF($D223&lt;&gt;"销项开票",0,ROUND(N($H223)*N(IFERROR(INDEX(单位档案!$K$6:$K$35,MATCH($E223,单位档案!$A$6:$A$35,0)),"")),2))</f>
        <v>0</v>
      </c>
      <c r="V223" s="36" t="n">
        <f aca="false">IF(OR($D223&lt;&gt;"销项开票",N($Q223)=0),0,ROUND(N($H223)/(1+$Q223)*N(IFERROR(INDEX(单位档案!$L$6:$L$35,MATCH($E223,单位档案!$A$6:$A$35,0)),"")),2))</f>
        <v>0</v>
      </c>
      <c r="W223" s="36" t="n">
        <f aca="false">ROUND($S223+$T223+$U223+$V223,2)</f>
        <v>0</v>
      </c>
      <c r="X223" s="35" t="n">
        <f aca="false">IF(OR($D223="挂靠代收",$D223="我方收款"),COUNTIFS($D$5:$D223,"挂靠代收")+COUNTIFS($D$5:$D223,"我方收款"),"")</f>
        <v>34</v>
      </c>
      <c r="Y223" s="35" t="s">
        <v>119</v>
      </c>
      <c r="Z223" s="21" t="s">
        <v>111</v>
      </c>
    </row>
    <row r="224" customFormat="false" ht="15.75" hidden="false" customHeight="true" outlineLevel="0" collapsed="false">
      <c r="A224" s="32" t="n">
        <f aca="false">IF($B224="","",ROW()-4)</f>
        <v>220</v>
      </c>
      <c r="B224" s="26" t="n">
        <v>46203</v>
      </c>
      <c r="C224" s="24" t="s">
        <v>193</v>
      </c>
      <c r="D224" s="21" t="s">
        <v>320</v>
      </c>
      <c r="E224" s="21" t="s">
        <v>119</v>
      </c>
      <c r="F224" s="21" t="s">
        <v>127</v>
      </c>
      <c r="G224" s="21"/>
      <c r="H224" s="27" t="n">
        <v>70000</v>
      </c>
      <c r="I224" s="23" t="str">
        <f aca="false">IF($D224&lt;&gt;"销项开票","",IF($N224="一级",IF(IFERROR(INDEX(项目档案!$E$6:$E$255,MATCH($C224,项目档案!$A$6:$A$255,0)),"")="",N(IFERROR(INDEX(单位档案!$D$6:$D$35,MATCH($E224,单位档案!$A$6:$A$35,0)),"")),IFERROR(INDEX(项目档案!$E$6:$E$255,MATCH($C224,项目档案!$A$6:$A$255,0)),"")),IF($N224="二级",IF(IFERROR(INDEX(项目档案!$G$6:$G$255,MATCH($C224,项目档案!$A$6:$A$255,0)),"")="",N(IFERROR(INDEX(单位档案!$D$6:$D$35,MATCH($E224,单位档案!$A$6:$A$35,0)),"")),IFERROR(INDEX(项目档案!$G$6:$G$255,MATCH($C224,项目档案!$A$6:$A$255,0)),"")),N(IFERROR(INDEX(单位档案!$D$6:$D$35,MATCH($E224,单位档案!$A$6:$A$35,0)),"")))))</f>
        <v/>
      </c>
      <c r="J224" s="25" t="s">
        <v>506</v>
      </c>
      <c r="K224" s="22" t="s">
        <v>313</v>
      </c>
      <c r="L224" s="33" t="str">
        <f aca="false">IF($B224="","",IF(NOT(ISNUMBER($B224)),"日期格式不对",IF($C224="","未选项目编号",IF(LEFT($M224,1)="⚠","项目编号不存在",IF($D224="","未选业务类型",IF($E224="","未选开票/付款方",IF(ISNA(MATCH($E224,单位档案!$A$6:$A$35,0)),"开票方不在单位档案",IF($F224="","未选收票/收款方",IF(ISNA(MATCH($F224,单位档案!$A$6:$A$35,0)),"收款方不在单位档案",IF(NOT(ISNUMBER($H224)),"金额须为数字",IF(AND($D224="销项开票",$N224="—"),"链条待确认","√")))))))))))</f>
        <v>√</v>
      </c>
      <c r="M224" s="34" t="str">
        <f aca="false">IF($C224="","",IFERROR(INDEX(项目档案!$B$6:$B$255,MATCH($C224,项目档案!$A$6:$A$255,0)),"⚠项目编号不存在"))</f>
        <v>铜梁区园区屋顶分布式光伏发电建设项目-10kV电力新建工程（康欣3W，泓普7W）</v>
      </c>
      <c r="N224" s="35" t="str">
        <f aca="false">IF($E224="","",IF($E224=IFERROR(INDEX(项目档案!$D$6:$D$255,MATCH($C224,项目档案!$A$6:$A$255,0)),""),"一级",IF($E224=IFERROR(INDEX(项目档案!$F$6:$F$255,MATCH($C224,项目档案!$A$6:$A$255,0)),""),"二级",IF($E224=IFERROR(INDEX(项目档案!$H$6:$H$255,MATCH($C224,项目档案!$A$6:$A$255,0)),""),"我方","—"))))</f>
        <v>一级</v>
      </c>
      <c r="O224" s="36" t="n">
        <f aca="false">IF($D224&lt;&gt;"销项开票",0,ROUND(N($H224)*N($I224),2))</f>
        <v>0</v>
      </c>
      <c r="P224" s="36" t="n">
        <f aca="false">IF($D224&lt;&gt;"销项开票",0,ROUND(N($H224)-$O224,2))</f>
        <v>0</v>
      </c>
      <c r="Q224" s="37" t="n">
        <f aca="false">IF($E224="","",N(IFERROR(INDEX(单位档案!$E$6:$E$35,MATCH($E224,单位档案!$A$6:$A$35,0)),"")))</f>
        <v>0.09</v>
      </c>
      <c r="R224" s="37" t="n">
        <f aca="false">IF($E224="","",N(IFERROR(INDEX(单位档案!$F$6:$F$35,MATCH($E224,单位档案!$A$6:$A$35,0)),"")))</f>
        <v>0.03</v>
      </c>
      <c r="S224" s="36" t="n">
        <f aca="false">IF(OR($D224&lt;&gt;"销项开票",IFERROR(INDEX(单位档案!$G$6:$G$35,MATCH($E224,单位档案!$A$6:$A$35,0)),"")&lt;&gt;"是",N($Q224)=0),0,IF(IFERROR(INDEX(单位档案!$H$6:$H$35,MATCH($E224,单位档案!$A$6:$A$35,0)),"")="税差法",ROUND(N($H224)/(1+$Q224)*$Q224-IF(N($R224)=0,0,$P224/(1+$R224)*$R224),2),ROUND(N($H224)/(1+$Q224)*$Q224,2)))</f>
        <v>0</v>
      </c>
      <c r="T224" s="36" t="n">
        <f aca="false">ROUND($S224*N(IFERROR(INDEX(单位档案!$J$6:$J$35,MATCH($E224,单位档案!$A$6:$A$35,0)),"")),2)</f>
        <v>0</v>
      </c>
      <c r="U224" s="36" t="n">
        <f aca="false">IF($D224&lt;&gt;"销项开票",0,ROUND(N($H224)*N(IFERROR(INDEX(单位档案!$K$6:$K$35,MATCH($E224,单位档案!$A$6:$A$35,0)),"")),2))</f>
        <v>0</v>
      </c>
      <c r="V224" s="36" t="n">
        <f aca="false">IF(OR($D224&lt;&gt;"销项开票",N($Q224)=0),0,ROUND(N($H224)/(1+$Q224)*N(IFERROR(INDEX(单位档案!$L$6:$L$35,MATCH($E224,单位档案!$A$6:$A$35,0)),"")),2))</f>
        <v>0</v>
      </c>
      <c r="W224" s="36" t="n">
        <f aca="false">ROUND($S224+$T224+$U224+$V224,2)</f>
        <v>0</v>
      </c>
      <c r="X224" s="35" t="n">
        <f aca="false">IF(OR($D224="挂靠代收",$D224="我方收款"),COUNTIFS($D$5:$D224,"挂靠代收")+COUNTIFS($D$5:$D224,"我方收款"),"")</f>
        <v>35</v>
      </c>
      <c r="Y224" s="35" t="s">
        <v>119</v>
      </c>
      <c r="Z224" s="21" t="s">
        <v>111</v>
      </c>
    </row>
    <row r="225" customFormat="false" ht="15.75" hidden="false" customHeight="true" outlineLevel="0" collapsed="false">
      <c r="A225" s="32" t="n">
        <f aca="false">IF($B225="","",ROW()-4)</f>
        <v>221</v>
      </c>
      <c r="B225" s="26" t="n">
        <v>46203</v>
      </c>
      <c r="C225" s="24" t="s">
        <v>183</v>
      </c>
      <c r="D225" s="21" t="s">
        <v>319</v>
      </c>
      <c r="E225" s="21" t="s">
        <v>97</v>
      </c>
      <c r="F225" s="21" t="s">
        <v>119</v>
      </c>
      <c r="G225" s="21"/>
      <c r="H225" s="27" t="n">
        <v>16500</v>
      </c>
      <c r="I225" s="23" t="str">
        <f aca="false">IF($D225&lt;&gt;"销项开票","",IF($N225="一级",IF(IFERROR(INDEX(项目档案!$E$6:$E$255,MATCH($C225,项目档案!$A$6:$A$255,0)),"")="",N(IFERROR(INDEX(单位档案!$D$6:$D$35,MATCH($E225,单位档案!$A$6:$A$35,0)),"")),IFERROR(INDEX(项目档案!$E$6:$E$255,MATCH($C225,项目档案!$A$6:$A$255,0)),"")),IF($N225="二级",IF(IFERROR(INDEX(项目档案!$G$6:$G$255,MATCH($C225,项目档案!$A$6:$A$255,0)),"")="",N(IFERROR(INDEX(单位档案!$D$6:$D$35,MATCH($E225,单位档案!$A$6:$A$35,0)),"")),IFERROR(INDEX(项目档案!$G$6:$G$255,MATCH($C225,项目档案!$A$6:$A$255,0)),"")),N(IFERROR(INDEX(单位档案!$D$6:$D$35,MATCH($E225,单位档案!$A$6:$A$35,0)),"")))))</f>
        <v/>
      </c>
      <c r="J225" s="25" t="s">
        <v>507</v>
      </c>
      <c r="K225" s="22" t="s">
        <v>313</v>
      </c>
      <c r="L225" s="33" t="str">
        <f aca="false">IF($B225="","",IF(NOT(ISNUMBER($B225)),"日期格式不对",IF($C225="","未选项目编号",IF(LEFT($M225,1)="⚠","项目编号不存在",IF($D225="","未选业务类型",IF($E225="","未选开票/付款方",IF(ISNA(MATCH($E225,单位档案!$A$6:$A$35,0)),"开票方不在单位档案",IF($F225="","未选收票/收款方",IF(ISNA(MATCH($F225,单位档案!$A$6:$A$35,0)),"收款方不在单位档案",IF(NOT(ISNUMBER($H225)),"金额须为数字",IF(AND($D225="销项开票",$N225="—"),"链条待确认","√")))))))))))</f>
        <v>√</v>
      </c>
      <c r="M225" s="34" t="str">
        <f aca="false">IF($C225="","",IFERROR(INDEX(项目档案!$B$6:$B$255,MATCH($C225,项目档案!$A$6:$A$255,0)),"⚠项目编号不存在"))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225" s="35" t="str">
        <f aca="false">IF($E225="","",IF($E225=IFERROR(INDEX(项目档案!$D$6:$D$255,MATCH($C225,项目档案!$A$6:$A$255,0)),""),"一级",IF($E225=IFERROR(INDEX(项目档案!$F$6:$F$255,MATCH($C225,项目档案!$A$6:$A$255,0)),""),"二级",IF($E225=IFERROR(INDEX(项目档案!$H$6:$H$255,MATCH($C225,项目档案!$A$6:$A$255,0)),""),"我方","—"))))</f>
        <v>—</v>
      </c>
      <c r="O225" s="36" t="n">
        <f aca="false">IF($D225&lt;&gt;"销项开票",0,ROUND(N($H225)*N($I225),2))</f>
        <v>0</v>
      </c>
      <c r="P225" s="36" t="n">
        <f aca="false">IF($D225&lt;&gt;"销项开票",0,ROUND(N($H225)-$O225,2))</f>
        <v>0</v>
      </c>
      <c r="Q225" s="37" t="n">
        <f aca="false">IF($E225="","",N(IFERROR(INDEX(单位档案!$E$6:$E$35,MATCH($E225,单位档案!$A$6:$A$35,0)),"")))</f>
        <v>0</v>
      </c>
      <c r="R225" s="37" t="n">
        <f aca="false">IF($E225="","",N(IFERROR(INDEX(单位档案!$F$6:$F$35,MATCH($E225,单位档案!$A$6:$A$35,0)),"")))</f>
        <v>0</v>
      </c>
      <c r="S225" s="36" t="n">
        <f aca="false">IF(OR($D225&lt;&gt;"销项开票",IFERROR(INDEX(单位档案!$G$6:$G$35,MATCH($E225,单位档案!$A$6:$A$35,0)),"")&lt;&gt;"是",N($Q225)=0),0,IF(IFERROR(INDEX(单位档案!$H$6:$H$35,MATCH($E225,单位档案!$A$6:$A$35,0)),"")="税差法",ROUND(N($H225)/(1+$Q225)*$Q225-IF(N($R225)=0,0,$P225/(1+$R225)*$R225),2),ROUND(N($H225)/(1+$Q225)*$Q225,2)))</f>
        <v>0</v>
      </c>
      <c r="T225" s="36" t="n">
        <f aca="false">ROUND($S225*N(IFERROR(INDEX(单位档案!$J$6:$J$35,MATCH($E225,单位档案!$A$6:$A$35,0)),"")),2)</f>
        <v>0</v>
      </c>
      <c r="U225" s="36" t="n">
        <f aca="false">IF($D225&lt;&gt;"销项开票",0,ROUND(N($H225)*N(IFERROR(INDEX(单位档案!$K$6:$K$35,MATCH($E225,单位档案!$A$6:$A$35,0)),"")),2))</f>
        <v>0</v>
      </c>
      <c r="V225" s="36" t="n">
        <f aca="false">IF(OR($D225&lt;&gt;"销项开票",N($Q225)=0),0,ROUND(N($H225)/(1+$Q225)*N(IFERROR(INDEX(单位档案!$L$6:$L$35,MATCH($E225,单位档案!$A$6:$A$35,0)),"")),2))</f>
        <v>0</v>
      </c>
      <c r="W225" s="36" t="n">
        <f aca="false">ROUND($S225+$T225+$U225+$V225,2)</f>
        <v>0</v>
      </c>
      <c r="X225" s="35" t="n">
        <f aca="false">IF(OR($D225="挂靠代收",$D225="我方收款"),COUNTIFS($D$5:$D225,"挂靠代收")+COUNTIFS($D$5:$D225,"我方收款"),"")</f>
        <v>36</v>
      </c>
      <c r="Y225" s="35" t="s">
        <v>119</v>
      </c>
      <c r="Z225" s="21" t="s">
        <v>111</v>
      </c>
    </row>
    <row r="226" customFormat="false" ht="15.75" hidden="false" customHeight="true" outlineLevel="0" collapsed="false">
      <c r="A226" s="32" t="n">
        <f aca="false">IF($B226="","",ROW()-4)</f>
        <v>222</v>
      </c>
      <c r="B226" s="26" t="n">
        <v>46203</v>
      </c>
      <c r="C226" s="24" t="s">
        <v>183</v>
      </c>
      <c r="D226" s="21" t="s">
        <v>320</v>
      </c>
      <c r="E226" s="21" t="s">
        <v>119</v>
      </c>
      <c r="F226" s="21" t="s">
        <v>127</v>
      </c>
      <c r="G226" s="21"/>
      <c r="H226" s="27" t="n">
        <v>16500</v>
      </c>
      <c r="I226" s="23" t="str">
        <f aca="false">IF($D226&lt;&gt;"销项开票","",IF($N226="一级",IF(IFERROR(INDEX(项目档案!$E$6:$E$255,MATCH($C226,项目档案!$A$6:$A$255,0)),"")="",N(IFERROR(INDEX(单位档案!$D$6:$D$35,MATCH($E226,单位档案!$A$6:$A$35,0)),"")),IFERROR(INDEX(项目档案!$E$6:$E$255,MATCH($C226,项目档案!$A$6:$A$255,0)),"")),IF($N226="二级",IF(IFERROR(INDEX(项目档案!$G$6:$G$255,MATCH($C226,项目档案!$A$6:$A$255,0)),"")="",N(IFERROR(INDEX(单位档案!$D$6:$D$35,MATCH($E226,单位档案!$A$6:$A$35,0)),"")),IFERROR(INDEX(项目档案!$G$6:$G$255,MATCH($C226,项目档案!$A$6:$A$255,0)),"")),N(IFERROR(INDEX(单位档案!$D$6:$D$35,MATCH($E226,单位档案!$A$6:$A$35,0)),"")))))</f>
        <v/>
      </c>
      <c r="J226" s="25" t="s">
        <v>507</v>
      </c>
      <c r="K226" s="22" t="s">
        <v>313</v>
      </c>
      <c r="L226" s="33" t="str">
        <f aca="false">IF($B226="","",IF(NOT(ISNUMBER($B226)),"日期格式不对",IF($C226="","未选项目编号",IF(LEFT($M226,1)="⚠","项目编号不存在",IF($D226="","未选业务类型",IF($E226="","未选开票/付款方",IF(ISNA(MATCH($E226,单位档案!$A$6:$A$35,0)),"开票方不在单位档案",IF($F226="","未选收票/收款方",IF(ISNA(MATCH($F226,单位档案!$A$6:$A$35,0)),"收款方不在单位档案",IF(NOT(ISNUMBER($H226)),"金额须为数字",IF(AND($D226="销项开票",$N226="—"),"链条待确认","√")))))))))))</f>
        <v>√</v>
      </c>
      <c r="M226" s="34" t="str">
        <f aca="false">IF($C226="","",IFERROR(INDEX(项目档案!$B$6:$B$255,MATCH($C226,项目档案!$A$6:$A$255,0)),"⚠项目编号不存在"))</f>
        <v>重庆民能实业有限公司2025-2026年度工程用特种设备租赁服务框架采购-铜梁公司2025年成本类优化营商环境项目（平滩所何银强等5个低压业扩工程）</v>
      </c>
      <c r="N226" s="35" t="str">
        <f aca="false">IF($E226="","",IF($E226=IFERROR(INDEX(项目档案!$D$6:$D$255,MATCH($C226,项目档案!$A$6:$A$255,0)),""),"一级",IF($E226=IFERROR(INDEX(项目档案!$F$6:$F$255,MATCH($C226,项目档案!$A$6:$A$255,0)),""),"二级",IF($E226=IFERROR(INDEX(项目档案!$H$6:$H$255,MATCH($C226,项目档案!$A$6:$A$255,0)),""),"我方","—"))))</f>
        <v>一级</v>
      </c>
      <c r="O226" s="36" t="n">
        <f aca="false">IF($D226&lt;&gt;"销项开票",0,ROUND(N($H226)*N($I226),2))</f>
        <v>0</v>
      </c>
      <c r="P226" s="36" t="n">
        <f aca="false">IF($D226&lt;&gt;"销项开票",0,ROUND(N($H226)-$O226,2))</f>
        <v>0</v>
      </c>
      <c r="Q226" s="37" t="n">
        <f aca="false">IF($E226="","",N(IFERROR(INDEX(单位档案!$E$6:$E$35,MATCH($E226,单位档案!$A$6:$A$35,0)),"")))</f>
        <v>0.09</v>
      </c>
      <c r="R226" s="37" t="n">
        <f aca="false">IF($E226="","",N(IFERROR(INDEX(单位档案!$F$6:$F$35,MATCH($E226,单位档案!$A$6:$A$35,0)),"")))</f>
        <v>0.03</v>
      </c>
      <c r="S226" s="36" t="n">
        <f aca="false">IF(OR($D226&lt;&gt;"销项开票",IFERROR(INDEX(单位档案!$G$6:$G$35,MATCH($E226,单位档案!$A$6:$A$35,0)),"")&lt;&gt;"是",N($Q226)=0),0,IF(IFERROR(INDEX(单位档案!$H$6:$H$35,MATCH($E226,单位档案!$A$6:$A$35,0)),"")="税差法",ROUND(N($H226)/(1+$Q226)*$Q226-IF(N($R226)=0,0,$P226/(1+$R226)*$R226),2),ROUND(N($H226)/(1+$Q226)*$Q226,2)))</f>
        <v>0</v>
      </c>
      <c r="T226" s="36" t="n">
        <f aca="false">ROUND($S226*N(IFERROR(INDEX(单位档案!$J$6:$J$35,MATCH($E226,单位档案!$A$6:$A$35,0)),"")),2)</f>
        <v>0</v>
      </c>
      <c r="U226" s="36" t="n">
        <f aca="false">IF($D226&lt;&gt;"销项开票",0,ROUND(N($H226)*N(IFERROR(INDEX(单位档案!$K$6:$K$35,MATCH($E226,单位档案!$A$6:$A$35,0)),"")),2))</f>
        <v>0</v>
      </c>
      <c r="V226" s="36" t="n">
        <f aca="false">IF(OR($D226&lt;&gt;"销项开票",N($Q226)=0),0,ROUND(N($H226)/(1+$Q226)*N(IFERROR(INDEX(单位档案!$L$6:$L$35,MATCH($E226,单位档案!$A$6:$A$35,0)),"")),2))</f>
        <v>0</v>
      </c>
      <c r="W226" s="36" t="n">
        <f aca="false">ROUND($S226+$T226+$U226+$V226,2)</f>
        <v>0</v>
      </c>
      <c r="X226" s="35" t="n">
        <f aca="false">IF(OR($D226="挂靠代收",$D226="我方收款"),COUNTIFS($D$5:$D226,"挂靠代收")+COUNTIFS($D$5:$D226,"我方收款"),"")</f>
        <v>37</v>
      </c>
      <c r="Y226" s="35" t="s">
        <v>119</v>
      </c>
      <c r="Z226" s="21" t="s">
        <v>111</v>
      </c>
    </row>
    <row r="227" customFormat="false" ht="15.75" hidden="false" customHeight="true" outlineLevel="0" collapsed="false">
      <c r="A227" s="32" t="n">
        <f aca="false">IF($B227="","",ROW()-4)</f>
        <v>223</v>
      </c>
      <c r="B227" s="26" t="n">
        <v>46204</v>
      </c>
      <c r="C227" s="24" t="s">
        <v>165</v>
      </c>
      <c r="D227" s="21" t="s">
        <v>357</v>
      </c>
      <c r="E227" s="21" t="s">
        <v>127</v>
      </c>
      <c r="F227" s="21" t="s">
        <v>117</v>
      </c>
      <c r="G227" s="24" t="s">
        <v>379</v>
      </c>
      <c r="H227" s="27" t="n">
        <v>40378.8</v>
      </c>
      <c r="I227" s="23" t="str">
        <f aca="false">IF($D227&lt;&gt;"销项开票","",IF($N227="一级",IF(IFERROR(INDEX(项目档案!$E$6:$E$255,MATCH($C227,项目档案!$A$6:$A$255,0)),"")="",N(IFERROR(INDEX(单位档案!$D$6:$D$35,MATCH($E227,单位档案!$A$6:$A$35,0)),"")),IFERROR(INDEX(项目档案!$E$6:$E$255,MATCH($C227,项目档案!$A$6:$A$255,0)),"")),IF($N227="二级",IF(IFERROR(INDEX(项目档案!$G$6:$G$255,MATCH($C227,项目档案!$A$6:$A$255,0)),"")="",N(IFERROR(INDEX(单位档案!$D$6:$D$35,MATCH($E227,单位档案!$A$6:$A$35,0)),"")),IFERROR(INDEX(项目档案!$G$6:$G$255,MATCH($C227,项目档案!$A$6:$A$255,0)),"")),N(IFERROR(INDEX(单位档案!$D$6:$D$35,MATCH($E227,单位档案!$A$6:$A$35,0)),"")))))</f>
        <v/>
      </c>
      <c r="J227" s="25" t="s">
        <v>508</v>
      </c>
      <c r="K227" s="22" t="s">
        <v>313</v>
      </c>
      <c r="L227" s="33" t="str">
        <f aca="false">IF($B227="","",IF(NOT(ISNUMBER($B227)),"日期格式不对",IF($C227="","未选项目编号",IF(LEFT($M227,1)="⚠","项目编号不存在",IF($D227="","未选业务类型",IF($E227="","未选开票/付款方",IF(ISNA(MATCH($E227,单位档案!$A$6:$A$35,0)),"开票方不在单位档案",IF($F227="","未选收票/收款方",IF(ISNA(MATCH($F227,单位档案!$A$6:$A$35,0)),"收款方不在单位档案",IF(NOT(ISNUMBER($H227)),"金额须为数字",IF(AND($D227="销项开票",$N227="—"),"链条待确认","√")))))))))))</f>
        <v>√</v>
      </c>
      <c r="M227" s="34" t="str">
        <f aca="false">IF($C227="","",IFERROR(INDEX(项目档案!$B$6:$B$255,MATCH($C227,项目档案!$A$6:$A$255,0)),"⚠项目编号不存在"))</f>
        <v>重庆铜梁10kV平凉线惠丰9社等4个台区重过载治理工程</v>
      </c>
      <c r="N227" s="35" t="str">
        <f aca="false">IF($E227="","",IF($E227=IFERROR(INDEX(项目档案!$D$6:$D$255,MATCH($C227,项目档案!$A$6:$A$255,0)),""),"一级",IF($E227=IFERROR(INDEX(项目档案!$F$6:$F$255,MATCH($C227,项目档案!$A$6:$A$255,0)),""),"二级",IF($E227=IFERROR(INDEX(项目档案!$H$6:$H$255,MATCH($C227,项目档案!$A$6:$A$255,0)),""),"我方","—"))))</f>
        <v>我方</v>
      </c>
      <c r="O227" s="36" t="n">
        <f aca="false">IF($D227&lt;&gt;"销项开票",0,ROUND(N($H227)*N($I227),2))</f>
        <v>0</v>
      </c>
      <c r="P227" s="36" t="n">
        <f aca="false">IF($D227&lt;&gt;"销项开票",0,ROUND(N($H227)-$O227,2))</f>
        <v>0</v>
      </c>
      <c r="Q227" s="37" t="n">
        <f aca="false">IF($E227="","",N(IFERROR(INDEX(单位档案!$E$6:$E$35,MATCH($E227,单位档案!$A$6:$A$35,0)),"")))</f>
        <v>0.03</v>
      </c>
      <c r="R227" s="37" t="n">
        <f aca="false">IF($E227="","",N(IFERROR(INDEX(单位档案!$F$6:$F$35,MATCH($E227,单位档案!$A$6:$A$35,0)),"")))</f>
        <v>0</v>
      </c>
      <c r="S227" s="36" t="n">
        <f aca="false">IF(OR($D227&lt;&gt;"销项开票",IFERROR(INDEX(单位档案!$G$6:$G$35,MATCH($E227,单位档案!$A$6:$A$35,0)),"")&lt;&gt;"是",N($Q227)=0),0,IF(IFERROR(INDEX(单位档案!$H$6:$H$35,MATCH($E227,单位档案!$A$6:$A$35,0)),"")="税差法",ROUND(N($H227)/(1+$Q227)*$Q227-IF(N($R227)=0,0,$P227/(1+$R227)*$R227),2),ROUND(N($H227)/(1+$Q227)*$Q227,2)))</f>
        <v>0</v>
      </c>
      <c r="T227" s="36" t="n">
        <f aca="false">ROUND($S227*N(IFERROR(INDEX(单位档案!$J$6:$J$35,MATCH($E227,单位档案!$A$6:$A$35,0)),"")),2)</f>
        <v>0</v>
      </c>
      <c r="U227" s="36" t="n">
        <f aca="false">IF($D227&lt;&gt;"销项开票",0,ROUND(N($H227)*N(IFERROR(INDEX(单位档案!$K$6:$K$35,MATCH($E227,单位档案!$A$6:$A$35,0)),"")),2))</f>
        <v>0</v>
      </c>
      <c r="V227" s="36" t="n">
        <f aca="false">IF(OR($D227&lt;&gt;"销项开票",N($Q227)=0),0,ROUND(N($H227)/(1+$Q227)*N(IFERROR(INDEX(单位档案!$L$6:$L$35,MATCH($E227,单位档案!$A$6:$A$35,0)),"")),2))</f>
        <v>0</v>
      </c>
      <c r="W227" s="36" t="n">
        <f aca="false">ROUND($S227+$T227+$U227+$V227,2)</f>
        <v>0</v>
      </c>
      <c r="X227" s="35" t="str">
        <f aca="false">IF(OR($D227="挂靠代收",$D227="我方收款"),COUNTIFS($D$5:$D227,"挂靠代收")+COUNTIFS($D$5:$D227,"我方收款"),"")</f>
        <v/>
      </c>
      <c r="Y227" s="35" t="s">
        <v>117</v>
      </c>
      <c r="Z227" s="21" t="s">
        <v>111</v>
      </c>
    </row>
    <row r="228" customFormat="false" ht="15.75" hidden="false" customHeight="true" outlineLevel="0" collapsed="false">
      <c r="A228" s="32" t="n">
        <f aca="false">IF($B228="","",ROW()-4)</f>
        <v>224</v>
      </c>
      <c r="B228" s="26" t="n">
        <v>46204</v>
      </c>
      <c r="C228" s="24" t="s">
        <v>165</v>
      </c>
      <c r="D228" s="21" t="s">
        <v>307</v>
      </c>
      <c r="E228" s="21" t="s">
        <v>117</v>
      </c>
      <c r="F228" s="21" t="s">
        <v>117</v>
      </c>
      <c r="G228" s="21"/>
      <c r="H228" s="27" t="n">
        <v>14573.8</v>
      </c>
      <c r="I228" s="23" t="n">
        <f aca="false">IF($D228&lt;&gt;"销项开票","",IF($N228="一级",IF(IFERROR(INDEX(项目档案!$E$6:$E$255,MATCH($C228,项目档案!$A$6:$A$255,0)),"")="",N(IFERROR(INDEX(单位档案!$D$6:$D$35,MATCH($E228,单位档案!$A$6:$A$35,0)),"")),IFERROR(INDEX(项目档案!$E$6:$E$255,MATCH($C228,项目档案!$A$6:$A$255,0)),"")),IF($N228="二级",IF(IFERROR(INDEX(项目档案!$G$6:$G$255,MATCH($C228,项目档案!$A$6:$A$255,0)),"")="",N(IFERROR(INDEX(单位档案!$D$6:$D$35,MATCH($E228,单位档案!$A$6:$A$35,0)),"")),IFERROR(INDEX(项目档案!$G$6:$G$255,MATCH($C228,项目档案!$A$6:$A$255,0)),"")),N(IFERROR(INDEX(单位档案!$D$6:$D$35,MATCH($E228,单位档案!$A$6:$A$35,0)),"")))))</f>
        <v>0.02</v>
      </c>
      <c r="J228" s="25" t="s">
        <v>509</v>
      </c>
      <c r="K228" s="22" t="s">
        <v>313</v>
      </c>
      <c r="L228" s="33" t="str">
        <f aca="false">IF($B228="","",IF(NOT(ISNUMBER($B228)),"日期格式不对",IF($C228="","未选项目编号",IF(LEFT($M228,1)="⚠","项目编号不存在",IF($D228="","未选业务类型",IF($E228="","未选开票/付款方",IF(ISNA(MATCH($E228,单位档案!$A$6:$A$35,0)),"开票方不在单位档案",IF($F228="","未选收票/收款方",IF(ISNA(MATCH($F228,单位档案!$A$6:$A$35,0)),"收款方不在单位档案",IF(NOT(ISNUMBER($H228)),"金额须为数字",IF(AND($D228="销项开票",$N228="—"),"链条待确认","√")))))))))))</f>
        <v>√</v>
      </c>
      <c r="M228" s="34" t="str">
        <f aca="false">IF($C228="","",IFERROR(INDEX(项目档案!$B$6:$B$255,MATCH($C228,项目档案!$A$6:$A$255,0)),"⚠项目编号不存在"))</f>
        <v>重庆铜梁10kV平凉线惠丰9社等4个台区重过载治理工程</v>
      </c>
      <c r="N228" s="35" t="str">
        <f aca="false">IF($E228="","",IF($E228=IFERROR(INDEX(项目档案!$D$6:$D$255,MATCH($C228,项目档案!$A$6:$A$255,0)),""),"一级",IF($E228=IFERROR(INDEX(项目档案!$F$6:$F$255,MATCH($C228,项目档案!$A$6:$A$255,0)),""),"二级",IF($E228=IFERROR(INDEX(项目档案!$H$6:$H$255,MATCH($C228,项目档案!$A$6:$A$255,0)),""),"我方","—"))))</f>
        <v>一级</v>
      </c>
      <c r="O228" s="36" t="n">
        <f aca="false">IF($D228&lt;&gt;"销项开票",0,ROUND(N($H228)*N($I228),2))</f>
        <v>291.48</v>
      </c>
      <c r="P228" s="36" t="n">
        <f aca="false">IF($D228&lt;&gt;"销项开票",0,ROUND(N($H228)-$O228,2))</f>
        <v>14282.32</v>
      </c>
      <c r="Q228" s="37" t="n">
        <f aca="false">IF($E228="","",N(IFERROR(INDEX(单位档案!$E$6:$E$35,MATCH($E228,单位档案!$A$6:$A$35,0)),"")))</f>
        <v>0.03</v>
      </c>
      <c r="R228" s="37" t="n">
        <f aca="false">IF($E228="","",N(IFERROR(INDEX(单位档案!$F$6:$F$35,MATCH($E228,单位档案!$A$6:$A$35,0)),"")))</f>
        <v>0.03</v>
      </c>
      <c r="S228" s="36" t="n">
        <f aca="false">IF(OR($D228&lt;&gt;"销项开票",IFERROR(INDEX(单位档案!$G$6:$G$35,MATCH($E228,单位档案!$A$6:$A$35,0)),"")&lt;&gt;"是",N($Q228)=0),0,IF(IFERROR(INDEX(单位档案!$H$6:$H$35,MATCH($E228,单位档案!$A$6:$A$35,0)),"")="税差法",ROUND(N($H228)/(1+$Q228)*$Q228-IF(N($R228)=0,0,$P228/(1+$R228)*$R228),2),ROUND(N($H228)/(1+$Q228)*$Q228,2)))</f>
        <v>424.48</v>
      </c>
      <c r="T228" s="36" t="n">
        <f aca="false">ROUND($S228*N(IFERROR(INDEX(单位档案!$J$6:$J$35,MATCH($E228,单位档案!$A$6:$A$35,0)),"")),2)</f>
        <v>25.47</v>
      </c>
      <c r="U228" s="36" t="n">
        <f aca="false">IF($D228&lt;&gt;"销项开票",0,ROUND(N($H228)*N(IFERROR(INDEX(单位档案!$K$6:$K$35,MATCH($E228,单位档案!$A$6:$A$35,0)),"")),2))</f>
        <v>0</v>
      </c>
      <c r="V228" s="36" t="n">
        <f aca="false">IF(OR($D228&lt;&gt;"销项开票",N($Q228)=0),0,ROUND(N($H228)/(1+$Q228)*N(IFERROR(INDEX(单位档案!$L$6:$L$35,MATCH($E228,单位档案!$A$6:$A$35,0)),"")),2))</f>
        <v>28.3</v>
      </c>
      <c r="W228" s="36" t="n">
        <f aca="false">ROUND($S228+$T228+$U228+$V228,2)</f>
        <v>478.25</v>
      </c>
      <c r="X228" s="35" t="str">
        <f aca="false">IF(OR($D228="挂靠代收",$D228="我方收款"),COUNTIFS($D$5:$D228,"挂靠代收")+COUNTIFS($D$5:$D228,"我方收款"),"")</f>
        <v/>
      </c>
      <c r="Y228" s="35" t="s">
        <v>117</v>
      </c>
      <c r="Z228" s="21" t="s">
        <v>111</v>
      </c>
    </row>
    <row r="229" customFormat="false" ht="15.75" hidden="false" customHeight="true" outlineLevel="0" collapsed="false">
      <c r="A229" s="32" t="n">
        <f aca="false">IF($B229="","",ROW()-4)</f>
        <v>225</v>
      </c>
      <c r="B229" s="26" t="n">
        <v>46204</v>
      </c>
      <c r="C229" s="24" t="s">
        <v>165</v>
      </c>
      <c r="D229" s="21" t="s">
        <v>357</v>
      </c>
      <c r="E229" s="21" t="s">
        <v>127</v>
      </c>
      <c r="F229" s="21" t="s">
        <v>117</v>
      </c>
      <c r="G229" s="21"/>
      <c r="H229" s="27" t="n">
        <v>55907.06</v>
      </c>
      <c r="I229" s="23" t="str">
        <f aca="false">IF($D229&lt;&gt;"销项开票","",IF($N229="一级",IF(IFERROR(INDEX(项目档案!$E$6:$E$255,MATCH($C229,项目档案!$A$6:$A$255,0)),"")="",N(IFERROR(INDEX(单位档案!$D$6:$D$35,MATCH($E229,单位档案!$A$6:$A$35,0)),"")),IFERROR(INDEX(项目档案!$E$6:$E$255,MATCH($C229,项目档案!$A$6:$A$255,0)),"")),IF($N229="二级",IF(IFERROR(INDEX(项目档案!$G$6:$G$255,MATCH($C229,项目档案!$A$6:$A$255,0)),"")="",N(IFERROR(INDEX(单位档案!$D$6:$D$35,MATCH($E229,单位档案!$A$6:$A$35,0)),"")),IFERROR(INDEX(项目档案!$G$6:$G$255,MATCH($C229,项目档案!$A$6:$A$255,0)),"")),N(IFERROR(INDEX(单位档案!$D$6:$D$35,MATCH($E229,单位档案!$A$6:$A$35,0)),"")))))</f>
        <v/>
      </c>
      <c r="J229" s="22" t="s">
        <v>510</v>
      </c>
      <c r="K229" s="22" t="s">
        <v>313</v>
      </c>
      <c r="L229" s="33" t="str">
        <f aca="false">IF($B229="","",IF(NOT(ISNUMBER($B229)),"日期格式不对",IF($C229="","未选项目编号",IF(LEFT($M229,1)="⚠","项目编号不存在",IF($D229="","未选业务类型",IF($E229="","未选开票/付款方",IF(ISNA(MATCH($E229,单位档案!$A$6:$A$35,0)),"开票方不在单位档案",IF($F229="","未选收票/收款方",IF(ISNA(MATCH($F229,单位档案!$A$6:$A$35,0)),"收款方不在单位档案",IF(NOT(ISNUMBER($H229)),"金额须为数字",IF(AND($D229="销项开票",$N229="—"),"链条待确认","√")))))))))))</f>
        <v>√</v>
      </c>
      <c r="M229" s="34" t="str">
        <f aca="false">IF($C229="","",IFERROR(INDEX(项目档案!$B$6:$B$255,MATCH($C229,项目档案!$A$6:$A$255,0)),"⚠项目编号不存在"))</f>
        <v>重庆铜梁10kV平凉线惠丰9社等4个台区重过载治理工程</v>
      </c>
      <c r="N229" s="35" t="str">
        <f aca="false">IF($E229="","",IF($E229=IFERROR(INDEX(项目档案!$D$6:$D$255,MATCH($C229,项目档案!$A$6:$A$255,0)),""),"一级",IF($E229=IFERROR(INDEX(项目档案!$F$6:$F$255,MATCH($C229,项目档案!$A$6:$A$255,0)),""),"二级",IF($E229=IFERROR(INDEX(项目档案!$H$6:$H$255,MATCH($C229,项目档案!$A$6:$A$255,0)),""),"我方","—"))))</f>
        <v>我方</v>
      </c>
      <c r="O229" s="36" t="n">
        <f aca="false">IF($D229&lt;&gt;"销项开票",0,ROUND(N($H229)*N($I229),2))</f>
        <v>0</v>
      </c>
      <c r="P229" s="36" t="n">
        <f aca="false">IF($D229&lt;&gt;"销项开票",0,ROUND(N($H229)-$O229,2))</f>
        <v>0</v>
      </c>
      <c r="Q229" s="37" t="n">
        <f aca="false">IF($E229="","",N(IFERROR(INDEX(单位档案!$E$6:$E$35,MATCH($E229,单位档案!$A$6:$A$35,0)),"")))</f>
        <v>0.03</v>
      </c>
      <c r="R229" s="37" t="n">
        <f aca="false">IF($E229="","",N(IFERROR(INDEX(单位档案!$F$6:$F$35,MATCH($E229,单位档案!$A$6:$A$35,0)),"")))</f>
        <v>0</v>
      </c>
      <c r="S229" s="36" t="n">
        <f aca="false">IF(OR($D229&lt;&gt;"销项开票",IFERROR(INDEX(单位档案!$G$6:$G$35,MATCH($E229,单位档案!$A$6:$A$35,0)),"")&lt;&gt;"是",N($Q229)=0),0,IF(IFERROR(INDEX(单位档案!$H$6:$H$35,MATCH($E229,单位档案!$A$6:$A$35,0)),"")="税差法",ROUND(N($H229)/(1+$Q229)*$Q229-IF(N($R229)=0,0,$P229/(1+$R229)*$R229),2),ROUND(N($H229)/(1+$Q229)*$Q229,2)))</f>
        <v>0</v>
      </c>
      <c r="T229" s="36" t="n">
        <f aca="false">ROUND($S229*N(IFERROR(INDEX(单位档案!$J$6:$J$35,MATCH($E229,单位档案!$A$6:$A$35,0)),"")),2)</f>
        <v>0</v>
      </c>
      <c r="U229" s="36" t="n">
        <f aca="false">IF($D229&lt;&gt;"销项开票",0,ROUND(N($H229)*N(IFERROR(INDEX(单位档案!$K$6:$K$35,MATCH($E229,单位档案!$A$6:$A$35,0)),"")),2))</f>
        <v>0</v>
      </c>
      <c r="V229" s="36" t="n">
        <f aca="false">IF(OR($D229&lt;&gt;"销项开票",N($Q229)=0),0,ROUND(N($H229)/(1+$Q229)*N(IFERROR(INDEX(单位档案!$L$6:$L$35,MATCH($E229,单位档案!$A$6:$A$35,0)),"")),2))</f>
        <v>0</v>
      </c>
      <c r="W229" s="36" t="n">
        <f aca="false">ROUND($S229+$T229+$U229+$V229,2)</f>
        <v>0</v>
      </c>
      <c r="X229" s="35" t="str">
        <f aca="false">IF(OR($D229="挂靠代收",$D229="我方收款"),COUNTIFS($D$5:$D229,"挂靠代收")+COUNTIFS($D$5:$D229,"我方收款"),"")</f>
        <v/>
      </c>
      <c r="Y229" s="35" t="s">
        <v>117</v>
      </c>
      <c r="Z229" s="21" t="s">
        <v>111</v>
      </c>
    </row>
    <row r="230" customFormat="false" ht="15.75" hidden="false" customHeight="true" outlineLevel="0" collapsed="false">
      <c r="A230" s="32" t="n">
        <f aca="false">IF($B230="","",ROW()-4)</f>
        <v>226</v>
      </c>
      <c r="B230" s="26" t="n">
        <v>46204</v>
      </c>
      <c r="C230" s="24" t="s">
        <v>165</v>
      </c>
      <c r="D230" s="21" t="s">
        <v>320</v>
      </c>
      <c r="E230" s="21" t="s">
        <v>117</v>
      </c>
      <c r="F230" s="21" t="s">
        <v>127</v>
      </c>
      <c r="G230" s="21"/>
      <c r="H230" s="27" t="n">
        <v>8615.19</v>
      </c>
      <c r="I230" s="23" t="str">
        <f aca="false">IF($D230&lt;&gt;"销项开票","",IF($N230="一级",IF(IFERROR(INDEX(项目档案!$E$6:$E$255,MATCH($C230,项目档案!$A$6:$A$255,0)),"")="",N(IFERROR(INDEX(单位档案!$D$6:$D$35,MATCH($E230,单位档案!$A$6:$A$35,0)),"")),IFERROR(INDEX(项目档案!$E$6:$E$255,MATCH($C230,项目档案!$A$6:$A$255,0)),"")),IF($N230="二级",IF(IFERROR(INDEX(项目档案!$G$6:$G$255,MATCH($C230,项目档案!$A$6:$A$255,0)),"")="",N(IFERROR(INDEX(单位档案!$D$6:$D$35,MATCH($E230,单位档案!$A$6:$A$35,0)),"")),IFERROR(INDEX(项目档案!$G$6:$G$255,MATCH($C230,项目档案!$A$6:$A$255,0)),"")),N(IFERROR(INDEX(单位档案!$D$6:$D$35,MATCH($E230,单位档案!$A$6:$A$35,0)),"")))))</f>
        <v/>
      </c>
      <c r="J230" s="22" t="s">
        <v>510</v>
      </c>
      <c r="K230" s="22" t="s">
        <v>313</v>
      </c>
      <c r="L230" s="33" t="str">
        <f aca="false">IF($B230="","",IF(NOT(ISNUMBER($B230)),"日期格式不对",IF($C230="","未选项目编号",IF(LEFT($M230,1)="⚠","项目编号不存在",IF($D230="","未选业务类型",IF($E230="","未选开票/付款方",IF(ISNA(MATCH($E230,单位档案!$A$6:$A$35,0)),"开票方不在单位档案",IF($F230="","未选收票/收款方",IF(ISNA(MATCH($F230,单位档案!$A$6:$A$35,0)),"收款方不在单位档案",IF(NOT(ISNUMBER($H230)),"金额须为数字",IF(AND($D230="销项开票",$N230="—"),"链条待确认","√")))))))))))</f>
        <v>√</v>
      </c>
      <c r="M230" s="34" t="str">
        <f aca="false">IF($C230="","",IFERROR(INDEX(项目档案!$B$6:$B$255,MATCH($C230,项目档案!$A$6:$A$255,0)),"⚠项目编号不存在"))</f>
        <v>重庆铜梁10kV平凉线惠丰9社等4个台区重过载治理工程</v>
      </c>
      <c r="N230" s="35" t="str">
        <f aca="false">IF($E230="","",IF($E230=IFERROR(INDEX(项目档案!$D$6:$D$255,MATCH($C230,项目档案!$A$6:$A$255,0)),""),"一级",IF($E230=IFERROR(INDEX(项目档案!$F$6:$F$255,MATCH($C230,项目档案!$A$6:$A$255,0)),""),"二级",IF($E230=IFERROR(INDEX(项目档案!$H$6:$H$255,MATCH($C230,项目档案!$A$6:$A$255,0)),""),"我方","—"))))</f>
        <v>一级</v>
      </c>
      <c r="O230" s="36" t="n">
        <f aca="false">IF($D230&lt;&gt;"销项开票",0,ROUND(N($H230)*N($I230),2))</f>
        <v>0</v>
      </c>
      <c r="P230" s="36" t="n">
        <f aca="false">IF($D230&lt;&gt;"销项开票",0,ROUND(N($H230)-$O230,2))</f>
        <v>0</v>
      </c>
      <c r="Q230" s="37" t="n">
        <f aca="false">IF($E230="","",N(IFERROR(INDEX(单位档案!$E$6:$E$35,MATCH($E230,单位档案!$A$6:$A$35,0)),"")))</f>
        <v>0.03</v>
      </c>
      <c r="R230" s="37" t="n">
        <f aca="false">IF($E230="","",N(IFERROR(INDEX(单位档案!$F$6:$F$35,MATCH($E230,单位档案!$A$6:$A$35,0)),"")))</f>
        <v>0.03</v>
      </c>
      <c r="S230" s="36" t="n">
        <f aca="false">IF(OR($D230&lt;&gt;"销项开票",IFERROR(INDEX(单位档案!$G$6:$G$35,MATCH($E230,单位档案!$A$6:$A$35,0)),"")&lt;&gt;"是",N($Q230)=0),0,IF(IFERROR(INDEX(单位档案!$H$6:$H$35,MATCH($E230,单位档案!$A$6:$A$35,0)),"")="税差法",ROUND(N($H230)/(1+$Q230)*$Q230-IF(N($R230)=0,0,$P230/(1+$R230)*$R230),2),ROUND(N($H230)/(1+$Q230)*$Q230,2)))</f>
        <v>0</v>
      </c>
      <c r="T230" s="36" t="n">
        <f aca="false">ROUND($S230*N(IFERROR(INDEX(单位档案!$J$6:$J$35,MATCH($E230,单位档案!$A$6:$A$35,0)),"")),2)</f>
        <v>0</v>
      </c>
      <c r="U230" s="36" t="n">
        <f aca="false">IF($D230&lt;&gt;"销项开票",0,ROUND(N($H230)*N(IFERROR(INDEX(单位档案!$K$6:$K$35,MATCH($E230,单位档案!$A$6:$A$35,0)),"")),2))</f>
        <v>0</v>
      </c>
      <c r="V230" s="36" t="n">
        <f aca="false">IF(OR($D230&lt;&gt;"销项开票",N($Q230)=0),0,ROUND(N($H230)/(1+$Q230)*N(IFERROR(INDEX(单位档案!$L$6:$L$35,MATCH($E230,单位档案!$A$6:$A$35,0)),"")),2))</f>
        <v>0</v>
      </c>
      <c r="W230" s="36" t="n">
        <f aca="false">ROUND($S230+$T230+$U230+$V230,2)</f>
        <v>0</v>
      </c>
      <c r="X230" s="35" t="n">
        <f aca="false">IF(OR($D230="挂靠代收",$D230="我方收款"),COUNTIFS($D$5:$D230,"挂靠代收")+COUNTIFS($D$5:$D230,"我方收款"),"")</f>
        <v>38</v>
      </c>
      <c r="Y230" s="35" t="s">
        <v>117</v>
      </c>
      <c r="Z230" s="21" t="s">
        <v>111</v>
      </c>
    </row>
    <row r="231" customFormat="false" ht="15.75" hidden="false" customHeight="true" outlineLevel="0" collapsed="false">
      <c r="A231" s="32" t="n">
        <f aca="false">IF($B231="","",ROW()-4)</f>
        <v>227</v>
      </c>
      <c r="B231" s="26" t="n">
        <v>46204</v>
      </c>
      <c r="C231" s="24" t="s">
        <v>165</v>
      </c>
      <c r="D231" s="21" t="s">
        <v>320</v>
      </c>
      <c r="E231" s="21" t="s">
        <v>117</v>
      </c>
      <c r="F231" s="21" t="s">
        <v>127</v>
      </c>
      <c r="G231" s="21"/>
      <c r="H231" s="27" t="n">
        <v>8000</v>
      </c>
      <c r="I231" s="23" t="str">
        <f aca="false">IF($D231&lt;&gt;"销项开票","",IF($N231="一级",IF(IFERROR(INDEX(项目档案!$E$6:$E$255,MATCH($C231,项目档案!$A$6:$A$255,0)),"")="",N(IFERROR(INDEX(单位档案!$D$6:$D$35,MATCH($E231,单位档案!$A$6:$A$35,0)),"")),IFERROR(INDEX(项目档案!$E$6:$E$255,MATCH($C231,项目档案!$A$6:$A$255,0)),"")),IF($N231="二级",IF(IFERROR(INDEX(项目档案!$G$6:$G$255,MATCH($C231,项目档案!$A$6:$A$255,0)),"")="",N(IFERROR(INDEX(单位档案!$D$6:$D$35,MATCH($E231,单位档案!$A$6:$A$35,0)),"")),IFERROR(INDEX(项目档案!$G$6:$G$255,MATCH($C231,项目档案!$A$6:$A$255,0)),"")),N(IFERROR(INDEX(单位档案!$D$6:$D$35,MATCH($E231,单位档案!$A$6:$A$35,0)),"")))))</f>
        <v/>
      </c>
      <c r="J231" s="25" t="s">
        <v>511</v>
      </c>
      <c r="K231" s="22" t="s">
        <v>313</v>
      </c>
      <c r="L231" s="33" t="str">
        <f aca="false">IF($B231="","",IF(NOT(ISNUMBER($B231)),"日期格式不对",IF($C231="","未选项目编号",IF(LEFT($M231,1)="⚠","项目编号不存在",IF($D231="","未选业务类型",IF($E231="","未选开票/付款方",IF(ISNA(MATCH($E231,单位档案!$A$6:$A$35,0)),"开票方不在单位档案",IF($F231="","未选收票/收款方",IF(ISNA(MATCH($F231,单位档案!$A$6:$A$35,0)),"收款方不在单位档案",IF(NOT(ISNUMBER($H231)),"金额须为数字",IF(AND($D231="销项开票",$N231="—"),"链条待确认","√")))))))))))</f>
        <v>√</v>
      </c>
      <c r="M231" s="34" t="str">
        <f aca="false">IF($C231="","",IFERROR(INDEX(项目档案!$B$6:$B$255,MATCH($C231,项目档案!$A$6:$A$255,0)),"⚠项目编号不存在"))</f>
        <v>重庆铜梁10kV平凉线惠丰9社等4个台区重过载治理工程</v>
      </c>
      <c r="N231" s="35" t="str">
        <f aca="false">IF($E231="","",IF($E231=IFERROR(INDEX(项目档案!$D$6:$D$255,MATCH($C231,项目档案!$A$6:$A$255,0)),""),"一级",IF($E231=IFERROR(INDEX(项目档案!$F$6:$F$255,MATCH($C231,项目档案!$A$6:$A$255,0)),""),"二级",IF($E231=IFERROR(INDEX(项目档案!$H$6:$H$255,MATCH($C231,项目档案!$A$6:$A$255,0)),""),"我方","—"))))</f>
        <v>一级</v>
      </c>
      <c r="O231" s="36" t="n">
        <f aca="false">IF($D231&lt;&gt;"销项开票",0,ROUND(N($H231)*N($I231),2))</f>
        <v>0</v>
      </c>
      <c r="P231" s="36" t="n">
        <f aca="false">IF($D231&lt;&gt;"销项开票",0,ROUND(N($H231)-$O231,2))</f>
        <v>0</v>
      </c>
      <c r="Q231" s="37" t="n">
        <f aca="false">IF($E231="","",N(IFERROR(INDEX(单位档案!$E$6:$E$35,MATCH($E231,单位档案!$A$6:$A$35,0)),"")))</f>
        <v>0.03</v>
      </c>
      <c r="R231" s="37" t="n">
        <f aca="false">IF($E231="","",N(IFERROR(INDEX(单位档案!$F$6:$F$35,MATCH($E231,单位档案!$A$6:$A$35,0)),"")))</f>
        <v>0.03</v>
      </c>
      <c r="S231" s="36" t="n">
        <f aca="false">IF(OR($D231&lt;&gt;"销项开票",IFERROR(INDEX(单位档案!$G$6:$G$35,MATCH($E231,单位档案!$A$6:$A$35,0)),"")&lt;&gt;"是",N($Q231)=0),0,IF(IFERROR(INDEX(单位档案!$H$6:$H$35,MATCH($E231,单位档案!$A$6:$A$35,0)),"")="税差法",ROUND(N($H231)/(1+$Q231)*$Q231-IF(N($R231)=0,0,$P231/(1+$R231)*$R231),2),ROUND(N($H231)/(1+$Q231)*$Q231,2)))</f>
        <v>0</v>
      </c>
      <c r="T231" s="36" t="n">
        <f aca="false">ROUND($S231*N(IFERROR(INDEX(单位档案!$J$6:$J$35,MATCH($E231,单位档案!$A$6:$A$35,0)),"")),2)</f>
        <v>0</v>
      </c>
      <c r="U231" s="36" t="n">
        <f aca="false">IF($D231&lt;&gt;"销项开票",0,ROUND(N($H231)*N(IFERROR(INDEX(单位档案!$K$6:$K$35,MATCH($E231,单位档案!$A$6:$A$35,0)),"")),2))</f>
        <v>0</v>
      </c>
      <c r="V231" s="36" t="n">
        <f aca="false">IF(OR($D231&lt;&gt;"销项开票",N($Q231)=0),0,ROUND(N($H231)/(1+$Q231)*N(IFERROR(INDEX(单位档案!$L$6:$L$35,MATCH($E231,单位档案!$A$6:$A$35,0)),"")),2))</f>
        <v>0</v>
      </c>
      <c r="W231" s="36" t="n">
        <f aca="false">ROUND($S231+$T231+$U231+$V231,2)</f>
        <v>0</v>
      </c>
      <c r="X231" s="35" t="n">
        <f aca="false">IF(OR($D231="挂靠代收",$D231="我方收款"),COUNTIFS($D$5:$D231,"挂靠代收")+COUNTIFS($D$5:$D231,"我方收款"),"")</f>
        <v>39</v>
      </c>
      <c r="Y231" s="35" t="s">
        <v>117</v>
      </c>
      <c r="Z231" s="21" t="s">
        <v>111</v>
      </c>
    </row>
    <row r="232" customFormat="false" ht="15.75" hidden="false" customHeight="true" outlineLevel="0" collapsed="false">
      <c r="A232" s="32" t="n">
        <f aca="false">IF($B232="","",ROW()-4)</f>
        <v>228</v>
      </c>
      <c r="B232" s="26" t="n">
        <v>46204</v>
      </c>
      <c r="C232" s="24" t="s">
        <v>165</v>
      </c>
      <c r="D232" s="21" t="s">
        <v>320</v>
      </c>
      <c r="E232" s="21" t="s">
        <v>117</v>
      </c>
      <c r="F232" s="21" t="s">
        <v>127</v>
      </c>
      <c r="G232" s="21"/>
      <c r="H232" s="27" t="n">
        <v>30000</v>
      </c>
      <c r="I232" s="23" t="str">
        <f aca="false">IF($D232&lt;&gt;"销项开票","",IF($N232="一级",IF(IFERROR(INDEX(项目档案!$E$6:$E$255,MATCH($C232,项目档案!$A$6:$A$255,0)),"")="",N(IFERROR(INDEX(单位档案!$D$6:$D$35,MATCH($E232,单位档案!$A$6:$A$35,0)),"")),IFERROR(INDEX(项目档案!$E$6:$E$255,MATCH($C232,项目档案!$A$6:$A$255,0)),"")),IF($N232="二级",IF(IFERROR(INDEX(项目档案!$G$6:$G$255,MATCH($C232,项目档案!$A$6:$A$255,0)),"")="",N(IFERROR(INDEX(单位档案!$D$6:$D$35,MATCH($E232,单位档案!$A$6:$A$35,0)),"")),IFERROR(INDEX(项目档案!$G$6:$G$255,MATCH($C232,项目档案!$A$6:$A$255,0)),"")),N(IFERROR(INDEX(单位档案!$D$6:$D$35,MATCH($E232,单位档案!$A$6:$A$35,0)),"")))))</f>
        <v/>
      </c>
      <c r="J232" s="25" t="s">
        <v>512</v>
      </c>
      <c r="K232" s="22" t="s">
        <v>313</v>
      </c>
      <c r="L232" s="33" t="str">
        <f aca="false">IF($B232="","",IF(NOT(ISNUMBER($B232)),"日期格式不对",IF($C232="","未选项目编号",IF(LEFT($M232,1)="⚠","项目编号不存在",IF($D232="","未选业务类型",IF($E232="","未选开票/付款方",IF(ISNA(MATCH($E232,单位档案!$A$6:$A$35,0)),"开票方不在单位档案",IF($F232="","未选收票/收款方",IF(ISNA(MATCH($F232,单位档案!$A$6:$A$35,0)),"收款方不在单位档案",IF(NOT(ISNUMBER($H232)),"金额须为数字",IF(AND($D232="销项开票",$N232="—"),"链条待确认","√")))))))))))</f>
        <v>√</v>
      </c>
      <c r="M232" s="34" t="str">
        <f aca="false">IF($C232="","",IFERROR(INDEX(项目档案!$B$6:$B$255,MATCH($C232,项目档案!$A$6:$A$255,0)),"⚠项目编号不存在"))</f>
        <v>重庆铜梁10kV平凉线惠丰9社等4个台区重过载治理工程</v>
      </c>
      <c r="N232" s="35" t="str">
        <f aca="false">IF($E232="","",IF($E232=IFERROR(INDEX(项目档案!$D$6:$D$255,MATCH($C232,项目档案!$A$6:$A$255,0)),""),"一级",IF($E232=IFERROR(INDEX(项目档案!$F$6:$F$255,MATCH($C232,项目档案!$A$6:$A$255,0)),""),"二级",IF($E232=IFERROR(INDEX(项目档案!$H$6:$H$255,MATCH($C232,项目档案!$A$6:$A$255,0)),""),"我方","—"))))</f>
        <v>一级</v>
      </c>
      <c r="O232" s="36" t="n">
        <f aca="false">IF($D232&lt;&gt;"销项开票",0,ROUND(N($H232)*N($I232),2))</f>
        <v>0</v>
      </c>
      <c r="P232" s="36" t="n">
        <f aca="false">IF($D232&lt;&gt;"销项开票",0,ROUND(N($H232)-$O232,2))</f>
        <v>0</v>
      </c>
      <c r="Q232" s="37" t="n">
        <f aca="false">IF($E232="","",N(IFERROR(INDEX(单位档案!$E$6:$E$35,MATCH($E232,单位档案!$A$6:$A$35,0)),"")))</f>
        <v>0.03</v>
      </c>
      <c r="R232" s="37" t="n">
        <f aca="false">IF($E232="","",N(IFERROR(INDEX(单位档案!$F$6:$F$35,MATCH($E232,单位档案!$A$6:$A$35,0)),"")))</f>
        <v>0.03</v>
      </c>
      <c r="S232" s="36" t="n">
        <f aca="false">IF(OR($D232&lt;&gt;"销项开票",IFERROR(INDEX(单位档案!$G$6:$G$35,MATCH($E232,单位档案!$A$6:$A$35,0)),"")&lt;&gt;"是",N($Q232)=0),0,IF(IFERROR(INDEX(单位档案!$H$6:$H$35,MATCH($E232,单位档案!$A$6:$A$35,0)),"")="税差法",ROUND(N($H232)/(1+$Q232)*$Q232-IF(N($R232)=0,0,$P232/(1+$R232)*$R232),2),ROUND(N($H232)/(1+$Q232)*$Q232,2)))</f>
        <v>0</v>
      </c>
      <c r="T232" s="36" t="n">
        <f aca="false">ROUND($S232*N(IFERROR(INDEX(单位档案!$J$6:$J$35,MATCH($E232,单位档案!$A$6:$A$35,0)),"")),2)</f>
        <v>0</v>
      </c>
      <c r="U232" s="36" t="n">
        <f aca="false">IF($D232&lt;&gt;"销项开票",0,ROUND(N($H232)*N(IFERROR(INDEX(单位档案!$K$6:$K$35,MATCH($E232,单位档案!$A$6:$A$35,0)),"")),2))</f>
        <v>0</v>
      </c>
      <c r="V232" s="36" t="n">
        <f aca="false">IF(OR($D232&lt;&gt;"销项开票",N($Q232)=0),0,ROUND(N($H232)/(1+$Q232)*N(IFERROR(INDEX(单位档案!$L$6:$L$35,MATCH($E232,单位档案!$A$6:$A$35,0)),"")),2))</f>
        <v>0</v>
      </c>
      <c r="W232" s="36" t="n">
        <f aca="false">ROUND($S232+$T232+$U232+$V232,2)</f>
        <v>0</v>
      </c>
      <c r="X232" s="35" t="n">
        <f aca="false">IF(OR($D232="挂靠代收",$D232="我方收款"),COUNTIFS($D$5:$D232,"挂靠代收")+COUNTIFS($D$5:$D232,"我方收款"),"")</f>
        <v>40</v>
      </c>
      <c r="Y232" s="35" t="s">
        <v>117</v>
      </c>
      <c r="Z232" s="21" t="s">
        <v>111</v>
      </c>
    </row>
    <row r="233" customFormat="false" ht="15.75" hidden="false" customHeight="true" outlineLevel="0" collapsed="false">
      <c r="A233" s="32" t="n">
        <f aca="false">IF($B233="","",ROW()-4)</f>
        <v>229</v>
      </c>
      <c r="B233" s="26" t="n">
        <v>46204</v>
      </c>
      <c r="C233" s="24" t="s">
        <v>165</v>
      </c>
      <c r="D233" s="21" t="s">
        <v>320</v>
      </c>
      <c r="E233" s="21" t="s">
        <v>117</v>
      </c>
      <c r="F233" s="21" t="s">
        <v>127</v>
      </c>
      <c r="G233" s="21"/>
      <c r="H233" s="27" t="n">
        <v>14573.8</v>
      </c>
      <c r="I233" s="23" t="str">
        <f aca="false">IF($D233&lt;&gt;"销项开票","",IF($N233="一级",IF(IFERROR(INDEX(项目档案!$E$6:$E$255,MATCH($C233,项目档案!$A$6:$A$255,0)),"")="",N(IFERROR(INDEX(单位档案!$D$6:$D$35,MATCH($E233,单位档案!$A$6:$A$35,0)),"")),IFERROR(INDEX(项目档案!$E$6:$E$255,MATCH($C233,项目档案!$A$6:$A$255,0)),"")),IF($N233="二级",IF(IFERROR(INDEX(项目档案!$G$6:$G$255,MATCH($C233,项目档案!$A$6:$A$255,0)),"")="",N(IFERROR(INDEX(单位档案!$D$6:$D$35,MATCH($E233,单位档案!$A$6:$A$35,0)),"")),IFERROR(INDEX(项目档案!$G$6:$G$255,MATCH($C233,项目档案!$A$6:$A$255,0)),"")),N(IFERROR(INDEX(单位档案!$D$6:$D$35,MATCH($E233,单位档案!$A$6:$A$35,0)),"")))))</f>
        <v/>
      </c>
      <c r="J233" s="22" t="s">
        <v>513</v>
      </c>
      <c r="K233" s="22" t="s">
        <v>313</v>
      </c>
      <c r="L233" s="33" t="str">
        <f aca="false">IF($B233="","",IF(NOT(ISNUMBER($B233)),"日期格式不对",IF($C233="","未选项目编号",IF(LEFT($M233,1)="⚠","项目编号不存在",IF($D233="","未选业务类型",IF($E233="","未选开票/付款方",IF(ISNA(MATCH($E233,单位档案!$A$6:$A$35,0)),"开票方不在单位档案",IF($F233="","未选收票/收款方",IF(ISNA(MATCH($F233,单位档案!$A$6:$A$35,0)),"收款方不在单位档案",IF(NOT(ISNUMBER($H233)),"金额须为数字",IF(AND($D233="销项开票",$N233="—"),"链条待确认","√")))))))))))</f>
        <v>√</v>
      </c>
      <c r="M233" s="34" t="str">
        <f aca="false">IF($C233="","",IFERROR(INDEX(项目档案!$B$6:$B$255,MATCH($C233,项目档案!$A$6:$A$255,0)),"⚠项目编号不存在"))</f>
        <v>重庆铜梁10kV平凉线惠丰9社等4个台区重过载治理工程</v>
      </c>
      <c r="N233" s="35" t="str">
        <f aca="false">IF($E233="","",IF($E233=IFERROR(INDEX(项目档案!$D$6:$D$255,MATCH($C233,项目档案!$A$6:$A$255,0)),""),"一级",IF($E233=IFERROR(INDEX(项目档案!$F$6:$F$255,MATCH($C233,项目档案!$A$6:$A$255,0)),""),"二级",IF($E233=IFERROR(INDEX(项目档案!$H$6:$H$255,MATCH($C233,项目档案!$A$6:$A$255,0)),""),"我方","—"))))</f>
        <v>一级</v>
      </c>
      <c r="O233" s="36" t="n">
        <f aca="false">IF($D233&lt;&gt;"销项开票",0,ROUND(N($H233)*N($I233),2))</f>
        <v>0</v>
      </c>
      <c r="P233" s="36" t="n">
        <f aca="false">IF($D233&lt;&gt;"销项开票",0,ROUND(N($H233)-$O233,2))</f>
        <v>0</v>
      </c>
      <c r="Q233" s="37" t="n">
        <f aca="false">IF($E233="","",N(IFERROR(INDEX(单位档案!$E$6:$E$35,MATCH($E233,单位档案!$A$6:$A$35,0)),"")))</f>
        <v>0.03</v>
      </c>
      <c r="R233" s="37" t="n">
        <f aca="false">IF($E233="","",N(IFERROR(INDEX(单位档案!$F$6:$F$35,MATCH($E233,单位档案!$A$6:$A$35,0)),"")))</f>
        <v>0.03</v>
      </c>
      <c r="S233" s="36" t="n">
        <f aca="false">IF(OR($D233&lt;&gt;"销项开票",IFERROR(INDEX(单位档案!$G$6:$G$35,MATCH($E233,单位档案!$A$6:$A$35,0)),"")&lt;&gt;"是",N($Q233)=0),0,IF(IFERROR(INDEX(单位档案!$H$6:$H$35,MATCH($E233,单位档案!$A$6:$A$35,0)),"")="税差法",ROUND(N($H233)/(1+$Q233)*$Q233-IF(N($R233)=0,0,$P233/(1+$R233)*$R233),2),ROUND(N($H233)/(1+$Q233)*$Q233,2)))</f>
        <v>0</v>
      </c>
      <c r="T233" s="36" t="n">
        <f aca="false">ROUND($S233*N(IFERROR(INDEX(单位档案!$J$6:$J$35,MATCH($E233,单位档案!$A$6:$A$35,0)),"")),2)</f>
        <v>0</v>
      </c>
      <c r="U233" s="36" t="n">
        <f aca="false">IF($D233&lt;&gt;"销项开票",0,ROUND(N($H233)*N(IFERROR(INDEX(单位档案!$K$6:$K$35,MATCH($E233,单位档案!$A$6:$A$35,0)),"")),2))</f>
        <v>0</v>
      </c>
      <c r="V233" s="36" t="n">
        <f aca="false">IF(OR($D233&lt;&gt;"销项开票",N($Q233)=0),0,ROUND(N($H233)/(1+$Q233)*N(IFERROR(INDEX(单位档案!$L$6:$L$35,MATCH($E233,单位档案!$A$6:$A$35,0)),"")),2))</f>
        <v>0</v>
      </c>
      <c r="W233" s="36" t="n">
        <f aca="false">ROUND($S233+$T233+$U233+$V233,2)</f>
        <v>0</v>
      </c>
      <c r="X233" s="35" t="n">
        <f aca="false">IF(OR($D233="挂靠代收",$D233="我方收款"),COUNTIFS($D$5:$D233,"挂靠代收")+COUNTIFS($D$5:$D233,"我方收款"),"")</f>
        <v>41</v>
      </c>
      <c r="Y233" s="35" t="s">
        <v>117</v>
      </c>
      <c r="Z233" s="21" t="s">
        <v>111</v>
      </c>
    </row>
    <row r="234" customFormat="false" ht="15.75" hidden="false" customHeight="true" outlineLevel="0" collapsed="false">
      <c r="A234" s="32" t="n">
        <f aca="false">IF($B234="","",ROW()-4)</f>
        <v>230</v>
      </c>
      <c r="B234" s="26" t="n">
        <v>46204</v>
      </c>
      <c r="C234" s="24" t="s">
        <v>197</v>
      </c>
      <c r="D234" s="21" t="s">
        <v>357</v>
      </c>
      <c r="E234" s="21" t="s">
        <v>127</v>
      </c>
      <c r="F234" s="21" t="s">
        <v>117</v>
      </c>
      <c r="G234" s="24" t="s">
        <v>316</v>
      </c>
      <c r="H234" s="27" t="n">
        <v>37800</v>
      </c>
      <c r="I234" s="23" t="str">
        <f aca="false">IF($D234&lt;&gt;"销项开票","",IF($N234="一级",IF(IFERROR(INDEX(项目档案!$E$6:$E$255,MATCH($C234,项目档案!$A$6:$A$255,0)),"")="",N(IFERROR(INDEX(单位档案!$D$6:$D$35,MATCH($E234,单位档案!$A$6:$A$35,0)),"")),IFERROR(INDEX(项目档案!$E$6:$E$255,MATCH($C234,项目档案!$A$6:$A$255,0)),"")),IF($N234="二级",IF(IFERROR(INDEX(项目档案!$G$6:$G$255,MATCH($C234,项目档案!$A$6:$A$255,0)),"")="",N(IFERROR(INDEX(单位档案!$D$6:$D$35,MATCH($E234,单位档案!$A$6:$A$35,0)),"")),IFERROR(INDEX(项目档案!$G$6:$G$255,MATCH($C234,项目档案!$A$6:$A$255,0)),"")),N(IFERROR(INDEX(单位档案!$D$6:$D$35,MATCH($E234,单位档案!$A$6:$A$35,0)),"")))))</f>
        <v/>
      </c>
      <c r="J234" s="25" t="s">
        <v>514</v>
      </c>
      <c r="K234" s="22" t="s">
        <v>313</v>
      </c>
      <c r="L234" s="33" t="str">
        <f aca="false">IF($B234="","",IF(NOT(ISNUMBER($B234)),"日期格式不对",IF($C234="","未选项目编号",IF(LEFT($M234,1)="⚠","项目编号不存在",IF($D234="","未选业务类型",IF($E234="","未选开票/付款方",IF(ISNA(MATCH($E234,单位档案!$A$6:$A$35,0)),"开票方不在单位档案",IF($F234="","未选收票/收款方",IF(ISNA(MATCH($F234,单位档案!$A$6:$A$35,0)),"收款方不在单位档案",IF(NOT(ISNUMBER($H234)),"金额须为数字",IF(AND($D234="销项开票",$N234="—"),"链条待确认","√")))))))))))</f>
        <v>√</v>
      </c>
      <c r="M234" s="34" t="str">
        <f aca="false">IF($C234="","",IFERROR(INDEX(项目档案!$B$6:$B$255,MATCH($C234,项目档案!$A$6:$A$255,0)),"⚠项目编号不存在"))</f>
        <v>围龙镇巴岳农庄项目(桥亭水云居项目)双电源工程</v>
      </c>
      <c r="N234" s="35" t="str">
        <f aca="false">IF($E234="","",IF($E234=IFERROR(INDEX(项目档案!$D$6:$D$255,MATCH($C234,项目档案!$A$6:$A$255,0)),""),"一级",IF($E234=IFERROR(INDEX(项目档案!$F$6:$F$255,MATCH($C234,项目档案!$A$6:$A$255,0)),""),"二级",IF($E234=IFERROR(INDEX(项目档案!$H$6:$H$255,MATCH($C234,项目档案!$A$6:$A$255,0)),""),"我方","—"))))</f>
        <v>我方</v>
      </c>
      <c r="O234" s="36" t="n">
        <f aca="false">IF($D234&lt;&gt;"销项开票",0,ROUND(N($H234)*N($I234),2))</f>
        <v>0</v>
      </c>
      <c r="P234" s="36" t="n">
        <f aca="false">IF($D234&lt;&gt;"销项开票",0,ROUND(N($H234)-$O234,2))</f>
        <v>0</v>
      </c>
      <c r="Q234" s="37" t="n">
        <f aca="false">IF($E234="","",N(IFERROR(INDEX(单位档案!$E$6:$E$35,MATCH($E234,单位档案!$A$6:$A$35,0)),"")))</f>
        <v>0.03</v>
      </c>
      <c r="R234" s="37" t="n">
        <f aca="false">IF($E234="","",N(IFERROR(INDEX(单位档案!$F$6:$F$35,MATCH($E234,单位档案!$A$6:$A$35,0)),"")))</f>
        <v>0</v>
      </c>
      <c r="S234" s="36" t="n">
        <f aca="false">IF(OR($D234&lt;&gt;"销项开票",IFERROR(INDEX(单位档案!$G$6:$G$35,MATCH($E234,单位档案!$A$6:$A$35,0)),"")&lt;&gt;"是",N($Q234)=0),0,IF(IFERROR(INDEX(单位档案!$H$6:$H$35,MATCH($E234,单位档案!$A$6:$A$35,0)),"")="税差法",ROUND(N($H234)/(1+$Q234)*$Q234-IF(N($R234)=0,0,$P234/(1+$R234)*$R234),2),ROUND(N($H234)/(1+$Q234)*$Q234,2)))</f>
        <v>0</v>
      </c>
      <c r="T234" s="36" t="n">
        <f aca="false">ROUND($S234*N(IFERROR(INDEX(单位档案!$J$6:$J$35,MATCH($E234,单位档案!$A$6:$A$35,0)),"")),2)</f>
        <v>0</v>
      </c>
      <c r="U234" s="36" t="n">
        <f aca="false">IF($D234&lt;&gt;"销项开票",0,ROUND(N($H234)*N(IFERROR(INDEX(单位档案!$K$6:$K$35,MATCH($E234,单位档案!$A$6:$A$35,0)),"")),2))</f>
        <v>0</v>
      </c>
      <c r="V234" s="36" t="n">
        <f aca="false">IF(OR($D234&lt;&gt;"销项开票",N($Q234)=0),0,ROUND(N($H234)/(1+$Q234)*N(IFERROR(INDEX(单位档案!$L$6:$L$35,MATCH($E234,单位档案!$A$6:$A$35,0)),"")),2))</f>
        <v>0</v>
      </c>
      <c r="W234" s="36" t="n">
        <f aca="false">ROUND($S234+$T234+$U234+$V234,2)</f>
        <v>0</v>
      </c>
      <c r="X234" s="35" t="str">
        <f aca="false">IF(OR($D234="挂靠代收",$D234="我方收款"),COUNTIFS($D$5:$D234,"挂靠代收")+COUNTIFS($D$5:$D234,"我方收款"),"")</f>
        <v/>
      </c>
      <c r="Y234" s="35" t="s">
        <v>117</v>
      </c>
      <c r="Z234" s="21" t="s">
        <v>111</v>
      </c>
    </row>
    <row r="235" customFormat="false" ht="15.75" hidden="false" customHeight="true" outlineLevel="0" collapsed="false">
      <c r="A235" s="32" t="n">
        <f aca="false">IF($B235="","",ROW()-4)</f>
        <v>231</v>
      </c>
      <c r="B235" s="26" t="n">
        <v>46204</v>
      </c>
      <c r="C235" s="24" t="s">
        <v>197</v>
      </c>
      <c r="D235" s="21" t="s">
        <v>357</v>
      </c>
      <c r="E235" s="21" t="s">
        <v>127</v>
      </c>
      <c r="F235" s="21" t="s">
        <v>117</v>
      </c>
      <c r="G235" s="24" t="s">
        <v>316</v>
      </c>
      <c r="H235" s="27" t="n">
        <v>12200</v>
      </c>
      <c r="I235" s="23" t="str">
        <f aca="false">IF($D235&lt;&gt;"销项开票","",IF($N235="一级",IF(IFERROR(INDEX(项目档案!$E$6:$E$255,MATCH($C235,项目档案!$A$6:$A$255,0)),"")="",N(IFERROR(INDEX(单位档案!$D$6:$D$35,MATCH($E235,单位档案!$A$6:$A$35,0)),"")),IFERROR(INDEX(项目档案!$E$6:$E$255,MATCH($C235,项目档案!$A$6:$A$255,0)),"")),IF($N235="二级",IF(IFERROR(INDEX(项目档案!$G$6:$G$255,MATCH($C235,项目档案!$A$6:$A$255,0)),"")="",N(IFERROR(INDEX(单位档案!$D$6:$D$35,MATCH($E235,单位档案!$A$6:$A$35,0)),"")),IFERROR(INDEX(项目档案!$G$6:$G$255,MATCH($C235,项目档案!$A$6:$A$255,0)),"")),N(IFERROR(INDEX(单位档案!$D$6:$D$35,MATCH($E235,单位档案!$A$6:$A$35,0)),"")))))</f>
        <v/>
      </c>
      <c r="J235" s="25" t="s">
        <v>514</v>
      </c>
      <c r="K235" s="22" t="s">
        <v>313</v>
      </c>
      <c r="L235" s="33" t="str">
        <f aca="false">IF($B235="","",IF(NOT(ISNUMBER($B235)),"日期格式不对",IF($C235="","未选项目编号",IF(LEFT($M235,1)="⚠","项目编号不存在",IF($D235="","未选业务类型",IF($E235="","未选开票/付款方",IF(ISNA(MATCH($E235,单位档案!$A$6:$A$35,0)),"开票方不在单位档案",IF($F235="","未选收票/收款方",IF(ISNA(MATCH($F235,单位档案!$A$6:$A$35,0)),"收款方不在单位档案",IF(NOT(ISNUMBER($H235)),"金额须为数字",IF(AND($D235="销项开票",$N235="—"),"链条待确认","√")))))))))))</f>
        <v>√</v>
      </c>
      <c r="M235" s="34" t="str">
        <f aca="false">IF($C235="","",IFERROR(INDEX(项目档案!$B$6:$B$255,MATCH($C235,项目档案!$A$6:$A$255,0)),"⚠项目编号不存在"))</f>
        <v>围龙镇巴岳农庄项目(桥亭水云居项目)双电源工程</v>
      </c>
      <c r="N235" s="35" t="str">
        <f aca="false">IF($E235="","",IF($E235=IFERROR(INDEX(项目档案!$D$6:$D$255,MATCH($C235,项目档案!$A$6:$A$255,0)),""),"一级",IF($E235=IFERROR(INDEX(项目档案!$F$6:$F$255,MATCH($C235,项目档案!$A$6:$A$255,0)),""),"二级",IF($E235=IFERROR(INDEX(项目档案!$H$6:$H$255,MATCH($C235,项目档案!$A$6:$A$255,0)),""),"我方","—"))))</f>
        <v>我方</v>
      </c>
      <c r="O235" s="36" t="n">
        <f aca="false">IF($D235&lt;&gt;"销项开票",0,ROUND(N($H235)*N($I235),2))</f>
        <v>0</v>
      </c>
      <c r="P235" s="36" t="n">
        <f aca="false">IF($D235&lt;&gt;"销项开票",0,ROUND(N($H235)-$O235,2))</f>
        <v>0</v>
      </c>
      <c r="Q235" s="37" t="n">
        <f aca="false">IF($E235="","",N(IFERROR(INDEX(单位档案!$E$6:$E$35,MATCH($E235,单位档案!$A$6:$A$35,0)),"")))</f>
        <v>0.03</v>
      </c>
      <c r="R235" s="37" t="n">
        <f aca="false">IF($E235="","",N(IFERROR(INDEX(单位档案!$F$6:$F$35,MATCH($E235,单位档案!$A$6:$A$35,0)),"")))</f>
        <v>0</v>
      </c>
      <c r="S235" s="36" t="n">
        <f aca="false">IF(OR($D235&lt;&gt;"销项开票",IFERROR(INDEX(单位档案!$G$6:$G$35,MATCH($E235,单位档案!$A$6:$A$35,0)),"")&lt;&gt;"是",N($Q235)=0),0,IF(IFERROR(INDEX(单位档案!$H$6:$H$35,MATCH($E235,单位档案!$A$6:$A$35,0)),"")="税差法",ROUND(N($H235)/(1+$Q235)*$Q235-IF(N($R235)=0,0,$P235/(1+$R235)*$R235),2),ROUND(N($H235)/(1+$Q235)*$Q235,2)))</f>
        <v>0</v>
      </c>
      <c r="T235" s="36" t="n">
        <f aca="false">ROUND($S235*N(IFERROR(INDEX(单位档案!$J$6:$J$35,MATCH($E235,单位档案!$A$6:$A$35,0)),"")),2)</f>
        <v>0</v>
      </c>
      <c r="U235" s="36" t="n">
        <f aca="false">IF($D235&lt;&gt;"销项开票",0,ROUND(N($H235)*N(IFERROR(INDEX(单位档案!$K$6:$K$35,MATCH($E235,单位档案!$A$6:$A$35,0)),"")),2))</f>
        <v>0</v>
      </c>
      <c r="V235" s="36" t="n">
        <f aca="false">IF(OR($D235&lt;&gt;"销项开票",N($Q235)=0),0,ROUND(N($H235)/(1+$Q235)*N(IFERROR(INDEX(单位档案!$L$6:$L$35,MATCH($E235,单位档案!$A$6:$A$35,0)),"")),2))</f>
        <v>0</v>
      </c>
      <c r="W235" s="36" t="n">
        <f aca="false">ROUND($S235+$T235+$U235+$V235,2)</f>
        <v>0</v>
      </c>
      <c r="X235" s="35" t="str">
        <f aca="false">IF(OR($D235="挂靠代收",$D235="我方收款"),COUNTIFS($D$5:$D235,"挂靠代收")+COUNTIFS($D$5:$D235,"我方收款"),"")</f>
        <v/>
      </c>
      <c r="Y235" s="35" t="s">
        <v>117</v>
      </c>
      <c r="Z235" s="21" t="s">
        <v>111</v>
      </c>
    </row>
    <row r="236" customFormat="false" ht="15.75" hidden="false" customHeight="true" outlineLevel="0" collapsed="false">
      <c r="A236" s="32" t="n">
        <f aca="false">IF($B236="","",ROW()-4)</f>
        <v>232</v>
      </c>
      <c r="B236" s="26" t="n">
        <v>46204</v>
      </c>
      <c r="C236" s="24" t="s">
        <v>197</v>
      </c>
      <c r="D236" s="21" t="s">
        <v>320</v>
      </c>
      <c r="E236" s="21" t="s">
        <v>117</v>
      </c>
      <c r="F236" s="21" t="s">
        <v>127</v>
      </c>
      <c r="G236" s="24" t="s">
        <v>316</v>
      </c>
      <c r="H236" s="27" t="n">
        <v>3300.86</v>
      </c>
      <c r="I236" s="23" t="str">
        <f aca="false">IF($D236&lt;&gt;"销项开票","",IF($N236="一级",IF(IFERROR(INDEX(项目档案!$E$6:$E$255,MATCH($C236,项目档案!$A$6:$A$255,0)),"")="",N(IFERROR(INDEX(单位档案!$D$6:$D$35,MATCH($E236,单位档案!$A$6:$A$35,0)),"")),IFERROR(INDEX(项目档案!$E$6:$E$255,MATCH($C236,项目档案!$A$6:$A$255,0)),"")),IF($N236="二级",IF(IFERROR(INDEX(项目档案!$G$6:$G$255,MATCH($C236,项目档案!$A$6:$A$255,0)),"")="",N(IFERROR(INDEX(单位档案!$D$6:$D$35,MATCH($E236,单位档案!$A$6:$A$35,0)),"")),IFERROR(INDEX(项目档案!$G$6:$G$255,MATCH($C236,项目档案!$A$6:$A$255,0)),"")),N(IFERROR(INDEX(单位档案!$D$6:$D$35,MATCH($E236,单位档案!$A$6:$A$35,0)),"")))))</f>
        <v/>
      </c>
      <c r="J236" s="25" t="s">
        <v>514</v>
      </c>
      <c r="K236" s="22" t="s">
        <v>313</v>
      </c>
      <c r="L236" s="33" t="str">
        <f aca="false">IF($B236="","",IF(NOT(ISNUMBER($B236)),"日期格式不对",IF($C236="","未选项目编号",IF(LEFT($M236,1)="⚠","项目编号不存在",IF($D236="","未选业务类型",IF($E236="","未选开票/付款方",IF(ISNA(MATCH($E236,单位档案!$A$6:$A$35,0)),"开票方不在单位档案",IF($F236="","未选收票/收款方",IF(ISNA(MATCH($F236,单位档案!$A$6:$A$35,0)),"收款方不在单位档案",IF(NOT(ISNUMBER($H236)),"金额须为数字",IF(AND($D236="销项开票",$N236="—"),"链条待确认","√")))))))))))</f>
        <v>√</v>
      </c>
      <c r="M236" s="34" t="str">
        <f aca="false">IF($C236="","",IFERROR(INDEX(项目档案!$B$6:$B$255,MATCH($C236,项目档案!$A$6:$A$255,0)),"⚠项目编号不存在"))</f>
        <v>围龙镇巴岳农庄项目(桥亭水云居项目)双电源工程</v>
      </c>
      <c r="N236" s="35" t="str">
        <f aca="false">IF($E236="","",IF($E236=IFERROR(INDEX(项目档案!$D$6:$D$255,MATCH($C236,项目档案!$A$6:$A$255,0)),""),"一级",IF($E236=IFERROR(INDEX(项目档案!$F$6:$F$255,MATCH($C236,项目档案!$A$6:$A$255,0)),""),"二级",IF($E236=IFERROR(INDEX(项目档案!$H$6:$H$255,MATCH($C236,项目档案!$A$6:$A$255,0)),""),"我方","—"))))</f>
        <v>一级</v>
      </c>
      <c r="O236" s="36" t="n">
        <f aca="false">IF($D236&lt;&gt;"销项开票",0,ROUND(N($H236)*N($I236),2))</f>
        <v>0</v>
      </c>
      <c r="P236" s="36" t="n">
        <f aca="false">IF($D236&lt;&gt;"销项开票",0,ROUND(N($H236)-$O236,2))</f>
        <v>0</v>
      </c>
      <c r="Q236" s="37" t="n">
        <f aca="false">IF($E236="","",N(IFERROR(INDEX(单位档案!$E$6:$E$35,MATCH($E236,单位档案!$A$6:$A$35,0)),"")))</f>
        <v>0.03</v>
      </c>
      <c r="R236" s="37" t="n">
        <f aca="false">IF($E236="","",N(IFERROR(INDEX(单位档案!$F$6:$F$35,MATCH($E236,单位档案!$A$6:$A$35,0)),"")))</f>
        <v>0.03</v>
      </c>
      <c r="S236" s="36" t="n">
        <f aca="false">IF(OR($D236&lt;&gt;"销项开票",IFERROR(INDEX(单位档案!$G$6:$G$35,MATCH($E236,单位档案!$A$6:$A$35,0)),"")&lt;&gt;"是",N($Q236)=0),0,IF(IFERROR(INDEX(单位档案!$H$6:$H$35,MATCH($E236,单位档案!$A$6:$A$35,0)),"")="税差法",ROUND(N($H236)/(1+$Q236)*$Q236-IF(N($R236)=0,0,$P236/(1+$R236)*$R236),2),ROUND(N($H236)/(1+$Q236)*$Q236,2)))</f>
        <v>0</v>
      </c>
      <c r="T236" s="36" t="n">
        <f aca="false">ROUND($S236*N(IFERROR(INDEX(单位档案!$J$6:$J$35,MATCH($E236,单位档案!$A$6:$A$35,0)),"")),2)</f>
        <v>0</v>
      </c>
      <c r="U236" s="36" t="n">
        <f aca="false">IF($D236&lt;&gt;"销项开票",0,ROUND(N($H236)*N(IFERROR(INDEX(单位档案!$K$6:$K$35,MATCH($E236,单位档案!$A$6:$A$35,0)),"")),2))</f>
        <v>0</v>
      </c>
      <c r="V236" s="36" t="n">
        <f aca="false">IF(OR($D236&lt;&gt;"销项开票",N($Q236)=0),0,ROUND(N($H236)/(1+$Q236)*N(IFERROR(INDEX(单位档案!$L$6:$L$35,MATCH($E236,单位档案!$A$6:$A$35,0)),"")),2))</f>
        <v>0</v>
      </c>
      <c r="W236" s="36" t="n">
        <f aca="false">ROUND($S236+$T236+$U236+$V236,2)</f>
        <v>0</v>
      </c>
      <c r="X236" s="35" t="n">
        <f aca="false">IF(OR($D236="挂靠代收",$D236="我方收款"),COUNTIFS($D$5:$D236,"挂靠代收")+COUNTIFS($D$5:$D236,"我方收款"),"")</f>
        <v>42</v>
      </c>
      <c r="Y236" s="35" t="s">
        <v>117</v>
      </c>
      <c r="Z236" s="21" t="s">
        <v>111</v>
      </c>
    </row>
    <row r="237" customFormat="false" ht="15.75" hidden="false" customHeight="true" outlineLevel="0" collapsed="false">
      <c r="A237" s="32" t="n">
        <f aca="false">IF($B237="","",ROW()-4)</f>
        <v>233</v>
      </c>
      <c r="B237" s="26" t="n">
        <v>46205</v>
      </c>
      <c r="C237" s="24" t="s">
        <v>190</v>
      </c>
      <c r="D237" s="21" t="s">
        <v>11</v>
      </c>
      <c r="E237" s="21" t="s">
        <v>117</v>
      </c>
      <c r="F237" s="21" t="s">
        <v>134</v>
      </c>
      <c r="G237" s="21"/>
      <c r="H237" s="27" t="n">
        <v>3211.43</v>
      </c>
      <c r="I237" s="23" t="str">
        <f aca="false">IF($D237&lt;&gt;"销项开票","",IF($N237="一级",IF(IFERROR(INDEX(项目档案!$E$6:$E$255,MATCH($C237,项目档案!$A$6:$A$255,0)),"")="",N(IFERROR(INDEX(单位档案!$D$6:$D$35,MATCH($E237,单位档案!$A$6:$A$35,0)),"")),IFERROR(INDEX(项目档案!$E$6:$E$255,MATCH($C237,项目档案!$A$6:$A$255,0)),"")),IF($N237="二级",IF(IFERROR(INDEX(项目档案!$G$6:$G$255,MATCH($C237,项目档案!$A$6:$A$255,0)),"")="",N(IFERROR(INDEX(单位档案!$D$6:$D$35,MATCH($E237,单位档案!$A$6:$A$35,0)),"")),IFERROR(INDEX(项目档案!$G$6:$G$255,MATCH($C237,项目档案!$A$6:$A$255,0)),"")),N(IFERROR(INDEX(单位档案!$D$6:$D$35,MATCH($E237,单位档案!$A$6:$A$35,0)),"")))))</f>
        <v/>
      </c>
      <c r="J237" s="25" t="s">
        <v>515</v>
      </c>
      <c r="K237" s="22" t="s">
        <v>313</v>
      </c>
      <c r="L237" s="33" t="str">
        <f aca="false">IF($B237="","",IF(NOT(ISNUMBER($B237)),"日期格式不对",IF($C237="","未选项目编号",IF(LEFT($M237,1)="⚠","项目编号不存在",IF($D237="","未选业务类型",IF($E237="","未选开票/付款方",IF(ISNA(MATCH($E237,单位档案!$A$6:$A$35,0)),"开票方不在单位档案",IF($F237="","未选收票/收款方",IF(ISNA(MATCH($F237,单位档案!$A$6:$A$35,0)),"收款方不在单位档案",IF(NOT(ISNUMBER($H237)),"金额须为数字",IF(AND($D237="销项开票",$N237="—"),"链条待确认","√")))))))))))</f>
        <v>√</v>
      </c>
      <c r="M237" s="34" t="str">
        <f aca="false">IF($C237="","",IFERROR(INDEX(项目档案!$B$6:$B$255,MATCH($C237,项目档案!$A$6:$A$255,0)),"⚠项目编号不存在"))</f>
        <v>重庆民能实业有限公司2025-2026年度工程用施工机具等租赁服务框架采购（国网重庆铜梁公司110kV金湖东西电缆改造）</v>
      </c>
      <c r="N237" s="35" t="str">
        <f aca="false">IF($E237="","",IF($E237=IFERROR(INDEX(项目档案!$D$6:$D$255,MATCH($C237,项目档案!$A$6:$A$255,0)),""),"一级",IF($E237=IFERROR(INDEX(项目档案!$F$6:$F$255,MATCH($C237,项目档案!$A$6:$A$255,0)),""),"二级",IF($E237=IFERROR(INDEX(项目档案!$H$6:$H$255,MATCH($C237,项目档案!$A$6:$A$255,0)),""),"我方","—"))))</f>
        <v>二级</v>
      </c>
      <c r="O237" s="36" t="n">
        <f aca="false">IF($D237&lt;&gt;"销项开票",0,ROUND(N($H237)*N($I237),2))</f>
        <v>0</v>
      </c>
      <c r="P237" s="36" t="n">
        <f aca="false">IF($D237&lt;&gt;"销项开票",0,ROUND(N($H237)-$O237,2))</f>
        <v>0</v>
      </c>
      <c r="Q237" s="37" t="n">
        <f aca="false">IF($E237="","",N(IFERROR(INDEX(单位档案!$E$6:$E$35,MATCH($E237,单位档案!$A$6:$A$35,0)),"")))</f>
        <v>0.03</v>
      </c>
      <c r="R237" s="37" t="n">
        <f aca="false">IF($E237="","",N(IFERROR(INDEX(单位档案!$F$6:$F$35,MATCH($E237,单位档案!$A$6:$A$35,0)),"")))</f>
        <v>0.03</v>
      </c>
      <c r="S237" s="36" t="n">
        <f aca="false">IF(OR($D237&lt;&gt;"销项开票",IFERROR(INDEX(单位档案!$G$6:$G$35,MATCH($E237,单位档案!$A$6:$A$35,0)),"")&lt;&gt;"是",N($Q237)=0),0,IF(IFERROR(INDEX(单位档案!$H$6:$H$35,MATCH($E237,单位档案!$A$6:$A$35,0)),"")="税差法",ROUND(N($H237)/(1+$Q237)*$Q237-IF(N($R237)=0,0,$P237/(1+$R237)*$R237),2),ROUND(N($H237)/(1+$Q237)*$Q237,2)))</f>
        <v>0</v>
      </c>
      <c r="T237" s="36" t="n">
        <f aca="false">ROUND($S237*N(IFERROR(INDEX(单位档案!$J$6:$J$35,MATCH($E237,单位档案!$A$6:$A$35,0)),"")),2)</f>
        <v>0</v>
      </c>
      <c r="U237" s="36" t="n">
        <f aca="false">IF($D237&lt;&gt;"销项开票",0,ROUND(N($H237)*N(IFERROR(INDEX(单位档案!$K$6:$K$35,MATCH($E237,单位档案!$A$6:$A$35,0)),"")),2))</f>
        <v>0</v>
      </c>
      <c r="V237" s="36" t="n">
        <f aca="false">IF(OR($D237&lt;&gt;"销项开票",N($Q237)=0),0,ROUND(N($H237)/(1+$Q237)*N(IFERROR(INDEX(单位档案!$L$6:$L$35,MATCH($E237,单位档案!$A$6:$A$35,0)),"")),2))</f>
        <v>0</v>
      </c>
      <c r="W237" s="36" t="n">
        <f aca="false">ROUND($S237+$T237+$U237+$V237,2)</f>
        <v>0</v>
      </c>
      <c r="X237" s="35" t="str">
        <f aca="false">IF(OR($D237="挂靠代收",$D237="我方收款"),COUNTIFS($D$5:$D237,"挂靠代收")+COUNTIFS($D$5:$D237,"我方收款"),"")</f>
        <v/>
      </c>
      <c r="Y237" s="35" t="s">
        <v>117</v>
      </c>
      <c r="Z237" s="21" t="s">
        <v>111</v>
      </c>
    </row>
    <row r="238" customFormat="false" ht="15.75" hidden="false" customHeight="true" outlineLevel="0" collapsed="false">
      <c r="A238" s="32" t="n">
        <f aca="false">IF($B238="","",ROW()-4)</f>
        <v>234</v>
      </c>
      <c r="B238" s="26" t="n">
        <v>46205</v>
      </c>
      <c r="C238" s="24" t="s">
        <v>199</v>
      </c>
      <c r="D238" s="21" t="s">
        <v>357</v>
      </c>
      <c r="E238" s="21" t="s">
        <v>127</v>
      </c>
      <c r="F238" s="21" t="s">
        <v>110</v>
      </c>
      <c r="G238" s="21" t="s">
        <v>358</v>
      </c>
      <c r="H238" s="27" t="n">
        <v>5522.3</v>
      </c>
      <c r="I238" s="23" t="str">
        <f aca="false">IF($D238&lt;&gt;"销项开票","",IF($N238="一级",IF(IFERROR(INDEX(项目档案!$E$6:$E$255,MATCH($C238,项目档案!$A$6:$A$255,0)),"")="",N(IFERROR(INDEX(单位档案!$D$6:$D$35,MATCH($E238,单位档案!$A$6:$A$35,0)),"")),IFERROR(INDEX(项目档案!$E$6:$E$255,MATCH($C238,项目档案!$A$6:$A$255,0)),"")),IF($N238="二级",IF(IFERROR(INDEX(项目档案!$G$6:$G$255,MATCH($C238,项目档案!$A$6:$A$255,0)),"")="",N(IFERROR(INDEX(单位档案!$D$6:$D$35,MATCH($E238,单位档案!$A$6:$A$35,0)),"")),IFERROR(INDEX(项目档案!$G$6:$G$255,MATCH($C238,项目档案!$A$6:$A$255,0)),"")),N(IFERROR(INDEX(单位档案!$D$6:$D$35,MATCH($E238,单位档案!$A$6:$A$35,0)),"")))))</f>
        <v/>
      </c>
      <c r="J238" s="25" t="s">
        <v>516</v>
      </c>
      <c r="K238" s="22" t="s">
        <v>313</v>
      </c>
      <c r="L238" s="33" t="str">
        <f aca="false">IF($B238="","",IF(NOT(ISNUMBER($B238)),"日期格式不对",IF($C238="","未选项目编号",IF(LEFT($M238,1)="⚠","项目编号不存在",IF($D238="","未选业务类型",IF($E238="","未选开票/付款方",IF(ISNA(MATCH($E238,单位档案!$A$6:$A$35,0)),"开票方不在单位档案",IF($F238="","未选收票/收款方",IF(ISNA(MATCH($F238,单位档案!$A$6:$A$35,0)),"收款方不在单位档案",IF(NOT(ISNUMBER($H238)),"金额须为数字",IF(AND($D238="销项开票",$N238="—"),"链条待确认","√")))))))))))</f>
        <v>√</v>
      </c>
      <c r="M238" s="34" t="str">
        <f aca="false">IF($C238="","",IFERROR(INDEX(项目档案!$B$6:$B$255,MATCH($C238,项目档案!$A$6:$A$255,0)),"⚠项目编号不存在"))</f>
        <v>铜梁公司2026年配电专业应急抢修抢险等外包项目（黄荆4社等台区4个隐患治理项目、三湾1.2社等台区2个应急抢修项目)</v>
      </c>
      <c r="N238" s="35" t="str">
        <f aca="false">IF($E238="","",IF($E238=IFERROR(INDEX(项目档案!$D$6:$D$255,MATCH($C238,项目档案!$A$6:$A$255,0)),""),"一级",IF($E238=IFERROR(INDEX(项目档案!$F$6:$F$255,MATCH($C238,项目档案!$A$6:$A$255,0)),""),"二级",IF($E238=IFERROR(INDEX(项目档案!$H$6:$H$255,MATCH($C238,项目档案!$A$6:$A$255,0)),""),"我方","—"))))</f>
        <v>我方</v>
      </c>
      <c r="O238" s="36" t="n">
        <f aca="false">IF($D238&lt;&gt;"销项开票",0,ROUND(N($H238)*N($I238),2))</f>
        <v>0</v>
      </c>
      <c r="P238" s="36" t="n">
        <f aca="false">IF($D238&lt;&gt;"销项开票",0,ROUND(N($H238)-$O238,2))</f>
        <v>0</v>
      </c>
      <c r="Q238" s="37" t="n">
        <f aca="false">IF($E238="","",N(IFERROR(INDEX(单位档案!$E$6:$E$35,MATCH($E238,单位档案!$A$6:$A$35,0)),"")))</f>
        <v>0.03</v>
      </c>
      <c r="R238" s="37" t="n">
        <f aca="false">IF($E238="","",N(IFERROR(INDEX(单位档案!$F$6:$F$35,MATCH($E238,单位档案!$A$6:$A$35,0)),"")))</f>
        <v>0</v>
      </c>
      <c r="S238" s="36" t="n">
        <f aca="false">IF(OR($D238&lt;&gt;"销项开票",IFERROR(INDEX(单位档案!$G$6:$G$35,MATCH($E238,单位档案!$A$6:$A$35,0)),"")&lt;&gt;"是",N($Q238)=0),0,IF(IFERROR(INDEX(单位档案!$H$6:$H$35,MATCH($E238,单位档案!$A$6:$A$35,0)),"")="税差法",ROUND(N($H238)/(1+$Q238)*$Q238-IF(N($R238)=0,0,$P238/(1+$R238)*$R238),2),ROUND(N($H238)/(1+$Q238)*$Q238,2)))</f>
        <v>0</v>
      </c>
      <c r="T238" s="36" t="n">
        <f aca="false">ROUND($S238*N(IFERROR(INDEX(单位档案!$J$6:$J$35,MATCH($E238,单位档案!$A$6:$A$35,0)),"")),2)</f>
        <v>0</v>
      </c>
      <c r="U238" s="36" t="n">
        <f aca="false">IF($D238&lt;&gt;"销项开票",0,ROUND(N($H238)*N(IFERROR(INDEX(单位档案!$K$6:$K$35,MATCH($E238,单位档案!$A$6:$A$35,0)),"")),2))</f>
        <v>0</v>
      </c>
      <c r="V238" s="36" t="n">
        <f aca="false">IF(OR($D238&lt;&gt;"销项开票",N($Q238)=0),0,ROUND(N($H238)/(1+$Q238)*N(IFERROR(INDEX(单位档案!$L$6:$L$35,MATCH($E238,单位档案!$A$6:$A$35,0)),"")),2))</f>
        <v>0</v>
      </c>
      <c r="W238" s="36" t="n">
        <f aca="false">ROUND($S238+$T238+$U238+$V238,2)</f>
        <v>0</v>
      </c>
      <c r="X238" s="35" t="str">
        <f aca="false">IF(OR($D238="挂靠代收",$D238="我方收款"),COUNTIFS($D$5:$D238,"挂靠代收")+COUNTIFS($D$5:$D238,"我方收款"),"")</f>
        <v/>
      </c>
      <c r="Y238" s="35" t="s">
        <v>110</v>
      </c>
      <c r="Z238" s="21" t="s">
        <v>111</v>
      </c>
    </row>
    <row r="239" customFormat="false" ht="15.75" hidden="false" customHeight="true" outlineLevel="0" collapsed="false">
      <c r="A239" s="32" t="n">
        <f aca="false">IF($B239="","",ROW()-4)</f>
        <v>235</v>
      </c>
      <c r="B239" s="26" t="n">
        <v>46205</v>
      </c>
      <c r="C239" s="24" t="s">
        <v>199</v>
      </c>
      <c r="D239" s="21" t="s">
        <v>357</v>
      </c>
      <c r="E239" s="21" t="s">
        <v>127</v>
      </c>
      <c r="F239" s="21" t="s">
        <v>110</v>
      </c>
      <c r="G239" s="21" t="s">
        <v>358</v>
      </c>
      <c r="H239" s="27" t="n">
        <v>2155.97</v>
      </c>
      <c r="I239" s="23" t="str">
        <f aca="false">IF($D239&lt;&gt;"销项开票","",IF($N239="一级",IF(IFERROR(INDEX(项目档案!$E$6:$E$255,MATCH($C239,项目档案!$A$6:$A$255,0)),"")="",N(IFERROR(INDEX(单位档案!$D$6:$D$35,MATCH($E239,单位档案!$A$6:$A$35,0)),"")),IFERROR(INDEX(项目档案!$E$6:$E$255,MATCH($C239,项目档案!$A$6:$A$255,0)),"")),IF($N239="二级",IF(IFERROR(INDEX(项目档案!$G$6:$G$255,MATCH($C239,项目档案!$A$6:$A$255,0)),"")="",N(IFERROR(INDEX(单位档案!$D$6:$D$35,MATCH($E239,单位档案!$A$6:$A$35,0)),"")),IFERROR(INDEX(项目档案!$G$6:$G$255,MATCH($C239,项目档案!$A$6:$A$255,0)),"")),N(IFERROR(INDEX(单位档案!$D$6:$D$35,MATCH($E239,单位档案!$A$6:$A$35,0)),"")))))</f>
        <v/>
      </c>
      <c r="J239" s="25" t="s">
        <v>517</v>
      </c>
      <c r="K239" s="22" t="s">
        <v>313</v>
      </c>
      <c r="L239" s="33" t="str">
        <f aca="false">IF($B239="","",IF(NOT(ISNUMBER($B239)),"日期格式不对",IF($C239="","未选项目编号",IF(LEFT($M239,1)="⚠","项目编号不存在",IF($D239="","未选业务类型",IF($E239="","未选开票/付款方",IF(ISNA(MATCH($E239,单位档案!$A$6:$A$35,0)),"开票方不在单位档案",IF($F239="","未选收票/收款方",IF(ISNA(MATCH($F239,单位档案!$A$6:$A$35,0)),"收款方不在单位档案",IF(NOT(ISNUMBER($H239)),"金额须为数字",IF(AND($D239="销项开票",$N239="—"),"链条待确认","√")))))))))))</f>
        <v>√</v>
      </c>
      <c r="M239" s="34" t="str">
        <f aca="false">IF($C239="","",IFERROR(INDEX(项目档案!$B$6:$B$255,MATCH($C239,项目档案!$A$6:$A$255,0)),"⚠项目编号不存在"))</f>
        <v>铜梁公司2026年配电专业应急抢修抢险等外包项目（黄荆4社等台区4个隐患治理项目、三湾1.2社等台区2个应急抢修项目)</v>
      </c>
      <c r="N239" s="35" t="str">
        <f aca="false">IF($E239="","",IF($E239=IFERROR(INDEX(项目档案!$D$6:$D$255,MATCH($C239,项目档案!$A$6:$A$255,0)),""),"一级",IF($E239=IFERROR(INDEX(项目档案!$F$6:$F$255,MATCH($C239,项目档案!$A$6:$A$255,0)),""),"二级",IF($E239=IFERROR(INDEX(项目档案!$H$6:$H$255,MATCH($C239,项目档案!$A$6:$A$255,0)),""),"我方","—"))))</f>
        <v>我方</v>
      </c>
      <c r="O239" s="36" t="n">
        <f aca="false">IF($D239&lt;&gt;"销项开票",0,ROUND(N($H239)*N($I239),2))</f>
        <v>0</v>
      </c>
      <c r="P239" s="36" t="n">
        <f aca="false">IF($D239&lt;&gt;"销项开票",0,ROUND(N($H239)-$O239,2))</f>
        <v>0</v>
      </c>
      <c r="Q239" s="37" t="n">
        <f aca="false">IF($E239="","",N(IFERROR(INDEX(单位档案!$E$6:$E$35,MATCH($E239,单位档案!$A$6:$A$35,0)),"")))</f>
        <v>0.03</v>
      </c>
      <c r="R239" s="37" t="n">
        <f aca="false">IF($E239="","",N(IFERROR(INDEX(单位档案!$F$6:$F$35,MATCH($E239,单位档案!$A$6:$A$35,0)),"")))</f>
        <v>0</v>
      </c>
      <c r="S239" s="36" t="n">
        <f aca="false">IF(OR($D239&lt;&gt;"销项开票",IFERROR(INDEX(单位档案!$G$6:$G$35,MATCH($E239,单位档案!$A$6:$A$35,0)),"")&lt;&gt;"是",N($Q239)=0),0,IF(IFERROR(INDEX(单位档案!$H$6:$H$35,MATCH($E239,单位档案!$A$6:$A$35,0)),"")="税差法",ROUND(N($H239)/(1+$Q239)*$Q239-IF(N($R239)=0,0,$P239/(1+$R239)*$R239),2),ROUND(N($H239)/(1+$Q239)*$Q239,2)))</f>
        <v>0</v>
      </c>
      <c r="T239" s="36" t="n">
        <f aca="false">ROUND($S239*N(IFERROR(INDEX(单位档案!$J$6:$J$35,MATCH($E239,单位档案!$A$6:$A$35,0)),"")),2)</f>
        <v>0</v>
      </c>
      <c r="U239" s="36" t="n">
        <f aca="false">IF($D239&lt;&gt;"销项开票",0,ROUND(N($H239)*N(IFERROR(INDEX(单位档案!$K$6:$K$35,MATCH($E239,单位档案!$A$6:$A$35,0)),"")),2))</f>
        <v>0</v>
      </c>
      <c r="V239" s="36" t="n">
        <f aca="false">IF(OR($D239&lt;&gt;"销项开票",N($Q239)=0),0,ROUND(N($H239)/(1+$Q239)*N(IFERROR(INDEX(单位档案!$L$6:$L$35,MATCH($E239,单位档案!$A$6:$A$35,0)),"")),2))</f>
        <v>0</v>
      </c>
      <c r="W239" s="36" t="n">
        <f aca="false">ROUND($S239+$T239+$U239+$V239,2)</f>
        <v>0</v>
      </c>
      <c r="X239" s="35" t="str">
        <f aca="false">IF(OR($D239="挂靠代收",$D239="我方收款"),COUNTIFS($D$5:$D239,"挂靠代收")+COUNTIFS($D$5:$D239,"我方收款"),"")</f>
        <v/>
      </c>
      <c r="Y239" s="35" t="s">
        <v>110</v>
      </c>
      <c r="Z239" s="21" t="s">
        <v>111</v>
      </c>
    </row>
    <row r="240" customFormat="false" ht="15.75" hidden="false" customHeight="true" outlineLevel="0" collapsed="false">
      <c r="A240" s="32" t="n">
        <f aca="false">IF($B240="","",ROW()-4)</f>
        <v>236</v>
      </c>
      <c r="B240" s="26" t="n">
        <v>46205</v>
      </c>
      <c r="C240" s="24" t="s">
        <v>199</v>
      </c>
      <c r="D240" s="21" t="s">
        <v>357</v>
      </c>
      <c r="E240" s="21" t="s">
        <v>127</v>
      </c>
      <c r="F240" s="21" t="s">
        <v>110</v>
      </c>
      <c r="G240" s="21" t="s">
        <v>358</v>
      </c>
      <c r="H240" s="27" t="n">
        <v>2155.97</v>
      </c>
      <c r="I240" s="23" t="str">
        <f aca="false">IF($D240&lt;&gt;"销项开票","",IF($N240="一级",IF(IFERROR(INDEX(项目档案!$E$6:$E$255,MATCH($C240,项目档案!$A$6:$A$255,0)),"")="",N(IFERROR(INDEX(单位档案!$D$6:$D$35,MATCH($E240,单位档案!$A$6:$A$35,0)),"")),IFERROR(INDEX(项目档案!$E$6:$E$255,MATCH($C240,项目档案!$A$6:$A$255,0)),"")),IF($N240="二级",IF(IFERROR(INDEX(项目档案!$G$6:$G$255,MATCH($C240,项目档案!$A$6:$A$255,0)),"")="",N(IFERROR(INDEX(单位档案!$D$6:$D$35,MATCH($E240,单位档案!$A$6:$A$35,0)),"")),IFERROR(INDEX(项目档案!$G$6:$G$255,MATCH($C240,项目档案!$A$6:$A$255,0)),"")),N(IFERROR(INDEX(单位档案!$D$6:$D$35,MATCH($E240,单位档案!$A$6:$A$35,0)),"")))))</f>
        <v/>
      </c>
      <c r="J240" s="25" t="s">
        <v>518</v>
      </c>
      <c r="K240" s="22" t="s">
        <v>313</v>
      </c>
      <c r="L240" s="33" t="str">
        <f aca="false">IF($B240="","",IF(NOT(ISNUMBER($B240)),"日期格式不对",IF($C240="","未选项目编号",IF(LEFT($M240,1)="⚠","项目编号不存在",IF($D240="","未选业务类型",IF($E240="","未选开票/付款方",IF(ISNA(MATCH($E240,单位档案!$A$6:$A$35,0)),"开票方不在单位档案",IF($F240="","未选收票/收款方",IF(ISNA(MATCH($F240,单位档案!$A$6:$A$35,0)),"收款方不在单位档案",IF(NOT(ISNUMBER($H240)),"金额须为数字",IF(AND($D240="销项开票",$N240="—"),"链条待确认","√")))))))))))</f>
        <v>√</v>
      </c>
      <c r="M240" s="34" t="str">
        <f aca="false">IF($C240="","",IFERROR(INDEX(项目档案!$B$6:$B$255,MATCH($C240,项目档案!$A$6:$A$255,0)),"⚠项目编号不存在"))</f>
        <v>铜梁公司2026年配电专业应急抢修抢险等外包项目（黄荆4社等台区4个隐患治理项目、三湾1.2社等台区2个应急抢修项目)</v>
      </c>
      <c r="N240" s="35" t="str">
        <f aca="false">IF($E240="","",IF($E240=IFERROR(INDEX(项目档案!$D$6:$D$255,MATCH($C240,项目档案!$A$6:$A$255,0)),""),"一级",IF($E240=IFERROR(INDEX(项目档案!$F$6:$F$255,MATCH($C240,项目档案!$A$6:$A$255,0)),""),"二级",IF($E240=IFERROR(INDEX(项目档案!$H$6:$H$255,MATCH($C240,项目档案!$A$6:$A$255,0)),""),"我方","—"))))</f>
        <v>我方</v>
      </c>
      <c r="O240" s="36" t="n">
        <f aca="false">IF($D240&lt;&gt;"销项开票",0,ROUND(N($H240)*N($I240),2))</f>
        <v>0</v>
      </c>
      <c r="P240" s="36" t="n">
        <f aca="false">IF($D240&lt;&gt;"销项开票",0,ROUND(N($H240)-$O240,2))</f>
        <v>0</v>
      </c>
      <c r="Q240" s="37" t="n">
        <f aca="false">IF($E240="","",N(IFERROR(INDEX(单位档案!$E$6:$E$35,MATCH($E240,单位档案!$A$6:$A$35,0)),"")))</f>
        <v>0.03</v>
      </c>
      <c r="R240" s="37" t="n">
        <f aca="false">IF($E240="","",N(IFERROR(INDEX(单位档案!$F$6:$F$35,MATCH($E240,单位档案!$A$6:$A$35,0)),"")))</f>
        <v>0</v>
      </c>
      <c r="S240" s="36" t="n">
        <f aca="false">IF(OR($D240&lt;&gt;"销项开票",IFERROR(INDEX(单位档案!$G$6:$G$35,MATCH($E240,单位档案!$A$6:$A$35,0)),"")&lt;&gt;"是",N($Q240)=0),0,IF(IFERROR(INDEX(单位档案!$H$6:$H$35,MATCH($E240,单位档案!$A$6:$A$35,0)),"")="税差法",ROUND(N($H240)/(1+$Q240)*$Q240-IF(N($R240)=0,0,$P240/(1+$R240)*$R240),2),ROUND(N($H240)/(1+$Q240)*$Q240,2)))</f>
        <v>0</v>
      </c>
      <c r="T240" s="36" t="n">
        <f aca="false">ROUND($S240*N(IFERROR(INDEX(单位档案!$J$6:$J$35,MATCH($E240,单位档案!$A$6:$A$35,0)),"")),2)</f>
        <v>0</v>
      </c>
      <c r="U240" s="36" t="n">
        <f aca="false">IF($D240&lt;&gt;"销项开票",0,ROUND(N($H240)*N(IFERROR(INDEX(单位档案!$K$6:$K$35,MATCH($E240,单位档案!$A$6:$A$35,0)),"")),2))</f>
        <v>0</v>
      </c>
      <c r="V240" s="36" t="n">
        <f aca="false">IF(OR($D240&lt;&gt;"销项开票",N($Q240)=0),0,ROUND(N($H240)/(1+$Q240)*N(IFERROR(INDEX(单位档案!$L$6:$L$35,MATCH($E240,单位档案!$A$6:$A$35,0)),"")),2))</f>
        <v>0</v>
      </c>
      <c r="W240" s="36" t="n">
        <f aca="false">ROUND($S240+$T240+$U240+$V240,2)</f>
        <v>0</v>
      </c>
      <c r="X240" s="35" t="str">
        <f aca="false">IF(OR($D240="挂靠代收",$D240="我方收款"),COUNTIFS($D$5:$D240,"挂靠代收")+COUNTIFS($D$5:$D240,"我方收款"),"")</f>
        <v/>
      </c>
      <c r="Y240" s="35" t="s">
        <v>110</v>
      </c>
      <c r="Z240" s="21" t="s">
        <v>111</v>
      </c>
    </row>
    <row r="241" customFormat="false" ht="15.75" hidden="false" customHeight="true" outlineLevel="0" collapsed="false">
      <c r="A241" s="32" t="n">
        <f aca="false">IF($B241="","",ROW()-4)</f>
        <v>237</v>
      </c>
      <c r="B241" s="26" t="n">
        <v>46206</v>
      </c>
      <c r="C241" s="24" t="s">
        <v>153</v>
      </c>
      <c r="D241" s="21" t="s">
        <v>357</v>
      </c>
      <c r="E241" s="21" t="s">
        <v>131</v>
      </c>
      <c r="F241" s="21" t="s">
        <v>114</v>
      </c>
      <c r="G241" s="24" t="s">
        <v>308</v>
      </c>
      <c r="H241" s="27" t="n">
        <v>86000</v>
      </c>
      <c r="I241" s="23" t="str">
        <f aca="false">IF($D241&lt;&gt;"销项开票","",IF($N241="一级",IF(IFERROR(INDEX(项目档案!$E$6:$E$255,MATCH($C241,项目档案!$A$6:$A$255,0)),"")="",N(IFERROR(INDEX(单位档案!$D$6:$D$35,MATCH($E241,单位档案!$A$6:$A$35,0)),"")),IFERROR(INDEX(项目档案!$E$6:$E$255,MATCH($C241,项目档案!$A$6:$A$255,0)),"")),IF($N241="二级",IF(IFERROR(INDEX(项目档案!$G$6:$G$255,MATCH($C241,项目档案!$A$6:$A$255,0)),"")="",N(IFERROR(INDEX(单位档案!$D$6:$D$35,MATCH($E241,单位档案!$A$6:$A$35,0)),"")),IFERROR(INDEX(项目档案!$G$6:$G$255,MATCH($C241,项目档案!$A$6:$A$255,0)),"")),N(IFERROR(INDEX(单位档案!$D$6:$D$35,MATCH($E241,单位档案!$A$6:$A$35,0)),"")))))</f>
        <v/>
      </c>
      <c r="J241" s="25" t="s">
        <v>519</v>
      </c>
      <c r="K241" s="22" t="s">
        <v>313</v>
      </c>
      <c r="L241" s="33" t="str">
        <f aca="false">IF($B241="","",IF(NOT(ISNUMBER($B241)),"日期格式不对",IF($C241="","未选项目编号",IF(LEFT($M241,1)="⚠","项目编号不存在",IF($D241="","未选业务类型",IF($E241="","未选开票/付款方",IF(ISNA(MATCH($E241,单位档案!$A$6:$A$35,0)),"开票方不在单位档案",IF($F241="","未选收票/收款方",IF(ISNA(MATCH($F241,单位档案!$A$6:$A$35,0)),"收款方不在单位档案",IF(NOT(ISNUMBER($H241)),"金额须为数字",IF(AND($D241="销项开票",$N241="—"),"链条待确认","√")))))))))))</f>
        <v>√</v>
      </c>
      <c r="M241" s="34" t="str">
        <f aca="false">IF($C241="","",IFERROR(INDEX(项目档案!$B$6:$B$255,MATCH($C241,项目档案!$A$6:$A$255,0)),"⚠项目编号不存在"))</f>
        <v>重庆铜梁10kV平双线新建联络工程</v>
      </c>
      <c r="N241" s="35" t="str">
        <f aca="false">IF($E241="","",IF($E241=IFERROR(INDEX(项目档案!$D$6:$D$255,MATCH($C241,项目档案!$A$6:$A$255,0)),""),"一级",IF($E241=IFERROR(INDEX(项目档案!$F$6:$F$255,MATCH($C241,项目档案!$A$6:$A$255,0)),""),"二级",IF($E241=IFERROR(INDEX(项目档案!$H$6:$H$255,MATCH($C241,项目档案!$A$6:$A$255,0)),""),"我方","—"))))</f>
        <v>—</v>
      </c>
      <c r="O241" s="36" t="n">
        <f aca="false">IF($D241&lt;&gt;"销项开票",0,ROUND(N($H241)*N($I241),2))</f>
        <v>0</v>
      </c>
      <c r="P241" s="36" t="n">
        <f aca="false">IF($D241&lt;&gt;"销项开票",0,ROUND(N($H241)-$O241,2))</f>
        <v>0</v>
      </c>
      <c r="Q241" s="37" t="n">
        <f aca="false">IF($E241="","",N(IFERROR(INDEX(单位档案!$E$6:$E$35,MATCH($E241,单位档案!$A$6:$A$35,0)),"")))</f>
        <v>0.13</v>
      </c>
      <c r="R241" s="37" t="n">
        <f aca="false">IF($E241="","",N(IFERROR(INDEX(单位档案!$F$6:$F$35,MATCH($E241,单位档案!$A$6:$A$35,0)),"")))</f>
        <v>0</v>
      </c>
      <c r="S241" s="36" t="n">
        <f aca="false">IF(OR($D241&lt;&gt;"销项开票",IFERROR(INDEX(单位档案!$G$6:$G$35,MATCH($E241,单位档案!$A$6:$A$35,0)),"")&lt;&gt;"是",N($Q241)=0),0,IF(IFERROR(INDEX(单位档案!$H$6:$H$35,MATCH($E241,单位档案!$A$6:$A$35,0)),"")="税差法",ROUND(N($H241)/(1+$Q241)*$Q241-IF(N($R241)=0,0,$P241/(1+$R241)*$R241),2),ROUND(N($H241)/(1+$Q241)*$Q241,2)))</f>
        <v>0</v>
      </c>
      <c r="T241" s="36" t="n">
        <f aca="false">ROUND($S241*N(IFERROR(INDEX(单位档案!$J$6:$J$35,MATCH($E241,单位档案!$A$6:$A$35,0)),"")),2)</f>
        <v>0</v>
      </c>
      <c r="U241" s="36" t="n">
        <f aca="false">IF($D241&lt;&gt;"销项开票",0,ROUND(N($H241)*N(IFERROR(INDEX(单位档案!$K$6:$K$35,MATCH($E241,单位档案!$A$6:$A$35,0)),"")),2))</f>
        <v>0</v>
      </c>
      <c r="V241" s="36" t="n">
        <f aca="false">IF(OR($D241&lt;&gt;"销项开票",N($Q241)=0),0,ROUND(N($H241)/(1+$Q241)*N(IFERROR(INDEX(单位档案!$L$6:$L$35,MATCH($E241,单位档案!$A$6:$A$35,0)),"")),2))</f>
        <v>0</v>
      </c>
      <c r="W241" s="36" t="n">
        <f aca="false">ROUND($S241+$T241+$U241+$V241,2)</f>
        <v>0</v>
      </c>
      <c r="X241" s="35" t="str">
        <f aca="false">IF(OR($D241="挂靠代收",$D241="我方收款"),COUNTIFS($D$5:$D241,"挂靠代收")+COUNTIFS($D$5:$D241,"我方收款"),"")</f>
        <v/>
      </c>
      <c r="Y241" s="35" t="s">
        <v>114</v>
      </c>
      <c r="Z241" s="21" t="s">
        <v>111</v>
      </c>
    </row>
    <row r="242" customFormat="false" ht="15.75" hidden="false" customHeight="true" outlineLevel="0" collapsed="false">
      <c r="A242" s="32" t="n">
        <f aca="false">IF($B242="","",ROW()-4)</f>
        <v>238</v>
      </c>
      <c r="B242" s="26" t="n">
        <v>46206</v>
      </c>
      <c r="C242" s="24" t="s">
        <v>153</v>
      </c>
      <c r="D242" s="21" t="s">
        <v>314</v>
      </c>
      <c r="E242" s="21" t="s">
        <v>127</v>
      </c>
      <c r="F242" s="21" t="s">
        <v>114</v>
      </c>
      <c r="G242" s="24" t="s">
        <v>308</v>
      </c>
      <c r="H242" s="27" t="n">
        <v>2614.56</v>
      </c>
      <c r="I242" s="23" t="str">
        <f aca="false">IF($D242&lt;&gt;"销项开票","",IF($N242="一级",IF(IFERROR(INDEX(项目档案!$E$6:$E$255,MATCH($C242,项目档案!$A$6:$A$255,0)),"")="",N(IFERROR(INDEX(单位档案!$D$6:$D$35,MATCH($E242,单位档案!$A$6:$A$35,0)),"")),IFERROR(INDEX(项目档案!$E$6:$E$255,MATCH($C242,项目档案!$A$6:$A$255,0)),"")),IF($N242="二级",IF(IFERROR(INDEX(项目档案!$G$6:$G$255,MATCH($C242,项目档案!$A$6:$A$255,0)),"")="",N(IFERROR(INDEX(单位档案!$D$6:$D$35,MATCH($E242,单位档案!$A$6:$A$35,0)),"")),IFERROR(INDEX(项目档案!$G$6:$G$255,MATCH($C242,项目档案!$A$6:$A$255,0)),"")),N(IFERROR(INDEX(单位档案!$D$6:$D$35,MATCH($E242,单位档案!$A$6:$A$35,0)),"")))))</f>
        <v/>
      </c>
      <c r="J242" s="25" t="s">
        <v>519</v>
      </c>
      <c r="K242" s="22" t="s">
        <v>313</v>
      </c>
      <c r="L242" s="33" t="str">
        <f aca="false">IF($B242="","",IF(NOT(ISNUMBER($B242)),"日期格式不对",IF($C242="","未选项目编号",IF(LEFT($M242,1)="⚠","项目编号不存在",IF($D242="","未选业务类型",IF($E242="","未选开票/付款方",IF(ISNA(MATCH($E242,单位档案!$A$6:$A$35,0)),"开票方不在单位档案",IF($F242="","未选收票/收款方",IF(ISNA(MATCH($F242,单位档案!$A$6:$A$35,0)),"收款方不在单位档案",IF(NOT(ISNUMBER($H242)),"金额须为数字",IF(AND($D242="销项开票",$N242="—"),"链条待确认","√")))))))))))</f>
        <v>√</v>
      </c>
      <c r="M242" s="34" t="str">
        <f aca="false">IF($C242="","",IFERROR(INDEX(项目档案!$B$6:$B$255,MATCH($C242,项目档案!$A$6:$A$255,0)),"⚠项目编号不存在"))</f>
        <v>重庆铜梁10kV平双线新建联络工程</v>
      </c>
      <c r="N242" s="35" t="str">
        <f aca="false">IF($E242="","",IF($E242=IFERROR(INDEX(项目档案!$D$6:$D$255,MATCH($C242,项目档案!$A$6:$A$255,0)),""),"一级",IF($E242=IFERROR(INDEX(项目档案!$F$6:$F$255,MATCH($C242,项目档案!$A$6:$A$255,0)),""),"二级",IF($E242=IFERROR(INDEX(项目档案!$H$6:$H$255,MATCH($C242,项目档案!$A$6:$A$255,0)),""),"我方","—"))))</f>
        <v>我方</v>
      </c>
      <c r="O242" s="36" t="n">
        <f aca="false">IF($D242&lt;&gt;"销项开票",0,ROUND(N($H242)*N($I242),2))</f>
        <v>0</v>
      </c>
      <c r="P242" s="36" t="n">
        <f aca="false">IF($D242&lt;&gt;"销项开票",0,ROUND(N($H242)-$O242,2))</f>
        <v>0</v>
      </c>
      <c r="Q242" s="37" t="n">
        <f aca="false">IF($E242="","",N(IFERROR(INDEX(单位档案!$E$6:$E$35,MATCH($E242,单位档案!$A$6:$A$35,0)),"")))</f>
        <v>0.03</v>
      </c>
      <c r="R242" s="37" t="n">
        <f aca="false">IF($E242="","",N(IFERROR(INDEX(单位档案!$F$6:$F$35,MATCH($E242,单位档案!$A$6:$A$35,0)),"")))</f>
        <v>0</v>
      </c>
      <c r="S242" s="36" t="n">
        <f aca="false">IF(OR($D242&lt;&gt;"销项开票",IFERROR(INDEX(单位档案!$G$6:$G$35,MATCH($E242,单位档案!$A$6:$A$35,0)),"")&lt;&gt;"是",N($Q242)=0),0,IF(IFERROR(INDEX(单位档案!$H$6:$H$35,MATCH($E242,单位档案!$A$6:$A$35,0)),"")="税差法",ROUND(N($H242)/(1+$Q242)*$Q242-IF(N($R242)=0,0,$P242/(1+$R242)*$R242),2),ROUND(N($H242)/(1+$Q242)*$Q242,2)))</f>
        <v>0</v>
      </c>
      <c r="T242" s="36" t="n">
        <f aca="false">ROUND($S242*N(IFERROR(INDEX(单位档案!$J$6:$J$35,MATCH($E242,单位档案!$A$6:$A$35,0)),"")),2)</f>
        <v>0</v>
      </c>
      <c r="U242" s="36" t="n">
        <f aca="false">IF($D242&lt;&gt;"销项开票",0,ROUND(N($H242)*N(IFERROR(INDEX(单位档案!$K$6:$K$35,MATCH($E242,单位档案!$A$6:$A$35,0)),"")),2))</f>
        <v>0</v>
      </c>
      <c r="V242" s="36" t="n">
        <f aca="false">IF(OR($D242&lt;&gt;"销项开票",N($Q242)=0),0,ROUND(N($H242)/(1+$Q242)*N(IFERROR(INDEX(单位档案!$L$6:$L$35,MATCH($E242,单位档案!$A$6:$A$35,0)),"")),2))</f>
        <v>0</v>
      </c>
      <c r="W242" s="36" t="n">
        <f aca="false">ROUND($S242+$T242+$U242+$V242,2)</f>
        <v>0</v>
      </c>
      <c r="X242" s="35" t="str">
        <f aca="false">IF(OR($D242="挂靠代收",$D242="我方收款"),COUNTIFS($D$5:$D242,"挂靠代收")+COUNTIFS($D$5:$D242,"我方收款"),"")</f>
        <v/>
      </c>
      <c r="Y242" s="35" t="s">
        <v>114</v>
      </c>
      <c r="Z242" s="21" t="s">
        <v>111</v>
      </c>
    </row>
    <row r="243" customFormat="false" ht="15.75" hidden="false" customHeight="true" outlineLevel="0" collapsed="false">
      <c r="A243" s="32" t="n">
        <f aca="false">IF($B243="","",ROW()-4)</f>
        <v>239</v>
      </c>
      <c r="B243" s="26" t="n">
        <v>46206</v>
      </c>
      <c r="C243" s="24" t="s">
        <v>165</v>
      </c>
      <c r="D243" s="21" t="s">
        <v>320</v>
      </c>
      <c r="E243" s="21" t="s">
        <v>117</v>
      </c>
      <c r="F243" s="21" t="s">
        <v>127</v>
      </c>
      <c r="G243" s="21"/>
      <c r="H243" s="27" t="n">
        <v>303566.03</v>
      </c>
      <c r="I243" s="23" t="str">
        <f aca="false">IF($D243&lt;&gt;"销项开票","",IF($N243="一级",IF(IFERROR(INDEX(项目档案!$E$6:$E$255,MATCH($C243,项目档案!$A$6:$A$255,0)),"")="",N(IFERROR(INDEX(单位档案!$D$6:$D$35,MATCH($E243,单位档案!$A$6:$A$35,0)),"")),IFERROR(INDEX(项目档案!$E$6:$E$255,MATCH($C243,项目档案!$A$6:$A$255,0)),"")),IF($N243="二级",IF(IFERROR(INDEX(项目档案!$G$6:$G$255,MATCH($C243,项目档案!$A$6:$A$255,0)),"")="",N(IFERROR(INDEX(单位档案!$D$6:$D$35,MATCH($E243,单位档案!$A$6:$A$35,0)),"")),IFERROR(INDEX(项目档案!$G$6:$G$255,MATCH($C243,项目档案!$A$6:$A$255,0)),"")),N(IFERROR(INDEX(单位档案!$D$6:$D$35,MATCH($E243,单位档案!$A$6:$A$35,0)),"")))))</f>
        <v/>
      </c>
      <c r="J243" s="25" t="s">
        <v>520</v>
      </c>
      <c r="K243" s="22" t="s">
        <v>313</v>
      </c>
      <c r="L243" s="33" t="str">
        <f aca="false">IF($B243="","",IF(NOT(ISNUMBER($B243)),"日期格式不对",IF($C243="","未选项目编号",IF(LEFT($M243,1)="⚠","项目编号不存在",IF($D243="","未选业务类型",IF($E243="","未选开票/付款方",IF(ISNA(MATCH($E243,单位档案!$A$6:$A$35,0)),"开票方不在单位档案",IF($F243="","未选收票/收款方",IF(ISNA(MATCH($F243,单位档案!$A$6:$A$35,0)),"收款方不在单位档案",IF(NOT(ISNUMBER($H243)),"金额须为数字",IF(AND($D243="销项开票",$N243="—"),"链条待确认","√")))))))))))</f>
        <v>√</v>
      </c>
      <c r="M243" s="34" t="str">
        <f aca="false">IF($C243="","",IFERROR(INDEX(项目档案!$B$6:$B$255,MATCH($C243,项目档案!$A$6:$A$255,0)),"⚠项目编号不存在"))</f>
        <v>重庆铜梁10kV平凉线惠丰9社等4个台区重过载治理工程</v>
      </c>
      <c r="N243" s="35" t="str">
        <f aca="false">IF($E243="","",IF($E243=IFERROR(INDEX(项目档案!$D$6:$D$255,MATCH($C243,项目档案!$A$6:$A$255,0)),""),"一级",IF($E243=IFERROR(INDEX(项目档案!$F$6:$F$255,MATCH($C243,项目档案!$A$6:$A$255,0)),""),"二级",IF($E243=IFERROR(INDEX(项目档案!$H$6:$H$255,MATCH($C243,项目档案!$A$6:$A$255,0)),""),"我方","—"))))</f>
        <v>一级</v>
      </c>
      <c r="O243" s="36" t="n">
        <f aca="false">IF($D243&lt;&gt;"销项开票",0,ROUND(N($H243)*N($I243),2))</f>
        <v>0</v>
      </c>
      <c r="P243" s="36" t="n">
        <f aca="false">IF($D243&lt;&gt;"销项开票",0,ROUND(N($H243)-$O243,2))</f>
        <v>0</v>
      </c>
      <c r="Q243" s="37" t="n">
        <f aca="false">IF($E243="","",N(IFERROR(INDEX(单位档案!$E$6:$E$35,MATCH($E243,单位档案!$A$6:$A$35,0)),"")))</f>
        <v>0.03</v>
      </c>
      <c r="R243" s="37" t="n">
        <f aca="false">IF($E243="","",N(IFERROR(INDEX(单位档案!$F$6:$F$35,MATCH($E243,单位档案!$A$6:$A$35,0)),"")))</f>
        <v>0.03</v>
      </c>
      <c r="S243" s="36" t="n">
        <f aca="false">IF(OR($D243&lt;&gt;"销项开票",IFERROR(INDEX(单位档案!$G$6:$G$35,MATCH($E243,单位档案!$A$6:$A$35,0)),"")&lt;&gt;"是",N($Q243)=0),0,IF(IFERROR(INDEX(单位档案!$H$6:$H$35,MATCH($E243,单位档案!$A$6:$A$35,0)),"")="税差法",ROUND(N($H243)/(1+$Q243)*$Q243-IF(N($R243)=0,0,$P243/(1+$R243)*$R243),2),ROUND(N($H243)/(1+$Q243)*$Q243,2)))</f>
        <v>0</v>
      </c>
      <c r="T243" s="36" t="n">
        <f aca="false">ROUND($S243*N(IFERROR(INDEX(单位档案!$J$6:$J$35,MATCH($E243,单位档案!$A$6:$A$35,0)),"")),2)</f>
        <v>0</v>
      </c>
      <c r="U243" s="36" t="n">
        <f aca="false">IF($D243&lt;&gt;"销项开票",0,ROUND(N($H243)*N(IFERROR(INDEX(单位档案!$K$6:$K$35,MATCH($E243,单位档案!$A$6:$A$35,0)),"")),2))</f>
        <v>0</v>
      </c>
      <c r="V243" s="36" t="n">
        <f aca="false">IF(OR($D243&lt;&gt;"销项开票",N($Q243)=0),0,ROUND(N($H243)/(1+$Q243)*N(IFERROR(INDEX(单位档案!$L$6:$L$35,MATCH($E243,单位档案!$A$6:$A$35,0)),"")),2))</f>
        <v>0</v>
      </c>
      <c r="W243" s="36" t="n">
        <f aca="false">ROUND($S243+$T243+$U243+$V243,2)</f>
        <v>0</v>
      </c>
      <c r="X243" s="35" t="n">
        <f aca="false">IF(OR($D243="挂靠代收",$D243="我方收款"),COUNTIFS($D$5:$D243,"挂靠代收")+COUNTIFS($D$5:$D243,"我方收款"),"")</f>
        <v>43</v>
      </c>
      <c r="Y243" s="35" t="s">
        <v>117</v>
      </c>
      <c r="Z243" s="21" t="s">
        <v>111</v>
      </c>
    </row>
    <row r="244" customFormat="false" ht="15.75" hidden="false" customHeight="true" outlineLevel="0" collapsed="false">
      <c r="A244" s="32" t="n">
        <f aca="false">IF($B244="","",ROW()-4)</f>
        <v>240</v>
      </c>
      <c r="B244" s="26" t="n">
        <v>46211</v>
      </c>
      <c r="C244" s="24" t="s">
        <v>153</v>
      </c>
      <c r="D244" s="21" t="s">
        <v>357</v>
      </c>
      <c r="E244" s="21" t="s">
        <v>131</v>
      </c>
      <c r="F244" s="21" t="s">
        <v>114</v>
      </c>
      <c r="G244" s="24" t="s">
        <v>308</v>
      </c>
      <c r="H244" s="27" t="n">
        <v>42113.44</v>
      </c>
      <c r="I244" s="23" t="str">
        <f aca="false">IF($D244&lt;&gt;"销项开票","",IF($N244="一级",IF(IFERROR(INDEX(项目档案!$E$6:$E$255,MATCH($C244,项目档案!$A$6:$A$255,0)),"")="",N(IFERROR(INDEX(单位档案!$D$6:$D$35,MATCH($E244,单位档案!$A$6:$A$35,0)),"")),IFERROR(INDEX(项目档案!$E$6:$E$255,MATCH($C244,项目档案!$A$6:$A$255,0)),"")),IF($N244="二级",IF(IFERROR(INDEX(项目档案!$G$6:$G$255,MATCH($C244,项目档案!$A$6:$A$255,0)),"")="",N(IFERROR(INDEX(单位档案!$D$6:$D$35,MATCH($E244,单位档案!$A$6:$A$35,0)),"")),IFERROR(INDEX(项目档案!$G$6:$G$255,MATCH($C244,项目档案!$A$6:$A$255,0)),"")),N(IFERROR(INDEX(单位档案!$D$6:$D$35,MATCH($E244,单位档案!$A$6:$A$35,0)),"")))))</f>
        <v/>
      </c>
      <c r="J244" s="25" t="s">
        <v>521</v>
      </c>
      <c r="K244" s="22" t="s">
        <v>313</v>
      </c>
      <c r="L244" s="33" t="str">
        <f aca="false">IF($B244="","",IF(NOT(ISNUMBER($B244)),"日期格式不对",IF($C244="","未选项目编号",IF(LEFT($M244,1)="⚠","项目编号不存在",IF($D244="","未选业务类型",IF($E244="","未选开票/付款方",IF(ISNA(MATCH($E244,单位档案!$A$6:$A$35,0)),"开票方不在单位档案",IF($F244="","未选收票/收款方",IF(ISNA(MATCH($F244,单位档案!$A$6:$A$35,0)),"收款方不在单位档案",IF(NOT(ISNUMBER($H244)),"金额须为数字",IF(AND($D244="销项开票",$N244="—"),"链条待确认","√")))))))))))</f>
        <v>√</v>
      </c>
      <c r="M244" s="34" t="str">
        <f aca="false">IF($C244="","",IFERROR(INDEX(项目档案!$B$6:$B$255,MATCH($C244,项目档案!$A$6:$A$255,0)),"⚠项目编号不存在"))</f>
        <v>重庆铜梁10kV平双线新建联络工程</v>
      </c>
      <c r="N244" s="35" t="str">
        <f aca="false">IF($E244="","",IF($E244=IFERROR(INDEX(项目档案!$D$6:$D$255,MATCH($C244,项目档案!$A$6:$A$255,0)),""),"一级",IF($E244=IFERROR(INDEX(项目档案!$F$6:$F$255,MATCH($C244,项目档案!$A$6:$A$255,0)),""),"二级",IF($E244=IFERROR(INDEX(项目档案!$H$6:$H$255,MATCH($C244,项目档案!$A$6:$A$255,0)),""),"我方","—"))))</f>
        <v>—</v>
      </c>
      <c r="O244" s="36" t="n">
        <f aca="false">IF($D244&lt;&gt;"销项开票",0,ROUND(N($H244)*N($I244),2))</f>
        <v>0</v>
      </c>
      <c r="P244" s="36" t="n">
        <f aca="false">IF($D244&lt;&gt;"销项开票",0,ROUND(N($H244)-$O244,2))</f>
        <v>0</v>
      </c>
      <c r="Q244" s="37" t="n">
        <f aca="false">IF($E244="","",N(IFERROR(INDEX(单位档案!$E$6:$E$35,MATCH($E244,单位档案!$A$6:$A$35,0)),"")))</f>
        <v>0.13</v>
      </c>
      <c r="R244" s="37" t="n">
        <f aca="false">IF($E244="","",N(IFERROR(INDEX(单位档案!$F$6:$F$35,MATCH($E244,单位档案!$A$6:$A$35,0)),"")))</f>
        <v>0</v>
      </c>
      <c r="S244" s="36" t="n">
        <f aca="false">IF(OR($D244&lt;&gt;"销项开票",IFERROR(INDEX(单位档案!$G$6:$G$35,MATCH($E244,单位档案!$A$6:$A$35,0)),"")&lt;&gt;"是",N($Q244)=0),0,IF(IFERROR(INDEX(单位档案!$H$6:$H$35,MATCH($E244,单位档案!$A$6:$A$35,0)),"")="税差法",ROUND(N($H244)/(1+$Q244)*$Q244-IF(N($R244)=0,0,$P244/(1+$R244)*$R244),2),ROUND(N($H244)/(1+$Q244)*$Q244,2)))</f>
        <v>0</v>
      </c>
      <c r="T244" s="36" t="n">
        <f aca="false">ROUND($S244*N(IFERROR(INDEX(单位档案!$J$6:$J$35,MATCH($E244,单位档案!$A$6:$A$35,0)),"")),2)</f>
        <v>0</v>
      </c>
      <c r="U244" s="36" t="n">
        <f aca="false">IF($D244&lt;&gt;"销项开票",0,ROUND(N($H244)*N(IFERROR(INDEX(单位档案!$K$6:$K$35,MATCH($E244,单位档案!$A$6:$A$35,0)),"")),2))</f>
        <v>0</v>
      </c>
      <c r="V244" s="36" t="n">
        <f aca="false">IF(OR($D244&lt;&gt;"销项开票",N($Q244)=0),0,ROUND(N($H244)/(1+$Q244)*N(IFERROR(INDEX(单位档案!$L$6:$L$35,MATCH($E244,单位档案!$A$6:$A$35,0)),"")),2))</f>
        <v>0</v>
      </c>
      <c r="W244" s="36" t="n">
        <f aca="false">ROUND($S244+$T244+$U244+$V244,2)</f>
        <v>0</v>
      </c>
      <c r="X244" s="35" t="str">
        <f aca="false">IF(OR($D244="挂靠代收",$D244="我方收款"),COUNTIFS($D$5:$D244,"挂靠代收")+COUNTIFS($D$5:$D244,"我方收款"),"")</f>
        <v/>
      </c>
      <c r="Y244" s="35" t="s">
        <v>114</v>
      </c>
      <c r="Z244" s="21" t="s">
        <v>111</v>
      </c>
    </row>
    <row r="245" customFormat="false" ht="15.75" hidden="false" customHeight="true" outlineLevel="0" collapsed="false">
      <c r="A245" s="32" t="n">
        <f aca="false">IF($B245="","",ROW()-4)</f>
        <v>241</v>
      </c>
      <c r="B245" s="26" t="n">
        <v>46218</v>
      </c>
      <c r="C245" s="24" t="s">
        <v>190</v>
      </c>
      <c r="D245" s="21" t="s">
        <v>357</v>
      </c>
      <c r="E245" s="21" t="s">
        <v>127</v>
      </c>
      <c r="F245" s="21" t="s">
        <v>117</v>
      </c>
      <c r="G245" s="21"/>
      <c r="H245" s="27" t="n">
        <v>69057.4</v>
      </c>
      <c r="I245" s="23" t="str">
        <f aca="false">IF($D245&lt;&gt;"销项开票","",IF($N245="一级",IF(IFERROR(INDEX(项目档案!$E$6:$E$255,MATCH($C245,项目档案!$A$6:$A$255,0)),"")="",N(IFERROR(INDEX(单位档案!$D$6:$D$35,MATCH($E245,单位档案!$A$6:$A$35,0)),"")),IFERROR(INDEX(项目档案!$E$6:$E$255,MATCH($C245,项目档案!$A$6:$A$255,0)),"")),IF($N245="二级",IF(IFERROR(INDEX(项目档案!$G$6:$G$255,MATCH($C245,项目档案!$A$6:$A$255,0)),"")="",N(IFERROR(INDEX(单位档案!$D$6:$D$35,MATCH($E245,单位档案!$A$6:$A$35,0)),"")),IFERROR(INDEX(项目档案!$G$6:$G$255,MATCH($C245,项目档案!$A$6:$A$255,0)),"")),N(IFERROR(INDEX(单位档案!$D$6:$D$35,MATCH($E245,单位档案!$A$6:$A$35,0)),"")))))</f>
        <v/>
      </c>
      <c r="J245" s="22" t="s">
        <v>522</v>
      </c>
      <c r="K245" s="22" t="s">
        <v>313</v>
      </c>
      <c r="L245" s="33" t="str">
        <f aca="false">IF($B245="","",IF(NOT(ISNUMBER($B245)),"日期格式不对",IF($C245="","未选项目编号",IF(LEFT($M245,1)="⚠","项目编号不存在",IF($D245="","未选业务类型",IF($E245="","未选开票/付款方",IF(ISNA(MATCH($E245,单位档案!$A$6:$A$35,0)),"开票方不在单位档案",IF($F245="","未选收票/收款方",IF(ISNA(MATCH($F245,单位档案!$A$6:$A$35,0)),"收款方不在单位档案",IF(NOT(ISNUMBER($H245)),"金额须为数字",IF(AND($D245="销项开票",$N245="—"),"链条待确认","√")))))))))))</f>
        <v>√</v>
      </c>
      <c r="M245" s="34" t="str">
        <f aca="false">IF($C245="","",IFERROR(INDEX(项目档案!$B$6:$B$255,MATCH($C245,项目档案!$A$6:$A$255,0)),"⚠项目编号不存在"))</f>
        <v>重庆民能实业有限公司2025-2026年度工程用施工机具等租赁服务框架采购（国网重庆铜梁公司110kV金湖东西电缆改造）</v>
      </c>
      <c r="N245" s="35" t="str">
        <f aca="false">IF($E245="","",IF($E245=IFERROR(INDEX(项目档案!$D$6:$D$255,MATCH($C245,项目档案!$A$6:$A$255,0)),""),"一级",IF($E245=IFERROR(INDEX(项目档案!$F$6:$F$255,MATCH($C245,项目档案!$A$6:$A$255,0)),""),"二级",IF($E245=IFERROR(INDEX(项目档案!$H$6:$H$255,MATCH($C245,项目档案!$A$6:$A$255,0)),""),"我方","—"))))</f>
        <v>我方</v>
      </c>
      <c r="O245" s="36" t="n">
        <f aca="false">IF($D245&lt;&gt;"销项开票",0,ROUND(N($H245)*N($I245),2))</f>
        <v>0</v>
      </c>
      <c r="P245" s="36" t="n">
        <f aca="false">IF($D245&lt;&gt;"销项开票",0,ROUND(N($H245)-$O245,2))</f>
        <v>0</v>
      </c>
      <c r="Q245" s="37" t="n">
        <f aca="false">IF($E245="","",N(IFERROR(INDEX(单位档案!$E$6:$E$35,MATCH($E245,单位档案!$A$6:$A$35,0)),"")))</f>
        <v>0.03</v>
      </c>
      <c r="R245" s="37" t="n">
        <f aca="false">IF($E245="","",N(IFERROR(INDEX(单位档案!$F$6:$F$35,MATCH($E245,单位档案!$A$6:$A$35,0)),"")))</f>
        <v>0</v>
      </c>
      <c r="S245" s="36" t="n">
        <f aca="false">IF(OR($D245&lt;&gt;"销项开票",IFERROR(INDEX(单位档案!$G$6:$G$35,MATCH($E245,单位档案!$A$6:$A$35,0)),"")&lt;&gt;"是",N($Q245)=0),0,IF(IFERROR(INDEX(单位档案!$H$6:$H$35,MATCH($E245,单位档案!$A$6:$A$35,0)),"")="税差法",ROUND(N($H245)/(1+$Q245)*$Q245-IF(N($R245)=0,0,$P245/(1+$R245)*$R245),2),ROUND(N($H245)/(1+$Q245)*$Q245,2)))</f>
        <v>0</v>
      </c>
      <c r="T245" s="36" t="n">
        <f aca="false">ROUND($S245*N(IFERROR(INDEX(单位档案!$J$6:$J$35,MATCH($E245,单位档案!$A$6:$A$35,0)),"")),2)</f>
        <v>0</v>
      </c>
      <c r="U245" s="36" t="n">
        <f aca="false">IF($D245&lt;&gt;"销项开票",0,ROUND(N($H245)*N(IFERROR(INDEX(单位档案!$K$6:$K$35,MATCH($E245,单位档案!$A$6:$A$35,0)),"")),2))</f>
        <v>0</v>
      </c>
      <c r="V245" s="36" t="n">
        <f aca="false">IF(OR($D245&lt;&gt;"销项开票",N($Q245)=0),0,ROUND(N($H245)/(1+$Q245)*N(IFERROR(INDEX(单位档案!$L$6:$L$35,MATCH($E245,单位档案!$A$6:$A$35,0)),"")),2))</f>
        <v>0</v>
      </c>
      <c r="W245" s="36" t="n">
        <f aca="false">ROUND($S245+$T245+$U245+$V245,2)</f>
        <v>0</v>
      </c>
      <c r="X245" s="35" t="str">
        <f aca="false">IF(OR($D245="挂靠代收",$D245="我方收款"),COUNTIFS($D$5:$D245,"挂靠代收")+COUNTIFS($D$5:$D245,"我方收款"),"")</f>
        <v/>
      </c>
      <c r="Y245" s="35" t="s">
        <v>117</v>
      </c>
      <c r="Z245" s="21" t="s">
        <v>111</v>
      </c>
    </row>
    <row r="246" customFormat="false" ht="15.75" hidden="false" customHeight="true" outlineLevel="0" collapsed="false">
      <c r="A246" s="32" t="n">
        <f aca="false">IF($B246="","",ROW()-4)</f>
        <v>242</v>
      </c>
      <c r="B246" s="26" t="n">
        <v>46218</v>
      </c>
      <c r="C246" s="24" t="s">
        <v>190</v>
      </c>
      <c r="D246" s="21" t="s">
        <v>357</v>
      </c>
      <c r="E246" s="21" t="s">
        <v>127</v>
      </c>
      <c r="F246" s="21" t="s">
        <v>117</v>
      </c>
      <c r="G246" s="21"/>
      <c r="H246" s="27" t="n">
        <v>33824.75</v>
      </c>
      <c r="I246" s="23" t="str">
        <f aca="false">IF($D246&lt;&gt;"销项开票","",IF($N246="一级",IF(IFERROR(INDEX(项目档案!$E$6:$E$255,MATCH($C246,项目档案!$A$6:$A$255,0)),"")="",N(IFERROR(INDEX(单位档案!$D$6:$D$35,MATCH($E246,单位档案!$A$6:$A$35,0)),"")),IFERROR(INDEX(项目档案!$E$6:$E$255,MATCH($C246,项目档案!$A$6:$A$255,0)),"")),IF($N246="二级",IF(IFERROR(INDEX(项目档案!$G$6:$G$255,MATCH($C246,项目档案!$A$6:$A$255,0)),"")="",N(IFERROR(INDEX(单位档案!$D$6:$D$35,MATCH($E246,单位档案!$A$6:$A$35,0)),"")),IFERROR(INDEX(项目档案!$G$6:$G$255,MATCH($C246,项目档案!$A$6:$A$255,0)),"")),N(IFERROR(INDEX(单位档案!$D$6:$D$35,MATCH($E246,单位档案!$A$6:$A$35,0)),"")))))</f>
        <v/>
      </c>
      <c r="J246" s="22" t="s">
        <v>523</v>
      </c>
      <c r="K246" s="22" t="s">
        <v>313</v>
      </c>
      <c r="L246" s="33" t="str">
        <f aca="false">IF($B246="","",IF(NOT(ISNUMBER($B246)),"日期格式不对",IF($C246="","未选项目编号",IF(LEFT($M246,1)="⚠","项目编号不存在",IF($D246="","未选业务类型",IF($E246="","未选开票/付款方",IF(ISNA(MATCH($E246,单位档案!$A$6:$A$35,0)),"开票方不在单位档案",IF($F246="","未选收票/收款方",IF(ISNA(MATCH($F246,单位档案!$A$6:$A$35,0)),"收款方不在单位档案",IF(NOT(ISNUMBER($H246)),"金额须为数字",IF(AND($D246="销项开票",$N246="—"),"链条待确认","√")))))))))))</f>
        <v>√</v>
      </c>
      <c r="M246" s="34" t="str">
        <f aca="false">IF($C246="","",IFERROR(INDEX(项目档案!$B$6:$B$255,MATCH($C246,项目档案!$A$6:$A$255,0)),"⚠项目编号不存在"))</f>
        <v>重庆民能实业有限公司2025-2026年度工程用施工机具等租赁服务框架采购（国网重庆铜梁公司110kV金湖东西电缆改造）</v>
      </c>
      <c r="N246" s="35" t="str">
        <f aca="false">IF($E246="","",IF($E246=IFERROR(INDEX(项目档案!$D$6:$D$255,MATCH($C246,项目档案!$A$6:$A$255,0)),""),"一级",IF($E246=IFERROR(INDEX(项目档案!$F$6:$F$255,MATCH($C246,项目档案!$A$6:$A$255,0)),""),"二级",IF($E246=IFERROR(INDEX(项目档案!$H$6:$H$255,MATCH($C246,项目档案!$A$6:$A$255,0)),""),"我方","—"))))</f>
        <v>我方</v>
      </c>
      <c r="O246" s="36" t="n">
        <f aca="false">IF($D246&lt;&gt;"销项开票",0,ROUND(N($H246)*N($I246),2))</f>
        <v>0</v>
      </c>
      <c r="P246" s="36" t="n">
        <f aca="false">IF($D246&lt;&gt;"销项开票",0,ROUND(N($H246)-$O246,2))</f>
        <v>0</v>
      </c>
      <c r="Q246" s="37" t="n">
        <f aca="false">IF($E246="","",N(IFERROR(INDEX(单位档案!$E$6:$E$35,MATCH($E246,单位档案!$A$6:$A$35,0)),"")))</f>
        <v>0.03</v>
      </c>
      <c r="R246" s="37" t="n">
        <f aca="false">IF($E246="","",N(IFERROR(INDEX(单位档案!$F$6:$F$35,MATCH($E246,单位档案!$A$6:$A$35,0)),"")))</f>
        <v>0</v>
      </c>
      <c r="S246" s="36" t="n">
        <f aca="false">IF(OR($D246&lt;&gt;"销项开票",IFERROR(INDEX(单位档案!$G$6:$G$35,MATCH($E246,单位档案!$A$6:$A$35,0)),"")&lt;&gt;"是",N($Q246)=0),0,IF(IFERROR(INDEX(单位档案!$H$6:$H$35,MATCH($E246,单位档案!$A$6:$A$35,0)),"")="税差法",ROUND(N($H246)/(1+$Q246)*$Q246-IF(N($R246)=0,0,$P246/(1+$R246)*$R246),2),ROUND(N($H246)/(1+$Q246)*$Q246,2)))</f>
        <v>0</v>
      </c>
      <c r="T246" s="36" t="n">
        <f aca="false">ROUND($S246*N(IFERROR(INDEX(单位档案!$J$6:$J$35,MATCH($E246,单位档案!$A$6:$A$35,0)),"")),2)</f>
        <v>0</v>
      </c>
      <c r="U246" s="36" t="n">
        <f aca="false">IF($D246&lt;&gt;"销项开票",0,ROUND(N($H246)*N(IFERROR(INDEX(单位档案!$K$6:$K$35,MATCH($E246,单位档案!$A$6:$A$35,0)),"")),2))</f>
        <v>0</v>
      </c>
      <c r="V246" s="36" t="n">
        <f aca="false">IF(OR($D246&lt;&gt;"销项开票",N($Q246)=0),0,ROUND(N($H246)/(1+$Q246)*N(IFERROR(INDEX(单位档案!$L$6:$L$35,MATCH($E246,单位档案!$A$6:$A$35,0)),"")),2))</f>
        <v>0</v>
      </c>
      <c r="W246" s="36" t="n">
        <f aca="false">ROUND($S246+$T246+$U246+$V246,2)</f>
        <v>0</v>
      </c>
      <c r="X246" s="35" t="str">
        <f aca="false">IF(OR($D246="挂靠代收",$D246="我方收款"),COUNTIFS($D$5:$D246,"挂靠代收")+COUNTIFS($D$5:$D246,"我方收款"),"")</f>
        <v/>
      </c>
      <c r="Y246" s="35" t="s">
        <v>117</v>
      </c>
      <c r="Z246" s="21" t="s">
        <v>111</v>
      </c>
    </row>
    <row r="247" customFormat="false" ht="15.75" hidden="false" customHeight="true" outlineLevel="0" collapsed="false">
      <c r="A247" s="32" t="n">
        <f aca="false">IF($B247="","",ROW()-4)</f>
        <v>243</v>
      </c>
      <c r="B247" s="26" t="n">
        <v>46218</v>
      </c>
      <c r="C247" s="24" t="s">
        <v>201</v>
      </c>
      <c r="D247" s="21" t="s">
        <v>307</v>
      </c>
      <c r="E247" s="21" t="s">
        <v>117</v>
      </c>
      <c r="F247" s="21" t="s">
        <v>119</v>
      </c>
      <c r="G247" s="24" t="s">
        <v>379</v>
      </c>
      <c r="H247" s="27" t="n">
        <v>21690.88</v>
      </c>
      <c r="I247" s="23" t="n">
        <f aca="false">IF($D247&lt;&gt;"销项开票","",IF($N247="一级",IF(IFERROR(INDEX(项目档案!$E$6:$E$255,MATCH($C247,项目档案!$A$6:$A$255,0)),"")="",N(IFERROR(INDEX(单位档案!$D$6:$D$35,MATCH($E247,单位档案!$A$6:$A$35,0)),"")),IFERROR(INDEX(项目档案!$E$6:$E$255,MATCH($C247,项目档案!$A$6:$A$255,0)),"")),IF($N247="二级",IF(IFERROR(INDEX(项目档案!$G$6:$G$255,MATCH($C247,项目档案!$A$6:$A$255,0)),"")="",N(IFERROR(INDEX(单位档案!$D$6:$D$35,MATCH($E247,单位档案!$A$6:$A$35,0)),"")),IFERROR(INDEX(项目档案!$G$6:$G$255,MATCH($C247,项目档案!$A$6:$A$255,0)),"")),N(IFERROR(INDEX(单位档案!$D$6:$D$35,MATCH($E247,单位档案!$A$6:$A$35,0)),"")))))</f>
        <v>0.02</v>
      </c>
      <c r="J247" s="25" t="s">
        <v>524</v>
      </c>
      <c r="K247" s="22" t="s">
        <v>313</v>
      </c>
      <c r="L247" s="33" t="str">
        <f aca="false">IF($B247="","",IF(NOT(ISNUMBER($B247)),"日期格式不对",IF($C247="","未选项目编号",IF(LEFT($M247,1)="⚠","项目编号不存在",IF($D247="","未选业务类型",IF($E247="","未选开票/付款方",IF(ISNA(MATCH($E247,单位档案!$A$6:$A$35,0)),"开票方不在单位档案",IF($F247="","未选收票/收款方",IF(ISNA(MATCH($F247,单位档案!$A$6:$A$35,0)),"收款方不在单位档案",IF(NOT(ISNUMBER($H247)),"金额须为数字",IF(AND($D247="销项开票",$N247="—"),"链条待确认","√")))))))))))</f>
        <v>√</v>
      </c>
      <c r="M247" s="34" t="str">
        <f aca="false">IF($C247="","",IFERROR(INDEX(项目档案!$B$6:$B$255,MATCH($C247,项目档案!$A$6:$A$255,0)),"⚠项目编号不存在"))</f>
        <v>重庆铜梁10kV梧桐村4.5.6社台区重过载治理工程等23个项目(2025年配网6批、业扩5批民能施工)(重庆铜梁10kV侣新线铜安1社台区重过载治理工程)</v>
      </c>
      <c r="N247" s="35" t="str">
        <f aca="false">IF($E247="","",IF($E247=IFERROR(INDEX(项目档案!$D$6:$D$255,MATCH($C247,项目档案!$A$6:$A$255,0)),""),"一级",IF($E247=IFERROR(INDEX(项目档案!$F$6:$F$255,MATCH($C247,项目档案!$A$6:$A$255,0)),""),"二级",IF($E247=IFERROR(INDEX(项目档案!$H$6:$H$255,MATCH($C247,项目档案!$A$6:$A$255,0)),""),"我方","—"))))</f>
        <v>二级</v>
      </c>
      <c r="O247" s="36" t="n">
        <f aca="false">IF($D247&lt;&gt;"销项开票",0,ROUND(N($H247)*N($I247),2))</f>
        <v>433.82</v>
      </c>
      <c r="P247" s="36" t="n">
        <f aca="false">IF($D247&lt;&gt;"销项开票",0,ROUND(N($H247)-$O247,2))</f>
        <v>21257.06</v>
      </c>
      <c r="Q247" s="37" t="n">
        <f aca="false">IF($E247="","",N(IFERROR(INDEX(单位档案!$E$6:$E$35,MATCH($E247,单位档案!$A$6:$A$35,0)),"")))</f>
        <v>0.03</v>
      </c>
      <c r="R247" s="37" t="n">
        <f aca="false">IF($E247="","",N(IFERROR(INDEX(单位档案!$F$6:$F$35,MATCH($E247,单位档案!$A$6:$A$35,0)),"")))</f>
        <v>0.03</v>
      </c>
      <c r="S247" s="36" t="n">
        <f aca="false">IF(OR($D247&lt;&gt;"销项开票",IFERROR(INDEX(单位档案!$G$6:$G$35,MATCH($E247,单位档案!$A$6:$A$35,0)),"")&lt;&gt;"是",N($Q247)=0),0,IF(IFERROR(INDEX(单位档案!$H$6:$H$35,MATCH($E247,单位档案!$A$6:$A$35,0)),"")="税差法",ROUND(N($H247)/(1+$Q247)*$Q247-IF(N($R247)=0,0,$P247/(1+$R247)*$R247),2),ROUND(N($H247)/(1+$Q247)*$Q247,2)))</f>
        <v>631.77</v>
      </c>
      <c r="T247" s="36" t="n">
        <f aca="false">ROUND($S247*N(IFERROR(INDEX(单位档案!$J$6:$J$35,MATCH($E247,单位档案!$A$6:$A$35,0)),"")),2)</f>
        <v>37.91</v>
      </c>
      <c r="U247" s="36" t="n">
        <f aca="false">IF($D247&lt;&gt;"销项开票",0,ROUND(N($H247)*N(IFERROR(INDEX(单位档案!$K$6:$K$35,MATCH($E247,单位档案!$A$6:$A$35,0)),"")),2))</f>
        <v>0</v>
      </c>
      <c r="V247" s="36" t="n">
        <f aca="false">IF(OR($D247&lt;&gt;"销项开票",N($Q247)=0),0,ROUND(N($H247)/(1+$Q247)*N(IFERROR(INDEX(单位档案!$L$6:$L$35,MATCH($E247,单位档案!$A$6:$A$35,0)),"")),2))</f>
        <v>42.12</v>
      </c>
      <c r="W247" s="36" t="n">
        <f aca="false">ROUND($S247+$T247+$U247+$V247,2)</f>
        <v>711.8</v>
      </c>
      <c r="X247" s="35" t="str">
        <f aca="false">IF(OR($D247="挂靠代收",$D247="我方收款"),COUNTIFS($D$5:$D247,"挂靠代收")+COUNTIFS($D$5:$D247,"我方收款"),"")</f>
        <v/>
      </c>
      <c r="Y247" s="35" t="s">
        <v>117</v>
      </c>
      <c r="Z247" s="21" t="s">
        <v>111</v>
      </c>
    </row>
    <row r="248" customFormat="false" ht="15.75" hidden="false" customHeight="true" outlineLevel="0" collapsed="false">
      <c r="A248" s="32" t="n">
        <f aca="false">IF($B248="","",ROW()-4)</f>
        <v>244</v>
      </c>
      <c r="B248" s="26" t="n">
        <v>46218</v>
      </c>
      <c r="C248" s="24" t="s">
        <v>203</v>
      </c>
      <c r="D248" s="21" t="s">
        <v>307</v>
      </c>
      <c r="E248" s="21" t="s">
        <v>117</v>
      </c>
      <c r="F248" s="21" t="s">
        <v>119</v>
      </c>
      <c r="G248" s="24" t="s">
        <v>379</v>
      </c>
      <c r="H248" s="27" t="n">
        <v>17748.73</v>
      </c>
      <c r="I248" s="23" t="n">
        <f aca="false">IF($D248&lt;&gt;"销项开票","",IF($N248="一级",IF(IFERROR(INDEX(项目档案!$E$6:$E$255,MATCH($C248,项目档案!$A$6:$A$255,0)),"")="",N(IFERROR(INDEX(单位档案!$D$6:$D$35,MATCH($E248,单位档案!$A$6:$A$35,0)),"")),IFERROR(INDEX(项目档案!$E$6:$E$255,MATCH($C248,项目档案!$A$6:$A$255,0)),"")),IF($N248="二级",IF(IFERROR(INDEX(项目档案!$G$6:$G$255,MATCH($C248,项目档案!$A$6:$A$255,0)),"")="",N(IFERROR(INDEX(单位档案!$D$6:$D$35,MATCH($E248,单位档案!$A$6:$A$35,0)),"")),IFERROR(INDEX(项目档案!$G$6:$G$255,MATCH($C248,项目档案!$A$6:$A$255,0)),"")),N(IFERROR(INDEX(单位档案!$D$6:$D$35,MATCH($E248,单位档案!$A$6:$A$35,0)),"")))))</f>
        <v>0.02</v>
      </c>
      <c r="J248" s="25" t="s">
        <v>525</v>
      </c>
      <c r="K248" s="22" t="s">
        <v>313</v>
      </c>
      <c r="L248" s="33" t="str">
        <f aca="false">IF($B248="","",IF(NOT(ISNUMBER($B248)),"日期格式不对",IF($C248="","未选项目编号",IF(LEFT($M248,1)="⚠","项目编号不存在",IF($D248="","未选业务类型",IF($E248="","未选开票/付款方",IF(ISNA(MATCH($E248,单位档案!$A$6:$A$35,0)),"开票方不在单位档案",IF($F248="","未选收票/收款方",IF(ISNA(MATCH($F248,单位档案!$A$6:$A$35,0)),"收款方不在单位档案",IF(NOT(ISNUMBER($H248)),"金额须为数字",IF(AND($D248="销项开票",$N248="—"),"链条待确认","√")))))))))))</f>
        <v>√</v>
      </c>
      <c r="M248" s="34" t="str">
        <f aca="false">IF($C248="","",IFERROR(INDEX(项目档案!$B$6:$B$255,MATCH($C248,项目档案!$A$6:$A$255,0)),"⚠项目编号不存在"))</f>
        <v>重庆铜梁10kV梧桐村4.5.6社台区重过载治理工程等23个项目(2025年配网6批、业扩5批民能施工)(重庆铜梁10kV侣新线铜安9社台区重过载治理工程)</v>
      </c>
      <c r="N248" s="35" t="str">
        <f aca="false">IF($E248="","",IF($E248=IFERROR(INDEX(项目档案!$D$6:$D$255,MATCH($C248,项目档案!$A$6:$A$255,0)),""),"一级",IF($E248=IFERROR(INDEX(项目档案!$F$6:$F$255,MATCH($C248,项目档案!$A$6:$A$255,0)),""),"二级",IF($E248=IFERROR(INDEX(项目档案!$H$6:$H$255,MATCH($C248,项目档案!$A$6:$A$255,0)),""),"我方","—"))))</f>
        <v>二级</v>
      </c>
      <c r="O248" s="36" t="n">
        <f aca="false">IF($D248&lt;&gt;"销项开票",0,ROUND(N($H248)*N($I248),2))</f>
        <v>354.97</v>
      </c>
      <c r="P248" s="36" t="n">
        <f aca="false">IF($D248&lt;&gt;"销项开票",0,ROUND(N($H248)-$O248,2))</f>
        <v>17393.76</v>
      </c>
      <c r="Q248" s="37" t="n">
        <f aca="false">IF($E248="","",N(IFERROR(INDEX(单位档案!$E$6:$E$35,MATCH($E248,单位档案!$A$6:$A$35,0)),"")))</f>
        <v>0.03</v>
      </c>
      <c r="R248" s="37" t="n">
        <f aca="false">IF($E248="","",N(IFERROR(INDEX(单位档案!$F$6:$F$35,MATCH($E248,单位档案!$A$6:$A$35,0)),"")))</f>
        <v>0.03</v>
      </c>
      <c r="S248" s="36" t="n">
        <f aca="false">IF(OR($D248&lt;&gt;"销项开票",IFERROR(INDEX(单位档案!$G$6:$G$35,MATCH($E248,单位档案!$A$6:$A$35,0)),"")&lt;&gt;"是",N($Q248)=0),0,IF(IFERROR(INDEX(单位档案!$H$6:$H$35,MATCH($E248,单位档案!$A$6:$A$35,0)),"")="税差法",ROUND(N($H248)/(1+$Q248)*$Q248-IF(N($R248)=0,0,$P248/(1+$R248)*$R248),2),ROUND(N($H248)/(1+$Q248)*$Q248,2)))</f>
        <v>516.95</v>
      </c>
      <c r="T248" s="36" t="n">
        <f aca="false">ROUND($S248*N(IFERROR(INDEX(单位档案!$J$6:$J$35,MATCH($E248,单位档案!$A$6:$A$35,0)),"")),2)</f>
        <v>31.02</v>
      </c>
      <c r="U248" s="36" t="n">
        <f aca="false">IF($D248&lt;&gt;"销项开票",0,ROUND(N($H248)*N(IFERROR(INDEX(单位档案!$K$6:$K$35,MATCH($E248,单位档案!$A$6:$A$35,0)),"")),2))</f>
        <v>0</v>
      </c>
      <c r="V248" s="36" t="n">
        <f aca="false">IF(OR($D248&lt;&gt;"销项开票",N($Q248)=0),0,ROUND(N($H248)/(1+$Q248)*N(IFERROR(INDEX(单位档案!$L$6:$L$35,MATCH($E248,单位档案!$A$6:$A$35,0)),"")),2))</f>
        <v>34.46</v>
      </c>
      <c r="W248" s="36" t="n">
        <f aca="false">ROUND($S248+$T248+$U248+$V248,2)</f>
        <v>582.43</v>
      </c>
      <c r="X248" s="35" t="str">
        <f aca="false">IF(OR($D248="挂靠代收",$D248="我方收款"),COUNTIFS($D$5:$D248,"挂靠代收")+COUNTIFS($D$5:$D248,"我方收款"),"")</f>
        <v/>
      </c>
      <c r="Y248" s="35" t="s">
        <v>117</v>
      </c>
      <c r="Z248" s="21" t="s">
        <v>111</v>
      </c>
    </row>
    <row r="249" customFormat="false" ht="15.75" hidden="false" customHeight="true" outlineLevel="0" collapsed="false">
      <c r="A249" s="32" t="n">
        <f aca="false">IF($B249="","",ROW()-4)</f>
        <v>245</v>
      </c>
      <c r="B249" s="26" t="n">
        <v>46218</v>
      </c>
      <c r="C249" s="24" t="s">
        <v>205</v>
      </c>
      <c r="D249" s="21" t="s">
        <v>307</v>
      </c>
      <c r="E249" s="21" t="s">
        <v>117</v>
      </c>
      <c r="F249" s="21" t="s">
        <v>119</v>
      </c>
      <c r="G249" s="24" t="s">
        <v>379</v>
      </c>
      <c r="H249" s="27" t="n">
        <v>4432.25</v>
      </c>
      <c r="I249" s="23" t="n">
        <f aca="false">IF($D249&lt;&gt;"销项开票","",IF($N249="一级",IF(IFERROR(INDEX(项目档案!$E$6:$E$255,MATCH($C249,项目档案!$A$6:$A$255,0)),"")="",N(IFERROR(INDEX(单位档案!$D$6:$D$35,MATCH($E249,单位档案!$A$6:$A$35,0)),"")),IFERROR(INDEX(项目档案!$E$6:$E$255,MATCH($C249,项目档案!$A$6:$A$255,0)),"")),IF($N249="二级",IF(IFERROR(INDEX(项目档案!$G$6:$G$255,MATCH($C249,项目档案!$A$6:$A$255,0)),"")="",N(IFERROR(INDEX(单位档案!$D$6:$D$35,MATCH($E249,单位档案!$A$6:$A$35,0)),"")),IFERROR(INDEX(项目档案!$G$6:$G$255,MATCH($C249,项目档案!$A$6:$A$255,0)),"")),N(IFERROR(INDEX(单位档案!$D$6:$D$35,MATCH($E249,单位档案!$A$6:$A$35,0)),"")))))</f>
        <v>0.02</v>
      </c>
      <c r="J249" s="25" t="s">
        <v>526</v>
      </c>
      <c r="K249" s="22" t="s">
        <v>313</v>
      </c>
      <c r="L249" s="33" t="str">
        <f aca="false">IF($B249="","",IF(NOT(ISNUMBER($B249)),"日期格式不对",IF($C249="","未选项目编号",IF(LEFT($M249,1)="⚠","项目编号不存在",IF($D249="","未选业务类型",IF($E249="","未选开票/付款方",IF(ISNA(MATCH($E249,单位档案!$A$6:$A$35,0)),"开票方不在单位档案",IF($F249="","未选收票/收款方",IF(ISNA(MATCH($F249,单位档案!$A$6:$A$35,0)),"收款方不在单位档案",IF(NOT(ISNUMBER($H249)),"金额须为数字",IF(AND($D249="销项开票",$N249="—"),"链条待确认","√")))))))))))</f>
        <v>√</v>
      </c>
      <c r="M249" s="34" t="str">
        <f aca="false">IF($C249="","",IFERROR(INDEX(项目档案!$B$6:$B$255,MATCH($C249,项目档案!$A$6:$A$255,0)),"⚠项目编号不存在"))</f>
        <v>重庆铜梁10kV梧桐村4.5.6社台区重过载治理工程等23个项目(2025年配网6批、业扩5批民能施工)(重庆铜梁10kV平双线群益7社台区重过载治理工程)</v>
      </c>
      <c r="N249" s="35" t="str">
        <f aca="false">IF($E249="","",IF($E249=IFERROR(INDEX(项目档案!$D$6:$D$255,MATCH($C249,项目档案!$A$6:$A$255,0)),""),"一级",IF($E249=IFERROR(INDEX(项目档案!$F$6:$F$255,MATCH($C249,项目档案!$A$6:$A$255,0)),""),"二级",IF($E249=IFERROR(INDEX(项目档案!$H$6:$H$255,MATCH($C249,项目档案!$A$6:$A$255,0)),""),"我方","—"))))</f>
        <v>二级</v>
      </c>
      <c r="O249" s="36" t="n">
        <f aca="false">IF($D249&lt;&gt;"销项开票",0,ROUND(N($H249)*N($I249),2))</f>
        <v>88.65</v>
      </c>
      <c r="P249" s="36" t="n">
        <f aca="false">IF($D249&lt;&gt;"销项开票",0,ROUND(N($H249)-$O249,2))</f>
        <v>4343.6</v>
      </c>
      <c r="Q249" s="37" t="n">
        <f aca="false">IF($E249="","",N(IFERROR(INDEX(单位档案!$E$6:$E$35,MATCH($E249,单位档案!$A$6:$A$35,0)),"")))</f>
        <v>0.03</v>
      </c>
      <c r="R249" s="37" t="n">
        <f aca="false">IF($E249="","",N(IFERROR(INDEX(单位档案!$F$6:$F$35,MATCH($E249,单位档案!$A$6:$A$35,0)),"")))</f>
        <v>0.03</v>
      </c>
      <c r="S249" s="36" t="n">
        <f aca="false">IF(OR($D249&lt;&gt;"销项开票",IFERROR(INDEX(单位档案!$G$6:$G$35,MATCH($E249,单位档案!$A$6:$A$35,0)),"")&lt;&gt;"是",N($Q249)=0),0,IF(IFERROR(INDEX(单位档案!$H$6:$H$35,MATCH($E249,单位档案!$A$6:$A$35,0)),"")="税差法",ROUND(N($H249)/(1+$Q249)*$Q249-IF(N($R249)=0,0,$P249/(1+$R249)*$R249),2),ROUND(N($H249)/(1+$Q249)*$Q249,2)))</f>
        <v>129.09</v>
      </c>
      <c r="T249" s="36" t="n">
        <f aca="false">ROUND($S249*N(IFERROR(INDEX(单位档案!$J$6:$J$35,MATCH($E249,单位档案!$A$6:$A$35,0)),"")),2)</f>
        <v>7.75</v>
      </c>
      <c r="U249" s="36" t="n">
        <f aca="false">IF($D249&lt;&gt;"销项开票",0,ROUND(N($H249)*N(IFERROR(INDEX(单位档案!$K$6:$K$35,MATCH($E249,单位档案!$A$6:$A$35,0)),"")),2))</f>
        <v>0</v>
      </c>
      <c r="V249" s="36" t="n">
        <f aca="false">IF(OR($D249&lt;&gt;"销项开票",N($Q249)=0),0,ROUND(N($H249)/(1+$Q249)*N(IFERROR(INDEX(单位档案!$L$6:$L$35,MATCH($E249,单位档案!$A$6:$A$35,0)),"")),2))</f>
        <v>8.61</v>
      </c>
      <c r="W249" s="36" t="n">
        <f aca="false">ROUND($S249+$T249+$U249+$V249,2)</f>
        <v>145.45</v>
      </c>
      <c r="X249" s="35" t="str">
        <f aca="false">IF(OR($D249="挂靠代收",$D249="我方收款"),COUNTIFS($D$5:$D249,"挂靠代收")+COUNTIFS($D$5:$D249,"我方收款"),"")</f>
        <v/>
      </c>
      <c r="Y249" s="35" t="s">
        <v>117</v>
      </c>
      <c r="Z249" s="21" t="s">
        <v>111</v>
      </c>
    </row>
    <row r="250" customFormat="false" ht="15.75" hidden="false" customHeight="true" outlineLevel="0" collapsed="false">
      <c r="A250" s="32" t="n">
        <f aca="false">IF($B250="","",ROW()-4)</f>
        <v>246</v>
      </c>
      <c r="B250" s="26" t="n">
        <v>46218</v>
      </c>
      <c r="C250" s="24" t="s">
        <v>207</v>
      </c>
      <c r="D250" s="21" t="s">
        <v>307</v>
      </c>
      <c r="E250" s="21" t="s">
        <v>117</v>
      </c>
      <c r="F250" s="21" t="s">
        <v>119</v>
      </c>
      <c r="G250" s="24" t="s">
        <v>379</v>
      </c>
      <c r="H250" s="27" t="n">
        <v>10830.93</v>
      </c>
      <c r="I250" s="23" t="n">
        <f aca="false">IF($D250&lt;&gt;"销项开票","",IF($N250="一级",IF(IFERROR(INDEX(项目档案!$E$6:$E$255,MATCH($C250,项目档案!$A$6:$A$255,0)),"")="",N(IFERROR(INDEX(单位档案!$D$6:$D$35,MATCH($E250,单位档案!$A$6:$A$35,0)),"")),IFERROR(INDEX(项目档案!$E$6:$E$255,MATCH($C250,项目档案!$A$6:$A$255,0)),"")),IF($N250="二级",IF(IFERROR(INDEX(项目档案!$G$6:$G$255,MATCH($C250,项目档案!$A$6:$A$255,0)),"")="",N(IFERROR(INDEX(单位档案!$D$6:$D$35,MATCH($E250,单位档案!$A$6:$A$35,0)),"")),IFERROR(INDEX(项目档案!$G$6:$G$255,MATCH($C250,项目档案!$A$6:$A$255,0)),"")),N(IFERROR(INDEX(单位档案!$D$6:$D$35,MATCH($E250,单位档案!$A$6:$A$35,0)),"")))))</f>
        <v>0.02</v>
      </c>
      <c r="J250" s="25" t="s">
        <v>527</v>
      </c>
      <c r="K250" s="22" t="s">
        <v>313</v>
      </c>
      <c r="L250" s="33" t="str">
        <f aca="false">IF($B250="","",IF(NOT(ISNUMBER($B250)),"日期格式不对",IF($C250="","未选项目编号",IF(LEFT($M250,1)="⚠","项目编号不存在",IF($D250="","未选业务类型",IF($E250="","未选开票/付款方",IF(ISNA(MATCH($E250,单位档案!$A$6:$A$35,0)),"开票方不在单位档案",IF($F250="","未选收票/收款方",IF(ISNA(MATCH($F250,单位档案!$A$6:$A$35,0)),"收款方不在单位档案",IF(NOT(ISNUMBER($H250)),"金额须为数字",IF(AND($D250="销项开票",$N250="—"),"链条待确认","√")))))))))))</f>
        <v>√</v>
      </c>
      <c r="M250" s="34" t="str">
        <f aca="false">IF($C250="","",IFERROR(INDEX(项目档案!$B$6:$B$255,MATCH($C250,项目档案!$A$6:$A$255,0)),"⚠项目编号不存在"))</f>
        <v>重庆铜梁10kV梧桐村4.5.6社台区重过载治理工程等23个项目(2025年配网6批、业扩5批民能施工)(重庆铜梁10kV平镇线新桥社台区重过载治理工程)</v>
      </c>
      <c r="N250" s="35" t="str">
        <f aca="false">IF($E250="","",IF($E250=IFERROR(INDEX(项目档案!$D$6:$D$255,MATCH($C250,项目档案!$A$6:$A$255,0)),""),"一级",IF($E250=IFERROR(INDEX(项目档案!$F$6:$F$255,MATCH($C250,项目档案!$A$6:$A$255,0)),""),"二级",IF($E250=IFERROR(INDEX(项目档案!$H$6:$H$255,MATCH($C250,项目档案!$A$6:$A$255,0)),""),"我方","—"))))</f>
        <v>二级</v>
      </c>
      <c r="O250" s="36" t="n">
        <f aca="false">IF($D250&lt;&gt;"销项开票",0,ROUND(N($H250)*N($I250),2))</f>
        <v>216.62</v>
      </c>
      <c r="P250" s="36" t="n">
        <f aca="false">IF($D250&lt;&gt;"销项开票",0,ROUND(N($H250)-$O250,2))</f>
        <v>10614.31</v>
      </c>
      <c r="Q250" s="37" t="n">
        <f aca="false">IF($E250="","",N(IFERROR(INDEX(单位档案!$E$6:$E$35,MATCH($E250,单位档案!$A$6:$A$35,0)),"")))</f>
        <v>0.03</v>
      </c>
      <c r="R250" s="37" t="n">
        <f aca="false">IF($E250="","",N(IFERROR(INDEX(单位档案!$F$6:$F$35,MATCH($E250,单位档案!$A$6:$A$35,0)),"")))</f>
        <v>0.03</v>
      </c>
      <c r="S250" s="36" t="n">
        <f aca="false">IF(OR($D250&lt;&gt;"销项开票",IFERROR(INDEX(单位档案!$G$6:$G$35,MATCH($E250,单位档案!$A$6:$A$35,0)),"")&lt;&gt;"是",N($Q250)=0),0,IF(IFERROR(INDEX(单位档案!$H$6:$H$35,MATCH($E250,单位档案!$A$6:$A$35,0)),"")="税差法",ROUND(N($H250)/(1+$Q250)*$Q250-IF(N($R250)=0,0,$P250/(1+$R250)*$R250),2),ROUND(N($H250)/(1+$Q250)*$Q250,2)))</f>
        <v>315.46</v>
      </c>
      <c r="T250" s="36" t="n">
        <f aca="false">ROUND($S250*N(IFERROR(INDEX(单位档案!$J$6:$J$35,MATCH($E250,单位档案!$A$6:$A$35,0)),"")),2)</f>
        <v>18.93</v>
      </c>
      <c r="U250" s="36" t="n">
        <f aca="false">IF($D250&lt;&gt;"销项开票",0,ROUND(N($H250)*N(IFERROR(INDEX(单位档案!$K$6:$K$35,MATCH($E250,单位档案!$A$6:$A$35,0)),"")),2))</f>
        <v>0</v>
      </c>
      <c r="V250" s="36" t="n">
        <f aca="false">IF(OR($D250&lt;&gt;"销项开票",N($Q250)=0),0,ROUND(N($H250)/(1+$Q250)*N(IFERROR(INDEX(单位档案!$L$6:$L$35,MATCH($E250,单位档案!$A$6:$A$35,0)),"")),2))</f>
        <v>21.03</v>
      </c>
      <c r="W250" s="36" t="n">
        <f aca="false">ROUND($S250+$T250+$U250+$V250,2)</f>
        <v>355.42</v>
      </c>
      <c r="X250" s="35" t="str">
        <f aca="false">IF(OR($D250="挂靠代收",$D250="我方收款"),COUNTIFS($D$5:$D250,"挂靠代收")+COUNTIFS($D$5:$D250,"我方收款"),"")</f>
        <v/>
      </c>
      <c r="Y250" s="35" t="s">
        <v>117</v>
      </c>
      <c r="Z250" s="21" t="s">
        <v>111</v>
      </c>
    </row>
    <row r="251" customFormat="false" ht="15.75" hidden="false" customHeight="true" outlineLevel="0" collapsed="false">
      <c r="A251" s="32" t="n">
        <f aca="false">IF($B251="","",ROW()-4)</f>
        <v>247</v>
      </c>
      <c r="B251" s="26" t="n">
        <v>46218</v>
      </c>
      <c r="C251" s="24" t="s">
        <v>150</v>
      </c>
      <c r="D251" s="21" t="s">
        <v>307</v>
      </c>
      <c r="E251" s="21" t="s">
        <v>117</v>
      </c>
      <c r="F251" s="21" t="s">
        <v>119</v>
      </c>
      <c r="G251" s="24" t="s">
        <v>379</v>
      </c>
      <c r="H251" s="27" t="n">
        <v>12338.35</v>
      </c>
      <c r="I251" s="23" t="n">
        <f aca="false">IF($D251&lt;&gt;"销项开票","",IF($N251="一级",IF(IFERROR(INDEX(项目档案!$E$6:$E$255,MATCH($C251,项目档案!$A$6:$A$255,0)),"")="",N(IFERROR(INDEX(单位档案!$D$6:$D$35,MATCH($E251,单位档案!$A$6:$A$35,0)),"")),IFERROR(INDEX(项目档案!$E$6:$E$255,MATCH($C251,项目档案!$A$6:$A$255,0)),"")),IF($N251="二级",IF(IFERROR(INDEX(项目档案!$G$6:$G$255,MATCH($C251,项目档案!$A$6:$A$255,0)),"")="",N(IFERROR(INDEX(单位档案!$D$6:$D$35,MATCH($E251,单位档案!$A$6:$A$35,0)),"")),IFERROR(INDEX(项目档案!$G$6:$G$255,MATCH($C251,项目档案!$A$6:$A$255,0)),"")),N(IFERROR(INDEX(单位档案!$D$6:$D$35,MATCH($E251,单位档案!$A$6:$A$35,0)),"")))))</f>
        <v>0.02</v>
      </c>
      <c r="J251" s="25" t="s">
        <v>528</v>
      </c>
      <c r="K251" s="22" t="s">
        <v>313</v>
      </c>
      <c r="L251" s="33" t="str">
        <f aca="false">IF($B251="","",IF(NOT(ISNUMBER($B251)),"日期格式不对",IF($C251="","未选项目编号",IF(LEFT($M251,1)="⚠","项目编号不存在",IF($D251="","未选业务类型",IF($E251="","未选开票/付款方",IF(ISNA(MATCH($E251,单位档案!$A$6:$A$35,0)),"开票方不在单位档案",IF($F251="","未选收票/收款方",IF(ISNA(MATCH($F251,单位档案!$A$6:$A$35,0)),"收款方不在单位档案",IF(NOT(ISNUMBER($H251)),"金额须为数字",IF(AND($D251="销项开票",$N251="—"),"链条待确认","√")))))))))))</f>
        <v>√</v>
      </c>
      <c r="M251" s="34" t="str">
        <f aca="false">IF($C251="","",IFERROR(INDEX(项目档案!$B$6:$B$255,MATCH($C251,项目档案!$A$6:$A$255,0)),"⚠项目编号不存在"))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251" s="35" t="str">
        <f aca="false">IF($E251="","",IF($E251=IFERROR(INDEX(项目档案!$D$6:$D$255,MATCH($C251,项目档案!$A$6:$A$255,0)),""),"一级",IF($E251=IFERROR(INDEX(项目档案!$F$6:$F$255,MATCH($C251,项目档案!$A$6:$A$255,0)),""),"二级",IF($E251=IFERROR(INDEX(项目档案!$H$6:$H$255,MATCH($C251,项目档案!$A$6:$A$255,0)),""),"我方","—"))))</f>
        <v>二级</v>
      </c>
      <c r="O251" s="36" t="n">
        <f aca="false">IF($D251&lt;&gt;"销项开票",0,ROUND(N($H251)*N($I251),2))</f>
        <v>246.77</v>
      </c>
      <c r="P251" s="36" t="n">
        <f aca="false">IF($D251&lt;&gt;"销项开票",0,ROUND(N($H251)-$O251,2))</f>
        <v>12091.58</v>
      </c>
      <c r="Q251" s="37" t="n">
        <f aca="false">IF($E251="","",N(IFERROR(INDEX(单位档案!$E$6:$E$35,MATCH($E251,单位档案!$A$6:$A$35,0)),"")))</f>
        <v>0.03</v>
      </c>
      <c r="R251" s="37" t="n">
        <f aca="false">IF($E251="","",N(IFERROR(INDEX(单位档案!$F$6:$F$35,MATCH($E251,单位档案!$A$6:$A$35,0)),"")))</f>
        <v>0.03</v>
      </c>
      <c r="S251" s="36" t="n">
        <f aca="false">IF(OR($D251&lt;&gt;"销项开票",IFERROR(INDEX(单位档案!$G$6:$G$35,MATCH($E251,单位档案!$A$6:$A$35,0)),"")&lt;&gt;"是",N($Q251)=0),0,IF(IFERROR(INDEX(单位档案!$H$6:$H$35,MATCH($E251,单位档案!$A$6:$A$35,0)),"")="税差法",ROUND(N($H251)/(1+$Q251)*$Q251-IF(N($R251)=0,0,$P251/(1+$R251)*$R251),2),ROUND(N($H251)/(1+$Q251)*$Q251,2)))</f>
        <v>359.37</v>
      </c>
      <c r="T251" s="36" t="n">
        <f aca="false">ROUND($S251*N(IFERROR(INDEX(单位档案!$J$6:$J$35,MATCH($E251,单位档案!$A$6:$A$35,0)),"")),2)</f>
        <v>21.56</v>
      </c>
      <c r="U251" s="36" t="n">
        <f aca="false">IF($D251&lt;&gt;"销项开票",0,ROUND(N($H251)*N(IFERROR(INDEX(单位档案!$K$6:$K$35,MATCH($E251,单位档案!$A$6:$A$35,0)),"")),2))</f>
        <v>0</v>
      </c>
      <c r="V251" s="36" t="n">
        <f aca="false">IF(OR($D251&lt;&gt;"销项开票",N($Q251)=0),0,ROUND(N($H251)/(1+$Q251)*N(IFERROR(INDEX(单位档案!$L$6:$L$35,MATCH($E251,单位档案!$A$6:$A$35,0)),"")),2))</f>
        <v>23.96</v>
      </c>
      <c r="W251" s="36" t="n">
        <f aca="false">ROUND($S251+$T251+$U251+$V251,2)</f>
        <v>404.89</v>
      </c>
      <c r="X251" s="35" t="str">
        <f aca="false">IF(OR($D251="挂靠代收",$D251="我方收款"),COUNTIFS($D$5:$D251,"挂靠代收")+COUNTIFS($D$5:$D251,"我方收款"),"")</f>
        <v/>
      </c>
      <c r="Y251" s="35" t="s">
        <v>117</v>
      </c>
      <c r="Z251" s="21" t="s">
        <v>111</v>
      </c>
    </row>
    <row r="252" customFormat="false" ht="15.75" hidden="false" customHeight="true" outlineLevel="0" collapsed="false">
      <c r="A252" s="32" t="n">
        <f aca="false">IF($B252="","",ROW()-4)</f>
        <v>248</v>
      </c>
      <c r="B252" s="26" t="n">
        <v>46218</v>
      </c>
      <c r="C252" s="24" t="s">
        <v>190</v>
      </c>
      <c r="D252" s="21" t="s">
        <v>307</v>
      </c>
      <c r="E252" s="21" t="s">
        <v>117</v>
      </c>
      <c r="F252" s="21" t="s">
        <v>119</v>
      </c>
      <c r="G252" s="21"/>
      <c r="H252" s="27" t="n">
        <v>33824.75</v>
      </c>
      <c r="I252" s="23" t="n">
        <f aca="false">IF($D252&lt;&gt;"销项开票","",IF($N252="一级",IF(IFERROR(INDEX(项目档案!$E$6:$E$255,MATCH($C252,项目档案!$A$6:$A$255,0)),"")="",N(IFERROR(INDEX(单位档案!$D$6:$D$35,MATCH($E252,单位档案!$A$6:$A$35,0)),"")),IFERROR(INDEX(项目档案!$E$6:$E$255,MATCH($C252,项目档案!$A$6:$A$255,0)),"")),IF($N252="二级",IF(IFERROR(INDEX(项目档案!$G$6:$G$255,MATCH($C252,项目档案!$A$6:$A$255,0)),"")="",N(IFERROR(INDEX(单位档案!$D$6:$D$35,MATCH($E252,单位档案!$A$6:$A$35,0)),"")),IFERROR(INDEX(项目档案!$G$6:$G$255,MATCH($C252,项目档案!$A$6:$A$255,0)),"")),N(IFERROR(INDEX(单位档案!$D$6:$D$35,MATCH($E252,单位档案!$A$6:$A$35,0)),"")))))</f>
        <v>0.02</v>
      </c>
      <c r="J252" s="25" t="s">
        <v>529</v>
      </c>
      <c r="K252" s="22" t="s">
        <v>313</v>
      </c>
      <c r="L252" s="33" t="str">
        <f aca="false">IF($B252="","",IF(NOT(ISNUMBER($B252)),"日期格式不对",IF($C252="","未选项目编号",IF(LEFT($M252,1)="⚠","项目编号不存在",IF($D252="","未选业务类型",IF($E252="","未选开票/付款方",IF(ISNA(MATCH($E252,单位档案!$A$6:$A$35,0)),"开票方不在单位档案",IF($F252="","未选收票/收款方",IF(ISNA(MATCH($F252,单位档案!$A$6:$A$35,0)),"收款方不在单位档案",IF(NOT(ISNUMBER($H252)),"金额须为数字",IF(AND($D252="销项开票",$N252="—"),"链条待确认","√")))))))))))</f>
        <v>√</v>
      </c>
      <c r="M252" s="34" t="str">
        <f aca="false">IF($C252="","",IFERROR(INDEX(项目档案!$B$6:$B$255,MATCH($C252,项目档案!$A$6:$A$255,0)),"⚠项目编号不存在"))</f>
        <v>重庆民能实业有限公司2025-2026年度工程用施工机具等租赁服务框架采购（国网重庆铜梁公司110kV金湖东西电缆改造）</v>
      </c>
      <c r="N252" s="35" t="str">
        <f aca="false">IF($E252="","",IF($E252=IFERROR(INDEX(项目档案!$D$6:$D$255,MATCH($C252,项目档案!$A$6:$A$255,0)),""),"一级",IF($E252=IFERROR(INDEX(项目档案!$F$6:$F$255,MATCH($C252,项目档案!$A$6:$A$255,0)),""),"二级",IF($E252=IFERROR(INDEX(项目档案!$H$6:$H$255,MATCH($C252,项目档案!$A$6:$A$255,0)),""),"我方","—"))))</f>
        <v>二级</v>
      </c>
      <c r="O252" s="36" t="n">
        <f aca="false">IF($D252&lt;&gt;"销项开票",0,ROUND(N($H252)*N($I252),2))</f>
        <v>676.5</v>
      </c>
      <c r="P252" s="36" t="n">
        <f aca="false">IF($D252&lt;&gt;"销项开票",0,ROUND(N($H252)-$O252,2))</f>
        <v>33148.25</v>
      </c>
      <c r="Q252" s="37" t="n">
        <f aca="false">IF($E252="","",N(IFERROR(INDEX(单位档案!$E$6:$E$35,MATCH($E252,单位档案!$A$6:$A$35,0)),"")))</f>
        <v>0.03</v>
      </c>
      <c r="R252" s="37" t="n">
        <f aca="false">IF($E252="","",N(IFERROR(INDEX(单位档案!$F$6:$F$35,MATCH($E252,单位档案!$A$6:$A$35,0)),"")))</f>
        <v>0.03</v>
      </c>
      <c r="S252" s="36" t="n">
        <f aca="false">IF(OR($D252&lt;&gt;"销项开票",IFERROR(INDEX(单位档案!$G$6:$G$35,MATCH($E252,单位档案!$A$6:$A$35,0)),"")&lt;&gt;"是",N($Q252)=0),0,IF(IFERROR(INDEX(单位档案!$H$6:$H$35,MATCH($E252,单位档案!$A$6:$A$35,0)),"")="税差法",ROUND(N($H252)/(1+$Q252)*$Q252-IF(N($R252)=0,0,$P252/(1+$R252)*$R252),2),ROUND(N($H252)/(1+$Q252)*$Q252,2)))</f>
        <v>985.19</v>
      </c>
      <c r="T252" s="36" t="n">
        <f aca="false">ROUND($S252*N(IFERROR(INDEX(单位档案!$J$6:$J$35,MATCH($E252,单位档案!$A$6:$A$35,0)),"")),2)</f>
        <v>59.11</v>
      </c>
      <c r="U252" s="36" t="n">
        <f aca="false">IF($D252&lt;&gt;"销项开票",0,ROUND(N($H252)*N(IFERROR(INDEX(单位档案!$K$6:$K$35,MATCH($E252,单位档案!$A$6:$A$35,0)),"")),2))</f>
        <v>0</v>
      </c>
      <c r="V252" s="36" t="n">
        <f aca="false">IF(OR($D252&lt;&gt;"销项开票",N($Q252)=0),0,ROUND(N($H252)/(1+$Q252)*N(IFERROR(INDEX(单位档案!$L$6:$L$35,MATCH($E252,单位档案!$A$6:$A$35,0)),"")),2))</f>
        <v>65.68</v>
      </c>
      <c r="W252" s="36" t="n">
        <f aca="false">ROUND($S252+$T252+$U252+$V252,2)</f>
        <v>1109.98</v>
      </c>
      <c r="X252" s="35" t="str">
        <f aca="false">IF(OR($D252="挂靠代收",$D252="我方收款"),COUNTIFS($D$5:$D252,"挂靠代收")+COUNTIFS($D$5:$D252,"我方收款"),"")</f>
        <v/>
      </c>
      <c r="Y252" s="35" t="s">
        <v>119</v>
      </c>
      <c r="Z252" s="21" t="s">
        <v>111</v>
      </c>
    </row>
    <row r="253" customFormat="false" ht="15.75" hidden="false" customHeight="true" outlineLevel="0" collapsed="false">
      <c r="A253" s="32" t="n">
        <f aca="false">IF($B253="","",ROW()-4)</f>
        <v>249</v>
      </c>
      <c r="B253" s="26" t="n">
        <v>46218</v>
      </c>
      <c r="C253" s="24" t="s">
        <v>190</v>
      </c>
      <c r="D253" s="21" t="s">
        <v>307</v>
      </c>
      <c r="E253" s="21" t="s">
        <v>117</v>
      </c>
      <c r="F253" s="21" t="s">
        <v>119</v>
      </c>
      <c r="G253" s="21"/>
      <c r="H253" s="27" t="n">
        <v>69057.4</v>
      </c>
      <c r="I253" s="23" t="n">
        <f aca="false">IF($D253&lt;&gt;"销项开票","",IF($N253="一级",IF(IFERROR(INDEX(项目档案!$E$6:$E$255,MATCH($C253,项目档案!$A$6:$A$255,0)),"")="",N(IFERROR(INDEX(单位档案!$D$6:$D$35,MATCH($E253,单位档案!$A$6:$A$35,0)),"")),IFERROR(INDEX(项目档案!$E$6:$E$255,MATCH($C253,项目档案!$A$6:$A$255,0)),"")),IF($N253="二级",IF(IFERROR(INDEX(项目档案!$G$6:$G$255,MATCH($C253,项目档案!$A$6:$A$255,0)),"")="",N(IFERROR(INDEX(单位档案!$D$6:$D$35,MATCH($E253,单位档案!$A$6:$A$35,0)),"")),IFERROR(INDEX(项目档案!$G$6:$G$255,MATCH($C253,项目档案!$A$6:$A$255,0)),"")),N(IFERROR(INDEX(单位档案!$D$6:$D$35,MATCH($E253,单位档案!$A$6:$A$35,0)),"")))))</f>
        <v>0.02</v>
      </c>
      <c r="J253" s="25" t="s">
        <v>530</v>
      </c>
      <c r="K253" s="22" t="s">
        <v>313</v>
      </c>
      <c r="L253" s="33" t="str">
        <f aca="false">IF($B253="","",IF(NOT(ISNUMBER($B253)),"日期格式不对",IF($C253="","未选项目编号",IF(LEFT($M253,1)="⚠","项目编号不存在",IF($D253="","未选业务类型",IF($E253="","未选开票/付款方",IF(ISNA(MATCH($E253,单位档案!$A$6:$A$35,0)),"开票方不在单位档案",IF($F253="","未选收票/收款方",IF(ISNA(MATCH($F253,单位档案!$A$6:$A$35,0)),"收款方不在单位档案",IF(NOT(ISNUMBER($H253)),"金额须为数字",IF(AND($D253="销项开票",$N253="—"),"链条待确认","√")))))))))))</f>
        <v>√</v>
      </c>
      <c r="M253" s="34" t="str">
        <f aca="false">IF($C253="","",IFERROR(INDEX(项目档案!$B$6:$B$255,MATCH($C253,项目档案!$A$6:$A$255,0)),"⚠项目编号不存在"))</f>
        <v>重庆民能实业有限公司2025-2026年度工程用施工机具等租赁服务框架采购（国网重庆铜梁公司110kV金湖东西电缆改造）</v>
      </c>
      <c r="N253" s="35" t="str">
        <f aca="false">IF($E253="","",IF($E253=IFERROR(INDEX(项目档案!$D$6:$D$255,MATCH($C253,项目档案!$A$6:$A$255,0)),""),"一级",IF($E253=IFERROR(INDEX(项目档案!$F$6:$F$255,MATCH($C253,项目档案!$A$6:$A$255,0)),""),"二级",IF($E253=IFERROR(INDEX(项目档案!$H$6:$H$255,MATCH($C253,项目档案!$A$6:$A$255,0)),""),"我方","—"))))</f>
        <v>二级</v>
      </c>
      <c r="O253" s="36" t="n">
        <f aca="false">IF($D253&lt;&gt;"销项开票",0,ROUND(N($H253)*N($I253),2))</f>
        <v>1381.15</v>
      </c>
      <c r="P253" s="36" t="n">
        <f aca="false">IF($D253&lt;&gt;"销项开票",0,ROUND(N($H253)-$O253,2))</f>
        <v>67676.25</v>
      </c>
      <c r="Q253" s="37" t="n">
        <f aca="false">IF($E253="","",N(IFERROR(INDEX(单位档案!$E$6:$E$35,MATCH($E253,单位档案!$A$6:$A$35,0)),"")))</f>
        <v>0.03</v>
      </c>
      <c r="R253" s="37" t="n">
        <f aca="false">IF($E253="","",N(IFERROR(INDEX(单位档案!$F$6:$F$35,MATCH($E253,单位档案!$A$6:$A$35,0)),"")))</f>
        <v>0.03</v>
      </c>
      <c r="S253" s="36" t="n">
        <f aca="false">IF(OR($D253&lt;&gt;"销项开票",IFERROR(INDEX(单位档案!$G$6:$G$35,MATCH($E253,单位档案!$A$6:$A$35,0)),"")&lt;&gt;"是",N($Q253)=0),0,IF(IFERROR(INDEX(单位档案!$H$6:$H$35,MATCH($E253,单位档案!$A$6:$A$35,0)),"")="税差法",ROUND(N($H253)/(1+$Q253)*$Q253-IF(N($R253)=0,0,$P253/(1+$R253)*$R253),2),ROUND(N($H253)/(1+$Q253)*$Q253,2)))</f>
        <v>2011.38</v>
      </c>
      <c r="T253" s="36" t="n">
        <f aca="false">ROUND($S253*N(IFERROR(INDEX(单位档案!$J$6:$J$35,MATCH($E253,单位档案!$A$6:$A$35,0)),"")),2)</f>
        <v>120.68</v>
      </c>
      <c r="U253" s="36" t="n">
        <f aca="false">IF($D253&lt;&gt;"销项开票",0,ROUND(N($H253)*N(IFERROR(INDEX(单位档案!$K$6:$K$35,MATCH($E253,单位档案!$A$6:$A$35,0)),"")),2))</f>
        <v>0</v>
      </c>
      <c r="V253" s="36" t="n">
        <f aca="false">IF(OR($D253&lt;&gt;"销项开票",N($Q253)=0),0,ROUND(N($H253)/(1+$Q253)*N(IFERROR(INDEX(单位档案!$L$6:$L$35,MATCH($E253,单位档案!$A$6:$A$35,0)),"")),2))</f>
        <v>134.09</v>
      </c>
      <c r="W253" s="36" t="n">
        <f aca="false">ROUND($S253+$T253+$U253+$V253,2)</f>
        <v>2266.15</v>
      </c>
      <c r="X253" s="35" t="str">
        <f aca="false">IF(OR($D253="挂靠代收",$D253="我方收款"),COUNTIFS($D$5:$D253,"挂靠代收")+COUNTIFS($D$5:$D253,"我方收款"),"")</f>
        <v/>
      </c>
      <c r="Y253" s="35" t="s">
        <v>119</v>
      </c>
      <c r="Z253" s="21" t="s">
        <v>111</v>
      </c>
    </row>
    <row r="254" customFormat="false" ht="15.75" hidden="false" customHeight="true" outlineLevel="0" collapsed="false">
      <c r="A254" s="32" t="n">
        <f aca="false">IF($B254="","",ROW()-4)</f>
        <v>250</v>
      </c>
      <c r="B254" s="26" t="n">
        <v>46218</v>
      </c>
      <c r="C254" s="24" t="s">
        <v>150</v>
      </c>
      <c r="D254" s="21" t="s">
        <v>307</v>
      </c>
      <c r="E254" s="21" t="s">
        <v>117</v>
      </c>
      <c r="F254" s="21" t="s">
        <v>119</v>
      </c>
      <c r="G254" s="24" t="s">
        <v>531</v>
      </c>
      <c r="H254" s="27" t="n">
        <v>21690.88</v>
      </c>
      <c r="I254" s="23" t="n">
        <f aca="false">IF($D254&lt;&gt;"销项开票","",IF($N254="一级",IF(IFERROR(INDEX(项目档案!$E$6:$E$255,MATCH($C254,项目档案!$A$6:$A$255,0)),"")="",N(IFERROR(INDEX(单位档案!$D$6:$D$35,MATCH($E254,单位档案!$A$6:$A$35,0)),"")),IFERROR(INDEX(项目档案!$E$6:$E$255,MATCH($C254,项目档案!$A$6:$A$255,0)),"")),IF($N254="二级",IF(IFERROR(INDEX(项目档案!$G$6:$G$255,MATCH($C254,项目档案!$A$6:$A$255,0)),"")="",N(IFERROR(INDEX(单位档案!$D$6:$D$35,MATCH($E254,单位档案!$A$6:$A$35,0)),"")),IFERROR(INDEX(项目档案!$G$6:$G$255,MATCH($C254,项目档案!$A$6:$A$255,0)),"")),N(IFERROR(INDEX(单位档案!$D$6:$D$35,MATCH($E254,单位档案!$A$6:$A$35,0)),"")))))</f>
        <v>0.02</v>
      </c>
      <c r="J254" s="25" t="s">
        <v>532</v>
      </c>
      <c r="K254" s="22" t="s">
        <v>533</v>
      </c>
      <c r="L254" s="33" t="str">
        <f aca="false">IF($B254="","",IF(NOT(ISNUMBER($B254)),"日期格式不对",IF($C254="","未选项目编号",IF(LEFT($M254,1)="⚠","项目编号不存在",IF($D254="","未选业务类型",IF($E254="","未选开票/付款方",IF(ISNA(MATCH($E254,单位档案!$A$6:$A$35,0)),"开票方不在单位档案",IF($F254="","未选收票/收款方",IF(ISNA(MATCH($F254,单位档案!$A$6:$A$35,0)),"收款方不在单位档案",IF(NOT(ISNUMBER($H254)),"金额须为数字",IF(AND($D254="销项开票",$N254="—"),"链条待确认","√")))))))))))</f>
        <v>√</v>
      </c>
      <c r="M254" s="34" t="str">
        <f aca="false">IF($C254="","",IFERROR(INDEX(项目档案!$B$6:$B$255,MATCH($C254,项目档案!$A$6:$A$255,0)),"⚠项目编号不存在"))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254" s="35" t="str">
        <f aca="false">IF($E254="","",IF($E254=IFERROR(INDEX(项目档案!$D$6:$D$255,MATCH($C254,项目档案!$A$6:$A$255,0)),""),"一级",IF($E254=IFERROR(INDEX(项目档案!$F$6:$F$255,MATCH($C254,项目档案!$A$6:$A$255,0)),""),"二级",IF($E254=IFERROR(INDEX(项目档案!$H$6:$H$255,MATCH($C254,项目档案!$A$6:$A$255,0)),""),"我方","—"))))</f>
        <v>二级</v>
      </c>
      <c r="O254" s="36" t="n">
        <f aca="false">IF($D254&lt;&gt;"销项开票",0,ROUND(N($H254)*N($I254),2))</f>
        <v>433.82</v>
      </c>
      <c r="P254" s="36" t="n">
        <f aca="false">IF($D254&lt;&gt;"销项开票",0,ROUND(N($H254)-$O254,2))</f>
        <v>21257.06</v>
      </c>
      <c r="Q254" s="37" t="n">
        <f aca="false">IF($E254="","",N(IFERROR(INDEX(单位档案!$E$6:$E$35,MATCH($E254,单位档案!$A$6:$A$35,0)),"")))</f>
        <v>0.03</v>
      </c>
      <c r="R254" s="37" t="n">
        <f aca="false">IF($E254="","",N(IFERROR(INDEX(单位档案!$F$6:$F$35,MATCH($E254,单位档案!$A$6:$A$35,0)),"")))</f>
        <v>0.03</v>
      </c>
      <c r="S254" s="36" t="n">
        <f aca="false">IF(OR($D254&lt;&gt;"销项开票",IFERROR(INDEX(单位档案!$G$6:$G$35,MATCH($E254,单位档案!$A$6:$A$35,0)),"")&lt;&gt;"是",N($Q254)=0),0,IF(IFERROR(INDEX(单位档案!$H$6:$H$35,MATCH($E254,单位档案!$A$6:$A$35,0)),"")="税差法",ROUND(N($H254)/(1+$Q254)*$Q254-IF(N($R254)=0,0,$P254/(1+$R254)*$R254),2),ROUND(N($H254)/(1+$Q254)*$Q254,2)))</f>
        <v>631.77</v>
      </c>
      <c r="T254" s="36" t="n">
        <f aca="false">ROUND($S254*N(IFERROR(INDEX(单位档案!$J$6:$J$35,MATCH($E254,单位档案!$A$6:$A$35,0)),"")),2)</f>
        <v>37.91</v>
      </c>
      <c r="U254" s="36" t="n">
        <f aca="false">IF($D254&lt;&gt;"销项开票",0,ROUND(N($H254)*N(IFERROR(INDEX(单位档案!$K$6:$K$35,MATCH($E254,单位档案!$A$6:$A$35,0)),"")),2))</f>
        <v>0</v>
      </c>
      <c r="V254" s="36" t="n">
        <f aca="false">IF(OR($D254&lt;&gt;"销项开票",N($Q254)=0),0,ROUND(N($H254)/(1+$Q254)*N(IFERROR(INDEX(单位档案!$L$6:$L$35,MATCH($E254,单位档案!$A$6:$A$35,0)),"")),2))</f>
        <v>42.12</v>
      </c>
      <c r="W254" s="36" t="n">
        <f aca="false">ROUND($S254+$T254+$U254+$V254,2)</f>
        <v>711.8</v>
      </c>
      <c r="X254" s="35" t="str">
        <f aca="false">IF(OR($D254="挂靠代收",$D254="我方收款"),COUNTIFS($D$5:$D254,"挂靠代收")+COUNTIFS($D$5:$D254,"我方收款"),"")</f>
        <v/>
      </c>
      <c r="Y254" s="35" t="s">
        <v>119</v>
      </c>
      <c r="Z254" s="21" t="s">
        <v>100</v>
      </c>
    </row>
    <row r="255" customFormat="false" ht="15.75" hidden="false" customHeight="true" outlineLevel="0" collapsed="false">
      <c r="A255" s="32" t="n">
        <f aca="false">IF($B255="","",ROW()-4)</f>
        <v>251</v>
      </c>
      <c r="B255" s="26" t="n">
        <v>46218</v>
      </c>
      <c r="C255" s="24" t="s">
        <v>150</v>
      </c>
      <c r="D255" s="21" t="s">
        <v>307</v>
      </c>
      <c r="E255" s="21" t="s">
        <v>117</v>
      </c>
      <c r="F255" s="21" t="s">
        <v>119</v>
      </c>
      <c r="G255" s="24" t="s">
        <v>531</v>
      </c>
      <c r="H255" s="27" t="n">
        <v>17748.73</v>
      </c>
      <c r="I255" s="23" t="n">
        <f aca="false">IF($D255&lt;&gt;"销项开票","",IF($N255="一级",IF(IFERROR(INDEX(项目档案!$E$6:$E$255,MATCH($C255,项目档案!$A$6:$A$255,0)),"")="",N(IFERROR(INDEX(单位档案!$D$6:$D$35,MATCH($E255,单位档案!$A$6:$A$35,0)),"")),IFERROR(INDEX(项目档案!$E$6:$E$255,MATCH($C255,项目档案!$A$6:$A$255,0)),"")),IF($N255="二级",IF(IFERROR(INDEX(项目档案!$G$6:$G$255,MATCH($C255,项目档案!$A$6:$A$255,0)),"")="",N(IFERROR(INDEX(单位档案!$D$6:$D$35,MATCH($E255,单位档案!$A$6:$A$35,0)),"")),IFERROR(INDEX(项目档案!$G$6:$G$255,MATCH($C255,项目档案!$A$6:$A$255,0)),"")),N(IFERROR(INDEX(单位档案!$D$6:$D$35,MATCH($E255,单位档案!$A$6:$A$35,0)),"")))))</f>
        <v>0.02</v>
      </c>
      <c r="J255" s="25" t="s">
        <v>534</v>
      </c>
      <c r="K255" s="22" t="s">
        <v>535</v>
      </c>
      <c r="L255" s="33" t="str">
        <f aca="false">IF($B255="","",IF(NOT(ISNUMBER($B255)),"日期格式不对",IF($C255="","未选项目编号",IF(LEFT($M255,1)="⚠","项目编号不存在",IF($D255="","未选业务类型",IF($E255="","未选开票/付款方",IF(ISNA(MATCH($E255,单位档案!$A$6:$A$35,0)),"开票方不在单位档案",IF($F255="","未选收票/收款方",IF(ISNA(MATCH($F255,单位档案!$A$6:$A$35,0)),"收款方不在单位档案",IF(NOT(ISNUMBER($H255)),"金额须为数字",IF(AND($D255="销项开票",$N255="—"),"链条待确认","√")))))))))))</f>
        <v>√</v>
      </c>
      <c r="M255" s="34" t="str">
        <f aca="false">IF($C255="","",IFERROR(INDEX(项目档案!$B$6:$B$255,MATCH($C255,项目档案!$A$6:$A$255,0)),"⚠项目编号不存在"))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255" s="35" t="str">
        <f aca="false">IF($E255="","",IF($E255=IFERROR(INDEX(项目档案!$D$6:$D$255,MATCH($C255,项目档案!$A$6:$A$255,0)),""),"一级",IF($E255=IFERROR(INDEX(项目档案!$F$6:$F$255,MATCH($C255,项目档案!$A$6:$A$255,0)),""),"二级",IF($E255=IFERROR(INDEX(项目档案!$H$6:$H$255,MATCH($C255,项目档案!$A$6:$A$255,0)),""),"我方","—"))))</f>
        <v>二级</v>
      </c>
      <c r="O255" s="36" t="n">
        <f aca="false">IF($D255&lt;&gt;"销项开票",0,ROUND(N($H255)*N($I255),2))</f>
        <v>354.97</v>
      </c>
      <c r="P255" s="36" t="n">
        <f aca="false">IF($D255&lt;&gt;"销项开票",0,ROUND(N($H255)-$O255,2))</f>
        <v>17393.76</v>
      </c>
      <c r="Q255" s="37" t="n">
        <f aca="false">IF($E255="","",N(IFERROR(INDEX(单位档案!$E$6:$E$35,MATCH($E255,单位档案!$A$6:$A$35,0)),"")))</f>
        <v>0.03</v>
      </c>
      <c r="R255" s="37" t="n">
        <f aca="false">IF($E255="","",N(IFERROR(INDEX(单位档案!$F$6:$F$35,MATCH($E255,单位档案!$A$6:$A$35,0)),"")))</f>
        <v>0.03</v>
      </c>
      <c r="S255" s="36" t="n">
        <f aca="false">IF(OR($D255&lt;&gt;"销项开票",IFERROR(INDEX(单位档案!$G$6:$G$35,MATCH($E255,单位档案!$A$6:$A$35,0)),"")&lt;&gt;"是",N($Q255)=0),0,IF(IFERROR(INDEX(单位档案!$H$6:$H$35,MATCH($E255,单位档案!$A$6:$A$35,0)),"")="税差法",ROUND(N($H255)/(1+$Q255)*$Q255-IF(N($R255)=0,0,$P255/(1+$R255)*$R255),2),ROUND(N($H255)/(1+$Q255)*$Q255,2)))</f>
        <v>516.95</v>
      </c>
      <c r="T255" s="36" t="n">
        <f aca="false">ROUND($S255*N(IFERROR(INDEX(单位档案!$J$6:$J$35,MATCH($E255,单位档案!$A$6:$A$35,0)),"")),2)</f>
        <v>31.02</v>
      </c>
      <c r="U255" s="36" t="n">
        <f aca="false">IF($D255&lt;&gt;"销项开票",0,ROUND(N($H255)*N(IFERROR(INDEX(单位档案!$K$6:$K$35,MATCH($E255,单位档案!$A$6:$A$35,0)),"")),2))</f>
        <v>0</v>
      </c>
      <c r="V255" s="36" t="n">
        <f aca="false">IF(OR($D255&lt;&gt;"销项开票",N($Q255)=0),0,ROUND(N($H255)/(1+$Q255)*N(IFERROR(INDEX(单位档案!$L$6:$L$35,MATCH($E255,单位档案!$A$6:$A$35,0)),"")),2))</f>
        <v>34.46</v>
      </c>
      <c r="W255" s="36" t="n">
        <f aca="false">ROUND($S255+$T255+$U255+$V255,2)</f>
        <v>582.43</v>
      </c>
      <c r="X255" s="35" t="str">
        <f aca="false">IF(OR($D255="挂靠代收",$D255="我方收款"),COUNTIFS($D$5:$D255,"挂靠代收")+COUNTIFS($D$5:$D255,"我方收款"),"")</f>
        <v/>
      </c>
      <c r="Y255" s="35" t="s">
        <v>119</v>
      </c>
      <c r="Z255" s="21" t="s">
        <v>100</v>
      </c>
    </row>
    <row r="256" customFormat="false" ht="15.75" hidden="false" customHeight="true" outlineLevel="0" collapsed="false">
      <c r="A256" s="32" t="n">
        <f aca="false">IF($B256="","",ROW()-4)</f>
        <v>252</v>
      </c>
      <c r="B256" s="26" t="n">
        <v>46218</v>
      </c>
      <c r="C256" s="24" t="s">
        <v>150</v>
      </c>
      <c r="D256" s="21" t="s">
        <v>307</v>
      </c>
      <c r="E256" s="21" t="s">
        <v>117</v>
      </c>
      <c r="F256" s="21" t="s">
        <v>119</v>
      </c>
      <c r="G256" s="24" t="s">
        <v>531</v>
      </c>
      <c r="H256" s="27" t="n">
        <v>4432.25</v>
      </c>
      <c r="I256" s="23" t="n">
        <f aca="false">IF($D256&lt;&gt;"销项开票","",IF($N256="一级",IF(IFERROR(INDEX(项目档案!$E$6:$E$255,MATCH($C256,项目档案!$A$6:$A$255,0)),"")="",N(IFERROR(INDEX(单位档案!$D$6:$D$35,MATCH($E256,单位档案!$A$6:$A$35,0)),"")),IFERROR(INDEX(项目档案!$E$6:$E$255,MATCH($C256,项目档案!$A$6:$A$255,0)),"")),IF($N256="二级",IF(IFERROR(INDEX(项目档案!$G$6:$G$255,MATCH($C256,项目档案!$A$6:$A$255,0)),"")="",N(IFERROR(INDEX(单位档案!$D$6:$D$35,MATCH($E256,单位档案!$A$6:$A$35,0)),"")),IFERROR(INDEX(项目档案!$G$6:$G$255,MATCH($C256,项目档案!$A$6:$A$255,0)),"")),N(IFERROR(INDEX(单位档案!$D$6:$D$35,MATCH($E256,单位档案!$A$6:$A$35,0)),"")))))</f>
        <v>0.02</v>
      </c>
      <c r="J256" s="25" t="s">
        <v>536</v>
      </c>
      <c r="K256" s="22" t="s">
        <v>537</v>
      </c>
      <c r="L256" s="33" t="str">
        <f aca="false">IF($B256="","",IF(NOT(ISNUMBER($B256)),"日期格式不对",IF($C256="","未选项目编号",IF(LEFT($M256,1)="⚠","项目编号不存在",IF($D256="","未选业务类型",IF($E256="","未选开票/付款方",IF(ISNA(MATCH($E256,单位档案!$A$6:$A$35,0)),"开票方不在单位档案",IF($F256="","未选收票/收款方",IF(ISNA(MATCH($F256,单位档案!$A$6:$A$35,0)),"收款方不在单位档案",IF(NOT(ISNUMBER($H256)),"金额须为数字",IF(AND($D256="销项开票",$N256="—"),"链条待确认","√")))))))))))</f>
        <v>√</v>
      </c>
      <c r="M256" s="34" t="str">
        <f aca="false">IF($C256="","",IFERROR(INDEX(项目档案!$B$6:$B$255,MATCH($C256,项目档案!$A$6:$A$255,0)),"⚠项目编号不存在"))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256" s="35" t="str">
        <f aca="false">IF($E256="","",IF($E256=IFERROR(INDEX(项目档案!$D$6:$D$255,MATCH($C256,项目档案!$A$6:$A$255,0)),""),"一级",IF($E256=IFERROR(INDEX(项目档案!$F$6:$F$255,MATCH($C256,项目档案!$A$6:$A$255,0)),""),"二级",IF($E256=IFERROR(INDEX(项目档案!$H$6:$H$255,MATCH($C256,项目档案!$A$6:$A$255,0)),""),"我方","—"))))</f>
        <v>二级</v>
      </c>
      <c r="O256" s="36" t="n">
        <f aca="false">IF($D256&lt;&gt;"销项开票",0,ROUND(N($H256)*N($I256),2))</f>
        <v>88.65</v>
      </c>
      <c r="P256" s="36" t="n">
        <f aca="false">IF($D256&lt;&gt;"销项开票",0,ROUND(N($H256)-$O256,2))</f>
        <v>4343.6</v>
      </c>
      <c r="Q256" s="37" t="n">
        <f aca="false">IF($E256="","",N(IFERROR(INDEX(单位档案!$E$6:$E$35,MATCH($E256,单位档案!$A$6:$A$35,0)),"")))</f>
        <v>0.03</v>
      </c>
      <c r="R256" s="37" t="n">
        <f aca="false">IF($E256="","",N(IFERROR(INDEX(单位档案!$F$6:$F$35,MATCH($E256,单位档案!$A$6:$A$35,0)),"")))</f>
        <v>0.03</v>
      </c>
      <c r="S256" s="36" t="n">
        <f aca="false">IF(OR($D256&lt;&gt;"销项开票",IFERROR(INDEX(单位档案!$G$6:$G$35,MATCH($E256,单位档案!$A$6:$A$35,0)),"")&lt;&gt;"是",N($Q256)=0),0,IF(IFERROR(INDEX(单位档案!$H$6:$H$35,MATCH($E256,单位档案!$A$6:$A$35,0)),"")="税差法",ROUND(N($H256)/(1+$Q256)*$Q256-IF(N($R256)=0,0,$P256/(1+$R256)*$R256),2),ROUND(N($H256)/(1+$Q256)*$Q256,2)))</f>
        <v>129.09</v>
      </c>
      <c r="T256" s="36" t="n">
        <f aca="false">ROUND($S256*N(IFERROR(INDEX(单位档案!$J$6:$J$35,MATCH($E256,单位档案!$A$6:$A$35,0)),"")),2)</f>
        <v>7.75</v>
      </c>
      <c r="U256" s="36" t="n">
        <f aca="false">IF($D256&lt;&gt;"销项开票",0,ROUND(N($H256)*N(IFERROR(INDEX(单位档案!$K$6:$K$35,MATCH($E256,单位档案!$A$6:$A$35,0)),"")),2))</f>
        <v>0</v>
      </c>
      <c r="V256" s="36" t="n">
        <f aca="false">IF(OR($D256&lt;&gt;"销项开票",N($Q256)=0),0,ROUND(N($H256)/(1+$Q256)*N(IFERROR(INDEX(单位档案!$L$6:$L$35,MATCH($E256,单位档案!$A$6:$A$35,0)),"")),2))</f>
        <v>8.61</v>
      </c>
      <c r="W256" s="36" t="n">
        <f aca="false">ROUND($S256+$T256+$U256+$V256,2)</f>
        <v>145.45</v>
      </c>
      <c r="X256" s="35" t="str">
        <f aca="false">IF(OR($D256="挂靠代收",$D256="我方收款"),COUNTIFS($D$5:$D256,"挂靠代收")+COUNTIFS($D$5:$D256,"我方收款"),"")</f>
        <v/>
      </c>
      <c r="Y256" s="35" t="s">
        <v>119</v>
      </c>
      <c r="Z256" s="21" t="s">
        <v>100</v>
      </c>
    </row>
    <row r="257" customFormat="false" ht="15.75" hidden="false" customHeight="true" outlineLevel="0" collapsed="false">
      <c r="A257" s="32" t="n">
        <f aca="false">IF($B257="","",ROW()-4)</f>
        <v>253</v>
      </c>
      <c r="B257" s="26" t="n">
        <v>46218</v>
      </c>
      <c r="C257" s="24" t="s">
        <v>150</v>
      </c>
      <c r="D257" s="21" t="s">
        <v>307</v>
      </c>
      <c r="E257" s="21" t="s">
        <v>117</v>
      </c>
      <c r="F257" s="21" t="s">
        <v>119</v>
      </c>
      <c r="G257" s="24" t="s">
        <v>531</v>
      </c>
      <c r="H257" s="27" t="n">
        <v>10830.93</v>
      </c>
      <c r="I257" s="23" t="n">
        <f aca="false">IF($D257&lt;&gt;"销项开票","",IF($N257="一级",IF(IFERROR(INDEX(项目档案!$E$6:$E$255,MATCH($C257,项目档案!$A$6:$A$255,0)),"")="",N(IFERROR(INDEX(单位档案!$D$6:$D$35,MATCH($E257,单位档案!$A$6:$A$35,0)),"")),IFERROR(INDEX(项目档案!$E$6:$E$255,MATCH($C257,项目档案!$A$6:$A$255,0)),"")),IF($N257="二级",IF(IFERROR(INDEX(项目档案!$G$6:$G$255,MATCH($C257,项目档案!$A$6:$A$255,0)),"")="",N(IFERROR(INDEX(单位档案!$D$6:$D$35,MATCH($E257,单位档案!$A$6:$A$35,0)),"")),IFERROR(INDEX(项目档案!$G$6:$G$255,MATCH($C257,项目档案!$A$6:$A$255,0)),"")),N(IFERROR(INDEX(单位档案!$D$6:$D$35,MATCH($E257,单位档案!$A$6:$A$35,0)),"")))))</f>
        <v>0.02</v>
      </c>
      <c r="J257" s="25" t="s">
        <v>538</v>
      </c>
      <c r="K257" s="22" t="s">
        <v>539</v>
      </c>
      <c r="L257" s="33" t="str">
        <f aca="false">IF($B257="","",IF(NOT(ISNUMBER($B257)),"日期格式不对",IF($C257="","未选项目编号",IF(LEFT($M257,1)="⚠","项目编号不存在",IF($D257="","未选业务类型",IF($E257="","未选开票/付款方",IF(ISNA(MATCH($E257,单位档案!$A$6:$A$35,0)),"开票方不在单位档案",IF($F257="","未选收票/收款方",IF(ISNA(MATCH($F257,单位档案!$A$6:$A$35,0)),"收款方不在单位档案",IF(NOT(ISNUMBER($H257)),"金额须为数字",IF(AND($D257="销项开票",$N257="—"),"链条待确认","√")))))))))))</f>
        <v>√</v>
      </c>
      <c r="M257" s="34" t="str">
        <f aca="false">IF($C257="","",IFERROR(INDEX(项目档案!$B$6:$B$255,MATCH($C257,项目档案!$A$6:$A$255,0)),"⚠项目编号不存在"))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257" s="35" t="str">
        <f aca="false">IF($E257="","",IF($E257=IFERROR(INDEX(项目档案!$D$6:$D$255,MATCH($C257,项目档案!$A$6:$A$255,0)),""),"一级",IF($E257=IFERROR(INDEX(项目档案!$F$6:$F$255,MATCH($C257,项目档案!$A$6:$A$255,0)),""),"二级",IF($E257=IFERROR(INDEX(项目档案!$H$6:$H$255,MATCH($C257,项目档案!$A$6:$A$255,0)),""),"我方","—"))))</f>
        <v>二级</v>
      </c>
      <c r="O257" s="36" t="n">
        <f aca="false">IF($D257&lt;&gt;"销项开票",0,ROUND(N($H257)*N($I257),2))</f>
        <v>216.62</v>
      </c>
      <c r="P257" s="36" t="n">
        <f aca="false">IF($D257&lt;&gt;"销项开票",0,ROUND(N($H257)-$O257,2))</f>
        <v>10614.31</v>
      </c>
      <c r="Q257" s="37" t="n">
        <f aca="false">IF($E257="","",N(IFERROR(INDEX(单位档案!$E$6:$E$35,MATCH($E257,单位档案!$A$6:$A$35,0)),"")))</f>
        <v>0.03</v>
      </c>
      <c r="R257" s="37" t="n">
        <f aca="false">IF($E257="","",N(IFERROR(INDEX(单位档案!$F$6:$F$35,MATCH($E257,单位档案!$A$6:$A$35,0)),"")))</f>
        <v>0.03</v>
      </c>
      <c r="S257" s="36" t="n">
        <f aca="false">IF(OR($D257&lt;&gt;"销项开票",IFERROR(INDEX(单位档案!$G$6:$G$35,MATCH($E257,单位档案!$A$6:$A$35,0)),"")&lt;&gt;"是",N($Q257)=0),0,IF(IFERROR(INDEX(单位档案!$H$6:$H$35,MATCH($E257,单位档案!$A$6:$A$35,0)),"")="税差法",ROUND(N($H257)/(1+$Q257)*$Q257-IF(N($R257)=0,0,$P257/(1+$R257)*$R257),2),ROUND(N($H257)/(1+$Q257)*$Q257,2)))</f>
        <v>315.46</v>
      </c>
      <c r="T257" s="36" t="n">
        <f aca="false">ROUND($S257*N(IFERROR(INDEX(单位档案!$J$6:$J$35,MATCH($E257,单位档案!$A$6:$A$35,0)),"")),2)</f>
        <v>18.93</v>
      </c>
      <c r="U257" s="36" t="n">
        <f aca="false">IF($D257&lt;&gt;"销项开票",0,ROUND(N($H257)*N(IFERROR(INDEX(单位档案!$K$6:$K$35,MATCH($E257,单位档案!$A$6:$A$35,0)),"")),2))</f>
        <v>0</v>
      </c>
      <c r="V257" s="36" t="n">
        <f aca="false">IF(OR($D257&lt;&gt;"销项开票",N($Q257)=0),0,ROUND(N($H257)/(1+$Q257)*N(IFERROR(INDEX(单位档案!$L$6:$L$35,MATCH($E257,单位档案!$A$6:$A$35,0)),"")),2))</f>
        <v>21.03</v>
      </c>
      <c r="W257" s="36" t="n">
        <f aca="false">ROUND($S257+$T257+$U257+$V257,2)</f>
        <v>355.42</v>
      </c>
      <c r="X257" s="35" t="str">
        <f aca="false">IF(OR($D257="挂靠代收",$D257="我方收款"),COUNTIFS($D$5:$D257,"挂靠代收")+COUNTIFS($D$5:$D257,"我方收款"),"")</f>
        <v/>
      </c>
      <c r="Y257" s="35" t="s">
        <v>119</v>
      </c>
      <c r="Z257" s="21" t="s">
        <v>100</v>
      </c>
    </row>
    <row r="258" customFormat="false" ht="15.75" hidden="false" customHeight="true" outlineLevel="0" collapsed="false">
      <c r="A258" s="32" t="n">
        <f aca="false">IF($B258="","",ROW()-4)</f>
        <v>254</v>
      </c>
      <c r="B258" s="26" t="n">
        <v>46218</v>
      </c>
      <c r="C258" s="24" t="s">
        <v>150</v>
      </c>
      <c r="D258" s="21" t="s">
        <v>307</v>
      </c>
      <c r="E258" s="21" t="s">
        <v>117</v>
      </c>
      <c r="F258" s="21" t="s">
        <v>119</v>
      </c>
      <c r="G258" s="24" t="s">
        <v>531</v>
      </c>
      <c r="H258" s="27" t="n">
        <v>12338.35</v>
      </c>
      <c r="I258" s="23" t="n">
        <f aca="false">IF($D258&lt;&gt;"销项开票","",IF($N258="一级",IF(IFERROR(INDEX(项目档案!$E$6:$E$255,MATCH($C258,项目档案!$A$6:$A$255,0)),"")="",N(IFERROR(INDEX(单位档案!$D$6:$D$35,MATCH($E258,单位档案!$A$6:$A$35,0)),"")),IFERROR(INDEX(项目档案!$E$6:$E$255,MATCH($C258,项目档案!$A$6:$A$255,0)),"")),IF($N258="二级",IF(IFERROR(INDEX(项目档案!$G$6:$G$255,MATCH($C258,项目档案!$A$6:$A$255,0)),"")="",N(IFERROR(INDEX(单位档案!$D$6:$D$35,MATCH($E258,单位档案!$A$6:$A$35,0)),"")),IFERROR(INDEX(项目档案!$G$6:$G$255,MATCH($C258,项目档案!$A$6:$A$255,0)),"")),N(IFERROR(INDEX(单位档案!$D$6:$D$35,MATCH($E258,单位档案!$A$6:$A$35,0)),"")))))</f>
        <v>0.02</v>
      </c>
      <c r="J258" s="25" t="s">
        <v>540</v>
      </c>
      <c r="K258" s="22" t="s">
        <v>541</v>
      </c>
      <c r="L258" s="33" t="str">
        <f aca="false">IF($B258="","",IF(NOT(ISNUMBER($B258)),"日期格式不对",IF($C258="","未选项目编号",IF(LEFT($M258,1)="⚠","项目编号不存在",IF($D258="","未选业务类型",IF($E258="","未选开票/付款方",IF(ISNA(MATCH($E258,单位档案!$A$6:$A$35,0)),"开票方不在单位档案",IF($F258="","未选收票/收款方",IF(ISNA(MATCH($F258,单位档案!$A$6:$A$35,0)),"收款方不在单位档案",IF(NOT(ISNUMBER($H258)),"金额须为数字",IF(AND($D258="销项开票",$N258="—"),"链条待确认","√")))))))))))</f>
        <v>√</v>
      </c>
      <c r="M258" s="34" t="str">
        <f aca="false">IF($C258="","",IFERROR(INDEX(项目档案!$B$6:$B$255,MATCH($C258,项目档案!$A$6:$A$255,0)),"⚠项目编号不存在"))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258" s="35" t="str">
        <f aca="false">IF($E258="","",IF($E258=IFERROR(INDEX(项目档案!$D$6:$D$255,MATCH($C258,项目档案!$A$6:$A$255,0)),""),"一级",IF($E258=IFERROR(INDEX(项目档案!$F$6:$F$255,MATCH($C258,项目档案!$A$6:$A$255,0)),""),"二级",IF($E258=IFERROR(INDEX(项目档案!$H$6:$H$255,MATCH($C258,项目档案!$A$6:$A$255,0)),""),"我方","—"))))</f>
        <v>二级</v>
      </c>
      <c r="O258" s="36" t="n">
        <f aca="false">IF($D258&lt;&gt;"销项开票",0,ROUND(N($H258)*N($I258),2))</f>
        <v>246.77</v>
      </c>
      <c r="P258" s="36" t="n">
        <f aca="false">IF($D258&lt;&gt;"销项开票",0,ROUND(N($H258)-$O258,2))</f>
        <v>12091.58</v>
      </c>
      <c r="Q258" s="37" t="n">
        <f aca="false">IF($E258="","",N(IFERROR(INDEX(单位档案!$E$6:$E$35,MATCH($E258,单位档案!$A$6:$A$35,0)),"")))</f>
        <v>0.03</v>
      </c>
      <c r="R258" s="37" t="n">
        <f aca="false">IF($E258="","",N(IFERROR(INDEX(单位档案!$F$6:$F$35,MATCH($E258,单位档案!$A$6:$A$35,0)),"")))</f>
        <v>0.03</v>
      </c>
      <c r="S258" s="36" t="n">
        <f aca="false">IF(OR($D258&lt;&gt;"销项开票",IFERROR(INDEX(单位档案!$G$6:$G$35,MATCH($E258,单位档案!$A$6:$A$35,0)),"")&lt;&gt;"是",N($Q258)=0),0,IF(IFERROR(INDEX(单位档案!$H$6:$H$35,MATCH($E258,单位档案!$A$6:$A$35,0)),"")="税差法",ROUND(N($H258)/(1+$Q258)*$Q258-IF(N($R258)=0,0,$P258/(1+$R258)*$R258),2),ROUND(N($H258)/(1+$Q258)*$Q258,2)))</f>
        <v>359.37</v>
      </c>
      <c r="T258" s="36" t="n">
        <f aca="false">ROUND($S258*N(IFERROR(INDEX(单位档案!$J$6:$J$35,MATCH($E258,单位档案!$A$6:$A$35,0)),"")),2)</f>
        <v>21.56</v>
      </c>
      <c r="U258" s="36" t="n">
        <f aca="false">IF($D258&lt;&gt;"销项开票",0,ROUND(N($H258)*N(IFERROR(INDEX(单位档案!$K$6:$K$35,MATCH($E258,单位档案!$A$6:$A$35,0)),"")),2))</f>
        <v>0</v>
      </c>
      <c r="V258" s="36" t="n">
        <f aca="false">IF(OR($D258&lt;&gt;"销项开票",N($Q258)=0),0,ROUND(N($H258)/(1+$Q258)*N(IFERROR(INDEX(单位档案!$L$6:$L$35,MATCH($E258,单位档案!$A$6:$A$35,0)),"")),2))</f>
        <v>23.96</v>
      </c>
      <c r="W258" s="36" t="n">
        <f aca="false">ROUND($S258+$T258+$U258+$V258,2)</f>
        <v>404.89</v>
      </c>
      <c r="X258" s="35" t="str">
        <f aca="false">IF(OR($D258="挂靠代收",$D258="我方收款"),COUNTIFS($D$5:$D258,"挂靠代收")+COUNTIFS($D$5:$D258,"我方收款"),"")</f>
        <v/>
      </c>
      <c r="Y258" s="35" t="s">
        <v>119</v>
      </c>
      <c r="Z258" s="21" t="s">
        <v>100</v>
      </c>
    </row>
    <row r="259" customFormat="false" ht="15.75" hidden="false" customHeight="true" outlineLevel="0" collapsed="false">
      <c r="A259" s="32" t="n">
        <f aca="false">IF($B259="","",ROW()-4)</f>
        <v>255</v>
      </c>
      <c r="B259" s="26" t="n">
        <v>46223</v>
      </c>
      <c r="C259" s="24" t="s">
        <v>220</v>
      </c>
      <c r="D259" s="21" t="s">
        <v>307</v>
      </c>
      <c r="E259" s="21" t="s">
        <v>114</v>
      </c>
      <c r="F259" s="21" t="s">
        <v>97</v>
      </c>
      <c r="G259" s="24" t="s">
        <v>316</v>
      </c>
      <c r="H259" s="27" t="n">
        <v>3801.93</v>
      </c>
      <c r="I259" s="23" t="n">
        <v>0.02</v>
      </c>
      <c r="J259" s="25" t="s">
        <v>542</v>
      </c>
      <c r="K259" s="22" t="s">
        <v>313</v>
      </c>
      <c r="L259" s="33" t="str">
        <f aca="false">IF($B259="","",IF(NOT(ISNUMBER($B259)),"日期格式不对",IF($C259="","未选项目编号",IF(LEFT($M259,1)="⚠","项目编号不存在",IF($D259="","未选业务类型",IF($E259="","未选开票/付款方",IF(ISNA(MATCH($E259,单位档案!$A$6:$A$35,0)),"开票方不在单位档案",IF($F259="","未选收票/收款方",IF(ISNA(MATCH($F259,单位档案!$A$6:$A$35,0)),"收款方不在单位档案",IF(NOT(ISNUMBER($H259)),"金额须为数字",IF(AND($D259="销项开票",$N259="—"),"链条待确认","√")))))))))))</f>
        <v>√</v>
      </c>
      <c r="M259" s="34" t="str">
        <f aca="false">IF($C259="","",IFERROR(INDEX(项目档案!$B$6:$B$255,MATCH($C259,项目档案!$A$6:$A$255,0)),"⚠项目编号不存在"))</f>
        <v>铜梁公司2026年配电专业应急抢修抢险等外包项目（永嘉所许家3社1等台区2个隐患治理项目）</v>
      </c>
      <c r="N259" s="35" t="str">
        <f aca="false">IF($E259="","",IF($E259=IFERROR(INDEX(项目档案!$D$6:$D$255,MATCH($C259,项目档案!$A$6:$A$255,0)),""),"一级",IF($E259=IFERROR(INDEX(项目档案!$F$6:$F$255,MATCH($C259,项目档案!$A$6:$A$255,0)),""),"二级",IF($E259=IFERROR(INDEX(项目档案!$H$6:$H$255,MATCH($C259,项目档案!$A$6:$A$255,0)),""),"我方","—"))))</f>
        <v>一级</v>
      </c>
      <c r="O259" s="36" t="n">
        <f aca="false">IF($D259&lt;&gt;"销项开票",0,ROUND(N($H259)*N($I259),2))</f>
        <v>76.04</v>
      </c>
      <c r="P259" s="36" t="n">
        <f aca="false">IF($D259&lt;&gt;"销项开票",0,ROUND(N($H259)-$O259,2))</f>
        <v>3725.89</v>
      </c>
      <c r="Q259" s="37" t="n">
        <f aca="false">IF($E259="","",N(IFERROR(INDEX(单位档案!$E$6:$E$35,MATCH($E259,单位档案!$A$6:$A$35,0)),"")))</f>
        <v>0.03</v>
      </c>
      <c r="R259" s="37" t="n">
        <f aca="false">IF($E259="","",N(IFERROR(INDEX(单位档案!$F$6:$F$35,MATCH($E259,单位档案!$A$6:$A$35,0)),"")))</f>
        <v>0.01</v>
      </c>
      <c r="S259" s="36" t="n">
        <f aca="false">IF(OR($D259&lt;&gt;"销项开票",IFERROR(INDEX(单位档案!$G$6:$G$35,MATCH($E259,单位档案!$A$6:$A$35,0)),"")&lt;&gt;"是",N($Q259)=0),0,IF(IFERROR(INDEX(单位档案!$H$6:$H$35,MATCH($E259,单位档案!$A$6:$A$35,0)),"")="税差法",ROUND(N($H259)/(1+$Q259)*$Q259-IF(N($R259)=0,0,$P259/(1+$R259)*$R259),2),ROUND(N($H259)/(1+$Q259)*$Q259,2)))</f>
        <v>110.74</v>
      </c>
      <c r="T259" s="36" t="n">
        <f aca="false">ROUND($S259*N(IFERROR(INDEX(单位档案!$J$6:$J$35,MATCH($E259,单位档案!$A$6:$A$35,0)),"")),2)</f>
        <v>13.29</v>
      </c>
      <c r="U259" s="36" t="n">
        <f aca="false">IF($D259&lt;&gt;"销项开票",0,ROUND(N($H259)*N(IFERROR(INDEX(单位档案!$K$6:$K$35,MATCH($E259,单位档案!$A$6:$A$35,0)),"")),2))</f>
        <v>1.14</v>
      </c>
      <c r="V259" s="36" t="n">
        <f aca="false">IF(OR($D259&lt;&gt;"销项开票",N($Q259)=0),0,ROUND(N($H259)/(1+$Q259)*N(IFERROR(INDEX(单位档案!$L$6:$L$35,MATCH($E259,单位档案!$A$6:$A$35,0)),"")),2))</f>
        <v>0</v>
      </c>
      <c r="W259" s="36" t="n">
        <f aca="false">ROUND($S259+$T259+$U259+$V259,2)</f>
        <v>125.17</v>
      </c>
      <c r="X259" s="35" t="str">
        <f aca="false">IF(OR($D259="挂靠代收",$D259="我方收款"),COUNTIFS($D$5:$D259,"挂靠代收")+COUNTIFS($D$5:$D259,"我方收款"),"")</f>
        <v/>
      </c>
      <c r="Y259" s="35" t="s">
        <v>114</v>
      </c>
      <c r="Z259" s="21" t="s">
        <v>111</v>
      </c>
    </row>
    <row r="260" customFormat="false" ht="15.75" hidden="false" customHeight="true" outlineLevel="0" collapsed="false">
      <c r="A260" s="32" t="n">
        <f aca="false">IF($B260="","",ROW()-4)</f>
        <v>256</v>
      </c>
      <c r="B260" s="26" t="n">
        <v>46223</v>
      </c>
      <c r="C260" s="24" t="s">
        <v>222</v>
      </c>
      <c r="D260" s="21" t="s">
        <v>307</v>
      </c>
      <c r="E260" s="21" t="s">
        <v>114</v>
      </c>
      <c r="F260" s="21" t="s">
        <v>97</v>
      </c>
      <c r="G260" s="24" t="s">
        <v>316</v>
      </c>
      <c r="H260" s="27" t="n">
        <v>5842.18</v>
      </c>
      <c r="I260" s="23" t="n">
        <v>0.019999</v>
      </c>
      <c r="J260" s="25" t="s">
        <v>543</v>
      </c>
      <c r="K260" s="22" t="s">
        <v>313</v>
      </c>
      <c r="L260" s="33" t="str">
        <f aca="false">IF($B260="","",IF(NOT(ISNUMBER($B260)),"日期格式不对",IF($C260="","未选项目编号",IF(LEFT($M260,1)="⚠","项目编号不存在",IF($D260="","未选业务类型",IF($E260="","未选开票/付款方",IF(ISNA(MATCH($E260,单位档案!$A$6:$A$35,0)),"开票方不在单位档案",IF($F260="","未选收票/收款方",IF(ISNA(MATCH($F260,单位档案!$A$6:$A$35,0)),"收款方不在单位档案",IF(NOT(ISNUMBER($H260)),"金额须为数字",IF(AND($D260="销项开票",$N260="—"),"链条待确认","√")))))))))))</f>
        <v>√</v>
      </c>
      <c r="M260" s="34" t="str">
        <f aca="false">IF($C260="","",IFERROR(INDEX(项目档案!$B$6:$B$255,MATCH($C260,项目档案!$A$6:$A$255,0)),"⚠项目编号不存在"))</f>
        <v>铜梁公司2026年配电专业应急抢修抢险等外包项目（永嘉所义和8社等台区3个对地不足隐患治理项目）</v>
      </c>
      <c r="N260" s="35" t="str">
        <f aca="false">IF($E260="","",IF($E260=IFERROR(INDEX(项目档案!$D$6:$D$255,MATCH($C260,项目档案!$A$6:$A$255,0)),""),"一级",IF($E260=IFERROR(INDEX(项目档案!$F$6:$F$255,MATCH($C260,项目档案!$A$6:$A$255,0)),""),"二级",IF($E260=IFERROR(INDEX(项目档案!$H$6:$H$255,MATCH($C260,项目档案!$A$6:$A$255,0)),""),"我方","—"))))</f>
        <v>一级</v>
      </c>
      <c r="O260" s="36" t="n">
        <f aca="false">IF($D260&lt;&gt;"销项开票",0,ROUND(N($H260)*N($I260),2))</f>
        <v>116.84</v>
      </c>
      <c r="P260" s="36" t="n">
        <f aca="false">IF($D260&lt;&gt;"销项开票",0,ROUND(N($H260)-$O260,2))</f>
        <v>5725.34</v>
      </c>
      <c r="Q260" s="37" t="n">
        <f aca="false">IF($E260="","",N(IFERROR(INDEX(单位档案!$E$6:$E$35,MATCH($E260,单位档案!$A$6:$A$35,0)),"")))</f>
        <v>0.03</v>
      </c>
      <c r="R260" s="37" t="n">
        <f aca="false">IF($E260="","",N(IFERROR(INDEX(单位档案!$F$6:$F$35,MATCH($E260,单位档案!$A$6:$A$35,0)),"")))</f>
        <v>0.01</v>
      </c>
      <c r="S260" s="36" t="n">
        <f aca="false">IF(OR($D260&lt;&gt;"销项开票",IFERROR(INDEX(单位档案!$G$6:$G$35,MATCH($E260,单位档案!$A$6:$A$35,0)),"")&lt;&gt;"是",N($Q260)=0),0,IF(IFERROR(INDEX(单位档案!$H$6:$H$35,MATCH($E260,单位档案!$A$6:$A$35,0)),"")="税差法",ROUND(N($H260)/(1+$Q260)*$Q260-IF(N($R260)=0,0,$P260/(1+$R260)*$R260),2),ROUND(N($H260)/(1+$Q260)*$Q260,2)))</f>
        <v>170.16</v>
      </c>
      <c r="T260" s="36" t="n">
        <f aca="false">ROUND($S260*N(IFERROR(INDEX(单位档案!$J$6:$J$35,MATCH($E260,单位档案!$A$6:$A$35,0)),"")),2)</f>
        <v>20.42</v>
      </c>
      <c r="U260" s="36" t="n">
        <f aca="false">IF($D260&lt;&gt;"销项开票",0,ROUND(N($H260)*N(IFERROR(INDEX(单位档案!$K$6:$K$35,MATCH($E260,单位档案!$A$6:$A$35,0)),"")),2))</f>
        <v>1.75</v>
      </c>
      <c r="V260" s="36" t="n">
        <f aca="false">IF(OR($D260&lt;&gt;"销项开票",N($Q260)=0),0,ROUND(N($H260)/(1+$Q260)*N(IFERROR(INDEX(单位档案!$L$6:$L$35,MATCH($E260,单位档案!$A$6:$A$35,0)),"")),2))</f>
        <v>0</v>
      </c>
      <c r="W260" s="36" t="n">
        <f aca="false">ROUND($S260+$T260+$U260+$V260,2)</f>
        <v>192.33</v>
      </c>
      <c r="X260" s="35" t="str">
        <f aca="false">IF(OR($D260="挂靠代收",$D260="我方收款"),COUNTIFS($D$5:$D260,"挂靠代收")+COUNTIFS($D$5:$D260,"我方收款"),"")</f>
        <v/>
      </c>
      <c r="Y260" s="35" t="s">
        <v>114</v>
      </c>
      <c r="Z260" s="21" t="s">
        <v>111</v>
      </c>
    </row>
    <row r="261" customFormat="false" ht="15.75" hidden="false" customHeight="true" outlineLevel="0" collapsed="false">
      <c r="A261" s="32" t="n">
        <f aca="false">IF($B261="","",ROW()-4)</f>
        <v>257</v>
      </c>
      <c r="B261" s="26" t="n">
        <v>46223</v>
      </c>
      <c r="C261" s="24" t="s">
        <v>224</v>
      </c>
      <c r="D261" s="21" t="s">
        <v>307</v>
      </c>
      <c r="E261" s="21" t="s">
        <v>114</v>
      </c>
      <c r="F261" s="21" t="s">
        <v>97</v>
      </c>
      <c r="G261" s="24" t="s">
        <v>316</v>
      </c>
      <c r="H261" s="27" t="n">
        <v>5861.71</v>
      </c>
      <c r="I261" s="23" t="n">
        <v>0.019999</v>
      </c>
      <c r="J261" s="25" t="s">
        <v>544</v>
      </c>
      <c r="K261" s="22" t="s">
        <v>313</v>
      </c>
      <c r="L261" s="33" t="str">
        <f aca="false">IF($B261="","",IF(NOT(ISNUMBER($B261)),"日期格式不对",IF($C261="","未选项目编号",IF(LEFT($M261,1)="⚠","项目编号不存在",IF($D261="","未选业务类型",IF($E261="","未选开票/付款方",IF(ISNA(MATCH($E261,单位档案!$A$6:$A$35,0)),"开票方不在单位档案",IF($F261="","未选收票/收款方",IF(ISNA(MATCH($F261,单位档案!$A$6:$A$35,0)),"收款方不在单位档案",IF(NOT(ISNUMBER($H261)),"金额须为数字",IF(AND($D261="销项开票",$N261="—"),"链条待确认","√")))))))))))</f>
        <v>√</v>
      </c>
      <c r="M261" s="34" t="str">
        <f aca="false">IF($C261="","",IFERROR(INDEX(项目档案!$B$6:$B$255,MATCH($C261,项目档案!$A$6:$A$255,0)),"⚠项目编号不存在"))</f>
        <v>铜梁公司2026年配电专业应急抢修抢险等外包项目（永嘉所高丰3社等台区4个应急抢修项目）</v>
      </c>
      <c r="N261" s="35" t="str">
        <f aca="false">IF($E261="","",IF($E261=IFERROR(INDEX(项目档案!$D$6:$D$255,MATCH($C261,项目档案!$A$6:$A$255,0)),""),"一级",IF($E261=IFERROR(INDEX(项目档案!$F$6:$F$255,MATCH($C261,项目档案!$A$6:$A$255,0)),""),"二级",IF($E261=IFERROR(INDEX(项目档案!$H$6:$H$255,MATCH($C261,项目档案!$A$6:$A$255,0)),""),"我方","—"))))</f>
        <v>一级</v>
      </c>
      <c r="O261" s="36" t="n">
        <f aca="false">IF($D261&lt;&gt;"销项开票",0,ROUND(N($H261)*N($I261),2))</f>
        <v>117.23</v>
      </c>
      <c r="P261" s="36" t="n">
        <f aca="false">IF($D261&lt;&gt;"销项开票",0,ROUND(N($H261)-$O261,2))</f>
        <v>5744.48</v>
      </c>
      <c r="Q261" s="37" t="n">
        <f aca="false">IF($E261="","",N(IFERROR(INDEX(单位档案!$E$6:$E$35,MATCH($E261,单位档案!$A$6:$A$35,0)),"")))</f>
        <v>0.03</v>
      </c>
      <c r="R261" s="37" t="n">
        <f aca="false">IF($E261="","",N(IFERROR(INDEX(单位档案!$F$6:$F$35,MATCH($E261,单位档案!$A$6:$A$35,0)),"")))</f>
        <v>0.01</v>
      </c>
      <c r="S261" s="36" t="n">
        <f aca="false">IF(OR($D261&lt;&gt;"销项开票",IFERROR(INDEX(单位档案!$G$6:$G$35,MATCH($E261,单位档案!$A$6:$A$35,0)),"")&lt;&gt;"是",N($Q261)=0),0,IF(IFERROR(INDEX(单位档案!$H$6:$H$35,MATCH($E261,单位档案!$A$6:$A$35,0)),"")="税差法",ROUND(N($H261)/(1+$Q261)*$Q261-IF(N($R261)=0,0,$P261/(1+$R261)*$R261),2),ROUND(N($H261)/(1+$Q261)*$Q261,2)))</f>
        <v>170.73</v>
      </c>
      <c r="T261" s="36" t="n">
        <f aca="false">ROUND($S261*N(IFERROR(INDEX(单位档案!$J$6:$J$35,MATCH($E261,单位档案!$A$6:$A$35,0)),"")),2)</f>
        <v>20.49</v>
      </c>
      <c r="U261" s="36" t="n">
        <f aca="false">IF($D261&lt;&gt;"销项开票",0,ROUND(N($H261)*N(IFERROR(INDEX(单位档案!$K$6:$K$35,MATCH($E261,单位档案!$A$6:$A$35,0)),"")),2))</f>
        <v>1.76</v>
      </c>
      <c r="V261" s="36" t="n">
        <f aca="false">IF(OR($D261&lt;&gt;"销项开票",N($Q261)=0),0,ROUND(N($H261)/(1+$Q261)*N(IFERROR(INDEX(单位档案!$L$6:$L$35,MATCH($E261,单位档案!$A$6:$A$35,0)),"")),2))</f>
        <v>0</v>
      </c>
      <c r="W261" s="36" t="n">
        <f aca="false">ROUND($S261+$T261+$U261+$V261,2)</f>
        <v>192.98</v>
      </c>
      <c r="X261" s="35" t="str">
        <f aca="false">IF(OR($D261="挂靠代收",$D261="我方收款"),COUNTIFS($D$5:$D261,"挂靠代收")+COUNTIFS($D$5:$D261,"我方收款"),"")</f>
        <v/>
      </c>
      <c r="Y261" s="35" t="s">
        <v>114</v>
      </c>
      <c r="Z261" s="21" t="s">
        <v>111</v>
      </c>
    </row>
    <row r="262" customFormat="false" ht="15.75" hidden="false" customHeight="true" outlineLevel="0" collapsed="false">
      <c r="A262" s="32" t="n">
        <f aca="false">IF($B262="","",ROW()-4)</f>
        <v>258</v>
      </c>
      <c r="B262" s="26" t="n">
        <v>46223</v>
      </c>
      <c r="C262" s="24" t="s">
        <v>226</v>
      </c>
      <c r="D262" s="21" t="s">
        <v>307</v>
      </c>
      <c r="E262" s="21" t="s">
        <v>114</v>
      </c>
      <c r="F262" s="21" t="s">
        <v>97</v>
      </c>
      <c r="G262" s="24" t="s">
        <v>316</v>
      </c>
      <c r="H262" s="27" t="n">
        <v>6168.71</v>
      </c>
      <c r="I262" s="23" t="n">
        <v>0.019999</v>
      </c>
      <c r="J262" s="25" t="s">
        <v>545</v>
      </c>
      <c r="K262" s="22" t="s">
        <v>313</v>
      </c>
      <c r="L262" s="33" t="str">
        <f aca="false">IF($B262="","",IF(NOT(ISNUMBER($B262)),"日期格式不对",IF($C262="","未选项目编号",IF(LEFT($M262,1)="⚠","项目编号不存在",IF($D262="","未选业务类型",IF($E262="","未选开票/付款方",IF(ISNA(MATCH($E262,单位档案!$A$6:$A$35,0)),"开票方不在单位档案",IF($F262="","未选收票/收款方",IF(ISNA(MATCH($F262,单位档案!$A$6:$A$35,0)),"收款方不在单位档案",IF(NOT(ISNUMBER($H262)),"金额须为数字",IF(AND($D262="销项开票",$N262="—"),"链条待确认","√")))))))))))</f>
        <v>√</v>
      </c>
      <c r="M262" s="34" t="str">
        <f aca="false">IF($C262="","",IFERROR(INDEX(项目档案!$B$6:$B$255,MATCH($C262,项目档案!$A$6:$A$255,0)),"⚠项目编号不存在"))</f>
        <v>铜梁公司2026年35kV输电专业应急抢修检修外包项目（输电运检中心2026年35kV线路接地隐患消除等3个项目）</v>
      </c>
      <c r="N262" s="35" t="str">
        <f aca="false">IF($E262="","",IF($E262=IFERROR(INDEX(项目档案!$D$6:$D$255,MATCH($C262,项目档案!$A$6:$A$255,0)),""),"一级",IF($E262=IFERROR(INDEX(项目档案!$F$6:$F$255,MATCH($C262,项目档案!$A$6:$A$255,0)),""),"二级",IF($E262=IFERROR(INDEX(项目档案!$H$6:$H$255,MATCH($C262,项目档案!$A$6:$A$255,0)),""),"我方","—"))))</f>
        <v>一级</v>
      </c>
      <c r="O262" s="36" t="n">
        <f aca="false">IF($D262&lt;&gt;"销项开票",0,ROUND(N($H262)*N($I262),2))</f>
        <v>123.37</v>
      </c>
      <c r="P262" s="36" t="n">
        <f aca="false">IF($D262&lt;&gt;"销项开票",0,ROUND(N($H262)-$O262,2))</f>
        <v>6045.34</v>
      </c>
      <c r="Q262" s="37" t="n">
        <f aca="false">IF($E262="","",N(IFERROR(INDEX(单位档案!$E$6:$E$35,MATCH($E262,单位档案!$A$6:$A$35,0)),"")))</f>
        <v>0.03</v>
      </c>
      <c r="R262" s="37" t="n">
        <f aca="false">IF($E262="","",N(IFERROR(INDEX(单位档案!$F$6:$F$35,MATCH($E262,单位档案!$A$6:$A$35,0)),"")))</f>
        <v>0.01</v>
      </c>
      <c r="S262" s="36" t="n">
        <f aca="false">IF(OR($D262&lt;&gt;"销项开票",IFERROR(INDEX(单位档案!$G$6:$G$35,MATCH($E262,单位档案!$A$6:$A$35,0)),"")&lt;&gt;"是",N($Q262)=0),0,IF(IFERROR(INDEX(单位档案!$H$6:$H$35,MATCH($E262,单位档案!$A$6:$A$35,0)),"")="税差法",ROUND(N($H262)/(1+$Q262)*$Q262-IF(N($R262)=0,0,$P262/(1+$R262)*$R262),2),ROUND(N($H262)/(1+$Q262)*$Q262,2)))</f>
        <v>179.67</v>
      </c>
      <c r="T262" s="36" t="n">
        <f aca="false">ROUND($S262*N(IFERROR(INDEX(单位档案!$J$6:$J$35,MATCH($E262,单位档案!$A$6:$A$35,0)),"")),2)</f>
        <v>21.56</v>
      </c>
      <c r="U262" s="36" t="n">
        <f aca="false">IF($D262&lt;&gt;"销项开票",0,ROUND(N($H262)*N(IFERROR(INDEX(单位档案!$K$6:$K$35,MATCH($E262,单位档案!$A$6:$A$35,0)),"")),2))</f>
        <v>1.85</v>
      </c>
      <c r="V262" s="36" t="n">
        <f aca="false">IF(OR($D262&lt;&gt;"销项开票",N($Q262)=0),0,ROUND(N($H262)/(1+$Q262)*N(IFERROR(INDEX(单位档案!$L$6:$L$35,MATCH($E262,单位档案!$A$6:$A$35,0)),"")),2))</f>
        <v>0</v>
      </c>
      <c r="W262" s="36" t="n">
        <f aca="false">ROUND($S262+$T262+$U262+$V262,2)</f>
        <v>203.08</v>
      </c>
      <c r="X262" s="35" t="str">
        <f aca="false">IF(OR($D262="挂靠代收",$D262="我方收款"),COUNTIFS($D$5:$D262,"挂靠代收")+COUNTIFS($D$5:$D262,"我方收款"),"")</f>
        <v/>
      </c>
      <c r="Y262" s="35" t="s">
        <v>114</v>
      </c>
      <c r="Z262" s="21" t="s">
        <v>111</v>
      </c>
    </row>
    <row r="263" customFormat="false" ht="15.75" hidden="false" customHeight="true" outlineLevel="0" collapsed="false">
      <c r="A263" s="32" t="n">
        <f aca="false">IF($B263="","",ROW()-4)</f>
        <v>259</v>
      </c>
      <c r="B263" s="26" t="n">
        <v>46223</v>
      </c>
      <c r="C263" s="24" t="s">
        <v>153</v>
      </c>
      <c r="D263" s="21" t="s">
        <v>320</v>
      </c>
      <c r="E263" s="21" t="s">
        <v>114</v>
      </c>
      <c r="F263" s="21" t="s">
        <v>127</v>
      </c>
      <c r="G263" s="21"/>
      <c r="H263" s="27" t="n">
        <v>10129.24</v>
      </c>
      <c r="I263" s="23" t="str">
        <f aca="false">IF($D263&lt;&gt;"销项开票","",IF($N263="一级",IF(IFERROR(INDEX(项目档案!$E$6:$E$255,MATCH($C263,项目档案!$A$6:$A$255,0)),"")="",N(IFERROR(INDEX(单位档案!$D$6:$D$35,MATCH($E263,单位档案!$A$6:$A$35,0)),"")),IFERROR(INDEX(项目档案!$E$6:$E$255,MATCH($C263,项目档案!$A$6:$A$255,0)),"")),IF($N263="二级",IF(IFERROR(INDEX(项目档案!$G$6:$G$255,MATCH($C263,项目档案!$A$6:$A$255,0)),"")="",N(IFERROR(INDEX(单位档案!$D$6:$D$35,MATCH($E263,单位档案!$A$6:$A$35,0)),"")),IFERROR(INDEX(项目档案!$G$6:$G$255,MATCH($C263,项目档案!$A$6:$A$255,0)),"")),N(IFERROR(INDEX(单位档案!$D$6:$D$35,MATCH($E263,单位档案!$A$6:$A$35,0)),"")))))</f>
        <v/>
      </c>
      <c r="J263" s="25" t="s">
        <v>546</v>
      </c>
      <c r="K263" s="22" t="s">
        <v>313</v>
      </c>
      <c r="L263" s="33" t="str">
        <f aca="false">IF($B263="","",IF(NOT(ISNUMBER($B263)),"日期格式不对",IF($C263="","未选项目编号",IF(LEFT($M263,1)="⚠","项目编号不存在",IF($D263="","未选业务类型",IF($E263="","未选开票/付款方",IF(ISNA(MATCH($E263,单位档案!$A$6:$A$35,0)),"开票方不在单位档案",IF($F263="","未选收票/收款方",IF(ISNA(MATCH($F263,单位档案!$A$6:$A$35,0)),"收款方不在单位档案",IF(NOT(ISNUMBER($H263)),"金额须为数字",IF(AND($D263="销项开票",$N263="—"),"链条待确认","√")))))))))))</f>
        <v>√</v>
      </c>
      <c r="M263" s="34" t="str">
        <f aca="false">IF($C263="","",IFERROR(INDEX(项目档案!$B$6:$B$255,MATCH($C263,项目档案!$A$6:$A$255,0)),"⚠项目编号不存在"))</f>
        <v>重庆铜梁10kV平双线新建联络工程</v>
      </c>
      <c r="N263" s="35" t="str">
        <f aca="false">IF($E263="","",IF($E263=IFERROR(INDEX(项目档案!$D$6:$D$255,MATCH($C263,项目档案!$A$6:$A$255,0)),""),"一级",IF($E263=IFERROR(INDEX(项目档案!$F$6:$F$255,MATCH($C263,项目档案!$A$6:$A$255,0)),""),"二级",IF($E263=IFERROR(INDEX(项目档案!$H$6:$H$255,MATCH($C263,项目档案!$A$6:$A$255,0)),""),"我方","—"))))</f>
        <v>一级</v>
      </c>
      <c r="O263" s="36" t="n">
        <f aca="false">IF($D263&lt;&gt;"销项开票",0,ROUND(N($H263)*N($I263),2))</f>
        <v>0</v>
      </c>
      <c r="P263" s="36" t="n">
        <f aca="false">IF($D263&lt;&gt;"销项开票",0,ROUND(N($H263)-$O263,2))</f>
        <v>0</v>
      </c>
      <c r="Q263" s="37" t="n">
        <f aca="false">IF($E263="","",N(IFERROR(INDEX(单位档案!$E$6:$E$35,MATCH($E263,单位档案!$A$6:$A$35,0)),"")))</f>
        <v>0.03</v>
      </c>
      <c r="R263" s="37" t="n">
        <f aca="false">IF($E263="","",N(IFERROR(INDEX(单位档案!$F$6:$F$35,MATCH($E263,单位档案!$A$6:$A$35,0)),"")))</f>
        <v>0.01</v>
      </c>
      <c r="S263" s="36" t="n">
        <f aca="false">IF(OR($D263&lt;&gt;"销项开票",IFERROR(INDEX(单位档案!$G$6:$G$35,MATCH($E263,单位档案!$A$6:$A$35,0)),"")&lt;&gt;"是",N($Q263)=0),0,IF(IFERROR(INDEX(单位档案!$H$6:$H$35,MATCH($E263,单位档案!$A$6:$A$35,0)),"")="税差法",ROUND(N($H263)/(1+$Q263)*$Q263-IF(N($R263)=0,0,$P263/(1+$R263)*$R263),2),ROUND(N($H263)/(1+$Q263)*$Q263,2)))</f>
        <v>0</v>
      </c>
      <c r="T263" s="36" t="n">
        <f aca="false">ROUND($S263*N(IFERROR(INDEX(单位档案!$J$6:$J$35,MATCH($E263,单位档案!$A$6:$A$35,0)),"")),2)</f>
        <v>0</v>
      </c>
      <c r="U263" s="36" t="n">
        <f aca="false">IF($D263&lt;&gt;"销项开票",0,ROUND(N($H263)*N(IFERROR(INDEX(单位档案!$K$6:$K$35,MATCH($E263,单位档案!$A$6:$A$35,0)),"")),2))</f>
        <v>0</v>
      </c>
      <c r="V263" s="36" t="n">
        <f aca="false">IF(OR($D263&lt;&gt;"销项开票",N($Q263)=0),0,ROUND(N($H263)/(1+$Q263)*N(IFERROR(INDEX(单位档案!$L$6:$L$35,MATCH($E263,单位档案!$A$6:$A$35,0)),"")),2))</f>
        <v>0</v>
      </c>
      <c r="W263" s="36" t="n">
        <f aca="false">ROUND($S263+$T263+$U263+$V263,2)</f>
        <v>0</v>
      </c>
      <c r="X263" s="35" t="n">
        <f aca="false">IF(OR($D263="挂靠代收",$D263="我方收款"),COUNTIFS($D$5:$D263,"挂靠代收")+COUNTIFS($D$5:$D263,"我方收款"),"")</f>
        <v>44</v>
      </c>
      <c r="Y263" s="35" t="s">
        <v>114</v>
      </c>
      <c r="Z263" s="21" t="s">
        <v>111</v>
      </c>
    </row>
    <row r="264" customFormat="false" ht="15.75" hidden="false" customHeight="true" outlineLevel="0" collapsed="false">
      <c r="A264" s="32" t="n">
        <f aca="false">IF($B264="","",ROW()-4)</f>
        <v>260</v>
      </c>
      <c r="B264" s="26" t="n">
        <v>46223</v>
      </c>
      <c r="C264" s="24" t="s">
        <v>153</v>
      </c>
      <c r="D264" s="21" t="s">
        <v>357</v>
      </c>
      <c r="E264" s="21" t="s">
        <v>127</v>
      </c>
      <c r="F264" s="21" t="s">
        <v>114</v>
      </c>
      <c r="G264" s="24" t="s">
        <v>379</v>
      </c>
      <c r="H264" s="27" t="n">
        <v>116526.4</v>
      </c>
      <c r="I264" s="23" t="str">
        <f aca="false">IF($D264&lt;&gt;"销项开票","",IF($N264="一级",IF(IFERROR(INDEX(项目档案!$E$6:$E$255,MATCH($C264,项目档案!$A$6:$A$255,0)),"")="",N(IFERROR(INDEX(单位档案!$D$6:$D$35,MATCH($E264,单位档案!$A$6:$A$35,0)),"")),IFERROR(INDEX(项目档案!$E$6:$E$255,MATCH($C264,项目档案!$A$6:$A$255,0)),"")),IF($N264="二级",IF(IFERROR(INDEX(项目档案!$G$6:$G$255,MATCH($C264,项目档案!$A$6:$A$255,0)),"")="",N(IFERROR(INDEX(单位档案!$D$6:$D$35,MATCH($E264,单位档案!$A$6:$A$35,0)),"")),IFERROR(INDEX(项目档案!$G$6:$G$255,MATCH($C264,项目档案!$A$6:$A$255,0)),"")),N(IFERROR(INDEX(单位档案!$D$6:$D$35,MATCH($E264,单位档案!$A$6:$A$35,0)),"")))))</f>
        <v/>
      </c>
      <c r="J264" s="25" t="s">
        <v>547</v>
      </c>
      <c r="K264" s="22" t="s">
        <v>313</v>
      </c>
      <c r="L264" s="33" t="str">
        <f aca="false">IF($B264="","",IF(NOT(ISNUMBER($B264)),"日期格式不对",IF($C264="","未选项目编号",IF(LEFT($M264,1)="⚠","项目编号不存在",IF($D264="","未选业务类型",IF($E264="","未选开票/付款方",IF(ISNA(MATCH($E264,单位档案!$A$6:$A$35,0)),"开票方不在单位档案",IF($F264="","未选收票/收款方",IF(ISNA(MATCH($F264,单位档案!$A$6:$A$35,0)),"收款方不在单位档案",IF(NOT(ISNUMBER($H264)),"金额须为数字",IF(AND($D264="销项开票",$N264="—"),"链条待确认","√")))))))))))</f>
        <v>√</v>
      </c>
      <c r="M264" s="34" t="str">
        <f aca="false">IF($C264="","",IFERROR(INDEX(项目档案!$B$6:$B$255,MATCH($C264,项目档案!$A$6:$A$255,0)),"⚠项目编号不存在"))</f>
        <v>重庆铜梁10kV平双线新建联络工程</v>
      </c>
      <c r="N264" s="35" t="str">
        <f aca="false">IF($E264="","",IF($E264=IFERROR(INDEX(项目档案!$D$6:$D$255,MATCH($C264,项目档案!$A$6:$A$255,0)),""),"一级",IF($E264=IFERROR(INDEX(项目档案!$F$6:$F$255,MATCH($C264,项目档案!$A$6:$A$255,0)),""),"二级",IF($E264=IFERROR(INDEX(项目档案!$H$6:$H$255,MATCH($C264,项目档案!$A$6:$A$255,0)),""),"我方","—"))))</f>
        <v>我方</v>
      </c>
      <c r="O264" s="36" t="n">
        <f aca="false">IF($D264&lt;&gt;"销项开票",0,ROUND(N($H264)*N($I264),2))</f>
        <v>0</v>
      </c>
      <c r="P264" s="36" t="n">
        <f aca="false">IF($D264&lt;&gt;"销项开票",0,ROUND(N($H264)-$O264,2))</f>
        <v>0</v>
      </c>
      <c r="Q264" s="37" t="n">
        <f aca="false">IF($E264="","",N(IFERROR(INDEX(单位档案!$E$6:$E$35,MATCH($E264,单位档案!$A$6:$A$35,0)),"")))</f>
        <v>0.03</v>
      </c>
      <c r="R264" s="37" t="n">
        <f aca="false">IF($E264="","",N(IFERROR(INDEX(单位档案!$F$6:$F$35,MATCH($E264,单位档案!$A$6:$A$35,0)),"")))</f>
        <v>0</v>
      </c>
      <c r="S264" s="36" t="n">
        <f aca="false">IF(OR($D264&lt;&gt;"销项开票",IFERROR(INDEX(单位档案!$G$6:$G$35,MATCH($E264,单位档案!$A$6:$A$35,0)),"")&lt;&gt;"是",N($Q264)=0),0,IF(IFERROR(INDEX(单位档案!$H$6:$H$35,MATCH($E264,单位档案!$A$6:$A$35,0)),"")="税差法",ROUND(N($H264)/(1+$Q264)*$Q264-IF(N($R264)=0,0,$P264/(1+$R264)*$R264),2),ROUND(N($H264)/(1+$Q264)*$Q264,2)))</f>
        <v>0</v>
      </c>
      <c r="T264" s="36" t="n">
        <f aca="false">ROUND($S264*N(IFERROR(INDEX(单位档案!$J$6:$J$35,MATCH($E264,单位档案!$A$6:$A$35,0)),"")),2)</f>
        <v>0</v>
      </c>
      <c r="U264" s="36" t="n">
        <f aca="false">IF($D264&lt;&gt;"销项开票",0,ROUND(N($H264)*N(IFERROR(INDEX(单位档案!$K$6:$K$35,MATCH($E264,单位档案!$A$6:$A$35,0)),"")),2))</f>
        <v>0</v>
      </c>
      <c r="V264" s="36" t="n">
        <f aca="false">IF(OR($D264&lt;&gt;"销项开票",N($Q264)=0),0,ROUND(N($H264)/(1+$Q264)*N(IFERROR(INDEX(单位档案!$L$6:$L$35,MATCH($E264,单位档案!$A$6:$A$35,0)),"")),2))</f>
        <v>0</v>
      </c>
      <c r="W264" s="36" t="n">
        <f aca="false">ROUND($S264+$T264+$U264+$V264,2)</f>
        <v>0</v>
      </c>
      <c r="X264" s="35" t="str">
        <f aca="false">IF(OR($D264="挂靠代收",$D264="我方收款"),COUNTIFS($D$5:$D264,"挂靠代收")+COUNTIFS($D$5:$D264,"我方收款"),"")</f>
        <v/>
      </c>
      <c r="Y264" s="35" t="s">
        <v>114</v>
      </c>
      <c r="Z264" s="21" t="s">
        <v>111</v>
      </c>
    </row>
    <row r="265" customFormat="false" ht="15.75" hidden="false" customHeight="true" outlineLevel="0" collapsed="false">
      <c r="A265" s="32" t="n">
        <f aca="false">IF($B265="","",ROW()-4)</f>
        <v>261</v>
      </c>
      <c r="B265" s="26" t="n">
        <v>46223</v>
      </c>
      <c r="C265" s="24" t="s">
        <v>150</v>
      </c>
      <c r="D265" s="21" t="s">
        <v>307</v>
      </c>
      <c r="E265" s="21" t="s">
        <v>117</v>
      </c>
      <c r="F265" s="21" t="s">
        <v>97</v>
      </c>
      <c r="G265" s="24" t="s">
        <v>316</v>
      </c>
      <c r="H265" s="27" t="n">
        <v>10029.37</v>
      </c>
      <c r="I265" s="23" t="n">
        <f aca="false">IF($D265&lt;&gt;"销项开票","",IF($N265="一级",IF(IFERROR(INDEX(项目档案!$E$6:$E$255,MATCH($C265,项目档案!$A$6:$A$255,0)),"")="",N(IFERROR(INDEX(单位档案!$D$6:$D$35,MATCH($E265,单位档案!$A$6:$A$35,0)),"")),IFERROR(INDEX(项目档案!$E$6:$E$255,MATCH($C265,项目档案!$A$6:$A$255,0)),"")),IF($N265="二级",IF(IFERROR(INDEX(项目档案!$G$6:$G$255,MATCH($C265,项目档案!$A$6:$A$255,0)),"")="",N(IFERROR(INDEX(单位档案!$D$6:$D$35,MATCH($E265,单位档案!$A$6:$A$35,0)),"")),IFERROR(INDEX(项目档案!$G$6:$G$255,MATCH($C265,项目档案!$A$6:$A$255,0)),"")),N(IFERROR(INDEX(单位档案!$D$6:$D$35,MATCH($E265,单位档案!$A$6:$A$35,0)),"")))))</f>
        <v>0.02</v>
      </c>
      <c r="J265" s="25" t="s">
        <v>548</v>
      </c>
      <c r="K265" s="22" t="s">
        <v>313</v>
      </c>
      <c r="L265" s="33" t="str">
        <f aca="false">IF($B265="","",IF(NOT(ISNUMBER($B265)),"日期格式不对",IF($C265="","未选项目编号",IF(LEFT($M265,1)="⚠","项目编号不存在",IF($D265="","未选业务类型",IF($E265="","未选开票/付款方",IF(ISNA(MATCH($E265,单位档案!$A$6:$A$35,0)),"开票方不在单位档案",IF($F265="","未选收票/收款方",IF(ISNA(MATCH($F265,单位档案!$A$6:$A$35,0)),"收款方不在单位档案",IF(NOT(ISNUMBER($H265)),"金额须为数字",IF(AND($D265="销项开票",$N265="—"),"链条待确认","√")))))))))))</f>
        <v>√</v>
      </c>
      <c r="M265" s="34" t="str">
        <f aca="false">IF($C265="","",IFERROR(INDEX(项目档案!$B$6:$B$255,MATCH($C265,项目档案!$A$6:$A$255,0)),"⚠项目编号不存在"))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265" s="35" t="str">
        <f aca="false">IF($E265="","",IF($E265=IFERROR(INDEX(项目档案!$D$6:$D$255,MATCH($C265,项目档案!$A$6:$A$255,0)),""),"一级",IF($E265=IFERROR(INDEX(项目档案!$F$6:$F$255,MATCH($C265,项目档案!$A$6:$A$255,0)),""),"二级",IF($E265=IFERROR(INDEX(项目档案!$H$6:$H$255,MATCH($C265,项目档案!$A$6:$A$255,0)),""),"我方","—"))))</f>
        <v>二级</v>
      </c>
      <c r="O265" s="36" t="n">
        <f aca="false">IF($D265&lt;&gt;"销项开票",0,ROUND(N($H265)*N($I265),2))</f>
        <v>200.59</v>
      </c>
      <c r="P265" s="36" t="n">
        <f aca="false">IF($D265&lt;&gt;"销项开票",0,ROUND(N($H265)-$O265,2))</f>
        <v>9828.78</v>
      </c>
      <c r="Q265" s="37" t="n">
        <f aca="false">IF($E265="","",N(IFERROR(INDEX(单位档案!$E$6:$E$35,MATCH($E265,单位档案!$A$6:$A$35,0)),"")))</f>
        <v>0.03</v>
      </c>
      <c r="R265" s="37" t="n">
        <f aca="false">IF($E265="","",N(IFERROR(INDEX(单位档案!$F$6:$F$35,MATCH($E265,单位档案!$A$6:$A$35,0)),"")))</f>
        <v>0.03</v>
      </c>
      <c r="S265" s="36" t="n">
        <f aca="false">IF(OR($D265&lt;&gt;"销项开票",IFERROR(INDEX(单位档案!$G$6:$G$35,MATCH($E265,单位档案!$A$6:$A$35,0)),"")&lt;&gt;"是",N($Q265)=0),0,IF(IFERROR(INDEX(单位档案!$H$6:$H$35,MATCH($E265,单位档案!$A$6:$A$35,0)),"")="税差法",ROUND(N($H265)/(1+$Q265)*$Q265-IF(N($R265)=0,0,$P265/(1+$R265)*$R265),2),ROUND(N($H265)/(1+$Q265)*$Q265,2)))</f>
        <v>292.12</v>
      </c>
      <c r="T265" s="36" t="n">
        <f aca="false">ROUND($S265*N(IFERROR(INDEX(单位档案!$J$6:$J$35,MATCH($E265,单位档案!$A$6:$A$35,0)),"")),2)</f>
        <v>17.53</v>
      </c>
      <c r="U265" s="36" t="n">
        <f aca="false">IF($D265&lt;&gt;"销项开票",0,ROUND(N($H265)*N(IFERROR(INDEX(单位档案!$K$6:$K$35,MATCH($E265,单位档案!$A$6:$A$35,0)),"")),2))</f>
        <v>0</v>
      </c>
      <c r="V265" s="36" t="n">
        <f aca="false">IF(OR($D265&lt;&gt;"销项开票",N($Q265)=0),0,ROUND(N($H265)/(1+$Q265)*N(IFERROR(INDEX(单位档案!$L$6:$L$35,MATCH($E265,单位档案!$A$6:$A$35,0)),"")),2))</f>
        <v>19.47</v>
      </c>
      <c r="W265" s="36" t="n">
        <f aca="false">ROUND($S265+$T265+$U265+$V265,2)</f>
        <v>329.12</v>
      </c>
      <c r="X265" s="35" t="str">
        <f aca="false">IF(OR($D265="挂靠代收",$D265="我方收款"),COUNTIFS($D$5:$D265,"挂靠代收")+COUNTIFS($D$5:$D265,"我方收款"),"")</f>
        <v/>
      </c>
      <c r="Y265" s="35" t="s">
        <v>117</v>
      </c>
      <c r="Z265" s="21" t="s">
        <v>111</v>
      </c>
    </row>
    <row r="266" customFormat="false" ht="15.75" hidden="false" customHeight="true" outlineLevel="0" collapsed="false">
      <c r="A266" s="32" t="n">
        <f aca="false">IF($B266="","",ROW()-4)</f>
        <v>262</v>
      </c>
      <c r="B266" s="26" t="n">
        <v>46223</v>
      </c>
      <c r="C266" s="24" t="s">
        <v>150</v>
      </c>
      <c r="D266" s="21" t="s">
        <v>307</v>
      </c>
      <c r="E266" s="21" t="s">
        <v>117</v>
      </c>
      <c r="F266" s="21" t="s">
        <v>119</v>
      </c>
      <c r="G266" s="24" t="s">
        <v>316</v>
      </c>
      <c r="H266" s="27" t="n">
        <v>26323.55</v>
      </c>
      <c r="I266" s="23" t="n">
        <f aca="false">IF($D266&lt;&gt;"销项开票","",IF($N266="一级",IF(IFERROR(INDEX(项目档案!$E$6:$E$255,MATCH($C266,项目档案!$A$6:$A$255,0)),"")="",N(IFERROR(INDEX(单位档案!$D$6:$D$35,MATCH($E266,单位档案!$A$6:$A$35,0)),"")),IFERROR(INDEX(项目档案!$E$6:$E$255,MATCH($C266,项目档案!$A$6:$A$255,0)),"")),IF($N266="二级",IF(IFERROR(INDEX(项目档案!$G$6:$G$255,MATCH($C266,项目档案!$A$6:$A$255,0)),"")="",N(IFERROR(INDEX(单位档案!$D$6:$D$35,MATCH($E266,单位档案!$A$6:$A$35,0)),"")),IFERROR(INDEX(项目档案!$G$6:$G$255,MATCH($C266,项目档案!$A$6:$A$255,0)),"")),N(IFERROR(INDEX(单位档案!$D$6:$D$35,MATCH($E266,单位档案!$A$6:$A$35,0)),"")))))</f>
        <v>0.02</v>
      </c>
      <c r="J266" s="25" t="s">
        <v>549</v>
      </c>
      <c r="K266" s="22" t="s">
        <v>313</v>
      </c>
      <c r="L266" s="33" t="str">
        <f aca="false">IF($B266="","",IF(NOT(ISNUMBER($B266)),"日期格式不对",IF($C266="","未选项目编号",IF(LEFT($M266,1)="⚠","项目编号不存在",IF($D266="","未选业务类型",IF($E266="","未选开票/付款方",IF(ISNA(MATCH($E266,单位档案!$A$6:$A$35,0)),"开票方不在单位档案",IF($F266="","未选收票/收款方",IF(ISNA(MATCH($F266,单位档案!$A$6:$A$35,0)),"收款方不在单位档案",IF(NOT(ISNUMBER($H266)),"金额须为数字",IF(AND($D266="销项开票",$N266="—"),"链条待确认","√")))))))))))</f>
        <v>√</v>
      </c>
      <c r="M266" s="34" t="str">
        <f aca="false">IF($C266="","",IFERROR(INDEX(项目档案!$B$6:$B$255,MATCH($C266,项目档案!$A$6:$A$255,0)),"⚠项目编号不存在"))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266" s="35" t="str">
        <f aca="false">IF($E266="","",IF($E266=IFERROR(INDEX(项目档案!$D$6:$D$255,MATCH($C266,项目档案!$A$6:$A$255,0)),""),"一级",IF($E266=IFERROR(INDEX(项目档案!$F$6:$F$255,MATCH($C266,项目档案!$A$6:$A$255,0)),""),"二级",IF($E266=IFERROR(INDEX(项目档案!$H$6:$H$255,MATCH($C266,项目档案!$A$6:$A$255,0)),""),"我方","—"))))</f>
        <v>二级</v>
      </c>
      <c r="O266" s="36" t="n">
        <f aca="false">IF($D266&lt;&gt;"销项开票",0,ROUND(N($H266)*N($I266),2))</f>
        <v>526.47</v>
      </c>
      <c r="P266" s="36" t="n">
        <f aca="false">IF($D266&lt;&gt;"销项开票",0,ROUND(N($H266)-$O266,2))</f>
        <v>25797.08</v>
      </c>
      <c r="Q266" s="37" t="n">
        <f aca="false">IF($E266="","",N(IFERROR(INDEX(单位档案!$E$6:$E$35,MATCH($E266,单位档案!$A$6:$A$35,0)),"")))</f>
        <v>0.03</v>
      </c>
      <c r="R266" s="37" t="n">
        <f aca="false">IF($E266="","",N(IFERROR(INDEX(单位档案!$F$6:$F$35,MATCH($E266,单位档案!$A$6:$A$35,0)),"")))</f>
        <v>0.03</v>
      </c>
      <c r="S266" s="36" t="n">
        <f aca="false">IF(OR($D266&lt;&gt;"销项开票",IFERROR(INDEX(单位档案!$G$6:$G$35,MATCH($E266,单位档案!$A$6:$A$35,0)),"")&lt;&gt;"是",N($Q266)=0),0,IF(IFERROR(INDEX(单位档案!$H$6:$H$35,MATCH($E266,单位档案!$A$6:$A$35,0)),"")="税差法",ROUND(N($H266)/(1+$Q266)*$Q266-IF(N($R266)=0,0,$P266/(1+$R266)*$R266),2),ROUND(N($H266)/(1+$Q266)*$Q266,2)))</f>
        <v>766.71</v>
      </c>
      <c r="T266" s="36" t="n">
        <f aca="false">ROUND($S266*N(IFERROR(INDEX(单位档案!$J$6:$J$35,MATCH($E266,单位档案!$A$6:$A$35,0)),"")),2)</f>
        <v>46</v>
      </c>
      <c r="U266" s="36" t="n">
        <f aca="false">IF($D266&lt;&gt;"销项开票",0,ROUND(N($H266)*N(IFERROR(INDEX(单位档案!$K$6:$K$35,MATCH($E266,单位档案!$A$6:$A$35,0)),"")),2))</f>
        <v>0</v>
      </c>
      <c r="V266" s="36" t="n">
        <f aca="false">IF(OR($D266&lt;&gt;"销项开票",N($Q266)=0),0,ROUND(N($H266)/(1+$Q266)*N(IFERROR(INDEX(单位档案!$L$6:$L$35,MATCH($E266,单位档案!$A$6:$A$35,0)),"")),2))</f>
        <v>51.11</v>
      </c>
      <c r="W266" s="36" t="n">
        <f aca="false">ROUND($S266+$T266+$U266+$V266,2)</f>
        <v>863.82</v>
      </c>
      <c r="X266" s="35" t="str">
        <f aca="false">IF(OR($D266="挂靠代收",$D266="我方收款"),COUNTIFS($D$5:$D266,"挂靠代收")+COUNTIFS($D$5:$D266,"我方收款"),"")</f>
        <v/>
      </c>
      <c r="Y266" s="35" t="s">
        <v>117</v>
      </c>
      <c r="Z266" s="21" t="s">
        <v>111</v>
      </c>
    </row>
    <row r="267" customFormat="false" ht="15.75" hidden="false" customHeight="true" outlineLevel="0" collapsed="false">
      <c r="A267" s="32" t="n">
        <f aca="false">IF($B267="","",ROW()-4)</f>
        <v>263</v>
      </c>
      <c r="B267" s="26" t="n">
        <v>46223</v>
      </c>
      <c r="C267" s="24" t="s">
        <v>150</v>
      </c>
      <c r="D267" s="21" t="s">
        <v>307</v>
      </c>
      <c r="E267" s="21" t="s">
        <v>117</v>
      </c>
      <c r="F267" s="21" t="s">
        <v>119</v>
      </c>
      <c r="G267" s="24" t="s">
        <v>316</v>
      </c>
      <c r="H267" s="27" t="n">
        <v>26323.55</v>
      </c>
      <c r="I267" s="23" t="n">
        <f aca="false">IF($D267&lt;&gt;"销项开票","",IF($N267="一级",IF(IFERROR(INDEX(项目档案!$E$6:$E$255,MATCH($C267,项目档案!$A$6:$A$255,0)),"")="",N(IFERROR(INDEX(单位档案!$D$6:$D$35,MATCH($E267,单位档案!$A$6:$A$35,0)),"")),IFERROR(INDEX(项目档案!$E$6:$E$255,MATCH($C267,项目档案!$A$6:$A$255,0)),"")),IF($N267="二级",IF(IFERROR(INDEX(项目档案!$G$6:$G$255,MATCH($C267,项目档案!$A$6:$A$255,0)),"")="",N(IFERROR(INDEX(单位档案!$D$6:$D$35,MATCH($E267,单位档案!$A$6:$A$35,0)),"")),IFERROR(INDEX(项目档案!$G$6:$G$255,MATCH($C267,项目档案!$A$6:$A$255,0)),"")),N(IFERROR(INDEX(单位档案!$D$6:$D$35,MATCH($E267,单位档案!$A$6:$A$35,0)),"")))))</f>
        <v>0.02</v>
      </c>
      <c r="J267" s="25" t="s">
        <v>550</v>
      </c>
      <c r="K267" s="22" t="s">
        <v>551</v>
      </c>
      <c r="L267" s="33" t="str">
        <f aca="false">IF($B267="","",IF(NOT(ISNUMBER($B267)),"日期格式不对",IF($C267="","未选项目编号",IF(LEFT($M267,1)="⚠","项目编号不存在",IF($D267="","未选业务类型",IF($E267="","未选开票/付款方",IF(ISNA(MATCH($E267,单位档案!$A$6:$A$35,0)),"开票方不在单位档案",IF($F267="","未选收票/收款方",IF(ISNA(MATCH($F267,单位档案!$A$6:$A$35,0)),"收款方不在单位档案",IF(NOT(ISNUMBER($H267)),"金额须为数字",IF(AND($D267="销项开票",$N267="—"),"链条待确认","√")))))))))))</f>
        <v>√</v>
      </c>
      <c r="M267" s="34" t="str">
        <f aca="false">IF($C267="","",IFERROR(INDEX(项目档案!$B$6:$B$255,MATCH($C267,项目档案!$A$6:$A$255,0)),"⚠项目编号不存在"))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267" s="35" t="str">
        <f aca="false">IF($E267="","",IF($E267=IFERROR(INDEX(项目档案!$D$6:$D$255,MATCH($C267,项目档案!$A$6:$A$255,0)),""),"一级",IF($E267=IFERROR(INDEX(项目档案!$F$6:$F$255,MATCH($C267,项目档案!$A$6:$A$255,0)),""),"二级",IF($E267=IFERROR(INDEX(项目档案!$H$6:$H$255,MATCH($C267,项目档案!$A$6:$A$255,0)),""),"我方","—"))))</f>
        <v>二级</v>
      </c>
      <c r="O267" s="36" t="n">
        <f aca="false">IF($D267&lt;&gt;"销项开票",0,ROUND(N($H267)*N($I267),2))</f>
        <v>526.47</v>
      </c>
      <c r="P267" s="36" t="n">
        <f aca="false">IF($D267&lt;&gt;"销项开票",0,ROUND(N($H267)-$O267,2))</f>
        <v>25797.08</v>
      </c>
      <c r="Q267" s="37" t="n">
        <f aca="false">IF($E267="","",N(IFERROR(INDEX(单位档案!$E$6:$E$35,MATCH($E267,单位档案!$A$6:$A$35,0)),"")))</f>
        <v>0.03</v>
      </c>
      <c r="R267" s="37" t="n">
        <f aca="false">IF($E267="","",N(IFERROR(INDEX(单位档案!$F$6:$F$35,MATCH($E267,单位档案!$A$6:$A$35,0)),"")))</f>
        <v>0.03</v>
      </c>
      <c r="S267" s="36" t="n">
        <f aca="false">IF(OR($D267&lt;&gt;"销项开票",IFERROR(INDEX(单位档案!$G$6:$G$35,MATCH($E267,单位档案!$A$6:$A$35,0)),"")&lt;&gt;"是",N($Q267)=0),0,IF(IFERROR(INDEX(单位档案!$H$6:$H$35,MATCH($E267,单位档案!$A$6:$A$35,0)),"")="税差法",ROUND(N($H267)/(1+$Q267)*$Q267-IF(N($R267)=0,0,$P267/(1+$R267)*$R267),2),ROUND(N($H267)/(1+$Q267)*$Q267,2)))</f>
        <v>766.71</v>
      </c>
      <c r="T267" s="36" t="n">
        <f aca="false">ROUND($S267*N(IFERROR(INDEX(单位档案!$J$6:$J$35,MATCH($E267,单位档案!$A$6:$A$35,0)),"")),2)</f>
        <v>46</v>
      </c>
      <c r="U267" s="36" t="n">
        <f aca="false">IF($D267&lt;&gt;"销项开票",0,ROUND(N($H267)*N(IFERROR(INDEX(单位档案!$K$6:$K$35,MATCH($E267,单位档案!$A$6:$A$35,0)),"")),2))</f>
        <v>0</v>
      </c>
      <c r="V267" s="36" t="n">
        <f aca="false">IF(OR($D267&lt;&gt;"销项开票",N($Q267)=0),0,ROUND(N($H267)/(1+$Q267)*N(IFERROR(INDEX(单位档案!$L$6:$L$35,MATCH($E267,单位档案!$A$6:$A$35,0)),"")),2))</f>
        <v>51.11</v>
      </c>
      <c r="W267" s="36" t="n">
        <f aca="false">ROUND($S267+$T267+$U267+$V267,2)</f>
        <v>863.82</v>
      </c>
      <c r="X267" s="35" t="str">
        <f aca="false">IF(OR($D267="挂靠代收",$D267="我方收款"),COUNTIFS($D$5:$D267,"挂靠代收")+COUNTIFS($D$5:$D267,"我方收款"),"")</f>
        <v/>
      </c>
      <c r="Y267" s="35" t="s">
        <v>119</v>
      </c>
      <c r="Z267" s="21" t="s">
        <v>100</v>
      </c>
    </row>
    <row r="268" customFormat="false" ht="15.75" hidden="false" customHeight="true" outlineLevel="0" collapsed="false">
      <c r="A268" s="32" t="n">
        <f aca="false">IF($B268="","",ROW()-4)</f>
        <v>264</v>
      </c>
      <c r="B268" s="26" t="n">
        <v>46224</v>
      </c>
      <c r="C268" s="24" t="s">
        <v>150</v>
      </c>
      <c r="D268" s="21" t="s">
        <v>307</v>
      </c>
      <c r="E268" s="21" t="s">
        <v>119</v>
      </c>
      <c r="F268" s="21" t="s">
        <v>97</v>
      </c>
      <c r="G268" s="24" t="s">
        <v>394</v>
      </c>
      <c r="H268" s="27" t="n">
        <v>27709</v>
      </c>
      <c r="I268" s="23" t="n">
        <v>0.05</v>
      </c>
      <c r="J268" s="25" t="s">
        <v>552</v>
      </c>
      <c r="K268" s="22" t="s">
        <v>313</v>
      </c>
      <c r="L268" s="33" t="str">
        <f aca="false">IF($B268="","",IF(NOT(ISNUMBER($B268)),"日期格式不对",IF($C268="","未选项目编号",IF(LEFT($M268,1)="⚠","项目编号不存在",IF($D268="","未选业务类型",IF($E268="","未选开票/付款方",IF(ISNA(MATCH($E268,单位档案!$A$6:$A$35,0)),"开票方不在单位档案",IF($F268="","未选收票/收款方",IF(ISNA(MATCH($F268,单位档案!$A$6:$A$35,0)),"收款方不在单位档案",IF(NOT(ISNUMBER($H268)),"金额须为数字",IF(AND($D268="销项开票",$N268="—"),"链条待确认","√")))))))))))</f>
        <v>√</v>
      </c>
      <c r="M268" s="34" t="str">
        <f aca="false">IF($C268="","",IFERROR(INDEX(项目档案!$B$6:$B$255,MATCH($C268,项目档案!$A$6:$A$255,0)),"⚠项目编号不存在"))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268" s="35" t="str">
        <f aca="false">IF($E268="","",IF($E268=IFERROR(INDEX(项目档案!$D$6:$D$255,MATCH($C268,项目档案!$A$6:$A$255,0)),""),"一级",IF($E268=IFERROR(INDEX(项目档案!$F$6:$F$255,MATCH($C268,项目档案!$A$6:$A$255,0)),""),"二级",IF($E268=IFERROR(INDEX(项目档案!$H$6:$H$255,MATCH($C268,项目档案!$A$6:$A$255,0)),""),"我方","—"))))</f>
        <v>一级</v>
      </c>
      <c r="O268" s="36" t="n">
        <f aca="false">IF($D268&lt;&gt;"销项开票",0,ROUND(N($H268)*N($I268),2))</f>
        <v>1385.45</v>
      </c>
      <c r="P268" s="36" t="n">
        <f aca="false">IF($D268&lt;&gt;"销项开票",0,ROUND(N($H268)-$O268,2))</f>
        <v>26323.55</v>
      </c>
      <c r="Q268" s="37" t="n">
        <f aca="false">IF($E268="","",N(IFERROR(INDEX(单位档案!$E$6:$E$35,MATCH($E268,单位档案!$A$6:$A$35,0)),"")))</f>
        <v>0.09</v>
      </c>
      <c r="R268" s="37" t="n">
        <f aca="false">IF($E268="","",N(IFERROR(INDEX(单位档案!$F$6:$F$35,MATCH($E268,单位档案!$A$6:$A$35,0)),"")))</f>
        <v>0.03</v>
      </c>
      <c r="S268" s="36" t="n">
        <f aca="false">IF(OR($D268&lt;&gt;"销项开票",IFERROR(INDEX(单位档案!$G$6:$G$35,MATCH($E268,单位档案!$A$6:$A$35,0)),"")&lt;&gt;"是",N($Q268)=0),0,IF(IFERROR(INDEX(单位档案!$H$6:$H$35,MATCH($E268,单位档案!$A$6:$A$35,0)),"")="税差法",ROUND(N($H268)/(1+$Q268)*$Q268-IF(N($R268)=0,0,$P268/(1+$R268)*$R268),2),ROUND(N($H268)/(1+$Q268)*$Q268,2)))</f>
        <v>1521.19</v>
      </c>
      <c r="T268" s="36" t="n">
        <f aca="false">ROUND($S268*N(IFERROR(INDEX(单位档案!$J$6:$J$35,MATCH($E268,单位档案!$A$6:$A$35,0)),"")),2)</f>
        <v>182.54</v>
      </c>
      <c r="U268" s="36" t="n">
        <f aca="false">IF($D268&lt;&gt;"销项开票",0,ROUND(N($H268)*N(IFERROR(INDEX(单位档案!$K$6:$K$35,MATCH($E268,单位档案!$A$6:$A$35,0)),"")),2))</f>
        <v>16.63</v>
      </c>
      <c r="V268" s="36" t="n">
        <f aca="false">IF(OR($D268&lt;&gt;"销项开票",N($Q268)=0),0,ROUND(N($H268)/(1+$Q268)*N(IFERROR(INDEX(单位档案!$L$6:$L$35,MATCH($E268,单位档案!$A$6:$A$35,0)),"")),2))</f>
        <v>0</v>
      </c>
      <c r="W268" s="36" t="n">
        <f aca="false">ROUND($S268+$T268+$U268+$V268,2)</f>
        <v>1720.36</v>
      </c>
      <c r="X268" s="35" t="str">
        <f aca="false">IF(OR($D268="挂靠代收",$D268="我方收款"),COUNTIFS($D$5:$D268,"挂靠代收")+COUNTIFS($D$5:$D268,"我方收款"),"")</f>
        <v/>
      </c>
      <c r="Y268" s="35" t="s">
        <v>119</v>
      </c>
      <c r="Z268" s="21" t="s">
        <v>111</v>
      </c>
    </row>
    <row r="269" customFormat="false" ht="15.75" hidden="false" customHeight="true" outlineLevel="0" collapsed="false">
      <c r="A269" s="32" t="n">
        <f aca="false">IF($B269="","",ROW()-4)</f>
        <v>265</v>
      </c>
      <c r="B269" s="26" t="n">
        <v>46224</v>
      </c>
      <c r="C269" s="24" t="s">
        <v>150</v>
      </c>
      <c r="D269" s="21" t="s">
        <v>11</v>
      </c>
      <c r="E269" s="21" t="s">
        <v>119</v>
      </c>
      <c r="F269" s="21" t="s">
        <v>134</v>
      </c>
      <c r="G269" s="24" t="s">
        <v>394</v>
      </c>
      <c r="H269" s="27" t="n">
        <v>538.91</v>
      </c>
      <c r="I269" s="23" t="str">
        <f aca="false">IF($D269&lt;&gt;"销项开票","",IF($N269="一级",IF(IFERROR(INDEX(项目档案!$E$6:$E$255,MATCH($C269,项目档案!$A$6:$A$255,0)),"")="",N(IFERROR(INDEX(单位档案!$D$6:$D$35,MATCH($E269,单位档案!$A$6:$A$35,0)),"")),IFERROR(INDEX(项目档案!$E$6:$E$255,MATCH($C269,项目档案!$A$6:$A$255,0)),"")),IF($N269="二级",IF(IFERROR(INDEX(项目档案!$G$6:$G$255,MATCH($C269,项目档案!$A$6:$A$255,0)),"")="",N(IFERROR(INDEX(单位档案!$D$6:$D$35,MATCH($E269,单位档案!$A$6:$A$35,0)),"")),IFERROR(INDEX(项目档案!$G$6:$G$255,MATCH($C269,项目档案!$A$6:$A$255,0)),"")),N(IFERROR(INDEX(单位档案!$D$6:$D$35,MATCH($E269,单位档案!$A$6:$A$35,0)),"")))))</f>
        <v/>
      </c>
      <c r="J269" s="25" t="s">
        <v>552</v>
      </c>
      <c r="K269" s="22" t="s">
        <v>313</v>
      </c>
      <c r="L269" s="33" t="str">
        <f aca="false">IF($B269="","",IF(NOT(ISNUMBER($B269)),"日期格式不对",IF($C269="","未选项目编号",IF(LEFT($M269,1)="⚠","项目编号不存在",IF($D269="","未选业务类型",IF($E269="","未选开票/付款方",IF(ISNA(MATCH($E269,单位档案!$A$6:$A$35,0)),"开票方不在单位档案",IF($F269="","未选收票/收款方",IF(ISNA(MATCH($F269,单位档案!$A$6:$A$35,0)),"收款方不在单位档案",IF(NOT(ISNUMBER($H269)),"金额须为数字",IF(AND($D269="销项开票",$N269="—"),"链条待确认","√")))))))))))</f>
        <v>√</v>
      </c>
      <c r="M269" s="34" t="str">
        <f aca="false">IF($C269="","",IFERROR(INDEX(项目档案!$B$6:$B$255,MATCH($C269,项目档案!$A$6:$A$255,0)),"⚠项目编号不存在"))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269" s="35" t="str">
        <f aca="false">IF($E269="","",IF($E269=IFERROR(INDEX(项目档案!$D$6:$D$255,MATCH($C269,项目档案!$A$6:$A$255,0)),""),"一级",IF($E269=IFERROR(INDEX(项目档案!$F$6:$F$255,MATCH($C269,项目档案!$A$6:$A$255,0)),""),"二级",IF($E269=IFERROR(INDEX(项目档案!$H$6:$H$255,MATCH($C269,项目档案!$A$6:$A$255,0)),""),"我方","—"))))</f>
        <v>一级</v>
      </c>
      <c r="O269" s="36" t="n">
        <f aca="false">IF($D269&lt;&gt;"销项开票",0,ROUND(N($H269)*N($I269),2))</f>
        <v>0</v>
      </c>
      <c r="P269" s="36" t="n">
        <f aca="false">IF($D269&lt;&gt;"销项开票",0,ROUND(N($H269)-$O269,2))</f>
        <v>0</v>
      </c>
      <c r="Q269" s="37" t="n">
        <f aca="false">IF($E269="","",N(IFERROR(INDEX(单位档案!$E$6:$E$35,MATCH($E269,单位档案!$A$6:$A$35,0)),"")))</f>
        <v>0.09</v>
      </c>
      <c r="R269" s="37" t="n">
        <f aca="false">IF($E269="","",N(IFERROR(INDEX(单位档案!$F$6:$F$35,MATCH($E269,单位档案!$A$6:$A$35,0)),"")))</f>
        <v>0.03</v>
      </c>
      <c r="S269" s="36" t="n">
        <f aca="false">IF(OR($D269&lt;&gt;"销项开票",IFERROR(INDEX(单位档案!$G$6:$G$35,MATCH($E269,单位档案!$A$6:$A$35,0)),"")&lt;&gt;"是",N($Q269)=0),0,IF(IFERROR(INDEX(单位档案!$H$6:$H$35,MATCH($E269,单位档案!$A$6:$A$35,0)),"")="税差法",ROUND(N($H269)/(1+$Q269)*$Q269-IF(N($R269)=0,0,$P269/(1+$R269)*$R269),2),ROUND(N($H269)/(1+$Q269)*$Q269,2)))</f>
        <v>0</v>
      </c>
      <c r="T269" s="36" t="n">
        <f aca="false">ROUND($S269*N(IFERROR(INDEX(单位档案!$J$6:$J$35,MATCH($E269,单位档案!$A$6:$A$35,0)),"")),2)</f>
        <v>0</v>
      </c>
      <c r="U269" s="36" t="n">
        <f aca="false">IF($D269&lt;&gt;"销项开票",0,ROUND(N($H269)*N(IFERROR(INDEX(单位档案!$K$6:$K$35,MATCH($E269,单位档案!$A$6:$A$35,0)),"")),2))</f>
        <v>0</v>
      </c>
      <c r="V269" s="36" t="n">
        <f aca="false">IF(OR($D269&lt;&gt;"销项开票",N($Q269)=0),0,ROUND(N($H269)/(1+$Q269)*N(IFERROR(INDEX(单位档案!$L$6:$L$35,MATCH($E269,单位档案!$A$6:$A$35,0)),"")),2))</f>
        <v>0</v>
      </c>
      <c r="W269" s="36" t="n">
        <f aca="false">ROUND($S269+$T269+$U269+$V269,2)</f>
        <v>0</v>
      </c>
      <c r="X269" s="35" t="str">
        <f aca="false">IF(OR($D269="挂靠代收",$D269="我方收款"),COUNTIFS($D$5:$D269,"挂靠代收")+COUNTIFS($D$5:$D269,"我方收款"),"")</f>
        <v/>
      </c>
      <c r="Y269" s="35" t="s">
        <v>119</v>
      </c>
      <c r="Z269" s="21" t="s">
        <v>111</v>
      </c>
    </row>
    <row r="270" customFormat="false" ht="15.75" hidden="false" customHeight="true" outlineLevel="0" collapsed="false">
      <c r="A270" s="32" t="n">
        <f aca="false">IF($B270="","",ROW()-4)</f>
        <v>266</v>
      </c>
      <c r="B270" s="26" t="n">
        <v>46225</v>
      </c>
      <c r="C270" s="24" t="s">
        <v>228</v>
      </c>
      <c r="D270" s="21" t="s">
        <v>307</v>
      </c>
      <c r="E270" s="21" t="s">
        <v>114</v>
      </c>
      <c r="F270" s="21" t="s">
        <v>97</v>
      </c>
      <c r="G270" s="24" t="s">
        <v>316</v>
      </c>
      <c r="H270" s="27" t="n">
        <v>2764.33</v>
      </c>
      <c r="I270" s="23" t="n">
        <v>0.020001</v>
      </c>
      <c r="J270" s="25" t="s">
        <v>553</v>
      </c>
      <c r="K270" s="22" t="s">
        <v>313</v>
      </c>
      <c r="L270" s="33" t="str">
        <f aca="false">IF($B270="","",IF(NOT(ISNUMBER($B270)),"日期格式不对",IF($C270="","未选项目编号",IF(LEFT($M270,1)="⚠","项目编号不存在",IF($D270="","未选业务类型",IF($E270="","未选开票/付款方",IF(ISNA(MATCH($E270,单位档案!$A$6:$A$35,0)),"开票方不在单位档案",IF($F270="","未选收票/收款方",IF(ISNA(MATCH($F270,单位档案!$A$6:$A$35,0)),"收款方不在单位档案",IF(NOT(ISNUMBER($H270)),"金额须为数字",IF(AND($D270="销项开票",$N270="—"),"链条待确认","√")))))))))))</f>
        <v>√</v>
      </c>
      <c r="M270" s="34" t="str">
        <f aca="false">IF($C270="","",IFERROR(INDEX(项目档案!$B$6:$B$255,MATCH($C270,项目档案!$A$6:$A$255,0)),"⚠项目编号不存在"))</f>
        <v>铜梁公司2026年配电专业应急抢修抢险等外包项目（永嘉所10kV西新线等2条线路综合检修项目）</v>
      </c>
      <c r="N270" s="35" t="str">
        <f aca="false">IF($E270="","",IF($E270=IFERROR(INDEX(项目档案!$D$6:$D$255,MATCH($C270,项目档案!$A$6:$A$255,0)),""),"一级",IF($E270=IFERROR(INDEX(项目档案!$F$6:$F$255,MATCH($C270,项目档案!$A$6:$A$255,0)),""),"二级",IF($E270=IFERROR(INDEX(项目档案!$H$6:$H$255,MATCH($C270,项目档案!$A$6:$A$255,0)),""),"我方","—"))))</f>
        <v>一级</v>
      </c>
      <c r="O270" s="36" t="n">
        <f aca="false">IF($D270&lt;&gt;"销项开票",0,ROUND(N($H270)*N($I270),2))</f>
        <v>55.29</v>
      </c>
      <c r="P270" s="36" t="n">
        <f aca="false">IF($D270&lt;&gt;"销项开票",0,ROUND(N($H270)-$O270,2))</f>
        <v>2709.04</v>
      </c>
      <c r="Q270" s="37" t="n">
        <f aca="false">IF($E270="","",N(IFERROR(INDEX(单位档案!$E$6:$E$35,MATCH($E270,单位档案!$A$6:$A$35,0)),"")))</f>
        <v>0.03</v>
      </c>
      <c r="R270" s="37" t="n">
        <f aca="false">IF($E270="","",N(IFERROR(INDEX(单位档案!$F$6:$F$35,MATCH($E270,单位档案!$A$6:$A$35,0)),"")))</f>
        <v>0.01</v>
      </c>
      <c r="S270" s="36" t="n">
        <f aca="false">IF(OR($D270&lt;&gt;"销项开票",IFERROR(INDEX(单位档案!$G$6:$G$35,MATCH($E270,单位档案!$A$6:$A$35,0)),"")&lt;&gt;"是",N($Q270)=0),0,IF(IFERROR(INDEX(单位档案!$H$6:$H$35,MATCH($E270,单位档案!$A$6:$A$35,0)),"")="税差法",ROUND(N($H270)/(1+$Q270)*$Q270-IF(N($R270)=0,0,$P270/(1+$R270)*$R270),2),ROUND(N($H270)/(1+$Q270)*$Q270,2)))</f>
        <v>80.51</v>
      </c>
      <c r="T270" s="36" t="n">
        <f aca="false">ROUND($S270*N(IFERROR(INDEX(单位档案!$J$6:$J$35,MATCH($E270,单位档案!$A$6:$A$35,0)),"")),2)</f>
        <v>9.66</v>
      </c>
      <c r="U270" s="36" t="n">
        <f aca="false">IF($D270&lt;&gt;"销项开票",0,ROUND(N($H270)*N(IFERROR(INDEX(单位档案!$K$6:$K$35,MATCH($E270,单位档案!$A$6:$A$35,0)),"")),2))</f>
        <v>0.83</v>
      </c>
      <c r="V270" s="36" t="n">
        <f aca="false">IF(OR($D270&lt;&gt;"销项开票",N($Q270)=0),0,ROUND(N($H270)/(1+$Q270)*N(IFERROR(INDEX(单位档案!$L$6:$L$35,MATCH($E270,单位档案!$A$6:$A$35,0)),"")),2))</f>
        <v>0</v>
      </c>
      <c r="W270" s="36" t="n">
        <f aca="false">ROUND($S270+$T270+$U270+$V270,2)</f>
        <v>91</v>
      </c>
      <c r="X270" s="35" t="str">
        <f aca="false">IF(OR($D270="挂靠代收",$D270="我方收款"),COUNTIFS($D$5:$D270,"挂靠代收")+COUNTIFS($D$5:$D270,"我方收款"),"")</f>
        <v/>
      </c>
      <c r="Y270" s="35" t="s">
        <v>114</v>
      </c>
      <c r="Z270" s="21" t="s">
        <v>111</v>
      </c>
    </row>
    <row r="271" customFormat="false" ht="15.75" hidden="false" customHeight="true" outlineLevel="0" collapsed="false">
      <c r="A271" s="32" t="n">
        <f aca="false">IF($B271="","",ROW()-4)</f>
        <v>267</v>
      </c>
      <c r="B271" s="26" t="n">
        <v>46225</v>
      </c>
      <c r="C271" s="24" t="s">
        <v>228</v>
      </c>
      <c r="D271" s="21" t="s">
        <v>314</v>
      </c>
      <c r="E271" s="21" t="s">
        <v>127</v>
      </c>
      <c r="F271" s="21" t="s">
        <v>114</v>
      </c>
      <c r="G271" s="24" t="s">
        <v>316</v>
      </c>
      <c r="H271" s="27" t="n">
        <v>488.78</v>
      </c>
      <c r="I271" s="23" t="str">
        <f aca="false">IF($D271&lt;&gt;"销项开票","",IF($N271="一级",IF(IFERROR(INDEX(项目档案!$E$6:$E$255,MATCH($C271,项目档案!$A$6:$A$255,0)),"")="",N(IFERROR(INDEX(单位档案!$D$6:$D$35,MATCH($E271,单位档案!$A$6:$A$35,0)),"")),IFERROR(INDEX(项目档案!$E$6:$E$255,MATCH($C271,项目档案!$A$6:$A$255,0)),"")),IF($N271="二级",IF(IFERROR(INDEX(项目档案!$G$6:$G$255,MATCH($C271,项目档案!$A$6:$A$255,0)),"")="",N(IFERROR(INDEX(单位档案!$D$6:$D$35,MATCH($E271,单位档案!$A$6:$A$35,0)),"")),IFERROR(INDEX(项目档案!$G$6:$G$255,MATCH($C271,项目档案!$A$6:$A$255,0)),"")),N(IFERROR(INDEX(单位档案!$D$6:$D$35,MATCH($E271,单位档案!$A$6:$A$35,0)),"")))))</f>
        <v/>
      </c>
      <c r="J271" s="25" t="s">
        <v>553</v>
      </c>
      <c r="K271" s="22" t="s">
        <v>313</v>
      </c>
      <c r="L271" s="33" t="str">
        <f aca="false">IF($B271="","",IF(NOT(ISNUMBER($B271)),"日期格式不对",IF($C271="","未选项目编号",IF(LEFT($M271,1)="⚠","项目编号不存在",IF($D271="","未选业务类型",IF($E271="","未选开票/付款方",IF(ISNA(MATCH($E271,单位档案!$A$6:$A$35,0)),"开票方不在单位档案",IF($F271="","未选收票/收款方",IF(ISNA(MATCH($F271,单位档案!$A$6:$A$35,0)),"收款方不在单位档案",IF(NOT(ISNUMBER($H271)),"金额须为数字",IF(AND($D271="销项开票",$N271="—"),"链条待确认","√")))))))))))</f>
        <v>√</v>
      </c>
      <c r="M271" s="34" t="str">
        <f aca="false">IF($C271="","",IFERROR(INDEX(项目档案!$B$6:$B$255,MATCH($C271,项目档案!$A$6:$A$255,0)),"⚠项目编号不存在"))</f>
        <v>铜梁公司2026年配电专业应急抢修抢险等外包项目（永嘉所10kV西新线等2条线路综合检修项目）</v>
      </c>
      <c r="N271" s="35" t="str">
        <f aca="false">IF($E271="","",IF($E271=IFERROR(INDEX(项目档案!$D$6:$D$255,MATCH($C271,项目档案!$A$6:$A$255,0)),""),"一级",IF($E271=IFERROR(INDEX(项目档案!$F$6:$F$255,MATCH($C271,项目档案!$A$6:$A$255,0)),""),"二级",IF($E271=IFERROR(INDEX(项目档案!$H$6:$H$255,MATCH($C271,项目档案!$A$6:$A$255,0)),""),"我方","—"))))</f>
        <v>我方</v>
      </c>
      <c r="O271" s="36" t="n">
        <f aca="false">IF($D271&lt;&gt;"销项开票",0,ROUND(N($H271)*N($I271),2))</f>
        <v>0</v>
      </c>
      <c r="P271" s="36" t="n">
        <f aca="false">IF($D271&lt;&gt;"销项开票",0,ROUND(N($H271)-$O271,2))</f>
        <v>0</v>
      </c>
      <c r="Q271" s="37" t="n">
        <f aca="false">IF($E271="","",N(IFERROR(INDEX(单位档案!$E$6:$E$35,MATCH($E271,单位档案!$A$6:$A$35,0)),"")))</f>
        <v>0.03</v>
      </c>
      <c r="R271" s="37" t="n">
        <f aca="false">IF($E271="","",N(IFERROR(INDEX(单位档案!$F$6:$F$35,MATCH($E271,单位档案!$A$6:$A$35,0)),"")))</f>
        <v>0</v>
      </c>
      <c r="S271" s="36" t="n">
        <f aca="false">IF(OR($D271&lt;&gt;"销项开票",IFERROR(INDEX(单位档案!$G$6:$G$35,MATCH($E271,单位档案!$A$6:$A$35,0)),"")&lt;&gt;"是",N($Q271)=0),0,IF(IFERROR(INDEX(单位档案!$H$6:$H$35,MATCH($E271,单位档案!$A$6:$A$35,0)),"")="税差法",ROUND(N($H271)/(1+$Q271)*$Q271-IF(N($R271)=0,0,$P271/(1+$R271)*$R271),2),ROUND(N($H271)/(1+$Q271)*$Q271,2)))</f>
        <v>0</v>
      </c>
      <c r="T271" s="36" t="n">
        <f aca="false">ROUND($S271*N(IFERROR(INDEX(单位档案!$J$6:$J$35,MATCH($E271,单位档案!$A$6:$A$35,0)),"")),2)</f>
        <v>0</v>
      </c>
      <c r="U271" s="36" t="n">
        <f aca="false">IF($D271&lt;&gt;"销项开票",0,ROUND(N($H271)*N(IFERROR(INDEX(单位档案!$K$6:$K$35,MATCH($E271,单位档案!$A$6:$A$35,0)),"")),2))</f>
        <v>0</v>
      </c>
      <c r="V271" s="36" t="n">
        <f aca="false">IF(OR($D271&lt;&gt;"销项开票",N($Q271)=0),0,ROUND(N($H271)/(1+$Q271)*N(IFERROR(INDEX(单位档案!$L$6:$L$35,MATCH($E271,单位档案!$A$6:$A$35,0)),"")),2))</f>
        <v>0</v>
      </c>
      <c r="W271" s="36" t="n">
        <f aca="false">ROUND($S271+$T271+$U271+$V271,2)</f>
        <v>0</v>
      </c>
      <c r="X271" s="35" t="str">
        <f aca="false">IF(OR($D271="挂靠代收",$D271="我方收款"),COUNTIFS($D$5:$D271,"挂靠代收")+COUNTIFS($D$5:$D271,"我方收款"),"")</f>
        <v/>
      </c>
      <c r="Y271" s="35" t="s">
        <v>114</v>
      </c>
      <c r="Z271" s="21" t="s">
        <v>111</v>
      </c>
    </row>
    <row r="272" customFormat="false" ht="15.75" hidden="false" customHeight="true" outlineLevel="0" collapsed="false">
      <c r="A272" s="32" t="n">
        <f aca="false">IF($B272="","",ROW()-4)</f>
        <v>268</v>
      </c>
      <c r="B272" s="26" t="n">
        <v>46225</v>
      </c>
      <c r="C272" s="24" t="s">
        <v>230</v>
      </c>
      <c r="D272" s="21" t="s">
        <v>307</v>
      </c>
      <c r="E272" s="21" t="s">
        <v>106</v>
      </c>
      <c r="F272" s="21" t="s">
        <v>97</v>
      </c>
      <c r="G272" s="24" t="s">
        <v>308</v>
      </c>
      <c r="H272" s="27" t="n">
        <v>1238.05</v>
      </c>
      <c r="I272" s="23" t="n">
        <v>0.039998</v>
      </c>
      <c r="J272" s="25" t="s">
        <v>554</v>
      </c>
      <c r="K272" s="22" t="s">
        <v>313</v>
      </c>
      <c r="L272" s="33" t="str">
        <f aca="false">IF($B272="","",IF(NOT(ISNUMBER($B272)),"日期格式不对",IF($C272="","未选项目编号",IF(LEFT($M272,1)="⚠","项目编号不存在",IF($D272="","未选业务类型",IF($E272="","未选开票/付款方",IF(ISNA(MATCH($E272,单位档案!$A$6:$A$35,0)),"开票方不在单位档案",IF($F272="","未选收票/收款方",IF(ISNA(MATCH($F272,单位档案!$A$6:$A$35,0)),"收款方不在单位档案",IF(NOT(ISNUMBER($H272)),"金额须为数字",IF(AND($D272="销项开票",$N272="—"),"链条待确认","√")))))))))))</f>
        <v>√</v>
      </c>
      <c r="M272" s="34" t="str">
        <f aca="false">IF($C272="","",IFERROR(INDEX(项目档案!$B$6:$B$255,MATCH($C272,项目档案!$A$6:$A$255,0)),"⚠项目编号不存在"))</f>
        <v>重庆民能实业有限公司2025-2026年度工程用特种设备租赁服务框架采购(铜梁公司2026年配电专业应急抢修抢险等外包项目(永嘉所许家3
社1等台区2个隐患治理项目))</v>
      </c>
      <c r="N272" s="35" t="str">
        <f aca="false">IF($E272="","",IF($E272=IFERROR(INDEX(项目档案!$D$6:$D$255,MATCH($C272,项目档案!$A$6:$A$255,0)),""),"一级",IF($E272=IFERROR(INDEX(项目档案!$F$6:$F$255,MATCH($C272,项目档案!$A$6:$A$255,0)),""),"二级",IF($E272=IFERROR(INDEX(项目档案!$H$6:$H$255,MATCH($C272,项目档案!$A$6:$A$255,0)),""),"我方","—"))))</f>
        <v>一级</v>
      </c>
      <c r="O272" s="36" t="n">
        <f aca="false">IF($D272&lt;&gt;"销项开票",0,ROUND(N($H272)*N($I272),2))</f>
        <v>49.52</v>
      </c>
      <c r="P272" s="36" t="n">
        <f aca="false">IF($D272&lt;&gt;"销项开票",0,ROUND(N($H272)-$O272,2))</f>
        <v>1188.53</v>
      </c>
      <c r="Q272" s="37" t="n">
        <f aca="false">IF($E272="","",N(IFERROR(INDEX(单位档案!$E$6:$E$35,MATCH($E272,单位档案!$A$6:$A$35,0)),"")))</f>
        <v>0.13</v>
      </c>
      <c r="R272" s="37" t="n">
        <f aca="false">IF($E272="","",N(IFERROR(INDEX(单位档案!$F$6:$F$35,MATCH($E272,单位档案!$A$6:$A$35,0)),"")))</f>
        <v>0.13</v>
      </c>
      <c r="S272" s="36" t="n">
        <f aca="false">IF(OR($D272&lt;&gt;"销项开票",IFERROR(INDEX(单位档案!$G$6:$G$35,MATCH($E272,单位档案!$A$6:$A$35,0)),"")&lt;&gt;"是",N($Q272)=0),0,IF(IFERROR(INDEX(单位档案!$H$6:$H$35,MATCH($E272,单位档案!$A$6:$A$35,0)),"")="税差法",ROUND(N($H272)/(1+$Q272)*$Q272-IF(N($R272)=0,0,$P272/(1+$R272)*$R272),2),ROUND(N($H272)/(1+$Q272)*$Q272,2)))</f>
        <v>0</v>
      </c>
      <c r="T272" s="36" t="n">
        <f aca="false">ROUND($S272*N(IFERROR(INDEX(单位档案!$J$6:$J$35,MATCH($E272,单位档案!$A$6:$A$35,0)),"")),2)</f>
        <v>0</v>
      </c>
      <c r="U272" s="36" t="n">
        <f aca="false">IF($D272&lt;&gt;"销项开票",0,ROUND(N($H272)*N(IFERROR(INDEX(单位档案!$K$6:$K$35,MATCH($E272,单位档案!$A$6:$A$35,0)),"")),2))</f>
        <v>0</v>
      </c>
      <c r="V272" s="36" t="n">
        <f aca="false">IF(OR($D272&lt;&gt;"销项开票",N($Q272)=0),0,ROUND(N($H272)/(1+$Q272)*N(IFERROR(INDEX(单位档案!$L$6:$L$35,MATCH($E272,单位档案!$A$6:$A$35,0)),"")),2))</f>
        <v>0</v>
      </c>
      <c r="W272" s="36" t="n">
        <f aca="false">ROUND($S272+$T272+$U272+$V272,2)</f>
        <v>0</v>
      </c>
      <c r="X272" s="35" t="str">
        <f aca="false">IF(OR($D272="挂靠代收",$D272="我方收款"),COUNTIFS($D$5:$D272,"挂靠代收")+COUNTIFS($D$5:$D272,"我方收款"),"")</f>
        <v/>
      </c>
      <c r="Y272" s="35" t="s">
        <v>106</v>
      </c>
      <c r="Z272" s="21" t="s">
        <v>111</v>
      </c>
    </row>
    <row r="273" customFormat="false" ht="15.75" hidden="false" customHeight="true" outlineLevel="0" collapsed="false">
      <c r="A273" s="32" t="n">
        <f aca="false">IF($B273="","",ROW()-4)</f>
        <v>269</v>
      </c>
      <c r="B273" s="26" t="n">
        <v>46225</v>
      </c>
      <c r="C273" s="24" t="s">
        <v>232</v>
      </c>
      <c r="D273" s="21" t="s">
        <v>307</v>
      </c>
      <c r="E273" s="21" t="s">
        <v>106</v>
      </c>
      <c r="F273" s="21" t="s">
        <v>97</v>
      </c>
      <c r="G273" s="24" t="s">
        <v>308</v>
      </c>
      <c r="H273" s="27" t="n">
        <v>2562.52</v>
      </c>
      <c r="I273" s="23" t="n">
        <v>0.04</v>
      </c>
      <c r="J273" s="25" t="s">
        <v>555</v>
      </c>
      <c r="K273" s="22" t="s">
        <v>313</v>
      </c>
      <c r="L273" s="33" t="str">
        <f aca="false">IF($B273="","",IF(NOT(ISNUMBER($B273)),"日期格式不对",IF($C273="","未选项目编号",IF(LEFT($M273,1)="⚠","项目编号不存在",IF($D273="","未选业务类型",IF($E273="","未选开票/付款方",IF(ISNA(MATCH($E273,单位档案!$A$6:$A$35,0)),"开票方不在单位档案",IF($F273="","未选收票/收款方",IF(ISNA(MATCH($F273,单位档案!$A$6:$A$35,0)),"收款方不在单位档案",IF(NOT(ISNUMBER($H273)),"金额须为数字",IF(AND($D273="销项开票",$N273="—"),"链条待确认","√")))))))))))</f>
        <v>√</v>
      </c>
      <c r="M273" s="34" t="str">
        <f aca="false">IF($C273="","",IFERROR(INDEX(项目档案!$B$6:$B$255,MATCH($C273,项目档案!$A$6:$A$255,0)),"⚠项目编号不存在"))</f>
        <v>重庆民能实业有限公司2025-2026年度工程用特种设备租赁服务框架采购(铜梁公司2026年配电专业应急抢修抢险等外包项目(永嘉所高丰3
社等台区4个应急抢修项目))</v>
      </c>
      <c r="N273" s="35" t="str">
        <f aca="false">IF($E273="","",IF($E273=IFERROR(INDEX(项目档案!$D$6:$D$255,MATCH($C273,项目档案!$A$6:$A$255,0)),""),"一级",IF($E273=IFERROR(INDEX(项目档案!$F$6:$F$255,MATCH($C273,项目档案!$A$6:$A$255,0)),""),"二级",IF($E273=IFERROR(INDEX(项目档案!$H$6:$H$255,MATCH($C273,项目档案!$A$6:$A$255,0)),""),"我方","—"))))</f>
        <v>一级</v>
      </c>
      <c r="O273" s="36" t="n">
        <f aca="false">IF($D273&lt;&gt;"销项开票",0,ROUND(N($H273)*N($I273),2))</f>
        <v>102.5</v>
      </c>
      <c r="P273" s="36" t="n">
        <f aca="false">IF($D273&lt;&gt;"销项开票",0,ROUND(N($H273)-$O273,2))</f>
        <v>2460.02</v>
      </c>
      <c r="Q273" s="37" t="n">
        <f aca="false">IF($E273="","",N(IFERROR(INDEX(单位档案!$E$6:$E$35,MATCH($E273,单位档案!$A$6:$A$35,0)),"")))</f>
        <v>0.13</v>
      </c>
      <c r="R273" s="37" t="n">
        <f aca="false">IF($E273="","",N(IFERROR(INDEX(单位档案!$F$6:$F$35,MATCH($E273,单位档案!$A$6:$A$35,0)),"")))</f>
        <v>0.13</v>
      </c>
      <c r="S273" s="36" t="n">
        <f aca="false">IF(OR($D273&lt;&gt;"销项开票",IFERROR(INDEX(单位档案!$G$6:$G$35,MATCH($E273,单位档案!$A$6:$A$35,0)),"")&lt;&gt;"是",N($Q273)=0),0,IF(IFERROR(INDEX(单位档案!$H$6:$H$35,MATCH($E273,单位档案!$A$6:$A$35,0)),"")="税差法",ROUND(N($H273)/(1+$Q273)*$Q273-IF(N($R273)=0,0,$P273/(1+$R273)*$R273),2),ROUND(N($H273)/(1+$Q273)*$Q273,2)))</f>
        <v>0</v>
      </c>
      <c r="T273" s="36" t="n">
        <f aca="false">ROUND($S273*N(IFERROR(INDEX(单位档案!$J$6:$J$35,MATCH($E273,单位档案!$A$6:$A$35,0)),"")),2)</f>
        <v>0</v>
      </c>
      <c r="U273" s="36" t="n">
        <f aca="false">IF($D273&lt;&gt;"销项开票",0,ROUND(N($H273)*N(IFERROR(INDEX(单位档案!$K$6:$K$35,MATCH($E273,单位档案!$A$6:$A$35,0)),"")),2))</f>
        <v>0</v>
      </c>
      <c r="V273" s="36" t="n">
        <f aca="false">IF(OR($D273&lt;&gt;"销项开票",N($Q273)=0),0,ROUND(N($H273)/(1+$Q273)*N(IFERROR(INDEX(单位档案!$L$6:$L$35,MATCH($E273,单位档案!$A$6:$A$35,0)),"")),2))</f>
        <v>0</v>
      </c>
      <c r="W273" s="36" t="n">
        <f aca="false">ROUND($S273+$T273+$U273+$V273,2)</f>
        <v>0</v>
      </c>
      <c r="X273" s="35" t="str">
        <f aca="false">IF(OR($D273="挂靠代收",$D273="我方收款"),COUNTIFS($D$5:$D273,"挂靠代收")+COUNTIFS($D$5:$D273,"我方收款"),"")</f>
        <v/>
      </c>
      <c r="Y273" s="35" t="s">
        <v>106</v>
      </c>
      <c r="Z273" s="21" t="s">
        <v>111</v>
      </c>
    </row>
    <row r="274" customFormat="false" ht="15.75" hidden="false" customHeight="true" outlineLevel="0" collapsed="false">
      <c r="A274" s="32" t="n">
        <f aca="false">IF($B274="","",ROW()-4)</f>
        <v>270</v>
      </c>
      <c r="B274" s="26" t="n">
        <v>46225</v>
      </c>
      <c r="C274" s="24" t="s">
        <v>234</v>
      </c>
      <c r="D274" s="21" t="s">
        <v>307</v>
      </c>
      <c r="E274" s="21" t="s">
        <v>106</v>
      </c>
      <c r="F274" s="21" t="s">
        <v>97</v>
      </c>
      <c r="G274" s="24" t="s">
        <v>308</v>
      </c>
      <c r="H274" s="27" t="n">
        <v>1622.53</v>
      </c>
      <c r="I274" s="23" t="n">
        <v>0.039999</v>
      </c>
      <c r="J274" s="25" t="s">
        <v>556</v>
      </c>
      <c r="K274" s="22" t="s">
        <v>313</v>
      </c>
      <c r="L274" s="33" t="str">
        <f aca="false">IF($B274="","",IF(NOT(ISNUMBER($B274)),"日期格式不对",IF($C274="","未选项目编号",IF(LEFT($M274,1)="⚠","项目编号不存在",IF($D274="","未选业务类型",IF($E274="","未选开票/付款方",IF(ISNA(MATCH($E274,单位档案!$A$6:$A$35,0)),"开票方不在单位档案",IF($F274="","未选收票/收款方",IF(ISNA(MATCH($F274,单位档案!$A$6:$A$35,0)),"收款方不在单位档案",IF(NOT(ISNUMBER($H274)),"金额须为数字",IF(AND($D274="销项开票",$N274="—"),"链条待确认","√")))))))))))</f>
        <v>√</v>
      </c>
      <c r="M274" s="34" t="str">
        <f aca="false">IF($C274="","",IFERROR(INDEX(项目档案!$B$6:$B$255,MATCH($C274,项目档案!$A$6:$A$255,0)),"⚠项目编号不存在"))</f>
        <v>重庆民能实业有限公司2025-2026年度工程用特种设备租赁服务框架采购(铜梁公司2026年配电专业应急抢修抢险等外包项目(永嘉所义和8
社等台区3个对地不足隐患治理项目))</v>
      </c>
      <c r="N274" s="35" t="str">
        <f aca="false">IF($E274="","",IF($E274=IFERROR(INDEX(项目档案!$D$6:$D$255,MATCH($C274,项目档案!$A$6:$A$255,0)),""),"一级",IF($E274=IFERROR(INDEX(项目档案!$F$6:$F$255,MATCH($C274,项目档案!$A$6:$A$255,0)),""),"二级",IF($E274=IFERROR(INDEX(项目档案!$H$6:$H$255,MATCH($C274,项目档案!$A$6:$A$255,0)),""),"我方","—"))))</f>
        <v>一级</v>
      </c>
      <c r="O274" s="36" t="n">
        <f aca="false">IF($D274&lt;&gt;"销项开票",0,ROUND(N($H274)*N($I274),2))</f>
        <v>64.9</v>
      </c>
      <c r="P274" s="36" t="n">
        <f aca="false">IF($D274&lt;&gt;"销项开票",0,ROUND(N($H274)-$O274,2))</f>
        <v>1557.63</v>
      </c>
      <c r="Q274" s="37" t="n">
        <f aca="false">IF($E274="","",N(IFERROR(INDEX(单位档案!$E$6:$E$35,MATCH($E274,单位档案!$A$6:$A$35,0)),"")))</f>
        <v>0.13</v>
      </c>
      <c r="R274" s="37" t="n">
        <f aca="false">IF($E274="","",N(IFERROR(INDEX(单位档案!$F$6:$F$35,MATCH($E274,单位档案!$A$6:$A$35,0)),"")))</f>
        <v>0.13</v>
      </c>
      <c r="S274" s="36" t="n">
        <f aca="false">IF(OR($D274&lt;&gt;"销项开票",IFERROR(INDEX(单位档案!$G$6:$G$35,MATCH($E274,单位档案!$A$6:$A$35,0)),"")&lt;&gt;"是",N($Q274)=0),0,IF(IFERROR(INDEX(单位档案!$H$6:$H$35,MATCH($E274,单位档案!$A$6:$A$35,0)),"")="税差法",ROUND(N($H274)/(1+$Q274)*$Q274-IF(N($R274)=0,0,$P274/(1+$R274)*$R274),2),ROUND(N($H274)/(1+$Q274)*$Q274,2)))</f>
        <v>0</v>
      </c>
      <c r="T274" s="36" t="n">
        <f aca="false">ROUND($S274*N(IFERROR(INDEX(单位档案!$J$6:$J$35,MATCH($E274,单位档案!$A$6:$A$35,0)),"")),2)</f>
        <v>0</v>
      </c>
      <c r="U274" s="36" t="n">
        <f aca="false">IF($D274&lt;&gt;"销项开票",0,ROUND(N($H274)*N(IFERROR(INDEX(单位档案!$K$6:$K$35,MATCH($E274,单位档案!$A$6:$A$35,0)),"")),2))</f>
        <v>0</v>
      </c>
      <c r="V274" s="36" t="n">
        <f aca="false">IF(OR($D274&lt;&gt;"销项开票",N($Q274)=0),0,ROUND(N($H274)/(1+$Q274)*N(IFERROR(INDEX(单位档案!$L$6:$L$35,MATCH($E274,单位档案!$A$6:$A$35,0)),"")),2))</f>
        <v>0</v>
      </c>
      <c r="W274" s="36" t="n">
        <f aca="false">ROUND($S274+$T274+$U274+$V274,2)</f>
        <v>0</v>
      </c>
      <c r="X274" s="35" t="str">
        <f aca="false">IF(OR($D274="挂靠代收",$D274="我方收款"),COUNTIFS($D$5:$D274,"挂靠代收")+COUNTIFS($D$5:$D274,"我方收款"),"")</f>
        <v/>
      </c>
      <c r="Y274" s="35" t="s">
        <v>106</v>
      </c>
      <c r="Z274" s="21" t="s">
        <v>111</v>
      </c>
    </row>
    <row r="275" customFormat="false" ht="15.75" hidden="false" customHeight="true" outlineLevel="0" collapsed="false">
      <c r="A275" s="32" t="n">
        <f aca="false">IF($B275="","",ROW()-4)</f>
        <v>271</v>
      </c>
      <c r="B275" s="26" t="n">
        <v>46225</v>
      </c>
      <c r="C275" s="24" t="s">
        <v>236</v>
      </c>
      <c r="D275" s="21" t="s">
        <v>307</v>
      </c>
      <c r="E275" s="21" t="s">
        <v>106</v>
      </c>
      <c r="F275" s="21" t="s">
        <v>97</v>
      </c>
      <c r="G275" s="24" t="s">
        <v>308</v>
      </c>
      <c r="H275" s="27" t="n">
        <v>2244.63</v>
      </c>
      <c r="I275" s="23" t="n">
        <v>0.040002</v>
      </c>
      <c r="J275" s="25" t="s">
        <v>557</v>
      </c>
      <c r="K275" s="22" t="s">
        <v>313</v>
      </c>
      <c r="L275" s="33" t="str">
        <f aca="false">IF($B275="","",IF(NOT(ISNUMBER($B275)),"日期格式不对",IF($C275="","未选项目编号",IF(LEFT($M275,1)="⚠","项目编号不存在",IF($D275="","未选业务类型",IF($E275="","未选开票/付款方",IF(ISNA(MATCH($E275,单位档案!$A$6:$A$35,0)),"开票方不在单位档案",IF($F275="","未选收票/收款方",IF(ISNA(MATCH($F275,单位档案!$A$6:$A$35,0)),"收款方不在单位档案",IF(NOT(ISNUMBER($H275)),"金额须为数字",IF(AND($D275="销项开票",$N275="—"),"链条待确认","√")))))))))))</f>
        <v>√</v>
      </c>
      <c r="M275" s="34" t="str">
        <f aca="false">IF($C275="","",IFERROR(INDEX(项目档案!$B$6:$B$255,MATCH($C275,项目档案!$A$6:$A$255,0)),"⚠项目编号不存在"))</f>
        <v>重庆民能实业有限公司2025-2026年度工程用特种设备租赁服务框架采购(铜梁公司2026年35kV输电专业应急抢修检修外包项目(输电运检中心2026年35kV线路接地隐患消除等3个项目))</v>
      </c>
      <c r="N275" s="35" t="str">
        <f aca="false">IF($E275="","",IF($E275=IFERROR(INDEX(项目档案!$D$6:$D$255,MATCH($C275,项目档案!$A$6:$A$255,0)),""),"一级",IF($E275=IFERROR(INDEX(项目档案!$F$6:$F$255,MATCH($C275,项目档案!$A$6:$A$255,0)),""),"二级",IF($E275=IFERROR(INDEX(项目档案!$H$6:$H$255,MATCH($C275,项目档案!$A$6:$A$255,0)),""),"我方","—"))))</f>
        <v>一级</v>
      </c>
      <c r="O275" s="36" t="n">
        <f aca="false">IF($D275&lt;&gt;"销项开票",0,ROUND(N($H275)*N($I275),2))</f>
        <v>89.79</v>
      </c>
      <c r="P275" s="36" t="n">
        <f aca="false">IF($D275&lt;&gt;"销项开票",0,ROUND(N($H275)-$O275,2))</f>
        <v>2154.84</v>
      </c>
      <c r="Q275" s="37" t="n">
        <f aca="false">IF($E275="","",N(IFERROR(INDEX(单位档案!$E$6:$E$35,MATCH($E275,单位档案!$A$6:$A$35,0)),"")))</f>
        <v>0.13</v>
      </c>
      <c r="R275" s="37" t="n">
        <f aca="false">IF($E275="","",N(IFERROR(INDEX(单位档案!$F$6:$F$35,MATCH($E275,单位档案!$A$6:$A$35,0)),"")))</f>
        <v>0.13</v>
      </c>
      <c r="S275" s="36" t="n">
        <f aca="false">IF(OR($D275&lt;&gt;"销项开票",IFERROR(INDEX(单位档案!$G$6:$G$35,MATCH($E275,单位档案!$A$6:$A$35,0)),"")&lt;&gt;"是",N($Q275)=0),0,IF(IFERROR(INDEX(单位档案!$H$6:$H$35,MATCH($E275,单位档案!$A$6:$A$35,0)),"")="税差法",ROUND(N($H275)/(1+$Q275)*$Q275-IF(N($R275)=0,0,$P275/(1+$R275)*$R275),2),ROUND(N($H275)/(1+$Q275)*$Q275,2)))</f>
        <v>0</v>
      </c>
      <c r="T275" s="36" t="n">
        <f aca="false">ROUND($S275*N(IFERROR(INDEX(单位档案!$J$6:$J$35,MATCH($E275,单位档案!$A$6:$A$35,0)),"")),2)</f>
        <v>0</v>
      </c>
      <c r="U275" s="36" t="n">
        <f aca="false">IF($D275&lt;&gt;"销项开票",0,ROUND(N($H275)*N(IFERROR(INDEX(单位档案!$K$6:$K$35,MATCH($E275,单位档案!$A$6:$A$35,0)),"")),2))</f>
        <v>0</v>
      </c>
      <c r="V275" s="36" t="n">
        <f aca="false">IF(OR($D275&lt;&gt;"销项开票",N($Q275)=0),0,ROUND(N($H275)/(1+$Q275)*N(IFERROR(INDEX(单位档案!$L$6:$L$35,MATCH($E275,单位档案!$A$6:$A$35,0)),"")),2))</f>
        <v>0</v>
      </c>
      <c r="W275" s="36" t="n">
        <f aca="false">ROUND($S275+$T275+$U275+$V275,2)</f>
        <v>0</v>
      </c>
      <c r="X275" s="35" t="str">
        <f aca="false">IF(OR($D275="挂靠代收",$D275="我方收款"),COUNTIFS($D$5:$D275,"挂靠代收")+COUNTIFS($D$5:$D275,"我方收款"),"")</f>
        <v/>
      </c>
      <c r="Y275" s="35" t="s">
        <v>106</v>
      </c>
      <c r="Z275" s="21" t="s">
        <v>111</v>
      </c>
    </row>
    <row r="276" customFormat="false" ht="15.75" hidden="false" customHeight="true" outlineLevel="0" collapsed="false">
      <c r="A276" s="32" t="n">
        <f aca="false">IF($B276="","",ROW()-4)</f>
        <v>272</v>
      </c>
      <c r="B276" s="26" t="n">
        <v>46225</v>
      </c>
      <c r="C276" s="24" t="s">
        <v>238</v>
      </c>
      <c r="D276" s="21" t="s">
        <v>307</v>
      </c>
      <c r="E276" s="21" t="s">
        <v>106</v>
      </c>
      <c r="F276" s="21" t="s">
        <v>97</v>
      </c>
      <c r="G276" s="24" t="s">
        <v>308</v>
      </c>
      <c r="H276" s="27" t="n">
        <v>5515.4</v>
      </c>
      <c r="I276" s="23" t="n">
        <v>0.08</v>
      </c>
      <c r="J276" s="25" t="s">
        <v>558</v>
      </c>
      <c r="K276" s="22" t="s">
        <v>313</v>
      </c>
      <c r="L276" s="33" t="str">
        <f aca="false">IF($B276="","",IF(NOT(ISNUMBER($B276)),"日期格式不对",IF($C276="","未选项目编号",IF(LEFT($M276,1)="⚠","项目编号不存在",IF($D276="","未选业务类型",IF($E276="","未选开票/付款方",IF(ISNA(MATCH($E276,单位档案!$A$6:$A$35,0)),"开票方不在单位档案",IF($F276="","未选收票/收款方",IF(ISNA(MATCH($F276,单位档案!$A$6:$A$35,0)),"收款方不在单位档案",IF(NOT(ISNUMBER($H276)),"金额须为数字",IF(AND($D276="销项开票",$N276="—"),"链条待确认","√")))))))))))</f>
        <v>√</v>
      </c>
      <c r="M276" s="34" t="str">
        <f aca="false">IF($C276="","",IFERROR(INDEX(项目档案!$B$6:$B$255,MATCH($C276,项目档案!$A$6:$A$255,0)),"⚠项目编号不存在"))</f>
        <v>重庆民能实业有限公司2025-2026年度工程用特种设备租赁服务框架采购(10kV少盘线哨楼村支线#1杆线路迁改工程)</v>
      </c>
      <c r="N276" s="35" t="str">
        <f aca="false">IF($E276="","",IF($E276=IFERROR(INDEX(项目档案!$D$6:$D$255,MATCH($C276,项目档案!$A$6:$A$255,0)),""),"一级",IF($E276=IFERROR(INDEX(项目档案!$F$6:$F$255,MATCH($C276,项目档案!$A$6:$A$255,0)),""),"二级",IF($E276=IFERROR(INDEX(项目档案!$H$6:$H$255,MATCH($C276,项目档案!$A$6:$A$255,0)),""),"我方","—"))))</f>
        <v>一级</v>
      </c>
      <c r="O276" s="36" t="n">
        <f aca="false">IF($D276&lt;&gt;"销项开票",0,ROUND(N($H276)*N($I276),2))</f>
        <v>441.23</v>
      </c>
      <c r="P276" s="36" t="n">
        <f aca="false">IF($D276&lt;&gt;"销项开票",0,ROUND(N($H276)-$O276,2))</f>
        <v>5074.17</v>
      </c>
      <c r="Q276" s="37" t="n">
        <f aca="false">IF($E276="","",N(IFERROR(INDEX(单位档案!$E$6:$E$35,MATCH($E276,单位档案!$A$6:$A$35,0)),"")))</f>
        <v>0.13</v>
      </c>
      <c r="R276" s="37" t="n">
        <f aca="false">IF($E276="","",N(IFERROR(INDEX(单位档案!$F$6:$F$35,MATCH($E276,单位档案!$A$6:$A$35,0)),"")))</f>
        <v>0.13</v>
      </c>
      <c r="S276" s="36" t="n">
        <f aca="false">IF(OR($D276&lt;&gt;"销项开票",IFERROR(INDEX(单位档案!$G$6:$G$35,MATCH($E276,单位档案!$A$6:$A$35,0)),"")&lt;&gt;"是",N($Q276)=0),0,IF(IFERROR(INDEX(单位档案!$H$6:$H$35,MATCH($E276,单位档案!$A$6:$A$35,0)),"")="税差法",ROUND(N($H276)/(1+$Q276)*$Q276-IF(N($R276)=0,0,$P276/(1+$R276)*$R276),2),ROUND(N($H276)/(1+$Q276)*$Q276,2)))</f>
        <v>0</v>
      </c>
      <c r="T276" s="36" t="n">
        <f aca="false">ROUND($S276*N(IFERROR(INDEX(单位档案!$J$6:$J$35,MATCH($E276,单位档案!$A$6:$A$35,0)),"")),2)</f>
        <v>0</v>
      </c>
      <c r="U276" s="36" t="n">
        <f aca="false">IF($D276&lt;&gt;"销项开票",0,ROUND(N($H276)*N(IFERROR(INDEX(单位档案!$K$6:$K$35,MATCH($E276,单位档案!$A$6:$A$35,0)),"")),2))</f>
        <v>0</v>
      </c>
      <c r="V276" s="36" t="n">
        <f aca="false">IF(OR($D276&lt;&gt;"销项开票",N($Q276)=0),0,ROUND(N($H276)/(1+$Q276)*N(IFERROR(INDEX(单位档案!$L$6:$L$35,MATCH($E276,单位档案!$A$6:$A$35,0)),"")),2))</f>
        <v>0</v>
      </c>
      <c r="W276" s="36" t="n">
        <f aca="false">ROUND($S276+$T276+$U276+$V276,2)</f>
        <v>0</v>
      </c>
      <c r="X276" s="35" t="str">
        <f aca="false">IF(OR($D276="挂靠代收",$D276="我方收款"),COUNTIFS($D$5:$D276,"挂靠代收")+COUNTIFS($D$5:$D276,"我方收款"),"")</f>
        <v/>
      </c>
      <c r="Y276" s="35" t="s">
        <v>106</v>
      </c>
      <c r="Z276" s="21" t="s">
        <v>111</v>
      </c>
    </row>
    <row r="277" customFormat="false" ht="15.75" hidden="false" customHeight="true" outlineLevel="0" collapsed="false">
      <c r="A277" s="32" t="n">
        <f aca="false">IF($B277="","",ROW()-4)</f>
        <v>273</v>
      </c>
      <c r="B277" s="26" t="n">
        <v>46225</v>
      </c>
      <c r="C277" s="24" t="s">
        <v>240</v>
      </c>
      <c r="D277" s="21" t="s">
        <v>307</v>
      </c>
      <c r="E277" s="21" t="s">
        <v>106</v>
      </c>
      <c r="F277" s="21" t="s">
        <v>97</v>
      </c>
      <c r="G277" s="24" t="s">
        <v>394</v>
      </c>
      <c r="H277" s="27" t="n">
        <v>908.16</v>
      </c>
      <c r="I277" s="23" t="n">
        <v>0.040004</v>
      </c>
      <c r="J277" s="25" t="s">
        <v>559</v>
      </c>
      <c r="K277" s="22" t="s">
        <v>313</v>
      </c>
      <c r="L277" s="33" t="str">
        <f aca="false">IF($B277="","",IF(NOT(ISNUMBER($B277)),"日期格式不对",IF($C277="","未选项目编号",IF(LEFT($M277,1)="⚠","项目编号不存在",IF($D277="","未选业务类型",IF($E277="","未选开票/付款方",IF(ISNA(MATCH($E277,单位档案!$A$6:$A$35,0)),"开票方不在单位档案",IF($F277="","未选收票/收款方",IF(ISNA(MATCH($F277,单位档案!$A$6:$A$35,0)),"收款方不在单位档案",IF(NOT(ISNUMBER($H277)),"金额须为数字",IF(AND($D277="销项开票",$N277="—"),"链条待确认","√")))))))))))</f>
        <v>√</v>
      </c>
      <c r="M277" s="34" t="str">
        <f aca="false">IF($C277="","",IFERROR(INDEX(项目档案!$B$6:$B$255,MATCH($C277,项目档案!$A$6:$A$255,0)),"⚠项目编号不存在"))</f>
        <v>重庆民能实业有限公司2025-2026年度工程用特种设备租赁服务框架采购(铜梁公司2026年配电专业应急抢修抢险等外包项目(永嘉所许家3社1等台区2个隐患治理项目）)</v>
      </c>
      <c r="N277" s="35" t="str">
        <f aca="false">IF($E277="","",IF($E277=IFERROR(INDEX(项目档案!$D$6:$D$255,MATCH($C277,项目档案!$A$6:$A$255,0)),""),"一级",IF($E277=IFERROR(INDEX(项目档案!$F$6:$F$255,MATCH($C277,项目档案!$A$6:$A$255,0)),""),"二级",IF($E277=IFERROR(INDEX(项目档案!$H$6:$H$255,MATCH($C277,项目档案!$A$6:$A$255,0)),""),"我方","—"))))</f>
        <v>一级</v>
      </c>
      <c r="O277" s="36" t="n">
        <f aca="false">IF($D277&lt;&gt;"销项开票",0,ROUND(N($H277)*N($I277),2))</f>
        <v>36.33</v>
      </c>
      <c r="P277" s="36" t="n">
        <f aca="false">IF($D277&lt;&gt;"销项开票",0,ROUND(N($H277)-$O277,2))</f>
        <v>871.83</v>
      </c>
      <c r="Q277" s="37" t="n">
        <f aca="false">IF($E277="","",N(IFERROR(INDEX(单位档案!$E$6:$E$35,MATCH($E277,单位档案!$A$6:$A$35,0)),"")))</f>
        <v>0.13</v>
      </c>
      <c r="R277" s="37" t="n">
        <f aca="false">IF($E277="","",N(IFERROR(INDEX(单位档案!$F$6:$F$35,MATCH($E277,单位档案!$A$6:$A$35,0)),"")))</f>
        <v>0.13</v>
      </c>
      <c r="S277" s="36" t="n">
        <f aca="false">IF(OR($D277&lt;&gt;"销项开票",IFERROR(INDEX(单位档案!$G$6:$G$35,MATCH($E277,单位档案!$A$6:$A$35,0)),"")&lt;&gt;"是",N($Q277)=0),0,IF(IFERROR(INDEX(单位档案!$H$6:$H$35,MATCH($E277,单位档案!$A$6:$A$35,0)),"")="税差法",ROUND(N($H277)/(1+$Q277)*$Q277-IF(N($R277)=0,0,$P277/(1+$R277)*$R277),2),ROUND(N($H277)/(1+$Q277)*$Q277,2)))</f>
        <v>0</v>
      </c>
      <c r="T277" s="36" t="n">
        <f aca="false">ROUND($S277*N(IFERROR(INDEX(单位档案!$J$6:$J$35,MATCH($E277,单位档案!$A$6:$A$35,0)),"")),2)</f>
        <v>0</v>
      </c>
      <c r="U277" s="36" t="n">
        <f aca="false">IF($D277&lt;&gt;"销项开票",0,ROUND(N($H277)*N(IFERROR(INDEX(单位档案!$K$6:$K$35,MATCH($E277,单位档案!$A$6:$A$35,0)),"")),2))</f>
        <v>0</v>
      </c>
      <c r="V277" s="36" t="n">
        <f aca="false">IF(OR($D277&lt;&gt;"销项开票",N($Q277)=0),0,ROUND(N($H277)/(1+$Q277)*N(IFERROR(INDEX(单位档案!$L$6:$L$35,MATCH($E277,单位档案!$A$6:$A$35,0)),"")),2))</f>
        <v>0</v>
      </c>
      <c r="W277" s="36" t="n">
        <f aca="false">ROUND($S277+$T277+$U277+$V277,2)</f>
        <v>0</v>
      </c>
      <c r="X277" s="35" t="str">
        <f aca="false">IF(OR($D277="挂靠代收",$D277="我方收款"),COUNTIFS($D$5:$D277,"挂靠代收")+COUNTIFS($D$5:$D277,"我方收款"),"")</f>
        <v/>
      </c>
      <c r="Y277" s="35" t="s">
        <v>106</v>
      </c>
      <c r="Z277" s="21" t="s">
        <v>111</v>
      </c>
    </row>
    <row r="278" customFormat="false" ht="15.75" hidden="false" customHeight="true" outlineLevel="0" collapsed="false">
      <c r="A278" s="32" t="n">
        <f aca="false">IF($B278="","",ROW()-4)</f>
        <v>274</v>
      </c>
      <c r="B278" s="26" t="n">
        <v>46225</v>
      </c>
      <c r="C278" s="24" t="s">
        <v>242</v>
      </c>
      <c r="D278" s="21" t="s">
        <v>307</v>
      </c>
      <c r="E278" s="21" t="s">
        <v>106</v>
      </c>
      <c r="F278" s="21" t="s">
        <v>97</v>
      </c>
      <c r="G278" s="24" t="s">
        <v>394</v>
      </c>
      <c r="H278" s="27" t="n">
        <v>1664.96</v>
      </c>
      <c r="I278" s="23" t="n">
        <v>0.040001</v>
      </c>
      <c r="J278" s="25" t="s">
        <v>560</v>
      </c>
      <c r="K278" s="22" t="s">
        <v>313</v>
      </c>
      <c r="L278" s="33" t="str">
        <f aca="false">IF($B278="","",IF(NOT(ISNUMBER($B278)),"日期格式不对",IF($C278="","未选项目编号",IF(LEFT($M278,1)="⚠","项目编号不存在",IF($D278="","未选业务类型",IF($E278="","未选开票/付款方",IF(ISNA(MATCH($E278,单位档案!$A$6:$A$35,0)),"开票方不在单位档案",IF($F278="","未选收票/收款方",IF(ISNA(MATCH($F278,单位档案!$A$6:$A$35,0)),"收款方不在单位档案",IF(NOT(ISNUMBER($H278)),"金额须为数字",IF(AND($D278="销项开票",$N278="—"),"链条待确认","√")))))))))))</f>
        <v>√</v>
      </c>
      <c r="M278" s="34" t="str">
        <f aca="false">IF($C278="","",IFERROR(INDEX(项目档案!$B$6:$B$255,MATCH($C278,项目档案!$A$6:$A$255,0)),"⚠项目编号不存在"))</f>
        <v>重庆民能实业有限公司2025-2026年度工程用特种设备租赁服务框架采购(铜梁公司2026年配电专业应急抢修抢险等外包项目(永嘉所高丰3社等台区4个应急抢修项目))</v>
      </c>
      <c r="N278" s="35" t="str">
        <f aca="false">IF($E278="","",IF($E278=IFERROR(INDEX(项目档案!$D$6:$D$255,MATCH($C278,项目档案!$A$6:$A$255,0)),""),"一级",IF($E278=IFERROR(INDEX(项目档案!$F$6:$F$255,MATCH($C278,项目档案!$A$6:$A$255,0)),""),"二级",IF($E278=IFERROR(INDEX(项目档案!$H$6:$H$255,MATCH($C278,项目档案!$A$6:$A$255,0)),""),"我方","—"))))</f>
        <v>一级</v>
      </c>
      <c r="O278" s="36" t="n">
        <f aca="false">IF($D278&lt;&gt;"销项开票",0,ROUND(N($H278)*N($I278),2))</f>
        <v>66.6</v>
      </c>
      <c r="P278" s="36" t="n">
        <f aca="false">IF($D278&lt;&gt;"销项开票",0,ROUND(N($H278)-$O278,2))</f>
        <v>1598.36</v>
      </c>
      <c r="Q278" s="37" t="n">
        <f aca="false">IF($E278="","",N(IFERROR(INDEX(单位档案!$E$6:$E$35,MATCH($E278,单位档案!$A$6:$A$35,0)),"")))</f>
        <v>0.13</v>
      </c>
      <c r="R278" s="37" t="n">
        <f aca="false">IF($E278="","",N(IFERROR(INDEX(单位档案!$F$6:$F$35,MATCH($E278,单位档案!$A$6:$A$35,0)),"")))</f>
        <v>0.13</v>
      </c>
      <c r="S278" s="36" t="n">
        <f aca="false">IF(OR($D278&lt;&gt;"销项开票",IFERROR(INDEX(单位档案!$G$6:$G$35,MATCH($E278,单位档案!$A$6:$A$35,0)),"")&lt;&gt;"是",N($Q278)=0),0,IF(IFERROR(INDEX(单位档案!$H$6:$H$35,MATCH($E278,单位档案!$A$6:$A$35,0)),"")="税差法",ROUND(N($H278)/(1+$Q278)*$Q278-IF(N($R278)=0,0,$P278/(1+$R278)*$R278),2),ROUND(N($H278)/(1+$Q278)*$Q278,2)))</f>
        <v>0</v>
      </c>
      <c r="T278" s="36" t="n">
        <f aca="false">ROUND($S278*N(IFERROR(INDEX(单位档案!$J$6:$J$35,MATCH($E278,单位档案!$A$6:$A$35,0)),"")),2)</f>
        <v>0</v>
      </c>
      <c r="U278" s="36" t="n">
        <f aca="false">IF($D278&lt;&gt;"销项开票",0,ROUND(N($H278)*N(IFERROR(INDEX(单位档案!$K$6:$K$35,MATCH($E278,单位档案!$A$6:$A$35,0)),"")),2))</f>
        <v>0</v>
      </c>
      <c r="V278" s="36" t="n">
        <f aca="false">IF(OR($D278&lt;&gt;"销项开票",N($Q278)=0),0,ROUND(N($H278)/(1+$Q278)*N(IFERROR(INDEX(单位档案!$L$6:$L$35,MATCH($E278,单位档案!$A$6:$A$35,0)),"")),2))</f>
        <v>0</v>
      </c>
      <c r="W278" s="36" t="n">
        <f aca="false">ROUND($S278+$T278+$U278+$V278,2)</f>
        <v>0</v>
      </c>
      <c r="X278" s="35" t="str">
        <f aca="false">IF(OR($D278="挂靠代收",$D278="我方收款"),COUNTIFS($D$5:$D278,"挂靠代收")+COUNTIFS($D$5:$D278,"我方收款"),"")</f>
        <v/>
      </c>
      <c r="Y278" s="35" t="s">
        <v>106</v>
      </c>
      <c r="Z278" s="21" t="s">
        <v>111</v>
      </c>
    </row>
    <row r="279" customFormat="false" ht="15.75" hidden="false" customHeight="true" outlineLevel="0" collapsed="false">
      <c r="A279" s="32" t="n">
        <f aca="false">IF($B279="","",ROW()-4)</f>
        <v>275</v>
      </c>
      <c r="B279" s="26" t="n">
        <v>46225</v>
      </c>
      <c r="C279" s="24" t="s">
        <v>244</v>
      </c>
      <c r="D279" s="21" t="s">
        <v>307</v>
      </c>
      <c r="E279" s="21" t="s">
        <v>106</v>
      </c>
      <c r="F279" s="21" t="s">
        <v>97</v>
      </c>
      <c r="G279" s="24" t="s">
        <v>394</v>
      </c>
      <c r="H279" s="27" t="n">
        <v>1513.6</v>
      </c>
      <c r="I279" s="23" t="n">
        <v>0.039997</v>
      </c>
      <c r="J279" s="25" t="s">
        <v>556</v>
      </c>
      <c r="K279" s="22" t="s">
        <v>313</v>
      </c>
      <c r="L279" s="33" t="str">
        <f aca="false">IF($B279="","",IF(NOT(ISNUMBER($B279)),"日期格式不对",IF($C279="","未选项目编号",IF(LEFT($M279,1)="⚠","项目编号不存在",IF($D279="","未选业务类型",IF($E279="","未选开票/付款方",IF(ISNA(MATCH($E279,单位档案!$A$6:$A$35,0)),"开票方不在单位档案",IF($F279="","未选收票/收款方",IF(ISNA(MATCH($F279,单位档案!$A$6:$A$35,0)),"收款方不在单位档案",IF(NOT(ISNUMBER($H279)),"金额须为数字",IF(AND($D279="销项开票",$N279="—"),"链条待确认","√")))))))))))</f>
        <v>√</v>
      </c>
      <c r="M279" s="34" t="str">
        <f aca="false">IF($C279="","",IFERROR(INDEX(项目档案!$B$6:$B$255,MATCH($C279,项目档案!$A$6:$A$255,0)),"⚠项目编号不存在"))</f>
        <v>重庆民能实业有限公司2025-2026年度工程用特种设备租赁服务框架采购(铜梁公司2026年配电专业应急抢修抢险等外包项目(永嘉所义和8社等台区3个对地不足隐患治理项目)）</v>
      </c>
      <c r="N279" s="35" t="str">
        <f aca="false">IF($E279="","",IF($E279=IFERROR(INDEX(项目档案!$D$6:$D$255,MATCH($C279,项目档案!$A$6:$A$255,0)),""),"一级",IF($E279=IFERROR(INDEX(项目档案!$F$6:$F$255,MATCH($C279,项目档案!$A$6:$A$255,0)),""),"二级",IF($E279=IFERROR(INDEX(项目档案!$H$6:$H$255,MATCH($C279,项目档案!$A$6:$A$255,0)),""),"我方","—"))))</f>
        <v>一级</v>
      </c>
      <c r="O279" s="36" t="n">
        <f aca="false">IF($D279&lt;&gt;"销项开票",0,ROUND(N($H279)*N($I279),2))</f>
        <v>60.54</v>
      </c>
      <c r="P279" s="36" t="n">
        <f aca="false">IF($D279&lt;&gt;"销项开票",0,ROUND(N($H279)-$O279,2))</f>
        <v>1453.06</v>
      </c>
      <c r="Q279" s="37" t="n">
        <f aca="false">IF($E279="","",N(IFERROR(INDEX(单位档案!$E$6:$E$35,MATCH($E279,单位档案!$A$6:$A$35,0)),"")))</f>
        <v>0.13</v>
      </c>
      <c r="R279" s="37" t="n">
        <f aca="false">IF($E279="","",N(IFERROR(INDEX(单位档案!$F$6:$F$35,MATCH($E279,单位档案!$A$6:$A$35,0)),"")))</f>
        <v>0.13</v>
      </c>
      <c r="S279" s="36" t="n">
        <f aca="false">IF(OR($D279&lt;&gt;"销项开票",IFERROR(INDEX(单位档案!$G$6:$G$35,MATCH($E279,单位档案!$A$6:$A$35,0)),"")&lt;&gt;"是",N($Q279)=0),0,IF(IFERROR(INDEX(单位档案!$H$6:$H$35,MATCH($E279,单位档案!$A$6:$A$35,0)),"")="税差法",ROUND(N($H279)/(1+$Q279)*$Q279-IF(N($R279)=0,0,$P279/(1+$R279)*$R279),2),ROUND(N($H279)/(1+$Q279)*$Q279,2)))</f>
        <v>0</v>
      </c>
      <c r="T279" s="36" t="n">
        <f aca="false">ROUND($S279*N(IFERROR(INDEX(单位档案!$J$6:$J$35,MATCH($E279,单位档案!$A$6:$A$35,0)),"")),2)</f>
        <v>0</v>
      </c>
      <c r="U279" s="36" t="n">
        <f aca="false">IF($D279&lt;&gt;"销项开票",0,ROUND(N($H279)*N(IFERROR(INDEX(单位档案!$K$6:$K$35,MATCH($E279,单位档案!$A$6:$A$35,0)),"")),2))</f>
        <v>0</v>
      </c>
      <c r="V279" s="36" t="n">
        <f aca="false">IF(OR($D279&lt;&gt;"销项开票",N($Q279)=0),0,ROUND(N($H279)/(1+$Q279)*N(IFERROR(INDEX(单位档案!$L$6:$L$35,MATCH($E279,单位档案!$A$6:$A$35,0)),"")),2))</f>
        <v>0</v>
      </c>
      <c r="W279" s="36" t="n">
        <f aca="false">ROUND($S279+$T279+$U279+$V279,2)</f>
        <v>0</v>
      </c>
      <c r="X279" s="35" t="str">
        <f aca="false">IF(OR($D279="挂靠代收",$D279="我方收款"),COUNTIFS($D$5:$D279,"挂靠代收")+COUNTIFS($D$5:$D279,"我方收款"),"")</f>
        <v/>
      </c>
      <c r="Y279" s="35" t="s">
        <v>106</v>
      </c>
      <c r="Z279" s="21" t="s">
        <v>111</v>
      </c>
    </row>
    <row r="280" customFormat="false" ht="15.75" hidden="false" customHeight="true" outlineLevel="0" collapsed="false">
      <c r="A280" s="32" t="n">
        <f aca="false">IF($B280="","",ROW()-4)</f>
        <v>276</v>
      </c>
      <c r="B280" s="26" t="n">
        <v>46225</v>
      </c>
      <c r="C280" s="24" t="s">
        <v>246</v>
      </c>
      <c r="D280" s="21" t="s">
        <v>307</v>
      </c>
      <c r="E280" s="21" t="s">
        <v>106</v>
      </c>
      <c r="F280" s="21" t="s">
        <v>97</v>
      </c>
      <c r="G280" s="24" t="s">
        <v>394</v>
      </c>
      <c r="H280" s="27" t="n">
        <v>1816.32</v>
      </c>
      <c r="I280" s="23" t="n">
        <v>0.039998</v>
      </c>
      <c r="J280" s="25" t="s">
        <v>557</v>
      </c>
      <c r="K280" s="22" t="s">
        <v>313</v>
      </c>
      <c r="L280" s="33" t="str">
        <f aca="false">IF($B280="","",IF(NOT(ISNUMBER($B280)),"日期格式不对",IF($C280="","未选项目编号",IF(LEFT($M280,1)="⚠","项目编号不存在",IF($D280="","未选业务类型",IF($E280="","未选开票/付款方",IF(ISNA(MATCH($E280,单位档案!$A$6:$A$35,0)),"开票方不在单位档案",IF($F280="","未选收票/收款方",IF(ISNA(MATCH($F280,单位档案!$A$6:$A$35,0)),"收款方不在单位档案",IF(NOT(ISNUMBER($H280)),"金额须为数字",IF(AND($D280="销项开票",$N280="—"),"链条待确认","√")))))))))))</f>
        <v>√</v>
      </c>
      <c r="M280" s="34" t="str">
        <f aca="false">IF($C280="","",IFERROR(INDEX(项目档案!$B$6:$B$255,MATCH($C280,项目档案!$A$6:$A$255,0)),"⚠项目编号不存在"))</f>
        <v>重庆民能实业有限公司2025-2026年度工程用特种设备租赁服务框架采购(铜梁公司2026年35kV输电专业应急抢修检修外包项目(输电运检中心2026年35kV线路接地隐患消除等3个项目)）</v>
      </c>
      <c r="N280" s="35" t="str">
        <f aca="false">IF($E280="","",IF($E280=IFERROR(INDEX(项目档案!$D$6:$D$255,MATCH($C280,项目档案!$A$6:$A$255,0)),""),"一级",IF($E280=IFERROR(INDEX(项目档案!$F$6:$F$255,MATCH($C280,项目档案!$A$6:$A$255,0)),""),"二级",IF($E280=IFERROR(INDEX(项目档案!$H$6:$H$255,MATCH($C280,项目档案!$A$6:$A$255,0)),""),"我方","—"))))</f>
        <v>一级</v>
      </c>
      <c r="O280" s="36" t="n">
        <f aca="false">IF($D280&lt;&gt;"销项开票",0,ROUND(N($H280)*N($I280),2))</f>
        <v>72.65</v>
      </c>
      <c r="P280" s="36" t="n">
        <f aca="false">IF($D280&lt;&gt;"销项开票",0,ROUND(N($H280)-$O280,2))</f>
        <v>1743.67</v>
      </c>
      <c r="Q280" s="37" t="n">
        <f aca="false">IF($E280="","",N(IFERROR(INDEX(单位档案!$E$6:$E$35,MATCH($E280,单位档案!$A$6:$A$35,0)),"")))</f>
        <v>0.13</v>
      </c>
      <c r="R280" s="37" t="n">
        <f aca="false">IF($E280="","",N(IFERROR(INDEX(单位档案!$F$6:$F$35,MATCH($E280,单位档案!$A$6:$A$35,0)),"")))</f>
        <v>0.13</v>
      </c>
      <c r="S280" s="36" t="n">
        <f aca="false">IF(OR($D280&lt;&gt;"销项开票",IFERROR(INDEX(单位档案!$G$6:$G$35,MATCH($E280,单位档案!$A$6:$A$35,0)),"")&lt;&gt;"是",N($Q280)=0),0,IF(IFERROR(INDEX(单位档案!$H$6:$H$35,MATCH($E280,单位档案!$A$6:$A$35,0)),"")="税差法",ROUND(N($H280)/(1+$Q280)*$Q280-IF(N($R280)=0,0,$P280/(1+$R280)*$R280),2),ROUND(N($H280)/(1+$Q280)*$Q280,2)))</f>
        <v>0</v>
      </c>
      <c r="T280" s="36" t="n">
        <f aca="false">ROUND($S280*N(IFERROR(INDEX(单位档案!$J$6:$J$35,MATCH($E280,单位档案!$A$6:$A$35,0)),"")),2)</f>
        <v>0</v>
      </c>
      <c r="U280" s="36" t="n">
        <f aca="false">IF($D280&lt;&gt;"销项开票",0,ROUND(N($H280)*N(IFERROR(INDEX(单位档案!$K$6:$K$35,MATCH($E280,单位档案!$A$6:$A$35,0)),"")),2))</f>
        <v>0</v>
      </c>
      <c r="V280" s="36" t="n">
        <f aca="false">IF(OR($D280&lt;&gt;"销项开票",N($Q280)=0),0,ROUND(N($H280)/(1+$Q280)*N(IFERROR(INDEX(单位档案!$L$6:$L$35,MATCH($E280,单位档案!$A$6:$A$35,0)),"")),2))</f>
        <v>0</v>
      </c>
      <c r="W280" s="36" t="n">
        <f aca="false">ROUND($S280+$T280+$U280+$V280,2)</f>
        <v>0</v>
      </c>
      <c r="X280" s="35" t="str">
        <f aca="false">IF(OR($D280="挂靠代收",$D280="我方收款"),COUNTIFS($D$5:$D280,"挂靠代收")+COUNTIFS($D$5:$D280,"我方收款"),"")</f>
        <v/>
      </c>
      <c r="Y280" s="35" t="s">
        <v>106</v>
      </c>
      <c r="Z280" s="21" t="s">
        <v>111</v>
      </c>
    </row>
    <row r="281" customFormat="false" ht="15.75" hidden="false" customHeight="true" outlineLevel="0" collapsed="false">
      <c r="A281" s="32" t="n">
        <f aca="false">IF($B281="","",ROW()-4)</f>
        <v>277</v>
      </c>
      <c r="B281" s="26" t="n">
        <v>46225</v>
      </c>
      <c r="C281" s="24" t="s">
        <v>246</v>
      </c>
      <c r="D281" s="21" t="s">
        <v>314</v>
      </c>
      <c r="E281" s="21" t="s">
        <v>127</v>
      </c>
      <c r="F281" s="21" t="s">
        <v>106</v>
      </c>
      <c r="G281" s="24" t="s">
        <v>394</v>
      </c>
      <c r="H281" s="27" t="n">
        <v>984.06</v>
      </c>
      <c r="I281" s="23" t="str">
        <f aca="false">IF($D281&lt;&gt;"销项开票","",IF($N281="一级",IF(IFERROR(INDEX(项目档案!$E$6:$E$255,MATCH($C281,项目档案!$A$6:$A$255,0)),"")="",N(IFERROR(INDEX(单位档案!$D$6:$D$35,MATCH($E281,单位档案!$A$6:$A$35,0)),"")),IFERROR(INDEX(项目档案!$E$6:$E$255,MATCH($C281,项目档案!$A$6:$A$255,0)),"")),IF($N281="二级",IF(IFERROR(INDEX(项目档案!$G$6:$G$255,MATCH($C281,项目档案!$A$6:$A$255,0)),"")="",N(IFERROR(INDEX(单位档案!$D$6:$D$35,MATCH($E281,单位档案!$A$6:$A$35,0)),"")),IFERROR(INDEX(项目档案!$G$6:$G$255,MATCH($C281,项目档案!$A$6:$A$255,0)),"")),N(IFERROR(INDEX(单位档案!$D$6:$D$35,MATCH($E281,单位档案!$A$6:$A$35,0)),"")))))</f>
        <v/>
      </c>
      <c r="J281" s="25" t="s">
        <v>557</v>
      </c>
      <c r="K281" s="22" t="s">
        <v>313</v>
      </c>
      <c r="L281" s="33" t="str">
        <f aca="false">IF($B281="","",IF(NOT(ISNUMBER($B281)),"日期格式不对",IF($C281="","未选项目编号",IF(LEFT($M281,1)="⚠","项目编号不存在",IF($D281="","未选业务类型",IF($E281="","未选开票/付款方",IF(ISNA(MATCH($E281,单位档案!$A$6:$A$35,0)),"开票方不在单位档案",IF($F281="","未选收票/收款方",IF(ISNA(MATCH($F281,单位档案!$A$6:$A$35,0)),"收款方不在单位档案",IF(NOT(ISNUMBER($H281)),"金额须为数字",IF(AND($D281="销项开票",$N281="—"),"链条待确认","√")))))))))))</f>
        <v>√</v>
      </c>
      <c r="M281" s="34" t="str">
        <f aca="false">IF($C281="","",IFERROR(INDEX(项目档案!$B$6:$B$255,MATCH($C281,项目档案!$A$6:$A$255,0)),"⚠项目编号不存在"))</f>
        <v>重庆民能实业有限公司2025-2026年度工程用特种设备租赁服务框架采购(铜梁公司2026年35kV输电专业应急抢修检修外包项目(输电运检中心2026年35kV线路接地隐患消除等3个项目)）</v>
      </c>
      <c r="N281" s="35" t="str">
        <f aca="false">IF($E281="","",IF($E281=IFERROR(INDEX(项目档案!$D$6:$D$255,MATCH($C281,项目档案!$A$6:$A$255,0)),""),"一级",IF($E281=IFERROR(INDEX(项目档案!$F$6:$F$255,MATCH($C281,项目档案!$A$6:$A$255,0)),""),"二级",IF($E281=IFERROR(INDEX(项目档案!$H$6:$H$255,MATCH($C281,项目档案!$A$6:$A$255,0)),""),"我方","—"))))</f>
        <v>我方</v>
      </c>
      <c r="O281" s="36" t="n">
        <f aca="false">IF($D281&lt;&gt;"销项开票",0,ROUND(N($H281)*N($I281),2))</f>
        <v>0</v>
      </c>
      <c r="P281" s="36" t="n">
        <f aca="false">IF($D281&lt;&gt;"销项开票",0,ROUND(N($H281)-$O281,2))</f>
        <v>0</v>
      </c>
      <c r="Q281" s="37" t="n">
        <f aca="false">IF($E281="","",N(IFERROR(INDEX(单位档案!$E$6:$E$35,MATCH($E281,单位档案!$A$6:$A$35,0)),"")))</f>
        <v>0.03</v>
      </c>
      <c r="R281" s="37" t="n">
        <f aca="false">IF($E281="","",N(IFERROR(INDEX(单位档案!$F$6:$F$35,MATCH($E281,单位档案!$A$6:$A$35,0)),"")))</f>
        <v>0</v>
      </c>
      <c r="S281" s="36" t="n">
        <f aca="false">IF(OR($D281&lt;&gt;"销项开票",IFERROR(INDEX(单位档案!$G$6:$G$35,MATCH($E281,单位档案!$A$6:$A$35,0)),"")&lt;&gt;"是",N($Q281)=0),0,IF(IFERROR(INDEX(单位档案!$H$6:$H$35,MATCH($E281,单位档案!$A$6:$A$35,0)),"")="税差法",ROUND(N($H281)/(1+$Q281)*$Q281-IF(N($R281)=0,0,$P281/(1+$R281)*$R281),2),ROUND(N($H281)/(1+$Q281)*$Q281,2)))</f>
        <v>0</v>
      </c>
      <c r="T281" s="36" t="n">
        <f aca="false">ROUND($S281*N(IFERROR(INDEX(单位档案!$J$6:$J$35,MATCH($E281,单位档案!$A$6:$A$35,0)),"")),2)</f>
        <v>0</v>
      </c>
      <c r="U281" s="36" t="n">
        <f aca="false">IF($D281&lt;&gt;"销项开票",0,ROUND(N($H281)*N(IFERROR(INDEX(单位档案!$K$6:$K$35,MATCH($E281,单位档案!$A$6:$A$35,0)),"")),2))</f>
        <v>0</v>
      </c>
      <c r="V281" s="36" t="n">
        <f aca="false">IF(OR($D281&lt;&gt;"销项开票",N($Q281)=0),0,ROUND(N($H281)/(1+$Q281)*N(IFERROR(INDEX(单位档案!$L$6:$L$35,MATCH($E281,单位档案!$A$6:$A$35,0)),"")),2))</f>
        <v>0</v>
      </c>
      <c r="W281" s="36" t="n">
        <f aca="false">ROUND($S281+$T281+$U281+$V281,2)</f>
        <v>0</v>
      </c>
      <c r="X281" s="35" t="str">
        <f aca="false">IF(OR($D281="挂靠代收",$D281="我方收款"),COUNTIFS($D$5:$D281,"挂靠代收")+COUNTIFS($D$5:$D281,"我方收款"),"")</f>
        <v/>
      </c>
      <c r="Y281" s="35" t="s">
        <v>106</v>
      </c>
      <c r="Z281" s="21" t="s">
        <v>111</v>
      </c>
    </row>
    <row r="282" customFormat="false" ht="15.75" hidden="false" customHeight="true" outlineLevel="0" collapsed="false">
      <c r="A282" s="32" t="n">
        <f aca="false">IF($B282="","",ROW()-4)</f>
        <v>278</v>
      </c>
      <c r="B282" s="26" t="n">
        <v>46225</v>
      </c>
      <c r="C282" s="24" t="s">
        <v>248</v>
      </c>
      <c r="D282" s="21" t="s">
        <v>357</v>
      </c>
      <c r="E282" s="21" t="s">
        <v>131</v>
      </c>
      <c r="F282" s="21" t="s">
        <v>106</v>
      </c>
      <c r="G282" s="24" t="s">
        <v>308</v>
      </c>
      <c r="H282" s="27" t="n">
        <v>1188.53</v>
      </c>
      <c r="I282" s="23" t="str">
        <f aca="false">IF($D282&lt;&gt;"销项开票","",IF($N282="一级",IF(IFERROR(INDEX(项目档案!$E$6:$E$255,MATCH($C282,项目档案!$A$6:$A$255,0)),"")="",N(IFERROR(INDEX(单位档案!$D$6:$D$35,MATCH($E282,单位档案!$A$6:$A$35,0)),"")),IFERROR(INDEX(项目档案!$E$6:$E$255,MATCH($C282,项目档案!$A$6:$A$255,0)),"")),IF($N282="二级",IF(IFERROR(INDEX(项目档案!$G$6:$G$255,MATCH($C282,项目档案!$A$6:$A$255,0)),"")="",N(IFERROR(INDEX(单位档案!$D$6:$D$35,MATCH($E282,单位档案!$A$6:$A$35,0)),"")),IFERROR(INDEX(项目档案!$G$6:$G$255,MATCH($C282,项目档案!$A$6:$A$255,0)),"")),N(IFERROR(INDEX(单位档案!$D$6:$D$35,MATCH($E282,单位档案!$A$6:$A$35,0)),"")))))</f>
        <v/>
      </c>
      <c r="J282" s="25" t="s">
        <v>561</v>
      </c>
      <c r="K282" s="22" t="s">
        <v>313</v>
      </c>
      <c r="L282" s="33" t="str">
        <f aca="false">IF($B282="","",IF(NOT(ISNUMBER($B282)),"日期格式不对",IF($C282="","未选项目编号",IF(LEFT($M282,1)="⚠","项目编号不存在",IF($D282="","未选业务类型",IF($E282="","未选开票/付款方",IF(ISNA(MATCH($E282,单位档案!$A$6:$A$35,0)),"开票方不在单位档案",IF($F282="","未选收票/收款方",IF(ISNA(MATCH($F282,单位档案!$A$6:$A$35,0)),"收款方不在单位档案",IF(NOT(ISNUMBER($H282)),"金额须为数字",IF(AND($D282="销项开票",$N282="—"),"链条待确认","√")))))))))))</f>
        <v>√</v>
      </c>
      <c r="M282" s="34" t="str">
        <f aca="false">IF($C282="","",IFERROR(INDEX(项目档案!$B$6:$B$255,MATCH($C282,项目档案!$A$6:$A$255,0)),"⚠项目编号不存在"))</f>
        <v>重庆民能实业有限公司2025-2026年度工程用特种设备租赁服务框架采购(铜梁公司2026年配电专业应急抢修抢险等外包项目(永嘉所许家3社1等台区2个隐患治理项目))</v>
      </c>
      <c r="N282" s="35" t="str">
        <f aca="false">IF($E282="","",IF($E282=IFERROR(INDEX(项目档案!$D$6:$D$255,MATCH($C282,项目档案!$A$6:$A$255,0)),""),"一级",IF($E282=IFERROR(INDEX(项目档案!$F$6:$F$255,MATCH($C282,项目档案!$A$6:$A$255,0)),""),"二级",IF($E282=IFERROR(INDEX(项目档案!$H$6:$H$255,MATCH($C282,项目档案!$A$6:$A$255,0)),""),"我方","—"))))</f>
        <v>—</v>
      </c>
      <c r="O282" s="36" t="n">
        <f aca="false">IF($D282&lt;&gt;"销项开票",0,ROUND(N($H282)*N($I282),2))</f>
        <v>0</v>
      </c>
      <c r="P282" s="36" t="n">
        <f aca="false">IF($D282&lt;&gt;"销项开票",0,ROUND(N($H282)-$O282,2))</f>
        <v>0</v>
      </c>
      <c r="Q282" s="37" t="n">
        <f aca="false">IF($E282="","",N(IFERROR(INDEX(单位档案!$E$6:$E$35,MATCH($E282,单位档案!$A$6:$A$35,0)),"")))</f>
        <v>0.13</v>
      </c>
      <c r="R282" s="37" t="n">
        <f aca="false">IF($E282="","",N(IFERROR(INDEX(单位档案!$F$6:$F$35,MATCH($E282,单位档案!$A$6:$A$35,0)),"")))</f>
        <v>0</v>
      </c>
      <c r="S282" s="36" t="n">
        <f aca="false">IF(OR($D282&lt;&gt;"销项开票",IFERROR(INDEX(单位档案!$G$6:$G$35,MATCH($E282,单位档案!$A$6:$A$35,0)),"")&lt;&gt;"是",N($Q282)=0),0,IF(IFERROR(INDEX(单位档案!$H$6:$H$35,MATCH($E282,单位档案!$A$6:$A$35,0)),"")="税差法",ROUND(N($H282)/(1+$Q282)*$Q282-IF(N($R282)=0,0,$P282/(1+$R282)*$R282),2),ROUND(N($H282)/(1+$Q282)*$Q282,2)))</f>
        <v>0</v>
      </c>
      <c r="T282" s="36" t="n">
        <f aca="false">ROUND($S282*N(IFERROR(INDEX(单位档案!$J$6:$J$35,MATCH($E282,单位档案!$A$6:$A$35,0)),"")),2)</f>
        <v>0</v>
      </c>
      <c r="U282" s="36" t="n">
        <f aca="false">IF($D282&lt;&gt;"销项开票",0,ROUND(N($H282)*N(IFERROR(INDEX(单位档案!$K$6:$K$35,MATCH($E282,单位档案!$A$6:$A$35,0)),"")),2))</f>
        <v>0</v>
      </c>
      <c r="V282" s="36" t="n">
        <f aca="false">IF(OR($D282&lt;&gt;"销项开票",N($Q282)=0),0,ROUND(N($H282)/(1+$Q282)*N(IFERROR(INDEX(单位档案!$L$6:$L$35,MATCH($E282,单位档案!$A$6:$A$35,0)),"")),2))</f>
        <v>0</v>
      </c>
      <c r="W282" s="36" t="n">
        <f aca="false">ROUND($S282+$T282+$U282+$V282,2)</f>
        <v>0</v>
      </c>
      <c r="X282" s="35" t="str">
        <f aca="false">IF(OR($D282="挂靠代收",$D282="我方收款"),COUNTIFS($D$5:$D282,"挂靠代收")+COUNTIFS($D$5:$D282,"我方收款"),"")</f>
        <v/>
      </c>
      <c r="Y282" s="35" t="s">
        <v>106</v>
      </c>
      <c r="Z282" s="21" t="s">
        <v>111</v>
      </c>
    </row>
    <row r="283" customFormat="false" ht="15.75" hidden="false" customHeight="true" outlineLevel="0" collapsed="false">
      <c r="A283" s="32" t="n">
        <f aca="false">IF($B283="","",ROW()-4)</f>
        <v>279</v>
      </c>
      <c r="B283" s="26" t="n">
        <v>46225</v>
      </c>
      <c r="C283" s="24" t="s">
        <v>242</v>
      </c>
      <c r="D283" s="21" t="s">
        <v>357</v>
      </c>
      <c r="E283" s="21" t="s">
        <v>131</v>
      </c>
      <c r="F283" s="21" t="s">
        <v>106</v>
      </c>
      <c r="G283" s="24" t="s">
        <v>308</v>
      </c>
      <c r="H283" s="27" t="n">
        <v>2460.02</v>
      </c>
      <c r="I283" s="23" t="str">
        <f aca="false">IF($D283&lt;&gt;"销项开票","",IF($N283="一级",IF(IFERROR(INDEX(项目档案!$E$6:$E$255,MATCH($C283,项目档案!$A$6:$A$255,0)),"")="",N(IFERROR(INDEX(单位档案!$D$6:$D$35,MATCH($E283,单位档案!$A$6:$A$35,0)),"")),IFERROR(INDEX(项目档案!$E$6:$E$255,MATCH($C283,项目档案!$A$6:$A$255,0)),"")),IF($N283="二级",IF(IFERROR(INDEX(项目档案!$G$6:$G$255,MATCH($C283,项目档案!$A$6:$A$255,0)),"")="",N(IFERROR(INDEX(单位档案!$D$6:$D$35,MATCH($E283,单位档案!$A$6:$A$35,0)),"")),IFERROR(INDEX(项目档案!$G$6:$G$255,MATCH($C283,项目档案!$A$6:$A$255,0)),"")),N(IFERROR(INDEX(单位档案!$D$6:$D$35,MATCH($E283,单位档案!$A$6:$A$35,0)),"")))))</f>
        <v/>
      </c>
      <c r="J283" s="25" t="s">
        <v>562</v>
      </c>
      <c r="K283" s="22" t="s">
        <v>313</v>
      </c>
      <c r="L283" s="33" t="str">
        <f aca="false">IF($B283="","",IF(NOT(ISNUMBER($B283)),"日期格式不对",IF($C283="","未选项目编号",IF(LEFT($M283,1)="⚠","项目编号不存在",IF($D283="","未选业务类型",IF($E283="","未选开票/付款方",IF(ISNA(MATCH($E283,单位档案!$A$6:$A$35,0)),"开票方不在单位档案",IF($F283="","未选收票/收款方",IF(ISNA(MATCH($F283,单位档案!$A$6:$A$35,0)),"收款方不在单位档案",IF(NOT(ISNUMBER($H283)),"金额须为数字",IF(AND($D283="销项开票",$N283="—"),"链条待确认","√")))))))))))</f>
        <v>√</v>
      </c>
      <c r="M283" s="34" t="str">
        <f aca="false">IF($C283="","",IFERROR(INDEX(项目档案!$B$6:$B$255,MATCH($C283,项目档案!$A$6:$A$255,0)),"⚠项目编号不存在"))</f>
        <v>重庆民能实业有限公司2025-2026年度工程用特种设备租赁服务框架采购(铜梁公司2026年配电专业应急抢修抢险等外包项目(永嘉所高丰3社等台区4个应急抢修项目))</v>
      </c>
      <c r="N283" s="35" t="str">
        <f aca="false">IF($E283="","",IF($E283=IFERROR(INDEX(项目档案!$D$6:$D$255,MATCH($C283,项目档案!$A$6:$A$255,0)),""),"一级",IF($E283=IFERROR(INDEX(项目档案!$F$6:$F$255,MATCH($C283,项目档案!$A$6:$A$255,0)),""),"二级",IF($E283=IFERROR(INDEX(项目档案!$H$6:$H$255,MATCH($C283,项目档案!$A$6:$A$255,0)),""),"我方","—"))))</f>
        <v>—</v>
      </c>
      <c r="O283" s="36" t="n">
        <f aca="false">IF($D283&lt;&gt;"销项开票",0,ROUND(N($H283)*N($I283),2))</f>
        <v>0</v>
      </c>
      <c r="P283" s="36" t="n">
        <f aca="false">IF($D283&lt;&gt;"销项开票",0,ROUND(N($H283)-$O283,2))</f>
        <v>0</v>
      </c>
      <c r="Q283" s="37" t="n">
        <f aca="false">IF($E283="","",N(IFERROR(INDEX(单位档案!$E$6:$E$35,MATCH($E283,单位档案!$A$6:$A$35,0)),"")))</f>
        <v>0.13</v>
      </c>
      <c r="R283" s="37" t="n">
        <f aca="false">IF($E283="","",N(IFERROR(INDEX(单位档案!$F$6:$F$35,MATCH($E283,单位档案!$A$6:$A$35,0)),"")))</f>
        <v>0</v>
      </c>
      <c r="S283" s="36" t="n">
        <f aca="false">IF(OR($D283&lt;&gt;"销项开票",IFERROR(INDEX(单位档案!$G$6:$G$35,MATCH($E283,单位档案!$A$6:$A$35,0)),"")&lt;&gt;"是",N($Q283)=0),0,IF(IFERROR(INDEX(单位档案!$H$6:$H$35,MATCH($E283,单位档案!$A$6:$A$35,0)),"")="税差法",ROUND(N($H283)/(1+$Q283)*$Q283-IF(N($R283)=0,0,$P283/(1+$R283)*$R283),2),ROUND(N($H283)/(1+$Q283)*$Q283,2)))</f>
        <v>0</v>
      </c>
      <c r="T283" s="36" t="n">
        <f aca="false">ROUND($S283*N(IFERROR(INDEX(单位档案!$J$6:$J$35,MATCH($E283,单位档案!$A$6:$A$35,0)),"")),2)</f>
        <v>0</v>
      </c>
      <c r="U283" s="36" t="n">
        <f aca="false">IF($D283&lt;&gt;"销项开票",0,ROUND(N($H283)*N(IFERROR(INDEX(单位档案!$K$6:$K$35,MATCH($E283,单位档案!$A$6:$A$35,0)),"")),2))</f>
        <v>0</v>
      </c>
      <c r="V283" s="36" t="n">
        <f aca="false">IF(OR($D283&lt;&gt;"销项开票",N($Q283)=0),0,ROUND(N($H283)/(1+$Q283)*N(IFERROR(INDEX(单位档案!$L$6:$L$35,MATCH($E283,单位档案!$A$6:$A$35,0)),"")),2))</f>
        <v>0</v>
      </c>
      <c r="W283" s="36" t="n">
        <f aca="false">ROUND($S283+$T283+$U283+$V283,2)</f>
        <v>0</v>
      </c>
      <c r="X283" s="35" t="str">
        <f aca="false">IF(OR($D283="挂靠代收",$D283="我方收款"),COUNTIFS($D$5:$D283,"挂靠代收")+COUNTIFS($D$5:$D283,"我方收款"),"")</f>
        <v/>
      </c>
      <c r="Y283" s="35" t="s">
        <v>106</v>
      </c>
      <c r="Z283" s="21" t="s">
        <v>111</v>
      </c>
    </row>
    <row r="284" customFormat="false" ht="15.75" hidden="false" customHeight="true" outlineLevel="0" collapsed="false">
      <c r="A284" s="32" t="n">
        <f aca="false">IF($B284="","",ROW()-4)</f>
        <v>280</v>
      </c>
      <c r="B284" s="26" t="n">
        <v>46225</v>
      </c>
      <c r="C284" s="24" t="s">
        <v>250</v>
      </c>
      <c r="D284" s="21" t="s">
        <v>357</v>
      </c>
      <c r="E284" s="21" t="s">
        <v>131</v>
      </c>
      <c r="F284" s="21" t="s">
        <v>106</v>
      </c>
      <c r="G284" s="24" t="s">
        <v>308</v>
      </c>
      <c r="H284" s="27" t="n">
        <v>1557.63</v>
      </c>
      <c r="I284" s="23" t="str">
        <f aca="false">IF($D284&lt;&gt;"销项开票","",IF($N284="一级",IF(IFERROR(INDEX(项目档案!$E$6:$E$255,MATCH($C284,项目档案!$A$6:$A$255,0)),"")="",N(IFERROR(INDEX(单位档案!$D$6:$D$35,MATCH($E284,单位档案!$A$6:$A$35,0)),"")),IFERROR(INDEX(项目档案!$E$6:$E$255,MATCH($C284,项目档案!$A$6:$A$255,0)),"")),IF($N284="二级",IF(IFERROR(INDEX(项目档案!$G$6:$G$255,MATCH($C284,项目档案!$A$6:$A$255,0)),"")="",N(IFERROR(INDEX(单位档案!$D$6:$D$35,MATCH($E284,单位档案!$A$6:$A$35,0)),"")),IFERROR(INDEX(项目档案!$G$6:$G$255,MATCH($C284,项目档案!$A$6:$A$255,0)),"")),N(IFERROR(INDEX(单位档案!$D$6:$D$35,MATCH($E284,单位档案!$A$6:$A$35,0)),"")))))</f>
        <v/>
      </c>
      <c r="J284" s="25" t="s">
        <v>563</v>
      </c>
      <c r="K284" s="22" t="s">
        <v>313</v>
      </c>
      <c r="L284" s="33" t="str">
        <f aca="false">IF($B284="","",IF(NOT(ISNUMBER($B284)),"日期格式不对",IF($C284="","未选项目编号",IF(LEFT($M284,1)="⚠","项目编号不存在",IF($D284="","未选业务类型",IF($E284="","未选开票/付款方",IF(ISNA(MATCH($E284,单位档案!$A$6:$A$35,0)),"开票方不在单位档案",IF($F284="","未选收票/收款方",IF(ISNA(MATCH($F284,单位档案!$A$6:$A$35,0)),"收款方不在单位档案",IF(NOT(ISNUMBER($H284)),"金额须为数字",IF(AND($D284="销项开票",$N284="—"),"链条待确认","√")))))))))))</f>
        <v>√</v>
      </c>
      <c r="M284" s="34" t="str">
        <f aca="false">IF($C284="","",IFERROR(INDEX(项目档案!$B$6:$B$255,MATCH($C284,项目档案!$A$6:$A$255,0)),"⚠项目编号不存在"))</f>
        <v>重庆民能实业有限公司2025-2026年度工程用特种设备租赁服务框架采购(铜梁公司2026年配电专业应急抢修抢险等外包项目(永嘉所义和8社等台区3个对地不足隐患治理项目))</v>
      </c>
      <c r="N284" s="35" t="str">
        <f aca="false">IF($E284="","",IF($E284=IFERROR(INDEX(项目档案!$D$6:$D$255,MATCH($C284,项目档案!$A$6:$A$255,0)),""),"一级",IF($E284=IFERROR(INDEX(项目档案!$F$6:$F$255,MATCH($C284,项目档案!$A$6:$A$255,0)),""),"二级",IF($E284=IFERROR(INDEX(项目档案!$H$6:$H$255,MATCH($C284,项目档案!$A$6:$A$255,0)),""),"我方","—"))))</f>
        <v>—</v>
      </c>
      <c r="O284" s="36" t="n">
        <f aca="false">IF($D284&lt;&gt;"销项开票",0,ROUND(N($H284)*N($I284),2))</f>
        <v>0</v>
      </c>
      <c r="P284" s="36" t="n">
        <f aca="false">IF($D284&lt;&gt;"销项开票",0,ROUND(N($H284)-$O284,2))</f>
        <v>0</v>
      </c>
      <c r="Q284" s="37" t="n">
        <f aca="false">IF($E284="","",N(IFERROR(INDEX(单位档案!$E$6:$E$35,MATCH($E284,单位档案!$A$6:$A$35,0)),"")))</f>
        <v>0.13</v>
      </c>
      <c r="R284" s="37" t="n">
        <f aca="false">IF($E284="","",N(IFERROR(INDEX(单位档案!$F$6:$F$35,MATCH($E284,单位档案!$A$6:$A$35,0)),"")))</f>
        <v>0</v>
      </c>
      <c r="S284" s="36" t="n">
        <f aca="false">IF(OR($D284&lt;&gt;"销项开票",IFERROR(INDEX(单位档案!$G$6:$G$35,MATCH($E284,单位档案!$A$6:$A$35,0)),"")&lt;&gt;"是",N($Q284)=0),0,IF(IFERROR(INDEX(单位档案!$H$6:$H$35,MATCH($E284,单位档案!$A$6:$A$35,0)),"")="税差法",ROUND(N($H284)/(1+$Q284)*$Q284-IF(N($R284)=0,0,$P284/(1+$R284)*$R284),2),ROUND(N($H284)/(1+$Q284)*$Q284,2)))</f>
        <v>0</v>
      </c>
      <c r="T284" s="36" t="n">
        <f aca="false">ROUND($S284*N(IFERROR(INDEX(单位档案!$J$6:$J$35,MATCH($E284,单位档案!$A$6:$A$35,0)),"")),2)</f>
        <v>0</v>
      </c>
      <c r="U284" s="36" t="n">
        <f aca="false">IF($D284&lt;&gt;"销项开票",0,ROUND(N($H284)*N(IFERROR(INDEX(单位档案!$K$6:$K$35,MATCH($E284,单位档案!$A$6:$A$35,0)),"")),2))</f>
        <v>0</v>
      </c>
      <c r="V284" s="36" t="n">
        <f aca="false">IF(OR($D284&lt;&gt;"销项开票",N($Q284)=0),0,ROUND(N($H284)/(1+$Q284)*N(IFERROR(INDEX(单位档案!$L$6:$L$35,MATCH($E284,单位档案!$A$6:$A$35,0)),"")),2))</f>
        <v>0</v>
      </c>
      <c r="W284" s="36" t="n">
        <f aca="false">ROUND($S284+$T284+$U284+$V284,2)</f>
        <v>0</v>
      </c>
      <c r="X284" s="35" t="str">
        <f aca="false">IF(OR($D284="挂靠代收",$D284="我方收款"),COUNTIFS($D$5:$D284,"挂靠代收")+COUNTIFS($D$5:$D284,"我方收款"),"")</f>
        <v/>
      </c>
      <c r="Y284" s="35" t="s">
        <v>106</v>
      </c>
      <c r="Z284" s="21" t="s">
        <v>111</v>
      </c>
    </row>
    <row r="285" customFormat="false" ht="15.75" hidden="false" customHeight="true" outlineLevel="0" collapsed="false">
      <c r="A285" s="32" t="n">
        <f aca="false">IF($B285="","",ROW()-4)</f>
        <v>281</v>
      </c>
      <c r="B285" s="26" t="n">
        <v>46225</v>
      </c>
      <c r="C285" s="24" t="s">
        <v>236</v>
      </c>
      <c r="D285" s="21" t="s">
        <v>357</v>
      </c>
      <c r="E285" s="21" t="s">
        <v>131</v>
      </c>
      <c r="F285" s="21" t="s">
        <v>106</v>
      </c>
      <c r="G285" s="24" t="s">
        <v>308</v>
      </c>
      <c r="H285" s="27" t="n">
        <v>2154.85</v>
      </c>
      <c r="I285" s="23" t="str">
        <f aca="false">IF($D285&lt;&gt;"销项开票","",IF($N285="一级",IF(IFERROR(INDEX(项目档案!$E$6:$E$255,MATCH($C285,项目档案!$A$6:$A$255,0)),"")="",N(IFERROR(INDEX(单位档案!$D$6:$D$35,MATCH($E285,单位档案!$A$6:$A$35,0)),"")),IFERROR(INDEX(项目档案!$E$6:$E$255,MATCH($C285,项目档案!$A$6:$A$255,0)),"")),IF($N285="二级",IF(IFERROR(INDEX(项目档案!$G$6:$G$255,MATCH($C285,项目档案!$A$6:$A$255,0)),"")="",N(IFERROR(INDEX(单位档案!$D$6:$D$35,MATCH($E285,单位档案!$A$6:$A$35,0)),"")),IFERROR(INDEX(项目档案!$G$6:$G$255,MATCH($C285,项目档案!$A$6:$A$255,0)),"")),N(IFERROR(INDEX(单位档案!$D$6:$D$35,MATCH($E285,单位档案!$A$6:$A$35,0)),"")))))</f>
        <v/>
      </c>
      <c r="J285" s="25" t="s">
        <v>564</v>
      </c>
      <c r="K285" s="22" t="s">
        <v>313</v>
      </c>
      <c r="L285" s="33" t="str">
        <f aca="false">IF($B285="","",IF(NOT(ISNUMBER($B285)),"日期格式不对",IF($C285="","未选项目编号",IF(LEFT($M285,1)="⚠","项目编号不存在",IF($D285="","未选业务类型",IF($E285="","未选开票/付款方",IF(ISNA(MATCH($E285,单位档案!$A$6:$A$35,0)),"开票方不在单位档案",IF($F285="","未选收票/收款方",IF(ISNA(MATCH($F285,单位档案!$A$6:$A$35,0)),"收款方不在单位档案",IF(NOT(ISNUMBER($H285)),"金额须为数字",IF(AND($D285="销项开票",$N285="—"),"链条待确认","√")))))))))))</f>
        <v>√</v>
      </c>
      <c r="M285" s="34" t="str">
        <f aca="false">IF($C285="","",IFERROR(INDEX(项目档案!$B$6:$B$255,MATCH($C285,项目档案!$A$6:$A$255,0)),"⚠项目编号不存在"))</f>
        <v>重庆民能实业有限公司2025-2026年度工程用特种设备租赁服务框架采购(铜梁公司2026年35kV输电专业应急抢修检修外包项目(输电运检中心2026年35kV线路接地隐患消除等3个项目))</v>
      </c>
      <c r="N285" s="35" t="str">
        <f aca="false">IF($E285="","",IF($E285=IFERROR(INDEX(项目档案!$D$6:$D$255,MATCH($C285,项目档案!$A$6:$A$255,0)),""),"一级",IF($E285=IFERROR(INDEX(项目档案!$F$6:$F$255,MATCH($C285,项目档案!$A$6:$A$255,0)),""),"二级",IF($E285=IFERROR(INDEX(项目档案!$H$6:$H$255,MATCH($C285,项目档案!$A$6:$A$255,0)),""),"我方","—"))))</f>
        <v>—</v>
      </c>
      <c r="O285" s="36" t="n">
        <f aca="false">IF($D285&lt;&gt;"销项开票",0,ROUND(N($H285)*N($I285),2))</f>
        <v>0</v>
      </c>
      <c r="P285" s="36" t="n">
        <f aca="false">IF($D285&lt;&gt;"销项开票",0,ROUND(N($H285)-$O285,2))</f>
        <v>0</v>
      </c>
      <c r="Q285" s="37" t="n">
        <f aca="false">IF($E285="","",N(IFERROR(INDEX(单位档案!$E$6:$E$35,MATCH($E285,单位档案!$A$6:$A$35,0)),"")))</f>
        <v>0.13</v>
      </c>
      <c r="R285" s="37" t="n">
        <f aca="false">IF($E285="","",N(IFERROR(INDEX(单位档案!$F$6:$F$35,MATCH($E285,单位档案!$A$6:$A$35,0)),"")))</f>
        <v>0</v>
      </c>
      <c r="S285" s="36" t="n">
        <f aca="false">IF(OR($D285&lt;&gt;"销项开票",IFERROR(INDEX(单位档案!$G$6:$G$35,MATCH($E285,单位档案!$A$6:$A$35,0)),"")&lt;&gt;"是",N($Q285)=0),0,IF(IFERROR(INDEX(单位档案!$H$6:$H$35,MATCH($E285,单位档案!$A$6:$A$35,0)),"")="税差法",ROUND(N($H285)/(1+$Q285)*$Q285-IF(N($R285)=0,0,$P285/(1+$R285)*$R285),2),ROUND(N($H285)/(1+$Q285)*$Q285,2)))</f>
        <v>0</v>
      </c>
      <c r="T285" s="36" t="n">
        <f aca="false">ROUND($S285*N(IFERROR(INDEX(单位档案!$J$6:$J$35,MATCH($E285,单位档案!$A$6:$A$35,0)),"")),2)</f>
        <v>0</v>
      </c>
      <c r="U285" s="36" t="n">
        <f aca="false">IF($D285&lt;&gt;"销项开票",0,ROUND(N($H285)*N(IFERROR(INDEX(单位档案!$K$6:$K$35,MATCH($E285,单位档案!$A$6:$A$35,0)),"")),2))</f>
        <v>0</v>
      </c>
      <c r="V285" s="36" t="n">
        <f aca="false">IF(OR($D285&lt;&gt;"销项开票",N($Q285)=0),0,ROUND(N($H285)/(1+$Q285)*N(IFERROR(INDEX(单位档案!$L$6:$L$35,MATCH($E285,单位档案!$A$6:$A$35,0)),"")),2))</f>
        <v>0</v>
      </c>
      <c r="W285" s="36" t="n">
        <f aca="false">ROUND($S285+$T285+$U285+$V285,2)</f>
        <v>0</v>
      </c>
      <c r="X285" s="35" t="str">
        <f aca="false">IF(OR($D285="挂靠代收",$D285="我方收款"),COUNTIFS($D$5:$D285,"挂靠代收")+COUNTIFS($D$5:$D285,"我方收款"),"")</f>
        <v/>
      </c>
      <c r="Y285" s="35" t="s">
        <v>106</v>
      </c>
      <c r="Z285" s="21" t="s">
        <v>111</v>
      </c>
    </row>
    <row r="286" customFormat="false" ht="15.75" hidden="false" customHeight="true" outlineLevel="0" collapsed="false">
      <c r="A286" s="32" t="n">
        <f aca="false">IF($B286="","",ROW()-4)</f>
        <v>282</v>
      </c>
      <c r="B286" s="26" t="n">
        <v>46225</v>
      </c>
      <c r="C286" s="24" t="s">
        <v>238</v>
      </c>
      <c r="D286" s="21" t="s">
        <v>357</v>
      </c>
      <c r="E286" s="21" t="s">
        <v>131</v>
      </c>
      <c r="F286" s="21" t="s">
        <v>106</v>
      </c>
      <c r="G286" s="24" t="s">
        <v>308</v>
      </c>
      <c r="H286" s="27" t="n">
        <v>5074.17</v>
      </c>
      <c r="I286" s="23" t="str">
        <f aca="false">IF($D286&lt;&gt;"销项开票","",IF($N286="一级",IF(IFERROR(INDEX(项目档案!$E$6:$E$255,MATCH($C286,项目档案!$A$6:$A$255,0)),"")="",N(IFERROR(INDEX(单位档案!$D$6:$D$35,MATCH($E286,单位档案!$A$6:$A$35,0)),"")),IFERROR(INDEX(项目档案!$E$6:$E$255,MATCH($C286,项目档案!$A$6:$A$255,0)),"")),IF($N286="二级",IF(IFERROR(INDEX(项目档案!$G$6:$G$255,MATCH($C286,项目档案!$A$6:$A$255,0)),"")="",N(IFERROR(INDEX(单位档案!$D$6:$D$35,MATCH($E286,单位档案!$A$6:$A$35,0)),"")),IFERROR(INDEX(项目档案!$G$6:$G$255,MATCH($C286,项目档案!$A$6:$A$255,0)),"")),N(IFERROR(INDEX(单位档案!$D$6:$D$35,MATCH($E286,单位档案!$A$6:$A$35,0)),"")))))</f>
        <v/>
      </c>
      <c r="J286" s="25" t="s">
        <v>565</v>
      </c>
      <c r="K286" s="22" t="s">
        <v>313</v>
      </c>
      <c r="L286" s="33" t="str">
        <f aca="false">IF($B286="","",IF(NOT(ISNUMBER($B286)),"日期格式不对",IF($C286="","未选项目编号",IF(LEFT($M286,1)="⚠","项目编号不存在",IF($D286="","未选业务类型",IF($E286="","未选开票/付款方",IF(ISNA(MATCH($E286,单位档案!$A$6:$A$35,0)),"开票方不在单位档案",IF($F286="","未选收票/收款方",IF(ISNA(MATCH($F286,单位档案!$A$6:$A$35,0)),"收款方不在单位档案",IF(NOT(ISNUMBER($H286)),"金额须为数字",IF(AND($D286="销项开票",$N286="—"),"链条待确认","√")))))))))))</f>
        <v>√</v>
      </c>
      <c r="M286" s="34" t="str">
        <f aca="false">IF($C286="","",IFERROR(INDEX(项目档案!$B$6:$B$255,MATCH($C286,项目档案!$A$6:$A$255,0)),"⚠项目编号不存在"))</f>
        <v>重庆民能实业有限公司2025-2026年度工程用特种设备租赁服务框架采购(10kV少盘线哨楼村支线#1杆线路迁改工程)</v>
      </c>
      <c r="N286" s="35" t="str">
        <f aca="false">IF($E286="","",IF($E286=IFERROR(INDEX(项目档案!$D$6:$D$255,MATCH($C286,项目档案!$A$6:$A$255,0)),""),"一级",IF($E286=IFERROR(INDEX(项目档案!$F$6:$F$255,MATCH($C286,项目档案!$A$6:$A$255,0)),""),"二级",IF($E286=IFERROR(INDEX(项目档案!$H$6:$H$255,MATCH($C286,项目档案!$A$6:$A$255,0)),""),"我方","—"))))</f>
        <v>—</v>
      </c>
      <c r="O286" s="36" t="n">
        <f aca="false">IF($D286&lt;&gt;"销项开票",0,ROUND(N($H286)*N($I286),2))</f>
        <v>0</v>
      </c>
      <c r="P286" s="36" t="n">
        <f aca="false">IF($D286&lt;&gt;"销项开票",0,ROUND(N($H286)-$O286,2))</f>
        <v>0</v>
      </c>
      <c r="Q286" s="37" t="n">
        <f aca="false">IF($E286="","",N(IFERROR(INDEX(单位档案!$E$6:$E$35,MATCH($E286,单位档案!$A$6:$A$35,0)),"")))</f>
        <v>0.13</v>
      </c>
      <c r="R286" s="37" t="n">
        <f aca="false">IF($E286="","",N(IFERROR(INDEX(单位档案!$F$6:$F$35,MATCH($E286,单位档案!$A$6:$A$35,0)),"")))</f>
        <v>0</v>
      </c>
      <c r="S286" s="36" t="n">
        <f aca="false">IF(OR($D286&lt;&gt;"销项开票",IFERROR(INDEX(单位档案!$G$6:$G$35,MATCH($E286,单位档案!$A$6:$A$35,0)),"")&lt;&gt;"是",N($Q286)=0),0,IF(IFERROR(INDEX(单位档案!$H$6:$H$35,MATCH($E286,单位档案!$A$6:$A$35,0)),"")="税差法",ROUND(N($H286)/(1+$Q286)*$Q286-IF(N($R286)=0,0,$P286/(1+$R286)*$R286),2),ROUND(N($H286)/(1+$Q286)*$Q286,2)))</f>
        <v>0</v>
      </c>
      <c r="T286" s="36" t="n">
        <f aca="false">ROUND($S286*N(IFERROR(INDEX(单位档案!$J$6:$J$35,MATCH($E286,单位档案!$A$6:$A$35,0)),"")),2)</f>
        <v>0</v>
      </c>
      <c r="U286" s="36" t="n">
        <f aca="false">IF($D286&lt;&gt;"销项开票",0,ROUND(N($H286)*N(IFERROR(INDEX(单位档案!$K$6:$K$35,MATCH($E286,单位档案!$A$6:$A$35,0)),"")),2))</f>
        <v>0</v>
      </c>
      <c r="V286" s="36" t="n">
        <f aca="false">IF(OR($D286&lt;&gt;"销项开票",N($Q286)=0),0,ROUND(N($H286)/(1+$Q286)*N(IFERROR(INDEX(单位档案!$L$6:$L$35,MATCH($E286,单位档案!$A$6:$A$35,0)),"")),2))</f>
        <v>0</v>
      </c>
      <c r="W286" s="36" t="n">
        <f aca="false">ROUND($S286+$T286+$U286+$V286,2)</f>
        <v>0</v>
      </c>
      <c r="X286" s="35" t="str">
        <f aca="false">IF(OR($D286="挂靠代收",$D286="我方收款"),COUNTIFS($D$5:$D286,"挂靠代收")+COUNTIFS($D$5:$D286,"我方收款"),"")</f>
        <v/>
      </c>
      <c r="Y286" s="35" t="s">
        <v>106</v>
      </c>
      <c r="Z286" s="21" t="s">
        <v>111</v>
      </c>
    </row>
    <row r="287" customFormat="false" ht="15.75" hidden="false" customHeight="true" outlineLevel="0" collapsed="false">
      <c r="A287" s="32" t="n">
        <f aca="false">IF($B287="","",ROW()-4)</f>
        <v>283</v>
      </c>
      <c r="B287" s="26" t="n">
        <v>46225</v>
      </c>
      <c r="C287" s="24" t="s">
        <v>240</v>
      </c>
      <c r="D287" s="21" t="s">
        <v>357</v>
      </c>
      <c r="E287" s="21" t="s">
        <v>131</v>
      </c>
      <c r="F287" s="21" t="s">
        <v>106</v>
      </c>
      <c r="G287" s="24" t="s">
        <v>394</v>
      </c>
      <c r="H287" s="27" t="n">
        <v>871.83</v>
      </c>
      <c r="I287" s="23" t="str">
        <f aca="false">IF($D287&lt;&gt;"销项开票","",IF($N287="一级",IF(IFERROR(INDEX(项目档案!$E$6:$E$255,MATCH($C287,项目档案!$A$6:$A$255,0)),"")="",N(IFERROR(INDEX(单位档案!$D$6:$D$35,MATCH($E287,单位档案!$A$6:$A$35,0)),"")),IFERROR(INDEX(项目档案!$E$6:$E$255,MATCH($C287,项目档案!$A$6:$A$255,0)),"")),IF($N287="二级",IF(IFERROR(INDEX(项目档案!$G$6:$G$255,MATCH($C287,项目档案!$A$6:$A$255,0)),"")="",N(IFERROR(INDEX(单位档案!$D$6:$D$35,MATCH($E287,单位档案!$A$6:$A$35,0)),"")),IFERROR(INDEX(项目档案!$G$6:$G$255,MATCH($C287,项目档案!$A$6:$A$255,0)),"")),N(IFERROR(INDEX(单位档案!$D$6:$D$35,MATCH($E287,单位档案!$A$6:$A$35,0)),"")))))</f>
        <v/>
      </c>
      <c r="J287" s="25" t="s">
        <v>561</v>
      </c>
      <c r="K287" s="22" t="s">
        <v>313</v>
      </c>
      <c r="L287" s="33" t="str">
        <f aca="false">IF($B287="","",IF(NOT(ISNUMBER($B287)),"日期格式不对",IF($C287="","未选项目编号",IF(LEFT($M287,1)="⚠","项目编号不存在",IF($D287="","未选业务类型",IF($E287="","未选开票/付款方",IF(ISNA(MATCH($E287,单位档案!$A$6:$A$35,0)),"开票方不在单位档案",IF($F287="","未选收票/收款方",IF(ISNA(MATCH($F287,单位档案!$A$6:$A$35,0)),"收款方不在单位档案",IF(NOT(ISNUMBER($H287)),"金额须为数字",IF(AND($D287="销项开票",$N287="—"),"链条待确认","√")))))))))))</f>
        <v>√</v>
      </c>
      <c r="M287" s="34" t="str">
        <f aca="false">IF($C287="","",IFERROR(INDEX(项目档案!$B$6:$B$255,MATCH($C287,项目档案!$A$6:$A$255,0)),"⚠项目编号不存在"))</f>
        <v>重庆民能实业有限公司2025-2026年度工程用特种设备租赁服务框架采购(铜梁公司2026年配电专业应急抢修抢险等外包项目(永嘉所许家3社1等台区2个隐患治理项目）)</v>
      </c>
      <c r="N287" s="35" t="str">
        <f aca="false">IF($E287="","",IF($E287=IFERROR(INDEX(项目档案!$D$6:$D$255,MATCH($C287,项目档案!$A$6:$A$255,0)),""),"一级",IF($E287=IFERROR(INDEX(项目档案!$F$6:$F$255,MATCH($C287,项目档案!$A$6:$A$255,0)),""),"二级",IF($E287=IFERROR(INDEX(项目档案!$H$6:$H$255,MATCH($C287,项目档案!$A$6:$A$255,0)),""),"我方","—"))))</f>
        <v>—</v>
      </c>
      <c r="O287" s="36" t="n">
        <f aca="false">IF($D287&lt;&gt;"销项开票",0,ROUND(N($H287)*N($I287),2))</f>
        <v>0</v>
      </c>
      <c r="P287" s="36" t="n">
        <f aca="false">IF($D287&lt;&gt;"销项开票",0,ROUND(N($H287)-$O287,2))</f>
        <v>0</v>
      </c>
      <c r="Q287" s="37" t="n">
        <f aca="false">IF($E287="","",N(IFERROR(INDEX(单位档案!$E$6:$E$35,MATCH($E287,单位档案!$A$6:$A$35,0)),"")))</f>
        <v>0.13</v>
      </c>
      <c r="R287" s="37" t="n">
        <f aca="false">IF($E287="","",N(IFERROR(INDEX(单位档案!$F$6:$F$35,MATCH($E287,单位档案!$A$6:$A$35,0)),"")))</f>
        <v>0</v>
      </c>
      <c r="S287" s="36" t="n">
        <f aca="false">IF(OR($D287&lt;&gt;"销项开票",IFERROR(INDEX(单位档案!$G$6:$G$35,MATCH($E287,单位档案!$A$6:$A$35,0)),"")&lt;&gt;"是",N($Q287)=0),0,IF(IFERROR(INDEX(单位档案!$H$6:$H$35,MATCH($E287,单位档案!$A$6:$A$35,0)),"")="税差法",ROUND(N($H287)/(1+$Q287)*$Q287-IF(N($R287)=0,0,$P287/(1+$R287)*$R287),2),ROUND(N($H287)/(1+$Q287)*$Q287,2)))</f>
        <v>0</v>
      </c>
      <c r="T287" s="36" t="n">
        <f aca="false">ROUND($S287*N(IFERROR(INDEX(单位档案!$J$6:$J$35,MATCH($E287,单位档案!$A$6:$A$35,0)),"")),2)</f>
        <v>0</v>
      </c>
      <c r="U287" s="36" t="n">
        <f aca="false">IF($D287&lt;&gt;"销项开票",0,ROUND(N($H287)*N(IFERROR(INDEX(单位档案!$K$6:$K$35,MATCH($E287,单位档案!$A$6:$A$35,0)),"")),2))</f>
        <v>0</v>
      </c>
      <c r="V287" s="36" t="n">
        <f aca="false">IF(OR($D287&lt;&gt;"销项开票",N($Q287)=0),0,ROUND(N($H287)/(1+$Q287)*N(IFERROR(INDEX(单位档案!$L$6:$L$35,MATCH($E287,单位档案!$A$6:$A$35,0)),"")),2))</f>
        <v>0</v>
      </c>
      <c r="W287" s="36" t="n">
        <f aca="false">ROUND($S287+$T287+$U287+$V287,2)</f>
        <v>0</v>
      </c>
      <c r="X287" s="35" t="str">
        <f aca="false">IF(OR($D287="挂靠代收",$D287="我方收款"),COUNTIFS($D$5:$D287,"挂靠代收")+COUNTIFS($D$5:$D287,"我方收款"),"")</f>
        <v/>
      </c>
      <c r="Y287" s="35" t="s">
        <v>106</v>
      </c>
      <c r="Z287" s="21" t="s">
        <v>111</v>
      </c>
    </row>
    <row r="288" customFormat="false" ht="15.75" hidden="false" customHeight="true" outlineLevel="0" collapsed="false">
      <c r="A288" s="32" t="n">
        <f aca="false">IF($B288="","",ROW()-4)</f>
        <v>284</v>
      </c>
      <c r="B288" s="26" t="n">
        <v>46225</v>
      </c>
      <c r="C288" s="24" t="s">
        <v>242</v>
      </c>
      <c r="D288" s="21" t="s">
        <v>357</v>
      </c>
      <c r="E288" s="21" t="s">
        <v>131</v>
      </c>
      <c r="F288" s="21" t="s">
        <v>106</v>
      </c>
      <c r="G288" s="24" t="s">
        <v>394</v>
      </c>
      <c r="H288" s="27" t="n">
        <v>1598.36</v>
      </c>
      <c r="I288" s="23" t="str">
        <f aca="false">IF($D288&lt;&gt;"销项开票","",IF($N288="一级",IF(IFERROR(INDEX(项目档案!$E$6:$E$255,MATCH($C288,项目档案!$A$6:$A$255,0)),"")="",N(IFERROR(INDEX(单位档案!$D$6:$D$35,MATCH($E288,单位档案!$A$6:$A$35,0)),"")),IFERROR(INDEX(项目档案!$E$6:$E$255,MATCH($C288,项目档案!$A$6:$A$255,0)),"")),IF($N288="二级",IF(IFERROR(INDEX(项目档案!$G$6:$G$255,MATCH($C288,项目档案!$A$6:$A$255,0)),"")="",N(IFERROR(INDEX(单位档案!$D$6:$D$35,MATCH($E288,单位档案!$A$6:$A$35,0)),"")),IFERROR(INDEX(项目档案!$G$6:$G$255,MATCH($C288,项目档案!$A$6:$A$255,0)),"")),N(IFERROR(INDEX(单位档案!$D$6:$D$35,MATCH($E288,单位档案!$A$6:$A$35,0)),"")))))</f>
        <v/>
      </c>
      <c r="J288" s="25" t="s">
        <v>562</v>
      </c>
      <c r="K288" s="22" t="s">
        <v>313</v>
      </c>
      <c r="L288" s="33" t="str">
        <f aca="false">IF($B288="","",IF(NOT(ISNUMBER($B288)),"日期格式不对",IF($C288="","未选项目编号",IF(LEFT($M288,1)="⚠","项目编号不存在",IF($D288="","未选业务类型",IF($E288="","未选开票/付款方",IF(ISNA(MATCH($E288,单位档案!$A$6:$A$35,0)),"开票方不在单位档案",IF($F288="","未选收票/收款方",IF(ISNA(MATCH($F288,单位档案!$A$6:$A$35,0)),"收款方不在单位档案",IF(NOT(ISNUMBER($H288)),"金额须为数字",IF(AND($D288="销项开票",$N288="—"),"链条待确认","√")))))))))))</f>
        <v>√</v>
      </c>
      <c r="M288" s="34" t="str">
        <f aca="false">IF($C288="","",IFERROR(INDEX(项目档案!$B$6:$B$255,MATCH($C288,项目档案!$A$6:$A$255,0)),"⚠项目编号不存在"))</f>
        <v>重庆民能实业有限公司2025-2026年度工程用特种设备租赁服务框架采购(铜梁公司2026年配电专业应急抢修抢险等外包项目(永嘉所高丰3社等台区4个应急抢修项目))</v>
      </c>
      <c r="N288" s="35" t="str">
        <f aca="false">IF($E288="","",IF($E288=IFERROR(INDEX(项目档案!$D$6:$D$255,MATCH($C288,项目档案!$A$6:$A$255,0)),""),"一级",IF($E288=IFERROR(INDEX(项目档案!$F$6:$F$255,MATCH($C288,项目档案!$A$6:$A$255,0)),""),"二级",IF($E288=IFERROR(INDEX(项目档案!$H$6:$H$255,MATCH($C288,项目档案!$A$6:$A$255,0)),""),"我方","—"))))</f>
        <v>—</v>
      </c>
      <c r="O288" s="36" t="n">
        <f aca="false">IF($D288&lt;&gt;"销项开票",0,ROUND(N($H288)*N($I288),2))</f>
        <v>0</v>
      </c>
      <c r="P288" s="36" t="n">
        <f aca="false">IF($D288&lt;&gt;"销项开票",0,ROUND(N($H288)-$O288,2))</f>
        <v>0</v>
      </c>
      <c r="Q288" s="37" t="n">
        <f aca="false">IF($E288="","",N(IFERROR(INDEX(单位档案!$E$6:$E$35,MATCH($E288,单位档案!$A$6:$A$35,0)),"")))</f>
        <v>0.13</v>
      </c>
      <c r="R288" s="37" t="n">
        <f aca="false">IF($E288="","",N(IFERROR(INDEX(单位档案!$F$6:$F$35,MATCH($E288,单位档案!$A$6:$A$35,0)),"")))</f>
        <v>0</v>
      </c>
      <c r="S288" s="36" t="n">
        <f aca="false">IF(OR($D288&lt;&gt;"销项开票",IFERROR(INDEX(单位档案!$G$6:$G$35,MATCH($E288,单位档案!$A$6:$A$35,0)),"")&lt;&gt;"是",N($Q288)=0),0,IF(IFERROR(INDEX(单位档案!$H$6:$H$35,MATCH($E288,单位档案!$A$6:$A$35,0)),"")="税差法",ROUND(N($H288)/(1+$Q288)*$Q288-IF(N($R288)=0,0,$P288/(1+$R288)*$R288),2),ROUND(N($H288)/(1+$Q288)*$Q288,2)))</f>
        <v>0</v>
      </c>
      <c r="T288" s="36" t="n">
        <f aca="false">ROUND($S288*N(IFERROR(INDEX(单位档案!$J$6:$J$35,MATCH($E288,单位档案!$A$6:$A$35,0)),"")),2)</f>
        <v>0</v>
      </c>
      <c r="U288" s="36" t="n">
        <f aca="false">IF($D288&lt;&gt;"销项开票",0,ROUND(N($H288)*N(IFERROR(INDEX(单位档案!$K$6:$K$35,MATCH($E288,单位档案!$A$6:$A$35,0)),"")),2))</f>
        <v>0</v>
      </c>
      <c r="V288" s="36" t="n">
        <f aca="false">IF(OR($D288&lt;&gt;"销项开票",N($Q288)=0),0,ROUND(N($H288)/(1+$Q288)*N(IFERROR(INDEX(单位档案!$L$6:$L$35,MATCH($E288,单位档案!$A$6:$A$35,0)),"")),2))</f>
        <v>0</v>
      </c>
      <c r="W288" s="36" t="n">
        <f aca="false">ROUND($S288+$T288+$U288+$V288,2)</f>
        <v>0</v>
      </c>
      <c r="X288" s="35" t="str">
        <f aca="false">IF(OR($D288="挂靠代收",$D288="我方收款"),COUNTIFS($D$5:$D288,"挂靠代收")+COUNTIFS($D$5:$D288,"我方收款"),"")</f>
        <v/>
      </c>
      <c r="Y288" s="35" t="s">
        <v>106</v>
      </c>
      <c r="Z288" s="21" t="s">
        <v>111</v>
      </c>
    </row>
    <row r="289" customFormat="false" ht="15.75" hidden="false" customHeight="true" outlineLevel="0" collapsed="false">
      <c r="A289" s="32" t="n">
        <f aca="false">IF($B289="","",ROW()-4)</f>
        <v>285</v>
      </c>
      <c r="B289" s="26" t="n">
        <v>46225</v>
      </c>
      <c r="C289" s="24" t="s">
        <v>244</v>
      </c>
      <c r="D289" s="21" t="s">
        <v>357</v>
      </c>
      <c r="E289" s="21" t="s">
        <v>131</v>
      </c>
      <c r="F289" s="21" t="s">
        <v>106</v>
      </c>
      <c r="G289" s="24" t="s">
        <v>394</v>
      </c>
      <c r="H289" s="27" t="n">
        <v>1453.06</v>
      </c>
      <c r="I289" s="23" t="str">
        <f aca="false">IF($D289&lt;&gt;"销项开票","",IF($N289="一级",IF(IFERROR(INDEX(项目档案!$E$6:$E$255,MATCH($C289,项目档案!$A$6:$A$255,0)),"")="",N(IFERROR(INDEX(单位档案!$D$6:$D$35,MATCH($E289,单位档案!$A$6:$A$35,0)),"")),IFERROR(INDEX(项目档案!$E$6:$E$255,MATCH($C289,项目档案!$A$6:$A$255,0)),"")),IF($N289="二级",IF(IFERROR(INDEX(项目档案!$G$6:$G$255,MATCH($C289,项目档案!$A$6:$A$255,0)),"")="",N(IFERROR(INDEX(单位档案!$D$6:$D$35,MATCH($E289,单位档案!$A$6:$A$35,0)),"")),IFERROR(INDEX(项目档案!$G$6:$G$255,MATCH($C289,项目档案!$A$6:$A$255,0)),"")),N(IFERROR(INDEX(单位档案!$D$6:$D$35,MATCH($E289,单位档案!$A$6:$A$35,0)),"")))))</f>
        <v/>
      </c>
      <c r="J289" s="25" t="s">
        <v>563</v>
      </c>
      <c r="K289" s="22" t="s">
        <v>313</v>
      </c>
      <c r="L289" s="33" t="str">
        <f aca="false">IF($B289="","",IF(NOT(ISNUMBER($B289)),"日期格式不对",IF($C289="","未选项目编号",IF(LEFT($M289,1)="⚠","项目编号不存在",IF($D289="","未选业务类型",IF($E289="","未选开票/付款方",IF(ISNA(MATCH($E289,单位档案!$A$6:$A$35,0)),"开票方不在单位档案",IF($F289="","未选收票/收款方",IF(ISNA(MATCH($F289,单位档案!$A$6:$A$35,0)),"收款方不在单位档案",IF(NOT(ISNUMBER($H289)),"金额须为数字",IF(AND($D289="销项开票",$N289="—"),"链条待确认","√")))))))))))</f>
        <v>√</v>
      </c>
      <c r="M289" s="34" t="str">
        <f aca="false">IF($C289="","",IFERROR(INDEX(项目档案!$B$6:$B$255,MATCH($C289,项目档案!$A$6:$A$255,0)),"⚠项目编号不存在"))</f>
        <v>重庆民能实业有限公司2025-2026年度工程用特种设备租赁服务框架采购(铜梁公司2026年配电专业应急抢修抢险等外包项目(永嘉所义和8社等台区3个对地不足隐患治理项目)）</v>
      </c>
      <c r="N289" s="35" t="str">
        <f aca="false">IF($E289="","",IF($E289=IFERROR(INDEX(项目档案!$D$6:$D$255,MATCH($C289,项目档案!$A$6:$A$255,0)),""),"一级",IF($E289=IFERROR(INDEX(项目档案!$F$6:$F$255,MATCH($C289,项目档案!$A$6:$A$255,0)),""),"二级",IF($E289=IFERROR(INDEX(项目档案!$H$6:$H$255,MATCH($C289,项目档案!$A$6:$A$255,0)),""),"我方","—"))))</f>
        <v>—</v>
      </c>
      <c r="O289" s="36" t="n">
        <f aca="false">IF($D289&lt;&gt;"销项开票",0,ROUND(N($H289)*N($I289),2))</f>
        <v>0</v>
      </c>
      <c r="P289" s="36" t="n">
        <f aca="false">IF($D289&lt;&gt;"销项开票",0,ROUND(N($H289)-$O289,2))</f>
        <v>0</v>
      </c>
      <c r="Q289" s="37" t="n">
        <f aca="false">IF($E289="","",N(IFERROR(INDEX(单位档案!$E$6:$E$35,MATCH($E289,单位档案!$A$6:$A$35,0)),"")))</f>
        <v>0.13</v>
      </c>
      <c r="R289" s="37" t="n">
        <f aca="false">IF($E289="","",N(IFERROR(INDEX(单位档案!$F$6:$F$35,MATCH($E289,单位档案!$A$6:$A$35,0)),"")))</f>
        <v>0</v>
      </c>
      <c r="S289" s="36" t="n">
        <f aca="false">IF(OR($D289&lt;&gt;"销项开票",IFERROR(INDEX(单位档案!$G$6:$G$35,MATCH($E289,单位档案!$A$6:$A$35,0)),"")&lt;&gt;"是",N($Q289)=0),0,IF(IFERROR(INDEX(单位档案!$H$6:$H$35,MATCH($E289,单位档案!$A$6:$A$35,0)),"")="税差法",ROUND(N($H289)/(1+$Q289)*$Q289-IF(N($R289)=0,0,$P289/(1+$R289)*$R289),2),ROUND(N($H289)/(1+$Q289)*$Q289,2)))</f>
        <v>0</v>
      </c>
      <c r="T289" s="36" t="n">
        <f aca="false">ROUND($S289*N(IFERROR(INDEX(单位档案!$J$6:$J$35,MATCH($E289,单位档案!$A$6:$A$35,0)),"")),2)</f>
        <v>0</v>
      </c>
      <c r="U289" s="36" t="n">
        <f aca="false">IF($D289&lt;&gt;"销项开票",0,ROUND(N($H289)*N(IFERROR(INDEX(单位档案!$K$6:$K$35,MATCH($E289,单位档案!$A$6:$A$35,0)),"")),2))</f>
        <v>0</v>
      </c>
      <c r="V289" s="36" t="n">
        <f aca="false">IF(OR($D289&lt;&gt;"销项开票",N($Q289)=0),0,ROUND(N($H289)/(1+$Q289)*N(IFERROR(INDEX(单位档案!$L$6:$L$35,MATCH($E289,单位档案!$A$6:$A$35,0)),"")),2))</f>
        <v>0</v>
      </c>
      <c r="W289" s="36" t="n">
        <f aca="false">ROUND($S289+$T289+$U289+$V289,2)</f>
        <v>0</v>
      </c>
      <c r="X289" s="35" t="str">
        <f aca="false">IF(OR($D289="挂靠代收",$D289="我方收款"),COUNTIFS($D$5:$D289,"挂靠代收")+COUNTIFS($D$5:$D289,"我方收款"),"")</f>
        <v/>
      </c>
      <c r="Y289" s="35" t="s">
        <v>106</v>
      </c>
      <c r="Z289" s="21" t="s">
        <v>111</v>
      </c>
    </row>
    <row r="290" customFormat="false" ht="15.75" hidden="false" customHeight="true" outlineLevel="0" collapsed="false">
      <c r="A290" s="32" t="n">
        <f aca="false">IF($B290="","",ROW()-4)</f>
        <v>286</v>
      </c>
      <c r="B290" s="26" t="n">
        <v>46225</v>
      </c>
      <c r="C290" s="24" t="s">
        <v>246</v>
      </c>
      <c r="D290" s="21" t="s">
        <v>357</v>
      </c>
      <c r="E290" s="21" t="s">
        <v>131</v>
      </c>
      <c r="F290" s="21" t="s">
        <v>106</v>
      </c>
      <c r="G290" s="24" t="s">
        <v>394</v>
      </c>
      <c r="H290" s="27" t="n">
        <v>1743.67</v>
      </c>
      <c r="I290" s="23" t="str">
        <f aca="false">IF($D290&lt;&gt;"销项开票","",IF($N290="一级",IF(IFERROR(INDEX(项目档案!$E$6:$E$255,MATCH($C290,项目档案!$A$6:$A$255,0)),"")="",N(IFERROR(INDEX(单位档案!$D$6:$D$35,MATCH($E290,单位档案!$A$6:$A$35,0)),"")),IFERROR(INDEX(项目档案!$E$6:$E$255,MATCH($C290,项目档案!$A$6:$A$255,0)),"")),IF($N290="二级",IF(IFERROR(INDEX(项目档案!$G$6:$G$255,MATCH($C290,项目档案!$A$6:$A$255,0)),"")="",N(IFERROR(INDEX(单位档案!$D$6:$D$35,MATCH($E290,单位档案!$A$6:$A$35,0)),"")),IFERROR(INDEX(项目档案!$G$6:$G$255,MATCH($C290,项目档案!$A$6:$A$255,0)),"")),N(IFERROR(INDEX(单位档案!$D$6:$D$35,MATCH($E290,单位档案!$A$6:$A$35,0)),"")))))</f>
        <v/>
      </c>
      <c r="J290" s="25" t="s">
        <v>564</v>
      </c>
      <c r="K290" s="22" t="s">
        <v>313</v>
      </c>
      <c r="L290" s="33" t="str">
        <f aca="false">IF($B290="","",IF(NOT(ISNUMBER($B290)),"日期格式不对",IF($C290="","未选项目编号",IF(LEFT($M290,1)="⚠","项目编号不存在",IF($D290="","未选业务类型",IF($E290="","未选开票/付款方",IF(ISNA(MATCH($E290,单位档案!$A$6:$A$35,0)),"开票方不在单位档案",IF($F290="","未选收票/收款方",IF(ISNA(MATCH($F290,单位档案!$A$6:$A$35,0)),"收款方不在单位档案",IF(NOT(ISNUMBER($H290)),"金额须为数字",IF(AND($D290="销项开票",$N290="—"),"链条待确认","√")))))))))))</f>
        <v>√</v>
      </c>
      <c r="M290" s="34" t="str">
        <f aca="false">IF($C290="","",IFERROR(INDEX(项目档案!$B$6:$B$255,MATCH($C290,项目档案!$A$6:$A$255,0)),"⚠项目编号不存在"))</f>
        <v>重庆民能实业有限公司2025-2026年度工程用特种设备租赁服务框架采购(铜梁公司2026年35kV输电专业应急抢修检修外包项目(输电运检中心2026年35kV线路接地隐患消除等3个项目)）</v>
      </c>
      <c r="N290" s="35" t="str">
        <f aca="false">IF($E290="","",IF($E290=IFERROR(INDEX(项目档案!$D$6:$D$255,MATCH($C290,项目档案!$A$6:$A$255,0)),""),"一级",IF($E290=IFERROR(INDEX(项目档案!$F$6:$F$255,MATCH($C290,项目档案!$A$6:$A$255,0)),""),"二级",IF($E290=IFERROR(INDEX(项目档案!$H$6:$H$255,MATCH($C290,项目档案!$A$6:$A$255,0)),""),"我方","—"))))</f>
        <v>—</v>
      </c>
      <c r="O290" s="36" t="n">
        <f aca="false">IF($D290&lt;&gt;"销项开票",0,ROUND(N($H290)*N($I290),2))</f>
        <v>0</v>
      </c>
      <c r="P290" s="36" t="n">
        <f aca="false">IF($D290&lt;&gt;"销项开票",0,ROUND(N($H290)-$O290,2))</f>
        <v>0</v>
      </c>
      <c r="Q290" s="37" t="n">
        <f aca="false">IF($E290="","",N(IFERROR(INDEX(单位档案!$E$6:$E$35,MATCH($E290,单位档案!$A$6:$A$35,0)),"")))</f>
        <v>0.13</v>
      </c>
      <c r="R290" s="37" t="n">
        <f aca="false">IF($E290="","",N(IFERROR(INDEX(单位档案!$F$6:$F$35,MATCH($E290,单位档案!$A$6:$A$35,0)),"")))</f>
        <v>0</v>
      </c>
      <c r="S290" s="36" t="n">
        <f aca="false">IF(OR($D290&lt;&gt;"销项开票",IFERROR(INDEX(单位档案!$G$6:$G$35,MATCH($E290,单位档案!$A$6:$A$35,0)),"")&lt;&gt;"是",N($Q290)=0),0,IF(IFERROR(INDEX(单位档案!$H$6:$H$35,MATCH($E290,单位档案!$A$6:$A$35,0)),"")="税差法",ROUND(N($H290)/(1+$Q290)*$Q290-IF(N($R290)=0,0,$P290/(1+$R290)*$R290),2),ROUND(N($H290)/(1+$Q290)*$Q290,2)))</f>
        <v>0</v>
      </c>
      <c r="T290" s="36" t="n">
        <f aca="false">ROUND($S290*N(IFERROR(INDEX(单位档案!$J$6:$J$35,MATCH($E290,单位档案!$A$6:$A$35,0)),"")),2)</f>
        <v>0</v>
      </c>
      <c r="U290" s="36" t="n">
        <f aca="false">IF($D290&lt;&gt;"销项开票",0,ROUND(N($H290)*N(IFERROR(INDEX(单位档案!$K$6:$K$35,MATCH($E290,单位档案!$A$6:$A$35,0)),"")),2))</f>
        <v>0</v>
      </c>
      <c r="V290" s="36" t="n">
        <f aca="false">IF(OR($D290&lt;&gt;"销项开票",N($Q290)=0),0,ROUND(N($H290)/(1+$Q290)*N(IFERROR(INDEX(单位档案!$L$6:$L$35,MATCH($E290,单位档案!$A$6:$A$35,0)),"")),2))</f>
        <v>0</v>
      </c>
      <c r="W290" s="36" t="n">
        <f aca="false">ROUND($S290+$T290+$U290+$V290,2)</f>
        <v>0</v>
      </c>
      <c r="X290" s="35" t="str">
        <f aca="false">IF(OR($D290="挂靠代收",$D290="我方收款"),COUNTIFS($D$5:$D290,"挂靠代收")+COUNTIFS($D$5:$D290,"我方收款"),"")</f>
        <v/>
      </c>
      <c r="Y290" s="35" t="s">
        <v>106</v>
      </c>
      <c r="Z290" s="21" t="s">
        <v>111</v>
      </c>
    </row>
    <row r="291" customFormat="false" ht="15.75" hidden="false" customHeight="true" outlineLevel="0" collapsed="false">
      <c r="A291" s="32" t="n">
        <f aca="false">IF($B291="","",ROW()-4)</f>
        <v>287</v>
      </c>
      <c r="B291" s="26" t="n">
        <v>46225</v>
      </c>
      <c r="C291" s="24" t="s">
        <v>252</v>
      </c>
      <c r="D291" s="21" t="s">
        <v>11</v>
      </c>
      <c r="E291" s="21" t="s">
        <v>123</v>
      </c>
      <c r="F291" s="21" t="s">
        <v>134</v>
      </c>
      <c r="G291" s="21"/>
      <c r="H291" s="27" t="n">
        <v>3668.81</v>
      </c>
      <c r="I291" s="23" t="str">
        <f aca="false">IF($D291&lt;&gt;"销项开票","",IF($N291="一级",IF(IFERROR(INDEX(项目档案!$E$6:$E$255,MATCH($C291,项目档案!$A$6:$A$255,0)),"")="",N(IFERROR(INDEX(单位档案!$D$6:$D$35,MATCH($E291,单位档案!$A$6:$A$35,0)),"")),IFERROR(INDEX(项目档案!$E$6:$E$255,MATCH($C291,项目档案!$A$6:$A$255,0)),"")),IF($N291="二级",IF(IFERROR(INDEX(项目档案!$G$6:$G$255,MATCH($C291,项目档案!$A$6:$A$255,0)),"")="",N(IFERROR(INDEX(单位档案!$D$6:$D$35,MATCH($E291,单位档案!$A$6:$A$35,0)),"")),IFERROR(INDEX(项目档案!$G$6:$G$255,MATCH($C291,项目档案!$A$6:$A$255,0)),"")),N(IFERROR(INDEX(单位档案!$D$6:$D$35,MATCH($E291,单位档案!$A$6:$A$35,0)),"")))))</f>
        <v/>
      </c>
      <c r="J291" s="25" t="s">
        <v>566</v>
      </c>
      <c r="K291" s="22" t="s">
        <v>313</v>
      </c>
      <c r="L291" s="33" t="str">
        <f aca="false">IF($B291="","",IF(NOT(ISNUMBER($B291)),"日期格式不对",IF($C291="","未选项目编号",IF(LEFT($M291,1)="⚠","项目编号不存在",IF($D291="","未选业务类型",IF($E291="","未选开票/付款方",IF(ISNA(MATCH($E291,单位档案!$A$6:$A$35,0)),"开票方不在单位档案",IF($F291="","未选收票/收款方",IF(ISNA(MATCH($F291,单位档案!$A$6:$A$35,0)),"收款方不在单位档案",IF(NOT(ISNUMBER($H291)),"金额须为数字",IF(AND($D291="销项开票",$N291="—"),"链条待确认","√")))))))))))</f>
        <v>√</v>
      </c>
      <c r="M291" s="34" t="str">
        <f aca="false">IF($C291="","",IFERROR(INDEX(项目档案!$B$6:$B$255,MATCH($C291,项目档案!$A$6:$A$255,0)),"⚠项目编号不存在"))</f>
        <v>重庆市铜梁区锦绣花园A区居民供电设施改造工程</v>
      </c>
      <c r="N291" s="35" t="str">
        <f aca="false">IF($E291="","",IF($E291=IFERROR(INDEX(项目档案!$D$6:$D$255,MATCH($C291,项目档案!$A$6:$A$255,0)),""),"一级",IF($E291=IFERROR(INDEX(项目档案!$F$6:$F$255,MATCH($C291,项目档案!$A$6:$A$255,0)),""),"二级",IF($E291=IFERROR(INDEX(项目档案!$H$6:$H$255,MATCH($C291,项目档案!$A$6:$A$255,0)),""),"我方","—"))))</f>
        <v>一级</v>
      </c>
      <c r="O291" s="36" t="n">
        <f aca="false">IF($D291&lt;&gt;"销项开票",0,ROUND(N($H291)*N($I291),2))</f>
        <v>0</v>
      </c>
      <c r="P291" s="36" t="n">
        <f aca="false">IF($D291&lt;&gt;"销项开票",0,ROUND(N($H291)-$O291,2))</f>
        <v>0</v>
      </c>
      <c r="Q291" s="37" t="n">
        <f aca="false">IF($E291="","",N(IFERROR(INDEX(单位档案!$E$6:$E$35,MATCH($E291,单位档案!$A$6:$A$35,0)),"")))</f>
        <v>0.09</v>
      </c>
      <c r="R291" s="37" t="n">
        <f aca="false">IF($E291="","",N(IFERROR(INDEX(单位档案!$F$6:$F$35,MATCH($E291,单位档案!$A$6:$A$35,0)),"")))</f>
        <v>0.09</v>
      </c>
      <c r="S291" s="36" t="n">
        <f aca="false">IF(OR($D291&lt;&gt;"销项开票",IFERROR(INDEX(单位档案!$G$6:$G$35,MATCH($E291,单位档案!$A$6:$A$35,0)),"")&lt;&gt;"是",N($Q291)=0),0,IF(IFERROR(INDEX(单位档案!$H$6:$H$35,MATCH($E291,单位档案!$A$6:$A$35,0)),"")="税差法",ROUND(N($H291)/(1+$Q291)*$Q291-IF(N($R291)=0,0,$P291/(1+$R291)*$R291),2),ROUND(N($H291)/(1+$Q291)*$Q291,2)))</f>
        <v>0</v>
      </c>
      <c r="T291" s="36" t="n">
        <f aca="false">ROUND($S291*N(IFERROR(INDEX(单位档案!$J$6:$J$35,MATCH($E291,单位档案!$A$6:$A$35,0)),"")),2)</f>
        <v>0</v>
      </c>
      <c r="U291" s="36" t="n">
        <f aca="false">IF($D291&lt;&gt;"销项开票",0,ROUND(N($H291)*N(IFERROR(INDEX(单位档案!$K$6:$K$35,MATCH($E291,单位档案!$A$6:$A$35,0)),"")),2))</f>
        <v>0</v>
      </c>
      <c r="V291" s="36" t="n">
        <f aca="false">IF(OR($D291&lt;&gt;"销项开票",N($Q291)=0),0,ROUND(N($H291)/(1+$Q291)*N(IFERROR(INDEX(单位档案!$L$6:$L$35,MATCH($E291,单位档案!$A$6:$A$35,0)),"")),2))</f>
        <v>0</v>
      </c>
      <c r="W291" s="36" t="n">
        <f aca="false">ROUND($S291+$T291+$U291+$V291,2)</f>
        <v>0</v>
      </c>
      <c r="X291" s="35" t="str">
        <f aca="false">IF(OR($D291="挂靠代收",$D291="我方收款"),COUNTIFS($D$5:$D291,"挂靠代收")+COUNTIFS($D$5:$D291,"我方收款"),"")</f>
        <v/>
      </c>
      <c r="Y291" s="35" t="s">
        <v>123</v>
      </c>
      <c r="Z291" s="21" t="s">
        <v>111</v>
      </c>
    </row>
    <row r="292" customFormat="false" ht="15.75" hidden="false" customHeight="true" outlineLevel="0" collapsed="false">
      <c r="A292" s="32" t="n">
        <f aca="false">IF($B292="","",ROW()-4)</f>
        <v>288</v>
      </c>
      <c r="B292" s="26" t="n">
        <v>46225</v>
      </c>
      <c r="C292" s="24" t="s">
        <v>254</v>
      </c>
      <c r="D292" s="21" t="s">
        <v>357</v>
      </c>
      <c r="E292" s="21" t="s">
        <v>127</v>
      </c>
      <c r="F292" s="21" t="s">
        <v>110</v>
      </c>
      <c r="G292" s="21" t="s">
        <v>358</v>
      </c>
      <c r="H292" s="27" t="n">
        <v>3366.34</v>
      </c>
      <c r="I292" s="23" t="str">
        <f aca="false">IF($D292&lt;&gt;"销项开票","",IF($N292="一级",IF(IFERROR(INDEX(项目档案!$E$6:$E$255,MATCH($C292,项目档案!$A$6:$A$255,0)),"")="",N(IFERROR(INDEX(单位档案!$D$6:$D$35,MATCH($E292,单位档案!$A$6:$A$35,0)),"")),IFERROR(INDEX(项目档案!$E$6:$E$255,MATCH($C292,项目档案!$A$6:$A$255,0)),"")),IF($N292="二级",IF(IFERROR(INDEX(项目档案!$G$6:$G$255,MATCH($C292,项目档案!$A$6:$A$255,0)),"")="",N(IFERROR(INDEX(单位档案!$D$6:$D$35,MATCH($E292,单位档案!$A$6:$A$35,0)),"")),IFERROR(INDEX(项目档案!$G$6:$G$255,MATCH($C292,项目档案!$A$6:$A$255,0)),"")),N(IFERROR(INDEX(单位档案!$D$6:$D$35,MATCH($E292,单位档案!$A$6:$A$35,0)),"")))))</f>
        <v/>
      </c>
      <c r="J292" s="25" t="s">
        <v>567</v>
      </c>
      <c r="K292" s="22" t="s">
        <v>313</v>
      </c>
      <c r="L292" s="33" t="str">
        <f aca="false">IF($B292="","",IF(NOT(ISNUMBER($B292)),"日期格式不对",IF($C292="","未选项目编号",IF(LEFT($M292,1)="⚠","项目编号不存在",IF($D292="","未选业务类型",IF($E292="","未选开票/付款方",IF(ISNA(MATCH($E292,单位档案!$A$6:$A$35,0)),"开票方不在单位档案",IF($F292="","未选收票/收款方",IF(ISNA(MATCH($F292,单位档案!$A$6:$A$35,0)),"收款方不在单位档案",IF(NOT(ISNUMBER($H292)),"金额须为数字",IF(AND($D292="销项开票",$N292="—"),"链条待确认","√")))))))))))</f>
        <v>√</v>
      </c>
      <c r="M292" s="34" t="str">
        <f aca="false">IF($C292="","",IFERROR(INDEX(项目档案!$B$6:$B$255,MATCH($C292,项目档案!$A$6:$A$255,0)),"⚠项目编号不存在"))</f>
        <v>2025-2026年度工程用特种设备租赁服务框架采购(10kV少盘线哨楼村支线#1杆线路迁改
工程)</v>
      </c>
      <c r="N292" s="35" t="str">
        <f aca="false">IF($E292="","",IF($E292=IFERROR(INDEX(项目档案!$D$6:$D$255,MATCH($C292,项目档案!$A$6:$A$255,0)),""),"一级",IF($E292=IFERROR(INDEX(项目档案!$F$6:$F$255,MATCH($C292,项目档案!$A$6:$A$255,0)),""),"二级",IF($E292=IFERROR(INDEX(项目档案!$H$6:$H$255,MATCH($C292,项目档案!$A$6:$A$255,0)),""),"我方","—"))))</f>
        <v>我方</v>
      </c>
      <c r="O292" s="36" t="n">
        <f aca="false">IF($D292&lt;&gt;"销项开票",0,ROUND(N($H292)*N($I292),2))</f>
        <v>0</v>
      </c>
      <c r="P292" s="36" t="n">
        <f aca="false">IF($D292&lt;&gt;"销项开票",0,ROUND(N($H292)-$O292,2))</f>
        <v>0</v>
      </c>
      <c r="Q292" s="37" t="n">
        <f aca="false">IF($E292="","",N(IFERROR(INDEX(单位档案!$E$6:$E$35,MATCH($E292,单位档案!$A$6:$A$35,0)),"")))</f>
        <v>0.03</v>
      </c>
      <c r="R292" s="37" t="n">
        <f aca="false">IF($E292="","",N(IFERROR(INDEX(单位档案!$F$6:$F$35,MATCH($E292,单位档案!$A$6:$A$35,0)),"")))</f>
        <v>0</v>
      </c>
      <c r="S292" s="36" t="n">
        <f aca="false">IF(OR($D292&lt;&gt;"销项开票",IFERROR(INDEX(单位档案!$G$6:$G$35,MATCH($E292,单位档案!$A$6:$A$35,0)),"")&lt;&gt;"是",N($Q292)=0),0,IF(IFERROR(INDEX(单位档案!$H$6:$H$35,MATCH($E292,单位档案!$A$6:$A$35,0)),"")="税差法",ROUND(N($H292)/(1+$Q292)*$Q292-IF(N($R292)=0,0,$P292/(1+$R292)*$R292),2),ROUND(N($H292)/(1+$Q292)*$Q292,2)))</f>
        <v>0</v>
      </c>
      <c r="T292" s="36" t="n">
        <f aca="false">ROUND($S292*N(IFERROR(INDEX(单位档案!$J$6:$J$35,MATCH($E292,单位档案!$A$6:$A$35,0)),"")),2)</f>
        <v>0</v>
      </c>
      <c r="U292" s="36" t="n">
        <f aca="false">IF($D292&lt;&gt;"销项开票",0,ROUND(N($H292)*N(IFERROR(INDEX(单位档案!$K$6:$K$35,MATCH($E292,单位档案!$A$6:$A$35,0)),"")),2))</f>
        <v>0</v>
      </c>
      <c r="V292" s="36" t="n">
        <f aca="false">IF(OR($D292&lt;&gt;"销项开票",N($Q292)=0),0,ROUND(N($H292)/(1+$Q292)*N(IFERROR(INDEX(单位档案!$L$6:$L$35,MATCH($E292,单位档案!$A$6:$A$35,0)),"")),2))</f>
        <v>0</v>
      </c>
      <c r="W292" s="36" t="n">
        <f aca="false">ROUND($S292+$T292+$U292+$V292,2)</f>
        <v>0</v>
      </c>
      <c r="X292" s="35" t="str">
        <f aca="false">IF(OR($D292="挂靠代收",$D292="我方收款"),COUNTIFS($D$5:$D292,"挂靠代收")+COUNTIFS($D$5:$D292,"我方收款"),"")</f>
        <v/>
      </c>
      <c r="Y292" s="35" t="s">
        <v>110</v>
      </c>
      <c r="Z292" s="21" t="s">
        <v>111</v>
      </c>
    </row>
    <row r="293" customFormat="false" ht="15.75" hidden="false" customHeight="true" outlineLevel="0" collapsed="false">
      <c r="A293" s="32" t="n">
        <f aca="false">IF($B293="","",ROW()-4)</f>
        <v>289</v>
      </c>
      <c r="B293" s="26" t="n">
        <v>46225</v>
      </c>
      <c r="C293" s="24" t="s">
        <v>254</v>
      </c>
      <c r="D293" s="21" t="s">
        <v>314</v>
      </c>
      <c r="E293" s="21" t="s">
        <v>127</v>
      </c>
      <c r="F293" s="21" t="s">
        <v>110</v>
      </c>
      <c r="G293" s="21" t="s">
        <v>358</v>
      </c>
      <c r="H293" s="27" t="n">
        <v>140.26</v>
      </c>
      <c r="I293" s="23" t="str">
        <f aca="false">IF($D293&lt;&gt;"销项开票","",IF($N293="一级",IF(IFERROR(INDEX(项目档案!$E$6:$E$255,MATCH($C293,项目档案!$A$6:$A$255,0)),"")="",N(IFERROR(INDEX(单位档案!$D$6:$D$35,MATCH($E293,单位档案!$A$6:$A$35,0)),"")),IFERROR(INDEX(项目档案!$E$6:$E$255,MATCH($C293,项目档案!$A$6:$A$255,0)),"")),IF($N293="二级",IF(IFERROR(INDEX(项目档案!$G$6:$G$255,MATCH($C293,项目档案!$A$6:$A$255,0)),"")="",N(IFERROR(INDEX(单位档案!$D$6:$D$35,MATCH($E293,单位档案!$A$6:$A$35,0)),"")),IFERROR(INDEX(项目档案!$G$6:$G$255,MATCH($C293,项目档案!$A$6:$A$255,0)),"")),N(IFERROR(INDEX(单位档案!$D$6:$D$35,MATCH($E293,单位档案!$A$6:$A$35,0)),"")))))</f>
        <v/>
      </c>
      <c r="J293" s="25" t="s">
        <v>567</v>
      </c>
      <c r="K293" s="22" t="s">
        <v>313</v>
      </c>
      <c r="L293" s="33" t="str">
        <f aca="false">IF($B293="","",IF(NOT(ISNUMBER($B293)),"日期格式不对",IF($C293="","未选项目编号",IF(LEFT($M293,1)="⚠","项目编号不存在",IF($D293="","未选业务类型",IF($E293="","未选开票/付款方",IF(ISNA(MATCH($E293,单位档案!$A$6:$A$35,0)),"开票方不在单位档案",IF($F293="","未选收票/收款方",IF(ISNA(MATCH($F293,单位档案!$A$6:$A$35,0)),"收款方不在单位档案",IF(NOT(ISNUMBER($H293)),"金额须为数字",IF(AND($D293="销项开票",$N293="—"),"链条待确认","√")))))))))))</f>
        <v>√</v>
      </c>
      <c r="M293" s="34" t="str">
        <f aca="false">IF($C293="","",IFERROR(INDEX(项目档案!$B$6:$B$255,MATCH($C293,项目档案!$A$6:$A$255,0)),"⚠项目编号不存在"))</f>
        <v>2025-2026年度工程用特种设备租赁服务框架采购(10kV少盘线哨楼村支线#1杆线路迁改
工程)</v>
      </c>
      <c r="N293" s="35" t="str">
        <f aca="false">IF($E293="","",IF($E293=IFERROR(INDEX(项目档案!$D$6:$D$255,MATCH($C293,项目档案!$A$6:$A$255,0)),""),"一级",IF($E293=IFERROR(INDEX(项目档案!$F$6:$F$255,MATCH($C293,项目档案!$A$6:$A$255,0)),""),"二级",IF($E293=IFERROR(INDEX(项目档案!$H$6:$H$255,MATCH($C293,项目档案!$A$6:$A$255,0)),""),"我方","—"))))</f>
        <v>我方</v>
      </c>
      <c r="O293" s="36" t="n">
        <f aca="false">IF($D293&lt;&gt;"销项开票",0,ROUND(N($H293)*N($I293),2))</f>
        <v>0</v>
      </c>
      <c r="P293" s="36" t="n">
        <f aca="false">IF($D293&lt;&gt;"销项开票",0,ROUND(N($H293)-$O293,2))</f>
        <v>0</v>
      </c>
      <c r="Q293" s="37" t="n">
        <f aca="false">IF($E293="","",N(IFERROR(INDEX(单位档案!$E$6:$E$35,MATCH($E293,单位档案!$A$6:$A$35,0)),"")))</f>
        <v>0.03</v>
      </c>
      <c r="R293" s="37" t="n">
        <f aca="false">IF($E293="","",N(IFERROR(INDEX(单位档案!$F$6:$F$35,MATCH($E293,单位档案!$A$6:$A$35,0)),"")))</f>
        <v>0</v>
      </c>
      <c r="S293" s="36" t="n">
        <f aca="false">IF(OR($D293&lt;&gt;"销项开票",IFERROR(INDEX(单位档案!$G$6:$G$35,MATCH($E293,单位档案!$A$6:$A$35,0)),"")&lt;&gt;"是",N($Q293)=0),0,IF(IFERROR(INDEX(单位档案!$H$6:$H$35,MATCH($E293,单位档案!$A$6:$A$35,0)),"")="税差法",ROUND(N($H293)/(1+$Q293)*$Q293-IF(N($R293)=0,0,$P293/(1+$R293)*$R293),2),ROUND(N($H293)/(1+$Q293)*$Q293,2)))</f>
        <v>0</v>
      </c>
      <c r="T293" s="36" t="n">
        <f aca="false">ROUND($S293*N(IFERROR(INDEX(单位档案!$J$6:$J$35,MATCH($E293,单位档案!$A$6:$A$35,0)),"")),2)</f>
        <v>0</v>
      </c>
      <c r="U293" s="36" t="n">
        <f aca="false">IF($D293&lt;&gt;"销项开票",0,ROUND(N($H293)*N(IFERROR(INDEX(单位档案!$K$6:$K$35,MATCH($E293,单位档案!$A$6:$A$35,0)),"")),2))</f>
        <v>0</v>
      </c>
      <c r="V293" s="36" t="n">
        <f aca="false">IF(OR($D293&lt;&gt;"销项开票",N($Q293)=0),0,ROUND(N($H293)/(1+$Q293)*N(IFERROR(INDEX(单位档案!$L$6:$L$35,MATCH($E293,单位档案!$A$6:$A$35,0)),"")),2))</f>
        <v>0</v>
      </c>
      <c r="W293" s="36" t="n">
        <f aca="false">ROUND($S293+$T293+$U293+$V293,2)</f>
        <v>0</v>
      </c>
      <c r="X293" s="35" t="str">
        <f aca="false">IF(OR($D293="挂靠代收",$D293="我方收款"),COUNTIFS($D$5:$D293,"挂靠代收")+COUNTIFS($D$5:$D293,"我方收款"),"")</f>
        <v/>
      </c>
      <c r="Y293" s="35" t="s">
        <v>110</v>
      </c>
      <c r="Z293" s="21" t="s">
        <v>111</v>
      </c>
    </row>
    <row r="294" customFormat="false" ht="15.75" hidden="false" customHeight="true" outlineLevel="0" collapsed="false">
      <c r="A294" s="32" t="n">
        <f aca="false">IF($B294="","",ROW()-4)</f>
        <v>290</v>
      </c>
      <c r="B294" s="26" t="n">
        <v>46226</v>
      </c>
      <c r="C294" s="24" t="s">
        <v>254</v>
      </c>
      <c r="D294" s="21" t="s">
        <v>307</v>
      </c>
      <c r="E294" s="21" t="s">
        <v>110</v>
      </c>
      <c r="F294" s="21" t="s">
        <v>97</v>
      </c>
      <c r="G294" s="21" t="s">
        <v>354</v>
      </c>
      <c r="H294" s="27" t="n">
        <v>3506.6</v>
      </c>
      <c r="I294" s="23" t="n">
        <v>0.039999</v>
      </c>
      <c r="J294" s="25" t="s">
        <v>568</v>
      </c>
      <c r="K294" s="22" t="s">
        <v>313</v>
      </c>
      <c r="L294" s="33" t="str">
        <f aca="false">IF($B294="","",IF(NOT(ISNUMBER($B294)),"日期格式不对",IF($C294="","未选项目编号",IF(LEFT($M294,1)="⚠","项目编号不存在",IF($D294="","未选业务类型",IF($E294="","未选开票/付款方",IF(ISNA(MATCH($E294,单位档案!$A$6:$A$35,0)),"开票方不在单位档案",IF($F294="","未选收票/收款方",IF(ISNA(MATCH($F294,单位档案!$A$6:$A$35,0)),"收款方不在单位档案",IF(NOT(ISNUMBER($H294)),"金额须为数字",IF(AND($D294="销项开票",$N294="—"),"链条待确认","√")))))))))))</f>
        <v>√</v>
      </c>
      <c r="M294" s="34" t="str">
        <f aca="false">IF($C294="","",IFERROR(INDEX(项目档案!$B$6:$B$255,MATCH($C294,项目档案!$A$6:$A$255,0)),"⚠项目编号不存在"))</f>
        <v>2025-2026年度工程用特种设备租赁服务框架采购(10kV少盘线哨楼村支线#1杆线路迁改
工程)</v>
      </c>
      <c r="N294" s="35" t="str">
        <f aca="false">IF($E294="","",IF($E294=IFERROR(INDEX(项目档案!$D$6:$D$255,MATCH($C294,项目档案!$A$6:$A$255,0)),""),"一级",IF($E294=IFERROR(INDEX(项目档案!$F$6:$F$255,MATCH($C294,项目档案!$A$6:$A$255,0)),""),"二级",IF($E294=IFERROR(INDEX(项目档案!$H$6:$H$255,MATCH($C294,项目档案!$A$6:$A$255,0)),""),"我方","—"))))</f>
        <v>一级</v>
      </c>
      <c r="O294" s="36" t="n">
        <f aca="false">IF($D294&lt;&gt;"销项开票",0,ROUND(N($H294)*N($I294),2))</f>
        <v>140.26</v>
      </c>
      <c r="P294" s="36" t="n">
        <f aca="false">IF($D294&lt;&gt;"销项开票",0,ROUND(N($H294)-$O294,2))</f>
        <v>3366.34</v>
      </c>
      <c r="Q294" s="37" t="n">
        <f aca="false">IF($E294="","",N(IFERROR(INDEX(单位档案!$E$6:$E$35,MATCH($E294,单位档案!$A$6:$A$35,0)),"")))</f>
        <v>0.09</v>
      </c>
      <c r="R294" s="37" t="n">
        <f aca="false">IF($E294="","",N(IFERROR(INDEX(单位档案!$F$6:$F$35,MATCH($E294,单位档案!$A$6:$A$35,0)),"")))</f>
        <v>0.03</v>
      </c>
      <c r="S294" s="36" t="n">
        <f aca="false">IF(OR($D294&lt;&gt;"销项开票",IFERROR(INDEX(单位档案!$G$6:$G$35,MATCH($E294,单位档案!$A$6:$A$35,0)),"")&lt;&gt;"是",N($Q294)=0),0,IF(IFERROR(INDEX(单位档案!$H$6:$H$35,MATCH($E294,单位档案!$A$6:$A$35,0)),"")="税差法",ROUND(N($H294)/(1+$Q294)*$Q294-IF(N($R294)=0,0,$P294/(1+$R294)*$R294),2),ROUND(N($H294)/(1+$Q294)*$Q294,2)))</f>
        <v>191.49</v>
      </c>
      <c r="T294" s="36" t="n">
        <f aca="false">ROUND($S294*N(IFERROR(INDEX(单位档案!$J$6:$J$35,MATCH($E294,单位档案!$A$6:$A$35,0)),"")),2)</f>
        <v>22.98</v>
      </c>
      <c r="U294" s="36" t="n">
        <f aca="false">IF($D294&lt;&gt;"销项开票",0,ROUND(N($H294)*N(IFERROR(INDEX(单位档案!$K$6:$K$35,MATCH($E294,单位档案!$A$6:$A$35,0)),"")),2))</f>
        <v>2.06</v>
      </c>
      <c r="V294" s="36" t="n">
        <f aca="false">IF(OR($D294&lt;&gt;"销项开票",N($Q294)=0),0,ROUND(N($H294)/(1+$Q294)*N(IFERROR(INDEX(单位档案!$L$6:$L$35,MATCH($E294,单位档案!$A$6:$A$35,0)),"")),2))</f>
        <v>0</v>
      </c>
      <c r="W294" s="36" t="n">
        <f aca="false">ROUND($S294+$T294+$U294+$V294,2)</f>
        <v>216.53</v>
      </c>
      <c r="X294" s="35" t="str">
        <f aca="false">IF(OR($D294="挂靠代收",$D294="我方收款"),COUNTIFS($D$5:$D294,"挂靠代收")+COUNTIFS($D$5:$D294,"我方收款"),"")</f>
        <v/>
      </c>
      <c r="Y294" s="35" t="s">
        <v>110</v>
      </c>
      <c r="Z294" s="21" t="s">
        <v>111</v>
      </c>
    </row>
    <row r="295" customFormat="false" ht="15.75" hidden="false" customHeight="true" outlineLevel="0" collapsed="false">
      <c r="A295" s="32" t="n">
        <f aca="false">IF($B295="","",ROW()-4)</f>
        <v>291</v>
      </c>
      <c r="B295" s="26" t="n">
        <v>46226</v>
      </c>
      <c r="C295" s="24" t="s">
        <v>254</v>
      </c>
      <c r="D295" s="21" t="s">
        <v>11</v>
      </c>
      <c r="E295" s="21" t="s">
        <v>110</v>
      </c>
      <c r="F295" s="21" t="s">
        <v>134</v>
      </c>
      <c r="G295" s="21"/>
      <c r="H295" s="27" t="n">
        <v>-373.3</v>
      </c>
      <c r="I295" s="23" t="str">
        <f aca="false">IF($D295&lt;&gt;"销项开票","",IF($N295="一级",IF(IFERROR(INDEX(项目档案!$E$6:$E$255,MATCH($C295,项目档案!$A$6:$A$255,0)),"")="",N(IFERROR(INDEX(单位档案!$D$6:$D$35,MATCH($E295,单位档案!$A$6:$A$35,0)),"")),IFERROR(INDEX(项目档案!$E$6:$E$255,MATCH($C295,项目档案!$A$6:$A$255,0)),"")),IF($N295="二级",IF(IFERROR(INDEX(项目档案!$G$6:$G$255,MATCH($C295,项目档案!$A$6:$A$255,0)),"")="",N(IFERROR(INDEX(单位档案!$D$6:$D$35,MATCH($E295,单位档案!$A$6:$A$35,0)),"")),IFERROR(INDEX(项目档案!$G$6:$G$255,MATCH($C295,项目档案!$A$6:$A$255,0)),"")),N(IFERROR(INDEX(单位档案!$D$6:$D$35,MATCH($E295,单位档案!$A$6:$A$35,0)),"")))))</f>
        <v/>
      </c>
      <c r="J295" s="25" t="s">
        <v>569</v>
      </c>
      <c r="K295" s="22" t="s">
        <v>313</v>
      </c>
      <c r="L295" s="33" t="str">
        <f aca="false">IF($B295="","",IF(NOT(ISNUMBER($B295)),"日期格式不对",IF($C295="","未选项目编号",IF(LEFT($M295,1)="⚠","项目编号不存在",IF($D295="","未选业务类型",IF($E295="","未选开票/付款方",IF(ISNA(MATCH($E295,单位档案!$A$6:$A$35,0)),"开票方不在单位档案",IF($F295="","未选收票/收款方",IF(ISNA(MATCH($F295,单位档案!$A$6:$A$35,0)),"收款方不在单位档案",IF(NOT(ISNUMBER($H295)),"金额须为数字",IF(AND($D295="销项开票",$N295="—"),"链条待确认","√")))))))))))</f>
        <v>√</v>
      </c>
      <c r="M295" s="34" t="str">
        <f aca="false">IF($C295="","",IFERROR(INDEX(项目档案!$B$6:$B$255,MATCH($C295,项目档案!$A$6:$A$255,0)),"⚠项目编号不存在"))</f>
        <v>2025-2026年度工程用特种设备租赁服务框架采购(10kV少盘线哨楼村支线#1杆线路迁改
工程)</v>
      </c>
      <c r="N295" s="35" t="str">
        <f aca="false">IF($E295="","",IF($E295=IFERROR(INDEX(项目档案!$D$6:$D$255,MATCH($C295,项目档案!$A$6:$A$255,0)),""),"一级",IF($E295=IFERROR(INDEX(项目档案!$F$6:$F$255,MATCH($C295,项目档案!$A$6:$A$255,0)),""),"二级",IF($E295=IFERROR(INDEX(项目档案!$H$6:$H$255,MATCH($C295,项目档案!$A$6:$A$255,0)),""),"我方","—"))))</f>
        <v>一级</v>
      </c>
      <c r="O295" s="36" t="n">
        <f aca="false">IF($D295&lt;&gt;"销项开票",0,ROUND(N($H295)*N($I295),2))</f>
        <v>0</v>
      </c>
      <c r="P295" s="36" t="n">
        <f aca="false">IF($D295&lt;&gt;"销项开票",0,ROUND(N($H295)-$O295,2))</f>
        <v>0</v>
      </c>
      <c r="Q295" s="37" t="n">
        <f aca="false">IF($E295="","",N(IFERROR(INDEX(单位档案!$E$6:$E$35,MATCH($E295,单位档案!$A$6:$A$35,0)),"")))</f>
        <v>0.09</v>
      </c>
      <c r="R295" s="37" t="n">
        <f aca="false">IF($E295="","",N(IFERROR(INDEX(单位档案!$F$6:$F$35,MATCH($E295,单位档案!$A$6:$A$35,0)),"")))</f>
        <v>0.03</v>
      </c>
      <c r="S295" s="36" t="n">
        <f aca="false">IF(OR($D295&lt;&gt;"销项开票",IFERROR(INDEX(单位档案!$G$6:$G$35,MATCH($E295,单位档案!$A$6:$A$35,0)),"")&lt;&gt;"是",N($Q295)=0),0,IF(IFERROR(INDEX(单位档案!$H$6:$H$35,MATCH($E295,单位档案!$A$6:$A$35,0)),"")="税差法",ROUND(N($H295)/(1+$Q295)*$Q295-IF(N($R295)=0,0,$P295/(1+$R295)*$R295),2),ROUND(N($H295)/(1+$Q295)*$Q295,2)))</f>
        <v>0</v>
      </c>
      <c r="T295" s="36" t="n">
        <f aca="false">ROUND($S295*N(IFERROR(INDEX(单位档案!$J$6:$J$35,MATCH($E295,单位档案!$A$6:$A$35,0)),"")),2)</f>
        <v>0</v>
      </c>
      <c r="U295" s="36" t="n">
        <f aca="false">IF($D295&lt;&gt;"销项开票",0,ROUND(N($H295)*N(IFERROR(INDEX(单位档案!$K$6:$K$35,MATCH($E295,单位档案!$A$6:$A$35,0)),"")),2))</f>
        <v>0</v>
      </c>
      <c r="V295" s="36" t="n">
        <f aca="false">IF(OR($D295&lt;&gt;"销项开票",N($Q295)=0),0,ROUND(N($H295)/(1+$Q295)*N(IFERROR(INDEX(单位档案!$L$6:$L$35,MATCH($E295,单位档案!$A$6:$A$35,0)),"")),2))</f>
        <v>0</v>
      </c>
      <c r="W295" s="36" t="n">
        <f aca="false">ROUND($S295+$T295+$U295+$V295,2)</f>
        <v>0</v>
      </c>
      <c r="X295" s="35" t="str">
        <f aca="false">IF(OR($D295="挂靠代收",$D295="我方收款"),COUNTIFS($D$5:$D295,"挂靠代收")+COUNTIFS($D$5:$D295,"我方收款"),"")</f>
        <v/>
      </c>
      <c r="Y295" s="35" t="s">
        <v>110</v>
      </c>
      <c r="Z295" s="21" t="s">
        <v>111</v>
      </c>
    </row>
    <row r="296" customFormat="false" ht="15.75" hidden="false" customHeight="true" outlineLevel="0" collapsed="false">
      <c r="A296" s="32" t="n">
        <f aca="false">IF($B296="","",ROW()-4)</f>
        <v>292</v>
      </c>
      <c r="B296" s="26" t="n">
        <v>46226</v>
      </c>
      <c r="C296" s="24" t="s">
        <v>254</v>
      </c>
      <c r="D296" s="21" t="s">
        <v>320</v>
      </c>
      <c r="E296" s="21" t="s">
        <v>110</v>
      </c>
      <c r="F296" s="21" t="s">
        <v>127</v>
      </c>
      <c r="G296" s="21"/>
      <c r="H296" s="27" t="n">
        <v>373.3</v>
      </c>
      <c r="I296" s="23" t="str">
        <f aca="false">IF($D296&lt;&gt;"销项开票","",IF($N296="一级",IF(IFERROR(INDEX(项目档案!$E$6:$E$255,MATCH($C296,项目档案!$A$6:$A$255,0)),"")="",N(IFERROR(INDEX(单位档案!$D$6:$D$35,MATCH($E296,单位档案!$A$6:$A$35,0)),"")),IFERROR(INDEX(项目档案!$E$6:$E$255,MATCH($C296,项目档案!$A$6:$A$255,0)),"")),IF($N296="二级",IF(IFERROR(INDEX(项目档案!$G$6:$G$255,MATCH($C296,项目档案!$A$6:$A$255,0)),"")="",N(IFERROR(INDEX(单位档案!$D$6:$D$35,MATCH($E296,单位档案!$A$6:$A$35,0)),"")),IFERROR(INDEX(项目档案!$G$6:$G$255,MATCH($C296,项目档案!$A$6:$A$255,0)),"")),N(IFERROR(INDEX(单位档案!$D$6:$D$35,MATCH($E296,单位档案!$A$6:$A$35,0)),"")))))</f>
        <v/>
      </c>
      <c r="J296" s="25" t="s">
        <v>569</v>
      </c>
      <c r="K296" s="22" t="s">
        <v>313</v>
      </c>
      <c r="L296" s="33" t="str">
        <f aca="false">IF($B296="","",IF(NOT(ISNUMBER($B296)),"日期格式不对",IF($C296="","未选项目编号",IF(LEFT($M296,1)="⚠","项目编号不存在",IF($D296="","未选业务类型",IF($E296="","未选开票/付款方",IF(ISNA(MATCH($E296,单位档案!$A$6:$A$35,0)),"开票方不在单位档案",IF($F296="","未选收票/收款方",IF(ISNA(MATCH($F296,单位档案!$A$6:$A$35,0)),"收款方不在单位档案",IF(NOT(ISNUMBER($H296)),"金额须为数字",IF(AND($D296="销项开票",$N296="—"),"链条待确认","√")))))))))))</f>
        <v>√</v>
      </c>
      <c r="M296" s="34" t="str">
        <f aca="false">IF($C296="","",IFERROR(INDEX(项目档案!$B$6:$B$255,MATCH($C296,项目档案!$A$6:$A$255,0)),"⚠项目编号不存在"))</f>
        <v>2025-2026年度工程用特种设备租赁服务框架采购(10kV少盘线哨楼村支线#1杆线路迁改
工程)</v>
      </c>
      <c r="N296" s="35" t="str">
        <f aca="false">IF($E296="","",IF($E296=IFERROR(INDEX(项目档案!$D$6:$D$255,MATCH($C296,项目档案!$A$6:$A$255,0)),""),"一级",IF($E296=IFERROR(INDEX(项目档案!$F$6:$F$255,MATCH($C296,项目档案!$A$6:$A$255,0)),""),"二级",IF($E296=IFERROR(INDEX(项目档案!$H$6:$H$255,MATCH($C296,项目档案!$A$6:$A$255,0)),""),"我方","—"))))</f>
        <v>一级</v>
      </c>
      <c r="O296" s="36" t="n">
        <f aca="false">IF($D296&lt;&gt;"销项开票",0,ROUND(N($H296)*N($I296),2))</f>
        <v>0</v>
      </c>
      <c r="P296" s="36" t="n">
        <f aca="false">IF($D296&lt;&gt;"销项开票",0,ROUND(N($H296)-$O296,2))</f>
        <v>0</v>
      </c>
      <c r="Q296" s="37" t="n">
        <f aca="false">IF($E296="","",N(IFERROR(INDEX(单位档案!$E$6:$E$35,MATCH($E296,单位档案!$A$6:$A$35,0)),"")))</f>
        <v>0.09</v>
      </c>
      <c r="R296" s="37" t="n">
        <f aca="false">IF($E296="","",N(IFERROR(INDEX(单位档案!$F$6:$F$35,MATCH($E296,单位档案!$A$6:$A$35,0)),"")))</f>
        <v>0.03</v>
      </c>
      <c r="S296" s="36" t="n">
        <f aca="false">IF(OR($D296&lt;&gt;"销项开票",IFERROR(INDEX(单位档案!$G$6:$G$35,MATCH($E296,单位档案!$A$6:$A$35,0)),"")&lt;&gt;"是",N($Q296)=0),0,IF(IFERROR(INDEX(单位档案!$H$6:$H$35,MATCH($E296,单位档案!$A$6:$A$35,0)),"")="税差法",ROUND(N($H296)/(1+$Q296)*$Q296-IF(N($R296)=0,0,$P296/(1+$R296)*$R296),2),ROUND(N($H296)/(1+$Q296)*$Q296,2)))</f>
        <v>0</v>
      </c>
      <c r="T296" s="36" t="n">
        <f aca="false">ROUND($S296*N(IFERROR(INDEX(单位档案!$J$6:$J$35,MATCH($E296,单位档案!$A$6:$A$35,0)),"")),2)</f>
        <v>0</v>
      </c>
      <c r="U296" s="36" t="n">
        <f aca="false">IF($D296&lt;&gt;"销项开票",0,ROUND(N($H296)*N(IFERROR(INDEX(单位档案!$K$6:$K$35,MATCH($E296,单位档案!$A$6:$A$35,0)),"")),2))</f>
        <v>0</v>
      </c>
      <c r="V296" s="36" t="n">
        <f aca="false">IF(OR($D296&lt;&gt;"销项开票",N($Q296)=0),0,ROUND(N($H296)/(1+$Q296)*N(IFERROR(INDEX(单位档案!$L$6:$L$35,MATCH($E296,单位档案!$A$6:$A$35,0)),"")),2))</f>
        <v>0</v>
      </c>
      <c r="W296" s="36" t="n">
        <f aca="false">ROUND($S296+$T296+$U296+$V296,2)</f>
        <v>0</v>
      </c>
      <c r="X296" s="35" t="n">
        <f aca="false">IF(OR($D296="挂靠代收",$D296="我方收款"),COUNTIFS($D$5:$D296,"挂靠代收")+COUNTIFS($D$5:$D296,"我方收款"),"")</f>
        <v>45</v>
      </c>
      <c r="Y296" s="35" t="s">
        <v>110</v>
      </c>
      <c r="Z296" s="21" t="s">
        <v>111</v>
      </c>
    </row>
    <row r="297" customFormat="false" ht="15.75" hidden="false" customHeight="true" outlineLevel="0" collapsed="false">
      <c r="A297" s="32" t="n">
        <f aca="false">IF($B297="","",ROW()-4)</f>
        <v>293</v>
      </c>
      <c r="B297" s="26" t="n">
        <v>46226</v>
      </c>
      <c r="C297" s="24" t="s">
        <v>150</v>
      </c>
      <c r="D297" s="21" t="s">
        <v>11</v>
      </c>
      <c r="E297" s="21" t="s">
        <v>119</v>
      </c>
      <c r="F297" s="21" t="s">
        <v>134</v>
      </c>
      <c r="G297" s="21"/>
      <c r="H297" s="27" t="n">
        <v>1150.95</v>
      </c>
      <c r="I297" s="23" t="str">
        <f aca="false">IF($D297&lt;&gt;"销项开票","",IF($N297="一级",IF(IFERROR(INDEX(项目档案!$E$6:$E$255,MATCH($C297,项目档案!$A$6:$A$255,0)),"")="",N(IFERROR(INDEX(单位档案!$D$6:$D$35,MATCH($E297,单位档案!$A$6:$A$35,0)),"")),IFERROR(INDEX(项目档案!$E$6:$E$255,MATCH($C297,项目档案!$A$6:$A$255,0)),"")),IF($N297="二级",IF(IFERROR(INDEX(项目档案!$G$6:$G$255,MATCH($C297,项目档案!$A$6:$A$255,0)),"")="",N(IFERROR(INDEX(单位档案!$D$6:$D$35,MATCH($E297,单位档案!$A$6:$A$35,0)),"")),IFERROR(INDEX(项目档案!$G$6:$G$255,MATCH($C297,项目档案!$A$6:$A$255,0)),"")),N(IFERROR(INDEX(单位档案!$D$6:$D$35,MATCH($E297,单位档案!$A$6:$A$35,0)),"")))))</f>
        <v/>
      </c>
      <c r="J297" s="25" t="s">
        <v>570</v>
      </c>
      <c r="K297" s="22" t="s">
        <v>313</v>
      </c>
      <c r="L297" s="33" t="str">
        <f aca="false">IF($B297="","",IF(NOT(ISNUMBER($B297)),"日期格式不对",IF($C297="","未选项目编号",IF(LEFT($M297,1)="⚠","项目编号不存在",IF($D297="","未选业务类型",IF($E297="","未选开票/付款方",IF(ISNA(MATCH($E297,单位档案!$A$6:$A$35,0)),"开票方不在单位档案",IF($F297="","未选收票/收款方",IF(ISNA(MATCH($F297,单位档案!$A$6:$A$35,0)),"收款方不在单位档案",IF(NOT(ISNUMBER($H297)),"金额须为数字",IF(AND($D297="销项开票",$N297="—"),"链条待确认","√")))))))))))</f>
        <v>√</v>
      </c>
      <c r="M297" s="34" t="str">
        <f aca="false">IF($C297="","",IFERROR(INDEX(项目档案!$B$6:$B$255,MATCH($C297,项目档案!$A$6:$A$255,0)),"⚠项目编号不存在"))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297" s="35" t="str">
        <f aca="false">IF($E297="","",IF($E297=IFERROR(INDEX(项目档案!$D$6:$D$255,MATCH($C297,项目档案!$A$6:$A$255,0)),""),"一级",IF($E297=IFERROR(INDEX(项目档案!$F$6:$F$255,MATCH($C297,项目档案!$A$6:$A$255,0)),""),"二级",IF($E297=IFERROR(INDEX(项目档案!$H$6:$H$255,MATCH($C297,项目档案!$A$6:$A$255,0)),""),"我方","—"))))</f>
        <v>一级</v>
      </c>
      <c r="O297" s="36" t="n">
        <f aca="false">IF($D297&lt;&gt;"销项开票",0,ROUND(N($H297)*N($I297),2))</f>
        <v>0</v>
      </c>
      <c r="P297" s="36" t="n">
        <f aca="false">IF($D297&lt;&gt;"销项开票",0,ROUND(N($H297)-$O297,2))</f>
        <v>0</v>
      </c>
      <c r="Q297" s="37" t="n">
        <f aca="false">IF($E297="","",N(IFERROR(INDEX(单位档案!$E$6:$E$35,MATCH($E297,单位档案!$A$6:$A$35,0)),"")))</f>
        <v>0.09</v>
      </c>
      <c r="R297" s="37" t="n">
        <f aca="false">IF($E297="","",N(IFERROR(INDEX(单位档案!$F$6:$F$35,MATCH($E297,单位档案!$A$6:$A$35,0)),"")))</f>
        <v>0.03</v>
      </c>
      <c r="S297" s="36" t="n">
        <f aca="false">IF(OR($D297&lt;&gt;"销项开票",IFERROR(INDEX(单位档案!$G$6:$G$35,MATCH($E297,单位档案!$A$6:$A$35,0)),"")&lt;&gt;"是",N($Q297)=0),0,IF(IFERROR(INDEX(单位档案!$H$6:$H$35,MATCH($E297,单位档案!$A$6:$A$35,0)),"")="税差法",ROUND(N($H297)/(1+$Q297)*$Q297-IF(N($R297)=0,0,$P297/(1+$R297)*$R297),2),ROUND(N($H297)/(1+$Q297)*$Q297,2)))</f>
        <v>0</v>
      </c>
      <c r="T297" s="36" t="n">
        <f aca="false">ROUND($S297*N(IFERROR(INDEX(单位档案!$J$6:$J$35,MATCH($E297,单位档案!$A$6:$A$35,0)),"")),2)</f>
        <v>0</v>
      </c>
      <c r="U297" s="36" t="n">
        <f aca="false">IF($D297&lt;&gt;"销项开票",0,ROUND(N($H297)*N(IFERROR(INDEX(单位档案!$K$6:$K$35,MATCH($E297,单位档案!$A$6:$A$35,0)),"")),2))</f>
        <v>0</v>
      </c>
      <c r="V297" s="36" t="n">
        <f aca="false">IF(OR($D297&lt;&gt;"销项开票",N($Q297)=0),0,ROUND(N($H297)/(1+$Q297)*N(IFERROR(INDEX(单位档案!$L$6:$L$35,MATCH($E297,单位档案!$A$6:$A$35,0)),"")),2))</f>
        <v>0</v>
      </c>
      <c r="W297" s="36" t="n">
        <f aca="false">ROUND($S297+$T297+$U297+$V297,2)</f>
        <v>0</v>
      </c>
      <c r="X297" s="35" t="str">
        <f aca="false">IF(OR($D297="挂靠代收",$D297="我方收款"),COUNTIFS($D$5:$D297,"挂靠代收")+COUNTIFS($D$5:$D297,"我方收款"),"")</f>
        <v/>
      </c>
      <c r="Y297" s="35" t="s">
        <v>119</v>
      </c>
      <c r="Z297" s="21" t="s">
        <v>111</v>
      </c>
    </row>
    <row r="298" customFormat="false" ht="15.75" hidden="false" customHeight="true" outlineLevel="0" collapsed="false">
      <c r="A298" s="32" t="n">
        <f aca="false">IF($B298="","",ROW()-4)</f>
        <v>294</v>
      </c>
      <c r="B298" s="26" t="n">
        <v>46226</v>
      </c>
      <c r="C298" s="24" t="s">
        <v>150</v>
      </c>
      <c r="D298" s="21" t="s">
        <v>320</v>
      </c>
      <c r="E298" s="21" t="s">
        <v>119</v>
      </c>
      <c r="F298" s="21" t="s">
        <v>127</v>
      </c>
      <c r="G298" s="21"/>
      <c r="H298" s="27" t="n">
        <v>1150.93</v>
      </c>
      <c r="I298" s="23" t="str">
        <f aca="false">IF($D298&lt;&gt;"销项开票","",IF($N298="一级",IF(IFERROR(INDEX(项目档案!$E$6:$E$255,MATCH($C298,项目档案!$A$6:$A$255,0)),"")="",N(IFERROR(INDEX(单位档案!$D$6:$D$35,MATCH($E298,单位档案!$A$6:$A$35,0)),"")),IFERROR(INDEX(项目档案!$E$6:$E$255,MATCH($C298,项目档案!$A$6:$A$255,0)),"")),IF($N298="二级",IF(IFERROR(INDEX(项目档案!$G$6:$G$255,MATCH($C298,项目档案!$A$6:$A$255,0)),"")="",N(IFERROR(INDEX(单位档案!$D$6:$D$35,MATCH($E298,单位档案!$A$6:$A$35,0)),"")),IFERROR(INDEX(项目档案!$G$6:$G$255,MATCH($C298,项目档案!$A$6:$A$255,0)),"")),N(IFERROR(INDEX(单位档案!$D$6:$D$35,MATCH($E298,单位档案!$A$6:$A$35,0)),"")))))</f>
        <v/>
      </c>
      <c r="J298" s="25" t="s">
        <v>570</v>
      </c>
      <c r="K298" s="22" t="s">
        <v>313</v>
      </c>
      <c r="L298" s="33" t="str">
        <f aca="false">IF($B298="","",IF(NOT(ISNUMBER($B298)),"日期格式不对",IF($C298="","未选项目编号",IF(LEFT($M298,1)="⚠","项目编号不存在",IF($D298="","未选业务类型",IF($E298="","未选开票/付款方",IF(ISNA(MATCH($E298,单位档案!$A$6:$A$35,0)),"开票方不在单位档案",IF($F298="","未选收票/收款方",IF(ISNA(MATCH($F298,单位档案!$A$6:$A$35,0)),"收款方不在单位档案",IF(NOT(ISNUMBER($H298)),"金额须为数字",IF(AND($D298="销项开票",$N298="—"),"链条待确认","√")))))))))))</f>
        <v>√</v>
      </c>
      <c r="M298" s="34" t="str">
        <f aca="false">IF($C298="","",IFERROR(INDEX(项目档案!$B$6:$B$255,MATCH($C298,项目档案!$A$6:$A$255,0)),"⚠项目编号不存在"))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298" s="35" t="str">
        <f aca="false">IF($E298="","",IF($E298=IFERROR(INDEX(项目档案!$D$6:$D$255,MATCH($C298,项目档案!$A$6:$A$255,0)),""),"一级",IF($E298=IFERROR(INDEX(项目档案!$F$6:$F$255,MATCH($C298,项目档案!$A$6:$A$255,0)),""),"二级",IF($E298=IFERROR(INDEX(项目档案!$H$6:$H$255,MATCH($C298,项目档案!$A$6:$A$255,0)),""),"我方","—"))))</f>
        <v>一级</v>
      </c>
      <c r="O298" s="36" t="n">
        <f aca="false">IF($D298&lt;&gt;"销项开票",0,ROUND(N($H298)*N($I298),2))</f>
        <v>0</v>
      </c>
      <c r="P298" s="36" t="n">
        <f aca="false">IF($D298&lt;&gt;"销项开票",0,ROUND(N($H298)-$O298,2))</f>
        <v>0</v>
      </c>
      <c r="Q298" s="37" t="n">
        <f aca="false">IF($E298="","",N(IFERROR(INDEX(单位档案!$E$6:$E$35,MATCH($E298,单位档案!$A$6:$A$35,0)),"")))</f>
        <v>0.09</v>
      </c>
      <c r="R298" s="37" t="n">
        <f aca="false">IF($E298="","",N(IFERROR(INDEX(单位档案!$F$6:$F$35,MATCH($E298,单位档案!$A$6:$A$35,0)),"")))</f>
        <v>0.03</v>
      </c>
      <c r="S298" s="36" t="n">
        <f aca="false">IF(OR($D298&lt;&gt;"销项开票",IFERROR(INDEX(单位档案!$G$6:$G$35,MATCH($E298,单位档案!$A$6:$A$35,0)),"")&lt;&gt;"是",N($Q298)=0),0,IF(IFERROR(INDEX(单位档案!$H$6:$H$35,MATCH($E298,单位档案!$A$6:$A$35,0)),"")="税差法",ROUND(N($H298)/(1+$Q298)*$Q298-IF(N($R298)=0,0,$P298/(1+$R298)*$R298),2),ROUND(N($H298)/(1+$Q298)*$Q298,2)))</f>
        <v>0</v>
      </c>
      <c r="T298" s="36" t="n">
        <f aca="false">ROUND($S298*N(IFERROR(INDEX(单位档案!$J$6:$J$35,MATCH($E298,单位档案!$A$6:$A$35,0)),"")),2)</f>
        <v>0</v>
      </c>
      <c r="U298" s="36" t="n">
        <f aca="false">IF($D298&lt;&gt;"销项开票",0,ROUND(N($H298)*N(IFERROR(INDEX(单位档案!$K$6:$K$35,MATCH($E298,单位档案!$A$6:$A$35,0)),"")),2))</f>
        <v>0</v>
      </c>
      <c r="V298" s="36" t="n">
        <f aca="false">IF(OR($D298&lt;&gt;"销项开票",N($Q298)=0),0,ROUND(N($H298)/(1+$Q298)*N(IFERROR(INDEX(单位档案!$L$6:$L$35,MATCH($E298,单位档案!$A$6:$A$35,0)),"")),2))</f>
        <v>0</v>
      </c>
      <c r="W298" s="36" t="n">
        <f aca="false">ROUND($S298+$T298+$U298+$V298,2)</f>
        <v>0</v>
      </c>
      <c r="X298" s="35" t="n">
        <f aca="false">IF(OR($D298="挂靠代收",$D298="我方收款"),COUNTIFS($D$5:$D298,"挂靠代收")+COUNTIFS($D$5:$D298,"我方收款"),"")</f>
        <v>46</v>
      </c>
      <c r="Y298" s="35" t="s">
        <v>119</v>
      </c>
      <c r="Z298" s="21" t="s">
        <v>111</v>
      </c>
    </row>
    <row r="299" customFormat="false" ht="15.75" hidden="false" customHeight="true" outlineLevel="0" collapsed="false">
      <c r="A299" s="32" t="n">
        <f aca="false">IF($B299="","",ROW()-4)</f>
        <v>295</v>
      </c>
      <c r="B299" s="26" t="n">
        <v>46226</v>
      </c>
      <c r="C299" s="24" t="s">
        <v>150</v>
      </c>
      <c r="D299" s="21" t="s">
        <v>314</v>
      </c>
      <c r="E299" s="21" t="s">
        <v>127</v>
      </c>
      <c r="F299" s="21" t="s">
        <v>119</v>
      </c>
      <c r="G299" s="21"/>
      <c r="H299" s="27" t="n">
        <v>1385.45</v>
      </c>
      <c r="I299" s="23" t="str">
        <f aca="false">IF($D299&lt;&gt;"销项开票","",IF($N299="一级",IF(IFERROR(INDEX(项目档案!$E$6:$E$255,MATCH($C299,项目档案!$A$6:$A$255,0)),"")="",N(IFERROR(INDEX(单位档案!$D$6:$D$35,MATCH($E299,单位档案!$A$6:$A$35,0)),"")),IFERROR(INDEX(项目档案!$E$6:$E$255,MATCH($C299,项目档案!$A$6:$A$255,0)),"")),IF($N299="二级",IF(IFERROR(INDEX(项目档案!$G$6:$G$255,MATCH($C299,项目档案!$A$6:$A$255,0)),"")="",N(IFERROR(INDEX(单位档案!$D$6:$D$35,MATCH($E299,单位档案!$A$6:$A$35,0)),"")),IFERROR(INDEX(项目档案!$G$6:$G$255,MATCH($C299,项目档案!$A$6:$A$255,0)),"")),N(IFERROR(INDEX(单位档案!$D$6:$D$35,MATCH($E299,单位档案!$A$6:$A$35,0)),"")))))</f>
        <v/>
      </c>
      <c r="J299" s="25" t="s">
        <v>570</v>
      </c>
      <c r="K299" s="22" t="s">
        <v>313</v>
      </c>
      <c r="L299" s="33" t="str">
        <f aca="false">IF($B299="","",IF(NOT(ISNUMBER($B299)),"日期格式不对",IF($C299="","未选项目编号",IF(LEFT($M299,1)="⚠","项目编号不存在",IF($D299="","未选业务类型",IF($E299="","未选开票/付款方",IF(ISNA(MATCH($E299,单位档案!$A$6:$A$35,0)),"开票方不在单位档案",IF($F299="","未选收票/收款方",IF(ISNA(MATCH($F299,单位档案!$A$6:$A$35,0)),"收款方不在单位档案",IF(NOT(ISNUMBER($H299)),"金额须为数字",IF(AND($D299="销项开票",$N299="—"),"链条待确认","√")))))))))))</f>
        <v>√</v>
      </c>
      <c r="M299" s="34" t="str">
        <f aca="false">IF($C299="","",IFERROR(INDEX(项目档案!$B$6:$B$255,MATCH($C299,项目档案!$A$6:$A$255,0)),"⚠项目编号不存在"))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299" s="35" t="str">
        <f aca="false">IF($E299="","",IF($E299=IFERROR(INDEX(项目档案!$D$6:$D$255,MATCH($C299,项目档案!$A$6:$A$255,0)),""),"一级",IF($E299=IFERROR(INDEX(项目档案!$F$6:$F$255,MATCH($C299,项目档案!$A$6:$A$255,0)),""),"二级",IF($E299=IFERROR(INDEX(项目档案!$H$6:$H$255,MATCH($C299,项目档案!$A$6:$A$255,0)),""),"我方","—"))))</f>
        <v>我方</v>
      </c>
      <c r="O299" s="36" t="n">
        <f aca="false">IF($D299&lt;&gt;"销项开票",0,ROUND(N($H299)*N($I299),2))</f>
        <v>0</v>
      </c>
      <c r="P299" s="36" t="n">
        <f aca="false">IF($D299&lt;&gt;"销项开票",0,ROUND(N($H299)-$O299,2))</f>
        <v>0</v>
      </c>
      <c r="Q299" s="37" t="n">
        <f aca="false">IF($E299="","",N(IFERROR(INDEX(单位档案!$E$6:$E$35,MATCH($E299,单位档案!$A$6:$A$35,0)),"")))</f>
        <v>0.03</v>
      </c>
      <c r="R299" s="37" t="n">
        <f aca="false">IF($E299="","",N(IFERROR(INDEX(单位档案!$F$6:$F$35,MATCH($E299,单位档案!$A$6:$A$35,0)),"")))</f>
        <v>0</v>
      </c>
      <c r="S299" s="36" t="n">
        <f aca="false">IF(OR($D299&lt;&gt;"销项开票",IFERROR(INDEX(单位档案!$G$6:$G$35,MATCH($E299,单位档案!$A$6:$A$35,0)),"")&lt;&gt;"是",N($Q299)=0),0,IF(IFERROR(INDEX(单位档案!$H$6:$H$35,MATCH($E299,单位档案!$A$6:$A$35,0)),"")="税差法",ROUND(N($H299)/(1+$Q299)*$Q299-IF(N($R299)=0,0,$P299/(1+$R299)*$R299),2),ROUND(N($H299)/(1+$Q299)*$Q299,2)))</f>
        <v>0</v>
      </c>
      <c r="T299" s="36" t="n">
        <f aca="false">ROUND($S299*N(IFERROR(INDEX(单位档案!$J$6:$J$35,MATCH($E299,单位档案!$A$6:$A$35,0)),"")),2)</f>
        <v>0</v>
      </c>
      <c r="U299" s="36" t="n">
        <f aca="false">IF($D299&lt;&gt;"销项开票",0,ROUND(N($H299)*N(IFERROR(INDEX(单位档案!$K$6:$K$35,MATCH($E299,单位档案!$A$6:$A$35,0)),"")),2))</f>
        <v>0</v>
      </c>
      <c r="V299" s="36" t="n">
        <f aca="false">IF(OR($D299&lt;&gt;"销项开票",N($Q299)=0),0,ROUND(N($H299)/(1+$Q299)*N(IFERROR(INDEX(单位档案!$L$6:$L$35,MATCH($E299,单位档案!$A$6:$A$35,0)),"")),2))</f>
        <v>0</v>
      </c>
      <c r="W299" s="36" t="n">
        <f aca="false">ROUND($S299+$T299+$U299+$V299,2)</f>
        <v>0</v>
      </c>
      <c r="X299" s="35" t="str">
        <f aca="false">IF(OR($D299="挂靠代收",$D299="我方收款"),COUNTIFS($D$5:$D299,"挂靠代收")+COUNTIFS($D$5:$D299,"我方收款"),"")</f>
        <v/>
      </c>
      <c r="Y299" s="35" t="s">
        <v>119</v>
      </c>
      <c r="Z299" s="21" t="s">
        <v>111</v>
      </c>
    </row>
    <row r="300" customFormat="false" ht="15.75" hidden="false" customHeight="true" outlineLevel="0" collapsed="false">
      <c r="A300" s="32" t="n">
        <f aca="false">IF($B300="","",ROW()-4)</f>
        <v>296</v>
      </c>
      <c r="B300" s="26" t="n">
        <v>46227</v>
      </c>
      <c r="C300" s="24" t="s">
        <v>228</v>
      </c>
      <c r="D300" s="21" t="s">
        <v>357</v>
      </c>
      <c r="E300" s="21" t="s">
        <v>127</v>
      </c>
      <c r="F300" s="21" t="s">
        <v>114</v>
      </c>
      <c r="G300" s="24" t="s">
        <v>316</v>
      </c>
      <c r="H300" s="27" t="n">
        <v>2709.04</v>
      </c>
      <c r="I300" s="23" t="str">
        <f aca="false">IF($D300&lt;&gt;"销项开票","",IF($N300="一级",IF(IFERROR(INDEX(项目档案!$E$6:$E$255,MATCH($C300,项目档案!$A$6:$A$255,0)),"")="",N(IFERROR(INDEX(单位档案!$D$6:$D$35,MATCH($E300,单位档案!$A$6:$A$35,0)),"")),IFERROR(INDEX(项目档案!$E$6:$E$255,MATCH($C300,项目档案!$A$6:$A$255,0)),"")),IF($N300="二级",IF(IFERROR(INDEX(项目档案!$G$6:$G$255,MATCH($C300,项目档案!$A$6:$A$255,0)),"")="",N(IFERROR(INDEX(单位档案!$D$6:$D$35,MATCH($E300,单位档案!$A$6:$A$35,0)),"")),IFERROR(INDEX(项目档案!$G$6:$G$255,MATCH($C300,项目档案!$A$6:$A$255,0)),"")),N(IFERROR(INDEX(单位档案!$D$6:$D$35,MATCH($E300,单位档案!$A$6:$A$35,0)),"")))))</f>
        <v/>
      </c>
      <c r="J300" s="25" t="s">
        <v>571</v>
      </c>
      <c r="K300" s="22" t="s">
        <v>313</v>
      </c>
      <c r="L300" s="33" t="str">
        <f aca="false">IF($B300="","",IF(NOT(ISNUMBER($B300)),"日期格式不对",IF($C300="","未选项目编号",IF(LEFT($M300,1)="⚠","项目编号不存在",IF($D300="","未选业务类型",IF($E300="","未选开票/付款方",IF(ISNA(MATCH($E300,单位档案!$A$6:$A$35,0)),"开票方不在单位档案",IF($F300="","未选收票/收款方",IF(ISNA(MATCH($F300,单位档案!$A$6:$A$35,0)),"收款方不在单位档案",IF(NOT(ISNUMBER($H300)),"金额须为数字",IF(AND($D300="销项开票",$N300="—"),"链条待确认","√")))))))))))</f>
        <v>√</v>
      </c>
      <c r="M300" s="34" t="str">
        <f aca="false">IF($C300="","",IFERROR(INDEX(项目档案!$B$6:$B$255,MATCH($C300,项目档案!$A$6:$A$255,0)),"⚠项目编号不存在"))</f>
        <v>铜梁公司2026年配电专业应急抢修抢险等外包项目（永嘉所10kV西新线等2条线路综合检修项目）</v>
      </c>
      <c r="N300" s="35" t="str">
        <f aca="false">IF($E300="","",IF($E300=IFERROR(INDEX(项目档案!$D$6:$D$255,MATCH($C300,项目档案!$A$6:$A$255,0)),""),"一级",IF($E300=IFERROR(INDEX(项目档案!$F$6:$F$255,MATCH($C300,项目档案!$A$6:$A$255,0)),""),"二级",IF($E300=IFERROR(INDEX(项目档案!$H$6:$H$255,MATCH($C300,项目档案!$A$6:$A$255,0)),""),"我方","—"))))</f>
        <v>我方</v>
      </c>
      <c r="O300" s="36" t="n">
        <f aca="false">IF($D300&lt;&gt;"销项开票",0,ROUND(N($H300)*N($I300),2))</f>
        <v>0</v>
      </c>
      <c r="P300" s="36" t="n">
        <f aca="false">IF($D300&lt;&gt;"销项开票",0,ROUND(N($H300)-$O300,2))</f>
        <v>0</v>
      </c>
      <c r="Q300" s="37" t="n">
        <f aca="false">IF($E300="","",N(IFERROR(INDEX(单位档案!$E$6:$E$35,MATCH($E300,单位档案!$A$6:$A$35,0)),"")))</f>
        <v>0.03</v>
      </c>
      <c r="R300" s="37" t="n">
        <f aca="false">IF($E300="","",N(IFERROR(INDEX(单位档案!$F$6:$F$35,MATCH($E300,单位档案!$A$6:$A$35,0)),"")))</f>
        <v>0</v>
      </c>
      <c r="S300" s="36" t="n">
        <f aca="false">IF(OR($D300&lt;&gt;"销项开票",IFERROR(INDEX(单位档案!$G$6:$G$35,MATCH($E300,单位档案!$A$6:$A$35,0)),"")&lt;&gt;"是",N($Q300)=0),0,IF(IFERROR(INDEX(单位档案!$H$6:$H$35,MATCH($E300,单位档案!$A$6:$A$35,0)),"")="税差法",ROUND(N($H300)/(1+$Q300)*$Q300-IF(N($R300)=0,0,$P300/(1+$R300)*$R300),2),ROUND(N($H300)/(1+$Q300)*$Q300,2)))</f>
        <v>0</v>
      </c>
      <c r="T300" s="36" t="n">
        <f aca="false">ROUND($S300*N(IFERROR(INDEX(单位档案!$J$6:$J$35,MATCH($E300,单位档案!$A$6:$A$35,0)),"")),2)</f>
        <v>0</v>
      </c>
      <c r="U300" s="36" t="n">
        <f aca="false">IF($D300&lt;&gt;"销项开票",0,ROUND(N($H300)*N(IFERROR(INDEX(单位档案!$K$6:$K$35,MATCH($E300,单位档案!$A$6:$A$35,0)),"")),2))</f>
        <v>0</v>
      </c>
      <c r="V300" s="36" t="n">
        <f aca="false">IF(OR($D300&lt;&gt;"销项开票",N($Q300)=0),0,ROUND(N($H300)/(1+$Q300)*N(IFERROR(INDEX(单位档案!$L$6:$L$35,MATCH($E300,单位档案!$A$6:$A$35,0)),"")),2))</f>
        <v>0</v>
      </c>
      <c r="W300" s="36" t="n">
        <f aca="false">ROUND($S300+$T300+$U300+$V300,2)</f>
        <v>0</v>
      </c>
      <c r="X300" s="35" t="str">
        <f aca="false">IF(OR($D300="挂靠代收",$D300="我方收款"),COUNTIFS($D$5:$D300,"挂靠代收")+COUNTIFS($D$5:$D300,"我方收款"),"")</f>
        <v/>
      </c>
      <c r="Y300" s="35" t="s">
        <v>114</v>
      </c>
      <c r="Z300" s="21" t="s">
        <v>111</v>
      </c>
    </row>
    <row r="301" customFormat="false" ht="15.75" hidden="false" customHeight="true" outlineLevel="0" collapsed="false">
      <c r="A301" s="32" t="n">
        <f aca="false">IF($B301="","",ROW()-4)</f>
        <v>297</v>
      </c>
      <c r="B301" s="26" t="n">
        <v>46227</v>
      </c>
      <c r="C301" s="24" t="s">
        <v>256</v>
      </c>
      <c r="D301" s="21" t="s">
        <v>357</v>
      </c>
      <c r="E301" s="21" t="s">
        <v>127</v>
      </c>
      <c r="F301" s="21" t="s">
        <v>114</v>
      </c>
      <c r="G301" s="24" t="s">
        <v>316</v>
      </c>
      <c r="H301" s="27" t="n">
        <v>5725.34</v>
      </c>
      <c r="I301" s="23" t="str">
        <f aca="false">IF($D301&lt;&gt;"销项开票","",IF($N301="一级",IF(IFERROR(INDEX(项目档案!$E$6:$E$255,MATCH($C301,项目档案!$A$6:$A$255,0)),"")="",N(IFERROR(INDEX(单位档案!$D$6:$D$35,MATCH($E301,单位档案!$A$6:$A$35,0)),"")),IFERROR(INDEX(项目档案!$E$6:$E$255,MATCH($C301,项目档案!$A$6:$A$255,0)),"")),IF($N301="二级",IF(IFERROR(INDEX(项目档案!$G$6:$G$255,MATCH($C301,项目档案!$A$6:$A$255,0)),"")="",N(IFERROR(INDEX(单位档案!$D$6:$D$35,MATCH($E301,单位档案!$A$6:$A$35,0)),"")),IFERROR(INDEX(项目档案!$G$6:$G$255,MATCH($C301,项目档案!$A$6:$A$255,0)),"")),N(IFERROR(INDEX(单位档案!$D$6:$D$35,MATCH($E301,单位档案!$A$6:$A$35,0)),"")))))</f>
        <v/>
      </c>
      <c r="J301" s="25" t="s">
        <v>572</v>
      </c>
      <c r="K301" s="22" t="s">
        <v>313</v>
      </c>
      <c r="L301" s="33" t="str">
        <f aca="false">IF($B301="","",IF(NOT(ISNUMBER($B301)),"日期格式不对",IF($C301="","未选项目编号",IF(LEFT($M301,1)="⚠","项目编号不存在",IF($D301="","未选业务类型",IF($E301="","未选开票/付款方",IF(ISNA(MATCH($E301,单位档案!$A$6:$A$35,0)),"开票方不在单位档案",IF($F301="","未选收票/收款方",IF(ISNA(MATCH($F301,单位档案!$A$6:$A$35,0)),"收款方不在单位档案",IF(NOT(ISNUMBER($H301)),"金额须为数字",IF(AND($D301="销项开票",$N301="—"),"链条待确认","√")))))))))))</f>
        <v>√</v>
      </c>
      <c r="M301" s="34" t="str">
        <f aca="false">IF($C301="","",IFERROR(INDEX(项目档案!$B$6:$B$255,MATCH($C301,项目档案!$A$6:$A$255,0)),"⚠项目编号不存在"))</f>
        <v>铜梁公司2026年配电专业应急抢修抢险等外包项目（永嘉所义和8社等台区3个对地不足隐患治理项目)</v>
      </c>
      <c r="N301" s="35" t="str">
        <f aca="false">IF($E301="","",IF($E301=IFERROR(INDEX(项目档案!$D$6:$D$255,MATCH($C301,项目档案!$A$6:$A$255,0)),""),"一级",IF($E301=IFERROR(INDEX(项目档案!$F$6:$F$255,MATCH($C301,项目档案!$A$6:$A$255,0)),""),"二级",IF($E301=IFERROR(INDEX(项目档案!$H$6:$H$255,MATCH($C301,项目档案!$A$6:$A$255,0)),""),"我方","—"))))</f>
        <v>我方</v>
      </c>
      <c r="O301" s="36" t="n">
        <f aca="false">IF($D301&lt;&gt;"销项开票",0,ROUND(N($H301)*N($I301),2))</f>
        <v>0</v>
      </c>
      <c r="P301" s="36" t="n">
        <f aca="false">IF($D301&lt;&gt;"销项开票",0,ROUND(N($H301)-$O301,2))</f>
        <v>0</v>
      </c>
      <c r="Q301" s="37" t="n">
        <f aca="false">IF($E301="","",N(IFERROR(INDEX(单位档案!$E$6:$E$35,MATCH($E301,单位档案!$A$6:$A$35,0)),"")))</f>
        <v>0.03</v>
      </c>
      <c r="R301" s="37" t="n">
        <f aca="false">IF($E301="","",N(IFERROR(INDEX(单位档案!$F$6:$F$35,MATCH($E301,单位档案!$A$6:$A$35,0)),"")))</f>
        <v>0</v>
      </c>
      <c r="S301" s="36" t="n">
        <f aca="false">IF(OR($D301&lt;&gt;"销项开票",IFERROR(INDEX(单位档案!$G$6:$G$35,MATCH($E301,单位档案!$A$6:$A$35,0)),"")&lt;&gt;"是",N($Q301)=0),0,IF(IFERROR(INDEX(单位档案!$H$6:$H$35,MATCH($E301,单位档案!$A$6:$A$35,0)),"")="税差法",ROUND(N($H301)/(1+$Q301)*$Q301-IF(N($R301)=0,0,$P301/(1+$R301)*$R301),2),ROUND(N($H301)/(1+$Q301)*$Q301,2)))</f>
        <v>0</v>
      </c>
      <c r="T301" s="36" t="n">
        <f aca="false">ROUND($S301*N(IFERROR(INDEX(单位档案!$J$6:$J$35,MATCH($E301,单位档案!$A$6:$A$35,0)),"")),2)</f>
        <v>0</v>
      </c>
      <c r="U301" s="36" t="n">
        <f aca="false">IF($D301&lt;&gt;"销项开票",0,ROUND(N($H301)*N(IFERROR(INDEX(单位档案!$K$6:$K$35,MATCH($E301,单位档案!$A$6:$A$35,0)),"")),2))</f>
        <v>0</v>
      </c>
      <c r="V301" s="36" t="n">
        <f aca="false">IF(OR($D301&lt;&gt;"销项开票",N($Q301)=0),0,ROUND(N($H301)/(1+$Q301)*N(IFERROR(INDEX(单位档案!$L$6:$L$35,MATCH($E301,单位档案!$A$6:$A$35,0)),"")),2))</f>
        <v>0</v>
      </c>
      <c r="W301" s="36" t="n">
        <f aca="false">ROUND($S301+$T301+$U301+$V301,2)</f>
        <v>0</v>
      </c>
      <c r="X301" s="35" t="str">
        <f aca="false">IF(OR($D301="挂靠代收",$D301="我方收款"),COUNTIFS($D$5:$D301,"挂靠代收")+COUNTIFS($D$5:$D301,"我方收款"),"")</f>
        <v/>
      </c>
      <c r="Y301" s="35" t="s">
        <v>114</v>
      </c>
      <c r="Z301" s="21" t="s">
        <v>111</v>
      </c>
    </row>
    <row r="302" customFormat="false" ht="15.75" hidden="false" customHeight="true" outlineLevel="0" collapsed="false">
      <c r="A302" s="32" t="n">
        <f aca="false">IF($B302="","",ROW()-4)</f>
        <v>298</v>
      </c>
      <c r="B302" s="26" t="n">
        <v>46227</v>
      </c>
      <c r="C302" s="24" t="s">
        <v>256</v>
      </c>
      <c r="D302" s="21" t="s">
        <v>357</v>
      </c>
      <c r="E302" s="21" t="s">
        <v>127</v>
      </c>
      <c r="F302" s="21" t="s">
        <v>114</v>
      </c>
      <c r="G302" s="24" t="s">
        <v>316</v>
      </c>
      <c r="H302" s="27" t="n">
        <v>5744.48</v>
      </c>
      <c r="I302" s="23" t="str">
        <f aca="false">IF($D302&lt;&gt;"销项开票","",IF($N302="一级",IF(IFERROR(INDEX(项目档案!$E$6:$E$255,MATCH($C302,项目档案!$A$6:$A$255,0)),"")="",N(IFERROR(INDEX(单位档案!$D$6:$D$35,MATCH($E302,单位档案!$A$6:$A$35,0)),"")),IFERROR(INDEX(项目档案!$E$6:$E$255,MATCH($C302,项目档案!$A$6:$A$255,0)),"")),IF($N302="二级",IF(IFERROR(INDEX(项目档案!$G$6:$G$255,MATCH($C302,项目档案!$A$6:$A$255,0)),"")="",N(IFERROR(INDEX(单位档案!$D$6:$D$35,MATCH($E302,单位档案!$A$6:$A$35,0)),"")),IFERROR(INDEX(项目档案!$G$6:$G$255,MATCH($C302,项目档案!$A$6:$A$255,0)),"")),N(IFERROR(INDEX(单位档案!$D$6:$D$35,MATCH($E302,单位档案!$A$6:$A$35,0)),"")))))</f>
        <v/>
      </c>
      <c r="J302" s="25" t="s">
        <v>572</v>
      </c>
      <c r="K302" s="22" t="s">
        <v>313</v>
      </c>
      <c r="L302" s="33" t="str">
        <f aca="false">IF($B302="","",IF(NOT(ISNUMBER($B302)),"日期格式不对",IF($C302="","未选项目编号",IF(LEFT($M302,1)="⚠","项目编号不存在",IF($D302="","未选业务类型",IF($E302="","未选开票/付款方",IF(ISNA(MATCH($E302,单位档案!$A$6:$A$35,0)),"开票方不在单位档案",IF($F302="","未选收票/收款方",IF(ISNA(MATCH($F302,单位档案!$A$6:$A$35,0)),"收款方不在单位档案",IF(NOT(ISNUMBER($H302)),"金额须为数字",IF(AND($D302="销项开票",$N302="—"),"链条待确认","√")))))))))))</f>
        <v>√</v>
      </c>
      <c r="M302" s="34" t="str">
        <f aca="false">IF($C302="","",IFERROR(INDEX(项目档案!$B$6:$B$255,MATCH($C302,项目档案!$A$6:$A$255,0)),"⚠项目编号不存在"))</f>
        <v>铜梁公司2026年配电专业应急抢修抢险等外包项目（永嘉所义和8社等台区3个对地不足隐患治理项目)</v>
      </c>
      <c r="N302" s="35" t="str">
        <f aca="false">IF($E302="","",IF($E302=IFERROR(INDEX(项目档案!$D$6:$D$255,MATCH($C302,项目档案!$A$6:$A$255,0)),""),"一级",IF($E302=IFERROR(INDEX(项目档案!$F$6:$F$255,MATCH($C302,项目档案!$A$6:$A$255,0)),""),"二级",IF($E302=IFERROR(INDEX(项目档案!$H$6:$H$255,MATCH($C302,项目档案!$A$6:$A$255,0)),""),"我方","—"))))</f>
        <v>我方</v>
      </c>
      <c r="O302" s="36" t="n">
        <f aca="false">IF($D302&lt;&gt;"销项开票",0,ROUND(N($H302)*N($I302),2))</f>
        <v>0</v>
      </c>
      <c r="P302" s="36" t="n">
        <f aca="false">IF($D302&lt;&gt;"销项开票",0,ROUND(N($H302)-$O302,2))</f>
        <v>0</v>
      </c>
      <c r="Q302" s="37" t="n">
        <f aca="false">IF($E302="","",N(IFERROR(INDEX(单位档案!$E$6:$E$35,MATCH($E302,单位档案!$A$6:$A$35,0)),"")))</f>
        <v>0.03</v>
      </c>
      <c r="R302" s="37" t="n">
        <f aca="false">IF($E302="","",N(IFERROR(INDEX(单位档案!$F$6:$F$35,MATCH($E302,单位档案!$A$6:$A$35,0)),"")))</f>
        <v>0</v>
      </c>
      <c r="S302" s="36" t="n">
        <f aca="false">IF(OR($D302&lt;&gt;"销项开票",IFERROR(INDEX(单位档案!$G$6:$G$35,MATCH($E302,单位档案!$A$6:$A$35,0)),"")&lt;&gt;"是",N($Q302)=0),0,IF(IFERROR(INDEX(单位档案!$H$6:$H$35,MATCH($E302,单位档案!$A$6:$A$35,0)),"")="税差法",ROUND(N($H302)/(1+$Q302)*$Q302-IF(N($R302)=0,0,$P302/(1+$R302)*$R302),2),ROUND(N($H302)/(1+$Q302)*$Q302,2)))</f>
        <v>0</v>
      </c>
      <c r="T302" s="36" t="n">
        <f aca="false">ROUND($S302*N(IFERROR(INDEX(单位档案!$J$6:$J$35,MATCH($E302,单位档案!$A$6:$A$35,0)),"")),2)</f>
        <v>0</v>
      </c>
      <c r="U302" s="36" t="n">
        <f aca="false">IF($D302&lt;&gt;"销项开票",0,ROUND(N($H302)*N(IFERROR(INDEX(单位档案!$K$6:$K$35,MATCH($E302,单位档案!$A$6:$A$35,0)),"")),2))</f>
        <v>0</v>
      </c>
      <c r="V302" s="36" t="n">
        <f aca="false">IF(OR($D302&lt;&gt;"销项开票",N($Q302)=0),0,ROUND(N($H302)/(1+$Q302)*N(IFERROR(INDEX(单位档案!$L$6:$L$35,MATCH($E302,单位档案!$A$6:$A$35,0)),"")),2))</f>
        <v>0</v>
      </c>
      <c r="W302" s="36" t="n">
        <f aca="false">ROUND($S302+$T302+$U302+$V302,2)</f>
        <v>0</v>
      </c>
      <c r="X302" s="35" t="str">
        <f aca="false">IF(OR($D302="挂靠代收",$D302="我方收款"),COUNTIFS($D$5:$D302,"挂靠代收")+COUNTIFS($D$5:$D302,"我方收款"),"")</f>
        <v/>
      </c>
      <c r="Y302" s="35" t="s">
        <v>114</v>
      </c>
      <c r="Z302" s="21" t="s">
        <v>111</v>
      </c>
    </row>
    <row r="303" customFormat="false" ht="15.75" hidden="false" customHeight="true" outlineLevel="0" collapsed="false">
      <c r="A303" s="32" t="n">
        <f aca="false">IF($B303="","",ROW()-4)</f>
        <v>299</v>
      </c>
      <c r="B303" s="26" t="n">
        <v>46227</v>
      </c>
      <c r="C303" s="24" t="s">
        <v>258</v>
      </c>
      <c r="D303" s="21" t="s">
        <v>357</v>
      </c>
      <c r="E303" s="21" t="s">
        <v>127</v>
      </c>
      <c r="F303" s="21" t="s">
        <v>114</v>
      </c>
      <c r="G303" s="24" t="s">
        <v>316</v>
      </c>
      <c r="H303" s="27" t="n">
        <v>6045.34</v>
      </c>
      <c r="I303" s="23" t="str">
        <f aca="false">IF($D303&lt;&gt;"销项开票","",IF($N303="一级",IF(IFERROR(INDEX(项目档案!$E$6:$E$255,MATCH($C303,项目档案!$A$6:$A$255,0)),"")="",N(IFERROR(INDEX(单位档案!$D$6:$D$35,MATCH($E303,单位档案!$A$6:$A$35,0)),"")),IFERROR(INDEX(项目档案!$E$6:$E$255,MATCH($C303,项目档案!$A$6:$A$255,0)),"")),IF($N303="二级",IF(IFERROR(INDEX(项目档案!$G$6:$G$255,MATCH($C303,项目档案!$A$6:$A$255,0)),"")="",N(IFERROR(INDEX(单位档案!$D$6:$D$35,MATCH($E303,单位档案!$A$6:$A$35,0)),"")),IFERROR(INDEX(项目档案!$G$6:$G$255,MATCH($C303,项目档案!$A$6:$A$255,0)),"")),N(IFERROR(INDEX(单位档案!$D$6:$D$35,MATCH($E303,单位档案!$A$6:$A$35,0)),"")))))</f>
        <v/>
      </c>
      <c r="J303" s="25" t="s">
        <v>573</v>
      </c>
      <c r="K303" s="22" t="s">
        <v>313</v>
      </c>
      <c r="L303" s="33" t="str">
        <f aca="false">IF($B303="","",IF(NOT(ISNUMBER($B303)),"日期格式不对",IF($C303="","未选项目编号",IF(LEFT($M303,1)="⚠","项目编号不存在",IF($D303="","未选业务类型",IF($E303="","未选开票/付款方",IF(ISNA(MATCH($E303,单位档案!$A$6:$A$35,0)),"开票方不在单位档案",IF($F303="","未选收票/收款方",IF(ISNA(MATCH($F303,单位档案!$A$6:$A$35,0)),"收款方不在单位档案",IF(NOT(ISNUMBER($H303)),"金额须为数字",IF(AND($D303="销项开票",$N303="—"),"链条待确认","√")))))))))))</f>
        <v>√</v>
      </c>
      <c r="M303" s="34" t="str">
        <f aca="false">IF($C303="","",IFERROR(INDEX(项目档案!$B$6:$B$255,MATCH($C303,项目档案!$A$6:$A$255,0)),"⚠项目编号不存在"))</f>
        <v>铜梁公司2026年35kV输电专业应急抢修检修外包项目(输电运检中心2026年35kV线路接地隐患消除等3项目)</v>
      </c>
      <c r="N303" s="35" t="str">
        <f aca="false">IF($E303="","",IF($E303=IFERROR(INDEX(项目档案!$D$6:$D$255,MATCH($C303,项目档案!$A$6:$A$255,0)),""),"一级",IF($E303=IFERROR(INDEX(项目档案!$F$6:$F$255,MATCH($C303,项目档案!$A$6:$A$255,0)),""),"二级",IF($E303=IFERROR(INDEX(项目档案!$H$6:$H$255,MATCH($C303,项目档案!$A$6:$A$255,0)),""),"我方","—"))))</f>
        <v>我方</v>
      </c>
      <c r="O303" s="36" t="n">
        <f aca="false">IF($D303&lt;&gt;"销项开票",0,ROUND(N($H303)*N($I303),2))</f>
        <v>0</v>
      </c>
      <c r="P303" s="36" t="n">
        <f aca="false">IF($D303&lt;&gt;"销项开票",0,ROUND(N($H303)-$O303,2))</f>
        <v>0</v>
      </c>
      <c r="Q303" s="37" t="n">
        <f aca="false">IF($E303="","",N(IFERROR(INDEX(单位档案!$E$6:$E$35,MATCH($E303,单位档案!$A$6:$A$35,0)),"")))</f>
        <v>0.03</v>
      </c>
      <c r="R303" s="37" t="n">
        <f aca="false">IF($E303="","",N(IFERROR(INDEX(单位档案!$F$6:$F$35,MATCH($E303,单位档案!$A$6:$A$35,0)),"")))</f>
        <v>0</v>
      </c>
      <c r="S303" s="36" t="n">
        <f aca="false">IF(OR($D303&lt;&gt;"销项开票",IFERROR(INDEX(单位档案!$G$6:$G$35,MATCH($E303,单位档案!$A$6:$A$35,0)),"")&lt;&gt;"是",N($Q303)=0),0,IF(IFERROR(INDEX(单位档案!$H$6:$H$35,MATCH($E303,单位档案!$A$6:$A$35,0)),"")="税差法",ROUND(N($H303)/(1+$Q303)*$Q303-IF(N($R303)=0,0,$P303/(1+$R303)*$R303),2),ROUND(N($H303)/(1+$Q303)*$Q303,2)))</f>
        <v>0</v>
      </c>
      <c r="T303" s="36" t="n">
        <f aca="false">ROUND($S303*N(IFERROR(INDEX(单位档案!$J$6:$J$35,MATCH($E303,单位档案!$A$6:$A$35,0)),"")),2)</f>
        <v>0</v>
      </c>
      <c r="U303" s="36" t="n">
        <f aca="false">IF($D303&lt;&gt;"销项开票",0,ROUND(N($H303)*N(IFERROR(INDEX(单位档案!$K$6:$K$35,MATCH($E303,单位档案!$A$6:$A$35,0)),"")),2))</f>
        <v>0</v>
      </c>
      <c r="V303" s="36" t="n">
        <f aca="false">IF(OR($D303&lt;&gt;"销项开票",N($Q303)=0),0,ROUND(N($H303)/(1+$Q303)*N(IFERROR(INDEX(单位档案!$L$6:$L$35,MATCH($E303,单位档案!$A$6:$A$35,0)),"")),2))</f>
        <v>0</v>
      </c>
      <c r="W303" s="36" t="n">
        <f aca="false">ROUND($S303+$T303+$U303+$V303,2)</f>
        <v>0</v>
      </c>
      <c r="X303" s="35" t="str">
        <f aca="false">IF(OR($D303="挂靠代收",$D303="我方收款"),COUNTIFS($D$5:$D303,"挂靠代收")+COUNTIFS($D$5:$D303,"我方收款"),"")</f>
        <v/>
      </c>
      <c r="Y303" s="35" t="s">
        <v>114</v>
      </c>
      <c r="Z303" s="21" t="s">
        <v>111</v>
      </c>
    </row>
    <row r="304" customFormat="false" ht="15.75" hidden="false" customHeight="true" outlineLevel="0" collapsed="false">
      <c r="A304" s="32" t="n">
        <f aca="false">IF($B304="","",ROW()-4)</f>
        <v>300</v>
      </c>
      <c r="B304" s="26" t="n">
        <v>46227</v>
      </c>
      <c r="C304" s="24" t="s">
        <v>260</v>
      </c>
      <c r="D304" s="21" t="s">
        <v>307</v>
      </c>
      <c r="E304" s="21" t="s">
        <v>123</v>
      </c>
      <c r="F304" s="21" t="s">
        <v>104</v>
      </c>
      <c r="G304" s="24" t="s">
        <v>394</v>
      </c>
      <c r="H304" s="27" t="n">
        <v>25270.54</v>
      </c>
      <c r="I304" s="23" t="n">
        <v>0.1</v>
      </c>
      <c r="J304" s="25" t="s">
        <v>574</v>
      </c>
      <c r="K304" s="22" t="s">
        <v>313</v>
      </c>
      <c r="L304" s="33" t="str">
        <f aca="false">IF($B304="","",IF(NOT(ISNUMBER($B304)),"日期格式不对",IF($C304="","未选项目编号",IF(LEFT($M304,1)="⚠","项目编号不存在",IF($D304="","未选业务类型",IF($E304="","未选开票/付款方",IF(ISNA(MATCH($E304,单位档案!$A$6:$A$35,0)),"开票方不在单位档案",IF($F304="","未选收票/收款方",IF(ISNA(MATCH($F304,单位档案!$A$6:$A$35,0)),"收款方不在单位档案",IF(NOT(ISNUMBER($H304)),"金额须为数字",IF(AND($D304="销项开票",$N304="—"),"链条待确认","√")))))))))))</f>
        <v>√</v>
      </c>
      <c r="M304" s="34" t="str">
        <f aca="false">IF($C304="","",IFERROR(INDEX(项目档案!$B$6:$B$255,MATCH($C304,项目档案!$A$6:$A$255,0)),"⚠项目编号不存在"))</f>
        <v>重庆市铜梁区滨河东路68小区居民供电设施改造工程</v>
      </c>
      <c r="N304" s="35" t="str">
        <f aca="false">IF($E304="","",IF($E304=IFERROR(INDEX(项目档案!$D$6:$D$255,MATCH($C304,项目档案!$A$6:$A$255,0)),""),"一级",IF($E304=IFERROR(INDEX(项目档案!$F$6:$F$255,MATCH($C304,项目档案!$A$6:$A$255,0)),""),"二级",IF($E304=IFERROR(INDEX(项目档案!$H$6:$H$255,MATCH($C304,项目档案!$A$6:$A$255,0)),""),"我方","—"))))</f>
        <v>一级</v>
      </c>
      <c r="O304" s="36" t="n">
        <f aca="false">IF($D304&lt;&gt;"销项开票",0,ROUND(N($H304)*N($I304),2))</f>
        <v>2527.05</v>
      </c>
      <c r="P304" s="36" t="n">
        <f aca="false">IF($D304&lt;&gt;"销项开票",0,ROUND(N($H304)-$O304,2))</f>
        <v>22743.49</v>
      </c>
      <c r="Q304" s="37" t="n">
        <f aca="false">IF($E304="","",N(IFERROR(INDEX(单位档案!$E$6:$E$35,MATCH($E304,单位档案!$A$6:$A$35,0)),"")))</f>
        <v>0.09</v>
      </c>
      <c r="R304" s="37" t="n">
        <f aca="false">IF($E304="","",N(IFERROR(INDEX(单位档案!$F$6:$F$35,MATCH($E304,单位档案!$A$6:$A$35,0)),"")))</f>
        <v>0.09</v>
      </c>
      <c r="S304" s="36" t="n">
        <f aca="false">IF(OR($D304&lt;&gt;"销项开票",IFERROR(INDEX(单位档案!$G$6:$G$35,MATCH($E304,单位档案!$A$6:$A$35,0)),"")&lt;&gt;"是",N($Q304)=0),0,IF(IFERROR(INDEX(单位档案!$H$6:$H$35,MATCH($E304,单位档案!$A$6:$A$35,0)),"")="税差法",ROUND(N($H304)/(1+$Q304)*$Q304-IF(N($R304)=0,0,$P304/(1+$R304)*$R304),2),ROUND(N($H304)/(1+$Q304)*$Q304,2)))</f>
        <v>2086.56</v>
      </c>
      <c r="T304" s="36" t="n">
        <f aca="false">ROUND($S304*N(IFERROR(INDEX(单位档案!$J$6:$J$35,MATCH($E304,单位档案!$A$6:$A$35,0)),"")),2)</f>
        <v>250.39</v>
      </c>
      <c r="U304" s="36" t="n">
        <f aca="false">IF($D304&lt;&gt;"销项开票",0,ROUND(N($H304)*N(IFERROR(INDEX(单位档案!$K$6:$K$35,MATCH($E304,单位档案!$A$6:$A$35,0)),"")),2))</f>
        <v>0</v>
      </c>
      <c r="V304" s="36" t="n">
        <f aca="false">IF(OR($D304&lt;&gt;"销项开票",N($Q304)=0),0,ROUND(N($H304)/(1+$Q304)*N(IFERROR(INDEX(单位档案!$L$6:$L$35,MATCH($E304,单位档案!$A$6:$A$35,0)),"")),2))</f>
        <v>0</v>
      </c>
      <c r="W304" s="36" t="n">
        <f aca="false">ROUND($S304+$T304+$U304+$V304,2)</f>
        <v>2336.95</v>
      </c>
      <c r="X304" s="35" t="str">
        <f aca="false">IF(OR($D304="挂靠代收",$D304="我方收款"),COUNTIFS($D$5:$D304,"挂靠代收")+COUNTIFS($D$5:$D304,"我方收款"),"")</f>
        <v/>
      </c>
      <c r="Y304" s="35" t="s">
        <v>123</v>
      </c>
      <c r="Z304" s="21" t="s">
        <v>111</v>
      </c>
    </row>
    <row r="305" customFormat="false" ht="15.75" hidden="false" customHeight="true" outlineLevel="0" collapsed="false">
      <c r="A305" s="32" t="n">
        <f aca="false">IF($B305="","",ROW()-4)</f>
        <v>301</v>
      </c>
      <c r="B305" s="26" t="n">
        <v>46227</v>
      </c>
      <c r="C305" s="24" t="s">
        <v>262</v>
      </c>
      <c r="D305" s="21" t="s">
        <v>307</v>
      </c>
      <c r="E305" s="21" t="s">
        <v>123</v>
      </c>
      <c r="F305" s="21" t="s">
        <v>104</v>
      </c>
      <c r="G305" s="24" t="s">
        <v>394</v>
      </c>
      <c r="H305" s="27" t="n">
        <v>32370.62</v>
      </c>
      <c r="I305" s="23" t="n">
        <v>0.1</v>
      </c>
      <c r="J305" s="25" t="s">
        <v>575</v>
      </c>
      <c r="K305" s="22" t="s">
        <v>313</v>
      </c>
      <c r="L305" s="33" t="str">
        <f aca="false">IF($B305="","",IF(NOT(ISNUMBER($B305)),"日期格式不对",IF($C305="","未选项目编号",IF(LEFT($M305,1)="⚠","项目编号不存在",IF($D305="","未选业务类型",IF($E305="","未选开票/付款方",IF(ISNA(MATCH($E305,单位档案!$A$6:$A$35,0)),"开票方不在单位档案",IF($F305="","未选收票/收款方",IF(ISNA(MATCH($F305,单位档案!$A$6:$A$35,0)),"收款方不在单位档案",IF(NOT(ISNUMBER($H305)),"金额须为数字",IF(AND($D305="销项开票",$N305="—"),"链条待确认","√")))))))))))</f>
        <v>√</v>
      </c>
      <c r="M305" s="34" t="str">
        <f aca="false">IF($C305="","",IFERROR(INDEX(项目档案!$B$6:$B$255,MATCH($C305,项目档案!$A$6:$A$255,0)),"⚠项目编号不存在"))</f>
        <v>重庆市铜梁区新华商住楼居民供电设施改造工程</v>
      </c>
      <c r="N305" s="35" t="str">
        <f aca="false">IF($E305="","",IF($E305=IFERROR(INDEX(项目档案!$D$6:$D$255,MATCH($C305,项目档案!$A$6:$A$255,0)),""),"一级",IF($E305=IFERROR(INDEX(项目档案!$F$6:$F$255,MATCH($C305,项目档案!$A$6:$A$255,0)),""),"二级",IF($E305=IFERROR(INDEX(项目档案!$H$6:$H$255,MATCH($C305,项目档案!$A$6:$A$255,0)),""),"我方","—"))))</f>
        <v>一级</v>
      </c>
      <c r="O305" s="36" t="n">
        <f aca="false">IF($D305&lt;&gt;"销项开票",0,ROUND(N($H305)*N($I305),2))</f>
        <v>3237.06</v>
      </c>
      <c r="P305" s="36" t="n">
        <f aca="false">IF($D305&lt;&gt;"销项开票",0,ROUND(N($H305)-$O305,2))</f>
        <v>29133.56</v>
      </c>
      <c r="Q305" s="37" t="n">
        <f aca="false">IF($E305="","",N(IFERROR(INDEX(单位档案!$E$6:$E$35,MATCH($E305,单位档案!$A$6:$A$35,0)),"")))</f>
        <v>0.09</v>
      </c>
      <c r="R305" s="37" t="n">
        <f aca="false">IF($E305="","",N(IFERROR(INDEX(单位档案!$F$6:$F$35,MATCH($E305,单位档案!$A$6:$A$35,0)),"")))</f>
        <v>0.09</v>
      </c>
      <c r="S305" s="36" t="n">
        <f aca="false">IF(OR($D305&lt;&gt;"销项开票",IFERROR(INDEX(单位档案!$G$6:$G$35,MATCH($E305,单位档案!$A$6:$A$35,0)),"")&lt;&gt;"是",N($Q305)=0),0,IF(IFERROR(INDEX(单位档案!$H$6:$H$35,MATCH($E305,单位档案!$A$6:$A$35,0)),"")="税差法",ROUND(N($H305)/(1+$Q305)*$Q305-IF(N($R305)=0,0,$P305/(1+$R305)*$R305),2),ROUND(N($H305)/(1+$Q305)*$Q305,2)))</f>
        <v>2672.8</v>
      </c>
      <c r="T305" s="36" t="n">
        <f aca="false">ROUND($S305*N(IFERROR(INDEX(单位档案!$J$6:$J$35,MATCH($E305,单位档案!$A$6:$A$35,0)),"")),2)</f>
        <v>320.74</v>
      </c>
      <c r="U305" s="36" t="n">
        <f aca="false">IF($D305&lt;&gt;"销项开票",0,ROUND(N($H305)*N(IFERROR(INDEX(单位档案!$K$6:$K$35,MATCH($E305,单位档案!$A$6:$A$35,0)),"")),2))</f>
        <v>0</v>
      </c>
      <c r="V305" s="36" t="n">
        <f aca="false">IF(OR($D305&lt;&gt;"销项开票",N($Q305)=0),0,ROUND(N($H305)/(1+$Q305)*N(IFERROR(INDEX(单位档案!$L$6:$L$35,MATCH($E305,单位档案!$A$6:$A$35,0)),"")),2))</f>
        <v>0</v>
      </c>
      <c r="W305" s="36" t="n">
        <f aca="false">ROUND($S305+$T305+$U305+$V305,2)</f>
        <v>2993.54</v>
      </c>
      <c r="X305" s="35" t="str">
        <f aca="false">IF(OR($D305="挂靠代收",$D305="我方收款"),COUNTIFS($D$5:$D305,"挂靠代收")+COUNTIFS($D$5:$D305,"我方收款"),"")</f>
        <v/>
      </c>
      <c r="Y305" s="35" t="s">
        <v>123</v>
      </c>
      <c r="Z305" s="21" t="s">
        <v>111</v>
      </c>
    </row>
    <row r="306" customFormat="false" ht="15.75" hidden="false" customHeight="true" outlineLevel="0" collapsed="false">
      <c r="A306" s="32" t="n">
        <f aca="false">IF($B306="","",ROW()-4)</f>
        <v>302</v>
      </c>
      <c r="B306" s="26" t="n">
        <v>46227</v>
      </c>
      <c r="C306" s="24" t="s">
        <v>252</v>
      </c>
      <c r="D306" s="21" t="s">
        <v>307</v>
      </c>
      <c r="E306" s="21" t="s">
        <v>123</v>
      </c>
      <c r="F306" s="21" t="s">
        <v>104</v>
      </c>
      <c r="G306" s="24" t="s">
        <v>394</v>
      </c>
      <c r="H306" s="27" t="n">
        <v>106252.1</v>
      </c>
      <c r="I306" s="23" t="n">
        <v>0.1</v>
      </c>
      <c r="J306" s="25" t="s">
        <v>576</v>
      </c>
      <c r="K306" s="22" t="s">
        <v>313</v>
      </c>
      <c r="L306" s="33" t="str">
        <f aca="false">IF($B306="","",IF(NOT(ISNUMBER($B306)),"日期格式不对",IF($C306="","未选项目编号",IF(LEFT($M306,1)="⚠","项目编号不存在",IF($D306="","未选业务类型",IF($E306="","未选开票/付款方",IF(ISNA(MATCH($E306,单位档案!$A$6:$A$35,0)),"开票方不在单位档案",IF($F306="","未选收票/收款方",IF(ISNA(MATCH($F306,单位档案!$A$6:$A$35,0)),"收款方不在单位档案",IF(NOT(ISNUMBER($H306)),"金额须为数字",IF(AND($D306="销项开票",$N306="—"),"链条待确认","√")))))))))))</f>
        <v>√</v>
      </c>
      <c r="M306" s="34" t="str">
        <f aca="false">IF($C306="","",IFERROR(INDEX(项目档案!$B$6:$B$255,MATCH($C306,项目档案!$A$6:$A$255,0)),"⚠项目编号不存在"))</f>
        <v>重庆市铜梁区锦绣花园A区居民供电设施改造工程</v>
      </c>
      <c r="N306" s="35" t="str">
        <f aca="false">IF($E306="","",IF($E306=IFERROR(INDEX(项目档案!$D$6:$D$255,MATCH($C306,项目档案!$A$6:$A$255,0)),""),"一级",IF($E306=IFERROR(INDEX(项目档案!$F$6:$F$255,MATCH($C306,项目档案!$A$6:$A$255,0)),""),"二级",IF($E306=IFERROR(INDEX(项目档案!$H$6:$H$255,MATCH($C306,项目档案!$A$6:$A$255,0)),""),"我方","—"))))</f>
        <v>一级</v>
      </c>
      <c r="O306" s="36" t="n">
        <f aca="false">IF($D306&lt;&gt;"销项开票",0,ROUND(N($H306)*N($I306),2))</f>
        <v>10625.21</v>
      </c>
      <c r="P306" s="36" t="n">
        <f aca="false">IF($D306&lt;&gt;"销项开票",0,ROUND(N($H306)-$O306,2))</f>
        <v>95626.89</v>
      </c>
      <c r="Q306" s="37" t="n">
        <f aca="false">IF($E306="","",N(IFERROR(INDEX(单位档案!$E$6:$E$35,MATCH($E306,单位档案!$A$6:$A$35,0)),"")))</f>
        <v>0.09</v>
      </c>
      <c r="R306" s="37" t="n">
        <f aca="false">IF($E306="","",N(IFERROR(INDEX(单位档案!$F$6:$F$35,MATCH($E306,单位档案!$A$6:$A$35,0)),"")))</f>
        <v>0.09</v>
      </c>
      <c r="S306" s="36" t="n">
        <f aca="false">IF(OR($D306&lt;&gt;"销项开票",IFERROR(INDEX(单位档案!$G$6:$G$35,MATCH($E306,单位档案!$A$6:$A$35,0)),"")&lt;&gt;"是",N($Q306)=0),0,IF(IFERROR(INDEX(单位档案!$H$6:$H$35,MATCH($E306,单位档案!$A$6:$A$35,0)),"")="税差法",ROUND(N($H306)/(1+$Q306)*$Q306-IF(N($R306)=0,0,$P306/(1+$R306)*$R306),2),ROUND(N($H306)/(1+$Q306)*$Q306,2)))</f>
        <v>8773.11</v>
      </c>
      <c r="T306" s="36" t="n">
        <f aca="false">ROUND($S306*N(IFERROR(INDEX(单位档案!$J$6:$J$35,MATCH($E306,单位档案!$A$6:$A$35,0)),"")),2)</f>
        <v>1052.77</v>
      </c>
      <c r="U306" s="36" t="n">
        <f aca="false">IF($D306&lt;&gt;"销项开票",0,ROUND(N($H306)*N(IFERROR(INDEX(单位档案!$K$6:$K$35,MATCH($E306,单位档案!$A$6:$A$35,0)),"")),2))</f>
        <v>0</v>
      </c>
      <c r="V306" s="36" t="n">
        <f aca="false">IF(OR($D306&lt;&gt;"销项开票",N($Q306)=0),0,ROUND(N($H306)/(1+$Q306)*N(IFERROR(INDEX(单位档案!$L$6:$L$35,MATCH($E306,单位档案!$A$6:$A$35,0)),"")),2))</f>
        <v>0</v>
      </c>
      <c r="W306" s="36" t="n">
        <f aca="false">ROUND($S306+$T306+$U306+$V306,2)</f>
        <v>9825.88</v>
      </c>
      <c r="X306" s="35" t="str">
        <f aca="false">IF(OR($D306="挂靠代收",$D306="我方收款"),COUNTIFS($D$5:$D306,"挂靠代收")+COUNTIFS($D$5:$D306,"我方收款"),"")</f>
        <v/>
      </c>
      <c r="Y306" s="35" t="s">
        <v>123</v>
      </c>
      <c r="Z306" s="21" t="s">
        <v>111</v>
      </c>
    </row>
    <row r="307" customFormat="false" ht="15.75" hidden="false" customHeight="true" outlineLevel="0" collapsed="false">
      <c r="A307" s="32" t="n">
        <f aca="false">IF($B307="","",ROW()-4)</f>
        <v>303</v>
      </c>
      <c r="B307" s="26" t="n">
        <v>46230</v>
      </c>
      <c r="C307" s="24" t="s">
        <v>252</v>
      </c>
      <c r="D307" s="21" t="s">
        <v>11</v>
      </c>
      <c r="E307" s="21" t="s">
        <v>123</v>
      </c>
      <c r="F307" s="21" t="s">
        <v>134</v>
      </c>
      <c r="G307" s="21"/>
      <c r="H307" s="27" t="n">
        <v>14097.81</v>
      </c>
      <c r="I307" s="23" t="str">
        <f aca="false">IF($D307&lt;&gt;"销项开票","",IF($N307="一级",IF(IFERROR(INDEX(项目档案!$E$6:$E$255,MATCH($C307,项目档案!$A$6:$A$255,0)),"")="",N(IFERROR(INDEX(单位档案!$D$6:$D$35,MATCH($E307,单位档案!$A$6:$A$35,0)),"")),IFERROR(INDEX(项目档案!$E$6:$E$255,MATCH($C307,项目档案!$A$6:$A$255,0)),"")),IF($N307="二级",IF(IFERROR(INDEX(项目档案!$G$6:$G$255,MATCH($C307,项目档案!$A$6:$A$255,0)),"")="",N(IFERROR(INDEX(单位档案!$D$6:$D$35,MATCH($E307,单位档案!$A$6:$A$35,0)),"")),IFERROR(INDEX(项目档案!$G$6:$G$255,MATCH($C307,项目档案!$A$6:$A$255,0)),"")),N(IFERROR(INDEX(单位档案!$D$6:$D$35,MATCH($E307,单位档案!$A$6:$A$35,0)),"")))))</f>
        <v/>
      </c>
      <c r="J307" s="25" t="s">
        <v>577</v>
      </c>
      <c r="K307" s="22" t="s">
        <v>313</v>
      </c>
      <c r="L307" s="33" t="str">
        <f aca="false">IF($B307="","",IF(NOT(ISNUMBER($B307)),"日期格式不对",IF($C307="","未选项目编号",IF(LEFT($M307,1)="⚠","项目编号不存在",IF($D307="","未选业务类型",IF($E307="","未选开票/付款方",IF(ISNA(MATCH($E307,单位档案!$A$6:$A$35,0)),"开票方不在单位档案",IF($F307="","未选收票/收款方",IF(ISNA(MATCH($F307,单位档案!$A$6:$A$35,0)),"收款方不在单位档案",IF(NOT(ISNUMBER($H307)),"金额须为数字",IF(AND($D307="销项开票",$N307="—"),"链条待确认","√")))))))))))</f>
        <v>√</v>
      </c>
      <c r="M307" s="34" t="str">
        <f aca="false">IF($C307="","",IFERROR(INDEX(项目档案!$B$6:$B$255,MATCH($C307,项目档案!$A$6:$A$255,0)),"⚠项目编号不存在"))</f>
        <v>重庆市铜梁区锦绣花园A区居民供电设施改造工程</v>
      </c>
      <c r="N307" s="35" t="str">
        <f aca="false">IF($E307="","",IF($E307=IFERROR(INDEX(项目档案!$D$6:$D$255,MATCH($C307,项目档案!$A$6:$A$255,0)),""),"一级",IF($E307=IFERROR(INDEX(项目档案!$F$6:$F$255,MATCH($C307,项目档案!$A$6:$A$255,0)),""),"二级",IF($E307=IFERROR(INDEX(项目档案!$H$6:$H$255,MATCH($C307,项目档案!$A$6:$A$255,0)),""),"我方","—"))))</f>
        <v>一级</v>
      </c>
      <c r="O307" s="36" t="n">
        <f aca="false">IF($D307&lt;&gt;"销项开票",0,ROUND(N($H307)*N($I307),2))</f>
        <v>0</v>
      </c>
      <c r="P307" s="36" t="n">
        <f aca="false">IF($D307&lt;&gt;"销项开票",0,ROUND(N($H307)-$O307,2))</f>
        <v>0</v>
      </c>
      <c r="Q307" s="37" t="n">
        <f aca="false">IF($E307="","",N(IFERROR(INDEX(单位档案!$E$6:$E$35,MATCH($E307,单位档案!$A$6:$A$35,0)),"")))</f>
        <v>0.09</v>
      </c>
      <c r="R307" s="37" t="n">
        <f aca="false">IF($E307="","",N(IFERROR(INDEX(单位档案!$F$6:$F$35,MATCH($E307,单位档案!$A$6:$A$35,0)),"")))</f>
        <v>0.09</v>
      </c>
      <c r="S307" s="36" t="n">
        <f aca="false">IF(OR($D307&lt;&gt;"销项开票",IFERROR(INDEX(单位档案!$G$6:$G$35,MATCH($E307,单位档案!$A$6:$A$35,0)),"")&lt;&gt;"是",N($Q307)=0),0,IF(IFERROR(INDEX(单位档案!$H$6:$H$35,MATCH($E307,单位档案!$A$6:$A$35,0)),"")="税差法",ROUND(N($H307)/(1+$Q307)*$Q307-IF(N($R307)=0,0,$P307/(1+$R307)*$R307),2),ROUND(N($H307)/(1+$Q307)*$Q307,2)))</f>
        <v>0</v>
      </c>
      <c r="T307" s="36" t="n">
        <f aca="false">ROUND($S307*N(IFERROR(INDEX(单位档案!$J$6:$J$35,MATCH($E307,单位档案!$A$6:$A$35,0)),"")),2)</f>
        <v>0</v>
      </c>
      <c r="U307" s="36" t="n">
        <f aca="false">IF($D307&lt;&gt;"销项开票",0,ROUND(N($H307)*N(IFERROR(INDEX(单位档案!$K$6:$K$35,MATCH($E307,单位档案!$A$6:$A$35,0)),"")),2))</f>
        <v>0</v>
      </c>
      <c r="V307" s="36" t="n">
        <f aca="false">IF(OR($D307&lt;&gt;"销项开票",N($Q307)=0),0,ROUND(N($H307)/(1+$Q307)*N(IFERROR(INDEX(单位档案!$L$6:$L$35,MATCH($E307,单位档案!$A$6:$A$35,0)),"")),2))</f>
        <v>0</v>
      </c>
      <c r="W307" s="36" t="n">
        <f aca="false">ROUND($S307+$T307+$U307+$V307,2)</f>
        <v>0</v>
      </c>
      <c r="X307" s="35" t="str">
        <f aca="false">IF(OR($D307="挂靠代收",$D307="我方收款"),COUNTIFS($D$5:$D307,"挂靠代收")+COUNTIFS($D$5:$D307,"我方收款"),"")</f>
        <v/>
      </c>
      <c r="Y307" s="35" t="s">
        <v>123</v>
      </c>
      <c r="Z307" s="21" t="s">
        <v>111</v>
      </c>
    </row>
    <row r="308" customFormat="false" ht="15.75" hidden="false" customHeight="true" outlineLevel="0" collapsed="false">
      <c r="A308" s="32" t="n">
        <f aca="false">IF($B308="","",ROW()-4)</f>
        <v>304</v>
      </c>
      <c r="B308" s="26" t="n">
        <v>46230</v>
      </c>
      <c r="C308" s="24" t="s">
        <v>252</v>
      </c>
      <c r="D308" s="21" t="s">
        <v>314</v>
      </c>
      <c r="E308" s="21" t="s">
        <v>127</v>
      </c>
      <c r="F308" s="21" t="s">
        <v>123</v>
      </c>
      <c r="G308" s="21"/>
      <c r="H308" s="27" t="n">
        <v>16389.36</v>
      </c>
      <c r="I308" s="23" t="str">
        <f aca="false">IF($D308&lt;&gt;"销项开票","",IF($N308="一级",IF(IFERROR(INDEX(项目档案!$E$6:$E$255,MATCH($C308,项目档案!$A$6:$A$255,0)),"")="",N(IFERROR(INDEX(单位档案!$D$6:$D$35,MATCH($E308,单位档案!$A$6:$A$35,0)),"")),IFERROR(INDEX(项目档案!$E$6:$E$255,MATCH($C308,项目档案!$A$6:$A$255,0)),"")),IF($N308="二级",IF(IFERROR(INDEX(项目档案!$G$6:$G$255,MATCH($C308,项目档案!$A$6:$A$255,0)),"")="",N(IFERROR(INDEX(单位档案!$D$6:$D$35,MATCH($E308,单位档案!$A$6:$A$35,0)),"")),IFERROR(INDEX(项目档案!$G$6:$G$255,MATCH($C308,项目档案!$A$6:$A$255,0)),"")),N(IFERROR(INDEX(单位档案!$D$6:$D$35,MATCH($E308,单位档案!$A$6:$A$35,0)),"")))))</f>
        <v/>
      </c>
      <c r="J308" s="25" t="s">
        <v>577</v>
      </c>
      <c r="K308" s="22" t="s">
        <v>313</v>
      </c>
      <c r="L308" s="33" t="str">
        <f aca="false">IF($B308="","",IF(NOT(ISNUMBER($B308)),"日期格式不对",IF($C308="","未选项目编号",IF(LEFT($M308,1)="⚠","项目编号不存在",IF($D308="","未选业务类型",IF($E308="","未选开票/付款方",IF(ISNA(MATCH($E308,单位档案!$A$6:$A$35,0)),"开票方不在单位档案",IF($F308="","未选收票/收款方",IF(ISNA(MATCH($F308,单位档案!$A$6:$A$35,0)),"收款方不在单位档案",IF(NOT(ISNUMBER($H308)),"金额须为数字",IF(AND($D308="销项开票",$N308="—"),"链条待确认","√")))))))))))</f>
        <v>√</v>
      </c>
      <c r="M308" s="34" t="str">
        <f aca="false">IF($C308="","",IFERROR(INDEX(项目档案!$B$6:$B$255,MATCH($C308,项目档案!$A$6:$A$255,0)),"⚠项目编号不存在"))</f>
        <v>重庆市铜梁区锦绣花园A区居民供电设施改造工程</v>
      </c>
      <c r="N308" s="35" t="str">
        <f aca="false">IF($E308="","",IF($E308=IFERROR(INDEX(项目档案!$D$6:$D$255,MATCH($C308,项目档案!$A$6:$A$255,0)),""),"一级",IF($E308=IFERROR(INDEX(项目档案!$F$6:$F$255,MATCH($C308,项目档案!$A$6:$A$255,0)),""),"二级",IF($E308=IFERROR(INDEX(项目档案!$H$6:$H$255,MATCH($C308,项目档案!$A$6:$A$255,0)),""),"我方","—"))))</f>
        <v>我方</v>
      </c>
      <c r="O308" s="36" t="n">
        <f aca="false">IF($D308&lt;&gt;"销项开票",0,ROUND(N($H308)*N($I308),2))</f>
        <v>0</v>
      </c>
      <c r="P308" s="36" t="n">
        <f aca="false">IF($D308&lt;&gt;"销项开票",0,ROUND(N($H308)-$O308,2))</f>
        <v>0</v>
      </c>
      <c r="Q308" s="37" t="n">
        <f aca="false">IF($E308="","",N(IFERROR(INDEX(单位档案!$E$6:$E$35,MATCH($E308,单位档案!$A$6:$A$35,0)),"")))</f>
        <v>0.03</v>
      </c>
      <c r="R308" s="37" t="n">
        <f aca="false">IF($E308="","",N(IFERROR(INDEX(单位档案!$F$6:$F$35,MATCH($E308,单位档案!$A$6:$A$35,0)),"")))</f>
        <v>0</v>
      </c>
      <c r="S308" s="36" t="n">
        <f aca="false">IF(OR($D308&lt;&gt;"销项开票",IFERROR(INDEX(单位档案!$G$6:$G$35,MATCH($E308,单位档案!$A$6:$A$35,0)),"")&lt;&gt;"是",N($Q308)=0),0,IF(IFERROR(INDEX(单位档案!$H$6:$H$35,MATCH($E308,单位档案!$A$6:$A$35,0)),"")="税差法",ROUND(N($H308)/(1+$Q308)*$Q308-IF(N($R308)=0,0,$P308/(1+$R308)*$R308),2),ROUND(N($H308)/(1+$Q308)*$Q308,2)))</f>
        <v>0</v>
      </c>
      <c r="T308" s="36" t="n">
        <f aca="false">ROUND($S308*N(IFERROR(INDEX(单位档案!$J$6:$J$35,MATCH($E308,单位档案!$A$6:$A$35,0)),"")),2)</f>
        <v>0</v>
      </c>
      <c r="U308" s="36" t="n">
        <f aca="false">IF($D308&lt;&gt;"销项开票",0,ROUND(N($H308)*N(IFERROR(INDEX(单位档案!$K$6:$K$35,MATCH($E308,单位档案!$A$6:$A$35,0)),"")),2))</f>
        <v>0</v>
      </c>
      <c r="V308" s="36" t="n">
        <f aca="false">IF(OR($D308&lt;&gt;"销项开票",N($Q308)=0),0,ROUND(N($H308)/(1+$Q308)*N(IFERROR(INDEX(单位档案!$L$6:$L$35,MATCH($E308,单位档案!$A$6:$A$35,0)),"")),2))</f>
        <v>0</v>
      </c>
      <c r="W308" s="36" t="n">
        <f aca="false">ROUND($S308+$T308+$U308+$V308,2)</f>
        <v>0</v>
      </c>
      <c r="X308" s="35" t="str">
        <f aca="false">IF(OR($D308="挂靠代收",$D308="我方收款"),COUNTIFS($D$5:$D308,"挂靠代收")+COUNTIFS($D$5:$D308,"我方收款"),"")</f>
        <v/>
      </c>
      <c r="Y308" s="35" t="s">
        <v>123</v>
      </c>
      <c r="Z308" s="21" t="s">
        <v>111</v>
      </c>
    </row>
    <row r="309" customFormat="false" ht="15.75" hidden="false" customHeight="true" outlineLevel="0" collapsed="false">
      <c r="A309" s="32" t="n">
        <f aca="false">IF($B309="","",ROW()-4)</f>
        <v>305</v>
      </c>
      <c r="B309" s="26" t="n">
        <v>46231</v>
      </c>
      <c r="C309" s="24" t="s">
        <v>199</v>
      </c>
      <c r="D309" s="21" t="s">
        <v>319</v>
      </c>
      <c r="E309" s="21" t="s">
        <v>97</v>
      </c>
      <c r="F309" s="21" t="s">
        <v>114</v>
      </c>
      <c r="G309" s="21"/>
      <c r="H309" s="27" t="n">
        <v>6220</v>
      </c>
      <c r="I309" s="23" t="str">
        <f aca="false">IF($D309&lt;&gt;"销项开票","",IF($N309="一级",IF(IFERROR(INDEX(项目档案!$E$6:$E$255,MATCH($C309,项目档案!$A$6:$A$255,0)),"")="",N(IFERROR(INDEX(单位档案!$D$6:$D$35,MATCH($E309,单位档案!$A$6:$A$35,0)),"")),IFERROR(INDEX(项目档案!$E$6:$E$255,MATCH($C309,项目档案!$A$6:$A$255,0)),"")),IF($N309="二级",IF(IFERROR(INDEX(项目档案!$G$6:$G$255,MATCH($C309,项目档案!$A$6:$A$255,0)),"")="",N(IFERROR(INDEX(单位档案!$D$6:$D$35,MATCH($E309,单位档案!$A$6:$A$35,0)),"")),IFERROR(INDEX(项目档案!$G$6:$G$255,MATCH($C309,项目档案!$A$6:$A$255,0)),"")),N(IFERROR(INDEX(单位档案!$D$6:$D$35,MATCH($E309,单位档案!$A$6:$A$35,0)),"")))))</f>
        <v/>
      </c>
      <c r="J309" s="25" t="s">
        <v>578</v>
      </c>
      <c r="K309" s="22" t="s">
        <v>313</v>
      </c>
      <c r="L309" s="33" t="str">
        <f aca="false">IF($B309="","",IF(NOT(ISNUMBER($B309)),"日期格式不对",IF($C309="","未选项目编号",IF(LEFT($M309,1)="⚠","项目编号不存在",IF($D309="","未选业务类型",IF($E309="","未选开票/付款方",IF(ISNA(MATCH($E309,单位档案!$A$6:$A$35,0)),"开票方不在单位档案",IF($F309="","未选收票/收款方",IF(ISNA(MATCH($F309,单位档案!$A$6:$A$35,0)),"收款方不在单位档案",IF(NOT(ISNUMBER($H309)),"金额须为数字",IF(AND($D309="销项开票",$N309="—"),"链条待确认","√")))))))))))</f>
        <v>√</v>
      </c>
      <c r="M309" s="34" t="str">
        <f aca="false">IF($C309="","",IFERROR(INDEX(项目档案!$B$6:$B$255,MATCH($C309,项目档案!$A$6:$A$255,0)),"⚠项目编号不存在"))</f>
        <v>铜梁公司2026年配电专业应急抢修抢险等外包项目（黄荆4社等台区4个隐患治理项目、三湾1.2社等台区2个应急抢修项目)</v>
      </c>
      <c r="N309" s="35" t="str">
        <f aca="false">IF($E309="","",IF($E309=IFERROR(INDEX(项目档案!$D$6:$D$255,MATCH($C309,项目档案!$A$6:$A$255,0)),""),"一级",IF($E309=IFERROR(INDEX(项目档案!$F$6:$F$255,MATCH($C309,项目档案!$A$6:$A$255,0)),""),"二级",IF($E309=IFERROR(INDEX(项目档案!$H$6:$H$255,MATCH($C309,项目档案!$A$6:$A$255,0)),""),"我方","—"))))</f>
        <v>—</v>
      </c>
      <c r="O309" s="36" t="n">
        <f aca="false">IF($D309&lt;&gt;"销项开票",0,ROUND(N($H309)*N($I309),2))</f>
        <v>0</v>
      </c>
      <c r="P309" s="36" t="n">
        <f aca="false">IF($D309&lt;&gt;"销项开票",0,ROUND(N($H309)-$O309,2))</f>
        <v>0</v>
      </c>
      <c r="Q309" s="37" t="n">
        <f aca="false">IF($E309="","",N(IFERROR(INDEX(单位档案!$E$6:$E$35,MATCH($E309,单位档案!$A$6:$A$35,0)),"")))</f>
        <v>0</v>
      </c>
      <c r="R309" s="37" t="n">
        <f aca="false">IF($E309="","",N(IFERROR(INDEX(单位档案!$F$6:$F$35,MATCH($E309,单位档案!$A$6:$A$35,0)),"")))</f>
        <v>0</v>
      </c>
      <c r="S309" s="36" t="n">
        <f aca="false">IF(OR($D309&lt;&gt;"销项开票",IFERROR(INDEX(单位档案!$G$6:$G$35,MATCH($E309,单位档案!$A$6:$A$35,0)),"")&lt;&gt;"是",N($Q309)=0),0,IF(IFERROR(INDEX(单位档案!$H$6:$H$35,MATCH($E309,单位档案!$A$6:$A$35,0)),"")="税差法",ROUND(N($H309)/(1+$Q309)*$Q309-IF(N($R309)=0,0,$P309/(1+$R309)*$R309),2),ROUND(N($H309)/(1+$Q309)*$Q309,2)))</f>
        <v>0</v>
      </c>
      <c r="T309" s="36" t="n">
        <f aca="false">ROUND($S309*N(IFERROR(INDEX(单位档案!$J$6:$J$35,MATCH($E309,单位档案!$A$6:$A$35,0)),"")),2)</f>
        <v>0</v>
      </c>
      <c r="U309" s="36" t="n">
        <f aca="false">IF($D309&lt;&gt;"销项开票",0,ROUND(N($H309)*N(IFERROR(INDEX(单位档案!$K$6:$K$35,MATCH($E309,单位档案!$A$6:$A$35,0)),"")),2))</f>
        <v>0</v>
      </c>
      <c r="V309" s="36" t="n">
        <f aca="false">IF(OR($D309&lt;&gt;"销项开票",N($Q309)=0),0,ROUND(N($H309)/(1+$Q309)*N(IFERROR(INDEX(单位档案!$L$6:$L$35,MATCH($E309,单位档案!$A$6:$A$35,0)),"")),2))</f>
        <v>0</v>
      </c>
      <c r="W309" s="36" t="n">
        <f aca="false">ROUND($S309+$T309+$U309+$V309,2)</f>
        <v>0</v>
      </c>
      <c r="X309" s="35" t="n">
        <f aca="false">IF(OR($D309="挂靠代收",$D309="我方收款"),COUNTIFS($D$5:$D309,"挂靠代收")+COUNTIFS($D$5:$D309,"我方收款"),"")</f>
        <v>47</v>
      </c>
      <c r="Y309" s="35" t="s">
        <v>114</v>
      </c>
      <c r="Z309" s="21" t="s">
        <v>111</v>
      </c>
    </row>
    <row r="310" customFormat="false" ht="15.75" hidden="false" customHeight="true" outlineLevel="0" collapsed="false">
      <c r="A310" s="32" t="n">
        <f aca="false">IF($B310="","",ROW()-4)</f>
        <v>306</v>
      </c>
      <c r="B310" s="26" t="n">
        <v>46231</v>
      </c>
      <c r="C310" s="24" t="s">
        <v>199</v>
      </c>
      <c r="D310" s="21" t="s">
        <v>320</v>
      </c>
      <c r="E310" s="21" t="s">
        <v>114</v>
      </c>
      <c r="F310" s="21" t="s">
        <v>127</v>
      </c>
      <c r="G310" s="21"/>
      <c r="H310" s="27" t="n">
        <v>6220</v>
      </c>
      <c r="I310" s="23" t="str">
        <f aca="false">IF($D310&lt;&gt;"销项开票","",IF($N310="一级",IF(IFERROR(INDEX(项目档案!$E$6:$E$255,MATCH($C310,项目档案!$A$6:$A$255,0)),"")="",N(IFERROR(INDEX(单位档案!$D$6:$D$35,MATCH($E310,单位档案!$A$6:$A$35,0)),"")),IFERROR(INDEX(项目档案!$E$6:$E$255,MATCH($C310,项目档案!$A$6:$A$255,0)),"")),IF($N310="二级",IF(IFERROR(INDEX(项目档案!$G$6:$G$255,MATCH($C310,项目档案!$A$6:$A$255,0)),"")="",N(IFERROR(INDEX(单位档案!$D$6:$D$35,MATCH($E310,单位档案!$A$6:$A$35,0)),"")),IFERROR(INDEX(项目档案!$G$6:$G$255,MATCH($C310,项目档案!$A$6:$A$255,0)),"")),N(IFERROR(INDEX(单位档案!$D$6:$D$35,MATCH($E310,单位档案!$A$6:$A$35,0)),"")))))</f>
        <v/>
      </c>
      <c r="J310" s="25" t="s">
        <v>578</v>
      </c>
      <c r="K310" s="22" t="s">
        <v>313</v>
      </c>
      <c r="L310" s="33" t="str">
        <f aca="false">IF($B310="","",IF(NOT(ISNUMBER($B310)),"日期格式不对",IF($C310="","未选项目编号",IF(LEFT($M310,1)="⚠","项目编号不存在",IF($D310="","未选业务类型",IF($E310="","未选开票/付款方",IF(ISNA(MATCH($E310,单位档案!$A$6:$A$35,0)),"开票方不在单位档案",IF($F310="","未选收票/收款方",IF(ISNA(MATCH($F310,单位档案!$A$6:$A$35,0)),"收款方不在单位档案",IF(NOT(ISNUMBER($H310)),"金额须为数字",IF(AND($D310="销项开票",$N310="—"),"链条待确认","√")))))))))))</f>
        <v>√</v>
      </c>
      <c r="M310" s="34" t="str">
        <f aca="false">IF($C310="","",IFERROR(INDEX(项目档案!$B$6:$B$255,MATCH($C310,项目档案!$A$6:$A$255,0)),"⚠项目编号不存在"))</f>
        <v>铜梁公司2026年配电专业应急抢修抢险等外包项目（黄荆4社等台区4个隐患治理项目、三湾1.2社等台区2个应急抢修项目)</v>
      </c>
      <c r="N310" s="35" t="str">
        <f aca="false">IF($E310="","",IF($E310=IFERROR(INDEX(项目档案!$D$6:$D$255,MATCH($C310,项目档案!$A$6:$A$255,0)),""),"一级",IF($E310=IFERROR(INDEX(项目档案!$F$6:$F$255,MATCH($C310,项目档案!$A$6:$A$255,0)),""),"二级",IF($E310=IFERROR(INDEX(项目档案!$H$6:$H$255,MATCH($C310,项目档案!$A$6:$A$255,0)),""),"我方","—"))))</f>
        <v>一级</v>
      </c>
      <c r="O310" s="36" t="n">
        <f aca="false">IF($D310&lt;&gt;"销项开票",0,ROUND(N($H310)*N($I310),2))</f>
        <v>0</v>
      </c>
      <c r="P310" s="36" t="n">
        <f aca="false">IF($D310&lt;&gt;"销项开票",0,ROUND(N($H310)-$O310,2))</f>
        <v>0</v>
      </c>
      <c r="Q310" s="37" t="n">
        <f aca="false">IF($E310="","",N(IFERROR(INDEX(单位档案!$E$6:$E$35,MATCH($E310,单位档案!$A$6:$A$35,0)),"")))</f>
        <v>0.03</v>
      </c>
      <c r="R310" s="37" t="n">
        <f aca="false">IF($E310="","",N(IFERROR(INDEX(单位档案!$F$6:$F$35,MATCH($E310,单位档案!$A$6:$A$35,0)),"")))</f>
        <v>0.01</v>
      </c>
      <c r="S310" s="36" t="n">
        <f aca="false">IF(OR($D310&lt;&gt;"销项开票",IFERROR(INDEX(单位档案!$G$6:$G$35,MATCH($E310,单位档案!$A$6:$A$35,0)),"")&lt;&gt;"是",N($Q310)=0),0,IF(IFERROR(INDEX(单位档案!$H$6:$H$35,MATCH($E310,单位档案!$A$6:$A$35,0)),"")="税差法",ROUND(N($H310)/(1+$Q310)*$Q310-IF(N($R310)=0,0,$P310/(1+$R310)*$R310),2),ROUND(N($H310)/(1+$Q310)*$Q310,2)))</f>
        <v>0</v>
      </c>
      <c r="T310" s="36" t="n">
        <f aca="false">ROUND($S310*N(IFERROR(INDEX(单位档案!$J$6:$J$35,MATCH($E310,单位档案!$A$6:$A$35,0)),"")),2)</f>
        <v>0</v>
      </c>
      <c r="U310" s="36" t="n">
        <f aca="false">IF($D310&lt;&gt;"销项开票",0,ROUND(N($H310)*N(IFERROR(INDEX(单位档案!$K$6:$K$35,MATCH($E310,单位档案!$A$6:$A$35,0)),"")),2))</f>
        <v>0</v>
      </c>
      <c r="V310" s="36" t="n">
        <f aca="false">IF(OR($D310&lt;&gt;"销项开票",N($Q310)=0),0,ROUND(N($H310)/(1+$Q310)*N(IFERROR(INDEX(单位档案!$L$6:$L$35,MATCH($E310,单位档案!$A$6:$A$35,0)),"")),2))</f>
        <v>0</v>
      </c>
      <c r="W310" s="36" t="n">
        <f aca="false">ROUND($S310+$T310+$U310+$V310,2)</f>
        <v>0</v>
      </c>
      <c r="X310" s="35" t="n">
        <f aca="false">IF(OR($D310="挂靠代收",$D310="我方收款"),COUNTIFS($D$5:$D310,"挂靠代收")+COUNTIFS($D$5:$D310,"我方收款"),"")</f>
        <v>48</v>
      </c>
      <c r="Y310" s="35" t="s">
        <v>114</v>
      </c>
      <c r="Z310" s="21" t="s">
        <v>111</v>
      </c>
    </row>
    <row r="311" customFormat="false" ht="15.75" hidden="false" customHeight="true" outlineLevel="0" collapsed="false">
      <c r="A311" s="32" t="n">
        <f aca="false">IF($B311="","",ROW()-4)</f>
        <v>307</v>
      </c>
      <c r="B311" s="26" t="n">
        <v>46231</v>
      </c>
      <c r="C311" s="24" t="s">
        <v>264</v>
      </c>
      <c r="D311" s="21" t="s">
        <v>307</v>
      </c>
      <c r="E311" s="21" t="s">
        <v>97</v>
      </c>
      <c r="F311" s="21" t="s">
        <v>114</v>
      </c>
      <c r="G311" s="24" t="s">
        <v>316</v>
      </c>
      <c r="H311" s="27" t="n">
        <v>3725.89</v>
      </c>
      <c r="I311" s="23" t="n">
        <f aca="false">IF($D311&lt;&gt;"销项开票","",IF($N311="一级",IF(IFERROR(INDEX(项目档案!$E$6:$E$255,MATCH($C311,项目档案!$A$6:$A$255,0)),"")="",N(IFERROR(INDEX(单位档案!$D$6:$D$35,MATCH($E311,单位档案!$A$6:$A$35,0)),"")),IFERROR(INDEX(项目档案!$E$6:$E$255,MATCH($C311,项目档案!$A$6:$A$255,0)),"")),IF($N311="二级",IF(IFERROR(INDEX(项目档案!$G$6:$G$255,MATCH($C311,项目档案!$A$6:$A$255,0)),"")="",N(IFERROR(INDEX(单位档案!$D$6:$D$35,MATCH($E311,单位档案!$A$6:$A$35,0)),"")),IFERROR(INDEX(项目档案!$G$6:$G$255,MATCH($C311,项目档案!$A$6:$A$255,0)),"")),N(IFERROR(INDEX(单位档案!$D$6:$D$35,MATCH($E311,单位档案!$A$6:$A$35,0)),"")))))</f>
        <v>0</v>
      </c>
      <c r="J311" s="25" t="s">
        <v>579</v>
      </c>
      <c r="K311" s="22" t="s">
        <v>313</v>
      </c>
      <c r="L311" s="33" t="str">
        <f aca="false">IF($B311="","",IF(NOT(ISNUMBER($B311)),"日期格式不对",IF($C311="","未选项目编号",IF(LEFT($M311,1)="⚠","项目编号不存在",IF($D311="","未选业务类型",IF($E311="","未选开票/付款方",IF(ISNA(MATCH($E311,单位档案!$A$6:$A$35,0)),"开票方不在单位档案",IF($F311="","未选收票/收款方",IF(ISNA(MATCH($F311,单位档案!$A$6:$A$35,0)),"收款方不在单位档案",IF(NOT(ISNUMBER($H311)),"金额须为数字",IF(AND($D311="销项开票",$N311="—"),"链条待确认","√")))))))))))</f>
        <v>√</v>
      </c>
      <c r="M311" s="34" t="str">
        <f aca="false">IF($C311="","",IFERROR(INDEX(项目档案!$B$6:$B$255,MATCH($C311,项目档案!$A$6:$A$255,0)),"⚠项目编号不存在"))</f>
        <v>铜梁公司2026年配电专业应急抢修抢险等外包项目(永嘉所许家3社1等台区2个隐患治理项目)</v>
      </c>
      <c r="N311" s="35" t="str">
        <f aca="false">IF($E311="","",IF($E311=IFERROR(INDEX(项目档案!$D$6:$D$255,MATCH($C311,项目档案!$A$6:$A$255,0)),""),"一级",IF($E311=IFERROR(INDEX(项目档案!$F$6:$F$255,MATCH($C311,项目档案!$A$6:$A$255,0)),""),"二级",IF($E311=IFERROR(INDEX(项目档案!$H$6:$H$255,MATCH($C311,项目档案!$A$6:$A$255,0)),""),"我方","—"))))</f>
        <v>二级</v>
      </c>
      <c r="O311" s="36" t="n">
        <f aca="false">IF($D311&lt;&gt;"销项开票",0,ROUND(N($H311)*N($I311),2))</f>
        <v>0</v>
      </c>
      <c r="P311" s="36" t="n">
        <f aca="false">IF($D311&lt;&gt;"销项开票",0,ROUND(N($H311)-$O311,2))</f>
        <v>3725.89</v>
      </c>
      <c r="Q311" s="37" t="n">
        <f aca="false">IF($E311="","",N(IFERROR(INDEX(单位档案!$E$6:$E$35,MATCH($E311,单位档案!$A$6:$A$35,0)),"")))</f>
        <v>0</v>
      </c>
      <c r="R311" s="37" t="n">
        <f aca="false">IF($E311="","",N(IFERROR(INDEX(单位档案!$F$6:$F$35,MATCH($E311,单位档案!$A$6:$A$35,0)),"")))</f>
        <v>0</v>
      </c>
      <c r="S311" s="36" t="n">
        <f aca="false">IF(OR($D311&lt;&gt;"销项开票",IFERROR(INDEX(单位档案!$G$6:$G$35,MATCH($E311,单位档案!$A$6:$A$35,0)),"")&lt;&gt;"是",N($Q311)=0),0,IF(IFERROR(INDEX(单位档案!$H$6:$H$35,MATCH($E311,单位档案!$A$6:$A$35,0)),"")="税差法",ROUND(N($H311)/(1+$Q311)*$Q311-IF(N($R311)=0,0,$P311/(1+$R311)*$R311),2),ROUND(N($H311)/(1+$Q311)*$Q311,2)))</f>
        <v>0</v>
      </c>
      <c r="T311" s="36" t="n">
        <f aca="false">ROUND($S311*N(IFERROR(INDEX(单位档案!$J$6:$J$35,MATCH($E311,单位档案!$A$6:$A$35,0)),"")),2)</f>
        <v>0</v>
      </c>
      <c r="U311" s="36" t="n">
        <f aca="false">IF($D311&lt;&gt;"销项开票",0,ROUND(N($H311)*N(IFERROR(INDEX(单位档案!$K$6:$K$35,MATCH($E311,单位档案!$A$6:$A$35,0)),"")),2))</f>
        <v>0</v>
      </c>
      <c r="V311" s="36" t="n">
        <f aca="false">IF(OR($D311&lt;&gt;"销项开票",N($Q311)=0),0,ROUND(N($H311)/(1+$Q311)*N(IFERROR(INDEX(单位档案!$L$6:$L$35,MATCH($E311,单位档案!$A$6:$A$35,0)),"")),2))</f>
        <v>0</v>
      </c>
      <c r="W311" s="36" t="n">
        <f aca="false">ROUND($S311+$T311+$U311+$V311,2)</f>
        <v>0</v>
      </c>
      <c r="X311" s="35" t="str">
        <f aca="false">IF(OR($D311="挂靠代收",$D311="我方收款"),COUNTIFS($D$5:$D311,"挂靠代收")+COUNTIFS($D$5:$D311,"我方收款"),"")</f>
        <v/>
      </c>
      <c r="Y311" s="35" t="s">
        <v>114</v>
      </c>
      <c r="Z311" s="21" t="s">
        <v>111</v>
      </c>
    </row>
    <row r="312" customFormat="false" ht="15.75" hidden="false" customHeight="true" outlineLevel="0" collapsed="false">
      <c r="A312" s="32" t="n">
        <f aca="false">IF($B312="","",ROW()-4)</f>
        <v>308</v>
      </c>
      <c r="B312" s="26" t="n">
        <v>46231</v>
      </c>
      <c r="C312" s="24" t="s">
        <v>147</v>
      </c>
      <c r="D312" s="21" t="s">
        <v>319</v>
      </c>
      <c r="E312" s="21" t="s">
        <v>97</v>
      </c>
      <c r="F312" s="21" t="s">
        <v>125</v>
      </c>
      <c r="G312" s="21"/>
      <c r="H312" s="27" t="n">
        <v>122305.72</v>
      </c>
      <c r="I312" s="23" t="str">
        <f aca="false">IF($D312&lt;&gt;"销项开票","",IF($N312="一级",IF(IFERROR(INDEX(项目档案!$E$6:$E$255,MATCH($C312,项目档案!$A$6:$A$255,0)),"")="",N(IFERROR(INDEX(单位档案!$D$6:$D$35,MATCH($E312,单位档案!$A$6:$A$35,0)),"")),IFERROR(INDEX(项目档案!$E$6:$E$255,MATCH($C312,项目档案!$A$6:$A$255,0)),"")),IF($N312="二级",IF(IFERROR(INDEX(项目档案!$G$6:$G$255,MATCH($C312,项目档案!$A$6:$A$255,0)),"")="",N(IFERROR(INDEX(单位档案!$D$6:$D$35,MATCH($E312,单位档案!$A$6:$A$35,0)),"")),IFERROR(INDEX(项目档案!$G$6:$G$255,MATCH($C312,项目档案!$A$6:$A$255,0)),"")),N(IFERROR(INDEX(单位档案!$D$6:$D$35,MATCH($E312,单位档案!$A$6:$A$35,0)),"")))))</f>
        <v/>
      </c>
      <c r="J312" s="25" t="s">
        <v>580</v>
      </c>
      <c r="K312" s="22" t="s">
        <v>313</v>
      </c>
      <c r="L312" s="33" t="str">
        <f aca="false">IF($B312="","",IF(NOT(ISNUMBER($B312)),"日期格式不对",IF($C312="","未选项目编号",IF(LEFT($M312,1)="⚠","项目编号不存在",IF($D312="","未选业务类型",IF($E312="","未选开票/付款方",IF(ISNA(MATCH($E312,单位档案!$A$6:$A$35,0)),"开票方不在单位档案",IF($F312="","未选收票/收款方",IF(ISNA(MATCH($F312,单位档案!$A$6:$A$35,0)),"收款方不在单位档案",IF(NOT(ISNUMBER($H312)),"金额须为数字",IF(AND($D312="销项开票",$N312="—"),"链条待确认","√")))))))))))</f>
        <v>√</v>
      </c>
      <c r="M312" s="34" t="str">
        <f aca="false">IF($C312="","",IFERROR(INDEX(项目档案!$B$6:$B$255,MATCH($C312,项目档案!$A$6:$A$255,0)),"⚠项目编号不存在"))</f>
        <v>2025-2026年度工程用施工机具等租赁服务（重庆铜梁10kV大太线老旧线路改造工程）</v>
      </c>
      <c r="N312" s="35" t="str">
        <f aca="false">IF($E312="","",IF($E312=IFERROR(INDEX(项目档案!$D$6:$D$255,MATCH($C312,项目档案!$A$6:$A$255,0)),""),"一级",IF($E312=IFERROR(INDEX(项目档案!$F$6:$F$255,MATCH($C312,项目档案!$A$6:$A$255,0)),""),"二级",IF($E312=IFERROR(INDEX(项目档案!$H$6:$H$255,MATCH($C312,项目档案!$A$6:$A$255,0)),""),"我方","—"))))</f>
        <v>—</v>
      </c>
      <c r="O312" s="36" t="n">
        <f aca="false">IF($D312&lt;&gt;"销项开票",0,ROUND(N($H312)*N($I312),2))</f>
        <v>0</v>
      </c>
      <c r="P312" s="36" t="n">
        <f aca="false">IF($D312&lt;&gt;"销项开票",0,ROUND(N($H312)-$O312,2))</f>
        <v>0</v>
      </c>
      <c r="Q312" s="37" t="n">
        <f aca="false">IF($E312="","",N(IFERROR(INDEX(单位档案!$E$6:$E$35,MATCH($E312,单位档案!$A$6:$A$35,0)),"")))</f>
        <v>0</v>
      </c>
      <c r="R312" s="37" t="n">
        <f aca="false">IF($E312="","",N(IFERROR(INDEX(单位档案!$F$6:$F$35,MATCH($E312,单位档案!$A$6:$A$35,0)),"")))</f>
        <v>0</v>
      </c>
      <c r="S312" s="36" t="n">
        <f aca="false">IF(OR($D312&lt;&gt;"销项开票",IFERROR(INDEX(单位档案!$G$6:$G$35,MATCH($E312,单位档案!$A$6:$A$35,0)),"")&lt;&gt;"是",N($Q312)=0),0,IF(IFERROR(INDEX(单位档案!$H$6:$H$35,MATCH($E312,单位档案!$A$6:$A$35,0)),"")="税差法",ROUND(N($H312)/(1+$Q312)*$Q312-IF(N($R312)=0,0,$P312/(1+$R312)*$R312),2),ROUND(N($H312)/(1+$Q312)*$Q312,2)))</f>
        <v>0</v>
      </c>
      <c r="T312" s="36" t="n">
        <f aca="false">ROUND($S312*N(IFERROR(INDEX(单位档案!$J$6:$J$35,MATCH($E312,单位档案!$A$6:$A$35,0)),"")),2)</f>
        <v>0</v>
      </c>
      <c r="U312" s="36" t="n">
        <f aca="false">IF($D312&lt;&gt;"销项开票",0,ROUND(N($H312)*N(IFERROR(INDEX(单位档案!$K$6:$K$35,MATCH($E312,单位档案!$A$6:$A$35,0)),"")),2))</f>
        <v>0</v>
      </c>
      <c r="V312" s="36" t="n">
        <f aca="false">IF(OR($D312&lt;&gt;"销项开票",N($Q312)=0),0,ROUND(N($H312)/(1+$Q312)*N(IFERROR(INDEX(单位档案!$L$6:$L$35,MATCH($E312,单位档案!$A$6:$A$35,0)),"")),2))</f>
        <v>0</v>
      </c>
      <c r="W312" s="36" t="n">
        <f aca="false">ROUND($S312+$T312+$U312+$V312,2)</f>
        <v>0</v>
      </c>
      <c r="X312" s="35" t="n">
        <f aca="false">IF(OR($D312="挂靠代收",$D312="我方收款"),COUNTIFS($D$5:$D312,"挂靠代收")+COUNTIFS($D$5:$D312,"我方收款"),"")</f>
        <v>49</v>
      </c>
      <c r="Y312" s="35" t="s">
        <v>311</v>
      </c>
      <c r="Z312" s="21" t="s">
        <v>111</v>
      </c>
    </row>
    <row r="313" customFormat="false" ht="15.75" hidden="false" customHeight="true" outlineLevel="0" collapsed="false">
      <c r="A313" s="32" t="n">
        <f aca="false">IF($B313="","",ROW()-4)</f>
        <v>309</v>
      </c>
      <c r="B313" s="26" t="n">
        <v>46231</v>
      </c>
      <c r="C313" s="24" t="s">
        <v>190</v>
      </c>
      <c r="D313" s="21" t="s">
        <v>319</v>
      </c>
      <c r="E313" s="21" t="s">
        <v>97</v>
      </c>
      <c r="F313" s="21" t="s">
        <v>117</v>
      </c>
      <c r="G313" s="21"/>
      <c r="H313" s="27" t="n">
        <v>70000</v>
      </c>
      <c r="I313" s="23" t="str">
        <f aca="false">IF($D313&lt;&gt;"销项开票","",IF($N313="一级",IF(IFERROR(INDEX(项目档案!$E$6:$E$255,MATCH($C313,项目档案!$A$6:$A$255,0)),"")="",N(IFERROR(INDEX(单位档案!$D$6:$D$35,MATCH($E313,单位档案!$A$6:$A$35,0)),"")),IFERROR(INDEX(项目档案!$E$6:$E$255,MATCH($C313,项目档案!$A$6:$A$255,0)),"")),IF($N313="二级",IF(IFERROR(INDEX(项目档案!$G$6:$G$255,MATCH($C313,项目档案!$A$6:$A$255,0)),"")="",N(IFERROR(INDEX(单位档案!$D$6:$D$35,MATCH($E313,单位档案!$A$6:$A$35,0)),"")),IFERROR(INDEX(项目档案!$G$6:$G$255,MATCH($C313,项目档案!$A$6:$A$255,0)),"")),N(IFERROR(INDEX(单位档案!$D$6:$D$35,MATCH($E313,单位档案!$A$6:$A$35,0)),"")))))</f>
        <v/>
      </c>
      <c r="J313" s="25" t="s">
        <v>581</v>
      </c>
      <c r="K313" s="22" t="s">
        <v>313</v>
      </c>
      <c r="L313" s="33" t="str">
        <f aca="false">IF($B313="","",IF(NOT(ISNUMBER($B313)),"日期格式不对",IF($C313="","未选项目编号",IF(LEFT($M313,1)="⚠","项目编号不存在",IF($D313="","未选业务类型",IF($E313="","未选开票/付款方",IF(ISNA(MATCH($E313,单位档案!$A$6:$A$35,0)),"开票方不在单位档案",IF($F313="","未选收票/收款方",IF(ISNA(MATCH($F313,单位档案!$A$6:$A$35,0)),"收款方不在单位档案",IF(NOT(ISNUMBER($H313)),"金额须为数字",IF(AND($D313="销项开票",$N313="—"),"链条待确认","√")))))))))))</f>
        <v>√</v>
      </c>
      <c r="M313" s="34" t="str">
        <f aca="false">IF($C313="","",IFERROR(INDEX(项目档案!$B$6:$B$255,MATCH($C313,项目档案!$A$6:$A$255,0)),"⚠项目编号不存在"))</f>
        <v>重庆民能实业有限公司2025-2026年度工程用施工机具等租赁服务框架采购（国网重庆铜梁公司110kV金湖东西电缆改造）</v>
      </c>
      <c r="N313" s="35" t="str">
        <f aca="false">IF($E313="","",IF($E313=IFERROR(INDEX(项目档案!$D$6:$D$255,MATCH($C313,项目档案!$A$6:$A$255,0)),""),"一级",IF($E313=IFERROR(INDEX(项目档案!$F$6:$F$255,MATCH($C313,项目档案!$A$6:$A$255,0)),""),"二级",IF($E313=IFERROR(INDEX(项目档案!$H$6:$H$255,MATCH($C313,项目档案!$A$6:$A$255,0)),""),"我方","—"))))</f>
        <v>—</v>
      </c>
      <c r="O313" s="36" t="n">
        <f aca="false">IF($D313&lt;&gt;"销项开票",0,ROUND(N($H313)*N($I313),2))</f>
        <v>0</v>
      </c>
      <c r="P313" s="36" t="n">
        <f aca="false">IF($D313&lt;&gt;"销项开票",0,ROUND(N($H313)-$O313,2))</f>
        <v>0</v>
      </c>
      <c r="Q313" s="37" t="n">
        <f aca="false">IF($E313="","",N(IFERROR(INDEX(单位档案!$E$6:$E$35,MATCH($E313,单位档案!$A$6:$A$35,0)),"")))</f>
        <v>0</v>
      </c>
      <c r="R313" s="37" t="n">
        <f aca="false">IF($E313="","",N(IFERROR(INDEX(单位档案!$F$6:$F$35,MATCH($E313,单位档案!$A$6:$A$35,0)),"")))</f>
        <v>0</v>
      </c>
      <c r="S313" s="36" t="n">
        <f aca="false">IF(OR($D313&lt;&gt;"销项开票",IFERROR(INDEX(单位档案!$G$6:$G$35,MATCH($E313,单位档案!$A$6:$A$35,0)),"")&lt;&gt;"是",N($Q313)=0),0,IF(IFERROR(INDEX(单位档案!$H$6:$H$35,MATCH($E313,单位档案!$A$6:$A$35,0)),"")="税差法",ROUND(N($H313)/(1+$Q313)*$Q313-IF(N($R313)=0,0,$P313/(1+$R313)*$R313),2),ROUND(N($H313)/(1+$Q313)*$Q313,2)))</f>
        <v>0</v>
      </c>
      <c r="T313" s="36" t="n">
        <f aca="false">ROUND($S313*N(IFERROR(INDEX(单位档案!$J$6:$J$35,MATCH($E313,单位档案!$A$6:$A$35,0)),"")),2)</f>
        <v>0</v>
      </c>
      <c r="U313" s="36" t="n">
        <f aca="false">IF($D313&lt;&gt;"销项开票",0,ROUND(N($H313)*N(IFERROR(INDEX(单位档案!$K$6:$K$35,MATCH($E313,单位档案!$A$6:$A$35,0)),"")),2))</f>
        <v>0</v>
      </c>
      <c r="V313" s="36" t="n">
        <f aca="false">IF(OR($D313&lt;&gt;"销项开票",N($Q313)=0),0,ROUND(N($H313)/(1+$Q313)*N(IFERROR(INDEX(单位档案!$L$6:$L$35,MATCH($E313,单位档案!$A$6:$A$35,0)),"")),2))</f>
        <v>0</v>
      </c>
      <c r="W313" s="36" t="n">
        <f aca="false">ROUND($S313+$T313+$U313+$V313,2)</f>
        <v>0</v>
      </c>
      <c r="X313" s="35" t="n">
        <f aca="false">IF(OR($D313="挂靠代收",$D313="我方收款"),COUNTIFS($D$5:$D313,"挂靠代收")+COUNTIFS($D$5:$D313,"我方收款"),"")</f>
        <v>50</v>
      </c>
      <c r="Y313" s="35" t="s">
        <v>117</v>
      </c>
      <c r="Z313" s="21" t="s">
        <v>111</v>
      </c>
    </row>
    <row r="314" customFormat="false" ht="15.75" hidden="false" customHeight="true" outlineLevel="0" collapsed="false">
      <c r="A314" s="32" t="n">
        <f aca="false">IF($B314="","",ROW()-4)</f>
        <v>310</v>
      </c>
      <c r="B314" s="26" t="n">
        <v>46231</v>
      </c>
      <c r="C314" s="24" t="s">
        <v>190</v>
      </c>
      <c r="D314" s="21" t="s">
        <v>320</v>
      </c>
      <c r="E314" s="21" t="s">
        <v>117</v>
      </c>
      <c r="F314" s="21" t="s">
        <v>127</v>
      </c>
      <c r="G314" s="21"/>
      <c r="H314" s="27" t="n">
        <v>70000</v>
      </c>
      <c r="I314" s="23" t="str">
        <f aca="false">IF($D314&lt;&gt;"销项开票","",IF($N314="一级",IF(IFERROR(INDEX(项目档案!$E$6:$E$255,MATCH($C314,项目档案!$A$6:$A$255,0)),"")="",N(IFERROR(INDEX(单位档案!$D$6:$D$35,MATCH($E314,单位档案!$A$6:$A$35,0)),"")),IFERROR(INDEX(项目档案!$E$6:$E$255,MATCH($C314,项目档案!$A$6:$A$255,0)),"")),IF($N314="二级",IF(IFERROR(INDEX(项目档案!$G$6:$G$255,MATCH($C314,项目档案!$A$6:$A$255,0)),"")="",N(IFERROR(INDEX(单位档案!$D$6:$D$35,MATCH($E314,单位档案!$A$6:$A$35,0)),"")),IFERROR(INDEX(项目档案!$G$6:$G$255,MATCH($C314,项目档案!$A$6:$A$255,0)),"")),N(IFERROR(INDEX(单位档案!$D$6:$D$35,MATCH($E314,单位档案!$A$6:$A$35,0)),"")))))</f>
        <v/>
      </c>
      <c r="J314" s="25" t="s">
        <v>581</v>
      </c>
      <c r="K314" s="22" t="s">
        <v>313</v>
      </c>
      <c r="L314" s="33" t="str">
        <f aca="false">IF($B314="","",IF(NOT(ISNUMBER($B314)),"日期格式不对",IF($C314="","未选项目编号",IF(LEFT($M314,1)="⚠","项目编号不存在",IF($D314="","未选业务类型",IF($E314="","未选开票/付款方",IF(ISNA(MATCH($E314,单位档案!$A$6:$A$35,0)),"开票方不在单位档案",IF($F314="","未选收票/收款方",IF(ISNA(MATCH($F314,单位档案!$A$6:$A$35,0)),"收款方不在单位档案",IF(NOT(ISNUMBER($H314)),"金额须为数字",IF(AND($D314="销项开票",$N314="—"),"链条待确认","√")))))))))))</f>
        <v>√</v>
      </c>
      <c r="M314" s="34" t="str">
        <f aca="false">IF($C314="","",IFERROR(INDEX(项目档案!$B$6:$B$255,MATCH($C314,项目档案!$A$6:$A$255,0)),"⚠项目编号不存在"))</f>
        <v>重庆民能实业有限公司2025-2026年度工程用施工机具等租赁服务框架采购（国网重庆铜梁公司110kV金湖东西电缆改造）</v>
      </c>
      <c r="N314" s="35" t="str">
        <f aca="false">IF($E314="","",IF($E314=IFERROR(INDEX(项目档案!$D$6:$D$255,MATCH($C314,项目档案!$A$6:$A$255,0)),""),"一级",IF($E314=IFERROR(INDEX(项目档案!$F$6:$F$255,MATCH($C314,项目档案!$A$6:$A$255,0)),""),"二级",IF($E314=IFERROR(INDEX(项目档案!$H$6:$H$255,MATCH($C314,项目档案!$A$6:$A$255,0)),""),"我方","—"))))</f>
        <v>二级</v>
      </c>
      <c r="O314" s="36" t="n">
        <f aca="false">IF($D314&lt;&gt;"销项开票",0,ROUND(N($H314)*N($I314),2))</f>
        <v>0</v>
      </c>
      <c r="P314" s="36" t="n">
        <f aca="false">IF($D314&lt;&gt;"销项开票",0,ROUND(N($H314)-$O314,2))</f>
        <v>0</v>
      </c>
      <c r="Q314" s="37" t="n">
        <f aca="false">IF($E314="","",N(IFERROR(INDEX(单位档案!$E$6:$E$35,MATCH($E314,单位档案!$A$6:$A$35,0)),"")))</f>
        <v>0.03</v>
      </c>
      <c r="R314" s="37" t="n">
        <f aca="false">IF($E314="","",N(IFERROR(INDEX(单位档案!$F$6:$F$35,MATCH($E314,单位档案!$A$6:$A$35,0)),"")))</f>
        <v>0.03</v>
      </c>
      <c r="S314" s="36" t="n">
        <f aca="false">IF(OR($D314&lt;&gt;"销项开票",IFERROR(INDEX(单位档案!$G$6:$G$35,MATCH($E314,单位档案!$A$6:$A$35,0)),"")&lt;&gt;"是",N($Q314)=0),0,IF(IFERROR(INDEX(单位档案!$H$6:$H$35,MATCH($E314,单位档案!$A$6:$A$35,0)),"")="税差法",ROUND(N($H314)/(1+$Q314)*$Q314-IF(N($R314)=0,0,$P314/(1+$R314)*$R314),2),ROUND(N($H314)/(1+$Q314)*$Q314,2)))</f>
        <v>0</v>
      </c>
      <c r="T314" s="36" t="n">
        <f aca="false">ROUND($S314*N(IFERROR(INDEX(单位档案!$J$6:$J$35,MATCH($E314,单位档案!$A$6:$A$35,0)),"")),2)</f>
        <v>0</v>
      </c>
      <c r="U314" s="36" t="n">
        <f aca="false">IF($D314&lt;&gt;"销项开票",0,ROUND(N($H314)*N(IFERROR(INDEX(单位档案!$K$6:$K$35,MATCH($E314,单位档案!$A$6:$A$35,0)),"")),2))</f>
        <v>0</v>
      </c>
      <c r="V314" s="36" t="n">
        <f aca="false">IF(OR($D314&lt;&gt;"销项开票",N($Q314)=0),0,ROUND(N($H314)/(1+$Q314)*N(IFERROR(INDEX(单位档案!$L$6:$L$35,MATCH($E314,单位档案!$A$6:$A$35,0)),"")),2))</f>
        <v>0</v>
      </c>
      <c r="W314" s="36" t="n">
        <f aca="false">ROUND($S314+$T314+$U314+$V314,2)</f>
        <v>0</v>
      </c>
      <c r="X314" s="35" t="n">
        <f aca="false">IF(OR($D314="挂靠代收",$D314="我方收款"),COUNTIFS($D$5:$D314,"挂靠代收")+COUNTIFS($D$5:$D314,"我方收款"),"")</f>
        <v>51</v>
      </c>
      <c r="Y314" s="35" t="s">
        <v>117</v>
      </c>
      <c r="Z314" s="21" t="s">
        <v>111</v>
      </c>
    </row>
    <row r="315" customFormat="false" ht="15.75" hidden="false" customHeight="true" outlineLevel="0" collapsed="false">
      <c r="A315" s="32" t="n">
        <f aca="false">IF($B315="","",ROW()-4)</f>
        <v>311</v>
      </c>
      <c r="B315" s="26" t="n">
        <v>46231</v>
      </c>
      <c r="C315" s="24" t="s">
        <v>190</v>
      </c>
      <c r="D315" s="21" t="s">
        <v>319</v>
      </c>
      <c r="E315" s="21" t="s">
        <v>97</v>
      </c>
      <c r="F315" s="21" t="s">
        <v>117</v>
      </c>
      <c r="G315" s="21"/>
      <c r="H315" s="27" t="n">
        <v>32000</v>
      </c>
      <c r="I315" s="23" t="str">
        <f aca="false">IF($D315&lt;&gt;"销项开票","",IF($N315="一级",IF(IFERROR(INDEX(项目档案!$E$6:$E$255,MATCH($C315,项目档案!$A$6:$A$255,0)),"")="",N(IFERROR(INDEX(单位档案!$D$6:$D$35,MATCH($E315,单位档案!$A$6:$A$35,0)),"")),IFERROR(INDEX(项目档案!$E$6:$E$255,MATCH($C315,项目档案!$A$6:$A$255,0)),"")),IF($N315="二级",IF(IFERROR(INDEX(项目档案!$G$6:$G$255,MATCH($C315,项目档案!$A$6:$A$255,0)),"")="",N(IFERROR(INDEX(单位档案!$D$6:$D$35,MATCH($E315,单位档案!$A$6:$A$35,0)),"")),IFERROR(INDEX(项目档案!$G$6:$G$255,MATCH($C315,项目档案!$A$6:$A$255,0)),"")),N(IFERROR(INDEX(单位档案!$D$6:$D$35,MATCH($E315,单位档案!$A$6:$A$35,0)),"")))))</f>
        <v/>
      </c>
      <c r="J315" s="25" t="s">
        <v>579</v>
      </c>
      <c r="K315" s="22" t="s">
        <v>313</v>
      </c>
      <c r="L315" s="33" t="str">
        <f aca="false">IF($B315="","",IF(NOT(ISNUMBER($B315)),"日期格式不对",IF($C315="","未选项目编号",IF(LEFT($M315,1)="⚠","项目编号不存在",IF($D315="","未选业务类型",IF($E315="","未选开票/付款方",IF(ISNA(MATCH($E315,单位档案!$A$6:$A$35,0)),"开票方不在单位档案",IF($F315="","未选收票/收款方",IF(ISNA(MATCH($F315,单位档案!$A$6:$A$35,0)),"收款方不在单位档案",IF(NOT(ISNUMBER($H315)),"金额须为数字",IF(AND($D315="销项开票",$N315="—"),"链条待确认","√")))))))))))</f>
        <v>√</v>
      </c>
      <c r="M315" s="34" t="str">
        <f aca="false">IF($C315="","",IFERROR(INDEX(项目档案!$B$6:$B$255,MATCH($C315,项目档案!$A$6:$A$255,0)),"⚠项目编号不存在"))</f>
        <v>重庆民能实业有限公司2025-2026年度工程用施工机具等租赁服务框架采购（国网重庆铜梁公司110kV金湖东西电缆改造）</v>
      </c>
      <c r="N315" s="35" t="str">
        <f aca="false">IF($E315="","",IF($E315=IFERROR(INDEX(项目档案!$D$6:$D$255,MATCH($C315,项目档案!$A$6:$A$255,0)),""),"一级",IF($E315=IFERROR(INDEX(项目档案!$F$6:$F$255,MATCH($C315,项目档案!$A$6:$A$255,0)),""),"二级",IF($E315=IFERROR(INDEX(项目档案!$H$6:$H$255,MATCH($C315,项目档案!$A$6:$A$255,0)),""),"我方","—"))))</f>
        <v>—</v>
      </c>
      <c r="O315" s="36" t="n">
        <f aca="false">IF($D315&lt;&gt;"销项开票",0,ROUND(N($H315)*N($I315),2))</f>
        <v>0</v>
      </c>
      <c r="P315" s="36" t="n">
        <f aca="false">IF($D315&lt;&gt;"销项开票",0,ROUND(N($H315)-$O315,2))</f>
        <v>0</v>
      </c>
      <c r="Q315" s="37" t="n">
        <f aca="false">IF($E315="","",N(IFERROR(INDEX(单位档案!$E$6:$E$35,MATCH($E315,单位档案!$A$6:$A$35,0)),"")))</f>
        <v>0</v>
      </c>
      <c r="R315" s="37" t="n">
        <f aca="false">IF($E315="","",N(IFERROR(INDEX(单位档案!$F$6:$F$35,MATCH($E315,单位档案!$A$6:$A$35,0)),"")))</f>
        <v>0</v>
      </c>
      <c r="S315" s="36" t="n">
        <f aca="false">IF(OR($D315&lt;&gt;"销项开票",IFERROR(INDEX(单位档案!$G$6:$G$35,MATCH($E315,单位档案!$A$6:$A$35,0)),"")&lt;&gt;"是",N($Q315)=0),0,IF(IFERROR(INDEX(单位档案!$H$6:$H$35,MATCH($E315,单位档案!$A$6:$A$35,0)),"")="税差法",ROUND(N($H315)/(1+$Q315)*$Q315-IF(N($R315)=0,0,$P315/(1+$R315)*$R315),2),ROUND(N($H315)/(1+$Q315)*$Q315,2)))</f>
        <v>0</v>
      </c>
      <c r="T315" s="36" t="n">
        <f aca="false">ROUND($S315*N(IFERROR(INDEX(单位档案!$J$6:$J$35,MATCH($E315,单位档案!$A$6:$A$35,0)),"")),2)</f>
        <v>0</v>
      </c>
      <c r="U315" s="36" t="n">
        <f aca="false">IF($D315&lt;&gt;"销项开票",0,ROUND(N($H315)*N(IFERROR(INDEX(单位档案!$K$6:$K$35,MATCH($E315,单位档案!$A$6:$A$35,0)),"")),2))</f>
        <v>0</v>
      </c>
      <c r="V315" s="36" t="n">
        <f aca="false">IF(OR($D315&lt;&gt;"销项开票",N($Q315)=0),0,ROUND(N($H315)/(1+$Q315)*N(IFERROR(INDEX(单位档案!$L$6:$L$35,MATCH($E315,单位档案!$A$6:$A$35,0)),"")),2))</f>
        <v>0</v>
      </c>
      <c r="W315" s="36" t="n">
        <f aca="false">ROUND($S315+$T315+$U315+$V315,2)</f>
        <v>0</v>
      </c>
      <c r="X315" s="35" t="n">
        <f aca="false">IF(OR($D315="挂靠代收",$D315="我方收款"),COUNTIFS($D$5:$D315,"挂靠代收")+COUNTIFS($D$5:$D315,"我方收款"),"")</f>
        <v>52</v>
      </c>
      <c r="Y315" s="35" t="s">
        <v>117</v>
      </c>
      <c r="Z315" s="21" t="s">
        <v>111</v>
      </c>
    </row>
    <row r="316" customFormat="false" ht="15.75" hidden="false" customHeight="true" outlineLevel="0" collapsed="false">
      <c r="A316" s="32" t="n">
        <f aca="false">IF($B316="","",ROW()-4)</f>
        <v>312</v>
      </c>
      <c r="B316" s="26" t="n">
        <v>46231</v>
      </c>
      <c r="C316" s="24" t="s">
        <v>190</v>
      </c>
      <c r="D316" s="21" t="s">
        <v>320</v>
      </c>
      <c r="E316" s="21" t="s">
        <v>117</v>
      </c>
      <c r="F316" s="21" t="s">
        <v>127</v>
      </c>
      <c r="G316" s="21"/>
      <c r="H316" s="27" t="n">
        <v>32000</v>
      </c>
      <c r="I316" s="23" t="str">
        <f aca="false">IF($D316&lt;&gt;"销项开票","",IF($N316="一级",IF(IFERROR(INDEX(项目档案!$E$6:$E$255,MATCH($C316,项目档案!$A$6:$A$255,0)),"")="",N(IFERROR(INDEX(单位档案!$D$6:$D$35,MATCH($E316,单位档案!$A$6:$A$35,0)),"")),IFERROR(INDEX(项目档案!$E$6:$E$255,MATCH($C316,项目档案!$A$6:$A$255,0)),"")),IF($N316="二级",IF(IFERROR(INDEX(项目档案!$G$6:$G$255,MATCH($C316,项目档案!$A$6:$A$255,0)),"")="",N(IFERROR(INDEX(单位档案!$D$6:$D$35,MATCH($E316,单位档案!$A$6:$A$35,0)),"")),IFERROR(INDEX(项目档案!$G$6:$G$255,MATCH($C316,项目档案!$A$6:$A$255,0)),"")),N(IFERROR(INDEX(单位档案!$D$6:$D$35,MATCH($E316,单位档案!$A$6:$A$35,0)),"")))))</f>
        <v/>
      </c>
      <c r="J316" s="25" t="s">
        <v>579</v>
      </c>
      <c r="K316" s="22" t="s">
        <v>313</v>
      </c>
      <c r="L316" s="33" t="str">
        <f aca="false">IF($B316="","",IF(NOT(ISNUMBER($B316)),"日期格式不对",IF($C316="","未选项目编号",IF(LEFT($M316,1)="⚠","项目编号不存在",IF($D316="","未选业务类型",IF($E316="","未选开票/付款方",IF(ISNA(MATCH($E316,单位档案!$A$6:$A$35,0)),"开票方不在单位档案",IF($F316="","未选收票/收款方",IF(ISNA(MATCH($F316,单位档案!$A$6:$A$35,0)),"收款方不在单位档案",IF(NOT(ISNUMBER($H316)),"金额须为数字",IF(AND($D316="销项开票",$N316="—"),"链条待确认","√")))))))))))</f>
        <v>√</v>
      </c>
      <c r="M316" s="34" t="str">
        <f aca="false">IF($C316="","",IFERROR(INDEX(项目档案!$B$6:$B$255,MATCH($C316,项目档案!$A$6:$A$255,0)),"⚠项目编号不存在"))</f>
        <v>重庆民能实业有限公司2025-2026年度工程用施工机具等租赁服务框架采购（国网重庆铜梁公司110kV金湖东西电缆改造）</v>
      </c>
      <c r="N316" s="35" t="str">
        <f aca="false">IF($E316="","",IF($E316=IFERROR(INDEX(项目档案!$D$6:$D$255,MATCH($C316,项目档案!$A$6:$A$255,0)),""),"一级",IF($E316=IFERROR(INDEX(项目档案!$F$6:$F$255,MATCH($C316,项目档案!$A$6:$A$255,0)),""),"二级",IF($E316=IFERROR(INDEX(项目档案!$H$6:$H$255,MATCH($C316,项目档案!$A$6:$A$255,0)),""),"我方","—"))))</f>
        <v>二级</v>
      </c>
      <c r="O316" s="36" t="n">
        <f aca="false">IF($D316&lt;&gt;"销项开票",0,ROUND(N($H316)*N($I316),2))</f>
        <v>0</v>
      </c>
      <c r="P316" s="36" t="n">
        <f aca="false">IF($D316&lt;&gt;"销项开票",0,ROUND(N($H316)-$O316,2))</f>
        <v>0</v>
      </c>
      <c r="Q316" s="37" t="n">
        <f aca="false">IF($E316="","",N(IFERROR(INDEX(单位档案!$E$6:$E$35,MATCH($E316,单位档案!$A$6:$A$35,0)),"")))</f>
        <v>0.03</v>
      </c>
      <c r="R316" s="37" t="n">
        <f aca="false">IF($E316="","",N(IFERROR(INDEX(单位档案!$F$6:$F$35,MATCH($E316,单位档案!$A$6:$A$35,0)),"")))</f>
        <v>0.03</v>
      </c>
      <c r="S316" s="36" t="n">
        <f aca="false">IF(OR($D316&lt;&gt;"销项开票",IFERROR(INDEX(单位档案!$G$6:$G$35,MATCH($E316,单位档案!$A$6:$A$35,0)),"")&lt;&gt;"是",N($Q316)=0),0,IF(IFERROR(INDEX(单位档案!$H$6:$H$35,MATCH($E316,单位档案!$A$6:$A$35,0)),"")="税差法",ROUND(N($H316)/(1+$Q316)*$Q316-IF(N($R316)=0,0,$P316/(1+$R316)*$R316),2),ROUND(N($H316)/(1+$Q316)*$Q316,2)))</f>
        <v>0</v>
      </c>
      <c r="T316" s="36" t="n">
        <f aca="false">ROUND($S316*N(IFERROR(INDEX(单位档案!$J$6:$J$35,MATCH($E316,单位档案!$A$6:$A$35,0)),"")),2)</f>
        <v>0</v>
      </c>
      <c r="U316" s="36" t="n">
        <f aca="false">IF($D316&lt;&gt;"销项开票",0,ROUND(N($H316)*N(IFERROR(INDEX(单位档案!$K$6:$K$35,MATCH($E316,单位档案!$A$6:$A$35,0)),"")),2))</f>
        <v>0</v>
      </c>
      <c r="V316" s="36" t="n">
        <f aca="false">IF(OR($D316&lt;&gt;"销项开票",N($Q316)=0),0,ROUND(N($H316)/(1+$Q316)*N(IFERROR(INDEX(单位档案!$L$6:$L$35,MATCH($E316,单位档案!$A$6:$A$35,0)),"")),2))</f>
        <v>0</v>
      </c>
      <c r="W316" s="36" t="n">
        <f aca="false">ROUND($S316+$T316+$U316+$V316,2)</f>
        <v>0</v>
      </c>
      <c r="X316" s="35" t="n">
        <f aca="false">IF(OR($D316="挂靠代收",$D316="我方收款"),COUNTIFS($D$5:$D316,"挂靠代收")+COUNTIFS($D$5:$D316,"我方收款"),"")</f>
        <v>53</v>
      </c>
      <c r="Y316" s="35" t="s">
        <v>117</v>
      </c>
      <c r="Z316" s="21" t="s">
        <v>111</v>
      </c>
    </row>
    <row r="317" customFormat="false" ht="15.75" hidden="false" customHeight="true" outlineLevel="0" collapsed="false">
      <c r="A317" s="32" t="n">
        <f aca="false">IF($B317="","",ROW()-4)</f>
        <v>313</v>
      </c>
      <c r="B317" s="26" t="n">
        <v>46231</v>
      </c>
      <c r="C317" s="24" t="s">
        <v>150</v>
      </c>
      <c r="D317" s="21" t="s">
        <v>319</v>
      </c>
      <c r="E317" s="21" t="s">
        <v>97</v>
      </c>
      <c r="F317" s="21" t="s">
        <v>117</v>
      </c>
      <c r="G317" s="21"/>
      <c r="H317" s="27" t="n">
        <v>20250</v>
      </c>
      <c r="I317" s="23" t="str">
        <f aca="false">IF($D317&lt;&gt;"销项开票","",IF($N317="一级",IF(IFERROR(INDEX(项目档案!$E$6:$E$255,MATCH($C317,项目档案!$A$6:$A$255,0)),"")="",N(IFERROR(INDEX(单位档案!$D$6:$D$35,MATCH($E317,单位档案!$A$6:$A$35,0)),"")),IFERROR(INDEX(项目档案!$E$6:$E$255,MATCH($C317,项目档案!$A$6:$A$255,0)),"")),IF($N317="二级",IF(IFERROR(INDEX(项目档案!$G$6:$G$255,MATCH($C317,项目档案!$A$6:$A$255,0)),"")="",N(IFERROR(INDEX(单位档案!$D$6:$D$35,MATCH($E317,单位档案!$A$6:$A$35,0)),"")),IFERROR(INDEX(项目档案!$G$6:$G$255,MATCH($C317,项目档案!$A$6:$A$255,0)),"")),N(IFERROR(INDEX(单位档案!$D$6:$D$35,MATCH($E317,单位档案!$A$6:$A$35,0)),"")))))</f>
        <v/>
      </c>
      <c r="J317" s="25" t="s">
        <v>582</v>
      </c>
      <c r="K317" s="22" t="s">
        <v>313</v>
      </c>
      <c r="L317" s="33" t="str">
        <f aca="false">IF($B317="","",IF(NOT(ISNUMBER($B317)),"日期格式不对",IF($C317="","未选项目编号",IF(LEFT($M317,1)="⚠","项目编号不存在",IF($D317="","未选业务类型",IF($E317="","未选开票/付款方",IF(ISNA(MATCH($E317,单位档案!$A$6:$A$35,0)),"开票方不在单位档案",IF($F317="","未选收票/收款方",IF(ISNA(MATCH($F317,单位档案!$A$6:$A$35,0)),"收款方不在单位档案",IF(NOT(ISNUMBER($H317)),"金额须为数字",IF(AND($D317="销项开票",$N317="—"),"链条待确认","√")))))))))))</f>
        <v>√</v>
      </c>
      <c r="M317" s="34" t="str">
        <f aca="false">IF($C317="","",IFERROR(INDEX(项目档案!$B$6:$B$255,MATCH($C317,项目档案!$A$6:$A$255,0)),"⚠项目编号不存在"))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17" s="35" t="str">
        <f aca="false">IF($E317="","",IF($E317=IFERROR(INDEX(项目档案!$D$6:$D$255,MATCH($C317,项目档案!$A$6:$A$255,0)),""),"一级",IF($E317=IFERROR(INDEX(项目档案!$F$6:$F$255,MATCH($C317,项目档案!$A$6:$A$255,0)),""),"二级",IF($E317=IFERROR(INDEX(项目档案!$H$6:$H$255,MATCH($C317,项目档案!$A$6:$A$255,0)),""),"我方","—"))))</f>
        <v>—</v>
      </c>
      <c r="O317" s="36" t="n">
        <f aca="false">IF($D317&lt;&gt;"销项开票",0,ROUND(N($H317)*N($I317),2))</f>
        <v>0</v>
      </c>
      <c r="P317" s="36" t="n">
        <f aca="false">IF($D317&lt;&gt;"销项开票",0,ROUND(N($H317)-$O317,2))</f>
        <v>0</v>
      </c>
      <c r="Q317" s="37" t="n">
        <f aca="false">IF($E317="","",N(IFERROR(INDEX(单位档案!$E$6:$E$35,MATCH($E317,单位档案!$A$6:$A$35,0)),"")))</f>
        <v>0</v>
      </c>
      <c r="R317" s="37" t="n">
        <f aca="false">IF($E317="","",N(IFERROR(INDEX(单位档案!$F$6:$F$35,MATCH($E317,单位档案!$A$6:$A$35,0)),"")))</f>
        <v>0</v>
      </c>
      <c r="S317" s="36" t="n">
        <f aca="false">IF(OR($D317&lt;&gt;"销项开票",IFERROR(INDEX(单位档案!$G$6:$G$35,MATCH($E317,单位档案!$A$6:$A$35,0)),"")&lt;&gt;"是",N($Q317)=0),0,IF(IFERROR(INDEX(单位档案!$H$6:$H$35,MATCH($E317,单位档案!$A$6:$A$35,0)),"")="税差法",ROUND(N($H317)/(1+$Q317)*$Q317-IF(N($R317)=0,0,$P317/(1+$R317)*$R317),2),ROUND(N($H317)/(1+$Q317)*$Q317,2)))</f>
        <v>0</v>
      </c>
      <c r="T317" s="36" t="n">
        <f aca="false">ROUND($S317*N(IFERROR(INDEX(单位档案!$J$6:$J$35,MATCH($E317,单位档案!$A$6:$A$35,0)),"")),2)</f>
        <v>0</v>
      </c>
      <c r="U317" s="36" t="n">
        <f aca="false">IF($D317&lt;&gt;"销项开票",0,ROUND(N($H317)*N(IFERROR(INDEX(单位档案!$K$6:$K$35,MATCH($E317,单位档案!$A$6:$A$35,0)),"")),2))</f>
        <v>0</v>
      </c>
      <c r="V317" s="36" t="n">
        <f aca="false">IF(OR($D317&lt;&gt;"销项开票",N($Q317)=0),0,ROUND(N($H317)/(1+$Q317)*N(IFERROR(INDEX(单位档案!$L$6:$L$35,MATCH($E317,单位档案!$A$6:$A$35,0)),"")),2))</f>
        <v>0</v>
      </c>
      <c r="W317" s="36" t="n">
        <f aca="false">ROUND($S317+$T317+$U317+$V317,2)</f>
        <v>0</v>
      </c>
      <c r="X317" s="35" t="n">
        <f aca="false">IF(OR($D317="挂靠代收",$D317="我方收款"),COUNTIFS($D$5:$D317,"挂靠代收")+COUNTIFS($D$5:$D317,"我方收款"),"")</f>
        <v>54</v>
      </c>
      <c r="Y317" s="35" t="s">
        <v>117</v>
      </c>
      <c r="Z317" s="21" t="s">
        <v>111</v>
      </c>
    </row>
    <row r="318" customFormat="false" ht="15.75" hidden="false" customHeight="true" outlineLevel="0" collapsed="false">
      <c r="A318" s="32" t="n">
        <f aca="false">IF($B318="","",ROW()-4)</f>
        <v>314</v>
      </c>
      <c r="B318" s="26" t="n">
        <v>46231</v>
      </c>
      <c r="C318" s="24" t="s">
        <v>150</v>
      </c>
      <c r="D318" s="21" t="s">
        <v>320</v>
      </c>
      <c r="E318" s="21" t="s">
        <v>117</v>
      </c>
      <c r="F318" s="21" t="s">
        <v>127</v>
      </c>
      <c r="G318" s="21"/>
      <c r="H318" s="27" t="n">
        <v>20250</v>
      </c>
      <c r="I318" s="23" t="str">
        <f aca="false">IF($D318&lt;&gt;"销项开票","",IF($N318="一级",IF(IFERROR(INDEX(项目档案!$E$6:$E$255,MATCH($C318,项目档案!$A$6:$A$255,0)),"")="",N(IFERROR(INDEX(单位档案!$D$6:$D$35,MATCH($E318,单位档案!$A$6:$A$35,0)),"")),IFERROR(INDEX(项目档案!$E$6:$E$255,MATCH($C318,项目档案!$A$6:$A$255,0)),"")),IF($N318="二级",IF(IFERROR(INDEX(项目档案!$G$6:$G$255,MATCH($C318,项目档案!$A$6:$A$255,0)),"")="",N(IFERROR(INDEX(单位档案!$D$6:$D$35,MATCH($E318,单位档案!$A$6:$A$35,0)),"")),IFERROR(INDEX(项目档案!$G$6:$G$255,MATCH($C318,项目档案!$A$6:$A$255,0)),"")),N(IFERROR(INDEX(单位档案!$D$6:$D$35,MATCH($E318,单位档案!$A$6:$A$35,0)),"")))))</f>
        <v/>
      </c>
      <c r="J318" s="25" t="s">
        <v>582</v>
      </c>
      <c r="K318" s="22" t="s">
        <v>313</v>
      </c>
      <c r="L318" s="33" t="str">
        <f aca="false">IF($B318="","",IF(NOT(ISNUMBER($B318)),"日期格式不对",IF($C318="","未选项目编号",IF(LEFT($M318,1)="⚠","项目编号不存在",IF($D318="","未选业务类型",IF($E318="","未选开票/付款方",IF(ISNA(MATCH($E318,单位档案!$A$6:$A$35,0)),"开票方不在单位档案",IF($F318="","未选收票/收款方",IF(ISNA(MATCH($F318,单位档案!$A$6:$A$35,0)),"收款方不在单位档案",IF(NOT(ISNUMBER($H318)),"金额须为数字",IF(AND($D318="销项开票",$N318="—"),"链条待确认","√")))))))))))</f>
        <v>√</v>
      </c>
      <c r="M318" s="34" t="str">
        <f aca="false">IF($C318="","",IFERROR(INDEX(项目档案!$B$6:$B$255,MATCH($C318,项目档案!$A$6:$A$255,0)),"⚠项目编号不存在"))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18" s="35" t="str">
        <f aca="false">IF($E318="","",IF($E318=IFERROR(INDEX(项目档案!$D$6:$D$255,MATCH($C318,项目档案!$A$6:$A$255,0)),""),"一级",IF($E318=IFERROR(INDEX(项目档案!$F$6:$F$255,MATCH($C318,项目档案!$A$6:$A$255,0)),""),"二级",IF($E318=IFERROR(INDEX(项目档案!$H$6:$H$255,MATCH($C318,项目档案!$A$6:$A$255,0)),""),"我方","—"))))</f>
        <v>二级</v>
      </c>
      <c r="O318" s="36" t="n">
        <f aca="false">IF($D318&lt;&gt;"销项开票",0,ROUND(N($H318)*N($I318),2))</f>
        <v>0</v>
      </c>
      <c r="P318" s="36" t="n">
        <f aca="false">IF($D318&lt;&gt;"销项开票",0,ROUND(N($H318)-$O318,2))</f>
        <v>0</v>
      </c>
      <c r="Q318" s="37" t="n">
        <f aca="false">IF($E318="","",N(IFERROR(INDEX(单位档案!$E$6:$E$35,MATCH($E318,单位档案!$A$6:$A$35,0)),"")))</f>
        <v>0.03</v>
      </c>
      <c r="R318" s="37" t="n">
        <f aca="false">IF($E318="","",N(IFERROR(INDEX(单位档案!$F$6:$F$35,MATCH($E318,单位档案!$A$6:$A$35,0)),"")))</f>
        <v>0.03</v>
      </c>
      <c r="S318" s="36" t="n">
        <f aca="false">IF(OR($D318&lt;&gt;"销项开票",IFERROR(INDEX(单位档案!$G$6:$G$35,MATCH($E318,单位档案!$A$6:$A$35,0)),"")&lt;&gt;"是",N($Q318)=0),0,IF(IFERROR(INDEX(单位档案!$H$6:$H$35,MATCH($E318,单位档案!$A$6:$A$35,0)),"")="税差法",ROUND(N($H318)/(1+$Q318)*$Q318-IF(N($R318)=0,0,$P318/(1+$R318)*$R318),2),ROUND(N($H318)/(1+$Q318)*$Q318,2)))</f>
        <v>0</v>
      </c>
      <c r="T318" s="36" t="n">
        <f aca="false">ROUND($S318*N(IFERROR(INDEX(单位档案!$J$6:$J$35,MATCH($E318,单位档案!$A$6:$A$35,0)),"")),2)</f>
        <v>0</v>
      </c>
      <c r="U318" s="36" t="n">
        <f aca="false">IF($D318&lt;&gt;"销项开票",0,ROUND(N($H318)*N(IFERROR(INDEX(单位档案!$K$6:$K$35,MATCH($E318,单位档案!$A$6:$A$35,0)),"")),2))</f>
        <v>0</v>
      </c>
      <c r="V318" s="36" t="n">
        <f aca="false">IF(OR($D318&lt;&gt;"销项开票",N($Q318)=0),0,ROUND(N($H318)/(1+$Q318)*N(IFERROR(INDEX(单位档案!$L$6:$L$35,MATCH($E318,单位档案!$A$6:$A$35,0)),"")),2))</f>
        <v>0</v>
      </c>
      <c r="W318" s="36" t="n">
        <f aca="false">ROUND($S318+$T318+$U318+$V318,2)</f>
        <v>0</v>
      </c>
      <c r="X318" s="35" t="n">
        <f aca="false">IF(OR($D318="挂靠代收",$D318="我方收款"),COUNTIFS($D$5:$D318,"挂靠代收")+COUNTIFS($D$5:$D318,"我方收款"),"")</f>
        <v>55</v>
      </c>
      <c r="Y318" s="35" t="s">
        <v>117</v>
      </c>
      <c r="Z318" s="21" t="s">
        <v>111</v>
      </c>
    </row>
    <row r="319" customFormat="false" ht="15.75" hidden="false" customHeight="true" outlineLevel="0" collapsed="false">
      <c r="A319" s="32" t="n">
        <f aca="false">IF($B319="","",ROW()-4)</f>
        <v>315</v>
      </c>
      <c r="B319" s="26" t="n">
        <v>46231</v>
      </c>
      <c r="C319" s="24" t="s">
        <v>150</v>
      </c>
      <c r="D319" s="21" t="s">
        <v>319</v>
      </c>
      <c r="E319" s="21" t="s">
        <v>97</v>
      </c>
      <c r="F319" s="21" t="s">
        <v>117</v>
      </c>
      <c r="G319" s="21"/>
      <c r="H319" s="27" t="n">
        <v>15690</v>
      </c>
      <c r="I319" s="23" t="str">
        <f aca="false">IF($D319&lt;&gt;"销项开票","",IF($N319="一级",IF(IFERROR(INDEX(项目档案!$E$6:$E$255,MATCH($C319,项目档案!$A$6:$A$255,0)),"")="",N(IFERROR(INDEX(单位档案!$D$6:$D$35,MATCH($E319,单位档案!$A$6:$A$35,0)),"")),IFERROR(INDEX(项目档案!$E$6:$E$255,MATCH($C319,项目档案!$A$6:$A$255,0)),"")),IF($N319="二级",IF(IFERROR(INDEX(项目档案!$G$6:$G$255,MATCH($C319,项目档案!$A$6:$A$255,0)),"")="",N(IFERROR(INDEX(单位档案!$D$6:$D$35,MATCH($E319,单位档案!$A$6:$A$35,0)),"")),IFERROR(INDEX(项目档案!$G$6:$G$255,MATCH($C319,项目档案!$A$6:$A$255,0)),"")),N(IFERROR(INDEX(单位档案!$D$6:$D$35,MATCH($E319,单位档案!$A$6:$A$35,0)),"")))))</f>
        <v/>
      </c>
      <c r="J319" s="25" t="s">
        <v>583</v>
      </c>
      <c r="K319" s="22" t="s">
        <v>313</v>
      </c>
      <c r="L319" s="33" t="str">
        <f aca="false">IF($B319="","",IF(NOT(ISNUMBER($B319)),"日期格式不对",IF($C319="","未选项目编号",IF(LEFT($M319,1)="⚠","项目编号不存在",IF($D319="","未选业务类型",IF($E319="","未选开票/付款方",IF(ISNA(MATCH($E319,单位档案!$A$6:$A$35,0)),"开票方不在单位档案",IF($F319="","未选收票/收款方",IF(ISNA(MATCH($F319,单位档案!$A$6:$A$35,0)),"收款方不在单位档案",IF(NOT(ISNUMBER($H319)),"金额须为数字",IF(AND($D319="销项开票",$N319="—"),"链条待确认","√")))))))))))</f>
        <v>√</v>
      </c>
      <c r="M319" s="34" t="str">
        <f aca="false">IF($C319="","",IFERROR(INDEX(项目档案!$B$6:$B$255,MATCH($C319,项目档案!$A$6:$A$255,0)),"⚠项目编号不存在"))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19" s="35" t="str">
        <f aca="false">IF($E319="","",IF($E319=IFERROR(INDEX(项目档案!$D$6:$D$255,MATCH($C319,项目档案!$A$6:$A$255,0)),""),"一级",IF($E319=IFERROR(INDEX(项目档案!$F$6:$F$255,MATCH($C319,项目档案!$A$6:$A$255,0)),""),"二级",IF($E319=IFERROR(INDEX(项目档案!$H$6:$H$255,MATCH($C319,项目档案!$A$6:$A$255,0)),""),"我方","—"))))</f>
        <v>—</v>
      </c>
      <c r="O319" s="36" t="n">
        <f aca="false">IF($D319&lt;&gt;"销项开票",0,ROUND(N($H319)*N($I319),2))</f>
        <v>0</v>
      </c>
      <c r="P319" s="36" t="n">
        <f aca="false">IF($D319&lt;&gt;"销项开票",0,ROUND(N($H319)-$O319,2))</f>
        <v>0</v>
      </c>
      <c r="Q319" s="37" t="n">
        <f aca="false">IF($E319="","",N(IFERROR(INDEX(单位档案!$E$6:$E$35,MATCH($E319,单位档案!$A$6:$A$35,0)),"")))</f>
        <v>0</v>
      </c>
      <c r="R319" s="37" t="n">
        <f aca="false">IF($E319="","",N(IFERROR(INDEX(单位档案!$F$6:$F$35,MATCH($E319,单位档案!$A$6:$A$35,0)),"")))</f>
        <v>0</v>
      </c>
      <c r="S319" s="36" t="n">
        <f aca="false">IF(OR($D319&lt;&gt;"销项开票",IFERROR(INDEX(单位档案!$G$6:$G$35,MATCH($E319,单位档案!$A$6:$A$35,0)),"")&lt;&gt;"是",N($Q319)=0),0,IF(IFERROR(INDEX(单位档案!$H$6:$H$35,MATCH($E319,单位档案!$A$6:$A$35,0)),"")="税差法",ROUND(N($H319)/(1+$Q319)*$Q319-IF(N($R319)=0,0,$P319/(1+$R319)*$R319),2),ROUND(N($H319)/(1+$Q319)*$Q319,2)))</f>
        <v>0</v>
      </c>
      <c r="T319" s="36" t="n">
        <f aca="false">ROUND($S319*N(IFERROR(INDEX(单位档案!$J$6:$J$35,MATCH($E319,单位档案!$A$6:$A$35,0)),"")),2)</f>
        <v>0</v>
      </c>
      <c r="U319" s="36" t="n">
        <f aca="false">IF($D319&lt;&gt;"销项开票",0,ROUND(N($H319)*N(IFERROR(INDEX(单位档案!$K$6:$K$35,MATCH($E319,单位档案!$A$6:$A$35,0)),"")),2))</f>
        <v>0</v>
      </c>
      <c r="V319" s="36" t="n">
        <f aca="false">IF(OR($D319&lt;&gt;"销项开票",N($Q319)=0),0,ROUND(N($H319)/(1+$Q319)*N(IFERROR(INDEX(单位档案!$L$6:$L$35,MATCH($E319,单位档案!$A$6:$A$35,0)),"")),2))</f>
        <v>0</v>
      </c>
      <c r="W319" s="36" t="n">
        <f aca="false">ROUND($S319+$T319+$U319+$V319,2)</f>
        <v>0</v>
      </c>
      <c r="X319" s="35" t="n">
        <f aca="false">IF(OR($D319="挂靠代收",$D319="我方收款"),COUNTIFS($D$5:$D319,"挂靠代收")+COUNTIFS($D$5:$D319,"我方收款"),"")</f>
        <v>56</v>
      </c>
      <c r="Y319" s="35" t="s">
        <v>117</v>
      </c>
      <c r="Z319" s="21" t="s">
        <v>111</v>
      </c>
    </row>
    <row r="320" customFormat="false" ht="15.75" hidden="false" customHeight="true" outlineLevel="0" collapsed="false">
      <c r="A320" s="32" t="n">
        <f aca="false">IF($B320="","",ROW()-4)</f>
        <v>316</v>
      </c>
      <c r="B320" s="26" t="n">
        <v>46231</v>
      </c>
      <c r="C320" s="24" t="s">
        <v>150</v>
      </c>
      <c r="D320" s="21" t="s">
        <v>320</v>
      </c>
      <c r="E320" s="21" t="s">
        <v>117</v>
      </c>
      <c r="F320" s="21" t="s">
        <v>127</v>
      </c>
      <c r="G320" s="21"/>
      <c r="H320" s="27" t="n">
        <v>15690</v>
      </c>
      <c r="I320" s="23" t="str">
        <f aca="false">IF($D320&lt;&gt;"销项开票","",IF($N320="一级",IF(IFERROR(INDEX(项目档案!$E$6:$E$255,MATCH($C320,项目档案!$A$6:$A$255,0)),"")="",N(IFERROR(INDEX(单位档案!$D$6:$D$35,MATCH($E320,单位档案!$A$6:$A$35,0)),"")),IFERROR(INDEX(项目档案!$E$6:$E$255,MATCH($C320,项目档案!$A$6:$A$255,0)),"")),IF($N320="二级",IF(IFERROR(INDEX(项目档案!$G$6:$G$255,MATCH($C320,项目档案!$A$6:$A$255,0)),"")="",N(IFERROR(INDEX(单位档案!$D$6:$D$35,MATCH($E320,单位档案!$A$6:$A$35,0)),"")),IFERROR(INDEX(项目档案!$G$6:$G$255,MATCH($C320,项目档案!$A$6:$A$255,0)),"")),N(IFERROR(INDEX(单位档案!$D$6:$D$35,MATCH($E320,单位档案!$A$6:$A$35,0)),"")))))</f>
        <v/>
      </c>
      <c r="J320" s="25" t="s">
        <v>583</v>
      </c>
      <c r="K320" s="22" t="s">
        <v>313</v>
      </c>
      <c r="L320" s="33" t="str">
        <f aca="false">IF($B320="","",IF(NOT(ISNUMBER($B320)),"日期格式不对",IF($C320="","未选项目编号",IF(LEFT($M320,1)="⚠","项目编号不存在",IF($D320="","未选业务类型",IF($E320="","未选开票/付款方",IF(ISNA(MATCH($E320,单位档案!$A$6:$A$35,0)),"开票方不在单位档案",IF($F320="","未选收票/收款方",IF(ISNA(MATCH($F320,单位档案!$A$6:$A$35,0)),"收款方不在单位档案",IF(NOT(ISNUMBER($H320)),"金额须为数字",IF(AND($D320="销项开票",$N320="—"),"链条待确认","√")))))))))))</f>
        <v>√</v>
      </c>
      <c r="M320" s="34" t="str">
        <f aca="false">IF($C320="","",IFERROR(INDEX(项目档案!$B$6:$B$255,MATCH($C320,项目档案!$A$6:$A$255,0)),"⚠项目编号不存在"))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20" s="35" t="str">
        <f aca="false">IF($E320="","",IF($E320=IFERROR(INDEX(项目档案!$D$6:$D$255,MATCH($C320,项目档案!$A$6:$A$255,0)),""),"一级",IF($E320=IFERROR(INDEX(项目档案!$F$6:$F$255,MATCH($C320,项目档案!$A$6:$A$255,0)),""),"二级",IF($E320=IFERROR(INDEX(项目档案!$H$6:$H$255,MATCH($C320,项目档案!$A$6:$A$255,0)),""),"我方","—"))))</f>
        <v>二级</v>
      </c>
      <c r="O320" s="36" t="n">
        <f aca="false">IF($D320&lt;&gt;"销项开票",0,ROUND(N($H320)*N($I320),2))</f>
        <v>0</v>
      </c>
      <c r="P320" s="36" t="n">
        <f aca="false">IF($D320&lt;&gt;"销项开票",0,ROUND(N($H320)-$O320,2))</f>
        <v>0</v>
      </c>
      <c r="Q320" s="37" t="n">
        <f aca="false">IF($E320="","",N(IFERROR(INDEX(单位档案!$E$6:$E$35,MATCH($E320,单位档案!$A$6:$A$35,0)),"")))</f>
        <v>0.03</v>
      </c>
      <c r="R320" s="37" t="n">
        <f aca="false">IF($E320="","",N(IFERROR(INDEX(单位档案!$F$6:$F$35,MATCH($E320,单位档案!$A$6:$A$35,0)),"")))</f>
        <v>0.03</v>
      </c>
      <c r="S320" s="36" t="n">
        <f aca="false">IF(OR($D320&lt;&gt;"销项开票",IFERROR(INDEX(单位档案!$G$6:$G$35,MATCH($E320,单位档案!$A$6:$A$35,0)),"")&lt;&gt;"是",N($Q320)=0),0,IF(IFERROR(INDEX(单位档案!$H$6:$H$35,MATCH($E320,单位档案!$A$6:$A$35,0)),"")="税差法",ROUND(N($H320)/(1+$Q320)*$Q320-IF(N($R320)=0,0,$P320/(1+$R320)*$R320),2),ROUND(N($H320)/(1+$Q320)*$Q320,2)))</f>
        <v>0</v>
      </c>
      <c r="T320" s="36" t="n">
        <f aca="false">ROUND($S320*N(IFERROR(INDEX(单位档案!$J$6:$J$35,MATCH($E320,单位档案!$A$6:$A$35,0)),"")),2)</f>
        <v>0</v>
      </c>
      <c r="U320" s="36" t="n">
        <f aca="false">IF($D320&lt;&gt;"销项开票",0,ROUND(N($H320)*N(IFERROR(INDEX(单位档案!$K$6:$K$35,MATCH($E320,单位档案!$A$6:$A$35,0)),"")),2))</f>
        <v>0</v>
      </c>
      <c r="V320" s="36" t="n">
        <f aca="false">IF(OR($D320&lt;&gt;"销项开票",N($Q320)=0),0,ROUND(N($H320)/(1+$Q320)*N(IFERROR(INDEX(单位档案!$L$6:$L$35,MATCH($E320,单位档案!$A$6:$A$35,0)),"")),2))</f>
        <v>0</v>
      </c>
      <c r="W320" s="36" t="n">
        <f aca="false">ROUND($S320+$T320+$U320+$V320,2)</f>
        <v>0</v>
      </c>
      <c r="X320" s="35" t="n">
        <f aca="false">IF(OR($D320="挂靠代收",$D320="我方收款"),COUNTIFS($D$5:$D320,"挂靠代收")+COUNTIFS($D$5:$D320,"我方收款"),"")</f>
        <v>57</v>
      </c>
      <c r="Y320" s="35" t="s">
        <v>117</v>
      </c>
      <c r="Z320" s="21" t="s">
        <v>111</v>
      </c>
    </row>
    <row r="321" customFormat="false" ht="15.75" hidden="false" customHeight="true" outlineLevel="0" collapsed="false">
      <c r="A321" s="32" t="n">
        <f aca="false">IF($B321="","",ROW()-4)</f>
        <v>317</v>
      </c>
      <c r="B321" s="26" t="n">
        <v>46231</v>
      </c>
      <c r="C321" s="24" t="s">
        <v>150</v>
      </c>
      <c r="D321" s="21" t="s">
        <v>319</v>
      </c>
      <c r="E321" s="21" t="s">
        <v>97</v>
      </c>
      <c r="F321" s="21" t="s">
        <v>117</v>
      </c>
      <c r="G321" s="21"/>
      <c r="H321" s="27" t="n">
        <v>3500</v>
      </c>
      <c r="I321" s="23" t="str">
        <f aca="false">IF($D321&lt;&gt;"销项开票","",IF($N321="一级",IF(IFERROR(INDEX(项目档案!$E$6:$E$255,MATCH($C321,项目档案!$A$6:$A$255,0)),"")="",N(IFERROR(INDEX(单位档案!$D$6:$D$35,MATCH($E321,单位档案!$A$6:$A$35,0)),"")),IFERROR(INDEX(项目档案!$E$6:$E$255,MATCH($C321,项目档案!$A$6:$A$255,0)),"")),IF($N321="二级",IF(IFERROR(INDEX(项目档案!$G$6:$G$255,MATCH($C321,项目档案!$A$6:$A$255,0)),"")="",N(IFERROR(INDEX(单位档案!$D$6:$D$35,MATCH($E321,单位档案!$A$6:$A$35,0)),"")),IFERROR(INDEX(项目档案!$G$6:$G$255,MATCH($C321,项目档案!$A$6:$A$255,0)),"")),N(IFERROR(INDEX(单位档案!$D$6:$D$35,MATCH($E321,单位档案!$A$6:$A$35,0)),"")))))</f>
        <v/>
      </c>
      <c r="J321" s="25" t="s">
        <v>584</v>
      </c>
      <c r="K321" s="22" t="s">
        <v>313</v>
      </c>
      <c r="L321" s="33" t="str">
        <f aca="false">IF($B321="","",IF(NOT(ISNUMBER($B321)),"日期格式不对",IF($C321="","未选项目编号",IF(LEFT($M321,1)="⚠","项目编号不存在",IF($D321="","未选业务类型",IF($E321="","未选开票/付款方",IF(ISNA(MATCH($E321,单位档案!$A$6:$A$35,0)),"开票方不在单位档案",IF($F321="","未选收票/收款方",IF(ISNA(MATCH($F321,单位档案!$A$6:$A$35,0)),"收款方不在单位档案",IF(NOT(ISNUMBER($H321)),"金额须为数字",IF(AND($D321="销项开票",$N321="—"),"链条待确认","√")))))))))))</f>
        <v>√</v>
      </c>
      <c r="M321" s="34" t="str">
        <f aca="false">IF($C321="","",IFERROR(INDEX(项目档案!$B$6:$B$255,MATCH($C321,项目档案!$A$6:$A$255,0)),"⚠项目编号不存在"))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21" s="35" t="str">
        <f aca="false">IF($E321="","",IF($E321=IFERROR(INDEX(项目档案!$D$6:$D$255,MATCH($C321,项目档案!$A$6:$A$255,0)),""),"一级",IF($E321=IFERROR(INDEX(项目档案!$F$6:$F$255,MATCH($C321,项目档案!$A$6:$A$255,0)),""),"二级",IF($E321=IFERROR(INDEX(项目档案!$H$6:$H$255,MATCH($C321,项目档案!$A$6:$A$255,0)),""),"我方","—"))))</f>
        <v>—</v>
      </c>
      <c r="O321" s="36" t="n">
        <f aca="false">IF($D321&lt;&gt;"销项开票",0,ROUND(N($H321)*N($I321),2))</f>
        <v>0</v>
      </c>
      <c r="P321" s="36" t="n">
        <f aca="false">IF($D321&lt;&gt;"销项开票",0,ROUND(N($H321)-$O321,2))</f>
        <v>0</v>
      </c>
      <c r="Q321" s="37" t="n">
        <f aca="false">IF($E321="","",N(IFERROR(INDEX(单位档案!$E$6:$E$35,MATCH($E321,单位档案!$A$6:$A$35,0)),"")))</f>
        <v>0</v>
      </c>
      <c r="R321" s="37" t="n">
        <f aca="false">IF($E321="","",N(IFERROR(INDEX(单位档案!$F$6:$F$35,MATCH($E321,单位档案!$A$6:$A$35,0)),"")))</f>
        <v>0</v>
      </c>
      <c r="S321" s="36" t="n">
        <f aca="false">IF(OR($D321&lt;&gt;"销项开票",IFERROR(INDEX(单位档案!$G$6:$G$35,MATCH($E321,单位档案!$A$6:$A$35,0)),"")&lt;&gt;"是",N($Q321)=0),0,IF(IFERROR(INDEX(单位档案!$H$6:$H$35,MATCH($E321,单位档案!$A$6:$A$35,0)),"")="税差法",ROUND(N($H321)/(1+$Q321)*$Q321-IF(N($R321)=0,0,$P321/(1+$R321)*$R321),2),ROUND(N($H321)/(1+$Q321)*$Q321,2)))</f>
        <v>0</v>
      </c>
      <c r="T321" s="36" t="n">
        <f aca="false">ROUND($S321*N(IFERROR(INDEX(单位档案!$J$6:$J$35,MATCH($E321,单位档案!$A$6:$A$35,0)),"")),2)</f>
        <v>0</v>
      </c>
      <c r="U321" s="36" t="n">
        <f aca="false">IF($D321&lt;&gt;"销项开票",0,ROUND(N($H321)*N(IFERROR(INDEX(单位档案!$K$6:$K$35,MATCH($E321,单位档案!$A$6:$A$35,0)),"")),2))</f>
        <v>0</v>
      </c>
      <c r="V321" s="36" t="n">
        <f aca="false">IF(OR($D321&lt;&gt;"销项开票",N($Q321)=0),0,ROUND(N($H321)/(1+$Q321)*N(IFERROR(INDEX(单位档案!$L$6:$L$35,MATCH($E321,单位档案!$A$6:$A$35,0)),"")),2))</f>
        <v>0</v>
      </c>
      <c r="W321" s="36" t="n">
        <f aca="false">ROUND($S321+$T321+$U321+$V321,2)</f>
        <v>0</v>
      </c>
      <c r="X321" s="35" t="n">
        <f aca="false">IF(OR($D321="挂靠代收",$D321="我方收款"),COUNTIFS($D$5:$D321,"挂靠代收")+COUNTIFS($D$5:$D321,"我方收款"),"")</f>
        <v>58</v>
      </c>
      <c r="Y321" s="35" t="s">
        <v>117</v>
      </c>
      <c r="Z321" s="21" t="s">
        <v>111</v>
      </c>
    </row>
    <row r="322" customFormat="false" ht="15.75" hidden="false" customHeight="true" outlineLevel="0" collapsed="false">
      <c r="A322" s="32" t="n">
        <f aca="false">IF($B322="","",ROW()-4)</f>
        <v>318</v>
      </c>
      <c r="B322" s="26" t="n">
        <v>46231</v>
      </c>
      <c r="C322" s="24" t="s">
        <v>150</v>
      </c>
      <c r="D322" s="21" t="s">
        <v>320</v>
      </c>
      <c r="E322" s="21" t="s">
        <v>117</v>
      </c>
      <c r="F322" s="21" t="s">
        <v>127</v>
      </c>
      <c r="G322" s="21"/>
      <c r="H322" s="27" t="n">
        <v>3500</v>
      </c>
      <c r="I322" s="23" t="str">
        <f aca="false">IF($D322&lt;&gt;"销项开票","",IF($N322="一级",IF(IFERROR(INDEX(项目档案!$E$6:$E$255,MATCH($C322,项目档案!$A$6:$A$255,0)),"")="",N(IFERROR(INDEX(单位档案!$D$6:$D$35,MATCH($E322,单位档案!$A$6:$A$35,0)),"")),IFERROR(INDEX(项目档案!$E$6:$E$255,MATCH($C322,项目档案!$A$6:$A$255,0)),"")),IF($N322="二级",IF(IFERROR(INDEX(项目档案!$G$6:$G$255,MATCH($C322,项目档案!$A$6:$A$255,0)),"")="",N(IFERROR(INDEX(单位档案!$D$6:$D$35,MATCH($E322,单位档案!$A$6:$A$35,0)),"")),IFERROR(INDEX(项目档案!$G$6:$G$255,MATCH($C322,项目档案!$A$6:$A$255,0)),"")),N(IFERROR(INDEX(单位档案!$D$6:$D$35,MATCH($E322,单位档案!$A$6:$A$35,0)),"")))))</f>
        <v/>
      </c>
      <c r="J322" s="25" t="s">
        <v>584</v>
      </c>
      <c r="K322" s="22" t="s">
        <v>313</v>
      </c>
      <c r="L322" s="33" t="str">
        <f aca="false">IF($B322="","",IF(NOT(ISNUMBER($B322)),"日期格式不对",IF($C322="","未选项目编号",IF(LEFT($M322,1)="⚠","项目编号不存在",IF($D322="","未选业务类型",IF($E322="","未选开票/付款方",IF(ISNA(MATCH($E322,单位档案!$A$6:$A$35,0)),"开票方不在单位档案",IF($F322="","未选收票/收款方",IF(ISNA(MATCH($F322,单位档案!$A$6:$A$35,0)),"收款方不在单位档案",IF(NOT(ISNUMBER($H322)),"金额须为数字",IF(AND($D322="销项开票",$N322="—"),"链条待确认","√")))))))))))</f>
        <v>√</v>
      </c>
      <c r="M322" s="34" t="str">
        <f aca="false">IF($C322="","",IFERROR(INDEX(项目档案!$B$6:$B$255,MATCH($C322,项目档案!$A$6:$A$255,0)),"⚠项目编号不存在"))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22" s="35" t="str">
        <f aca="false">IF($E322="","",IF($E322=IFERROR(INDEX(项目档案!$D$6:$D$255,MATCH($C322,项目档案!$A$6:$A$255,0)),""),"一级",IF($E322=IFERROR(INDEX(项目档案!$F$6:$F$255,MATCH($C322,项目档案!$A$6:$A$255,0)),""),"二级",IF($E322=IFERROR(INDEX(项目档案!$H$6:$H$255,MATCH($C322,项目档案!$A$6:$A$255,0)),""),"我方","—"))))</f>
        <v>二级</v>
      </c>
      <c r="O322" s="36" t="n">
        <f aca="false">IF($D322&lt;&gt;"销项开票",0,ROUND(N($H322)*N($I322),2))</f>
        <v>0</v>
      </c>
      <c r="P322" s="36" t="n">
        <f aca="false">IF($D322&lt;&gt;"销项开票",0,ROUND(N($H322)-$O322,2))</f>
        <v>0</v>
      </c>
      <c r="Q322" s="37" t="n">
        <f aca="false">IF($E322="","",N(IFERROR(INDEX(单位档案!$E$6:$E$35,MATCH($E322,单位档案!$A$6:$A$35,0)),"")))</f>
        <v>0.03</v>
      </c>
      <c r="R322" s="37" t="n">
        <f aca="false">IF($E322="","",N(IFERROR(INDEX(单位档案!$F$6:$F$35,MATCH($E322,单位档案!$A$6:$A$35,0)),"")))</f>
        <v>0.03</v>
      </c>
      <c r="S322" s="36" t="n">
        <f aca="false">IF(OR($D322&lt;&gt;"销项开票",IFERROR(INDEX(单位档案!$G$6:$G$35,MATCH($E322,单位档案!$A$6:$A$35,0)),"")&lt;&gt;"是",N($Q322)=0),0,IF(IFERROR(INDEX(单位档案!$H$6:$H$35,MATCH($E322,单位档案!$A$6:$A$35,0)),"")="税差法",ROUND(N($H322)/(1+$Q322)*$Q322-IF(N($R322)=0,0,$P322/(1+$R322)*$R322),2),ROUND(N($H322)/(1+$Q322)*$Q322,2)))</f>
        <v>0</v>
      </c>
      <c r="T322" s="36" t="n">
        <f aca="false">ROUND($S322*N(IFERROR(INDEX(单位档案!$J$6:$J$35,MATCH($E322,单位档案!$A$6:$A$35,0)),"")),2)</f>
        <v>0</v>
      </c>
      <c r="U322" s="36" t="n">
        <f aca="false">IF($D322&lt;&gt;"销项开票",0,ROUND(N($H322)*N(IFERROR(INDEX(单位档案!$K$6:$K$35,MATCH($E322,单位档案!$A$6:$A$35,0)),"")),2))</f>
        <v>0</v>
      </c>
      <c r="V322" s="36" t="n">
        <f aca="false">IF(OR($D322&lt;&gt;"销项开票",N($Q322)=0),0,ROUND(N($H322)/(1+$Q322)*N(IFERROR(INDEX(单位档案!$L$6:$L$35,MATCH($E322,单位档案!$A$6:$A$35,0)),"")),2))</f>
        <v>0</v>
      </c>
      <c r="W322" s="36" t="n">
        <f aca="false">ROUND($S322+$T322+$U322+$V322,2)</f>
        <v>0</v>
      </c>
      <c r="X322" s="35" t="n">
        <f aca="false">IF(OR($D322="挂靠代收",$D322="我方收款"),COUNTIFS($D$5:$D322,"挂靠代收")+COUNTIFS($D$5:$D322,"我方收款"),"")</f>
        <v>59</v>
      </c>
      <c r="Y322" s="35" t="s">
        <v>117</v>
      </c>
      <c r="Z322" s="21" t="s">
        <v>111</v>
      </c>
    </row>
    <row r="323" customFormat="false" ht="15.75" hidden="false" customHeight="true" outlineLevel="0" collapsed="false">
      <c r="A323" s="32" t="n">
        <f aca="false">IF($B323="","",ROW()-4)</f>
        <v>319</v>
      </c>
      <c r="B323" s="26" t="n">
        <v>46231</v>
      </c>
      <c r="C323" s="24" t="s">
        <v>150</v>
      </c>
      <c r="D323" s="21" t="s">
        <v>319</v>
      </c>
      <c r="E323" s="21" t="s">
        <v>97</v>
      </c>
      <c r="F323" s="21" t="s">
        <v>117</v>
      </c>
      <c r="G323" s="21"/>
      <c r="H323" s="27" t="n">
        <v>9120</v>
      </c>
      <c r="I323" s="23" t="str">
        <f aca="false">IF($D323&lt;&gt;"销项开票","",IF($N323="一级",IF(IFERROR(INDEX(项目档案!$E$6:$E$255,MATCH($C323,项目档案!$A$6:$A$255,0)),"")="",N(IFERROR(INDEX(单位档案!$D$6:$D$35,MATCH($E323,单位档案!$A$6:$A$35,0)),"")),IFERROR(INDEX(项目档案!$E$6:$E$255,MATCH($C323,项目档案!$A$6:$A$255,0)),"")),IF($N323="二级",IF(IFERROR(INDEX(项目档案!$G$6:$G$255,MATCH($C323,项目档案!$A$6:$A$255,0)),"")="",N(IFERROR(INDEX(单位档案!$D$6:$D$35,MATCH($E323,单位档案!$A$6:$A$35,0)),"")),IFERROR(INDEX(项目档案!$G$6:$G$255,MATCH($C323,项目档案!$A$6:$A$255,0)),"")),N(IFERROR(INDEX(单位档案!$D$6:$D$35,MATCH($E323,单位档案!$A$6:$A$35,0)),"")))))</f>
        <v/>
      </c>
      <c r="J323" s="25" t="s">
        <v>585</v>
      </c>
      <c r="K323" s="22" t="s">
        <v>313</v>
      </c>
      <c r="L323" s="33" t="str">
        <f aca="false">IF($B323="","",IF(NOT(ISNUMBER($B323)),"日期格式不对",IF($C323="","未选项目编号",IF(LEFT($M323,1)="⚠","项目编号不存在",IF($D323="","未选业务类型",IF($E323="","未选开票/付款方",IF(ISNA(MATCH($E323,单位档案!$A$6:$A$35,0)),"开票方不在单位档案",IF($F323="","未选收票/收款方",IF(ISNA(MATCH($F323,单位档案!$A$6:$A$35,0)),"收款方不在单位档案",IF(NOT(ISNUMBER($H323)),"金额须为数字",IF(AND($D323="销项开票",$N323="—"),"链条待确认","√")))))))))))</f>
        <v>√</v>
      </c>
      <c r="M323" s="34" t="str">
        <f aca="false">IF($C323="","",IFERROR(INDEX(项目档案!$B$6:$B$255,MATCH($C323,项目档案!$A$6:$A$255,0)),"⚠项目编号不存在"))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23" s="35" t="str">
        <f aca="false">IF($E323="","",IF($E323=IFERROR(INDEX(项目档案!$D$6:$D$255,MATCH($C323,项目档案!$A$6:$A$255,0)),""),"一级",IF($E323=IFERROR(INDEX(项目档案!$F$6:$F$255,MATCH($C323,项目档案!$A$6:$A$255,0)),""),"二级",IF($E323=IFERROR(INDEX(项目档案!$H$6:$H$255,MATCH($C323,项目档案!$A$6:$A$255,0)),""),"我方","—"))))</f>
        <v>—</v>
      </c>
      <c r="O323" s="36" t="n">
        <f aca="false">IF($D323&lt;&gt;"销项开票",0,ROUND(N($H323)*N($I323),2))</f>
        <v>0</v>
      </c>
      <c r="P323" s="36" t="n">
        <f aca="false">IF($D323&lt;&gt;"销项开票",0,ROUND(N($H323)-$O323,2))</f>
        <v>0</v>
      </c>
      <c r="Q323" s="37" t="n">
        <f aca="false">IF($E323="","",N(IFERROR(INDEX(单位档案!$E$6:$E$35,MATCH($E323,单位档案!$A$6:$A$35,0)),"")))</f>
        <v>0</v>
      </c>
      <c r="R323" s="37" t="n">
        <f aca="false">IF($E323="","",N(IFERROR(INDEX(单位档案!$F$6:$F$35,MATCH($E323,单位档案!$A$6:$A$35,0)),"")))</f>
        <v>0</v>
      </c>
      <c r="S323" s="36" t="n">
        <f aca="false">IF(OR($D323&lt;&gt;"销项开票",IFERROR(INDEX(单位档案!$G$6:$G$35,MATCH($E323,单位档案!$A$6:$A$35,0)),"")&lt;&gt;"是",N($Q323)=0),0,IF(IFERROR(INDEX(单位档案!$H$6:$H$35,MATCH($E323,单位档案!$A$6:$A$35,0)),"")="税差法",ROUND(N($H323)/(1+$Q323)*$Q323-IF(N($R323)=0,0,$P323/(1+$R323)*$R323),2),ROUND(N($H323)/(1+$Q323)*$Q323,2)))</f>
        <v>0</v>
      </c>
      <c r="T323" s="36" t="n">
        <f aca="false">ROUND($S323*N(IFERROR(INDEX(单位档案!$J$6:$J$35,MATCH($E323,单位档案!$A$6:$A$35,0)),"")),2)</f>
        <v>0</v>
      </c>
      <c r="U323" s="36" t="n">
        <f aca="false">IF($D323&lt;&gt;"销项开票",0,ROUND(N($H323)*N(IFERROR(INDEX(单位档案!$K$6:$K$35,MATCH($E323,单位档案!$A$6:$A$35,0)),"")),2))</f>
        <v>0</v>
      </c>
      <c r="V323" s="36" t="n">
        <f aca="false">IF(OR($D323&lt;&gt;"销项开票",N($Q323)=0),0,ROUND(N($H323)/(1+$Q323)*N(IFERROR(INDEX(单位档案!$L$6:$L$35,MATCH($E323,单位档案!$A$6:$A$35,0)),"")),2))</f>
        <v>0</v>
      </c>
      <c r="W323" s="36" t="n">
        <f aca="false">ROUND($S323+$T323+$U323+$V323,2)</f>
        <v>0</v>
      </c>
      <c r="X323" s="35" t="n">
        <f aca="false">IF(OR($D323="挂靠代收",$D323="我方收款"),COUNTIFS($D$5:$D323,"挂靠代收")+COUNTIFS($D$5:$D323,"我方收款"),"")</f>
        <v>60</v>
      </c>
      <c r="Y323" s="35" t="s">
        <v>117</v>
      </c>
      <c r="Z323" s="21" t="s">
        <v>111</v>
      </c>
    </row>
    <row r="324" customFormat="false" ht="15.75" hidden="false" customHeight="true" outlineLevel="0" collapsed="false">
      <c r="A324" s="32" t="n">
        <f aca="false">IF($B324="","",ROW()-4)</f>
        <v>320</v>
      </c>
      <c r="B324" s="26" t="n">
        <v>46231</v>
      </c>
      <c r="C324" s="24" t="s">
        <v>150</v>
      </c>
      <c r="D324" s="21" t="s">
        <v>320</v>
      </c>
      <c r="E324" s="21" t="s">
        <v>117</v>
      </c>
      <c r="F324" s="21" t="s">
        <v>127</v>
      </c>
      <c r="G324" s="21"/>
      <c r="H324" s="27" t="n">
        <v>9120</v>
      </c>
      <c r="I324" s="23" t="str">
        <f aca="false">IF($D324&lt;&gt;"销项开票","",IF($N324="一级",IF(IFERROR(INDEX(项目档案!$E$6:$E$255,MATCH($C324,项目档案!$A$6:$A$255,0)),"")="",N(IFERROR(INDEX(单位档案!$D$6:$D$35,MATCH($E324,单位档案!$A$6:$A$35,0)),"")),IFERROR(INDEX(项目档案!$E$6:$E$255,MATCH($C324,项目档案!$A$6:$A$255,0)),"")),IF($N324="二级",IF(IFERROR(INDEX(项目档案!$G$6:$G$255,MATCH($C324,项目档案!$A$6:$A$255,0)),"")="",N(IFERROR(INDEX(单位档案!$D$6:$D$35,MATCH($E324,单位档案!$A$6:$A$35,0)),"")),IFERROR(INDEX(项目档案!$G$6:$G$255,MATCH($C324,项目档案!$A$6:$A$255,0)),"")),N(IFERROR(INDEX(单位档案!$D$6:$D$35,MATCH($E324,单位档案!$A$6:$A$35,0)),"")))))</f>
        <v/>
      </c>
      <c r="J324" s="25" t="s">
        <v>585</v>
      </c>
      <c r="K324" s="22" t="s">
        <v>313</v>
      </c>
      <c r="L324" s="33" t="str">
        <f aca="false">IF($B324="","",IF(NOT(ISNUMBER($B324)),"日期格式不对",IF($C324="","未选项目编号",IF(LEFT($M324,1)="⚠","项目编号不存在",IF($D324="","未选业务类型",IF($E324="","未选开票/付款方",IF(ISNA(MATCH($E324,单位档案!$A$6:$A$35,0)),"开票方不在单位档案",IF($F324="","未选收票/收款方",IF(ISNA(MATCH($F324,单位档案!$A$6:$A$35,0)),"收款方不在单位档案",IF(NOT(ISNUMBER($H324)),"金额须为数字",IF(AND($D324="销项开票",$N324="—"),"链条待确认","√")))))))))))</f>
        <v>√</v>
      </c>
      <c r="M324" s="34" t="str">
        <f aca="false">IF($C324="","",IFERROR(INDEX(项目档案!$B$6:$B$255,MATCH($C324,项目档案!$A$6:$A$255,0)),"⚠项目编号不存在"))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24" s="35" t="str">
        <f aca="false">IF($E324="","",IF($E324=IFERROR(INDEX(项目档案!$D$6:$D$255,MATCH($C324,项目档案!$A$6:$A$255,0)),""),"一级",IF($E324=IFERROR(INDEX(项目档案!$F$6:$F$255,MATCH($C324,项目档案!$A$6:$A$255,0)),""),"二级",IF($E324=IFERROR(INDEX(项目档案!$H$6:$H$255,MATCH($C324,项目档案!$A$6:$A$255,0)),""),"我方","—"))))</f>
        <v>二级</v>
      </c>
      <c r="O324" s="36" t="n">
        <f aca="false">IF($D324&lt;&gt;"销项开票",0,ROUND(N($H324)*N($I324),2))</f>
        <v>0</v>
      </c>
      <c r="P324" s="36" t="n">
        <f aca="false">IF($D324&lt;&gt;"销项开票",0,ROUND(N($H324)-$O324,2))</f>
        <v>0</v>
      </c>
      <c r="Q324" s="37" t="n">
        <f aca="false">IF($E324="","",N(IFERROR(INDEX(单位档案!$E$6:$E$35,MATCH($E324,单位档案!$A$6:$A$35,0)),"")))</f>
        <v>0.03</v>
      </c>
      <c r="R324" s="37" t="n">
        <f aca="false">IF($E324="","",N(IFERROR(INDEX(单位档案!$F$6:$F$35,MATCH($E324,单位档案!$A$6:$A$35,0)),"")))</f>
        <v>0.03</v>
      </c>
      <c r="S324" s="36" t="n">
        <f aca="false">IF(OR($D324&lt;&gt;"销项开票",IFERROR(INDEX(单位档案!$G$6:$G$35,MATCH($E324,单位档案!$A$6:$A$35,0)),"")&lt;&gt;"是",N($Q324)=0),0,IF(IFERROR(INDEX(单位档案!$H$6:$H$35,MATCH($E324,单位档案!$A$6:$A$35,0)),"")="税差法",ROUND(N($H324)/(1+$Q324)*$Q324-IF(N($R324)=0,0,$P324/(1+$R324)*$R324),2),ROUND(N($H324)/(1+$Q324)*$Q324,2)))</f>
        <v>0</v>
      </c>
      <c r="T324" s="36" t="n">
        <f aca="false">ROUND($S324*N(IFERROR(INDEX(单位档案!$J$6:$J$35,MATCH($E324,单位档案!$A$6:$A$35,0)),"")),2)</f>
        <v>0</v>
      </c>
      <c r="U324" s="36" t="n">
        <f aca="false">IF($D324&lt;&gt;"销项开票",0,ROUND(N($H324)*N(IFERROR(INDEX(单位档案!$K$6:$K$35,MATCH($E324,单位档案!$A$6:$A$35,0)),"")),2))</f>
        <v>0</v>
      </c>
      <c r="V324" s="36" t="n">
        <f aca="false">IF(OR($D324&lt;&gt;"销项开票",N($Q324)=0),0,ROUND(N($H324)/(1+$Q324)*N(IFERROR(INDEX(单位档案!$L$6:$L$35,MATCH($E324,单位档案!$A$6:$A$35,0)),"")),2))</f>
        <v>0</v>
      </c>
      <c r="W324" s="36" t="n">
        <f aca="false">ROUND($S324+$T324+$U324+$V324,2)</f>
        <v>0</v>
      </c>
      <c r="X324" s="35" t="n">
        <f aca="false">IF(OR($D324="挂靠代收",$D324="我方收款"),COUNTIFS($D$5:$D324,"挂靠代收")+COUNTIFS($D$5:$D324,"我方收款"),"")</f>
        <v>61</v>
      </c>
      <c r="Y324" s="35" t="s">
        <v>117</v>
      </c>
      <c r="Z324" s="21" t="s">
        <v>111</v>
      </c>
    </row>
    <row r="325" customFormat="false" ht="15.75" hidden="false" customHeight="true" outlineLevel="0" collapsed="false">
      <c r="A325" s="32" t="n">
        <f aca="false">IF($B325="","",ROW()-4)</f>
        <v>321</v>
      </c>
      <c r="B325" s="26" t="n">
        <v>46231</v>
      </c>
      <c r="C325" s="24" t="s">
        <v>150</v>
      </c>
      <c r="D325" s="21" t="s">
        <v>319</v>
      </c>
      <c r="E325" s="21" t="s">
        <v>97</v>
      </c>
      <c r="F325" s="21" t="s">
        <v>117</v>
      </c>
      <c r="G325" s="21"/>
      <c r="H325" s="27" t="n">
        <v>11400</v>
      </c>
      <c r="I325" s="23" t="str">
        <f aca="false">IF($D325&lt;&gt;"销项开票","",IF($N325="一级",IF(IFERROR(INDEX(项目档案!$E$6:$E$255,MATCH($C325,项目档案!$A$6:$A$255,0)),"")="",N(IFERROR(INDEX(单位档案!$D$6:$D$35,MATCH($E325,单位档案!$A$6:$A$35,0)),"")),IFERROR(INDEX(项目档案!$E$6:$E$255,MATCH($C325,项目档案!$A$6:$A$255,0)),"")),IF($N325="二级",IF(IFERROR(INDEX(项目档案!$G$6:$G$255,MATCH($C325,项目档案!$A$6:$A$255,0)),"")="",N(IFERROR(INDEX(单位档案!$D$6:$D$35,MATCH($E325,单位档案!$A$6:$A$35,0)),"")),IFERROR(INDEX(项目档案!$G$6:$G$255,MATCH($C325,项目档案!$A$6:$A$255,0)),"")),N(IFERROR(INDEX(单位档案!$D$6:$D$35,MATCH($E325,单位档案!$A$6:$A$35,0)),"")))))</f>
        <v/>
      </c>
      <c r="J325" s="25" t="s">
        <v>586</v>
      </c>
      <c r="K325" s="22" t="s">
        <v>313</v>
      </c>
      <c r="L325" s="33" t="str">
        <f aca="false">IF($B325="","",IF(NOT(ISNUMBER($B325)),"日期格式不对",IF($C325="","未选项目编号",IF(LEFT($M325,1)="⚠","项目编号不存在",IF($D325="","未选业务类型",IF($E325="","未选开票/付款方",IF(ISNA(MATCH($E325,单位档案!$A$6:$A$35,0)),"开票方不在单位档案",IF($F325="","未选收票/收款方",IF(ISNA(MATCH($F325,单位档案!$A$6:$A$35,0)),"收款方不在单位档案",IF(NOT(ISNUMBER($H325)),"金额须为数字",IF(AND($D325="销项开票",$N325="—"),"链条待确认","√")))))))))))</f>
        <v>√</v>
      </c>
      <c r="M325" s="34" t="str">
        <f aca="false">IF($C325="","",IFERROR(INDEX(项目档案!$B$6:$B$255,MATCH($C325,项目档案!$A$6:$A$255,0)),"⚠项目编号不存在"))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25" s="35" t="str">
        <f aca="false">IF($E325="","",IF($E325=IFERROR(INDEX(项目档案!$D$6:$D$255,MATCH($C325,项目档案!$A$6:$A$255,0)),""),"一级",IF($E325=IFERROR(INDEX(项目档案!$F$6:$F$255,MATCH($C325,项目档案!$A$6:$A$255,0)),""),"二级",IF($E325=IFERROR(INDEX(项目档案!$H$6:$H$255,MATCH($C325,项目档案!$A$6:$A$255,0)),""),"我方","—"))))</f>
        <v>—</v>
      </c>
      <c r="O325" s="36" t="n">
        <f aca="false">IF($D325&lt;&gt;"销项开票",0,ROUND(N($H325)*N($I325),2))</f>
        <v>0</v>
      </c>
      <c r="P325" s="36" t="n">
        <f aca="false">IF($D325&lt;&gt;"销项开票",0,ROUND(N($H325)-$O325,2))</f>
        <v>0</v>
      </c>
      <c r="Q325" s="37" t="n">
        <f aca="false">IF($E325="","",N(IFERROR(INDEX(单位档案!$E$6:$E$35,MATCH($E325,单位档案!$A$6:$A$35,0)),"")))</f>
        <v>0</v>
      </c>
      <c r="R325" s="37" t="n">
        <f aca="false">IF($E325="","",N(IFERROR(INDEX(单位档案!$F$6:$F$35,MATCH($E325,单位档案!$A$6:$A$35,0)),"")))</f>
        <v>0</v>
      </c>
      <c r="S325" s="36" t="n">
        <f aca="false">IF(OR($D325&lt;&gt;"销项开票",IFERROR(INDEX(单位档案!$G$6:$G$35,MATCH($E325,单位档案!$A$6:$A$35,0)),"")&lt;&gt;"是",N($Q325)=0),0,IF(IFERROR(INDEX(单位档案!$H$6:$H$35,MATCH($E325,单位档案!$A$6:$A$35,0)),"")="税差法",ROUND(N($H325)/(1+$Q325)*$Q325-IF(N($R325)=0,0,$P325/(1+$R325)*$R325),2),ROUND(N($H325)/(1+$Q325)*$Q325,2)))</f>
        <v>0</v>
      </c>
      <c r="T325" s="36" t="n">
        <f aca="false">ROUND($S325*N(IFERROR(INDEX(单位档案!$J$6:$J$35,MATCH($E325,单位档案!$A$6:$A$35,0)),"")),2)</f>
        <v>0</v>
      </c>
      <c r="U325" s="36" t="n">
        <f aca="false">IF($D325&lt;&gt;"销项开票",0,ROUND(N($H325)*N(IFERROR(INDEX(单位档案!$K$6:$K$35,MATCH($E325,单位档案!$A$6:$A$35,0)),"")),2))</f>
        <v>0</v>
      </c>
      <c r="V325" s="36" t="n">
        <f aca="false">IF(OR($D325&lt;&gt;"销项开票",N($Q325)=0),0,ROUND(N($H325)/(1+$Q325)*N(IFERROR(INDEX(单位档案!$L$6:$L$35,MATCH($E325,单位档案!$A$6:$A$35,0)),"")),2))</f>
        <v>0</v>
      </c>
      <c r="W325" s="36" t="n">
        <f aca="false">ROUND($S325+$T325+$U325+$V325,2)</f>
        <v>0</v>
      </c>
      <c r="X325" s="35" t="n">
        <f aca="false">IF(OR($D325="挂靠代收",$D325="我方收款"),COUNTIFS($D$5:$D325,"挂靠代收")+COUNTIFS($D$5:$D325,"我方收款"),"")</f>
        <v>62</v>
      </c>
      <c r="Y325" s="35" t="s">
        <v>117</v>
      </c>
      <c r="Z325" s="21" t="s">
        <v>111</v>
      </c>
    </row>
    <row r="326" customFormat="false" ht="15.75" hidden="false" customHeight="true" outlineLevel="0" collapsed="false">
      <c r="A326" s="32" t="n">
        <f aca="false">IF($B326="","",ROW()-4)</f>
        <v>322</v>
      </c>
      <c r="B326" s="26" t="n">
        <v>46231</v>
      </c>
      <c r="C326" s="24" t="s">
        <v>150</v>
      </c>
      <c r="D326" s="21" t="s">
        <v>320</v>
      </c>
      <c r="E326" s="21" t="s">
        <v>117</v>
      </c>
      <c r="F326" s="21" t="s">
        <v>127</v>
      </c>
      <c r="G326" s="21"/>
      <c r="H326" s="27" t="n">
        <v>11400</v>
      </c>
      <c r="I326" s="23" t="str">
        <f aca="false">IF($D326&lt;&gt;"销项开票","",IF($N326="一级",IF(IFERROR(INDEX(项目档案!$E$6:$E$255,MATCH($C326,项目档案!$A$6:$A$255,0)),"")="",N(IFERROR(INDEX(单位档案!$D$6:$D$35,MATCH($E326,单位档案!$A$6:$A$35,0)),"")),IFERROR(INDEX(项目档案!$E$6:$E$255,MATCH($C326,项目档案!$A$6:$A$255,0)),"")),IF($N326="二级",IF(IFERROR(INDEX(项目档案!$G$6:$G$255,MATCH($C326,项目档案!$A$6:$A$255,0)),"")="",N(IFERROR(INDEX(单位档案!$D$6:$D$35,MATCH($E326,单位档案!$A$6:$A$35,0)),"")),IFERROR(INDEX(项目档案!$G$6:$G$255,MATCH($C326,项目档案!$A$6:$A$255,0)),"")),N(IFERROR(INDEX(单位档案!$D$6:$D$35,MATCH($E326,单位档案!$A$6:$A$35,0)),"")))))</f>
        <v/>
      </c>
      <c r="J326" s="25" t="s">
        <v>586</v>
      </c>
      <c r="K326" s="22" t="s">
        <v>313</v>
      </c>
      <c r="L326" s="33" t="str">
        <f aca="false">IF($B326="","",IF(NOT(ISNUMBER($B326)),"日期格式不对",IF($C326="","未选项目编号",IF(LEFT($M326,1)="⚠","项目编号不存在",IF($D326="","未选业务类型",IF($E326="","未选开票/付款方",IF(ISNA(MATCH($E326,单位档案!$A$6:$A$35,0)),"开票方不在单位档案",IF($F326="","未选收票/收款方",IF(ISNA(MATCH($F326,单位档案!$A$6:$A$35,0)),"收款方不在单位档案",IF(NOT(ISNUMBER($H326)),"金额须为数字",IF(AND($D326="销项开票",$N326="—"),"链条待确认","√")))))))))))</f>
        <v>√</v>
      </c>
      <c r="M326" s="34" t="str">
        <f aca="false">IF($C326="","",IFERROR(INDEX(项目档案!$B$6:$B$255,MATCH($C326,项目档案!$A$6:$A$255,0)),"⚠项目编号不存在"))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26" s="35" t="str">
        <f aca="false">IF($E326="","",IF($E326=IFERROR(INDEX(项目档案!$D$6:$D$255,MATCH($C326,项目档案!$A$6:$A$255,0)),""),"一级",IF($E326=IFERROR(INDEX(项目档案!$F$6:$F$255,MATCH($C326,项目档案!$A$6:$A$255,0)),""),"二级",IF($E326=IFERROR(INDEX(项目档案!$H$6:$H$255,MATCH($C326,项目档案!$A$6:$A$255,0)),""),"我方","—"))))</f>
        <v>二级</v>
      </c>
      <c r="O326" s="36" t="n">
        <f aca="false">IF($D326&lt;&gt;"销项开票",0,ROUND(N($H326)*N($I326),2))</f>
        <v>0</v>
      </c>
      <c r="P326" s="36" t="n">
        <f aca="false">IF($D326&lt;&gt;"销项开票",0,ROUND(N($H326)-$O326,2))</f>
        <v>0</v>
      </c>
      <c r="Q326" s="37" t="n">
        <f aca="false">IF($E326="","",N(IFERROR(INDEX(单位档案!$E$6:$E$35,MATCH($E326,单位档案!$A$6:$A$35,0)),"")))</f>
        <v>0.03</v>
      </c>
      <c r="R326" s="37" t="n">
        <f aca="false">IF($E326="","",N(IFERROR(INDEX(单位档案!$F$6:$F$35,MATCH($E326,单位档案!$A$6:$A$35,0)),"")))</f>
        <v>0.03</v>
      </c>
      <c r="S326" s="36" t="n">
        <f aca="false">IF(OR($D326&lt;&gt;"销项开票",IFERROR(INDEX(单位档案!$G$6:$G$35,MATCH($E326,单位档案!$A$6:$A$35,0)),"")&lt;&gt;"是",N($Q326)=0),0,IF(IFERROR(INDEX(单位档案!$H$6:$H$35,MATCH($E326,单位档案!$A$6:$A$35,0)),"")="税差法",ROUND(N($H326)/(1+$Q326)*$Q326-IF(N($R326)=0,0,$P326/(1+$R326)*$R326),2),ROUND(N($H326)/(1+$Q326)*$Q326,2)))</f>
        <v>0</v>
      </c>
      <c r="T326" s="36" t="n">
        <f aca="false">ROUND($S326*N(IFERROR(INDEX(单位档案!$J$6:$J$35,MATCH($E326,单位档案!$A$6:$A$35,0)),"")),2)</f>
        <v>0</v>
      </c>
      <c r="U326" s="36" t="n">
        <f aca="false">IF($D326&lt;&gt;"销项开票",0,ROUND(N($H326)*N(IFERROR(INDEX(单位档案!$K$6:$K$35,MATCH($E326,单位档案!$A$6:$A$35,0)),"")),2))</f>
        <v>0</v>
      </c>
      <c r="V326" s="36" t="n">
        <f aca="false">IF(OR($D326&lt;&gt;"销项开票",N($Q326)=0),0,ROUND(N($H326)/(1+$Q326)*N(IFERROR(INDEX(单位档案!$L$6:$L$35,MATCH($E326,单位档案!$A$6:$A$35,0)),"")),2))</f>
        <v>0</v>
      </c>
      <c r="W326" s="36" t="n">
        <f aca="false">ROUND($S326+$T326+$U326+$V326,2)</f>
        <v>0</v>
      </c>
      <c r="X326" s="35" t="n">
        <f aca="false">IF(OR($D326="挂靠代收",$D326="我方收款"),COUNTIFS($D$5:$D326,"挂靠代收")+COUNTIFS($D$5:$D326,"我方收款"),"")</f>
        <v>63</v>
      </c>
      <c r="Y326" s="35" t="s">
        <v>117</v>
      </c>
      <c r="Z326" s="21" t="s">
        <v>111</v>
      </c>
    </row>
    <row r="327" customFormat="false" ht="15.75" hidden="false" customHeight="true" outlineLevel="0" collapsed="false">
      <c r="A327" s="32" t="n">
        <f aca="false">IF($B327="","",ROW()-4)</f>
        <v>323</v>
      </c>
      <c r="B327" s="26" t="n">
        <v>46231</v>
      </c>
      <c r="C327" s="24" t="s">
        <v>190</v>
      </c>
      <c r="D327" s="21" t="s">
        <v>319</v>
      </c>
      <c r="E327" s="21" t="s">
        <v>97</v>
      </c>
      <c r="F327" s="21" t="s">
        <v>119</v>
      </c>
      <c r="G327" s="21"/>
      <c r="H327" s="27" t="n">
        <v>70000</v>
      </c>
      <c r="I327" s="23" t="str">
        <f aca="false">IF($D327&lt;&gt;"销项开票","",IF($N327="一级",IF(IFERROR(INDEX(项目档案!$E$6:$E$255,MATCH($C327,项目档案!$A$6:$A$255,0)),"")="",N(IFERROR(INDEX(单位档案!$D$6:$D$35,MATCH($E327,单位档案!$A$6:$A$35,0)),"")),IFERROR(INDEX(项目档案!$E$6:$E$255,MATCH($C327,项目档案!$A$6:$A$255,0)),"")),IF($N327="二级",IF(IFERROR(INDEX(项目档案!$G$6:$G$255,MATCH($C327,项目档案!$A$6:$A$255,0)),"")="",N(IFERROR(INDEX(单位档案!$D$6:$D$35,MATCH($E327,单位档案!$A$6:$A$35,0)),"")),IFERROR(INDEX(项目档案!$G$6:$G$255,MATCH($C327,项目档案!$A$6:$A$255,0)),"")),N(IFERROR(INDEX(单位档案!$D$6:$D$35,MATCH($E327,单位档案!$A$6:$A$35,0)),"")))))</f>
        <v/>
      </c>
      <c r="J327" s="25" t="s">
        <v>581</v>
      </c>
      <c r="K327" s="22" t="s">
        <v>313</v>
      </c>
      <c r="L327" s="33" t="str">
        <f aca="false">IF($B327="","",IF(NOT(ISNUMBER($B327)),"日期格式不对",IF($C327="","未选项目编号",IF(LEFT($M327,1)="⚠","项目编号不存在",IF($D327="","未选业务类型",IF($E327="","未选开票/付款方",IF(ISNA(MATCH($E327,单位档案!$A$6:$A$35,0)),"开票方不在单位档案",IF($F327="","未选收票/收款方",IF(ISNA(MATCH($F327,单位档案!$A$6:$A$35,0)),"收款方不在单位档案",IF(NOT(ISNUMBER($H327)),"金额须为数字",IF(AND($D327="销项开票",$N327="—"),"链条待确认","√")))))))))))</f>
        <v>√</v>
      </c>
      <c r="M327" s="34" t="str">
        <f aca="false">IF($C327="","",IFERROR(INDEX(项目档案!$B$6:$B$255,MATCH($C327,项目档案!$A$6:$A$255,0)),"⚠项目编号不存在"))</f>
        <v>重庆民能实业有限公司2025-2026年度工程用施工机具等租赁服务框架采购（国网重庆铜梁公司110kV金湖东西电缆改造）</v>
      </c>
      <c r="N327" s="35" t="str">
        <f aca="false">IF($E327="","",IF($E327=IFERROR(INDEX(项目档案!$D$6:$D$255,MATCH($C327,项目档案!$A$6:$A$255,0)),""),"一级",IF($E327=IFERROR(INDEX(项目档案!$F$6:$F$255,MATCH($C327,项目档案!$A$6:$A$255,0)),""),"二级",IF($E327=IFERROR(INDEX(项目档案!$H$6:$H$255,MATCH($C327,项目档案!$A$6:$A$255,0)),""),"我方","—"))))</f>
        <v>—</v>
      </c>
      <c r="O327" s="36" t="n">
        <f aca="false">IF($D327&lt;&gt;"销项开票",0,ROUND(N($H327)*N($I327),2))</f>
        <v>0</v>
      </c>
      <c r="P327" s="36" t="n">
        <f aca="false">IF($D327&lt;&gt;"销项开票",0,ROUND(N($H327)-$O327,2))</f>
        <v>0</v>
      </c>
      <c r="Q327" s="37" t="n">
        <f aca="false">IF($E327="","",N(IFERROR(INDEX(单位档案!$E$6:$E$35,MATCH($E327,单位档案!$A$6:$A$35,0)),"")))</f>
        <v>0</v>
      </c>
      <c r="R327" s="37" t="n">
        <f aca="false">IF($E327="","",N(IFERROR(INDEX(单位档案!$F$6:$F$35,MATCH($E327,单位档案!$A$6:$A$35,0)),"")))</f>
        <v>0</v>
      </c>
      <c r="S327" s="36" t="n">
        <f aca="false">IF(OR($D327&lt;&gt;"销项开票",IFERROR(INDEX(单位档案!$G$6:$G$35,MATCH($E327,单位档案!$A$6:$A$35,0)),"")&lt;&gt;"是",N($Q327)=0),0,IF(IFERROR(INDEX(单位档案!$H$6:$H$35,MATCH($E327,单位档案!$A$6:$A$35,0)),"")="税差法",ROUND(N($H327)/(1+$Q327)*$Q327-IF(N($R327)=0,0,$P327/(1+$R327)*$R327),2),ROUND(N($H327)/(1+$Q327)*$Q327,2)))</f>
        <v>0</v>
      </c>
      <c r="T327" s="36" t="n">
        <f aca="false">ROUND($S327*N(IFERROR(INDEX(单位档案!$J$6:$J$35,MATCH($E327,单位档案!$A$6:$A$35,0)),"")),2)</f>
        <v>0</v>
      </c>
      <c r="U327" s="36" t="n">
        <f aca="false">IF($D327&lt;&gt;"销项开票",0,ROUND(N($H327)*N(IFERROR(INDEX(单位档案!$K$6:$K$35,MATCH($E327,单位档案!$A$6:$A$35,0)),"")),2))</f>
        <v>0</v>
      </c>
      <c r="V327" s="36" t="n">
        <f aca="false">IF(OR($D327&lt;&gt;"销项开票",N($Q327)=0),0,ROUND(N($H327)/(1+$Q327)*N(IFERROR(INDEX(单位档案!$L$6:$L$35,MATCH($E327,单位档案!$A$6:$A$35,0)),"")),2))</f>
        <v>0</v>
      </c>
      <c r="W327" s="36" t="n">
        <f aca="false">ROUND($S327+$T327+$U327+$V327,2)</f>
        <v>0</v>
      </c>
      <c r="X327" s="35" t="n">
        <f aca="false">IF(OR($D327="挂靠代收",$D327="我方收款"),COUNTIFS($D$5:$D327,"挂靠代收")+COUNTIFS($D$5:$D327,"我方收款"),"")</f>
        <v>64</v>
      </c>
      <c r="Y327" s="35" t="s">
        <v>119</v>
      </c>
      <c r="Z327" s="21" t="s">
        <v>111</v>
      </c>
    </row>
    <row r="328" customFormat="false" ht="15.75" hidden="false" customHeight="true" outlineLevel="0" collapsed="false">
      <c r="A328" s="32" t="n">
        <f aca="false">IF($B328="","",ROW()-4)</f>
        <v>324</v>
      </c>
      <c r="B328" s="26" t="n">
        <v>46231</v>
      </c>
      <c r="C328" s="24" t="s">
        <v>190</v>
      </c>
      <c r="D328" s="21" t="s">
        <v>320</v>
      </c>
      <c r="E328" s="21" t="s">
        <v>119</v>
      </c>
      <c r="F328" s="21" t="s">
        <v>127</v>
      </c>
      <c r="G328" s="21"/>
      <c r="H328" s="27" t="n">
        <v>70000</v>
      </c>
      <c r="I328" s="23" t="str">
        <f aca="false">IF($D328&lt;&gt;"销项开票","",IF($N328="一级",IF(IFERROR(INDEX(项目档案!$E$6:$E$255,MATCH($C328,项目档案!$A$6:$A$255,0)),"")="",N(IFERROR(INDEX(单位档案!$D$6:$D$35,MATCH($E328,单位档案!$A$6:$A$35,0)),"")),IFERROR(INDEX(项目档案!$E$6:$E$255,MATCH($C328,项目档案!$A$6:$A$255,0)),"")),IF($N328="二级",IF(IFERROR(INDEX(项目档案!$G$6:$G$255,MATCH($C328,项目档案!$A$6:$A$255,0)),"")="",N(IFERROR(INDEX(单位档案!$D$6:$D$35,MATCH($E328,单位档案!$A$6:$A$35,0)),"")),IFERROR(INDEX(项目档案!$G$6:$G$255,MATCH($C328,项目档案!$A$6:$A$255,0)),"")),N(IFERROR(INDEX(单位档案!$D$6:$D$35,MATCH($E328,单位档案!$A$6:$A$35,0)),"")))))</f>
        <v/>
      </c>
      <c r="J328" s="25" t="s">
        <v>581</v>
      </c>
      <c r="K328" s="22" t="s">
        <v>313</v>
      </c>
      <c r="L328" s="33" t="str">
        <f aca="false">IF($B328="","",IF(NOT(ISNUMBER($B328)),"日期格式不对",IF($C328="","未选项目编号",IF(LEFT($M328,1)="⚠","项目编号不存在",IF($D328="","未选业务类型",IF($E328="","未选开票/付款方",IF(ISNA(MATCH($E328,单位档案!$A$6:$A$35,0)),"开票方不在单位档案",IF($F328="","未选收票/收款方",IF(ISNA(MATCH($F328,单位档案!$A$6:$A$35,0)),"收款方不在单位档案",IF(NOT(ISNUMBER($H328)),"金额须为数字",IF(AND($D328="销项开票",$N328="—"),"链条待确认","√")))))))))))</f>
        <v>√</v>
      </c>
      <c r="M328" s="34" t="str">
        <f aca="false">IF($C328="","",IFERROR(INDEX(项目档案!$B$6:$B$255,MATCH($C328,项目档案!$A$6:$A$255,0)),"⚠项目编号不存在"))</f>
        <v>重庆民能实业有限公司2025-2026年度工程用施工机具等租赁服务框架采购（国网重庆铜梁公司110kV金湖东西电缆改造）</v>
      </c>
      <c r="N328" s="35" t="str">
        <f aca="false">IF($E328="","",IF($E328=IFERROR(INDEX(项目档案!$D$6:$D$255,MATCH($C328,项目档案!$A$6:$A$255,0)),""),"一级",IF($E328=IFERROR(INDEX(项目档案!$F$6:$F$255,MATCH($C328,项目档案!$A$6:$A$255,0)),""),"二级",IF($E328=IFERROR(INDEX(项目档案!$H$6:$H$255,MATCH($C328,项目档案!$A$6:$A$255,0)),""),"我方","—"))))</f>
        <v>一级</v>
      </c>
      <c r="O328" s="36" t="n">
        <f aca="false">IF($D328&lt;&gt;"销项开票",0,ROUND(N($H328)*N($I328),2))</f>
        <v>0</v>
      </c>
      <c r="P328" s="36" t="n">
        <f aca="false">IF($D328&lt;&gt;"销项开票",0,ROUND(N($H328)-$O328,2))</f>
        <v>0</v>
      </c>
      <c r="Q328" s="37" t="n">
        <f aca="false">IF($E328="","",N(IFERROR(INDEX(单位档案!$E$6:$E$35,MATCH($E328,单位档案!$A$6:$A$35,0)),"")))</f>
        <v>0.09</v>
      </c>
      <c r="R328" s="37" t="n">
        <f aca="false">IF($E328="","",N(IFERROR(INDEX(单位档案!$F$6:$F$35,MATCH($E328,单位档案!$A$6:$A$35,0)),"")))</f>
        <v>0.03</v>
      </c>
      <c r="S328" s="36" t="n">
        <f aca="false">IF(OR($D328&lt;&gt;"销项开票",IFERROR(INDEX(单位档案!$G$6:$G$35,MATCH($E328,单位档案!$A$6:$A$35,0)),"")&lt;&gt;"是",N($Q328)=0),0,IF(IFERROR(INDEX(单位档案!$H$6:$H$35,MATCH($E328,单位档案!$A$6:$A$35,0)),"")="税差法",ROUND(N($H328)/(1+$Q328)*$Q328-IF(N($R328)=0,0,$P328/(1+$R328)*$R328),2),ROUND(N($H328)/(1+$Q328)*$Q328,2)))</f>
        <v>0</v>
      </c>
      <c r="T328" s="36" t="n">
        <f aca="false">ROUND($S328*N(IFERROR(INDEX(单位档案!$J$6:$J$35,MATCH($E328,单位档案!$A$6:$A$35,0)),"")),2)</f>
        <v>0</v>
      </c>
      <c r="U328" s="36" t="n">
        <f aca="false">IF($D328&lt;&gt;"销项开票",0,ROUND(N($H328)*N(IFERROR(INDEX(单位档案!$K$6:$K$35,MATCH($E328,单位档案!$A$6:$A$35,0)),"")),2))</f>
        <v>0</v>
      </c>
      <c r="V328" s="36" t="n">
        <f aca="false">IF(OR($D328&lt;&gt;"销项开票",N($Q328)=0),0,ROUND(N($H328)/(1+$Q328)*N(IFERROR(INDEX(单位档案!$L$6:$L$35,MATCH($E328,单位档案!$A$6:$A$35,0)),"")),2))</f>
        <v>0</v>
      </c>
      <c r="W328" s="36" t="n">
        <f aca="false">ROUND($S328+$T328+$U328+$V328,2)</f>
        <v>0</v>
      </c>
      <c r="X328" s="35" t="n">
        <f aca="false">IF(OR($D328="挂靠代收",$D328="我方收款"),COUNTIFS($D$5:$D328,"挂靠代收")+COUNTIFS($D$5:$D328,"我方收款"),"")</f>
        <v>65</v>
      </c>
      <c r="Y328" s="35" t="s">
        <v>119</v>
      </c>
      <c r="Z328" s="21" t="s">
        <v>111</v>
      </c>
    </row>
    <row r="329" customFormat="false" ht="15.75" hidden="false" customHeight="true" outlineLevel="0" collapsed="false">
      <c r="A329" s="32" t="n">
        <f aca="false">IF($B329="","",ROW()-4)</f>
        <v>325</v>
      </c>
      <c r="B329" s="26" t="n">
        <v>46231</v>
      </c>
      <c r="C329" s="24" t="s">
        <v>190</v>
      </c>
      <c r="D329" s="21" t="s">
        <v>319</v>
      </c>
      <c r="E329" s="21" t="s">
        <v>97</v>
      </c>
      <c r="F329" s="21" t="s">
        <v>119</v>
      </c>
      <c r="G329" s="21"/>
      <c r="H329" s="27" t="n">
        <v>32000</v>
      </c>
      <c r="I329" s="23" t="str">
        <f aca="false">IF($D329&lt;&gt;"销项开票","",IF($N329="一级",IF(IFERROR(INDEX(项目档案!$E$6:$E$255,MATCH($C329,项目档案!$A$6:$A$255,0)),"")="",N(IFERROR(INDEX(单位档案!$D$6:$D$35,MATCH($E329,单位档案!$A$6:$A$35,0)),"")),IFERROR(INDEX(项目档案!$E$6:$E$255,MATCH($C329,项目档案!$A$6:$A$255,0)),"")),IF($N329="二级",IF(IFERROR(INDEX(项目档案!$G$6:$G$255,MATCH($C329,项目档案!$A$6:$A$255,0)),"")="",N(IFERROR(INDEX(单位档案!$D$6:$D$35,MATCH($E329,单位档案!$A$6:$A$35,0)),"")),IFERROR(INDEX(项目档案!$G$6:$G$255,MATCH($C329,项目档案!$A$6:$A$255,0)),"")),N(IFERROR(INDEX(单位档案!$D$6:$D$35,MATCH($E329,单位档案!$A$6:$A$35,0)),"")))))</f>
        <v/>
      </c>
      <c r="J329" s="25" t="s">
        <v>579</v>
      </c>
      <c r="K329" s="22" t="s">
        <v>313</v>
      </c>
      <c r="L329" s="33" t="str">
        <f aca="false">IF($B329="","",IF(NOT(ISNUMBER($B329)),"日期格式不对",IF($C329="","未选项目编号",IF(LEFT($M329,1)="⚠","项目编号不存在",IF($D329="","未选业务类型",IF($E329="","未选开票/付款方",IF(ISNA(MATCH($E329,单位档案!$A$6:$A$35,0)),"开票方不在单位档案",IF($F329="","未选收票/收款方",IF(ISNA(MATCH($F329,单位档案!$A$6:$A$35,0)),"收款方不在单位档案",IF(NOT(ISNUMBER($H329)),"金额须为数字",IF(AND($D329="销项开票",$N329="—"),"链条待确认","√")))))))))))</f>
        <v>√</v>
      </c>
      <c r="M329" s="34" t="str">
        <f aca="false">IF($C329="","",IFERROR(INDEX(项目档案!$B$6:$B$255,MATCH($C329,项目档案!$A$6:$A$255,0)),"⚠项目编号不存在"))</f>
        <v>重庆民能实业有限公司2025-2026年度工程用施工机具等租赁服务框架采购（国网重庆铜梁公司110kV金湖东西电缆改造）</v>
      </c>
      <c r="N329" s="35" t="str">
        <f aca="false">IF($E329="","",IF($E329=IFERROR(INDEX(项目档案!$D$6:$D$255,MATCH($C329,项目档案!$A$6:$A$255,0)),""),"一级",IF($E329=IFERROR(INDEX(项目档案!$F$6:$F$255,MATCH($C329,项目档案!$A$6:$A$255,0)),""),"二级",IF($E329=IFERROR(INDEX(项目档案!$H$6:$H$255,MATCH($C329,项目档案!$A$6:$A$255,0)),""),"我方","—"))))</f>
        <v>—</v>
      </c>
      <c r="O329" s="36" t="n">
        <f aca="false">IF($D329&lt;&gt;"销项开票",0,ROUND(N($H329)*N($I329),2))</f>
        <v>0</v>
      </c>
      <c r="P329" s="36" t="n">
        <f aca="false">IF($D329&lt;&gt;"销项开票",0,ROUND(N($H329)-$O329,2))</f>
        <v>0</v>
      </c>
      <c r="Q329" s="37" t="n">
        <f aca="false">IF($E329="","",N(IFERROR(INDEX(单位档案!$E$6:$E$35,MATCH($E329,单位档案!$A$6:$A$35,0)),"")))</f>
        <v>0</v>
      </c>
      <c r="R329" s="37" t="n">
        <f aca="false">IF($E329="","",N(IFERROR(INDEX(单位档案!$F$6:$F$35,MATCH($E329,单位档案!$A$6:$A$35,0)),"")))</f>
        <v>0</v>
      </c>
      <c r="S329" s="36" t="n">
        <f aca="false">IF(OR($D329&lt;&gt;"销项开票",IFERROR(INDEX(单位档案!$G$6:$G$35,MATCH($E329,单位档案!$A$6:$A$35,0)),"")&lt;&gt;"是",N($Q329)=0),0,IF(IFERROR(INDEX(单位档案!$H$6:$H$35,MATCH($E329,单位档案!$A$6:$A$35,0)),"")="税差法",ROUND(N($H329)/(1+$Q329)*$Q329-IF(N($R329)=0,0,$P329/(1+$R329)*$R329),2),ROUND(N($H329)/(1+$Q329)*$Q329,2)))</f>
        <v>0</v>
      </c>
      <c r="T329" s="36" t="n">
        <f aca="false">ROUND($S329*N(IFERROR(INDEX(单位档案!$J$6:$J$35,MATCH($E329,单位档案!$A$6:$A$35,0)),"")),2)</f>
        <v>0</v>
      </c>
      <c r="U329" s="36" t="n">
        <f aca="false">IF($D329&lt;&gt;"销项开票",0,ROUND(N($H329)*N(IFERROR(INDEX(单位档案!$K$6:$K$35,MATCH($E329,单位档案!$A$6:$A$35,0)),"")),2))</f>
        <v>0</v>
      </c>
      <c r="V329" s="36" t="n">
        <f aca="false">IF(OR($D329&lt;&gt;"销项开票",N($Q329)=0),0,ROUND(N($H329)/(1+$Q329)*N(IFERROR(INDEX(单位档案!$L$6:$L$35,MATCH($E329,单位档案!$A$6:$A$35,0)),"")),2))</f>
        <v>0</v>
      </c>
      <c r="W329" s="36" t="n">
        <f aca="false">ROUND($S329+$T329+$U329+$V329,2)</f>
        <v>0</v>
      </c>
      <c r="X329" s="35" t="n">
        <f aca="false">IF(OR($D329="挂靠代收",$D329="我方收款"),COUNTIFS($D$5:$D329,"挂靠代收")+COUNTIFS($D$5:$D329,"我方收款"),"")</f>
        <v>66</v>
      </c>
      <c r="Y329" s="35" t="s">
        <v>119</v>
      </c>
      <c r="Z329" s="21" t="s">
        <v>111</v>
      </c>
    </row>
    <row r="330" customFormat="false" ht="15.75" hidden="false" customHeight="true" outlineLevel="0" collapsed="false">
      <c r="A330" s="32" t="n">
        <f aca="false">IF($B330="","",ROW()-4)</f>
        <v>326</v>
      </c>
      <c r="B330" s="26" t="n">
        <v>46231</v>
      </c>
      <c r="C330" s="24" t="s">
        <v>190</v>
      </c>
      <c r="D330" s="21" t="s">
        <v>320</v>
      </c>
      <c r="E330" s="21" t="s">
        <v>119</v>
      </c>
      <c r="F330" s="21" t="s">
        <v>127</v>
      </c>
      <c r="G330" s="21"/>
      <c r="H330" s="27" t="n">
        <v>32000</v>
      </c>
      <c r="I330" s="23" t="str">
        <f aca="false">IF($D330&lt;&gt;"销项开票","",IF($N330="一级",IF(IFERROR(INDEX(项目档案!$E$6:$E$255,MATCH($C330,项目档案!$A$6:$A$255,0)),"")="",N(IFERROR(INDEX(单位档案!$D$6:$D$35,MATCH($E330,单位档案!$A$6:$A$35,0)),"")),IFERROR(INDEX(项目档案!$E$6:$E$255,MATCH($C330,项目档案!$A$6:$A$255,0)),"")),IF($N330="二级",IF(IFERROR(INDEX(项目档案!$G$6:$G$255,MATCH($C330,项目档案!$A$6:$A$255,0)),"")="",N(IFERROR(INDEX(单位档案!$D$6:$D$35,MATCH($E330,单位档案!$A$6:$A$35,0)),"")),IFERROR(INDEX(项目档案!$G$6:$G$255,MATCH($C330,项目档案!$A$6:$A$255,0)),"")),N(IFERROR(INDEX(单位档案!$D$6:$D$35,MATCH($E330,单位档案!$A$6:$A$35,0)),"")))))</f>
        <v/>
      </c>
      <c r="J330" s="25" t="s">
        <v>579</v>
      </c>
      <c r="K330" s="22" t="s">
        <v>313</v>
      </c>
      <c r="L330" s="33" t="str">
        <f aca="false">IF($B330="","",IF(NOT(ISNUMBER($B330)),"日期格式不对",IF($C330="","未选项目编号",IF(LEFT($M330,1)="⚠","项目编号不存在",IF($D330="","未选业务类型",IF($E330="","未选开票/付款方",IF(ISNA(MATCH($E330,单位档案!$A$6:$A$35,0)),"开票方不在单位档案",IF($F330="","未选收票/收款方",IF(ISNA(MATCH($F330,单位档案!$A$6:$A$35,0)),"收款方不在单位档案",IF(NOT(ISNUMBER($H330)),"金额须为数字",IF(AND($D330="销项开票",$N330="—"),"链条待确认","√")))))))))))</f>
        <v>√</v>
      </c>
      <c r="M330" s="34" t="str">
        <f aca="false">IF($C330="","",IFERROR(INDEX(项目档案!$B$6:$B$255,MATCH($C330,项目档案!$A$6:$A$255,0)),"⚠项目编号不存在"))</f>
        <v>重庆民能实业有限公司2025-2026年度工程用施工机具等租赁服务框架采购（国网重庆铜梁公司110kV金湖东西电缆改造）</v>
      </c>
      <c r="N330" s="35" t="str">
        <f aca="false">IF($E330="","",IF($E330=IFERROR(INDEX(项目档案!$D$6:$D$255,MATCH($C330,项目档案!$A$6:$A$255,0)),""),"一级",IF($E330=IFERROR(INDEX(项目档案!$F$6:$F$255,MATCH($C330,项目档案!$A$6:$A$255,0)),""),"二级",IF($E330=IFERROR(INDEX(项目档案!$H$6:$H$255,MATCH($C330,项目档案!$A$6:$A$255,0)),""),"我方","—"))))</f>
        <v>一级</v>
      </c>
      <c r="O330" s="36" t="n">
        <f aca="false">IF($D330&lt;&gt;"销项开票",0,ROUND(N($H330)*N($I330),2))</f>
        <v>0</v>
      </c>
      <c r="P330" s="36" t="n">
        <f aca="false">IF($D330&lt;&gt;"销项开票",0,ROUND(N($H330)-$O330,2))</f>
        <v>0</v>
      </c>
      <c r="Q330" s="37" t="n">
        <f aca="false">IF($E330="","",N(IFERROR(INDEX(单位档案!$E$6:$E$35,MATCH($E330,单位档案!$A$6:$A$35,0)),"")))</f>
        <v>0.09</v>
      </c>
      <c r="R330" s="37" t="n">
        <f aca="false">IF($E330="","",N(IFERROR(INDEX(单位档案!$F$6:$F$35,MATCH($E330,单位档案!$A$6:$A$35,0)),"")))</f>
        <v>0.03</v>
      </c>
      <c r="S330" s="36" t="n">
        <f aca="false">IF(OR($D330&lt;&gt;"销项开票",IFERROR(INDEX(单位档案!$G$6:$G$35,MATCH($E330,单位档案!$A$6:$A$35,0)),"")&lt;&gt;"是",N($Q330)=0),0,IF(IFERROR(INDEX(单位档案!$H$6:$H$35,MATCH($E330,单位档案!$A$6:$A$35,0)),"")="税差法",ROUND(N($H330)/(1+$Q330)*$Q330-IF(N($R330)=0,0,$P330/(1+$R330)*$R330),2),ROUND(N($H330)/(1+$Q330)*$Q330,2)))</f>
        <v>0</v>
      </c>
      <c r="T330" s="36" t="n">
        <f aca="false">ROUND($S330*N(IFERROR(INDEX(单位档案!$J$6:$J$35,MATCH($E330,单位档案!$A$6:$A$35,0)),"")),2)</f>
        <v>0</v>
      </c>
      <c r="U330" s="36" t="n">
        <f aca="false">IF($D330&lt;&gt;"销项开票",0,ROUND(N($H330)*N(IFERROR(INDEX(单位档案!$K$6:$K$35,MATCH($E330,单位档案!$A$6:$A$35,0)),"")),2))</f>
        <v>0</v>
      </c>
      <c r="V330" s="36" t="n">
        <f aca="false">IF(OR($D330&lt;&gt;"销项开票",N($Q330)=0),0,ROUND(N($H330)/(1+$Q330)*N(IFERROR(INDEX(单位档案!$L$6:$L$35,MATCH($E330,单位档案!$A$6:$A$35,0)),"")),2))</f>
        <v>0</v>
      </c>
      <c r="W330" s="36" t="n">
        <f aca="false">ROUND($S330+$T330+$U330+$V330,2)</f>
        <v>0</v>
      </c>
      <c r="X330" s="35" t="n">
        <f aca="false">IF(OR($D330="挂靠代收",$D330="我方收款"),COUNTIFS($D$5:$D330,"挂靠代收")+COUNTIFS($D$5:$D330,"我方收款"),"")</f>
        <v>67</v>
      </c>
      <c r="Y330" s="35" t="s">
        <v>119</v>
      </c>
      <c r="Z330" s="21" t="s">
        <v>111</v>
      </c>
    </row>
    <row r="331" customFormat="false" ht="15.75" hidden="false" customHeight="true" outlineLevel="0" collapsed="false">
      <c r="A331" s="32" t="n">
        <f aca="false">IF($B331="","",ROW()-4)</f>
        <v>327</v>
      </c>
      <c r="B331" s="26" t="n">
        <v>46231</v>
      </c>
      <c r="C331" s="24" t="s">
        <v>150</v>
      </c>
      <c r="D331" s="21" t="s">
        <v>319</v>
      </c>
      <c r="E331" s="21" t="s">
        <v>97</v>
      </c>
      <c r="F331" s="21" t="s">
        <v>119</v>
      </c>
      <c r="G331" s="21"/>
      <c r="H331" s="27" t="n">
        <v>20250</v>
      </c>
      <c r="I331" s="23" t="str">
        <f aca="false">IF($D331&lt;&gt;"销项开票","",IF($N331="一级",IF(IFERROR(INDEX(项目档案!$E$6:$E$255,MATCH($C331,项目档案!$A$6:$A$255,0)),"")="",N(IFERROR(INDEX(单位档案!$D$6:$D$35,MATCH($E331,单位档案!$A$6:$A$35,0)),"")),IFERROR(INDEX(项目档案!$E$6:$E$255,MATCH($C331,项目档案!$A$6:$A$255,0)),"")),IF($N331="二级",IF(IFERROR(INDEX(项目档案!$G$6:$G$255,MATCH($C331,项目档案!$A$6:$A$255,0)),"")="",N(IFERROR(INDEX(单位档案!$D$6:$D$35,MATCH($E331,单位档案!$A$6:$A$35,0)),"")),IFERROR(INDEX(项目档案!$G$6:$G$255,MATCH($C331,项目档案!$A$6:$A$255,0)),"")),N(IFERROR(INDEX(单位档案!$D$6:$D$35,MATCH($E331,单位档案!$A$6:$A$35,0)),"")))))</f>
        <v/>
      </c>
      <c r="J331" s="25" t="s">
        <v>587</v>
      </c>
      <c r="K331" s="22" t="s">
        <v>313</v>
      </c>
      <c r="L331" s="33" t="str">
        <f aca="false">IF($B331="","",IF(NOT(ISNUMBER($B331)),"日期格式不对",IF($C331="","未选项目编号",IF(LEFT($M331,1)="⚠","项目编号不存在",IF($D331="","未选业务类型",IF($E331="","未选开票/付款方",IF(ISNA(MATCH($E331,单位档案!$A$6:$A$35,0)),"开票方不在单位档案",IF($F331="","未选收票/收款方",IF(ISNA(MATCH($F331,单位档案!$A$6:$A$35,0)),"收款方不在单位档案",IF(NOT(ISNUMBER($H331)),"金额须为数字",IF(AND($D331="销项开票",$N331="—"),"链条待确认","√")))))))))))</f>
        <v>√</v>
      </c>
      <c r="M331" s="34" t="str">
        <f aca="false">IF($C331="","",IFERROR(INDEX(项目档案!$B$6:$B$255,MATCH($C331,项目档案!$A$6:$A$255,0)),"⚠项目编号不存在"))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31" s="35" t="str">
        <f aca="false">IF($E331="","",IF($E331=IFERROR(INDEX(项目档案!$D$6:$D$255,MATCH($C331,项目档案!$A$6:$A$255,0)),""),"一级",IF($E331=IFERROR(INDEX(项目档案!$F$6:$F$255,MATCH($C331,项目档案!$A$6:$A$255,0)),""),"二级",IF($E331=IFERROR(INDEX(项目档案!$H$6:$H$255,MATCH($C331,项目档案!$A$6:$A$255,0)),""),"我方","—"))))</f>
        <v>—</v>
      </c>
      <c r="O331" s="36" t="n">
        <f aca="false">IF($D331&lt;&gt;"销项开票",0,ROUND(N($H331)*N($I331),2))</f>
        <v>0</v>
      </c>
      <c r="P331" s="36" t="n">
        <f aca="false">IF($D331&lt;&gt;"销项开票",0,ROUND(N($H331)-$O331,2))</f>
        <v>0</v>
      </c>
      <c r="Q331" s="37" t="n">
        <f aca="false">IF($E331="","",N(IFERROR(INDEX(单位档案!$E$6:$E$35,MATCH($E331,单位档案!$A$6:$A$35,0)),"")))</f>
        <v>0</v>
      </c>
      <c r="R331" s="37" t="n">
        <f aca="false">IF($E331="","",N(IFERROR(INDEX(单位档案!$F$6:$F$35,MATCH($E331,单位档案!$A$6:$A$35,0)),"")))</f>
        <v>0</v>
      </c>
      <c r="S331" s="36" t="n">
        <f aca="false">IF(OR($D331&lt;&gt;"销项开票",IFERROR(INDEX(单位档案!$G$6:$G$35,MATCH($E331,单位档案!$A$6:$A$35,0)),"")&lt;&gt;"是",N($Q331)=0),0,IF(IFERROR(INDEX(单位档案!$H$6:$H$35,MATCH($E331,单位档案!$A$6:$A$35,0)),"")="税差法",ROUND(N($H331)/(1+$Q331)*$Q331-IF(N($R331)=0,0,$P331/(1+$R331)*$R331),2),ROUND(N($H331)/(1+$Q331)*$Q331,2)))</f>
        <v>0</v>
      </c>
      <c r="T331" s="36" t="n">
        <f aca="false">ROUND($S331*N(IFERROR(INDEX(单位档案!$J$6:$J$35,MATCH($E331,单位档案!$A$6:$A$35,0)),"")),2)</f>
        <v>0</v>
      </c>
      <c r="U331" s="36" t="n">
        <f aca="false">IF($D331&lt;&gt;"销项开票",0,ROUND(N($H331)*N(IFERROR(INDEX(单位档案!$K$6:$K$35,MATCH($E331,单位档案!$A$6:$A$35,0)),"")),2))</f>
        <v>0</v>
      </c>
      <c r="V331" s="36" t="n">
        <f aca="false">IF(OR($D331&lt;&gt;"销项开票",N($Q331)=0),0,ROUND(N($H331)/(1+$Q331)*N(IFERROR(INDEX(单位档案!$L$6:$L$35,MATCH($E331,单位档案!$A$6:$A$35,0)),"")),2))</f>
        <v>0</v>
      </c>
      <c r="W331" s="36" t="n">
        <f aca="false">ROUND($S331+$T331+$U331+$V331,2)</f>
        <v>0</v>
      </c>
      <c r="X331" s="35" t="n">
        <f aca="false">IF(OR($D331="挂靠代收",$D331="我方收款"),COUNTIFS($D$5:$D331,"挂靠代收")+COUNTIFS($D$5:$D331,"我方收款"),"")</f>
        <v>68</v>
      </c>
      <c r="Y331" s="35" t="s">
        <v>119</v>
      </c>
      <c r="Z331" s="21" t="s">
        <v>111</v>
      </c>
    </row>
    <row r="332" customFormat="false" ht="15.75" hidden="false" customHeight="true" outlineLevel="0" collapsed="false">
      <c r="A332" s="32" t="n">
        <f aca="false">IF($B332="","",ROW()-4)</f>
        <v>328</v>
      </c>
      <c r="B332" s="26" t="n">
        <v>46231</v>
      </c>
      <c r="C332" s="24" t="s">
        <v>150</v>
      </c>
      <c r="D332" s="21" t="s">
        <v>320</v>
      </c>
      <c r="E332" s="21" t="s">
        <v>119</v>
      </c>
      <c r="F332" s="21" t="s">
        <v>127</v>
      </c>
      <c r="G332" s="21"/>
      <c r="H332" s="27" t="n">
        <v>20250</v>
      </c>
      <c r="I332" s="23" t="str">
        <f aca="false">IF($D332&lt;&gt;"销项开票","",IF($N332="一级",IF(IFERROR(INDEX(项目档案!$E$6:$E$255,MATCH($C332,项目档案!$A$6:$A$255,0)),"")="",N(IFERROR(INDEX(单位档案!$D$6:$D$35,MATCH($E332,单位档案!$A$6:$A$35,0)),"")),IFERROR(INDEX(项目档案!$E$6:$E$255,MATCH($C332,项目档案!$A$6:$A$255,0)),"")),IF($N332="二级",IF(IFERROR(INDEX(项目档案!$G$6:$G$255,MATCH($C332,项目档案!$A$6:$A$255,0)),"")="",N(IFERROR(INDEX(单位档案!$D$6:$D$35,MATCH($E332,单位档案!$A$6:$A$35,0)),"")),IFERROR(INDEX(项目档案!$G$6:$G$255,MATCH($C332,项目档案!$A$6:$A$255,0)),"")),N(IFERROR(INDEX(单位档案!$D$6:$D$35,MATCH($E332,单位档案!$A$6:$A$35,0)),"")))))</f>
        <v/>
      </c>
      <c r="J332" s="25" t="s">
        <v>587</v>
      </c>
      <c r="K332" s="22" t="s">
        <v>313</v>
      </c>
      <c r="L332" s="33" t="str">
        <f aca="false">IF($B332="","",IF(NOT(ISNUMBER($B332)),"日期格式不对",IF($C332="","未选项目编号",IF(LEFT($M332,1)="⚠","项目编号不存在",IF($D332="","未选业务类型",IF($E332="","未选开票/付款方",IF(ISNA(MATCH($E332,单位档案!$A$6:$A$35,0)),"开票方不在单位档案",IF($F332="","未选收票/收款方",IF(ISNA(MATCH($F332,单位档案!$A$6:$A$35,0)),"收款方不在单位档案",IF(NOT(ISNUMBER($H332)),"金额须为数字",IF(AND($D332="销项开票",$N332="—"),"链条待确认","√")))))))))))</f>
        <v>√</v>
      </c>
      <c r="M332" s="34" t="str">
        <f aca="false">IF($C332="","",IFERROR(INDEX(项目档案!$B$6:$B$255,MATCH($C332,项目档案!$A$6:$A$255,0)),"⚠项目编号不存在"))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32" s="35" t="str">
        <f aca="false">IF($E332="","",IF($E332=IFERROR(INDEX(项目档案!$D$6:$D$255,MATCH($C332,项目档案!$A$6:$A$255,0)),""),"一级",IF($E332=IFERROR(INDEX(项目档案!$F$6:$F$255,MATCH($C332,项目档案!$A$6:$A$255,0)),""),"二级",IF($E332=IFERROR(INDEX(项目档案!$H$6:$H$255,MATCH($C332,项目档案!$A$6:$A$255,0)),""),"我方","—"))))</f>
        <v>一级</v>
      </c>
      <c r="O332" s="36" t="n">
        <f aca="false">IF($D332&lt;&gt;"销项开票",0,ROUND(N($H332)*N($I332),2))</f>
        <v>0</v>
      </c>
      <c r="P332" s="36" t="n">
        <f aca="false">IF($D332&lt;&gt;"销项开票",0,ROUND(N($H332)-$O332,2))</f>
        <v>0</v>
      </c>
      <c r="Q332" s="37" t="n">
        <f aca="false">IF($E332="","",N(IFERROR(INDEX(单位档案!$E$6:$E$35,MATCH($E332,单位档案!$A$6:$A$35,0)),"")))</f>
        <v>0.09</v>
      </c>
      <c r="R332" s="37" t="n">
        <f aca="false">IF($E332="","",N(IFERROR(INDEX(单位档案!$F$6:$F$35,MATCH($E332,单位档案!$A$6:$A$35,0)),"")))</f>
        <v>0.03</v>
      </c>
      <c r="S332" s="36" t="n">
        <f aca="false">IF(OR($D332&lt;&gt;"销项开票",IFERROR(INDEX(单位档案!$G$6:$G$35,MATCH($E332,单位档案!$A$6:$A$35,0)),"")&lt;&gt;"是",N($Q332)=0),0,IF(IFERROR(INDEX(单位档案!$H$6:$H$35,MATCH($E332,单位档案!$A$6:$A$35,0)),"")="税差法",ROUND(N($H332)/(1+$Q332)*$Q332-IF(N($R332)=0,0,$P332/(1+$R332)*$R332),2),ROUND(N($H332)/(1+$Q332)*$Q332,2)))</f>
        <v>0</v>
      </c>
      <c r="T332" s="36" t="n">
        <f aca="false">ROUND($S332*N(IFERROR(INDEX(单位档案!$J$6:$J$35,MATCH($E332,单位档案!$A$6:$A$35,0)),"")),2)</f>
        <v>0</v>
      </c>
      <c r="U332" s="36" t="n">
        <f aca="false">IF($D332&lt;&gt;"销项开票",0,ROUND(N($H332)*N(IFERROR(INDEX(单位档案!$K$6:$K$35,MATCH($E332,单位档案!$A$6:$A$35,0)),"")),2))</f>
        <v>0</v>
      </c>
      <c r="V332" s="36" t="n">
        <f aca="false">IF(OR($D332&lt;&gt;"销项开票",N($Q332)=0),0,ROUND(N($H332)/(1+$Q332)*N(IFERROR(INDEX(单位档案!$L$6:$L$35,MATCH($E332,单位档案!$A$6:$A$35,0)),"")),2))</f>
        <v>0</v>
      </c>
      <c r="W332" s="36" t="n">
        <f aca="false">ROUND($S332+$T332+$U332+$V332,2)</f>
        <v>0</v>
      </c>
      <c r="X332" s="35" t="n">
        <f aca="false">IF(OR($D332="挂靠代收",$D332="我方收款"),COUNTIFS($D$5:$D332,"挂靠代收")+COUNTIFS($D$5:$D332,"我方收款"),"")</f>
        <v>69</v>
      </c>
      <c r="Y332" s="35" t="s">
        <v>119</v>
      </c>
      <c r="Z332" s="21" t="s">
        <v>111</v>
      </c>
    </row>
    <row r="333" customFormat="false" ht="15.75" hidden="false" customHeight="true" outlineLevel="0" collapsed="false">
      <c r="A333" s="32" t="n">
        <f aca="false">IF($B333="","",ROW()-4)</f>
        <v>329</v>
      </c>
      <c r="B333" s="26" t="n">
        <v>46231</v>
      </c>
      <c r="C333" s="24" t="s">
        <v>150</v>
      </c>
      <c r="D333" s="21" t="s">
        <v>319</v>
      </c>
      <c r="E333" s="21" t="s">
        <v>97</v>
      </c>
      <c r="F333" s="21" t="s">
        <v>119</v>
      </c>
      <c r="G333" s="21"/>
      <c r="H333" s="27" t="n">
        <v>15690</v>
      </c>
      <c r="I333" s="23" t="str">
        <f aca="false">IF($D333&lt;&gt;"销项开票","",IF($N333="一级",IF(IFERROR(INDEX(项目档案!$E$6:$E$255,MATCH($C333,项目档案!$A$6:$A$255,0)),"")="",N(IFERROR(INDEX(单位档案!$D$6:$D$35,MATCH($E333,单位档案!$A$6:$A$35,0)),"")),IFERROR(INDEX(项目档案!$E$6:$E$255,MATCH($C333,项目档案!$A$6:$A$255,0)),"")),IF($N333="二级",IF(IFERROR(INDEX(项目档案!$G$6:$G$255,MATCH($C333,项目档案!$A$6:$A$255,0)),"")="",N(IFERROR(INDEX(单位档案!$D$6:$D$35,MATCH($E333,单位档案!$A$6:$A$35,0)),"")),IFERROR(INDEX(项目档案!$G$6:$G$255,MATCH($C333,项目档案!$A$6:$A$255,0)),"")),N(IFERROR(INDEX(单位档案!$D$6:$D$35,MATCH($E333,单位档案!$A$6:$A$35,0)),"")))))</f>
        <v/>
      </c>
      <c r="J333" s="25" t="s">
        <v>588</v>
      </c>
      <c r="K333" s="22" t="s">
        <v>313</v>
      </c>
      <c r="L333" s="33" t="str">
        <f aca="false">IF($B333="","",IF(NOT(ISNUMBER($B333)),"日期格式不对",IF($C333="","未选项目编号",IF(LEFT($M333,1)="⚠","项目编号不存在",IF($D333="","未选业务类型",IF($E333="","未选开票/付款方",IF(ISNA(MATCH($E333,单位档案!$A$6:$A$35,0)),"开票方不在单位档案",IF($F333="","未选收票/收款方",IF(ISNA(MATCH($F333,单位档案!$A$6:$A$35,0)),"收款方不在单位档案",IF(NOT(ISNUMBER($H333)),"金额须为数字",IF(AND($D333="销项开票",$N333="—"),"链条待确认","√")))))))))))</f>
        <v>√</v>
      </c>
      <c r="M333" s="34" t="str">
        <f aca="false">IF($C333="","",IFERROR(INDEX(项目档案!$B$6:$B$255,MATCH($C333,项目档案!$A$6:$A$255,0)),"⚠项目编号不存在"))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33" s="35" t="str">
        <f aca="false">IF($E333="","",IF($E333=IFERROR(INDEX(项目档案!$D$6:$D$255,MATCH($C333,项目档案!$A$6:$A$255,0)),""),"一级",IF($E333=IFERROR(INDEX(项目档案!$F$6:$F$255,MATCH($C333,项目档案!$A$6:$A$255,0)),""),"二级",IF($E333=IFERROR(INDEX(项目档案!$H$6:$H$255,MATCH($C333,项目档案!$A$6:$A$255,0)),""),"我方","—"))))</f>
        <v>—</v>
      </c>
      <c r="O333" s="36" t="n">
        <f aca="false">IF($D333&lt;&gt;"销项开票",0,ROUND(N($H333)*N($I333),2))</f>
        <v>0</v>
      </c>
      <c r="P333" s="36" t="n">
        <f aca="false">IF($D333&lt;&gt;"销项开票",0,ROUND(N($H333)-$O333,2))</f>
        <v>0</v>
      </c>
      <c r="Q333" s="37" t="n">
        <f aca="false">IF($E333="","",N(IFERROR(INDEX(单位档案!$E$6:$E$35,MATCH($E333,单位档案!$A$6:$A$35,0)),"")))</f>
        <v>0</v>
      </c>
      <c r="R333" s="37" t="n">
        <f aca="false">IF($E333="","",N(IFERROR(INDEX(单位档案!$F$6:$F$35,MATCH($E333,单位档案!$A$6:$A$35,0)),"")))</f>
        <v>0</v>
      </c>
      <c r="S333" s="36" t="n">
        <f aca="false">IF(OR($D333&lt;&gt;"销项开票",IFERROR(INDEX(单位档案!$G$6:$G$35,MATCH($E333,单位档案!$A$6:$A$35,0)),"")&lt;&gt;"是",N($Q333)=0),0,IF(IFERROR(INDEX(单位档案!$H$6:$H$35,MATCH($E333,单位档案!$A$6:$A$35,0)),"")="税差法",ROUND(N($H333)/(1+$Q333)*$Q333-IF(N($R333)=0,0,$P333/(1+$R333)*$R333),2),ROUND(N($H333)/(1+$Q333)*$Q333,2)))</f>
        <v>0</v>
      </c>
      <c r="T333" s="36" t="n">
        <f aca="false">ROUND($S333*N(IFERROR(INDEX(单位档案!$J$6:$J$35,MATCH($E333,单位档案!$A$6:$A$35,0)),"")),2)</f>
        <v>0</v>
      </c>
      <c r="U333" s="36" t="n">
        <f aca="false">IF($D333&lt;&gt;"销项开票",0,ROUND(N($H333)*N(IFERROR(INDEX(单位档案!$K$6:$K$35,MATCH($E333,单位档案!$A$6:$A$35,0)),"")),2))</f>
        <v>0</v>
      </c>
      <c r="V333" s="36" t="n">
        <f aca="false">IF(OR($D333&lt;&gt;"销项开票",N($Q333)=0),0,ROUND(N($H333)/(1+$Q333)*N(IFERROR(INDEX(单位档案!$L$6:$L$35,MATCH($E333,单位档案!$A$6:$A$35,0)),"")),2))</f>
        <v>0</v>
      </c>
      <c r="W333" s="36" t="n">
        <f aca="false">ROUND($S333+$T333+$U333+$V333,2)</f>
        <v>0</v>
      </c>
      <c r="X333" s="35" t="n">
        <f aca="false">IF(OR($D333="挂靠代收",$D333="我方收款"),COUNTIFS($D$5:$D333,"挂靠代收")+COUNTIFS($D$5:$D333,"我方收款"),"")</f>
        <v>70</v>
      </c>
      <c r="Y333" s="35" t="s">
        <v>119</v>
      </c>
      <c r="Z333" s="21" t="s">
        <v>111</v>
      </c>
    </row>
    <row r="334" customFormat="false" ht="15.75" hidden="false" customHeight="true" outlineLevel="0" collapsed="false">
      <c r="A334" s="32" t="n">
        <f aca="false">IF($B334="","",ROW()-4)</f>
        <v>330</v>
      </c>
      <c r="B334" s="26" t="n">
        <v>46231</v>
      </c>
      <c r="C334" s="24" t="s">
        <v>150</v>
      </c>
      <c r="D334" s="21" t="s">
        <v>320</v>
      </c>
      <c r="E334" s="21" t="s">
        <v>119</v>
      </c>
      <c r="F334" s="21" t="s">
        <v>127</v>
      </c>
      <c r="G334" s="21"/>
      <c r="H334" s="27" t="n">
        <v>15690</v>
      </c>
      <c r="I334" s="23" t="str">
        <f aca="false">IF($D334&lt;&gt;"销项开票","",IF($N334="一级",IF(IFERROR(INDEX(项目档案!$E$6:$E$255,MATCH($C334,项目档案!$A$6:$A$255,0)),"")="",N(IFERROR(INDEX(单位档案!$D$6:$D$35,MATCH($E334,单位档案!$A$6:$A$35,0)),"")),IFERROR(INDEX(项目档案!$E$6:$E$255,MATCH($C334,项目档案!$A$6:$A$255,0)),"")),IF($N334="二级",IF(IFERROR(INDEX(项目档案!$G$6:$G$255,MATCH($C334,项目档案!$A$6:$A$255,0)),"")="",N(IFERROR(INDEX(单位档案!$D$6:$D$35,MATCH($E334,单位档案!$A$6:$A$35,0)),"")),IFERROR(INDEX(项目档案!$G$6:$G$255,MATCH($C334,项目档案!$A$6:$A$255,0)),"")),N(IFERROR(INDEX(单位档案!$D$6:$D$35,MATCH($E334,单位档案!$A$6:$A$35,0)),"")))))</f>
        <v/>
      </c>
      <c r="J334" s="25" t="s">
        <v>588</v>
      </c>
      <c r="K334" s="22" t="s">
        <v>313</v>
      </c>
      <c r="L334" s="33" t="str">
        <f aca="false">IF($B334="","",IF(NOT(ISNUMBER($B334)),"日期格式不对",IF($C334="","未选项目编号",IF(LEFT($M334,1)="⚠","项目编号不存在",IF($D334="","未选业务类型",IF($E334="","未选开票/付款方",IF(ISNA(MATCH($E334,单位档案!$A$6:$A$35,0)),"开票方不在单位档案",IF($F334="","未选收票/收款方",IF(ISNA(MATCH($F334,单位档案!$A$6:$A$35,0)),"收款方不在单位档案",IF(NOT(ISNUMBER($H334)),"金额须为数字",IF(AND($D334="销项开票",$N334="—"),"链条待确认","√")))))))))))</f>
        <v>√</v>
      </c>
      <c r="M334" s="34" t="str">
        <f aca="false">IF($C334="","",IFERROR(INDEX(项目档案!$B$6:$B$255,MATCH($C334,项目档案!$A$6:$A$255,0)),"⚠项目编号不存在"))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34" s="35" t="str">
        <f aca="false">IF($E334="","",IF($E334=IFERROR(INDEX(项目档案!$D$6:$D$255,MATCH($C334,项目档案!$A$6:$A$255,0)),""),"一级",IF($E334=IFERROR(INDEX(项目档案!$F$6:$F$255,MATCH($C334,项目档案!$A$6:$A$255,0)),""),"二级",IF($E334=IFERROR(INDEX(项目档案!$H$6:$H$255,MATCH($C334,项目档案!$A$6:$A$255,0)),""),"我方","—"))))</f>
        <v>一级</v>
      </c>
      <c r="O334" s="36" t="n">
        <f aca="false">IF($D334&lt;&gt;"销项开票",0,ROUND(N($H334)*N($I334),2))</f>
        <v>0</v>
      </c>
      <c r="P334" s="36" t="n">
        <f aca="false">IF($D334&lt;&gt;"销项开票",0,ROUND(N($H334)-$O334,2))</f>
        <v>0</v>
      </c>
      <c r="Q334" s="37" t="n">
        <f aca="false">IF($E334="","",N(IFERROR(INDEX(单位档案!$E$6:$E$35,MATCH($E334,单位档案!$A$6:$A$35,0)),"")))</f>
        <v>0.09</v>
      </c>
      <c r="R334" s="37" t="n">
        <f aca="false">IF($E334="","",N(IFERROR(INDEX(单位档案!$F$6:$F$35,MATCH($E334,单位档案!$A$6:$A$35,0)),"")))</f>
        <v>0.03</v>
      </c>
      <c r="S334" s="36" t="n">
        <f aca="false">IF(OR($D334&lt;&gt;"销项开票",IFERROR(INDEX(单位档案!$G$6:$G$35,MATCH($E334,单位档案!$A$6:$A$35,0)),"")&lt;&gt;"是",N($Q334)=0),0,IF(IFERROR(INDEX(单位档案!$H$6:$H$35,MATCH($E334,单位档案!$A$6:$A$35,0)),"")="税差法",ROUND(N($H334)/(1+$Q334)*$Q334-IF(N($R334)=0,0,$P334/(1+$R334)*$R334),2),ROUND(N($H334)/(1+$Q334)*$Q334,2)))</f>
        <v>0</v>
      </c>
      <c r="T334" s="36" t="n">
        <f aca="false">ROUND($S334*N(IFERROR(INDEX(单位档案!$J$6:$J$35,MATCH($E334,单位档案!$A$6:$A$35,0)),"")),2)</f>
        <v>0</v>
      </c>
      <c r="U334" s="36" t="n">
        <f aca="false">IF($D334&lt;&gt;"销项开票",0,ROUND(N($H334)*N(IFERROR(INDEX(单位档案!$K$6:$K$35,MATCH($E334,单位档案!$A$6:$A$35,0)),"")),2))</f>
        <v>0</v>
      </c>
      <c r="V334" s="36" t="n">
        <f aca="false">IF(OR($D334&lt;&gt;"销项开票",N($Q334)=0),0,ROUND(N($H334)/(1+$Q334)*N(IFERROR(INDEX(单位档案!$L$6:$L$35,MATCH($E334,单位档案!$A$6:$A$35,0)),"")),2))</f>
        <v>0</v>
      </c>
      <c r="W334" s="36" t="n">
        <f aca="false">ROUND($S334+$T334+$U334+$V334,2)</f>
        <v>0</v>
      </c>
      <c r="X334" s="35" t="n">
        <f aca="false">IF(OR($D334="挂靠代收",$D334="我方收款"),COUNTIFS($D$5:$D334,"挂靠代收")+COUNTIFS($D$5:$D334,"我方收款"),"")</f>
        <v>71</v>
      </c>
      <c r="Y334" s="35" t="s">
        <v>119</v>
      </c>
      <c r="Z334" s="21" t="s">
        <v>111</v>
      </c>
    </row>
    <row r="335" customFormat="false" ht="15.75" hidden="false" customHeight="true" outlineLevel="0" collapsed="false">
      <c r="A335" s="32" t="n">
        <f aca="false">IF($B335="","",ROW()-4)</f>
        <v>331</v>
      </c>
      <c r="B335" s="26" t="n">
        <v>46231</v>
      </c>
      <c r="C335" s="24" t="s">
        <v>150</v>
      </c>
      <c r="D335" s="21" t="s">
        <v>319</v>
      </c>
      <c r="E335" s="21" t="s">
        <v>97</v>
      </c>
      <c r="F335" s="21" t="s">
        <v>119</v>
      </c>
      <c r="G335" s="21"/>
      <c r="H335" s="27" t="n">
        <v>3500</v>
      </c>
      <c r="I335" s="23" t="str">
        <f aca="false">IF($D335&lt;&gt;"销项开票","",IF($N335="一级",IF(IFERROR(INDEX(项目档案!$E$6:$E$255,MATCH($C335,项目档案!$A$6:$A$255,0)),"")="",N(IFERROR(INDEX(单位档案!$D$6:$D$35,MATCH($E335,单位档案!$A$6:$A$35,0)),"")),IFERROR(INDEX(项目档案!$E$6:$E$255,MATCH($C335,项目档案!$A$6:$A$255,0)),"")),IF($N335="二级",IF(IFERROR(INDEX(项目档案!$G$6:$G$255,MATCH($C335,项目档案!$A$6:$A$255,0)),"")="",N(IFERROR(INDEX(单位档案!$D$6:$D$35,MATCH($E335,单位档案!$A$6:$A$35,0)),"")),IFERROR(INDEX(项目档案!$G$6:$G$255,MATCH($C335,项目档案!$A$6:$A$255,0)),"")),N(IFERROR(INDEX(单位档案!$D$6:$D$35,MATCH($E335,单位档案!$A$6:$A$35,0)),"")))))</f>
        <v/>
      </c>
      <c r="J335" s="25" t="s">
        <v>589</v>
      </c>
      <c r="K335" s="22" t="s">
        <v>313</v>
      </c>
      <c r="L335" s="33" t="str">
        <f aca="false">IF($B335="","",IF(NOT(ISNUMBER($B335)),"日期格式不对",IF($C335="","未选项目编号",IF(LEFT($M335,1)="⚠","项目编号不存在",IF($D335="","未选业务类型",IF($E335="","未选开票/付款方",IF(ISNA(MATCH($E335,单位档案!$A$6:$A$35,0)),"开票方不在单位档案",IF($F335="","未选收票/收款方",IF(ISNA(MATCH($F335,单位档案!$A$6:$A$35,0)),"收款方不在单位档案",IF(NOT(ISNUMBER($H335)),"金额须为数字",IF(AND($D335="销项开票",$N335="—"),"链条待确认","√")))))))))))</f>
        <v>√</v>
      </c>
      <c r="M335" s="34" t="str">
        <f aca="false">IF($C335="","",IFERROR(INDEX(项目档案!$B$6:$B$255,MATCH($C335,项目档案!$A$6:$A$255,0)),"⚠项目编号不存在"))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35" s="35" t="str">
        <f aca="false">IF($E335="","",IF($E335=IFERROR(INDEX(项目档案!$D$6:$D$255,MATCH($C335,项目档案!$A$6:$A$255,0)),""),"一级",IF($E335=IFERROR(INDEX(项目档案!$F$6:$F$255,MATCH($C335,项目档案!$A$6:$A$255,0)),""),"二级",IF($E335=IFERROR(INDEX(项目档案!$H$6:$H$255,MATCH($C335,项目档案!$A$6:$A$255,0)),""),"我方","—"))))</f>
        <v>—</v>
      </c>
      <c r="O335" s="36" t="n">
        <f aca="false">IF($D335&lt;&gt;"销项开票",0,ROUND(N($H335)*N($I335),2))</f>
        <v>0</v>
      </c>
      <c r="P335" s="36" t="n">
        <f aca="false">IF($D335&lt;&gt;"销项开票",0,ROUND(N($H335)-$O335,2))</f>
        <v>0</v>
      </c>
      <c r="Q335" s="37" t="n">
        <f aca="false">IF($E335="","",N(IFERROR(INDEX(单位档案!$E$6:$E$35,MATCH($E335,单位档案!$A$6:$A$35,0)),"")))</f>
        <v>0</v>
      </c>
      <c r="R335" s="37" t="n">
        <f aca="false">IF($E335="","",N(IFERROR(INDEX(单位档案!$F$6:$F$35,MATCH($E335,单位档案!$A$6:$A$35,0)),"")))</f>
        <v>0</v>
      </c>
      <c r="S335" s="36" t="n">
        <f aca="false">IF(OR($D335&lt;&gt;"销项开票",IFERROR(INDEX(单位档案!$G$6:$G$35,MATCH($E335,单位档案!$A$6:$A$35,0)),"")&lt;&gt;"是",N($Q335)=0),0,IF(IFERROR(INDEX(单位档案!$H$6:$H$35,MATCH($E335,单位档案!$A$6:$A$35,0)),"")="税差法",ROUND(N($H335)/(1+$Q335)*$Q335-IF(N($R335)=0,0,$P335/(1+$R335)*$R335),2),ROUND(N($H335)/(1+$Q335)*$Q335,2)))</f>
        <v>0</v>
      </c>
      <c r="T335" s="36" t="n">
        <f aca="false">ROUND($S335*N(IFERROR(INDEX(单位档案!$J$6:$J$35,MATCH($E335,单位档案!$A$6:$A$35,0)),"")),2)</f>
        <v>0</v>
      </c>
      <c r="U335" s="36" t="n">
        <f aca="false">IF($D335&lt;&gt;"销项开票",0,ROUND(N($H335)*N(IFERROR(INDEX(单位档案!$K$6:$K$35,MATCH($E335,单位档案!$A$6:$A$35,0)),"")),2))</f>
        <v>0</v>
      </c>
      <c r="V335" s="36" t="n">
        <f aca="false">IF(OR($D335&lt;&gt;"销项开票",N($Q335)=0),0,ROUND(N($H335)/(1+$Q335)*N(IFERROR(INDEX(单位档案!$L$6:$L$35,MATCH($E335,单位档案!$A$6:$A$35,0)),"")),2))</f>
        <v>0</v>
      </c>
      <c r="W335" s="36" t="n">
        <f aca="false">ROUND($S335+$T335+$U335+$V335,2)</f>
        <v>0</v>
      </c>
      <c r="X335" s="35" t="n">
        <f aca="false">IF(OR($D335="挂靠代收",$D335="我方收款"),COUNTIFS($D$5:$D335,"挂靠代收")+COUNTIFS($D$5:$D335,"我方收款"),"")</f>
        <v>72</v>
      </c>
      <c r="Y335" s="35" t="s">
        <v>119</v>
      </c>
      <c r="Z335" s="21" t="s">
        <v>111</v>
      </c>
    </row>
    <row r="336" customFormat="false" ht="15.75" hidden="false" customHeight="true" outlineLevel="0" collapsed="false">
      <c r="A336" s="32" t="n">
        <f aca="false">IF($B336="","",ROW()-4)</f>
        <v>332</v>
      </c>
      <c r="B336" s="26" t="n">
        <v>46231</v>
      </c>
      <c r="C336" s="24" t="s">
        <v>150</v>
      </c>
      <c r="D336" s="21" t="s">
        <v>320</v>
      </c>
      <c r="E336" s="21" t="s">
        <v>119</v>
      </c>
      <c r="F336" s="21" t="s">
        <v>127</v>
      </c>
      <c r="G336" s="21"/>
      <c r="H336" s="27" t="n">
        <v>3500</v>
      </c>
      <c r="I336" s="23" t="str">
        <f aca="false">IF($D336&lt;&gt;"销项开票","",IF($N336="一级",IF(IFERROR(INDEX(项目档案!$E$6:$E$255,MATCH($C336,项目档案!$A$6:$A$255,0)),"")="",N(IFERROR(INDEX(单位档案!$D$6:$D$35,MATCH($E336,单位档案!$A$6:$A$35,0)),"")),IFERROR(INDEX(项目档案!$E$6:$E$255,MATCH($C336,项目档案!$A$6:$A$255,0)),"")),IF($N336="二级",IF(IFERROR(INDEX(项目档案!$G$6:$G$255,MATCH($C336,项目档案!$A$6:$A$255,0)),"")="",N(IFERROR(INDEX(单位档案!$D$6:$D$35,MATCH($E336,单位档案!$A$6:$A$35,0)),"")),IFERROR(INDEX(项目档案!$G$6:$G$255,MATCH($C336,项目档案!$A$6:$A$255,0)),"")),N(IFERROR(INDEX(单位档案!$D$6:$D$35,MATCH($E336,单位档案!$A$6:$A$35,0)),"")))))</f>
        <v/>
      </c>
      <c r="J336" s="25" t="s">
        <v>589</v>
      </c>
      <c r="K336" s="22" t="s">
        <v>313</v>
      </c>
      <c r="L336" s="33" t="str">
        <f aca="false">IF($B336="","",IF(NOT(ISNUMBER($B336)),"日期格式不对",IF($C336="","未选项目编号",IF(LEFT($M336,1)="⚠","项目编号不存在",IF($D336="","未选业务类型",IF($E336="","未选开票/付款方",IF(ISNA(MATCH($E336,单位档案!$A$6:$A$35,0)),"开票方不在单位档案",IF($F336="","未选收票/收款方",IF(ISNA(MATCH($F336,单位档案!$A$6:$A$35,0)),"收款方不在单位档案",IF(NOT(ISNUMBER($H336)),"金额须为数字",IF(AND($D336="销项开票",$N336="—"),"链条待确认","√")))))))))))</f>
        <v>√</v>
      </c>
      <c r="M336" s="34" t="str">
        <f aca="false">IF($C336="","",IFERROR(INDEX(项目档案!$B$6:$B$255,MATCH($C336,项目档案!$A$6:$A$255,0)),"⚠项目编号不存在"))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36" s="35" t="str">
        <f aca="false">IF($E336="","",IF($E336=IFERROR(INDEX(项目档案!$D$6:$D$255,MATCH($C336,项目档案!$A$6:$A$255,0)),""),"一级",IF($E336=IFERROR(INDEX(项目档案!$F$6:$F$255,MATCH($C336,项目档案!$A$6:$A$255,0)),""),"二级",IF($E336=IFERROR(INDEX(项目档案!$H$6:$H$255,MATCH($C336,项目档案!$A$6:$A$255,0)),""),"我方","—"))))</f>
        <v>一级</v>
      </c>
      <c r="O336" s="36" t="n">
        <f aca="false">IF($D336&lt;&gt;"销项开票",0,ROUND(N($H336)*N($I336),2))</f>
        <v>0</v>
      </c>
      <c r="P336" s="36" t="n">
        <f aca="false">IF($D336&lt;&gt;"销项开票",0,ROUND(N($H336)-$O336,2))</f>
        <v>0</v>
      </c>
      <c r="Q336" s="37" t="n">
        <f aca="false">IF($E336="","",N(IFERROR(INDEX(单位档案!$E$6:$E$35,MATCH($E336,单位档案!$A$6:$A$35,0)),"")))</f>
        <v>0.09</v>
      </c>
      <c r="R336" s="37" t="n">
        <f aca="false">IF($E336="","",N(IFERROR(INDEX(单位档案!$F$6:$F$35,MATCH($E336,单位档案!$A$6:$A$35,0)),"")))</f>
        <v>0.03</v>
      </c>
      <c r="S336" s="36" t="n">
        <f aca="false">IF(OR($D336&lt;&gt;"销项开票",IFERROR(INDEX(单位档案!$G$6:$G$35,MATCH($E336,单位档案!$A$6:$A$35,0)),"")&lt;&gt;"是",N($Q336)=0),0,IF(IFERROR(INDEX(单位档案!$H$6:$H$35,MATCH($E336,单位档案!$A$6:$A$35,0)),"")="税差法",ROUND(N($H336)/(1+$Q336)*$Q336-IF(N($R336)=0,0,$P336/(1+$R336)*$R336),2),ROUND(N($H336)/(1+$Q336)*$Q336,2)))</f>
        <v>0</v>
      </c>
      <c r="T336" s="36" t="n">
        <f aca="false">ROUND($S336*N(IFERROR(INDEX(单位档案!$J$6:$J$35,MATCH($E336,单位档案!$A$6:$A$35,0)),"")),2)</f>
        <v>0</v>
      </c>
      <c r="U336" s="36" t="n">
        <f aca="false">IF($D336&lt;&gt;"销项开票",0,ROUND(N($H336)*N(IFERROR(INDEX(单位档案!$K$6:$K$35,MATCH($E336,单位档案!$A$6:$A$35,0)),"")),2))</f>
        <v>0</v>
      </c>
      <c r="V336" s="36" t="n">
        <f aca="false">IF(OR($D336&lt;&gt;"销项开票",N($Q336)=0),0,ROUND(N($H336)/(1+$Q336)*N(IFERROR(INDEX(单位档案!$L$6:$L$35,MATCH($E336,单位档案!$A$6:$A$35,0)),"")),2))</f>
        <v>0</v>
      </c>
      <c r="W336" s="36" t="n">
        <f aca="false">ROUND($S336+$T336+$U336+$V336,2)</f>
        <v>0</v>
      </c>
      <c r="X336" s="35" t="n">
        <f aca="false">IF(OR($D336="挂靠代收",$D336="我方收款"),COUNTIFS($D$5:$D336,"挂靠代收")+COUNTIFS($D$5:$D336,"我方收款"),"")</f>
        <v>73</v>
      </c>
      <c r="Y336" s="35" t="s">
        <v>119</v>
      </c>
      <c r="Z336" s="21" t="s">
        <v>111</v>
      </c>
    </row>
    <row r="337" customFormat="false" ht="15.75" hidden="false" customHeight="true" outlineLevel="0" collapsed="false">
      <c r="A337" s="32" t="n">
        <f aca="false">IF($B337="","",ROW()-4)</f>
        <v>333</v>
      </c>
      <c r="B337" s="26" t="n">
        <v>46231</v>
      </c>
      <c r="C337" s="24" t="s">
        <v>150</v>
      </c>
      <c r="D337" s="21" t="s">
        <v>319</v>
      </c>
      <c r="E337" s="21" t="s">
        <v>97</v>
      </c>
      <c r="F337" s="21" t="s">
        <v>119</v>
      </c>
      <c r="G337" s="21"/>
      <c r="H337" s="27" t="n">
        <v>9120</v>
      </c>
      <c r="I337" s="23" t="str">
        <f aca="false">IF($D337&lt;&gt;"销项开票","",IF($N337="一级",IF(IFERROR(INDEX(项目档案!$E$6:$E$255,MATCH($C337,项目档案!$A$6:$A$255,0)),"")="",N(IFERROR(INDEX(单位档案!$D$6:$D$35,MATCH($E337,单位档案!$A$6:$A$35,0)),"")),IFERROR(INDEX(项目档案!$E$6:$E$255,MATCH($C337,项目档案!$A$6:$A$255,0)),"")),IF($N337="二级",IF(IFERROR(INDEX(项目档案!$G$6:$G$255,MATCH($C337,项目档案!$A$6:$A$255,0)),"")="",N(IFERROR(INDEX(单位档案!$D$6:$D$35,MATCH($E337,单位档案!$A$6:$A$35,0)),"")),IFERROR(INDEX(项目档案!$G$6:$G$255,MATCH($C337,项目档案!$A$6:$A$255,0)),"")),N(IFERROR(INDEX(单位档案!$D$6:$D$35,MATCH($E337,单位档案!$A$6:$A$35,0)),"")))))</f>
        <v/>
      </c>
      <c r="J337" s="25" t="s">
        <v>590</v>
      </c>
      <c r="K337" s="22" t="s">
        <v>313</v>
      </c>
      <c r="L337" s="33" t="str">
        <f aca="false">IF($B337="","",IF(NOT(ISNUMBER($B337)),"日期格式不对",IF($C337="","未选项目编号",IF(LEFT($M337,1)="⚠","项目编号不存在",IF($D337="","未选业务类型",IF($E337="","未选开票/付款方",IF(ISNA(MATCH($E337,单位档案!$A$6:$A$35,0)),"开票方不在单位档案",IF($F337="","未选收票/收款方",IF(ISNA(MATCH($F337,单位档案!$A$6:$A$35,0)),"收款方不在单位档案",IF(NOT(ISNUMBER($H337)),"金额须为数字",IF(AND($D337="销项开票",$N337="—"),"链条待确认","√")))))))))))</f>
        <v>√</v>
      </c>
      <c r="M337" s="34" t="str">
        <f aca="false">IF($C337="","",IFERROR(INDEX(项目档案!$B$6:$B$255,MATCH($C337,项目档案!$A$6:$A$255,0)),"⚠项目编号不存在"))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37" s="35" t="str">
        <f aca="false">IF($E337="","",IF($E337=IFERROR(INDEX(项目档案!$D$6:$D$255,MATCH($C337,项目档案!$A$6:$A$255,0)),""),"一级",IF($E337=IFERROR(INDEX(项目档案!$F$6:$F$255,MATCH($C337,项目档案!$A$6:$A$255,0)),""),"二级",IF($E337=IFERROR(INDEX(项目档案!$H$6:$H$255,MATCH($C337,项目档案!$A$6:$A$255,0)),""),"我方","—"))))</f>
        <v>—</v>
      </c>
      <c r="O337" s="36" t="n">
        <f aca="false">IF($D337&lt;&gt;"销项开票",0,ROUND(N($H337)*N($I337),2))</f>
        <v>0</v>
      </c>
      <c r="P337" s="36" t="n">
        <f aca="false">IF($D337&lt;&gt;"销项开票",0,ROUND(N($H337)-$O337,2))</f>
        <v>0</v>
      </c>
      <c r="Q337" s="37" t="n">
        <f aca="false">IF($E337="","",N(IFERROR(INDEX(单位档案!$E$6:$E$35,MATCH($E337,单位档案!$A$6:$A$35,0)),"")))</f>
        <v>0</v>
      </c>
      <c r="R337" s="37" t="n">
        <f aca="false">IF($E337="","",N(IFERROR(INDEX(单位档案!$F$6:$F$35,MATCH($E337,单位档案!$A$6:$A$35,0)),"")))</f>
        <v>0</v>
      </c>
      <c r="S337" s="36" t="n">
        <f aca="false">IF(OR($D337&lt;&gt;"销项开票",IFERROR(INDEX(单位档案!$G$6:$G$35,MATCH($E337,单位档案!$A$6:$A$35,0)),"")&lt;&gt;"是",N($Q337)=0),0,IF(IFERROR(INDEX(单位档案!$H$6:$H$35,MATCH($E337,单位档案!$A$6:$A$35,0)),"")="税差法",ROUND(N($H337)/(1+$Q337)*$Q337-IF(N($R337)=0,0,$P337/(1+$R337)*$R337),2),ROUND(N($H337)/(1+$Q337)*$Q337,2)))</f>
        <v>0</v>
      </c>
      <c r="T337" s="36" t="n">
        <f aca="false">ROUND($S337*N(IFERROR(INDEX(单位档案!$J$6:$J$35,MATCH($E337,单位档案!$A$6:$A$35,0)),"")),2)</f>
        <v>0</v>
      </c>
      <c r="U337" s="36" t="n">
        <f aca="false">IF($D337&lt;&gt;"销项开票",0,ROUND(N($H337)*N(IFERROR(INDEX(单位档案!$K$6:$K$35,MATCH($E337,单位档案!$A$6:$A$35,0)),"")),2))</f>
        <v>0</v>
      </c>
      <c r="V337" s="36" t="n">
        <f aca="false">IF(OR($D337&lt;&gt;"销项开票",N($Q337)=0),0,ROUND(N($H337)/(1+$Q337)*N(IFERROR(INDEX(单位档案!$L$6:$L$35,MATCH($E337,单位档案!$A$6:$A$35,0)),"")),2))</f>
        <v>0</v>
      </c>
      <c r="W337" s="36" t="n">
        <f aca="false">ROUND($S337+$T337+$U337+$V337,2)</f>
        <v>0</v>
      </c>
      <c r="X337" s="35" t="n">
        <f aca="false">IF(OR($D337="挂靠代收",$D337="我方收款"),COUNTIFS($D$5:$D337,"挂靠代收")+COUNTIFS($D$5:$D337,"我方收款"),"")</f>
        <v>74</v>
      </c>
      <c r="Y337" s="35" t="s">
        <v>119</v>
      </c>
      <c r="Z337" s="21" t="s">
        <v>111</v>
      </c>
    </row>
    <row r="338" customFormat="false" ht="15.75" hidden="false" customHeight="true" outlineLevel="0" collapsed="false">
      <c r="A338" s="32" t="n">
        <f aca="false">IF($B338="","",ROW()-4)</f>
        <v>334</v>
      </c>
      <c r="B338" s="26" t="n">
        <v>46231</v>
      </c>
      <c r="C338" s="24" t="s">
        <v>150</v>
      </c>
      <c r="D338" s="21" t="s">
        <v>320</v>
      </c>
      <c r="E338" s="21" t="s">
        <v>119</v>
      </c>
      <c r="F338" s="21" t="s">
        <v>127</v>
      </c>
      <c r="G338" s="21"/>
      <c r="H338" s="27" t="n">
        <v>9120</v>
      </c>
      <c r="I338" s="23" t="str">
        <f aca="false">IF($D338&lt;&gt;"销项开票","",IF($N338="一级",IF(IFERROR(INDEX(项目档案!$E$6:$E$255,MATCH($C338,项目档案!$A$6:$A$255,0)),"")="",N(IFERROR(INDEX(单位档案!$D$6:$D$35,MATCH($E338,单位档案!$A$6:$A$35,0)),"")),IFERROR(INDEX(项目档案!$E$6:$E$255,MATCH($C338,项目档案!$A$6:$A$255,0)),"")),IF($N338="二级",IF(IFERROR(INDEX(项目档案!$G$6:$G$255,MATCH($C338,项目档案!$A$6:$A$255,0)),"")="",N(IFERROR(INDEX(单位档案!$D$6:$D$35,MATCH($E338,单位档案!$A$6:$A$35,0)),"")),IFERROR(INDEX(项目档案!$G$6:$G$255,MATCH($C338,项目档案!$A$6:$A$255,0)),"")),N(IFERROR(INDEX(单位档案!$D$6:$D$35,MATCH($E338,单位档案!$A$6:$A$35,0)),"")))))</f>
        <v/>
      </c>
      <c r="J338" s="25" t="s">
        <v>590</v>
      </c>
      <c r="K338" s="22" t="s">
        <v>313</v>
      </c>
      <c r="L338" s="33" t="str">
        <f aca="false">IF($B338="","",IF(NOT(ISNUMBER($B338)),"日期格式不对",IF($C338="","未选项目编号",IF(LEFT($M338,1)="⚠","项目编号不存在",IF($D338="","未选业务类型",IF($E338="","未选开票/付款方",IF(ISNA(MATCH($E338,单位档案!$A$6:$A$35,0)),"开票方不在单位档案",IF($F338="","未选收票/收款方",IF(ISNA(MATCH($F338,单位档案!$A$6:$A$35,0)),"收款方不在单位档案",IF(NOT(ISNUMBER($H338)),"金额须为数字",IF(AND($D338="销项开票",$N338="—"),"链条待确认","√")))))))))))</f>
        <v>√</v>
      </c>
      <c r="M338" s="34" t="str">
        <f aca="false">IF($C338="","",IFERROR(INDEX(项目档案!$B$6:$B$255,MATCH($C338,项目档案!$A$6:$A$255,0)),"⚠项目编号不存在"))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38" s="35" t="str">
        <f aca="false">IF($E338="","",IF($E338=IFERROR(INDEX(项目档案!$D$6:$D$255,MATCH($C338,项目档案!$A$6:$A$255,0)),""),"一级",IF($E338=IFERROR(INDEX(项目档案!$F$6:$F$255,MATCH($C338,项目档案!$A$6:$A$255,0)),""),"二级",IF($E338=IFERROR(INDEX(项目档案!$H$6:$H$255,MATCH($C338,项目档案!$A$6:$A$255,0)),""),"我方","—"))))</f>
        <v>一级</v>
      </c>
      <c r="O338" s="36" t="n">
        <f aca="false">IF($D338&lt;&gt;"销项开票",0,ROUND(N($H338)*N($I338),2))</f>
        <v>0</v>
      </c>
      <c r="P338" s="36" t="n">
        <f aca="false">IF($D338&lt;&gt;"销项开票",0,ROUND(N($H338)-$O338,2))</f>
        <v>0</v>
      </c>
      <c r="Q338" s="37" t="n">
        <f aca="false">IF($E338="","",N(IFERROR(INDEX(单位档案!$E$6:$E$35,MATCH($E338,单位档案!$A$6:$A$35,0)),"")))</f>
        <v>0.09</v>
      </c>
      <c r="R338" s="37" t="n">
        <f aca="false">IF($E338="","",N(IFERROR(INDEX(单位档案!$F$6:$F$35,MATCH($E338,单位档案!$A$6:$A$35,0)),"")))</f>
        <v>0.03</v>
      </c>
      <c r="S338" s="36" t="n">
        <f aca="false">IF(OR($D338&lt;&gt;"销项开票",IFERROR(INDEX(单位档案!$G$6:$G$35,MATCH($E338,单位档案!$A$6:$A$35,0)),"")&lt;&gt;"是",N($Q338)=0),0,IF(IFERROR(INDEX(单位档案!$H$6:$H$35,MATCH($E338,单位档案!$A$6:$A$35,0)),"")="税差法",ROUND(N($H338)/(1+$Q338)*$Q338-IF(N($R338)=0,0,$P338/(1+$R338)*$R338),2),ROUND(N($H338)/(1+$Q338)*$Q338,2)))</f>
        <v>0</v>
      </c>
      <c r="T338" s="36" t="n">
        <f aca="false">ROUND($S338*N(IFERROR(INDEX(单位档案!$J$6:$J$35,MATCH($E338,单位档案!$A$6:$A$35,0)),"")),2)</f>
        <v>0</v>
      </c>
      <c r="U338" s="36" t="n">
        <f aca="false">IF($D338&lt;&gt;"销项开票",0,ROUND(N($H338)*N(IFERROR(INDEX(单位档案!$K$6:$K$35,MATCH($E338,单位档案!$A$6:$A$35,0)),"")),2))</f>
        <v>0</v>
      </c>
      <c r="V338" s="36" t="n">
        <f aca="false">IF(OR($D338&lt;&gt;"销项开票",N($Q338)=0),0,ROUND(N($H338)/(1+$Q338)*N(IFERROR(INDEX(单位档案!$L$6:$L$35,MATCH($E338,单位档案!$A$6:$A$35,0)),"")),2))</f>
        <v>0</v>
      </c>
      <c r="W338" s="36" t="n">
        <f aca="false">ROUND($S338+$T338+$U338+$V338,2)</f>
        <v>0</v>
      </c>
      <c r="X338" s="35" t="n">
        <f aca="false">IF(OR($D338="挂靠代收",$D338="我方收款"),COUNTIFS($D$5:$D338,"挂靠代收")+COUNTIFS($D$5:$D338,"我方收款"),"")</f>
        <v>75</v>
      </c>
      <c r="Y338" s="35" t="s">
        <v>119</v>
      </c>
      <c r="Z338" s="21" t="s">
        <v>111</v>
      </c>
    </row>
    <row r="339" customFormat="false" ht="15.75" hidden="false" customHeight="true" outlineLevel="0" collapsed="false">
      <c r="A339" s="32" t="n">
        <f aca="false">IF($B339="","",ROW()-4)</f>
        <v>335</v>
      </c>
      <c r="B339" s="26" t="n">
        <v>46231</v>
      </c>
      <c r="C339" s="24" t="s">
        <v>150</v>
      </c>
      <c r="D339" s="21" t="s">
        <v>319</v>
      </c>
      <c r="E339" s="21" t="s">
        <v>97</v>
      </c>
      <c r="F339" s="21" t="s">
        <v>119</v>
      </c>
      <c r="G339" s="21"/>
      <c r="H339" s="27" t="n">
        <v>11400</v>
      </c>
      <c r="I339" s="23" t="str">
        <f aca="false">IF($D339&lt;&gt;"销项开票","",IF($N339="一级",IF(IFERROR(INDEX(项目档案!$E$6:$E$255,MATCH($C339,项目档案!$A$6:$A$255,0)),"")="",N(IFERROR(INDEX(单位档案!$D$6:$D$35,MATCH($E339,单位档案!$A$6:$A$35,0)),"")),IFERROR(INDEX(项目档案!$E$6:$E$255,MATCH($C339,项目档案!$A$6:$A$255,0)),"")),IF($N339="二级",IF(IFERROR(INDEX(项目档案!$G$6:$G$255,MATCH($C339,项目档案!$A$6:$A$255,0)),"")="",N(IFERROR(INDEX(单位档案!$D$6:$D$35,MATCH($E339,单位档案!$A$6:$A$35,0)),"")),IFERROR(INDEX(项目档案!$G$6:$G$255,MATCH($C339,项目档案!$A$6:$A$255,0)),"")),N(IFERROR(INDEX(单位档案!$D$6:$D$35,MATCH($E339,单位档案!$A$6:$A$35,0)),"")))))</f>
        <v/>
      </c>
      <c r="J339" s="25" t="s">
        <v>591</v>
      </c>
      <c r="K339" s="22" t="s">
        <v>313</v>
      </c>
      <c r="L339" s="33" t="str">
        <f aca="false">IF($B339="","",IF(NOT(ISNUMBER($B339)),"日期格式不对",IF($C339="","未选项目编号",IF(LEFT($M339,1)="⚠","项目编号不存在",IF($D339="","未选业务类型",IF($E339="","未选开票/付款方",IF(ISNA(MATCH($E339,单位档案!$A$6:$A$35,0)),"开票方不在单位档案",IF($F339="","未选收票/收款方",IF(ISNA(MATCH($F339,单位档案!$A$6:$A$35,0)),"收款方不在单位档案",IF(NOT(ISNUMBER($H339)),"金额须为数字",IF(AND($D339="销项开票",$N339="—"),"链条待确认","√")))))))))))</f>
        <v>√</v>
      </c>
      <c r="M339" s="34" t="str">
        <f aca="false">IF($C339="","",IFERROR(INDEX(项目档案!$B$6:$B$255,MATCH($C339,项目档案!$A$6:$A$255,0)),"⚠项目编号不存在"))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39" s="35" t="str">
        <f aca="false">IF($E339="","",IF($E339=IFERROR(INDEX(项目档案!$D$6:$D$255,MATCH($C339,项目档案!$A$6:$A$255,0)),""),"一级",IF($E339=IFERROR(INDEX(项目档案!$F$6:$F$255,MATCH($C339,项目档案!$A$6:$A$255,0)),""),"二级",IF($E339=IFERROR(INDEX(项目档案!$H$6:$H$255,MATCH($C339,项目档案!$A$6:$A$255,0)),""),"我方","—"))))</f>
        <v>—</v>
      </c>
      <c r="O339" s="36" t="n">
        <f aca="false">IF($D339&lt;&gt;"销项开票",0,ROUND(N($H339)*N($I339),2))</f>
        <v>0</v>
      </c>
      <c r="P339" s="36" t="n">
        <f aca="false">IF($D339&lt;&gt;"销项开票",0,ROUND(N($H339)-$O339,2))</f>
        <v>0</v>
      </c>
      <c r="Q339" s="37" t="n">
        <f aca="false">IF($E339="","",N(IFERROR(INDEX(单位档案!$E$6:$E$35,MATCH($E339,单位档案!$A$6:$A$35,0)),"")))</f>
        <v>0</v>
      </c>
      <c r="R339" s="37" t="n">
        <f aca="false">IF($E339="","",N(IFERROR(INDEX(单位档案!$F$6:$F$35,MATCH($E339,单位档案!$A$6:$A$35,0)),"")))</f>
        <v>0</v>
      </c>
      <c r="S339" s="36" t="n">
        <f aca="false">IF(OR($D339&lt;&gt;"销项开票",IFERROR(INDEX(单位档案!$G$6:$G$35,MATCH($E339,单位档案!$A$6:$A$35,0)),"")&lt;&gt;"是",N($Q339)=0),0,IF(IFERROR(INDEX(单位档案!$H$6:$H$35,MATCH($E339,单位档案!$A$6:$A$35,0)),"")="税差法",ROUND(N($H339)/(1+$Q339)*$Q339-IF(N($R339)=0,0,$P339/(1+$R339)*$R339),2),ROUND(N($H339)/(1+$Q339)*$Q339,2)))</f>
        <v>0</v>
      </c>
      <c r="T339" s="36" t="n">
        <f aca="false">ROUND($S339*N(IFERROR(INDEX(单位档案!$J$6:$J$35,MATCH($E339,单位档案!$A$6:$A$35,0)),"")),2)</f>
        <v>0</v>
      </c>
      <c r="U339" s="36" t="n">
        <f aca="false">IF($D339&lt;&gt;"销项开票",0,ROUND(N($H339)*N(IFERROR(INDEX(单位档案!$K$6:$K$35,MATCH($E339,单位档案!$A$6:$A$35,0)),"")),2))</f>
        <v>0</v>
      </c>
      <c r="V339" s="36" t="n">
        <f aca="false">IF(OR($D339&lt;&gt;"销项开票",N($Q339)=0),0,ROUND(N($H339)/(1+$Q339)*N(IFERROR(INDEX(单位档案!$L$6:$L$35,MATCH($E339,单位档案!$A$6:$A$35,0)),"")),2))</f>
        <v>0</v>
      </c>
      <c r="W339" s="36" t="n">
        <f aca="false">ROUND($S339+$T339+$U339+$V339,2)</f>
        <v>0</v>
      </c>
      <c r="X339" s="35" t="n">
        <f aca="false">IF(OR($D339="挂靠代收",$D339="我方收款"),COUNTIFS($D$5:$D339,"挂靠代收")+COUNTIFS($D$5:$D339,"我方收款"),"")</f>
        <v>76</v>
      </c>
      <c r="Y339" s="35" t="s">
        <v>119</v>
      </c>
      <c r="Z339" s="21" t="s">
        <v>111</v>
      </c>
    </row>
    <row r="340" customFormat="false" ht="15.75" hidden="false" customHeight="true" outlineLevel="0" collapsed="false">
      <c r="A340" s="32" t="n">
        <f aca="false">IF($B340="","",ROW()-4)</f>
        <v>336</v>
      </c>
      <c r="B340" s="26" t="n">
        <v>46231</v>
      </c>
      <c r="C340" s="24" t="s">
        <v>150</v>
      </c>
      <c r="D340" s="21" t="s">
        <v>320</v>
      </c>
      <c r="E340" s="21" t="s">
        <v>119</v>
      </c>
      <c r="F340" s="21" t="s">
        <v>127</v>
      </c>
      <c r="G340" s="21"/>
      <c r="H340" s="27" t="n">
        <v>11400</v>
      </c>
      <c r="I340" s="23" t="str">
        <f aca="false">IF($D340&lt;&gt;"销项开票","",IF($N340="一级",IF(IFERROR(INDEX(项目档案!$E$6:$E$255,MATCH($C340,项目档案!$A$6:$A$255,0)),"")="",N(IFERROR(INDEX(单位档案!$D$6:$D$35,MATCH($E340,单位档案!$A$6:$A$35,0)),"")),IFERROR(INDEX(项目档案!$E$6:$E$255,MATCH($C340,项目档案!$A$6:$A$255,0)),"")),IF($N340="二级",IF(IFERROR(INDEX(项目档案!$G$6:$G$255,MATCH($C340,项目档案!$A$6:$A$255,0)),"")="",N(IFERROR(INDEX(单位档案!$D$6:$D$35,MATCH($E340,单位档案!$A$6:$A$35,0)),"")),IFERROR(INDEX(项目档案!$G$6:$G$255,MATCH($C340,项目档案!$A$6:$A$255,0)),"")),N(IFERROR(INDEX(单位档案!$D$6:$D$35,MATCH($E340,单位档案!$A$6:$A$35,0)),"")))))</f>
        <v/>
      </c>
      <c r="J340" s="25" t="s">
        <v>591</v>
      </c>
      <c r="K340" s="22" t="s">
        <v>313</v>
      </c>
      <c r="L340" s="33" t="str">
        <f aca="false">IF($B340="","",IF(NOT(ISNUMBER($B340)),"日期格式不对",IF($C340="","未选项目编号",IF(LEFT($M340,1)="⚠","项目编号不存在",IF($D340="","未选业务类型",IF($E340="","未选开票/付款方",IF(ISNA(MATCH($E340,单位档案!$A$6:$A$35,0)),"开票方不在单位档案",IF($F340="","未选收票/收款方",IF(ISNA(MATCH($F340,单位档案!$A$6:$A$35,0)),"收款方不在单位档案",IF(NOT(ISNUMBER($H340)),"金额须为数字",IF(AND($D340="销项开票",$N340="—"),"链条待确认","√")))))))))))</f>
        <v>√</v>
      </c>
      <c r="M340" s="34" t="str">
        <f aca="false">IF($C340="","",IFERROR(INDEX(项目档案!$B$6:$B$255,MATCH($C340,项目档案!$A$6:$A$255,0)),"⚠项目编号不存在"))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40" s="35" t="str">
        <f aca="false">IF($E340="","",IF($E340=IFERROR(INDEX(项目档案!$D$6:$D$255,MATCH($C340,项目档案!$A$6:$A$255,0)),""),"一级",IF($E340=IFERROR(INDEX(项目档案!$F$6:$F$255,MATCH($C340,项目档案!$A$6:$A$255,0)),""),"二级",IF($E340=IFERROR(INDEX(项目档案!$H$6:$H$255,MATCH($C340,项目档案!$A$6:$A$255,0)),""),"我方","—"))))</f>
        <v>一级</v>
      </c>
      <c r="O340" s="36" t="n">
        <f aca="false">IF($D340&lt;&gt;"销项开票",0,ROUND(N($H340)*N($I340),2))</f>
        <v>0</v>
      </c>
      <c r="P340" s="36" t="n">
        <f aca="false">IF($D340&lt;&gt;"销项开票",0,ROUND(N($H340)-$O340,2))</f>
        <v>0</v>
      </c>
      <c r="Q340" s="37" t="n">
        <f aca="false">IF($E340="","",N(IFERROR(INDEX(单位档案!$E$6:$E$35,MATCH($E340,单位档案!$A$6:$A$35,0)),"")))</f>
        <v>0.09</v>
      </c>
      <c r="R340" s="37" t="n">
        <f aca="false">IF($E340="","",N(IFERROR(INDEX(单位档案!$F$6:$F$35,MATCH($E340,单位档案!$A$6:$A$35,0)),"")))</f>
        <v>0.03</v>
      </c>
      <c r="S340" s="36" t="n">
        <f aca="false">IF(OR($D340&lt;&gt;"销项开票",IFERROR(INDEX(单位档案!$G$6:$G$35,MATCH($E340,单位档案!$A$6:$A$35,0)),"")&lt;&gt;"是",N($Q340)=0),0,IF(IFERROR(INDEX(单位档案!$H$6:$H$35,MATCH($E340,单位档案!$A$6:$A$35,0)),"")="税差法",ROUND(N($H340)/(1+$Q340)*$Q340-IF(N($R340)=0,0,$P340/(1+$R340)*$R340),2),ROUND(N($H340)/(1+$Q340)*$Q340,2)))</f>
        <v>0</v>
      </c>
      <c r="T340" s="36" t="n">
        <f aca="false">ROUND($S340*N(IFERROR(INDEX(单位档案!$J$6:$J$35,MATCH($E340,单位档案!$A$6:$A$35,0)),"")),2)</f>
        <v>0</v>
      </c>
      <c r="U340" s="36" t="n">
        <f aca="false">IF($D340&lt;&gt;"销项开票",0,ROUND(N($H340)*N(IFERROR(INDEX(单位档案!$K$6:$K$35,MATCH($E340,单位档案!$A$6:$A$35,0)),"")),2))</f>
        <v>0</v>
      </c>
      <c r="V340" s="36" t="n">
        <f aca="false">IF(OR($D340&lt;&gt;"销项开票",N($Q340)=0),0,ROUND(N($H340)/(1+$Q340)*N(IFERROR(INDEX(单位档案!$L$6:$L$35,MATCH($E340,单位档案!$A$6:$A$35,0)),"")),2))</f>
        <v>0</v>
      </c>
      <c r="W340" s="36" t="n">
        <f aca="false">ROUND($S340+$T340+$U340+$V340,2)</f>
        <v>0</v>
      </c>
      <c r="X340" s="35" t="n">
        <f aca="false">IF(OR($D340="挂靠代收",$D340="我方收款"),COUNTIFS($D$5:$D340,"挂靠代收")+COUNTIFS($D$5:$D340,"我方收款"),"")</f>
        <v>77</v>
      </c>
      <c r="Y340" s="35" t="s">
        <v>119</v>
      </c>
      <c r="Z340" s="21" t="s">
        <v>111</v>
      </c>
    </row>
    <row r="341" customFormat="false" ht="15.75" hidden="false" customHeight="true" outlineLevel="0" collapsed="false">
      <c r="A341" s="32" t="n">
        <f aca="false">IF($B341="","",ROW()-4)</f>
        <v>337</v>
      </c>
      <c r="B341" s="26" t="n">
        <v>46231</v>
      </c>
      <c r="C341" s="24" t="s">
        <v>150</v>
      </c>
      <c r="D341" s="21" t="s">
        <v>319</v>
      </c>
      <c r="E341" s="21" t="s">
        <v>97</v>
      </c>
      <c r="F341" s="21" t="s">
        <v>119</v>
      </c>
      <c r="G341" s="21"/>
      <c r="H341" s="27" t="n">
        <v>197500</v>
      </c>
      <c r="I341" s="23" t="str">
        <f aca="false">IF($D341&lt;&gt;"销项开票","",IF($N341="一级",IF(IFERROR(INDEX(项目档案!$E$6:$E$255,MATCH($C341,项目档案!$A$6:$A$255,0)),"")="",N(IFERROR(INDEX(单位档案!$D$6:$D$35,MATCH($E341,单位档案!$A$6:$A$35,0)),"")),IFERROR(INDEX(项目档案!$E$6:$E$255,MATCH($C341,项目档案!$A$6:$A$255,0)),"")),IF($N341="二级",IF(IFERROR(INDEX(项目档案!$G$6:$G$255,MATCH($C341,项目档案!$A$6:$A$255,0)),"")="",N(IFERROR(INDEX(单位档案!$D$6:$D$35,MATCH($E341,单位档案!$A$6:$A$35,0)),"")),IFERROR(INDEX(项目档案!$G$6:$G$255,MATCH($C341,项目档案!$A$6:$A$255,0)),"")),N(IFERROR(INDEX(单位档案!$D$6:$D$35,MATCH($E341,单位档案!$A$6:$A$35,0)),"")))))</f>
        <v/>
      </c>
      <c r="J341" s="25" t="s">
        <v>592</v>
      </c>
      <c r="K341" s="22" t="s">
        <v>313</v>
      </c>
      <c r="L341" s="33" t="str">
        <f aca="false">IF($B341="","",IF(NOT(ISNUMBER($B341)),"日期格式不对",IF($C341="","未选项目编号",IF(LEFT($M341,1)="⚠","项目编号不存在",IF($D341="","未选业务类型",IF($E341="","未选开票/付款方",IF(ISNA(MATCH($E341,单位档案!$A$6:$A$35,0)),"开票方不在单位档案",IF($F341="","未选收票/收款方",IF(ISNA(MATCH($F341,单位档案!$A$6:$A$35,0)),"收款方不在单位档案",IF(NOT(ISNUMBER($H341)),"金额须为数字",IF(AND($D341="销项开票",$N341="—"),"链条待确认","√")))))))))))</f>
        <v>√</v>
      </c>
      <c r="M341" s="34" t="str">
        <f aca="false">IF($C341="","",IFERROR(INDEX(项目档案!$B$6:$B$255,MATCH($C341,项目档案!$A$6:$A$255,0)),"⚠项目编号不存在"))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41" s="35" t="str">
        <f aca="false">IF($E341="","",IF($E341=IFERROR(INDEX(项目档案!$D$6:$D$255,MATCH($C341,项目档案!$A$6:$A$255,0)),""),"一级",IF($E341=IFERROR(INDEX(项目档案!$F$6:$F$255,MATCH($C341,项目档案!$A$6:$A$255,0)),""),"二级",IF($E341=IFERROR(INDEX(项目档案!$H$6:$H$255,MATCH($C341,项目档案!$A$6:$A$255,0)),""),"我方","—"))))</f>
        <v>—</v>
      </c>
      <c r="O341" s="36" t="n">
        <f aca="false">IF($D341&lt;&gt;"销项开票",0,ROUND(N($H341)*N($I341),2))</f>
        <v>0</v>
      </c>
      <c r="P341" s="36" t="n">
        <f aca="false">IF($D341&lt;&gt;"销项开票",0,ROUND(N($H341)-$O341,2))</f>
        <v>0</v>
      </c>
      <c r="Q341" s="37" t="n">
        <f aca="false">IF($E341="","",N(IFERROR(INDEX(单位档案!$E$6:$E$35,MATCH($E341,单位档案!$A$6:$A$35,0)),"")))</f>
        <v>0</v>
      </c>
      <c r="R341" s="37" t="n">
        <f aca="false">IF($E341="","",N(IFERROR(INDEX(单位档案!$F$6:$F$35,MATCH($E341,单位档案!$A$6:$A$35,0)),"")))</f>
        <v>0</v>
      </c>
      <c r="S341" s="36" t="n">
        <f aca="false">IF(OR($D341&lt;&gt;"销项开票",IFERROR(INDEX(单位档案!$G$6:$G$35,MATCH($E341,单位档案!$A$6:$A$35,0)),"")&lt;&gt;"是",N($Q341)=0),0,IF(IFERROR(INDEX(单位档案!$H$6:$H$35,MATCH($E341,单位档案!$A$6:$A$35,0)),"")="税差法",ROUND(N($H341)/(1+$Q341)*$Q341-IF(N($R341)=0,0,$P341/(1+$R341)*$R341),2),ROUND(N($H341)/(1+$Q341)*$Q341,2)))</f>
        <v>0</v>
      </c>
      <c r="T341" s="36" t="n">
        <f aca="false">ROUND($S341*N(IFERROR(INDEX(单位档案!$J$6:$J$35,MATCH($E341,单位档案!$A$6:$A$35,0)),"")),2)</f>
        <v>0</v>
      </c>
      <c r="U341" s="36" t="n">
        <f aca="false">IF($D341&lt;&gt;"销项开票",0,ROUND(N($H341)*N(IFERROR(INDEX(单位档案!$K$6:$K$35,MATCH($E341,单位档案!$A$6:$A$35,0)),"")),2))</f>
        <v>0</v>
      </c>
      <c r="V341" s="36" t="n">
        <f aca="false">IF(OR($D341&lt;&gt;"销项开票",N($Q341)=0),0,ROUND(N($H341)/(1+$Q341)*N(IFERROR(INDEX(单位档案!$L$6:$L$35,MATCH($E341,单位档案!$A$6:$A$35,0)),"")),2))</f>
        <v>0</v>
      </c>
      <c r="W341" s="36" t="n">
        <f aca="false">ROUND($S341+$T341+$U341+$V341,2)</f>
        <v>0</v>
      </c>
      <c r="X341" s="35" t="n">
        <f aca="false">IF(OR($D341="挂靠代收",$D341="我方收款"),COUNTIFS($D$5:$D341,"挂靠代收")+COUNTIFS($D$5:$D341,"我方收款"),"")</f>
        <v>78</v>
      </c>
      <c r="Y341" s="35" t="s">
        <v>119</v>
      </c>
      <c r="Z341" s="21" t="s">
        <v>111</v>
      </c>
    </row>
    <row r="342" customFormat="false" ht="15.75" hidden="false" customHeight="true" outlineLevel="0" collapsed="false">
      <c r="A342" s="32" t="n">
        <f aca="false">IF($B342="","",ROW()-4)</f>
        <v>338</v>
      </c>
      <c r="B342" s="26" t="n">
        <v>46231</v>
      </c>
      <c r="C342" s="24" t="s">
        <v>150</v>
      </c>
      <c r="D342" s="21" t="s">
        <v>320</v>
      </c>
      <c r="E342" s="21" t="s">
        <v>119</v>
      </c>
      <c r="F342" s="21" t="s">
        <v>127</v>
      </c>
      <c r="G342" s="21"/>
      <c r="H342" s="27" t="n">
        <v>197500</v>
      </c>
      <c r="I342" s="23" t="str">
        <f aca="false">IF($D342&lt;&gt;"销项开票","",IF($N342="一级",IF(IFERROR(INDEX(项目档案!$E$6:$E$255,MATCH($C342,项目档案!$A$6:$A$255,0)),"")="",N(IFERROR(INDEX(单位档案!$D$6:$D$35,MATCH($E342,单位档案!$A$6:$A$35,0)),"")),IFERROR(INDEX(项目档案!$E$6:$E$255,MATCH($C342,项目档案!$A$6:$A$255,0)),"")),IF($N342="二级",IF(IFERROR(INDEX(项目档案!$G$6:$G$255,MATCH($C342,项目档案!$A$6:$A$255,0)),"")="",N(IFERROR(INDEX(单位档案!$D$6:$D$35,MATCH($E342,单位档案!$A$6:$A$35,0)),"")),IFERROR(INDEX(项目档案!$G$6:$G$255,MATCH($C342,项目档案!$A$6:$A$255,0)),"")),N(IFERROR(INDEX(单位档案!$D$6:$D$35,MATCH($E342,单位档案!$A$6:$A$35,0)),"")))))</f>
        <v/>
      </c>
      <c r="J342" s="25" t="s">
        <v>592</v>
      </c>
      <c r="K342" s="22" t="s">
        <v>313</v>
      </c>
      <c r="L342" s="33" t="str">
        <f aca="false">IF($B342="","",IF(NOT(ISNUMBER($B342)),"日期格式不对",IF($C342="","未选项目编号",IF(LEFT($M342,1)="⚠","项目编号不存在",IF($D342="","未选业务类型",IF($E342="","未选开票/付款方",IF(ISNA(MATCH($E342,单位档案!$A$6:$A$35,0)),"开票方不在单位档案",IF($F342="","未选收票/收款方",IF(ISNA(MATCH($F342,单位档案!$A$6:$A$35,0)),"收款方不在单位档案",IF(NOT(ISNUMBER($H342)),"金额须为数字",IF(AND($D342="销项开票",$N342="—"),"链条待确认","√")))))))))))</f>
        <v>√</v>
      </c>
      <c r="M342" s="34" t="str">
        <f aca="false">IF($C342="","",IFERROR(INDEX(项目档案!$B$6:$B$255,MATCH($C342,项目档案!$A$6:$A$255,0)),"⚠项目编号不存在"))</f>
        <v>重庆铜梁10kV梧桐村4.5.6社台区重过载治理工程等23个项目(2025年配网6批、业扩5批民能施工）(重庆铜梁10kV侣新线凤飞7社台区重过载治理工程)</v>
      </c>
      <c r="N342" s="35" t="str">
        <f aca="false">IF($E342="","",IF($E342=IFERROR(INDEX(项目档案!$D$6:$D$255,MATCH($C342,项目档案!$A$6:$A$255,0)),""),"一级",IF($E342=IFERROR(INDEX(项目档案!$F$6:$F$255,MATCH($C342,项目档案!$A$6:$A$255,0)),""),"二级",IF($E342=IFERROR(INDEX(项目档案!$H$6:$H$255,MATCH($C342,项目档案!$A$6:$A$255,0)),""),"我方","—"))))</f>
        <v>一级</v>
      </c>
      <c r="O342" s="36" t="n">
        <f aca="false">IF($D342&lt;&gt;"销项开票",0,ROUND(N($H342)*N($I342),2))</f>
        <v>0</v>
      </c>
      <c r="P342" s="36" t="n">
        <f aca="false">IF($D342&lt;&gt;"销项开票",0,ROUND(N($H342)-$O342,2))</f>
        <v>0</v>
      </c>
      <c r="Q342" s="37" t="n">
        <f aca="false">IF($E342="","",N(IFERROR(INDEX(单位档案!$E$6:$E$35,MATCH($E342,单位档案!$A$6:$A$35,0)),"")))</f>
        <v>0.09</v>
      </c>
      <c r="R342" s="37" t="n">
        <f aca="false">IF($E342="","",N(IFERROR(INDEX(单位档案!$F$6:$F$35,MATCH($E342,单位档案!$A$6:$A$35,0)),"")))</f>
        <v>0.03</v>
      </c>
      <c r="S342" s="36" t="n">
        <f aca="false">IF(OR($D342&lt;&gt;"销项开票",IFERROR(INDEX(单位档案!$G$6:$G$35,MATCH($E342,单位档案!$A$6:$A$35,0)),"")&lt;&gt;"是",N($Q342)=0),0,IF(IFERROR(INDEX(单位档案!$H$6:$H$35,MATCH($E342,单位档案!$A$6:$A$35,0)),"")="税差法",ROUND(N($H342)/(1+$Q342)*$Q342-IF(N($R342)=0,0,$P342/(1+$R342)*$R342),2),ROUND(N($H342)/(1+$Q342)*$Q342,2)))</f>
        <v>0</v>
      </c>
      <c r="T342" s="36" t="n">
        <f aca="false">ROUND($S342*N(IFERROR(INDEX(单位档案!$J$6:$J$35,MATCH($E342,单位档案!$A$6:$A$35,0)),"")),2)</f>
        <v>0</v>
      </c>
      <c r="U342" s="36" t="n">
        <f aca="false">IF($D342&lt;&gt;"销项开票",0,ROUND(N($H342)*N(IFERROR(INDEX(单位档案!$K$6:$K$35,MATCH($E342,单位档案!$A$6:$A$35,0)),"")),2))</f>
        <v>0</v>
      </c>
      <c r="V342" s="36" t="n">
        <f aca="false">IF(OR($D342&lt;&gt;"销项开票",N($Q342)=0),0,ROUND(N($H342)/(1+$Q342)*N(IFERROR(INDEX(单位档案!$L$6:$L$35,MATCH($E342,单位档案!$A$6:$A$35,0)),"")),2))</f>
        <v>0</v>
      </c>
      <c r="W342" s="36" t="n">
        <f aca="false">ROUND($S342+$T342+$U342+$V342,2)</f>
        <v>0</v>
      </c>
      <c r="X342" s="35" t="n">
        <f aca="false">IF(OR($D342="挂靠代收",$D342="我方收款"),COUNTIFS($D$5:$D342,"挂靠代收")+COUNTIFS($D$5:$D342,"我方收款"),"")</f>
        <v>79</v>
      </c>
      <c r="Y342" s="35" t="s">
        <v>119</v>
      </c>
      <c r="Z342" s="21" t="s">
        <v>111</v>
      </c>
    </row>
    <row r="343" customFormat="false" ht="15.75" hidden="false" customHeight="true" outlineLevel="0" collapsed="false">
      <c r="A343" s="32" t="n">
        <f aca="false">IF($B343="","",ROW()-4)</f>
        <v>339</v>
      </c>
      <c r="B343" s="26" t="n">
        <v>46237</v>
      </c>
      <c r="C343" s="24" t="s">
        <v>199</v>
      </c>
      <c r="D343" s="21" t="s">
        <v>320</v>
      </c>
      <c r="E343" s="21" t="s">
        <v>106</v>
      </c>
      <c r="F343" s="21" t="s">
        <v>127</v>
      </c>
      <c r="G343" s="21"/>
      <c r="H343" s="27" t="n">
        <v>2476.45</v>
      </c>
      <c r="I343" s="23" t="str">
        <f aca="false">IF($D343&lt;&gt;"销项开票","",IF($N343="一级",IF(IFERROR(INDEX(项目档案!$E$6:$E$255,MATCH($C343,项目档案!$A$6:$A$255,0)),"")="",N(IFERROR(INDEX(单位档案!$D$6:$D$35,MATCH($E343,单位档案!$A$6:$A$35,0)),"")),IFERROR(INDEX(项目档案!$E$6:$E$255,MATCH($C343,项目档案!$A$6:$A$255,0)),"")),IF($N343="二级",IF(IFERROR(INDEX(项目档案!$G$6:$G$255,MATCH($C343,项目档案!$A$6:$A$255,0)),"")="",N(IFERROR(INDEX(单位档案!$D$6:$D$35,MATCH($E343,单位档案!$A$6:$A$35,0)),"")),IFERROR(INDEX(项目档案!$G$6:$G$255,MATCH($C343,项目档案!$A$6:$A$255,0)),"")),N(IFERROR(INDEX(单位档案!$D$6:$D$35,MATCH($E343,单位档案!$A$6:$A$35,0)),"")))))</f>
        <v/>
      </c>
      <c r="J343" s="25" t="s">
        <v>593</v>
      </c>
      <c r="K343" s="22" t="s">
        <v>313</v>
      </c>
      <c r="L343" s="33" t="str">
        <f aca="false">IF($B343="","",IF(NOT(ISNUMBER($B343)),"日期格式不对",IF($C343="","未选项目编号",IF(LEFT($M343,1)="⚠","项目编号不存在",IF($D343="","未选业务类型",IF($E343="","未选开票/付款方",IF(ISNA(MATCH($E343,单位档案!$A$6:$A$35,0)),"开票方不在单位档案",IF($F343="","未选收票/收款方",IF(ISNA(MATCH($F343,单位档案!$A$6:$A$35,0)),"收款方不在单位档案",IF(NOT(ISNUMBER($H343)),"金额须为数字",IF(AND($D343="销项开票",$N343="—"),"链条待确认","√")))))))))))</f>
        <v>√</v>
      </c>
      <c r="M343" s="34" t="str">
        <f aca="false">IF($C343="","",IFERROR(INDEX(项目档案!$B$6:$B$255,MATCH($C343,项目档案!$A$6:$A$255,0)),"⚠项目编号不存在"))</f>
        <v>铜梁公司2026年配电专业应急抢修抢险等外包项目（黄荆4社等台区4个隐患治理项目、三湾1.2社等台区2个应急抢修项目)</v>
      </c>
      <c r="N343" s="35" t="str">
        <f aca="false">IF($E343="","",IF($E343=IFERROR(INDEX(项目档案!$D$6:$D$255,MATCH($C343,项目档案!$A$6:$A$255,0)),""),"一级",IF($E343=IFERROR(INDEX(项目档案!$F$6:$F$255,MATCH($C343,项目档案!$A$6:$A$255,0)),""),"二级",IF($E343=IFERROR(INDEX(项目档案!$H$6:$H$255,MATCH($C343,项目档案!$A$6:$A$255,0)),""),"我方","—"))))</f>
        <v>—</v>
      </c>
      <c r="O343" s="36" t="n">
        <f aca="false">IF($D343&lt;&gt;"销项开票",0,ROUND(N($H343)*N($I343),2))</f>
        <v>0</v>
      </c>
      <c r="P343" s="36" t="n">
        <f aca="false">IF($D343&lt;&gt;"销项开票",0,ROUND(N($H343)-$O343,2))</f>
        <v>0</v>
      </c>
      <c r="Q343" s="37" t="n">
        <f aca="false">IF($E343="","",N(IFERROR(INDEX(单位档案!$E$6:$E$35,MATCH($E343,单位档案!$A$6:$A$35,0)),"")))</f>
        <v>0.13</v>
      </c>
      <c r="R343" s="37" t="n">
        <f aca="false">IF($E343="","",N(IFERROR(INDEX(单位档案!$F$6:$F$35,MATCH($E343,单位档案!$A$6:$A$35,0)),"")))</f>
        <v>0.13</v>
      </c>
      <c r="S343" s="36" t="n">
        <f aca="false">IF(OR($D343&lt;&gt;"销项开票",IFERROR(INDEX(单位档案!$G$6:$G$35,MATCH($E343,单位档案!$A$6:$A$35,0)),"")&lt;&gt;"是",N($Q343)=0),0,IF(IFERROR(INDEX(单位档案!$H$6:$H$35,MATCH($E343,单位档案!$A$6:$A$35,0)),"")="税差法",ROUND(N($H343)/(1+$Q343)*$Q343-IF(N($R343)=0,0,$P343/(1+$R343)*$R343),2),ROUND(N($H343)/(1+$Q343)*$Q343,2)))</f>
        <v>0</v>
      </c>
      <c r="T343" s="36" t="n">
        <f aca="false">ROUND($S343*N(IFERROR(INDEX(单位档案!$J$6:$J$35,MATCH($E343,单位档案!$A$6:$A$35,0)),"")),2)</f>
        <v>0</v>
      </c>
      <c r="U343" s="36" t="n">
        <f aca="false">IF($D343&lt;&gt;"销项开票",0,ROUND(N($H343)*N(IFERROR(INDEX(单位档案!$K$6:$K$35,MATCH($E343,单位档案!$A$6:$A$35,0)),"")),2))</f>
        <v>0</v>
      </c>
      <c r="V343" s="36" t="n">
        <f aca="false">IF(OR($D343&lt;&gt;"销项开票",N($Q343)=0),0,ROUND(N($H343)/(1+$Q343)*N(IFERROR(INDEX(单位档案!$L$6:$L$35,MATCH($E343,单位档案!$A$6:$A$35,0)),"")),2))</f>
        <v>0</v>
      </c>
      <c r="W343" s="36" t="n">
        <f aca="false">ROUND($S343+$T343+$U343+$V343,2)</f>
        <v>0</v>
      </c>
      <c r="X343" s="35" t="n">
        <f aca="false">IF(OR($D343="挂靠代收",$D343="我方收款"),COUNTIFS($D$5:$D343,"挂靠代收")+COUNTIFS($D$5:$D343,"我方收款"),"")</f>
        <v>80</v>
      </c>
      <c r="Y343" s="35" t="s">
        <v>106</v>
      </c>
      <c r="Z343" s="21" t="s">
        <v>111</v>
      </c>
    </row>
    <row r="344" customFormat="false" ht="15.75" hidden="false" customHeight="true" outlineLevel="0" collapsed="false">
      <c r="A344" s="32" t="n">
        <f aca="false">IF($B344="","",ROW()-4)</f>
        <v>340</v>
      </c>
      <c r="B344" s="26" t="n">
        <v>46237</v>
      </c>
      <c r="C344" s="24" t="s">
        <v>199</v>
      </c>
      <c r="D344" s="21" t="s">
        <v>320</v>
      </c>
      <c r="E344" s="21" t="s">
        <v>106</v>
      </c>
      <c r="F344" s="21" t="s">
        <v>127</v>
      </c>
      <c r="G344" s="21"/>
      <c r="H344" s="27" t="n">
        <v>8927.9</v>
      </c>
      <c r="I344" s="23" t="str">
        <f aca="false">IF($D344&lt;&gt;"销项开票","",IF($N344="一级",IF(IFERROR(INDEX(项目档案!$E$6:$E$255,MATCH($C344,项目档案!$A$6:$A$255,0)),"")="",N(IFERROR(INDEX(单位档案!$D$6:$D$35,MATCH($E344,单位档案!$A$6:$A$35,0)),"")),IFERROR(INDEX(项目档案!$E$6:$E$255,MATCH($C344,项目档案!$A$6:$A$255,0)),"")),IF($N344="二级",IF(IFERROR(INDEX(项目档案!$G$6:$G$255,MATCH($C344,项目档案!$A$6:$A$255,0)),"")="",N(IFERROR(INDEX(单位档案!$D$6:$D$35,MATCH($E344,单位档案!$A$6:$A$35,0)),"")),IFERROR(INDEX(项目档案!$G$6:$G$255,MATCH($C344,项目档案!$A$6:$A$255,0)),"")),N(IFERROR(INDEX(单位档案!$D$6:$D$35,MATCH($E344,单位档案!$A$6:$A$35,0)),"")))))</f>
        <v/>
      </c>
      <c r="J344" s="25" t="s">
        <v>594</v>
      </c>
      <c r="K344" s="22" t="s">
        <v>313</v>
      </c>
      <c r="L344" s="33" t="str">
        <f aca="false">IF($B344="","",IF(NOT(ISNUMBER($B344)),"日期格式不对",IF($C344="","未选项目编号",IF(LEFT($M344,1)="⚠","项目编号不存在",IF($D344="","未选业务类型",IF($E344="","未选开票/付款方",IF(ISNA(MATCH($E344,单位档案!$A$6:$A$35,0)),"开票方不在单位档案",IF($F344="","未选收票/收款方",IF(ISNA(MATCH($F344,单位档案!$A$6:$A$35,0)),"收款方不在单位档案",IF(NOT(ISNUMBER($H344)),"金额须为数字",IF(AND($D344="销项开票",$N344="—"),"链条待确认","√")))))))))))</f>
        <v>√</v>
      </c>
      <c r="M344" s="34" t="str">
        <f aca="false">IF($C344="","",IFERROR(INDEX(项目档案!$B$6:$B$255,MATCH($C344,项目档案!$A$6:$A$255,0)),"⚠项目编号不存在"))</f>
        <v>铜梁公司2026年配电专业应急抢修抢险等外包项目（黄荆4社等台区4个隐患治理项目、三湾1.2社等台区2个应急抢修项目)</v>
      </c>
      <c r="N344" s="35" t="str">
        <f aca="false">IF($E344="","",IF($E344=IFERROR(INDEX(项目档案!$D$6:$D$255,MATCH($C344,项目档案!$A$6:$A$255,0)),""),"一级",IF($E344=IFERROR(INDEX(项目档案!$F$6:$F$255,MATCH($C344,项目档案!$A$6:$A$255,0)),""),"二级",IF($E344=IFERROR(INDEX(项目档案!$H$6:$H$255,MATCH($C344,项目档案!$A$6:$A$255,0)),""),"我方","—"))))</f>
        <v>—</v>
      </c>
      <c r="O344" s="36" t="n">
        <f aca="false">IF($D344&lt;&gt;"销项开票",0,ROUND(N($H344)*N($I344),2))</f>
        <v>0</v>
      </c>
      <c r="P344" s="36" t="n">
        <f aca="false">IF($D344&lt;&gt;"销项开票",0,ROUND(N($H344)-$O344,2))</f>
        <v>0</v>
      </c>
      <c r="Q344" s="37" t="n">
        <f aca="false">IF($E344="","",N(IFERROR(INDEX(单位档案!$E$6:$E$35,MATCH($E344,单位档案!$A$6:$A$35,0)),"")))</f>
        <v>0.13</v>
      </c>
      <c r="R344" s="37" t="n">
        <f aca="false">IF($E344="","",N(IFERROR(INDEX(单位档案!$F$6:$F$35,MATCH($E344,单位档案!$A$6:$A$35,0)),"")))</f>
        <v>0.13</v>
      </c>
      <c r="S344" s="36" t="n">
        <f aca="false">IF(OR($D344&lt;&gt;"销项开票",IFERROR(INDEX(单位档案!$G$6:$G$35,MATCH($E344,单位档案!$A$6:$A$35,0)),"")&lt;&gt;"是",N($Q344)=0),0,IF(IFERROR(INDEX(单位档案!$H$6:$H$35,MATCH($E344,单位档案!$A$6:$A$35,0)),"")="税差法",ROUND(N($H344)/(1+$Q344)*$Q344-IF(N($R344)=0,0,$P344/(1+$R344)*$R344),2),ROUND(N($H344)/(1+$Q344)*$Q344,2)))</f>
        <v>0</v>
      </c>
      <c r="T344" s="36" t="n">
        <f aca="false">ROUND($S344*N(IFERROR(INDEX(单位档案!$J$6:$J$35,MATCH($E344,单位档案!$A$6:$A$35,0)),"")),2)</f>
        <v>0</v>
      </c>
      <c r="U344" s="36" t="n">
        <f aca="false">IF($D344&lt;&gt;"销项开票",0,ROUND(N($H344)*N(IFERROR(INDEX(单位档案!$K$6:$K$35,MATCH($E344,单位档案!$A$6:$A$35,0)),"")),2))</f>
        <v>0</v>
      </c>
      <c r="V344" s="36" t="n">
        <f aca="false">IF(OR($D344&lt;&gt;"销项开票",N($Q344)=0),0,ROUND(N($H344)/(1+$Q344)*N(IFERROR(INDEX(单位档案!$L$6:$L$35,MATCH($E344,单位档案!$A$6:$A$35,0)),"")),2))</f>
        <v>0</v>
      </c>
      <c r="W344" s="36" t="n">
        <f aca="false">ROUND($S344+$T344+$U344+$V344,2)</f>
        <v>0</v>
      </c>
      <c r="X344" s="35" t="n">
        <f aca="false">IF(OR($D344="挂靠代收",$D344="我方收款"),COUNTIFS($D$5:$D344,"挂靠代收")+COUNTIFS($D$5:$D344,"我方收款"),"")</f>
        <v>81</v>
      </c>
      <c r="Y344" s="35" t="s">
        <v>106</v>
      </c>
      <c r="Z344" s="21" t="s">
        <v>111</v>
      </c>
    </row>
    <row r="345" customFormat="false" ht="15.75" hidden="false" customHeight="true" outlineLevel="0" collapsed="false">
      <c r="A345" s="32" t="n">
        <f aca="false">IF($B345="","",ROW()-4)</f>
        <v>341</v>
      </c>
      <c r="B345" s="26" t="n">
        <v>46237</v>
      </c>
      <c r="C345" s="24" t="s">
        <v>199</v>
      </c>
      <c r="D345" s="21" t="s">
        <v>320</v>
      </c>
      <c r="E345" s="21" t="s">
        <v>106</v>
      </c>
      <c r="F345" s="21" t="s">
        <v>127</v>
      </c>
      <c r="G345" s="21"/>
      <c r="H345" s="27" t="n">
        <v>1892.21</v>
      </c>
      <c r="I345" s="23" t="str">
        <f aca="false">IF($D345&lt;&gt;"销项开票","",IF($N345="一级",IF(IFERROR(INDEX(项目档案!$E$6:$E$255,MATCH($C345,项目档案!$A$6:$A$255,0)),"")="",N(IFERROR(INDEX(单位档案!$D$6:$D$35,MATCH($E345,单位档案!$A$6:$A$35,0)),"")),IFERROR(INDEX(项目档案!$E$6:$E$255,MATCH($C345,项目档案!$A$6:$A$255,0)),"")),IF($N345="二级",IF(IFERROR(INDEX(项目档案!$G$6:$G$255,MATCH($C345,项目档案!$A$6:$A$255,0)),"")="",N(IFERROR(INDEX(单位档案!$D$6:$D$35,MATCH($E345,单位档案!$A$6:$A$35,0)),"")),IFERROR(INDEX(项目档案!$G$6:$G$255,MATCH($C345,项目档案!$A$6:$A$255,0)),"")),N(IFERROR(INDEX(单位档案!$D$6:$D$35,MATCH($E345,单位档案!$A$6:$A$35,0)),"")))))</f>
        <v/>
      </c>
      <c r="J345" s="25" t="s">
        <v>595</v>
      </c>
      <c r="K345" s="22" t="s">
        <v>313</v>
      </c>
      <c r="L345" s="33" t="str">
        <f aca="false">IF($B345="","",IF(NOT(ISNUMBER($B345)),"日期格式不对",IF($C345="","未选项目编号",IF(LEFT($M345,1)="⚠","项目编号不存在",IF($D345="","未选业务类型",IF($E345="","未选开票/付款方",IF(ISNA(MATCH($E345,单位档案!$A$6:$A$35,0)),"开票方不在单位档案",IF($F345="","未选收票/收款方",IF(ISNA(MATCH($F345,单位档案!$A$6:$A$35,0)),"收款方不在单位档案",IF(NOT(ISNUMBER($H345)),"金额须为数字",IF(AND($D345="销项开票",$N345="—"),"链条待确认","√")))))))))))</f>
        <v>√</v>
      </c>
      <c r="M345" s="34" t="str">
        <f aca="false">IF($C345="","",IFERROR(INDEX(项目档案!$B$6:$B$255,MATCH($C345,项目档案!$A$6:$A$255,0)),"⚠项目编号不存在"))</f>
        <v>铜梁公司2026年配电专业应急抢修抢险等外包项目（黄荆4社等台区4个隐患治理项目、三湾1.2社等台区2个应急抢修项目)</v>
      </c>
      <c r="N345" s="35" t="str">
        <f aca="false">IF($E345="","",IF($E345=IFERROR(INDEX(项目档案!$D$6:$D$255,MATCH($C345,项目档案!$A$6:$A$255,0)),""),"一级",IF($E345=IFERROR(INDEX(项目档案!$F$6:$F$255,MATCH($C345,项目档案!$A$6:$A$255,0)),""),"二级",IF($E345=IFERROR(INDEX(项目档案!$H$6:$H$255,MATCH($C345,项目档案!$A$6:$A$255,0)),""),"我方","—"))))</f>
        <v>—</v>
      </c>
      <c r="O345" s="36" t="n">
        <f aca="false">IF($D345&lt;&gt;"销项开票",0,ROUND(N($H345)*N($I345),2))</f>
        <v>0</v>
      </c>
      <c r="P345" s="36" t="n">
        <f aca="false">IF($D345&lt;&gt;"销项开票",0,ROUND(N($H345)-$O345,2))</f>
        <v>0</v>
      </c>
      <c r="Q345" s="37" t="n">
        <f aca="false">IF($E345="","",N(IFERROR(INDEX(单位档案!$E$6:$E$35,MATCH($E345,单位档案!$A$6:$A$35,0)),"")))</f>
        <v>0.13</v>
      </c>
      <c r="R345" s="37" t="n">
        <f aca="false">IF($E345="","",N(IFERROR(INDEX(单位档案!$F$6:$F$35,MATCH($E345,单位档案!$A$6:$A$35,0)),"")))</f>
        <v>0.13</v>
      </c>
      <c r="S345" s="36" t="n">
        <f aca="false">IF(OR($D345&lt;&gt;"销项开票",IFERROR(INDEX(单位档案!$G$6:$G$35,MATCH($E345,单位档案!$A$6:$A$35,0)),"")&lt;&gt;"是",N($Q345)=0),0,IF(IFERROR(INDEX(单位档案!$H$6:$H$35,MATCH($E345,单位档案!$A$6:$A$35,0)),"")="税差法",ROUND(N($H345)/(1+$Q345)*$Q345-IF(N($R345)=0,0,$P345/(1+$R345)*$R345),2),ROUND(N($H345)/(1+$Q345)*$Q345,2)))</f>
        <v>0</v>
      </c>
      <c r="T345" s="36" t="n">
        <f aca="false">ROUND($S345*N(IFERROR(INDEX(单位档案!$J$6:$J$35,MATCH($E345,单位档案!$A$6:$A$35,0)),"")),2)</f>
        <v>0</v>
      </c>
      <c r="U345" s="36" t="n">
        <f aca="false">IF($D345&lt;&gt;"销项开票",0,ROUND(N($H345)*N(IFERROR(INDEX(单位档案!$K$6:$K$35,MATCH($E345,单位档案!$A$6:$A$35,0)),"")),2))</f>
        <v>0</v>
      </c>
      <c r="V345" s="36" t="n">
        <f aca="false">IF(OR($D345&lt;&gt;"销项开票",N($Q345)=0),0,ROUND(N($H345)/(1+$Q345)*N(IFERROR(INDEX(单位档案!$L$6:$L$35,MATCH($E345,单位档案!$A$6:$A$35,0)),"")),2))</f>
        <v>0</v>
      </c>
      <c r="W345" s="36" t="n">
        <f aca="false">ROUND($S345+$T345+$U345+$V345,2)</f>
        <v>0</v>
      </c>
      <c r="X345" s="35" t="n">
        <f aca="false">IF(OR($D345="挂靠代收",$D345="我方收款"),COUNTIFS($D$5:$D345,"挂靠代收")+COUNTIFS($D$5:$D345,"我方收款"),"")</f>
        <v>82</v>
      </c>
      <c r="Y345" s="35" t="s">
        <v>106</v>
      </c>
      <c r="Z345" s="21" t="s">
        <v>111</v>
      </c>
    </row>
    <row r="346" customFormat="false" ht="15.75" hidden="false" customHeight="true" outlineLevel="0" collapsed="false">
      <c r="A346" s="32" t="n">
        <f aca="false">IF($B346="","",ROW()-4)</f>
        <v>342</v>
      </c>
      <c r="B346" s="26" t="n">
        <v>46237</v>
      </c>
      <c r="C346" s="24" t="s">
        <v>199</v>
      </c>
      <c r="D346" s="21" t="s">
        <v>320</v>
      </c>
      <c r="E346" s="21" t="s">
        <v>106</v>
      </c>
      <c r="F346" s="21" t="s">
        <v>127</v>
      </c>
      <c r="G346" s="21"/>
      <c r="H346" s="27" t="n">
        <v>5169.09</v>
      </c>
      <c r="I346" s="23" t="str">
        <f aca="false">IF($D346&lt;&gt;"销项开票","",IF($N346="一级",IF(IFERROR(INDEX(项目档案!$E$6:$E$255,MATCH($C346,项目档案!$A$6:$A$255,0)),"")="",N(IFERROR(INDEX(单位档案!$D$6:$D$35,MATCH($E346,单位档案!$A$6:$A$35,0)),"")),IFERROR(INDEX(项目档案!$E$6:$E$255,MATCH($C346,项目档案!$A$6:$A$255,0)),"")),IF($N346="二级",IF(IFERROR(INDEX(项目档案!$G$6:$G$255,MATCH($C346,项目档案!$A$6:$A$255,0)),"")="",N(IFERROR(INDEX(单位档案!$D$6:$D$35,MATCH($E346,单位档案!$A$6:$A$35,0)),"")),IFERROR(INDEX(项目档案!$G$6:$G$255,MATCH($C346,项目档案!$A$6:$A$255,0)),"")),N(IFERROR(INDEX(单位档案!$D$6:$D$35,MATCH($E346,单位档案!$A$6:$A$35,0)),"")))))</f>
        <v/>
      </c>
      <c r="J346" s="25" t="s">
        <v>596</v>
      </c>
      <c r="K346" s="22" t="s">
        <v>313</v>
      </c>
      <c r="L346" s="33" t="str">
        <f aca="false">IF($B346="","",IF(NOT(ISNUMBER($B346)),"日期格式不对",IF($C346="","未选项目编号",IF(LEFT($M346,1)="⚠","项目编号不存在",IF($D346="","未选业务类型",IF($E346="","未选开票/付款方",IF(ISNA(MATCH($E346,单位档案!$A$6:$A$35,0)),"开票方不在单位档案",IF($F346="","未选收票/收款方",IF(ISNA(MATCH($F346,单位档案!$A$6:$A$35,0)),"收款方不在单位档案",IF(NOT(ISNUMBER($H346)),"金额须为数字",IF(AND($D346="销项开票",$N346="—"),"链条待确认","√")))))))))))</f>
        <v>√</v>
      </c>
      <c r="M346" s="34" t="str">
        <f aca="false">IF($C346="","",IFERROR(INDEX(项目档案!$B$6:$B$255,MATCH($C346,项目档案!$A$6:$A$255,0)),"⚠项目编号不存在"))</f>
        <v>铜梁公司2026年配电专业应急抢修抢险等外包项目（黄荆4社等台区4个隐患治理项目、三湾1.2社等台区2个应急抢修项目)</v>
      </c>
      <c r="N346" s="35" t="str">
        <f aca="false">IF($E346="","",IF($E346=IFERROR(INDEX(项目档案!$D$6:$D$255,MATCH($C346,项目档案!$A$6:$A$255,0)),""),"一级",IF($E346=IFERROR(INDEX(项目档案!$F$6:$F$255,MATCH($C346,项目档案!$A$6:$A$255,0)),""),"二级",IF($E346=IFERROR(INDEX(项目档案!$H$6:$H$255,MATCH($C346,项目档案!$A$6:$A$255,0)),""),"我方","—"))))</f>
        <v>—</v>
      </c>
      <c r="O346" s="36" t="n">
        <f aca="false">IF($D346&lt;&gt;"销项开票",0,ROUND(N($H346)*N($I346),2))</f>
        <v>0</v>
      </c>
      <c r="P346" s="36" t="n">
        <f aca="false">IF($D346&lt;&gt;"销项开票",0,ROUND(N($H346)-$O346,2))</f>
        <v>0</v>
      </c>
      <c r="Q346" s="37" t="n">
        <f aca="false">IF($E346="","",N(IFERROR(INDEX(单位档案!$E$6:$E$35,MATCH($E346,单位档案!$A$6:$A$35,0)),"")))</f>
        <v>0.13</v>
      </c>
      <c r="R346" s="37" t="n">
        <f aca="false">IF($E346="","",N(IFERROR(INDEX(单位档案!$F$6:$F$35,MATCH($E346,单位档案!$A$6:$A$35,0)),"")))</f>
        <v>0.13</v>
      </c>
      <c r="S346" s="36" t="n">
        <f aca="false">IF(OR($D346&lt;&gt;"销项开票",IFERROR(INDEX(单位档案!$G$6:$G$35,MATCH($E346,单位档案!$A$6:$A$35,0)),"")&lt;&gt;"是",N($Q346)=0),0,IF(IFERROR(INDEX(单位档案!$H$6:$H$35,MATCH($E346,单位档案!$A$6:$A$35,0)),"")="税差法",ROUND(N($H346)/(1+$Q346)*$Q346-IF(N($R346)=0,0,$P346/(1+$R346)*$R346),2),ROUND(N($H346)/(1+$Q346)*$Q346,2)))</f>
        <v>0</v>
      </c>
      <c r="T346" s="36" t="n">
        <f aca="false">ROUND($S346*N(IFERROR(INDEX(单位档案!$J$6:$J$35,MATCH($E346,单位档案!$A$6:$A$35,0)),"")),2)</f>
        <v>0</v>
      </c>
      <c r="U346" s="36" t="n">
        <f aca="false">IF($D346&lt;&gt;"销项开票",0,ROUND(N($H346)*N(IFERROR(INDEX(单位档案!$K$6:$K$35,MATCH($E346,单位档案!$A$6:$A$35,0)),"")),2))</f>
        <v>0</v>
      </c>
      <c r="V346" s="36" t="n">
        <f aca="false">IF(OR($D346&lt;&gt;"销项开票",N($Q346)=0),0,ROUND(N($H346)/(1+$Q346)*N(IFERROR(INDEX(单位档案!$L$6:$L$35,MATCH($E346,单位档案!$A$6:$A$35,0)),"")),2))</f>
        <v>0</v>
      </c>
      <c r="W346" s="36" t="n">
        <f aca="false">ROUND($S346+$T346+$U346+$V346,2)</f>
        <v>0</v>
      </c>
      <c r="X346" s="35" t="n">
        <f aca="false">IF(OR($D346="挂靠代收",$D346="我方收款"),COUNTIFS($D$5:$D346,"挂靠代收")+COUNTIFS($D$5:$D346,"我方收款"),"")</f>
        <v>83</v>
      </c>
      <c r="Y346" s="35" t="s">
        <v>106</v>
      </c>
      <c r="Z346" s="21" t="s">
        <v>111</v>
      </c>
    </row>
    <row r="347" customFormat="false" ht="15.75" hidden="false" customHeight="true" outlineLevel="0" collapsed="false">
      <c r="A347" s="32" t="n">
        <f aca="false">IF($B347="","",ROW()-4)</f>
        <v>343</v>
      </c>
      <c r="B347" s="26" t="n">
        <v>46237</v>
      </c>
      <c r="C347" s="24" t="s">
        <v>199</v>
      </c>
      <c r="D347" s="21" t="s">
        <v>320</v>
      </c>
      <c r="E347" s="21" t="s">
        <v>106</v>
      </c>
      <c r="F347" s="21" t="s">
        <v>127</v>
      </c>
      <c r="G347" s="21"/>
      <c r="H347" s="27" t="n">
        <v>5822.08</v>
      </c>
      <c r="I347" s="23" t="str">
        <f aca="false">IF($D347&lt;&gt;"销项开票","",IF($N347="一级",IF(IFERROR(INDEX(项目档案!$E$6:$E$255,MATCH($C347,项目档案!$A$6:$A$255,0)),"")="",N(IFERROR(INDEX(单位档案!$D$6:$D$35,MATCH($E347,单位档案!$A$6:$A$35,0)),"")),IFERROR(INDEX(项目档案!$E$6:$E$255,MATCH($C347,项目档案!$A$6:$A$255,0)),"")),IF($N347="二级",IF(IFERROR(INDEX(项目档案!$G$6:$G$255,MATCH($C347,项目档案!$A$6:$A$255,0)),"")="",N(IFERROR(INDEX(单位档案!$D$6:$D$35,MATCH($E347,单位档案!$A$6:$A$35,0)),"")),IFERROR(INDEX(项目档案!$G$6:$G$255,MATCH($C347,项目档案!$A$6:$A$255,0)),"")),N(IFERROR(INDEX(单位档案!$D$6:$D$35,MATCH($E347,单位档案!$A$6:$A$35,0)),"")))))</f>
        <v/>
      </c>
      <c r="J347" s="25" t="s">
        <v>597</v>
      </c>
      <c r="K347" s="22" t="s">
        <v>313</v>
      </c>
      <c r="L347" s="33" t="str">
        <f aca="false">IF($B347="","",IF(NOT(ISNUMBER($B347)),"日期格式不对",IF($C347="","未选项目编号",IF(LEFT($M347,1)="⚠","项目编号不存在",IF($D347="","未选业务类型",IF($E347="","未选开票/付款方",IF(ISNA(MATCH($E347,单位档案!$A$6:$A$35,0)),"开票方不在单位档案",IF($F347="","未选收票/收款方",IF(ISNA(MATCH($F347,单位档案!$A$6:$A$35,0)),"收款方不在单位档案",IF(NOT(ISNUMBER($H347)),"金额须为数字",IF(AND($D347="销项开票",$N347="—"),"链条待确认","√")))))))))))</f>
        <v>√</v>
      </c>
      <c r="M347" s="34" t="str">
        <f aca="false">IF($C347="","",IFERROR(INDEX(项目档案!$B$6:$B$255,MATCH($C347,项目档案!$A$6:$A$255,0)),"⚠项目编号不存在"))</f>
        <v>铜梁公司2026年配电专业应急抢修抢险等外包项目（黄荆4社等台区4个隐患治理项目、三湾1.2社等台区2个应急抢修项目)</v>
      </c>
      <c r="N347" s="35" t="str">
        <f aca="false">IF($E347="","",IF($E347=IFERROR(INDEX(项目档案!$D$6:$D$255,MATCH($C347,项目档案!$A$6:$A$255,0)),""),"一级",IF($E347=IFERROR(INDEX(项目档案!$F$6:$F$255,MATCH($C347,项目档案!$A$6:$A$255,0)),""),"二级",IF($E347=IFERROR(INDEX(项目档案!$H$6:$H$255,MATCH($C347,项目档案!$A$6:$A$255,0)),""),"我方","—"))))</f>
        <v>—</v>
      </c>
      <c r="O347" s="36" t="n">
        <f aca="false">IF($D347&lt;&gt;"销项开票",0,ROUND(N($H347)*N($I347),2))</f>
        <v>0</v>
      </c>
      <c r="P347" s="36" t="n">
        <f aca="false">IF($D347&lt;&gt;"销项开票",0,ROUND(N($H347)-$O347,2))</f>
        <v>0</v>
      </c>
      <c r="Q347" s="37" t="n">
        <f aca="false">IF($E347="","",N(IFERROR(INDEX(单位档案!$E$6:$E$35,MATCH($E347,单位档案!$A$6:$A$35,0)),"")))</f>
        <v>0.13</v>
      </c>
      <c r="R347" s="37" t="n">
        <f aca="false">IF($E347="","",N(IFERROR(INDEX(单位档案!$F$6:$F$35,MATCH($E347,单位档案!$A$6:$A$35,0)),"")))</f>
        <v>0.13</v>
      </c>
      <c r="S347" s="36" t="n">
        <f aca="false">IF(OR($D347&lt;&gt;"销项开票",IFERROR(INDEX(单位档案!$G$6:$G$35,MATCH($E347,单位档案!$A$6:$A$35,0)),"")&lt;&gt;"是",N($Q347)=0),0,IF(IFERROR(INDEX(单位档案!$H$6:$H$35,MATCH($E347,单位档案!$A$6:$A$35,0)),"")="税差法",ROUND(N($H347)/(1+$Q347)*$Q347-IF(N($R347)=0,0,$P347/(1+$R347)*$R347),2),ROUND(N($H347)/(1+$Q347)*$Q347,2)))</f>
        <v>0</v>
      </c>
      <c r="T347" s="36" t="n">
        <f aca="false">ROUND($S347*N(IFERROR(INDEX(单位档案!$J$6:$J$35,MATCH($E347,单位档案!$A$6:$A$35,0)),"")),2)</f>
        <v>0</v>
      </c>
      <c r="U347" s="36" t="n">
        <f aca="false">IF($D347&lt;&gt;"销项开票",0,ROUND(N($H347)*N(IFERROR(INDEX(单位档案!$K$6:$K$35,MATCH($E347,单位档案!$A$6:$A$35,0)),"")),2))</f>
        <v>0</v>
      </c>
      <c r="V347" s="36" t="n">
        <f aca="false">IF(OR($D347&lt;&gt;"销项开票",N($Q347)=0),0,ROUND(N($H347)/(1+$Q347)*N(IFERROR(INDEX(单位档案!$L$6:$L$35,MATCH($E347,单位档案!$A$6:$A$35,0)),"")),2))</f>
        <v>0</v>
      </c>
      <c r="W347" s="36" t="n">
        <f aca="false">ROUND($S347+$T347+$U347+$V347,2)</f>
        <v>0</v>
      </c>
      <c r="X347" s="35" t="n">
        <f aca="false">IF(OR($D347="挂靠代收",$D347="我方收款"),COUNTIFS($D$5:$D347,"挂靠代收")+COUNTIFS($D$5:$D347,"我方收款"),"")</f>
        <v>84</v>
      </c>
      <c r="Y347" s="35" t="s">
        <v>106</v>
      </c>
      <c r="Z347" s="21" t="s">
        <v>111</v>
      </c>
    </row>
    <row r="348" customFormat="false" ht="15.75" hidden="false" customHeight="true" outlineLevel="0" collapsed="false">
      <c r="A348" s="32" t="n">
        <f aca="false">IF($B348="","",ROW()-4)</f>
        <v>344</v>
      </c>
      <c r="B348" s="26" t="n">
        <v>46239</v>
      </c>
      <c r="C348" s="24" t="s">
        <v>147</v>
      </c>
      <c r="D348" s="21" t="s">
        <v>319</v>
      </c>
      <c r="E348" s="21" t="s">
        <v>97</v>
      </c>
      <c r="F348" s="21" t="s">
        <v>106</v>
      </c>
      <c r="G348" s="21"/>
      <c r="H348" s="27" t="n">
        <v>132941</v>
      </c>
      <c r="I348" s="23" t="str">
        <f aca="false">IF($D348&lt;&gt;"销项开票","",IF($N348="一级",IF(IFERROR(INDEX(项目档案!$E$6:$E$255,MATCH($C348,项目档案!$A$6:$A$255,0)),"")="",N(IFERROR(INDEX(单位档案!$D$6:$D$35,MATCH($E348,单位档案!$A$6:$A$35,0)),"")),IFERROR(INDEX(项目档案!$E$6:$E$255,MATCH($C348,项目档案!$A$6:$A$255,0)),"")),IF($N348="二级",IF(IFERROR(INDEX(项目档案!$G$6:$G$255,MATCH($C348,项目档案!$A$6:$A$255,0)),"")="",N(IFERROR(INDEX(单位档案!$D$6:$D$35,MATCH($E348,单位档案!$A$6:$A$35,0)),"")),IFERROR(INDEX(项目档案!$G$6:$G$255,MATCH($C348,项目档案!$A$6:$A$255,0)),"")),N(IFERROR(INDEX(单位档案!$D$6:$D$35,MATCH($E348,单位档案!$A$6:$A$35,0)),"")))))</f>
        <v/>
      </c>
      <c r="J348" s="25" t="s">
        <v>598</v>
      </c>
      <c r="K348" s="22" t="s">
        <v>313</v>
      </c>
      <c r="L348" s="33" t="str">
        <f aca="false">IF($B348="","",IF(NOT(ISNUMBER($B348)),"日期格式不对",IF($C348="","未选项目编号",IF(LEFT($M348,1)="⚠","项目编号不存在",IF($D348="","未选业务类型",IF($E348="","未选开票/付款方",IF(ISNA(MATCH($E348,单位档案!$A$6:$A$35,0)),"开票方不在单位档案",IF($F348="","未选收票/收款方",IF(ISNA(MATCH($F348,单位档案!$A$6:$A$35,0)),"收款方不在单位档案",IF(NOT(ISNUMBER($H348)),"金额须为数字",IF(AND($D348="销项开票",$N348="—"),"链条待确认","√")))))))))))</f>
        <v>√</v>
      </c>
      <c r="M348" s="34" t="str">
        <f aca="false">IF($C348="","",IFERROR(INDEX(项目档案!$B$6:$B$255,MATCH($C348,项目档案!$A$6:$A$255,0)),"⚠项目编号不存在"))</f>
        <v>2025-2026年度工程用施工机具等租赁服务（重庆铜梁10kV大太线老旧线路改造工程）</v>
      </c>
      <c r="N348" s="35" t="str">
        <f aca="false">IF($E348="","",IF($E348=IFERROR(INDEX(项目档案!$D$6:$D$255,MATCH($C348,项目档案!$A$6:$A$255,0)),""),"一级",IF($E348=IFERROR(INDEX(项目档案!$F$6:$F$255,MATCH($C348,项目档案!$A$6:$A$255,0)),""),"二级",IF($E348=IFERROR(INDEX(项目档案!$H$6:$H$255,MATCH($C348,项目档案!$A$6:$A$255,0)),""),"我方","—"))))</f>
        <v>—</v>
      </c>
      <c r="O348" s="36" t="n">
        <f aca="false">IF($D348&lt;&gt;"销项开票",0,ROUND(N($H348)*N($I348),2))</f>
        <v>0</v>
      </c>
      <c r="P348" s="36" t="n">
        <f aca="false">IF($D348&lt;&gt;"销项开票",0,ROUND(N($H348)-$O348,2))</f>
        <v>0</v>
      </c>
      <c r="Q348" s="37" t="n">
        <f aca="false">IF($E348="","",N(IFERROR(INDEX(单位档案!$E$6:$E$35,MATCH($E348,单位档案!$A$6:$A$35,0)),"")))</f>
        <v>0</v>
      </c>
      <c r="R348" s="37" t="n">
        <f aca="false">IF($E348="","",N(IFERROR(INDEX(单位档案!$F$6:$F$35,MATCH($E348,单位档案!$A$6:$A$35,0)),"")))</f>
        <v>0</v>
      </c>
      <c r="S348" s="36" t="n">
        <f aca="false">IF(OR($D348&lt;&gt;"销项开票",IFERROR(INDEX(单位档案!$G$6:$G$35,MATCH($E348,单位档案!$A$6:$A$35,0)),"")&lt;&gt;"是",N($Q348)=0),0,IF(IFERROR(INDEX(单位档案!$H$6:$H$35,MATCH($E348,单位档案!$A$6:$A$35,0)),"")="税差法",ROUND(N($H348)/(1+$Q348)*$Q348-IF(N($R348)=0,0,$P348/(1+$R348)*$R348),2),ROUND(N($H348)/(1+$Q348)*$Q348,2)))</f>
        <v>0</v>
      </c>
      <c r="T348" s="36" t="n">
        <f aca="false">ROUND($S348*N(IFERROR(INDEX(单位档案!$J$6:$J$35,MATCH($E348,单位档案!$A$6:$A$35,0)),"")),2)</f>
        <v>0</v>
      </c>
      <c r="U348" s="36" t="n">
        <f aca="false">IF($D348&lt;&gt;"销项开票",0,ROUND(N($H348)*N(IFERROR(INDEX(单位档案!$K$6:$K$35,MATCH($E348,单位档案!$A$6:$A$35,0)),"")),2))</f>
        <v>0</v>
      </c>
      <c r="V348" s="36" t="n">
        <f aca="false">IF(OR($D348&lt;&gt;"销项开票",N($Q348)=0),0,ROUND(N($H348)/(1+$Q348)*N(IFERROR(INDEX(单位档案!$L$6:$L$35,MATCH($E348,单位档案!$A$6:$A$35,0)),"")),2))</f>
        <v>0</v>
      </c>
      <c r="W348" s="36" t="n">
        <f aca="false">ROUND($S348+$T348+$U348+$V348,2)</f>
        <v>0</v>
      </c>
      <c r="X348" s="35" t="n">
        <f aca="false">IF(OR($D348="挂靠代收",$D348="我方收款"),COUNTIFS($D$5:$D348,"挂靠代收")+COUNTIFS($D$5:$D348,"我方收款"),"")</f>
        <v>85</v>
      </c>
      <c r="Y348" s="35" t="s">
        <v>106</v>
      </c>
      <c r="Z348" s="21" t="s">
        <v>111</v>
      </c>
    </row>
    <row r="349" customFormat="false" ht="15.75" hidden="false" customHeight="true" outlineLevel="0" collapsed="false">
      <c r="A349" s="32" t="n">
        <f aca="false">IF($B349="","",ROW()-4)</f>
        <v>345</v>
      </c>
      <c r="B349" s="26" t="n">
        <v>46248</v>
      </c>
      <c r="C349" s="24" t="s">
        <v>266</v>
      </c>
      <c r="D349" s="21" t="s">
        <v>357</v>
      </c>
      <c r="E349" s="21" t="s">
        <v>127</v>
      </c>
      <c r="F349" s="21" t="s">
        <v>114</v>
      </c>
      <c r="G349" s="24" t="s">
        <v>316</v>
      </c>
      <c r="H349" s="27" t="n">
        <v>3229.84</v>
      </c>
      <c r="I349" s="23" t="str">
        <f aca="false">IF($D349&lt;&gt;"销项开票","",IF($N349="一级",IF(IFERROR(INDEX(项目档案!$E$6:$E$255,MATCH($C349,项目档案!$A$6:$A$255,0)),"")="",N(IFERROR(INDEX(单位档案!$D$6:$D$35,MATCH($E349,单位档案!$A$6:$A$35,0)),"")),IFERROR(INDEX(项目档案!$E$6:$E$255,MATCH($C349,项目档案!$A$6:$A$255,0)),"")),IF($N349="二级",IF(IFERROR(INDEX(项目档案!$G$6:$G$255,MATCH($C349,项目档案!$A$6:$A$255,0)),"")="",N(IFERROR(INDEX(单位档案!$D$6:$D$35,MATCH($E349,单位档案!$A$6:$A$35,0)),"")),IFERROR(INDEX(项目档案!$G$6:$G$255,MATCH($C349,项目档案!$A$6:$A$255,0)),"")),N(IFERROR(INDEX(单位档案!$D$6:$D$35,MATCH($E349,单位档案!$A$6:$A$35,0)),"")))))</f>
        <v/>
      </c>
      <c r="J349" s="25" t="s">
        <v>599</v>
      </c>
      <c r="K349" s="22" t="s">
        <v>313</v>
      </c>
      <c r="L349" s="33" t="str">
        <f aca="false">IF($B349="","",IF(NOT(ISNUMBER($B349)),"日期格式不对",IF($C349="","未选项目编号",IF(LEFT($M349,1)="⚠","项目编号不存在",IF($D349="","未选业务类型",IF($E349="","未选开票/付款方",IF(ISNA(MATCH($E349,单位档案!$A$6:$A$35,0)),"开票方不在单位档案",IF($F349="","未选收票/收款方",IF(ISNA(MATCH($F349,单位档案!$A$6:$A$35,0)),"收款方不在单位档案",IF(NOT(ISNUMBER($H349)),"金额须为数字",IF(AND($D349="销项开票",$N349="—"),"链条待确认","√")))))))))))</f>
        <v>√</v>
      </c>
      <c r="M349" s="34" t="str">
        <f aca="false">IF($C349="","",IFERROR(INDEX(项目档案!$B$6:$B$255,MATCH($C349,项目档案!$A$6:$A$255,0)),"⚠项目编号不存在"))</f>
        <v>华润电力重庆能源铜梁平滩农光互补项目220kV升压站PC工程</v>
      </c>
      <c r="N349" s="35" t="str">
        <f aca="false">IF($E349="","",IF($E349=IFERROR(INDEX(项目档案!$D$6:$D$255,MATCH($C349,项目档案!$A$6:$A$255,0)),""),"一级",IF($E349=IFERROR(INDEX(项目档案!$F$6:$F$255,MATCH($C349,项目档案!$A$6:$A$255,0)),""),"二级",IF($E349=IFERROR(INDEX(项目档案!$H$6:$H$255,MATCH($C349,项目档案!$A$6:$A$255,0)),""),"我方","—"))))</f>
        <v>我方</v>
      </c>
      <c r="O349" s="36" t="n">
        <f aca="false">IF($D349&lt;&gt;"销项开票",0,ROUND(N($H349)*N($I349),2))</f>
        <v>0</v>
      </c>
      <c r="P349" s="36" t="n">
        <f aca="false">IF($D349&lt;&gt;"销项开票",0,ROUND(N($H349)-$O349,2))</f>
        <v>0</v>
      </c>
      <c r="Q349" s="37" t="n">
        <f aca="false">IF($E349="","",N(IFERROR(INDEX(单位档案!$E$6:$E$35,MATCH($E349,单位档案!$A$6:$A$35,0)),"")))</f>
        <v>0.03</v>
      </c>
      <c r="R349" s="37" t="n">
        <f aca="false">IF($E349="","",N(IFERROR(INDEX(单位档案!$F$6:$F$35,MATCH($E349,单位档案!$A$6:$A$35,0)),"")))</f>
        <v>0</v>
      </c>
      <c r="S349" s="36" t="n">
        <f aca="false">IF(OR($D349&lt;&gt;"销项开票",IFERROR(INDEX(单位档案!$G$6:$G$35,MATCH($E349,单位档案!$A$6:$A$35,0)),"")&lt;&gt;"是",N($Q349)=0),0,IF(IFERROR(INDEX(单位档案!$H$6:$H$35,MATCH($E349,单位档案!$A$6:$A$35,0)),"")="税差法",ROUND(N($H349)/(1+$Q349)*$Q349-IF(N($R349)=0,0,$P349/(1+$R349)*$R349),2),ROUND(N($H349)/(1+$Q349)*$Q349,2)))</f>
        <v>0</v>
      </c>
      <c r="T349" s="36" t="n">
        <f aca="false">ROUND($S349*N(IFERROR(INDEX(单位档案!$J$6:$J$35,MATCH($E349,单位档案!$A$6:$A$35,0)),"")),2)</f>
        <v>0</v>
      </c>
      <c r="U349" s="36" t="n">
        <f aca="false">IF($D349&lt;&gt;"销项开票",0,ROUND(N($H349)*N(IFERROR(INDEX(单位档案!$K$6:$K$35,MATCH($E349,单位档案!$A$6:$A$35,0)),"")),2))</f>
        <v>0</v>
      </c>
      <c r="V349" s="36" t="n">
        <f aca="false">IF(OR($D349&lt;&gt;"销项开票",N($Q349)=0),0,ROUND(N($H349)/(1+$Q349)*N(IFERROR(INDEX(单位档案!$L$6:$L$35,MATCH($E349,单位档案!$A$6:$A$35,0)),"")),2))</f>
        <v>0</v>
      </c>
      <c r="W349" s="36" t="n">
        <f aca="false">ROUND($S349+$T349+$U349+$V349,2)</f>
        <v>0</v>
      </c>
      <c r="X349" s="35" t="str">
        <f aca="false">IF(OR($D349="挂靠代收",$D349="我方收款"),COUNTIFS($D$5:$D349,"挂靠代收")+COUNTIFS($D$5:$D349,"我方收款"),"")</f>
        <v/>
      </c>
      <c r="Y349" s="35" t="s">
        <v>114</v>
      </c>
      <c r="Z349" s="21" t="s">
        <v>111</v>
      </c>
    </row>
    <row r="350" customFormat="false" ht="15.75" hidden="false" customHeight="true" outlineLevel="0" collapsed="false">
      <c r="A350" s="32" t="n">
        <f aca="false">IF($B350="","",ROW()-4)</f>
        <v>346</v>
      </c>
      <c r="B350" s="26" t="n">
        <v>46248</v>
      </c>
      <c r="C350" s="24" t="s">
        <v>268</v>
      </c>
      <c r="D350" s="21" t="s">
        <v>307</v>
      </c>
      <c r="E350" s="21" t="s">
        <v>117</v>
      </c>
      <c r="F350" s="21" t="s">
        <v>97</v>
      </c>
      <c r="G350" s="24" t="s">
        <v>316</v>
      </c>
      <c r="H350" s="27" t="n">
        <v>3570.12</v>
      </c>
      <c r="I350" s="23" t="n">
        <v>0.019999</v>
      </c>
      <c r="J350" s="25" t="s">
        <v>600</v>
      </c>
      <c r="K350" s="22" t="s">
        <v>313</v>
      </c>
      <c r="L350" s="33" t="str">
        <f aca="false">IF($B350="","",IF(NOT(ISNUMBER($B350)),"日期格式不对",IF($C350="","未选项目编号",IF(LEFT($M350,1)="⚠","项目编号不存在",IF($D350="","未选业务类型",IF($E350="","未选开票/付款方",IF(ISNA(MATCH($E350,单位档案!$A$6:$A$35,0)),"开票方不在单位档案",IF($F350="","未选收票/收款方",IF(ISNA(MATCH($F350,单位档案!$A$6:$A$35,0)),"收款方不在单位档案",IF(NOT(ISNUMBER($H350)),"金额须为数字",IF(AND($D350="销项开票",$N350="—"),"链条待确认","√")))))))))))</f>
        <v>√</v>
      </c>
      <c r="M350" s="34" t="str">
        <f aca="false">IF($C350="","",IFERROR(INDEX(项目档案!$B$6:$B$255,MATCH($C350,项目档案!$A$6:$A$255,0)),"⚠项目编号不存在"))</f>
        <v>重庆稷博汇物流有限公司10kV充电桩新装用电工程</v>
      </c>
      <c r="N350" s="35" t="str">
        <f aca="false">IF($E350="","",IF($E350=IFERROR(INDEX(项目档案!$D$6:$D$255,MATCH($C350,项目档案!$A$6:$A$255,0)),""),"一级",IF($E350=IFERROR(INDEX(项目档案!$F$6:$F$255,MATCH($C350,项目档案!$A$6:$A$255,0)),""),"二级",IF($E350=IFERROR(INDEX(项目档案!$H$6:$H$255,MATCH($C350,项目档案!$A$6:$A$255,0)),""),"我方","—"))))</f>
        <v>一级</v>
      </c>
      <c r="O350" s="36" t="n">
        <f aca="false">IF($D350&lt;&gt;"销项开票",0,ROUND(N($H350)*N($I350),2))</f>
        <v>71.4</v>
      </c>
      <c r="P350" s="36" t="n">
        <f aca="false">IF($D350&lt;&gt;"销项开票",0,ROUND(N($H350)-$O350,2))</f>
        <v>3498.72</v>
      </c>
      <c r="Q350" s="37" t="n">
        <f aca="false">IF($E350="","",N(IFERROR(INDEX(单位档案!$E$6:$E$35,MATCH($E350,单位档案!$A$6:$A$35,0)),"")))</f>
        <v>0.03</v>
      </c>
      <c r="R350" s="37" t="n">
        <f aca="false">IF($E350="","",N(IFERROR(INDEX(单位档案!$F$6:$F$35,MATCH($E350,单位档案!$A$6:$A$35,0)),"")))</f>
        <v>0.03</v>
      </c>
      <c r="S350" s="36" t="n">
        <f aca="false">IF(OR($D350&lt;&gt;"销项开票",IFERROR(INDEX(单位档案!$G$6:$G$35,MATCH($E350,单位档案!$A$6:$A$35,0)),"")&lt;&gt;"是",N($Q350)=0),0,IF(IFERROR(INDEX(单位档案!$H$6:$H$35,MATCH($E350,单位档案!$A$6:$A$35,0)),"")="税差法",ROUND(N($H350)/(1+$Q350)*$Q350-IF(N($R350)=0,0,$P350/(1+$R350)*$R350),2),ROUND(N($H350)/(1+$Q350)*$Q350,2)))</f>
        <v>103.98</v>
      </c>
      <c r="T350" s="36" t="n">
        <f aca="false">ROUND($S350*N(IFERROR(INDEX(单位档案!$J$6:$J$35,MATCH($E350,单位档案!$A$6:$A$35,0)),"")),2)</f>
        <v>6.24</v>
      </c>
      <c r="U350" s="36" t="n">
        <f aca="false">IF($D350&lt;&gt;"销项开票",0,ROUND(N($H350)*N(IFERROR(INDEX(单位档案!$K$6:$K$35,MATCH($E350,单位档案!$A$6:$A$35,0)),"")),2))</f>
        <v>0</v>
      </c>
      <c r="V350" s="36" t="n">
        <f aca="false">IF(OR($D350&lt;&gt;"销项开票",N($Q350)=0),0,ROUND(N($H350)/(1+$Q350)*N(IFERROR(INDEX(单位档案!$L$6:$L$35,MATCH($E350,单位档案!$A$6:$A$35,0)),"")),2))</f>
        <v>6.93</v>
      </c>
      <c r="W350" s="36" t="n">
        <f aca="false">ROUND($S350+$T350+$U350+$V350,2)</f>
        <v>117.15</v>
      </c>
      <c r="X350" s="35" t="str">
        <f aca="false">IF(OR($D350="挂靠代收",$D350="我方收款"),COUNTIFS($D$5:$D350,"挂靠代收")+COUNTIFS($D$5:$D350,"我方收款"),"")</f>
        <v/>
      </c>
      <c r="Y350" s="35" t="s">
        <v>117</v>
      </c>
      <c r="Z350" s="21" t="s">
        <v>111</v>
      </c>
    </row>
    <row r="351" customFormat="false" ht="15.75" hidden="false" customHeight="true" outlineLevel="0" collapsed="false">
      <c r="A351" s="32" t="n">
        <f aca="false">IF($B351="","",ROW()-4)</f>
        <v>347</v>
      </c>
      <c r="B351" s="26" t="n">
        <v>46248</v>
      </c>
      <c r="C351" s="24" t="s">
        <v>268</v>
      </c>
      <c r="D351" s="21" t="s">
        <v>307</v>
      </c>
      <c r="E351" s="21" t="s">
        <v>117</v>
      </c>
      <c r="F351" s="21" t="s">
        <v>97</v>
      </c>
      <c r="G351" s="24" t="s">
        <v>316</v>
      </c>
      <c r="H351" s="27" t="n">
        <v>3498.72</v>
      </c>
      <c r="I351" s="23" t="n">
        <f aca="false">IF($D351&lt;&gt;"销项开票","",IF($N351="一级",IF(IFERROR(INDEX(项目档案!$E$6:$E$255,MATCH($C351,项目档案!$A$6:$A$255,0)),"")="",N(IFERROR(INDEX(单位档案!$D$6:$D$35,MATCH($E351,单位档案!$A$6:$A$35,0)),"")),IFERROR(INDEX(项目档案!$E$6:$E$255,MATCH($C351,项目档案!$A$6:$A$255,0)),"")),IF($N351="二级",IF(IFERROR(INDEX(项目档案!$G$6:$G$255,MATCH($C351,项目档案!$A$6:$A$255,0)),"")="",N(IFERROR(INDEX(单位档案!$D$6:$D$35,MATCH($E351,单位档案!$A$6:$A$35,0)),"")),IFERROR(INDEX(项目档案!$G$6:$G$255,MATCH($C351,项目档案!$A$6:$A$255,0)),"")),N(IFERROR(INDEX(单位档案!$D$6:$D$35,MATCH($E351,单位档案!$A$6:$A$35,0)),"")))))</f>
        <v>0.02</v>
      </c>
      <c r="J351" s="25" t="s">
        <v>600</v>
      </c>
      <c r="K351" s="22" t="s">
        <v>313</v>
      </c>
      <c r="L351" s="33" t="str">
        <f aca="false">IF($B351="","",IF(NOT(ISNUMBER($B351)),"日期格式不对",IF($C351="","未选项目编号",IF(LEFT($M351,1)="⚠","项目编号不存在",IF($D351="","未选业务类型",IF($E351="","未选开票/付款方",IF(ISNA(MATCH($E351,单位档案!$A$6:$A$35,0)),"开票方不在单位档案",IF($F351="","未选收票/收款方",IF(ISNA(MATCH($F351,单位档案!$A$6:$A$35,0)),"收款方不在单位档案",IF(NOT(ISNUMBER($H351)),"金额须为数字",IF(AND($D351="销项开票",$N351="—"),"链条待确认","√")))))))))))</f>
        <v>√</v>
      </c>
      <c r="M351" s="34" t="str">
        <f aca="false">IF($C351="","",IFERROR(INDEX(项目档案!$B$6:$B$255,MATCH($C351,项目档案!$A$6:$A$255,0)),"⚠项目编号不存在"))</f>
        <v>重庆稷博汇物流有限公司10kV充电桩新装用电工程</v>
      </c>
      <c r="N351" s="35" t="str">
        <f aca="false">IF($E351="","",IF($E351=IFERROR(INDEX(项目档案!$D$6:$D$255,MATCH($C351,项目档案!$A$6:$A$255,0)),""),"一级",IF($E351=IFERROR(INDEX(项目档案!$F$6:$F$255,MATCH($C351,项目档案!$A$6:$A$255,0)),""),"二级",IF($E351=IFERROR(INDEX(项目档案!$H$6:$H$255,MATCH($C351,项目档案!$A$6:$A$255,0)),""),"我方","—"))))</f>
        <v>一级</v>
      </c>
      <c r="O351" s="36" t="n">
        <f aca="false">IF($D351&lt;&gt;"销项开票",0,ROUND(N($H351)*N($I351),2))</f>
        <v>69.97</v>
      </c>
      <c r="P351" s="36" t="n">
        <f aca="false">IF($D351&lt;&gt;"销项开票",0,ROUND(N($H351)-$O351,2))</f>
        <v>3428.75</v>
      </c>
      <c r="Q351" s="37" t="n">
        <f aca="false">IF($E351="","",N(IFERROR(INDEX(单位档案!$E$6:$E$35,MATCH($E351,单位档案!$A$6:$A$35,0)),"")))</f>
        <v>0.03</v>
      </c>
      <c r="R351" s="37" t="n">
        <f aca="false">IF($E351="","",N(IFERROR(INDEX(单位档案!$F$6:$F$35,MATCH($E351,单位档案!$A$6:$A$35,0)),"")))</f>
        <v>0.03</v>
      </c>
      <c r="S351" s="36" t="n">
        <f aca="false">IF(OR($D351&lt;&gt;"销项开票",IFERROR(INDEX(单位档案!$G$6:$G$35,MATCH($E351,单位档案!$A$6:$A$35,0)),"")&lt;&gt;"是",N($Q351)=0),0,IF(IFERROR(INDEX(单位档案!$H$6:$H$35,MATCH($E351,单位档案!$A$6:$A$35,0)),"")="税差法",ROUND(N($H351)/(1+$Q351)*$Q351-IF(N($R351)=0,0,$P351/(1+$R351)*$R351),2),ROUND(N($H351)/(1+$Q351)*$Q351,2)))</f>
        <v>101.9</v>
      </c>
      <c r="T351" s="36" t="n">
        <f aca="false">ROUND($S351*N(IFERROR(INDEX(单位档案!$J$6:$J$35,MATCH($E351,单位档案!$A$6:$A$35,0)),"")),2)</f>
        <v>6.11</v>
      </c>
      <c r="U351" s="36" t="n">
        <f aca="false">IF($D351&lt;&gt;"销项开票",0,ROUND(N($H351)*N(IFERROR(INDEX(单位档案!$K$6:$K$35,MATCH($E351,单位档案!$A$6:$A$35,0)),"")),2))</f>
        <v>0</v>
      </c>
      <c r="V351" s="36" t="n">
        <f aca="false">IF(OR($D351&lt;&gt;"销项开票",N($Q351)=0),0,ROUND(N($H351)/(1+$Q351)*N(IFERROR(INDEX(单位档案!$L$6:$L$35,MATCH($E351,单位档案!$A$6:$A$35,0)),"")),2))</f>
        <v>6.79</v>
      </c>
      <c r="W351" s="36" t="n">
        <f aca="false">ROUND($S351+$T351+$U351+$V351,2)</f>
        <v>114.8</v>
      </c>
      <c r="X351" s="35" t="str">
        <f aca="false">IF(OR($D351="挂靠代收",$D351="我方收款"),COUNTIFS($D$5:$D351,"挂靠代收")+COUNTIFS($D$5:$D351,"我方收款"),"")</f>
        <v/>
      </c>
      <c r="Y351" s="35" t="s">
        <v>117</v>
      </c>
      <c r="Z351" s="21" t="s">
        <v>111</v>
      </c>
    </row>
    <row r="352" customFormat="false" ht="15.75" hidden="false" customHeight="true" outlineLevel="0" collapsed="false">
      <c r="A352" s="32" t="n">
        <f aca="false">IF($B352="","",ROW()-4)</f>
        <v>348</v>
      </c>
      <c r="B352" s="26" t="n">
        <v>46251</v>
      </c>
      <c r="C352" s="24" t="s">
        <v>273</v>
      </c>
      <c r="D352" s="21" t="s">
        <v>307</v>
      </c>
      <c r="E352" s="21" t="s">
        <v>114</v>
      </c>
      <c r="F352" s="21" t="s">
        <v>97</v>
      </c>
      <c r="G352" s="24" t="s">
        <v>316</v>
      </c>
      <c r="H352" s="27" t="n">
        <v>3295.75</v>
      </c>
      <c r="I352" s="23" t="n">
        <v>0.020002</v>
      </c>
      <c r="J352" s="25" t="s">
        <v>601</v>
      </c>
      <c r="K352" s="22" t="s">
        <v>313</v>
      </c>
      <c r="L352" s="33" t="str">
        <f aca="false">IF($B352="","",IF(NOT(ISNUMBER($B352)),"日期格式不对",IF($C352="","未选项目编号",IF(LEFT($M352,1)="⚠","项目编号不存在",IF($D352="","未选业务类型",IF($E352="","未选开票/付款方",IF(ISNA(MATCH($E352,单位档案!$A$6:$A$35,0)),"开票方不在单位档案",IF($F352="","未选收票/收款方",IF(ISNA(MATCH($F352,单位档案!$A$6:$A$35,0)),"收款方不在单位档案",IF(NOT(ISNUMBER($H352)),"金额须为数字",IF(AND($D352="销项开票",$N352="—"),"链条待确认","√")))))))))))</f>
        <v>√</v>
      </c>
      <c r="M352" s="34" t="str">
        <f aca="false">IF($C352="","",IFERROR(INDEX(项目档案!$B$6:$B$255,MATCH($C352,项目档案!$A$6:$A$255,0)),"⚠项目编号不存在"))</f>
        <v>华润电力重庆能源铜梁平滩农光互补项目219kV升压站PC工程</v>
      </c>
      <c r="N352" s="35" t="str">
        <f aca="false">IF($E352="","",IF($E352=IFERROR(INDEX(项目档案!$D$6:$D$255,MATCH($C352,项目档案!$A$6:$A$255,0)),""),"一级",IF($E352=IFERROR(INDEX(项目档案!$F$6:$F$255,MATCH($C352,项目档案!$A$6:$A$255,0)),""),"二级",IF($E352=IFERROR(INDEX(项目档案!$H$6:$H$255,MATCH($C352,项目档案!$A$6:$A$255,0)),""),"我方","—"))))</f>
        <v>一级</v>
      </c>
      <c r="O352" s="36" t="n">
        <f aca="false">IF($D352&lt;&gt;"销项开票",0,ROUND(N($H352)*N($I352),2))</f>
        <v>65.92</v>
      </c>
      <c r="P352" s="36" t="n">
        <f aca="false">IF($D352&lt;&gt;"销项开票",0,ROUND(N($H352)-$O352,2))</f>
        <v>3229.83</v>
      </c>
      <c r="Q352" s="37" t="n">
        <f aca="false">IF($E352="","",N(IFERROR(INDEX(单位档案!$E$6:$E$35,MATCH($E352,单位档案!$A$6:$A$35,0)),"")))</f>
        <v>0.03</v>
      </c>
      <c r="R352" s="37" t="n">
        <f aca="false">IF($E352="","",N(IFERROR(INDEX(单位档案!$F$6:$F$35,MATCH($E352,单位档案!$A$6:$A$35,0)),"")))</f>
        <v>0.01</v>
      </c>
      <c r="S352" s="36" t="n">
        <f aca="false">IF(OR($D352&lt;&gt;"销项开票",IFERROR(INDEX(单位档案!$G$6:$G$35,MATCH($E352,单位档案!$A$6:$A$35,0)),"")&lt;&gt;"是",N($Q352)=0),0,IF(IFERROR(INDEX(单位档案!$H$6:$H$35,MATCH($E352,单位档案!$A$6:$A$35,0)),"")="税差法",ROUND(N($H352)/(1+$Q352)*$Q352-IF(N($R352)=0,0,$P352/(1+$R352)*$R352),2),ROUND(N($H352)/(1+$Q352)*$Q352,2)))</f>
        <v>95.99</v>
      </c>
      <c r="T352" s="36" t="n">
        <f aca="false">ROUND($S352*N(IFERROR(INDEX(单位档案!$J$6:$J$35,MATCH($E352,单位档案!$A$6:$A$35,0)),"")),2)</f>
        <v>11.52</v>
      </c>
      <c r="U352" s="36" t="n">
        <f aca="false">IF($D352&lt;&gt;"销项开票",0,ROUND(N($H352)*N(IFERROR(INDEX(单位档案!$K$6:$K$35,MATCH($E352,单位档案!$A$6:$A$35,0)),"")),2))</f>
        <v>0.99</v>
      </c>
      <c r="V352" s="36" t="n">
        <f aca="false">IF(OR($D352&lt;&gt;"销项开票",N($Q352)=0),0,ROUND(N($H352)/(1+$Q352)*N(IFERROR(INDEX(单位档案!$L$6:$L$35,MATCH($E352,单位档案!$A$6:$A$35,0)),"")),2))</f>
        <v>0</v>
      </c>
      <c r="W352" s="36" t="n">
        <f aca="false">ROUND($S352+$T352+$U352+$V352,2)</f>
        <v>108.5</v>
      </c>
      <c r="X352" s="35" t="str">
        <f aca="false">IF(OR($D352="挂靠代收",$D352="我方收款"),COUNTIFS($D$5:$D352,"挂靠代收")+COUNTIFS($D$5:$D352,"我方收款"),"")</f>
        <v/>
      </c>
      <c r="Y352" s="35" t="s">
        <v>114</v>
      </c>
      <c r="Z352" s="21" t="s">
        <v>111</v>
      </c>
    </row>
    <row r="353" customFormat="false" ht="15.75" hidden="false" customHeight="true" outlineLevel="0" collapsed="false">
      <c r="A353" s="32" t="n">
        <f aca="false">IF($B353="","",ROW()-4)</f>
        <v>349</v>
      </c>
      <c r="B353" s="26" t="n">
        <v>46251</v>
      </c>
      <c r="C353" s="24" t="s">
        <v>273</v>
      </c>
      <c r="D353" s="21" t="s">
        <v>314</v>
      </c>
      <c r="E353" s="21" t="s">
        <v>127</v>
      </c>
      <c r="F353" s="21" t="s">
        <v>114</v>
      </c>
      <c r="G353" s="24" t="s">
        <v>316</v>
      </c>
      <c r="H353" s="27" t="n">
        <v>65.91</v>
      </c>
      <c r="I353" s="23" t="str">
        <f aca="false">IF($D353&lt;&gt;"销项开票","",IF($N353="一级",IF(IFERROR(INDEX(项目档案!$E$6:$E$255,MATCH($C353,项目档案!$A$6:$A$255,0)),"")="",N(IFERROR(INDEX(单位档案!$D$6:$D$35,MATCH($E353,单位档案!$A$6:$A$35,0)),"")),IFERROR(INDEX(项目档案!$E$6:$E$255,MATCH($C353,项目档案!$A$6:$A$255,0)),"")),IF($N353="二级",IF(IFERROR(INDEX(项目档案!$G$6:$G$255,MATCH($C353,项目档案!$A$6:$A$255,0)),"")="",N(IFERROR(INDEX(单位档案!$D$6:$D$35,MATCH($E353,单位档案!$A$6:$A$35,0)),"")),IFERROR(INDEX(项目档案!$G$6:$G$255,MATCH($C353,项目档案!$A$6:$A$255,0)),"")),N(IFERROR(INDEX(单位档案!$D$6:$D$35,MATCH($E353,单位档案!$A$6:$A$35,0)),"")))))</f>
        <v/>
      </c>
      <c r="J353" s="25" t="s">
        <v>601</v>
      </c>
      <c r="K353" s="22" t="s">
        <v>313</v>
      </c>
      <c r="L353" s="33" t="str">
        <f aca="false">IF($B353="","",IF(NOT(ISNUMBER($B353)),"日期格式不对",IF($C353="","未选项目编号",IF(LEFT($M353,1)="⚠","项目编号不存在",IF($D353="","未选业务类型",IF($E353="","未选开票/付款方",IF(ISNA(MATCH($E353,单位档案!$A$6:$A$35,0)),"开票方不在单位档案",IF($F353="","未选收票/收款方",IF(ISNA(MATCH($F353,单位档案!$A$6:$A$35,0)),"收款方不在单位档案",IF(NOT(ISNUMBER($H353)),"金额须为数字",IF(AND($D353="销项开票",$N353="—"),"链条待确认","√")))))))))))</f>
        <v>√</v>
      </c>
      <c r="M353" s="34" t="str">
        <f aca="false">IF($C353="","",IFERROR(INDEX(项目档案!$B$6:$B$255,MATCH($C353,项目档案!$A$6:$A$255,0)),"⚠项目编号不存在"))</f>
        <v>华润电力重庆能源铜梁平滩农光互补项目219kV升压站PC工程</v>
      </c>
      <c r="N353" s="35" t="str">
        <f aca="false">IF($E353="","",IF($E353=IFERROR(INDEX(项目档案!$D$6:$D$255,MATCH($C353,项目档案!$A$6:$A$255,0)),""),"一级",IF($E353=IFERROR(INDEX(项目档案!$F$6:$F$255,MATCH($C353,项目档案!$A$6:$A$255,0)),""),"二级",IF($E353=IFERROR(INDEX(项目档案!$H$6:$H$255,MATCH($C353,项目档案!$A$6:$A$255,0)),""),"我方","—"))))</f>
        <v>我方</v>
      </c>
      <c r="O353" s="36" t="n">
        <f aca="false">IF($D353&lt;&gt;"销项开票",0,ROUND(N($H353)*N($I353),2))</f>
        <v>0</v>
      </c>
      <c r="P353" s="36" t="n">
        <f aca="false">IF($D353&lt;&gt;"销项开票",0,ROUND(N($H353)-$O353,2))</f>
        <v>0</v>
      </c>
      <c r="Q353" s="37" t="n">
        <f aca="false">IF($E353="","",N(IFERROR(INDEX(单位档案!$E$6:$E$35,MATCH($E353,单位档案!$A$6:$A$35,0)),"")))</f>
        <v>0.03</v>
      </c>
      <c r="R353" s="37" t="n">
        <f aca="false">IF($E353="","",N(IFERROR(INDEX(单位档案!$F$6:$F$35,MATCH($E353,单位档案!$A$6:$A$35,0)),"")))</f>
        <v>0</v>
      </c>
      <c r="S353" s="36" t="n">
        <f aca="false">IF(OR($D353&lt;&gt;"销项开票",IFERROR(INDEX(单位档案!$G$6:$G$35,MATCH($E353,单位档案!$A$6:$A$35,0)),"")&lt;&gt;"是",N($Q353)=0),0,IF(IFERROR(INDEX(单位档案!$H$6:$H$35,MATCH($E353,单位档案!$A$6:$A$35,0)),"")="税差法",ROUND(N($H353)/(1+$Q353)*$Q353-IF(N($R353)=0,0,$P353/(1+$R353)*$R353),2),ROUND(N($H353)/(1+$Q353)*$Q353,2)))</f>
        <v>0</v>
      </c>
      <c r="T353" s="36" t="n">
        <f aca="false">ROUND($S353*N(IFERROR(INDEX(单位档案!$J$6:$J$35,MATCH($E353,单位档案!$A$6:$A$35,0)),"")),2)</f>
        <v>0</v>
      </c>
      <c r="U353" s="36" t="n">
        <f aca="false">IF($D353&lt;&gt;"销项开票",0,ROUND(N($H353)*N(IFERROR(INDEX(单位档案!$K$6:$K$35,MATCH($E353,单位档案!$A$6:$A$35,0)),"")),2))</f>
        <v>0</v>
      </c>
      <c r="V353" s="36" t="n">
        <f aca="false">IF(OR($D353&lt;&gt;"销项开票",N($Q353)=0),0,ROUND(N($H353)/(1+$Q353)*N(IFERROR(INDEX(单位档案!$L$6:$L$35,MATCH($E353,单位档案!$A$6:$A$35,0)),"")),2))</f>
        <v>0</v>
      </c>
      <c r="W353" s="36" t="n">
        <f aca="false">ROUND($S353+$T353+$U353+$V353,2)</f>
        <v>0</v>
      </c>
      <c r="X353" s="35" t="str">
        <f aca="false">IF(OR($D353="挂靠代收",$D353="我方收款"),COUNTIFS($D$5:$D353,"挂靠代收")+COUNTIFS($D$5:$D353,"我方收款"),"")</f>
        <v/>
      </c>
      <c r="Y353" s="35" t="s">
        <v>114</v>
      </c>
      <c r="Z353" s="21" t="s">
        <v>111</v>
      </c>
    </row>
    <row r="354" customFormat="false" ht="15.75" hidden="false" customHeight="true" outlineLevel="0" collapsed="false">
      <c r="A354" s="32" t="n">
        <f aca="false">IF($B354="","",ROW()-4)</f>
        <v>350</v>
      </c>
      <c r="B354" s="26" t="n">
        <v>46255</v>
      </c>
      <c r="C354" s="24" t="s">
        <v>275</v>
      </c>
      <c r="D354" s="21" t="s">
        <v>357</v>
      </c>
      <c r="E354" s="21" t="s">
        <v>131</v>
      </c>
      <c r="F354" s="21" t="s">
        <v>106</v>
      </c>
      <c r="G354" s="24" t="s">
        <v>394</v>
      </c>
      <c r="H354" s="27" t="n">
        <v>4722.43</v>
      </c>
      <c r="I354" s="23" t="str">
        <f aca="false">IF($D354&lt;&gt;"销项开票","",IF($N354="一级",IF(IFERROR(INDEX(项目档案!$E$6:$E$255,MATCH($C354,项目档案!$A$6:$A$255,0)),"")="",N(IFERROR(INDEX(单位档案!$D$6:$D$35,MATCH($E354,单位档案!$A$6:$A$35,0)),"")),IFERROR(INDEX(项目档案!$E$6:$E$255,MATCH($C354,项目档案!$A$6:$A$255,0)),"")),IF($N354="二级",IF(IFERROR(INDEX(项目档案!$G$6:$G$255,MATCH($C354,项目档案!$A$6:$A$255,0)),"")="",N(IFERROR(INDEX(单位档案!$D$6:$D$35,MATCH($E354,单位档案!$A$6:$A$35,0)),"")),IFERROR(INDEX(项目档案!$G$6:$G$255,MATCH($C354,项目档案!$A$6:$A$255,0)),"")),N(IFERROR(INDEX(单位档案!$D$6:$D$35,MATCH($E354,单位档案!$A$6:$A$35,0)),"")))))</f>
        <v/>
      </c>
      <c r="J354" s="25" t="s">
        <v>602</v>
      </c>
      <c r="K354" s="22" t="s">
        <v>313</v>
      </c>
      <c r="L354" s="33" t="str">
        <f aca="false">IF($B354="","",IF(NOT(ISNUMBER($B354)),"日期格式不对",IF($C354="","未选项目编号",IF(LEFT($M354,1)="⚠","项目编号不存在",IF($D354="","未选业务类型",IF($E354="","未选开票/付款方",IF(ISNA(MATCH($E354,单位档案!$A$6:$A$35,0)),"开票方不在单位档案",IF($F354="","未选收票/收款方",IF(ISNA(MATCH($F354,单位档案!$A$6:$A$35,0)),"收款方不在单位档案",IF(NOT(ISNUMBER($H354)),"金额须为数字",IF(AND($D354="销项开票",$N354="—"),"链条待确认","√")))))))))))</f>
        <v>√</v>
      </c>
      <c r="M354" s="34" t="str">
        <f aca="false">IF($C354="","",IFERROR(INDEX(项目档案!$B$6:$B$255,MATCH($C354,项目档案!$A$6:$A$255,0)),"⚠项目编号不存在"))</f>
        <v>重庆民能实业有限公司2025-2026年度工程用特种设备租赁服务框架采购（华润电力重庆能源铜梁平滩农光互补项目220kV升压站PC工程）</v>
      </c>
      <c r="N354" s="35" t="str">
        <f aca="false">IF($E354="","",IF($E354=IFERROR(INDEX(项目档案!$D$6:$D$255,MATCH($C354,项目档案!$A$6:$A$255,0)),""),"一级",IF($E354=IFERROR(INDEX(项目档案!$F$6:$F$255,MATCH($C354,项目档案!$A$6:$A$255,0)),""),"二级",IF($E354=IFERROR(INDEX(项目档案!$H$6:$H$255,MATCH($C354,项目档案!$A$6:$A$255,0)),""),"我方","—"))))</f>
        <v>—</v>
      </c>
      <c r="O354" s="36" t="n">
        <f aca="false">IF($D354&lt;&gt;"销项开票",0,ROUND(N($H354)*N($I354),2))</f>
        <v>0</v>
      </c>
      <c r="P354" s="36" t="n">
        <f aca="false">IF($D354&lt;&gt;"销项开票",0,ROUND(N($H354)-$O354,2))</f>
        <v>0</v>
      </c>
      <c r="Q354" s="37" t="n">
        <f aca="false">IF($E354="","",N(IFERROR(INDEX(单位档案!$E$6:$E$35,MATCH($E354,单位档案!$A$6:$A$35,0)),"")))</f>
        <v>0.13</v>
      </c>
      <c r="R354" s="37" t="n">
        <f aca="false">IF($E354="","",N(IFERROR(INDEX(单位档案!$F$6:$F$35,MATCH($E354,单位档案!$A$6:$A$35,0)),"")))</f>
        <v>0</v>
      </c>
      <c r="S354" s="36" t="n">
        <f aca="false">IF(OR($D354&lt;&gt;"销项开票",IFERROR(INDEX(单位档案!$G$6:$G$35,MATCH($E354,单位档案!$A$6:$A$35,0)),"")&lt;&gt;"是",N($Q354)=0),0,IF(IFERROR(INDEX(单位档案!$H$6:$H$35,MATCH($E354,单位档案!$A$6:$A$35,0)),"")="税差法",ROUND(N($H354)/(1+$Q354)*$Q354-IF(N($R354)=0,0,$P354/(1+$R354)*$R354),2),ROUND(N($H354)/(1+$Q354)*$Q354,2)))</f>
        <v>0</v>
      </c>
      <c r="T354" s="36" t="n">
        <f aca="false">ROUND($S354*N(IFERROR(INDEX(单位档案!$J$6:$J$35,MATCH($E354,单位档案!$A$6:$A$35,0)),"")),2)</f>
        <v>0</v>
      </c>
      <c r="U354" s="36" t="n">
        <f aca="false">IF($D354&lt;&gt;"销项开票",0,ROUND(N($H354)*N(IFERROR(INDEX(单位档案!$K$6:$K$35,MATCH($E354,单位档案!$A$6:$A$35,0)),"")),2))</f>
        <v>0</v>
      </c>
      <c r="V354" s="36" t="n">
        <f aca="false">IF(OR($D354&lt;&gt;"销项开票",N($Q354)=0),0,ROUND(N($H354)/(1+$Q354)*N(IFERROR(INDEX(单位档案!$L$6:$L$35,MATCH($E354,单位档案!$A$6:$A$35,0)),"")),2))</f>
        <v>0</v>
      </c>
      <c r="W354" s="36" t="n">
        <f aca="false">ROUND($S354+$T354+$U354+$V354,2)</f>
        <v>0</v>
      </c>
      <c r="X354" s="35" t="str">
        <f aca="false">IF(OR($D354="挂靠代收",$D354="我方收款"),COUNTIFS($D$5:$D354,"挂靠代收")+COUNTIFS($D$5:$D354,"我方收款"),"")</f>
        <v/>
      </c>
      <c r="Y354" s="35" t="s">
        <v>106</v>
      </c>
      <c r="Z354" s="21" t="s">
        <v>111</v>
      </c>
    </row>
    <row r="355" customFormat="false" ht="15.75" hidden="false" customHeight="true" outlineLevel="0" collapsed="false">
      <c r="A355" s="32" t="n">
        <f aca="false">IF($B355="","",ROW()-4)</f>
        <v>351</v>
      </c>
      <c r="B355" s="26" t="n">
        <v>46255</v>
      </c>
      <c r="C355" s="24" t="s">
        <v>275</v>
      </c>
      <c r="D355" s="21" t="s">
        <v>357</v>
      </c>
      <c r="E355" s="21" t="s">
        <v>131</v>
      </c>
      <c r="F355" s="21" t="s">
        <v>106</v>
      </c>
      <c r="G355" s="24" t="s">
        <v>308</v>
      </c>
      <c r="H355" s="27" t="n">
        <v>836.67</v>
      </c>
      <c r="I355" s="23" t="str">
        <f aca="false">IF($D355&lt;&gt;"销项开票","",IF($N355="一级",IF(IFERROR(INDEX(项目档案!$E$6:$E$255,MATCH($C355,项目档案!$A$6:$A$255,0)),"")="",N(IFERROR(INDEX(单位档案!$D$6:$D$35,MATCH($E355,单位档案!$A$6:$A$35,0)),"")),IFERROR(INDEX(项目档案!$E$6:$E$255,MATCH($C355,项目档案!$A$6:$A$255,0)),"")),IF($N355="二级",IF(IFERROR(INDEX(项目档案!$G$6:$G$255,MATCH($C355,项目档案!$A$6:$A$255,0)),"")="",N(IFERROR(INDEX(单位档案!$D$6:$D$35,MATCH($E355,单位档案!$A$6:$A$35,0)),"")),IFERROR(INDEX(项目档案!$G$6:$G$255,MATCH($C355,项目档案!$A$6:$A$255,0)),"")),N(IFERROR(INDEX(单位档案!$D$6:$D$35,MATCH($E355,单位档案!$A$6:$A$35,0)),"")))))</f>
        <v/>
      </c>
      <c r="J355" s="25" t="s">
        <v>602</v>
      </c>
      <c r="K355" s="22" t="s">
        <v>313</v>
      </c>
      <c r="L355" s="33" t="str">
        <f aca="false">IF($B355="","",IF(NOT(ISNUMBER($B355)),"日期格式不对",IF($C355="","未选项目编号",IF(LEFT($M355,1)="⚠","项目编号不存在",IF($D355="","未选业务类型",IF($E355="","未选开票/付款方",IF(ISNA(MATCH($E355,单位档案!$A$6:$A$35,0)),"开票方不在单位档案",IF($F355="","未选收票/收款方",IF(ISNA(MATCH($F355,单位档案!$A$6:$A$35,0)),"收款方不在单位档案",IF(NOT(ISNUMBER($H355)),"金额须为数字",IF(AND($D355="销项开票",$N355="—"),"链条待确认","√")))))))))))</f>
        <v>√</v>
      </c>
      <c r="M355" s="34" t="str">
        <f aca="false">IF($C355="","",IFERROR(INDEX(项目档案!$B$6:$B$255,MATCH($C355,项目档案!$A$6:$A$255,0)),"⚠项目编号不存在"))</f>
        <v>重庆民能实业有限公司2025-2026年度工程用特种设备租赁服务框架采购（华润电力重庆能源铜梁平滩农光互补项目220kV升压站PC工程）</v>
      </c>
      <c r="N355" s="35" t="str">
        <f aca="false">IF($E355="","",IF($E355=IFERROR(INDEX(项目档案!$D$6:$D$255,MATCH($C355,项目档案!$A$6:$A$255,0)),""),"一级",IF($E355=IFERROR(INDEX(项目档案!$F$6:$F$255,MATCH($C355,项目档案!$A$6:$A$255,0)),""),"二级",IF($E355=IFERROR(INDEX(项目档案!$H$6:$H$255,MATCH($C355,项目档案!$A$6:$A$255,0)),""),"我方","—"))))</f>
        <v>—</v>
      </c>
      <c r="O355" s="36" t="n">
        <f aca="false">IF($D355&lt;&gt;"销项开票",0,ROUND(N($H355)*N($I355),2))</f>
        <v>0</v>
      </c>
      <c r="P355" s="36" t="n">
        <f aca="false">IF($D355&lt;&gt;"销项开票",0,ROUND(N($H355)-$O355,2))</f>
        <v>0</v>
      </c>
      <c r="Q355" s="37" t="n">
        <f aca="false">IF($E355="","",N(IFERROR(INDEX(单位档案!$E$6:$E$35,MATCH($E355,单位档案!$A$6:$A$35,0)),"")))</f>
        <v>0.13</v>
      </c>
      <c r="R355" s="37" t="n">
        <f aca="false">IF($E355="","",N(IFERROR(INDEX(单位档案!$F$6:$F$35,MATCH($E355,单位档案!$A$6:$A$35,0)),"")))</f>
        <v>0</v>
      </c>
      <c r="S355" s="36" t="n">
        <f aca="false">IF(OR($D355&lt;&gt;"销项开票",IFERROR(INDEX(单位档案!$G$6:$G$35,MATCH($E355,单位档案!$A$6:$A$35,0)),"")&lt;&gt;"是",N($Q355)=0),0,IF(IFERROR(INDEX(单位档案!$H$6:$H$35,MATCH($E355,单位档案!$A$6:$A$35,0)),"")="税差法",ROUND(N($H355)/(1+$Q355)*$Q355-IF(N($R355)=0,0,$P355/(1+$R355)*$R355),2),ROUND(N($H355)/(1+$Q355)*$Q355,2)))</f>
        <v>0</v>
      </c>
      <c r="T355" s="36" t="n">
        <f aca="false">ROUND($S355*N(IFERROR(INDEX(单位档案!$J$6:$J$35,MATCH($E355,单位档案!$A$6:$A$35,0)),"")),2)</f>
        <v>0</v>
      </c>
      <c r="U355" s="36" t="n">
        <f aca="false">IF($D355&lt;&gt;"销项开票",0,ROUND(N($H355)*N(IFERROR(INDEX(单位档案!$K$6:$K$35,MATCH($E355,单位档案!$A$6:$A$35,0)),"")),2))</f>
        <v>0</v>
      </c>
      <c r="V355" s="36" t="n">
        <f aca="false">IF(OR($D355&lt;&gt;"销项开票",N($Q355)=0),0,ROUND(N($H355)/(1+$Q355)*N(IFERROR(INDEX(单位档案!$L$6:$L$35,MATCH($E355,单位档案!$A$6:$A$35,0)),"")),2))</f>
        <v>0</v>
      </c>
      <c r="W355" s="36" t="n">
        <f aca="false">ROUND($S355+$T355+$U355+$V355,2)</f>
        <v>0</v>
      </c>
      <c r="X355" s="35" t="str">
        <f aca="false">IF(OR($D355="挂靠代收",$D355="我方收款"),COUNTIFS($D$5:$D355,"挂靠代收")+COUNTIFS($D$5:$D355,"我方收款"),"")</f>
        <v/>
      </c>
      <c r="Y355" s="35" t="s">
        <v>106</v>
      </c>
      <c r="Z355" s="21" t="s">
        <v>111</v>
      </c>
    </row>
    <row r="356" customFormat="false" ht="15.75" hidden="false" customHeight="true" outlineLevel="0" collapsed="false">
      <c r="A356" s="32" t="n">
        <f aca="false">IF($B356="","",ROW()-4)</f>
        <v>352</v>
      </c>
      <c r="B356" s="26" t="n">
        <v>46255</v>
      </c>
      <c r="C356" s="24" t="s">
        <v>277</v>
      </c>
      <c r="D356" s="21" t="s">
        <v>357</v>
      </c>
      <c r="E356" s="21" t="s">
        <v>131</v>
      </c>
      <c r="F356" s="21" t="s">
        <v>106</v>
      </c>
      <c r="G356" s="24" t="s">
        <v>394</v>
      </c>
      <c r="H356" s="27" t="n">
        <v>4722.43</v>
      </c>
      <c r="I356" s="23" t="str">
        <f aca="false">IF($D356&lt;&gt;"销项开票","",IF($N356="一级",IF(IFERROR(INDEX(项目档案!$E$6:$E$255,MATCH($C356,项目档案!$A$6:$A$255,0)),"")="",N(IFERROR(INDEX(单位档案!$D$6:$D$35,MATCH($E356,单位档案!$A$6:$A$35,0)),"")),IFERROR(INDEX(项目档案!$E$6:$E$255,MATCH($C356,项目档案!$A$6:$A$255,0)),"")),IF($N356="二级",IF(IFERROR(INDEX(项目档案!$G$6:$G$255,MATCH($C356,项目档案!$A$6:$A$255,0)),"")="",N(IFERROR(INDEX(单位档案!$D$6:$D$35,MATCH($E356,单位档案!$A$6:$A$35,0)),"")),IFERROR(INDEX(项目档案!$G$6:$G$255,MATCH($C356,项目档案!$A$6:$A$255,0)),"")),N(IFERROR(INDEX(单位档案!$D$6:$D$35,MATCH($E356,单位档案!$A$6:$A$35,0)),"")))))</f>
        <v/>
      </c>
      <c r="J356" s="25" t="s">
        <v>603</v>
      </c>
      <c r="K356" s="22" t="s">
        <v>313</v>
      </c>
      <c r="L356" s="33" t="str">
        <f aca="false">IF($B356="","",IF(NOT(ISNUMBER($B356)),"日期格式不对",IF($C356="","未选项目编号",IF(LEFT($M356,1)="⚠","项目编号不存在",IF($D356="","未选业务类型",IF($E356="","未选开票/付款方",IF(ISNA(MATCH($E356,单位档案!$A$6:$A$35,0)),"开票方不在单位档案",IF($F356="","未选收票/收款方",IF(ISNA(MATCH($F356,单位档案!$A$6:$A$35,0)),"收款方不在单位档案",IF(NOT(ISNUMBER($H356)),"金额须为数字",IF(AND($D356="销项开票",$N356="—"),"链条待确认","√")))))))))))</f>
        <v>√</v>
      </c>
      <c r="M356" s="34" t="str">
        <f aca="false">IF($C356="","",IFERROR(INDEX(项目档案!$B$6:$B$255,MATCH($C356,项目档案!$A$6:$A$255,0)),"⚠项目编号不存在"))</f>
        <v>重庆民能实业有 限公司
2025-2026年度工程用特种设
备租赁服务框架采购（重庆稷
博汇物流有 限公司10kV充电桩
新装用电工程）</v>
      </c>
      <c r="N356" s="35" t="str">
        <f aca="false">IF($E356="","",IF($E356=IFERROR(INDEX(项目档案!$D$6:$D$255,MATCH($C356,项目档案!$A$6:$A$255,0)),""),"一级",IF($E356=IFERROR(INDEX(项目档案!$F$6:$F$255,MATCH($C356,项目档案!$A$6:$A$255,0)),""),"二级",IF($E356=IFERROR(INDEX(项目档案!$H$6:$H$255,MATCH($C356,项目档案!$A$6:$A$255,0)),""),"我方","—"))))</f>
        <v>—</v>
      </c>
      <c r="O356" s="36" t="n">
        <f aca="false">IF($D356&lt;&gt;"销项开票",0,ROUND(N($H356)*N($I356),2))</f>
        <v>0</v>
      </c>
      <c r="P356" s="36" t="n">
        <f aca="false">IF($D356&lt;&gt;"销项开票",0,ROUND(N($H356)-$O356,2))</f>
        <v>0</v>
      </c>
      <c r="Q356" s="37" t="n">
        <f aca="false">IF($E356="","",N(IFERROR(INDEX(单位档案!$E$6:$E$35,MATCH($E356,单位档案!$A$6:$A$35,0)),"")))</f>
        <v>0.13</v>
      </c>
      <c r="R356" s="37" t="n">
        <f aca="false">IF($E356="","",N(IFERROR(INDEX(单位档案!$F$6:$F$35,MATCH($E356,单位档案!$A$6:$A$35,0)),"")))</f>
        <v>0</v>
      </c>
      <c r="S356" s="36" t="n">
        <f aca="false">IF(OR($D356&lt;&gt;"销项开票",IFERROR(INDEX(单位档案!$G$6:$G$35,MATCH($E356,单位档案!$A$6:$A$35,0)),"")&lt;&gt;"是",N($Q356)=0),0,IF(IFERROR(INDEX(单位档案!$H$6:$H$35,MATCH($E356,单位档案!$A$6:$A$35,0)),"")="税差法",ROUND(N($H356)/(1+$Q356)*$Q356-IF(N($R356)=0,0,$P356/(1+$R356)*$R356),2),ROUND(N($H356)/(1+$Q356)*$Q356,2)))</f>
        <v>0</v>
      </c>
      <c r="T356" s="36" t="n">
        <f aca="false">ROUND($S356*N(IFERROR(INDEX(单位档案!$J$6:$J$35,MATCH($E356,单位档案!$A$6:$A$35,0)),"")),2)</f>
        <v>0</v>
      </c>
      <c r="U356" s="36" t="n">
        <f aca="false">IF($D356&lt;&gt;"销项开票",0,ROUND(N($H356)*N(IFERROR(INDEX(单位档案!$K$6:$K$35,MATCH($E356,单位档案!$A$6:$A$35,0)),"")),2))</f>
        <v>0</v>
      </c>
      <c r="V356" s="36" t="n">
        <f aca="false">IF(OR($D356&lt;&gt;"销项开票",N($Q356)=0),0,ROUND(N($H356)/(1+$Q356)*N(IFERROR(INDEX(单位档案!$L$6:$L$35,MATCH($E356,单位档案!$A$6:$A$35,0)),"")),2))</f>
        <v>0</v>
      </c>
      <c r="W356" s="36" t="n">
        <f aca="false">ROUND($S356+$T356+$U356+$V356,2)</f>
        <v>0</v>
      </c>
      <c r="X356" s="35" t="str">
        <f aca="false">IF(OR($D356="挂靠代收",$D356="我方收款"),COUNTIFS($D$5:$D356,"挂靠代收")+COUNTIFS($D$5:$D356,"我方收款"),"")</f>
        <v/>
      </c>
      <c r="Y356" s="35" t="s">
        <v>106</v>
      </c>
      <c r="Z356" s="21" t="s">
        <v>111</v>
      </c>
    </row>
    <row r="357" customFormat="false" ht="15.75" hidden="false" customHeight="true" outlineLevel="0" collapsed="false">
      <c r="A357" s="32" t="n">
        <f aca="false">IF($B357="","",ROW()-4)</f>
        <v>353</v>
      </c>
      <c r="B357" s="26" t="n">
        <v>46255</v>
      </c>
      <c r="C357" s="24" t="s">
        <v>277</v>
      </c>
      <c r="D357" s="21" t="s">
        <v>357</v>
      </c>
      <c r="E357" s="21" t="s">
        <v>131</v>
      </c>
      <c r="F357" s="21" t="s">
        <v>106</v>
      </c>
      <c r="G357" s="24" t="s">
        <v>308</v>
      </c>
      <c r="H357" s="27" t="n">
        <v>717.79</v>
      </c>
      <c r="I357" s="23" t="str">
        <f aca="false">IF($D357&lt;&gt;"销项开票","",IF($N357="一级",IF(IFERROR(INDEX(项目档案!$E$6:$E$255,MATCH($C357,项目档案!$A$6:$A$255,0)),"")="",N(IFERROR(INDEX(单位档案!$D$6:$D$35,MATCH($E357,单位档案!$A$6:$A$35,0)),"")),IFERROR(INDEX(项目档案!$E$6:$E$255,MATCH($C357,项目档案!$A$6:$A$255,0)),"")),IF($N357="二级",IF(IFERROR(INDEX(项目档案!$G$6:$G$255,MATCH($C357,项目档案!$A$6:$A$255,0)),"")="",N(IFERROR(INDEX(单位档案!$D$6:$D$35,MATCH($E357,单位档案!$A$6:$A$35,0)),"")),IFERROR(INDEX(项目档案!$G$6:$G$255,MATCH($C357,项目档案!$A$6:$A$255,0)),"")),N(IFERROR(INDEX(单位档案!$D$6:$D$35,MATCH($E357,单位档案!$A$6:$A$35,0)),"")))))</f>
        <v/>
      </c>
      <c r="J357" s="25" t="s">
        <v>603</v>
      </c>
      <c r="K357" s="22" t="s">
        <v>313</v>
      </c>
      <c r="L357" s="33" t="str">
        <f aca="false">IF($B357="","",IF(NOT(ISNUMBER($B357)),"日期格式不对",IF($C357="","未选项目编号",IF(LEFT($M357,1)="⚠","项目编号不存在",IF($D357="","未选业务类型",IF($E357="","未选开票/付款方",IF(ISNA(MATCH($E357,单位档案!$A$6:$A$35,0)),"开票方不在单位档案",IF($F357="","未选收票/收款方",IF(ISNA(MATCH($F357,单位档案!$A$6:$A$35,0)),"收款方不在单位档案",IF(NOT(ISNUMBER($H357)),"金额须为数字",IF(AND($D357="销项开票",$N357="—"),"链条待确认","√")))))))))))</f>
        <v>√</v>
      </c>
      <c r="M357" s="34" t="str">
        <f aca="false">IF($C357="","",IFERROR(INDEX(项目档案!$B$6:$B$255,MATCH($C357,项目档案!$A$6:$A$255,0)),"⚠项目编号不存在"))</f>
        <v>重庆民能实业有 限公司
2025-2026年度工程用特种设
备租赁服务框架采购（重庆稷
博汇物流有 限公司10kV充电桩
新装用电工程）</v>
      </c>
      <c r="N357" s="35" t="str">
        <f aca="false">IF($E357="","",IF($E357=IFERROR(INDEX(项目档案!$D$6:$D$255,MATCH($C357,项目档案!$A$6:$A$255,0)),""),"一级",IF($E357=IFERROR(INDEX(项目档案!$F$6:$F$255,MATCH($C357,项目档案!$A$6:$A$255,0)),""),"二级",IF($E357=IFERROR(INDEX(项目档案!$H$6:$H$255,MATCH($C357,项目档案!$A$6:$A$255,0)),""),"我方","—"))))</f>
        <v>—</v>
      </c>
      <c r="O357" s="36" t="n">
        <f aca="false">IF($D357&lt;&gt;"销项开票",0,ROUND(N($H357)*N($I357),2))</f>
        <v>0</v>
      </c>
      <c r="P357" s="36" t="n">
        <f aca="false">IF($D357&lt;&gt;"销项开票",0,ROUND(N($H357)-$O357,2))</f>
        <v>0</v>
      </c>
      <c r="Q357" s="37" t="n">
        <f aca="false">IF($E357="","",N(IFERROR(INDEX(单位档案!$E$6:$E$35,MATCH($E357,单位档案!$A$6:$A$35,0)),"")))</f>
        <v>0.13</v>
      </c>
      <c r="R357" s="37" t="n">
        <f aca="false">IF($E357="","",N(IFERROR(INDEX(单位档案!$F$6:$F$35,MATCH($E357,单位档案!$A$6:$A$35,0)),"")))</f>
        <v>0</v>
      </c>
      <c r="S357" s="36" t="n">
        <f aca="false">IF(OR($D357&lt;&gt;"销项开票",IFERROR(INDEX(单位档案!$G$6:$G$35,MATCH($E357,单位档案!$A$6:$A$35,0)),"")&lt;&gt;"是",N($Q357)=0),0,IF(IFERROR(INDEX(单位档案!$H$6:$H$35,MATCH($E357,单位档案!$A$6:$A$35,0)),"")="税差法",ROUND(N($H357)/(1+$Q357)*$Q357-IF(N($R357)=0,0,$P357/(1+$R357)*$R357),2),ROUND(N($H357)/(1+$Q357)*$Q357,2)))</f>
        <v>0</v>
      </c>
      <c r="T357" s="36" t="n">
        <f aca="false">ROUND($S357*N(IFERROR(INDEX(单位档案!$J$6:$J$35,MATCH($E357,单位档案!$A$6:$A$35,0)),"")),2)</f>
        <v>0</v>
      </c>
      <c r="U357" s="36" t="n">
        <f aca="false">IF($D357&lt;&gt;"销项开票",0,ROUND(N($H357)*N(IFERROR(INDEX(单位档案!$K$6:$K$35,MATCH($E357,单位档案!$A$6:$A$35,0)),"")),2))</f>
        <v>0</v>
      </c>
      <c r="V357" s="36" t="n">
        <f aca="false">IF(OR($D357&lt;&gt;"销项开票",N($Q357)=0),0,ROUND(N($H357)/(1+$Q357)*N(IFERROR(INDEX(单位档案!$L$6:$L$35,MATCH($E357,单位档案!$A$6:$A$35,0)),"")),2))</f>
        <v>0</v>
      </c>
      <c r="W357" s="36" t="n">
        <f aca="false">ROUND($S357+$T357+$U357+$V357,2)</f>
        <v>0</v>
      </c>
      <c r="X357" s="35" t="str">
        <f aca="false">IF(OR($D357="挂靠代收",$D357="我方收款"),COUNTIFS($D$5:$D357,"挂靠代收")+COUNTIFS($D$5:$D357,"我方收款"),"")</f>
        <v/>
      </c>
      <c r="Y357" s="35" t="s">
        <v>106</v>
      </c>
      <c r="Z357" s="21" t="s">
        <v>111</v>
      </c>
    </row>
    <row r="358" customFormat="false" ht="15.75" hidden="false" customHeight="true" outlineLevel="0" collapsed="false">
      <c r="A358" s="32" t="n">
        <f aca="false">IF($B358="","",ROW()-4)</f>
        <v>354</v>
      </c>
      <c r="B358" s="26" t="n">
        <v>46255</v>
      </c>
      <c r="C358" s="24" t="s">
        <v>279</v>
      </c>
      <c r="D358" s="21" t="s">
        <v>357</v>
      </c>
      <c r="E358" s="21" t="s">
        <v>131</v>
      </c>
      <c r="F358" s="21" t="s">
        <v>106</v>
      </c>
      <c r="G358" s="24" t="s">
        <v>308</v>
      </c>
      <c r="H358" s="27" t="n">
        <v>315.17</v>
      </c>
      <c r="I358" s="23" t="str">
        <f aca="false">IF($D358&lt;&gt;"销项开票","",IF($N358="一级",IF(IFERROR(INDEX(项目档案!$E$6:$E$255,MATCH($C358,项目档案!$A$6:$A$255,0)),"")="",N(IFERROR(INDEX(单位档案!$D$6:$D$35,MATCH($E358,单位档案!$A$6:$A$35,0)),"")),IFERROR(INDEX(项目档案!$E$6:$E$255,MATCH($C358,项目档案!$A$6:$A$255,0)),"")),IF($N358="二级",IF(IFERROR(INDEX(项目档案!$G$6:$G$255,MATCH($C358,项目档案!$A$6:$A$255,0)),"")="",N(IFERROR(INDEX(单位档案!$D$6:$D$35,MATCH($E358,单位档案!$A$6:$A$35,0)),"")),IFERROR(INDEX(项目档案!$G$6:$G$255,MATCH($C358,项目档案!$A$6:$A$255,0)),"")),N(IFERROR(INDEX(单位档案!$D$6:$D$35,MATCH($E358,单位档案!$A$6:$A$35,0)),"")))))</f>
        <v/>
      </c>
      <c r="J358" s="25" t="s">
        <v>604</v>
      </c>
      <c r="K358" s="22" t="s">
        <v>313</v>
      </c>
      <c r="L358" s="33" t="str">
        <f aca="false">IF($B358="","",IF(NOT(ISNUMBER($B358)),"日期格式不对",IF($C358="","未选项目编号",IF(LEFT($M358,1)="⚠","项目编号不存在",IF($D358="","未选业务类型",IF($E358="","未选开票/付款方",IF(ISNA(MATCH($E358,单位档案!$A$6:$A$35,0)),"开票方不在单位档案",IF($F358="","未选收票/收款方",IF(ISNA(MATCH($F358,单位档案!$A$6:$A$35,0)),"收款方不在单位档案",IF(NOT(ISNUMBER($H358)),"金额须为数字",IF(AND($D358="销项开票",$N358="—"),"链条待确认","√")))))))))))</f>
        <v>√</v>
      </c>
      <c r="M358" s="34" t="str">
        <f aca="false">IF($C358="","",IFERROR(INDEX(项目档案!$B$6:$B$255,MATCH($C358,项目档案!$A$6:$A$255,0)),"⚠项目编号不存在"))</f>
        <v>项目名称：重庆民能实业有限公司2025-2026年度工程用特种设备租赁服务框架采购（铜梁公司2026年配电专业应急抢修抢险等外包项目
（永嘉所10kV西新线等2条线路综合检修项目））</v>
      </c>
      <c r="N358" s="35" t="str">
        <f aca="false">IF($E358="","",IF($E358=IFERROR(INDEX(项目档案!$D$6:$D$255,MATCH($C358,项目档案!$A$6:$A$255,0)),""),"一级",IF($E358=IFERROR(INDEX(项目档案!$F$6:$F$255,MATCH($C358,项目档案!$A$6:$A$255,0)),""),"二级",IF($E358=IFERROR(INDEX(项目档案!$H$6:$H$255,MATCH($C358,项目档案!$A$6:$A$255,0)),""),"我方","—"))))</f>
        <v>—</v>
      </c>
      <c r="O358" s="36" t="n">
        <f aca="false">IF($D358&lt;&gt;"销项开票",0,ROUND(N($H358)*N($I358),2))</f>
        <v>0</v>
      </c>
      <c r="P358" s="36" t="n">
        <f aca="false">IF($D358&lt;&gt;"销项开票",0,ROUND(N($H358)-$O358,2))</f>
        <v>0</v>
      </c>
      <c r="Q358" s="37" t="n">
        <f aca="false">IF($E358="","",N(IFERROR(INDEX(单位档案!$E$6:$E$35,MATCH($E358,单位档案!$A$6:$A$35,0)),"")))</f>
        <v>0.13</v>
      </c>
      <c r="R358" s="37" t="n">
        <f aca="false">IF($E358="","",N(IFERROR(INDEX(单位档案!$F$6:$F$35,MATCH($E358,单位档案!$A$6:$A$35,0)),"")))</f>
        <v>0</v>
      </c>
      <c r="S358" s="36" t="n">
        <f aca="false">IF(OR($D358&lt;&gt;"销项开票",IFERROR(INDEX(单位档案!$G$6:$G$35,MATCH($E358,单位档案!$A$6:$A$35,0)),"")&lt;&gt;"是",N($Q358)=0),0,IF(IFERROR(INDEX(单位档案!$H$6:$H$35,MATCH($E358,单位档案!$A$6:$A$35,0)),"")="税差法",ROUND(N($H358)/(1+$Q358)*$Q358-IF(N($R358)=0,0,$P358/(1+$R358)*$R358),2),ROUND(N($H358)/(1+$Q358)*$Q358,2)))</f>
        <v>0</v>
      </c>
      <c r="T358" s="36" t="n">
        <f aca="false">ROUND($S358*N(IFERROR(INDEX(单位档案!$J$6:$J$35,MATCH($E358,单位档案!$A$6:$A$35,0)),"")),2)</f>
        <v>0</v>
      </c>
      <c r="U358" s="36" t="n">
        <f aca="false">IF($D358&lt;&gt;"销项开票",0,ROUND(N($H358)*N(IFERROR(INDEX(单位档案!$K$6:$K$35,MATCH($E358,单位档案!$A$6:$A$35,0)),"")),2))</f>
        <v>0</v>
      </c>
      <c r="V358" s="36" t="n">
        <f aca="false">IF(OR($D358&lt;&gt;"销项开票",N($Q358)=0),0,ROUND(N($H358)/(1+$Q358)*N(IFERROR(INDEX(单位档案!$L$6:$L$35,MATCH($E358,单位档案!$A$6:$A$35,0)),"")),2))</f>
        <v>0</v>
      </c>
      <c r="W358" s="36" t="n">
        <f aca="false">ROUND($S358+$T358+$U358+$V358,2)</f>
        <v>0</v>
      </c>
      <c r="X358" s="35" t="str">
        <f aca="false">IF(OR($D358="挂靠代收",$D358="我方收款"),COUNTIFS($D$5:$D358,"挂靠代收")+COUNTIFS($D$5:$D358,"我方收款"),"")</f>
        <v/>
      </c>
      <c r="Y358" s="35" t="s">
        <v>106</v>
      </c>
      <c r="Z358" s="21" t="s">
        <v>111</v>
      </c>
    </row>
    <row r="359" customFormat="false" ht="15.75" hidden="false" customHeight="true" outlineLevel="0" collapsed="false">
      <c r="A359" s="32" t="n">
        <f aca="false">IF($B359="","",ROW()-4)</f>
        <v>355</v>
      </c>
      <c r="B359" s="26" t="n">
        <v>46255</v>
      </c>
      <c r="C359" s="24" t="s">
        <v>279</v>
      </c>
      <c r="D359" s="21" t="s">
        <v>357</v>
      </c>
      <c r="E359" s="21" t="s">
        <v>131</v>
      </c>
      <c r="F359" s="21" t="s">
        <v>106</v>
      </c>
      <c r="G359" s="24" t="s">
        <v>394</v>
      </c>
      <c r="H359" s="27" t="n">
        <v>15075.46</v>
      </c>
      <c r="I359" s="23" t="str">
        <f aca="false">IF($D359&lt;&gt;"销项开票","",IF($N359="一级",IF(IFERROR(INDEX(项目档案!$E$6:$E$255,MATCH($C359,项目档案!$A$6:$A$255,0)),"")="",N(IFERROR(INDEX(单位档案!$D$6:$D$35,MATCH($E359,单位档案!$A$6:$A$35,0)),"")),IFERROR(INDEX(项目档案!$E$6:$E$255,MATCH($C359,项目档案!$A$6:$A$255,0)),"")),IF($N359="二级",IF(IFERROR(INDEX(项目档案!$G$6:$G$255,MATCH($C359,项目档案!$A$6:$A$255,0)),"")="",N(IFERROR(INDEX(单位档案!$D$6:$D$35,MATCH($E359,单位档案!$A$6:$A$35,0)),"")),IFERROR(INDEX(项目档案!$G$6:$G$255,MATCH($C359,项目档案!$A$6:$A$255,0)),"")),N(IFERROR(INDEX(单位档案!$D$6:$D$35,MATCH($E359,单位档案!$A$6:$A$35,0)),"")))))</f>
        <v/>
      </c>
      <c r="J359" s="25" t="s">
        <v>604</v>
      </c>
      <c r="K359" s="22" t="s">
        <v>313</v>
      </c>
      <c r="L359" s="33" t="str">
        <f aca="false">IF($B359="","",IF(NOT(ISNUMBER($B359)),"日期格式不对",IF($C359="","未选项目编号",IF(LEFT($M359,1)="⚠","项目编号不存在",IF($D359="","未选业务类型",IF($E359="","未选开票/付款方",IF(ISNA(MATCH($E359,单位档案!$A$6:$A$35,0)),"开票方不在单位档案",IF($F359="","未选收票/收款方",IF(ISNA(MATCH($F359,单位档案!$A$6:$A$35,0)),"收款方不在单位档案",IF(NOT(ISNUMBER($H359)),"金额须为数字",IF(AND($D359="销项开票",$N359="—"),"链条待确认","√")))))))))))</f>
        <v>√</v>
      </c>
      <c r="M359" s="34" t="str">
        <f aca="false">IF($C359="","",IFERROR(INDEX(项目档案!$B$6:$B$255,MATCH($C359,项目档案!$A$6:$A$255,0)),"⚠项目编号不存在"))</f>
        <v>项目名称：重庆民能实业有限公司2025-2026年度工程用特种设备租赁服务框架采购（铜梁公司2026年配电专业应急抢修抢险等外包项目
（永嘉所10kV西新线等2条线路综合检修项目））</v>
      </c>
      <c r="N359" s="35" t="str">
        <f aca="false">IF($E359="","",IF($E359=IFERROR(INDEX(项目档案!$D$6:$D$255,MATCH($C359,项目档案!$A$6:$A$255,0)),""),"一级",IF($E359=IFERROR(INDEX(项目档案!$F$6:$F$255,MATCH($C359,项目档案!$A$6:$A$255,0)),""),"二级",IF($E359=IFERROR(INDEX(项目档案!$H$6:$H$255,MATCH($C359,项目档案!$A$6:$A$255,0)),""),"我方","—"))))</f>
        <v>—</v>
      </c>
      <c r="O359" s="36" t="n">
        <f aca="false">IF($D359&lt;&gt;"销项开票",0,ROUND(N($H359)*N($I359),2))</f>
        <v>0</v>
      </c>
      <c r="P359" s="36" t="n">
        <f aca="false">IF($D359&lt;&gt;"销项开票",0,ROUND(N($H359)-$O359,2))</f>
        <v>0</v>
      </c>
      <c r="Q359" s="37" t="n">
        <f aca="false">IF($E359="","",N(IFERROR(INDEX(单位档案!$E$6:$E$35,MATCH($E359,单位档案!$A$6:$A$35,0)),"")))</f>
        <v>0.13</v>
      </c>
      <c r="R359" s="37" t="n">
        <f aca="false">IF($E359="","",N(IFERROR(INDEX(单位档案!$F$6:$F$35,MATCH($E359,单位档案!$A$6:$A$35,0)),"")))</f>
        <v>0</v>
      </c>
      <c r="S359" s="36" t="n">
        <f aca="false">IF(OR($D359&lt;&gt;"销项开票",IFERROR(INDEX(单位档案!$G$6:$G$35,MATCH($E359,单位档案!$A$6:$A$35,0)),"")&lt;&gt;"是",N($Q359)=0),0,IF(IFERROR(INDEX(单位档案!$H$6:$H$35,MATCH($E359,单位档案!$A$6:$A$35,0)),"")="税差法",ROUND(N($H359)/(1+$Q359)*$Q359-IF(N($R359)=0,0,$P359/(1+$R359)*$R359),2),ROUND(N($H359)/(1+$Q359)*$Q359,2)))</f>
        <v>0</v>
      </c>
      <c r="T359" s="36" t="n">
        <f aca="false">ROUND($S359*N(IFERROR(INDEX(单位档案!$J$6:$J$35,MATCH($E359,单位档案!$A$6:$A$35,0)),"")),2)</f>
        <v>0</v>
      </c>
      <c r="U359" s="36" t="n">
        <f aca="false">IF($D359&lt;&gt;"销项开票",0,ROUND(N($H359)*N(IFERROR(INDEX(单位档案!$K$6:$K$35,MATCH($E359,单位档案!$A$6:$A$35,0)),"")),2))</f>
        <v>0</v>
      </c>
      <c r="V359" s="36" t="n">
        <f aca="false">IF(OR($D359&lt;&gt;"销项开票",N($Q359)=0),0,ROUND(N($H359)/(1+$Q359)*N(IFERROR(INDEX(单位档案!$L$6:$L$35,MATCH($E359,单位档案!$A$6:$A$35,0)),"")),2))</f>
        <v>0</v>
      </c>
      <c r="W359" s="36" t="n">
        <f aca="false">ROUND($S359+$T359+$U359+$V359,2)</f>
        <v>0</v>
      </c>
      <c r="X359" s="35" t="str">
        <f aca="false">IF(OR($D359="挂靠代收",$D359="我方收款"),COUNTIFS($D$5:$D359,"挂靠代收")+COUNTIFS($D$5:$D359,"我方收款"),"")</f>
        <v/>
      </c>
      <c r="Y359" s="35" t="s">
        <v>106</v>
      </c>
      <c r="Z359" s="21" t="s">
        <v>111</v>
      </c>
    </row>
    <row r="360" customFormat="false" ht="15.75" hidden="false" customHeight="true" outlineLevel="0" collapsed="false">
      <c r="A360" s="32" t="n">
        <f aca="false">IF($B360="","",ROW()-4)</f>
        <v>356</v>
      </c>
      <c r="B360" s="26" t="n">
        <v>46258</v>
      </c>
      <c r="C360" s="24" t="s">
        <v>279</v>
      </c>
      <c r="D360" s="21" t="s">
        <v>307</v>
      </c>
      <c r="E360" s="21" t="s">
        <v>106</v>
      </c>
      <c r="F360" s="21" t="s">
        <v>97</v>
      </c>
      <c r="G360" s="24" t="s">
        <v>308</v>
      </c>
      <c r="H360" s="27" t="n">
        <v>328.3</v>
      </c>
      <c r="I360" s="23" t="n">
        <v>0.039994</v>
      </c>
      <c r="J360" s="25" t="s">
        <v>605</v>
      </c>
      <c r="K360" s="22" t="s">
        <v>313</v>
      </c>
      <c r="L360" s="33" t="str">
        <f aca="false">IF($B360="","",IF(NOT(ISNUMBER($B360)),"日期格式不对",IF($C360="","未选项目编号",IF(LEFT($M360,1)="⚠","项目编号不存在",IF($D360="","未选业务类型",IF($E360="","未选开票/付款方",IF(ISNA(MATCH($E360,单位档案!$A$6:$A$35,0)),"开票方不在单位档案",IF($F360="","未选收票/收款方",IF(ISNA(MATCH($F360,单位档案!$A$6:$A$35,0)),"收款方不在单位档案",IF(NOT(ISNUMBER($H360)),"金额须为数字",IF(AND($D360="销项开票",$N360="—"),"链条待确认","√")))))))))))</f>
        <v>√</v>
      </c>
      <c r="M360" s="34" t="str">
        <f aca="false">IF($C360="","",IFERROR(INDEX(项目档案!$B$6:$B$255,MATCH($C360,项目档案!$A$6:$A$255,0)),"⚠项目编号不存在"))</f>
        <v>项目名称：重庆民能实业有限公司2025-2026年度工程用特种设备租赁服务框架采购（铜梁公司2026年配电专业应急抢修抢险等外包项目
（永嘉所10kV西新线等2条线路综合检修项目））</v>
      </c>
      <c r="N360" s="35" t="str">
        <f aca="false">IF($E360="","",IF($E360=IFERROR(INDEX(项目档案!$D$6:$D$255,MATCH($C360,项目档案!$A$6:$A$255,0)),""),"一级",IF($E360=IFERROR(INDEX(项目档案!$F$6:$F$255,MATCH($C360,项目档案!$A$6:$A$255,0)),""),"二级",IF($E360=IFERROR(INDEX(项目档案!$H$6:$H$255,MATCH($C360,项目档案!$A$6:$A$255,0)),""),"我方","—"))))</f>
        <v>一级</v>
      </c>
      <c r="O360" s="36" t="n">
        <f aca="false">IF($D360&lt;&gt;"销项开票",0,ROUND(N($H360)*N($I360),2))</f>
        <v>13.13</v>
      </c>
      <c r="P360" s="36" t="n">
        <f aca="false">IF($D360&lt;&gt;"销项开票",0,ROUND(N($H360)-$O360,2))</f>
        <v>315.17</v>
      </c>
      <c r="Q360" s="37" t="n">
        <f aca="false">IF($E360="","",N(IFERROR(INDEX(单位档案!$E$6:$E$35,MATCH($E360,单位档案!$A$6:$A$35,0)),"")))</f>
        <v>0.13</v>
      </c>
      <c r="R360" s="37" t="n">
        <f aca="false">IF($E360="","",N(IFERROR(INDEX(单位档案!$F$6:$F$35,MATCH($E360,单位档案!$A$6:$A$35,0)),"")))</f>
        <v>0.13</v>
      </c>
      <c r="S360" s="36" t="n">
        <f aca="false">IF(OR($D360&lt;&gt;"销项开票",IFERROR(INDEX(单位档案!$G$6:$G$35,MATCH($E360,单位档案!$A$6:$A$35,0)),"")&lt;&gt;"是",N($Q360)=0),0,IF(IFERROR(INDEX(单位档案!$H$6:$H$35,MATCH($E360,单位档案!$A$6:$A$35,0)),"")="税差法",ROUND(N($H360)/(1+$Q360)*$Q360-IF(N($R360)=0,0,$P360/(1+$R360)*$R360),2),ROUND(N($H360)/(1+$Q360)*$Q360,2)))</f>
        <v>0</v>
      </c>
      <c r="T360" s="36" t="n">
        <f aca="false">ROUND($S360*N(IFERROR(INDEX(单位档案!$J$6:$J$35,MATCH($E360,单位档案!$A$6:$A$35,0)),"")),2)</f>
        <v>0</v>
      </c>
      <c r="U360" s="36" t="n">
        <f aca="false">IF($D360&lt;&gt;"销项开票",0,ROUND(N($H360)*N(IFERROR(INDEX(单位档案!$K$6:$K$35,MATCH($E360,单位档案!$A$6:$A$35,0)),"")),2))</f>
        <v>0</v>
      </c>
      <c r="V360" s="36" t="n">
        <f aca="false">IF(OR($D360&lt;&gt;"销项开票",N($Q360)=0),0,ROUND(N($H360)/(1+$Q360)*N(IFERROR(INDEX(单位档案!$L$6:$L$35,MATCH($E360,单位档案!$A$6:$A$35,0)),"")),2))</f>
        <v>0</v>
      </c>
      <c r="W360" s="36" t="n">
        <f aca="false">ROUND($S360+$T360+$U360+$V360,2)</f>
        <v>0</v>
      </c>
      <c r="X360" s="35" t="str">
        <f aca="false">IF(OR($D360="挂靠代收",$D360="我方收款"),COUNTIFS($D$5:$D360,"挂靠代收")+COUNTIFS($D$5:$D360,"我方收款"),"")</f>
        <v/>
      </c>
      <c r="Y360" s="35" t="s">
        <v>106</v>
      </c>
      <c r="Z360" s="21" t="s">
        <v>111</v>
      </c>
    </row>
    <row r="361" customFormat="false" ht="15.75" hidden="false" customHeight="true" outlineLevel="0" collapsed="false">
      <c r="A361" s="32" t="n">
        <f aca="false">IF($B361="","",ROW()-4)</f>
        <v>357</v>
      </c>
      <c r="B361" s="26" t="n">
        <v>46258</v>
      </c>
      <c r="C361" s="24" t="s">
        <v>279</v>
      </c>
      <c r="D361" s="21" t="s">
        <v>307</v>
      </c>
      <c r="E361" s="21" t="s">
        <v>106</v>
      </c>
      <c r="F361" s="21" t="s">
        <v>97</v>
      </c>
      <c r="G361" s="24" t="s">
        <v>308</v>
      </c>
      <c r="H361" s="27" t="n">
        <v>747.7</v>
      </c>
      <c r="I361" s="23" t="n">
        <v>0.040003</v>
      </c>
      <c r="J361" s="25" t="s">
        <v>606</v>
      </c>
      <c r="K361" s="22" t="s">
        <v>313</v>
      </c>
      <c r="L361" s="33" t="str">
        <f aca="false">IF($B361="","",IF(NOT(ISNUMBER($B361)),"日期格式不对",IF($C361="","未选项目编号",IF(LEFT($M361,1)="⚠","项目编号不存在",IF($D361="","未选业务类型",IF($E361="","未选开票/付款方",IF(ISNA(MATCH($E361,单位档案!$A$6:$A$35,0)),"开票方不在单位档案",IF($F361="","未选收票/收款方",IF(ISNA(MATCH($F361,单位档案!$A$6:$A$35,0)),"收款方不在单位档案",IF(NOT(ISNUMBER($H361)),"金额须为数字",IF(AND($D361="销项开票",$N361="—"),"链条待确认","√")))))))))))</f>
        <v>√</v>
      </c>
      <c r="M361" s="34" t="str">
        <f aca="false">IF($C361="","",IFERROR(INDEX(项目档案!$B$6:$B$255,MATCH($C361,项目档案!$A$6:$A$255,0)),"⚠项目编号不存在"))</f>
        <v>项目名称：重庆民能实业有限公司2025-2026年度工程用特种设备租赁服务框架采购（铜梁公司2026年配电专业应急抢修抢险等外包项目
（永嘉所10kV西新线等2条线路综合检修项目））</v>
      </c>
      <c r="N361" s="35" t="str">
        <f aca="false">IF($E361="","",IF($E361=IFERROR(INDEX(项目档案!$D$6:$D$255,MATCH($C361,项目档案!$A$6:$A$255,0)),""),"一级",IF($E361=IFERROR(INDEX(项目档案!$F$6:$F$255,MATCH($C361,项目档案!$A$6:$A$255,0)),""),"二级",IF($E361=IFERROR(INDEX(项目档案!$H$6:$H$255,MATCH($C361,项目档案!$A$6:$A$255,0)),""),"我方","—"))))</f>
        <v>一级</v>
      </c>
      <c r="O361" s="36" t="n">
        <f aca="false">IF($D361&lt;&gt;"销项开票",0,ROUND(N($H361)*N($I361),2))</f>
        <v>29.91</v>
      </c>
      <c r="P361" s="36" t="n">
        <f aca="false">IF($D361&lt;&gt;"销项开票",0,ROUND(N($H361)-$O361,2))</f>
        <v>717.79</v>
      </c>
      <c r="Q361" s="37" t="n">
        <f aca="false">IF($E361="","",N(IFERROR(INDEX(单位档案!$E$6:$E$35,MATCH($E361,单位档案!$A$6:$A$35,0)),"")))</f>
        <v>0.13</v>
      </c>
      <c r="R361" s="37" t="n">
        <f aca="false">IF($E361="","",N(IFERROR(INDEX(单位档案!$F$6:$F$35,MATCH($E361,单位档案!$A$6:$A$35,0)),"")))</f>
        <v>0.13</v>
      </c>
      <c r="S361" s="36" t="n">
        <f aca="false">IF(OR($D361&lt;&gt;"销项开票",IFERROR(INDEX(单位档案!$G$6:$G$35,MATCH($E361,单位档案!$A$6:$A$35,0)),"")&lt;&gt;"是",N($Q361)=0),0,IF(IFERROR(INDEX(单位档案!$H$6:$H$35,MATCH($E361,单位档案!$A$6:$A$35,0)),"")="税差法",ROUND(N($H361)/(1+$Q361)*$Q361-IF(N($R361)=0,0,$P361/(1+$R361)*$R361),2),ROUND(N($H361)/(1+$Q361)*$Q361,2)))</f>
        <v>0</v>
      </c>
      <c r="T361" s="36" t="n">
        <f aca="false">ROUND($S361*N(IFERROR(INDEX(单位档案!$J$6:$J$35,MATCH($E361,单位档案!$A$6:$A$35,0)),"")),2)</f>
        <v>0</v>
      </c>
      <c r="U361" s="36" t="n">
        <f aca="false">IF($D361&lt;&gt;"销项开票",0,ROUND(N($H361)*N(IFERROR(INDEX(单位档案!$K$6:$K$35,MATCH($E361,单位档案!$A$6:$A$35,0)),"")),2))</f>
        <v>0</v>
      </c>
      <c r="V361" s="36" t="n">
        <f aca="false">IF(OR($D361&lt;&gt;"销项开票",N($Q361)=0),0,ROUND(N($H361)/(1+$Q361)*N(IFERROR(INDEX(单位档案!$L$6:$L$35,MATCH($E361,单位档案!$A$6:$A$35,0)),"")),2))</f>
        <v>0</v>
      </c>
      <c r="W361" s="36" t="n">
        <f aca="false">ROUND($S361+$T361+$U361+$V361,2)</f>
        <v>0</v>
      </c>
      <c r="X361" s="35" t="str">
        <f aca="false">IF(OR($D361="挂靠代收",$D361="我方收款"),COUNTIFS($D$5:$D361,"挂靠代收")+COUNTIFS($D$5:$D361,"我方收款"),"")</f>
        <v/>
      </c>
      <c r="Y361" s="35" t="s">
        <v>106</v>
      </c>
      <c r="Z361" s="21" t="s">
        <v>111</v>
      </c>
    </row>
    <row r="362" customFormat="false" ht="15.75" hidden="false" customHeight="true" outlineLevel="0" collapsed="false">
      <c r="A362" s="32" t="n">
        <f aca="false">IF($B362="","",ROW()-4)</f>
        <v>358</v>
      </c>
      <c r="B362" s="26" t="n">
        <v>46258</v>
      </c>
      <c r="C362" s="24" t="s">
        <v>279</v>
      </c>
      <c r="D362" s="21" t="s">
        <v>307</v>
      </c>
      <c r="E362" s="21" t="s">
        <v>106</v>
      </c>
      <c r="F362" s="21" t="s">
        <v>97</v>
      </c>
      <c r="G362" s="24" t="s">
        <v>308</v>
      </c>
      <c r="H362" s="27" t="n">
        <v>871.53</v>
      </c>
      <c r="I362" s="23" t="n">
        <v>0.039999</v>
      </c>
      <c r="J362" s="25" t="s">
        <v>607</v>
      </c>
      <c r="K362" s="22" t="s">
        <v>313</v>
      </c>
      <c r="L362" s="33" t="str">
        <f aca="false">IF($B362="","",IF(NOT(ISNUMBER($B362)),"日期格式不对",IF($C362="","未选项目编号",IF(LEFT($M362,1)="⚠","项目编号不存在",IF($D362="","未选业务类型",IF($E362="","未选开票/付款方",IF(ISNA(MATCH($E362,单位档案!$A$6:$A$35,0)),"开票方不在单位档案",IF($F362="","未选收票/收款方",IF(ISNA(MATCH($F362,单位档案!$A$6:$A$35,0)),"收款方不在单位档案",IF(NOT(ISNUMBER($H362)),"金额须为数字",IF(AND($D362="销项开票",$N362="—"),"链条待确认","√")))))))))))</f>
        <v>√</v>
      </c>
      <c r="M362" s="34" t="str">
        <f aca="false">IF($C362="","",IFERROR(INDEX(项目档案!$B$6:$B$255,MATCH($C362,项目档案!$A$6:$A$255,0)),"⚠项目编号不存在"))</f>
        <v>项目名称：重庆民能实业有限公司2025-2026年度工程用特种设备租赁服务框架采购（铜梁公司2026年配电专业应急抢修抢险等外包项目
（永嘉所10kV西新线等2条线路综合检修项目））</v>
      </c>
      <c r="N362" s="35" t="str">
        <f aca="false">IF($E362="","",IF($E362=IFERROR(INDEX(项目档案!$D$6:$D$255,MATCH($C362,项目档案!$A$6:$A$255,0)),""),"一级",IF($E362=IFERROR(INDEX(项目档案!$F$6:$F$255,MATCH($C362,项目档案!$A$6:$A$255,0)),""),"二级",IF($E362=IFERROR(INDEX(项目档案!$H$6:$H$255,MATCH($C362,项目档案!$A$6:$A$255,0)),""),"我方","—"))))</f>
        <v>一级</v>
      </c>
      <c r="O362" s="36" t="n">
        <f aca="false">IF($D362&lt;&gt;"销项开票",0,ROUND(N($H362)*N($I362),2))</f>
        <v>34.86</v>
      </c>
      <c r="P362" s="36" t="n">
        <f aca="false">IF($D362&lt;&gt;"销项开票",0,ROUND(N($H362)-$O362,2))</f>
        <v>836.67</v>
      </c>
      <c r="Q362" s="37" t="n">
        <f aca="false">IF($E362="","",N(IFERROR(INDEX(单位档案!$E$6:$E$35,MATCH($E362,单位档案!$A$6:$A$35,0)),"")))</f>
        <v>0.13</v>
      </c>
      <c r="R362" s="37" t="n">
        <f aca="false">IF($E362="","",N(IFERROR(INDEX(单位档案!$F$6:$F$35,MATCH($E362,单位档案!$A$6:$A$35,0)),"")))</f>
        <v>0.13</v>
      </c>
      <c r="S362" s="36" t="n">
        <f aca="false">IF(OR($D362&lt;&gt;"销项开票",IFERROR(INDEX(单位档案!$G$6:$G$35,MATCH($E362,单位档案!$A$6:$A$35,0)),"")&lt;&gt;"是",N($Q362)=0),0,IF(IFERROR(INDEX(单位档案!$H$6:$H$35,MATCH($E362,单位档案!$A$6:$A$35,0)),"")="税差法",ROUND(N($H362)/(1+$Q362)*$Q362-IF(N($R362)=0,0,$P362/(1+$R362)*$R362),2),ROUND(N($H362)/(1+$Q362)*$Q362,2)))</f>
        <v>0</v>
      </c>
      <c r="T362" s="36" t="n">
        <f aca="false">ROUND($S362*N(IFERROR(INDEX(单位档案!$J$6:$J$35,MATCH($E362,单位档案!$A$6:$A$35,0)),"")),2)</f>
        <v>0</v>
      </c>
      <c r="U362" s="36" t="n">
        <f aca="false">IF($D362&lt;&gt;"销项开票",0,ROUND(N($H362)*N(IFERROR(INDEX(单位档案!$K$6:$K$35,MATCH($E362,单位档案!$A$6:$A$35,0)),"")),2))</f>
        <v>0</v>
      </c>
      <c r="V362" s="36" t="n">
        <f aca="false">IF(OR($D362&lt;&gt;"销项开票",N($Q362)=0),0,ROUND(N($H362)/(1+$Q362)*N(IFERROR(INDEX(单位档案!$L$6:$L$35,MATCH($E362,单位档案!$A$6:$A$35,0)),"")),2))</f>
        <v>0</v>
      </c>
      <c r="W362" s="36" t="n">
        <f aca="false">ROUND($S362+$T362+$U362+$V362,2)</f>
        <v>0</v>
      </c>
      <c r="X362" s="35" t="str">
        <f aca="false">IF(OR($D362="挂靠代收",$D362="我方收款"),COUNTIFS($D$5:$D362,"挂靠代收")+COUNTIFS($D$5:$D362,"我方收款"),"")</f>
        <v/>
      </c>
      <c r="Y362" s="35" t="s">
        <v>106</v>
      </c>
      <c r="Z362" s="21" t="s">
        <v>111</v>
      </c>
    </row>
    <row r="363" customFormat="false" ht="15.75" hidden="false" customHeight="true" outlineLevel="0" collapsed="false">
      <c r="A363" s="32" t="n">
        <f aca="false">IF($B363="","",ROW()-4)</f>
        <v>359</v>
      </c>
      <c r="B363" s="26" t="n">
        <v>46258</v>
      </c>
      <c r="C363" s="24" t="s">
        <v>279</v>
      </c>
      <c r="D363" s="21" t="s">
        <v>307</v>
      </c>
      <c r="E363" s="21" t="s">
        <v>106</v>
      </c>
      <c r="F363" s="21" t="s">
        <v>97</v>
      </c>
      <c r="G363" s="24" t="s">
        <v>394</v>
      </c>
      <c r="H363" s="27" t="n">
        <v>4919.2</v>
      </c>
      <c r="I363" s="23" t="n">
        <v>0.04</v>
      </c>
      <c r="J363" s="25" t="s">
        <v>606</v>
      </c>
      <c r="K363" s="22" t="s">
        <v>313</v>
      </c>
      <c r="L363" s="33" t="str">
        <f aca="false">IF($B363="","",IF(NOT(ISNUMBER($B363)),"日期格式不对",IF($C363="","未选项目编号",IF(LEFT($M363,1)="⚠","项目编号不存在",IF($D363="","未选业务类型",IF($E363="","未选开票/付款方",IF(ISNA(MATCH($E363,单位档案!$A$6:$A$35,0)),"开票方不在单位档案",IF($F363="","未选收票/收款方",IF(ISNA(MATCH($F363,单位档案!$A$6:$A$35,0)),"收款方不在单位档案",IF(NOT(ISNUMBER($H363)),"金额须为数字",IF(AND($D363="销项开票",$N363="—"),"链条待确认","√")))))))))))</f>
        <v>√</v>
      </c>
      <c r="M363" s="34" t="str">
        <f aca="false">IF($C363="","",IFERROR(INDEX(项目档案!$B$6:$B$255,MATCH($C363,项目档案!$A$6:$A$255,0)),"⚠项目编号不存在"))</f>
        <v>项目名称：重庆民能实业有限公司2025-2026年度工程用特种设备租赁服务框架采购（铜梁公司2026年配电专业应急抢修抢险等外包项目
（永嘉所10kV西新线等2条线路综合检修项目））</v>
      </c>
      <c r="N363" s="35" t="str">
        <f aca="false">IF($E363="","",IF($E363=IFERROR(INDEX(项目档案!$D$6:$D$255,MATCH($C363,项目档案!$A$6:$A$255,0)),""),"一级",IF($E363=IFERROR(INDEX(项目档案!$F$6:$F$255,MATCH($C363,项目档案!$A$6:$A$255,0)),""),"二级",IF($E363=IFERROR(INDEX(项目档案!$H$6:$H$255,MATCH($C363,项目档案!$A$6:$A$255,0)),""),"我方","—"))))</f>
        <v>一级</v>
      </c>
      <c r="O363" s="36" t="n">
        <f aca="false">IF($D363&lt;&gt;"销项开票",0,ROUND(N($H363)*N($I363),2))</f>
        <v>196.77</v>
      </c>
      <c r="P363" s="36" t="n">
        <f aca="false">IF($D363&lt;&gt;"销项开票",0,ROUND(N($H363)-$O363,2))</f>
        <v>4722.43</v>
      </c>
      <c r="Q363" s="37" t="n">
        <f aca="false">IF($E363="","",N(IFERROR(INDEX(单位档案!$E$6:$E$35,MATCH($E363,单位档案!$A$6:$A$35,0)),"")))</f>
        <v>0.13</v>
      </c>
      <c r="R363" s="37" t="n">
        <f aca="false">IF($E363="","",N(IFERROR(INDEX(单位档案!$F$6:$F$35,MATCH($E363,单位档案!$A$6:$A$35,0)),"")))</f>
        <v>0.13</v>
      </c>
      <c r="S363" s="36" t="n">
        <f aca="false">IF(OR($D363&lt;&gt;"销项开票",IFERROR(INDEX(单位档案!$G$6:$G$35,MATCH($E363,单位档案!$A$6:$A$35,0)),"")&lt;&gt;"是",N($Q363)=0),0,IF(IFERROR(INDEX(单位档案!$H$6:$H$35,MATCH($E363,单位档案!$A$6:$A$35,0)),"")="税差法",ROUND(N($H363)/(1+$Q363)*$Q363-IF(N($R363)=0,0,$P363/(1+$R363)*$R363),2),ROUND(N($H363)/(1+$Q363)*$Q363,2)))</f>
        <v>0</v>
      </c>
      <c r="T363" s="36" t="n">
        <f aca="false">ROUND($S363*N(IFERROR(INDEX(单位档案!$J$6:$J$35,MATCH($E363,单位档案!$A$6:$A$35,0)),"")),2)</f>
        <v>0</v>
      </c>
      <c r="U363" s="36" t="n">
        <f aca="false">IF($D363&lt;&gt;"销项开票",0,ROUND(N($H363)*N(IFERROR(INDEX(单位档案!$K$6:$K$35,MATCH($E363,单位档案!$A$6:$A$35,0)),"")),2))</f>
        <v>0</v>
      </c>
      <c r="V363" s="36" t="n">
        <f aca="false">IF(OR($D363&lt;&gt;"销项开票",N($Q363)=0),0,ROUND(N($H363)/(1+$Q363)*N(IFERROR(INDEX(单位档案!$L$6:$L$35,MATCH($E363,单位档案!$A$6:$A$35,0)),"")),2))</f>
        <v>0</v>
      </c>
      <c r="W363" s="36" t="n">
        <f aca="false">ROUND($S363+$T363+$U363+$V363,2)</f>
        <v>0</v>
      </c>
      <c r="X363" s="35" t="str">
        <f aca="false">IF(OR($D363="挂靠代收",$D363="我方收款"),COUNTIFS($D$5:$D363,"挂靠代收")+COUNTIFS($D$5:$D363,"我方收款"),"")</f>
        <v/>
      </c>
      <c r="Y363" s="35" t="s">
        <v>106</v>
      </c>
      <c r="Z363" s="21" t="s">
        <v>111</v>
      </c>
    </row>
    <row r="364" customFormat="false" ht="15.75" hidden="false" customHeight="true" outlineLevel="0" collapsed="false">
      <c r="A364" s="32" t="n">
        <f aca="false">IF($B364="","",ROW()-4)</f>
        <v>360</v>
      </c>
      <c r="B364" s="26" t="n">
        <v>46258</v>
      </c>
      <c r="C364" s="24" t="s">
        <v>279</v>
      </c>
      <c r="D364" s="21" t="s">
        <v>307</v>
      </c>
      <c r="E364" s="21" t="s">
        <v>106</v>
      </c>
      <c r="F364" s="21" t="s">
        <v>97</v>
      </c>
      <c r="G364" s="24" t="s">
        <v>394</v>
      </c>
      <c r="H364" s="27" t="n">
        <v>4919.2</v>
      </c>
      <c r="I364" s="23" t="n">
        <v>0.04</v>
      </c>
      <c r="J364" s="25" t="s">
        <v>607</v>
      </c>
      <c r="K364" s="22" t="s">
        <v>313</v>
      </c>
      <c r="L364" s="33" t="str">
        <f aca="false">IF($B364="","",IF(NOT(ISNUMBER($B364)),"日期格式不对",IF($C364="","未选项目编号",IF(LEFT($M364,1)="⚠","项目编号不存在",IF($D364="","未选业务类型",IF($E364="","未选开票/付款方",IF(ISNA(MATCH($E364,单位档案!$A$6:$A$35,0)),"开票方不在单位档案",IF($F364="","未选收票/收款方",IF(ISNA(MATCH($F364,单位档案!$A$6:$A$35,0)),"收款方不在单位档案",IF(NOT(ISNUMBER($H364)),"金额须为数字",IF(AND($D364="销项开票",$N364="—"),"链条待确认","√")))))))))))</f>
        <v>√</v>
      </c>
      <c r="M364" s="34" t="str">
        <f aca="false">IF($C364="","",IFERROR(INDEX(项目档案!$B$6:$B$255,MATCH($C364,项目档案!$A$6:$A$255,0)),"⚠项目编号不存在"))</f>
        <v>项目名称：重庆民能实业有限公司2025-2026年度工程用特种设备租赁服务框架采购（铜梁公司2026年配电专业应急抢修抢险等外包项目
（永嘉所10kV西新线等2条线路综合检修项目））</v>
      </c>
      <c r="N364" s="35" t="str">
        <f aca="false">IF($E364="","",IF($E364=IFERROR(INDEX(项目档案!$D$6:$D$255,MATCH($C364,项目档案!$A$6:$A$255,0)),""),"一级",IF($E364=IFERROR(INDEX(项目档案!$F$6:$F$255,MATCH($C364,项目档案!$A$6:$A$255,0)),""),"二级",IF($E364=IFERROR(INDEX(项目档案!$H$6:$H$255,MATCH($C364,项目档案!$A$6:$A$255,0)),""),"我方","—"))))</f>
        <v>一级</v>
      </c>
      <c r="O364" s="36" t="n">
        <f aca="false">IF($D364&lt;&gt;"销项开票",0,ROUND(N($H364)*N($I364),2))</f>
        <v>196.77</v>
      </c>
      <c r="P364" s="36" t="n">
        <f aca="false">IF($D364&lt;&gt;"销项开票",0,ROUND(N($H364)-$O364,2))</f>
        <v>4722.43</v>
      </c>
      <c r="Q364" s="37" t="n">
        <f aca="false">IF($E364="","",N(IFERROR(INDEX(单位档案!$E$6:$E$35,MATCH($E364,单位档案!$A$6:$A$35,0)),"")))</f>
        <v>0.13</v>
      </c>
      <c r="R364" s="37" t="n">
        <f aca="false">IF($E364="","",N(IFERROR(INDEX(单位档案!$F$6:$F$35,MATCH($E364,单位档案!$A$6:$A$35,0)),"")))</f>
        <v>0.13</v>
      </c>
      <c r="S364" s="36" t="n">
        <f aca="false">IF(OR($D364&lt;&gt;"销项开票",IFERROR(INDEX(单位档案!$G$6:$G$35,MATCH($E364,单位档案!$A$6:$A$35,0)),"")&lt;&gt;"是",N($Q364)=0),0,IF(IFERROR(INDEX(单位档案!$H$6:$H$35,MATCH($E364,单位档案!$A$6:$A$35,0)),"")="税差法",ROUND(N($H364)/(1+$Q364)*$Q364-IF(N($R364)=0,0,$P364/(1+$R364)*$R364),2),ROUND(N($H364)/(1+$Q364)*$Q364,2)))</f>
        <v>0</v>
      </c>
      <c r="T364" s="36" t="n">
        <f aca="false">ROUND($S364*N(IFERROR(INDEX(单位档案!$J$6:$J$35,MATCH($E364,单位档案!$A$6:$A$35,0)),"")),2)</f>
        <v>0</v>
      </c>
      <c r="U364" s="36" t="n">
        <f aca="false">IF($D364&lt;&gt;"销项开票",0,ROUND(N($H364)*N(IFERROR(INDEX(单位档案!$K$6:$K$35,MATCH($E364,单位档案!$A$6:$A$35,0)),"")),2))</f>
        <v>0</v>
      </c>
      <c r="V364" s="36" t="n">
        <f aca="false">IF(OR($D364&lt;&gt;"销项开票",N($Q364)=0),0,ROUND(N($H364)/(1+$Q364)*N(IFERROR(INDEX(单位档案!$L$6:$L$35,MATCH($E364,单位档案!$A$6:$A$35,0)),"")),2))</f>
        <v>0</v>
      </c>
      <c r="W364" s="36" t="n">
        <f aca="false">ROUND($S364+$T364+$U364+$V364,2)</f>
        <v>0</v>
      </c>
      <c r="X364" s="35" t="str">
        <f aca="false">IF(OR($D364="挂靠代收",$D364="我方收款"),COUNTIFS($D$5:$D364,"挂靠代收")+COUNTIFS($D$5:$D364,"我方收款"),"")</f>
        <v/>
      </c>
      <c r="Y364" s="35" t="s">
        <v>106</v>
      </c>
      <c r="Z364" s="21" t="s">
        <v>111</v>
      </c>
    </row>
    <row r="365" customFormat="false" ht="15.75" hidden="false" customHeight="true" outlineLevel="0" collapsed="false">
      <c r="A365" s="32" t="n">
        <f aca="false">IF($B365="","",ROW()-4)</f>
        <v>361</v>
      </c>
      <c r="B365" s="26" t="n">
        <v>46258</v>
      </c>
      <c r="C365" s="24" t="s">
        <v>279</v>
      </c>
      <c r="D365" s="21" t="s">
        <v>307</v>
      </c>
      <c r="E365" s="21" t="s">
        <v>106</v>
      </c>
      <c r="F365" s="21" t="s">
        <v>97</v>
      </c>
      <c r="G365" s="24" t="s">
        <v>394</v>
      </c>
      <c r="H365" s="27" t="n">
        <v>15703.6</v>
      </c>
      <c r="I365" s="23" t="n">
        <v>0.04</v>
      </c>
      <c r="J365" s="25" t="s">
        <v>605</v>
      </c>
      <c r="K365" s="22" t="s">
        <v>313</v>
      </c>
      <c r="L365" s="33" t="str">
        <f aca="false">IF($B365="","",IF(NOT(ISNUMBER($B365)),"日期格式不对",IF($C365="","未选项目编号",IF(LEFT($M365,1)="⚠","项目编号不存在",IF($D365="","未选业务类型",IF($E365="","未选开票/付款方",IF(ISNA(MATCH($E365,单位档案!$A$6:$A$35,0)),"开票方不在单位档案",IF($F365="","未选收票/收款方",IF(ISNA(MATCH($F365,单位档案!$A$6:$A$35,0)),"收款方不在单位档案",IF(NOT(ISNUMBER($H365)),"金额须为数字",IF(AND($D365="销项开票",$N365="—"),"链条待确认","√")))))))))))</f>
        <v>√</v>
      </c>
      <c r="M365" s="34" t="str">
        <f aca="false">IF($C365="","",IFERROR(INDEX(项目档案!$B$6:$B$255,MATCH($C365,项目档案!$A$6:$A$255,0)),"⚠项目编号不存在"))</f>
        <v>项目名称：重庆民能实业有限公司2025-2026年度工程用特种设备租赁服务框架采购（铜梁公司2026年配电专业应急抢修抢险等外包项目
（永嘉所10kV西新线等2条线路综合检修项目））</v>
      </c>
      <c r="N365" s="35" t="str">
        <f aca="false">IF($E365="","",IF($E365=IFERROR(INDEX(项目档案!$D$6:$D$255,MATCH($C365,项目档案!$A$6:$A$255,0)),""),"一级",IF($E365=IFERROR(INDEX(项目档案!$F$6:$F$255,MATCH($C365,项目档案!$A$6:$A$255,0)),""),"二级",IF($E365=IFERROR(INDEX(项目档案!$H$6:$H$255,MATCH($C365,项目档案!$A$6:$A$255,0)),""),"我方","—"))))</f>
        <v>一级</v>
      </c>
      <c r="O365" s="36" t="n">
        <f aca="false">IF($D365&lt;&gt;"销项开票",0,ROUND(N($H365)*N($I365),2))</f>
        <v>628.14</v>
      </c>
      <c r="P365" s="36" t="n">
        <f aca="false">IF($D365&lt;&gt;"销项开票",0,ROUND(N($H365)-$O365,2))</f>
        <v>15075.46</v>
      </c>
      <c r="Q365" s="37" t="n">
        <f aca="false">IF($E365="","",N(IFERROR(INDEX(单位档案!$E$6:$E$35,MATCH($E365,单位档案!$A$6:$A$35,0)),"")))</f>
        <v>0.13</v>
      </c>
      <c r="R365" s="37" t="n">
        <f aca="false">IF($E365="","",N(IFERROR(INDEX(单位档案!$F$6:$F$35,MATCH($E365,单位档案!$A$6:$A$35,0)),"")))</f>
        <v>0.13</v>
      </c>
      <c r="S365" s="36" t="n">
        <f aca="false">IF(OR($D365&lt;&gt;"销项开票",IFERROR(INDEX(单位档案!$G$6:$G$35,MATCH($E365,单位档案!$A$6:$A$35,0)),"")&lt;&gt;"是",N($Q365)=0),0,IF(IFERROR(INDEX(单位档案!$H$6:$H$35,MATCH($E365,单位档案!$A$6:$A$35,0)),"")="税差法",ROUND(N($H365)/(1+$Q365)*$Q365-IF(N($R365)=0,0,$P365/(1+$R365)*$R365),2),ROUND(N($H365)/(1+$Q365)*$Q365,2)))</f>
        <v>0</v>
      </c>
      <c r="T365" s="36" t="n">
        <f aca="false">ROUND($S365*N(IFERROR(INDEX(单位档案!$J$6:$J$35,MATCH($E365,单位档案!$A$6:$A$35,0)),"")),2)</f>
        <v>0</v>
      </c>
      <c r="U365" s="36" t="n">
        <f aca="false">IF($D365&lt;&gt;"销项开票",0,ROUND(N($H365)*N(IFERROR(INDEX(单位档案!$K$6:$K$35,MATCH($E365,单位档案!$A$6:$A$35,0)),"")),2))</f>
        <v>0</v>
      </c>
      <c r="V365" s="36" t="n">
        <f aca="false">IF(OR($D365&lt;&gt;"销项开票",N($Q365)=0),0,ROUND(N($H365)/(1+$Q365)*N(IFERROR(INDEX(单位档案!$L$6:$L$35,MATCH($E365,单位档案!$A$6:$A$35,0)),"")),2))</f>
        <v>0</v>
      </c>
      <c r="W365" s="36" t="n">
        <f aca="false">ROUND($S365+$T365+$U365+$V365,2)</f>
        <v>0</v>
      </c>
      <c r="X365" s="35" t="str">
        <f aca="false">IF(OR($D365="挂靠代收",$D365="我方收款"),COUNTIFS($D$5:$D365,"挂靠代收")+COUNTIFS($D$5:$D365,"我方收款"),"")</f>
        <v/>
      </c>
      <c r="Y365" s="35" t="s">
        <v>106</v>
      </c>
      <c r="Z365" s="21" t="s">
        <v>111</v>
      </c>
    </row>
    <row r="366" customFormat="false" ht="15.75" hidden="false" customHeight="true" outlineLevel="0" collapsed="false">
      <c r="A366" s="32" t="n">
        <f aca="false">IF($B366="","",ROW()-4)</f>
        <v>362</v>
      </c>
      <c r="B366" s="26" t="n">
        <v>46260</v>
      </c>
      <c r="C366" s="24" t="s">
        <v>188</v>
      </c>
      <c r="D366" s="21" t="s">
        <v>319</v>
      </c>
      <c r="E366" s="21" t="s">
        <v>97</v>
      </c>
      <c r="F366" s="21" t="s">
        <v>106</v>
      </c>
      <c r="G366" s="21"/>
      <c r="H366" s="27" t="n">
        <v>54170</v>
      </c>
      <c r="I366" s="23" t="str">
        <f aca="false">IF($D366&lt;&gt;"销项开票","",IF($N366="一级",IF(IFERROR(INDEX(项目档案!$E$6:$E$255,MATCH($C366,项目档案!$A$6:$A$255,0)),"")="",N(IFERROR(INDEX(单位档案!$D$6:$D$35,MATCH($E366,单位档案!$A$6:$A$35,0)),"")),IFERROR(INDEX(项目档案!$E$6:$E$255,MATCH($C366,项目档案!$A$6:$A$255,0)),"")),IF($N366="二级",IF(IFERROR(INDEX(项目档案!$G$6:$G$255,MATCH($C366,项目档案!$A$6:$A$255,0)),"")="",N(IFERROR(INDEX(单位档案!$D$6:$D$35,MATCH($E366,单位档案!$A$6:$A$35,0)),"")),IFERROR(INDEX(项目档案!$G$6:$G$255,MATCH($C366,项目档案!$A$6:$A$255,0)),"")),N(IFERROR(INDEX(单位档案!$D$6:$D$35,MATCH($E366,单位档案!$A$6:$A$35,0)),"")))))</f>
        <v/>
      </c>
      <c r="J366" s="25" t="s">
        <v>608</v>
      </c>
      <c r="K366" s="22" t="s">
        <v>313</v>
      </c>
      <c r="L366" s="33" t="str">
        <f aca="false">IF($B366="","",IF(NOT(ISNUMBER($B366)),"日期格式不对",IF($C366="","未选项目编号",IF(LEFT($M366,1)="⚠","项目编号不存在",IF($D366="","未选业务类型",IF($E366="","未选开票/付款方",IF(ISNA(MATCH($E366,单位档案!$A$6:$A$35,0)),"开票方不在单位档案",IF($F366="","未选收票/收款方",IF(ISNA(MATCH($F366,单位档案!$A$6:$A$35,0)),"收款方不在单位档案",IF(NOT(ISNUMBER($H366)),"金额须为数字",IF(AND($D366="销项开票",$N366="—"),"链条待确认","√")))))))))))</f>
        <v>√</v>
      </c>
      <c r="M366" s="34" t="str">
        <f aca="false">IF($C366="","",IFERROR(INDEX(项目档案!$B$6:$B$255,MATCH($C366,项目档案!$A$6:$A$255,0)),"⚠项目编号不存在"))</f>
        <v>重庆德誉佳实业有限公司2025-2026年度工程用施工机具等租赁服务框架采购（国网重庆铜梁公司110kV金湖东西电缆改造）</v>
      </c>
      <c r="N366" s="35" t="str">
        <f aca="false">IF($E366="","",IF($E366=IFERROR(INDEX(项目档案!$D$6:$D$255,MATCH($C366,项目档案!$A$6:$A$255,0)),""),"一级",IF($E366=IFERROR(INDEX(项目档案!$F$6:$F$255,MATCH($C366,项目档案!$A$6:$A$255,0)),""),"二级",IF($E366=IFERROR(INDEX(项目档案!$H$6:$H$255,MATCH($C366,项目档案!$A$6:$A$255,0)),""),"我方","—"))))</f>
        <v>—</v>
      </c>
      <c r="O366" s="36" t="n">
        <f aca="false">IF($D366&lt;&gt;"销项开票",0,ROUND(N($H366)*N($I366),2))</f>
        <v>0</v>
      </c>
      <c r="P366" s="36" t="n">
        <f aca="false">IF($D366&lt;&gt;"销项开票",0,ROUND(N($H366)-$O366,2))</f>
        <v>0</v>
      </c>
      <c r="Q366" s="37" t="n">
        <f aca="false">IF($E366="","",N(IFERROR(INDEX(单位档案!$E$6:$E$35,MATCH($E366,单位档案!$A$6:$A$35,0)),"")))</f>
        <v>0</v>
      </c>
      <c r="R366" s="37" t="n">
        <f aca="false">IF($E366="","",N(IFERROR(INDEX(单位档案!$F$6:$F$35,MATCH($E366,单位档案!$A$6:$A$35,0)),"")))</f>
        <v>0</v>
      </c>
      <c r="S366" s="36" t="n">
        <f aca="false">IF(OR($D366&lt;&gt;"销项开票",IFERROR(INDEX(单位档案!$G$6:$G$35,MATCH($E366,单位档案!$A$6:$A$35,0)),"")&lt;&gt;"是",N($Q366)=0),0,IF(IFERROR(INDEX(单位档案!$H$6:$H$35,MATCH($E366,单位档案!$A$6:$A$35,0)),"")="税差法",ROUND(N($H366)/(1+$Q366)*$Q366-IF(N($R366)=0,0,$P366/(1+$R366)*$R366),2),ROUND(N($H366)/(1+$Q366)*$Q366,2)))</f>
        <v>0</v>
      </c>
      <c r="T366" s="36" t="n">
        <f aca="false">ROUND($S366*N(IFERROR(INDEX(单位档案!$J$6:$J$35,MATCH($E366,单位档案!$A$6:$A$35,0)),"")),2)</f>
        <v>0</v>
      </c>
      <c r="U366" s="36" t="n">
        <f aca="false">IF($D366&lt;&gt;"销项开票",0,ROUND(N($H366)*N(IFERROR(INDEX(单位档案!$K$6:$K$35,MATCH($E366,单位档案!$A$6:$A$35,0)),"")),2))</f>
        <v>0</v>
      </c>
      <c r="V366" s="36" t="n">
        <f aca="false">IF(OR($D366&lt;&gt;"销项开票",N($Q366)=0),0,ROUND(N($H366)/(1+$Q366)*N(IFERROR(INDEX(单位档案!$L$6:$L$35,MATCH($E366,单位档案!$A$6:$A$35,0)),"")),2))</f>
        <v>0</v>
      </c>
      <c r="W366" s="36" t="n">
        <f aca="false">ROUND($S366+$T366+$U366+$V366,2)</f>
        <v>0</v>
      </c>
      <c r="X366" s="35" t="n">
        <f aca="false">IF(OR($D366="挂靠代收",$D366="我方收款"),COUNTIFS($D$5:$D366,"挂靠代收")+COUNTIFS($D$5:$D366,"我方收款"),"")</f>
        <v>86</v>
      </c>
      <c r="Y366" s="35" t="s">
        <v>106</v>
      </c>
      <c r="Z366" s="21" t="s">
        <v>111</v>
      </c>
    </row>
    <row r="367" customFormat="false" ht="15.75" hidden="false" customHeight="true" outlineLevel="0" collapsed="false">
      <c r="A367" s="32" t="n">
        <f aca="false">IF($B367="","",ROW()-4)</f>
        <v>363</v>
      </c>
      <c r="B367" s="26" t="n">
        <v>46260</v>
      </c>
      <c r="C367" s="24" t="s">
        <v>188</v>
      </c>
      <c r="D367" s="21" t="s">
        <v>320</v>
      </c>
      <c r="E367" s="21" t="s">
        <v>106</v>
      </c>
      <c r="F367" s="21" t="s">
        <v>127</v>
      </c>
      <c r="G367" s="21"/>
      <c r="H367" s="27" t="n">
        <v>49836.4</v>
      </c>
      <c r="I367" s="23" t="str">
        <f aca="false">IF($D367&lt;&gt;"销项开票","",IF($N367="一级",IF(IFERROR(INDEX(项目档案!$E$6:$E$255,MATCH($C367,项目档案!$A$6:$A$255,0)),"")="",N(IFERROR(INDEX(单位档案!$D$6:$D$35,MATCH($E367,单位档案!$A$6:$A$35,0)),"")),IFERROR(INDEX(项目档案!$E$6:$E$255,MATCH($C367,项目档案!$A$6:$A$255,0)),"")),IF($N367="二级",IF(IFERROR(INDEX(项目档案!$G$6:$G$255,MATCH($C367,项目档案!$A$6:$A$255,0)),"")="",N(IFERROR(INDEX(单位档案!$D$6:$D$35,MATCH($E367,单位档案!$A$6:$A$35,0)),"")),IFERROR(INDEX(项目档案!$G$6:$G$255,MATCH($C367,项目档案!$A$6:$A$255,0)),"")),N(IFERROR(INDEX(单位档案!$D$6:$D$35,MATCH($E367,单位档案!$A$6:$A$35,0)),"")))))</f>
        <v/>
      </c>
      <c r="J367" s="25" t="s">
        <v>608</v>
      </c>
      <c r="K367" s="22" t="s">
        <v>313</v>
      </c>
      <c r="L367" s="33" t="str">
        <f aca="false">IF($B367="","",IF(NOT(ISNUMBER($B367)),"日期格式不对",IF($C367="","未选项目编号",IF(LEFT($M367,1)="⚠","项目编号不存在",IF($D367="","未选业务类型",IF($E367="","未选开票/付款方",IF(ISNA(MATCH($E367,单位档案!$A$6:$A$35,0)),"开票方不在单位档案",IF($F367="","未选收票/收款方",IF(ISNA(MATCH($F367,单位档案!$A$6:$A$35,0)),"收款方不在单位档案",IF(NOT(ISNUMBER($H367)),"金额须为数字",IF(AND($D367="销项开票",$N367="—"),"链条待确认","√")))))))))))</f>
        <v>√</v>
      </c>
      <c r="M367" s="34" t="str">
        <f aca="false">IF($C367="","",IFERROR(INDEX(项目档案!$B$6:$B$255,MATCH($C367,项目档案!$A$6:$A$255,0)),"⚠项目编号不存在"))</f>
        <v>重庆德誉佳实业有限公司2025-2026年度工程用施工机具等租赁服务框架采购（国网重庆铜梁公司110kV金湖东西电缆改造）</v>
      </c>
      <c r="N367" s="35" t="str">
        <f aca="false">IF($E367="","",IF($E367=IFERROR(INDEX(项目档案!$D$6:$D$255,MATCH($C367,项目档案!$A$6:$A$255,0)),""),"一级",IF($E367=IFERROR(INDEX(项目档案!$F$6:$F$255,MATCH($C367,项目档案!$A$6:$A$255,0)),""),"二级",IF($E367=IFERROR(INDEX(项目档案!$H$6:$H$255,MATCH($C367,项目档案!$A$6:$A$255,0)),""),"我方","—"))))</f>
        <v>一级</v>
      </c>
      <c r="O367" s="36" t="n">
        <f aca="false">IF($D367&lt;&gt;"销项开票",0,ROUND(N($H367)*N($I367),2))</f>
        <v>0</v>
      </c>
      <c r="P367" s="36" t="n">
        <f aca="false">IF($D367&lt;&gt;"销项开票",0,ROUND(N($H367)-$O367,2))</f>
        <v>0</v>
      </c>
      <c r="Q367" s="37" t="n">
        <f aca="false">IF($E367="","",N(IFERROR(INDEX(单位档案!$E$6:$E$35,MATCH($E367,单位档案!$A$6:$A$35,0)),"")))</f>
        <v>0.13</v>
      </c>
      <c r="R367" s="37" t="n">
        <f aca="false">IF($E367="","",N(IFERROR(INDEX(单位档案!$F$6:$F$35,MATCH($E367,单位档案!$A$6:$A$35,0)),"")))</f>
        <v>0.13</v>
      </c>
      <c r="S367" s="36" t="n">
        <f aca="false">IF(OR($D367&lt;&gt;"销项开票",IFERROR(INDEX(单位档案!$G$6:$G$35,MATCH($E367,单位档案!$A$6:$A$35,0)),"")&lt;&gt;"是",N($Q367)=0),0,IF(IFERROR(INDEX(单位档案!$H$6:$H$35,MATCH($E367,单位档案!$A$6:$A$35,0)),"")="税差法",ROUND(N($H367)/(1+$Q367)*$Q367-IF(N($R367)=0,0,$P367/(1+$R367)*$R367),2),ROUND(N($H367)/(1+$Q367)*$Q367,2)))</f>
        <v>0</v>
      </c>
      <c r="T367" s="36" t="n">
        <f aca="false">ROUND($S367*N(IFERROR(INDEX(单位档案!$J$6:$J$35,MATCH($E367,单位档案!$A$6:$A$35,0)),"")),2)</f>
        <v>0</v>
      </c>
      <c r="U367" s="36" t="n">
        <f aca="false">IF($D367&lt;&gt;"销项开票",0,ROUND(N($H367)*N(IFERROR(INDEX(单位档案!$K$6:$K$35,MATCH($E367,单位档案!$A$6:$A$35,0)),"")),2))</f>
        <v>0</v>
      </c>
      <c r="V367" s="36" t="n">
        <f aca="false">IF(OR($D367&lt;&gt;"销项开票",N($Q367)=0),0,ROUND(N($H367)/(1+$Q367)*N(IFERROR(INDEX(单位档案!$L$6:$L$35,MATCH($E367,单位档案!$A$6:$A$35,0)),"")),2))</f>
        <v>0</v>
      </c>
      <c r="W367" s="36" t="n">
        <f aca="false">ROUND($S367+$T367+$U367+$V367,2)</f>
        <v>0</v>
      </c>
      <c r="X367" s="35" t="n">
        <f aca="false">IF(OR($D367="挂靠代收",$D367="我方收款"),COUNTIFS($D$5:$D367,"挂靠代收")+COUNTIFS($D$5:$D367,"我方收款"),"")</f>
        <v>87</v>
      </c>
      <c r="Y367" s="35" t="s">
        <v>106</v>
      </c>
      <c r="Z367" s="21" t="s">
        <v>111</v>
      </c>
    </row>
    <row r="368" customFormat="false" ht="15.75" hidden="false" customHeight="true" outlineLevel="0" collapsed="false">
      <c r="A368" s="32" t="str">
        <f aca="false">IF($B368="","",ROW()-4)</f>
        <v/>
      </c>
      <c r="B368" s="26"/>
      <c r="C368" s="24"/>
      <c r="D368" s="21"/>
      <c r="E368" s="21"/>
      <c r="F368" s="21"/>
      <c r="G368" s="21"/>
      <c r="H368" s="27"/>
      <c r="I368" s="23" t="str">
        <f aca="false">IF($D368&lt;&gt;"销项开票","",IF($N368="一级",IF(IFERROR(INDEX(项目档案!$E$6:$E$255,MATCH($C368,项目档案!$A$6:$A$255,0)),"")="",N(IFERROR(INDEX(单位档案!$D$6:$D$35,MATCH($E368,单位档案!$A$6:$A$35,0)),"")),IFERROR(INDEX(项目档案!$E$6:$E$255,MATCH($C368,项目档案!$A$6:$A$255,0)),"")),IF($N368="二级",IF(IFERROR(INDEX(项目档案!$G$6:$G$255,MATCH($C368,项目档案!$A$6:$A$255,0)),"")="",N(IFERROR(INDEX(单位档案!$D$6:$D$35,MATCH($E368,单位档案!$A$6:$A$35,0)),"")),IFERROR(INDEX(项目档案!$G$6:$G$255,MATCH($C368,项目档案!$A$6:$A$255,0)),"")),N(IFERROR(INDEX(单位档案!$D$6:$D$35,MATCH($E368,单位档案!$A$6:$A$35,0)),"")))))</f>
        <v/>
      </c>
      <c r="J368" s="22"/>
      <c r="K368" s="22"/>
      <c r="L368" s="33" t="str">
        <f aca="false">IF($B368="","",IF(NOT(ISNUMBER($B368)),"日期格式不对",IF($C368="","未选项目编号",IF(LEFT($M368,1)="⚠","项目编号不存在",IF($D368="","未选业务类型",IF($E368="","未选开票/付款方",IF(ISNA(MATCH($E368,单位档案!$A$6:$A$35,0)),"开票方不在单位档案",IF($F368="","未选收票/收款方",IF(ISNA(MATCH($F368,单位档案!$A$6:$A$35,0)),"收款方不在单位档案",IF(NOT(ISNUMBER($H368)),"金额须为数字",IF(AND($D368="销项开票",$N368="—"),"链条待确认","√")))))))))))</f>
        <v/>
      </c>
      <c r="M368" s="34" t="str">
        <f aca="false">IF($C368="","",IFERROR(INDEX(项目档案!$B$6:$B$255,MATCH($C368,项目档案!$A$6:$A$255,0)),"⚠项目编号不存在"))</f>
        <v/>
      </c>
      <c r="N368" s="35" t="str">
        <f aca="false">IF($E368="","",IF($E368=IFERROR(INDEX(项目档案!$D$6:$D$255,MATCH($C368,项目档案!$A$6:$A$255,0)),""),"一级",IF($E368=IFERROR(INDEX(项目档案!$F$6:$F$255,MATCH($C368,项目档案!$A$6:$A$255,0)),""),"二级",IF($E368=IFERROR(INDEX(项目档案!$H$6:$H$255,MATCH($C368,项目档案!$A$6:$A$255,0)),""),"我方","—"))))</f>
        <v/>
      </c>
      <c r="O368" s="36" t="n">
        <f aca="false">IF($D368&lt;&gt;"销项开票",0,ROUND(N($H368)*N($I368),2))</f>
        <v>0</v>
      </c>
      <c r="P368" s="36" t="n">
        <f aca="false">IF($D368&lt;&gt;"销项开票",0,ROUND(N($H368)-$O368,2))</f>
        <v>0</v>
      </c>
      <c r="Q368" s="37" t="str">
        <f aca="false">IF($E368="","",N(IFERROR(INDEX(单位档案!$E$6:$E$35,MATCH($E368,单位档案!$A$6:$A$35,0)),"")))</f>
        <v/>
      </c>
      <c r="R368" s="37" t="str">
        <f aca="false">IF($E368="","",N(IFERROR(INDEX(单位档案!$F$6:$F$35,MATCH($E368,单位档案!$A$6:$A$35,0)),"")))</f>
        <v/>
      </c>
      <c r="S368" s="36" t="n">
        <f aca="false">IF(OR($D368&lt;&gt;"销项开票",IFERROR(INDEX(单位档案!$G$6:$G$35,MATCH($E368,单位档案!$A$6:$A$35,0)),"")&lt;&gt;"是",N($Q368)=0),0,IF(IFERROR(INDEX(单位档案!$H$6:$H$35,MATCH($E368,单位档案!$A$6:$A$35,0)),"")="税差法",ROUND(N($H368)/(1+$Q368)*$Q368-IF(N($R368)=0,0,$P368/(1+$R368)*$R368),2),ROUND(N($H368)/(1+$Q368)*$Q368,2)))</f>
        <v>0</v>
      </c>
      <c r="T368" s="36" t="n">
        <f aca="false">ROUND($S368*N(IFERROR(INDEX(单位档案!$J$6:$J$35,MATCH($E368,单位档案!$A$6:$A$35,0)),"")),2)</f>
        <v>0</v>
      </c>
      <c r="U368" s="36" t="n">
        <f aca="false">IF($D368&lt;&gt;"销项开票",0,ROUND(N($H368)*N(IFERROR(INDEX(单位档案!$K$6:$K$35,MATCH($E368,单位档案!$A$6:$A$35,0)),"")),2))</f>
        <v>0</v>
      </c>
      <c r="V368" s="36" t="n">
        <f aca="false">IF(OR($D368&lt;&gt;"销项开票",N($Q368)=0),0,ROUND(N($H368)/(1+$Q368)*N(IFERROR(INDEX(单位档案!$L$6:$L$35,MATCH($E368,单位档案!$A$6:$A$35,0)),"")),2))</f>
        <v>0</v>
      </c>
      <c r="W368" s="36" t="n">
        <f aca="false">ROUND($S368+$T368+$U368+$V368,2)</f>
        <v>0</v>
      </c>
      <c r="X368" s="35" t="str">
        <f aca="false">IF(OR($D368="挂靠代收",$D368="我方收款"),COUNTIFS($D$5:$D368,"挂靠代收")+COUNTIFS($D$5:$D368,"我方收款"),"")</f>
        <v/>
      </c>
      <c r="Y368" s="35"/>
      <c r="Z368" s="21" t="s">
        <v>111</v>
      </c>
    </row>
    <row r="369" customFormat="false" ht="15.75" hidden="false" customHeight="true" outlineLevel="0" collapsed="false">
      <c r="A369" s="32" t="str">
        <f aca="false">IF($B369="","",ROW()-4)</f>
        <v/>
      </c>
      <c r="B369" s="26"/>
      <c r="C369" s="24"/>
      <c r="D369" s="21"/>
      <c r="E369" s="21"/>
      <c r="F369" s="21"/>
      <c r="G369" s="21"/>
      <c r="H369" s="27"/>
      <c r="I369" s="23" t="str">
        <f aca="false">IF($D369&lt;&gt;"销项开票","",IF($N369="一级",IF(IFERROR(INDEX(项目档案!$E$6:$E$255,MATCH($C369,项目档案!$A$6:$A$255,0)),"")="",N(IFERROR(INDEX(单位档案!$D$6:$D$35,MATCH($E369,单位档案!$A$6:$A$35,0)),"")),IFERROR(INDEX(项目档案!$E$6:$E$255,MATCH($C369,项目档案!$A$6:$A$255,0)),"")),IF($N369="二级",IF(IFERROR(INDEX(项目档案!$G$6:$G$255,MATCH($C369,项目档案!$A$6:$A$255,0)),"")="",N(IFERROR(INDEX(单位档案!$D$6:$D$35,MATCH($E369,单位档案!$A$6:$A$35,0)),"")),IFERROR(INDEX(项目档案!$G$6:$G$255,MATCH($C369,项目档案!$A$6:$A$255,0)),"")),N(IFERROR(INDEX(单位档案!$D$6:$D$35,MATCH($E369,单位档案!$A$6:$A$35,0)),"")))))</f>
        <v/>
      </c>
      <c r="J369" s="22"/>
      <c r="K369" s="22"/>
      <c r="L369" s="33" t="str">
        <f aca="false">IF($B369="","",IF(NOT(ISNUMBER($B369)),"日期格式不对",IF($C369="","未选项目编号",IF(LEFT($M369,1)="⚠","项目编号不存在",IF($D369="","未选业务类型",IF($E369="","未选开票/付款方",IF(ISNA(MATCH($E369,单位档案!$A$6:$A$35,0)),"开票方不在单位档案",IF($F369="","未选收票/收款方",IF(ISNA(MATCH($F369,单位档案!$A$6:$A$35,0)),"收款方不在单位档案",IF(NOT(ISNUMBER($H369)),"金额须为数字",IF(AND($D369="销项开票",$N369="—"),"链条待确认","√")))))))))))</f>
        <v/>
      </c>
      <c r="M369" s="34" t="str">
        <f aca="false">IF($C369="","",IFERROR(INDEX(项目档案!$B$6:$B$255,MATCH($C369,项目档案!$A$6:$A$255,0)),"⚠项目编号不存在"))</f>
        <v/>
      </c>
      <c r="N369" s="35" t="str">
        <f aca="false">IF($E369="","",IF($E369=IFERROR(INDEX(项目档案!$D$6:$D$255,MATCH($C369,项目档案!$A$6:$A$255,0)),""),"一级",IF($E369=IFERROR(INDEX(项目档案!$F$6:$F$255,MATCH($C369,项目档案!$A$6:$A$255,0)),""),"二级",IF($E369=IFERROR(INDEX(项目档案!$H$6:$H$255,MATCH($C369,项目档案!$A$6:$A$255,0)),""),"我方","—"))))</f>
        <v/>
      </c>
      <c r="O369" s="36" t="n">
        <f aca="false">IF($D369&lt;&gt;"销项开票",0,ROUND(N($H369)*N($I369),2))</f>
        <v>0</v>
      </c>
      <c r="P369" s="36" t="n">
        <f aca="false">IF($D369&lt;&gt;"销项开票",0,ROUND(N($H369)-$O369,2))</f>
        <v>0</v>
      </c>
      <c r="Q369" s="37" t="str">
        <f aca="false">IF($E369="","",N(IFERROR(INDEX(单位档案!$E$6:$E$35,MATCH($E369,单位档案!$A$6:$A$35,0)),"")))</f>
        <v/>
      </c>
      <c r="R369" s="37" t="str">
        <f aca="false">IF($E369="","",N(IFERROR(INDEX(单位档案!$F$6:$F$35,MATCH($E369,单位档案!$A$6:$A$35,0)),"")))</f>
        <v/>
      </c>
      <c r="S369" s="36" t="n">
        <f aca="false">IF(OR($D369&lt;&gt;"销项开票",IFERROR(INDEX(单位档案!$G$6:$G$35,MATCH($E369,单位档案!$A$6:$A$35,0)),"")&lt;&gt;"是",N($Q369)=0),0,IF(IFERROR(INDEX(单位档案!$H$6:$H$35,MATCH($E369,单位档案!$A$6:$A$35,0)),"")="税差法",ROUND(N($H369)/(1+$Q369)*$Q369-IF(N($R369)=0,0,$P369/(1+$R369)*$R369),2),ROUND(N($H369)/(1+$Q369)*$Q369,2)))</f>
        <v>0</v>
      </c>
      <c r="T369" s="36" t="n">
        <f aca="false">ROUND($S369*N(IFERROR(INDEX(单位档案!$J$6:$J$35,MATCH($E369,单位档案!$A$6:$A$35,0)),"")),2)</f>
        <v>0</v>
      </c>
      <c r="U369" s="36" t="n">
        <f aca="false">IF($D369&lt;&gt;"销项开票",0,ROUND(N($H369)*N(IFERROR(INDEX(单位档案!$K$6:$K$35,MATCH($E369,单位档案!$A$6:$A$35,0)),"")),2))</f>
        <v>0</v>
      </c>
      <c r="V369" s="36" t="n">
        <f aca="false">IF(OR($D369&lt;&gt;"销项开票",N($Q369)=0),0,ROUND(N($H369)/(1+$Q369)*N(IFERROR(INDEX(单位档案!$L$6:$L$35,MATCH($E369,单位档案!$A$6:$A$35,0)),"")),2))</f>
        <v>0</v>
      </c>
      <c r="W369" s="36" t="n">
        <f aca="false">ROUND($S369+$T369+$U369+$V369,2)</f>
        <v>0</v>
      </c>
      <c r="X369" s="35" t="str">
        <f aca="false">IF(OR($D369="挂靠代收",$D369="我方收款"),COUNTIFS($D$5:$D369,"挂靠代收")+COUNTIFS($D$5:$D369,"我方收款"),"")</f>
        <v/>
      </c>
      <c r="Y369" s="35"/>
      <c r="Z369" s="21" t="s">
        <v>111</v>
      </c>
    </row>
    <row r="370" customFormat="false" ht="15.75" hidden="false" customHeight="true" outlineLevel="0" collapsed="false">
      <c r="A370" s="32" t="str">
        <f aca="false">IF($B370="","",ROW()-4)</f>
        <v/>
      </c>
      <c r="B370" s="26"/>
      <c r="C370" s="24"/>
      <c r="D370" s="21"/>
      <c r="E370" s="21"/>
      <c r="F370" s="21"/>
      <c r="G370" s="21"/>
      <c r="H370" s="27"/>
      <c r="I370" s="23" t="str">
        <f aca="false">IF($D370&lt;&gt;"销项开票","",IF($N370="一级",IF(IFERROR(INDEX(项目档案!$E$6:$E$255,MATCH($C370,项目档案!$A$6:$A$255,0)),"")="",N(IFERROR(INDEX(单位档案!$D$6:$D$35,MATCH($E370,单位档案!$A$6:$A$35,0)),"")),IFERROR(INDEX(项目档案!$E$6:$E$255,MATCH($C370,项目档案!$A$6:$A$255,0)),"")),IF($N370="二级",IF(IFERROR(INDEX(项目档案!$G$6:$G$255,MATCH($C370,项目档案!$A$6:$A$255,0)),"")="",N(IFERROR(INDEX(单位档案!$D$6:$D$35,MATCH($E370,单位档案!$A$6:$A$35,0)),"")),IFERROR(INDEX(项目档案!$G$6:$G$255,MATCH($C370,项目档案!$A$6:$A$255,0)),"")),N(IFERROR(INDEX(单位档案!$D$6:$D$35,MATCH($E370,单位档案!$A$6:$A$35,0)),"")))))</f>
        <v/>
      </c>
      <c r="J370" s="22"/>
      <c r="K370" s="22"/>
      <c r="L370" s="33" t="str">
        <f aca="false">IF($B370="","",IF(NOT(ISNUMBER($B370)),"日期格式不对",IF($C370="","未选项目编号",IF(LEFT($M370,1)="⚠","项目编号不存在",IF($D370="","未选业务类型",IF($E370="","未选开票/付款方",IF(ISNA(MATCH($E370,单位档案!$A$6:$A$35,0)),"开票方不在单位档案",IF($F370="","未选收票/收款方",IF(ISNA(MATCH($F370,单位档案!$A$6:$A$35,0)),"收款方不在单位档案",IF(NOT(ISNUMBER($H370)),"金额须为数字",IF(AND($D370="销项开票",$N370="—"),"链条待确认","√")))))))))))</f>
        <v/>
      </c>
      <c r="M370" s="34" t="str">
        <f aca="false">IF($C370="","",IFERROR(INDEX(项目档案!$B$6:$B$255,MATCH($C370,项目档案!$A$6:$A$255,0)),"⚠项目编号不存在"))</f>
        <v/>
      </c>
      <c r="N370" s="35" t="str">
        <f aca="false">IF($E370="","",IF($E370=IFERROR(INDEX(项目档案!$D$6:$D$255,MATCH($C370,项目档案!$A$6:$A$255,0)),""),"一级",IF($E370=IFERROR(INDEX(项目档案!$F$6:$F$255,MATCH($C370,项目档案!$A$6:$A$255,0)),""),"二级",IF($E370=IFERROR(INDEX(项目档案!$H$6:$H$255,MATCH($C370,项目档案!$A$6:$A$255,0)),""),"我方","—"))))</f>
        <v/>
      </c>
      <c r="O370" s="36" t="n">
        <f aca="false">IF($D370&lt;&gt;"销项开票",0,ROUND(N($H370)*N($I370),2))</f>
        <v>0</v>
      </c>
      <c r="P370" s="36" t="n">
        <f aca="false">IF($D370&lt;&gt;"销项开票",0,ROUND(N($H370)-$O370,2))</f>
        <v>0</v>
      </c>
      <c r="Q370" s="37" t="str">
        <f aca="false">IF($E370="","",N(IFERROR(INDEX(单位档案!$E$6:$E$35,MATCH($E370,单位档案!$A$6:$A$35,0)),"")))</f>
        <v/>
      </c>
      <c r="R370" s="37" t="str">
        <f aca="false">IF($E370="","",N(IFERROR(INDEX(单位档案!$F$6:$F$35,MATCH($E370,单位档案!$A$6:$A$35,0)),"")))</f>
        <v/>
      </c>
      <c r="S370" s="36" t="n">
        <f aca="false">IF(OR($D370&lt;&gt;"销项开票",IFERROR(INDEX(单位档案!$G$6:$G$35,MATCH($E370,单位档案!$A$6:$A$35,0)),"")&lt;&gt;"是",N($Q370)=0),0,IF(IFERROR(INDEX(单位档案!$H$6:$H$35,MATCH($E370,单位档案!$A$6:$A$35,0)),"")="税差法",ROUND(N($H370)/(1+$Q370)*$Q370-IF(N($R370)=0,0,$P370/(1+$R370)*$R370),2),ROUND(N($H370)/(1+$Q370)*$Q370,2)))</f>
        <v>0</v>
      </c>
      <c r="T370" s="36" t="n">
        <f aca="false">ROUND($S370*N(IFERROR(INDEX(单位档案!$J$6:$J$35,MATCH($E370,单位档案!$A$6:$A$35,0)),"")),2)</f>
        <v>0</v>
      </c>
      <c r="U370" s="36" t="n">
        <f aca="false">IF($D370&lt;&gt;"销项开票",0,ROUND(N($H370)*N(IFERROR(INDEX(单位档案!$K$6:$K$35,MATCH($E370,单位档案!$A$6:$A$35,0)),"")),2))</f>
        <v>0</v>
      </c>
      <c r="V370" s="36" t="n">
        <f aca="false">IF(OR($D370&lt;&gt;"销项开票",N($Q370)=0),0,ROUND(N($H370)/(1+$Q370)*N(IFERROR(INDEX(单位档案!$L$6:$L$35,MATCH($E370,单位档案!$A$6:$A$35,0)),"")),2))</f>
        <v>0</v>
      </c>
      <c r="W370" s="36" t="n">
        <f aca="false">ROUND($S370+$T370+$U370+$V370,2)</f>
        <v>0</v>
      </c>
      <c r="X370" s="35" t="str">
        <f aca="false">IF(OR($D370="挂靠代收",$D370="我方收款"),COUNTIFS($D$5:$D370,"挂靠代收")+COUNTIFS($D$5:$D370,"我方收款"),"")</f>
        <v/>
      </c>
      <c r="Y370" s="35"/>
      <c r="Z370" s="21" t="s">
        <v>111</v>
      </c>
    </row>
    <row r="371" customFormat="false" ht="15.75" hidden="false" customHeight="true" outlineLevel="0" collapsed="false">
      <c r="A371" s="32" t="str">
        <f aca="false">IF($B371="","",ROW()-4)</f>
        <v/>
      </c>
      <c r="B371" s="26"/>
      <c r="C371" s="24"/>
      <c r="D371" s="21"/>
      <c r="E371" s="21"/>
      <c r="F371" s="21"/>
      <c r="G371" s="21"/>
      <c r="H371" s="27"/>
      <c r="I371" s="23" t="str">
        <f aca="false">IF($D371&lt;&gt;"销项开票","",IF($N371="一级",IF(IFERROR(INDEX(项目档案!$E$6:$E$255,MATCH($C371,项目档案!$A$6:$A$255,0)),"")="",N(IFERROR(INDEX(单位档案!$D$6:$D$35,MATCH($E371,单位档案!$A$6:$A$35,0)),"")),IFERROR(INDEX(项目档案!$E$6:$E$255,MATCH($C371,项目档案!$A$6:$A$255,0)),"")),IF($N371="二级",IF(IFERROR(INDEX(项目档案!$G$6:$G$255,MATCH($C371,项目档案!$A$6:$A$255,0)),"")="",N(IFERROR(INDEX(单位档案!$D$6:$D$35,MATCH($E371,单位档案!$A$6:$A$35,0)),"")),IFERROR(INDEX(项目档案!$G$6:$G$255,MATCH($C371,项目档案!$A$6:$A$255,0)),"")),N(IFERROR(INDEX(单位档案!$D$6:$D$35,MATCH($E371,单位档案!$A$6:$A$35,0)),"")))))</f>
        <v/>
      </c>
      <c r="J371" s="22"/>
      <c r="K371" s="22"/>
      <c r="L371" s="33" t="str">
        <f aca="false">IF($B371="","",IF(NOT(ISNUMBER($B371)),"日期格式不对",IF($C371="","未选项目编号",IF(LEFT($M371,1)="⚠","项目编号不存在",IF($D371="","未选业务类型",IF($E371="","未选开票/付款方",IF(ISNA(MATCH($E371,单位档案!$A$6:$A$35,0)),"开票方不在单位档案",IF($F371="","未选收票/收款方",IF(ISNA(MATCH($F371,单位档案!$A$6:$A$35,0)),"收款方不在单位档案",IF(NOT(ISNUMBER($H371)),"金额须为数字",IF(AND($D371="销项开票",$N371="—"),"链条待确认","√")))))))))))</f>
        <v/>
      </c>
      <c r="M371" s="34" t="str">
        <f aca="false">IF($C371="","",IFERROR(INDEX(项目档案!$B$6:$B$255,MATCH($C371,项目档案!$A$6:$A$255,0)),"⚠项目编号不存在"))</f>
        <v/>
      </c>
      <c r="N371" s="35" t="str">
        <f aca="false">IF($E371="","",IF($E371=IFERROR(INDEX(项目档案!$D$6:$D$255,MATCH($C371,项目档案!$A$6:$A$255,0)),""),"一级",IF($E371=IFERROR(INDEX(项目档案!$F$6:$F$255,MATCH($C371,项目档案!$A$6:$A$255,0)),""),"二级",IF($E371=IFERROR(INDEX(项目档案!$H$6:$H$255,MATCH($C371,项目档案!$A$6:$A$255,0)),""),"我方","—"))))</f>
        <v/>
      </c>
      <c r="O371" s="36" t="n">
        <f aca="false">IF($D371&lt;&gt;"销项开票",0,ROUND(N($H371)*N($I371),2))</f>
        <v>0</v>
      </c>
      <c r="P371" s="36" t="n">
        <f aca="false">IF($D371&lt;&gt;"销项开票",0,ROUND(N($H371)-$O371,2))</f>
        <v>0</v>
      </c>
      <c r="Q371" s="37" t="str">
        <f aca="false">IF($E371="","",N(IFERROR(INDEX(单位档案!$E$6:$E$35,MATCH($E371,单位档案!$A$6:$A$35,0)),"")))</f>
        <v/>
      </c>
      <c r="R371" s="37" t="str">
        <f aca="false">IF($E371="","",N(IFERROR(INDEX(单位档案!$F$6:$F$35,MATCH($E371,单位档案!$A$6:$A$35,0)),"")))</f>
        <v/>
      </c>
      <c r="S371" s="36" t="n">
        <f aca="false">IF(OR($D371&lt;&gt;"销项开票",IFERROR(INDEX(单位档案!$G$6:$G$35,MATCH($E371,单位档案!$A$6:$A$35,0)),"")&lt;&gt;"是",N($Q371)=0),0,IF(IFERROR(INDEX(单位档案!$H$6:$H$35,MATCH($E371,单位档案!$A$6:$A$35,0)),"")="税差法",ROUND(N($H371)/(1+$Q371)*$Q371-IF(N($R371)=0,0,$P371/(1+$R371)*$R371),2),ROUND(N($H371)/(1+$Q371)*$Q371,2)))</f>
        <v>0</v>
      </c>
      <c r="T371" s="36" t="n">
        <f aca="false">ROUND($S371*N(IFERROR(INDEX(单位档案!$J$6:$J$35,MATCH($E371,单位档案!$A$6:$A$35,0)),"")),2)</f>
        <v>0</v>
      </c>
      <c r="U371" s="36" t="n">
        <f aca="false">IF($D371&lt;&gt;"销项开票",0,ROUND(N($H371)*N(IFERROR(INDEX(单位档案!$K$6:$K$35,MATCH($E371,单位档案!$A$6:$A$35,0)),"")),2))</f>
        <v>0</v>
      </c>
      <c r="V371" s="36" t="n">
        <f aca="false">IF(OR($D371&lt;&gt;"销项开票",N($Q371)=0),0,ROUND(N($H371)/(1+$Q371)*N(IFERROR(INDEX(单位档案!$L$6:$L$35,MATCH($E371,单位档案!$A$6:$A$35,0)),"")),2))</f>
        <v>0</v>
      </c>
      <c r="W371" s="36" t="n">
        <f aca="false">ROUND($S371+$T371+$U371+$V371,2)</f>
        <v>0</v>
      </c>
      <c r="X371" s="35" t="str">
        <f aca="false">IF(OR($D371="挂靠代收",$D371="我方收款"),COUNTIFS($D$5:$D371,"挂靠代收")+COUNTIFS($D$5:$D371,"我方收款"),"")</f>
        <v/>
      </c>
      <c r="Y371" s="35"/>
      <c r="Z371" s="21" t="s">
        <v>111</v>
      </c>
    </row>
    <row r="372" customFormat="false" ht="15.75" hidden="false" customHeight="true" outlineLevel="0" collapsed="false">
      <c r="A372" s="32" t="str">
        <f aca="false">IF($B372="","",ROW()-4)</f>
        <v/>
      </c>
      <c r="B372" s="26"/>
      <c r="C372" s="24"/>
      <c r="D372" s="21"/>
      <c r="E372" s="21"/>
      <c r="F372" s="21"/>
      <c r="G372" s="21"/>
      <c r="H372" s="27"/>
      <c r="I372" s="23" t="str">
        <f aca="false">IF($D372&lt;&gt;"销项开票","",IF($N372="一级",IF(IFERROR(INDEX(项目档案!$E$6:$E$255,MATCH($C372,项目档案!$A$6:$A$255,0)),"")="",N(IFERROR(INDEX(单位档案!$D$6:$D$35,MATCH($E372,单位档案!$A$6:$A$35,0)),"")),IFERROR(INDEX(项目档案!$E$6:$E$255,MATCH($C372,项目档案!$A$6:$A$255,0)),"")),IF($N372="二级",IF(IFERROR(INDEX(项目档案!$G$6:$G$255,MATCH($C372,项目档案!$A$6:$A$255,0)),"")="",N(IFERROR(INDEX(单位档案!$D$6:$D$35,MATCH($E372,单位档案!$A$6:$A$35,0)),"")),IFERROR(INDEX(项目档案!$G$6:$G$255,MATCH($C372,项目档案!$A$6:$A$255,0)),"")),N(IFERROR(INDEX(单位档案!$D$6:$D$35,MATCH($E372,单位档案!$A$6:$A$35,0)),"")))))</f>
        <v/>
      </c>
      <c r="J372" s="22"/>
      <c r="K372" s="22"/>
      <c r="L372" s="33" t="str">
        <f aca="false">IF($B372="","",IF(NOT(ISNUMBER($B372)),"日期格式不对",IF($C372="","未选项目编号",IF(LEFT($M372,1)="⚠","项目编号不存在",IF($D372="","未选业务类型",IF($E372="","未选开票/付款方",IF(ISNA(MATCH($E372,单位档案!$A$6:$A$35,0)),"开票方不在单位档案",IF($F372="","未选收票/收款方",IF(ISNA(MATCH($F372,单位档案!$A$6:$A$35,0)),"收款方不在单位档案",IF(NOT(ISNUMBER($H372)),"金额须为数字",IF(AND($D372="销项开票",$N372="—"),"链条待确认","√")))))))))))</f>
        <v/>
      </c>
      <c r="M372" s="34" t="str">
        <f aca="false">IF($C372="","",IFERROR(INDEX(项目档案!$B$6:$B$255,MATCH($C372,项目档案!$A$6:$A$255,0)),"⚠项目编号不存在"))</f>
        <v/>
      </c>
      <c r="N372" s="35" t="str">
        <f aca="false">IF($E372="","",IF($E372=IFERROR(INDEX(项目档案!$D$6:$D$255,MATCH($C372,项目档案!$A$6:$A$255,0)),""),"一级",IF($E372=IFERROR(INDEX(项目档案!$F$6:$F$255,MATCH($C372,项目档案!$A$6:$A$255,0)),""),"二级",IF($E372=IFERROR(INDEX(项目档案!$H$6:$H$255,MATCH($C372,项目档案!$A$6:$A$255,0)),""),"我方","—"))))</f>
        <v/>
      </c>
      <c r="O372" s="36" t="n">
        <f aca="false">IF($D372&lt;&gt;"销项开票",0,ROUND(N($H372)*N($I372),2))</f>
        <v>0</v>
      </c>
      <c r="P372" s="36" t="n">
        <f aca="false">IF($D372&lt;&gt;"销项开票",0,ROUND(N($H372)-$O372,2))</f>
        <v>0</v>
      </c>
      <c r="Q372" s="37" t="str">
        <f aca="false">IF($E372="","",N(IFERROR(INDEX(单位档案!$E$6:$E$35,MATCH($E372,单位档案!$A$6:$A$35,0)),"")))</f>
        <v/>
      </c>
      <c r="R372" s="37" t="str">
        <f aca="false">IF($E372="","",N(IFERROR(INDEX(单位档案!$F$6:$F$35,MATCH($E372,单位档案!$A$6:$A$35,0)),"")))</f>
        <v/>
      </c>
      <c r="S372" s="36" t="n">
        <f aca="false">IF(OR($D372&lt;&gt;"销项开票",IFERROR(INDEX(单位档案!$G$6:$G$35,MATCH($E372,单位档案!$A$6:$A$35,0)),"")&lt;&gt;"是",N($Q372)=0),0,IF(IFERROR(INDEX(单位档案!$H$6:$H$35,MATCH($E372,单位档案!$A$6:$A$35,0)),"")="税差法",ROUND(N($H372)/(1+$Q372)*$Q372-IF(N($R372)=0,0,$P372/(1+$R372)*$R372),2),ROUND(N($H372)/(1+$Q372)*$Q372,2)))</f>
        <v>0</v>
      </c>
      <c r="T372" s="36" t="n">
        <f aca="false">ROUND($S372*N(IFERROR(INDEX(单位档案!$J$6:$J$35,MATCH($E372,单位档案!$A$6:$A$35,0)),"")),2)</f>
        <v>0</v>
      </c>
      <c r="U372" s="36" t="n">
        <f aca="false">IF($D372&lt;&gt;"销项开票",0,ROUND(N($H372)*N(IFERROR(INDEX(单位档案!$K$6:$K$35,MATCH($E372,单位档案!$A$6:$A$35,0)),"")),2))</f>
        <v>0</v>
      </c>
      <c r="V372" s="36" t="n">
        <f aca="false">IF(OR($D372&lt;&gt;"销项开票",N($Q372)=0),0,ROUND(N($H372)/(1+$Q372)*N(IFERROR(INDEX(单位档案!$L$6:$L$35,MATCH($E372,单位档案!$A$6:$A$35,0)),"")),2))</f>
        <v>0</v>
      </c>
      <c r="W372" s="36" t="n">
        <f aca="false">ROUND($S372+$T372+$U372+$V372,2)</f>
        <v>0</v>
      </c>
      <c r="X372" s="35" t="str">
        <f aca="false">IF(OR($D372="挂靠代收",$D372="我方收款"),COUNTIFS($D$5:$D372,"挂靠代收")+COUNTIFS($D$5:$D372,"我方收款"),"")</f>
        <v/>
      </c>
      <c r="Y372" s="35"/>
      <c r="Z372" s="21" t="s">
        <v>111</v>
      </c>
    </row>
    <row r="373" customFormat="false" ht="15.75" hidden="false" customHeight="true" outlineLevel="0" collapsed="false">
      <c r="A373" s="32" t="str">
        <f aca="false">IF($B373="","",ROW()-4)</f>
        <v/>
      </c>
      <c r="B373" s="26"/>
      <c r="C373" s="24"/>
      <c r="D373" s="21"/>
      <c r="E373" s="21"/>
      <c r="F373" s="21"/>
      <c r="G373" s="21"/>
      <c r="H373" s="27"/>
      <c r="I373" s="23" t="str">
        <f aca="false">IF($D373&lt;&gt;"销项开票","",IF($N373="一级",IF(IFERROR(INDEX(项目档案!$E$6:$E$255,MATCH($C373,项目档案!$A$6:$A$255,0)),"")="",N(IFERROR(INDEX(单位档案!$D$6:$D$35,MATCH($E373,单位档案!$A$6:$A$35,0)),"")),IFERROR(INDEX(项目档案!$E$6:$E$255,MATCH($C373,项目档案!$A$6:$A$255,0)),"")),IF($N373="二级",IF(IFERROR(INDEX(项目档案!$G$6:$G$255,MATCH($C373,项目档案!$A$6:$A$255,0)),"")="",N(IFERROR(INDEX(单位档案!$D$6:$D$35,MATCH($E373,单位档案!$A$6:$A$35,0)),"")),IFERROR(INDEX(项目档案!$G$6:$G$255,MATCH($C373,项目档案!$A$6:$A$255,0)),"")),N(IFERROR(INDEX(单位档案!$D$6:$D$35,MATCH($E373,单位档案!$A$6:$A$35,0)),"")))))</f>
        <v/>
      </c>
      <c r="J373" s="22"/>
      <c r="K373" s="22"/>
      <c r="L373" s="33" t="str">
        <f aca="false">IF($B373="","",IF(NOT(ISNUMBER($B373)),"日期格式不对",IF($C373="","未选项目编号",IF(LEFT($M373,1)="⚠","项目编号不存在",IF($D373="","未选业务类型",IF($E373="","未选开票/付款方",IF(ISNA(MATCH($E373,单位档案!$A$6:$A$35,0)),"开票方不在单位档案",IF($F373="","未选收票/收款方",IF(ISNA(MATCH($F373,单位档案!$A$6:$A$35,0)),"收款方不在单位档案",IF(NOT(ISNUMBER($H373)),"金额须为数字",IF(AND($D373="销项开票",$N373="—"),"链条待确认","√")))))))))))</f>
        <v/>
      </c>
      <c r="M373" s="34" t="str">
        <f aca="false">IF($C373="","",IFERROR(INDEX(项目档案!$B$6:$B$255,MATCH($C373,项目档案!$A$6:$A$255,0)),"⚠项目编号不存在"))</f>
        <v/>
      </c>
      <c r="N373" s="35" t="str">
        <f aca="false">IF($E373="","",IF($E373=IFERROR(INDEX(项目档案!$D$6:$D$255,MATCH($C373,项目档案!$A$6:$A$255,0)),""),"一级",IF($E373=IFERROR(INDEX(项目档案!$F$6:$F$255,MATCH($C373,项目档案!$A$6:$A$255,0)),""),"二级",IF($E373=IFERROR(INDEX(项目档案!$H$6:$H$255,MATCH($C373,项目档案!$A$6:$A$255,0)),""),"我方","—"))))</f>
        <v/>
      </c>
      <c r="O373" s="36" t="n">
        <f aca="false">IF($D373&lt;&gt;"销项开票",0,ROUND(N($H373)*N($I373),2))</f>
        <v>0</v>
      </c>
      <c r="P373" s="36" t="n">
        <f aca="false">IF($D373&lt;&gt;"销项开票",0,ROUND(N($H373)-$O373,2))</f>
        <v>0</v>
      </c>
      <c r="Q373" s="37" t="str">
        <f aca="false">IF($E373="","",N(IFERROR(INDEX(单位档案!$E$6:$E$35,MATCH($E373,单位档案!$A$6:$A$35,0)),"")))</f>
        <v/>
      </c>
      <c r="R373" s="37" t="str">
        <f aca="false">IF($E373="","",N(IFERROR(INDEX(单位档案!$F$6:$F$35,MATCH($E373,单位档案!$A$6:$A$35,0)),"")))</f>
        <v/>
      </c>
      <c r="S373" s="36" t="n">
        <f aca="false">IF(OR($D373&lt;&gt;"销项开票",IFERROR(INDEX(单位档案!$G$6:$G$35,MATCH($E373,单位档案!$A$6:$A$35,0)),"")&lt;&gt;"是",N($Q373)=0),0,IF(IFERROR(INDEX(单位档案!$H$6:$H$35,MATCH($E373,单位档案!$A$6:$A$35,0)),"")="税差法",ROUND(N($H373)/(1+$Q373)*$Q373-IF(N($R373)=0,0,$P373/(1+$R373)*$R373),2),ROUND(N($H373)/(1+$Q373)*$Q373,2)))</f>
        <v>0</v>
      </c>
      <c r="T373" s="36" t="n">
        <f aca="false">ROUND($S373*N(IFERROR(INDEX(单位档案!$J$6:$J$35,MATCH($E373,单位档案!$A$6:$A$35,0)),"")),2)</f>
        <v>0</v>
      </c>
      <c r="U373" s="36" t="n">
        <f aca="false">IF($D373&lt;&gt;"销项开票",0,ROUND(N($H373)*N(IFERROR(INDEX(单位档案!$K$6:$K$35,MATCH($E373,单位档案!$A$6:$A$35,0)),"")),2))</f>
        <v>0</v>
      </c>
      <c r="V373" s="36" t="n">
        <f aca="false">IF(OR($D373&lt;&gt;"销项开票",N($Q373)=0),0,ROUND(N($H373)/(1+$Q373)*N(IFERROR(INDEX(单位档案!$L$6:$L$35,MATCH($E373,单位档案!$A$6:$A$35,0)),"")),2))</f>
        <v>0</v>
      </c>
      <c r="W373" s="36" t="n">
        <f aca="false">ROUND($S373+$T373+$U373+$V373,2)</f>
        <v>0</v>
      </c>
      <c r="X373" s="35" t="str">
        <f aca="false">IF(OR($D373="挂靠代收",$D373="我方收款"),COUNTIFS($D$5:$D373,"挂靠代收")+COUNTIFS($D$5:$D373,"我方收款"),"")</f>
        <v/>
      </c>
      <c r="Y373" s="35"/>
      <c r="Z373" s="21" t="s">
        <v>111</v>
      </c>
    </row>
    <row r="374" customFormat="false" ht="15.75" hidden="false" customHeight="true" outlineLevel="0" collapsed="false">
      <c r="A374" s="32" t="str">
        <f aca="false">IF($B374="","",ROW()-4)</f>
        <v/>
      </c>
      <c r="B374" s="26"/>
      <c r="C374" s="24"/>
      <c r="D374" s="21"/>
      <c r="E374" s="21"/>
      <c r="F374" s="21"/>
      <c r="G374" s="21"/>
      <c r="H374" s="27"/>
      <c r="I374" s="23" t="str">
        <f aca="false">IF($D374&lt;&gt;"销项开票","",IF($N374="一级",IF(IFERROR(INDEX(项目档案!$E$6:$E$255,MATCH($C374,项目档案!$A$6:$A$255,0)),"")="",N(IFERROR(INDEX(单位档案!$D$6:$D$35,MATCH($E374,单位档案!$A$6:$A$35,0)),"")),IFERROR(INDEX(项目档案!$E$6:$E$255,MATCH($C374,项目档案!$A$6:$A$255,0)),"")),IF($N374="二级",IF(IFERROR(INDEX(项目档案!$G$6:$G$255,MATCH($C374,项目档案!$A$6:$A$255,0)),"")="",N(IFERROR(INDEX(单位档案!$D$6:$D$35,MATCH($E374,单位档案!$A$6:$A$35,0)),"")),IFERROR(INDEX(项目档案!$G$6:$G$255,MATCH($C374,项目档案!$A$6:$A$255,0)),"")),N(IFERROR(INDEX(单位档案!$D$6:$D$35,MATCH($E374,单位档案!$A$6:$A$35,0)),"")))))</f>
        <v/>
      </c>
      <c r="J374" s="22"/>
      <c r="K374" s="22"/>
      <c r="L374" s="33" t="str">
        <f aca="false">IF($B374="","",IF(NOT(ISNUMBER($B374)),"日期格式不对",IF($C374="","未选项目编号",IF(LEFT($M374,1)="⚠","项目编号不存在",IF($D374="","未选业务类型",IF($E374="","未选开票/付款方",IF(ISNA(MATCH($E374,单位档案!$A$6:$A$35,0)),"开票方不在单位档案",IF($F374="","未选收票/收款方",IF(ISNA(MATCH($F374,单位档案!$A$6:$A$35,0)),"收款方不在单位档案",IF(NOT(ISNUMBER($H374)),"金额须为数字",IF(AND($D374="销项开票",$N374="—"),"链条待确认","√")))))))))))</f>
        <v/>
      </c>
      <c r="M374" s="34" t="str">
        <f aca="false">IF($C374="","",IFERROR(INDEX(项目档案!$B$6:$B$255,MATCH($C374,项目档案!$A$6:$A$255,0)),"⚠项目编号不存在"))</f>
        <v/>
      </c>
      <c r="N374" s="35" t="str">
        <f aca="false">IF($E374="","",IF($E374=IFERROR(INDEX(项目档案!$D$6:$D$255,MATCH($C374,项目档案!$A$6:$A$255,0)),""),"一级",IF($E374=IFERROR(INDEX(项目档案!$F$6:$F$255,MATCH($C374,项目档案!$A$6:$A$255,0)),""),"二级",IF($E374=IFERROR(INDEX(项目档案!$H$6:$H$255,MATCH($C374,项目档案!$A$6:$A$255,0)),""),"我方","—"))))</f>
        <v/>
      </c>
      <c r="O374" s="36" t="n">
        <f aca="false">IF($D374&lt;&gt;"销项开票",0,ROUND(N($H374)*N($I374),2))</f>
        <v>0</v>
      </c>
      <c r="P374" s="36" t="n">
        <f aca="false">IF($D374&lt;&gt;"销项开票",0,ROUND(N($H374)-$O374,2))</f>
        <v>0</v>
      </c>
      <c r="Q374" s="37" t="str">
        <f aca="false">IF($E374="","",N(IFERROR(INDEX(单位档案!$E$6:$E$35,MATCH($E374,单位档案!$A$6:$A$35,0)),"")))</f>
        <v/>
      </c>
      <c r="R374" s="37" t="str">
        <f aca="false">IF($E374="","",N(IFERROR(INDEX(单位档案!$F$6:$F$35,MATCH($E374,单位档案!$A$6:$A$35,0)),"")))</f>
        <v/>
      </c>
      <c r="S374" s="36" t="n">
        <f aca="false">IF(OR($D374&lt;&gt;"销项开票",IFERROR(INDEX(单位档案!$G$6:$G$35,MATCH($E374,单位档案!$A$6:$A$35,0)),"")&lt;&gt;"是",N($Q374)=0),0,IF(IFERROR(INDEX(单位档案!$H$6:$H$35,MATCH($E374,单位档案!$A$6:$A$35,0)),"")="税差法",ROUND(N($H374)/(1+$Q374)*$Q374-IF(N($R374)=0,0,$P374/(1+$R374)*$R374),2),ROUND(N($H374)/(1+$Q374)*$Q374,2)))</f>
        <v>0</v>
      </c>
      <c r="T374" s="36" t="n">
        <f aca="false">ROUND($S374*N(IFERROR(INDEX(单位档案!$J$6:$J$35,MATCH($E374,单位档案!$A$6:$A$35,0)),"")),2)</f>
        <v>0</v>
      </c>
      <c r="U374" s="36" t="n">
        <f aca="false">IF($D374&lt;&gt;"销项开票",0,ROUND(N($H374)*N(IFERROR(INDEX(单位档案!$K$6:$K$35,MATCH($E374,单位档案!$A$6:$A$35,0)),"")),2))</f>
        <v>0</v>
      </c>
      <c r="V374" s="36" t="n">
        <f aca="false">IF(OR($D374&lt;&gt;"销项开票",N($Q374)=0),0,ROUND(N($H374)/(1+$Q374)*N(IFERROR(INDEX(单位档案!$L$6:$L$35,MATCH($E374,单位档案!$A$6:$A$35,0)),"")),2))</f>
        <v>0</v>
      </c>
      <c r="W374" s="36" t="n">
        <f aca="false">ROUND($S374+$T374+$U374+$V374,2)</f>
        <v>0</v>
      </c>
      <c r="X374" s="35" t="str">
        <f aca="false">IF(OR($D374="挂靠代收",$D374="我方收款"),COUNTIFS($D$5:$D374,"挂靠代收")+COUNTIFS($D$5:$D374,"我方收款"),"")</f>
        <v/>
      </c>
      <c r="Y374" s="35"/>
      <c r="Z374" s="21" t="s">
        <v>111</v>
      </c>
    </row>
    <row r="375" customFormat="false" ht="15.75" hidden="false" customHeight="true" outlineLevel="0" collapsed="false">
      <c r="A375" s="32" t="str">
        <f aca="false">IF($B375="","",ROW()-4)</f>
        <v/>
      </c>
      <c r="B375" s="26"/>
      <c r="C375" s="24"/>
      <c r="D375" s="21"/>
      <c r="E375" s="21"/>
      <c r="F375" s="21"/>
      <c r="G375" s="21"/>
      <c r="H375" s="27"/>
      <c r="I375" s="23" t="str">
        <f aca="false">IF($D375&lt;&gt;"销项开票","",IF($N375="一级",IF(IFERROR(INDEX(项目档案!$E$6:$E$255,MATCH($C375,项目档案!$A$6:$A$255,0)),"")="",N(IFERROR(INDEX(单位档案!$D$6:$D$35,MATCH($E375,单位档案!$A$6:$A$35,0)),"")),IFERROR(INDEX(项目档案!$E$6:$E$255,MATCH($C375,项目档案!$A$6:$A$255,0)),"")),IF($N375="二级",IF(IFERROR(INDEX(项目档案!$G$6:$G$255,MATCH($C375,项目档案!$A$6:$A$255,0)),"")="",N(IFERROR(INDEX(单位档案!$D$6:$D$35,MATCH($E375,单位档案!$A$6:$A$35,0)),"")),IFERROR(INDEX(项目档案!$G$6:$G$255,MATCH($C375,项目档案!$A$6:$A$255,0)),"")),N(IFERROR(INDEX(单位档案!$D$6:$D$35,MATCH($E375,单位档案!$A$6:$A$35,0)),"")))))</f>
        <v/>
      </c>
      <c r="J375" s="22"/>
      <c r="K375" s="22"/>
      <c r="L375" s="33" t="str">
        <f aca="false">IF($B375="","",IF(NOT(ISNUMBER($B375)),"日期格式不对",IF($C375="","未选项目编号",IF(LEFT($M375,1)="⚠","项目编号不存在",IF($D375="","未选业务类型",IF($E375="","未选开票/付款方",IF(ISNA(MATCH($E375,单位档案!$A$6:$A$35,0)),"开票方不在单位档案",IF($F375="","未选收票/收款方",IF(ISNA(MATCH($F375,单位档案!$A$6:$A$35,0)),"收款方不在单位档案",IF(NOT(ISNUMBER($H375)),"金额须为数字",IF(AND($D375="销项开票",$N375="—"),"链条待确认","√")))))))))))</f>
        <v/>
      </c>
      <c r="M375" s="34" t="str">
        <f aca="false">IF($C375="","",IFERROR(INDEX(项目档案!$B$6:$B$255,MATCH($C375,项目档案!$A$6:$A$255,0)),"⚠项目编号不存在"))</f>
        <v/>
      </c>
      <c r="N375" s="35" t="str">
        <f aca="false">IF($E375="","",IF($E375=IFERROR(INDEX(项目档案!$D$6:$D$255,MATCH($C375,项目档案!$A$6:$A$255,0)),""),"一级",IF($E375=IFERROR(INDEX(项目档案!$F$6:$F$255,MATCH($C375,项目档案!$A$6:$A$255,0)),""),"二级",IF($E375=IFERROR(INDEX(项目档案!$H$6:$H$255,MATCH($C375,项目档案!$A$6:$A$255,0)),""),"我方","—"))))</f>
        <v/>
      </c>
      <c r="O375" s="36" t="n">
        <f aca="false">IF($D375&lt;&gt;"销项开票",0,ROUND(N($H375)*N($I375),2))</f>
        <v>0</v>
      </c>
      <c r="P375" s="36" t="n">
        <f aca="false">IF($D375&lt;&gt;"销项开票",0,ROUND(N($H375)-$O375,2))</f>
        <v>0</v>
      </c>
      <c r="Q375" s="37" t="str">
        <f aca="false">IF($E375="","",N(IFERROR(INDEX(单位档案!$E$6:$E$35,MATCH($E375,单位档案!$A$6:$A$35,0)),"")))</f>
        <v/>
      </c>
      <c r="R375" s="37" t="str">
        <f aca="false">IF($E375="","",N(IFERROR(INDEX(单位档案!$F$6:$F$35,MATCH($E375,单位档案!$A$6:$A$35,0)),"")))</f>
        <v/>
      </c>
      <c r="S375" s="36" t="n">
        <f aca="false">IF(OR($D375&lt;&gt;"销项开票",IFERROR(INDEX(单位档案!$G$6:$G$35,MATCH($E375,单位档案!$A$6:$A$35,0)),"")&lt;&gt;"是",N($Q375)=0),0,IF(IFERROR(INDEX(单位档案!$H$6:$H$35,MATCH($E375,单位档案!$A$6:$A$35,0)),"")="税差法",ROUND(N($H375)/(1+$Q375)*$Q375-IF(N($R375)=0,0,$P375/(1+$R375)*$R375),2),ROUND(N($H375)/(1+$Q375)*$Q375,2)))</f>
        <v>0</v>
      </c>
      <c r="T375" s="36" t="n">
        <f aca="false">ROUND($S375*N(IFERROR(INDEX(单位档案!$J$6:$J$35,MATCH($E375,单位档案!$A$6:$A$35,0)),"")),2)</f>
        <v>0</v>
      </c>
      <c r="U375" s="36" t="n">
        <f aca="false">IF($D375&lt;&gt;"销项开票",0,ROUND(N($H375)*N(IFERROR(INDEX(单位档案!$K$6:$K$35,MATCH($E375,单位档案!$A$6:$A$35,0)),"")),2))</f>
        <v>0</v>
      </c>
      <c r="V375" s="36" t="n">
        <f aca="false">IF(OR($D375&lt;&gt;"销项开票",N($Q375)=0),0,ROUND(N($H375)/(1+$Q375)*N(IFERROR(INDEX(单位档案!$L$6:$L$35,MATCH($E375,单位档案!$A$6:$A$35,0)),"")),2))</f>
        <v>0</v>
      </c>
      <c r="W375" s="36" t="n">
        <f aca="false">ROUND($S375+$T375+$U375+$V375,2)</f>
        <v>0</v>
      </c>
      <c r="X375" s="35" t="str">
        <f aca="false">IF(OR($D375="挂靠代收",$D375="我方收款"),COUNTIFS($D$5:$D375,"挂靠代收")+COUNTIFS($D$5:$D375,"我方收款"),"")</f>
        <v/>
      </c>
      <c r="Y375" s="35"/>
      <c r="Z375" s="21" t="s">
        <v>111</v>
      </c>
    </row>
    <row r="376" customFormat="false" ht="15.75" hidden="false" customHeight="true" outlineLevel="0" collapsed="false">
      <c r="A376" s="32" t="str">
        <f aca="false">IF($B376="","",ROW()-4)</f>
        <v/>
      </c>
      <c r="B376" s="26"/>
      <c r="C376" s="24"/>
      <c r="D376" s="21"/>
      <c r="E376" s="21"/>
      <c r="F376" s="21"/>
      <c r="G376" s="21"/>
      <c r="H376" s="27"/>
      <c r="I376" s="23" t="str">
        <f aca="false">IF($D376&lt;&gt;"销项开票","",IF($N376="一级",IF(IFERROR(INDEX(项目档案!$E$6:$E$255,MATCH($C376,项目档案!$A$6:$A$255,0)),"")="",N(IFERROR(INDEX(单位档案!$D$6:$D$35,MATCH($E376,单位档案!$A$6:$A$35,0)),"")),IFERROR(INDEX(项目档案!$E$6:$E$255,MATCH($C376,项目档案!$A$6:$A$255,0)),"")),IF($N376="二级",IF(IFERROR(INDEX(项目档案!$G$6:$G$255,MATCH($C376,项目档案!$A$6:$A$255,0)),"")="",N(IFERROR(INDEX(单位档案!$D$6:$D$35,MATCH($E376,单位档案!$A$6:$A$35,0)),"")),IFERROR(INDEX(项目档案!$G$6:$G$255,MATCH($C376,项目档案!$A$6:$A$255,0)),"")),N(IFERROR(INDEX(单位档案!$D$6:$D$35,MATCH($E376,单位档案!$A$6:$A$35,0)),"")))))</f>
        <v/>
      </c>
      <c r="J376" s="22"/>
      <c r="K376" s="22"/>
      <c r="L376" s="33" t="str">
        <f aca="false">IF($B376="","",IF(NOT(ISNUMBER($B376)),"日期格式不对",IF($C376="","未选项目编号",IF(LEFT($M376,1)="⚠","项目编号不存在",IF($D376="","未选业务类型",IF($E376="","未选开票/付款方",IF(ISNA(MATCH($E376,单位档案!$A$6:$A$35,0)),"开票方不在单位档案",IF($F376="","未选收票/收款方",IF(ISNA(MATCH($F376,单位档案!$A$6:$A$35,0)),"收款方不在单位档案",IF(NOT(ISNUMBER($H376)),"金额须为数字",IF(AND($D376="销项开票",$N376="—"),"链条待确认","√")))))))))))</f>
        <v/>
      </c>
      <c r="M376" s="34" t="str">
        <f aca="false">IF($C376="","",IFERROR(INDEX(项目档案!$B$6:$B$255,MATCH($C376,项目档案!$A$6:$A$255,0)),"⚠项目编号不存在"))</f>
        <v/>
      </c>
      <c r="N376" s="35" t="str">
        <f aca="false">IF($E376="","",IF($E376=IFERROR(INDEX(项目档案!$D$6:$D$255,MATCH($C376,项目档案!$A$6:$A$255,0)),""),"一级",IF($E376=IFERROR(INDEX(项目档案!$F$6:$F$255,MATCH($C376,项目档案!$A$6:$A$255,0)),""),"二级",IF($E376=IFERROR(INDEX(项目档案!$H$6:$H$255,MATCH($C376,项目档案!$A$6:$A$255,0)),""),"我方","—"))))</f>
        <v/>
      </c>
      <c r="O376" s="36" t="n">
        <f aca="false">IF($D376&lt;&gt;"销项开票",0,ROUND(N($H376)*N($I376),2))</f>
        <v>0</v>
      </c>
      <c r="P376" s="36" t="n">
        <f aca="false">IF($D376&lt;&gt;"销项开票",0,ROUND(N($H376)-$O376,2))</f>
        <v>0</v>
      </c>
      <c r="Q376" s="37" t="str">
        <f aca="false">IF($E376="","",N(IFERROR(INDEX(单位档案!$E$6:$E$35,MATCH($E376,单位档案!$A$6:$A$35,0)),"")))</f>
        <v/>
      </c>
      <c r="R376" s="37" t="str">
        <f aca="false">IF($E376="","",N(IFERROR(INDEX(单位档案!$F$6:$F$35,MATCH($E376,单位档案!$A$6:$A$35,0)),"")))</f>
        <v/>
      </c>
      <c r="S376" s="36" t="n">
        <f aca="false">IF(OR($D376&lt;&gt;"销项开票",IFERROR(INDEX(单位档案!$G$6:$G$35,MATCH($E376,单位档案!$A$6:$A$35,0)),"")&lt;&gt;"是",N($Q376)=0),0,IF(IFERROR(INDEX(单位档案!$H$6:$H$35,MATCH($E376,单位档案!$A$6:$A$35,0)),"")="税差法",ROUND(N($H376)/(1+$Q376)*$Q376-IF(N($R376)=0,0,$P376/(1+$R376)*$R376),2),ROUND(N($H376)/(1+$Q376)*$Q376,2)))</f>
        <v>0</v>
      </c>
      <c r="T376" s="36" t="n">
        <f aca="false">ROUND($S376*N(IFERROR(INDEX(单位档案!$J$6:$J$35,MATCH($E376,单位档案!$A$6:$A$35,0)),"")),2)</f>
        <v>0</v>
      </c>
      <c r="U376" s="36" t="n">
        <f aca="false">IF($D376&lt;&gt;"销项开票",0,ROUND(N($H376)*N(IFERROR(INDEX(单位档案!$K$6:$K$35,MATCH($E376,单位档案!$A$6:$A$35,0)),"")),2))</f>
        <v>0</v>
      </c>
      <c r="V376" s="36" t="n">
        <f aca="false">IF(OR($D376&lt;&gt;"销项开票",N($Q376)=0),0,ROUND(N($H376)/(1+$Q376)*N(IFERROR(INDEX(单位档案!$L$6:$L$35,MATCH($E376,单位档案!$A$6:$A$35,0)),"")),2))</f>
        <v>0</v>
      </c>
      <c r="W376" s="36" t="n">
        <f aca="false">ROUND($S376+$T376+$U376+$V376,2)</f>
        <v>0</v>
      </c>
      <c r="X376" s="35" t="str">
        <f aca="false">IF(OR($D376="挂靠代收",$D376="我方收款"),COUNTIFS($D$5:$D376,"挂靠代收")+COUNTIFS($D$5:$D376,"我方收款"),"")</f>
        <v/>
      </c>
      <c r="Y376" s="35"/>
      <c r="Z376" s="21" t="s">
        <v>111</v>
      </c>
    </row>
    <row r="377" customFormat="false" ht="15.75" hidden="false" customHeight="true" outlineLevel="0" collapsed="false">
      <c r="A377" s="32" t="str">
        <f aca="false">IF($B377="","",ROW()-4)</f>
        <v/>
      </c>
      <c r="B377" s="26"/>
      <c r="C377" s="24"/>
      <c r="D377" s="21"/>
      <c r="E377" s="21"/>
      <c r="F377" s="21"/>
      <c r="G377" s="21"/>
      <c r="H377" s="27"/>
      <c r="I377" s="23" t="str">
        <f aca="false">IF($D377&lt;&gt;"销项开票","",IF($N377="一级",IF(IFERROR(INDEX(项目档案!$E$6:$E$255,MATCH($C377,项目档案!$A$6:$A$255,0)),"")="",N(IFERROR(INDEX(单位档案!$D$6:$D$35,MATCH($E377,单位档案!$A$6:$A$35,0)),"")),IFERROR(INDEX(项目档案!$E$6:$E$255,MATCH($C377,项目档案!$A$6:$A$255,0)),"")),IF($N377="二级",IF(IFERROR(INDEX(项目档案!$G$6:$G$255,MATCH($C377,项目档案!$A$6:$A$255,0)),"")="",N(IFERROR(INDEX(单位档案!$D$6:$D$35,MATCH($E377,单位档案!$A$6:$A$35,0)),"")),IFERROR(INDEX(项目档案!$G$6:$G$255,MATCH($C377,项目档案!$A$6:$A$255,0)),"")),N(IFERROR(INDEX(单位档案!$D$6:$D$35,MATCH($E377,单位档案!$A$6:$A$35,0)),"")))))</f>
        <v/>
      </c>
      <c r="J377" s="22"/>
      <c r="K377" s="22"/>
      <c r="L377" s="33" t="str">
        <f aca="false">IF($B377="","",IF(NOT(ISNUMBER($B377)),"日期格式不对",IF($C377="","未选项目编号",IF(LEFT($M377,1)="⚠","项目编号不存在",IF($D377="","未选业务类型",IF($E377="","未选开票/付款方",IF(ISNA(MATCH($E377,单位档案!$A$6:$A$35,0)),"开票方不在单位档案",IF($F377="","未选收票/收款方",IF(ISNA(MATCH($F377,单位档案!$A$6:$A$35,0)),"收款方不在单位档案",IF(NOT(ISNUMBER($H377)),"金额须为数字",IF(AND($D377="销项开票",$N377="—"),"链条待确认","√")))))))))))</f>
        <v/>
      </c>
      <c r="M377" s="34" t="str">
        <f aca="false">IF($C377="","",IFERROR(INDEX(项目档案!$B$6:$B$255,MATCH($C377,项目档案!$A$6:$A$255,0)),"⚠项目编号不存在"))</f>
        <v/>
      </c>
      <c r="N377" s="35" t="str">
        <f aca="false">IF($E377="","",IF($E377=IFERROR(INDEX(项目档案!$D$6:$D$255,MATCH($C377,项目档案!$A$6:$A$255,0)),""),"一级",IF($E377=IFERROR(INDEX(项目档案!$F$6:$F$255,MATCH($C377,项目档案!$A$6:$A$255,0)),""),"二级",IF($E377=IFERROR(INDEX(项目档案!$H$6:$H$255,MATCH($C377,项目档案!$A$6:$A$255,0)),""),"我方","—"))))</f>
        <v/>
      </c>
      <c r="O377" s="36" t="n">
        <f aca="false">IF($D377&lt;&gt;"销项开票",0,ROUND(N($H377)*N($I377),2))</f>
        <v>0</v>
      </c>
      <c r="P377" s="36" t="n">
        <f aca="false">IF($D377&lt;&gt;"销项开票",0,ROUND(N($H377)-$O377,2))</f>
        <v>0</v>
      </c>
      <c r="Q377" s="37" t="str">
        <f aca="false">IF($E377="","",N(IFERROR(INDEX(单位档案!$E$6:$E$35,MATCH($E377,单位档案!$A$6:$A$35,0)),"")))</f>
        <v/>
      </c>
      <c r="R377" s="37" t="str">
        <f aca="false">IF($E377="","",N(IFERROR(INDEX(单位档案!$F$6:$F$35,MATCH($E377,单位档案!$A$6:$A$35,0)),"")))</f>
        <v/>
      </c>
      <c r="S377" s="36" t="n">
        <f aca="false">IF(OR($D377&lt;&gt;"销项开票",IFERROR(INDEX(单位档案!$G$6:$G$35,MATCH($E377,单位档案!$A$6:$A$35,0)),"")&lt;&gt;"是",N($Q377)=0),0,IF(IFERROR(INDEX(单位档案!$H$6:$H$35,MATCH($E377,单位档案!$A$6:$A$35,0)),"")="税差法",ROUND(N($H377)/(1+$Q377)*$Q377-IF(N($R377)=0,0,$P377/(1+$R377)*$R377),2),ROUND(N($H377)/(1+$Q377)*$Q377,2)))</f>
        <v>0</v>
      </c>
      <c r="T377" s="36" t="n">
        <f aca="false">ROUND($S377*N(IFERROR(INDEX(单位档案!$J$6:$J$35,MATCH($E377,单位档案!$A$6:$A$35,0)),"")),2)</f>
        <v>0</v>
      </c>
      <c r="U377" s="36" t="n">
        <f aca="false">IF($D377&lt;&gt;"销项开票",0,ROUND(N($H377)*N(IFERROR(INDEX(单位档案!$K$6:$K$35,MATCH($E377,单位档案!$A$6:$A$35,0)),"")),2))</f>
        <v>0</v>
      </c>
      <c r="V377" s="36" t="n">
        <f aca="false">IF(OR($D377&lt;&gt;"销项开票",N($Q377)=0),0,ROUND(N($H377)/(1+$Q377)*N(IFERROR(INDEX(单位档案!$L$6:$L$35,MATCH($E377,单位档案!$A$6:$A$35,0)),"")),2))</f>
        <v>0</v>
      </c>
      <c r="W377" s="36" t="n">
        <f aca="false">ROUND($S377+$T377+$U377+$V377,2)</f>
        <v>0</v>
      </c>
      <c r="X377" s="35" t="str">
        <f aca="false">IF(OR($D377="挂靠代收",$D377="我方收款"),COUNTIFS($D$5:$D377,"挂靠代收")+COUNTIFS($D$5:$D377,"我方收款"),"")</f>
        <v/>
      </c>
      <c r="Y377" s="35"/>
      <c r="Z377" s="21" t="s">
        <v>111</v>
      </c>
    </row>
    <row r="378" customFormat="false" ht="15.75" hidden="false" customHeight="true" outlineLevel="0" collapsed="false">
      <c r="A378" s="32" t="str">
        <f aca="false">IF($B378="","",ROW()-4)</f>
        <v/>
      </c>
      <c r="B378" s="26"/>
      <c r="C378" s="24"/>
      <c r="D378" s="21"/>
      <c r="E378" s="21"/>
      <c r="F378" s="21"/>
      <c r="G378" s="21"/>
      <c r="H378" s="27"/>
      <c r="I378" s="23" t="str">
        <f aca="false">IF($D378&lt;&gt;"销项开票","",IF($N378="一级",IF(IFERROR(INDEX(项目档案!$E$6:$E$255,MATCH($C378,项目档案!$A$6:$A$255,0)),"")="",N(IFERROR(INDEX(单位档案!$D$6:$D$35,MATCH($E378,单位档案!$A$6:$A$35,0)),"")),IFERROR(INDEX(项目档案!$E$6:$E$255,MATCH($C378,项目档案!$A$6:$A$255,0)),"")),IF($N378="二级",IF(IFERROR(INDEX(项目档案!$G$6:$G$255,MATCH($C378,项目档案!$A$6:$A$255,0)),"")="",N(IFERROR(INDEX(单位档案!$D$6:$D$35,MATCH($E378,单位档案!$A$6:$A$35,0)),"")),IFERROR(INDEX(项目档案!$G$6:$G$255,MATCH($C378,项目档案!$A$6:$A$255,0)),"")),N(IFERROR(INDEX(单位档案!$D$6:$D$35,MATCH($E378,单位档案!$A$6:$A$35,0)),"")))))</f>
        <v/>
      </c>
      <c r="J378" s="22"/>
      <c r="K378" s="22"/>
      <c r="L378" s="33" t="str">
        <f aca="false">IF($B378="","",IF(NOT(ISNUMBER($B378)),"日期格式不对",IF($C378="","未选项目编号",IF(LEFT($M378,1)="⚠","项目编号不存在",IF($D378="","未选业务类型",IF($E378="","未选开票/付款方",IF(ISNA(MATCH($E378,单位档案!$A$6:$A$35,0)),"开票方不在单位档案",IF($F378="","未选收票/收款方",IF(ISNA(MATCH($F378,单位档案!$A$6:$A$35,0)),"收款方不在单位档案",IF(NOT(ISNUMBER($H378)),"金额须为数字",IF(AND($D378="销项开票",$N378="—"),"链条待确认","√")))))))))))</f>
        <v/>
      </c>
      <c r="M378" s="34" t="str">
        <f aca="false">IF($C378="","",IFERROR(INDEX(项目档案!$B$6:$B$255,MATCH($C378,项目档案!$A$6:$A$255,0)),"⚠项目编号不存在"))</f>
        <v/>
      </c>
      <c r="N378" s="35" t="str">
        <f aca="false">IF($E378="","",IF($E378=IFERROR(INDEX(项目档案!$D$6:$D$255,MATCH($C378,项目档案!$A$6:$A$255,0)),""),"一级",IF($E378=IFERROR(INDEX(项目档案!$F$6:$F$255,MATCH($C378,项目档案!$A$6:$A$255,0)),""),"二级",IF($E378=IFERROR(INDEX(项目档案!$H$6:$H$255,MATCH($C378,项目档案!$A$6:$A$255,0)),""),"我方","—"))))</f>
        <v/>
      </c>
      <c r="O378" s="36" t="n">
        <f aca="false">IF($D378&lt;&gt;"销项开票",0,ROUND(N($H378)*N($I378),2))</f>
        <v>0</v>
      </c>
      <c r="P378" s="36" t="n">
        <f aca="false">IF($D378&lt;&gt;"销项开票",0,ROUND(N($H378)-$O378,2))</f>
        <v>0</v>
      </c>
      <c r="Q378" s="37" t="str">
        <f aca="false">IF($E378="","",N(IFERROR(INDEX(单位档案!$E$6:$E$35,MATCH($E378,单位档案!$A$6:$A$35,0)),"")))</f>
        <v/>
      </c>
      <c r="R378" s="37" t="str">
        <f aca="false">IF($E378="","",N(IFERROR(INDEX(单位档案!$F$6:$F$35,MATCH($E378,单位档案!$A$6:$A$35,0)),"")))</f>
        <v/>
      </c>
      <c r="S378" s="36" t="n">
        <f aca="false">IF(OR($D378&lt;&gt;"销项开票",IFERROR(INDEX(单位档案!$G$6:$G$35,MATCH($E378,单位档案!$A$6:$A$35,0)),"")&lt;&gt;"是",N($Q378)=0),0,IF(IFERROR(INDEX(单位档案!$H$6:$H$35,MATCH($E378,单位档案!$A$6:$A$35,0)),"")="税差法",ROUND(N($H378)/(1+$Q378)*$Q378-IF(N($R378)=0,0,$P378/(1+$R378)*$R378),2),ROUND(N($H378)/(1+$Q378)*$Q378,2)))</f>
        <v>0</v>
      </c>
      <c r="T378" s="36" t="n">
        <f aca="false">ROUND($S378*N(IFERROR(INDEX(单位档案!$J$6:$J$35,MATCH($E378,单位档案!$A$6:$A$35,0)),"")),2)</f>
        <v>0</v>
      </c>
      <c r="U378" s="36" t="n">
        <f aca="false">IF($D378&lt;&gt;"销项开票",0,ROUND(N($H378)*N(IFERROR(INDEX(单位档案!$K$6:$K$35,MATCH($E378,单位档案!$A$6:$A$35,0)),"")),2))</f>
        <v>0</v>
      </c>
      <c r="V378" s="36" t="n">
        <f aca="false">IF(OR($D378&lt;&gt;"销项开票",N($Q378)=0),0,ROUND(N($H378)/(1+$Q378)*N(IFERROR(INDEX(单位档案!$L$6:$L$35,MATCH($E378,单位档案!$A$6:$A$35,0)),"")),2))</f>
        <v>0</v>
      </c>
      <c r="W378" s="36" t="n">
        <f aca="false">ROUND($S378+$T378+$U378+$V378,2)</f>
        <v>0</v>
      </c>
      <c r="X378" s="35" t="str">
        <f aca="false">IF(OR($D378="挂靠代收",$D378="我方收款"),COUNTIFS($D$5:$D378,"挂靠代收")+COUNTIFS($D$5:$D378,"我方收款"),"")</f>
        <v/>
      </c>
      <c r="Y378" s="35"/>
      <c r="Z378" s="21" t="s">
        <v>111</v>
      </c>
    </row>
    <row r="379" customFormat="false" ht="15.75" hidden="false" customHeight="true" outlineLevel="0" collapsed="false">
      <c r="A379" s="32" t="str">
        <f aca="false">IF($B379="","",ROW()-4)</f>
        <v/>
      </c>
      <c r="B379" s="26"/>
      <c r="C379" s="24"/>
      <c r="D379" s="21"/>
      <c r="E379" s="21"/>
      <c r="F379" s="21"/>
      <c r="G379" s="21"/>
      <c r="H379" s="27"/>
      <c r="I379" s="23" t="str">
        <f aca="false">IF($D379&lt;&gt;"销项开票","",IF($N379="一级",IF(IFERROR(INDEX(项目档案!$E$6:$E$255,MATCH($C379,项目档案!$A$6:$A$255,0)),"")="",N(IFERROR(INDEX(单位档案!$D$6:$D$35,MATCH($E379,单位档案!$A$6:$A$35,0)),"")),IFERROR(INDEX(项目档案!$E$6:$E$255,MATCH($C379,项目档案!$A$6:$A$255,0)),"")),IF($N379="二级",IF(IFERROR(INDEX(项目档案!$G$6:$G$255,MATCH($C379,项目档案!$A$6:$A$255,0)),"")="",N(IFERROR(INDEX(单位档案!$D$6:$D$35,MATCH($E379,单位档案!$A$6:$A$35,0)),"")),IFERROR(INDEX(项目档案!$G$6:$G$255,MATCH($C379,项目档案!$A$6:$A$255,0)),"")),N(IFERROR(INDEX(单位档案!$D$6:$D$35,MATCH($E379,单位档案!$A$6:$A$35,0)),"")))))</f>
        <v/>
      </c>
      <c r="J379" s="22"/>
      <c r="K379" s="22"/>
      <c r="L379" s="33" t="str">
        <f aca="false">IF($B379="","",IF(NOT(ISNUMBER($B379)),"日期格式不对",IF($C379="","未选项目编号",IF(LEFT($M379,1)="⚠","项目编号不存在",IF($D379="","未选业务类型",IF($E379="","未选开票/付款方",IF(ISNA(MATCH($E379,单位档案!$A$6:$A$35,0)),"开票方不在单位档案",IF($F379="","未选收票/收款方",IF(ISNA(MATCH($F379,单位档案!$A$6:$A$35,0)),"收款方不在单位档案",IF(NOT(ISNUMBER($H379)),"金额须为数字",IF(AND($D379="销项开票",$N379="—"),"链条待确认","√")))))))))))</f>
        <v/>
      </c>
      <c r="M379" s="34" t="str">
        <f aca="false">IF($C379="","",IFERROR(INDEX(项目档案!$B$6:$B$255,MATCH($C379,项目档案!$A$6:$A$255,0)),"⚠项目编号不存在"))</f>
        <v/>
      </c>
      <c r="N379" s="35" t="str">
        <f aca="false">IF($E379="","",IF($E379=IFERROR(INDEX(项目档案!$D$6:$D$255,MATCH($C379,项目档案!$A$6:$A$255,0)),""),"一级",IF($E379=IFERROR(INDEX(项目档案!$F$6:$F$255,MATCH($C379,项目档案!$A$6:$A$255,0)),""),"二级",IF($E379=IFERROR(INDEX(项目档案!$H$6:$H$255,MATCH($C379,项目档案!$A$6:$A$255,0)),""),"我方","—"))))</f>
        <v/>
      </c>
      <c r="O379" s="36" t="n">
        <f aca="false">IF($D379&lt;&gt;"销项开票",0,ROUND(N($H379)*N($I379),2))</f>
        <v>0</v>
      </c>
      <c r="P379" s="36" t="n">
        <f aca="false">IF($D379&lt;&gt;"销项开票",0,ROUND(N($H379)-$O379,2))</f>
        <v>0</v>
      </c>
      <c r="Q379" s="37" t="str">
        <f aca="false">IF($E379="","",N(IFERROR(INDEX(单位档案!$E$6:$E$35,MATCH($E379,单位档案!$A$6:$A$35,0)),"")))</f>
        <v/>
      </c>
      <c r="R379" s="37" t="str">
        <f aca="false">IF($E379="","",N(IFERROR(INDEX(单位档案!$F$6:$F$35,MATCH($E379,单位档案!$A$6:$A$35,0)),"")))</f>
        <v/>
      </c>
      <c r="S379" s="36" t="n">
        <f aca="false">IF(OR($D379&lt;&gt;"销项开票",IFERROR(INDEX(单位档案!$G$6:$G$35,MATCH($E379,单位档案!$A$6:$A$35,0)),"")&lt;&gt;"是",N($Q379)=0),0,IF(IFERROR(INDEX(单位档案!$H$6:$H$35,MATCH($E379,单位档案!$A$6:$A$35,0)),"")="税差法",ROUND(N($H379)/(1+$Q379)*$Q379-IF(N($R379)=0,0,$P379/(1+$R379)*$R379),2),ROUND(N($H379)/(1+$Q379)*$Q379,2)))</f>
        <v>0</v>
      </c>
      <c r="T379" s="36" t="n">
        <f aca="false">ROUND($S379*N(IFERROR(INDEX(单位档案!$J$6:$J$35,MATCH($E379,单位档案!$A$6:$A$35,0)),"")),2)</f>
        <v>0</v>
      </c>
      <c r="U379" s="36" t="n">
        <f aca="false">IF($D379&lt;&gt;"销项开票",0,ROUND(N($H379)*N(IFERROR(INDEX(单位档案!$K$6:$K$35,MATCH($E379,单位档案!$A$6:$A$35,0)),"")),2))</f>
        <v>0</v>
      </c>
      <c r="V379" s="36" t="n">
        <f aca="false">IF(OR($D379&lt;&gt;"销项开票",N($Q379)=0),0,ROUND(N($H379)/(1+$Q379)*N(IFERROR(INDEX(单位档案!$L$6:$L$35,MATCH($E379,单位档案!$A$6:$A$35,0)),"")),2))</f>
        <v>0</v>
      </c>
      <c r="W379" s="36" t="n">
        <f aca="false">ROUND($S379+$T379+$U379+$V379,2)</f>
        <v>0</v>
      </c>
      <c r="X379" s="35" t="str">
        <f aca="false">IF(OR($D379="挂靠代收",$D379="我方收款"),COUNTIFS($D$5:$D379,"挂靠代收")+COUNTIFS($D$5:$D379,"我方收款"),"")</f>
        <v/>
      </c>
      <c r="Y379" s="35"/>
      <c r="Z379" s="21" t="s">
        <v>111</v>
      </c>
    </row>
    <row r="380" customFormat="false" ht="15.75" hidden="false" customHeight="true" outlineLevel="0" collapsed="false">
      <c r="A380" s="32" t="str">
        <f aca="false">IF($B380="","",ROW()-4)</f>
        <v/>
      </c>
      <c r="B380" s="26"/>
      <c r="C380" s="24"/>
      <c r="D380" s="21"/>
      <c r="E380" s="21"/>
      <c r="F380" s="21"/>
      <c r="G380" s="21"/>
      <c r="H380" s="27"/>
      <c r="I380" s="23" t="str">
        <f aca="false">IF($D380&lt;&gt;"销项开票","",IF($N380="一级",IF(IFERROR(INDEX(项目档案!$E$6:$E$255,MATCH($C380,项目档案!$A$6:$A$255,0)),"")="",N(IFERROR(INDEX(单位档案!$D$6:$D$35,MATCH($E380,单位档案!$A$6:$A$35,0)),"")),IFERROR(INDEX(项目档案!$E$6:$E$255,MATCH($C380,项目档案!$A$6:$A$255,0)),"")),IF($N380="二级",IF(IFERROR(INDEX(项目档案!$G$6:$G$255,MATCH($C380,项目档案!$A$6:$A$255,0)),"")="",N(IFERROR(INDEX(单位档案!$D$6:$D$35,MATCH($E380,单位档案!$A$6:$A$35,0)),"")),IFERROR(INDEX(项目档案!$G$6:$G$255,MATCH($C380,项目档案!$A$6:$A$255,0)),"")),N(IFERROR(INDEX(单位档案!$D$6:$D$35,MATCH($E380,单位档案!$A$6:$A$35,0)),"")))))</f>
        <v/>
      </c>
      <c r="J380" s="22"/>
      <c r="K380" s="22"/>
      <c r="L380" s="33" t="str">
        <f aca="false">IF($B380="","",IF(NOT(ISNUMBER($B380)),"日期格式不对",IF($C380="","未选项目编号",IF(LEFT($M380,1)="⚠","项目编号不存在",IF($D380="","未选业务类型",IF($E380="","未选开票/付款方",IF(ISNA(MATCH($E380,单位档案!$A$6:$A$35,0)),"开票方不在单位档案",IF($F380="","未选收票/收款方",IF(ISNA(MATCH($F380,单位档案!$A$6:$A$35,0)),"收款方不在单位档案",IF(NOT(ISNUMBER($H380)),"金额须为数字",IF(AND($D380="销项开票",$N380="—"),"链条待确认","√")))))))))))</f>
        <v/>
      </c>
      <c r="M380" s="34" t="str">
        <f aca="false">IF($C380="","",IFERROR(INDEX(项目档案!$B$6:$B$255,MATCH($C380,项目档案!$A$6:$A$255,0)),"⚠项目编号不存在"))</f>
        <v/>
      </c>
      <c r="N380" s="35" t="str">
        <f aca="false">IF($E380="","",IF($E380=IFERROR(INDEX(项目档案!$D$6:$D$255,MATCH($C380,项目档案!$A$6:$A$255,0)),""),"一级",IF($E380=IFERROR(INDEX(项目档案!$F$6:$F$255,MATCH($C380,项目档案!$A$6:$A$255,0)),""),"二级",IF($E380=IFERROR(INDEX(项目档案!$H$6:$H$255,MATCH($C380,项目档案!$A$6:$A$255,0)),""),"我方","—"))))</f>
        <v/>
      </c>
      <c r="O380" s="36" t="n">
        <f aca="false">IF($D380&lt;&gt;"销项开票",0,ROUND(N($H380)*N($I380),2))</f>
        <v>0</v>
      </c>
      <c r="P380" s="36" t="n">
        <f aca="false">IF($D380&lt;&gt;"销项开票",0,ROUND(N($H380)-$O380,2))</f>
        <v>0</v>
      </c>
      <c r="Q380" s="37" t="str">
        <f aca="false">IF($E380="","",N(IFERROR(INDEX(单位档案!$E$6:$E$35,MATCH($E380,单位档案!$A$6:$A$35,0)),"")))</f>
        <v/>
      </c>
      <c r="R380" s="37" t="str">
        <f aca="false">IF($E380="","",N(IFERROR(INDEX(单位档案!$F$6:$F$35,MATCH($E380,单位档案!$A$6:$A$35,0)),"")))</f>
        <v/>
      </c>
      <c r="S380" s="36" t="n">
        <f aca="false">IF(OR($D380&lt;&gt;"销项开票",IFERROR(INDEX(单位档案!$G$6:$G$35,MATCH($E380,单位档案!$A$6:$A$35,0)),"")&lt;&gt;"是",N($Q380)=0),0,IF(IFERROR(INDEX(单位档案!$H$6:$H$35,MATCH($E380,单位档案!$A$6:$A$35,0)),"")="税差法",ROUND(N($H380)/(1+$Q380)*$Q380-IF(N($R380)=0,0,$P380/(1+$R380)*$R380),2),ROUND(N($H380)/(1+$Q380)*$Q380,2)))</f>
        <v>0</v>
      </c>
      <c r="T380" s="36" t="n">
        <f aca="false">ROUND($S380*N(IFERROR(INDEX(单位档案!$J$6:$J$35,MATCH($E380,单位档案!$A$6:$A$35,0)),"")),2)</f>
        <v>0</v>
      </c>
      <c r="U380" s="36" t="n">
        <f aca="false">IF($D380&lt;&gt;"销项开票",0,ROUND(N($H380)*N(IFERROR(INDEX(单位档案!$K$6:$K$35,MATCH($E380,单位档案!$A$6:$A$35,0)),"")),2))</f>
        <v>0</v>
      </c>
      <c r="V380" s="36" t="n">
        <f aca="false">IF(OR($D380&lt;&gt;"销项开票",N($Q380)=0),0,ROUND(N($H380)/(1+$Q380)*N(IFERROR(INDEX(单位档案!$L$6:$L$35,MATCH($E380,单位档案!$A$6:$A$35,0)),"")),2))</f>
        <v>0</v>
      </c>
      <c r="W380" s="36" t="n">
        <f aca="false">ROUND($S380+$T380+$U380+$V380,2)</f>
        <v>0</v>
      </c>
      <c r="X380" s="35" t="str">
        <f aca="false">IF(OR($D380="挂靠代收",$D380="我方收款"),COUNTIFS($D$5:$D380,"挂靠代收")+COUNTIFS($D$5:$D380,"我方收款"),"")</f>
        <v/>
      </c>
      <c r="Y380" s="35"/>
      <c r="Z380" s="21" t="s">
        <v>111</v>
      </c>
    </row>
    <row r="381" customFormat="false" ht="15.75" hidden="false" customHeight="true" outlineLevel="0" collapsed="false">
      <c r="A381" s="32" t="str">
        <f aca="false">IF($B381="","",ROW()-4)</f>
        <v/>
      </c>
      <c r="B381" s="26"/>
      <c r="C381" s="24"/>
      <c r="D381" s="21"/>
      <c r="E381" s="21"/>
      <c r="F381" s="21"/>
      <c r="G381" s="21"/>
      <c r="H381" s="27"/>
      <c r="I381" s="23" t="str">
        <f aca="false">IF($D381&lt;&gt;"销项开票","",IF($N381="一级",IF(IFERROR(INDEX(项目档案!$E$6:$E$255,MATCH($C381,项目档案!$A$6:$A$255,0)),"")="",N(IFERROR(INDEX(单位档案!$D$6:$D$35,MATCH($E381,单位档案!$A$6:$A$35,0)),"")),IFERROR(INDEX(项目档案!$E$6:$E$255,MATCH($C381,项目档案!$A$6:$A$255,0)),"")),IF($N381="二级",IF(IFERROR(INDEX(项目档案!$G$6:$G$255,MATCH($C381,项目档案!$A$6:$A$255,0)),"")="",N(IFERROR(INDEX(单位档案!$D$6:$D$35,MATCH($E381,单位档案!$A$6:$A$35,0)),"")),IFERROR(INDEX(项目档案!$G$6:$G$255,MATCH($C381,项目档案!$A$6:$A$255,0)),"")),N(IFERROR(INDEX(单位档案!$D$6:$D$35,MATCH($E381,单位档案!$A$6:$A$35,0)),"")))))</f>
        <v/>
      </c>
      <c r="J381" s="22"/>
      <c r="K381" s="22"/>
      <c r="L381" s="33" t="str">
        <f aca="false">IF($B381="","",IF(NOT(ISNUMBER($B381)),"日期格式不对",IF($C381="","未选项目编号",IF(LEFT($M381,1)="⚠","项目编号不存在",IF($D381="","未选业务类型",IF($E381="","未选开票/付款方",IF(ISNA(MATCH($E381,单位档案!$A$6:$A$35,0)),"开票方不在单位档案",IF($F381="","未选收票/收款方",IF(ISNA(MATCH($F381,单位档案!$A$6:$A$35,0)),"收款方不在单位档案",IF(NOT(ISNUMBER($H381)),"金额须为数字",IF(AND($D381="销项开票",$N381="—"),"链条待确认","√")))))))))))</f>
        <v/>
      </c>
      <c r="M381" s="34" t="str">
        <f aca="false">IF($C381="","",IFERROR(INDEX(项目档案!$B$6:$B$255,MATCH($C381,项目档案!$A$6:$A$255,0)),"⚠项目编号不存在"))</f>
        <v/>
      </c>
      <c r="N381" s="35" t="str">
        <f aca="false">IF($E381="","",IF($E381=IFERROR(INDEX(项目档案!$D$6:$D$255,MATCH($C381,项目档案!$A$6:$A$255,0)),""),"一级",IF($E381=IFERROR(INDEX(项目档案!$F$6:$F$255,MATCH($C381,项目档案!$A$6:$A$255,0)),""),"二级",IF($E381=IFERROR(INDEX(项目档案!$H$6:$H$255,MATCH($C381,项目档案!$A$6:$A$255,0)),""),"我方","—"))))</f>
        <v/>
      </c>
      <c r="O381" s="36" t="n">
        <f aca="false">IF($D381&lt;&gt;"销项开票",0,ROUND(N($H381)*N($I381),2))</f>
        <v>0</v>
      </c>
      <c r="P381" s="36" t="n">
        <f aca="false">IF($D381&lt;&gt;"销项开票",0,ROUND(N($H381)-$O381,2))</f>
        <v>0</v>
      </c>
      <c r="Q381" s="37" t="str">
        <f aca="false">IF($E381="","",N(IFERROR(INDEX(单位档案!$E$6:$E$35,MATCH($E381,单位档案!$A$6:$A$35,0)),"")))</f>
        <v/>
      </c>
      <c r="R381" s="37" t="str">
        <f aca="false">IF($E381="","",N(IFERROR(INDEX(单位档案!$F$6:$F$35,MATCH($E381,单位档案!$A$6:$A$35,0)),"")))</f>
        <v/>
      </c>
      <c r="S381" s="36" t="n">
        <f aca="false">IF(OR($D381&lt;&gt;"销项开票",IFERROR(INDEX(单位档案!$G$6:$G$35,MATCH($E381,单位档案!$A$6:$A$35,0)),"")&lt;&gt;"是",N($Q381)=0),0,IF(IFERROR(INDEX(单位档案!$H$6:$H$35,MATCH($E381,单位档案!$A$6:$A$35,0)),"")="税差法",ROUND(N($H381)/(1+$Q381)*$Q381-IF(N($R381)=0,0,$P381/(1+$R381)*$R381),2),ROUND(N($H381)/(1+$Q381)*$Q381,2)))</f>
        <v>0</v>
      </c>
      <c r="T381" s="36" t="n">
        <f aca="false">ROUND($S381*N(IFERROR(INDEX(单位档案!$J$6:$J$35,MATCH($E381,单位档案!$A$6:$A$35,0)),"")),2)</f>
        <v>0</v>
      </c>
      <c r="U381" s="36" t="n">
        <f aca="false">IF($D381&lt;&gt;"销项开票",0,ROUND(N($H381)*N(IFERROR(INDEX(单位档案!$K$6:$K$35,MATCH($E381,单位档案!$A$6:$A$35,0)),"")),2))</f>
        <v>0</v>
      </c>
      <c r="V381" s="36" t="n">
        <f aca="false">IF(OR($D381&lt;&gt;"销项开票",N($Q381)=0),0,ROUND(N($H381)/(1+$Q381)*N(IFERROR(INDEX(单位档案!$L$6:$L$35,MATCH($E381,单位档案!$A$6:$A$35,0)),"")),2))</f>
        <v>0</v>
      </c>
      <c r="W381" s="36" t="n">
        <f aca="false">ROUND($S381+$T381+$U381+$V381,2)</f>
        <v>0</v>
      </c>
      <c r="X381" s="35" t="str">
        <f aca="false">IF(OR($D381="挂靠代收",$D381="我方收款"),COUNTIFS($D$5:$D381,"挂靠代收")+COUNTIFS($D$5:$D381,"我方收款"),"")</f>
        <v/>
      </c>
      <c r="Y381" s="35"/>
      <c r="Z381" s="21" t="s">
        <v>111</v>
      </c>
    </row>
    <row r="382" customFormat="false" ht="15.75" hidden="false" customHeight="true" outlineLevel="0" collapsed="false">
      <c r="A382" s="32" t="str">
        <f aca="false">IF($B382="","",ROW()-4)</f>
        <v/>
      </c>
      <c r="B382" s="26"/>
      <c r="C382" s="24"/>
      <c r="D382" s="21"/>
      <c r="E382" s="21"/>
      <c r="F382" s="21"/>
      <c r="G382" s="21"/>
      <c r="H382" s="27"/>
      <c r="I382" s="23" t="str">
        <f aca="false">IF($D382&lt;&gt;"销项开票","",IF($N382="一级",IF(IFERROR(INDEX(项目档案!$E$6:$E$255,MATCH($C382,项目档案!$A$6:$A$255,0)),"")="",N(IFERROR(INDEX(单位档案!$D$6:$D$35,MATCH($E382,单位档案!$A$6:$A$35,0)),"")),IFERROR(INDEX(项目档案!$E$6:$E$255,MATCH($C382,项目档案!$A$6:$A$255,0)),"")),IF($N382="二级",IF(IFERROR(INDEX(项目档案!$G$6:$G$255,MATCH($C382,项目档案!$A$6:$A$255,0)),"")="",N(IFERROR(INDEX(单位档案!$D$6:$D$35,MATCH($E382,单位档案!$A$6:$A$35,0)),"")),IFERROR(INDEX(项目档案!$G$6:$G$255,MATCH($C382,项目档案!$A$6:$A$255,0)),"")),N(IFERROR(INDEX(单位档案!$D$6:$D$35,MATCH($E382,单位档案!$A$6:$A$35,0)),"")))))</f>
        <v/>
      </c>
      <c r="J382" s="22"/>
      <c r="K382" s="22"/>
      <c r="L382" s="33" t="str">
        <f aca="false">IF($B382="","",IF(NOT(ISNUMBER($B382)),"日期格式不对",IF($C382="","未选项目编号",IF(LEFT($M382,1)="⚠","项目编号不存在",IF($D382="","未选业务类型",IF($E382="","未选开票/付款方",IF(ISNA(MATCH($E382,单位档案!$A$6:$A$35,0)),"开票方不在单位档案",IF($F382="","未选收票/收款方",IF(ISNA(MATCH($F382,单位档案!$A$6:$A$35,0)),"收款方不在单位档案",IF(NOT(ISNUMBER($H382)),"金额须为数字",IF(AND($D382="销项开票",$N382="—"),"链条待确认","√")))))))))))</f>
        <v/>
      </c>
      <c r="M382" s="34" t="str">
        <f aca="false">IF($C382="","",IFERROR(INDEX(项目档案!$B$6:$B$255,MATCH($C382,项目档案!$A$6:$A$255,0)),"⚠项目编号不存在"))</f>
        <v/>
      </c>
      <c r="N382" s="35" t="str">
        <f aca="false">IF($E382="","",IF($E382=IFERROR(INDEX(项目档案!$D$6:$D$255,MATCH($C382,项目档案!$A$6:$A$255,0)),""),"一级",IF($E382=IFERROR(INDEX(项目档案!$F$6:$F$255,MATCH($C382,项目档案!$A$6:$A$255,0)),""),"二级",IF($E382=IFERROR(INDEX(项目档案!$H$6:$H$255,MATCH($C382,项目档案!$A$6:$A$255,0)),""),"我方","—"))))</f>
        <v/>
      </c>
      <c r="O382" s="36" t="n">
        <f aca="false">IF($D382&lt;&gt;"销项开票",0,ROUND(N($H382)*N($I382),2))</f>
        <v>0</v>
      </c>
      <c r="P382" s="36" t="n">
        <f aca="false">IF($D382&lt;&gt;"销项开票",0,ROUND(N($H382)-$O382,2))</f>
        <v>0</v>
      </c>
      <c r="Q382" s="37" t="str">
        <f aca="false">IF($E382="","",N(IFERROR(INDEX(单位档案!$E$6:$E$35,MATCH($E382,单位档案!$A$6:$A$35,0)),"")))</f>
        <v/>
      </c>
      <c r="R382" s="37" t="str">
        <f aca="false">IF($E382="","",N(IFERROR(INDEX(单位档案!$F$6:$F$35,MATCH($E382,单位档案!$A$6:$A$35,0)),"")))</f>
        <v/>
      </c>
      <c r="S382" s="36" t="n">
        <f aca="false">IF(OR($D382&lt;&gt;"销项开票",IFERROR(INDEX(单位档案!$G$6:$G$35,MATCH($E382,单位档案!$A$6:$A$35,0)),"")&lt;&gt;"是",N($Q382)=0),0,IF(IFERROR(INDEX(单位档案!$H$6:$H$35,MATCH($E382,单位档案!$A$6:$A$35,0)),"")="税差法",ROUND(N($H382)/(1+$Q382)*$Q382-IF(N($R382)=0,0,$P382/(1+$R382)*$R382),2),ROUND(N($H382)/(1+$Q382)*$Q382,2)))</f>
        <v>0</v>
      </c>
      <c r="T382" s="36" t="n">
        <f aca="false">ROUND($S382*N(IFERROR(INDEX(单位档案!$J$6:$J$35,MATCH($E382,单位档案!$A$6:$A$35,0)),"")),2)</f>
        <v>0</v>
      </c>
      <c r="U382" s="36" t="n">
        <f aca="false">IF($D382&lt;&gt;"销项开票",0,ROUND(N($H382)*N(IFERROR(INDEX(单位档案!$K$6:$K$35,MATCH($E382,单位档案!$A$6:$A$35,0)),"")),2))</f>
        <v>0</v>
      </c>
      <c r="V382" s="36" t="n">
        <f aca="false">IF(OR($D382&lt;&gt;"销项开票",N($Q382)=0),0,ROUND(N($H382)/(1+$Q382)*N(IFERROR(INDEX(单位档案!$L$6:$L$35,MATCH($E382,单位档案!$A$6:$A$35,0)),"")),2))</f>
        <v>0</v>
      </c>
      <c r="W382" s="36" t="n">
        <f aca="false">ROUND($S382+$T382+$U382+$V382,2)</f>
        <v>0</v>
      </c>
      <c r="X382" s="35" t="str">
        <f aca="false">IF(OR($D382="挂靠代收",$D382="我方收款"),COUNTIFS($D$5:$D382,"挂靠代收")+COUNTIFS($D$5:$D382,"我方收款"),"")</f>
        <v/>
      </c>
      <c r="Y382" s="35"/>
      <c r="Z382" s="21" t="s">
        <v>111</v>
      </c>
    </row>
    <row r="383" customFormat="false" ht="15.75" hidden="false" customHeight="true" outlineLevel="0" collapsed="false">
      <c r="A383" s="32" t="str">
        <f aca="false">IF($B383="","",ROW()-4)</f>
        <v/>
      </c>
      <c r="B383" s="26"/>
      <c r="C383" s="24"/>
      <c r="D383" s="21"/>
      <c r="E383" s="21"/>
      <c r="F383" s="21"/>
      <c r="G383" s="21"/>
      <c r="H383" s="27"/>
      <c r="I383" s="23" t="str">
        <f aca="false">IF($D383&lt;&gt;"销项开票","",IF($N383="一级",IF(IFERROR(INDEX(项目档案!$E$6:$E$255,MATCH($C383,项目档案!$A$6:$A$255,0)),"")="",N(IFERROR(INDEX(单位档案!$D$6:$D$35,MATCH($E383,单位档案!$A$6:$A$35,0)),"")),IFERROR(INDEX(项目档案!$E$6:$E$255,MATCH($C383,项目档案!$A$6:$A$255,0)),"")),IF($N383="二级",IF(IFERROR(INDEX(项目档案!$G$6:$G$255,MATCH($C383,项目档案!$A$6:$A$255,0)),"")="",N(IFERROR(INDEX(单位档案!$D$6:$D$35,MATCH($E383,单位档案!$A$6:$A$35,0)),"")),IFERROR(INDEX(项目档案!$G$6:$G$255,MATCH($C383,项目档案!$A$6:$A$255,0)),"")),N(IFERROR(INDEX(单位档案!$D$6:$D$35,MATCH($E383,单位档案!$A$6:$A$35,0)),"")))))</f>
        <v/>
      </c>
      <c r="J383" s="22"/>
      <c r="K383" s="22"/>
      <c r="L383" s="33" t="str">
        <f aca="false">IF($B383="","",IF(NOT(ISNUMBER($B383)),"日期格式不对",IF($C383="","未选项目编号",IF(LEFT($M383,1)="⚠","项目编号不存在",IF($D383="","未选业务类型",IF($E383="","未选开票/付款方",IF(ISNA(MATCH($E383,单位档案!$A$6:$A$35,0)),"开票方不在单位档案",IF($F383="","未选收票/收款方",IF(ISNA(MATCH($F383,单位档案!$A$6:$A$35,0)),"收款方不在单位档案",IF(NOT(ISNUMBER($H383)),"金额须为数字",IF(AND($D383="销项开票",$N383="—"),"链条待确认","√")))))))))))</f>
        <v/>
      </c>
      <c r="M383" s="34" t="str">
        <f aca="false">IF($C383="","",IFERROR(INDEX(项目档案!$B$6:$B$255,MATCH($C383,项目档案!$A$6:$A$255,0)),"⚠项目编号不存在"))</f>
        <v/>
      </c>
      <c r="N383" s="35" t="str">
        <f aca="false">IF($E383="","",IF($E383=IFERROR(INDEX(项目档案!$D$6:$D$255,MATCH($C383,项目档案!$A$6:$A$255,0)),""),"一级",IF($E383=IFERROR(INDEX(项目档案!$F$6:$F$255,MATCH($C383,项目档案!$A$6:$A$255,0)),""),"二级",IF($E383=IFERROR(INDEX(项目档案!$H$6:$H$255,MATCH($C383,项目档案!$A$6:$A$255,0)),""),"我方","—"))))</f>
        <v/>
      </c>
      <c r="O383" s="36" t="n">
        <f aca="false">IF($D383&lt;&gt;"销项开票",0,ROUND(N($H383)*N($I383),2))</f>
        <v>0</v>
      </c>
      <c r="P383" s="36" t="n">
        <f aca="false">IF($D383&lt;&gt;"销项开票",0,ROUND(N($H383)-$O383,2))</f>
        <v>0</v>
      </c>
      <c r="Q383" s="37" t="str">
        <f aca="false">IF($E383="","",N(IFERROR(INDEX(单位档案!$E$6:$E$35,MATCH($E383,单位档案!$A$6:$A$35,0)),"")))</f>
        <v/>
      </c>
      <c r="R383" s="37" t="str">
        <f aca="false">IF($E383="","",N(IFERROR(INDEX(单位档案!$F$6:$F$35,MATCH($E383,单位档案!$A$6:$A$35,0)),"")))</f>
        <v/>
      </c>
      <c r="S383" s="36" t="n">
        <f aca="false">IF(OR($D383&lt;&gt;"销项开票",IFERROR(INDEX(单位档案!$G$6:$G$35,MATCH($E383,单位档案!$A$6:$A$35,0)),"")&lt;&gt;"是",N($Q383)=0),0,IF(IFERROR(INDEX(单位档案!$H$6:$H$35,MATCH($E383,单位档案!$A$6:$A$35,0)),"")="税差法",ROUND(N($H383)/(1+$Q383)*$Q383-IF(N($R383)=0,0,$P383/(1+$R383)*$R383),2),ROUND(N($H383)/(1+$Q383)*$Q383,2)))</f>
        <v>0</v>
      </c>
      <c r="T383" s="36" t="n">
        <f aca="false">ROUND($S383*N(IFERROR(INDEX(单位档案!$J$6:$J$35,MATCH($E383,单位档案!$A$6:$A$35,0)),"")),2)</f>
        <v>0</v>
      </c>
      <c r="U383" s="36" t="n">
        <f aca="false">IF($D383&lt;&gt;"销项开票",0,ROUND(N($H383)*N(IFERROR(INDEX(单位档案!$K$6:$K$35,MATCH($E383,单位档案!$A$6:$A$35,0)),"")),2))</f>
        <v>0</v>
      </c>
      <c r="V383" s="36" t="n">
        <f aca="false">IF(OR($D383&lt;&gt;"销项开票",N($Q383)=0),0,ROUND(N($H383)/(1+$Q383)*N(IFERROR(INDEX(单位档案!$L$6:$L$35,MATCH($E383,单位档案!$A$6:$A$35,0)),"")),2))</f>
        <v>0</v>
      </c>
      <c r="W383" s="36" t="n">
        <f aca="false">ROUND($S383+$T383+$U383+$V383,2)</f>
        <v>0</v>
      </c>
      <c r="X383" s="35" t="str">
        <f aca="false">IF(OR($D383="挂靠代收",$D383="我方收款"),COUNTIFS($D$5:$D383,"挂靠代收")+COUNTIFS($D$5:$D383,"我方收款"),"")</f>
        <v/>
      </c>
      <c r="Y383" s="35"/>
      <c r="Z383" s="21" t="s">
        <v>111</v>
      </c>
    </row>
    <row r="384" customFormat="false" ht="15.75" hidden="false" customHeight="true" outlineLevel="0" collapsed="false">
      <c r="A384" s="32" t="str">
        <f aca="false">IF($B384="","",ROW()-4)</f>
        <v/>
      </c>
      <c r="B384" s="26"/>
      <c r="C384" s="24"/>
      <c r="D384" s="21"/>
      <c r="E384" s="21"/>
      <c r="F384" s="21"/>
      <c r="G384" s="21"/>
      <c r="H384" s="27"/>
      <c r="I384" s="23" t="str">
        <f aca="false">IF($D384&lt;&gt;"销项开票","",IF($N384="一级",IF(IFERROR(INDEX(项目档案!$E$6:$E$255,MATCH($C384,项目档案!$A$6:$A$255,0)),"")="",N(IFERROR(INDEX(单位档案!$D$6:$D$35,MATCH($E384,单位档案!$A$6:$A$35,0)),"")),IFERROR(INDEX(项目档案!$E$6:$E$255,MATCH($C384,项目档案!$A$6:$A$255,0)),"")),IF($N384="二级",IF(IFERROR(INDEX(项目档案!$G$6:$G$255,MATCH($C384,项目档案!$A$6:$A$255,0)),"")="",N(IFERROR(INDEX(单位档案!$D$6:$D$35,MATCH($E384,单位档案!$A$6:$A$35,0)),"")),IFERROR(INDEX(项目档案!$G$6:$G$255,MATCH($C384,项目档案!$A$6:$A$255,0)),"")),N(IFERROR(INDEX(单位档案!$D$6:$D$35,MATCH($E384,单位档案!$A$6:$A$35,0)),"")))))</f>
        <v/>
      </c>
      <c r="J384" s="22"/>
      <c r="K384" s="22"/>
      <c r="L384" s="33" t="str">
        <f aca="false">IF($B384="","",IF(NOT(ISNUMBER($B384)),"日期格式不对",IF($C384="","未选项目编号",IF(LEFT($M384,1)="⚠","项目编号不存在",IF($D384="","未选业务类型",IF($E384="","未选开票/付款方",IF(ISNA(MATCH($E384,单位档案!$A$6:$A$35,0)),"开票方不在单位档案",IF($F384="","未选收票/收款方",IF(ISNA(MATCH($F384,单位档案!$A$6:$A$35,0)),"收款方不在单位档案",IF(NOT(ISNUMBER($H384)),"金额须为数字",IF(AND($D384="销项开票",$N384="—"),"链条待确认","√")))))))))))</f>
        <v/>
      </c>
      <c r="M384" s="34" t="str">
        <f aca="false">IF($C384="","",IFERROR(INDEX(项目档案!$B$6:$B$255,MATCH($C384,项目档案!$A$6:$A$255,0)),"⚠项目编号不存在"))</f>
        <v/>
      </c>
      <c r="N384" s="35" t="str">
        <f aca="false">IF($E384="","",IF($E384=IFERROR(INDEX(项目档案!$D$6:$D$255,MATCH($C384,项目档案!$A$6:$A$255,0)),""),"一级",IF($E384=IFERROR(INDEX(项目档案!$F$6:$F$255,MATCH($C384,项目档案!$A$6:$A$255,0)),""),"二级",IF($E384=IFERROR(INDEX(项目档案!$H$6:$H$255,MATCH($C384,项目档案!$A$6:$A$255,0)),""),"我方","—"))))</f>
        <v/>
      </c>
      <c r="O384" s="36" t="n">
        <f aca="false">IF($D384&lt;&gt;"销项开票",0,ROUND(N($H384)*N($I384),2))</f>
        <v>0</v>
      </c>
      <c r="P384" s="36" t="n">
        <f aca="false">IF($D384&lt;&gt;"销项开票",0,ROUND(N($H384)-$O384,2))</f>
        <v>0</v>
      </c>
      <c r="Q384" s="37" t="str">
        <f aca="false">IF($E384="","",N(IFERROR(INDEX(单位档案!$E$6:$E$35,MATCH($E384,单位档案!$A$6:$A$35,0)),"")))</f>
        <v/>
      </c>
      <c r="R384" s="37" t="str">
        <f aca="false">IF($E384="","",N(IFERROR(INDEX(单位档案!$F$6:$F$35,MATCH($E384,单位档案!$A$6:$A$35,0)),"")))</f>
        <v/>
      </c>
      <c r="S384" s="36" t="n">
        <f aca="false">IF(OR($D384&lt;&gt;"销项开票",IFERROR(INDEX(单位档案!$G$6:$G$35,MATCH($E384,单位档案!$A$6:$A$35,0)),"")&lt;&gt;"是",N($Q384)=0),0,IF(IFERROR(INDEX(单位档案!$H$6:$H$35,MATCH($E384,单位档案!$A$6:$A$35,0)),"")="税差法",ROUND(N($H384)/(1+$Q384)*$Q384-IF(N($R384)=0,0,$P384/(1+$R384)*$R384),2),ROUND(N($H384)/(1+$Q384)*$Q384,2)))</f>
        <v>0</v>
      </c>
      <c r="T384" s="36" t="n">
        <f aca="false">ROUND($S384*N(IFERROR(INDEX(单位档案!$J$6:$J$35,MATCH($E384,单位档案!$A$6:$A$35,0)),"")),2)</f>
        <v>0</v>
      </c>
      <c r="U384" s="36" t="n">
        <f aca="false">IF($D384&lt;&gt;"销项开票",0,ROUND(N($H384)*N(IFERROR(INDEX(单位档案!$K$6:$K$35,MATCH($E384,单位档案!$A$6:$A$35,0)),"")),2))</f>
        <v>0</v>
      </c>
      <c r="V384" s="36" t="n">
        <f aca="false">IF(OR($D384&lt;&gt;"销项开票",N($Q384)=0),0,ROUND(N($H384)/(1+$Q384)*N(IFERROR(INDEX(单位档案!$L$6:$L$35,MATCH($E384,单位档案!$A$6:$A$35,0)),"")),2))</f>
        <v>0</v>
      </c>
      <c r="W384" s="36" t="n">
        <f aca="false">ROUND($S384+$T384+$U384+$V384,2)</f>
        <v>0</v>
      </c>
      <c r="X384" s="35" t="str">
        <f aca="false">IF(OR($D384="挂靠代收",$D384="我方收款"),COUNTIFS($D$5:$D384,"挂靠代收")+COUNTIFS($D$5:$D384,"我方收款"),"")</f>
        <v/>
      </c>
      <c r="Y384" s="35"/>
      <c r="Z384" s="21" t="s">
        <v>111</v>
      </c>
    </row>
    <row r="385" customFormat="false" ht="15.75" hidden="false" customHeight="true" outlineLevel="0" collapsed="false">
      <c r="A385" s="32" t="str">
        <f aca="false">IF($B385="","",ROW()-4)</f>
        <v/>
      </c>
      <c r="B385" s="26"/>
      <c r="C385" s="24"/>
      <c r="D385" s="21"/>
      <c r="E385" s="21"/>
      <c r="F385" s="21"/>
      <c r="G385" s="21"/>
      <c r="H385" s="27"/>
      <c r="I385" s="23" t="str">
        <f aca="false">IF($D385&lt;&gt;"销项开票","",IF($N385="一级",IF(IFERROR(INDEX(项目档案!$E$6:$E$255,MATCH($C385,项目档案!$A$6:$A$255,0)),"")="",N(IFERROR(INDEX(单位档案!$D$6:$D$35,MATCH($E385,单位档案!$A$6:$A$35,0)),"")),IFERROR(INDEX(项目档案!$E$6:$E$255,MATCH($C385,项目档案!$A$6:$A$255,0)),"")),IF($N385="二级",IF(IFERROR(INDEX(项目档案!$G$6:$G$255,MATCH($C385,项目档案!$A$6:$A$255,0)),"")="",N(IFERROR(INDEX(单位档案!$D$6:$D$35,MATCH($E385,单位档案!$A$6:$A$35,0)),"")),IFERROR(INDEX(项目档案!$G$6:$G$255,MATCH($C385,项目档案!$A$6:$A$255,0)),"")),N(IFERROR(INDEX(单位档案!$D$6:$D$35,MATCH($E385,单位档案!$A$6:$A$35,0)),"")))))</f>
        <v/>
      </c>
      <c r="J385" s="22"/>
      <c r="K385" s="22"/>
      <c r="L385" s="33" t="str">
        <f aca="false">IF($B385="","",IF(NOT(ISNUMBER($B385)),"日期格式不对",IF($C385="","未选项目编号",IF(LEFT($M385,1)="⚠","项目编号不存在",IF($D385="","未选业务类型",IF($E385="","未选开票/付款方",IF(ISNA(MATCH($E385,单位档案!$A$6:$A$35,0)),"开票方不在单位档案",IF($F385="","未选收票/收款方",IF(ISNA(MATCH($F385,单位档案!$A$6:$A$35,0)),"收款方不在单位档案",IF(NOT(ISNUMBER($H385)),"金额须为数字",IF(AND($D385="销项开票",$N385="—"),"链条待确认","√")))))))))))</f>
        <v/>
      </c>
      <c r="M385" s="34" t="str">
        <f aca="false">IF($C385="","",IFERROR(INDEX(项目档案!$B$6:$B$255,MATCH($C385,项目档案!$A$6:$A$255,0)),"⚠项目编号不存在"))</f>
        <v/>
      </c>
      <c r="N385" s="35" t="str">
        <f aca="false">IF($E385="","",IF($E385=IFERROR(INDEX(项目档案!$D$6:$D$255,MATCH($C385,项目档案!$A$6:$A$255,0)),""),"一级",IF($E385=IFERROR(INDEX(项目档案!$F$6:$F$255,MATCH($C385,项目档案!$A$6:$A$255,0)),""),"二级",IF($E385=IFERROR(INDEX(项目档案!$H$6:$H$255,MATCH($C385,项目档案!$A$6:$A$255,0)),""),"我方","—"))))</f>
        <v/>
      </c>
      <c r="O385" s="36" t="n">
        <f aca="false">IF($D385&lt;&gt;"销项开票",0,ROUND(N($H385)*N($I385),2))</f>
        <v>0</v>
      </c>
      <c r="P385" s="36" t="n">
        <f aca="false">IF($D385&lt;&gt;"销项开票",0,ROUND(N($H385)-$O385,2))</f>
        <v>0</v>
      </c>
      <c r="Q385" s="37" t="str">
        <f aca="false">IF($E385="","",N(IFERROR(INDEX(单位档案!$E$6:$E$35,MATCH($E385,单位档案!$A$6:$A$35,0)),"")))</f>
        <v/>
      </c>
      <c r="R385" s="37" t="str">
        <f aca="false">IF($E385="","",N(IFERROR(INDEX(单位档案!$F$6:$F$35,MATCH($E385,单位档案!$A$6:$A$35,0)),"")))</f>
        <v/>
      </c>
      <c r="S385" s="36" t="n">
        <f aca="false">IF(OR($D385&lt;&gt;"销项开票",IFERROR(INDEX(单位档案!$G$6:$G$35,MATCH($E385,单位档案!$A$6:$A$35,0)),"")&lt;&gt;"是",N($Q385)=0),0,IF(IFERROR(INDEX(单位档案!$H$6:$H$35,MATCH($E385,单位档案!$A$6:$A$35,0)),"")="税差法",ROUND(N($H385)/(1+$Q385)*$Q385-IF(N($R385)=0,0,$P385/(1+$R385)*$R385),2),ROUND(N($H385)/(1+$Q385)*$Q385,2)))</f>
        <v>0</v>
      </c>
      <c r="T385" s="36" t="n">
        <f aca="false">ROUND($S385*N(IFERROR(INDEX(单位档案!$J$6:$J$35,MATCH($E385,单位档案!$A$6:$A$35,0)),"")),2)</f>
        <v>0</v>
      </c>
      <c r="U385" s="36" t="n">
        <f aca="false">IF($D385&lt;&gt;"销项开票",0,ROUND(N($H385)*N(IFERROR(INDEX(单位档案!$K$6:$K$35,MATCH($E385,单位档案!$A$6:$A$35,0)),"")),2))</f>
        <v>0</v>
      </c>
      <c r="V385" s="36" t="n">
        <f aca="false">IF(OR($D385&lt;&gt;"销项开票",N($Q385)=0),0,ROUND(N($H385)/(1+$Q385)*N(IFERROR(INDEX(单位档案!$L$6:$L$35,MATCH($E385,单位档案!$A$6:$A$35,0)),"")),2))</f>
        <v>0</v>
      </c>
      <c r="W385" s="36" t="n">
        <f aca="false">ROUND($S385+$T385+$U385+$V385,2)</f>
        <v>0</v>
      </c>
      <c r="X385" s="35" t="str">
        <f aca="false">IF(OR($D385="挂靠代收",$D385="我方收款"),COUNTIFS($D$5:$D385,"挂靠代收")+COUNTIFS($D$5:$D385,"我方收款"),"")</f>
        <v/>
      </c>
      <c r="Y385" s="35"/>
      <c r="Z385" s="21" t="s">
        <v>111</v>
      </c>
    </row>
    <row r="386" customFormat="false" ht="15.75" hidden="false" customHeight="true" outlineLevel="0" collapsed="false">
      <c r="A386" s="32" t="str">
        <f aca="false">IF($B386="","",ROW()-4)</f>
        <v/>
      </c>
      <c r="B386" s="26"/>
      <c r="C386" s="24"/>
      <c r="D386" s="21"/>
      <c r="E386" s="21"/>
      <c r="F386" s="21"/>
      <c r="G386" s="21"/>
      <c r="H386" s="27"/>
      <c r="I386" s="23" t="str">
        <f aca="false">IF($D386&lt;&gt;"销项开票","",IF($N386="一级",IF(IFERROR(INDEX(项目档案!$E$6:$E$255,MATCH($C386,项目档案!$A$6:$A$255,0)),"")="",N(IFERROR(INDEX(单位档案!$D$6:$D$35,MATCH($E386,单位档案!$A$6:$A$35,0)),"")),IFERROR(INDEX(项目档案!$E$6:$E$255,MATCH($C386,项目档案!$A$6:$A$255,0)),"")),IF($N386="二级",IF(IFERROR(INDEX(项目档案!$G$6:$G$255,MATCH($C386,项目档案!$A$6:$A$255,0)),"")="",N(IFERROR(INDEX(单位档案!$D$6:$D$35,MATCH($E386,单位档案!$A$6:$A$35,0)),"")),IFERROR(INDEX(项目档案!$G$6:$G$255,MATCH($C386,项目档案!$A$6:$A$255,0)),"")),N(IFERROR(INDEX(单位档案!$D$6:$D$35,MATCH($E386,单位档案!$A$6:$A$35,0)),"")))))</f>
        <v/>
      </c>
      <c r="J386" s="22"/>
      <c r="K386" s="22"/>
      <c r="L386" s="33" t="str">
        <f aca="false">IF($B386="","",IF(NOT(ISNUMBER($B386)),"日期格式不对",IF($C386="","未选项目编号",IF(LEFT($M386,1)="⚠","项目编号不存在",IF($D386="","未选业务类型",IF($E386="","未选开票/付款方",IF(ISNA(MATCH($E386,单位档案!$A$6:$A$35,0)),"开票方不在单位档案",IF($F386="","未选收票/收款方",IF(ISNA(MATCH($F386,单位档案!$A$6:$A$35,0)),"收款方不在单位档案",IF(NOT(ISNUMBER($H386)),"金额须为数字",IF(AND($D386="销项开票",$N386="—"),"链条待确认","√")))))))))))</f>
        <v/>
      </c>
      <c r="M386" s="34" t="str">
        <f aca="false">IF($C386="","",IFERROR(INDEX(项目档案!$B$6:$B$255,MATCH($C386,项目档案!$A$6:$A$255,0)),"⚠项目编号不存在"))</f>
        <v/>
      </c>
      <c r="N386" s="35" t="str">
        <f aca="false">IF($E386="","",IF($E386=IFERROR(INDEX(项目档案!$D$6:$D$255,MATCH($C386,项目档案!$A$6:$A$255,0)),""),"一级",IF($E386=IFERROR(INDEX(项目档案!$F$6:$F$255,MATCH($C386,项目档案!$A$6:$A$255,0)),""),"二级",IF($E386=IFERROR(INDEX(项目档案!$H$6:$H$255,MATCH($C386,项目档案!$A$6:$A$255,0)),""),"我方","—"))))</f>
        <v/>
      </c>
      <c r="O386" s="36" t="n">
        <f aca="false">IF($D386&lt;&gt;"销项开票",0,ROUND(N($H386)*N($I386),2))</f>
        <v>0</v>
      </c>
      <c r="P386" s="36" t="n">
        <f aca="false">IF($D386&lt;&gt;"销项开票",0,ROUND(N($H386)-$O386,2))</f>
        <v>0</v>
      </c>
      <c r="Q386" s="37" t="str">
        <f aca="false">IF($E386="","",N(IFERROR(INDEX(单位档案!$E$6:$E$35,MATCH($E386,单位档案!$A$6:$A$35,0)),"")))</f>
        <v/>
      </c>
      <c r="R386" s="37" t="str">
        <f aca="false">IF($E386="","",N(IFERROR(INDEX(单位档案!$F$6:$F$35,MATCH($E386,单位档案!$A$6:$A$35,0)),"")))</f>
        <v/>
      </c>
      <c r="S386" s="36" t="n">
        <f aca="false">IF(OR($D386&lt;&gt;"销项开票",IFERROR(INDEX(单位档案!$G$6:$G$35,MATCH($E386,单位档案!$A$6:$A$35,0)),"")&lt;&gt;"是",N($Q386)=0),0,IF(IFERROR(INDEX(单位档案!$H$6:$H$35,MATCH($E386,单位档案!$A$6:$A$35,0)),"")="税差法",ROUND(N($H386)/(1+$Q386)*$Q386-IF(N($R386)=0,0,$P386/(1+$R386)*$R386),2),ROUND(N($H386)/(1+$Q386)*$Q386,2)))</f>
        <v>0</v>
      </c>
      <c r="T386" s="36" t="n">
        <f aca="false">ROUND($S386*N(IFERROR(INDEX(单位档案!$J$6:$J$35,MATCH($E386,单位档案!$A$6:$A$35,0)),"")),2)</f>
        <v>0</v>
      </c>
      <c r="U386" s="36" t="n">
        <f aca="false">IF($D386&lt;&gt;"销项开票",0,ROUND(N($H386)*N(IFERROR(INDEX(单位档案!$K$6:$K$35,MATCH($E386,单位档案!$A$6:$A$35,0)),"")),2))</f>
        <v>0</v>
      </c>
      <c r="V386" s="36" t="n">
        <f aca="false">IF(OR($D386&lt;&gt;"销项开票",N($Q386)=0),0,ROUND(N($H386)/(1+$Q386)*N(IFERROR(INDEX(单位档案!$L$6:$L$35,MATCH($E386,单位档案!$A$6:$A$35,0)),"")),2))</f>
        <v>0</v>
      </c>
      <c r="W386" s="36" t="n">
        <f aca="false">ROUND($S386+$T386+$U386+$V386,2)</f>
        <v>0</v>
      </c>
      <c r="X386" s="35" t="str">
        <f aca="false">IF(OR($D386="挂靠代收",$D386="我方收款"),COUNTIFS($D$5:$D386,"挂靠代收")+COUNTIFS($D$5:$D386,"我方收款"),"")</f>
        <v/>
      </c>
      <c r="Y386" s="35"/>
      <c r="Z386" s="21" t="s">
        <v>111</v>
      </c>
    </row>
    <row r="387" customFormat="false" ht="15.75" hidden="false" customHeight="true" outlineLevel="0" collapsed="false">
      <c r="A387" s="32" t="str">
        <f aca="false">IF($B387="","",ROW()-4)</f>
        <v/>
      </c>
      <c r="B387" s="26"/>
      <c r="C387" s="24"/>
      <c r="D387" s="21"/>
      <c r="E387" s="21"/>
      <c r="F387" s="21"/>
      <c r="G387" s="21"/>
      <c r="H387" s="27"/>
      <c r="I387" s="23" t="str">
        <f aca="false">IF($D387&lt;&gt;"销项开票","",IF($N387="一级",IF(IFERROR(INDEX(项目档案!$E$6:$E$255,MATCH($C387,项目档案!$A$6:$A$255,0)),"")="",N(IFERROR(INDEX(单位档案!$D$6:$D$35,MATCH($E387,单位档案!$A$6:$A$35,0)),"")),IFERROR(INDEX(项目档案!$E$6:$E$255,MATCH($C387,项目档案!$A$6:$A$255,0)),"")),IF($N387="二级",IF(IFERROR(INDEX(项目档案!$G$6:$G$255,MATCH($C387,项目档案!$A$6:$A$255,0)),"")="",N(IFERROR(INDEX(单位档案!$D$6:$D$35,MATCH($E387,单位档案!$A$6:$A$35,0)),"")),IFERROR(INDEX(项目档案!$G$6:$G$255,MATCH($C387,项目档案!$A$6:$A$255,0)),"")),N(IFERROR(INDEX(单位档案!$D$6:$D$35,MATCH($E387,单位档案!$A$6:$A$35,0)),"")))))</f>
        <v/>
      </c>
      <c r="J387" s="22"/>
      <c r="K387" s="22"/>
      <c r="L387" s="33" t="str">
        <f aca="false">IF($B387="","",IF(NOT(ISNUMBER($B387)),"日期格式不对",IF($C387="","未选项目编号",IF(LEFT($M387,1)="⚠","项目编号不存在",IF($D387="","未选业务类型",IF($E387="","未选开票/付款方",IF(ISNA(MATCH($E387,单位档案!$A$6:$A$35,0)),"开票方不在单位档案",IF($F387="","未选收票/收款方",IF(ISNA(MATCH($F387,单位档案!$A$6:$A$35,0)),"收款方不在单位档案",IF(NOT(ISNUMBER($H387)),"金额须为数字",IF(AND($D387="销项开票",$N387="—"),"链条待确认","√")))))))))))</f>
        <v/>
      </c>
      <c r="M387" s="34" t="str">
        <f aca="false">IF($C387="","",IFERROR(INDEX(项目档案!$B$6:$B$255,MATCH($C387,项目档案!$A$6:$A$255,0)),"⚠项目编号不存在"))</f>
        <v/>
      </c>
      <c r="N387" s="35" t="str">
        <f aca="false">IF($E387="","",IF($E387=IFERROR(INDEX(项目档案!$D$6:$D$255,MATCH($C387,项目档案!$A$6:$A$255,0)),""),"一级",IF($E387=IFERROR(INDEX(项目档案!$F$6:$F$255,MATCH($C387,项目档案!$A$6:$A$255,0)),""),"二级",IF($E387=IFERROR(INDEX(项目档案!$H$6:$H$255,MATCH($C387,项目档案!$A$6:$A$255,0)),""),"我方","—"))))</f>
        <v/>
      </c>
      <c r="O387" s="36" t="n">
        <f aca="false">IF($D387&lt;&gt;"销项开票",0,ROUND(N($H387)*N($I387),2))</f>
        <v>0</v>
      </c>
      <c r="P387" s="36" t="n">
        <f aca="false">IF($D387&lt;&gt;"销项开票",0,ROUND(N($H387)-$O387,2))</f>
        <v>0</v>
      </c>
      <c r="Q387" s="37" t="str">
        <f aca="false">IF($E387="","",N(IFERROR(INDEX(单位档案!$E$6:$E$35,MATCH($E387,单位档案!$A$6:$A$35,0)),"")))</f>
        <v/>
      </c>
      <c r="R387" s="37" t="str">
        <f aca="false">IF($E387="","",N(IFERROR(INDEX(单位档案!$F$6:$F$35,MATCH($E387,单位档案!$A$6:$A$35,0)),"")))</f>
        <v/>
      </c>
      <c r="S387" s="36" t="n">
        <f aca="false">IF(OR($D387&lt;&gt;"销项开票",IFERROR(INDEX(单位档案!$G$6:$G$35,MATCH($E387,单位档案!$A$6:$A$35,0)),"")&lt;&gt;"是",N($Q387)=0),0,IF(IFERROR(INDEX(单位档案!$H$6:$H$35,MATCH($E387,单位档案!$A$6:$A$35,0)),"")="税差法",ROUND(N($H387)/(1+$Q387)*$Q387-IF(N($R387)=0,0,$P387/(1+$R387)*$R387),2),ROUND(N($H387)/(1+$Q387)*$Q387,2)))</f>
        <v>0</v>
      </c>
      <c r="T387" s="36" t="n">
        <f aca="false">ROUND($S387*N(IFERROR(INDEX(单位档案!$J$6:$J$35,MATCH($E387,单位档案!$A$6:$A$35,0)),"")),2)</f>
        <v>0</v>
      </c>
      <c r="U387" s="36" t="n">
        <f aca="false">IF($D387&lt;&gt;"销项开票",0,ROUND(N($H387)*N(IFERROR(INDEX(单位档案!$K$6:$K$35,MATCH($E387,单位档案!$A$6:$A$35,0)),"")),2))</f>
        <v>0</v>
      </c>
      <c r="V387" s="36" t="n">
        <f aca="false">IF(OR($D387&lt;&gt;"销项开票",N($Q387)=0),0,ROUND(N($H387)/(1+$Q387)*N(IFERROR(INDEX(单位档案!$L$6:$L$35,MATCH($E387,单位档案!$A$6:$A$35,0)),"")),2))</f>
        <v>0</v>
      </c>
      <c r="W387" s="36" t="n">
        <f aca="false">ROUND($S387+$T387+$U387+$V387,2)</f>
        <v>0</v>
      </c>
      <c r="X387" s="35" t="str">
        <f aca="false">IF(OR($D387="挂靠代收",$D387="我方收款"),COUNTIFS($D$5:$D387,"挂靠代收")+COUNTIFS($D$5:$D387,"我方收款"),"")</f>
        <v/>
      </c>
      <c r="Y387" s="35"/>
      <c r="Z387" s="21" t="s">
        <v>111</v>
      </c>
    </row>
    <row r="388" customFormat="false" ht="15.75" hidden="false" customHeight="true" outlineLevel="0" collapsed="false">
      <c r="A388" s="32" t="str">
        <f aca="false">IF($B388="","",ROW()-4)</f>
        <v/>
      </c>
      <c r="B388" s="26"/>
      <c r="C388" s="24"/>
      <c r="D388" s="21"/>
      <c r="E388" s="21"/>
      <c r="F388" s="21"/>
      <c r="G388" s="21"/>
      <c r="H388" s="27"/>
      <c r="I388" s="23" t="str">
        <f aca="false">IF($D388&lt;&gt;"销项开票","",IF($N388="一级",IF(IFERROR(INDEX(项目档案!$E$6:$E$255,MATCH($C388,项目档案!$A$6:$A$255,0)),"")="",N(IFERROR(INDEX(单位档案!$D$6:$D$35,MATCH($E388,单位档案!$A$6:$A$35,0)),"")),IFERROR(INDEX(项目档案!$E$6:$E$255,MATCH($C388,项目档案!$A$6:$A$255,0)),"")),IF($N388="二级",IF(IFERROR(INDEX(项目档案!$G$6:$G$255,MATCH($C388,项目档案!$A$6:$A$255,0)),"")="",N(IFERROR(INDEX(单位档案!$D$6:$D$35,MATCH($E388,单位档案!$A$6:$A$35,0)),"")),IFERROR(INDEX(项目档案!$G$6:$G$255,MATCH($C388,项目档案!$A$6:$A$255,0)),"")),N(IFERROR(INDEX(单位档案!$D$6:$D$35,MATCH($E388,单位档案!$A$6:$A$35,0)),"")))))</f>
        <v/>
      </c>
      <c r="J388" s="22"/>
      <c r="K388" s="22"/>
      <c r="L388" s="33" t="str">
        <f aca="false">IF($B388="","",IF(NOT(ISNUMBER($B388)),"日期格式不对",IF($C388="","未选项目编号",IF(LEFT($M388,1)="⚠","项目编号不存在",IF($D388="","未选业务类型",IF($E388="","未选开票/付款方",IF(ISNA(MATCH($E388,单位档案!$A$6:$A$35,0)),"开票方不在单位档案",IF($F388="","未选收票/收款方",IF(ISNA(MATCH($F388,单位档案!$A$6:$A$35,0)),"收款方不在单位档案",IF(NOT(ISNUMBER($H388)),"金额须为数字",IF(AND($D388="销项开票",$N388="—"),"链条待确认","√")))))))))))</f>
        <v/>
      </c>
      <c r="M388" s="34" t="str">
        <f aca="false">IF($C388="","",IFERROR(INDEX(项目档案!$B$6:$B$255,MATCH($C388,项目档案!$A$6:$A$255,0)),"⚠项目编号不存在"))</f>
        <v/>
      </c>
      <c r="N388" s="35" t="str">
        <f aca="false">IF($E388="","",IF($E388=IFERROR(INDEX(项目档案!$D$6:$D$255,MATCH($C388,项目档案!$A$6:$A$255,0)),""),"一级",IF($E388=IFERROR(INDEX(项目档案!$F$6:$F$255,MATCH($C388,项目档案!$A$6:$A$255,0)),""),"二级",IF($E388=IFERROR(INDEX(项目档案!$H$6:$H$255,MATCH($C388,项目档案!$A$6:$A$255,0)),""),"我方","—"))))</f>
        <v/>
      </c>
      <c r="O388" s="36" t="n">
        <f aca="false">IF($D388&lt;&gt;"销项开票",0,ROUND(N($H388)*N($I388),2))</f>
        <v>0</v>
      </c>
      <c r="P388" s="36" t="n">
        <f aca="false">IF($D388&lt;&gt;"销项开票",0,ROUND(N($H388)-$O388,2))</f>
        <v>0</v>
      </c>
      <c r="Q388" s="37" t="str">
        <f aca="false">IF($E388="","",N(IFERROR(INDEX(单位档案!$E$6:$E$35,MATCH($E388,单位档案!$A$6:$A$35,0)),"")))</f>
        <v/>
      </c>
      <c r="R388" s="37" t="str">
        <f aca="false">IF($E388="","",N(IFERROR(INDEX(单位档案!$F$6:$F$35,MATCH($E388,单位档案!$A$6:$A$35,0)),"")))</f>
        <v/>
      </c>
      <c r="S388" s="36" t="n">
        <f aca="false">IF(OR($D388&lt;&gt;"销项开票",IFERROR(INDEX(单位档案!$G$6:$G$35,MATCH($E388,单位档案!$A$6:$A$35,0)),"")&lt;&gt;"是",N($Q388)=0),0,IF(IFERROR(INDEX(单位档案!$H$6:$H$35,MATCH($E388,单位档案!$A$6:$A$35,0)),"")="税差法",ROUND(N($H388)/(1+$Q388)*$Q388-IF(N($R388)=0,0,$P388/(1+$R388)*$R388),2),ROUND(N($H388)/(1+$Q388)*$Q388,2)))</f>
        <v>0</v>
      </c>
      <c r="T388" s="36" t="n">
        <f aca="false">ROUND($S388*N(IFERROR(INDEX(单位档案!$J$6:$J$35,MATCH($E388,单位档案!$A$6:$A$35,0)),"")),2)</f>
        <v>0</v>
      </c>
      <c r="U388" s="36" t="n">
        <f aca="false">IF($D388&lt;&gt;"销项开票",0,ROUND(N($H388)*N(IFERROR(INDEX(单位档案!$K$6:$K$35,MATCH($E388,单位档案!$A$6:$A$35,0)),"")),2))</f>
        <v>0</v>
      </c>
      <c r="V388" s="36" t="n">
        <f aca="false">IF(OR($D388&lt;&gt;"销项开票",N($Q388)=0),0,ROUND(N($H388)/(1+$Q388)*N(IFERROR(INDEX(单位档案!$L$6:$L$35,MATCH($E388,单位档案!$A$6:$A$35,0)),"")),2))</f>
        <v>0</v>
      </c>
      <c r="W388" s="36" t="n">
        <f aca="false">ROUND($S388+$T388+$U388+$V388,2)</f>
        <v>0</v>
      </c>
      <c r="X388" s="35" t="str">
        <f aca="false">IF(OR($D388="挂靠代收",$D388="我方收款"),COUNTIFS($D$5:$D388,"挂靠代收")+COUNTIFS($D$5:$D388,"我方收款"),"")</f>
        <v/>
      </c>
      <c r="Y388" s="35"/>
      <c r="Z388" s="21" t="s">
        <v>111</v>
      </c>
    </row>
    <row r="389" customFormat="false" ht="15.75" hidden="false" customHeight="true" outlineLevel="0" collapsed="false">
      <c r="A389" s="32" t="str">
        <f aca="false">IF($B389="","",ROW()-4)</f>
        <v/>
      </c>
      <c r="B389" s="26"/>
      <c r="C389" s="24"/>
      <c r="D389" s="21"/>
      <c r="E389" s="21"/>
      <c r="F389" s="21"/>
      <c r="G389" s="21"/>
      <c r="H389" s="27"/>
      <c r="I389" s="23" t="str">
        <f aca="false">IF($D389&lt;&gt;"销项开票","",IF($N389="一级",IF(IFERROR(INDEX(项目档案!$E$6:$E$255,MATCH($C389,项目档案!$A$6:$A$255,0)),"")="",N(IFERROR(INDEX(单位档案!$D$6:$D$35,MATCH($E389,单位档案!$A$6:$A$35,0)),"")),IFERROR(INDEX(项目档案!$E$6:$E$255,MATCH($C389,项目档案!$A$6:$A$255,0)),"")),IF($N389="二级",IF(IFERROR(INDEX(项目档案!$G$6:$G$255,MATCH($C389,项目档案!$A$6:$A$255,0)),"")="",N(IFERROR(INDEX(单位档案!$D$6:$D$35,MATCH($E389,单位档案!$A$6:$A$35,0)),"")),IFERROR(INDEX(项目档案!$G$6:$G$255,MATCH($C389,项目档案!$A$6:$A$255,0)),"")),N(IFERROR(INDEX(单位档案!$D$6:$D$35,MATCH($E389,单位档案!$A$6:$A$35,0)),"")))))</f>
        <v/>
      </c>
      <c r="J389" s="22"/>
      <c r="K389" s="22"/>
      <c r="L389" s="33" t="str">
        <f aca="false">IF($B389="","",IF(NOT(ISNUMBER($B389)),"日期格式不对",IF($C389="","未选项目编号",IF(LEFT($M389,1)="⚠","项目编号不存在",IF($D389="","未选业务类型",IF($E389="","未选开票/付款方",IF(ISNA(MATCH($E389,单位档案!$A$6:$A$35,0)),"开票方不在单位档案",IF($F389="","未选收票/收款方",IF(ISNA(MATCH($F389,单位档案!$A$6:$A$35,0)),"收款方不在单位档案",IF(NOT(ISNUMBER($H389)),"金额须为数字",IF(AND($D389="销项开票",$N389="—"),"链条待确认","√")))))))))))</f>
        <v/>
      </c>
      <c r="M389" s="34" t="str">
        <f aca="false">IF($C389="","",IFERROR(INDEX(项目档案!$B$6:$B$255,MATCH($C389,项目档案!$A$6:$A$255,0)),"⚠项目编号不存在"))</f>
        <v/>
      </c>
      <c r="N389" s="35" t="str">
        <f aca="false">IF($E389="","",IF($E389=IFERROR(INDEX(项目档案!$D$6:$D$255,MATCH($C389,项目档案!$A$6:$A$255,0)),""),"一级",IF($E389=IFERROR(INDEX(项目档案!$F$6:$F$255,MATCH($C389,项目档案!$A$6:$A$255,0)),""),"二级",IF($E389=IFERROR(INDEX(项目档案!$H$6:$H$255,MATCH($C389,项目档案!$A$6:$A$255,0)),""),"我方","—"))))</f>
        <v/>
      </c>
      <c r="O389" s="36" t="n">
        <f aca="false">IF($D389&lt;&gt;"销项开票",0,ROUND(N($H389)*N($I389),2))</f>
        <v>0</v>
      </c>
      <c r="P389" s="36" t="n">
        <f aca="false">IF($D389&lt;&gt;"销项开票",0,ROUND(N($H389)-$O389,2))</f>
        <v>0</v>
      </c>
      <c r="Q389" s="37" t="str">
        <f aca="false">IF($E389="","",N(IFERROR(INDEX(单位档案!$E$6:$E$35,MATCH($E389,单位档案!$A$6:$A$35,0)),"")))</f>
        <v/>
      </c>
      <c r="R389" s="37" t="str">
        <f aca="false">IF($E389="","",N(IFERROR(INDEX(单位档案!$F$6:$F$35,MATCH($E389,单位档案!$A$6:$A$35,0)),"")))</f>
        <v/>
      </c>
      <c r="S389" s="36" t="n">
        <f aca="false">IF(OR($D389&lt;&gt;"销项开票",IFERROR(INDEX(单位档案!$G$6:$G$35,MATCH($E389,单位档案!$A$6:$A$35,0)),"")&lt;&gt;"是",N($Q389)=0),0,IF(IFERROR(INDEX(单位档案!$H$6:$H$35,MATCH($E389,单位档案!$A$6:$A$35,0)),"")="税差法",ROUND(N($H389)/(1+$Q389)*$Q389-IF(N($R389)=0,0,$P389/(1+$R389)*$R389),2),ROUND(N($H389)/(1+$Q389)*$Q389,2)))</f>
        <v>0</v>
      </c>
      <c r="T389" s="36" t="n">
        <f aca="false">ROUND($S389*N(IFERROR(INDEX(单位档案!$J$6:$J$35,MATCH($E389,单位档案!$A$6:$A$35,0)),"")),2)</f>
        <v>0</v>
      </c>
      <c r="U389" s="36" t="n">
        <f aca="false">IF($D389&lt;&gt;"销项开票",0,ROUND(N($H389)*N(IFERROR(INDEX(单位档案!$K$6:$K$35,MATCH($E389,单位档案!$A$6:$A$35,0)),"")),2))</f>
        <v>0</v>
      </c>
      <c r="V389" s="36" t="n">
        <f aca="false">IF(OR($D389&lt;&gt;"销项开票",N($Q389)=0),0,ROUND(N($H389)/(1+$Q389)*N(IFERROR(INDEX(单位档案!$L$6:$L$35,MATCH($E389,单位档案!$A$6:$A$35,0)),"")),2))</f>
        <v>0</v>
      </c>
      <c r="W389" s="36" t="n">
        <f aca="false">ROUND($S389+$T389+$U389+$V389,2)</f>
        <v>0</v>
      </c>
      <c r="X389" s="35" t="str">
        <f aca="false">IF(OR($D389="挂靠代收",$D389="我方收款"),COUNTIFS($D$5:$D389,"挂靠代收")+COUNTIFS($D$5:$D389,"我方收款"),"")</f>
        <v/>
      </c>
      <c r="Y389" s="35"/>
      <c r="Z389" s="21" t="s">
        <v>111</v>
      </c>
    </row>
    <row r="390" customFormat="false" ht="15.75" hidden="false" customHeight="true" outlineLevel="0" collapsed="false">
      <c r="A390" s="32" t="str">
        <f aca="false">IF($B390="","",ROW()-4)</f>
        <v/>
      </c>
      <c r="B390" s="26"/>
      <c r="C390" s="24"/>
      <c r="D390" s="21"/>
      <c r="E390" s="21"/>
      <c r="F390" s="21"/>
      <c r="G390" s="21"/>
      <c r="H390" s="27"/>
      <c r="I390" s="23" t="str">
        <f aca="false">IF($D390&lt;&gt;"销项开票","",IF($N390="一级",IF(IFERROR(INDEX(项目档案!$E$6:$E$255,MATCH($C390,项目档案!$A$6:$A$255,0)),"")="",N(IFERROR(INDEX(单位档案!$D$6:$D$35,MATCH($E390,单位档案!$A$6:$A$35,0)),"")),IFERROR(INDEX(项目档案!$E$6:$E$255,MATCH($C390,项目档案!$A$6:$A$255,0)),"")),IF($N390="二级",IF(IFERROR(INDEX(项目档案!$G$6:$G$255,MATCH($C390,项目档案!$A$6:$A$255,0)),"")="",N(IFERROR(INDEX(单位档案!$D$6:$D$35,MATCH($E390,单位档案!$A$6:$A$35,0)),"")),IFERROR(INDEX(项目档案!$G$6:$G$255,MATCH($C390,项目档案!$A$6:$A$255,0)),"")),N(IFERROR(INDEX(单位档案!$D$6:$D$35,MATCH($E390,单位档案!$A$6:$A$35,0)),"")))))</f>
        <v/>
      </c>
      <c r="J390" s="22"/>
      <c r="K390" s="22"/>
      <c r="L390" s="33" t="str">
        <f aca="false">IF($B390="","",IF(NOT(ISNUMBER($B390)),"日期格式不对",IF($C390="","未选项目编号",IF(LEFT($M390,1)="⚠","项目编号不存在",IF($D390="","未选业务类型",IF($E390="","未选开票/付款方",IF(ISNA(MATCH($E390,单位档案!$A$6:$A$35,0)),"开票方不在单位档案",IF($F390="","未选收票/收款方",IF(ISNA(MATCH($F390,单位档案!$A$6:$A$35,0)),"收款方不在单位档案",IF(NOT(ISNUMBER($H390)),"金额须为数字",IF(AND($D390="销项开票",$N390="—"),"链条待确认","√")))))))))))</f>
        <v/>
      </c>
      <c r="M390" s="34" t="str">
        <f aca="false">IF($C390="","",IFERROR(INDEX(项目档案!$B$6:$B$255,MATCH($C390,项目档案!$A$6:$A$255,0)),"⚠项目编号不存在"))</f>
        <v/>
      </c>
      <c r="N390" s="35" t="str">
        <f aca="false">IF($E390="","",IF($E390=IFERROR(INDEX(项目档案!$D$6:$D$255,MATCH($C390,项目档案!$A$6:$A$255,0)),""),"一级",IF($E390=IFERROR(INDEX(项目档案!$F$6:$F$255,MATCH($C390,项目档案!$A$6:$A$255,0)),""),"二级",IF($E390=IFERROR(INDEX(项目档案!$H$6:$H$255,MATCH($C390,项目档案!$A$6:$A$255,0)),""),"我方","—"))))</f>
        <v/>
      </c>
      <c r="O390" s="36" t="n">
        <f aca="false">IF($D390&lt;&gt;"销项开票",0,ROUND(N($H390)*N($I390),2))</f>
        <v>0</v>
      </c>
      <c r="P390" s="36" t="n">
        <f aca="false">IF($D390&lt;&gt;"销项开票",0,ROUND(N($H390)-$O390,2))</f>
        <v>0</v>
      </c>
      <c r="Q390" s="37" t="str">
        <f aca="false">IF($E390="","",N(IFERROR(INDEX(单位档案!$E$6:$E$35,MATCH($E390,单位档案!$A$6:$A$35,0)),"")))</f>
        <v/>
      </c>
      <c r="R390" s="37" t="str">
        <f aca="false">IF($E390="","",N(IFERROR(INDEX(单位档案!$F$6:$F$35,MATCH($E390,单位档案!$A$6:$A$35,0)),"")))</f>
        <v/>
      </c>
      <c r="S390" s="36" t="n">
        <f aca="false">IF(OR($D390&lt;&gt;"销项开票",IFERROR(INDEX(单位档案!$G$6:$G$35,MATCH($E390,单位档案!$A$6:$A$35,0)),"")&lt;&gt;"是",N($Q390)=0),0,IF(IFERROR(INDEX(单位档案!$H$6:$H$35,MATCH($E390,单位档案!$A$6:$A$35,0)),"")="税差法",ROUND(N($H390)/(1+$Q390)*$Q390-IF(N($R390)=0,0,$P390/(1+$R390)*$R390),2),ROUND(N($H390)/(1+$Q390)*$Q390,2)))</f>
        <v>0</v>
      </c>
      <c r="T390" s="36" t="n">
        <f aca="false">ROUND($S390*N(IFERROR(INDEX(单位档案!$J$6:$J$35,MATCH($E390,单位档案!$A$6:$A$35,0)),"")),2)</f>
        <v>0</v>
      </c>
      <c r="U390" s="36" t="n">
        <f aca="false">IF($D390&lt;&gt;"销项开票",0,ROUND(N($H390)*N(IFERROR(INDEX(单位档案!$K$6:$K$35,MATCH($E390,单位档案!$A$6:$A$35,0)),"")),2))</f>
        <v>0</v>
      </c>
      <c r="V390" s="36" t="n">
        <f aca="false">IF(OR($D390&lt;&gt;"销项开票",N($Q390)=0),0,ROUND(N($H390)/(1+$Q390)*N(IFERROR(INDEX(单位档案!$L$6:$L$35,MATCH($E390,单位档案!$A$6:$A$35,0)),"")),2))</f>
        <v>0</v>
      </c>
      <c r="W390" s="36" t="n">
        <f aca="false">ROUND($S390+$T390+$U390+$V390,2)</f>
        <v>0</v>
      </c>
      <c r="X390" s="35" t="str">
        <f aca="false">IF(OR($D390="挂靠代收",$D390="我方收款"),COUNTIFS($D$5:$D390,"挂靠代收")+COUNTIFS($D$5:$D390,"我方收款"),"")</f>
        <v/>
      </c>
      <c r="Y390" s="35"/>
      <c r="Z390" s="21" t="s">
        <v>111</v>
      </c>
    </row>
    <row r="391" customFormat="false" ht="15.75" hidden="false" customHeight="true" outlineLevel="0" collapsed="false">
      <c r="A391" s="32" t="str">
        <f aca="false">IF($B391="","",ROW()-4)</f>
        <v/>
      </c>
      <c r="B391" s="26"/>
      <c r="C391" s="24"/>
      <c r="D391" s="21"/>
      <c r="E391" s="21"/>
      <c r="F391" s="21"/>
      <c r="G391" s="21"/>
      <c r="H391" s="27"/>
      <c r="I391" s="23" t="str">
        <f aca="false">IF($D391&lt;&gt;"销项开票","",IF($N391="一级",IF(IFERROR(INDEX(项目档案!$E$6:$E$255,MATCH($C391,项目档案!$A$6:$A$255,0)),"")="",N(IFERROR(INDEX(单位档案!$D$6:$D$35,MATCH($E391,单位档案!$A$6:$A$35,0)),"")),IFERROR(INDEX(项目档案!$E$6:$E$255,MATCH($C391,项目档案!$A$6:$A$255,0)),"")),IF($N391="二级",IF(IFERROR(INDEX(项目档案!$G$6:$G$255,MATCH($C391,项目档案!$A$6:$A$255,0)),"")="",N(IFERROR(INDEX(单位档案!$D$6:$D$35,MATCH($E391,单位档案!$A$6:$A$35,0)),"")),IFERROR(INDEX(项目档案!$G$6:$G$255,MATCH($C391,项目档案!$A$6:$A$255,0)),"")),N(IFERROR(INDEX(单位档案!$D$6:$D$35,MATCH($E391,单位档案!$A$6:$A$35,0)),"")))))</f>
        <v/>
      </c>
      <c r="J391" s="22"/>
      <c r="K391" s="22"/>
      <c r="L391" s="33" t="str">
        <f aca="false">IF($B391="","",IF(NOT(ISNUMBER($B391)),"日期格式不对",IF($C391="","未选项目编号",IF(LEFT($M391,1)="⚠","项目编号不存在",IF($D391="","未选业务类型",IF($E391="","未选开票/付款方",IF(ISNA(MATCH($E391,单位档案!$A$6:$A$35,0)),"开票方不在单位档案",IF($F391="","未选收票/收款方",IF(ISNA(MATCH($F391,单位档案!$A$6:$A$35,0)),"收款方不在单位档案",IF(NOT(ISNUMBER($H391)),"金额须为数字",IF(AND($D391="销项开票",$N391="—"),"链条待确认","√")))))))))))</f>
        <v/>
      </c>
      <c r="M391" s="34" t="str">
        <f aca="false">IF($C391="","",IFERROR(INDEX(项目档案!$B$6:$B$255,MATCH($C391,项目档案!$A$6:$A$255,0)),"⚠项目编号不存在"))</f>
        <v/>
      </c>
      <c r="N391" s="35" t="str">
        <f aca="false">IF($E391="","",IF($E391=IFERROR(INDEX(项目档案!$D$6:$D$255,MATCH($C391,项目档案!$A$6:$A$255,0)),""),"一级",IF($E391=IFERROR(INDEX(项目档案!$F$6:$F$255,MATCH($C391,项目档案!$A$6:$A$255,0)),""),"二级",IF($E391=IFERROR(INDEX(项目档案!$H$6:$H$255,MATCH($C391,项目档案!$A$6:$A$255,0)),""),"我方","—"))))</f>
        <v/>
      </c>
      <c r="O391" s="36" t="n">
        <f aca="false">IF($D391&lt;&gt;"销项开票",0,ROUND(N($H391)*N($I391),2))</f>
        <v>0</v>
      </c>
      <c r="P391" s="36" t="n">
        <f aca="false">IF($D391&lt;&gt;"销项开票",0,ROUND(N($H391)-$O391,2))</f>
        <v>0</v>
      </c>
      <c r="Q391" s="37" t="str">
        <f aca="false">IF($E391="","",N(IFERROR(INDEX(单位档案!$E$6:$E$35,MATCH($E391,单位档案!$A$6:$A$35,0)),"")))</f>
        <v/>
      </c>
      <c r="R391" s="37" t="str">
        <f aca="false">IF($E391="","",N(IFERROR(INDEX(单位档案!$F$6:$F$35,MATCH($E391,单位档案!$A$6:$A$35,0)),"")))</f>
        <v/>
      </c>
      <c r="S391" s="36" t="n">
        <f aca="false">IF(OR($D391&lt;&gt;"销项开票",IFERROR(INDEX(单位档案!$G$6:$G$35,MATCH($E391,单位档案!$A$6:$A$35,0)),"")&lt;&gt;"是",N($Q391)=0),0,IF(IFERROR(INDEX(单位档案!$H$6:$H$35,MATCH($E391,单位档案!$A$6:$A$35,0)),"")="税差法",ROUND(N($H391)/(1+$Q391)*$Q391-IF(N($R391)=0,0,$P391/(1+$R391)*$R391),2),ROUND(N($H391)/(1+$Q391)*$Q391,2)))</f>
        <v>0</v>
      </c>
      <c r="T391" s="36" t="n">
        <f aca="false">ROUND($S391*N(IFERROR(INDEX(单位档案!$J$6:$J$35,MATCH($E391,单位档案!$A$6:$A$35,0)),"")),2)</f>
        <v>0</v>
      </c>
      <c r="U391" s="36" t="n">
        <f aca="false">IF($D391&lt;&gt;"销项开票",0,ROUND(N($H391)*N(IFERROR(INDEX(单位档案!$K$6:$K$35,MATCH($E391,单位档案!$A$6:$A$35,0)),"")),2))</f>
        <v>0</v>
      </c>
      <c r="V391" s="36" t="n">
        <f aca="false">IF(OR($D391&lt;&gt;"销项开票",N($Q391)=0),0,ROUND(N($H391)/(1+$Q391)*N(IFERROR(INDEX(单位档案!$L$6:$L$35,MATCH($E391,单位档案!$A$6:$A$35,0)),"")),2))</f>
        <v>0</v>
      </c>
      <c r="W391" s="36" t="n">
        <f aca="false">ROUND($S391+$T391+$U391+$V391,2)</f>
        <v>0</v>
      </c>
      <c r="X391" s="35" t="str">
        <f aca="false">IF(OR($D391="挂靠代收",$D391="我方收款"),COUNTIFS($D$5:$D391,"挂靠代收")+COUNTIFS($D$5:$D391,"我方收款"),"")</f>
        <v/>
      </c>
      <c r="Y391" s="35"/>
      <c r="Z391" s="21" t="s">
        <v>111</v>
      </c>
    </row>
    <row r="392" customFormat="false" ht="15.75" hidden="false" customHeight="true" outlineLevel="0" collapsed="false">
      <c r="A392" s="32" t="str">
        <f aca="false">IF($B392="","",ROW()-4)</f>
        <v/>
      </c>
      <c r="B392" s="26"/>
      <c r="C392" s="24"/>
      <c r="D392" s="21"/>
      <c r="E392" s="21"/>
      <c r="F392" s="21"/>
      <c r="G392" s="21"/>
      <c r="H392" s="27"/>
      <c r="I392" s="23" t="str">
        <f aca="false">IF($D392&lt;&gt;"销项开票","",IF($N392="一级",IF(IFERROR(INDEX(项目档案!$E$6:$E$255,MATCH($C392,项目档案!$A$6:$A$255,0)),"")="",N(IFERROR(INDEX(单位档案!$D$6:$D$35,MATCH($E392,单位档案!$A$6:$A$35,0)),"")),IFERROR(INDEX(项目档案!$E$6:$E$255,MATCH($C392,项目档案!$A$6:$A$255,0)),"")),IF($N392="二级",IF(IFERROR(INDEX(项目档案!$G$6:$G$255,MATCH($C392,项目档案!$A$6:$A$255,0)),"")="",N(IFERROR(INDEX(单位档案!$D$6:$D$35,MATCH($E392,单位档案!$A$6:$A$35,0)),"")),IFERROR(INDEX(项目档案!$G$6:$G$255,MATCH($C392,项目档案!$A$6:$A$255,0)),"")),N(IFERROR(INDEX(单位档案!$D$6:$D$35,MATCH($E392,单位档案!$A$6:$A$35,0)),"")))))</f>
        <v/>
      </c>
      <c r="J392" s="22"/>
      <c r="K392" s="22"/>
      <c r="L392" s="33" t="str">
        <f aca="false">IF($B392="","",IF(NOT(ISNUMBER($B392)),"日期格式不对",IF($C392="","未选项目编号",IF(LEFT($M392,1)="⚠","项目编号不存在",IF($D392="","未选业务类型",IF($E392="","未选开票/付款方",IF(ISNA(MATCH($E392,单位档案!$A$6:$A$35,0)),"开票方不在单位档案",IF($F392="","未选收票/收款方",IF(ISNA(MATCH($F392,单位档案!$A$6:$A$35,0)),"收款方不在单位档案",IF(NOT(ISNUMBER($H392)),"金额须为数字",IF(AND($D392="销项开票",$N392="—"),"链条待确认","√")))))))))))</f>
        <v/>
      </c>
      <c r="M392" s="34" t="str">
        <f aca="false">IF($C392="","",IFERROR(INDEX(项目档案!$B$6:$B$255,MATCH($C392,项目档案!$A$6:$A$255,0)),"⚠项目编号不存在"))</f>
        <v/>
      </c>
      <c r="N392" s="35" t="str">
        <f aca="false">IF($E392="","",IF($E392=IFERROR(INDEX(项目档案!$D$6:$D$255,MATCH($C392,项目档案!$A$6:$A$255,0)),""),"一级",IF($E392=IFERROR(INDEX(项目档案!$F$6:$F$255,MATCH($C392,项目档案!$A$6:$A$255,0)),""),"二级",IF($E392=IFERROR(INDEX(项目档案!$H$6:$H$255,MATCH($C392,项目档案!$A$6:$A$255,0)),""),"我方","—"))))</f>
        <v/>
      </c>
      <c r="O392" s="36" t="n">
        <f aca="false">IF($D392&lt;&gt;"销项开票",0,ROUND(N($H392)*N($I392),2))</f>
        <v>0</v>
      </c>
      <c r="P392" s="36" t="n">
        <f aca="false">IF($D392&lt;&gt;"销项开票",0,ROUND(N($H392)-$O392,2))</f>
        <v>0</v>
      </c>
      <c r="Q392" s="37" t="str">
        <f aca="false">IF($E392="","",N(IFERROR(INDEX(单位档案!$E$6:$E$35,MATCH($E392,单位档案!$A$6:$A$35,0)),"")))</f>
        <v/>
      </c>
      <c r="R392" s="37" t="str">
        <f aca="false">IF($E392="","",N(IFERROR(INDEX(单位档案!$F$6:$F$35,MATCH($E392,单位档案!$A$6:$A$35,0)),"")))</f>
        <v/>
      </c>
      <c r="S392" s="36" t="n">
        <f aca="false">IF(OR($D392&lt;&gt;"销项开票",IFERROR(INDEX(单位档案!$G$6:$G$35,MATCH($E392,单位档案!$A$6:$A$35,0)),"")&lt;&gt;"是",N($Q392)=0),0,IF(IFERROR(INDEX(单位档案!$H$6:$H$35,MATCH($E392,单位档案!$A$6:$A$35,0)),"")="税差法",ROUND(N($H392)/(1+$Q392)*$Q392-IF(N($R392)=0,0,$P392/(1+$R392)*$R392),2),ROUND(N($H392)/(1+$Q392)*$Q392,2)))</f>
        <v>0</v>
      </c>
      <c r="T392" s="36" t="n">
        <f aca="false">ROUND($S392*N(IFERROR(INDEX(单位档案!$J$6:$J$35,MATCH($E392,单位档案!$A$6:$A$35,0)),"")),2)</f>
        <v>0</v>
      </c>
      <c r="U392" s="36" t="n">
        <f aca="false">IF($D392&lt;&gt;"销项开票",0,ROUND(N($H392)*N(IFERROR(INDEX(单位档案!$K$6:$K$35,MATCH($E392,单位档案!$A$6:$A$35,0)),"")),2))</f>
        <v>0</v>
      </c>
      <c r="V392" s="36" t="n">
        <f aca="false">IF(OR($D392&lt;&gt;"销项开票",N($Q392)=0),0,ROUND(N($H392)/(1+$Q392)*N(IFERROR(INDEX(单位档案!$L$6:$L$35,MATCH($E392,单位档案!$A$6:$A$35,0)),"")),2))</f>
        <v>0</v>
      </c>
      <c r="W392" s="36" t="n">
        <f aca="false">ROUND($S392+$T392+$U392+$V392,2)</f>
        <v>0</v>
      </c>
      <c r="X392" s="35" t="str">
        <f aca="false">IF(OR($D392="挂靠代收",$D392="我方收款"),COUNTIFS($D$5:$D392,"挂靠代收")+COUNTIFS($D$5:$D392,"我方收款"),"")</f>
        <v/>
      </c>
      <c r="Y392" s="35"/>
      <c r="Z392" s="21" t="s">
        <v>111</v>
      </c>
    </row>
    <row r="393" customFormat="false" ht="15.75" hidden="false" customHeight="true" outlineLevel="0" collapsed="false">
      <c r="A393" s="32" t="str">
        <f aca="false">IF($B393="","",ROW()-4)</f>
        <v/>
      </c>
      <c r="B393" s="26"/>
      <c r="C393" s="24"/>
      <c r="D393" s="21"/>
      <c r="E393" s="21"/>
      <c r="F393" s="21"/>
      <c r="G393" s="21"/>
      <c r="H393" s="27"/>
      <c r="I393" s="23" t="str">
        <f aca="false">IF($D393&lt;&gt;"销项开票","",IF($N393="一级",IF(IFERROR(INDEX(项目档案!$E$6:$E$255,MATCH($C393,项目档案!$A$6:$A$255,0)),"")="",N(IFERROR(INDEX(单位档案!$D$6:$D$35,MATCH($E393,单位档案!$A$6:$A$35,0)),"")),IFERROR(INDEX(项目档案!$E$6:$E$255,MATCH($C393,项目档案!$A$6:$A$255,0)),"")),IF($N393="二级",IF(IFERROR(INDEX(项目档案!$G$6:$G$255,MATCH($C393,项目档案!$A$6:$A$255,0)),"")="",N(IFERROR(INDEX(单位档案!$D$6:$D$35,MATCH($E393,单位档案!$A$6:$A$35,0)),"")),IFERROR(INDEX(项目档案!$G$6:$G$255,MATCH($C393,项目档案!$A$6:$A$255,0)),"")),N(IFERROR(INDEX(单位档案!$D$6:$D$35,MATCH($E393,单位档案!$A$6:$A$35,0)),"")))))</f>
        <v/>
      </c>
      <c r="J393" s="22"/>
      <c r="K393" s="22"/>
      <c r="L393" s="33" t="str">
        <f aca="false">IF($B393="","",IF(NOT(ISNUMBER($B393)),"日期格式不对",IF($C393="","未选项目编号",IF(LEFT($M393,1)="⚠","项目编号不存在",IF($D393="","未选业务类型",IF($E393="","未选开票/付款方",IF(ISNA(MATCH($E393,单位档案!$A$6:$A$35,0)),"开票方不在单位档案",IF($F393="","未选收票/收款方",IF(ISNA(MATCH($F393,单位档案!$A$6:$A$35,0)),"收款方不在单位档案",IF(NOT(ISNUMBER($H393)),"金额须为数字",IF(AND($D393="销项开票",$N393="—"),"链条待确认","√")))))))))))</f>
        <v/>
      </c>
      <c r="M393" s="34" t="str">
        <f aca="false">IF($C393="","",IFERROR(INDEX(项目档案!$B$6:$B$255,MATCH($C393,项目档案!$A$6:$A$255,0)),"⚠项目编号不存在"))</f>
        <v/>
      </c>
      <c r="N393" s="35" t="str">
        <f aca="false">IF($E393="","",IF($E393=IFERROR(INDEX(项目档案!$D$6:$D$255,MATCH($C393,项目档案!$A$6:$A$255,0)),""),"一级",IF($E393=IFERROR(INDEX(项目档案!$F$6:$F$255,MATCH($C393,项目档案!$A$6:$A$255,0)),""),"二级",IF($E393=IFERROR(INDEX(项目档案!$H$6:$H$255,MATCH($C393,项目档案!$A$6:$A$255,0)),""),"我方","—"))))</f>
        <v/>
      </c>
      <c r="O393" s="36" t="n">
        <f aca="false">IF($D393&lt;&gt;"销项开票",0,ROUND(N($H393)*N($I393),2))</f>
        <v>0</v>
      </c>
      <c r="P393" s="36" t="n">
        <f aca="false">IF($D393&lt;&gt;"销项开票",0,ROUND(N($H393)-$O393,2))</f>
        <v>0</v>
      </c>
      <c r="Q393" s="37" t="str">
        <f aca="false">IF($E393="","",N(IFERROR(INDEX(单位档案!$E$6:$E$35,MATCH($E393,单位档案!$A$6:$A$35,0)),"")))</f>
        <v/>
      </c>
      <c r="R393" s="37" t="str">
        <f aca="false">IF($E393="","",N(IFERROR(INDEX(单位档案!$F$6:$F$35,MATCH($E393,单位档案!$A$6:$A$35,0)),"")))</f>
        <v/>
      </c>
      <c r="S393" s="36" t="n">
        <f aca="false">IF(OR($D393&lt;&gt;"销项开票",IFERROR(INDEX(单位档案!$G$6:$G$35,MATCH($E393,单位档案!$A$6:$A$35,0)),"")&lt;&gt;"是",N($Q393)=0),0,IF(IFERROR(INDEX(单位档案!$H$6:$H$35,MATCH($E393,单位档案!$A$6:$A$35,0)),"")="税差法",ROUND(N($H393)/(1+$Q393)*$Q393-IF(N($R393)=0,0,$P393/(1+$R393)*$R393),2),ROUND(N($H393)/(1+$Q393)*$Q393,2)))</f>
        <v>0</v>
      </c>
      <c r="T393" s="36" t="n">
        <f aca="false">ROUND($S393*N(IFERROR(INDEX(单位档案!$J$6:$J$35,MATCH($E393,单位档案!$A$6:$A$35,0)),"")),2)</f>
        <v>0</v>
      </c>
      <c r="U393" s="36" t="n">
        <f aca="false">IF($D393&lt;&gt;"销项开票",0,ROUND(N($H393)*N(IFERROR(INDEX(单位档案!$K$6:$K$35,MATCH($E393,单位档案!$A$6:$A$35,0)),"")),2))</f>
        <v>0</v>
      </c>
      <c r="V393" s="36" t="n">
        <f aca="false">IF(OR($D393&lt;&gt;"销项开票",N($Q393)=0),0,ROUND(N($H393)/(1+$Q393)*N(IFERROR(INDEX(单位档案!$L$6:$L$35,MATCH($E393,单位档案!$A$6:$A$35,0)),"")),2))</f>
        <v>0</v>
      </c>
      <c r="W393" s="36" t="n">
        <f aca="false">ROUND($S393+$T393+$U393+$V393,2)</f>
        <v>0</v>
      </c>
      <c r="X393" s="35" t="str">
        <f aca="false">IF(OR($D393="挂靠代收",$D393="我方收款"),COUNTIFS($D$5:$D393,"挂靠代收")+COUNTIFS($D$5:$D393,"我方收款"),"")</f>
        <v/>
      </c>
      <c r="Y393" s="35"/>
      <c r="Z393" s="21" t="s">
        <v>111</v>
      </c>
    </row>
    <row r="394" customFormat="false" ht="15.75" hidden="false" customHeight="true" outlineLevel="0" collapsed="false">
      <c r="A394" s="32" t="str">
        <f aca="false">IF($B394="","",ROW()-4)</f>
        <v/>
      </c>
      <c r="B394" s="26"/>
      <c r="C394" s="24"/>
      <c r="D394" s="21"/>
      <c r="E394" s="21"/>
      <c r="F394" s="21"/>
      <c r="G394" s="21"/>
      <c r="H394" s="27"/>
      <c r="I394" s="23" t="str">
        <f aca="false">IF($D394&lt;&gt;"销项开票","",IF($N394="一级",IF(IFERROR(INDEX(项目档案!$E$6:$E$255,MATCH($C394,项目档案!$A$6:$A$255,0)),"")="",N(IFERROR(INDEX(单位档案!$D$6:$D$35,MATCH($E394,单位档案!$A$6:$A$35,0)),"")),IFERROR(INDEX(项目档案!$E$6:$E$255,MATCH($C394,项目档案!$A$6:$A$255,0)),"")),IF($N394="二级",IF(IFERROR(INDEX(项目档案!$G$6:$G$255,MATCH($C394,项目档案!$A$6:$A$255,0)),"")="",N(IFERROR(INDEX(单位档案!$D$6:$D$35,MATCH($E394,单位档案!$A$6:$A$35,0)),"")),IFERROR(INDEX(项目档案!$G$6:$G$255,MATCH($C394,项目档案!$A$6:$A$255,0)),"")),N(IFERROR(INDEX(单位档案!$D$6:$D$35,MATCH($E394,单位档案!$A$6:$A$35,0)),"")))))</f>
        <v/>
      </c>
      <c r="J394" s="22"/>
      <c r="K394" s="22"/>
      <c r="L394" s="33" t="str">
        <f aca="false">IF($B394="","",IF(NOT(ISNUMBER($B394)),"日期格式不对",IF($C394="","未选项目编号",IF(LEFT($M394,1)="⚠","项目编号不存在",IF($D394="","未选业务类型",IF($E394="","未选开票/付款方",IF(ISNA(MATCH($E394,单位档案!$A$6:$A$35,0)),"开票方不在单位档案",IF($F394="","未选收票/收款方",IF(ISNA(MATCH($F394,单位档案!$A$6:$A$35,0)),"收款方不在单位档案",IF(NOT(ISNUMBER($H394)),"金额须为数字",IF(AND($D394="销项开票",$N394="—"),"链条待确认","√")))))))))))</f>
        <v/>
      </c>
      <c r="M394" s="34" t="str">
        <f aca="false">IF($C394="","",IFERROR(INDEX(项目档案!$B$6:$B$255,MATCH($C394,项目档案!$A$6:$A$255,0)),"⚠项目编号不存在"))</f>
        <v/>
      </c>
      <c r="N394" s="35" t="str">
        <f aca="false">IF($E394="","",IF($E394=IFERROR(INDEX(项目档案!$D$6:$D$255,MATCH($C394,项目档案!$A$6:$A$255,0)),""),"一级",IF($E394=IFERROR(INDEX(项目档案!$F$6:$F$255,MATCH($C394,项目档案!$A$6:$A$255,0)),""),"二级",IF($E394=IFERROR(INDEX(项目档案!$H$6:$H$255,MATCH($C394,项目档案!$A$6:$A$255,0)),""),"我方","—"))))</f>
        <v/>
      </c>
      <c r="O394" s="36" t="n">
        <f aca="false">IF($D394&lt;&gt;"销项开票",0,ROUND(N($H394)*N($I394),2))</f>
        <v>0</v>
      </c>
      <c r="P394" s="36" t="n">
        <f aca="false">IF($D394&lt;&gt;"销项开票",0,ROUND(N($H394)-$O394,2))</f>
        <v>0</v>
      </c>
      <c r="Q394" s="37" t="str">
        <f aca="false">IF($E394="","",N(IFERROR(INDEX(单位档案!$E$6:$E$35,MATCH($E394,单位档案!$A$6:$A$35,0)),"")))</f>
        <v/>
      </c>
      <c r="R394" s="37" t="str">
        <f aca="false">IF($E394="","",N(IFERROR(INDEX(单位档案!$F$6:$F$35,MATCH($E394,单位档案!$A$6:$A$35,0)),"")))</f>
        <v/>
      </c>
      <c r="S394" s="36" t="n">
        <f aca="false">IF(OR($D394&lt;&gt;"销项开票",IFERROR(INDEX(单位档案!$G$6:$G$35,MATCH($E394,单位档案!$A$6:$A$35,0)),"")&lt;&gt;"是",N($Q394)=0),0,IF(IFERROR(INDEX(单位档案!$H$6:$H$35,MATCH($E394,单位档案!$A$6:$A$35,0)),"")="税差法",ROUND(N($H394)/(1+$Q394)*$Q394-IF(N($R394)=0,0,$P394/(1+$R394)*$R394),2),ROUND(N($H394)/(1+$Q394)*$Q394,2)))</f>
        <v>0</v>
      </c>
      <c r="T394" s="36" t="n">
        <f aca="false">ROUND($S394*N(IFERROR(INDEX(单位档案!$J$6:$J$35,MATCH($E394,单位档案!$A$6:$A$35,0)),"")),2)</f>
        <v>0</v>
      </c>
      <c r="U394" s="36" t="n">
        <f aca="false">IF($D394&lt;&gt;"销项开票",0,ROUND(N($H394)*N(IFERROR(INDEX(单位档案!$K$6:$K$35,MATCH($E394,单位档案!$A$6:$A$35,0)),"")),2))</f>
        <v>0</v>
      </c>
      <c r="V394" s="36" t="n">
        <f aca="false">IF(OR($D394&lt;&gt;"销项开票",N($Q394)=0),0,ROUND(N($H394)/(1+$Q394)*N(IFERROR(INDEX(单位档案!$L$6:$L$35,MATCH($E394,单位档案!$A$6:$A$35,0)),"")),2))</f>
        <v>0</v>
      </c>
      <c r="W394" s="36" t="n">
        <f aca="false">ROUND($S394+$T394+$U394+$V394,2)</f>
        <v>0</v>
      </c>
      <c r="X394" s="35" t="str">
        <f aca="false">IF(OR($D394="挂靠代收",$D394="我方收款"),COUNTIFS($D$5:$D394,"挂靠代收")+COUNTIFS($D$5:$D394,"我方收款"),"")</f>
        <v/>
      </c>
      <c r="Y394" s="35"/>
      <c r="Z394" s="21" t="s">
        <v>111</v>
      </c>
    </row>
    <row r="395" customFormat="false" ht="15.75" hidden="false" customHeight="true" outlineLevel="0" collapsed="false">
      <c r="A395" s="32" t="str">
        <f aca="false">IF($B395="","",ROW()-4)</f>
        <v/>
      </c>
      <c r="B395" s="26"/>
      <c r="C395" s="24"/>
      <c r="D395" s="21"/>
      <c r="E395" s="21"/>
      <c r="F395" s="21"/>
      <c r="G395" s="21"/>
      <c r="H395" s="27"/>
      <c r="I395" s="23" t="str">
        <f aca="false">IF($D395&lt;&gt;"销项开票","",IF($N395="一级",IF(IFERROR(INDEX(项目档案!$E$6:$E$255,MATCH($C395,项目档案!$A$6:$A$255,0)),"")="",N(IFERROR(INDEX(单位档案!$D$6:$D$35,MATCH($E395,单位档案!$A$6:$A$35,0)),"")),IFERROR(INDEX(项目档案!$E$6:$E$255,MATCH($C395,项目档案!$A$6:$A$255,0)),"")),IF($N395="二级",IF(IFERROR(INDEX(项目档案!$G$6:$G$255,MATCH($C395,项目档案!$A$6:$A$255,0)),"")="",N(IFERROR(INDEX(单位档案!$D$6:$D$35,MATCH($E395,单位档案!$A$6:$A$35,0)),"")),IFERROR(INDEX(项目档案!$G$6:$G$255,MATCH($C395,项目档案!$A$6:$A$255,0)),"")),N(IFERROR(INDEX(单位档案!$D$6:$D$35,MATCH($E395,单位档案!$A$6:$A$35,0)),"")))))</f>
        <v/>
      </c>
      <c r="J395" s="22"/>
      <c r="K395" s="22"/>
      <c r="L395" s="33" t="str">
        <f aca="false">IF($B395="","",IF(NOT(ISNUMBER($B395)),"日期格式不对",IF($C395="","未选项目编号",IF(LEFT($M395,1)="⚠","项目编号不存在",IF($D395="","未选业务类型",IF($E395="","未选开票/付款方",IF(ISNA(MATCH($E395,单位档案!$A$6:$A$35,0)),"开票方不在单位档案",IF($F395="","未选收票/收款方",IF(ISNA(MATCH($F395,单位档案!$A$6:$A$35,0)),"收款方不在单位档案",IF(NOT(ISNUMBER($H395)),"金额须为数字",IF(AND($D395="销项开票",$N395="—"),"链条待确认","√")))))))))))</f>
        <v/>
      </c>
      <c r="M395" s="34" t="str">
        <f aca="false">IF($C395="","",IFERROR(INDEX(项目档案!$B$6:$B$255,MATCH($C395,项目档案!$A$6:$A$255,0)),"⚠项目编号不存在"))</f>
        <v/>
      </c>
      <c r="N395" s="35" t="str">
        <f aca="false">IF($E395="","",IF($E395=IFERROR(INDEX(项目档案!$D$6:$D$255,MATCH($C395,项目档案!$A$6:$A$255,0)),""),"一级",IF($E395=IFERROR(INDEX(项目档案!$F$6:$F$255,MATCH($C395,项目档案!$A$6:$A$255,0)),""),"二级",IF($E395=IFERROR(INDEX(项目档案!$H$6:$H$255,MATCH($C395,项目档案!$A$6:$A$255,0)),""),"我方","—"))))</f>
        <v/>
      </c>
      <c r="O395" s="36" t="n">
        <f aca="false">IF($D395&lt;&gt;"销项开票",0,ROUND(N($H395)*N($I395),2))</f>
        <v>0</v>
      </c>
      <c r="P395" s="36" t="n">
        <f aca="false">IF($D395&lt;&gt;"销项开票",0,ROUND(N($H395)-$O395,2))</f>
        <v>0</v>
      </c>
      <c r="Q395" s="37" t="str">
        <f aca="false">IF($E395="","",N(IFERROR(INDEX(单位档案!$E$6:$E$35,MATCH($E395,单位档案!$A$6:$A$35,0)),"")))</f>
        <v/>
      </c>
      <c r="R395" s="37" t="str">
        <f aca="false">IF($E395="","",N(IFERROR(INDEX(单位档案!$F$6:$F$35,MATCH($E395,单位档案!$A$6:$A$35,0)),"")))</f>
        <v/>
      </c>
      <c r="S395" s="36" t="n">
        <f aca="false">IF(OR($D395&lt;&gt;"销项开票",IFERROR(INDEX(单位档案!$G$6:$G$35,MATCH($E395,单位档案!$A$6:$A$35,0)),"")&lt;&gt;"是",N($Q395)=0),0,IF(IFERROR(INDEX(单位档案!$H$6:$H$35,MATCH($E395,单位档案!$A$6:$A$35,0)),"")="税差法",ROUND(N($H395)/(1+$Q395)*$Q395-IF(N($R395)=0,0,$P395/(1+$R395)*$R395),2),ROUND(N($H395)/(1+$Q395)*$Q395,2)))</f>
        <v>0</v>
      </c>
      <c r="T395" s="36" t="n">
        <f aca="false">ROUND($S395*N(IFERROR(INDEX(单位档案!$J$6:$J$35,MATCH($E395,单位档案!$A$6:$A$35,0)),"")),2)</f>
        <v>0</v>
      </c>
      <c r="U395" s="36" t="n">
        <f aca="false">IF($D395&lt;&gt;"销项开票",0,ROUND(N($H395)*N(IFERROR(INDEX(单位档案!$K$6:$K$35,MATCH($E395,单位档案!$A$6:$A$35,0)),"")),2))</f>
        <v>0</v>
      </c>
      <c r="V395" s="36" t="n">
        <f aca="false">IF(OR($D395&lt;&gt;"销项开票",N($Q395)=0),0,ROUND(N($H395)/(1+$Q395)*N(IFERROR(INDEX(单位档案!$L$6:$L$35,MATCH($E395,单位档案!$A$6:$A$35,0)),"")),2))</f>
        <v>0</v>
      </c>
      <c r="W395" s="36" t="n">
        <f aca="false">ROUND($S395+$T395+$U395+$V395,2)</f>
        <v>0</v>
      </c>
      <c r="X395" s="35" t="str">
        <f aca="false">IF(OR($D395="挂靠代收",$D395="我方收款"),COUNTIFS($D$5:$D395,"挂靠代收")+COUNTIFS($D$5:$D395,"我方收款"),"")</f>
        <v/>
      </c>
      <c r="Y395" s="35"/>
      <c r="Z395" s="21" t="s">
        <v>111</v>
      </c>
    </row>
    <row r="396" customFormat="false" ht="15.75" hidden="false" customHeight="true" outlineLevel="0" collapsed="false">
      <c r="A396" s="32" t="str">
        <f aca="false">IF($B396="","",ROW()-4)</f>
        <v/>
      </c>
      <c r="B396" s="26"/>
      <c r="C396" s="24"/>
      <c r="D396" s="21"/>
      <c r="E396" s="21"/>
      <c r="F396" s="21"/>
      <c r="G396" s="21"/>
      <c r="H396" s="27"/>
      <c r="I396" s="23" t="str">
        <f aca="false">IF($D396&lt;&gt;"销项开票","",IF($N396="一级",IF(IFERROR(INDEX(项目档案!$E$6:$E$255,MATCH($C396,项目档案!$A$6:$A$255,0)),"")="",N(IFERROR(INDEX(单位档案!$D$6:$D$35,MATCH($E396,单位档案!$A$6:$A$35,0)),"")),IFERROR(INDEX(项目档案!$E$6:$E$255,MATCH($C396,项目档案!$A$6:$A$255,0)),"")),IF($N396="二级",IF(IFERROR(INDEX(项目档案!$G$6:$G$255,MATCH($C396,项目档案!$A$6:$A$255,0)),"")="",N(IFERROR(INDEX(单位档案!$D$6:$D$35,MATCH($E396,单位档案!$A$6:$A$35,0)),"")),IFERROR(INDEX(项目档案!$G$6:$G$255,MATCH($C396,项目档案!$A$6:$A$255,0)),"")),N(IFERROR(INDEX(单位档案!$D$6:$D$35,MATCH($E396,单位档案!$A$6:$A$35,0)),"")))))</f>
        <v/>
      </c>
      <c r="J396" s="22"/>
      <c r="K396" s="22"/>
      <c r="L396" s="33" t="str">
        <f aca="false">IF($B396="","",IF(NOT(ISNUMBER($B396)),"日期格式不对",IF($C396="","未选项目编号",IF(LEFT($M396,1)="⚠","项目编号不存在",IF($D396="","未选业务类型",IF($E396="","未选开票/付款方",IF(ISNA(MATCH($E396,单位档案!$A$6:$A$35,0)),"开票方不在单位档案",IF($F396="","未选收票/收款方",IF(ISNA(MATCH($F396,单位档案!$A$6:$A$35,0)),"收款方不在单位档案",IF(NOT(ISNUMBER($H396)),"金额须为数字",IF(AND($D396="销项开票",$N396="—"),"链条待确认","√")))))))))))</f>
        <v/>
      </c>
      <c r="M396" s="34" t="str">
        <f aca="false">IF($C396="","",IFERROR(INDEX(项目档案!$B$6:$B$255,MATCH($C396,项目档案!$A$6:$A$255,0)),"⚠项目编号不存在"))</f>
        <v/>
      </c>
      <c r="N396" s="35" t="str">
        <f aca="false">IF($E396="","",IF($E396=IFERROR(INDEX(项目档案!$D$6:$D$255,MATCH($C396,项目档案!$A$6:$A$255,0)),""),"一级",IF($E396=IFERROR(INDEX(项目档案!$F$6:$F$255,MATCH($C396,项目档案!$A$6:$A$255,0)),""),"二级",IF($E396=IFERROR(INDEX(项目档案!$H$6:$H$255,MATCH($C396,项目档案!$A$6:$A$255,0)),""),"我方","—"))))</f>
        <v/>
      </c>
      <c r="O396" s="36" t="n">
        <f aca="false">IF($D396&lt;&gt;"销项开票",0,ROUND(N($H396)*N($I396),2))</f>
        <v>0</v>
      </c>
      <c r="P396" s="36" t="n">
        <f aca="false">IF($D396&lt;&gt;"销项开票",0,ROUND(N($H396)-$O396,2))</f>
        <v>0</v>
      </c>
      <c r="Q396" s="37" t="str">
        <f aca="false">IF($E396="","",N(IFERROR(INDEX(单位档案!$E$6:$E$35,MATCH($E396,单位档案!$A$6:$A$35,0)),"")))</f>
        <v/>
      </c>
      <c r="R396" s="37" t="str">
        <f aca="false">IF($E396="","",N(IFERROR(INDEX(单位档案!$F$6:$F$35,MATCH($E396,单位档案!$A$6:$A$35,0)),"")))</f>
        <v/>
      </c>
      <c r="S396" s="36" t="n">
        <f aca="false">IF(OR($D396&lt;&gt;"销项开票",IFERROR(INDEX(单位档案!$G$6:$G$35,MATCH($E396,单位档案!$A$6:$A$35,0)),"")&lt;&gt;"是",N($Q396)=0),0,IF(IFERROR(INDEX(单位档案!$H$6:$H$35,MATCH($E396,单位档案!$A$6:$A$35,0)),"")="税差法",ROUND(N($H396)/(1+$Q396)*$Q396-IF(N($R396)=0,0,$P396/(1+$R396)*$R396),2),ROUND(N($H396)/(1+$Q396)*$Q396,2)))</f>
        <v>0</v>
      </c>
      <c r="T396" s="36" t="n">
        <f aca="false">ROUND($S396*N(IFERROR(INDEX(单位档案!$J$6:$J$35,MATCH($E396,单位档案!$A$6:$A$35,0)),"")),2)</f>
        <v>0</v>
      </c>
      <c r="U396" s="36" t="n">
        <f aca="false">IF($D396&lt;&gt;"销项开票",0,ROUND(N($H396)*N(IFERROR(INDEX(单位档案!$K$6:$K$35,MATCH($E396,单位档案!$A$6:$A$35,0)),"")),2))</f>
        <v>0</v>
      </c>
      <c r="V396" s="36" t="n">
        <f aca="false">IF(OR($D396&lt;&gt;"销项开票",N($Q396)=0),0,ROUND(N($H396)/(1+$Q396)*N(IFERROR(INDEX(单位档案!$L$6:$L$35,MATCH($E396,单位档案!$A$6:$A$35,0)),"")),2))</f>
        <v>0</v>
      </c>
      <c r="W396" s="36" t="n">
        <f aca="false">ROUND($S396+$T396+$U396+$V396,2)</f>
        <v>0</v>
      </c>
      <c r="X396" s="35" t="str">
        <f aca="false">IF(OR($D396="挂靠代收",$D396="我方收款"),COUNTIFS($D$5:$D396,"挂靠代收")+COUNTIFS($D$5:$D396,"我方收款"),"")</f>
        <v/>
      </c>
      <c r="Y396" s="35"/>
      <c r="Z396" s="21" t="s">
        <v>111</v>
      </c>
    </row>
    <row r="397" customFormat="false" ht="15.75" hidden="false" customHeight="true" outlineLevel="0" collapsed="false">
      <c r="A397" s="32" t="str">
        <f aca="false">IF($B397="","",ROW()-4)</f>
        <v/>
      </c>
      <c r="B397" s="26"/>
      <c r="C397" s="24"/>
      <c r="D397" s="21"/>
      <c r="E397" s="21"/>
      <c r="F397" s="21"/>
      <c r="G397" s="21"/>
      <c r="H397" s="27"/>
      <c r="I397" s="23" t="str">
        <f aca="false">IF($D397&lt;&gt;"销项开票","",IF($N397="一级",IF(IFERROR(INDEX(项目档案!$E$6:$E$255,MATCH($C397,项目档案!$A$6:$A$255,0)),"")="",N(IFERROR(INDEX(单位档案!$D$6:$D$35,MATCH($E397,单位档案!$A$6:$A$35,0)),"")),IFERROR(INDEX(项目档案!$E$6:$E$255,MATCH($C397,项目档案!$A$6:$A$255,0)),"")),IF($N397="二级",IF(IFERROR(INDEX(项目档案!$G$6:$G$255,MATCH($C397,项目档案!$A$6:$A$255,0)),"")="",N(IFERROR(INDEX(单位档案!$D$6:$D$35,MATCH($E397,单位档案!$A$6:$A$35,0)),"")),IFERROR(INDEX(项目档案!$G$6:$G$255,MATCH($C397,项目档案!$A$6:$A$255,0)),"")),N(IFERROR(INDEX(单位档案!$D$6:$D$35,MATCH($E397,单位档案!$A$6:$A$35,0)),"")))))</f>
        <v/>
      </c>
      <c r="J397" s="22"/>
      <c r="K397" s="22"/>
      <c r="L397" s="33" t="str">
        <f aca="false">IF($B397="","",IF(NOT(ISNUMBER($B397)),"日期格式不对",IF($C397="","未选项目编号",IF(LEFT($M397,1)="⚠","项目编号不存在",IF($D397="","未选业务类型",IF($E397="","未选开票/付款方",IF(ISNA(MATCH($E397,单位档案!$A$6:$A$35,0)),"开票方不在单位档案",IF($F397="","未选收票/收款方",IF(ISNA(MATCH($F397,单位档案!$A$6:$A$35,0)),"收款方不在单位档案",IF(NOT(ISNUMBER($H397)),"金额须为数字",IF(AND($D397="销项开票",$N397="—"),"链条待确认","√")))))))))))</f>
        <v/>
      </c>
      <c r="M397" s="34" t="str">
        <f aca="false">IF($C397="","",IFERROR(INDEX(项目档案!$B$6:$B$255,MATCH($C397,项目档案!$A$6:$A$255,0)),"⚠项目编号不存在"))</f>
        <v/>
      </c>
      <c r="N397" s="35" t="str">
        <f aca="false">IF($E397="","",IF($E397=IFERROR(INDEX(项目档案!$D$6:$D$255,MATCH($C397,项目档案!$A$6:$A$255,0)),""),"一级",IF($E397=IFERROR(INDEX(项目档案!$F$6:$F$255,MATCH($C397,项目档案!$A$6:$A$255,0)),""),"二级",IF($E397=IFERROR(INDEX(项目档案!$H$6:$H$255,MATCH($C397,项目档案!$A$6:$A$255,0)),""),"我方","—"))))</f>
        <v/>
      </c>
      <c r="O397" s="36" t="n">
        <f aca="false">IF($D397&lt;&gt;"销项开票",0,ROUND(N($H397)*N($I397),2))</f>
        <v>0</v>
      </c>
      <c r="P397" s="36" t="n">
        <f aca="false">IF($D397&lt;&gt;"销项开票",0,ROUND(N($H397)-$O397,2))</f>
        <v>0</v>
      </c>
      <c r="Q397" s="37" t="str">
        <f aca="false">IF($E397="","",N(IFERROR(INDEX(单位档案!$E$6:$E$35,MATCH($E397,单位档案!$A$6:$A$35,0)),"")))</f>
        <v/>
      </c>
      <c r="R397" s="37" t="str">
        <f aca="false">IF($E397="","",N(IFERROR(INDEX(单位档案!$F$6:$F$35,MATCH($E397,单位档案!$A$6:$A$35,0)),"")))</f>
        <v/>
      </c>
      <c r="S397" s="36" t="n">
        <f aca="false">IF(OR($D397&lt;&gt;"销项开票",IFERROR(INDEX(单位档案!$G$6:$G$35,MATCH($E397,单位档案!$A$6:$A$35,0)),"")&lt;&gt;"是",N($Q397)=0),0,IF(IFERROR(INDEX(单位档案!$H$6:$H$35,MATCH($E397,单位档案!$A$6:$A$35,0)),"")="税差法",ROUND(N($H397)/(1+$Q397)*$Q397-IF(N($R397)=0,0,$P397/(1+$R397)*$R397),2),ROUND(N($H397)/(1+$Q397)*$Q397,2)))</f>
        <v>0</v>
      </c>
      <c r="T397" s="36" t="n">
        <f aca="false">ROUND($S397*N(IFERROR(INDEX(单位档案!$J$6:$J$35,MATCH($E397,单位档案!$A$6:$A$35,0)),"")),2)</f>
        <v>0</v>
      </c>
      <c r="U397" s="36" t="n">
        <f aca="false">IF($D397&lt;&gt;"销项开票",0,ROUND(N($H397)*N(IFERROR(INDEX(单位档案!$K$6:$K$35,MATCH($E397,单位档案!$A$6:$A$35,0)),"")),2))</f>
        <v>0</v>
      </c>
      <c r="V397" s="36" t="n">
        <f aca="false">IF(OR($D397&lt;&gt;"销项开票",N($Q397)=0),0,ROUND(N($H397)/(1+$Q397)*N(IFERROR(INDEX(单位档案!$L$6:$L$35,MATCH($E397,单位档案!$A$6:$A$35,0)),"")),2))</f>
        <v>0</v>
      </c>
      <c r="W397" s="36" t="n">
        <f aca="false">ROUND($S397+$T397+$U397+$V397,2)</f>
        <v>0</v>
      </c>
      <c r="X397" s="35" t="str">
        <f aca="false">IF(OR($D397="挂靠代收",$D397="我方收款"),COUNTIFS($D$5:$D397,"挂靠代收")+COUNTIFS($D$5:$D397,"我方收款"),"")</f>
        <v/>
      </c>
      <c r="Y397" s="35"/>
      <c r="Z397" s="21" t="s">
        <v>111</v>
      </c>
    </row>
    <row r="398" customFormat="false" ht="15.75" hidden="false" customHeight="true" outlineLevel="0" collapsed="false">
      <c r="A398" s="32" t="str">
        <f aca="false">IF($B398="","",ROW()-4)</f>
        <v/>
      </c>
      <c r="B398" s="26"/>
      <c r="C398" s="24"/>
      <c r="D398" s="21"/>
      <c r="E398" s="21"/>
      <c r="F398" s="21"/>
      <c r="G398" s="21"/>
      <c r="H398" s="27"/>
      <c r="I398" s="23" t="str">
        <f aca="false">IF($D398&lt;&gt;"销项开票","",IF($N398="一级",IF(IFERROR(INDEX(项目档案!$E$6:$E$255,MATCH($C398,项目档案!$A$6:$A$255,0)),"")="",N(IFERROR(INDEX(单位档案!$D$6:$D$35,MATCH($E398,单位档案!$A$6:$A$35,0)),"")),IFERROR(INDEX(项目档案!$E$6:$E$255,MATCH($C398,项目档案!$A$6:$A$255,0)),"")),IF($N398="二级",IF(IFERROR(INDEX(项目档案!$G$6:$G$255,MATCH($C398,项目档案!$A$6:$A$255,0)),"")="",N(IFERROR(INDEX(单位档案!$D$6:$D$35,MATCH($E398,单位档案!$A$6:$A$35,0)),"")),IFERROR(INDEX(项目档案!$G$6:$G$255,MATCH($C398,项目档案!$A$6:$A$255,0)),"")),N(IFERROR(INDEX(单位档案!$D$6:$D$35,MATCH($E398,单位档案!$A$6:$A$35,0)),"")))))</f>
        <v/>
      </c>
      <c r="J398" s="22"/>
      <c r="K398" s="22"/>
      <c r="L398" s="33" t="str">
        <f aca="false">IF($B398="","",IF(NOT(ISNUMBER($B398)),"日期格式不对",IF($C398="","未选项目编号",IF(LEFT($M398,1)="⚠","项目编号不存在",IF($D398="","未选业务类型",IF($E398="","未选开票/付款方",IF(ISNA(MATCH($E398,单位档案!$A$6:$A$35,0)),"开票方不在单位档案",IF($F398="","未选收票/收款方",IF(ISNA(MATCH($F398,单位档案!$A$6:$A$35,0)),"收款方不在单位档案",IF(NOT(ISNUMBER($H398)),"金额须为数字",IF(AND($D398="销项开票",$N398="—"),"链条待确认","√")))))))))))</f>
        <v/>
      </c>
      <c r="M398" s="34" t="str">
        <f aca="false">IF($C398="","",IFERROR(INDEX(项目档案!$B$6:$B$255,MATCH($C398,项目档案!$A$6:$A$255,0)),"⚠项目编号不存在"))</f>
        <v/>
      </c>
      <c r="N398" s="35" t="str">
        <f aca="false">IF($E398="","",IF($E398=IFERROR(INDEX(项目档案!$D$6:$D$255,MATCH($C398,项目档案!$A$6:$A$255,0)),""),"一级",IF($E398=IFERROR(INDEX(项目档案!$F$6:$F$255,MATCH($C398,项目档案!$A$6:$A$255,0)),""),"二级",IF($E398=IFERROR(INDEX(项目档案!$H$6:$H$255,MATCH($C398,项目档案!$A$6:$A$255,0)),""),"我方","—"))))</f>
        <v/>
      </c>
      <c r="O398" s="36" t="n">
        <f aca="false">IF($D398&lt;&gt;"销项开票",0,ROUND(N($H398)*N($I398),2))</f>
        <v>0</v>
      </c>
      <c r="P398" s="36" t="n">
        <f aca="false">IF($D398&lt;&gt;"销项开票",0,ROUND(N($H398)-$O398,2))</f>
        <v>0</v>
      </c>
      <c r="Q398" s="37" t="str">
        <f aca="false">IF($E398="","",N(IFERROR(INDEX(单位档案!$E$6:$E$35,MATCH($E398,单位档案!$A$6:$A$35,0)),"")))</f>
        <v/>
      </c>
      <c r="R398" s="37" t="str">
        <f aca="false">IF($E398="","",N(IFERROR(INDEX(单位档案!$F$6:$F$35,MATCH($E398,单位档案!$A$6:$A$35,0)),"")))</f>
        <v/>
      </c>
      <c r="S398" s="36" t="n">
        <f aca="false">IF(OR($D398&lt;&gt;"销项开票",IFERROR(INDEX(单位档案!$G$6:$G$35,MATCH($E398,单位档案!$A$6:$A$35,0)),"")&lt;&gt;"是",N($Q398)=0),0,IF(IFERROR(INDEX(单位档案!$H$6:$H$35,MATCH($E398,单位档案!$A$6:$A$35,0)),"")="税差法",ROUND(N($H398)/(1+$Q398)*$Q398-IF(N($R398)=0,0,$P398/(1+$R398)*$R398),2),ROUND(N($H398)/(1+$Q398)*$Q398,2)))</f>
        <v>0</v>
      </c>
      <c r="T398" s="36" t="n">
        <f aca="false">ROUND($S398*N(IFERROR(INDEX(单位档案!$J$6:$J$35,MATCH($E398,单位档案!$A$6:$A$35,0)),"")),2)</f>
        <v>0</v>
      </c>
      <c r="U398" s="36" t="n">
        <f aca="false">IF($D398&lt;&gt;"销项开票",0,ROUND(N($H398)*N(IFERROR(INDEX(单位档案!$K$6:$K$35,MATCH($E398,单位档案!$A$6:$A$35,0)),"")),2))</f>
        <v>0</v>
      </c>
      <c r="V398" s="36" t="n">
        <f aca="false">IF(OR($D398&lt;&gt;"销项开票",N($Q398)=0),0,ROUND(N($H398)/(1+$Q398)*N(IFERROR(INDEX(单位档案!$L$6:$L$35,MATCH($E398,单位档案!$A$6:$A$35,0)),"")),2))</f>
        <v>0</v>
      </c>
      <c r="W398" s="36" t="n">
        <f aca="false">ROUND($S398+$T398+$U398+$V398,2)</f>
        <v>0</v>
      </c>
      <c r="X398" s="35" t="str">
        <f aca="false">IF(OR($D398="挂靠代收",$D398="我方收款"),COUNTIFS($D$5:$D398,"挂靠代收")+COUNTIFS($D$5:$D398,"我方收款"),"")</f>
        <v/>
      </c>
      <c r="Y398" s="35"/>
      <c r="Z398" s="21" t="s">
        <v>111</v>
      </c>
    </row>
    <row r="399" customFormat="false" ht="15.75" hidden="false" customHeight="true" outlineLevel="0" collapsed="false">
      <c r="A399" s="32" t="str">
        <f aca="false">IF($B399="","",ROW()-4)</f>
        <v/>
      </c>
      <c r="B399" s="26"/>
      <c r="C399" s="24"/>
      <c r="D399" s="21"/>
      <c r="E399" s="21"/>
      <c r="F399" s="21"/>
      <c r="G399" s="21"/>
      <c r="H399" s="27"/>
      <c r="I399" s="23" t="str">
        <f aca="false">IF($D399&lt;&gt;"销项开票","",IF($N399="一级",IF(IFERROR(INDEX(项目档案!$E$6:$E$255,MATCH($C399,项目档案!$A$6:$A$255,0)),"")="",N(IFERROR(INDEX(单位档案!$D$6:$D$35,MATCH($E399,单位档案!$A$6:$A$35,0)),"")),IFERROR(INDEX(项目档案!$E$6:$E$255,MATCH($C399,项目档案!$A$6:$A$255,0)),"")),IF($N399="二级",IF(IFERROR(INDEX(项目档案!$G$6:$G$255,MATCH($C399,项目档案!$A$6:$A$255,0)),"")="",N(IFERROR(INDEX(单位档案!$D$6:$D$35,MATCH($E399,单位档案!$A$6:$A$35,0)),"")),IFERROR(INDEX(项目档案!$G$6:$G$255,MATCH($C399,项目档案!$A$6:$A$255,0)),"")),N(IFERROR(INDEX(单位档案!$D$6:$D$35,MATCH($E399,单位档案!$A$6:$A$35,0)),"")))))</f>
        <v/>
      </c>
      <c r="J399" s="22"/>
      <c r="K399" s="22"/>
      <c r="L399" s="33" t="str">
        <f aca="false">IF($B399="","",IF(NOT(ISNUMBER($B399)),"日期格式不对",IF($C399="","未选项目编号",IF(LEFT($M399,1)="⚠","项目编号不存在",IF($D399="","未选业务类型",IF($E399="","未选开票/付款方",IF(ISNA(MATCH($E399,单位档案!$A$6:$A$35,0)),"开票方不在单位档案",IF($F399="","未选收票/收款方",IF(ISNA(MATCH($F399,单位档案!$A$6:$A$35,0)),"收款方不在单位档案",IF(NOT(ISNUMBER($H399)),"金额须为数字",IF(AND($D399="销项开票",$N399="—"),"链条待确认","√")))))))))))</f>
        <v/>
      </c>
      <c r="M399" s="34" t="str">
        <f aca="false">IF($C399="","",IFERROR(INDEX(项目档案!$B$6:$B$255,MATCH($C399,项目档案!$A$6:$A$255,0)),"⚠项目编号不存在"))</f>
        <v/>
      </c>
      <c r="N399" s="35" t="str">
        <f aca="false">IF($E399="","",IF($E399=IFERROR(INDEX(项目档案!$D$6:$D$255,MATCH($C399,项目档案!$A$6:$A$255,0)),""),"一级",IF($E399=IFERROR(INDEX(项目档案!$F$6:$F$255,MATCH($C399,项目档案!$A$6:$A$255,0)),""),"二级",IF($E399=IFERROR(INDEX(项目档案!$H$6:$H$255,MATCH($C399,项目档案!$A$6:$A$255,0)),""),"我方","—"))))</f>
        <v/>
      </c>
      <c r="O399" s="36" t="n">
        <f aca="false">IF($D399&lt;&gt;"销项开票",0,ROUND(N($H399)*N($I399),2))</f>
        <v>0</v>
      </c>
      <c r="P399" s="36" t="n">
        <f aca="false">IF($D399&lt;&gt;"销项开票",0,ROUND(N($H399)-$O399,2))</f>
        <v>0</v>
      </c>
      <c r="Q399" s="37" t="str">
        <f aca="false">IF($E399="","",N(IFERROR(INDEX(单位档案!$E$6:$E$35,MATCH($E399,单位档案!$A$6:$A$35,0)),"")))</f>
        <v/>
      </c>
      <c r="R399" s="37" t="str">
        <f aca="false">IF($E399="","",N(IFERROR(INDEX(单位档案!$F$6:$F$35,MATCH($E399,单位档案!$A$6:$A$35,0)),"")))</f>
        <v/>
      </c>
      <c r="S399" s="36" t="n">
        <f aca="false">IF(OR($D399&lt;&gt;"销项开票",IFERROR(INDEX(单位档案!$G$6:$G$35,MATCH($E399,单位档案!$A$6:$A$35,0)),"")&lt;&gt;"是",N($Q399)=0),0,IF(IFERROR(INDEX(单位档案!$H$6:$H$35,MATCH($E399,单位档案!$A$6:$A$35,0)),"")="税差法",ROUND(N($H399)/(1+$Q399)*$Q399-IF(N($R399)=0,0,$P399/(1+$R399)*$R399),2),ROUND(N($H399)/(1+$Q399)*$Q399,2)))</f>
        <v>0</v>
      </c>
      <c r="T399" s="36" t="n">
        <f aca="false">ROUND($S399*N(IFERROR(INDEX(单位档案!$J$6:$J$35,MATCH($E399,单位档案!$A$6:$A$35,0)),"")),2)</f>
        <v>0</v>
      </c>
      <c r="U399" s="36" t="n">
        <f aca="false">IF($D399&lt;&gt;"销项开票",0,ROUND(N($H399)*N(IFERROR(INDEX(单位档案!$K$6:$K$35,MATCH($E399,单位档案!$A$6:$A$35,0)),"")),2))</f>
        <v>0</v>
      </c>
      <c r="V399" s="36" t="n">
        <f aca="false">IF(OR($D399&lt;&gt;"销项开票",N($Q399)=0),0,ROUND(N($H399)/(1+$Q399)*N(IFERROR(INDEX(单位档案!$L$6:$L$35,MATCH($E399,单位档案!$A$6:$A$35,0)),"")),2))</f>
        <v>0</v>
      </c>
      <c r="W399" s="36" t="n">
        <f aca="false">ROUND($S399+$T399+$U399+$V399,2)</f>
        <v>0</v>
      </c>
      <c r="X399" s="35" t="str">
        <f aca="false">IF(OR($D399="挂靠代收",$D399="我方收款"),COUNTIFS($D$5:$D399,"挂靠代收")+COUNTIFS($D$5:$D399,"我方收款"),"")</f>
        <v/>
      </c>
      <c r="Y399" s="35"/>
      <c r="Z399" s="21" t="s">
        <v>111</v>
      </c>
    </row>
    <row r="400" customFormat="false" ht="15.75" hidden="false" customHeight="true" outlineLevel="0" collapsed="false">
      <c r="A400" s="32" t="str">
        <f aca="false">IF($B400="","",ROW()-4)</f>
        <v/>
      </c>
      <c r="B400" s="26"/>
      <c r="C400" s="24"/>
      <c r="D400" s="21"/>
      <c r="E400" s="21"/>
      <c r="F400" s="21"/>
      <c r="G400" s="21"/>
      <c r="H400" s="27"/>
      <c r="I400" s="23" t="str">
        <f aca="false">IF($D400&lt;&gt;"销项开票","",IF($N400="一级",IF(IFERROR(INDEX(项目档案!$E$6:$E$255,MATCH($C400,项目档案!$A$6:$A$255,0)),"")="",N(IFERROR(INDEX(单位档案!$D$6:$D$35,MATCH($E400,单位档案!$A$6:$A$35,0)),"")),IFERROR(INDEX(项目档案!$E$6:$E$255,MATCH($C400,项目档案!$A$6:$A$255,0)),"")),IF($N400="二级",IF(IFERROR(INDEX(项目档案!$G$6:$G$255,MATCH($C400,项目档案!$A$6:$A$255,0)),"")="",N(IFERROR(INDEX(单位档案!$D$6:$D$35,MATCH($E400,单位档案!$A$6:$A$35,0)),"")),IFERROR(INDEX(项目档案!$G$6:$G$255,MATCH($C400,项目档案!$A$6:$A$255,0)),"")),N(IFERROR(INDEX(单位档案!$D$6:$D$35,MATCH($E400,单位档案!$A$6:$A$35,0)),"")))))</f>
        <v/>
      </c>
      <c r="J400" s="22"/>
      <c r="K400" s="22"/>
      <c r="L400" s="33" t="str">
        <f aca="false">IF($B400="","",IF(NOT(ISNUMBER($B400)),"日期格式不对",IF($C400="","未选项目编号",IF(LEFT($M400,1)="⚠","项目编号不存在",IF($D400="","未选业务类型",IF($E400="","未选开票/付款方",IF(ISNA(MATCH($E400,单位档案!$A$6:$A$35,0)),"开票方不在单位档案",IF($F400="","未选收票/收款方",IF(ISNA(MATCH($F400,单位档案!$A$6:$A$35,0)),"收款方不在单位档案",IF(NOT(ISNUMBER($H400)),"金额须为数字",IF(AND($D400="销项开票",$N400="—"),"链条待确认","√")))))))))))</f>
        <v/>
      </c>
      <c r="M400" s="34" t="str">
        <f aca="false">IF($C400="","",IFERROR(INDEX(项目档案!$B$6:$B$255,MATCH($C400,项目档案!$A$6:$A$255,0)),"⚠项目编号不存在"))</f>
        <v/>
      </c>
      <c r="N400" s="35" t="str">
        <f aca="false">IF($E400="","",IF($E400=IFERROR(INDEX(项目档案!$D$6:$D$255,MATCH($C400,项目档案!$A$6:$A$255,0)),""),"一级",IF($E400=IFERROR(INDEX(项目档案!$F$6:$F$255,MATCH($C400,项目档案!$A$6:$A$255,0)),""),"二级",IF($E400=IFERROR(INDEX(项目档案!$H$6:$H$255,MATCH($C400,项目档案!$A$6:$A$255,0)),""),"我方","—"))))</f>
        <v/>
      </c>
      <c r="O400" s="36" t="n">
        <f aca="false">IF($D400&lt;&gt;"销项开票",0,ROUND(N($H400)*N($I400),2))</f>
        <v>0</v>
      </c>
      <c r="P400" s="36" t="n">
        <f aca="false">IF($D400&lt;&gt;"销项开票",0,ROUND(N($H400)-$O400,2))</f>
        <v>0</v>
      </c>
      <c r="Q400" s="37" t="str">
        <f aca="false">IF($E400="","",N(IFERROR(INDEX(单位档案!$E$6:$E$35,MATCH($E400,单位档案!$A$6:$A$35,0)),"")))</f>
        <v/>
      </c>
      <c r="R400" s="37" t="str">
        <f aca="false">IF($E400="","",N(IFERROR(INDEX(单位档案!$F$6:$F$35,MATCH($E400,单位档案!$A$6:$A$35,0)),"")))</f>
        <v/>
      </c>
      <c r="S400" s="36" t="n">
        <f aca="false">IF(OR($D400&lt;&gt;"销项开票",IFERROR(INDEX(单位档案!$G$6:$G$35,MATCH($E400,单位档案!$A$6:$A$35,0)),"")&lt;&gt;"是",N($Q400)=0),0,IF(IFERROR(INDEX(单位档案!$H$6:$H$35,MATCH($E400,单位档案!$A$6:$A$35,0)),"")="税差法",ROUND(N($H400)/(1+$Q400)*$Q400-IF(N($R400)=0,0,$P400/(1+$R400)*$R400),2),ROUND(N($H400)/(1+$Q400)*$Q400,2)))</f>
        <v>0</v>
      </c>
      <c r="T400" s="36" t="n">
        <f aca="false">ROUND($S400*N(IFERROR(INDEX(单位档案!$J$6:$J$35,MATCH($E400,单位档案!$A$6:$A$35,0)),"")),2)</f>
        <v>0</v>
      </c>
      <c r="U400" s="36" t="n">
        <f aca="false">IF($D400&lt;&gt;"销项开票",0,ROUND(N($H400)*N(IFERROR(INDEX(单位档案!$K$6:$K$35,MATCH($E400,单位档案!$A$6:$A$35,0)),"")),2))</f>
        <v>0</v>
      </c>
      <c r="V400" s="36" t="n">
        <f aca="false">IF(OR($D400&lt;&gt;"销项开票",N($Q400)=0),0,ROUND(N($H400)/(1+$Q400)*N(IFERROR(INDEX(单位档案!$L$6:$L$35,MATCH($E400,单位档案!$A$6:$A$35,0)),"")),2))</f>
        <v>0</v>
      </c>
      <c r="W400" s="36" t="n">
        <f aca="false">ROUND($S400+$T400+$U400+$V400,2)</f>
        <v>0</v>
      </c>
      <c r="X400" s="35" t="str">
        <f aca="false">IF(OR($D400="挂靠代收",$D400="我方收款"),COUNTIFS($D$5:$D400,"挂靠代收")+COUNTIFS($D$5:$D400,"我方收款"),"")</f>
        <v/>
      </c>
      <c r="Y400" s="35"/>
      <c r="Z400" s="21" t="s">
        <v>111</v>
      </c>
    </row>
    <row r="401" customFormat="false" ht="15.75" hidden="false" customHeight="true" outlineLevel="0" collapsed="false">
      <c r="A401" s="32" t="str">
        <f aca="false">IF($B401="","",ROW()-4)</f>
        <v/>
      </c>
      <c r="B401" s="26"/>
      <c r="C401" s="24"/>
      <c r="D401" s="21"/>
      <c r="E401" s="21"/>
      <c r="F401" s="21"/>
      <c r="G401" s="21"/>
      <c r="H401" s="27"/>
      <c r="I401" s="23" t="str">
        <f aca="false">IF($D401&lt;&gt;"销项开票","",IF($N401="一级",IF(IFERROR(INDEX(项目档案!$E$6:$E$255,MATCH($C401,项目档案!$A$6:$A$255,0)),"")="",N(IFERROR(INDEX(单位档案!$D$6:$D$35,MATCH($E401,单位档案!$A$6:$A$35,0)),"")),IFERROR(INDEX(项目档案!$E$6:$E$255,MATCH($C401,项目档案!$A$6:$A$255,0)),"")),IF($N401="二级",IF(IFERROR(INDEX(项目档案!$G$6:$G$255,MATCH($C401,项目档案!$A$6:$A$255,0)),"")="",N(IFERROR(INDEX(单位档案!$D$6:$D$35,MATCH($E401,单位档案!$A$6:$A$35,0)),"")),IFERROR(INDEX(项目档案!$G$6:$G$255,MATCH($C401,项目档案!$A$6:$A$255,0)),"")),N(IFERROR(INDEX(单位档案!$D$6:$D$35,MATCH($E401,单位档案!$A$6:$A$35,0)),"")))))</f>
        <v/>
      </c>
      <c r="J401" s="22"/>
      <c r="K401" s="22"/>
      <c r="L401" s="33" t="str">
        <f aca="false">IF($B401="","",IF(NOT(ISNUMBER($B401)),"日期格式不对",IF($C401="","未选项目编号",IF(LEFT($M401,1)="⚠","项目编号不存在",IF($D401="","未选业务类型",IF($E401="","未选开票/付款方",IF(ISNA(MATCH($E401,单位档案!$A$6:$A$35,0)),"开票方不在单位档案",IF($F401="","未选收票/收款方",IF(ISNA(MATCH($F401,单位档案!$A$6:$A$35,0)),"收款方不在单位档案",IF(NOT(ISNUMBER($H401)),"金额须为数字",IF(AND($D401="销项开票",$N401="—"),"链条待确认","√")))))))))))</f>
        <v/>
      </c>
      <c r="M401" s="34" t="str">
        <f aca="false">IF($C401="","",IFERROR(INDEX(项目档案!$B$6:$B$255,MATCH($C401,项目档案!$A$6:$A$255,0)),"⚠项目编号不存在"))</f>
        <v/>
      </c>
      <c r="N401" s="35" t="str">
        <f aca="false">IF($E401="","",IF($E401=IFERROR(INDEX(项目档案!$D$6:$D$255,MATCH($C401,项目档案!$A$6:$A$255,0)),""),"一级",IF($E401=IFERROR(INDEX(项目档案!$F$6:$F$255,MATCH($C401,项目档案!$A$6:$A$255,0)),""),"二级",IF($E401=IFERROR(INDEX(项目档案!$H$6:$H$255,MATCH($C401,项目档案!$A$6:$A$255,0)),""),"我方","—"))))</f>
        <v/>
      </c>
      <c r="O401" s="36" t="n">
        <f aca="false">IF($D401&lt;&gt;"销项开票",0,ROUND(N($H401)*N($I401),2))</f>
        <v>0</v>
      </c>
      <c r="P401" s="36" t="n">
        <f aca="false">IF($D401&lt;&gt;"销项开票",0,ROUND(N($H401)-$O401,2))</f>
        <v>0</v>
      </c>
      <c r="Q401" s="37" t="str">
        <f aca="false">IF($E401="","",N(IFERROR(INDEX(单位档案!$E$6:$E$35,MATCH($E401,单位档案!$A$6:$A$35,0)),"")))</f>
        <v/>
      </c>
      <c r="R401" s="37" t="str">
        <f aca="false">IF($E401="","",N(IFERROR(INDEX(单位档案!$F$6:$F$35,MATCH($E401,单位档案!$A$6:$A$35,0)),"")))</f>
        <v/>
      </c>
      <c r="S401" s="36" t="n">
        <f aca="false">IF(OR($D401&lt;&gt;"销项开票",IFERROR(INDEX(单位档案!$G$6:$G$35,MATCH($E401,单位档案!$A$6:$A$35,0)),"")&lt;&gt;"是",N($Q401)=0),0,IF(IFERROR(INDEX(单位档案!$H$6:$H$35,MATCH($E401,单位档案!$A$6:$A$35,0)),"")="税差法",ROUND(N($H401)/(1+$Q401)*$Q401-IF(N($R401)=0,0,$P401/(1+$R401)*$R401),2),ROUND(N($H401)/(1+$Q401)*$Q401,2)))</f>
        <v>0</v>
      </c>
      <c r="T401" s="36" t="n">
        <f aca="false">ROUND($S401*N(IFERROR(INDEX(单位档案!$J$6:$J$35,MATCH($E401,单位档案!$A$6:$A$35,0)),"")),2)</f>
        <v>0</v>
      </c>
      <c r="U401" s="36" t="n">
        <f aca="false">IF($D401&lt;&gt;"销项开票",0,ROUND(N($H401)*N(IFERROR(INDEX(单位档案!$K$6:$K$35,MATCH($E401,单位档案!$A$6:$A$35,0)),"")),2))</f>
        <v>0</v>
      </c>
      <c r="V401" s="36" t="n">
        <f aca="false">IF(OR($D401&lt;&gt;"销项开票",N($Q401)=0),0,ROUND(N($H401)/(1+$Q401)*N(IFERROR(INDEX(单位档案!$L$6:$L$35,MATCH($E401,单位档案!$A$6:$A$35,0)),"")),2))</f>
        <v>0</v>
      </c>
      <c r="W401" s="36" t="n">
        <f aca="false">ROUND($S401+$T401+$U401+$V401,2)</f>
        <v>0</v>
      </c>
      <c r="X401" s="35" t="str">
        <f aca="false">IF(OR($D401="挂靠代收",$D401="我方收款"),COUNTIFS($D$5:$D401,"挂靠代收")+COUNTIFS($D$5:$D401,"我方收款"),"")</f>
        <v/>
      </c>
      <c r="Y401" s="35"/>
      <c r="Z401" s="21" t="s">
        <v>111</v>
      </c>
    </row>
    <row r="402" customFormat="false" ht="15.75" hidden="false" customHeight="true" outlineLevel="0" collapsed="false">
      <c r="A402" s="32" t="str">
        <f aca="false">IF($B402="","",ROW()-4)</f>
        <v/>
      </c>
      <c r="B402" s="26"/>
      <c r="C402" s="24"/>
      <c r="D402" s="21"/>
      <c r="E402" s="21"/>
      <c r="F402" s="21"/>
      <c r="G402" s="21"/>
      <c r="H402" s="27"/>
      <c r="I402" s="23" t="str">
        <f aca="false">IF($D402&lt;&gt;"销项开票","",IF($N402="一级",IF(IFERROR(INDEX(项目档案!$E$6:$E$255,MATCH($C402,项目档案!$A$6:$A$255,0)),"")="",N(IFERROR(INDEX(单位档案!$D$6:$D$35,MATCH($E402,单位档案!$A$6:$A$35,0)),"")),IFERROR(INDEX(项目档案!$E$6:$E$255,MATCH($C402,项目档案!$A$6:$A$255,0)),"")),IF($N402="二级",IF(IFERROR(INDEX(项目档案!$G$6:$G$255,MATCH($C402,项目档案!$A$6:$A$255,0)),"")="",N(IFERROR(INDEX(单位档案!$D$6:$D$35,MATCH($E402,单位档案!$A$6:$A$35,0)),"")),IFERROR(INDEX(项目档案!$G$6:$G$255,MATCH($C402,项目档案!$A$6:$A$255,0)),"")),N(IFERROR(INDEX(单位档案!$D$6:$D$35,MATCH($E402,单位档案!$A$6:$A$35,0)),"")))))</f>
        <v/>
      </c>
      <c r="J402" s="22"/>
      <c r="K402" s="22"/>
      <c r="L402" s="33" t="str">
        <f aca="false">IF($B402="","",IF(NOT(ISNUMBER($B402)),"日期格式不对",IF($C402="","未选项目编号",IF(LEFT($M402,1)="⚠","项目编号不存在",IF($D402="","未选业务类型",IF($E402="","未选开票/付款方",IF(ISNA(MATCH($E402,单位档案!$A$6:$A$35,0)),"开票方不在单位档案",IF($F402="","未选收票/收款方",IF(ISNA(MATCH($F402,单位档案!$A$6:$A$35,0)),"收款方不在单位档案",IF(NOT(ISNUMBER($H402)),"金额须为数字",IF(AND($D402="销项开票",$N402="—"),"链条待确认","√")))))))))))</f>
        <v/>
      </c>
      <c r="M402" s="34" t="str">
        <f aca="false">IF($C402="","",IFERROR(INDEX(项目档案!$B$6:$B$255,MATCH($C402,项目档案!$A$6:$A$255,0)),"⚠项目编号不存在"))</f>
        <v/>
      </c>
      <c r="N402" s="35" t="str">
        <f aca="false">IF($E402="","",IF($E402=IFERROR(INDEX(项目档案!$D$6:$D$255,MATCH($C402,项目档案!$A$6:$A$255,0)),""),"一级",IF($E402=IFERROR(INDEX(项目档案!$F$6:$F$255,MATCH($C402,项目档案!$A$6:$A$255,0)),""),"二级",IF($E402=IFERROR(INDEX(项目档案!$H$6:$H$255,MATCH($C402,项目档案!$A$6:$A$255,0)),""),"我方","—"))))</f>
        <v/>
      </c>
      <c r="O402" s="36" t="n">
        <f aca="false">IF($D402&lt;&gt;"销项开票",0,ROUND(N($H402)*N($I402),2))</f>
        <v>0</v>
      </c>
      <c r="P402" s="36" t="n">
        <f aca="false">IF($D402&lt;&gt;"销项开票",0,ROUND(N($H402)-$O402,2))</f>
        <v>0</v>
      </c>
      <c r="Q402" s="37" t="str">
        <f aca="false">IF($E402="","",N(IFERROR(INDEX(单位档案!$E$6:$E$35,MATCH($E402,单位档案!$A$6:$A$35,0)),"")))</f>
        <v/>
      </c>
      <c r="R402" s="37" t="str">
        <f aca="false">IF($E402="","",N(IFERROR(INDEX(单位档案!$F$6:$F$35,MATCH($E402,单位档案!$A$6:$A$35,0)),"")))</f>
        <v/>
      </c>
      <c r="S402" s="36" t="n">
        <f aca="false">IF(OR($D402&lt;&gt;"销项开票",IFERROR(INDEX(单位档案!$G$6:$G$35,MATCH($E402,单位档案!$A$6:$A$35,0)),"")&lt;&gt;"是",N($Q402)=0),0,IF(IFERROR(INDEX(单位档案!$H$6:$H$35,MATCH($E402,单位档案!$A$6:$A$35,0)),"")="税差法",ROUND(N($H402)/(1+$Q402)*$Q402-IF(N($R402)=0,0,$P402/(1+$R402)*$R402),2),ROUND(N($H402)/(1+$Q402)*$Q402,2)))</f>
        <v>0</v>
      </c>
      <c r="T402" s="36" t="n">
        <f aca="false">ROUND($S402*N(IFERROR(INDEX(单位档案!$J$6:$J$35,MATCH($E402,单位档案!$A$6:$A$35,0)),"")),2)</f>
        <v>0</v>
      </c>
      <c r="U402" s="36" t="n">
        <f aca="false">IF($D402&lt;&gt;"销项开票",0,ROUND(N($H402)*N(IFERROR(INDEX(单位档案!$K$6:$K$35,MATCH($E402,单位档案!$A$6:$A$35,0)),"")),2))</f>
        <v>0</v>
      </c>
      <c r="V402" s="36" t="n">
        <f aca="false">IF(OR($D402&lt;&gt;"销项开票",N($Q402)=0),0,ROUND(N($H402)/(1+$Q402)*N(IFERROR(INDEX(单位档案!$L$6:$L$35,MATCH($E402,单位档案!$A$6:$A$35,0)),"")),2))</f>
        <v>0</v>
      </c>
      <c r="W402" s="36" t="n">
        <f aca="false">ROUND($S402+$T402+$U402+$V402,2)</f>
        <v>0</v>
      </c>
      <c r="X402" s="35" t="str">
        <f aca="false">IF(OR($D402="挂靠代收",$D402="我方收款"),COUNTIFS($D$5:$D402,"挂靠代收")+COUNTIFS($D$5:$D402,"我方收款"),"")</f>
        <v/>
      </c>
      <c r="Y402" s="35"/>
      <c r="Z402" s="21" t="s">
        <v>111</v>
      </c>
    </row>
    <row r="403" customFormat="false" ht="15.75" hidden="false" customHeight="true" outlineLevel="0" collapsed="false">
      <c r="A403" s="32" t="str">
        <f aca="false">IF($B403="","",ROW()-4)</f>
        <v/>
      </c>
      <c r="B403" s="26"/>
      <c r="C403" s="24"/>
      <c r="D403" s="21"/>
      <c r="E403" s="21"/>
      <c r="F403" s="21"/>
      <c r="G403" s="21"/>
      <c r="H403" s="27"/>
      <c r="I403" s="23" t="str">
        <f aca="false">IF($D403&lt;&gt;"销项开票","",IF($N403="一级",IF(IFERROR(INDEX(项目档案!$E$6:$E$255,MATCH($C403,项目档案!$A$6:$A$255,0)),"")="",N(IFERROR(INDEX(单位档案!$D$6:$D$35,MATCH($E403,单位档案!$A$6:$A$35,0)),"")),IFERROR(INDEX(项目档案!$E$6:$E$255,MATCH($C403,项目档案!$A$6:$A$255,0)),"")),IF($N403="二级",IF(IFERROR(INDEX(项目档案!$G$6:$G$255,MATCH($C403,项目档案!$A$6:$A$255,0)),"")="",N(IFERROR(INDEX(单位档案!$D$6:$D$35,MATCH($E403,单位档案!$A$6:$A$35,0)),"")),IFERROR(INDEX(项目档案!$G$6:$G$255,MATCH($C403,项目档案!$A$6:$A$255,0)),"")),N(IFERROR(INDEX(单位档案!$D$6:$D$35,MATCH($E403,单位档案!$A$6:$A$35,0)),"")))))</f>
        <v/>
      </c>
      <c r="J403" s="22"/>
      <c r="K403" s="22"/>
      <c r="L403" s="33" t="str">
        <f aca="false">IF($B403="","",IF(NOT(ISNUMBER($B403)),"日期格式不对",IF($C403="","未选项目编号",IF(LEFT($M403,1)="⚠","项目编号不存在",IF($D403="","未选业务类型",IF($E403="","未选开票/付款方",IF(ISNA(MATCH($E403,单位档案!$A$6:$A$35,0)),"开票方不在单位档案",IF($F403="","未选收票/收款方",IF(ISNA(MATCH($F403,单位档案!$A$6:$A$35,0)),"收款方不在单位档案",IF(NOT(ISNUMBER($H403)),"金额须为数字",IF(AND($D403="销项开票",$N403="—"),"链条待确认","√")))))))))))</f>
        <v/>
      </c>
      <c r="M403" s="34" t="str">
        <f aca="false">IF($C403="","",IFERROR(INDEX(项目档案!$B$6:$B$255,MATCH($C403,项目档案!$A$6:$A$255,0)),"⚠项目编号不存在"))</f>
        <v/>
      </c>
      <c r="N403" s="35" t="str">
        <f aca="false">IF($E403="","",IF($E403=IFERROR(INDEX(项目档案!$D$6:$D$255,MATCH($C403,项目档案!$A$6:$A$255,0)),""),"一级",IF($E403=IFERROR(INDEX(项目档案!$F$6:$F$255,MATCH($C403,项目档案!$A$6:$A$255,0)),""),"二级",IF($E403=IFERROR(INDEX(项目档案!$H$6:$H$255,MATCH($C403,项目档案!$A$6:$A$255,0)),""),"我方","—"))))</f>
        <v/>
      </c>
      <c r="O403" s="36" t="n">
        <f aca="false">IF($D403&lt;&gt;"销项开票",0,ROUND(N($H403)*N($I403),2))</f>
        <v>0</v>
      </c>
      <c r="P403" s="36" t="n">
        <f aca="false">IF($D403&lt;&gt;"销项开票",0,ROUND(N($H403)-$O403,2))</f>
        <v>0</v>
      </c>
      <c r="Q403" s="37" t="str">
        <f aca="false">IF($E403="","",N(IFERROR(INDEX(单位档案!$E$6:$E$35,MATCH($E403,单位档案!$A$6:$A$35,0)),"")))</f>
        <v/>
      </c>
      <c r="R403" s="37" t="str">
        <f aca="false">IF($E403="","",N(IFERROR(INDEX(单位档案!$F$6:$F$35,MATCH($E403,单位档案!$A$6:$A$35,0)),"")))</f>
        <v/>
      </c>
      <c r="S403" s="36" t="n">
        <f aca="false">IF(OR($D403&lt;&gt;"销项开票",IFERROR(INDEX(单位档案!$G$6:$G$35,MATCH($E403,单位档案!$A$6:$A$35,0)),"")&lt;&gt;"是",N($Q403)=0),0,IF(IFERROR(INDEX(单位档案!$H$6:$H$35,MATCH($E403,单位档案!$A$6:$A$35,0)),"")="税差法",ROUND(N($H403)/(1+$Q403)*$Q403-IF(N($R403)=0,0,$P403/(1+$R403)*$R403),2),ROUND(N($H403)/(1+$Q403)*$Q403,2)))</f>
        <v>0</v>
      </c>
      <c r="T403" s="36" t="n">
        <f aca="false">ROUND($S403*N(IFERROR(INDEX(单位档案!$J$6:$J$35,MATCH($E403,单位档案!$A$6:$A$35,0)),"")),2)</f>
        <v>0</v>
      </c>
      <c r="U403" s="36" t="n">
        <f aca="false">IF($D403&lt;&gt;"销项开票",0,ROUND(N($H403)*N(IFERROR(INDEX(单位档案!$K$6:$K$35,MATCH($E403,单位档案!$A$6:$A$35,0)),"")),2))</f>
        <v>0</v>
      </c>
      <c r="V403" s="36" t="n">
        <f aca="false">IF(OR($D403&lt;&gt;"销项开票",N($Q403)=0),0,ROUND(N($H403)/(1+$Q403)*N(IFERROR(INDEX(单位档案!$L$6:$L$35,MATCH($E403,单位档案!$A$6:$A$35,0)),"")),2))</f>
        <v>0</v>
      </c>
      <c r="W403" s="36" t="n">
        <f aca="false">ROUND($S403+$T403+$U403+$V403,2)</f>
        <v>0</v>
      </c>
      <c r="X403" s="35" t="str">
        <f aca="false">IF(OR($D403="挂靠代收",$D403="我方收款"),COUNTIFS($D$5:$D403,"挂靠代收")+COUNTIFS($D$5:$D403,"我方收款"),"")</f>
        <v/>
      </c>
      <c r="Y403" s="35"/>
      <c r="Z403" s="21" t="s">
        <v>111</v>
      </c>
    </row>
    <row r="404" customFormat="false" ht="15.75" hidden="false" customHeight="true" outlineLevel="0" collapsed="false">
      <c r="A404" s="32" t="str">
        <f aca="false">IF($B404="","",ROW()-4)</f>
        <v/>
      </c>
      <c r="B404" s="26"/>
      <c r="C404" s="24"/>
      <c r="D404" s="21"/>
      <c r="E404" s="21"/>
      <c r="F404" s="21"/>
      <c r="G404" s="21"/>
      <c r="H404" s="27"/>
      <c r="I404" s="23" t="str">
        <f aca="false">IF($D404&lt;&gt;"销项开票","",IF($N404="一级",IF(IFERROR(INDEX(项目档案!$E$6:$E$255,MATCH($C404,项目档案!$A$6:$A$255,0)),"")="",N(IFERROR(INDEX(单位档案!$D$6:$D$35,MATCH($E404,单位档案!$A$6:$A$35,0)),"")),IFERROR(INDEX(项目档案!$E$6:$E$255,MATCH($C404,项目档案!$A$6:$A$255,0)),"")),IF($N404="二级",IF(IFERROR(INDEX(项目档案!$G$6:$G$255,MATCH($C404,项目档案!$A$6:$A$255,0)),"")="",N(IFERROR(INDEX(单位档案!$D$6:$D$35,MATCH($E404,单位档案!$A$6:$A$35,0)),"")),IFERROR(INDEX(项目档案!$G$6:$G$255,MATCH($C404,项目档案!$A$6:$A$255,0)),"")),N(IFERROR(INDEX(单位档案!$D$6:$D$35,MATCH($E404,单位档案!$A$6:$A$35,0)),"")))))</f>
        <v/>
      </c>
      <c r="J404" s="22"/>
      <c r="K404" s="22"/>
      <c r="L404" s="33" t="str">
        <f aca="false">IF($B404="","",IF(NOT(ISNUMBER($B404)),"日期格式不对",IF($C404="","未选项目编号",IF(LEFT($M404,1)="⚠","项目编号不存在",IF($D404="","未选业务类型",IF($E404="","未选开票/付款方",IF(ISNA(MATCH($E404,单位档案!$A$6:$A$35,0)),"开票方不在单位档案",IF($F404="","未选收票/收款方",IF(ISNA(MATCH($F404,单位档案!$A$6:$A$35,0)),"收款方不在单位档案",IF(NOT(ISNUMBER($H404)),"金额须为数字",IF(AND($D404="销项开票",$N404="—"),"链条待确认","√")))))))))))</f>
        <v/>
      </c>
      <c r="M404" s="34" t="str">
        <f aca="false">IF($C404="","",IFERROR(INDEX(项目档案!$B$6:$B$255,MATCH($C404,项目档案!$A$6:$A$255,0)),"⚠项目编号不存在"))</f>
        <v/>
      </c>
      <c r="N404" s="35" t="str">
        <f aca="false">IF($E404="","",IF($E404=IFERROR(INDEX(项目档案!$D$6:$D$255,MATCH($C404,项目档案!$A$6:$A$255,0)),""),"一级",IF($E404=IFERROR(INDEX(项目档案!$F$6:$F$255,MATCH($C404,项目档案!$A$6:$A$255,0)),""),"二级",IF($E404=IFERROR(INDEX(项目档案!$H$6:$H$255,MATCH($C404,项目档案!$A$6:$A$255,0)),""),"我方","—"))))</f>
        <v/>
      </c>
      <c r="O404" s="36" t="n">
        <f aca="false">IF($D404&lt;&gt;"销项开票",0,ROUND(N($H404)*N($I404),2))</f>
        <v>0</v>
      </c>
      <c r="P404" s="36" t="n">
        <f aca="false">IF($D404&lt;&gt;"销项开票",0,ROUND(N($H404)-$O404,2))</f>
        <v>0</v>
      </c>
      <c r="Q404" s="37" t="str">
        <f aca="false">IF($E404="","",N(IFERROR(INDEX(单位档案!$E$6:$E$35,MATCH($E404,单位档案!$A$6:$A$35,0)),"")))</f>
        <v/>
      </c>
      <c r="R404" s="37" t="str">
        <f aca="false">IF($E404="","",N(IFERROR(INDEX(单位档案!$F$6:$F$35,MATCH($E404,单位档案!$A$6:$A$35,0)),"")))</f>
        <v/>
      </c>
      <c r="S404" s="36" t="n">
        <f aca="false">IF(OR($D404&lt;&gt;"销项开票",IFERROR(INDEX(单位档案!$G$6:$G$35,MATCH($E404,单位档案!$A$6:$A$35,0)),"")&lt;&gt;"是",N($Q404)=0),0,IF(IFERROR(INDEX(单位档案!$H$6:$H$35,MATCH($E404,单位档案!$A$6:$A$35,0)),"")="税差法",ROUND(N($H404)/(1+$Q404)*$Q404-IF(N($R404)=0,0,$P404/(1+$R404)*$R404),2),ROUND(N($H404)/(1+$Q404)*$Q404,2)))</f>
        <v>0</v>
      </c>
      <c r="T404" s="36" t="n">
        <f aca="false">ROUND($S404*N(IFERROR(INDEX(单位档案!$J$6:$J$35,MATCH($E404,单位档案!$A$6:$A$35,0)),"")),2)</f>
        <v>0</v>
      </c>
      <c r="U404" s="36" t="n">
        <f aca="false">IF($D404&lt;&gt;"销项开票",0,ROUND(N($H404)*N(IFERROR(INDEX(单位档案!$K$6:$K$35,MATCH($E404,单位档案!$A$6:$A$35,0)),"")),2))</f>
        <v>0</v>
      </c>
      <c r="V404" s="36" t="n">
        <f aca="false">IF(OR($D404&lt;&gt;"销项开票",N($Q404)=0),0,ROUND(N($H404)/(1+$Q404)*N(IFERROR(INDEX(单位档案!$L$6:$L$35,MATCH($E404,单位档案!$A$6:$A$35,0)),"")),2))</f>
        <v>0</v>
      </c>
      <c r="W404" s="36" t="n">
        <f aca="false">ROUND($S404+$T404+$U404+$V404,2)</f>
        <v>0</v>
      </c>
      <c r="X404" s="35" t="str">
        <f aca="false">IF(OR($D404="挂靠代收",$D404="我方收款"),COUNTIFS($D$5:$D404,"挂靠代收")+COUNTIFS($D$5:$D404,"我方收款"),"")</f>
        <v/>
      </c>
      <c r="Y404" s="35"/>
      <c r="Z404" s="21" t="s">
        <v>111</v>
      </c>
    </row>
    <row r="405" customFormat="false" ht="15.75" hidden="false" customHeight="true" outlineLevel="0" collapsed="false">
      <c r="A405" s="32" t="str">
        <f aca="false">IF($B405="","",ROW()-4)</f>
        <v/>
      </c>
      <c r="B405" s="26"/>
      <c r="C405" s="24"/>
      <c r="D405" s="21"/>
      <c r="E405" s="21"/>
      <c r="F405" s="21"/>
      <c r="G405" s="21"/>
      <c r="H405" s="27"/>
      <c r="I405" s="23" t="str">
        <f aca="false">IF($D405&lt;&gt;"销项开票","",IF($N405="一级",IF(IFERROR(INDEX(项目档案!$E$6:$E$255,MATCH($C405,项目档案!$A$6:$A$255,0)),"")="",N(IFERROR(INDEX(单位档案!$D$6:$D$35,MATCH($E405,单位档案!$A$6:$A$35,0)),"")),IFERROR(INDEX(项目档案!$E$6:$E$255,MATCH($C405,项目档案!$A$6:$A$255,0)),"")),IF($N405="二级",IF(IFERROR(INDEX(项目档案!$G$6:$G$255,MATCH($C405,项目档案!$A$6:$A$255,0)),"")="",N(IFERROR(INDEX(单位档案!$D$6:$D$35,MATCH($E405,单位档案!$A$6:$A$35,0)),"")),IFERROR(INDEX(项目档案!$G$6:$G$255,MATCH($C405,项目档案!$A$6:$A$255,0)),"")),N(IFERROR(INDEX(单位档案!$D$6:$D$35,MATCH($E405,单位档案!$A$6:$A$35,0)),"")))))</f>
        <v/>
      </c>
      <c r="J405" s="22"/>
      <c r="K405" s="22"/>
      <c r="L405" s="33" t="str">
        <f aca="false">IF($B405="","",IF(NOT(ISNUMBER($B405)),"日期格式不对",IF($C405="","未选项目编号",IF(LEFT($M405,1)="⚠","项目编号不存在",IF($D405="","未选业务类型",IF($E405="","未选开票/付款方",IF(ISNA(MATCH($E405,单位档案!$A$6:$A$35,0)),"开票方不在单位档案",IF($F405="","未选收票/收款方",IF(ISNA(MATCH($F405,单位档案!$A$6:$A$35,0)),"收款方不在单位档案",IF(NOT(ISNUMBER($H405)),"金额须为数字",IF(AND($D405="销项开票",$N405="—"),"链条待确认","√")))))))))))</f>
        <v/>
      </c>
      <c r="M405" s="34" t="str">
        <f aca="false">IF($C405="","",IFERROR(INDEX(项目档案!$B$6:$B$255,MATCH($C405,项目档案!$A$6:$A$255,0)),"⚠项目编号不存在"))</f>
        <v/>
      </c>
      <c r="N405" s="35" t="str">
        <f aca="false">IF($E405="","",IF($E405=IFERROR(INDEX(项目档案!$D$6:$D$255,MATCH($C405,项目档案!$A$6:$A$255,0)),""),"一级",IF($E405=IFERROR(INDEX(项目档案!$F$6:$F$255,MATCH($C405,项目档案!$A$6:$A$255,0)),""),"二级",IF($E405=IFERROR(INDEX(项目档案!$H$6:$H$255,MATCH($C405,项目档案!$A$6:$A$255,0)),""),"我方","—"))))</f>
        <v/>
      </c>
      <c r="O405" s="36" t="n">
        <f aca="false">IF($D405&lt;&gt;"销项开票",0,ROUND(N($H405)*N($I405),2))</f>
        <v>0</v>
      </c>
      <c r="P405" s="36" t="n">
        <f aca="false">IF($D405&lt;&gt;"销项开票",0,ROUND(N($H405)-$O405,2))</f>
        <v>0</v>
      </c>
      <c r="Q405" s="37" t="str">
        <f aca="false">IF($E405="","",N(IFERROR(INDEX(单位档案!$E$6:$E$35,MATCH($E405,单位档案!$A$6:$A$35,0)),"")))</f>
        <v/>
      </c>
      <c r="R405" s="37" t="str">
        <f aca="false">IF($E405="","",N(IFERROR(INDEX(单位档案!$F$6:$F$35,MATCH($E405,单位档案!$A$6:$A$35,0)),"")))</f>
        <v/>
      </c>
      <c r="S405" s="36" t="n">
        <f aca="false">IF(OR($D405&lt;&gt;"销项开票",IFERROR(INDEX(单位档案!$G$6:$G$35,MATCH($E405,单位档案!$A$6:$A$35,0)),"")&lt;&gt;"是",N($Q405)=0),0,IF(IFERROR(INDEX(单位档案!$H$6:$H$35,MATCH($E405,单位档案!$A$6:$A$35,0)),"")="税差法",ROUND(N($H405)/(1+$Q405)*$Q405-IF(N($R405)=0,0,$P405/(1+$R405)*$R405),2),ROUND(N($H405)/(1+$Q405)*$Q405,2)))</f>
        <v>0</v>
      </c>
      <c r="T405" s="36" t="n">
        <f aca="false">ROUND($S405*N(IFERROR(INDEX(单位档案!$J$6:$J$35,MATCH($E405,单位档案!$A$6:$A$35,0)),"")),2)</f>
        <v>0</v>
      </c>
      <c r="U405" s="36" t="n">
        <f aca="false">IF($D405&lt;&gt;"销项开票",0,ROUND(N($H405)*N(IFERROR(INDEX(单位档案!$K$6:$K$35,MATCH($E405,单位档案!$A$6:$A$35,0)),"")),2))</f>
        <v>0</v>
      </c>
      <c r="V405" s="36" t="n">
        <f aca="false">IF(OR($D405&lt;&gt;"销项开票",N($Q405)=0),0,ROUND(N($H405)/(1+$Q405)*N(IFERROR(INDEX(单位档案!$L$6:$L$35,MATCH($E405,单位档案!$A$6:$A$35,0)),"")),2))</f>
        <v>0</v>
      </c>
      <c r="W405" s="36" t="n">
        <f aca="false">ROUND($S405+$T405+$U405+$V405,2)</f>
        <v>0</v>
      </c>
      <c r="X405" s="35" t="str">
        <f aca="false">IF(OR($D405="挂靠代收",$D405="我方收款"),COUNTIFS($D$5:$D405,"挂靠代收")+COUNTIFS($D$5:$D405,"我方收款"),"")</f>
        <v/>
      </c>
      <c r="Y405" s="35"/>
      <c r="Z405" s="21" t="s">
        <v>111</v>
      </c>
    </row>
    <row r="406" customFormat="false" ht="15.75" hidden="false" customHeight="true" outlineLevel="0" collapsed="false">
      <c r="A406" s="32" t="str">
        <f aca="false">IF($B406="","",ROW()-4)</f>
        <v/>
      </c>
      <c r="B406" s="26"/>
      <c r="C406" s="24"/>
      <c r="D406" s="21"/>
      <c r="E406" s="21"/>
      <c r="F406" s="21"/>
      <c r="G406" s="21"/>
      <c r="H406" s="27"/>
      <c r="I406" s="23" t="str">
        <f aca="false">IF($D406&lt;&gt;"销项开票","",IF($N406="一级",IF(IFERROR(INDEX(项目档案!$E$6:$E$255,MATCH($C406,项目档案!$A$6:$A$255,0)),"")="",N(IFERROR(INDEX(单位档案!$D$6:$D$35,MATCH($E406,单位档案!$A$6:$A$35,0)),"")),IFERROR(INDEX(项目档案!$E$6:$E$255,MATCH($C406,项目档案!$A$6:$A$255,0)),"")),IF($N406="二级",IF(IFERROR(INDEX(项目档案!$G$6:$G$255,MATCH($C406,项目档案!$A$6:$A$255,0)),"")="",N(IFERROR(INDEX(单位档案!$D$6:$D$35,MATCH($E406,单位档案!$A$6:$A$35,0)),"")),IFERROR(INDEX(项目档案!$G$6:$G$255,MATCH($C406,项目档案!$A$6:$A$255,0)),"")),N(IFERROR(INDEX(单位档案!$D$6:$D$35,MATCH($E406,单位档案!$A$6:$A$35,0)),"")))))</f>
        <v/>
      </c>
      <c r="J406" s="22"/>
      <c r="K406" s="22"/>
      <c r="L406" s="33" t="str">
        <f aca="false">IF($B406="","",IF(NOT(ISNUMBER($B406)),"日期格式不对",IF($C406="","未选项目编号",IF(LEFT($M406,1)="⚠","项目编号不存在",IF($D406="","未选业务类型",IF($E406="","未选开票/付款方",IF(ISNA(MATCH($E406,单位档案!$A$6:$A$35,0)),"开票方不在单位档案",IF($F406="","未选收票/收款方",IF(ISNA(MATCH($F406,单位档案!$A$6:$A$35,0)),"收款方不在单位档案",IF(NOT(ISNUMBER($H406)),"金额须为数字",IF(AND($D406="销项开票",$N406="—"),"链条待确认","√")))))))))))</f>
        <v/>
      </c>
      <c r="M406" s="34" t="str">
        <f aca="false">IF($C406="","",IFERROR(INDEX(项目档案!$B$6:$B$255,MATCH($C406,项目档案!$A$6:$A$255,0)),"⚠项目编号不存在"))</f>
        <v/>
      </c>
      <c r="N406" s="35" t="str">
        <f aca="false">IF($E406="","",IF($E406=IFERROR(INDEX(项目档案!$D$6:$D$255,MATCH($C406,项目档案!$A$6:$A$255,0)),""),"一级",IF($E406=IFERROR(INDEX(项目档案!$F$6:$F$255,MATCH($C406,项目档案!$A$6:$A$255,0)),""),"二级",IF($E406=IFERROR(INDEX(项目档案!$H$6:$H$255,MATCH($C406,项目档案!$A$6:$A$255,0)),""),"我方","—"))))</f>
        <v/>
      </c>
      <c r="O406" s="36" t="n">
        <f aca="false">IF($D406&lt;&gt;"销项开票",0,ROUND(N($H406)*N($I406),2))</f>
        <v>0</v>
      </c>
      <c r="P406" s="36" t="n">
        <f aca="false">IF($D406&lt;&gt;"销项开票",0,ROUND(N($H406)-$O406,2))</f>
        <v>0</v>
      </c>
      <c r="Q406" s="37" t="str">
        <f aca="false">IF($E406="","",N(IFERROR(INDEX(单位档案!$E$6:$E$35,MATCH($E406,单位档案!$A$6:$A$35,0)),"")))</f>
        <v/>
      </c>
      <c r="R406" s="37" t="str">
        <f aca="false">IF($E406="","",N(IFERROR(INDEX(单位档案!$F$6:$F$35,MATCH($E406,单位档案!$A$6:$A$35,0)),"")))</f>
        <v/>
      </c>
      <c r="S406" s="36" t="n">
        <f aca="false">IF(OR($D406&lt;&gt;"销项开票",IFERROR(INDEX(单位档案!$G$6:$G$35,MATCH($E406,单位档案!$A$6:$A$35,0)),"")&lt;&gt;"是",N($Q406)=0),0,IF(IFERROR(INDEX(单位档案!$H$6:$H$35,MATCH($E406,单位档案!$A$6:$A$35,0)),"")="税差法",ROUND(N($H406)/(1+$Q406)*$Q406-IF(N($R406)=0,0,$P406/(1+$R406)*$R406),2),ROUND(N($H406)/(1+$Q406)*$Q406,2)))</f>
        <v>0</v>
      </c>
      <c r="T406" s="36" t="n">
        <f aca="false">ROUND($S406*N(IFERROR(INDEX(单位档案!$J$6:$J$35,MATCH($E406,单位档案!$A$6:$A$35,0)),"")),2)</f>
        <v>0</v>
      </c>
      <c r="U406" s="36" t="n">
        <f aca="false">IF($D406&lt;&gt;"销项开票",0,ROUND(N($H406)*N(IFERROR(INDEX(单位档案!$K$6:$K$35,MATCH($E406,单位档案!$A$6:$A$35,0)),"")),2))</f>
        <v>0</v>
      </c>
      <c r="V406" s="36" t="n">
        <f aca="false">IF(OR($D406&lt;&gt;"销项开票",N($Q406)=0),0,ROUND(N($H406)/(1+$Q406)*N(IFERROR(INDEX(单位档案!$L$6:$L$35,MATCH($E406,单位档案!$A$6:$A$35,0)),"")),2))</f>
        <v>0</v>
      </c>
      <c r="W406" s="36" t="n">
        <f aca="false">ROUND($S406+$T406+$U406+$V406,2)</f>
        <v>0</v>
      </c>
      <c r="X406" s="35" t="str">
        <f aca="false">IF(OR($D406="挂靠代收",$D406="我方收款"),COUNTIFS($D$5:$D406,"挂靠代收")+COUNTIFS($D$5:$D406,"我方收款"),"")</f>
        <v/>
      </c>
      <c r="Y406" s="35"/>
      <c r="Z406" s="21" t="s">
        <v>111</v>
      </c>
    </row>
    <row r="407" customFormat="false" ht="15.75" hidden="false" customHeight="true" outlineLevel="0" collapsed="false">
      <c r="A407" s="32" t="str">
        <f aca="false">IF($B407="","",ROW()-4)</f>
        <v/>
      </c>
      <c r="B407" s="26"/>
      <c r="C407" s="24"/>
      <c r="D407" s="21"/>
      <c r="E407" s="21"/>
      <c r="F407" s="21"/>
      <c r="G407" s="21"/>
      <c r="H407" s="27"/>
      <c r="I407" s="23" t="str">
        <f aca="false">IF($D407&lt;&gt;"销项开票","",IF($N407="一级",IF(IFERROR(INDEX(项目档案!$E$6:$E$255,MATCH($C407,项目档案!$A$6:$A$255,0)),"")="",N(IFERROR(INDEX(单位档案!$D$6:$D$35,MATCH($E407,单位档案!$A$6:$A$35,0)),"")),IFERROR(INDEX(项目档案!$E$6:$E$255,MATCH($C407,项目档案!$A$6:$A$255,0)),"")),IF($N407="二级",IF(IFERROR(INDEX(项目档案!$G$6:$G$255,MATCH($C407,项目档案!$A$6:$A$255,0)),"")="",N(IFERROR(INDEX(单位档案!$D$6:$D$35,MATCH($E407,单位档案!$A$6:$A$35,0)),"")),IFERROR(INDEX(项目档案!$G$6:$G$255,MATCH($C407,项目档案!$A$6:$A$255,0)),"")),N(IFERROR(INDEX(单位档案!$D$6:$D$35,MATCH($E407,单位档案!$A$6:$A$35,0)),"")))))</f>
        <v/>
      </c>
      <c r="J407" s="22"/>
      <c r="K407" s="22"/>
      <c r="L407" s="33" t="str">
        <f aca="false">IF($B407="","",IF(NOT(ISNUMBER($B407)),"日期格式不对",IF($C407="","未选项目编号",IF(LEFT($M407,1)="⚠","项目编号不存在",IF($D407="","未选业务类型",IF($E407="","未选开票/付款方",IF(ISNA(MATCH($E407,单位档案!$A$6:$A$35,0)),"开票方不在单位档案",IF($F407="","未选收票/收款方",IF(ISNA(MATCH($F407,单位档案!$A$6:$A$35,0)),"收款方不在单位档案",IF(NOT(ISNUMBER($H407)),"金额须为数字",IF(AND($D407="销项开票",$N407="—"),"链条待确认","√")))))))))))</f>
        <v/>
      </c>
      <c r="M407" s="34" t="str">
        <f aca="false">IF($C407="","",IFERROR(INDEX(项目档案!$B$6:$B$255,MATCH($C407,项目档案!$A$6:$A$255,0)),"⚠项目编号不存在"))</f>
        <v/>
      </c>
      <c r="N407" s="35" t="str">
        <f aca="false">IF($E407="","",IF($E407=IFERROR(INDEX(项目档案!$D$6:$D$255,MATCH($C407,项目档案!$A$6:$A$255,0)),""),"一级",IF($E407=IFERROR(INDEX(项目档案!$F$6:$F$255,MATCH($C407,项目档案!$A$6:$A$255,0)),""),"二级",IF($E407=IFERROR(INDEX(项目档案!$H$6:$H$255,MATCH($C407,项目档案!$A$6:$A$255,0)),""),"我方","—"))))</f>
        <v/>
      </c>
      <c r="O407" s="36" t="n">
        <f aca="false">IF($D407&lt;&gt;"销项开票",0,ROUND(N($H407)*N($I407),2))</f>
        <v>0</v>
      </c>
      <c r="P407" s="36" t="n">
        <f aca="false">IF($D407&lt;&gt;"销项开票",0,ROUND(N($H407)-$O407,2))</f>
        <v>0</v>
      </c>
      <c r="Q407" s="37" t="str">
        <f aca="false">IF($E407="","",N(IFERROR(INDEX(单位档案!$E$6:$E$35,MATCH($E407,单位档案!$A$6:$A$35,0)),"")))</f>
        <v/>
      </c>
      <c r="R407" s="37" t="str">
        <f aca="false">IF($E407="","",N(IFERROR(INDEX(单位档案!$F$6:$F$35,MATCH($E407,单位档案!$A$6:$A$35,0)),"")))</f>
        <v/>
      </c>
      <c r="S407" s="36" t="n">
        <f aca="false">IF(OR($D407&lt;&gt;"销项开票",IFERROR(INDEX(单位档案!$G$6:$G$35,MATCH($E407,单位档案!$A$6:$A$35,0)),"")&lt;&gt;"是",N($Q407)=0),0,IF(IFERROR(INDEX(单位档案!$H$6:$H$35,MATCH($E407,单位档案!$A$6:$A$35,0)),"")="税差法",ROUND(N($H407)/(1+$Q407)*$Q407-IF(N($R407)=0,0,$P407/(1+$R407)*$R407),2),ROUND(N($H407)/(1+$Q407)*$Q407,2)))</f>
        <v>0</v>
      </c>
      <c r="T407" s="36" t="n">
        <f aca="false">ROUND($S407*N(IFERROR(INDEX(单位档案!$J$6:$J$35,MATCH($E407,单位档案!$A$6:$A$35,0)),"")),2)</f>
        <v>0</v>
      </c>
      <c r="U407" s="36" t="n">
        <f aca="false">IF($D407&lt;&gt;"销项开票",0,ROUND(N($H407)*N(IFERROR(INDEX(单位档案!$K$6:$K$35,MATCH($E407,单位档案!$A$6:$A$35,0)),"")),2))</f>
        <v>0</v>
      </c>
      <c r="V407" s="36" t="n">
        <f aca="false">IF(OR($D407&lt;&gt;"销项开票",N($Q407)=0),0,ROUND(N($H407)/(1+$Q407)*N(IFERROR(INDEX(单位档案!$L$6:$L$35,MATCH($E407,单位档案!$A$6:$A$35,0)),"")),2))</f>
        <v>0</v>
      </c>
      <c r="W407" s="36" t="n">
        <f aca="false">ROUND($S407+$T407+$U407+$V407,2)</f>
        <v>0</v>
      </c>
      <c r="X407" s="35" t="str">
        <f aca="false">IF(OR($D407="挂靠代收",$D407="我方收款"),COUNTIFS($D$5:$D407,"挂靠代收")+COUNTIFS($D$5:$D407,"我方收款"),"")</f>
        <v/>
      </c>
      <c r="Y407" s="35"/>
      <c r="Z407" s="21" t="s">
        <v>111</v>
      </c>
    </row>
    <row r="408" customFormat="false" ht="15.75" hidden="false" customHeight="true" outlineLevel="0" collapsed="false">
      <c r="A408" s="32" t="str">
        <f aca="false">IF($B408="","",ROW()-4)</f>
        <v/>
      </c>
      <c r="B408" s="26"/>
      <c r="C408" s="24"/>
      <c r="D408" s="21"/>
      <c r="E408" s="21"/>
      <c r="F408" s="21"/>
      <c r="G408" s="21"/>
      <c r="H408" s="27"/>
      <c r="I408" s="23" t="str">
        <f aca="false">IF($D408&lt;&gt;"销项开票","",IF($N408="一级",IF(IFERROR(INDEX(项目档案!$E$6:$E$255,MATCH($C408,项目档案!$A$6:$A$255,0)),"")="",N(IFERROR(INDEX(单位档案!$D$6:$D$35,MATCH($E408,单位档案!$A$6:$A$35,0)),"")),IFERROR(INDEX(项目档案!$E$6:$E$255,MATCH($C408,项目档案!$A$6:$A$255,0)),"")),IF($N408="二级",IF(IFERROR(INDEX(项目档案!$G$6:$G$255,MATCH($C408,项目档案!$A$6:$A$255,0)),"")="",N(IFERROR(INDEX(单位档案!$D$6:$D$35,MATCH($E408,单位档案!$A$6:$A$35,0)),"")),IFERROR(INDEX(项目档案!$G$6:$G$255,MATCH($C408,项目档案!$A$6:$A$255,0)),"")),N(IFERROR(INDEX(单位档案!$D$6:$D$35,MATCH($E408,单位档案!$A$6:$A$35,0)),"")))))</f>
        <v/>
      </c>
      <c r="J408" s="22"/>
      <c r="K408" s="22"/>
      <c r="L408" s="33" t="str">
        <f aca="false">IF($B408="","",IF(NOT(ISNUMBER($B408)),"日期格式不对",IF($C408="","未选项目编号",IF(LEFT($M408,1)="⚠","项目编号不存在",IF($D408="","未选业务类型",IF($E408="","未选开票/付款方",IF(ISNA(MATCH($E408,单位档案!$A$6:$A$35,0)),"开票方不在单位档案",IF($F408="","未选收票/收款方",IF(ISNA(MATCH($F408,单位档案!$A$6:$A$35,0)),"收款方不在单位档案",IF(NOT(ISNUMBER($H408)),"金额须为数字",IF(AND($D408="销项开票",$N408="—"),"链条待确认","√")))))))))))</f>
        <v/>
      </c>
      <c r="M408" s="34" t="str">
        <f aca="false">IF($C408="","",IFERROR(INDEX(项目档案!$B$6:$B$255,MATCH($C408,项目档案!$A$6:$A$255,0)),"⚠项目编号不存在"))</f>
        <v/>
      </c>
      <c r="N408" s="35" t="str">
        <f aca="false">IF($E408="","",IF($E408=IFERROR(INDEX(项目档案!$D$6:$D$255,MATCH($C408,项目档案!$A$6:$A$255,0)),""),"一级",IF($E408=IFERROR(INDEX(项目档案!$F$6:$F$255,MATCH($C408,项目档案!$A$6:$A$255,0)),""),"二级",IF($E408=IFERROR(INDEX(项目档案!$H$6:$H$255,MATCH($C408,项目档案!$A$6:$A$255,0)),""),"我方","—"))))</f>
        <v/>
      </c>
      <c r="O408" s="36" t="n">
        <f aca="false">IF($D408&lt;&gt;"销项开票",0,ROUND(N($H408)*N($I408),2))</f>
        <v>0</v>
      </c>
      <c r="P408" s="36" t="n">
        <f aca="false">IF($D408&lt;&gt;"销项开票",0,ROUND(N($H408)-$O408,2))</f>
        <v>0</v>
      </c>
      <c r="Q408" s="37" t="str">
        <f aca="false">IF($E408="","",N(IFERROR(INDEX(单位档案!$E$6:$E$35,MATCH($E408,单位档案!$A$6:$A$35,0)),"")))</f>
        <v/>
      </c>
      <c r="R408" s="37" t="str">
        <f aca="false">IF($E408="","",N(IFERROR(INDEX(单位档案!$F$6:$F$35,MATCH($E408,单位档案!$A$6:$A$35,0)),"")))</f>
        <v/>
      </c>
      <c r="S408" s="36" t="n">
        <f aca="false">IF(OR($D408&lt;&gt;"销项开票",IFERROR(INDEX(单位档案!$G$6:$G$35,MATCH($E408,单位档案!$A$6:$A$35,0)),"")&lt;&gt;"是",N($Q408)=0),0,IF(IFERROR(INDEX(单位档案!$H$6:$H$35,MATCH($E408,单位档案!$A$6:$A$35,0)),"")="税差法",ROUND(N($H408)/(1+$Q408)*$Q408-IF(N($R408)=0,0,$P408/(1+$R408)*$R408),2),ROUND(N($H408)/(1+$Q408)*$Q408,2)))</f>
        <v>0</v>
      </c>
      <c r="T408" s="36" t="n">
        <f aca="false">ROUND($S408*N(IFERROR(INDEX(单位档案!$J$6:$J$35,MATCH($E408,单位档案!$A$6:$A$35,0)),"")),2)</f>
        <v>0</v>
      </c>
      <c r="U408" s="36" t="n">
        <f aca="false">IF($D408&lt;&gt;"销项开票",0,ROUND(N($H408)*N(IFERROR(INDEX(单位档案!$K$6:$K$35,MATCH($E408,单位档案!$A$6:$A$35,0)),"")),2))</f>
        <v>0</v>
      </c>
      <c r="V408" s="36" t="n">
        <f aca="false">IF(OR($D408&lt;&gt;"销项开票",N($Q408)=0),0,ROUND(N($H408)/(1+$Q408)*N(IFERROR(INDEX(单位档案!$L$6:$L$35,MATCH($E408,单位档案!$A$6:$A$35,0)),"")),2))</f>
        <v>0</v>
      </c>
      <c r="W408" s="36" t="n">
        <f aca="false">ROUND($S408+$T408+$U408+$V408,2)</f>
        <v>0</v>
      </c>
      <c r="X408" s="35" t="str">
        <f aca="false">IF(OR($D408="挂靠代收",$D408="我方收款"),COUNTIFS($D$5:$D408,"挂靠代收")+COUNTIFS($D$5:$D408,"我方收款"),"")</f>
        <v/>
      </c>
      <c r="Y408" s="35"/>
      <c r="Z408" s="21" t="s">
        <v>111</v>
      </c>
    </row>
    <row r="409" customFormat="false" ht="15.75" hidden="false" customHeight="true" outlineLevel="0" collapsed="false">
      <c r="A409" s="32" t="str">
        <f aca="false">IF($B409="","",ROW()-4)</f>
        <v/>
      </c>
      <c r="B409" s="26"/>
      <c r="C409" s="24"/>
      <c r="D409" s="21"/>
      <c r="E409" s="21"/>
      <c r="F409" s="21"/>
      <c r="G409" s="21"/>
      <c r="H409" s="27"/>
      <c r="I409" s="23" t="str">
        <f aca="false">IF($D409&lt;&gt;"销项开票","",IF($N409="一级",IF(IFERROR(INDEX(项目档案!$E$6:$E$255,MATCH($C409,项目档案!$A$6:$A$255,0)),"")="",N(IFERROR(INDEX(单位档案!$D$6:$D$35,MATCH($E409,单位档案!$A$6:$A$35,0)),"")),IFERROR(INDEX(项目档案!$E$6:$E$255,MATCH($C409,项目档案!$A$6:$A$255,0)),"")),IF($N409="二级",IF(IFERROR(INDEX(项目档案!$G$6:$G$255,MATCH($C409,项目档案!$A$6:$A$255,0)),"")="",N(IFERROR(INDEX(单位档案!$D$6:$D$35,MATCH($E409,单位档案!$A$6:$A$35,0)),"")),IFERROR(INDEX(项目档案!$G$6:$G$255,MATCH($C409,项目档案!$A$6:$A$255,0)),"")),N(IFERROR(INDEX(单位档案!$D$6:$D$35,MATCH($E409,单位档案!$A$6:$A$35,0)),"")))))</f>
        <v/>
      </c>
      <c r="J409" s="22"/>
      <c r="K409" s="22"/>
      <c r="L409" s="33" t="str">
        <f aca="false">IF($B409="","",IF(NOT(ISNUMBER($B409)),"日期格式不对",IF($C409="","未选项目编号",IF(LEFT($M409,1)="⚠","项目编号不存在",IF($D409="","未选业务类型",IF($E409="","未选开票/付款方",IF(ISNA(MATCH($E409,单位档案!$A$6:$A$35,0)),"开票方不在单位档案",IF($F409="","未选收票/收款方",IF(ISNA(MATCH($F409,单位档案!$A$6:$A$35,0)),"收款方不在单位档案",IF(NOT(ISNUMBER($H409)),"金额须为数字",IF(AND($D409="销项开票",$N409="—"),"链条待确认","√")))))))))))</f>
        <v/>
      </c>
      <c r="M409" s="34" t="str">
        <f aca="false">IF($C409="","",IFERROR(INDEX(项目档案!$B$6:$B$255,MATCH($C409,项目档案!$A$6:$A$255,0)),"⚠项目编号不存在"))</f>
        <v/>
      </c>
      <c r="N409" s="35" t="str">
        <f aca="false">IF($E409="","",IF($E409=IFERROR(INDEX(项目档案!$D$6:$D$255,MATCH($C409,项目档案!$A$6:$A$255,0)),""),"一级",IF($E409=IFERROR(INDEX(项目档案!$F$6:$F$255,MATCH($C409,项目档案!$A$6:$A$255,0)),""),"二级",IF($E409=IFERROR(INDEX(项目档案!$H$6:$H$255,MATCH($C409,项目档案!$A$6:$A$255,0)),""),"我方","—"))))</f>
        <v/>
      </c>
      <c r="O409" s="36" t="n">
        <f aca="false">IF($D409&lt;&gt;"销项开票",0,ROUND(N($H409)*N($I409),2))</f>
        <v>0</v>
      </c>
      <c r="P409" s="36" t="n">
        <f aca="false">IF($D409&lt;&gt;"销项开票",0,ROUND(N($H409)-$O409,2))</f>
        <v>0</v>
      </c>
      <c r="Q409" s="37" t="str">
        <f aca="false">IF($E409="","",N(IFERROR(INDEX(单位档案!$E$6:$E$35,MATCH($E409,单位档案!$A$6:$A$35,0)),"")))</f>
        <v/>
      </c>
      <c r="R409" s="37" t="str">
        <f aca="false">IF($E409="","",N(IFERROR(INDEX(单位档案!$F$6:$F$35,MATCH($E409,单位档案!$A$6:$A$35,0)),"")))</f>
        <v/>
      </c>
      <c r="S409" s="36" t="n">
        <f aca="false">IF(OR($D409&lt;&gt;"销项开票",IFERROR(INDEX(单位档案!$G$6:$G$35,MATCH($E409,单位档案!$A$6:$A$35,0)),"")&lt;&gt;"是",N($Q409)=0),0,IF(IFERROR(INDEX(单位档案!$H$6:$H$35,MATCH($E409,单位档案!$A$6:$A$35,0)),"")="税差法",ROUND(N($H409)/(1+$Q409)*$Q409-IF(N($R409)=0,0,$P409/(1+$R409)*$R409),2),ROUND(N($H409)/(1+$Q409)*$Q409,2)))</f>
        <v>0</v>
      </c>
      <c r="T409" s="36" t="n">
        <f aca="false">ROUND($S409*N(IFERROR(INDEX(单位档案!$J$6:$J$35,MATCH($E409,单位档案!$A$6:$A$35,0)),"")),2)</f>
        <v>0</v>
      </c>
      <c r="U409" s="36" t="n">
        <f aca="false">IF($D409&lt;&gt;"销项开票",0,ROUND(N($H409)*N(IFERROR(INDEX(单位档案!$K$6:$K$35,MATCH($E409,单位档案!$A$6:$A$35,0)),"")),2))</f>
        <v>0</v>
      </c>
      <c r="V409" s="36" t="n">
        <f aca="false">IF(OR($D409&lt;&gt;"销项开票",N($Q409)=0),0,ROUND(N($H409)/(1+$Q409)*N(IFERROR(INDEX(单位档案!$L$6:$L$35,MATCH($E409,单位档案!$A$6:$A$35,0)),"")),2))</f>
        <v>0</v>
      </c>
      <c r="W409" s="36" t="n">
        <f aca="false">ROUND($S409+$T409+$U409+$V409,2)</f>
        <v>0</v>
      </c>
      <c r="X409" s="35" t="str">
        <f aca="false">IF(OR($D409="挂靠代收",$D409="我方收款"),COUNTIFS($D$5:$D409,"挂靠代收")+COUNTIFS($D$5:$D409,"我方收款"),"")</f>
        <v/>
      </c>
      <c r="Y409" s="35"/>
      <c r="Z409" s="21" t="s">
        <v>111</v>
      </c>
    </row>
    <row r="410" customFormat="false" ht="15.75" hidden="false" customHeight="true" outlineLevel="0" collapsed="false">
      <c r="A410" s="32" t="str">
        <f aca="false">IF($B410="","",ROW()-4)</f>
        <v/>
      </c>
      <c r="B410" s="26"/>
      <c r="C410" s="24"/>
      <c r="D410" s="21"/>
      <c r="E410" s="21"/>
      <c r="F410" s="21"/>
      <c r="G410" s="21"/>
      <c r="H410" s="27"/>
      <c r="I410" s="23" t="str">
        <f aca="false">IF($D410&lt;&gt;"销项开票","",IF($N410="一级",IF(IFERROR(INDEX(项目档案!$E$6:$E$255,MATCH($C410,项目档案!$A$6:$A$255,0)),"")="",N(IFERROR(INDEX(单位档案!$D$6:$D$35,MATCH($E410,单位档案!$A$6:$A$35,0)),"")),IFERROR(INDEX(项目档案!$E$6:$E$255,MATCH($C410,项目档案!$A$6:$A$255,0)),"")),IF($N410="二级",IF(IFERROR(INDEX(项目档案!$G$6:$G$255,MATCH($C410,项目档案!$A$6:$A$255,0)),"")="",N(IFERROR(INDEX(单位档案!$D$6:$D$35,MATCH($E410,单位档案!$A$6:$A$35,0)),"")),IFERROR(INDEX(项目档案!$G$6:$G$255,MATCH($C410,项目档案!$A$6:$A$255,0)),"")),N(IFERROR(INDEX(单位档案!$D$6:$D$35,MATCH($E410,单位档案!$A$6:$A$35,0)),"")))))</f>
        <v/>
      </c>
      <c r="J410" s="22"/>
      <c r="K410" s="22"/>
      <c r="L410" s="33" t="str">
        <f aca="false">IF($B410="","",IF(NOT(ISNUMBER($B410)),"日期格式不对",IF($C410="","未选项目编号",IF(LEFT($M410,1)="⚠","项目编号不存在",IF($D410="","未选业务类型",IF($E410="","未选开票/付款方",IF(ISNA(MATCH($E410,单位档案!$A$6:$A$35,0)),"开票方不在单位档案",IF($F410="","未选收票/收款方",IF(ISNA(MATCH($F410,单位档案!$A$6:$A$35,0)),"收款方不在单位档案",IF(NOT(ISNUMBER($H410)),"金额须为数字",IF(AND($D410="销项开票",$N410="—"),"链条待确认","√")))))))))))</f>
        <v/>
      </c>
      <c r="M410" s="34" t="str">
        <f aca="false">IF($C410="","",IFERROR(INDEX(项目档案!$B$6:$B$255,MATCH($C410,项目档案!$A$6:$A$255,0)),"⚠项目编号不存在"))</f>
        <v/>
      </c>
      <c r="N410" s="35" t="str">
        <f aca="false">IF($E410="","",IF($E410=IFERROR(INDEX(项目档案!$D$6:$D$255,MATCH($C410,项目档案!$A$6:$A$255,0)),""),"一级",IF($E410=IFERROR(INDEX(项目档案!$F$6:$F$255,MATCH($C410,项目档案!$A$6:$A$255,0)),""),"二级",IF($E410=IFERROR(INDEX(项目档案!$H$6:$H$255,MATCH($C410,项目档案!$A$6:$A$255,0)),""),"我方","—"))))</f>
        <v/>
      </c>
      <c r="O410" s="36" t="n">
        <f aca="false">IF($D410&lt;&gt;"销项开票",0,ROUND(N($H410)*N($I410),2))</f>
        <v>0</v>
      </c>
      <c r="P410" s="36" t="n">
        <f aca="false">IF($D410&lt;&gt;"销项开票",0,ROUND(N($H410)-$O410,2))</f>
        <v>0</v>
      </c>
      <c r="Q410" s="37" t="str">
        <f aca="false">IF($E410="","",N(IFERROR(INDEX(单位档案!$E$6:$E$35,MATCH($E410,单位档案!$A$6:$A$35,0)),"")))</f>
        <v/>
      </c>
      <c r="R410" s="37" t="str">
        <f aca="false">IF($E410="","",N(IFERROR(INDEX(单位档案!$F$6:$F$35,MATCH($E410,单位档案!$A$6:$A$35,0)),"")))</f>
        <v/>
      </c>
      <c r="S410" s="36" t="n">
        <f aca="false">IF(OR($D410&lt;&gt;"销项开票",IFERROR(INDEX(单位档案!$G$6:$G$35,MATCH($E410,单位档案!$A$6:$A$35,0)),"")&lt;&gt;"是",N($Q410)=0),0,IF(IFERROR(INDEX(单位档案!$H$6:$H$35,MATCH($E410,单位档案!$A$6:$A$35,0)),"")="税差法",ROUND(N($H410)/(1+$Q410)*$Q410-IF(N($R410)=0,0,$P410/(1+$R410)*$R410),2),ROUND(N($H410)/(1+$Q410)*$Q410,2)))</f>
        <v>0</v>
      </c>
      <c r="T410" s="36" t="n">
        <f aca="false">ROUND($S410*N(IFERROR(INDEX(单位档案!$J$6:$J$35,MATCH($E410,单位档案!$A$6:$A$35,0)),"")),2)</f>
        <v>0</v>
      </c>
      <c r="U410" s="36" t="n">
        <f aca="false">IF($D410&lt;&gt;"销项开票",0,ROUND(N($H410)*N(IFERROR(INDEX(单位档案!$K$6:$K$35,MATCH($E410,单位档案!$A$6:$A$35,0)),"")),2))</f>
        <v>0</v>
      </c>
      <c r="V410" s="36" t="n">
        <f aca="false">IF(OR($D410&lt;&gt;"销项开票",N($Q410)=0),0,ROUND(N($H410)/(1+$Q410)*N(IFERROR(INDEX(单位档案!$L$6:$L$35,MATCH($E410,单位档案!$A$6:$A$35,0)),"")),2))</f>
        <v>0</v>
      </c>
      <c r="W410" s="36" t="n">
        <f aca="false">ROUND($S410+$T410+$U410+$V410,2)</f>
        <v>0</v>
      </c>
      <c r="X410" s="35" t="str">
        <f aca="false">IF(OR($D410="挂靠代收",$D410="我方收款"),COUNTIFS($D$5:$D410,"挂靠代收")+COUNTIFS($D$5:$D410,"我方收款"),"")</f>
        <v/>
      </c>
      <c r="Y410" s="35"/>
      <c r="Z410" s="21" t="s">
        <v>111</v>
      </c>
    </row>
    <row r="411" customFormat="false" ht="15.75" hidden="false" customHeight="true" outlineLevel="0" collapsed="false">
      <c r="A411" s="32" t="str">
        <f aca="false">IF($B411="","",ROW()-4)</f>
        <v/>
      </c>
      <c r="B411" s="26"/>
      <c r="C411" s="24"/>
      <c r="D411" s="21"/>
      <c r="E411" s="21"/>
      <c r="F411" s="21"/>
      <c r="G411" s="21"/>
      <c r="H411" s="27"/>
      <c r="I411" s="23" t="str">
        <f aca="false">IF($D411&lt;&gt;"销项开票","",IF($N411="一级",IF(IFERROR(INDEX(项目档案!$E$6:$E$255,MATCH($C411,项目档案!$A$6:$A$255,0)),"")="",N(IFERROR(INDEX(单位档案!$D$6:$D$35,MATCH($E411,单位档案!$A$6:$A$35,0)),"")),IFERROR(INDEX(项目档案!$E$6:$E$255,MATCH($C411,项目档案!$A$6:$A$255,0)),"")),IF($N411="二级",IF(IFERROR(INDEX(项目档案!$G$6:$G$255,MATCH($C411,项目档案!$A$6:$A$255,0)),"")="",N(IFERROR(INDEX(单位档案!$D$6:$D$35,MATCH($E411,单位档案!$A$6:$A$35,0)),"")),IFERROR(INDEX(项目档案!$G$6:$G$255,MATCH($C411,项目档案!$A$6:$A$255,0)),"")),N(IFERROR(INDEX(单位档案!$D$6:$D$35,MATCH($E411,单位档案!$A$6:$A$35,0)),"")))))</f>
        <v/>
      </c>
      <c r="J411" s="22"/>
      <c r="K411" s="22"/>
      <c r="L411" s="33" t="str">
        <f aca="false">IF($B411="","",IF(NOT(ISNUMBER($B411)),"日期格式不对",IF($C411="","未选项目编号",IF(LEFT($M411,1)="⚠","项目编号不存在",IF($D411="","未选业务类型",IF($E411="","未选开票/付款方",IF(ISNA(MATCH($E411,单位档案!$A$6:$A$35,0)),"开票方不在单位档案",IF($F411="","未选收票/收款方",IF(ISNA(MATCH($F411,单位档案!$A$6:$A$35,0)),"收款方不在单位档案",IF(NOT(ISNUMBER($H411)),"金额须为数字",IF(AND($D411="销项开票",$N411="—"),"链条待确认","√")))))))))))</f>
        <v/>
      </c>
      <c r="M411" s="34" t="str">
        <f aca="false">IF($C411="","",IFERROR(INDEX(项目档案!$B$6:$B$255,MATCH($C411,项目档案!$A$6:$A$255,0)),"⚠项目编号不存在"))</f>
        <v/>
      </c>
      <c r="N411" s="35" t="str">
        <f aca="false">IF($E411="","",IF($E411=IFERROR(INDEX(项目档案!$D$6:$D$255,MATCH($C411,项目档案!$A$6:$A$255,0)),""),"一级",IF($E411=IFERROR(INDEX(项目档案!$F$6:$F$255,MATCH($C411,项目档案!$A$6:$A$255,0)),""),"二级",IF($E411=IFERROR(INDEX(项目档案!$H$6:$H$255,MATCH($C411,项目档案!$A$6:$A$255,0)),""),"我方","—"))))</f>
        <v/>
      </c>
      <c r="O411" s="36" t="n">
        <f aca="false">IF($D411&lt;&gt;"销项开票",0,ROUND(N($H411)*N($I411),2))</f>
        <v>0</v>
      </c>
      <c r="P411" s="36" t="n">
        <f aca="false">IF($D411&lt;&gt;"销项开票",0,ROUND(N($H411)-$O411,2))</f>
        <v>0</v>
      </c>
      <c r="Q411" s="37" t="str">
        <f aca="false">IF($E411="","",N(IFERROR(INDEX(单位档案!$E$6:$E$35,MATCH($E411,单位档案!$A$6:$A$35,0)),"")))</f>
        <v/>
      </c>
      <c r="R411" s="37" t="str">
        <f aca="false">IF($E411="","",N(IFERROR(INDEX(单位档案!$F$6:$F$35,MATCH($E411,单位档案!$A$6:$A$35,0)),"")))</f>
        <v/>
      </c>
      <c r="S411" s="36" t="n">
        <f aca="false">IF(OR($D411&lt;&gt;"销项开票",IFERROR(INDEX(单位档案!$G$6:$G$35,MATCH($E411,单位档案!$A$6:$A$35,0)),"")&lt;&gt;"是",N($Q411)=0),0,IF(IFERROR(INDEX(单位档案!$H$6:$H$35,MATCH($E411,单位档案!$A$6:$A$35,0)),"")="税差法",ROUND(N($H411)/(1+$Q411)*$Q411-IF(N($R411)=0,0,$P411/(1+$R411)*$R411),2),ROUND(N($H411)/(1+$Q411)*$Q411,2)))</f>
        <v>0</v>
      </c>
      <c r="T411" s="36" t="n">
        <f aca="false">ROUND($S411*N(IFERROR(INDEX(单位档案!$J$6:$J$35,MATCH($E411,单位档案!$A$6:$A$35,0)),"")),2)</f>
        <v>0</v>
      </c>
      <c r="U411" s="36" t="n">
        <f aca="false">IF($D411&lt;&gt;"销项开票",0,ROUND(N($H411)*N(IFERROR(INDEX(单位档案!$K$6:$K$35,MATCH($E411,单位档案!$A$6:$A$35,0)),"")),2))</f>
        <v>0</v>
      </c>
      <c r="V411" s="36" t="n">
        <f aca="false">IF(OR($D411&lt;&gt;"销项开票",N($Q411)=0),0,ROUND(N($H411)/(1+$Q411)*N(IFERROR(INDEX(单位档案!$L$6:$L$35,MATCH($E411,单位档案!$A$6:$A$35,0)),"")),2))</f>
        <v>0</v>
      </c>
      <c r="W411" s="36" t="n">
        <f aca="false">ROUND($S411+$T411+$U411+$V411,2)</f>
        <v>0</v>
      </c>
      <c r="X411" s="35" t="str">
        <f aca="false">IF(OR($D411="挂靠代收",$D411="我方收款"),COUNTIFS($D$5:$D411,"挂靠代收")+COUNTIFS($D$5:$D411,"我方收款"),"")</f>
        <v/>
      </c>
      <c r="Y411" s="35"/>
      <c r="Z411" s="21" t="s">
        <v>111</v>
      </c>
    </row>
    <row r="412" customFormat="false" ht="15.75" hidden="false" customHeight="true" outlineLevel="0" collapsed="false">
      <c r="A412" s="32" t="str">
        <f aca="false">IF($B412="","",ROW()-4)</f>
        <v/>
      </c>
      <c r="B412" s="26"/>
      <c r="C412" s="24"/>
      <c r="D412" s="21"/>
      <c r="E412" s="21"/>
      <c r="F412" s="21"/>
      <c r="G412" s="21"/>
      <c r="H412" s="27"/>
      <c r="I412" s="23" t="str">
        <f aca="false">IF($D412&lt;&gt;"销项开票","",IF($N412="一级",IF(IFERROR(INDEX(项目档案!$E$6:$E$255,MATCH($C412,项目档案!$A$6:$A$255,0)),"")="",N(IFERROR(INDEX(单位档案!$D$6:$D$35,MATCH($E412,单位档案!$A$6:$A$35,0)),"")),IFERROR(INDEX(项目档案!$E$6:$E$255,MATCH($C412,项目档案!$A$6:$A$255,0)),"")),IF($N412="二级",IF(IFERROR(INDEX(项目档案!$G$6:$G$255,MATCH($C412,项目档案!$A$6:$A$255,0)),"")="",N(IFERROR(INDEX(单位档案!$D$6:$D$35,MATCH($E412,单位档案!$A$6:$A$35,0)),"")),IFERROR(INDEX(项目档案!$G$6:$G$255,MATCH($C412,项目档案!$A$6:$A$255,0)),"")),N(IFERROR(INDEX(单位档案!$D$6:$D$35,MATCH($E412,单位档案!$A$6:$A$35,0)),"")))))</f>
        <v/>
      </c>
      <c r="J412" s="22"/>
      <c r="K412" s="22"/>
      <c r="L412" s="33" t="str">
        <f aca="false">IF($B412="","",IF(NOT(ISNUMBER($B412)),"日期格式不对",IF($C412="","未选项目编号",IF(LEFT($M412,1)="⚠","项目编号不存在",IF($D412="","未选业务类型",IF($E412="","未选开票/付款方",IF(ISNA(MATCH($E412,单位档案!$A$6:$A$35,0)),"开票方不在单位档案",IF($F412="","未选收票/收款方",IF(ISNA(MATCH($F412,单位档案!$A$6:$A$35,0)),"收款方不在单位档案",IF(NOT(ISNUMBER($H412)),"金额须为数字",IF(AND($D412="销项开票",$N412="—"),"链条待确认","√")))))))))))</f>
        <v/>
      </c>
      <c r="M412" s="34" t="str">
        <f aca="false">IF($C412="","",IFERROR(INDEX(项目档案!$B$6:$B$255,MATCH($C412,项目档案!$A$6:$A$255,0)),"⚠项目编号不存在"))</f>
        <v/>
      </c>
      <c r="N412" s="35" t="str">
        <f aca="false">IF($E412="","",IF($E412=IFERROR(INDEX(项目档案!$D$6:$D$255,MATCH($C412,项目档案!$A$6:$A$255,0)),""),"一级",IF($E412=IFERROR(INDEX(项目档案!$F$6:$F$255,MATCH($C412,项目档案!$A$6:$A$255,0)),""),"二级",IF($E412=IFERROR(INDEX(项目档案!$H$6:$H$255,MATCH($C412,项目档案!$A$6:$A$255,0)),""),"我方","—"))))</f>
        <v/>
      </c>
      <c r="O412" s="36" t="n">
        <f aca="false">IF($D412&lt;&gt;"销项开票",0,ROUND(N($H412)*N($I412),2))</f>
        <v>0</v>
      </c>
      <c r="P412" s="36" t="n">
        <f aca="false">IF($D412&lt;&gt;"销项开票",0,ROUND(N($H412)-$O412,2))</f>
        <v>0</v>
      </c>
      <c r="Q412" s="37" t="str">
        <f aca="false">IF($E412="","",N(IFERROR(INDEX(单位档案!$E$6:$E$35,MATCH($E412,单位档案!$A$6:$A$35,0)),"")))</f>
        <v/>
      </c>
      <c r="R412" s="37" t="str">
        <f aca="false">IF($E412="","",N(IFERROR(INDEX(单位档案!$F$6:$F$35,MATCH($E412,单位档案!$A$6:$A$35,0)),"")))</f>
        <v/>
      </c>
      <c r="S412" s="36" t="n">
        <f aca="false">IF(OR($D412&lt;&gt;"销项开票",IFERROR(INDEX(单位档案!$G$6:$G$35,MATCH($E412,单位档案!$A$6:$A$35,0)),"")&lt;&gt;"是",N($Q412)=0),0,IF(IFERROR(INDEX(单位档案!$H$6:$H$35,MATCH($E412,单位档案!$A$6:$A$35,0)),"")="税差法",ROUND(N($H412)/(1+$Q412)*$Q412-IF(N($R412)=0,0,$P412/(1+$R412)*$R412),2),ROUND(N($H412)/(1+$Q412)*$Q412,2)))</f>
        <v>0</v>
      </c>
      <c r="T412" s="36" t="n">
        <f aca="false">ROUND($S412*N(IFERROR(INDEX(单位档案!$J$6:$J$35,MATCH($E412,单位档案!$A$6:$A$35,0)),"")),2)</f>
        <v>0</v>
      </c>
      <c r="U412" s="36" t="n">
        <f aca="false">IF($D412&lt;&gt;"销项开票",0,ROUND(N($H412)*N(IFERROR(INDEX(单位档案!$K$6:$K$35,MATCH($E412,单位档案!$A$6:$A$35,0)),"")),2))</f>
        <v>0</v>
      </c>
      <c r="V412" s="36" t="n">
        <f aca="false">IF(OR($D412&lt;&gt;"销项开票",N($Q412)=0),0,ROUND(N($H412)/(1+$Q412)*N(IFERROR(INDEX(单位档案!$L$6:$L$35,MATCH($E412,单位档案!$A$6:$A$35,0)),"")),2))</f>
        <v>0</v>
      </c>
      <c r="W412" s="36" t="n">
        <f aca="false">ROUND($S412+$T412+$U412+$V412,2)</f>
        <v>0</v>
      </c>
      <c r="X412" s="35" t="str">
        <f aca="false">IF(OR($D412="挂靠代收",$D412="我方收款"),COUNTIFS($D$5:$D412,"挂靠代收")+COUNTIFS($D$5:$D412,"我方收款"),"")</f>
        <v/>
      </c>
      <c r="Y412" s="35"/>
      <c r="Z412" s="21" t="s">
        <v>111</v>
      </c>
    </row>
    <row r="413" customFormat="false" ht="15.75" hidden="false" customHeight="true" outlineLevel="0" collapsed="false">
      <c r="A413" s="32" t="str">
        <f aca="false">IF($B413="","",ROW()-4)</f>
        <v/>
      </c>
      <c r="B413" s="26"/>
      <c r="C413" s="24"/>
      <c r="D413" s="21"/>
      <c r="E413" s="21"/>
      <c r="F413" s="21"/>
      <c r="G413" s="21"/>
      <c r="H413" s="27"/>
      <c r="I413" s="23" t="str">
        <f aca="false">IF($D413&lt;&gt;"销项开票","",IF($N413="一级",IF(IFERROR(INDEX(项目档案!$E$6:$E$255,MATCH($C413,项目档案!$A$6:$A$255,0)),"")="",N(IFERROR(INDEX(单位档案!$D$6:$D$35,MATCH($E413,单位档案!$A$6:$A$35,0)),"")),IFERROR(INDEX(项目档案!$E$6:$E$255,MATCH($C413,项目档案!$A$6:$A$255,0)),"")),IF($N413="二级",IF(IFERROR(INDEX(项目档案!$G$6:$G$255,MATCH($C413,项目档案!$A$6:$A$255,0)),"")="",N(IFERROR(INDEX(单位档案!$D$6:$D$35,MATCH($E413,单位档案!$A$6:$A$35,0)),"")),IFERROR(INDEX(项目档案!$G$6:$G$255,MATCH($C413,项目档案!$A$6:$A$255,0)),"")),N(IFERROR(INDEX(单位档案!$D$6:$D$35,MATCH($E413,单位档案!$A$6:$A$35,0)),"")))))</f>
        <v/>
      </c>
      <c r="J413" s="22"/>
      <c r="K413" s="22"/>
      <c r="L413" s="33" t="str">
        <f aca="false">IF($B413="","",IF(NOT(ISNUMBER($B413)),"日期格式不对",IF($C413="","未选项目编号",IF(LEFT($M413,1)="⚠","项目编号不存在",IF($D413="","未选业务类型",IF($E413="","未选开票/付款方",IF(ISNA(MATCH($E413,单位档案!$A$6:$A$35,0)),"开票方不在单位档案",IF($F413="","未选收票/收款方",IF(ISNA(MATCH($F413,单位档案!$A$6:$A$35,0)),"收款方不在单位档案",IF(NOT(ISNUMBER($H413)),"金额须为数字",IF(AND($D413="销项开票",$N413="—"),"链条待确认","√")))))))))))</f>
        <v/>
      </c>
      <c r="M413" s="34" t="str">
        <f aca="false">IF($C413="","",IFERROR(INDEX(项目档案!$B$6:$B$255,MATCH($C413,项目档案!$A$6:$A$255,0)),"⚠项目编号不存在"))</f>
        <v/>
      </c>
      <c r="N413" s="35" t="str">
        <f aca="false">IF($E413="","",IF($E413=IFERROR(INDEX(项目档案!$D$6:$D$255,MATCH($C413,项目档案!$A$6:$A$255,0)),""),"一级",IF($E413=IFERROR(INDEX(项目档案!$F$6:$F$255,MATCH($C413,项目档案!$A$6:$A$255,0)),""),"二级",IF($E413=IFERROR(INDEX(项目档案!$H$6:$H$255,MATCH($C413,项目档案!$A$6:$A$255,0)),""),"我方","—"))))</f>
        <v/>
      </c>
      <c r="O413" s="36" t="n">
        <f aca="false">IF($D413&lt;&gt;"销项开票",0,ROUND(N($H413)*N($I413),2))</f>
        <v>0</v>
      </c>
      <c r="P413" s="36" t="n">
        <f aca="false">IF($D413&lt;&gt;"销项开票",0,ROUND(N($H413)-$O413,2))</f>
        <v>0</v>
      </c>
      <c r="Q413" s="37" t="str">
        <f aca="false">IF($E413="","",N(IFERROR(INDEX(单位档案!$E$6:$E$35,MATCH($E413,单位档案!$A$6:$A$35,0)),"")))</f>
        <v/>
      </c>
      <c r="R413" s="37" t="str">
        <f aca="false">IF($E413="","",N(IFERROR(INDEX(单位档案!$F$6:$F$35,MATCH($E413,单位档案!$A$6:$A$35,0)),"")))</f>
        <v/>
      </c>
      <c r="S413" s="36" t="n">
        <f aca="false">IF(OR($D413&lt;&gt;"销项开票",IFERROR(INDEX(单位档案!$G$6:$G$35,MATCH($E413,单位档案!$A$6:$A$35,0)),"")&lt;&gt;"是",N($Q413)=0),0,IF(IFERROR(INDEX(单位档案!$H$6:$H$35,MATCH($E413,单位档案!$A$6:$A$35,0)),"")="税差法",ROUND(N($H413)/(1+$Q413)*$Q413-IF(N($R413)=0,0,$P413/(1+$R413)*$R413),2),ROUND(N($H413)/(1+$Q413)*$Q413,2)))</f>
        <v>0</v>
      </c>
      <c r="T413" s="36" t="n">
        <f aca="false">ROUND($S413*N(IFERROR(INDEX(单位档案!$J$6:$J$35,MATCH($E413,单位档案!$A$6:$A$35,0)),"")),2)</f>
        <v>0</v>
      </c>
      <c r="U413" s="36" t="n">
        <f aca="false">IF($D413&lt;&gt;"销项开票",0,ROUND(N($H413)*N(IFERROR(INDEX(单位档案!$K$6:$K$35,MATCH($E413,单位档案!$A$6:$A$35,0)),"")),2))</f>
        <v>0</v>
      </c>
      <c r="V413" s="36" t="n">
        <f aca="false">IF(OR($D413&lt;&gt;"销项开票",N($Q413)=0),0,ROUND(N($H413)/(1+$Q413)*N(IFERROR(INDEX(单位档案!$L$6:$L$35,MATCH($E413,单位档案!$A$6:$A$35,0)),"")),2))</f>
        <v>0</v>
      </c>
      <c r="W413" s="36" t="n">
        <f aca="false">ROUND($S413+$T413+$U413+$V413,2)</f>
        <v>0</v>
      </c>
      <c r="X413" s="35" t="str">
        <f aca="false">IF(OR($D413="挂靠代收",$D413="我方收款"),COUNTIFS($D$5:$D413,"挂靠代收")+COUNTIFS($D$5:$D413,"我方收款"),"")</f>
        <v/>
      </c>
      <c r="Y413" s="35"/>
      <c r="Z413" s="21" t="s">
        <v>111</v>
      </c>
    </row>
    <row r="414" customFormat="false" ht="15.75" hidden="false" customHeight="true" outlineLevel="0" collapsed="false">
      <c r="A414" s="32" t="str">
        <f aca="false">IF($B414="","",ROW()-4)</f>
        <v/>
      </c>
      <c r="B414" s="26"/>
      <c r="C414" s="24"/>
      <c r="D414" s="21"/>
      <c r="E414" s="21"/>
      <c r="F414" s="21"/>
      <c r="G414" s="21"/>
      <c r="H414" s="27"/>
      <c r="I414" s="23" t="str">
        <f aca="false">IF($D414&lt;&gt;"销项开票","",IF($N414="一级",IF(IFERROR(INDEX(项目档案!$E$6:$E$255,MATCH($C414,项目档案!$A$6:$A$255,0)),"")="",N(IFERROR(INDEX(单位档案!$D$6:$D$35,MATCH($E414,单位档案!$A$6:$A$35,0)),"")),IFERROR(INDEX(项目档案!$E$6:$E$255,MATCH($C414,项目档案!$A$6:$A$255,0)),"")),IF($N414="二级",IF(IFERROR(INDEX(项目档案!$G$6:$G$255,MATCH($C414,项目档案!$A$6:$A$255,0)),"")="",N(IFERROR(INDEX(单位档案!$D$6:$D$35,MATCH($E414,单位档案!$A$6:$A$35,0)),"")),IFERROR(INDEX(项目档案!$G$6:$G$255,MATCH($C414,项目档案!$A$6:$A$255,0)),"")),N(IFERROR(INDEX(单位档案!$D$6:$D$35,MATCH($E414,单位档案!$A$6:$A$35,0)),"")))))</f>
        <v/>
      </c>
      <c r="J414" s="22"/>
      <c r="K414" s="22"/>
      <c r="L414" s="33" t="str">
        <f aca="false">IF($B414="","",IF(NOT(ISNUMBER($B414)),"日期格式不对",IF($C414="","未选项目编号",IF(LEFT($M414,1)="⚠","项目编号不存在",IF($D414="","未选业务类型",IF($E414="","未选开票/付款方",IF(ISNA(MATCH($E414,单位档案!$A$6:$A$35,0)),"开票方不在单位档案",IF($F414="","未选收票/收款方",IF(ISNA(MATCH($F414,单位档案!$A$6:$A$35,0)),"收款方不在单位档案",IF(NOT(ISNUMBER($H414)),"金额须为数字",IF(AND($D414="销项开票",$N414="—"),"链条待确认","√")))))))))))</f>
        <v/>
      </c>
      <c r="M414" s="34" t="str">
        <f aca="false">IF($C414="","",IFERROR(INDEX(项目档案!$B$6:$B$255,MATCH($C414,项目档案!$A$6:$A$255,0)),"⚠项目编号不存在"))</f>
        <v/>
      </c>
      <c r="N414" s="35" t="str">
        <f aca="false">IF($E414="","",IF($E414=IFERROR(INDEX(项目档案!$D$6:$D$255,MATCH($C414,项目档案!$A$6:$A$255,0)),""),"一级",IF($E414=IFERROR(INDEX(项目档案!$F$6:$F$255,MATCH($C414,项目档案!$A$6:$A$255,0)),""),"二级",IF($E414=IFERROR(INDEX(项目档案!$H$6:$H$255,MATCH($C414,项目档案!$A$6:$A$255,0)),""),"我方","—"))))</f>
        <v/>
      </c>
      <c r="O414" s="36" t="n">
        <f aca="false">IF($D414&lt;&gt;"销项开票",0,ROUND(N($H414)*N($I414),2))</f>
        <v>0</v>
      </c>
      <c r="P414" s="36" t="n">
        <f aca="false">IF($D414&lt;&gt;"销项开票",0,ROUND(N($H414)-$O414,2))</f>
        <v>0</v>
      </c>
      <c r="Q414" s="37" t="str">
        <f aca="false">IF($E414="","",N(IFERROR(INDEX(单位档案!$E$6:$E$35,MATCH($E414,单位档案!$A$6:$A$35,0)),"")))</f>
        <v/>
      </c>
      <c r="R414" s="37" t="str">
        <f aca="false">IF($E414="","",N(IFERROR(INDEX(单位档案!$F$6:$F$35,MATCH($E414,单位档案!$A$6:$A$35,0)),"")))</f>
        <v/>
      </c>
      <c r="S414" s="36" t="n">
        <f aca="false">IF(OR($D414&lt;&gt;"销项开票",IFERROR(INDEX(单位档案!$G$6:$G$35,MATCH($E414,单位档案!$A$6:$A$35,0)),"")&lt;&gt;"是",N($Q414)=0),0,IF(IFERROR(INDEX(单位档案!$H$6:$H$35,MATCH($E414,单位档案!$A$6:$A$35,0)),"")="税差法",ROUND(N($H414)/(1+$Q414)*$Q414-IF(N($R414)=0,0,$P414/(1+$R414)*$R414),2),ROUND(N($H414)/(1+$Q414)*$Q414,2)))</f>
        <v>0</v>
      </c>
      <c r="T414" s="36" t="n">
        <f aca="false">ROUND($S414*N(IFERROR(INDEX(单位档案!$J$6:$J$35,MATCH($E414,单位档案!$A$6:$A$35,0)),"")),2)</f>
        <v>0</v>
      </c>
      <c r="U414" s="36" t="n">
        <f aca="false">IF($D414&lt;&gt;"销项开票",0,ROUND(N($H414)*N(IFERROR(INDEX(单位档案!$K$6:$K$35,MATCH($E414,单位档案!$A$6:$A$35,0)),"")),2))</f>
        <v>0</v>
      </c>
      <c r="V414" s="36" t="n">
        <f aca="false">IF(OR($D414&lt;&gt;"销项开票",N($Q414)=0),0,ROUND(N($H414)/(1+$Q414)*N(IFERROR(INDEX(单位档案!$L$6:$L$35,MATCH($E414,单位档案!$A$6:$A$35,0)),"")),2))</f>
        <v>0</v>
      </c>
      <c r="W414" s="36" t="n">
        <f aca="false">ROUND($S414+$T414+$U414+$V414,2)</f>
        <v>0</v>
      </c>
      <c r="X414" s="35" t="str">
        <f aca="false">IF(OR($D414="挂靠代收",$D414="我方收款"),COUNTIFS($D$5:$D414,"挂靠代收")+COUNTIFS($D$5:$D414,"我方收款"),"")</f>
        <v/>
      </c>
      <c r="Y414" s="35"/>
      <c r="Z414" s="21" t="s">
        <v>111</v>
      </c>
    </row>
    <row r="415" customFormat="false" ht="15.75" hidden="false" customHeight="true" outlineLevel="0" collapsed="false">
      <c r="A415" s="32" t="str">
        <f aca="false">IF($B415="","",ROW()-4)</f>
        <v/>
      </c>
      <c r="B415" s="26"/>
      <c r="C415" s="24"/>
      <c r="D415" s="21"/>
      <c r="E415" s="21"/>
      <c r="F415" s="21"/>
      <c r="G415" s="21"/>
      <c r="H415" s="27"/>
      <c r="I415" s="23" t="str">
        <f aca="false">IF($D415&lt;&gt;"销项开票","",IF($N415="一级",IF(IFERROR(INDEX(项目档案!$E$6:$E$255,MATCH($C415,项目档案!$A$6:$A$255,0)),"")="",N(IFERROR(INDEX(单位档案!$D$6:$D$35,MATCH($E415,单位档案!$A$6:$A$35,0)),"")),IFERROR(INDEX(项目档案!$E$6:$E$255,MATCH($C415,项目档案!$A$6:$A$255,0)),"")),IF($N415="二级",IF(IFERROR(INDEX(项目档案!$G$6:$G$255,MATCH($C415,项目档案!$A$6:$A$255,0)),"")="",N(IFERROR(INDEX(单位档案!$D$6:$D$35,MATCH($E415,单位档案!$A$6:$A$35,0)),"")),IFERROR(INDEX(项目档案!$G$6:$G$255,MATCH($C415,项目档案!$A$6:$A$255,0)),"")),N(IFERROR(INDEX(单位档案!$D$6:$D$35,MATCH($E415,单位档案!$A$6:$A$35,0)),"")))))</f>
        <v/>
      </c>
      <c r="J415" s="22"/>
      <c r="K415" s="22"/>
      <c r="L415" s="33" t="str">
        <f aca="false">IF($B415="","",IF(NOT(ISNUMBER($B415)),"日期格式不对",IF($C415="","未选项目编号",IF(LEFT($M415,1)="⚠","项目编号不存在",IF($D415="","未选业务类型",IF($E415="","未选开票/付款方",IF(ISNA(MATCH($E415,单位档案!$A$6:$A$35,0)),"开票方不在单位档案",IF($F415="","未选收票/收款方",IF(ISNA(MATCH($F415,单位档案!$A$6:$A$35,0)),"收款方不在单位档案",IF(NOT(ISNUMBER($H415)),"金额须为数字",IF(AND($D415="销项开票",$N415="—"),"链条待确认","√")))))))))))</f>
        <v/>
      </c>
      <c r="M415" s="34" t="str">
        <f aca="false">IF($C415="","",IFERROR(INDEX(项目档案!$B$6:$B$255,MATCH($C415,项目档案!$A$6:$A$255,0)),"⚠项目编号不存在"))</f>
        <v/>
      </c>
      <c r="N415" s="35" t="str">
        <f aca="false">IF($E415="","",IF($E415=IFERROR(INDEX(项目档案!$D$6:$D$255,MATCH($C415,项目档案!$A$6:$A$255,0)),""),"一级",IF($E415=IFERROR(INDEX(项目档案!$F$6:$F$255,MATCH($C415,项目档案!$A$6:$A$255,0)),""),"二级",IF($E415=IFERROR(INDEX(项目档案!$H$6:$H$255,MATCH($C415,项目档案!$A$6:$A$255,0)),""),"我方","—"))))</f>
        <v/>
      </c>
      <c r="O415" s="36" t="n">
        <f aca="false">IF($D415&lt;&gt;"销项开票",0,ROUND(N($H415)*N($I415),2))</f>
        <v>0</v>
      </c>
      <c r="P415" s="36" t="n">
        <f aca="false">IF($D415&lt;&gt;"销项开票",0,ROUND(N($H415)-$O415,2))</f>
        <v>0</v>
      </c>
      <c r="Q415" s="37" t="str">
        <f aca="false">IF($E415="","",N(IFERROR(INDEX(单位档案!$E$6:$E$35,MATCH($E415,单位档案!$A$6:$A$35,0)),"")))</f>
        <v/>
      </c>
      <c r="R415" s="37" t="str">
        <f aca="false">IF($E415="","",N(IFERROR(INDEX(单位档案!$F$6:$F$35,MATCH($E415,单位档案!$A$6:$A$35,0)),"")))</f>
        <v/>
      </c>
      <c r="S415" s="36" t="n">
        <f aca="false">IF(OR($D415&lt;&gt;"销项开票",IFERROR(INDEX(单位档案!$G$6:$G$35,MATCH($E415,单位档案!$A$6:$A$35,0)),"")&lt;&gt;"是",N($Q415)=0),0,IF(IFERROR(INDEX(单位档案!$H$6:$H$35,MATCH($E415,单位档案!$A$6:$A$35,0)),"")="税差法",ROUND(N($H415)/(1+$Q415)*$Q415-IF(N($R415)=0,0,$P415/(1+$R415)*$R415),2),ROUND(N($H415)/(1+$Q415)*$Q415,2)))</f>
        <v>0</v>
      </c>
      <c r="T415" s="36" t="n">
        <f aca="false">ROUND($S415*N(IFERROR(INDEX(单位档案!$J$6:$J$35,MATCH($E415,单位档案!$A$6:$A$35,0)),"")),2)</f>
        <v>0</v>
      </c>
      <c r="U415" s="36" t="n">
        <f aca="false">IF($D415&lt;&gt;"销项开票",0,ROUND(N($H415)*N(IFERROR(INDEX(单位档案!$K$6:$K$35,MATCH($E415,单位档案!$A$6:$A$35,0)),"")),2))</f>
        <v>0</v>
      </c>
      <c r="V415" s="36" t="n">
        <f aca="false">IF(OR($D415&lt;&gt;"销项开票",N($Q415)=0),0,ROUND(N($H415)/(1+$Q415)*N(IFERROR(INDEX(单位档案!$L$6:$L$35,MATCH($E415,单位档案!$A$6:$A$35,0)),"")),2))</f>
        <v>0</v>
      </c>
      <c r="W415" s="36" t="n">
        <f aca="false">ROUND($S415+$T415+$U415+$V415,2)</f>
        <v>0</v>
      </c>
      <c r="X415" s="35" t="str">
        <f aca="false">IF(OR($D415="挂靠代收",$D415="我方收款"),COUNTIFS($D$5:$D415,"挂靠代收")+COUNTIFS($D$5:$D415,"我方收款"),"")</f>
        <v/>
      </c>
      <c r="Y415" s="35"/>
      <c r="Z415" s="21" t="s">
        <v>111</v>
      </c>
    </row>
    <row r="416" customFormat="false" ht="15.75" hidden="false" customHeight="true" outlineLevel="0" collapsed="false">
      <c r="A416" s="32" t="str">
        <f aca="false">IF($B416="","",ROW()-4)</f>
        <v/>
      </c>
      <c r="B416" s="26"/>
      <c r="C416" s="24"/>
      <c r="D416" s="21"/>
      <c r="E416" s="21"/>
      <c r="F416" s="21"/>
      <c r="G416" s="21"/>
      <c r="H416" s="27"/>
      <c r="I416" s="23" t="str">
        <f aca="false">IF($D416&lt;&gt;"销项开票","",IF($N416="一级",IF(IFERROR(INDEX(项目档案!$E$6:$E$255,MATCH($C416,项目档案!$A$6:$A$255,0)),"")="",N(IFERROR(INDEX(单位档案!$D$6:$D$35,MATCH($E416,单位档案!$A$6:$A$35,0)),"")),IFERROR(INDEX(项目档案!$E$6:$E$255,MATCH($C416,项目档案!$A$6:$A$255,0)),"")),IF($N416="二级",IF(IFERROR(INDEX(项目档案!$G$6:$G$255,MATCH($C416,项目档案!$A$6:$A$255,0)),"")="",N(IFERROR(INDEX(单位档案!$D$6:$D$35,MATCH($E416,单位档案!$A$6:$A$35,0)),"")),IFERROR(INDEX(项目档案!$G$6:$G$255,MATCH($C416,项目档案!$A$6:$A$255,0)),"")),N(IFERROR(INDEX(单位档案!$D$6:$D$35,MATCH($E416,单位档案!$A$6:$A$35,0)),"")))))</f>
        <v/>
      </c>
      <c r="J416" s="22"/>
      <c r="K416" s="22"/>
      <c r="L416" s="33" t="str">
        <f aca="false">IF($B416="","",IF(NOT(ISNUMBER($B416)),"日期格式不对",IF($C416="","未选项目编号",IF(LEFT($M416,1)="⚠","项目编号不存在",IF($D416="","未选业务类型",IF($E416="","未选开票/付款方",IF(ISNA(MATCH($E416,单位档案!$A$6:$A$35,0)),"开票方不在单位档案",IF($F416="","未选收票/收款方",IF(ISNA(MATCH($F416,单位档案!$A$6:$A$35,0)),"收款方不在单位档案",IF(NOT(ISNUMBER($H416)),"金额须为数字",IF(AND($D416="销项开票",$N416="—"),"链条待确认","√")))))))))))</f>
        <v/>
      </c>
      <c r="M416" s="34" t="str">
        <f aca="false">IF($C416="","",IFERROR(INDEX(项目档案!$B$6:$B$255,MATCH($C416,项目档案!$A$6:$A$255,0)),"⚠项目编号不存在"))</f>
        <v/>
      </c>
      <c r="N416" s="35" t="str">
        <f aca="false">IF($E416="","",IF($E416=IFERROR(INDEX(项目档案!$D$6:$D$255,MATCH($C416,项目档案!$A$6:$A$255,0)),""),"一级",IF($E416=IFERROR(INDEX(项目档案!$F$6:$F$255,MATCH($C416,项目档案!$A$6:$A$255,0)),""),"二级",IF($E416=IFERROR(INDEX(项目档案!$H$6:$H$255,MATCH($C416,项目档案!$A$6:$A$255,0)),""),"我方","—"))))</f>
        <v/>
      </c>
      <c r="O416" s="36" t="n">
        <f aca="false">IF($D416&lt;&gt;"销项开票",0,ROUND(N($H416)*N($I416),2))</f>
        <v>0</v>
      </c>
      <c r="P416" s="36" t="n">
        <f aca="false">IF($D416&lt;&gt;"销项开票",0,ROUND(N($H416)-$O416,2))</f>
        <v>0</v>
      </c>
      <c r="Q416" s="37" t="str">
        <f aca="false">IF($E416="","",N(IFERROR(INDEX(单位档案!$E$6:$E$35,MATCH($E416,单位档案!$A$6:$A$35,0)),"")))</f>
        <v/>
      </c>
      <c r="R416" s="37" t="str">
        <f aca="false">IF($E416="","",N(IFERROR(INDEX(单位档案!$F$6:$F$35,MATCH($E416,单位档案!$A$6:$A$35,0)),"")))</f>
        <v/>
      </c>
      <c r="S416" s="36" t="n">
        <f aca="false">IF(OR($D416&lt;&gt;"销项开票",IFERROR(INDEX(单位档案!$G$6:$G$35,MATCH($E416,单位档案!$A$6:$A$35,0)),"")&lt;&gt;"是",N($Q416)=0),0,IF(IFERROR(INDEX(单位档案!$H$6:$H$35,MATCH($E416,单位档案!$A$6:$A$35,0)),"")="税差法",ROUND(N($H416)/(1+$Q416)*$Q416-IF(N($R416)=0,0,$P416/(1+$R416)*$R416),2),ROUND(N($H416)/(1+$Q416)*$Q416,2)))</f>
        <v>0</v>
      </c>
      <c r="T416" s="36" t="n">
        <f aca="false">ROUND($S416*N(IFERROR(INDEX(单位档案!$J$6:$J$35,MATCH($E416,单位档案!$A$6:$A$35,0)),"")),2)</f>
        <v>0</v>
      </c>
      <c r="U416" s="36" t="n">
        <f aca="false">IF($D416&lt;&gt;"销项开票",0,ROUND(N($H416)*N(IFERROR(INDEX(单位档案!$K$6:$K$35,MATCH($E416,单位档案!$A$6:$A$35,0)),"")),2))</f>
        <v>0</v>
      </c>
      <c r="V416" s="36" t="n">
        <f aca="false">IF(OR($D416&lt;&gt;"销项开票",N($Q416)=0),0,ROUND(N($H416)/(1+$Q416)*N(IFERROR(INDEX(单位档案!$L$6:$L$35,MATCH($E416,单位档案!$A$6:$A$35,0)),"")),2))</f>
        <v>0</v>
      </c>
      <c r="W416" s="36" t="n">
        <f aca="false">ROUND($S416+$T416+$U416+$V416,2)</f>
        <v>0</v>
      </c>
      <c r="X416" s="35" t="str">
        <f aca="false">IF(OR($D416="挂靠代收",$D416="我方收款"),COUNTIFS($D$5:$D416,"挂靠代收")+COUNTIFS($D$5:$D416,"我方收款"),"")</f>
        <v/>
      </c>
      <c r="Y416" s="35"/>
      <c r="Z416" s="21" t="s">
        <v>111</v>
      </c>
    </row>
    <row r="417" customFormat="false" ht="15.75" hidden="false" customHeight="true" outlineLevel="0" collapsed="false">
      <c r="A417" s="32" t="str">
        <f aca="false">IF($B417="","",ROW()-4)</f>
        <v/>
      </c>
      <c r="B417" s="26"/>
      <c r="C417" s="24"/>
      <c r="D417" s="21"/>
      <c r="E417" s="21"/>
      <c r="F417" s="21"/>
      <c r="G417" s="21"/>
      <c r="H417" s="27"/>
      <c r="I417" s="23" t="str">
        <f aca="false">IF($D417&lt;&gt;"销项开票","",IF($N417="一级",IF(IFERROR(INDEX(项目档案!$E$6:$E$255,MATCH($C417,项目档案!$A$6:$A$255,0)),"")="",N(IFERROR(INDEX(单位档案!$D$6:$D$35,MATCH($E417,单位档案!$A$6:$A$35,0)),"")),IFERROR(INDEX(项目档案!$E$6:$E$255,MATCH($C417,项目档案!$A$6:$A$255,0)),"")),IF($N417="二级",IF(IFERROR(INDEX(项目档案!$G$6:$G$255,MATCH($C417,项目档案!$A$6:$A$255,0)),"")="",N(IFERROR(INDEX(单位档案!$D$6:$D$35,MATCH($E417,单位档案!$A$6:$A$35,0)),"")),IFERROR(INDEX(项目档案!$G$6:$G$255,MATCH($C417,项目档案!$A$6:$A$255,0)),"")),N(IFERROR(INDEX(单位档案!$D$6:$D$35,MATCH($E417,单位档案!$A$6:$A$35,0)),"")))))</f>
        <v/>
      </c>
      <c r="J417" s="22"/>
      <c r="K417" s="22"/>
      <c r="L417" s="33" t="str">
        <f aca="false">IF($B417="","",IF(NOT(ISNUMBER($B417)),"日期格式不对",IF($C417="","未选项目编号",IF(LEFT($M417,1)="⚠","项目编号不存在",IF($D417="","未选业务类型",IF($E417="","未选开票/付款方",IF(ISNA(MATCH($E417,单位档案!$A$6:$A$35,0)),"开票方不在单位档案",IF($F417="","未选收票/收款方",IF(ISNA(MATCH($F417,单位档案!$A$6:$A$35,0)),"收款方不在单位档案",IF(NOT(ISNUMBER($H417)),"金额须为数字",IF(AND($D417="销项开票",$N417="—"),"链条待确认","√")))))))))))</f>
        <v/>
      </c>
      <c r="M417" s="34" t="str">
        <f aca="false">IF($C417="","",IFERROR(INDEX(项目档案!$B$6:$B$255,MATCH($C417,项目档案!$A$6:$A$255,0)),"⚠项目编号不存在"))</f>
        <v/>
      </c>
      <c r="N417" s="35" t="str">
        <f aca="false">IF($E417="","",IF($E417=IFERROR(INDEX(项目档案!$D$6:$D$255,MATCH($C417,项目档案!$A$6:$A$255,0)),""),"一级",IF($E417=IFERROR(INDEX(项目档案!$F$6:$F$255,MATCH($C417,项目档案!$A$6:$A$255,0)),""),"二级",IF($E417=IFERROR(INDEX(项目档案!$H$6:$H$255,MATCH($C417,项目档案!$A$6:$A$255,0)),""),"我方","—"))))</f>
        <v/>
      </c>
      <c r="O417" s="36" t="n">
        <f aca="false">IF($D417&lt;&gt;"销项开票",0,ROUND(N($H417)*N($I417),2))</f>
        <v>0</v>
      </c>
      <c r="P417" s="36" t="n">
        <f aca="false">IF($D417&lt;&gt;"销项开票",0,ROUND(N($H417)-$O417,2))</f>
        <v>0</v>
      </c>
      <c r="Q417" s="37" t="str">
        <f aca="false">IF($E417="","",N(IFERROR(INDEX(单位档案!$E$6:$E$35,MATCH($E417,单位档案!$A$6:$A$35,0)),"")))</f>
        <v/>
      </c>
      <c r="R417" s="37" t="str">
        <f aca="false">IF($E417="","",N(IFERROR(INDEX(单位档案!$F$6:$F$35,MATCH($E417,单位档案!$A$6:$A$35,0)),"")))</f>
        <v/>
      </c>
      <c r="S417" s="36" t="n">
        <f aca="false">IF(OR($D417&lt;&gt;"销项开票",IFERROR(INDEX(单位档案!$G$6:$G$35,MATCH($E417,单位档案!$A$6:$A$35,0)),"")&lt;&gt;"是",N($Q417)=0),0,IF(IFERROR(INDEX(单位档案!$H$6:$H$35,MATCH($E417,单位档案!$A$6:$A$35,0)),"")="税差法",ROUND(N($H417)/(1+$Q417)*$Q417-IF(N($R417)=0,0,$P417/(1+$R417)*$R417),2),ROUND(N($H417)/(1+$Q417)*$Q417,2)))</f>
        <v>0</v>
      </c>
      <c r="T417" s="36" t="n">
        <f aca="false">ROUND($S417*N(IFERROR(INDEX(单位档案!$J$6:$J$35,MATCH($E417,单位档案!$A$6:$A$35,0)),"")),2)</f>
        <v>0</v>
      </c>
      <c r="U417" s="36" t="n">
        <f aca="false">IF($D417&lt;&gt;"销项开票",0,ROUND(N($H417)*N(IFERROR(INDEX(单位档案!$K$6:$K$35,MATCH($E417,单位档案!$A$6:$A$35,0)),"")),2))</f>
        <v>0</v>
      </c>
      <c r="V417" s="36" t="n">
        <f aca="false">IF(OR($D417&lt;&gt;"销项开票",N($Q417)=0),0,ROUND(N($H417)/(1+$Q417)*N(IFERROR(INDEX(单位档案!$L$6:$L$35,MATCH($E417,单位档案!$A$6:$A$35,0)),"")),2))</f>
        <v>0</v>
      </c>
      <c r="W417" s="36" t="n">
        <f aca="false">ROUND($S417+$T417+$U417+$V417,2)</f>
        <v>0</v>
      </c>
      <c r="X417" s="35" t="str">
        <f aca="false">IF(OR($D417="挂靠代收",$D417="我方收款"),COUNTIFS($D$5:$D417,"挂靠代收")+COUNTIFS($D$5:$D417,"我方收款"),"")</f>
        <v/>
      </c>
      <c r="Y417" s="35"/>
      <c r="Z417" s="21" t="s">
        <v>111</v>
      </c>
    </row>
    <row r="418" customFormat="false" ht="15.75" hidden="false" customHeight="true" outlineLevel="0" collapsed="false">
      <c r="A418" s="32" t="str">
        <f aca="false">IF($B418="","",ROW()-4)</f>
        <v/>
      </c>
      <c r="B418" s="26"/>
      <c r="C418" s="24"/>
      <c r="D418" s="21"/>
      <c r="E418" s="21"/>
      <c r="F418" s="21"/>
      <c r="G418" s="21"/>
      <c r="H418" s="27"/>
      <c r="I418" s="23" t="str">
        <f aca="false">IF($D418&lt;&gt;"销项开票","",IF($N418="一级",IF(IFERROR(INDEX(项目档案!$E$6:$E$255,MATCH($C418,项目档案!$A$6:$A$255,0)),"")="",N(IFERROR(INDEX(单位档案!$D$6:$D$35,MATCH($E418,单位档案!$A$6:$A$35,0)),"")),IFERROR(INDEX(项目档案!$E$6:$E$255,MATCH($C418,项目档案!$A$6:$A$255,0)),"")),IF($N418="二级",IF(IFERROR(INDEX(项目档案!$G$6:$G$255,MATCH($C418,项目档案!$A$6:$A$255,0)),"")="",N(IFERROR(INDEX(单位档案!$D$6:$D$35,MATCH($E418,单位档案!$A$6:$A$35,0)),"")),IFERROR(INDEX(项目档案!$G$6:$G$255,MATCH($C418,项目档案!$A$6:$A$255,0)),"")),N(IFERROR(INDEX(单位档案!$D$6:$D$35,MATCH($E418,单位档案!$A$6:$A$35,0)),"")))))</f>
        <v/>
      </c>
      <c r="J418" s="22"/>
      <c r="K418" s="22"/>
      <c r="L418" s="33" t="str">
        <f aca="false">IF($B418="","",IF(NOT(ISNUMBER($B418)),"日期格式不对",IF($C418="","未选项目编号",IF(LEFT($M418,1)="⚠","项目编号不存在",IF($D418="","未选业务类型",IF($E418="","未选开票/付款方",IF(ISNA(MATCH($E418,单位档案!$A$6:$A$35,0)),"开票方不在单位档案",IF($F418="","未选收票/收款方",IF(ISNA(MATCH($F418,单位档案!$A$6:$A$35,0)),"收款方不在单位档案",IF(NOT(ISNUMBER($H418)),"金额须为数字",IF(AND($D418="销项开票",$N418="—"),"链条待确认","√")))))))))))</f>
        <v/>
      </c>
      <c r="M418" s="34" t="str">
        <f aca="false">IF($C418="","",IFERROR(INDEX(项目档案!$B$6:$B$255,MATCH($C418,项目档案!$A$6:$A$255,0)),"⚠项目编号不存在"))</f>
        <v/>
      </c>
      <c r="N418" s="35" t="str">
        <f aca="false">IF($E418="","",IF($E418=IFERROR(INDEX(项目档案!$D$6:$D$255,MATCH($C418,项目档案!$A$6:$A$255,0)),""),"一级",IF($E418=IFERROR(INDEX(项目档案!$F$6:$F$255,MATCH($C418,项目档案!$A$6:$A$255,0)),""),"二级",IF($E418=IFERROR(INDEX(项目档案!$H$6:$H$255,MATCH($C418,项目档案!$A$6:$A$255,0)),""),"我方","—"))))</f>
        <v/>
      </c>
      <c r="O418" s="36" t="n">
        <f aca="false">IF($D418&lt;&gt;"销项开票",0,ROUND(N($H418)*N($I418),2))</f>
        <v>0</v>
      </c>
      <c r="P418" s="36" t="n">
        <f aca="false">IF($D418&lt;&gt;"销项开票",0,ROUND(N($H418)-$O418,2))</f>
        <v>0</v>
      </c>
      <c r="Q418" s="37" t="str">
        <f aca="false">IF($E418="","",N(IFERROR(INDEX(单位档案!$E$6:$E$35,MATCH($E418,单位档案!$A$6:$A$35,0)),"")))</f>
        <v/>
      </c>
      <c r="R418" s="37" t="str">
        <f aca="false">IF($E418="","",N(IFERROR(INDEX(单位档案!$F$6:$F$35,MATCH($E418,单位档案!$A$6:$A$35,0)),"")))</f>
        <v/>
      </c>
      <c r="S418" s="36" t="n">
        <f aca="false">IF(OR($D418&lt;&gt;"销项开票",IFERROR(INDEX(单位档案!$G$6:$G$35,MATCH($E418,单位档案!$A$6:$A$35,0)),"")&lt;&gt;"是",N($Q418)=0),0,IF(IFERROR(INDEX(单位档案!$H$6:$H$35,MATCH($E418,单位档案!$A$6:$A$35,0)),"")="税差法",ROUND(N($H418)/(1+$Q418)*$Q418-IF(N($R418)=0,0,$P418/(1+$R418)*$R418),2),ROUND(N($H418)/(1+$Q418)*$Q418,2)))</f>
        <v>0</v>
      </c>
      <c r="T418" s="36" t="n">
        <f aca="false">ROUND($S418*N(IFERROR(INDEX(单位档案!$J$6:$J$35,MATCH($E418,单位档案!$A$6:$A$35,0)),"")),2)</f>
        <v>0</v>
      </c>
      <c r="U418" s="36" t="n">
        <f aca="false">IF($D418&lt;&gt;"销项开票",0,ROUND(N($H418)*N(IFERROR(INDEX(单位档案!$K$6:$K$35,MATCH($E418,单位档案!$A$6:$A$35,0)),"")),2))</f>
        <v>0</v>
      </c>
      <c r="V418" s="36" t="n">
        <f aca="false">IF(OR($D418&lt;&gt;"销项开票",N($Q418)=0),0,ROUND(N($H418)/(1+$Q418)*N(IFERROR(INDEX(单位档案!$L$6:$L$35,MATCH($E418,单位档案!$A$6:$A$35,0)),"")),2))</f>
        <v>0</v>
      </c>
      <c r="W418" s="36" t="n">
        <f aca="false">ROUND($S418+$T418+$U418+$V418,2)</f>
        <v>0</v>
      </c>
      <c r="X418" s="35" t="str">
        <f aca="false">IF(OR($D418="挂靠代收",$D418="我方收款"),COUNTIFS($D$5:$D418,"挂靠代收")+COUNTIFS($D$5:$D418,"我方收款"),"")</f>
        <v/>
      </c>
      <c r="Y418" s="35"/>
      <c r="Z418" s="21" t="s">
        <v>111</v>
      </c>
    </row>
    <row r="419" customFormat="false" ht="15.75" hidden="false" customHeight="true" outlineLevel="0" collapsed="false">
      <c r="A419" s="32" t="str">
        <f aca="false">IF($B419="","",ROW()-4)</f>
        <v/>
      </c>
      <c r="B419" s="26"/>
      <c r="C419" s="24"/>
      <c r="D419" s="21"/>
      <c r="E419" s="21"/>
      <c r="F419" s="21"/>
      <c r="G419" s="21"/>
      <c r="H419" s="27"/>
      <c r="I419" s="23" t="str">
        <f aca="false">IF($D419&lt;&gt;"销项开票","",IF($N419="一级",IF(IFERROR(INDEX(项目档案!$E$6:$E$255,MATCH($C419,项目档案!$A$6:$A$255,0)),"")="",N(IFERROR(INDEX(单位档案!$D$6:$D$35,MATCH($E419,单位档案!$A$6:$A$35,0)),"")),IFERROR(INDEX(项目档案!$E$6:$E$255,MATCH($C419,项目档案!$A$6:$A$255,0)),"")),IF($N419="二级",IF(IFERROR(INDEX(项目档案!$G$6:$G$255,MATCH($C419,项目档案!$A$6:$A$255,0)),"")="",N(IFERROR(INDEX(单位档案!$D$6:$D$35,MATCH($E419,单位档案!$A$6:$A$35,0)),"")),IFERROR(INDEX(项目档案!$G$6:$G$255,MATCH($C419,项目档案!$A$6:$A$255,0)),"")),N(IFERROR(INDEX(单位档案!$D$6:$D$35,MATCH($E419,单位档案!$A$6:$A$35,0)),"")))))</f>
        <v/>
      </c>
      <c r="J419" s="22"/>
      <c r="K419" s="22"/>
      <c r="L419" s="33" t="str">
        <f aca="false">IF($B419="","",IF(NOT(ISNUMBER($B419)),"日期格式不对",IF($C419="","未选项目编号",IF(LEFT($M419,1)="⚠","项目编号不存在",IF($D419="","未选业务类型",IF($E419="","未选开票/付款方",IF(ISNA(MATCH($E419,单位档案!$A$6:$A$35,0)),"开票方不在单位档案",IF($F419="","未选收票/收款方",IF(ISNA(MATCH($F419,单位档案!$A$6:$A$35,0)),"收款方不在单位档案",IF(NOT(ISNUMBER($H419)),"金额须为数字",IF(AND($D419="销项开票",$N419="—"),"链条待确认","√")))))))))))</f>
        <v/>
      </c>
      <c r="M419" s="34" t="str">
        <f aca="false">IF($C419="","",IFERROR(INDEX(项目档案!$B$6:$B$255,MATCH($C419,项目档案!$A$6:$A$255,0)),"⚠项目编号不存在"))</f>
        <v/>
      </c>
      <c r="N419" s="35" t="str">
        <f aca="false">IF($E419="","",IF($E419=IFERROR(INDEX(项目档案!$D$6:$D$255,MATCH($C419,项目档案!$A$6:$A$255,0)),""),"一级",IF($E419=IFERROR(INDEX(项目档案!$F$6:$F$255,MATCH($C419,项目档案!$A$6:$A$255,0)),""),"二级",IF($E419=IFERROR(INDEX(项目档案!$H$6:$H$255,MATCH($C419,项目档案!$A$6:$A$255,0)),""),"我方","—"))))</f>
        <v/>
      </c>
      <c r="O419" s="36" t="n">
        <f aca="false">IF($D419&lt;&gt;"销项开票",0,ROUND(N($H419)*N($I419),2))</f>
        <v>0</v>
      </c>
      <c r="P419" s="36" t="n">
        <f aca="false">IF($D419&lt;&gt;"销项开票",0,ROUND(N($H419)-$O419,2))</f>
        <v>0</v>
      </c>
      <c r="Q419" s="37" t="str">
        <f aca="false">IF($E419="","",N(IFERROR(INDEX(单位档案!$E$6:$E$35,MATCH($E419,单位档案!$A$6:$A$35,0)),"")))</f>
        <v/>
      </c>
      <c r="R419" s="37" t="str">
        <f aca="false">IF($E419="","",N(IFERROR(INDEX(单位档案!$F$6:$F$35,MATCH($E419,单位档案!$A$6:$A$35,0)),"")))</f>
        <v/>
      </c>
      <c r="S419" s="36" t="n">
        <f aca="false">IF(OR($D419&lt;&gt;"销项开票",IFERROR(INDEX(单位档案!$G$6:$G$35,MATCH($E419,单位档案!$A$6:$A$35,0)),"")&lt;&gt;"是",N($Q419)=0),0,IF(IFERROR(INDEX(单位档案!$H$6:$H$35,MATCH($E419,单位档案!$A$6:$A$35,0)),"")="税差法",ROUND(N($H419)/(1+$Q419)*$Q419-IF(N($R419)=0,0,$P419/(1+$R419)*$R419),2),ROUND(N($H419)/(1+$Q419)*$Q419,2)))</f>
        <v>0</v>
      </c>
      <c r="T419" s="36" t="n">
        <f aca="false">ROUND($S419*N(IFERROR(INDEX(单位档案!$J$6:$J$35,MATCH($E419,单位档案!$A$6:$A$35,0)),"")),2)</f>
        <v>0</v>
      </c>
      <c r="U419" s="36" t="n">
        <f aca="false">IF($D419&lt;&gt;"销项开票",0,ROUND(N($H419)*N(IFERROR(INDEX(单位档案!$K$6:$K$35,MATCH($E419,单位档案!$A$6:$A$35,0)),"")),2))</f>
        <v>0</v>
      </c>
      <c r="V419" s="36" t="n">
        <f aca="false">IF(OR($D419&lt;&gt;"销项开票",N($Q419)=0),0,ROUND(N($H419)/(1+$Q419)*N(IFERROR(INDEX(单位档案!$L$6:$L$35,MATCH($E419,单位档案!$A$6:$A$35,0)),"")),2))</f>
        <v>0</v>
      </c>
      <c r="W419" s="36" t="n">
        <f aca="false">ROUND($S419+$T419+$U419+$V419,2)</f>
        <v>0</v>
      </c>
      <c r="X419" s="35" t="str">
        <f aca="false">IF(OR($D419="挂靠代收",$D419="我方收款"),COUNTIFS($D$5:$D419,"挂靠代收")+COUNTIFS($D$5:$D419,"我方收款"),"")</f>
        <v/>
      </c>
      <c r="Y419" s="35"/>
      <c r="Z419" s="21" t="s">
        <v>111</v>
      </c>
    </row>
    <row r="420" customFormat="false" ht="15.75" hidden="false" customHeight="true" outlineLevel="0" collapsed="false">
      <c r="A420" s="32" t="str">
        <f aca="false">IF($B420="","",ROW()-4)</f>
        <v/>
      </c>
      <c r="B420" s="26"/>
      <c r="C420" s="24"/>
      <c r="D420" s="21"/>
      <c r="E420" s="21"/>
      <c r="F420" s="21"/>
      <c r="G420" s="21"/>
      <c r="H420" s="27"/>
      <c r="I420" s="23" t="str">
        <f aca="false">IF($D420&lt;&gt;"销项开票","",IF($N420="一级",IF(IFERROR(INDEX(项目档案!$E$6:$E$255,MATCH($C420,项目档案!$A$6:$A$255,0)),"")="",N(IFERROR(INDEX(单位档案!$D$6:$D$35,MATCH($E420,单位档案!$A$6:$A$35,0)),"")),IFERROR(INDEX(项目档案!$E$6:$E$255,MATCH($C420,项目档案!$A$6:$A$255,0)),"")),IF($N420="二级",IF(IFERROR(INDEX(项目档案!$G$6:$G$255,MATCH($C420,项目档案!$A$6:$A$255,0)),"")="",N(IFERROR(INDEX(单位档案!$D$6:$D$35,MATCH($E420,单位档案!$A$6:$A$35,0)),"")),IFERROR(INDEX(项目档案!$G$6:$G$255,MATCH($C420,项目档案!$A$6:$A$255,0)),"")),N(IFERROR(INDEX(单位档案!$D$6:$D$35,MATCH($E420,单位档案!$A$6:$A$35,0)),"")))))</f>
        <v/>
      </c>
      <c r="J420" s="22"/>
      <c r="K420" s="22"/>
      <c r="L420" s="33" t="str">
        <f aca="false">IF($B420="","",IF(NOT(ISNUMBER($B420)),"日期格式不对",IF($C420="","未选项目编号",IF(LEFT($M420,1)="⚠","项目编号不存在",IF($D420="","未选业务类型",IF($E420="","未选开票/付款方",IF(ISNA(MATCH($E420,单位档案!$A$6:$A$35,0)),"开票方不在单位档案",IF($F420="","未选收票/收款方",IF(ISNA(MATCH($F420,单位档案!$A$6:$A$35,0)),"收款方不在单位档案",IF(NOT(ISNUMBER($H420)),"金额须为数字",IF(AND($D420="销项开票",$N420="—"),"链条待确认","√")))))))))))</f>
        <v/>
      </c>
      <c r="M420" s="34" t="str">
        <f aca="false">IF($C420="","",IFERROR(INDEX(项目档案!$B$6:$B$255,MATCH($C420,项目档案!$A$6:$A$255,0)),"⚠项目编号不存在"))</f>
        <v/>
      </c>
      <c r="N420" s="35" t="str">
        <f aca="false">IF($E420="","",IF($E420=IFERROR(INDEX(项目档案!$D$6:$D$255,MATCH($C420,项目档案!$A$6:$A$255,0)),""),"一级",IF($E420=IFERROR(INDEX(项目档案!$F$6:$F$255,MATCH($C420,项目档案!$A$6:$A$255,0)),""),"二级",IF($E420=IFERROR(INDEX(项目档案!$H$6:$H$255,MATCH($C420,项目档案!$A$6:$A$255,0)),""),"我方","—"))))</f>
        <v/>
      </c>
      <c r="O420" s="36" t="n">
        <f aca="false">IF($D420&lt;&gt;"销项开票",0,ROUND(N($H420)*N($I420),2))</f>
        <v>0</v>
      </c>
      <c r="P420" s="36" t="n">
        <f aca="false">IF($D420&lt;&gt;"销项开票",0,ROUND(N($H420)-$O420,2))</f>
        <v>0</v>
      </c>
      <c r="Q420" s="37" t="str">
        <f aca="false">IF($E420="","",N(IFERROR(INDEX(单位档案!$E$6:$E$35,MATCH($E420,单位档案!$A$6:$A$35,0)),"")))</f>
        <v/>
      </c>
      <c r="R420" s="37" t="str">
        <f aca="false">IF($E420="","",N(IFERROR(INDEX(单位档案!$F$6:$F$35,MATCH($E420,单位档案!$A$6:$A$35,0)),"")))</f>
        <v/>
      </c>
      <c r="S420" s="36" t="n">
        <f aca="false">IF(OR($D420&lt;&gt;"销项开票",IFERROR(INDEX(单位档案!$G$6:$G$35,MATCH($E420,单位档案!$A$6:$A$35,0)),"")&lt;&gt;"是",N($Q420)=0),0,IF(IFERROR(INDEX(单位档案!$H$6:$H$35,MATCH($E420,单位档案!$A$6:$A$35,0)),"")="税差法",ROUND(N($H420)/(1+$Q420)*$Q420-IF(N($R420)=0,0,$P420/(1+$R420)*$R420),2),ROUND(N($H420)/(1+$Q420)*$Q420,2)))</f>
        <v>0</v>
      </c>
      <c r="T420" s="36" t="n">
        <f aca="false">ROUND($S420*N(IFERROR(INDEX(单位档案!$J$6:$J$35,MATCH($E420,单位档案!$A$6:$A$35,0)),"")),2)</f>
        <v>0</v>
      </c>
      <c r="U420" s="36" t="n">
        <f aca="false">IF($D420&lt;&gt;"销项开票",0,ROUND(N($H420)*N(IFERROR(INDEX(单位档案!$K$6:$K$35,MATCH($E420,单位档案!$A$6:$A$35,0)),"")),2))</f>
        <v>0</v>
      </c>
      <c r="V420" s="36" t="n">
        <f aca="false">IF(OR($D420&lt;&gt;"销项开票",N($Q420)=0),0,ROUND(N($H420)/(1+$Q420)*N(IFERROR(INDEX(单位档案!$L$6:$L$35,MATCH($E420,单位档案!$A$6:$A$35,0)),"")),2))</f>
        <v>0</v>
      </c>
      <c r="W420" s="36" t="n">
        <f aca="false">ROUND($S420+$T420+$U420+$V420,2)</f>
        <v>0</v>
      </c>
      <c r="X420" s="35" t="str">
        <f aca="false">IF(OR($D420="挂靠代收",$D420="我方收款"),COUNTIFS($D$5:$D420,"挂靠代收")+COUNTIFS($D$5:$D420,"我方收款"),"")</f>
        <v/>
      </c>
      <c r="Y420" s="35"/>
      <c r="Z420" s="21" t="s">
        <v>111</v>
      </c>
    </row>
    <row r="421" customFormat="false" ht="15.75" hidden="false" customHeight="true" outlineLevel="0" collapsed="false">
      <c r="A421" s="32" t="str">
        <f aca="false">IF($B421="","",ROW()-4)</f>
        <v/>
      </c>
      <c r="B421" s="26"/>
      <c r="C421" s="24"/>
      <c r="D421" s="21"/>
      <c r="E421" s="21"/>
      <c r="F421" s="21"/>
      <c r="G421" s="21"/>
      <c r="H421" s="27"/>
      <c r="I421" s="23" t="str">
        <f aca="false">IF($D421&lt;&gt;"销项开票","",IF($N421="一级",IF(IFERROR(INDEX(项目档案!$E$6:$E$255,MATCH($C421,项目档案!$A$6:$A$255,0)),"")="",N(IFERROR(INDEX(单位档案!$D$6:$D$35,MATCH($E421,单位档案!$A$6:$A$35,0)),"")),IFERROR(INDEX(项目档案!$E$6:$E$255,MATCH($C421,项目档案!$A$6:$A$255,0)),"")),IF($N421="二级",IF(IFERROR(INDEX(项目档案!$G$6:$G$255,MATCH($C421,项目档案!$A$6:$A$255,0)),"")="",N(IFERROR(INDEX(单位档案!$D$6:$D$35,MATCH($E421,单位档案!$A$6:$A$35,0)),"")),IFERROR(INDEX(项目档案!$G$6:$G$255,MATCH($C421,项目档案!$A$6:$A$255,0)),"")),N(IFERROR(INDEX(单位档案!$D$6:$D$35,MATCH($E421,单位档案!$A$6:$A$35,0)),"")))))</f>
        <v/>
      </c>
      <c r="J421" s="22"/>
      <c r="K421" s="22"/>
      <c r="L421" s="33" t="str">
        <f aca="false">IF($B421="","",IF(NOT(ISNUMBER($B421)),"日期格式不对",IF($C421="","未选项目编号",IF(LEFT($M421,1)="⚠","项目编号不存在",IF($D421="","未选业务类型",IF($E421="","未选开票/付款方",IF(ISNA(MATCH($E421,单位档案!$A$6:$A$35,0)),"开票方不在单位档案",IF($F421="","未选收票/收款方",IF(ISNA(MATCH($F421,单位档案!$A$6:$A$35,0)),"收款方不在单位档案",IF(NOT(ISNUMBER($H421)),"金额须为数字",IF(AND($D421="销项开票",$N421="—"),"链条待确认","√")))))))))))</f>
        <v/>
      </c>
      <c r="M421" s="34" t="str">
        <f aca="false">IF($C421="","",IFERROR(INDEX(项目档案!$B$6:$B$255,MATCH($C421,项目档案!$A$6:$A$255,0)),"⚠项目编号不存在"))</f>
        <v/>
      </c>
      <c r="N421" s="35" t="str">
        <f aca="false">IF($E421="","",IF($E421=IFERROR(INDEX(项目档案!$D$6:$D$255,MATCH($C421,项目档案!$A$6:$A$255,0)),""),"一级",IF($E421=IFERROR(INDEX(项目档案!$F$6:$F$255,MATCH($C421,项目档案!$A$6:$A$255,0)),""),"二级",IF($E421=IFERROR(INDEX(项目档案!$H$6:$H$255,MATCH($C421,项目档案!$A$6:$A$255,0)),""),"我方","—"))))</f>
        <v/>
      </c>
      <c r="O421" s="36" t="n">
        <f aca="false">IF($D421&lt;&gt;"销项开票",0,ROUND(N($H421)*N($I421),2))</f>
        <v>0</v>
      </c>
      <c r="P421" s="36" t="n">
        <f aca="false">IF($D421&lt;&gt;"销项开票",0,ROUND(N($H421)-$O421,2))</f>
        <v>0</v>
      </c>
      <c r="Q421" s="37" t="str">
        <f aca="false">IF($E421="","",N(IFERROR(INDEX(单位档案!$E$6:$E$35,MATCH($E421,单位档案!$A$6:$A$35,0)),"")))</f>
        <v/>
      </c>
      <c r="R421" s="37" t="str">
        <f aca="false">IF($E421="","",N(IFERROR(INDEX(单位档案!$F$6:$F$35,MATCH($E421,单位档案!$A$6:$A$35,0)),"")))</f>
        <v/>
      </c>
      <c r="S421" s="36" t="n">
        <f aca="false">IF(OR($D421&lt;&gt;"销项开票",IFERROR(INDEX(单位档案!$G$6:$G$35,MATCH($E421,单位档案!$A$6:$A$35,0)),"")&lt;&gt;"是",N($Q421)=0),0,IF(IFERROR(INDEX(单位档案!$H$6:$H$35,MATCH($E421,单位档案!$A$6:$A$35,0)),"")="税差法",ROUND(N($H421)/(1+$Q421)*$Q421-IF(N($R421)=0,0,$P421/(1+$R421)*$R421),2),ROUND(N($H421)/(1+$Q421)*$Q421,2)))</f>
        <v>0</v>
      </c>
      <c r="T421" s="36" t="n">
        <f aca="false">ROUND($S421*N(IFERROR(INDEX(单位档案!$J$6:$J$35,MATCH($E421,单位档案!$A$6:$A$35,0)),"")),2)</f>
        <v>0</v>
      </c>
      <c r="U421" s="36" t="n">
        <f aca="false">IF($D421&lt;&gt;"销项开票",0,ROUND(N($H421)*N(IFERROR(INDEX(单位档案!$K$6:$K$35,MATCH($E421,单位档案!$A$6:$A$35,0)),"")),2))</f>
        <v>0</v>
      </c>
      <c r="V421" s="36" t="n">
        <f aca="false">IF(OR($D421&lt;&gt;"销项开票",N($Q421)=0),0,ROUND(N($H421)/(1+$Q421)*N(IFERROR(INDEX(单位档案!$L$6:$L$35,MATCH($E421,单位档案!$A$6:$A$35,0)),"")),2))</f>
        <v>0</v>
      </c>
      <c r="W421" s="36" t="n">
        <f aca="false">ROUND($S421+$T421+$U421+$V421,2)</f>
        <v>0</v>
      </c>
      <c r="X421" s="35" t="str">
        <f aca="false">IF(OR($D421="挂靠代收",$D421="我方收款"),COUNTIFS($D$5:$D421,"挂靠代收")+COUNTIFS($D$5:$D421,"我方收款"),"")</f>
        <v/>
      </c>
      <c r="Y421" s="35"/>
      <c r="Z421" s="21" t="s">
        <v>111</v>
      </c>
    </row>
    <row r="422" customFormat="false" ht="15.75" hidden="false" customHeight="true" outlineLevel="0" collapsed="false">
      <c r="A422" s="32" t="str">
        <f aca="false">IF($B422="","",ROW()-4)</f>
        <v/>
      </c>
      <c r="B422" s="26"/>
      <c r="C422" s="24"/>
      <c r="D422" s="21"/>
      <c r="E422" s="21"/>
      <c r="F422" s="21"/>
      <c r="G422" s="21"/>
      <c r="H422" s="27"/>
      <c r="I422" s="23" t="str">
        <f aca="false">IF($D422&lt;&gt;"销项开票","",IF($N422="一级",IF(IFERROR(INDEX(项目档案!$E$6:$E$255,MATCH($C422,项目档案!$A$6:$A$255,0)),"")="",N(IFERROR(INDEX(单位档案!$D$6:$D$35,MATCH($E422,单位档案!$A$6:$A$35,0)),"")),IFERROR(INDEX(项目档案!$E$6:$E$255,MATCH($C422,项目档案!$A$6:$A$255,0)),"")),IF($N422="二级",IF(IFERROR(INDEX(项目档案!$G$6:$G$255,MATCH($C422,项目档案!$A$6:$A$255,0)),"")="",N(IFERROR(INDEX(单位档案!$D$6:$D$35,MATCH($E422,单位档案!$A$6:$A$35,0)),"")),IFERROR(INDEX(项目档案!$G$6:$G$255,MATCH($C422,项目档案!$A$6:$A$255,0)),"")),N(IFERROR(INDEX(单位档案!$D$6:$D$35,MATCH($E422,单位档案!$A$6:$A$35,0)),"")))))</f>
        <v/>
      </c>
      <c r="J422" s="22"/>
      <c r="K422" s="22"/>
      <c r="L422" s="33" t="str">
        <f aca="false">IF($B422="","",IF(NOT(ISNUMBER($B422)),"日期格式不对",IF($C422="","未选项目编号",IF(LEFT($M422,1)="⚠","项目编号不存在",IF($D422="","未选业务类型",IF($E422="","未选开票/付款方",IF(ISNA(MATCH($E422,单位档案!$A$6:$A$35,0)),"开票方不在单位档案",IF($F422="","未选收票/收款方",IF(ISNA(MATCH($F422,单位档案!$A$6:$A$35,0)),"收款方不在单位档案",IF(NOT(ISNUMBER($H422)),"金额须为数字",IF(AND($D422="销项开票",$N422="—"),"链条待确认","√")))))))))))</f>
        <v/>
      </c>
      <c r="M422" s="34" t="str">
        <f aca="false">IF($C422="","",IFERROR(INDEX(项目档案!$B$6:$B$255,MATCH($C422,项目档案!$A$6:$A$255,0)),"⚠项目编号不存在"))</f>
        <v/>
      </c>
      <c r="N422" s="35" t="str">
        <f aca="false">IF($E422="","",IF($E422=IFERROR(INDEX(项目档案!$D$6:$D$255,MATCH($C422,项目档案!$A$6:$A$255,0)),""),"一级",IF($E422=IFERROR(INDEX(项目档案!$F$6:$F$255,MATCH($C422,项目档案!$A$6:$A$255,0)),""),"二级",IF($E422=IFERROR(INDEX(项目档案!$H$6:$H$255,MATCH($C422,项目档案!$A$6:$A$255,0)),""),"我方","—"))))</f>
        <v/>
      </c>
      <c r="O422" s="36" t="n">
        <f aca="false">IF($D422&lt;&gt;"销项开票",0,ROUND(N($H422)*N($I422),2))</f>
        <v>0</v>
      </c>
      <c r="P422" s="36" t="n">
        <f aca="false">IF($D422&lt;&gt;"销项开票",0,ROUND(N($H422)-$O422,2))</f>
        <v>0</v>
      </c>
      <c r="Q422" s="37" t="str">
        <f aca="false">IF($E422="","",N(IFERROR(INDEX(单位档案!$E$6:$E$35,MATCH($E422,单位档案!$A$6:$A$35,0)),"")))</f>
        <v/>
      </c>
      <c r="R422" s="37" t="str">
        <f aca="false">IF($E422="","",N(IFERROR(INDEX(单位档案!$F$6:$F$35,MATCH($E422,单位档案!$A$6:$A$35,0)),"")))</f>
        <v/>
      </c>
      <c r="S422" s="36" t="n">
        <f aca="false">IF(OR($D422&lt;&gt;"销项开票",IFERROR(INDEX(单位档案!$G$6:$G$35,MATCH($E422,单位档案!$A$6:$A$35,0)),"")&lt;&gt;"是",N($Q422)=0),0,IF(IFERROR(INDEX(单位档案!$H$6:$H$35,MATCH($E422,单位档案!$A$6:$A$35,0)),"")="税差法",ROUND(N($H422)/(1+$Q422)*$Q422-IF(N($R422)=0,0,$P422/(1+$R422)*$R422),2),ROUND(N($H422)/(1+$Q422)*$Q422,2)))</f>
        <v>0</v>
      </c>
      <c r="T422" s="36" t="n">
        <f aca="false">ROUND($S422*N(IFERROR(INDEX(单位档案!$J$6:$J$35,MATCH($E422,单位档案!$A$6:$A$35,0)),"")),2)</f>
        <v>0</v>
      </c>
      <c r="U422" s="36" t="n">
        <f aca="false">IF($D422&lt;&gt;"销项开票",0,ROUND(N($H422)*N(IFERROR(INDEX(单位档案!$K$6:$K$35,MATCH($E422,单位档案!$A$6:$A$35,0)),"")),2))</f>
        <v>0</v>
      </c>
      <c r="V422" s="36" t="n">
        <f aca="false">IF(OR($D422&lt;&gt;"销项开票",N($Q422)=0),0,ROUND(N($H422)/(1+$Q422)*N(IFERROR(INDEX(单位档案!$L$6:$L$35,MATCH($E422,单位档案!$A$6:$A$35,0)),"")),2))</f>
        <v>0</v>
      </c>
      <c r="W422" s="36" t="n">
        <f aca="false">ROUND($S422+$T422+$U422+$V422,2)</f>
        <v>0</v>
      </c>
      <c r="X422" s="35" t="str">
        <f aca="false">IF(OR($D422="挂靠代收",$D422="我方收款"),COUNTIFS($D$5:$D422,"挂靠代收")+COUNTIFS($D$5:$D422,"我方收款"),"")</f>
        <v/>
      </c>
      <c r="Y422" s="35"/>
      <c r="Z422" s="21" t="s">
        <v>111</v>
      </c>
    </row>
    <row r="423" customFormat="false" ht="15.75" hidden="false" customHeight="true" outlineLevel="0" collapsed="false">
      <c r="A423" s="32" t="str">
        <f aca="false">IF($B423="","",ROW()-4)</f>
        <v/>
      </c>
      <c r="B423" s="26"/>
      <c r="C423" s="24"/>
      <c r="D423" s="21"/>
      <c r="E423" s="21"/>
      <c r="F423" s="21"/>
      <c r="G423" s="21"/>
      <c r="H423" s="27"/>
      <c r="I423" s="23" t="str">
        <f aca="false">IF($D423&lt;&gt;"销项开票","",IF($N423="一级",IF(IFERROR(INDEX(项目档案!$E$6:$E$255,MATCH($C423,项目档案!$A$6:$A$255,0)),"")="",N(IFERROR(INDEX(单位档案!$D$6:$D$35,MATCH($E423,单位档案!$A$6:$A$35,0)),"")),IFERROR(INDEX(项目档案!$E$6:$E$255,MATCH($C423,项目档案!$A$6:$A$255,0)),"")),IF($N423="二级",IF(IFERROR(INDEX(项目档案!$G$6:$G$255,MATCH($C423,项目档案!$A$6:$A$255,0)),"")="",N(IFERROR(INDEX(单位档案!$D$6:$D$35,MATCH($E423,单位档案!$A$6:$A$35,0)),"")),IFERROR(INDEX(项目档案!$G$6:$G$255,MATCH($C423,项目档案!$A$6:$A$255,0)),"")),N(IFERROR(INDEX(单位档案!$D$6:$D$35,MATCH($E423,单位档案!$A$6:$A$35,0)),"")))))</f>
        <v/>
      </c>
      <c r="J423" s="22"/>
      <c r="K423" s="22"/>
      <c r="L423" s="33" t="str">
        <f aca="false">IF($B423="","",IF(NOT(ISNUMBER($B423)),"日期格式不对",IF($C423="","未选项目编号",IF(LEFT($M423,1)="⚠","项目编号不存在",IF($D423="","未选业务类型",IF($E423="","未选开票/付款方",IF(ISNA(MATCH($E423,单位档案!$A$6:$A$35,0)),"开票方不在单位档案",IF($F423="","未选收票/收款方",IF(ISNA(MATCH($F423,单位档案!$A$6:$A$35,0)),"收款方不在单位档案",IF(NOT(ISNUMBER($H423)),"金额须为数字",IF(AND($D423="销项开票",$N423="—"),"链条待确认","√")))))))))))</f>
        <v/>
      </c>
      <c r="M423" s="34" t="str">
        <f aca="false">IF($C423="","",IFERROR(INDEX(项目档案!$B$6:$B$255,MATCH($C423,项目档案!$A$6:$A$255,0)),"⚠项目编号不存在"))</f>
        <v/>
      </c>
      <c r="N423" s="35" t="str">
        <f aca="false">IF($E423="","",IF($E423=IFERROR(INDEX(项目档案!$D$6:$D$255,MATCH($C423,项目档案!$A$6:$A$255,0)),""),"一级",IF($E423=IFERROR(INDEX(项目档案!$F$6:$F$255,MATCH($C423,项目档案!$A$6:$A$255,0)),""),"二级",IF($E423=IFERROR(INDEX(项目档案!$H$6:$H$255,MATCH($C423,项目档案!$A$6:$A$255,0)),""),"我方","—"))))</f>
        <v/>
      </c>
      <c r="O423" s="36" t="n">
        <f aca="false">IF($D423&lt;&gt;"销项开票",0,ROUND(N($H423)*N($I423),2))</f>
        <v>0</v>
      </c>
      <c r="P423" s="36" t="n">
        <f aca="false">IF($D423&lt;&gt;"销项开票",0,ROUND(N($H423)-$O423,2))</f>
        <v>0</v>
      </c>
      <c r="Q423" s="37" t="str">
        <f aca="false">IF($E423="","",N(IFERROR(INDEX(单位档案!$E$6:$E$35,MATCH($E423,单位档案!$A$6:$A$35,0)),"")))</f>
        <v/>
      </c>
      <c r="R423" s="37" t="str">
        <f aca="false">IF($E423="","",N(IFERROR(INDEX(单位档案!$F$6:$F$35,MATCH($E423,单位档案!$A$6:$A$35,0)),"")))</f>
        <v/>
      </c>
      <c r="S423" s="36" t="n">
        <f aca="false">IF(OR($D423&lt;&gt;"销项开票",IFERROR(INDEX(单位档案!$G$6:$G$35,MATCH($E423,单位档案!$A$6:$A$35,0)),"")&lt;&gt;"是",N($Q423)=0),0,IF(IFERROR(INDEX(单位档案!$H$6:$H$35,MATCH($E423,单位档案!$A$6:$A$35,0)),"")="税差法",ROUND(N($H423)/(1+$Q423)*$Q423-IF(N($R423)=0,0,$P423/(1+$R423)*$R423),2),ROUND(N($H423)/(1+$Q423)*$Q423,2)))</f>
        <v>0</v>
      </c>
      <c r="T423" s="36" t="n">
        <f aca="false">ROUND($S423*N(IFERROR(INDEX(单位档案!$J$6:$J$35,MATCH($E423,单位档案!$A$6:$A$35,0)),"")),2)</f>
        <v>0</v>
      </c>
      <c r="U423" s="36" t="n">
        <f aca="false">IF($D423&lt;&gt;"销项开票",0,ROUND(N($H423)*N(IFERROR(INDEX(单位档案!$K$6:$K$35,MATCH($E423,单位档案!$A$6:$A$35,0)),"")),2))</f>
        <v>0</v>
      </c>
      <c r="V423" s="36" t="n">
        <f aca="false">IF(OR($D423&lt;&gt;"销项开票",N($Q423)=0),0,ROUND(N($H423)/(1+$Q423)*N(IFERROR(INDEX(单位档案!$L$6:$L$35,MATCH($E423,单位档案!$A$6:$A$35,0)),"")),2))</f>
        <v>0</v>
      </c>
      <c r="W423" s="36" t="n">
        <f aca="false">ROUND($S423+$T423+$U423+$V423,2)</f>
        <v>0</v>
      </c>
      <c r="X423" s="35" t="str">
        <f aca="false">IF(OR($D423="挂靠代收",$D423="我方收款"),COUNTIFS($D$5:$D423,"挂靠代收")+COUNTIFS($D$5:$D423,"我方收款"),"")</f>
        <v/>
      </c>
      <c r="Y423" s="35"/>
      <c r="Z423" s="21" t="s">
        <v>111</v>
      </c>
    </row>
    <row r="424" customFormat="false" ht="15.75" hidden="false" customHeight="true" outlineLevel="0" collapsed="false">
      <c r="A424" s="32" t="str">
        <f aca="false">IF($B424="","",ROW()-4)</f>
        <v/>
      </c>
      <c r="B424" s="26"/>
      <c r="C424" s="24"/>
      <c r="D424" s="21"/>
      <c r="E424" s="21"/>
      <c r="F424" s="21"/>
      <c r="G424" s="21"/>
      <c r="H424" s="27"/>
      <c r="I424" s="23" t="str">
        <f aca="false">IF($D424&lt;&gt;"销项开票","",IF($N424="一级",IF(IFERROR(INDEX(项目档案!$E$6:$E$255,MATCH($C424,项目档案!$A$6:$A$255,0)),"")="",N(IFERROR(INDEX(单位档案!$D$6:$D$35,MATCH($E424,单位档案!$A$6:$A$35,0)),"")),IFERROR(INDEX(项目档案!$E$6:$E$255,MATCH($C424,项目档案!$A$6:$A$255,0)),"")),IF($N424="二级",IF(IFERROR(INDEX(项目档案!$G$6:$G$255,MATCH($C424,项目档案!$A$6:$A$255,0)),"")="",N(IFERROR(INDEX(单位档案!$D$6:$D$35,MATCH($E424,单位档案!$A$6:$A$35,0)),"")),IFERROR(INDEX(项目档案!$G$6:$G$255,MATCH($C424,项目档案!$A$6:$A$255,0)),"")),N(IFERROR(INDEX(单位档案!$D$6:$D$35,MATCH($E424,单位档案!$A$6:$A$35,0)),"")))))</f>
        <v/>
      </c>
      <c r="J424" s="22"/>
      <c r="K424" s="22"/>
      <c r="L424" s="33" t="str">
        <f aca="false">IF($B424="","",IF(NOT(ISNUMBER($B424)),"日期格式不对",IF($C424="","未选项目编号",IF(LEFT($M424,1)="⚠","项目编号不存在",IF($D424="","未选业务类型",IF($E424="","未选开票/付款方",IF(ISNA(MATCH($E424,单位档案!$A$6:$A$35,0)),"开票方不在单位档案",IF($F424="","未选收票/收款方",IF(ISNA(MATCH($F424,单位档案!$A$6:$A$35,0)),"收款方不在单位档案",IF(NOT(ISNUMBER($H424)),"金额须为数字",IF(AND($D424="销项开票",$N424="—"),"链条待确认","√")))))))))))</f>
        <v/>
      </c>
      <c r="M424" s="34" t="str">
        <f aca="false">IF($C424="","",IFERROR(INDEX(项目档案!$B$6:$B$255,MATCH($C424,项目档案!$A$6:$A$255,0)),"⚠项目编号不存在"))</f>
        <v/>
      </c>
      <c r="N424" s="35" t="str">
        <f aca="false">IF($E424="","",IF($E424=IFERROR(INDEX(项目档案!$D$6:$D$255,MATCH($C424,项目档案!$A$6:$A$255,0)),""),"一级",IF($E424=IFERROR(INDEX(项目档案!$F$6:$F$255,MATCH($C424,项目档案!$A$6:$A$255,0)),""),"二级",IF($E424=IFERROR(INDEX(项目档案!$H$6:$H$255,MATCH($C424,项目档案!$A$6:$A$255,0)),""),"我方","—"))))</f>
        <v/>
      </c>
      <c r="O424" s="36" t="n">
        <f aca="false">IF($D424&lt;&gt;"销项开票",0,ROUND(N($H424)*N($I424),2))</f>
        <v>0</v>
      </c>
      <c r="P424" s="36" t="n">
        <f aca="false">IF($D424&lt;&gt;"销项开票",0,ROUND(N($H424)-$O424,2))</f>
        <v>0</v>
      </c>
      <c r="Q424" s="37" t="str">
        <f aca="false">IF($E424="","",N(IFERROR(INDEX(单位档案!$E$6:$E$35,MATCH($E424,单位档案!$A$6:$A$35,0)),"")))</f>
        <v/>
      </c>
      <c r="R424" s="37" t="str">
        <f aca="false">IF($E424="","",N(IFERROR(INDEX(单位档案!$F$6:$F$35,MATCH($E424,单位档案!$A$6:$A$35,0)),"")))</f>
        <v/>
      </c>
      <c r="S424" s="36" t="n">
        <f aca="false">IF(OR($D424&lt;&gt;"销项开票",IFERROR(INDEX(单位档案!$G$6:$G$35,MATCH($E424,单位档案!$A$6:$A$35,0)),"")&lt;&gt;"是",N($Q424)=0),0,IF(IFERROR(INDEX(单位档案!$H$6:$H$35,MATCH($E424,单位档案!$A$6:$A$35,0)),"")="税差法",ROUND(N($H424)/(1+$Q424)*$Q424-IF(N($R424)=0,0,$P424/(1+$R424)*$R424),2),ROUND(N($H424)/(1+$Q424)*$Q424,2)))</f>
        <v>0</v>
      </c>
      <c r="T424" s="36" t="n">
        <f aca="false">ROUND($S424*N(IFERROR(INDEX(单位档案!$J$6:$J$35,MATCH($E424,单位档案!$A$6:$A$35,0)),"")),2)</f>
        <v>0</v>
      </c>
      <c r="U424" s="36" t="n">
        <f aca="false">IF($D424&lt;&gt;"销项开票",0,ROUND(N($H424)*N(IFERROR(INDEX(单位档案!$K$6:$K$35,MATCH($E424,单位档案!$A$6:$A$35,0)),"")),2))</f>
        <v>0</v>
      </c>
      <c r="V424" s="36" t="n">
        <f aca="false">IF(OR($D424&lt;&gt;"销项开票",N($Q424)=0),0,ROUND(N($H424)/(1+$Q424)*N(IFERROR(INDEX(单位档案!$L$6:$L$35,MATCH($E424,单位档案!$A$6:$A$35,0)),"")),2))</f>
        <v>0</v>
      </c>
      <c r="W424" s="36" t="n">
        <f aca="false">ROUND($S424+$T424+$U424+$V424,2)</f>
        <v>0</v>
      </c>
      <c r="X424" s="35" t="str">
        <f aca="false">IF(OR($D424="挂靠代收",$D424="我方收款"),COUNTIFS($D$5:$D424,"挂靠代收")+COUNTIFS($D$5:$D424,"我方收款"),"")</f>
        <v/>
      </c>
      <c r="Y424" s="35"/>
      <c r="Z424" s="21" t="s">
        <v>111</v>
      </c>
    </row>
    <row r="425" customFormat="false" ht="15.75" hidden="false" customHeight="true" outlineLevel="0" collapsed="false">
      <c r="A425" s="32" t="str">
        <f aca="false">IF($B425="","",ROW()-4)</f>
        <v/>
      </c>
      <c r="B425" s="26"/>
      <c r="C425" s="24"/>
      <c r="D425" s="21"/>
      <c r="E425" s="21"/>
      <c r="F425" s="21"/>
      <c r="G425" s="21"/>
      <c r="H425" s="27"/>
      <c r="I425" s="23" t="str">
        <f aca="false">IF($D425&lt;&gt;"销项开票","",IF($N425="一级",IF(IFERROR(INDEX(项目档案!$E$6:$E$255,MATCH($C425,项目档案!$A$6:$A$255,0)),"")="",N(IFERROR(INDEX(单位档案!$D$6:$D$35,MATCH($E425,单位档案!$A$6:$A$35,0)),"")),IFERROR(INDEX(项目档案!$E$6:$E$255,MATCH($C425,项目档案!$A$6:$A$255,0)),"")),IF($N425="二级",IF(IFERROR(INDEX(项目档案!$G$6:$G$255,MATCH($C425,项目档案!$A$6:$A$255,0)),"")="",N(IFERROR(INDEX(单位档案!$D$6:$D$35,MATCH($E425,单位档案!$A$6:$A$35,0)),"")),IFERROR(INDEX(项目档案!$G$6:$G$255,MATCH($C425,项目档案!$A$6:$A$255,0)),"")),N(IFERROR(INDEX(单位档案!$D$6:$D$35,MATCH($E425,单位档案!$A$6:$A$35,0)),"")))))</f>
        <v/>
      </c>
      <c r="J425" s="22"/>
      <c r="K425" s="22"/>
      <c r="L425" s="33" t="str">
        <f aca="false">IF($B425="","",IF(NOT(ISNUMBER($B425)),"日期格式不对",IF($C425="","未选项目编号",IF(LEFT($M425,1)="⚠","项目编号不存在",IF($D425="","未选业务类型",IF($E425="","未选开票/付款方",IF(ISNA(MATCH($E425,单位档案!$A$6:$A$35,0)),"开票方不在单位档案",IF($F425="","未选收票/收款方",IF(ISNA(MATCH($F425,单位档案!$A$6:$A$35,0)),"收款方不在单位档案",IF(NOT(ISNUMBER($H425)),"金额须为数字",IF(AND($D425="销项开票",$N425="—"),"链条待确认","√")))))))))))</f>
        <v/>
      </c>
      <c r="M425" s="34" t="str">
        <f aca="false">IF($C425="","",IFERROR(INDEX(项目档案!$B$6:$B$255,MATCH($C425,项目档案!$A$6:$A$255,0)),"⚠项目编号不存在"))</f>
        <v/>
      </c>
      <c r="N425" s="35" t="str">
        <f aca="false">IF($E425="","",IF($E425=IFERROR(INDEX(项目档案!$D$6:$D$255,MATCH($C425,项目档案!$A$6:$A$255,0)),""),"一级",IF($E425=IFERROR(INDEX(项目档案!$F$6:$F$255,MATCH($C425,项目档案!$A$6:$A$255,0)),""),"二级",IF($E425=IFERROR(INDEX(项目档案!$H$6:$H$255,MATCH($C425,项目档案!$A$6:$A$255,0)),""),"我方","—"))))</f>
        <v/>
      </c>
      <c r="O425" s="36" t="n">
        <f aca="false">IF($D425&lt;&gt;"销项开票",0,ROUND(N($H425)*N($I425),2))</f>
        <v>0</v>
      </c>
      <c r="P425" s="36" t="n">
        <f aca="false">IF($D425&lt;&gt;"销项开票",0,ROUND(N($H425)-$O425,2))</f>
        <v>0</v>
      </c>
      <c r="Q425" s="37" t="str">
        <f aca="false">IF($E425="","",N(IFERROR(INDEX(单位档案!$E$6:$E$35,MATCH($E425,单位档案!$A$6:$A$35,0)),"")))</f>
        <v/>
      </c>
      <c r="R425" s="37" t="str">
        <f aca="false">IF($E425="","",N(IFERROR(INDEX(单位档案!$F$6:$F$35,MATCH($E425,单位档案!$A$6:$A$35,0)),"")))</f>
        <v/>
      </c>
      <c r="S425" s="36" t="n">
        <f aca="false">IF(OR($D425&lt;&gt;"销项开票",IFERROR(INDEX(单位档案!$G$6:$G$35,MATCH($E425,单位档案!$A$6:$A$35,0)),"")&lt;&gt;"是",N($Q425)=0),0,IF(IFERROR(INDEX(单位档案!$H$6:$H$35,MATCH($E425,单位档案!$A$6:$A$35,0)),"")="税差法",ROUND(N($H425)/(1+$Q425)*$Q425-IF(N($R425)=0,0,$P425/(1+$R425)*$R425),2),ROUND(N($H425)/(1+$Q425)*$Q425,2)))</f>
        <v>0</v>
      </c>
      <c r="T425" s="36" t="n">
        <f aca="false">ROUND($S425*N(IFERROR(INDEX(单位档案!$J$6:$J$35,MATCH($E425,单位档案!$A$6:$A$35,0)),"")),2)</f>
        <v>0</v>
      </c>
      <c r="U425" s="36" t="n">
        <f aca="false">IF($D425&lt;&gt;"销项开票",0,ROUND(N($H425)*N(IFERROR(INDEX(单位档案!$K$6:$K$35,MATCH($E425,单位档案!$A$6:$A$35,0)),"")),2))</f>
        <v>0</v>
      </c>
      <c r="V425" s="36" t="n">
        <f aca="false">IF(OR($D425&lt;&gt;"销项开票",N($Q425)=0),0,ROUND(N($H425)/(1+$Q425)*N(IFERROR(INDEX(单位档案!$L$6:$L$35,MATCH($E425,单位档案!$A$6:$A$35,0)),"")),2))</f>
        <v>0</v>
      </c>
      <c r="W425" s="36" t="n">
        <f aca="false">ROUND($S425+$T425+$U425+$V425,2)</f>
        <v>0</v>
      </c>
      <c r="X425" s="35" t="str">
        <f aca="false">IF(OR($D425="挂靠代收",$D425="我方收款"),COUNTIFS($D$5:$D425,"挂靠代收")+COUNTIFS($D$5:$D425,"我方收款"),"")</f>
        <v/>
      </c>
      <c r="Y425" s="35"/>
      <c r="Z425" s="21" t="s">
        <v>111</v>
      </c>
    </row>
    <row r="426" customFormat="false" ht="15.75" hidden="false" customHeight="true" outlineLevel="0" collapsed="false">
      <c r="A426" s="32" t="str">
        <f aca="false">IF($B426="","",ROW()-4)</f>
        <v/>
      </c>
      <c r="B426" s="26"/>
      <c r="C426" s="24"/>
      <c r="D426" s="21"/>
      <c r="E426" s="21"/>
      <c r="F426" s="21"/>
      <c r="G426" s="21"/>
      <c r="H426" s="27"/>
      <c r="I426" s="23" t="str">
        <f aca="false">IF($D426&lt;&gt;"销项开票","",IF($N426="一级",IF(IFERROR(INDEX(项目档案!$E$6:$E$255,MATCH($C426,项目档案!$A$6:$A$255,0)),"")="",N(IFERROR(INDEX(单位档案!$D$6:$D$35,MATCH($E426,单位档案!$A$6:$A$35,0)),"")),IFERROR(INDEX(项目档案!$E$6:$E$255,MATCH($C426,项目档案!$A$6:$A$255,0)),"")),IF($N426="二级",IF(IFERROR(INDEX(项目档案!$G$6:$G$255,MATCH($C426,项目档案!$A$6:$A$255,0)),"")="",N(IFERROR(INDEX(单位档案!$D$6:$D$35,MATCH($E426,单位档案!$A$6:$A$35,0)),"")),IFERROR(INDEX(项目档案!$G$6:$G$255,MATCH($C426,项目档案!$A$6:$A$255,0)),"")),N(IFERROR(INDEX(单位档案!$D$6:$D$35,MATCH($E426,单位档案!$A$6:$A$35,0)),"")))))</f>
        <v/>
      </c>
      <c r="J426" s="22"/>
      <c r="K426" s="22"/>
      <c r="L426" s="33" t="str">
        <f aca="false">IF($B426="","",IF(NOT(ISNUMBER($B426)),"日期格式不对",IF($C426="","未选项目编号",IF(LEFT($M426,1)="⚠","项目编号不存在",IF($D426="","未选业务类型",IF($E426="","未选开票/付款方",IF(ISNA(MATCH($E426,单位档案!$A$6:$A$35,0)),"开票方不在单位档案",IF($F426="","未选收票/收款方",IF(ISNA(MATCH($F426,单位档案!$A$6:$A$35,0)),"收款方不在单位档案",IF(NOT(ISNUMBER($H426)),"金额须为数字",IF(AND($D426="销项开票",$N426="—"),"链条待确认","√")))))))))))</f>
        <v/>
      </c>
      <c r="M426" s="34" t="str">
        <f aca="false">IF($C426="","",IFERROR(INDEX(项目档案!$B$6:$B$255,MATCH($C426,项目档案!$A$6:$A$255,0)),"⚠项目编号不存在"))</f>
        <v/>
      </c>
      <c r="N426" s="35" t="str">
        <f aca="false">IF($E426="","",IF($E426=IFERROR(INDEX(项目档案!$D$6:$D$255,MATCH($C426,项目档案!$A$6:$A$255,0)),""),"一级",IF($E426=IFERROR(INDEX(项目档案!$F$6:$F$255,MATCH($C426,项目档案!$A$6:$A$255,0)),""),"二级",IF($E426=IFERROR(INDEX(项目档案!$H$6:$H$255,MATCH($C426,项目档案!$A$6:$A$255,0)),""),"我方","—"))))</f>
        <v/>
      </c>
      <c r="O426" s="36" t="n">
        <f aca="false">IF($D426&lt;&gt;"销项开票",0,ROUND(N($H426)*N($I426),2))</f>
        <v>0</v>
      </c>
      <c r="P426" s="36" t="n">
        <f aca="false">IF($D426&lt;&gt;"销项开票",0,ROUND(N($H426)-$O426,2))</f>
        <v>0</v>
      </c>
      <c r="Q426" s="37" t="str">
        <f aca="false">IF($E426="","",N(IFERROR(INDEX(单位档案!$E$6:$E$35,MATCH($E426,单位档案!$A$6:$A$35,0)),"")))</f>
        <v/>
      </c>
      <c r="R426" s="37" t="str">
        <f aca="false">IF($E426="","",N(IFERROR(INDEX(单位档案!$F$6:$F$35,MATCH($E426,单位档案!$A$6:$A$35,0)),"")))</f>
        <v/>
      </c>
      <c r="S426" s="36" t="n">
        <f aca="false">IF(OR($D426&lt;&gt;"销项开票",IFERROR(INDEX(单位档案!$G$6:$G$35,MATCH($E426,单位档案!$A$6:$A$35,0)),"")&lt;&gt;"是",N($Q426)=0),0,IF(IFERROR(INDEX(单位档案!$H$6:$H$35,MATCH($E426,单位档案!$A$6:$A$35,0)),"")="税差法",ROUND(N($H426)/(1+$Q426)*$Q426-IF(N($R426)=0,0,$P426/(1+$R426)*$R426),2),ROUND(N($H426)/(1+$Q426)*$Q426,2)))</f>
        <v>0</v>
      </c>
      <c r="T426" s="36" t="n">
        <f aca="false">ROUND($S426*N(IFERROR(INDEX(单位档案!$J$6:$J$35,MATCH($E426,单位档案!$A$6:$A$35,0)),"")),2)</f>
        <v>0</v>
      </c>
      <c r="U426" s="36" t="n">
        <f aca="false">IF($D426&lt;&gt;"销项开票",0,ROUND(N($H426)*N(IFERROR(INDEX(单位档案!$K$6:$K$35,MATCH($E426,单位档案!$A$6:$A$35,0)),"")),2))</f>
        <v>0</v>
      </c>
      <c r="V426" s="36" t="n">
        <f aca="false">IF(OR($D426&lt;&gt;"销项开票",N($Q426)=0),0,ROUND(N($H426)/(1+$Q426)*N(IFERROR(INDEX(单位档案!$L$6:$L$35,MATCH($E426,单位档案!$A$6:$A$35,0)),"")),2))</f>
        <v>0</v>
      </c>
      <c r="W426" s="36" t="n">
        <f aca="false">ROUND($S426+$T426+$U426+$V426,2)</f>
        <v>0</v>
      </c>
      <c r="X426" s="35" t="str">
        <f aca="false">IF(OR($D426="挂靠代收",$D426="我方收款"),COUNTIFS($D$5:$D426,"挂靠代收")+COUNTIFS($D$5:$D426,"我方收款"),"")</f>
        <v/>
      </c>
      <c r="Y426" s="35"/>
      <c r="Z426" s="21" t="s">
        <v>111</v>
      </c>
    </row>
    <row r="427" customFormat="false" ht="15.75" hidden="false" customHeight="true" outlineLevel="0" collapsed="false">
      <c r="A427" s="32" t="str">
        <f aca="false">IF($B427="","",ROW()-4)</f>
        <v/>
      </c>
      <c r="B427" s="26"/>
      <c r="C427" s="24"/>
      <c r="D427" s="21"/>
      <c r="E427" s="21"/>
      <c r="F427" s="21"/>
      <c r="G427" s="21"/>
      <c r="H427" s="27"/>
      <c r="I427" s="23" t="str">
        <f aca="false">IF($D427&lt;&gt;"销项开票","",IF($N427="一级",IF(IFERROR(INDEX(项目档案!$E$6:$E$255,MATCH($C427,项目档案!$A$6:$A$255,0)),"")="",N(IFERROR(INDEX(单位档案!$D$6:$D$35,MATCH($E427,单位档案!$A$6:$A$35,0)),"")),IFERROR(INDEX(项目档案!$E$6:$E$255,MATCH($C427,项目档案!$A$6:$A$255,0)),"")),IF($N427="二级",IF(IFERROR(INDEX(项目档案!$G$6:$G$255,MATCH($C427,项目档案!$A$6:$A$255,0)),"")="",N(IFERROR(INDEX(单位档案!$D$6:$D$35,MATCH($E427,单位档案!$A$6:$A$35,0)),"")),IFERROR(INDEX(项目档案!$G$6:$G$255,MATCH($C427,项目档案!$A$6:$A$255,0)),"")),N(IFERROR(INDEX(单位档案!$D$6:$D$35,MATCH($E427,单位档案!$A$6:$A$35,0)),"")))))</f>
        <v/>
      </c>
      <c r="J427" s="22"/>
      <c r="K427" s="22"/>
      <c r="L427" s="33" t="str">
        <f aca="false">IF($B427="","",IF(NOT(ISNUMBER($B427)),"日期格式不对",IF($C427="","未选项目编号",IF(LEFT($M427,1)="⚠","项目编号不存在",IF($D427="","未选业务类型",IF($E427="","未选开票/付款方",IF(ISNA(MATCH($E427,单位档案!$A$6:$A$35,0)),"开票方不在单位档案",IF($F427="","未选收票/收款方",IF(ISNA(MATCH($F427,单位档案!$A$6:$A$35,0)),"收款方不在单位档案",IF(NOT(ISNUMBER($H427)),"金额须为数字",IF(AND($D427="销项开票",$N427="—"),"链条待确认","√")))))))))))</f>
        <v/>
      </c>
      <c r="M427" s="34" t="str">
        <f aca="false">IF($C427="","",IFERROR(INDEX(项目档案!$B$6:$B$255,MATCH($C427,项目档案!$A$6:$A$255,0)),"⚠项目编号不存在"))</f>
        <v/>
      </c>
      <c r="N427" s="35" t="str">
        <f aca="false">IF($E427="","",IF($E427=IFERROR(INDEX(项目档案!$D$6:$D$255,MATCH($C427,项目档案!$A$6:$A$255,0)),""),"一级",IF($E427=IFERROR(INDEX(项目档案!$F$6:$F$255,MATCH($C427,项目档案!$A$6:$A$255,0)),""),"二级",IF($E427=IFERROR(INDEX(项目档案!$H$6:$H$255,MATCH($C427,项目档案!$A$6:$A$255,0)),""),"我方","—"))))</f>
        <v/>
      </c>
      <c r="O427" s="36" t="n">
        <f aca="false">IF($D427&lt;&gt;"销项开票",0,ROUND(N($H427)*N($I427),2))</f>
        <v>0</v>
      </c>
      <c r="P427" s="36" t="n">
        <f aca="false">IF($D427&lt;&gt;"销项开票",0,ROUND(N($H427)-$O427,2))</f>
        <v>0</v>
      </c>
      <c r="Q427" s="37" t="str">
        <f aca="false">IF($E427="","",N(IFERROR(INDEX(单位档案!$E$6:$E$35,MATCH($E427,单位档案!$A$6:$A$35,0)),"")))</f>
        <v/>
      </c>
      <c r="R427" s="37" t="str">
        <f aca="false">IF($E427="","",N(IFERROR(INDEX(单位档案!$F$6:$F$35,MATCH($E427,单位档案!$A$6:$A$35,0)),"")))</f>
        <v/>
      </c>
      <c r="S427" s="36" t="n">
        <f aca="false">IF(OR($D427&lt;&gt;"销项开票",IFERROR(INDEX(单位档案!$G$6:$G$35,MATCH($E427,单位档案!$A$6:$A$35,0)),"")&lt;&gt;"是",N($Q427)=0),0,IF(IFERROR(INDEX(单位档案!$H$6:$H$35,MATCH($E427,单位档案!$A$6:$A$35,0)),"")="税差法",ROUND(N($H427)/(1+$Q427)*$Q427-IF(N($R427)=0,0,$P427/(1+$R427)*$R427),2),ROUND(N($H427)/(1+$Q427)*$Q427,2)))</f>
        <v>0</v>
      </c>
      <c r="T427" s="36" t="n">
        <f aca="false">ROUND($S427*N(IFERROR(INDEX(单位档案!$J$6:$J$35,MATCH($E427,单位档案!$A$6:$A$35,0)),"")),2)</f>
        <v>0</v>
      </c>
      <c r="U427" s="36" t="n">
        <f aca="false">IF($D427&lt;&gt;"销项开票",0,ROUND(N($H427)*N(IFERROR(INDEX(单位档案!$K$6:$K$35,MATCH($E427,单位档案!$A$6:$A$35,0)),"")),2))</f>
        <v>0</v>
      </c>
      <c r="V427" s="36" t="n">
        <f aca="false">IF(OR($D427&lt;&gt;"销项开票",N($Q427)=0),0,ROUND(N($H427)/(1+$Q427)*N(IFERROR(INDEX(单位档案!$L$6:$L$35,MATCH($E427,单位档案!$A$6:$A$35,0)),"")),2))</f>
        <v>0</v>
      </c>
      <c r="W427" s="36" t="n">
        <f aca="false">ROUND($S427+$T427+$U427+$V427,2)</f>
        <v>0</v>
      </c>
      <c r="X427" s="35" t="str">
        <f aca="false">IF(OR($D427="挂靠代收",$D427="我方收款"),COUNTIFS($D$5:$D427,"挂靠代收")+COUNTIFS($D$5:$D427,"我方收款"),"")</f>
        <v/>
      </c>
      <c r="Y427" s="35"/>
      <c r="Z427" s="21" t="s">
        <v>111</v>
      </c>
    </row>
    <row r="428" customFormat="false" ht="15.75" hidden="false" customHeight="true" outlineLevel="0" collapsed="false">
      <c r="A428" s="32" t="str">
        <f aca="false">IF($B428="","",ROW()-4)</f>
        <v/>
      </c>
      <c r="B428" s="26"/>
      <c r="C428" s="24"/>
      <c r="D428" s="21"/>
      <c r="E428" s="21"/>
      <c r="F428" s="21"/>
      <c r="G428" s="21"/>
      <c r="H428" s="27"/>
      <c r="I428" s="23" t="str">
        <f aca="false">IF($D428&lt;&gt;"销项开票","",IF($N428="一级",IF(IFERROR(INDEX(项目档案!$E$6:$E$255,MATCH($C428,项目档案!$A$6:$A$255,0)),"")="",N(IFERROR(INDEX(单位档案!$D$6:$D$35,MATCH($E428,单位档案!$A$6:$A$35,0)),"")),IFERROR(INDEX(项目档案!$E$6:$E$255,MATCH($C428,项目档案!$A$6:$A$255,0)),"")),IF($N428="二级",IF(IFERROR(INDEX(项目档案!$G$6:$G$255,MATCH($C428,项目档案!$A$6:$A$255,0)),"")="",N(IFERROR(INDEX(单位档案!$D$6:$D$35,MATCH($E428,单位档案!$A$6:$A$35,0)),"")),IFERROR(INDEX(项目档案!$G$6:$G$255,MATCH($C428,项目档案!$A$6:$A$255,0)),"")),N(IFERROR(INDEX(单位档案!$D$6:$D$35,MATCH($E428,单位档案!$A$6:$A$35,0)),"")))))</f>
        <v/>
      </c>
      <c r="J428" s="22"/>
      <c r="K428" s="22"/>
      <c r="L428" s="33" t="str">
        <f aca="false">IF($B428="","",IF(NOT(ISNUMBER($B428)),"日期格式不对",IF($C428="","未选项目编号",IF(LEFT($M428,1)="⚠","项目编号不存在",IF($D428="","未选业务类型",IF($E428="","未选开票/付款方",IF(ISNA(MATCH($E428,单位档案!$A$6:$A$35,0)),"开票方不在单位档案",IF($F428="","未选收票/收款方",IF(ISNA(MATCH($F428,单位档案!$A$6:$A$35,0)),"收款方不在单位档案",IF(NOT(ISNUMBER($H428)),"金额须为数字",IF(AND($D428="销项开票",$N428="—"),"链条待确认","√")))))))))))</f>
        <v/>
      </c>
      <c r="M428" s="34" t="str">
        <f aca="false">IF($C428="","",IFERROR(INDEX(项目档案!$B$6:$B$255,MATCH($C428,项目档案!$A$6:$A$255,0)),"⚠项目编号不存在"))</f>
        <v/>
      </c>
      <c r="N428" s="35" t="str">
        <f aca="false">IF($E428="","",IF($E428=IFERROR(INDEX(项目档案!$D$6:$D$255,MATCH($C428,项目档案!$A$6:$A$255,0)),""),"一级",IF($E428=IFERROR(INDEX(项目档案!$F$6:$F$255,MATCH($C428,项目档案!$A$6:$A$255,0)),""),"二级",IF($E428=IFERROR(INDEX(项目档案!$H$6:$H$255,MATCH($C428,项目档案!$A$6:$A$255,0)),""),"我方","—"))))</f>
        <v/>
      </c>
      <c r="O428" s="36" t="n">
        <f aca="false">IF($D428&lt;&gt;"销项开票",0,ROUND(N($H428)*N($I428),2))</f>
        <v>0</v>
      </c>
      <c r="P428" s="36" t="n">
        <f aca="false">IF($D428&lt;&gt;"销项开票",0,ROUND(N($H428)-$O428,2))</f>
        <v>0</v>
      </c>
      <c r="Q428" s="37" t="str">
        <f aca="false">IF($E428="","",N(IFERROR(INDEX(单位档案!$E$6:$E$35,MATCH($E428,单位档案!$A$6:$A$35,0)),"")))</f>
        <v/>
      </c>
      <c r="R428" s="37" t="str">
        <f aca="false">IF($E428="","",N(IFERROR(INDEX(单位档案!$F$6:$F$35,MATCH($E428,单位档案!$A$6:$A$35,0)),"")))</f>
        <v/>
      </c>
      <c r="S428" s="36" t="n">
        <f aca="false">IF(OR($D428&lt;&gt;"销项开票",IFERROR(INDEX(单位档案!$G$6:$G$35,MATCH($E428,单位档案!$A$6:$A$35,0)),"")&lt;&gt;"是",N($Q428)=0),0,IF(IFERROR(INDEX(单位档案!$H$6:$H$35,MATCH($E428,单位档案!$A$6:$A$35,0)),"")="税差法",ROUND(N($H428)/(1+$Q428)*$Q428-IF(N($R428)=0,0,$P428/(1+$R428)*$R428),2),ROUND(N($H428)/(1+$Q428)*$Q428,2)))</f>
        <v>0</v>
      </c>
      <c r="T428" s="36" t="n">
        <f aca="false">ROUND($S428*N(IFERROR(INDEX(单位档案!$J$6:$J$35,MATCH($E428,单位档案!$A$6:$A$35,0)),"")),2)</f>
        <v>0</v>
      </c>
      <c r="U428" s="36" t="n">
        <f aca="false">IF($D428&lt;&gt;"销项开票",0,ROUND(N($H428)*N(IFERROR(INDEX(单位档案!$K$6:$K$35,MATCH($E428,单位档案!$A$6:$A$35,0)),"")),2))</f>
        <v>0</v>
      </c>
      <c r="V428" s="36" t="n">
        <f aca="false">IF(OR($D428&lt;&gt;"销项开票",N($Q428)=0),0,ROUND(N($H428)/(1+$Q428)*N(IFERROR(INDEX(单位档案!$L$6:$L$35,MATCH($E428,单位档案!$A$6:$A$35,0)),"")),2))</f>
        <v>0</v>
      </c>
      <c r="W428" s="36" t="n">
        <f aca="false">ROUND($S428+$T428+$U428+$V428,2)</f>
        <v>0</v>
      </c>
      <c r="X428" s="35" t="str">
        <f aca="false">IF(OR($D428="挂靠代收",$D428="我方收款"),COUNTIFS($D$5:$D428,"挂靠代收")+COUNTIFS($D$5:$D428,"我方收款"),"")</f>
        <v/>
      </c>
      <c r="Y428" s="35"/>
      <c r="Z428" s="21" t="s">
        <v>111</v>
      </c>
    </row>
    <row r="429" customFormat="false" ht="15.75" hidden="false" customHeight="true" outlineLevel="0" collapsed="false">
      <c r="A429" s="32" t="str">
        <f aca="false">IF($B429="","",ROW()-4)</f>
        <v/>
      </c>
      <c r="B429" s="26"/>
      <c r="C429" s="24"/>
      <c r="D429" s="21"/>
      <c r="E429" s="21"/>
      <c r="F429" s="21"/>
      <c r="G429" s="21"/>
      <c r="H429" s="27"/>
      <c r="I429" s="23" t="str">
        <f aca="false">IF($D429&lt;&gt;"销项开票","",IF($N429="一级",IF(IFERROR(INDEX(项目档案!$E$6:$E$255,MATCH($C429,项目档案!$A$6:$A$255,0)),"")="",N(IFERROR(INDEX(单位档案!$D$6:$D$35,MATCH($E429,单位档案!$A$6:$A$35,0)),"")),IFERROR(INDEX(项目档案!$E$6:$E$255,MATCH($C429,项目档案!$A$6:$A$255,0)),"")),IF($N429="二级",IF(IFERROR(INDEX(项目档案!$G$6:$G$255,MATCH($C429,项目档案!$A$6:$A$255,0)),"")="",N(IFERROR(INDEX(单位档案!$D$6:$D$35,MATCH($E429,单位档案!$A$6:$A$35,0)),"")),IFERROR(INDEX(项目档案!$G$6:$G$255,MATCH($C429,项目档案!$A$6:$A$255,0)),"")),N(IFERROR(INDEX(单位档案!$D$6:$D$35,MATCH($E429,单位档案!$A$6:$A$35,0)),"")))))</f>
        <v/>
      </c>
      <c r="J429" s="22"/>
      <c r="K429" s="22"/>
      <c r="L429" s="33" t="str">
        <f aca="false">IF($B429="","",IF(NOT(ISNUMBER($B429)),"日期格式不对",IF($C429="","未选项目编号",IF(LEFT($M429,1)="⚠","项目编号不存在",IF($D429="","未选业务类型",IF($E429="","未选开票/付款方",IF(ISNA(MATCH($E429,单位档案!$A$6:$A$35,0)),"开票方不在单位档案",IF($F429="","未选收票/收款方",IF(ISNA(MATCH($F429,单位档案!$A$6:$A$35,0)),"收款方不在单位档案",IF(NOT(ISNUMBER($H429)),"金额须为数字",IF(AND($D429="销项开票",$N429="—"),"链条待确认","√")))))))))))</f>
        <v/>
      </c>
      <c r="M429" s="34" t="str">
        <f aca="false">IF($C429="","",IFERROR(INDEX(项目档案!$B$6:$B$255,MATCH($C429,项目档案!$A$6:$A$255,0)),"⚠项目编号不存在"))</f>
        <v/>
      </c>
      <c r="N429" s="35" t="str">
        <f aca="false">IF($E429="","",IF($E429=IFERROR(INDEX(项目档案!$D$6:$D$255,MATCH($C429,项目档案!$A$6:$A$255,0)),""),"一级",IF($E429=IFERROR(INDEX(项目档案!$F$6:$F$255,MATCH($C429,项目档案!$A$6:$A$255,0)),""),"二级",IF($E429=IFERROR(INDEX(项目档案!$H$6:$H$255,MATCH($C429,项目档案!$A$6:$A$255,0)),""),"我方","—"))))</f>
        <v/>
      </c>
      <c r="O429" s="36" t="n">
        <f aca="false">IF($D429&lt;&gt;"销项开票",0,ROUND(N($H429)*N($I429),2))</f>
        <v>0</v>
      </c>
      <c r="P429" s="36" t="n">
        <f aca="false">IF($D429&lt;&gt;"销项开票",0,ROUND(N($H429)-$O429,2))</f>
        <v>0</v>
      </c>
      <c r="Q429" s="37" t="str">
        <f aca="false">IF($E429="","",N(IFERROR(INDEX(单位档案!$E$6:$E$35,MATCH($E429,单位档案!$A$6:$A$35,0)),"")))</f>
        <v/>
      </c>
      <c r="R429" s="37" t="str">
        <f aca="false">IF($E429="","",N(IFERROR(INDEX(单位档案!$F$6:$F$35,MATCH($E429,单位档案!$A$6:$A$35,0)),"")))</f>
        <v/>
      </c>
      <c r="S429" s="36" t="n">
        <f aca="false">IF(OR($D429&lt;&gt;"销项开票",IFERROR(INDEX(单位档案!$G$6:$G$35,MATCH($E429,单位档案!$A$6:$A$35,0)),"")&lt;&gt;"是",N($Q429)=0),0,IF(IFERROR(INDEX(单位档案!$H$6:$H$35,MATCH($E429,单位档案!$A$6:$A$35,0)),"")="税差法",ROUND(N($H429)/(1+$Q429)*$Q429-IF(N($R429)=0,0,$P429/(1+$R429)*$R429),2),ROUND(N($H429)/(1+$Q429)*$Q429,2)))</f>
        <v>0</v>
      </c>
      <c r="T429" s="36" t="n">
        <f aca="false">ROUND($S429*N(IFERROR(INDEX(单位档案!$J$6:$J$35,MATCH($E429,单位档案!$A$6:$A$35,0)),"")),2)</f>
        <v>0</v>
      </c>
      <c r="U429" s="36" t="n">
        <f aca="false">IF($D429&lt;&gt;"销项开票",0,ROUND(N($H429)*N(IFERROR(INDEX(单位档案!$K$6:$K$35,MATCH($E429,单位档案!$A$6:$A$35,0)),"")),2))</f>
        <v>0</v>
      </c>
      <c r="V429" s="36" t="n">
        <f aca="false">IF(OR($D429&lt;&gt;"销项开票",N($Q429)=0),0,ROUND(N($H429)/(1+$Q429)*N(IFERROR(INDEX(单位档案!$L$6:$L$35,MATCH($E429,单位档案!$A$6:$A$35,0)),"")),2))</f>
        <v>0</v>
      </c>
      <c r="W429" s="36" t="n">
        <f aca="false">ROUND($S429+$T429+$U429+$V429,2)</f>
        <v>0</v>
      </c>
      <c r="X429" s="35" t="str">
        <f aca="false">IF(OR($D429="挂靠代收",$D429="我方收款"),COUNTIFS($D$5:$D429,"挂靠代收")+COUNTIFS($D$5:$D429,"我方收款"),"")</f>
        <v/>
      </c>
      <c r="Y429" s="35"/>
      <c r="Z429" s="21" t="s">
        <v>111</v>
      </c>
    </row>
    <row r="430" customFormat="false" ht="15.75" hidden="false" customHeight="true" outlineLevel="0" collapsed="false">
      <c r="A430" s="32" t="str">
        <f aca="false">IF($B430="","",ROW()-4)</f>
        <v/>
      </c>
      <c r="B430" s="26"/>
      <c r="C430" s="24"/>
      <c r="D430" s="21"/>
      <c r="E430" s="21"/>
      <c r="F430" s="21"/>
      <c r="G430" s="21"/>
      <c r="H430" s="27"/>
      <c r="I430" s="23" t="str">
        <f aca="false">IF($D430&lt;&gt;"销项开票","",IF($N430="一级",IF(IFERROR(INDEX(项目档案!$E$6:$E$255,MATCH($C430,项目档案!$A$6:$A$255,0)),"")="",N(IFERROR(INDEX(单位档案!$D$6:$D$35,MATCH($E430,单位档案!$A$6:$A$35,0)),"")),IFERROR(INDEX(项目档案!$E$6:$E$255,MATCH($C430,项目档案!$A$6:$A$255,0)),"")),IF($N430="二级",IF(IFERROR(INDEX(项目档案!$G$6:$G$255,MATCH($C430,项目档案!$A$6:$A$255,0)),"")="",N(IFERROR(INDEX(单位档案!$D$6:$D$35,MATCH($E430,单位档案!$A$6:$A$35,0)),"")),IFERROR(INDEX(项目档案!$G$6:$G$255,MATCH($C430,项目档案!$A$6:$A$255,0)),"")),N(IFERROR(INDEX(单位档案!$D$6:$D$35,MATCH($E430,单位档案!$A$6:$A$35,0)),"")))))</f>
        <v/>
      </c>
      <c r="J430" s="22"/>
      <c r="K430" s="22"/>
      <c r="L430" s="33" t="str">
        <f aca="false">IF($B430="","",IF(NOT(ISNUMBER($B430)),"日期格式不对",IF($C430="","未选项目编号",IF(LEFT($M430,1)="⚠","项目编号不存在",IF($D430="","未选业务类型",IF($E430="","未选开票/付款方",IF(ISNA(MATCH($E430,单位档案!$A$6:$A$35,0)),"开票方不在单位档案",IF($F430="","未选收票/收款方",IF(ISNA(MATCH($F430,单位档案!$A$6:$A$35,0)),"收款方不在单位档案",IF(NOT(ISNUMBER($H430)),"金额须为数字",IF(AND($D430="销项开票",$N430="—"),"链条待确认","√")))))))))))</f>
        <v/>
      </c>
      <c r="M430" s="34" t="str">
        <f aca="false">IF($C430="","",IFERROR(INDEX(项目档案!$B$6:$B$255,MATCH($C430,项目档案!$A$6:$A$255,0)),"⚠项目编号不存在"))</f>
        <v/>
      </c>
      <c r="N430" s="35" t="str">
        <f aca="false">IF($E430="","",IF($E430=IFERROR(INDEX(项目档案!$D$6:$D$255,MATCH($C430,项目档案!$A$6:$A$255,0)),""),"一级",IF($E430=IFERROR(INDEX(项目档案!$F$6:$F$255,MATCH($C430,项目档案!$A$6:$A$255,0)),""),"二级",IF($E430=IFERROR(INDEX(项目档案!$H$6:$H$255,MATCH($C430,项目档案!$A$6:$A$255,0)),""),"我方","—"))))</f>
        <v/>
      </c>
      <c r="O430" s="36" t="n">
        <f aca="false">IF($D430&lt;&gt;"销项开票",0,ROUND(N($H430)*N($I430),2))</f>
        <v>0</v>
      </c>
      <c r="P430" s="36" t="n">
        <f aca="false">IF($D430&lt;&gt;"销项开票",0,ROUND(N($H430)-$O430,2))</f>
        <v>0</v>
      </c>
      <c r="Q430" s="37" t="str">
        <f aca="false">IF($E430="","",N(IFERROR(INDEX(单位档案!$E$6:$E$35,MATCH($E430,单位档案!$A$6:$A$35,0)),"")))</f>
        <v/>
      </c>
      <c r="R430" s="37" t="str">
        <f aca="false">IF($E430="","",N(IFERROR(INDEX(单位档案!$F$6:$F$35,MATCH($E430,单位档案!$A$6:$A$35,0)),"")))</f>
        <v/>
      </c>
      <c r="S430" s="36" t="n">
        <f aca="false">IF(OR($D430&lt;&gt;"销项开票",IFERROR(INDEX(单位档案!$G$6:$G$35,MATCH($E430,单位档案!$A$6:$A$35,0)),"")&lt;&gt;"是",N($Q430)=0),0,IF(IFERROR(INDEX(单位档案!$H$6:$H$35,MATCH($E430,单位档案!$A$6:$A$35,0)),"")="税差法",ROUND(N($H430)/(1+$Q430)*$Q430-IF(N($R430)=0,0,$P430/(1+$R430)*$R430),2),ROUND(N($H430)/(1+$Q430)*$Q430,2)))</f>
        <v>0</v>
      </c>
      <c r="T430" s="36" t="n">
        <f aca="false">ROUND($S430*N(IFERROR(INDEX(单位档案!$J$6:$J$35,MATCH($E430,单位档案!$A$6:$A$35,0)),"")),2)</f>
        <v>0</v>
      </c>
      <c r="U430" s="36" t="n">
        <f aca="false">IF($D430&lt;&gt;"销项开票",0,ROUND(N($H430)*N(IFERROR(INDEX(单位档案!$K$6:$K$35,MATCH($E430,单位档案!$A$6:$A$35,0)),"")),2))</f>
        <v>0</v>
      </c>
      <c r="V430" s="36" t="n">
        <f aca="false">IF(OR($D430&lt;&gt;"销项开票",N($Q430)=0),0,ROUND(N($H430)/(1+$Q430)*N(IFERROR(INDEX(单位档案!$L$6:$L$35,MATCH($E430,单位档案!$A$6:$A$35,0)),"")),2))</f>
        <v>0</v>
      </c>
      <c r="W430" s="36" t="n">
        <f aca="false">ROUND($S430+$T430+$U430+$V430,2)</f>
        <v>0</v>
      </c>
      <c r="X430" s="35" t="str">
        <f aca="false">IF(OR($D430="挂靠代收",$D430="我方收款"),COUNTIFS($D$5:$D430,"挂靠代收")+COUNTIFS($D$5:$D430,"我方收款"),"")</f>
        <v/>
      </c>
      <c r="Y430" s="35"/>
      <c r="Z430" s="21" t="s">
        <v>111</v>
      </c>
    </row>
    <row r="431" customFormat="false" ht="15.75" hidden="false" customHeight="true" outlineLevel="0" collapsed="false">
      <c r="A431" s="32" t="str">
        <f aca="false">IF($B431="","",ROW()-4)</f>
        <v/>
      </c>
      <c r="B431" s="26"/>
      <c r="C431" s="24"/>
      <c r="D431" s="21"/>
      <c r="E431" s="21"/>
      <c r="F431" s="21"/>
      <c r="G431" s="21"/>
      <c r="H431" s="27"/>
      <c r="I431" s="23" t="str">
        <f aca="false">IF($D431&lt;&gt;"销项开票","",IF($N431="一级",IF(IFERROR(INDEX(项目档案!$E$6:$E$255,MATCH($C431,项目档案!$A$6:$A$255,0)),"")="",N(IFERROR(INDEX(单位档案!$D$6:$D$35,MATCH($E431,单位档案!$A$6:$A$35,0)),"")),IFERROR(INDEX(项目档案!$E$6:$E$255,MATCH($C431,项目档案!$A$6:$A$255,0)),"")),IF($N431="二级",IF(IFERROR(INDEX(项目档案!$G$6:$G$255,MATCH($C431,项目档案!$A$6:$A$255,0)),"")="",N(IFERROR(INDEX(单位档案!$D$6:$D$35,MATCH($E431,单位档案!$A$6:$A$35,0)),"")),IFERROR(INDEX(项目档案!$G$6:$G$255,MATCH($C431,项目档案!$A$6:$A$255,0)),"")),N(IFERROR(INDEX(单位档案!$D$6:$D$35,MATCH($E431,单位档案!$A$6:$A$35,0)),"")))))</f>
        <v/>
      </c>
      <c r="J431" s="22"/>
      <c r="K431" s="22"/>
      <c r="L431" s="33" t="str">
        <f aca="false">IF($B431="","",IF(NOT(ISNUMBER($B431)),"日期格式不对",IF($C431="","未选项目编号",IF(LEFT($M431,1)="⚠","项目编号不存在",IF($D431="","未选业务类型",IF($E431="","未选开票/付款方",IF(ISNA(MATCH($E431,单位档案!$A$6:$A$35,0)),"开票方不在单位档案",IF($F431="","未选收票/收款方",IF(ISNA(MATCH($F431,单位档案!$A$6:$A$35,0)),"收款方不在单位档案",IF(NOT(ISNUMBER($H431)),"金额须为数字",IF(AND($D431="销项开票",$N431="—"),"链条待确认","√")))))))))))</f>
        <v/>
      </c>
      <c r="M431" s="34" t="str">
        <f aca="false">IF($C431="","",IFERROR(INDEX(项目档案!$B$6:$B$255,MATCH($C431,项目档案!$A$6:$A$255,0)),"⚠项目编号不存在"))</f>
        <v/>
      </c>
      <c r="N431" s="35" t="str">
        <f aca="false">IF($E431="","",IF($E431=IFERROR(INDEX(项目档案!$D$6:$D$255,MATCH($C431,项目档案!$A$6:$A$255,0)),""),"一级",IF($E431=IFERROR(INDEX(项目档案!$F$6:$F$255,MATCH($C431,项目档案!$A$6:$A$255,0)),""),"二级",IF($E431=IFERROR(INDEX(项目档案!$H$6:$H$255,MATCH($C431,项目档案!$A$6:$A$255,0)),""),"我方","—"))))</f>
        <v/>
      </c>
      <c r="O431" s="36" t="n">
        <f aca="false">IF($D431&lt;&gt;"销项开票",0,ROUND(N($H431)*N($I431),2))</f>
        <v>0</v>
      </c>
      <c r="P431" s="36" t="n">
        <f aca="false">IF($D431&lt;&gt;"销项开票",0,ROUND(N($H431)-$O431,2))</f>
        <v>0</v>
      </c>
      <c r="Q431" s="37" t="str">
        <f aca="false">IF($E431="","",N(IFERROR(INDEX(单位档案!$E$6:$E$35,MATCH($E431,单位档案!$A$6:$A$35,0)),"")))</f>
        <v/>
      </c>
      <c r="R431" s="37" t="str">
        <f aca="false">IF($E431="","",N(IFERROR(INDEX(单位档案!$F$6:$F$35,MATCH($E431,单位档案!$A$6:$A$35,0)),"")))</f>
        <v/>
      </c>
      <c r="S431" s="36" t="n">
        <f aca="false">IF(OR($D431&lt;&gt;"销项开票",IFERROR(INDEX(单位档案!$G$6:$G$35,MATCH($E431,单位档案!$A$6:$A$35,0)),"")&lt;&gt;"是",N($Q431)=0),0,IF(IFERROR(INDEX(单位档案!$H$6:$H$35,MATCH($E431,单位档案!$A$6:$A$35,0)),"")="税差法",ROUND(N($H431)/(1+$Q431)*$Q431-IF(N($R431)=0,0,$P431/(1+$R431)*$R431),2),ROUND(N($H431)/(1+$Q431)*$Q431,2)))</f>
        <v>0</v>
      </c>
      <c r="T431" s="36" t="n">
        <f aca="false">ROUND($S431*N(IFERROR(INDEX(单位档案!$J$6:$J$35,MATCH($E431,单位档案!$A$6:$A$35,0)),"")),2)</f>
        <v>0</v>
      </c>
      <c r="U431" s="36" t="n">
        <f aca="false">IF($D431&lt;&gt;"销项开票",0,ROUND(N($H431)*N(IFERROR(INDEX(单位档案!$K$6:$K$35,MATCH($E431,单位档案!$A$6:$A$35,0)),"")),2))</f>
        <v>0</v>
      </c>
      <c r="V431" s="36" t="n">
        <f aca="false">IF(OR($D431&lt;&gt;"销项开票",N($Q431)=0),0,ROUND(N($H431)/(1+$Q431)*N(IFERROR(INDEX(单位档案!$L$6:$L$35,MATCH($E431,单位档案!$A$6:$A$35,0)),"")),2))</f>
        <v>0</v>
      </c>
      <c r="W431" s="36" t="n">
        <f aca="false">ROUND($S431+$T431+$U431+$V431,2)</f>
        <v>0</v>
      </c>
      <c r="X431" s="35" t="str">
        <f aca="false">IF(OR($D431="挂靠代收",$D431="我方收款"),COUNTIFS($D$5:$D431,"挂靠代收")+COUNTIFS($D$5:$D431,"我方收款"),"")</f>
        <v/>
      </c>
      <c r="Y431" s="35"/>
      <c r="Z431" s="21" t="s">
        <v>111</v>
      </c>
    </row>
    <row r="432" customFormat="false" ht="15.75" hidden="false" customHeight="true" outlineLevel="0" collapsed="false">
      <c r="A432" s="32" t="str">
        <f aca="false">IF($B432="","",ROW()-4)</f>
        <v/>
      </c>
      <c r="B432" s="26"/>
      <c r="C432" s="24"/>
      <c r="D432" s="21"/>
      <c r="E432" s="21"/>
      <c r="F432" s="21"/>
      <c r="G432" s="21"/>
      <c r="H432" s="27"/>
      <c r="I432" s="23" t="str">
        <f aca="false">IF($D432&lt;&gt;"销项开票","",IF($N432="一级",IF(IFERROR(INDEX(项目档案!$E$6:$E$255,MATCH($C432,项目档案!$A$6:$A$255,0)),"")="",N(IFERROR(INDEX(单位档案!$D$6:$D$35,MATCH($E432,单位档案!$A$6:$A$35,0)),"")),IFERROR(INDEX(项目档案!$E$6:$E$255,MATCH($C432,项目档案!$A$6:$A$255,0)),"")),IF($N432="二级",IF(IFERROR(INDEX(项目档案!$G$6:$G$255,MATCH($C432,项目档案!$A$6:$A$255,0)),"")="",N(IFERROR(INDEX(单位档案!$D$6:$D$35,MATCH($E432,单位档案!$A$6:$A$35,0)),"")),IFERROR(INDEX(项目档案!$G$6:$G$255,MATCH($C432,项目档案!$A$6:$A$255,0)),"")),N(IFERROR(INDEX(单位档案!$D$6:$D$35,MATCH($E432,单位档案!$A$6:$A$35,0)),"")))))</f>
        <v/>
      </c>
      <c r="J432" s="22"/>
      <c r="K432" s="22"/>
      <c r="L432" s="33" t="str">
        <f aca="false">IF($B432="","",IF(NOT(ISNUMBER($B432)),"日期格式不对",IF($C432="","未选项目编号",IF(LEFT($M432,1)="⚠","项目编号不存在",IF($D432="","未选业务类型",IF($E432="","未选开票/付款方",IF(ISNA(MATCH($E432,单位档案!$A$6:$A$35,0)),"开票方不在单位档案",IF($F432="","未选收票/收款方",IF(ISNA(MATCH($F432,单位档案!$A$6:$A$35,0)),"收款方不在单位档案",IF(NOT(ISNUMBER($H432)),"金额须为数字",IF(AND($D432="销项开票",$N432="—"),"链条待确认","√")))))))))))</f>
        <v/>
      </c>
      <c r="M432" s="34" t="str">
        <f aca="false">IF($C432="","",IFERROR(INDEX(项目档案!$B$6:$B$255,MATCH($C432,项目档案!$A$6:$A$255,0)),"⚠项目编号不存在"))</f>
        <v/>
      </c>
      <c r="N432" s="35" t="str">
        <f aca="false">IF($E432="","",IF($E432=IFERROR(INDEX(项目档案!$D$6:$D$255,MATCH($C432,项目档案!$A$6:$A$255,0)),""),"一级",IF($E432=IFERROR(INDEX(项目档案!$F$6:$F$255,MATCH($C432,项目档案!$A$6:$A$255,0)),""),"二级",IF($E432=IFERROR(INDEX(项目档案!$H$6:$H$255,MATCH($C432,项目档案!$A$6:$A$255,0)),""),"我方","—"))))</f>
        <v/>
      </c>
      <c r="O432" s="36" t="n">
        <f aca="false">IF($D432&lt;&gt;"销项开票",0,ROUND(N($H432)*N($I432),2))</f>
        <v>0</v>
      </c>
      <c r="P432" s="36" t="n">
        <f aca="false">IF($D432&lt;&gt;"销项开票",0,ROUND(N($H432)-$O432,2))</f>
        <v>0</v>
      </c>
      <c r="Q432" s="37" t="str">
        <f aca="false">IF($E432="","",N(IFERROR(INDEX(单位档案!$E$6:$E$35,MATCH($E432,单位档案!$A$6:$A$35,0)),"")))</f>
        <v/>
      </c>
      <c r="R432" s="37" t="str">
        <f aca="false">IF($E432="","",N(IFERROR(INDEX(单位档案!$F$6:$F$35,MATCH($E432,单位档案!$A$6:$A$35,0)),"")))</f>
        <v/>
      </c>
      <c r="S432" s="36" t="n">
        <f aca="false">IF(OR($D432&lt;&gt;"销项开票",IFERROR(INDEX(单位档案!$G$6:$G$35,MATCH($E432,单位档案!$A$6:$A$35,0)),"")&lt;&gt;"是",N($Q432)=0),0,IF(IFERROR(INDEX(单位档案!$H$6:$H$35,MATCH($E432,单位档案!$A$6:$A$35,0)),"")="税差法",ROUND(N($H432)/(1+$Q432)*$Q432-IF(N($R432)=0,0,$P432/(1+$R432)*$R432),2),ROUND(N($H432)/(1+$Q432)*$Q432,2)))</f>
        <v>0</v>
      </c>
      <c r="T432" s="36" t="n">
        <f aca="false">ROUND($S432*N(IFERROR(INDEX(单位档案!$J$6:$J$35,MATCH($E432,单位档案!$A$6:$A$35,0)),"")),2)</f>
        <v>0</v>
      </c>
      <c r="U432" s="36" t="n">
        <f aca="false">IF($D432&lt;&gt;"销项开票",0,ROUND(N($H432)*N(IFERROR(INDEX(单位档案!$K$6:$K$35,MATCH($E432,单位档案!$A$6:$A$35,0)),"")),2))</f>
        <v>0</v>
      </c>
      <c r="V432" s="36" t="n">
        <f aca="false">IF(OR($D432&lt;&gt;"销项开票",N($Q432)=0),0,ROUND(N($H432)/(1+$Q432)*N(IFERROR(INDEX(单位档案!$L$6:$L$35,MATCH($E432,单位档案!$A$6:$A$35,0)),"")),2))</f>
        <v>0</v>
      </c>
      <c r="W432" s="36" t="n">
        <f aca="false">ROUND($S432+$T432+$U432+$V432,2)</f>
        <v>0</v>
      </c>
      <c r="X432" s="35" t="str">
        <f aca="false">IF(OR($D432="挂靠代收",$D432="我方收款"),COUNTIFS($D$5:$D432,"挂靠代收")+COUNTIFS($D$5:$D432,"我方收款"),"")</f>
        <v/>
      </c>
      <c r="Y432" s="35"/>
      <c r="Z432" s="21" t="s">
        <v>111</v>
      </c>
    </row>
    <row r="433" customFormat="false" ht="15.75" hidden="false" customHeight="true" outlineLevel="0" collapsed="false">
      <c r="A433" s="32" t="str">
        <f aca="false">IF($B433="","",ROW()-4)</f>
        <v/>
      </c>
      <c r="B433" s="26"/>
      <c r="C433" s="24"/>
      <c r="D433" s="21"/>
      <c r="E433" s="21"/>
      <c r="F433" s="21"/>
      <c r="G433" s="21"/>
      <c r="H433" s="27"/>
      <c r="I433" s="23" t="str">
        <f aca="false">IF($D433&lt;&gt;"销项开票","",IF($N433="一级",IF(IFERROR(INDEX(项目档案!$E$6:$E$255,MATCH($C433,项目档案!$A$6:$A$255,0)),"")="",N(IFERROR(INDEX(单位档案!$D$6:$D$35,MATCH($E433,单位档案!$A$6:$A$35,0)),"")),IFERROR(INDEX(项目档案!$E$6:$E$255,MATCH($C433,项目档案!$A$6:$A$255,0)),"")),IF($N433="二级",IF(IFERROR(INDEX(项目档案!$G$6:$G$255,MATCH($C433,项目档案!$A$6:$A$255,0)),"")="",N(IFERROR(INDEX(单位档案!$D$6:$D$35,MATCH($E433,单位档案!$A$6:$A$35,0)),"")),IFERROR(INDEX(项目档案!$G$6:$G$255,MATCH($C433,项目档案!$A$6:$A$255,0)),"")),N(IFERROR(INDEX(单位档案!$D$6:$D$35,MATCH($E433,单位档案!$A$6:$A$35,0)),"")))))</f>
        <v/>
      </c>
      <c r="J433" s="22"/>
      <c r="K433" s="22"/>
      <c r="L433" s="33" t="str">
        <f aca="false">IF($B433="","",IF(NOT(ISNUMBER($B433)),"日期格式不对",IF($C433="","未选项目编号",IF(LEFT($M433,1)="⚠","项目编号不存在",IF($D433="","未选业务类型",IF($E433="","未选开票/付款方",IF(ISNA(MATCH($E433,单位档案!$A$6:$A$35,0)),"开票方不在单位档案",IF($F433="","未选收票/收款方",IF(ISNA(MATCH($F433,单位档案!$A$6:$A$35,0)),"收款方不在单位档案",IF(NOT(ISNUMBER($H433)),"金额须为数字",IF(AND($D433="销项开票",$N433="—"),"链条待确认","√")))))))))))</f>
        <v/>
      </c>
      <c r="M433" s="34" t="str">
        <f aca="false">IF($C433="","",IFERROR(INDEX(项目档案!$B$6:$B$255,MATCH($C433,项目档案!$A$6:$A$255,0)),"⚠项目编号不存在"))</f>
        <v/>
      </c>
      <c r="N433" s="35" t="str">
        <f aca="false">IF($E433="","",IF($E433=IFERROR(INDEX(项目档案!$D$6:$D$255,MATCH($C433,项目档案!$A$6:$A$255,0)),""),"一级",IF($E433=IFERROR(INDEX(项目档案!$F$6:$F$255,MATCH($C433,项目档案!$A$6:$A$255,0)),""),"二级",IF($E433=IFERROR(INDEX(项目档案!$H$6:$H$255,MATCH($C433,项目档案!$A$6:$A$255,0)),""),"我方","—"))))</f>
        <v/>
      </c>
      <c r="O433" s="36" t="n">
        <f aca="false">IF($D433&lt;&gt;"销项开票",0,ROUND(N($H433)*N($I433),2))</f>
        <v>0</v>
      </c>
      <c r="P433" s="36" t="n">
        <f aca="false">IF($D433&lt;&gt;"销项开票",0,ROUND(N($H433)-$O433,2))</f>
        <v>0</v>
      </c>
      <c r="Q433" s="37" t="str">
        <f aca="false">IF($E433="","",N(IFERROR(INDEX(单位档案!$E$6:$E$35,MATCH($E433,单位档案!$A$6:$A$35,0)),"")))</f>
        <v/>
      </c>
      <c r="R433" s="37" t="str">
        <f aca="false">IF($E433="","",N(IFERROR(INDEX(单位档案!$F$6:$F$35,MATCH($E433,单位档案!$A$6:$A$35,0)),"")))</f>
        <v/>
      </c>
      <c r="S433" s="36" t="n">
        <f aca="false">IF(OR($D433&lt;&gt;"销项开票",IFERROR(INDEX(单位档案!$G$6:$G$35,MATCH($E433,单位档案!$A$6:$A$35,0)),"")&lt;&gt;"是",N($Q433)=0),0,IF(IFERROR(INDEX(单位档案!$H$6:$H$35,MATCH($E433,单位档案!$A$6:$A$35,0)),"")="税差法",ROUND(N($H433)/(1+$Q433)*$Q433-IF(N($R433)=0,0,$P433/(1+$R433)*$R433),2),ROUND(N($H433)/(1+$Q433)*$Q433,2)))</f>
        <v>0</v>
      </c>
      <c r="T433" s="36" t="n">
        <f aca="false">ROUND($S433*N(IFERROR(INDEX(单位档案!$J$6:$J$35,MATCH($E433,单位档案!$A$6:$A$35,0)),"")),2)</f>
        <v>0</v>
      </c>
      <c r="U433" s="36" t="n">
        <f aca="false">IF($D433&lt;&gt;"销项开票",0,ROUND(N($H433)*N(IFERROR(INDEX(单位档案!$K$6:$K$35,MATCH($E433,单位档案!$A$6:$A$35,0)),"")),2))</f>
        <v>0</v>
      </c>
      <c r="V433" s="36" t="n">
        <f aca="false">IF(OR($D433&lt;&gt;"销项开票",N($Q433)=0),0,ROUND(N($H433)/(1+$Q433)*N(IFERROR(INDEX(单位档案!$L$6:$L$35,MATCH($E433,单位档案!$A$6:$A$35,0)),"")),2))</f>
        <v>0</v>
      </c>
      <c r="W433" s="36" t="n">
        <f aca="false">ROUND($S433+$T433+$U433+$V433,2)</f>
        <v>0</v>
      </c>
      <c r="X433" s="35" t="str">
        <f aca="false">IF(OR($D433="挂靠代收",$D433="我方收款"),COUNTIFS($D$5:$D433,"挂靠代收")+COUNTIFS($D$5:$D433,"我方收款"),"")</f>
        <v/>
      </c>
      <c r="Y433" s="35"/>
      <c r="Z433" s="21" t="s">
        <v>111</v>
      </c>
    </row>
    <row r="434" customFormat="false" ht="15.75" hidden="false" customHeight="true" outlineLevel="0" collapsed="false">
      <c r="A434" s="32" t="str">
        <f aca="false">IF($B434="","",ROW()-4)</f>
        <v/>
      </c>
      <c r="B434" s="26"/>
      <c r="C434" s="24"/>
      <c r="D434" s="21"/>
      <c r="E434" s="21"/>
      <c r="F434" s="21"/>
      <c r="G434" s="21"/>
      <c r="H434" s="27"/>
      <c r="I434" s="23" t="str">
        <f aca="false">IF($D434&lt;&gt;"销项开票","",IF($N434="一级",IF(IFERROR(INDEX(项目档案!$E$6:$E$255,MATCH($C434,项目档案!$A$6:$A$255,0)),"")="",N(IFERROR(INDEX(单位档案!$D$6:$D$35,MATCH($E434,单位档案!$A$6:$A$35,0)),"")),IFERROR(INDEX(项目档案!$E$6:$E$255,MATCH($C434,项目档案!$A$6:$A$255,0)),"")),IF($N434="二级",IF(IFERROR(INDEX(项目档案!$G$6:$G$255,MATCH($C434,项目档案!$A$6:$A$255,0)),"")="",N(IFERROR(INDEX(单位档案!$D$6:$D$35,MATCH($E434,单位档案!$A$6:$A$35,0)),"")),IFERROR(INDEX(项目档案!$G$6:$G$255,MATCH($C434,项目档案!$A$6:$A$255,0)),"")),N(IFERROR(INDEX(单位档案!$D$6:$D$35,MATCH($E434,单位档案!$A$6:$A$35,0)),"")))))</f>
        <v/>
      </c>
      <c r="J434" s="22"/>
      <c r="K434" s="22"/>
      <c r="L434" s="33" t="str">
        <f aca="false">IF($B434="","",IF(NOT(ISNUMBER($B434)),"日期格式不对",IF($C434="","未选项目编号",IF(LEFT($M434,1)="⚠","项目编号不存在",IF($D434="","未选业务类型",IF($E434="","未选开票/付款方",IF(ISNA(MATCH($E434,单位档案!$A$6:$A$35,0)),"开票方不在单位档案",IF($F434="","未选收票/收款方",IF(ISNA(MATCH($F434,单位档案!$A$6:$A$35,0)),"收款方不在单位档案",IF(NOT(ISNUMBER($H434)),"金额须为数字",IF(AND($D434="销项开票",$N434="—"),"链条待确认","√")))))))))))</f>
        <v/>
      </c>
      <c r="M434" s="34" t="str">
        <f aca="false">IF($C434="","",IFERROR(INDEX(项目档案!$B$6:$B$255,MATCH($C434,项目档案!$A$6:$A$255,0)),"⚠项目编号不存在"))</f>
        <v/>
      </c>
      <c r="N434" s="35" t="str">
        <f aca="false">IF($E434="","",IF($E434=IFERROR(INDEX(项目档案!$D$6:$D$255,MATCH($C434,项目档案!$A$6:$A$255,0)),""),"一级",IF($E434=IFERROR(INDEX(项目档案!$F$6:$F$255,MATCH($C434,项目档案!$A$6:$A$255,0)),""),"二级",IF($E434=IFERROR(INDEX(项目档案!$H$6:$H$255,MATCH($C434,项目档案!$A$6:$A$255,0)),""),"我方","—"))))</f>
        <v/>
      </c>
      <c r="O434" s="36" t="n">
        <f aca="false">IF($D434&lt;&gt;"销项开票",0,ROUND(N($H434)*N($I434),2))</f>
        <v>0</v>
      </c>
      <c r="P434" s="36" t="n">
        <f aca="false">IF($D434&lt;&gt;"销项开票",0,ROUND(N($H434)-$O434,2))</f>
        <v>0</v>
      </c>
      <c r="Q434" s="37" t="str">
        <f aca="false">IF($E434="","",N(IFERROR(INDEX(单位档案!$E$6:$E$35,MATCH($E434,单位档案!$A$6:$A$35,0)),"")))</f>
        <v/>
      </c>
      <c r="R434" s="37" t="str">
        <f aca="false">IF($E434="","",N(IFERROR(INDEX(单位档案!$F$6:$F$35,MATCH($E434,单位档案!$A$6:$A$35,0)),"")))</f>
        <v/>
      </c>
      <c r="S434" s="36" t="n">
        <f aca="false">IF(OR($D434&lt;&gt;"销项开票",IFERROR(INDEX(单位档案!$G$6:$G$35,MATCH($E434,单位档案!$A$6:$A$35,0)),"")&lt;&gt;"是",N($Q434)=0),0,IF(IFERROR(INDEX(单位档案!$H$6:$H$35,MATCH($E434,单位档案!$A$6:$A$35,0)),"")="税差法",ROUND(N($H434)/(1+$Q434)*$Q434-IF(N($R434)=0,0,$P434/(1+$R434)*$R434),2),ROUND(N($H434)/(1+$Q434)*$Q434,2)))</f>
        <v>0</v>
      </c>
      <c r="T434" s="36" t="n">
        <f aca="false">ROUND($S434*N(IFERROR(INDEX(单位档案!$J$6:$J$35,MATCH($E434,单位档案!$A$6:$A$35,0)),"")),2)</f>
        <v>0</v>
      </c>
      <c r="U434" s="36" t="n">
        <f aca="false">IF($D434&lt;&gt;"销项开票",0,ROUND(N($H434)*N(IFERROR(INDEX(单位档案!$K$6:$K$35,MATCH($E434,单位档案!$A$6:$A$35,0)),"")),2))</f>
        <v>0</v>
      </c>
      <c r="V434" s="36" t="n">
        <f aca="false">IF(OR($D434&lt;&gt;"销项开票",N($Q434)=0),0,ROUND(N($H434)/(1+$Q434)*N(IFERROR(INDEX(单位档案!$L$6:$L$35,MATCH($E434,单位档案!$A$6:$A$35,0)),"")),2))</f>
        <v>0</v>
      </c>
      <c r="W434" s="36" t="n">
        <f aca="false">ROUND($S434+$T434+$U434+$V434,2)</f>
        <v>0</v>
      </c>
      <c r="X434" s="35" t="str">
        <f aca="false">IF(OR($D434="挂靠代收",$D434="我方收款"),COUNTIFS($D$5:$D434,"挂靠代收")+COUNTIFS($D$5:$D434,"我方收款"),"")</f>
        <v/>
      </c>
      <c r="Y434" s="35"/>
      <c r="Z434" s="21" t="s">
        <v>111</v>
      </c>
    </row>
    <row r="435" customFormat="false" ht="15.75" hidden="false" customHeight="true" outlineLevel="0" collapsed="false">
      <c r="A435" s="32" t="str">
        <f aca="false">IF($B435="","",ROW()-4)</f>
        <v/>
      </c>
      <c r="B435" s="26"/>
      <c r="C435" s="24"/>
      <c r="D435" s="21"/>
      <c r="E435" s="21"/>
      <c r="F435" s="21"/>
      <c r="G435" s="21"/>
      <c r="H435" s="27"/>
      <c r="I435" s="23" t="str">
        <f aca="false">IF($D435&lt;&gt;"销项开票","",IF($N435="一级",IF(IFERROR(INDEX(项目档案!$E$6:$E$255,MATCH($C435,项目档案!$A$6:$A$255,0)),"")="",N(IFERROR(INDEX(单位档案!$D$6:$D$35,MATCH($E435,单位档案!$A$6:$A$35,0)),"")),IFERROR(INDEX(项目档案!$E$6:$E$255,MATCH($C435,项目档案!$A$6:$A$255,0)),"")),IF($N435="二级",IF(IFERROR(INDEX(项目档案!$G$6:$G$255,MATCH($C435,项目档案!$A$6:$A$255,0)),"")="",N(IFERROR(INDEX(单位档案!$D$6:$D$35,MATCH($E435,单位档案!$A$6:$A$35,0)),"")),IFERROR(INDEX(项目档案!$G$6:$G$255,MATCH($C435,项目档案!$A$6:$A$255,0)),"")),N(IFERROR(INDEX(单位档案!$D$6:$D$35,MATCH($E435,单位档案!$A$6:$A$35,0)),"")))))</f>
        <v/>
      </c>
      <c r="J435" s="22"/>
      <c r="K435" s="22"/>
      <c r="L435" s="33" t="str">
        <f aca="false">IF($B435="","",IF(NOT(ISNUMBER($B435)),"日期格式不对",IF($C435="","未选项目编号",IF(LEFT($M435,1)="⚠","项目编号不存在",IF($D435="","未选业务类型",IF($E435="","未选开票/付款方",IF(ISNA(MATCH($E435,单位档案!$A$6:$A$35,0)),"开票方不在单位档案",IF($F435="","未选收票/收款方",IF(ISNA(MATCH($F435,单位档案!$A$6:$A$35,0)),"收款方不在单位档案",IF(NOT(ISNUMBER($H435)),"金额须为数字",IF(AND($D435="销项开票",$N435="—"),"链条待确认","√")))))))))))</f>
        <v/>
      </c>
      <c r="M435" s="34" t="str">
        <f aca="false">IF($C435="","",IFERROR(INDEX(项目档案!$B$6:$B$255,MATCH($C435,项目档案!$A$6:$A$255,0)),"⚠项目编号不存在"))</f>
        <v/>
      </c>
      <c r="N435" s="35" t="str">
        <f aca="false">IF($E435="","",IF($E435=IFERROR(INDEX(项目档案!$D$6:$D$255,MATCH($C435,项目档案!$A$6:$A$255,0)),""),"一级",IF($E435=IFERROR(INDEX(项目档案!$F$6:$F$255,MATCH($C435,项目档案!$A$6:$A$255,0)),""),"二级",IF($E435=IFERROR(INDEX(项目档案!$H$6:$H$255,MATCH($C435,项目档案!$A$6:$A$255,0)),""),"我方","—"))))</f>
        <v/>
      </c>
      <c r="O435" s="36" t="n">
        <f aca="false">IF($D435&lt;&gt;"销项开票",0,ROUND(N($H435)*N($I435),2))</f>
        <v>0</v>
      </c>
      <c r="P435" s="36" t="n">
        <f aca="false">IF($D435&lt;&gt;"销项开票",0,ROUND(N($H435)-$O435,2))</f>
        <v>0</v>
      </c>
      <c r="Q435" s="37" t="str">
        <f aca="false">IF($E435="","",N(IFERROR(INDEX(单位档案!$E$6:$E$35,MATCH($E435,单位档案!$A$6:$A$35,0)),"")))</f>
        <v/>
      </c>
      <c r="R435" s="37" t="str">
        <f aca="false">IF($E435="","",N(IFERROR(INDEX(单位档案!$F$6:$F$35,MATCH($E435,单位档案!$A$6:$A$35,0)),"")))</f>
        <v/>
      </c>
      <c r="S435" s="36" t="n">
        <f aca="false">IF(OR($D435&lt;&gt;"销项开票",IFERROR(INDEX(单位档案!$G$6:$G$35,MATCH($E435,单位档案!$A$6:$A$35,0)),"")&lt;&gt;"是",N($Q435)=0),0,IF(IFERROR(INDEX(单位档案!$H$6:$H$35,MATCH($E435,单位档案!$A$6:$A$35,0)),"")="税差法",ROUND(N($H435)/(1+$Q435)*$Q435-IF(N($R435)=0,0,$P435/(1+$R435)*$R435),2),ROUND(N($H435)/(1+$Q435)*$Q435,2)))</f>
        <v>0</v>
      </c>
      <c r="T435" s="36" t="n">
        <f aca="false">ROUND($S435*N(IFERROR(INDEX(单位档案!$J$6:$J$35,MATCH($E435,单位档案!$A$6:$A$35,0)),"")),2)</f>
        <v>0</v>
      </c>
      <c r="U435" s="36" t="n">
        <f aca="false">IF($D435&lt;&gt;"销项开票",0,ROUND(N($H435)*N(IFERROR(INDEX(单位档案!$K$6:$K$35,MATCH($E435,单位档案!$A$6:$A$35,0)),"")),2))</f>
        <v>0</v>
      </c>
      <c r="V435" s="36" t="n">
        <f aca="false">IF(OR($D435&lt;&gt;"销项开票",N($Q435)=0),0,ROUND(N($H435)/(1+$Q435)*N(IFERROR(INDEX(单位档案!$L$6:$L$35,MATCH($E435,单位档案!$A$6:$A$35,0)),"")),2))</f>
        <v>0</v>
      </c>
      <c r="W435" s="36" t="n">
        <f aca="false">ROUND($S435+$T435+$U435+$V435,2)</f>
        <v>0</v>
      </c>
      <c r="X435" s="35" t="str">
        <f aca="false">IF(OR($D435="挂靠代收",$D435="我方收款"),COUNTIFS($D$5:$D435,"挂靠代收")+COUNTIFS($D$5:$D435,"我方收款"),"")</f>
        <v/>
      </c>
      <c r="Y435" s="35"/>
      <c r="Z435" s="21" t="s">
        <v>111</v>
      </c>
    </row>
    <row r="436" customFormat="false" ht="15.75" hidden="false" customHeight="true" outlineLevel="0" collapsed="false">
      <c r="A436" s="32" t="str">
        <f aca="false">IF($B436="","",ROW()-4)</f>
        <v/>
      </c>
      <c r="B436" s="26"/>
      <c r="C436" s="24"/>
      <c r="D436" s="21"/>
      <c r="E436" s="21"/>
      <c r="F436" s="21"/>
      <c r="G436" s="21"/>
      <c r="H436" s="27"/>
      <c r="I436" s="23" t="str">
        <f aca="false">IF($D436&lt;&gt;"销项开票","",IF($N436="一级",IF(IFERROR(INDEX(项目档案!$E$6:$E$255,MATCH($C436,项目档案!$A$6:$A$255,0)),"")="",N(IFERROR(INDEX(单位档案!$D$6:$D$35,MATCH($E436,单位档案!$A$6:$A$35,0)),"")),IFERROR(INDEX(项目档案!$E$6:$E$255,MATCH($C436,项目档案!$A$6:$A$255,0)),"")),IF($N436="二级",IF(IFERROR(INDEX(项目档案!$G$6:$G$255,MATCH($C436,项目档案!$A$6:$A$255,0)),"")="",N(IFERROR(INDEX(单位档案!$D$6:$D$35,MATCH($E436,单位档案!$A$6:$A$35,0)),"")),IFERROR(INDEX(项目档案!$G$6:$G$255,MATCH($C436,项目档案!$A$6:$A$255,0)),"")),N(IFERROR(INDEX(单位档案!$D$6:$D$35,MATCH($E436,单位档案!$A$6:$A$35,0)),"")))))</f>
        <v/>
      </c>
      <c r="J436" s="22"/>
      <c r="K436" s="22"/>
      <c r="L436" s="33" t="str">
        <f aca="false">IF($B436="","",IF(NOT(ISNUMBER($B436)),"日期格式不对",IF($C436="","未选项目编号",IF(LEFT($M436,1)="⚠","项目编号不存在",IF($D436="","未选业务类型",IF($E436="","未选开票/付款方",IF(ISNA(MATCH($E436,单位档案!$A$6:$A$35,0)),"开票方不在单位档案",IF($F436="","未选收票/收款方",IF(ISNA(MATCH($F436,单位档案!$A$6:$A$35,0)),"收款方不在单位档案",IF(NOT(ISNUMBER($H436)),"金额须为数字",IF(AND($D436="销项开票",$N436="—"),"链条待确认","√")))))))))))</f>
        <v/>
      </c>
      <c r="M436" s="34" t="str">
        <f aca="false">IF($C436="","",IFERROR(INDEX(项目档案!$B$6:$B$255,MATCH($C436,项目档案!$A$6:$A$255,0)),"⚠项目编号不存在"))</f>
        <v/>
      </c>
      <c r="N436" s="35" t="str">
        <f aca="false">IF($E436="","",IF($E436=IFERROR(INDEX(项目档案!$D$6:$D$255,MATCH($C436,项目档案!$A$6:$A$255,0)),""),"一级",IF($E436=IFERROR(INDEX(项目档案!$F$6:$F$255,MATCH($C436,项目档案!$A$6:$A$255,0)),""),"二级",IF($E436=IFERROR(INDEX(项目档案!$H$6:$H$255,MATCH($C436,项目档案!$A$6:$A$255,0)),""),"我方","—"))))</f>
        <v/>
      </c>
      <c r="O436" s="36" t="n">
        <f aca="false">IF($D436&lt;&gt;"销项开票",0,ROUND(N($H436)*N($I436),2))</f>
        <v>0</v>
      </c>
      <c r="P436" s="36" t="n">
        <f aca="false">IF($D436&lt;&gt;"销项开票",0,ROUND(N($H436)-$O436,2))</f>
        <v>0</v>
      </c>
      <c r="Q436" s="37" t="str">
        <f aca="false">IF($E436="","",N(IFERROR(INDEX(单位档案!$E$6:$E$35,MATCH($E436,单位档案!$A$6:$A$35,0)),"")))</f>
        <v/>
      </c>
      <c r="R436" s="37" t="str">
        <f aca="false">IF($E436="","",N(IFERROR(INDEX(单位档案!$F$6:$F$35,MATCH($E436,单位档案!$A$6:$A$35,0)),"")))</f>
        <v/>
      </c>
      <c r="S436" s="36" t="n">
        <f aca="false">IF(OR($D436&lt;&gt;"销项开票",IFERROR(INDEX(单位档案!$G$6:$G$35,MATCH($E436,单位档案!$A$6:$A$35,0)),"")&lt;&gt;"是",N($Q436)=0),0,IF(IFERROR(INDEX(单位档案!$H$6:$H$35,MATCH($E436,单位档案!$A$6:$A$35,0)),"")="税差法",ROUND(N($H436)/(1+$Q436)*$Q436-IF(N($R436)=0,0,$P436/(1+$R436)*$R436),2),ROUND(N($H436)/(1+$Q436)*$Q436,2)))</f>
        <v>0</v>
      </c>
      <c r="T436" s="36" t="n">
        <f aca="false">ROUND($S436*N(IFERROR(INDEX(单位档案!$J$6:$J$35,MATCH($E436,单位档案!$A$6:$A$35,0)),"")),2)</f>
        <v>0</v>
      </c>
      <c r="U436" s="36" t="n">
        <f aca="false">IF($D436&lt;&gt;"销项开票",0,ROUND(N($H436)*N(IFERROR(INDEX(单位档案!$K$6:$K$35,MATCH($E436,单位档案!$A$6:$A$35,0)),"")),2))</f>
        <v>0</v>
      </c>
      <c r="V436" s="36" t="n">
        <f aca="false">IF(OR($D436&lt;&gt;"销项开票",N($Q436)=0),0,ROUND(N($H436)/(1+$Q436)*N(IFERROR(INDEX(单位档案!$L$6:$L$35,MATCH($E436,单位档案!$A$6:$A$35,0)),"")),2))</f>
        <v>0</v>
      </c>
      <c r="W436" s="36" t="n">
        <f aca="false">ROUND($S436+$T436+$U436+$V436,2)</f>
        <v>0</v>
      </c>
      <c r="X436" s="35" t="str">
        <f aca="false">IF(OR($D436="挂靠代收",$D436="我方收款"),COUNTIFS($D$5:$D436,"挂靠代收")+COUNTIFS($D$5:$D436,"我方收款"),"")</f>
        <v/>
      </c>
      <c r="Y436" s="35"/>
      <c r="Z436" s="21" t="s">
        <v>111</v>
      </c>
    </row>
    <row r="437" customFormat="false" ht="15.75" hidden="false" customHeight="true" outlineLevel="0" collapsed="false">
      <c r="A437" s="32" t="str">
        <f aca="false">IF($B437="","",ROW()-4)</f>
        <v/>
      </c>
      <c r="B437" s="26"/>
      <c r="C437" s="24"/>
      <c r="D437" s="21"/>
      <c r="E437" s="21"/>
      <c r="F437" s="21"/>
      <c r="G437" s="21"/>
      <c r="H437" s="27"/>
      <c r="I437" s="23" t="str">
        <f aca="false">IF($D437&lt;&gt;"销项开票","",IF($N437="一级",IF(IFERROR(INDEX(项目档案!$E$6:$E$255,MATCH($C437,项目档案!$A$6:$A$255,0)),"")="",N(IFERROR(INDEX(单位档案!$D$6:$D$35,MATCH($E437,单位档案!$A$6:$A$35,0)),"")),IFERROR(INDEX(项目档案!$E$6:$E$255,MATCH($C437,项目档案!$A$6:$A$255,0)),"")),IF($N437="二级",IF(IFERROR(INDEX(项目档案!$G$6:$G$255,MATCH($C437,项目档案!$A$6:$A$255,0)),"")="",N(IFERROR(INDEX(单位档案!$D$6:$D$35,MATCH($E437,单位档案!$A$6:$A$35,0)),"")),IFERROR(INDEX(项目档案!$G$6:$G$255,MATCH($C437,项目档案!$A$6:$A$255,0)),"")),N(IFERROR(INDEX(单位档案!$D$6:$D$35,MATCH($E437,单位档案!$A$6:$A$35,0)),"")))))</f>
        <v/>
      </c>
      <c r="J437" s="22"/>
      <c r="K437" s="22"/>
      <c r="L437" s="33" t="str">
        <f aca="false">IF($B437="","",IF(NOT(ISNUMBER($B437)),"日期格式不对",IF($C437="","未选项目编号",IF(LEFT($M437,1)="⚠","项目编号不存在",IF($D437="","未选业务类型",IF($E437="","未选开票/付款方",IF(ISNA(MATCH($E437,单位档案!$A$6:$A$35,0)),"开票方不在单位档案",IF($F437="","未选收票/收款方",IF(ISNA(MATCH($F437,单位档案!$A$6:$A$35,0)),"收款方不在单位档案",IF(NOT(ISNUMBER($H437)),"金额须为数字",IF(AND($D437="销项开票",$N437="—"),"链条待确认","√")))))))))))</f>
        <v/>
      </c>
      <c r="M437" s="34" t="str">
        <f aca="false">IF($C437="","",IFERROR(INDEX(项目档案!$B$6:$B$255,MATCH($C437,项目档案!$A$6:$A$255,0)),"⚠项目编号不存在"))</f>
        <v/>
      </c>
      <c r="N437" s="35" t="str">
        <f aca="false">IF($E437="","",IF($E437=IFERROR(INDEX(项目档案!$D$6:$D$255,MATCH($C437,项目档案!$A$6:$A$255,0)),""),"一级",IF($E437=IFERROR(INDEX(项目档案!$F$6:$F$255,MATCH($C437,项目档案!$A$6:$A$255,0)),""),"二级",IF($E437=IFERROR(INDEX(项目档案!$H$6:$H$255,MATCH($C437,项目档案!$A$6:$A$255,0)),""),"我方","—"))))</f>
        <v/>
      </c>
      <c r="O437" s="36" t="n">
        <f aca="false">IF($D437&lt;&gt;"销项开票",0,ROUND(N($H437)*N($I437),2))</f>
        <v>0</v>
      </c>
      <c r="P437" s="36" t="n">
        <f aca="false">IF($D437&lt;&gt;"销项开票",0,ROUND(N($H437)-$O437,2))</f>
        <v>0</v>
      </c>
      <c r="Q437" s="37" t="str">
        <f aca="false">IF($E437="","",N(IFERROR(INDEX(单位档案!$E$6:$E$35,MATCH($E437,单位档案!$A$6:$A$35,0)),"")))</f>
        <v/>
      </c>
      <c r="R437" s="37" t="str">
        <f aca="false">IF($E437="","",N(IFERROR(INDEX(单位档案!$F$6:$F$35,MATCH($E437,单位档案!$A$6:$A$35,0)),"")))</f>
        <v/>
      </c>
      <c r="S437" s="36" t="n">
        <f aca="false">IF(OR($D437&lt;&gt;"销项开票",IFERROR(INDEX(单位档案!$G$6:$G$35,MATCH($E437,单位档案!$A$6:$A$35,0)),"")&lt;&gt;"是",N($Q437)=0),0,IF(IFERROR(INDEX(单位档案!$H$6:$H$35,MATCH($E437,单位档案!$A$6:$A$35,0)),"")="税差法",ROUND(N($H437)/(1+$Q437)*$Q437-IF(N($R437)=0,0,$P437/(1+$R437)*$R437),2),ROUND(N($H437)/(1+$Q437)*$Q437,2)))</f>
        <v>0</v>
      </c>
      <c r="T437" s="36" t="n">
        <f aca="false">ROUND($S437*N(IFERROR(INDEX(单位档案!$J$6:$J$35,MATCH($E437,单位档案!$A$6:$A$35,0)),"")),2)</f>
        <v>0</v>
      </c>
      <c r="U437" s="36" t="n">
        <f aca="false">IF($D437&lt;&gt;"销项开票",0,ROUND(N($H437)*N(IFERROR(INDEX(单位档案!$K$6:$K$35,MATCH($E437,单位档案!$A$6:$A$35,0)),"")),2))</f>
        <v>0</v>
      </c>
      <c r="V437" s="36" t="n">
        <f aca="false">IF(OR($D437&lt;&gt;"销项开票",N($Q437)=0),0,ROUND(N($H437)/(1+$Q437)*N(IFERROR(INDEX(单位档案!$L$6:$L$35,MATCH($E437,单位档案!$A$6:$A$35,0)),"")),2))</f>
        <v>0</v>
      </c>
      <c r="W437" s="36" t="n">
        <f aca="false">ROUND($S437+$T437+$U437+$V437,2)</f>
        <v>0</v>
      </c>
      <c r="X437" s="35" t="str">
        <f aca="false">IF(OR($D437="挂靠代收",$D437="我方收款"),COUNTIFS($D$5:$D437,"挂靠代收")+COUNTIFS($D$5:$D437,"我方收款"),"")</f>
        <v/>
      </c>
      <c r="Y437" s="35"/>
      <c r="Z437" s="21" t="s">
        <v>111</v>
      </c>
    </row>
    <row r="438" customFormat="false" ht="15.75" hidden="false" customHeight="true" outlineLevel="0" collapsed="false">
      <c r="A438" s="32" t="str">
        <f aca="false">IF($B438="","",ROW()-4)</f>
        <v/>
      </c>
      <c r="B438" s="26"/>
      <c r="C438" s="24"/>
      <c r="D438" s="21"/>
      <c r="E438" s="21"/>
      <c r="F438" s="21"/>
      <c r="G438" s="21"/>
      <c r="H438" s="27"/>
      <c r="I438" s="23" t="str">
        <f aca="false">IF($D438&lt;&gt;"销项开票","",IF($N438="一级",IF(IFERROR(INDEX(项目档案!$E$6:$E$255,MATCH($C438,项目档案!$A$6:$A$255,0)),"")="",N(IFERROR(INDEX(单位档案!$D$6:$D$35,MATCH($E438,单位档案!$A$6:$A$35,0)),"")),IFERROR(INDEX(项目档案!$E$6:$E$255,MATCH($C438,项目档案!$A$6:$A$255,0)),"")),IF($N438="二级",IF(IFERROR(INDEX(项目档案!$G$6:$G$255,MATCH($C438,项目档案!$A$6:$A$255,0)),"")="",N(IFERROR(INDEX(单位档案!$D$6:$D$35,MATCH($E438,单位档案!$A$6:$A$35,0)),"")),IFERROR(INDEX(项目档案!$G$6:$G$255,MATCH($C438,项目档案!$A$6:$A$255,0)),"")),N(IFERROR(INDEX(单位档案!$D$6:$D$35,MATCH($E438,单位档案!$A$6:$A$35,0)),"")))))</f>
        <v/>
      </c>
      <c r="J438" s="22"/>
      <c r="K438" s="22"/>
      <c r="L438" s="33" t="str">
        <f aca="false">IF($B438="","",IF(NOT(ISNUMBER($B438)),"日期格式不对",IF($C438="","未选项目编号",IF(LEFT($M438,1)="⚠","项目编号不存在",IF($D438="","未选业务类型",IF($E438="","未选开票/付款方",IF(ISNA(MATCH($E438,单位档案!$A$6:$A$35,0)),"开票方不在单位档案",IF($F438="","未选收票/收款方",IF(ISNA(MATCH($F438,单位档案!$A$6:$A$35,0)),"收款方不在单位档案",IF(NOT(ISNUMBER($H438)),"金额须为数字",IF(AND($D438="销项开票",$N438="—"),"链条待确认","√")))))))))))</f>
        <v/>
      </c>
      <c r="M438" s="34" t="str">
        <f aca="false">IF($C438="","",IFERROR(INDEX(项目档案!$B$6:$B$255,MATCH($C438,项目档案!$A$6:$A$255,0)),"⚠项目编号不存在"))</f>
        <v/>
      </c>
      <c r="N438" s="35" t="str">
        <f aca="false">IF($E438="","",IF($E438=IFERROR(INDEX(项目档案!$D$6:$D$255,MATCH($C438,项目档案!$A$6:$A$255,0)),""),"一级",IF($E438=IFERROR(INDEX(项目档案!$F$6:$F$255,MATCH($C438,项目档案!$A$6:$A$255,0)),""),"二级",IF($E438=IFERROR(INDEX(项目档案!$H$6:$H$255,MATCH($C438,项目档案!$A$6:$A$255,0)),""),"我方","—"))))</f>
        <v/>
      </c>
      <c r="O438" s="36" t="n">
        <f aca="false">IF($D438&lt;&gt;"销项开票",0,ROUND(N($H438)*N($I438),2))</f>
        <v>0</v>
      </c>
      <c r="P438" s="36" t="n">
        <f aca="false">IF($D438&lt;&gt;"销项开票",0,ROUND(N($H438)-$O438,2))</f>
        <v>0</v>
      </c>
      <c r="Q438" s="37" t="str">
        <f aca="false">IF($E438="","",N(IFERROR(INDEX(单位档案!$E$6:$E$35,MATCH($E438,单位档案!$A$6:$A$35,0)),"")))</f>
        <v/>
      </c>
      <c r="R438" s="37" t="str">
        <f aca="false">IF($E438="","",N(IFERROR(INDEX(单位档案!$F$6:$F$35,MATCH($E438,单位档案!$A$6:$A$35,0)),"")))</f>
        <v/>
      </c>
      <c r="S438" s="36" t="n">
        <f aca="false">IF(OR($D438&lt;&gt;"销项开票",IFERROR(INDEX(单位档案!$G$6:$G$35,MATCH($E438,单位档案!$A$6:$A$35,0)),"")&lt;&gt;"是",N($Q438)=0),0,IF(IFERROR(INDEX(单位档案!$H$6:$H$35,MATCH($E438,单位档案!$A$6:$A$35,0)),"")="税差法",ROUND(N($H438)/(1+$Q438)*$Q438-IF(N($R438)=0,0,$P438/(1+$R438)*$R438),2),ROUND(N($H438)/(1+$Q438)*$Q438,2)))</f>
        <v>0</v>
      </c>
      <c r="T438" s="36" t="n">
        <f aca="false">ROUND($S438*N(IFERROR(INDEX(单位档案!$J$6:$J$35,MATCH($E438,单位档案!$A$6:$A$35,0)),"")),2)</f>
        <v>0</v>
      </c>
      <c r="U438" s="36" t="n">
        <f aca="false">IF($D438&lt;&gt;"销项开票",0,ROUND(N($H438)*N(IFERROR(INDEX(单位档案!$K$6:$K$35,MATCH($E438,单位档案!$A$6:$A$35,0)),"")),2))</f>
        <v>0</v>
      </c>
      <c r="V438" s="36" t="n">
        <f aca="false">IF(OR($D438&lt;&gt;"销项开票",N($Q438)=0),0,ROUND(N($H438)/(1+$Q438)*N(IFERROR(INDEX(单位档案!$L$6:$L$35,MATCH($E438,单位档案!$A$6:$A$35,0)),"")),2))</f>
        <v>0</v>
      </c>
      <c r="W438" s="36" t="n">
        <f aca="false">ROUND($S438+$T438+$U438+$V438,2)</f>
        <v>0</v>
      </c>
      <c r="X438" s="35" t="str">
        <f aca="false">IF(OR($D438="挂靠代收",$D438="我方收款"),COUNTIFS($D$5:$D438,"挂靠代收")+COUNTIFS($D$5:$D438,"我方收款"),"")</f>
        <v/>
      </c>
      <c r="Y438" s="35"/>
      <c r="Z438" s="21" t="s">
        <v>111</v>
      </c>
    </row>
    <row r="439" customFormat="false" ht="15.75" hidden="false" customHeight="true" outlineLevel="0" collapsed="false">
      <c r="A439" s="32" t="str">
        <f aca="false">IF($B439="","",ROW()-4)</f>
        <v/>
      </c>
      <c r="B439" s="26"/>
      <c r="C439" s="24"/>
      <c r="D439" s="21"/>
      <c r="E439" s="21"/>
      <c r="F439" s="21"/>
      <c r="G439" s="21"/>
      <c r="H439" s="27"/>
      <c r="I439" s="23" t="str">
        <f aca="false">IF($D439&lt;&gt;"销项开票","",IF($N439="一级",IF(IFERROR(INDEX(项目档案!$E$6:$E$255,MATCH($C439,项目档案!$A$6:$A$255,0)),"")="",N(IFERROR(INDEX(单位档案!$D$6:$D$35,MATCH($E439,单位档案!$A$6:$A$35,0)),"")),IFERROR(INDEX(项目档案!$E$6:$E$255,MATCH($C439,项目档案!$A$6:$A$255,0)),"")),IF($N439="二级",IF(IFERROR(INDEX(项目档案!$G$6:$G$255,MATCH($C439,项目档案!$A$6:$A$255,0)),"")="",N(IFERROR(INDEX(单位档案!$D$6:$D$35,MATCH($E439,单位档案!$A$6:$A$35,0)),"")),IFERROR(INDEX(项目档案!$G$6:$G$255,MATCH($C439,项目档案!$A$6:$A$255,0)),"")),N(IFERROR(INDEX(单位档案!$D$6:$D$35,MATCH($E439,单位档案!$A$6:$A$35,0)),"")))))</f>
        <v/>
      </c>
      <c r="J439" s="22"/>
      <c r="K439" s="22"/>
      <c r="L439" s="33" t="str">
        <f aca="false">IF($B439="","",IF(NOT(ISNUMBER($B439)),"日期格式不对",IF($C439="","未选项目编号",IF(LEFT($M439,1)="⚠","项目编号不存在",IF($D439="","未选业务类型",IF($E439="","未选开票/付款方",IF(ISNA(MATCH($E439,单位档案!$A$6:$A$35,0)),"开票方不在单位档案",IF($F439="","未选收票/收款方",IF(ISNA(MATCH($F439,单位档案!$A$6:$A$35,0)),"收款方不在单位档案",IF(NOT(ISNUMBER($H439)),"金额须为数字",IF(AND($D439="销项开票",$N439="—"),"链条待确认","√")))))))))))</f>
        <v/>
      </c>
      <c r="M439" s="34" t="str">
        <f aca="false">IF($C439="","",IFERROR(INDEX(项目档案!$B$6:$B$255,MATCH($C439,项目档案!$A$6:$A$255,0)),"⚠项目编号不存在"))</f>
        <v/>
      </c>
      <c r="N439" s="35" t="str">
        <f aca="false">IF($E439="","",IF($E439=IFERROR(INDEX(项目档案!$D$6:$D$255,MATCH($C439,项目档案!$A$6:$A$255,0)),""),"一级",IF($E439=IFERROR(INDEX(项目档案!$F$6:$F$255,MATCH($C439,项目档案!$A$6:$A$255,0)),""),"二级",IF($E439=IFERROR(INDEX(项目档案!$H$6:$H$255,MATCH($C439,项目档案!$A$6:$A$255,0)),""),"我方","—"))))</f>
        <v/>
      </c>
      <c r="O439" s="36" t="n">
        <f aca="false">IF($D439&lt;&gt;"销项开票",0,ROUND(N($H439)*N($I439),2))</f>
        <v>0</v>
      </c>
      <c r="P439" s="36" t="n">
        <f aca="false">IF($D439&lt;&gt;"销项开票",0,ROUND(N($H439)-$O439,2))</f>
        <v>0</v>
      </c>
      <c r="Q439" s="37" t="str">
        <f aca="false">IF($E439="","",N(IFERROR(INDEX(单位档案!$E$6:$E$35,MATCH($E439,单位档案!$A$6:$A$35,0)),"")))</f>
        <v/>
      </c>
      <c r="R439" s="37" t="str">
        <f aca="false">IF($E439="","",N(IFERROR(INDEX(单位档案!$F$6:$F$35,MATCH($E439,单位档案!$A$6:$A$35,0)),"")))</f>
        <v/>
      </c>
      <c r="S439" s="36" t="n">
        <f aca="false">IF(OR($D439&lt;&gt;"销项开票",IFERROR(INDEX(单位档案!$G$6:$G$35,MATCH($E439,单位档案!$A$6:$A$35,0)),"")&lt;&gt;"是",N($Q439)=0),0,IF(IFERROR(INDEX(单位档案!$H$6:$H$35,MATCH($E439,单位档案!$A$6:$A$35,0)),"")="税差法",ROUND(N($H439)/(1+$Q439)*$Q439-IF(N($R439)=0,0,$P439/(1+$R439)*$R439),2),ROUND(N($H439)/(1+$Q439)*$Q439,2)))</f>
        <v>0</v>
      </c>
      <c r="T439" s="36" t="n">
        <f aca="false">ROUND($S439*N(IFERROR(INDEX(单位档案!$J$6:$J$35,MATCH($E439,单位档案!$A$6:$A$35,0)),"")),2)</f>
        <v>0</v>
      </c>
      <c r="U439" s="36" t="n">
        <f aca="false">IF($D439&lt;&gt;"销项开票",0,ROUND(N($H439)*N(IFERROR(INDEX(单位档案!$K$6:$K$35,MATCH($E439,单位档案!$A$6:$A$35,0)),"")),2))</f>
        <v>0</v>
      </c>
      <c r="V439" s="36" t="n">
        <f aca="false">IF(OR($D439&lt;&gt;"销项开票",N($Q439)=0),0,ROUND(N($H439)/(1+$Q439)*N(IFERROR(INDEX(单位档案!$L$6:$L$35,MATCH($E439,单位档案!$A$6:$A$35,0)),"")),2))</f>
        <v>0</v>
      </c>
      <c r="W439" s="36" t="n">
        <f aca="false">ROUND($S439+$T439+$U439+$V439,2)</f>
        <v>0</v>
      </c>
      <c r="X439" s="35" t="str">
        <f aca="false">IF(OR($D439="挂靠代收",$D439="我方收款"),COUNTIFS($D$5:$D439,"挂靠代收")+COUNTIFS($D$5:$D439,"我方收款"),"")</f>
        <v/>
      </c>
      <c r="Y439" s="35"/>
      <c r="Z439" s="21" t="s">
        <v>111</v>
      </c>
    </row>
    <row r="440" customFormat="false" ht="15.75" hidden="false" customHeight="true" outlineLevel="0" collapsed="false">
      <c r="A440" s="32" t="str">
        <f aca="false">IF($B440="","",ROW()-4)</f>
        <v/>
      </c>
      <c r="B440" s="26"/>
      <c r="C440" s="24"/>
      <c r="D440" s="21"/>
      <c r="E440" s="21"/>
      <c r="F440" s="21"/>
      <c r="G440" s="21"/>
      <c r="H440" s="27"/>
      <c r="I440" s="23" t="str">
        <f aca="false">IF($D440&lt;&gt;"销项开票","",IF($N440="一级",IF(IFERROR(INDEX(项目档案!$E$6:$E$255,MATCH($C440,项目档案!$A$6:$A$255,0)),"")="",N(IFERROR(INDEX(单位档案!$D$6:$D$35,MATCH($E440,单位档案!$A$6:$A$35,0)),"")),IFERROR(INDEX(项目档案!$E$6:$E$255,MATCH($C440,项目档案!$A$6:$A$255,0)),"")),IF($N440="二级",IF(IFERROR(INDEX(项目档案!$G$6:$G$255,MATCH($C440,项目档案!$A$6:$A$255,0)),"")="",N(IFERROR(INDEX(单位档案!$D$6:$D$35,MATCH($E440,单位档案!$A$6:$A$35,0)),"")),IFERROR(INDEX(项目档案!$G$6:$G$255,MATCH($C440,项目档案!$A$6:$A$255,0)),"")),N(IFERROR(INDEX(单位档案!$D$6:$D$35,MATCH($E440,单位档案!$A$6:$A$35,0)),"")))))</f>
        <v/>
      </c>
      <c r="J440" s="22"/>
      <c r="K440" s="22"/>
      <c r="L440" s="33" t="str">
        <f aca="false">IF($B440="","",IF(NOT(ISNUMBER($B440)),"日期格式不对",IF($C440="","未选项目编号",IF(LEFT($M440,1)="⚠","项目编号不存在",IF($D440="","未选业务类型",IF($E440="","未选开票/付款方",IF(ISNA(MATCH($E440,单位档案!$A$6:$A$35,0)),"开票方不在单位档案",IF($F440="","未选收票/收款方",IF(ISNA(MATCH($F440,单位档案!$A$6:$A$35,0)),"收款方不在单位档案",IF(NOT(ISNUMBER($H440)),"金额须为数字",IF(AND($D440="销项开票",$N440="—"),"链条待确认","√")))))))))))</f>
        <v/>
      </c>
      <c r="M440" s="34" t="str">
        <f aca="false">IF($C440="","",IFERROR(INDEX(项目档案!$B$6:$B$255,MATCH($C440,项目档案!$A$6:$A$255,0)),"⚠项目编号不存在"))</f>
        <v/>
      </c>
      <c r="N440" s="35" t="str">
        <f aca="false">IF($E440="","",IF($E440=IFERROR(INDEX(项目档案!$D$6:$D$255,MATCH($C440,项目档案!$A$6:$A$255,0)),""),"一级",IF($E440=IFERROR(INDEX(项目档案!$F$6:$F$255,MATCH($C440,项目档案!$A$6:$A$255,0)),""),"二级",IF($E440=IFERROR(INDEX(项目档案!$H$6:$H$255,MATCH($C440,项目档案!$A$6:$A$255,0)),""),"我方","—"))))</f>
        <v/>
      </c>
      <c r="O440" s="36" t="n">
        <f aca="false">IF($D440&lt;&gt;"销项开票",0,ROUND(N($H440)*N($I440),2))</f>
        <v>0</v>
      </c>
      <c r="P440" s="36" t="n">
        <f aca="false">IF($D440&lt;&gt;"销项开票",0,ROUND(N($H440)-$O440,2))</f>
        <v>0</v>
      </c>
      <c r="Q440" s="37" t="str">
        <f aca="false">IF($E440="","",N(IFERROR(INDEX(单位档案!$E$6:$E$35,MATCH($E440,单位档案!$A$6:$A$35,0)),"")))</f>
        <v/>
      </c>
      <c r="R440" s="37" t="str">
        <f aca="false">IF($E440="","",N(IFERROR(INDEX(单位档案!$F$6:$F$35,MATCH($E440,单位档案!$A$6:$A$35,0)),"")))</f>
        <v/>
      </c>
      <c r="S440" s="36" t="n">
        <f aca="false">IF(OR($D440&lt;&gt;"销项开票",IFERROR(INDEX(单位档案!$G$6:$G$35,MATCH($E440,单位档案!$A$6:$A$35,0)),"")&lt;&gt;"是",N($Q440)=0),0,IF(IFERROR(INDEX(单位档案!$H$6:$H$35,MATCH($E440,单位档案!$A$6:$A$35,0)),"")="税差法",ROUND(N($H440)/(1+$Q440)*$Q440-IF(N($R440)=0,0,$P440/(1+$R440)*$R440),2),ROUND(N($H440)/(1+$Q440)*$Q440,2)))</f>
        <v>0</v>
      </c>
      <c r="T440" s="36" t="n">
        <f aca="false">ROUND($S440*N(IFERROR(INDEX(单位档案!$J$6:$J$35,MATCH($E440,单位档案!$A$6:$A$35,0)),"")),2)</f>
        <v>0</v>
      </c>
      <c r="U440" s="36" t="n">
        <f aca="false">IF($D440&lt;&gt;"销项开票",0,ROUND(N($H440)*N(IFERROR(INDEX(单位档案!$K$6:$K$35,MATCH($E440,单位档案!$A$6:$A$35,0)),"")),2))</f>
        <v>0</v>
      </c>
      <c r="V440" s="36" t="n">
        <f aca="false">IF(OR($D440&lt;&gt;"销项开票",N($Q440)=0),0,ROUND(N($H440)/(1+$Q440)*N(IFERROR(INDEX(单位档案!$L$6:$L$35,MATCH($E440,单位档案!$A$6:$A$35,0)),"")),2))</f>
        <v>0</v>
      </c>
      <c r="W440" s="36" t="n">
        <f aca="false">ROUND($S440+$T440+$U440+$V440,2)</f>
        <v>0</v>
      </c>
      <c r="X440" s="35" t="str">
        <f aca="false">IF(OR($D440="挂靠代收",$D440="我方收款"),COUNTIFS($D$5:$D440,"挂靠代收")+COUNTIFS($D$5:$D440,"我方收款"),"")</f>
        <v/>
      </c>
      <c r="Y440" s="35"/>
      <c r="Z440" s="21" t="s">
        <v>111</v>
      </c>
    </row>
    <row r="441" customFormat="false" ht="15.75" hidden="false" customHeight="true" outlineLevel="0" collapsed="false">
      <c r="A441" s="32" t="str">
        <f aca="false">IF($B441="","",ROW()-4)</f>
        <v/>
      </c>
      <c r="B441" s="26"/>
      <c r="C441" s="24"/>
      <c r="D441" s="21"/>
      <c r="E441" s="21"/>
      <c r="F441" s="21"/>
      <c r="G441" s="21"/>
      <c r="H441" s="27"/>
      <c r="I441" s="23" t="str">
        <f aca="false">IF($D441&lt;&gt;"销项开票","",IF($N441="一级",IF(IFERROR(INDEX(项目档案!$E$6:$E$255,MATCH($C441,项目档案!$A$6:$A$255,0)),"")="",N(IFERROR(INDEX(单位档案!$D$6:$D$35,MATCH($E441,单位档案!$A$6:$A$35,0)),"")),IFERROR(INDEX(项目档案!$E$6:$E$255,MATCH($C441,项目档案!$A$6:$A$255,0)),"")),IF($N441="二级",IF(IFERROR(INDEX(项目档案!$G$6:$G$255,MATCH($C441,项目档案!$A$6:$A$255,0)),"")="",N(IFERROR(INDEX(单位档案!$D$6:$D$35,MATCH($E441,单位档案!$A$6:$A$35,0)),"")),IFERROR(INDEX(项目档案!$G$6:$G$255,MATCH($C441,项目档案!$A$6:$A$255,0)),"")),N(IFERROR(INDEX(单位档案!$D$6:$D$35,MATCH($E441,单位档案!$A$6:$A$35,0)),"")))))</f>
        <v/>
      </c>
      <c r="J441" s="22"/>
      <c r="K441" s="22"/>
      <c r="L441" s="33" t="str">
        <f aca="false">IF($B441="","",IF(NOT(ISNUMBER($B441)),"日期格式不对",IF($C441="","未选项目编号",IF(LEFT($M441,1)="⚠","项目编号不存在",IF($D441="","未选业务类型",IF($E441="","未选开票/付款方",IF(ISNA(MATCH($E441,单位档案!$A$6:$A$35,0)),"开票方不在单位档案",IF($F441="","未选收票/收款方",IF(ISNA(MATCH($F441,单位档案!$A$6:$A$35,0)),"收款方不在单位档案",IF(NOT(ISNUMBER($H441)),"金额须为数字",IF(AND($D441="销项开票",$N441="—"),"链条待确认","√")))))))))))</f>
        <v/>
      </c>
      <c r="M441" s="34" t="str">
        <f aca="false">IF($C441="","",IFERROR(INDEX(项目档案!$B$6:$B$255,MATCH($C441,项目档案!$A$6:$A$255,0)),"⚠项目编号不存在"))</f>
        <v/>
      </c>
      <c r="N441" s="35" t="str">
        <f aca="false">IF($E441="","",IF($E441=IFERROR(INDEX(项目档案!$D$6:$D$255,MATCH($C441,项目档案!$A$6:$A$255,0)),""),"一级",IF($E441=IFERROR(INDEX(项目档案!$F$6:$F$255,MATCH($C441,项目档案!$A$6:$A$255,0)),""),"二级",IF($E441=IFERROR(INDEX(项目档案!$H$6:$H$255,MATCH($C441,项目档案!$A$6:$A$255,0)),""),"我方","—"))))</f>
        <v/>
      </c>
      <c r="O441" s="36" t="n">
        <f aca="false">IF($D441&lt;&gt;"销项开票",0,ROUND(N($H441)*N($I441),2))</f>
        <v>0</v>
      </c>
      <c r="P441" s="36" t="n">
        <f aca="false">IF($D441&lt;&gt;"销项开票",0,ROUND(N($H441)-$O441,2))</f>
        <v>0</v>
      </c>
      <c r="Q441" s="37" t="str">
        <f aca="false">IF($E441="","",N(IFERROR(INDEX(单位档案!$E$6:$E$35,MATCH($E441,单位档案!$A$6:$A$35,0)),"")))</f>
        <v/>
      </c>
      <c r="R441" s="37" t="str">
        <f aca="false">IF($E441="","",N(IFERROR(INDEX(单位档案!$F$6:$F$35,MATCH($E441,单位档案!$A$6:$A$35,0)),"")))</f>
        <v/>
      </c>
      <c r="S441" s="36" t="n">
        <f aca="false">IF(OR($D441&lt;&gt;"销项开票",IFERROR(INDEX(单位档案!$G$6:$G$35,MATCH($E441,单位档案!$A$6:$A$35,0)),"")&lt;&gt;"是",N($Q441)=0),0,IF(IFERROR(INDEX(单位档案!$H$6:$H$35,MATCH($E441,单位档案!$A$6:$A$35,0)),"")="税差法",ROUND(N($H441)/(1+$Q441)*$Q441-IF(N($R441)=0,0,$P441/(1+$R441)*$R441),2),ROUND(N($H441)/(1+$Q441)*$Q441,2)))</f>
        <v>0</v>
      </c>
      <c r="T441" s="36" t="n">
        <f aca="false">ROUND($S441*N(IFERROR(INDEX(单位档案!$J$6:$J$35,MATCH($E441,单位档案!$A$6:$A$35,0)),"")),2)</f>
        <v>0</v>
      </c>
      <c r="U441" s="36" t="n">
        <f aca="false">IF($D441&lt;&gt;"销项开票",0,ROUND(N($H441)*N(IFERROR(INDEX(单位档案!$K$6:$K$35,MATCH($E441,单位档案!$A$6:$A$35,0)),"")),2))</f>
        <v>0</v>
      </c>
      <c r="V441" s="36" t="n">
        <f aca="false">IF(OR($D441&lt;&gt;"销项开票",N($Q441)=0),0,ROUND(N($H441)/(1+$Q441)*N(IFERROR(INDEX(单位档案!$L$6:$L$35,MATCH($E441,单位档案!$A$6:$A$35,0)),"")),2))</f>
        <v>0</v>
      </c>
      <c r="W441" s="36" t="n">
        <f aca="false">ROUND($S441+$T441+$U441+$V441,2)</f>
        <v>0</v>
      </c>
      <c r="X441" s="35" t="str">
        <f aca="false">IF(OR($D441="挂靠代收",$D441="我方收款"),COUNTIFS($D$5:$D441,"挂靠代收")+COUNTIFS($D$5:$D441,"我方收款"),"")</f>
        <v/>
      </c>
      <c r="Y441" s="35"/>
      <c r="Z441" s="21" t="s">
        <v>111</v>
      </c>
    </row>
    <row r="442" customFormat="false" ht="15.75" hidden="false" customHeight="true" outlineLevel="0" collapsed="false">
      <c r="A442" s="32" t="str">
        <f aca="false">IF($B442="","",ROW()-4)</f>
        <v/>
      </c>
      <c r="B442" s="26"/>
      <c r="C442" s="24"/>
      <c r="D442" s="21"/>
      <c r="E442" s="21"/>
      <c r="F442" s="21"/>
      <c r="G442" s="21"/>
      <c r="H442" s="27"/>
      <c r="I442" s="23" t="str">
        <f aca="false">IF($D442&lt;&gt;"销项开票","",IF($N442="一级",IF(IFERROR(INDEX(项目档案!$E$6:$E$255,MATCH($C442,项目档案!$A$6:$A$255,0)),"")="",N(IFERROR(INDEX(单位档案!$D$6:$D$35,MATCH($E442,单位档案!$A$6:$A$35,0)),"")),IFERROR(INDEX(项目档案!$E$6:$E$255,MATCH($C442,项目档案!$A$6:$A$255,0)),"")),IF($N442="二级",IF(IFERROR(INDEX(项目档案!$G$6:$G$255,MATCH($C442,项目档案!$A$6:$A$255,0)),"")="",N(IFERROR(INDEX(单位档案!$D$6:$D$35,MATCH($E442,单位档案!$A$6:$A$35,0)),"")),IFERROR(INDEX(项目档案!$G$6:$G$255,MATCH($C442,项目档案!$A$6:$A$255,0)),"")),N(IFERROR(INDEX(单位档案!$D$6:$D$35,MATCH($E442,单位档案!$A$6:$A$35,0)),"")))))</f>
        <v/>
      </c>
      <c r="J442" s="22"/>
      <c r="K442" s="22"/>
      <c r="L442" s="33" t="str">
        <f aca="false">IF($B442="","",IF(NOT(ISNUMBER($B442)),"日期格式不对",IF($C442="","未选项目编号",IF(LEFT($M442,1)="⚠","项目编号不存在",IF($D442="","未选业务类型",IF($E442="","未选开票/付款方",IF(ISNA(MATCH($E442,单位档案!$A$6:$A$35,0)),"开票方不在单位档案",IF($F442="","未选收票/收款方",IF(ISNA(MATCH($F442,单位档案!$A$6:$A$35,0)),"收款方不在单位档案",IF(NOT(ISNUMBER($H442)),"金额须为数字",IF(AND($D442="销项开票",$N442="—"),"链条待确认","√")))))))))))</f>
        <v/>
      </c>
      <c r="M442" s="34" t="str">
        <f aca="false">IF($C442="","",IFERROR(INDEX(项目档案!$B$6:$B$255,MATCH($C442,项目档案!$A$6:$A$255,0)),"⚠项目编号不存在"))</f>
        <v/>
      </c>
      <c r="N442" s="35" t="str">
        <f aca="false">IF($E442="","",IF($E442=IFERROR(INDEX(项目档案!$D$6:$D$255,MATCH($C442,项目档案!$A$6:$A$255,0)),""),"一级",IF($E442=IFERROR(INDEX(项目档案!$F$6:$F$255,MATCH($C442,项目档案!$A$6:$A$255,0)),""),"二级",IF($E442=IFERROR(INDEX(项目档案!$H$6:$H$255,MATCH($C442,项目档案!$A$6:$A$255,0)),""),"我方","—"))))</f>
        <v/>
      </c>
      <c r="O442" s="36" t="n">
        <f aca="false">IF($D442&lt;&gt;"销项开票",0,ROUND(N($H442)*N($I442),2))</f>
        <v>0</v>
      </c>
      <c r="P442" s="36" t="n">
        <f aca="false">IF($D442&lt;&gt;"销项开票",0,ROUND(N($H442)-$O442,2))</f>
        <v>0</v>
      </c>
      <c r="Q442" s="37" t="str">
        <f aca="false">IF($E442="","",N(IFERROR(INDEX(单位档案!$E$6:$E$35,MATCH($E442,单位档案!$A$6:$A$35,0)),"")))</f>
        <v/>
      </c>
      <c r="R442" s="37" t="str">
        <f aca="false">IF($E442="","",N(IFERROR(INDEX(单位档案!$F$6:$F$35,MATCH($E442,单位档案!$A$6:$A$35,0)),"")))</f>
        <v/>
      </c>
      <c r="S442" s="36" t="n">
        <f aca="false">IF(OR($D442&lt;&gt;"销项开票",IFERROR(INDEX(单位档案!$G$6:$G$35,MATCH($E442,单位档案!$A$6:$A$35,0)),"")&lt;&gt;"是",N($Q442)=0),0,IF(IFERROR(INDEX(单位档案!$H$6:$H$35,MATCH($E442,单位档案!$A$6:$A$35,0)),"")="税差法",ROUND(N($H442)/(1+$Q442)*$Q442-IF(N($R442)=0,0,$P442/(1+$R442)*$R442),2),ROUND(N($H442)/(1+$Q442)*$Q442,2)))</f>
        <v>0</v>
      </c>
      <c r="T442" s="36" t="n">
        <f aca="false">ROUND($S442*N(IFERROR(INDEX(单位档案!$J$6:$J$35,MATCH($E442,单位档案!$A$6:$A$35,0)),"")),2)</f>
        <v>0</v>
      </c>
      <c r="U442" s="36" t="n">
        <f aca="false">IF($D442&lt;&gt;"销项开票",0,ROUND(N($H442)*N(IFERROR(INDEX(单位档案!$K$6:$K$35,MATCH($E442,单位档案!$A$6:$A$35,0)),"")),2))</f>
        <v>0</v>
      </c>
      <c r="V442" s="36" t="n">
        <f aca="false">IF(OR($D442&lt;&gt;"销项开票",N($Q442)=0),0,ROUND(N($H442)/(1+$Q442)*N(IFERROR(INDEX(单位档案!$L$6:$L$35,MATCH($E442,单位档案!$A$6:$A$35,0)),"")),2))</f>
        <v>0</v>
      </c>
      <c r="W442" s="36" t="n">
        <f aca="false">ROUND($S442+$T442+$U442+$V442,2)</f>
        <v>0</v>
      </c>
      <c r="X442" s="35" t="str">
        <f aca="false">IF(OR($D442="挂靠代收",$D442="我方收款"),COUNTIFS($D$5:$D442,"挂靠代收")+COUNTIFS($D$5:$D442,"我方收款"),"")</f>
        <v/>
      </c>
      <c r="Y442" s="35"/>
      <c r="Z442" s="21" t="s">
        <v>111</v>
      </c>
    </row>
    <row r="443" customFormat="false" ht="15.75" hidden="false" customHeight="true" outlineLevel="0" collapsed="false">
      <c r="A443" s="32" t="str">
        <f aca="false">IF($B443="","",ROW()-4)</f>
        <v/>
      </c>
      <c r="B443" s="26"/>
      <c r="C443" s="24"/>
      <c r="D443" s="21"/>
      <c r="E443" s="21"/>
      <c r="F443" s="21"/>
      <c r="G443" s="21"/>
      <c r="H443" s="27"/>
      <c r="I443" s="23" t="str">
        <f aca="false">IF($D443&lt;&gt;"销项开票","",IF($N443="一级",IF(IFERROR(INDEX(项目档案!$E$6:$E$255,MATCH($C443,项目档案!$A$6:$A$255,0)),"")="",N(IFERROR(INDEX(单位档案!$D$6:$D$35,MATCH($E443,单位档案!$A$6:$A$35,0)),"")),IFERROR(INDEX(项目档案!$E$6:$E$255,MATCH($C443,项目档案!$A$6:$A$255,0)),"")),IF($N443="二级",IF(IFERROR(INDEX(项目档案!$G$6:$G$255,MATCH($C443,项目档案!$A$6:$A$255,0)),"")="",N(IFERROR(INDEX(单位档案!$D$6:$D$35,MATCH($E443,单位档案!$A$6:$A$35,0)),"")),IFERROR(INDEX(项目档案!$G$6:$G$255,MATCH($C443,项目档案!$A$6:$A$255,0)),"")),N(IFERROR(INDEX(单位档案!$D$6:$D$35,MATCH($E443,单位档案!$A$6:$A$35,0)),"")))))</f>
        <v/>
      </c>
      <c r="J443" s="22"/>
      <c r="K443" s="22"/>
      <c r="L443" s="33" t="str">
        <f aca="false">IF($B443="","",IF(NOT(ISNUMBER($B443)),"日期格式不对",IF($C443="","未选项目编号",IF(LEFT($M443,1)="⚠","项目编号不存在",IF($D443="","未选业务类型",IF($E443="","未选开票/付款方",IF(ISNA(MATCH($E443,单位档案!$A$6:$A$35,0)),"开票方不在单位档案",IF($F443="","未选收票/收款方",IF(ISNA(MATCH($F443,单位档案!$A$6:$A$35,0)),"收款方不在单位档案",IF(NOT(ISNUMBER($H443)),"金额须为数字",IF(AND($D443="销项开票",$N443="—"),"链条待确认","√")))))))))))</f>
        <v/>
      </c>
      <c r="M443" s="34" t="str">
        <f aca="false">IF($C443="","",IFERROR(INDEX(项目档案!$B$6:$B$255,MATCH($C443,项目档案!$A$6:$A$255,0)),"⚠项目编号不存在"))</f>
        <v/>
      </c>
      <c r="N443" s="35" t="str">
        <f aca="false">IF($E443="","",IF($E443=IFERROR(INDEX(项目档案!$D$6:$D$255,MATCH($C443,项目档案!$A$6:$A$255,0)),""),"一级",IF($E443=IFERROR(INDEX(项目档案!$F$6:$F$255,MATCH($C443,项目档案!$A$6:$A$255,0)),""),"二级",IF($E443=IFERROR(INDEX(项目档案!$H$6:$H$255,MATCH($C443,项目档案!$A$6:$A$255,0)),""),"我方","—"))))</f>
        <v/>
      </c>
      <c r="O443" s="36" t="n">
        <f aca="false">IF($D443&lt;&gt;"销项开票",0,ROUND(N($H443)*N($I443),2))</f>
        <v>0</v>
      </c>
      <c r="P443" s="36" t="n">
        <f aca="false">IF($D443&lt;&gt;"销项开票",0,ROUND(N($H443)-$O443,2))</f>
        <v>0</v>
      </c>
      <c r="Q443" s="37" t="str">
        <f aca="false">IF($E443="","",N(IFERROR(INDEX(单位档案!$E$6:$E$35,MATCH($E443,单位档案!$A$6:$A$35,0)),"")))</f>
        <v/>
      </c>
      <c r="R443" s="37" t="str">
        <f aca="false">IF($E443="","",N(IFERROR(INDEX(单位档案!$F$6:$F$35,MATCH($E443,单位档案!$A$6:$A$35,0)),"")))</f>
        <v/>
      </c>
      <c r="S443" s="36" t="n">
        <f aca="false">IF(OR($D443&lt;&gt;"销项开票",IFERROR(INDEX(单位档案!$G$6:$G$35,MATCH($E443,单位档案!$A$6:$A$35,0)),"")&lt;&gt;"是",N($Q443)=0),0,IF(IFERROR(INDEX(单位档案!$H$6:$H$35,MATCH($E443,单位档案!$A$6:$A$35,0)),"")="税差法",ROUND(N($H443)/(1+$Q443)*$Q443-IF(N($R443)=0,0,$P443/(1+$R443)*$R443),2),ROUND(N($H443)/(1+$Q443)*$Q443,2)))</f>
        <v>0</v>
      </c>
      <c r="T443" s="36" t="n">
        <f aca="false">ROUND($S443*N(IFERROR(INDEX(单位档案!$J$6:$J$35,MATCH($E443,单位档案!$A$6:$A$35,0)),"")),2)</f>
        <v>0</v>
      </c>
      <c r="U443" s="36" t="n">
        <f aca="false">IF($D443&lt;&gt;"销项开票",0,ROUND(N($H443)*N(IFERROR(INDEX(单位档案!$K$6:$K$35,MATCH($E443,单位档案!$A$6:$A$35,0)),"")),2))</f>
        <v>0</v>
      </c>
      <c r="V443" s="36" t="n">
        <f aca="false">IF(OR($D443&lt;&gt;"销项开票",N($Q443)=0),0,ROUND(N($H443)/(1+$Q443)*N(IFERROR(INDEX(单位档案!$L$6:$L$35,MATCH($E443,单位档案!$A$6:$A$35,0)),"")),2))</f>
        <v>0</v>
      </c>
      <c r="W443" s="36" t="n">
        <f aca="false">ROUND($S443+$T443+$U443+$V443,2)</f>
        <v>0</v>
      </c>
      <c r="X443" s="35" t="str">
        <f aca="false">IF(OR($D443="挂靠代收",$D443="我方收款"),COUNTIFS($D$5:$D443,"挂靠代收")+COUNTIFS($D$5:$D443,"我方收款"),"")</f>
        <v/>
      </c>
      <c r="Y443" s="35"/>
      <c r="Z443" s="21" t="s">
        <v>111</v>
      </c>
    </row>
    <row r="444" customFormat="false" ht="15.75" hidden="false" customHeight="true" outlineLevel="0" collapsed="false">
      <c r="A444" s="32" t="str">
        <f aca="false">IF($B444="","",ROW()-4)</f>
        <v/>
      </c>
      <c r="B444" s="26"/>
      <c r="C444" s="24"/>
      <c r="D444" s="21"/>
      <c r="E444" s="21"/>
      <c r="F444" s="21"/>
      <c r="G444" s="21"/>
      <c r="H444" s="27"/>
      <c r="I444" s="23" t="str">
        <f aca="false">IF($D444&lt;&gt;"销项开票","",IF($N444="一级",IF(IFERROR(INDEX(项目档案!$E$6:$E$255,MATCH($C444,项目档案!$A$6:$A$255,0)),"")="",N(IFERROR(INDEX(单位档案!$D$6:$D$35,MATCH($E444,单位档案!$A$6:$A$35,0)),"")),IFERROR(INDEX(项目档案!$E$6:$E$255,MATCH($C444,项目档案!$A$6:$A$255,0)),"")),IF($N444="二级",IF(IFERROR(INDEX(项目档案!$G$6:$G$255,MATCH($C444,项目档案!$A$6:$A$255,0)),"")="",N(IFERROR(INDEX(单位档案!$D$6:$D$35,MATCH($E444,单位档案!$A$6:$A$35,0)),"")),IFERROR(INDEX(项目档案!$G$6:$G$255,MATCH($C444,项目档案!$A$6:$A$255,0)),"")),N(IFERROR(INDEX(单位档案!$D$6:$D$35,MATCH($E444,单位档案!$A$6:$A$35,0)),"")))))</f>
        <v/>
      </c>
      <c r="J444" s="22"/>
      <c r="K444" s="22"/>
      <c r="L444" s="33" t="str">
        <f aca="false">IF($B444="","",IF(NOT(ISNUMBER($B444)),"日期格式不对",IF($C444="","未选项目编号",IF(LEFT($M444,1)="⚠","项目编号不存在",IF($D444="","未选业务类型",IF($E444="","未选开票/付款方",IF(ISNA(MATCH($E444,单位档案!$A$6:$A$35,0)),"开票方不在单位档案",IF($F444="","未选收票/收款方",IF(ISNA(MATCH($F444,单位档案!$A$6:$A$35,0)),"收款方不在单位档案",IF(NOT(ISNUMBER($H444)),"金额须为数字",IF(AND($D444="销项开票",$N444="—"),"链条待确认","√")))))))))))</f>
        <v/>
      </c>
      <c r="M444" s="34" t="str">
        <f aca="false">IF($C444="","",IFERROR(INDEX(项目档案!$B$6:$B$255,MATCH($C444,项目档案!$A$6:$A$255,0)),"⚠项目编号不存在"))</f>
        <v/>
      </c>
      <c r="N444" s="35" t="str">
        <f aca="false">IF($E444="","",IF($E444=IFERROR(INDEX(项目档案!$D$6:$D$255,MATCH($C444,项目档案!$A$6:$A$255,0)),""),"一级",IF($E444=IFERROR(INDEX(项目档案!$F$6:$F$255,MATCH($C444,项目档案!$A$6:$A$255,0)),""),"二级",IF($E444=IFERROR(INDEX(项目档案!$H$6:$H$255,MATCH($C444,项目档案!$A$6:$A$255,0)),""),"我方","—"))))</f>
        <v/>
      </c>
      <c r="O444" s="36" t="n">
        <f aca="false">IF($D444&lt;&gt;"销项开票",0,ROUND(N($H444)*N($I444),2))</f>
        <v>0</v>
      </c>
      <c r="P444" s="36" t="n">
        <f aca="false">IF($D444&lt;&gt;"销项开票",0,ROUND(N($H444)-$O444,2))</f>
        <v>0</v>
      </c>
      <c r="Q444" s="37" t="str">
        <f aca="false">IF($E444="","",N(IFERROR(INDEX(单位档案!$E$6:$E$35,MATCH($E444,单位档案!$A$6:$A$35,0)),"")))</f>
        <v/>
      </c>
      <c r="R444" s="37" t="str">
        <f aca="false">IF($E444="","",N(IFERROR(INDEX(单位档案!$F$6:$F$35,MATCH($E444,单位档案!$A$6:$A$35,0)),"")))</f>
        <v/>
      </c>
      <c r="S444" s="36" t="n">
        <f aca="false">IF(OR($D444&lt;&gt;"销项开票",IFERROR(INDEX(单位档案!$G$6:$G$35,MATCH($E444,单位档案!$A$6:$A$35,0)),"")&lt;&gt;"是",N($Q444)=0),0,IF(IFERROR(INDEX(单位档案!$H$6:$H$35,MATCH($E444,单位档案!$A$6:$A$35,0)),"")="税差法",ROUND(N($H444)/(1+$Q444)*$Q444-IF(N($R444)=0,0,$P444/(1+$R444)*$R444),2),ROUND(N($H444)/(1+$Q444)*$Q444,2)))</f>
        <v>0</v>
      </c>
      <c r="T444" s="36" t="n">
        <f aca="false">ROUND($S444*N(IFERROR(INDEX(单位档案!$J$6:$J$35,MATCH($E444,单位档案!$A$6:$A$35,0)),"")),2)</f>
        <v>0</v>
      </c>
      <c r="U444" s="36" t="n">
        <f aca="false">IF($D444&lt;&gt;"销项开票",0,ROUND(N($H444)*N(IFERROR(INDEX(单位档案!$K$6:$K$35,MATCH($E444,单位档案!$A$6:$A$35,0)),"")),2))</f>
        <v>0</v>
      </c>
      <c r="V444" s="36" t="n">
        <f aca="false">IF(OR($D444&lt;&gt;"销项开票",N($Q444)=0),0,ROUND(N($H444)/(1+$Q444)*N(IFERROR(INDEX(单位档案!$L$6:$L$35,MATCH($E444,单位档案!$A$6:$A$35,0)),"")),2))</f>
        <v>0</v>
      </c>
      <c r="W444" s="36" t="n">
        <f aca="false">ROUND($S444+$T444+$U444+$V444,2)</f>
        <v>0</v>
      </c>
      <c r="X444" s="35" t="str">
        <f aca="false">IF(OR($D444="挂靠代收",$D444="我方收款"),COUNTIFS($D$5:$D444,"挂靠代收")+COUNTIFS($D$5:$D444,"我方收款"),"")</f>
        <v/>
      </c>
      <c r="Y444" s="35"/>
      <c r="Z444" s="21" t="s">
        <v>111</v>
      </c>
    </row>
    <row r="445" customFormat="false" ht="15.75" hidden="false" customHeight="true" outlineLevel="0" collapsed="false">
      <c r="A445" s="32" t="str">
        <f aca="false">IF($B445="","",ROW()-4)</f>
        <v/>
      </c>
      <c r="B445" s="26"/>
      <c r="C445" s="24"/>
      <c r="D445" s="21"/>
      <c r="E445" s="21"/>
      <c r="F445" s="21"/>
      <c r="G445" s="21"/>
      <c r="H445" s="27"/>
      <c r="I445" s="23" t="str">
        <f aca="false">IF($D445&lt;&gt;"销项开票","",IF($N445="一级",IF(IFERROR(INDEX(项目档案!$E$6:$E$255,MATCH($C445,项目档案!$A$6:$A$255,0)),"")="",N(IFERROR(INDEX(单位档案!$D$6:$D$35,MATCH($E445,单位档案!$A$6:$A$35,0)),"")),IFERROR(INDEX(项目档案!$E$6:$E$255,MATCH($C445,项目档案!$A$6:$A$255,0)),"")),IF($N445="二级",IF(IFERROR(INDEX(项目档案!$G$6:$G$255,MATCH($C445,项目档案!$A$6:$A$255,0)),"")="",N(IFERROR(INDEX(单位档案!$D$6:$D$35,MATCH($E445,单位档案!$A$6:$A$35,0)),"")),IFERROR(INDEX(项目档案!$G$6:$G$255,MATCH($C445,项目档案!$A$6:$A$255,0)),"")),N(IFERROR(INDEX(单位档案!$D$6:$D$35,MATCH($E445,单位档案!$A$6:$A$35,0)),"")))))</f>
        <v/>
      </c>
      <c r="J445" s="22"/>
      <c r="K445" s="22"/>
      <c r="L445" s="33" t="str">
        <f aca="false">IF($B445="","",IF(NOT(ISNUMBER($B445)),"日期格式不对",IF($C445="","未选项目编号",IF(LEFT($M445,1)="⚠","项目编号不存在",IF($D445="","未选业务类型",IF($E445="","未选开票/付款方",IF(ISNA(MATCH($E445,单位档案!$A$6:$A$35,0)),"开票方不在单位档案",IF($F445="","未选收票/收款方",IF(ISNA(MATCH($F445,单位档案!$A$6:$A$35,0)),"收款方不在单位档案",IF(NOT(ISNUMBER($H445)),"金额须为数字",IF(AND($D445="销项开票",$N445="—"),"链条待确认","√")))))))))))</f>
        <v/>
      </c>
      <c r="M445" s="34" t="str">
        <f aca="false">IF($C445="","",IFERROR(INDEX(项目档案!$B$6:$B$255,MATCH($C445,项目档案!$A$6:$A$255,0)),"⚠项目编号不存在"))</f>
        <v/>
      </c>
      <c r="N445" s="35" t="str">
        <f aca="false">IF($E445="","",IF($E445=IFERROR(INDEX(项目档案!$D$6:$D$255,MATCH($C445,项目档案!$A$6:$A$255,0)),""),"一级",IF($E445=IFERROR(INDEX(项目档案!$F$6:$F$255,MATCH($C445,项目档案!$A$6:$A$255,0)),""),"二级",IF($E445=IFERROR(INDEX(项目档案!$H$6:$H$255,MATCH($C445,项目档案!$A$6:$A$255,0)),""),"我方","—"))))</f>
        <v/>
      </c>
      <c r="O445" s="36" t="n">
        <f aca="false">IF($D445&lt;&gt;"销项开票",0,ROUND(N($H445)*N($I445),2))</f>
        <v>0</v>
      </c>
      <c r="P445" s="36" t="n">
        <f aca="false">IF($D445&lt;&gt;"销项开票",0,ROUND(N($H445)-$O445,2))</f>
        <v>0</v>
      </c>
      <c r="Q445" s="37" t="str">
        <f aca="false">IF($E445="","",N(IFERROR(INDEX(单位档案!$E$6:$E$35,MATCH($E445,单位档案!$A$6:$A$35,0)),"")))</f>
        <v/>
      </c>
      <c r="R445" s="37" t="str">
        <f aca="false">IF($E445="","",N(IFERROR(INDEX(单位档案!$F$6:$F$35,MATCH($E445,单位档案!$A$6:$A$35,0)),"")))</f>
        <v/>
      </c>
      <c r="S445" s="36" t="n">
        <f aca="false">IF(OR($D445&lt;&gt;"销项开票",IFERROR(INDEX(单位档案!$G$6:$G$35,MATCH($E445,单位档案!$A$6:$A$35,0)),"")&lt;&gt;"是",N($Q445)=0),0,IF(IFERROR(INDEX(单位档案!$H$6:$H$35,MATCH($E445,单位档案!$A$6:$A$35,0)),"")="税差法",ROUND(N($H445)/(1+$Q445)*$Q445-IF(N($R445)=0,0,$P445/(1+$R445)*$R445),2),ROUND(N($H445)/(1+$Q445)*$Q445,2)))</f>
        <v>0</v>
      </c>
      <c r="T445" s="36" t="n">
        <f aca="false">ROUND($S445*N(IFERROR(INDEX(单位档案!$J$6:$J$35,MATCH($E445,单位档案!$A$6:$A$35,0)),"")),2)</f>
        <v>0</v>
      </c>
      <c r="U445" s="36" t="n">
        <f aca="false">IF($D445&lt;&gt;"销项开票",0,ROUND(N($H445)*N(IFERROR(INDEX(单位档案!$K$6:$K$35,MATCH($E445,单位档案!$A$6:$A$35,0)),"")),2))</f>
        <v>0</v>
      </c>
      <c r="V445" s="36" t="n">
        <f aca="false">IF(OR($D445&lt;&gt;"销项开票",N($Q445)=0),0,ROUND(N($H445)/(1+$Q445)*N(IFERROR(INDEX(单位档案!$L$6:$L$35,MATCH($E445,单位档案!$A$6:$A$35,0)),"")),2))</f>
        <v>0</v>
      </c>
      <c r="W445" s="36" t="n">
        <f aca="false">ROUND($S445+$T445+$U445+$V445,2)</f>
        <v>0</v>
      </c>
      <c r="X445" s="35" t="str">
        <f aca="false">IF(OR($D445="挂靠代收",$D445="我方收款"),COUNTIFS($D$5:$D445,"挂靠代收")+COUNTIFS($D$5:$D445,"我方收款"),"")</f>
        <v/>
      </c>
      <c r="Y445" s="35"/>
      <c r="Z445" s="21" t="s">
        <v>111</v>
      </c>
    </row>
    <row r="446" customFormat="false" ht="15.75" hidden="false" customHeight="true" outlineLevel="0" collapsed="false">
      <c r="A446" s="32" t="str">
        <f aca="false">IF($B446="","",ROW()-4)</f>
        <v/>
      </c>
      <c r="B446" s="26"/>
      <c r="C446" s="24"/>
      <c r="D446" s="21"/>
      <c r="E446" s="21"/>
      <c r="F446" s="21"/>
      <c r="G446" s="21"/>
      <c r="H446" s="27"/>
      <c r="I446" s="23" t="str">
        <f aca="false">IF($D446&lt;&gt;"销项开票","",IF($N446="一级",IF(IFERROR(INDEX(项目档案!$E$6:$E$255,MATCH($C446,项目档案!$A$6:$A$255,0)),"")="",N(IFERROR(INDEX(单位档案!$D$6:$D$35,MATCH($E446,单位档案!$A$6:$A$35,0)),"")),IFERROR(INDEX(项目档案!$E$6:$E$255,MATCH($C446,项目档案!$A$6:$A$255,0)),"")),IF($N446="二级",IF(IFERROR(INDEX(项目档案!$G$6:$G$255,MATCH($C446,项目档案!$A$6:$A$255,0)),"")="",N(IFERROR(INDEX(单位档案!$D$6:$D$35,MATCH($E446,单位档案!$A$6:$A$35,0)),"")),IFERROR(INDEX(项目档案!$G$6:$G$255,MATCH($C446,项目档案!$A$6:$A$255,0)),"")),N(IFERROR(INDEX(单位档案!$D$6:$D$35,MATCH($E446,单位档案!$A$6:$A$35,0)),"")))))</f>
        <v/>
      </c>
      <c r="J446" s="22"/>
      <c r="K446" s="22"/>
      <c r="L446" s="33" t="str">
        <f aca="false">IF($B446="","",IF(NOT(ISNUMBER($B446)),"日期格式不对",IF($C446="","未选项目编号",IF(LEFT($M446,1)="⚠","项目编号不存在",IF($D446="","未选业务类型",IF($E446="","未选开票/付款方",IF(ISNA(MATCH($E446,单位档案!$A$6:$A$35,0)),"开票方不在单位档案",IF($F446="","未选收票/收款方",IF(ISNA(MATCH($F446,单位档案!$A$6:$A$35,0)),"收款方不在单位档案",IF(NOT(ISNUMBER($H446)),"金额须为数字",IF(AND($D446="销项开票",$N446="—"),"链条待确认","√")))))))))))</f>
        <v/>
      </c>
      <c r="M446" s="34" t="str">
        <f aca="false">IF($C446="","",IFERROR(INDEX(项目档案!$B$6:$B$255,MATCH($C446,项目档案!$A$6:$A$255,0)),"⚠项目编号不存在"))</f>
        <v/>
      </c>
      <c r="N446" s="35" t="str">
        <f aca="false">IF($E446="","",IF($E446=IFERROR(INDEX(项目档案!$D$6:$D$255,MATCH($C446,项目档案!$A$6:$A$255,0)),""),"一级",IF($E446=IFERROR(INDEX(项目档案!$F$6:$F$255,MATCH($C446,项目档案!$A$6:$A$255,0)),""),"二级",IF($E446=IFERROR(INDEX(项目档案!$H$6:$H$255,MATCH($C446,项目档案!$A$6:$A$255,0)),""),"我方","—"))))</f>
        <v/>
      </c>
      <c r="O446" s="36" t="n">
        <f aca="false">IF($D446&lt;&gt;"销项开票",0,ROUND(N($H446)*N($I446),2))</f>
        <v>0</v>
      </c>
      <c r="P446" s="36" t="n">
        <f aca="false">IF($D446&lt;&gt;"销项开票",0,ROUND(N($H446)-$O446,2))</f>
        <v>0</v>
      </c>
      <c r="Q446" s="37" t="str">
        <f aca="false">IF($E446="","",N(IFERROR(INDEX(单位档案!$E$6:$E$35,MATCH($E446,单位档案!$A$6:$A$35,0)),"")))</f>
        <v/>
      </c>
      <c r="R446" s="37" t="str">
        <f aca="false">IF($E446="","",N(IFERROR(INDEX(单位档案!$F$6:$F$35,MATCH($E446,单位档案!$A$6:$A$35,0)),"")))</f>
        <v/>
      </c>
      <c r="S446" s="36" t="n">
        <f aca="false">IF(OR($D446&lt;&gt;"销项开票",IFERROR(INDEX(单位档案!$G$6:$G$35,MATCH($E446,单位档案!$A$6:$A$35,0)),"")&lt;&gt;"是",N($Q446)=0),0,IF(IFERROR(INDEX(单位档案!$H$6:$H$35,MATCH($E446,单位档案!$A$6:$A$35,0)),"")="税差法",ROUND(N($H446)/(1+$Q446)*$Q446-IF(N($R446)=0,0,$P446/(1+$R446)*$R446),2),ROUND(N($H446)/(1+$Q446)*$Q446,2)))</f>
        <v>0</v>
      </c>
      <c r="T446" s="36" t="n">
        <f aca="false">ROUND($S446*N(IFERROR(INDEX(单位档案!$J$6:$J$35,MATCH($E446,单位档案!$A$6:$A$35,0)),"")),2)</f>
        <v>0</v>
      </c>
      <c r="U446" s="36" t="n">
        <f aca="false">IF($D446&lt;&gt;"销项开票",0,ROUND(N($H446)*N(IFERROR(INDEX(单位档案!$K$6:$K$35,MATCH($E446,单位档案!$A$6:$A$35,0)),"")),2))</f>
        <v>0</v>
      </c>
      <c r="V446" s="36" t="n">
        <f aca="false">IF(OR($D446&lt;&gt;"销项开票",N($Q446)=0),0,ROUND(N($H446)/(1+$Q446)*N(IFERROR(INDEX(单位档案!$L$6:$L$35,MATCH($E446,单位档案!$A$6:$A$35,0)),"")),2))</f>
        <v>0</v>
      </c>
      <c r="W446" s="36" t="n">
        <f aca="false">ROUND($S446+$T446+$U446+$V446,2)</f>
        <v>0</v>
      </c>
      <c r="X446" s="35" t="str">
        <f aca="false">IF(OR($D446="挂靠代收",$D446="我方收款"),COUNTIFS($D$5:$D446,"挂靠代收")+COUNTIFS($D$5:$D446,"我方收款"),"")</f>
        <v/>
      </c>
      <c r="Y446" s="35"/>
      <c r="Z446" s="21" t="s">
        <v>111</v>
      </c>
    </row>
    <row r="447" customFormat="false" ht="15.75" hidden="false" customHeight="true" outlineLevel="0" collapsed="false">
      <c r="A447" s="32" t="str">
        <f aca="false">IF($B447="","",ROW()-4)</f>
        <v/>
      </c>
      <c r="B447" s="26"/>
      <c r="C447" s="24"/>
      <c r="D447" s="21"/>
      <c r="E447" s="21"/>
      <c r="F447" s="21"/>
      <c r="G447" s="21"/>
      <c r="H447" s="27"/>
      <c r="I447" s="23" t="str">
        <f aca="false">IF($D447&lt;&gt;"销项开票","",IF($N447="一级",IF(IFERROR(INDEX(项目档案!$E$6:$E$255,MATCH($C447,项目档案!$A$6:$A$255,0)),"")="",N(IFERROR(INDEX(单位档案!$D$6:$D$35,MATCH($E447,单位档案!$A$6:$A$35,0)),"")),IFERROR(INDEX(项目档案!$E$6:$E$255,MATCH($C447,项目档案!$A$6:$A$255,0)),"")),IF($N447="二级",IF(IFERROR(INDEX(项目档案!$G$6:$G$255,MATCH($C447,项目档案!$A$6:$A$255,0)),"")="",N(IFERROR(INDEX(单位档案!$D$6:$D$35,MATCH($E447,单位档案!$A$6:$A$35,0)),"")),IFERROR(INDEX(项目档案!$G$6:$G$255,MATCH($C447,项目档案!$A$6:$A$255,0)),"")),N(IFERROR(INDEX(单位档案!$D$6:$D$35,MATCH($E447,单位档案!$A$6:$A$35,0)),"")))))</f>
        <v/>
      </c>
      <c r="J447" s="22"/>
      <c r="K447" s="22"/>
      <c r="L447" s="33" t="str">
        <f aca="false">IF($B447="","",IF(NOT(ISNUMBER($B447)),"日期格式不对",IF($C447="","未选项目编号",IF(LEFT($M447,1)="⚠","项目编号不存在",IF($D447="","未选业务类型",IF($E447="","未选开票/付款方",IF(ISNA(MATCH($E447,单位档案!$A$6:$A$35,0)),"开票方不在单位档案",IF($F447="","未选收票/收款方",IF(ISNA(MATCH($F447,单位档案!$A$6:$A$35,0)),"收款方不在单位档案",IF(NOT(ISNUMBER($H447)),"金额须为数字",IF(AND($D447="销项开票",$N447="—"),"链条待确认","√")))))))))))</f>
        <v/>
      </c>
      <c r="M447" s="34" t="str">
        <f aca="false">IF($C447="","",IFERROR(INDEX(项目档案!$B$6:$B$255,MATCH($C447,项目档案!$A$6:$A$255,0)),"⚠项目编号不存在"))</f>
        <v/>
      </c>
      <c r="N447" s="35" t="str">
        <f aca="false">IF($E447="","",IF($E447=IFERROR(INDEX(项目档案!$D$6:$D$255,MATCH($C447,项目档案!$A$6:$A$255,0)),""),"一级",IF($E447=IFERROR(INDEX(项目档案!$F$6:$F$255,MATCH($C447,项目档案!$A$6:$A$255,0)),""),"二级",IF($E447=IFERROR(INDEX(项目档案!$H$6:$H$255,MATCH($C447,项目档案!$A$6:$A$255,0)),""),"我方","—"))))</f>
        <v/>
      </c>
      <c r="O447" s="36" t="n">
        <f aca="false">IF($D447&lt;&gt;"销项开票",0,ROUND(N($H447)*N($I447),2))</f>
        <v>0</v>
      </c>
      <c r="P447" s="36" t="n">
        <f aca="false">IF($D447&lt;&gt;"销项开票",0,ROUND(N($H447)-$O447,2))</f>
        <v>0</v>
      </c>
      <c r="Q447" s="37" t="str">
        <f aca="false">IF($E447="","",N(IFERROR(INDEX(单位档案!$E$6:$E$35,MATCH($E447,单位档案!$A$6:$A$35,0)),"")))</f>
        <v/>
      </c>
      <c r="R447" s="37" t="str">
        <f aca="false">IF($E447="","",N(IFERROR(INDEX(单位档案!$F$6:$F$35,MATCH($E447,单位档案!$A$6:$A$35,0)),"")))</f>
        <v/>
      </c>
      <c r="S447" s="36" t="n">
        <f aca="false">IF(OR($D447&lt;&gt;"销项开票",IFERROR(INDEX(单位档案!$G$6:$G$35,MATCH($E447,单位档案!$A$6:$A$35,0)),"")&lt;&gt;"是",N($Q447)=0),0,IF(IFERROR(INDEX(单位档案!$H$6:$H$35,MATCH($E447,单位档案!$A$6:$A$35,0)),"")="税差法",ROUND(N($H447)/(1+$Q447)*$Q447-IF(N($R447)=0,0,$P447/(1+$R447)*$R447),2),ROUND(N($H447)/(1+$Q447)*$Q447,2)))</f>
        <v>0</v>
      </c>
      <c r="T447" s="36" t="n">
        <f aca="false">ROUND($S447*N(IFERROR(INDEX(单位档案!$J$6:$J$35,MATCH($E447,单位档案!$A$6:$A$35,0)),"")),2)</f>
        <v>0</v>
      </c>
      <c r="U447" s="36" t="n">
        <f aca="false">IF($D447&lt;&gt;"销项开票",0,ROUND(N($H447)*N(IFERROR(INDEX(单位档案!$K$6:$K$35,MATCH($E447,单位档案!$A$6:$A$35,0)),"")),2))</f>
        <v>0</v>
      </c>
      <c r="V447" s="36" t="n">
        <f aca="false">IF(OR($D447&lt;&gt;"销项开票",N($Q447)=0),0,ROUND(N($H447)/(1+$Q447)*N(IFERROR(INDEX(单位档案!$L$6:$L$35,MATCH($E447,单位档案!$A$6:$A$35,0)),"")),2))</f>
        <v>0</v>
      </c>
      <c r="W447" s="36" t="n">
        <f aca="false">ROUND($S447+$T447+$U447+$V447,2)</f>
        <v>0</v>
      </c>
      <c r="X447" s="35" t="str">
        <f aca="false">IF(OR($D447="挂靠代收",$D447="我方收款"),COUNTIFS($D$5:$D447,"挂靠代收")+COUNTIFS($D$5:$D447,"我方收款"),"")</f>
        <v/>
      </c>
      <c r="Y447" s="35"/>
      <c r="Z447" s="21" t="s">
        <v>111</v>
      </c>
    </row>
    <row r="448" customFormat="false" ht="15.75" hidden="false" customHeight="true" outlineLevel="0" collapsed="false">
      <c r="A448" s="32" t="str">
        <f aca="false">IF($B448="","",ROW()-4)</f>
        <v/>
      </c>
      <c r="B448" s="26"/>
      <c r="C448" s="24"/>
      <c r="D448" s="21"/>
      <c r="E448" s="21"/>
      <c r="F448" s="21"/>
      <c r="G448" s="21"/>
      <c r="H448" s="27"/>
      <c r="I448" s="23" t="str">
        <f aca="false">IF($D448&lt;&gt;"销项开票","",IF($N448="一级",IF(IFERROR(INDEX(项目档案!$E$6:$E$255,MATCH($C448,项目档案!$A$6:$A$255,0)),"")="",N(IFERROR(INDEX(单位档案!$D$6:$D$35,MATCH($E448,单位档案!$A$6:$A$35,0)),"")),IFERROR(INDEX(项目档案!$E$6:$E$255,MATCH($C448,项目档案!$A$6:$A$255,0)),"")),IF($N448="二级",IF(IFERROR(INDEX(项目档案!$G$6:$G$255,MATCH($C448,项目档案!$A$6:$A$255,0)),"")="",N(IFERROR(INDEX(单位档案!$D$6:$D$35,MATCH($E448,单位档案!$A$6:$A$35,0)),"")),IFERROR(INDEX(项目档案!$G$6:$G$255,MATCH($C448,项目档案!$A$6:$A$255,0)),"")),N(IFERROR(INDEX(单位档案!$D$6:$D$35,MATCH($E448,单位档案!$A$6:$A$35,0)),"")))))</f>
        <v/>
      </c>
      <c r="J448" s="22"/>
      <c r="K448" s="22"/>
      <c r="L448" s="33" t="str">
        <f aca="false">IF($B448="","",IF(NOT(ISNUMBER($B448)),"日期格式不对",IF($C448="","未选项目编号",IF(LEFT($M448,1)="⚠","项目编号不存在",IF($D448="","未选业务类型",IF($E448="","未选开票/付款方",IF(ISNA(MATCH($E448,单位档案!$A$6:$A$35,0)),"开票方不在单位档案",IF($F448="","未选收票/收款方",IF(ISNA(MATCH($F448,单位档案!$A$6:$A$35,0)),"收款方不在单位档案",IF(NOT(ISNUMBER($H448)),"金额须为数字",IF(AND($D448="销项开票",$N448="—"),"链条待确认","√")))))))))))</f>
        <v/>
      </c>
      <c r="M448" s="34" t="str">
        <f aca="false">IF($C448="","",IFERROR(INDEX(项目档案!$B$6:$B$255,MATCH($C448,项目档案!$A$6:$A$255,0)),"⚠项目编号不存在"))</f>
        <v/>
      </c>
      <c r="N448" s="35" t="str">
        <f aca="false">IF($E448="","",IF($E448=IFERROR(INDEX(项目档案!$D$6:$D$255,MATCH($C448,项目档案!$A$6:$A$255,0)),""),"一级",IF($E448=IFERROR(INDEX(项目档案!$F$6:$F$255,MATCH($C448,项目档案!$A$6:$A$255,0)),""),"二级",IF($E448=IFERROR(INDEX(项目档案!$H$6:$H$255,MATCH($C448,项目档案!$A$6:$A$255,0)),""),"我方","—"))))</f>
        <v/>
      </c>
      <c r="O448" s="36" t="n">
        <f aca="false">IF($D448&lt;&gt;"销项开票",0,ROUND(N($H448)*N($I448),2))</f>
        <v>0</v>
      </c>
      <c r="P448" s="36" t="n">
        <f aca="false">IF($D448&lt;&gt;"销项开票",0,ROUND(N($H448)-$O448,2))</f>
        <v>0</v>
      </c>
      <c r="Q448" s="37" t="str">
        <f aca="false">IF($E448="","",N(IFERROR(INDEX(单位档案!$E$6:$E$35,MATCH($E448,单位档案!$A$6:$A$35,0)),"")))</f>
        <v/>
      </c>
      <c r="R448" s="37" t="str">
        <f aca="false">IF($E448="","",N(IFERROR(INDEX(单位档案!$F$6:$F$35,MATCH($E448,单位档案!$A$6:$A$35,0)),"")))</f>
        <v/>
      </c>
      <c r="S448" s="36" t="n">
        <f aca="false">IF(OR($D448&lt;&gt;"销项开票",IFERROR(INDEX(单位档案!$G$6:$G$35,MATCH($E448,单位档案!$A$6:$A$35,0)),"")&lt;&gt;"是",N($Q448)=0),0,IF(IFERROR(INDEX(单位档案!$H$6:$H$35,MATCH($E448,单位档案!$A$6:$A$35,0)),"")="税差法",ROUND(N($H448)/(1+$Q448)*$Q448-IF(N($R448)=0,0,$P448/(1+$R448)*$R448),2),ROUND(N($H448)/(1+$Q448)*$Q448,2)))</f>
        <v>0</v>
      </c>
      <c r="T448" s="36" t="n">
        <f aca="false">ROUND($S448*N(IFERROR(INDEX(单位档案!$J$6:$J$35,MATCH($E448,单位档案!$A$6:$A$35,0)),"")),2)</f>
        <v>0</v>
      </c>
      <c r="U448" s="36" t="n">
        <f aca="false">IF($D448&lt;&gt;"销项开票",0,ROUND(N($H448)*N(IFERROR(INDEX(单位档案!$K$6:$K$35,MATCH($E448,单位档案!$A$6:$A$35,0)),"")),2))</f>
        <v>0</v>
      </c>
      <c r="V448" s="36" t="n">
        <f aca="false">IF(OR($D448&lt;&gt;"销项开票",N($Q448)=0),0,ROUND(N($H448)/(1+$Q448)*N(IFERROR(INDEX(单位档案!$L$6:$L$35,MATCH($E448,单位档案!$A$6:$A$35,0)),"")),2))</f>
        <v>0</v>
      </c>
      <c r="W448" s="36" t="n">
        <f aca="false">ROUND($S448+$T448+$U448+$V448,2)</f>
        <v>0</v>
      </c>
      <c r="X448" s="35" t="str">
        <f aca="false">IF(OR($D448="挂靠代收",$D448="我方收款"),COUNTIFS($D$5:$D448,"挂靠代收")+COUNTIFS($D$5:$D448,"我方收款"),"")</f>
        <v/>
      </c>
      <c r="Y448" s="35"/>
      <c r="Z448" s="21" t="s">
        <v>111</v>
      </c>
    </row>
    <row r="449" customFormat="false" ht="15.75" hidden="false" customHeight="true" outlineLevel="0" collapsed="false">
      <c r="A449" s="32" t="str">
        <f aca="false">IF($B449="","",ROW()-4)</f>
        <v/>
      </c>
      <c r="B449" s="26"/>
      <c r="C449" s="24"/>
      <c r="D449" s="21"/>
      <c r="E449" s="21"/>
      <c r="F449" s="21"/>
      <c r="G449" s="21"/>
      <c r="H449" s="27"/>
      <c r="I449" s="23" t="str">
        <f aca="false">IF($D449&lt;&gt;"销项开票","",IF($N449="一级",IF(IFERROR(INDEX(项目档案!$E$6:$E$255,MATCH($C449,项目档案!$A$6:$A$255,0)),"")="",N(IFERROR(INDEX(单位档案!$D$6:$D$35,MATCH($E449,单位档案!$A$6:$A$35,0)),"")),IFERROR(INDEX(项目档案!$E$6:$E$255,MATCH($C449,项目档案!$A$6:$A$255,0)),"")),IF($N449="二级",IF(IFERROR(INDEX(项目档案!$G$6:$G$255,MATCH($C449,项目档案!$A$6:$A$255,0)),"")="",N(IFERROR(INDEX(单位档案!$D$6:$D$35,MATCH($E449,单位档案!$A$6:$A$35,0)),"")),IFERROR(INDEX(项目档案!$G$6:$G$255,MATCH($C449,项目档案!$A$6:$A$255,0)),"")),N(IFERROR(INDEX(单位档案!$D$6:$D$35,MATCH($E449,单位档案!$A$6:$A$35,0)),"")))))</f>
        <v/>
      </c>
      <c r="J449" s="22"/>
      <c r="K449" s="22"/>
      <c r="L449" s="33" t="str">
        <f aca="false">IF($B449="","",IF(NOT(ISNUMBER($B449)),"日期格式不对",IF($C449="","未选项目编号",IF(LEFT($M449,1)="⚠","项目编号不存在",IF($D449="","未选业务类型",IF($E449="","未选开票/付款方",IF(ISNA(MATCH($E449,单位档案!$A$6:$A$35,0)),"开票方不在单位档案",IF($F449="","未选收票/收款方",IF(ISNA(MATCH($F449,单位档案!$A$6:$A$35,0)),"收款方不在单位档案",IF(NOT(ISNUMBER($H449)),"金额须为数字",IF(AND($D449="销项开票",$N449="—"),"链条待确认","√")))))))))))</f>
        <v/>
      </c>
      <c r="M449" s="34" t="str">
        <f aca="false">IF($C449="","",IFERROR(INDEX(项目档案!$B$6:$B$255,MATCH($C449,项目档案!$A$6:$A$255,0)),"⚠项目编号不存在"))</f>
        <v/>
      </c>
      <c r="N449" s="35" t="str">
        <f aca="false">IF($E449="","",IF($E449=IFERROR(INDEX(项目档案!$D$6:$D$255,MATCH($C449,项目档案!$A$6:$A$255,0)),""),"一级",IF($E449=IFERROR(INDEX(项目档案!$F$6:$F$255,MATCH($C449,项目档案!$A$6:$A$255,0)),""),"二级",IF($E449=IFERROR(INDEX(项目档案!$H$6:$H$255,MATCH($C449,项目档案!$A$6:$A$255,0)),""),"我方","—"))))</f>
        <v/>
      </c>
      <c r="O449" s="36" t="n">
        <f aca="false">IF($D449&lt;&gt;"销项开票",0,ROUND(N($H449)*N($I449),2))</f>
        <v>0</v>
      </c>
      <c r="P449" s="36" t="n">
        <f aca="false">IF($D449&lt;&gt;"销项开票",0,ROUND(N($H449)-$O449,2))</f>
        <v>0</v>
      </c>
      <c r="Q449" s="37" t="str">
        <f aca="false">IF($E449="","",N(IFERROR(INDEX(单位档案!$E$6:$E$35,MATCH($E449,单位档案!$A$6:$A$35,0)),"")))</f>
        <v/>
      </c>
      <c r="R449" s="37" t="str">
        <f aca="false">IF($E449="","",N(IFERROR(INDEX(单位档案!$F$6:$F$35,MATCH($E449,单位档案!$A$6:$A$35,0)),"")))</f>
        <v/>
      </c>
      <c r="S449" s="36" t="n">
        <f aca="false">IF(OR($D449&lt;&gt;"销项开票",IFERROR(INDEX(单位档案!$G$6:$G$35,MATCH($E449,单位档案!$A$6:$A$35,0)),"")&lt;&gt;"是",N($Q449)=0),0,IF(IFERROR(INDEX(单位档案!$H$6:$H$35,MATCH($E449,单位档案!$A$6:$A$35,0)),"")="税差法",ROUND(N($H449)/(1+$Q449)*$Q449-IF(N($R449)=0,0,$P449/(1+$R449)*$R449),2),ROUND(N($H449)/(1+$Q449)*$Q449,2)))</f>
        <v>0</v>
      </c>
      <c r="T449" s="36" t="n">
        <f aca="false">ROUND($S449*N(IFERROR(INDEX(单位档案!$J$6:$J$35,MATCH($E449,单位档案!$A$6:$A$35,0)),"")),2)</f>
        <v>0</v>
      </c>
      <c r="U449" s="36" t="n">
        <f aca="false">IF($D449&lt;&gt;"销项开票",0,ROUND(N($H449)*N(IFERROR(INDEX(单位档案!$K$6:$K$35,MATCH($E449,单位档案!$A$6:$A$35,0)),"")),2))</f>
        <v>0</v>
      </c>
      <c r="V449" s="36" t="n">
        <f aca="false">IF(OR($D449&lt;&gt;"销项开票",N($Q449)=0),0,ROUND(N($H449)/(1+$Q449)*N(IFERROR(INDEX(单位档案!$L$6:$L$35,MATCH($E449,单位档案!$A$6:$A$35,0)),"")),2))</f>
        <v>0</v>
      </c>
      <c r="W449" s="36" t="n">
        <f aca="false">ROUND($S449+$T449+$U449+$V449,2)</f>
        <v>0</v>
      </c>
      <c r="X449" s="35" t="str">
        <f aca="false">IF(OR($D449="挂靠代收",$D449="我方收款"),COUNTIFS($D$5:$D449,"挂靠代收")+COUNTIFS($D$5:$D449,"我方收款"),"")</f>
        <v/>
      </c>
      <c r="Y449" s="35"/>
      <c r="Z449" s="21" t="s">
        <v>111</v>
      </c>
    </row>
    <row r="450" customFormat="false" ht="15.75" hidden="false" customHeight="true" outlineLevel="0" collapsed="false">
      <c r="A450" s="32" t="str">
        <f aca="false">IF($B450="","",ROW()-4)</f>
        <v/>
      </c>
      <c r="B450" s="26"/>
      <c r="C450" s="24"/>
      <c r="D450" s="21"/>
      <c r="E450" s="21"/>
      <c r="F450" s="21"/>
      <c r="G450" s="21"/>
      <c r="H450" s="27"/>
      <c r="I450" s="23" t="str">
        <f aca="false">IF($D450&lt;&gt;"销项开票","",IF($N450="一级",IF(IFERROR(INDEX(项目档案!$E$6:$E$255,MATCH($C450,项目档案!$A$6:$A$255,0)),"")="",N(IFERROR(INDEX(单位档案!$D$6:$D$35,MATCH($E450,单位档案!$A$6:$A$35,0)),"")),IFERROR(INDEX(项目档案!$E$6:$E$255,MATCH($C450,项目档案!$A$6:$A$255,0)),"")),IF($N450="二级",IF(IFERROR(INDEX(项目档案!$G$6:$G$255,MATCH($C450,项目档案!$A$6:$A$255,0)),"")="",N(IFERROR(INDEX(单位档案!$D$6:$D$35,MATCH($E450,单位档案!$A$6:$A$35,0)),"")),IFERROR(INDEX(项目档案!$G$6:$G$255,MATCH($C450,项目档案!$A$6:$A$255,0)),"")),N(IFERROR(INDEX(单位档案!$D$6:$D$35,MATCH($E450,单位档案!$A$6:$A$35,0)),"")))))</f>
        <v/>
      </c>
      <c r="J450" s="22"/>
      <c r="K450" s="22"/>
      <c r="L450" s="33" t="str">
        <f aca="false">IF($B450="","",IF(NOT(ISNUMBER($B450)),"日期格式不对",IF($C450="","未选项目编号",IF(LEFT($M450,1)="⚠","项目编号不存在",IF($D450="","未选业务类型",IF($E450="","未选开票/付款方",IF(ISNA(MATCH($E450,单位档案!$A$6:$A$35,0)),"开票方不在单位档案",IF($F450="","未选收票/收款方",IF(ISNA(MATCH($F450,单位档案!$A$6:$A$35,0)),"收款方不在单位档案",IF(NOT(ISNUMBER($H450)),"金额须为数字",IF(AND($D450="销项开票",$N450="—"),"链条待确认","√")))))))))))</f>
        <v/>
      </c>
      <c r="M450" s="34" t="str">
        <f aca="false">IF($C450="","",IFERROR(INDEX(项目档案!$B$6:$B$255,MATCH($C450,项目档案!$A$6:$A$255,0)),"⚠项目编号不存在"))</f>
        <v/>
      </c>
      <c r="N450" s="35" t="str">
        <f aca="false">IF($E450="","",IF($E450=IFERROR(INDEX(项目档案!$D$6:$D$255,MATCH($C450,项目档案!$A$6:$A$255,0)),""),"一级",IF($E450=IFERROR(INDEX(项目档案!$F$6:$F$255,MATCH($C450,项目档案!$A$6:$A$255,0)),""),"二级",IF($E450=IFERROR(INDEX(项目档案!$H$6:$H$255,MATCH($C450,项目档案!$A$6:$A$255,0)),""),"我方","—"))))</f>
        <v/>
      </c>
      <c r="O450" s="36" t="n">
        <f aca="false">IF($D450&lt;&gt;"销项开票",0,ROUND(N($H450)*N($I450),2))</f>
        <v>0</v>
      </c>
      <c r="P450" s="36" t="n">
        <f aca="false">IF($D450&lt;&gt;"销项开票",0,ROUND(N($H450)-$O450,2))</f>
        <v>0</v>
      </c>
      <c r="Q450" s="37" t="str">
        <f aca="false">IF($E450="","",N(IFERROR(INDEX(单位档案!$E$6:$E$35,MATCH($E450,单位档案!$A$6:$A$35,0)),"")))</f>
        <v/>
      </c>
      <c r="R450" s="37" t="str">
        <f aca="false">IF($E450="","",N(IFERROR(INDEX(单位档案!$F$6:$F$35,MATCH($E450,单位档案!$A$6:$A$35,0)),"")))</f>
        <v/>
      </c>
      <c r="S450" s="36" t="n">
        <f aca="false">IF(OR($D450&lt;&gt;"销项开票",IFERROR(INDEX(单位档案!$G$6:$G$35,MATCH($E450,单位档案!$A$6:$A$35,0)),"")&lt;&gt;"是",N($Q450)=0),0,IF(IFERROR(INDEX(单位档案!$H$6:$H$35,MATCH($E450,单位档案!$A$6:$A$35,0)),"")="税差法",ROUND(N($H450)/(1+$Q450)*$Q450-IF(N($R450)=0,0,$P450/(1+$R450)*$R450),2),ROUND(N($H450)/(1+$Q450)*$Q450,2)))</f>
        <v>0</v>
      </c>
      <c r="T450" s="36" t="n">
        <f aca="false">ROUND($S450*N(IFERROR(INDEX(单位档案!$J$6:$J$35,MATCH($E450,单位档案!$A$6:$A$35,0)),"")),2)</f>
        <v>0</v>
      </c>
      <c r="U450" s="36" t="n">
        <f aca="false">IF($D450&lt;&gt;"销项开票",0,ROUND(N($H450)*N(IFERROR(INDEX(单位档案!$K$6:$K$35,MATCH($E450,单位档案!$A$6:$A$35,0)),"")),2))</f>
        <v>0</v>
      </c>
      <c r="V450" s="36" t="n">
        <f aca="false">IF(OR($D450&lt;&gt;"销项开票",N($Q450)=0),0,ROUND(N($H450)/(1+$Q450)*N(IFERROR(INDEX(单位档案!$L$6:$L$35,MATCH($E450,单位档案!$A$6:$A$35,0)),"")),2))</f>
        <v>0</v>
      </c>
      <c r="W450" s="36" t="n">
        <f aca="false">ROUND($S450+$T450+$U450+$V450,2)</f>
        <v>0</v>
      </c>
      <c r="X450" s="35" t="str">
        <f aca="false">IF(OR($D450="挂靠代收",$D450="我方收款"),COUNTIFS($D$5:$D450,"挂靠代收")+COUNTIFS($D$5:$D450,"我方收款"),"")</f>
        <v/>
      </c>
      <c r="Y450" s="35"/>
      <c r="Z450" s="21" t="s">
        <v>111</v>
      </c>
    </row>
    <row r="451" customFormat="false" ht="15.75" hidden="false" customHeight="true" outlineLevel="0" collapsed="false">
      <c r="A451" s="32" t="str">
        <f aca="false">IF($B451="","",ROW()-4)</f>
        <v/>
      </c>
      <c r="B451" s="26"/>
      <c r="C451" s="24"/>
      <c r="D451" s="21"/>
      <c r="E451" s="21"/>
      <c r="F451" s="21"/>
      <c r="G451" s="21"/>
      <c r="H451" s="27"/>
      <c r="I451" s="23" t="str">
        <f aca="false">IF($D451&lt;&gt;"销项开票","",IF($N451="一级",IF(IFERROR(INDEX(项目档案!$E$6:$E$255,MATCH($C451,项目档案!$A$6:$A$255,0)),"")="",N(IFERROR(INDEX(单位档案!$D$6:$D$35,MATCH($E451,单位档案!$A$6:$A$35,0)),"")),IFERROR(INDEX(项目档案!$E$6:$E$255,MATCH($C451,项目档案!$A$6:$A$255,0)),"")),IF($N451="二级",IF(IFERROR(INDEX(项目档案!$G$6:$G$255,MATCH($C451,项目档案!$A$6:$A$255,0)),"")="",N(IFERROR(INDEX(单位档案!$D$6:$D$35,MATCH($E451,单位档案!$A$6:$A$35,0)),"")),IFERROR(INDEX(项目档案!$G$6:$G$255,MATCH($C451,项目档案!$A$6:$A$255,0)),"")),N(IFERROR(INDEX(单位档案!$D$6:$D$35,MATCH($E451,单位档案!$A$6:$A$35,0)),"")))))</f>
        <v/>
      </c>
      <c r="J451" s="22"/>
      <c r="K451" s="22"/>
      <c r="L451" s="33" t="str">
        <f aca="false">IF($B451="","",IF(NOT(ISNUMBER($B451)),"日期格式不对",IF($C451="","未选项目编号",IF(LEFT($M451,1)="⚠","项目编号不存在",IF($D451="","未选业务类型",IF($E451="","未选开票/付款方",IF(ISNA(MATCH($E451,单位档案!$A$6:$A$35,0)),"开票方不在单位档案",IF($F451="","未选收票/收款方",IF(ISNA(MATCH($F451,单位档案!$A$6:$A$35,0)),"收款方不在单位档案",IF(NOT(ISNUMBER($H451)),"金额须为数字",IF(AND($D451="销项开票",$N451="—"),"链条待确认","√")))))))))))</f>
        <v/>
      </c>
      <c r="M451" s="34" t="str">
        <f aca="false">IF($C451="","",IFERROR(INDEX(项目档案!$B$6:$B$255,MATCH($C451,项目档案!$A$6:$A$255,0)),"⚠项目编号不存在"))</f>
        <v/>
      </c>
      <c r="N451" s="35" t="str">
        <f aca="false">IF($E451="","",IF($E451=IFERROR(INDEX(项目档案!$D$6:$D$255,MATCH($C451,项目档案!$A$6:$A$255,0)),""),"一级",IF($E451=IFERROR(INDEX(项目档案!$F$6:$F$255,MATCH($C451,项目档案!$A$6:$A$255,0)),""),"二级",IF($E451=IFERROR(INDEX(项目档案!$H$6:$H$255,MATCH($C451,项目档案!$A$6:$A$255,0)),""),"我方","—"))))</f>
        <v/>
      </c>
      <c r="O451" s="36" t="n">
        <f aca="false">IF($D451&lt;&gt;"销项开票",0,ROUND(N($H451)*N($I451),2))</f>
        <v>0</v>
      </c>
      <c r="P451" s="36" t="n">
        <f aca="false">IF($D451&lt;&gt;"销项开票",0,ROUND(N($H451)-$O451,2))</f>
        <v>0</v>
      </c>
      <c r="Q451" s="37" t="str">
        <f aca="false">IF($E451="","",N(IFERROR(INDEX(单位档案!$E$6:$E$35,MATCH($E451,单位档案!$A$6:$A$35,0)),"")))</f>
        <v/>
      </c>
      <c r="R451" s="37" t="str">
        <f aca="false">IF($E451="","",N(IFERROR(INDEX(单位档案!$F$6:$F$35,MATCH($E451,单位档案!$A$6:$A$35,0)),"")))</f>
        <v/>
      </c>
      <c r="S451" s="36" t="n">
        <f aca="false">IF(OR($D451&lt;&gt;"销项开票",IFERROR(INDEX(单位档案!$G$6:$G$35,MATCH($E451,单位档案!$A$6:$A$35,0)),"")&lt;&gt;"是",N($Q451)=0),0,IF(IFERROR(INDEX(单位档案!$H$6:$H$35,MATCH($E451,单位档案!$A$6:$A$35,0)),"")="税差法",ROUND(N($H451)/(1+$Q451)*$Q451-IF(N($R451)=0,0,$P451/(1+$R451)*$R451),2),ROUND(N($H451)/(1+$Q451)*$Q451,2)))</f>
        <v>0</v>
      </c>
      <c r="T451" s="36" t="n">
        <f aca="false">ROUND($S451*N(IFERROR(INDEX(单位档案!$J$6:$J$35,MATCH($E451,单位档案!$A$6:$A$35,0)),"")),2)</f>
        <v>0</v>
      </c>
      <c r="U451" s="36" t="n">
        <f aca="false">IF($D451&lt;&gt;"销项开票",0,ROUND(N($H451)*N(IFERROR(INDEX(单位档案!$K$6:$K$35,MATCH($E451,单位档案!$A$6:$A$35,0)),"")),2))</f>
        <v>0</v>
      </c>
      <c r="V451" s="36" t="n">
        <f aca="false">IF(OR($D451&lt;&gt;"销项开票",N($Q451)=0),0,ROUND(N($H451)/(1+$Q451)*N(IFERROR(INDEX(单位档案!$L$6:$L$35,MATCH($E451,单位档案!$A$6:$A$35,0)),"")),2))</f>
        <v>0</v>
      </c>
      <c r="W451" s="36" t="n">
        <f aca="false">ROUND($S451+$T451+$U451+$V451,2)</f>
        <v>0</v>
      </c>
      <c r="X451" s="35" t="str">
        <f aca="false">IF(OR($D451="挂靠代收",$D451="我方收款"),COUNTIFS($D$5:$D451,"挂靠代收")+COUNTIFS($D$5:$D451,"我方收款"),"")</f>
        <v/>
      </c>
      <c r="Y451" s="35"/>
      <c r="Z451" s="21" t="s">
        <v>111</v>
      </c>
    </row>
    <row r="452" customFormat="false" ht="15.75" hidden="false" customHeight="true" outlineLevel="0" collapsed="false">
      <c r="A452" s="32" t="str">
        <f aca="false">IF($B452="","",ROW()-4)</f>
        <v/>
      </c>
      <c r="B452" s="26"/>
      <c r="C452" s="24"/>
      <c r="D452" s="21"/>
      <c r="E452" s="21"/>
      <c r="F452" s="21"/>
      <c r="G452" s="21"/>
      <c r="H452" s="27"/>
      <c r="I452" s="23" t="str">
        <f aca="false">IF($D452&lt;&gt;"销项开票","",IF($N452="一级",IF(IFERROR(INDEX(项目档案!$E$6:$E$255,MATCH($C452,项目档案!$A$6:$A$255,0)),"")="",N(IFERROR(INDEX(单位档案!$D$6:$D$35,MATCH($E452,单位档案!$A$6:$A$35,0)),"")),IFERROR(INDEX(项目档案!$E$6:$E$255,MATCH($C452,项目档案!$A$6:$A$255,0)),"")),IF($N452="二级",IF(IFERROR(INDEX(项目档案!$G$6:$G$255,MATCH($C452,项目档案!$A$6:$A$255,0)),"")="",N(IFERROR(INDEX(单位档案!$D$6:$D$35,MATCH($E452,单位档案!$A$6:$A$35,0)),"")),IFERROR(INDEX(项目档案!$G$6:$G$255,MATCH($C452,项目档案!$A$6:$A$255,0)),"")),N(IFERROR(INDEX(单位档案!$D$6:$D$35,MATCH($E452,单位档案!$A$6:$A$35,0)),"")))))</f>
        <v/>
      </c>
      <c r="J452" s="22"/>
      <c r="K452" s="22"/>
      <c r="L452" s="33" t="str">
        <f aca="false">IF($B452="","",IF(NOT(ISNUMBER($B452)),"日期格式不对",IF($C452="","未选项目编号",IF(LEFT($M452,1)="⚠","项目编号不存在",IF($D452="","未选业务类型",IF($E452="","未选开票/付款方",IF(ISNA(MATCH($E452,单位档案!$A$6:$A$35,0)),"开票方不在单位档案",IF($F452="","未选收票/收款方",IF(ISNA(MATCH($F452,单位档案!$A$6:$A$35,0)),"收款方不在单位档案",IF(NOT(ISNUMBER($H452)),"金额须为数字",IF(AND($D452="销项开票",$N452="—"),"链条待确认","√")))))))))))</f>
        <v/>
      </c>
      <c r="M452" s="34" t="str">
        <f aca="false">IF($C452="","",IFERROR(INDEX(项目档案!$B$6:$B$255,MATCH($C452,项目档案!$A$6:$A$255,0)),"⚠项目编号不存在"))</f>
        <v/>
      </c>
      <c r="N452" s="35" t="str">
        <f aca="false">IF($E452="","",IF($E452=IFERROR(INDEX(项目档案!$D$6:$D$255,MATCH($C452,项目档案!$A$6:$A$255,0)),""),"一级",IF($E452=IFERROR(INDEX(项目档案!$F$6:$F$255,MATCH($C452,项目档案!$A$6:$A$255,0)),""),"二级",IF($E452=IFERROR(INDEX(项目档案!$H$6:$H$255,MATCH($C452,项目档案!$A$6:$A$255,0)),""),"我方","—"))))</f>
        <v/>
      </c>
      <c r="O452" s="36" t="n">
        <f aca="false">IF($D452&lt;&gt;"销项开票",0,ROUND(N($H452)*N($I452),2))</f>
        <v>0</v>
      </c>
      <c r="P452" s="36" t="n">
        <f aca="false">IF($D452&lt;&gt;"销项开票",0,ROUND(N($H452)-$O452,2))</f>
        <v>0</v>
      </c>
      <c r="Q452" s="37" t="str">
        <f aca="false">IF($E452="","",N(IFERROR(INDEX(单位档案!$E$6:$E$35,MATCH($E452,单位档案!$A$6:$A$35,0)),"")))</f>
        <v/>
      </c>
      <c r="R452" s="37" t="str">
        <f aca="false">IF($E452="","",N(IFERROR(INDEX(单位档案!$F$6:$F$35,MATCH($E452,单位档案!$A$6:$A$35,0)),"")))</f>
        <v/>
      </c>
      <c r="S452" s="36" t="n">
        <f aca="false">IF(OR($D452&lt;&gt;"销项开票",IFERROR(INDEX(单位档案!$G$6:$G$35,MATCH($E452,单位档案!$A$6:$A$35,0)),"")&lt;&gt;"是",N($Q452)=0),0,IF(IFERROR(INDEX(单位档案!$H$6:$H$35,MATCH($E452,单位档案!$A$6:$A$35,0)),"")="税差法",ROUND(N($H452)/(1+$Q452)*$Q452-IF(N($R452)=0,0,$P452/(1+$R452)*$R452),2),ROUND(N($H452)/(1+$Q452)*$Q452,2)))</f>
        <v>0</v>
      </c>
      <c r="T452" s="36" t="n">
        <f aca="false">ROUND($S452*N(IFERROR(INDEX(单位档案!$J$6:$J$35,MATCH($E452,单位档案!$A$6:$A$35,0)),"")),2)</f>
        <v>0</v>
      </c>
      <c r="U452" s="36" t="n">
        <f aca="false">IF($D452&lt;&gt;"销项开票",0,ROUND(N($H452)*N(IFERROR(INDEX(单位档案!$K$6:$K$35,MATCH($E452,单位档案!$A$6:$A$35,0)),"")),2))</f>
        <v>0</v>
      </c>
      <c r="V452" s="36" t="n">
        <f aca="false">IF(OR($D452&lt;&gt;"销项开票",N($Q452)=0),0,ROUND(N($H452)/(1+$Q452)*N(IFERROR(INDEX(单位档案!$L$6:$L$35,MATCH($E452,单位档案!$A$6:$A$35,0)),"")),2))</f>
        <v>0</v>
      </c>
      <c r="W452" s="36" t="n">
        <f aca="false">ROUND($S452+$T452+$U452+$V452,2)</f>
        <v>0</v>
      </c>
      <c r="X452" s="35" t="str">
        <f aca="false">IF(OR($D452="挂靠代收",$D452="我方收款"),COUNTIFS($D$5:$D452,"挂靠代收")+COUNTIFS($D$5:$D452,"我方收款"),"")</f>
        <v/>
      </c>
      <c r="Y452" s="35"/>
      <c r="Z452" s="21" t="s">
        <v>111</v>
      </c>
    </row>
    <row r="453" customFormat="false" ht="15.75" hidden="false" customHeight="true" outlineLevel="0" collapsed="false">
      <c r="A453" s="32" t="str">
        <f aca="false">IF($B453="","",ROW()-4)</f>
        <v/>
      </c>
      <c r="B453" s="26"/>
      <c r="C453" s="24"/>
      <c r="D453" s="21"/>
      <c r="E453" s="21"/>
      <c r="F453" s="21"/>
      <c r="G453" s="21"/>
      <c r="H453" s="27"/>
      <c r="I453" s="23" t="str">
        <f aca="false">IF($D453&lt;&gt;"销项开票","",IF($N453="一级",IF(IFERROR(INDEX(项目档案!$E$6:$E$255,MATCH($C453,项目档案!$A$6:$A$255,0)),"")="",N(IFERROR(INDEX(单位档案!$D$6:$D$35,MATCH($E453,单位档案!$A$6:$A$35,0)),"")),IFERROR(INDEX(项目档案!$E$6:$E$255,MATCH($C453,项目档案!$A$6:$A$255,0)),"")),IF($N453="二级",IF(IFERROR(INDEX(项目档案!$G$6:$G$255,MATCH($C453,项目档案!$A$6:$A$255,0)),"")="",N(IFERROR(INDEX(单位档案!$D$6:$D$35,MATCH($E453,单位档案!$A$6:$A$35,0)),"")),IFERROR(INDEX(项目档案!$G$6:$G$255,MATCH($C453,项目档案!$A$6:$A$255,0)),"")),N(IFERROR(INDEX(单位档案!$D$6:$D$35,MATCH($E453,单位档案!$A$6:$A$35,0)),"")))))</f>
        <v/>
      </c>
      <c r="J453" s="22"/>
      <c r="K453" s="22"/>
      <c r="L453" s="33" t="str">
        <f aca="false">IF($B453="","",IF(NOT(ISNUMBER($B453)),"日期格式不对",IF($C453="","未选项目编号",IF(LEFT($M453,1)="⚠","项目编号不存在",IF($D453="","未选业务类型",IF($E453="","未选开票/付款方",IF(ISNA(MATCH($E453,单位档案!$A$6:$A$35,0)),"开票方不在单位档案",IF($F453="","未选收票/收款方",IF(ISNA(MATCH($F453,单位档案!$A$6:$A$35,0)),"收款方不在单位档案",IF(NOT(ISNUMBER($H453)),"金额须为数字",IF(AND($D453="销项开票",$N453="—"),"链条待确认","√")))))))))))</f>
        <v/>
      </c>
      <c r="M453" s="34" t="str">
        <f aca="false">IF($C453="","",IFERROR(INDEX(项目档案!$B$6:$B$255,MATCH($C453,项目档案!$A$6:$A$255,0)),"⚠项目编号不存在"))</f>
        <v/>
      </c>
      <c r="N453" s="35" t="str">
        <f aca="false">IF($E453="","",IF($E453=IFERROR(INDEX(项目档案!$D$6:$D$255,MATCH($C453,项目档案!$A$6:$A$255,0)),""),"一级",IF($E453=IFERROR(INDEX(项目档案!$F$6:$F$255,MATCH($C453,项目档案!$A$6:$A$255,0)),""),"二级",IF($E453=IFERROR(INDEX(项目档案!$H$6:$H$255,MATCH($C453,项目档案!$A$6:$A$255,0)),""),"我方","—"))))</f>
        <v/>
      </c>
      <c r="O453" s="36" t="n">
        <f aca="false">IF($D453&lt;&gt;"销项开票",0,ROUND(N($H453)*N($I453),2))</f>
        <v>0</v>
      </c>
      <c r="P453" s="36" t="n">
        <f aca="false">IF($D453&lt;&gt;"销项开票",0,ROUND(N($H453)-$O453,2))</f>
        <v>0</v>
      </c>
      <c r="Q453" s="37" t="str">
        <f aca="false">IF($E453="","",N(IFERROR(INDEX(单位档案!$E$6:$E$35,MATCH($E453,单位档案!$A$6:$A$35,0)),"")))</f>
        <v/>
      </c>
      <c r="R453" s="37" t="str">
        <f aca="false">IF($E453="","",N(IFERROR(INDEX(单位档案!$F$6:$F$35,MATCH($E453,单位档案!$A$6:$A$35,0)),"")))</f>
        <v/>
      </c>
      <c r="S453" s="36" t="n">
        <f aca="false">IF(OR($D453&lt;&gt;"销项开票",IFERROR(INDEX(单位档案!$G$6:$G$35,MATCH($E453,单位档案!$A$6:$A$35,0)),"")&lt;&gt;"是",N($Q453)=0),0,IF(IFERROR(INDEX(单位档案!$H$6:$H$35,MATCH($E453,单位档案!$A$6:$A$35,0)),"")="税差法",ROUND(N($H453)/(1+$Q453)*$Q453-IF(N($R453)=0,0,$P453/(1+$R453)*$R453),2),ROUND(N($H453)/(1+$Q453)*$Q453,2)))</f>
        <v>0</v>
      </c>
      <c r="T453" s="36" t="n">
        <f aca="false">ROUND($S453*N(IFERROR(INDEX(单位档案!$J$6:$J$35,MATCH($E453,单位档案!$A$6:$A$35,0)),"")),2)</f>
        <v>0</v>
      </c>
      <c r="U453" s="36" t="n">
        <f aca="false">IF($D453&lt;&gt;"销项开票",0,ROUND(N($H453)*N(IFERROR(INDEX(单位档案!$K$6:$K$35,MATCH($E453,单位档案!$A$6:$A$35,0)),"")),2))</f>
        <v>0</v>
      </c>
      <c r="V453" s="36" t="n">
        <f aca="false">IF(OR($D453&lt;&gt;"销项开票",N($Q453)=0),0,ROUND(N($H453)/(1+$Q453)*N(IFERROR(INDEX(单位档案!$L$6:$L$35,MATCH($E453,单位档案!$A$6:$A$35,0)),"")),2))</f>
        <v>0</v>
      </c>
      <c r="W453" s="36" t="n">
        <f aca="false">ROUND($S453+$T453+$U453+$V453,2)</f>
        <v>0</v>
      </c>
      <c r="X453" s="35" t="str">
        <f aca="false">IF(OR($D453="挂靠代收",$D453="我方收款"),COUNTIFS($D$5:$D453,"挂靠代收")+COUNTIFS($D$5:$D453,"我方收款"),"")</f>
        <v/>
      </c>
      <c r="Y453" s="35"/>
      <c r="Z453" s="21" t="s">
        <v>111</v>
      </c>
    </row>
    <row r="454" customFormat="false" ht="15.75" hidden="false" customHeight="true" outlineLevel="0" collapsed="false">
      <c r="A454" s="32" t="str">
        <f aca="false">IF($B454="","",ROW()-4)</f>
        <v/>
      </c>
      <c r="B454" s="26"/>
      <c r="C454" s="24"/>
      <c r="D454" s="21"/>
      <c r="E454" s="21"/>
      <c r="F454" s="21"/>
      <c r="G454" s="21"/>
      <c r="H454" s="27"/>
      <c r="I454" s="23" t="str">
        <f aca="false">IF($D454&lt;&gt;"销项开票","",IF($N454="一级",IF(IFERROR(INDEX(项目档案!$E$6:$E$255,MATCH($C454,项目档案!$A$6:$A$255,0)),"")="",N(IFERROR(INDEX(单位档案!$D$6:$D$35,MATCH($E454,单位档案!$A$6:$A$35,0)),"")),IFERROR(INDEX(项目档案!$E$6:$E$255,MATCH($C454,项目档案!$A$6:$A$255,0)),"")),IF($N454="二级",IF(IFERROR(INDEX(项目档案!$G$6:$G$255,MATCH($C454,项目档案!$A$6:$A$255,0)),"")="",N(IFERROR(INDEX(单位档案!$D$6:$D$35,MATCH($E454,单位档案!$A$6:$A$35,0)),"")),IFERROR(INDEX(项目档案!$G$6:$G$255,MATCH($C454,项目档案!$A$6:$A$255,0)),"")),N(IFERROR(INDEX(单位档案!$D$6:$D$35,MATCH($E454,单位档案!$A$6:$A$35,0)),"")))))</f>
        <v/>
      </c>
      <c r="J454" s="22"/>
      <c r="K454" s="22"/>
      <c r="L454" s="33" t="str">
        <f aca="false">IF($B454="","",IF(NOT(ISNUMBER($B454)),"日期格式不对",IF($C454="","未选项目编号",IF(LEFT($M454,1)="⚠","项目编号不存在",IF($D454="","未选业务类型",IF($E454="","未选开票/付款方",IF(ISNA(MATCH($E454,单位档案!$A$6:$A$35,0)),"开票方不在单位档案",IF($F454="","未选收票/收款方",IF(ISNA(MATCH($F454,单位档案!$A$6:$A$35,0)),"收款方不在单位档案",IF(NOT(ISNUMBER($H454)),"金额须为数字",IF(AND($D454="销项开票",$N454="—"),"链条待确认","√")))))))))))</f>
        <v/>
      </c>
      <c r="M454" s="34" t="str">
        <f aca="false">IF($C454="","",IFERROR(INDEX(项目档案!$B$6:$B$255,MATCH($C454,项目档案!$A$6:$A$255,0)),"⚠项目编号不存在"))</f>
        <v/>
      </c>
      <c r="N454" s="35" t="str">
        <f aca="false">IF($E454="","",IF($E454=IFERROR(INDEX(项目档案!$D$6:$D$255,MATCH($C454,项目档案!$A$6:$A$255,0)),""),"一级",IF($E454=IFERROR(INDEX(项目档案!$F$6:$F$255,MATCH($C454,项目档案!$A$6:$A$255,0)),""),"二级",IF($E454=IFERROR(INDEX(项目档案!$H$6:$H$255,MATCH($C454,项目档案!$A$6:$A$255,0)),""),"我方","—"))))</f>
        <v/>
      </c>
      <c r="O454" s="36" t="n">
        <f aca="false">IF($D454&lt;&gt;"销项开票",0,ROUND(N($H454)*N($I454),2))</f>
        <v>0</v>
      </c>
      <c r="P454" s="36" t="n">
        <f aca="false">IF($D454&lt;&gt;"销项开票",0,ROUND(N($H454)-$O454,2))</f>
        <v>0</v>
      </c>
      <c r="Q454" s="37" t="str">
        <f aca="false">IF($E454="","",N(IFERROR(INDEX(单位档案!$E$6:$E$35,MATCH($E454,单位档案!$A$6:$A$35,0)),"")))</f>
        <v/>
      </c>
      <c r="R454" s="37" t="str">
        <f aca="false">IF($E454="","",N(IFERROR(INDEX(单位档案!$F$6:$F$35,MATCH($E454,单位档案!$A$6:$A$35,0)),"")))</f>
        <v/>
      </c>
      <c r="S454" s="36" t="n">
        <f aca="false">IF(OR($D454&lt;&gt;"销项开票",IFERROR(INDEX(单位档案!$G$6:$G$35,MATCH($E454,单位档案!$A$6:$A$35,0)),"")&lt;&gt;"是",N($Q454)=0),0,IF(IFERROR(INDEX(单位档案!$H$6:$H$35,MATCH($E454,单位档案!$A$6:$A$35,0)),"")="税差法",ROUND(N($H454)/(1+$Q454)*$Q454-IF(N($R454)=0,0,$P454/(1+$R454)*$R454),2),ROUND(N($H454)/(1+$Q454)*$Q454,2)))</f>
        <v>0</v>
      </c>
      <c r="T454" s="36" t="n">
        <f aca="false">ROUND($S454*N(IFERROR(INDEX(单位档案!$J$6:$J$35,MATCH($E454,单位档案!$A$6:$A$35,0)),"")),2)</f>
        <v>0</v>
      </c>
      <c r="U454" s="36" t="n">
        <f aca="false">IF($D454&lt;&gt;"销项开票",0,ROUND(N($H454)*N(IFERROR(INDEX(单位档案!$K$6:$K$35,MATCH($E454,单位档案!$A$6:$A$35,0)),"")),2))</f>
        <v>0</v>
      </c>
      <c r="V454" s="36" t="n">
        <f aca="false">IF(OR($D454&lt;&gt;"销项开票",N($Q454)=0),0,ROUND(N($H454)/(1+$Q454)*N(IFERROR(INDEX(单位档案!$L$6:$L$35,MATCH($E454,单位档案!$A$6:$A$35,0)),"")),2))</f>
        <v>0</v>
      </c>
      <c r="W454" s="36" t="n">
        <f aca="false">ROUND($S454+$T454+$U454+$V454,2)</f>
        <v>0</v>
      </c>
      <c r="X454" s="35" t="str">
        <f aca="false">IF(OR($D454="挂靠代收",$D454="我方收款"),COUNTIFS($D$5:$D454,"挂靠代收")+COUNTIFS($D$5:$D454,"我方收款"),"")</f>
        <v/>
      </c>
      <c r="Y454" s="35"/>
      <c r="Z454" s="21" t="s">
        <v>111</v>
      </c>
    </row>
    <row r="455" customFormat="false" ht="15.75" hidden="false" customHeight="true" outlineLevel="0" collapsed="false">
      <c r="A455" s="32" t="str">
        <f aca="false">IF($B455="","",ROW()-4)</f>
        <v/>
      </c>
      <c r="B455" s="26"/>
      <c r="C455" s="24"/>
      <c r="D455" s="21"/>
      <c r="E455" s="21"/>
      <c r="F455" s="21"/>
      <c r="G455" s="21"/>
      <c r="H455" s="27"/>
      <c r="I455" s="23" t="str">
        <f aca="false">IF($D455&lt;&gt;"销项开票","",IF($N455="一级",IF(IFERROR(INDEX(项目档案!$E$6:$E$255,MATCH($C455,项目档案!$A$6:$A$255,0)),"")="",N(IFERROR(INDEX(单位档案!$D$6:$D$35,MATCH($E455,单位档案!$A$6:$A$35,0)),"")),IFERROR(INDEX(项目档案!$E$6:$E$255,MATCH($C455,项目档案!$A$6:$A$255,0)),"")),IF($N455="二级",IF(IFERROR(INDEX(项目档案!$G$6:$G$255,MATCH($C455,项目档案!$A$6:$A$255,0)),"")="",N(IFERROR(INDEX(单位档案!$D$6:$D$35,MATCH($E455,单位档案!$A$6:$A$35,0)),"")),IFERROR(INDEX(项目档案!$G$6:$G$255,MATCH($C455,项目档案!$A$6:$A$255,0)),"")),N(IFERROR(INDEX(单位档案!$D$6:$D$35,MATCH($E455,单位档案!$A$6:$A$35,0)),"")))))</f>
        <v/>
      </c>
      <c r="J455" s="22"/>
      <c r="K455" s="22"/>
      <c r="L455" s="33" t="str">
        <f aca="false">IF($B455="","",IF(NOT(ISNUMBER($B455)),"日期格式不对",IF($C455="","未选项目编号",IF(LEFT($M455,1)="⚠","项目编号不存在",IF($D455="","未选业务类型",IF($E455="","未选开票/付款方",IF(ISNA(MATCH($E455,单位档案!$A$6:$A$35,0)),"开票方不在单位档案",IF($F455="","未选收票/收款方",IF(ISNA(MATCH($F455,单位档案!$A$6:$A$35,0)),"收款方不在单位档案",IF(NOT(ISNUMBER($H455)),"金额须为数字",IF(AND($D455="销项开票",$N455="—"),"链条待确认","√")))))))))))</f>
        <v/>
      </c>
      <c r="M455" s="34" t="str">
        <f aca="false">IF($C455="","",IFERROR(INDEX(项目档案!$B$6:$B$255,MATCH($C455,项目档案!$A$6:$A$255,0)),"⚠项目编号不存在"))</f>
        <v/>
      </c>
      <c r="N455" s="35" t="str">
        <f aca="false">IF($E455="","",IF($E455=IFERROR(INDEX(项目档案!$D$6:$D$255,MATCH($C455,项目档案!$A$6:$A$255,0)),""),"一级",IF($E455=IFERROR(INDEX(项目档案!$F$6:$F$255,MATCH($C455,项目档案!$A$6:$A$255,0)),""),"二级",IF($E455=IFERROR(INDEX(项目档案!$H$6:$H$255,MATCH($C455,项目档案!$A$6:$A$255,0)),""),"我方","—"))))</f>
        <v/>
      </c>
      <c r="O455" s="36" t="n">
        <f aca="false">IF($D455&lt;&gt;"销项开票",0,ROUND(N($H455)*N($I455),2))</f>
        <v>0</v>
      </c>
      <c r="P455" s="36" t="n">
        <f aca="false">IF($D455&lt;&gt;"销项开票",0,ROUND(N($H455)-$O455,2))</f>
        <v>0</v>
      </c>
      <c r="Q455" s="37" t="str">
        <f aca="false">IF($E455="","",N(IFERROR(INDEX(单位档案!$E$6:$E$35,MATCH($E455,单位档案!$A$6:$A$35,0)),"")))</f>
        <v/>
      </c>
      <c r="R455" s="37" t="str">
        <f aca="false">IF($E455="","",N(IFERROR(INDEX(单位档案!$F$6:$F$35,MATCH($E455,单位档案!$A$6:$A$35,0)),"")))</f>
        <v/>
      </c>
      <c r="S455" s="36" t="n">
        <f aca="false">IF(OR($D455&lt;&gt;"销项开票",IFERROR(INDEX(单位档案!$G$6:$G$35,MATCH($E455,单位档案!$A$6:$A$35,0)),"")&lt;&gt;"是",N($Q455)=0),0,IF(IFERROR(INDEX(单位档案!$H$6:$H$35,MATCH($E455,单位档案!$A$6:$A$35,0)),"")="税差法",ROUND(N($H455)/(1+$Q455)*$Q455-IF(N($R455)=0,0,$P455/(1+$R455)*$R455),2),ROUND(N($H455)/(1+$Q455)*$Q455,2)))</f>
        <v>0</v>
      </c>
      <c r="T455" s="36" t="n">
        <f aca="false">ROUND($S455*N(IFERROR(INDEX(单位档案!$J$6:$J$35,MATCH($E455,单位档案!$A$6:$A$35,0)),"")),2)</f>
        <v>0</v>
      </c>
      <c r="U455" s="36" t="n">
        <f aca="false">IF($D455&lt;&gt;"销项开票",0,ROUND(N($H455)*N(IFERROR(INDEX(单位档案!$K$6:$K$35,MATCH($E455,单位档案!$A$6:$A$35,0)),"")),2))</f>
        <v>0</v>
      </c>
      <c r="V455" s="36" t="n">
        <f aca="false">IF(OR($D455&lt;&gt;"销项开票",N($Q455)=0),0,ROUND(N($H455)/(1+$Q455)*N(IFERROR(INDEX(单位档案!$L$6:$L$35,MATCH($E455,单位档案!$A$6:$A$35,0)),"")),2))</f>
        <v>0</v>
      </c>
      <c r="W455" s="36" t="n">
        <f aca="false">ROUND($S455+$T455+$U455+$V455,2)</f>
        <v>0</v>
      </c>
      <c r="X455" s="35" t="str">
        <f aca="false">IF(OR($D455="挂靠代收",$D455="我方收款"),COUNTIFS($D$5:$D455,"挂靠代收")+COUNTIFS($D$5:$D455,"我方收款"),"")</f>
        <v/>
      </c>
      <c r="Y455" s="35"/>
      <c r="Z455" s="21" t="s">
        <v>111</v>
      </c>
    </row>
    <row r="456" customFormat="false" ht="15.75" hidden="false" customHeight="true" outlineLevel="0" collapsed="false">
      <c r="A456" s="32" t="str">
        <f aca="false">IF($B456="","",ROW()-4)</f>
        <v/>
      </c>
      <c r="B456" s="26"/>
      <c r="C456" s="24"/>
      <c r="D456" s="21"/>
      <c r="E456" s="21"/>
      <c r="F456" s="21"/>
      <c r="G456" s="21"/>
      <c r="H456" s="27"/>
      <c r="I456" s="23" t="str">
        <f aca="false">IF($D456&lt;&gt;"销项开票","",IF($N456="一级",IF(IFERROR(INDEX(项目档案!$E$6:$E$255,MATCH($C456,项目档案!$A$6:$A$255,0)),"")="",N(IFERROR(INDEX(单位档案!$D$6:$D$35,MATCH($E456,单位档案!$A$6:$A$35,0)),"")),IFERROR(INDEX(项目档案!$E$6:$E$255,MATCH($C456,项目档案!$A$6:$A$255,0)),"")),IF($N456="二级",IF(IFERROR(INDEX(项目档案!$G$6:$G$255,MATCH($C456,项目档案!$A$6:$A$255,0)),"")="",N(IFERROR(INDEX(单位档案!$D$6:$D$35,MATCH($E456,单位档案!$A$6:$A$35,0)),"")),IFERROR(INDEX(项目档案!$G$6:$G$255,MATCH($C456,项目档案!$A$6:$A$255,0)),"")),N(IFERROR(INDEX(单位档案!$D$6:$D$35,MATCH($E456,单位档案!$A$6:$A$35,0)),"")))))</f>
        <v/>
      </c>
      <c r="J456" s="22"/>
      <c r="K456" s="22"/>
      <c r="L456" s="33" t="str">
        <f aca="false">IF($B456="","",IF(NOT(ISNUMBER($B456)),"日期格式不对",IF($C456="","未选项目编号",IF(LEFT($M456,1)="⚠","项目编号不存在",IF($D456="","未选业务类型",IF($E456="","未选开票/付款方",IF(ISNA(MATCH($E456,单位档案!$A$6:$A$35,0)),"开票方不在单位档案",IF($F456="","未选收票/收款方",IF(ISNA(MATCH($F456,单位档案!$A$6:$A$35,0)),"收款方不在单位档案",IF(NOT(ISNUMBER($H456)),"金额须为数字",IF(AND($D456="销项开票",$N456="—"),"链条待确认","√")))))))))))</f>
        <v/>
      </c>
      <c r="M456" s="34" t="str">
        <f aca="false">IF($C456="","",IFERROR(INDEX(项目档案!$B$6:$B$255,MATCH($C456,项目档案!$A$6:$A$255,0)),"⚠项目编号不存在"))</f>
        <v/>
      </c>
      <c r="N456" s="35" t="str">
        <f aca="false">IF($E456="","",IF($E456=IFERROR(INDEX(项目档案!$D$6:$D$255,MATCH($C456,项目档案!$A$6:$A$255,0)),""),"一级",IF($E456=IFERROR(INDEX(项目档案!$F$6:$F$255,MATCH($C456,项目档案!$A$6:$A$255,0)),""),"二级",IF($E456=IFERROR(INDEX(项目档案!$H$6:$H$255,MATCH($C456,项目档案!$A$6:$A$255,0)),""),"我方","—"))))</f>
        <v/>
      </c>
      <c r="O456" s="36" t="n">
        <f aca="false">IF($D456&lt;&gt;"销项开票",0,ROUND(N($H456)*N($I456),2))</f>
        <v>0</v>
      </c>
      <c r="P456" s="36" t="n">
        <f aca="false">IF($D456&lt;&gt;"销项开票",0,ROUND(N($H456)-$O456,2))</f>
        <v>0</v>
      </c>
      <c r="Q456" s="37" t="str">
        <f aca="false">IF($E456="","",N(IFERROR(INDEX(单位档案!$E$6:$E$35,MATCH($E456,单位档案!$A$6:$A$35,0)),"")))</f>
        <v/>
      </c>
      <c r="R456" s="37" t="str">
        <f aca="false">IF($E456="","",N(IFERROR(INDEX(单位档案!$F$6:$F$35,MATCH($E456,单位档案!$A$6:$A$35,0)),"")))</f>
        <v/>
      </c>
      <c r="S456" s="36" t="n">
        <f aca="false">IF(OR($D456&lt;&gt;"销项开票",IFERROR(INDEX(单位档案!$G$6:$G$35,MATCH($E456,单位档案!$A$6:$A$35,0)),"")&lt;&gt;"是",N($Q456)=0),0,IF(IFERROR(INDEX(单位档案!$H$6:$H$35,MATCH($E456,单位档案!$A$6:$A$35,0)),"")="税差法",ROUND(N($H456)/(1+$Q456)*$Q456-IF(N($R456)=0,0,$P456/(1+$R456)*$R456),2),ROUND(N($H456)/(1+$Q456)*$Q456,2)))</f>
        <v>0</v>
      </c>
      <c r="T456" s="36" t="n">
        <f aca="false">ROUND($S456*N(IFERROR(INDEX(单位档案!$J$6:$J$35,MATCH($E456,单位档案!$A$6:$A$35,0)),"")),2)</f>
        <v>0</v>
      </c>
      <c r="U456" s="36" t="n">
        <f aca="false">IF($D456&lt;&gt;"销项开票",0,ROUND(N($H456)*N(IFERROR(INDEX(单位档案!$K$6:$K$35,MATCH($E456,单位档案!$A$6:$A$35,0)),"")),2))</f>
        <v>0</v>
      </c>
      <c r="V456" s="36" t="n">
        <f aca="false">IF(OR($D456&lt;&gt;"销项开票",N($Q456)=0),0,ROUND(N($H456)/(1+$Q456)*N(IFERROR(INDEX(单位档案!$L$6:$L$35,MATCH($E456,单位档案!$A$6:$A$35,0)),"")),2))</f>
        <v>0</v>
      </c>
      <c r="W456" s="36" t="n">
        <f aca="false">ROUND($S456+$T456+$U456+$V456,2)</f>
        <v>0</v>
      </c>
      <c r="X456" s="35" t="str">
        <f aca="false">IF(OR($D456="挂靠代收",$D456="我方收款"),COUNTIFS($D$5:$D456,"挂靠代收")+COUNTIFS($D$5:$D456,"我方收款"),"")</f>
        <v/>
      </c>
      <c r="Y456" s="35"/>
      <c r="Z456" s="21" t="s">
        <v>111</v>
      </c>
    </row>
    <row r="457" customFormat="false" ht="15.75" hidden="false" customHeight="true" outlineLevel="0" collapsed="false">
      <c r="A457" s="32" t="str">
        <f aca="false">IF($B457="","",ROW()-4)</f>
        <v/>
      </c>
      <c r="B457" s="26"/>
      <c r="C457" s="24"/>
      <c r="D457" s="21"/>
      <c r="E457" s="21"/>
      <c r="F457" s="21"/>
      <c r="G457" s="21"/>
      <c r="H457" s="27"/>
      <c r="I457" s="23" t="str">
        <f aca="false">IF($D457&lt;&gt;"销项开票","",IF($N457="一级",IF(IFERROR(INDEX(项目档案!$E$6:$E$255,MATCH($C457,项目档案!$A$6:$A$255,0)),"")="",N(IFERROR(INDEX(单位档案!$D$6:$D$35,MATCH($E457,单位档案!$A$6:$A$35,0)),"")),IFERROR(INDEX(项目档案!$E$6:$E$255,MATCH($C457,项目档案!$A$6:$A$255,0)),"")),IF($N457="二级",IF(IFERROR(INDEX(项目档案!$G$6:$G$255,MATCH($C457,项目档案!$A$6:$A$255,0)),"")="",N(IFERROR(INDEX(单位档案!$D$6:$D$35,MATCH($E457,单位档案!$A$6:$A$35,0)),"")),IFERROR(INDEX(项目档案!$G$6:$G$255,MATCH($C457,项目档案!$A$6:$A$255,0)),"")),N(IFERROR(INDEX(单位档案!$D$6:$D$35,MATCH($E457,单位档案!$A$6:$A$35,0)),"")))))</f>
        <v/>
      </c>
      <c r="J457" s="22"/>
      <c r="K457" s="22"/>
      <c r="L457" s="33" t="str">
        <f aca="false">IF($B457="","",IF(NOT(ISNUMBER($B457)),"日期格式不对",IF($C457="","未选项目编号",IF(LEFT($M457,1)="⚠","项目编号不存在",IF($D457="","未选业务类型",IF($E457="","未选开票/付款方",IF(ISNA(MATCH($E457,单位档案!$A$6:$A$35,0)),"开票方不在单位档案",IF($F457="","未选收票/收款方",IF(ISNA(MATCH($F457,单位档案!$A$6:$A$35,0)),"收款方不在单位档案",IF(NOT(ISNUMBER($H457)),"金额须为数字",IF(AND($D457="销项开票",$N457="—"),"链条待确认","√")))))))))))</f>
        <v/>
      </c>
      <c r="M457" s="34" t="str">
        <f aca="false">IF($C457="","",IFERROR(INDEX(项目档案!$B$6:$B$255,MATCH($C457,项目档案!$A$6:$A$255,0)),"⚠项目编号不存在"))</f>
        <v/>
      </c>
      <c r="N457" s="35" t="str">
        <f aca="false">IF($E457="","",IF($E457=IFERROR(INDEX(项目档案!$D$6:$D$255,MATCH($C457,项目档案!$A$6:$A$255,0)),""),"一级",IF($E457=IFERROR(INDEX(项目档案!$F$6:$F$255,MATCH($C457,项目档案!$A$6:$A$255,0)),""),"二级",IF($E457=IFERROR(INDEX(项目档案!$H$6:$H$255,MATCH($C457,项目档案!$A$6:$A$255,0)),""),"我方","—"))))</f>
        <v/>
      </c>
      <c r="O457" s="36" t="n">
        <f aca="false">IF($D457&lt;&gt;"销项开票",0,ROUND(N($H457)*N($I457),2))</f>
        <v>0</v>
      </c>
      <c r="P457" s="36" t="n">
        <f aca="false">IF($D457&lt;&gt;"销项开票",0,ROUND(N($H457)-$O457,2))</f>
        <v>0</v>
      </c>
      <c r="Q457" s="37" t="str">
        <f aca="false">IF($E457="","",N(IFERROR(INDEX(单位档案!$E$6:$E$35,MATCH($E457,单位档案!$A$6:$A$35,0)),"")))</f>
        <v/>
      </c>
      <c r="R457" s="37" t="str">
        <f aca="false">IF($E457="","",N(IFERROR(INDEX(单位档案!$F$6:$F$35,MATCH($E457,单位档案!$A$6:$A$35,0)),"")))</f>
        <v/>
      </c>
      <c r="S457" s="36" t="n">
        <f aca="false">IF(OR($D457&lt;&gt;"销项开票",IFERROR(INDEX(单位档案!$G$6:$G$35,MATCH($E457,单位档案!$A$6:$A$35,0)),"")&lt;&gt;"是",N($Q457)=0),0,IF(IFERROR(INDEX(单位档案!$H$6:$H$35,MATCH($E457,单位档案!$A$6:$A$35,0)),"")="税差法",ROUND(N($H457)/(1+$Q457)*$Q457-IF(N($R457)=0,0,$P457/(1+$R457)*$R457),2),ROUND(N($H457)/(1+$Q457)*$Q457,2)))</f>
        <v>0</v>
      </c>
      <c r="T457" s="36" t="n">
        <f aca="false">ROUND($S457*N(IFERROR(INDEX(单位档案!$J$6:$J$35,MATCH($E457,单位档案!$A$6:$A$35,0)),"")),2)</f>
        <v>0</v>
      </c>
      <c r="U457" s="36" t="n">
        <f aca="false">IF($D457&lt;&gt;"销项开票",0,ROUND(N($H457)*N(IFERROR(INDEX(单位档案!$K$6:$K$35,MATCH($E457,单位档案!$A$6:$A$35,0)),"")),2))</f>
        <v>0</v>
      </c>
      <c r="V457" s="36" t="n">
        <f aca="false">IF(OR($D457&lt;&gt;"销项开票",N($Q457)=0),0,ROUND(N($H457)/(1+$Q457)*N(IFERROR(INDEX(单位档案!$L$6:$L$35,MATCH($E457,单位档案!$A$6:$A$35,0)),"")),2))</f>
        <v>0</v>
      </c>
      <c r="W457" s="36" t="n">
        <f aca="false">ROUND($S457+$T457+$U457+$V457,2)</f>
        <v>0</v>
      </c>
      <c r="X457" s="35" t="str">
        <f aca="false">IF(OR($D457="挂靠代收",$D457="我方收款"),COUNTIFS($D$5:$D457,"挂靠代收")+COUNTIFS($D$5:$D457,"我方收款"),"")</f>
        <v/>
      </c>
      <c r="Y457" s="35"/>
      <c r="Z457" s="21" t="s">
        <v>111</v>
      </c>
    </row>
    <row r="458" customFormat="false" ht="15.75" hidden="false" customHeight="true" outlineLevel="0" collapsed="false">
      <c r="A458" s="32" t="str">
        <f aca="false">IF($B458="","",ROW()-4)</f>
        <v/>
      </c>
      <c r="B458" s="26"/>
      <c r="C458" s="24"/>
      <c r="D458" s="21"/>
      <c r="E458" s="21"/>
      <c r="F458" s="21"/>
      <c r="G458" s="21"/>
      <c r="H458" s="27"/>
      <c r="I458" s="23" t="str">
        <f aca="false">IF($D458&lt;&gt;"销项开票","",IF($N458="一级",IF(IFERROR(INDEX(项目档案!$E$6:$E$255,MATCH($C458,项目档案!$A$6:$A$255,0)),"")="",N(IFERROR(INDEX(单位档案!$D$6:$D$35,MATCH($E458,单位档案!$A$6:$A$35,0)),"")),IFERROR(INDEX(项目档案!$E$6:$E$255,MATCH($C458,项目档案!$A$6:$A$255,0)),"")),IF($N458="二级",IF(IFERROR(INDEX(项目档案!$G$6:$G$255,MATCH($C458,项目档案!$A$6:$A$255,0)),"")="",N(IFERROR(INDEX(单位档案!$D$6:$D$35,MATCH($E458,单位档案!$A$6:$A$35,0)),"")),IFERROR(INDEX(项目档案!$G$6:$G$255,MATCH($C458,项目档案!$A$6:$A$255,0)),"")),N(IFERROR(INDEX(单位档案!$D$6:$D$35,MATCH($E458,单位档案!$A$6:$A$35,0)),"")))))</f>
        <v/>
      </c>
      <c r="J458" s="22"/>
      <c r="K458" s="22"/>
      <c r="L458" s="33" t="str">
        <f aca="false">IF($B458="","",IF(NOT(ISNUMBER($B458)),"日期格式不对",IF($C458="","未选项目编号",IF(LEFT($M458,1)="⚠","项目编号不存在",IF($D458="","未选业务类型",IF($E458="","未选开票/付款方",IF(ISNA(MATCH($E458,单位档案!$A$6:$A$35,0)),"开票方不在单位档案",IF($F458="","未选收票/收款方",IF(ISNA(MATCH($F458,单位档案!$A$6:$A$35,0)),"收款方不在单位档案",IF(NOT(ISNUMBER($H458)),"金额须为数字",IF(AND($D458="销项开票",$N458="—"),"链条待确认","√")))))))))))</f>
        <v/>
      </c>
      <c r="M458" s="34" t="str">
        <f aca="false">IF($C458="","",IFERROR(INDEX(项目档案!$B$6:$B$255,MATCH($C458,项目档案!$A$6:$A$255,0)),"⚠项目编号不存在"))</f>
        <v/>
      </c>
      <c r="N458" s="35" t="str">
        <f aca="false">IF($E458="","",IF($E458=IFERROR(INDEX(项目档案!$D$6:$D$255,MATCH($C458,项目档案!$A$6:$A$255,0)),""),"一级",IF($E458=IFERROR(INDEX(项目档案!$F$6:$F$255,MATCH($C458,项目档案!$A$6:$A$255,0)),""),"二级",IF($E458=IFERROR(INDEX(项目档案!$H$6:$H$255,MATCH($C458,项目档案!$A$6:$A$255,0)),""),"我方","—"))))</f>
        <v/>
      </c>
      <c r="O458" s="36" t="n">
        <f aca="false">IF($D458&lt;&gt;"销项开票",0,ROUND(N($H458)*N($I458),2))</f>
        <v>0</v>
      </c>
      <c r="P458" s="36" t="n">
        <f aca="false">IF($D458&lt;&gt;"销项开票",0,ROUND(N($H458)-$O458,2))</f>
        <v>0</v>
      </c>
      <c r="Q458" s="37" t="str">
        <f aca="false">IF($E458="","",N(IFERROR(INDEX(单位档案!$E$6:$E$35,MATCH($E458,单位档案!$A$6:$A$35,0)),"")))</f>
        <v/>
      </c>
      <c r="R458" s="37" t="str">
        <f aca="false">IF($E458="","",N(IFERROR(INDEX(单位档案!$F$6:$F$35,MATCH($E458,单位档案!$A$6:$A$35,0)),"")))</f>
        <v/>
      </c>
      <c r="S458" s="36" t="n">
        <f aca="false">IF(OR($D458&lt;&gt;"销项开票",IFERROR(INDEX(单位档案!$G$6:$G$35,MATCH($E458,单位档案!$A$6:$A$35,0)),"")&lt;&gt;"是",N($Q458)=0),0,IF(IFERROR(INDEX(单位档案!$H$6:$H$35,MATCH($E458,单位档案!$A$6:$A$35,0)),"")="税差法",ROUND(N($H458)/(1+$Q458)*$Q458-IF(N($R458)=0,0,$P458/(1+$R458)*$R458),2),ROUND(N($H458)/(1+$Q458)*$Q458,2)))</f>
        <v>0</v>
      </c>
      <c r="T458" s="36" t="n">
        <f aca="false">ROUND($S458*N(IFERROR(INDEX(单位档案!$J$6:$J$35,MATCH($E458,单位档案!$A$6:$A$35,0)),"")),2)</f>
        <v>0</v>
      </c>
      <c r="U458" s="36" t="n">
        <f aca="false">IF($D458&lt;&gt;"销项开票",0,ROUND(N($H458)*N(IFERROR(INDEX(单位档案!$K$6:$K$35,MATCH($E458,单位档案!$A$6:$A$35,0)),"")),2))</f>
        <v>0</v>
      </c>
      <c r="V458" s="36" t="n">
        <f aca="false">IF(OR($D458&lt;&gt;"销项开票",N($Q458)=0),0,ROUND(N($H458)/(1+$Q458)*N(IFERROR(INDEX(单位档案!$L$6:$L$35,MATCH($E458,单位档案!$A$6:$A$35,0)),"")),2))</f>
        <v>0</v>
      </c>
      <c r="W458" s="36" t="n">
        <f aca="false">ROUND($S458+$T458+$U458+$V458,2)</f>
        <v>0</v>
      </c>
      <c r="X458" s="35" t="str">
        <f aca="false">IF(OR($D458="挂靠代收",$D458="我方收款"),COUNTIFS($D$5:$D458,"挂靠代收")+COUNTIFS($D$5:$D458,"我方收款"),"")</f>
        <v/>
      </c>
      <c r="Y458" s="35"/>
      <c r="Z458" s="21" t="s">
        <v>111</v>
      </c>
    </row>
    <row r="459" customFormat="false" ht="15.75" hidden="false" customHeight="true" outlineLevel="0" collapsed="false">
      <c r="A459" s="32" t="str">
        <f aca="false">IF($B459="","",ROW()-4)</f>
        <v/>
      </c>
      <c r="B459" s="26"/>
      <c r="C459" s="24"/>
      <c r="D459" s="21"/>
      <c r="E459" s="21"/>
      <c r="F459" s="21"/>
      <c r="G459" s="21"/>
      <c r="H459" s="27"/>
      <c r="I459" s="23" t="str">
        <f aca="false">IF($D459&lt;&gt;"销项开票","",IF($N459="一级",IF(IFERROR(INDEX(项目档案!$E$6:$E$255,MATCH($C459,项目档案!$A$6:$A$255,0)),"")="",N(IFERROR(INDEX(单位档案!$D$6:$D$35,MATCH($E459,单位档案!$A$6:$A$35,0)),"")),IFERROR(INDEX(项目档案!$E$6:$E$255,MATCH($C459,项目档案!$A$6:$A$255,0)),"")),IF($N459="二级",IF(IFERROR(INDEX(项目档案!$G$6:$G$255,MATCH($C459,项目档案!$A$6:$A$255,0)),"")="",N(IFERROR(INDEX(单位档案!$D$6:$D$35,MATCH($E459,单位档案!$A$6:$A$35,0)),"")),IFERROR(INDEX(项目档案!$G$6:$G$255,MATCH($C459,项目档案!$A$6:$A$255,0)),"")),N(IFERROR(INDEX(单位档案!$D$6:$D$35,MATCH($E459,单位档案!$A$6:$A$35,0)),"")))))</f>
        <v/>
      </c>
      <c r="J459" s="22"/>
      <c r="K459" s="22"/>
      <c r="L459" s="33" t="str">
        <f aca="false">IF($B459="","",IF(NOT(ISNUMBER($B459)),"日期格式不对",IF($C459="","未选项目编号",IF(LEFT($M459,1)="⚠","项目编号不存在",IF($D459="","未选业务类型",IF($E459="","未选开票/付款方",IF(ISNA(MATCH($E459,单位档案!$A$6:$A$35,0)),"开票方不在单位档案",IF($F459="","未选收票/收款方",IF(ISNA(MATCH($F459,单位档案!$A$6:$A$35,0)),"收款方不在单位档案",IF(NOT(ISNUMBER($H459)),"金额须为数字",IF(AND($D459="销项开票",$N459="—"),"链条待确认","√")))))))))))</f>
        <v/>
      </c>
      <c r="M459" s="34" t="str">
        <f aca="false">IF($C459="","",IFERROR(INDEX(项目档案!$B$6:$B$255,MATCH($C459,项目档案!$A$6:$A$255,0)),"⚠项目编号不存在"))</f>
        <v/>
      </c>
      <c r="N459" s="35" t="str">
        <f aca="false">IF($E459="","",IF($E459=IFERROR(INDEX(项目档案!$D$6:$D$255,MATCH($C459,项目档案!$A$6:$A$255,0)),""),"一级",IF($E459=IFERROR(INDEX(项目档案!$F$6:$F$255,MATCH($C459,项目档案!$A$6:$A$255,0)),""),"二级",IF($E459=IFERROR(INDEX(项目档案!$H$6:$H$255,MATCH($C459,项目档案!$A$6:$A$255,0)),""),"我方","—"))))</f>
        <v/>
      </c>
      <c r="O459" s="36" t="n">
        <f aca="false">IF($D459&lt;&gt;"销项开票",0,ROUND(N($H459)*N($I459),2))</f>
        <v>0</v>
      </c>
      <c r="P459" s="36" t="n">
        <f aca="false">IF($D459&lt;&gt;"销项开票",0,ROUND(N($H459)-$O459,2))</f>
        <v>0</v>
      </c>
      <c r="Q459" s="37" t="str">
        <f aca="false">IF($E459="","",N(IFERROR(INDEX(单位档案!$E$6:$E$35,MATCH($E459,单位档案!$A$6:$A$35,0)),"")))</f>
        <v/>
      </c>
      <c r="R459" s="37" t="str">
        <f aca="false">IF($E459="","",N(IFERROR(INDEX(单位档案!$F$6:$F$35,MATCH($E459,单位档案!$A$6:$A$35,0)),"")))</f>
        <v/>
      </c>
      <c r="S459" s="36" t="n">
        <f aca="false">IF(OR($D459&lt;&gt;"销项开票",IFERROR(INDEX(单位档案!$G$6:$G$35,MATCH($E459,单位档案!$A$6:$A$35,0)),"")&lt;&gt;"是",N($Q459)=0),0,IF(IFERROR(INDEX(单位档案!$H$6:$H$35,MATCH($E459,单位档案!$A$6:$A$35,0)),"")="税差法",ROUND(N($H459)/(1+$Q459)*$Q459-IF(N($R459)=0,0,$P459/(1+$R459)*$R459),2),ROUND(N($H459)/(1+$Q459)*$Q459,2)))</f>
        <v>0</v>
      </c>
      <c r="T459" s="36" t="n">
        <f aca="false">ROUND($S459*N(IFERROR(INDEX(单位档案!$J$6:$J$35,MATCH($E459,单位档案!$A$6:$A$35,0)),"")),2)</f>
        <v>0</v>
      </c>
      <c r="U459" s="36" t="n">
        <f aca="false">IF($D459&lt;&gt;"销项开票",0,ROUND(N($H459)*N(IFERROR(INDEX(单位档案!$K$6:$K$35,MATCH($E459,单位档案!$A$6:$A$35,0)),"")),2))</f>
        <v>0</v>
      </c>
      <c r="V459" s="36" t="n">
        <f aca="false">IF(OR($D459&lt;&gt;"销项开票",N($Q459)=0),0,ROUND(N($H459)/(1+$Q459)*N(IFERROR(INDEX(单位档案!$L$6:$L$35,MATCH($E459,单位档案!$A$6:$A$35,0)),"")),2))</f>
        <v>0</v>
      </c>
      <c r="W459" s="36" t="n">
        <f aca="false">ROUND($S459+$T459+$U459+$V459,2)</f>
        <v>0</v>
      </c>
      <c r="X459" s="35" t="str">
        <f aca="false">IF(OR($D459="挂靠代收",$D459="我方收款"),COUNTIFS($D$5:$D459,"挂靠代收")+COUNTIFS($D$5:$D459,"我方收款"),"")</f>
        <v/>
      </c>
      <c r="Y459" s="35"/>
      <c r="Z459" s="21" t="s">
        <v>111</v>
      </c>
    </row>
    <row r="460" customFormat="false" ht="15.75" hidden="false" customHeight="true" outlineLevel="0" collapsed="false">
      <c r="A460" s="32" t="str">
        <f aca="false">IF($B460="","",ROW()-4)</f>
        <v/>
      </c>
      <c r="B460" s="26"/>
      <c r="C460" s="24"/>
      <c r="D460" s="21"/>
      <c r="E460" s="21"/>
      <c r="F460" s="21"/>
      <c r="G460" s="21"/>
      <c r="H460" s="27"/>
      <c r="I460" s="23" t="str">
        <f aca="false">IF($D460&lt;&gt;"销项开票","",IF($N460="一级",IF(IFERROR(INDEX(项目档案!$E$6:$E$255,MATCH($C460,项目档案!$A$6:$A$255,0)),"")="",N(IFERROR(INDEX(单位档案!$D$6:$D$35,MATCH($E460,单位档案!$A$6:$A$35,0)),"")),IFERROR(INDEX(项目档案!$E$6:$E$255,MATCH($C460,项目档案!$A$6:$A$255,0)),"")),IF($N460="二级",IF(IFERROR(INDEX(项目档案!$G$6:$G$255,MATCH($C460,项目档案!$A$6:$A$255,0)),"")="",N(IFERROR(INDEX(单位档案!$D$6:$D$35,MATCH($E460,单位档案!$A$6:$A$35,0)),"")),IFERROR(INDEX(项目档案!$G$6:$G$255,MATCH($C460,项目档案!$A$6:$A$255,0)),"")),N(IFERROR(INDEX(单位档案!$D$6:$D$35,MATCH($E460,单位档案!$A$6:$A$35,0)),"")))))</f>
        <v/>
      </c>
      <c r="J460" s="22"/>
      <c r="K460" s="22"/>
      <c r="L460" s="33" t="str">
        <f aca="false">IF($B460="","",IF(NOT(ISNUMBER($B460)),"日期格式不对",IF($C460="","未选项目编号",IF(LEFT($M460,1)="⚠","项目编号不存在",IF($D460="","未选业务类型",IF($E460="","未选开票/付款方",IF(ISNA(MATCH($E460,单位档案!$A$6:$A$35,0)),"开票方不在单位档案",IF($F460="","未选收票/收款方",IF(ISNA(MATCH($F460,单位档案!$A$6:$A$35,0)),"收款方不在单位档案",IF(NOT(ISNUMBER($H460)),"金额须为数字",IF(AND($D460="销项开票",$N460="—"),"链条待确认","√")))))))))))</f>
        <v/>
      </c>
      <c r="M460" s="34" t="str">
        <f aca="false">IF($C460="","",IFERROR(INDEX(项目档案!$B$6:$B$255,MATCH($C460,项目档案!$A$6:$A$255,0)),"⚠项目编号不存在"))</f>
        <v/>
      </c>
      <c r="N460" s="35" t="str">
        <f aca="false">IF($E460="","",IF($E460=IFERROR(INDEX(项目档案!$D$6:$D$255,MATCH($C460,项目档案!$A$6:$A$255,0)),""),"一级",IF($E460=IFERROR(INDEX(项目档案!$F$6:$F$255,MATCH($C460,项目档案!$A$6:$A$255,0)),""),"二级",IF($E460=IFERROR(INDEX(项目档案!$H$6:$H$255,MATCH($C460,项目档案!$A$6:$A$255,0)),""),"我方","—"))))</f>
        <v/>
      </c>
      <c r="O460" s="36" t="n">
        <f aca="false">IF($D460&lt;&gt;"销项开票",0,ROUND(N($H460)*N($I460),2))</f>
        <v>0</v>
      </c>
      <c r="P460" s="36" t="n">
        <f aca="false">IF($D460&lt;&gt;"销项开票",0,ROUND(N($H460)-$O460,2))</f>
        <v>0</v>
      </c>
      <c r="Q460" s="37" t="str">
        <f aca="false">IF($E460="","",N(IFERROR(INDEX(单位档案!$E$6:$E$35,MATCH($E460,单位档案!$A$6:$A$35,0)),"")))</f>
        <v/>
      </c>
      <c r="R460" s="37" t="str">
        <f aca="false">IF($E460="","",N(IFERROR(INDEX(单位档案!$F$6:$F$35,MATCH($E460,单位档案!$A$6:$A$35,0)),"")))</f>
        <v/>
      </c>
      <c r="S460" s="36" t="n">
        <f aca="false">IF(OR($D460&lt;&gt;"销项开票",IFERROR(INDEX(单位档案!$G$6:$G$35,MATCH($E460,单位档案!$A$6:$A$35,0)),"")&lt;&gt;"是",N($Q460)=0),0,IF(IFERROR(INDEX(单位档案!$H$6:$H$35,MATCH($E460,单位档案!$A$6:$A$35,0)),"")="税差法",ROUND(N($H460)/(1+$Q460)*$Q460-IF(N($R460)=0,0,$P460/(1+$R460)*$R460),2),ROUND(N($H460)/(1+$Q460)*$Q460,2)))</f>
        <v>0</v>
      </c>
      <c r="T460" s="36" t="n">
        <f aca="false">ROUND($S460*N(IFERROR(INDEX(单位档案!$J$6:$J$35,MATCH($E460,单位档案!$A$6:$A$35,0)),"")),2)</f>
        <v>0</v>
      </c>
      <c r="U460" s="36" t="n">
        <f aca="false">IF($D460&lt;&gt;"销项开票",0,ROUND(N($H460)*N(IFERROR(INDEX(单位档案!$K$6:$K$35,MATCH($E460,单位档案!$A$6:$A$35,0)),"")),2))</f>
        <v>0</v>
      </c>
      <c r="V460" s="36" t="n">
        <f aca="false">IF(OR($D460&lt;&gt;"销项开票",N($Q460)=0),0,ROUND(N($H460)/(1+$Q460)*N(IFERROR(INDEX(单位档案!$L$6:$L$35,MATCH($E460,单位档案!$A$6:$A$35,0)),"")),2))</f>
        <v>0</v>
      </c>
      <c r="W460" s="36" t="n">
        <f aca="false">ROUND($S460+$T460+$U460+$V460,2)</f>
        <v>0</v>
      </c>
      <c r="X460" s="35" t="str">
        <f aca="false">IF(OR($D460="挂靠代收",$D460="我方收款"),COUNTIFS($D$5:$D460,"挂靠代收")+COUNTIFS($D$5:$D460,"我方收款"),"")</f>
        <v/>
      </c>
      <c r="Y460" s="35"/>
      <c r="Z460" s="21" t="s">
        <v>111</v>
      </c>
    </row>
    <row r="461" customFormat="false" ht="15.75" hidden="false" customHeight="true" outlineLevel="0" collapsed="false">
      <c r="A461" s="32" t="str">
        <f aca="false">IF($B461="","",ROW()-4)</f>
        <v/>
      </c>
      <c r="B461" s="26"/>
      <c r="C461" s="24"/>
      <c r="D461" s="21"/>
      <c r="E461" s="21"/>
      <c r="F461" s="21"/>
      <c r="G461" s="21"/>
      <c r="H461" s="27"/>
      <c r="I461" s="23" t="str">
        <f aca="false">IF($D461&lt;&gt;"销项开票","",IF($N461="一级",IF(IFERROR(INDEX(项目档案!$E$6:$E$255,MATCH($C461,项目档案!$A$6:$A$255,0)),"")="",N(IFERROR(INDEX(单位档案!$D$6:$D$35,MATCH($E461,单位档案!$A$6:$A$35,0)),"")),IFERROR(INDEX(项目档案!$E$6:$E$255,MATCH($C461,项目档案!$A$6:$A$255,0)),"")),IF($N461="二级",IF(IFERROR(INDEX(项目档案!$G$6:$G$255,MATCH($C461,项目档案!$A$6:$A$255,0)),"")="",N(IFERROR(INDEX(单位档案!$D$6:$D$35,MATCH($E461,单位档案!$A$6:$A$35,0)),"")),IFERROR(INDEX(项目档案!$G$6:$G$255,MATCH($C461,项目档案!$A$6:$A$255,0)),"")),N(IFERROR(INDEX(单位档案!$D$6:$D$35,MATCH($E461,单位档案!$A$6:$A$35,0)),"")))))</f>
        <v/>
      </c>
      <c r="J461" s="22"/>
      <c r="K461" s="22"/>
      <c r="L461" s="33" t="str">
        <f aca="false">IF($B461="","",IF(NOT(ISNUMBER($B461)),"日期格式不对",IF($C461="","未选项目编号",IF(LEFT($M461,1)="⚠","项目编号不存在",IF($D461="","未选业务类型",IF($E461="","未选开票/付款方",IF(ISNA(MATCH($E461,单位档案!$A$6:$A$35,0)),"开票方不在单位档案",IF($F461="","未选收票/收款方",IF(ISNA(MATCH($F461,单位档案!$A$6:$A$35,0)),"收款方不在单位档案",IF(NOT(ISNUMBER($H461)),"金额须为数字",IF(AND($D461="销项开票",$N461="—"),"链条待确认","√")))))))))))</f>
        <v/>
      </c>
      <c r="M461" s="34" t="str">
        <f aca="false">IF($C461="","",IFERROR(INDEX(项目档案!$B$6:$B$255,MATCH($C461,项目档案!$A$6:$A$255,0)),"⚠项目编号不存在"))</f>
        <v/>
      </c>
      <c r="N461" s="35" t="str">
        <f aca="false">IF($E461="","",IF($E461=IFERROR(INDEX(项目档案!$D$6:$D$255,MATCH($C461,项目档案!$A$6:$A$255,0)),""),"一级",IF($E461=IFERROR(INDEX(项目档案!$F$6:$F$255,MATCH($C461,项目档案!$A$6:$A$255,0)),""),"二级",IF($E461=IFERROR(INDEX(项目档案!$H$6:$H$255,MATCH($C461,项目档案!$A$6:$A$255,0)),""),"我方","—"))))</f>
        <v/>
      </c>
      <c r="O461" s="36" t="n">
        <f aca="false">IF($D461&lt;&gt;"销项开票",0,ROUND(N($H461)*N($I461),2))</f>
        <v>0</v>
      </c>
      <c r="P461" s="36" t="n">
        <f aca="false">IF($D461&lt;&gt;"销项开票",0,ROUND(N($H461)-$O461,2))</f>
        <v>0</v>
      </c>
      <c r="Q461" s="37" t="str">
        <f aca="false">IF($E461="","",N(IFERROR(INDEX(单位档案!$E$6:$E$35,MATCH($E461,单位档案!$A$6:$A$35,0)),"")))</f>
        <v/>
      </c>
      <c r="R461" s="37" t="str">
        <f aca="false">IF($E461="","",N(IFERROR(INDEX(单位档案!$F$6:$F$35,MATCH($E461,单位档案!$A$6:$A$35,0)),"")))</f>
        <v/>
      </c>
      <c r="S461" s="36" t="n">
        <f aca="false">IF(OR($D461&lt;&gt;"销项开票",IFERROR(INDEX(单位档案!$G$6:$G$35,MATCH($E461,单位档案!$A$6:$A$35,0)),"")&lt;&gt;"是",N($Q461)=0),0,IF(IFERROR(INDEX(单位档案!$H$6:$H$35,MATCH($E461,单位档案!$A$6:$A$35,0)),"")="税差法",ROUND(N($H461)/(1+$Q461)*$Q461-IF(N($R461)=0,0,$P461/(1+$R461)*$R461),2),ROUND(N($H461)/(1+$Q461)*$Q461,2)))</f>
        <v>0</v>
      </c>
      <c r="T461" s="36" t="n">
        <f aca="false">ROUND($S461*N(IFERROR(INDEX(单位档案!$J$6:$J$35,MATCH($E461,单位档案!$A$6:$A$35,0)),"")),2)</f>
        <v>0</v>
      </c>
      <c r="U461" s="36" t="n">
        <f aca="false">IF($D461&lt;&gt;"销项开票",0,ROUND(N($H461)*N(IFERROR(INDEX(单位档案!$K$6:$K$35,MATCH($E461,单位档案!$A$6:$A$35,0)),"")),2))</f>
        <v>0</v>
      </c>
      <c r="V461" s="36" t="n">
        <f aca="false">IF(OR($D461&lt;&gt;"销项开票",N($Q461)=0),0,ROUND(N($H461)/(1+$Q461)*N(IFERROR(INDEX(单位档案!$L$6:$L$35,MATCH($E461,单位档案!$A$6:$A$35,0)),"")),2))</f>
        <v>0</v>
      </c>
      <c r="W461" s="36" t="n">
        <f aca="false">ROUND($S461+$T461+$U461+$V461,2)</f>
        <v>0</v>
      </c>
      <c r="X461" s="35" t="str">
        <f aca="false">IF(OR($D461="挂靠代收",$D461="我方收款"),COUNTIFS($D$5:$D461,"挂靠代收")+COUNTIFS($D$5:$D461,"我方收款"),"")</f>
        <v/>
      </c>
      <c r="Y461" s="35"/>
      <c r="Z461" s="21" t="s">
        <v>111</v>
      </c>
    </row>
    <row r="462" customFormat="false" ht="15.75" hidden="false" customHeight="true" outlineLevel="0" collapsed="false">
      <c r="A462" s="32" t="str">
        <f aca="false">IF($B462="","",ROW()-4)</f>
        <v/>
      </c>
      <c r="B462" s="26"/>
      <c r="C462" s="24"/>
      <c r="D462" s="21"/>
      <c r="E462" s="21"/>
      <c r="F462" s="21"/>
      <c r="G462" s="21"/>
      <c r="H462" s="27"/>
      <c r="I462" s="23" t="str">
        <f aca="false">IF($D462&lt;&gt;"销项开票","",IF($N462="一级",IF(IFERROR(INDEX(项目档案!$E$6:$E$255,MATCH($C462,项目档案!$A$6:$A$255,0)),"")="",N(IFERROR(INDEX(单位档案!$D$6:$D$35,MATCH($E462,单位档案!$A$6:$A$35,0)),"")),IFERROR(INDEX(项目档案!$E$6:$E$255,MATCH($C462,项目档案!$A$6:$A$255,0)),"")),IF($N462="二级",IF(IFERROR(INDEX(项目档案!$G$6:$G$255,MATCH($C462,项目档案!$A$6:$A$255,0)),"")="",N(IFERROR(INDEX(单位档案!$D$6:$D$35,MATCH($E462,单位档案!$A$6:$A$35,0)),"")),IFERROR(INDEX(项目档案!$G$6:$G$255,MATCH($C462,项目档案!$A$6:$A$255,0)),"")),N(IFERROR(INDEX(单位档案!$D$6:$D$35,MATCH($E462,单位档案!$A$6:$A$35,0)),"")))))</f>
        <v/>
      </c>
      <c r="J462" s="22"/>
      <c r="K462" s="22"/>
      <c r="L462" s="33" t="str">
        <f aca="false">IF($B462="","",IF(NOT(ISNUMBER($B462)),"日期格式不对",IF($C462="","未选项目编号",IF(LEFT($M462,1)="⚠","项目编号不存在",IF($D462="","未选业务类型",IF($E462="","未选开票/付款方",IF(ISNA(MATCH($E462,单位档案!$A$6:$A$35,0)),"开票方不在单位档案",IF($F462="","未选收票/收款方",IF(ISNA(MATCH($F462,单位档案!$A$6:$A$35,0)),"收款方不在单位档案",IF(NOT(ISNUMBER($H462)),"金额须为数字",IF(AND($D462="销项开票",$N462="—"),"链条待确认","√")))))))))))</f>
        <v/>
      </c>
      <c r="M462" s="34" t="str">
        <f aca="false">IF($C462="","",IFERROR(INDEX(项目档案!$B$6:$B$255,MATCH($C462,项目档案!$A$6:$A$255,0)),"⚠项目编号不存在"))</f>
        <v/>
      </c>
      <c r="N462" s="35" t="str">
        <f aca="false">IF($E462="","",IF($E462=IFERROR(INDEX(项目档案!$D$6:$D$255,MATCH($C462,项目档案!$A$6:$A$255,0)),""),"一级",IF($E462=IFERROR(INDEX(项目档案!$F$6:$F$255,MATCH($C462,项目档案!$A$6:$A$255,0)),""),"二级",IF($E462=IFERROR(INDEX(项目档案!$H$6:$H$255,MATCH($C462,项目档案!$A$6:$A$255,0)),""),"我方","—"))))</f>
        <v/>
      </c>
      <c r="O462" s="36" t="n">
        <f aca="false">IF($D462&lt;&gt;"销项开票",0,ROUND(N($H462)*N($I462),2))</f>
        <v>0</v>
      </c>
      <c r="P462" s="36" t="n">
        <f aca="false">IF($D462&lt;&gt;"销项开票",0,ROUND(N($H462)-$O462,2))</f>
        <v>0</v>
      </c>
      <c r="Q462" s="37" t="str">
        <f aca="false">IF($E462="","",N(IFERROR(INDEX(单位档案!$E$6:$E$35,MATCH($E462,单位档案!$A$6:$A$35,0)),"")))</f>
        <v/>
      </c>
      <c r="R462" s="37" t="str">
        <f aca="false">IF($E462="","",N(IFERROR(INDEX(单位档案!$F$6:$F$35,MATCH($E462,单位档案!$A$6:$A$35,0)),"")))</f>
        <v/>
      </c>
      <c r="S462" s="36" t="n">
        <f aca="false">IF(OR($D462&lt;&gt;"销项开票",IFERROR(INDEX(单位档案!$G$6:$G$35,MATCH($E462,单位档案!$A$6:$A$35,0)),"")&lt;&gt;"是",N($Q462)=0),0,IF(IFERROR(INDEX(单位档案!$H$6:$H$35,MATCH($E462,单位档案!$A$6:$A$35,0)),"")="税差法",ROUND(N($H462)/(1+$Q462)*$Q462-IF(N($R462)=0,0,$P462/(1+$R462)*$R462),2),ROUND(N($H462)/(1+$Q462)*$Q462,2)))</f>
        <v>0</v>
      </c>
      <c r="T462" s="36" t="n">
        <f aca="false">ROUND($S462*N(IFERROR(INDEX(单位档案!$J$6:$J$35,MATCH($E462,单位档案!$A$6:$A$35,0)),"")),2)</f>
        <v>0</v>
      </c>
      <c r="U462" s="36" t="n">
        <f aca="false">IF($D462&lt;&gt;"销项开票",0,ROUND(N($H462)*N(IFERROR(INDEX(单位档案!$K$6:$K$35,MATCH($E462,单位档案!$A$6:$A$35,0)),"")),2))</f>
        <v>0</v>
      </c>
      <c r="V462" s="36" t="n">
        <f aca="false">IF(OR($D462&lt;&gt;"销项开票",N($Q462)=0),0,ROUND(N($H462)/(1+$Q462)*N(IFERROR(INDEX(单位档案!$L$6:$L$35,MATCH($E462,单位档案!$A$6:$A$35,0)),"")),2))</f>
        <v>0</v>
      </c>
      <c r="W462" s="36" t="n">
        <f aca="false">ROUND($S462+$T462+$U462+$V462,2)</f>
        <v>0</v>
      </c>
      <c r="X462" s="35" t="str">
        <f aca="false">IF(OR($D462="挂靠代收",$D462="我方收款"),COUNTIFS($D$5:$D462,"挂靠代收")+COUNTIFS($D$5:$D462,"我方收款"),"")</f>
        <v/>
      </c>
      <c r="Y462" s="35"/>
      <c r="Z462" s="21" t="s">
        <v>111</v>
      </c>
    </row>
    <row r="463" customFormat="false" ht="15.75" hidden="false" customHeight="true" outlineLevel="0" collapsed="false">
      <c r="A463" s="32" t="str">
        <f aca="false">IF($B463="","",ROW()-4)</f>
        <v/>
      </c>
      <c r="B463" s="26"/>
      <c r="C463" s="24"/>
      <c r="D463" s="21"/>
      <c r="E463" s="21"/>
      <c r="F463" s="21"/>
      <c r="G463" s="21"/>
      <c r="H463" s="27"/>
      <c r="I463" s="23" t="str">
        <f aca="false">IF($D463&lt;&gt;"销项开票","",IF($N463="一级",IF(IFERROR(INDEX(项目档案!$E$6:$E$255,MATCH($C463,项目档案!$A$6:$A$255,0)),"")="",N(IFERROR(INDEX(单位档案!$D$6:$D$35,MATCH($E463,单位档案!$A$6:$A$35,0)),"")),IFERROR(INDEX(项目档案!$E$6:$E$255,MATCH($C463,项目档案!$A$6:$A$255,0)),"")),IF($N463="二级",IF(IFERROR(INDEX(项目档案!$G$6:$G$255,MATCH($C463,项目档案!$A$6:$A$255,0)),"")="",N(IFERROR(INDEX(单位档案!$D$6:$D$35,MATCH($E463,单位档案!$A$6:$A$35,0)),"")),IFERROR(INDEX(项目档案!$G$6:$G$255,MATCH($C463,项目档案!$A$6:$A$255,0)),"")),N(IFERROR(INDEX(单位档案!$D$6:$D$35,MATCH($E463,单位档案!$A$6:$A$35,0)),"")))))</f>
        <v/>
      </c>
      <c r="J463" s="22"/>
      <c r="K463" s="22"/>
      <c r="L463" s="33" t="str">
        <f aca="false">IF($B463="","",IF(NOT(ISNUMBER($B463)),"日期格式不对",IF($C463="","未选项目编号",IF(LEFT($M463,1)="⚠","项目编号不存在",IF($D463="","未选业务类型",IF($E463="","未选开票/付款方",IF(ISNA(MATCH($E463,单位档案!$A$6:$A$35,0)),"开票方不在单位档案",IF($F463="","未选收票/收款方",IF(ISNA(MATCH($F463,单位档案!$A$6:$A$35,0)),"收款方不在单位档案",IF(NOT(ISNUMBER($H463)),"金额须为数字",IF(AND($D463="销项开票",$N463="—"),"链条待确认","√")))))))))))</f>
        <v/>
      </c>
      <c r="M463" s="34" t="str">
        <f aca="false">IF($C463="","",IFERROR(INDEX(项目档案!$B$6:$B$255,MATCH($C463,项目档案!$A$6:$A$255,0)),"⚠项目编号不存在"))</f>
        <v/>
      </c>
      <c r="N463" s="35" t="str">
        <f aca="false">IF($E463="","",IF($E463=IFERROR(INDEX(项目档案!$D$6:$D$255,MATCH($C463,项目档案!$A$6:$A$255,0)),""),"一级",IF($E463=IFERROR(INDEX(项目档案!$F$6:$F$255,MATCH($C463,项目档案!$A$6:$A$255,0)),""),"二级",IF($E463=IFERROR(INDEX(项目档案!$H$6:$H$255,MATCH($C463,项目档案!$A$6:$A$255,0)),""),"我方","—"))))</f>
        <v/>
      </c>
      <c r="O463" s="36" t="n">
        <f aca="false">IF($D463&lt;&gt;"销项开票",0,ROUND(N($H463)*N($I463),2))</f>
        <v>0</v>
      </c>
      <c r="P463" s="36" t="n">
        <f aca="false">IF($D463&lt;&gt;"销项开票",0,ROUND(N($H463)-$O463,2))</f>
        <v>0</v>
      </c>
      <c r="Q463" s="37" t="str">
        <f aca="false">IF($E463="","",N(IFERROR(INDEX(单位档案!$E$6:$E$35,MATCH($E463,单位档案!$A$6:$A$35,0)),"")))</f>
        <v/>
      </c>
      <c r="R463" s="37" t="str">
        <f aca="false">IF($E463="","",N(IFERROR(INDEX(单位档案!$F$6:$F$35,MATCH($E463,单位档案!$A$6:$A$35,0)),"")))</f>
        <v/>
      </c>
      <c r="S463" s="36" t="n">
        <f aca="false">IF(OR($D463&lt;&gt;"销项开票",IFERROR(INDEX(单位档案!$G$6:$G$35,MATCH($E463,单位档案!$A$6:$A$35,0)),"")&lt;&gt;"是",N($Q463)=0),0,IF(IFERROR(INDEX(单位档案!$H$6:$H$35,MATCH($E463,单位档案!$A$6:$A$35,0)),"")="税差法",ROUND(N($H463)/(1+$Q463)*$Q463-IF(N($R463)=0,0,$P463/(1+$R463)*$R463),2),ROUND(N($H463)/(1+$Q463)*$Q463,2)))</f>
        <v>0</v>
      </c>
      <c r="T463" s="36" t="n">
        <f aca="false">ROUND($S463*N(IFERROR(INDEX(单位档案!$J$6:$J$35,MATCH($E463,单位档案!$A$6:$A$35,0)),"")),2)</f>
        <v>0</v>
      </c>
      <c r="U463" s="36" t="n">
        <f aca="false">IF($D463&lt;&gt;"销项开票",0,ROUND(N($H463)*N(IFERROR(INDEX(单位档案!$K$6:$K$35,MATCH($E463,单位档案!$A$6:$A$35,0)),"")),2))</f>
        <v>0</v>
      </c>
      <c r="V463" s="36" t="n">
        <f aca="false">IF(OR($D463&lt;&gt;"销项开票",N($Q463)=0),0,ROUND(N($H463)/(1+$Q463)*N(IFERROR(INDEX(单位档案!$L$6:$L$35,MATCH($E463,单位档案!$A$6:$A$35,0)),"")),2))</f>
        <v>0</v>
      </c>
      <c r="W463" s="36" t="n">
        <f aca="false">ROUND($S463+$T463+$U463+$V463,2)</f>
        <v>0</v>
      </c>
      <c r="X463" s="35" t="str">
        <f aca="false">IF(OR($D463="挂靠代收",$D463="我方收款"),COUNTIFS($D$5:$D463,"挂靠代收")+COUNTIFS($D$5:$D463,"我方收款"),"")</f>
        <v/>
      </c>
      <c r="Y463" s="35"/>
      <c r="Z463" s="21" t="s">
        <v>111</v>
      </c>
    </row>
    <row r="464" customFormat="false" ht="15.75" hidden="false" customHeight="true" outlineLevel="0" collapsed="false">
      <c r="A464" s="32" t="str">
        <f aca="false">IF($B464="","",ROW()-4)</f>
        <v/>
      </c>
      <c r="B464" s="26"/>
      <c r="C464" s="24"/>
      <c r="D464" s="21"/>
      <c r="E464" s="21"/>
      <c r="F464" s="21"/>
      <c r="G464" s="21"/>
      <c r="H464" s="27"/>
      <c r="I464" s="23" t="str">
        <f aca="false">IF($D464&lt;&gt;"销项开票","",IF($N464="一级",IF(IFERROR(INDEX(项目档案!$E$6:$E$255,MATCH($C464,项目档案!$A$6:$A$255,0)),"")="",N(IFERROR(INDEX(单位档案!$D$6:$D$35,MATCH($E464,单位档案!$A$6:$A$35,0)),"")),IFERROR(INDEX(项目档案!$E$6:$E$255,MATCH($C464,项目档案!$A$6:$A$255,0)),"")),IF($N464="二级",IF(IFERROR(INDEX(项目档案!$G$6:$G$255,MATCH($C464,项目档案!$A$6:$A$255,0)),"")="",N(IFERROR(INDEX(单位档案!$D$6:$D$35,MATCH($E464,单位档案!$A$6:$A$35,0)),"")),IFERROR(INDEX(项目档案!$G$6:$G$255,MATCH($C464,项目档案!$A$6:$A$255,0)),"")),N(IFERROR(INDEX(单位档案!$D$6:$D$35,MATCH($E464,单位档案!$A$6:$A$35,0)),"")))))</f>
        <v/>
      </c>
      <c r="J464" s="22"/>
      <c r="K464" s="22"/>
      <c r="L464" s="33" t="str">
        <f aca="false">IF($B464="","",IF(NOT(ISNUMBER($B464)),"日期格式不对",IF($C464="","未选项目编号",IF(LEFT($M464,1)="⚠","项目编号不存在",IF($D464="","未选业务类型",IF($E464="","未选开票/付款方",IF(ISNA(MATCH($E464,单位档案!$A$6:$A$35,0)),"开票方不在单位档案",IF($F464="","未选收票/收款方",IF(ISNA(MATCH($F464,单位档案!$A$6:$A$35,0)),"收款方不在单位档案",IF(NOT(ISNUMBER($H464)),"金额须为数字",IF(AND($D464="销项开票",$N464="—"),"链条待确认","√")))))))))))</f>
        <v/>
      </c>
      <c r="M464" s="34" t="str">
        <f aca="false">IF($C464="","",IFERROR(INDEX(项目档案!$B$6:$B$255,MATCH($C464,项目档案!$A$6:$A$255,0)),"⚠项目编号不存在"))</f>
        <v/>
      </c>
      <c r="N464" s="35" t="str">
        <f aca="false">IF($E464="","",IF($E464=IFERROR(INDEX(项目档案!$D$6:$D$255,MATCH($C464,项目档案!$A$6:$A$255,0)),""),"一级",IF($E464=IFERROR(INDEX(项目档案!$F$6:$F$255,MATCH($C464,项目档案!$A$6:$A$255,0)),""),"二级",IF($E464=IFERROR(INDEX(项目档案!$H$6:$H$255,MATCH($C464,项目档案!$A$6:$A$255,0)),""),"我方","—"))))</f>
        <v/>
      </c>
      <c r="O464" s="36" t="n">
        <f aca="false">IF($D464&lt;&gt;"销项开票",0,ROUND(N($H464)*N($I464),2))</f>
        <v>0</v>
      </c>
      <c r="P464" s="36" t="n">
        <f aca="false">IF($D464&lt;&gt;"销项开票",0,ROUND(N($H464)-$O464,2))</f>
        <v>0</v>
      </c>
      <c r="Q464" s="37" t="str">
        <f aca="false">IF($E464="","",N(IFERROR(INDEX(单位档案!$E$6:$E$35,MATCH($E464,单位档案!$A$6:$A$35,0)),"")))</f>
        <v/>
      </c>
      <c r="R464" s="37" t="str">
        <f aca="false">IF($E464="","",N(IFERROR(INDEX(单位档案!$F$6:$F$35,MATCH($E464,单位档案!$A$6:$A$35,0)),"")))</f>
        <v/>
      </c>
      <c r="S464" s="36" t="n">
        <f aca="false">IF(OR($D464&lt;&gt;"销项开票",IFERROR(INDEX(单位档案!$G$6:$G$35,MATCH($E464,单位档案!$A$6:$A$35,0)),"")&lt;&gt;"是",N($Q464)=0),0,IF(IFERROR(INDEX(单位档案!$H$6:$H$35,MATCH($E464,单位档案!$A$6:$A$35,0)),"")="税差法",ROUND(N($H464)/(1+$Q464)*$Q464-IF(N($R464)=0,0,$P464/(1+$R464)*$R464),2),ROUND(N($H464)/(1+$Q464)*$Q464,2)))</f>
        <v>0</v>
      </c>
      <c r="T464" s="36" t="n">
        <f aca="false">ROUND($S464*N(IFERROR(INDEX(单位档案!$J$6:$J$35,MATCH($E464,单位档案!$A$6:$A$35,0)),"")),2)</f>
        <v>0</v>
      </c>
      <c r="U464" s="36" t="n">
        <f aca="false">IF($D464&lt;&gt;"销项开票",0,ROUND(N($H464)*N(IFERROR(INDEX(单位档案!$K$6:$K$35,MATCH($E464,单位档案!$A$6:$A$35,0)),"")),2))</f>
        <v>0</v>
      </c>
      <c r="V464" s="36" t="n">
        <f aca="false">IF(OR($D464&lt;&gt;"销项开票",N($Q464)=0),0,ROUND(N($H464)/(1+$Q464)*N(IFERROR(INDEX(单位档案!$L$6:$L$35,MATCH($E464,单位档案!$A$6:$A$35,0)),"")),2))</f>
        <v>0</v>
      </c>
      <c r="W464" s="36" t="n">
        <f aca="false">ROUND($S464+$T464+$U464+$V464,2)</f>
        <v>0</v>
      </c>
      <c r="X464" s="35" t="str">
        <f aca="false">IF(OR($D464="挂靠代收",$D464="我方收款"),COUNTIFS($D$5:$D464,"挂靠代收")+COUNTIFS($D$5:$D464,"我方收款"),"")</f>
        <v/>
      </c>
      <c r="Y464" s="35"/>
      <c r="Z464" s="21" t="s">
        <v>111</v>
      </c>
    </row>
    <row r="465" customFormat="false" ht="15.75" hidden="false" customHeight="true" outlineLevel="0" collapsed="false">
      <c r="A465" s="32" t="str">
        <f aca="false">IF($B465="","",ROW()-4)</f>
        <v/>
      </c>
      <c r="B465" s="26"/>
      <c r="C465" s="24"/>
      <c r="D465" s="21"/>
      <c r="E465" s="21"/>
      <c r="F465" s="21"/>
      <c r="G465" s="21"/>
      <c r="H465" s="27"/>
      <c r="I465" s="23" t="str">
        <f aca="false">IF($D465&lt;&gt;"销项开票","",IF($N465="一级",IF(IFERROR(INDEX(项目档案!$E$6:$E$255,MATCH($C465,项目档案!$A$6:$A$255,0)),"")="",N(IFERROR(INDEX(单位档案!$D$6:$D$35,MATCH($E465,单位档案!$A$6:$A$35,0)),"")),IFERROR(INDEX(项目档案!$E$6:$E$255,MATCH($C465,项目档案!$A$6:$A$255,0)),"")),IF($N465="二级",IF(IFERROR(INDEX(项目档案!$G$6:$G$255,MATCH($C465,项目档案!$A$6:$A$255,0)),"")="",N(IFERROR(INDEX(单位档案!$D$6:$D$35,MATCH($E465,单位档案!$A$6:$A$35,0)),"")),IFERROR(INDEX(项目档案!$G$6:$G$255,MATCH($C465,项目档案!$A$6:$A$255,0)),"")),N(IFERROR(INDEX(单位档案!$D$6:$D$35,MATCH($E465,单位档案!$A$6:$A$35,0)),"")))))</f>
        <v/>
      </c>
      <c r="J465" s="22"/>
      <c r="K465" s="22"/>
      <c r="L465" s="33" t="str">
        <f aca="false">IF($B465="","",IF(NOT(ISNUMBER($B465)),"日期格式不对",IF($C465="","未选项目编号",IF(LEFT($M465,1)="⚠","项目编号不存在",IF($D465="","未选业务类型",IF($E465="","未选开票/付款方",IF(ISNA(MATCH($E465,单位档案!$A$6:$A$35,0)),"开票方不在单位档案",IF($F465="","未选收票/收款方",IF(ISNA(MATCH($F465,单位档案!$A$6:$A$35,0)),"收款方不在单位档案",IF(NOT(ISNUMBER($H465)),"金额须为数字",IF(AND($D465="销项开票",$N465="—"),"链条待确认","√")))))))))))</f>
        <v/>
      </c>
      <c r="M465" s="34" t="str">
        <f aca="false">IF($C465="","",IFERROR(INDEX(项目档案!$B$6:$B$255,MATCH($C465,项目档案!$A$6:$A$255,0)),"⚠项目编号不存在"))</f>
        <v/>
      </c>
      <c r="N465" s="35" t="str">
        <f aca="false">IF($E465="","",IF($E465=IFERROR(INDEX(项目档案!$D$6:$D$255,MATCH($C465,项目档案!$A$6:$A$255,0)),""),"一级",IF($E465=IFERROR(INDEX(项目档案!$F$6:$F$255,MATCH($C465,项目档案!$A$6:$A$255,0)),""),"二级",IF($E465=IFERROR(INDEX(项目档案!$H$6:$H$255,MATCH($C465,项目档案!$A$6:$A$255,0)),""),"我方","—"))))</f>
        <v/>
      </c>
      <c r="O465" s="36" t="n">
        <f aca="false">IF($D465&lt;&gt;"销项开票",0,ROUND(N($H465)*N($I465),2))</f>
        <v>0</v>
      </c>
      <c r="P465" s="36" t="n">
        <f aca="false">IF($D465&lt;&gt;"销项开票",0,ROUND(N($H465)-$O465,2))</f>
        <v>0</v>
      </c>
      <c r="Q465" s="37" t="str">
        <f aca="false">IF($E465="","",N(IFERROR(INDEX(单位档案!$E$6:$E$35,MATCH($E465,单位档案!$A$6:$A$35,0)),"")))</f>
        <v/>
      </c>
      <c r="R465" s="37" t="str">
        <f aca="false">IF($E465="","",N(IFERROR(INDEX(单位档案!$F$6:$F$35,MATCH($E465,单位档案!$A$6:$A$35,0)),"")))</f>
        <v/>
      </c>
      <c r="S465" s="36" t="n">
        <f aca="false">IF(OR($D465&lt;&gt;"销项开票",IFERROR(INDEX(单位档案!$G$6:$G$35,MATCH($E465,单位档案!$A$6:$A$35,0)),"")&lt;&gt;"是",N($Q465)=0),0,IF(IFERROR(INDEX(单位档案!$H$6:$H$35,MATCH($E465,单位档案!$A$6:$A$35,0)),"")="税差法",ROUND(N($H465)/(1+$Q465)*$Q465-IF(N($R465)=0,0,$P465/(1+$R465)*$R465),2),ROUND(N($H465)/(1+$Q465)*$Q465,2)))</f>
        <v>0</v>
      </c>
      <c r="T465" s="36" t="n">
        <f aca="false">ROUND($S465*N(IFERROR(INDEX(单位档案!$J$6:$J$35,MATCH($E465,单位档案!$A$6:$A$35,0)),"")),2)</f>
        <v>0</v>
      </c>
      <c r="U465" s="36" t="n">
        <f aca="false">IF($D465&lt;&gt;"销项开票",0,ROUND(N($H465)*N(IFERROR(INDEX(单位档案!$K$6:$K$35,MATCH($E465,单位档案!$A$6:$A$35,0)),"")),2))</f>
        <v>0</v>
      </c>
      <c r="V465" s="36" t="n">
        <f aca="false">IF(OR($D465&lt;&gt;"销项开票",N($Q465)=0),0,ROUND(N($H465)/(1+$Q465)*N(IFERROR(INDEX(单位档案!$L$6:$L$35,MATCH($E465,单位档案!$A$6:$A$35,0)),"")),2))</f>
        <v>0</v>
      </c>
      <c r="W465" s="36" t="n">
        <f aca="false">ROUND($S465+$T465+$U465+$V465,2)</f>
        <v>0</v>
      </c>
      <c r="X465" s="35" t="str">
        <f aca="false">IF(OR($D465="挂靠代收",$D465="我方收款"),COUNTIFS($D$5:$D465,"挂靠代收")+COUNTIFS($D$5:$D465,"我方收款"),"")</f>
        <v/>
      </c>
      <c r="Y465" s="35"/>
      <c r="Z465" s="21" t="s">
        <v>111</v>
      </c>
    </row>
    <row r="466" customFormat="false" ht="15.75" hidden="false" customHeight="true" outlineLevel="0" collapsed="false">
      <c r="A466" s="32" t="str">
        <f aca="false">IF($B466="","",ROW()-4)</f>
        <v/>
      </c>
      <c r="B466" s="26"/>
      <c r="C466" s="24"/>
      <c r="D466" s="21"/>
      <c r="E466" s="21"/>
      <c r="F466" s="21"/>
      <c r="G466" s="21"/>
      <c r="H466" s="27"/>
      <c r="I466" s="23" t="str">
        <f aca="false">IF($D466&lt;&gt;"销项开票","",IF($N466="一级",IF(IFERROR(INDEX(项目档案!$E$6:$E$255,MATCH($C466,项目档案!$A$6:$A$255,0)),"")="",N(IFERROR(INDEX(单位档案!$D$6:$D$35,MATCH($E466,单位档案!$A$6:$A$35,0)),"")),IFERROR(INDEX(项目档案!$E$6:$E$255,MATCH($C466,项目档案!$A$6:$A$255,0)),"")),IF($N466="二级",IF(IFERROR(INDEX(项目档案!$G$6:$G$255,MATCH($C466,项目档案!$A$6:$A$255,0)),"")="",N(IFERROR(INDEX(单位档案!$D$6:$D$35,MATCH($E466,单位档案!$A$6:$A$35,0)),"")),IFERROR(INDEX(项目档案!$G$6:$G$255,MATCH($C466,项目档案!$A$6:$A$255,0)),"")),N(IFERROR(INDEX(单位档案!$D$6:$D$35,MATCH($E466,单位档案!$A$6:$A$35,0)),"")))))</f>
        <v/>
      </c>
      <c r="J466" s="22"/>
      <c r="K466" s="22"/>
      <c r="L466" s="33" t="str">
        <f aca="false">IF($B466="","",IF(NOT(ISNUMBER($B466)),"日期格式不对",IF($C466="","未选项目编号",IF(LEFT($M466,1)="⚠","项目编号不存在",IF($D466="","未选业务类型",IF($E466="","未选开票/付款方",IF(ISNA(MATCH($E466,单位档案!$A$6:$A$35,0)),"开票方不在单位档案",IF($F466="","未选收票/收款方",IF(ISNA(MATCH($F466,单位档案!$A$6:$A$35,0)),"收款方不在单位档案",IF(NOT(ISNUMBER($H466)),"金额须为数字",IF(AND($D466="销项开票",$N466="—"),"链条待确认","√")))))))))))</f>
        <v/>
      </c>
      <c r="M466" s="34" t="str">
        <f aca="false">IF($C466="","",IFERROR(INDEX(项目档案!$B$6:$B$255,MATCH($C466,项目档案!$A$6:$A$255,0)),"⚠项目编号不存在"))</f>
        <v/>
      </c>
      <c r="N466" s="35" t="str">
        <f aca="false">IF($E466="","",IF($E466=IFERROR(INDEX(项目档案!$D$6:$D$255,MATCH($C466,项目档案!$A$6:$A$255,0)),""),"一级",IF($E466=IFERROR(INDEX(项目档案!$F$6:$F$255,MATCH($C466,项目档案!$A$6:$A$255,0)),""),"二级",IF($E466=IFERROR(INDEX(项目档案!$H$6:$H$255,MATCH($C466,项目档案!$A$6:$A$255,0)),""),"我方","—"))))</f>
        <v/>
      </c>
      <c r="O466" s="36" t="n">
        <f aca="false">IF($D466&lt;&gt;"销项开票",0,ROUND(N($H466)*N($I466),2))</f>
        <v>0</v>
      </c>
      <c r="P466" s="36" t="n">
        <f aca="false">IF($D466&lt;&gt;"销项开票",0,ROUND(N($H466)-$O466,2))</f>
        <v>0</v>
      </c>
      <c r="Q466" s="37" t="str">
        <f aca="false">IF($E466="","",N(IFERROR(INDEX(单位档案!$E$6:$E$35,MATCH($E466,单位档案!$A$6:$A$35,0)),"")))</f>
        <v/>
      </c>
      <c r="R466" s="37" t="str">
        <f aca="false">IF($E466="","",N(IFERROR(INDEX(单位档案!$F$6:$F$35,MATCH($E466,单位档案!$A$6:$A$35,0)),"")))</f>
        <v/>
      </c>
      <c r="S466" s="36" t="n">
        <f aca="false">IF(OR($D466&lt;&gt;"销项开票",IFERROR(INDEX(单位档案!$G$6:$G$35,MATCH($E466,单位档案!$A$6:$A$35,0)),"")&lt;&gt;"是",N($Q466)=0),0,IF(IFERROR(INDEX(单位档案!$H$6:$H$35,MATCH($E466,单位档案!$A$6:$A$35,0)),"")="税差法",ROUND(N($H466)/(1+$Q466)*$Q466-IF(N($R466)=0,0,$P466/(1+$R466)*$R466),2),ROUND(N($H466)/(1+$Q466)*$Q466,2)))</f>
        <v>0</v>
      </c>
      <c r="T466" s="36" t="n">
        <f aca="false">ROUND($S466*N(IFERROR(INDEX(单位档案!$J$6:$J$35,MATCH($E466,单位档案!$A$6:$A$35,0)),"")),2)</f>
        <v>0</v>
      </c>
      <c r="U466" s="36" t="n">
        <f aca="false">IF($D466&lt;&gt;"销项开票",0,ROUND(N($H466)*N(IFERROR(INDEX(单位档案!$K$6:$K$35,MATCH($E466,单位档案!$A$6:$A$35,0)),"")),2))</f>
        <v>0</v>
      </c>
      <c r="V466" s="36" t="n">
        <f aca="false">IF(OR($D466&lt;&gt;"销项开票",N($Q466)=0),0,ROUND(N($H466)/(1+$Q466)*N(IFERROR(INDEX(单位档案!$L$6:$L$35,MATCH($E466,单位档案!$A$6:$A$35,0)),"")),2))</f>
        <v>0</v>
      </c>
      <c r="W466" s="36" t="n">
        <f aca="false">ROUND($S466+$T466+$U466+$V466,2)</f>
        <v>0</v>
      </c>
      <c r="X466" s="35" t="str">
        <f aca="false">IF(OR($D466="挂靠代收",$D466="我方收款"),COUNTIFS($D$5:$D466,"挂靠代收")+COUNTIFS($D$5:$D466,"我方收款"),"")</f>
        <v/>
      </c>
      <c r="Y466" s="35"/>
      <c r="Z466" s="21" t="s">
        <v>111</v>
      </c>
    </row>
    <row r="467" customFormat="false" ht="15.75" hidden="false" customHeight="true" outlineLevel="0" collapsed="false">
      <c r="A467" s="32" t="str">
        <f aca="false">IF($B467="","",ROW()-4)</f>
        <v/>
      </c>
      <c r="B467" s="26"/>
      <c r="C467" s="24"/>
      <c r="D467" s="21"/>
      <c r="E467" s="21"/>
      <c r="F467" s="21"/>
      <c r="G467" s="21"/>
      <c r="H467" s="27"/>
      <c r="I467" s="23" t="str">
        <f aca="false">IF($D467&lt;&gt;"销项开票","",IF($N467="一级",IF(IFERROR(INDEX(项目档案!$E$6:$E$255,MATCH($C467,项目档案!$A$6:$A$255,0)),"")="",N(IFERROR(INDEX(单位档案!$D$6:$D$35,MATCH($E467,单位档案!$A$6:$A$35,0)),"")),IFERROR(INDEX(项目档案!$E$6:$E$255,MATCH($C467,项目档案!$A$6:$A$255,0)),"")),IF($N467="二级",IF(IFERROR(INDEX(项目档案!$G$6:$G$255,MATCH($C467,项目档案!$A$6:$A$255,0)),"")="",N(IFERROR(INDEX(单位档案!$D$6:$D$35,MATCH($E467,单位档案!$A$6:$A$35,0)),"")),IFERROR(INDEX(项目档案!$G$6:$G$255,MATCH($C467,项目档案!$A$6:$A$255,0)),"")),N(IFERROR(INDEX(单位档案!$D$6:$D$35,MATCH($E467,单位档案!$A$6:$A$35,0)),"")))))</f>
        <v/>
      </c>
      <c r="J467" s="22"/>
      <c r="K467" s="22"/>
      <c r="L467" s="33" t="str">
        <f aca="false">IF($B467="","",IF(NOT(ISNUMBER($B467)),"日期格式不对",IF($C467="","未选项目编号",IF(LEFT($M467,1)="⚠","项目编号不存在",IF($D467="","未选业务类型",IF($E467="","未选开票/付款方",IF(ISNA(MATCH($E467,单位档案!$A$6:$A$35,0)),"开票方不在单位档案",IF($F467="","未选收票/收款方",IF(ISNA(MATCH($F467,单位档案!$A$6:$A$35,0)),"收款方不在单位档案",IF(NOT(ISNUMBER($H467)),"金额须为数字",IF(AND($D467="销项开票",$N467="—"),"链条待确认","√")))))))))))</f>
        <v/>
      </c>
      <c r="M467" s="34" t="str">
        <f aca="false">IF($C467="","",IFERROR(INDEX(项目档案!$B$6:$B$255,MATCH($C467,项目档案!$A$6:$A$255,0)),"⚠项目编号不存在"))</f>
        <v/>
      </c>
      <c r="N467" s="35" t="str">
        <f aca="false">IF($E467="","",IF($E467=IFERROR(INDEX(项目档案!$D$6:$D$255,MATCH($C467,项目档案!$A$6:$A$255,0)),""),"一级",IF($E467=IFERROR(INDEX(项目档案!$F$6:$F$255,MATCH($C467,项目档案!$A$6:$A$255,0)),""),"二级",IF($E467=IFERROR(INDEX(项目档案!$H$6:$H$255,MATCH($C467,项目档案!$A$6:$A$255,0)),""),"我方","—"))))</f>
        <v/>
      </c>
      <c r="O467" s="36" t="n">
        <f aca="false">IF($D467&lt;&gt;"销项开票",0,ROUND(N($H467)*N($I467),2))</f>
        <v>0</v>
      </c>
      <c r="P467" s="36" t="n">
        <f aca="false">IF($D467&lt;&gt;"销项开票",0,ROUND(N($H467)-$O467,2))</f>
        <v>0</v>
      </c>
      <c r="Q467" s="37" t="str">
        <f aca="false">IF($E467="","",N(IFERROR(INDEX(单位档案!$E$6:$E$35,MATCH($E467,单位档案!$A$6:$A$35,0)),"")))</f>
        <v/>
      </c>
      <c r="R467" s="37" t="str">
        <f aca="false">IF($E467="","",N(IFERROR(INDEX(单位档案!$F$6:$F$35,MATCH($E467,单位档案!$A$6:$A$35,0)),"")))</f>
        <v/>
      </c>
      <c r="S467" s="36" t="n">
        <f aca="false">IF(OR($D467&lt;&gt;"销项开票",IFERROR(INDEX(单位档案!$G$6:$G$35,MATCH($E467,单位档案!$A$6:$A$35,0)),"")&lt;&gt;"是",N($Q467)=0),0,IF(IFERROR(INDEX(单位档案!$H$6:$H$35,MATCH($E467,单位档案!$A$6:$A$35,0)),"")="税差法",ROUND(N($H467)/(1+$Q467)*$Q467-IF(N($R467)=0,0,$P467/(1+$R467)*$R467),2),ROUND(N($H467)/(1+$Q467)*$Q467,2)))</f>
        <v>0</v>
      </c>
      <c r="T467" s="36" t="n">
        <f aca="false">ROUND($S467*N(IFERROR(INDEX(单位档案!$J$6:$J$35,MATCH($E467,单位档案!$A$6:$A$35,0)),"")),2)</f>
        <v>0</v>
      </c>
      <c r="U467" s="36" t="n">
        <f aca="false">IF($D467&lt;&gt;"销项开票",0,ROUND(N($H467)*N(IFERROR(INDEX(单位档案!$K$6:$K$35,MATCH($E467,单位档案!$A$6:$A$35,0)),"")),2))</f>
        <v>0</v>
      </c>
      <c r="V467" s="36" t="n">
        <f aca="false">IF(OR($D467&lt;&gt;"销项开票",N($Q467)=0),0,ROUND(N($H467)/(1+$Q467)*N(IFERROR(INDEX(单位档案!$L$6:$L$35,MATCH($E467,单位档案!$A$6:$A$35,0)),"")),2))</f>
        <v>0</v>
      </c>
      <c r="W467" s="36" t="n">
        <f aca="false">ROUND($S467+$T467+$U467+$V467,2)</f>
        <v>0</v>
      </c>
      <c r="X467" s="35" t="str">
        <f aca="false">IF(OR($D467="挂靠代收",$D467="我方收款"),COUNTIFS($D$5:$D467,"挂靠代收")+COUNTIFS($D$5:$D467,"我方收款"),"")</f>
        <v/>
      </c>
      <c r="Y467" s="35"/>
      <c r="Z467" s="21" t="s">
        <v>111</v>
      </c>
    </row>
    <row r="468" customFormat="false" ht="15.75" hidden="false" customHeight="true" outlineLevel="0" collapsed="false">
      <c r="A468" s="32" t="str">
        <f aca="false">IF($B468="","",ROW()-4)</f>
        <v/>
      </c>
      <c r="B468" s="26"/>
      <c r="C468" s="24"/>
      <c r="D468" s="21"/>
      <c r="E468" s="21"/>
      <c r="F468" s="21"/>
      <c r="G468" s="21"/>
      <c r="H468" s="27"/>
      <c r="I468" s="23" t="str">
        <f aca="false">IF($D468&lt;&gt;"销项开票","",IF($N468="一级",IF(IFERROR(INDEX(项目档案!$E$6:$E$255,MATCH($C468,项目档案!$A$6:$A$255,0)),"")="",N(IFERROR(INDEX(单位档案!$D$6:$D$35,MATCH($E468,单位档案!$A$6:$A$35,0)),"")),IFERROR(INDEX(项目档案!$E$6:$E$255,MATCH($C468,项目档案!$A$6:$A$255,0)),"")),IF($N468="二级",IF(IFERROR(INDEX(项目档案!$G$6:$G$255,MATCH($C468,项目档案!$A$6:$A$255,0)),"")="",N(IFERROR(INDEX(单位档案!$D$6:$D$35,MATCH($E468,单位档案!$A$6:$A$35,0)),"")),IFERROR(INDEX(项目档案!$G$6:$G$255,MATCH($C468,项目档案!$A$6:$A$255,0)),"")),N(IFERROR(INDEX(单位档案!$D$6:$D$35,MATCH($E468,单位档案!$A$6:$A$35,0)),"")))))</f>
        <v/>
      </c>
      <c r="J468" s="22"/>
      <c r="K468" s="22"/>
      <c r="L468" s="33" t="str">
        <f aca="false">IF($B468="","",IF(NOT(ISNUMBER($B468)),"日期格式不对",IF($C468="","未选项目编号",IF(LEFT($M468,1)="⚠","项目编号不存在",IF($D468="","未选业务类型",IF($E468="","未选开票/付款方",IF(ISNA(MATCH($E468,单位档案!$A$6:$A$35,0)),"开票方不在单位档案",IF($F468="","未选收票/收款方",IF(ISNA(MATCH($F468,单位档案!$A$6:$A$35,0)),"收款方不在单位档案",IF(NOT(ISNUMBER($H468)),"金额须为数字",IF(AND($D468="销项开票",$N468="—"),"链条待确认","√")))))))))))</f>
        <v/>
      </c>
      <c r="M468" s="34" t="str">
        <f aca="false">IF($C468="","",IFERROR(INDEX(项目档案!$B$6:$B$255,MATCH($C468,项目档案!$A$6:$A$255,0)),"⚠项目编号不存在"))</f>
        <v/>
      </c>
      <c r="N468" s="35" t="str">
        <f aca="false">IF($E468="","",IF($E468=IFERROR(INDEX(项目档案!$D$6:$D$255,MATCH($C468,项目档案!$A$6:$A$255,0)),""),"一级",IF($E468=IFERROR(INDEX(项目档案!$F$6:$F$255,MATCH($C468,项目档案!$A$6:$A$255,0)),""),"二级",IF($E468=IFERROR(INDEX(项目档案!$H$6:$H$255,MATCH($C468,项目档案!$A$6:$A$255,0)),""),"我方","—"))))</f>
        <v/>
      </c>
      <c r="O468" s="36" t="n">
        <f aca="false">IF($D468&lt;&gt;"销项开票",0,ROUND(N($H468)*N($I468),2))</f>
        <v>0</v>
      </c>
      <c r="P468" s="36" t="n">
        <f aca="false">IF($D468&lt;&gt;"销项开票",0,ROUND(N($H468)-$O468,2))</f>
        <v>0</v>
      </c>
      <c r="Q468" s="37" t="str">
        <f aca="false">IF($E468="","",N(IFERROR(INDEX(单位档案!$E$6:$E$35,MATCH($E468,单位档案!$A$6:$A$35,0)),"")))</f>
        <v/>
      </c>
      <c r="R468" s="37" t="str">
        <f aca="false">IF($E468="","",N(IFERROR(INDEX(单位档案!$F$6:$F$35,MATCH($E468,单位档案!$A$6:$A$35,0)),"")))</f>
        <v/>
      </c>
      <c r="S468" s="36" t="n">
        <f aca="false">IF(OR($D468&lt;&gt;"销项开票",IFERROR(INDEX(单位档案!$G$6:$G$35,MATCH($E468,单位档案!$A$6:$A$35,0)),"")&lt;&gt;"是",N($Q468)=0),0,IF(IFERROR(INDEX(单位档案!$H$6:$H$35,MATCH($E468,单位档案!$A$6:$A$35,0)),"")="税差法",ROUND(N($H468)/(1+$Q468)*$Q468-IF(N($R468)=0,0,$P468/(1+$R468)*$R468),2),ROUND(N($H468)/(1+$Q468)*$Q468,2)))</f>
        <v>0</v>
      </c>
      <c r="T468" s="36" t="n">
        <f aca="false">ROUND($S468*N(IFERROR(INDEX(单位档案!$J$6:$J$35,MATCH($E468,单位档案!$A$6:$A$35,0)),"")),2)</f>
        <v>0</v>
      </c>
      <c r="U468" s="36" t="n">
        <f aca="false">IF($D468&lt;&gt;"销项开票",0,ROUND(N($H468)*N(IFERROR(INDEX(单位档案!$K$6:$K$35,MATCH($E468,单位档案!$A$6:$A$35,0)),"")),2))</f>
        <v>0</v>
      </c>
      <c r="V468" s="36" t="n">
        <f aca="false">IF(OR($D468&lt;&gt;"销项开票",N($Q468)=0),0,ROUND(N($H468)/(1+$Q468)*N(IFERROR(INDEX(单位档案!$L$6:$L$35,MATCH($E468,单位档案!$A$6:$A$35,0)),"")),2))</f>
        <v>0</v>
      </c>
      <c r="W468" s="36" t="n">
        <f aca="false">ROUND($S468+$T468+$U468+$V468,2)</f>
        <v>0</v>
      </c>
      <c r="X468" s="35" t="str">
        <f aca="false">IF(OR($D468="挂靠代收",$D468="我方收款"),COUNTIFS($D$5:$D468,"挂靠代收")+COUNTIFS($D$5:$D468,"我方收款"),"")</f>
        <v/>
      </c>
      <c r="Y468" s="35"/>
      <c r="Z468" s="21" t="s">
        <v>111</v>
      </c>
    </row>
    <row r="469" customFormat="false" ht="15.75" hidden="false" customHeight="true" outlineLevel="0" collapsed="false">
      <c r="A469" s="32" t="str">
        <f aca="false">IF($B469="","",ROW()-4)</f>
        <v/>
      </c>
      <c r="B469" s="26"/>
      <c r="C469" s="24"/>
      <c r="D469" s="21"/>
      <c r="E469" s="21"/>
      <c r="F469" s="21"/>
      <c r="G469" s="21"/>
      <c r="H469" s="27"/>
      <c r="I469" s="23" t="str">
        <f aca="false">IF($D469&lt;&gt;"销项开票","",IF($N469="一级",IF(IFERROR(INDEX(项目档案!$E$6:$E$255,MATCH($C469,项目档案!$A$6:$A$255,0)),"")="",N(IFERROR(INDEX(单位档案!$D$6:$D$35,MATCH($E469,单位档案!$A$6:$A$35,0)),"")),IFERROR(INDEX(项目档案!$E$6:$E$255,MATCH($C469,项目档案!$A$6:$A$255,0)),"")),IF($N469="二级",IF(IFERROR(INDEX(项目档案!$G$6:$G$255,MATCH($C469,项目档案!$A$6:$A$255,0)),"")="",N(IFERROR(INDEX(单位档案!$D$6:$D$35,MATCH($E469,单位档案!$A$6:$A$35,0)),"")),IFERROR(INDEX(项目档案!$G$6:$G$255,MATCH($C469,项目档案!$A$6:$A$255,0)),"")),N(IFERROR(INDEX(单位档案!$D$6:$D$35,MATCH($E469,单位档案!$A$6:$A$35,0)),"")))))</f>
        <v/>
      </c>
      <c r="J469" s="22"/>
      <c r="K469" s="22"/>
      <c r="L469" s="33" t="str">
        <f aca="false">IF($B469="","",IF(NOT(ISNUMBER($B469)),"日期格式不对",IF($C469="","未选项目编号",IF(LEFT($M469,1)="⚠","项目编号不存在",IF($D469="","未选业务类型",IF($E469="","未选开票/付款方",IF(ISNA(MATCH($E469,单位档案!$A$6:$A$35,0)),"开票方不在单位档案",IF($F469="","未选收票/收款方",IF(ISNA(MATCH($F469,单位档案!$A$6:$A$35,0)),"收款方不在单位档案",IF(NOT(ISNUMBER($H469)),"金额须为数字",IF(AND($D469="销项开票",$N469="—"),"链条待确认","√")))))))))))</f>
        <v/>
      </c>
      <c r="M469" s="34" t="str">
        <f aca="false">IF($C469="","",IFERROR(INDEX(项目档案!$B$6:$B$255,MATCH($C469,项目档案!$A$6:$A$255,0)),"⚠项目编号不存在"))</f>
        <v/>
      </c>
      <c r="N469" s="35" t="str">
        <f aca="false">IF($E469="","",IF($E469=IFERROR(INDEX(项目档案!$D$6:$D$255,MATCH($C469,项目档案!$A$6:$A$255,0)),""),"一级",IF($E469=IFERROR(INDEX(项目档案!$F$6:$F$255,MATCH($C469,项目档案!$A$6:$A$255,0)),""),"二级",IF($E469=IFERROR(INDEX(项目档案!$H$6:$H$255,MATCH($C469,项目档案!$A$6:$A$255,0)),""),"我方","—"))))</f>
        <v/>
      </c>
      <c r="O469" s="36" t="n">
        <f aca="false">IF($D469&lt;&gt;"销项开票",0,ROUND(N($H469)*N($I469),2))</f>
        <v>0</v>
      </c>
      <c r="P469" s="36" t="n">
        <f aca="false">IF($D469&lt;&gt;"销项开票",0,ROUND(N($H469)-$O469,2))</f>
        <v>0</v>
      </c>
      <c r="Q469" s="37" t="str">
        <f aca="false">IF($E469="","",N(IFERROR(INDEX(单位档案!$E$6:$E$35,MATCH($E469,单位档案!$A$6:$A$35,0)),"")))</f>
        <v/>
      </c>
      <c r="R469" s="37" t="str">
        <f aca="false">IF($E469="","",N(IFERROR(INDEX(单位档案!$F$6:$F$35,MATCH($E469,单位档案!$A$6:$A$35,0)),"")))</f>
        <v/>
      </c>
      <c r="S469" s="36" t="n">
        <f aca="false">IF(OR($D469&lt;&gt;"销项开票",IFERROR(INDEX(单位档案!$G$6:$G$35,MATCH($E469,单位档案!$A$6:$A$35,0)),"")&lt;&gt;"是",N($Q469)=0),0,IF(IFERROR(INDEX(单位档案!$H$6:$H$35,MATCH($E469,单位档案!$A$6:$A$35,0)),"")="税差法",ROUND(N($H469)/(1+$Q469)*$Q469-IF(N($R469)=0,0,$P469/(1+$R469)*$R469),2),ROUND(N($H469)/(1+$Q469)*$Q469,2)))</f>
        <v>0</v>
      </c>
      <c r="T469" s="36" t="n">
        <f aca="false">ROUND($S469*N(IFERROR(INDEX(单位档案!$J$6:$J$35,MATCH($E469,单位档案!$A$6:$A$35,0)),"")),2)</f>
        <v>0</v>
      </c>
      <c r="U469" s="36" t="n">
        <f aca="false">IF($D469&lt;&gt;"销项开票",0,ROUND(N($H469)*N(IFERROR(INDEX(单位档案!$K$6:$K$35,MATCH($E469,单位档案!$A$6:$A$35,0)),"")),2))</f>
        <v>0</v>
      </c>
      <c r="V469" s="36" t="n">
        <f aca="false">IF(OR($D469&lt;&gt;"销项开票",N($Q469)=0),0,ROUND(N($H469)/(1+$Q469)*N(IFERROR(INDEX(单位档案!$L$6:$L$35,MATCH($E469,单位档案!$A$6:$A$35,0)),"")),2))</f>
        <v>0</v>
      </c>
      <c r="W469" s="36" t="n">
        <f aca="false">ROUND($S469+$T469+$U469+$V469,2)</f>
        <v>0</v>
      </c>
      <c r="X469" s="35" t="str">
        <f aca="false">IF(OR($D469="挂靠代收",$D469="我方收款"),COUNTIFS($D$5:$D469,"挂靠代收")+COUNTIFS($D$5:$D469,"我方收款"),"")</f>
        <v/>
      </c>
      <c r="Y469" s="35"/>
      <c r="Z469" s="21" t="s">
        <v>111</v>
      </c>
    </row>
    <row r="470" customFormat="false" ht="15.75" hidden="false" customHeight="true" outlineLevel="0" collapsed="false">
      <c r="A470" s="32" t="str">
        <f aca="false">IF($B470="","",ROW()-4)</f>
        <v/>
      </c>
      <c r="B470" s="26"/>
      <c r="C470" s="24"/>
      <c r="D470" s="21"/>
      <c r="E470" s="21"/>
      <c r="F470" s="21"/>
      <c r="G470" s="21"/>
      <c r="H470" s="27"/>
      <c r="I470" s="23" t="str">
        <f aca="false">IF($D470&lt;&gt;"销项开票","",IF($N470="一级",IF(IFERROR(INDEX(项目档案!$E$6:$E$255,MATCH($C470,项目档案!$A$6:$A$255,0)),"")="",N(IFERROR(INDEX(单位档案!$D$6:$D$35,MATCH($E470,单位档案!$A$6:$A$35,0)),"")),IFERROR(INDEX(项目档案!$E$6:$E$255,MATCH($C470,项目档案!$A$6:$A$255,0)),"")),IF($N470="二级",IF(IFERROR(INDEX(项目档案!$G$6:$G$255,MATCH($C470,项目档案!$A$6:$A$255,0)),"")="",N(IFERROR(INDEX(单位档案!$D$6:$D$35,MATCH($E470,单位档案!$A$6:$A$35,0)),"")),IFERROR(INDEX(项目档案!$G$6:$G$255,MATCH($C470,项目档案!$A$6:$A$255,0)),"")),N(IFERROR(INDEX(单位档案!$D$6:$D$35,MATCH($E470,单位档案!$A$6:$A$35,0)),"")))))</f>
        <v/>
      </c>
      <c r="J470" s="22"/>
      <c r="K470" s="22"/>
      <c r="L470" s="33" t="str">
        <f aca="false">IF($B470="","",IF(NOT(ISNUMBER($B470)),"日期格式不对",IF($C470="","未选项目编号",IF(LEFT($M470,1)="⚠","项目编号不存在",IF($D470="","未选业务类型",IF($E470="","未选开票/付款方",IF(ISNA(MATCH($E470,单位档案!$A$6:$A$35,0)),"开票方不在单位档案",IF($F470="","未选收票/收款方",IF(ISNA(MATCH($F470,单位档案!$A$6:$A$35,0)),"收款方不在单位档案",IF(NOT(ISNUMBER($H470)),"金额须为数字",IF(AND($D470="销项开票",$N470="—"),"链条待确认","√")))))))))))</f>
        <v/>
      </c>
      <c r="M470" s="34" t="str">
        <f aca="false">IF($C470="","",IFERROR(INDEX(项目档案!$B$6:$B$255,MATCH($C470,项目档案!$A$6:$A$255,0)),"⚠项目编号不存在"))</f>
        <v/>
      </c>
      <c r="N470" s="35" t="str">
        <f aca="false">IF($E470="","",IF($E470=IFERROR(INDEX(项目档案!$D$6:$D$255,MATCH($C470,项目档案!$A$6:$A$255,0)),""),"一级",IF($E470=IFERROR(INDEX(项目档案!$F$6:$F$255,MATCH($C470,项目档案!$A$6:$A$255,0)),""),"二级",IF($E470=IFERROR(INDEX(项目档案!$H$6:$H$255,MATCH($C470,项目档案!$A$6:$A$255,0)),""),"我方","—"))))</f>
        <v/>
      </c>
      <c r="O470" s="36" t="n">
        <f aca="false">IF($D470&lt;&gt;"销项开票",0,ROUND(N($H470)*N($I470),2))</f>
        <v>0</v>
      </c>
      <c r="P470" s="36" t="n">
        <f aca="false">IF($D470&lt;&gt;"销项开票",0,ROUND(N($H470)-$O470,2))</f>
        <v>0</v>
      </c>
      <c r="Q470" s="37" t="str">
        <f aca="false">IF($E470="","",N(IFERROR(INDEX(单位档案!$E$6:$E$35,MATCH($E470,单位档案!$A$6:$A$35,0)),"")))</f>
        <v/>
      </c>
      <c r="R470" s="37" t="str">
        <f aca="false">IF($E470="","",N(IFERROR(INDEX(单位档案!$F$6:$F$35,MATCH($E470,单位档案!$A$6:$A$35,0)),"")))</f>
        <v/>
      </c>
      <c r="S470" s="36" t="n">
        <f aca="false">IF(OR($D470&lt;&gt;"销项开票",IFERROR(INDEX(单位档案!$G$6:$G$35,MATCH($E470,单位档案!$A$6:$A$35,0)),"")&lt;&gt;"是",N($Q470)=0),0,IF(IFERROR(INDEX(单位档案!$H$6:$H$35,MATCH($E470,单位档案!$A$6:$A$35,0)),"")="税差法",ROUND(N($H470)/(1+$Q470)*$Q470-IF(N($R470)=0,0,$P470/(1+$R470)*$R470),2),ROUND(N($H470)/(1+$Q470)*$Q470,2)))</f>
        <v>0</v>
      </c>
      <c r="T470" s="36" t="n">
        <f aca="false">ROUND($S470*N(IFERROR(INDEX(单位档案!$J$6:$J$35,MATCH($E470,单位档案!$A$6:$A$35,0)),"")),2)</f>
        <v>0</v>
      </c>
      <c r="U470" s="36" t="n">
        <f aca="false">IF($D470&lt;&gt;"销项开票",0,ROUND(N($H470)*N(IFERROR(INDEX(单位档案!$K$6:$K$35,MATCH($E470,单位档案!$A$6:$A$35,0)),"")),2))</f>
        <v>0</v>
      </c>
      <c r="V470" s="36" t="n">
        <f aca="false">IF(OR($D470&lt;&gt;"销项开票",N($Q470)=0),0,ROUND(N($H470)/(1+$Q470)*N(IFERROR(INDEX(单位档案!$L$6:$L$35,MATCH($E470,单位档案!$A$6:$A$35,0)),"")),2))</f>
        <v>0</v>
      </c>
      <c r="W470" s="36" t="n">
        <f aca="false">ROUND($S470+$T470+$U470+$V470,2)</f>
        <v>0</v>
      </c>
      <c r="X470" s="35" t="str">
        <f aca="false">IF(OR($D470="挂靠代收",$D470="我方收款"),COUNTIFS($D$5:$D470,"挂靠代收")+COUNTIFS($D$5:$D470,"我方收款"),"")</f>
        <v/>
      </c>
      <c r="Y470" s="35"/>
      <c r="Z470" s="21" t="s">
        <v>111</v>
      </c>
    </row>
    <row r="471" customFormat="false" ht="15.75" hidden="false" customHeight="true" outlineLevel="0" collapsed="false">
      <c r="A471" s="32" t="str">
        <f aca="false">IF($B471="","",ROW()-4)</f>
        <v/>
      </c>
      <c r="B471" s="26"/>
      <c r="C471" s="24"/>
      <c r="D471" s="21"/>
      <c r="E471" s="21"/>
      <c r="F471" s="21"/>
      <c r="G471" s="21"/>
      <c r="H471" s="27"/>
      <c r="I471" s="23" t="str">
        <f aca="false">IF($D471&lt;&gt;"销项开票","",IF($N471="一级",IF(IFERROR(INDEX(项目档案!$E$6:$E$255,MATCH($C471,项目档案!$A$6:$A$255,0)),"")="",N(IFERROR(INDEX(单位档案!$D$6:$D$35,MATCH($E471,单位档案!$A$6:$A$35,0)),"")),IFERROR(INDEX(项目档案!$E$6:$E$255,MATCH($C471,项目档案!$A$6:$A$255,0)),"")),IF($N471="二级",IF(IFERROR(INDEX(项目档案!$G$6:$G$255,MATCH($C471,项目档案!$A$6:$A$255,0)),"")="",N(IFERROR(INDEX(单位档案!$D$6:$D$35,MATCH($E471,单位档案!$A$6:$A$35,0)),"")),IFERROR(INDEX(项目档案!$G$6:$G$255,MATCH($C471,项目档案!$A$6:$A$255,0)),"")),N(IFERROR(INDEX(单位档案!$D$6:$D$35,MATCH($E471,单位档案!$A$6:$A$35,0)),"")))))</f>
        <v/>
      </c>
      <c r="J471" s="22"/>
      <c r="K471" s="22"/>
      <c r="L471" s="33" t="str">
        <f aca="false">IF($B471="","",IF(NOT(ISNUMBER($B471)),"日期格式不对",IF($C471="","未选项目编号",IF(LEFT($M471,1)="⚠","项目编号不存在",IF($D471="","未选业务类型",IF($E471="","未选开票/付款方",IF(ISNA(MATCH($E471,单位档案!$A$6:$A$35,0)),"开票方不在单位档案",IF($F471="","未选收票/收款方",IF(ISNA(MATCH($F471,单位档案!$A$6:$A$35,0)),"收款方不在单位档案",IF(NOT(ISNUMBER($H471)),"金额须为数字",IF(AND($D471="销项开票",$N471="—"),"链条待确认","√")))))))))))</f>
        <v/>
      </c>
      <c r="M471" s="34" t="str">
        <f aca="false">IF($C471="","",IFERROR(INDEX(项目档案!$B$6:$B$255,MATCH($C471,项目档案!$A$6:$A$255,0)),"⚠项目编号不存在"))</f>
        <v/>
      </c>
      <c r="N471" s="35" t="str">
        <f aca="false">IF($E471="","",IF($E471=IFERROR(INDEX(项目档案!$D$6:$D$255,MATCH($C471,项目档案!$A$6:$A$255,0)),""),"一级",IF($E471=IFERROR(INDEX(项目档案!$F$6:$F$255,MATCH($C471,项目档案!$A$6:$A$255,0)),""),"二级",IF($E471=IFERROR(INDEX(项目档案!$H$6:$H$255,MATCH($C471,项目档案!$A$6:$A$255,0)),""),"我方","—"))))</f>
        <v/>
      </c>
      <c r="O471" s="36" t="n">
        <f aca="false">IF($D471&lt;&gt;"销项开票",0,ROUND(N($H471)*N($I471),2))</f>
        <v>0</v>
      </c>
      <c r="P471" s="36" t="n">
        <f aca="false">IF($D471&lt;&gt;"销项开票",0,ROUND(N($H471)-$O471,2))</f>
        <v>0</v>
      </c>
      <c r="Q471" s="37" t="str">
        <f aca="false">IF($E471="","",N(IFERROR(INDEX(单位档案!$E$6:$E$35,MATCH($E471,单位档案!$A$6:$A$35,0)),"")))</f>
        <v/>
      </c>
      <c r="R471" s="37" t="str">
        <f aca="false">IF($E471="","",N(IFERROR(INDEX(单位档案!$F$6:$F$35,MATCH($E471,单位档案!$A$6:$A$35,0)),"")))</f>
        <v/>
      </c>
      <c r="S471" s="36" t="n">
        <f aca="false">IF(OR($D471&lt;&gt;"销项开票",IFERROR(INDEX(单位档案!$G$6:$G$35,MATCH($E471,单位档案!$A$6:$A$35,0)),"")&lt;&gt;"是",N($Q471)=0),0,IF(IFERROR(INDEX(单位档案!$H$6:$H$35,MATCH($E471,单位档案!$A$6:$A$35,0)),"")="税差法",ROUND(N($H471)/(1+$Q471)*$Q471-IF(N($R471)=0,0,$P471/(1+$R471)*$R471),2),ROUND(N($H471)/(1+$Q471)*$Q471,2)))</f>
        <v>0</v>
      </c>
      <c r="T471" s="36" t="n">
        <f aca="false">ROUND($S471*N(IFERROR(INDEX(单位档案!$J$6:$J$35,MATCH($E471,单位档案!$A$6:$A$35,0)),"")),2)</f>
        <v>0</v>
      </c>
      <c r="U471" s="36" t="n">
        <f aca="false">IF($D471&lt;&gt;"销项开票",0,ROUND(N($H471)*N(IFERROR(INDEX(单位档案!$K$6:$K$35,MATCH($E471,单位档案!$A$6:$A$35,0)),"")),2))</f>
        <v>0</v>
      </c>
      <c r="V471" s="36" t="n">
        <f aca="false">IF(OR($D471&lt;&gt;"销项开票",N($Q471)=0),0,ROUND(N($H471)/(1+$Q471)*N(IFERROR(INDEX(单位档案!$L$6:$L$35,MATCH($E471,单位档案!$A$6:$A$35,0)),"")),2))</f>
        <v>0</v>
      </c>
      <c r="W471" s="36" t="n">
        <f aca="false">ROUND($S471+$T471+$U471+$V471,2)</f>
        <v>0</v>
      </c>
      <c r="X471" s="35" t="str">
        <f aca="false">IF(OR($D471="挂靠代收",$D471="我方收款"),COUNTIFS($D$5:$D471,"挂靠代收")+COUNTIFS($D$5:$D471,"我方收款"),"")</f>
        <v/>
      </c>
      <c r="Y471" s="35"/>
      <c r="Z471" s="21" t="s">
        <v>111</v>
      </c>
    </row>
    <row r="472" customFormat="false" ht="15.75" hidden="false" customHeight="true" outlineLevel="0" collapsed="false">
      <c r="A472" s="32" t="str">
        <f aca="false">IF($B472="","",ROW()-4)</f>
        <v/>
      </c>
      <c r="B472" s="26"/>
      <c r="C472" s="24"/>
      <c r="D472" s="21"/>
      <c r="E472" s="21"/>
      <c r="F472" s="21"/>
      <c r="G472" s="21"/>
      <c r="H472" s="27"/>
      <c r="I472" s="23" t="str">
        <f aca="false">IF($D472&lt;&gt;"销项开票","",IF($N472="一级",IF(IFERROR(INDEX(项目档案!$E$6:$E$255,MATCH($C472,项目档案!$A$6:$A$255,0)),"")="",N(IFERROR(INDEX(单位档案!$D$6:$D$35,MATCH($E472,单位档案!$A$6:$A$35,0)),"")),IFERROR(INDEX(项目档案!$E$6:$E$255,MATCH($C472,项目档案!$A$6:$A$255,0)),"")),IF($N472="二级",IF(IFERROR(INDEX(项目档案!$G$6:$G$255,MATCH($C472,项目档案!$A$6:$A$255,0)),"")="",N(IFERROR(INDEX(单位档案!$D$6:$D$35,MATCH($E472,单位档案!$A$6:$A$35,0)),"")),IFERROR(INDEX(项目档案!$G$6:$G$255,MATCH($C472,项目档案!$A$6:$A$255,0)),"")),N(IFERROR(INDEX(单位档案!$D$6:$D$35,MATCH($E472,单位档案!$A$6:$A$35,0)),"")))))</f>
        <v/>
      </c>
      <c r="J472" s="22"/>
      <c r="K472" s="22"/>
      <c r="L472" s="33" t="str">
        <f aca="false">IF($B472="","",IF(NOT(ISNUMBER($B472)),"日期格式不对",IF($C472="","未选项目编号",IF(LEFT($M472,1)="⚠","项目编号不存在",IF($D472="","未选业务类型",IF($E472="","未选开票/付款方",IF(ISNA(MATCH($E472,单位档案!$A$6:$A$35,0)),"开票方不在单位档案",IF($F472="","未选收票/收款方",IF(ISNA(MATCH($F472,单位档案!$A$6:$A$35,0)),"收款方不在单位档案",IF(NOT(ISNUMBER($H472)),"金额须为数字",IF(AND($D472="销项开票",$N472="—"),"链条待确认","√")))))))))))</f>
        <v/>
      </c>
      <c r="M472" s="34" t="str">
        <f aca="false">IF($C472="","",IFERROR(INDEX(项目档案!$B$6:$B$255,MATCH($C472,项目档案!$A$6:$A$255,0)),"⚠项目编号不存在"))</f>
        <v/>
      </c>
      <c r="N472" s="35" t="str">
        <f aca="false">IF($E472="","",IF($E472=IFERROR(INDEX(项目档案!$D$6:$D$255,MATCH($C472,项目档案!$A$6:$A$255,0)),""),"一级",IF($E472=IFERROR(INDEX(项目档案!$F$6:$F$255,MATCH($C472,项目档案!$A$6:$A$255,0)),""),"二级",IF($E472=IFERROR(INDEX(项目档案!$H$6:$H$255,MATCH($C472,项目档案!$A$6:$A$255,0)),""),"我方","—"))))</f>
        <v/>
      </c>
      <c r="O472" s="36" t="n">
        <f aca="false">IF($D472&lt;&gt;"销项开票",0,ROUND(N($H472)*N($I472),2))</f>
        <v>0</v>
      </c>
      <c r="P472" s="36" t="n">
        <f aca="false">IF($D472&lt;&gt;"销项开票",0,ROUND(N($H472)-$O472,2))</f>
        <v>0</v>
      </c>
      <c r="Q472" s="37" t="str">
        <f aca="false">IF($E472="","",N(IFERROR(INDEX(单位档案!$E$6:$E$35,MATCH($E472,单位档案!$A$6:$A$35,0)),"")))</f>
        <v/>
      </c>
      <c r="R472" s="37" t="str">
        <f aca="false">IF($E472="","",N(IFERROR(INDEX(单位档案!$F$6:$F$35,MATCH($E472,单位档案!$A$6:$A$35,0)),"")))</f>
        <v/>
      </c>
      <c r="S472" s="36" t="n">
        <f aca="false">IF(OR($D472&lt;&gt;"销项开票",IFERROR(INDEX(单位档案!$G$6:$G$35,MATCH($E472,单位档案!$A$6:$A$35,0)),"")&lt;&gt;"是",N($Q472)=0),0,IF(IFERROR(INDEX(单位档案!$H$6:$H$35,MATCH($E472,单位档案!$A$6:$A$35,0)),"")="税差法",ROUND(N($H472)/(1+$Q472)*$Q472-IF(N($R472)=0,0,$P472/(1+$R472)*$R472),2),ROUND(N($H472)/(1+$Q472)*$Q472,2)))</f>
        <v>0</v>
      </c>
      <c r="T472" s="36" t="n">
        <f aca="false">ROUND($S472*N(IFERROR(INDEX(单位档案!$J$6:$J$35,MATCH($E472,单位档案!$A$6:$A$35,0)),"")),2)</f>
        <v>0</v>
      </c>
      <c r="U472" s="36" t="n">
        <f aca="false">IF($D472&lt;&gt;"销项开票",0,ROUND(N($H472)*N(IFERROR(INDEX(单位档案!$K$6:$K$35,MATCH($E472,单位档案!$A$6:$A$35,0)),"")),2))</f>
        <v>0</v>
      </c>
      <c r="V472" s="36" t="n">
        <f aca="false">IF(OR($D472&lt;&gt;"销项开票",N($Q472)=0),0,ROUND(N($H472)/(1+$Q472)*N(IFERROR(INDEX(单位档案!$L$6:$L$35,MATCH($E472,单位档案!$A$6:$A$35,0)),"")),2))</f>
        <v>0</v>
      </c>
      <c r="W472" s="36" t="n">
        <f aca="false">ROUND($S472+$T472+$U472+$V472,2)</f>
        <v>0</v>
      </c>
      <c r="X472" s="35" t="str">
        <f aca="false">IF(OR($D472="挂靠代收",$D472="我方收款"),COUNTIFS($D$5:$D472,"挂靠代收")+COUNTIFS($D$5:$D472,"我方收款"),"")</f>
        <v/>
      </c>
      <c r="Y472" s="35"/>
      <c r="Z472" s="21" t="s">
        <v>111</v>
      </c>
    </row>
    <row r="473" customFormat="false" ht="15.75" hidden="false" customHeight="true" outlineLevel="0" collapsed="false">
      <c r="A473" s="32" t="str">
        <f aca="false">IF($B473="","",ROW()-4)</f>
        <v/>
      </c>
      <c r="B473" s="26"/>
      <c r="C473" s="24"/>
      <c r="D473" s="21"/>
      <c r="E473" s="21"/>
      <c r="F473" s="21"/>
      <c r="G473" s="21"/>
      <c r="H473" s="27"/>
      <c r="I473" s="23" t="str">
        <f aca="false">IF($D473&lt;&gt;"销项开票","",IF($N473="一级",IF(IFERROR(INDEX(项目档案!$E$6:$E$255,MATCH($C473,项目档案!$A$6:$A$255,0)),"")="",N(IFERROR(INDEX(单位档案!$D$6:$D$35,MATCH($E473,单位档案!$A$6:$A$35,0)),"")),IFERROR(INDEX(项目档案!$E$6:$E$255,MATCH($C473,项目档案!$A$6:$A$255,0)),"")),IF($N473="二级",IF(IFERROR(INDEX(项目档案!$G$6:$G$255,MATCH($C473,项目档案!$A$6:$A$255,0)),"")="",N(IFERROR(INDEX(单位档案!$D$6:$D$35,MATCH($E473,单位档案!$A$6:$A$35,0)),"")),IFERROR(INDEX(项目档案!$G$6:$G$255,MATCH($C473,项目档案!$A$6:$A$255,0)),"")),N(IFERROR(INDEX(单位档案!$D$6:$D$35,MATCH($E473,单位档案!$A$6:$A$35,0)),"")))))</f>
        <v/>
      </c>
      <c r="J473" s="22"/>
      <c r="K473" s="22"/>
      <c r="L473" s="33" t="str">
        <f aca="false">IF($B473="","",IF(NOT(ISNUMBER($B473)),"日期格式不对",IF($C473="","未选项目编号",IF(LEFT($M473,1)="⚠","项目编号不存在",IF($D473="","未选业务类型",IF($E473="","未选开票/付款方",IF(ISNA(MATCH($E473,单位档案!$A$6:$A$35,0)),"开票方不在单位档案",IF($F473="","未选收票/收款方",IF(ISNA(MATCH($F473,单位档案!$A$6:$A$35,0)),"收款方不在单位档案",IF(NOT(ISNUMBER($H473)),"金额须为数字",IF(AND($D473="销项开票",$N473="—"),"链条待确认","√")))))))))))</f>
        <v/>
      </c>
      <c r="M473" s="34" t="str">
        <f aca="false">IF($C473="","",IFERROR(INDEX(项目档案!$B$6:$B$255,MATCH($C473,项目档案!$A$6:$A$255,0)),"⚠项目编号不存在"))</f>
        <v/>
      </c>
      <c r="N473" s="35" t="str">
        <f aca="false">IF($E473="","",IF($E473=IFERROR(INDEX(项目档案!$D$6:$D$255,MATCH($C473,项目档案!$A$6:$A$255,0)),""),"一级",IF($E473=IFERROR(INDEX(项目档案!$F$6:$F$255,MATCH($C473,项目档案!$A$6:$A$255,0)),""),"二级",IF($E473=IFERROR(INDEX(项目档案!$H$6:$H$255,MATCH($C473,项目档案!$A$6:$A$255,0)),""),"我方","—"))))</f>
        <v/>
      </c>
      <c r="O473" s="36" t="n">
        <f aca="false">IF($D473&lt;&gt;"销项开票",0,ROUND(N($H473)*N($I473),2))</f>
        <v>0</v>
      </c>
      <c r="P473" s="36" t="n">
        <f aca="false">IF($D473&lt;&gt;"销项开票",0,ROUND(N($H473)-$O473,2))</f>
        <v>0</v>
      </c>
      <c r="Q473" s="37" t="str">
        <f aca="false">IF($E473="","",N(IFERROR(INDEX(单位档案!$E$6:$E$35,MATCH($E473,单位档案!$A$6:$A$35,0)),"")))</f>
        <v/>
      </c>
      <c r="R473" s="37" t="str">
        <f aca="false">IF($E473="","",N(IFERROR(INDEX(单位档案!$F$6:$F$35,MATCH($E473,单位档案!$A$6:$A$35,0)),"")))</f>
        <v/>
      </c>
      <c r="S473" s="36" t="n">
        <f aca="false">IF(OR($D473&lt;&gt;"销项开票",IFERROR(INDEX(单位档案!$G$6:$G$35,MATCH($E473,单位档案!$A$6:$A$35,0)),"")&lt;&gt;"是",N($Q473)=0),0,IF(IFERROR(INDEX(单位档案!$H$6:$H$35,MATCH($E473,单位档案!$A$6:$A$35,0)),"")="税差法",ROUND(N($H473)/(1+$Q473)*$Q473-IF(N($R473)=0,0,$P473/(1+$R473)*$R473),2),ROUND(N($H473)/(1+$Q473)*$Q473,2)))</f>
        <v>0</v>
      </c>
      <c r="T473" s="36" t="n">
        <f aca="false">ROUND($S473*N(IFERROR(INDEX(单位档案!$J$6:$J$35,MATCH($E473,单位档案!$A$6:$A$35,0)),"")),2)</f>
        <v>0</v>
      </c>
      <c r="U473" s="36" t="n">
        <f aca="false">IF($D473&lt;&gt;"销项开票",0,ROUND(N($H473)*N(IFERROR(INDEX(单位档案!$K$6:$K$35,MATCH($E473,单位档案!$A$6:$A$35,0)),"")),2))</f>
        <v>0</v>
      </c>
      <c r="V473" s="36" t="n">
        <f aca="false">IF(OR($D473&lt;&gt;"销项开票",N($Q473)=0),0,ROUND(N($H473)/(1+$Q473)*N(IFERROR(INDEX(单位档案!$L$6:$L$35,MATCH($E473,单位档案!$A$6:$A$35,0)),"")),2))</f>
        <v>0</v>
      </c>
      <c r="W473" s="36" t="n">
        <f aca="false">ROUND($S473+$T473+$U473+$V473,2)</f>
        <v>0</v>
      </c>
      <c r="X473" s="35" t="str">
        <f aca="false">IF(OR($D473="挂靠代收",$D473="我方收款"),COUNTIFS($D$5:$D473,"挂靠代收")+COUNTIFS($D$5:$D473,"我方收款"),"")</f>
        <v/>
      </c>
      <c r="Y473" s="35"/>
      <c r="Z473" s="21" t="s">
        <v>111</v>
      </c>
    </row>
    <row r="474" customFormat="false" ht="15.75" hidden="false" customHeight="true" outlineLevel="0" collapsed="false">
      <c r="A474" s="32" t="str">
        <f aca="false">IF($B474="","",ROW()-4)</f>
        <v/>
      </c>
      <c r="B474" s="26"/>
      <c r="C474" s="24"/>
      <c r="D474" s="21"/>
      <c r="E474" s="21"/>
      <c r="F474" s="21"/>
      <c r="G474" s="21"/>
      <c r="H474" s="27"/>
      <c r="I474" s="23" t="str">
        <f aca="false">IF($D474&lt;&gt;"销项开票","",IF($N474="一级",IF(IFERROR(INDEX(项目档案!$E$6:$E$255,MATCH($C474,项目档案!$A$6:$A$255,0)),"")="",N(IFERROR(INDEX(单位档案!$D$6:$D$35,MATCH($E474,单位档案!$A$6:$A$35,0)),"")),IFERROR(INDEX(项目档案!$E$6:$E$255,MATCH($C474,项目档案!$A$6:$A$255,0)),"")),IF($N474="二级",IF(IFERROR(INDEX(项目档案!$G$6:$G$255,MATCH($C474,项目档案!$A$6:$A$255,0)),"")="",N(IFERROR(INDEX(单位档案!$D$6:$D$35,MATCH($E474,单位档案!$A$6:$A$35,0)),"")),IFERROR(INDEX(项目档案!$G$6:$G$255,MATCH($C474,项目档案!$A$6:$A$255,0)),"")),N(IFERROR(INDEX(单位档案!$D$6:$D$35,MATCH($E474,单位档案!$A$6:$A$35,0)),"")))))</f>
        <v/>
      </c>
      <c r="J474" s="22"/>
      <c r="K474" s="22"/>
      <c r="L474" s="33" t="str">
        <f aca="false">IF($B474="","",IF(NOT(ISNUMBER($B474)),"日期格式不对",IF($C474="","未选项目编号",IF(LEFT($M474,1)="⚠","项目编号不存在",IF($D474="","未选业务类型",IF($E474="","未选开票/付款方",IF(ISNA(MATCH($E474,单位档案!$A$6:$A$35,0)),"开票方不在单位档案",IF($F474="","未选收票/收款方",IF(ISNA(MATCH($F474,单位档案!$A$6:$A$35,0)),"收款方不在单位档案",IF(NOT(ISNUMBER($H474)),"金额须为数字",IF(AND($D474="销项开票",$N474="—"),"链条待确认","√")))))))))))</f>
        <v/>
      </c>
      <c r="M474" s="34" t="str">
        <f aca="false">IF($C474="","",IFERROR(INDEX(项目档案!$B$6:$B$255,MATCH($C474,项目档案!$A$6:$A$255,0)),"⚠项目编号不存在"))</f>
        <v/>
      </c>
      <c r="N474" s="35" t="str">
        <f aca="false">IF($E474="","",IF($E474=IFERROR(INDEX(项目档案!$D$6:$D$255,MATCH($C474,项目档案!$A$6:$A$255,0)),""),"一级",IF($E474=IFERROR(INDEX(项目档案!$F$6:$F$255,MATCH($C474,项目档案!$A$6:$A$255,0)),""),"二级",IF($E474=IFERROR(INDEX(项目档案!$H$6:$H$255,MATCH($C474,项目档案!$A$6:$A$255,0)),""),"我方","—"))))</f>
        <v/>
      </c>
      <c r="O474" s="36" t="n">
        <f aca="false">IF($D474&lt;&gt;"销项开票",0,ROUND(N($H474)*N($I474),2))</f>
        <v>0</v>
      </c>
      <c r="P474" s="36" t="n">
        <f aca="false">IF($D474&lt;&gt;"销项开票",0,ROUND(N($H474)-$O474,2))</f>
        <v>0</v>
      </c>
      <c r="Q474" s="37" t="str">
        <f aca="false">IF($E474="","",N(IFERROR(INDEX(单位档案!$E$6:$E$35,MATCH($E474,单位档案!$A$6:$A$35,0)),"")))</f>
        <v/>
      </c>
      <c r="R474" s="37" t="str">
        <f aca="false">IF($E474="","",N(IFERROR(INDEX(单位档案!$F$6:$F$35,MATCH($E474,单位档案!$A$6:$A$35,0)),"")))</f>
        <v/>
      </c>
      <c r="S474" s="36" t="n">
        <f aca="false">IF(OR($D474&lt;&gt;"销项开票",IFERROR(INDEX(单位档案!$G$6:$G$35,MATCH($E474,单位档案!$A$6:$A$35,0)),"")&lt;&gt;"是",N($Q474)=0),0,IF(IFERROR(INDEX(单位档案!$H$6:$H$35,MATCH($E474,单位档案!$A$6:$A$35,0)),"")="税差法",ROUND(N($H474)/(1+$Q474)*$Q474-IF(N($R474)=0,0,$P474/(1+$R474)*$R474),2),ROUND(N($H474)/(1+$Q474)*$Q474,2)))</f>
        <v>0</v>
      </c>
      <c r="T474" s="36" t="n">
        <f aca="false">ROUND($S474*N(IFERROR(INDEX(单位档案!$J$6:$J$35,MATCH($E474,单位档案!$A$6:$A$35,0)),"")),2)</f>
        <v>0</v>
      </c>
      <c r="U474" s="36" t="n">
        <f aca="false">IF($D474&lt;&gt;"销项开票",0,ROUND(N($H474)*N(IFERROR(INDEX(单位档案!$K$6:$K$35,MATCH($E474,单位档案!$A$6:$A$35,0)),"")),2))</f>
        <v>0</v>
      </c>
      <c r="V474" s="36" t="n">
        <f aca="false">IF(OR($D474&lt;&gt;"销项开票",N($Q474)=0),0,ROUND(N($H474)/(1+$Q474)*N(IFERROR(INDEX(单位档案!$L$6:$L$35,MATCH($E474,单位档案!$A$6:$A$35,0)),"")),2))</f>
        <v>0</v>
      </c>
      <c r="W474" s="36" t="n">
        <f aca="false">ROUND($S474+$T474+$U474+$V474,2)</f>
        <v>0</v>
      </c>
      <c r="X474" s="35" t="str">
        <f aca="false">IF(OR($D474="挂靠代收",$D474="我方收款"),COUNTIFS($D$5:$D474,"挂靠代收")+COUNTIFS($D$5:$D474,"我方收款"),"")</f>
        <v/>
      </c>
      <c r="Y474" s="35"/>
      <c r="Z474" s="21" t="s">
        <v>111</v>
      </c>
    </row>
    <row r="475" customFormat="false" ht="15.75" hidden="false" customHeight="true" outlineLevel="0" collapsed="false">
      <c r="A475" s="32" t="str">
        <f aca="false">IF($B475="","",ROW()-4)</f>
        <v/>
      </c>
      <c r="B475" s="26"/>
      <c r="C475" s="24"/>
      <c r="D475" s="21"/>
      <c r="E475" s="21"/>
      <c r="F475" s="21"/>
      <c r="G475" s="21"/>
      <c r="H475" s="27"/>
      <c r="I475" s="23" t="str">
        <f aca="false">IF($D475&lt;&gt;"销项开票","",IF($N475="一级",IF(IFERROR(INDEX(项目档案!$E$6:$E$255,MATCH($C475,项目档案!$A$6:$A$255,0)),"")="",N(IFERROR(INDEX(单位档案!$D$6:$D$35,MATCH($E475,单位档案!$A$6:$A$35,0)),"")),IFERROR(INDEX(项目档案!$E$6:$E$255,MATCH($C475,项目档案!$A$6:$A$255,0)),"")),IF($N475="二级",IF(IFERROR(INDEX(项目档案!$G$6:$G$255,MATCH($C475,项目档案!$A$6:$A$255,0)),"")="",N(IFERROR(INDEX(单位档案!$D$6:$D$35,MATCH($E475,单位档案!$A$6:$A$35,0)),"")),IFERROR(INDEX(项目档案!$G$6:$G$255,MATCH($C475,项目档案!$A$6:$A$255,0)),"")),N(IFERROR(INDEX(单位档案!$D$6:$D$35,MATCH($E475,单位档案!$A$6:$A$35,0)),"")))))</f>
        <v/>
      </c>
      <c r="J475" s="22"/>
      <c r="K475" s="22"/>
      <c r="L475" s="33" t="str">
        <f aca="false">IF($B475="","",IF(NOT(ISNUMBER($B475)),"日期格式不对",IF($C475="","未选项目编号",IF(LEFT($M475,1)="⚠","项目编号不存在",IF($D475="","未选业务类型",IF($E475="","未选开票/付款方",IF(ISNA(MATCH($E475,单位档案!$A$6:$A$35,0)),"开票方不在单位档案",IF($F475="","未选收票/收款方",IF(ISNA(MATCH($F475,单位档案!$A$6:$A$35,0)),"收款方不在单位档案",IF(NOT(ISNUMBER($H475)),"金额须为数字",IF(AND($D475="销项开票",$N475="—"),"链条待确认","√")))))))))))</f>
        <v/>
      </c>
      <c r="M475" s="34" t="str">
        <f aca="false">IF($C475="","",IFERROR(INDEX(项目档案!$B$6:$B$255,MATCH($C475,项目档案!$A$6:$A$255,0)),"⚠项目编号不存在"))</f>
        <v/>
      </c>
      <c r="N475" s="35" t="str">
        <f aca="false">IF($E475="","",IF($E475=IFERROR(INDEX(项目档案!$D$6:$D$255,MATCH($C475,项目档案!$A$6:$A$255,0)),""),"一级",IF($E475=IFERROR(INDEX(项目档案!$F$6:$F$255,MATCH($C475,项目档案!$A$6:$A$255,0)),""),"二级",IF($E475=IFERROR(INDEX(项目档案!$H$6:$H$255,MATCH($C475,项目档案!$A$6:$A$255,0)),""),"我方","—"))))</f>
        <v/>
      </c>
      <c r="O475" s="36" t="n">
        <f aca="false">IF($D475&lt;&gt;"销项开票",0,ROUND(N($H475)*N($I475),2))</f>
        <v>0</v>
      </c>
      <c r="P475" s="36" t="n">
        <f aca="false">IF($D475&lt;&gt;"销项开票",0,ROUND(N($H475)-$O475,2))</f>
        <v>0</v>
      </c>
      <c r="Q475" s="37" t="str">
        <f aca="false">IF($E475="","",N(IFERROR(INDEX(单位档案!$E$6:$E$35,MATCH($E475,单位档案!$A$6:$A$35,0)),"")))</f>
        <v/>
      </c>
      <c r="R475" s="37" t="str">
        <f aca="false">IF($E475="","",N(IFERROR(INDEX(单位档案!$F$6:$F$35,MATCH($E475,单位档案!$A$6:$A$35,0)),"")))</f>
        <v/>
      </c>
      <c r="S475" s="36" t="n">
        <f aca="false">IF(OR($D475&lt;&gt;"销项开票",IFERROR(INDEX(单位档案!$G$6:$G$35,MATCH($E475,单位档案!$A$6:$A$35,0)),"")&lt;&gt;"是",N($Q475)=0),0,IF(IFERROR(INDEX(单位档案!$H$6:$H$35,MATCH($E475,单位档案!$A$6:$A$35,0)),"")="税差法",ROUND(N($H475)/(1+$Q475)*$Q475-IF(N($R475)=0,0,$P475/(1+$R475)*$R475),2),ROUND(N($H475)/(1+$Q475)*$Q475,2)))</f>
        <v>0</v>
      </c>
      <c r="T475" s="36" t="n">
        <f aca="false">ROUND($S475*N(IFERROR(INDEX(单位档案!$J$6:$J$35,MATCH($E475,单位档案!$A$6:$A$35,0)),"")),2)</f>
        <v>0</v>
      </c>
      <c r="U475" s="36" t="n">
        <f aca="false">IF($D475&lt;&gt;"销项开票",0,ROUND(N($H475)*N(IFERROR(INDEX(单位档案!$K$6:$K$35,MATCH($E475,单位档案!$A$6:$A$35,0)),"")),2))</f>
        <v>0</v>
      </c>
      <c r="V475" s="36" t="n">
        <f aca="false">IF(OR($D475&lt;&gt;"销项开票",N($Q475)=0),0,ROUND(N($H475)/(1+$Q475)*N(IFERROR(INDEX(单位档案!$L$6:$L$35,MATCH($E475,单位档案!$A$6:$A$35,0)),"")),2))</f>
        <v>0</v>
      </c>
      <c r="W475" s="36" t="n">
        <f aca="false">ROUND($S475+$T475+$U475+$V475,2)</f>
        <v>0</v>
      </c>
      <c r="X475" s="35" t="str">
        <f aca="false">IF(OR($D475="挂靠代收",$D475="我方收款"),COUNTIFS($D$5:$D475,"挂靠代收")+COUNTIFS($D$5:$D475,"我方收款"),"")</f>
        <v/>
      </c>
      <c r="Y475" s="35"/>
      <c r="Z475" s="21" t="s">
        <v>111</v>
      </c>
    </row>
    <row r="476" customFormat="false" ht="15.75" hidden="false" customHeight="true" outlineLevel="0" collapsed="false">
      <c r="A476" s="32" t="str">
        <f aca="false">IF($B476="","",ROW()-4)</f>
        <v/>
      </c>
      <c r="B476" s="26"/>
      <c r="C476" s="24"/>
      <c r="D476" s="21"/>
      <c r="E476" s="21"/>
      <c r="F476" s="21"/>
      <c r="G476" s="21"/>
      <c r="H476" s="27"/>
      <c r="I476" s="23" t="str">
        <f aca="false">IF($D476&lt;&gt;"销项开票","",IF($N476="一级",IF(IFERROR(INDEX(项目档案!$E$6:$E$255,MATCH($C476,项目档案!$A$6:$A$255,0)),"")="",N(IFERROR(INDEX(单位档案!$D$6:$D$35,MATCH($E476,单位档案!$A$6:$A$35,0)),"")),IFERROR(INDEX(项目档案!$E$6:$E$255,MATCH($C476,项目档案!$A$6:$A$255,0)),"")),IF($N476="二级",IF(IFERROR(INDEX(项目档案!$G$6:$G$255,MATCH($C476,项目档案!$A$6:$A$255,0)),"")="",N(IFERROR(INDEX(单位档案!$D$6:$D$35,MATCH($E476,单位档案!$A$6:$A$35,0)),"")),IFERROR(INDEX(项目档案!$G$6:$G$255,MATCH($C476,项目档案!$A$6:$A$255,0)),"")),N(IFERROR(INDEX(单位档案!$D$6:$D$35,MATCH($E476,单位档案!$A$6:$A$35,0)),"")))))</f>
        <v/>
      </c>
      <c r="J476" s="22"/>
      <c r="K476" s="22"/>
      <c r="L476" s="33" t="str">
        <f aca="false">IF($B476="","",IF(NOT(ISNUMBER($B476)),"日期格式不对",IF($C476="","未选项目编号",IF(LEFT($M476,1)="⚠","项目编号不存在",IF($D476="","未选业务类型",IF($E476="","未选开票/付款方",IF(ISNA(MATCH($E476,单位档案!$A$6:$A$35,0)),"开票方不在单位档案",IF($F476="","未选收票/收款方",IF(ISNA(MATCH($F476,单位档案!$A$6:$A$35,0)),"收款方不在单位档案",IF(NOT(ISNUMBER($H476)),"金额须为数字",IF(AND($D476="销项开票",$N476="—"),"链条待确认","√")))))))))))</f>
        <v/>
      </c>
      <c r="M476" s="34" t="str">
        <f aca="false">IF($C476="","",IFERROR(INDEX(项目档案!$B$6:$B$255,MATCH($C476,项目档案!$A$6:$A$255,0)),"⚠项目编号不存在"))</f>
        <v/>
      </c>
      <c r="N476" s="35" t="str">
        <f aca="false">IF($E476="","",IF($E476=IFERROR(INDEX(项目档案!$D$6:$D$255,MATCH($C476,项目档案!$A$6:$A$255,0)),""),"一级",IF($E476=IFERROR(INDEX(项目档案!$F$6:$F$255,MATCH($C476,项目档案!$A$6:$A$255,0)),""),"二级",IF($E476=IFERROR(INDEX(项目档案!$H$6:$H$255,MATCH($C476,项目档案!$A$6:$A$255,0)),""),"我方","—"))))</f>
        <v/>
      </c>
      <c r="O476" s="36" t="n">
        <f aca="false">IF($D476&lt;&gt;"销项开票",0,ROUND(N($H476)*N($I476),2))</f>
        <v>0</v>
      </c>
      <c r="P476" s="36" t="n">
        <f aca="false">IF($D476&lt;&gt;"销项开票",0,ROUND(N($H476)-$O476,2))</f>
        <v>0</v>
      </c>
      <c r="Q476" s="37" t="str">
        <f aca="false">IF($E476="","",N(IFERROR(INDEX(单位档案!$E$6:$E$35,MATCH($E476,单位档案!$A$6:$A$35,0)),"")))</f>
        <v/>
      </c>
      <c r="R476" s="37" t="str">
        <f aca="false">IF($E476="","",N(IFERROR(INDEX(单位档案!$F$6:$F$35,MATCH($E476,单位档案!$A$6:$A$35,0)),"")))</f>
        <v/>
      </c>
      <c r="S476" s="36" t="n">
        <f aca="false">IF(OR($D476&lt;&gt;"销项开票",IFERROR(INDEX(单位档案!$G$6:$G$35,MATCH($E476,单位档案!$A$6:$A$35,0)),"")&lt;&gt;"是",N($Q476)=0),0,IF(IFERROR(INDEX(单位档案!$H$6:$H$35,MATCH($E476,单位档案!$A$6:$A$35,0)),"")="税差法",ROUND(N($H476)/(1+$Q476)*$Q476-IF(N($R476)=0,0,$P476/(1+$R476)*$R476),2),ROUND(N($H476)/(1+$Q476)*$Q476,2)))</f>
        <v>0</v>
      </c>
      <c r="T476" s="36" t="n">
        <f aca="false">ROUND($S476*N(IFERROR(INDEX(单位档案!$J$6:$J$35,MATCH($E476,单位档案!$A$6:$A$35,0)),"")),2)</f>
        <v>0</v>
      </c>
      <c r="U476" s="36" t="n">
        <f aca="false">IF($D476&lt;&gt;"销项开票",0,ROUND(N($H476)*N(IFERROR(INDEX(单位档案!$K$6:$K$35,MATCH($E476,单位档案!$A$6:$A$35,0)),"")),2))</f>
        <v>0</v>
      </c>
      <c r="V476" s="36" t="n">
        <f aca="false">IF(OR($D476&lt;&gt;"销项开票",N($Q476)=0),0,ROUND(N($H476)/(1+$Q476)*N(IFERROR(INDEX(单位档案!$L$6:$L$35,MATCH($E476,单位档案!$A$6:$A$35,0)),"")),2))</f>
        <v>0</v>
      </c>
      <c r="W476" s="36" t="n">
        <f aca="false">ROUND($S476+$T476+$U476+$V476,2)</f>
        <v>0</v>
      </c>
      <c r="X476" s="35" t="str">
        <f aca="false">IF(OR($D476="挂靠代收",$D476="我方收款"),COUNTIFS($D$5:$D476,"挂靠代收")+COUNTIFS($D$5:$D476,"我方收款"),"")</f>
        <v/>
      </c>
      <c r="Y476" s="35"/>
      <c r="Z476" s="21" t="s">
        <v>111</v>
      </c>
    </row>
    <row r="477" customFormat="false" ht="15.75" hidden="false" customHeight="true" outlineLevel="0" collapsed="false">
      <c r="A477" s="32" t="str">
        <f aca="false">IF($B477="","",ROW()-4)</f>
        <v/>
      </c>
      <c r="B477" s="26"/>
      <c r="C477" s="24"/>
      <c r="D477" s="21"/>
      <c r="E477" s="21"/>
      <c r="F477" s="21"/>
      <c r="G477" s="21"/>
      <c r="H477" s="27"/>
      <c r="I477" s="23" t="str">
        <f aca="false">IF($D477&lt;&gt;"销项开票","",IF($N477="一级",IF(IFERROR(INDEX(项目档案!$E$6:$E$255,MATCH($C477,项目档案!$A$6:$A$255,0)),"")="",N(IFERROR(INDEX(单位档案!$D$6:$D$35,MATCH($E477,单位档案!$A$6:$A$35,0)),"")),IFERROR(INDEX(项目档案!$E$6:$E$255,MATCH($C477,项目档案!$A$6:$A$255,0)),"")),IF($N477="二级",IF(IFERROR(INDEX(项目档案!$G$6:$G$255,MATCH($C477,项目档案!$A$6:$A$255,0)),"")="",N(IFERROR(INDEX(单位档案!$D$6:$D$35,MATCH($E477,单位档案!$A$6:$A$35,0)),"")),IFERROR(INDEX(项目档案!$G$6:$G$255,MATCH($C477,项目档案!$A$6:$A$255,0)),"")),N(IFERROR(INDEX(单位档案!$D$6:$D$35,MATCH($E477,单位档案!$A$6:$A$35,0)),"")))))</f>
        <v/>
      </c>
      <c r="J477" s="22"/>
      <c r="K477" s="22"/>
      <c r="L477" s="33" t="str">
        <f aca="false">IF($B477="","",IF(NOT(ISNUMBER($B477)),"日期格式不对",IF($C477="","未选项目编号",IF(LEFT($M477,1)="⚠","项目编号不存在",IF($D477="","未选业务类型",IF($E477="","未选开票/付款方",IF(ISNA(MATCH($E477,单位档案!$A$6:$A$35,0)),"开票方不在单位档案",IF($F477="","未选收票/收款方",IF(ISNA(MATCH($F477,单位档案!$A$6:$A$35,0)),"收款方不在单位档案",IF(NOT(ISNUMBER($H477)),"金额须为数字",IF(AND($D477="销项开票",$N477="—"),"链条待确认","√")))))))))))</f>
        <v/>
      </c>
      <c r="M477" s="34" t="str">
        <f aca="false">IF($C477="","",IFERROR(INDEX(项目档案!$B$6:$B$255,MATCH($C477,项目档案!$A$6:$A$255,0)),"⚠项目编号不存在"))</f>
        <v/>
      </c>
      <c r="N477" s="35" t="str">
        <f aca="false">IF($E477="","",IF($E477=IFERROR(INDEX(项目档案!$D$6:$D$255,MATCH($C477,项目档案!$A$6:$A$255,0)),""),"一级",IF($E477=IFERROR(INDEX(项目档案!$F$6:$F$255,MATCH($C477,项目档案!$A$6:$A$255,0)),""),"二级",IF($E477=IFERROR(INDEX(项目档案!$H$6:$H$255,MATCH($C477,项目档案!$A$6:$A$255,0)),""),"我方","—"))))</f>
        <v/>
      </c>
      <c r="O477" s="36" t="n">
        <f aca="false">IF($D477&lt;&gt;"销项开票",0,ROUND(N($H477)*N($I477),2))</f>
        <v>0</v>
      </c>
      <c r="P477" s="36" t="n">
        <f aca="false">IF($D477&lt;&gt;"销项开票",0,ROUND(N($H477)-$O477,2))</f>
        <v>0</v>
      </c>
      <c r="Q477" s="37" t="str">
        <f aca="false">IF($E477="","",N(IFERROR(INDEX(单位档案!$E$6:$E$35,MATCH($E477,单位档案!$A$6:$A$35,0)),"")))</f>
        <v/>
      </c>
      <c r="R477" s="37" t="str">
        <f aca="false">IF($E477="","",N(IFERROR(INDEX(单位档案!$F$6:$F$35,MATCH($E477,单位档案!$A$6:$A$35,0)),"")))</f>
        <v/>
      </c>
      <c r="S477" s="36" t="n">
        <f aca="false">IF(OR($D477&lt;&gt;"销项开票",IFERROR(INDEX(单位档案!$G$6:$G$35,MATCH($E477,单位档案!$A$6:$A$35,0)),"")&lt;&gt;"是",N($Q477)=0),0,IF(IFERROR(INDEX(单位档案!$H$6:$H$35,MATCH($E477,单位档案!$A$6:$A$35,0)),"")="税差法",ROUND(N($H477)/(1+$Q477)*$Q477-IF(N($R477)=0,0,$P477/(1+$R477)*$R477),2),ROUND(N($H477)/(1+$Q477)*$Q477,2)))</f>
        <v>0</v>
      </c>
      <c r="T477" s="36" t="n">
        <f aca="false">ROUND($S477*N(IFERROR(INDEX(单位档案!$J$6:$J$35,MATCH($E477,单位档案!$A$6:$A$35,0)),"")),2)</f>
        <v>0</v>
      </c>
      <c r="U477" s="36" t="n">
        <f aca="false">IF($D477&lt;&gt;"销项开票",0,ROUND(N($H477)*N(IFERROR(INDEX(单位档案!$K$6:$K$35,MATCH($E477,单位档案!$A$6:$A$35,0)),"")),2))</f>
        <v>0</v>
      </c>
      <c r="V477" s="36" t="n">
        <f aca="false">IF(OR($D477&lt;&gt;"销项开票",N($Q477)=0),0,ROUND(N($H477)/(1+$Q477)*N(IFERROR(INDEX(单位档案!$L$6:$L$35,MATCH($E477,单位档案!$A$6:$A$35,0)),"")),2))</f>
        <v>0</v>
      </c>
      <c r="W477" s="36" t="n">
        <f aca="false">ROUND($S477+$T477+$U477+$V477,2)</f>
        <v>0</v>
      </c>
      <c r="X477" s="35" t="str">
        <f aca="false">IF(OR($D477="挂靠代收",$D477="我方收款"),COUNTIFS($D$5:$D477,"挂靠代收")+COUNTIFS($D$5:$D477,"我方收款"),"")</f>
        <v/>
      </c>
      <c r="Y477" s="35"/>
      <c r="Z477" s="21" t="s">
        <v>111</v>
      </c>
    </row>
    <row r="478" customFormat="false" ht="15.75" hidden="false" customHeight="true" outlineLevel="0" collapsed="false">
      <c r="A478" s="32" t="str">
        <f aca="false">IF($B478="","",ROW()-4)</f>
        <v/>
      </c>
      <c r="B478" s="26"/>
      <c r="C478" s="24"/>
      <c r="D478" s="21"/>
      <c r="E478" s="21"/>
      <c r="F478" s="21"/>
      <c r="G478" s="21"/>
      <c r="H478" s="27"/>
      <c r="I478" s="23" t="str">
        <f aca="false">IF($D478&lt;&gt;"销项开票","",IF($N478="一级",IF(IFERROR(INDEX(项目档案!$E$6:$E$255,MATCH($C478,项目档案!$A$6:$A$255,0)),"")="",N(IFERROR(INDEX(单位档案!$D$6:$D$35,MATCH($E478,单位档案!$A$6:$A$35,0)),"")),IFERROR(INDEX(项目档案!$E$6:$E$255,MATCH($C478,项目档案!$A$6:$A$255,0)),"")),IF($N478="二级",IF(IFERROR(INDEX(项目档案!$G$6:$G$255,MATCH($C478,项目档案!$A$6:$A$255,0)),"")="",N(IFERROR(INDEX(单位档案!$D$6:$D$35,MATCH($E478,单位档案!$A$6:$A$35,0)),"")),IFERROR(INDEX(项目档案!$G$6:$G$255,MATCH($C478,项目档案!$A$6:$A$255,0)),"")),N(IFERROR(INDEX(单位档案!$D$6:$D$35,MATCH($E478,单位档案!$A$6:$A$35,0)),"")))))</f>
        <v/>
      </c>
      <c r="J478" s="22"/>
      <c r="K478" s="22"/>
      <c r="L478" s="33" t="str">
        <f aca="false">IF($B478="","",IF(NOT(ISNUMBER($B478)),"日期格式不对",IF($C478="","未选项目编号",IF(LEFT($M478,1)="⚠","项目编号不存在",IF($D478="","未选业务类型",IF($E478="","未选开票/付款方",IF(ISNA(MATCH($E478,单位档案!$A$6:$A$35,0)),"开票方不在单位档案",IF($F478="","未选收票/收款方",IF(ISNA(MATCH($F478,单位档案!$A$6:$A$35,0)),"收款方不在单位档案",IF(NOT(ISNUMBER($H478)),"金额须为数字",IF(AND($D478="销项开票",$N478="—"),"链条待确认","√")))))))))))</f>
        <v/>
      </c>
      <c r="M478" s="34" t="str">
        <f aca="false">IF($C478="","",IFERROR(INDEX(项目档案!$B$6:$B$255,MATCH($C478,项目档案!$A$6:$A$255,0)),"⚠项目编号不存在"))</f>
        <v/>
      </c>
      <c r="N478" s="35" t="str">
        <f aca="false">IF($E478="","",IF($E478=IFERROR(INDEX(项目档案!$D$6:$D$255,MATCH($C478,项目档案!$A$6:$A$255,0)),""),"一级",IF($E478=IFERROR(INDEX(项目档案!$F$6:$F$255,MATCH($C478,项目档案!$A$6:$A$255,0)),""),"二级",IF($E478=IFERROR(INDEX(项目档案!$H$6:$H$255,MATCH($C478,项目档案!$A$6:$A$255,0)),""),"我方","—"))))</f>
        <v/>
      </c>
      <c r="O478" s="36" t="n">
        <f aca="false">IF($D478&lt;&gt;"销项开票",0,ROUND(N($H478)*N($I478),2))</f>
        <v>0</v>
      </c>
      <c r="P478" s="36" t="n">
        <f aca="false">IF($D478&lt;&gt;"销项开票",0,ROUND(N($H478)-$O478,2))</f>
        <v>0</v>
      </c>
      <c r="Q478" s="37" t="str">
        <f aca="false">IF($E478="","",N(IFERROR(INDEX(单位档案!$E$6:$E$35,MATCH($E478,单位档案!$A$6:$A$35,0)),"")))</f>
        <v/>
      </c>
      <c r="R478" s="37" t="str">
        <f aca="false">IF($E478="","",N(IFERROR(INDEX(单位档案!$F$6:$F$35,MATCH($E478,单位档案!$A$6:$A$35,0)),"")))</f>
        <v/>
      </c>
      <c r="S478" s="36" t="n">
        <f aca="false">IF(OR($D478&lt;&gt;"销项开票",IFERROR(INDEX(单位档案!$G$6:$G$35,MATCH($E478,单位档案!$A$6:$A$35,0)),"")&lt;&gt;"是",N($Q478)=0),0,IF(IFERROR(INDEX(单位档案!$H$6:$H$35,MATCH($E478,单位档案!$A$6:$A$35,0)),"")="税差法",ROUND(N($H478)/(1+$Q478)*$Q478-IF(N($R478)=0,0,$P478/(1+$R478)*$R478),2),ROUND(N($H478)/(1+$Q478)*$Q478,2)))</f>
        <v>0</v>
      </c>
      <c r="T478" s="36" t="n">
        <f aca="false">ROUND($S478*N(IFERROR(INDEX(单位档案!$J$6:$J$35,MATCH($E478,单位档案!$A$6:$A$35,0)),"")),2)</f>
        <v>0</v>
      </c>
      <c r="U478" s="36" t="n">
        <f aca="false">IF($D478&lt;&gt;"销项开票",0,ROUND(N($H478)*N(IFERROR(INDEX(单位档案!$K$6:$K$35,MATCH($E478,单位档案!$A$6:$A$35,0)),"")),2))</f>
        <v>0</v>
      </c>
      <c r="V478" s="36" t="n">
        <f aca="false">IF(OR($D478&lt;&gt;"销项开票",N($Q478)=0),0,ROUND(N($H478)/(1+$Q478)*N(IFERROR(INDEX(单位档案!$L$6:$L$35,MATCH($E478,单位档案!$A$6:$A$35,0)),"")),2))</f>
        <v>0</v>
      </c>
      <c r="W478" s="36" t="n">
        <f aca="false">ROUND($S478+$T478+$U478+$V478,2)</f>
        <v>0</v>
      </c>
      <c r="X478" s="35" t="str">
        <f aca="false">IF(OR($D478="挂靠代收",$D478="我方收款"),COUNTIFS($D$5:$D478,"挂靠代收")+COUNTIFS($D$5:$D478,"我方收款"),"")</f>
        <v/>
      </c>
      <c r="Y478" s="35"/>
      <c r="Z478" s="21" t="s">
        <v>111</v>
      </c>
    </row>
    <row r="479" customFormat="false" ht="15.75" hidden="false" customHeight="true" outlineLevel="0" collapsed="false">
      <c r="A479" s="32" t="str">
        <f aca="false">IF($B479="","",ROW()-4)</f>
        <v/>
      </c>
      <c r="B479" s="26"/>
      <c r="C479" s="24"/>
      <c r="D479" s="21"/>
      <c r="E479" s="21"/>
      <c r="F479" s="21"/>
      <c r="G479" s="21"/>
      <c r="H479" s="27"/>
      <c r="I479" s="23" t="str">
        <f aca="false">IF($D479&lt;&gt;"销项开票","",IF($N479="一级",IF(IFERROR(INDEX(项目档案!$E$6:$E$255,MATCH($C479,项目档案!$A$6:$A$255,0)),"")="",N(IFERROR(INDEX(单位档案!$D$6:$D$35,MATCH($E479,单位档案!$A$6:$A$35,0)),"")),IFERROR(INDEX(项目档案!$E$6:$E$255,MATCH($C479,项目档案!$A$6:$A$255,0)),"")),IF($N479="二级",IF(IFERROR(INDEX(项目档案!$G$6:$G$255,MATCH($C479,项目档案!$A$6:$A$255,0)),"")="",N(IFERROR(INDEX(单位档案!$D$6:$D$35,MATCH($E479,单位档案!$A$6:$A$35,0)),"")),IFERROR(INDEX(项目档案!$G$6:$G$255,MATCH($C479,项目档案!$A$6:$A$255,0)),"")),N(IFERROR(INDEX(单位档案!$D$6:$D$35,MATCH($E479,单位档案!$A$6:$A$35,0)),"")))))</f>
        <v/>
      </c>
      <c r="J479" s="22"/>
      <c r="K479" s="22"/>
      <c r="L479" s="33" t="str">
        <f aca="false">IF($B479="","",IF(NOT(ISNUMBER($B479)),"日期格式不对",IF($C479="","未选项目编号",IF(LEFT($M479,1)="⚠","项目编号不存在",IF($D479="","未选业务类型",IF($E479="","未选开票/付款方",IF(ISNA(MATCH($E479,单位档案!$A$6:$A$35,0)),"开票方不在单位档案",IF($F479="","未选收票/收款方",IF(ISNA(MATCH($F479,单位档案!$A$6:$A$35,0)),"收款方不在单位档案",IF(NOT(ISNUMBER($H479)),"金额须为数字",IF(AND($D479="销项开票",$N479="—"),"链条待确认","√")))))))))))</f>
        <v/>
      </c>
      <c r="M479" s="34" t="str">
        <f aca="false">IF($C479="","",IFERROR(INDEX(项目档案!$B$6:$B$255,MATCH($C479,项目档案!$A$6:$A$255,0)),"⚠项目编号不存在"))</f>
        <v/>
      </c>
      <c r="N479" s="35" t="str">
        <f aca="false">IF($E479="","",IF($E479=IFERROR(INDEX(项目档案!$D$6:$D$255,MATCH($C479,项目档案!$A$6:$A$255,0)),""),"一级",IF($E479=IFERROR(INDEX(项目档案!$F$6:$F$255,MATCH($C479,项目档案!$A$6:$A$255,0)),""),"二级",IF($E479=IFERROR(INDEX(项目档案!$H$6:$H$255,MATCH($C479,项目档案!$A$6:$A$255,0)),""),"我方","—"))))</f>
        <v/>
      </c>
      <c r="O479" s="36" t="n">
        <f aca="false">IF($D479&lt;&gt;"销项开票",0,ROUND(N($H479)*N($I479),2))</f>
        <v>0</v>
      </c>
      <c r="P479" s="36" t="n">
        <f aca="false">IF($D479&lt;&gt;"销项开票",0,ROUND(N($H479)-$O479,2))</f>
        <v>0</v>
      </c>
      <c r="Q479" s="37" t="str">
        <f aca="false">IF($E479="","",N(IFERROR(INDEX(单位档案!$E$6:$E$35,MATCH($E479,单位档案!$A$6:$A$35,0)),"")))</f>
        <v/>
      </c>
      <c r="R479" s="37" t="str">
        <f aca="false">IF($E479="","",N(IFERROR(INDEX(单位档案!$F$6:$F$35,MATCH($E479,单位档案!$A$6:$A$35,0)),"")))</f>
        <v/>
      </c>
      <c r="S479" s="36" t="n">
        <f aca="false">IF(OR($D479&lt;&gt;"销项开票",IFERROR(INDEX(单位档案!$G$6:$G$35,MATCH($E479,单位档案!$A$6:$A$35,0)),"")&lt;&gt;"是",N($Q479)=0),0,IF(IFERROR(INDEX(单位档案!$H$6:$H$35,MATCH($E479,单位档案!$A$6:$A$35,0)),"")="税差法",ROUND(N($H479)/(1+$Q479)*$Q479-IF(N($R479)=0,0,$P479/(1+$R479)*$R479),2),ROUND(N($H479)/(1+$Q479)*$Q479,2)))</f>
        <v>0</v>
      </c>
      <c r="T479" s="36" t="n">
        <f aca="false">ROUND($S479*N(IFERROR(INDEX(单位档案!$J$6:$J$35,MATCH($E479,单位档案!$A$6:$A$35,0)),"")),2)</f>
        <v>0</v>
      </c>
      <c r="U479" s="36" t="n">
        <f aca="false">IF($D479&lt;&gt;"销项开票",0,ROUND(N($H479)*N(IFERROR(INDEX(单位档案!$K$6:$K$35,MATCH($E479,单位档案!$A$6:$A$35,0)),"")),2))</f>
        <v>0</v>
      </c>
      <c r="V479" s="36" t="n">
        <f aca="false">IF(OR($D479&lt;&gt;"销项开票",N($Q479)=0),0,ROUND(N($H479)/(1+$Q479)*N(IFERROR(INDEX(单位档案!$L$6:$L$35,MATCH($E479,单位档案!$A$6:$A$35,0)),"")),2))</f>
        <v>0</v>
      </c>
      <c r="W479" s="36" t="n">
        <f aca="false">ROUND($S479+$T479+$U479+$V479,2)</f>
        <v>0</v>
      </c>
      <c r="X479" s="35" t="str">
        <f aca="false">IF(OR($D479="挂靠代收",$D479="我方收款"),COUNTIFS($D$5:$D479,"挂靠代收")+COUNTIFS($D$5:$D479,"我方收款"),"")</f>
        <v/>
      </c>
      <c r="Y479" s="35"/>
      <c r="Z479" s="21" t="s">
        <v>111</v>
      </c>
    </row>
    <row r="480" customFormat="false" ht="15.75" hidden="false" customHeight="true" outlineLevel="0" collapsed="false">
      <c r="A480" s="32" t="str">
        <f aca="false">IF($B480="","",ROW()-4)</f>
        <v/>
      </c>
      <c r="B480" s="26"/>
      <c r="C480" s="24"/>
      <c r="D480" s="21"/>
      <c r="E480" s="21"/>
      <c r="F480" s="21"/>
      <c r="G480" s="21"/>
      <c r="H480" s="27"/>
      <c r="I480" s="23" t="str">
        <f aca="false">IF($D480&lt;&gt;"销项开票","",IF($N480="一级",IF(IFERROR(INDEX(项目档案!$E$6:$E$255,MATCH($C480,项目档案!$A$6:$A$255,0)),"")="",N(IFERROR(INDEX(单位档案!$D$6:$D$35,MATCH($E480,单位档案!$A$6:$A$35,0)),"")),IFERROR(INDEX(项目档案!$E$6:$E$255,MATCH($C480,项目档案!$A$6:$A$255,0)),"")),IF($N480="二级",IF(IFERROR(INDEX(项目档案!$G$6:$G$255,MATCH($C480,项目档案!$A$6:$A$255,0)),"")="",N(IFERROR(INDEX(单位档案!$D$6:$D$35,MATCH($E480,单位档案!$A$6:$A$35,0)),"")),IFERROR(INDEX(项目档案!$G$6:$G$255,MATCH($C480,项目档案!$A$6:$A$255,0)),"")),N(IFERROR(INDEX(单位档案!$D$6:$D$35,MATCH($E480,单位档案!$A$6:$A$35,0)),"")))))</f>
        <v/>
      </c>
      <c r="J480" s="22"/>
      <c r="K480" s="22"/>
      <c r="L480" s="33" t="str">
        <f aca="false">IF($B480="","",IF(NOT(ISNUMBER($B480)),"日期格式不对",IF($C480="","未选项目编号",IF(LEFT($M480,1)="⚠","项目编号不存在",IF($D480="","未选业务类型",IF($E480="","未选开票/付款方",IF(ISNA(MATCH($E480,单位档案!$A$6:$A$35,0)),"开票方不在单位档案",IF($F480="","未选收票/收款方",IF(ISNA(MATCH($F480,单位档案!$A$6:$A$35,0)),"收款方不在单位档案",IF(NOT(ISNUMBER($H480)),"金额须为数字",IF(AND($D480="销项开票",$N480="—"),"链条待确认","√")))))))))))</f>
        <v/>
      </c>
      <c r="M480" s="34" t="str">
        <f aca="false">IF($C480="","",IFERROR(INDEX(项目档案!$B$6:$B$255,MATCH($C480,项目档案!$A$6:$A$255,0)),"⚠项目编号不存在"))</f>
        <v/>
      </c>
      <c r="N480" s="35" t="str">
        <f aca="false">IF($E480="","",IF($E480=IFERROR(INDEX(项目档案!$D$6:$D$255,MATCH($C480,项目档案!$A$6:$A$255,0)),""),"一级",IF($E480=IFERROR(INDEX(项目档案!$F$6:$F$255,MATCH($C480,项目档案!$A$6:$A$255,0)),""),"二级",IF($E480=IFERROR(INDEX(项目档案!$H$6:$H$255,MATCH($C480,项目档案!$A$6:$A$255,0)),""),"我方","—"))))</f>
        <v/>
      </c>
      <c r="O480" s="36" t="n">
        <f aca="false">IF($D480&lt;&gt;"销项开票",0,ROUND(N($H480)*N($I480),2))</f>
        <v>0</v>
      </c>
      <c r="P480" s="36" t="n">
        <f aca="false">IF($D480&lt;&gt;"销项开票",0,ROUND(N($H480)-$O480,2))</f>
        <v>0</v>
      </c>
      <c r="Q480" s="37" t="str">
        <f aca="false">IF($E480="","",N(IFERROR(INDEX(单位档案!$E$6:$E$35,MATCH($E480,单位档案!$A$6:$A$35,0)),"")))</f>
        <v/>
      </c>
      <c r="R480" s="37" t="str">
        <f aca="false">IF($E480="","",N(IFERROR(INDEX(单位档案!$F$6:$F$35,MATCH($E480,单位档案!$A$6:$A$35,0)),"")))</f>
        <v/>
      </c>
      <c r="S480" s="36" t="n">
        <f aca="false">IF(OR($D480&lt;&gt;"销项开票",IFERROR(INDEX(单位档案!$G$6:$G$35,MATCH($E480,单位档案!$A$6:$A$35,0)),"")&lt;&gt;"是",N($Q480)=0),0,IF(IFERROR(INDEX(单位档案!$H$6:$H$35,MATCH($E480,单位档案!$A$6:$A$35,0)),"")="税差法",ROUND(N($H480)/(1+$Q480)*$Q480-IF(N($R480)=0,0,$P480/(1+$R480)*$R480),2),ROUND(N($H480)/(1+$Q480)*$Q480,2)))</f>
        <v>0</v>
      </c>
      <c r="T480" s="36" t="n">
        <f aca="false">ROUND($S480*N(IFERROR(INDEX(单位档案!$J$6:$J$35,MATCH($E480,单位档案!$A$6:$A$35,0)),"")),2)</f>
        <v>0</v>
      </c>
      <c r="U480" s="36" t="n">
        <f aca="false">IF($D480&lt;&gt;"销项开票",0,ROUND(N($H480)*N(IFERROR(INDEX(单位档案!$K$6:$K$35,MATCH($E480,单位档案!$A$6:$A$35,0)),"")),2))</f>
        <v>0</v>
      </c>
      <c r="V480" s="36" t="n">
        <f aca="false">IF(OR($D480&lt;&gt;"销项开票",N($Q480)=0),0,ROUND(N($H480)/(1+$Q480)*N(IFERROR(INDEX(单位档案!$L$6:$L$35,MATCH($E480,单位档案!$A$6:$A$35,0)),"")),2))</f>
        <v>0</v>
      </c>
      <c r="W480" s="36" t="n">
        <f aca="false">ROUND($S480+$T480+$U480+$V480,2)</f>
        <v>0</v>
      </c>
      <c r="X480" s="35" t="str">
        <f aca="false">IF(OR($D480="挂靠代收",$D480="我方收款"),COUNTIFS($D$5:$D480,"挂靠代收")+COUNTIFS($D$5:$D480,"我方收款"),"")</f>
        <v/>
      </c>
      <c r="Y480" s="35"/>
      <c r="Z480" s="21" t="s">
        <v>111</v>
      </c>
    </row>
    <row r="481" customFormat="false" ht="15.75" hidden="false" customHeight="true" outlineLevel="0" collapsed="false">
      <c r="A481" s="32" t="str">
        <f aca="false">IF($B481="","",ROW()-4)</f>
        <v/>
      </c>
      <c r="B481" s="26"/>
      <c r="C481" s="24"/>
      <c r="D481" s="21"/>
      <c r="E481" s="21"/>
      <c r="F481" s="21"/>
      <c r="G481" s="21"/>
      <c r="H481" s="27"/>
      <c r="I481" s="23" t="str">
        <f aca="false">IF($D481&lt;&gt;"销项开票","",IF($N481="一级",IF(IFERROR(INDEX(项目档案!$E$6:$E$255,MATCH($C481,项目档案!$A$6:$A$255,0)),"")="",N(IFERROR(INDEX(单位档案!$D$6:$D$35,MATCH($E481,单位档案!$A$6:$A$35,0)),"")),IFERROR(INDEX(项目档案!$E$6:$E$255,MATCH($C481,项目档案!$A$6:$A$255,0)),"")),IF($N481="二级",IF(IFERROR(INDEX(项目档案!$G$6:$G$255,MATCH($C481,项目档案!$A$6:$A$255,0)),"")="",N(IFERROR(INDEX(单位档案!$D$6:$D$35,MATCH($E481,单位档案!$A$6:$A$35,0)),"")),IFERROR(INDEX(项目档案!$G$6:$G$255,MATCH($C481,项目档案!$A$6:$A$255,0)),"")),N(IFERROR(INDEX(单位档案!$D$6:$D$35,MATCH($E481,单位档案!$A$6:$A$35,0)),"")))))</f>
        <v/>
      </c>
      <c r="J481" s="22"/>
      <c r="K481" s="22"/>
      <c r="L481" s="33" t="str">
        <f aca="false">IF($B481="","",IF(NOT(ISNUMBER($B481)),"日期格式不对",IF($C481="","未选项目编号",IF(LEFT($M481,1)="⚠","项目编号不存在",IF($D481="","未选业务类型",IF($E481="","未选开票/付款方",IF(ISNA(MATCH($E481,单位档案!$A$6:$A$35,0)),"开票方不在单位档案",IF($F481="","未选收票/收款方",IF(ISNA(MATCH($F481,单位档案!$A$6:$A$35,0)),"收款方不在单位档案",IF(NOT(ISNUMBER($H481)),"金额须为数字",IF(AND($D481="销项开票",$N481="—"),"链条待确认","√")))))))))))</f>
        <v/>
      </c>
      <c r="M481" s="34" t="str">
        <f aca="false">IF($C481="","",IFERROR(INDEX(项目档案!$B$6:$B$255,MATCH($C481,项目档案!$A$6:$A$255,0)),"⚠项目编号不存在"))</f>
        <v/>
      </c>
      <c r="N481" s="35" t="str">
        <f aca="false">IF($E481="","",IF($E481=IFERROR(INDEX(项目档案!$D$6:$D$255,MATCH($C481,项目档案!$A$6:$A$255,0)),""),"一级",IF($E481=IFERROR(INDEX(项目档案!$F$6:$F$255,MATCH($C481,项目档案!$A$6:$A$255,0)),""),"二级",IF($E481=IFERROR(INDEX(项目档案!$H$6:$H$255,MATCH($C481,项目档案!$A$6:$A$255,0)),""),"我方","—"))))</f>
        <v/>
      </c>
      <c r="O481" s="36" t="n">
        <f aca="false">IF($D481&lt;&gt;"销项开票",0,ROUND(N($H481)*N($I481),2))</f>
        <v>0</v>
      </c>
      <c r="P481" s="36" t="n">
        <f aca="false">IF($D481&lt;&gt;"销项开票",0,ROUND(N($H481)-$O481,2))</f>
        <v>0</v>
      </c>
      <c r="Q481" s="37" t="str">
        <f aca="false">IF($E481="","",N(IFERROR(INDEX(单位档案!$E$6:$E$35,MATCH($E481,单位档案!$A$6:$A$35,0)),"")))</f>
        <v/>
      </c>
      <c r="R481" s="37" t="str">
        <f aca="false">IF($E481="","",N(IFERROR(INDEX(单位档案!$F$6:$F$35,MATCH($E481,单位档案!$A$6:$A$35,0)),"")))</f>
        <v/>
      </c>
      <c r="S481" s="36" t="n">
        <f aca="false">IF(OR($D481&lt;&gt;"销项开票",IFERROR(INDEX(单位档案!$G$6:$G$35,MATCH($E481,单位档案!$A$6:$A$35,0)),"")&lt;&gt;"是",N($Q481)=0),0,IF(IFERROR(INDEX(单位档案!$H$6:$H$35,MATCH($E481,单位档案!$A$6:$A$35,0)),"")="税差法",ROUND(N($H481)/(1+$Q481)*$Q481-IF(N($R481)=0,0,$P481/(1+$R481)*$R481),2),ROUND(N($H481)/(1+$Q481)*$Q481,2)))</f>
        <v>0</v>
      </c>
      <c r="T481" s="36" t="n">
        <f aca="false">ROUND($S481*N(IFERROR(INDEX(单位档案!$J$6:$J$35,MATCH($E481,单位档案!$A$6:$A$35,0)),"")),2)</f>
        <v>0</v>
      </c>
      <c r="U481" s="36" t="n">
        <f aca="false">IF($D481&lt;&gt;"销项开票",0,ROUND(N($H481)*N(IFERROR(INDEX(单位档案!$K$6:$K$35,MATCH($E481,单位档案!$A$6:$A$35,0)),"")),2))</f>
        <v>0</v>
      </c>
      <c r="V481" s="36" t="n">
        <f aca="false">IF(OR($D481&lt;&gt;"销项开票",N($Q481)=0),0,ROUND(N($H481)/(1+$Q481)*N(IFERROR(INDEX(单位档案!$L$6:$L$35,MATCH($E481,单位档案!$A$6:$A$35,0)),"")),2))</f>
        <v>0</v>
      </c>
      <c r="W481" s="36" t="n">
        <f aca="false">ROUND($S481+$T481+$U481+$V481,2)</f>
        <v>0</v>
      </c>
      <c r="X481" s="35" t="str">
        <f aca="false">IF(OR($D481="挂靠代收",$D481="我方收款"),COUNTIFS($D$5:$D481,"挂靠代收")+COUNTIFS($D$5:$D481,"我方收款"),"")</f>
        <v/>
      </c>
      <c r="Y481" s="35"/>
      <c r="Z481" s="21" t="s">
        <v>111</v>
      </c>
    </row>
    <row r="482" customFormat="false" ht="15.75" hidden="false" customHeight="true" outlineLevel="0" collapsed="false">
      <c r="A482" s="32" t="str">
        <f aca="false">IF($B482="","",ROW()-4)</f>
        <v/>
      </c>
      <c r="B482" s="26"/>
      <c r="C482" s="24"/>
      <c r="D482" s="21"/>
      <c r="E482" s="21"/>
      <c r="F482" s="21"/>
      <c r="G482" s="21"/>
      <c r="H482" s="27"/>
      <c r="I482" s="23" t="str">
        <f aca="false">IF($D482&lt;&gt;"销项开票","",IF($N482="一级",IF(IFERROR(INDEX(项目档案!$E$6:$E$255,MATCH($C482,项目档案!$A$6:$A$255,0)),"")="",N(IFERROR(INDEX(单位档案!$D$6:$D$35,MATCH($E482,单位档案!$A$6:$A$35,0)),"")),IFERROR(INDEX(项目档案!$E$6:$E$255,MATCH($C482,项目档案!$A$6:$A$255,0)),"")),IF($N482="二级",IF(IFERROR(INDEX(项目档案!$G$6:$G$255,MATCH($C482,项目档案!$A$6:$A$255,0)),"")="",N(IFERROR(INDEX(单位档案!$D$6:$D$35,MATCH($E482,单位档案!$A$6:$A$35,0)),"")),IFERROR(INDEX(项目档案!$G$6:$G$255,MATCH($C482,项目档案!$A$6:$A$255,0)),"")),N(IFERROR(INDEX(单位档案!$D$6:$D$35,MATCH($E482,单位档案!$A$6:$A$35,0)),"")))))</f>
        <v/>
      </c>
      <c r="J482" s="22"/>
      <c r="K482" s="22"/>
      <c r="L482" s="33" t="str">
        <f aca="false">IF($B482="","",IF(NOT(ISNUMBER($B482)),"日期格式不对",IF($C482="","未选项目编号",IF(LEFT($M482,1)="⚠","项目编号不存在",IF($D482="","未选业务类型",IF($E482="","未选开票/付款方",IF(ISNA(MATCH($E482,单位档案!$A$6:$A$35,0)),"开票方不在单位档案",IF($F482="","未选收票/收款方",IF(ISNA(MATCH($F482,单位档案!$A$6:$A$35,0)),"收款方不在单位档案",IF(NOT(ISNUMBER($H482)),"金额须为数字",IF(AND($D482="销项开票",$N482="—"),"链条待确认","√")))))))))))</f>
        <v/>
      </c>
      <c r="M482" s="34" t="str">
        <f aca="false">IF($C482="","",IFERROR(INDEX(项目档案!$B$6:$B$255,MATCH($C482,项目档案!$A$6:$A$255,0)),"⚠项目编号不存在"))</f>
        <v/>
      </c>
      <c r="N482" s="35" t="str">
        <f aca="false">IF($E482="","",IF($E482=IFERROR(INDEX(项目档案!$D$6:$D$255,MATCH($C482,项目档案!$A$6:$A$255,0)),""),"一级",IF($E482=IFERROR(INDEX(项目档案!$F$6:$F$255,MATCH($C482,项目档案!$A$6:$A$255,0)),""),"二级",IF($E482=IFERROR(INDEX(项目档案!$H$6:$H$255,MATCH($C482,项目档案!$A$6:$A$255,0)),""),"我方","—"))))</f>
        <v/>
      </c>
      <c r="O482" s="36" t="n">
        <f aca="false">IF($D482&lt;&gt;"销项开票",0,ROUND(N($H482)*N($I482),2))</f>
        <v>0</v>
      </c>
      <c r="P482" s="36" t="n">
        <f aca="false">IF($D482&lt;&gt;"销项开票",0,ROUND(N($H482)-$O482,2))</f>
        <v>0</v>
      </c>
      <c r="Q482" s="37" t="str">
        <f aca="false">IF($E482="","",N(IFERROR(INDEX(单位档案!$E$6:$E$35,MATCH($E482,单位档案!$A$6:$A$35,0)),"")))</f>
        <v/>
      </c>
      <c r="R482" s="37" t="str">
        <f aca="false">IF($E482="","",N(IFERROR(INDEX(单位档案!$F$6:$F$35,MATCH($E482,单位档案!$A$6:$A$35,0)),"")))</f>
        <v/>
      </c>
      <c r="S482" s="36" t="n">
        <f aca="false">IF(OR($D482&lt;&gt;"销项开票",IFERROR(INDEX(单位档案!$G$6:$G$35,MATCH($E482,单位档案!$A$6:$A$35,0)),"")&lt;&gt;"是",N($Q482)=0),0,IF(IFERROR(INDEX(单位档案!$H$6:$H$35,MATCH($E482,单位档案!$A$6:$A$35,0)),"")="税差法",ROUND(N($H482)/(1+$Q482)*$Q482-IF(N($R482)=0,0,$P482/(1+$R482)*$R482),2),ROUND(N($H482)/(1+$Q482)*$Q482,2)))</f>
        <v>0</v>
      </c>
      <c r="T482" s="36" t="n">
        <f aca="false">ROUND($S482*N(IFERROR(INDEX(单位档案!$J$6:$J$35,MATCH($E482,单位档案!$A$6:$A$35,0)),"")),2)</f>
        <v>0</v>
      </c>
      <c r="U482" s="36" t="n">
        <f aca="false">IF($D482&lt;&gt;"销项开票",0,ROUND(N($H482)*N(IFERROR(INDEX(单位档案!$K$6:$K$35,MATCH($E482,单位档案!$A$6:$A$35,0)),"")),2))</f>
        <v>0</v>
      </c>
      <c r="V482" s="36" t="n">
        <f aca="false">IF(OR($D482&lt;&gt;"销项开票",N($Q482)=0),0,ROUND(N($H482)/(1+$Q482)*N(IFERROR(INDEX(单位档案!$L$6:$L$35,MATCH($E482,单位档案!$A$6:$A$35,0)),"")),2))</f>
        <v>0</v>
      </c>
      <c r="W482" s="36" t="n">
        <f aca="false">ROUND($S482+$T482+$U482+$V482,2)</f>
        <v>0</v>
      </c>
      <c r="X482" s="35" t="str">
        <f aca="false">IF(OR($D482="挂靠代收",$D482="我方收款"),COUNTIFS($D$5:$D482,"挂靠代收")+COUNTIFS($D$5:$D482,"我方收款"),"")</f>
        <v/>
      </c>
      <c r="Y482" s="35"/>
      <c r="Z482" s="21" t="s">
        <v>111</v>
      </c>
    </row>
    <row r="483" customFormat="false" ht="15.75" hidden="false" customHeight="true" outlineLevel="0" collapsed="false">
      <c r="A483" s="32" t="str">
        <f aca="false">IF($B483="","",ROW()-4)</f>
        <v/>
      </c>
      <c r="B483" s="26"/>
      <c r="C483" s="24"/>
      <c r="D483" s="21"/>
      <c r="E483" s="21"/>
      <c r="F483" s="21"/>
      <c r="G483" s="21"/>
      <c r="H483" s="27"/>
      <c r="I483" s="23" t="str">
        <f aca="false">IF($D483&lt;&gt;"销项开票","",IF($N483="一级",IF(IFERROR(INDEX(项目档案!$E$6:$E$255,MATCH($C483,项目档案!$A$6:$A$255,0)),"")="",N(IFERROR(INDEX(单位档案!$D$6:$D$35,MATCH($E483,单位档案!$A$6:$A$35,0)),"")),IFERROR(INDEX(项目档案!$E$6:$E$255,MATCH($C483,项目档案!$A$6:$A$255,0)),"")),IF($N483="二级",IF(IFERROR(INDEX(项目档案!$G$6:$G$255,MATCH($C483,项目档案!$A$6:$A$255,0)),"")="",N(IFERROR(INDEX(单位档案!$D$6:$D$35,MATCH($E483,单位档案!$A$6:$A$35,0)),"")),IFERROR(INDEX(项目档案!$G$6:$G$255,MATCH($C483,项目档案!$A$6:$A$255,0)),"")),N(IFERROR(INDEX(单位档案!$D$6:$D$35,MATCH($E483,单位档案!$A$6:$A$35,0)),"")))))</f>
        <v/>
      </c>
      <c r="J483" s="22"/>
      <c r="K483" s="22"/>
      <c r="L483" s="33" t="str">
        <f aca="false">IF($B483="","",IF(NOT(ISNUMBER($B483)),"日期格式不对",IF($C483="","未选项目编号",IF(LEFT($M483,1)="⚠","项目编号不存在",IF($D483="","未选业务类型",IF($E483="","未选开票/付款方",IF(ISNA(MATCH($E483,单位档案!$A$6:$A$35,0)),"开票方不在单位档案",IF($F483="","未选收票/收款方",IF(ISNA(MATCH($F483,单位档案!$A$6:$A$35,0)),"收款方不在单位档案",IF(NOT(ISNUMBER($H483)),"金额须为数字",IF(AND($D483="销项开票",$N483="—"),"链条待确认","√")))))))))))</f>
        <v/>
      </c>
      <c r="M483" s="34" t="str">
        <f aca="false">IF($C483="","",IFERROR(INDEX(项目档案!$B$6:$B$255,MATCH($C483,项目档案!$A$6:$A$255,0)),"⚠项目编号不存在"))</f>
        <v/>
      </c>
      <c r="N483" s="35" t="str">
        <f aca="false">IF($E483="","",IF($E483=IFERROR(INDEX(项目档案!$D$6:$D$255,MATCH($C483,项目档案!$A$6:$A$255,0)),""),"一级",IF($E483=IFERROR(INDEX(项目档案!$F$6:$F$255,MATCH($C483,项目档案!$A$6:$A$255,0)),""),"二级",IF($E483=IFERROR(INDEX(项目档案!$H$6:$H$255,MATCH($C483,项目档案!$A$6:$A$255,0)),""),"我方","—"))))</f>
        <v/>
      </c>
      <c r="O483" s="36" t="n">
        <f aca="false">IF($D483&lt;&gt;"销项开票",0,ROUND(N($H483)*N($I483),2))</f>
        <v>0</v>
      </c>
      <c r="P483" s="36" t="n">
        <f aca="false">IF($D483&lt;&gt;"销项开票",0,ROUND(N($H483)-$O483,2))</f>
        <v>0</v>
      </c>
      <c r="Q483" s="37" t="str">
        <f aca="false">IF($E483="","",N(IFERROR(INDEX(单位档案!$E$6:$E$35,MATCH($E483,单位档案!$A$6:$A$35,0)),"")))</f>
        <v/>
      </c>
      <c r="R483" s="37" t="str">
        <f aca="false">IF($E483="","",N(IFERROR(INDEX(单位档案!$F$6:$F$35,MATCH($E483,单位档案!$A$6:$A$35,0)),"")))</f>
        <v/>
      </c>
      <c r="S483" s="36" t="n">
        <f aca="false">IF(OR($D483&lt;&gt;"销项开票",IFERROR(INDEX(单位档案!$G$6:$G$35,MATCH($E483,单位档案!$A$6:$A$35,0)),"")&lt;&gt;"是",N($Q483)=0),0,IF(IFERROR(INDEX(单位档案!$H$6:$H$35,MATCH($E483,单位档案!$A$6:$A$35,0)),"")="税差法",ROUND(N($H483)/(1+$Q483)*$Q483-IF(N($R483)=0,0,$P483/(1+$R483)*$R483),2),ROUND(N($H483)/(1+$Q483)*$Q483,2)))</f>
        <v>0</v>
      </c>
      <c r="T483" s="36" t="n">
        <f aca="false">ROUND($S483*N(IFERROR(INDEX(单位档案!$J$6:$J$35,MATCH($E483,单位档案!$A$6:$A$35,0)),"")),2)</f>
        <v>0</v>
      </c>
      <c r="U483" s="36" t="n">
        <f aca="false">IF($D483&lt;&gt;"销项开票",0,ROUND(N($H483)*N(IFERROR(INDEX(单位档案!$K$6:$K$35,MATCH($E483,单位档案!$A$6:$A$35,0)),"")),2))</f>
        <v>0</v>
      </c>
      <c r="V483" s="36" t="n">
        <f aca="false">IF(OR($D483&lt;&gt;"销项开票",N($Q483)=0),0,ROUND(N($H483)/(1+$Q483)*N(IFERROR(INDEX(单位档案!$L$6:$L$35,MATCH($E483,单位档案!$A$6:$A$35,0)),"")),2))</f>
        <v>0</v>
      </c>
      <c r="W483" s="36" t="n">
        <f aca="false">ROUND($S483+$T483+$U483+$V483,2)</f>
        <v>0</v>
      </c>
      <c r="X483" s="35" t="str">
        <f aca="false">IF(OR($D483="挂靠代收",$D483="我方收款"),COUNTIFS($D$5:$D483,"挂靠代收")+COUNTIFS($D$5:$D483,"我方收款"),"")</f>
        <v/>
      </c>
      <c r="Y483" s="35"/>
      <c r="Z483" s="21" t="s">
        <v>111</v>
      </c>
    </row>
    <row r="484" customFormat="false" ht="15.75" hidden="false" customHeight="true" outlineLevel="0" collapsed="false">
      <c r="A484" s="32" t="str">
        <f aca="false">IF($B484="","",ROW()-4)</f>
        <v/>
      </c>
      <c r="B484" s="26"/>
      <c r="C484" s="24"/>
      <c r="D484" s="21"/>
      <c r="E484" s="21"/>
      <c r="F484" s="21"/>
      <c r="G484" s="21"/>
      <c r="H484" s="27"/>
      <c r="I484" s="23" t="str">
        <f aca="false">IF($D484&lt;&gt;"销项开票","",IF($N484="一级",IF(IFERROR(INDEX(项目档案!$E$6:$E$255,MATCH($C484,项目档案!$A$6:$A$255,0)),"")="",N(IFERROR(INDEX(单位档案!$D$6:$D$35,MATCH($E484,单位档案!$A$6:$A$35,0)),"")),IFERROR(INDEX(项目档案!$E$6:$E$255,MATCH($C484,项目档案!$A$6:$A$255,0)),"")),IF($N484="二级",IF(IFERROR(INDEX(项目档案!$G$6:$G$255,MATCH($C484,项目档案!$A$6:$A$255,0)),"")="",N(IFERROR(INDEX(单位档案!$D$6:$D$35,MATCH($E484,单位档案!$A$6:$A$35,0)),"")),IFERROR(INDEX(项目档案!$G$6:$G$255,MATCH($C484,项目档案!$A$6:$A$255,0)),"")),N(IFERROR(INDEX(单位档案!$D$6:$D$35,MATCH($E484,单位档案!$A$6:$A$35,0)),"")))))</f>
        <v/>
      </c>
      <c r="J484" s="22"/>
      <c r="K484" s="22"/>
      <c r="L484" s="33" t="str">
        <f aca="false">IF($B484="","",IF(NOT(ISNUMBER($B484)),"日期格式不对",IF($C484="","未选项目编号",IF(LEFT($M484,1)="⚠","项目编号不存在",IF($D484="","未选业务类型",IF($E484="","未选开票/付款方",IF(ISNA(MATCH($E484,单位档案!$A$6:$A$35,0)),"开票方不在单位档案",IF($F484="","未选收票/收款方",IF(ISNA(MATCH($F484,单位档案!$A$6:$A$35,0)),"收款方不在单位档案",IF(NOT(ISNUMBER($H484)),"金额须为数字",IF(AND($D484="销项开票",$N484="—"),"链条待确认","√")))))))))))</f>
        <v/>
      </c>
      <c r="M484" s="34" t="str">
        <f aca="false">IF($C484="","",IFERROR(INDEX(项目档案!$B$6:$B$255,MATCH($C484,项目档案!$A$6:$A$255,0)),"⚠项目编号不存在"))</f>
        <v/>
      </c>
      <c r="N484" s="35" t="str">
        <f aca="false">IF($E484="","",IF($E484=IFERROR(INDEX(项目档案!$D$6:$D$255,MATCH($C484,项目档案!$A$6:$A$255,0)),""),"一级",IF($E484=IFERROR(INDEX(项目档案!$F$6:$F$255,MATCH($C484,项目档案!$A$6:$A$255,0)),""),"二级",IF($E484=IFERROR(INDEX(项目档案!$H$6:$H$255,MATCH($C484,项目档案!$A$6:$A$255,0)),""),"我方","—"))))</f>
        <v/>
      </c>
      <c r="O484" s="36" t="n">
        <f aca="false">IF($D484&lt;&gt;"销项开票",0,ROUND(N($H484)*N($I484),2))</f>
        <v>0</v>
      </c>
      <c r="P484" s="36" t="n">
        <f aca="false">IF($D484&lt;&gt;"销项开票",0,ROUND(N($H484)-$O484,2))</f>
        <v>0</v>
      </c>
      <c r="Q484" s="37" t="str">
        <f aca="false">IF($E484="","",N(IFERROR(INDEX(单位档案!$E$6:$E$35,MATCH($E484,单位档案!$A$6:$A$35,0)),"")))</f>
        <v/>
      </c>
      <c r="R484" s="37" t="str">
        <f aca="false">IF($E484="","",N(IFERROR(INDEX(单位档案!$F$6:$F$35,MATCH($E484,单位档案!$A$6:$A$35,0)),"")))</f>
        <v/>
      </c>
      <c r="S484" s="36" t="n">
        <f aca="false">IF(OR($D484&lt;&gt;"销项开票",IFERROR(INDEX(单位档案!$G$6:$G$35,MATCH($E484,单位档案!$A$6:$A$35,0)),"")&lt;&gt;"是",N($Q484)=0),0,IF(IFERROR(INDEX(单位档案!$H$6:$H$35,MATCH($E484,单位档案!$A$6:$A$35,0)),"")="税差法",ROUND(N($H484)/(1+$Q484)*$Q484-IF(N($R484)=0,0,$P484/(1+$R484)*$R484),2),ROUND(N($H484)/(1+$Q484)*$Q484,2)))</f>
        <v>0</v>
      </c>
      <c r="T484" s="36" t="n">
        <f aca="false">ROUND($S484*N(IFERROR(INDEX(单位档案!$J$6:$J$35,MATCH($E484,单位档案!$A$6:$A$35,0)),"")),2)</f>
        <v>0</v>
      </c>
      <c r="U484" s="36" t="n">
        <f aca="false">IF($D484&lt;&gt;"销项开票",0,ROUND(N($H484)*N(IFERROR(INDEX(单位档案!$K$6:$K$35,MATCH($E484,单位档案!$A$6:$A$35,0)),"")),2))</f>
        <v>0</v>
      </c>
      <c r="V484" s="36" t="n">
        <f aca="false">IF(OR($D484&lt;&gt;"销项开票",N($Q484)=0),0,ROUND(N($H484)/(1+$Q484)*N(IFERROR(INDEX(单位档案!$L$6:$L$35,MATCH($E484,单位档案!$A$6:$A$35,0)),"")),2))</f>
        <v>0</v>
      </c>
      <c r="W484" s="36" t="n">
        <f aca="false">ROUND($S484+$T484+$U484+$V484,2)</f>
        <v>0</v>
      </c>
      <c r="X484" s="35" t="str">
        <f aca="false">IF(OR($D484="挂靠代收",$D484="我方收款"),COUNTIFS($D$5:$D484,"挂靠代收")+COUNTIFS($D$5:$D484,"我方收款"),"")</f>
        <v/>
      </c>
      <c r="Y484" s="35"/>
      <c r="Z484" s="21" t="s">
        <v>111</v>
      </c>
    </row>
    <row r="485" customFormat="false" ht="15.75" hidden="false" customHeight="true" outlineLevel="0" collapsed="false">
      <c r="A485" s="32" t="str">
        <f aca="false">IF($B485="","",ROW()-4)</f>
        <v/>
      </c>
      <c r="B485" s="26"/>
      <c r="C485" s="24"/>
      <c r="D485" s="21"/>
      <c r="E485" s="21"/>
      <c r="F485" s="21"/>
      <c r="G485" s="21"/>
      <c r="H485" s="27"/>
      <c r="I485" s="23" t="str">
        <f aca="false">IF($D485&lt;&gt;"销项开票","",IF($N485="一级",IF(IFERROR(INDEX(项目档案!$E$6:$E$255,MATCH($C485,项目档案!$A$6:$A$255,0)),"")="",N(IFERROR(INDEX(单位档案!$D$6:$D$35,MATCH($E485,单位档案!$A$6:$A$35,0)),"")),IFERROR(INDEX(项目档案!$E$6:$E$255,MATCH($C485,项目档案!$A$6:$A$255,0)),"")),IF($N485="二级",IF(IFERROR(INDEX(项目档案!$G$6:$G$255,MATCH($C485,项目档案!$A$6:$A$255,0)),"")="",N(IFERROR(INDEX(单位档案!$D$6:$D$35,MATCH($E485,单位档案!$A$6:$A$35,0)),"")),IFERROR(INDEX(项目档案!$G$6:$G$255,MATCH($C485,项目档案!$A$6:$A$255,0)),"")),N(IFERROR(INDEX(单位档案!$D$6:$D$35,MATCH($E485,单位档案!$A$6:$A$35,0)),"")))))</f>
        <v/>
      </c>
      <c r="J485" s="22"/>
      <c r="K485" s="22"/>
      <c r="L485" s="33" t="str">
        <f aca="false">IF($B485="","",IF(NOT(ISNUMBER($B485)),"日期格式不对",IF($C485="","未选项目编号",IF(LEFT($M485,1)="⚠","项目编号不存在",IF($D485="","未选业务类型",IF($E485="","未选开票/付款方",IF(ISNA(MATCH($E485,单位档案!$A$6:$A$35,0)),"开票方不在单位档案",IF($F485="","未选收票/收款方",IF(ISNA(MATCH($F485,单位档案!$A$6:$A$35,0)),"收款方不在单位档案",IF(NOT(ISNUMBER($H485)),"金额须为数字",IF(AND($D485="销项开票",$N485="—"),"链条待确认","√")))))))))))</f>
        <v/>
      </c>
      <c r="M485" s="34" t="str">
        <f aca="false">IF($C485="","",IFERROR(INDEX(项目档案!$B$6:$B$255,MATCH($C485,项目档案!$A$6:$A$255,0)),"⚠项目编号不存在"))</f>
        <v/>
      </c>
      <c r="N485" s="35" t="str">
        <f aca="false">IF($E485="","",IF($E485=IFERROR(INDEX(项目档案!$D$6:$D$255,MATCH($C485,项目档案!$A$6:$A$255,0)),""),"一级",IF($E485=IFERROR(INDEX(项目档案!$F$6:$F$255,MATCH($C485,项目档案!$A$6:$A$255,0)),""),"二级",IF($E485=IFERROR(INDEX(项目档案!$H$6:$H$255,MATCH($C485,项目档案!$A$6:$A$255,0)),""),"我方","—"))))</f>
        <v/>
      </c>
      <c r="O485" s="36" t="n">
        <f aca="false">IF($D485&lt;&gt;"销项开票",0,ROUND(N($H485)*N($I485),2))</f>
        <v>0</v>
      </c>
      <c r="P485" s="36" t="n">
        <f aca="false">IF($D485&lt;&gt;"销项开票",0,ROUND(N($H485)-$O485,2))</f>
        <v>0</v>
      </c>
      <c r="Q485" s="37" t="str">
        <f aca="false">IF($E485="","",N(IFERROR(INDEX(单位档案!$E$6:$E$35,MATCH($E485,单位档案!$A$6:$A$35,0)),"")))</f>
        <v/>
      </c>
      <c r="R485" s="37" t="str">
        <f aca="false">IF($E485="","",N(IFERROR(INDEX(单位档案!$F$6:$F$35,MATCH($E485,单位档案!$A$6:$A$35,0)),"")))</f>
        <v/>
      </c>
      <c r="S485" s="36" t="n">
        <f aca="false">IF(OR($D485&lt;&gt;"销项开票",IFERROR(INDEX(单位档案!$G$6:$G$35,MATCH($E485,单位档案!$A$6:$A$35,0)),"")&lt;&gt;"是",N($Q485)=0),0,IF(IFERROR(INDEX(单位档案!$H$6:$H$35,MATCH($E485,单位档案!$A$6:$A$35,0)),"")="税差法",ROUND(N($H485)/(1+$Q485)*$Q485-IF(N($R485)=0,0,$P485/(1+$R485)*$R485),2),ROUND(N($H485)/(1+$Q485)*$Q485,2)))</f>
        <v>0</v>
      </c>
      <c r="T485" s="36" t="n">
        <f aca="false">ROUND($S485*N(IFERROR(INDEX(单位档案!$J$6:$J$35,MATCH($E485,单位档案!$A$6:$A$35,0)),"")),2)</f>
        <v>0</v>
      </c>
      <c r="U485" s="36" t="n">
        <f aca="false">IF($D485&lt;&gt;"销项开票",0,ROUND(N($H485)*N(IFERROR(INDEX(单位档案!$K$6:$K$35,MATCH($E485,单位档案!$A$6:$A$35,0)),"")),2))</f>
        <v>0</v>
      </c>
      <c r="V485" s="36" t="n">
        <f aca="false">IF(OR($D485&lt;&gt;"销项开票",N($Q485)=0),0,ROUND(N($H485)/(1+$Q485)*N(IFERROR(INDEX(单位档案!$L$6:$L$35,MATCH($E485,单位档案!$A$6:$A$35,0)),"")),2))</f>
        <v>0</v>
      </c>
      <c r="W485" s="36" t="n">
        <f aca="false">ROUND($S485+$T485+$U485+$V485,2)</f>
        <v>0</v>
      </c>
      <c r="X485" s="35" t="str">
        <f aca="false">IF(OR($D485="挂靠代收",$D485="我方收款"),COUNTIFS($D$5:$D485,"挂靠代收")+COUNTIFS($D$5:$D485,"我方收款"),"")</f>
        <v/>
      </c>
      <c r="Y485" s="35"/>
      <c r="Z485" s="21" t="s">
        <v>111</v>
      </c>
    </row>
    <row r="486" customFormat="false" ht="15.75" hidden="false" customHeight="true" outlineLevel="0" collapsed="false">
      <c r="A486" s="32" t="str">
        <f aca="false">IF($B486="","",ROW()-4)</f>
        <v/>
      </c>
      <c r="B486" s="26"/>
      <c r="C486" s="24"/>
      <c r="D486" s="21"/>
      <c r="E486" s="21"/>
      <c r="F486" s="21"/>
      <c r="G486" s="21"/>
      <c r="H486" s="27"/>
      <c r="I486" s="23" t="str">
        <f aca="false">IF($D486&lt;&gt;"销项开票","",IF($N486="一级",IF(IFERROR(INDEX(项目档案!$E$6:$E$255,MATCH($C486,项目档案!$A$6:$A$255,0)),"")="",N(IFERROR(INDEX(单位档案!$D$6:$D$35,MATCH($E486,单位档案!$A$6:$A$35,0)),"")),IFERROR(INDEX(项目档案!$E$6:$E$255,MATCH($C486,项目档案!$A$6:$A$255,0)),"")),IF($N486="二级",IF(IFERROR(INDEX(项目档案!$G$6:$G$255,MATCH($C486,项目档案!$A$6:$A$255,0)),"")="",N(IFERROR(INDEX(单位档案!$D$6:$D$35,MATCH($E486,单位档案!$A$6:$A$35,0)),"")),IFERROR(INDEX(项目档案!$G$6:$G$255,MATCH($C486,项目档案!$A$6:$A$255,0)),"")),N(IFERROR(INDEX(单位档案!$D$6:$D$35,MATCH($E486,单位档案!$A$6:$A$35,0)),"")))))</f>
        <v/>
      </c>
      <c r="J486" s="22"/>
      <c r="K486" s="22"/>
      <c r="L486" s="33" t="str">
        <f aca="false">IF($B486="","",IF(NOT(ISNUMBER($B486)),"日期格式不对",IF($C486="","未选项目编号",IF(LEFT($M486,1)="⚠","项目编号不存在",IF($D486="","未选业务类型",IF($E486="","未选开票/付款方",IF(ISNA(MATCH($E486,单位档案!$A$6:$A$35,0)),"开票方不在单位档案",IF($F486="","未选收票/收款方",IF(ISNA(MATCH($F486,单位档案!$A$6:$A$35,0)),"收款方不在单位档案",IF(NOT(ISNUMBER($H486)),"金额须为数字",IF(AND($D486="销项开票",$N486="—"),"链条待确认","√")))))))))))</f>
        <v/>
      </c>
      <c r="M486" s="34" t="str">
        <f aca="false">IF($C486="","",IFERROR(INDEX(项目档案!$B$6:$B$255,MATCH($C486,项目档案!$A$6:$A$255,0)),"⚠项目编号不存在"))</f>
        <v/>
      </c>
      <c r="N486" s="35" t="str">
        <f aca="false">IF($E486="","",IF($E486=IFERROR(INDEX(项目档案!$D$6:$D$255,MATCH($C486,项目档案!$A$6:$A$255,0)),""),"一级",IF($E486=IFERROR(INDEX(项目档案!$F$6:$F$255,MATCH($C486,项目档案!$A$6:$A$255,0)),""),"二级",IF($E486=IFERROR(INDEX(项目档案!$H$6:$H$255,MATCH($C486,项目档案!$A$6:$A$255,0)),""),"我方","—"))))</f>
        <v/>
      </c>
      <c r="O486" s="36" t="n">
        <f aca="false">IF($D486&lt;&gt;"销项开票",0,ROUND(N($H486)*N($I486),2))</f>
        <v>0</v>
      </c>
      <c r="P486" s="36" t="n">
        <f aca="false">IF($D486&lt;&gt;"销项开票",0,ROUND(N($H486)-$O486,2))</f>
        <v>0</v>
      </c>
      <c r="Q486" s="37" t="str">
        <f aca="false">IF($E486="","",N(IFERROR(INDEX(单位档案!$E$6:$E$35,MATCH($E486,单位档案!$A$6:$A$35,0)),"")))</f>
        <v/>
      </c>
      <c r="R486" s="37" t="str">
        <f aca="false">IF($E486="","",N(IFERROR(INDEX(单位档案!$F$6:$F$35,MATCH($E486,单位档案!$A$6:$A$35,0)),"")))</f>
        <v/>
      </c>
      <c r="S486" s="36" t="n">
        <f aca="false">IF(OR($D486&lt;&gt;"销项开票",IFERROR(INDEX(单位档案!$G$6:$G$35,MATCH($E486,单位档案!$A$6:$A$35,0)),"")&lt;&gt;"是",N($Q486)=0),0,IF(IFERROR(INDEX(单位档案!$H$6:$H$35,MATCH($E486,单位档案!$A$6:$A$35,0)),"")="税差法",ROUND(N($H486)/(1+$Q486)*$Q486-IF(N($R486)=0,0,$P486/(1+$R486)*$R486),2),ROUND(N($H486)/(1+$Q486)*$Q486,2)))</f>
        <v>0</v>
      </c>
      <c r="T486" s="36" t="n">
        <f aca="false">ROUND($S486*N(IFERROR(INDEX(单位档案!$J$6:$J$35,MATCH($E486,单位档案!$A$6:$A$35,0)),"")),2)</f>
        <v>0</v>
      </c>
      <c r="U486" s="36" t="n">
        <f aca="false">IF($D486&lt;&gt;"销项开票",0,ROUND(N($H486)*N(IFERROR(INDEX(单位档案!$K$6:$K$35,MATCH($E486,单位档案!$A$6:$A$35,0)),"")),2))</f>
        <v>0</v>
      </c>
      <c r="V486" s="36" t="n">
        <f aca="false">IF(OR($D486&lt;&gt;"销项开票",N($Q486)=0),0,ROUND(N($H486)/(1+$Q486)*N(IFERROR(INDEX(单位档案!$L$6:$L$35,MATCH($E486,单位档案!$A$6:$A$35,0)),"")),2))</f>
        <v>0</v>
      </c>
      <c r="W486" s="36" t="n">
        <f aca="false">ROUND($S486+$T486+$U486+$V486,2)</f>
        <v>0</v>
      </c>
      <c r="X486" s="35" t="str">
        <f aca="false">IF(OR($D486="挂靠代收",$D486="我方收款"),COUNTIFS($D$5:$D486,"挂靠代收")+COUNTIFS($D$5:$D486,"我方收款"),"")</f>
        <v/>
      </c>
      <c r="Y486" s="35"/>
      <c r="Z486" s="21" t="s">
        <v>111</v>
      </c>
    </row>
    <row r="487" customFormat="false" ht="15.75" hidden="false" customHeight="true" outlineLevel="0" collapsed="false">
      <c r="A487" s="32" t="str">
        <f aca="false">IF($B487="","",ROW()-4)</f>
        <v/>
      </c>
      <c r="B487" s="26"/>
      <c r="C487" s="24"/>
      <c r="D487" s="21"/>
      <c r="E487" s="21"/>
      <c r="F487" s="21"/>
      <c r="G487" s="21"/>
      <c r="H487" s="27"/>
      <c r="I487" s="23" t="str">
        <f aca="false">IF($D487&lt;&gt;"销项开票","",IF($N487="一级",IF(IFERROR(INDEX(项目档案!$E$6:$E$255,MATCH($C487,项目档案!$A$6:$A$255,0)),"")="",N(IFERROR(INDEX(单位档案!$D$6:$D$35,MATCH($E487,单位档案!$A$6:$A$35,0)),"")),IFERROR(INDEX(项目档案!$E$6:$E$255,MATCH($C487,项目档案!$A$6:$A$255,0)),"")),IF($N487="二级",IF(IFERROR(INDEX(项目档案!$G$6:$G$255,MATCH($C487,项目档案!$A$6:$A$255,0)),"")="",N(IFERROR(INDEX(单位档案!$D$6:$D$35,MATCH($E487,单位档案!$A$6:$A$35,0)),"")),IFERROR(INDEX(项目档案!$G$6:$G$255,MATCH($C487,项目档案!$A$6:$A$255,0)),"")),N(IFERROR(INDEX(单位档案!$D$6:$D$35,MATCH($E487,单位档案!$A$6:$A$35,0)),"")))))</f>
        <v/>
      </c>
      <c r="J487" s="22"/>
      <c r="K487" s="22"/>
      <c r="L487" s="33" t="str">
        <f aca="false">IF($B487="","",IF(NOT(ISNUMBER($B487)),"日期格式不对",IF($C487="","未选项目编号",IF(LEFT($M487,1)="⚠","项目编号不存在",IF($D487="","未选业务类型",IF($E487="","未选开票/付款方",IF(ISNA(MATCH($E487,单位档案!$A$6:$A$35,0)),"开票方不在单位档案",IF($F487="","未选收票/收款方",IF(ISNA(MATCH($F487,单位档案!$A$6:$A$35,0)),"收款方不在单位档案",IF(NOT(ISNUMBER($H487)),"金额须为数字",IF(AND($D487="销项开票",$N487="—"),"链条待确认","√")))))))))))</f>
        <v/>
      </c>
      <c r="M487" s="34" t="str">
        <f aca="false">IF($C487="","",IFERROR(INDEX(项目档案!$B$6:$B$255,MATCH($C487,项目档案!$A$6:$A$255,0)),"⚠项目编号不存在"))</f>
        <v/>
      </c>
      <c r="N487" s="35" t="str">
        <f aca="false">IF($E487="","",IF($E487=IFERROR(INDEX(项目档案!$D$6:$D$255,MATCH($C487,项目档案!$A$6:$A$255,0)),""),"一级",IF($E487=IFERROR(INDEX(项目档案!$F$6:$F$255,MATCH($C487,项目档案!$A$6:$A$255,0)),""),"二级",IF($E487=IFERROR(INDEX(项目档案!$H$6:$H$255,MATCH($C487,项目档案!$A$6:$A$255,0)),""),"我方","—"))))</f>
        <v/>
      </c>
      <c r="O487" s="36" t="n">
        <f aca="false">IF($D487&lt;&gt;"销项开票",0,ROUND(N($H487)*N($I487),2))</f>
        <v>0</v>
      </c>
      <c r="P487" s="36" t="n">
        <f aca="false">IF($D487&lt;&gt;"销项开票",0,ROUND(N($H487)-$O487,2))</f>
        <v>0</v>
      </c>
      <c r="Q487" s="37" t="str">
        <f aca="false">IF($E487="","",N(IFERROR(INDEX(单位档案!$E$6:$E$35,MATCH($E487,单位档案!$A$6:$A$35,0)),"")))</f>
        <v/>
      </c>
      <c r="R487" s="37" t="str">
        <f aca="false">IF($E487="","",N(IFERROR(INDEX(单位档案!$F$6:$F$35,MATCH($E487,单位档案!$A$6:$A$35,0)),"")))</f>
        <v/>
      </c>
      <c r="S487" s="36" t="n">
        <f aca="false">IF(OR($D487&lt;&gt;"销项开票",IFERROR(INDEX(单位档案!$G$6:$G$35,MATCH($E487,单位档案!$A$6:$A$35,0)),"")&lt;&gt;"是",N($Q487)=0),0,IF(IFERROR(INDEX(单位档案!$H$6:$H$35,MATCH($E487,单位档案!$A$6:$A$35,0)),"")="税差法",ROUND(N($H487)/(1+$Q487)*$Q487-IF(N($R487)=0,0,$P487/(1+$R487)*$R487),2),ROUND(N($H487)/(1+$Q487)*$Q487,2)))</f>
        <v>0</v>
      </c>
      <c r="T487" s="36" t="n">
        <f aca="false">ROUND($S487*N(IFERROR(INDEX(单位档案!$J$6:$J$35,MATCH($E487,单位档案!$A$6:$A$35,0)),"")),2)</f>
        <v>0</v>
      </c>
      <c r="U487" s="36" t="n">
        <f aca="false">IF($D487&lt;&gt;"销项开票",0,ROUND(N($H487)*N(IFERROR(INDEX(单位档案!$K$6:$K$35,MATCH($E487,单位档案!$A$6:$A$35,0)),"")),2))</f>
        <v>0</v>
      </c>
      <c r="V487" s="36" t="n">
        <f aca="false">IF(OR($D487&lt;&gt;"销项开票",N($Q487)=0),0,ROUND(N($H487)/(1+$Q487)*N(IFERROR(INDEX(单位档案!$L$6:$L$35,MATCH($E487,单位档案!$A$6:$A$35,0)),"")),2))</f>
        <v>0</v>
      </c>
      <c r="W487" s="36" t="n">
        <f aca="false">ROUND($S487+$T487+$U487+$V487,2)</f>
        <v>0</v>
      </c>
      <c r="X487" s="35" t="str">
        <f aca="false">IF(OR($D487="挂靠代收",$D487="我方收款"),COUNTIFS($D$5:$D487,"挂靠代收")+COUNTIFS($D$5:$D487,"我方收款"),"")</f>
        <v/>
      </c>
      <c r="Y487" s="35"/>
      <c r="Z487" s="21" t="s">
        <v>111</v>
      </c>
    </row>
    <row r="488" customFormat="false" ht="15.75" hidden="false" customHeight="true" outlineLevel="0" collapsed="false">
      <c r="A488" s="32" t="str">
        <f aca="false">IF($B488="","",ROW()-4)</f>
        <v/>
      </c>
      <c r="B488" s="26"/>
      <c r="C488" s="24"/>
      <c r="D488" s="21"/>
      <c r="E488" s="21"/>
      <c r="F488" s="21"/>
      <c r="G488" s="21"/>
      <c r="H488" s="27"/>
      <c r="I488" s="23" t="str">
        <f aca="false">IF($D488&lt;&gt;"销项开票","",IF($N488="一级",IF(IFERROR(INDEX(项目档案!$E$6:$E$255,MATCH($C488,项目档案!$A$6:$A$255,0)),"")="",N(IFERROR(INDEX(单位档案!$D$6:$D$35,MATCH($E488,单位档案!$A$6:$A$35,0)),"")),IFERROR(INDEX(项目档案!$E$6:$E$255,MATCH($C488,项目档案!$A$6:$A$255,0)),"")),IF($N488="二级",IF(IFERROR(INDEX(项目档案!$G$6:$G$255,MATCH($C488,项目档案!$A$6:$A$255,0)),"")="",N(IFERROR(INDEX(单位档案!$D$6:$D$35,MATCH($E488,单位档案!$A$6:$A$35,0)),"")),IFERROR(INDEX(项目档案!$G$6:$G$255,MATCH($C488,项目档案!$A$6:$A$255,0)),"")),N(IFERROR(INDEX(单位档案!$D$6:$D$35,MATCH($E488,单位档案!$A$6:$A$35,0)),"")))))</f>
        <v/>
      </c>
      <c r="J488" s="22"/>
      <c r="K488" s="22"/>
      <c r="L488" s="33" t="str">
        <f aca="false">IF($B488="","",IF(NOT(ISNUMBER($B488)),"日期格式不对",IF($C488="","未选项目编号",IF(LEFT($M488,1)="⚠","项目编号不存在",IF($D488="","未选业务类型",IF($E488="","未选开票/付款方",IF(ISNA(MATCH($E488,单位档案!$A$6:$A$35,0)),"开票方不在单位档案",IF($F488="","未选收票/收款方",IF(ISNA(MATCH($F488,单位档案!$A$6:$A$35,0)),"收款方不在单位档案",IF(NOT(ISNUMBER($H488)),"金额须为数字",IF(AND($D488="销项开票",$N488="—"),"链条待确认","√")))))))))))</f>
        <v/>
      </c>
      <c r="M488" s="34" t="str">
        <f aca="false">IF($C488="","",IFERROR(INDEX(项目档案!$B$6:$B$255,MATCH($C488,项目档案!$A$6:$A$255,0)),"⚠项目编号不存在"))</f>
        <v/>
      </c>
      <c r="N488" s="35" t="str">
        <f aca="false">IF($E488="","",IF($E488=IFERROR(INDEX(项目档案!$D$6:$D$255,MATCH($C488,项目档案!$A$6:$A$255,0)),""),"一级",IF($E488=IFERROR(INDEX(项目档案!$F$6:$F$255,MATCH($C488,项目档案!$A$6:$A$255,0)),""),"二级",IF($E488=IFERROR(INDEX(项目档案!$H$6:$H$255,MATCH($C488,项目档案!$A$6:$A$255,0)),""),"我方","—"))))</f>
        <v/>
      </c>
      <c r="O488" s="36" t="n">
        <f aca="false">IF($D488&lt;&gt;"销项开票",0,ROUND(N($H488)*N($I488),2))</f>
        <v>0</v>
      </c>
      <c r="P488" s="36" t="n">
        <f aca="false">IF($D488&lt;&gt;"销项开票",0,ROUND(N($H488)-$O488,2))</f>
        <v>0</v>
      </c>
      <c r="Q488" s="37" t="str">
        <f aca="false">IF($E488="","",N(IFERROR(INDEX(单位档案!$E$6:$E$35,MATCH($E488,单位档案!$A$6:$A$35,0)),"")))</f>
        <v/>
      </c>
      <c r="R488" s="37" t="str">
        <f aca="false">IF($E488="","",N(IFERROR(INDEX(单位档案!$F$6:$F$35,MATCH($E488,单位档案!$A$6:$A$35,0)),"")))</f>
        <v/>
      </c>
      <c r="S488" s="36" t="n">
        <f aca="false">IF(OR($D488&lt;&gt;"销项开票",IFERROR(INDEX(单位档案!$G$6:$G$35,MATCH($E488,单位档案!$A$6:$A$35,0)),"")&lt;&gt;"是",N($Q488)=0),0,IF(IFERROR(INDEX(单位档案!$H$6:$H$35,MATCH($E488,单位档案!$A$6:$A$35,0)),"")="税差法",ROUND(N($H488)/(1+$Q488)*$Q488-IF(N($R488)=0,0,$P488/(1+$R488)*$R488),2),ROUND(N($H488)/(1+$Q488)*$Q488,2)))</f>
        <v>0</v>
      </c>
      <c r="T488" s="36" t="n">
        <f aca="false">ROUND($S488*N(IFERROR(INDEX(单位档案!$J$6:$J$35,MATCH($E488,单位档案!$A$6:$A$35,0)),"")),2)</f>
        <v>0</v>
      </c>
      <c r="U488" s="36" t="n">
        <f aca="false">IF($D488&lt;&gt;"销项开票",0,ROUND(N($H488)*N(IFERROR(INDEX(单位档案!$K$6:$K$35,MATCH($E488,单位档案!$A$6:$A$35,0)),"")),2))</f>
        <v>0</v>
      </c>
      <c r="V488" s="36" t="n">
        <f aca="false">IF(OR($D488&lt;&gt;"销项开票",N($Q488)=0),0,ROUND(N($H488)/(1+$Q488)*N(IFERROR(INDEX(单位档案!$L$6:$L$35,MATCH($E488,单位档案!$A$6:$A$35,0)),"")),2))</f>
        <v>0</v>
      </c>
      <c r="W488" s="36" t="n">
        <f aca="false">ROUND($S488+$T488+$U488+$V488,2)</f>
        <v>0</v>
      </c>
      <c r="X488" s="35" t="str">
        <f aca="false">IF(OR($D488="挂靠代收",$D488="我方收款"),COUNTIFS($D$5:$D488,"挂靠代收")+COUNTIFS($D$5:$D488,"我方收款"),"")</f>
        <v/>
      </c>
      <c r="Y488" s="35"/>
      <c r="Z488" s="21" t="s">
        <v>111</v>
      </c>
    </row>
    <row r="489" customFormat="false" ht="15.75" hidden="false" customHeight="true" outlineLevel="0" collapsed="false">
      <c r="A489" s="32" t="str">
        <f aca="false">IF($B489="","",ROW()-4)</f>
        <v/>
      </c>
      <c r="B489" s="26"/>
      <c r="C489" s="24"/>
      <c r="D489" s="21"/>
      <c r="E489" s="21"/>
      <c r="F489" s="21"/>
      <c r="G489" s="21"/>
      <c r="H489" s="27"/>
      <c r="I489" s="23" t="str">
        <f aca="false">IF($D489&lt;&gt;"销项开票","",IF($N489="一级",IF(IFERROR(INDEX(项目档案!$E$6:$E$255,MATCH($C489,项目档案!$A$6:$A$255,0)),"")="",N(IFERROR(INDEX(单位档案!$D$6:$D$35,MATCH($E489,单位档案!$A$6:$A$35,0)),"")),IFERROR(INDEX(项目档案!$E$6:$E$255,MATCH($C489,项目档案!$A$6:$A$255,0)),"")),IF($N489="二级",IF(IFERROR(INDEX(项目档案!$G$6:$G$255,MATCH($C489,项目档案!$A$6:$A$255,0)),"")="",N(IFERROR(INDEX(单位档案!$D$6:$D$35,MATCH($E489,单位档案!$A$6:$A$35,0)),"")),IFERROR(INDEX(项目档案!$G$6:$G$255,MATCH($C489,项目档案!$A$6:$A$255,0)),"")),N(IFERROR(INDEX(单位档案!$D$6:$D$35,MATCH($E489,单位档案!$A$6:$A$35,0)),"")))))</f>
        <v/>
      </c>
      <c r="J489" s="22"/>
      <c r="K489" s="22"/>
      <c r="L489" s="33" t="str">
        <f aca="false">IF($B489="","",IF(NOT(ISNUMBER($B489)),"日期格式不对",IF($C489="","未选项目编号",IF(LEFT($M489,1)="⚠","项目编号不存在",IF($D489="","未选业务类型",IF($E489="","未选开票/付款方",IF(ISNA(MATCH($E489,单位档案!$A$6:$A$35,0)),"开票方不在单位档案",IF($F489="","未选收票/收款方",IF(ISNA(MATCH($F489,单位档案!$A$6:$A$35,0)),"收款方不在单位档案",IF(NOT(ISNUMBER($H489)),"金额须为数字",IF(AND($D489="销项开票",$N489="—"),"链条待确认","√")))))))))))</f>
        <v/>
      </c>
      <c r="M489" s="34" t="str">
        <f aca="false">IF($C489="","",IFERROR(INDEX(项目档案!$B$6:$B$255,MATCH($C489,项目档案!$A$6:$A$255,0)),"⚠项目编号不存在"))</f>
        <v/>
      </c>
      <c r="N489" s="35" t="str">
        <f aca="false">IF($E489="","",IF($E489=IFERROR(INDEX(项目档案!$D$6:$D$255,MATCH($C489,项目档案!$A$6:$A$255,0)),""),"一级",IF($E489=IFERROR(INDEX(项目档案!$F$6:$F$255,MATCH($C489,项目档案!$A$6:$A$255,0)),""),"二级",IF($E489=IFERROR(INDEX(项目档案!$H$6:$H$255,MATCH($C489,项目档案!$A$6:$A$255,0)),""),"我方","—"))))</f>
        <v/>
      </c>
      <c r="O489" s="36" t="n">
        <f aca="false">IF($D489&lt;&gt;"销项开票",0,ROUND(N($H489)*N($I489),2))</f>
        <v>0</v>
      </c>
      <c r="P489" s="36" t="n">
        <f aca="false">IF($D489&lt;&gt;"销项开票",0,ROUND(N($H489)-$O489,2))</f>
        <v>0</v>
      </c>
      <c r="Q489" s="37" t="str">
        <f aca="false">IF($E489="","",N(IFERROR(INDEX(单位档案!$E$6:$E$35,MATCH($E489,单位档案!$A$6:$A$35,0)),"")))</f>
        <v/>
      </c>
      <c r="R489" s="37" t="str">
        <f aca="false">IF($E489="","",N(IFERROR(INDEX(单位档案!$F$6:$F$35,MATCH($E489,单位档案!$A$6:$A$35,0)),"")))</f>
        <v/>
      </c>
      <c r="S489" s="36" t="n">
        <f aca="false">IF(OR($D489&lt;&gt;"销项开票",IFERROR(INDEX(单位档案!$G$6:$G$35,MATCH($E489,单位档案!$A$6:$A$35,0)),"")&lt;&gt;"是",N($Q489)=0),0,IF(IFERROR(INDEX(单位档案!$H$6:$H$35,MATCH($E489,单位档案!$A$6:$A$35,0)),"")="税差法",ROUND(N($H489)/(1+$Q489)*$Q489-IF(N($R489)=0,0,$P489/(1+$R489)*$R489),2),ROUND(N($H489)/(1+$Q489)*$Q489,2)))</f>
        <v>0</v>
      </c>
      <c r="T489" s="36" t="n">
        <f aca="false">ROUND($S489*N(IFERROR(INDEX(单位档案!$J$6:$J$35,MATCH($E489,单位档案!$A$6:$A$35,0)),"")),2)</f>
        <v>0</v>
      </c>
      <c r="U489" s="36" t="n">
        <f aca="false">IF($D489&lt;&gt;"销项开票",0,ROUND(N($H489)*N(IFERROR(INDEX(单位档案!$K$6:$K$35,MATCH($E489,单位档案!$A$6:$A$35,0)),"")),2))</f>
        <v>0</v>
      </c>
      <c r="V489" s="36" t="n">
        <f aca="false">IF(OR($D489&lt;&gt;"销项开票",N($Q489)=0),0,ROUND(N($H489)/(1+$Q489)*N(IFERROR(INDEX(单位档案!$L$6:$L$35,MATCH($E489,单位档案!$A$6:$A$35,0)),"")),2))</f>
        <v>0</v>
      </c>
      <c r="W489" s="36" t="n">
        <f aca="false">ROUND($S489+$T489+$U489+$V489,2)</f>
        <v>0</v>
      </c>
      <c r="X489" s="35" t="str">
        <f aca="false">IF(OR($D489="挂靠代收",$D489="我方收款"),COUNTIFS($D$5:$D489,"挂靠代收")+COUNTIFS($D$5:$D489,"我方收款"),"")</f>
        <v/>
      </c>
      <c r="Y489" s="35"/>
      <c r="Z489" s="21" t="s">
        <v>111</v>
      </c>
    </row>
    <row r="490" customFormat="false" ht="15.75" hidden="false" customHeight="true" outlineLevel="0" collapsed="false">
      <c r="A490" s="32" t="str">
        <f aca="false">IF($B490="","",ROW()-4)</f>
        <v/>
      </c>
      <c r="B490" s="26"/>
      <c r="C490" s="24"/>
      <c r="D490" s="21"/>
      <c r="E490" s="21"/>
      <c r="F490" s="21"/>
      <c r="G490" s="21"/>
      <c r="H490" s="27"/>
      <c r="I490" s="23" t="str">
        <f aca="false">IF($D490&lt;&gt;"销项开票","",IF($N490="一级",IF(IFERROR(INDEX(项目档案!$E$6:$E$255,MATCH($C490,项目档案!$A$6:$A$255,0)),"")="",N(IFERROR(INDEX(单位档案!$D$6:$D$35,MATCH($E490,单位档案!$A$6:$A$35,0)),"")),IFERROR(INDEX(项目档案!$E$6:$E$255,MATCH($C490,项目档案!$A$6:$A$255,0)),"")),IF($N490="二级",IF(IFERROR(INDEX(项目档案!$G$6:$G$255,MATCH($C490,项目档案!$A$6:$A$255,0)),"")="",N(IFERROR(INDEX(单位档案!$D$6:$D$35,MATCH($E490,单位档案!$A$6:$A$35,0)),"")),IFERROR(INDEX(项目档案!$G$6:$G$255,MATCH($C490,项目档案!$A$6:$A$255,0)),"")),N(IFERROR(INDEX(单位档案!$D$6:$D$35,MATCH($E490,单位档案!$A$6:$A$35,0)),"")))))</f>
        <v/>
      </c>
      <c r="J490" s="22"/>
      <c r="K490" s="22"/>
      <c r="L490" s="33" t="str">
        <f aca="false">IF($B490="","",IF(NOT(ISNUMBER($B490)),"日期格式不对",IF($C490="","未选项目编号",IF(LEFT($M490,1)="⚠","项目编号不存在",IF($D490="","未选业务类型",IF($E490="","未选开票/付款方",IF(ISNA(MATCH($E490,单位档案!$A$6:$A$35,0)),"开票方不在单位档案",IF($F490="","未选收票/收款方",IF(ISNA(MATCH($F490,单位档案!$A$6:$A$35,0)),"收款方不在单位档案",IF(NOT(ISNUMBER($H490)),"金额须为数字",IF(AND($D490="销项开票",$N490="—"),"链条待确认","√")))))))))))</f>
        <v/>
      </c>
      <c r="M490" s="34" t="str">
        <f aca="false">IF($C490="","",IFERROR(INDEX(项目档案!$B$6:$B$255,MATCH($C490,项目档案!$A$6:$A$255,0)),"⚠项目编号不存在"))</f>
        <v/>
      </c>
      <c r="N490" s="35" t="str">
        <f aca="false">IF($E490="","",IF($E490=IFERROR(INDEX(项目档案!$D$6:$D$255,MATCH($C490,项目档案!$A$6:$A$255,0)),""),"一级",IF($E490=IFERROR(INDEX(项目档案!$F$6:$F$255,MATCH($C490,项目档案!$A$6:$A$255,0)),""),"二级",IF($E490=IFERROR(INDEX(项目档案!$H$6:$H$255,MATCH($C490,项目档案!$A$6:$A$255,0)),""),"我方","—"))))</f>
        <v/>
      </c>
      <c r="O490" s="36" t="n">
        <f aca="false">IF($D490&lt;&gt;"销项开票",0,ROUND(N($H490)*N($I490),2))</f>
        <v>0</v>
      </c>
      <c r="P490" s="36" t="n">
        <f aca="false">IF($D490&lt;&gt;"销项开票",0,ROUND(N($H490)-$O490,2))</f>
        <v>0</v>
      </c>
      <c r="Q490" s="37" t="str">
        <f aca="false">IF($E490="","",N(IFERROR(INDEX(单位档案!$E$6:$E$35,MATCH($E490,单位档案!$A$6:$A$35,0)),"")))</f>
        <v/>
      </c>
      <c r="R490" s="37" t="str">
        <f aca="false">IF($E490="","",N(IFERROR(INDEX(单位档案!$F$6:$F$35,MATCH($E490,单位档案!$A$6:$A$35,0)),"")))</f>
        <v/>
      </c>
      <c r="S490" s="36" t="n">
        <f aca="false">IF(OR($D490&lt;&gt;"销项开票",IFERROR(INDEX(单位档案!$G$6:$G$35,MATCH($E490,单位档案!$A$6:$A$35,0)),"")&lt;&gt;"是",N($Q490)=0),0,IF(IFERROR(INDEX(单位档案!$H$6:$H$35,MATCH($E490,单位档案!$A$6:$A$35,0)),"")="税差法",ROUND(N($H490)/(1+$Q490)*$Q490-IF(N($R490)=0,0,$P490/(1+$R490)*$R490),2),ROUND(N($H490)/(1+$Q490)*$Q490,2)))</f>
        <v>0</v>
      </c>
      <c r="T490" s="36" t="n">
        <f aca="false">ROUND($S490*N(IFERROR(INDEX(单位档案!$J$6:$J$35,MATCH($E490,单位档案!$A$6:$A$35,0)),"")),2)</f>
        <v>0</v>
      </c>
      <c r="U490" s="36" t="n">
        <f aca="false">IF($D490&lt;&gt;"销项开票",0,ROUND(N($H490)*N(IFERROR(INDEX(单位档案!$K$6:$K$35,MATCH($E490,单位档案!$A$6:$A$35,0)),"")),2))</f>
        <v>0</v>
      </c>
      <c r="V490" s="36" t="n">
        <f aca="false">IF(OR($D490&lt;&gt;"销项开票",N($Q490)=0),0,ROUND(N($H490)/(1+$Q490)*N(IFERROR(INDEX(单位档案!$L$6:$L$35,MATCH($E490,单位档案!$A$6:$A$35,0)),"")),2))</f>
        <v>0</v>
      </c>
      <c r="W490" s="36" t="n">
        <f aca="false">ROUND($S490+$T490+$U490+$V490,2)</f>
        <v>0</v>
      </c>
      <c r="X490" s="35" t="str">
        <f aca="false">IF(OR($D490="挂靠代收",$D490="我方收款"),COUNTIFS($D$5:$D490,"挂靠代收")+COUNTIFS($D$5:$D490,"我方收款"),"")</f>
        <v/>
      </c>
      <c r="Y490" s="35"/>
      <c r="Z490" s="21" t="s">
        <v>111</v>
      </c>
    </row>
    <row r="491" customFormat="false" ht="15.75" hidden="false" customHeight="true" outlineLevel="0" collapsed="false">
      <c r="A491" s="32" t="str">
        <f aca="false">IF($B491="","",ROW()-4)</f>
        <v/>
      </c>
      <c r="B491" s="26"/>
      <c r="C491" s="24"/>
      <c r="D491" s="21"/>
      <c r="E491" s="21"/>
      <c r="F491" s="21"/>
      <c r="G491" s="21"/>
      <c r="H491" s="27"/>
      <c r="I491" s="23" t="str">
        <f aca="false">IF($D491&lt;&gt;"销项开票","",IF($N491="一级",IF(IFERROR(INDEX(项目档案!$E$6:$E$255,MATCH($C491,项目档案!$A$6:$A$255,0)),"")="",N(IFERROR(INDEX(单位档案!$D$6:$D$35,MATCH($E491,单位档案!$A$6:$A$35,0)),"")),IFERROR(INDEX(项目档案!$E$6:$E$255,MATCH($C491,项目档案!$A$6:$A$255,0)),"")),IF($N491="二级",IF(IFERROR(INDEX(项目档案!$G$6:$G$255,MATCH($C491,项目档案!$A$6:$A$255,0)),"")="",N(IFERROR(INDEX(单位档案!$D$6:$D$35,MATCH($E491,单位档案!$A$6:$A$35,0)),"")),IFERROR(INDEX(项目档案!$G$6:$G$255,MATCH($C491,项目档案!$A$6:$A$255,0)),"")),N(IFERROR(INDEX(单位档案!$D$6:$D$35,MATCH($E491,单位档案!$A$6:$A$35,0)),"")))))</f>
        <v/>
      </c>
      <c r="J491" s="22"/>
      <c r="K491" s="22"/>
      <c r="L491" s="33" t="str">
        <f aca="false">IF($B491="","",IF(NOT(ISNUMBER($B491)),"日期格式不对",IF($C491="","未选项目编号",IF(LEFT($M491,1)="⚠","项目编号不存在",IF($D491="","未选业务类型",IF($E491="","未选开票/付款方",IF(ISNA(MATCH($E491,单位档案!$A$6:$A$35,0)),"开票方不在单位档案",IF($F491="","未选收票/收款方",IF(ISNA(MATCH($F491,单位档案!$A$6:$A$35,0)),"收款方不在单位档案",IF(NOT(ISNUMBER($H491)),"金额须为数字",IF(AND($D491="销项开票",$N491="—"),"链条待确认","√")))))))))))</f>
        <v/>
      </c>
      <c r="M491" s="34" t="str">
        <f aca="false">IF($C491="","",IFERROR(INDEX(项目档案!$B$6:$B$255,MATCH($C491,项目档案!$A$6:$A$255,0)),"⚠项目编号不存在"))</f>
        <v/>
      </c>
      <c r="N491" s="35" t="str">
        <f aca="false">IF($E491="","",IF($E491=IFERROR(INDEX(项目档案!$D$6:$D$255,MATCH($C491,项目档案!$A$6:$A$255,0)),""),"一级",IF($E491=IFERROR(INDEX(项目档案!$F$6:$F$255,MATCH($C491,项目档案!$A$6:$A$255,0)),""),"二级",IF($E491=IFERROR(INDEX(项目档案!$H$6:$H$255,MATCH($C491,项目档案!$A$6:$A$255,0)),""),"我方","—"))))</f>
        <v/>
      </c>
      <c r="O491" s="36" t="n">
        <f aca="false">IF($D491&lt;&gt;"销项开票",0,ROUND(N($H491)*N($I491),2))</f>
        <v>0</v>
      </c>
      <c r="P491" s="36" t="n">
        <f aca="false">IF($D491&lt;&gt;"销项开票",0,ROUND(N($H491)-$O491,2))</f>
        <v>0</v>
      </c>
      <c r="Q491" s="37" t="str">
        <f aca="false">IF($E491="","",N(IFERROR(INDEX(单位档案!$E$6:$E$35,MATCH($E491,单位档案!$A$6:$A$35,0)),"")))</f>
        <v/>
      </c>
      <c r="R491" s="37" t="str">
        <f aca="false">IF($E491="","",N(IFERROR(INDEX(单位档案!$F$6:$F$35,MATCH($E491,单位档案!$A$6:$A$35,0)),"")))</f>
        <v/>
      </c>
      <c r="S491" s="36" t="n">
        <f aca="false">IF(OR($D491&lt;&gt;"销项开票",IFERROR(INDEX(单位档案!$G$6:$G$35,MATCH($E491,单位档案!$A$6:$A$35,0)),"")&lt;&gt;"是",N($Q491)=0),0,IF(IFERROR(INDEX(单位档案!$H$6:$H$35,MATCH($E491,单位档案!$A$6:$A$35,0)),"")="税差法",ROUND(N($H491)/(1+$Q491)*$Q491-IF(N($R491)=0,0,$P491/(1+$R491)*$R491),2),ROUND(N($H491)/(1+$Q491)*$Q491,2)))</f>
        <v>0</v>
      </c>
      <c r="T491" s="36" t="n">
        <f aca="false">ROUND($S491*N(IFERROR(INDEX(单位档案!$J$6:$J$35,MATCH($E491,单位档案!$A$6:$A$35,0)),"")),2)</f>
        <v>0</v>
      </c>
      <c r="U491" s="36" t="n">
        <f aca="false">IF($D491&lt;&gt;"销项开票",0,ROUND(N($H491)*N(IFERROR(INDEX(单位档案!$K$6:$K$35,MATCH($E491,单位档案!$A$6:$A$35,0)),"")),2))</f>
        <v>0</v>
      </c>
      <c r="V491" s="36" t="n">
        <f aca="false">IF(OR($D491&lt;&gt;"销项开票",N($Q491)=0),0,ROUND(N($H491)/(1+$Q491)*N(IFERROR(INDEX(单位档案!$L$6:$L$35,MATCH($E491,单位档案!$A$6:$A$35,0)),"")),2))</f>
        <v>0</v>
      </c>
      <c r="W491" s="36" t="n">
        <f aca="false">ROUND($S491+$T491+$U491+$V491,2)</f>
        <v>0</v>
      </c>
      <c r="X491" s="35" t="str">
        <f aca="false">IF(OR($D491="挂靠代收",$D491="我方收款"),COUNTIFS($D$5:$D491,"挂靠代收")+COUNTIFS($D$5:$D491,"我方收款"),"")</f>
        <v/>
      </c>
      <c r="Y491" s="35"/>
      <c r="Z491" s="21" t="s">
        <v>111</v>
      </c>
    </row>
    <row r="492" customFormat="false" ht="15.75" hidden="false" customHeight="true" outlineLevel="0" collapsed="false">
      <c r="A492" s="32" t="str">
        <f aca="false">IF($B492="","",ROW()-4)</f>
        <v/>
      </c>
      <c r="B492" s="26"/>
      <c r="C492" s="24"/>
      <c r="D492" s="21"/>
      <c r="E492" s="21"/>
      <c r="F492" s="21"/>
      <c r="G492" s="21"/>
      <c r="H492" s="27"/>
      <c r="I492" s="23" t="str">
        <f aca="false">IF($D492&lt;&gt;"销项开票","",IF($N492="一级",IF(IFERROR(INDEX(项目档案!$E$6:$E$255,MATCH($C492,项目档案!$A$6:$A$255,0)),"")="",N(IFERROR(INDEX(单位档案!$D$6:$D$35,MATCH($E492,单位档案!$A$6:$A$35,0)),"")),IFERROR(INDEX(项目档案!$E$6:$E$255,MATCH($C492,项目档案!$A$6:$A$255,0)),"")),IF($N492="二级",IF(IFERROR(INDEX(项目档案!$G$6:$G$255,MATCH($C492,项目档案!$A$6:$A$255,0)),"")="",N(IFERROR(INDEX(单位档案!$D$6:$D$35,MATCH($E492,单位档案!$A$6:$A$35,0)),"")),IFERROR(INDEX(项目档案!$G$6:$G$255,MATCH($C492,项目档案!$A$6:$A$255,0)),"")),N(IFERROR(INDEX(单位档案!$D$6:$D$35,MATCH($E492,单位档案!$A$6:$A$35,0)),"")))))</f>
        <v/>
      </c>
      <c r="J492" s="22"/>
      <c r="K492" s="22"/>
      <c r="L492" s="33" t="str">
        <f aca="false">IF($B492="","",IF(NOT(ISNUMBER($B492)),"日期格式不对",IF($C492="","未选项目编号",IF(LEFT($M492,1)="⚠","项目编号不存在",IF($D492="","未选业务类型",IF($E492="","未选开票/付款方",IF(ISNA(MATCH($E492,单位档案!$A$6:$A$35,0)),"开票方不在单位档案",IF($F492="","未选收票/收款方",IF(ISNA(MATCH($F492,单位档案!$A$6:$A$35,0)),"收款方不在单位档案",IF(NOT(ISNUMBER($H492)),"金额须为数字",IF(AND($D492="销项开票",$N492="—"),"链条待确认","√")))))))))))</f>
        <v/>
      </c>
      <c r="M492" s="34" t="str">
        <f aca="false">IF($C492="","",IFERROR(INDEX(项目档案!$B$6:$B$255,MATCH($C492,项目档案!$A$6:$A$255,0)),"⚠项目编号不存在"))</f>
        <v/>
      </c>
      <c r="N492" s="35" t="str">
        <f aca="false">IF($E492="","",IF($E492=IFERROR(INDEX(项目档案!$D$6:$D$255,MATCH($C492,项目档案!$A$6:$A$255,0)),""),"一级",IF($E492=IFERROR(INDEX(项目档案!$F$6:$F$255,MATCH($C492,项目档案!$A$6:$A$255,0)),""),"二级",IF($E492=IFERROR(INDEX(项目档案!$H$6:$H$255,MATCH($C492,项目档案!$A$6:$A$255,0)),""),"我方","—"))))</f>
        <v/>
      </c>
      <c r="O492" s="36" t="n">
        <f aca="false">IF($D492&lt;&gt;"销项开票",0,ROUND(N($H492)*N($I492),2))</f>
        <v>0</v>
      </c>
      <c r="P492" s="36" t="n">
        <f aca="false">IF($D492&lt;&gt;"销项开票",0,ROUND(N($H492)-$O492,2))</f>
        <v>0</v>
      </c>
      <c r="Q492" s="37" t="str">
        <f aca="false">IF($E492="","",N(IFERROR(INDEX(单位档案!$E$6:$E$35,MATCH($E492,单位档案!$A$6:$A$35,0)),"")))</f>
        <v/>
      </c>
      <c r="R492" s="37" t="str">
        <f aca="false">IF($E492="","",N(IFERROR(INDEX(单位档案!$F$6:$F$35,MATCH($E492,单位档案!$A$6:$A$35,0)),"")))</f>
        <v/>
      </c>
      <c r="S492" s="36" t="n">
        <f aca="false">IF(OR($D492&lt;&gt;"销项开票",IFERROR(INDEX(单位档案!$G$6:$G$35,MATCH($E492,单位档案!$A$6:$A$35,0)),"")&lt;&gt;"是",N($Q492)=0),0,IF(IFERROR(INDEX(单位档案!$H$6:$H$35,MATCH($E492,单位档案!$A$6:$A$35,0)),"")="税差法",ROUND(N($H492)/(1+$Q492)*$Q492-IF(N($R492)=0,0,$P492/(1+$R492)*$R492),2),ROUND(N($H492)/(1+$Q492)*$Q492,2)))</f>
        <v>0</v>
      </c>
      <c r="T492" s="36" t="n">
        <f aca="false">ROUND($S492*N(IFERROR(INDEX(单位档案!$J$6:$J$35,MATCH($E492,单位档案!$A$6:$A$35,0)),"")),2)</f>
        <v>0</v>
      </c>
      <c r="U492" s="36" t="n">
        <f aca="false">IF($D492&lt;&gt;"销项开票",0,ROUND(N($H492)*N(IFERROR(INDEX(单位档案!$K$6:$K$35,MATCH($E492,单位档案!$A$6:$A$35,0)),"")),2))</f>
        <v>0</v>
      </c>
      <c r="V492" s="36" t="n">
        <f aca="false">IF(OR($D492&lt;&gt;"销项开票",N($Q492)=0),0,ROUND(N($H492)/(1+$Q492)*N(IFERROR(INDEX(单位档案!$L$6:$L$35,MATCH($E492,单位档案!$A$6:$A$35,0)),"")),2))</f>
        <v>0</v>
      </c>
      <c r="W492" s="36" t="n">
        <f aca="false">ROUND($S492+$T492+$U492+$V492,2)</f>
        <v>0</v>
      </c>
      <c r="X492" s="35" t="str">
        <f aca="false">IF(OR($D492="挂靠代收",$D492="我方收款"),COUNTIFS($D$5:$D492,"挂靠代收")+COUNTIFS($D$5:$D492,"我方收款"),"")</f>
        <v/>
      </c>
      <c r="Y492" s="35"/>
      <c r="Z492" s="21" t="s">
        <v>111</v>
      </c>
    </row>
    <row r="493" customFormat="false" ht="15.75" hidden="false" customHeight="true" outlineLevel="0" collapsed="false">
      <c r="A493" s="32" t="str">
        <f aca="false">IF($B493="","",ROW()-4)</f>
        <v/>
      </c>
      <c r="B493" s="26"/>
      <c r="C493" s="24"/>
      <c r="D493" s="21"/>
      <c r="E493" s="21"/>
      <c r="F493" s="21"/>
      <c r="G493" s="21"/>
      <c r="H493" s="27"/>
      <c r="I493" s="23" t="str">
        <f aca="false">IF($D493&lt;&gt;"销项开票","",IF($N493="一级",IF(IFERROR(INDEX(项目档案!$E$6:$E$255,MATCH($C493,项目档案!$A$6:$A$255,0)),"")="",N(IFERROR(INDEX(单位档案!$D$6:$D$35,MATCH($E493,单位档案!$A$6:$A$35,0)),"")),IFERROR(INDEX(项目档案!$E$6:$E$255,MATCH($C493,项目档案!$A$6:$A$255,0)),"")),IF($N493="二级",IF(IFERROR(INDEX(项目档案!$G$6:$G$255,MATCH($C493,项目档案!$A$6:$A$255,0)),"")="",N(IFERROR(INDEX(单位档案!$D$6:$D$35,MATCH($E493,单位档案!$A$6:$A$35,0)),"")),IFERROR(INDEX(项目档案!$G$6:$G$255,MATCH($C493,项目档案!$A$6:$A$255,0)),"")),N(IFERROR(INDEX(单位档案!$D$6:$D$35,MATCH($E493,单位档案!$A$6:$A$35,0)),"")))))</f>
        <v/>
      </c>
      <c r="J493" s="22"/>
      <c r="K493" s="22"/>
      <c r="L493" s="33" t="str">
        <f aca="false">IF($B493="","",IF(NOT(ISNUMBER($B493)),"日期格式不对",IF($C493="","未选项目编号",IF(LEFT($M493,1)="⚠","项目编号不存在",IF($D493="","未选业务类型",IF($E493="","未选开票/付款方",IF(ISNA(MATCH($E493,单位档案!$A$6:$A$35,0)),"开票方不在单位档案",IF($F493="","未选收票/收款方",IF(ISNA(MATCH($F493,单位档案!$A$6:$A$35,0)),"收款方不在单位档案",IF(NOT(ISNUMBER($H493)),"金额须为数字",IF(AND($D493="销项开票",$N493="—"),"链条待确认","√")))))))))))</f>
        <v/>
      </c>
      <c r="M493" s="34" t="str">
        <f aca="false">IF($C493="","",IFERROR(INDEX(项目档案!$B$6:$B$255,MATCH($C493,项目档案!$A$6:$A$255,0)),"⚠项目编号不存在"))</f>
        <v/>
      </c>
      <c r="N493" s="35" t="str">
        <f aca="false">IF($E493="","",IF($E493=IFERROR(INDEX(项目档案!$D$6:$D$255,MATCH($C493,项目档案!$A$6:$A$255,0)),""),"一级",IF($E493=IFERROR(INDEX(项目档案!$F$6:$F$255,MATCH($C493,项目档案!$A$6:$A$255,0)),""),"二级",IF($E493=IFERROR(INDEX(项目档案!$H$6:$H$255,MATCH($C493,项目档案!$A$6:$A$255,0)),""),"我方","—"))))</f>
        <v/>
      </c>
      <c r="O493" s="36" t="n">
        <f aca="false">IF($D493&lt;&gt;"销项开票",0,ROUND(N($H493)*N($I493),2))</f>
        <v>0</v>
      </c>
      <c r="P493" s="36" t="n">
        <f aca="false">IF($D493&lt;&gt;"销项开票",0,ROUND(N($H493)-$O493,2))</f>
        <v>0</v>
      </c>
      <c r="Q493" s="37" t="str">
        <f aca="false">IF($E493="","",N(IFERROR(INDEX(单位档案!$E$6:$E$35,MATCH($E493,单位档案!$A$6:$A$35,0)),"")))</f>
        <v/>
      </c>
      <c r="R493" s="37" t="str">
        <f aca="false">IF($E493="","",N(IFERROR(INDEX(单位档案!$F$6:$F$35,MATCH($E493,单位档案!$A$6:$A$35,0)),"")))</f>
        <v/>
      </c>
      <c r="S493" s="36" t="n">
        <f aca="false">IF(OR($D493&lt;&gt;"销项开票",IFERROR(INDEX(单位档案!$G$6:$G$35,MATCH($E493,单位档案!$A$6:$A$35,0)),"")&lt;&gt;"是",N($Q493)=0),0,IF(IFERROR(INDEX(单位档案!$H$6:$H$35,MATCH($E493,单位档案!$A$6:$A$35,0)),"")="税差法",ROUND(N($H493)/(1+$Q493)*$Q493-IF(N($R493)=0,0,$P493/(1+$R493)*$R493),2),ROUND(N($H493)/(1+$Q493)*$Q493,2)))</f>
        <v>0</v>
      </c>
      <c r="T493" s="36" t="n">
        <f aca="false">ROUND($S493*N(IFERROR(INDEX(单位档案!$J$6:$J$35,MATCH($E493,单位档案!$A$6:$A$35,0)),"")),2)</f>
        <v>0</v>
      </c>
      <c r="U493" s="36" t="n">
        <f aca="false">IF($D493&lt;&gt;"销项开票",0,ROUND(N($H493)*N(IFERROR(INDEX(单位档案!$K$6:$K$35,MATCH($E493,单位档案!$A$6:$A$35,0)),"")),2))</f>
        <v>0</v>
      </c>
      <c r="V493" s="36" t="n">
        <f aca="false">IF(OR($D493&lt;&gt;"销项开票",N($Q493)=0),0,ROUND(N($H493)/(1+$Q493)*N(IFERROR(INDEX(单位档案!$L$6:$L$35,MATCH($E493,单位档案!$A$6:$A$35,0)),"")),2))</f>
        <v>0</v>
      </c>
      <c r="W493" s="36" t="n">
        <f aca="false">ROUND($S493+$T493+$U493+$V493,2)</f>
        <v>0</v>
      </c>
      <c r="X493" s="35" t="str">
        <f aca="false">IF(OR($D493="挂靠代收",$D493="我方收款"),COUNTIFS($D$5:$D493,"挂靠代收")+COUNTIFS($D$5:$D493,"我方收款"),"")</f>
        <v/>
      </c>
      <c r="Y493" s="35"/>
      <c r="Z493" s="21" t="s">
        <v>111</v>
      </c>
    </row>
    <row r="494" customFormat="false" ht="15.75" hidden="false" customHeight="true" outlineLevel="0" collapsed="false">
      <c r="A494" s="32" t="str">
        <f aca="false">IF($B494="","",ROW()-4)</f>
        <v/>
      </c>
      <c r="B494" s="26"/>
      <c r="C494" s="24"/>
      <c r="D494" s="21"/>
      <c r="E494" s="21"/>
      <c r="F494" s="21"/>
      <c r="G494" s="21"/>
      <c r="H494" s="27"/>
      <c r="I494" s="23" t="str">
        <f aca="false">IF($D494&lt;&gt;"销项开票","",IF($N494="一级",IF(IFERROR(INDEX(项目档案!$E$6:$E$255,MATCH($C494,项目档案!$A$6:$A$255,0)),"")="",N(IFERROR(INDEX(单位档案!$D$6:$D$35,MATCH($E494,单位档案!$A$6:$A$35,0)),"")),IFERROR(INDEX(项目档案!$E$6:$E$255,MATCH($C494,项目档案!$A$6:$A$255,0)),"")),IF($N494="二级",IF(IFERROR(INDEX(项目档案!$G$6:$G$255,MATCH($C494,项目档案!$A$6:$A$255,0)),"")="",N(IFERROR(INDEX(单位档案!$D$6:$D$35,MATCH($E494,单位档案!$A$6:$A$35,0)),"")),IFERROR(INDEX(项目档案!$G$6:$G$255,MATCH($C494,项目档案!$A$6:$A$255,0)),"")),N(IFERROR(INDEX(单位档案!$D$6:$D$35,MATCH($E494,单位档案!$A$6:$A$35,0)),"")))))</f>
        <v/>
      </c>
      <c r="J494" s="22"/>
      <c r="K494" s="22"/>
      <c r="L494" s="33" t="str">
        <f aca="false">IF($B494="","",IF(NOT(ISNUMBER($B494)),"日期格式不对",IF($C494="","未选项目编号",IF(LEFT($M494,1)="⚠","项目编号不存在",IF($D494="","未选业务类型",IF($E494="","未选开票/付款方",IF(ISNA(MATCH($E494,单位档案!$A$6:$A$35,0)),"开票方不在单位档案",IF($F494="","未选收票/收款方",IF(ISNA(MATCH($F494,单位档案!$A$6:$A$35,0)),"收款方不在单位档案",IF(NOT(ISNUMBER($H494)),"金额须为数字",IF(AND($D494="销项开票",$N494="—"),"链条待确认","√")))))))))))</f>
        <v/>
      </c>
      <c r="M494" s="34" t="str">
        <f aca="false">IF($C494="","",IFERROR(INDEX(项目档案!$B$6:$B$255,MATCH($C494,项目档案!$A$6:$A$255,0)),"⚠项目编号不存在"))</f>
        <v/>
      </c>
      <c r="N494" s="35" t="str">
        <f aca="false">IF($E494="","",IF($E494=IFERROR(INDEX(项目档案!$D$6:$D$255,MATCH($C494,项目档案!$A$6:$A$255,0)),""),"一级",IF($E494=IFERROR(INDEX(项目档案!$F$6:$F$255,MATCH($C494,项目档案!$A$6:$A$255,0)),""),"二级",IF($E494=IFERROR(INDEX(项目档案!$H$6:$H$255,MATCH($C494,项目档案!$A$6:$A$255,0)),""),"我方","—"))))</f>
        <v/>
      </c>
      <c r="O494" s="36" t="n">
        <f aca="false">IF($D494&lt;&gt;"销项开票",0,ROUND(N($H494)*N($I494),2))</f>
        <v>0</v>
      </c>
      <c r="P494" s="36" t="n">
        <f aca="false">IF($D494&lt;&gt;"销项开票",0,ROUND(N($H494)-$O494,2))</f>
        <v>0</v>
      </c>
      <c r="Q494" s="37" t="str">
        <f aca="false">IF($E494="","",N(IFERROR(INDEX(单位档案!$E$6:$E$35,MATCH($E494,单位档案!$A$6:$A$35,0)),"")))</f>
        <v/>
      </c>
      <c r="R494" s="37" t="str">
        <f aca="false">IF($E494="","",N(IFERROR(INDEX(单位档案!$F$6:$F$35,MATCH($E494,单位档案!$A$6:$A$35,0)),"")))</f>
        <v/>
      </c>
      <c r="S494" s="36" t="n">
        <f aca="false">IF(OR($D494&lt;&gt;"销项开票",IFERROR(INDEX(单位档案!$G$6:$G$35,MATCH($E494,单位档案!$A$6:$A$35,0)),"")&lt;&gt;"是",N($Q494)=0),0,IF(IFERROR(INDEX(单位档案!$H$6:$H$35,MATCH($E494,单位档案!$A$6:$A$35,0)),"")="税差法",ROUND(N($H494)/(1+$Q494)*$Q494-IF(N($R494)=0,0,$P494/(1+$R494)*$R494),2),ROUND(N($H494)/(1+$Q494)*$Q494,2)))</f>
        <v>0</v>
      </c>
      <c r="T494" s="36" t="n">
        <f aca="false">ROUND($S494*N(IFERROR(INDEX(单位档案!$J$6:$J$35,MATCH($E494,单位档案!$A$6:$A$35,0)),"")),2)</f>
        <v>0</v>
      </c>
      <c r="U494" s="36" t="n">
        <f aca="false">IF($D494&lt;&gt;"销项开票",0,ROUND(N($H494)*N(IFERROR(INDEX(单位档案!$K$6:$K$35,MATCH($E494,单位档案!$A$6:$A$35,0)),"")),2))</f>
        <v>0</v>
      </c>
      <c r="V494" s="36" t="n">
        <f aca="false">IF(OR($D494&lt;&gt;"销项开票",N($Q494)=0),0,ROUND(N($H494)/(1+$Q494)*N(IFERROR(INDEX(单位档案!$L$6:$L$35,MATCH($E494,单位档案!$A$6:$A$35,0)),"")),2))</f>
        <v>0</v>
      </c>
      <c r="W494" s="36" t="n">
        <f aca="false">ROUND($S494+$T494+$U494+$V494,2)</f>
        <v>0</v>
      </c>
      <c r="X494" s="35" t="str">
        <f aca="false">IF(OR($D494="挂靠代收",$D494="我方收款"),COUNTIFS($D$5:$D494,"挂靠代收")+COUNTIFS($D$5:$D494,"我方收款"),"")</f>
        <v/>
      </c>
      <c r="Y494" s="35"/>
      <c r="Z494" s="21" t="s">
        <v>111</v>
      </c>
    </row>
    <row r="495" customFormat="false" ht="15.75" hidden="false" customHeight="true" outlineLevel="0" collapsed="false">
      <c r="A495" s="32" t="str">
        <f aca="false">IF($B495="","",ROW()-4)</f>
        <v/>
      </c>
      <c r="B495" s="26"/>
      <c r="C495" s="24"/>
      <c r="D495" s="21"/>
      <c r="E495" s="21"/>
      <c r="F495" s="21"/>
      <c r="G495" s="21"/>
      <c r="H495" s="27"/>
      <c r="I495" s="23" t="str">
        <f aca="false">IF($D495&lt;&gt;"销项开票","",IF($N495="一级",IF(IFERROR(INDEX(项目档案!$E$6:$E$255,MATCH($C495,项目档案!$A$6:$A$255,0)),"")="",N(IFERROR(INDEX(单位档案!$D$6:$D$35,MATCH($E495,单位档案!$A$6:$A$35,0)),"")),IFERROR(INDEX(项目档案!$E$6:$E$255,MATCH($C495,项目档案!$A$6:$A$255,0)),"")),IF($N495="二级",IF(IFERROR(INDEX(项目档案!$G$6:$G$255,MATCH($C495,项目档案!$A$6:$A$255,0)),"")="",N(IFERROR(INDEX(单位档案!$D$6:$D$35,MATCH($E495,单位档案!$A$6:$A$35,0)),"")),IFERROR(INDEX(项目档案!$G$6:$G$255,MATCH($C495,项目档案!$A$6:$A$255,0)),"")),N(IFERROR(INDEX(单位档案!$D$6:$D$35,MATCH($E495,单位档案!$A$6:$A$35,0)),"")))))</f>
        <v/>
      </c>
      <c r="J495" s="22"/>
      <c r="K495" s="22"/>
      <c r="L495" s="33" t="str">
        <f aca="false">IF($B495="","",IF(NOT(ISNUMBER($B495)),"日期格式不对",IF($C495="","未选项目编号",IF(LEFT($M495,1)="⚠","项目编号不存在",IF($D495="","未选业务类型",IF($E495="","未选开票/付款方",IF(ISNA(MATCH($E495,单位档案!$A$6:$A$35,0)),"开票方不在单位档案",IF($F495="","未选收票/收款方",IF(ISNA(MATCH($F495,单位档案!$A$6:$A$35,0)),"收款方不在单位档案",IF(NOT(ISNUMBER($H495)),"金额须为数字",IF(AND($D495="销项开票",$N495="—"),"链条待确认","√")))))))))))</f>
        <v/>
      </c>
      <c r="M495" s="34" t="str">
        <f aca="false">IF($C495="","",IFERROR(INDEX(项目档案!$B$6:$B$255,MATCH($C495,项目档案!$A$6:$A$255,0)),"⚠项目编号不存在"))</f>
        <v/>
      </c>
      <c r="N495" s="35" t="str">
        <f aca="false">IF($E495="","",IF($E495=IFERROR(INDEX(项目档案!$D$6:$D$255,MATCH($C495,项目档案!$A$6:$A$255,0)),""),"一级",IF($E495=IFERROR(INDEX(项目档案!$F$6:$F$255,MATCH($C495,项目档案!$A$6:$A$255,0)),""),"二级",IF($E495=IFERROR(INDEX(项目档案!$H$6:$H$255,MATCH($C495,项目档案!$A$6:$A$255,0)),""),"我方","—"))))</f>
        <v/>
      </c>
      <c r="O495" s="36" t="n">
        <f aca="false">IF($D495&lt;&gt;"销项开票",0,ROUND(N($H495)*N($I495),2))</f>
        <v>0</v>
      </c>
      <c r="P495" s="36" t="n">
        <f aca="false">IF($D495&lt;&gt;"销项开票",0,ROUND(N($H495)-$O495,2))</f>
        <v>0</v>
      </c>
      <c r="Q495" s="37" t="str">
        <f aca="false">IF($E495="","",N(IFERROR(INDEX(单位档案!$E$6:$E$35,MATCH($E495,单位档案!$A$6:$A$35,0)),"")))</f>
        <v/>
      </c>
      <c r="R495" s="37" t="str">
        <f aca="false">IF($E495="","",N(IFERROR(INDEX(单位档案!$F$6:$F$35,MATCH($E495,单位档案!$A$6:$A$35,0)),"")))</f>
        <v/>
      </c>
      <c r="S495" s="36" t="n">
        <f aca="false">IF(OR($D495&lt;&gt;"销项开票",IFERROR(INDEX(单位档案!$G$6:$G$35,MATCH($E495,单位档案!$A$6:$A$35,0)),"")&lt;&gt;"是",N($Q495)=0),0,IF(IFERROR(INDEX(单位档案!$H$6:$H$35,MATCH($E495,单位档案!$A$6:$A$35,0)),"")="税差法",ROUND(N($H495)/(1+$Q495)*$Q495-IF(N($R495)=0,0,$P495/(1+$R495)*$R495),2),ROUND(N($H495)/(1+$Q495)*$Q495,2)))</f>
        <v>0</v>
      </c>
      <c r="T495" s="36" t="n">
        <f aca="false">ROUND($S495*N(IFERROR(INDEX(单位档案!$J$6:$J$35,MATCH($E495,单位档案!$A$6:$A$35,0)),"")),2)</f>
        <v>0</v>
      </c>
      <c r="U495" s="36" t="n">
        <f aca="false">IF($D495&lt;&gt;"销项开票",0,ROUND(N($H495)*N(IFERROR(INDEX(单位档案!$K$6:$K$35,MATCH($E495,单位档案!$A$6:$A$35,0)),"")),2))</f>
        <v>0</v>
      </c>
      <c r="V495" s="36" t="n">
        <f aca="false">IF(OR($D495&lt;&gt;"销项开票",N($Q495)=0),0,ROUND(N($H495)/(1+$Q495)*N(IFERROR(INDEX(单位档案!$L$6:$L$35,MATCH($E495,单位档案!$A$6:$A$35,0)),"")),2))</f>
        <v>0</v>
      </c>
      <c r="W495" s="36" t="n">
        <f aca="false">ROUND($S495+$T495+$U495+$V495,2)</f>
        <v>0</v>
      </c>
      <c r="X495" s="35" t="str">
        <f aca="false">IF(OR($D495="挂靠代收",$D495="我方收款"),COUNTIFS($D$5:$D495,"挂靠代收")+COUNTIFS($D$5:$D495,"我方收款"),"")</f>
        <v/>
      </c>
      <c r="Y495" s="35"/>
      <c r="Z495" s="21" t="s">
        <v>111</v>
      </c>
    </row>
    <row r="496" customFormat="false" ht="15.75" hidden="false" customHeight="true" outlineLevel="0" collapsed="false">
      <c r="A496" s="32" t="str">
        <f aca="false">IF($B496="","",ROW()-4)</f>
        <v/>
      </c>
      <c r="B496" s="26"/>
      <c r="C496" s="24"/>
      <c r="D496" s="21"/>
      <c r="E496" s="21"/>
      <c r="F496" s="21"/>
      <c r="G496" s="21"/>
      <c r="H496" s="27"/>
      <c r="I496" s="23" t="str">
        <f aca="false">IF($D496&lt;&gt;"销项开票","",IF($N496="一级",IF(IFERROR(INDEX(项目档案!$E$6:$E$255,MATCH($C496,项目档案!$A$6:$A$255,0)),"")="",N(IFERROR(INDEX(单位档案!$D$6:$D$35,MATCH($E496,单位档案!$A$6:$A$35,0)),"")),IFERROR(INDEX(项目档案!$E$6:$E$255,MATCH($C496,项目档案!$A$6:$A$255,0)),"")),IF($N496="二级",IF(IFERROR(INDEX(项目档案!$G$6:$G$255,MATCH($C496,项目档案!$A$6:$A$255,0)),"")="",N(IFERROR(INDEX(单位档案!$D$6:$D$35,MATCH($E496,单位档案!$A$6:$A$35,0)),"")),IFERROR(INDEX(项目档案!$G$6:$G$255,MATCH($C496,项目档案!$A$6:$A$255,0)),"")),N(IFERROR(INDEX(单位档案!$D$6:$D$35,MATCH($E496,单位档案!$A$6:$A$35,0)),"")))))</f>
        <v/>
      </c>
      <c r="J496" s="22"/>
      <c r="K496" s="22"/>
      <c r="L496" s="33" t="str">
        <f aca="false">IF($B496="","",IF(NOT(ISNUMBER($B496)),"日期格式不对",IF($C496="","未选项目编号",IF(LEFT($M496,1)="⚠","项目编号不存在",IF($D496="","未选业务类型",IF($E496="","未选开票/付款方",IF(ISNA(MATCH($E496,单位档案!$A$6:$A$35,0)),"开票方不在单位档案",IF($F496="","未选收票/收款方",IF(ISNA(MATCH($F496,单位档案!$A$6:$A$35,0)),"收款方不在单位档案",IF(NOT(ISNUMBER($H496)),"金额须为数字",IF(AND($D496="销项开票",$N496="—"),"链条待确认","√")))))))))))</f>
        <v/>
      </c>
      <c r="M496" s="34" t="str">
        <f aca="false">IF($C496="","",IFERROR(INDEX(项目档案!$B$6:$B$255,MATCH($C496,项目档案!$A$6:$A$255,0)),"⚠项目编号不存在"))</f>
        <v/>
      </c>
      <c r="N496" s="35" t="str">
        <f aca="false">IF($E496="","",IF($E496=IFERROR(INDEX(项目档案!$D$6:$D$255,MATCH($C496,项目档案!$A$6:$A$255,0)),""),"一级",IF($E496=IFERROR(INDEX(项目档案!$F$6:$F$255,MATCH($C496,项目档案!$A$6:$A$255,0)),""),"二级",IF($E496=IFERROR(INDEX(项目档案!$H$6:$H$255,MATCH($C496,项目档案!$A$6:$A$255,0)),""),"我方","—"))))</f>
        <v/>
      </c>
      <c r="O496" s="36" t="n">
        <f aca="false">IF($D496&lt;&gt;"销项开票",0,ROUND(N($H496)*N($I496),2))</f>
        <v>0</v>
      </c>
      <c r="P496" s="36" t="n">
        <f aca="false">IF($D496&lt;&gt;"销项开票",0,ROUND(N($H496)-$O496,2))</f>
        <v>0</v>
      </c>
      <c r="Q496" s="37" t="str">
        <f aca="false">IF($E496="","",N(IFERROR(INDEX(单位档案!$E$6:$E$35,MATCH($E496,单位档案!$A$6:$A$35,0)),"")))</f>
        <v/>
      </c>
      <c r="R496" s="37" t="str">
        <f aca="false">IF($E496="","",N(IFERROR(INDEX(单位档案!$F$6:$F$35,MATCH($E496,单位档案!$A$6:$A$35,0)),"")))</f>
        <v/>
      </c>
      <c r="S496" s="36" t="n">
        <f aca="false">IF(OR($D496&lt;&gt;"销项开票",IFERROR(INDEX(单位档案!$G$6:$G$35,MATCH($E496,单位档案!$A$6:$A$35,0)),"")&lt;&gt;"是",N($Q496)=0),0,IF(IFERROR(INDEX(单位档案!$H$6:$H$35,MATCH($E496,单位档案!$A$6:$A$35,0)),"")="税差法",ROUND(N($H496)/(1+$Q496)*$Q496-IF(N($R496)=0,0,$P496/(1+$R496)*$R496),2),ROUND(N($H496)/(1+$Q496)*$Q496,2)))</f>
        <v>0</v>
      </c>
      <c r="T496" s="36" t="n">
        <f aca="false">ROUND($S496*N(IFERROR(INDEX(单位档案!$J$6:$J$35,MATCH($E496,单位档案!$A$6:$A$35,0)),"")),2)</f>
        <v>0</v>
      </c>
      <c r="U496" s="36" t="n">
        <f aca="false">IF($D496&lt;&gt;"销项开票",0,ROUND(N($H496)*N(IFERROR(INDEX(单位档案!$K$6:$K$35,MATCH($E496,单位档案!$A$6:$A$35,0)),"")),2))</f>
        <v>0</v>
      </c>
      <c r="V496" s="36" t="n">
        <f aca="false">IF(OR($D496&lt;&gt;"销项开票",N($Q496)=0),0,ROUND(N($H496)/(1+$Q496)*N(IFERROR(INDEX(单位档案!$L$6:$L$35,MATCH($E496,单位档案!$A$6:$A$35,0)),"")),2))</f>
        <v>0</v>
      </c>
      <c r="W496" s="36" t="n">
        <f aca="false">ROUND($S496+$T496+$U496+$V496,2)</f>
        <v>0</v>
      </c>
      <c r="X496" s="35" t="str">
        <f aca="false">IF(OR($D496="挂靠代收",$D496="我方收款"),COUNTIFS($D$5:$D496,"挂靠代收")+COUNTIFS($D$5:$D496,"我方收款"),"")</f>
        <v/>
      </c>
      <c r="Y496" s="35"/>
      <c r="Z496" s="21" t="s">
        <v>111</v>
      </c>
    </row>
    <row r="497" customFormat="false" ht="15.75" hidden="false" customHeight="true" outlineLevel="0" collapsed="false">
      <c r="A497" s="32" t="str">
        <f aca="false">IF($B497="","",ROW()-4)</f>
        <v/>
      </c>
      <c r="B497" s="26"/>
      <c r="C497" s="24"/>
      <c r="D497" s="21"/>
      <c r="E497" s="21"/>
      <c r="F497" s="21"/>
      <c r="G497" s="21"/>
      <c r="H497" s="27"/>
      <c r="I497" s="23" t="str">
        <f aca="false">IF($D497&lt;&gt;"销项开票","",IF($N497="一级",IF(IFERROR(INDEX(项目档案!$E$6:$E$255,MATCH($C497,项目档案!$A$6:$A$255,0)),"")="",N(IFERROR(INDEX(单位档案!$D$6:$D$35,MATCH($E497,单位档案!$A$6:$A$35,0)),"")),IFERROR(INDEX(项目档案!$E$6:$E$255,MATCH($C497,项目档案!$A$6:$A$255,0)),"")),IF($N497="二级",IF(IFERROR(INDEX(项目档案!$G$6:$G$255,MATCH($C497,项目档案!$A$6:$A$255,0)),"")="",N(IFERROR(INDEX(单位档案!$D$6:$D$35,MATCH($E497,单位档案!$A$6:$A$35,0)),"")),IFERROR(INDEX(项目档案!$G$6:$G$255,MATCH($C497,项目档案!$A$6:$A$255,0)),"")),N(IFERROR(INDEX(单位档案!$D$6:$D$35,MATCH($E497,单位档案!$A$6:$A$35,0)),"")))))</f>
        <v/>
      </c>
      <c r="J497" s="22"/>
      <c r="K497" s="22"/>
      <c r="L497" s="33" t="str">
        <f aca="false">IF($B497="","",IF(NOT(ISNUMBER($B497)),"日期格式不对",IF($C497="","未选项目编号",IF(LEFT($M497,1)="⚠","项目编号不存在",IF($D497="","未选业务类型",IF($E497="","未选开票/付款方",IF(ISNA(MATCH($E497,单位档案!$A$6:$A$35,0)),"开票方不在单位档案",IF($F497="","未选收票/收款方",IF(ISNA(MATCH($F497,单位档案!$A$6:$A$35,0)),"收款方不在单位档案",IF(NOT(ISNUMBER($H497)),"金额须为数字",IF(AND($D497="销项开票",$N497="—"),"链条待确认","√")))))))))))</f>
        <v/>
      </c>
      <c r="M497" s="34" t="str">
        <f aca="false">IF($C497="","",IFERROR(INDEX(项目档案!$B$6:$B$255,MATCH($C497,项目档案!$A$6:$A$255,0)),"⚠项目编号不存在"))</f>
        <v/>
      </c>
      <c r="N497" s="35" t="str">
        <f aca="false">IF($E497="","",IF($E497=IFERROR(INDEX(项目档案!$D$6:$D$255,MATCH($C497,项目档案!$A$6:$A$255,0)),""),"一级",IF($E497=IFERROR(INDEX(项目档案!$F$6:$F$255,MATCH($C497,项目档案!$A$6:$A$255,0)),""),"二级",IF($E497=IFERROR(INDEX(项目档案!$H$6:$H$255,MATCH($C497,项目档案!$A$6:$A$255,0)),""),"我方","—"))))</f>
        <v/>
      </c>
      <c r="O497" s="36" t="n">
        <f aca="false">IF($D497&lt;&gt;"销项开票",0,ROUND(N($H497)*N($I497),2))</f>
        <v>0</v>
      </c>
      <c r="P497" s="36" t="n">
        <f aca="false">IF($D497&lt;&gt;"销项开票",0,ROUND(N($H497)-$O497,2))</f>
        <v>0</v>
      </c>
      <c r="Q497" s="37" t="str">
        <f aca="false">IF($E497="","",N(IFERROR(INDEX(单位档案!$E$6:$E$35,MATCH($E497,单位档案!$A$6:$A$35,0)),"")))</f>
        <v/>
      </c>
      <c r="R497" s="37" t="str">
        <f aca="false">IF($E497="","",N(IFERROR(INDEX(单位档案!$F$6:$F$35,MATCH($E497,单位档案!$A$6:$A$35,0)),"")))</f>
        <v/>
      </c>
      <c r="S497" s="36" t="n">
        <f aca="false">IF(OR($D497&lt;&gt;"销项开票",IFERROR(INDEX(单位档案!$G$6:$G$35,MATCH($E497,单位档案!$A$6:$A$35,0)),"")&lt;&gt;"是",N($Q497)=0),0,IF(IFERROR(INDEX(单位档案!$H$6:$H$35,MATCH($E497,单位档案!$A$6:$A$35,0)),"")="税差法",ROUND(N($H497)/(1+$Q497)*$Q497-IF(N($R497)=0,0,$P497/(1+$R497)*$R497),2),ROUND(N($H497)/(1+$Q497)*$Q497,2)))</f>
        <v>0</v>
      </c>
      <c r="T497" s="36" t="n">
        <f aca="false">ROUND($S497*N(IFERROR(INDEX(单位档案!$J$6:$J$35,MATCH($E497,单位档案!$A$6:$A$35,0)),"")),2)</f>
        <v>0</v>
      </c>
      <c r="U497" s="36" t="n">
        <f aca="false">IF($D497&lt;&gt;"销项开票",0,ROUND(N($H497)*N(IFERROR(INDEX(单位档案!$K$6:$K$35,MATCH($E497,单位档案!$A$6:$A$35,0)),"")),2))</f>
        <v>0</v>
      </c>
      <c r="V497" s="36" t="n">
        <f aca="false">IF(OR($D497&lt;&gt;"销项开票",N($Q497)=0),0,ROUND(N($H497)/(1+$Q497)*N(IFERROR(INDEX(单位档案!$L$6:$L$35,MATCH($E497,单位档案!$A$6:$A$35,0)),"")),2))</f>
        <v>0</v>
      </c>
      <c r="W497" s="36" t="n">
        <f aca="false">ROUND($S497+$T497+$U497+$V497,2)</f>
        <v>0</v>
      </c>
      <c r="X497" s="35" t="str">
        <f aca="false">IF(OR($D497="挂靠代收",$D497="我方收款"),COUNTIFS($D$5:$D497,"挂靠代收")+COUNTIFS($D$5:$D497,"我方收款"),"")</f>
        <v/>
      </c>
      <c r="Y497" s="35"/>
      <c r="Z497" s="21" t="s">
        <v>111</v>
      </c>
    </row>
    <row r="498" customFormat="false" ht="15.75" hidden="false" customHeight="true" outlineLevel="0" collapsed="false">
      <c r="A498" s="32" t="str">
        <f aca="false">IF($B498="","",ROW()-4)</f>
        <v/>
      </c>
      <c r="B498" s="26"/>
      <c r="C498" s="24"/>
      <c r="D498" s="21"/>
      <c r="E498" s="21"/>
      <c r="F498" s="21"/>
      <c r="G498" s="21"/>
      <c r="H498" s="27"/>
      <c r="I498" s="23" t="str">
        <f aca="false">IF($D498&lt;&gt;"销项开票","",IF($N498="一级",IF(IFERROR(INDEX(项目档案!$E$6:$E$255,MATCH($C498,项目档案!$A$6:$A$255,0)),"")="",N(IFERROR(INDEX(单位档案!$D$6:$D$35,MATCH($E498,单位档案!$A$6:$A$35,0)),"")),IFERROR(INDEX(项目档案!$E$6:$E$255,MATCH($C498,项目档案!$A$6:$A$255,0)),"")),IF($N498="二级",IF(IFERROR(INDEX(项目档案!$G$6:$G$255,MATCH($C498,项目档案!$A$6:$A$255,0)),"")="",N(IFERROR(INDEX(单位档案!$D$6:$D$35,MATCH($E498,单位档案!$A$6:$A$35,0)),"")),IFERROR(INDEX(项目档案!$G$6:$G$255,MATCH($C498,项目档案!$A$6:$A$255,0)),"")),N(IFERROR(INDEX(单位档案!$D$6:$D$35,MATCH($E498,单位档案!$A$6:$A$35,0)),"")))))</f>
        <v/>
      </c>
      <c r="J498" s="22"/>
      <c r="K498" s="22"/>
      <c r="L498" s="33" t="str">
        <f aca="false">IF($B498="","",IF(NOT(ISNUMBER($B498)),"日期格式不对",IF($C498="","未选项目编号",IF(LEFT($M498,1)="⚠","项目编号不存在",IF($D498="","未选业务类型",IF($E498="","未选开票/付款方",IF(ISNA(MATCH($E498,单位档案!$A$6:$A$35,0)),"开票方不在单位档案",IF($F498="","未选收票/收款方",IF(ISNA(MATCH($F498,单位档案!$A$6:$A$35,0)),"收款方不在单位档案",IF(NOT(ISNUMBER($H498)),"金额须为数字",IF(AND($D498="销项开票",$N498="—"),"链条待确认","√")))))))))))</f>
        <v/>
      </c>
      <c r="M498" s="34" t="str">
        <f aca="false">IF($C498="","",IFERROR(INDEX(项目档案!$B$6:$B$255,MATCH($C498,项目档案!$A$6:$A$255,0)),"⚠项目编号不存在"))</f>
        <v/>
      </c>
      <c r="N498" s="35" t="str">
        <f aca="false">IF($E498="","",IF($E498=IFERROR(INDEX(项目档案!$D$6:$D$255,MATCH($C498,项目档案!$A$6:$A$255,0)),""),"一级",IF($E498=IFERROR(INDEX(项目档案!$F$6:$F$255,MATCH($C498,项目档案!$A$6:$A$255,0)),""),"二级",IF($E498=IFERROR(INDEX(项目档案!$H$6:$H$255,MATCH($C498,项目档案!$A$6:$A$255,0)),""),"我方","—"))))</f>
        <v/>
      </c>
      <c r="O498" s="36" t="n">
        <f aca="false">IF($D498&lt;&gt;"销项开票",0,ROUND(N($H498)*N($I498),2))</f>
        <v>0</v>
      </c>
      <c r="P498" s="36" t="n">
        <f aca="false">IF($D498&lt;&gt;"销项开票",0,ROUND(N($H498)-$O498,2))</f>
        <v>0</v>
      </c>
      <c r="Q498" s="37" t="str">
        <f aca="false">IF($E498="","",N(IFERROR(INDEX(单位档案!$E$6:$E$35,MATCH($E498,单位档案!$A$6:$A$35,0)),"")))</f>
        <v/>
      </c>
      <c r="R498" s="37" t="str">
        <f aca="false">IF($E498="","",N(IFERROR(INDEX(单位档案!$F$6:$F$35,MATCH($E498,单位档案!$A$6:$A$35,0)),"")))</f>
        <v/>
      </c>
      <c r="S498" s="36" t="n">
        <f aca="false">IF(OR($D498&lt;&gt;"销项开票",IFERROR(INDEX(单位档案!$G$6:$G$35,MATCH($E498,单位档案!$A$6:$A$35,0)),"")&lt;&gt;"是",N($Q498)=0),0,IF(IFERROR(INDEX(单位档案!$H$6:$H$35,MATCH($E498,单位档案!$A$6:$A$35,0)),"")="税差法",ROUND(N($H498)/(1+$Q498)*$Q498-IF(N($R498)=0,0,$P498/(1+$R498)*$R498),2),ROUND(N($H498)/(1+$Q498)*$Q498,2)))</f>
        <v>0</v>
      </c>
      <c r="T498" s="36" t="n">
        <f aca="false">ROUND($S498*N(IFERROR(INDEX(单位档案!$J$6:$J$35,MATCH($E498,单位档案!$A$6:$A$35,0)),"")),2)</f>
        <v>0</v>
      </c>
      <c r="U498" s="36" t="n">
        <f aca="false">IF($D498&lt;&gt;"销项开票",0,ROUND(N($H498)*N(IFERROR(INDEX(单位档案!$K$6:$K$35,MATCH($E498,单位档案!$A$6:$A$35,0)),"")),2))</f>
        <v>0</v>
      </c>
      <c r="V498" s="36" t="n">
        <f aca="false">IF(OR($D498&lt;&gt;"销项开票",N($Q498)=0),0,ROUND(N($H498)/(1+$Q498)*N(IFERROR(INDEX(单位档案!$L$6:$L$35,MATCH($E498,单位档案!$A$6:$A$35,0)),"")),2))</f>
        <v>0</v>
      </c>
      <c r="W498" s="36" t="n">
        <f aca="false">ROUND($S498+$T498+$U498+$V498,2)</f>
        <v>0</v>
      </c>
      <c r="X498" s="35" t="str">
        <f aca="false">IF(OR($D498="挂靠代收",$D498="我方收款"),COUNTIFS($D$5:$D498,"挂靠代收")+COUNTIFS($D$5:$D498,"我方收款"),"")</f>
        <v/>
      </c>
      <c r="Y498" s="35"/>
      <c r="Z498" s="21" t="s">
        <v>111</v>
      </c>
    </row>
    <row r="499" customFormat="false" ht="15.75" hidden="false" customHeight="true" outlineLevel="0" collapsed="false">
      <c r="A499" s="32" t="str">
        <f aca="false">IF($B499="","",ROW()-4)</f>
        <v/>
      </c>
      <c r="B499" s="26"/>
      <c r="C499" s="24"/>
      <c r="D499" s="21"/>
      <c r="E499" s="21"/>
      <c r="F499" s="21"/>
      <c r="G499" s="21"/>
      <c r="H499" s="27"/>
      <c r="I499" s="23" t="str">
        <f aca="false">IF($D499&lt;&gt;"销项开票","",IF($N499="一级",IF(IFERROR(INDEX(项目档案!$E$6:$E$255,MATCH($C499,项目档案!$A$6:$A$255,0)),"")="",N(IFERROR(INDEX(单位档案!$D$6:$D$35,MATCH($E499,单位档案!$A$6:$A$35,0)),"")),IFERROR(INDEX(项目档案!$E$6:$E$255,MATCH($C499,项目档案!$A$6:$A$255,0)),"")),IF($N499="二级",IF(IFERROR(INDEX(项目档案!$G$6:$G$255,MATCH($C499,项目档案!$A$6:$A$255,0)),"")="",N(IFERROR(INDEX(单位档案!$D$6:$D$35,MATCH($E499,单位档案!$A$6:$A$35,0)),"")),IFERROR(INDEX(项目档案!$G$6:$G$255,MATCH($C499,项目档案!$A$6:$A$255,0)),"")),N(IFERROR(INDEX(单位档案!$D$6:$D$35,MATCH($E499,单位档案!$A$6:$A$35,0)),"")))))</f>
        <v/>
      </c>
      <c r="J499" s="22"/>
      <c r="K499" s="22"/>
      <c r="L499" s="33" t="str">
        <f aca="false">IF($B499="","",IF(NOT(ISNUMBER($B499)),"日期格式不对",IF($C499="","未选项目编号",IF(LEFT($M499,1)="⚠","项目编号不存在",IF($D499="","未选业务类型",IF($E499="","未选开票/付款方",IF(ISNA(MATCH($E499,单位档案!$A$6:$A$35,0)),"开票方不在单位档案",IF($F499="","未选收票/收款方",IF(ISNA(MATCH($F499,单位档案!$A$6:$A$35,0)),"收款方不在单位档案",IF(NOT(ISNUMBER($H499)),"金额须为数字",IF(AND($D499="销项开票",$N499="—"),"链条待确认","√")))))))))))</f>
        <v/>
      </c>
      <c r="M499" s="34" t="str">
        <f aca="false">IF($C499="","",IFERROR(INDEX(项目档案!$B$6:$B$255,MATCH($C499,项目档案!$A$6:$A$255,0)),"⚠项目编号不存在"))</f>
        <v/>
      </c>
      <c r="N499" s="35" t="str">
        <f aca="false">IF($E499="","",IF($E499=IFERROR(INDEX(项目档案!$D$6:$D$255,MATCH($C499,项目档案!$A$6:$A$255,0)),""),"一级",IF($E499=IFERROR(INDEX(项目档案!$F$6:$F$255,MATCH($C499,项目档案!$A$6:$A$255,0)),""),"二级",IF($E499=IFERROR(INDEX(项目档案!$H$6:$H$255,MATCH($C499,项目档案!$A$6:$A$255,0)),""),"我方","—"))))</f>
        <v/>
      </c>
      <c r="O499" s="36" t="n">
        <f aca="false">IF($D499&lt;&gt;"销项开票",0,ROUND(N($H499)*N($I499),2))</f>
        <v>0</v>
      </c>
      <c r="P499" s="36" t="n">
        <f aca="false">IF($D499&lt;&gt;"销项开票",0,ROUND(N($H499)-$O499,2))</f>
        <v>0</v>
      </c>
      <c r="Q499" s="37" t="str">
        <f aca="false">IF($E499="","",N(IFERROR(INDEX(单位档案!$E$6:$E$35,MATCH($E499,单位档案!$A$6:$A$35,0)),"")))</f>
        <v/>
      </c>
      <c r="R499" s="37" t="str">
        <f aca="false">IF($E499="","",N(IFERROR(INDEX(单位档案!$F$6:$F$35,MATCH($E499,单位档案!$A$6:$A$35,0)),"")))</f>
        <v/>
      </c>
      <c r="S499" s="36" t="n">
        <f aca="false">IF(OR($D499&lt;&gt;"销项开票",IFERROR(INDEX(单位档案!$G$6:$G$35,MATCH($E499,单位档案!$A$6:$A$35,0)),"")&lt;&gt;"是",N($Q499)=0),0,IF(IFERROR(INDEX(单位档案!$H$6:$H$35,MATCH($E499,单位档案!$A$6:$A$35,0)),"")="税差法",ROUND(N($H499)/(1+$Q499)*$Q499-IF(N($R499)=0,0,$P499/(1+$R499)*$R499),2),ROUND(N($H499)/(1+$Q499)*$Q499,2)))</f>
        <v>0</v>
      </c>
      <c r="T499" s="36" t="n">
        <f aca="false">ROUND($S499*N(IFERROR(INDEX(单位档案!$J$6:$J$35,MATCH($E499,单位档案!$A$6:$A$35,0)),"")),2)</f>
        <v>0</v>
      </c>
      <c r="U499" s="36" t="n">
        <f aca="false">IF($D499&lt;&gt;"销项开票",0,ROUND(N($H499)*N(IFERROR(INDEX(单位档案!$K$6:$K$35,MATCH($E499,单位档案!$A$6:$A$35,0)),"")),2))</f>
        <v>0</v>
      </c>
      <c r="V499" s="36" t="n">
        <f aca="false">IF(OR($D499&lt;&gt;"销项开票",N($Q499)=0),0,ROUND(N($H499)/(1+$Q499)*N(IFERROR(INDEX(单位档案!$L$6:$L$35,MATCH($E499,单位档案!$A$6:$A$35,0)),"")),2))</f>
        <v>0</v>
      </c>
      <c r="W499" s="36" t="n">
        <f aca="false">ROUND($S499+$T499+$U499+$V499,2)</f>
        <v>0</v>
      </c>
      <c r="X499" s="35" t="str">
        <f aca="false">IF(OR($D499="挂靠代收",$D499="我方收款"),COUNTIFS($D$5:$D499,"挂靠代收")+COUNTIFS($D$5:$D499,"我方收款"),"")</f>
        <v/>
      </c>
      <c r="Y499" s="35"/>
      <c r="Z499" s="21" t="s">
        <v>111</v>
      </c>
    </row>
    <row r="500" customFormat="false" ht="15.75" hidden="false" customHeight="true" outlineLevel="0" collapsed="false">
      <c r="A500" s="32" t="str">
        <f aca="false">IF($B500="","",ROW()-4)</f>
        <v/>
      </c>
      <c r="B500" s="26"/>
      <c r="C500" s="24"/>
      <c r="D500" s="21"/>
      <c r="E500" s="21"/>
      <c r="F500" s="21"/>
      <c r="G500" s="21"/>
      <c r="H500" s="27"/>
      <c r="I500" s="23" t="str">
        <f aca="false">IF($D500&lt;&gt;"销项开票","",IF($N500="一级",IF(IFERROR(INDEX(项目档案!$E$6:$E$255,MATCH($C500,项目档案!$A$6:$A$255,0)),"")="",N(IFERROR(INDEX(单位档案!$D$6:$D$35,MATCH($E500,单位档案!$A$6:$A$35,0)),"")),IFERROR(INDEX(项目档案!$E$6:$E$255,MATCH($C500,项目档案!$A$6:$A$255,0)),"")),IF($N500="二级",IF(IFERROR(INDEX(项目档案!$G$6:$G$255,MATCH($C500,项目档案!$A$6:$A$255,0)),"")="",N(IFERROR(INDEX(单位档案!$D$6:$D$35,MATCH($E500,单位档案!$A$6:$A$35,0)),"")),IFERROR(INDEX(项目档案!$G$6:$G$255,MATCH($C500,项目档案!$A$6:$A$255,0)),"")),N(IFERROR(INDEX(单位档案!$D$6:$D$35,MATCH($E500,单位档案!$A$6:$A$35,0)),"")))))</f>
        <v/>
      </c>
      <c r="J500" s="22"/>
      <c r="K500" s="22"/>
      <c r="L500" s="33" t="str">
        <f aca="false">IF($B500="","",IF(NOT(ISNUMBER($B500)),"日期格式不对",IF($C500="","未选项目编号",IF(LEFT($M500,1)="⚠","项目编号不存在",IF($D500="","未选业务类型",IF($E500="","未选开票/付款方",IF(ISNA(MATCH($E500,单位档案!$A$6:$A$35,0)),"开票方不在单位档案",IF($F500="","未选收票/收款方",IF(ISNA(MATCH($F500,单位档案!$A$6:$A$35,0)),"收款方不在单位档案",IF(NOT(ISNUMBER($H500)),"金额须为数字",IF(AND($D500="销项开票",$N500="—"),"链条待确认","√")))))))))))</f>
        <v/>
      </c>
      <c r="M500" s="34" t="str">
        <f aca="false">IF($C500="","",IFERROR(INDEX(项目档案!$B$6:$B$255,MATCH($C500,项目档案!$A$6:$A$255,0)),"⚠项目编号不存在"))</f>
        <v/>
      </c>
      <c r="N500" s="35" t="str">
        <f aca="false">IF($E500="","",IF($E500=IFERROR(INDEX(项目档案!$D$6:$D$255,MATCH($C500,项目档案!$A$6:$A$255,0)),""),"一级",IF($E500=IFERROR(INDEX(项目档案!$F$6:$F$255,MATCH($C500,项目档案!$A$6:$A$255,0)),""),"二级",IF($E500=IFERROR(INDEX(项目档案!$H$6:$H$255,MATCH($C500,项目档案!$A$6:$A$255,0)),""),"我方","—"))))</f>
        <v/>
      </c>
      <c r="O500" s="36" t="n">
        <f aca="false">IF($D500&lt;&gt;"销项开票",0,ROUND(N($H500)*N($I500),2))</f>
        <v>0</v>
      </c>
      <c r="P500" s="36" t="n">
        <f aca="false">IF($D500&lt;&gt;"销项开票",0,ROUND(N($H500)-$O500,2))</f>
        <v>0</v>
      </c>
      <c r="Q500" s="37" t="str">
        <f aca="false">IF($E500="","",N(IFERROR(INDEX(单位档案!$E$6:$E$35,MATCH($E500,单位档案!$A$6:$A$35,0)),"")))</f>
        <v/>
      </c>
      <c r="R500" s="37" t="str">
        <f aca="false">IF($E500="","",N(IFERROR(INDEX(单位档案!$F$6:$F$35,MATCH($E500,单位档案!$A$6:$A$35,0)),"")))</f>
        <v/>
      </c>
      <c r="S500" s="36" t="n">
        <f aca="false">IF(OR($D500&lt;&gt;"销项开票",IFERROR(INDEX(单位档案!$G$6:$G$35,MATCH($E500,单位档案!$A$6:$A$35,0)),"")&lt;&gt;"是",N($Q500)=0),0,IF(IFERROR(INDEX(单位档案!$H$6:$H$35,MATCH($E500,单位档案!$A$6:$A$35,0)),"")="税差法",ROUND(N($H500)/(1+$Q500)*$Q500-IF(N($R500)=0,0,$P500/(1+$R500)*$R500),2),ROUND(N($H500)/(1+$Q500)*$Q500,2)))</f>
        <v>0</v>
      </c>
      <c r="T500" s="36" t="n">
        <f aca="false">ROUND($S500*N(IFERROR(INDEX(单位档案!$J$6:$J$35,MATCH($E500,单位档案!$A$6:$A$35,0)),"")),2)</f>
        <v>0</v>
      </c>
      <c r="U500" s="36" t="n">
        <f aca="false">IF($D500&lt;&gt;"销项开票",0,ROUND(N($H500)*N(IFERROR(INDEX(单位档案!$K$6:$K$35,MATCH($E500,单位档案!$A$6:$A$35,0)),"")),2))</f>
        <v>0</v>
      </c>
      <c r="V500" s="36" t="n">
        <f aca="false">IF(OR($D500&lt;&gt;"销项开票",N($Q500)=0),0,ROUND(N($H500)/(1+$Q500)*N(IFERROR(INDEX(单位档案!$L$6:$L$35,MATCH($E500,单位档案!$A$6:$A$35,0)),"")),2))</f>
        <v>0</v>
      </c>
      <c r="W500" s="36" t="n">
        <f aca="false">ROUND($S500+$T500+$U500+$V500,2)</f>
        <v>0</v>
      </c>
      <c r="X500" s="35" t="str">
        <f aca="false">IF(OR($D500="挂靠代收",$D500="我方收款"),COUNTIFS($D$5:$D500,"挂靠代收")+COUNTIFS($D$5:$D500,"我方收款"),"")</f>
        <v/>
      </c>
      <c r="Y500" s="35"/>
      <c r="Z500" s="21" t="s">
        <v>111</v>
      </c>
    </row>
    <row r="501" customFormat="false" ht="15.75" hidden="false" customHeight="true" outlineLevel="0" collapsed="false">
      <c r="A501" s="32" t="str">
        <f aca="false">IF($B501="","",ROW()-4)</f>
        <v/>
      </c>
      <c r="B501" s="26"/>
      <c r="C501" s="24"/>
      <c r="D501" s="21"/>
      <c r="E501" s="21"/>
      <c r="F501" s="21"/>
      <c r="G501" s="21"/>
      <c r="H501" s="27"/>
      <c r="I501" s="23" t="str">
        <f aca="false">IF($D501&lt;&gt;"销项开票","",IF($N501="一级",IF(IFERROR(INDEX(项目档案!$E$6:$E$255,MATCH($C501,项目档案!$A$6:$A$255,0)),"")="",N(IFERROR(INDEX(单位档案!$D$6:$D$35,MATCH($E501,单位档案!$A$6:$A$35,0)),"")),IFERROR(INDEX(项目档案!$E$6:$E$255,MATCH($C501,项目档案!$A$6:$A$255,0)),"")),IF($N501="二级",IF(IFERROR(INDEX(项目档案!$G$6:$G$255,MATCH($C501,项目档案!$A$6:$A$255,0)),"")="",N(IFERROR(INDEX(单位档案!$D$6:$D$35,MATCH($E501,单位档案!$A$6:$A$35,0)),"")),IFERROR(INDEX(项目档案!$G$6:$G$255,MATCH($C501,项目档案!$A$6:$A$255,0)),"")),N(IFERROR(INDEX(单位档案!$D$6:$D$35,MATCH($E501,单位档案!$A$6:$A$35,0)),"")))))</f>
        <v/>
      </c>
      <c r="J501" s="22"/>
      <c r="K501" s="22"/>
      <c r="L501" s="33" t="str">
        <f aca="false">IF($B501="","",IF(NOT(ISNUMBER($B501)),"日期格式不对",IF($C501="","未选项目编号",IF(LEFT($M501,1)="⚠","项目编号不存在",IF($D501="","未选业务类型",IF($E501="","未选开票/付款方",IF(ISNA(MATCH($E501,单位档案!$A$6:$A$35,0)),"开票方不在单位档案",IF($F501="","未选收票/收款方",IF(ISNA(MATCH($F501,单位档案!$A$6:$A$35,0)),"收款方不在单位档案",IF(NOT(ISNUMBER($H501)),"金额须为数字",IF(AND($D501="销项开票",$N501="—"),"链条待确认","√")))))))))))</f>
        <v/>
      </c>
      <c r="M501" s="34" t="str">
        <f aca="false">IF($C501="","",IFERROR(INDEX(项目档案!$B$6:$B$255,MATCH($C501,项目档案!$A$6:$A$255,0)),"⚠项目编号不存在"))</f>
        <v/>
      </c>
      <c r="N501" s="35" t="str">
        <f aca="false">IF($E501="","",IF($E501=IFERROR(INDEX(项目档案!$D$6:$D$255,MATCH($C501,项目档案!$A$6:$A$255,0)),""),"一级",IF($E501=IFERROR(INDEX(项目档案!$F$6:$F$255,MATCH($C501,项目档案!$A$6:$A$255,0)),""),"二级",IF($E501=IFERROR(INDEX(项目档案!$H$6:$H$255,MATCH($C501,项目档案!$A$6:$A$255,0)),""),"我方","—"))))</f>
        <v/>
      </c>
      <c r="O501" s="36" t="n">
        <f aca="false">IF($D501&lt;&gt;"销项开票",0,ROUND(N($H501)*N($I501),2))</f>
        <v>0</v>
      </c>
      <c r="P501" s="36" t="n">
        <f aca="false">IF($D501&lt;&gt;"销项开票",0,ROUND(N($H501)-$O501,2))</f>
        <v>0</v>
      </c>
      <c r="Q501" s="37" t="str">
        <f aca="false">IF($E501="","",N(IFERROR(INDEX(单位档案!$E$6:$E$35,MATCH($E501,单位档案!$A$6:$A$35,0)),"")))</f>
        <v/>
      </c>
      <c r="R501" s="37" t="str">
        <f aca="false">IF($E501="","",N(IFERROR(INDEX(单位档案!$F$6:$F$35,MATCH($E501,单位档案!$A$6:$A$35,0)),"")))</f>
        <v/>
      </c>
      <c r="S501" s="36" t="n">
        <f aca="false">IF(OR($D501&lt;&gt;"销项开票",IFERROR(INDEX(单位档案!$G$6:$G$35,MATCH($E501,单位档案!$A$6:$A$35,0)),"")&lt;&gt;"是",N($Q501)=0),0,IF(IFERROR(INDEX(单位档案!$H$6:$H$35,MATCH($E501,单位档案!$A$6:$A$35,0)),"")="税差法",ROUND(N($H501)/(1+$Q501)*$Q501-IF(N($R501)=0,0,$P501/(1+$R501)*$R501),2),ROUND(N($H501)/(1+$Q501)*$Q501,2)))</f>
        <v>0</v>
      </c>
      <c r="T501" s="36" t="n">
        <f aca="false">ROUND($S501*N(IFERROR(INDEX(单位档案!$J$6:$J$35,MATCH($E501,单位档案!$A$6:$A$35,0)),"")),2)</f>
        <v>0</v>
      </c>
      <c r="U501" s="36" t="n">
        <f aca="false">IF($D501&lt;&gt;"销项开票",0,ROUND(N($H501)*N(IFERROR(INDEX(单位档案!$K$6:$K$35,MATCH($E501,单位档案!$A$6:$A$35,0)),"")),2))</f>
        <v>0</v>
      </c>
      <c r="V501" s="36" t="n">
        <f aca="false">IF(OR($D501&lt;&gt;"销项开票",N($Q501)=0),0,ROUND(N($H501)/(1+$Q501)*N(IFERROR(INDEX(单位档案!$L$6:$L$35,MATCH($E501,单位档案!$A$6:$A$35,0)),"")),2))</f>
        <v>0</v>
      </c>
      <c r="W501" s="36" t="n">
        <f aca="false">ROUND($S501+$T501+$U501+$V501,2)</f>
        <v>0</v>
      </c>
      <c r="X501" s="35" t="str">
        <f aca="false">IF(OR($D501="挂靠代收",$D501="我方收款"),COUNTIFS($D$5:$D501,"挂靠代收")+COUNTIFS($D$5:$D501,"我方收款"),"")</f>
        <v/>
      </c>
      <c r="Y501" s="35"/>
      <c r="Z501" s="21" t="s">
        <v>111</v>
      </c>
    </row>
    <row r="502" customFormat="false" ht="15.75" hidden="false" customHeight="true" outlineLevel="0" collapsed="false">
      <c r="A502" s="32" t="str">
        <f aca="false">IF($B502="","",ROW()-4)</f>
        <v/>
      </c>
      <c r="B502" s="26"/>
      <c r="C502" s="24"/>
      <c r="D502" s="21"/>
      <c r="E502" s="21"/>
      <c r="F502" s="21"/>
      <c r="G502" s="21"/>
      <c r="H502" s="27"/>
      <c r="I502" s="23" t="str">
        <f aca="false">IF($D502&lt;&gt;"销项开票","",IF($N502="一级",IF(IFERROR(INDEX(项目档案!$E$6:$E$255,MATCH($C502,项目档案!$A$6:$A$255,0)),"")="",N(IFERROR(INDEX(单位档案!$D$6:$D$35,MATCH($E502,单位档案!$A$6:$A$35,0)),"")),IFERROR(INDEX(项目档案!$E$6:$E$255,MATCH($C502,项目档案!$A$6:$A$255,0)),"")),IF($N502="二级",IF(IFERROR(INDEX(项目档案!$G$6:$G$255,MATCH($C502,项目档案!$A$6:$A$255,0)),"")="",N(IFERROR(INDEX(单位档案!$D$6:$D$35,MATCH($E502,单位档案!$A$6:$A$35,0)),"")),IFERROR(INDEX(项目档案!$G$6:$G$255,MATCH($C502,项目档案!$A$6:$A$255,0)),"")),N(IFERROR(INDEX(单位档案!$D$6:$D$35,MATCH($E502,单位档案!$A$6:$A$35,0)),"")))))</f>
        <v/>
      </c>
      <c r="J502" s="22"/>
      <c r="K502" s="22"/>
      <c r="L502" s="33" t="str">
        <f aca="false">IF($B502="","",IF(NOT(ISNUMBER($B502)),"日期格式不对",IF($C502="","未选项目编号",IF(LEFT($M502,1)="⚠","项目编号不存在",IF($D502="","未选业务类型",IF($E502="","未选开票/付款方",IF(ISNA(MATCH($E502,单位档案!$A$6:$A$35,0)),"开票方不在单位档案",IF($F502="","未选收票/收款方",IF(ISNA(MATCH($F502,单位档案!$A$6:$A$35,0)),"收款方不在单位档案",IF(NOT(ISNUMBER($H502)),"金额须为数字",IF(AND($D502="销项开票",$N502="—"),"链条待确认","√")))))))))))</f>
        <v/>
      </c>
      <c r="M502" s="34" t="str">
        <f aca="false">IF($C502="","",IFERROR(INDEX(项目档案!$B$6:$B$255,MATCH($C502,项目档案!$A$6:$A$255,0)),"⚠项目编号不存在"))</f>
        <v/>
      </c>
      <c r="N502" s="35" t="str">
        <f aca="false">IF($E502="","",IF($E502=IFERROR(INDEX(项目档案!$D$6:$D$255,MATCH($C502,项目档案!$A$6:$A$255,0)),""),"一级",IF($E502=IFERROR(INDEX(项目档案!$F$6:$F$255,MATCH($C502,项目档案!$A$6:$A$255,0)),""),"二级",IF($E502=IFERROR(INDEX(项目档案!$H$6:$H$255,MATCH($C502,项目档案!$A$6:$A$255,0)),""),"我方","—"))))</f>
        <v/>
      </c>
      <c r="O502" s="36" t="n">
        <f aca="false">IF($D502&lt;&gt;"销项开票",0,ROUND(N($H502)*N($I502),2))</f>
        <v>0</v>
      </c>
      <c r="P502" s="36" t="n">
        <f aca="false">IF($D502&lt;&gt;"销项开票",0,ROUND(N($H502)-$O502,2))</f>
        <v>0</v>
      </c>
      <c r="Q502" s="37" t="str">
        <f aca="false">IF($E502="","",N(IFERROR(INDEX(单位档案!$E$6:$E$35,MATCH($E502,单位档案!$A$6:$A$35,0)),"")))</f>
        <v/>
      </c>
      <c r="R502" s="37" t="str">
        <f aca="false">IF($E502="","",N(IFERROR(INDEX(单位档案!$F$6:$F$35,MATCH($E502,单位档案!$A$6:$A$35,0)),"")))</f>
        <v/>
      </c>
      <c r="S502" s="36" t="n">
        <f aca="false">IF(OR($D502&lt;&gt;"销项开票",IFERROR(INDEX(单位档案!$G$6:$G$35,MATCH($E502,单位档案!$A$6:$A$35,0)),"")&lt;&gt;"是",N($Q502)=0),0,IF(IFERROR(INDEX(单位档案!$H$6:$H$35,MATCH($E502,单位档案!$A$6:$A$35,0)),"")="税差法",ROUND(N($H502)/(1+$Q502)*$Q502-IF(N($R502)=0,0,$P502/(1+$R502)*$R502),2),ROUND(N($H502)/(1+$Q502)*$Q502,2)))</f>
        <v>0</v>
      </c>
      <c r="T502" s="36" t="n">
        <f aca="false">ROUND($S502*N(IFERROR(INDEX(单位档案!$J$6:$J$35,MATCH($E502,单位档案!$A$6:$A$35,0)),"")),2)</f>
        <v>0</v>
      </c>
      <c r="U502" s="36" t="n">
        <f aca="false">IF($D502&lt;&gt;"销项开票",0,ROUND(N($H502)*N(IFERROR(INDEX(单位档案!$K$6:$K$35,MATCH($E502,单位档案!$A$6:$A$35,0)),"")),2))</f>
        <v>0</v>
      </c>
      <c r="V502" s="36" t="n">
        <f aca="false">IF(OR($D502&lt;&gt;"销项开票",N($Q502)=0),0,ROUND(N($H502)/(1+$Q502)*N(IFERROR(INDEX(单位档案!$L$6:$L$35,MATCH($E502,单位档案!$A$6:$A$35,0)),"")),2))</f>
        <v>0</v>
      </c>
      <c r="W502" s="36" t="n">
        <f aca="false">ROUND($S502+$T502+$U502+$V502,2)</f>
        <v>0</v>
      </c>
      <c r="X502" s="35" t="str">
        <f aca="false">IF(OR($D502="挂靠代收",$D502="我方收款"),COUNTIFS($D$5:$D502,"挂靠代收")+COUNTIFS($D$5:$D502,"我方收款"),"")</f>
        <v/>
      </c>
      <c r="Y502" s="35"/>
      <c r="Z502" s="21" t="s">
        <v>111</v>
      </c>
    </row>
    <row r="503" customFormat="false" ht="15.75" hidden="false" customHeight="true" outlineLevel="0" collapsed="false">
      <c r="A503" s="32" t="str">
        <f aca="false">IF($B503="","",ROW()-4)</f>
        <v/>
      </c>
      <c r="B503" s="26"/>
      <c r="C503" s="24"/>
      <c r="D503" s="21"/>
      <c r="E503" s="21"/>
      <c r="F503" s="21"/>
      <c r="G503" s="21"/>
      <c r="H503" s="27"/>
      <c r="I503" s="23" t="str">
        <f aca="false">IF($D503&lt;&gt;"销项开票","",IF($N503="一级",IF(IFERROR(INDEX(项目档案!$E$6:$E$255,MATCH($C503,项目档案!$A$6:$A$255,0)),"")="",N(IFERROR(INDEX(单位档案!$D$6:$D$35,MATCH($E503,单位档案!$A$6:$A$35,0)),"")),IFERROR(INDEX(项目档案!$E$6:$E$255,MATCH($C503,项目档案!$A$6:$A$255,0)),"")),IF($N503="二级",IF(IFERROR(INDEX(项目档案!$G$6:$G$255,MATCH($C503,项目档案!$A$6:$A$255,0)),"")="",N(IFERROR(INDEX(单位档案!$D$6:$D$35,MATCH($E503,单位档案!$A$6:$A$35,0)),"")),IFERROR(INDEX(项目档案!$G$6:$G$255,MATCH($C503,项目档案!$A$6:$A$255,0)),"")),N(IFERROR(INDEX(单位档案!$D$6:$D$35,MATCH($E503,单位档案!$A$6:$A$35,0)),"")))))</f>
        <v/>
      </c>
      <c r="J503" s="22"/>
      <c r="K503" s="22"/>
      <c r="L503" s="33" t="str">
        <f aca="false">IF($B503="","",IF(NOT(ISNUMBER($B503)),"日期格式不对",IF($C503="","未选项目编号",IF(LEFT($M503,1)="⚠","项目编号不存在",IF($D503="","未选业务类型",IF($E503="","未选开票/付款方",IF(ISNA(MATCH($E503,单位档案!$A$6:$A$35,0)),"开票方不在单位档案",IF($F503="","未选收票/收款方",IF(ISNA(MATCH($F503,单位档案!$A$6:$A$35,0)),"收款方不在单位档案",IF(NOT(ISNUMBER($H503)),"金额须为数字",IF(AND($D503="销项开票",$N503="—"),"链条待确认","√")))))))))))</f>
        <v/>
      </c>
      <c r="M503" s="34" t="str">
        <f aca="false">IF($C503="","",IFERROR(INDEX(项目档案!$B$6:$B$255,MATCH($C503,项目档案!$A$6:$A$255,0)),"⚠项目编号不存在"))</f>
        <v/>
      </c>
      <c r="N503" s="35" t="str">
        <f aca="false">IF($E503="","",IF($E503=IFERROR(INDEX(项目档案!$D$6:$D$255,MATCH($C503,项目档案!$A$6:$A$255,0)),""),"一级",IF($E503=IFERROR(INDEX(项目档案!$F$6:$F$255,MATCH($C503,项目档案!$A$6:$A$255,0)),""),"二级",IF($E503=IFERROR(INDEX(项目档案!$H$6:$H$255,MATCH($C503,项目档案!$A$6:$A$255,0)),""),"我方","—"))))</f>
        <v/>
      </c>
      <c r="O503" s="36" t="n">
        <f aca="false">IF($D503&lt;&gt;"销项开票",0,ROUND(N($H503)*N($I503),2))</f>
        <v>0</v>
      </c>
      <c r="P503" s="36" t="n">
        <f aca="false">IF($D503&lt;&gt;"销项开票",0,ROUND(N($H503)-$O503,2))</f>
        <v>0</v>
      </c>
      <c r="Q503" s="37" t="str">
        <f aca="false">IF($E503="","",N(IFERROR(INDEX(单位档案!$E$6:$E$35,MATCH($E503,单位档案!$A$6:$A$35,0)),"")))</f>
        <v/>
      </c>
      <c r="R503" s="37" t="str">
        <f aca="false">IF($E503="","",N(IFERROR(INDEX(单位档案!$F$6:$F$35,MATCH($E503,单位档案!$A$6:$A$35,0)),"")))</f>
        <v/>
      </c>
      <c r="S503" s="36" t="n">
        <f aca="false">IF(OR($D503&lt;&gt;"销项开票",IFERROR(INDEX(单位档案!$G$6:$G$35,MATCH($E503,单位档案!$A$6:$A$35,0)),"")&lt;&gt;"是",N($Q503)=0),0,IF(IFERROR(INDEX(单位档案!$H$6:$H$35,MATCH($E503,单位档案!$A$6:$A$35,0)),"")="税差法",ROUND(N($H503)/(1+$Q503)*$Q503-IF(N($R503)=0,0,$P503/(1+$R503)*$R503),2),ROUND(N($H503)/(1+$Q503)*$Q503,2)))</f>
        <v>0</v>
      </c>
      <c r="T503" s="36" t="n">
        <f aca="false">ROUND($S503*N(IFERROR(INDEX(单位档案!$J$6:$J$35,MATCH($E503,单位档案!$A$6:$A$35,0)),"")),2)</f>
        <v>0</v>
      </c>
      <c r="U503" s="36" t="n">
        <f aca="false">IF($D503&lt;&gt;"销项开票",0,ROUND(N($H503)*N(IFERROR(INDEX(单位档案!$K$6:$K$35,MATCH($E503,单位档案!$A$6:$A$35,0)),"")),2))</f>
        <v>0</v>
      </c>
      <c r="V503" s="36" t="n">
        <f aca="false">IF(OR($D503&lt;&gt;"销项开票",N($Q503)=0),0,ROUND(N($H503)/(1+$Q503)*N(IFERROR(INDEX(单位档案!$L$6:$L$35,MATCH($E503,单位档案!$A$6:$A$35,0)),"")),2))</f>
        <v>0</v>
      </c>
      <c r="W503" s="36" t="n">
        <f aca="false">ROUND($S503+$T503+$U503+$V503,2)</f>
        <v>0</v>
      </c>
      <c r="X503" s="35" t="str">
        <f aca="false">IF(OR($D503="挂靠代收",$D503="我方收款"),COUNTIFS($D$5:$D503,"挂靠代收")+COUNTIFS($D$5:$D503,"我方收款"),"")</f>
        <v/>
      </c>
      <c r="Y503" s="35"/>
      <c r="Z503" s="21" t="s">
        <v>111</v>
      </c>
    </row>
    <row r="504" customFormat="false" ht="15.75" hidden="false" customHeight="true" outlineLevel="0" collapsed="false">
      <c r="A504" s="32" t="str">
        <f aca="false">IF($B504="","",ROW()-4)</f>
        <v/>
      </c>
      <c r="B504" s="26"/>
      <c r="C504" s="24"/>
      <c r="D504" s="21"/>
      <c r="E504" s="21"/>
      <c r="F504" s="21"/>
      <c r="G504" s="21"/>
      <c r="H504" s="27"/>
      <c r="I504" s="23" t="str">
        <f aca="false">IF($D504&lt;&gt;"销项开票","",IF($N504="一级",IF(IFERROR(INDEX(项目档案!$E$6:$E$255,MATCH($C504,项目档案!$A$6:$A$255,0)),"")="",N(IFERROR(INDEX(单位档案!$D$6:$D$35,MATCH($E504,单位档案!$A$6:$A$35,0)),"")),IFERROR(INDEX(项目档案!$E$6:$E$255,MATCH($C504,项目档案!$A$6:$A$255,0)),"")),IF($N504="二级",IF(IFERROR(INDEX(项目档案!$G$6:$G$255,MATCH($C504,项目档案!$A$6:$A$255,0)),"")="",N(IFERROR(INDEX(单位档案!$D$6:$D$35,MATCH($E504,单位档案!$A$6:$A$35,0)),"")),IFERROR(INDEX(项目档案!$G$6:$G$255,MATCH($C504,项目档案!$A$6:$A$255,0)),"")),N(IFERROR(INDEX(单位档案!$D$6:$D$35,MATCH($E504,单位档案!$A$6:$A$35,0)),"")))))</f>
        <v/>
      </c>
      <c r="J504" s="22"/>
      <c r="K504" s="22"/>
      <c r="L504" s="33" t="str">
        <f aca="false">IF($B504="","",IF(NOT(ISNUMBER($B504)),"日期格式不对",IF($C504="","未选项目编号",IF(LEFT($M504,1)="⚠","项目编号不存在",IF($D504="","未选业务类型",IF($E504="","未选开票/付款方",IF(ISNA(MATCH($E504,单位档案!$A$6:$A$35,0)),"开票方不在单位档案",IF($F504="","未选收票/收款方",IF(ISNA(MATCH($F504,单位档案!$A$6:$A$35,0)),"收款方不在单位档案",IF(NOT(ISNUMBER($H504)),"金额须为数字",IF(AND($D504="销项开票",$N504="—"),"链条待确认","√")))))))))))</f>
        <v/>
      </c>
      <c r="M504" s="34" t="str">
        <f aca="false">IF($C504="","",IFERROR(INDEX(项目档案!$B$6:$B$255,MATCH($C504,项目档案!$A$6:$A$255,0)),"⚠项目编号不存在"))</f>
        <v/>
      </c>
      <c r="N504" s="35" t="str">
        <f aca="false">IF($E504="","",IF($E504=IFERROR(INDEX(项目档案!$D$6:$D$255,MATCH($C504,项目档案!$A$6:$A$255,0)),""),"一级",IF($E504=IFERROR(INDEX(项目档案!$F$6:$F$255,MATCH($C504,项目档案!$A$6:$A$255,0)),""),"二级",IF($E504=IFERROR(INDEX(项目档案!$H$6:$H$255,MATCH($C504,项目档案!$A$6:$A$255,0)),""),"我方","—"))))</f>
        <v/>
      </c>
      <c r="O504" s="36" t="n">
        <f aca="false">IF($D504&lt;&gt;"销项开票",0,ROUND(N($H504)*N($I504),2))</f>
        <v>0</v>
      </c>
      <c r="P504" s="36" t="n">
        <f aca="false">IF($D504&lt;&gt;"销项开票",0,ROUND(N($H504)-$O504,2))</f>
        <v>0</v>
      </c>
      <c r="Q504" s="37" t="str">
        <f aca="false">IF($E504="","",N(IFERROR(INDEX(单位档案!$E$6:$E$35,MATCH($E504,单位档案!$A$6:$A$35,0)),"")))</f>
        <v/>
      </c>
      <c r="R504" s="37" t="str">
        <f aca="false">IF($E504="","",N(IFERROR(INDEX(单位档案!$F$6:$F$35,MATCH($E504,单位档案!$A$6:$A$35,0)),"")))</f>
        <v/>
      </c>
      <c r="S504" s="36" t="n">
        <f aca="false">IF(OR($D504&lt;&gt;"销项开票",IFERROR(INDEX(单位档案!$G$6:$G$35,MATCH($E504,单位档案!$A$6:$A$35,0)),"")&lt;&gt;"是",N($Q504)=0),0,IF(IFERROR(INDEX(单位档案!$H$6:$H$35,MATCH($E504,单位档案!$A$6:$A$35,0)),"")="税差法",ROUND(N($H504)/(1+$Q504)*$Q504-IF(N($R504)=0,0,$P504/(1+$R504)*$R504),2),ROUND(N($H504)/(1+$Q504)*$Q504,2)))</f>
        <v>0</v>
      </c>
      <c r="T504" s="36" t="n">
        <f aca="false">ROUND($S504*N(IFERROR(INDEX(单位档案!$J$6:$J$35,MATCH($E504,单位档案!$A$6:$A$35,0)),"")),2)</f>
        <v>0</v>
      </c>
      <c r="U504" s="36" t="n">
        <f aca="false">IF($D504&lt;&gt;"销项开票",0,ROUND(N($H504)*N(IFERROR(INDEX(单位档案!$K$6:$K$35,MATCH($E504,单位档案!$A$6:$A$35,0)),"")),2))</f>
        <v>0</v>
      </c>
      <c r="V504" s="36" t="n">
        <f aca="false">IF(OR($D504&lt;&gt;"销项开票",N($Q504)=0),0,ROUND(N($H504)/(1+$Q504)*N(IFERROR(INDEX(单位档案!$L$6:$L$35,MATCH($E504,单位档案!$A$6:$A$35,0)),"")),2))</f>
        <v>0</v>
      </c>
      <c r="W504" s="36" t="n">
        <f aca="false">ROUND($S504+$T504+$U504+$V504,2)</f>
        <v>0</v>
      </c>
      <c r="X504" s="35" t="str">
        <f aca="false">IF(OR($D504="挂靠代收",$D504="我方收款"),COUNTIFS($D$5:$D504,"挂靠代收")+COUNTIFS($D$5:$D504,"我方收款"),"")</f>
        <v/>
      </c>
      <c r="Y504" s="35"/>
      <c r="Z504" s="21" t="s">
        <v>111</v>
      </c>
    </row>
    <row r="505" customFormat="false" ht="15.75" hidden="false" customHeight="true" outlineLevel="0" collapsed="false">
      <c r="A505" s="32" t="str">
        <f aca="false">IF($B505="","",ROW()-4)</f>
        <v/>
      </c>
      <c r="B505" s="26"/>
      <c r="C505" s="24"/>
      <c r="D505" s="21"/>
      <c r="E505" s="21"/>
      <c r="F505" s="21"/>
      <c r="G505" s="21"/>
      <c r="H505" s="27"/>
      <c r="I505" s="23" t="str">
        <f aca="false">IF($D505&lt;&gt;"销项开票","",IF($N505="一级",IF(IFERROR(INDEX(项目档案!$E$6:$E$255,MATCH($C505,项目档案!$A$6:$A$255,0)),"")="",N(IFERROR(INDEX(单位档案!$D$6:$D$35,MATCH($E505,单位档案!$A$6:$A$35,0)),"")),IFERROR(INDEX(项目档案!$E$6:$E$255,MATCH($C505,项目档案!$A$6:$A$255,0)),"")),IF($N505="二级",IF(IFERROR(INDEX(项目档案!$G$6:$G$255,MATCH($C505,项目档案!$A$6:$A$255,0)),"")="",N(IFERROR(INDEX(单位档案!$D$6:$D$35,MATCH($E505,单位档案!$A$6:$A$35,0)),"")),IFERROR(INDEX(项目档案!$G$6:$G$255,MATCH($C505,项目档案!$A$6:$A$255,0)),"")),N(IFERROR(INDEX(单位档案!$D$6:$D$35,MATCH($E505,单位档案!$A$6:$A$35,0)),"")))))</f>
        <v/>
      </c>
      <c r="J505" s="22"/>
      <c r="K505" s="22"/>
      <c r="L505" s="33" t="str">
        <f aca="false">IF($B505="","",IF(NOT(ISNUMBER($B505)),"日期格式不对",IF($C505="","未选项目编号",IF(LEFT($M505,1)="⚠","项目编号不存在",IF($D505="","未选业务类型",IF($E505="","未选开票/付款方",IF(ISNA(MATCH($E505,单位档案!$A$6:$A$35,0)),"开票方不在单位档案",IF($F505="","未选收票/收款方",IF(ISNA(MATCH($F505,单位档案!$A$6:$A$35,0)),"收款方不在单位档案",IF(NOT(ISNUMBER($H505)),"金额须为数字",IF(AND($D505="销项开票",$N505="—"),"链条待确认","√")))))))))))</f>
        <v/>
      </c>
      <c r="M505" s="34" t="str">
        <f aca="false">IF($C505="","",IFERROR(INDEX(项目档案!$B$6:$B$255,MATCH($C505,项目档案!$A$6:$A$255,0)),"⚠项目编号不存在"))</f>
        <v/>
      </c>
      <c r="N505" s="35" t="str">
        <f aca="false">IF($E505="","",IF($E505=IFERROR(INDEX(项目档案!$D$6:$D$255,MATCH($C505,项目档案!$A$6:$A$255,0)),""),"一级",IF($E505=IFERROR(INDEX(项目档案!$F$6:$F$255,MATCH($C505,项目档案!$A$6:$A$255,0)),""),"二级",IF($E505=IFERROR(INDEX(项目档案!$H$6:$H$255,MATCH($C505,项目档案!$A$6:$A$255,0)),""),"我方","—"))))</f>
        <v/>
      </c>
      <c r="O505" s="36" t="n">
        <f aca="false">IF($D505&lt;&gt;"销项开票",0,ROUND(N($H505)*N($I505),2))</f>
        <v>0</v>
      </c>
      <c r="P505" s="36" t="n">
        <f aca="false">IF($D505&lt;&gt;"销项开票",0,ROUND(N($H505)-$O505,2))</f>
        <v>0</v>
      </c>
      <c r="Q505" s="37" t="str">
        <f aca="false">IF($E505="","",N(IFERROR(INDEX(单位档案!$E$6:$E$35,MATCH($E505,单位档案!$A$6:$A$35,0)),"")))</f>
        <v/>
      </c>
      <c r="R505" s="37" t="str">
        <f aca="false">IF($E505="","",N(IFERROR(INDEX(单位档案!$F$6:$F$35,MATCH($E505,单位档案!$A$6:$A$35,0)),"")))</f>
        <v/>
      </c>
      <c r="S505" s="36" t="n">
        <f aca="false">IF(OR($D505&lt;&gt;"销项开票",IFERROR(INDEX(单位档案!$G$6:$G$35,MATCH($E505,单位档案!$A$6:$A$35,0)),"")&lt;&gt;"是",N($Q505)=0),0,IF(IFERROR(INDEX(单位档案!$H$6:$H$35,MATCH($E505,单位档案!$A$6:$A$35,0)),"")="税差法",ROUND(N($H505)/(1+$Q505)*$Q505-IF(N($R505)=0,0,$P505/(1+$R505)*$R505),2),ROUND(N($H505)/(1+$Q505)*$Q505,2)))</f>
        <v>0</v>
      </c>
      <c r="T505" s="36" t="n">
        <f aca="false">ROUND($S505*N(IFERROR(INDEX(单位档案!$J$6:$J$35,MATCH($E505,单位档案!$A$6:$A$35,0)),"")),2)</f>
        <v>0</v>
      </c>
      <c r="U505" s="36" t="n">
        <f aca="false">IF($D505&lt;&gt;"销项开票",0,ROUND(N($H505)*N(IFERROR(INDEX(单位档案!$K$6:$K$35,MATCH($E505,单位档案!$A$6:$A$35,0)),"")),2))</f>
        <v>0</v>
      </c>
      <c r="V505" s="36" t="n">
        <f aca="false">IF(OR($D505&lt;&gt;"销项开票",N($Q505)=0),0,ROUND(N($H505)/(1+$Q505)*N(IFERROR(INDEX(单位档案!$L$6:$L$35,MATCH($E505,单位档案!$A$6:$A$35,0)),"")),2))</f>
        <v>0</v>
      </c>
      <c r="W505" s="36" t="n">
        <f aca="false">ROUND($S505+$T505+$U505+$V505,2)</f>
        <v>0</v>
      </c>
      <c r="X505" s="35" t="str">
        <f aca="false">IF(OR($D505="挂靠代收",$D505="我方收款"),COUNTIFS($D$5:$D505,"挂靠代收")+COUNTIFS($D$5:$D505,"我方收款"),"")</f>
        <v/>
      </c>
      <c r="Y505" s="35"/>
      <c r="Z505" s="21" t="s">
        <v>111</v>
      </c>
    </row>
    <row r="506" customFormat="false" ht="15.75" hidden="false" customHeight="true" outlineLevel="0" collapsed="false">
      <c r="A506" s="32" t="str">
        <f aca="false">IF($B506="","",ROW()-4)</f>
        <v/>
      </c>
      <c r="B506" s="26"/>
      <c r="C506" s="24"/>
      <c r="D506" s="21"/>
      <c r="E506" s="21"/>
      <c r="F506" s="21"/>
      <c r="G506" s="21"/>
      <c r="H506" s="27"/>
      <c r="I506" s="23" t="str">
        <f aca="false">IF($D506&lt;&gt;"销项开票","",IF($N506="一级",IF(IFERROR(INDEX(项目档案!$E$6:$E$255,MATCH($C506,项目档案!$A$6:$A$255,0)),"")="",N(IFERROR(INDEX(单位档案!$D$6:$D$35,MATCH($E506,单位档案!$A$6:$A$35,0)),"")),IFERROR(INDEX(项目档案!$E$6:$E$255,MATCH($C506,项目档案!$A$6:$A$255,0)),"")),IF($N506="二级",IF(IFERROR(INDEX(项目档案!$G$6:$G$255,MATCH($C506,项目档案!$A$6:$A$255,0)),"")="",N(IFERROR(INDEX(单位档案!$D$6:$D$35,MATCH($E506,单位档案!$A$6:$A$35,0)),"")),IFERROR(INDEX(项目档案!$G$6:$G$255,MATCH($C506,项目档案!$A$6:$A$255,0)),"")),N(IFERROR(INDEX(单位档案!$D$6:$D$35,MATCH($E506,单位档案!$A$6:$A$35,0)),"")))))</f>
        <v/>
      </c>
      <c r="J506" s="22"/>
      <c r="K506" s="22"/>
      <c r="L506" s="33" t="str">
        <f aca="false">IF($B506="","",IF(NOT(ISNUMBER($B506)),"日期格式不对",IF($C506="","未选项目编号",IF(LEFT($M506,1)="⚠","项目编号不存在",IF($D506="","未选业务类型",IF($E506="","未选开票/付款方",IF(ISNA(MATCH($E506,单位档案!$A$6:$A$35,0)),"开票方不在单位档案",IF($F506="","未选收票/收款方",IF(ISNA(MATCH($F506,单位档案!$A$6:$A$35,0)),"收款方不在单位档案",IF(NOT(ISNUMBER($H506)),"金额须为数字",IF(AND($D506="销项开票",$N506="—"),"链条待确认","√")))))))))))</f>
        <v/>
      </c>
      <c r="M506" s="34" t="str">
        <f aca="false">IF($C506="","",IFERROR(INDEX(项目档案!$B$6:$B$255,MATCH($C506,项目档案!$A$6:$A$255,0)),"⚠项目编号不存在"))</f>
        <v/>
      </c>
      <c r="N506" s="35" t="str">
        <f aca="false">IF($E506="","",IF($E506=IFERROR(INDEX(项目档案!$D$6:$D$255,MATCH($C506,项目档案!$A$6:$A$255,0)),""),"一级",IF($E506=IFERROR(INDEX(项目档案!$F$6:$F$255,MATCH($C506,项目档案!$A$6:$A$255,0)),""),"二级",IF($E506=IFERROR(INDEX(项目档案!$H$6:$H$255,MATCH($C506,项目档案!$A$6:$A$255,0)),""),"我方","—"))))</f>
        <v/>
      </c>
      <c r="O506" s="36" t="n">
        <f aca="false">IF($D506&lt;&gt;"销项开票",0,ROUND(N($H506)*N($I506),2))</f>
        <v>0</v>
      </c>
      <c r="P506" s="36" t="n">
        <f aca="false">IF($D506&lt;&gt;"销项开票",0,ROUND(N($H506)-$O506,2))</f>
        <v>0</v>
      </c>
      <c r="Q506" s="37" t="str">
        <f aca="false">IF($E506="","",N(IFERROR(INDEX(单位档案!$E$6:$E$35,MATCH($E506,单位档案!$A$6:$A$35,0)),"")))</f>
        <v/>
      </c>
      <c r="R506" s="37" t="str">
        <f aca="false">IF($E506="","",N(IFERROR(INDEX(单位档案!$F$6:$F$35,MATCH($E506,单位档案!$A$6:$A$35,0)),"")))</f>
        <v/>
      </c>
      <c r="S506" s="36" t="n">
        <f aca="false">IF(OR($D506&lt;&gt;"销项开票",IFERROR(INDEX(单位档案!$G$6:$G$35,MATCH($E506,单位档案!$A$6:$A$35,0)),"")&lt;&gt;"是",N($Q506)=0),0,IF(IFERROR(INDEX(单位档案!$H$6:$H$35,MATCH($E506,单位档案!$A$6:$A$35,0)),"")="税差法",ROUND(N($H506)/(1+$Q506)*$Q506-IF(N($R506)=0,0,$P506/(1+$R506)*$R506),2),ROUND(N($H506)/(1+$Q506)*$Q506,2)))</f>
        <v>0</v>
      </c>
      <c r="T506" s="36" t="n">
        <f aca="false">ROUND($S506*N(IFERROR(INDEX(单位档案!$J$6:$J$35,MATCH($E506,单位档案!$A$6:$A$35,0)),"")),2)</f>
        <v>0</v>
      </c>
      <c r="U506" s="36" t="n">
        <f aca="false">IF($D506&lt;&gt;"销项开票",0,ROUND(N($H506)*N(IFERROR(INDEX(单位档案!$K$6:$K$35,MATCH($E506,单位档案!$A$6:$A$35,0)),"")),2))</f>
        <v>0</v>
      </c>
      <c r="V506" s="36" t="n">
        <f aca="false">IF(OR($D506&lt;&gt;"销项开票",N($Q506)=0),0,ROUND(N($H506)/(1+$Q506)*N(IFERROR(INDEX(单位档案!$L$6:$L$35,MATCH($E506,单位档案!$A$6:$A$35,0)),"")),2))</f>
        <v>0</v>
      </c>
      <c r="W506" s="36" t="n">
        <f aca="false">ROUND($S506+$T506+$U506+$V506,2)</f>
        <v>0</v>
      </c>
      <c r="X506" s="35" t="str">
        <f aca="false">IF(OR($D506="挂靠代收",$D506="我方收款"),COUNTIFS($D$5:$D506,"挂靠代收")+COUNTIFS($D$5:$D506,"我方收款"),"")</f>
        <v/>
      </c>
      <c r="Y506" s="35"/>
      <c r="Z506" s="21" t="s">
        <v>111</v>
      </c>
    </row>
    <row r="507" customFormat="false" ht="15.75" hidden="false" customHeight="true" outlineLevel="0" collapsed="false">
      <c r="A507" s="32" t="str">
        <f aca="false">IF($B507="","",ROW()-4)</f>
        <v/>
      </c>
      <c r="B507" s="26"/>
      <c r="C507" s="24"/>
      <c r="D507" s="21"/>
      <c r="E507" s="21"/>
      <c r="F507" s="21"/>
      <c r="G507" s="21"/>
      <c r="H507" s="27"/>
      <c r="I507" s="23" t="str">
        <f aca="false">IF($D507&lt;&gt;"销项开票","",IF($N507="一级",IF(IFERROR(INDEX(项目档案!$E$6:$E$255,MATCH($C507,项目档案!$A$6:$A$255,0)),"")="",N(IFERROR(INDEX(单位档案!$D$6:$D$35,MATCH($E507,单位档案!$A$6:$A$35,0)),"")),IFERROR(INDEX(项目档案!$E$6:$E$255,MATCH($C507,项目档案!$A$6:$A$255,0)),"")),IF($N507="二级",IF(IFERROR(INDEX(项目档案!$G$6:$G$255,MATCH($C507,项目档案!$A$6:$A$255,0)),"")="",N(IFERROR(INDEX(单位档案!$D$6:$D$35,MATCH($E507,单位档案!$A$6:$A$35,0)),"")),IFERROR(INDEX(项目档案!$G$6:$G$255,MATCH($C507,项目档案!$A$6:$A$255,0)),"")),N(IFERROR(INDEX(单位档案!$D$6:$D$35,MATCH($E507,单位档案!$A$6:$A$35,0)),"")))))</f>
        <v/>
      </c>
      <c r="J507" s="22"/>
      <c r="K507" s="22"/>
      <c r="L507" s="33" t="str">
        <f aca="false">IF($B507="","",IF(NOT(ISNUMBER($B507)),"日期格式不对",IF($C507="","未选项目编号",IF(LEFT($M507,1)="⚠","项目编号不存在",IF($D507="","未选业务类型",IF($E507="","未选开票/付款方",IF(ISNA(MATCH($E507,单位档案!$A$6:$A$35,0)),"开票方不在单位档案",IF($F507="","未选收票/收款方",IF(ISNA(MATCH($F507,单位档案!$A$6:$A$35,0)),"收款方不在单位档案",IF(NOT(ISNUMBER($H507)),"金额须为数字",IF(AND($D507="销项开票",$N507="—"),"链条待确认","√")))))))))))</f>
        <v/>
      </c>
      <c r="M507" s="34" t="str">
        <f aca="false">IF($C507="","",IFERROR(INDEX(项目档案!$B$6:$B$255,MATCH($C507,项目档案!$A$6:$A$255,0)),"⚠项目编号不存在"))</f>
        <v/>
      </c>
      <c r="N507" s="35" t="str">
        <f aca="false">IF($E507="","",IF($E507=IFERROR(INDEX(项目档案!$D$6:$D$255,MATCH($C507,项目档案!$A$6:$A$255,0)),""),"一级",IF($E507=IFERROR(INDEX(项目档案!$F$6:$F$255,MATCH($C507,项目档案!$A$6:$A$255,0)),""),"二级",IF($E507=IFERROR(INDEX(项目档案!$H$6:$H$255,MATCH($C507,项目档案!$A$6:$A$255,0)),""),"我方","—"))))</f>
        <v/>
      </c>
      <c r="O507" s="36" t="n">
        <f aca="false">IF($D507&lt;&gt;"销项开票",0,ROUND(N($H507)*N($I507),2))</f>
        <v>0</v>
      </c>
      <c r="P507" s="36" t="n">
        <f aca="false">IF($D507&lt;&gt;"销项开票",0,ROUND(N($H507)-$O507,2))</f>
        <v>0</v>
      </c>
      <c r="Q507" s="37" t="str">
        <f aca="false">IF($E507="","",N(IFERROR(INDEX(单位档案!$E$6:$E$35,MATCH($E507,单位档案!$A$6:$A$35,0)),"")))</f>
        <v/>
      </c>
      <c r="R507" s="37" t="str">
        <f aca="false">IF($E507="","",N(IFERROR(INDEX(单位档案!$F$6:$F$35,MATCH($E507,单位档案!$A$6:$A$35,0)),"")))</f>
        <v/>
      </c>
      <c r="S507" s="36" t="n">
        <f aca="false">IF(OR($D507&lt;&gt;"销项开票",IFERROR(INDEX(单位档案!$G$6:$G$35,MATCH($E507,单位档案!$A$6:$A$35,0)),"")&lt;&gt;"是",N($Q507)=0),0,IF(IFERROR(INDEX(单位档案!$H$6:$H$35,MATCH($E507,单位档案!$A$6:$A$35,0)),"")="税差法",ROUND(N($H507)/(1+$Q507)*$Q507-IF(N($R507)=0,0,$P507/(1+$R507)*$R507),2),ROUND(N($H507)/(1+$Q507)*$Q507,2)))</f>
        <v>0</v>
      </c>
      <c r="T507" s="36" t="n">
        <f aca="false">ROUND($S507*N(IFERROR(INDEX(单位档案!$J$6:$J$35,MATCH($E507,单位档案!$A$6:$A$35,0)),"")),2)</f>
        <v>0</v>
      </c>
      <c r="U507" s="36" t="n">
        <f aca="false">IF($D507&lt;&gt;"销项开票",0,ROUND(N($H507)*N(IFERROR(INDEX(单位档案!$K$6:$K$35,MATCH($E507,单位档案!$A$6:$A$35,0)),"")),2))</f>
        <v>0</v>
      </c>
      <c r="V507" s="36" t="n">
        <f aca="false">IF(OR($D507&lt;&gt;"销项开票",N($Q507)=0),0,ROUND(N($H507)/(1+$Q507)*N(IFERROR(INDEX(单位档案!$L$6:$L$35,MATCH($E507,单位档案!$A$6:$A$35,0)),"")),2))</f>
        <v>0</v>
      </c>
      <c r="W507" s="36" t="n">
        <f aca="false">ROUND($S507+$T507+$U507+$V507,2)</f>
        <v>0</v>
      </c>
      <c r="X507" s="35" t="str">
        <f aca="false">IF(OR($D507="挂靠代收",$D507="我方收款"),COUNTIFS($D$5:$D507,"挂靠代收")+COUNTIFS($D$5:$D507,"我方收款"),"")</f>
        <v/>
      </c>
      <c r="Y507" s="35"/>
      <c r="Z507" s="21" t="s">
        <v>111</v>
      </c>
    </row>
    <row r="508" customFormat="false" ht="15.75" hidden="false" customHeight="true" outlineLevel="0" collapsed="false">
      <c r="A508" s="32" t="str">
        <f aca="false">IF($B508="","",ROW()-4)</f>
        <v/>
      </c>
      <c r="B508" s="26"/>
      <c r="C508" s="24"/>
      <c r="D508" s="21"/>
      <c r="E508" s="21"/>
      <c r="F508" s="21"/>
      <c r="G508" s="21"/>
      <c r="H508" s="27"/>
      <c r="I508" s="23" t="str">
        <f aca="false">IF($D508&lt;&gt;"销项开票","",IF($N508="一级",IF(IFERROR(INDEX(项目档案!$E$6:$E$255,MATCH($C508,项目档案!$A$6:$A$255,0)),"")="",N(IFERROR(INDEX(单位档案!$D$6:$D$35,MATCH($E508,单位档案!$A$6:$A$35,0)),"")),IFERROR(INDEX(项目档案!$E$6:$E$255,MATCH($C508,项目档案!$A$6:$A$255,0)),"")),IF($N508="二级",IF(IFERROR(INDEX(项目档案!$G$6:$G$255,MATCH($C508,项目档案!$A$6:$A$255,0)),"")="",N(IFERROR(INDEX(单位档案!$D$6:$D$35,MATCH($E508,单位档案!$A$6:$A$35,0)),"")),IFERROR(INDEX(项目档案!$G$6:$G$255,MATCH($C508,项目档案!$A$6:$A$255,0)),"")),N(IFERROR(INDEX(单位档案!$D$6:$D$35,MATCH($E508,单位档案!$A$6:$A$35,0)),"")))))</f>
        <v/>
      </c>
      <c r="J508" s="22"/>
      <c r="K508" s="22"/>
      <c r="L508" s="33" t="str">
        <f aca="false">IF($B508="","",IF(NOT(ISNUMBER($B508)),"日期格式不对",IF($C508="","未选项目编号",IF(LEFT($M508,1)="⚠","项目编号不存在",IF($D508="","未选业务类型",IF($E508="","未选开票/付款方",IF(ISNA(MATCH($E508,单位档案!$A$6:$A$35,0)),"开票方不在单位档案",IF($F508="","未选收票/收款方",IF(ISNA(MATCH($F508,单位档案!$A$6:$A$35,0)),"收款方不在单位档案",IF(NOT(ISNUMBER($H508)),"金额须为数字",IF(AND($D508="销项开票",$N508="—"),"链条待确认","√")))))))))))</f>
        <v/>
      </c>
      <c r="M508" s="34" t="str">
        <f aca="false">IF($C508="","",IFERROR(INDEX(项目档案!$B$6:$B$255,MATCH($C508,项目档案!$A$6:$A$255,0)),"⚠项目编号不存在"))</f>
        <v/>
      </c>
      <c r="N508" s="35" t="str">
        <f aca="false">IF($E508="","",IF($E508=IFERROR(INDEX(项目档案!$D$6:$D$255,MATCH($C508,项目档案!$A$6:$A$255,0)),""),"一级",IF($E508=IFERROR(INDEX(项目档案!$F$6:$F$255,MATCH($C508,项目档案!$A$6:$A$255,0)),""),"二级",IF($E508=IFERROR(INDEX(项目档案!$H$6:$H$255,MATCH($C508,项目档案!$A$6:$A$255,0)),""),"我方","—"))))</f>
        <v/>
      </c>
      <c r="O508" s="36" t="n">
        <f aca="false">IF($D508&lt;&gt;"销项开票",0,ROUND(N($H508)*N($I508),2))</f>
        <v>0</v>
      </c>
      <c r="P508" s="36" t="n">
        <f aca="false">IF($D508&lt;&gt;"销项开票",0,ROUND(N($H508)-$O508,2))</f>
        <v>0</v>
      </c>
      <c r="Q508" s="37" t="str">
        <f aca="false">IF($E508="","",N(IFERROR(INDEX(单位档案!$E$6:$E$35,MATCH($E508,单位档案!$A$6:$A$35,0)),"")))</f>
        <v/>
      </c>
      <c r="R508" s="37" t="str">
        <f aca="false">IF($E508="","",N(IFERROR(INDEX(单位档案!$F$6:$F$35,MATCH($E508,单位档案!$A$6:$A$35,0)),"")))</f>
        <v/>
      </c>
      <c r="S508" s="36" t="n">
        <f aca="false">IF(OR($D508&lt;&gt;"销项开票",IFERROR(INDEX(单位档案!$G$6:$G$35,MATCH($E508,单位档案!$A$6:$A$35,0)),"")&lt;&gt;"是",N($Q508)=0),0,IF(IFERROR(INDEX(单位档案!$H$6:$H$35,MATCH($E508,单位档案!$A$6:$A$35,0)),"")="税差法",ROUND(N($H508)/(1+$Q508)*$Q508-IF(N($R508)=0,0,$P508/(1+$R508)*$R508),2),ROUND(N($H508)/(1+$Q508)*$Q508,2)))</f>
        <v>0</v>
      </c>
      <c r="T508" s="36" t="n">
        <f aca="false">ROUND($S508*N(IFERROR(INDEX(单位档案!$J$6:$J$35,MATCH($E508,单位档案!$A$6:$A$35,0)),"")),2)</f>
        <v>0</v>
      </c>
      <c r="U508" s="36" t="n">
        <f aca="false">IF($D508&lt;&gt;"销项开票",0,ROUND(N($H508)*N(IFERROR(INDEX(单位档案!$K$6:$K$35,MATCH($E508,单位档案!$A$6:$A$35,0)),"")),2))</f>
        <v>0</v>
      </c>
      <c r="V508" s="36" t="n">
        <f aca="false">IF(OR($D508&lt;&gt;"销项开票",N($Q508)=0),0,ROUND(N($H508)/(1+$Q508)*N(IFERROR(INDEX(单位档案!$L$6:$L$35,MATCH($E508,单位档案!$A$6:$A$35,0)),"")),2))</f>
        <v>0</v>
      </c>
      <c r="W508" s="36" t="n">
        <f aca="false">ROUND($S508+$T508+$U508+$V508,2)</f>
        <v>0</v>
      </c>
      <c r="X508" s="35" t="str">
        <f aca="false">IF(OR($D508="挂靠代收",$D508="我方收款"),COUNTIFS($D$5:$D508,"挂靠代收")+COUNTIFS($D$5:$D508,"我方收款"),"")</f>
        <v/>
      </c>
      <c r="Y508" s="35"/>
      <c r="Z508" s="21" t="s">
        <v>111</v>
      </c>
    </row>
    <row r="509" customFormat="false" ht="15.75" hidden="false" customHeight="true" outlineLevel="0" collapsed="false">
      <c r="A509" s="32" t="str">
        <f aca="false">IF($B509="","",ROW()-4)</f>
        <v/>
      </c>
      <c r="B509" s="26"/>
      <c r="C509" s="24"/>
      <c r="D509" s="21"/>
      <c r="E509" s="21"/>
      <c r="F509" s="21"/>
      <c r="G509" s="21"/>
      <c r="H509" s="27"/>
      <c r="I509" s="23" t="str">
        <f aca="false">IF($D509&lt;&gt;"销项开票","",IF($N509="一级",IF(IFERROR(INDEX(项目档案!$E$6:$E$255,MATCH($C509,项目档案!$A$6:$A$255,0)),"")="",N(IFERROR(INDEX(单位档案!$D$6:$D$35,MATCH($E509,单位档案!$A$6:$A$35,0)),"")),IFERROR(INDEX(项目档案!$E$6:$E$255,MATCH($C509,项目档案!$A$6:$A$255,0)),"")),IF($N509="二级",IF(IFERROR(INDEX(项目档案!$G$6:$G$255,MATCH($C509,项目档案!$A$6:$A$255,0)),"")="",N(IFERROR(INDEX(单位档案!$D$6:$D$35,MATCH($E509,单位档案!$A$6:$A$35,0)),"")),IFERROR(INDEX(项目档案!$G$6:$G$255,MATCH($C509,项目档案!$A$6:$A$255,0)),"")),N(IFERROR(INDEX(单位档案!$D$6:$D$35,MATCH($E509,单位档案!$A$6:$A$35,0)),"")))))</f>
        <v/>
      </c>
      <c r="J509" s="22"/>
      <c r="K509" s="22"/>
      <c r="L509" s="33" t="str">
        <f aca="false">IF($B509="","",IF(NOT(ISNUMBER($B509)),"日期格式不对",IF($C509="","未选项目编号",IF(LEFT($M509,1)="⚠","项目编号不存在",IF($D509="","未选业务类型",IF($E509="","未选开票/付款方",IF(ISNA(MATCH($E509,单位档案!$A$6:$A$35,0)),"开票方不在单位档案",IF($F509="","未选收票/收款方",IF(ISNA(MATCH($F509,单位档案!$A$6:$A$35,0)),"收款方不在单位档案",IF(NOT(ISNUMBER($H509)),"金额须为数字",IF(AND($D509="销项开票",$N509="—"),"链条待确认","√")))))))))))</f>
        <v/>
      </c>
      <c r="M509" s="34" t="str">
        <f aca="false">IF($C509="","",IFERROR(INDEX(项目档案!$B$6:$B$255,MATCH($C509,项目档案!$A$6:$A$255,0)),"⚠项目编号不存在"))</f>
        <v/>
      </c>
      <c r="N509" s="35" t="str">
        <f aca="false">IF($E509="","",IF($E509=IFERROR(INDEX(项目档案!$D$6:$D$255,MATCH($C509,项目档案!$A$6:$A$255,0)),""),"一级",IF($E509=IFERROR(INDEX(项目档案!$F$6:$F$255,MATCH($C509,项目档案!$A$6:$A$255,0)),""),"二级",IF($E509=IFERROR(INDEX(项目档案!$H$6:$H$255,MATCH($C509,项目档案!$A$6:$A$255,0)),""),"我方","—"))))</f>
        <v/>
      </c>
      <c r="O509" s="36" t="n">
        <f aca="false">IF($D509&lt;&gt;"销项开票",0,ROUND(N($H509)*N($I509),2))</f>
        <v>0</v>
      </c>
      <c r="P509" s="36" t="n">
        <f aca="false">IF($D509&lt;&gt;"销项开票",0,ROUND(N($H509)-$O509,2))</f>
        <v>0</v>
      </c>
      <c r="Q509" s="37" t="str">
        <f aca="false">IF($E509="","",N(IFERROR(INDEX(单位档案!$E$6:$E$35,MATCH($E509,单位档案!$A$6:$A$35,0)),"")))</f>
        <v/>
      </c>
      <c r="R509" s="37" t="str">
        <f aca="false">IF($E509="","",N(IFERROR(INDEX(单位档案!$F$6:$F$35,MATCH($E509,单位档案!$A$6:$A$35,0)),"")))</f>
        <v/>
      </c>
      <c r="S509" s="36" t="n">
        <f aca="false">IF(OR($D509&lt;&gt;"销项开票",IFERROR(INDEX(单位档案!$G$6:$G$35,MATCH($E509,单位档案!$A$6:$A$35,0)),"")&lt;&gt;"是",N($Q509)=0),0,IF(IFERROR(INDEX(单位档案!$H$6:$H$35,MATCH($E509,单位档案!$A$6:$A$35,0)),"")="税差法",ROUND(N($H509)/(1+$Q509)*$Q509-IF(N($R509)=0,0,$P509/(1+$R509)*$R509),2),ROUND(N($H509)/(1+$Q509)*$Q509,2)))</f>
        <v>0</v>
      </c>
      <c r="T509" s="36" t="n">
        <f aca="false">ROUND($S509*N(IFERROR(INDEX(单位档案!$J$6:$J$35,MATCH($E509,单位档案!$A$6:$A$35,0)),"")),2)</f>
        <v>0</v>
      </c>
      <c r="U509" s="36" t="n">
        <f aca="false">IF($D509&lt;&gt;"销项开票",0,ROUND(N($H509)*N(IFERROR(INDEX(单位档案!$K$6:$K$35,MATCH($E509,单位档案!$A$6:$A$35,0)),"")),2))</f>
        <v>0</v>
      </c>
      <c r="V509" s="36" t="n">
        <f aca="false">IF(OR($D509&lt;&gt;"销项开票",N($Q509)=0),0,ROUND(N($H509)/(1+$Q509)*N(IFERROR(INDEX(单位档案!$L$6:$L$35,MATCH($E509,单位档案!$A$6:$A$35,0)),"")),2))</f>
        <v>0</v>
      </c>
      <c r="W509" s="36" t="n">
        <f aca="false">ROUND($S509+$T509+$U509+$V509,2)</f>
        <v>0</v>
      </c>
      <c r="X509" s="35" t="str">
        <f aca="false">IF(OR($D509="挂靠代收",$D509="我方收款"),COUNTIFS($D$5:$D509,"挂靠代收")+COUNTIFS($D$5:$D509,"我方收款"),"")</f>
        <v/>
      </c>
      <c r="Y509" s="35"/>
      <c r="Z509" s="21" t="s">
        <v>111</v>
      </c>
    </row>
    <row r="510" customFormat="false" ht="15.75" hidden="false" customHeight="true" outlineLevel="0" collapsed="false">
      <c r="A510" s="32" t="str">
        <f aca="false">IF($B510="","",ROW()-4)</f>
        <v/>
      </c>
      <c r="B510" s="26"/>
      <c r="C510" s="24"/>
      <c r="D510" s="21"/>
      <c r="E510" s="21"/>
      <c r="F510" s="21"/>
      <c r="G510" s="21"/>
      <c r="H510" s="27"/>
      <c r="I510" s="23" t="str">
        <f aca="false">IF($D510&lt;&gt;"销项开票","",IF($N510="一级",IF(IFERROR(INDEX(项目档案!$E$6:$E$255,MATCH($C510,项目档案!$A$6:$A$255,0)),"")="",N(IFERROR(INDEX(单位档案!$D$6:$D$35,MATCH($E510,单位档案!$A$6:$A$35,0)),"")),IFERROR(INDEX(项目档案!$E$6:$E$255,MATCH($C510,项目档案!$A$6:$A$255,0)),"")),IF($N510="二级",IF(IFERROR(INDEX(项目档案!$G$6:$G$255,MATCH($C510,项目档案!$A$6:$A$255,0)),"")="",N(IFERROR(INDEX(单位档案!$D$6:$D$35,MATCH($E510,单位档案!$A$6:$A$35,0)),"")),IFERROR(INDEX(项目档案!$G$6:$G$255,MATCH($C510,项目档案!$A$6:$A$255,0)),"")),N(IFERROR(INDEX(单位档案!$D$6:$D$35,MATCH($E510,单位档案!$A$6:$A$35,0)),"")))))</f>
        <v/>
      </c>
      <c r="J510" s="22"/>
      <c r="K510" s="22"/>
      <c r="L510" s="33" t="str">
        <f aca="false">IF($B510="","",IF(NOT(ISNUMBER($B510)),"日期格式不对",IF($C510="","未选项目编号",IF(LEFT($M510,1)="⚠","项目编号不存在",IF($D510="","未选业务类型",IF($E510="","未选开票/付款方",IF(ISNA(MATCH($E510,单位档案!$A$6:$A$35,0)),"开票方不在单位档案",IF($F510="","未选收票/收款方",IF(ISNA(MATCH($F510,单位档案!$A$6:$A$35,0)),"收款方不在单位档案",IF(NOT(ISNUMBER($H510)),"金额须为数字",IF(AND($D510="销项开票",$N510="—"),"链条待确认","√")))))))))))</f>
        <v/>
      </c>
      <c r="M510" s="34" t="str">
        <f aca="false">IF($C510="","",IFERROR(INDEX(项目档案!$B$6:$B$255,MATCH($C510,项目档案!$A$6:$A$255,0)),"⚠项目编号不存在"))</f>
        <v/>
      </c>
      <c r="N510" s="35" t="str">
        <f aca="false">IF($E510="","",IF($E510=IFERROR(INDEX(项目档案!$D$6:$D$255,MATCH($C510,项目档案!$A$6:$A$255,0)),""),"一级",IF($E510=IFERROR(INDEX(项目档案!$F$6:$F$255,MATCH($C510,项目档案!$A$6:$A$255,0)),""),"二级",IF($E510=IFERROR(INDEX(项目档案!$H$6:$H$255,MATCH($C510,项目档案!$A$6:$A$255,0)),""),"我方","—"))))</f>
        <v/>
      </c>
      <c r="O510" s="36" t="n">
        <f aca="false">IF($D510&lt;&gt;"销项开票",0,ROUND(N($H510)*N($I510),2))</f>
        <v>0</v>
      </c>
      <c r="P510" s="36" t="n">
        <f aca="false">IF($D510&lt;&gt;"销项开票",0,ROUND(N($H510)-$O510,2))</f>
        <v>0</v>
      </c>
      <c r="Q510" s="37" t="str">
        <f aca="false">IF($E510="","",N(IFERROR(INDEX(单位档案!$E$6:$E$35,MATCH($E510,单位档案!$A$6:$A$35,0)),"")))</f>
        <v/>
      </c>
      <c r="R510" s="37" t="str">
        <f aca="false">IF($E510="","",N(IFERROR(INDEX(单位档案!$F$6:$F$35,MATCH($E510,单位档案!$A$6:$A$35,0)),"")))</f>
        <v/>
      </c>
      <c r="S510" s="36" t="n">
        <f aca="false">IF(OR($D510&lt;&gt;"销项开票",IFERROR(INDEX(单位档案!$G$6:$G$35,MATCH($E510,单位档案!$A$6:$A$35,0)),"")&lt;&gt;"是",N($Q510)=0),0,IF(IFERROR(INDEX(单位档案!$H$6:$H$35,MATCH($E510,单位档案!$A$6:$A$35,0)),"")="税差法",ROUND(N($H510)/(1+$Q510)*$Q510-IF(N($R510)=0,0,$P510/(1+$R510)*$R510),2),ROUND(N($H510)/(1+$Q510)*$Q510,2)))</f>
        <v>0</v>
      </c>
      <c r="T510" s="36" t="n">
        <f aca="false">ROUND($S510*N(IFERROR(INDEX(单位档案!$J$6:$J$35,MATCH($E510,单位档案!$A$6:$A$35,0)),"")),2)</f>
        <v>0</v>
      </c>
      <c r="U510" s="36" t="n">
        <f aca="false">IF($D510&lt;&gt;"销项开票",0,ROUND(N($H510)*N(IFERROR(INDEX(单位档案!$K$6:$K$35,MATCH($E510,单位档案!$A$6:$A$35,0)),"")),2))</f>
        <v>0</v>
      </c>
      <c r="V510" s="36" t="n">
        <f aca="false">IF(OR($D510&lt;&gt;"销项开票",N($Q510)=0),0,ROUND(N($H510)/(1+$Q510)*N(IFERROR(INDEX(单位档案!$L$6:$L$35,MATCH($E510,单位档案!$A$6:$A$35,0)),"")),2))</f>
        <v>0</v>
      </c>
      <c r="W510" s="36" t="n">
        <f aca="false">ROUND($S510+$T510+$U510+$V510,2)</f>
        <v>0</v>
      </c>
      <c r="X510" s="35" t="str">
        <f aca="false">IF(OR($D510="挂靠代收",$D510="我方收款"),COUNTIFS($D$5:$D510,"挂靠代收")+COUNTIFS($D$5:$D510,"我方收款"),"")</f>
        <v/>
      </c>
      <c r="Y510" s="35"/>
      <c r="Z510" s="21" t="s">
        <v>111</v>
      </c>
    </row>
    <row r="511" customFormat="false" ht="15.75" hidden="false" customHeight="true" outlineLevel="0" collapsed="false">
      <c r="A511" s="32" t="str">
        <f aca="false">IF($B511="","",ROW()-4)</f>
        <v/>
      </c>
      <c r="B511" s="26"/>
      <c r="C511" s="24"/>
      <c r="D511" s="21"/>
      <c r="E511" s="21"/>
      <c r="F511" s="21"/>
      <c r="G511" s="21"/>
      <c r="H511" s="27"/>
      <c r="I511" s="23" t="str">
        <f aca="false">IF($D511&lt;&gt;"销项开票","",IF($N511="一级",IF(IFERROR(INDEX(项目档案!$E$6:$E$255,MATCH($C511,项目档案!$A$6:$A$255,0)),"")="",N(IFERROR(INDEX(单位档案!$D$6:$D$35,MATCH($E511,单位档案!$A$6:$A$35,0)),"")),IFERROR(INDEX(项目档案!$E$6:$E$255,MATCH($C511,项目档案!$A$6:$A$255,0)),"")),IF($N511="二级",IF(IFERROR(INDEX(项目档案!$G$6:$G$255,MATCH($C511,项目档案!$A$6:$A$255,0)),"")="",N(IFERROR(INDEX(单位档案!$D$6:$D$35,MATCH($E511,单位档案!$A$6:$A$35,0)),"")),IFERROR(INDEX(项目档案!$G$6:$G$255,MATCH($C511,项目档案!$A$6:$A$255,0)),"")),N(IFERROR(INDEX(单位档案!$D$6:$D$35,MATCH($E511,单位档案!$A$6:$A$35,0)),"")))))</f>
        <v/>
      </c>
      <c r="J511" s="22"/>
      <c r="K511" s="22"/>
      <c r="L511" s="33" t="str">
        <f aca="false">IF($B511="","",IF(NOT(ISNUMBER($B511)),"日期格式不对",IF($C511="","未选项目编号",IF(LEFT($M511,1)="⚠","项目编号不存在",IF($D511="","未选业务类型",IF($E511="","未选开票/付款方",IF(ISNA(MATCH($E511,单位档案!$A$6:$A$35,0)),"开票方不在单位档案",IF($F511="","未选收票/收款方",IF(ISNA(MATCH($F511,单位档案!$A$6:$A$35,0)),"收款方不在单位档案",IF(NOT(ISNUMBER($H511)),"金额须为数字",IF(AND($D511="销项开票",$N511="—"),"链条待确认","√")))))))))))</f>
        <v/>
      </c>
      <c r="M511" s="34" t="str">
        <f aca="false">IF($C511="","",IFERROR(INDEX(项目档案!$B$6:$B$255,MATCH($C511,项目档案!$A$6:$A$255,0)),"⚠项目编号不存在"))</f>
        <v/>
      </c>
      <c r="N511" s="35" t="str">
        <f aca="false">IF($E511="","",IF($E511=IFERROR(INDEX(项目档案!$D$6:$D$255,MATCH($C511,项目档案!$A$6:$A$255,0)),""),"一级",IF($E511=IFERROR(INDEX(项目档案!$F$6:$F$255,MATCH($C511,项目档案!$A$6:$A$255,0)),""),"二级",IF($E511=IFERROR(INDEX(项目档案!$H$6:$H$255,MATCH($C511,项目档案!$A$6:$A$255,0)),""),"我方","—"))))</f>
        <v/>
      </c>
      <c r="O511" s="36" t="n">
        <f aca="false">IF($D511&lt;&gt;"销项开票",0,ROUND(N($H511)*N($I511),2))</f>
        <v>0</v>
      </c>
      <c r="P511" s="36" t="n">
        <f aca="false">IF($D511&lt;&gt;"销项开票",0,ROUND(N($H511)-$O511,2))</f>
        <v>0</v>
      </c>
      <c r="Q511" s="37" t="str">
        <f aca="false">IF($E511="","",N(IFERROR(INDEX(单位档案!$E$6:$E$35,MATCH($E511,单位档案!$A$6:$A$35,0)),"")))</f>
        <v/>
      </c>
      <c r="R511" s="37" t="str">
        <f aca="false">IF($E511="","",N(IFERROR(INDEX(单位档案!$F$6:$F$35,MATCH($E511,单位档案!$A$6:$A$35,0)),"")))</f>
        <v/>
      </c>
      <c r="S511" s="36" t="n">
        <f aca="false">IF(OR($D511&lt;&gt;"销项开票",IFERROR(INDEX(单位档案!$G$6:$G$35,MATCH($E511,单位档案!$A$6:$A$35,0)),"")&lt;&gt;"是",N($Q511)=0),0,IF(IFERROR(INDEX(单位档案!$H$6:$H$35,MATCH($E511,单位档案!$A$6:$A$35,0)),"")="税差法",ROUND(N($H511)/(1+$Q511)*$Q511-IF(N($R511)=0,0,$P511/(1+$R511)*$R511),2),ROUND(N($H511)/(1+$Q511)*$Q511,2)))</f>
        <v>0</v>
      </c>
      <c r="T511" s="36" t="n">
        <f aca="false">ROUND($S511*N(IFERROR(INDEX(单位档案!$J$6:$J$35,MATCH($E511,单位档案!$A$6:$A$35,0)),"")),2)</f>
        <v>0</v>
      </c>
      <c r="U511" s="36" t="n">
        <f aca="false">IF($D511&lt;&gt;"销项开票",0,ROUND(N($H511)*N(IFERROR(INDEX(单位档案!$K$6:$K$35,MATCH($E511,单位档案!$A$6:$A$35,0)),"")),2))</f>
        <v>0</v>
      </c>
      <c r="V511" s="36" t="n">
        <f aca="false">IF(OR($D511&lt;&gt;"销项开票",N($Q511)=0),0,ROUND(N($H511)/(1+$Q511)*N(IFERROR(INDEX(单位档案!$L$6:$L$35,MATCH($E511,单位档案!$A$6:$A$35,0)),"")),2))</f>
        <v>0</v>
      </c>
      <c r="W511" s="36" t="n">
        <f aca="false">ROUND($S511+$T511+$U511+$V511,2)</f>
        <v>0</v>
      </c>
      <c r="X511" s="35" t="str">
        <f aca="false">IF(OR($D511="挂靠代收",$D511="我方收款"),COUNTIFS($D$5:$D511,"挂靠代收")+COUNTIFS($D$5:$D511,"我方收款"),"")</f>
        <v/>
      </c>
      <c r="Y511" s="35"/>
      <c r="Z511" s="21" t="s">
        <v>111</v>
      </c>
    </row>
    <row r="512" customFormat="false" ht="15.75" hidden="false" customHeight="true" outlineLevel="0" collapsed="false">
      <c r="A512" s="32" t="str">
        <f aca="false">IF($B512="","",ROW()-4)</f>
        <v/>
      </c>
      <c r="B512" s="26"/>
      <c r="C512" s="24"/>
      <c r="D512" s="21"/>
      <c r="E512" s="21"/>
      <c r="F512" s="21"/>
      <c r="G512" s="21"/>
      <c r="H512" s="27"/>
      <c r="I512" s="23" t="str">
        <f aca="false">IF($D512&lt;&gt;"销项开票","",IF($N512="一级",IF(IFERROR(INDEX(项目档案!$E$6:$E$255,MATCH($C512,项目档案!$A$6:$A$255,0)),"")="",N(IFERROR(INDEX(单位档案!$D$6:$D$35,MATCH($E512,单位档案!$A$6:$A$35,0)),"")),IFERROR(INDEX(项目档案!$E$6:$E$255,MATCH($C512,项目档案!$A$6:$A$255,0)),"")),IF($N512="二级",IF(IFERROR(INDEX(项目档案!$G$6:$G$255,MATCH($C512,项目档案!$A$6:$A$255,0)),"")="",N(IFERROR(INDEX(单位档案!$D$6:$D$35,MATCH($E512,单位档案!$A$6:$A$35,0)),"")),IFERROR(INDEX(项目档案!$G$6:$G$255,MATCH($C512,项目档案!$A$6:$A$255,0)),"")),N(IFERROR(INDEX(单位档案!$D$6:$D$35,MATCH($E512,单位档案!$A$6:$A$35,0)),"")))))</f>
        <v/>
      </c>
      <c r="J512" s="22"/>
      <c r="K512" s="22"/>
      <c r="L512" s="33" t="str">
        <f aca="false">IF($B512="","",IF(NOT(ISNUMBER($B512)),"日期格式不对",IF($C512="","未选项目编号",IF(LEFT($M512,1)="⚠","项目编号不存在",IF($D512="","未选业务类型",IF($E512="","未选开票/付款方",IF(ISNA(MATCH($E512,单位档案!$A$6:$A$35,0)),"开票方不在单位档案",IF($F512="","未选收票/收款方",IF(ISNA(MATCH($F512,单位档案!$A$6:$A$35,0)),"收款方不在单位档案",IF(NOT(ISNUMBER($H512)),"金额须为数字",IF(AND($D512="销项开票",$N512="—"),"链条待确认","√")))))))))))</f>
        <v/>
      </c>
      <c r="M512" s="34" t="str">
        <f aca="false">IF($C512="","",IFERROR(INDEX(项目档案!$B$6:$B$255,MATCH($C512,项目档案!$A$6:$A$255,0)),"⚠项目编号不存在"))</f>
        <v/>
      </c>
      <c r="N512" s="35" t="str">
        <f aca="false">IF($E512="","",IF($E512=IFERROR(INDEX(项目档案!$D$6:$D$255,MATCH($C512,项目档案!$A$6:$A$255,0)),""),"一级",IF($E512=IFERROR(INDEX(项目档案!$F$6:$F$255,MATCH($C512,项目档案!$A$6:$A$255,0)),""),"二级",IF($E512=IFERROR(INDEX(项目档案!$H$6:$H$255,MATCH($C512,项目档案!$A$6:$A$255,0)),""),"我方","—"))))</f>
        <v/>
      </c>
      <c r="O512" s="36" t="n">
        <f aca="false">IF($D512&lt;&gt;"销项开票",0,ROUND(N($H512)*N($I512),2))</f>
        <v>0</v>
      </c>
      <c r="P512" s="36" t="n">
        <f aca="false">IF($D512&lt;&gt;"销项开票",0,ROUND(N($H512)-$O512,2))</f>
        <v>0</v>
      </c>
      <c r="Q512" s="37" t="str">
        <f aca="false">IF($E512="","",N(IFERROR(INDEX(单位档案!$E$6:$E$35,MATCH($E512,单位档案!$A$6:$A$35,0)),"")))</f>
        <v/>
      </c>
      <c r="R512" s="37" t="str">
        <f aca="false">IF($E512="","",N(IFERROR(INDEX(单位档案!$F$6:$F$35,MATCH($E512,单位档案!$A$6:$A$35,0)),"")))</f>
        <v/>
      </c>
      <c r="S512" s="36" t="n">
        <f aca="false">IF(OR($D512&lt;&gt;"销项开票",IFERROR(INDEX(单位档案!$G$6:$G$35,MATCH($E512,单位档案!$A$6:$A$35,0)),"")&lt;&gt;"是",N($Q512)=0),0,IF(IFERROR(INDEX(单位档案!$H$6:$H$35,MATCH($E512,单位档案!$A$6:$A$35,0)),"")="税差法",ROUND(N($H512)/(1+$Q512)*$Q512-IF(N($R512)=0,0,$P512/(1+$R512)*$R512),2),ROUND(N($H512)/(1+$Q512)*$Q512,2)))</f>
        <v>0</v>
      </c>
      <c r="T512" s="36" t="n">
        <f aca="false">ROUND($S512*N(IFERROR(INDEX(单位档案!$J$6:$J$35,MATCH($E512,单位档案!$A$6:$A$35,0)),"")),2)</f>
        <v>0</v>
      </c>
      <c r="U512" s="36" t="n">
        <f aca="false">IF($D512&lt;&gt;"销项开票",0,ROUND(N($H512)*N(IFERROR(INDEX(单位档案!$K$6:$K$35,MATCH($E512,单位档案!$A$6:$A$35,0)),"")),2))</f>
        <v>0</v>
      </c>
      <c r="V512" s="36" t="n">
        <f aca="false">IF(OR($D512&lt;&gt;"销项开票",N($Q512)=0),0,ROUND(N($H512)/(1+$Q512)*N(IFERROR(INDEX(单位档案!$L$6:$L$35,MATCH($E512,单位档案!$A$6:$A$35,0)),"")),2))</f>
        <v>0</v>
      </c>
      <c r="W512" s="36" t="n">
        <f aca="false">ROUND($S512+$T512+$U512+$V512,2)</f>
        <v>0</v>
      </c>
      <c r="X512" s="35" t="str">
        <f aca="false">IF(OR($D512="挂靠代收",$D512="我方收款"),COUNTIFS($D$5:$D512,"挂靠代收")+COUNTIFS($D$5:$D512,"我方收款"),"")</f>
        <v/>
      </c>
      <c r="Y512" s="35"/>
      <c r="Z512" s="21" t="s">
        <v>111</v>
      </c>
    </row>
    <row r="513" customFormat="false" ht="15.75" hidden="false" customHeight="true" outlineLevel="0" collapsed="false">
      <c r="A513" s="32" t="str">
        <f aca="false">IF($B513="","",ROW()-4)</f>
        <v/>
      </c>
      <c r="B513" s="26"/>
      <c r="C513" s="24"/>
      <c r="D513" s="21"/>
      <c r="E513" s="21"/>
      <c r="F513" s="21"/>
      <c r="G513" s="21"/>
      <c r="H513" s="27"/>
      <c r="I513" s="23" t="str">
        <f aca="false">IF($D513&lt;&gt;"销项开票","",IF($N513="一级",IF(IFERROR(INDEX(项目档案!$E$6:$E$255,MATCH($C513,项目档案!$A$6:$A$255,0)),"")="",N(IFERROR(INDEX(单位档案!$D$6:$D$35,MATCH($E513,单位档案!$A$6:$A$35,0)),"")),IFERROR(INDEX(项目档案!$E$6:$E$255,MATCH($C513,项目档案!$A$6:$A$255,0)),"")),IF($N513="二级",IF(IFERROR(INDEX(项目档案!$G$6:$G$255,MATCH($C513,项目档案!$A$6:$A$255,0)),"")="",N(IFERROR(INDEX(单位档案!$D$6:$D$35,MATCH($E513,单位档案!$A$6:$A$35,0)),"")),IFERROR(INDEX(项目档案!$G$6:$G$255,MATCH($C513,项目档案!$A$6:$A$255,0)),"")),N(IFERROR(INDEX(单位档案!$D$6:$D$35,MATCH($E513,单位档案!$A$6:$A$35,0)),"")))))</f>
        <v/>
      </c>
      <c r="J513" s="22"/>
      <c r="K513" s="22"/>
      <c r="L513" s="33" t="str">
        <f aca="false">IF($B513="","",IF(NOT(ISNUMBER($B513)),"日期格式不对",IF($C513="","未选项目编号",IF(LEFT($M513,1)="⚠","项目编号不存在",IF($D513="","未选业务类型",IF($E513="","未选开票/付款方",IF(ISNA(MATCH($E513,单位档案!$A$6:$A$35,0)),"开票方不在单位档案",IF($F513="","未选收票/收款方",IF(ISNA(MATCH($F513,单位档案!$A$6:$A$35,0)),"收款方不在单位档案",IF(NOT(ISNUMBER($H513)),"金额须为数字",IF(AND($D513="销项开票",$N513="—"),"链条待确认","√")))))))))))</f>
        <v/>
      </c>
      <c r="M513" s="34" t="str">
        <f aca="false">IF($C513="","",IFERROR(INDEX(项目档案!$B$6:$B$255,MATCH($C513,项目档案!$A$6:$A$255,0)),"⚠项目编号不存在"))</f>
        <v/>
      </c>
      <c r="N513" s="35" t="str">
        <f aca="false">IF($E513="","",IF($E513=IFERROR(INDEX(项目档案!$D$6:$D$255,MATCH($C513,项目档案!$A$6:$A$255,0)),""),"一级",IF($E513=IFERROR(INDEX(项目档案!$F$6:$F$255,MATCH($C513,项目档案!$A$6:$A$255,0)),""),"二级",IF($E513=IFERROR(INDEX(项目档案!$H$6:$H$255,MATCH($C513,项目档案!$A$6:$A$255,0)),""),"我方","—"))))</f>
        <v/>
      </c>
      <c r="O513" s="36" t="n">
        <f aca="false">IF($D513&lt;&gt;"销项开票",0,ROUND(N($H513)*N($I513),2))</f>
        <v>0</v>
      </c>
      <c r="P513" s="36" t="n">
        <f aca="false">IF($D513&lt;&gt;"销项开票",0,ROUND(N($H513)-$O513,2))</f>
        <v>0</v>
      </c>
      <c r="Q513" s="37" t="str">
        <f aca="false">IF($E513="","",N(IFERROR(INDEX(单位档案!$E$6:$E$35,MATCH($E513,单位档案!$A$6:$A$35,0)),"")))</f>
        <v/>
      </c>
      <c r="R513" s="37" t="str">
        <f aca="false">IF($E513="","",N(IFERROR(INDEX(单位档案!$F$6:$F$35,MATCH($E513,单位档案!$A$6:$A$35,0)),"")))</f>
        <v/>
      </c>
      <c r="S513" s="36" t="n">
        <f aca="false">IF(OR($D513&lt;&gt;"销项开票",IFERROR(INDEX(单位档案!$G$6:$G$35,MATCH($E513,单位档案!$A$6:$A$35,0)),"")&lt;&gt;"是",N($Q513)=0),0,IF(IFERROR(INDEX(单位档案!$H$6:$H$35,MATCH($E513,单位档案!$A$6:$A$35,0)),"")="税差法",ROUND(N($H513)/(1+$Q513)*$Q513-IF(N($R513)=0,0,$P513/(1+$R513)*$R513),2),ROUND(N($H513)/(1+$Q513)*$Q513,2)))</f>
        <v>0</v>
      </c>
      <c r="T513" s="36" t="n">
        <f aca="false">ROUND($S513*N(IFERROR(INDEX(单位档案!$J$6:$J$35,MATCH($E513,单位档案!$A$6:$A$35,0)),"")),2)</f>
        <v>0</v>
      </c>
      <c r="U513" s="36" t="n">
        <f aca="false">IF($D513&lt;&gt;"销项开票",0,ROUND(N($H513)*N(IFERROR(INDEX(单位档案!$K$6:$K$35,MATCH($E513,单位档案!$A$6:$A$35,0)),"")),2))</f>
        <v>0</v>
      </c>
      <c r="V513" s="36" t="n">
        <f aca="false">IF(OR($D513&lt;&gt;"销项开票",N($Q513)=0),0,ROUND(N($H513)/(1+$Q513)*N(IFERROR(INDEX(单位档案!$L$6:$L$35,MATCH($E513,单位档案!$A$6:$A$35,0)),"")),2))</f>
        <v>0</v>
      </c>
      <c r="W513" s="36" t="n">
        <f aca="false">ROUND($S513+$T513+$U513+$V513,2)</f>
        <v>0</v>
      </c>
      <c r="X513" s="35" t="str">
        <f aca="false">IF(OR($D513="挂靠代收",$D513="我方收款"),COUNTIFS($D$5:$D513,"挂靠代收")+COUNTIFS($D$5:$D513,"我方收款"),"")</f>
        <v/>
      </c>
      <c r="Y513" s="35"/>
      <c r="Z513" s="21" t="s">
        <v>111</v>
      </c>
    </row>
    <row r="514" customFormat="false" ht="15.75" hidden="false" customHeight="true" outlineLevel="0" collapsed="false">
      <c r="A514" s="32" t="str">
        <f aca="false">IF($B514="","",ROW()-4)</f>
        <v/>
      </c>
      <c r="B514" s="26"/>
      <c r="C514" s="24"/>
      <c r="D514" s="21"/>
      <c r="E514" s="21"/>
      <c r="F514" s="21"/>
      <c r="G514" s="21"/>
      <c r="H514" s="27"/>
      <c r="I514" s="23" t="str">
        <f aca="false">IF($D514&lt;&gt;"销项开票","",IF($N514="一级",IF(IFERROR(INDEX(项目档案!$E$6:$E$255,MATCH($C514,项目档案!$A$6:$A$255,0)),"")="",N(IFERROR(INDEX(单位档案!$D$6:$D$35,MATCH($E514,单位档案!$A$6:$A$35,0)),"")),IFERROR(INDEX(项目档案!$E$6:$E$255,MATCH($C514,项目档案!$A$6:$A$255,0)),"")),IF($N514="二级",IF(IFERROR(INDEX(项目档案!$G$6:$G$255,MATCH($C514,项目档案!$A$6:$A$255,0)),"")="",N(IFERROR(INDEX(单位档案!$D$6:$D$35,MATCH($E514,单位档案!$A$6:$A$35,0)),"")),IFERROR(INDEX(项目档案!$G$6:$G$255,MATCH($C514,项目档案!$A$6:$A$255,0)),"")),N(IFERROR(INDEX(单位档案!$D$6:$D$35,MATCH($E514,单位档案!$A$6:$A$35,0)),"")))))</f>
        <v/>
      </c>
      <c r="J514" s="22"/>
      <c r="K514" s="22"/>
      <c r="L514" s="33" t="str">
        <f aca="false">IF($B514="","",IF(NOT(ISNUMBER($B514)),"日期格式不对",IF($C514="","未选项目编号",IF(LEFT($M514,1)="⚠","项目编号不存在",IF($D514="","未选业务类型",IF($E514="","未选开票/付款方",IF(ISNA(MATCH($E514,单位档案!$A$6:$A$35,0)),"开票方不在单位档案",IF($F514="","未选收票/收款方",IF(ISNA(MATCH($F514,单位档案!$A$6:$A$35,0)),"收款方不在单位档案",IF(NOT(ISNUMBER($H514)),"金额须为数字",IF(AND($D514="销项开票",$N514="—"),"链条待确认","√")))))))))))</f>
        <v/>
      </c>
      <c r="M514" s="34" t="str">
        <f aca="false">IF($C514="","",IFERROR(INDEX(项目档案!$B$6:$B$255,MATCH($C514,项目档案!$A$6:$A$255,0)),"⚠项目编号不存在"))</f>
        <v/>
      </c>
      <c r="N514" s="35" t="str">
        <f aca="false">IF($E514="","",IF($E514=IFERROR(INDEX(项目档案!$D$6:$D$255,MATCH($C514,项目档案!$A$6:$A$255,0)),""),"一级",IF($E514=IFERROR(INDEX(项目档案!$F$6:$F$255,MATCH($C514,项目档案!$A$6:$A$255,0)),""),"二级",IF($E514=IFERROR(INDEX(项目档案!$H$6:$H$255,MATCH($C514,项目档案!$A$6:$A$255,0)),""),"我方","—"))))</f>
        <v/>
      </c>
      <c r="O514" s="36" t="n">
        <f aca="false">IF($D514&lt;&gt;"销项开票",0,ROUND(N($H514)*N($I514),2))</f>
        <v>0</v>
      </c>
      <c r="P514" s="36" t="n">
        <f aca="false">IF($D514&lt;&gt;"销项开票",0,ROUND(N($H514)-$O514,2))</f>
        <v>0</v>
      </c>
      <c r="Q514" s="37" t="str">
        <f aca="false">IF($E514="","",N(IFERROR(INDEX(单位档案!$E$6:$E$35,MATCH($E514,单位档案!$A$6:$A$35,0)),"")))</f>
        <v/>
      </c>
      <c r="R514" s="37" t="str">
        <f aca="false">IF($E514="","",N(IFERROR(INDEX(单位档案!$F$6:$F$35,MATCH($E514,单位档案!$A$6:$A$35,0)),"")))</f>
        <v/>
      </c>
      <c r="S514" s="36" t="n">
        <f aca="false">IF(OR($D514&lt;&gt;"销项开票",IFERROR(INDEX(单位档案!$G$6:$G$35,MATCH($E514,单位档案!$A$6:$A$35,0)),"")&lt;&gt;"是",N($Q514)=0),0,IF(IFERROR(INDEX(单位档案!$H$6:$H$35,MATCH($E514,单位档案!$A$6:$A$35,0)),"")="税差法",ROUND(N($H514)/(1+$Q514)*$Q514-IF(N($R514)=0,0,$P514/(1+$R514)*$R514),2),ROUND(N($H514)/(1+$Q514)*$Q514,2)))</f>
        <v>0</v>
      </c>
      <c r="T514" s="36" t="n">
        <f aca="false">ROUND($S514*N(IFERROR(INDEX(单位档案!$J$6:$J$35,MATCH($E514,单位档案!$A$6:$A$35,0)),"")),2)</f>
        <v>0</v>
      </c>
      <c r="U514" s="36" t="n">
        <f aca="false">IF($D514&lt;&gt;"销项开票",0,ROUND(N($H514)*N(IFERROR(INDEX(单位档案!$K$6:$K$35,MATCH($E514,单位档案!$A$6:$A$35,0)),"")),2))</f>
        <v>0</v>
      </c>
      <c r="V514" s="36" t="n">
        <f aca="false">IF(OR($D514&lt;&gt;"销项开票",N($Q514)=0),0,ROUND(N($H514)/(1+$Q514)*N(IFERROR(INDEX(单位档案!$L$6:$L$35,MATCH($E514,单位档案!$A$6:$A$35,0)),"")),2))</f>
        <v>0</v>
      </c>
      <c r="W514" s="36" t="n">
        <f aca="false">ROUND($S514+$T514+$U514+$V514,2)</f>
        <v>0</v>
      </c>
      <c r="X514" s="35" t="str">
        <f aca="false">IF(OR($D514="挂靠代收",$D514="我方收款"),COUNTIFS($D$5:$D514,"挂靠代收")+COUNTIFS($D$5:$D514,"我方收款"),"")</f>
        <v/>
      </c>
      <c r="Y514" s="35"/>
      <c r="Z514" s="21" t="s">
        <v>111</v>
      </c>
    </row>
    <row r="515" customFormat="false" ht="15.75" hidden="false" customHeight="true" outlineLevel="0" collapsed="false">
      <c r="A515" s="32" t="str">
        <f aca="false">IF($B515="","",ROW()-4)</f>
        <v/>
      </c>
      <c r="B515" s="26"/>
      <c r="C515" s="24"/>
      <c r="D515" s="21"/>
      <c r="E515" s="21"/>
      <c r="F515" s="21"/>
      <c r="G515" s="21"/>
      <c r="H515" s="27"/>
      <c r="I515" s="23" t="str">
        <f aca="false">IF($D515&lt;&gt;"销项开票","",IF($N515="一级",IF(IFERROR(INDEX(项目档案!$E$6:$E$255,MATCH($C515,项目档案!$A$6:$A$255,0)),"")="",N(IFERROR(INDEX(单位档案!$D$6:$D$35,MATCH($E515,单位档案!$A$6:$A$35,0)),"")),IFERROR(INDEX(项目档案!$E$6:$E$255,MATCH($C515,项目档案!$A$6:$A$255,0)),"")),IF($N515="二级",IF(IFERROR(INDEX(项目档案!$G$6:$G$255,MATCH($C515,项目档案!$A$6:$A$255,0)),"")="",N(IFERROR(INDEX(单位档案!$D$6:$D$35,MATCH($E515,单位档案!$A$6:$A$35,0)),"")),IFERROR(INDEX(项目档案!$G$6:$G$255,MATCH($C515,项目档案!$A$6:$A$255,0)),"")),N(IFERROR(INDEX(单位档案!$D$6:$D$35,MATCH($E515,单位档案!$A$6:$A$35,0)),"")))))</f>
        <v/>
      </c>
      <c r="J515" s="22"/>
      <c r="K515" s="22"/>
      <c r="L515" s="33" t="str">
        <f aca="false">IF($B515="","",IF(NOT(ISNUMBER($B515)),"日期格式不对",IF($C515="","未选项目编号",IF(LEFT($M515,1)="⚠","项目编号不存在",IF($D515="","未选业务类型",IF($E515="","未选开票/付款方",IF(ISNA(MATCH($E515,单位档案!$A$6:$A$35,0)),"开票方不在单位档案",IF($F515="","未选收票/收款方",IF(ISNA(MATCH($F515,单位档案!$A$6:$A$35,0)),"收款方不在单位档案",IF(NOT(ISNUMBER($H515)),"金额须为数字",IF(AND($D515="销项开票",$N515="—"),"链条待确认","√")))))))))))</f>
        <v/>
      </c>
      <c r="M515" s="34" t="str">
        <f aca="false">IF($C515="","",IFERROR(INDEX(项目档案!$B$6:$B$255,MATCH($C515,项目档案!$A$6:$A$255,0)),"⚠项目编号不存在"))</f>
        <v/>
      </c>
      <c r="N515" s="35" t="str">
        <f aca="false">IF($E515="","",IF($E515=IFERROR(INDEX(项目档案!$D$6:$D$255,MATCH($C515,项目档案!$A$6:$A$255,0)),""),"一级",IF($E515=IFERROR(INDEX(项目档案!$F$6:$F$255,MATCH($C515,项目档案!$A$6:$A$255,0)),""),"二级",IF($E515=IFERROR(INDEX(项目档案!$H$6:$H$255,MATCH($C515,项目档案!$A$6:$A$255,0)),""),"我方","—"))))</f>
        <v/>
      </c>
      <c r="O515" s="36" t="n">
        <f aca="false">IF($D515&lt;&gt;"销项开票",0,ROUND(N($H515)*N($I515),2))</f>
        <v>0</v>
      </c>
      <c r="P515" s="36" t="n">
        <f aca="false">IF($D515&lt;&gt;"销项开票",0,ROUND(N($H515)-$O515,2))</f>
        <v>0</v>
      </c>
      <c r="Q515" s="37" t="str">
        <f aca="false">IF($E515="","",N(IFERROR(INDEX(单位档案!$E$6:$E$35,MATCH($E515,单位档案!$A$6:$A$35,0)),"")))</f>
        <v/>
      </c>
      <c r="R515" s="37" t="str">
        <f aca="false">IF($E515="","",N(IFERROR(INDEX(单位档案!$F$6:$F$35,MATCH($E515,单位档案!$A$6:$A$35,0)),"")))</f>
        <v/>
      </c>
      <c r="S515" s="36" t="n">
        <f aca="false">IF(OR($D515&lt;&gt;"销项开票",IFERROR(INDEX(单位档案!$G$6:$G$35,MATCH($E515,单位档案!$A$6:$A$35,0)),"")&lt;&gt;"是",N($Q515)=0),0,IF(IFERROR(INDEX(单位档案!$H$6:$H$35,MATCH($E515,单位档案!$A$6:$A$35,0)),"")="税差法",ROUND(N($H515)/(1+$Q515)*$Q515-IF(N($R515)=0,0,$P515/(1+$R515)*$R515),2),ROUND(N($H515)/(1+$Q515)*$Q515,2)))</f>
        <v>0</v>
      </c>
      <c r="T515" s="36" t="n">
        <f aca="false">ROUND($S515*N(IFERROR(INDEX(单位档案!$J$6:$J$35,MATCH($E515,单位档案!$A$6:$A$35,0)),"")),2)</f>
        <v>0</v>
      </c>
      <c r="U515" s="36" t="n">
        <f aca="false">IF($D515&lt;&gt;"销项开票",0,ROUND(N($H515)*N(IFERROR(INDEX(单位档案!$K$6:$K$35,MATCH($E515,单位档案!$A$6:$A$35,0)),"")),2))</f>
        <v>0</v>
      </c>
      <c r="V515" s="36" t="n">
        <f aca="false">IF(OR($D515&lt;&gt;"销项开票",N($Q515)=0),0,ROUND(N($H515)/(1+$Q515)*N(IFERROR(INDEX(单位档案!$L$6:$L$35,MATCH($E515,单位档案!$A$6:$A$35,0)),"")),2))</f>
        <v>0</v>
      </c>
      <c r="W515" s="36" t="n">
        <f aca="false">ROUND($S515+$T515+$U515+$V515,2)</f>
        <v>0</v>
      </c>
      <c r="X515" s="35" t="str">
        <f aca="false">IF(OR($D515="挂靠代收",$D515="我方收款"),COUNTIFS($D$5:$D515,"挂靠代收")+COUNTIFS($D$5:$D515,"我方收款"),"")</f>
        <v/>
      </c>
      <c r="Y515" s="35"/>
      <c r="Z515" s="21" t="s">
        <v>111</v>
      </c>
    </row>
    <row r="516" customFormat="false" ht="15.75" hidden="false" customHeight="true" outlineLevel="0" collapsed="false">
      <c r="A516" s="32" t="str">
        <f aca="false">IF($B516="","",ROW()-4)</f>
        <v/>
      </c>
      <c r="B516" s="26"/>
      <c r="C516" s="24"/>
      <c r="D516" s="21"/>
      <c r="E516" s="21"/>
      <c r="F516" s="21"/>
      <c r="G516" s="21"/>
      <c r="H516" s="27"/>
      <c r="I516" s="23" t="str">
        <f aca="false">IF($D516&lt;&gt;"销项开票","",IF($N516="一级",IF(IFERROR(INDEX(项目档案!$E$6:$E$255,MATCH($C516,项目档案!$A$6:$A$255,0)),"")="",N(IFERROR(INDEX(单位档案!$D$6:$D$35,MATCH($E516,单位档案!$A$6:$A$35,0)),"")),IFERROR(INDEX(项目档案!$E$6:$E$255,MATCH($C516,项目档案!$A$6:$A$255,0)),"")),IF($N516="二级",IF(IFERROR(INDEX(项目档案!$G$6:$G$255,MATCH($C516,项目档案!$A$6:$A$255,0)),"")="",N(IFERROR(INDEX(单位档案!$D$6:$D$35,MATCH($E516,单位档案!$A$6:$A$35,0)),"")),IFERROR(INDEX(项目档案!$G$6:$G$255,MATCH($C516,项目档案!$A$6:$A$255,0)),"")),N(IFERROR(INDEX(单位档案!$D$6:$D$35,MATCH($E516,单位档案!$A$6:$A$35,0)),"")))))</f>
        <v/>
      </c>
      <c r="J516" s="22"/>
      <c r="K516" s="22"/>
      <c r="L516" s="33" t="str">
        <f aca="false">IF($B516="","",IF(NOT(ISNUMBER($B516)),"日期格式不对",IF($C516="","未选项目编号",IF(LEFT($M516,1)="⚠","项目编号不存在",IF($D516="","未选业务类型",IF($E516="","未选开票/付款方",IF(ISNA(MATCH($E516,单位档案!$A$6:$A$35,0)),"开票方不在单位档案",IF($F516="","未选收票/收款方",IF(ISNA(MATCH($F516,单位档案!$A$6:$A$35,0)),"收款方不在单位档案",IF(NOT(ISNUMBER($H516)),"金额须为数字",IF(AND($D516="销项开票",$N516="—"),"链条待确认","√")))))))))))</f>
        <v/>
      </c>
      <c r="M516" s="34" t="str">
        <f aca="false">IF($C516="","",IFERROR(INDEX(项目档案!$B$6:$B$255,MATCH($C516,项目档案!$A$6:$A$255,0)),"⚠项目编号不存在"))</f>
        <v/>
      </c>
      <c r="N516" s="35" t="str">
        <f aca="false">IF($E516="","",IF($E516=IFERROR(INDEX(项目档案!$D$6:$D$255,MATCH($C516,项目档案!$A$6:$A$255,0)),""),"一级",IF($E516=IFERROR(INDEX(项目档案!$F$6:$F$255,MATCH($C516,项目档案!$A$6:$A$255,0)),""),"二级",IF($E516=IFERROR(INDEX(项目档案!$H$6:$H$255,MATCH($C516,项目档案!$A$6:$A$255,0)),""),"我方","—"))))</f>
        <v/>
      </c>
      <c r="O516" s="36" t="n">
        <f aca="false">IF($D516&lt;&gt;"销项开票",0,ROUND(N($H516)*N($I516),2))</f>
        <v>0</v>
      </c>
      <c r="P516" s="36" t="n">
        <f aca="false">IF($D516&lt;&gt;"销项开票",0,ROUND(N($H516)-$O516,2))</f>
        <v>0</v>
      </c>
      <c r="Q516" s="37" t="str">
        <f aca="false">IF($E516="","",N(IFERROR(INDEX(单位档案!$E$6:$E$35,MATCH($E516,单位档案!$A$6:$A$35,0)),"")))</f>
        <v/>
      </c>
      <c r="R516" s="37" t="str">
        <f aca="false">IF($E516="","",N(IFERROR(INDEX(单位档案!$F$6:$F$35,MATCH($E516,单位档案!$A$6:$A$35,0)),"")))</f>
        <v/>
      </c>
      <c r="S516" s="36" t="n">
        <f aca="false">IF(OR($D516&lt;&gt;"销项开票",IFERROR(INDEX(单位档案!$G$6:$G$35,MATCH($E516,单位档案!$A$6:$A$35,0)),"")&lt;&gt;"是",N($Q516)=0),0,IF(IFERROR(INDEX(单位档案!$H$6:$H$35,MATCH($E516,单位档案!$A$6:$A$35,0)),"")="税差法",ROUND(N($H516)/(1+$Q516)*$Q516-IF(N($R516)=0,0,$P516/(1+$R516)*$R516),2),ROUND(N($H516)/(1+$Q516)*$Q516,2)))</f>
        <v>0</v>
      </c>
      <c r="T516" s="36" t="n">
        <f aca="false">ROUND($S516*N(IFERROR(INDEX(单位档案!$J$6:$J$35,MATCH($E516,单位档案!$A$6:$A$35,0)),"")),2)</f>
        <v>0</v>
      </c>
      <c r="U516" s="36" t="n">
        <f aca="false">IF($D516&lt;&gt;"销项开票",0,ROUND(N($H516)*N(IFERROR(INDEX(单位档案!$K$6:$K$35,MATCH($E516,单位档案!$A$6:$A$35,0)),"")),2))</f>
        <v>0</v>
      </c>
      <c r="V516" s="36" t="n">
        <f aca="false">IF(OR($D516&lt;&gt;"销项开票",N($Q516)=0),0,ROUND(N($H516)/(1+$Q516)*N(IFERROR(INDEX(单位档案!$L$6:$L$35,MATCH($E516,单位档案!$A$6:$A$35,0)),"")),2))</f>
        <v>0</v>
      </c>
      <c r="W516" s="36" t="n">
        <f aca="false">ROUND($S516+$T516+$U516+$V516,2)</f>
        <v>0</v>
      </c>
      <c r="X516" s="35" t="str">
        <f aca="false">IF(OR($D516="挂靠代收",$D516="我方收款"),COUNTIFS($D$5:$D516,"挂靠代收")+COUNTIFS($D$5:$D516,"我方收款"),"")</f>
        <v/>
      </c>
      <c r="Y516" s="35"/>
      <c r="Z516" s="21" t="s">
        <v>111</v>
      </c>
    </row>
    <row r="517" customFormat="false" ht="15.75" hidden="false" customHeight="true" outlineLevel="0" collapsed="false">
      <c r="A517" s="32" t="str">
        <f aca="false">IF($B517="","",ROW()-4)</f>
        <v/>
      </c>
      <c r="B517" s="26"/>
      <c r="C517" s="24"/>
      <c r="D517" s="21"/>
      <c r="E517" s="21"/>
      <c r="F517" s="21"/>
      <c r="G517" s="21"/>
      <c r="H517" s="27"/>
      <c r="I517" s="23" t="str">
        <f aca="false">IF($D517&lt;&gt;"销项开票","",IF($N517="一级",IF(IFERROR(INDEX(项目档案!$E$6:$E$255,MATCH($C517,项目档案!$A$6:$A$255,0)),"")="",N(IFERROR(INDEX(单位档案!$D$6:$D$35,MATCH($E517,单位档案!$A$6:$A$35,0)),"")),IFERROR(INDEX(项目档案!$E$6:$E$255,MATCH($C517,项目档案!$A$6:$A$255,0)),"")),IF($N517="二级",IF(IFERROR(INDEX(项目档案!$G$6:$G$255,MATCH($C517,项目档案!$A$6:$A$255,0)),"")="",N(IFERROR(INDEX(单位档案!$D$6:$D$35,MATCH($E517,单位档案!$A$6:$A$35,0)),"")),IFERROR(INDEX(项目档案!$G$6:$G$255,MATCH($C517,项目档案!$A$6:$A$255,0)),"")),N(IFERROR(INDEX(单位档案!$D$6:$D$35,MATCH($E517,单位档案!$A$6:$A$35,0)),"")))))</f>
        <v/>
      </c>
      <c r="J517" s="22"/>
      <c r="K517" s="22"/>
      <c r="L517" s="33" t="str">
        <f aca="false">IF($B517="","",IF(NOT(ISNUMBER($B517)),"日期格式不对",IF($C517="","未选项目编号",IF(LEFT($M517,1)="⚠","项目编号不存在",IF($D517="","未选业务类型",IF($E517="","未选开票/付款方",IF(ISNA(MATCH($E517,单位档案!$A$6:$A$35,0)),"开票方不在单位档案",IF($F517="","未选收票/收款方",IF(ISNA(MATCH($F517,单位档案!$A$6:$A$35,0)),"收款方不在单位档案",IF(NOT(ISNUMBER($H517)),"金额须为数字",IF(AND($D517="销项开票",$N517="—"),"链条待确认","√")))))))))))</f>
        <v/>
      </c>
      <c r="M517" s="34" t="str">
        <f aca="false">IF($C517="","",IFERROR(INDEX(项目档案!$B$6:$B$255,MATCH($C517,项目档案!$A$6:$A$255,0)),"⚠项目编号不存在"))</f>
        <v/>
      </c>
      <c r="N517" s="35" t="str">
        <f aca="false">IF($E517="","",IF($E517=IFERROR(INDEX(项目档案!$D$6:$D$255,MATCH($C517,项目档案!$A$6:$A$255,0)),""),"一级",IF($E517=IFERROR(INDEX(项目档案!$F$6:$F$255,MATCH($C517,项目档案!$A$6:$A$255,0)),""),"二级",IF($E517=IFERROR(INDEX(项目档案!$H$6:$H$255,MATCH($C517,项目档案!$A$6:$A$255,0)),""),"我方","—"))))</f>
        <v/>
      </c>
      <c r="O517" s="36" t="n">
        <f aca="false">IF($D517&lt;&gt;"销项开票",0,ROUND(N($H517)*N($I517),2))</f>
        <v>0</v>
      </c>
      <c r="P517" s="36" t="n">
        <f aca="false">IF($D517&lt;&gt;"销项开票",0,ROUND(N($H517)-$O517,2))</f>
        <v>0</v>
      </c>
      <c r="Q517" s="37" t="str">
        <f aca="false">IF($E517="","",N(IFERROR(INDEX(单位档案!$E$6:$E$35,MATCH($E517,单位档案!$A$6:$A$35,0)),"")))</f>
        <v/>
      </c>
      <c r="R517" s="37" t="str">
        <f aca="false">IF($E517="","",N(IFERROR(INDEX(单位档案!$F$6:$F$35,MATCH($E517,单位档案!$A$6:$A$35,0)),"")))</f>
        <v/>
      </c>
      <c r="S517" s="36" t="n">
        <f aca="false">IF(OR($D517&lt;&gt;"销项开票",IFERROR(INDEX(单位档案!$G$6:$G$35,MATCH($E517,单位档案!$A$6:$A$35,0)),"")&lt;&gt;"是",N($Q517)=0),0,IF(IFERROR(INDEX(单位档案!$H$6:$H$35,MATCH($E517,单位档案!$A$6:$A$35,0)),"")="税差法",ROUND(N($H517)/(1+$Q517)*$Q517-IF(N($R517)=0,0,$P517/(1+$R517)*$R517),2),ROUND(N($H517)/(1+$Q517)*$Q517,2)))</f>
        <v>0</v>
      </c>
      <c r="T517" s="36" t="n">
        <f aca="false">ROUND($S517*N(IFERROR(INDEX(单位档案!$J$6:$J$35,MATCH($E517,单位档案!$A$6:$A$35,0)),"")),2)</f>
        <v>0</v>
      </c>
      <c r="U517" s="36" t="n">
        <f aca="false">IF($D517&lt;&gt;"销项开票",0,ROUND(N($H517)*N(IFERROR(INDEX(单位档案!$K$6:$K$35,MATCH($E517,单位档案!$A$6:$A$35,0)),"")),2))</f>
        <v>0</v>
      </c>
      <c r="V517" s="36" t="n">
        <f aca="false">IF(OR($D517&lt;&gt;"销项开票",N($Q517)=0),0,ROUND(N($H517)/(1+$Q517)*N(IFERROR(INDEX(单位档案!$L$6:$L$35,MATCH($E517,单位档案!$A$6:$A$35,0)),"")),2))</f>
        <v>0</v>
      </c>
      <c r="W517" s="36" t="n">
        <f aca="false">ROUND($S517+$T517+$U517+$V517,2)</f>
        <v>0</v>
      </c>
      <c r="X517" s="35" t="str">
        <f aca="false">IF(OR($D517="挂靠代收",$D517="我方收款"),COUNTIFS($D$5:$D517,"挂靠代收")+COUNTIFS($D$5:$D517,"我方收款"),"")</f>
        <v/>
      </c>
      <c r="Y517" s="35"/>
      <c r="Z517" s="21" t="s">
        <v>111</v>
      </c>
    </row>
    <row r="518" customFormat="false" ht="15.75" hidden="false" customHeight="true" outlineLevel="0" collapsed="false">
      <c r="A518" s="32" t="str">
        <f aca="false">IF($B518="","",ROW()-4)</f>
        <v/>
      </c>
      <c r="B518" s="26"/>
      <c r="C518" s="24"/>
      <c r="D518" s="21"/>
      <c r="E518" s="21"/>
      <c r="F518" s="21"/>
      <c r="G518" s="21"/>
      <c r="H518" s="27"/>
      <c r="I518" s="23" t="str">
        <f aca="false">IF($D518&lt;&gt;"销项开票","",IF($N518="一级",IF(IFERROR(INDEX(项目档案!$E$6:$E$255,MATCH($C518,项目档案!$A$6:$A$255,0)),"")="",N(IFERROR(INDEX(单位档案!$D$6:$D$35,MATCH($E518,单位档案!$A$6:$A$35,0)),"")),IFERROR(INDEX(项目档案!$E$6:$E$255,MATCH($C518,项目档案!$A$6:$A$255,0)),"")),IF($N518="二级",IF(IFERROR(INDEX(项目档案!$G$6:$G$255,MATCH($C518,项目档案!$A$6:$A$255,0)),"")="",N(IFERROR(INDEX(单位档案!$D$6:$D$35,MATCH($E518,单位档案!$A$6:$A$35,0)),"")),IFERROR(INDEX(项目档案!$G$6:$G$255,MATCH($C518,项目档案!$A$6:$A$255,0)),"")),N(IFERROR(INDEX(单位档案!$D$6:$D$35,MATCH($E518,单位档案!$A$6:$A$35,0)),"")))))</f>
        <v/>
      </c>
      <c r="J518" s="22"/>
      <c r="K518" s="22"/>
      <c r="L518" s="33" t="str">
        <f aca="false">IF($B518="","",IF(NOT(ISNUMBER($B518)),"日期格式不对",IF($C518="","未选项目编号",IF(LEFT($M518,1)="⚠","项目编号不存在",IF($D518="","未选业务类型",IF($E518="","未选开票/付款方",IF(ISNA(MATCH($E518,单位档案!$A$6:$A$35,0)),"开票方不在单位档案",IF($F518="","未选收票/收款方",IF(ISNA(MATCH($F518,单位档案!$A$6:$A$35,0)),"收款方不在单位档案",IF(NOT(ISNUMBER($H518)),"金额须为数字",IF(AND($D518="销项开票",$N518="—"),"链条待确认","√")))))))))))</f>
        <v/>
      </c>
      <c r="M518" s="34" t="str">
        <f aca="false">IF($C518="","",IFERROR(INDEX(项目档案!$B$6:$B$255,MATCH($C518,项目档案!$A$6:$A$255,0)),"⚠项目编号不存在"))</f>
        <v/>
      </c>
      <c r="N518" s="35" t="str">
        <f aca="false">IF($E518="","",IF($E518=IFERROR(INDEX(项目档案!$D$6:$D$255,MATCH($C518,项目档案!$A$6:$A$255,0)),""),"一级",IF($E518=IFERROR(INDEX(项目档案!$F$6:$F$255,MATCH($C518,项目档案!$A$6:$A$255,0)),""),"二级",IF($E518=IFERROR(INDEX(项目档案!$H$6:$H$255,MATCH($C518,项目档案!$A$6:$A$255,0)),""),"我方","—"))))</f>
        <v/>
      </c>
      <c r="O518" s="36" t="n">
        <f aca="false">IF($D518&lt;&gt;"销项开票",0,ROUND(N($H518)*N($I518),2))</f>
        <v>0</v>
      </c>
      <c r="P518" s="36" t="n">
        <f aca="false">IF($D518&lt;&gt;"销项开票",0,ROUND(N($H518)-$O518,2))</f>
        <v>0</v>
      </c>
      <c r="Q518" s="37" t="str">
        <f aca="false">IF($E518="","",N(IFERROR(INDEX(单位档案!$E$6:$E$35,MATCH($E518,单位档案!$A$6:$A$35,0)),"")))</f>
        <v/>
      </c>
      <c r="R518" s="37" t="str">
        <f aca="false">IF($E518="","",N(IFERROR(INDEX(单位档案!$F$6:$F$35,MATCH($E518,单位档案!$A$6:$A$35,0)),"")))</f>
        <v/>
      </c>
      <c r="S518" s="36" t="n">
        <f aca="false">IF(OR($D518&lt;&gt;"销项开票",IFERROR(INDEX(单位档案!$G$6:$G$35,MATCH($E518,单位档案!$A$6:$A$35,0)),"")&lt;&gt;"是",N($Q518)=0),0,IF(IFERROR(INDEX(单位档案!$H$6:$H$35,MATCH($E518,单位档案!$A$6:$A$35,0)),"")="税差法",ROUND(N($H518)/(1+$Q518)*$Q518-IF(N($R518)=0,0,$P518/(1+$R518)*$R518),2),ROUND(N($H518)/(1+$Q518)*$Q518,2)))</f>
        <v>0</v>
      </c>
      <c r="T518" s="36" t="n">
        <f aca="false">ROUND($S518*N(IFERROR(INDEX(单位档案!$J$6:$J$35,MATCH($E518,单位档案!$A$6:$A$35,0)),"")),2)</f>
        <v>0</v>
      </c>
      <c r="U518" s="36" t="n">
        <f aca="false">IF($D518&lt;&gt;"销项开票",0,ROUND(N($H518)*N(IFERROR(INDEX(单位档案!$K$6:$K$35,MATCH($E518,单位档案!$A$6:$A$35,0)),"")),2))</f>
        <v>0</v>
      </c>
      <c r="V518" s="36" t="n">
        <f aca="false">IF(OR($D518&lt;&gt;"销项开票",N($Q518)=0),0,ROUND(N($H518)/(1+$Q518)*N(IFERROR(INDEX(单位档案!$L$6:$L$35,MATCH($E518,单位档案!$A$6:$A$35,0)),"")),2))</f>
        <v>0</v>
      </c>
      <c r="W518" s="36" t="n">
        <f aca="false">ROUND($S518+$T518+$U518+$V518,2)</f>
        <v>0</v>
      </c>
      <c r="X518" s="35" t="str">
        <f aca="false">IF(OR($D518="挂靠代收",$D518="我方收款"),COUNTIFS($D$5:$D518,"挂靠代收")+COUNTIFS($D$5:$D518,"我方收款"),"")</f>
        <v/>
      </c>
      <c r="Y518" s="35"/>
      <c r="Z518" s="21" t="s">
        <v>111</v>
      </c>
    </row>
    <row r="519" customFormat="false" ht="15.75" hidden="false" customHeight="true" outlineLevel="0" collapsed="false">
      <c r="A519" s="32" t="str">
        <f aca="false">IF($B519="","",ROW()-4)</f>
        <v/>
      </c>
      <c r="B519" s="26"/>
      <c r="C519" s="24"/>
      <c r="D519" s="21"/>
      <c r="E519" s="21"/>
      <c r="F519" s="21"/>
      <c r="G519" s="21"/>
      <c r="H519" s="27"/>
      <c r="I519" s="23" t="str">
        <f aca="false">IF($D519&lt;&gt;"销项开票","",IF($N519="一级",IF(IFERROR(INDEX(项目档案!$E$6:$E$255,MATCH($C519,项目档案!$A$6:$A$255,0)),"")="",N(IFERROR(INDEX(单位档案!$D$6:$D$35,MATCH($E519,单位档案!$A$6:$A$35,0)),"")),IFERROR(INDEX(项目档案!$E$6:$E$255,MATCH($C519,项目档案!$A$6:$A$255,0)),"")),IF($N519="二级",IF(IFERROR(INDEX(项目档案!$G$6:$G$255,MATCH($C519,项目档案!$A$6:$A$255,0)),"")="",N(IFERROR(INDEX(单位档案!$D$6:$D$35,MATCH($E519,单位档案!$A$6:$A$35,0)),"")),IFERROR(INDEX(项目档案!$G$6:$G$255,MATCH($C519,项目档案!$A$6:$A$255,0)),"")),N(IFERROR(INDEX(单位档案!$D$6:$D$35,MATCH($E519,单位档案!$A$6:$A$35,0)),"")))))</f>
        <v/>
      </c>
      <c r="J519" s="22"/>
      <c r="K519" s="22"/>
      <c r="L519" s="33" t="str">
        <f aca="false">IF($B519="","",IF(NOT(ISNUMBER($B519)),"日期格式不对",IF($C519="","未选项目编号",IF(LEFT($M519,1)="⚠","项目编号不存在",IF($D519="","未选业务类型",IF($E519="","未选开票/付款方",IF(ISNA(MATCH($E519,单位档案!$A$6:$A$35,0)),"开票方不在单位档案",IF($F519="","未选收票/收款方",IF(ISNA(MATCH($F519,单位档案!$A$6:$A$35,0)),"收款方不在单位档案",IF(NOT(ISNUMBER($H519)),"金额须为数字",IF(AND($D519="销项开票",$N519="—"),"链条待确认","√")))))))))))</f>
        <v/>
      </c>
      <c r="M519" s="34" t="str">
        <f aca="false">IF($C519="","",IFERROR(INDEX(项目档案!$B$6:$B$255,MATCH($C519,项目档案!$A$6:$A$255,0)),"⚠项目编号不存在"))</f>
        <v/>
      </c>
      <c r="N519" s="35" t="str">
        <f aca="false">IF($E519="","",IF($E519=IFERROR(INDEX(项目档案!$D$6:$D$255,MATCH($C519,项目档案!$A$6:$A$255,0)),""),"一级",IF($E519=IFERROR(INDEX(项目档案!$F$6:$F$255,MATCH($C519,项目档案!$A$6:$A$255,0)),""),"二级",IF($E519=IFERROR(INDEX(项目档案!$H$6:$H$255,MATCH($C519,项目档案!$A$6:$A$255,0)),""),"我方","—"))))</f>
        <v/>
      </c>
      <c r="O519" s="36" t="n">
        <f aca="false">IF($D519&lt;&gt;"销项开票",0,ROUND(N($H519)*N($I519),2))</f>
        <v>0</v>
      </c>
      <c r="P519" s="36" t="n">
        <f aca="false">IF($D519&lt;&gt;"销项开票",0,ROUND(N($H519)-$O519,2))</f>
        <v>0</v>
      </c>
      <c r="Q519" s="37" t="str">
        <f aca="false">IF($E519="","",N(IFERROR(INDEX(单位档案!$E$6:$E$35,MATCH($E519,单位档案!$A$6:$A$35,0)),"")))</f>
        <v/>
      </c>
      <c r="R519" s="37" t="str">
        <f aca="false">IF($E519="","",N(IFERROR(INDEX(单位档案!$F$6:$F$35,MATCH($E519,单位档案!$A$6:$A$35,0)),"")))</f>
        <v/>
      </c>
      <c r="S519" s="36" t="n">
        <f aca="false">IF(OR($D519&lt;&gt;"销项开票",IFERROR(INDEX(单位档案!$G$6:$G$35,MATCH($E519,单位档案!$A$6:$A$35,0)),"")&lt;&gt;"是",N($Q519)=0),0,IF(IFERROR(INDEX(单位档案!$H$6:$H$35,MATCH($E519,单位档案!$A$6:$A$35,0)),"")="税差法",ROUND(N($H519)/(1+$Q519)*$Q519-IF(N($R519)=0,0,$P519/(1+$R519)*$R519),2),ROUND(N($H519)/(1+$Q519)*$Q519,2)))</f>
        <v>0</v>
      </c>
      <c r="T519" s="36" t="n">
        <f aca="false">ROUND($S519*N(IFERROR(INDEX(单位档案!$J$6:$J$35,MATCH($E519,单位档案!$A$6:$A$35,0)),"")),2)</f>
        <v>0</v>
      </c>
      <c r="U519" s="36" t="n">
        <f aca="false">IF($D519&lt;&gt;"销项开票",0,ROUND(N($H519)*N(IFERROR(INDEX(单位档案!$K$6:$K$35,MATCH($E519,单位档案!$A$6:$A$35,0)),"")),2))</f>
        <v>0</v>
      </c>
      <c r="V519" s="36" t="n">
        <f aca="false">IF(OR($D519&lt;&gt;"销项开票",N($Q519)=0),0,ROUND(N($H519)/(1+$Q519)*N(IFERROR(INDEX(单位档案!$L$6:$L$35,MATCH($E519,单位档案!$A$6:$A$35,0)),"")),2))</f>
        <v>0</v>
      </c>
      <c r="W519" s="36" t="n">
        <f aca="false">ROUND($S519+$T519+$U519+$V519,2)</f>
        <v>0</v>
      </c>
      <c r="X519" s="35" t="str">
        <f aca="false">IF(OR($D519="挂靠代收",$D519="我方收款"),COUNTIFS($D$5:$D519,"挂靠代收")+COUNTIFS($D$5:$D519,"我方收款"),"")</f>
        <v/>
      </c>
      <c r="Y519" s="35"/>
      <c r="Z519" s="21" t="s">
        <v>111</v>
      </c>
    </row>
    <row r="520" customFormat="false" ht="15.75" hidden="false" customHeight="true" outlineLevel="0" collapsed="false">
      <c r="A520" s="32" t="str">
        <f aca="false">IF($B520="","",ROW()-4)</f>
        <v/>
      </c>
      <c r="B520" s="26"/>
      <c r="C520" s="24"/>
      <c r="D520" s="21"/>
      <c r="E520" s="21"/>
      <c r="F520" s="21"/>
      <c r="G520" s="21"/>
      <c r="H520" s="27"/>
      <c r="I520" s="23" t="str">
        <f aca="false">IF($D520&lt;&gt;"销项开票","",IF($N520="一级",IF(IFERROR(INDEX(项目档案!$E$6:$E$255,MATCH($C520,项目档案!$A$6:$A$255,0)),"")="",N(IFERROR(INDEX(单位档案!$D$6:$D$35,MATCH($E520,单位档案!$A$6:$A$35,0)),"")),IFERROR(INDEX(项目档案!$E$6:$E$255,MATCH($C520,项目档案!$A$6:$A$255,0)),"")),IF($N520="二级",IF(IFERROR(INDEX(项目档案!$G$6:$G$255,MATCH($C520,项目档案!$A$6:$A$255,0)),"")="",N(IFERROR(INDEX(单位档案!$D$6:$D$35,MATCH($E520,单位档案!$A$6:$A$35,0)),"")),IFERROR(INDEX(项目档案!$G$6:$G$255,MATCH($C520,项目档案!$A$6:$A$255,0)),"")),N(IFERROR(INDEX(单位档案!$D$6:$D$35,MATCH($E520,单位档案!$A$6:$A$35,0)),"")))))</f>
        <v/>
      </c>
      <c r="J520" s="22"/>
      <c r="K520" s="22"/>
      <c r="L520" s="33" t="str">
        <f aca="false">IF($B520="","",IF(NOT(ISNUMBER($B520)),"日期格式不对",IF($C520="","未选项目编号",IF(LEFT($M520,1)="⚠","项目编号不存在",IF($D520="","未选业务类型",IF($E520="","未选开票/付款方",IF(ISNA(MATCH($E520,单位档案!$A$6:$A$35,0)),"开票方不在单位档案",IF($F520="","未选收票/收款方",IF(ISNA(MATCH($F520,单位档案!$A$6:$A$35,0)),"收款方不在单位档案",IF(NOT(ISNUMBER($H520)),"金额须为数字",IF(AND($D520="销项开票",$N520="—"),"链条待确认","√")))))))))))</f>
        <v/>
      </c>
      <c r="M520" s="34" t="str">
        <f aca="false">IF($C520="","",IFERROR(INDEX(项目档案!$B$6:$B$255,MATCH($C520,项目档案!$A$6:$A$255,0)),"⚠项目编号不存在"))</f>
        <v/>
      </c>
      <c r="N520" s="35" t="str">
        <f aca="false">IF($E520="","",IF($E520=IFERROR(INDEX(项目档案!$D$6:$D$255,MATCH($C520,项目档案!$A$6:$A$255,0)),""),"一级",IF($E520=IFERROR(INDEX(项目档案!$F$6:$F$255,MATCH($C520,项目档案!$A$6:$A$255,0)),""),"二级",IF($E520=IFERROR(INDEX(项目档案!$H$6:$H$255,MATCH($C520,项目档案!$A$6:$A$255,0)),""),"我方","—"))))</f>
        <v/>
      </c>
      <c r="O520" s="36" t="n">
        <f aca="false">IF($D520&lt;&gt;"销项开票",0,ROUND(N($H520)*N($I520),2))</f>
        <v>0</v>
      </c>
      <c r="P520" s="36" t="n">
        <f aca="false">IF($D520&lt;&gt;"销项开票",0,ROUND(N($H520)-$O520,2))</f>
        <v>0</v>
      </c>
      <c r="Q520" s="37" t="str">
        <f aca="false">IF($E520="","",N(IFERROR(INDEX(单位档案!$E$6:$E$35,MATCH($E520,单位档案!$A$6:$A$35,0)),"")))</f>
        <v/>
      </c>
      <c r="R520" s="37" t="str">
        <f aca="false">IF($E520="","",N(IFERROR(INDEX(单位档案!$F$6:$F$35,MATCH($E520,单位档案!$A$6:$A$35,0)),"")))</f>
        <v/>
      </c>
      <c r="S520" s="36" t="n">
        <f aca="false">IF(OR($D520&lt;&gt;"销项开票",IFERROR(INDEX(单位档案!$G$6:$G$35,MATCH($E520,单位档案!$A$6:$A$35,0)),"")&lt;&gt;"是",N($Q520)=0),0,IF(IFERROR(INDEX(单位档案!$H$6:$H$35,MATCH($E520,单位档案!$A$6:$A$35,0)),"")="税差法",ROUND(N($H520)/(1+$Q520)*$Q520-IF(N($R520)=0,0,$P520/(1+$R520)*$R520),2),ROUND(N($H520)/(1+$Q520)*$Q520,2)))</f>
        <v>0</v>
      </c>
      <c r="T520" s="36" t="n">
        <f aca="false">ROUND($S520*N(IFERROR(INDEX(单位档案!$J$6:$J$35,MATCH($E520,单位档案!$A$6:$A$35,0)),"")),2)</f>
        <v>0</v>
      </c>
      <c r="U520" s="36" t="n">
        <f aca="false">IF($D520&lt;&gt;"销项开票",0,ROUND(N($H520)*N(IFERROR(INDEX(单位档案!$K$6:$K$35,MATCH($E520,单位档案!$A$6:$A$35,0)),"")),2))</f>
        <v>0</v>
      </c>
      <c r="V520" s="36" t="n">
        <f aca="false">IF(OR($D520&lt;&gt;"销项开票",N($Q520)=0),0,ROUND(N($H520)/(1+$Q520)*N(IFERROR(INDEX(单位档案!$L$6:$L$35,MATCH($E520,单位档案!$A$6:$A$35,0)),"")),2))</f>
        <v>0</v>
      </c>
      <c r="W520" s="36" t="n">
        <f aca="false">ROUND($S520+$T520+$U520+$V520,2)</f>
        <v>0</v>
      </c>
      <c r="X520" s="35" t="str">
        <f aca="false">IF(OR($D520="挂靠代收",$D520="我方收款"),COUNTIFS($D$5:$D520,"挂靠代收")+COUNTIFS($D$5:$D520,"我方收款"),"")</f>
        <v/>
      </c>
      <c r="Y520" s="35"/>
      <c r="Z520" s="21" t="s">
        <v>111</v>
      </c>
    </row>
    <row r="521" customFormat="false" ht="15.75" hidden="false" customHeight="true" outlineLevel="0" collapsed="false">
      <c r="A521" s="32" t="str">
        <f aca="false">IF($B521="","",ROW()-4)</f>
        <v/>
      </c>
      <c r="B521" s="26"/>
      <c r="C521" s="24"/>
      <c r="D521" s="21"/>
      <c r="E521" s="21"/>
      <c r="F521" s="21"/>
      <c r="G521" s="21"/>
      <c r="H521" s="27"/>
      <c r="I521" s="23" t="str">
        <f aca="false">IF($D521&lt;&gt;"销项开票","",IF($N521="一级",IF(IFERROR(INDEX(项目档案!$E$6:$E$255,MATCH($C521,项目档案!$A$6:$A$255,0)),"")="",N(IFERROR(INDEX(单位档案!$D$6:$D$35,MATCH($E521,单位档案!$A$6:$A$35,0)),"")),IFERROR(INDEX(项目档案!$E$6:$E$255,MATCH($C521,项目档案!$A$6:$A$255,0)),"")),IF($N521="二级",IF(IFERROR(INDEX(项目档案!$G$6:$G$255,MATCH($C521,项目档案!$A$6:$A$255,0)),"")="",N(IFERROR(INDEX(单位档案!$D$6:$D$35,MATCH($E521,单位档案!$A$6:$A$35,0)),"")),IFERROR(INDEX(项目档案!$G$6:$G$255,MATCH($C521,项目档案!$A$6:$A$255,0)),"")),N(IFERROR(INDEX(单位档案!$D$6:$D$35,MATCH($E521,单位档案!$A$6:$A$35,0)),"")))))</f>
        <v/>
      </c>
      <c r="J521" s="22"/>
      <c r="K521" s="22"/>
      <c r="L521" s="33" t="str">
        <f aca="false">IF($B521="","",IF(NOT(ISNUMBER($B521)),"日期格式不对",IF($C521="","未选项目编号",IF(LEFT($M521,1)="⚠","项目编号不存在",IF($D521="","未选业务类型",IF($E521="","未选开票/付款方",IF(ISNA(MATCH($E521,单位档案!$A$6:$A$35,0)),"开票方不在单位档案",IF($F521="","未选收票/收款方",IF(ISNA(MATCH($F521,单位档案!$A$6:$A$35,0)),"收款方不在单位档案",IF(NOT(ISNUMBER($H521)),"金额须为数字",IF(AND($D521="销项开票",$N521="—"),"链条待确认","√")))))))))))</f>
        <v/>
      </c>
      <c r="M521" s="34" t="str">
        <f aca="false">IF($C521="","",IFERROR(INDEX(项目档案!$B$6:$B$255,MATCH($C521,项目档案!$A$6:$A$255,0)),"⚠项目编号不存在"))</f>
        <v/>
      </c>
      <c r="N521" s="35" t="str">
        <f aca="false">IF($E521="","",IF($E521=IFERROR(INDEX(项目档案!$D$6:$D$255,MATCH($C521,项目档案!$A$6:$A$255,0)),""),"一级",IF($E521=IFERROR(INDEX(项目档案!$F$6:$F$255,MATCH($C521,项目档案!$A$6:$A$255,0)),""),"二级",IF($E521=IFERROR(INDEX(项目档案!$H$6:$H$255,MATCH($C521,项目档案!$A$6:$A$255,0)),""),"我方","—"))))</f>
        <v/>
      </c>
      <c r="O521" s="36" t="n">
        <f aca="false">IF($D521&lt;&gt;"销项开票",0,ROUND(N($H521)*N($I521),2))</f>
        <v>0</v>
      </c>
      <c r="P521" s="36" t="n">
        <f aca="false">IF($D521&lt;&gt;"销项开票",0,ROUND(N($H521)-$O521,2))</f>
        <v>0</v>
      </c>
      <c r="Q521" s="37" t="str">
        <f aca="false">IF($E521="","",N(IFERROR(INDEX(单位档案!$E$6:$E$35,MATCH($E521,单位档案!$A$6:$A$35,0)),"")))</f>
        <v/>
      </c>
      <c r="R521" s="37" t="str">
        <f aca="false">IF($E521="","",N(IFERROR(INDEX(单位档案!$F$6:$F$35,MATCH($E521,单位档案!$A$6:$A$35,0)),"")))</f>
        <v/>
      </c>
      <c r="S521" s="36" t="n">
        <f aca="false">IF(OR($D521&lt;&gt;"销项开票",IFERROR(INDEX(单位档案!$G$6:$G$35,MATCH($E521,单位档案!$A$6:$A$35,0)),"")&lt;&gt;"是",N($Q521)=0),0,IF(IFERROR(INDEX(单位档案!$H$6:$H$35,MATCH($E521,单位档案!$A$6:$A$35,0)),"")="税差法",ROUND(N($H521)/(1+$Q521)*$Q521-IF(N($R521)=0,0,$P521/(1+$R521)*$R521),2),ROUND(N($H521)/(1+$Q521)*$Q521,2)))</f>
        <v>0</v>
      </c>
      <c r="T521" s="36" t="n">
        <f aca="false">ROUND($S521*N(IFERROR(INDEX(单位档案!$J$6:$J$35,MATCH($E521,单位档案!$A$6:$A$35,0)),"")),2)</f>
        <v>0</v>
      </c>
      <c r="U521" s="36" t="n">
        <f aca="false">IF($D521&lt;&gt;"销项开票",0,ROUND(N($H521)*N(IFERROR(INDEX(单位档案!$K$6:$K$35,MATCH($E521,单位档案!$A$6:$A$35,0)),"")),2))</f>
        <v>0</v>
      </c>
      <c r="V521" s="36" t="n">
        <f aca="false">IF(OR($D521&lt;&gt;"销项开票",N($Q521)=0),0,ROUND(N($H521)/(1+$Q521)*N(IFERROR(INDEX(单位档案!$L$6:$L$35,MATCH($E521,单位档案!$A$6:$A$35,0)),"")),2))</f>
        <v>0</v>
      </c>
      <c r="W521" s="36" t="n">
        <f aca="false">ROUND($S521+$T521+$U521+$V521,2)</f>
        <v>0</v>
      </c>
      <c r="X521" s="35" t="str">
        <f aca="false">IF(OR($D521="挂靠代收",$D521="我方收款"),COUNTIFS($D$5:$D521,"挂靠代收")+COUNTIFS($D$5:$D521,"我方收款"),"")</f>
        <v/>
      </c>
      <c r="Y521" s="35"/>
      <c r="Z521" s="21" t="s">
        <v>111</v>
      </c>
    </row>
    <row r="522" customFormat="false" ht="15.75" hidden="false" customHeight="true" outlineLevel="0" collapsed="false">
      <c r="A522" s="32" t="str">
        <f aca="false">IF($B522="","",ROW()-4)</f>
        <v/>
      </c>
      <c r="B522" s="26"/>
      <c r="C522" s="24"/>
      <c r="D522" s="21"/>
      <c r="E522" s="21"/>
      <c r="F522" s="21"/>
      <c r="G522" s="21"/>
      <c r="H522" s="27"/>
      <c r="I522" s="23" t="str">
        <f aca="false">IF($D522&lt;&gt;"销项开票","",IF($N522="一级",IF(IFERROR(INDEX(项目档案!$E$6:$E$255,MATCH($C522,项目档案!$A$6:$A$255,0)),"")="",N(IFERROR(INDEX(单位档案!$D$6:$D$35,MATCH($E522,单位档案!$A$6:$A$35,0)),"")),IFERROR(INDEX(项目档案!$E$6:$E$255,MATCH($C522,项目档案!$A$6:$A$255,0)),"")),IF($N522="二级",IF(IFERROR(INDEX(项目档案!$G$6:$G$255,MATCH($C522,项目档案!$A$6:$A$255,0)),"")="",N(IFERROR(INDEX(单位档案!$D$6:$D$35,MATCH($E522,单位档案!$A$6:$A$35,0)),"")),IFERROR(INDEX(项目档案!$G$6:$G$255,MATCH($C522,项目档案!$A$6:$A$255,0)),"")),N(IFERROR(INDEX(单位档案!$D$6:$D$35,MATCH($E522,单位档案!$A$6:$A$35,0)),"")))))</f>
        <v/>
      </c>
      <c r="J522" s="22"/>
      <c r="K522" s="22"/>
      <c r="L522" s="33" t="str">
        <f aca="false">IF($B522="","",IF(NOT(ISNUMBER($B522)),"日期格式不对",IF($C522="","未选项目编号",IF(LEFT($M522,1)="⚠","项目编号不存在",IF($D522="","未选业务类型",IF($E522="","未选开票/付款方",IF(ISNA(MATCH($E522,单位档案!$A$6:$A$35,0)),"开票方不在单位档案",IF($F522="","未选收票/收款方",IF(ISNA(MATCH($F522,单位档案!$A$6:$A$35,0)),"收款方不在单位档案",IF(NOT(ISNUMBER($H522)),"金额须为数字",IF(AND($D522="销项开票",$N522="—"),"链条待确认","√")))))))))))</f>
        <v/>
      </c>
      <c r="M522" s="34" t="str">
        <f aca="false">IF($C522="","",IFERROR(INDEX(项目档案!$B$6:$B$255,MATCH($C522,项目档案!$A$6:$A$255,0)),"⚠项目编号不存在"))</f>
        <v/>
      </c>
      <c r="N522" s="35" t="str">
        <f aca="false">IF($E522="","",IF($E522=IFERROR(INDEX(项目档案!$D$6:$D$255,MATCH($C522,项目档案!$A$6:$A$255,0)),""),"一级",IF($E522=IFERROR(INDEX(项目档案!$F$6:$F$255,MATCH($C522,项目档案!$A$6:$A$255,0)),""),"二级",IF($E522=IFERROR(INDEX(项目档案!$H$6:$H$255,MATCH($C522,项目档案!$A$6:$A$255,0)),""),"我方","—"))))</f>
        <v/>
      </c>
      <c r="O522" s="36" t="n">
        <f aca="false">IF($D522&lt;&gt;"销项开票",0,ROUND(N($H522)*N($I522),2))</f>
        <v>0</v>
      </c>
      <c r="P522" s="36" t="n">
        <f aca="false">IF($D522&lt;&gt;"销项开票",0,ROUND(N($H522)-$O522,2))</f>
        <v>0</v>
      </c>
      <c r="Q522" s="37" t="str">
        <f aca="false">IF($E522="","",N(IFERROR(INDEX(单位档案!$E$6:$E$35,MATCH($E522,单位档案!$A$6:$A$35,0)),"")))</f>
        <v/>
      </c>
      <c r="R522" s="37" t="str">
        <f aca="false">IF($E522="","",N(IFERROR(INDEX(单位档案!$F$6:$F$35,MATCH($E522,单位档案!$A$6:$A$35,0)),"")))</f>
        <v/>
      </c>
      <c r="S522" s="36" t="n">
        <f aca="false">IF(OR($D522&lt;&gt;"销项开票",IFERROR(INDEX(单位档案!$G$6:$G$35,MATCH($E522,单位档案!$A$6:$A$35,0)),"")&lt;&gt;"是",N($Q522)=0),0,IF(IFERROR(INDEX(单位档案!$H$6:$H$35,MATCH($E522,单位档案!$A$6:$A$35,0)),"")="税差法",ROUND(N($H522)/(1+$Q522)*$Q522-IF(N($R522)=0,0,$P522/(1+$R522)*$R522),2),ROUND(N($H522)/(1+$Q522)*$Q522,2)))</f>
        <v>0</v>
      </c>
      <c r="T522" s="36" t="n">
        <f aca="false">ROUND($S522*N(IFERROR(INDEX(单位档案!$J$6:$J$35,MATCH($E522,单位档案!$A$6:$A$35,0)),"")),2)</f>
        <v>0</v>
      </c>
      <c r="U522" s="36" t="n">
        <f aca="false">IF($D522&lt;&gt;"销项开票",0,ROUND(N($H522)*N(IFERROR(INDEX(单位档案!$K$6:$K$35,MATCH($E522,单位档案!$A$6:$A$35,0)),"")),2))</f>
        <v>0</v>
      </c>
      <c r="V522" s="36" t="n">
        <f aca="false">IF(OR($D522&lt;&gt;"销项开票",N($Q522)=0),0,ROUND(N($H522)/(1+$Q522)*N(IFERROR(INDEX(单位档案!$L$6:$L$35,MATCH($E522,单位档案!$A$6:$A$35,0)),"")),2))</f>
        <v>0</v>
      </c>
      <c r="W522" s="36" t="n">
        <f aca="false">ROUND($S522+$T522+$U522+$V522,2)</f>
        <v>0</v>
      </c>
      <c r="X522" s="35" t="str">
        <f aca="false">IF(OR($D522="挂靠代收",$D522="我方收款"),COUNTIFS($D$5:$D522,"挂靠代收")+COUNTIFS($D$5:$D522,"我方收款"),"")</f>
        <v/>
      </c>
      <c r="Y522" s="35"/>
      <c r="Z522" s="21" t="s">
        <v>111</v>
      </c>
    </row>
    <row r="523" customFormat="false" ht="15.75" hidden="false" customHeight="true" outlineLevel="0" collapsed="false">
      <c r="A523" s="32" t="str">
        <f aca="false">IF($B523="","",ROW()-4)</f>
        <v/>
      </c>
      <c r="B523" s="26"/>
      <c r="C523" s="24"/>
      <c r="D523" s="21"/>
      <c r="E523" s="21"/>
      <c r="F523" s="21"/>
      <c r="G523" s="21"/>
      <c r="H523" s="27"/>
      <c r="I523" s="23" t="str">
        <f aca="false">IF($D523&lt;&gt;"销项开票","",IF($N523="一级",IF(IFERROR(INDEX(项目档案!$E$6:$E$255,MATCH($C523,项目档案!$A$6:$A$255,0)),"")="",N(IFERROR(INDEX(单位档案!$D$6:$D$35,MATCH($E523,单位档案!$A$6:$A$35,0)),"")),IFERROR(INDEX(项目档案!$E$6:$E$255,MATCH($C523,项目档案!$A$6:$A$255,0)),"")),IF($N523="二级",IF(IFERROR(INDEX(项目档案!$G$6:$G$255,MATCH($C523,项目档案!$A$6:$A$255,0)),"")="",N(IFERROR(INDEX(单位档案!$D$6:$D$35,MATCH($E523,单位档案!$A$6:$A$35,0)),"")),IFERROR(INDEX(项目档案!$G$6:$G$255,MATCH($C523,项目档案!$A$6:$A$255,0)),"")),N(IFERROR(INDEX(单位档案!$D$6:$D$35,MATCH($E523,单位档案!$A$6:$A$35,0)),"")))))</f>
        <v/>
      </c>
      <c r="J523" s="22"/>
      <c r="K523" s="22"/>
      <c r="L523" s="33" t="str">
        <f aca="false">IF($B523="","",IF(NOT(ISNUMBER($B523)),"日期格式不对",IF($C523="","未选项目编号",IF(LEFT($M523,1)="⚠","项目编号不存在",IF($D523="","未选业务类型",IF($E523="","未选开票/付款方",IF(ISNA(MATCH($E523,单位档案!$A$6:$A$35,0)),"开票方不在单位档案",IF($F523="","未选收票/收款方",IF(ISNA(MATCH($F523,单位档案!$A$6:$A$35,0)),"收款方不在单位档案",IF(NOT(ISNUMBER($H523)),"金额须为数字",IF(AND($D523="销项开票",$N523="—"),"链条待确认","√")))))))))))</f>
        <v/>
      </c>
      <c r="M523" s="34" t="str">
        <f aca="false">IF($C523="","",IFERROR(INDEX(项目档案!$B$6:$B$255,MATCH($C523,项目档案!$A$6:$A$255,0)),"⚠项目编号不存在"))</f>
        <v/>
      </c>
      <c r="N523" s="35" t="str">
        <f aca="false">IF($E523="","",IF($E523=IFERROR(INDEX(项目档案!$D$6:$D$255,MATCH($C523,项目档案!$A$6:$A$255,0)),""),"一级",IF($E523=IFERROR(INDEX(项目档案!$F$6:$F$255,MATCH($C523,项目档案!$A$6:$A$255,0)),""),"二级",IF($E523=IFERROR(INDEX(项目档案!$H$6:$H$255,MATCH($C523,项目档案!$A$6:$A$255,0)),""),"我方","—"))))</f>
        <v/>
      </c>
      <c r="O523" s="36" t="n">
        <f aca="false">IF($D523&lt;&gt;"销项开票",0,ROUND(N($H523)*N($I523),2))</f>
        <v>0</v>
      </c>
      <c r="P523" s="36" t="n">
        <f aca="false">IF($D523&lt;&gt;"销项开票",0,ROUND(N($H523)-$O523,2))</f>
        <v>0</v>
      </c>
      <c r="Q523" s="37" t="str">
        <f aca="false">IF($E523="","",N(IFERROR(INDEX(单位档案!$E$6:$E$35,MATCH($E523,单位档案!$A$6:$A$35,0)),"")))</f>
        <v/>
      </c>
      <c r="R523" s="37" t="str">
        <f aca="false">IF($E523="","",N(IFERROR(INDEX(单位档案!$F$6:$F$35,MATCH($E523,单位档案!$A$6:$A$35,0)),"")))</f>
        <v/>
      </c>
      <c r="S523" s="36" t="n">
        <f aca="false">IF(OR($D523&lt;&gt;"销项开票",IFERROR(INDEX(单位档案!$G$6:$G$35,MATCH($E523,单位档案!$A$6:$A$35,0)),"")&lt;&gt;"是",N($Q523)=0),0,IF(IFERROR(INDEX(单位档案!$H$6:$H$35,MATCH($E523,单位档案!$A$6:$A$35,0)),"")="税差法",ROUND(N($H523)/(1+$Q523)*$Q523-IF(N($R523)=0,0,$P523/(1+$R523)*$R523),2),ROUND(N($H523)/(1+$Q523)*$Q523,2)))</f>
        <v>0</v>
      </c>
      <c r="T523" s="36" t="n">
        <f aca="false">ROUND($S523*N(IFERROR(INDEX(单位档案!$J$6:$J$35,MATCH($E523,单位档案!$A$6:$A$35,0)),"")),2)</f>
        <v>0</v>
      </c>
      <c r="U523" s="36" t="n">
        <f aca="false">IF($D523&lt;&gt;"销项开票",0,ROUND(N($H523)*N(IFERROR(INDEX(单位档案!$K$6:$K$35,MATCH($E523,单位档案!$A$6:$A$35,0)),"")),2))</f>
        <v>0</v>
      </c>
      <c r="V523" s="36" t="n">
        <f aca="false">IF(OR($D523&lt;&gt;"销项开票",N($Q523)=0),0,ROUND(N($H523)/(1+$Q523)*N(IFERROR(INDEX(单位档案!$L$6:$L$35,MATCH($E523,单位档案!$A$6:$A$35,0)),"")),2))</f>
        <v>0</v>
      </c>
      <c r="W523" s="36" t="n">
        <f aca="false">ROUND($S523+$T523+$U523+$V523,2)</f>
        <v>0</v>
      </c>
      <c r="X523" s="35" t="str">
        <f aca="false">IF(OR($D523="挂靠代收",$D523="我方收款"),COUNTIFS($D$5:$D523,"挂靠代收")+COUNTIFS($D$5:$D523,"我方收款"),"")</f>
        <v/>
      </c>
      <c r="Y523" s="35"/>
      <c r="Z523" s="21" t="s">
        <v>111</v>
      </c>
    </row>
    <row r="524" customFormat="false" ht="15.75" hidden="false" customHeight="true" outlineLevel="0" collapsed="false">
      <c r="A524" s="32" t="str">
        <f aca="false">IF($B524="","",ROW()-4)</f>
        <v/>
      </c>
      <c r="B524" s="26"/>
      <c r="C524" s="24"/>
      <c r="D524" s="21"/>
      <c r="E524" s="21"/>
      <c r="F524" s="21"/>
      <c r="G524" s="21"/>
      <c r="H524" s="27"/>
      <c r="I524" s="23" t="str">
        <f aca="false">IF($D524&lt;&gt;"销项开票","",IF($N524="一级",IF(IFERROR(INDEX(项目档案!$E$6:$E$255,MATCH($C524,项目档案!$A$6:$A$255,0)),"")="",N(IFERROR(INDEX(单位档案!$D$6:$D$35,MATCH($E524,单位档案!$A$6:$A$35,0)),"")),IFERROR(INDEX(项目档案!$E$6:$E$255,MATCH($C524,项目档案!$A$6:$A$255,0)),"")),IF($N524="二级",IF(IFERROR(INDEX(项目档案!$G$6:$G$255,MATCH($C524,项目档案!$A$6:$A$255,0)),"")="",N(IFERROR(INDEX(单位档案!$D$6:$D$35,MATCH($E524,单位档案!$A$6:$A$35,0)),"")),IFERROR(INDEX(项目档案!$G$6:$G$255,MATCH($C524,项目档案!$A$6:$A$255,0)),"")),N(IFERROR(INDEX(单位档案!$D$6:$D$35,MATCH($E524,单位档案!$A$6:$A$35,0)),"")))))</f>
        <v/>
      </c>
      <c r="J524" s="22"/>
      <c r="K524" s="22"/>
      <c r="L524" s="33" t="str">
        <f aca="false">IF($B524="","",IF(NOT(ISNUMBER($B524)),"日期格式不对",IF($C524="","未选项目编号",IF(LEFT($M524,1)="⚠","项目编号不存在",IF($D524="","未选业务类型",IF($E524="","未选开票/付款方",IF(ISNA(MATCH($E524,单位档案!$A$6:$A$35,0)),"开票方不在单位档案",IF($F524="","未选收票/收款方",IF(ISNA(MATCH($F524,单位档案!$A$6:$A$35,0)),"收款方不在单位档案",IF(NOT(ISNUMBER($H524)),"金额须为数字",IF(AND($D524="销项开票",$N524="—"),"链条待确认","√")))))))))))</f>
        <v/>
      </c>
      <c r="M524" s="34" t="str">
        <f aca="false">IF($C524="","",IFERROR(INDEX(项目档案!$B$6:$B$255,MATCH($C524,项目档案!$A$6:$A$255,0)),"⚠项目编号不存在"))</f>
        <v/>
      </c>
      <c r="N524" s="35" t="str">
        <f aca="false">IF($E524="","",IF($E524=IFERROR(INDEX(项目档案!$D$6:$D$255,MATCH($C524,项目档案!$A$6:$A$255,0)),""),"一级",IF($E524=IFERROR(INDEX(项目档案!$F$6:$F$255,MATCH($C524,项目档案!$A$6:$A$255,0)),""),"二级",IF($E524=IFERROR(INDEX(项目档案!$H$6:$H$255,MATCH($C524,项目档案!$A$6:$A$255,0)),""),"我方","—"))))</f>
        <v/>
      </c>
      <c r="O524" s="36" t="n">
        <f aca="false">IF($D524&lt;&gt;"销项开票",0,ROUND(N($H524)*N($I524),2))</f>
        <v>0</v>
      </c>
      <c r="P524" s="36" t="n">
        <f aca="false">IF($D524&lt;&gt;"销项开票",0,ROUND(N($H524)-$O524,2))</f>
        <v>0</v>
      </c>
      <c r="Q524" s="37" t="str">
        <f aca="false">IF($E524="","",N(IFERROR(INDEX(单位档案!$E$6:$E$35,MATCH($E524,单位档案!$A$6:$A$35,0)),"")))</f>
        <v/>
      </c>
      <c r="R524" s="37" t="str">
        <f aca="false">IF($E524="","",N(IFERROR(INDEX(单位档案!$F$6:$F$35,MATCH($E524,单位档案!$A$6:$A$35,0)),"")))</f>
        <v/>
      </c>
      <c r="S524" s="36" t="n">
        <f aca="false">IF(OR($D524&lt;&gt;"销项开票",IFERROR(INDEX(单位档案!$G$6:$G$35,MATCH($E524,单位档案!$A$6:$A$35,0)),"")&lt;&gt;"是",N($Q524)=0),0,IF(IFERROR(INDEX(单位档案!$H$6:$H$35,MATCH($E524,单位档案!$A$6:$A$35,0)),"")="税差法",ROUND(N($H524)/(1+$Q524)*$Q524-IF(N($R524)=0,0,$P524/(1+$R524)*$R524),2),ROUND(N($H524)/(1+$Q524)*$Q524,2)))</f>
        <v>0</v>
      </c>
      <c r="T524" s="36" t="n">
        <f aca="false">ROUND($S524*N(IFERROR(INDEX(单位档案!$J$6:$J$35,MATCH($E524,单位档案!$A$6:$A$35,0)),"")),2)</f>
        <v>0</v>
      </c>
      <c r="U524" s="36" t="n">
        <f aca="false">IF($D524&lt;&gt;"销项开票",0,ROUND(N($H524)*N(IFERROR(INDEX(单位档案!$K$6:$K$35,MATCH($E524,单位档案!$A$6:$A$35,0)),"")),2))</f>
        <v>0</v>
      </c>
      <c r="V524" s="36" t="n">
        <f aca="false">IF(OR($D524&lt;&gt;"销项开票",N($Q524)=0),0,ROUND(N($H524)/(1+$Q524)*N(IFERROR(INDEX(单位档案!$L$6:$L$35,MATCH($E524,单位档案!$A$6:$A$35,0)),"")),2))</f>
        <v>0</v>
      </c>
      <c r="W524" s="36" t="n">
        <f aca="false">ROUND($S524+$T524+$U524+$V524,2)</f>
        <v>0</v>
      </c>
      <c r="X524" s="35" t="str">
        <f aca="false">IF(OR($D524="挂靠代收",$D524="我方收款"),COUNTIFS($D$5:$D524,"挂靠代收")+COUNTIFS($D$5:$D524,"我方收款"),"")</f>
        <v/>
      </c>
      <c r="Y524" s="35"/>
      <c r="Z524" s="21" t="s">
        <v>111</v>
      </c>
    </row>
    <row r="525" customFormat="false" ht="15.75" hidden="false" customHeight="true" outlineLevel="0" collapsed="false">
      <c r="A525" s="32" t="str">
        <f aca="false">IF($B525="","",ROW()-4)</f>
        <v/>
      </c>
      <c r="B525" s="26"/>
      <c r="C525" s="24"/>
      <c r="D525" s="21"/>
      <c r="E525" s="21"/>
      <c r="F525" s="21"/>
      <c r="G525" s="21"/>
      <c r="H525" s="27"/>
      <c r="I525" s="23" t="str">
        <f aca="false">IF($D525&lt;&gt;"销项开票","",IF($N525="一级",IF(IFERROR(INDEX(项目档案!$E$6:$E$255,MATCH($C525,项目档案!$A$6:$A$255,0)),"")="",N(IFERROR(INDEX(单位档案!$D$6:$D$35,MATCH($E525,单位档案!$A$6:$A$35,0)),"")),IFERROR(INDEX(项目档案!$E$6:$E$255,MATCH($C525,项目档案!$A$6:$A$255,0)),"")),IF($N525="二级",IF(IFERROR(INDEX(项目档案!$G$6:$G$255,MATCH($C525,项目档案!$A$6:$A$255,0)),"")="",N(IFERROR(INDEX(单位档案!$D$6:$D$35,MATCH($E525,单位档案!$A$6:$A$35,0)),"")),IFERROR(INDEX(项目档案!$G$6:$G$255,MATCH($C525,项目档案!$A$6:$A$255,0)),"")),N(IFERROR(INDEX(单位档案!$D$6:$D$35,MATCH($E525,单位档案!$A$6:$A$35,0)),"")))))</f>
        <v/>
      </c>
      <c r="J525" s="22"/>
      <c r="K525" s="22"/>
      <c r="L525" s="33" t="str">
        <f aca="false">IF($B525="","",IF(NOT(ISNUMBER($B525)),"日期格式不对",IF($C525="","未选项目编号",IF(LEFT($M525,1)="⚠","项目编号不存在",IF($D525="","未选业务类型",IF($E525="","未选开票/付款方",IF(ISNA(MATCH($E525,单位档案!$A$6:$A$35,0)),"开票方不在单位档案",IF($F525="","未选收票/收款方",IF(ISNA(MATCH($F525,单位档案!$A$6:$A$35,0)),"收款方不在单位档案",IF(NOT(ISNUMBER($H525)),"金额须为数字",IF(AND($D525="销项开票",$N525="—"),"链条待确认","√")))))))))))</f>
        <v/>
      </c>
      <c r="M525" s="34" t="str">
        <f aca="false">IF($C525="","",IFERROR(INDEX(项目档案!$B$6:$B$255,MATCH($C525,项目档案!$A$6:$A$255,0)),"⚠项目编号不存在"))</f>
        <v/>
      </c>
      <c r="N525" s="35" t="str">
        <f aca="false">IF($E525="","",IF($E525=IFERROR(INDEX(项目档案!$D$6:$D$255,MATCH($C525,项目档案!$A$6:$A$255,0)),""),"一级",IF($E525=IFERROR(INDEX(项目档案!$F$6:$F$255,MATCH($C525,项目档案!$A$6:$A$255,0)),""),"二级",IF($E525=IFERROR(INDEX(项目档案!$H$6:$H$255,MATCH($C525,项目档案!$A$6:$A$255,0)),""),"我方","—"))))</f>
        <v/>
      </c>
      <c r="O525" s="36" t="n">
        <f aca="false">IF($D525&lt;&gt;"销项开票",0,ROUND(N($H525)*N($I525),2))</f>
        <v>0</v>
      </c>
      <c r="P525" s="36" t="n">
        <f aca="false">IF($D525&lt;&gt;"销项开票",0,ROUND(N($H525)-$O525,2))</f>
        <v>0</v>
      </c>
      <c r="Q525" s="37" t="str">
        <f aca="false">IF($E525="","",N(IFERROR(INDEX(单位档案!$E$6:$E$35,MATCH($E525,单位档案!$A$6:$A$35,0)),"")))</f>
        <v/>
      </c>
      <c r="R525" s="37" t="str">
        <f aca="false">IF($E525="","",N(IFERROR(INDEX(单位档案!$F$6:$F$35,MATCH($E525,单位档案!$A$6:$A$35,0)),"")))</f>
        <v/>
      </c>
      <c r="S525" s="36" t="n">
        <f aca="false">IF(OR($D525&lt;&gt;"销项开票",IFERROR(INDEX(单位档案!$G$6:$G$35,MATCH($E525,单位档案!$A$6:$A$35,0)),"")&lt;&gt;"是",N($Q525)=0),0,IF(IFERROR(INDEX(单位档案!$H$6:$H$35,MATCH($E525,单位档案!$A$6:$A$35,0)),"")="税差法",ROUND(N($H525)/(1+$Q525)*$Q525-IF(N($R525)=0,0,$P525/(1+$R525)*$R525),2),ROUND(N($H525)/(1+$Q525)*$Q525,2)))</f>
        <v>0</v>
      </c>
      <c r="T525" s="36" t="n">
        <f aca="false">ROUND($S525*N(IFERROR(INDEX(单位档案!$J$6:$J$35,MATCH($E525,单位档案!$A$6:$A$35,0)),"")),2)</f>
        <v>0</v>
      </c>
      <c r="U525" s="36" t="n">
        <f aca="false">IF($D525&lt;&gt;"销项开票",0,ROUND(N($H525)*N(IFERROR(INDEX(单位档案!$K$6:$K$35,MATCH($E525,单位档案!$A$6:$A$35,0)),"")),2))</f>
        <v>0</v>
      </c>
      <c r="V525" s="36" t="n">
        <f aca="false">IF(OR($D525&lt;&gt;"销项开票",N($Q525)=0),0,ROUND(N($H525)/(1+$Q525)*N(IFERROR(INDEX(单位档案!$L$6:$L$35,MATCH($E525,单位档案!$A$6:$A$35,0)),"")),2))</f>
        <v>0</v>
      </c>
      <c r="W525" s="36" t="n">
        <f aca="false">ROUND($S525+$T525+$U525+$V525,2)</f>
        <v>0</v>
      </c>
      <c r="X525" s="35" t="str">
        <f aca="false">IF(OR($D525="挂靠代收",$D525="我方收款"),COUNTIFS($D$5:$D525,"挂靠代收")+COUNTIFS($D$5:$D525,"我方收款"),"")</f>
        <v/>
      </c>
      <c r="Y525" s="35"/>
      <c r="Z525" s="21" t="s">
        <v>111</v>
      </c>
    </row>
    <row r="526" customFormat="false" ht="15.75" hidden="false" customHeight="true" outlineLevel="0" collapsed="false">
      <c r="A526" s="32" t="str">
        <f aca="false">IF($B526="","",ROW()-4)</f>
        <v/>
      </c>
      <c r="B526" s="26"/>
      <c r="C526" s="24"/>
      <c r="D526" s="21"/>
      <c r="E526" s="21"/>
      <c r="F526" s="21"/>
      <c r="G526" s="21"/>
      <c r="H526" s="27"/>
      <c r="I526" s="23" t="str">
        <f aca="false">IF($D526&lt;&gt;"销项开票","",IF($N526="一级",IF(IFERROR(INDEX(项目档案!$E$6:$E$255,MATCH($C526,项目档案!$A$6:$A$255,0)),"")="",N(IFERROR(INDEX(单位档案!$D$6:$D$35,MATCH($E526,单位档案!$A$6:$A$35,0)),"")),IFERROR(INDEX(项目档案!$E$6:$E$255,MATCH($C526,项目档案!$A$6:$A$255,0)),"")),IF($N526="二级",IF(IFERROR(INDEX(项目档案!$G$6:$G$255,MATCH($C526,项目档案!$A$6:$A$255,0)),"")="",N(IFERROR(INDEX(单位档案!$D$6:$D$35,MATCH($E526,单位档案!$A$6:$A$35,0)),"")),IFERROR(INDEX(项目档案!$G$6:$G$255,MATCH($C526,项目档案!$A$6:$A$255,0)),"")),N(IFERROR(INDEX(单位档案!$D$6:$D$35,MATCH($E526,单位档案!$A$6:$A$35,0)),"")))))</f>
        <v/>
      </c>
      <c r="J526" s="22"/>
      <c r="K526" s="22"/>
      <c r="L526" s="33" t="str">
        <f aca="false">IF($B526="","",IF(NOT(ISNUMBER($B526)),"日期格式不对",IF($C526="","未选项目编号",IF(LEFT($M526,1)="⚠","项目编号不存在",IF($D526="","未选业务类型",IF($E526="","未选开票/付款方",IF(ISNA(MATCH($E526,单位档案!$A$6:$A$35,0)),"开票方不在单位档案",IF($F526="","未选收票/收款方",IF(ISNA(MATCH($F526,单位档案!$A$6:$A$35,0)),"收款方不在单位档案",IF(NOT(ISNUMBER($H526)),"金额须为数字",IF(AND($D526="销项开票",$N526="—"),"链条待确认","√")))))))))))</f>
        <v/>
      </c>
      <c r="M526" s="34" t="str">
        <f aca="false">IF($C526="","",IFERROR(INDEX(项目档案!$B$6:$B$255,MATCH($C526,项目档案!$A$6:$A$255,0)),"⚠项目编号不存在"))</f>
        <v/>
      </c>
      <c r="N526" s="35" t="str">
        <f aca="false">IF($E526="","",IF($E526=IFERROR(INDEX(项目档案!$D$6:$D$255,MATCH($C526,项目档案!$A$6:$A$255,0)),""),"一级",IF($E526=IFERROR(INDEX(项目档案!$F$6:$F$255,MATCH($C526,项目档案!$A$6:$A$255,0)),""),"二级",IF($E526=IFERROR(INDEX(项目档案!$H$6:$H$255,MATCH($C526,项目档案!$A$6:$A$255,0)),""),"我方","—"))))</f>
        <v/>
      </c>
      <c r="O526" s="36" t="n">
        <f aca="false">IF($D526&lt;&gt;"销项开票",0,ROUND(N($H526)*N($I526),2))</f>
        <v>0</v>
      </c>
      <c r="P526" s="36" t="n">
        <f aca="false">IF($D526&lt;&gt;"销项开票",0,ROUND(N($H526)-$O526,2))</f>
        <v>0</v>
      </c>
      <c r="Q526" s="37" t="str">
        <f aca="false">IF($E526="","",N(IFERROR(INDEX(单位档案!$E$6:$E$35,MATCH($E526,单位档案!$A$6:$A$35,0)),"")))</f>
        <v/>
      </c>
      <c r="R526" s="37" t="str">
        <f aca="false">IF($E526="","",N(IFERROR(INDEX(单位档案!$F$6:$F$35,MATCH($E526,单位档案!$A$6:$A$35,0)),"")))</f>
        <v/>
      </c>
      <c r="S526" s="36" t="n">
        <f aca="false">IF(OR($D526&lt;&gt;"销项开票",IFERROR(INDEX(单位档案!$G$6:$G$35,MATCH($E526,单位档案!$A$6:$A$35,0)),"")&lt;&gt;"是",N($Q526)=0),0,IF(IFERROR(INDEX(单位档案!$H$6:$H$35,MATCH($E526,单位档案!$A$6:$A$35,0)),"")="税差法",ROUND(N($H526)/(1+$Q526)*$Q526-IF(N($R526)=0,0,$P526/(1+$R526)*$R526),2),ROUND(N($H526)/(1+$Q526)*$Q526,2)))</f>
        <v>0</v>
      </c>
      <c r="T526" s="36" t="n">
        <f aca="false">ROUND($S526*N(IFERROR(INDEX(单位档案!$J$6:$J$35,MATCH($E526,单位档案!$A$6:$A$35,0)),"")),2)</f>
        <v>0</v>
      </c>
      <c r="U526" s="36" t="n">
        <f aca="false">IF($D526&lt;&gt;"销项开票",0,ROUND(N($H526)*N(IFERROR(INDEX(单位档案!$K$6:$K$35,MATCH($E526,单位档案!$A$6:$A$35,0)),"")),2))</f>
        <v>0</v>
      </c>
      <c r="V526" s="36" t="n">
        <f aca="false">IF(OR($D526&lt;&gt;"销项开票",N($Q526)=0),0,ROUND(N($H526)/(1+$Q526)*N(IFERROR(INDEX(单位档案!$L$6:$L$35,MATCH($E526,单位档案!$A$6:$A$35,0)),"")),2))</f>
        <v>0</v>
      </c>
      <c r="W526" s="36" t="n">
        <f aca="false">ROUND($S526+$T526+$U526+$V526,2)</f>
        <v>0</v>
      </c>
      <c r="X526" s="35" t="str">
        <f aca="false">IF(OR($D526="挂靠代收",$D526="我方收款"),COUNTIFS($D$5:$D526,"挂靠代收")+COUNTIFS($D$5:$D526,"我方收款"),"")</f>
        <v/>
      </c>
      <c r="Y526" s="35"/>
      <c r="Z526" s="21" t="s">
        <v>111</v>
      </c>
    </row>
    <row r="527" customFormat="false" ht="15.75" hidden="false" customHeight="true" outlineLevel="0" collapsed="false">
      <c r="A527" s="32" t="str">
        <f aca="false">IF($B527="","",ROW()-4)</f>
        <v/>
      </c>
      <c r="B527" s="26"/>
      <c r="C527" s="24"/>
      <c r="D527" s="21"/>
      <c r="E527" s="21"/>
      <c r="F527" s="21"/>
      <c r="G527" s="21"/>
      <c r="H527" s="27"/>
      <c r="I527" s="23" t="str">
        <f aca="false">IF($D527&lt;&gt;"销项开票","",IF($N527="一级",IF(IFERROR(INDEX(项目档案!$E$6:$E$255,MATCH($C527,项目档案!$A$6:$A$255,0)),"")="",N(IFERROR(INDEX(单位档案!$D$6:$D$35,MATCH($E527,单位档案!$A$6:$A$35,0)),"")),IFERROR(INDEX(项目档案!$E$6:$E$255,MATCH($C527,项目档案!$A$6:$A$255,0)),"")),IF($N527="二级",IF(IFERROR(INDEX(项目档案!$G$6:$G$255,MATCH($C527,项目档案!$A$6:$A$255,0)),"")="",N(IFERROR(INDEX(单位档案!$D$6:$D$35,MATCH($E527,单位档案!$A$6:$A$35,0)),"")),IFERROR(INDEX(项目档案!$G$6:$G$255,MATCH($C527,项目档案!$A$6:$A$255,0)),"")),N(IFERROR(INDEX(单位档案!$D$6:$D$35,MATCH($E527,单位档案!$A$6:$A$35,0)),"")))))</f>
        <v/>
      </c>
      <c r="J527" s="22"/>
      <c r="K527" s="22"/>
      <c r="L527" s="33" t="str">
        <f aca="false">IF($B527="","",IF(NOT(ISNUMBER($B527)),"日期格式不对",IF($C527="","未选项目编号",IF(LEFT($M527,1)="⚠","项目编号不存在",IF($D527="","未选业务类型",IF($E527="","未选开票/付款方",IF(ISNA(MATCH($E527,单位档案!$A$6:$A$35,0)),"开票方不在单位档案",IF($F527="","未选收票/收款方",IF(ISNA(MATCH($F527,单位档案!$A$6:$A$35,0)),"收款方不在单位档案",IF(NOT(ISNUMBER($H527)),"金额须为数字",IF(AND($D527="销项开票",$N527="—"),"链条待确认","√")))))))))))</f>
        <v/>
      </c>
      <c r="M527" s="34" t="str">
        <f aca="false">IF($C527="","",IFERROR(INDEX(项目档案!$B$6:$B$255,MATCH($C527,项目档案!$A$6:$A$255,0)),"⚠项目编号不存在"))</f>
        <v/>
      </c>
      <c r="N527" s="35" t="str">
        <f aca="false">IF($E527="","",IF($E527=IFERROR(INDEX(项目档案!$D$6:$D$255,MATCH($C527,项目档案!$A$6:$A$255,0)),""),"一级",IF($E527=IFERROR(INDEX(项目档案!$F$6:$F$255,MATCH($C527,项目档案!$A$6:$A$255,0)),""),"二级",IF($E527=IFERROR(INDEX(项目档案!$H$6:$H$255,MATCH($C527,项目档案!$A$6:$A$255,0)),""),"我方","—"))))</f>
        <v/>
      </c>
      <c r="O527" s="36" t="n">
        <f aca="false">IF($D527&lt;&gt;"销项开票",0,ROUND(N($H527)*N($I527),2))</f>
        <v>0</v>
      </c>
      <c r="P527" s="36" t="n">
        <f aca="false">IF($D527&lt;&gt;"销项开票",0,ROUND(N($H527)-$O527,2))</f>
        <v>0</v>
      </c>
      <c r="Q527" s="37" t="str">
        <f aca="false">IF($E527="","",N(IFERROR(INDEX(单位档案!$E$6:$E$35,MATCH($E527,单位档案!$A$6:$A$35,0)),"")))</f>
        <v/>
      </c>
      <c r="R527" s="37" t="str">
        <f aca="false">IF($E527="","",N(IFERROR(INDEX(单位档案!$F$6:$F$35,MATCH($E527,单位档案!$A$6:$A$35,0)),"")))</f>
        <v/>
      </c>
      <c r="S527" s="36" t="n">
        <f aca="false">IF(OR($D527&lt;&gt;"销项开票",IFERROR(INDEX(单位档案!$G$6:$G$35,MATCH($E527,单位档案!$A$6:$A$35,0)),"")&lt;&gt;"是",N($Q527)=0),0,IF(IFERROR(INDEX(单位档案!$H$6:$H$35,MATCH($E527,单位档案!$A$6:$A$35,0)),"")="税差法",ROUND(N($H527)/(1+$Q527)*$Q527-IF(N($R527)=0,0,$P527/(1+$R527)*$R527),2),ROUND(N($H527)/(1+$Q527)*$Q527,2)))</f>
        <v>0</v>
      </c>
      <c r="T527" s="36" t="n">
        <f aca="false">ROUND($S527*N(IFERROR(INDEX(单位档案!$J$6:$J$35,MATCH($E527,单位档案!$A$6:$A$35,0)),"")),2)</f>
        <v>0</v>
      </c>
      <c r="U527" s="36" t="n">
        <f aca="false">IF($D527&lt;&gt;"销项开票",0,ROUND(N($H527)*N(IFERROR(INDEX(单位档案!$K$6:$K$35,MATCH($E527,单位档案!$A$6:$A$35,0)),"")),2))</f>
        <v>0</v>
      </c>
      <c r="V527" s="36" t="n">
        <f aca="false">IF(OR($D527&lt;&gt;"销项开票",N($Q527)=0),0,ROUND(N($H527)/(1+$Q527)*N(IFERROR(INDEX(单位档案!$L$6:$L$35,MATCH($E527,单位档案!$A$6:$A$35,0)),"")),2))</f>
        <v>0</v>
      </c>
      <c r="W527" s="36" t="n">
        <f aca="false">ROUND($S527+$T527+$U527+$V527,2)</f>
        <v>0</v>
      </c>
      <c r="X527" s="35" t="str">
        <f aca="false">IF(OR($D527="挂靠代收",$D527="我方收款"),COUNTIFS($D$5:$D527,"挂靠代收")+COUNTIFS($D$5:$D527,"我方收款"),"")</f>
        <v/>
      </c>
      <c r="Y527" s="35"/>
      <c r="Z527" s="21" t="s">
        <v>111</v>
      </c>
    </row>
    <row r="528" customFormat="false" ht="15.75" hidden="false" customHeight="true" outlineLevel="0" collapsed="false">
      <c r="A528" s="32" t="str">
        <f aca="false">IF($B528="","",ROW()-4)</f>
        <v/>
      </c>
      <c r="B528" s="26"/>
      <c r="C528" s="24"/>
      <c r="D528" s="21"/>
      <c r="E528" s="21"/>
      <c r="F528" s="21"/>
      <c r="G528" s="21"/>
      <c r="H528" s="27"/>
      <c r="I528" s="23" t="str">
        <f aca="false">IF($D528&lt;&gt;"销项开票","",IF($N528="一级",IF(IFERROR(INDEX(项目档案!$E$6:$E$255,MATCH($C528,项目档案!$A$6:$A$255,0)),"")="",N(IFERROR(INDEX(单位档案!$D$6:$D$35,MATCH($E528,单位档案!$A$6:$A$35,0)),"")),IFERROR(INDEX(项目档案!$E$6:$E$255,MATCH($C528,项目档案!$A$6:$A$255,0)),"")),IF($N528="二级",IF(IFERROR(INDEX(项目档案!$G$6:$G$255,MATCH($C528,项目档案!$A$6:$A$255,0)),"")="",N(IFERROR(INDEX(单位档案!$D$6:$D$35,MATCH($E528,单位档案!$A$6:$A$35,0)),"")),IFERROR(INDEX(项目档案!$G$6:$G$255,MATCH($C528,项目档案!$A$6:$A$255,0)),"")),N(IFERROR(INDEX(单位档案!$D$6:$D$35,MATCH($E528,单位档案!$A$6:$A$35,0)),"")))))</f>
        <v/>
      </c>
      <c r="J528" s="22"/>
      <c r="K528" s="22"/>
      <c r="L528" s="33" t="str">
        <f aca="false">IF($B528="","",IF(NOT(ISNUMBER($B528)),"日期格式不对",IF($C528="","未选项目编号",IF(LEFT($M528,1)="⚠","项目编号不存在",IF($D528="","未选业务类型",IF($E528="","未选开票/付款方",IF(ISNA(MATCH($E528,单位档案!$A$6:$A$35,0)),"开票方不在单位档案",IF($F528="","未选收票/收款方",IF(ISNA(MATCH($F528,单位档案!$A$6:$A$35,0)),"收款方不在单位档案",IF(NOT(ISNUMBER($H528)),"金额须为数字",IF(AND($D528="销项开票",$N528="—"),"链条待确认","√")))))))))))</f>
        <v/>
      </c>
      <c r="M528" s="34" t="str">
        <f aca="false">IF($C528="","",IFERROR(INDEX(项目档案!$B$6:$B$255,MATCH($C528,项目档案!$A$6:$A$255,0)),"⚠项目编号不存在"))</f>
        <v/>
      </c>
      <c r="N528" s="35" t="str">
        <f aca="false">IF($E528="","",IF($E528=IFERROR(INDEX(项目档案!$D$6:$D$255,MATCH($C528,项目档案!$A$6:$A$255,0)),""),"一级",IF($E528=IFERROR(INDEX(项目档案!$F$6:$F$255,MATCH($C528,项目档案!$A$6:$A$255,0)),""),"二级",IF($E528=IFERROR(INDEX(项目档案!$H$6:$H$255,MATCH($C528,项目档案!$A$6:$A$255,0)),""),"我方","—"))))</f>
        <v/>
      </c>
      <c r="O528" s="36" t="n">
        <f aca="false">IF($D528&lt;&gt;"销项开票",0,ROUND(N($H528)*N($I528),2))</f>
        <v>0</v>
      </c>
      <c r="P528" s="36" t="n">
        <f aca="false">IF($D528&lt;&gt;"销项开票",0,ROUND(N($H528)-$O528,2))</f>
        <v>0</v>
      </c>
      <c r="Q528" s="37" t="str">
        <f aca="false">IF($E528="","",N(IFERROR(INDEX(单位档案!$E$6:$E$35,MATCH($E528,单位档案!$A$6:$A$35,0)),"")))</f>
        <v/>
      </c>
      <c r="R528" s="37" t="str">
        <f aca="false">IF($E528="","",N(IFERROR(INDEX(单位档案!$F$6:$F$35,MATCH($E528,单位档案!$A$6:$A$35,0)),"")))</f>
        <v/>
      </c>
      <c r="S528" s="36" t="n">
        <f aca="false">IF(OR($D528&lt;&gt;"销项开票",IFERROR(INDEX(单位档案!$G$6:$G$35,MATCH($E528,单位档案!$A$6:$A$35,0)),"")&lt;&gt;"是",N($Q528)=0),0,IF(IFERROR(INDEX(单位档案!$H$6:$H$35,MATCH($E528,单位档案!$A$6:$A$35,0)),"")="税差法",ROUND(N($H528)/(1+$Q528)*$Q528-IF(N($R528)=0,0,$P528/(1+$R528)*$R528),2),ROUND(N($H528)/(1+$Q528)*$Q528,2)))</f>
        <v>0</v>
      </c>
      <c r="T528" s="36" t="n">
        <f aca="false">ROUND($S528*N(IFERROR(INDEX(单位档案!$J$6:$J$35,MATCH($E528,单位档案!$A$6:$A$35,0)),"")),2)</f>
        <v>0</v>
      </c>
      <c r="U528" s="36" t="n">
        <f aca="false">IF($D528&lt;&gt;"销项开票",0,ROUND(N($H528)*N(IFERROR(INDEX(单位档案!$K$6:$K$35,MATCH($E528,单位档案!$A$6:$A$35,0)),"")),2))</f>
        <v>0</v>
      </c>
      <c r="V528" s="36" t="n">
        <f aca="false">IF(OR($D528&lt;&gt;"销项开票",N($Q528)=0),0,ROUND(N($H528)/(1+$Q528)*N(IFERROR(INDEX(单位档案!$L$6:$L$35,MATCH($E528,单位档案!$A$6:$A$35,0)),"")),2))</f>
        <v>0</v>
      </c>
      <c r="W528" s="36" t="n">
        <f aca="false">ROUND($S528+$T528+$U528+$V528,2)</f>
        <v>0</v>
      </c>
      <c r="X528" s="35" t="str">
        <f aca="false">IF(OR($D528="挂靠代收",$D528="我方收款"),COUNTIFS($D$5:$D528,"挂靠代收")+COUNTIFS($D$5:$D528,"我方收款"),"")</f>
        <v/>
      </c>
      <c r="Y528" s="35"/>
      <c r="Z528" s="21" t="s">
        <v>111</v>
      </c>
    </row>
    <row r="529" customFormat="false" ht="15.75" hidden="false" customHeight="true" outlineLevel="0" collapsed="false">
      <c r="A529" s="32" t="str">
        <f aca="false">IF($B529="","",ROW()-4)</f>
        <v/>
      </c>
      <c r="B529" s="26"/>
      <c r="C529" s="24"/>
      <c r="D529" s="21"/>
      <c r="E529" s="21"/>
      <c r="F529" s="21"/>
      <c r="G529" s="21"/>
      <c r="H529" s="27"/>
      <c r="I529" s="23" t="str">
        <f aca="false">IF($D529&lt;&gt;"销项开票","",IF($N529="一级",IF(IFERROR(INDEX(项目档案!$E$6:$E$255,MATCH($C529,项目档案!$A$6:$A$255,0)),"")="",N(IFERROR(INDEX(单位档案!$D$6:$D$35,MATCH($E529,单位档案!$A$6:$A$35,0)),"")),IFERROR(INDEX(项目档案!$E$6:$E$255,MATCH($C529,项目档案!$A$6:$A$255,0)),"")),IF($N529="二级",IF(IFERROR(INDEX(项目档案!$G$6:$G$255,MATCH($C529,项目档案!$A$6:$A$255,0)),"")="",N(IFERROR(INDEX(单位档案!$D$6:$D$35,MATCH($E529,单位档案!$A$6:$A$35,0)),"")),IFERROR(INDEX(项目档案!$G$6:$G$255,MATCH($C529,项目档案!$A$6:$A$255,0)),"")),N(IFERROR(INDEX(单位档案!$D$6:$D$35,MATCH($E529,单位档案!$A$6:$A$35,0)),"")))))</f>
        <v/>
      </c>
      <c r="J529" s="22"/>
      <c r="K529" s="22"/>
      <c r="L529" s="33" t="str">
        <f aca="false">IF($B529="","",IF(NOT(ISNUMBER($B529)),"日期格式不对",IF($C529="","未选项目编号",IF(LEFT($M529,1)="⚠","项目编号不存在",IF($D529="","未选业务类型",IF($E529="","未选开票/付款方",IF(ISNA(MATCH($E529,单位档案!$A$6:$A$35,0)),"开票方不在单位档案",IF($F529="","未选收票/收款方",IF(ISNA(MATCH($F529,单位档案!$A$6:$A$35,0)),"收款方不在单位档案",IF(NOT(ISNUMBER($H529)),"金额须为数字",IF(AND($D529="销项开票",$N529="—"),"链条待确认","√")))))))))))</f>
        <v/>
      </c>
      <c r="M529" s="34" t="str">
        <f aca="false">IF($C529="","",IFERROR(INDEX(项目档案!$B$6:$B$255,MATCH($C529,项目档案!$A$6:$A$255,0)),"⚠项目编号不存在"))</f>
        <v/>
      </c>
      <c r="N529" s="35" t="str">
        <f aca="false">IF($E529="","",IF($E529=IFERROR(INDEX(项目档案!$D$6:$D$255,MATCH($C529,项目档案!$A$6:$A$255,0)),""),"一级",IF($E529=IFERROR(INDEX(项目档案!$F$6:$F$255,MATCH($C529,项目档案!$A$6:$A$255,0)),""),"二级",IF($E529=IFERROR(INDEX(项目档案!$H$6:$H$255,MATCH($C529,项目档案!$A$6:$A$255,0)),""),"我方","—"))))</f>
        <v/>
      </c>
      <c r="O529" s="36" t="n">
        <f aca="false">IF($D529&lt;&gt;"销项开票",0,ROUND(N($H529)*N($I529),2))</f>
        <v>0</v>
      </c>
      <c r="P529" s="36" t="n">
        <f aca="false">IF($D529&lt;&gt;"销项开票",0,ROUND(N($H529)-$O529,2))</f>
        <v>0</v>
      </c>
      <c r="Q529" s="37" t="str">
        <f aca="false">IF($E529="","",N(IFERROR(INDEX(单位档案!$E$6:$E$35,MATCH($E529,单位档案!$A$6:$A$35,0)),"")))</f>
        <v/>
      </c>
      <c r="R529" s="37" t="str">
        <f aca="false">IF($E529="","",N(IFERROR(INDEX(单位档案!$F$6:$F$35,MATCH($E529,单位档案!$A$6:$A$35,0)),"")))</f>
        <v/>
      </c>
      <c r="S529" s="36" t="n">
        <f aca="false">IF(OR($D529&lt;&gt;"销项开票",IFERROR(INDEX(单位档案!$G$6:$G$35,MATCH($E529,单位档案!$A$6:$A$35,0)),"")&lt;&gt;"是",N($Q529)=0),0,IF(IFERROR(INDEX(单位档案!$H$6:$H$35,MATCH($E529,单位档案!$A$6:$A$35,0)),"")="税差法",ROUND(N($H529)/(1+$Q529)*$Q529-IF(N($R529)=0,0,$P529/(1+$R529)*$R529),2),ROUND(N($H529)/(1+$Q529)*$Q529,2)))</f>
        <v>0</v>
      </c>
      <c r="T529" s="36" t="n">
        <f aca="false">ROUND($S529*N(IFERROR(INDEX(单位档案!$J$6:$J$35,MATCH($E529,单位档案!$A$6:$A$35,0)),"")),2)</f>
        <v>0</v>
      </c>
      <c r="U529" s="36" t="n">
        <f aca="false">IF($D529&lt;&gt;"销项开票",0,ROUND(N($H529)*N(IFERROR(INDEX(单位档案!$K$6:$K$35,MATCH($E529,单位档案!$A$6:$A$35,0)),"")),2))</f>
        <v>0</v>
      </c>
      <c r="V529" s="36" t="n">
        <f aca="false">IF(OR($D529&lt;&gt;"销项开票",N($Q529)=0),0,ROUND(N($H529)/(1+$Q529)*N(IFERROR(INDEX(单位档案!$L$6:$L$35,MATCH($E529,单位档案!$A$6:$A$35,0)),"")),2))</f>
        <v>0</v>
      </c>
      <c r="W529" s="36" t="n">
        <f aca="false">ROUND($S529+$T529+$U529+$V529,2)</f>
        <v>0</v>
      </c>
      <c r="X529" s="35" t="str">
        <f aca="false">IF(OR($D529="挂靠代收",$D529="我方收款"),COUNTIFS($D$5:$D529,"挂靠代收")+COUNTIFS($D$5:$D529,"我方收款"),"")</f>
        <v/>
      </c>
      <c r="Y529" s="35"/>
      <c r="Z529" s="21" t="s">
        <v>111</v>
      </c>
    </row>
    <row r="530" customFormat="false" ht="15.75" hidden="false" customHeight="true" outlineLevel="0" collapsed="false">
      <c r="A530" s="32" t="str">
        <f aca="false">IF($B530="","",ROW()-4)</f>
        <v/>
      </c>
      <c r="B530" s="26"/>
      <c r="C530" s="24"/>
      <c r="D530" s="21"/>
      <c r="E530" s="21"/>
      <c r="F530" s="21"/>
      <c r="G530" s="21"/>
      <c r="H530" s="27"/>
      <c r="I530" s="23" t="str">
        <f aca="false">IF($D530&lt;&gt;"销项开票","",IF($N530="一级",IF(IFERROR(INDEX(项目档案!$E$6:$E$255,MATCH($C530,项目档案!$A$6:$A$255,0)),"")="",N(IFERROR(INDEX(单位档案!$D$6:$D$35,MATCH($E530,单位档案!$A$6:$A$35,0)),"")),IFERROR(INDEX(项目档案!$E$6:$E$255,MATCH($C530,项目档案!$A$6:$A$255,0)),"")),IF($N530="二级",IF(IFERROR(INDEX(项目档案!$G$6:$G$255,MATCH($C530,项目档案!$A$6:$A$255,0)),"")="",N(IFERROR(INDEX(单位档案!$D$6:$D$35,MATCH($E530,单位档案!$A$6:$A$35,0)),"")),IFERROR(INDEX(项目档案!$G$6:$G$255,MATCH($C530,项目档案!$A$6:$A$255,0)),"")),N(IFERROR(INDEX(单位档案!$D$6:$D$35,MATCH($E530,单位档案!$A$6:$A$35,0)),"")))))</f>
        <v/>
      </c>
      <c r="J530" s="22"/>
      <c r="K530" s="22"/>
      <c r="L530" s="33" t="str">
        <f aca="false">IF($B530="","",IF(NOT(ISNUMBER($B530)),"日期格式不对",IF($C530="","未选项目编号",IF(LEFT($M530,1)="⚠","项目编号不存在",IF($D530="","未选业务类型",IF($E530="","未选开票/付款方",IF(ISNA(MATCH($E530,单位档案!$A$6:$A$35,0)),"开票方不在单位档案",IF($F530="","未选收票/收款方",IF(ISNA(MATCH($F530,单位档案!$A$6:$A$35,0)),"收款方不在单位档案",IF(NOT(ISNUMBER($H530)),"金额须为数字",IF(AND($D530="销项开票",$N530="—"),"链条待确认","√")))))))))))</f>
        <v/>
      </c>
      <c r="M530" s="34" t="str">
        <f aca="false">IF($C530="","",IFERROR(INDEX(项目档案!$B$6:$B$255,MATCH($C530,项目档案!$A$6:$A$255,0)),"⚠项目编号不存在"))</f>
        <v/>
      </c>
      <c r="N530" s="35" t="str">
        <f aca="false">IF($E530="","",IF($E530=IFERROR(INDEX(项目档案!$D$6:$D$255,MATCH($C530,项目档案!$A$6:$A$255,0)),""),"一级",IF($E530=IFERROR(INDEX(项目档案!$F$6:$F$255,MATCH($C530,项目档案!$A$6:$A$255,0)),""),"二级",IF($E530=IFERROR(INDEX(项目档案!$H$6:$H$255,MATCH($C530,项目档案!$A$6:$A$255,0)),""),"我方","—"))))</f>
        <v/>
      </c>
      <c r="O530" s="36" t="n">
        <f aca="false">IF($D530&lt;&gt;"销项开票",0,ROUND(N($H530)*N($I530),2))</f>
        <v>0</v>
      </c>
      <c r="P530" s="36" t="n">
        <f aca="false">IF($D530&lt;&gt;"销项开票",0,ROUND(N($H530)-$O530,2))</f>
        <v>0</v>
      </c>
      <c r="Q530" s="37" t="str">
        <f aca="false">IF($E530="","",N(IFERROR(INDEX(单位档案!$E$6:$E$35,MATCH($E530,单位档案!$A$6:$A$35,0)),"")))</f>
        <v/>
      </c>
      <c r="R530" s="37" t="str">
        <f aca="false">IF($E530="","",N(IFERROR(INDEX(单位档案!$F$6:$F$35,MATCH($E530,单位档案!$A$6:$A$35,0)),"")))</f>
        <v/>
      </c>
      <c r="S530" s="36" t="n">
        <f aca="false">IF(OR($D530&lt;&gt;"销项开票",IFERROR(INDEX(单位档案!$G$6:$G$35,MATCH($E530,单位档案!$A$6:$A$35,0)),"")&lt;&gt;"是",N($Q530)=0),0,IF(IFERROR(INDEX(单位档案!$H$6:$H$35,MATCH($E530,单位档案!$A$6:$A$35,0)),"")="税差法",ROUND(N($H530)/(1+$Q530)*$Q530-IF(N($R530)=0,0,$P530/(1+$R530)*$R530),2),ROUND(N($H530)/(1+$Q530)*$Q530,2)))</f>
        <v>0</v>
      </c>
      <c r="T530" s="36" t="n">
        <f aca="false">ROUND($S530*N(IFERROR(INDEX(单位档案!$J$6:$J$35,MATCH($E530,单位档案!$A$6:$A$35,0)),"")),2)</f>
        <v>0</v>
      </c>
      <c r="U530" s="36" t="n">
        <f aca="false">IF($D530&lt;&gt;"销项开票",0,ROUND(N($H530)*N(IFERROR(INDEX(单位档案!$K$6:$K$35,MATCH($E530,单位档案!$A$6:$A$35,0)),"")),2))</f>
        <v>0</v>
      </c>
      <c r="V530" s="36" t="n">
        <f aca="false">IF(OR($D530&lt;&gt;"销项开票",N($Q530)=0),0,ROUND(N($H530)/(1+$Q530)*N(IFERROR(INDEX(单位档案!$L$6:$L$35,MATCH($E530,单位档案!$A$6:$A$35,0)),"")),2))</f>
        <v>0</v>
      </c>
      <c r="W530" s="36" t="n">
        <f aca="false">ROUND($S530+$T530+$U530+$V530,2)</f>
        <v>0</v>
      </c>
      <c r="X530" s="35" t="str">
        <f aca="false">IF(OR($D530="挂靠代收",$D530="我方收款"),COUNTIFS($D$5:$D530,"挂靠代收")+COUNTIFS($D$5:$D530,"我方收款"),"")</f>
        <v/>
      </c>
      <c r="Y530" s="35"/>
      <c r="Z530" s="21" t="s">
        <v>111</v>
      </c>
    </row>
    <row r="531" customFormat="false" ht="15.75" hidden="false" customHeight="true" outlineLevel="0" collapsed="false">
      <c r="A531" s="32" t="str">
        <f aca="false">IF($B531="","",ROW()-4)</f>
        <v/>
      </c>
      <c r="B531" s="26"/>
      <c r="C531" s="24"/>
      <c r="D531" s="21"/>
      <c r="E531" s="21"/>
      <c r="F531" s="21"/>
      <c r="G531" s="21"/>
      <c r="H531" s="27"/>
      <c r="I531" s="23" t="str">
        <f aca="false">IF($D531&lt;&gt;"销项开票","",IF($N531="一级",IF(IFERROR(INDEX(项目档案!$E$6:$E$255,MATCH($C531,项目档案!$A$6:$A$255,0)),"")="",N(IFERROR(INDEX(单位档案!$D$6:$D$35,MATCH($E531,单位档案!$A$6:$A$35,0)),"")),IFERROR(INDEX(项目档案!$E$6:$E$255,MATCH($C531,项目档案!$A$6:$A$255,0)),"")),IF($N531="二级",IF(IFERROR(INDEX(项目档案!$G$6:$G$255,MATCH($C531,项目档案!$A$6:$A$255,0)),"")="",N(IFERROR(INDEX(单位档案!$D$6:$D$35,MATCH($E531,单位档案!$A$6:$A$35,0)),"")),IFERROR(INDEX(项目档案!$G$6:$G$255,MATCH($C531,项目档案!$A$6:$A$255,0)),"")),N(IFERROR(INDEX(单位档案!$D$6:$D$35,MATCH($E531,单位档案!$A$6:$A$35,0)),"")))))</f>
        <v/>
      </c>
      <c r="J531" s="22"/>
      <c r="K531" s="22"/>
      <c r="L531" s="33" t="str">
        <f aca="false">IF($B531="","",IF(NOT(ISNUMBER($B531)),"日期格式不对",IF($C531="","未选项目编号",IF(LEFT($M531,1)="⚠","项目编号不存在",IF($D531="","未选业务类型",IF($E531="","未选开票/付款方",IF(ISNA(MATCH($E531,单位档案!$A$6:$A$35,0)),"开票方不在单位档案",IF($F531="","未选收票/收款方",IF(ISNA(MATCH($F531,单位档案!$A$6:$A$35,0)),"收款方不在单位档案",IF(NOT(ISNUMBER($H531)),"金额须为数字",IF(AND($D531="销项开票",$N531="—"),"链条待确认","√")))))))))))</f>
        <v/>
      </c>
      <c r="M531" s="34" t="str">
        <f aca="false">IF($C531="","",IFERROR(INDEX(项目档案!$B$6:$B$255,MATCH($C531,项目档案!$A$6:$A$255,0)),"⚠项目编号不存在"))</f>
        <v/>
      </c>
      <c r="N531" s="35" t="str">
        <f aca="false">IF($E531="","",IF($E531=IFERROR(INDEX(项目档案!$D$6:$D$255,MATCH($C531,项目档案!$A$6:$A$255,0)),""),"一级",IF($E531=IFERROR(INDEX(项目档案!$F$6:$F$255,MATCH($C531,项目档案!$A$6:$A$255,0)),""),"二级",IF($E531=IFERROR(INDEX(项目档案!$H$6:$H$255,MATCH($C531,项目档案!$A$6:$A$255,0)),""),"我方","—"))))</f>
        <v/>
      </c>
      <c r="O531" s="36" t="n">
        <f aca="false">IF($D531&lt;&gt;"销项开票",0,ROUND(N($H531)*N($I531),2))</f>
        <v>0</v>
      </c>
      <c r="P531" s="36" t="n">
        <f aca="false">IF($D531&lt;&gt;"销项开票",0,ROUND(N($H531)-$O531,2))</f>
        <v>0</v>
      </c>
      <c r="Q531" s="37" t="str">
        <f aca="false">IF($E531="","",N(IFERROR(INDEX(单位档案!$E$6:$E$35,MATCH($E531,单位档案!$A$6:$A$35,0)),"")))</f>
        <v/>
      </c>
      <c r="R531" s="37" t="str">
        <f aca="false">IF($E531="","",N(IFERROR(INDEX(单位档案!$F$6:$F$35,MATCH($E531,单位档案!$A$6:$A$35,0)),"")))</f>
        <v/>
      </c>
      <c r="S531" s="36" t="n">
        <f aca="false">IF(OR($D531&lt;&gt;"销项开票",IFERROR(INDEX(单位档案!$G$6:$G$35,MATCH($E531,单位档案!$A$6:$A$35,0)),"")&lt;&gt;"是",N($Q531)=0),0,IF(IFERROR(INDEX(单位档案!$H$6:$H$35,MATCH($E531,单位档案!$A$6:$A$35,0)),"")="税差法",ROUND(N($H531)/(1+$Q531)*$Q531-IF(N($R531)=0,0,$P531/(1+$R531)*$R531),2),ROUND(N($H531)/(1+$Q531)*$Q531,2)))</f>
        <v>0</v>
      </c>
      <c r="T531" s="36" t="n">
        <f aca="false">ROUND($S531*N(IFERROR(INDEX(单位档案!$J$6:$J$35,MATCH($E531,单位档案!$A$6:$A$35,0)),"")),2)</f>
        <v>0</v>
      </c>
      <c r="U531" s="36" t="n">
        <f aca="false">IF($D531&lt;&gt;"销项开票",0,ROUND(N($H531)*N(IFERROR(INDEX(单位档案!$K$6:$K$35,MATCH($E531,单位档案!$A$6:$A$35,0)),"")),2))</f>
        <v>0</v>
      </c>
      <c r="V531" s="36" t="n">
        <f aca="false">IF(OR($D531&lt;&gt;"销项开票",N($Q531)=0),0,ROUND(N($H531)/(1+$Q531)*N(IFERROR(INDEX(单位档案!$L$6:$L$35,MATCH($E531,单位档案!$A$6:$A$35,0)),"")),2))</f>
        <v>0</v>
      </c>
      <c r="W531" s="36" t="n">
        <f aca="false">ROUND($S531+$T531+$U531+$V531,2)</f>
        <v>0</v>
      </c>
      <c r="X531" s="35" t="str">
        <f aca="false">IF(OR($D531="挂靠代收",$D531="我方收款"),COUNTIFS($D$5:$D531,"挂靠代收")+COUNTIFS($D$5:$D531,"我方收款"),"")</f>
        <v/>
      </c>
      <c r="Y531" s="35"/>
      <c r="Z531" s="21" t="s">
        <v>111</v>
      </c>
    </row>
    <row r="532" customFormat="false" ht="15.75" hidden="false" customHeight="true" outlineLevel="0" collapsed="false">
      <c r="A532" s="32" t="str">
        <f aca="false">IF($B532="","",ROW()-4)</f>
        <v/>
      </c>
      <c r="B532" s="26"/>
      <c r="C532" s="24"/>
      <c r="D532" s="21"/>
      <c r="E532" s="21"/>
      <c r="F532" s="21"/>
      <c r="G532" s="21"/>
      <c r="H532" s="27"/>
      <c r="I532" s="23" t="str">
        <f aca="false">IF($D532&lt;&gt;"销项开票","",IF($N532="一级",IF(IFERROR(INDEX(项目档案!$E$6:$E$255,MATCH($C532,项目档案!$A$6:$A$255,0)),"")="",N(IFERROR(INDEX(单位档案!$D$6:$D$35,MATCH($E532,单位档案!$A$6:$A$35,0)),"")),IFERROR(INDEX(项目档案!$E$6:$E$255,MATCH($C532,项目档案!$A$6:$A$255,0)),"")),IF($N532="二级",IF(IFERROR(INDEX(项目档案!$G$6:$G$255,MATCH($C532,项目档案!$A$6:$A$255,0)),"")="",N(IFERROR(INDEX(单位档案!$D$6:$D$35,MATCH($E532,单位档案!$A$6:$A$35,0)),"")),IFERROR(INDEX(项目档案!$G$6:$G$255,MATCH($C532,项目档案!$A$6:$A$255,0)),"")),N(IFERROR(INDEX(单位档案!$D$6:$D$35,MATCH($E532,单位档案!$A$6:$A$35,0)),"")))))</f>
        <v/>
      </c>
      <c r="J532" s="22"/>
      <c r="K532" s="22"/>
      <c r="L532" s="33" t="str">
        <f aca="false">IF($B532="","",IF(NOT(ISNUMBER($B532)),"日期格式不对",IF($C532="","未选项目编号",IF(LEFT($M532,1)="⚠","项目编号不存在",IF($D532="","未选业务类型",IF($E532="","未选开票/付款方",IF(ISNA(MATCH($E532,单位档案!$A$6:$A$35,0)),"开票方不在单位档案",IF($F532="","未选收票/收款方",IF(ISNA(MATCH($F532,单位档案!$A$6:$A$35,0)),"收款方不在单位档案",IF(NOT(ISNUMBER($H532)),"金额须为数字",IF(AND($D532="销项开票",$N532="—"),"链条待确认","√")))))))))))</f>
        <v/>
      </c>
      <c r="M532" s="34" t="str">
        <f aca="false">IF($C532="","",IFERROR(INDEX(项目档案!$B$6:$B$255,MATCH($C532,项目档案!$A$6:$A$255,0)),"⚠项目编号不存在"))</f>
        <v/>
      </c>
      <c r="N532" s="35" t="str">
        <f aca="false">IF($E532="","",IF($E532=IFERROR(INDEX(项目档案!$D$6:$D$255,MATCH($C532,项目档案!$A$6:$A$255,0)),""),"一级",IF($E532=IFERROR(INDEX(项目档案!$F$6:$F$255,MATCH($C532,项目档案!$A$6:$A$255,0)),""),"二级",IF($E532=IFERROR(INDEX(项目档案!$H$6:$H$255,MATCH($C532,项目档案!$A$6:$A$255,0)),""),"我方","—"))))</f>
        <v/>
      </c>
      <c r="O532" s="36" t="n">
        <f aca="false">IF($D532&lt;&gt;"销项开票",0,ROUND(N($H532)*N($I532),2))</f>
        <v>0</v>
      </c>
      <c r="P532" s="36" t="n">
        <f aca="false">IF($D532&lt;&gt;"销项开票",0,ROUND(N($H532)-$O532,2))</f>
        <v>0</v>
      </c>
      <c r="Q532" s="37" t="str">
        <f aca="false">IF($E532="","",N(IFERROR(INDEX(单位档案!$E$6:$E$35,MATCH($E532,单位档案!$A$6:$A$35,0)),"")))</f>
        <v/>
      </c>
      <c r="R532" s="37" t="str">
        <f aca="false">IF($E532="","",N(IFERROR(INDEX(单位档案!$F$6:$F$35,MATCH($E532,单位档案!$A$6:$A$35,0)),"")))</f>
        <v/>
      </c>
      <c r="S532" s="36" t="n">
        <f aca="false">IF(OR($D532&lt;&gt;"销项开票",IFERROR(INDEX(单位档案!$G$6:$G$35,MATCH($E532,单位档案!$A$6:$A$35,0)),"")&lt;&gt;"是",N($Q532)=0),0,IF(IFERROR(INDEX(单位档案!$H$6:$H$35,MATCH($E532,单位档案!$A$6:$A$35,0)),"")="税差法",ROUND(N($H532)/(1+$Q532)*$Q532-IF(N($R532)=0,0,$P532/(1+$R532)*$R532),2),ROUND(N($H532)/(1+$Q532)*$Q532,2)))</f>
        <v>0</v>
      </c>
      <c r="T532" s="36" t="n">
        <f aca="false">ROUND($S532*N(IFERROR(INDEX(单位档案!$J$6:$J$35,MATCH($E532,单位档案!$A$6:$A$35,0)),"")),2)</f>
        <v>0</v>
      </c>
      <c r="U532" s="36" t="n">
        <f aca="false">IF($D532&lt;&gt;"销项开票",0,ROUND(N($H532)*N(IFERROR(INDEX(单位档案!$K$6:$K$35,MATCH($E532,单位档案!$A$6:$A$35,0)),"")),2))</f>
        <v>0</v>
      </c>
      <c r="V532" s="36" t="n">
        <f aca="false">IF(OR($D532&lt;&gt;"销项开票",N($Q532)=0),0,ROUND(N($H532)/(1+$Q532)*N(IFERROR(INDEX(单位档案!$L$6:$L$35,MATCH($E532,单位档案!$A$6:$A$35,0)),"")),2))</f>
        <v>0</v>
      </c>
      <c r="W532" s="36" t="n">
        <f aca="false">ROUND($S532+$T532+$U532+$V532,2)</f>
        <v>0</v>
      </c>
      <c r="X532" s="35" t="str">
        <f aca="false">IF(OR($D532="挂靠代收",$D532="我方收款"),COUNTIFS($D$5:$D532,"挂靠代收")+COUNTIFS($D$5:$D532,"我方收款"),"")</f>
        <v/>
      </c>
      <c r="Y532" s="35"/>
      <c r="Z532" s="21" t="s">
        <v>111</v>
      </c>
    </row>
    <row r="533" customFormat="false" ht="15.75" hidden="false" customHeight="true" outlineLevel="0" collapsed="false">
      <c r="A533" s="32" t="str">
        <f aca="false">IF($B533="","",ROW()-4)</f>
        <v/>
      </c>
      <c r="B533" s="26"/>
      <c r="C533" s="24"/>
      <c r="D533" s="21"/>
      <c r="E533" s="21"/>
      <c r="F533" s="21"/>
      <c r="G533" s="21"/>
      <c r="H533" s="27"/>
      <c r="I533" s="23" t="str">
        <f aca="false">IF($D533&lt;&gt;"销项开票","",IF($N533="一级",IF(IFERROR(INDEX(项目档案!$E$6:$E$255,MATCH($C533,项目档案!$A$6:$A$255,0)),"")="",N(IFERROR(INDEX(单位档案!$D$6:$D$35,MATCH($E533,单位档案!$A$6:$A$35,0)),"")),IFERROR(INDEX(项目档案!$E$6:$E$255,MATCH($C533,项目档案!$A$6:$A$255,0)),"")),IF($N533="二级",IF(IFERROR(INDEX(项目档案!$G$6:$G$255,MATCH($C533,项目档案!$A$6:$A$255,0)),"")="",N(IFERROR(INDEX(单位档案!$D$6:$D$35,MATCH($E533,单位档案!$A$6:$A$35,0)),"")),IFERROR(INDEX(项目档案!$G$6:$G$255,MATCH($C533,项目档案!$A$6:$A$255,0)),"")),N(IFERROR(INDEX(单位档案!$D$6:$D$35,MATCH($E533,单位档案!$A$6:$A$35,0)),"")))))</f>
        <v/>
      </c>
      <c r="J533" s="22"/>
      <c r="K533" s="22"/>
      <c r="L533" s="33" t="str">
        <f aca="false">IF($B533="","",IF(NOT(ISNUMBER($B533)),"日期格式不对",IF($C533="","未选项目编号",IF(LEFT($M533,1)="⚠","项目编号不存在",IF($D533="","未选业务类型",IF($E533="","未选开票/付款方",IF(ISNA(MATCH($E533,单位档案!$A$6:$A$35,0)),"开票方不在单位档案",IF($F533="","未选收票/收款方",IF(ISNA(MATCH($F533,单位档案!$A$6:$A$35,0)),"收款方不在单位档案",IF(NOT(ISNUMBER($H533)),"金额须为数字",IF(AND($D533="销项开票",$N533="—"),"链条待确认","√")))))))))))</f>
        <v/>
      </c>
      <c r="M533" s="34" t="str">
        <f aca="false">IF($C533="","",IFERROR(INDEX(项目档案!$B$6:$B$255,MATCH($C533,项目档案!$A$6:$A$255,0)),"⚠项目编号不存在"))</f>
        <v/>
      </c>
      <c r="N533" s="35" t="str">
        <f aca="false">IF($E533="","",IF($E533=IFERROR(INDEX(项目档案!$D$6:$D$255,MATCH($C533,项目档案!$A$6:$A$255,0)),""),"一级",IF($E533=IFERROR(INDEX(项目档案!$F$6:$F$255,MATCH($C533,项目档案!$A$6:$A$255,0)),""),"二级",IF($E533=IFERROR(INDEX(项目档案!$H$6:$H$255,MATCH($C533,项目档案!$A$6:$A$255,0)),""),"我方","—"))))</f>
        <v/>
      </c>
      <c r="O533" s="36" t="n">
        <f aca="false">IF($D533&lt;&gt;"销项开票",0,ROUND(N($H533)*N($I533),2))</f>
        <v>0</v>
      </c>
      <c r="P533" s="36" t="n">
        <f aca="false">IF($D533&lt;&gt;"销项开票",0,ROUND(N($H533)-$O533,2))</f>
        <v>0</v>
      </c>
      <c r="Q533" s="37" t="str">
        <f aca="false">IF($E533="","",N(IFERROR(INDEX(单位档案!$E$6:$E$35,MATCH($E533,单位档案!$A$6:$A$35,0)),"")))</f>
        <v/>
      </c>
      <c r="R533" s="37" t="str">
        <f aca="false">IF($E533="","",N(IFERROR(INDEX(单位档案!$F$6:$F$35,MATCH($E533,单位档案!$A$6:$A$35,0)),"")))</f>
        <v/>
      </c>
      <c r="S533" s="36" t="n">
        <f aca="false">IF(OR($D533&lt;&gt;"销项开票",IFERROR(INDEX(单位档案!$G$6:$G$35,MATCH($E533,单位档案!$A$6:$A$35,0)),"")&lt;&gt;"是",N($Q533)=0),0,IF(IFERROR(INDEX(单位档案!$H$6:$H$35,MATCH($E533,单位档案!$A$6:$A$35,0)),"")="税差法",ROUND(N($H533)/(1+$Q533)*$Q533-IF(N($R533)=0,0,$P533/(1+$R533)*$R533),2),ROUND(N($H533)/(1+$Q533)*$Q533,2)))</f>
        <v>0</v>
      </c>
      <c r="T533" s="36" t="n">
        <f aca="false">ROUND($S533*N(IFERROR(INDEX(单位档案!$J$6:$J$35,MATCH($E533,单位档案!$A$6:$A$35,0)),"")),2)</f>
        <v>0</v>
      </c>
      <c r="U533" s="36" t="n">
        <f aca="false">IF($D533&lt;&gt;"销项开票",0,ROUND(N($H533)*N(IFERROR(INDEX(单位档案!$K$6:$K$35,MATCH($E533,单位档案!$A$6:$A$35,0)),"")),2))</f>
        <v>0</v>
      </c>
      <c r="V533" s="36" t="n">
        <f aca="false">IF(OR($D533&lt;&gt;"销项开票",N($Q533)=0),0,ROUND(N($H533)/(1+$Q533)*N(IFERROR(INDEX(单位档案!$L$6:$L$35,MATCH($E533,单位档案!$A$6:$A$35,0)),"")),2))</f>
        <v>0</v>
      </c>
      <c r="W533" s="36" t="n">
        <f aca="false">ROUND($S533+$T533+$U533+$V533,2)</f>
        <v>0</v>
      </c>
      <c r="X533" s="35" t="str">
        <f aca="false">IF(OR($D533="挂靠代收",$D533="我方收款"),COUNTIFS($D$5:$D533,"挂靠代收")+COUNTIFS($D$5:$D533,"我方收款"),"")</f>
        <v/>
      </c>
      <c r="Y533" s="35"/>
      <c r="Z533" s="21" t="s">
        <v>111</v>
      </c>
    </row>
    <row r="534" customFormat="false" ht="15.75" hidden="false" customHeight="true" outlineLevel="0" collapsed="false">
      <c r="A534" s="32" t="str">
        <f aca="false">IF($B534="","",ROW()-4)</f>
        <v/>
      </c>
      <c r="B534" s="26"/>
      <c r="C534" s="24"/>
      <c r="D534" s="21"/>
      <c r="E534" s="21"/>
      <c r="F534" s="21"/>
      <c r="G534" s="21"/>
      <c r="H534" s="27"/>
      <c r="I534" s="23" t="str">
        <f aca="false">IF($D534&lt;&gt;"销项开票","",IF($N534="一级",IF(IFERROR(INDEX(项目档案!$E$6:$E$255,MATCH($C534,项目档案!$A$6:$A$255,0)),"")="",N(IFERROR(INDEX(单位档案!$D$6:$D$35,MATCH($E534,单位档案!$A$6:$A$35,0)),"")),IFERROR(INDEX(项目档案!$E$6:$E$255,MATCH($C534,项目档案!$A$6:$A$255,0)),"")),IF($N534="二级",IF(IFERROR(INDEX(项目档案!$G$6:$G$255,MATCH($C534,项目档案!$A$6:$A$255,0)),"")="",N(IFERROR(INDEX(单位档案!$D$6:$D$35,MATCH($E534,单位档案!$A$6:$A$35,0)),"")),IFERROR(INDEX(项目档案!$G$6:$G$255,MATCH($C534,项目档案!$A$6:$A$255,0)),"")),N(IFERROR(INDEX(单位档案!$D$6:$D$35,MATCH($E534,单位档案!$A$6:$A$35,0)),"")))))</f>
        <v/>
      </c>
      <c r="J534" s="22"/>
      <c r="K534" s="22"/>
      <c r="L534" s="33" t="str">
        <f aca="false">IF($B534="","",IF(NOT(ISNUMBER($B534)),"日期格式不对",IF($C534="","未选项目编号",IF(LEFT($M534,1)="⚠","项目编号不存在",IF($D534="","未选业务类型",IF($E534="","未选开票/付款方",IF(ISNA(MATCH($E534,单位档案!$A$6:$A$35,0)),"开票方不在单位档案",IF($F534="","未选收票/收款方",IF(ISNA(MATCH($F534,单位档案!$A$6:$A$35,0)),"收款方不在单位档案",IF(NOT(ISNUMBER($H534)),"金额须为数字",IF(AND($D534="销项开票",$N534="—"),"链条待确认","√")))))))))))</f>
        <v/>
      </c>
      <c r="M534" s="34" t="str">
        <f aca="false">IF($C534="","",IFERROR(INDEX(项目档案!$B$6:$B$255,MATCH($C534,项目档案!$A$6:$A$255,0)),"⚠项目编号不存在"))</f>
        <v/>
      </c>
      <c r="N534" s="35" t="str">
        <f aca="false">IF($E534="","",IF($E534=IFERROR(INDEX(项目档案!$D$6:$D$255,MATCH($C534,项目档案!$A$6:$A$255,0)),""),"一级",IF($E534=IFERROR(INDEX(项目档案!$F$6:$F$255,MATCH($C534,项目档案!$A$6:$A$255,0)),""),"二级",IF($E534=IFERROR(INDEX(项目档案!$H$6:$H$255,MATCH($C534,项目档案!$A$6:$A$255,0)),""),"我方","—"))))</f>
        <v/>
      </c>
      <c r="O534" s="36" t="n">
        <f aca="false">IF($D534&lt;&gt;"销项开票",0,ROUND(N($H534)*N($I534),2))</f>
        <v>0</v>
      </c>
      <c r="P534" s="36" t="n">
        <f aca="false">IF($D534&lt;&gt;"销项开票",0,ROUND(N($H534)-$O534,2))</f>
        <v>0</v>
      </c>
      <c r="Q534" s="37" t="str">
        <f aca="false">IF($E534="","",N(IFERROR(INDEX(单位档案!$E$6:$E$35,MATCH($E534,单位档案!$A$6:$A$35,0)),"")))</f>
        <v/>
      </c>
      <c r="R534" s="37" t="str">
        <f aca="false">IF($E534="","",N(IFERROR(INDEX(单位档案!$F$6:$F$35,MATCH($E534,单位档案!$A$6:$A$35,0)),"")))</f>
        <v/>
      </c>
      <c r="S534" s="36" t="n">
        <f aca="false">IF(OR($D534&lt;&gt;"销项开票",IFERROR(INDEX(单位档案!$G$6:$G$35,MATCH($E534,单位档案!$A$6:$A$35,0)),"")&lt;&gt;"是",N($Q534)=0),0,IF(IFERROR(INDEX(单位档案!$H$6:$H$35,MATCH($E534,单位档案!$A$6:$A$35,0)),"")="税差法",ROUND(N($H534)/(1+$Q534)*$Q534-IF(N($R534)=0,0,$P534/(1+$R534)*$R534),2),ROUND(N($H534)/(1+$Q534)*$Q534,2)))</f>
        <v>0</v>
      </c>
      <c r="T534" s="36" t="n">
        <f aca="false">ROUND($S534*N(IFERROR(INDEX(单位档案!$J$6:$J$35,MATCH($E534,单位档案!$A$6:$A$35,0)),"")),2)</f>
        <v>0</v>
      </c>
      <c r="U534" s="36" t="n">
        <f aca="false">IF($D534&lt;&gt;"销项开票",0,ROUND(N($H534)*N(IFERROR(INDEX(单位档案!$K$6:$K$35,MATCH($E534,单位档案!$A$6:$A$35,0)),"")),2))</f>
        <v>0</v>
      </c>
      <c r="V534" s="36" t="n">
        <f aca="false">IF(OR($D534&lt;&gt;"销项开票",N($Q534)=0),0,ROUND(N($H534)/(1+$Q534)*N(IFERROR(INDEX(单位档案!$L$6:$L$35,MATCH($E534,单位档案!$A$6:$A$35,0)),"")),2))</f>
        <v>0</v>
      </c>
      <c r="W534" s="36" t="n">
        <f aca="false">ROUND($S534+$T534+$U534+$V534,2)</f>
        <v>0</v>
      </c>
      <c r="X534" s="35" t="str">
        <f aca="false">IF(OR($D534="挂靠代收",$D534="我方收款"),COUNTIFS($D$5:$D534,"挂靠代收")+COUNTIFS($D$5:$D534,"我方收款"),"")</f>
        <v/>
      </c>
      <c r="Y534" s="35"/>
      <c r="Z534" s="21" t="s">
        <v>111</v>
      </c>
    </row>
    <row r="535" customFormat="false" ht="15.75" hidden="false" customHeight="true" outlineLevel="0" collapsed="false">
      <c r="A535" s="32" t="str">
        <f aca="false">IF($B535="","",ROW()-4)</f>
        <v/>
      </c>
      <c r="B535" s="26"/>
      <c r="C535" s="24"/>
      <c r="D535" s="21"/>
      <c r="E535" s="21"/>
      <c r="F535" s="21"/>
      <c r="G535" s="21"/>
      <c r="H535" s="27"/>
      <c r="I535" s="23" t="str">
        <f aca="false">IF($D535&lt;&gt;"销项开票","",IF($N535="一级",IF(IFERROR(INDEX(项目档案!$E$6:$E$255,MATCH($C535,项目档案!$A$6:$A$255,0)),"")="",N(IFERROR(INDEX(单位档案!$D$6:$D$35,MATCH($E535,单位档案!$A$6:$A$35,0)),"")),IFERROR(INDEX(项目档案!$E$6:$E$255,MATCH($C535,项目档案!$A$6:$A$255,0)),"")),IF($N535="二级",IF(IFERROR(INDEX(项目档案!$G$6:$G$255,MATCH($C535,项目档案!$A$6:$A$255,0)),"")="",N(IFERROR(INDEX(单位档案!$D$6:$D$35,MATCH($E535,单位档案!$A$6:$A$35,0)),"")),IFERROR(INDEX(项目档案!$G$6:$G$255,MATCH($C535,项目档案!$A$6:$A$255,0)),"")),N(IFERROR(INDEX(单位档案!$D$6:$D$35,MATCH($E535,单位档案!$A$6:$A$35,0)),"")))))</f>
        <v/>
      </c>
      <c r="J535" s="22"/>
      <c r="K535" s="22"/>
      <c r="L535" s="33" t="str">
        <f aca="false">IF($B535="","",IF(NOT(ISNUMBER($B535)),"日期格式不对",IF($C535="","未选项目编号",IF(LEFT($M535,1)="⚠","项目编号不存在",IF($D535="","未选业务类型",IF($E535="","未选开票/付款方",IF(ISNA(MATCH($E535,单位档案!$A$6:$A$35,0)),"开票方不在单位档案",IF($F535="","未选收票/收款方",IF(ISNA(MATCH($F535,单位档案!$A$6:$A$35,0)),"收款方不在单位档案",IF(NOT(ISNUMBER($H535)),"金额须为数字",IF(AND($D535="销项开票",$N535="—"),"链条待确认","√")))))))))))</f>
        <v/>
      </c>
      <c r="M535" s="34" t="str">
        <f aca="false">IF($C535="","",IFERROR(INDEX(项目档案!$B$6:$B$255,MATCH($C535,项目档案!$A$6:$A$255,0)),"⚠项目编号不存在"))</f>
        <v/>
      </c>
      <c r="N535" s="35" t="str">
        <f aca="false">IF($E535="","",IF($E535=IFERROR(INDEX(项目档案!$D$6:$D$255,MATCH($C535,项目档案!$A$6:$A$255,0)),""),"一级",IF($E535=IFERROR(INDEX(项目档案!$F$6:$F$255,MATCH($C535,项目档案!$A$6:$A$255,0)),""),"二级",IF($E535=IFERROR(INDEX(项目档案!$H$6:$H$255,MATCH($C535,项目档案!$A$6:$A$255,0)),""),"我方","—"))))</f>
        <v/>
      </c>
      <c r="O535" s="36" t="n">
        <f aca="false">IF($D535&lt;&gt;"销项开票",0,ROUND(N($H535)*N($I535),2))</f>
        <v>0</v>
      </c>
      <c r="P535" s="36" t="n">
        <f aca="false">IF($D535&lt;&gt;"销项开票",0,ROUND(N($H535)-$O535,2))</f>
        <v>0</v>
      </c>
      <c r="Q535" s="37" t="str">
        <f aca="false">IF($E535="","",N(IFERROR(INDEX(单位档案!$E$6:$E$35,MATCH($E535,单位档案!$A$6:$A$35,0)),"")))</f>
        <v/>
      </c>
      <c r="R535" s="37" t="str">
        <f aca="false">IF($E535="","",N(IFERROR(INDEX(单位档案!$F$6:$F$35,MATCH($E535,单位档案!$A$6:$A$35,0)),"")))</f>
        <v/>
      </c>
      <c r="S535" s="36" t="n">
        <f aca="false">IF(OR($D535&lt;&gt;"销项开票",IFERROR(INDEX(单位档案!$G$6:$G$35,MATCH($E535,单位档案!$A$6:$A$35,0)),"")&lt;&gt;"是",N($Q535)=0),0,IF(IFERROR(INDEX(单位档案!$H$6:$H$35,MATCH($E535,单位档案!$A$6:$A$35,0)),"")="税差法",ROUND(N($H535)/(1+$Q535)*$Q535-IF(N($R535)=0,0,$P535/(1+$R535)*$R535),2),ROUND(N($H535)/(1+$Q535)*$Q535,2)))</f>
        <v>0</v>
      </c>
      <c r="T535" s="36" t="n">
        <f aca="false">ROUND($S535*N(IFERROR(INDEX(单位档案!$J$6:$J$35,MATCH($E535,单位档案!$A$6:$A$35,0)),"")),2)</f>
        <v>0</v>
      </c>
      <c r="U535" s="36" t="n">
        <f aca="false">IF($D535&lt;&gt;"销项开票",0,ROUND(N($H535)*N(IFERROR(INDEX(单位档案!$K$6:$K$35,MATCH($E535,单位档案!$A$6:$A$35,0)),"")),2))</f>
        <v>0</v>
      </c>
      <c r="V535" s="36" t="n">
        <f aca="false">IF(OR($D535&lt;&gt;"销项开票",N($Q535)=0),0,ROUND(N($H535)/(1+$Q535)*N(IFERROR(INDEX(单位档案!$L$6:$L$35,MATCH($E535,单位档案!$A$6:$A$35,0)),"")),2))</f>
        <v>0</v>
      </c>
      <c r="W535" s="36" t="n">
        <f aca="false">ROUND($S535+$T535+$U535+$V535,2)</f>
        <v>0</v>
      </c>
      <c r="X535" s="35" t="str">
        <f aca="false">IF(OR($D535="挂靠代收",$D535="我方收款"),COUNTIFS($D$5:$D535,"挂靠代收")+COUNTIFS($D$5:$D535,"我方收款"),"")</f>
        <v/>
      </c>
      <c r="Y535" s="35"/>
      <c r="Z535" s="21" t="s">
        <v>111</v>
      </c>
    </row>
    <row r="536" customFormat="false" ht="15.75" hidden="false" customHeight="true" outlineLevel="0" collapsed="false">
      <c r="A536" s="32" t="str">
        <f aca="false">IF($B536="","",ROW()-4)</f>
        <v/>
      </c>
      <c r="B536" s="26"/>
      <c r="C536" s="24"/>
      <c r="D536" s="21"/>
      <c r="E536" s="21"/>
      <c r="F536" s="21"/>
      <c r="G536" s="21"/>
      <c r="H536" s="27"/>
      <c r="I536" s="23" t="str">
        <f aca="false">IF($D536&lt;&gt;"销项开票","",IF($N536="一级",IF(IFERROR(INDEX(项目档案!$E$6:$E$255,MATCH($C536,项目档案!$A$6:$A$255,0)),"")="",N(IFERROR(INDEX(单位档案!$D$6:$D$35,MATCH($E536,单位档案!$A$6:$A$35,0)),"")),IFERROR(INDEX(项目档案!$E$6:$E$255,MATCH($C536,项目档案!$A$6:$A$255,0)),"")),IF($N536="二级",IF(IFERROR(INDEX(项目档案!$G$6:$G$255,MATCH($C536,项目档案!$A$6:$A$255,0)),"")="",N(IFERROR(INDEX(单位档案!$D$6:$D$35,MATCH($E536,单位档案!$A$6:$A$35,0)),"")),IFERROR(INDEX(项目档案!$G$6:$G$255,MATCH($C536,项目档案!$A$6:$A$255,0)),"")),N(IFERROR(INDEX(单位档案!$D$6:$D$35,MATCH($E536,单位档案!$A$6:$A$35,0)),"")))))</f>
        <v/>
      </c>
      <c r="J536" s="22"/>
      <c r="K536" s="22"/>
      <c r="L536" s="33" t="str">
        <f aca="false">IF($B536="","",IF(NOT(ISNUMBER($B536)),"日期格式不对",IF($C536="","未选项目编号",IF(LEFT($M536,1)="⚠","项目编号不存在",IF($D536="","未选业务类型",IF($E536="","未选开票/付款方",IF(ISNA(MATCH($E536,单位档案!$A$6:$A$35,0)),"开票方不在单位档案",IF($F536="","未选收票/收款方",IF(ISNA(MATCH($F536,单位档案!$A$6:$A$35,0)),"收款方不在单位档案",IF(NOT(ISNUMBER($H536)),"金额须为数字",IF(AND($D536="销项开票",$N536="—"),"链条待确认","√")))))))))))</f>
        <v/>
      </c>
      <c r="M536" s="34" t="str">
        <f aca="false">IF($C536="","",IFERROR(INDEX(项目档案!$B$6:$B$255,MATCH($C536,项目档案!$A$6:$A$255,0)),"⚠项目编号不存在"))</f>
        <v/>
      </c>
      <c r="N536" s="35" t="str">
        <f aca="false">IF($E536="","",IF($E536=IFERROR(INDEX(项目档案!$D$6:$D$255,MATCH($C536,项目档案!$A$6:$A$255,0)),""),"一级",IF($E536=IFERROR(INDEX(项目档案!$F$6:$F$255,MATCH($C536,项目档案!$A$6:$A$255,0)),""),"二级",IF($E536=IFERROR(INDEX(项目档案!$H$6:$H$255,MATCH($C536,项目档案!$A$6:$A$255,0)),""),"我方","—"))))</f>
        <v/>
      </c>
      <c r="O536" s="36" t="n">
        <f aca="false">IF($D536&lt;&gt;"销项开票",0,ROUND(N($H536)*N($I536),2))</f>
        <v>0</v>
      </c>
      <c r="P536" s="36" t="n">
        <f aca="false">IF($D536&lt;&gt;"销项开票",0,ROUND(N($H536)-$O536,2))</f>
        <v>0</v>
      </c>
      <c r="Q536" s="37" t="str">
        <f aca="false">IF($E536="","",N(IFERROR(INDEX(单位档案!$E$6:$E$35,MATCH($E536,单位档案!$A$6:$A$35,0)),"")))</f>
        <v/>
      </c>
      <c r="R536" s="37" t="str">
        <f aca="false">IF($E536="","",N(IFERROR(INDEX(单位档案!$F$6:$F$35,MATCH($E536,单位档案!$A$6:$A$35,0)),"")))</f>
        <v/>
      </c>
      <c r="S536" s="36" t="n">
        <f aca="false">IF(OR($D536&lt;&gt;"销项开票",IFERROR(INDEX(单位档案!$G$6:$G$35,MATCH($E536,单位档案!$A$6:$A$35,0)),"")&lt;&gt;"是",N($Q536)=0),0,IF(IFERROR(INDEX(单位档案!$H$6:$H$35,MATCH($E536,单位档案!$A$6:$A$35,0)),"")="税差法",ROUND(N($H536)/(1+$Q536)*$Q536-IF(N($R536)=0,0,$P536/(1+$R536)*$R536),2),ROUND(N($H536)/(1+$Q536)*$Q536,2)))</f>
        <v>0</v>
      </c>
      <c r="T536" s="36" t="n">
        <f aca="false">ROUND($S536*N(IFERROR(INDEX(单位档案!$J$6:$J$35,MATCH($E536,单位档案!$A$6:$A$35,0)),"")),2)</f>
        <v>0</v>
      </c>
      <c r="U536" s="36" t="n">
        <f aca="false">IF($D536&lt;&gt;"销项开票",0,ROUND(N($H536)*N(IFERROR(INDEX(单位档案!$K$6:$K$35,MATCH($E536,单位档案!$A$6:$A$35,0)),"")),2))</f>
        <v>0</v>
      </c>
      <c r="V536" s="36" t="n">
        <f aca="false">IF(OR($D536&lt;&gt;"销项开票",N($Q536)=0),0,ROUND(N($H536)/(1+$Q536)*N(IFERROR(INDEX(单位档案!$L$6:$L$35,MATCH($E536,单位档案!$A$6:$A$35,0)),"")),2))</f>
        <v>0</v>
      </c>
      <c r="W536" s="36" t="n">
        <f aca="false">ROUND($S536+$T536+$U536+$V536,2)</f>
        <v>0</v>
      </c>
      <c r="X536" s="35" t="str">
        <f aca="false">IF(OR($D536="挂靠代收",$D536="我方收款"),COUNTIFS($D$5:$D536,"挂靠代收")+COUNTIFS($D$5:$D536,"我方收款"),"")</f>
        <v/>
      </c>
      <c r="Y536" s="35"/>
      <c r="Z536" s="21" t="s">
        <v>111</v>
      </c>
    </row>
    <row r="537" customFormat="false" ht="15.75" hidden="false" customHeight="true" outlineLevel="0" collapsed="false">
      <c r="A537" s="32" t="str">
        <f aca="false">IF($B537="","",ROW()-4)</f>
        <v/>
      </c>
      <c r="B537" s="26"/>
      <c r="C537" s="24"/>
      <c r="D537" s="21"/>
      <c r="E537" s="21"/>
      <c r="F537" s="21"/>
      <c r="G537" s="21"/>
      <c r="H537" s="27"/>
      <c r="I537" s="23" t="str">
        <f aca="false">IF($D537&lt;&gt;"销项开票","",IF($N537="一级",IF(IFERROR(INDEX(项目档案!$E$6:$E$255,MATCH($C537,项目档案!$A$6:$A$255,0)),"")="",N(IFERROR(INDEX(单位档案!$D$6:$D$35,MATCH($E537,单位档案!$A$6:$A$35,0)),"")),IFERROR(INDEX(项目档案!$E$6:$E$255,MATCH($C537,项目档案!$A$6:$A$255,0)),"")),IF($N537="二级",IF(IFERROR(INDEX(项目档案!$G$6:$G$255,MATCH($C537,项目档案!$A$6:$A$255,0)),"")="",N(IFERROR(INDEX(单位档案!$D$6:$D$35,MATCH($E537,单位档案!$A$6:$A$35,0)),"")),IFERROR(INDEX(项目档案!$G$6:$G$255,MATCH($C537,项目档案!$A$6:$A$255,0)),"")),N(IFERROR(INDEX(单位档案!$D$6:$D$35,MATCH($E537,单位档案!$A$6:$A$35,0)),"")))))</f>
        <v/>
      </c>
      <c r="J537" s="22"/>
      <c r="K537" s="22"/>
      <c r="L537" s="33" t="str">
        <f aca="false">IF($B537="","",IF(NOT(ISNUMBER($B537)),"日期格式不对",IF($C537="","未选项目编号",IF(LEFT($M537,1)="⚠","项目编号不存在",IF($D537="","未选业务类型",IF($E537="","未选开票/付款方",IF(ISNA(MATCH($E537,单位档案!$A$6:$A$35,0)),"开票方不在单位档案",IF($F537="","未选收票/收款方",IF(ISNA(MATCH($F537,单位档案!$A$6:$A$35,0)),"收款方不在单位档案",IF(NOT(ISNUMBER($H537)),"金额须为数字",IF(AND($D537="销项开票",$N537="—"),"链条待确认","√")))))))))))</f>
        <v/>
      </c>
      <c r="M537" s="34" t="str">
        <f aca="false">IF($C537="","",IFERROR(INDEX(项目档案!$B$6:$B$255,MATCH($C537,项目档案!$A$6:$A$255,0)),"⚠项目编号不存在"))</f>
        <v/>
      </c>
      <c r="N537" s="35" t="str">
        <f aca="false">IF($E537="","",IF($E537=IFERROR(INDEX(项目档案!$D$6:$D$255,MATCH($C537,项目档案!$A$6:$A$255,0)),""),"一级",IF($E537=IFERROR(INDEX(项目档案!$F$6:$F$255,MATCH($C537,项目档案!$A$6:$A$255,0)),""),"二级",IF($E537=IFERROR(INDEX(项目档案!$H$6:$H$255,MATCH($C537,项目档案!$A$6:$A$255,0)),""),"我方","—"))))</f>
        <v/>
      </c>
      <c r="O537" s="36" t="n">
        <f aca="false">IF($D537&lt;&gt;"销项开票",0,ROUND(N($H537)*N($I537),2))</f>
        <v>0</v>
      </c>
      <c r="P537" s="36" t="n">
        <f aca="false">IF($D537&lt;&gt;"销项开票",0,ROUND(N($H537)-$O537,2))</f>
        <v>0</v>
      </c>
      <c r="Q537" s="37" t="str">
        <f aca="false">IF($E537="","",N(IFERROR(INDEX(单位档案!$E$6:$E$35,MATCH($E537,单位档案!$A$6:$A$35,0)),"")))</f>
        <v/>
      </c>
      <c r="R537" s="37" t="str">
        <f aca="false">IF($E537="","",N(IFERROR(INDEX(单位档案!$F$6:$F$35,MATCH($E537,单位档案!$A$6:$A$35,0)),"")))</f>
        <v/>
      </c>
      <c r="S537" s="36" t="n">
        <f aca="false">IF(OR($D537&lt;&gt;"销项开票",IFERROR(INDEX(单位档案!$G$6:$G$35,MATCH($E537,单位档案!$A$6:$A$35,0)),"")&lt;&gt;"是",N($Q537)=0),0,IF(IFERROR(INDEX(单位档案!$H$6:$H$35,MATCH($E537,单位档案!$A$6:$A$35,0)),"")="税差法",ROUND(N($H537)/(1+$Q537)*$Q537-IF(N($R537)=0,0,$P537/(1+$R537)*$R537),2),ROUND(N($H537)/(1+$Q537)*$Q537,2)))</f>
        <v>0</v>
      </c>
      <c r="T537" s="36" t="n">
        <f aca="false">ROUND($S537*N(IFERROR(INDEX(单位档案!$J$6:$J$35,MATCH($E537,单位档案!$A$6:$A$35,0)),"")),2)</f>
        <v>0</v>
      </c>
      <c r="U537" s="36" t="n">
        <f aca="false">IF($D537&lt;&gt;"销项开票",0,ROUND(N($H537)*N(IFERROR(INDEX(单位档案!$K$6:$K$35,MATCH($E537,单位档案!$A$6:$A$35,0)),"")),2))</f>
        <v>0</v>
      </c>
      <c r="V537" s="36" t="n">
        <f aca="false">IF(OR($D537&lt;&gt;"销项开票",N($Q537)=0),0,ROUND(N($H537)/(1+$Q537)*N(IFERROR(INDEX(单位档案!$L$6:$L$35,MATCH($E537,单位档案!$A$6:$A$35,0)),"")),2))</f>
        <v>0</v>
      </c>
      <c r="W537" s="36" t="n">
        <f aca="false">ROUND($S537+$T537+$U537+$V537,2)</f>
        <v>0</v>
      </c>
      <c r="X537" s="35" t="str">
        <f aca="false">IF(OR($D537="挂靠代收",$D537="我方收款"),COUNTIFS($D$5:$D537,"挂靠代收")+COUNTIFS($D$5:$D537,"我方收款"),"")</f>
        <v/>
      </c>
      <c r="Y537" s="35"/>
      <c r="Z537" s="21" t="s">
        <v>111</v>
      </c>
    </row>
    <row r="538" customFormat="false" ht="15.75" hidden="false" customHeight="true" outlineLevel="0" collapsed="false">
      <c r="A538" s="32" t="str">
        <f aca="false">IF($B538="","",ROW()-4)</f>
        <v/>
      </c>
      <c r="B538" s="26"/>
      <c r="C538" s="24"/>
      <c r="D538" s="21"/>
      <c r="E538" s="21"/>
      <c r="F538" s="21"/>
      <c r="G538" s="21"/>
      <c r="H538" s="27"/>
      <c r="I538" s="23" t="str">
        <f aca="false">IF($D538&lt;&gt;"销项开票","",IF($N538="一级",IF(IFERROR(INDEX(项目档案!$E$6:$E$255,MATCH($C538,项目档案!$A$6:$A$255,0)),"")="",N(IFERROR(INDEX(单位档案!$D$6:$D$35,MATCH($E538,单位档案!$A$6:$A$35,0)),"")),IFERROR(INDEX(项目档案!$E$6:$E$255,MATCH($C538,项目档案!$A$6:$A$255,0)),"")),IF($N538="二级",IF(IFERROR(INDEX(项目档案!$G$6:$G$255,MATCH($C538,项目档案!$A$6:$A$255,0)),"")="",N(IFERROR(INDEX(单位档案!$D$6:$D$35,MATCH($E538,单位档案!$A$6:$A$35,0)),"")),IFERROR(INDEX(项目档案!$G$6:$G$255,MATCH($C538,项目档案!$A$6:$A$255,0)),"")),N(IFERROR(INDEX(单位档案!$D$6:$D$35,MATCH($E538,单位档案!$A$6:$A$35,0)),"")))))</f>
        <v/>
      </c>
      <c r="J538" s="22"/>
      <c r="K538" s="22"/>
      <c r="L538" s="33" t="str">
        <f aca="false">IF($B538="","",IF(NOT(ISNUMBER($B538)),"日期格式不对",IF($C538="","未选项目编号",IF(LEFT($M538,1)="⚠","项目编号不存在",IF($D538="","未选业务类型",IF($E538="","未选开票/付款方",IF(ISNA(MATCH($E538,单位档案!$A$6:$A$35,0)),"开票方不在单位档案",IF($F538="","未选收票/收款方",IF(ISNA(MATCH($F538,单位档案!$A$6:$A$35,0)),"收款方不在单位档案",IF(NOT(ISNUMBER($H538)),"金额须为数字",IF(AND($D538="销项开票",$N538="—"),"链条待确认","√")))))))))))</f>
        <v/>
      </c>
      <c r="M538" s="34" t="str">
        <f aca="false">IF($C538="","",IFERROR(INDEX(项目档案!$B$6:$B$255,MATCH($C538,项目档案!$A$6:$A$255,0)),"⚠项目编号不存在"))</f>
        <v/>
      </c>
      <c r="N538" s="35" t="str">
        <f aca="false">IF($E538="","",IF($E538=IFERROR(INDEX(项目档案!$D$6:$D$255,MATCH($C538,项目档案!$A$6:$A$255,0)),""),"一级",IF($E538=IFERROR(INDEX(项目档案!$F$6:$F$255,MATCH($C538,项目档案!$A$6:$A$255,0)),""),"二级",IF($E538=IFERROR(INDEX(项目档案!$H$6:$H$255,MATCH($C538,项目档案!$A$6:$A$255,0)),""),"我方","—"))))</f>
        <v/>
      </c>
      <c r="O538" s="36" t="n">
        <f aca="false">IF($D538&lt;&gt;"销项开票",0,ROUND(N($H538)*N($I538),2))</f>
        <v>0</v>
      </c>
      <c r="P538" s="36" t="n">
        <f aca="false">IF($D538&lt;&gt;"销项开票",0,ROUND(N($H538)-$O538,2))</f>
        <v>0</v>
      </c>
      <c r="Q538" s="37" t="str">
        <f aca="false">IF($E538="","",N(IFERROR(INDEX(单位档案!$E$6:$E$35,MATCH($E538,单位档案!$A$6:$A$35,0)),"")))</f>
        <v/>
      </c>
      <c r="R538" s="37" t="str">
        <f aca="false">IF($E538="","",N(IFERROR(INDEX(单位档案!$F$6:$F$35,MATCH($E538,单位档案!$A$6:$A$35,0)),"")))</f>
        <v/>
      </c>
      <c r="S538" s="36" t="n">
        <f aca="false">IF(OR($D538&lt;&gt;"销项开票",IFERROR(INDEX(单位档案!$G$6:$G$35,MATCH($E538,单位档案!$A$6:$A$35,0)),"")&lt;&gt;"是",N($Q538)=0),0,IF(IFERROR(INDEX(单位档案!$H$6:$H$35,MATCH($E538,单位档案!$A$6:$A$35,0)),"")="税差法",ROUND(N($H538)/(1+$Q538)*$Q538-IF(N($R538)=0,0,$P538/(1+$R538)*$R538),2),ROUND(N($H538)/(1+$Q538)*$Q538,2)))</f>
        <v>0</v>
      </c>
      <c r="T538" s="36" t="n">
        <f aca="false">ROUND($S538*N(IFERROR(INDEX(单位档案!$J$6:$J$35,MATCH($E538,单位档案!$A$6:$A$35,0)),"")),2)</f>
        <v>0</v>
      </c>
      <c r="U538" s="36" t="n">
        <f aca="false">IF($D538&lt;&gt;"销项开票",0,ROUND(N($H538)*N(IFERROR(INDEX(单位档案!$K$6:$K$35,MATCH($E538,单位档案!$A$6:$A$35,0)),"")),2))</f>
        <v>0</v>
      </c>
      <c r="V538" s="36" t="n">
        <f aca="false">IF(OR($D538&lt;&gt;"销项开票",N($Q538)=0),0,ROUND(N($H538)/(1+$Q538)*N(IFERROR(INDEX(单位档案!$L$6:$L$35,MATCH($E538,单位档案!$A$6:$A$35,0)),"")),2))</f>
        <v>0</v>
      </c>
      <c r="W538" s="36" t="n">
        <f aca="false">ROUND($S538+$T538+$U538+$V538,2)</f>
        <v>0</v>
      </c>
      <c r="X538" s="35" t="str">
        <f aca="false">IF(OR($D538="挂靠代收",$D538="我方收款"),COUNTIFS($D$5:$D538,"挂靠代收")+COUNTIFS($D$5:$D538,"我方收款"),"")</f>
        <v/>
      </c>
      <c r="Y538" s="35"/>
      <c r="Z538" s="21" t="s">
        <v>111</v>
      </c>
    </row>
    <row r="539" customFormat="false" ht="15.75" hidden="false" customHeight="true" outlineLevel="0" collapsed="false">
      <c r="A539" s="32" t="str">
        <f aca="false">IF($B539="","",ROW()-4)</f>
        <v/>
      </c>
      <c r="B539" s="26"/>
      <c r="C539" s="24"/>
      <c r="D539" s="21"/>
      <c r="E539" s="21"/>
      <c r="F539" s="21"/>
      <c r="G539" s="21"/>
      <c r="H539" s="27"/>
      <c r="I539" s="23" t="str">
        <f aca="false">IF($D539&lt;&gt;"销项开票","",IF($N539="一级",IF(IFERROR(INDEX(项目档案!$E$6:$E$255,MATCH($C539,项目档案!$A$6:$A$255,0)),"")="",N(IFERROR(INDEX(单位档案!$D$6:$D$35,MATCH($E539,单位档案!$A$6:$A$35,0)),"")),IFERROR(INDEX(项目档案!$E$6:$E$255,MATCH($C539,项目档案!$A$6:$A$255,0)),"")),IF($N539="二级",IF(IFERROR(INDEX(项目档案!$G$6:$G$255,MATCH($C539,项目档案!$A$6:$A$255,0)),"")="",N(IFERROR(INDEX(单位档案!$D$6:$D$35,MATCH($E539,单位档案!$A$6:$A$35,0)),"")),IFERROR(INDEX(项目档案!$G$6:$G$255,MATCH($C539,项目档案!$A$6:$A$255,0)),"")),N(IFERROR(INDEX(单位档案!$D$6:$D$35,MATCH($E539,单位档案!$A$6:$A$35,0)),"")))))</f>
        <v/>
      </c>
      <c r="J539" s="22"/>
      <c r="K539" s="22"/>
      <c r="L539" s="33" t="str">
        <f aca="false">IF($B539="","",IF(NOT(ISNUMBER($B539)),"日期格式不对",IF($C539="","未选项目编号",IF(LEFT($M539,1)="⚠","项目编号不存在",IF($D539="","未选业务类型",IF($E539="","未选开票/付款方",IF(ISNA(MATCH($E539,单位档案!$A$6:$A$35,0)),"开票方不在单位档案",IF($F539="","未选收票/收款方",IF(ISNA(MATCH($F539,单位档案!$A$6:$A$35,0)),"收款方不在单位档案",IF(NOT(ISNUMBER($H539)),"金额须为数字",IF(AND($D539="销项开票",$N539="—"),"链条待确认","√")))))))))))</f>
        <v/>
      </c>
      <c r="M539" s="34" t="str">
        <f aca="false">IF($C539="","",IFERROR(INDEX(项目档案!$B$6:$B$255,MATCH($C539,项目档案!$A$6:$A$255,0)),"⚠项目编号不存在"))</f>
        <v/>
      </c>
      <c r="N539" s="35" t="str">
        <f aca="false">IF($E539="","",IF($E539=IFERROR(INDEX(项目档案!$D$6:$D$255,MATCH($C539,项目档案!$A$6:$A$255,0)),""),"一级",IF($E539=IFERROR(INDEX(项目档案!$F$6:$F$255,MATCH($C539,项目档案!$A$6:$A$255,0)),""),"二级",IF($E539=IFERROR(INDEX(项目档案!$H$6:$H$255,MATCH($C539,项目档案!$A$6:$A$255,0)),""),"我方","—"))))</f>
        <v/>
      </c>
      <c r="O539" s="36" t="n">
        <f aca="false">IF($D539&lt;&gt;"销项开票",0,ROUND(N($H539)*N($I539),2))</f>
        <v>0</v>
      </c>
      <c r="P539" s="36" t="n">
        <f aca="false">IF($D539&lt;&gt;"销项开票",0,ROUND(N($H539)-$O539,2))</f>
        <v>0</v>
      </c>
      <c r="Q539" s="37" t="str">
        <f aca="false">IF($E539="","",N(IFERROR(INDEX(单位档案!$E$6:$E$35,MATCH($E539,单位档案!$A$6:$A$35,0)),"")))</f>
        <v/>
      </c>
      <c r="R539" s="37" t="str">
        <f aca="false">IF($E539="","",N(IFERROR(INDEX(单位档案!$F$6:$F$35,MATCH($E539,单位档案!$A$6:$A$35,0)),"")))</f>
        <v/>
      </c>
      <c r="S539" s="36" t="n">
        <f aca="false">IF(OR($D539&lt;&gt;"销项开票",IFERROR(INDEX(单位档案!$G$6:$G$35,MATCH($E539,单位档案!$A$6:$A$35,0)),"")&lt;&gt;"是",N($Q539)=0),0,IF(IFERROR(INDEX(单位档案!$H$6:$H$35,MATCH($E539,单位档案!$A$6:$A$35,0)),"")="税差法",ROUND(N($H539)/(1+$Q539)*$Q539-IF(N($R539)=0,0,$P539/(1+$R539)*$R539),2),ROUND(N($H539)/(1+$Q539)*$Q539,2)))</f>
        <v>0</v>
      </c>
      <c r="T539" s="36" t="n">
        <f aca="false">ROUND($S539*N(IFERROR(INDEX(单位档案!$J$6:$J$35,MATCH($E539,单位档案!$A$6:$A$35,0)),"")),2)</f>
        <v>0</v>
      </c>
      <c r="U539" s="36" t="n">
        <f aca="false">IF($D539&lt;&gt;"销项开票",0,ROUND(N($H539)*N(IFERROR(INDEX(单位档案!$K$6:$K$35,MATCH($E539,单位档案!$A$6:$A$35,0)),"")),2))</f>
        <v>0</v>
      </c>
      <c r="V539" s="36" t="n">
        <f aca="false">IF(OR($D539&lt;&gt;"销项开票",N($Q539)=0),0,ROUND(N($H539)/(1+$Q539)*N(IFERROR(INDEX(单位档案!$L$6:$L$35,MATCH($E539,单位档案!$A$6:$A$35,0)),"")),2))</f>
        <v>0</v>
      </c>
      <c r="W539" s="36" t="n">
        <f aca="false">ROUND($S539+$T539+$U539+$V539,2)</f>
        <v>0</v>
      </c>
      <c r="X539" s="35" t="str">
        <f aca="false">IF(OR($D539="挂靠代收",$D539="我方收款"),COUNTIFS($D$5:$D539,"挂靠代收")+COUNTIFS($D$5:$D539,"我方收款"),"")</f>
        <v/>
      </c>
      <c r="Y539" s="35"/>
      <c r="Z539" s="21" t="s">
        <v>111</v>
      </c>
    </row>
    <row r="540" customFormat="false" ht="15.75" hidden="false" customHeight="true" outlineLevel="0" collapsed="false">
      <c r="A540" s="32" t="str">
        <f aca="false">IF($B540="","",ROW()-4)</f>
        <v/>
      </c>
      <c r="B540" s="26"/>
      <c r="C540" s="24"/>
      <c r="D540" s="21"/>
      <c r="E540" s="21"/>
      <c r="F540" s="21"/>
      <c r="G540" s="21"/>
      <c r="H540" s="27"/>
      <c r="I540" s="23" t="str">
        <f aca="false">IF($D540&lt;&gt;"销项开票","",IF($N540="一级",IF(IFERROR(INDEX(项目档案!$E$6:$E$255,MATCH($C540,项目档案!$A$6:$A$255,0)),"")="",N(IFERROR(INDEX(单位档案!$D$6:$D$35,MATCH($E540,单位档案!$A$6:$A$35,0)),"")),IFERROR(INDEX(项目档案!$E$6:$E$255,MATCH($C540,项目档案!$A$6:$A$255,0)),"")),IF($N540="二级",IF(IFERROR(INDEX(项目档案!$G$6:$G$255,MATCH($C540,项目档案!$A$6:$A$255,0)),"")="",N(IFERROR(INDEX(单位档案!$D$6:$D$35,MATCH($E540,单位档案!$A$6:$A$35,0)),"")),IFERROR(INDEX(项目档案!$G$6:$G$255,MATCH($C540,项目档案!$A$6:$A$255,0)),"")),N(IFERROR(INDEX(单位档案!$D$6:$D$35,MATCH($E540,单位档案!$A$6:$A$35,0)),"")))))</f>
        <v/>
      </c>
      <c r="J540" s="22"/>
      <c r="K540" s="22"/>
      <c r="L540" s="33" t="str">
        <f aca="false">IF($B540="","",IF(NOT(ISNUMBER($B540)),"日期格式不对",IF($C540="","未选项目编号",IF(LEFT($M540,1)="⚠","项目编号不存在",IF($D540="","未选业务类型",IF($E540="","未选开票/付款方",IF(ISNA(MATCH($E540,单位档案!$A$6:$A$35,0)),"开票方不在单位档案",IF($F540="","未选收票/收款方",IF(ISNA(MATCH($F540,单位档案!$A$6:$A$35,0)),"收款方不在单位档案",IF(NOT(ISNUMBER($H540)),"金额须为数字",IF(AND($D540="销项开票",$N540="—"),"链条待确认","√")))))))))))</f>
        <v/>
      </c>
      <c r="M540" s="34" t="str">
        <f aca="false">IF($C540="","",IFERROR(INDEX(项目档案!$B$6:$B$255,MATCH($C540,项目档案!$A$6:$A$255,0)),"⚠项目编号不存在"))</f>
        <v/>
      </c>
      <c r="N540" s="35" t="str">
        <f aca="false">IF($E540="","",IF($E540=IFERROR(INDEX(项目档案!$D$6:$D$255,MATCH($C540,项目档案!$A$6:$A$255,0)),""),"一级",IF($E540=IFERROR(INDEX(项目档案!$F$6:$F$255,MATCH($C540,项目档案!$A$6:$A$255,0)),""),"二级",IF($E540=IFERROR(INDEX(项目档案!$H$6:$H$255,MATCH($C540,项目档案!$A$6:$A$255,0)),""),"我方","—"))))</f>
        <v/>
      </c>
      <c r="O540" s="36" t="n">
        <f aca="false">IF($D540&lt;&gt;"销项开票",0,ROUND(N($H540)*N($I540),2))</f>
        <v>0</v>
      </c>
      <c r="P540" s="36" t="n">
        <f aca="false">IF($D540&lt;&gt;"销项开票",0,ROUND(N($H540)-$O540,2))</f>
        <v>0</v>
      </c>
      <c r="Q540" s="37" t="str">
        <f aca="false">IF($E540="","",N(IFERROR(INDEX(单位档案!$E$6:$E$35,MATCH($E540,单位档案!$A$6:$A$35,0)),"")))</f>
        <v/>
      </c>
      <c r="R540" s="37" t="str">
        <f aca="false">IF($E540="","",N(IFERROR(INDEX(单位档案!$F$6:$F$35,MATCH($E540,单位档案!$A$6:$A$35,0)),"")))</f>
        <v/>
      </c>
      <c r="S540" s="36" t="n">
        <f aca="false">IF(OR($D540&lt;&gt;"销项开票",IFERROR(INDEX(单位档案!$G$6:$G$35,MATCH($E540,单位档案!$A$6:$A$35,0)),"")&lt;&gt;"是",N($Q540)=0),0,IF(IFERROR(INDEX(单位档案!$H$6:$H$35,MATCH($E540,单位档案!$A$6:$A$35,0)),"")="税差法",ROUND(N($H540)/(1+$Q540)*$Q540-IF(N($R540)=0,0,$P540/(1+$R540)*$R540),2),ROUND(N($H540)/(1+$Q540)*$Q540,2)))</f>
        <v>0</v>
      </c>
      <c r="T540" s="36" t="n">
        <f aca="false">ROUND($S540*N(IFERROR(INDEX(单位档案!$J$6:$J$35,MATCH($E540,单位档案!$A$6:$A$35,0)),"")),2)</f>
        <v>0</v>
      </c>
      <c r="U540" s="36" t="n">
        <f aca="false">IF($D540&lt;&gt;"销项开票",0,ROUND(N($H540)*N(IFERROR(INDEX(单位档案!$K$6:$K$35,MATCH($E540,单位档案!$A$6:$A$35,0)),"")),2))</f>
        <v>0</v>
      </c>
      <c r="V540" s="36" t="n">
        <f aca="false">IF(OR($D540&lt;&gt;"销项开票",N($Q540)=0),0,ROUND(N($H540)/(1+$Q540)*N(IFERROR(INDEX(单位档案!$L$6:$L$35,MATCH($E540,单位档案!$A$6:$A$35,0)),"")),2))</f>
        <v>0</v>
      </c>
      <c r="W540" s="36" t="n">
        <f aca="false">ROUND($S540+$T540+$U540+$V540,2)</f>
        <v>0</v>
      </c>
      <c r="X540" s="35" t="str">
        <f aca="false">IF(OR($D540="挂靠代收",$D540="我方收款"),COUNTIFS($D$5:$D540,"挂靠代收")+COUNTIFS($D$5:$D540,"我方收款"),"")</f>
        <v/>
      </c>
      <c r="Y540" s="35"/>
      <c r="Z540" s="21" t="s">
        <v>111</v>
      </c>
    </row>
    <row r="541" customFormat="false" ht="15.75" hidden="false" customHeight="true" outlineLevel="0" collapsed="false">
      <c r="A541" s="32" t="str">
        <f aca="false">IF($B541="","",ROW()-4)</f>
        <v/>
      </c>
      <c r="B541" s="26"/>
      <c r="C541" s="24"/>
      <c r="D541" s="21"/>
      <c r="E541" s="21"/>
      <c r="F541" s="21"/>
      <c r="G541" s="21"/>
      <c r="H541" s="27"/>
      <c r="I541" s="23" t="str">
        <f aca="false">IF($D541&lt;&gt;"销项开票","",IF($N541="一级",IF(IFERROR(INDEX(项目档案!$E$6:$E$255,MATCH($C541,项目档案!$A$6:$A$255,0)),"")="",N(IFERROR(INDEX(单位档案!$D$6:$D$35,MATCH($E541,单位档案!$A$6:$A$35,0)),"")),IFERROR(INDEX(项目档案!$E$6:$E$255,MATCH($C541,项目档案!$A$6:$A$255,0)),"")),IF($N541="二级",IF(IFERROR(INDEX(项目档案!$G$6:$G$255,MATCH($C541,项目档案!$A$6:$A$255,0)),"")="",N(IFERROR(INDEX(单位档案!$D$6:$D$35,MATCH($E541,单位档案!$A$6:$A$35,0)),"")),IFERROR(INDEX(项目档案!$G$6:$G$255,MATCH($C541,项目档案!$A$6:$A$255,0)),"")),N(IFERROR(INDEX(单位档案!$D$6:$D$35,MATCH($E541,单位档案!$A$6:$A$35,0)),"")))))</f>
        <v/>
      </c>
      <c r="J541" s="22"/>
      <c r="K541" s="22"/>
      <c r="L541" s="33" t="str">
        <f aca="false">IF($B541="","",IF(NOT(ISNUMBER($B541)),"日期格式不对",IF($C541="","未选项目编号",IF(LEFT($M541,1)="⚠","项目编号不存在",IF($D541="","未选业务类型",IF($E541="","未选开票/付款方",IF(ISNA(MATCH($E541,单位档案!$A$6:$A$35,0)),"开票方不在单位档案",IF($F541="","未选收票/收款方",IF(ISNA(MATCH($F541,单位档案!$A$6:$A$35,0)),"收款方不在单位档案",IF(NOT(ISNUMBER($H541)),"金额须为数字",IF(AND($D541="销项开票",$N541="—"),"链条待确认","√")))))))))))</f>
        <v/>
      </c>
      <c r="M541" s="34" t="str">
        <f aca="false">IF($C541="","",IFERROR(INDEX(项目档案!$B$6:$B$255,MATCH($C541,项目档案!$A$6:$A$255,0)),"⚠项目编号不存在"))</f>
        <v/>
      </c>
      <c r="N541" s="35" t="str">
        <f aca="false">IF($E541="","",IF($E541=IFERROR(INDEX(项目档案!$D$6:$D$255,MATCH($C541,项目档案!$A$6:$A$255,0)),""),"一级",IF($E541=IFERROR(INDEX(项目档案!$F$6:$F$255,MATCH($C541,项目档案!$A$6:$A$255,0)),""),"二级",IF($E541=IFERROR(INDEX(项目档案!$H$6:$H$255,MATCH($C541,项目档案!$A$6:$A$255,0)),""),"我方","—"))))</f>
        <v/>
      </c>
      <c r="O541" s="36" t="n">
        <f aca="false">IF($D541&lt;&gt;"销项开票",0,ROUND(N($H541)*N($I541),2))</f>
        <v>0</v>
      </c>
      <c r="P541" s="36" t="n">
        <f aca="false">IF($D541&lt;&gt;"销项开票",0,ROUND(N($H541)-$O541,2))</f>
        <v>0</v>
      </c>
      <c r="Q541" s="37" t="str">
        <f aca="false">IF($E541="","",N(IFERROR(INDEX(单位档案!$E$6:$E$35,MATCH($E541,单位档案!$A$6:$A$35,0)),"")))</f>
        <v/>
      </c>
      <c r="R541" s="37" t="str">
        <f aca="false">IF($E541="","",N(IFERROR(INDEX(单位档案!$F$6:$F$35,MATCH($E541,单位档案!$A$6:$A$35,0)),"")))</f>
        <v/>
      </c>
      <c r="S541" s="36" t="n">
        <f aca="false">IF(OR($D541&lt;&gt;"销项开票",IFERROR(INDEX(单位档案!$G$6:$G$35,MATCH($E541,单位档案!$A$6:$A$35,0)),"")&lt;&gt;"是",N($Q541)=0),0,IF(IFERROR(INDEX(单位档案!$H$6:$H$35,MATCH($E541,单位档案!$A$6:$A$35,0)),"")="税差法",ROUND(N($H541)/(1+$Q541)*$Q541-IF(N($R541)=0,0,$P541/(1+$R541)*$R541),2),ROUND(N($H541)/(1+$Q541)*$Q541,2)))</f>
        <v>0</v>
      </c>
      <c r="T541" s="36" t="n">
        <f aca="false">ROUND($S541*N(IFERROR(INDEX(单位档案!$J$6:$J$35,MATCH($E541,单位档案!$A$6:$A$35,0)),"")),2)</f>
        <v>0</v>
      </c>
      <c r="U541" s="36" t="n">
        <f aca="false">IF($D541&lt;&gt;"销项开票",0,ROUND(N($H541)*N(IFERROR(INDEX(单位档案!$K$6:$K$35,MATCH($E541,单位档案!$A$6:$A$35,0)),"")),2))</f>
        <v>0</v>
      </c>
      <c r="V541" s="36" t="n">
        <f aca="false">IF(OR($D541&lt;&gt;"销项开票",N($Q541)=0),0,ROUND(N($H541)/(1+$Q541)*N(IFERROR(INDEX(单位档案!$L$6:$L$35,MATCH($E541,单位档案!$A$6:$A$35,0)),"")),2))</f>
        <v>0</v>
      </c>
      <c r="W541" s="36" t="n">
        <f aca="false">ROUND($S541+$T541+$U541+$V541,2)</f>
        <v>0</v>
      </c>
      <c r="X541" s="35" t="str">
        <f aca="false">IF(OR($D541="挂靠代收",$D541="我方收款"),COUNTIFS($D$5:$D541,"挂靠代收")+COUNTIFS($D$5:$D541,"我方收款"),"")</f>
        <v/>
      </c>
      <c r="Y541" s="35"/>
      <c r="Z541" s="21" t="s">
        <v>111</v>
      </c>
    </row>
    <row r="542" customFormat="false" ht="15.75" hidden="false" customHeight="true" outlineLevel="0" collapsed="false">
      <c r="A542" s="32" t="str">
        <f aca="false">IF($B542="","",ROW()-4)</f>
        <v/>
      </c>
      <c r="B542" s="26"/>
      <c r="C542" s="24"/>
      <c r="D542" s="21"/>
      <c r="E542" s="21"/>
      <c r="F542" s="21"/>
      <c r="G542" s="21"/>
      <c r="H542" s="27"/>
      <c r="I542" s="23" t="str">
        <f aca="false">IF($D542&lt;&gt;"销项开票","",IF($N542="一级",IF(IFERROR(INDEX(项目档案!$E$6:$E$255,MATCH($C542,项目档案!$A$6:$A$255,0)),"")="",N(IFERROR(INDEX(单位档案!$D$6:$D$35,MATCH($E542,单位档案!$A$6:$A$35,0)),"")),IFERROR(INDEX(项目档案!$E$6:$E$255,MATCH($C542,项目档案!$A$6:$A$255,0)),"")),IF($N542="二级",IF(IFERROR(INDEX(项目档案!$G$6:$G$255,MATCH($C542,项目档案!$A$6:$A$255,0)),"")="",N(IFERROR(INDEX(单位档案!$D$6:$D$35,MATCH($E542,单位档案!$A$6:$A$35,0)),"")),IFERROR(INDEX(项目档案!$G$6:$G$255,MATCH($C542,项目档案!$A$6:$A$255,0)),"")),N(IFERROR(INDEX(单位档案!$D$6:$D$35,MATCH($E542,单位档案!$A$6:$A$35,0)),"")))))</f>
        <v/>
      </c>
      <c r="J542" s="22"/>
      <c r="K542" s="22"/>
      <c r="L542" s="33" t="str">
        <f aca="false">IF($B542="","",IF(NOT(ISNUMBER($B542)),"日期格式不对",IF($C542="","未选项目编号",IF(LEFT($M542,1)="⚠","项目编号不存在",IF($D542="","未选业务类型",IF($E542="","未选开票/付款方",IF(ISNA(MATCH($E542,单位档案!$A$6:$A$35,0)),"开票方不在单位档案",IF($F542="","未选收票/收款方",IF(ISNA(MATCH($F542,单位档案!$A$6:$A$35,0)),"收款方不在单位档案",IF(NOT(ISNUMBER($H542)),"金额须为数字",IF(AND($D542="销项开票",$N542="—"),"链条待确认","√")))))))))))</f>
        <v/>
      </c>
      <c r="M542" s="34" t="str">
        <f aca="false">IF($C542="","",IFERROR(INDEX(项目档案!$B$6:$B$255,MATCH($C542,项目档案!$A$6:$A$255,0)),"⚠项目编号不存在"))</f>
        <v/>
      </c>
      <c r="N542" s="35" t="str">
        <f aca="false">IF($E542="","",IF($E542=IFERROR(INDEX(项目档案!$D$6:$D$255,MATCH($C542,项目档案!$A$6:$A$255,0)),""),"一级",IF($E542=IFERROR(INDEX(项目档案!$F$6:$F$255,MATCH($C542,项目档案!$A$6:$A$255,0)),""),"二级",IF($E542=IFERROR(INDEX(项目档案!$H$6:$H$255,MATCH($C542,项目档案!$A$6:$A$255,0)),""),"我方","—"))))</f>
        <v/>
      </c>
      <c r="O542" s="36" t="n">
        <f aca="false">IF($D542&lt;&gt;"销项开票",0,ROUND(N($H542)*N($I542),2))</f>
        <v>0</v>
      </c>
      <c r="P542" s="36" t="n">
        <f aca="false">IF($D542&lt;&gt;"销项开票",0,ROUND(N($H542)-$O542,2))</f>
        <v>0</v>
      </c>
      <c r="Q542" s="37" t="str">
        <f aca="false">IF($E542="","",N(IFERROR(INDEX(单位档案!$E$6:$E$35,MATCH($E542,单位档案!$A$6:$A$35,0)),"")))</f>
        <v/>
      </c>
      <c r="R542" s="37" t="str">
        <f aca="false">IF($E542="","",N(IFERROR(INDEX(单位档案!$F$6:$F$35,MATCH($E542,单位档案!$A$6:$A$35,0)),"")))</f>
        <v/>
      </c>
      <c r="S542" s="36" t="n">
        <f aca="false">IF(OR($D542&lt;&gt;"销项开票",IFERROR(INDEX(单位档案!$G$6:$G$35,MATCH($E542,单位档案!$A$6:$A$35,0)),"")&lt;&gt;"是",N($Q542)=0),0,IF(IFERROR(INDEX(单位档案!$H$6:$H$35,MATCH($E542,单位档案!$A$6:$A$35,0)),"")="税差法",ROUND(N($H542)/(1+$Q542)*$Q542-IF(N($R542)=0,0,$P542/(1+$R542)*$R542),2),ROUND(N($H542)/(1+$Q542)*$Q542,2)))</f>
        <v>0</v>
      </c>
      <c r="T542" s="36" t="n">
        <f aca="false">ROUND($S542*N(IFERROR(INDEX(单位档案!$J$6:$J$35,MATCH($E542,单位档案!$A$6:$A$35,0)),"")),2)</f>
        <v>0</v>
      </c>
      <c r="U542" s="36" t="n">
        <f aca="false">IF($D542&lt;&gt;"销项开票",0,ROUND(N($H542)*N(IFERROR(INDEX(单位档案!$K$6:$K$35,MATCH($E542,单位档案!$A$6:$A$35,0)),"")),2))</f>
        <v>0</v>
      </c>
      <c r="V542" s="36" t="n">
        <f aca="false">IF(OR($D542&lt;&gt;"销项开票",N($Q542)=0),0,ROUND(N($H542)/(1+$Q542)*N(IFERROR(INDEX(单位档案!$L$6:$L$35,MATCH($E542,单位档案!$A$6:$A$35,0)),"")),2))</f>
        <v>0</v>
      </c>
      <c r="W542" s="36" t="n">
        <f aca="false">ROUND($S542+$T542+$U542+$V542,2)</f>
        <v>0</v>
      </c>
      <c r="X542" s="35" t="str">
        <f aca="false">IF(OR($D542="挂靠代收",$D542="我方收款"),COUNTIFS($D$5:$D542,"挂靠代收")+COUNTIFS($D$5:$D542,"我方收款"),"")</f>
        <v/>
      </c>
      <c r="Y542" s="35"/>
      <c r="Z542" s="21" t="s">
        <v>111</v>
      </c>
    </row>
    <row r="543" customFormat="false" ht="15.75" hidden="false" customHeight="true" outlineLevel="0" collapsed="false">
      <c r="A543" s="32" t="str">
        <f aca="false">IF($B543="","",ROW()-4)</f>
        <v/>
      </c>
      <c r="B543" s="26"/>
      <c r="C543" s="24"/>
      <c r="D543" s="21"/>
      <c r="E543" s="21"/>
      <c r="F543" s="21"/>
      <c r="G543" s="21"/>
      <c r="H543" s="27"/>
      <c r="I543" s="23" t="str">
        <f aca="false">IF($D543&lt;&gt;"销项开票","",IF($N543="一级",IF(IFERROR(INDEX(项目档案!$E$6:$E$255,MATCH($C543,项目档案!$A$6:$A$255,0)),"")="",N(IFERROR(INDEX(单位档案!$D$6:$D$35,MATCH($E543,单位档案!$A$6:$A$35,0)),"")),IFERROR(INDEX(项目档案!$E$6:$E$255,MATCH($C543,项目档案!$A$6:$A$255,0)),"")),IF($N543="二级",IF(IFERROR(INDEX(项目档案!$G$6:$G$255,MATCH($C543,项目档案!$A$6:$A$255,0)),"")="",N(IFERROR(INDEX(单位档案!$D$6:$D$35,MATCH($E543,单位档案!$A$6:$A$35,0)),"")),IFERROR(INDEX(项目档案!$G$6:$G$255,MATCH($C543,项目档案!$A$6:$A$255,0)),"")),N(IFERROR(INDEX(单位档案!$D$6:$D$35,MATCH($E543,单位档案!$A$6:$A$35,0)),"")))))</f>
        <v/>
      </c>
      <c r="J543" s="22"/>
      <c r="K543" s="22"/>
      <c r="L543" s="33" t="str">
        <f aca="false">IF($B543="","",IF(NOT(ISNUMBER($B543)),"日期格式不对",IF($C543="","未选项目编号",IF(LEFT($M543,1)="⚠","项目编号不存在",IF($D543="","未选业务类型",IF($E543="","未选开票/付款方",IF(ISNA(MATCH($E543,单位档案!$A$6:$A$35,0)),"开票方不在单位档案",IF($F543="","未选收票/收款方",IF(ISNA(MATCH($F543,单位档案!$A$6:$A$35,0)),"收款方不在单位档案",IF(NOT(ISNUMBER($H543)),"金额须为数字",IF(AND($D543="销项开票",$N543="—"),"链条待确认","√")))))))))))</f>
        <v/>
      </c>
      <c r="M543" s="34" t="str">
        <f aca="false">IF($C543="","",IFERROR(INDEX(项目档案!$B$6:$B$255,MATCH($C543,项目档案!$A$6:$A$255,0)),"⚠项目编号不存在"))</f>
        <v/>
      </c>
      <c r="N543" s="35" t="str">
        <f aca="false">IF($E543="","",IF($E543=IFERROR(INDEX(项目档案!$D$6:$D$255,MATCH($C543,项目档案!$A$6:$A$255,0)),""),"一级",IF($E543=IFERROR(INDEX(项目档案!$F$6:$F$255,MATCH($C543,项目档案!$A$6:$A$255,0)),""),"二级",IF($E543=IFERROR(INDEX(项目档案!$H$6:$H$255,MATCH($C543,项目档案!$A$6:$A$255,0)),""),"我方","—"))))</f>
        <v/>
      </c>
      <c r="O543" s="36" t="n">
        <f aca="false">IF($D543&lt;&gt;"销项开票",0,ROUND(N($H543)*N($I543),2))</f>
        <v>0</v>
      </c>
      <c r="P543" s="36" t="n">
        <f aca="false">IF($D543&lt;&gt;"销项开票",0,ROUND(N($H543)-$O543,2))</f>
        <v>0</v>
      </c>
      <c r="Q543" s="37" t="str">
        <f aca="false">IF($E543="","",N(IFERROR(INDEX(单位档案!$E$6:$E$35,MATCH($E543,单位档案!$A$6:$A$35,0)),"")))</f>
        <v/>
      </c>
      <c r="R543" s="37" t="str">
        <f aca="false">IF($E543="","",N(IFERROR(INDEX(单位档案!$F$6:$F$35,MATCH($E543,单位档案!$A$6:$A$35,0)),"")))</f>
        <v/>
      </c>
      <c r="S543" s="36" t="n">
        <f aca="false">IF(OR($D543&lt;&gt;"销项开票",IFERROR(INDEX(单位档案!$G$6:$G$35,MATCH($E543,单位档案!$A$6:$A$35,0)),"")&lt;&gt;"是",N($Q543)=0),0,IF(IFERROR(INDEX(单位档案!$H$6:$H$35,MATCH($E543,单位档案!$A$6:$A$35,0)),"")="税差法",ROUND(N($H543)/(1+$Q543)*$Q543-IF(N($R543)=0,0,$P543/(1+$R543)*$R543),2),ROUND(N($H543)/(1+$Q543)*$Q543,2)))</f>
        <v>0</v>
      </c>
      <c r="T543" s="36" t="n">
        <f aca="false">ROUND($S543*N(IFERROR(INDEX(单位档案!$J$6:$J$35,MATCH($E543,单位档案!$A$6:$A$35,0)),"")),2)</f>
        <v>0</v>
      </c>
      <c r="U543" s="36" t="n">
        <f aca="false">IF($D543&lt;&gt;"销项开票",0,ROUND(N($H543)*N(IFERROR(INDEX(单位档案!$K$6:$K$35,MATCH($E543,单位档案!$A$6:$A$35,0)),"")),2))</f>
        <v>0</v>
      </c>
      <c r="V543" s="36" t="n">
        <f aca="false">IF(OR($D543&lt;&gt;"销项开票",N($Q543)=0),0,ROUND(N($H543)/(1+$Q543)*N(IFERROR(INDEX(单位档案!$L$6:$L$35,MATCH($E543,单位档案!$A$6:$A$35,0)),"")),2))</f>
        <v>0</v>
      </c>
      <c r="W543" s="36" t="n">
        <f aca="false">ROUND($S543+$T543+$U543+$V543,2)</f>
        <v>0</v>
      </c>
      <c r="X543" s="35" t="str">
        <f aca="false">IF(OR($D543="挂靠代收",$D543="我方收款"),COUNTIFS($D$5:$D543,"挂靠代收")+COUNTIFS($D$5:$D543,"我方收款"),"")</f>
        <v/>
      </c>
      <c r="Y543" s="35"/>
      <c r="Z543" s="21" t="s">
        <v>111</v>
      </c>
    </row>
    <row r="544" customFormat="false" ht="15.75" hidden="false" customHeight="true" outlineLevel="0" collapsed="false">
      <c r="A544" s="32" t="str">
        <f aca="false">IF($B544="","",ROW()-4)</f>
        <v/>
      </c>
      <c r="B544" s="26"/>
      <c r="C544" s="24"/>
      <c r="D544" s="21"/>
      <c r="E544" s="21"/>
      <c r="F544" s="21"/>
      <c r="G544" s="21"/>
      <c r="H544" s="27"/>
      <c r="I544" s="23" t="str">
        <f aca="false">IF($D544&lt;&gt;"销项开票","",IF($N544="一级",IF(IFERROR(INDEX(项目档案!$E$6:$E$255,MATCH($C544,项目档案!$A$6:$A$255,0)),"")="",N(IFERROR(INDEX(单位档案!$D$6:$D$35,MATCH($E544,单位档案!$A$6:$A$35,0)),"")),IFERROR(INDEX(项目档案!$E$6:$E$255,MATCH($C544,项目档案!$A$6:$A$255,0)),"")),IF($N544="二级",IF(IFERROR(INDEX(项目档案!$G$6:$G$255,MATCH($C544,项目档案!$A$6:$A$255,0)),"")="",N(IFERROR(INDEX(单位档案!$D$6:$D$35,MATCH($E544,单位档案!$A$6:$A$35,0)),"")),IFERROR(INDEX(项目档案!$G$6:$G$255,MATCH($C544,项目档案!$A$6:$A$255,0)),"")),N(IFERROR(INDEX(单位档案!$D$6:$D$35,MATCH($E544,单位档案!$A$6:$A$35,0)),"")))))</f>
        <v/>
      </c>
      <c r="J544" s="22"/>
      <c r="K544" s="22"/>
      <c r="L544" s="33" t="str">
        <f aca="false">IF($B544="","",IF(NOT(ISNUMBER($B544)),"日期格式不对",IF($C544="","未选项目编号",IF(LEFT($M544,1)="⚠","项目编号不存在",IF($D544="","未选业务类型",IF($E544="","未选开票/付款方",IF(ISNA(MATCH($E544,单位档案!$A$6:$A$35,0)),"开票方不在单位档案",IF($F544="","未选收票/收款方",IF(ISNA(MATCH($F544,单位档案!$A$6:$A$35,0)),"收款方不在单位档案",IF(NOT(ISNUMBER($H544)),"金额须为数字",IF(AND($D544="销项开票",$N544="—"),"链条待确认","√")))))))))))</f>
        <v/>
      </c>
      <c r="M544" s="34" t="str">
        <f aca="false">IF($C544="","",IFERROR(INDEX(项目档案!$B$6:$B$255,MATCH($C544,项目档案!$A$6:$A$255,0)),"⚠项目编号不存在"))</f>
        <v/>
      </c>
      <c r="N544" s="35" t="str">
        <f aca="false">IF($E544="","",IF($E544=IFERROR(INDEX(项目档案!$D$6:$D$255,MATCH($C544,项目档案!$A$6:$A$255,0)),""),"一级",IF($E544=IFERROR(INDEX(项目档案!$F$6:$F$255,MATCH($C544,项目档案!$A$6:$A$255,0)),""),"二级",IF($E544=IFERROR(INDEX(项目档案!$H$6:$H$255,MATCH($C544,项目档案!$A$6:$A$255,0)),""),"我方","—"))))</f>
        <v/>
      </c>
      <c r="O544" s="36" t="n">
        <f aca="false">IF($D544&lt;&gt;"销项开票",0,ROUND(N($H544)*N($I544),2))</f>
        <v>0</v>
      </c>
      <c r="P544" s="36" t="n">
        <f aca="false">IF($D544&lt;&gt;"销项开票",0,ROUND(N($H544)-$O544,2))</f>
        <v>0</v>
      </c>
      <c r="Q544" s="37" t="str">
        <f aca="false">IF($E544="","",N(IFERROR(INDEX(单位档案!$E$6:$E$35,MATCH($E544,单位档案!$A$6:$A$35,0)),"")))</f>
        <v/>
      </c>
      <c r="R544" s="37" t="str">
        <f aca="false">IF($E544="","",N(IFERROR(INDEX(单位档案!$F$6:$F$35,MATCH($E544,单位档案!$A$6:$A$35,0)),"")))</f>
        <v/>
      </c>
      <c r="S544" s="36" t="n">
        <f aca="false">IF(OR($D544&lt;&gt;"销项开票",IFERROR(INDEX(单位档案!$G$6:$G$35,MATCH($E544,单位档案!$A$6:$A$35,0)),"")&lt;&gt;"是",N($Q544)=0),0,IF(IFERROR(INDEX(单位档案!$H$6:$H$35,MATCH($E544,单位档案!$A$6:$A$35,0)),"")="税差法",ROUND(N($H544)/(1+$Q544)*$Q544-IF(N($R544)=0,0,$P544/(1+$R544)*$R544),2),ROUND(N($H544)/(1+$Q544)*$Q544,2)))</f>
        <v>0</v>
      </c>
      <c r="T544" s="36" t="n">
        <f aca="false">ROUND($S544*N(IFERROR(INDEX(单位档案!$J$6:$J$35,MATCH($E544,单位档案!$A$6:$A$35,0)),"")),2)</f>
        <v>0</v>
      </c>
      <c r="U544" s="36" t="n">
        <f aca="false">IF($D544&lt;&gt;"销项开票",0,ROUND(N($H544)*N(IFERROR(INDEX(单位档案!$K$6:$K$35,MATCH($E544,单位档案!$A$6:$A$35,0)),"")),2))</f>
        <v>0</v>
      </c>
      <c r="V544" s="36" t="n">
        <f aca="false">IF(OR($D544&lt;&gt;"销项开票",N($Q544)=0),0,ROUND(N($H544)/(1+$Q544)*N(IFERROR(INDEX(单位档案!$L$6:$L$35,MATCH($E544,单位档案!$A$6:$A$35,0)),"")),2))</f>
        <v>0</v>
      </c>
      <c r="W544" s="36" t="n">
        <f aca="false">ROUND($S544+$T544+$U544+$V544,2)</f>
        <v>0</v>
      </c>
      <c r="X544" s="35" t="str">
        <f aca="false">IF(OR($D544="挂靠代收",$D544="我方收款"),COUNTIFS($D$5:$D544,"挂靠代收")+COUNTIFS($D$5:$D544,"我方收款"),"")</f>
        <v/>
      </c>
      <c r="Y544" s="35"/>
      <c r="Z544" s="21" t="s">
        <v>111</v>
      </c>
    </row>
    <row r="545" customFormat="false" ht="15.75" hidden="false" customHeight="true" outlineLevel="0" collapsed="false">
      <c r="A545" s="32" t="str">
        <f aca="false">IF($B545="","",ROW()-4)</f>
        <v/>
      </c>
      <c r="B545" s="26"/>
      <c r="C545" s="24"/>
      <c r="D545" s="21"/>
      <c r="E545" s="21"/>
      <c r="F545" s="21"/>
      <c r="G545" s="21"/>
      <c r="H545" s="27"/>
      <c r="I545" s="23" t="str">
        <f aca="false">IF($D545&lt;&gt;"销项开票","",IF($N545="一级",IF(IFERROR(INDEX(项目档案!$E$6:$E$255,MATCH($C545,项目档案!$A$6:$A$255,0)),"")="",N(IFERROR(INDEX(单位档案!$D$6:$D$35,MATCH($E545,单位档案!$A$6:$A$35,0)),"")),IFERROR(INDEX(项目档案!$E$6:$E$255,MATCH($C545,项目档案!$A$6:$A$255,0)),"")),IF($N545="二级",IF(IFERROR(INDEX(项目档案!$G$6:$G$255,MATCH($C545,项目档案!$A$6:$A$255,0)),"")="",N(IFERROR(INDEX(单位档案!$D$6:$D$35,MATCH($E545,单位档案!$A$6:$A$35,0)),"")),IFERROR(INDEX(项目档案!$G$6:$G$255,MATCH($C545,项目档案!$A$6:$A$255,0)),"")),N(IFERROR(INDEX(单位档案!$D$6:$D$35,MATCH($E545,单位档案!$A$6:$A$35,0)),"")))))</f>
        <v/>
      </c>
      <c r="J545" s="22"/>
      <c r="K545" s="22"/>
      <c r="L545" s="33" t="str">
        <f aca="false">IF($B545="","",IF(NOT(ISNUMBER($B545)),"日期格式不对",IF($C545="","未选项目编号",IF(LEFT($M545,1)="⚠","项目编号不存在",IF($D545="","未选业务类型",IF($E545="","未选开票/付款方",IF(ISNA(MATCH($E545,单位档案!$A$6:$A$35,0)),"开票方不在单位档案",IF($F545="","未选收票/收款方",IF(ISNA(MATCH($F545,单位档案!$A$6:$A$35,0)),"收款方不在单位档案",IF(NOT(ISNUMBER($H545)),"金额须为数字",IF(AND($D545="销项开票",$N545="—"),"链条待确认","√")))))))))))</f>
        <v/>
      </c>
      <c r="M545" s="34" t="str">
        <f aca="false">IF($C545="","",IFERROR(INDEX(项目档案!$B$6:$B$255,MATCH($C545,项目档案!$A$6:$A$255,0)),"⚠项目编号不存在"))</f>
        <v/>
      </c>
      <c r="N545" s="35" t="str">
        <f aca="false">IF($E545="","",IF($E545=IFERROR(INDEX(项目档案!$D$6:$D$255,MATCH($C545,项目档案!$A$6:$A$255,0)),""),"一级",IF($E545=IFERROR(INDEX(项目档案!$F$6:$F$255,MATCH($C545,项目档案!$A$6:$A$255,0)),""),"二级",IF($E545=IFERROR(INDEX(项目档案!$H$6:$H$255,MATCH($C545,项目档案!$A$6:$A$255,0)),""),"我方","—"))))</f>
        <v/>
      </c>
      <c r="O545" s="36" t="n">
        <f aca="false">IF($D545&lt;&gt;"销项开票",0,ROUND(N($H545)*N($I545),2))</f>
        <v>0</v>
      </c>
      <c r="P545" s="36" t="n">
        <f aca="false">IF($D545&lt;&gt;"销项开票",0,ROUND(N($H545)-$O545,2))</f>
        <v>0</v>
      </c>
      <c r="Q545" s="37" t="str">
        <f aca="false">IF($E545="","",N(IFERROR(INDEX(单位档案!$E$6:$E$35,MATCH($E545,单位档案!$A$6:$A$35,0)),"")))</f>
        <v/>
      </c>
      <c r="R545" s="37" t="str">
        <f aca="false">IF($E545="","",N(IFERROR(INDEX(单位档案!$F$6:$F$35,MATCH($E545,单位档案!$A$6:$A$35,0)),"")))</f>
        <v/>
      </c>
      <c r="S545" s="36" t="n">
        <f aca="false">IF(OR($D545&lt;&gt;"销项开票",IFERROR(INDEX(单位档案!$G$6:$G$35,MATCH($E545,单位档案!$A$6:$A$35,0)),"")&lt;&gt;"是",N($Q545)=0),0,IF(IFERROR(INDEX(单位档案!$H$6:$H$35,MATCH($E545,单位档案!$A$6:$A$35,0)),"")="税差法",ROUND(N($H545)/(1+$Q545)*$Q545-IF(N($R545)=0,0,$P545/(1+$R545)*$R545),2),ROUND(N($H545)/(1+$Q545)*$Q545,2)))</f>
        <v>0</v>
      </c>
      <c r="T545" s="36" t="n">
        <f aca="false">ROUND($S545*N(IFERROR(INDEX(单位档案!$J$6:$J$35,MATCH($E545,单位档案!$A$6:$A$35,0)),"")),2)</f>
        <v>0</v>
      </c>
      <c r="U545" s="36" t="n">
        <f aca="false">IF($D545&lt;&gt;"销项开票",0,ROUND(N($H545)*N(IFERROR(INDEX(单位档案!$K$6:$K$35,MATCH($E545,单位档案!$A$6:$A$35,0)),"")),2))</f>
        <v>0</v>
      </c>
      <c r="V545" s="36" t="n">
        <f aca="false">IF(OR($D545&lt;&gt;"销项开票",N($Q545)=0),0,ROUND(N($H545)/(1+$Q545)*N(IFERROR(INDEX(单位档案!$L$6:$L$35,MATCH($E545,单位档案!$A$6:$A$35,0)),"")),2))</f>
        <v>0</v>
      </c>
      <c r="W545" s="36" t="n">
        <f aca="false">ROUND($S545+$T545+$U545+$V545,2)</f>
        <v>0</v>
      </c>
      <c r="X545" s="35" t="str">
        <f aca="false">IF(OR($D545="挂靠代收",$D545="我方收款"),COUNTIFS($D$5:$D545,"挂靠代收")+COUNTIFS($D$5:$D545,"我方收款"),"")</f>
        <v/>
      </c>
      <c r="Y545" s="35"/>
      <c r="Z545" s="21" t="s">
        <v>111</v>
      </c>
    </row>
    <row r="546" customFormat="false" ht="15.75" hidden="false" customHeight="true" outlineLevel="0" collapsed="false">
      <c r="A546" s="32" t="str">
        <f aca="false">IF($B546="","",ROW()-4)</f>
        <v/>
      </c>
      <c r="B546" s="26"/>
      <c r="C546" s="24"/>
      <c r="D546" s="21"/>
      <c r="E546" s="21"/>
      <c r="F546" s="21"/>
      <c r="G546" s="21"/>
      <c r="H546" s="27"/>
      <c r="I546" s="23" t="str">
        <f aca="false">IF($D546&lt;&gt;"销项开票","",IF($N546="一级",IF(IFERROR(INDEX(项目档案!$E$6:$E$255,MATCH($C546,项目档案!$A$6:$A$255,0)),"")="",N(IFERROR(INDEX(单位档案!$D$6:$D$35,MATCH($E546,单位档案!$A$6:$A$35,0)),"")),IFERROR(INDEX(项目档案!$E$6:$E$255,MATCH($C546,项目档案!$A$6:$A$255,0)),"")),IF($N546="二级",IF(IFERROR(INDEX(项目档案!$G$6:$G$255,MATCH($C546,项目档案!$A$6:$A$255,0)),"")="",N(IFERROR(INDEX(单位档案!$D$6:$D$35,MATCH($E546,单位档案!$A$6:$A$35,0)),"")),IFERROR(INDEX(项目档案!$G$6:$G$255,MATCH($C546,项目档案!$A$6:$A$255,0)),"")),N(IFERROR(INDEX(单位档案!$D$6:$D$35,MATCH($E546,单位档案!$A$6:$A$35,0)),"")))))</f>
        <v/>
      </c>
      <c r="J546" s="22"/>
      <c r="K546" s="22"/>
      <c r="L546" s="33" t="str">
        <f aca="false">IF($B546="","",IF(NOT(ISNUMBER($B546)),"日期格式不对",IF($C546="","未选项目编号",IF(LEFT($M546,1)="⚠","项目编号不存在",IF($D546="","未选业务类型",IF($E546="","未选开票/付款方",IF(ISNA(MATCH($E546,单位档案!$A$6:$A$35,0)),"开票方不在单位档案",IF($F546="","未选收票/收款方",IF(ISNA(MATCH($F546,单位档案!$A$6:$A$35,0)),"收款方不在单位档案",IF(NOT(ISNUMBER($H546)),"金额须为数字",IF(AND($D546="销项开票",$N546="—"),"链条待确认","√")))))))))))</f>
        <v/>
      </c>
      <c r="M546" s="34" t="str">
        <f aca="false">IF($C546="","",IFERROR(INDEX(项目档案!$B$6:$B$255,MATCH($C546,项目档案!$A$6:$A$255,0)),"⚠项目编号不存在"))</f>
        <v/>
      </c>
      <c r="N546" s="35" t="str">
        <f aca="false">IF($E546="","",IF($E546=IFERROR(INDEX(项目档案!$D$6:$D$255,MATCH($C546,项目档案!$A$6:$A$255,0)),""),"一级",IF($E546=IFERROR(INDEX(项目档案!$F$6:$F$255,MATCH($C546,项目档案!$A$6:$A$255,0)),""),"二级",IF($E546=IFERROR(INDEX(项目档案!$H$6:$H$255,MATCH($C546,项目档案!$A$6:$A$255,0)),""),"我方","—"))))</f>
        <v/>
      </c>
      <c r="O546" s="36" t="n">
        <f aca="false">IF($D546&lt;&gt;"销项开票",0,ROUND(N($H546)*N($I546),2))</f>
        <v>0</v>
      </c>
      <c r="P546" s="36" t="n">
        <f aca="false">IF($D546&lt;&gt;"销项开票",0,ROUND(N($H546)-$O546,2))</f>
        <v>0</v>
      </c>
      <c r="Q546" s="37" t="str">
        <f aca="false">IF($E546="","",N(IFERROR(INDEX(单位档案!$E$6:$E$35,MATCH($E546,单位档案!$A$6:$A$35,0)),"")))</f>
        <v/>
      </c>
      <c r="R546" s="37" t="str">
        <f aca="false">IF($E546="","",N(IFERROR(INDEX(单位档案!$F$6:$F$35,MATCH($E546,单位档案!$A$6:$A$35,0)),"")))</f>
        <v/>
      </c>
      <c r="S546" s="36" t="n">
        <f aca="false">IF(OR($D546&lt;&gt;"销项开票",IFERROR(INDEX(单位档案!$G$6:$G$35,MATCH($E546,单位档案!$A$6:$A$35,0)),"")&lt;&gt;"是",N($Q546)=0),0,IF(IFERROR(INDEX(单位档案!$H$6:$H$35,MATCH($E546,单位档案!$A$6:$A$35,0)),"")="税差法",ROUND(N($H546)/(1+$Q546)*$Q546-IF(N($R546)=0,0,$P546/(1+$R546)*$R546),2),ROUND(N($H546)/(1+$Q546)*$Q546,2)))</f>
        <v>0</v>
      </c>
      <c r="T546" s="36" t="n">
        <f aca="false">ROUND($S546*N(IFERROR(INDEX(单位档案!$J$6:$J$35,MATCH($E546,单位档案!$A$6:$A$35,0)),"")),2)</f>
        <v>0</v>
      </c>
      <c r="U546" s="36" t="n">
        <f aca="false">IF($D546&lt;&gt;"销项开票",0,ROUND(N($H546)*N(IFERROR(INDEX(单位档案!$K$6:$K$35,MATCH($E546,单位档案!$A$6:$A$35,0)),"")),2))</f>
        <v>0</v>
      </c>
      <c r="V546" s="36" t="n">
        <f aca="false">IF(OR($D546&lt;&gt;"销项开票",N($Q546)=0),0,ROUND(N($H546)/(1+$Q546)*N(IFERROR(INDEX(单位档案!$L$6:$L$35,MATCH($E546,单位档案!$A$6:$A$35,0)),"")),2))</f>
        <v>0</v>
      </c>
      <c r="W546" s="36" t="n">
        <f aca="false">ROUND($S546+$T546+$U546+$V546,2)</f>
        <v>0</v>
      </c>
      <c r="X546" s="35" t="str">
        <f aca="false">IF(OR($D546="挂靠代收",$D546="我方收款"),COUNTIFS($D$5:$D546,"挂靠代收")+COUNTIFS($D$5:$D546,"我方收款"),"")</f>
        <v/>
      </c>
      <c r="Y546" s="35"/>
      <c r="Z546" s="21" t="s">
        <v>111</v>
      </c>
    </row>
    <row r="547" customFormat="false" ht="15.75" hidden="false" customHeight="true" outlineLevel="0" collapsed="false">
      <c r="A547" s="32" t="str">
        <f aca="false">IF($B547="","",ROW()-4)</f>
        <v/>
      </c>
      <c r="B547" s="26"/>
      <c r="C547" s="24"/>
      <c r="D547" s="21"/>
      <c r="E547" s="21"/>
      <c r="F547" s="21"/>
      <c r="G547" s="21"/>
      <c r="H547" s="27"/>
      <c r="I547" s="23" t="str">
        <f aca="false">IF($D547&lt;&gt;"销项开票","",IF($N547="一级",IF(IFERROR(INDEX(项目档案!$E$6:$E$255,MATCH($C547,项目档案!$A$6:$A$255,0)),"")="",N(IFERROR(INDEX(单位档案!$D$6:$D$35,MATCH($E547,单位档案!$A$6:$A$35,0)),"")),IFERROR(INDEX(项目档案!$E$6:$E$255,MATCH($C547,项目档案!$A$6:$A$255,0)),"")),IF($N547="二级",IF(IFERROR(INDEX(项目档案!$G$6:$G$255,MATCH($C547,项目档案!$A$6:$A$255,0)),"")="",N(IFERROR(INDEX(单位档案!$D$6:$D$35,MATCH($E547,单位档案!$A$6:$A$35,0)),"")),IFERROR(INDEX(项目档案!$G$6:$G$255,MATCH($C547,项目档案!$A$6:$A$255,0)),"")),N(IFERROR(INDEX(单位档案!$D$6:$D$35,MATCH($E547,单位档案!$A$6:$A$35,0)),"")))))</f>
        <v/>
      </c>
      <c r="J547" s="22"/>
      <c r="K547" s="22"/>
      <c r="L547" s="33" t="str">
        <f aca="false">IF($B547="","",IF(NOT(ISNUMBER($B547)),"日期格式不对",IF($C547="","未选项目编号",IF(LEFT($M547,1)="⚠","项目编号不存在",IF($D547="","未选业务类型",IF($E547="","未选开票/付款方",IF(ISNA(MATCH($E547,单位档案!$A$6:$A$35,0)),"开票方不在单位档案",IF($F547="","未选收票/收款方",IF(ISNA(MATCH($F547,单位档案!$A$6:$A$35,0)),"收款方不在单位档案",IF(NOT(ISNUMBER($H547)),"金额须为数字",IF(AND($D547="销项开票",$N547="—"),"链条待确认","√")))))))))))</f>
        <v/>
      </c>
      <c r="M547" s="34" t="str">
        <f aca="false">IF($C547="","",IFERROR(INDEX(项目档案!$B$6:$B$255,MATCH($C547,项目档案!$A$6:$A$255,0)),"⚠项目编号不存在"))</f>
        <v/>
      </c>
      <c r="N547" s="35" t="str">
        <f aca="false">IF($E547="","",IF($E547=IFERROR(INDEX(项目档案!$D$6:$D$255,MATCH($C547,项目档案!$A$6:$A$255,0)),""),"一级",IF($E547=IFERROR(INDEX(项目档案!$F$6:$F$255,MATCH($C547,项目档案!$A$6:$A$255,0)),""),"二级",IF($E547=IFERROR(INDEX(项目档案!$H$6:$H$255,MATCH($C547,项目档案!$A$6:$A$255,0)),""),"我方","—"))))</f>
        <v/>
      </c>
      <c r="O547" s="36" t="n">
        <f aca="false">IF($D547&lt;&gt;"销项开票",0,ROUND(N($H547)*N($I547),2))</f>
        <v>0</v>
      </c>
      <c r="P547" s="36" t="n">
        <f aca="false">IF($D547&lt;&gt;"销项开票",0,ROUND(N($H547)-$O547,2))</f>
        <v>0</v>
      </c>
      <c r="Q547" s="37" t="str">
        <f aca="false">IF($E547="","",N(IFERROR(INDEX(单位档案!$E$6:$E$35,MATCH($E547,单位档案!$A$6:$A$35,0)),"")))</f>
        <v/>
      </c>
      <c r="R547" s="37" t="str">
        <f aca="false">IF($E547="","",N(IFERROR(INDEX(单位档案!$F$6:$F$35,MATCH($E547,单位档案!$A$6:$A$35,0)),"")))</f>
        <v/>
      </c>
      <c r="S547" s="36" t="n">
        <f aca="false">IF(OR($D547&lt;&gt;"销项开票",IFERROR(INDEX(单位档案!$G$6:$G$35,MATCH($E547,单位档案!$A$6:$A$35,0)),"")&lt;&gt;"是",N($Q547)=0),0,IF(IFERROR(INDEX(单位档案!$H$6:$H$35,MATCH($E547,单位档案!$A$6:$A$35,0)),"")="税差法",ROUND(N($H547)/(1+$Q547)*$Q547-IF(N($R547)=0,0,$P547/(1+$R547)*$R547),2),ROUND(N($H547)/(1+$Q547)*$Q547,2)))</f>
        <v>0</v>
      </c>
      <c r="T547" s="36" t="n">
        <f aca="false">ROUND($S547*N(IFERROR(INDEX(单位档案!$J$6:$J$35,MATCH($E547,单位档案!$A$6:$A$35,0)),"")),2)</f>
        <v>0</v>
      </c>
      <c r="U547" s="36" t="n">
        <f aca="false">IF($D547&lt;&gt;"销项开票",0,ROUND(N($H547)*N(IFERROR(INDEX(单位档案!$K$6:$K$35,MATCH($E547,单位档案!$A$6:$A$35,0)),"")),2))</f>
        <v>0</v>
      </c>
      <c r="V547" s="36" t="n">
        <f aca="false">IF(OR($D547&lt;&gt;"销项开票",N($Q547)=0),0,ROUND(N($H547)/(1+$Q547)*N(IFERROR(INDEX(单位档案!$L$6:$L$35,MATCH($E547,单位档案!$A$6:$A$35,0)),"")),2))</f>
        <v>0</v>
      </c>
      <c r="W547" s="36" t="n">
        <f aca="false">ROUND($S547+$T547+$U547+$V547,2)</f>
        <v>0</v>
      </c>
      <c r="X547" s="35" t="str">
        <f aca="false">IF(OR($D547="挂靠代收",$D547="我方收款"),COUNTIFS($D$5:$D547,"挂靠代收")+COUNTIFS($D$5:$D547,"我方收款"),"")</f>
        <v/>
      </c>
      <c r="Y547" s="35"/>
      <c r="Z547" s="21" t="s">
        <v>111</v>
      </c>
    </row>
    <row r="548" customFormat="false" ht="15.75" hidden="false" customHeight="true" outlineLevel="0" collapsed="false">
      <c r="A548" s="32" t="str">
        <f aca="false">IF($B548="","",ROW()-4)</f>
        <v/>
      </c>
      <c r="B548" s="26"/>
      <c r="C548" s="24"/>
      <c r="D548" s="21"/>
      <c r="E548" s="21"/>
      <c r="F548" s="21"/>
      <c r="G548" s="21"/>
      <c r="H548" s="27"/>
      <c r="I548" s="23" t="str">
        <f aca="false">IF($D548&lt;&gt;"销项开票","",IF($N548="一级",IF(IFERROR(INDEX(项目档案!$E$6:$E$255,MATCH($C548,项目档案!$A$6:$A$255,0)),"")="",N(IFERROR(INDEX(单位档案!$D$6:$D$35,MATCH($E548,单位档案!$A$6:$A$35,0)),"")),IFERROR(INDEX(项目档案!$E$6:$E$255,MATCH($C548,项目档案!$A$6:$A$255,0)),"")),IF($N548="二级",IF(IFERROR(INDEX(项目档案!$G$6:$G$255,MATCH($C548,项目档案!$A$6:$A$255,0)),"")="",N(IFERROR(INDEX(单位档案!$D$6:$D$35,MATCH($E548,单位档案!$A$6:$A$35,0)),"")),IFERROR(INDEX(项目档案!$G$6:$G$255,MATCH($C548,项目档案!$A$6:$A$255,0)),"")),N(IFERROR(INDEX(单位档案!$D$6:$D$35,MATCH($E548,单位档案!$A$6:$A$35,0)),"")))))</f>
        <v/>
      </c>
      <c r="J548" s="22"/>
      <c r="K548" s="22"/>
      <c r="L548" s="33" t="str">
        <f aca="false">IF($B548="","",IF(NOT(ISNUMBER($B548)),"日期格式不对",IF($C548="","未选项目编号",IF(LEFT($M548,1)="⚠","项目编号不存在",IF($D548="","未选业务类型",IF($E548="","未选开票/付款方",IF(ISNA(MATCH($E548,单位档案!$A$6:$A$35,0)),"开票方不在单位档案",IF($F548="","未选收票/收款方",IF(ISNA(MATCH($F548,单位档案!$A$6:$A$35,0)),"收款方不在单位档案",IF(NOT(ISNUMBER($H548)),"金额须为数字",IF(AND($D548="销项开票",$N548="—"),"链条待确认","√")))))))))))</f>
        <v/>
      </c>
      <c r="M548" s="34" t="str">
        <f aca="false">IF($C548="","",IFERROR(INDEX(项目档案!$B$6:$B$255,MATCH($C548,项目档案!$A$6:$A$255,0)),"⚠项目编号不存在"))</f>
        <v/>
      </c>
      <c r="N548" s="35" t="str">
        <f aca="false">IF($E548="","",IF($E548=IFERROR(INDEX(项目档案!$D$6:$D$255,MATCH($C548,项目档案!$A$6:$A$255,0)),""),"一级",IF($E548=IFERROR(INDEX(项目档案!$F$6:$F$255,MATCH($C548,项目档案!$A$6:$A$255,0)),""),"二级",IF($E548=IFERROR(INDEX(项目档案!$H$6:$H$255,MATCH($C548,项目档案!$A$6:$A$255,0)),""),"我方","—"))))</f>
        <v/>
      </c>
      <c r="O548" s="36" t="n">
        <f aca="false">IF($D548&lt;&gt;"销项开票",0,ROUND(N($H548)*N($I548),2))</f>
        <v>0</v>
      </c>
      <c r="P548" s="36" t="n">
        <f aca="false">IF($D548&lt;&gt;"销项开票",0,ROUND(N($H548)-$O548,2))</f>
        <v>0</v>
      </c>
      <c r="Q548" s="37" t="str">
        <f aca="false">IF($E548="","",N(IFERROR(INDEX(单位档案!$E$6:$E$35,MATCH($E548,单位档案!$A$6:$A$35,0)),"")))</f>
        <v/>
      </c>
      <c r="R548" s="37" t="str">
        <f aca="false">IF($E548="","",N(IFERROR(INDEX(单位档案!$F$6:$F$35,MATCH($E548,单位档案!$A$6:$A$35,0)),"")))</f>
        <v/>
      </c>
      <c r="S548" s="36" t="n">
        <f aca="false">IF(OR($D548&lt;&gt;"销项开票",IFERROR(INDEX(单位档案!$G$6:$G$35,MATCH($E548,单位档案!$A$6:$A$35,0)),"")&lt;&gt;"是",N($Q548)=0),0,IF(IFERROR(INDEX(单位档案!$H$6:$H$35,MATCH($E548,单位档案!$A$6:$A$35,0)),"")="税差法",ROUND(N($H548)/(1+$Q548)*$Q548-IF(N($R548)=0,0,$P548/(1+$R548)*$R548),2),ROUND(N($H548)/(1+$Q548)*$Q548,2)))</f>
        <v>0</v>
      </c>
      <c r="T548" s="36" t="n">
        <f aca="false">ROUND($S548*N(IFERROR(INDEX(单位档案!$J$6:$J$35,MATCH($E548,单位档案!$A$6:$A$35,0)),"")),2)</f>
        <v>0</v>
      </c>
      <c r="U548" s="36" t="n">
        <f aca="false">IF($D548&lt;&gt;"销项开票",0,ROUND(N($H548)*N(IFERROR(INDEX(单位档案!$K$6:$K$35,MATCH($E548,单位档案!$A$6:$A$35,0)),"")),2))</f>
        <v>0</v>
      </c>
      <c r="V548" s="36" t="n">
        <f aca="false">IF(OR($D548&lt;&gt;"销项开票",N($Q548)=0),0,ROUND(N($H548)/(1+$Q548)*N(IFERROR(INDEX(单位档案!$L$6:$L$35,MATCH($E548,单位档案!$A$6:$A$35,0)),"")),2))</f>
        <v>0</v>
      </c>
      <c r="W548" s="36" t="n">
        <f aca="false">ROUND($S548+$T548+$U548+$V548,2)</f>
        <v>0</v>
      </c>
      <c r="X548" s="35" t="str">
        <f aca="false">IF(OR($D548="挂靠代收",$D548="我方收款"),COUNTIFS($D$5:$D548,"挂靠代收")+COUNTIFS($D$5:$D548,"我方收款"),"")</f>
        <v/>
      </c>
      <c r="Y548" s="35"/>
      <c r="Z548" s="21" t="s">
        <v>111</v>
      </c>
    </row>
    <row r="549" customFormat="false" ht="15.75" hidden="false" customHeight="true" outlineLevel="0" collapsed="false">
      <c r="A549" s="32" t="str">
        <f aca="false">IF($B549="","",ROW()-4)</f>
        <v/>
      </c>
      <c r="B549" s="26"/>
      <c r="C549" s="24"/>
      <c r="D549" s="21"/>
      <c r="E549" s="21"/>
      <c r="F549" s="21"/>
      <c r="G549" s="21"/>
      <c r="H549" s="27"/>
      <c r="I549" s="23" t="str">
        <f aca="false">IF($D549&lt;&gt;"销项开票","",IF($N549="一级",IF(IFERROR(INDEX(项目档案!$E$6:$E$255,MATCH($C549,项目档案!$A$6:$A$255,0)),"")="",N(IFERROR(INDEX(单位档案!$D$6:$D$35,MATCH($E549,单位档案!$A$6:$A$35,0)),"")),IFERROR(INDEX(项目档案!$E$6:$E$255,MATCH($C549,项目档案!$A$6:$A$255,0)),"")),IF($N549="二级",IF(IFERROR(INDEX(项目档案!$G$6:$G$255,MATCH($C549,项目档案!$A$6:$A$255,0)),"")="",N(IFERROR(INDEX(单位档案!$D$6:$D$35,MATCH($E549,单位档案!$A$6:$A$35,0)),"")),IFERROR(INDEX(项目档案!$G$6:$G$255,MATCH($C549,项目档案!$A$6:$A$255,0)),"")),N(IFERROR(INDEX(单位档案!$D$6:$D$35,MATCH($E549,单位档案!$A$6:$A$35,0)),"")))))</f>
        <v/>
      </c>
      <c r="J549" s="22"/>
      <c r="K549" s="22"/>
      <c r="L549" s="33" t="str">
        <f aca="false">IF($B549="","",IF(NOT(ISNUMBER($B549)),"日期格式不对",IF($C549="","未选项目编号",IF(LEFT($M549,1)="⚠","项目编号不存在",IF($D549="","未选业务类型",IF($E549="","未选开票/付款方",IF(ISNA(MATCH($E549,单位档案!$A$6:$A$35,0)),"开票方不在单位档案",IF($F549="","未选收票/收款方",IF(ISNA(MATCH($F549,单位档案!$A$6:$A$35,0)),"收款方不在单位档案",IF(NOT(ISNUMBER($H549)),"金额须为数字",IF(AND($D549="销项开票",$N549="—"),"链条待确认","√")))))))))))</f>
        <v/>
      </c>
      <c r="M549" s="34" t="str">
        <f aca="false">IF($C549="","",IFERROR(INDEX(项目档案!$B$6:$B$255,MATCH($C549,项目档案!$A$6:$A$255,0)),"⚠项目编号不存在"))</f>
        <v/>
      </c>
      <c r="N549" s="35" t="str">
        <f aca="false">IF($E549="","",IF($E549=IFERROR(INDEX(项目档案!$D$6:$D$255,MATCH($C549,项目档案!$A$6:$A$255,0)),""),"一级",IF($E549=IFERROR(INDEX(项目档案!$F$6:$F$255,MATCH($C549,项目档案!$A$6:$A$255,0)),""),"二级",IF($E549=IFERROR(INDEX(项目档案!$H$6:$H$255,MATCH($C549,项目档案!$A$6:$A$255,0)),""),"我方","—"))))</f>
        <v/>
      </c>
      <c r="O549" s="36" t="n">
        <f aca="false">IF($D549&lt;&gt;"销项开票",0,ROUND(N($H549)*N($I549),2))</f>
        <v>0</v>
      </c>
      <c r="P549" s="36" t="n">
        <f aca="false">IF($D549&lt;&gt;"销项开票",0,ROUND(N($H549)-$O549,2))</f>
        <v>0</v>
      </c>
      <c r="Q549" s="37" t="str">
        <f aca="false">IF($E549="","",N(IFERROR(INDEX(单位档案!$E$6:$E$35,MATCH($E549,单位档案!$A$6:$A$35,0)),"")))</f>
        <v/>
      </c>
      <c r="R549" s="37" t="str">
        <f aca="false">IF($E549="","",N(IFERROR(INDEX(单位档案!$F$6:$F$35,MATCH($E549,单位档案!$A$6:$A$35,0)),"")))</f>
        <v/>
      </c>
      <c r="S549" s="36" t="n">
        <f aca="false">IF(OR($D549&lt;&gt;"销项开票",IFERROR(INDEX(单位档案!$G$6:$G$35,MATCH($E549,单位档案!$A$6:$A$35,0)),"")&lt;&gt;"是",N($Q549)=0),0,IF(IFERROR(INDEX(单位档案!$H$6:$H$35,MATCH($E549,单位档案!$A$6:$A$35,0)),"")="税差法",ROUND(N($H549)/(1+$Q549)*$Q549-IF(N($R549)=0,0,$P549/(1+$R549)*$R549),2),ROUND(N($H549)/(1+$Q549)*$Q549,2)))</f>
        <v>0</v>
      </c>
      <c r="T549" s="36" t="n">
        <f aca="false">ROUND($S549*N(IFERROR(INDEX(单位档案!$J$6:$J$35,MATCH($E549,单位档案!$A$6:$A$35,0)),"")),2)</f>
        <v>0</v>
      </c>
      <c r="U549" s="36" t="n">
        <f aca="false">IF($D549&lt;&gt;"销项开票",0,ROUND(N($H549)*N(IFERROR(INDEX(单位档案!$K$6:$K$35,MATCH($E549,单位档案!$A$6:$A$35,0)),"")),2))</f>
        <v>0</v>
      </c>
      <c r="V549" s="36" t="n">
        <f aca="false">IF(OR($D549&lt;&gt;"销项开票",N($Q549)=0),0,ROUND(N($H549)/(1+$Q549)*N(IFERROR(INDEX(单位档案!$L$6:$L$35,MATCH($E549,单位档案!$A$6:$A$35,0)),"")),2))</f>
        <v>0</v>
      </c>
      <c r="W549" s="36" t="n">
        <f aca="false">ROUND($S549+$T549+$U549+$V549,2)</f>
        <v>0</v>
      </c>
      <c r="X549" s="35" t="str">
        <f aca="false">IF(OR($D549="挂靠代收",$D549="我方收款"),COUNTIFS($D$5:$D549,"挂靠代收")+COUNTIFS($D$5:$D549,"我方收款"),"")</f>
        <v/>
      </c>
      <c r="Y549" s="35"/>
      <c r="Z549" s="21" t="s">
        <v>111</v>
      </c>
    </row>
    <row r="550" customFormat="false" ht="15.75" hidden="false" customHeight="true" outlineLevel="0" collapsed="false">
      <c r="A550" s="32" t="str">
        <f aca="false">IF($B550="","",ROW()-4)</f>
        <v/>
      </c>
      <c r="B550" s="26"/>
      <c r="C550" s="24"/>
      <c r="D550" s="21"/>
      <c r="E550" s="21"/>
      <c r="F550" s="21"/>
      <c r="G550" s="21"/>
      <c r="H550" s="27"/>
      <c r="I550" s="23" t="str">
        <f aca="false">IF($D550&lt;&gt;"销项开票","",IF($N550="一级",IF(IFERROR(INDEX(项目档案!$E$6:$E$255,MATCH($C550,项目档案!$A$6:$A$255,0)),"")="",N(IFERROR(INDEX(单位档案!$D$6:$D$35,MATCH($E550,单位档案!$A$6:$A$35,0)),"")),IFERROR(INDEX(项目档案!$E$6:$E$255,MATCH($C550,项目档案!$A$6:$A$255,0)),"")),IF($N550="二级",IF(IFERROR(INDEX(项目档案!$G$6:$G$255,MATCH($C550,项目档案!$A$6:$A$255,0)),"")="",N(IFERROR(INDEX(单位档案!$D$6:$D$35,MATCH($E550,单位档案!$A$6:$A$35,0)),"")),IFERROR(INDEX(项目档案!$G$6:$G$255,MATCH($C550,项目档案!$A$6:$A$255,0)),"")),N(IFERROR(INDEX(单位档案!$D$6:$D$35,MATCH($E550,单位档案!$A$6:$A$35,0)),"")))))</f>
        <v/>
      </c>
      <c r="J550" s="22"/>
      <c r="K550" s="22"/>
      <c r="L550" s="33" t="str">
        <f aca="false">IF($B550="","",IF(NOT(ISNUMBER($B550)),"日期格式不对",IF($C550="","未选项目编号",IF(LEFT($M550,1)="⚠","项目编号不存在",IF($D550="","未选业务类型",IF($E550="","未选开票/付款方",IF(ISNA(MATCH($E550,单位档案!$A$6:$A$35,0)),"开票方不在单位档案",IF($F550="","未选收票/收款方",IF(ISNA(MATCH($F550,单位档案!$A$6:$A$35,0)),"收款方不在单位档案",IF(NOT(ISNUMBER($H550)),"金额须为数字",IF(AND($D550="销项开票",$N550="—"),"链条待确认","√")))))))))))</f>
        <v/>
      </c>
      <c r="M550" s="34" t="str">
        <f aca="false">IF($C550="","",IFERROR(INDEX(项目档案!$B$6:$B$255,MATCH($C550,项目档案!$A$6:$A$255,0)),"⚠项目编号不存在"))</f>
        <v/>
      </c>
      <c r="N550" s="35" t="str">
        <f aca="false">IF($E550="","",IF($E550=IFERROR(INDEX(项目档案!$D$6:$D$255,MATCH($C550,项目档案!$A$6:$A$255,0)),""),"一级",IF($E550=IFERROR(INDEX(项目档案!$F$6:$F$255,MATCH($C550,项目档案!$A$6:$A$255,0)),""),"二级",IF($E550=IFERROR(INDEX(项目档案!$H$6:$H$255,MATCH($C550,项目档案!$A$6:$A$255,0)),""),"我方","—"))))</f>
        <v/>
      </c>
      <c r="O550" s="36" t="n">
        <f aca="false">IF($D550&lt;&gt;"销项开票",0,ROUND(N($H550)*N($I550),2))</f>
        <v>0</v>
      </c>
      <c r="P550" s="36" t="n">
        <f aca="false">IF($D550&lt;&gt;"销项开票",0,ROUND(N($H550)-$O550,2))</f>
        <v>0</v>
      </c>
      <c r="Q550" s="37" t="str">
        <f aca="false">IF($E550="","",N(IFERROR(INDEX(单位档案!$E$6:$E$35,MATCH($E550,单位档案!$A$6:$A$35,0)),"")))</f>
        <v/>
      </c>
      <c r="R550" s="37" t="str">
        <f aca="false">IF($E550="","",N(IFERROR(INDEX(单位档案!$F$6:$F$35,MATCH($E550,单位档案!$A$6:$A$35,0)),"")))</f>
        <v/>
      </c>
      <c r="S550" s="36" t="n">
        <f aca="false">IF(OR($D550&lt;&gt;"销项开票",IFERROR(INDEX(单位档案!$G$6:$G$35,MATCH($E550,单位档案!$A$6:$A$35,0)),"")&lt;&gt;"是",N($Q550)=0),0,IF(IFERROR(INDEX(单位档案!$H$6:$H$35,MATCH($E550,单位档案!$A$6:$A$35,0)),"")="税差法",ROUND(N($H550)/(1+$Q550)*$Q550-IF(N($R550)=0,0,$P550/(1+$R550)*$R550),2),ROUND(N($H550)/(1+$Q550)*$Q550,2)))</f>
        <v>0</v>
      </c>
      <c r="T550" s="36" t="n">
        <f aca="false">ROUND($S550*N(IFERROR(INDEX(单位档案!$J$6:$J$35,MATCH($E550,单位档案!$A$6:$A$35,0)),"")),2)</f>
        <v>0</v>
      </c>
      <c r="U550" s="36" t="n">
        <f aca="false">IF($D550&lt;&gt;"销项开票",0,ROUND(N($H550)*N(IFERROR(INDEX(单位档案!$K$6:$K$35,MATCH($E550,单位档案!$A$6:$A$35,0)),"")),2))</f>
        <v>0</v>
      </c>
      <c r="V550" s="36" t="n">
        <f aca="false">IF(OR($D550&lt;&gt;"销项开票",N($Q550)=0),0,ROUND(N($H550)/(1+$Q550)*N(IFERROR(INDEX(单位档案!$L$6:$L$35,MATCH($E550,单位档案!$A$6:$A$35,0)),"")),2))</f>
        <v>0</v>
      </c>
      <c r="W550" s="36" t="n">
        <f aca="false">ROUND($S550+$T550+$U550+$V550,2)</f>
        <v>0</v>
      </c>
      <c r="X550" s="35" t="str">
        <f aca="false">IF(OR($D550="挂靠代收",$D550="我方收款"),COUNTIFS($D$5:$D550,"挂靠代收")+COUNTIFS($D$5:$D550,"我方收款"),"")</f>
        <v/>
      </c>
      <c r="Y550" s="35"/>
      <c r="Z550" s="21" t="s">
        <v>111</v>
      </c>
    </row>
    <row r="551" customFormat="false" ht="15.75" hidden="false" customHeight="true" outlineLevel="0" collapsed="false">
      <c r="A551" s="32" t="str">
        <f aca="false">IF($B551="","",ROW()-4)</f>
        <v/>
      </c>
      <c r="B551" s="26"/>
      <c r="C551" s="24"/>
      <c r="D551" s="21"/>
      <c r="E551" s="21"/>
      <c r="F551" s="21"/>
      <c r="G551" s="21"/>
      <c r="H551" s="27"/>
      <c r="I551" s="23" t="str">
        <f aca="false">IF($D551&lt;&gt;"销项开票","",IF($N551="一级",IF(IFERROR(INDEX(项目档案!$E$6:$E$255,MATCH($C551,项目档案!$A$6:$A$255,0)),"")="",N(IFERROR(INDEX(单位档案!$D$6:$D$35,MATCH($E551,单位档案!$A$6:$A$35,0)),"")),IFERROR(INDEX(项目档案!$E$6:$E$255,MATCH($C551,项目档案!$A$6:$A$255,0)),"")),IF($N551="二级",IF(IFERROR(INDEX(项目档案!$G$6:$G$255,MATCH($C551,项目档案!$A$6:$A$255,0)),"")="",N(IFERROR(INDEX(单位档案!$D$6:$D$35,MATCH($E551,单位档案!$A$6:$A$35,0)),"")),IFERROR(INDEX(项目档案!$G$6:$G$255,MATCH($C551,项目档案!$A$6:$A$255,0)),"")),N(IFERROR(INDEX(单位档案!$D$6:$D$35,MATCH($E551,单位档案!$A$6:$A$35,0)),"")))))</f>
        <v/>
      </c>
      <c r="J551" s="22"/>
      <c r="K551" s="22"/>
      <c r="L551" s="33" t="str">
        <f aca="false">IF($B551="","",IF(NOT(ISNUMBER($B551)),"日期格式不对",IF($C551="","未选项目编号",IF(LEFT($M551,1)="⚠","项目编号不存在",IF($D551="","未选业务类型",IF($E551="","未选开票/付款方",IF(ISNA(MATCH($E551,单位档案!$A$6:$A$35,0)),"开票方不在单位档案",IF($F551="","未选收票/收款方",IF(ISNA(MATCH($F551,单位档案!$A$6:$A$35,0)),"收款方不在单位档案",IF(NOT(ISNUMBER($H551)),"金额须为数字",IF(AND($D551="销项开票",$N551="—"),"链条待确认","√")))))))))))</f>
        <v/>
      </c>
      <c r="M551" s="34" t="str">
        <f aca="false">IF($C551="","",IFERROR(INDEX(项目档案!$B$6:$B$255,MATCH($C551,项目档案!$A$6:$A$255,0)),"⚠项目编号不存在"))</f>
        <v/>
      </c>
      <c r="N551" s="35" t="str">
        <f aca="false">IF($E551="","",IF($E551=IFERROR(INDEX(项目档案!$D$6:$D$255,MATCH($C551,项目档案!$A$6:$A$255,0)),""),"一级",IF($E551=IFERROR(INDEX(项目档案!$F$6:$F$255,MATCH($C551,项目档案!$A$6:$A$255,0)),""),"二级",IF($E551=IFERROR(INDEX(项目档案!$H$6:$H$255,MATCH($C551,项目档案!$A$6:$A$255,0)),""),"我方","—"))))</f>
        <v/>
      </c>
      <c r="O551" s="36" t="n">
        <f aca="false">IF($D551&lt;&gt;"销项开票",0,ROUND(N($H551)*N($I551),2))</f>
        <v>0</v>
      </c>
      <c r="P551" s="36" t="n">
        <f aca="false">IF($D551&lt;&gt;"销项开票",0,ROUND(N($H551)-$O551,2))</f>
        <v>0</v>
      </c>
      <c r="Q551" s="37" t="str">
        <f aca="false">IF($E551="","",N(IFERROR(INDEX(单位档案!$E$6:$E$35,MATCH($E551,单位档案!$A$6:$A$35,0)),"")))</f>
        <v/>
      </c>
      <c r="R551" s="37" t="str">
        <f aca="false">IF($E551="","",N(IFERROR(INDEX(单位档案!$F$6:$F$35,MATCH($E551,单位档案!$A$6:$A$35,0)),"")))</f>
        <v/>
      </c>
      <c r="S551" s="36" t="n">
        <f aca="false">IF(OR($D551&lt;&gt;"销项开票",IFERROR(INDEX(单位档案!$G$6:$G$35,MATCH($E551,单位档案!$A$6:$A$35,0)),"")&lt;&gt;"是",N($Q551)=0),0,IF(IFERROR(INDEX(单位档案!$H$6:$H$35,MATCH($E551,单位档案!$A$6:$A$35,0)),"")="税差法",ROUND(N($H551)/(1+$Q551)*$Q551-IF(N($R551)=0,0,$P551/(1+$R551)*$R551),2),ROUND(N($H551)/(1+$Q551)*$Q551,2)))</f>
        <v>0</v>
      </c>
      <c r="T551" s="36" t="n">
        <f aca="false">ROUND($S551*N(IFERROR(INDEX(单位档案!$J$6:$J$35,MATCH($E551,单位档案!$A$6:$A$35,0)),"")),2)</f>
        <v>0</v>
      </c>
      <c r="U551" s="36" t="n">
        <f aca="false">IF($D551&lt;&gt;"销项开票",0,ROUND(N($H551)*N(IFERROR(INDEX(单位档案!$K$6:$K$35,MATCH($E551,单位档案!$A$6:$A$35,0)),"")),2))</f>
        <v>0</v>
      </c>
      <c r="V551" s="36" t="n">
        <f aca="false">IF(OR($D551&lt;&gt;"销项开票",N($Q551)=0),0,ROUND(N($H551)/(1+$Q551)*N(IFERROR(INDEX(单位档案!$L$6:$L$35,MATCH($E551,单位档案!$A$6:$A$35,0)),"")),2))</f>
        <v>0</v>
      </c>
      <c r="W551" s="36" t="n">
        <f aca="false">ROUND($S551+$T551+$U551+$V551,2)</f>
        <v>0</v>
      </c>
      <c r="X551" s="35" t="str">
        <f aca="false">IF(OR($D551="挂靠代收",$D551="我方收款"),COUNTIFS($D$5:$D551,"挂靠代收")+COUNTIFS($D$5:$D551,"我方收款"),"")</f>
        <v/>
      </c>
      <c r="Y551" s="35"/>
      <c r="Z551" s="21" t="s">
        <v>111</v>
      </c>
    </row>
    <row r="552" customFormat="false" ht="15.75" hidden="false" customHeight="true" outlineLevel="0" collapsed="false">
      <c r="A552" s="32" t="str">
        <f aca="false">IF($B552="","",ROW()-4)</f>
        <v/>
      </c>
      <c r="B552" s="26"/>
      <c r="C552" s="24"/>
      <c r="D552" s="21"/>
      <c r="E552" s="21"/>
      <c r="F552" s="21"/>
      <c r="G552" s="21"/>
      <c r="H552" s="27"/>
      <c r="I552" s="23" t="str">
        <f aca="false">IF($D552&lt;&gt;"销项开票","",IF($N552="一级",IF(IFERROR(INDEX(项目档案!$E$6:$E$255,MATCH($C552,项目档案!$A$6:$A$255,0)),"")="",N(IFERROR(INDEX(单位档案!$D$6:$D$35,MATCH($E552,单位档案!$A$6:$A$35,0)),"")),IFERROR(INDEX(项目档案!$E$6:$E$255,MATCH($C552,项目档案!$A$6:$A$255,0)),"")),IF($N552="二级",IF(IFERROR(INDEX(项目档案!$G$6:$G$255,MATCH($C552,项目档案!$A$6:$A$255,0)),"")="",N(IFERROR(INDEX(单位档案!$D$6:$D$35,MATCH($E552,单位档案!$A$6:$A$35,0)),"")),IFERROR(INDEX(项目档案!$G$6:$G$255,MATCH($C552,项目档案!$A$6:$A$255,0)),"")),N(IFERROR(INDEX(单位档案!$D$6:$D$35,MATCH($E552,单位档案!$A$6:$A$35,0)),"")))))</f>
        <v/>
      </c>
      <c r="J552" s="22"/>
      <c r="K552" s="22"/>
      <c r="L552" s="33" t="str">
        <f aca="false">IF($B552="","",IF(NOT(ISNUMBER($B552)),"日期格式不对",IF($C552="","未选项目编号",IF(LEFT($M552,1)="⚠","项目编号不存在",IF($D552="","未选业务类型",IF($E552="","未选开票/付款方",IF(ISNA(MATCH($E552,单位档案!$A$6:$A$35,0)),"开票方不在单位档案",IF($F552="","未选收票/收款方",IF(ISNA(MATCH($F552,单位档案!$A$6:$A$35,0)),"收款方不在单位档案",IF(NOT(ISNUMBER($H552)),"金额须为数字",IF(AND($D552="销项开票",$N552="—"),"链条待确认","√")))))))))))</f>
        <v/>
      </c>
      <c r="M552" s="34" t="str">
        <f aca="false">IF($C552="","",IFERROR(INDEX(项目档案!$B$6:$B$255,MATCH($C552,项目档案!$A$6:$A$255,0)),"⚠项目编号不存在"))</f>
        <v/>
      </c>
      <c r="N552" s="35" t="str">
        <f aca="false">IF($E552="","",IF($E552=IFERROR(INDEX(项目档案!$D$6:$D$255,MATCH($C552,项目档案!$A$6:$A$255,0)),""),"一级",IF($E552=IFERROR(INDEX(项目档案!$F$6:$F$255,MATCH($C552,项目档案!$A$6:$A$255,0)),""),"二级",IF($E552=IFERROR(INDEX(项目档案!$H$6:$H$255,MATCH($C552,项目档案!$A$6:$A$255,0)),""),"我方","—"))))</f>
        <v/>
      </c>
      <c r="O552" s="36" t="n">
        <f aca="false">IF($D552&lt;&gt;"销项开票",0,ROUND(N($H552)*N($I552),2))</f>
        <v>0</v>
      </c>
      <c r="P552" s="36" t="n">
        <f aca="false">IF($D552&lt;&gt;"销项开票",0,ROUND(N($H552)-$O552,2))</f>
        <v>0</v>
      </c>
      <c r="Q552" s="37" t="str">
        <f aca="false">IF($E552="","",N(IFERROR(INDEX(单位档案!$E$6:$E$35,MATCH($E552,单位档案!$A$6:$A$35,0)),"")))</f>
        <v/>
      </c>
      <c r="R552" s="37" t="str">
        <f aca="false">IF($E552="","",N(IFERROR(INDEX(单位档案!$F$6:$F$35,MATCH($E552,单位档案!$A$6:$A$35,0)),"")))</f>
        <v/>
      </c>
      <c r="S552" s="36" t="n">
        <f aca="false">IF(OR($D552&lt;&gt;"销项开票",IFERROR(INDEX(单位档案!$G$6:$G$35,MATCH($E552,单位档案!$A$6:$A$35,0)),"")&lt;&gt;"是",N($Q552)=0),0,IF(IFERROR(INDEX(单位档案!$H$6:$H$35,MATCH($E552,单位档案!$A$6:$A$35,0)),"")="税差法",ROUND(N($H552)/(1+$Q552)*$Q552-IF(N($R552)=0,0,$P552/(1+$R552)*$R552),2),ROUND(N($H552)/(1+$Q552)*$Q552,2)))</f>
        <v>0</v>
      </c>
      <c r="T552" s="36" t="n">
        <f aca="false">ROUND($S552*N(IFERROR(INDEX(单位档案!$J$6:$J$35,MATCH($E552,单位档案!$A$6:$A$35,0)),"")),2)</f>
        <v>0</v>
      </c>
      <c r="U552" s="36" t="n">
        <f aca="false">IF($D552&lt;&gt;"销项开票",0,ROUND(N($H552)*N(IFERROR(INDEX(单位档案!$K$6:$K$35,MATCH($E552,单位档案!$A$6:$A$35,0)),"")),2))</f>
        <v>0</v>
      </c>
      <c r="V552" s="36" t="n">
        <f aca="false">IF(OR($D552&lt;&gt;"销项开票",N($Q552)=0),0,ROUND(N($H552)/(1+$Q552)*N(IFERROR(INDEX(单位档案!$L$6:$L$35,MATCH($E552,单位档案!$A$6:$A$35,0)),"")),2))</f>
        <v>0</v>
      </c>
      <c r="W552" s="36" t="n">
        <f aca="false">ROUND($S552+$T552+$U552+$V552,2)</f>
        <v>0</v>
      </c>
      <c r="X552" s="35" t="str">
        <f aca="false">IF(OR($D552="挂靠代收",$D552="我方收款"),COUNTIFS($D$5:$D552,"挂靠代收")+COUNTIFS($D$5:$D552,"我方收款"),"")</f>
        <v/>
      </c>
      <c r="Y552" s="35"/>
      <c r="Z552" s="21" t="s">
        <v>111</v>
      </c>
    </row>
    <row r="553" customFormat="false" ht="15.75" hidden="false" customHeight="true" outlineLevel="0" collapsed="false">
      <c r="A553" s="32" t="str">
        <f aca="false">IF($B553="","",ROW()-4)</f>
        <v/>
      </c>
      <c r="B553" s="26"/>
      <c r="C553" s="24"/>
      <c r="D553" s="21"/>
      <c r="E553" s="21"/>
      <c r="F553" s="21"/>
      <c r="G553" s="21"/>
      <c r="H553" s="27"/>
      <c r="I553" s="23" t="str">
        <f aca="false">IF($D553&lt;&gt;"销项开票","",IF($N553="一级",IF(IFERROR(INDEX(项目档案!$E$6:$E$255,MATCH($C553,项目档案!$A$6:$A$255,0)),"")="",N(IFERROR(INDEX(单位档案!$D$6:$D$35,MATCH($E553,单位档案!$A$6:$A$35,0)),"")),IFERROR(INDEX(项目档案!$E$6:$E$255,MATCH($C553,项目档案!$A$6:$A$255,0)),"")),IF($N553="二级",IF(IFERROR(INDEX(项目档案!$G$6:$G$255,MATCH($C553,项目档案!$A$6:$A$255,0)),"")="",N(IFERROR(INDEX(单位档案!$D$6:$D$35,MATCH($E553,单位档案!$A$6:$A$35,0)),"")),IFERROR(INDEX(项目档案!$G$6:$G$255,MATCH($C553,项目档案!$A$6:$A$255,0)),"")),N(IFERROR(INDEX(单位档案!$D$6:$D$35,MATCH($E553,单位档案!$A$6:$A$35,0)),"")))))</f>
        <v/>
      </c>
      <c r="J553" s="22"/>
      <c r="K553" s="22"/>
      <c r="L553" s="33" t="str">
        <f aca="false">IF($B553="","",IF(NOT(ISNUMBER($B553)),"日期格式不对",IF($C553="","未选项目编号",IF(LEFT($M553,1)="⚠","项目编号不存在",IF($D553="","未选业务类型",IF($E553="","未选开票/付款方",IF(ISNA(MATCH($E553,单位档案!$A$6:$A$35,0)),"开票方不在单位档案",IF($F553="","未选收票/收款方",IF(ISNA(MATCH($F553,单位档案!$A$6:$A$35,0)),"收款方不在单位档案",IF(NOT(ISNUMBER($H553)),"金额须为数字",IF(AND($D553="销项开票",$N553="—"),"链条待确认","√")))))))))))</f>
        <v/>
      </c>
      <c r="M553" s="34" t="str">
        <f aca="false">IF($C553="","",IFERROR(INDEX(项目档案!$B$6:$B$255,MATCH($C553,项目档案!$A$6:$A$255,0)),"⚠项目编号不存在"))</f>
        <v/>
      </c>
      <c r="N553" s="35" t="str">
        <f aca="false">IF($E553="","",IF($E553=IFERROR(INDEX(项目档案!$D$6:$D$255,MATCH($C553,项目档案!$A$6:$A$255,0)),""),"一级",IF($E553=IFERROR(INDEX(项目档案!$F$6:$F$255,MATCH($C553,项目档案!$A$6:$A$255,0)),""),"二级",IF($E553=IFERROR(INDEX(项目档案!$H$6:$H$255,MATCH($C553,项目档案!$A$6:$A$255,0)),""),"我方","—"))))</f>
        <v/>
      </c>
      <c r="O553" s="36" t="n">
        <f aca="false">IF($D553&lt;&gt;"销项开票",0,ROUND(N($H553)*N($I553),2))</f>
        <v>0</v>
      </c>
      <c r="P553" s="36" t="n">
        <f aca="false">IF($D553&lt;&gt;"销项开票",0,ROUND(N($H553)-$O553,2))</f>
        <v>0</v>
      </c>
      <c r="Q553" s="37" t="str">
        <f aca="false">IF($E553="","",N(IFERROR(INDEX(单位档案!$E$6:$E$35,MATCH($E553,单位档案!$A$6:$A$35,0)),"")))</f>
        <v/>
      </c>
      <c r="R553" s="37" t="str">
        <f aca="false">IF($E553="","",N(IFERROR(INDEX(单位档案!$F$6:$F$35,MATCH($E553,单位档案!$A$6:$A$35,0)),"")))</f>
        <v/>
      </c>
      <c r="S553" s="36" t="n">
        <f aca="false">IF(OR($D553&lt;&gt;"销项开票",IFERROR(INDEX(单位档案!$G$6:$G$35,MATCH($E553,单位档案!$A$6:$A$35,0)),"")&lt;&gt;"是",N($Q553)=0),0,IF(IFERROR(INDEX(单位档案!$H$6:$H$35,MATCH($E553,单位档案!$A$6:$A$35,0)),"")="税差法",ROUND(N($H553)/(1+$Q553)*$Q553-IF(N($R553)=0,0,$P553/(1+$R553)*$R553),2),ROUND(N($H553)/(1+$Q553)*$Q553,2)))</f>
        <v>0</v>
      </c>
      <c r="T553" s="36" t="n">
        <f aca="false">ROUND($S553*N(IFERROR(INDEX(单位档案!$J$6:$J$35,MATCH($E553,单位档案!$A$6:$A$35,0)),"")),2)</f>
        <v>0</v>
      </c>
      <c r="U553" s="36" t="n">
        <f aca="false">IF($D553&lt;&gt;"销项开票",0,ROUND(N($H553)*N(IFERROR(INDEX(单位档案!$K$6:$K$35,MATCH($E553,单位档案!$A$6:$A$35,0)),"")),2))</f>
        <v>0</v>
      </c>
      <c r="V553" s="36" t="n">
        <f aca="false">IF(OR($D553&lt;&gt;"销项开票",N($Q553)=0),0,ROUND(N($H553)/(1+$Q553)*N(IFERROR(INDEX(单位档案!$L$6:$L$35,MATCH($E553,单位档案!$A$6:$A$35,0)),"")),2))</f>
        <v>0</v>
      </c>
      <c r="W553" s="36" t="n">
        <f aca="false">ROUND($S553+$T553+$U553+$V553,2)</f>
        <v>0</v>
      </c>
      <c r="X553" s="35" t="str">
        <f aca="false">IF(OR($D553="挂靠代收",$D553="我方收款"),COUNTIFS($D$5:$D553,"挂靠代收")+COUNTIFS($D$5:$D553,"我方收款"),"")</f>
        <v/>
      </c>
      <c r="Y553" s="35"/>
      <c r="Z553" s="21" t="s">
        <v>111</v>
      </c>
    </row>
    <row r="554" customFormat="false" ht="15.75" hidden="false" customHeight="true" outlineLevel="0" collapsed="false">
      <c r="A554" s="32" t="str">
        <f aca="false">IF($B554="","",ROW()-4)</f>
        <v/>
      </c>
      <c r="B554" s="26"/>
      <c r="C554" s="24"/>
      <c r="D554" s="21"/>
      <c r="E554" s="21"/>
      <c r="F554" s="21"/>
      <c r="G554" s="21"/>
      <c r="H554" s="27"/>
      <c r="I554" s="23" t="str">
        <f aca="false">IF($D554&lt;&gt;"销项开票","",IF($N554="一级",IF(IFERROR(INDEX(项目档案!$E$6:$E$255,MATCH($C554,项目档案!$A$6:$A$255,0)),"")="",N(IFERROR(INDEX(单位档案!$D$6:$D$35,MATCH($E554,单位档案!$A$6:$A$35,0)),"")),IFERROR(INDEX(项目档案!$E$6:$E$255,MATCH($C554,项目档案!$A$6:$A$255,0)),"")),IF($N554="二级",IF(IFERROR(INDEX(项目档案!$G$6:$G$255,MATCH($C554,项目档案!$A$6:$A$255,0)),"")="",N(IFERROR(INDEX(单位档案!$D$6:$D$35,MATCH($E554,单位档案!$A$6:$A$35,0)),"")),IFERROR(INDEX(项目档案!$G$6:$G$255,MATCH($C554,项目档案!$A$6:$A$255,0)),"")),N(IFERROR(INDEX(单位档案!$D$6:$D$35,MATCH($E554,单位档案!$A$6:$A$35,0)),"")))))</f>
        <v/>
      </c>
      <c r="J554" s="22"/>
      <c r="K554" s="22"/>
      <c r="L554" s="33" t="str">
        <f aca="false">IF($B554="","",IF(NOT(ISNUMBER($B554)),"日期格式不对",IF($C554="","未选项目编号",IF(LEFT($M554,1)="⚠","项目编号不存在",IF($D554="","未选业务类型",IF($E554="","未选开票/付款方",IF(ISNA(MATCH($E554,单位档案!$A$6:$A$35,0)),"开票方不在单位档案",IF($F554="","未选收票/收款方",IF(ISNA(MATCH($F554,单位档案!$A$6:$A$35,0)),"收款方不在单位档案",IF(NOT(ISNUMBER($H554)),"金额须为数字",IF(AND($D554="销项开票",$N554="—"),"链条待确认","√")))))))))))</f>
        <v/>
      </c>
      <c r="M554" s="34" t="str">
        <f aca="false">IF($C554="","",IFERROR(INDEX(项目档案!$B$6:$B$255,MATCH($C554,项目档案!$A$6:$A$255,0)),"⚠项目编号不存在"))</f>
        <v/>
      </c>
      <c r="N554" s="35" t="str">
        <f aca="false">IF($E554="","",IF($E554=IFERROR(INDEX(项目档案!$D$6:$D$255,MATCH($C554,项目档案!$A$6:$A$255,0)),""),"一级",IF($E554=IFERROR(INDEX(项目档案!$F$6:$F$255,MATCH($C554,项目档案!$A$6:$A$255,0)),""),"二级",IF($E554=IFERROR(INDEX(项目档案!$H$6:$H$255,MATCH($C554,项目档案!$A$6:$A$255,0)),""),"我方","—"))))</f>
        <v/>
      </c>
      <c r="O554" s="36" t="n">
        <f aca="false">IF($D554&lt;&gt;"销项开票",0,ROUND(N($H554)*N($I554),2))</f>
        <v>0</v>
      </c>
      <c r="P554" s="36" t="n">
        <f aca="false">IF($D554&lt;&gt;"销项开票",0,ROUND(N($H554)-$O554,2))</f>
        <v>0</v>
      </c>
      <c r="Q554" s="37" t="str">
        <f aca="false">IF($E554="","",N(IFERROR(INDEX(单位档案!$E$6:$E$35,MATCH($E554,单位档案!$A$6:$A$35,0)),"")))</f>
        <v/>
      </c>
      <c r="R554" s="37" t="str">
        <f aca="false">IF($E554="","",N(IFERROR(INDEX(单位档案!$F$6:$F$35,MATCH($E554,单位档案!$A$6:$A$35,0)),"")))</f>
        <v/>
      </c>
      <c r="S554" s="36" t="n">
        <f aca="false">IF(OR($D554&lt;&gt;"销项开票",IFERROR(INDEX(单位档案!$G$6:$G$35,MATCH($E554,单位档案!$A$6:$A$35,0)),"")&lt;&gt;"是",N($Q554)=0),0,IF(IFERROR(INDEX(单位档案!$H$6:$H$35,MATCH($E554,单位档案!$A$6:$A$35,0)),"")="税差法",ROUND(N($H554)/(1+$Q554)*$Q554-IF(N($R554)=0,0,$P554/(1+$R554)*$R554),2),ROUND(N($H554)/(1+$Q554)*$Q554,2)))</f>
        <v>0</v>
      </c>
      <c r="T554" s="36" t="n">
        <f aca="false">ROUND($S554*N(IFERROR(INDEX(单位档案!$J$6:$J$35,MATCH($E554,单位档案!$A$6:$A$35,0)),"")),2)</f>
        <v>0</v>
      </c>
      <c r="U554" s="36" t="n">
        <f aca="false">IF($D554&lt;&gt;"销项开票",0,ROUND(N($H554)*N(IFERROR(INDEX(单位档案!$K$6:$K$35,MATCH($E554,单位档案!$A$6:$A$35,0)),"")),2))</f>
        <v>0</v>
      </c>
      <c r="V554" s="36" t="n">
        <f aca="false">IF(OR($D554&lt;&gt;"销项开票",N($Q554)=0),0,ROUND(N($H554)/(1+$Q554)*N(IFERROR(INDEX(单位档案!$L$6:$L$35,MATCH($E554,单位档案!$A$6:$A$35,0)),"")),2))</f>
        <v>0</v>
      </c>
      <c r="W554" s="36" t="n">
        <f aca="false">ROUND($S554+$T554+$U554+$V554,2)</f>
        <v>0</v>
      </c>
      <c r="X554" s="35" t="str">
        <f aca="false">IF(OR($D554="挂靠代收",$D554="我方收款"),COUNTIFS($D$5:$D554,"挂靠代收")+COUNTIFS($D$5:$D554,"我方收款"),"")</f>
        <v/>
      </c>
      <c r="Y554" s="35"/>
      <c r="Z554" s="21" t="s">
        <v>111</v>
      </c>
    </row>
    <row r="555" customFormat="false" ht="15.75" hidden="false" customHeight="true" outlineLevel="0" collapsed="false">
      <c r="A555" s="32" t="str">
        <f aca="false">IF($B555="","",ROW()-4)</f>
        <v/>
      </c>
      <c r="B555" s="26"/>
      <c r="C555" s="24"/>
      <c r="D555" s="21"/>
      <c r="E555" s="21"/>
      <c r="F555" s="21"/>
      <c r="G555" s="21"/>
      <c r="H555" s="27"/>
      <c r="I555" s="23" t="str">
        <f aca="false">IF($D555&lt;&gt;"销项开票","",IF($N555="一级",IF(IFERROR(INDEX(项目档案!$E$6:$E$255,MATCH($C555,项目档案!$A$6:$A$255,0)),"")="",N(IFERROR(INDEX(单位档案!$D$6:$D$35,MATCH($E555,单位档案!$A$6:$A$35,0)),"")),IFERROR(INDEX(项目档案!$E$6:$E$255,MATCH($C555,项目档案!$A$6:$A$255,0)),"")),IF($N555="二级",IF(IFERROR(INDEX(项目档案!$G$6:$G$255,MATCH($C555,项目档案!$A$6:$A$255,0)),"")="",N(IFERROR(INDEX(单位档案!$D$6:$D$35,MATCH($E555,单位档案!$A$6:$A$35,0)),"")),IFERROR(INDEX(项目档案!$G$6:$G$255,MATCH($C555,项目档案!$A$6:$A$255,0)),"")),N(IFERROR(INDEX(单位档案!$D$6:$D$35,MATCH($E555,单位档案!$A$6:$A$35,0)),"")))))</f>
        <v/>
      </c>
      <c r="J555" s="22"/>
      <c r="K555" s="22"/>
      <c r="L555" s="33" t="str">
        <f aca="false">IF($B555="","",IF(NOT(ISNUMBER($B555)),"日期格式不对",IF($C555="","未选项目编号",IF(LEFT($M555,1)="⚠","项目编号不存在",IF($D555="","未选业务类型",IF($E555="","未选开票/付款方",IF(ISNA(MATCH($E555,单位档案!$A$6:$A$35,0)),"开票方不在单位档案",IF($F555="","未选收票/收款方",IF(ISNA(MATCH($F555,单位档案!$A$6:$A$35,0)),"收款方不在单位档案",IF(NOT(ISNUMBER($H555)),"金额须为数字",IF(AND($D555="销项开票",$N555="—"),"链条待确认","√")))))))))))</f>
        <v/>
      </c>
      <c r="M555" s="34" t="str">
        <f aca="false">IF($C555="","",IFERROR(INDEX(项目档案!$B$6:$B$255,MATCH($C555,项目档案!$A$6:$A$255,0)),"⚠项目编号不存在"))</f>
        <v/>
      </c>
      <c r="N555" s="35" t="str">
        <f aca="false">IF($E555="","",IF($E555=IFERROR(INDEX(项目档案!$D$6:$D$255,MATCH($C555,项目档案!$A$6:$A$255,0)),""),"一级",IF($E555=IFERROR(INDEX(项目档案!$F$6:$F$255,MATCH($C555,项目档案!$A$6:$A$255,0)),""),"二级",IF($E555=IFERROR(INDEX(项目档案!$H$6:$H$255,MATCH($C555,项目档案!$A$6:$A$255,0)),""),"我方","—"))))</f>
        <v/>
      </c>
      <c r="O555" s="36" t="n">
        <f aca="false">IF($D555&lt;&gt;"销项开票",0,ROUND(N($H555)*N($I555),2))</f>
        <v>0</v>
      </c>
      <c r="P555" s="36" t="n">
        <f aca="false">IF($D555&lt;&gt;"销项开票",0,ROUND(N($H555)-$O555,2))</f>
        <v>0</v>
      </c>
      <c r="Q555" s="37" t="str">
        <f aca="false">IF($E555="","",N(IFERROR(INDEX(单位档案!$E$6:$E$35,MATCH($E555,单位档案!$A$6:$A$35,0)),"")))</f>
        <v/>
      </c>
      <c r="R555" s="37" t="str">
        <f aca="false">IF($E555="","",N(IFERROR(INDEX(单位档案!$F$6:$F$35,MATCH($E555,单位档案!$A$6:$A$35,0)),"")))</f>
        <v/>
      </c>
      <c r="S555" s="36" t="n">
        <f aca="false">IF(OR($D555&lt;&gt;"销项开票",IFERROR(INDEX(单位档案!$G$6:$G$35,MATCH($E555,单位档案!$A$6:$A$35,0)),"")&lt;&gt;"是",N($Q555)=0),0,IF(IFERROR(INDEX(单位档案!$H$6:$H$35,MATCH($E555,单位档案!$A$6:$A$35,0)),"")="税差法",ROUND(N($H555)/(1+$Q555)*$Q555-IF(N($R555)=0,0,$P555/(1+$R555)*$R555),2),ROUND(N($H555)/(1+$Q555)*$Q555,2)))</f>
        <v>0</v>
      </c>
      <c r="T555" s="36" t="n">
        <f aca="false">ROUND($S555*N(IFERROR(INDEX(单位档案!$J$6:$J$35,MATCH($E555,单位档案!$A$6:$A$35,0)),"")),2)</f>
        <v>0</v>
      </c>
      <c r="U555" s="36" t="n">
        <f aca="false">IF($D555&lt;&gt;"销项开票",0,ROUND(N($H555)*N(IFERROR(INDEX(单位档案!$K$6:$K$35,MATCH($E555,单位档案!$A$6:$A$35,0)),"")),2))</f>
        <v>0</v>
      </c>
      <c r="V555" s="36" t="n">
        <f aca="false">IF(OR($D555&lt;&gt;"销项开票",N($Q555)=0),0,ROUND(N($H555)/(1+$Q555)*N(IFERROR(INDEX(单位档案!$L$6:$L$35,MATCH($E555,单位档案!$A$6:$A$35,0)),"")),2))</f>
        <v>0</v>
      </c>
      <c r="W555" s="36" t="n">
        <f aca="false">ROUND($S555+$T555+$U555+$V555,2)</f>
        <v>0</v>
      </c>
      <c r="X555" s="35" t="str">
        <f aca="false">IF(OR($D555="挂靠代收",$D555="我方收款"),COUNTIFS($D$5:$D555,"挂靠代收")+COUNTIFS($D$5:$D555,"我方收款"),"")</f>
        <v/>
      </c>
      <c r="Y555" s="35"/>
      <c r="Z555" s="21" t="s">
        <v>111</v>
      </c>
    </row>
    <row r="556" customFormat="false" ht="15.75" hidden="false" customHeight="true" outlineLevel="0" collapsed="false">
      <c r="A556" s="32" t="str">
        <f aca="false">IF($B556="","",ROW()-4)</f>
        <v/>
      </c>
      <c r="B556" s="26"/>
      <c r="C556" s="24"/>
      <c r="D556" s="21"/>
      <c r="E556" s="21"/>
      <c r="F556" s="21"/>
      <c r="G556" s="21"/>
      <c r="H556" s="27"/>
      <c r="I556" s="23" t="str">
        <f aca="false">IF($D556&lt;&gt;"销项开票","",IF($N556="一级",IF(IFERROR(INDEX(项目档案!$E$6:$E$255,MATCH($C556,项目档案!$A$6:$A$255,0)),"")="",N(IFERROR(INDEX(单位档案!$D$6:$D$35,MATCH($E556,单位档案!$A$6:$A$35,0)),"")),IFERROR(INDEX(项目档案!$E$6:$E$255,MATCH($C556,项目档案!$A$6:$A$255,0)),"")),IF($N556="二级",IF(IFERROR(INDEX(项目档案!$G$6:$G$255,MATCH($C556,项目档案!$A$6:$A$255,0)),"")="",N(IFERROR(INDEX(单位档案!$D$6:$D$35,MATCH($E556,单位档案!$A$6:$A$35,0)),"")),IFERROR(INDEX(项目档案!$G$6:$G$255,MATCH($C556,项目档案!$A$6:$A$255,0)),"")),N(IFERROR(INDEX(单位档案!$D$6:$D$35,MATCH($E556,单位档案!$A$6:$A$35,0)),"")))))</f>
        <v/>
      </c>
      <c r="J556" s="22"/>
      <c r="K556" s="22"/>
      <c r="L556" s="33" t="str">
        <f aca="false">IF($B556="","",IF(NOT(ISNUMBER($B556)),"日期格式不对",IF($C556="","未选项目编号",IF(LEFT($M556,1)="⚠","项目编号不存在",IF($D556="","未选业务类型",IF($E556="","未选开票/付款方",IF(ISNA(MATCH($E556,单位档案!$A$6:$A$35,0)),"开票方不在单位档案",IF($F556="","未选收票/收款方",IF(ISNA(MATCH($F556,单位档案!$A$6:$A$35,0)),"收款方不在单位档案",IF(NOT(ISNUMBER($H556)),"金额须为数字",IF(AND($D556="销项开票",$N556="—"),"链条待确认","√")))))))))))</f>
        <v/>
      </c>
      <c r="M556" s="34" t="str">
        <f aca="false">IF($C556="","",IFERROR(INDEX(项目档案!$B$6:$B$255,MATCH($C556,项目档案!$A$6:$A$255,0)),"⚠项目编号不存在"))</f>
        <v/>
      </c>
      <c r="N556" s="35" t="str">
        <f aca="false">IF($E556="","",IF($E556=IFERROR(INDEX(项目档案!$D$6:$D$255,MATCH($C556,项目档案!$A$6:$A$255,0)),""),"一级",IF($E556=IFERROR(INDEX(项目档案!$F$6:$F$255,MATCH($C556,项目档案!$A$6:$A$255,0)),""),"二级",IF($E556=IFERROR(INDEX(项目档案!$H$6:$H$255,MATCH($C556,项目档案!$A$6:$A$255,0)),""),"我方","—"))))</f>
        <v/>
      </c>
      <c r="O556" s="36" t="n">
        <f aca="false">IF($D556&lt;&gt;"销项开票",0,ROUND(N($H556)*N($I556),2))</f>
        <v>0</v>
      </c>
      <c r="P556" s="36" t="n">
        <f aca="false">IF($D556&lt;&gt;"销项开票",0,ROUND(N($H556)-$O556,2))</f>
        <v>0</v>
      </c>
      <c r="Q556" s="37" t="str">
        <f aca="false">IF($E556="","",N(IFERROR(INDEX(单位档案!$E$6:$E$35,MATCH($E556,单位档案!$A$6:$A$35,0)),"")))</f>
        <v/>
      </c>
      <c r="R556" s="37" t="str">
        <f aca="false">IF($E556="","",N(IFERROR(INDEX(单位档案!$F$6:$F$35,MATCH($E556,单位档案!$A$6:$A$35,0)),"")))</f>
        <v/>
      </c>
      <c r="S556" s="36" t="n">
        <f aca="false">IF(OR($D556&lt;&gt;"销项开票",IFERROR(INDEX(单位档案!$G$6:$G$35,MATCH($E556,单位档案!$A$6:$A$35,0)),"")&lt;&gt;"是",N($Q556)=0),0,IF(IFERROR(INDEX(单位档案!$H$6:$H$35,MATCH($E556,单位档案!$A$6:$A$35,0)),"")="税差法",ROUND(N($H556)/(1+$Q556)*$Q556-IF(N($R556)=0,0,$P556/(1+$R556)*$R556),2),ROUND(N($H556)/(1+$Q556)*$Q556,2)))</f>
        <v>0</v>
      </c>
      <c r="T556" s="36" t="n">
        <f aca="false">ROUND($S556*N(IFERROR(INDEX(单位档案!$J$6:$J$35,MATCH($E556,单位档案!$A$6:$A$35,0)),"")),2)</f>
        <v>0</v>
      </c>
      <c r="U556" s="36" t="n">
        <f aca="false">IF($D556&lt;&gt;"销项开票",0,ROUND(N($H556)*N(IFERROR(INDEX(单位档案!$K$6:$K$35,MATCH($E556,单位档案!$A$6:$A$35,0)),"")),2))</f>
        <v>0</v>
      </c>
      <c r="V556" s="36" t="n">
        <f aca="false">IF(OR($D556&lt;&gt;"销项开票",N($Q556)=0),0,ROUND(N($H556)/(1+$Q556)*N(IFERROR(INDEX(单位档案!$L$6:$L$35,MATCH($E556,单位档案!$A$6:$A$35,0)),"")),2))</f>
        <v>0</v>
      </c>
      <c r="W556" s="36" t="n">
        <f aca="false">ROUND($S556+$T556+$U556+$V556,2)</f>
        <v>0</v>
      </c>
      <c r="X556" s="35" t="str">
        <f aca="false">IF(OR($D556="挂靠代收",$D556="我方收款"),COUNTIFS($D$5:$D556,"挂靠代收")+COUNTIFS($D$5:$D556,"我方收款"),"")</f>
        <v/>
      </c>
      <c r="Y556" s="35"/>
      <c r="Z556" s="21" t="s">
        <v>111</v>
      </c>
    </row>
    <row r="557" customFormat="false" ht="15.75" hidden="false" customHeight="true" outlineLevel="0" collapsed="false">
      <c r="A557" s="32" t="str">
        <f aca="false">IF($B557="","",ROW()-4)</f>
        <v/>
      </c>
      <c r="B557" s="26"/>
      <c r="C557" s="24"/>
      <c r="D557" s="21"/>
      <c r="E557" s="21"/>
      <c r="F557" s="21"/>
      <c r="G557" s="21"/>
      <c r="H557" s="27"/>
      <c r="I557" s="23" t="str">
        <f aca="false">IF($D557&lt;&gt;"销项开票","",IF($N557="一级",IF(IFERROR(INDEX(项目档案!$E$6:$E$255,MATCH($C557,项目档案!$A$6:$A$255,0)),"")="",N(IFERROR(INDEX(单位档案!$D$6:$D$35,MATCH($E557,单位档案!$A$6:$A$35,0)),"")),IFERROR(INDEX(项目档案!$E$6:$E$255,MATCH($C557,项目档案!$A$6:$A$255,0)),"")),IF($N557="二级",IF(IFERROR(INDEX(项目档案!$G$6:$G$255,MATCH($C557,项目档案!$A$6:$A$255,0)),"")="",N(IFERROR(INDEX(单位档案!$D$6:$D$35,MATCH($E557,单位档案!$A$6:$A$35,0)),"")),IFERROR(INDEX(项目档案!$G$6:$G$255,MATCH($C557,项目档案!$A$6:$A$255,0)),"")),N(IFERROR(INDEX(单位档案!$D$6:$D$35,MATCH($E557,单位档案!$A$6:$A$35,0)),"")))))</f>
        <v/>
      </c>
      <c r="J557" s="22"/>
      <c r="K557" s="22"/>
      <c r="L557" s="33" t="str">
        <f aca="false">IF($B557="","",IF(NOT(ISNUMBER($B557)),"日期格式不对",IF($C557="","未选项目编号",IF(LEFT($M557,1)="⚠","项目编号不存在",IF($D557="","未选业务类型",IF($E557="","未选开票/付款方",IF(ISNA(MATCH($E557,单位档案!$A$6:$A$35,0)),"开票方不在单位档案",IF($F557="","未选收票/收款方",IF(ISNA(MATCH($F557,单位档案!$A$6:$A$35,0)),"收款方不在单位档案",IF(NOT(ISNUMBER($H557)),"金额须为数字",IF(AND($D557="销项开票",$N557="—"),"链条待确认","√")))))))))))</f>
        <v/>
      </c>
      <c r="M557" s="34" t="str">
        <f aca="false">IF($C557="","",IFERROR(INDEX(项目档案!$B$6:$B$255,MATCH($C557,项目档案!$A$6:$A$255,0)),"⚠项目编号不存在"))</f>
        <v/>
      </c>
      <c r="N557" s="35" t="str">
        <f aca="false">IF($E557="","",IF($E557=IFERROR(INDEX(项目档案!$D$6:$D$255,MATCH($C557,项目档案!$A$6:$A$255,0)),""),"一级",IF($E557=IFERROR(INDEX(项目档案!$F$6:$F$255,MATCH($C557,项目档案!$A$6:$A$255,0)),""),"二级",IF($E557=IFERROR(INDEX(项目档案!$H$6:$H$255,MATCH($C557,项目档案!$A$6:$A$255,0)),""),"我方","—"))))</f>
        <v/>
      </c>
      <c r="O557" s="36" t="n">
        <f aca="false">IF($D557&lt;&gt;"销项开票",0,ROUND(N($H557)*N($I557),2))</f>
        <v>0</v>
      </c>
      <c r="P557" s="36" t="n">
        <f aca="false">IF($D557&lt;&gt;"销项开票",0,ROUND(N($H557)-$O557,2))</f>
        <v>0</v>
      </c>
      <c r="Q557" s="37" t="str">
        <f aca="false">IF($E557="","",N(IFERROR(INDEX(单位档案!$E$6:$E$35,MATCH($E557,单位档案!$A$6:$A$35,0)),"")))</f>
        <v/>
      </c>
      <c r="R557" s="37" t="str">
        <f aca="false">IF($E557="","",N(IFERROR(INDEX(单位档案!$F$6:$F$35,MATCH($E557,单位档案!$A$6:$A$35,0)),"")))</f>
        <v/>
      </c>
      <c r="S557" s="36" t="n">
        <f aca="false">IF(OR($D557&lt;&gt;"销项开票",IFERROR(INDEX(单位档案!$G$6:$G$35,MATCH($E557,单位档案!$A$6:$A$35,0)),"")&lt;&gt;"是",N($Q557)=0),0,IF(IFERROR(INDEX(单位档案!$H$6:$H$35,MATCH($E557,单位档案!$A$6:$A$35,0)),"")="税差法",ROUND(N($H557)/(1+$Q557)*$Q557-IF(N($R557)=0,0,$P557/(1+$R557)*$R557),2),ROUND(N($H557)/(1+$Q557)*$Q557,2)))</f>
        <v>0</v>
      </c>
      <c r="T557" s="36" t="n">
        <f aca="false">ROUND($S557*N(IFERROR(INDEX(单位档案!$J$6:$J$35,MATCH($E557,单位档案!$A$6:$A$35,0)),"")),2)</f>
        <v>0</v>
      </c>
      <c r="U557" s="36" t="n">
        <f aca="false">IF($D557&lt;&gt;"销项开票",0,ROUND(N($H557)*N(IFERROR(INDEX(单位档案!$K$6:$K$35,MATCH($E557,单位档案!$A$6:$A$35,0)),"")),2))</f>
        <v>0</v>
      </c>
      <c r="V557" s="36" t="n">
        <f aca="false">IF(OR($D557&lt;&gt;"销项开票",N($Q557)=0),0,ROUND(N($H557)/(1+$Q557)*N(IFERROR(INDEX(单位档案!$L$6:$L$35,MATCH($E557,单位档案!$A$6:$A$35,0)),"")),2))</f>
        <v>0</v>
      </c>
      <c r="W557" s="36" t="n">
        <f aca="false">ROUND($S557+$T557+$U557+$V557,2)</f>
        <v>0</v>
      </c>
      <c r="X557" s="35" t="str">
        <f aca="false">IF(OR($D557="挂靠代收",$D557="我方收款"),COUNTIFS($D$5:$D557,"挂靠代收")+COUNTIFS($D$5:$D557,"我方收款"),"")</f>
        <v/>
      </c>
      <c r="Y557" s="35"/>
      <c r="Z557" s="21" t="s">
        <v>111</v>
      </c>
    </row>
    <row r="558" customFormat="false" ht="15.75" hidden="false" customHeight="true" outlineLevel="0" collapsed="false">
      <c r="A558" s="32" t="str">
        <f aca="false">IF($B558="","",ROW()-4)</f>
        <v/>
      </c>
      <c r="B558" s="26"/>
      <c r="C558" s="24"/>
      <c r="D558" s="21"/>
      <c r="E558" s="21"/>
      <c r="F558" s="21"/>
      <c r="G558" s="21"/>
      <c r="H558" s="27"/>
      <c r="I558" s="23" t="str">
        <f aca="false">IF($D558&lt;&gt;"销项开票","",IF($N558="一级",IF(IFERROR(INDEX(项目档案!$E$6:$E$255,MATCH($C558,项目档案!$A$6:$A$255,0)),"")="",N(IFERROR(INDEX(单位档案!$D$6:$D$35,MATCH($E558,单位档案!$A$6:$A$35,0)),"")),IFERROR(INDEX(项目档案!$E$6:$E$255,MATCH($C558,项目档案!$A$6:$A$255,0)),"")),IF($N558="二级",IF(IFERROR(INDEX(项目档案!$G$6:$G$255,MATCH($C558,项目档案!$A$6:$A$255,0)),"")="",N(IFERROR(INDEX(单位档案!$D$6:$D$35,MATCH($E558,单位档案!$A$6:$A$35,0)),"")),IFERROR(INDEX(项目档案!$G$6:$G$255,MATCH($C558,项目档案!$A$6:$A$255,0)),"")),N(IFERROR(INDEX(单位档案!$D$6:$D$35,MATCH($E558,单位档案!$A$6:$A$35,0)),"")))))</f>
        <v/>
      </c>
      <c r="J558" s="22"/>
      <c r="K558" s="22"/>
      <c r="L558" s="33" t="str">
        <f aca="false">IF($B558="","",IF(NOT(ISNUMBER($B558)),"日期格式不对",IF($C558="","未选项目编号",IF(LEFT($M558,1)="⚠","项目编号不存在",IF($D558="","未选业务类型",IF($E558="","未选开票/付款方",IF(ISNA(MATCH($E558,单位档案!$A$6:$A$35,0)),"开票方不在单位档案",IF($F558="","未选收票/收款方",IF(ISNA(MATCH($F558,单位档案!$A$6:$A$35,0)),"收款方不在单位档案",IF(NOT(ISNUMBER($H558)),"金额须为数字",IF(AND($D558="销项开票",$N558="—"),"链条待确认","√")))))))))))</f>
        <v/>
      </c>
      <c r="M558" s="34" t="str">
        <f aca="false">IF($C558="","",IFERROR(INDEX(项目档案!$B$6:$B$255,MATCH($C558,项目档案!$A$6:$A$255,0)),"⚠项目编号不存在"))</f>
        <v/>
      </c>
      <c r="N558" s="35" t="str">
        <f aca="false">IF($E558="","",IF($E558=IFERROR(INDEX(项目档案!$D$6:$D$255,MATCH($C558,项目档案!$A$6:$A$255,0)),""),"一级",IF($E558=IFERROR(INDEX(项目档案!$F$6:$F$255,MATCH($C558,项目档案!$A$6:$A$255,0)),""),"二级",IF($E558=IFERROR(INDEX(项目档案!$H$6:$H$255,MATCH($C558,项目档案!$A$6:$A$255,0)),""),"我方","—"))))</f>
        <v/>
      </c>
      <c r="O558" s="36" t="n">
        <f aca="false">IF($D558&lt;&gt;"销项开票",0,ROUND(N($H558)*N($I558),2))</f>
        <v>0</v>
      </c>
      <c r="P558" s="36" t="n">
        <f aca="false">IF($D558&lt;&gt;"销项开票",0,ROUND(N($H558)-$O558,2))</f>
        <v>0</v>
      </c>
      <c r="Q558" s="37" t="str">
        <f aca="false">IF($E558="","",N(IFERROR(INDEX(单位档案!$E$6:$E$35,MATCH($E558,单位档案!$A$6:$A$35,0)),"")))</f>
        <v/>
      </c>
      <c r="R558" s="37" t="str">
        <f aca="false">IF($E558="","",N(IFERROR(INDEX(单位档案!$F$6:$F$35,MATCH($E558,单位档案!$A$6:$A$35,0)),"")))</f>
        <v/>
      </c>
      <c r="S558" s="36" t="n">
        <f aca="false">IF(OR($D558&lt;&gt;"销项开票",IFERROR(INDEX(单位档案!$G$6:$G$35,MATCH($E558,单位档案!$A$6:$A$35,0)),"")&lt;&gt;"是",N($Q558)=0),0,IF(IFERROR(INDEX(单位档案!$H$6:$H$35,MATCH($E558,单位档案!$A$6:$A$35,0)),"")="税差法",ROUND(N($H558)/(1+$Q558)*$Q558-IF(N($R558)=0,0,$P558/(1+$R558)*$R558),2),ROUND(N($H558)/(1+$Q558)*$Q558,2)))</f>
        <v>0</v>
      </c>
      <c r="T558" s="36" t="n">
        <f aca="false">ROUND($S558*N(IFERROR(INDEX(单位档案!$J$6:$J$35,MATCH($E558,单位档案!$A$6:$A$35,0)),"")),2)</f>
        <v>0</v>
      </c>
      <c r="U558" s="36" t="n">
        <f aca="false">IF($D558&lt;&gt;"销项开票",0,ROUND(N($H558)*N(IFERROR(INDEX(单位档案!$K$6:$K$35,MATCH($E558,单位档案!$A$6:$A$35,0)),"")),2))</f>
        <v>0</v>
      </c>
      <c r="V558" s="36" t="n">
        <f aca="false">IF(OR($D558&lt;&gt;"销项开票",N($Q558)=0),0,ROUND(N($H558)/(1+$Q558)*N(IFERROR(INDEX(单位档案!$L$6:$L$35,MATCH($E558,单位档案!$A$6:$A$35,0)),"")),2))</f>
        <v>0</v>
      </c>
      <c r="W558" s="36" t="n">
        <f aca="false">ROUND($S558+$T558+$U558+$V558,2)</f>
        <v>0</v>
      </c>
      <c r="X558" s="35" t="str">
        <f aca="false">IF(OR($D558="挂靠代收",$D558="我方收款"),COUNTIFS($D$5:$D558,"挂靠代收")+COUNTIFS($D$5:$D558,"我方收款"),"")</f>
        <v/>
      </c>
      <c r="Y558" s="35"/>
      <c r="Z558" s="21" t="s">
        <v>111</v>
      </c>
    </row>
    <row r="559" customFormat="false" ht="15.75" hidden="false" customHeight="true" outlineLevel="0" collapsed="false">
      <c r="A559" s="32" t="str">
        <f aca="false">IF($B559="","",ROW()-4)</f>
        <v/>
      </c>
      <c r="B559" s="26"/>
      <c r="C559" s="24"/>
      <c r="D559" s="21"/>
      <c r="E559" s="21"/>
      <c r="F559" s="21"/>
      <c r="G559" s="21"/>
      <c r="H559" s="27"/>
      <c r="I559" s="23" t="str">
        <f aca="false">IF($D559&lt;&gt;"销项开票","",IF($N559="一级",IF(IFERROR(INDEX(项目档案!$E$6:$E$255,MATCH($C559,项目档案!$A$6:$A$255,0)),"")="",N(IFERROR(INDEX(单位档案!$D$6:$D$35,MATCH($E559,单位档案!$A$6:$A$35,0)),"")),IFERROR(INDEX(项目档案!$E$6:$E$255,MATCH($C559,项目档案!$A$6:$A$255,0)),"")),IF($N559="二级",IF(IFERROR(INDEX(项目档案!$G$6:$G$255,MATCH($C559,项目档案!$A$6:$A$255,0)),"")="",N(IFERROR(INDEX(单位档案!$D$6:$D$35,MATCH($E559,单位档案!$A$6:$A$35,0)),"")),IFERROR(INDEX(项目档案!$G$6:$G$255,MATCH($C559,项目档案!$A$6:$A$255,0)),"")),N(IFERROR(INDEX(单位档案!$D$6:$D$35,MATCH($E559,单位档案!$A$6:$A$35,0)),"")))))</f>
        <v/>
      </c>
      <c r="J559" s="22"/>
      <c r="K559" s="22"/>
      <c r="L559" s="33" t="str">
        <f aca="false">IF($B559="","",IF(NOT(ISNUMBER($B559)),"日期格式不对",IF($C559="","未选项目编号",IF(LEFT($M559,1)="⚠","项目编号不存在",IF($D559="","未选业务类型",IF($E559="","未选开票/付款方",IF(ISNA(MATCH($E559,单位档案!$A$6:$A$35,0)),"开票方不在单位档案",IF($F559="","未选收票/收款方",IF(ISNA(MATCH($F559,单位档案!$A$6:$A$35,0)),"收款方不在单位档案",IF(NOT(ISNUMBER($H559)),"金额须为数字",IF(AND($D559="销项开票",$N559="—"),"链条待确认","√")))))))))))</f>
        <v/>
      </c>
      <c r="M559" s="34" t="str">
        <f aca="false">IF($C559="","",IFERROR(INDEX(项目档案!$B$6:$B$255,MATCH($C559,项目档案!$A$6:$A$255,0)),"⚠项目编号不存在"))</f>
        <v/>
      </c>
      <c r="N559" s="35" t="str">
        <f aca="false">IF($E559="","",IF($E559=IFERROR(INDEX(项目档案!$D$6:$D$255,MATCH($C559,项目档案!$A$6:$A$255,0)),""),"一级",IF($E559=IFERROR(INDEX(项目档案!$F$6:$F$255,MATCH($C559,项目档案!$A$6:$A$255,0)),""),"二级",IF($E559=IFERROR(INDEX(项目档案!$H$6:$H$255,MATCH($C559,项目档案!$A$6:$A$255,0)),""),"我方","—"))))</f>
        <v/>
      </c>
      <c r="O559" s="36" t="n">
        <f aca="false">IF($D559&lt;&gt;"销项开票",0,ROUND(N($H559)*N($I559),2))</f>
        <v>0</v>
      </c>
      <c r="P559" s="36" t="n">
        <f aca="false">IF($D559&lt;&gt;"销项开票",0,ROUND(N($H559)-$O559,2))</f>
        <v>0</v>
      </c>
      <c r="Q559" s="37" t="str">
        <f aca="false">IF($E559="","",N(IFERROR(INDEX(单位档案!$E$6:$E$35,MATCH($E559,单位档案!$A$6:$A$35,0)),"")))</f>
        <v/>
      </c>
      <c r="R559" s="37" t="str">
        <f aca="false">IF($E559="","",N(IFERROR(INDEX(单位档案!$F$6:$F$35,MATCH($E559,单位档案!$A$6:$A$35,0)),"")))</f>
        <v/>
      </c>
      <c r="S559" s="36" t="n">
        <f aca="false">IF(OR($D559&lt;&gt;"销项开票",IFERROR(INDEX(单位档案!$G$6:$G$35,MATCH($E559,单位档案!$A$6:$A$35,0)),"")&lt;&gt;"是",N($Q559)=0),0,IF(IFERROR(INDEX(单位档案!$H$6:$H$35,MATCH($E559,单位档案!$A$6:$A$35,0)),"")="税差法",ROUND(N($H559)/(1+$Q559)*$Q559-IF(N($R559)=0,0,$P559/(1+$R559)*$R559),2),ROUND(N($H559)/(1+$Q559)*$Q559,2)))</f>
        <v>0</v>
      </c>
      <c r="T559" s="36" t="n">
        <f aca="false">ROUND($S559*N(IFERROR(INDEX(单位档案!$J$6:$J$35,MATCH($E559,单位档案!$A$6:$A$35,0)),"")),2)</f>
        <v>0</v>
      </c>
      <c r="U559" s="36" t="n">
        <f aca="false">IF($D559&lt;&gt;"销项开票",0,ROUND(N($H559)*N(IFERROR(INDEX(单位档案!$K$6:$K$35,MATCH($E559,单位档案!$A$6:$A$35,0)),"")),2))</f>
        <v>0</v>
      </c>
      <c r="V559" s="36" t="n">
        <f aca="false">IF(OR($D559&lt;&gt;"销项开票",N($Q559)=0),0,ROUND(N($H559)/(1+$Q559)*N(IFERROR(INDEX(单位档案!$L$6:$L$35,MATCH($E559,单位档案!$A$6:$A$35,0)),"")),2))</f>
        <v>0</v>
      </c>
      <c r="W559" s="36" t="n">
        <f aca="false">ROUND($S559+$T559+$U559+$V559,2)</f>
        <v>0</v>
      </c>
      <c r="X559" s="35" t="str">
        <f aca="false">IF(OR($D559="挂靠代收",$D559="我方收款"),COUNTIFS($D$5:$D559,"挂靠代收")+COUNTIFS($D$5:$D559,"我方收款"),"")</f>
        <v/>
      </c>
      <c r="Y559" s="35"/>
      <c r="Z559" s="21" t="s">
        <v>111</v>
      </c>
    </row>
    <row r="560" customFormat="false" ht="15.75" hidden="false" customHeight="true" outlineLevel="0" collapsed="false">
      <c r="A560" s="32" t="str">
        <f aca="false">IF($B560="","",ROW()-4)</f>
        <v/>
      </c>
      <c r="B560" s="26"/>
      <c r="C560" s="24"/>
      <c r="D560" s="21"/>
      <c r="E560" s="21"/>
      <c r="F560" s="21"/>
      <c r="G560" s="21"/>
      <c r="H560" s="27"/>
      <c r="I560" s="23" t="str">
        <f aca="false">IF($D560&lt;&gt;"销项开票","",IF($N560="一级",IF(IFERROR(INDEX(项目档案!$E$6:$E$255,MATCH($C560,项目档案!$A$6:$A$255,0)),"")="",N(IFERROR(INDEX(单位档案!$D$6:$D$35,MATCH($E560,单位档案!$A$6:$A$35,0)),"")),IFERROR(INDEX(项目档案!$E$6:$E$255,MATCH($C560,项目档案!$A$6:$A$255,0)),"")),IF($N560="二级",IF(IFERROR(INDEX(项目档案!$G$6:$G$255,MATCH($C560,项目档案!$A$6:$A$255,0)),"")="",N(IFERROR(INDEX(单位档案!$D$6:$D$35,MATCH($E560,单位档案!$A$6:$A$35,0)),"")),IFERROR(INDEX(项目档案!$G$6:$G$255,MATCH($C560,项目档案!$A$6:$A$255,0)),"")),N(IFERROR(INDEX(单位档案!$D$6:$D$35,MATCH($E560,单位档案!$A$6:$A$35,0)),"")))))</f>
        <v/>
      </c>
      <c r="J560" s="22"/>
      <c r="K560" s="22"/>
      <c r="L560" s="33" t="str">
        <f aca="false">IF($B560="","",IF(NOT(ISNUMBER($B560)),"日期格式不对",IF($C560="","未选项目编号",IF(LEFT($M560,1)="⚠","项目编号不存在",IF($D560="","未选业务类型",IF($E560="","未选开票/付款方",IF(ISNA(MATCH($E560,单位档案!$A$6:$A$35,0)),"开票方不在单位档案",IF($F560="","未选收票/收款方",IF(ISNA(MATCH($F560,单位档案!$A$6:$A$35,0)),"收款方不在单位档案",IF(NOT(ISNUMBER($H560)),"金额须为数字",IF(AND($D560="销项开票",$N560="—"),"链条待确认","√")))))))))))</f>
        <v/>
      </c>
      <c r="M560" s="34" t="str">
        <f aca="false">IF($C560="","",IFERROR(INDEX(项目档案!$B$6:$B$255,MATCH($C560,项目档案!$A$6:$A$255,0)),"⚠项目编号不存在"))</f>
        <v/>
      </c>
      <c r="N560" s="35" t="str">
        <f aca="false">IF($E560="","",IF($E560=IFERROR(INDEX(项目档案!$D$6:$D$255,MATCH($C560,项目档案!$A$6:$A$255,0)),""),"一级",IF($E560=IFERROR(INDEX(项目档案!$F$6:$F$255,MATCH($C560,项目档案!$A$6:$A$255,0)),""),"二级",IF($E560=IFERROR(INDEX(项目档案!$H$6:$H$255,MATCH($C560,项目档案!$A$6:$A$255,0)),""),"我方","—"))))</f>
        <v/>
      </c>
      <c r="O560" s="36" t="n">
        <f aca="false">IF($D560&lt;&gt;"销项开票",0,ROUND(N($H560)*N($I560),2))</f>
        <v>0</v>
      </c>
      <c r="P560" s="36" t="n">
        <f aca="false">IF($D560&lt;&gt;"销项开票",0,ROUND(N($H560)-$O560,2))</f>
        <v>0</v>
      </c>
      <c r="Q560" s="37" t="str">
        <f aca="false">IF($E560="","",N(IFERROR(INDEX(单位档案!$E$6:$E$35,MATCH($E560,单位档案!$A$6:$A$35,0)),"")))</f>
        <v/>
      </c>
      <c r="R560" s="37" t="str">
        <f aca="false">IF($E560="","",N(IFERROR(INDEX(单位档案!$F$6:$F$35,MATCH($E560,单位档案!$A$6:$A$35,0)),"")))</f>
        <v/>
      </c>
      <c r="S560" s="36" t="n">
        <f aca="false">IF(OR($D560&lt;&gt;"销项开票",IFERROR(INDEX(单位档案!$G$6:$G$35,MATCH($E560,单位档案!$A$6:$A$35,0)),"")&lt;&gt;"是",N($Q560)=0),0,IF(IFERROR(INDEX(单位档案!$H$6:$H$35,MATCH($E560,单位档案!$A$6:$A$35,0)),"")="税差法",ROUND(N($H560)/(1+$Q560)*$Q560-IF(N($R560)=0,0,$P560/(1+$R560)*$R560),2),ROUND(N($H560)/(1+$Q560)*$Q560,2)))</f>
        <v>0</v>
      </c>
      <c r="T560" s="36" t="n">
        <f aca="false">ROUND($S560*N(IFERROR(INDEX(单位档案!$J$6:$J$35,MATCH($E560,单位档案!$A$6:$A$35,0)),"")),2)</f>
        <v>0</v>
      </c>
      <c r="U560" s="36" t="n">
        <f aca="false">IF($D560&lt;&gt;"销项开票",0,ROUND(N($H560)*N(IFERROR(INDEX(单位档案!$K$6:$K$35,MATCH($E560,单位档案!$A$6:$A$35,0)),"")),2))</f>
        <v>0</v>
      </c>
      <c r="V560" s="36" t="n">
        <f aca="false">IF(OR($D560&lt;&gt;"销项开票",N($Q560)=0),0,ROUND(N($H560)/(1+$Q560)*N(IFERROR(INDEX(单位档案!$L$6:$L$35,MATCH($E560,单位档案!$A$6:$A$35,0)),"")),2))</f>
        <v>0</v>
      </c>
      <c r="W560" s="36" t="n">
        <f aca="false">ROUND($S560+$T560+$U560+$V560,2)</f>
        <v>0</v>
      </c>
      <c r="X560" s="35" t="str">
        <f aca="false">IF(OR($D560="挂靠代收",$D560="我方收款"),COUNTIFS($D$5:$D560,"挂靠代收")+COUNTIFS($D$5:$D560,"我方收款"),"")</f>
        <v/>
      </c>
      <c r="Y560" s="35"/>
      <c r="Z560" s="21" t="s">
        <v>111</v>
      </c>
    </row>
    <row r="561" customFormat="false" ht="15.75" hidden="false" customHeight="true" outlineLevel="0" collapsed="false">
      <c r="A561" s="32" t="str">
        <f aca="false">IF($B561="","",ROW()-4)</f>
        <v/>
      </c>
      <c r="B561" s="26"/>
      <c r="C561" s="24"/>
      <c r="D561" s="21"/>
      <c r="E561" s="21"/>
      <c r="F561" s="21"/>
      <c r="G561" s="21"/>
      <c r="H561" s="27"/>
      <c r="I561" s="23" t="str">
        <f aca="false">IF($D561&lt;&gt;"销项开票","",IF($N561="一级",IF(IFERROR(INDEX(项目档案!$E$6:$E$255,MATCH($C561,项目档案!$A$6:$A$255,0)),"")="",N(IFERROR(INDEX(单位档案!$D$6:$D$35,MATCH($E561,单位档案!$A$6:$A$35,0)),"")),IFERROR(INDEX(项目档案!$E$6:$E$255,MATCH($C561,项目档案!$A$6:$A$255,0)),"")),IF($N561="二级",IF(IFERROR(INDEX(项目档案!$G$6:$G$255,MATCH($C561,项目档案!$A$6:$A$255,0)),"")="",N(IFERROR(INDEX(单位档案!$D$6:$D$35,MATCH($E561,单位档案!$A$6:$A$35,0)),"")),IFERROR(INDEX(项目档案!$G$6:$G$255,MATCH($C561,项目档案!$A$6:$A$255,0)),"")),N(IFERROR(INDEX(单位档案!$D$6:$D$35,MATCH($E561,单位档案!$A$6:$A$35,0)),"")))))</f>
        <v/>
      </c>
      <c r="J561" s="22"/>
      <c r="K561" s="22"/>
      <c r="L561" s="33" t="str">
        <f aca="false">IF($B561="","",IF(NOT(ISNUMBER($B561)),"日期格式不对",IF($C561="","未选项目编号",IF(LEFT($M561,1)="⚠","项目编号不存在",IF($D561="","未选业务类型",IF($E561="","未选开票/付款方",IF(ISNA(MATCH($E561,单位档案!$A$6:$A$35,0)),"开票方不在单位档案",IF($F561="","未选收票/收款方",IF(ISNA(MATCH($F561,单位档案!$A$6:$A$35,0)),"收款方不在单位档案",IF(NOT(ISNUMBER($H561)),"金额须为数字",IF(AND($D561="销项开票",$N561="—"),"链条待确认","√")))))))))))</f>
        <v/>
      </c>
      <c r="M561" s="34" t="str">
        <f aca="false">IF($C561="","",IFERROR(INDEX(项目档案!$B$6:$B$255,MATCH($C561,项目档案!$A$6:$A$255,0)),"⚠项目编号不存在"))</f>
        <v/>
      </c>
      <c r="N561" s="35" t="str">
        <f aca="false">IF($E561="","",IF($E561=IFERROR(INDEX(项目档案!$D$6:$D$255,MATCH($C561,项目档案!$A$6:$A$255,0)),""),"一级",IF($E561=IFERROR(INDEX(项目档案!$F$6:$F$255,MATCH($C561,项目档案!$A$6:$A$255,0)),""),"二级",IF($E561=IFERROR(INDEX(项目档案!$H$6:$H$255,MATCH($C561,项目档案!$A$6:$A$255,0)),""),"我方","—"))))</f>
        <v/>
      </c>
      <c r="O561" s="36" t="n">
        <f aca="false">IF($D561&lt;&gt;"销项开票",0,ROUND(N($H561)*N($I561),2))</f>
        <v>0</v>
      </c>
      <c r="P561" s="36" t="n">
        <f aca="false">IF($D561&lt;&gt;"销项开票",0,ROUND(N($H561)-$O561,2))</f>
        <v>0</v>
      </c>
      <c r="Q561" s="37" t="str">
        <f aca="false">IF($E561="","",N(IFERROR(INDEX(单位档案!$E$6:$E$35,MATCH($E561,单位档案!$A$6:$A$35,0)),"")))</f>
        <v/>
      </c>
      <c r="R561" s="37" t="str">
        <f aca="false">IF($E561="","",N(IFERROR(INDEX(单位档案!$F$6:$F$35,MATCH($E561,单位档案!$A$6:$A$35,0)),"")))</f>
        <v/>
      </c>
      <c r="S561" s="36" t="n">
        <f aca="false">IF(OR($D561&lt;&gt;"销项开票",IFERROR(INDEX(单位档案!$G$6:$G$35,MATCH($E561,单位档案!$A$6:$A$35,0)),"")&lt;&gt;"是",N($Q561)=0),0,IF(IFERROR(INDEX(单位档案!$H$6:$H$35,MATCH($E561,单位档案!$A$6:$A$35,0)),"")="税差法",ROUND(N($H561)/(1+$Q561)*$Q561-IF(N($R561)=0,0,$P561/(1+$R561)*$R561),2),ROUND(N($H561)/(1+$Q561)*$Q561,2)))</f>
        <v>0</v>
      </c>
      <c r="T561" s="36" t="n">
        <f aca="false">ROUND($S561*N(IFERROR(INDEX(单位档案!$J$6:$J$35,MATCH($E561,单位档案!$A$6:$A$35,0)),"")),2)</f>
        <v>0</v>
      </c>
      <c r="U561" s="36" t="n">
        <f aca="false">IF($D561&lt;&gt;"销项开票",0,ROUND(N($H561)*N(IFERROR(INDEX(单位档案!$K$6:$K$35,MATCH($E561,单位档案!$A$6:$A$35,0)),"")),2))</f>
        <v>0</v>
      </c>
      <c r="V561" s="36" t="n">
        <f aca="false">IF(OR($D561&lt;&gt;"销项开票",N($Q561)=0),0,ROUND(N($H561)/(1+$Q561)*N(IFERROR(INDEX(单位档案!$L$6:$L$35,MATCH($E561,单位档案!$A$6:$A$35,0)),"")),2))</f>
        <v>0</v>
      </c>
      <c r="W561" s="36" t="n">
        <f aca="false">ROUND($S561+$T561+$U561+$V561,2)</f>
        <v>0</v>
      </c>
      <c r="X561" s="35" t="str">
        <f aca="false">IF(OR($D561="挂靠代收",$D561="我方收款"),COUNTIFS($D$5:$D561,"挂靠代收")+COUNTIFS($D$5:$D561,"我方收款"),"")</f>
        <v/>
      </c>
      <c r="Y561" s="35"/>
      <c r="Z561" s="21" t="s">
        <v>111</v>
      </c>
    </row>
    <row r="562" customFormat="false" ht="15.75" hidden="false" customHeight="true" outlineLevel="0" collapsed="false">
      <c r="A562" s="32" t="str">
        <f aca="false">IF($B562="","",ROW()-4)</f>
        <v/>
      </c>
      <c r="B562" s="26"/>
      <c r="C562" s="24"/>
      <c r="D562" s="21"/>
      <c r="E562" s="21"/>
      <c r="F562" s="21"/>
      <c r="G562" s="21"/>
      <c r="H562" s="27"/>
      <c r="I562" s="23" t="str">
        <f aca="false">IF($D562&lt;&gt;"销项开票","",IF($N562="一级",IF(IFERROR(INDEX(项目档案!$E$6:$E$255,MATCH($C562,项目档案!$A$6:$A$255,0)),"")="",N(IFERROR(INDEX(单位档案!$D$6:$D$35,MATCH($E562,单位档案!$A$6:$A$35,0)),"")),IFERROR(INDEX(项目档案!$E$6:$E$255,MATCH($C562,项目档案!$A$6:$A$255,0)),"")),IF($N562="二级",IF(IFERROR(INDEX(项目档案!$G$6:$G$255,MATCH($C562,项目档案!$A$6:$A$255,0)),"")="",N(IFERROR(INDEX(单位档案!$D$6:$D$35,MATCH($E562,单位档案!$A$6:$A$35,0)),"")),IFERROR(INDEX(项目档案!$G$6:$G$255,MATCH($C562,项目档案!$A$6:$A$255,0)),"")),N(IFERROR(INDEX(单位档案!$D$6:$D$35,MATCH($E562,单位档案!$A$6:$A$35,0)),"")))))</f>
        <v/>
      </c>
      <c r="J562" s="22"/>
      <c r="K562" s="22"/>
      <c r="L562" s="33" t="str">
        <f aca="false">IF($B562="","",IF(NOT(ISNUMBER($B562)),"日期格式不对",IF($C562="","未选项目编号",IF(LEFT($M562,1)="⚠","项目编号不存在",IF($D562="","未选业务类型",IF($E562="","未选开票/付款方",IF(ISNA(MATCH($E562,单位档案!$A$6:$A$35,0)),"开票方不在单位档案",IF($F562="","未选收票/收款方",IF(ISNA(MATCH($F562,单位档案!$A$6:$A$35,0)),"收款方不在单位档案",IF(NOT(ISNUMBER($H562)),"金额须为数字",IF(AND($D562="销项开票",$N562="—"),"链条待确认","√")))))))))))</f>
        <v/>
      </c>
      <c r="M562" s="34" t="str">
        <f aca="false">IF($C562="","",IFERROR(INDEX(项目档案!$B$6:$B$255,MATCH($C562,项目档案!$A$6:$A$255,0)),"⚠项目编号不存在"))</f>
        <v/>
      </c>
      <c r="N562" s="35" t="str">
        <f aca="false">IF($E562="","",IF($E562=IFERROR(INDEX(项目档案!$D$6:$D$255,MATCH($C562,项目档案!$A$6:$A$255,0)),""),"一级",IF($E562=IFERROR(INDEX(项目档案!$F$6:$F$255,MATCH($C562,项目档案!$A$6:$A$255,0)),""),"二级",IF($E562=IFERROR(INDEX(项目档案!$H$6:$H$255,MATCH($C562,项目档案!$A$6:$A$255,0)),""),"我方","—"))))</f>
        <v/>
      </c>
      <c r="O562" s="36" t="n">
        <f aca="false">IF($D562&lt;&gt;"销项开票",0,ROUND(N($H562)*N($I562),2))</f>
        <v>0</v>
      </c>
      <c r="P562" s="36" t="n">
        <f aca="false">IF($D562&lt;&gt;"销项开票",0,ROUND(N($H562)-$O562,2))</f>
        <v>0</v>
      </c>
      <c r="Q562" s="37" t="str">
        <f aca="false">IF($E562="","",N(IFERROR(INDEX(单位档案!$E$6:$E$35,MATCH($E562,单位档案!$A$6:$A$35,0)),"")))</f>
        <v/>
      </c>
      <c r="R562" s="37" t="str">
        <f aca="false">IF($E562="","",N(IFERROR(INDEX(单位档案!$F$6:$F$35,MATCH($E562,单位档案!$A$6:$A$35,0)),"")))</f>
        <v/>
      </c>
      <c r="S562" s="36" t="n">
        <f aca="false">IF(OR($D562&lt;&gt;"销项开票",IFERROR(INDEX(单位档案!$G$6:$G$35,MATCH($E562,单位档案!$A$6:$A$35,0)),"")&lt;&gt;"是",N($Q562)=0),0,IF(IFERROR(INDEX(单位档案!$H$6:$H$35,MATCH($E562,单位档案!$A$6:$A$35,0)),"")="税差法",ROUND(N($H562)/(1+$Q562)*$Q562-IF(N($R562)=0,0,$P562/(1+$R562)*$R562),2),ROUND(N($H562)/(1+$Q562)*$Q562,2)))</f>
        <v>0</v>
      </c>
      <c r="T562" s="36" t="n">
        <f aca="false">ROUND($S562*N(IFERROR(INDEX(单位档案!$J$6:$J$35,MATCH($E562,单位档案!$A$6:$A$35,0)),"")),2)</f>
        <v>0</v>
      </c>
      <c r="U562" s="36" t="n">
        <f aca="false">IF($D562&lt;&gt;"销项开票",0,ROUND(N($H562)*N(IFERROR(INDEX(单位档案!$K$6:$K$35,MATCH($E562,单位档案!$A$6:$A$35,0)),"")),2))</f>
        <v>0</v>
      </c>
      <c r="V562" s="36" t="n">
        <f aca="false">IF(OR($D562&lt;&gt;"销项开票",N($Q562)=0),0,ROUND(N($H562)/(1+$Q562)*N(IFERROR(INDEX(单位档案!$L$6:$L$35,MATCH($E562,单位档案!$A$6:$A$35,0)),"")),2))</f>
        <v>0</v>
      </c>
      <c r="W562" s="36" t="n">
        <f aca="false">ROUND($S562+$T562+$U562+$V562,2)</f>
        <v>0</v>
      </c>
      <c r="X562" s="35" t="str">
        <f aca="false">IF(OR($D562="挂靠代收",$D562="我方收款"),COUNTIFS($D$5:$D562,"挂靠代收")+COUNTIFS($D$5:$D562,"我方收款"),"")</f>
        <v/>
      </c>
      <c r="Y562" s="35"/>
      <c r="Z562" s="21" t="s">
        <v>111</v>
      </c>
    </row>
    <row r="563" customFormat="false" ht="15.75" hidden="false" customHeight="true" outlineLevel="0" collapsed="false">
      <c r="A563" s="32" t="str">
        <f aca="false">IF($B563="","",ROW()-4)</f>
        <v/>
      </c>
      <c r="B563" s="26"/>
      <c r="C563" s="24"/>
      <c r="D563" s="21"/>
      <c r="E563" s="21"/>
      <c r="F563" s="21"/>
      <c r="G563" s="21"/>
      <c r="H563" s="27"/>
      <c r="I563" s="23" t="str">
        <f aca="false">IF($D563&lt;&gt;"销项开票","",IF($N563="一级",IF(IFERROR(INDEX(项目档案!$E$6:$E$255,MATCH($C563,项目档案!$A$6:$A$255,0)),"")="",N(IFERROR(INDEX(单位档案!$D$6:$D$35,MATCH($E563,单位档案!$A$6:$A$35,0)),"")),IFERROR(INDEX(项目档案!$E$6:$E$255,MATCH($C563,项目档案!$A$6:$A$255,0)),"")),IF($N563="二级",IF(IFERROR(INDEX(项目档案!$G$6:$G$255,MATCH($C563,项目档案!$A$6:$A$255,0)),"")="",N(IFERROR(INDEX(单位档案!$D$6:$D$35,MATCH($E563,单位档案!$A$6:$A$35,0)),"")),IFERROR(INDEX(项目档案!$G$6:$G$255,MATCH($C563,项目档案!$A$6:$A$255,0)),"")),N(IFERROR(INDEX(单位档案!$D$6:$D$35,MATCH($E563,单位档案!$A$6:$A$35,0)),"")))))</f>
        <v/>
      </c>
      <c r="J563" s="22"/>
      <c r="K563" s="22"/>
      <c r="L563" s="33" t="str">
        <f aca="false">IF($B563="","",IF(NOT(ISNUMBER($B563)),"日期格式不对",IF($C563="","未选项目编号",IF(LEFT($M563,1)="⚠","项目编号不存在",IF($D563="","未选业务类型",IF($E563="","未选开票/付款方",IF(ISNA(MATCH($E563,单位档案!$A$6:$A$35,0)),"开票方不在单位档案",IF($F563="","未选收票/收款方",IF(ISNA(MATCH($F563,单位档案!$A$6:$A$35,0)),"收款方不在单位档案",IF(NOT(ISNUMBER($H563)),"金额须为数字",IF(AND($D563="销项开票",$N563="—"),"链条待确认","√")))))))))))</f>
        <v/>
      </c>
      <c r="M563" s="34" t="str">
        <f aca="false">IF($C563="","",IFERROR(INDEX(项目档案!$B$6:$B$255,MATCH($C563,项目档案!$A$6:$A$255,0)),"⚠项目编号不存在"))</f>
        <v/>
      </c>
      <c r="N563" s="35" t="str">
        <f aca="false">IF($E563="","",IF($E563=IFERROR(INDEX(项目档案!$D$6:$D$255,MATCH($C563,项目档案!$A$6:$A$255,0)),""),"一级",IF($E563=IFERROR(INDEX(项目档案!$F$6:$F$255,MATCH($C563,项目档案!$A$6:$A$255,0)),""),"二级",IF($E563=IFERROR(INDEX(项目档案!$H$6:$H$255,MATCH($C563,项目档案!$A$6:$A$255,0)),""),"我方","—"))))</f>
        <v/>
      </c>
      <c r="O563" s="36" t="n">
        <f aca="false">IF($D563&lt;&gt;"销项开票",0,ROUND(N($H563)*N($I563),2))</f>
        <v>0</v>
      </c>
      <c r="P563" s="36" t="n">
        <f aca="false">IF($D563&lt;&gt;"销项开票",0,ROUND(N($H563)-$O563,2))</f>
        <v>0</v>
      </c>
      <c r="Q563" s="37" t="str">
        <f aca="false">IF($E563="","",N(IFERROR(INDEX(单位档案!$E$6:$E$35,MATCH($E563,单位档案!$A$6:$A$35,0)),"")))</f>
        <v/>
      </c>
      <c r="R563" s="37" t="str">
        <f aca="false">IF($E563="","",N(IFERROR(INDEX(单位档案!$F$6:$F$35,MATCH($E563,单位档案!$A$6:$A$35,0)),"")))</f>
        <v/>
      </c>
      <c r="S563" s="36" t="n">
        <f aca="false">IF(OR($D563&lt;&gt;"销项开票",IFERROR(INDEX(单位档案!$G$6:$G$35,MATCH($E563,单位档案!$A$6:$A$35,0)),"")&lt;&gt;"是",N($Q563)=0),0,IF(IFERROR(INDEX(单位档案!$H$6:$H$35,MATCH($E563,单位档案!$A$6:$A$35,0)),"")="税差法",ROUND(N($H563)/(1+$Q563)*$Q563-IF(N($R563)=0,0,$P563/(1+$R563)*$R563),2),ROUND(N($H563)/(1+$Q563)*$Q563,2)))</f>
        <v>0</v>
      </c>
      <c r="T563" s="36" t="n">
        <f aca="false">ROUND($S563*N(IFERROR(INDEX(单位档案!$J$6:$J$35,MATCH($E563,单位档案!$A$6:$A$35,0)),"")),2)</f>
        <v>0</v>
      </c>
      <c r="U563" s="36" t="n">
        <f aca="false">IF($D563&lt;&gt;"销项开票",0,ROUND(N($H563)*N(IFERROR(INDEX(单位档案!$K$6:$K$35,MATCH($E563,单位档案!$A$6:$A$35,0)),"")),2))</f>
        <v>0</v>
      </c>
      <c r="V563" s="36" t="n">
        <f aca="false">IF(OR($D563&lt;&gt;"销项开票",N($Q563)=0),0,ROUND(N($H563)/(1+$Q563)*N(IFERROR(INDEX(单位档案!$L$6:$L$35,MATCH($E563,单位档案!$A$6:$A$35,0)),"")),2))</f>
        <v>0</v>
      </c>
      <c r="W563" s="36" t="n">
        <f aca="false">ROUND($S563+$T563+$U563+$V563,2)</f>
        <v>0</v>
      </c>
      <c r="X563" s="35" t="str">
        <f aca="false">IF(OR($D563="挂靠代收",$D563="我方收款"),COUNTIFS($D$5:$D563,"挂靠代收")+COUNTIFS($D$5:$D563,"我方收款"),"")</f>
        <v/>
      </c>
      <c r="Y563" s="35"/>
      <c r="Z563" s="21" t="s">
        <v>111</v>
      </c>
    </row>
    <row r="564" customFormat="false" ht="15.75" hidden="false" customHeight="true" outlineLevel="0" collapsed="false">
      <c r="A564" s="32" t="str">
        <f aca="false">IF($B564="","",ROW()-4)</f>
        <v/>
      </c>
      <c r="B564" s="26"/>
      <c r="C564" s="24"/>
      <c r="D564" s="21"/>
      <c r="E564" s="21"/>
      <c r="F564" s="21"/>
      <c r="G564" s="21"/>
      <c r="H564" s="27"/>
      <c r="I564" s="23" t="str">
        <f aca="false">IF($D564&lt;&gt;"销项开票","",IF($N564="一级",IF(IFERROR(INDEX(项目档案!$E$6:$E$255,MATCH($C564,项目档案!$A$6:$A$255,0)),"")="",N(IFERROR(INDEX(单位档案!$D$6:$D$35,MATCH($E564,单位档案!$A$6:$A$35,0)),"")),IFERROR(INDEX(项目档案!$E$6:$E$255,MATCH($C564,项目档案!$A$6:$A$255,0)),"")),IF($N564="二级",IF(IFERROR(INDEX(项目档案!$G$6:$G$255,MATCH($C564,项目档案!$A$6:$A$255,0)),"")="",N(IFERROR(INDEX(单位档案!$D$6:$D$35,MATCH($E564,单位档案!$A$6:$A$35,0)),"")),IFERROR(INDEX(项目档案!$G$6:$G$255,MATCH($C564,项目档案!$A$6:$A$255,0)),"")),N(IFERROR(INDEX(单位档案!$D$6:$D$35,MATCH($E564,单位档案!$A$6:$A$35,0)),"")))))</f>
        <v/>
      </c>
      <c r="J564" s="22"/>
      <c r="K564" s="22"/>
      <c r="L564" s="33" t="str">
        <f aca="false">IF($B564="","",IF(NOT(ISNUMBER($B564)),"日期格式不对",IF($C564="","未选项目编号",IF(LEFT($M564,1)="⚠","项目编号不存在",IF($D564="","未选业务类型",IF($E564="","未选开票/付款方",IF(ISNA(MATCH($E564,单位档案!$A$6:$A$35,0)),"开票方不在单位档案",IF($F564="","未选收票/收款方",IF(ISNA(MATCH($F564,单位档案!$A$6:$A$35,0)),"收款方不在单位档案",IF(NOT(ISNUMBER($H564)),"金额须为数字",IF(AND($D564="销项开票",$N564="—"),"链条待确认","√")))))))))))</f>
        <v/>
      </c>
      <c r="M564" s="34" t="str">
        <f aca="false">IF($C564="","",IFERROR(INDEX(项目档案!$B$6:$B$255,MATCH($C564,项目档案!$A$6:$A$255,0)),"⚠项目编号不存在"))</f>
        <v/>
      </c>
      <c r="N564" s="35" t="str">
        <f aca="false">IF($E564="","",IF($E564=IFERROR(INDEX(项目档案!$D$6:$D$255,MATCH($C564,项目档案!$A$6:$A$255,0)),""),"一级",IF($E564=IFERROR(INDEX(项目档案!$F$6:$F$255,MATCH($C564,项目档案!$A$6:$A$255,0)),""),"二级",IF($E564=IFERROR(INDEX(项目档案!$H$6:$H$255,MATCH($C564,项目档案!$A$6:$A$255,0)),""),"我方","—"))))</f>
        <v/>
      </c>
      <c r="O564" s="36" t="n">
        <f aca="false">IF($D564&lt;&gt;"销项开票",0,ROUND(N($H564)*N($I564),2))</f>
        <v>0</v>
      </c>
      <c r="P564" s="36" t="n">
        <f aca="false">IF($D564&lt;&gt;"销项开票",0,ROUND(N($H564)-$O564,2))</f>
        <v>0</v>
      </c>
      <c r="Q564" s="37" t="str">
        <f aca="false">IF($E564="","",N(IFERROR(INDEX(单位档案!$E$6:$E$35,MATCH($E564,单位档案!$A$6:$A$35,0)),"")))</f>
        <v/>
      </c>
      <c r="R564" s="37" t="str">
        <f aca="false">IF($E564="","",N(IFERROR(INDEX(单位档案!$F$6:$F$35,MATCH($E564,单位档案!$A$6:$A$35,0)),"")))</f>
        <v/>
      </c>
      <c r="S564" s="36" t="n">
        <f aca="false">IF(OR($D564&lt;&gt;"销项开票",IFERROR(INDEX(单位档案!$G$6:$G$35,MATCH($E564,单位档案!$A$6:$A$35,0)),"")&lt;&gt;"是",N($Q564)=0),0,IF(IFERROR(INDEX(单位档案!$H$6:$H$35,MATCH($E564,单位档案!$A$6:$A$35,0)),"")="税差法",ROUND(N($H564)/(1+$Q564)*$Q564-IF(N($R564)=0,0,$P564/(1+$R564)*$R564),2),ROUND(N($H564)/(1+$Q564)*$Q564,2)))</f>
        <v>0</v>
      </c>
      <c r="T564" s="36" t="n">
        <f aca="false">ROUND($S564*N(IFERROR(INDEX(单位档案!$J$6:$J$35,MATCH($E564,单位档案!$A$6:$A$35,0)),"")),2)</f>
        <v>0</v>
      </c>
      <c r="U564" s="36" t="n">
        <f aca="false">IF($D564&lt;&gt;"销项开票",0,ROUND(N($H564)*N(IFERROR(INDEX(单位档案!$K$6:$K$35,MATCH($E564,单位档案!$A$6:$A$35,0)),"")),2))</f>
        <v>0</v>
      </c>
      <c r="V564" s="36" t="n">
        <f aca="false">IF(OR($D564&lt;&gt;"销项开票",N($Q564)=0),0,ROUND(N($H564)/(1+$Q564)*N(IFERROR(INDEX(单位档案!$L$6:$L$35,MATCH($E564,单位档案!$A$6:$A$35,0)),"")),2))</f>
        <v>0</v>
      </c>
      <c r="W564" s="36" t="n">
        <f aca="false">ROUND($S564+$T564+$U564+$V564,2)</f>
        <v>0</v>
      </c>
      <c r="X564" s="35" t="str">
        <f aca="false">IF(OR($D564="挂靠代收",$D564="我方收款"),COUNTIFS($D$5:$D564,"挂靠代收")+COUNTIFS($D$5:$D564,"我方收款"),"")</f>
        <v/>
      </c>
      <c r="Y564" s="35"/>
      <c r="Z564" s="21" t="s">
        <v>111</v>
      </c>
    </row>
    <row r="565" customFormat="false" ht="15.75" hidden="false" customHeight="true" outlineLevel="0" collapsed="false">
      <c r="A565" s="32" t="str">
        <f aca="false">IF($B565="","",ROW()-4)</f>
        <v/>
      </c>
      <c r="B565" s="26"/>
      <c r="C565" s="24"/>
      <c r="D565" s="21"/>
      <c r="E565" s="21"/>
      <c r="F565" s="21"/>
      <c r="G565" s="21"/>
      <c r="H565" s="27"/>
      <c r="I565" s="23" t="str">
        <f aca="false">IF($D565&lt;&gt;"销项开票","",IF($N565="一级",IF(IFERROR(INDEX(项目档案!$E$6:$E$255,MATCH($C565,项目档案!$A$6:$A$255,0)),"")="",N(IFERROR(INDEX(单位档案!$D$6:$D$35,MATCH($E565,单位档案!$A$6:$A$35,0)),"")),IFERROR(INDEX(项目档案!$E$6:$E$255,MATCH($C565,项目档案!$A$6:$A$255,0)),"")),IF($N565="二级",IF(IFERROR(INDEX(项目档案!$G$6:$G$255,MATCH($C565,项目档案!$A$6:$A$255,0)),"")="",N(IFERROR(INDEX(单位档案!$D$6:$D$35,MATCH($E565,单位档案!$A$6:$A$35,0)),"")),IFERROR(INDEX(项目档案!$G$6:$G$255,MATCH($C565,项目档案!$A$6:$A$255,0)),"")),N(IFERROR(INDEX(单位档案!$D$6:$D$35,MATCH($E565,单位档案!$A$6:$A$35,0)),"")))))</f>
        <v/>
      </c>
      <c r="J565" s="22"/>
      <c r="K565" s="22"/>
      <c r="L565" s="33" t="str">
        <f aca="false">IF($B565="","",IF(NOT(ISNUMBER($B565)),"日期格式不对",IF($C565="","未选项目编号",IF(LEFT($M565,1)="⚠","项目编号不存在",IF($D565="","未选业务类型",IF($E565="","未选开票/付款方",IF(ISNA(MATCH($E565,单位档案!$A$6:$A$35,0)),"开票方不在单位档案",IF($F565="","未选收票/收款方",IF(ISNA(MATCH($F565,单位档案!$A$6:$A$35,0)),"收款方不在单位档案",IF(NOT(ISNUMBER($H565)),"金额须为数字",IF(AND($D565="销项开票",$N565="—"),"链条待确认","√")))))))))))</f>
        <v/>
      </c>
      <c r="M565" s="34" t="str">
        <f aca="false">IF($C565="","",IFERROR(INDEX(项目档案!$B$6:$B$255,MATCH($C565,项目档案!$A$6:$A$255,0)),"⚠项目编号不存在"))</f>
        <v/>
      </c>
      <c r="N565" s="35" t="str">
        <f aca="false">IF($E565="","",IF($E565=IFERROR(INDEX(项目档案!$D$6:$D$255,MATCH($C565,项目档案!$A$6:$A$255,0)),""),"一级",IF($E565=IFERROR(INDEX(项目档案!$F$6:$F$255,MATCH($C565,项目档案!$A$6:$A$255,0)),""),"二级",IF($E565=IFERROR(INDEX(项目档案!$H$6:$H$255,MATCH($C565,项目档案!$A$6:$A$255,0)),""),"我方","—"))))</f>
        <v/>
      </c>
      <c r="O565" s="36" t="n">
        <f aca="false">IF($D565&lt;&gt;"销项开票",0,ROUND(N($H565)*N($I565),2))</f>
        <v>0</v>
      </c>
      <c r="P565" s="36" t="n">
        <f aca="false">IF($D565&lt;&gt;"销项开票",0,ROUND(N($H565)-$O565,2))</f>
        <v>0</v>
      </c>
      <c r="Q565" s="37" t="str">
        <f aca="false">IF($E565="","",N(IFERROR(INDEX(单位档案!$E$6:$E$35,MATCH($E565,单位档案!$A$6:$A$35,0)),"")))</f>
        <v/>
      </c>
      <c r="R565" s="37" t="str">
        <f aca="false">IF($E565="","",N(IFERROR(INDEX(单位档案!$F$6:$F$35,MATCH($E565,单位档案!$A$6:$A$35,0)),"")))</f>
        <v/>
      </c>
      <c r="S565" s="36" t="n">
        <f aca="false">IF(OR($D565&lt;&gt;"销项开票",IFERROR(INDEX(单位档案!$G$6:$G$35,MATCH($E565,单位档案!$A$6:$A$35,0)),"")&lt;&gt;"是",N($Q565)=0),0,IF(IFERROR(INDEX(单位档案!$H$6:$H$35,MATCH($E565,单位档案!$A$6:$A$35,0)),"")="税差法",ROUND(N($H565)/(1+$Q565)*$Q565-IF(N($R565)=0,0,$P565/(1+$R565)*$R565),2),ROUND(N($H565)/(1+$Q565)*$Q565,2)))</f>
        <v>0</v>
      </c>
      <c r="T565" s="36" t="n">
        <f aca="false">ROUND($S565*N(IFERROR(INDEX(单位档案!$J$6:$J$35,MATCH($E565,单位档案!$A$6:$A$35,0)),"")),2)</f>
        <v>0</v>
      </c>
      <c r="U565" s="36" t="n">
        <f aca="false">IF($D565&lt;&gt;"销项开票",0,ROUND(N($H565)*N(IFERROR(INDEX(单位档案!$K$6:$K$35,MATCH($E565,单位档案!$A$6:$A$35,0)),"")),2))</f>
        <v>0</v>
      </c>
      <c r="V565" s="36" t="n">
        <f aca="false">IF(OR($D565&lt;&gt;"销项开票",N($Q565)=0),0,ROUND(N($H565)/(1+$Q565)*N(IFERROR(INDEX(单位档案!$L$6:$L$35,MATCH($E565,单位档案!$A$6:$A$35,0)),"")),2))</f>
        <v>0</v>
      </c>
      <c r="W565" s="36" t="n">
        <f aca="false">ROUND($S565+$T565+$U565+$V565,2)</f>
        <v>0</v>
      </c>
      <c r="X565" s="35" t="str">
        <f aca="false">IF(OR($D565="挂靠代收",$D565="我方收款"),COUNTIFS($D$5:$D565,"挂靠代收")+COUNTIFS($D$5:$D565,"我方收款"),"")</f>
        <v/>
      </c>
      <c r="Y565" s="35"/>
      <c r="Z565" s="21" t="s">
        <v>111</v>
      </c>
    </row>
    <row r="566" customFormat="false" ht="15.75" hidden="false" customHeight="true" outlineLevel="0" collapsed="false">
      <c r="A566" s="32" t="str">
        <f aca="false">IF($B566="","",ROW()-4)</f>
        <v/>
      </c>
      <c r="B566" s="26"/>
      <c r="C566" s="24"/>
      <c r="D566" s="21"/>
      <c r="E566" s="21"/>
      <c r="F566" s="21"/>
      <c r="G566" s="21"/>
      <c r="H566" s="27"/>
      <c r="I566" s="23" t="str">
        <f aca="false">IF($D566&lt;&gt;"销项开票","",IF($N566="一级",IF(IFERROR(INDEX(项目档案!$E$6:$E$255,MATCH($C566,项目档案!$A$6:$A$255,0)),"")="",N(IFERROR(INDEX(单位档案!$D$6:$D$35,MATCH($E566,单位档案!$A$6:$A$35,0)),"")),IFERROR(INDEX(项目档案!$E$6:$E$255,MATCH($C566,项目档案!$A$6:$A$255,0)),"")),IF($N566="二级",IF(IFERROR(INDEX(项目档案!$G$6:$G$255,MATCH($C566,项目档案!$A$6:$A$255,0)),"")="",N(IFERROR(INDEX(单位档案!$D$6:$D$35,MATCH($E566,单位档案!$A$6:$A$35,0)),"")),IFERROR(INDEX(项目档案!$G$6:$G$255,MATCH($C566,项目档案!$A$6:$A$255,0)),"")),N(IFERROR(INDEX(单位档案!$D$6:$D$35,MATCH($E566,单位档案!$A$6:$A$35,0)),"")))))</f>
        <v/>
      </c>
      <c r="J566" s="22"/>
      <c r="K566" s="22"/>
      <c r="L566" s="33" t="str">
        <f aca="false">IF($B566="","",IF(NOT(ISNUMBER($B566)),"日期格式不对",IF($C566="","未选项目编号",IF(LEFT($M566,1)="⚠","项目编号不存在",IF($D566="","未选业务类型",IF($E566="","未选开票/付款方",IF(ISNA(MATCH($E566,单位档案!$A$6:$A$35,0)),"开票方不在单位档案",IF($F566="","未选收票/收款方",IF(ISNA(MATCH($F566,单位档案!$A$6:$A$35,0)),"收款方不在单位档案",IF(NOT(ISNUMBER($H566)),"金额须为数字",IF(AND($D566="销项开票",$N566="—"),"链条待确认","√")))))))))))</f>
        <v/>
      </c>
      <c r="M566" s="34" t="str">
        <f aca="false">IF($C566="","",IFERROR(INDEX(项目档案!$B$6:$B$255,MATCH($C566,项目档案!$A$6:$A$255,0)),"⚠项目编号不存在"))</f>
        <v/>
      </c>
      <c r="N566" s="35" t="str">
        <f aca="false">IF($E566="","",IF($E566=IFERROR(INDEX(项目档案!$D$6:$D$255,MATCH($C566,项目档案!$A$6:$A$255,0)),""),"一级",IF($E566=IFERROR(INDEX(项目档案!$F$6:$F$255,MATCH($C566,项目档案!$A$6:$A$255,0)),""),"二级",IF($E566=IFERROR(INDEX(项目档案!$H$6:$H$255,MATCH($C566,项目档案!$A$6:$A$255,0)),""),"我方","—"))))</f>
        <v/>
      </c>
      <c r="O566" s="36" t="n">
        <f aca="false">IF($D566&lt;&gt;"销项开票",0,ROUND(N($H566)*N($I566),2))</f>
        <v>0</v>
      </c>
      <c r="P566" s="36" t="n">
        <f aca="false">IF($D566&lt;&gt;"销项开票",0,ROUND(N($H566)-$O566,2))</f>
        <v>0</v>
      </c>
      <c r="Q566" s="37" t="str">
        <f aca="false">IF($E566="","",N(IFERROR(INDEX(单位档案!$E$6:$E$35,MATCH($E566,单位档案!$A$6:$A$35,0)),"")))</f>
        <v/>
      </c>
      <c r="R566" s="37" t="str">
        <f aca="false">IF($E566="","",N(IFERROR(INDEX(单位档案!$F$6:$F$35,MATCH($E566,单位档案!$A$6:$A$35,0)),"")))</f>
        <v/>
      </c>
      <c r="S566" s="36" t="n">
        <f aca="false">IF(OR($D566&lt;&gt;"销项开票",IFERROR(INDEX(单位档案!$G$6:$G$35,MATCH($E566,单位档案!$A$6:$A$35,0)),"")&lt;&gt;"是",N($Q566)=0),0,IF(IFERROR(INDEX(单位档案!$H$6:$H$35,MATCH($E566,单位档案!$A$6:$A$35,0)),"")="税差法",ROUND(N($H566)/(1+$Q566)*$Q566-IF(N($R566)=0,0,$P566/(1+$R566)*$R566),2),ROUND(N($H566)/(1+$Q566)*$Q566,2)))</f>
        <v>0</v>
      </c>
      <c r="T566" s="36" t="n">
        <f aca="false">ROUND($S566*N(IFERROR(INDEX(单位档案!$J$6:$J$35,MATCH($E566,单位档案!$A$6:$A$35,0)),"")),2)</f>
        <v>0</v>
      </c>
      <c r="U566" s="36" t="n">
        <f aca="false">IF($D566&lt;&gt;"销项开票",0,ROUND(N($H566)*N(IFERROR(INDEX(单位档案!$K$6:$K$35,MATCH($E566,单位档案!$A$6:$A$35,0)),"")),2))</f>
        <v>0</v>
      </c>
      <c r="V566" s="36" t="n">
        <f aca="false">IF(OR($D566&lt;&gt;"销项开票",N($Q566)=0),0,ROUND(N($H566)/(1+$Q566)*N(IFERROR(INDEX(单位档案!$L$6:$L$35,MATCH($E566,单位档案!$A$6:$A$35,0)),"")),2))</f>
        <v>0</v>
      </c>
      <c r="W566" s="36" t="n">
        <f aca="false">ROUND($S566+$T566+$U566+$V566,2)</f>
        <v>0</v>
      </c>
      <c r="X566" s="35" t="str">
        <f aca="false">IF(OR($D566="挂靠代收",$D566="我方收款"),COUNTIFS($D$5:$D566,"挂靠代收")+COUNTIFS($D$5:$D566,"我方收款"),"")</f>
        <v/>
      </c>
      <c r="Y566" s="35"/>
      <c r="Z566" s="21" t="s">
        <v>111</v>
      </c>
    </row>
    <row r="567" customFormat="false" ht="15.75" hidden="false" customHeight="true" outlineLevel="0" collapsed="false">
      <c r="A567" s="32" t="str">
        <f aca="false">IF($B567="","",ROW()-4)</f>
        <v/>
      </c>
      <c r="B567" s="26"/>
      <c r="C567" s="24"/>
      <c r="D567" s="21"/>
      <c r="E567" s="21"/>
      <c r="F567" s="21"/>
      <c r="G567" s="21"/>
      <c r="H567" s="27"/>
      <c r="I567" s="23" t="str">
        <f aca="false">IF($D567&lt;&gt;"销项开票","",IF($N567="一级",IF(IFERROR(INDEX(项目档案!$E$6:$E$255,MATCH($C567,项目档案!$A$6:$A$255,0)),"")="",N(IFERROR(INDEX(单位档案!$D$6:$D$35,MATCH($E567,单位档案!$A$6:$A$35,0)),"")),IFERROR(INDEX(项目档案!$E$6:$E$255,MATCH($C567,项目档案!$A$6:$A$255,0)),"")),IF($N567="二级",IF(IFERROR(INDEX(项目档案!$G$6:$G$255,MATCH($C567,项目档案!$A$6:$A$255,0)),"")="",N(IFERROR(INDEX(单位档案!$D$6:$D$35,MATCH($E567,单位档案!$A$6:$A$35,0)),"")),IFERROR(INDEX(项目档案!$G$6:$G$255,MATCH($C567,项目档案!$A$6:$A$255,0)),"")),N(IFERROR(INDEX(单位档案!$D$6:$D$35,MATCH($E567,单位档案!$A$6:$A$35,0)),"")))))</f>
        <v/>
      </c>
      <c r="J567" s="22"/>
      <c r="K567" s="22"/>
      <c r="L567" s="33" t="str">
        <f aca="false">IF($B567="","",IF(NOT(ISNUMBER($B567)),"日期格式不对",IF($C567="","未选项目编号",IF(LEFT($M567,1)="⚠","项目编号不存在",IF($D567="","未选业务类型",IF($E567="","未选开票/付款方",IF(ISNA(MATCH($E567,单位档案!$A$6:$A$35,0)),"开票方不在单位档案",IF($F567="","未选收票/收款方",IF(ISNA(MATCH($F567,单位档案!$A$6:$A$35,0)),"收款方不在单位档案",IF(NOT(ISNUMBER($H567)),"金额须为数字",IF(AND($D567="销项开票",$N567="—"),"链条待确认","√")))))))))))</f>
        <v/>
      </c>
      <c r="M567" s="34" t="str">
        <f aca="false">IF($C567="","",IFERROR(INDEX(项目档案!$B$6:$B$255,MATCH($C567,项目档案!$A$6:$A$255,0)),"⚠项目编号不存在"))</f>
        <v/>
      </c>
      <c r="N567" s="35" t="str">
        <f aca="false">IF($E567="","",IF($E567=IFERROR(INDEX(项目档案!$D$6:$D$255,MATCH($C567,项目档案!$A$6:$A$255,0)),""),"一级",IF($E567=IFERROR(INDEX(项目档案!$F$6:$F$255,MATCH($C567,项目档案!$A$6:$A$255,0)),""),"二级",IF($E567=IFERROR(INDEX(项目档案!$H$6:$H$255,MATCH($C567,项目档案!$A$6:$A$255,0)),""),"我方","—"))))</f>
        <v/>
      </c>
      <c r="O567" s="36" t="n">
        <f aca="false">IF($D567&lt;&gt;"销项开票",0,ROUND(N($H567)*N($I567),2))</f>
        <v>0</v>
      </c>
      <c r="P567" s="36" t="n">
        <f aca="false">IF($D567&lt;&gt;"销项开票",0,ROUND(N($H567)-$O567,2))</f>
        <v>0</v>
      </c>
      <c r="Q567" s="37" t="str">
        <f aca="false">IF($E567="","",N(IFERROR(INDEX(单位档案!$E$6:$E$35,MATCH($E567,单位档案!$A$6:$A$35,0)),"")))</f>
        <v/>
      </c>
      <c r="R567" s="37" t="str">
        <f aca="false">IF($E567="","",N(IFERROR(INDEX(单位档案!$F$6:$F$35,MATCH($E567,单位档案!$A$6:$A$35,0)),"")))</f>
        <v/>
      </c>
      <c r="S567" s="36" t="n">
        <f aca="false">IF(OR($D567&lt;&gt;"销项开票",IFERROR(INDEX(单位档案!$G$6:$G$35,MATCH($E567,单位档案!$A$6:$A$35,0)),"")&lt;&gt;"是",N($Q567)=0),0,IF(IFERROR(INDEX(单位档案!$H$6:$H$35,MATCH($E567,单位档案!$A$6:$A$35,0)),"")="税差法",ROUND(N($H567)/(1+$Q567)*$Q567-IF(N($R567)=0,0,$P567/(1+$R567)*$R567),2),ROUND(N($H567)/(1+$Q567)*$Q567,2)))</f>
        <v>0</v>
      </c>
      <c r="T567" s="36" t="n">
        <f aca="false">ROUND($S567*N(IFERROR(INDEX(单位档案!$J$6:$J$35,MATCH($E567,单位档案!$A$6:$A$35,0)),"")),2)</f>
        <v>0</v>
      </c>
      <c r="U567" s="36" t="n">
        <f aca="false">IF($D567&lt;&gt;"销项开票",0,ROUND(N($H567)*N(IFERROR(INDEX(单位档案!$K$6:$K$35,MATCH($E567,单位档案!$A$6:$A$35,0)),"")),2))</f>
        <v>0</v>
      </c>
      <c r="V567" s="36" t="n">
        <f aca="false">IF(OR($D567&lt;&gt;"销项开票",N($Q567)=0),0,ROUND(N($H567)/(1+$Q567)*N(IFERROR(INDEX(单位档案!$L$6:$L$35,MATCH($E567,单位档案!$A$6:$A$35,0)),"")),2))</f>
        <v>0</v>
      </c>
      <c r="W567" s="36" t="n">
        <f aca="false">ROUND($S567+$T567+$U567+$V567,2)</f>
        <v>0</v>
      </c>
      <c r="X567" s="35" t="str">
        <f aca="false">IF(OR($D567="挂靠代收",$D567="我方收款"),COUNTIFS($D$5:$D567,"挂靠代收")+COUNTIFS($D$5:$D567,"我方收款"),"")</f>
        <v/>
      </c>
      <c r="Y567" s="35"/>
      <c r="Z567" s="21" t="s">
        <v>111</v>
      </c>
    </row>
    <row r="568" customFormat="false" ht="15.75" hidden="false" customHeight="true" outlineLevel="0" collapsed="false">
      <c r="A568" s="32" t="str">
        <f aca="false">IF($B568="","",ROW()-4)</f>
        <v/>
      </c>
      <c r="B568" s="26"/>
      <c r="C568" s="24"/>
      <c r="D568" s="21"/>
      <c r="E568" s="21"/>
      <c r="F568" s="21"/>
      <c r="G568" s="21"/>
      <c r="H568" s="27"/>
      <c r="I568" s="23" t="str">
        <f aca="false">IF($D568&lt;&gt;"销项开票","",IF($N568="一级",IF(IFERROR(INDEX(项目档案!$E$6:$E$255,MATCH($C568,项目档案!$A$6:$A$255,0)),"")="",N(IFERROR(INDEX(单位档案!$D$6:$D$35,MATCH($E568,单位档案!$A$6:$A$35,0)),"")),IFERROR(INDEX(项目档案!$E$6:$E$255,MATCH($C568,项目档案!$A$6:$A$255,0)),"")),IF($N568="二级",IF(IFERROR(INDEX(项目档案!$G$6:$G$255,MATCH($C568,项目档案!$A$6:$A$255,0)),"")="",N(IFERROR(INDEX(单位档案!$D$6:$D$35,MATCH($E568,单位档案!$A$6:$A$35,0)),"")),IFERROR(INDEX(项目档案!$G$6:$G$255,MATCH($C568,项目档案!$A$6:$A$255,0)),"")),N(IFERROR(INDEX(单位档案!$D$6:$D$35,MATCH($E568,单位档案!$A$6:$A$35,0)),"")))))</f>
        <v/>
      </c>
      <c r="J568" s="22"/>
      <c r="K568" s="22"/>
      <c r="L568" s="33" t="str">
        <f aca="false">IF($B568="","",IF(NOT(ISNUMBER($B568)),"日期格式不对",IF($C568="","未选项目编号",IF(LEFT($M568,1)="⚠","项目编号不存在",IF($D568="","未选业务类型",IF($E568="","未选开票/付款方",IF(ISNA(MATCH($E568,单位档案!$A$6:$A$35,0)),"开票方不在单位档案",IF($F568="","未选收票/收款方",IF(ISNA(MATCH($F568,单位档案!$A$6:$A$35,0)),"收款方不在单位档案",IF(NOT(ISNUMBER($H568)),"金额须为数字",IF(AND($D568="销项开票",$N568="—"),"链条待确认","√")))))))))))</f>
        <v/>
      </c>
      <c r="M568" s="34" t="str">
        <f aca="false">IF($C568="","",IFERROR(INDEX(项目档案!$B$6:$B$255,MATCH($C568,项目档案!$A$6:$A$255,0)),"⚠项目编号不存在"))</f>
        <v/>
      </c>
      <c r="N568" s="35" t="str">
        <f aca="false">IF($E568="","",IF($E568=IFERROR(INDEX(项目档案!$D$6:$D$255,MATCH($C568,项目档案!$A$6:$A$255,0)),""),"一级",IF($E568=IFERROR(INDEX(项目档案!$F$6:$F$255,MATCH($C568,项目档案!$A$6:$A$255,0)),""),"二级",IF($E568=IFERROR(INDEX(项目档案!$H$6:$H$255,MATCH($C568,项目档案!$A$6:$A$255,0)),""),"我方","—"))))</f>
        <v/>
      </c>
      <c r="O568" s="36" t="n">
        <f aca="false">IF($D568&lt;&gt;"销项开票",0,ROUND(N($H568)*N($I568),2))</f>
        <v>0</v>
      </c>
      <c r="P568" s="36" t="n">
        <f aca="false">IF($D568&lt;&gt;"销项开票",0,ROUND(N($H568)-$O568,2))</f>
        <v>0</v>
      </c>
      <c r="Q568" s="37" t="str">
        <f aca="false">IF($E568="","",N(IFERROR(INDEX(单位档案!$E$6:$E$35,MATCH($E568,单位档案!$A$6:$A$35,0)),"")))</f>
        <v/>
      </c>
      <c r="R568" s="37" t="str">
        <f aca="false">IF($E568="","",N(IFERROR(INDEX(单位档案!$F$6:$F$35,MATCH($E568,单位档案!$A$6:$A$35,0)),"")))</f>
        <v/>
      </c>
      <c r="S568" s="36" t="n">
        <f aca="false">IF(OR($D568&lt;&gt;"销项开票",IFERROR(INDEX(单位档案!$G$6:$G$35,MATCH($E568,单位档案!$A$6:$A$35,0)),"")&lt;&gt;"是",N($Q568)=0),0,IF(IFERROR(INDEX(单位档案!$H$6:$H$35,MATCH($E568,单位档案!$A$6:$A$35,0)),"")="税差法",ROUND(N($H568)/(1+$Q568)*$Q568-IF(N($R568)=0,0,$P568/(1+$R568)*$R568),2),ROUND(N($H568)/(1+$Q568)*$Q568,2)))</f>
        <v>0</v>
      </c>
      <c r="T568" s="36" t="n">
        <f aca="false">ROUND($S568*N(IFERROR(INDEX(单位档案!$J$6:$J$35,MATCH($E568,单位档案!$A$6:$A$35,0)),"")),2)</f>
        <v>0</v>
      </c>
      <c r="U568" s="36" t="n">
        <f aca="false">IF($D568&lt;&gt;"销项开票",0,ROUND(N($H568)*N(IFERROR(INDEX(单位档案!$K$6:$K$35,MATCH($E568,单位档案!$A$6:$A$35,0)),"")),2))</f>
        <v>0</v>
      </c>
      <c r="V568" s="36" t="n">
        <f aca="false">IF(OR($D568&lt;&gt;"销项开票",N($Q568)=0),0,ROUND(N($H568)/(1+$Q568)*N(IFERROR(INDEX(单位档案!$L$6:$L$35,MATCH($E568,单位档案!$A$6:$A$35,0)),"")),2))</f>
        <v>0</v>
      </c>
      <c r="W568" s="36" t="n">
        <f aca="false">ROUND($S568+$T568+$U568+$V568,2)</f>
        <v>0</v>
      </c>
      <c r="X568" s="35" t="str">
        <f aca="false">IF(OR($D568="挂靠代收",$D568="我方收款"),COUNTIFS($D$5:$D568,"挂靠代收")+COUNTIFS($D$5:$D568,"我方收款"),"")</f>
        <v/>
      </c>
      <c r="Y568" s="35"/>
      <c r="Z568" s="21" t="s">
        <v>111</v>
      </c>
    </row>
    <row r="569" customFormat="false" ht="15.75" hidden="false" customHeight="true" outlineLevel="0" collapsed="false">
      <c r="A569" s="32" t="str">
        <f aca="false">IF($B569="","",ROW()-4)</f>
        <v/>
      </c>
      <c r="B569" s="26"/>
      <c r="C569" s="24"/>
      <c r="D569" s="21"/>
      <c r="E569" s="21"/>
      <c r="F569" s="21"/>
      <c r="G569" s="21"/>
      <c r="H569" s="27"/>
      <c r="I569" s="23" t="str">
        <f aca="false">IF($D569&lt;&gt;"销项开票","",IF($N569="一级",IF(IFERROR(INDEX(项目档案!$E$6:$E$255,MATCH($C569,项目档案!$A$6:$A$255,0)),"")="",N(IFERROR(INDEX(单位档案!$D$6:$D$35,MATCH($E569,单位档案!$A$6:$A$35,0)),"")),IFERROR(INDEX(项目档案!$E$6:$E$255,MATCH($C569,项目档案!$A$6:$A$255,0)),"")),IF($N569="二级",IF(IFERROR(INDEX(项目档案!$G$6:$G$255,MATCH($C569,项目档案!$A$6:$A$255,0)),"")="",N(IFERROR(INDEX(单位档案!$D$6:$D$35,MATCH($E569,单位档案!$A$6:$A$35,0)),"")),IFERROR(INDEX(项目档案!$G$6:$G$255,MATCH($C569,项目档案!$A$6:$A$255,0)),"")),N(IFERROR(INDEX(单位档案!$D$6:$D$35,MATCH($E569,单位档案!$A$6:$A$35,0)),"")))))</f>
        <v/>
      </c>
      <c r="J569" s="22"/>
      <c r="K569" s="22"/>
      <c r="L569" s="33" t="str">
        <f aca="false">IF($B569="","",IF(NOT(ISNUMBER($B569)),"日期格式不对",IF($C569="","未选项目编号",IF(LEFT($M569,1)="⚠","项目编号不存在",IF($D569="","未选业务类型",IF($E569="","未选开票/付款方",IF(ISNA(MATCH($E569,单位档案!$A$6:$A$35,0)),"开票方不在单位档案",IF($F569="","未选收票/收款方",IF(ISNA(MATCH($F569,单位档案!$A$6:$A$35,0)),"收款方不在单位档案",IF(NOT(ISNUMBER($H569)),"金额须为数字",IF(AND($D569="销项开票",$N569="—"),"链条待确认","√")))))))))))</f>
        <v/>
      </c>
      <c r="M569" s="34" t="str">
        <f aca="false">IF($C569="","",IFERROR(INDEX(项目档案!$B$6:$B$255,MATCH($C569,项目档案!$A$6:$A$255,0)),"⚠项目编号不存在"))</f>
        <v/>
      </c>
      <c r="N569" s="35" t="str">
        <f aca="false">IF($E569="","",IF($E569=IFERROR(INDEX(项目档案!$D$6:$D$255,MATCH($C569,项目档案!$A$6:$A$255,0)),""),"一级",IF($E569=IFERROR(INDEX(项目档案!$F$6:$F$255,MATCH($C569,项目档案!$A$6:$A$255,0)),""),"二级",IF($E569=IFERROR(INDEX(项目档案!$H$6:$H$255,MATCH($C569,项目档案!$A$6:$A$255,0)),""),"我方","—"))))</f>
        <v/>
      </c>
      <c r="O569" s="36" t="n">
        <f aca="false">IF($D569&lt;&gt;"销项开票",0,ROUND(N($H569)*N($I569),2))</f>
        <v>0</v>
      </c>
      <c r="P569" s="36" t="n">
        <f aca="false">IF($D569&lt;&gt;"销项开票",0,ROUND(N($H569)-$O569,2))</f>
        <v>0</v>
      </c>
      <c r="Q569" s="37" t="str">
        <f aca="false">IF($E569="","",N(IFERROR(INDEX(单位档案!$E$6:$E$35,MATCH($E569,单位档案!$A$6:$A$35,0)),"")))</f>
        <v/>
      </c>
      <c r="R569" s="37" t="str">
        <f aca="false">IF($E569="","",N(IFERROR(INDEX(单位档案!$F$6:$F$35,MATCH($E569,单位档案!$A$6:$A$35,0)),"")))</f>
        <v/>
      </c>
      <c r="S569" s="36" t="n">
        <f aca="false">IF(OR($D569&lt;&gt;"销项开票",IFERROR(INDEX(单位档案!$G$6:$G$35,MATCH($E569,单位档案!$A$6:$A$35,0)),"")&lt;&gt;"是",N($Q569)=0),0,IF(IFERROR(INDEX(单位档案!$H$6:$H$35,MATCH($E569,单位档案!$A$6:$A$35,0)),"")="税差法",ROUND(N($H569)/(1+$Q569)*$Q569-IF(N($R569)=0,0,$P569/(1+$R569)*$R569),2),ROUND(N($H569)/(1+$Q569)*$Q569,2)))</f>
        <v>0</v>
      </c>
      <c r="T569" s="36" t="n">
        <f aca="false">ROUND($S569*N(IFERROR(INDEX(单位档案!$J$6:$J$35,MATCH($E569,单位档案!$A$6:$A$35,0)),"")),2)</f>
        <v>0</v>
      </c>
      <c r="U569" s="36" t="n">
        <f aca="false">IF($D569&lt;&gt;"销项开票",0,ROUND(N($H569)*N(IFERROR(INDEX(单位档案!$K$6:$K$35,MATCH($E569,单位档案!$A$6:$A$35,0)),"")),2))</f>
        <v>0</v>
      </c>
      <c r="V569" s="36" t="n">
        <f aca="false">IF(OR($D569&lt;&gt;"销项开票",N($Q569)=0),0,ROUND(N($H569)/(1+$Q569)*N(IFERROR(INDEX(单位档案!$L$6:$L$35,MATCH($E569,单位档案!$A$6:$A$35,0)),"")),2))</f>
        <v>0</v>
      </c>
      <c r="W569" s="36" t="n">
        <f aca="false">ROUND($S569+$T569+$U569+$V569,2)</f>
        <v>0</v>
      </c>
      <c r="X569" s="35" t="str">
        <f aca="false">IF(OR($D569="挂靠代收",$D569="我方收款"),COUNTIFS($D$5:$D569,"挂靠代收")+COUNTIFS($D$5:$D569,"我方收款"),"")</f>
        <v/>
      </c>
      <c r="Y569" s="35"/>
      <c r="Z569" s="21" t="s">
        <v>111</v>
      </c>
    </row>
    <row r="570" customFormat="false" ht="15.75" hidden="false" customHeight="true" outlineLevel="0" collapsed="false">
      <c r="A570" s="32" t="str">
        <f aca="false">IF($B570="","",ROW()-4)</f>
        <v/>
      </c>
      <c r="B570" s="26"/>
      <c r="C570" s="24"/>
      <c r="D570" s="21"/>
      <c r="E570" s="21"/>
      <c r="F570" s="21"/>
      <c r="G570" s="21"/>
      <c r="H570" s="27"/>
      <c r="I570" s="23" t="str">
        <f aca="false">IF($D570&lt;&gt;"销项开票","",IF($N570="一级",IF(IFERROR(INDEX(项目档案!$E$6:$E$255,MATCH($C570,项目档案!$A$6:$A$255,0)),"")="",N(IFERROR(INDEX(单位档案!$D$6:$D$35,MATCH($E570,单位档案!$A$6:$A$35,0)),"")),IFERROR(INDEX(项目档案!$E$6:$E$255,MATCH($C570,项目档案!$A$6:$A$255,0)),"")),IF($N570="二级",IF(IFERROR(INDEX(项目档案!$G$6:$G$255,MATCH($C570,项目档案!$A$6:$A$255,0)),"")="",N(IFERROR(INDEX(单位档案!$D$6:$D$35,MATCH($E570,单位档案!$A$6:$A$35,0)),"")),IFERROR(INDEX(项目档案!$G$6:$G$255,MATCH($C570,项目档案!$A$6:$A$255,0)),"")),N(IFERROR(INDEX(单位档案!$D$6:$D$35,MATCH($E570,单位档案!$A$6:$A$35,0)),"")))))</f>
        <v/>
      </c>
      <c r="J570" s="22"/>
      <c r="K570" s="22"/>
      <c r="L570" s="33" t="str">
        <f aca="false">IF($B570="","",IF(NOT(ISNUMBER($B570)),"日期格式不对",IF($C570="","未选项目编号",IF(LEFT($M570,1)="⚠","项目编号不存在",IF($D570="","未选业务类型",IF($E570="","未选开票/付款方",IF(ISNA(MATCH($E570,单位档案!$A$6:$A$35,0)),"开票方不在单位档案",IF($F570="","未选收票/收款方",IF(ISNA(MATCH($F570,单位档案!$A$6:$A$35,0)),"收款方不在单位档案",IF(NOT(ISNUMBER($H570)),"金额须为数字",IF(AND($D570="销项开票",$N570="—"),"链条待确认","√")))))))))))</f>
        <v/>
      </c>
      <c r="M570" s="34" t="str">
        <f aca="false">IF($C570="","",IFERROR(INDEX(项目档案!$B$6:$B$255,MATCH($C570,项目档案!$A$6:$A$255,0)),"⚠项目编号不存在"))</f>
        <v/>
      </c>
      <c r="N570" s="35" t="str">
        <f aca="false">IF($E570="","",IF($E570=IFERROR(INDEX(项目档案!$D$6:$D$255,MATCH($C570,项目档案!$A$6:$A$255,0)),""),"一级",IF($E570=IFERROR(INDEX(项目档案!$F$6:$F$255,MATCH($C570,项目档案!$A$6:$A$255,0)),""),"二级",IF($E570=IFERROR(INDEX(项目档案!$H$6:$H$255,MATCH($C570,项目档案!$A$6:$A$255,0)),""),"我方","—"))))</f>
        <v/>
      </c>
      <c r="O570" s="36" t="n">
        <f aca="false">IF($D570&lt;&gt;"销项开票",0,ROUND(N($H570)*N($I570),2))</f>
        <v>0</v>
      </c>
      <c r="P570" s="36" t="n">
        <f aca="false">IF($D570&lt;&gt;"销项开票",0,ROUND(N($H570)-$O570,2))</f>
        <v>0</v>
      </c>
      <c r="Q570" s="37" t="str">
        <f aca="false">IF($E570="","",N(IFERROR(INDEX(单位档案!$E$6:$E$35,MATCH($E570,单位档案!$A$6:$A$35,0)),"")))</f>
        <v/>
      </c>
      <c r="R570" s="37" t="str">
        <f aca="false">IF($E570="","",N(IFERROR(INDEX(单位档案!$F$6:$F$35,MATCH($E570,单位档案!$A$6:$A$35,0)),"")))</f>
        <v/>
      </c>
      <c r="S570" s="36" t="n">
        <f aca="false">IF(OR($D570&lt;&gt;"销项开票",IFERROR(INDEX(单位档案!$G$6:$G$35,MATCH($E570,单位档案!$A$6:$A$35,0)),"")&lt;&gt;"是",N($Q570)=0),0,IF(IFERROR(INDEX(单位档案!$H$6:$H$35,MATCH($E570,单位档案!$A$6:$A$35,0)),"")="税差法",ROUND(N($H570)/(1+$Q570)*$Q570-IF(N($R570)=0,0,$P570/(1+$R570)*$R570),2),ROUND(N($H570)/(1+$Q570)*$Q570,2)))</f>
        <v>0</v>
      </c>
      <c r="T570" s="36" t="n">
        <f aca="false">ROUND($S570*N(IFERROR(INDEX(单位档案!$J$6:$J$35,MATCH($E570,单位档案!$A$6:$A$35,0)),"")),2)</f>
        <v>0</v>
      </c>
      <c r="U570" s="36" t="n">
        <f aca="false">IF($D570&lt;&gt;"销项开票",0,ROUND(N($H570)*N(IFERROR(INDEX(单位档案!$K$6:$K$35,MATCH($E570,单位档案!$A$6:$A$35,0)),"")),2))</f>
        <v>0</v>
      </c>
      <c r="V570" s="36" t="n">
        <f aca="false">IF(OR($D570&lt;&gt;"销项开票",N($Q570)=0),0,ROUND(N($H570)/(1+$Q570)*N(IFERROR(INDEX(单位档案!$L$6:$L$35,MATCH($E570,单位档案!$A$6:$A$35,0)),"")),2))</f>
        <v>0</v>
      </c>
      <c r="W570" s="36" t="n">
        <f aca="false">ROUND($S570+$T570+$U570+$V570,2)</f>
        <v>0</v>
      </c>
      <c r="X570" s="35" t="str">
        <f aca="false">IF(OR($D570="挂靠代收",$D570="我方收款"),COUNTIFS($D$5:$D570,"挂靠代收")+COUNTIFS($D$5:$D570,"我方收款"),"")</f>
        <v/>
      </c>
      <c r="Y570" s="35"/>
      <c r="Z570" s="21" t="s">
        <v>111</v>
      </c>
    </row>
    <row r="571" customFormat="false" ht="15.75" hidden="false" customHeight="true" outlineLevel="0" collapsed="false">
      <c r="A571" s="32" t="str">
        <f aca="false">IF($B571="","",ROW()-4)</f>
        <v/>
      </c>
      <c r="B571" s="26"/>
      <c r="C571" s="24"/>
      <c r="D571" s="21"/>
      <c r="E571" s="21"/>
      <c r="F571" s="21"/>
      <c r="G571" s="21"/>
      <c r="H571" s="27"/>
      <c r="I571" s="23" t="str">
        <f aca="false">IF($D571&lt;&gt;"销项开票","",IF($N571="一级",IF(IFERROR(INDEX(项目档案!$E$6:$E$255,MATCH($C571,项目档案!$A$6:$A$255,0)),"")="",N(IFERROR(INDEX(单位档案!$D$6:$D$35,MATCH($E571,单位档案!$A$6:$A$35,0)),"")),IFERROR(INDEX(项目档案!$E$6:$E$255,MATCH($C571,项目档案!$A$6:$A$255,0)),"")),IF($N571="二级",IF(IFERROR(INDEX(项目档案!$G$6:$G$255,MATCH($C571,项目档案!$A$6:$A$255,0)),"")="",N(IFERROR(INDEX(单位档案!$D$6:$D$35,MATCH($E571,单位档案!$A$6:$A$35,0)),"")),IFERROR(INDEX(项目档案!$G$6:$G$255,MATCH($C571,项目档案!$A$6:$A$255,0)),"")),N(IFERROR(INDEX(单位档案!$D$6:$D$35,MATCH($E571,单位档案!$A$6:$A$35,0)),"")))))</f>
        <v/>
      </c>
      <c r="J571" s="22"/>
      <c r="K571" s="22"/>
      <c r="L571" s="33" t="str">
        <f aca="false">IF($B571="","",IF(NOT(ISNUMBER($B571)),"日期格式不对",IF($C571="","未选项目编号",IF(LEFT($M571,1)="⚠","项目编号不存在",IF($D571="","未选业务类型",IF($E571="","未选开票/付款方",IF(ISNA(MATCH($E571,单位档案!$A$6:$A$35,0)),"开票方不在单位档案",IF($F571="","未选收票/收款方",IF(ISNA(MATCH($F571,单位档案!$A$6:$A$35,0)),"收款方不在单位档案",IF(NOT(ISNUMBER($H571)),"金额须为数字",IF(AND($D571="销项开票",$N571="—"),"链条待确认","√")))))))))))</f>
        <v/>
      </c>
      <c r="M571" s="34" t="str">
        <f aca="false">IF($C571="","",IFERROR(INDEX(项目档案!$B$6:$B$255,MATCH($C571,项目档案!$A$6:$A$255,0)),"⚠项目编号不存在"))</f>
        <v/>
      </c>
      <c r="N571" s="35" t="str">
        <f aca="false">IF($E571="","",IF($E571=IFERROR(INDEX(项目档案!$D$6:$D$255,MATCH($C571,项目档案!$A$6:$A$255,0)),""),"一级",IF($E571=IFERROR(INDEX(项目档案!$F$6:$F$255,MATCH($C571,项目档案!$A$6:$A$255,0)),""),"二级",IF($E571=IFERROR(INDEX(项目档案!$H$6:$H$255,MATCH($C571,项目档案!$A$6:$A$255,0)),""),"我方","—"))))</f>
        <v/>
      </c>
      <c r="O571" s="36" t="n">
        <f aca="false">IF($D571&lt;&gt;"销项开票",0,ROUND(N($H571)*N($I571),2))</f>
        <v>0</v>
      </c>
      <c r="P571" s="36" t="n">
        <f aca="false">IF($D571&lt;&gt;"销项开票",0,ROUND(N($H571)-$O571,2))</f>
        <v>0</v>
      </c>
      <c r="Q571" s="37" t="str">
        <f aca="false">IF($E571="","",N(IFERROR(INDEX(单位档案!$E$6:$E$35,MATCH($E571,单位档案!$A$6:$A$35,0)),"")))</f>
        <v/>
      </c>
      <c r="R571" s="37" t="str">
        <f aca="false">IF($E571="","",N(IFERROR(INDEX(单位档案!$F$6:$F$35,MATCH($E571,单位档案!$A$6:$A$35,0)),"")))</f>
        <v/>
      </c>
      <c r="S571" s="36" t="n">
        <f aca="false">IF(OR($D571&lt;&gt;"销项开票",IFERROR(INDEX(单位档案!$G$6:$G$35,MATCH($E571,单位档案!$A$6:$A$35,0)),"")&lt;&gt;"是",N($Q571)=0),0,IF(IFERROR(INDEX(单位档案!$H$6:$H$35,MATCH($E571,单位档案!$A$6:$A$35,0)),"")="税差法",ROUND(N($H571)/(1+$Q571)*$Q571-IF(N($R571)=0,0,$P571/(1+$R571)*$R571),2),ROUND(N($H571)/(1+$Q571)*$Q571,2)))</f>
        <v>0</v>
      </c>
      <c r="T571" s="36" t="n">
        <f aca="false">ROUND($S571*N(IFERROR(INDEX(单位档案!$J$6:$J$35,MATCH($E571,单位档案!$A$6:$A$35,0)),"")),2)</f>
        <v>0</v>
      </c>
      <c r="U571" s="36" t="n">
        <f aca="false">IF($D571&lt;&gt;"销项开票",0,ROUND(N($H571)*N(IFERROR(INDEX(单位档案!$K$6:$K$35,MATCH($E571,单位档案!$A$6:$A$35,0)),"")),2))</f>
        <v>0</v>
      </c>
      <c r="V571" s="36" t="n">
        <f aca="false">IF(OR($D571&lt;&gt;"销项开票",N($Q571)=0),0,ROUND(N($H571)/(1+$Q571)*N(IFERROR(INDEX(单位档案!$L$6:$L$35,MATCH($E571,单位档案!$A$6:$A$35,0)),"")),2))</f>
        <v>0</v>
      </c>
      <c r="W571" s="36" t="n">
        <f aca="false">ROUND($S571+$T571+$U571+$V571,2)</f>
        <v>0</v>
      </c>
      <c r="X571" s="35" t="str">
        <f aca="false">IF(OR($D571="挂靠代收",$D571="我方收款"),COUNTIFS($D$5:$D571,"挂靠代收")+COUNTIFS($D$5:$D571,"我方收款"),"")</f>
        <v/>
      </c>
      <c r="Y571" s="35"/>
      <c r="Z571" s="21" t="s">
        <v>111</v>
      </c>
    </row>
    <row r="572" customFormat="false" ht="15.75" hidden="false" customHeight="true" outlineLevel="0" collapsed="false">
      <c r="A572" s="32" t="str">
        <f aca="false">IF($B572="","",ROW()-4)</f>
        <v/>
      </c>
      <c r="B572" s="26"/>
      <c r="C572" s="24"/>
      <c r="D572" s="21"/>
      <c r="E572" s="21"/>
      <c r="F572" s="21"/>
      <c r="G572" s="21"/>
      <c r="H572" s="27"/>
      <c r="I572" s="23" t="str">
        <f aca="false">IF($D572&lt;&gt;"销项开票","",IF($N572="一级",IF(IFERROR(INDEX(项目档案!$E$6:$E$255,MATCH($C572,项目档案!$A$6:$A$255,0)),"")="",N(IFERROR(INDEX(单位档案!$D$6:$D$35,MATCH($E572,单位档案!$A$6:$A$35,0)),"")),IFERROR(INDEX(项目档案!$E$6:$E$255,MATCH($C572,项目档案!$A$6:$A$255,0)),"")),IF($N572="二级",IF(IFERROR(INDEX(项目档案!$G$6:$G$255,MATCH($C572,项目档案!$A$6:$A$255,0)),"")="",N(IFERROR(INDEX(单位档案!$D$6:$D$35,MATCH($E572,单位档案!$A$6:$A$35,0)),"")),IFERROR(INDEX(项目档案!$G$6:$G$255,MATCH($C572,项目档案!$A$6:$A$255,0)),"")),N(IFERROR(INDEX(单位档案!$D$6:$D$35,MATCH($E572,单位档案!$A$6:$A$35,0)),"")))))</f>
        <v/>
      </c>
      <c r="J572" s="22"/>
      <c r="K572" s="22"/>
      <c r="L572" s="33" t="str">
        <f aca="false">IF($B572="","",IF(NOT(ISNUMBER($B572)),"日期格式不对",IF($C572="","未选项目编号",IF(LEFT($M572,1)="⚠","项目编号不存在",IF($D572="","未选业务类型",IF($E572="","未选开票/付款方",IF(ISNA(MATCH($E572,单位档案!$A$6:$A$35,0)),"开票方不在单位档案",IF($F572="","未选收票/收款方",IF(ISNA(MATCH($F572,单位档案!$A$6:$A$35,0)),"收款方不在单位档案",IF(NOT(ISNUMBER($H572)),"金额须为数字",IF(AND($D572="销项开票",$N572="—"),"链条待确认","√")))))))))))</f>
        <v/>
      </c>
      <c r="M572" s="34" t="str">
        <f aca="false">IF($C572="","",IFERROR(INDEX(项目档案!$B$6:$B$255,MATCH($C572,项目档案!$A$6:$A$255,0)),"⚠项目编号不存在"))</f>
        <v/>
      </c>
      <c r="N572" s="35" t="str">
        <f aca="false">IF($E572="","",IF($E572=IFERROR(INDEX(项目档案!$D$6:$D$255,MATCH($C572,项目档案!$A$6:$A$255,0)),""),"一级",IF($E572=IFERROR(INDEX(项目档案!$F$6:$F$255,MATCH($C572,项目档案!$A$6:$A$255,0)),""),"二级",IF($E572=IFERROR(INDEX(项目档案!$H$6:$H$255,MATCH($C572,项目档案!$A$6:$A$255,0)),""),"我方","—"))))</f>
        <v/>
      </c>
      <c r="O572" s="36" t="n">
        <f aca="false">IF($D572&lt;&gt;"销项开票",0,ROUND(N($H572)*N($I572),2))</f>
        <v>0</v>
      </c>
      <c r="P572" s="36" t="n">
        <f aca="false">IF($D572&lt;&gt;"销项开票",0,ROUND(N($H572)-$O572,2))</f>
        <v>0</v>
      </c>
      <c r="Q572" s="37" t="str">
        <f aca="false">IF($E572="","",N(IFERROR(INDEX(单位档案!$E$6:$E$35,MATCH($E572,单位档案!$A$6:$A$35,0)),"")))</f>
        <v/>
      </c>
      <c r="R572" s="37" t="str">
        <f aca="false">IF($E572="","",N(IFERROR(INDEX(单位档案!$F$6:$F$35,MATCH($E572,单位档案!$A$6:$A$35,0)),"")))</f>
        <v/>
      </c>
      <c r="S572" s="36" t="n">
        <f aca="false">IF(OR($D572&lt;&gt;"销项开票",IFERROR(INDEX(单位档案!$G$6:$G$35,MATCH($E572,单位档案!$A$6:$A$35,0)),"")&lt;&gt;"是",N($Q572)=0),0,IF(IFERROR(INDEX(单位档案!$H$6:$H$35,MATCH($E572,单位档案!$A$6:$A$35,0)),"")="税差法",ROUND(N($H572)/(1+$Q572)*$Q572-IF(N($R572)=0,0,$P572/(1+$R572)*$R572),2),ROUND(N($H572)/(1+$Q572)*$Q572,2)))</f>
        <v>0</v>
      </c>
      <c r="T572" s="36" t="n">
        <f aca="false">ROUND($S572*N(IFERROR(INDEX(单位档案!$J$6:$J$35,MATCH($E572,单位档案!$A$6:$A$35,0)),"")),2)</f>
        <v>0</v>
      </c>
      <c r="U572" s="36" t="n">
        <f aca="false">IF($D572&lt;&gt;"销项开票",0,ROUND(N($H572)*N(IFERROR(INDEX(单位档案!$K$6:$K$35,MATCH($E572,单位档案!$A$6:$A$35,0)),"")),2))</f>
        <v>0</v>
      </c>
      <c r="V572" s="36" t="n">
        <f aca="false">IF(OR($D572&lt;&gt;"销项开票",N($Q572)=0),0,ROUND(N($H572)/(1+$Q572)*N(IFERROR(INDEX(单位档案!$L$6:$L$35,MATCH($E572,单位档案!$A$6:$A$35,0)),"")),2))</f>
        <v>0</v>
      </c>
      <c r="W572" s="36" t="n">
        <f aca="false">ROUND($S572+$T572+$U572+$V572,2)</f>
        <v>0</v>
      </c>
      <c r="X572" s="35" t="str">
        <f aca="false">IF(OR($D572="挂靠代收",$D572="我方收款"),COUNTIFS($D$5:$D572,"挂靠代收")+COUNTIFS($D$5:$D572,"我方收款"),"")</f>
        <v/>
      </c>
      <c r="Y572" s="35"/>
      <c r="Z572" s="21" t="s">
        <v>111</v>
      </c>
    </row>
    <row r="573" customFormat="false" ht="15.75" hidden="false" customHeight="true" outlineLevel="0" collapsed="false">
      <c r="A573" s="32" t="str">
        <f aca="false">IF($B573="","",ROW()-4)</f>
        <v/>
      </c>
      <c r="B573" s="26"/>
      <c r="C573" s="24"/>
      <c r="D573" s="21"/>
      <c r="E573" s="21"/>
      <c r="F573" s="21"/>
      <c r="G573" s="21"/>
      <c r="H573" s="27"/>
      <c r="I573" s="23" t="str">
        <f aca="false">IF($D573&lt;&gt;"销项开票","",IF($N573="一级",IF(IFERROR(INDEX(项目档案!$E$6:$E$255,MATCH($C573,项目档案!$A$6:$A$255,0)),"")="",N(IFERROR(INDEX(单位档案!$D$6:$D$35,MATCH($E573,单位档案!$A$6:$A$35,0)),"")),IFERROR(INDEX(项目档案!$E$6:$E$255,MATCH($C573,项目档案!$A$6:$A$255,0)),"")),IF($N573="二级",IF(IFERROR(INDEX(项目档案!$G$6:$G$255,MATCH($C573,项目档案!$A$6:$A$255,0)),"")="",N(IFERROR(INDEX(单位档案!$D$6:$D$35,MATCH($E573,单位档案!$A$6:$A$35,0)),"")),IFERROR(INDEX(项目档案!$G$6:$G$255,MATCH($C573,项目档案!$A$6:$A$255,0)),"")),N(IFERROR(INDEX(单位档案!$D$6:$D$35,MATCH($E573,单位档案!$A$6:$A$35,0)),"")))))</f>
        <v/>
      </c>
      <c r="J573" s="22"/>
      <c r="K573" s="22"/>
      <c r="L573" s="33" t="str">
        <f aca="false">IF($B573="","",IF(NOT(ISNUMBER($B573)),"日期格式不对",IF($C573="","未选项目编号",IF(LEFT($M573,1)="⚠","项目编号不存在",IF($D573="","未选业务类型",IF($E573="","未选开票/付款方",IF(ISNA(MATCH($E573,单位档案!$A$6:$A$35,0)),"开票方不在单位档案",IF($F573="","未选收票/收款方",IF(ISNA(MATCH($F573,单位档案!$A$6:$A$35,0)),"收款方不在单位档案",IF(NOT(ISNUMBER($H573)),"金额须为数字",IF(AND($D573="销项开票",$N573="—"),"链条待确认","√")))))))))))</f>
        <v/>
      </c>
      <c r="M573" s="34" t="str">
        <f aca="false">IF($C573="","",IFERROR(INDEX(项目档案!$B$6:$B$255,MATCH($C573,项目档案!$A$6:$A$255,0)),"⚠项目编号不存在"))</f>
        <v/>
      </c>
      <c r="N573" s="35" t="str">
        <f aca="false">IF($E573="","",IF($E573=IFERROR(INDEX(项目档案!$D$6:$D$255,MATCH($C573,项目档案!$A$6:$A$255,0)),""),"一级",IF($E573=IFERROR(INDEX(项目档案!$F$6:$F$255,MATCH($C573,项目档案!$A$6:$A$255,0)),""),"二级",IF($E573=IFERROR(INDEX(项目档案!$H$6:$H$255,MATCH($C573,项目档案!$A$6:$A$255,0)),""),"我方","—"))))</f>
        <v/>
      </c>
      <c r="O573" s="36" t="n">
        <f aca="false">IF($D573&lt;&gt;"销项开票",0,ROUND(N($H573)*N($I573),2))</f>
        <v>0</v>
      </c>
      <c r="P573" s="36" t="n">
        <f aca="false">IF($D573&lt;&gt;"销项开票",0,ROUND(N($H573)-$O573,2))</f>
        <v>0</v>
      </c>
      <c r="Q573" s="37" t="str">
        <f aca="false">IF($E573="","",N(IFERROR(INDEX(单位档案!$E$6:$E$35,MATCH($E573,单位档案!$A$6:$A$35,0)),"")))</f>
        <v/>
      </c>
      <c r="R573" s="37" t="str">
        <f aca="false">IF($E573="","",N(IFERROR(INDEX(单位档案!$F$6:$F$35,MATCH($E573,单位档案!$A$6:$A$35,0)),"")))</f>
        <v/>
      </c>
      <c r="S573" s="36" t="n">
        <f aca="false">IF(OR($D573&lt;&gt;"销项开票",IFERROR(INDEX(单位档案!$G$6:$G$35,MATCH($E573,单位档案!$A$6:$A$35,0)),"")&lt;&gt;"是",N($Q573)=0),0,IF(IFERROR(INDEX(单位档案!$H$6:$H$35,MATCH($E573,单位档案!$A$6:$A$35,0)),"")="税差法",ROUND(N($H573)/(1+$Q573)*$Q573-IF(N($R573)=0,0,$P573/(1+$R573)*$R573),2),ROUND(N($H573)/(1+$Q573)*$Q573,2)))</f>
        <v>0</v>
      </c>
      <c r="T573" s="36" t="n">
        <f aca="false">ROUND($S573*N(IFERROR(INDEX(单位档案!$J$6:$J$35,MATCH($E573,单位档案!$A$6:$A$35,0)),"")),2)</f>
        <v>0</v>
      </c>
      <c r="U573" s="36" t="n">
        <f aca="false">IF($D573&lt;&gt;"销项开票",0,ROUND(N($H573)*N(IFERROR(INDEX(单位档案!$K$6:$K$35,MATCH($E573,单位档案!$A$6:$A$35,0)),"")),2))</f>
        <v>0</v>
      </c>
      <c r="V573" s="36" t="n">
        <f aca="false">IF(OR($D573&lt;&gt;"销项开票",N($Q573)=0),0,ROUND(N($H573)/(1+$Q573)*N(IFERROR(INDEX(单位档案!$L$6:$L$35,MATCH($E573,单位档案!$A$6:$A$35,0)),"")),2))</f>
        <v>0</v>
      </c>
      <c r="W573" s="36" t="n">
        <f aca="false">ROUND($S573+$T573+$U573+$V573,2)</f>
        <v>0</v>
      </c>
      <c r="X573" s="35" t="str">
        <f aca="false">IF(OR($D573="挂靠代收",$D573="我方收款"),COUNTIFS($D$5:$D573,"挂靠代收")+COUNTIFS($D$5:$D573,"我方收款"),"")</f>
        <v/>
      </c>
      <c r="Y573" s="35"/>
      <c r="Z573" s="21" t="s">
        <v>111</v>
      </c>
    </row>
    <row r="574" customFormat="false" ht="15.75" hidden="false" customHeight="true" outlineLevel="0" collapsed="false">
      <c r="A574" s="32" t="str">
        <f aca="false">IF($B574="","",ROW()-4)</f>
        <v/>
      </c>
      <c r="B574" s="26"/>
      <c r="C574" s="24"/>
      <c r="D574" s="21"/>
      <c r="E574" s="21"/>
      <c r="F574" s="21"/>
      <c r="G574" s="21"/>
      <c r="H574" s="27"/>
      <c r="I574" s="23" t="str">
        <f aca="false">IF($D574&lt;&gt;"销项开票","",IF($N574="一级",IF(IFERROR(INDEX(项目档案!$E$6:$E$255,MATCH($C574,项目档案!$A$6:$A$255,0)),"")="",N(IFERROR(INDEX(单位档案!$D$6:$D$35,MATCH($E574,单位档案!$A$6:$A$35,0)),"")),IFERROR(INDEX(项目档案!$E$6:$E$255,MATCH($C574,项目档案!$A$6:$A$255,0)),"")),IF($N574="二级",IF(IFERROR(INDEX(项目档案!$G$6:$G$255,MATCH($C574,项目档案!$A$6:$A$255,0)),"")="",N(IFERROR(INDEX(单位档案!$D$6:$D$35,MATCH($E574,单位档案!$A$6:$A$35,0)),"")),IFERROR(INDEX(项目档案!$G$6:$G$255,MATCH($C574,项目档案!$A$6:$A$255,0)),"")),N(IFERROR(INDEX(单位档案!$D$6:$D$35,MATCH($E574,单位档案!$A$6:$A$35,0)),"")))))</f>
        <v/>
      </c>
      <c r="J574" s="22"/>
      <c r="K574" s="22"/>
      <c r="L574" s="33" t="str">
        <f aca="false">IF($B574="","",IF(NOT(ISNUMBER($B574)),"日期格式不对",IF($C574="","未选项目编号",IF(LEFT($M574,1)="⚠","项目编号不存在",IF($D574="","未选业务类型",IF($E574="","未选开票/付款方",IF(ISNA(MATCH($E574,单位档案!$A$6:$A$35,0)),"开票方不在单位档案",IF($F574="","未选收票/收款方",IF(ISNA(MATCH($F574,单位档案!$A$6:$A$35,0)),"收款方不在单位档案",IF(NOT(ISNUMBER($H574)),"金额须为数字",IF(AND($D574="销项开票",$N574="—"),"链条待确认","√")))))))))))</f>
        <v/>
      </c>
      <c r="M574" s="34" t="str">
        <f aca="false">IF($C574="","",IFERROR(INDEX(项目档案!$B$6:$B$255,MATCH($C574,项目档案!$A$6:$A$255,0)),"⚠项目编号不存在"))</f>
        <v/>
      </c>
      <c r="N574" s="35" t="str">
        <f aca="false">IF($E574="","",IF($E574=IFERROR(INDEX(项目档案!$D$6:$D$255,MATCH($C574,项目档案!$A$6:$A$255,0)),""),"一级",IF($E574=IFERROR(INDEX(项目档案!$F$6:$F$255,MATCH($C574,项目档案!$A$6:$A$255,0)),""),"二级",IF($E574=IFERROR(INDEX(项目档案!$H$6:$H$255,MATCH($C574,项目档案!$A$6:$A$255,0)),""),"我方","—"))))</f>
        <v/>
      </c>
      <c r="O574" s="36" t="n">
        <f aca="false">IF($D574&lt;&gt;"销项开票",0,ROUND(N($H574)*N($I574),2))</f>
        <v>0</v>
      </c>
      <c r="P574" s="36" t="n">
        <f aca="false">IF($D574&lt;&gt;"销项开票",0,ROUND(N($H574)-$O574,2))</f>
        <v>0</v>
      </c>
      <c r="Q574" s="37" t="str">
        <f aca="false">IF($E574="","",N(IFERROR(INDEX(单位档案!$E$6:$E$35,MATCH($E574,单位档案!$A$6:$A$35,0)),"")))</f>
        <v/>
      </c>
      <c r="R574" s="37" t="str">
        <f aca="false">IF($E574="","",N(IFERROR(INDEX(单位档案!$F$6:$F$35,MATCH($E574,单位档案!$A$6:$A$35,0)),"")))</f>
        <v/>
      </c>
      <c r="S574" s="36" t="n">
        <f aca="false">IF(OR($D574&lt;&gt;"销项开票",IFERROR(INDEX(单位档案!$G$6:$G$35,MATCH($E574,单位档案!$A$6:$A$35,0)),"")&lt;&gt;"是",N($Q574)=0),0,IF(IFERROR(INDEX(单位档案!$H$6:$H$35,MATCH($E574,单位档案!$A$6:$A$35,0)),"")="税差法",ROUND(N($H574)/(1+$Q574)*$Q574-IF(N($R574)=0,0,$P574/(1+$R574)*$R574),2),ROUND(N($H574)/(1+$Q574)*$Q574,2)))</f>
        <v>0</v>
      </c>
      <c r="T574" s="36" t="n">
        <f aca="false">ROUND($S574*N(IFERROR(INDEX(单位档案!$J$6:$J$35,MATCH($E574,单位档案!$A$6:$A$35,0)),"")),2)</f>
        <v>0</v>
      </c>
      <c r="U574" s="36" t="n">
        <f aca="false">IF($D574&lt;&gt;"销项开票",0,ROUND(N($H574)*N(IFERROR(INDEX(单位档案!$K$6:$K$35,MATCH($E574,单位档案!$A$6:$A$35,0)),"")),2))</f>
        <v>0</v>
      </c>
      <c r="V574" s="36" t="n">
        <f aca="false">IF(OR($D574&lt;&gt;"销项开票",N($Q574)=0),0,ROUND(N($H574)/(1+$Q574)*N(IFERROR(INDEX(单位档案!$L$6:$L$35,MATCH($E574,单位档案!$A$6:$A$35,0)),"")),2))</f>
        <v>0</v>
      </c>
      <c r="W574" s="36" t="n">
        <f aca="false">ROUND($S574+$T574+$U574+$V574,2)</f>
        <v>0</v>
      </c>
      <c r="X574" s="35" t="str">
        <f aca="false">IF(OR($D574="挂靠代收",$D574="我方收款"),COUNTIFS($D$5:$D574,"挂靠代收")+COUNTIFS($D$5:$D574,"我方收款"),"")</f>
        <v/>
      </c>
      <c r="Y574" s="35"/>
      <c r="Z574" s="21" t="s">
        <v>111</v>
      </c>
    </row>
    <row r="575" customFormat="false" ht="15.75" hidden="false" customHeight="true" outlineLevel="0" collapsed="false">
      <c r="A575" s="32" t="str">
        <f aca="false">IF($B575="","",ROW()-4)</f>
        <v/>
      </c>
      <c r="B575" s="26"/>
      <c r="C575" s="24"/>
      <c r="D575" s="21"/>
      <c r="E575" s="21"/>
      <c r="F575" s="21"/>
      <c r="G575" s="21"/>
      <c r="H575" s="27"/>
      <c r="I575" s="23" t="str">
        <f aca="false">IF($D575&lt;&gt;"销项开票","",IF($N575="一级",IF(IFERROR(INDEX(项目档案!$E$6:$E$255,MATCH($C575,项目档案!$A$6:$A$255,0)),"")="",N(IFERROR(INDEX(单位档案!$D$6:$D$35,MATCH($E575,单位档案!$A$6:$A$35,0)),"")),IFERROR(INDEX(项目档案!$E$6:$E$255,MATCH($C575,项目档案!$A$6:$A$255,0)),"")),IF($N575="二级",IF(IFERROR(INDEX(项目档案!$G$6:$G$255,MATCH($C575,项目档案!$A$6:$A$255,0)),"")="",N(IFERROR(INDEX(单位档案!$D$6:$D$35,MATCH($E575,单位档案!$A$6:$A$35,0)),"")),IFERROR(INDEX(项目档案!$G$6:$G$255,MATCH($C575,项目档案!$A$6:$A$255,0)),"")),N(IFERROR(INDEX(单位档案!$D$6:$D$35,MATCH($E575,单位档案!$A$6:$A$35,0)),"")))))</f>
        <v/>
      </c>
      <c r="J575" s="22"/>
      <c r="K575" s="22"/>
      <c r="L575" s="33" t="str">
        <f aca="false">IF($B575="","",IF(NOT(ISNUMBER($B575)),"日期格式不对",IF($C575="","未选项目编号",IF(LEFT($M575,1)="⚠","项目编号不存在",IF($D575="","未选业务类型",IF($E575="","未选开票/付款方",IF(ISNA(MATCH($E575,单位档案!$A$6:$A$35,0)),"开票方不在单位档案",IF($F575="","未选收票/收款方",IF(ISNA(MATCH($F575,单位档案!$A$6:$A$35,0)),"收款方不在单位档案",IF(NOT(ISNUMBER($H575)),"金额须为数字",IF(AND($D575="销项开票",$N575="—"),"链条待确认","√")))))))))))</f>
        <v/>
      </c>
      <c r="M575" s="34" t="str">
        <f aca="false">IF($C575="","",IFERROR(INDEX(项目档案!$B$6:$B$255,MATCH($C575,项目档案!$A$6:$A$255,0)),"⚠项目编号不存在"))</f>
        <v/>
      </c>
      <c r="N575" s="35" t="str">
        <f aca="false">IF($E575="","",IF($E575=IFERROR(INDEX(项目档案!$D$6:$D$255,MATCH($C575,项目档案!$A$6:$A$255,0)),""),"一级",IF($E575=IFERROR(INDEX(项目档案!$F$6:$F$255,MATCH($C575,项目档案!$A$6:$A$255,0)),""),"二级",IF($E575=IFERROR(INDEX(项目档案!$H$6:$H$255,MATCH($C575,项目档案!$A$6:$A$255,0)),""),"我方","—"))))</f>
        <v/>
      </c>
      <c r="O575" s="36" t="n">
        <f aca="false">IF($D575&lt;&gt;"销项开票",0,ROUND(N($H575)*N($I575),2))</f>
        <v>0</v>
      </c>
      <c r="P575" s="36" t="n">
        <f aca="false">IF($D575&lt;&gt;"销项开票",0,ROUND(N($H575)-$O575,2))</f>
        <v>0</v>
      </c>
      <c r="Q575" s="37" t="str">
        <f aca="false">IF($E575="","",N(IFERROR(INDEX(单位档案!$E$6:$E$35,MATCH($E575,单位档案!$A$6:$A$35,0)),"")))</f>
        <v/>
      </c>
      <c r="R575" s="37" t="str">
        <f aca="false">IF($E575="","",N(IFERROR(INDEX(单位档案!$F$6:$F$35,MATCH($E575,单位档案!$A$6:$A$35,0)),"")))</f>
        <v/>
      </c>
      <c r="S575" s="36" t="n">
        <f aca="false">IF(OR($D575&lt;&gt;"销项开票",IFERROR(INDEX(单位档案!$G$6:$G$35,MATCH($E575,单位档案!$A$6:$A$35,0)),"")&lt;&gt;"是",N($Q575)=0),0,IF(IFERROR(INDEX(单位档案!$H$6:$H$35,MATCH($E575,单位档案!$A$6:$A$35,0)),"")="税差法",ROUND(N($H575)/(1+$Q575)*$Q575-IF(N($R575)=0,0,$P575/(1+$R575)*$R575),2),ROUND(N($H575)/(1+$Q575)*$Q575,2)))</f>
        <v>0</v>
      </c>
      <c r="T575" s="36" t="n">
        <f aca="false">ROUND($S575*N(IFERROR(INDEX(单位档案!$J$6:$J$35,MATCH($E575,单位档案!$A$6:$A$35,0)),"")),2)</f>
        <v>0</v>
      </c>
      <c r="U575" s="36" t="n">
        <f aca="false">IF($D575&lt;&gt;"销项开票",0,ROUND(N($H575)*N(IFERROR(INDEX(单位档案!$K$6:$K$35,MATCH($E575,单位档案!$A$6:$A$35,0)),"")),2))</f>
        <v>0</v>
      </c>
      <c r="V575" s="36" t="n">
        <f aca="false">IF(OR($D575&lt;&gt;"销项开票",N($Q575)=0),0,ROUND(N($H575)/(1+$Q575)*N(IFERROR(INDEX(单位档案!$L$6:$L$35,MATCH($E575,单位档案!$A$6:$A$35,0)),"")),2))</f>
        <v>0</v>
      </c>
      <c r="W575" s="36" t="n">
        <f aca="false">ROUND($S575+$T575+$U575+$V575,2)</f>
        <v>0</v>
      </c>
      <c r="X575" s="35" t="str">
        <f aca="false">IF(OR($D575="挂靠代收",$D575="我方收款"),COUNTIFS($D$5:$D575,"挂靠代收")+COUNTIFS($D$5:$D575,"我方收款"),"")</f>
        <v/>
      </c>
      <c r="Y575" s="35"/>
      <c r="Z575" s="21" t="s">
        <v>111</v>
      </c>
    </row>
    <row r="576" customFormat="false" ht="15.75" hidden="false" customHeight="true" outlineLevel="0" collapsed="false">
      <c r="A576" s="32" t="str">
        <f aca="false">IF($B576="","",ROW()-4)</f>
        <v/>
      </c>
      <c r="B576" s="26"/>
      <c r="C576" s="24"/>
      <c r="D576" s="21"/>
      <c r="E576" s="21"/>
      <c r="F576" s="21"/>
      <c r="G576" s="21"/>
      <c r="H576" s="27"/>
      <c r="I576" s="23" t="str">
        <f aca="false">IF($D576&lt;&gt;"销项开票","",IF($N576="一级",IF(IFERROR(INDEX(项目档案!$E$6:$E$255,MATCH($C576,项目档案!$A$6:$A$255,0)),"")="",N(IFERROR(INDEX(单位档案!$D$6:$D$35,MATCH($E576,单位档案!$A$6:$A$35,0)),"")),IFERROR(INDEX(项目档案!$E$6:$E$255,MATCH($C576,项目档案!$A$6:$A$255,0)),"")),IF($N576="二级",IF(IFERROR(INDEX(项目档案!$G$6:$G$255,MATCH($C576,项目档案!$A$6:$A$255,0)),"")="",N(IFERROR(INDEX(单位档案!$D$6:$D$35,MATCH($E576,单位档案!$A$6:$A$35,0)),"")),IFERROR(INDEX(项目档案!$G$6:$G$255,MATCH($C576,项目档案!$A$6:$A$255,0)),"")),N(IFERROR(INDEX(单位档案!$D$6:$D$35,MATCH($E576,单位档案!$A$6:$A$35,0)),"")))))</f>
        <v/>
      </c>
      <c r="J576" s="22"/>
      <c r="K576" s="22"/>
      <c r="L576" s="33" t="str">
        <f aca="false">IF($B576="","",IF(NOT(ISNUMBER($B576)),"日期格式不对",IF($C576="","未选项目编号",IF(LEFT($M576,1)="⚠","项目编号不存在",IF($D576="","未选业务类型",IF($E576="","未选开票/付款方",IF(ISNA(MATCH($E576,单位档案!$A$6:$A$35,0)),"开票方不在单位档案",IF($F576="","未选收票/收款方",IF(ISNA(MATCH($F576,单位档案!$A$6:$A$35,0)),"收款方不在单位档案",IF(NOT(ISNUMBER($H576)),"金额须为数字",IF(AND($D576="销项开票",$N576="—"),"链条待确认","√")))))))))))</f>
        <v/>
      </c>
      <c r="M576" s="34" t="str">
        <f aca="false">IF($C576="","",IFERROR(INDEX(项目档案!$B$6:$B$255,MATCH($C576,项目档案!$A$6:$A$255,0)),"⚠项目编号不存在"))</f>
        <v/>
      </c>
      <c r="N576" s="35" t="str">
        <f aca="false">IF($E576="","",IF($E576=IFERROR(INDEX(项目档案!$D$6:$D$255,MATCH($C576,项目档案!$A$6:$A$255,0)),""),"一级",IF($E576=IFERROR(INDEX(项目档案!$F$6:$F$255,MATCH($C576,项目档案!$A$6:$A$255,0)),""),"二级",IF($E576=IFERROR(INDEX(项目档案!$H$6:$H$255,MATCH($C576,项目档案!$A$6:$A$255,0)),""),"我方","—"))))</f>
        <v/>
      </c>
      <c r="O576" s="36" t="n">
        <f aca="false">IF($D576&lt;&gt;"销项开票",0,ROUND(N($H576)*N($I576),2))</f>
        <v>0</v>
      </c>
      <c r="P576" s="36" t="n">
        <f aca="false">IF($D576&lt;&gt;"销项开票",0,ROUND(N($H576)-$O576,2))</f>
        <v>0</v>
      </c>
      <c r="Q576" s="37" t="str">
        <f aca="false">IF($E576="","",N(IFERROR(INDEX(单位档案!$E$6:$E$35,MATCH($E576,单位档案!$A$6:$A$35,0)),"")))</f>
        <v/>
      </c>
      <c r="R576" s="37" t="str">
        <f aca="false">IF($E576="","",N(IFERROR(INDEX(单位档案!$F$6:$F$35,MATCH($E576,单位档案!$A$6:$A$35,0)),"")))</f>
        <v/>
      </c>
      <c r="S576" s="36" t="n">
        <f aca="false">IF(OR($D576&lt;&gt;"销项开票",IFERROR(INDEX(单位档案!$G$6:$G$35,MATCH($E576,单位档案!$A$6:$A$35,0)),"")&lt;&gt;"是",N($Q576)=0),0,IF(IFERROR(INDEX(单位档案!$H$6:$H$35,MATCH($E576,单位档案!$A$6:$A$35,0)),"")="税差法",ROUND(N($H576)/(1+$Q576)*$Q576-IF(N($R576)=0,0,$P576/(1+$R576)*$R576),2),ROUND(N($H576)/(1+$Q576)*$Q576,2)))</f>
        <v>0</v>
      </c>
      <c r="T576" s="36" t="n">
        <f aca="false">ROUND($S576*N(IFERROR(INDEX(单位档案!$J$6:$J$35,MATCH($E576,单位档案!$A$6:$A$35,0)),"")),2)</f>
        <v>0</v>
      </c>
      <c r="U576" s="36" t="n">
        <f aca="false">IF($D576&lt;&gt;"销项开票",0,ROUND(N($H576)*N(IFERROR(INDEX(单位档案!$K$6:$K$35,MATCH($E576,单位档案!$A$6:$A$35,0)),"")),2))</f>
        <v>0</v>
      </c>
      <c r="V576" s="36" t="n">
        <f aca="false">IF(OR($D576&lt;&gt;"销项开票",N($Q576)=0),0,ROUND(N($H576)/(1+$Q576)*N(IFERROR(INDEX(单位档案!$L$6:$L$35,MATCH($E576,单位档案!$A$6:$A$35,0)),"")),2))</f>
        <v>0</v>
      </c>
      <c r="W576" s="36" t="n">
        <f aca="false">ROUND($S576+$T576+$U576+$V576,2)</f>
        <v>0</v>
      </c>
      <c r="X576" s="35" t="str">
        <f aca="false">IF(OR($D576="挂靠代收",$D576="我方收款"),COUNTIFS($D$5:$D576,"挂靠代收")+COUNTIFS($D$5:$D576,"我方收款"),"")</f>
        <v/>
      </c>
      <c r="Y576" s="35"/>
      <c r="Z576" s="21" t="s">
        <v>111</v>
      </c>
    </row>
    <row r="577" customFormat="false" ht="15.75" hidden="false" customHeight="true" outlineLevel="0" collapsed="false">
      <c r="A577" s="32" t="str">
        <f aca="false">IF($B577="","",ROW()-4)</f>
        <v/>
      </c>
      <c r="B577" s="26"/>
      <c r="C577" s="24"/>
      <c r="D577" s="21"/>
      <c r="E577" s="21"/>
      <c r="F577" s="21"/>
      <c r="G577" s="21"/>
      <c r="H577" s="27"/>
      <c r="I577" s="23" t="str">
        <f aca="false">IF($D577&lt;&gt;"销项开票","",IF($N577="一级",IF(IFERROR(INDEX(项目档案!$E$6:$E$255,MATCH($C577,项目档案!$A$6:$A$255,0)),"")="",N(IFERROR(INDEX(单位档案!$D$6:$D$35,MATCH($E577,单位档案!$A$6:$A$35,0)),"")),IFERROR(INDEX(项目档案!$E$6:$E$255,MATCH($C577,项目档案!$A$6:$A$255,0)),"")),IF($N577="二级",IF(IFERROR(INDEX(项目档案!$G$6:$G$255,MATCH($C577,项目档案!$A$6:$A$255,0)),"")="",N(IFERROR(INDEX(单位档案!$D$6:$D$35,MATCH($E577,单位档案!$A$6:$A$35,0)),"")),IFERROR(INDEX(项目档案!$G$6:$G$255,MATCH($C577,项目档案!$A$6:$A$255,0)),"")),N(IFERROR(INDEX(单位档案!$D$6:$D$35,MATCH($E577,单位档案!$A$6:$A$35,0)),"")))))</f>
        <v/>
      </c>
      <c r="J577" s="22"/>
      <c r="K577" s="22"/>
      <c r="L577" s="33" t="str">
        <f aca="false">IF($B577="","",IF(NOT(ISNUMBER($B577)),"日期格式不对",IF($C577="","未选项目编号",IF(LEFT($M577,1)="⚠","项目编号不存在",IF($D577="","未选业务类型",IF($E577="","未选开票/付款方",IF(ISNA(MATCH($E577,单位档案!$A$6:$A$35,0)),"开票方不在单位档案",IF($F577="","未选收票/收款方",IF(ISNA(MATCH($F577,单位档案!$A$6:$A$35,0)),"收款方不在单位档案",IF(NOT(ISNUMBER($H577)),"金额须为数字",IF(AND($D577="销项开票",$N577="—"),"链条待确认","√")))))))))))</f>
        <v/>
      </c>
      <c r="M577" s="34" t="str">
        <f aca="false">IF($C577="","",IFERROR(INDEX(项目档案!$B$6:$B$255,MATCH($C577,项目档案!$A$6:$A$255,0)),"⚠项目编号不存在"))</f>
        <v/>
      </c>
      <c r="N577" s="35" t="str">
        <f aca="false">IF($E577="","",IF($E577=IFERROR(INDEX(项目档案!$D$6:$D$255,MATCH($C577,项目档案!$A$6:$A$255,0)),""),"一级",IF($E577=IFERROR(INDEX(项目档案!$F$6:$F$255,MATCH($C577,项目档案!$A$6:$A$255,0)),""),"二级",IF($E577=IFERROR(INDEX(项目档案!$H$6:$H$255,MATCH($C577,项目档案!$A$6:$A$255,0)),""),"我方","—"))))</f>
        <v/>
      </c>
      <c r="O577" s="36" t="n">
        <f aca="false">IF($D577&lt;&gt;"销项开票",0,ROUND(N($H577)*N($I577),2))</f>
        <v>0</v>
      </c>
      <c r="P577" s="36" t="n">
        <f aca="false">IF($D577&lt;&gt;"销项开票",0,ROUND(N($H577)-$O577,2))</f>
        <v>0</v>
      </c>
      <c r="Q577" s="37" t="str">
        <f aca="false">IF($E577="","",N(IFERROR(INDEX(单位档案!$E$6:$E$35,MATCH($E577,单位档案!$A$6:$A$35,0)),"")))</f>
        <v/>
      </c>
      <c r="R577" s="37" t="str">
        <f aca="false">IF($E577="","",N(IFERROR(INDEX(单位档案!$F$6:$F$35,MATCH($E577,单位档案!$A$6:$A$35,0)),"")))</f>
        <v/>
      </c>
      <c r="S577" s="36" t="n">
        <f aca="false">IF(OR($D577&lt;&gt;"销项开票",IFERROR(INDEX(单位档案!$G$6:$G$35,MATCH($E577,单位档案!$A$6:$A$35,0)),"")&lt;&gt;"是",N($Q577)=0),0,IF(IFERROR(INDEX(单位档案!$H$6:$H$35,MATCH($E577,单位档案!$A$6:$A$35,0)),"")="税差法",ROUND(N($H577)/(1+$Q577)*$Q577-IF(N($R577)=0,0,$P577/(1+$R577)*$R577),2),ROUND(N($H577)/(1+$Q577)*$Q577,2)))</f>
        <v>0</v>
      </c>
      <c r="T577" s="36" t="n">
        <f aca="false">ROUND($S577*N(IFERROR(INDEX(单位档案!$J$6:$J$35,MATCH($E577,单位档案!$A$6:$A$35,0)),"")),2)</f>
        <v>0</v>
      </c>
      <c r="U577" s="36" t="n">
        <f aca="false">IF($D577&lt;&gt;"销项开票",0,ROUND(N($H577)*N(IFERROR(INDEX(单位档案!$K$6:$K$35,MATCH($E577,单位档案!$A$6:$A$35,0)),"")),2))</f>
        <v>0</v>
      </c>
      <c r="V577" s="36" t="n">
        <f aca="false">IF(OR($D577&lt;&gt;"销项开票",N($Q577)=0),0,ROUND(N($H577)/(1+$Q577)*N(IFERROR(INDEX(单位档案!$L$6:$L$35,MATCH($E577,单位档案!$A$6:$A$35,0)),"")),2))</f>
        <v>0</v>
      </c>
      <c r="W577" s="36" t="n">
        <f aca="false">ROUND($S577+$T577+$U577+$V577,2)</f>
        <v>0</v>
      </c>
      <c r="X577" s="35" t="str">
        <f aca="false">IF(OR($D577="挂靠代收",$D577="我方收款"),COUNTIFS($D$5:$D577,"挂靠代收")+COUNTIFS($D$5:$D577,"我方收款"),"")</f>
        <v/>
      </c>
      <c r="Y577" s="35"/>
      <c r="Z577" s="21" t="s">
        <v>111</v>
      </c>
    </row>
    <row r="578" customFormat="false" ht="15.75" hidden="false" customHeight="true" outlineLevel="0" collapsed="false">
      <c r="A578" s="32" t="str">
        <f aca="false">IF($B578="","",ROW()-4)</f>
        <v/>
      </c>
      <c r="B578" s="26"/>
      <c r="C578" s="24"/>
      <c r="D578" s="21"/>
      <c r="E578" s="21"/>
      <c r="F578" s="21"/>
      <c r="G578" s="21"/>
      <c r="H578" s="27"/>
      <c r="I578" s="23" t="str">
        <f aca="false">IF($D578&lt;&gt;"销项开票","",IF($N578="一级",IF(IFERROR(INDEX(项目档案!$E$6:$E$255,MATCH($C578,项目档案!$A$6:$A$255,0)),"")="",N(IFERROR(INDEX(单位档案!$D$6:$D$35,MATCH($E578,单位档案!$A$6:$A$35,0)),"")),IFERROR(INDEX(项目档案!$E$6:$E$255,MATCH($C578,项目档案!$A$6:$A$255,0)),"")),IF($N578="二级",IF(IFERROR(INDEX(项目档案!$G$6:$G$255,MATCH($C578,项目档案!$A$6:$A$255,0)),"")="",N(IFERROR(INDEX(单位档案!$D$6:$D$35,MATCH($E578,单位档案!$A$6:$A$35,0)),"")),IFERROR(INDEX(项目档案!$G$6:$G$255,MATCH($C578,项目档案!$A$6:$A$255,0)),"")),N(IFERROR(INDEX(单位档案!$D$6:$D$35,MATCH($E578,单位档案!$A$6:$A$35,0)),"")))))</f>
        <v/>
      </c>
      <c r="J578" s="22"/>
      <c r="K578" s="22"/>
      <c r="L578" s="33" t="str">
        <f aca="false">IF($B578="","",IF(NOT(ISNUMBER($B578)),"日期格式不对",IF($C578="","未选项目编号",IF(LEFT($M578,1)="⚠","项目编号不存在",IF($D578="","未选业务类型",IF($E578="","未选开票/付款方",IF(ISNA(MATCH($E578,单位档案!$A$6:$A$35,0)),"开票方不在单位档案",IF($F578="","未选收票/收款方",IF(ISNA(MATCH($F578,单位档案!$A$6:$A$35,0)),"收款方不在单位档案",IF(NOT(ISNUMBER($H578)),"金额须为数字",IF(AND($D578="销项开票",$N578="—"),"链条待确认","√")))))))))))</f>
        <v/>
      </c>
      <c r="M578" s="34" t="str">
        <f aca="false">IF($C578="","",IFERROR(INDEX(项目档案!$B$6:$B$255,MATCH($C578,项目档案!$A$6:$A$255,0)),"⚠项目编号不存在"))</f>
        <v/>
      </c>
      <c r="N578" s="35" t="str">
        <f aca="false">IF($E578="","",IF($E578=IFERROR(INDEX(项目档案!$D$6:$D$255,MATCH($C578,项目档案!$A$6:$A$255,0)),""),"一级",IF($E578=IFERROR(INDEX(项目档案!$F$6:$F$255,MATCH($C578,项目档案!$A$6:$A$255,0)),""),"二级",IF($E578=IFERROR(INDEX(项目档案!$H$6:$H$255,MATCH($C578,项目档案!$A$6:$A$255,0)),""),"我方","—"))))</f>
        <v/>
      </c>
      <c r="O578" s="36" t="n">
        <f aca="false">IF($D578&lt;&gt;"销项开票",0,ROUND(N($H578)*N($I578),2))</f>
        <v>0</v>
      </c>
      <c r="P578" s="36" t="n">
        <f aca="false">IF($D578&lt;&gt;"销项开票",0,ROUND(N($H578)-$O578,2))</f>
        <v>0</v>
      </c>
      <c r="Q578" s="37" t="str">
        <f aca="false">IF($E578="","",N(IFERROR(INDEX(单位档案!$E$6:$E$35,MATCH($E578,单位档案!$A$6:$A$35,0)),"")))</f>
        <v/>
      </c>
      <c r="R578" s="37" t="str">
        <f aca="false">IF($E578="","",N(IFERROR(INDEX(单位档案!$F$6:$F$35,MATCH($E578,单位档案!$A$6:$A$35,0)),"")))</f>
        <v/>
      </c>
      <c r="S578" s="36" t="n">
        <f aca="false">IF(OR($D578&lt;&gt;"销项开票",IFERROR(INDEX(单位档案!$G$6:$G$35,MATCH($E578,单位档案!$A$6:$A$35,0)),"")&lt;&gt;"是",N($Q578)=0),0,IF(IFERROR(INDEX(单位档案!$H$6:$H$35,MATCH($E578,单位档案!$A$6:$A$35,0)),"")="税差法",ROUND(N($H578)/(1+$Q578)*$Q578-IF(N($R578)=0,0,$P578/(1+$R578)*$R578),2),ROUND(N($H578)/(1+$Q578)*$Q578,2)))</f>
        <v>0</v>
      </c>
      <c r="T578" s="36" t="n">
        <f aca="false">ROUND($S578*N(IFERROR(INDEX(单位档案!$J$6:$J$35,MATCH($E578,单位档案!$A$6:$A$35,0)),"")),2)</f>
        <v>0</v>
      </c>
      <c r="U578" s="36" t="n">
        <f aca="false">IF($D578&lt;&gt;"销项开票",0,ROUND(N($H578)*N(IFERROR(INDEX(单位档案!$K$6:$K$35,MATCH($E578,单位档案!$A$6:$A$35,0)),"")),2))</f>
        <v>0</v>
      </c>
      <c r="V578" s="36" t="n">
        <f aca="false">IF(OR($D578&lt;&gt;"销项开票",N($Q578)=0),0,ROUND(N($H578)/(1+$Q578)*N(IFERROR(INDEX(单位档案!$L$6:$L$35,MATCH($E578,单位档案!$A$6:$A$35,0)),"")),2))</f>
        <v>0</v>
      </c>
      <c r="W578" s="36" t="n">
        <f aca="false">ROUND($S578+$T578+$U578+$V578,2)</f>
        <v>0</v>
      </c>
      <c r="X578" s="35" t="str">
        <f aca="false">IF(OR($D578="挂靠代收",$D578="我方收款"),COUNTIFS($D$5:$D578,"挂靠代收")+COUNTIFS($D$5:$D578,"我方收款"),"")</f>
        <v/>
      </c>
      <c r="Y578" s="35"/>
      <c r="Z578" s="21" t="s">
        <v>111</v>
      </c>
    </row>
    <row r="579" customFormat="false" ht="15.75" hidden="false" customHeight="true" outlineLevel="0" collapsed="false">
      <c r="A579" s="32" t="str">
        <f aca="false">IF($B579="","",ROW()-4)</f>
        <v/>
      </c>
      <c r="B579" s="26"/>
      <c r="C579" s="24"/>
      <c r="D579" s="21"/>
      <c r="E579" s="21"/>
      <c r="F579" s="21"/>
      <c r="G579" s="21"/>
      <c r="H579" s="27"/>
      <c r="I579" s="23" t="str">
        <f aca="false">IF($D579&lt;&gt;"销项开票","",IF($N579="一级",IF(IFERROR(INDEX(项目档案!$E$6:$E$255,MATCH($C579,项目档案!$A$6:$A$255,0)),"")="",N(IFERROR(INDEX(单位档案!$D$6:$D$35,MATCH($E579,单位档案!$A$6:$A$35,0)),"")),IFERROR(INDEX(项目档案!$E$6:$E$255,MATCH($C579,项目档案!$A$6:$A$255,0)),"")),IF($N579="二级",IF(IFERROR(INDEX(项目档案!$G$6:$G$255,MATCH($C579,项目档案!$A$6:$A$255,0)),"")="",N(IFERROR(INDEX(单位档案!$D$6:$D$35,MATCH($E579,单位档案!$A$6:$A$35,0)),"")),IFERROR(INDEX(项目档案!$G$6:$G$255,MATCH($C579,项目档案!$A$6:$A$255,0)),"")),N(IFERROR(INDEX(单位档案!$D$6:$D$35,MATCH($E579,单位档案!$A$6:$A$35,0)),"")))))</f>
        <v/>
      </c>
      <c r="J579" s="22"/>
      <c r="K579" s="22"/>
      <c r="L579" s="33" t="str">
        <f aca="false">IF($B579="","",IF(NOT(ISNUMBER($B579)),"日期格式不对",IF($C579="","未选项目编号",IF(LEFT($M579,1)="⚠","项目编号不存在",IF($D579="","未选业务类型",IF($E579="","未选开票/付款方",IF(ISNA(MATCH($E579,单位档案!$A$6:$A$35,0)),"开票方不在单位档案",IF($F579="","未选收票/收款方",IF(ISNA(MATCH($F579,单位档案!$A$6:$A$35,0)),"收款方不在单位档案",IF(NOT(ISNUMBER($H579)),"金额须为数字",IF(AND($D579="销项开票",$N579="—"),"链条待确认","√")))))))))))</f>
        <v/>
      </c>
      <c r="M579" s="34" t="str">
        <f aca="false">IF($C579="","",IFERROR(INDEX(项目档案!$B$6:$B$255,MATCH($C579,项目档案!$A$6:$A$255,0)),"⚠项目编号不存在"))</f>
        <v/>
      </c>
      <c r="N579" s="35" t="str">
        <f aca="false">IF($E579="","",IF($E579=IFERROR(INDEX(项目档案!$D$6:$D$255,MATCH($C579,项目档案!$A$6:$A$255,0)),""),"一级",IF($E579=IFERROR(INDEX(项目档案!$F$6:$F$255,MATCH($C579,项目档案!$A$6:$A$255,0)),""),"二级",IF($E579=IFERROR(INDEX(项目档案!$H$6:$H$255,MATCH($C579,项目档案!$A$6:$A$255,0)),""),"我方","—"))))</f>
        <v/>
      </c>
      <c r="O579" s="36" t="n">
        <f aca="false">IF($D579&lt;&gt;"销项开票",0,ROUND(N($H579)*N($I579),2))</f>
        <v>0</v>
      </c>
      <c r="P579" s="36" t="n">
        <f aca="false">IF($D579&lt;&gt;"销项开票",0,ROUND(N($H579)-$O579,2))</f>
        <v>0</v>
      </c>
      <c r="Q579" s="37" t="str">
        <f aca="false">IF($E579="","",N(IFERROR(INDEX(单位档案!$E$6:$E$35,MATCH($E579,单位档案!$A$6:$A$35,0)),"")))</f>
        <v/>
      </c>
      <c r="R579" s="37" t="str">
        <f aca="false">IF($E579="","",N(IFERROR(INDEX(单位档案!$F$6:$F$35,MATCH($E579,单位档案!$A$6:$A$35,0)),"")))</f>
        <v/>
      </c>
      <c r="S579" s="36" t="n">
        <f aca="false">IF(OR($D579&lt;&gt;"销项开票",IFERROR(INDEX(单位档案!$G$6:$G$35,MATCH($E579,单位档案!$A$6:$A$35,0)),"")&lt;&gt;"是",N($Q579)=0),0,IF(IFERROR(INDEX(单位档案!$H$6:$H$35,MATCH($E579,单位档案!$A$6:$A$35,0)),"")="税差法",ROUND(N($H579)/(1+$Q579)*$Q579-IF(N($R579)=0,0,$P579/(1+$R579)*$R579),2),ROUND(N($H579)/(1+$Q579)*$Q579,2)))</f>
        <v>0</v>
      </c>
      <c r="T579" s="36" t="n">
        <f aca="false">ROUND($S579*N(IFERROR(INDEX(单位档案!$J$6:$J$35,MATCH($E579,单位档案!$A$6:$A$35,0)),"")),2)</f>
        <v>0</v>
      </c>
      <c r="U579" s="36" t="n">
        <f aca="false">IF($D579&lt;&gt;"销项开票",0,ROUND(N($H579)*N(IFERROR(INDEX(单位档案!$K$6:$K$35,MATCH($E579,单位档案!$A$6:$A$35,0)),"")),2))</f>
        <v>0</v>
      </c>
      <c r="V579" s="36" t="n">
        <f aca="false">IF(OR($D579&lt;&gt;"销项开票",N($Q579)=0),0,ROUND(N($H579)/(1+$Q579)*N(IFERROR(INDEX(单位档案!$L$6:$L$35,MATCH($E579,单位档案!$A$6:$A$35,0)),"")),2))</f>
        <v>0</v>
      </c>
      <c r="W579" s="36" t="n">
        <f aca="false">ROUND($S579+$T579+$U579+$V579,2)</f>
        <v>0</v>
      </c>
      <c r="X579" s="35" t="str">
        <f aca="false">IF(OR($D579="挂靠代收",$D579="我方收款"),COUNTIFS($D$5:$D579,"挂靠代收")+COUNTIFS($D$5:$D579,"我方收款"),"")</f>
        <v/>
      </c>
      <c r="Y579" s="35"/>
      <c r="Z579" s="21" t="s">
        <v>111</v>
      </c>
    </row>
    <row r="580" customFormat="false" ht="15.75" hidden="false" customHeight="true" outlineLevel="0" collapsed="false">
      <c r="A580" s="32" t="str">
        <f aca="false">IF($B580="","",ROW()-4)</f>
        <v/>
      </c>
      <c r="B580" s="26"/>
      <c r="C580" s="24"/>
      <c r="D580" s="21"/>
      <c r="E580" s="21"/>
      <c r="F580" s="21"/>
      <c r="G580" s="21"/>
      <c r="H580" s="27"/>
      <c r="I580" s="23" t="str">
        <f aca="false">IF($D580&lt;&gt;"销项开票","",IF($N580="一级",IF(IFERROR(INDEX(项目档案!$E$6:$E$255,MATCH($C580,项目档案!$A$6:$A$255,0)),"")="",N(IFERROR(INDEX(单位档案!$D$6:$D$35,MATCH($E580,单位档案!$A$6:$A$35,0)),"")),IFERROR(INDEX(项目档案!$E$6:$E$255,MATCH($C580,项目档案!$A$6:$A$255,0)),"")),IF($N580="二级",IF(IFERROR(INDEX(项目档案!$G$6:$G$255,MATCH($C580,项目档案!$A$6:$A$255,0)),"")="",N(IFERROR(INDEX(单位档案!$D$6:$D$35,MATCH($E580,单位档案!$A$6:$A$35,0)),"")),IFERROR(INDEX(项目档案!$G$6:$G$255,MATCH($C580,项目档案!$A$6:$A$255,0)),"")),N(IFERROR(INDEX(单位档案!$D$6:$D$35,MATCH($E580,单位档案!$A$6:$A$35,0)),"")))))</f>
        <v/>
      </c>
      <c r="J580" s="22"/>
      <c r="K580" s="22"/>
      <c r="L580" s="33" t="str">
        <f aca="false">IF($B580="","",IF(NOT(ISNUMBER($B580)),"日期格式不对",IF($C580="","未选项目编号",IF(LEFT($M580,1)="⚠","项目编号不存在",IF($D580="","未选业务类型",IF($E580="","未选开票/付款方",IF(ISNA(MATCH($E580,单位档案!$A$6:$A$35,0)),"开票方不在单位档案",IF($F580="","未选收票/收款方",IF(ISNA(MATCH($F580,单位档案!$A$6:$A$35,0)),"收款方不在单位档案",IF(NOT(ISNUMBER($H580)),"金额须为数字",IF(AND($D580="销项开票",$N580="—"),"链条待确认","√")))))))))))</f>
        <v/>
      </c>
      <c r="M580" s="34" t="str">
        <f aca="false">IF($C580="","",IFERROR(INDEX(项目档案!$B$6:$B$255,MATCH($C580,项目档案!$A$6:$A$255,0)),"⚠项目编号不存在"))</f>
        <v/>
      </c>
      <c r="N580" s="35" t="str">
        <f aca="false">IF($E580="","",IF($E580=IFERROR(INDEX(项目档案!$D$6:$D$255,MATCH($C580,项目档案!$A$6:$A$255,0)),""),"一级",IF($E580=IFERROR(INDEX(项目档案!$F$6:$F$255,MATCH($C580,项目档案!$A$6:$A$255,0)),""),"二级",IF($E580=IFERROR(INDEX(项目档案!$H$6:$H$255,MATCH($C580,项目档案!$A$6:$A$255,0)),""),"我方","—"))))</f>
        <v/>
      </c>
      <c r="O580" s="36" t="n">
        <f aca="false">IF($D580&lt;&gt;"销项开票",0,ROUND(N($H580)*N($I580),2))</f>
        <v>0</v>
      </c>
      <c r="P580" s="36" t="n">
        <f aca="false">IF($D580&lt;&gt;"销项开票",0,ROUND(N($H580)-$O580,2))</f>
        <v>0</v>
      </c>
      <c r="Q580" s="37" t="str">
        <f aca="false">IF($E580="","",N(IFERROR(INDEX(单位档案!$E$6:$E$35,MATCH($E580,单位档案!$A$6:$A$35,0)),"")))</f>
        <v/>
      </c>
      <c r="R580" s="37" t="str">
        <f aca="false">IF($E580="","",N(IFERROR(INDEX(单位档案!$F$6:$F$35,MATCH($E580,单位档案!$A$6:$A$35,0)),"")))</f>
        <v/>
      </c>
      <c r="S580" s="36" t="n">
        <f aca="false">IF(OR($D580&lt;&gt;"销项开票",IFERROR(INDEX(单位档案!$G$6:$G$35,MATCH($E580,单位档案!$A$6:$A$35,0)),"")&lt;&gt;"是",N($Q580)=0),0,IF(IFERROR(INDEX(单位档案!$H$6:$H$35,MATCH($E580,单位档案!$A$6:$A$35,0)),"")="税差法",ROUND(N($H580)/(1+$Q580)*$Q580-IF(N($R580)=0,0,$P580/(1+$R580)*$R580),2),ROUND(N($H580)/(1+$Q580)*$Q580,2)))</f>
        <v>0</v>
      </c>
      <c r="T580" s="36" t="n">
        <f aca="false">ROUND($S580*N(IFERROR(INDEX(单位档案!$J$6:$J$35,MATCH($E580,单位档案!$A$6:$A$35,0)),"")),2)</f>
        <v>0</v>
      </c>
      <c r="U580" s="36" t="n">
        <f aca="false">IF($D580&lt;&gt;"销项开票",0,ROUND(N($H580)*N(IFERROR(INDEX(单位档案!$K$6:$K$35,MATCH($E580,单位档案!$A$6:$A$35,0)),"")),2))</f>
        <v>0</v>
      </c>
      <c r="V580" s="36" t="n">
        <f aca="false">IF(OR($D580&lt;&gt;"销项开票",N($Q580)=0),0,ROUND(N($H580)/(1+$Q580)*N(IFERROR(INDEX(单位档案!$L$6:$L$35,MATCH($E580,单位档案!$A$6:$A$35,0)),"")),2))</f>
        <v>0</v>
      </c>
      <c r="W580" s="36" t="n">
        <f aca="false">ROUND($S580+$T580+$U580+$V580,2)</f>
        <v>0</v>
      </c>
      <c r="X580" s="35" t="str">
        <f aca="false">IF(OR($D580="挂靠代收",$D580="我方收款"),COUNTIFS($D$5:$D580,"挂靠代收")+COUNTIFS($D$5:$D580,"我方收款"),"")</f>
        <v/>
      </c>
      <c r="Y580" s="35"/>
      <c r="Z580" s="21" t="s">
        <v>111</v>
      </c>
    </row>
    <row r="581" customFormat="false" ht="15.75" hidden="false" customHeight="true" outlineLevel="0" collapsed="false">
      <c r="A581" s="32" t="str">
        <f aca="false">IF($B581="","",ROW()-4)</f>
        <v/>
      </c>
      <c r="B581" s="26"/>
      <c r="C581" s="24"/>
      <c r="D581" s="21"/>
      <c r="E581" s="21"/>
      <c r="F581" s="21"/>
      <c r="G581" s="21"/>
      <c r="H581" s="27"/>
      <c r="I581" s="23" t="str">
        <f aca="false">IF($D581&lt;&gt;"销项开票","",IF($N581="一级",IF(IFERROR(INDEX(项目档案!$E$6:$E$255,MATCH($C581,项目档案!$A$6:$A$255,0)),"")="",N(IFERROR(INDEX(单位档案!$D$6:$D$35,MATCH($E581,单位档案!$A$6:$A$35,0)),"")),IFERROR(INDEX(项目档案!$E$6:$E$255,MATCH($C581,项目档案!$A$6:$A$255,0)),"")),IF($N581="二级",IF(IFERROR(INDEX(项目档案!$G$6:$G$255,MATCH($C581,项目档案!$A$6:$A$255,0)),"")="",N(IFERROR(INDEX(单位档案!$D$6:$D$35,MATCH($E581,单位档案!$A$6:$A$35,0)),"")),IFERROR(INDEX(项目档案!$G$6:$G$255,MATCH($C581,项目档案!$A$6:$A$255,0)),"")),N(IFERROR(INDEX(单位档案!$D$6:$D$35,MATCH($E581,单位档案!$A$6:$A$35,0)),"")))))</f>
        <v/>
      </c>
      <c r="J581" s="22"/>
      <c r="K581" s="22"/>
      <c r="L581" s="33" t="str">
        <f aca="false">IF($B581="","",IF(NOT(ISNUMBER($B581)),"日期格式不对",IF($C581="","未选项目编号",IF(LEFT($M581,1)="⚠","项目编号不存在",IF($D581="","未选业务类型",IF($E581="","未选开票/付款方",IF(ISNA(MATCH($E581,单位档案!$A$6:$A$35,0)),"开票方不在单位档案",IF($F581="","未选收票/收款方",IF(ISNA(MATCH($F581,单位档案!$A$6:$A$35,0)),"收款方不在单位档案",IF(NOT(ISNUMBER($H581)),"金额须为数字",IF(AND($D581="销项开票",$N581="—"),"链条待确认","√")))))))))))</f>
        <v/>
      </c>
      <c r="M581" s="34" t="str">
        <f aca="false">IF($C581="","",IFERROR(INDEX(项目档案!$B$6:$B$255,MATCH($C581,项目档案!$A$6:$A$255,0)),"⚠项目编号不存在"))</f>
        <v/>
      </c>
      <c r="N581" s="35" t="str">
        <f aca="false">IF($E581="","",IF($E581=IFERROR(INDEX(项目档案!$D$6:$D$255,MATCH($C581,项目档案!$A$6:$A$255,0)),""),"一级",IF($E581=IFERROR(INDEX(项目档案!$F$6:$F$255,MATCH($C581,项目档案!$A$6:$A$255,0)),""),"二级",IF($E581=IFERROR(INDEX(项目档案!$H$6:$H$255,MATCH($C581,项目档案!$A$6:$A$255,0)),""),"我方","—"))))</f>
        <v/>
      </c>
      <c r="O581" s="36" t="n">
        <f aca="false">IF($D581&lt;&gt;"销项开票",0,ROUND(N($H581)*N($I581),2))</f>
        <v>0</v>
      </c>
      <c r="P581" s="36" t="n">
        <f aca="false">IF($D581&lt;&gt;"销项开票",0,ROUND(N($H581)-$O581,2))</f>
        <v>0</v>
      </c>
      <c r="Q581" s="37" t="str">
        <f aca="false">IF($E581="","",N(IFERROR(INDEX(单位档案!$E$6:$E$35,MATCH($E581,单位档案!$A$6:$A$35,0)),"")))</f>
        <v/>
      </c>
      <c r="R581" s="37" t="str">
        <f aca="false">IF($E581="","",N(IFERROR(INDEX(单位档案!$F$6:$F$35,MATCH($E581,单位档案!$A$6:$A$35,0)),"")))</f>
        <v/>
      </c>
      <c r="S581" s="36" t="n">
        <f aca="false">IF(OR($D581&lt;&gt;"销项开票",IFERROR(INDEX(单位档案!$G$6:$G$35,MATCH($E581,单位档案!$A$6:$A$35,0)),"")&lt;&gt;"是",N($Q581)=0),0,IF(IFERROR(INDEX(单位档案!$H$6:$H$35,MATCH($E581,单位档案!$A$6:$A$35,0)),"")="税差法",ROUND(N($H581)/(1+$Q581)*$Q581-IF(N($R581)=0,0,$P581/(1+$R581)*$R581),2),ROUND(N($H581)/(1+$Q581)*$Q581,2)))</f>
        <v>0</v>
      </c>
      <c r="T581" s="36" t="n">
        <f aca="false">ROUND($S581*N(IFERROR(INDEX(单位档案!$J$6:$J$35,MATCH($E581,单位档案!$A$6:$A$35,0)),"")),2)</f>
        <v>0</v>
      </c>
      <c r="U581" s="36" t="n">
        <f aca="false">IF($D581&lt;&gt;"销项开票",0,ROUND(N($H581)*N(IFERROR(INDEX(单位档案!$K$6:$K$35,MATCH($E581,单位档案!$A$6:$A$35,0)),"")),2))</f>
        <v>0</v>
      </c>
      <c r="V581" s="36" t="n">
        <f aca="false">IF(OR($D581&lt;&gt;"销项开票",N($Q581)=0),0,ROUND(N($H581)/(1+$Q581)*N(IFERROR(INDEX(单位档案!$L$6:$L$35,MATCH($E581,单位档案!$A$6:$A$35,0)),"")),2))</f>
        <v>0</v>
      </c>
      <c r="W581" s="36" t="n">
        <f aca="false">ROUND($S581+$T581+$U581+$V581,2)</f>
        <v>0</v>
      </c>
      <c r="X581" s="35" t="str">
        <f aca="false">IF(OR($D581="挂靠代收",$D581="我方收款"),COUNTIFS($D$5:$D581,"挂靠代收")+COUNTIFS($D$5:$D581,"我方收款"),"")</f>
        <v/>
      </c>
      <c r="Y581" s="35"/>
      <c r="Z581" s="21" t="s">
        <v>111</v>
      </c>
    </row>
    <row r="582" customFormat="false" ht="15.75" hidden="false" customHeight="true" outlineLevel="0" collapsed="false">
      <c r="A582" s="32" t="str">
        <f aca="false">IF($B582="","",ROW()-4)</f>
        <v/>
      </c>
      <c r="B582" s="26"/>
      <c r="C582" s="24"/>
      <c r="D582" s="21"/>
      <c r="E582" s="21"/>
      <c r="F582" s="21"/>
      <c r="G582" s="21"/>
      <c r="H582" s="27"/>
      <c r="I582" s="23" t="str">
        <f aca="false">IF($D582&lt;&gt;"销项开票","",IF($N582="一级",IF(IFERROR(INDEX(项目档案!$E$6:$E$255,MATCH($C582,项目档案!$A$6:$A$255,0)),"")="",N(IFERROR(INDEX(单位档案!$D$6:$D$35,MATCH($E582,单位档案!$A$6:$A$35,0)),"")),IFERROR(INDEX(项目档案!$E$6:$E$255,MATCH($C582,项目档案!$A$6:$A$255,0)),"")),IF($N582="二级",IF(IFERROR(INDEX(项目档案!$G$6:$G$255,MATCH($C582,项目档案!$A$6:$A$255,0)),"")="",N(IFERROR(INDEX(单位档案!$D$6:$D$35,MATCH($E582,单位档案!$A$6:$A$35,0)),"")),IFERROR(INDEX(项目档案!$G$6:$G$255,MATCH($C582,项目档案!$A$6:$A$255,0)),"")),N(IFERROR(INDEX(单位档案!$D$6:$D$35,MATCH($E582,单位档案!$A$6:$A$35,0)),"")))))</f>
        <v/>
      </c>
      <c r="J582" s="22"/>
      <c r="K582" s="22"/>
      <c r="L582" s="33" t="str">
        <f aca="false">IF($B582="","",IF(NOT(ISNUMBER($B582)),"日期格式不对",IF($C582="","未选项目编号",IF(LEFT($M582,1)="⚠","项目编号不存在",IF($D582="","未选业务类型",IF($E582="","未选开票/付款方",IF(ISNA(MATCH($E582,单位档案!$A$6:$A$35,0)),"开票方不在单位档案",IF($F582="","未选收票/收款方",IF(ISNA(MATCH($F582,单位档案!$A$6:$A$35,0)),"收款方不在单位档案",IF(NOT(ISNUMBER($H582)),"金额须为数字",IF(AND($D582="销项开票",$N582="—"),"链条待确认","√")))))))))))</f>
        <v/>
      </c>
      <c r="M582" s="34" t="str">
        <f aca="false">IF($C582="","",IFERROR(INDEX(项目档案!$B$6:$B$255,MATCH($C582,项目档案!$A$6:$A$255,0)),"⚠项目编号不存在"))</f>
        <v/>
      </c>
      <c r="N582" s="35" t="str">
        <f aca="false">IF($E582="","",IF($E582=IFERROR(INDEX(项目档案!$D$6:$D$255,MATCH($C582,项目档案!$A$6:$A$255,0)),""),"一级",IF($E582=IFERROR(INDEX(项目档案!$F$6:$F$255,MATCH($C582,项目档案!$A$6:$A$255,0)),""),"二级",IF($E582=IFERROR(INDEX(项目档案!$H$6:$H$255,MATCH($C582,项目档案!$A$6:$A$255,0)),""),"我方","—"))))</f>
        <v/>
      </c>
      <c r="O582" s="36" t="n">
        <f aca="false">IF($D582&lt;&gt;"销项开票",0,ROUND(N($H582)*N($I582),2))</f>
        <v>0</v>
      </c>
      <c r="P582" s="36" t="n">
        <f aca="false">IF($D582&lt;&gt;"销项开票",0,ROUND(N($H582)-$O582,2))</f>
        <v>0</v>
      </c>
      <c r="Q582" s="37" t="str">
        <f aca="false">IF($E582="","",N(IFERROR(INDEX(单位档案!$E$6:$E$35,MATCH($E582,单位档案!$A$6:$A$35,0)),"")))</f>
        <v/>
      </c>
      <c r="R582" s="37" t="str">
        <f aca="false">IF($E582="","",N(IFERROR(INDEX(单位档案!$F$6:$F$35,MATCH($E582,单位档案!$A$6:$A$35,0)),"")))</f>
        <v/>
      </c>
      <c r="S582" s="36" t="n">
        <f aca="false">IF(OR($D582&lt;&gt;"销项开票",IFERROR(INDEX(单位档案!$G$6:$G$35,MATCH($E582,单位档案!$A$6:$A$35,0)),"")&lt;&gt;"是",N($Q582)=0),0,IF(IFERROR(INDEX(单位档案!$H$6:$H$35,MATCH($E582,单位档案!$A$6:$A$35,0)),"")="税差法",ROUND(N($H582)/(1+$Q582)*$Q582-IF(N($R582)=0,0,$P582/(1+$R582)*$R582),2),ROUND(N($H582)/(1+$Q582)*$Q582,2)))</f>
        <v>0</v>
      </c>
      <c r="T582" s="36" t="n">
        <f aca="false">ROUND($S582*N(IFERROR(INDEX(单位档案!$J$6:$J$35,MATCH($E582,单位档案!$A$6:$A$35,0)),"")),2)</f>
        <v>0</v>
      </c>
      <c r="U582" s="36" t="n">
        <f aca="false">IF($D582&lt;&gt;"销项开票",0,ROUND(N($H582)*N(IFERROR(INDEX(单位档案!$K$6:$K$35,MATCH($E582,单位档案!$A$6:$A$35,0)),"")),2))</f>
        <v>0</v>
      </c>
      <c r="V582" s="36" t="n">
        <f aca="false">IF(OR($D582&lt;&gt;"销项开票",N($Q582)=0),0,ROUND(N($H582)/(1+$Q582)*N(IFERROR(INDEX(单位档案!$L$6:$L$35,MATCH($E582,单位档案!$A$6:$A$35,0)),"")),2))</f>
        <v>0</v>
      </c>
      <c r="W582" s="36" t="n">
        <f aca="false">ROUND($S582+$T582+$U582+$V582,2)</f>
        <v>0</v>
      </c>
      <c r="X582" s="35" t="str">
        <f aca="false">IF(OR($D582="挂靠代收",$D582="我方收款"),COUNTIFS($D$5:$D582,"挂靠代收")+COUNTIFS($D$5:$D582,"我方收款"),"")</f>
        <v/>
      </c>
      <c r="Y582" s="35"/>
      <c r="Z582" s="21" t="s">
        <v>111</v>
      </c>
    </row>
    <row r="583" customFormat="false" ht="15.75" hidden="false" customHeight="true" outlineLevel="0" collapsed="false">
      <c r="A583" s="32" t="str">
        <f aca="false">IF($B583="","",ROW()-4)</f>
        <v/>
      </c>
      <c r="B583" s="26"/>
      <c r="C583" s="24"/>
      <c r="D583" s="21"/>
      <c r="E583" s="21"/>
      <c r="F583" s="21"/>
      <c r="G583" s="21"/>
      <c r="H583" s="27"/>
      <c r="I583" s="23" t="str">
        <f aca="false">IF($D583&lt;&gt;"销项开票","",IF($N583="一级",IF(IFERROR(INDEX(项目档案!$E$6:$E$255,MATCH($C583,项目档案!$A$6:$A$255,0)),"")="",N(IFERROR(INDEX(单位档案!$D$6:$D$35,MATCH($E583,单位档案!$A$6:$A$35,0)),"")),IFERROR(INDEX(项目档案!$E$6:$E$255,MATCH($C583,项目档案!$A$6:$A$255,0)),"")),IF($N583="二级",IF(IFERROR(INDEX(项目档案!$G$6:$G$255,MATCH($C583,项目档案!$A$6:$A$255,0)),"")="",N(IFERROR(INDEX(单位档案!$D$6:$D$35,MATCH($E583,单位档案!$A$6:$A$35,0)),"")),IFERROR(INDEX(项目档案!$G$6:$G$255,MATCH($C583,项目档案!$A$6:$A$255,0)),"")),N(IFERROR(INDEX(单位档案!$D$6:$D$35,MATCH($E583,单位档案!$A$6:$A$35,0)),"")))))</f>
        <v/>
      </c>
      <c r="J583" s="22"/>
      <c r="K583" s="22"/>
      <c r="L583" s="33" t="str">
        <f aca="false">IF($B583="","",IF(NOT(ISNUMBER($B583)),"日期格式不对",IF($C583="","未选项目编号",IF(LEFT($M583,1)="⚠","项目编号不存在",IF($D583="","未选业务类型",IF($E583="","未选开票/付款方",IF(ISNA(MATCH($E583,单位档案!$A$6:$A$35,0)),"开票方不在单位档案",IF($F583="","未选收票/收款方",IF(ISNA(MATCH($F583,单位档案!$A$6:$A$35,0)),"收款方不在单位档案",IF(NOT(ISNUMBER($H583)),"金额须为数字",IF(AND($D583="销项开票",$N583="—"),"链条待确认","√")))))))))))</f>
        <v/>
      </c>
      <c r="M583" s="34" t="str">
        <f aca="false">IF($C583="","",IFERROR(INDEX(项目档案!$B$6:$B$255,MATCH($C583,项目档案!$A$6:$A$255,0)),"⚠项目编号不存在"))</f>
        <v/>
      </c>
      <c r="N583" s="35" t="str">
        <f aca="false">IF($E583="","",IF($E583=IFERROR(INDEX(项目档案!$D$6:$D$255,MATCH($C583,项目档案!$A$6:$A$255,0)),""),"一级",IF($E583=IFERROR(INDEX(项目档案!$F$6:$F$255,MATCH($C583,项目档案!$A$6:$A$255,0)),""),"二级",IF($E583=IFERROR(INDEX(项目档案!$H$6:$H$255,MATCH($C583,项目档案!$A$6:$A$255,0)),""),"我方","—"))))</f>
        <v/>
      </c>
      <c r="O583" s="36" t="n">
        <f aca="false">IF($D583&lt;&gt;"销项开票",0,ROUND(N($H583)*N($I583),2))</f>
        <v>0</v>
      </c>
      <c r="P583" s="36" t="n">
        <f aca="false">IF($D583&lt;&gt;"销项开票",0,ROUND(N($H583)-$O583,2))</f>
        <v>0</v>
      </c>
      <c r="Q583" s="37" t="str">
        <f aca="false">IF($E583="","",N(IFERROR(INDEX(单位档案!$E$6:$E$35,MATCH($E583,单位档案!$A$6:$A$35,0)),"")))</f>
        <v/>
      </c>
      <c r="R583" s="37" t="str">
        <f aca="false">IF($E583="","",N(IFERROR(INDEX(单位档案!$F$6:$F$35,MATCH($E583,单位档案!$A$6:$A$35,0)),"")))</f>
        <v/>
      </c>
      <c r="S583" s="36" t="n">
        <f aca="false">IF(OR($D583&lt;&gt;"销项开票",IFERROR(INDEX(单位档案!$G$6:$G$35,MATCH($E583,单位档案!$A$6:$A$35,0)),"")&lt;&gt;"是",N($Q583)=0),0,IF(IFERROR(INDEX(单位档案!$H$6:$H$35,MATCH($E583,单位档案!$A$6:$A$35,0)),"")="税差法",ROUND(N($H583)/(1+$Q583)*$Q583-IF(N($R583)=0,0,$P583/(1+$R583)*$R583),2),ROUND(N($H583)/(1+$Q583)*$Q583,2)))</f>
        <v>0</v>
      </c>
      <c r="T583" s="36" t="n">
        <f aca="false">ROUND($S583*N(IFERROR(INDEX(单位档案!$J$6:$J$35,MATCH($E583,单位档案!$A$6:$A$35,0)),"")),2)</f>
        <v>0</v>
      </c>
      <c r="U583" s="36" t="n">
        <f aca="false">IF($D583&lt;&gt;"销项开票",0,ROUND(N($H583)*N(IFERROR(INDEX(单位档案!$K$6:$K$35,MATCH($E583,单位档案!$A$6:$A$35,0)),"")),2))</f>
        <v>0</v>
      </c>
      <c r="V583" s="36" t="n">
        <f aca="false">IF(OR($D583&lt;&gt;"销项开票",N($Q583)=0),0,ROUND(N($H583)/(1+$Q583)*N(IFERROR(INDEX(单位档案!$L$6:$L$35,MATCH($E583,单位档案!$A$6:$A$35,0)),"")),2))</f>
        <v>0</v>
      </c>
      <c r="W583" s="36" t="n">
        <f aca="false">ROUND($S583+$T583+$U583+$V583,2)</f>
        <v>0</v>
      </c>
      <c r="X583" s="35" t="str">
        <f aca="false">IF(OR($D583="挂靠代收",$D583="我方收款"),COUNTIFS($D$5:$D583,"挂靠代收")+COUNTIFS($D$5:$D583,"我方收款"),"")</f>
        <v/>
      </c>
      <c r="Y583" s="35"/>
      <c r="Z583" s="21" t="s">
        <v>111</v>
      </c>
    </row>
    <row r="584" customFormat="false" ht="15.75" hidden="false" customHeight="true" outlineLevel="0" collapsed="false">
      <c r="A584" s="32" t="str">
        <f aca="false">IF($B584="","",ROW()-4)</f>
        <v/>
      </c>
      <c r="B584" s="26"/>
      <c r="C584" s="24"/>
      <c r="D584" s="21"/>
      <c r="E584" s="21"/>
      <c r="F584" s="21"/>
      <c r="G584" s="21"/>
      <c r="H584" s="27"/>
      <c r="I584" s="23" t="str">
        <f aca="false">IF($D584&lt;&gt;"销项开票","",IF($N584="一级",IF(IFERROR(INDEX(项目档案!$E$6:$E$255,MATCH($C584,项目档案!$A$6:$A$255,0)),"")="",N(IFERROR(INDEX(单位档案!$D$6:$D$35,MATCH($E584,单位档案!$A$6:$A$35,0)),"")),IFERROR(INDEX(项目档案!$E$6:$E$255,MATCH($C584,项目档案!$A$6:$A$255,0)),"")),IF($N584="二级",IF(IFERROR(INDEX(项目档案!$G$6:$G$255,MATCH($C584,项目档案!$A$6:$A$255,0)),"")="",N(IFERROR(INDEX(单位档案!$D$6:$D$35,MATCH($E584,单位档案!$A$6:$A$35,0)),"")),IFERROR(INDEX(项目档案!$G$6:$G$255,MATCH($C584,项目档案!$A$6:$A$255,0)),"")),N(IFERROR(INDEX(单位档案!$D$6:$D$35,MATCH($E584,单位档案!$A$6:$A$35,0)),"")))))</f>
        <v/>
      </c>
      <c r="J584" s="22"/>
      <c r="K584" s="22"/>
      <c r="L584" s="33" t="str">
        <f aca="false">IF($B584="","",IF(NOT(ISNUMBER($B584)),"日期格式不对",IF($C584="","未选项目编号",IF(LEFT($M584,1)="⚠","项目编号不存在",IF($D584="","未选业务类型",IF($E584="","未选开票/付款方",IF(ISNA(MATCH($E584,单位档案!$A$6:$A$35,0)),"开票方不在单位档案",IF($F584="","未选收票/收款方",IF(ISNA(MATCH($F584,单位档案!$A$6:$A$35,0)),"收款方不在单位档案",IF(NOT(ISNUMBER($H584)),"金额须为数字",IF(AND($D584="销项开票",$N584="—"),"链条待确认","√")))))))))))</f>
        <v/>
      </c>
      <c r="M584" s="34" t="str">
        <f aca="false">IF($C584="","",IFERROR(INDEX(项目档案!$B$6:$B$255,MATCH($C584,项目档案!$A$6:$A$255,0)),"⚠项目编号不存在"))</f>
        <v/>
      </c>
      <c r="N584" s="35" t="str">
        <f aca="false">IF($E584="","",IF($E584=IFERROR(INDEX(项目档案!$D$6:$D$255,MATCH($C584,项目档案!$A$6:$A$255,0)),""),"一级",IF($E584=IFERROR(INDEX(项目档案!$F$6:$F$255,MATCH($C584,项目档案!$A$6:$A$255,0)),""),"二级",IF($E584=IFERROR(INDEX(项目档案!$H$6:$H$255,MATCH($C584,项目档案!$A$6:$A$255,0)),""),"我方","—"))))</f>
        <v/>
      </c>
      <c r="O584" s="36" t="n">
        <f aca="false">IF($D584&lt;&gt;"销项开票",0,ROUND(N($H584)*N($I584),2))</f>
        <v>0</v>
      </c>
      <c r="P584" s="36" t="n">
        <f aca="false">IF($D584&lt;&gt;"销项开票",0,ROUND(N($H584)-$O584,2))</f>
        <v>0</v>
      </c>
      <c r="Q584" s="37" t="str">
        <f aca="false">IF($E584="","",N(IFERROR(INDEX(单位档案!$E$6:$E$35,MATCH($E584,单位档案!$A$6:$A$35,0)),"")))</f>
        <v/>
      </c>
      <c r="R584" s="37" t="str">
        <f aca="false">IF($E584="","",N(IFERROR(INDEX(单位档案!$F$6:$F$35,MATCH($E584,单位档案!$A$6:$A$35,0)),"")))</f>
        <v/>
      </c>
      <c r="S584" s="36" t="n">
        <f aca="false">IF(OR($D584&lt;&gt;"销项开票",IFERROR(INDEX(单位档案!$G$6:$G$35,MATCH($E584,单位档案!$A$6:$A$35,0)),"")&lt;&gt;"是",N($Q584)=0),0,IF(IFERROR(INDEX(单位档案!$H$6:$H$35,MATCH($E584,单位档案!$A$6:$A$35,0)),"")="税差法",ROUND(N($H584)/(1+$Q584)*$Q584-IF(N($R584)=0,0,$P584/(1+$R584)*$R584),2),ROUND(N($H584)/(1+$Q584)*$Q584,2)))</f>
        <v>0</v>
      </c>
      <c r="T584" s="36" t="n">
        <f aca="false">ROUND($S584*N(IFERROR(INDEX(单位档案!$J$6:$J$35,MATCH($E584,单位档案!$A$6:$A$35,0)),"")),2)</f>
        <v>0</v>
      </c>
      <c r="U584" s="36" t="n">
        <f aca="false">IF($D584&lt;&gt;"销项开票",0,ROUND(N($H584)*N(IFERROR(INDEX(单位档案!$K$6:$K$35,MATCH($E584,单位档案!$A$6:$A$35,0)),"")),2))</f>
        <v>0</v>
      </c>
      <c r="V584" s="36" t="n">
        <f aca="false">IF(OR($D584&lt;&gt;"销项开票",N($Q584)=0),0,ROUND(N($H584)/(1+$Q584)*N(IFERROR(INDEX(单位档案!$L$6:$L$35,MATCH($E584,单位档案!$A$6:$A$35,0)),"")),2))</f>
        <v>0</v>
      </c>
      <c r="W584" s="36" t="n">
        <f aca="false">ROUND($S584+$T584+$U584+$V584,2)</f>
        <v>0</v>
      </c>
      <c r="X584" s="35" t="str">
        <f aca="false">IF(OR($D584="挂靠代收",$D584="我方收款"),COUNTIFS($D$5:$D584,"挂靠代收")+COUNTIFS($D$5:$D584,"我方收款"),"")</f>
        <v/>
      </c>
      <c r="Y584" s="35"/>
      <c r="Z584" s="21" t="s">
        <v>111</v>
      </c>
    </row>
    <row r="585" customFormat="false" ht="15.75" hidden="false" customHeight="true" outlineLevel="0" collapsed="false">
      <c r="A585" s="32" t="str">
        <f aca="false">IF($B585="","",ROW()-4)</f>
        <v/>
      </c>
      <c r="B585" s="26"/>
      <c r="C585" s="24"/>
      <c r="D585" s="21"/>
      <c r="E585" s="21"/>
      <c r="F585" s="21"/>
      <c r="G585" s="21"/>
      <c r="H585" s="27"/>
      <c r="I585" s="23" t="str">
        <f aca="false">IF($D585&lt;&gt;"销项开票","",IF($N585="一级",IF(IFERROR(INDEX(项目档案!$E$6:$E$255,MATCH($C585,项目档案!$A$6:$A$255,0)),"")="",N(IFERROR(INDEX(单位档案!$D$6:$D$35,MATCH($E585,单位档案!$A$6:$A$35,0)),"")),IFERROR(INDEX(项目档案!$E$6:$E$255,MATCH($C585,项目档案!$A$6:$A$255,0)),"")),IF($N585="二级",IF(IFERROR(INDEX(项目档案!$G$6:$G$255,MATCH($C585,项目档案!$A$6:$A$255,0)),"")="",N(IFERROR(INDEX(单位档案!$D$6:$D$35,MATCH($E585,单位档案!$A$6:$A$35,0)),"")),IFERROR(INDEX(项目档案!$G$6:$G$255,MATCH($C585,项目档案!$A$6:$A$255,0)),"")),N(IFERROR(INDEX(单位档案!$D$6:$D$35,MATCH($E585,单位档案!$A$6:$A$35,0)),"")))))</f>
        <v/>
      </c>
      <c r="J585" s="22"/>
      <c r="K585" s="22"/>
      <c r="L585" s="33" t="str">
        <f aca="false">IF($B585="","",IF(NOT(ISNUMBER($B585)),"日期格式不对",IF($C585="","未选项目编号",IF(LEFT($M585,1)="⚠","项目编号不存在",IF($D585="","未选业务类型",IF($E585="","未选开票/付款方",IF(ISNA(MATCH($E585,单位档案!$A$6:$A$35,0)),"开票方不在单位档案",IF($F585="","未选收票/收款方",IF(ISNA(MATCH($F585,单位档案!$A$6:$A$35,0)),"收款方不在单位档案",IF(NOT(ISNUMBER($H585)),"金额须为数字",IF(AND($D585="销项开票",$N585="—"),"链条待确认","√")))))))))))</f>
        <v/>
      </c>
      <c r="M585" s="34" t="str">
        <f aca="false">IF($C585="","",IFERROR(INDEX(项目档案!$B$6:$B$255,MATCH($C585,项目档案!$A$6:$A$255,0)),"⚠项目编号不存在"))</f>
        <v/>
      </c>
      <c r="N585" s="35" t="str">
        <f aca="false">IF($E585="","",IF($E585=IFERROR(INDEX(项目档案!$D$6:$D$255,MATCH($C585,项目档案!$A$6:$A$255,0)),""),"一级",IF($E585=IFERROR(INDEX(项目档案!$F$6:$F$255,MATCH($C585,项目档案!$A$6:$A$255,0)),""),"二级",IF($E585=IFERROR(INDEX(项目档案!$H$6:$H$255,MATCH($C585,项目档案!$A$6:$A$255,0)),""),"我方","—"))))</f>
        <v/>
      </c>
      <c r="O585" s="36" t="n">
        <f aca="false">IF($D585&lt;&gt;"销项开票",0,ROUND(N($H585)*N($I585),2))</f>
        <v>0</v>
      </c>
      <c r="P585" s="36" t="n">
        <f aca="false">IF($D585&lt;&gt;"销项开票",0,ROUND(N($H585)-$O585,2))</f>
        <v>0</v>
      </c>
      <c r="Q585" s="37" t="str">
        <f aca="false">IF($E585="","",N(IFERROR(INDEX(单位档案!$E$6:$E$35,MATCH($E585,单位档案!$A$6:$A$35,0)),"")))</f>
        <v/>
      </c>
      <c r="R585" s="37" t="str">
        <f aca="false">IF($E585="","",N(IFERROR(INDEX(单位档案!$F$6:$F$35,MATCH($E585,单位档案!$A$6:$A$35,0)),"")))</f>
        <v/>
      </c>
      <c r="S585" s="36" t="n">
        <f aca="false">IF(OR($D585&lt;&gt;"销项开票",IFERROR(INDEX(单位档案!$G$6:$G$35,MATCH($E585,单位档案!$A$6:$A$35,0)),"")&lt;&gt;"是",N($Q585)=0),0,IF(IFERROR(INDEX(单位档案!$H$6:$H$35,MATCH($E585,单位档案!$A$6:$A$35,0)),"")="税差法",ROUND(N($H585)/(1+$Q585)*$Q585-IF(N($R585)=0,0,$P585/(1+$R585)*$R585),2),ROUND(N($H585)/(1+$Q585)*$Q585,2)))</f>
        <v>0</v>
      </c>
      <c r="T585" s="36" t="n">
        <f aca="false">ROUND($S585*N(IFERROR(INDEX(单位档案!$J$6:$J$35,MATCH($E585,单位档案!$A$6:$A$35,0)),"")),2)</f>
        <v>0</v>
      </c>
      <c r="U585" s="36" t="n">
        <f aca="false">IF($D585&lt;&gt;"销项开票",0,ROUND(N($H585)*N(IFERROR(INDEX(单位档案!$K$6:$K$35,MATCH($E585,单位档案!$A$6:$A$35,0)),"")),2))</f>
        <v>0</v>
      </c>
      <c r="V585" s="36" t="n">
        <f aca="false">IF(OR($D585&lt;&gt;"销项开票",N($Q585)=0),0,ROUND(N($H585)/(1+$Q585)*N(IFERROR(INDEX(单位档案!$L$6:$L$35,MATCH($E585,单位档案!$A$6:$A$35,0)),"")),2))</f>
        <v>0</v>
      </c>
      <c r="W585" s="36" t="n">
        <f aca="false">ROUND($S585+$T585+$U585+$V585,2)</f>
        <v>0</v>
      </c>
      <c r="X585" s="35" t="str">
        <f aca="false">IF(OR($D585="挂靠代收",$D585="我方收款"),COUNTIFS($D$5:$D585,"挂靠代收")+COUNTIFS($D$5:$D585,"我方收款"),"")</f>
        <v/>
      </c>
      <c r="Y585" s="35"/>
      <c r="Z585" s="21" t="s">
        <v>111</v>
      </c>
    </row>
    <row r="586" customFormat="false" ht="15.75" hidden="false" customHeight="true" outlineLevel="0" collapsed="false">
      <c r="A586" s="32" t="str">
        <f aca="false">IF($B586="","",ROW()-4)</f>
        <v/>
      </c>
      <c r="B586" s="26"/>
      <c r="C586" s="24"/>
      <c r="D586" s="21"/>
      <c r="E586" s="21"/>
      <c r="F586" s="21"/>
      <c r="G586" s="21"/>
      <c r="H586" s="27"/>
      <c r="I586" s="23" t="str">
        <f aca="false">IF($D586&lt;&gt;"销项开票","",IF($N586="一级",IF(IFERROR(INDEX(项目档案!$E$6:$E$255,MATCH($C586,项目档案!$A$6:$A$255,0)),"")="",N(IFERROR(INDEX(单位档案!$D$6:$D$35,MATCH($E586,单位档案!$A$6:$A$35,0)),"")),IFERROR(INDEX(项目档案!$E$6:$E$255,MATCH($C586,项目档案!$A$6:$A$255,0)),"")),IF($N586="二级",IF(IFERROR(INDEX(项目档案!$G$6:$G$255,MATCH($C586,项目档案!$A$6:$A$255,0)),"")="",N(IFERROR(INDEX(单位档案!$D$6:$D$35,MATCH($E586,单位档案!$A$6:$A$35,0)),"")),IFERROR(INDEX(项目档案!$G$6:$G$255,MATCH($C586,项目档案!$A$6:$A$255,0)),"")),N(IFERROR(INDEX(单位档案!$D$6:$D$35,MATCH($E586,单位档案!$A$6:$A$35,0)),"")))))</f>
        <v/>
      </c>
      <c r="J586" s="22"/>
      <c r="K586" s="22"/>
      <c r="L586" s="33" t="str">
        <f aca="false">IF($B586="","",IF(NOT(ISNUMBER($B586)),"日期格式不对",IF($C586="","未选项目编号",IF(LEFT($M586,1)="⚠","项目编号不存在",IF($D586="","未选业务类型",IF($E586="","未选开票/付款方",IF(ISNA(MATCH($E586,单位档案!$A$6:$A$35,0)),"开票方不在单位档案",IF($F586="","未选收票/收款方",IF(ISNA(MATCH($F586,单位档案!$A$6:$A$35,0)),"收款方不在单位档案",IF(NOT(ISNUMBER($H586)),"金额须为数字",IF(AND($D586="销项开票",$N586="—"),"链条待确认","√")))))))))))</f>
        <v/>
      </c>
      <c r="M586" s="34" t="str">
        <f aca="false">IF($C586="","",IFERROR(INDEX(项目档案!$B$6:$B$255,MATCH($C586,项目档案!$A$6:$A$255,0)),"⚠项目编号不存在"))</f>
        <v/>
      </c>
      <c r="N586" s="35" t="str">
        <f aca="false">IF($E586="","",IF($E586=IFERROR(INDEX(项目档案!$D$6:$D$255,MATCH($C586,项目档案!$A$6:$A$255,0)),""),"一级",IF($E586=IFERROR(INDEX(项目档案!$F$6:$F$255,MATCH($C586,项目档案!$A$6:$A$255,0)),""),"二级",IF($E586=IFERROR(INDEX(项目档案!$H$6:$H$255,MATCH($C586,项目档案!$A$6:$A$255,0)),""),"我方","—"))))</f>
        <v/>
      </c>
      <c r="O586" s="36" t="n">
        <f aca="false">IF($D586&lt;&gt;"销项开票",0,ROUND(N($H586)*N($I586),2))</f>
        <v>0</v>
      </c>
      <c r="P586" s="36" t="n">
        <f aca="false">IF($D586&lt;&gt;"销项开票",0,ROUND(N($H586)-$O586,2))</f>
        <v>0</v>
      </c>
      <c r="Q586" s="37" t="str">
        <f aca="false">IF($E586="","",N(IFERROR(INDEX(单位档案!$E$6:$E$35,MATCH($E586,单位档案!$A$6:$A$35,0)),"")))</f>
        <v/>
      </c>
      <c r="R586" s="37" t="str">
        <f aca="false">IF($E586="","",N(IFERROR(INDEX(单位档案!$F$6:$F$35,MATCH($E586,单位档案!$A$6:$A$35,0)),"")))</f>
        <v/>
      </c>
      <c r="S586" s="36" t="n">
        <f aca="false">IF(OR($D586&lt;&gt;"销项开票",IFERROR(INDEX(单位档案!$G$6:$G$35,MATCH($E586,单位档案!$A$6:$A$35,0)),"")&lt;&gt;"是",N($Q586)=0),0,IF(IFERROR(INDEX(单位档案!$H$6:$H$35,MATCH($E586,单位档案!$A$6:$A$35,0)),"")="税差法",ROUND(N($H586)/(1+$Q586)*$Q586-IF(N($R586)=0,0,$P586/(1+$R586)*$R586),2),ROUND(N($H586)/(1+$Q586)*$Q586,2)))</f>
        <v>0</v>
      </c>
      <c r="T586" s="36" t="n">
        <f aca="false">ROUND($S586*N(IFERROR(INDEX(单位档案!$J$6:$J$35,MATCH($E586,单位档案!$A$6:$A$35,0)),"")),2)</f>
        <v>0</v>
      </c>
      <c r="U586" s="36" t="n">
        <f aca="false">IF($D586&lt;&gt;"销项开票",0,ROUND(N($H586)*N(IFERROR(INDEX(单位档案!$K$6:$K$35,MATCH($E586,单位档案!$A$6:$A$35,0)),"")),2))</f>
        <v>0</v>
      </c>
      <c r="V586" s="36" t="n">
        <f aca="false">IF(OR($D586&lt;&gt;"销项开票",N($Q586)=0),0,ROUND(N($H586)/(1+$Q586)*N(IFERROR(INDEX(单位档案!$L$6:$L$35,MATCH($E586,单位档案!$A$6:$A$35,0)),"")),2))</f>
        <v>0</v>
      </c>
      <c r="W586" s="36" t="n">
        <f aca="false">ROUND($S586+$T586+$U586+$V586,2)</f>
        <v>0</v>
      </c>
      <c r="X586" s="35" t="str">
        <f aca="false">IF(OR($D586="挂靠代收",$D586="我方收款"),COUNTIFS($D$5:$D586,"挂靠代收")+COUNTIFS($D$5:$D586,"我方收款"),"")</f>
        <v/>
      </c>
      <c r="Y586" s="35"/>
      <c r="Z586" s="21" t="s">
        <v>111</v>
      </c>
    </row>
    <row r="587" customFormat="false" ht="15.75" hidden="false" customHeight="true" outlineLevel="0" collapsed="false">
      <c r="A587" s="32" t="str">
        <f aca="false">IF($B587="","",ROW()-4)</f>
        <v/>
      </c>
      <c r="B587" s="26"/>
      <c r="C587" s="24"/>
      <c r="D587" s="21"/>
      <c r="E587" s="21"/>
      <c r="F587" s="21"/>
      <c r="G587" s="21"/>
      <c r="H587" s="27"/>
      <c r="I587" s="23" t="str">
        <f aca="false">IF($D587&lt;&gt;"销项开票","",IF($N587="一级",IF(IFERROR(INDEX(项目档案!$E$6:$E$255,MATCH($C587,项目档案!$A$6:$A$255,0)),"")="",N(IFERROR(INDEX(单位档案!$D$6:$D$35,MATCH($E587,单位档案!$A$6:$A$35,0)),"")),IFERROR(INDEX(项目档案!$E$6:$E$255,MATCH($C587,项目档案!$A$6:$A$255,0)),"")),IF($N587="二级",IF(IFERROR(INDEX(项目档案!$G$6:$G$255,MATCH($C587,项目档案!$A$6:$A$255,0)),"")="",N(IFERROR(INDEX(单位档案!$D$6:$D$35,MATCH($E587,单位档案!$A$6:$A$35,0)),"")),IFERROR(INDEX(项目档案!$G$6:$G$255,MATCH($C587,项目档案!$A$6:$A$255,0)),"")),N(IFERROR(INDEX(单位档案!$D$6:$D$35,MATCH($E587,单位档案!$A$6:$A$35,0)),"")))))</f>
        <v/>
      </c>
      <c r="J587" s="22"/>
      <c r="K587" s="22"/>
      <c r="L587" s="33" t="str">
        <f aca="false">IF($B587="","",IF(NOT(ISNUMBER($B587)),"日期格式不对",IF($C587="","未选项目编号",IF(LEFT($M587,1)="⚠","项目编号不存在",IF($D587="","未选业务类型",IF($E587="","未选开票/付款方",IF(ISNA(MATCH($E587,单位档案!$A$6:$A$35,0)),"开票方不在单位档案",IF($F587="","未选收票/收款方",IF(ISNA(MATCH($F587,单位档案!$A$6:$A$35,0)),"收款方不在单位档案",IF(NOT(ISNUMBER($H587)),"金额须为数字",IF(AND($D587="销项开票",$N587="—"),"链条待确认","√")))))))))))</f>
        <v/>
      </c>
      <c r="M587" s="34" t="str">
        <f aca="false">IF($C587="","",IFERROR(INDEX(项目档案!$B$6:$B$255,MATCH($C587,项目档案!$A$6:$A$255,0)),"⚠项目编号不存在"))</f>
        <v/>
      </c>
      <c r="N587" s="35" t="str">
        <f aca="false">IF($E587="","",IF($E587=IFERROR(INDEX(项目档案!$D$6:$D$255,MATCH($C587,项目档案!$A$6:$A$255,0)),""),"一级",IF($E587=IFERROR(INDEX(项目档案!$F$6:$F$255,MATCH($C587,项目档案!$A$6:$A$255,0)),""),"二级",IF($E587=IFERROR(INDEX(项目档案!$H$6:$H$255,MATCH($C587,项目档案!$A$6:$A$255,0)),""),"我方","—"))))</f>
        <v/>
      </c>
      <c r="O587" s="36" t="n">
        <f aca="false">IF($D587&lt;&gt;"销项开票",0,ROUND(N($H587)*N($I587),2))</f>
        <v>0</v>
      </c>
      <c r="P587" s="36" t="n">
        <f aca="false">IF($D587&lt;&gt;"销项开票",0,ROUND(N($H587)-$O587,2))</f>
        <v>0</v>
      </c>
      <c r="Q587" s="37" t="str">
        <f aca="false">IF($E587="","",N(IFERROR(INDEX(单位档案!$E$6:$E$35,MATCH($E587,单位档案!$A$6:$A$35,0)),"")))</f>
        <v/>
      </c>
      <c r="R587" s="37" t="str">
        <f aca="false">IF($E587="","",N(IFERROR(INDEX(单位档案!$F$6:$F$35,MATCH($E587,单位档案!$A$6:$A$35,0)),"")))</f>
        <v/>
      </c>
      <c r="S587" s="36" t="n">
        <f aca="false">IF(OR($D587&lt;&gt;"销项开票",IFERROR(INDEX(单位档案!$G$6:$G$35,MATCH($E587,单位档案!$A$6:$A$35,0)),"")&lt;&gt;"是",N($Q587)=0),0,IF(IFERROR(INDEX(单位档案!$H$6:$H$35,MATCH($E587,单位档案!$A$6:$A$35,0)),"")="税差法",ROUND(N($H587)/(1+$Q587)*$Q587-IF(N($R587)=0,0,$P587/(1+$R587)*$R587),2),ROUND(N($H587)/(1+$Q587)*$Q587,2)))</f>
        <v>0</v>
      </c>
      <c r="T587" s="36" t="n">
        <f aca="false">ROUND($S587*N(IFERROR(INDEX(单位档案!$J$6:$J$35,MATCH($E587,单位档案!$A$6:$A$35,0)),"")),2)</f>
        <v>0</v>
      </c>
      <c r="U587" s="36" t="n">
        <f aca="false">IF($D587&lt;&gt;"销项开票",0,ROUND(N($H587)*N(IFERROR(INDEX(单位档案!$K$6:$K$35,MATCH($E587,单位档案!$A$6:$A$35,0)),"")),2))</f>
        <v>0</v>
      </c>
      <c r="V587" s="36" t="n">
        <f aca="false">IF(OR($D587&lt;&gt;"销项开票",N($Q587)=0),0,ROUND(N($H587)/(1+$Q587)*N(IFERROR(INDEX(单位档案!$L$6:$L$35,MATCH($E587,单位档案!$A$6:$A$35,0)),"")),2))</f>
        <v>0</v>
      </c>
      <c r="W587" s="36" t="n">
        <f aca="false">ROUND($S587+$T587+$U587+$V587,2)</f>
        <v>0</v>
      </c>
      <c r="X587" s="35" t="str">
        <f aca="false">IF(OR($D587="挂靠代收",$D587="我方收款"),COUNTIFS($D$5:$D587,"挂靠代收")+COUNTIFS($D$5:$D587,"我方收款"),"")</f>
        <v/>
      </c>
      <c r="Y587" s="35"/>
      <c r="Z587" s="21" t="s">
        <v>111</v>
      </c>
    </row>
    <row r="588" customFormat="false" ht="15.75" hidden="false" customHeight="true" outlineLevel="0" collapsed="false">
      <c r="A588" s="32" t="str">
        <f aca="false">IF($B588="","",ROW()-4)</f>
        <v/>
      </c>
      <c r="B588" s="26"/>
      <c r="C588" s="24"/>
      <c r="D588" s="21"/>
      <c r="E588" s="21"/>
      <c r="F588" s="21"/>
      <c r="G588" s="21"/>
      <c r="H588" s="27"/>
      <c r="I588" s="23" t="str">
        <f aca="false">IF($D588&lt;&gt;"销项开票","",IF($N588="一级",IF(IFERROR(INDEX(项目档案!$E$6:$E$255,MATCH($C588,项目档案!$A$6:$A$255,0)),"")="",N(IFERROR(INDEX(单位档案!$D$6:$D$35,MATCH($E588,单位档案!$A$6:$A$35,0)),"")),IFERROR(INDEX(项目档案!$E$6:$E$255,MATCH($C588,项目档案!$A$6:$A$255,0)),"")),IF($N588="二级",IF(IFERROR(INDEX(项目档案!$G$6:$G$255,MATCH($C588,项目档案!$A$6:$A$255,0)),"")="",N(IFERROR(INDEX(单位档案!$D$6:$D$35,MATCH($E588,单位档案!$A$6:$A$35,0)),"")),IFERROR(INDEX(项目档案!$G$6:$G$255,MATCH($C588,项目档案!$A$6:$A$255,0)),"")),N(IFERROR(INDEX(单位档案!$D$6:$D$35,MATCH($E588,单位档案!$A$6:$A$35,0)),"")))))</f>
        <v/>
      </c>
      <c r="J588" s="22"/>
      <c r="K588" s="22"/>
      <c r="L588" s="33" t="str">
        <f aca="false">IF($B588="","",IF(NOT(ISNUMBER($B588)),"日期格式不对",IF($C588="","未选项目编号",IF(LEFT($M588,1)="⚠","项目编号不存在",IF($D588="","未选业务类型",IF($E588="","未选开票/付款方",IF(ISNA(MATCH($E588,单位档案!$A$6:$A$35,0)),"开票方不在单位档案",IF($F588="","未选收票/收款方",IF(ISNA(MATCH($F588,单位档案!$A$6:$A$35,0)),"收款方不在单位档案",IF(NOT(ISNUMBER($H588)),"金额须为数字",IF(AND($D588="销项开票",$N588="—"),"链条待确认","√")))))))))))</f>
        <v/>
      </c>
      <c r="M588" s="34" t="str">
        <f aca="false">IF($C588="","",IFERROR(INDEX(项目档案!$B$6:$B$255,MATCH($C588,项目档案!$A$6:$A$255,0)),"⚠项目编号不存在"))</f>
        <v/>
      </c>
      <c r="N588" s="35" t="str">
        <f aca="false">IF($E588="","",IF($E588=IFERROR(INDEX(项目档案!$D$6:$D$255,MATCH($C588,项目档案!$A$6:$A$255,0)),""),"一级",IF($E588=IFERROR(INDEX(项目档案!$F$6:$F$255,MATCH($C588,项目档案!$A$6:$A$255,0)),""),"二级",IF($E588=IFERROR(INDEX(项目档案!$H$6:$H$255,MATCH($C588,项目档案!$A$6:$A$255,0)),""),"我方","—"))))</f>
        <v/>
      </c>
      <c r="O588" s="36" t="n">
        <f aca="false">IF($D588&lt;&gt;"销项开票",0,ROUND(N($H588)*N($I588),2))</f>
        <v>0</v>
      </c>
      <c r="P588" s="36" t="n">
        <f aca="false">IF($D588&lt;&gt;"销项开票",0,ROUND(N($H588)-$O588,2))</f>
        <v>0</v>
      </c>
      <c r="Q588" s="37" t="str">
        <f aca="false">IF($E588="","",N(IFERROR(INDEX(单位档案!$E$6:$E$35,MATCH($E588,单位档案!$A$6:$A$35,0)),"")))</f>
        <v/>
      </c>
      <c r="R588" s="37" t="str">
        <f aca="false">IF($E588="","",N(IFERROR(INDEX(单位档案!$F$6:$F$35,MATCH($E588,单位档案!$A$6:$A$35,0)),"")))</f>
        <v/>
      </c>
      <c r="S588" s="36" t="n">
        <f aca="false">IF(OR($D588&lt;&gt;"销项开票",IFERROR(INDEX(单位档案!$G$6:$G$35,MATCH($E588,单位档案!$A$6:$A$35,0)),"")&lt;&gt;"是",N($Q588)=0),0,IF(IFERROR(INDEX(单位档案!$H$6:$H$35,MATCH($E588,单位档案!$A$6:$A$35,0)),"")="税差法",ROUND(N($H588)/(1+$Q588)*$Q588-IF(N($R588)=0,0,$P588/(1+$R588)*$R588),2),ROUND(N($H588)/(1+$Q588)*$Q588,2)))</f>
        <v>0</v>
      </c>
      <c r="T588" s="36" t="n">
        <f aca="false">ROUND($S588*N(IFERROR(INDEX(单位档案!$J$6:$J$35,MATCH($E588,单位档案!$A$6:$A$35,0)),"")),2)</f>
        <v>0</v>
      </c>
      <c r="U588" s="36" t="n">
        <f aca="false">IF($D588&lt;&gt;"销项开票",0,ROUND(N($H588)*N(IFERROR(INDEX(单位档案!$K$6:$K$35,MATCH($E588,单位档案!$A$6:$A$35,0)),"")),2))</f>
        <v>0</v>
      </c>
      <c r="V588" s="36" t="n">
        <f aca="false">IF(OR($D588&lt;&gt;"销项开票",N($Q588)=0),0,ROUND(N($H588)/(1+$Q588)*N(IFERROR(INDEX(单位档案!$L$6:$L$35,MATCH($E588,单位档案!$A$6:$A$35,0)),"")),2))</f>
        <v>0</v>
      </c>
      <c r="W588" s="36" t="n">
        <f aca="false">ROUND($S588+$T588+$U588+$V588,2)</f>
        <v>0</v>
      </c>
      <c r="X588" s="35" t="str">
        <f aca="false">IF(OR($D588="挂靠代收",$D588="我方收款"),COUNTIFS($D$5:$D588,"挂靠代收")+COUNTIFS($D$5:$D588,"我方收款"),"")</f>
        <v/>
      </c>
      <c r="Y588" s="35"/>
      <c r="Z588" s="21" t="s">
        <v>111</v>
      </c>
    </row>
    <row r="589" customFormat="false" ht="15.75" hidden="false" customHeight="true" outlineLevel="0" collapsed="false">
      <c r="A589" s="32" t="str">
        <f aca="false">IF($B589="","",ROW()-4)</f>
        <v/>
      </c>
      <c r="B589" s="26"/>
      <c r="C589" s="24"/>
      <c r="D589" s="21"/>
      <c r="E589" s="21"/>
      <c r="F589" s="21"/>
      <c r="G589" s="21"/>
      <c r="H589" s="27"/>
      <c r="I589" s="23" t="str">
        <f aca="false">IF($D589&lt;&gt;"销项开票","",IF($N589="一级",IF(IFERROR(INDEX(项目档案!$E$6:$E$255,MATCH($C589,项目档案!$A$6:$A$255,0)),"")="",N(IFERROR(INDEX(单位档案!$D$6:$D$35,MATCH($E589,单位档案!$A$6:$A$35,0)),"")),IFERROR(INDEX(项目档案!$E$6:$E$255,MATCH($C589,项目档案!$A$6:$A$255,0)),"")),IF($N589="二级",IF(IFERROR(INDEX(项目档案!$G$6:$G$255,MATCH($C589,项目档案!$A$6:$A$255,0)),"")="",N(IFERROR(INDEX(单位档案!$D$6:$D$35,MATCH($E589,单位档案!$A$6:$A$35,0)),"")),IFERROR(INDEX(项目档案!$G$6:$G$255,MATCH($C589,项目档案!$A$6:$A$255,0)),"")),N(IFERROR(INDEX(单位档案!$D$6:$D$35,MATCH($E589,单位档案!$A$6:$A$35,0)),"")))))</f>
        <v/>
      </c>
      <c r="J589" s="22"/>
      <c r="K589" s="22"/>
      <c r="L589" s="33" t="str">
        <f aca="false">IF($B589="","",IF(NOT(ISNUMBER($B589)),"日期格式不对",IF($C589="","未选项目编号",IF(LEFT($M589,1)="⚠","项目编号不存在",IF($D589="","未选业务类型",IF($E589="","未选开票/付款方",IF(ISNA(MATCH($E589,单位档案!$A$6:$A$35,0)),"开票方不在单位档案",IF($F589="","未选收票/收款方",IF(ISNA(MATCH($F589,单位档案!$A$6:$A$35,0)),"收款方不在单位档案",IF(NOT(ISNUMBER($H589)),"金额须为数字",IF(AND($D589="销项开票",$N589="—"),"链条待确认","√")))))))))))</f>
        <v/>
      </c>
      <c r="M589" s="34" t="str">
        <f aca="false">IF($C589="","",IFERROR(INDEX(项目档案!$B$6:$B$255,MATCH($C589,项目档案!$A$6:$A$255,0)),"⚠项目编号不存在"))</f>
        <v/>
      </c>
      <c r="N589" s="35" t="str">
        <f aca="false">IF($E589="","",IF($E589=IFERROR(INDEX(项目档案!$D$6:$D$255,MATCH($C589,项目档案!$A$6:$A$255,0)),""),"一级",IF($E589=IFERROR(INDEX(项目档案!$F$6:$F$255,MATCH($C589,项目档案!$A$6:$A$255,0)),""),"二级",IF($E589=IFERROR(INDEX(项目档案!$H$6:$H$255,MATCH($C589,项目档案!$A$6:$A$255,0)),""),"我方","—"))))</f>
        <v/>
      </c>
      <c r="O589" s="36" t="n">
        <f aca="false">IF($D589&lt;&gt;"销项开票",0,ROUND(N($H589)*N($I589),2))</f>
        <v>0</v>
      </c>
      <c r="P589" s="36" t="n">
        <f aca="false">IF($D589&lt;&gt;"销项开票",0,ROUND(N($H589)-$O589,2))</f>
        <v>0</v>
      </c>
      <c r="Q589" s="37" t="str">
        <f aca="false">IF($E589="","",N(IFERROR(INDEX(单位档案!$E$6:$E$35,MATCH($E589,单位档案!$A$6:$A$35,0)),"")))</f>
        <v/>
      </c>
      <c r="R589" s="37" t="str">
        <f aca="false">IF($E589="","",N(IFERROR(INDEX(单位档案!$F$6:$F$35,MATCH($E589,单位档案!$A$6:$A$35,0)),"")))</f>
        <v/>
      </c>
      <c r="S589" s="36" t="n">
        <f aca="false">IF(OR($D589&lt;&gt;"销项开票",IFERROR(INDEX(单位档案!$G$6:$G$35,MATCH($E589,单位档案!$A$6:$A$35,0)),"")&lt;&gt;"是",N($Q589)=0),0,IF(IFERROR(INDEX(单位档案!$H$6:$H$35,MATCH($E589,单位档案!$A$6:$A$35,0)),"")="税差法",ROUND(N($H589)/(1+$Q589)*$Q589-IF(N($R589)=0,0,$P589/(1+$R589)*$R589),2),ROUND(N($H589)/(1+$Q589)*$Q589,2)))</f>
        <v>0</v>
      </c>
      <c r="T589" s="36" t="n">
        <f aca="false">ROUND($S589*N(IFERROR(INDEX(单位档案!$J$6:$J$35,MATCH($E589,单位档案!$A$6:$A$35,0)),"")),2)</f>
        <v>0</v>
      </c>
      <c r="U589" s="36" t="n">
        <f aca="false">IF($D589&lt;&gt;"销项开票",0,ROUND(N($H589)*N(IFERROR(INDEX(单位档案!$K$6:$K$35,MATCH($E589,单位档案!$A$6:$A$35,0)),"")),2))</f>
        <v>0</v>
      </c>
      <c r="V589" s="36" t="n">
        <f aca="false">IF(OR($D589&lt;&gt;"销项开票",N($Q589)=0),0,ROUND(N($H589)/(1+$Q589)*N(IFERROR(INDEX(单位档案!$L$6:$L$35,MATCH($E589,单位档案!$A$6:$A$35,0)),"")),2))</f>
        <v>0</v>
      </c>
      <c r="W589" s="36" t="n">
        <f aca="false">ROUND($S589+$T589+$U589+$V589,2)</f>
        <v>0</v>
      </c>
      <c r="X589" s="35" t="str">
        <f aca="false">IF(OR($D589="挂靠代收",$D589="我方收款"),COUNTIFS($D$5:$D589,"挂靠代收")+COUNTIFS($D$5:$D589,"我方收款"),"")</f>
        <v/>
      </c>
      <c r="Y589" s="35"/>
      <c r="Z589" s="21" t="s">
        <v>111</v>
      </c>
    </row>
    <row r="590" customFormat="false" ht="15.75" hidden="false" customHeight="true" outlineLevel="0" collapsed="false">
      <c r="A590" s="32" t="str">
        <f aca="false">IF($B590="","",ROW()-4)</f>
        <v/>
      </c>
      <c r="B590" s="26"/>
      <c r="C590" s="24"/>
      <c r="D590" s="21"/>
      <c r="E590" s="21"/>
      <c r="F590" s="21"/>
      <c r="G590" s="21"/>
      <c r="H590" s="27"/>
      <c r="I590" s="23" t="str">
        <f aca="false">IF($D590&lt;&gt;"销项开票","",IF($N590="一级",IF(IFERROR(INDEX(项目档案!$E$6:$E$255,MATCH($C590,项目档案!$A$6:$A$255,0)),"")="",N(IFERROR(INDEX(单位档案!$D$6:$D$35,MATCH($E590,单位档案!$A$6:$A$35,0)),"")),IFERROR(INDEX(项目档案!$E$6:$E$255,MATCH($C590,项目档案!$A$6:$A$255,0)),"")),IF($N590="二级",IF(IFERROR(INDEX(项目档案!$G$6:$G$255,MATCH($C590,项目档案!$A$6:$A$255,0)),"")="",N(IFERROR(INDEX(单位档案!$D$6:$D$35,MATCH($E590,单位档案!$A$6:$A$35,0)),"")),IFERROR(INDEX(项目档案!$G$6:$G$255,MATCH($C590,项目档案!$A$6:$A$255,0)),"")),N(IFERROR(INDEX(单位档案!$D$6:$D$35,MATCH($E590,单位档案!$A$6:$A$35,0)),"")))))</f>
        <v/>
      </c>
      <c r="J590" s="22"/>
      <c r="K590" s="22"/>
      <c r="L590" s="33" t="str">
        <f aca="false">IF($B590="","",IF(NOT(ISNUMBER($B590)),"日期格式不对",IF($C590="","未选项目编号",IF(LEFT($M590,1)="⚠","项目编号不存在",IF($D590="","未选业务类型",IF($E590="","未选开票/付款方",IF(ISNA(MATCH($E590,单位档案!$A$6:$A$35,0)),"开票方不在单位档案",IF($F590="","未选收票/收款方",IF(ISNA(MATCH($F590,单位档案!$A$6:$A$35,0)),"收款方不在单位档案",IF(NOT(ISNUMBER($H590)),"金额须为数字",IF(AND($D590="销项开票",$N590="—"),"链条待确认","√")))))))))))</f>
        <v/>
      </c>
      <c r="M590" s="34" t="str">
        <f aca="false">IF($C590="","",IFERROR(INDEX(项目档案!$B$6:$B$255,MATCH($C590,项目档案!$A$6:$A$255,0)),"⚠项目编号不存在"))</f>
        <v/>
      </c>
      <c r="N590" s="35" t="str">
        <f aca="false">IF($E590="","",IF($E590=IFERROR(INDEX(项目档案!$D$6:$D$255,MATCH($C590,项目档案!$A$6:$A$255,0)),""),"一级",IF($E590=IFERROR(INDEX(项目档案!$F$6:$F$255,MATCH($C590,项目档案!$A$6:$A$255,0)),""),"二级",IF($E590=IFERROR(INDEX(项目档案!$H$6:$H$255,MATCH($C590,项目档案!$A$6:$A$255,0)),""),"我方","—"))))</f>
        <v/>
      </c>
      <c r="O590" s="36" t="n">
        <f aca="false">IF($D590&lt;&gt;"销项开票",0,ROUND(N($H590)*N($I590),2))</f>
        <v>0</v>
      </c>
      <c r="P590" s="36" t="n">
        <f aca="false">IF($D590&lt;&gt;"销项开票",0,ROUND(N($H590)-$O590,2))</f>
        <v>0</v>
      </c>
      <c r="Q590" s="37" t="str">
        <f aca="false">IF($E590="","",N(IFERROR(INDEX(单位档案!$E$6:$E$35,MATCH($E590,单位档案!$A$6:$A$35,0)),"")))</f>
        <v/>
      </c>
      <c r="R590" s="37" t="str">
        <f aca="false">IF($E590="","",N(IFERROR(INDEX(单位档案!$F$6:$F$35,MATCH($E590,单位档案!$A$6:$A$35,0)),"")))</f>
        <v/>
      </c>
      <c r="S590" s="36" t="n">
        <f aca="false">IF(OR($D590&lt;&gt;"销项开票",IFERROR(INDEX(单位档案!$G$6:$G$35,MATCH($E590,单位档案!$A$6:$A$35,0)),"")&lt;&gt;"是",N($Q590)=0),0,IF(IFERROR(INDEX(单位档案!$H$6:$H$35,MATCH($E590,单位档案!$A$6:$A$35,0)),"")="税差法",ROUND(N($H590)/(1+$Q590)*$Q590-IF(N($R590)=0,0,$P590/(1+$R590)*$R590),2),ROUND(N($H590)/(1+$Q590)*$Q590,2)))</f>
        <v>0</v>
      </c>
      <c r="T590" s="36" t="n">
        <f aca="false">ROUND($S590*N(IFERROR(INDEX(单位档案!$J$6:$J$35,MATCH($E590,单位档案!$A$6:$A$35,0)),"")),2)</f>
        <v>0</v>
      </c>
      <c r="U590" s="36" t="n">
        <f aca="false">IF($D590&lt;&gt;"销项开票",0,ROUND(N($H590)*N(IFERROR(INDEX(单位档案!$K$6:$K$35,MATCH($E590,单位档案!$A$6:$A$35,0)),"")),2))</f>
        <v>0</v>
      </c>
      <c r="V590" s="36" t="n">
        <f aca="false">IF(OR($D590&lt;&gt;"销项开票",N($Q590)=0),0,ROUND(N($H590)/(1+$Q590)*N(IFERROR(INDEX(单位档案!$L$6:$L$35,MATCH($E590,单位档案!$A$6:$A$35,0)),"")),2))</f>
        <v>0</v>
      </c>
      <c r="W590" s="36" t="n">
        <f aca="false">ROUND($S590+$T590+$U590+$V590,2)</f>
        <v>0</v>
      </c>
      <c r="X590" s="35" t="str">
        <f aca="false">IF(OR($D590="挂靠代收",$D590="我方收款"),COUNTIFS($D$5:$D590,"挂靠代收")+COUNTIFS($D$5:$D590,"我方收款"),"")</f>
        <v/>
      </c>
      <c r="Y590" s="35"/>
      <c r="Z590" s="21" t="s">
        <v>111</v>
      </c>
    </row>
    <row r="591" customFormat="false" ht="15.75" hidden="false" customHeight="true" outlineLevel="0" collapsed="false">
      <c r="A591" s="32" t="str">
        <f aca="false">IF($B591="","",ROW()-4)</f>
        <v/>
      </c>
      <c r="B591" s="26"/>
      <c r="C591" s="24"/>
      <c r="D591" s="21"/>
      <c r="E591" s="21"/>
      <c r="F591" s="21"/>
      <c r="G591" s="21"/>
      <c r="H591" s="27"/>
      <c r="I591" s="23" t="str">
        <f aca="false">IF($D591&lt;&gt;"销项开票","",IF($N591="一级",IF(IFERROR(INDEX(项目档案!$E$6:$E$255,MATCH($C591,项目档案!$A$6:$A$255,0)),"")="",N(IFERROR(INDEX(单位档案!$D$6:$D$35,MATCH($E591,单位档案!$A$6:$A$35,0)),"")),IFERROR(INDEX(项目档案!$E$6:$E$255,MATCH($C591,项目档案!$A$6:$A$255,0)),"")),IF($N591="二级",IF(IFERROR(INDEX(项目档案!$G$6:$G$255,MATCH($C591,项目档案!$A$6:$A$255,0)),"")="",N(IFERROR(INDEX(单位档案!$D$6:$D$35,MATCH($E591,单位档案!$A$6:$A$35,0)),"")),IFERROR(INDEX(项目档案!$G$6:$G$255,MATCH($C591,项目档案!$A$6:$A$255,0)),"")),N(IFERROR(INDEX(单位档案!$D$6:$D$35,MATCH($E591,单位档案!$A$6:$A$35,0)),"")))))</f>
        <v/>
      </c>
      <c r="J591" s="22"/>
      <c r="K591" s="22"/>
      <c r="L591" s="33" t="str">
        <f aca="false">IF($B591="","",IF(NOT(ISNUMBER($B591)),"日期格式不对",IF($C591="","未选项目编号",IF(LEFT($M591,1)="⚠","项目编号不存在",IF($D591="","未选业务类型",IF($E591="","未选开票/付款方",IF(ISNA(MATCH($E591,单位档案!$A$6:$A$35,0)),"开票方不在单位档案",IF($F591="","未选收票/收款方",IF(ISNA(MATCH($F591,单位档案!$A$6:$A$35,0)),"收款方不在单位档案",IF(NOT(ISNUMBER($H591)),"金额须为数字",IF(AND($D591="销项开票",$N591="—"),"链条待确认","√")))))))))))</f>
        <v/>
      </c>
      <c r="M591" s="34" t="str">
        <f aca="false">IF($C591="","",IFERROR(INDEX(项目档案!$B$6:$B$255,MATCH($C591,项目档案!$A$6:$A$255,0)),"⚠项目编号不存在"))</f>
        <v/>
      </c>
      <c r="N591" s="35" t="str">
        <f aca="false">IF($E591="","",IF($E591=IFERROR(INDEX(项目档案!$D$6:$D$255,MATCH($C591,项目档案!$A$6:$A$255,0)),""),"一级",IF($E591=IFERROR(INDEX(项目档案!$F$6:$F$255,MATCH($C591,项目档案!$A$6:$A$255,0)),""),"二级",IF($E591=IFERROR(INDEX(项目档案!$H$6:$H$255,MATCH($C591,项目档案!$A$6:$A$255,0)),""),"我方","—"))))</f>
        <v/>
      </c>
      <c r="O591" s="36" t="n">
        <f aca="false">IF($D591&lt;&gt;"销项开票",0,ROUND(N($H591)*N($I591),2))</f>
        <v>0</v>
      </c>
      <c r="P591" s="36" t="n">
        <f aca="false">IF($D591&lt;&gt;"销项开票",0,ROUND(N($H591)-$O591,2))</f>
        <v>0</v>
      </c>
      <c r="Q591" s="37" t="str">
        <f aca="false">IF($E591="","",N(IFERROR(INDEX(单位档案!$E$6:$E$35,MATCH($E591,单位档案!$A$6:$A$35,0)),"")))</f>
        <v/>
      </c>
      <c r="R591" s="37" t="str">
        <f aca="false">IF($E591="","",N(IFERROR(INDEX(单位档案!$F$6:$F$35,MATCH($E591,单位档案!$A$6:$A$35,0)),"")))</f>
        <v/>
      </c>
      <c r="S591" s="36" t="n">
        <f aca="false">IF(OR($D591&lt;&gt;"销项开票",IFERROR(INDEX(单位档案!$G$6:$G$35,MATCH($E591,单位档案!$A$6:$A$35,0)),"")&lt;&gt;"是",N($Q591)=0),0,IF(IFERROR(INDEX(单位档案!$H$6:$H$35,MATCH($E591,单位档案!$A$6:$A$35,0)),"")="税差法",ROUND(N($H591)/(1+$Q591)*$Q591-IF(N($R591)=0,0,$P591/(1+$R591)*$R591),2),ROUND(N($H591)/(1+$Q591)*$Q591,2)))</f>
        <v>0</v>
      </c>
      <c r="T591" s="36" t="n">
        <f aca="false">ROUND($S591*N(IFERROR(INDEX(单位档案!$J$6:$J$35,MATCH($E591,单位档案!$A$6:$A$35,0)),"")),2)</f>
        <v>0</v>
      </c>
      <c r="U591" s="36" t="n">
        <f aca="false">IF($D591&lt;&gt;"销项开票",0,ROUND(N($H591)*N(IFERROR(INDEX(单位档案!$K$6:$K$35,MATCH($E591,单位档案!$A$6:$A$35,0)),"")),2))</f>
        <v>0</v>
      </c>
      <c r="V591" s="36" t="n">
        <f aca="false">IF(OR($D591&lt;&gt;"销项开票",N($Q591)=0),0,ROUND(N($H591)/(1+$Q591)*N(IFERROR(INDEX(单位档案!$L$6:$L$35,MATCH($E591,单位档案!$A$6:$A$35,0)),"")),2))</f>
        <v>0</v>
      </c>
      <c r="W591" s="36" t="n">
        <f aca="false">ROUND($S591+$T591+$U591+$V591,2)</f>
        <v>0</v>
      </c>
      <c r="X591" s="35" t="str">
        <f aca="false">IF(OR($D591="挂靠代收",$D591="我方收款"),COUNTIFS($D$5:$D591,"挂靠代收")+COUNTIFS($D$5:$D591,"我方收款"),"")</f>
        <v/>
      </c>
      <c r="Y591" s="35"/>
      <c r="Z591" s="21" t="s">
        <v>111</v>
      </c>
    </row>
    <row r="592" customFormat="false" ht="15.75" hidden="false" customHeight="true" outlineLevel="0" collapsed="false">
      <c r="A592" s="32" t="str">
        <f aca="false">IF($B592="","",ROW()-4)</f>
        <v/>
      </c>
      <c r="B592" s="26"/>
      <c r="C592" s="24"/>
      <c r="D592" s="21"/>
      <c r="E592" s="21"/>
      <c r="F592" s="21"/>
      <c r="G592" s="21"/>
      <c r="H592" s="27"/>
      <c r="I592" s="23" t="str">
        <f aca="false">IF($D592&lt;&gt;"销项开票","",IF($N592="一级",IF(IFERROR(INDEX(项目档案!$E$6:$E$255,MATCH($C592,项目档案!$A$6:$A$255,0)),"")="",N(IFERROR(INDEX(单位档案!$D$6:$D$35,MATCH($E592,单位档案!$A$6:$A$35,0)),"")),IFERROR(INDEX(项目档案!$E$6:$E$255,MATCH($C592,项目档案!$A$6:$A$255,0)),"")),IF($N592="二级",IF(IFERROR(INDEX(项目档案!$G$6:$G$255,MATCH($C592,项目档案!$A$6:$A$255,0)),"")="",N(IFERROR(INDEX(单位档案!$D$6:$D$35,MATCH($E592,单位档案!$A$6:$A$35,0)),"")),IFERROR(INDEX(项目档案!$G$6:$G$255,MATCH($C592,项目档案!$A$6:$A$255,0)),"")),N(IFERROR(INDEX(单位档案!$D$6:$D$35,MATCH($E592,单位档案!$A$6:$A$35,0)),"")))))</f>
        <v/>
      </c>
      <c r="J592" s="22"/>
      <c r="K592" s="22"/>
      <c r="L592" s="33" t="str">
        <f aca="false">IF($B592="","",IF(NOT(ISNUMBER($B592)),"日期格式不对",IF($C592="","未选项目编号",IF(LEFT($M592,1)="⚠","项目编号不存在",IF($D592="","未选业务类型",IF($E592="","未选开票/付款方",IF(ISNA(MATCH($E592,单位档案!$A$6:$A$35,0)),"开票方不在单位档案",IF($F592="","未选收票/收款方",IF(ISNA(MATCH($F592,单位档案!$A$6:$A$35,0)),"收款方不在单位档案",IF(NOT(ISNUMBER($H592)),"金额须为数字",IF(AND($D592="销项开票",$N592="—"),"链条待确认","√")))))))))))</f>
        <v/>
      </c>
      <c r="M592" s="34" t="str">
        <f aca="false">IF($C592="","",IFERROR(INDEX(项目档案!$B$6:$B$255,MATCH($C592,项目档案!$A$6:$A$255,0)),"⚠项目编号不存在"))</f>
        <v/>
      </c>
      <c r="N592" s="35" t="str">
        <f aca="false">IF($E592="","",IF($E592=IFERROR(INDEX(项目档案!$D$6:$D$255,MATCH($C592,项目档案!$A$6:$A$255,0)),""),"一级",IF($E592=IFERROR(INDEX(项目档案!$F$6:$F$255,MATCH($C592,项目档案!$A$6:$A$255,0)),""),"二级",IF($E592=IFERROR(INDEX(项目档案!$H$6:$H$255,MATCH($C592,项目档案!$A$6:$A$255,0)),""),"我方","—"))))</f>
        <v/>
      </c>
      <c r="O592" s="36" t="n">
        <f aca="false">IF($D592&lt;&gt;"销项开票",0,ROUND(N($H592)*N($I592),2))</f>
        <v>0</v>
      </c>
      <c r="P592" s="36" t="n">
        <f aca="false">IF($D592&lt;&gt;"销项开票",0,ROUND(N($H592)-$O592,2))</f>
        <v>0</v>
      </c>
      <c r="Q592" s="37" t="str">
        <f aca="false">IF($E592="","",N(IFERROR(INDEX(单位档案!$E$6:$E$35,MATCH($E592,单位档案!$A$6:$A$35,0)),"")))</f>
        <v/>
      </c>
      <c r="R592" s="37" t="str">
        <f aca="false">IF($E592="","",N(IFERROR(INDEX(单位档案!$F$6:$F$35,MATCH($E592,单位档案!$A$6:$A$35,0)),"")))</f>
        <v/>
      </c>
      <c r="S592" s="36" t="n">
        <f aca="false">IF(OR($D592&lt;&gt;"销项开票",IFERROR(INDEX(单位档案!$G$6:$G$35,MATCH($E592,单位档案!$A$6:$A$35,0)),"")&lt;&gt;"是",N($Q592)=0),0,IF(IFERROR(INDEX(单位档案!$H$6:$H$35,MATCH($E592,单位档案!$A$6:$A$35,0)),"")="税差法",ROUND(N($H592)/(1+$Q592)*$Q592-IF(N($R592)=0,0,$P592/(1+$R592)*$R592),2),ROUND(N($H592)/(1+$Q592)*$Q592,2)))</f>
        <v>0</v>
      </c>
      <c r="T592" s="36" t="n">
        <f aca="false">ROUND($S592*N(IFERROR(INDEX(单位档案!$J$6:$J$35,MATCH($E592,单位档案!$A$6:$A$35,0)),"")),2)</f>
        <v>0</v>
      </c>
      <c r="U592" s="36" t="n">
        <f aca="false">IF($D592&lt;&gt;"销项开票",0,ROUND(N($H592)*N(IFERROR(INDEX(单位档案!$K$6:$K$35,MATCH($E592,单位档案!$A$6:$A$35,0)),"")),2))</f>
        <v>0</v>
      </c>
      <c r="V592" s="36" t="n">
        <f aca="false">IF(OR($D592&lt;&gt;"销项开票",N($Q592)=0),0,ROUND(N($H592)/(1+$Q592)*N(IFERROR(INDEX(单位档案!$L$6:$L$35,MATCH($E592,单位档案!$A$6:$A$35,0)),"")),2))</f>
        <v>0</v>
      </c>
      <c r="W592" s="36" t="n">
        <f aca="false">ROUND($S592+$T592+$U592+$V592,2)</f>
        <v>0</v>
      </c>
      <c r="X592" s="35" t="str">
        <f aca="false">IF(OR($D592="挂靠代收",$D592="我方收款"),COUNTIFS($D$5:$D592,"挂靠代收")+COUNTIFS($D$5:$D592,"我方收款"),"")</f>
        <v/>
      </c>
      <c r="Y592" s="35"/>
      <c r="Z592" s="21" t="s">
        <v>111</v>
      </c>
    </row>
    <row r="593" customFormat="false" ht="15.75" hidden="false" customHeight="true" outlineLevel="0" collapsed="false">
      <c r="A593" s="32" t="str">
        <f aca="false">IF($B593="","",ROW()-4)</f>
        <v/>
      </c>
      <c r="B593" s="26"/>
      <c r="C593" s="24"/>
      <c r="D593" s="21"/>
      <c r="E593" s="21"/>
      <c r="F593" s="21"/>
      <c r="G593" s="21"/>
      <c r="H593" s="27"/>
      <c r="I593" s="23" t="str">
        <f aca="false">IF($D593&lt;&gt;"销项开票","",IF($N593="一级",IF(IFERROR(INDEX(项目档案!$E$6:$E$255,MATCH($C593,项目档案!$A$6:$A$255,0)),"")="",N(IFERROR(INDEX(单位档案!$D$6:$D$35,MATCH($E593,单位档案!$A$6:$A$35,0)),"")),IFERROR(INDEX(项目档案!$E$6:$E$255,MATCH($C593,项目档案!$A$6:$A$255,0)),"")),IF($N593="二级",IF(IFERROR(INDEX(项目档案!$G$6:$G$255,MATCH($C593,项目档案!$A$6:$A$255,0)),"")="",N(IFERROR(INDEX(单位档案!$D$6:$D$35,MATCH($E593,单位档案!$A$6:$A$35,0)),"")),IFERROR(INDEX(项目档案!$G$6:$G$255,MATCH($C593,项目档案!$A$6:$A$255,0)),"")),N(IFERROR(INDEX(单位档案!$D$6:$D$35,MATCH($E593,单位档案!$A$6:$A$35,0)),"")))))</f>
        <v/>
      </c>
      <c r="J593" s="22"/>
      <c r="K593" s="22"/>
      <c r="L593" s="33" t="str">
        <f aca="false">IF($B593="","",IF(NOT(ISNUMBER($B593)),"日期格式不对",IF($C593="","未选项目编号",IF(LEFT($M593,1)="⚠","项目编号不存在",IF($D593="","未选业务类型",IF($E593="","未选开票/付款方",IF(ISNA(MATCH($E593,单位档案!$A$6:$A$35,0)),"开票方不在单位档案",IF($F593="","未选收票/收款方",IF(ISNA(MATCH($F593,单位档案!$A$6:$A$35,0)),"收款方不在单位档案",IF(NOT(ISNUMBER($H593)),"金额须为数字",IF(AND($D593="销项开票",$N593="—"),"链条待确认","√")))))))))))</f>
        <v/>
      </c>
      <c r="M593" s="34" t="str">
        <f aca="false">IF($C593="","",IFERROR(INDEX(项目档案!$B$6:$B$255,MATCH($C593,项目档案!$A$6:$A$255,0)),"⚠项目编号不存在"))</f>
        <v/>
      </c>
      <c r="N593" s="35" t="str">
        <f aca="false">IF($E593="","",IF($E593=IFERROR(INDEX(项目档案!$D$6:$D$255,MATCH($C593,项目档案!$A$6:$A$255,0)),""),"一级",IF($E593=IFERROR(INDEX(项目档案!$F$6:$F$255,MATCH($C593,项目档案!$A$6:$A$255,0)),""),"二级",IF($E593=IFERROR(INDEX(项目档案!$H$6:$H$255,MATCH($C593,项目档案!$A$6:$A$255,0)),""),"我方","—"))))</f>
        <v/>
      </c>
      <c r="O593" s="36" t="n">
        <f aca="false">IF($D593&lt;&gt;"销项开票",0,ROUND(N($H593)*N($I593),2))</f>
        <v>0</v>
      </c>
      <c r="P593" s="36" t="n">
        <f aca="false">IF($D593&lt;&gt;"销项开票",0,ROUND(N($H593)-$O593,2))</f>
        <v>0</v>
      </c>
      <c r="Q593" s="37" t="str">
        <f aca="false">IF($E593="","",N(IFERROR(INDEX(单位档案!$E$6:$E$35,MATCH($E593,单位档案!$A$6:$A$35,0)),"")))</f>
        <v/>
      </c>
      <c r="R593" s="37" t="str">
        <f aca="false">IF($E593="","",N(IFERROR(INDEX(单位档案!$F$6:$F$35,MATCH($E593,单位档案!$A$6:$A$35,0)),"")))</f>
        <v/>
      </c>
      <c r="S593" s="36" t="n">
        <f aca="false">IF(OR($D593&lt;&gt;"销项开票",IFERROR(INDEX(单位档案!$G$6:$G$35,MATCH($E593,单位档案!$A$6:$A$35,0)),"")&lt;&gt;"是",N($Q593)=0),0,IF(IFERROR(INDEX(单位档案!$H$6:$H$35,MATCH($E593,单位档案!$A$6:$A$35,0)),"")="税差法",ROUND(N($H593)/(1+$Q593)*$Q593-IF(N($R593)=0,0,$P593/(1+$R593)*$R593),2),ROUND(N($H593)/(1+$Q593)*$Q593,2)))</f>
        <v>0</v>
      </c>
      <c r="T593" s="36" t="n">
        <f aca="false">ROUND($S593*N(IFERROR(INDEX(单位档案!$J$6:$J$35,MATCH($E593,单位档案!$A$6:$A$35,0)),"")),2)</f>
        <v>0</v>
      </c>
      <c r="U593" s="36" t="n">
        <f aca="false">IF($D593&lt;&gt;"销项开票",0,ROUND(N($H593)*N(IFERROR(INDEX(单位档案!$K$6:$K$35,MATCH($E593,单位档案!$A$6:$A$35,0)),"")),2))</f>
        <v>0</v>
      </c>
      <c r="V593" s="36" t="n">
        <f aca="false">IF(OR($D593&lt;&gt;"销项开票",N($Q593)=0),0,ROUND(N($H593)/(1+$Q593)*N(IFERROR(INDEX(单位档案!$L$6:$L$35,MATCH($E593,单位档案!$A$6:$A$35,0)),"")),2))</f>
        <v>0</v>
      </c>
      <c r="W593" s="36" t="n">
        <f aca="false">ROUND($S593+$T593+$U593+$V593,2)</f>
        <v>0</v>
      </c>
      <c r="X593" s="35" t="str">
        <f aca="false">IF(OR($D593="挂靠代收",$D593="我方收款"),COUNTIFS($D$5:$D593,"挂靠代收")+COUNTIFS($D$5:$D593,"我方收款"),"")</f>
        <v/>
      </c>
      <c r="Y593" s="35"/>
      <c r="Z593" s="21" t="s">
        <v>111</v>
      </c>
    </row>
    <row r="594" customFormat="false" ht="15.75" hidden="false" customHeight="true" outlineLevel="0" collapsed="false">
      <c r="A594" s="32" t="str">
        <f aca="false">IF($B594="","",ROW()-4)</f>
        <v/>
      </c>
      <c r="B594" s="26"/>
      <c r="C594" s="24"/>
      <c r="D594" s="21"/>
      <c r="E594" s="21"/>
      <c r="F594" s="21"/>
      <c r="G594" s="21"/>
      <c r="H594" s="27"/>
      <c r="I594" s="23" t="str">
        <f aca="false">IF($D594&lt;&gt;"销项开票","",IF($N594="一级",IF(IFERROR(INDEX(项目档案!$E$6:$E$255,MATCH($C594,项目档案!$A$6:$A$255,0)),"")="",N(IFERROR(INDEX(单位档案!$D$6:$D$35,MATCH($E594,单位档案!$A$6:$A$35,0)),"")),IFERROR(INDEX(项目档案!$E$6:$E$255,MATCH($C594,项目档案!$A$6:$A$255,0)),"")),IF($N594="二级",IF(IFERROR(INDEX(项目档案!$G$6:$G$255,MATCH($C594,项目档案!$A$6:$A$255,0)),"")="",N(IFERROR(INDEX(单位档案!$D$6:$D$35,MATCH($E594,单位档案!$A$6:$A$35,0)),"")),IFERROR(INDEX(项目档案!$G$6:$G$255,MATCH($C594,项目档案!$A$6:$A$255,0)),"")),N(IFERROR(INDEX(单位档案!$D$6:$D$35,MATCH($E594,单位档案!$A$6:$A$35,0)),"")))))</f>
        <v/>
      </c>
      <c r="J594" s="22"/>
      <c r="K594" s="22"/>
      <c r="L594" s="33" t="str">
        <f aca="false">IF($B594="","",IF(NOT(ISNUMBER($B594)),"日期格式不对",IF($C594="","未选项目编号",IF(LEFT($M594,1)="⚠","项目编号不存在",IF($D594="","未选业务类型",IF($E594="","未选开票/付款方",IF(ISNA(MATCH($E594,单位档案!$A$6:$A$35,0)),"开票方不在单位档案",IF($F594="","未选收票/收款方",IF(ISNA(MATCH($F594,单位档案!$A$6:$A$35,0)),"收款方不在单位档案",IF(NOT(ISNUMBER($H594)),"金额须为数字",IF(AND($D594="销项开票",$N594="—"),"链条待确认","√")))))))))))</f>
        <v/>
      </c>
      <c r="M594" s="34" t="str">
        <f aca="false">IF($C594="","",IFERROR(INDEX(项目档案!$B$6:$B$255,MATCH($C594,项目档案!$A$6:$A$255,0)),"⚠项目编号不存在"))</f>
        <v/>
      </c>
      <c r="N594" s="35" t="str">
        <f aca="false">IF($E594="","",IF($E594=IFERROR(INDEX(项目档案!$D$6:$D$255,MATCH($C594,项目档案!$A$6:$A$255,0)),""),"一级",IF($E594=IFERROR(INDEX(项目档案!$F$6:$F$255,MATCH($C594,项目档案!$A$6:$A$255,0)),""),"二级",IF($E594=IFERROR(INDEX(项目档案!$H$6:$H$255,MATCH($C594,项目档案!$A$6:$A$255,0)),""),"我方","—"))))</f>
        <v/>
      </c>
      <c r="O594" s="36" t="n">
        <f aca="false">IF($D594&lt;&gt;"销项开票",0,ROUND(N($H594)*N($I594),2))</f>
        <v>0</v>
      </c>
      <c r="P594" s="36" t="n">
        <f aca="false">IF($D594&lt;&gt;"销项开票",0,ROUND(N($H594)-$O594,2))</f>
        <v>0</v>
      </c>
      <c r="Q594" s="37" t="str">
        <f aca="false">IF($E594="","",N(IFERROR(INDEX(单位档案!$E$6:$E$35,MATCH($E594,单位档案!$A$6:$A$35,0)),"")))</f>
        <v/>
      </c>
      <c r="R594" s="37" t="str">
        <f aca="false">IF($E594="","",N(IFERROR(INDEX(单位档案!$F$6:$F$35,MATCH($E594,单位档案!$A$6:$A$35,0)),"")))</f>
        <v/>
      </c>
      <c r="S594" s="36" t="n">
        <f aca="false">IF(OR($D594&lt;&gt;"销项开票",IFERROR(INDEX(单位档案!$G$6:$G$35,MATCH($E594,单位档案!$A$6:$A$35,0)),"")&lt;&gt;"是",N($Q594)=0),0,IF(IFERROR(INDEX(单位档案!$H$6:$H$35,MATCH($E594,单位档案!$A$6:$A$35,0)),"")="税差法",ROUND(N($H594)/(1+$Q594)*$Q594-IF(N($R594)=0,0,$P594/(1+$R594)*$R594),2),ROUND(N($H594)/(1+$Q594)*$Q594,2)))</f>
        <v>0</v>
      </c>
      <c r="T594" s="36" t="n">
        <f aca="false">ROUND($S594*N(IFERROR(INDEX(单位档案!$J$6:$J$35,MATCH($E594,单位档案!$A$6:$A$35,0)),"")),2)</f>
        <v>0</v>
      </c>
      <c r="U594" s="36" t="n">
        <f aca="false">IF($D594&lt;&gt;"销项开票",0,ROUND(N($H594)*N(IFERROR(INDEX(单位档案!$K$6:$K$35,MATCH($E594,单位档案!$A$6:$A$35,0)),"")),2))</f>
        <v>0</v>
      </c>
      <c r="V594" s="36" t="n">
        <f aca="false">IF(OR($D594&lt;&gt;"销项开票",N($Q594)=0),0,ROUND(N($H594)/(1+$Q594)*N(IFERROR(INDEX(单位档案!$L$6:$L$35,MATCH($E594,单位档案!$A$6:$A$35,0)),"")),2))</f>
        <v>0</v>
      </c>
      <c r="W594" s="36" t="n">
        <f aca="false">ROUND($S594+$T594+$U594+$V594,2)</f>
        <v>0</v>
      </c>
      <c r="X594" s="35" t="str">
        <f aca="false">IF(OR($D594="挂靠代收",$D594="我方收款"),COUNTIFS($D$5:$D594,"挂靠代收")+COUNTIFS($D$5:$D594,"我方收款"),"")</f>
        <v/>
      </c>
      <c r="Y594" s="35"/>
      <c r="Z594" s="21" t="s">
        <v>111</v>
      </c>
    </row>
    <row r="595" customFormat="false" ht="15.75" hidden="false" customHeight="true" outlineLevel="0" collapsed="false">
      <c r="A595" s="32" t="str">
        <f aca="false">IF($B595="","",ROW()-4)</f>
        <v/>
      </c>
      <c r="B595" s="26"/>
      <c r="C595" s="24"/>
      <c r="D595" s="21"/>
      <c r="E595" s="21"/>
      <c r="F595" s="21"/>
      <c r="G595" s="21"/>
      <c r="H595" s="27"/>
      <c r="I595" s="23" t="str">
        <f aca="false">IF($D595&lt;&gt;"销项开票","",IF($N595="一级",IF(IFERROR(INDEX(项目档案!$E$6:$E$255,MATCH($C595,项目档案!$A$6:$A$255,0)),"")="",N(IFERROR(INDEX(单位档案!$D$6:$D$35,MATCH($E595,单位档案!$A$6:$A$35,0)),"")),IFERROR(INDEX(项目档案!$E$6:$E$255,MATCH($C595,项目档案!$A$6:$A$255,0)),"")),IF($N595="二级",IF(IFERROR(INDEX(项目档案!$G$6:$G$255,MATCH($C595,项目档案!$A$6:$A$255,0)),"")="",N(IFERROR(INDEX(单位档案!$D$6:$D$35,MATCH($E595,单位档案!$A$6:$A$35,0)),"")),IFERROR(INDEX(项目档案!$G$6:$G$255,MATCH($C595,项目档案!$A$6:$A$255,0)),"")),N(IFERROR(INDEX(单位档案!$D$6:$D$35,MATCH($E595,单位档案!$A$6:$A$35,0)),"")))))</f>
        <v/>
      </c>
      <c r="J595" s="22"/>
      <c r="K595" s="22"/>
      <c r="L595" s="33" t="str">
        <f aca="false">IF($B595="","",IF(NOT(ISNUMBER($B595)),"日期格式不对",IF($C595="","未选项目编号",IF(LEFT($M595,1)="⚠","项目编号不存在",IF($D595="","未选业务类型",IF($E595="","未选开票/付款方",IF(ISNA(MATCH($E595,单位档案!$A$6:$A$35,0)),"开票方不在单位档案",IF($F595="","未选收票/收款方",IF(ISNA(MATCH($F595,单位档案!$A$6:$A$35,0)),"收款方不在单位档案",IF(NOT(ISNUMBER($H595)),"金额须为数字",IF(AND($D595="销项开票",$N595="—"),"链条待确认","√")))))))))))</f>
        <v/>
      </c>
      <c r="M595" s="34" t="str">
        <f aca="false">IF($C595="","",IFERROR(INDEX(项目档案!$B$6:$B$255,MATCH($C595,项目档案!$A$6:$A$255,0)),"⚠项目编号不存在"))</f>
        <v/>
      </c>
      <c r="N595" s="35" t="str">
        <f aca="false">IF($E595="","",IF($E595=IFERROR(INDEX(项目档案!$D$6:$D$255,MATCH($C595,项目档案!$A$6:$A$255,0)),""),"一级",IF($E595=IFERROR(INDEX(项目档案!$F$6:$F$255,MATCH($C595,项目档案!$A$6:$A$255,0)),""),"二级",IF($E595=IFERROR(INDEX(项目档案!$H$6:$H$255,MATCH($C595,项目档案!$A$6:$A$255,0)),""),"我方","—"))))</f>
        <v/>
      </c>
      <c r="O595" s="36" t="n">
        <f aca="false">IF($D595&lt;&gt;"销项开票",0,ROUND(N($H595)*N($I595),2))</f>
        <v>0</v>
      </c>
      <c r="P595" s="36" t="n">
        <f aca="false">IF($D595&lt;&gt;"销项开票",0,ROUND(N($H595)-$O595,2))</f>
        <v>0</v>
      </c>
      <c r="Q595" s="37" t="str">
        <f aca="false">IF($E595="","",N(IFERROR(INDEX(单位档案!$E$6:$E$35,MATCH($E595,单位档案!$A$6:$A$35,0)),"")))</f>
        <v/>
      </c>
      <c r="R595" s="37" t="str">
        <f aca="false">IF($E595="","",N(IFERROR(INDEX(单位档案!$F$6:$F$35,MATCH($E595,单位档案!$A$6:$A$35,0)),"")))</f>
        <v/>
      </c>
      <c r="S595" s="36" t="n">
        <f aca="false">IF(OR($D595&lt;&gt;"销项开票",IFERROR(INDEX(单位档案!$G$6:$G$35,MATCH($E595,单位档案!$A$6:$A$35,0)),"")&lt;&gt;"是",N($Q595)=0),0,IF(IFERROR(INDEX(单位档案!$H$6:$H$35,MATCH($E595,单位档案!$A$6:$A$35,0)),"")="税差法",ROUND(N($H595)/(1+$Q595)*$Q595-IF(N($R595)=0,0,$P595/(1+$R595)*$R595),2),ROUND(N($H595)/(1+$Q595)*$Q595,2)))</f>
        <v>0</v>
      </c>
      <c r="T595" s="36" t="n">
        <f aca="false">ROUND($S595*N(IFERROR(INDEX(单位档案!$J$6:$J$35,MATCH($E595,单位档案!$A$6:$A$35,0)),"")),2)</f>
        <v>0</v>
      </c>
      <c r="U595" s="36" t="n">
        <f aca="false">IF($D595&lt;&gt;"销项开票",0,ROUND(N($H595)*N(IFERROR(INDEX(单位档案!$K$6:$K$35,MATCH($E595,单位档案!$A$6:$A$35,0)),"")),2))</f>
        <v>0</v>
      </c>
      <c r="V595" s="36" t="n">
        <f aca="false">IF(OR($D595&lt;&gt;"销项开票",N($Q595)=0),0,ROUND(N($H595)/(1+$Q595)*N(IFERROR(INDEX(单位档案!$L$6:$L$35,MATCH($E595,单位档案!$A$6:$A$35,0)),"")),2))</f>
        <v>0</v>
      </c>
      <c r="W595" s="36" t="n">
        <f aca="false">ROUND($S595+$T595+$U595+$V595,2)</f>
        <v>0</v>
      </c>
      <c r="X595" s="35" t="str">
        <f aca="false">IF(OR($D595="挂靠代收",$D595="我方收款"),COUNTIFS($D$5:$D595,"挂靠代收")+COUNTIFS($D$5:$D595,"我方收款"),"")</f>
        <v/>
      </c>
      <c r="Y595" s="35"/>
      <c r="Z595" s="21" t="s">
        <v>111</v>
      </c>
    </row>
    <row r="596" customFormat="false" ht="15.75" hidden="false" customHeight="true" outlineLevel="0" collapsed="false">
      <c r="A596" s="32" t="str">
        <f aca="false">IF($B596="","",ROW()-4)</f>
        <v/>
      </c>
      <c r="B596" s="26"/>
      <c r="C596" s="24"/>
      <c r="D596" s="21"/>
      <c r="E596" s="21"/>
      <c r="F596" s="21"/>
      <c r="G596" s="21"/>
      <c r="H596" s="27"/>
      <c r="I596" s="23" t="str">
        <f aca="false">IF($D596&lt;&gt;"销项开票","",IF($N596="一级",IF(IFERROR(INDEX(项目档案!$E$6:$E$255,MATCH($C596,项目档案!$A$6:$A$255,0)),"")="",N(IFERROR(INDEX(单位档案!$D$6:$D$35,MATCH($E596,单位档案!$A$6:$A$35,0)),"")),IFERROR(INDEX(项目档案!$E$6:$E$255,MATCH($C596,项目档案!$A$6:$A$255,0)),"")),IF($N596="二级",IF(IFERROR(INDEX(项目档案!$G$6:$G$255,MATCH($C596,项目档案!$A$6:$A$255,0)),"")="",N(IFERROR(INDEX(单位档案!$D$6:$D$35,MATCH($E596,单位档案!$A$6:$A$35,0)),"")),IFERROR(INDEX(项目档案!$G$6:$G$255,MATCH($C596,项目档案!$A$6:$A$255,0)),"")),N(IFERROR(INDEX(单位档案!$D$6:$D$35,MATCH($E596,单位档案!$A$6:$A$35,0)),"")))))</f>
        <v/>
      </c>
      <c r="J596" s="22"/>
      <c r="K596" s="22"/>
      <c r="L596" s="33" t="str">
        <f aca="false">IF($B596="","",IF(NOT(ISNUMBER($B596)),"日期格式不对",IF($C596="","未选项目编号",IF(LEFT($M596,1)="⚠","项目编号不存在",IF($D596="","未选业务类型",IF($E596="","未选开票/付款方",IF(ISNA(MATCH($E596,单位档案!$A$6:$A$35,0)),"开票方不在单位档案",IF($F596="","未选收票/收款方",IF(ISNA(MATCH($F596,单位档案!$A$6:$A$35,0)),"收款方不在单位档案",IF(NOT(ISNUMBER($H596)),"金额须为数字",IF(AND($D596="销项开票",$N596="—"),"链条待确认","√")))))))))))</f>
        <v/>
      </c>
      <c r="M596" s="34" t="str">
        <f aca="false">IF($C596="","",IFERROR(INDEX(项目档案!$B$6:$B$255,MATCH($C596,项目档案!$A$6:$A$255,0)),"⚠项目编号不存在"))</f>
        <v/>
      </c>
      <c r="N596" s="35" t="str">
        <f aca="false">IF($E596="","",IF($E596=IFERROR(INDEX(项目档案!$D$6:$D$255,MATCH($C596,项目档案!$A$6:$A$255,0)),""),"一级",IF($E596=IFERROR(INDEX(项目档案!$F$6:$F$255,MATCH($C596,项目档案!$A$6:$A$255,0)),""),"二级",IF($E596=IFERROR(INDEX(项目档案!$H$6:$H$255,MATCH($C596,项目档案!$A$6:$A$255,0)),""),"我方","—"))))</f>
        <v/>
      </c>
      <c r="O596" s="36" t="n">
        <f aca="false">IF($D596&lt;&gt;"销项开票",0,ROUND(N($H596)*N($I596),2))</f>
        <v>0</v>
      </c>
      <c r="P596" s="36" t="n">
        <f aca="false">IF($D596&lt;&gt;"销项开票",0,ROUND(N($H596)-$O596,2))</f>
        <v>0</v>
      </c>
      <c r="Q596" s="37" t="str">
        <f aca="false">IF($E596="","",N(IFERROR(INDEX(单位档案!$E$6:$E$35,MATCH($E596,单位档案!$A$6:$A$35,0)),"")))</f>
        <v/>
      </c>
      <c r="R596" s="37" t="str">
        <f aca="false">IF($E596="","",N(IFERROR(INDEX(单位档案!$F$6:$F$35,MATCH($E596,单位档案!$A$6:$A$35,0)),"")))</f>
        <v/>
      </c>
      <c r="S596" s="36" t="n">
        <f aca="false">IF(OR($D596&lt;&gt;"销项开票",IFERROR(INDEX(单位档案!$G$6:$G$35,MATCH($E596,单位档案!$A$6:$A$35,0)),"")&lt;&gt;"是",N($Q596)=0),0,IF(IFERROR(INDEX(单位档案!$H$6:$H$35,MATCH($E596,单位档案!$A$6:$A$35,0)),"")="税差法",ROUND(N($H596)/(1+$Q596)*$Q596-IF(N($R596)=0,0,$P596/(1+$R596)*$R596),2),ROUND(N($H596)/(1+$Q596)*$Q596,2)))</f>
        <v>0</v>
      </c>
      <c r="T596" s="36" t="n">
        <f aca="false">ROUND($S596*N(IFERROR(INDEX(单位档案!$J$6:$J$35,MATCH($E596,单位档案!$A$6:$A$35,0)),"")),2)</f>
        <v>0</v>
      </c>
      <c r="U596" s="36" t="n">
        <f aca="false">IF($D596&lt;&gt;"销项开票",0,ROUND(N($H596)*N(IFERROR(INDEX(单位档案!$K$6:$K$35,MATCH($E596,单位档案!$A$6:$A$35,0)),"")),2))</f>
        <v>0</v>
      </c>
      <c r="V596" s="36" t="n">
        <f aca="false">IF(OR($D596&lt;&gt;"销项开票",N($Q596)=0),0,ROUND(N($H596)/(1+$Q596)*N(IFERROR(INDEX(单位档案!$L$6:$L$35,MATCH($E596,单位档案!$A$6:$A$35,0)),"")),2))</f>
        <v>0</v>
      </c>
      <c r="W596" s="36" t="n">
        <f aca="false">ROUND($S596+$T596+$U596+$V596,2)</f>
        <v>0</v>
      </c>
      <c r="X596" s="35" t="str">
        <f aca="false">IF(OR($D596="挂靠代收",$D596="我方收款"),COUNTIFS($D$5:$D596,"挂靠代收")+COUNTIFS($D$5:$D596,"我方收款"),"")</f>
        <v/>
      </c>
      <c r="Y596" s="35"/>
      <c r="Z596" s="21" t="s">
        <v>111</v>
      </c>
    </row>
    <row r="597" customFormat="false" ht="15.75" hidden="false" customHeight="true" outlineLevel="0" collapsed="false">
      <c r="A597" s="32" t="str">
        <f aca="false">IF($B597="","",ROW()-4)</f>
        <v/>
      </c>
      <c r="B597" s="26"/>
      <c r="C597" s="24"/>
      <c r="D597" s="21"/>
      <c r="E597" s="21"/>
      <c r="F597" s="21"/>
      <c r="G597" s="21"/>
      <c r="H597" s="27"/>
      <c r="I597" s="23" t="str">
        <f aca="false">IF($D597&lt;&gt;"销项开票","",IF($N597="一级",IF(IFERROR(INDEX(项目档案!$E$6:$E$255,MATCH($C597,项目档案!$A$6:$A$255,0)),"")="",N(IFERROR(INDEX(单位档案!$D$6:$D$35,MATCH($E597,单位档案!$A$6:$A$35,0)),"")),IFERROR(INDEX(项目档案!$E$6:$E$255,MATCH($C597,项目档案!$A$6:$A$255,0)),"")),IF($N597="二级",IF(IFERROR(INDEX(项目档案!$G$6:$G$255,MATCH($C597,项目档案!$A$6:$A$255,0)),"")="",N(IFERROR(INDEX(单位档案!$D$6:$D$35,MATCH($E597,单位档案!$A$6:$A$35,0)),"")),IFERROR(INDEX(项目档案!$G$6:$G$255,MATCH($C597,项目档案!$A$6:$A$255,0)),"")),N(IFERROR(INDEX(单位档案!$D$6:$D$35,MATCH($E597,单位档案!$A$6:$A$35,0)),"")))))</f>
        <v/>
      </c>
      <c r="J597" s="22"/>
      <c r="K597" s="22"/>
      <c r="L597" s="33" t="str">
        <f aca="false">IF($B597="","",IF(NOT(ISNUMBER($B597)),"日期格式不对",IF($C597="","未选项目编号",IF(LEFT($M597,1)="⚠","项目编号不存在",IF($D597="","未选业务类型",IF($E597="","未选开票/付款方",IF(ISNA(MATCH($E597,单位档案!$A$6:$A$35,0)),"开票方不在单位档案",IF($F597="","未选收票/收款方",IF(ISNA(MATCH($F597,单位档案!$A$6:$A$35,0)),"收款方不在单位档案",IF(NOT(ISNUMBER($H597)),"金额须为数字",IF(AND($D597="销项开票",$N597="—"),"链条待确认","√")))))))))))</f>
        <v/>
      </c>
      <c r="M597" s="34" t="str">
        <f aca="false">IF($C597="","",IFERROR(INDEX(项目档案!$B$6:$B$255,MATCH($C597,项目档案!$A$6:$A$255,0)),"⚠项目编号不存在"))</f>
        <v/>
      </c>
      <c r="N597" s="35" t="str">
        <f aca="false">IF($E597="","",IF($E597=IFERROR(INDEX(项目档案!$D$6:$D$255,MATCH($C597,项目档案!$A$6:$A$255,0)),""),"一级",IF($E597=IFERROR(INDEX(项目档案!$F$6:$F$255,MATCH($C597,项目档案!$A$6:$A$255,0)),""),"二级",IF($E597=IFERROR(INDEX(项目档案!$H$6:$H$255,MATCH($C597,项目档案!$A$6:$A$255,0)),""),"我方","—"))))</f>
        <v/>
      </c>
      <c r="O597" s="36" t="n">
        <f aca="false">IF($D597&lt;&gt;"销项开票",0,ROUND(N($H597)*N($I597),2))</f>
        <v>0</v>
      </c>
      <c r="P597" s="36" t="n">
        <f aca="false">IF($D597&lt;&gt;"销项开票",0,ROUND(N($H597)-$O597,2))</f>
        <v>0</v>
      </c>
      <c r="Q597" s="37" t="str">
        <f aca="false">IF($E597="","",N(IFERROR(INDEX(单位档案!$E$6:$E$35,MATCH($E597,单位档案!$A$6:$A$35,0)),"")))</f>
        <v/>
      </c>
      <c r="R597" s="37" t="str">
        <f aca="false">IF($E597="","",N(IFERROR(INDEX(单位档案!$F$6:$F$35,MATCH($E597,单位档案!$A$6:$A$35,0)),"")))</f>
        <v/>
      </c>
      <c r="S597" s="36" t="n">
        <f aca="false">IF(OR($D597&lt;&gt;"销项开票",IFERROR(INDEX(单位档案!$G$6:$G$35,MATCH($E597,单位档案!$A$6:$A$35,0)),"")&lt;&gt;"是",N($Q597)=0),0,IF(IFERROR(INDEX(单位档案!$H$6:$H$35,MATCH($E597,单位档案!$A$6:$A$35,0)),"")="税差法",ROUND(N($H597)/(1+$Q597)*$Q597-IF(N($R597)=0,0,$P597/(1+$R597)*$R597),2),ROUND(N($H597)/(1+$Q597)*$Q597,2)))</f>
        <v>0</v>
      </c>
      <c r="T597" s="36" t="n">
        <f aca="false">ROUND($S597*N(IFERROR(INDEX(单位档案!$J$6:$J$35,MATCH($E597,单位档案!$A$6:$A$35,0)),"")),2)</f>
        <v>0</v>
      </c>
      <c r="U597" s="36" t="n">
        <f aca="false">IF($D597&lt;&gt;"销项开票",0,ROUND(N($H597)*N(IFERROR(INDEX(单位档案!$K$6:$K$35,MATCH($E597,单位档案!$A$6:$A$35,0)),"")),2))</f>
        <v>0</v>
      </c>
      <c r="V597" s="36" t="n">
        <f aca="false">IF(OR($D597&lt;&gt;"销项开票",N($Q597)=0),0,ROUND(N($H597)/(1+$Q597)*N(IFERROR(INDEX(单位档案!$L$6:$L$35,MATCH($E597,单位档案!$A$6:$A$35,0)),"")),2))</f>
        <v>0</v>
      </c>
      <c r="W597" s="36" t="n">
        <f aca="false">ROUND($S597+$T597+$U597+$V597,2)</f>
        <v>0</v>
      </c>
      <c r="X597" s="35" t="str">
        <f aca="false">IF(OR($D597="挂靠代收",$D597="我方收款"),COUNTIFS($D$5:$D597,"挂靠代收")+COUNTIFS($D$5:$D597,"我方收款"),"")</f>
        <v/>
      </c>
      <c r="Y597" s="35"/>
      <c r="Z597" s="21" t="s">
        <v>111</v>
      </c>
    </row>
    <row r="598" customFormat="false" ht="15.75" hidden="false" customHeight="true" outlineLevel="0" collapsed="false">
      <c r="A598" s="32" t="str">
        <f aca="false">IF($B598="","",ROW()-4)</f>
        <v/>
      </c>
      <c r="B598" s="26"/>
      <c r="C598" s="24"/>
      <c r="D598" s="21"/>
      <c r="E598" s="21"/>
      <c r="F598" s="21"/>
      <c r="G598" s="21"/>
      <c r="H598" s="27"/>
      <c r="I598" s="23" t="str">
        <f aca="false">IF($D598&lt;&gt;"销项开票","",IF($N598="一级",IF(IFERROR(INDEX(项目档案!$E$6:$E$255,MATCH($C598,项目档案!$A$6:$A$255,0)),"")="",N(IFERROR(INDEX(单位档案!$D$6:$D$35,MATCH($E598,单位档案!$A$6:$A$35,0)),"")),IFERROR(INDEX(项目档案!$E$6:$E$255,MATCH($C598,项目档案!$A$6:$A$255,0)),"")),IF($N598="二级",IF(IFERROR(INDEX(项目档案!$G$6:$G$255,MATCH($C598,项目档案!$A$6:$A$255,0)),"")="",N(IFERROR(INDEX(单位档案!$D$6:$D$35,MATCH($E598,单位档案!$A$6:$A$35,0)),"")),IFERROR(INDEX(项目档案!$G$6:$G$255,MATCH($C598,项目档案!$A$6:$A$255,0)),"")),N(IFERROR(INDEX(单位档案!$D$6:$D$35,MATCH($E598,单位档案!$A$6:$A$35,0)),"")))))</f>
        <v/>
      </c>
      <c r="J598" s="22"/>
      <c r="K598" s="22"/>
      <c r="L598" s="33" t="str">
        <f aca="false">IF($B598="","",IF(NOT(ISNUMBER($B598)),"日期格式不对",IF($C598="","未选项目编号",IF(LEFT($M598,1)="⚠","项目编号不存在",IF($D598="","未选业务类型",IF($E598="","未选开票/付款方",IF(ISNA(MATCH($E598,单位档案!$A$6:$A$35,0)),"开票方不在单位档案",IF($F598="","未选收票/收款方",IF(ISNA(MATCH($F598,单位档案!$A$6:$A$35,0)),"收款方不在单位档案",IF(NOT(ISNUMBER($H598)),"金额须为数字",IF(AND($D598="销项开票",$N598="—"),"链条待确认","√")))))))))))</f>
        <v/>
      </c>
      <c r="M598" s="34" t="str">
        <f aca="false">IF($C598="","",IFERROR(INDEX(项目档案!$B$6:$B$255,MATCH($C598,项目档案!$A$6:$A$255,0)),"⚠项目编号不存在"))</f>
        <v/>
      </c>
      <c r="N598" s="35" t="str">
        <f aca="false">IF($E598="","",IF($E598=IFERROR(INDEX(项目档案!$D$6:$D$255,MATCH($C598,项目档案!$A$6:$A$255,0)),""),"一级",IF($E598=IFERROR(INDEX(项目档案!$F$6:$F$255,MATCH($C598,项目档案!$A$6:$A$255,0)),""),"二级",IF($E598=IFERROR(INDEX(项目档案!$H$6:$H$255,MATCH($C598,项目档案!$A$6:$A$255,0)),""),"我方","—"))))</f>
        <v/>
      </c>
      <c r="O598" s="36" t="n">
        <f aca="false">IF($D598&lt;&gt;"销项开票",0,ROUND(N($H598)*N($I598),2))</f>
        <v>0</v>
      </c>
      <c r="P598" s="36" t="n">
        <f aca="false">IF($D598&lt;&gt;"销项开票",0,ROUND(N($H598)-$O598,2))</f>
        <v>0</v>
      </c>
      <c r="Q598" s="37" t="str">
        <f aca="false">IF($E598="","",N(IFERROR(INDEX(单位档案!$E$6:$E$35,MATCH($E598,单位档案!$A$6:$A$35,0)),"")))</f>
        <v/>
      </c>
      <c r="R598" s="37" t="str">
        <f aca="false">IF($E598="","",N(IFERROR(INDEX(单位档案!$F$6:$F$35,MATCH($E598,单位档案!$A$6:$A$35,0)),"")))</f>
        <v/>
      </c>
      <c r="S598" s="36" t="n">
        <f aca="false">IF(OR($D598&lt;&gt;"销项开票",IFERROR(INDEX(单位档案!$G$6:$G$35,MATCH($E598,单位档案!$A$6:$A$35,0)),"")&lt;&gt;"是",N($Q598)=0),0,IF(IFERROR(INDEX(单位档案!$H$6:$H$35,MATCH($E598,单位档案!$A$6:$A$35,0)),"")="税差法",ROUND(N($H598)/(1+$Q598)*$Q598-IF(N($R598)=0,0,$P598/(1+$R598)*$R598),2),ROUND(N($H598)/(1+$Q598)*$Q598,2)))</f>
        <v>0</v>
      </c>
      <c r="T598" s="36" t="n">
        <f aca="false">ROUND($S598*N(IFERROR(INDEX(单位档案!$J$6:$J$35,MATCH($E598,单位档案!$A$6:$A$35,0)),"")),2)</f>
        <v>0</v>
      </c>
      <c r="U598" s="36" t="n">
        <f aca="false">IF($D598&lt;&gt;"销项开票",0,ROUND(N($H598)*N(IFERROR(INDEX(单位档案!$K$6:$K$35,MATCH($E598,单位档案!$A$6:$A$35,0)),"")),2))</f>
        <v>0</v>
      </c>
      <c r="V598" s="36" t="n">
        <f aca="false">IF(OR($D598&lt;&gt;"销项开票",N($Q598)=0),0,ROUND(N($H598)/(1+$Q598)*N(IFERROR(INDEX(单位档案!$L$6:$L$35,MATCH($E598,单位档案!$A$6:$A$35,0)),"")),2))</f>
        <v>0</v>
      </c>
      <c r="W598" s="36" t="n">
        <f aca="false">ROUND($S598+$T598+$U598+$V598,2)</f>
        <v>0</v>
      </c>
      <c r="X598" s="35" t="str">
        <f aca="false">IF(OR($D598="挂靠代收",$D598="我方收款"),COUNTIFS($D$5:$D598,"挂靠代收")+COUNTIFS($D$5:$D598,"我方收款"),"")</f>
        <v/>
      </c>
      <c r="Y598" s="35"/>
      <c r="Z598" s="21" t="s">
        <v>111</v>
      </c>
    </row>
    <row r="599" customFormat="false" ht="15.75" hidden="false" customHeight="true" outlineLevel="0" collapsed="false">
      <c r="A599" s="32" t="str">
        <f aca="false">IF($B599="","",ROW()-4)</f>
        <v/>
      </c>
      <c r="B599" s="26"/>
      <c r="C599" s="24"/>
      <c r="D599" s="21"/>
      <c r="E599" s="21"/>
      <c r="F599" s="21"/>
      <c r="G599" s="21"/>
      <c r="H599" s="27"/>
      <c r="I599" s="23" t="str">
        <f aca="false">IF($D599&lt;&gt;"销项开票","",IF($N599="一级",IF(IFERROR(INDEX(项目档案!$E$6:$E$255,MATCH($C599,项目档案!$A$6:$A$255,0)),"")="",N(IFERROR(INDEX(单位档案!$D$6:$D$35,MATCH($E599,单位档案!$A$6:$A$35,0)),"")),IFERROR(INDEX(项目档案!$E$6:$E$255,MATCH($C599,项目档案!$A$6:$A$255,0)),"")),IF($N599="二级",IF(IFERROR(INDEX(项目档案!$G$6:$G$255,MATCH($C599,项目档案!$A$6:$A$255,0)),"")="",N(IFERROR(INDEX(单位档案!$D$6:$D$35,MATCH($E599,单位档案!$A$6:$A$35,0)),"")),IFERROR(INDEX(项目档案!$G$6:$G$255,MATCH($C599,项目档案!$A$6:$A$255,0)),"")),N(IFERROR(INDEX(单位档案!$D$6:$D$35,MATCH($E599,单位档案!$A$6:$A$35,0)),"")))))</f>
        <v/>
      </c>
      <c r="J599" s="22"/>
      <c r="K599" s="22"/>
      <c r="L599" s="33" t="str">
        <f aca="false">IF($B599="","",IF(NOT(ISNUMBER($B599)),"日期格式不对",IF($C599="","未选项目编号",IF(LEFT($M599,1)="⚠","项目编号不存在",IF($D599="","未选业务类型",IF($E599="","未选开票/付款方",IF(ISNA(MATCH($E599,单位档案!$A$6:$A$35,0)),"开票方不在单位档案",IF($F599="","未选收票/收款方",IF(ISNA(MATCH($F599,单位档案!$A$6:$A$35,0)),"收款方不在单位档案",IF(NOT(ISNUMBER($H599)),"金额须为数字",IF(AND($D599="销项开票",$N599="—"),"链条待确认","√")))))))))))</f>
        <v/>
      </c>
      <c r="M599" s="34" t="str">
        <f aca="false">IF($C599="","",IFERROR(INDEX(项目档案!$B$6:$B$255,MATCH($C599,项目档案!$A$6:$A$255,0)),"⚠项目编号不存在"))</f>
        <v/>
      </c>
      <c r="N599" s="35" t="str">
        <f aca="false">IF($E599="","",IF($E599=IFERROR(INDEX(项目档案!$D$6:$D$255,MATCH($C599,项目档案!$A$6:$A$255,0)),""),"一级",IF($E599=IFERROR(INDEX(项目档案!$F$6:$F$255,MATCH($C599,项目档案!$A$6:$A$255,0)),""),"二级",IF($E599=IFERROR(INDEX(项目档案!$H$6:$H$255,MATCH($C599,项目档案!$A$6:$A$255,0)),""),"我方","—"))))</f>
        <v/>
      </c>
      <c r="O599" s="36" t="n">
        <f aca="false">IF($D599&lt;&gt;"销项开票",0,ROUND(N($H599)*N($I599),2))</f>
        <v>0</v>
      </c>
      <c r="P599" s="36" t="n">
        <f aca="false">IF($D599&lt;&gt;"销项开票",0,ROUND(N($H599)-$O599,2))</f>
        <v>0</v>
      </c>
      <c r="Q599" s="37" t="str">
        <f aca="false">IF($E599="","",N(IFERROR(INDEX(单位档案!$E$6:$E$35,MATCH($E599,单位档案!$A$6:$A$35,0)),"")))</f>
        <v/>
      </c>
      <c r="R599" s="37" t="str">
        <f aca="false">IF($E599="","",N(IFERROR(INDEX(单位档案!$F$6:$F$35,MATCH($E599,单位档案!$A$6:$A$35,0)),"")))</f>
        <v/>
      </c>
      <c r="S599" s="36" t="n">
        <f aca="false">IF(OR($D599&lt;&gt;"销项开票",IFERROR(INDEX(单位档案!$G$6:$G$35,MATCH($E599,单位档案!$A$6:$A$35,0)),"")&lt;&gt;"是",N($Q599)=0),0,IF(IFERROR(INDEX(单位档案!$H$6:$H$35,MATCH($E599,单位档案!$A$6:$A$35,0)),"")="税差法",ROUND(N($H599)/(1+$Q599)*$Q599-IF(N($R599)=0,0,$P599/(1+$R599)*$R599),2),ROUND(N($H599)/(1+$Q599)*$Q599,2)))</f>
        <v>0</v>
      </c>
      <c r="T599" s="36" t="n">
        <f aca="false">ROUND($S599*N(IFERROR(INDEX(单位档案!$J$6:$J$35,MATCH($E599,单位档案!$A$6:$A$35,0)),"")),2)</f>
        <v>0</v>
      </c>
      <c r="U599" s="36" t="n">
        <f aca="false">IF($D599&lt;&gt;"销项开票",0,ROUND(N($H599)*N(IFERROR(INDEX(单位档案!$K$6:$K$35,MATCH($E599,单位档案!$A$6:$A$35,0)),"")),2))</f>
        <v>0</v>
      </c>
      <c r="V599" s="36" t="n">
        <f aca="false">IF(OR($D599&lt;&gt;"销项开票",N($Q599)=0),0,ROUND(N($H599)/(1+$Q599)*N(IFERROR(INDEX(单位档案!$L$6:$L$35,MATCH($E599,单位档案!$A$6:$A$35,0)),"")),2))</f>
        <v>0</v>
      </c>
      <c r="W599" s="36" t="n">
        <f aca="false">ROUND($S599+$T599+$U599+$V599,2)</f>
        <v>0</v>
      </c>
      <c r="X599" s="35" t="str">
        <f aca="false">IF(OR($D599="挂靠代收",$D599="我方收款"),COUNTIFS($D$5:$D599,"挂靠代收")+COUNTIFS($D$5:$D599,"我方收款"),"")</f>
        <v/>
      </c>
      <c r="Y599" s="35"/>
      <c r="Z599" s="21" t="s">
        <v>111</v>
      </c>
    </row>
    <row r="600" customFormat="false" ht="15.75" hidden="false" customHeight="true" outlineLevel="0" collapsed="false">
      <c r="A600" s="32" t="str">
        <f aca="false">IF($B600="","",ROW()-4)</f>
        <v/>
      </c>
      <c r="B600" s="26"/>
      <c r="C600" s="24"/>
      <c r="D600" s="21"/>
      <c r="E600" s="21"/>
      <c r="F600" s="21"/>
      <c r="G600" s="21"/>
      <c r="H600" s="27"/>
      <c r="I600" s="23" t="str">
        <f aca="false">IF($D600&lt;&gt;"销项开票","",IF($N600="一级",IF(IFERROR(INDEX(项目档案!$E$6:$E$255,MATCH($C600,项目档案!$A$6:$A$255,0)),"")="",N(IFERROR(INDEX(单位档案!$D$6:$D$35,MATCH($E600,单位档案!$A$6:$A$35,0)),"")),IFERROR(INDEX(项目档案!$E$6:$E$255,MATCH($C600,项目档案!$A$6:$A$255,0)),"")),IF($N600="二级",IF(IFERROR(INDEX(项目档案!$G$6:$G$255,MATCH($C600,项目档案!$A$6:$A$255,0)),"")="",N(IFERROR(INDEX(单位档案!$D$6:$D$35,MATCH($E600,单位档案!$A$6:$A$35,0)),"")),IFERROR(INDEX(项目档案!$G$6:$G$255,MATCH($C600,项目档案!$A$6:$A$255,0)),"")),N(IFERROR(INDEX(单位档案!$D$6:$D$35,MATCH($E600,单位档案!$A$6:$A$35,0)),"")))))</f>
        <v/>
      </c>
      <c r="J600" s="22"/>
      <c r="K600" s="22"/>
      <c r="L600" s="33" t="str">
        <f aca="false">IF($B600="","",IF(NOT(ISNUMBER($B600)),"日期格式不对",IF($C600="","未选项目编号",IF(LEFT($M600,1)="⚠","项目编号不存在",IF($D600="","未选业务类型",IF($E600="","未选开票/付款方",IF(ISNA(MATCH($E600,单位档案!$A$6:$A$35,0)),"开票方不在单位档案",IF($F600="","未选收票/收款方",IF(ISNA(MATCH($F600,单位档案!$A$6:$A$35,0)),"收款方不在单位档案",IF(NOT(ISNUMBER($H600)),"金额须为数字",IF(AND($D600="销项开票",$N600="—"),"链条待确认","√")))))))))))</f>
        <v/>
      </c>
      <c r="M600" s="34" t="str">
        <f aca="false">IF($C600="","",IFERROR(INDEX(项目档案!$B$6:$B$255,MATCH($C600,项目档案!$A$6:$A$255,0)),"⚠项目编号不存在"))</f>
        <v/>
      </c>
      <c r="N600" s="35" t="str">
        <f aca="false">IF($E600="","",IF($E600=IFERROR(INDEX(项目档案!$D$6:$D$255,MATCH($C600,项目档案!$A$6:$A$255,0)),""),"一级",IF($E600=IFERROR(INDEX(项目档案!$F$6:$F$255,MATCH($C600,项目档案!$A$6:$A$255,0)),""),"二级",IF($E600=IFERROR(INDEX(项目档案!$H$6:$H$255,MATCH($C600,项目档案!$A$6:$A$255,0)),""),"我方","—"))))</f>
        <v/>
      </c>
      <c r="O600" s="36" t="n">
        <f aca="false">IF($D600&lt;&gt;"销项开票",0,ROUND(N($H600)*N($I600),2))</f>
        <v>0</v>
      </c>
      <c r="P600" s="36" t="n">
        <f aca="false">IF($D600&lt;&gt;"销项开票",0,ROUND(N($H600)-$O600,2))</f>
        <v>0</v>
      </c>
      <c r="Q600" s="37" t="str">
        <f aca="false">IF($E600="","",N(IFERROR(INDEX(单位档案!$E$6:$E$35,MATCH($E600,单位档案!$A$6:$A$35,0)),"")))</f>
        <v/>
      </c>
      <c r="R600" s="37" t="str">
        <f aca="false">IF($E600="","",N(IFERROR(INDEX(单位档案!$F$6:$F$35,MATCH($E600,单位档案!$A$6:$A$35,0)),"")))</f>
        <v/>
      </c>
      <c r="S600" s="36" t="n">
        <f aca="false">IF(OR($D600&lt;&gt;"销项开票",IFERROR(INDEX(单位档案!$G$6:$G$35,MATCH($E600,单位档案!$A$6:$A$35,0)),"")&lt;&gt;"是",N($Q600)=0),0,IF(IFERROR(INDEX(单位档案!$H$6:$H$35,MATCH($E600,单位档案!$A$6:$A$35,0)),"")="税差法",ROUND(N($H600)/(1+$Q600)*$Q600-IF(N($R600)=0,0,$P600/(1+$R600)*$R600),2),ROUND(N($H600)/(1+$Q600)*$Q600,2)))</f>
        <v>0</v>
      </c>
      <c r="T600" s="36" t="n">
        <f aca="false">ROUND($S600*N(IFERROR(INDEX(单位档案!$J$6:$J$35,MATCH($E600,单位档案!$A$6:$A$35,0)),"")),2)</f>
        <v>0</v>
      </c>
      <c r="U600" s="36" t="n">
        <f aca="false">IF($D600&lt;&gt;"销项开票",0,ROUND(N($H600)*N(IFERROR(INDEX(单位档案!$K$6:$K$35,MATCH($E600,单位档案!$A$6:$A$35,0)),"")),2))</f>
        <v>0</v>
      </c>
      <c r="V600" s="36" t="n">
        <f aca="false">IF(OR($D600&lt;&gt;"销项开票",N($Q600)=0),0,ROUND(N($H600)/(1+$Q600)*N(IFERROR(INDEX(单位档案!$L$6:$L$35,MATCH($E600,单位档案!$A$6:$A$35,0)),"")),2))</f>
        <v>0</v>
      </c>
      <c r="W600" s="36" t="n">
        <f aca="false">ROUND($S600+$T600+$U600+$V600,2)</f>
        <v>0</v>
      </c>
      <c r="X600" s="35" t="str">
        <f aca="false">IF(OR($D600="挂靠代收",$D600="我方收款"),COUNTIFS($D$5:$D600,"挂靠代收")+COUNTIFS($D$5:$D600,"我方收款"),"")</f>
        <v/>
      </c>
      <c r="Y600" s="35"/>
      <c r="Z600" s="21" t="s">
        <v>111</v>
      </c>
    </row>
    <row r="601" customFormat="false" ht="15.75" hidden="false" customHeight="true" outlineLevel="0" collapsed="false">
      <c r="A601" s="32" t="str">
        <f aca="false">IF($B601="","",ROW()-4)</f>
        <v/>
      </c>
      <c r="B601" s="26"/>
      <c r="C601" s="24"/>
      <c r="D601" s="21"/>
      <c r="E601" s="21"/>
      <c r="F601" s="21"/>
      <c r="G601" s="21"/>
      <c r="H601" s="27"/>
      <c r="I601" s="23" t="str">
        <f aca="false">IF($D601&lt;&gt;"销项开票","",IF($N601="一级",IF(IFERROR(INDEX(项目档案!$E$6:$E$255,MATCH($C601,项目档案!$A$6:$A$255,0)),"")="",N(IFERROR(INDEX(单位档案!$D$6:$D$35,MATCH($E601,单位档案!$A$6:$A$35,0)),"")),IFERROR(INDEX(项目档案!$E$6:$E$255,MATCH($C601,项目档案!$A$6:$A$255,0)),"")),IF($N601="二级",IF(IFERROR(INDEX(项目档案!$G$6:$G$255,MATCH($C601,项目档案!$A$6:$A$255,0)),"")="",N(IFERROR(INDEX(单位档案!$D$6:$D$35,MATCH($E601,单位档案!$A$6:$A$35,0)),"")),IFERROR(INDEX(项目档案!$G$6:$G$255,MATCH($C601,项目档案!$A$6:$A$255,0)),"")),N(IFERROR(INDEX(单位档案!$D$6:$D$35,MATCH($E601,单位档案!$A$6:$A$35,0)),"")))))</f>
        <v/>
      </c>
      <c r="J601" s="22"/>
      <c r="K601" s="22"/>
      <c r="L601" s="33" t="str">
        <f aca="false">IF($B601="","",IF(NOT(ISNUMBER($B601)),"日期格式不对",IF($C601="","未选项目编号",IF(LEFT($M601,1)="⚠","项目编号不存在",IF($D601="","未选业务类型",IF($E601="","未选开票/付款方",IF(ISNA(MATCH($E601,单位档案!$A$6:$A$35,0)),"开票方不在单位档案",IF($F601="","未选收票/收款方",IF(ISNA(MATCH($F601,单位档案!$A$6:$A$35,0)),"收款方不在单位档案",IF(NOT(ISNUMBER($H601)),"金额须为数字",IF(AND($D601="销项开票",$N601="—"),"链条待确认","√")))))))))))</f>
        <v/>
      </c>
      <c r="M601" s="34" t="str">
        <f aca="false">IF($C601="","",IFERROR(INDEX(项目档案!$B$6:$B$255,MATCH($C601,项目档案!$A$6:$A$255,0)),"⚠项目编号不存在"))</f>
        <v/>
      </c>
      <c r="N601" s="35" t="str">
        <f aca="false">IF($E601="","",IF($E601=IFERROR(INDEX(项目档案!$D$6:$D$255,MATCH($C601,项目档案!$A$6:$A$255,0)),""),"一级",IF($E601=IFERROR(INDEX(项目档案!$F$6:$F$255,MATCH($C601,项目档案!$A$6:$A$255,0)),""),"二级",IF($E601=IFERROR(INDEX(项目档案!$H$6:$H$255,MATCH($C601,项目档案!$A$6:$A$255,0)),""),"我方","—"))))</f>
        <v/>
      </c>
      <c r="O601" s="36" t="n">
        <f aca="false">IF($D601&lt;&gt;"销项开票",0,ROUND(N($H601)*N($I601),2))</f>
        <v>0</v>
      </c>
      <c r="P601" s="36" t="n">
        <f aca="false">IF($D601&lt;&gt;"销项开票",0,ROUND(N($H601)-$O601,2))</f>
        <v>0</v>
      </c>
      <c r="Q601" s="37" t="str">
        <f aca="false">IF($E601="","",N(IFERROR(INDEX(单位档案!$E$6:$E$35,MATCH($E601,单位档案!$A$6:$A$35,0)),"")))</f>
        <v/>
      </c>
      <c r="R601" s="37" t="str">
        <f aca="false">IF($E601="","",N(IFERROR(INDEX(单位档案!$F$6:$F$35,MATCH($E601,单位档案!$A$6:$A$35,0)),"")))</f>
        <v/>
      </c>
      <c r="S601" s="36" t="n">
        <f aca="false">IF(OR($D601&lt;&gt;"销项开票",IFERROR(INDEX(单位档案!$G$6:$G$35,MATCH($E601,单位档案!$A$6:$A$35,0)),"")&lt;&gt;"是",N($Q601)=0),0,IF(IFERROR(INDEX(单位档案!$H$6:$H$35,MATCH($E601,单位档案!$A$6:$A$35,0)),"")="税差法",ROUND(N($H601)/(1+$Q601)*$Q601-IF(N($R601)=0,0,$P601/(1+$R601)*$R601),2),ROUND(N($H601)/(1+$Q601)*$Q601,2)))</f>
        <v>0</v>
      </c>
      <c r="T601" s="36" t="n">
        <f aca="false">ROUND($S601*N(IFERROR(INDEX(单位档案!$J$6:$J$35,MATCH($E601,单位档案!$A$6:$A$35,0)),"")),2)</f>
        <v>0</v>
      </c>
      <c r="U601" s="36" t="n">
        <f aca="false">IF($D601&lt;&gt;"销项开票",0,ROUND(N($H601)*N(IFERROR(INDEX(单位档案!$K$6:$K$35,MATCH($E601,单位档案!$A$6:$A$35,0)),"")),2))</f>
        <v>0</v>
      </c>
      <c r="V601" s="36" t="n">
        <f aca="false">IF(OR($D601&lt;&gt;"销项开票",N($Q601)=0),0,ROUND(N($H601)/(1+$Q601)*N(IFERROR(INDEX(单位档案!$L$6:$L$35,MATCH($E601,单位档案!$A$6:$A$35,0)),"")),2))</f>
        <v>0</v>
      </c>
      <c r="W601" s="36" t="n">
        <f aca="false">ROUND($S601+$T601+$U601+$V601,2)</f>
        <v>0</v>
      </c>
      <c r="X601" s="35" t="str">
        <f aca="false">IF(OR($D601="挂靠代收",$D601="我方收款"),COUNTIFS($D$5:$D601,"挂靠代收")+COUNTIFS($D$5:$D601,"我方收款"),"")</f>
        <v/>
      </c>
      <c r="Y601" s="35"/>
      <c r="Z601" s="21" t="s">
        <v>111</v>
      </c>
    </row>
    <row r="602" customFormat="false" ht="15.75" hidden="false" customHeight="true" outlineLevel="0" collapsed="false">
      <c r="A602" s="32" t="str">
        <f aca="false">IF($B602="","",ROW()-4)</f>
        <v/>
      </c>
      <c r="B602" s="26"/>
      <c r="C602" s="24"/>
      <c r="D602" s="21"/>
      <c r="E602" s="21"/>
      <c r="F602" s="21"/>
      <c r="G602" s="21"/>
      <c r="H602" s="27"/>
      <c r="I602" s="23" t="str">
        <f aca="false">IF($D602&lt;&gt;"销项开票","",IF($N602="一级",IF(IFERROR(INDEX(项目档案!$E$6:$E$255,MATCH($C602,项目档案!$A$6:$A$255,0)),"")="",N(IFERROR(INDEX(单位档案!$D$6:$D$35,MATCH($E602,单位档案!$A$6:$A$35,0)),"")),IFERROR(INDEX(项目档案!$E$6:$E$255,MATCH($C602,项目档案!$A$6:$A$255,0)),"")),IF($N602="二级",IF(IFERROR(INDEX(项目档案!$G$6:$G$255,MATCH($C602,项目档案!$A$6:$A$255,0)),"")="",N(IFERROR(INDEX(单位档案!$D$6:$D$35,MATCH($E602,单位档案!$A$6:$A$35,0)),"")),IFERROR(INDEX(项目档案!$G$6:$G$255,MATCH($C602,项目档案!$A$6:$A$255,0)),"")),N(IFERROR(INDEX(单位档案!$D$6:$D$35,MATCH($E602,单位档案!$A$6:$A$35,0)),"")))))</f>
        <v/>
      </c>
      <c r="J602" s="22"/>
      <c r="K602" s="22"/>
      <c r="L602" s="33" t="str">
        <f aca="false">IF($B602="","",IF(NOT(ISNUMBER($B602)),"日期格式不对",IF($C602="","未选项目编号",IF(LEFT($M602,1)="⚠","项目编号不存在",IF($D602="","未选业务类型",IF($E602="","未选开票/付款方",IF(ISNA(MATCH($E602,单位档案!$A$6:$A$35,0)),"开票方不在单位档案",IF($F602="","未选收票/收款方",IF(ISNA(MATCH($F602,单位档案!$A$6:$A$35,0)),"收款方不在单位档案",IF(NOT(ISNUMBER($H602)),"金额须为数字",IF(AND($D602="销项开票",$N602="—"),"链条待确认","√")))))))))))</f>
        <v/>
      </c>
      <c r="M602" s="34" t="str">
        <f aca="false">IF($C602="","",IFERROR(INDEX(项目档案!$B$6:$B$255,MATCH($C602,项目档案!$A$6:$A$255,0)),"⚠项目编号不存在"))</f>
        <v/>
      </c>
      <c r="N602" s="35" t="str">
        <f aca="false">IF($E602="","",IF($E602=IFERROR(INDEX(项目档案!$D$6:$D$255,MATCH($C602,项目档案!$A$6:$A$255,0)),""),"一级",IF($E602=IFERROR(INDEX(项目档案!$F$6:$F$255,MATCH($C602,项目档案!$A$6:$A$255,0)),""),"二级",IF($E602=IFERROR(INDEX(项目档案!$H$6:$H$255,MATCH($C602,项目档案!$A$6:$A$255,0)),""),"我方","—"))))</f>
        <v/>
      </c>
      <c r="O602" s="36" t="n">
        <f aca="false">IF($D602&lt;&gt;"销项开票",0,ROUND(N($H602)*N($I602),2))</f>
        <v>0</v>
      </c>
      <c r="P602" s="36" t="n">
        <f aca="false">IF($D602&lt;&gt;"销项开票",0,ROUND(N($H602)-$O602,2))</f>
        <v>0</v>
      </c>
      <c r="Q602" s="37" t="str">
        <f aca="false">IF($E602="","",N(IFERROR(INDEX(单位档案!$E$6:$E$35,MATCH($E602,单位档案!$A$6:$A$35,0)),"")))</f>
        <v/>
      </c>
      <c r="R602" s="37" t="str">
        <f aca="false">IF($E602="","",N(IFERROR(INDEX(单位档案!$F$6:$F$35,MATCH($E602,单位档案!$A$6:$A$35,0)),"")))</f>
        <v/>
      </c>
      <c r="S602" s="36" t="n">
        <f aca="false">IF(OR($D602&lt;&gt;"销项开票",IFERROR(INDEX(单位档案!$G$6:$G$35,MATCH($E602,单位档案!$A$6:$A$35,0)),"")&lt;&gt;"是",N($Q602)=0),0,IF(IFERROR(INDEX(单位档案!$H$6:$H$35,MATCH($E602,单位档案!$A$6:$A$35,0)),"")="税差法",ROUND(N($H602)/(1+$Q602)*$Q602-IF(N($R602)=0,0,$P602/(1+$R602)*$R602),2),ROUND(N($H602)/(1+$Q602)*$Q602,2)))</f>
        <v>0</v>
      </c>
      <c r="T602" s="36" t="n">
        <f aca="false">ROUND($S602*N(IFERROR(INDEX(单位档案!$J$6:$J$35,MATCH($E602,单位档案!$A$6:$A$35,0)),"")),2)</f>
        <v>0</v>
      </c>
      <c r="U602" s="36" t="n">
        <f aca="false">IF($D602&lt;&gt;"销项开票",0,ROUND(N($H602)*N(IFERROR(INDEX(单位档案!$K$6:$K$35,MATCH($E602,单位档案!$A$6:$A$35,0)),"")),2))</f>
        <v>0</v>
      </c>
      <c r="V602" s="36" t="n">
        <f aca="false">IF(OR($D602&lt;&gt;"销项开票",N($Q602)=0),0,ROUND(N($H602)/(1+$Q602)*N(IFERROR(INDEX(单位档案!$L$6:$L$35,MATCH($E602,单位档案!$A$6:$A$35,0)),"")),2))</f>
        <v>0</v>
      </c>
      <c r="W602" s="36" t="n">
        <f aca="false">ROUND($S602+$T602+$U602+$V602,2)</f>
        <v>0</v>
      </c>
      <c r="X602" s="35" t="str">
        <f aca="false">IF(OR($D602="挂靠代收",$D602="我方收款"),COUNTIFS($D$5:$D602,"挂靠代收")+COUNTIFS($D$5:$D602,"我方收款"),"")</f>
        <v/>
      </c>
      <c r="Y602" s="35"/>
      <c r="Z602" s="21" t="s">
        <v>111</v>
      </c>
    </row>
    <row r="603" customFormat="false" ht="15.75" hidden="false" customHeight="true" outlineLevel="0" collapsed="false">
      <c r="A603" s="32" t="str">
        <f aca="false">IF($B603="","",ROW()-4)</f>
        <v/>
      </c>
      <c r="B603" s="26"/>
      <c r="C603" s="24"/>
      <c r="D603" s="21"/>
      <c r="E603" s="21"/>
      <c r="F603" s="21"/>
      <c r="G603" s="21"/>
      <c r="H603" s="27"/>
      <c r="I603" s="23" t="str">
        <f aca="false">IF($D603&lt;&gt;"销项开票","",IF($N603="一级",IF(IFERROR(INDEX(项目档案!$E$6:$E$255,MATCH($C603,项目档案!$A$6:$A$255,0)),"")="",N(IFERROR(INDEX(单位档案!$D$6:$D$35,MATCH($E603,单位档案!$A$6:$A$35,0)),"")),IFERROR(INDEX(项目档案!$E$6:$E$255,MATCH($C603,项目档案!$A$6:$A$255,0)),"")),IF($N603="二级",IF(IFERROR(INDEX(项目档案!$G$6:$G$255,MATCH($C603,项目档案!$A$6:$A$255,0)),"")="",N(IFERROR(INDEX(单位档案!$D$6:$D$35,MATCH($E603,单位档案!$A$6:$A$35,0)),"")),IFERROR(INDEX(项目档案!$G$6:$G$255,MATCH($C603,项目档案!$A$6:$A$255,0)),"")),N(IFERROR(INDEX(单位档案!$D$6:$D$35,MATCH($E603,单位档案!$A$6:$A$35,0)),"")))))</f>
        <v/>
      </c>
      <c r="J603" s="22"/>
      <c r="K603" s="22"/>
      <c r="L603" s="33" t="str">
        <f aca="false">IF($B603="","",IF(NOT(ISNUMBER($B603)),"日期格式不对",IF($C603="","未选项目编号",IF(LEFT($M603,1)="⚠","项目编号不存在",IF($D603="","未选业务类型",IF($E603="","未选开票/付款方",IF(ISNA(MATCH($E603,单位档案!$A$6:$A$35,0)),"开票方不在单位档案",IF($F603="","未选收票/收款方",IF(ISNA(MATCH($F603,单位档案!$A$6:$A$35,0)),"收款方不在单位档案",IF(NOT(ISNUMBER($H603)),"金额须为数字",IF(AND($D603="销项开票",$N603="—"),"链条待确认","√")))))))))))</f>
        <v/>
      </c>
      <c r="M603" s="34" t="str">
        <f aca="false">IF($C603="","",IFERROR(INDEX(项目档案!$B$6:$B$255,MATCH($C603,项目档案!$A$6:$A$255,0)),"⚠项目编号不存在"))</f>
        <v/>
      </c>
      <c r="N603" s="35" t="str">
        <f aca="false">IF($E603="","",IF($E603=IFERROR(INDEX(项目档案!$D$6:$D$255,MATCH($C603,项目档案!$A$6:$A$255,0)),""),"一级",IF($E603=IFERROR(INDEX(项目档案!$F$6:$F$255,MATCH($C603,项目档案!$A$6:$A$255,0)),""),"二级",IF($E603=IFERROR(INDEX(项目档案!$H$6:$H$255,MATCH($C603,项目档案!$A$6:$A$255,0)),""),"我方","—"))))</f>
        <v/>
      </c>
      <c r="O603" s="36" t="n">
        <f aca="false">IF($D603&lt;&gt;"销项开票",0,ROUND(N($H603)*N($I603),2))</f>
        <v>0</v>
      </c>
      <c r="P603" s="36" t="n">
        <f aca="false">IF($D603&lt;&gt;"销项开票",0,ROUND(N($H603)-$O603,2))</f>
        <v>0</v>
      </c>
      <c r="Q603" s="37" t="str">
        <f aca="false">IF($E603="","",N(IFERROR(INDEX(单位档案!$E$6:$E$35,MATCH($E603,单位档案!$A$6:$A$35,0)),"")))</f>
        <v/>
      </c>
      <c r="R603" s="37" t="str">
        <f aca="false">IF($E603="","",N(IFERROR(INDEX(单位档案!$F$6:$F$35,MATCH($E603,单位档案!$A$6:$A$35,0)),"")))</f>
        <v/>
      </c>
      <c r="S603" s="36" t="n">
        <f aca="false">IF(OR($D603&lt;&gt;"销项开票",IFERROR(INDEX(单位档案!$G$6:$G$35,MATCH($E603,单位档案!$A$6:$A$35,0)),"")&lt;&gt;"是",N($Q603)=0),0,IF(IFERROR(INDEX(单位档案!$H$6:$H$35,MATCH($E603,单位档案!$A$6:$A$35,0)),"")="税差法",ROUND(N($H603)/(1+$Q603)*$Q603-IF(N($R603)=0,0,$P603/(1+$R603)*$R603),2),ROUND(N($H603)/(1+$Q603)*$Q603,2)))</f>
        <v>0</v>
      </c>
      <c r="T603" s="36" t="n">
        <f aca="false">ROUND($S603*N(IFERROR(INDEX(单位档案!$J$6:$J$35,MATCH($E603,单位档案!$A$6:$A$35,0)),"")),2)</f>
        <v>0</v>
      </c>
      <c r="U603" s="36" t="n">
        <f aca="false">IF($D603&lt;&gt;"销项开票",0,ROUND(N($H603)*N(IFERROR(INDEX(单位档案!$K$6:$K$35,MATCH($E603,单位档案!$A$6:$A$35,0)),"")),2))</f>
        <v>0</v>
      </c>
      <c r="V603" s="36" t="n">
        <f aca="false">IF(OR($D603&lt;&gt;"销项开票",N($Q603)=0),0,ROUND(N($H603)/(1+$Q603)*N(IFERROR(INDEX(单位档案!$L$6:$L$35,MATCH($E603,单位档案!$A$6:$A$35,0)),"")),2))</f>
        <v>0</v>
      </c>
      <c r="W603" s="36" t="n">
        <f aca="false">ROUND($S603+$T603+$U603+$V603,2)</f>
        <v>0</v>
      </c>
      <c r="X603" s="35" t="str">
        <f aca="false">IF(OR($D603="挂靠代收",$D603="我方收款"),COUNTIFS($D$5:$D603,"挂靠代收")+COUNTIFS($D$5:$D603,"我方收款"),"")</f>
        <v/>
      </c>
      <c r="Y603" s="35"/>
      <c r="Z603" s="21" t="s">
        <v>111</v>
      </c>
    </row>
    <row r="604" customFormat="false" ht="15.75" hidden="false" customHeight="true" outlineLevel="0" collapsed="false">
      <c r="A604" s="32" t="str">
        <f aca="false">IF($B604="","",ROW()-4)</f>
        <v/>
      </c>
      <c r="B604" s="26"/>
      <c r="C604" s="24"/>
      <c r="D604" s="21"/>
      <c r="E604" s="21"/>
      <c r="F604" s="21"/>
      <c r="G604" s="21"/>
      <c r="H604" s="27"/>
      <c r="I604" s="23" t="str">
        <f aca="false">IF($D604&lt;&gt;"销项开票","",IF($N604="一级",IF(IFERROR(INDEX(项目档案!$E$6:$E$255,MATCH($C604,项目档案!$A$6:$A$255,0)),"")="",N(IFERROR(INDEX(单位档案!$D$6:$D$35,MATCH($E604,单位档案!$A$6:$A$35,0)),"")),IFERROR(INDEX(项目档案!$E$6:$E$255,MATCH($C604,项目档案!$A$6:$A$255,0)),"")),IF($N604="二级",IF(IFERROR(INDEX(项目档案!$G$6:$G$255,MATCH($C604,项目档案!$A$6:$A$255,0)),"")="",N(IFERROR(INDEX(单位档案!$D$6:$D$35,MATCH($E604,单位档案!$A$6:$A$35,0)),"")),IFERROR(INDEX(项目档案!$G$6:$G$255,MATCH($C604,项目档案!$A$6:$A$255,0)),"")),N(IFERROR(INDEX(单位档案!$D$6:$D$35,MATCH($E604,单位档案!$A$6:$A$35,0)),"")))))</f>
        <v/>
      </c>
      <c r="J604" s="22"/>
      <c r="K604" s="22"/>
      <c r="L604" s="33" t="str">
        <f aca="false">IF($B604="","",IF(NOT(ISNUMBER($B604)),"日期格式不对",IF($C604="","未选项目编号",IF(LEFT($M604,1)="⚠","项目编号不存在",IF($D604="","未选业务类型",IF($E604="","未选开票/付款方",IF(ISNA(MATCH($E604,单位档案!$A$6:$A$35,0)),"开票方不在单位档案",IF($F604="","未选收票/收款方",IF(ISNA(MATCH($F604,单位档案!$A$6:$A$35,0)),"收款方不在单位档案",IF(NOT(ISNUMBER($H604)),"金额须为数字",IF(AND($D604="销项开票",$N604="—"),"链条待确认","√")))))))))))</f>
        <v/>
      </c>
      <c r="M604" s="34" t="str">
        <f aca="false">IF($C604="","",IFERROR(INDEX(项目档案!$B$6:$B$255,MATCH($C604,项目档案!$A$6:$A$255,0)),"⚠项目编号不存在"))</f>
        <v/>
      </c>
      <c r="N604" s="35" t="str">
        <f aca="false">IF($E604="","",IF($E604=IFERROR(INDEX(项目档案!$D$6:$D$255,MATCH($C604,项目档案!$A$6:$A$255,0)),""),"一级",IF($E604=IFERROR(INDEX(项目档案!$F$6:$F$255,MATCH($C604,项目档案!$A$6:$A$255,0)),""),"二级",IF($E604=IFERROR(INDEX(项目档案!$H$6:$H$255,MATCH($C604,项目档案!$A$6:$A$255,0)),""),"我方","—"))))</f>
        <v/>
      </c>
      <c r="O604" s="36" t="n">
        <f aca="false">IF($D604&lt;&gt;"销项开票",0,ROUND(N($H604)*N($I604),2))</f>
        <v>0</v>
      </c>
      <c r="P604" s="36" t="n">
        <f aca="false">IF($D604&lt;&gt;"销项开票",0,ROUND(N($H604)-$O604,2))</f>
        <v>0</v>
      </c>
      <c r="Q604" s="37" t="str">
        <f aca="false">IF($E604="","",N(IFERROR(INDEX(单位档案!$E$6:$E$35,MATCH($E604,单位档案!$A$6:$A$35,0)),"")))</f>
        <v/>
      </c>
      <c r="R604" s="37" t="str">
        <f aca="false">IF($E604="","",N(IFERROR(INDEX(单位档案!$F$6:$F$35,MATCH($E604,单位档案!$A$6:$A$35,0)),"")))</f>
        <v/>
      </c>
      <c r="S604" s="36" t="n">
        <f aca="false">IF(OR($D604&lt;&gt;"销项开票",IFERROR(INDEX(单位档案!$G$6:$G$35,MATCH($E604,单位档案!$A$6:$A$35,0)),"")&lt;&gt;"是",N($Q604)=0),0,IF(IFERROR(INDEX(单位档案!$H$6:$H$35,MATCH($E604,单位档案!$A$6:$A$35,0)),"")="税差法",ROUND(N($H604)/(1+$Q604)*$Q604-IF(N($R604)=0,0,$P604/(1+$R604)*$R604),2),ROUND(N($H604)/(1+$Q604)*$Q604,2)))</f>
        <v>0</v>
      </c>
      <c r="T604" s="36" t="n">
        <f aca="false">ROUND($S604*N(IFERROR(INDEX(单位档案!$J$6:$J$35,MATCH($E604,单位档案!$A$6:$A$35,0)),"")),2)</f>
        <v>0</v>
      </c>
      <c r="U604" s="36" t="n">
        <f aca="false">IF($D604&lt;&gt;"销项开票",0,ROUND(N($H604)*N(IFERROR(INDEX(单位档案!$K$6:$K$35,MATCH($E604,单位档案!$A$6:$A$35,0)),"")),2))</f>
        <v>0</v>
      </c>
      <c r="V604" s="36" t="n">
        <f aca="false">IF(OR($D604&lt;&gt;"销项开票",N($Q604)=0),0,ROUND(N($H604)/(1+$Q604)*N(IFERROR(INDEX(单位档案!$L$6:$L$35,MATCH($E604,单位档案!$A$6:$A$35,0)),"")),2))</f>
        <v>0</v>
      </c>
      <c r="W604" s="36" t="n">
        <f aca="false">ROUND($S604+$T604+$U604+$V604,2)</f>
        <v>0</v>
      </c>
      <c r="X604" s="35" t="str">
        <f aca="false">IF(OR($D604="挂靠代收",$D604="我方收款"),COUNTIFS($D$5:$D604,"挂靠代收")+COUNTIFS($D$5:$D604,"我方收款"),"")</f>
        <v/>
      </c>
      <c r="Y604" s="35"/>
      <c r="Z604" s="21" t="s">
        <v>111</v>
      </c>
    </row>
    <row r="605" customFormat="false" ht="15.75" hidden="false" customHeight="true" outlineLevel="0" collapsed="false">
      <c r="A605" s="32" t="str">
        <f aca="false">IF($B605="","",ROW()-4)</f>
        <v/>
      </c>
      <c r="B605" s="26"/>
      <c r="C605" s="24"/>
      <c r="D605" s="21"/>
      <c r="E605" s="21"/>
      <c r="F605" s="21"/>
      <c r="G605" s="21"/>
      <c r="H605" s="27"/>
      <c r="I605" s="23" t="str">
        <f aca="false">IF($D605&lt;&gt;"销项开票","",IF($N605="一级",IF(IFERROR(INDEX(项目档案!$E$6:$E$255,MATCH($C605,项目档案!$A$6:$A$255,0)),"")="",N(IFERROR(INDEX(单位档案!$D$6:$D$35,MATCH($E605,单位档案!$A$6:$A$35,0)),"")),IFERROR(INDEX(项目档案!$E$6:$E$255,MATCH($C605,项目档案!$A$6:$A$255,0)),"")),IF($N605="二级",IF(IFERROR(INDEX(项目档案!$G$6:$G$255,MATCH($C605,项目档案!$A$6:$A$255,0)),"")="",N(IFERROR(INDEX(单位档案!$D$6:$D$35,MATCH($E605,单位档案!$A$6:$A$35,0)),"")),IFERROR(INDEX(项目档案!$G$6:$G$255,MATCH($C605,项目档案!$A$6:$A$255,0)),"")),N(IFERROR(INDEX(单位档案!$D$6:$D$35,MATCH($E605,单位档案!$A$6:$A$35,0)),"")))))</f>
        <v/>
      </c>
      <c r="J605" s="22"/>
      <c r="K605" s="22"/>
      <c r="L605" s="33" t="str">
        <f aca="false">IF($B605="","",IF(NOT(ISNUMBER($B605)),"日期格式不对",IF($C605="","未选项目编号",IF(LEFT($M605,1)="⚠","项目编号不存在",IF($D605="","未选业务类型",IF($E605="","未选开票/付款方",IF(ISNA(MATCH($E605,单位档案!$A$6:$A$35,0)),"开票方不在单位档案",IF($F605="","未选收票/收款方",IF(ISNA(MATCH($F605,单位档案!$A$6:$A$35,0)),"收款方不在单位档案",IF(NOT(ISNUMBER($H605)),"金额须为数字",IF(AND($D605="销项开票",$N605="—"),"链条待确认","√")))))))))))</f>
        <v/>
      </c>
      <c r="M605" s="34" t="str">
        <f aca="false">IF($C605="","",IFERROR(INDEX(项目档案!$B$6:$B$255,MATCH($C605,项目档案!$A$6:$A$255,0)),"⚠项目编号不存在"))</f>
        <v/>
      </c>
      <c r="N605" s="35" t="str">
        <f aca="false">IF($E605="","",IF($E605=IFERROR(INDEX(项目档案!$D$6:$D$255,MATCH($C605,项目档案!$A$6:$A$255,0)),""),"一级",IF($E605=IFERROR(INDEX(项目档案!$F$6:$F$255,MATCH($C605,项目档案!$A$6:$A$255,0)),""),"二级",IF($E605=IFERROR(INDEX(项目档案!$H$6:$H$255,MATCH($C605,项目档案!$A$6:$A$255,0)),""),"我方","—"))))</f>
        <v/>
      </c>
      <c r="O605" s="36" t="n">
        <f aca="false">IF($D605&lt;&gt;"销项开票",0,ROUND(N($H605)*N($I605),2))</f>
        <v>0</v>
      </c>
      <c r="P605" s="36" t="n">
        <f aca="false">IF($D605&lt;&gt;"销项开票",0,ROUND(N($H605)-$O605,2))</f>
        <v>0</v>
      </c>
      <c r="Q605" s="37" t="str">
        <f aca="false">IF($E605="","",N(IFERROR(INDEX(单位档案!$E$6:$E$35,MATCH($E605,单位档案!$A$6:$A$35,0)),"")))</f>
        <v/>
      </c>
      <c r="R605" s="37" t="str">
        <f aca="false">IF($E605="","",N(IFERROR(INDEX(单位档案!$F$6:$F$35,MATCH($E605,单位档案!$A$6:$A$35,0)),"")))</f>
        <v/>
      </c>
      <c r="S605" s="36" t="n">
        <f aca="false">IF(OR($D605&lt;&gt;"销项开票",IFERROR(INDEX(单位档案!$G$6:$G$35,MATCH($E605,单位档案!$A$6:$A$35,0)),"")&lt;&gt;"是",N($Q605)=0),0,IF(IFERROR(INDEX(单位档案!$H$6:$H$35,MATCH($E605,单位档案!$A$6:$A$35,0)),"")="税差法",ROUND(N($H605)/(1+$Q605)*$Q605-IF(N($R605)=0,0,$P605/(1+$R605)*$R605),2),ROUND(N($H605)/(1+$Q605)*$Q605,2)))</f>
        <v>0</v>
      </c>
      <c r="T605" s="36" t="n">
        <f aca="false">ROUND($S605*N(IFERROR(INDEX(单位档案!$J$6:$J$35,MATCH($E605,单位档案!$A$6:$A$35,0)),"")),2)</f>
        <v>0</v>
      </c>
      <c r="U605" s="36" t="n">
        <f aca="false">IF($D605&lt;&gt;"销项开票",0,ROUND(N($H605)*N(IFERROR(INDEX(单位档案!$K$6:$K$35,MATCH($E605,单位档案!$A$6:$A$35,0)),"")),2))</f>
        <v>0</v>
      </c>
      <c r="V605" s="36" t="n">
        <f aca="false">IF(OR($D605&lt;&gt;"销项开票",N($Q605)=0),0,ROUND(N($H605)/(1+$Q605)*N(IFERROR(INDEX(单位档案!$L$6:$L$35,MATCH($E605,单位档案!$A$6:$A$35,0)),"")),2))</f>
        <v>0</v>
      </c>
      <c r="W605" s="36" t="n">
        <f aca="false">ROUND($S605+$T605+$U605+$V605,2)</f>
        <v>0</v>
      </c>
      <c r="X605" s="35" t="str">
        <f aca="false">IF(OR($D605="挂靠代收",$D605="我方收款"),COUNTIFS($D$5:$D605,"挂靠代收")+COUNTIFS($D$5:$D605,"我方收款"),"")</f>
        <v/>
      </c>
      <c r="Y605" s="35"/>
      <c r="Z605" s="21" t="s">
        <v>111</v>
      </c>
    </row>
    <row r="606" customFormat="false" ht="15.75" hidden="false" customHeight="true" outlineLevel="0" collapsed="false">
      <c r="A606" s="32" t="str">
        <f aca="false">IF($B606="","",ROW()-4)</f>
        <v/>
      </c>
      <c r="B606" s="26"/>
      <c r="C606" s="24"/>
      <c r="D606" s="21"/>
      <c r="E606" s="21"/>
      <c r="F606" s="21"/>
      <c r="G606" s="21"/>
      <c r="H606" s="27"/>
      <c r="I606" s="23" t="str">
        <f aca="false">IF($D606&lt;&gt;"销项开票","",IF($N606="一级",IF(IFERROR(INDEX(项目档案!$E$6:$E$255,MATCH($C606,项目档案!$A$6:$A$255,0)),"")="",N(IFERROR(INDEX(单位档案!$D$6:$D$35,MATCH($E606,单位档案!$A$6:$A$35,0)),"")),IFERROR(INDEX(项目档案!$E$6:$E$255,MATCH($C606,项目档案!$A$6:$A$255,0)),"")),IF($N606="二级",IF(IFERROR(INDEX(项目档案!$G$6:$G$255,MATCH($C606,项目档案!$A$6:$A$255,0)),"")="",N(IFERROR(INDEX(单位档案!$D$6:$D$35,MATCH($E606,单位档案!$A$6:$A$35,0)),"")),IFERROR(INDEX(项目档案!$G$6:$G$255,MATCH($C606,项目档案!$A$6:$A$255,0)),"")),N(IFERROR(INDEX(单位档案!$D$6:$D$35,MATCH($E606,单位档案!$A$6:$A$35,0)),"")))))</f>
        <v/>
      </c>
      <c r="J606" s="22"/>
      <c r="K606" s="22"/>
      <c r="L606" s="33" t="str">
        <f aca="false">IF($B606="","",IF(NOT(ISNUMBER($B606)),"日期格式不对",IF($C606="","未选项目编号",IF(LEFT($M606,1)="⚠","项目编号不存在",IF($D606="","未选业务类型",IF($E606="","未选开票/付款方",IF(ISNA(MATCH($E606,单位档案!$A$6:$A$35,0)),"开票方不在单位档案",IF($F606="","未选收票/收款方",IF(ISNA(MATCH($F606,单位档案!$A$6:$A$35,0)),"收款方不在单位档案",IF(NOT(ISNUMBER($H606)),"金额须为数字",IF(AND($D606="销项开票",$N606="—"),"链条待确认","√")))))))))))</f>
        <v/>
      </c>
      <c r="M606" s="34" t="str">
        <f aca="false">IF($C606="","",IFERROR(INDEX(项目档案!$B$6:$B$255,MATCH($C606,项目档案!$A$6:$A$255,0)),"⚠项目编号不存在"))</f>
        <v/>
      </c>
      <c r="N606" s="35" t="str">
        <f aca="false">IF($E606="","",IF($E606=IFERROR(INDEX(项目档案!$D$6:$D$255,MATCH($C606,项目档案!$A$6:$A$255,0)),""),"一级",IF($E606=IFERROR(INDEX(项目档案!$F$6:$F$255,MATCH($C606,项目档案!$A$6:$A$255,0)),""),"二级",IF($E606=IFERROR(INDEX(项目档案!$H$6:$H$255,MATCH($C606,项目档案!$A$6:$A$255,0)),""),"我方","—"))))</f>
        <v/>
      </c>
      <c r="O606" s="36" t="n">
        <f aca="false">IF($D606&lt;&gt;"销项开票",0,ROUND(N($H606)*N($I606),2))</f>
        <v>0</v>
      </c>
      <c r="P606" s="36" t="n">
        <f aca="false">IF($D606&lt;&gt;"销项开票",0,ROUND(N($H606)-$O606,2))</f>
        <v>0</v>
      </c>
      <c r="Q606" s="37" t="str">
        <f aca="false">IF($E606="","",N(IFERROR(INDEX(单位档案!$E$6:$E$35,MATCH($E606,单位档案!$A$6:$A$35,0)),"")))</f>
        <v/>
      </c>
      <c r="R606" s="37" t="str">
        <f aca="false">IF($E606="","",N(IFERROR(INDEX(单位档案!$F$6:$F$35,MATCH($E606,单位档案!$A$6:$A$35,0)),"")))</f>
        <v/>
      </c>
      <c r="S606" s="36" t="n">
        <f aca="false">IF(OR($D606&lt;&gt;"销项开票",IFERROR(INDEX(单位档案!$G$6:$G$35,MATCH($E606,单位档案!$A$6:$A$35,0)),"")&lt;&gt;"是",N($Q606)=0),0,IF(IFERROR(INDEX(单位档案!$H$6:$H$35,MATCH($E606,单位档案!$A$6:$A$35,0)),"")="税差法",ROUND(N($H606)/(1+$Q606)*$Q606-IF(N($R606)=0,0,$P606/(1+$R606)*$R606),2),ROUND(N($H606)/(1+$Q606)*$Q606,2)))</f>
        <v>0</v>
      </c>
      <c r="T606" s="36" t="n">
        <f aca="false">ROUND($S606*N(IFERROR(INDEX(单位档案!$J$6:$J$35,MATCH($E606,单位档案!$A$6:$A$35,0)),"")),2)</f>
        <v>0</v>
      </c>
      <c r="U606" s="36" t="n">
        <f aca="false">IF($D606&lt;&gt;"销项开票",0,ROUND(N($H606)*N(IFERROR(INDEX(单位档案!$K$6:$K$35,MATCH($E606,单位档案!$A$6:$A$35,0)),"")),2))</f>
        <v>0</v>
      </c>
      <c r="V606" s="36" t="n">
        <f aca="false">IF(OR($D606&lt;&gt;"销项开票",N($Q606)=0),0,ROUND(N($H606)/(1+$Q606)*N(IFERROR(INDEX(单位档案!$L$6:$L$35,MATCH($E606,单位档案!$A$6:$A$35,0)),"")),2))</f>
        <v>0</v>
      </c>
      <c r="W606" s="36" t="n">
        <f aca="false">ROUND($S606+$T606+$U606+$V606,2)</f>
        <v>0</v>
      </c>
      <c r="X606" s="35" t="str">
        <f aca="false">IF(OR($D606="挂靠代收",$D606="我方收款"),COUNTIFS($D$5:$D606,"挂靠代收")+COUNTIFS($D$5:$D606,"我方收款"),"")</f>
        <v/>
      </c>
      <c r="Y606" s="35"/>
      <c r="Z606" s="21" t="s">
        <v>111</v>
      </c>
    </row>
    <row r="607" customFormat="false" ht="15.75" hidden="false" customHeight="true" outlineLevel="0" collapsed="false">
      <c r="A607" s="32" t="str">
        <f aca="false">IF($B607="","",ROW()-4)</f>
        <v/>
      </c>
      <c r="B607" s="26"/>
      <c r="C607" s="24"/>
      <c r="D607" s="21"/>
      <c r="E607" s="21"/>
      <c r="F607" s="21"/>
      <c r="G607" s="21"/>
      <c r="H607" s="27"/>
      <c r="I607" s="23" t="str">
        <f aca="false">IF($D607&lt;&gt;"销项开票","",IF($N607="一级",IF(IFERROR(INDEX(项目档案!$E$6:$E$255,MATCH($C607,项目档案!$A$6:$A$255,0)),"")="",N(IFERROR(INDEX(单位档案!$D$6:$D$35,MATCH($E607,单位档案!$A$6:$A$35,0)),"")),IFERROR(INDEX(项目档案!$E$6:$E$255,MATCH($C607,项目档案!$A$6:$A$255,0)),"")),IF($N607="二级",IF(IFERROR(INDEX(项目档案!$G$6:$G$255,MATCH($C607,项目档案!$A$6:$A$255,0)),"")="",N(IFERROR(INDEX(单位档案!$D$6:$D$35,MATCH($E607,单位档案!$A$6:$A$35,0)),"")),IFERROR(INDEX(项目档案!$G$6:$G$255,MATCH($C607,项目档案!$A$6:$A$255,0)),"")),N(IFERROR(INDEX(单位档案!$D$6:$D$35,MATCH($E607,单位档案!$A$6:$A$35,0)),"")))))</f>
        <v/>
      </c>
      <c r="J607" s="22"/>
      <c r="K607" s="22"/>
      <c r="L607" s="33" t="str">
        <f aca="false">IF($B607="","",IF(NOT(ISNUMBER($B607)),"日期格式不对",IF($C607="","未选项目编号",IF(LEFT($M607,1)="⚠","项目编号不存在",IF($D607="","未选业务类型",IF($E607="","未选开票/付款方",IF(ISNA(MATCH($E607,单位档案!$A$6:$A$35,0)),"开票方不在单位档案",IF($F607="","未选收票/收款方",IF(ISNA(MATCH($F607,单位档案!$A$6:$A$35,0)),"收款方不在单位档案",IF(NOT(ISNUMBER($H607)),"金额须为数字",IF(AND($D607="销项开票",$N607="—"),"链条待确认","√")))))))))))</f>
        <v/>
      </c>
      <c r="M607" s="34" t="str">
        <f aca="false">IF($C607="","",IFERROR(INDEX(项目档案!$B$6:$B$255,MATCH($C607,项目档案!$A$6:$A$255,0)),"⚠项目编号不存在"))</f>
        <v/>
      </c>
      <c r="N607" s="35" t="str">
        <f aca="false">IF($E607="","",IF($E607=IFERROR(INDEX(项目档案!$D$6:$D$255,MATCH($C607,项目档案!$A$6:$A$255,0)),""),"一级",IF($E607=IFERROR(INDEX(项目档案!$F$6:$F$255,MATCH($C607,项目档案!$A$6:$A$255,0)),""),"二级",IF($E607=IFERROR(INDEX(项目档案!$H$6:$H$255,MATCH($C607,项目档案!$A$6:$A$255,0)),""),"我方","—"))))</f>
        <v/>
      </c>
      <c r="O607" s="36" t="n">
        <f aca="false">IF($D607&lt;&gt;"销项开票",0,ROUND(N($H607)*N($I607),2))</f>
        <v>0</v>
      </c>
      <c r="P607" s="36" t="n">
        <f aca="false">IF($D607&lt;&gt;"销项开票",0,ROUND(N($H607)-$O607,2))</f>
        <v>0</v>
      </c>
      <c r="Q607" s="37" t="str">
        <f aca="false">IF($E607="","",N(IFERROR(INDEX(单位档案!$E$6:$E$35,MATCH($E607,单位档案!$A$6:$A$35,0)),"")))</f>
        <v/>
      </c>
      <c r="R607" s="37" t="str">
        <f aca="false">IF($E607="","",N(IFERROR(INDEX(单位档案!$F$6:$F$35,MATCH($E607,单位档案!$A$6:$A$35,0)),"")))</f>
        <v/>
      </c>
      <c r="S607" s="36" t="n">
        <f aca="false">IF(OR($D607&lt;&gt;"销项开票",IFERROR(INDEX(单位档案!$G$6:$G$35,MATCH($E607,单位档案!$A$6:$A$35,0)),"")&lt;&gt;"是",N($Q607)=0),0,IF(IFERROR(INDEX(单位档案!$H$6:$H$35,MATCH($E607,单位档案!$A$6:$A$35,0)),"")="税差法",ROUND(N($H607)/(1+$Q607)*$Q607-IF(N($R607)=0,0,$P607/(1+$R607)*$R607),2),ROUND(N($H607)/(1+$Q607)*$Q607,2)))</f>
        <v>0</v>
      </c>
      <c r="T607" s="36" t="n">
        <f aca="false">ROUND($S607*N(IFERROR(INDEX(单位档案!$J$6:$J$35,MATCH($E607,单位档案!$A$6:$A$35,0)),"")),2)</f>
        <v>0</v>
      </c>
      <c r="U607" s="36" t="n">
        <f aca="false">IF($D607&lt;&gt;"销项开票",0,ROUND(N($H607)*N(IFERROR(INDEX(单位档案!$K$6:$K$35,MATCH($E607,单位档案!$A$6:$A$35,0)),"")),2))</f>
        <v>0</v>
      </c>
      <c r="V607" s="36" t="n">
        <f aca="false">IF(OR($D607&lt;&gt;"销项开票",N($Q607)=0),0,ROUND(N($H607)/(1+$Q607)*N(IFERROR(INDEX(单位档案!$L$6:$L$35,MATCH($E607,单位档案!$A$6:$A$35,0)),"")),2))</f>
        <v>0</v>
      </c>
      <c r="W607" s="36" t="n">
        <f aca="false">ROUND($S607+$T607+$U607+$V607,2)</f>
        <v>0</v>
      </c>
      <c r="X607" s="35" t="str">
        <f aca="false">IF(OR($D607="挂靠代收",$D607="我方收款"),COUNTIFS($D$5:$D607,"挂靠代收")+COUNTIFS($D$5:$D607,"我方收款"),"")</f>
        <v/>
      </c>
      <c r="Y607" s="35"/>
      <c r="Z607" s="21" t="s">
        <v>111</v>
      </c>
    </row>
    <row r="608" customFormat="false" ht="15.75" hidden="false" customHeight="true" outlineLevel="0" collapsed="false">
      <c r="A608" s="32" t="str">
        <f aca="false">IF($B608="","",ROW()-4)</f>
        <v/>
      </c>
      <c r="B608" s="26"/>
      <c r="C608" s="24"/>
      <c r="D608" s="21"/>
      <c r="E608" s="21"/>
      <c r="F608" s="21"/>
      <c r="G608" s="21"/>
      <c r="H608" s="27"/>
      <c r="I608" s="23" t="str">
        <f aca="false">IF($D608&lt;&gt;"销项开票","",IF($N608="一级",IF(IFERROR(INDEX(项目档案!$E$6:$E$255,MATCH($C608,项目档案!$A$6:$A$255,0)),"")="",N(IFERROR(INDEX(单位档案!$D$6:$D$35,MATCH($E608,单位档案!$A$6:$A$35,0)),"")),IFERROR(INDEX(项目档案!$E$6:$E$255,MATCH($C608,项目档案!$A$6:$A$255,0)),"")),IF($N608="二级",IF(IFERROR(INDEX(项目档案!$G$6:$G$255,MATCH($C608,项目档案!$A$6:$A$255,0)),"")="",N(IFERROR(INDEX(单位档案!$D$6:$D$35,MATCH($E608,单位档案!$A$6:$A$35,0)),"")),IFERROR(INDEX(项目档案!$G$6:$G$255,MATCH($C608,项目档案!$A$6:$A$255,0)),"")),N(IFERROR(INDEX(单位档案!$D$6:$D$35,MATCH($E608,单位档案!$A$6:$A$35,0)),"")))))</f>
        <v/>
      </c>
      <c r="J608" s="22"/>
      <c r="K608" s="22"/>
      <c r="L608" s="33" t="str">
        <f aca="false">IF($B608="","",IF(NOT(ISNUMBER($B608)),"日期格式不对",IF($C608="","未选项目编号",IF(LEFT($M608,1)="⚠","项目编号不存在",IF($D608="","未选业务类型",IF($E608="","未选开票/付款方",IF(ISNA(MATCH($E608,单位档案!$A$6:$A$35,0)),"开票方不在单位档案",IF($F608="","未选收票/收款方",IF(ISNA(MATCH($F608,单位档案!$A$6:$A$35,0)),"收款方不在单位档案",IF(NOT(ISNUMBER($H608)),"金额须为数字",IF(AND($D608="销项开票",$N608="—"),"链条待确认","√")))))))))))</f>
        <v/>
      </c>
      <c r="M608" s="34" t="str">
        <f aca="false">IF($C608="","",IFERROR(INDEX(项目档案!$B$6:$B$255,MATCH($C608,项目档案!$A$6:$A$255,0)),"⚠项目编号不存在"))</f>
        <v/>
      </c>
      <c r="N608" s="35" t="str">
        <f aca="false">IF($E608="","",IF($E608=IFERROR(INDEX(项目档案!$D$6:$D$255,MATCH($C608,项目档案!$A$6:$A$255,0)),""),"一级",IF($E608=IFERROR(INDEX(项目档案!$F$6:$F$255,MATCH($C608,项目档案!$A$6:$A$255,0)),""),"二级",IF($E608=IFERROR(INDEX(项目档案!$H$6:$H$255,MATCH($C608,项目档案!$A$6:$A$255,0)),""),"我方","—"))))</f>
        <v/>
      </c>
      <c r="O608" s="36" t="n">
        <f aca="false">IF($D608&lt;&gt;"销项开票",0,ROUND(N($H608)*N($I608),2))</f>
        <v>0</v>
      </c>
      <c r="P608" s="36" t="n">
        <f aca="false">IF($D608&lt;&gt;"销项开票",0,ROUND(N($H608)-$O608,2))</f>
        <v>0</v>
      </c>
      <c r="Q608" s="37" t="str">
        <f aca="false">IF($E608="","",N(IFERROR(INDEX(单位档案!$E$6:$E$35,MATCH($E608,单位档案!$A$6:$A$35,0)),"")))</f>
        <v/>
      </c>
      <c r="R608" s="37" t="str">
        <f aca="false">IF($E608="","",N(IFERROR(INDEX(单位档案!$F$6:$F$35,MATCH($E608,单位档案!$A$6:$A$35,0)),"")))</f>
        <v/>
      </c>
      <c r="S608" s="36" t="n">
        <f aca="false">IF(OR($D608&lt;&gt;"销项开票",IFERROR(INDEX(单位档案!$G$6:$G$35,MATCH($E608,单位档案!$A$6:$A$35,0)),"")&lt;&gt;"是",N($Q608)=0),0,IF(IFERROR(INDEX(单位档案!$H$6:$H$35,MATCH($E608,单位档案!$A$6:$A$35,0)),"")="税差法",ROUND(N($H608)/(1+$Q608)*$Q608-IF(N($R608)=0,0,$P608/(1+$R608)*$R608),2),ROUND(N($H608)/(1+$Q608)*$Q608,2)))</f>
        <v>0</v>
      </c>
      <c r="T608" s="36" t="n">
        <f aca="false">ROUND($S608*N(IFERROR(INDEX(单位档案!$J$6:$J$35,MATCH($E608,单位档案!$A$6:$A$35,0)),"")),2)</f>
        <v>0</v>
      </c>
      <c r="U608" s="36" t="n">
        <f aca="false">IF($D608&lt;&gt;"销项开票",0,ROUND(N($H608)*N(IFERROR(INDEX(单位档案!$K$6:$K$35,MATCH($E608,单位档案!$A$6:$A$35,0)),"")),2))</f>
        <v>0</v>
      </c>
      <c r="V608" s="36" t="n">
        <f aca="false">IF(OR($D608&lt;&gt;"销项开票",N($Q608)=0),0,ROUND(N($H608)/(1+$Q608)*N(IFERROR(INDEX(单位档案!$L$6:$L$35,MATCH($E608,单位档案!$A$6:$A$35,0)),"")),2))</f>
        <v>0</v>
      </c>
      <c r="W608" s="36" t="n">
        <f aca="false">ROUND($S608+$T608+$U608+$V608,2)</f>
        <v>0</v>
      </c>
      <c r="X608" s="35" t="str">
        <f aca="false">IF(OR($D608="挂靠代收",$D608="我方收款"),COUNTIFS($D$5:$D608,"挂靠代收")+COUNTIFS($D$5:$D608,"我方收款"),"")</f>
        <v/>
      </c>
      <c r="Y608" s="35"/>
      <c r="Z608" s="21" t="s">
        <v>111</v>
      </c>
    </row>
    <row r="609" customFormat="false" ht="15.75" hidden="false" customHeight="true" outlineLevel="0" collapsed="false">
      <c r="A609" s="32" t="str">
        <f aca="false">IF($B609="","",ROW()-4)</f>
        <v/>
      </c>
      <c r="B609" s="26"/>
      <c r="C609" s="24"/>
      <c r="D609" s="21"/>
      <c r="E609" s="21"/>
      <c r="F609" s="21"/>
      <c r="G609" s="21"/>
      <c r="H609" s="27"/>
      <c r="I609" s="23" t="str">
        <f aca="false">IF($D609&lt;&gt;"销项开票","",IF($N609="一级",IF(IFERROR(INDEX(项目档案!$E$6:$E$255,MATCH($C609,项目档案!$A$6:$A$255,0)),"")="",N(IFERROR(INDEX(单位档案!$D$6:$D$35,MATCH($E609,单位档案!$A$6:$A$35,0)),"")),IFERROR(INDEX(项目档案!$E$6:$E$255,MATCH($C609,项目档案!$A$6:$A$255,0)),"")),IF($N609="二级",IF(IFERROR(INDEX(项目档案!$G$6:$G$255,MATCH($C609,项目档案!$A$6:$A$255,0)),"")="",N(IFERROR(INDEX(单位档案!$D$6:$D$35,MATCH($E609,单位档案!$A$6:$A$35,0)),"")),IFERROR(INDEX(项目档案!$G$6:$G$255,MATCH($C609,项目档案!$A$6:$A$255,0)),"")),N(IFERROR(INDEX(单位档案!$D$6:$D$35,MATCH($E609,单位档案!$A$6:$A$35,0)),"")))))</f>
        <v/>
      </c>
      <c r="J609" s="22"/>
      <c r="K609" s="22"/>
      <c r="L609" s="33" t="str">
        <f aca="false">IF($B609="","",IF(NOT(ISNUMBER($B609)),"日期格式不对",IF($C609="","未选项目编号",IF(LEFT($M609,1)="⚠","项目编号不存在",IF($D609="","未选业务类型",IF($E609="","未选开票/付款方",IF(ISNA(MATCH($E609,单位档案!$A$6:$A$35,0)),"开票方不在单位档案",IF($F609="","未选收票/收款方",IF(ISNA(MATCH($F609,单位档案!$A$6:$A$35,0)),"收款方不在单位档案",IF(NOT(ISNUMBER($H609)),"金额须为数字",IF(AND($D609="销项开票",$N609="—"),"链条待确认","√")))))))))))</f>
        <v/>
      </c>
      <c r="M609" s="34" t="str">
        <f aca="false">IF($C609="","",IFERROR(INDEX(项目档案!$B$6:$B$255,MATCH($C609,项目档案!$A$6:$A$255,0)),"⚠项目编号不存在"))</f>
        <v/>
      </c>
      <c r="N609" s="35" t="str">
        <f aca="false">IF($E609="","",IF($E609=IFERROR(INDEX(项目档案!$D$6:$D$255,MATCH($C609,项目档案!$A$6:$A$255,0)),""),"一级",IF($E609=IFERROR(INDEX(项目档案!$F$6:$F$255,MATCH($C609,项目档案!$A$6:$A$255,0)),""),"二级",IF($E609=IFERROR(INDEX(项目档案!$H$6:$H$255,MATCH($C609,项目档案!$A$6:$A$255,0)),""),"我方","—"))))</f>
        <v/>
      </c>
      <c r="O609" s="36" t="n">
        <f aca="false">IF($D609&lt;&gt;"销项开票",0,ROUND(N($H609)*N($I609),2))</f>
        <v>0</v>
      </c>
      <c r="P609" s="36" t="n">
        <f aca="false">IF($D609&lt;&gt;"销项开票",0,ROUND(N($H609)-$O609,2))</f>
        <v>0</v>
      </c>
      <c r="Q609" s="37" t="str">
        <f aca="false">IF($E609="","",N(IFERROR(INDEX(单位档案!$E$6:$E$35,MATCH($E609,单位档案!$A$6:$A$35,0)),"")))</f>
        <v/>
      </c>
      <c r="R609" s="37" t="str">
        <f aca="false">IF($E609="","",N(IFERROR(INDEX(单位档案!$F$6:$F$35,MATCH($E609,单位档案!$A$6:$A$35,0)),"")))</f>
        <v/>
      </c>
      <c r="S609" s="36" t="n">
        <f aca="false">IF(OR($D609&lt;&gt;"销项开票",IFERROR(INDEX(单位档案!$G$6:$G$35,MATCH($E609,单位档案!$A$6:$A$35,0)),"")&lt;&gt;"是",N($Q609)=0),0,IF(IFERROR(INDEX(单位档案!$H$6:$H$35,MATCH($E609,单位档案!$A$6:$A$35,0)),"")="税差法",ROUND(N($H609)/(1+$Q609)*$Q609-IF(N($R609)=0,0,$P609/(1+$R609)*$R609),2),ROUND(N($H609)/(1+$Q609)*$Q609,2)))</f>
        <v>0</v>
      </c>
      <c r="T609" s="36" t="n">
        <f aca="false">ROUND($S609*N(IFERROR(INDEX(单位档案!$J$6:$J$35,MATCH($E609,单位档案!$A$6:$A$35,0)),"")),2)</f>
        <v>0</v>
      </c>
      <c r="U609" s="36" t="n">
        <f aca="false">IF($D609&lt;&gt;"销项开票",0,ROUND(N($H609)*N(IFERROR(INDEX(单位档案!$K$6:$K$35,MATCH($E609,单位档案!$A$6:$A$35,0)),"")),2))</f>
        <v>0</v>
      </c>
      <c r="V609" s="36" t="n">
        <f aca="false">IF(OR($D609&lt;&gt;"销项开票",N($Q609)=0),0,ROUND(N($H609)/(1+$Q609)*N(IFERROR(INDEX(单位档案!$L$6:$L$35,MATCH($E609,单位档案!$A$6:$A$35,0)),"")),2))</f>
        <v>0</v>
      </c>
      <c r="W609" s="36" t="n">
        <f aca="false">ROUND($S609+$T609+$U609+$V609,2)</f>
        <v>0</v>
      </c>
      <c r="X609" s="35" t="str">
        <f aca="false">IF(OR($D609="挂靠代收",$D609="我方收款"),COUNTIFS($D$5:$D609,"挂靠代收")+COUNTIFS($D$5:$D609,"我方收款"),"")</f>
        <v/>
      </c>
      <c r="Y609" s="35"/>
      <c r="Z609" s="21" t="s">
        <v>111</v>
      </c>
    </row>
    <row r="610" customFormat="false" ht="15.75" hidden="false" customHeight="true" outlineLevel="0" collapsed="false">
      <c r="A610" s="32" t="str">
        <f aca="false">IF($B610="","",ROW()-4)</f>
        <v/>
      </c>
      <c r="B610" s="26"/>
      <c r="C610" s="24"/>
      <c r="D610" s="21"/>
      <c r="E610" s="21"/>
      <c r="F610" s="21"/>
      <c r="G610" s="21"/>
      <c r="H610" s="27"/>
      <c r="I610" s="23" t="str">
        <f aca="false">IF($D610&lt;&gt;"销项开票","",IF($N610="一级",IF(IFERROR(INDEX(项目档案!$E$6:$E$255,MATCH($C610,项目档案!$A$6:$A$255,0)),"")="",N(IFERROR(INDEX(单位档案!$D$6:$D$35,MATCH($E610,单位档案!$A$6:$A$35,0)),"")),IFERROR(INDEX(项目档案!$E$6:$E$255,MATCH($C610,项目档案!$A$6:$A$255,0)),"")),IF($N610="二级",IF(IFERROR(INDEX(项目档案!$G$6:$G$255,MATCH($C610,项目档案!$A$6:$A$255,0)),"")="",N(IFERROR(INDEX(单位档案!$D$6:$D$35,MATCH($E610,单位档案!$A$6:$A$35,0)),"")),IFERROR(INDEX(项目档案!$G$6:$G$255,MATCH($C610,项目档案!$A$6:$A$255,0)),"")),N(IFERROR(INDEX(单位档案!$D$6:$D$35,MATCH($E610,单位档案!$A$6:$A$35,0)),"")))))</f>
        <v/>
      </c>
      <c r="J610" s="22"/>
      <c r="K610" s="22"/>
      <c r="L610" s="33" t="str">
        <f aca="false">IF($B610="","",IF(NOT(ISNUMBER($B610)),"日期格式不对",IF($C610="","未选项目编号",IF(LEFT($M610,1)="⚠","项目编号不存在",IF($D610="","未选业务类型",IF($E610="","未选开票/付款方",IF(ISNA(MATCH($E610,单位档案!$A$6:$A$35,0)),"开票方不在单位档案",IF($F610="","未选收票/收款方",IF(ISNA(MATCH($F610,单位档案!$A$6:$A$35,0)),"收款方不在单位档案",IF(NOT(ISNUMBER($H610)),"金额须为数字",IF(AND($D610="销项开票",$N610="—"),"链条待确认","√")))))))))))</f>
        <v/>
      </c>
      <c r="M610" s="34" t="str">
        <f aca="false">IF($C610="","",IFERROR(INDEX(项目档案!$B$6:$B$255,MATCH($C610,项目档案!$A$6:$A$255,0)),"⚠项目编号不存在"))</f>
        <v/>
      </c>
      <c r="N610" s="35" t="str">
        <f aca="false">IF($E610="","",IF($E610=IFERROR(INDEX(项目档案!$D$6:$D$255,MATCH($C610,项目档案!$A$6:$A$255,0)),""),"一级",IF($E610=IFERROR(INDEX(项目档案!$F$6:$F$255,MATCH($C610,项目档案!$A$6:$A$255,0)),""),"二级",IF($E610=IFERROR(INDEX(项目档案!$H$6:$H$255,MATCH($C610,项目档案!$A$6:$A$255,0)),""),"我方","—"))))</f>
        <v/>
      </c>
      <c r="O610" s="36" t="n">
        <f aca="false">IF($D610&lt;&gt;"销项开票",0,ROUND(N($H610)*N($I610),2))</f>
        <v>0</v>
      </c>
      <c r="P610" s="36" t="n">
        <f aca="false">IF($D610&lt;&gt;"销项开票",0,ROUND(N($H610)-$O610,2))</f>
        <v>0</v>
      </c>
      <c r="Q610" s="37" t="str">
        <f aca="false">IF($E610="","",N(IFERROR(INDEX(单位档案!$E$6:$E$35,MATCH($E610,单位档案!$A$6:$A$35,0)),"")))</f>
        <v/>
      </c>
      <c r="R610" s="37" t="str">
        <f aca="false">IF($E610="","",N(IFERROR(INDEX(单位档案!$F$6:$F$35,MATCH($E610,单位档案!$A$6:$A$35,0)),"")))</f>
        <v/>
      </c>
      <c r="S610" s="36" t="n">
        <f aca="false">IF(OR($D610&lt;&gt;"销项开票",IFERROR(INDEX(单位档案!$G$6:$G$35,MATCH($E610,单位档案!$A$6:$A$35,0)),"")&lt;&gt;"是",N($Q610)=0),0,IF(IFERROR(INDEX(单位档案!$H$6:$H$35,MATCH($E610,单位档案!$A$6:$A$35,0)),"")="税差法",ROUND(N($H610)/(1+$Q610)*$Q610-IF(N($R610)=0,0,$P610/(1+$R610)*$R610),2),ROUND(N($H610)/(1+$Q610)*$Q610,2)))</f>
        <v>0</v>
      </c>
      <c r="T610" s="36" t="n">
        <f aca="false">ROUND($S610*N(IFERROR(INDEX(单位档案!$J$6:$J$35,MATCH($E610,单位档案!$A$6:$A$35,0)),"")),2)</f>
        <v>0</v>
      </c>
      <c r="U610" s="36" t="n">
        <f aca="false">IF($D610&lt;&gt;"销项开票",0,ROUND(N($H610)*N(IFERROR(INDEX(单位档案!$K$6:$K$35,MATCH($E610,单位档案!$A$6:$A$35,0)),"")),2))</f>
        <v>0</v>
      </c>
      <c r="V610" s="36" t="n">
        <f aca="false">IF(OR($D610&lt;&gt;"销项开票",N($Q610)=0),0,ROUND(N($H610)/(1+$Q610)*N(IFERROR(INDEX(单位档案!$L$6:$L$35,MATCH($E610,单位档案!$A$6:$A$35,0)),"")),2))</f>
        <v>0</v>
      </c>
      <c r="W610" s="36" t="n">
        <f aca="false">ROUND($S610+$T610+$U610+$V610,2)</f>
        <v>0</v>
      </c>
      <c r="X610" s="35" t="str">
        <f aca="false">IF(OR($D610="挂靠代收",$D610="我方收款"),COUNTIFS($D$5:$D610,"挂靠代收")+COUNTIFS($D$5:$D610,"我方收款"),"")</f>
        <v/>
      </c>
      <c r="Y610" s="35"/>
      <c r="Z610" s="21" t="s">
        <v>111</v>
      </c>
    </row>
    <row r="611" customFormat="false" ht="15.75" hidden="false" customHeight="true" outlineLevel="0" collapsed="false">
      <c r="A611" s="32" t="str">
        <f aca="false">IF($B611="","",ROW()-4)</f>
        <v/>
      </c>
      <c r="B611" s="26"/>
      <c r="C611" s="24"/>
      <c r="D611" s="21"/>
      <c r="E611" s="21"/>
      <c r="F611" s="21"/>
      <c r="G611" s="21"/>
      <c r="H611" s="27"/>
      <c r="I611" s="23" t="str">
        <f aca="false">IF($D611&lt;&gt;"销项开票","",IF($N611="一级",IF(IFERROR(INDEX(项目档案!$E$6:$E$255,MATCH($C611,项目档案!$A$6:$A$255,0)),"")="",N(IFERROR(INDEX(单位档案!$D$6:$D$35,MATCH($E611,单位档案!$A$6:$A$35,0)),"")),IFERROR(INDEX(项目档案!$E$6:$E$255,MATCH($C611,项目档案!$A$6:$A$255,0)),"")),IF($N611="二级",IF(IFERROR(INDEX(项目档案!$G$6:$G$255,MATCH($C611,项目档案!$A$6:$A$255,0)),"")="",N(IFERROR(INDEX(单位档案!$D$6:$D$35,MATCH($E611,单位档案!$A$6:$A$35,0)),"")),IFERROR(INDEX(项目档案!$G$6:$G$255,MATCH($C611,项目档案!$A$6:$A$255,0)),"")),N(IFERROR(INDEX(单位档案!$D$6:$D$35,MATCH($E611,单位档案!$A$6:$A$35,0)),"")))))</f>
        <v/>
      </c>
      <c r="J611" s="22"/>
      <c r="K611" s="22"/>
      <c r="L611" s="33" t="str">
        <f aca="false">IF($B611="","",IF(NOT(ISNUMBER($B611)),"日期格式不对",IF($C611="","未选项目编号",IF(LEFT($M611,1)="⚠","项目编号不存在",IF($D611="","未选业务类型",IF($E611="","未选开票/付款方",IF(ISNA(MATCH($E611,单位档案!$A$6:$A$35,0)),"开票方不在单位档案",IF($F611="","未选收票/收款方",IF(ISNA(MATCH($F611,单位档案!$A$6:$A$35,0)),"收款方不在单位档案",IF(NOT(ISNUMBER($H611)),"金额须为数字",IF(AND($D611="销项开票",$N611="—"),"链条待确认","√")))))))))))</f>
        <v/>
      </c>
      <c r="M611" s="34" t="str">
        <f aca="false">IF($C611="","",IFERROR(INDEX(项目档案!$B$6:$B$255,MATCH($C611,项目档案!$A$6:$A$255,0)),"⚠项目编号不存在"))</f>
        <v/>
      </c>
      <c r="N611" s="35" t="str">
        <f aca="false">IF($E611="","",IF($E611=IFERROR(INDEX(项目档案!$D$6:$D$255,MATCH($C611,项目档案!$A$6:$A$255,0)),""),"一级",IF($E611=IFERROR(INDEX(项目档案!$F$6:$F$255,MATCH($C611,项目档案!$A$6:$A$255,0)),""),"二级",IF($E611=IFERROR(INDEX(项目档案!$H$6:$H$255,MATCH($C611,项目档案!$A$6:$A$255,0)),""),"我方","—"))))</f>
        <v/>
      </c>
      <c r="O611" s="36" t="n">
        <f aca="false">IF($D611&lt;&gt;"销项开票",0,ROUND(N($H611)*N($I611),2))</f>
        <v>0</v>
      </c>
      <c r="P611" s="36" t="n">
        <f aca="false">IF($D611&lt;&gt;"销项开票",0,ROUND(N($H611)-$O611,2))</f>
        <v>0</v>
      </c>
      <c r="Q611" s="37" t="str">
        <f aca="false">IF($E611="","",N(IFERROR(INDEX(单位档案!$E$6:$E$35,MATCH($E611,单位档案!$A$6:$A$35,0)),"")))</f>
        <v/>
      </c>
      <c r="R611" s="37" t="str">
        <f aca="false">IF($E611="","",N(IFERROR(INDEX(单位档案!$F$6:$F$35,MATCH($E611,单位档案!$A$6:$A$35,0)),"")))</f>
        <v/>
      </c>
      <c r="S611" s="36" t="n">
        <f aca="false">IF(OR($D611&lt;&gt;"销项开票",IFERROR(INDEX(单位档案!$G$6:$G$35,MATCH($E611,单位档案!$A$6:$A$35,0)),"")&lt;&gt;"是",N($Q611)=0),0,IF(IFERROR(INDEX(单位档案!$H$6:$H$35,MATCH($E611,单位档案!$A$6:$A$35,0)),"")="税差法",ROUND(N($H611)/(1+$Q611)*$Q611-IF(N($R611)=0,0,$P611/(1+$R611)*$R611),2),ROUND(N($H611)/(1+$Q611)*$Q611,2)))</f>
        <v>0</v>
      </c>
      <c r="T611" s="36" t="n">
        <f aca="false">ROUND($S611*N(IFERROR(INDEX(单位档案!$J$6:$J$35,MATCH($E611,单位档案!$A$6:$A$35,0)),"")),2)</f>
        <v>0</v>
      </c>
      <c r="U611" s="36" t="n">
        <f aca="false">IF($D611&lt;&gt;"销项开票",0,ROUND(N($H611)*N(IFERROR(INDEX(单位档案!$K$6:$K$35,MATCH($E611,单位档案!$A$6:$A$35,0)),"")),2))</f>
        <v>0</v>
      </c>
      <c r="V611" s="36" t="n">
        <f aca="false">IF(OR($D611&lt;&gt;"销项开票",N($Q611)=0),0,ROUND(N($H611)/(1+$Q611)*N(IFERROR(INDEX(单位档案!$L$6:$L$35,MATCH($E611,单位档案!$A$6:$A$35,0)),"")),2))</f>
        <v>0</v>
      </c>
      <c r="W611" s="36" t="n">
        <f aca="false">ROUND($S611+$T611+$U611+$V611,2)</f>
        <v>0</v>
      </c>
      <c r="X611" s="35" t="str">
        <f aca="false">IF(OR($D611="挂靠代收",$D611="我方收款"),COUNTIFS($D$5:$D611,"挂靠代收")+COUNTIFS($D$5:$D611,"我方收款"),"")</f>
        <v/>
      </c>
      <c r="Y611" s="35"/>
      <c r="Z611" s="21" t="s">
        <v>111</v>
      </c>
    </row>
    <row r="612" customFormat="false" ht="15.75" hidden="false" customHeight="true" outlineLevel="0" collapsed="false">
      <c r="A612" s="32" t="str">
        <f aca="false">IF($B612="","",ROW()-4)</f>
        <v/>
      </c>
      <c r="B612" s="26"/>
      <c r="C612" s="24"/>
      <c r="D612" s="21"/>
      <c r="E612" s="21"/>
      <c r="F612" s="21"/>
      <c r="G612" s="21"/>
      <c r="H612" s="27"/>
      <c r="I612" s="23" t="str">
        <f aca="false">IF($D612&lt;&gt;"销项开票","",IF($N612="一级",IF(IFERROR(INDEX(项目档案!$E$6:$E$255,MATCH($C612,项目档案!$A$6:$A$255,0)),"")="",N(IFERROR(INDEX(单位档案!$D$6:$D$35,MATCH($E612,单位档案!$A$6:$A$35,0)),"")),IFERROR(INDEX(项目档案!$E$6:$E$255,MATCH($C612,项目档案!$A$6:$A$255,0)),"")),IF($N612="二级",IF(IFERROR(INDEX(项目档案!$G$6:$G$255,MATCH($C612,项目档案!$A$6:$A$255,0)),"")="",N(IFERROR(INDEX(单位档案!$D$6:$D$35,MATCH($E612,单位档案!$A$6:$A$35,0)),"")),IFERROR(INDEX(项目档案!$G$6:$G$255,MATCH($C612,项目档案!$A$6:$A$255,0)),"")),N(IFERROR(INDEX(单位档案!$D$6:$D$35,MATCH($E612,单位档案!$A$6:$A$35,0)),"")))))</f>
        <v/>
      </c>
      <c r="J612" s="22"/>
      <c r="K612" s="22"/>
      <c r="L612" s="33" t="str">
        <f aca="false">IF($B612="","",IF(NOT(ISNUMBER($B612)),"日期格式不对",IF($C612="","未选项目编号",IF(LEFT($M612,1)="⚠","项目编号不存在",IF($D612="","未选业务类型",IF($E612="","未选开票/付款方",IF(ISNA(MATCH($E612,单位档案!$A$6:$A$35,0)),"开票方不在单位档案",IF($F612="","未选收票/收款方",IF(ISNA(MATCH($F612,单位档案!$A$6:$A$35,0)),"收款方不在单位档案",IF(NOT(ISNUMBER($H612)),"金额须为数字",IF(AND($D612="销项开票",$N612="—"),"链条待确认","√")))))))))))</f>
        <v/>
      </c>
      <c r="M612" s="34" t="str">
        <f aca="false">IF($C612="","",IFERROR(INDEX(项目档案!$B$6:$B$255,MATCH($C612,项目档案!$A$6:$A$255,0)),"⚠项目编号不存在"))</f>
        <v/>
      </c>
      <c r="N612" s="35" t="str">
        <f aca="false">IF($E612="","",IF($E612=IFERROR(INDEX(项目档案!$D$6:$D$255,MATCH($C612,项目档案!$A$6:$A$255,0)),""),"一级",IF($E612=IFERROR(INDEX(项目档案!$F$6:$F$255,MATCH($C612,项目档案!$A$6:$A$255,0)),""),"二级",IF($E612=IFERROR(INDEX(项目档案!$H$6:$H$255,MATCH($C612,项目档案!$A$6:$A$255,0)),""),"我方","—"))))</f>
        <v/>
      </c>
      <c r="O612" s="36" t="n">
        <f aca="false">IF($D612&lt;&gt;"销项开票",0,ROUND(N($H612)*N($I612),2))</f>
        <v>0</v>
      </c>
      <c r="P612" s="36" t="n">
        <f aca="false">IF($D612&lt;&gt;"销项开票",0,ROUND(N($H612)-$O612,2))</f>
        <v>0</v>
      </c>
      <c r="Q612" s="37" t="str">
        <f aca="false">IF($E612="","",N(IFERROR(INDEX(单位档案!$E$6:$E$35,MATCH($E612,单位档案!$A$6:$A$35,0)),"")))</f>
        <v/>
      </c>
      <c r="R612" s="37" t="str">
        <f aca="false">IF($E612="","",N(IFERROR(INDEX(单位档案!$F$6:$F$35,MATCH($E612,单位档案!$A$6:$A$35,0)),"")))</f>
        <v/>
      </c>
      <c r="S612" s="36" t="n">
        <f aca="false">IF(OR($D612&lt;&gt;"销项开票",IFERROR(INDEX(单位档案!$G$6:$G$35,MATCH($E612,单位档案!$A$6:$A$35,0)),"")&lt;&gt;"是",N($Q612)=0),0,IF(IFERROR(INDEX(单位档案!$H$6:$H$35,MATCH($E612,单位档案!$A$6:$A$35,0)),"")="税差法",ROUND(N($H612)/(1+$Q612)*$Q612-IF(N($R612)=0,0,$P612/(1+$R612)*$R612),2),ROUND(N($H612)/(1+$Q612)*$Q612,2)))</f>
        <v>0</v>
      </c>
      <c r="T612" s="36" t="n">
        <f aca="false">ROUND($S612*N(IFERROR(INDEX(单位档案!$J$6:$J$35,MATCH($E612,单位档案!$A$6:$A$35,0)),"")),2)</f>
        <v>0</v>
      </c>
      <c r="U612" s="36" t="n">
        <f aca="false">IF($D612&lt;&gt;"销项开票",0,ROUND(N($H612)*N(IFERROR(INDEX(单位档案!$K$6:$K$35,MATCH($E612,单位档案!$A$6:$A$35,0)),"")),2))</f>
        <v>0</v>
      </c>
      <c r="V612" s="36" t="n">
        <f aca="false">IF(OR($D612&lt;&gt;"销项开票",N($Q612)=0),0,ROUND(N($H612)/(1+$Q612)*N(IFERROR(INDEX(单位档案!$L$6:$L$35,MATCH($E612,单位档案!$A$6:$A$35,0)),"")),2))</f>
        <v>0</v>
      </c>
      <c r="W612" s="36" t="n">
        <f aca="false">ROUND($S612+$T612+$U612+$V612,2)</f>
        <v>0</v>
      </c>
      <c r="X612" s="35" t="str">
        <f aca="false">IF(OR($D612="挂靠代收",$D612="我方收款"),COUNTIFS($D$5:$D612,"挂靠代收")+COUNTIFS($D$5:$D612,"我方收款"),"")</f>
        <v/>
      </c>
      <c r="Y612" s="35"/>
      <c r="Z612" s="21" t="s">
        <v>111</v>
      </c>
    </row>
    <row r="613" customFormat="false" ht="15.75" hidden="false" customHeight="true" outlineLevel="0" collapsed="false">
      <c r="A613" s="32" t="str">
        <f aca="false">IF($B613="","",ROW()-4)</f>
        <v/>
      </c>
      <c r="B613" s="26"/>
      <c r="C613" s="24"/>
      <c r="D613" s="21"/>
      <c r="E613" s="21"/>
      <c r="F613" s="21"/>
      <c r="G613" s="21"/>
      <c r="H613" s="27"/>
      <c r="I613" s="23" t="str">
        <f aca="false">IF($D613&lt;&gt;"销项开票","",IF($N613="一级",IF(IFERROR(INDEX(项目档案!$E$6:$E$255,MATCH($C613,项目档案!$A$6:$A$255,0)),"")="",N(IFERROR(INDEX(单位档案!$D$6:$D$35,MATCH($E613,单位档案!$A$6:$A$35,0)),"")),IFERROR(INDEX(项目档案!$E$6:$E$255,MATCH($C613,项目档案!$A$6:$A$255,0)),"")),IF($N613="二级",IF(IFERROR(INDEX(项目档案!$G$6:$G$255,MATCH($C613,项目档案!$A$6:$A$255,0)),"")="",N(IFERROR(INDEX(单位档案!$D$6:$D$35,MATCH($E613,单位档案!$A$6:$A$35,0)),"")),IFERROR(INDEX(项目档案!$G$6:$G$255,MATCH($C613,项目档案!$A$6:$A$255,0)),"")),N(IFERROR(INDEX(单位档案!$D$6:$D$35,MATCH($E613,单位档案!$A$6:$A$35,0)),"")))))</f>
        <v/>
      </c>
      <c r="J613" s="22"/>
      <c r="K613" s="22"/>
      <c r="L613" s="33" t="str">
        <f aca="false">IF($B613="","",IF(NOT(ISNUMBER($B613)),"日期格式不对",IF($C613="","未选项目编号",IF(LEFT($M613,1)="⚠","项目编号不存在",IF($D613="","未选业务类型",IF($E613="","未选开票/付款方",IF(ISNA(MATCH($E613,单位档案!$A$6:$A$35,0)),"开票方不在单位档案",IF($F613="","未选收票/收款方",IF(ISNA(MATCH($F613,单位档案!$A$6:$A$35,0)),"收款方不在单位档案",IF(NOT(ISNUMBER($H613)),"金额须为数字",IF(AND($D613="销项开票",$N613="—"),"链条待确认","√")))))))))))</f>
        <v/>
      </c>
      <c r="M613" s="34" t="str">
        <f aca="false">IF($C613="","",IFERROR(INDEX(项目档案!$B$6:$B$255,MATCH($C613,项目档案!$A$6:$A$255,0)),"⚠项目编号不存在"))</f>
        <v/>
      </c>
      <c r="N613" s="35" t="str">
        <f aca="false">IF($E613="","",IF($E613=IFERROR(INDEX(项目档案!$D$6:$D$255,MATCH($C613,项目档案!$A$6:$A$255,0)),""),"一级",IF($E613=IFERROR(INDEX(项目档案!$F$6:$F$255,MATCH($C613,项目档案!$A$6:$A$255,0)),""),"二级",IF($E613=IFERROR(INDEX(项目档案!$H$6:$H$255,MATCH($C613,项目档案!$A$6:$A$255,0)),""),"我方","—"))))</f>
        <v/>
      </c>
      <c r="O613" s="36" t="n">
        <f aca="false">IF($D613&lt;&gt;"销项开票",0,ROUND(N($H613)*N($I613),2))</f>
        <v>0</v>
      </c>
      <c r="P613" s="36" t="n">
        <f aca="false">IF($D613&lt;&gt;"销项开票",0,ROUND(N($H613)-$O613,2))</f>
        <v>0</v>
      </c>
      <c r="Q613" s="37" t="str">
        <f aca="false">IF($E613="","",N(IFERROR(INDEX(单位档案!$E$6:$E$35,MATCH($E613,单位档案!$A$6:$A$35,0)),"")))</f>
        <v/>
      </c>
      <c r="R613" s="37" t="str">
        <f aca="false">IF($E613="","",N(IFERROR(INDEX(单位档案!$F$6:$F$35,MATCH($E613,单位档案!$A$6:$A$35,0)),"")))</f>
        <v/>
      </c>
      <c r="S613" s="36" t="n">
        <f aca="false">IF(OR($D613&lt;&gt;"销项开票",IFERROR(INDEX(单位档案!$G$6:$G$35,MATCH($E613,单位档案!$A$6:$A$35,0)),"")&lt;&gt;"是",N($Q613)=0),0,IF(IFERROR(INDEX(单位档案!$H$6:$H$35,MATCH($E613,单位档案!$A$6:$A$35,0)),"")="税差法",ROUND(N($H613)/(1+$Q613)*$Q613-IF(N($R613)=0,0,$P613/(1+$R613)*$R613),2),ROUND(N($H613)/(1+$Q613)*$Q613,2)))</f>
        <v>0</v>
      </c>
      <c r="T613" s="36" t="n">
        <f aca="false">ROUND($S613*N(IFERROR(INDEX(单位档案!$J$6:$J$35,MATCH($E613,单位档案!$A$6:$A$35,0)),"")),2)</f>
        <v>0</v>
      </c>
      <c r="U613" s="36" t="n">
        <f aca="false">IF($D613&lt;&gt;"销项开票",0,ROUND(N($H613)*N(IFERROR(INDEX(单位档案!$K$6:$K$35,MATCH($E613,单位档案!$A$6:$A$35,0)),"")),2))</f>
        <v>0</v>
      </c>
      <c r="V613" s="36" t="n">
        <f aca="false">IF(OR($D613&lt;&gt;"销项开票",N($Q613)=0),0,ROUND(N($H613)/(1+$Q613)*N(IFERROR(INDEX(单位档案!$L$6:$L$35,MATCH($E613,单位档案!$A$6:$A$35,0)),"")),2))</f>
        <v>0</v>
      </c>
      <c r="W613" s="36" t="n">
        <f aca="false">ROUND($S613+$T613+$U613+$V613,2)</f>
        <v>0</v>
      </c>
      <c r="X613" s="35" t="str">
        <f aca="false">IF(OR($D613="挂靠代收",$D613="我方收款"),COUNTIFS($D$5:$D613,"挂靠代收")+COUNTIFS($D$5:$D613,"我方收款"),"")</f>
        <v/>
      </c>
      <c r="Y613" s="35"/>
      <c r="Z613" s="21" t="s">
        <v>111</v>
      </c>
    </row>
    <row r="614" customFormat="false" ht="15.75" hidden="false" customHeight="true" outlineLevel="0" collapsed="false">
      <c r="A614" s="32" t="str">
        <f aca="false">IF($B614="","",ROW()-4)</f>
        <v/>
      </c>
      <c r="B614" s="26"/>
      <c r="C614" s="24"/>
      <c r="D614" s="21"/>
      <c r="E614" s="21"/>
      <c r="F614" s="21"/>
      <c r="G614" s="21"/>
      <c r="H614" s="27"/>
      <c r="I614" s="23" t="str">
        <f aca="false">IF($D614&lt;&gt;"销项开票","",IF($N614="一级",IF(IFERROR(INDEX(项目档案!$E$6:$E$255,MATCH($C614,项目档案!$A$6:$A$255,0)),"")="",N(IFERROR(INDEX(单位档案!$D$6:$D$35,MATCH($E614,单位档案!$A$6:$A$35,0)),"")),IFERROR(INDEX(项目档案!$E$6:$E$255,MATCH($C614,项目档案!$A$6:$A$255,0)),"")),IF($N614="二级",IF(IFERROR(INDEX(项目档案!$G$6:$G$255,MATCH($C614,项目档案!$A$6:$A$255,0)),"")="",N(IFERROR(INDEX(单位档案!$D$6:$D$35,MATCH($E614,单位档案!$A$6:$A$35,0)),"")),IFERROR(INDEX(项目档案!$G$6:$G$255,MATCH($C614,项目档案!$A$6:$A$255,0)),"")),N(IFERROR(INDEX(单位档案!$D$6:$D$35,MATCH($E614,单位档案!$A$6:$A$35,0)),"")))))</f>
        <v/>
      </c>
      <c r="J614" s="22"/>
      <c r="K614" s="22"/>
      <c r="L614" s="33" t="str">
        <f aca="false">IF($B614="","",IF(NOT(ISNUMBER($B614)),"日期格式不对",IF($C614="","未选项目编号",IF(LEFT($M614,1)="⚠","项目编号不存在",IF($D614="","未选业务类型",IF($E614="","未选开票/付款方",IF(ISNA(MATCH($E614,单位档案!$A$6:$A$35,0)),"开票方不在单位档案",IF($F614="","未选收票/收款方",IF(ISNA(MATCH($F614,单位档案!$A$6:$A$35,0)),"收款方不在单位档案",IF(NOT(ISNUMBER($H614)),"金额须为数字",IF(AND($D614="销项开票",$N614="—"),"链条待确认","√")))))))))))</f>
        <v/>
      </c>
      <c r="M614" s="34" t="str">
        <f aca="false">IF($C614="","",IFERROR(INDEX(项目档案!$B$6:$B$255,MATCH($C614,项目档案!$A$6:$A$255,0)),"⚠项目编号不存在"))</f>
        <v/>
      </c>
      <c r="N614" s="35" t="str">
        <f aca="false">IF($E614="","",IF($E614=IFERROR(INDEX(项目档案!$D$6:$D$255,MATCH($C614,项目档案!$A$6:$A$255,0)),""),"一级",IF($E614=IFERROR(INDEX(项目档案!$F$6:$F$255,MATCH($C614,项目档案!$A$6:$A$255,0)),""),"二级",IF($E614=IFERROR(INDEX(项目档案!$H$6:$H$255,MATCH($C614,项目档案!$A$6:$A$255,0)),""),"我方","—"))))</f>
        <v/>
      </c>
      <c r="O614" s="36" t="n">
        <f aca="false">IF($D614&lt;&gt;"销项开票",0,ROUND(N($H614)*N($I614),2))</f>
        <v>0</v>
      </c>
      <c r="P614" s="36" t="n">
        <f aca="false">IF($D614&lt;&gt;"销项开票",0,ROUND(N($H614)-$O614,2))</f>
        <v>0</v>
      </c>
      <c r="Q614" s="37" t="str">
        <f aca="false">IF($E614="","",N(IFERROR(INDEX(单位档案!$E$6:$E$35,MATCH($E614,单位档案!$A$6:$A$35,0)),"")))</f>
        <v/>
      </c>
      <c r="R614" s="37" t="str">
        <f aca="false">IF($E614="","",N(IFERROR(INDEX(单位档案!$F$6:$F$35,MATCH($E614,单位档案!$A$6:$A$35,0)),"")))</f>
        <v/>
      </c>
      <c r="S614" s="36" t="n">
        <f aca="false">IF(OR($D614&lt;&gt;"销项开票",IFERROR(INDEX(单位档案!$G$6:$G$35,MATCH($E614,单位档案!$A$6:$A$35,0)),"")&lt;&gt;"是",N($Q614)=0),0,IF(IFERROR(INDEX(单位档案!$H$6:$H$35,MATCH($E614,单位档案!$A$6:$A$35,0)),"")="税差法",ROUND(N($H614)/(1+$Q614)*$Q614-IF(N($R614)=0,0,$P614/(1+$R614)*$R614),2),ROUND(N($H614)/(1+$Q614)*$Q614,2)))</f>
        <v>0</v>
      </c>
      <c r="T614" s="36" t="n">
        <f aca="false">ROUND($S614*N(IFERROR(INDEX(单位档案!$J$6:$J$35,MATCH($E614,单位档案!$A$6:$A$35,0)),"")),2)</f>
        <v>0</v>
      </c>
      <c r="U614" s="36" t="n">
        <f aca="false">IF($D614&lt;&gt;"销项开票",0,ROUND(N($H614)*N(IFERROR(INDEX(单位档案!$K$6:$K$35,MATCH($E614,单位档案!$A$6:$A$35,0)),"")),2))</f>
        <v>0</v>
      </c>
      <c r="V614" s="36" t="n">
        <f aca="false">IF(OR($D614&lt;&gt;"销项开票",N($Q614)=0),0,ROUND(N($H614)/(1+$Q614)*N(IFERROR(INDEX(单位档案!$L$6:$L$35,MATCH($E614,单位档案!$A$6:$A$35,0)),"")),2))</f>
        <v>0</v>
      </c>
      <c r="W614" s="36" t="n">
        <f aca="false">ROUND($S614+$T614+$U614+$V614,2)</f>
        <v>0</v>
      </c>
      <c r="X614" s="35" t="str">
        <f aca="false">IF(OR($D614="挂靠代收",$D614="我方收款"),COUNTIFS($D$5:$D614,"挂靠代收")+COUNTIFS($D$5:$D614,"我方收款"),"")</f>
        <v/>
      </c>
      <c r="Y614" s="35"/>
      <c r="Z614" s="21" t="s">
        <v>111</v>
      </c>
    </row>
    <row r="615" customFormat="false" ht="15.75" hidden="false" customHeight="true" outlineLevel="0" collapsed="false">
      <c r="A615" s="32" t="str">
        <f aca="false">IF($B615="","",ROW()-4)</f>
        <v/>
      </c>
      <c r="B615" s="26"/>
      <c r="C615" s="24"/>
      <c r="D615" s="21"/>
      <c r="E615" s="21"/>
      <c r="F615" s="21"/>
      <c r="G615" s="21"/>
      <c r="H615" s="27"/>
      <c r="I615" s="23" t="str">
        <f aca="false">IF($D615&lt;&gt;"销项开票","",IF($N615="一级",IF(IFERROR(INDEX(项目档案!$E$6:$E$255,MATCH($C615,项目档案!$A$6:$A$255,0)),"")="",N(IFERROR(INDEX(单位档案!$D$6:$D$35,MATCH($E615,单位档案!$A$6:$A$35,0)),"")),IFERROR(INDEX(项目档案!$E$6:$E$255,MATCH($C615,项目档案!$A$6:$A$255,0)),"")),IF($N615="二级",IF(IFERROR(INDEX(项目档案!$G$6:$G$255,MATCH($C615,项目档案!$A$6:$A$255,0)),"")="",N(IFERROR(INDEX(单位档案!$D$6:$D$35,MATCH($E615,单位档案!$A$6:$A$35,0)),"")),IFERROR(INDEX(项目档案!$G$6:$G$255,MATCH($C615,项目档案!$A$6:$A$255,0)),"")),N(IFERROR(INDEX(单位档案!$D$6:$D$35,MATCH($E615,单位档案!$A$6:$A$35,0)),"")))))</f>
        <v/>
      </c>
      <c r="J615" s="22"/>
      <c r="K615" s="22"/>
      <c r="L615" s="33" t="str">
        <f aca="false">IF($B615="","",IF(NOT(ISNUMBER($B615)),"日期格式不对",IF($C615="","未选项目编号",IF(LEFT($M615,1)="⚠","项目编号不存在",IF($D615="","未选业务类型",IF($E615="","未选开票/付款方",IF(ISNA(MATCH($E615,单位档案!$A$6:$A$35,0)),"开票方不在单位档案",IF($F615="","未选收票/收款方",IF(ISNA(MATCH($F615,单位档案!$A$6:$A$35,0)),"收款方不在单位档案",IF(NOT(ISNUMBER($H615)),"金额须为数字",IF(AND($D615="销项开票",$N615="—"),"链条待确认","√")))))))))))</f>
        <v/>
      </c>
      <c r="M615" s="34" t="str">
        <f aca="false">IF($C615="","",IFERROR(INDEX(项目档案!$B$6:$B$255,MATCH($C615,项目档案!$A$6:$A$255,0)),"⚠项目编号不存在"))</f>
        <v/>
      </c>
      <c r="N615" s="35" t="str">
        <f aca="false">IF($E615="","",IF($E615=IFERROR(INDEX(项目档案!$D$6:$D$255,MATCH($C615,项目档案!$A$6:$A$255,0)),""),"一级",IF($E615=IFERROR(INDEX(项目档案!$F$6:$F$255,MATCH($C615,项目档案!$A$6:$A$255,0)),""),"二级",IF($E615=IFERROR(INDEX(项目档案!$H$6:$H$255,MATCH($C615,项目档案!$A$6:$A$255,0)),""),"我方","—"))))</f>
        <v/>
      </c>
      <c r="O615" s="36" t="n">
        <f aca="false">IF($D615&lt;&gt;"销项开票",0,ROUND(N($H615)*N($I615),2))</f>
        <v>0</v>
      </c>
      <c r="P615" s="36" t="n">
        <f aca="false">IF($D615&lt;&gt;"销项开票",0,ROUND(N($H615)-$O615,2))</f>
        <v>0</v>
      </c>
      <c r="Q615" s="37" t="str">
        <f aca="false">IF($E615="","",N(IFERROR(INDEX(单位档案!$E$6:$E$35,MATCH($E615,单位档案!$A$6:$A$35,0)),"")))</f>
        <v/>
      </c>
      <c r="R615" s="37" t="str">
        <f aca="false">IF($E615="","",N(IFERROR(INDEX(单位档案!$F$6:$F$35,MATCH($E615,单位档案!$A$6:$A$35,0)),"")))</f>
        <v/>
      </c>
      <c r="S615" s="36" t="n">
        <f aca="false">IF(OR($D615&lt;&gt;"销项开票",IFERROR(INDEX(单位档案!$G$6:$G$35,MATCH($E615,单位档案!$A$6:$A$35,0)),"")&lt;&gt;"是",N($Q615)=0),0,IF(IFERROR(INDEX(单位档案!$H$6:$H$35,MATCH($E615,单位档案!$A$6:$A$35,0)),"")="税差法",ROUND(N($H615)/(1+$Q615)*$Q615-IF(N($R615)=0,0,$P615/(1+$R615)*$R615),2),ROUND(N($H615)/(1+$Q615)*$Q615,2)))</f>
        <v>0</v>
      </c>
      <c r="T615" s="36" t="n">
        <f aca="false">ROUND($S615*N(IFERROR(INDEX(单位档案!$J$6:$J$35,MATCH($E615,单位档案!$A$6:$A$35,0)),"")),2)</f>
        <v>0</v>
      </c>
      <c r="U615" s="36" t="n">
        <f aca="false">IF($D615&lt;&gt;"销项开票",0,ROUND(N($H615)*N(IFERROR(INDEX(单位档案!$K$6:$K$35,MATCH($E615,单位档案!$A$6:$A$35,0)),"")),2))</f>
        <v>0</v>
      </c>
      <c r="V615" s="36" t="n">
        <f aca="false">IF(OR($D615&lt;&gt;"销项开票",N($Q615)=0),0,ROUND(N($H615)/(1+$Q615)*N(IFERROR(INDEX(单位档案!$L$6:$L$35,MATCH($E615,单位档案!$A$6:$A$35,0)),"")),2))</f>
        <v>0</v>
      </c>
      <c r="W615" s="36" t="n">
        <f aca="false">ROUND($S615+$T615+$U615+$V615,2)</f>
        <v>0</v>
      </c>
      <c r="X615" s="35" t="str">
        <f aca="false">IF(OR($D615="挂靠代收",$D615="我方收款"),COUNTIFS($D$5:$D615,"挂靠代收")+COUNTIFS($D$5:$D615,"我方收款"),"")</f>
        <v/>
      </c>
      <c r="Y615" s="35"/>
      <c r="Z615" s="21" t="s">
        <v>111</v>
      </c>
    </row>
    <row r="616" customFormat="false" ht="15.75" hidden="false" customHeight="true" outlineLevel="0" collapsed="false">
      <c r="A616" s="32" t="str">
        <f aca="false">IF($B616="","",ROW()-4)</f>
        <v/>
      </c>
      <c r="B616" s="26"/>
      <c r="C616" s="24"/>
      <c r="D616" s="21"/>
      <c r="E616" s="21"/>
      <c r="F616" s="21"/>
      <c r="G616" s="21"/>
      <c r="H616" s="27"/>
      <c r="I616" s="23" t="str">
        <f aca="false">IF($D616&lt;&gt;"销项开票","",IF($N616="一级",IF(IFERROR(INDEX(项目档案!$E$6:$E$255,MATCH($C616,项目档案!$A$6:$A$255,0)),"")="",N(IFERROR(INDEX(单位档案!$D$6:$D$35,MATCH($E616,单位档案!$A$6:$A$35,0)),"")),IFERROR(INDEX(项目档案!$E$6:$E$255,MATCH($C616,项目档案!$A$6:$A$255,0)),"")),IF($N616="二级",IF(IFERROR(INDEX(项目档案!$G$6:$G$255,MATCH($C616,项目档案!$A$6:$A$255,0)),"")="",N(IFERROR(INDEX(单位档案!$D$6:$D$35,MATCH($E616,单位档案!$A$6:$A$35,0)),"")),IFERROR(INDEX(项目档案!$G$6:$G$255,MATCH($C616,项目档案!$A$6:$A$255,0)),"")),N(IFERROR(INDEX(单位档案!$D$6:$D$35,MATCH($E616,单位档案!$A$6:$A$35,0)),"")))))</f>
        <v/>
      </c>
      <c r="J616" s="22"/>
      <c r="K616" s="22"/>
      <c r="L616" s="33" t="str">
        <f aca="false">IF($B616="","",IF(NOT(ISNUMBER($B616)),"日期格式不对",IF($C616="","未选项目编号",IF(LEFT($M616,1)="⚠","项目编号不存在",IF($D616="","未选业务类型",IF($E616="","未选开票/付款方",IF(ISNA(MATCH($E616,单位档案!$A$6:$A$35,0)),"开票方不在单位档案",IF($F616="","未选收票/收款方",IF(ISNA(MATCH($F616,单位档案!$A$6:$A$35,0)),"收款方不在单位档案",IF(NOT(ISNUMBER($H616)),"金额须为数字",IF(AND($D616="销项开票",$N616="—"),"链条待确认","√")))))))))))</f>
        <v/>
      </c>
      <c r="M616" s="34" t="str">
        <f aca="false">IF($C616="","",IFERROR(INDEX(项目档案!$B$6:$B$255,MATCH($C616,项目档案!$A$6:$A$255,0)),"⚠项目编号不存在"))</f>
        <v/>
      </c>
      <c r="N616" s="35" t="str">
        <f aca="false">IF($E616="","",IF($E616=IFERROR(INDEX(项目档案!$D$6:$D$255,MATCH($C616,项目档案!$A$6:$A$255,0)),""),"一级",IF($E616=IFERROR(INDEX(项目档案!$F$6:$F$255,MATCH($C616,项目档案!$A$6:$A$255,0)),""),"二级",IF($E616=IFERROR(INDEX(项目档案!$H$6:$H$255,MATCH($C616,项目档案!$A$6:$A$255,0)),""),"我方","—"))))</f>
        <v/>
      </c>
      <c r="O616" s="36" t="n">
        <f aca="false">IF($D616&lt;&gt;"销项开票",0,ROUND(N($H616)*N($I616),2))</f>
        <v>0</v>
      </c>
      <c r="P616" s="36" t="n">
        <f aca="false">IF($D616&lt;&gt;"销项开票",0,ROUND(N($H616)-$O616,2))</f>
        <v>0</v>
      </c>
      <c r="Q616" s="37" t="str">
        <f aca="false">IF($E616="","",N(IFERROR(INDEX(单位档案!$E$6:$E$35,MATCH($E616,单位档案!$A$6:$A$35,0)),"")))</f>
        <v/>
      </c>
      <c r="R616" s="37" t="str">
        <f aca="false">IF($E616="","",N(IFERROR(INDEX(单位档案!$F$6:$F$35,MATCH($E616,单位档案!$A$6:$A$35,0)),"")))</f>
        <v/>
      </c>
      <c r="S616" s="36" t="n">
        <f aca="false">IF(OR($D616&lt;&gt;"销项开票",IFERROR(INDEX(单位档案!$G$6:$G$35,MATCH($E616,单位档案!$A$6:$A$35,0)),"")&lt;&gt;"是",N($Q616)=0),0,IF(IFERROR(INDEX(单位档案!$H$6:$H$35,MATCH($E616,单位档案!$A$6:$A$35,0)),"")="税差法",ROUND(N($H616)/(1+$Q616)*$Q616-IF(N($R616)=0,0,$P616/(1+$R616)*$R616),2),ROUND(N($H616)/(1+$Q616)*$Q616,2)))</f>
        <v>0</v>
      </c>
      <c r="T616" s="36" t="n">
        <f aca="false">ROUND($S616*N(IFERROR(INDEX(单位档案!$J$6:$J$35,MATCH($E616,单位档案!$A$6:$A$35,0)),"")),2)</f>
        <v>0</v>
      </c>
      <c r="U616" s="36" t="n">
        <f aca="false">IF($D616&lt;&gt;"销项开票",0,ROUND(N($H616)*N(IFERROR(INDEX(单位档案!$K$6:$K$35,MATCH($E616,单位档案!$A$6:$A$35,0)),"")),2))</f>
        <v>0</v>
      </c>
      <c r="V616" s="36" t="n">
        <f aca="false">IF(OR($D616&lt;&gt;"销项开票",N($Q616)=0),0,ROUND(N($H616)/(1+$Q616)*N(IFERROR(INDEX(单位档案!$L$6:$L$35,MATCH($E616,单位档案!$A$6:$A$35,0)),"")),2))</f>
        <v>0</v>
      </c>
      <c r="W616" s="36" t="n">
        <f aca="false">ROUND($S616+$T616+$U616+$V616,2)</f>
        <v>0</v>
      </c>
      <c r="X616" s="35" t="str">
        <f aca="false">IF(OR($D616="挂靠代收",$D616="我方收款"),COUNTIFS($D$5:$D616,"挂靠代收")+COUNTIFS($D$5:$D616,"我方收款"),"")</f>
        <v/>
      </c>
      <c r="Y616" s="35"/>
      <c r="Z616" s="21" t="s">
        <v>111</v>
      </c>
    </row>
    <row r="617" customFormat="false" ht="15.75" hidden="false" customHeight="true" outlineLevel="0" collapsed="false">
      <c r="A617" s="32" t="str">
        <f aca="false">IF($B617="","",ROW()-4)</f>
        <v/>
      </c>
      <c r="B617" s="26"/>
      <c r="C617" s="24"/>
      <c r="D617" s="21"/>
      <c r="E617" s="21"/>
      <c r="F617" s="21"/>
      <c r="G617" s="21"/>
      <c r="H617" s="27"/>
      <c r="I617" s="23" t="str">
        <f aca="false">IF($D617&lt;&gt;"销项开票","",IF($N617="一级",IF(IFERROR(INDEX(项目档案!$E$6:$E$255,MATCH($C617,项目档案!$A$6:$A$255,0)),"")="",N(IFERROR(INDEX(单位档案!$D$6:$D$35,MATCH($E617,单位档案!$A$6:$A$35,0)),"")),IFERROR(INDEX(项目档案!$E$6:$E$255,MATCH($C617,项目档案!$A$6:$A$255,0)),"")),IF($N617="二级",IF(IFERROR(INDEX(项目档案!$G$6:$G$255,MATCH($C617,项目档案!$A$6:$A$255,0)),"")="",N(IFERROR(INDEX(单位档案!$D$6:$D$35,MATCH($E617,单位档案!$A$6:$A$35,0)),"")),IFERROR(INDEX(项目档案!$G$6:$G$255,MATCH($C617,项目档案!$A$6:$A$255,0)),"")),N(IFERROR(INDEX(单位档案!$D$6:$D$35,MATCH($E617,单位档案!$A$6:$A$35,0)),"")))))</f>
        <v/>
      </c>
      <c r="J617" s="22"/>
      <c r="K617" s="22"/>
      <c r="L617" s="33" t="str">
        <f aca="false">IF($B617="","",IF(NOT(ISNUMBER($B617)),"日期格式不对",IF($C617="","未选项目编号",IF(LEFT($M617,1)="⚠","项目编号不存在",IF($D617="","未选业务类型",IF($E617="","未选开票/付款方",IF(ISNA(MATCH($E617,单位档案!$A$6:$A$35,0)),"开票方不在单位档案",IF($F617="","未选收票/收款方",IF(ISNA(MATCH($F617,单位档案!$A$6:$A$35,0)),"收款方不在单位档案",IF(NOT(ISNUMBER($H617)),"金额须为数字",IF(AND($D617="销项开票",$N617="—"),"链条待确认","√")))))))))))</f>
        <v/>
      </c>
      <c r="M617" s="34" t="str">
        <f aca="false">IF($C617="","",IFERROR(INDEX(项目档案!$B$6:$B$255,MATCH($C617,项目档案!$A$6:$A$255,0)),"⚠项目编号不存在"))</f>
        <v/>
      </c>
      <c r="N617" s="35" t="str">
        <f aca="false">IF($E617="","",IF($E617=IFERROR(INDEX(项目档案!$D$6:$D$255,MATCH($C617,项目档案!$A$6:$A$255,0)),""),"一级",IF($E617=IFERROR(INDEX(项目档案!$F$6:$F$255,MATCH($C617,项目档案!$A$6:$A$255,0)),""),"二级",IF($E617=IFERROR(INDEX(项目档案!$H$6:$H$255,MATCH($C617,项目档案!$A$6:$A$255,0)),""),"我方","—"))))</f>
        <v/>
      </c>
      <c r="O617" s="36" t="n">
        <f aca="false">IF($D617&lt;&gt;"销项开票",0,ROUND(N($H617)*N($I617),2))</f>
        <v>0</v>
      </c>
      <c r="P617" s="36" t="n">
        <f aca="false">IF($D617&lt;&gt;"销项开票",0,ROUND(N($H617)-$O617,2))</f>
        <v>0</v>
      </c>
      <c r="Q617" s="37" t="str">
        <f aca="false">IF($E617="","",N(IFERROR(INDEX(单位档案!$E$6:$E$35,MATCH($E617,单位档案!$A$6:$A$35,0)),"")))</f>
        <v/>
      </c>
      <c r="R617" s="37" t="str">
        <f aca="false">IF($E617="","",N(IFERROR(INDEX(单位档案!$F$6:$F$35,MATCH($E617,单位档案!$A$6:$A$35,0)),"")))</f>
        <v/>
      </c>
      <c r="S617" s="36" t="n">
        <f aca="false">IF(OR($D617&lt;&gt;"销项开票",IFERROR(INDEX(单位档案!$G$6:$G$35,MATCH($E617,单位档案!$A$6:$A$35,0)),"")&lt;&gt;"是",N($Q617)=0),0,IF(IFERROR(INDEX(单位档案!$H$6:$H$35,MATCH($E617,单位档案!$A$6:$A$35,0)),"")="税差法",ROUND(N($H617)/(1+$Q617)*$Q617-IF(N($R617)=0,0,$P617/(1+$R617)*$R617),2),ROUND(N($H617)/(1+$Q617)*$Q617,2)))</f>
        <v>0</v>
      </c>
      <c r="T617" s="36" t="n">
        <f aca="false">ROUND($S617*N(IFERROR(INDEX(单位档案!$J$6:$J$35,MATCH($E617,单位档案!$A$6:$A$35,0)),"")),2)</f>
        <v>0</v>
      </c>
      <c r="U617" s="36" t="n">
        <f aca="false">IF($D617&lt;&gt;"销项开票",0,ROUND(N($H617)*N(IFERROR(INDEX(单位档案!$K$6:$K$35,MATCH($E617,单位档案!$A$6:$A$35,0)),"")),2))</f>
        <v>0</v>
      </c>
      <c r="V617" s="36" t="n">
        <f aca="false">IF(OR($D617&lt;&gt;"销项开票",N($Q617)=0),0,ROUND(N($H617)/(1+$Q617)*N(IFERROR(INDEX(单位档案!$L$6:$L$35,MATCH($E617,单位档案!$A$6:$A$35,0)),"")),2))</f>
        <v>0</v>
      </c>
      <c r="W617" s="36" t="n">
        <f aca="false">ROUND($S617+$T617+$U617+$V617,2)</f>
        <v>0</v>
      </c>
      <c r="X617" s="35" t="str">
        <f aca="false">IF(OR($D617="挂靠代收",$D617="我方收款"),COUNTIFS($D$5:$D617,"挂靠代收")+COUNTIFS($D$5:$D617,"我方收款"),"")</f>
        <v/>
      </c>
      <c r="Y617" s="35"/>
      <c r="Z617" s="21" t="s">
        <v>111</v>
      </c>
    </row>
    <row r="618" customFormat="false" ht="15.75" hidden="false" customHeight="true" outlineLevel="0" collapsed="false">
      <c r="A618" s="32" t="str">
        <f aca="false">IF($B618="","",ROW()-4)</f>
        <v/>
      </c>
      <c r="B618" s="26"/>
      <c r="C618" s="24"/>
      <c r="D618" s="21"/>
      <c r="E618" s="21"/>
      <c r="F618" s="21"/>
      <c r="G618" s="21"/>
      <c r="H618" s="27"/>
      <c r="I618" s="23" t="str">
        <f aca="false">IF($D618&lt;&gt;"销项开票","",IF($N618="一级",IF(IFERROR(INDEX(项目档案!$E$6:$E$255,MATCH($C618,项目档案!$A$6:$A$255,0)),"")="",N(IFERROR(INDEX(单位档案!$D$6:$D$35,MATCH($E618,单位档案!$A$6:$A$35,0)),"")),IFERROR(INDEX(项目档案!$E$6:$E$255,MATCH($C618,项目档案!$A$6:$A$255,0)),"")),IF($N618="二级",IF(IFERROR(INDEX(项目档案!$G$6:$G$255,MATCH($C618,项目档案!$A$6:$A$255,0)),"")="",N(IFERROR(INDEX(单位档案!$D$6:$D$35,MATCH($E618,单位档案!$A$6:$A$35,0)),"")),IFERROR(INDEX(项目档案!$G$6:$G$255,MATCH($C618,项目档案!$A$6:$A$255,0)),"")),N(IFERROR(INDEX(单位档案!$D$6:$D$35,MATCH($E618,单位档案!$A$6:$A$35,0)),"")))))</f>
        <v/>
      </c>
      <c r="J618" s="22"/>
      <c r="K618" s="22"/>
      <c r="L618" s="33" t="str">
        <f aca="false">IF($B618="","",IF(NOT(ISNUMBER($B618)),"日期格式不对",IF($C618="","未选项目编号",IF(LEFT($M618,1)="⚠","项目编号不存在",IF($D618="","未选业务类型",IF($E618="","未选开票/付款方",IF(ISNA(MATCH($E618,单位档案!$A$6:$A$35,0)),"开票方不在单位档案",IF($F618="","未选收票/收款方",IF(ISNA(MATCH($F618,单位档案!$A$6:$A$35,0)),"收款方不在单位档案",IF(NOT(ISNUMBER($H618)),"金额须为数字",IF(AND($D618="销项开票",$N618="—"),"链条待确认","√")))))))))))</f>
        <v/>
      </c>
      <c r="M618" s="34" t="str">
        <f aca="false">IF($C618="","",IFERROR(INDEX(项目档案!$B$6:$B$255,MATCH($C618,项目档案!$A$6:$A$255,0)),"⚠项目编号不存在"))</f>
        <v/>
      </c>
      <c r="N618" s="35" t="str">
        <f aca="false">IF($E618="","",IF($E618=IFERROR(INDEX(项目档案!$D$6:$D$255,MATCH($C618,项目档案!$A$6:$A$255,0)),""),"一级",IF($E618=IFERROR(INDEX(项目档案!$F$6:$F$255,MATCH($C618,项目档案!$A$6:$A$255,0)),""),"二级",IF($E618=IFERROR(INDEX(项目档案!$H$6:$H$255,MATCH($C618,项目档案!$A$6:$A$255,0)),""),"我方","—"))))</f>
        <v/>
      </c>
      <c r="O618" s="36" t="n">
        <f aca="false">IF($D618&lt;&gt;"销项开票",0,ROUND(N($H618)*N($I618),2))</f>
        <v>0</v>
      </c>
      <c r="P618" s="36" t="n">
        <f aca="false">IF($D618&lt;&gt;"销项开票",0,ROUND(N($H618)-$O618,2))</f>
        <v>0</v>
      </c>
      <c r="Q618" s="37" t="str">
        <f aca="false">IF($E618="","",N(IFERROR(INDEX(单位档案!$E$6:$E$35,MATCH($E618,单位档案!$A$6:$A$35,0)),"")))</f>
        <v/>
      </c>
      <c r="R618" s="37" t="str">
        <f aca="false">IF($E618="","",N(IFERROR(INDEX(单位档案!$F$6:$F$35,MATCH($E618,单位档案!$A$6:$A$35,0)),"")))</f>
        <v/>
      </c>
      <c r="S618" s="36" t="n">
        <f aca="false">IF(OR($D618&lt;&gt;"销项开票",IFERROR(INDEX(单位档案!$G$6:$G$35,MATCH($E618,单位档案!$A$6:$A$35,0)),"")&lt;&gt;"是",N($Q618)=0),0,IF(IFERROR(INDEX(单位档案!$H$6:$H$35,MATCH($E618,单位档案!$A$6:$A$35,0)),"")="税差法",ROUND(N($H618)/(1+$Q618)*$Q618-IF(N($R618)=0,0,$P618/(1+$R618)*$R618),2),ROUND(N($H618)/(1+$Q618)*$Q618,2)))</f>
        <v>0</v>
      </c>
      <c r="T618" s="36" t="n">
        <f aca="false">ROUND($S618*N(IFERROR(INDEX(单位档案!$J$6:$J$35,MATCH($E618,单位档案!$A$6:$A$35,0)),"")),2)</f>
        <v>0</v>
      </c>
      <c r="U618" s="36" t="n">
        <f aca="false">IF($D618&lt;&gt;"销项开票",0,ROUND(N($H618)*N(IFERROR(INDEX(单位档案!$K$6:$K$35,MATCH($E618,单位档案!$A$6:$A$35,0)),"")),2))</f>
        <v>0</v>
      </c>
      <c r="V618" s="36" t="n">
        <f aca="false">IF(OR($D618&lt;&gt;"销项开票",N($Q618)=0),0,ROUND(N($H618)/(1+$Q618)*N(IFERROR(INDEX(单位档案!$L$6:$L$35,MATCH($E618,单位档案!$A$6:$A$35,0)),"")),2))</f>
        <v>0</v>
      </c>
      <c r="W618" s="36" t="n">
        <f aca="false">ROUND($S618+$T618+$U618+$V618,2)</f>
        <v>0</v>
      </c>
      <c r="X618" s="35" t="str">
        <f aca="false">IF(OR($D618="挂靠代收",$D618="我方收款"),COUNTIFS($D$5:$D618,"挂靠代收")+COUNTIFS($D$5:$D618,"我方收款"),"")</f>
        <v/>
      </c>
      <c r="Y618" s="35"/>
      <c r="Z618" s="21" t="s">
        <v>111</v>
      </c>
    </row>
    <row r="619" customFormat="false" ht="15.75" hidden="false" customHeight="true" outlineLevel="0" collapsed="false">
      <c r="A619" s="32" t="str">
        <f aca="false">IF($B619="","",ROW()-4)</f>
        <v/>
      </c>
      <c r="B619" s="26"/>
      <c r="C619" s="24"/>
      <c r="D619" s="21"/>
      <c r="E619" s="21"/>
      <c r="F619" s="21"/>
      <c r="G619" s="21"/>
      <c r="H619" s="27"/>
      <c r="I619" s="23" t="str">
        <f aca="false">IF($D619&lt;&gt;"销项开票","",IF($N619="一级",IF(IFERROR(INDEX(项目档案!$E$6:$E$255,MATCH($C619,项目档案!$A$6:$A$255,0)),"")="",N(IFERROR(INDEX(单位档案!$D$6:$D$35,MATCH($E619,单位档案!$A$6:$A$35,0)),"")),IFERROR(INDEX(项目档案!$E$6:$E$255,MATCH($C619,项目档案!$A$6:$A$255,0)),"")),IF($N619="二级",IF(IFERROR(INDEX(项目档案!$G$6:$G$255,MATCH($C619,项目档案!$A$6:$A$255,0)),"")="",N(IFERROR(INDEX(单位档案!$D$6:$D$35,MATCH($E619,单位档案!$A$6:$A$35,0)),"")),IFERROR(INDEX(项目档案!$G$6:$G$255,MATCH($C619,项目档案!$A$6:$A$255,0)),"")),N(IFERROR(INDEX(单位档案!$D$6:$D$35,MATCH($E619,单位档案!$A$6:$A$35,0)),"")))))</f>
        <v/>
      </c>
      <c r="J619" s="22"/>
      <c r="K619" s="22"/>
      <c r="L619" s="33" t="str">
        <f aca="false">IF($B619="","",IF(NOT(ISNUMBER($B619)),"日期格式不对",IF($C619="","未选项目编号",IF(LEFT($M619,1)="⚠","项目编号不存在",IF($D619="","未选业务类型",IF($E619="","未选开票/付款方",IF(ISNA(MATCH($E619,单位档案!$A$6:$A$35,0)),"开票方不在单位档案",IF($F619="","未选收票/收款方",IF(ISNA(MATCH($F619,单位档案!$A$6:$A$35,0)),"收款方不在单位档案",IF(NOT(ISNUMBER($H619)),"金额须为数字",IF(AND($D619="销项开票",$N619="—"),"链条待确认","√")))))))))))</f>
        <v/>
      </c>
      <c r="M619" s="34" t="str">
        <f aca="false">IF($C619="","",IFERROR(INDEX(项目档案!$B$6:$B$255,MATCH($C619,项目档案!$A$6:$A$255,0)),"⚠项目编号不存在"))</f>
        <v/>
      </c>
      <c r="N619" s="35" t="str">
        <f aca="false">IF($E619="","",IF($E619=IFERROR(INDEX(项目档案!$D$6:$D$255,MATCH($C619,项目档案!$A$6:$A$255,0)),""),"一级",IF($E619=IFERROR(INDEX(项目档案!$F$6:$F$255,MATCH($C619,项目档案!$A$6:$A$255,0)),""),"二级",IF($E619=IFERROR(INDEX(项目档案!$H$6:$H$255,MATCH($C619,项目档案!$A$6:$A$255,0)),""),"我方","—"))))</f>
        <v/>
      </c>
      <c r="O619" s="36" t="n">
        <f aca="false">IF($D619&lt;&gt;"销项开票",0,ROUND(N($H619)*N($I619),2))</f>
        <v>0</v>
      </c>
      <c r="P619" s="36" t="n">
        <f aca="false">IF($D619&lt;&gt;"销项开票",0,ROUND(N($H619)-$O619,2))</f>
        <v>0</v>
      </c>
      <c r="Q619" s="37" t="str">
        <f aca="false">IF($E619="","",N(IFERROR(INDEX(单位档案!$E$6:$E$35,MATCH($E619,单位档案!$A$6:$A$35,0)),"")))</f>
        <v/>
      </c>
      <c r="R619" s="37" t="str">
        <f aca="false">IF($E619="","",N(IFERROR(INDEX(单位档案!$F$6:$F$35,MATCH($E619,单位档案!$A$6:$A$35,0)),"")))</f>
        <v/>
      </c>
      <c r="S619" s="36" t="n">
        <f aca="false">IF(OR($D619&lt;&gt;"销项开票",IFERROR(INDEX(单位档案!$G$6:$G$35,MATCH($E619,单位档案!$A$6:$A$35,0)),"")&lt;&gt;"是",N($Q619)=0),0,IF(IFERROR(INDEX(单位档案!$H$6:$H$35,MATCH($E619,单位档案!$A$6:$A$35,0)),"")="税差法",ROUND(N($H619)/(1+$Q619)*$Q619-IF(N($R619)=0,0,$P619/(1+$R619)*$R619),2),ROUND(N($H619)/(1+$Q619)*$Q619,2)))</f>
        <v>0</v>
      </c>
      <c r="T619" s="36" t="n">
        <f aca="false">ROUND($S619*N(IFERROR(INDEX(单位档案!$J$6:$J$35,MATCH($E619,单位档案!$A$6:$A$35,0)),"")),2)</f>
        <v>0</v>
      </c>
      <c r="U619" s="36" t="n">
        <f aca="false">IF($D619&lt;&gt;"销项开票",0,ROUND(N($H619)*N(IFERROR(INDEX(单位档案!$K$6:$K$35,MATCH($E619,单位档案!$A$6:$A$35,0)),"")),2))</f>
        <v>0</v>
      </c>
      <c r="V619" s="36" t="n">
        <f aca="false">IF(OR($D619&lt;&gt;"销项开票",N($Q619)=0),0,ROUND(N($H619)/(1+$Q619)*N(IFERROR(INDEX(单位档案!$L$6:$L$35,MATCH($E619,单位档案!$A$6:$A$35,0)),"")),2))</f>
        <v>0</v>
      </c>
      <c r="W619" s="36" t="n">
        <f aca="false">ROUND($S619+$T619+$U619+$V619,2)</f>
        <v>0</v>
      </c>
      <c r="X619" s="35" t="str">
        <f aca="false">IF(OR($D619="挂靠代收",$D619="我方收款"),COUNTIFS($D$5:$D619,"挂靠代收")+COUNTIFS($D$5:$D619,"我方收款"),"")</f>
        <v/>
      </c>
      <c r="Y619" s="35"/>
      <c r="Z619" s="21" t="s">
        <v>111</v>
      </c>
    </row>
    <row r="620" customFormat="false" ht="15.75" hidden="false" customHeight="true" outlineLevel="0" collapsed="false">
      <c r="A620" s="32" t="str">
        <f aca="false">IF($B620="","",ROW()-4)</f>
        <v/>
      </c>
      <c r="B620" s="26"/>
      <c r="C620" s="24"/>
      <c r="D620" s="21"/>
      <c r="E620" s="21"/>
      <c r="F620" s="21"/>
      <c r="G620" s="21"/>
      <c r="H620" s="27"/>
      <c r="I620" s="23" t="str">
        <f aca="false">IF($D620&lt;&gt;"销项开票","",IF($N620="一级",IF(IFERROR(INDEX(项目档案!$E$6:$E$255,MATCH($C620,项目档案!$A$6:$A$255,0)),"")="",N(IFERROR(INDEX(单位档案!$D$6:$D$35,MATCH($E620,单位档案!$A$6:$A$35,0)),"")),IFERROR(INDEX(项目档案!$E$6:$E$255,MATCH($C620,项目档案!$A$6:$A$255,0)),"")),IF($N620="二级",IF(IFERROR(INDEX(项目档案!$G$6:$G$255,MATCH($C620,项目档案!$A$6:$A$255,0)),"")="",N(IFERROR(INDEX(单位档案!$D$6:$D$35,MATCH($E620,单位档案!$A$6:$A$35,0)),"")),IFERROR(INDEX(项目档案!$G$6:$G$255,MATCH($C620,项目档案!$A$6:$A$255,0)),"")),N(IFERROR(INDEX(单位档案!$D$6:$D$35,MATCH($E620,单位档案!$A$6:$A$35,0)),"")))))</f>
        <v/>
      </c>
      <c r="J620" s="22"/>
      <c r="K620" s="22"/>
      <c r="L620" s="33" t="str">
        <f aca="false">IF($B620="","",IF(NOT(ISNUMBER($B620)),"日期格式不对",IF($C620="","未选项目编号",IF(LEFT($M620,1)="⚠","项目编号不存在",IF($D620="","未选业务类型",IF($E620="","未选开票/付款方",IF(ISNA(MATCH($E620,单位档案!$A$6:$A$35,0)),"开票方不在单位档案",IF($F620="","未选收票/收款方",IF(ISNA(MATCH($F620,单位档案!$A$6:$A$35,0)),"收款方不在单位档案",IF(NOT(ISNUMBER($H620)),"金额须为数字",IF(AND($D620="销项开票",$N620="—"),"链条待确认","√")))))))))))</f>
        <v/>
      </c>
      <c r="M620" s="34" t="str">
        <f aca="false">IF($C620="","",IFERROR(INDEX(项目档案!$B$6:$B$255,MATCH($C620,项目档案!$A$6:$A$255,0)),"⚠项目编号不存在"))</f>
        <v/>
      </c>
      <c r="N620" s="35" t="str">
        <f aca="false">IF($E620="","",IF($E620=IFERROR(INDEX(项目档案!$D$6:$D$255,MATCH($C620,项目档案!$A$6:$A$255,0)),""),"一级",IF($E620=IFERROR(INDEX(项目档案!$F$6:$F$255,MATCH($C620,项目档案!$A$6:$A$255,0)),""),"二级",IF($E620=IFERROR(INDEX(项目档案!$H$6:$H$255,MATCH($C620,项目档案!$A$6:$A$255,0)),""),"我方","—"))))</f>
        <v/>
      </c>
      <c r="O620" s="36" t="n">
        <f aca="false">IF($D620&lt;&gt;"销项开票",0,ROUND(N($H620)*N($I620),2))</f>
        <v>0</v>
      </c>
      <c r="P620" s="36" t="n">
        <f aca="false">IF($D620&lt;&gt;"销项开票",0,ROUND(N($H620)-$O620,2))</f>
        <v>0</v>
      </c>
      <c r="Q620" s="37" t="str">
        <f aca="false">IF($E620="","",N(IFERROR(INDEX(单位档案!$E$6:$E$35,MATCH($E620,单位档案!$A$6:$A$35,0)),"")))</f>
        <v/>
      </c>
      <c r="R620" s="37" t="str">
        <f aca="false">IF($E620="","",N(IFERROR(INDEX(单位档案!$F$6:$F$35,MATCH($E620,单位档案!$A$6:$A$35,0)),"")))</f>
        <v/>
      </c>
      <c r="S620" s="36" t="n">
        <f aca="false">IF(OR($D620&lt;&gt;"销项开票",IFERROR(INDEX(单位档案!$G$6:$G$35,MATCH($E620,单位档案!$A$6:$A$35,0)),"")&lt;&gt;"是",N($Q620)=0),0,IF(IFERROR(INDEX(单位档案!$H$6:$H$35,MATCH($E620,单位档案!$A$6:$A$35,0)),"")="税差法",ROUND(N($H620)/(1+$Q620)*$Q620-IF(N($R620)=0,0,$P620/(1+$R620)*$R620),2),ROUND(N($H620)/(1+$Q620)*$Q620,2)))</f>
        <v>0</v>
      </c>
      <c r="T620" s="36" t="n">
        <f aca="false">ROUND($S620*N(IFERROR(INDEX(单位档案!$J$6:$J$35,MATCH($E620,单位档案!$A$6:$A$35,0)),"")),2)</f>
        <v>0</v>
      </c>
      <c r="U620" s="36" t="n">
        <f aca="false">IF($D620&lt;&gt;"销项开票",0,ROUND(N($H620)*N(IFERROR(INDEX(单位档案!$K$6:$K$35,MATCH($E620,单位档案!$A$6:$A$35,0)),"")),2))</f>
        <v>0</v>
      </c>
      <c r="V620" s="36" t="n">
        <f aca="false">IF(OR($D620&lt;&gt;"销项开票",N($Q620)=0),0,ROUND(N($H620)/(1+$Q620)*N(IFERROR(INDEX(单位档案!$L$6:$L$35,MATCH($E620,单位档案!$A$6:$A$35,0)),"")),2))</f>
        <v>0</v>
      </c>
      <c r="W620" s="36" t="n">
        <f aca="false">ROUND($S620+$T620+$U620+$V620,2)</f>
        <v>0</v>
      </c>
      <c r="X620" s="35" t="str">
        <f aca="false">IF(OR($D620="挂靠代收",$D620="我方收款"),COUNTIFS($D$5:$D620,"挂靠代收")+COUNTIFS($D$5:$D620,"我方收款"),"")</f>
        <v/>
      </c>
      <c r="Y620" s="35"/>
      <c r="Z620" s="21" t="s">
        <v>111</v>
      </c>
    </row>
    <row r="621" customFormat="false" ht="15.75" hidden="false" customHeight="true" outlineLevel="0" collapsed="false">
      <c r="A621" s="32" t="str">
        <f aca="false">IF($B621="","",ROW()-4)</f>
        <v/>
      </c>
      <c r="B621" s="26"/>
      <c r="C621" s="24"/>
      <c r="D621" s="21"/>
      <c r="E621" s="21"/>
      <c r="F621" s="21"/>
      <c r="G621" s="21"/>
      <c r="H621" s="27"/>
      <c r="I621" s="23" t="str">
        <f aca="false">IF($D621&lt;&gt;"销项开票","",IF($N621="一级",IF(IFERROR(INDEX(项目档案!$E$6:$E$255,MATCH($C621,项目档案!$A$6:$A$255,0)),"")="",N(IFERROR(INDEX(单位档案!$D$6:$D$35,MATCH($E621,单位档案!$A$6:$A$35,0)),"")),IFERROR(INDEX(项目档案!$E$6:$E$255,MATCH($C621,项目档案!$A$6:$A$255,0)),"")),IF($N621="二级",IF(IFERROR(INDEX(项目档案!$G$6:$G$255,MATCH($C621,项目档案!$A$6:$A$255,0)),"")="",N(IFERROR(INDEX(单位档案!$D$6:$D$35,MATCH($E621,单位档案!$A$6:$A$35,0)),"")),IFERROR(INDEX(项目档案!$G$6:$G$255,MATCH($C621,项目档案!$A$6:$A$255,0)),"")),N(IFERROR(INDEX(单位档案!$D$6:$D$35,MATCH($E621,单位档案!$A$6:$A$35,0)),"")))))</f>
        <v/>
      </c>
      <c r="J621" s="22"/>
      <c r="K621" s="22"/>
      <c r="L621" s="33" t="str">
        <f aca="false">IF($B621="","",IF(NOT(ISNUMBER($B621)),"日期格式不对",IF($C621="","未选项目编号",IF(LEFT($M621,1)="⚠","项目编号不存在",IF($D621="","未选业务类型",IF($E621="","未选开票/付款方",IF(ISNA(MATCH($E621,单位档案!$A$6:$A$35,0)),"开票方不在单位档案",IF($F621="","未选收票/收款方",IF(ISNA(MATCH($F621,单位档案!$A$6:$A$35,0)),"收款方不在单位档案",IF(NOT(ISNUMBER($H621)),"金额须为数字",IF(AND($D621="销项开票",$N621="—"),"链条待确认","√")))))))))))</f>
        <v/>
      </c>
      <c r="M621" s="34" t="str">
        <f aca="false">IF($C621="","",IFERROR(INDEX(项目档案!$B$6:$B$255,MATCH($C621,项目档案!$A$6:$A$255,0)),"⚠项目编号不存在"))</f>
        <v/>
      </c>
      <c r="N621" s="35" t="str">
        <f aca="false">IF($E621="","",IF($E621=IFERROR(INDEX(项目档案!$D$6:$D$255,MATCH($C621,项目档案!$A$6:$A$255,0)),""),"一级",IF($E621=IFERROR(INDEX(项目档案!$F$6:$F$255,MATCH($C621,项目档案!$A$6:$A$255,0)),""),"二级",IF($E621=IFERROR(INDEX(项目档案!$H$6:$H$255,MATCH($C621,项目档案!$A$6:$A$255,0)),""),"我方","—"))))</f>
        <v/>
      </c>
      <c r="O621" s="36" t="n">
        <f aca="false">IF($D621&lt;&gt;"销项开票",0,ROUND(N($H621)*N($I621),2))</f>
        <v>0</v>
      </c>
      <c r="P621" s="36" t="n">
        <f aca="false">IF($D621&lt;&gt;"销项开票",0,ROUND(N($H621)-$O621,2))</f>
        <v>0</v>
      </c>
      <c r="Q621" s="37" t="str">
        <f aca="false">IF($E621="","",N(IFERROR(INDEX(单位档案!$E$6:$E$35,MATCH($E621,单位档案!$A$6:$A$35,0)),"")))</f>
        <v/>
      </c>
      <c r="R621" s="37" t="str">
        <f aca="false">IF($E621="","",N(IFERROR(INDEX(单位档案!$F$6:$F$35,MATCH($E621,单位档案!$A$6:$A$35,0)),"")))</f>
        <v/>
      </c>
      <c r="S621" s="36" t="n">
        <f aca="false">IF(OR($D621&lt;&gt;"销项开票",IFERROR(INDEX(单位档案!$G$6:$G$35,MATCH($E621,单位档案!$A$6:$A$35,0)),"")&lt;&gt;"是",N($Q621)=0),0,IF(IFERROR(INDEX(单位档案!$H$6:$H$35,MATCH($E621,单位档案!$A$6:$A$35,0)),"")="税差法",ROUND(N($H621)/(1+$Q621)*$Q621-IF(N($R621)=0,0,$P621/(1+$R621)*$R621),2),ROUND(N($H621)/(1+$Q621)*$Q621,2)))</f>
        <v>0</v>
      </c>
      <c r="T621" s="36" t="n">
        <f aca="false">ROUND($S621*N(IFERROR(INDEX(单位档案!$J$6:$J$35,MATCH($E621,单位档案!$A$6:$A$35,0)),"")),2)</f>
        <v>0</v>
      </c>
      <c r="U621" s="36" t="n">
        <f aca="false">IF($D621&lt;&gt;"销项开票",0,ROUND(N($H621)*N(IFERROR(INDEX(单位档案!$K$6:$K$35,MATCH($E621,单位档案!$A$6:$A$35,0)),"")),2))</f>
        <v>0</v>
      </c>
      <c r="V621" s="36" t="n">
        <f aca="false">IF(OR($D621&lt;&gt;"销项开票",N($Q621)=0),0,ROUND(N($H621)/(1+$Q621)*N(IFERROR(INDEX(单位档案!$L$6:$L$35,MATCH($E621,单位档案!$A$6:$A$35,0)),"")),2))</f>
        <v>0</v>
      </c>
      <c r="W621" s="36" t="n">
        <f aca="false">ROUND($S621+$T621+$U621+$V621,2)</f>
        <v>0</v>
      </c>
      <c r="X621" s="35" t="str">
        <f aca="false">IF(OR($D621="挂靠代收",$D621="我方收款"),COUNTIFS($D$5:$D621,"挂靠代收")+COUNTIFS($D$5:$D621,"我方收款"),"")</f>
        <v/>
      </c>
      <c r="Y621" s="35"/>
      <c r="Z621" s="21" t="s">
        <v>111</v>
      </c>
    </row>
    <row r="622" customFormat="false" ht="15.75" hidden="false" customHeight="true" outlineLevel="0" collapsed="false">
      <c r="A622" s="32" t="str">
        <f aca="false">IF($B622="","",ROW()-4)</f>
        <v/>
      </c>
      <c r="B622" s="26"/>
      <c r="C622" s="24"/>
      <c r="D622" s="21"/>
      <c r="E622" s="21"/>
      <c r="F622" s="21"/>
      <c r="G622" s="21"/>
      <c r="H622" s="27"/>
      <c r="I622" s="23" t="str">
        <f aca="false">IF($D622&lt;&gt;"销项开票","",IF($N622="一级",IF(IFERROR(INDEX(项目档案!$E$6:$E$255,MATCH($C622,项目档案!$A$6:$A$255,0)),"")="",N(IFERROR(INDEX(单位档案!$D$6:$D$35,MATCH($E622,单位档案!$A$6:$A$35,0)),"")),IFERROR(INDEX(项目档案!$E$6:$E$255,MATCH($C622,项目档案!$A$6:$A$255,0)),"")),IF($N622="二级",IF(IFERROR(INDEX(项目档案!$G$6:$G$255,MATCH($C622,项目档案!$A$6:$A$255,0)),"")="",N(IFERROR(INDEX(单位档案!$D$6:$D$35,MATCH($E622,单位档案!$A$6:$A$35,0)),"")),IFERROR(INDEX(项目档案!$G$6:$G$255,MATCH($C622,项目档案!$A$6:$A$255,0)),"")),N(IFERROR(INDEX(单位档案!$D$6:$D$35,MATCH($E622,单位档案!$A$6:$A$35,0)),"")))))</f>
        <v/>
      </c>
      <c r="J622" s="22"/>
      <c r="K622" s="22"/>
      <c r="L622" s="33" t="str">
        <f aca="false">IF($B622="","",IF(NOT(ISNUMBER($B622)),"日期格式不对",IF($C622="","未选项目编号",IF(LEFT($M622,1)="⚠","项目编号不存在",IF($D622="","未选业务类型",IF($E622="","未选开票/付款方",IF(ISNA(MATCH($E622,单位档案!$A$6:$A$35,0)),"开票方不在单位档案",IF($F622="","未选收票/收款方",IF(ISNA(MATCH($F622,单位档案!$A$6:$A$35,0)),"收款方不在单位档案",IF(NOT(ISNUMBER($H622)),"金额须为数字",IF(AND($D622="销项开票",$N622="—"),"链条待确认","√")))))))))))</f>
        <v/>
      </c>
      <c r="M622" s="34" t="str">
        <f aca="false">IF($C622="","",IFERROR(INDEX(项目档案!$B$6:$B$255,MATCH($C622,项目档案!$A$6:$A$255,0)),"⚠项目编号不存在"))</f>
        <v/>
      </c>
      <c r="N622" s="35" t="str">
        <f aca="false">IF($E622="","",IF($E622=IFERROR(INDEX(项目档案!$D$6:$D$255,MATCH($C622,项目档案!$A$6:$A$255,0)),""),"一级",IF($E622=IFERROR(INDEX(项目档案!$F$6:$F$255,MATCH($C622,项目档案!$A$6:$A$255,0)),""),"二级",IF($E622=IFERROR(INDEX(项目档案!$H$6:$H$255,MATCH($C622,项目档案!$A$6:$A$255,0)),""),"我方","—"))))</f>
        <v/>
      </c>
      <c r="O622" s="36" t="n">
        <f aca="false">IF($D622&lt;&gt;"销项开票",0,ROUND(N($H622)*N($I622),2))</f>
        <v>0</v>
      </c>
      <c r="P622" s="36" t="n">
        <f aca="false">IF($D622&lt;&gt;"销项开票",0,ROUND(N($H622)-$O622,2))</f>
        <v>0</v>
      </c>
      <c r="Q622" s="37" t="str">
        <f aca="false">IF($E622="","",N(IFERROR(INDEX(单位档案!$E$6:$E$35,MATCH($E622,单位档案!$A$6:$A$35,0)),"")))</f>
        <v/>
      </c>
      <c r="R622" s="37" t="str">
        <f aca="false">IF($E622="","",N(IFERROR(INDEX(单位档案!$F$6:$F$35,MATCH($E622,单位档案!$A$6:$A$35,0)),"")))</f>
        <v/>
      </c>
      <c r="S622" s="36" t="n">
        <f aca="false">IF(OR($D622&lt;&gt;"销项开票",IFERROR(INDEX(单位档案!$G$6:$G$35,MATCH($E622,单位档案!$A$6:$A$35,0)),"")&lt;&gt;"是",N($Q622)=0),0,IF(IFERROR(INDEX(单位档案!$H$6:$H$35,MATCH($E622,单位档案!$A$6:$A$35,0)),"")="税差法",ROUND(N($H622)/(1+$Q622)*$Q622-IF(N($R622)=0,0,$P622/(1+$R622)*$R622),2),ROUND(N($H622)/(1+$Q622)*$Q622,2)))</f>
        <v>0</v>
      </c>
      <c r="T622" s="36" t="n">
        <f aca="false">ROUND($S622*N(IFERROR(INDEX(单位档案!$J$6:$J$35,MATCH($E622,单位档案!$A$6:$A$35,0)),"")),2)</f>
        <v>0</v>
      </c>
      <c r="U622" s="36" t="n">
        <f aca="false">IF($D622&lt;&gt;"销项开票",0,ROUND(N($H622)*N(IFERROR(INDEX(单位档案!$K$6:$K$35,MATCH($E622,单位档案!$A$6:$A$35,0)),"")),2))</f>
        <v>0</v>
      </c>
      <c r="V622" s="36" t="n">
        <f aca="false">IF(OR($D622&lt;&gt;"销项开票",N($Q622)=0),0,ROUND(N($H622)/(1+$Q622)*N(IFERROR(INDEX(单位档案!$L$6:$L$35,MATCH($E622,单位档案!$A$6:$A$35,0)),"")),2))</f>
        <v>0</v>
      </c>
      <c r="W622" s="36" t="n">
        <f aca="false">ROUND($S622+$T622+$U622+$V622,2)</f>
        <v>0</v>
      </c>
      <c r="X622" s="35" t="str">
        <f aca="false">IF(OR($D622="挂靠代收",$D622="我方收款"),COUNTIFS($D$5:$D622,"挂靠代收")+COUNTIFS($D$5:$D622,"我方收款"),"")</f>
        <v/>
      </c>
      <c r="Y622" s="35"/>
      <c r="Z622" s="21" t="s">
        <v>111</v>
      </c>
    </row>
    <row r="623" customFormat="false" ht="15.75" hidden="false" customHeight="true" outlineLevel="0" collapsed="false">
      <c r="A623" s="32" t="str">
        <f aca="false">IF($B623="","",ROW()-4)</f>
        <v/>
      </c>
      <c r="B623" s="26"/>
      <c r="C623" s="24"/>
      <c r="D623" s="21"/>
      <c r="E623" s="21"/>
      <c r="F623" s="21"/>
      <c r="G623" s="21"/>
      <c r="H623" s="27"/>
      <c r="I623" s="23" t="str">
        <f aca="false">IF($D623&lt;&gt;"销项开票","",IF($N623="一级",IF(IFERROR(INDEX(项目档案!$E$6:$E$255,MATCH($C623,项目档案!$A$6:$A$255,0)),"")="",N(IFERROR(INDEX(单位档案!$D$6:$D$35,MATCH($E623,单位档案!$A$6:$A$35,0)),"")),IFERROR(INDEX(项目档案!$E$6:$E$255,MATCH($C623,项目档案!$A$6:$A$255,0)),"")),IF($N623="二级",IF(IFERROR(INDEX(项目档案!$G$6:$G$255,MATCH($C623,项目档案!$A$6:$A$255,0)),"")="",N(IFERROR(INDEX(单位档案!$D$6:$D$35,MATCH($E623,单位档案!$A$6:$A$35,0)),"")),IFERROR(INDEX(项目档案!$G$6:$G$255,MATCH($C623,项目档案!$A$6:$A$255,0)),"")),N(IFERROR(INDEX(单位档案!$D$6:$D$35,MATCH($E623,单位档案!$A$6:$A$35,0)),"")))))</f>
        <v/>
      </c>
      <c r="J623" s="22"/>
      <c r="K623" s="22"/>
      <c r="L623" s="33" t="str">
        <f aca="false">IF($B623="","",IF(NOT(ISNUMBER($B623)),"日期格式不对",IF($C623="","未选项目编号",IF(LEFT($M623,1)="⚠","项目编号不存在",IF($D623="","未选业务类型",IF($E623="","未选开票/付款方",IF(ISNA(MATCH($E623,单位档案!$A$6:$A$35,0)),"开票方不在单位档案",IF($F623="","未选收票/收款方",IF(ISNA(MATCH($F623,单位档案!$A$6:$A$35,0)),"收款方不在单位档案",IF(NOT(ISNUMBER($H623)),"金额须为数字",IF(AND($D623="销项开票",$N623="—"),"链条待确认","√")))))))))))</f>
        <v/>
      </c>
      <c r="M623" s="34" t="str">
        <f aca="false">IF($C623="","",IFERROR(INDEX(项目档案!$B$6:$B$255,MATCH($C623,项目档案!$A$6:$A$255,0)),"⚠项目编号不存在"))</f>
        <v/>
      </c>
      <c r="N623" s="35" t="str">
        <f aca="false">IF($E623="","",IF($E623=IFERROR(INDEX(项目档案!$D$6:$D$255,MATCH($C623,项目档案!$A$6:$A$255,0)),""),"一级",IF($E623=IFERROR(INDEX(项目档案!$F$6:$F$255,MATCH($C623,项目档案!$A$6:$A$255,0)),""),"二级",IF($E623=IFERROR(INDEX(项目档案!$H$6:$H$255,MATCH($C623,项目档案!$A$6:$A$255,0)),""),"我方","—"))))</f>
        <v/>
      </c>
      <c r="O623" s="36" t="n">
        <f aca="false">IF($D623&lt;&gt;"销项开票",0,ROUND(N($H623)*N($I623),2))</f>
        <v>0</v>
      </c>
      <c r="P623" s="36" t="n">
        <f aca="false">IF($D623&lt;&gt;"销项开票",0,ROUND(N($H623)-$O623,2))</f>
        <v>0</v>
      </c>
      <c r="Q623" s="37" t="str">
        <f aca="false">IF($E623="","",N(IFERROR(INDEX(单位档案!$E$6:$E$35,MATCH($E623,单位档案!$A$6:$A$35,0)),"")))</f>
        <v/>
      </c>
      <c r="R623" s="37" t="str">
        <f aca="false">IF($E623="","",N(IFERROR(INDEX(单位档案!$F$6:$F$35,MATCH($E623,单位档案!$A$6:$A$35,0)),"")))</f>
        <v/>
      </c>
      <c r="S623" s="36" t="n">
        <f aca="false">IF(OR($D623&lt;&gt;"销项开票",IFERROR(INDEX(单位档案!$G$6:$G$35,MATCH($E623,单位档案!$A$6:$A$35,0)),"")&lt;&gt;"是",N($Q623)=0),0,IF(IFERROR(INDEX(单位档案!$H$6:$H$35,MATCH($E623,单位档案!$A$6:$A$35,0)),"")="税差法",ROUND(N($H623)/(1+$Q623)*$Q623-IF(N($R623)=0,0,$P623/(1+$R623)*$R623),2),ROUND(N($H623)/(1+$Q623)*$Q623,2)))</f>
        <v>0</v>
      </c>
      <c r="T623" s="36" t="n">
        <f aca="false">ROUND($S623*N(IFERROR(INDEX(单位档案!$J$6:$J$35,MATCH($E623,单位档案!$A$6:$A$35,0)),"")),2)</f>
        <v>0</v>
      </c>
      <c r="U623" s="36" t="n">
        <f aca="false">IF($D623&lt;&gt;"销项开票",0,ROUND(N($H623)*N(IFERROR(INDEX(单位档案!$K$6:$K$35,MATCH($E623,单位档案!$A$6:$A$35,0)),"")),2))</f>
        <v>0</v>
      </c>
      <c r="V623" s="36" t="n">
        <f aca="false">IF(OR($D623&lt;&gt;"销项开票",N($Q623)=0),0,ROUND(N($H623)/(1+$Q623)*N(IFERROR(INDEX(单位档案!$L$6:$L$35,MATCH($E623,单位档案!$A$6:$A$35,0)),"")),2))</f>
        <v>0</v>
      </c>
      <c r="W623" s="36" t="n">
        <f aca="false">ROUND($S623+$T623+$U623+$V623,2)</f>
        <v>0</v>
      </c>
      <c r="X623" s="35" t="str">
        <f aca="false">IF(OR($D623="挂靠代收",$D623="我方收款"),COUNTIFS($D$5:$D623,"挂靠代收")+COUNTIFS($D$5:$D623,"我方收款"),"")</f>
        <v/>
      </c>
      <c r="Y623" s="35"/>
      <c r="Z623" s="21" t="s">
        <v>111</v>
      </c>
    </row>
    <row r="624" customFormat="false" ht="15.75" hidden="false" customHeight="true" outlineLevel="0" collapsed="false">
      <c r="A624" s="32" t="str">
        <f aca="false">IF($B624="","",ROW()-4)</f>
        <v/>
      </c>
      <c r="B624" s="26"/>
      <c r="C624" s="24"/>
      <c r="D624" s="21"/>
      <c r="E624" s="21"/>
      <c r="F624" s="21"/>
      <c r="G624" s="21"/>
      <c r="H624" s="27"/>
      <c r="I624" s="23" t="str">
        <f aca="false">IF($D624&lt;&gt;"销项开票","",IF($N624="一级",IF(IFERROR(INDEX(项目档案!$E$6:$E$255,MATCH($C624,项目档案!$A$6:$A$255,0)),"")="",N(IFERROR(INDEX(单位档案!$D$6:$D$35,MATCH($E624,单位档案!$A$6:$A$35,0)),"")),IFERROR(INDEX(项目档案!$E$6:$E$255,MATCH($C624,项目档案!$A$6:$A$255,0)),"")),IF($N624="二级",IF(IFERROR(INDEX(项目档案!$G$6:$G$255,MATCH($C624,项目档案!$A$6:$A$255,0)),"")="",N(IFERROR(INDEX(单位档案!$D$6:$D$35,MATCH($E624,单位档案!$A$6:$A$35,0)),"")),IFERROR(INDEX(项目档案!$G$6:$G$255,MATCH($C624,项目档案!$A$6:$A$255,0)),"")),N(IFERROR(INDEX(单位档案!$D$6:$D$35,MATCH($E624,单位档案!$A$6:$A$35,0)),"")))))</f>
        <v/>
      </c>
      <c r="J624" s="22"/>
      <c r="K624" s="22"/>
      <c r="L624" s="33" t="str">
        <f aca="false">IF($B624="","",IF(NOT(ISNUMBER($B624)),"日期格式不对",IF($C624="","未选项目编号",IF(LEFT($M624,1)="⚠","项目编号不存在",IF($D624="","未选业务类型",IF($E624="","未选开票/付款方",IF(ISNA(MATCH($E624,单位档案!$A$6:$A$35,0)),"开票方不在单位档案",IF($F624="","未选收票/收款方",IF(ISNA(MATCH($F624,单位档案!$A$6:$A$35,0)),"收款方不在单位档案",IF(NOT(ISNUMBER($H624)),"金额须为数字",IF(AND($D624="销项开票",$N624="—"),"链条待确认","√")))))))))))</f>
        <v/>
      </c>
      <c r="M624" s="34" t="str">
        <f aca="false">IF($C624="","",IFERROR(INDEX(项目档案!$B$6:$B$255,MATCH($C624,项目档案!$A$6:$A$255,0)),"⚠项目编号不存在"))</f>
        <v/>
      </c>
      <c r="N624" s="35" t="str">
        <f aca="false">IF($E624="","",IF($E624=IFERROR(INDEX(项目档案!$D$6:$D$255,MATCH($C624,项目档案!$A$6:$A$255,0)),""),"一级",IF($E624=IFERROR(INDEX(项目档案!$F$6:$F$255,MATCH($C624,项目档案!$A$6:$A$255,0)),""),"二级",IF($E624=IFERROR(INDEX(项目档案!$H$6:$H$255,MATCH($C624,项目档案!$A$6:$A$255,0)),""),"我方","—"))))</f>
        <v/>
      </c>
      <c r="O624" s="36" t="n">
        <f aca="false">IF($D624&lt;&gt;"销项开票",0,ROUND(N($H624)*N($I624),2))</f>
        <v>0</v>
      </c>
      <c r="P624" s="36" t="n">
        <f aca="false">IF($D624&lt;&gt;"销项开票",0,ROUND(N($H624)-$O624,2))</f>
        <v>0</v>
      </c>
      <c r="Q624" s="37" t="str">
        <f aca="false">IF($E624="","",N(IFERROR(INDEX(单位档案!$E$6:$E$35,MATCH($E624,单位档案!$A$6:$A$35,0)),"")))</f>
        <v/>
      </c>
      <c r="R624" s="37" t="str">
        <f aca="false">IF($E624="","",N(IFERROR(INDEX(单位档案!$F$6:$F$35,MATCH($E624,单位档案!$A$6:$A$35,0)),"")))</f>
        <v/>
      </c>
      <c r="S624" s="36" t="n">
        <f aca="false">IF(OR($D624&lt;&gt;"销项开票",IFERROR(INDEX(单位档案!$G$6:$G$35,MATCH($E624,单位档案!$A$6:$A$35,0)),"")&lt;&gt;"是",N($Q624)=0),0,IF(IFERROR(INDEX(单位档案!$H$6:$H$35,MATCH($E624,单位档案!$A$6:$A$35,0)),"")="税差法",ROUND(N($H624)/(1+$Q624)*$Q624-IF(N($R624)=0,0,$P624/(1+$R624)*$R624),2),ROUND(N($H624)/(1+$Q624)*$Q624,2)))</f>
        <v>0</v>
      </c>
      <c r="T624" s="36" t="n">
        <f aca="false">ROUND($S624*N(IFERROR(INDEX(单位档案!$J$6:$J$35,MATCH($E624,单位档案!$A$6:$A$35,0)),"")),2)</f>
        <v>0</v>
      </c>
      <c r="U624" s="36" t="n">
        <f aca="false">IF($D624&lt;&gt;"销项开票",0,ROUND(N($H624)*N(IFERROR(INDEX(单位档案!$K$6:$K$35,MATCH($E624,单位档案!$A$6:$A$35,0)),"")),2))</f>
        <v>0</v>
      </c>
      <c r="V624" s="36" t="n">
        <f aca="false">IF(OR($D624&lt;&gt;"销项开票",N($Q624)=0),0,ROUND(N($H624)/(1+$Q624)*N(IFERROR(INDEX(单位档案!$L$6:$L$35,MATCH($E624,单位档案!$A$6:$A$35,0)),"")),2))</f>
        <v>0</v>
      </c>
      <c r="W624" s="36" t="n">
        <f aca="false">ROUND($S624+$T624+$U624+$V624,2)</f>
        <v>0</v>
      </c>
      <c r="X624" s="35" t="str">
        <f aca="false">IF(OR($D624="挂靠代收",$D624="我方收款"),COUNTIFS($D$5:$D624,"挂靠代收")+COUNTIFS($D$5:$D624,"我方收款"),"")</f>
        <v/>
      </c>
      <c r="Y624" s="35"/>
      <c r="Z624" s="21" t="s">
        <v>111</v>
      </c>
    </row>
    <row r="625" customFormat="false" ht="15.75" hidden="false" customHeight="true" outlineLevel="0" collapsed="false">
      <c r="A625" s="32" t="str">
        <f aca="false">IF($B625="","",ROW()-4)</f>
        <v/>
      </c>
      <c r="B625" s="26"/>
      <c r="C625" s="24"/>
      <c r="D625" s="21"/>
      <c r="E625" s="21"/>
      <c r="F625" s="21"/>
      <c r="G625" s="21"/>
      <c r="H625" s="27"/>
      <c r="I625" s="23" t="str">
        <f aca="false">IF($D625&lt;&gt;"销项开票","",IF($N625="一级",IF(IFERROR(INDEX(项目档案!$E$6:$E$255,MATCH($C625,项目档案!$A$6:$A$255,0)),"")="",N(IFERROR(INDEX(单位档案!$D$6:$D$35,MATCH($E625,单位档案!$A$6:$A$35,0)),"")),IFERROR(INDEX(项目档案!$E$6:$E$255,MATCH($C625,项目档案!$A$6:$A$255,0)),"")),IF($N625="二级",IF(IFERROR(INDEX(项目档案!$G$6:$G$255,MATCH($C625,项目档案!$A$6:$A$255,0)),"")="",N(IFERROR(INDEX(单位档案!$D$6:$D$35,MATCH($E625,单位档案!$A$6:$A$35,0)),"")),IFERROR(INDEX(项目档案!$G$6:$G$255,MATCH($C625,项目档案!$A$6:$A$255,0)),"")),N(IFERROR(INDEX(单位档案!$D$6:$D$35,MATCH($E625,单位档案!$A$6:$A$35,0)),"")))))</f>
        <v/>
      </c>
      <c r="J625" s="22"/>
      <c r="K625" s="22"/>
      <c r="L625" s="33" t="str">
        <f aca="false">IF($B625="","",IF(NOT(ISNUMBER($B625)),"日期格式不对",IF($C625="","未选项目编号",IF(LEFT($M625,1)="⚠","项目编号不存在",IF($D625="","未选业务类型",IF($E625="","未选开票/付款方",IF(ISNA(MATCH($E625,单位档案!$A$6:$A$35,0)),"开票方不在单位档案",IF($F625="","未选收票/收款方",IF(ISNA(MATCH($F625,单位档案!$A$6:$A$35,0)),"收款方不在单位档案",IF(NOT(ISNUMBER($H625)),"金额须为数字",IF(AND($D625="销项开票",$N625="—"),"链条待确认","√")))))))))))</f>
        <v/>
      </c>
      <c r="M625" s="34" t="str">
        <f aca="false">IF($C625="","",IFERROR(INDEX(项目档案!$B$6:$B$255,MATCH($C625,项目档案!$A$6:$A$255,0)),"⚠项目编号不存在"))</f>
        <v/>
      </c>
      <c r="N625" s="35" t="str">
        <f aca="false">IF($E625="","",IF($E625=IFERROR(INDEX(项目档案!$D$6:$D$255,MATCH($C625,项目档案!$A$6:$A$255,0)),""),"一级",IF($E625=IFERROR(INDEX(项目档案!$F$6:$F$255,MATCH($C625,项目档案!$A$6:$A$255,0)),""),"二级",IF($E625=IFERROR(INDEX(项目档案!$H$6:$H$255,MATCH($C625,项目档案!$A$6:$A$255,0)),""),"我方","—"))))</f>
        <v/>
      </c>
      <c r="O625" s="36" t="n">
        <f aca="false">IF($D625&lt;&gt;"销项开票",0,ROUND(N($H625)*N($I625),2))</f>
        <v>0</v>
      </c>
      <c r="P625" s="36" t="n">
        <f aca="false">IF($D625&lt;&gt;"销项开票",0,ROUND(N($H625)-$O625,2))</f>
        <v>0</v>
      </c>
      <c r="Q625" s="37" t="str">
        <f aca="false">IF($E625="","",N(IFERROR(INDEX(单位档案!$E$6:$E$35,MATCH($E625,单位档案!$A$6:$A$35,0)),"")))</f>
        <v/>
      </c>
      <c r="R625" s="37" t="str">
        <f aca="false">IF($E625="","",N(IFERROR(INDEX(单位档案!$F$6:$F$35,MATCH($E625,单位档案!$A$6:$A$35,0)),"")))</f>
        <v/>
      </c>
      <c r="S625" s="36" t="n">
        <f aca="false">IF(OR($D625&lt;&gt;"销项开票",IFERROR(INDEX(单位档案!$G$6:$G$35,MATCH($E625,单位档案!$A$6:$A$35,0)),"")&lt;&gt;"是",N($Q625)=0),0,IF(IFERROR(INDEX(单位档案!$H$6:$H$35,MATCH($E625,单位档案!$A$6:$A$35,0)),"")="税差法",ROUND(N($H625)/(1+$Q625)*$Q625-IF(N($R625)=0,0,$P625/(1+$R625)*$R625),2),ROUND(N($H625)/(1+$Q625)*$Q625,2)))</f>
        <v>0</v>
      </c>
      <c r="T625" s="36" t="n">
        <f aca="false">ROUND($S625*N(IFERROR(INDEX(单位档案!$J$6:$J$35,MATCH($E625,单位档案!$A$6:$A$35,0)),"")),2)</f>
        <v>0</v>
      </c>
      <c r="U625" s="36" t="n">
        <f aca="false">IF($D625&lt;&gt;"销项开票",0,ROUND(N($H625)*N(IFERROR(INDEX(单位档案!$K$6:$K$35,MATCH($E625,单位档案!$A$6:$A$35,0)),"")),2))</f>
        <v>0</v>
      </c>
      <c r="V625" s="36" t="n">
        <f aca="false">IF(OR($D625&lt;&gt;"销项开票",N($Q625)=0),0,ROUND(N($H625)/(1+$Q625)*N(IFERROR(INDEX(单位档案!$L$6:$L$35,MATCH($E625,单位档案!$A$6:$A$35,0)),"")),2))</f>
        <v>0</v>
      </c>
      <c r="W625" s="36" t="n">
        <f aca="false">ROUND($S625+$T625+$U625+$V625,2)</f>
        <v>0</v>
      </c>
      <c r="X625" s="35" t="str">
        <f aca="false">IF(OR($D625="挂靠代收",$D625="我方收款"),COUNTIFS($D$5:$D625,"挂靠代收")+COUNTIFS($D$5:$D625,"我方收款"),"")</f>
        <v/>
      </c>
      <c r="Y625" s="35"/>
      <c r="Z625" s="21" t="s">
        <v>111</v>
      </c>
    </row>
    <row r="626" customFormat="false" ht="15.75" hidden="false" customHeight="true" outlineLevel="0" collapsed="false">
      <c r="A626" s="32" t="str">
        <f aca="false">IF($B626="","",ROW()-4)</f>
        <v/>
      </c>
      <c r="B626" s="26"/>
      <c r="C626" s="24"/>
      <c r="D626" s="21"/>
      <c r="E626" s="21"/>
      <c r="F626" s="21"/>
      <c r="G626" s="21"/>
      <c r="H626" s="27"/>
      <c r="I626" s="23" t="str">
        <f aca="false">IF($D626&lt;&gt;"销项开票","",IF($N626="一级",IF(IFERROR(INDEX(项目档案!$E$6:$E$255,MATCH($C626,项目档案!$A$6:$A$255,0)),"")="",N(IFERROR(INDEX(单位档案!$D$6:$D$35,MATCH($E626,单位档案!$A$6:$A$35,0)),"")),IFERROR(INDEX(项目档案!$E$6:$E$255,MATCH($C626,项目档案!$A$6:$A$255,0)),"")),IF($N626="二级",IF(IFERROR(INDEX(项目档案!$G$6:$G$255,MATCH($C626,项目档案!$A$6:$A$255,0)),"")="",N(IFERROR(INDEX(单位档案!$D$6:$D$35,MATCH($E626,单位档案!$A$6:$A$35,0)),"")),IFERROR(INDEX(项目档案!$G$6:$G$255,MATCH($C626,项目档案!$A$6:$A$255,0)),"")),N(IFERROR(INDEX(单位档案!$D$6:$D$35,MATCH($E626,单位档案!$A$6:$A$35,0)),"")))))</f>
        <v/>
      </c>
      <c r="J626" s="22"/>
      <c r="K626" s="22"/>
      <c r="L626" s="33" t="str">
        <f aca="false">IF($B626="","",IF(NOT(ISNUMBER($B626)),"日期格式不对",IF($C626="","未选项目编号",IF(LEFT($M626,1)="⚠","项目编号不存在",IF($D626="","未选业务类型",IF($E626="","未选开票/付款方",IF(ISNA(MATCH($E626,单位档案!$A$6:$A$35,0)),"开票方不在单位档案",IF($F626="","未选收票/收款方",IF(ISNA(MATCH($F626,单位档案!$A$6:$A$35,0)),"收款方不在单位档案",IF(NOT(ISNUMBER($H626)),"金额须为数字",IF(AND($D626="销项开票",$N626="—"),"链条待确认","√")))))))))))</f>
        <v/>
      </c>
      <c r="M626" s="34" t="str">
        <f aca="false">IF($C626="","",IFERROR(INDEX(项目档案!$B$6:$B$255,MATCH($C626,项目档案!$A$6:$A$255,0)),"⚠项目编号不存在"))</f>
        <v/>
      </c>
      <c r="N626" s="35" t="str">
        <f aca="false">IF($E626="","",IF($E626=IFERROR(INDEX(项目档案!$D$6:$D$255,MATCH($C626,项目档案!$A$6:$A$255,0)),""),"一级",IF($E626=IFERROR(INDEX(项目档案!$F$6:$F$255,MATCH($C626,项目档案!$A$6:$A$255,0)),""),"二级",IF($E626=IFERROR(INDEX(项目档案!$H$6:$H$255,MATCH($C626,项目档案!$A$6:$A$255,0)),""),"我方","—"))))</f>
        <v/>
      </c>
      <c r="O626" s="36" t="n">
        <f aca="false">IF($D626&lt;&gt;"销项开票",0,ROUND(N($H626)*N($I626),2))</f>
        <v>0</v>
      </c>
      <c r="P626" s="36" t="n">
        <f aca="false">IF($D626&lt;&gt;"销项开票",0,ROUND(N($H626)-$O626,2))</f>
        <v>0</v>
      </c>
      <c r="Q626" s="37" t="str">
        <f aca="false">IF($E626="","",N(IFERROR(INDEX(单位档案!$E$6:$E$35,MATCH($E626,单位档案!$A$6:$A$35,0)),"")))</f>
        <v/>
      </c>
      <c r="R626" s="37" t="str">
        <f aca="false">IF($E626="","",N(IFERROR(INDEX(单位档案!$F$6:$F$35,MATCH($E626,单位档案!$A$6:$A$35,0)),"")))</f>
        <v/>
      </c>
      <c r="S626" s="36" t="n">
        <f aca="false">IF(OR($D626&lt;&gt;"销项开票",IFERROR(INDEX(单位档案!$G$6:$G$35,MATCH($E626,单位档案!$A$6:$A$35,0)),"")&lt;&gt;"是",N($Q626)=0),0,IF(IFERROR(INDEX(单位档案!$H$6:$H$35,MATCH($E626,单位档案!$A$6:$A$35,0)),"")="税差法",ROUND(N($H626)/(1+$Q626)*$Q626-IF(N($R626)=0,0,$P626/(1+$R626)*$R626),2),ROUND(N($H626)/(1+$Q626)*$Q626,2)))</f>
        <v>0</v>
      </c>
      <c r="T626" s="36" t="n">
        <f aca="false">ROUND($S626*N(IFERROR(INDEX(单位档案!$J$6:$J$35,MATCH($E626,单位档案!$A$6:$A$35,0)),"")),2)</f>
        <v>0</v>
      </c>
      <c r="U626" s="36" t="n">
        <f aca="false">IF($D626&lt;&gt;"销项开票",0,ROUND(N($H626)*N(IFERROR(INDEX(单位档案!$K$6:$K$35,MATCH($E626,单位档案!$A$6:$A$35,0)),"")),2))</f>
        <v>0</v>
      </c>
      <c r="V626" s="36" t="n">
        <f aca="false">IF(OR($D626&lt;&gt;"销项开票",N($Q626)=0),0,ROUND(N($H626)/(1+$Q626)*N(IFERROR(INDEX(单位档案!$L$6:$L$35,MATCH($E626,单位档案!$A$6:$A$35,0)),"")),2))</f>
        <v>0</v>
      </c>
      <c r="W626" s="36" t="n">
        <f aca="false">ROUND($S626+$T626+$U626+$V626,2)</f>
        <v>0</v>
      </c>
      <c r="X626" s="35" t="str">
        <f aca="false">IF(OR($D626="挂靠代收",$D626="我方收款"),COUNTIFS($D$5:$D626,"挂靠代收")+COUNTIFS($D$5:$D626,"我方收款"),"")</f>
        <v/>
      </c>
      <c r="Y626" s="35"/>
      <c r="Z626" s="21" t="s">
        <v>111</v>
      </c>
    </row>
    <row r="627" customFormat="false" ht="15.75" hidden="false" customHeight="true" outlineLevel="0" collapsed="false">
      <c r="A627" s="32" t="str">
        <f aca="false">IF($B627="","",ROW()-4)</f>
        <v/>
      </c>
      <c r="B627" s="26"/>
      <c r="C627" s="24"/>
      <c r="D627" s="21"/>
      <c r="E627" s="21"/>
      <c r="F627" s="21"/>
      <c r="G627" s="21"/>
      <c r="H627" s="27"/>
      <c r="I627" s="23" t="str">
        <f aca="false">IF($D627&lt;&gt;"销项开票","",IF($N627="一级",IF(IFERROR(INDEX(项目档案!$E$6:$E$255,MATCH($C627,项目档案!$A$6:$A$255,0)),"")="",N(IFERROR(INDEX(单位档案!$D$6:$D$35,MATCH($E627,单位档案!$A$6:$A$35,0)),"")),IFERROR(INDEX(项目档案!$E$6:$E$255,MATCH($C627,项目档案!$A$6:$A$255,0)),"")),IF($N627="二级",IF(IFERROR(INDEX(项目档案!$G$6:$G$255,MATCH($C627,项目档案!$A$6:$A$255,0)),"")="",N(IFERROR(INDEX(单位档案!$D$6:$D$35,MATCH($E627,单位档案!$A$6:$A$35,0)),"")),IFERROR(INDEX(项目档案!$G$6:$G$255,MATCH($C627,项目档案!$A$6:$A$255,0)),"")),N(IFERROR(INDEX(单位档案!$D$6:$D$35,MATCH($E627,单位档案!$A$6:$A$35,0)),"")))))</f>
        <v/>
      </c>
      <c r="J627" s="22"/>
      <c r="K627" s="22"/>
      <c r="L627" s="33" t="str">
        <f aca="false">IF($B627="","",IF(NOT(ISNUMBER($B627)),"日期格式不对",IF($C627="","未选项目编号",IF(LEFT($M627,1)="⚠","项目编号不存在",IF($D627="","未选业务类型",IF($E627="","未选开票/付款方",IF(ISNA(MATCH($E627,单位档案!$A$6:$A$35,0)),"开票方不在单位档案",IF($F627="","未选收票/收款方",IF(ISNA(MATCH($F627,单位档案!$A$6:$A$35,0)),"收款方不在单位档案",IF(NOT(ISNUMBER($H627)),"金额须为数字",IF(AND($D627="销项开票",$N627="—"),"链条待确认","√")))))))))))</f>
        <v/>
      </c>
      <c r="M627" s="34" t="str">
        <f aca="false">IF($C627="","",IFERROR(INDEX(项目档案!$B$6:$B$255,MATCH($C627,项目档案!$A$6:$A$255,0)),"⚠项目编号不存在"))</f>
        <v/>
      </c>
      <c r="N627" s="35" t="str">
        <f aca="false">IF($E627="","",IF($E627=IFERROR(INDEX(项目档案!$D$6:$D$255,MATCH($C627,项目档案!$A$6:$A$255,0)),""),"一级",IF($E627=IFERROR(INDEX(项目档案!$F$6:$F$255,MATCH($C627,项目档案!$A$6:$A$255,0)),""),"二级",IF($E627=IFERROR(INDEX(项目档案!$H$6:$H$255,MATCH($C627,项目档案!$A$6:$A$255,0)),""),"我方","—"))))</f>
        <v/>
      </c>
      <c r="O627" s="36" t="n">
        <f aca="false">IF($D627&lt;&gt;"销项开票",0,ROUND(N($H627)*N($I627),2))</f>
        <v>0</v>
      </c>
      <c r="P627" s="36" t="n">
        <f aca="false">IF($D627&lt;&gt;"销项开票",0,ROUND(N($H627)-$O627,2))</f>
        <v>0</v>
      </c>
      <c r="Q627" s="37" t="str">
        <f aca="false">IF($E627="","",N(IFERROR(INDEX(单位档案!$E$6:$E$35,MATCH($E627,单位档案!$A$6:$A$35,0)),"")))</f>
        <v/>
      </c>
      <c r="R627" s="37" t="str">
        <f aca="false">IF($E627="","",N(IFERROR(INDEX(单位档案!$F$6:$F$35,MATCH($E627,单位档案!$A$6:$A$35,0)),"")))</f>
        <v/>
      </c>
      <c r="S627" s="36" t="n">
        <f aca="false">IF(OR($D627&lt;&gt;"销项开票",IFERROR(INDEX(单位档案!$G$6:$G$35,MATCH($E627,单位档案!$A$6:$A$35,0)),"")&lt;&gt;"是",N($Q627)=0),0,IF(IFERROR(INDEX(单位档案!$H$6:$H$35,MATCH($E627,单位档案!$A$6:$A$35,0)),"")="税差法",ROUND(N($H627)/(1+$Q627)*$Q627-IF(N($R627)=0,0,$P627/(1+$R627)*$R627),2),ROUND(N($H627)/(1+$Q627)*$Q627,2)))</f>
        <v>0</v>
      </c>
      <c r="T627" s="36" t="n">
        <f aca="false">ROUND($S627*N(IFERROR(INDEX(单位档案!$J$6:$J$35,MATCH($E627,单位档案!$A$6:$A$35,0)),"")),2)</f>
        <v>0</v>
      </c>
      <c r="U627" s="36" t="n">
        <f aca="false">IF($D627&lt;&gt;"销项开票",0,ROUND(N($H627)*N(IFERROR(INDEX(单位档案!$K$6:$K$35,MATCH($E627,单位档案!$A$6:$A$35,0)),"")),2))</f>
        <v>0</v>
      </c>
      <c r="V627" s="36" t="n">
        <f aca="false">IF(OR($D627&lt;&gt;"销项开票",N($Q627)=0),0,ROUND(N($H627)/(1+$Q627)*N(IFERROR(INDEX(单位档案!$L$6:$L$35,MATCH($E627,单位档案!$A$6:$A$35,0)),"")),2))</f>
        <v>0</v>
      </c>
      <c r="W627" s="36" t="n">
        <f aca="false">ROUND($S627+$T627+$U627+$V627,2)</f>
        <v>0</v>
      </c>
      <c r="X627" s="35" t="str">
        <f aca="false">IF(OR($D627="挂靠代收",$D627="我方收款"),COUNTIFS($D$5:$D627,"挂靠代收")+COUNTIFS($D$5:$D627,"我方收款"),"")</f>
        <v/>
      </c>
      <c r="Y627" s="35"/>
      <c r="Z627" s="21" t="s">
        <v>111</v>
      </c>
    </row>
    <row r="628" customFormat="false" ht="15.75" hidden="false" customHeight="true" outlineLevel="0" collapsed="false">
      <c r="A628" s="32" t="str">
        <f aca="false">IF($B628="","",ROW()-4)</f>
        <v/>
      </c>
      <c r="B628" s="26"/>
      <c r="C628" s="24"/>
      <c r="D628" s="21"/>
      <c r="E628" s="21"/>
      <c r="F628" s="21"/>
      <c r="G628" s="21"/>
      <c r="H628" s="27"/>
      <c r="I628" s="23" t="str">
        <f aca="false">IF($D628&lt;&gt;"销项开票","",IF($N628="一级",IF(IFERROR(INDEX(项目档案!$E$6:$E$255,MATCH($C628,项目档案!$A$6:$A$255,0)),"")="",N(IFERROR(INDEX(单位档案!$D$6:$D$35,MATCH($E628,单位档案!$A$6:$A$35,0)),"")),IFERROR(INDEX(项目档案!$E$6:$E$255,MATCH($C628,项目档案!$A$6:$A$255,0)),"")),IF($N628="二级",IF(IFERROR(INDEX(项目档案!$G$6:$G$255,MATCH($C628,项目档案!$A$6:$A$255,0)),"")="",N(IFERROR(INDEX(单位档案!$D$6:$D$35,MATCH($E628,单位档案!$A$6:$A$35,0)),"")),IFERROR(INDEX(项目档案!$G$6:$G$255,MATCH($C628,项目档案!$A$6:$A$255,0)),"")),N(IFERROR(INDEX(单位档案!$D$6:$D$35,MATCH($E628,单位档案!$A$6:$A$35,0)),"")))))</f>
        <v/>
      </c>
      <c r="J628" s="22"/>
      <c r="K628" s="22"/>
      <c r="L628" s="33" t="str">
        <f aca="false">IF($B628="","",IF(NOT(ISNUMBER($B628)),"日期格式不对",IF($C628="","未选项目编号",IF(LEFT($M628,1)="⚠","项目编号不存在",IF($D628="","未选业务类型",IF($E628="","未选开票/付款方",IF(ISNA(MATCH($E628,单位档案!$A$6:$A$35,0)),"开票方不在单位档案",IF($F628="","未选收票/收款方",IF(ISNA(MATCH($F628,单位档案!$A$6:$A$35,0)),"收款方不在单位档案",IF(NOT(ISNUMBER($H628)),"金额须为数字",IF(AND($D628="销项开票",$N628="—"),"链条待确认","√")))))))))))</f>
        <v/>
      </c>
      <c r="M628" s="34" t="str">
        <f aca="false">IF($C628="","",IFERROR(INDEX(项目档案!$B$6:$B$255,MATCH($C628,项目档案!$A$6:$A$255,0)),"⚠项目编号不存在"))</f>
        <v/>
      </c>
      <c r="N628" s="35" t="str">
        <f aca="false">IF($E628="","",IF($E628=IFERROR(INDEX(项目档案!$D$6:$D$255,MATCH($C628,项目档案!$A$6:$A$255,0)),""),"一级",IF($E628=IFERROR(INDEX(项目档案!$F$6:$F$255,MATCH($C628,项目档案!$A$6:$A$255,0)),""),"二级",IF($E628=IFERROR(INDEX(项目档案!$H$6:$H$255,MATCH($C628,项目档案!$A$6:$A$255,0)),""),"我方","—"))))</f>
        <v/>
      </c>
      <c r="O628" s="36" t="n">
        <f aca="false">IF($D628&lt;&gt;"销项开票",0,ROUND(N($H628)*N($I628),2))</f>
        <v>0</v>
      </c>
      <c r="P628" s="36" t="n">
        <f aca="false">IF($D628&lt;&gt;"销项开票",0,ROUND(N($H628)-$O628,2))</f>
        <v>0</v>
      </c>
      <c r="Q628" s="37" t="str">
        <f aca="false">IF($E628="","",N(IFERROR(INDEX(单位档案!$E$6:$E$35,MATCH($E628,单位档案!$A$6:$A$35,0)),"")))</f>
        <v/>
      </c>
      <c r="R628" s="37" t="str">
        <f aca="false">IF($E628="","",N(IFERROR(INDEX(单位档案!$F$6:$F$35,MATCH($E628,单位档案!$A$6:$A$35,0)),"")))</f>
        <v/>
      </c>
      <c r="S628" s="36" t="n">
        <f aca="false">IF(OR($D628&lt;&gt;"销项开票",IFERROR(INDEX(单位档案!$G$6:$G$35,MATCH($E628,单位档案!$A$6:$A$35,0)),"")&lt;&gt;"是",N($Q628)=0),0,IF(IFERROR(INDEX(单位档案!$H$6:$H$35,MATCH($E628,单位档案!$A$6:$A$35,0)),"")="税差法",ROUND(N($H628)/(1+$Q628)*$Q628-IF(N($R628)=0,0,$P628/(1+$R628)*$R628),2),ROUND(N($H628)/(1+$Q628)*$Q628,2)))</f>
        <v>0</v>
      </c>
      <c r="T628" s="36" t="n">
        <f aca="false">ROUND($S628*N(IFERROR(INDEX(单位档案!$J$6:$J$35,MATCH($E628,单位档案!$A$6:$A$35,0)),"")),2)</f>
        <v>0</v>
      </c>
      <c r="U628" s="36" t="n">
        <f aca="false">IF($D628&lt;&gt;"销项开票",0,ROUND(N($H628)*N(IFERROR(INDEX(单位档案!$K$6:$K$35,MATCH($E628,单位档案!$A$6:$A$35,0)),"")),2))</f>
        <v>0</v>
      </c>
      <c r="V628" s="36" t="n">
        <f aca="false">IF(OR($D628&lt;&gt;"销项开票",N($Q628)=0),0,ROUND(N($H628)/(1+$Q628)*N(IFERROR(INDEX(单位档案!$L$6:$L$35,MATCH($E628,单位档案!$A$6:$A$35,0)),"")),2))</f>
        <v>0</v>
      </c>
      <c r="W628" s="36" t="n">
        <f aca="false">ROUND($S628+$T628+$U628+$V628,2)</f>
        <v>0</v>
      </c>
      <c r="X628" s="35" t="str">
        <f aca="false">IF(OR($D628="挂靠代收",$D628="我方收款"),COUNTIFS($D$5:$D628,"挂靠代收")+COUNTIFS($D$5:$D628,"我方收款"),"")</f>
        <v/>
      </c>
      <c r="Y628" s="35"/>
      <c r="Z628" s="21" t="s">
        <v>111</v>
      </c>
    </row>
    <row r="629" customFormat="false" ht="15.75" hidden="false" customHeight="true" outlineLevel="0" collapsed="false">
      <c r="A629" s="32" t="str">
        <f aca="false">IF($B629="","",ROW()-4)</f>
        <v/>
      </c>
      <c r="B629" s="26"/>
      <c r="C629" s="24"/>
      <c r="D629" s="21"/>
      <c r="E629" s="21"/>
      <c r="F629" s="21"/>
      <c r="G629" s="21"/>
      <c r="H629" s="27"/>
      <c r="I629" s="23" t="str">
        <f aca="false">IF($D629&lt;&gt;"销项开票","",IF($N629="一级",IF(IFERROR(INDEX(项目档案!$E$6:$E$255,MATCH($C629,项目档案!$A$6:$A$255,0)),"")="",N(IFERROR(INDEX(单位档案!$D$6:$D$35,MATCH($E629,单位档案!$A$6:$A$35,0)),"")),IFERROR(INDEX(项目档案!$E$6:$E$255,MATCH($C629,项目档案!$A$6:$A$255,0)),"")),IF($N629="二级",IF(IFERROR(INDEX(项目档案!$G$6:$G$255,MATCH($C629,项目档案!$A$6:$A$255,0)),"")="",N(IFERROR(INDEX(单位档案!$D$6:$D$35,MATCH($E629,单位档案!$A$6:$A$35,0)),"")),IFERROR(INDEX(项目档案!$G$6:$G$255,MATCH($C629,项目档案!$A$6:$A$255,0)),"")),N(IFERROR(INDEX(单位档案!$D$6:$D$35,MATCH($E629,单位档案!$A$6:$A$35,0)),"")))))</f>
        <v/>
      </c>
      <c r="J629" s="22"/>
      <c r="K629" s="22"/>
      <c r="L629" s="33" t="str">
        <f aca="false">IF($B629="","",IF(NOT(ISNUMBER($B629)),"日期格式不对",IF($C629="","未选项目编号",IF(LEFT($M629,1)="⚠","项目编号不存在",IF($D629="","未选业务类型",IF($E629="","未选开票/付款方",IF(ISNA(MATCH($E629,单位档案!$A$6:$A$35,0)),"开票方不在单位档案",IF($F629="","未选收票/收款方",IF(ISNA(MATCH($F629,单位档案!$A$6:$A$35,0)),"收款方不在单位档案",IF(NOT(ISNUMBER($H629)),"金额须为数字",IF(AND($D629="销项开票",$N629="—"),"链条待确认","√")))))))))))</f>
        <v/>
      </c>
      <c r="M629" s="34" t="str">
        <f aca="false">IF($C629="","",IFERROR(INDEX(项目档案!$B$6:$B$255,MATCH($C629,项目档案!$A$6:$A$255,0)),"⚠项目编号不存在"))</f>
        <v/>
      </c>
      <c r="N629" s="35" t="str">
        <f aca="false">IF($E629="","",IF($E629=IFERROR(INDEX(项目档案!$D$6:$D$255,MATCH($C629,项目档案!$A$6:$A$255,0)),""),"一级",IF($E629=IFERROR(INDEX(项目档案!$F$6:$F$255,MATCH($C629,项目档案!$A$6:$A$255,0)),""),"二级",IF($E629=IFERROR(INDEX(项目档案!$H$6:$H$255,MATCH($C629,项目档案!$A$6:$A$255,0)),""),"我方","—"))))</f>
        <v/>
      </c>
      <c r="O629" s="36" t="n">
        <f aca="false">IF($D629&lt;&gt;"销项开票",0,ROUND(N($H629)*N($I629),2))</f>
        <v>0</v>
      </c>
      <c r="P629" s="36" t="n">
        <f aca="false">IF($D629&lt;&gt;"销项开票",0,ROUND(N($H629)-$O629,2))</f>
        <v>0</v>
      </c>
      <c r="Q629" s="37" t="str">
        <f aca="false">IF($E629="","",N(IFERROR(INDEX(单位档案!$E$6:$E$35,MATCH($E629,单位档案!$A$6:$A$35,0)),"")))</f>
        <v/>
      </c>
      <c r="R629" s="37" t="str">
        <f aca="false">IF($E629="","",N(IFERROR(INDEX(单位档案!$F$6:$F$35,MATCH($E629,单位档案!$A$6:$A$35,0)),"")))</f>
        <v/>
      </c>
      <c r="S629" s="36" t="n">
        <f aca="false">IF(OR($D629&lt;&gt;"销项开票",IFERROR(INDEX(单位档案!$G$6:$G$35,MATCH($E629,单位档案!$A$6:$A$35,0)),"")&lt;&gt;"是",N($Q629)=0),0,IF(IFERROR(INDEX(单位档案!$H$6:$H$35,MATCH($E629,单位档案!$A$6:$A$35,0)),"")="税差法",ROUND(N($H629)/(1+$Q629)*$Q629-IF(N($R629)=0,0,$P629/(1+$R629)*$R629),2),ROUND(N($H629)/(1+$Q629)*$Q629,2)))</f>
        <v>0</v>
      </c>
      <c r="T629" s="36" t="n">
        <f aca="false">ROUND($S629*N(IFERROR(INDEX(单位档案!$J$6:$J$35,MATCH($E629,单位档案!$A$6:$A$35,0)),"")),2)</f>
        <v>0</v>
      </c>
      <c r="U629" s="36" t="n">
        <f aca="false">IF($D629&lt;&gt;"销项开票",0,ROUND(N($H629)*N(IFERROR(INDEX(单位档案!$K$6:$K$35,MATCH($E629,单位档案!$A$6:$A$35,0)),"")),2))</f>
        <v>0</v>
      </c>
      <c r="V629" s="36" t="n">
        <f aca="false">IF(OR($D629&lt;&gt;"销项开票",N($Q629)=0),0,ROUND(N($H629)/(1+$Q629)*N(IFERROR(INDEX(单位档案!$L$6:$L$35,MATCH($E629,单位档案!$A$6:$A$35,0)),"")),2))</f>
        <v>0</v>
      </c>
      <c r="W629" s="36" t="n">
        <f aca="false">ROUND($S629+$T629+$U629+$V629,2)</f>
        <v>0</v>
      </c>
      <c r="X629" s="35" t="str">
        <f aca="false">IF(OR($D629="挂靠代收",$D629="我方收款"),COUNTIFS($D$5:$D629,"挂靠代收")+COUNTIFS($D$5:$D629,"我方收款"),"")</f>
        <v/>
      </c>
      <c r="Y629" s="35"/>
      <c r="Z629" s="21" t="s">
        <v>111</v>
      </c>
    </row>
    <row r="630" customFormat="false" ht="15.75" hidden="false" customHeight="true" outlineLevel="0" collapsed="false">
      <c r="A630" s="32" t="str">
        <f aca="false">IF($B630="","",ROW()-4)</f>
        <v/>
      </c>
      <c r="B630" s="26"/>
      <c r="C630" s="24"/>
      <c r="D630" s="21"/>
      <c r="E630" s="21"/>
      <c r="F630" s="21"/>
      <c r="G630" s="21"/>
      <c r="H630" s="27"/>
      <c r="I630" s="23" t="str">
        <f aca="false">IF($D630&lt;&gt;"销项开票","",IF($N630="一级",IF(IFERROR(INDEX(项目档案!$E$6:$E$255,MATCH($C630,项目档案!$A$6:$A$255,0)),"")="",N(IFERROR(INDEX(单位档案!$D$6:$D$35,MATCH($E630,单位档案!$A$6:$A$35,0)),"")),IFERROR(INDEX(项目档案!$E$6:$E$255,MATCH($C630,项目档案!$A$6:$A$255,0)),"")),IF($N630="二级",IF(IFERROR(INDEX(项目档案!$G$6:$G$255,MATCH($C630,项目档案!$A$6:$A$255,0)),"")="",N(IFERROR(INDEX(单位档案!$D$6:$D$35,MATCH($E630,单位档案!$A$6:$A$35,0)),"")),IFERROR(INDEX(项目档案!$G$6:$G$255,MATCH($C630,项目档案!$A$6:$A$255,0)),"")),N(IFERROR(INDEX(单位档案!$D$6:$D$35,MATCH($E630,单位档案!$A$6:$A$35,0)),"")))))</f>
        <v/>
      </c>
      <c r="J630" s="22"/>
      <c r="K630" s="22"/>
      <c r="L630" s="33" t="str">
        <f aca="false">IF($B630="","",IF(NOT(ISNUMBER($B630)),"日期格式不对",IF($C630="","未选项目编号",IF(LEFT($M630,1)="⚠","项目编号不存在",IF($D630="","未选业务类型",IF($E630="","未选开票/付款方",IF(ISNA(MATCH($E630,单位档案!$A$6:$A$35,0)),"开票方不在单位档案",IF($F630="","未选收票/收款方",IF(ISNA(MATCH($F630,单位档案!$A$6:$A$35,0)),"收款方不在单位档案",IF(NOT(ISNUMBER($H630)),"金额须为数字",IF(AND($D630="销项开票",$N630="—"),"链条待确认","√")))))))))))</f>
        <v/>
      </c>
      <c r="M630" s="34" t="str">
        <f aca="false">IF($C630="","",IFERROR(INDEX(项目档案!$B$6:$B$255,MATCH($C630,项目档案!$A$6:$A$255,0)),"⚠项目编号不存在"))</f>
        <v/>
      </c>
      <c r="N630" s="35" t="str">
        <f aca="false">IF($E630="","",IF($E630=IFERROR(INDEX(项目档案!$D$6:$D$255,MATCH($C630,项目档案!$A$6:$A$255,0)),""),"一级",IF($E630=IFERROR(INDEX(项目档案!$F$6:$F$255,MATCH($C630,项目档案!$A$6:$A$255,0)),""),"二级",IF($E630=IFERROR(INDEX(项目档案!$H$6:$H$255,MATCH($C630,项目档案!$A$6:$A$255,0)),""),"我方","—"))))</f>
        <v/>
      </c>
      <c r="O630" s="36" t="n">
        <f aca="false">IF($D630&lt;&gt;"销项开票",0,ROUND(N($H630)*N($I630),2))</f>
        <v>0</v>
      </c>
      <c r="P630" s="36" t="n">
        <f aca="false">IF($D630&lt;&gt;"销项开票",0,ROUND(N($H630)-$O630,2))</f>
        <v>0</v>
      </c>
      <c r="Q630" s="37" t="str">
        <f aca="false">IF($E630="","",N(IFERROR(INDEX(单位档案!$E$6:$E$35,MATCH($E630,单位档案!$A$6:$A$35,0)),"")))</f>
        <v/>
      </c>
      <c r="R630" s="37" t="str">
        <f aca="false">IF($E630="","",N(IFERROR(INDEX(单位档案!$F$6:$F$35,MATCH($E630,单位档案!$A$6:$A$35,0)),"")))</f>
        <v/>
      </c>
      <c r="S630" s="36" t="n">
        <f aca="false">IF(OR($D630&lt;&gt;"销项开票",IFERROR(INDEX(单位档案!$G$6:$G$35,MATCH($E630,单位档案!$A$6:$A$35,0)),"")&lt;&gt;"是",N($Q630)=0),0,IF(IFERROR(INDEX(单位档案!$H$6:$H$35,MATCH($E630,单位档案!$A$6:$A$35,0)),"")="税差法",ROUND(N($H630)/(1+$Q630)*$Q630-IF(N($R630)=0,0,$P630/(1+$R630)*$R630),2),ROUND(N($H630)/(1+$Q630)*$Q630,2)))</f>
        <v>0</v>
      </c>
      <c r="T630" s="36" t="n">
        <f aca="false">ROUND($S630*N(IFERROR(INDEX(单位档案!$J$6:$J$35,MATCH($E630,单位档案!$A$6:$A$35,0)),"")),2)</f>
        <v>0</v>
      </c>
      <c r="U630" s="36" t="n">
        <f aca="false">IF($D630&lt;&gt;"销项开票",0,ROUND(N($H630)*N(IFERROR(INDEX(单位档案!$K$6:$K$35,MATCH($E630,单位档案!$A$6:$A$35,0)),"")),2))</f>
        <v>0</v>
      </c>
      <c r="V630" s="36" t="n">
        <f aca="false">IF(OR($D630&lt;&gt;"销项开票",N($Q630)=0),0,ROUND(N($H630)/(1+$Q630)*N(IFERROR(INDEX(单位档案!$L$6:$L$35,MATCH($E630,单位档案!$A$6:$A$35,0)),"")),2))</f>
        <v>0</v>
      </c>
      <c r="W630" s="36" t="n">
        <f aca="false">ROUND($S630+$T630+$U630+$V630,2)</f>
        <v>0</v>
      </c>
      <c r="X630" s="35" t="str">
        <f aca="false">IF(OR($D630="挂靠代收",$D630="我方收款"),COUNTIFS($D$5:$D630,"挂靠代收")+COUNTIFS($D$5:$D630,"我方收款"),"")</f>
        <v/>
      </c>
      <c r="Y630" s="35"/>
      <c r="Z630" s="21" t="s">
        <v>111</v>
      </c>
    </row>
    <row r="631" customFormat="false" ht="15.75" hidden="false" customHeight="true" outlineLevel="0" collapsed="false">
      <c r="A631" s="32" t="str">
        <f aca="false">IF($B631="","",ROW()-4)</f>
        <v/>
      </c>
      <c r="B631" s="26"/>
      <c r="C631" s="24"/>
      <c r="D631" s="21"/>
      <c r="E631" s="21"/>
      <c r="F631" s="21"/>
      <c r="G631" s="21"/>
      <c r="H631" s="27"/>
      <c r="I631" s="23" t="str">
        <f aca="false">IF($D631&lt;&gt;"销项开票","",IF($N631="一级",IF(IFERROR(INDEX(项目档案!$E$6:$E$255,MATCH($C631,项目档案!$A$6:$A$255,0)),"")="",N(IFERROR(INDEX(单位档案!$D$6:$D$35,MATCH($E631,单位档案!$A$6:$A$35,0)),"")),IFERROR(INDEX(项目档案!$E$6:$E$255,MATCH($C631,项目档案!$A$6:$A$255,0)),"")),IF($N631="二级",IF(IFERROR(INDEX(项目档案!$G$6:$G$255,MATCH($C631,项目档案!$A$6:$A$255,0)),"")="",N(IFERROR(INDEX(单位档案!$D$6:$D$35,MATCH($E631,单位档案!$A$6:$A$35,0)),"")),IFERROR(INDEX(项目档案!$G$6:$G$255,MATCH($C631,项目档案!$A$6:$A$255,0)),"")),N(IFERROR(INDEX(单位档案!$D$6:$D$35,MATCH($E631,单位档案!$A$6:$A$35,0)),"")))))</f>
        <v/>
      </c>
      <c r="J631" s="22"/>
      <c r="K631" s="22"/>
      <c r="L631" s="33" t="str">
        <f aca="false">IF($B631="","",IF(NOT(ISNUMBER($B631)),"日期格式不对",IF($C631="","未选项目编号",IF(LEFT($M631,1)="⚠","项目编号不存在",IF($D631="","未选业务类型",IF($E631="","未选开票/付款方",IF(ISNA(MATCH($E631,单位档案!$A$6:$A$35,0)),"开票方不在单位档案",IF($F631="","未选收票/收款方",IF(ISNA(MATCH($F631,单位档案!$A$6:$A$35,0)),"收款方不在单位档案",IF(NOT(ISNUMBER($H631)),"金额须为数字",IF(AND($D631="销项开票",$N631="—"),"链条待确认","√")))))))))))</f>
        <v/>
      </c>
      <c r="M631" s="34" t="str">
        <f aca="false">IF($C631="","",IFERROR(INDEX(项目档案!$B$6:$B$255,MATCH($C631,项目档案!$A$6:$A$255,0)),"⚠项目编号不存在"))</f>
        <v/>
      </c>
      <c r="N631" s="35" t="str">
        <f aca="false">IF($E631="","",IF($E631=IFERROR(INDEX(项目档案!$D$6:$D$255,MATCH($C631,项目档案!$A$6:$A$255,0)),""),"一级",IF($E631=IFERROR(INDEX(项目档案!$F$6:$F$255,MATCH($C631,项目档案!$A$6:$A$255,0)),""),"二级",IF($E631=IFERROR(INDEX(项目档案!$H$6:$H$255,MATCH($C631,项目档案!$A$6:$A$255,0)),""),"我方","—"))))</f>
        <v/>
      </c>
      <c r="O631" s="36" t="n">
        <f aca="false">IF($D631&lt;&gt;"销项开票",0,ROUND(N($H631)*N($I631),2))</f>
        <v>0</v>
      </c>
      <c r="P631" s="36" t="n">
        <f aca="false">IF($D631&lt;&gt;"销项开票",0,ROUND(N($H631)-$O631,2))</f>
        <v>0</v>
      </c>
      <c r="Q631" s="37" t="str">
        <f aca="false">IF($E631="","",N(IFERROR(INDEX(单位档案!$E$6:$E$35,MATCH($E631,单位档案!$A$6:$A$35,0)),"")))</f>
        <v/>
      </c>
      <c r="R631" s="37" t="str">
        <f aca="false">IF($E631="","",N(IFERROR(INDEX(单位档案!$F$6:$F$35,MATCH($E631,单位档案!$A$6:$A$35,0)),"")))</f>
        <v/>
      </c>
      <c r="S631" s="36" t="n">
        <f aca="false">IF(OR($D631&lt;&gt;"销项开票",IFERROR(INDEX(单位档案!$G$6:$G$35,MATCH($E631,单位档案!$A$6:$A$35,0)),"")&lt;&gt;"是",N($Q631)=0),0,IF(IFERROR(INDEX(单位档案!$H$6:$H$35,MATCH($E631,单位档案!$A$6:$A$35,0)),"")="税差法",ROUND(N($H631)/(1+$Q631)*$Q631-IF(N($R631)=0,0,$P631/(1+$R631)*$R631),2),ROUND(N($H631)/(1+$Q631)*$Q631,2)))</f>
        <v>0</v>
      </c>
      <c r="T631" s="36" t="n">
        <f aca="false">ROUND($S631*N(IFERROR(INDEX(单位档案!$J$6:$J$35,MATCH($E631,单位档案!$A$6:$A$35,0)),"")),2)</f>
        <v>0</v>
      </c>
      <c r="U631" s="36" t="n">
        <f aca="false">IF($D631&lt;&gt;"销项开票",0,ROUND(N($H631)*N(IFERROR(INDEX(单位档案!$K$6:$K$35,MATCH($E631,单位档案!$A$6:$A$35,0)),"")),2))</f>
        <v>0</v>
      </c>
      <c r="V631" s="36" t="n">
        <f aca="false">IF(OR($D631&lt;&gt;"销项开票",N($Q631)=0),0,ROUND(N($H631)/(1+$Q631)*N(IFERROR(INDEX(单位档案!$L$6:$L$35,MATCH($E631,单位档案!$A$6:$A$35,0)),"")),2))</f>
        <v>0</v>
      </c>
      <c r="W631" s="36" t="n">
        <f aca="false">ROUND($S631+$T631+$U631+$V631,2)</f>
        <v>0</v>
      </c>
      <c r="X631" s="35" t="str">
        <f aca="false">IF(OR($D631="挂靠代收",$D631="我方收款"),COUNTIFS($D$5:$D631,"挂靠代收")+COUNTIFS($D$5:$D631,"我方收款"),"")</f>
        <v/>
      </c>
      <c r="Y631" s="35"/>
      <c r="Z631" s="21" t="s">
        <v>111</v>
      </c>
    </row>
    <row r="632" customFormat="false" ht="15.75" hidden="false" customHeight="true" outlineLevel="0" collapsed="false">
      <c r="A632" s="32" t="str">
        <f aca="false">IF($B632="","",ROW()-4)</f>
        <v/>
      </c>
      <c r="B632" s="26"/>
      <c r="C632" s="24"/>
      <c r="D632" s="21"/>
      <c r="E632" s="21"/>
      <c r="F632" s="21"/>
      <c r="G632" s="21"/>
      <c r="H632" s="27"/>
      <c r="I632" s="23" t="str">
        <f aca="false">IF($D632&lt;&gt;"销项开票","",IF($N632="一级",IF(IFERROR(INDEX(项目档案!$E$6:$E$255,MATCH($C632,项目档案!$A$6:$A$255,0)),"")="",N(IFERROR(INDEX(单位档案!$D$6:$D$35,MATCH($E632,单位档案!$A$6:$A$35,0)),"")),IFERROR(INDEX(项目档案!$E$6:$E$255,MATCH($C632,项目档案!$A$6:$A$255,0)),"")),IF($N632="二级",IF(IFERROR(INDEX(项目档案!$G$6:$G$255,MATCH($C632,项目档案!$A$6:$A$255,0)),"")="",N(IFERROR(INDEX(单位档案!$D$6:$D$35,MATCH($E632,单位档案!$A$6:$A$35,0)),"")),IFERROR(INDEX(项目档案!$G$6:$G$255,MATCH($C632,项目档案!$A$6:$A$255,0)),"")),N(IFERROR(INDEX(单位档案!$D$6:$D$35,MATCH($E632,单位档案!$A$6:$A$35,0)),"")))))</f>
        <v/>
      </c>
      <c r="J632" s="22"/>
      <c r="K632" s="22"/>
      <c r="L632" s="33" t="str">
        <f aca="false">IF($B632="","",IF(NOT(ISNUMBER($B632)),"日期格式不对",IF($C632="","未选项目编号",IF(LEFT($M632,1)="⚠","项目编号不存在",IF($D632="","未选业务类型",IF($E632="","未选开票/付款方",IF(ISNA(MATCH($E632,单位档案!$A$6:$A$35,0)),"开票方不在单位档案",IF($F632="","未选收票/收款方",IF(ISNA(MATCH($F632,单位档案!$A$6:$A$35,0)),"收款方不在单位档案",IF(NOT(ISNUMBER($H632)),"金额须为数字",IF(AND($D632="销项开票",$N632="—"),"链条待确认","√")))))))))))</f>
        <v/>
      </c>
      <c r="M632" s="34" t="str">
        <f aca="false">IF($C632="","",IFERROR(INDEX(项目档案!$B$6:$B$255,MATCH($C632,项目档案!$A$6:$A$255,0)),"⚠项目编号不存在"))</f>
        <v/>
      </c>
      <c r="N632" s="35" t="str">
        <f aca="false">IF($E632="","",IF($E632=IFERROR(INDEX(项目档案!$D$6:$D$255,MATCH($C632,项目档案!$A$6:$A$255,0)),""),"一级",IF($E632=IFERROR(INDEX(项目档案!$F$6:$F$255,MATCH($C632,项目档案!$A$6:$A$255,0)),""),"二级",IF($E632=IFERROR(INDEX(项目档案!$H$6:$H$255,MATCH($C632,项目档案!$A$6:$A$255,0)),""),"我方","—"))))</f>
        <v/>
      </c>
      <c r="O632" s="36" t="n">
        <f aca="false">IF($D632&lt;&gt;"销项开票",0,ROUND(N($H632)*N($I632),2))</f>
        <v>0</v>
      </c>
      <c r="P632" s="36" t="n">
        <f aca="false">IF($D632&lt;&gt;"销项开票",0,ROUND(N($H632)-$O632,2))</f>
        <v>0</v>
      </c>
      <c r="Q632" s="37" t="str">
        <f aca="false">IF($E632="","",N(IFERROR(INDEX(单位档案!$E$6:$E$35,MATCH($E632,单位档案!$A$6:$A$35,0)),"")))</f>
        <v/>
      </c>
      <c r="R632" s="37" t="str">
        <f aca="false">IF($E632="","",N(IFERROR(INDEX(单位档案!$F$6:$F$35,MATCH($E632,单位档案!$A$6:$A$35,0)),"")))</f>
        <v/>
      </c>
      <c r="S632" s="36" t="n">
        <f aca="false">IF(OR($D632&lt;&gt;"销项开票",IFERROR(INDEX(单位档案!$G$6:$G$35,MATCH($E632,单位档案!$A$6:$A$35,0)),"")&lt;&gt;"是",N($Q632)=0),0,IF(IFERROR(INDEX(单位档案!$H$6:$H$35,MATCH($E632,单位档案!$A$6:$A$35,0)),"")="税差法",ROUND(N($H632)/(1+$Q632)*$Q632-IF(N($R632)=0,0,$P632/(1+$R632)*$R632),2),ROUND(N($H632)/(1+$Q632)*$Q632,2)))</f>
        <v>0</v>
      </c>
      <c r="T632" s="36" t="n">
        <f aca="false">ROUND($S632*N(IFERROR(INDEX(单位档案!$J$6:$J$35,MATCH($E632,单位档案!$A$6:$A$35,0)),"")),2)</f>
        <v>0</v>
      </c>
      <c r="U632" s="36" t="n">
        <f aca="false">IF($D632&lt;&gt;"销项开票",0,ROUND(N($H632)*N(IFERROR(INDEX(单位档案!$K$6:$K$35,MATCH($E632,单位档案!$A$6:$A$35,0)),"")),2))</f>
        <v>0</v>
      </c>
      <c r="V632" s="36" t="n">
        <f aca="false">IF(OR($D632&lt;&gt;"销项开票",N($Q632)=0),0,ROUND(N($H632)/(1+$Q632)*N(IFERROR(INDEX(单位档案!$L$6:$L$35,MATCH($E632,单位档案!$A$6:$A$35,0)),"")),2))</f>
        <v>0</v>
      </c>
      <c r="W632" s="36" t="n">
        <f aca="false">ROUND($S632+$T632+$U632+$V632,2)</f>
        <v>0</v>
      </c>
      <c r="X632" s="35" t="str">
        <f aca="false">IF(OR($D632="挂靠代收",$D632="我方收款"),COUNTIFS($D$5:$D632,"挂靠代收")+COUNTIFS($D$5:$D632,"我方收款"),"")</f>
        <v/>
      </c>
      <c r="Y632" s="35"/>
      <c r="Z632" s="21" t="s">
        <v>111</v>
      </c>
    </row>
    <row r="633" customFormat="false" ht="15.75" hidden="false" customHeight="true" outlineLevel="0" collapsed="false">
      <c r="A633" s="32" t="str">
        <f aca="false">IF($B633="","",ROW()-4)</f>
        <v/>
      </c>
      <c r="B633" s="26"/>
      <c r="C633" s="24"/>
      <c r="D633" s="21"/>
      <c r="E633" s="21"/>
      <c r="F633" s="21"/>
      <c r="G633" s="21"/>
      <c r="H633" s="27"/>
      <c r="I633" s="23" t="str">
        <f aca="false">IF($D633&lt;&gt;"销项开票","",IF($N633="一级",IF(IFERROR(INDEX(项目档案!$E$6:$E$255,MATCH($C633,项目档案!$A$6:$A$255,0)),"")="",N(IFERROR(INDEX(单位档案!$D$6:$D$35,MATCH($E633,单位档案!$A$6:$A$35,0)),"")),IFERROR(INDEX(项目档案!$E$6:$E$255,MATCH($C633,项目档案!$A$6:$A$255,0)),"")),IF($N633="二级",IF(IFERROR(INDEX(项目档案!$G$6:$G$255,MATCH($C633,项目档案!$A$6:$A$255,0)),"")="",N(IFERROR(INDEX(单位档案!$D$6:$D$35,MATCH($E633,单位档案!$A$6:$A$35,0)),"")),IFERROR(INDEX(项目档案!$G$6:$G$255,MATCH($C633,项目档案!$A$6:$A$255,0)),"")),N(IFERROR(INDEX(单位档案!$D$6:$D$35,MATCH($E633,单位档案!$A$6:$A$35,0)),"")))))</f>
        <v/>
      </c>
      <c r="J633" s="22"/>
      <c r="K633" s="22"/>
      <c r="L633" s="33" t="str">
        <f aca="false">IF($B633="","",IF(NOT(ISNUMBER($B633)),"日期格式不对",IF($C633="","未选项目编号",IF(LEFT($M633,1)="⚠","项目编号不存在",IF($D633="","未选业务类型",IF($E633="","未选开票/付款方",IF(ISNA(MATCH($E633,单位档案!$A$6:$A$35,0)),"开票方不在单位档案",IF($F633="","未选收票/收款方",IF(ISNA(MATCH($F633,单位档案!$A$6:$A$35,0)),"收款方不在单位档案",IF(NOT(ISNUMBER($H633)),"金额须为数字",IF(AND($D633="销项开票",$N633="—"),"链条待确认","√")))))))))))</f>
        <v/>
      </c>
      <c r="M633" s="34" t="str">
        <f aca="false">IF($C633="","",IFERROR(INDEX(项目档案!$B$6:$B$255,MATCH($C633,项目档案!$A$6:$A$255,0)),"⚠项目编号不存在"))</f>
        <v/>
      </c>
      <c r="N633" s="35" t="str">
        <f aca="false">IF($E633="","",IF($E633=IFERROR(INDEX(项目档案!$D$6:$D$255,MATCH($C633,项目档案!$A$6:$A$255,0)),""),"一级",IF($E633=IFERROR(INDEX(项目档案!$F$6:$F$255,MATCH($C633,项目档案!$A$6:$A$255,0)),""),"二级",IF($E633=IFERROR(INDEX(项目档案!$H$6:$H$255,MATCH($C633,项目档案!$A$6:$A$255,0)),""),"我方","—"))))</f>
        <v/>
      </c>
      <c r="O633" s="36" t="n">
        <f aca="false">IF($D633&lt;&gt;"销项开票",0,ROUND(N($H633)*N($I633),2))</f>
        <v>0</v>
      </c>
      <c r="P633" s="36" t="n">
        <f aca="false">IF($D633&lt;&gt;"销项开票",0,ROUND(N($H633)-$O633,2))</f>
        <v>0</v>
      </c>
      <c r="Q633" s="37" t="str">
        <f aca="false">IF($E633="","",N(IFERROR(INDEX(单位档案!$E$6:$E$35,MATCH($E633,单位档案!$A$6:$A$35,0)),"")))</f>
        <v/>
      </c>
      <c r="R633" s="37" t="str">
        <f aca="false">IF($E633="","",N(IFERROR(INDEX(单位档案!$F$6:$F$35,MATCH($E633,单位档案!$A$6:$A$35,0)),"")))</f>
        <v/>
      </c>
      <c r="S633" s="36" t="n">
        <f aca="false">IF(OR($D633&lt;&gt;"销项开票",IFERROR(INDEX(单位档案!$G$6:$G$35,MATCH($E633,单位档案!$A$6:$A$35,0)),"")&lt;&gt;"是",N($Q633)=0),0,IF(IFERROR(INDEX(单位档案!$H$6:$H$35,MATCH($E633,单位档案!$A$6:$A$35,0)),"")="税差法",ROUND(N($H633)/(1+$Q633)*$Q633-IF(N($R633)=0,0,$P633/(1+$R633)*$R633),2),ROUND(N($H633)/(1+$Q633)*$Q633,2)))</f>
        <v>0</v>
      </c>
      <c r="T633" s="36" t="n">
        <f aca="false">ROUND($S633*N(IFERROR(INDEX(单位档案!$J$6:$J$35,MATCH($E633,单位档案!$A$6:$A$35,0)),"")),2)</f>
        <v>0</v>
      </c>
      <c r="U633" s="36" t="n">
        <f aca="false">IF($D633&lt;&gt;"销项开票",0,ROUND(N($H633)*N(IFERROR(INDEX(单位档案!$K$6:$K$35,MATCH($E633,单位档案!$A$6:$A$35,0)),"")),2))</f>
        <v>0</v>
      </c>
      <c r="V633" s="36" t="n">
        <f aca="false">IF(OR($D633&lt;&gt;"销项开票",N($Q633)=0),0,ROUND(N($H633)/(1+$Q633)*N(IFERROR(INDEX(单位档案!$L$6:$L$35,MATCH($E633,单位档案!$A$6:$A$35,0)),"")),2))</f>
        <v>0</v>
      </c>
      <c r="W633" s="36" t="n">
        <f aca="false">ROUND($S633+$T633+$U633+$V633,2)</f>
        <v>0</v>
      </c>
      <c r="X633" s="35" t="str">
        <f aca="false">IF(OR($D633="挂靠代收",$D633="我方收款"),COUNTIFS($D$5:$D633,"挂靠代收")+COUNTIFS($D$5:$D633,"我方收款"),"")</f>
        <v/>
      </c>
      <c r="Y633" s="35"/>
      <c r="Z633" s="21" t="s">
        <v>111</v>
      </c>
    </row>
    <row r="634" customFormat="false" ht="15.75" hidden="false" customHeight="true" outlineLevel="0" collapsed="false">
      <c r="A634" s="32" t="str">
        <f aca="false">IF($B634="","",ROW()-4)</f>
        <v/>
      </c>
      <c r="B634" s="26"/>
      <c r="C634" s="24"/>
      <c r="D634" s="21"/>
      <c r="E634" s="21"/>
      <c r="F634" s="21"/>
      <c r="G634" s="21"/>
      <c r="H634" s="27"/>
      <c r="I634" s="23" t="str">
        <f aca="false">IF($D634&lt;&gt;"销项开票","",IF($N634="一级",IF(IFERROR(INDEX(项目档案!$E$6:$E$255,MATCH($C634,项目档案!$A$6:$A$255,0)),"")="",N(IFERROR(INDEX(单位档案!$D$6:$D$35,MATCH($E634,单位档案!$A$6:$A$35,0)),"")),IFERROR(INDEX(项目档案!$E$6:$E$255,MATCH($C634,项目档案!$A$6:$A$255,0)),"")),IF($N634="二级",IF(IFERROR(INDEX(项目档案!$G$6:$G$255,MATCH($C634,项目档案!$A$6:$A$255,0)),"")="",N(IFERROR(INDEX(单位档案!$D$6:$D$35,MATCH($E634,单位档案!$A$6:$A$35,0)),"")),IFERROR(INDEX(项目档案!$G$6:$G$255,MATCH($C634,项目档案!$A$6:$A$255,0)),"")),N(IFERROR(INDEX(单位档案!$D$6:$D$35,MATCH($E634,单位档案!$A$6:$A$35,0)),"")))))</f>
        <v/>
      </c>
      <c r="J634" s="22"/>
      <c r="K634" s="22"/>
      <c r="L634" s="33" t="str">
        <f aca="false">IF($B634="","",IF(NOT(ISNUMBER($B634)),"日期格式不对",IF($C634="","未选项目编号",IF(LEFT($M634,1)="⚠","项目编号不存在",IF($D634="","未选业务类型",IF($E634="","未选开票/付款方",IF(ISNA(MATCH($E634,单位档案!$A$6:$A$35,0)),"开票方不在单位档案",IF($F634="","未选收票/收款方",IF(ISNA(MATCH($F634,单位档案!$A$6:$A$35,0)),"收款方不在单位档案",IF(NOT(ISNUMBER($H634)),"金额须为数字",IF(AND($D634="销项开票",$N634="—"),"链条待确认","√")))))))))))</f>
        <v/>
      </c>
      <c r="M634" s="34" t="str">
        <f aca="false">IF($C634="","",IFERROR(INDEX(项目档案!$B$6:$B$255,MATCH($C634,项目档案!$A$6:$A$255,0)),"⚠项目编号不存在"))</f>
        <v/>
      </c>
      <c r="N634" s="35" t="str">
        <f aca="false">IF($E634="","",IF($E634=IFERROR(INDEX(项目档案!$D$6:$D$255,MATCH($C634,项目档案!$A$6:$A$255,0)),""),"一级",IF($E634=IFERROR(INDEX(项目档案!$F$6:$F$255,MATCH($C634,项目档案!$A$6:$A$255,0)),""),"二级",IF($E634=IFERROR(INDEX(项目档案!$H$6:$H$255,MATCH($C634,项目档案!$A$6:$A$255,0)),""),"我方","—"))))</f>
        <v/>
      </c>
      <c r="O634" s="36" t="n">
        <f aca="false">IF($D634&lt;&gt;"销项开票",0,ROUND(N($H634)*N($I634),2))</f>
        <v>0</v>
      </c>
      <c r="P634" s="36" t="n">
        <f aca="false">IF($D634&lt;&gt;"销项开票",0,ROUND(N($H634)-$O634,2))</f>
        <v>0</v>
      </c>
      <c r="Q634" s="37" t="str">
        <f aca="false">IF($E634="","",N(IFERROR(INDEX(单位档案!$E$6:$E$35,MATCH($E634,单位档案!$A$6:$A$35,0)),"")))</f>
        <v/>
      </c>
      <c r="R634" s="37" t="str">
        <f aca="false">IF($E634="","",N(IFERROR(INDEX(单位档案!$F$6:$F$35,MATCH($E634,单位档案!$A$6:$A$35,0)),"")))</f>
        <v/>
      </c>
      <c r="S634" s="36" t="n">
        <f aca="false">IF(OR($D634&lt;&gt;"销项开票",IFERROR(INDEX(单位档案!$G$6:$G$35,MATCH($E634,单位档案!$A$6:$A$35,0)),"")&lt;&gt;"是",N($Q634)=0),0,IF(IFERROR(INDEX(单位档案!$H$6:$H$35,MATCH($E634,单位档案!$A$6:$A$35,0)),"")="税差法",ROUND(N($H634)/(1+$Q634)*$Q634-IF(N($R634)=0,0,$P634/(1+$R634)*$R634),2),ROUND(N($H634)/(1+$Q634)*$Q634,2)))</f>
        <v>0</v>
      </c>
      <c r="T634" s="36" t="n">
        <f aca="false">ROUND($S634*N(IFERROR(INDEX(单位档案!$J$6:$J$35,MATCH($E634,单位档案!$A$6:$A$35,0)),"")),2)</f>
        <v>0</v>
      </c>
      <c r="U634" s="36" t="n">
        <f aca="false">IF($D634&lt;&gt;"销项开票",0,ROUND(N($H634)*N(IFERROR(INDEX(单位档案!$K$6:$K$35,MATCH($E634,单位档案!$A$6:$A$35,0)),"")),2))</f>
        <v>0</v>
      </c>
      <c r="V634" s="36" t="n">
        <f aca="false">IF(OR($D634&lt;&gt;"销项开票",N($Q634)=0),0,ROUND(N($H634)/(1+$Q634)*N(IFERROR(INDEX(单位档案!$L$6:$L$35,MATCH($E634,单位档案!$A$6:$A$35,0)),"")),2))</f>
        <v>0</v>
      </c>
      <c r="W634" s="36" t="n">
        <f aca="false">ROUND($S634+$T634+$U634+$V634,2)</f>
        <v>0</v>
      </c>
      <c r="X634" s="35" t="str">
        <f aca="false">IF(OR($D634="挂靠代收",$D634="我方收款"),COUNTIFS($D$5:$D634,"挂靠代收")+COUNTIFS($D$5:$D634,"我方收款"),"")</f>
        <v/>
      </c>
      <c r="Y634" s="35"/>
      <c r="Z634" s="21" t="s">
        <v>111</v>
      </c>
    </row>
    <row r="635" customFormat="false" ht="15.75" hidden="false" customHeight="true" outlineLevel="0" collapsed="false">
      <c r="A635" s="32" t="str">
        <f aca="false">IF($B635="","",ROW()-4)</f>
        <v/>
      </c>
      <c r="B635" s="26"/>
      <c r="C635" s="24"/>
      <c r="D635" s="21"/>
      <c r="E635" s="21"/>
      <c r="F635" s="21"/>
      <c r="G635" s="21"/>
      <c r="H635" s="27"/>
      <c r="I635" s="23" t="str">
        <f aca="false">IF($D635&lt;&gt;"销项开票","",IF($N635="一级",IF(IFERROR(INDEX(项目档案!$E$6:$E$255,MATCH($C635,项目档案!$A$6:$A$255,0)),"")="",N(IFERROR(INDEX(单位档案!$D$6:$D$35,MATCH($E635,单位档案!$A$6:$A$35,0)),"")),IFERROR(INDEX(项目档案!$E$6:$E$255,MATCH($C635,项目档案!$A$6:$A$255,0)),"")),IF($N635="二级",IF(IFERROR(INDEX(项目档案!$G$6:$G$255,MATCH($C635,项目档案!$A$6:$A$255,0)),"")="",N(IFERROR(INDEX(单位档案!$D$6:$D$35,MATCH($E635,单位档案!$A$6:$A$35,0)),"")),IFERROR(INDEX(项目档案!$G$6:$G$255,MATCH($C635,项目档案!$A$6:$A$255,0)),"")),N(IFERROR(INDEX(单位档案!$D$6:$D$35,MATCH($E635,单位档案!$A$6:$A$35,0)),"")))))</f>
        <v/>
      </c>
      <c r="J635" s="22"/>
      <c r="K635" s="22"/>
      <c r="L635" s="33" t="str">
        <f aca="false">IF($B635="","",IF(NOT(ISNUMBER($B635)),"日期格式不对",IF($C635="","未选项目编号",IF(LEFT($M635,1)="⚠","项目编号不存在",IF($D635="","未选业务类型",IF($E635="","未选开票/付款方",IF(ISNA(MATCH($E635,单位档案!$A$6:$A$35,0)),"开票方不在单位档案",IF($F635="","未选收票/收款方",IF(ISNA(MATCH($F635,单位档案!$A$6:$A$35,0)),"收款方不在单位档案",IF(NOT(ISNUMBER($H635)),"金额须为数字",IF(AND($D635="销项开票",$N635="—"),"链条待确认","√")))))))))))</f>
        <v/>
      </c>
      <c r="M635" s="34" t="str">
        <f aca="false">IF($C635="","",IFERROR(INDEX(项目档案!$B$6:$B$255,MATCH($C635,项目档案!$A$6:$A$255,0)),"⚠项目编号不存在"))</f>
        <v/>
      </c>
      <c r="N635" s="35" t="str">
        <f aca="false">IF($E635="","",IF($E635=IFERROR(INDEX(项目档案!$D$6:$D$255,MATCH($C635,项目档案!$A$6:$A$255,0)),""),"一级",IF($E635=IFERROR(INDEX(项目档案!$F$6:$F$255,MATCH($C635,项目档案!$A$6:$A$255,0)),""),"二级",IF($E635=IFERROR(INDEX(项目档案!$H$6:$H$255,MATCH($C635,项目档案!$A$6:$A$255,0)),""),"我方","—"))))</f>
        <v/>
      </c>
      <c r="O635" s="36" t="n">
        <f aca="false">IF($D635&lt;&gt;"销项开票",0,ROUND(N($H635)*N($I635),2))</f>
        <v>0</v>
      </c>
      <c r="P635" s="36" t="n">
        <f aca="false">IF($D635&lt;&gt;"销项开票",0,ROUND(N($H635)-$O635,2))</f>
        <v>0</v>
      </c>
      <c r="Q635" s="37" t="str">
        <f aca="false">IF($E635="","",N(IFERROR(INDEX(单位档案!$E$6:$E$35,MATCH($E635,单位档案!$A$6:$A$35,0)),"")))</f>
        <v/>
      </c>
      <c r="R635" s="37" t="str">
        <f aca="false">IF($E635="","",N(IFERROR(INDEX(单位档案!$F$6:$F$35,MATCH($E635,单位档案!$A$6:$A$35,0)),"")))</f>
        <v/>
      </c>
      <c r="S635" s="36" t="n">
        <f aca="false">IF(OR($D635&lt;&gt;"销项开票",IFERROR(INDEX(单位档案!$G$6:$G$35,MATCH($E635,单位档案!$A$6:$A$35,0)),"")&lt;&gt;"是",N($Q635)=0),0,IF(IFERROR(INDEX(单位档案!$H$6:$H$35,MATCH($E635,单位档案!$A$6:$A$35,0)),"")="税差法",ROUND(N($H635)/(1+$Q635)*$Q635-IF(N($R635)=0,0,$P635/(1+$R635)*$R635),2),ROUND(N($H635)/(1+$Q635)*$Q635,2)))</f>
        <v>0</v>
      </c>
      <c r="T635" s="36" t="n">
        <f aca="false">ROUND($S635*N(IFERROR(INDEX(单位档案!$J$6:$J$35,MATCH($E635,单位档案!$A$6:$A$35,0)),"")),2)</f>
        <v>0</v>
      </c>
      <c r="U635" s="36" t="n">
        <f aca="false">IF($D635&lt;&gt;"销项开票",0,ROUND(N($H635)*N(IFERROR(INDEX(单位档案!$K$6:$K$35,MATCH($E635,单位档案!$A$6:$A$35,0)),"")),2))</f>
        <v>0</v>
      </c>
      <c r="V635" s="36" t="n">
        <f aca="false">IF(OR($D635&lt;&gt;"销项开票",N($Q635)=0),0,ROUND(N($H635)/(1+$Q635)*N(IFERROR(INDEX(单位档案!$L$6:$L$35,MATCH($E635,单位档案!$A$6:$A$35,0)),"")),2))</f>
        <v>0</v>
      </c>
      <c r="W635" s="36" t="n">
        <f aca="false">ROUND($S635+$T635+$U635+$V635,2)</f>
        <v>0</v>
      </c>
      <c r="X635" s="35" t="str">
        <f aca="false">IF(OR($D635="挂靠代收",$D635="我方收款"),COUNTIFS($D$5:$D635,"挂靠代收")+COUNTIFS($D$5:$D635,"我方收款"),"")</f>
        <v/>
      </c>
      <c r="Y635" s="35"/>
      <c r="Z635" s="21" t="s">
        <v>111</v>
      </c>
    </row>
    <row r="636" customFormat="false" ht="15.75" hidden="false" customHeight="true" outlineLevel="0" collapsed="false">
      <c r="A636" s="32" t="str">
        <f aca="false">IF($B636="","",ROW()-4)</f>
        <v/>
      </c>
      <c r="B636" s="26"/>
      <c r="C636" s="24"/>
      <c r="D636" s="21"/>
      <c r="E636" s="21"/>
      <c r="F636" s="21"/>
      <c r="G636" s="21"/>
      <c r="H636" s="27"/>
      <c r="I636" s="23" t="str">
        <f aca="false">IF($D636&lt;&gt;"销项开票","",IF($N636="一级",IF(IFERROR(INDEX(项目档案!$E$6:$E$255,MATCH($C636,项目档案!$A$6:$A$255,0)),"")="",N(IFERROR(INDEX(单位档案!$D$6:$D$35,MATCH($E636,单位档案!$A$6:$A$35,0)),"")),IFERROR(INDEX(项目档案!$E$6:$E$255,MATCH($C636,项目档案!$A$6:$A$255,0)),"")),IF($N636="二级",IF(IFERROR(INDEX(项目档案!$G$6:$G$255,MATCH($C636,项目档案!$A$6:$A$255,0)),"")="",N(IFERROR(INDEX(单位档案!$D$6:$D$35,MATCH($E636,单位档案!$A$6:$A$35,0)),"")),IFERROR(INDEX(项目档案!$G$6:$G$255,MATCH($C636,项目档案!$A$6:$A$255,0)),"")),N(IFERROR(INDEX(单位档案!$D$6:$D$35,MATCH($E636,单位档案!$A$6:$A$35,0)),"")))))</f>
        <v/>
      </c>
      <c r="J636" s="22"/>
      <c r="K636" s="22"/>
      <c r="L636" s="33" t="str">
        <f aca="false">IF($B636="","",IF(NOT(ISNUMBER($B636)),"日期格式不对",IF($C636="","未选项目编号",IF(LEFT($M636,1)="⚠","项目编号不存在",IF($D636="","未选业务类型",IF($E636="","未选开票/付款方",IF(ISNA(MATCH($E636,单位档案!$A$6:$A$35,0)),"开票方不在单位档案",IF($F636="","未选收票/收款方",IF(ISNA(MATCH($F636,单位档案!$A$6:$A$35,0)),"收款方不在单位档案",IF(NOT(ISNUMBER($H636)),"金额须为数字",IF(AND($D636="销项开票",$N636="—"),"链条待确认","√")))))))))))</f>
        <v/>
      </c>
      <c r="M636" s="34" t="str">
        <f aca="false">IF($C636="","",IFERROR(INDEX(项目档案!$B$6:$B$255,MATCH($C636,项目档案!$A$6:$A$255,0)),"⚠项目编号不存在"))</f>
        <v/>
      </c>
      <c r="N636" s="35" t="str">
        <f aca="false">IF($E636="","",IF($E636=IFERROR(INDEX(项目档案!$D$6:$D$255,MATCH($C636,项目档案!$A$6:$A$255,0)),""),"一级",IF($E636=IFERROR(INDEX(项目档案!$F$6:$F$255,MATCH($C636,项目档案!$A$6:$A$255,0)),""),"二级",IF($E636=IFERROR(INDEX(项目档案!$H$6:$H$255,MATCH($C636,项目档案!$A$6:$A$255,0)),""),"我方","—"))))</f>
        <v/>
      </c>
      <c r="O636" s="36" t="n">
        <f aca="false">IF($D636&lt;&gt;"销项开票",0,ROUND(N($H636)*N($I636),2))</f>
        <v>0</v>
      </c>
      <c r="P636" s="36" t="n">
        <f aca="false">IF($D636&lt;&gt;"销项开票",0,ROUND(N($H636)-$O636,2))</f>
        <v>0</v>
      </c>
      <c r="Q636" s="37" t="str">
        <f aca="false">IF($E636="","",N(IFERROR(INDEX(单位档案!$E$6:$E$35,MATCH($E636,单位档案!$A$6:$A$35,0)),"")))</f>
        <v/>
      </c>
      <c r="R636" s="37" t="str">
        <f aca="false">IF($E636="","",N(IFERROR(INDEX(单位档案!$F$6:$F$35,MATCH($E636,单位档案!$A$6:$A$35,0)),"")))</f>
        <v/>
      </c>
      <c r="S636" s="36" t="n">
        <f aca="false">IF(OR($D636&lt;&gt;"销项开票",IFERROR(INDEX(单位档案!$G$6:$G$35,MATCH($E636,单位档案!$A$6:$A$35,0)),"")&lt;&gt;"是",N($Q636)=0),0,IF(IFERROR(INDEX(单位档案!$H$6:$H$35,MATCH($E636,单位档案!$A$6:$A$35,0)),"")="税差法",ROUND(N($H636)/(1+$Q636)*$Q636-IF(N($R636)=0,0,$P636/(1+$R636)*$R636),2),ROUND(N($H636)/(1+$Q636)*$Q636,2)))</f>
        <v>0</v>
      </c>
      <c r="T636" s="36" t="n">
        <f aca="false">ROUND($S636*N(IFERROR(INDEX(单位档案!$J$6:$J$35,MATCH($E636,单位档案!$A$6:$A$35,0)),"")),2)</f>
        <v>0</v>
      </c>
      <c r="U636" s="36" t="n">
        <f aca="false">IF($D636&lt;&gt;"销项开票",0,ROUND(N($H636)*N(IFERROR(INDEX(单位档案!$K$6:$K$35,MATCH($E636,单位档案!$A$6:$A$35,0)),"")),2))</f>
        <v>0</v>
      </c>
      <c r="V636" s="36" t="n">
        <f aca="false">IF(OR($D636&lt;&gt;"销项开票",N($Q636)=0),0,ROUND(N($H636)/(1+$Q636)*N(IFERROR(INDEX(单位档案!$L$6:$L$35,MATCH($E636,单位档案!$A$6:$A$35,0)),"")),2))</f>
        <v>0</v>
      </c>
      <c r="W636" s="36" t="n">
        <f aca="false">ROUND($S636+$T636+$U636+$V636,2)</f>
        <v>0</v>
      </c>
      <c r="X636" s="35" t="str">
        <f aca="false">IF(OR($D636="挂靠代收",$D636="我方收款"),COUNTIFS($D$5:$D636,"挂靠代收")+COUNTIFS($D$5:$D636,"我方收款"),"")</f>
        <v/>
      </c>
      <c r="Y636" s="35"/>
      <c r="Z636" s="21" t="s">
        <v>111</v>
      </c>
    </row>
    <row r="637" customFormat="false" ht="15.75" hidden="false" customHeight="true" outlineLevel="0" collapsed="false">
      <c r="A637" s="32" t="str">
        <f aca="false">IF($B637="","",ROW()-4)</f>
        <v/>
      </c>
      <c r="B637" s="26"/>
      <c r="C637" s="24"/>
      <c r="D637" s="21"/>
      <c r="E637" s="21"/>
      <c r="F637" s="21"/>
      <c r="G637" s="21"/>
      <c r="H637" s="27"/>
      <c r="I637" s="23" t="str">
        <f aca="false">IF($D637&lt;&gt;"销项开票","",IF($N637="一级",IF(IFERROR(INDEX(项目档案!$E$6:$E$255,MATCH($C637,项目档案!$A$6:$A$255,0)),"")="",N(IFERROR(INDEX(单位档案!$D$6:$D$35,MATCH($E637,单位档案!$A$6:$A$35,0)),"")),IFERROR(INDEX(项目档案!$E$6:$E$255,MATCH($C637,项目档案!$A$6:$A$255,0)),"")),IF($N637="二级",IF(IFERROR(INDEX(项目档案!$G$6:$G$255,MATCH($C637,项目档案!$A$6:$A$255,0)),"")="",N(IFERROR(INDEX(单位档案!$D$6:$D$35,MATCH($E637,单位档案!$A$6:$A$35,0)),"")),IFERROR(INDEX(项目档案!$G$6:$G$255,MATCH($C637,项目档案!$A$6:$A$255,0)),"")),N(IFERROR(INDEX(单位档案!$D$6:$D$35,MATCH($E637,单位档案!$A$6:$A$35,0)),"")))))</f>
        <v/>
      </c>
      <c r="J637" s="22"/>
      <c r="K637" s="22"/>
      <c r="L637" s="33" t="str">
        <f aca="false">IF($B637="","",IF(NOT(ISNUMBER($B637)),"日期格式不对",IF($C637="","未选项目编号",IF(LEFT($M637,1)="⚠","项目编号不存在",IF($D637="","未选业务类型",IF($E637="","未选开票/付款方",IF(ISNA(MATCH($E637,单位档案!$A$6:$A$35,0)),"开票方不在单位档案",IF($F637="","未选收票/收款方",IF(ISNA(MATCH($F637,单位档案!$A$6:$A$35,0)),"收款方不在单位档案",IF(NOT(ISNUMBER($H637)),"金额须为数字",IF(AND($D637="销项开票",$N637="—"),"链条待确认","√")))))))))))</f>
        <v/>
      </c>
      <c r="M637" s="34" t="str">
        <f aca="false">IF($C637="","",IFERROR(INDEX(项目档案!$B$6:$B$255,MATCH($C637,项目档案!$A$6:$A$255,0)),"⚠项目编号不存在"))</f>
        <v/>
      </c>
      <c r="N637" s="35" t="str">
        <f aca="false">IF($E637="","",IF($E637=IFERROR(INDEX(项目档案!$D$6:$D$255,MATCH($C637,项目档案!$A$6:$A$255,0)),""),"一级",IF($E637=IFERROR(INDEX(项目档案!$F$6:$F$255,MATCH($C637,项目档案!$A$6:$A$255,0)),""),"二级",IF($E637=IFERROR(INDEX(项目档案!$H$6:$H$255,MATCH($C637,项目档案!$A$6:$A$255,0)),""),"我方","—"))))</f>
        <v/>
      </c>
      <c r="O637" s="36" t="n">
        <f aca="false">IF($D637&lt;&gt;"销项开票",0,ROUND(N($H637)*N($I637),2))</f>
        <v>0</v>
      </c>
      <c r="P637" s="36" t="n">
        <f aca="false">IF($D637&lt;&gt;"销项开票",0,ROUND(N($H637)-$O637,2))</f>
        <v>0</v>
      </c>
      <c r="Q637" s="37" t="str">
        <f aca="false">IF($E637="","",N(IFERROR(INDEX(单位档案!$E$6:$E$35,MATCH($E637,单位档案!$A$6:$A$35,0)),"")))</f>
        <v/>
      </c>
      <c r="R637" s="37" t="str">
        <f aca="false">IF($E637="","",N(IFERROR(INDEX(单位档案!$F$6:$F$35,MATCH($E637,单位档案!$A$6:$A$35,0)),"")))</f>
        <v/>
      </c>
      <c r="S637" s="36" t="n">
        <f aca="false">IF(OR($D637&lt;&gt;"销项开票",IFERROR(INDEX(单位档案!$G$6:$G$35,MATCH($E637,单位档案!$A$6:$A$35,0)),"")&lt;&gt;"是",N($Q637)=0),0,IF(IFERROR(INDEX(单位档案!$H$6:$H$35,MATCH($E637,单位档案!$A$6:$A$35,0)),"")="税差法",ROUND(N($H637)/(1+$Q637)*$Q637-IF(N($R637)=0,0,$P637/(1+$R637)*$R637),2),ROUND(N($H637)/(1+$Q637)*$Q637,2)))</f>
        <v>0</v>
      </c>
      <c r="T637" s="36" t="n">
        <f aca="false">ROUND($S637*N(IFERROR(INDEX(单位档案!$J$6:$J$35,MATCH($E637,单位档案!$A$6:$A$35,0)),"")),2)</f>
        <v>0</v>
      </c>
      <c r="U637" s="36" t="n">
        <f aca="false">IF($D637&lt;&gt;"销项开票",0,ROUND(N($H637)*N(IFERROR(INDEX(单位档案!$K$6:$K$35,MATCH($E637,单位档案!$A$6:$A$35,0)),"")),2))</f>
        <v>0</v>
      </c>
      <c r="V637" s="36" t="n">
        <f aca="false">IF(OR($D637&lt;&gt;"销项开票",N($Q637)=0),0,ROUND(N($H637)/(1+$Q637)*N(IFERROR(INDEX(单位档案!$L$6:$L$35,MATCH($E637,单位档案!$A$6:$A$35,0)),"")),2))</f>
        <v>0</v>
      </c>
      <c r="W637" s="36" t="n">
        <f aca="false">ROUND($S637+$T637+$U637+$V637,2)</f>
        <v>0</v>
      </c>
      <c r="X637" s="35" t="str">
        <f aca="false">IF(OR($D637="挂靠代收",$D637="我方收款"),COUNTIFS($D$5:$D637,"挂靠代收")+COUNTIFS($D$5:$D637,"我方收款"),"")</f>
        <v/>
      </c>
      <c r="Y637" s="35"/>
      <c r="Z637" s="21" t="s">
        <v>111</v>
      </c>
    </row>
    <row r="638" customFormat="false" ht="15.75" hidden="false" customHeight="true" outlineLevel="0" collapsed="false">
      <c r="A638" s="32" t="str">
        <f aca="false">IF($B638="","",ROW()-4)</f>
        <v/>
      </c>
      <c r="B638" s="26"/>
      <c r="C638" s="24"/>
      <c r="D638" s="21"/>
      <c r="E638" s="21"/>
      <c r="F638" s="21"/>
      <c r="G638" s="21"/>
      <c r="H638" s="27"/>
      <c r="I638" s="23" t="str">
        <f aca="false">IF($D638&lt;&gt;"销项开票","",IF($N638="一级",IF(IFERROR(INDEX(项目档案!$E$6:$E$255,MATCH($C638,项目档案!$A$6:$A$255,0)),"")="",N(IFERROR(INDEX(单位档案!$D$6:$D$35,MATCH($E638,单位档案!$A$6:$A$35,0)),"")),IFERROR(INDEX(项目档案!$E$6:$E$255,MATCH($C638,项目档案!$A$6:$A$255,0)),"")),IF($N638="二级",IF(IFERROR(INDEX(项目档案!$G$6:$G$255,MATCH($C638,项目档案!$A$6:$A$255,0)),"")="",N(IFERROR(INDEX(单位档案!$D$6:$D$35,MATCH($E638,单位档案!$A$6:$A$35,0)),"")),IFERROR(INDEX(项目档案!$G$6:$G$255,MATCH($C638,项目档案!$A$6:$A$255,0)),"")),N(IFERROR(INDEX(单位档案!$D$6:$D$35,MATCH($E638,单位档案!$A$6:$A$35,0)),"")))))</f>
        <v/>
      </c>
      <c r="J638" s="22"/>
      <c r="K638" s="22"/>
      <c r="L638" s="33" t="str">
        <f aca="false">IF($B638="","",IF(NOT(ISNUMBER($B638)),"日期格式不对",IF($C638="","未选项目编号",IF(LEFT($M638,1)="⚠","项目编号不存在",IF($D638="","未选业务类型",IF($E638="","未选开票/付款方",IF(ISNA(MATCH($E638,单位档案!$A$6:$A$35,0)),"开票方不在单位档案",IF($F638="","未选收票/收款方",IF(ISNA(MATCH($F638,单位档案!$A$6:$A$35,0)),"收款方不在单位档案",IF(NOT(ISNUMBER($H638)),"金额须为数字",IF(AND($D638="销项开票",$N638="—"),"链条待确认","√")))))))))))</f>
        <v/>
      </c>
      <c r="M638" s="34" t="str">
        <f aca="false">IF($C638="","",IFERROR(INDEX(项目档案!$B$6:$B$255,MATCH($C638,项目档案!$A$6:$A$255,0)),"⚠项目编号不存在"))</f>
        <v/>
      </c>
      <c r="N638" s="35" t="str">
        <f aca="false">IF($E638="","",IF($E638=IFERROR(INDEX(项目档案!$D$6:$D$255,MATCH($C638,项目档案!$A$6:$A$255,0)),""),"一级",IF($E638=IFERROR(INDEX(项目档案!$F$6:$F$255,MATCH($C638,项目档案!$A$6:$A$255,0)),""),"二级",IF($E638=IFERROR(INDEX(项目档案!$H$6:$H$255,MATCH($C638,项目档案!$A$6:$A$255,0)),""),"我方","—"))))</f>
        <v/>
      </c>
      <c r="O638" s="36" t="n">
        <f aca="false">IF($D638&lt;&gt;"销项开票",0,ROUND(N($H638)*N($I638),2))</f>
        <v>0</v>
      </c>
      <c r="P638" s="36" t="n">
        <f aca="false">IF($D638&lt;&gt;"销项开票",0,ROUND(N($H638)-$O638,2))</f>
        <v>0</v>
      </c>
      <c r="Q638" s="37" t="str">
        <f aca="false">IF($E638="","",N(IFERROR(INDEX(单位档案!$E$6:$E$35,MATCH($E638,单位档案!$A$6:$A$35,0)),"")))</f>
        <v/>
      </c>
      <c r="R638" s="37" t="str">
        <f aca="false">IF($E638="","",N(IFERROR(INDEX(单位档案!$F$6:$F$35,MATCH($E638,单位档案!$A$6:$A$35,0)),"")))</f>
        <v/>
      </c>
      <c r="S638" s="36" t="n">
        <f aca="false">IF(OR($D638&lt;&gt;"销项开票",IFERROR(INDEX(单位档案!$G$6:$G$35,MATCH($E638,单位档案!$A$6:$A$35,0)),"")&lt;&gt;"是",N($Q638)=0),0,IF(IFERROR(INDEX(单位档案!$H$6:$H$35,MATCH($E638,单位档案!$A$6:$A$35,0)),"")="税差法",ROUND(N($H638)/(1+$Q638)*$Q638-IF(N($R638)=0,0,$P638/(1+$R638)*$R638),2),ROUND(N($H638)/(1+$Q638)*$Q638,2)))</f>
        <v>0</v>
      </c>
      <c r="T638" s="36" t="n">
        <f aca="false">ROUND($S638*N(IFERROR(INDEX(单位档案!$J$6:$J$35,MATCH($E638,单位档案!$A$6:$A$35,0)),"")),2)</f>
        <v>0</v>
      </c>
      <c r="U638" s="36" t="n">
        <f aca="false">IF($D638&lt;&gt;"销项开票",0,ROUND(N($H638)*N(IFERROR(INDEX(单位档案!$K$6:$K$35,MATCH($E638,单位档案!$A$6:$A$35,0)),"")),2))</f>
        <v>0</v>
      </c>
      <c r="V638" s="36" t="n">
        <f aca="false">IF(OR($D638&lt;&gt;"销项开票",N($Q638)=0),0,ROUND(N($H638)/(1+$Q638)*N(IFERROR(INDEX(单位档案!$L$6:$L$35,MATCH($E638,单位档案!$A$6:$A$35,0)),"")),2))</f>
        <v>0</v>
      </c>
      <c r="W638" s="36" t="n">
        <f aca="false">ROUND($S638+$T638+$U638+$V638,2)</f>
        <v>0</v>
      </c>
      <c r="X638" s="35" t="str">
        <f aca="false">IF(OR($D638="挂靠代收",$D638="我方收款"),COUNTIFS($D$5:$D638,"挂靠代收")+COUNTIFS($D$5:$D638,"我方收款"),"")</f>
        <v/>
      </c>
      <c r="Y638" s="35"/>
      <c r="Z638" s="21" t="s">
        <v>111</v>
      </c>
    </row>
    <row r="639" customFormat="false" ht="15.75" hidden="false" customHeight="true" outlineLevel="0" collapsed="false">
      <c r="A639" s="32" t="str">
        <f aca="false">IF($B639="","",ROW()-4)</f>
        <v/>
      </c>
      <c r="B639" s="26"/>
      <c r="C639" s="24"/>
      <c r="D639" s="21"/>
      <c r="E639" s="21"/>
      <c r="F639" s="21"/>
      <c r="G639" s="21"/>
      <c r="H639" s="27"/>
      <c r="I639" s="23" t="str">
        <f aca="false">IF($D639&lt;&gt;"销项开票","",IF($N639="一级",IF(IFERROR(INDEX(项目档案!$E$6:$E$255,MATCH($C639,项目档案!$A$6:$A$255,0)),"")="",N(IFERROR(INDEX(单位档案!$D$6:$D$35,MATCH($E639,单位档案!$A$6:$A$35,0)),"")),IFERROR(INDEX(项目档案!$E$6:$E$255,MATCH($C639,项目档案!$A$6:$A$255,0)),"")),IF($N639="二级",IF(IFERROR(INDEX(项目档案!$G$6:$G$255,MATCH($C639,项目档案!$A$6:$A$255,0)),"")="",N(IFERROR(INDEX(单位档案!$D$6:$D$35,MATCH($E639,单位档案!$A$6:$A$35,0)),"")),IFERROR(INDEX(项目档案!$G$6:$G$255,MATCH($C639,项目档案!$A$6:$A$255,0)),"")),N(IFERROR(INDEX(单位档案!$D$6:$D$35,MATCH($E639,单位档案!$A$6:$A$35,0)),"")))))</f>
        <v/>
      </c>
      <c r="J639" s="22"/>
      <c r="K639" s="22"/>
      <c r="L639" s="33" t="str">
        <f aca="false">IF($B639="","",IF(NOT(ISNUMBER($B639)),"日期格式不对",IF($C639="","未选项目编号",IF(LEFT($M639,1)="⚠","项目编号不存在",IF($D639="","未选业务类型",IF($E639="","未选开票/付款方",IF(ISNA(MATCH($E639,单位档案!$A$6:$A$35,0)),"开票方不在单位档案",IF($F639="","未选收票/收款方",IF(ISNA(MATCH($F639,单位档案!$A$6:$A$35,0)),"收款方不在单位档案",IF(NOT(ISNUMBER($H639)),"金额须为数字",IF(AND($D639="销项开票",$N639="—"),"链条待确认","√")))))))))))</f>
        <v/>
      </c>
      <c r="M639" s="34" t="str">
        <f aca="false">IF($C639="","",IFERROR(INDEX(项目档案!$B$6:$B$255,MATCH($C639,项目档案!$A$6:$A$255,0)),"⚠项目编号不存在"))</f>
        <v/>
      </c>
      <c r="N639" s="35" t="str">
        <f aca="false">IF($E639="","",IF($E639=IFERROR(INDEX(项目档案!$D$6:$D$255,MATCH($C639,项目档案!$A$6:$A$255,0)),""),"一级",IF($E639=IFERROR(INDEX(项目档案!$F$6:$F$255,MATCH($C639,项目档案!$A$6:$A$255,0)),""),"二级",IF($E639=IFERROR(INDEX(项目档案!$H$6:$H$255,MATCH($C639,项目档案!$A$6:$A$255,0)),""),"我方","—"))))</f>
        <v/>
      </c>
      <c r="O639" s="36" t="n">
        <f aca="false">IF($D639&lt;&gt;"销项开票",0,ROUND(N($H639)*N($I639),2))</f>
        <v>0</v>
      </c>
      <c r="P639" s="36" t="n">
        <f aca="false">IF($D639&lt;&gt;"销项开票",0,ROUND(N($H639)-$O639,2))</f>
        <v>0</v>
      </c>
      <c r="Q639" s="37" t="str">
        <f aca="false">IF($E639="","",N(IFERROR(INDEX(单位档案!$E$6:$E$35,MATCH($E639,单位档案!$A$6:$A$35,0)),"")))</f>
        <v/>
      </c>
      <c r="R639" s="37" t="str">
        <f aca="false">IF($E639="","",N(IFERROR(INDEX(单位档案!$F$6:$F$35,MATCH($E639,单位档案!$A$6:$A$35,0)),"")))</f>
        <v/>
      </c>
      <c r="S639" s="36" t="n">
        <f aca="false">IF(OR($D639&lt;&gt;"销项开票",IFERROR(INDEX(单位档案!$G$6:$G$35,MATCH($E639,单位档案!$A$6:$A$35,0)),"")&lt;&gt;"是",N($Q639)=0),0,IF(IFERROR(INDEX(单位档案!$H$6:$H$35,MATCH($E639,单位档案!$A$6:$A$35,0)),"")="税差法",ROUND(N($H639)/(1+$Q639)*$Q639-IF(N($R639)=0,0,$P639/(1+$R639)*$R639),2),ROUND(N($H639)/(1+$Q639)*$Q639,2)))</f>
        <v>0</v>
      </c>
      <c r="T639" s="36" t="n">
        <f aca="false">ROUND($S639*N(IFERROR(INDEX(单位档案!$J$6:$J$35,MATCH($E639,单位档案!$A$6:$A$35,0)),"")),2)</f>
        <v>0</v>
      </c>
      <c r="U639" s="36" t="n">
        <f aca="false">IF($D639&lt;&gt;"销项开票",0,ROUND(N($H639)*N(IFERROR(INDEX(单位档案!$K$6:$K$35,MATCH($E639,单位档案!$A$6:$A$35,0)),"")),2))</f>
        <v>0</v>
      </c>
      <c r="V639" s="36" t="n">
        <f aca="false">IF(OR($D639&lt;&gt;"销项开票",N($Q639)=0),0,ROUND(N($H639)/(1+$Q639)*N(IFERROR(INDEX(单位档案!$L$6:$L$35,MATCH($E639,单位档案!$A$6:$A$35,0)),"")),2))</f>
        <v>0</v>
      </c>
      <c r="W639" s="36" t="n">
        <f aca="false">ROUND($S639+$T639+$U639+$V639,2)</f>
        <v>0</v>
      </c>
      <c r="X639" s="35" t="str">
        <f aca="false">IF(OR($D639="挂靠代收",$D639="我方收款"),COUNTIFS($D$5:$D639,"挂靠代收")+COUNTIFS($D$5:$D639,"我方收款"),"")</f>
        <v/>
      </c>
      <c r="Y639" s="35"/>
      <c r="Z639" s="21" t="s">
        <v>111</v>
      </c>
    </row>
    <row r="640" customFormat="false" ht="15.75" hidden="false" customHeight="true" outlineLevel="0" collapsed="false">
      <c r="A640" s="32" t="str">
        <f aca="false">IF($B640="","",ROW()-4)</f>
        <v/>
      </c>
      <c r="B640" s="26"/>
      <c r="C640" s="24"/>
      <c r="D640" s="21"/>
      <c r="E640" s="21"/>
      <c r="F640" s="21"/>
      <c r="G640" s="21"/>
      <c r="H640" s="27"/>
      <c r="I640" s="23" t="str">
        <f aca="false">IF($D640&lt;&gt;"销项开票","",IF($N640="一级",IF(IFERROR(INDEX(项目档案!$E$6:$E$255,MATCH($C640,项目档案!$A$6:$A$255,0)),"")="",N(IFERROR(INDEX(单位档案!$D$6:$D$35,MATCH($E640,单位档案!$A$6:$A$35,0)),"")),IFERROR(INDEX(项目档案!$E$6:$E$255,MATCH($C640,项目档案!$A$6:$A$255,0)),"")),IF($N640="二级",IF(IFERROR(INDEX(项目档案!$G$6:$G$255,MATCH($C640,项目档案!$A$6:$A$255,0)),"")="",N(IFERROR(INDEX(单位档案!$D$6:$D$35,MATCH($E640,单位档案!$A$6:$A$35,0)),"")),IFERROR(INDEX(项目档案!$G$6:$G$255,MATCH($C640,项目档案!$A$6:$A$255,0)),"")),N(IFERROR(INDEX(单位档案!$D$6:$D$35,MATCH($E640,单位档案!$A$6:$A$35,0)),"")))))</f>
        <v/>
      </c>
      <c r="J640" s="22"/>
      <c r="K640" s="22"/>
      <c r="L640" s="33" t="str">
        <f aca="false">IF($B640="","",IF(NOT(ISNUMBER($B640)),"日期格式不对",IF($C640="","未选项目编号",IF(LEFT($M640,1)="⚠","项目编号不存在",IF($D640="","未选业务类型",IF($E640="","未选开票/付款方",IF(ISNA(MATCH($E640,单位档案!$A$6:$A$35,0)),"开票方不在单位档案",IF($F640="","未选收票/收款方",IF(ISNA(MATCH($F640,单位档案!$A$6:$A$35,0)),"收款方不在单位档案",IF(NOT(ISNUMBER($H640)),"金额须为数字",IF(AND($D640="销项开票",$N640="—"),"链条待确认","√")))))))))))</f>
        <v/>
      </c>
      <c r="M640" s="34" t="str">
        <f aca="false">IF($C640="","",IFERROR(INDEX(项目档案!$B$6:$B$255,MATCH($C640,项目档案!$A$6:$A$255,0)),"⚠项目编号不存在"))</f>
        <v/>
      </c>
      <c r="N640" s="35" t="str">
        <f aca="false">IF($E640="","",IF($E640=IFERROR(INDEX(项目档案!$D$6:$D$255,MATCH($C640,项目档案!$A$6:$A$255,0)),""),"一级",IF($E640=IFERROR(INDEX(项目档案!$F$6:$F$255,MATCH($C640,项目档案!$A$6:$A$255,0)),""),"二级",IF($E640=IFERROR(INDEX(项目档案!$H$6:$H$255,MATCH($C640,项目档案!$A$6:$A$255,0)),""),"我方","—"))))</f>
        <v/>
      </c>
      <c r="O640" s="36" t="n">
        <f aca="false">IF($D640&lt;&gt;"销项开票",0,ROUND(N($H640)*N($I640),2))</f>
        <v>0</v>
      </c>
      <c r="P640" s="36" t="n">
        <f aca="false">IF($D640&lt;&gt;"销项开票",0,ROUND(N($H640)-$O640,2))</f>
        <v>0</v>
      </c>
      <c r="Q640" s="37" t="str">
        <f aca="false">IF($E640="","",N(IFERROR(INDEX(单位档案!$E$6:$E$35,MATCH($E640,单位档案!$A$6:$A$35,0)),"")))</f>
        <v/>
      </c>
      <c r="R640" s="37" t="str">
        <f aca="false">IF($E640="","",N(IFERROR(INDEX(单位档案!$F$6:$F$35,MATCH($E640,单位档案!$A$6:$A$35,0)),"")))</f>
        <v/>
      </c>
      <c r="S640" s="36" t="n">
        <f aca="false">IF(OR($D640&lt;&gt;"销项开票",IFERROR(INDEX(单位档案!$G$6:$G$35,MATCH($E640,单位档案!$A$6:$A$35,0)),"")&lt;&gt;"是",N($Q640)=0),0,IF(IFERROR(INDEX(单位档案!$H$6:$H$35,MATCH($E640,单位档案!$A$6:$A$35,0)),"")="税差法",ROUND(N($H640)/(1+$Q640)*$Q640-IF(N($R640)=0,0,$P640/(1+$R640)*$R640),2),ROUND(N($H640)/(1+$Q640)*$Q640,2)))</f>
        <v>0</v>
      </c>
      <c r="T640" s="36" t="n">
        <f aca="false">ROUND($S640*N(IFERROR(INDEX(单位档案!$J$6:$J$35,MATCH($E640,单位档案!$A$6:$A$35,0)),"")),2)</f>
        <v>0</v>
      </c>
      <c r="U640" s="36" t="n">
        <f aca="false">IF($D640&lt;&gt;"销项开票",0,ROUND(N($H640)*N(IFERROR(INDEX(单位档案!$K$6:$K$35,MATCH($E640,单位档案!$A$6:$A$35,0)),"")),2))</f>
        <v>0</v>
      </c>
      <c r="V640" s="36" t="n">
        <f aca="false">IF(OR($D640&lt;&gt;"销项开票",N($Q640)=0),0,ROUND(N($H640)/(1+$Q640)*N(IFERROR(INDEX(单位档案!$L$6:$L$35,MATCH($E640,单位档案!$A$6:$A$35,0)),"")),2))</f>
        <v>0</v>
      </c>
      <c r="W640" s="36" t="n">
        <f aca="false">ROUND($S640+$T640+$U640+$V640,2)</f>
        <v>0</v>
      </c>
      <c r="X640" s="35" t="str">
        <f aca="false">IF(OR($D640="挂靠代收",$D640="我方收款"),COUNTIFS($D$5:$D640,"挂靠代收")+COUNTIFS($D$5:$D640,"我方收款"),"")</f>
        <v/>
      </c>
      <c r="Y640" s="35"/>
      <c r="Z640" s="21" t="s">
        <v>111</v>
      </c>
    </row>
    <row r="641" customFormat="false" ht="15.75" hidden="false" customHeight="true" outlineLevel="0" collapsed="false">
      <c r="A641" s="32" t="str">
        <f aca="false">IF($B641="","",ROW()-4)</f>
        <v/>
      </c>
      <c r="B641" s="26"/>
      <c r="C641" s="24"/>
      <c r="D641" s="21"/>
      <c r="E641" s="21"/>
      <c r="F641" s="21"/>
      <c r="G641" s="21"/>
      <c r="H641" s="27"/>
      <c r="I641" s="23" t="str">
        <f aca="false">IF($D641&lt;&gt;"销项开票","",IF($N641="一级",IF(IFERROR(INDEX(项目档案!$E$6:$E$255,MATCH($C641,项目档案!$A$6:$A$255,0)),"")="",N(IFERROR(INDEX(单位档案!$D$6:$D$35,MATCH($E641,单位档案!$A$6:$A$35,0)),"")),IFERROR(INDEX(项目档案!$E$6:$E$255,MATCH($C641,项目档案!$A$6:$A$255,0)),"")),IF($N641="二级",IF(IFERROR(INDEX(项目档案!$G$6:$G$255,MATCH($C641,项目档案!$A$6:$A$255,0)),"")="",N(IFERROR(INDEX(单位档案!$D$6:$D$35,MATCH($E641,单位档案!$A$6:$A$35,0)),"")),IFERROR(INDEX(项目档案!$G$6:$G$255,MATCH($C641,项目档案!$A$6:$A$255,0)),"")),N(IFERROR(INDEX(单位档案!$D$6:$D$35,MATCH($E641,单位档案!$A$6:$A$35,0)),"")))))</f>
        <v/>
      </c>
      <c r="J641" s="22"/>
      <c r="K641" s="22"/>
      <c r="L641" s="33" t="str">
        <f aca="false">IF($B641="","",IF(NOT(ISNUMBER($B641)),"日期格式不对",IF($C641="","未选项目编号",IF(LEFT($M641,1)="⚠","项目编号不存在",IF($D641="","未选业务类型",IF($E641="","未选开票/付款方",IF(ISNA(MATCH($E641,单位档案!$A$6:$A$35,0)),"开票方不在单位档案",IF($F641="","未选收票/收款方",IF(ISNA(MATCH($F641,单位档案!$A$6:$A$35,0)),"收款方不在单位档案",IF(NOT(ISNUMBER($H641)),"金额须为数字",IF(AND($D641="销项开票",$N641="—"),"链条待确认","√")))))))))))</f>
        <v/>
      </c>
      <c r="M641" s="34" t="str">
        <f aca="false">IF($C641="","",IFERROR(INDEX(项目档案!$B$6:$B$255,MATCH($C641,项目档案!$A$6:$A$255,0)),"⚠项目编号不存在"))</f>
        <v/>
      </c>
      <c r="N641" s="35" t="str">
        <f aca="false">IF($E641="","",IF($E641=IFERROR(INDEX(项目档案!$D$6:$D$255,MATCH($C641,项目档案!$A$6:$A$255,0)),""),"一级",IF($E641=IFERROR(INDEX(项目档案!$F$6:$F$255,MATCH($C641,项目档案!$A$6:$A$255,0)),""),"二级",IF($E641=IFERROR(INDEX(项目档案!$H$6:$H$255,MATCH($C641,项目档案!$A$6:$A$255,0)),""),"我方","—"))))</f>
        <v/>
      </c>
      <c r="O641" s="36" t="n">
        <f aca="false">IF($D641&lt;&gt;"销项开票",0,ROUND(N($H641)*N($I641),2))</f>
        <v>0</v>
      </c>
      <c r="P641" s="36" t="n">
        <f aca="false">IF($D641&lt;&gt;"销项开票",0,ROUND(N($H641)-$O641,2))</f>
        <v>0</v>
      </c>
      <c r="Q641" s="37" t="str">
        <f aca="false">IF($E641="","",N(IFERROR(INDEX(单位档案!$E$6:$E$35,MATCH($E641,单位档案!$A$6:$A$35,0)),"")))</f>
        <v/>
      </c>
      <c r="R641" s="37" t="str">
        <f aca="false">IF($E641="","",N(IFERROR(INDEX(单位档案!$F$6:$F$35,MATCH($E641,单位档案!$A$6:$A$35,0)),"")))</f>
        <v/>
      </c>
      <c r="S641" s="36" t="n">
        <f aca="false">IF(OR($D641&lt;&gt;"销项开票",IFERROR(INDEX(单位档案!$G$6:$G$35,MATCH($E641,单位档案!$A$6:$A$35,0)),"")&lt;&gt;"是",N($Q641)=0),0,IF(IFERROR(INDEX(单位档案!$H$6:$H$35,MATCH($E641,单位档案!$A$6:$A$35,0)),"")="税差法",ROUND(N($H641)/(1+$Q641)*$Q641-IF(N($R641)=0,0,$P641/(1+$R641)*$R641),2),ROUND(N($H641)/(1+$Q641)*$Q641,2)))</f>
        <v>0</v>
      </c>
      <c r="T641" s="36" t="n">
        <f aca="false">ROUND($S641*N(IFERROR(INDEX(单位档案!$J$6:$J$35,MATCH($E641,单位档案!$A$6:$A$35,0)),"")),2)</f>
        <v>0</v>
      </c>
      <c r="U641" s="36" t="n">
        <f aca="false">IF($D641&lt;&gt;"销项开票",0,ROUND(N($H641)*N(IFERROR(INDEX(单位档案!$K$6:$K$35,MATCH($E641,单位档案!$A$6:$A$35,0)),"")),2))</f>
        <v>0</v>
      </c>
      <c r="V641" s="36" t="n">
        <f aca="false">IF(OR($D641&lt;&gt;"销项开票",N($Q641)=0),0,ROUND(N($H641)/(1+$Q641)*N(IFERROR(INDEX(单位档案!$L$6:$L$35,MATCH($E641,单位档案!$A$6:$A$35,0)),"")),2))</f>
        <v>0</v>
      </c>
      <c r="W641" s="36" t="n">
        <f aca="false">ROUND($S641+$T641+$U641+$V641,2)</f>
        <v>0</v>
      </c>
      <c r="X641" s="35" t="str">
        <f aca="false">IF(OR($D641="挂靠代收",$D641="我方收款"),COUNTIFS($D$5:$D641,"挂靠代收")+COUNTIFS($D$5:$D641,"我方收款"),"")</f>
        <v/>
      </c>
      <c r="Y641" s="35"/>
      <c r="Z641" s="21" t="s">
        <v>111</v>
      </c>
    </row>
    <row r="642" customFormat="false" ht="15.75" hidden="false" customHeight="true" outlineLevel="0" collapsed="false">
      <c r="A642" s="32" t="str">
        <f aca="false">IF($B642="","",ROW()-4)</f>
        <v/>
      </c>
      <c r="B642" s="26"/>
      <c r="C642" s="24"/>
      <c r="D642" s="21"/>
      <c r="E642" s="21"/>
      <c r="F642" s="21"/>
      <c r="G642" s="21"/>
      <c r="H642" s="27"/>
      <c r="I642" s="23" t="str">
        <f aca="false">IF($D642&lt;&gt;"销项开票","",IF($N642="一级",IF(IFERROR(INDEX(项目档案!$E$6:$E$255,MATCH($C642,项目档案!$A$6:$A$255,0)),"")="",N(IFERROR(INDEX(单位档案!$D$6:$D$35,MATCH($E642,单位档案!$A$6:$A$35,0)),"")),IFERROR(INDEX(项目档案!$E$6:$E$255,MATCH($C642,项目档案!$A$6:$A$255,0)),"")),IF($N642="二级",IF(IFERROR(INDEX(项目档案!$G$6:$G$255,MATCH($C642,项目档案!$A$6:$A$255,0)),"")="",N(IFERROR(INDEX(单位档案!$D$6:$D$35,MATCH($E642,单位档案!$A$6:$A$35,0)),"")),IFERROR(INDEX(项目档案!$G$6:$G$255,MATCH($C642,项目档案!$A$6:$A$255,0)),"")),N(IFERROR(INDEX(单位档案!$D$6:$D$35,MATCH($E642,单位档案!$A$6:$A$35,0)),"")))))</f>
        <v/>
      </c>
      <c r="J642" s="22"/>
      <c r="K642" s="22"/>
      <c r="L642" s="33" t="str">
        <f aca="false">IF($B642="","",IF(NOT(ISNUMBER($B642)),"日期格式不对",IF($C642="","未选项目编号",IF(LEFT($M642,1)="⚠","项目编号不存在",IF($D642="","未选业务类型",IF($E642="","未选开票/付款方",IF(ISNA(MATCH($E642,单位档案!$A$6:$A$35,0)),"开票方不在单位档案",IF($F642="","未选收票/收款方",IF(ISNA(MATCH($F642,单位档案!$A$6:$A$35,0)),"收款方不在单位档案",IF(NOT(ISNUMBER($H642)),"金额须为数字",IF(AND($D642="销项开票",$N642="—"),"链条待确认","√")))))))))))</f>
        <v/>
      </c>
      <c r="M642" s="34" t="str">
        <f aca="false">IF($C642="","",IFERROR(INDEX(项目档案!$B$6:$B$255,MATCH($C642,项目档案!$A$6:$A$255,0)),"⚠项目编号不存在"))</f>
        <v/>
      </c>
      <c r="N642" s="35" t="str">
        <f aca="false">IF($E642="","",IF($E642=IFERROR(INDEX(项目档案!$D$6:$D$255,MATCH($C642,项目档案!$A$6:$A$255,0)),""),"一级",IF($E642=IFERROR(INDEX(项目档案!$F$6:$F$255,MATCH($C642,项目档案!$A$6:$A$255,0)),""),"二级",IF($E642=IFERROR(INDEX(项目档案!$H$6:$H$255,MATCH($C642,项目档案!$A$6:$A$255,0)),""),"我方","—"))))</f>
        <v/>
      </c>
      <c r="O642" s="36" t="n">
        <f aca="false">IF($D642&lt;&gt;"销项开票",0,ROUND(N($H642)*N($I642),2))</f>
        <v>0</v>
      </c>
      <c r="P642" s="36" t="n">
        <f aca="false">IF($D642&lt;&gt;"销项开票",0,ROUND(N($H642)-$O642,2))</f>
        <v>0</v>
      </c>
      <c r="Q642" s="37" t="str">
        <f aca="false">IF($E642="","",N(IFERROR(INDEX(单位档案!$E$6:$E$35,MATCH($E642,单位档案!$A$6:$A$35,0)),"")))</f>
        <v/>
      </c>
      <c r="R642" s="37" t="str">
        <f aca="false">IF($E642="","",N(IFERROR(INDEX(单位档案!$F$6:$F$35,MATCH($E642,单位档案!$A$6:$A$35,0)),"")))</f>
        <v/>
      </c>
      <c r="S642" s="36" t="n">
        <f aca="false">IF(OR($D642&lt;&gt;"销项开票",IFERROR(INDEX(单位档案!$G$6:$G$35,MATCH($E642,单位档案!$A$6:$A$35,0)),"")&lt;&gt;"是",N($Q642)=0),0,IF(IFERROR(INDEX(单位档案!$H$6:$H$35,MATCH($E642,单位档案!$A$6:$A$35,0)),"")="税差法",ROUND(N($H642)/(1+$Q642)*$Q642-IF(N($R642)=0,0,$P642/(1+$R642)*$R642),2),ROUND(N($H642)/(1+$Q642)*$Q642,2)))</f>
        <v>0</v>
      </c>
      <c r="T642" s="36" t="n">
        <f aca="false">ROUND($S642*N(IFERROR(INDEX(单位档案!$J$6:$J$35,MATCH($E642,单位档案!$A$6:$A$35,0)),"")),2)</f>
        <v>0</v>
      </c>
      <c r="U642" s="36" t="n">
        <f aca="false">IF($D642&lt;&gt;"销项开票",0,ROUND(N($H642)*N(IFERROR(INDEX(单位档案!$K$6:$K$35,MATCH($E642,单位档案!$A$6:$A$35,0)),"")),2))</f>
        <v>0</v>
      </c>
      <c r="V642" s="36" t="n">
        <f aca="false">IF(OR($D642&lt;&gt;"销项开票",N($Q642)=0),0,ROUND(N($H642)/(1+$Q642)*N(IFERROR(INDEX(单位档案!$L$6:$L$35,MATCH($E642,单位档案!$A$6:$A$35,0)),"")),2))</f>
        <v>0</v>
      </c>
      <c r="W642" s="36" t="n">
        <f aca="false">ROUND($S642+$T642+$U642+$V642,2)</f>
        <v>0</v>
      </c>
      <c r="X642" s="35" t="str">
        <f aca="false">IF(OR($D642="挂靠代收",$D642="我方收款"),COUNTIFS($D$5:$D642,"挂靠代收")+COUNTIFS($D$5:$D642,"我方收款"),"")</f>
        <v/>
      </c>
      <c r="Y642" s="35"/>
      <c r="Z642" s="21" t="s">
        <v>111</v>
      </c>
    </row>
    <row r="643" customFormat="false" ht="15.75" hidden="false" customHeight="true" outlineLevel="0" collapsed="false">
      <c r="A643" s="32" t="str">
        <f aca="false">IF($B643="","",ROW()-4)</f>
        <v/>
      </c>
      <c r="B643" s="26"/>
      <c r="C643" s="24"/>
      <c r="D643" s="21"/>
      <c r="E643" s="21"/>
      <c r="F643" s="21"/>
      <c r="G643" s="21"/>
      <c r="H643" s="27"/>
      <c r="I643" s="23" t="str">
        <f aca="false">IF($D643&lt;&gt;"销项开票","",IF($N643="一级",IF(IFERROR(INDEX(项目档案!$E$6:$E$255,MATCH($C643,项目档案!$A$6:$A$255,0)),"")="",N(IFERROR(INDEX(单位档案!$D$6:$D$35,MATCH($E643,单位档案!$A$6:$A$35,0)),"")),IFERROR(INDEX(项目档案!$E$6:$E$255,MATCH($C643,项目档案!$A$6:$A$255,0)),"")),IF($N643="二级",IF(IFERROR(INDEX(项目档案!$G$6:$G$255,MATCH($C643,项目档案!$A$6:$A$255,0)),"")="",N(IFERROR(INDEX(单位档案!$D$6:$D$35,MATCH($E643,单位档案!$A$6:$A$35,0)),"")),IFERROR(INDEX(项目档案!$G$6:$G$255,MATCH($C643,项目档案!$A$6:$A$255,0)),"")),N(IFERROR(INDEX(单位档案!$D$6:$D$35,MATCH($E643,单位档案!$A$6:$A$35,0)),"")))))</f>
        <v/>
      </c>
      <c r="J643" s="22"/>
      <c r="K643" s="22"/>
      <c r="L643" s="33" t="str">
        <f aca="false">IF($B643="","",IF(NOT(ISNUMBER($B643)),"日期格式不对",IF($C643="","未选项目编号",IF(LEFT($M643,1)="⚠","项目编号不存在",IF($D643="","未选业务类型",IF($E643="","未选开票/付款方",IF(ISNA(MATCH($E643,单位档案!$A$6:$A$35,0)),"开票方不在单位档案",IF($F643="","未选收票/收款方",IF(ISNA(MATCH($F643,单位档案!$A$6:$A$35,0)),"收款方不在单位档案",IF(NOT(ISNUMBER($H643)),"金额须为数字",IF(AND($D643="销项开票",$N643="—"),"链条待确认","√")))))))))))</f>
        <v/>
      </c>
      <c r="M643" s="34" t="str">
        <f aca="false">IF($C643="","",IFERROR(INDEX(项目档案!$B$6:$B$255,MATCH($C643,项目档案!$A$6:$A$255,0)),"⚠项目编号不存在"))</f>
        <v/>
      </c>
      <c r="N643" s="35" t="str">
        <f aca="false">IF($E643="","",IF($E643=IFERROR(INDEX(项目档案!$D$6:$D$255,MATCH($C643,项目档案!$A$6:$A$255,0)),""),"一级",IF($E643=IFERROR(INDEX(项目档案!$F$6:$F$255,MATCH($C643,项目档案!$A$6:$A$255,0)),""),"二级",IF($E643=IFERROR(INDEX(项目档案!$H$6:$H$255,MATCH($C643,项目档案!$A$6:$A$255,0)),""),"我方","—"))))</f>
        <v/>
      </c>
      <c r="O643" s="36" t="n">
        <f aca="false">IF($D643&lt;&gt;"销项开票",0,ROUND(N($H643)*N($I643),2))</f>
        <v>0</v>
      </c>
      <c r="P643" s="36" t="n">
        <f aca="false">IF($D643&lt;&gt;"销项开票",0,ROUND(N($H643)-$O643,2))</f>
        <v>0</v>
      </c>
      <c r="Q643" s="37" t="str">
        <f aca="false">IF($E643="","",N(IFERROR(INDEX(单位档案!$E$6:$E$35,MATCH($E643,单位档案!$A$6:$A$35,0)),"")))</f>
        <v/>
      </c>
      <c r="R643" s="37" t="str">
        <f aca="false">IF($E643="","",N(IFERROR(INDEX(单位档案!$F$6:$F$35,MATCH($E643,单位档案!$A$6:$A$35,0)),"")))</f>
        <v/>
      </c>
      <c r="S643" s="36" t="n">
        <f aca="false">IF(OR($D643&lt;&gt;"销项开票",IFERROR(INDEX(单位档案!$G$6:$G$35,MATCH($E643,单位档案!$A$6:$A$35,0)),"")&lt;&gt;"是",N($Q643)=0),0,IF(IFERROR(INDEX(单位档案!$H$6:$H$35,MATCH($E643,单位档案!$A$6:$A$35,0)),"")="税差法",ROUND(N($H643)/(1+$Q643)*$Q643-IF(N($R643)=0,0,$P643/(1+$R643)*$R643),2),ROUND(N($H643)/(1+$Q643)*$Q643,2)))</f>
        <v>0</v>
      </c>
      <c r="T643" s="36" t="n">
        <f aca="false">ROUND($S643*N(IFERROR(INDEX(单位档案!$J$6:$J$35,MATCH($E643,单位档案!$A$6:$A$35,0)),"")),2)</f>
        <v>0</v>
      </c>
      <c r="U643" s="36" t="n">
        <f aca="false">IF($D643&lt;&gt;"销项开票",0,ROUND(N($H643)*N(IFERROR(INDEX(单位档案!$K$6:$K$35,MATCH($E643,单位档案!$A$6:$A$35,0)),"")),2))</f>
        <v>0</v>
      </c>
      <c r="V643" s="36" t="n">
        <f aca="false">IF(OR($D643&lt;&gt;"销项开票",N($Q643)=0),0,ROUND(N($H643)/(1+$Q643)*N(IFERROR(INDEX(单位档案!$L$6:$L$35,MATCH($E643,单位档案!$A$6:$A$35,0)),"")),2))</f>
        <v>0</v>
      </c>
      <c r="W643" s="36" t="n">
        <f aca="false">ROUND($S643+$T643+$U643+$V643,2)</f>
        <v>0</v>
      </c>
      <c r="X643" s="35" t="str">
        <f aca="false">IF(OR($D643="挂靠代收",$D643="我方收款"),COUNTIFS($D$5:$D643,"挂靠代收")+COUNTIFS($D$5:$D643,"我方收款"),"")</f>
        <v/>
      </c>
      <c r="Y643" s="35"/>
      <c r="Z643" s="21" t="s">
        <v>111</v>
      </c>
    </row>
    <row r="644" customFormat="false" ht="15.75" hidden="false" customHeight="true" outlineLevel="0" collapsed="false">
      <c r="A644" s="32" t="str">
        <f aca="false">IF($B644="","",ROW()-4)</f>
        <v/>
      </c>
      <c r="B644" s="26"/>
      <c r="C644" s="24"/>
      <c r="D644" s="21"/>
      <c r="E644" s="21"/>
      <c r="F644" s="21"/>
      <c r="G644" s="21"/>
      <c r="H644" s="27"/>
      <c r="I644" s="23" t="str">
        <f aca="false">IF($D644&lt;&gt;"销项开票","",IF($N644="一级",IF(IFERROR(INDEX(项目档案!$E$6:$E$255,MATCH($C644,项目档案!$A$6:$A$255,0)),"")="",N(IFERROR(INDEX(单位档案!$D$6:$D$35,MATCH($E644,单位档案!$A$6:$A$35,0)),"")),IFERROR(INDEX(项目档案!$E$6:$E$255,MATCH($C644,项目档案!$A$6:$A$255,0)),"")),IF($N644="二级",IF(IFERROR(INDEX(项目档案!$G$6:$G$255,MATCH($C644,项目档案!$A$6:$A$255,0)),"")="",N(IFERROR(INDEX(单位档案!$D$6:$D$35,MATCH($E644,单位档案!$A$6:$A$35,0)),"")),IFERROR(INDEX(项目档案!$G$6:$G$255,MATCH($C644,项目档案!$A$6:$A$255,0)),"")),N(IFERROR(INDEX(单位档案!$D$6:$D$35,MATCH($E644,单位档案!$A$6:$A$35,0)),"")))))</f>
        <v/>
      </c>
      <c r="J644" s="22"/>
      <c r="K644" s="22"/>
      <c r="L644" s="33" t="str">
        <f aca="false">IF($B644="","",IF(NOT(ISNUMBER($B644)),"日期格式不对",IF($C644="","未选项目编号",IF(LEFT($M644,1)="⚠","项目编号不存在",IF($D644="","未选业务类型",IF($E644="","未选开票/付款方",IF(ISNA(MATCH($E644,单位档案!$A$6:$A$35,0)),"开票方不在单位档案",IF($F644="","未选收票/收款方",IF(ISNA(MATCH($F644,单位档案!$A$6:$A$35,0)),"收款方不在单位档案",IF(NOT(ISNUMBER($H644)),"金额须为数字",IF(AND($D644="销项开票",$N644="—"),"链条待确认","√")))))))))))</f>
        <v/>
      </c>
      <c r="M644" s="34" t="str">
        <f aca="false">IF($C644="","",IFERROR(INDEX(项目档案!$B$6:$B$255,MATCH($C644,项目档案!$A$6:$A$255,0)),"⚠项目编号不存在"))</f>
        <v/>
      </c>
      <c r="N644" s="35" t="str">
        <f aca="false">IF($E644="","",IF($E644=IFERROR(INDEX(项目档案!$D$6:$D$255,MATCH($C644,项目档案!$A$6:$A$255,0)),""),"一级",IF($E644=IFERROR(INDEX(项目档案!$F$6:$F$255,MATCH($C644,项目档案!$A$6:$A$255,0)),""),"二级",IF($E644=IFERROR(INDEX(项目档案!$H$6:$H$255,MATCH($C644,项目档案!$A$6:$A$255,0)),""),"我方","—"))))</f>
        <v/>
      </c>
      <c r="O644" s="36" t="n">
        <f aca="false">IF($D644&lt;&gt;"销项开票",0,ROUND(N($H644)*N($I644),2))</f>
        <v>0</v>
      </c>
      <c r="P644" s="36" t="n">
        <f aca="false">IF($D644&lt;&gt;"销项开票",0,ROUND(N($H644)-$O644,2))</f>
        <v>0</v>
      </c>
      <c r="Q644" s="37" t="str">
        <f aca="false">IF($E644="","",N(IFERROR(INDEX(单位档案!$E$6:$E$35,MATCH($E644,单位档案!$A$6:$A$35,0)),"")))</f>
        <v/>
      </c>
      <c r="R644" s="37" t="str">
        <f aca="false">IF($E644="","",N(IFERROR(INDEX(单位档案!$F$6:$F$35,MATCH($E644,单位档案!$A$6:$A$35,0)),"")))</f>
        <v/>
      </c>
      <c r="S644" s="36" t="n">
        <f aca="false">IF(OR($D644&lt;&gt;"销项开票",IFERROR(INDEX(单位档案!$G$6:$G$35,MATCH($E644,单位档案!$A$6:$A$35,0)),"")&lt;&gt;"是",N($Q644)=0),0,IF(IFERROR(INDEX(单位档案!$H$6:$H$35,MATCH($E644,单位档案!$A$6:$A$35,0)),"")="税差法",ROUND(N($H644)/(1+$Q644)*$Q644-IF(N($R644)=0,0,$P644/(1+$R644)*$R644),2),ROUND(N($H644)/(1+$Q644)*$Q644,2)))</f>
        <v>0</v>
      </c>
      <c r="T644" s="36" t="n">
        <f aca="false">ROUND($S644*N(IFERROR(INDEX(单位档案!$J$6:$J$35,MATCH($E644,单位档案!$A$6:$A$35,0)),"")),2)</f>
        <v>0</v>
      </c>
      <c r="U644" s="36" t="n">
        <f aca="false">IF($D644&lt;&gt;"销项开票",0,ROUND(N($H644)*N(IFERROR(INDEX(单位档案!$K$6:$K$35,MATCH($E644,单位档案!$A$6:$A$35,0)),"")),2))</f>
        <v>0</v>
      </c>
      <c r="V644" s="36" t="n">
        <f aca="false">IF(OR($D644&lt;&gt;"销项开票",N($Q644)=0),0,ROUND(N($H644)/(1+$Q644)*N(IFERROR(INDEX(单位档案!$L$6:$L$35,MATCH($E644,单位档案!$A$6:$A$35,0)),"")),2))</f>
        <v>0</v>
      </c>
      <c r="W644" s="36" t="n">
        <f aca="false">ROUND($S644+$T644+$U644+$V644,2)</f>
        <v>0</v>
      </c>
      <c r="X644" s="35" t="str">
        <f aca="false">IF(OR($D644="挂靠代收",$D644="我方收款"),COUNTIFS($D$5:$D644,"挂靠代收")+COUNTIFS($D$5:$D644,"我方收款"),"")</f>
        <v/>
      </c>
      <c r="Y644" s="35"/>
      <c r="Z644" s="21" t="s">
        <v>111</v>
      </c>
    </row>
    <row r="645" customFormat="false" ht="15.75" hidden="false" customHeight="true" outlineLevel="0" collapsed="false">
      <c r="A645" s="32" t="str">
        <f aca="false">IF($B645="","",ROW()-4)</f>
        <v/>
      </c>
      <c r="B645" s="26"/>
      <c r="C645" s="24"/>
      <c r="D645" s="21"/>
      <c r="E645" s="21"/>
      <c r="F645" s="21"/>
      <c r="G645" s="21"/>
      <c r="H645" s="27"/>
      <c r="I645" s="23" t="str">
        <f aca="false">IF($D645&lt;&gt;"销项开票","",IF($N645="一级",IF(IFERROR(INDEX(项目档案!$E$6:$E$255,MATCH($C645,项目档案!$A$6:$A$255,0)),"")="",N(IFERROR(INDEX(单位档案!$D$6:$D$35,MATCH($E645,单位档案!$A$6:$A$35,0)),"")),IFERROR(INDEX(项目档案!$E$6:$E$255,MATCH($C645,项目档案!$A$6:$A$255,0)),"")),IF($N645="二级",IF(IFERROR(INDEX(项目档案!$G$6:$G$255,MATCH($C645,项目档案!$A$6:$A$255,0)),"")="",N(IFERROR(INDEX(单位档案!$D$6:$D$35,MATCH($E645,单位档案!$A$6:$A$35,0)),"")),IFERROR(INDEX(项目档案!$G$6:$G$255,MATCH($C645,项目档案!$A$6:$A$255,0)),"")),N(IFERROR(INDEX(单位档案!$D$6:$D$35,MATCH($E645,单位档案!$A$6:$A$35,0)),"")))))</f>
        <v/>
      </c>
      <c r="J645" s="22"/>
      <c r="K645" s="22"/>
      <c r="L645" s="33" t="str">
        <f aca="false">IF($B645="","",IF(NOT(ISNUMBER($B645)),"日期格式不对",IF($C645="","未选项目编号",IF(LEFT($M645,1)="⚠","项目编号不存在",IF($D645="","未选业务类型",IF($E645="","未选开票/付款方",IF(ISNA(MATCH($E645,单位档案!$A$6:$A$35,0)),"开票方不在单位档案",IF($F645="","未选收票/收款方",IF(ISNA(MATCH($F645,单位档案!$A$6:$A$35,0)),"收款方不在单位档案",IF(NOT(ISNUMBER($H645)),"金额须为数字",IF(AND($D645="销项开票",$N645="—"),"链条待确认","√")))))))))))</f>
        <v/>
      </c>
      <c r="M645" s="34" t="str">
        <f aca="false">IF($C645="","",IFERROR(INDEX(项目档案!$B$6:$B$255,MATCH($C645,项目档案!$A$6:$A$255,0)),"⚠项目编号不存在"))</f>
        <v/>
      </c>
      <c r="N645" s="35" t="str">
        <f aca="false">IF($E645="","",IF($E645=IFERROR(INDEX(项目档案!$D$6:$D$255,MATCH($C645,项目档案!$A$6:$A$255,0)),""),"一级",IF($E645=IFERROR(INDEX(项目档案!$F$6:$F$255,MATCH($C645,项目档案!$A$6:$A$255,0)),""),"二级",IF($E645=IFERROR(INDEX(项目档案!$H$6:$H$255,MATCH($C645,项目档案!$A$6:$A$255,0)),""),"我方","—"))))</f>
        <v/>
      </c>
      <c r="O645" s="36" t="n">
        <f aca="false">IF($D645&lt;&gt;"销项开票",0,ROUND(N($H645)*N($I645),2))</f>
        <v>0</v>
      </c>
      <c r="P645" s="36" t="n">
        <f aca="false">IF($D645&lt;&gt;"销项开票",0,ROUND(N($H645)-$O645,2))</f>
        <v>0</v>
      </c>
      <c r="Q645" s="37" t="str">
        <f aca="false">IF($E645="","",N(IFERROR(INDEX(单位档案!$E$6:$E$35,MATCH($E645,单位档案!$A$6:$A$35,0)),"")))</f>
        <v/>
      </c>
      <c r="R645" s="37" t="str">
        <f aca="false">IF($E645="","",N(IFERROR(INDEX(单位档案!$F$6:$F$35,MATCH($E645,单位档案!$A$6:$A$35,0)),"")))</f>
        <v/>
      </c>
      <c r="S645" s="36" t="n">
        <f aca="false">IF(OR($D645&lt;&gt;"销项开票",IFERROR(INDEX(单位档案!$G$6:$G$35,MATCH($E645,单位档案!$A$6:$A$35,0)),"")&lt;&gt;"是",N($Q645)=0),0,IF(IFERROR(INDEX(单位档案!$H$6:$H$35,MATCH($E645,单位档案!$A$6:$A$35,0)),"")="税差法",ROUND(N($H645)/(1+$Q645)*$Q645-IF(N($R645)=0,0,$P645/(1+$R645)*$R645),2),ROUND(N($H645)/(1+$Q645)*$Q645,2)))</f>
        <v>0</v>
      </c>
      <c r="T645" s="36" t="n">
        <f aca="false">ROUND($S645*N(IFERROR(INDEX(单位档案!$J$6:$J$35,MATCH($E645,单位档案!$A$6:$A$35,0)),"")),2)</f>
        <v>0</v>
      </c>
      <c r="U645" s="36" t="n">
        <f aca="false">IF($D645&lt;&gt;"销项开票",0,ROUND(N($H645)*N(IFERROR(INDEX(单位档案!$K$6:$K$35,MATCH($E645,单位档案!$A$6:$A$35,0)),"")),2))</f>
        <v>0</v>
      </c>
      <c r="V645" s="36" t="n">
        <f aca="false">IF(OR($D645&lt;&gt;"销项开票",N($Q645)=0),0,ROUND(N($H645)/(1+$Q645)*N(IFERROR(INDEX(单位档案!$L$6:$L$35,MATCH($E645,单位档案!$A$6:$A$35,0)),"")),2))</f>
        <v>0</v>
      </c>
      <c r="W645" s="36" t="n">
        <f aca="false">ROUND($S645+$T645+$U645+$V645,2)</f>
        <v>0</v>
      </c>
      <c r="X645" s="35" t="str">
        <f aca="false">IF(OR($D645="挂靠代收",$D645="我方收款"),COUNTIFS($D$5:$D645,"挂靠代收")+COUNTIFS($D$5:$D645,"我方收款"),"")</f>
        <v/>
      </c>
      <c r="Y645" s="35"/>
      <c r="Z645" s="21" t="s">
        <v>111</v>
      </c>
    </row>
    <row r="646" customFormat="false" ht="15.75" hidden="false" customHeight="true" outlineLevel="0" collapsed="false">
      <c r="A646" s="32" t="str">
        <f aca="false">IF($B646="","",ROW()-4)</f>
        <v/>
      </c>
      <c r="B646" s="26"/>
      <c r="C646" s="24"/>
      <c r="D646" s="21"/>
      <c r="E646" s="21"/>
      <c r="F646" s="21"/>
      <c r="G646" s="21"/>
      <c r="H646" s="27"/>
      <c r="I646" s="23" t="str">
        <f aca="false">IF($D646&lt;&gt;"销项开票","",IF($N646="一级",IF(IFERROR(INDEX(项目档案!$E$6:$E$255,MATCH($C646,项目档案!$A$6:$A$255,0)),"")="",N(IFERROR(INDEX(单位档案!$D$6:$D$35,MATCH($E646,单位档案!$A$6:$A$35,0)),"")),IFERROR(INDEX(项目档案!$E$6:$E$255,MATCH($C646,项目档案!$A$6:$A$255,0)),"")),IF($N646="二级",IF(IFERROR(INDEX(项目档案!$G$6:$G$255,MATCH($C646,项目档案!$A$6:$A$255,0)),"")="",N(IFERROR(INDEX(单位档案!$D$6:$D$35,MATCH($E646,单位档案!$A$6:$A$35,0)),"")),IFERROR(INDEX(项目档案!$G$6:$G$255,MATCH($C646,项目档案!$A$6:$A$255,0)),"")),N(IFERROR(INDEX(单位档案!$D$6:$D$35,MATCH($E646,单位档案!$A$6:$A$35,0)),"")))))</f>
        <v/>
      </c>
      <c r="J646" s="22"/>
      <c r="K646" s="22"/>
      <c r="L646" s="33" t="str">
        <f aca="false">IF($B646="","",IF(NOT(ISNUMBER($B646)),"日期格式不对",IF($C646="","未选项目编号",IF(LEFT($M646,1)="⚠","项目编号不存在",IF($D646="","未选业务类型",IF($E646="","未选开票/付款方",IF(ISNA(MATCH($E646,单位档案!$A$6:$A$35,0)),"开票方不在单位档案",IF($F646="","未选收票/收款方",IF(ISNA(MATCH($F646,单位档案!$A$6:$A$35,0)),"收款方不在单位档案",IF(NOT(ISNUMBER($H646)),"金额须为数字",IF(AND($D646="销项开票",$N646="—"),"链条待确认","√")))))))))))</f>
        <v/>
      </c>
      <c r="M646" s="34" t="str">
        <f aca="false">IF($C646="","",IFERROR(INDEX(项目档案!$B$6:$B$255,MATCH($C646,项目档案!$A$6:$A$255,0)),"⚠项目编号不存在"))</f>
        <v/>
      </c>
      <c r="N646" s="35" t="str">
        <f aca="false">IF($E646="","",IF($E646=IFERROR(INDEX(项目档案!$D$6:$D$255,MATCH($C646,项目档案!$A$6:$A$255,0)),""),"一级",IF($E646=IFERROR(INDEX(项目档案!$F$6:$F$255,MATCH($C646,项目档案!$A$6:$A$255,0)),""),"二级",IF($E646=IFERROR(INDEX(项目档案!$H$6:$H$255,MATCH($C646,项目档案!$A$6:$A$255,0)),""),"我方","—"))))</f>
        <v/>
      </c>
      <c r="O646" s="36" t="n">
        <f aca="false">IF($D646&lt;&gt;"销项开票",0,ROUND(N($H646)*N($I646),2))</f>
        <v>0</v>
      </c>
      <c r="P646" s="36" t="n">
        <f aca="false">IF($D646&lt;&gt;"销项开票",0,ROUND(N($H646)-$O646,2))</f>
        <v>0</v>
      </c>
      <c r="Q646" s="37" t="str">
        <f aca="false">IF($E646="","",N(IFERROR(INDEX(单位档案!$E$6:$E$35,MATCH($E646,单位档案!$A$6:$A$35,0)),"")))</f>
        <v/>
      </c>
      <c r="R646" s="37" t="str">
        <f aca="false">IF($E646="","",N(IFERROR(INDEX(单位档案!$F$6:$F$35,MATCH($E646,单位档案!$A$6:$A$35,0)),"")))</f>
        <v/>
      </c>
      <c r="S646" s="36" t="n">
        <f aca="false">IF(OR($D646&lt;&gt;"销项开票",IFERROR(INDEX(单位档案!$G$6:$G$35,MATCH($E646,单位档案!$A$6:$A$35,0)),"")&lt;&gt;"是",N($Q646)=0),0,IF(IFERROR(INDEX(单位档案!$H$6:$H$35,MATCH($E646,单位档案!$A$6:$A$35,0)),"")="税差法",ROUND(N($H646)/(1+$Q646)*$Q646-IF(N($R646)=0,0,$P646/(1+$R646)*$R646),2),ROUND(N($H646)/(1+$Q646)*$Q646,2)))</f>
        <v>0</v>
      </c>
      <c r="T646" s="36" t="n">
        <f aca="false">ROUND($S646*N(IFERROR(INDEX(单位档案!$J$6:$J$35,MATCH($E646,单位档案!$A$6:$A$35,0)),"")),2)</f>
        <v>0</v>
      </c>
      <c r="U646" s="36" t="n">
        <f aca="false">IF($D646&lt;&gt;"销项开票",0,ROUND(N($H646)*N(IFERROR(INDEX(单位档案!$K$6:$K$35,MATCH($E646,单位档案!$A$6:$A$35,0)),"")),2))</f>
        <v>0</v>
      </c>
      <c r="V646" s="36" t="n">
        <f aca="false">IF(OR($D646&lt;&gt;"销项开票",N($Q646)=0),0,ROUND(N($H646)/(1+$Q646)*N(IFERROR(INDEX(单位档案!$L$6:$L$35,MATCH($E646,单位档案!$A$6:$A$35,0)),"")),2))</f>
        <v>0</v>
      </c>
      <c r="W646" s="36" t="n">
        <f aca="false">ROUND($S646+$T646+$U646+$V646,2)</f>
        <v>0</v>
      </c>
      <c r="X646" s="35" t="str">
        <f aca="false">IF(OR($D646="挂靠代收",$D646="我方收款"),COUNTIFS($D$5:$D646,"挂靠代收")+COUNTIFS($D$5:$D646,"我方收款"),"")</f>
        <v/>
      </c>
      <c r="Y646" s="35"/>
      <c r="Z646" s="21" t="s">
        <v>111</v>
      </c>
    </row>
    <row r="647" customFormat="false" ht="15.75" hidden="false" customHeight="true" outlineLevel="0" collapsed="false">
      <c r="A647" s="32" t="str">
        <f aca="false">IF($B647="","",ROW()-4)</f>
        <v/>
      </c>
      <c r="B647" s="26"/>
      <c r="C647" s="24"/>
      <c r="D647" s="21"/>
      <c r="E647" s="21"/>
      <c r="F647" s="21"/>
      <c r="G647" s="21"/>
      <c r="H647" s="27"/>
      <c r="I647" s="23" t="str">
        <f aca="false">IF($D647&lt;&gt;"销项开票","",IF($N647="一级",IF(IFERROR(INDEX(项目档案!$E$6:$E$255,MATCH($C647,项目档案!$A$6:$A$255,0)),"")="",N(IFERROR(INDEX(单位档案!$D$6:$D$35,MATCH($E647,单位档案!$A$6:$A$35,0)),"")),IFERROR(INDEX(项目档案!$E$6:$E$255,MATCH($C647,项目档案!$A$6:$A$255,0)),"")),IF($N647="二级",IF(IFERROR(INDEX(项目档案!$G$6:$G$255,MATCH($C647,项目档案!$A$6:$A$255,0)),"")="",N(IFERROR(INDEX(单位档案!$D$6:$D$35,MATCH($E647,单位档案!$A$6:$A$35,0)),"")),IFERROR(INDEX(项目档案!$G$6:$G$255,MATCH($C647,项目档案!$A$6:$A$255,0)),"")),N(IFERROR(INDEX(单位档案!$D$6:$D$35,MATCH($E647,单位档案!$A$6:$A$35,0)),"")))))</f>
        <v/>
      </c>
      <c r="J647" s="22"/>
      <c r="K647" s="22"/>
      <c r="L647" s="33" t="str">
        <f aca="false">IF($B647="","",IF(NOT(ISNUMBER($B647)),"日期格式不对",IF($C647="","未选项目编号",IF(LEFT($M647,1)="⚠","项目编号不存在",IF($D647="","未选业务类型",IF($E647="","未选开票/付款方",IF(ISNA(MATCH($E647,单位档案!$A$6:$A$35,0)),"开票方不在单位档案",IF($F647="","未选收票/收款方",IF(ISNA(MATCH($F647,单位档案!$A$6:$A$35,0)),"收款方不在单位档案",IF(NOT(ISNUMBER($H647)),"金额须为数字",IF(AND($D647="销项开票",$N647="—"),"链条待确认","√")))))))))))</f>
        <v/>
      </c>
      <c r="M647" s="34" t="str">
        <f aca="false">IF($C647="","",IFERROR(INDEX(项目档案!$B$6:$B$255,MATCH($C647,项目档案!$A$6:$A$255,0)),"⚠项目编号不存在"))</f>
        <v/>
      </c>
      <c r="N647" s="35" t="str">
        <f aca="false">IF($E647="","",IF($E647=IFERROR(INDEX(项目档案!$D$6:$D$255,MATCH($C647,项目档案!$A$6:$A$255,0)),""),"一级",IF($E647=IFERROR(INDEX(项目档案!$F$6:$F$255,MATCH($C647,项目档案!$A$6:$A$255,0)),""),"二级",IF($E647=IFERROR(INDEX(项目档案!$H$6:$H$255,MATCH($C647,项目档案!$A$6:$A$255,0)),""),"我方","—"))))</f>
        <v/>
      </c>
      <c r="O647" s="36" t="n">
        <f aca="false">IF($D647&lt;&gt;"销项开票",0,ROUND(N($H647)*N($I647),2))</f>
        <v>0</v>
      </c>
      <c r="P647" s="36" t="n">
        <f aca="false">IF($D647&lt;&gt;"销项开票",0,ROUND(N($H647)-$O647,2))</f>
        <v>0</v>
      </c>
      <c r="Q647" s="37" t="str">
        <f aca="false">IF($E647="","",N(IFERROR(INDEX(单位档案!$E$6:$E$35,MATCH($E647,单位档案!$A$6:$A$35,0)),"")))</f>
        <v/>
      </c>
      <c r="R647" s="37" t="str">
        <f aca="false">IF($E647="","",N(IFERROR(INDEX(单位档案!$F$6:$F$35,MATCH($E647,单位档案!$A$6:$A$35,0)),"")))</f>
        <v/>
      </c>
      <c r="S647" s="36" t="n">
        <f aca="false">IF(OR($D647&lt;&gt;"销项开票",IFERROR(INDEX(单位档案!$G$6:$G$35,MATCH($E647,单位档案!$A$6:$A$35,0)),"")&lt;&gt;"是",N($Q647)=0),0,IF(IFERROR(INDEX(单位档案!$H$6:$H$35,MATCH($E647,单位档案!$A$6:$A$35,0)),"")="税差法",ROUND(N($H647)/(1+$Q647)*$Q647-IF(N($R647)=0,0,$P647/(1+$R647)*$R647),2),ROUND(N($H647)/(1+$Q647)*$Q647,2)))</f>
        <v>0</v>
      </c>
      <c r="T647" s="36" t="n">
        <f aca="false">ROUND($S647*N(IFERROR(INDEX(单位档案!$J$6:$J$35,MATCH($E647,单位档案!$A$6:$A$35,0)),"")),2)</f>
        <v>0</v>
      </c>
      <c r="U647" s="36" t="n">
        <f aca="false">IF($D647&lt;&gt;"销项开票",0,ROUND(N($H647)*N(IFERROR(INDEX(单位档案!$K$6:$K$35,MATCH($E647,单位档案!$A$6:$A$35,0)),"")),2))</f>
        <v>0</v>
      </c>
      <c r="V647" s="36" t="n">
        <f aca="false">IF(OR($D647&lt;&gt;"销项开票",N($Q647)=0),0,ROUND(N($H647)/(1+$Q647)*N(IFERROR(INDEX(单位档案!$L$6:$L$35,MATCH($E647,单位档案!$A$6:$A$35,0)),"")),2))</f>
        <v>0</v>
      </c>
      <c r="W647" s="36" t="n">
        <f aca="false">ROUND($S647+$T647+$U647+$V647,2)</f>
        <v>0</v>
      </c>
      <c r="X647" s="35" t="str">
        <f aca="false">IF(OR($D647="挂靠代收",$D647="我方收款"),COUNTIFS($D$5:$D647,"挂靠代收")+COUNTIFS($D$5:$D647,"我方收款"),"")</f>
        <v/>
      </c>
      <c r="Y647" s="35"/>
      <c r="Z647" s="21" t="s">
        <v>111</v>
      </c>
    </row>
    <row r="648" customFormat="false" ht="15.75" hidden="false" customHeight="true" outlineLevel="0" collapsed="false">
      <c r="A648" s="32" t="str">
        <f aca="false">IF($B648="","",ROW()-4)</f>
        <v/>
      </c>
      <c r="B648" s="26"/>
      <c r="C648" s="24"/>
      <c r="D648" s="21"/>
      <c r="E648" s="21"/>
      <c r="F648" s="21"/>
      <c r="G648" s="21"/>
      <c r="H648" s="27"/>
      <c r="I648" s="23" t="str">
        <f aca="false">IF($D648&lt;&gt;"销项开票","",IF($N648="一级",IF(IFERROR(INDEX(项目档案!$E$6:$E$255,MATCH($C648,项目档案!$A$6:$A$255,0)),"")="",N(IFERROR(INDEX(单位档案!$D$6:$D$35,MATCH($E648,单位档案!$A$6:$A$35,0)),"")),IFERROR(INDEX(项目档案!$E$6:$E$255,MATCH($C648,项目档案!$A$6:$A$255,0)),"")),IF($N648="二级",IF(IFERROR(INDEX(项目档案!$G$6:$G$255,MATCH($C648,项目档案!$A$6:$A$255,0)),"")="",N(IFERROR(INDEX(单位档案!$D$6:$D$35,MATCH($E648,单位档案!$A$6:$A$35,0)),"")),IFERROR(INDEX(项目档案!$G$6:$G$255,MATCH($C648,项目档案!$A$6:$A$255,0)),"")),N(IFERROR(INDEX(单位档案!$D$6:$D$35,MATCH($E648,单位档案!$A$6:$A$35,0)),"")))))</f>
        <v/>
      </c>
      <c r="J648" s="22"/>
      <c r="K648" s="22"/>
      <c r="L648" s="33" t="str">
        <f aca="false">IF($B648="","",IF(NOT(ISNUMBER($B648)),"日期格式不对",IF($C648="","未选项目编号",IF(LEFT($M648,1)="⚠","项目编号不存在",IF($D648="","未选业务类型",IF($E648="","未选开票/付款方",IF(ISNA(MATCH($E648,单位档案!$A$6:$A$35,0)),"开票方不在单位档案",IF($F648="","未选收票/收款方",IF(ISNA(MATCH($F648,单位档案!$A$6:$A$35,0)),"收款方不在单位档案",IF(NOT(ISNUMBER($H648)),"金额须为数字",IF(AND($D648="销项开票",$N648="—"),"链条待确认","√")))))))))))</f>
        <v/>
      </c>
      <c r="M648" s="34" t="str">
        <f aca="false">IF($C648="","",IFERROR(INDEX(项目档案!$B$6:$B$255,MATCH($C648,项目档案!$A$6:$A$255,0)),"⚠项目编号不存在"))</f>
        <v/>
      </c>
      <c r="N648" s="35" t="str">
        <f aca="false">IF($E648="","",IF($E648=IFERROR(INDEX(项目档案!$D$6:$D$255,MATCH($C648,项目档案!$A$6:$A$255,0)),""),"一级",IF($E648=IFERROR(INDEX(项目档案!$F$6:$F$255,MATCH($C648,项目档案!$A$6:$A$255,0)),""),"二级",IF($E648=IFERROR(INDEX(项目档案!$H$6:$H$255,MATCH($C648,项目档案!$A$6:$A$255,0)),""),"我方","—"))))</f>
        <v/>
      </c>
      <c r="O648" s="36" t="n">
        <f aca="false">IF($D648&lt;&gt;"销项开票",0,ROUND(N($H648)*N($I648),2))</f>
        <v>0</v>
      </c>
      <c r="P648" s="36" t="n">
        <f aca="false">IF($D648&lt;&gt;"销项开票",0,ROUND(N($H648)-$O648,2))</f>
        <v>0</v>
      </c>
      <c r="Q648" s="37" t="str">
        <f aca="false">IF($E648="","",N(IFERROR(INDEX(单位档案!$E$6:$E$35,MATCH($E648,单位档案!$A$6:$A$35,0)),"")))</f>
        <v/>
      </c>
      <c r="R648" s="37" t="str">
        <f aca="false">IF($E648="","",N(IFERROR(INDEX(单位档案!$F$6:$F$35,MATCH($E648,单位档案!$A$6:$A$35,0)),"")))</f>
        <v/>
      </c>
      <c r="S648" s="36" t="n">
        <f aca="false">IF(OR($D648&lt;&gt;"销项开票",IFERROR(INDEX(单位档案!$G$6:$G$35,MATCH($E648,单位档案!$A$6:$A$35,0)),"")&lt;&gt;"是",N($Q648)=0),0,IF(IFERROR(INDEX(单位档案!$H$6:$H$35,MATCH($E648,单位档案!$A$6:$A$35,0)),"")="税差法",ROUND(N($H648)/(1+$Q648)*$Q648-IF(N($R648)=0,0,$P648/(1+$R648)*$R648),2),ROUND(N($H648)/(1+$Q648)*$Q648,2)))</f>
        <v>0</v>
      </c>
      <c r="T648" s="36" t="n">
        <f aca="false">ROUND($S648*N(IFERROR(INDEX(单位档案!$J$6:$J$35,MATCH($E648,单位档案!$A$6:$A$35,0)),"")),2)</f>
        <v>0</v>
      </c>
      <c r="U648" s="36" t="n">
        <f aca="false">IF($D648&lt;&gt;"销项开票",0,ROUND(N($H648)*N(IFERROR(INDEX(单位档案!$K$6:$K$35,MATCH($E648,单位档案!$A$6:$A$35,0)),"")),2))</f>
        <v>0</v>
      </c>
      <c r="V648" s="36" t="n">
        <f aca="false">IF(OR($D648&lt;&gt;"销项开票",N($Q648)=0),0,ROUND(N($H648)/(1+$Q648)*N(IFERROR(INDEX(单位档案!$L$6:$L$35,MATCH($E648,单位档案!$A$6:$A$35,0)),"")),2))</f>
        <v>0</v>
      </c>
      <c r="W648" s="36" t="n">
        <f aca="false">ROUND($S648+$T648+$U648+$V648,2)</f>
        <v>0</v>
      </c>
      <c r="X648" s="35" t="str">
        <f aca="false">IF(OR($D648="挂靠代收",$D648="我方收款"),COUNTIFS($D$5:$D648,"挂靠代收")+COUNTIFS($D$5:$D648,"我方收款"),"")</f>
        <v/>
      </c>
      <c r="Y648" s="35"/>
      <c r="Z648" s="21" t="s">
        <v>111</v>
      </c>
    </row>
    <row r="649" customFormat="false" ht="15.75" hidden="false" customHeight="true" outlineLevel="0" collapsed="false">
      <c r="A649" s="32" t="str">
        <f aca="false">IF($B649="","",ROW()-4)</f>
        <v/>
      </c>
      <c r="B649" s="26"/>
      <c r="C649" s="24"/>
      <c r="D649" s="21"/>
      <c r="E649" s="21"/>
      <c r="F649" s="21"/>
      <c r="G649" s="21"/>
      <c r="H649" s="27"/>
      <c r="I649" s="23" t="str">
        <f aca="false">IF($D649&lt;&gt;"销项开票","",IF($N649="一级",IF(IFERROR(INDEX(项目档案!$E$6:$E$255,MATCH($C649,项目档案!$A$6:$A$255,0)),"")="",N(IFERROR(INDEX(单位档案!$D$6:$D$35,MATCH($E649,单位档案!$A$6:$A$35,0)),"")),IFERROR(INDEX(项目档案!$E$6:$E$255,MATCH($C649,项目档案!$A$6:$A$255,0)),"")),IF($N649="二级",IF(IFERROR(INDEX(项目档案!$G$6:$G$255,MATCH($C649,项目档案!$A$6:$A$255,0)),"")="",N(IFERROR(INDEX(单位档案!$D$6:$D$35,MATCH($E649,单位档案!$A$6:$A$35,0)),"")),IFERROR(INDEX(项目档案!$G$6:$G$255,MATCH($C649,项目档案!$A$6:$A$255,0)),"")),N(IFERROR(INDEX(单位档案!$D$6:$D$35,MATCH($E649,单位档案!$A$6:$A$35,0)),"")))))</f>
        <v/>
      </c>
      <c r="J649" s="22"/>
      <c r="K649" s="22"/>
      <c r="L649" s="33" t="str">
        <f aca="false">IF($B649="","",IF(NOT(ISNUMBER($B649)),"日期格式不对",IF($C649="","未选项目编号",IF(LEFT($M649,1)="⚠","项目编号不存在",IF($D649="","未选业务类型",IF($E649="","未选开票/付款方",IF(ISNA(MATCH($E649,单位档案!$A$6:$A$35,0)),"开票方不在单位档案",IF($F649="","未选收票/收款方",IF(ISNA(MATCH($F649,单位档案!$A$6:$A$35,0)),"收款方不在单位档案",IF(NOT(ISNUMBER($H649)),"金额须为数字",IF(AND($D649="销项开票",$N649="—"),"链条待确认","√")))))))))))</f>
        <v/>
      </c>
      <c r="M649" s="34" t="str">
        <f aca="false">IF($C649="","",IFERROR(INDEX(项目档案!$B$6:$B$255,MATCH($C649,项目档案!$A$6:$A$255,0)),"⚠项目编号不存在"))</f>
        <v/>
      </c>
      <c r="N649" s="35" t="str">
        <f aca="false">IF($E649="","",IF($E649=IFERROR(INDEX(项目档案!$D$6:$D$255,MATCH($C649,项目档案!$A$6:$A$255,0)),""),"一级",IF($E649=IFERROR(INDEX(项目档案!$F$6:$F$255,MATCH($C649,项目档案!$A$6:$A$255,0)),""),"二级",IF($E649=IFERROR(INDEX(项目档案!$H$6:$H$255,MATCH($C649,项目档案!$A$6:$A$255,0)),""),"我方","—"))))</f>
        <v/>
      </c>
      <c r="O649" s="36" t="n">
        <f aca="false">IF($D649&lt;&gt;"销项开票",0,ROUND(N($H649)*N($I649),2))</f>
        <v>0</v>
      </c>
      <c r="P649" s="36" t="n">
        <f aca="false">IF($D649&lt;&gt;"销项开票",0,ROUND(N($H649)-$O649,2))</f>
        <v>0</v>
      </c>
      <c r="Q649" s="37" t="str">
        <f aca="false">IF($E649="","",N(IFERROR(INDEX(单位档案!$E$6:$E$35,MATCH($E649,单位档案!$A$6:$A$35,0)),"")))</f>
        <v/>
      </c>
      <c r="R649" s="37" t="str">
        <f aca="false">IF($E649="","",N(IFERROR(INDEX(单位档案!$F$6:$F$35,MATCH($E649,单位档案!$A$6:$A$35,0)),"")))</f>
        <v/>
      </c>
      <c r="S649" s="36" t="n">
        <f aca="false">IF(OR($D649&lt;&gt;"销项开票",IFERROR(INDEX(单位档案!$G$6:$G$35,MATCH($E649,单位档案!$A$6:$A$35,0)),"")&lt;&gt;"是",N($Q649)=0),0,IF(IFERROR(INDEX(单位档案!$H$6:$H$35,MATCH($E649,单位档案!$A$6:$A$35,0)),"")="税差法",ROUND(N($H649)/(1+$Q649)*$Q649-IF(N($R649)=0,0,$P649/(1+$R649)*$R649),2),ROUND(N($H649)/(1+$Q649)*$Q649,2)))</f>
        <v>0</v>
      </c>
      <c r="T649" s="36" t="n">
        <f aca="false">ROUND($S649*N(IFERROR(INDEX(单位档案!$J$6:$J$35,MATCH($E649,单位档案!$A$6:$A$35,0)),"")),2)</f>
        <v>0</v>
      </c>
      <c r="U649" s="36" t="n">
        <f aca="false">IF($D649&lt;&gt;"销项开票",0,ROUND(N($H649)*N(IFERROR(INDEX(单位档案!$K$6:$K$35,MATCH($E649,单位档案!$A$6:$A$35,0)),"")),2))</f>
        <v>0</v>
      </c>
      <c r="V649" s="36" t="n">
        <f aca="false">IF(OR($D649&lt;&gt;"销项开票",N($Q649)=0),0,ROUND(N($H649)/(1+$Q649)*N(IFERROR(INDEX(单位档案!$L$6:$L$35,MATCH($E649,单位档案!$A$6:$A$35,0)),"")),2))</f>
        <v>0</v>
      </c>
      <c r="W649" s="36" t="n">
        <f aca="false">ROUND($S649+$T649+$U649+$V649,2)</f>
        <v>0</v>
      </c>
      <c r="X649" s="35" t="str">
        <f aca="false">IF(OR($D649="挂靠代收",$D649="我方收款"),COUNTIFS($D$5:$D649,"挂靠代收")+COUNTIFS($D$5:$D649,"我方收款"),"")</f>
        <v/>
      </c>
      <c r="Y649" s="35"/>
      <c r="Z649" s="21" t="s">
        <v>111</v>
      </c>
    </row>
    <row r="650" customFormat="false" ht="15.75" hidden="false" customHeight="true" outlineLevel="0" collapsed="false">
      <c r="A650" s="32" t="str">
        <f aca="false">IF($B650="","",ROW()-4)</f>
        <v/>
      </c>
      <c r="B650" s="26"/>
      <c r="C650" s="24"/>
      <c r="D650" s="21"/>
      <c r="E650" s="21"/>
      <c r="F650" s="21"/>
      <c r="G650" s="21"/>
      <c r="H650" s="27"/>
      <c r="I650" s="23" t="str">
        <f aca="false">IF($D650&lt;&gt;"销项开票","",IF($N650="一级",IF(IFERROR(INDEX(项目档案!$E$6:$E$255,MATCH($C650,项目档案!$A$6:$A$255,0)),"")="",N(IFERROR(INDEX(单位档案!$D$6:$D$35,MATCH($E650,单位档案!$A$6:$A$35,0)),"")),IFERROR(INDEX(项目档案!$E$6:$E$255,MATCH($C650,项目档案!$A$6:$A$255,0)),"")),IF($N650="二级",IF(IFERROR(INDEX(项目档案!$G$6:$G$255,MATCH($C650,项目档案!$A$6:$A$255,0)),"")="",N(IFERROR(INDEX(单位档案!$D$6:$D$35,MATCH($E650,单位档案!$A$6:$A$35,0)),"")),IFERROR(INDEX(项目档案!$G$6:$G$255,MATCH($C650,项目档案!$A$6:$A$255,0)),"")),N(IFERROR(INDEX(单位档案!$D$6:$D$35,MATCH($E650,单位档案!$A$6:$A$35,0)),"")))))</f>
        <v/>
      </c>
      <c r="J650" s="22"/>
      <c r="K650" s="22"/>
      <c r="L650" s="33" t="str">
        <f aca="false">IF($B650="","",IF(NOT(ISNUMBER($B650)),"日期格式不对",IF($C650="","未选项目编号",IF(LEFT($M650,1)="⚠","项目编号不存在",IF($D650="","未选业务类型",IF($E650="","未选开票/付款方",IF(ISNA(MATCH($E650,单位档案!$A$6:$A$35,0)),"开票方不在单位档案",IF($F650="","未选收票/收款方",IF(ISNA(MATCH($F650,单位档案!$A$6:$A$35,0)),"收款方不在单位档案",IF(NOT(ISNUMBER($H650)),"金额须为数字",IF(AND($D650="销项开票",$N650="—"),"链条待确认","√")))))))))))</f>
        <v/>
      </c>
      <c r="M650" s="34" t="str">
        <f aca="false">IF($C650="","",IFERROR(INDEX(项目档案!$B$6:$B$255,MATCH($C650,项目档案!$A$6:$A$255,0)),"⚠项目编号不存在"))</f>
        <v/>
      </c>
      <c r="N650" s="35" t="str">
        <f aca="false">IF($E650="","",IF($E650=IFERROR(INDEX(项目档案!$D$6:$D$255,MATCH($C650,项目档案!$A$6:$A$255,0)),""),"一级",IF($E650=IFERROR(INDEX(项目档案!$F$6:$F$255,MATCH($C650,项目档案!$A$6:$A$255,0)),""),"二级",IF($E650=IFERROR(INDEX(项目档案!$H$6:$H$255,MATCH($C650,项目档案!$A$6:$A$255,0)),""),"我方","—"))))</f>
        <v/>
      </c>
      <c r="O650" s="36" t="n">
        <f aca="false">IF($D650&lt;&gt;"销项开票",0,ROUND(N($H650)*N($I650),2))</f>
        <v>0</v>
      </c>
      <c r="P650" s="36" t="n">
        <f aca="false">IF($D650&lt;&gt;"销项开票",0,ROUND(N($H650)-$O650,2))</f>
        <v>0</v>
      </c>
      <c r="Q650" s="37" t="str">
        <f aca="false">IF($E650="","",N(IFERROR(INDEX(单位档案!$E$6:$E$35,MATCH($E650,单位档案!$A$6:$A$35,0)),"")))</f>
        <v/>
      </c>
      <c r="R650" s="37" t="str">
        <f aca="false">IF($E650="","",N(IFERROR(INDEX(单位档案!$F$6:$F$35,MATCH($E650,单位档案!$A$6:$A$35,0)),"")))</f>
        <v/>
      </c>
      <c r="S650" s="36" t="n">
        <f aca="false">IF(OR($D650&lt;&gt;"销项开票",IFERROR(INDEX(单位档案!$G$6:$G$35,MATCH($E650,单位档案!$A$6:$A$35,0)),"")&lt;&gt;"是",N($Q650)=0),0,IF(IFERROR(INDEX(单位档案!$H$6:$H$35,MATCH($E650,单位档案!$A$6:$A$35,0)),"")="税差法",ROUND(N($H650)/(1+$Q650)*$Q650-IF(N($R650)=0,0,$P650/(1+$R650)*$R650),2),ROUND(N($H650)/(1+$Q650)*$Q650,2)))</f>
        <v>0</v>
      </c>
      <c r="T650" s="36" t="n">
        <f aca="false">ROUND($S650*N(IFERROR(INDEX(单位档案!$J$6:$J$35,MATCH($E650,单位档案!$A$6:$A$35,0)),"")),2)</f>
        <v>0</v>
      </c>
      <c r="U650" s="36" t="n">
        <f aca="false">IF($D650&lt;&gt;"销项开票",0,ROUND(N($H650)*N(IFERROR(INDEX(单位档案!$K$6:$K$35,MATCH($E650,单位档案!$A$6:$A$35,0)),"")),2))</f>
        <v>0</v>
      </c>
      <c r="V650" s="36" t="n">
        <f aca="false">IF(OR($D650&lt;&gt;"销项开票",N($Q650)=0),0,ROUND(N($H650)/(1+$Q650)*N(IFERROR(INDEX(单位档案!$L$6:$L$35,MATCH($E650,单位档案!$A$6:$A$35,0)),"")),2))</f>
        <v>0</v>
      </c>
      <c r="W650" s="36" t="n">
        <f aca="false">ROUND($S650+$T650+$U650+$V650,2)</f>
        <v>0</v>
      </c>
      <c r="X650" s="35" t="str">
        <f aca="false">IF(OR($D650="挂靠代收",$D650="我方收款"),COUNTIFS($D$5:$D650,"挂靠代收")+COUNTIFS($D$5:$D650,"我方收款"),"")</f>
        <v/>
      </c>
      <c r="Y650" s="35"/>
      <c r="Z650" s="21" t="s">
        <v>111</v>
      </c>
    </row>
    <row r="651" customFormat="false" ht="15.75" hidden="false" customHeight="true" outlineLevel="0" collapsed="false">
      <c r="A651" s="32" t="str">
        <f aca="false">IF($B651="","",ROW()-4)</f>
        <v/>
      </c>
      <c r="B651" s="26"/>
      <c r="C651" s="24"/>
      <c r="D651" s="21"/>
      <c r="E651" s="21"/>
      <c r="F651" s="21"/>
      <c r="G651" s="21"/>
      <c r="H651" s="27"/>
      <c r="I651" s="23" t="str">
        <f aca="false">IF($D651&lt;&gt;"销项开票","",IF($N651="一级",IF(IFERROR(INDEX(项目档案!$E$6:$E$255,MATCH($C651,项目档案!$A$6:$A$255,0)),"")="",N(IFERROR(INDEX(单位档案!$D$6:$D$35,MATCH($E651,单位档案!$A$6:$A$35,0)),"")),IFERROR(INDEX(项目档案!$E$6:$E$255,MATCH($C651,项目档案!$A$6:$A$255,0)),"")),IF($N651="二级",IF(IFERROR(INDEX(项目档案!$G$6:$G$255,MATCH($C651,项目档案!$A$6:$A$255,0)),"")="",N(IFERROR(INDEX(单位档案!$D$6:$D$35,MATCH($E651,单位档案!$A$6:$A$35,0)),"")),IFERROR(INDEX(项目档案!$G$6:$G$255,MATCH($C651,项目档案!$A$6:$A$255,0)),"")),N(IFERROR(INDEX(单位档案!$D$6:$D$35,MATCH($E651,单位档案!$A$6:$A$35,0)),"")))))</f>
        <v/>
      </c>
      <c r="J651" s="22"/>
      <c r="K651" s="22"/>
      <c r="L651" s="33" t="str">
        <f aca="false">IF($B651="","",IF(NOT(ISNUMBER($B651)),"日期格式不对",IF($C651="","未选项目编号",IF(LEFT($M651,1)="⚠","项目编号不存在",IF($D651="","未选业务类型",IF($E651="","未选开票/付款方",IF(ISNA(MATCH($E651,单位档案!$A$6:$A$35,0)),"开票方不在单位档案",IF($F651="","未选收票/收款方",IF(ISNA(MATCH($F651,单位档案!$A$6:$A$35,0)),"收款方不在单位档案",IF(NOT(ISNUMBER($H651)),"金额须为数字",IF(AND($D651="销项开票",$N651="—"),"链条待确认","√")))))))))))</f>
        <v/>
      </c>
      <c r="M651" s="34" t="str">
        <f aca="false">IF($C651="","",IFERROR(INDEX(项目档案!$B$6:$B$255,MATCH($C651,项目档案!$A$6:$A$255,0)),"⚠项目编号不存在"))</f>
        <v/>
      </c>
      <c r="N651" s="35" t="str">
        <f aca="false">IF($E651="","",IF($E651=IFERROR(INDEX(项目档案!$D$6:$D$255,MATCH($C651,项目档案!$A$6:$A$255,0)),""),"一级",IF($E651=IFERROR(INDEX(项目档案!$F$6:$F$255,MATCH($C651,项目档案!$A$6:$A$255,0)),""),"二级",IF($E651=IFERROR(INDEX(项目档案!$H$6:$H$255,MATCH($C651,项目档案!$A$6:$A$255,0)),""),"我方","—"))))</f>
        <v/>
      </c>
      <c r="O651" s="36" t="n">
        <f aca="false">IF($D651&lt;&gt;"销项开票",0,ROUND(N($H651)*N($I651),2))</f>
        <v>0</v>
      </c>
      <c r="P651" s="36" t="n">
        <f aca="false">IF($D651&lt;&gt;"销项开票",0,ROUND(N($H651)-$O651,2))</f>
        <v>0</v>
      </c>
      <c r="Q651" s="37" t="str">
        <f aca="false">IF($E651="","",N(IFERROR(INDEX(单位档案!$E$6:$E$35,MATCH($E651,单位档案!$A$6:$A$35,0)),"")))</f>
        <v/>
      </c>
      <c r="R651" s="37" t="str">
        <f aca="false">IF($E651="","",N(IFERROR(INDEX(单位档案!$F$6:$F$35,MATCH($E651,单位档案!$A$6:$A$35,0)),"")))</f>
        <v/>
      </c>
      <c r="S651" s="36" t="n">
        <f aca="false">IF(OR($D651&lt;&gt;"销项开票",IFERROR(INDEX(单位档案!$G$6:$G$35,MATCH($E651,单位档案!$A$6:$A$35,0)),"")&lt;&gt;"是",N($Q651)=0),0,IF(IFERROR(INDEX(单位档案!$H$6:$H$35,MATCH($E651,单位档案!$A$6:$A$35,0)),"")="税差法",ROUND(N($H651)/(1+$Q651)*$Q651-IF(N($R651)=0,0,$P651/(1+$R651)*$R651),2),ROUND(N($H651)/(1+$Q651)*$Q651,2)))</f>
        <v>0</v>
      </c>
      <c r="T651" s="36" t="n">
        <f aca="false">ROUND($S651*N(IFERROR(INDEX(单位档案!$J$6:$J$35,MATCH($E651,单位档案!$A$6:$A$35,0)),"")),2)</f>
        <v>0</v>
      </c>
      <c r="U651" s="36" t="n">
        <f aca="false">IF($D651&lt;&gt;"销项开票",0,ROUND(N($H651)*N(IFERROR(INDEX(单位档案!$K$6:$K$35,MATCH($E651,单位档案!$A$6:$A$35,0)),"")),2))</f>
        <v>0</v>
      </c>
      <c r="V651" s="36" t="n">
        <f aca="false">IF(OR($D651&lt;&gt;"销项开票",N($Q651)=0),0,ROUND(N($H651)/(1+$Q651)*N(IFERROR(INDEX(单位档案!$L$6:$L$35,MATCH($E651,单位档案!$A$6:$A$35,0)),"")),2))</f>
        <v>0</v>
      </c>
      <c r="W651" s="36" t="n">
        <f aca="false">ROUND($S651+$T651+$U651+$V651,2)</f>
        <v>0</v>
      </c>
      <c r="X651" s="35" t="str">
        <f aca="false">IF(OR($D651="挂靠代收",$D651="我方收款"),COUNTIFS($D$5:$D651,"挂靠代收")+COUNTIFS($D$5:$D651,"我方收款"),"")</f>
        <v/>
      </c>
      <c r="Y651" s="35"/>
      <c r="Z651" s="21" t="s">
        <v>111</v>
      </c>
    </row>
    <row r="652" customFormat="false" ht="15.75" hidden="false" customHeight="true" outlineLevel="0" collapsed="false">
      <c r="A652" s="32" t="str">
        <f aca="false">IF($B652="","",ROW()-4)</f>
        <v/>
      </c>
      <c r="B652" s="26"/>
      <c r="C652" s="24"/>
      <c r="D652" s="21"/>
      <c r="E652" s="21"/>
      <c r="F652" s="21"/>
      <c r="G652" s="21"/>
      <c r="H652" s="27"/>
      <c r="I652" s="23" t="str">
        <f aca="false">IF($D652&lt;&gt;"销项开票","",IF($N652="一级",IF(IFERROR(INDEX(项目档案!$E$6:$E$255,MATCH($C652,项目档案!$A$6:$A$255,0)),"")="",N(IFERROR(INDEX(单位档案!$D$6:$D$35,MATCH($E652,单位档案!$A$6:$A$35,0)),"")),IFERROR(INDEX(项目档案!$E$6:$E$255,MATCH($C652,项目档案!$A$6:$A$255,0)),"")),IF($N652="二级",IF(IFERROR(INDEX(项目档案!$G$6:$G$255,MATCH($C652,项目档案!$A$6:$A$255,0)),"")="",N(IFERROR(INDEX(单位档案!$D$6:$D$35,MATCH($E652,单位档案!$A$6:$A$35,0)),"")),IFERROR(INDEX(项目档案!$G$6:$G$255,MATCH($C652,项目档案!$A$6:$A$255,0)),"")),N(IFERROR(INDEX(单位档案!$D$6:$D$35,MATCH($E652,单位档案!$A$6:$A$35,0)),"")))))</f>
        <v/>
      </c>
      <c r="J652" s="22"/>
      <c r="K652" s="22"/>
      <c r="L652" s="33" t="str">
        <f aca="false">IF($B652="","",IF(NOT(ISNUMBER($B652)),"日期格式不对",IF($C652="","未选项目编号",IF(LEFT($M652,1)="⚠","项目编号不存在",IF($D652="","未选业务类型",IF($E652="","未选开票/付款方",IF(ISNA(MATCH($E652,单位档案!$A$6:$A$35,0)),"开票方不在单位档案",IF($F652="","未选收票/收款方",IF(ISNA(MATCH($F652,单位档案!$A$6:$A$35,0)),"收款方不在单位档案",IF(NOT(ISNUMBER($H652)),"金额须为数字",IF(AND($D652="销项开票",$N652="—"),"链条待确认","√")))))))))))</f>
        <v/>
      </c>
      <c r="M652" s="34" t="str">
        <f aca="false">IF($C652="","",IFERROR(INDEX(项目档案!$B$6:$B$255,MATCH($C652,项目档案!$A$6:$A$255,0)),"⚠项目编号不存在"))</f>
        <v/>
      </c>
      <c r="N652" s="35" t="str">
        <f aca="false">IF($E652="","",IF($E652=IFERROR(INDEX(项目档案!$D$6:$D$255,MATCH($C652,项目档案!$A$6:$A$255,0)),""),"一级",IF($E652=IFERROR(INDEX(项目档案!$F$6:$F$255,MATCH($C652,项目档案!$A$6:$A$255,0)),""),"二级",IF($E652=IFERROR(INDEX(项目档案!$H$6:$H$255,MATCH($C652,项目档案!$A$6:$A$255,0)),""),"我方","—"))))</f>
        <v/>
      </c>
      <c r="O652" s="36" t="n">
        <f aca="false">IF($D652&lt;&gt;"销项开票",0,ROUND(N($H652)*N($I652),2))</f>
        <v>0</v>
      </c>
      <c r="P652" s="36" t="n">
        <f aca="false">IF($D652&lt;&gt;"销项开票",0,ROUND(N($H652)-$O652,2))</f>
        <v>0</v>
      </c>
      <c r="Q652" s="37" t="str">
        <f aca="false">IF($E652="","",N(IFERROR(INDEX(单位档案!$E$6:$E$35,MATCH($E652,单位档案!$A$6:$A$35,0)),"")))</f>
        <v/>
      </c>
      <c r="R652" s="37" t="str">
        <f aca="false">IF($E652="","",N(IFERROR(INDEX(单位档案!$F$6:$F$35,MATCH($E652,单位档案!$A$6:$A$35,0)),"")))</f>
        <v/>
      </c>
      <c r="S652" s="36" t="n">
        <f aca="false">IF(OR($D652&lt;&gt;"销项开票",IFERROR(INDEX(单位档案!$G$6:$G$35,MATCH($E652,单位档案!$A$6:$A$35,0)),"")&lt;&gt;"是",N($Q652)=0),0,IF(IFERROR(INDEX(单位档案!$H$6:$H$35,MATCH($E652,单位档案!$A$6:$A$35,0)),"")="税差法",ROUND(N($H652)/(1+$Q652)*$Q652-IF(N($R652)=0,0,$P652/(1+$R652)*$R652),2),ROUND(N($H652)/(1+$Q652)*$Q652,2)))</f>
        <v>0</v>
      </c>
      <c r="T652" s="36" t="n">
        <f aca="false">ROUND($S652*N(IFERROR(INDEX(单位档案!$J$6:$J$35,MATCH($E652,单位档案!$A$6:$A$35,0)),"")),2)</f>
        <v>0</v>
      </c>
      <c r="U652" s="36" t="n">
        <f aca="false">IF($D652&lt;&gt;"销项开票",0,ROUND(N($H652)*N(IFERROR(INDEX(单位档案!$K$6:$K$35,MATCH($E652,单位档案!$A$6:$A$35,0)),"")),2))</f>
        <v>0</v>
      </c>
      <c r="V652" s="36" t="n">
        <f aca="false">IF(OR($D652&lt;&gt;"销项开票",N($Q652)=0),0,ROUND(N($H652)/(1+$Q652)*N(IFERROR(INDEX(单位档案!$L$6:$L$35,MATCH($E652,单位档案!$A$6:$A$35,0)),"")),2))</f>
        <v>0</v>
      </c>
      <c r="W652" s="36" t="n">
        <f aca="false">ROUND($S652+$T652+$U652+$V652,2)</f>
        <v>0</v>
      </c>
      <c r="X652" s="35" t="str">
        <f aca="false">IF(OR($D652="挂靠代收",$D652="我方收款"),COUNTIFS($D$5:$D652,"挂靠代收")+COUNTIFS($D$5:$D652,"我方收款"),"")</f>
        <v/>
      </c>
      <c r="Y652" s="35"/>
      <c r="Z652" s="21" t="s">
        <v>111</v>
      </c>
    </row>
    <row r="653" customFormat="false" ht="15.75" hidden="false" customHeight="true" outlineLevel="0" collapsed="false">
      <c r="A653" s="32" t="str">
        <f aca="false">IF($B653="","",ROW()-4)</f>
        <v/>
      </c>
      <c r="B653" s="26"/>
      <c r="C653" s="24"/>
      <c r="D653" s="21"/>
      <c r="E653" s="21"/>
      <c r="F653" s="21"/>
      <c r="G653" s="21"/>
      <c r="H653" s="27"/>
      <c r="I653" s="23" t="str">
        <f aca="false">IF($D653&lt;&gt;"销项开票","",IF($N653="一级",IF(IFERROR(INDEX(项目档案!$E$6:$E$255,MATCH($C653,项目档案!$A$6:$A$255,0)),"")="",N(IFERROR(INDEX(单位档案!$D$6:$D$35,MATCH($E653,单位档案!$A$6:$A$35,0)),"")),IFERROR(INDEX(项目档案!$E$6:$E$255,MATCH($C653,项目档案!$A$6:$A$255,0)),"")),IF($N653="二级",IF(IFERROR(INDEX(项目档案!$G$6:$G$255,MATCH($C653,项目档案!$A$6:$A$255,0)),"")="",N(IFERROR(INDEX(单位档案!$D$6:$D$35,MATCH($E653,单位档案!$A$6:$A$35,0)),"")),IFERROR(INDEX(项目档案!$G$6:$G$255,MATCH($C653,项目档案!$A$6:$A$255,0)),"")),N(IFERROR(INDEX(单位档案!$D$6:$D$35,MATCH($E653,单位档案!$A$6:$A$35,0)),"")))))</f>
        <v/>
      </c>
      <c r="J653" s="22"/>
      <c r="K653" s="22"/>
      <c r="L653" s="33" t="str">
        <f aca="false">IF($B653="","",IF(NOT(ISNUMBER($B653)),"日期格式不对",IF($C653="","未选项目编号",IF(LEFT($M653,1)="⚠","项目编号不存在",IF($D653="","未选业务类型",IF($E653="","未选开票/付款方",IF(ISNA(MATCH($E653,单位档案!$A$6:$A$35,0)),"开票方不在单位档案",IF($F653="","未选收票/收款方",IF(ISNA(MATCH($F653,单位档案!$A$6:$A$35,0)),"收款方不在单位档案",IF(NOT(ISNUMBER($H653)),"金额须为数字",IF(AND($D653="销项开票",$N653="—"),"链条待确认","√")))))))))))</f>
        <v/>
      </c>
      <c r="M653" s="34" t="str">
        <f aca="false">IF($C653="","",IFERROR(INDEX(项目档案!$B$6:$B$255,MATCH($C653,项目档案!$A$6:$A$255,0)),"⚠项目编号不存在"))</f>
        <v/>
      </c>
      <c r="N653" s="35" t="str">
        <f aca="false">IF($E653="","",IF($E653=IFERROR(INDEX(项目档案!$D$6:$D$255,MATCH($C653,项目档案!$A$6:$A$255,0)),""),"一级",IF($E653=IFERROR(INDEX(项目档案!$F$6:$F$255,MATCH($C653,项目档案!$A$6:$A$255,0)),""),"二级",IF($E653=IFERROR(INDEX(项目档案!$H$6:$H$255,MATCH($C653,项目档案!$A$6:$A$255,0)),""),"我方","—"))))</f>
        <v/>
      </c>
      <c r="O653" s="36" t="n">
        <f aca="false">IF($D653&lt;&gt;"销项开票",0,ROUND(N($H653)*N($I653),2))</f>
        <v>0</v>
      </c>
      <c r="P653" s="36" t="n">
        <f aca="false">IF($D653&lt;&gt;"销项开票",0,ROUND(N($H653)-$O653,2))</f>
        <v>0</v>
      </c>
      <c r="Q653" s="37" t="str">
        <f aca="false">IF($E653="","",N(IFERROR(INDEX(单位档案!$E$6:$E$35,MATCH($E653,单位档案!$A$6:$A$35,0)),"")))</f>
        <v/>
      </c>
      <c r="R653" s="37" t="str">
        <f aca="false">IF($E653="","",N(IFERROR(INDEX(单位档案!$F$6:$F$35,MATCH($E653,单位档案!$A$6:$A$35,0)),"")))</f>
        <v/>
      </c>
      <c r="S653" s="36" t="n">
        <f aca="false">IF(OR($D653&lt;&gt;"销项开票",IFERROR(INDEX(单位档案!$G$6:$G$35,MATCH($E653,单位档案!$A$6:$A$35,0)),"")&lt;&gt;"是",N($Q653)=0),0,IF(IFERROR(INDEX(单位档案!$H$6:$H$35,MATCH($E653,单位档案!$A$6:$A$35,0)),"")="税差法",ROUND(N($H653)/(1+$Q653)*$Q653-IF(N($R653)=0,0,$P653/(1+$R653)*$R653),2),ROUND(N($H653)/(1+$Q653)*$Q653,2)))</f>
        <v>0</v>
      </c>
      <c r="T653" s="36" t="n">
        <f aca="false">ROUND($S653*N(IFERROR(INDEX(单位档案!$J$6:$J$35,MATCH($E653,单位档案!$A$6:$A$35,0)),"")),2)</f>
        <v>0</v>
      </c>
      <c r="U653" s="36" t="n">
        <f aca="false">IF($D653&lt;&gt;"销项开票",0,ROUND(N($H653)*N(IFERROR(INDEX(单位档案!$K$6:$K$35,MATCH($E653,单位档案!$A$6:$A$35,0)),"")),2))</f>
        <v>0</v>
      </c>
      <c r="V653" s="36" t="n">
        <f aca="false">IF(OR($D653&lt;&gt;"销项开票",N($Q653)=0),0,ROUND(N($H653)/(1+$Q653)*N(IFERROR(INDEX(单位档案!$L$6:$L$35,MATCH($E653,单位档案!$A$6:$A$35,0)),"")),2))</f>
        <v>0</v>
      </c>
      <c r="W653" s="36" t="n">
        <f aca="false">ROUND($S653+$T653+$U653+$V653,2)</f>
        <v>0</v>
      </c>
      <c r="X653" s="35" t="str">
        <f aca="false">IF(OR($D653="挂靠代收",$D653="我方收款"),COUNTIFS($D$5:$D653,"挂靠代收")+COUNTIFS($D$5:$D653,"我方收款"),"")</f>
        <v/>
      </c>
      <c r="Y653" s="35"/>
      <c r="Z653" s="21" t="s">
        <v>111</v>
      </c>
    </row>
    <row r="654" customFormat="false" ht="15.75" hidden="false" customHeight="true" outlineLevel="0" collapsed="false">
      <c r="A654" s="32" t="str">
        <f aca="false">IF($B654="","",ROW()-4)</f>
        <v/>
      </c>
      <c r="B654" s="26"/>
      <c r="C654" s="24"/>
      <c r="D654" s="21"/>
      <c r="E654" s="21"/>
      <c r="F654" s="21"/>
      <c r="G654" s="21"/>
      <c r="H654" s="27"/>
      <c r="I654" s="23" t="str">
        <f aca="false">IF($D654&lt;&gt;"销项开票","",IF($N654="一级",IF(IFERROR(INDEX(项目档案!$E$6:$E$255,MATCH($C654,项目档案!$A$6:$A$255,0)),"")="",N(IFERROR(INDEX(单位档案!$D$6:$D$35,MATCH($E654,单位档案!$A$6:$A$35,0)),"")),IFERROR(INDEX(项目档案!$E$6:$E$255,MATCH($C654,项目档案!$A$6:$A$255,0)),"")),IF($N654="二级",IF(IFERROR(INDEX(项目档案!$G$6:$G$255,MATCH($C654,项目档案!$A$6:$A$255,0)),"")="",N(IFERROR(INDEX(单位档案!$D$6:$D$35,MATCH($E654,单位档案!$A$6:$A$35,0)),"")),IFERROR(INDEX(项目档案!$G$6:$G$255,MATCH($C654,项目档案!$A$6:$A$255,0)),"")),N(IFERROR(INDEX(单位档案!$D$6:$D$35,MATCH($E654,单位档案!$A$6:$A$35,0)),"")))))</f>
        <v/>
      </c>
      <c r="J654" s="22"/>
      <c r="K654" s="22"/>
      <c r="L654" s="33" t="str">
        <f aca="false">IF($B654="","",IF(NOT(ISNUMBER($B654)),"日期格式不对",IF($C654="","未选项目编号",IF(LEFT($M654,1)="⚠","项目编号不存在",IF($D654="","未选业务类型",IF($E654="","未选开票/付款方",IF(ISNA(MATCH($E654,单位档案!$A$6:$A$35,0)),"开票方不在单位档案",IF($F654="","未选收票/收款方",IF(ISNA(MATCH($F654,单位档案!$A$6:$A$35,0)),"收款方不在单位档案",IF(NOT(ISNUMBER($H654)),"金额须为数字",IF(AND($D654="销项开票",$N654="—"),"链条待确认","√")))))))))))</f>
        <v/>
      </c>
      <c r="M654" s="34" t="str">
        <f aca="false">IF($C654="","",IFERROR(INDEX(项目档案!$B$6:$B$255,MATCH($C654,项目档案!$A$6:$A$255,0)),"⚠项目编号不存在"))</f>
        <v/>
      </c>
      <c r="N654" s="35" t="str">
        <f aca="false">IF($E654="","",IF($E654=IFERROR(INDEX(项目档案!$D$6:$D$255,MATCH($C654,项目档案!$A$6:$A$255,0)),""),"一级",IF($E654=IFERROR(INDEX(项目档案!$F$6:$F$255,MATCH($C654,项目档案!$A$6:$A$255,0)),""),"二级",IF($E654=IFERROR(INDEX(项目档案!$H$6:$H$255,MATCH($C654,项目档案!$A$6:$A$255,0)),""),"我方","—"))))</f>
        <v/>
      </c>
      <c r="O654" s="36" t="n">
        <f aca="false">IF($D654&lt;&gt;"销项开票",0,ROUND(N($H654)*N($I654),2))</f>
        <v>0</v>
      </c>
      <c r="P654" s="36" t="n">
        <f aca="false">IF($D654&lt;&gt;"销项开票",0,ROUND(N($H654)-$O654,2))</f>
        <v>0</v>
      </c>
      <c r="Q654" s="37" t="str">
        <f aca="false">IF($E654="","",N(IFERROR(INDEX(单位档案!$E$6:$E$35,MATCH($E654,单位档案!$A$6:$A$35,0)),"")))</f>
        <v/>
      </c>
      <c r="R654" s="37" t="str">
        <f aca="false">IF($E654="","",N(IFERROR(INDEX(单位档案!$F$6:$F$35,MATCH($E654,单位档案!$A$6:$A$35,0)),"")))</f>
        <v/>
      </c>
      <c r="S654" s="36" t="n">
        <f aca="false">IF(OR($D654&lt;&gt;"销项开票",IFERROR(INDEX(单位档案!$G$6:$G$35,MATCH($E654,单位档案!$A$6:$A$35,0)),"")&lt;&gt;"是",N($Q654)=0),0,IF(IFERROR(INDEX(单位档案!$H$6:$H$35,MATCH($E654,单位档案!$A$6:$A$35,0)),"")="税差法",ROUND(N($H654)/(1+$Q654)*$Q654-IF(N($R654)=0,0,$P654/(1+$R654)*$R654),2),ROUND(N($H654)/(1+$Q654)*$Q654,2)))</f>
        <v>0</v>
      </c>
      <c r="T654" s="36" t="n">
        <f aca="false">ROUND($S654*N(IFERROR(INDEX(单位档案!$J$6:$J$35,MATCH($E654,单位档案!$A$6:$A$35,0)),"")),2)</f>
        <v>0</v>
      </c>
      <c r="U654" s="36" t="n">
        <f aca="false">IF($D654&lt;&gt;"销项开票",0,ROUND(N($H654)*N(IFERROR(INDEX(单位档案!$K$6:$K$35,MATCH($E654,单位档案!$A$6:$A$35,0)),"")),2))</f>
        <v>0</v>
      </c>
      <c r="V654" s="36" t="n">
        <f aca="false">IF(OR($D654&lt;&gt;"销项开票",N($Q654)=0),0,ROUND(N($H654)/(1+$Q654)*N(IFERROR(INDEX(单位档案!$L$6:$L$35,MATCH($E654,单位档案!$A$6:$A$35,0)),"")),2))</f>
        <v>0</v>
      </c>
      <c r="W654" s="36" t="n">
        <f aca="false">ROUND($S654+$T654+$U654+$V654,2)</f>
        <v>0</v>
      </c>
      <c r="X654" s="35" t="str">
        <f aca="false">IF(OR($D654="挂靠代收",$D654="我方收款"),COUNTIFS($D$5:$D654,"挂靠代收")+COUNTIFS($D$5:$D654,"我方收款"),"")</f>
        <v/>
      </c>
      <c r="Y654" s="35"/>
      <c r="Z654" s="21" t="s">
        <v>111</v>
      </c>
    </row>
    <row r="655" customFormat="false" ht="15.75" hidden="false" customHeight="true" outlineLevel="0" collapsed="false">
      <c r="A655" s="32" t="str">
        <f aca="false">IF($B655="","",ROW()-4)</f>
        <v/>
      </c>
      <c r="B655" s="26"/>
      <c r="C655" s="24"/>
      <c r="D655" s="21"/>
      <c r="E655" s="21"/>
      <c r="F655" s="21"/>
      <c r="G655" s="21"/>
      <c r="H655" s="27"/>
      <c r="I655" s="23" t="str">
        <f aca="false">IF($D655&lt;&gt;"销项开票","",IF($N655="一级",IF(IFERROR(INDEX(项目档案!$E$6:$E$255,MATCH($C655,项目档案!$A$6:$A$255,0)),"")="",N(IFERROR(INDEX(单位档案!$D$6:$D$35,MATCH($E655,单位档案!$A$6:$A$35,0)),"")),IFERROR(INDEX(项目档案!$E$6:$E$255,MATCH($C655,项目档案!$A$6:$A$255,0)),"")),IF($N655="二级",IF(IFERROR(INDEX(项目档案!$G$6:$G$255,MATCH($C655,项目档案!$A$6:$A$255,0)),"")="",N(IFERROR(INDEX(单位档案!$D$6:$D$35,MATCH($E655,单位档案!$A$6:$A$35,0)),"")),IFERROR(INDEX(项目档案!$G$6:$G$255,MATCH($C655,项目档案!$A$6:$A$255,0)),"")),N(IFERROR(INDEX(单位档案!$D$6:$D$35,MATCH($E655,单位档案!$A$6:$A$35,0)),"")))))</f>
        <v/>
      </c>
      <c r="J655" s="22"/>
      <c r="K655" s="22"/>
      <c r="L655" s="33" t="str">
        <f aca="false">IF($B655="","",IF(NOT(ISNUMBER($B655)),"日期格式不对",IF($C655="","未选项目编号",IF(LEFT($M655,1)="⚠","项目编号不存在",IF($D655="","未选业务类型",IF($E655="","未选开票/付款方",IF(ISNA(MATCH($E655,单位档案!$A$6:$A$35,0)),"开票方不在单位档案",IF($F655="","未选收票/收款方",IF(ISNA(MATCH($F655,单位档案!$A$6:$A$35,0)),"收款方不在单位档案",IF(NOT(ISNUMBER($H655)),"金额须为数字",IF(AND($D655="销项开票",$N655="—"),"链条待确认","√")))))))))))</f>
        <v/>
      </c>
      <c r="M655" s="34" t="str">
        <f aca="false">IF($C655="","",IFERROR(INDEX(项目档案!$B$6:$B$255,MATCH($C655,项目档案!$A$6:$A$255,0)),"⚠项目编号不存在"))</f>
        <v/>
      </c>
      <c r="N655" s="35" t="str">
        <f aca="false">IF($E655="","",IF($E655=IFERROR(INDEX(项目档案!$D$6:$D$255,MATCH($C655,项目档案!$A$6:$A$255,0)),""),"一级",IF($E655=IFERROR(INDEX(项目档案!$F$6:$F$255,MATCH($C655,项目档案!$A$6:$A$255,0)),""),"二级",IF($E655=IFERROR(INDEX(项目档案!$H$6:$H$255,MATCH($C655,项目档案!$A$6:$A$255,0)),""),"我方","—"))))</f>
        <v/>
      </c>
      <c r="O655" s="36" t="n">
        <f aca="false">IF($D655&lt;&gt;"销项开票",0,ROUND(N($H655)*N($I655),2))</f>
        <v>0</v>
      </c>
      <c r="P655" s="36" t="n">
        <f aca="false">IF($D655&lt;&gt;"销项开票",0,ROUND(N($H655)-$O655,2))</f>
        <v>0</v>
      </c>
      <c r="Q655" s="37" t="str">
        <f aca="false">IF($E655="","",N(IFERROR(INDEX(单位档案!$E$6:$E$35,MATCH($E655,单位档案!$A$6:$A$35,0)),"")))</f>
        <v/>
      </c>
      <c r="R655" s="37" t="str">
        <f aca="false">IF($E655="","",N(IFERROR(INDEX(单位档案!$F$6:$F$35,MATCH($E655,单位档案!$A$6:$A$35,0)),"")))</f>
        <v/>
      </c>
      <c r="S655" s="36" t="n">
        <f aca="false">IF(OR($D655&lt;&gt;"销项开票",IFERROR(INDEX(单位档案!$G$6:$G$35,MATCH($E655,单位档案!$A$6:$A$35,0)),"")&lt;&gt;"是",N($Q655)=0),0,IF(IFERROR(INDEX(单位档案!$H$6:$H$35,MATCH($E655,单位档案!$A$6:$A$35,0)),"")="税差法",ROUND(N($H655)/(1+$Q655)*$Q655-IF(N($R655)=0,0,$P655/(1+$R655)*$R655),2),ROUND(N($H655)/(1+$Q655)*$Q655,2)))</f>
        <v>0</v>
      </c>
      <c r="T655" s="36" t="n">
        <f aca="false">ROUND($S655*N(IFERROR(INDEX(单位档案!$J$6:$J$35,MATCH($E655,单位档案!$A$6:$A$35,0)),"")),2)</f>
        <v>0</v>
      </c>
      <c r="U655" s="36" t="n">
        <f aca="false">IF($D655&lt;&gt;"销项开票",0,ROUND(N($H655)*N(IFERROR(INDEX(单位档案!$K$6:$K$35,MATCH($E655,单位档案!$A$6:$A$35,0)),"")),2))</f>
        <v>0</v>
      </c>
      <c r="V655" s="36" t="n">
        <f aca="false">IF(OR($D655&lt;&gt;"销项开票",N($Q655)=0),0,ROUND(N($H655)/(1+$Q655)*N(IFERROR(INDEX(单位档案!$L$6:$L$35,MATCH($E655,单位档案!$A$6:$A$35,0)),"")),2))</f>
        <v>0</v>
      </c>
      <c r="W655" s="36" t="n">
        <f aca="false">ROUND($S655+$T655+$U655+$V655,2)</f>
        <v>0</v>
      </c>
      <c r="X655" s="35" t="str">
        <f aca="false">IF(OR($D655="挂靠代收",$D655="我方收款"),COUNTIFS($D$5:$D655,"挂靠代收")+COUNTIFS($D$5:$D655,"我方收款"),"")</f>
        <v/>
      </c>
      <c r="Y655" s="35"/>
      <c r="Z655" s="21" t="s">
        <v>111</v>
      </c>
    </row>
    <row r="656" customFormat="false" ht="15.75" hidden="false" customHeight="true" outlineLevel="0" collapsed="false">
      <c r="A656" s="32" t="str">
        <f aca="false">IF($B656="","",ROW()-4)</f>
        <v/>
      </c>
      <c r="B656" s="26"/>
      <c r="C656" s="24"/>
      <c r="D656" s="21"/>
      <c r="E656" s="21"/>
      <c r="F656" s="21"/>
      <c r="G656" s="21"/>
      <c r="H656" s="27"/>
      <c r="I656" s="23" t="str">
        <f aca="false">IF($D656&lt;&gt;"销项开票","",IF($N656="一级",IF(IFERROR(INDEX(项目档案!$E$6:$E$255,MATCH($C656,项目档案!$A$6:$A$255,0)),"")="",N(IFERROR(INDEX(单位档案!$D$6:$D$35,MATCH($E656,单位档案!$A$6:$A$35,0)),"")),IFERROR(INDEX(项目档案!$E$6:$E$255,MATCH($C656,项目档案!$A$6:$A$255,0)),"")),IF($N656="二级",IF(IFERROR(INDEX(项目档案!$G$6:$G$255,MATCH($C656,项目档案!$A$6:$A$255,0)),"")="",N(IFERROR(INDEX(单位档案!$D$6:$D$35,MATCH($E656,单位档案!$A$6:$A$35,0)),"")),IFERROR(INDEX(项目档案!$G$6:$G$255,MATCH($C656,项目档案!$A$6:$A$255,0)),"")),N(IFERROR(INDEX(单位档案!$D$6:$D$35,MATCH($E656,单位档案!$A$6:$A$35,0)),"")))))</f>
        <v/>
      </c>
      <c r="J656" s="22"/>
      <c r="K656" s="22"/>
      <c r="L656" s="33" t="str">
        <f aca="false">IF($B656="","",IF(NOT(ISNUMBER($B656)),"日期格式不对",IF($C656="","未选项目编号",IF(LEFT($M656,1)="⚠","项目编号不存在",IF($D656="","未选业务类型",IF($E656="","未选开票/付款方",IF(ISNA(MATCH($E656,单位档案!$A$6:$A$35,0)),"开票方不在单位档案",IF($F656="","未选收票/收款方",IF(ISNA(MATCH($F656,单位档案!$A$6:$A$35,0)),"收款方不在单位档案",IF(NOT(ISNUMBER($H656)),"金额须为数字",IF(AND($D656="销项开票",$N656="—"),"链条待确认","√")))))))))))</f>
        <v/>
      </c>
      <c r="M656" s="34" t="str">
        <f aca="false">IF($C656="","",IFERROR(INDEX(项目档案!$B$6:$B$255,MATCH($C656,项目档案!$A$6:$A$255,0)),"⚠项目编号不存在"))</f>
        <v/>
      </c>
      <c r="N656" s="35" t="str">
        <f aca="false">IF($E656="","",IF($E656=IFERROR(INDEX(项目档案!$D$6:$D$255,MATCH($C656,项目档案!$A$6:$A$255,0)),""),"一级",IF($E656=IFERROR(INDEX(项目档案!$F$6:$F$255,MATCH($C656,项目档案!$A$6:$A$255,0)),""),"二级",IF($E656=IFERROR(INDEX(项目档案!$H$6:$H$255,MATCH($C656,项目档案!$A$6:$A$255,0)),""),"我方","—"))))</f>
        <v/>
      </c>
      <c r="O656" s="36" t="n">
        <f aca="false">IF($D656&lt;&gt;"销项开票",0,ROUND(N($H656)*N($I656),2))</f>
        <v>0</v>
      </c>
      <c r="P656" s="36" t="n">
        <f aca="false">IF($D656&lt;&gt;"销项开票",0,ROUND(N($H656)-$O656,2))</f>
        <v>0</v>
      </c>
      <c r="Q656" s="37" t="str">
        <f aca="false">IF($E656="","",N(IFERROR(INDEX(单位档案!$E$6:$E$35,MATCH($E656,单位档案!$A$6:$A$35,0)),"")))</f>
        <v/>
      </c>
      <c r="R656" s="37" t="str">
        <f aca="false">IF($E656="","",N(IFERROR(INDEX(单位档案!$F$6:$F$35,MATCH($E656,单位档案!$A$6:$A$35,0)),"")))</f>
        <v/>
      </c>
      <c r="S656" s="36" t="n">
        <f aca="false">IF(OR($D656&lt;&gt;"销项开票",IFERROR(INDEX(单位档案!$G$6:$G$35,MATCH($E656,单位档案!$A$6:$A$35,0)),"")&lt;&gt;"是",N($Q656)=0),0,IF(IFERROR(INDEX(单位档案!$H$6:$H$35,MATCH($E656,单位档案!$A$6:$A$35,0)),"")="税差法",ROUND(N($H656)/(1+$Q656)*$Q656-IF(N($R656)=0,0,$P656/(1+$R656)*$R656),2),ROUND(N($H656)/(1+$Q656)*$Q656,2)))</f>
        <v>0</v>
      </c>
      <c r="T656" s="36" t="n">
        <f aca="false">ROUND($S656*N(IFERROR(INDEX(单位档案!$J$6:$J$35,MATCH($E656,单位档案!$A$6:$A$35,0)),"")),2)</f>
        <v>0</v>
      </c>
      <c r="U656" s="36" t="n">
        <f aca="false">IF($D656&lt;&gt;"销项开票",0,ROUND(N($H656)*N(IFERROR(INDEX(单位档案!$K$6:$K$35,MATCH($E656,单位档案!$A$6:$A$35,0)),"")),2))</f>
        <v>0</v>
      </c>
      <c r="V656" s="36" t="n">
        <f aca="false">IF(OR($D656&lt;&gt;"销项开票",N($Q656)=0),0,ROUND(N($H656)/(1+$Q656)*N(IFERROR(INDEX(单位档案!$L$6:$L$35,MATCH($E656,单位档案!$A$6:$A$35,0)),"")),2))</f>
        <v>0</v>
      </c>
      <c r="W656" s="36" t="n">
        <f aca="false">ROUND($S656+$T656+$U656+$V656,2)</f>
        <v>0</v>
      </c>
      <c r="X656" s="35" t="str">
        <f aca="false">IF(OR($D656="挂靠代收",$D656="我方收款"),COUNTIFS($D$5:$D656,"挂靠代收")+COUNTIFS($D$5:$D656,"我方收款"),"")</f>
        <v/>
      </c>
      <c r="Y656" s="35"/>
      <c r="Z656" s="21" t="s">
        <v>111</v>
      </c>
    </row>
    <row r="657" customFormat="false" ht="15.75" hidden="false" customHeight="true" outlineLevel="0" collapsed="false">
      <c r="A657" s="32" t="str">
        <f aca="false">IF($B657="","",ROW()-4)</f>
        <v/>
      </c>
      <c r="B657" s="26"/>
      <c r="C657" s="24"/>
      <c r="D657" s="21"/>
      <c r="E657" s="21"/>
      <c r="F657" s="21"/>
      <c r="G657" s="21"/>
      <c r="H657" s="27"/>
      <c r="I657" s="23" t="str">
        <f aca="false">IF($D657&lt;&gt;"销项开票","",IF($N657="一级",IF(IFERROR(INDEX(项目档案!$E$6:$E$255,MATCH($C657,项目档案!$A$6:$A$255,0)),"")="",N(IFERROR(INDEX(单位档案!$D$6:$D$35,MATCH($E657,单位档案!$A$6:$A$35,0)),"")),IFERROR(INDEX(项目档案!$E$6:$E$255,MATCH($C657,项目档案!$A$6:$A$255,0)),"")),IF($N657="二级",IF(IFERROR(INDEX(项目档案!$G$6:$G$255,MATCH($C657,项目档案!$A$6:$A$255,0)),"")="",N(IFERROR(INDEX(单位档案!$D$6:$D$35,MATCH($E657,单位档案!$A$6:$A$35,0)),"")),IFERROR(INDEX(项目档案!$G$6:$G$255,MATCH($C657,项目档案!$A$6:$A$255,0)),"")),N(IFERROR(INDEX(单位档案!$D$6:$D$35,MATCH($E657,单位档案!$A$6:$A$35,0)),"")))))</f>
        <v/>
      </c>
      <c r="J657" s="22"/>
      <c r="K657" s="22"/>
      <c r="L657" s="33" t="str">
        <f aca="false">IF($B657="","",IF(NOT(ISNUMBER($B657)),"日期格式不对",IF($C657="","未选项目编号",IF(LEFT($M657,1)="⚠","项目编号不存在",IF($D657="","未选业务类型",IF($E657="","未选开票/付款方",IF(ISNA(MATCH($E657,单位档案!$A$6:$A$35,0)),"开票方不在单位档案",IF($F657="","未选收票/收款方",IF(ISNA(MATCH($F657,单位档案!$A$6:$A$35,0)),"收款方不在单位档案",IF(NOT(ISNUMBER($H657)),"金额须为数字",IF(AND($D657="销项开票",$N657="—"),"链条待确认","√")))))))))))</f>
        <v/>
      </c>
      <c r="M657" s="34" t="str">
        <f aca="false">IF($C657="","",IFERROR(INDEX(项目档案!$B$6:$B$255,MATCH($C657,项目档案!$A$6:$A$255,0)),"⚠项目编号不存在"))</f>
        <v/>
      </c>
      <c r="N657" s="35" t="str">
        <f aca="false">IF($E657="","",IF($E657=IFERROR(INDEX(项目档案!$D$6:$D$255,MATCH($C657,项目档案!$A$6:$A$255,0)),""),"一级",IF($E657=IFERROR(INDEX(项目档案!$F$6:$F$255,MATCH($C657,项目档案!$A$6:$A$255,0)),""),"二级",IF($E657=IFERROR(INDEX(项目档案!$H$6:$H$255,MATCH($C657,项目档案!$A$6:$A$255,0)),""),"我方","—"))))</f>
        <v/>
      </c>
      <c r="O657" s="36" t="n">
        <f aca="false">IF($D657&lt;&gt;"销项开票",0,ROUND(N($H657)*N($I657),2))</f>
        <v>0</v>
      </c>
      <c r="P657" s="36" t="n">
        <f aca="false">IF($D657&lt;&gt;"销项开票",0,ROUND(N($H657)-$O657,2))</f>
        <v>0</v>
      </c>
      <c r="Q657" s="37" t="str">
        <f aca="false">IF($E657="","",N(IFERROR(INDEX(单位档案!$E$6:$E$35,MATCH($E657,单位档案!$A$6:$A$35,0)),"")))</f>
        <v/>
      </c>
      <c r="R657" s="37" t="str">
        <f aca="false">IF($E657="","",N(IFERROR(INDEX(单位档案!$F$6:$F$35,MATCH($E657,单位档案!$A$6:$A$35,0)),"")))</f>
        <v/>
      </c>
      <c r="S657" s="36" t="n">
        <f aca="false">IF(OR($D657&lt;&gt;"销项开票",IFERROR(INDEX(单位档案!$G$6:$G$35,MATCH($E657,单位档案!$A$6:$A$35,0)),"")&lt;&gt;"是",N($Q657)=0),0,IF(IFERROR(INDEX(单位档案!$H$6:$H$35,MATCH($E657,单位档案!$A$6:$A$35,0)),"")="税差法",ROUND(N($H657)/(1+$Q657)*$Q657-IF(N($R657)=0,0,$P657/(1+$R657)*$R657),2),ROUND(N($H657)/(1+$Q657)*$Q657,2)))</f>
        <v>0</v>
      </c>
      <c r="T657" s="36" t="n">
        <f aca="false">ROUND($S657*N(IFERROR(INDEX(单位档案!$J$6:$J$35,MATCH($E657,单位档案!$A$6:$A$35,0)),"")),2)</f>
        <v>0</v>
      </c>
      <c r="U657" s="36" t="n">
        <f aca="false">IF($D657&lt;&gt;"销项开票",0,ROUND(N($H657)*N(IFERROR(INDEX(单位档案!$K$6:$K$35,MATCH($E657,单位档案!$A$6:$A$35,0)),"")),2))</f>
        <v>0</v>
      </c>
      <c r="V657" s="36" t="n">
        <f aca="false">IF(OR($D657&lt;&gt;"销项开票",N($Q657)=0),0,ROUND(N($H657)/(1+$Q657)*N(IFERROR(INDEX(单位档案!$L$6:$L$35,MATCH($E657,单位档案!$A$6:$A$35,0)),"")),2))</f>
        <v>0</v>
      </c>
      <c r="W657" s="36" t="n">
        <f aca="false">ROUND($S657+$T657+$U657+$V657,2)</f>
        <v>0</v>
      </c>
      <c r="X657" s="35" t="str">
        <f aca="false">IF(OR($D657="挂靠代收",$D657="我方收款"),COUNTIFS($D$5:$D657,"挂靠代收")+COUNTIFS($D$5:$D657,"我方收款"),"")</f>
        <v/>
      </c>
      <c r="Y657" s="35"/>
      <c r="Z657" s="21" t="s">
        <v>111</v>
      </c>
    </row>
    <row r="658" customFormat="false" ht="15.75" hidden="false" customHeight="true" outlineLevel="0" collapsed="false">
      <c r="A658" s="32" t="str">
        <f aca="false">IF($B658="","",ROW()-4)</f>
        <v/>
      </c>
      <c r="B658" s="26"/>
      <c r="C658" s="24"/>
      <c r="D658" s="21"/>
      <c r="E658" s="21"/>
      <c r="F658" s="21"/>
      <c r="G658" s="21"/>
      <c r="H658" s="27"/>
      <c r="I658" s="23" t="str">
        <f aca="false">IF($D658&lt;&gt;"销项开票","",IF($N658="一级",IF(IFERROR(INDEX(项目档案!$E$6:$E$255,MATCH($C658,项目档案!$A$6:$A$255,0)),"")="",N(IFERROR(INDEX(单位档案!$D$6:$D$35,MATCH($E658,单位档案!$A$6:$A$35,0)),"")),IFERROR(INDEX(项目档案!$E$6:$E$255,MATCH($C658,项目档案!$A$6:$A$255,0)),"")),IF($N658="二级",IF(IFERROR(INDEX(项目档案!$G$6:$G$255,MATCH($C658,项目档案!$A$6:$A$255,0)),"")="",N(IFERROR(INDEX(单位档案!$D$6:$D$35,MATCH($E658,单位档案!$A$6:$A$35,0)),"")),IFERROR(INDEX(项目档案!$G$6:$G$255,MATCH($C658,项目档案!$A$6:$A$255,0)),"")),N(IFERROR(INDEX(单位档案!$D$6:$D$35,MATCH($E658,单位档案!$A$6:$A$35,0)),"")))))</f>
        <v/>
      </c>
      <c r="J658" s="22"/>
      <c r="K658" s="22"/>
      <c r="L658" s="33" t="str">
        <f aca="false">IF($B658="","",IF(NOT(ISNUMBER($B658)),"日期格式不对",IF($C658="","未选项目编号",IF(LEFT($M658,1)="⚠","项目编号不存在",IF($D658="","未选业务类型",IF($E658="","未选开票/付款方",IF(ISNA(MATCH($E658,单位档案!$A$6:$A$35,0)),"开票方不在单位档案",IF($F658="","未选收票/收款方",IF(ISNA(MATCH($F658,单位档案!$A$6:$A$35,0)),"收款方不在单位档案",IF(NOT(ISNUMBER($H658)),"金额须为数字",IF(AND($D658="销项开票",$N658="—"),"链条待确认","√")))))))))))</f>
        <v/>
      </c>
      <c r="M658" s="34" t="str">
        <f aca="false">IF($C658="","",IFERROR(INDEX(项目档案!$B$6:$B$255,MATCH($C658,项目档案!$A$6:$A$255,0)),"⚠项目编号不存在"))</f>
        <v/>
      </c>
      <c r="N658" s="35" t="str">
        <f aca="false">IF($E658="","",IF($E658=IFERROR(INDEX(项目档案!$D$6:$D$255,MATCH($C658,项目档案!$A$6:$A$255,0)),""),"一级",IF($E658=IFERROR(INDEX(项目档案!$F$6:$F$255,MATCH($C658,项目档案!$A$6:$A$255,0)),""),"二级",IF($E658=IFERROR(INDEX(项目档案!$H$6:$H$255,MATCH($C658,项目档案!$A$6:$A$255,0)),""),"我方","—"))))</f>
        <v/>
      </c>
      <c r="O658" s="36" t="n">
        <f aca="false">IF($D658&lt;&gt;"销项开票",0,ROUND(N($H658)*N($I658),2))</f>
        <v>0</v>
      </c>
      <c r="P658" s="36" t="n">
        <f aca="false">IF($D658&lt;&gt;"销项开票",0,ROUND(N($H658)-$O658,2))</f>
        <v>0</v>
      </c>
      <c r="Q658" s="37" t="str">
        <f aca="false">IF($E658="","",N(IFERROR(INDEX(单位档案!$E$6:$E$35,MATCH($E658,单位档案!$A$6:$A$35,0)),"")))</f>
        <v/>
      </c>
      <c r="R658" s="37" t="str">
        <f aca="false">IF($E658="","",N(IFERROR(INDEX(单位档案!$F$6:$F$35,MATCH($E658,单位档案!$A$6:$A$35,0)),"")))</f>
        <v/>
      </c>
      <c r="S658" s="36" t="n">
        <f aca="false">IF(OR($D658&lt;&gt;"销项开票",IFERROR(INDEX(单位档案!$G$6:$G$35,MATCH($E658,单位档案!$A$6:$A$35,0)),"")&lt;&gt;"是",N($Q658)=0),0,IF(IFERROR(INDEX(单位档案!$H$6:$H$35,MATCH($E658,单位档案!$A$6:$A$35,0)),"")="税差法",ROUND(N($H658)/(1+$Q658)*$Q658-IF(N($R658)=0,0,$P658/(1+$R658)*$R658),2),ROUND(N($H658)/(1+$Q658)*$Q658,2)))</f>
        <v>0</v>
      </c>
      <c r="T658" s="36" t="n">
        <f aca="false">ROUND($S658*N(IFERROR(INDEX(单位档案!$J$6:$J$35,MATCH($E658,单位档案!$A$6:$A$35,0)),"")),2)</f>
        <v>0</v>
      </c>
      <c r="U658" s="36" t="n">
        <f aca="false">IF($D658&lt;&gt;"销项开票",0,ROUND(N($H658)*N(IFERROR(INDEX(单位档案!$K$6:$K$35,MATCH($E658,单位档案!$A$6:$A$35,0)),"")),2))</f>
        <v>0</v>
      </c>
      <c r="V658" s="36" t="n">
        <f aca="false">IF(OR($D658&lt;&gt;"销项开票",N($Q658)=0),0,ROUND(N($H658)/(1+$Q658)*N(IFERROR(INDEX(单位档案!$L$6:$L$35,MATCH($E658,单位档案!$A$6:$A$35,0)),"")),2))</f>
        <v>0</v>
      </c>
      <c r="W658" s="36" t="n">
        <f aca="false">ROUND($S658+$T658+$U658+$V658,2)</f>
        <v>0</v>
      </c>
      <c r="X658" s="35" t="str">
        <f aca="false">IF(OR($D658="挂靠代收",$D658="我方收款"),COUNTIFS($D$5:$D658,"挂靠代收")+COUNTIFS($D$5:$D658,"我方收款"),"")</f>
        <v/>
      </c>
      <c r="Y658" s="35"/>
      <c r="Z658" s="21" t="s">
        <v>111</v>
      </c>
    </row>
    <row r="659" customFormat="false" ht="15.75" hidden="false" customHeight="true" outlineLevel="0" collapsed="false">
      <c r="A659" s="32" t="str">
        <f aca="false">IF($B659="","",ROW()-4)</f>
        <v/>
      </c>
      <c r="B659" s="26"/>
      <c r="C659" s="24"/>
      <c r="D659" s="21"/>
      <c r="E659" s="21"/>
      <c r="F659" s="21"/>
      <c r="G659" s="21"/>
      <c r="H659" s="27"/>
      <c r="I659" s="23" t="str">
        <f aca="false">IF($D659&lt;&gt;"销项开票","",IF($N659="一级",IF(IFERROR(INDEX(项目档案!$E$6:$E$255,MATCH($C659,项目档案!$A$6:$A$255,0)),"")="",N(IFERROR(INDEX(单位档案!$D$6:$D$35,MATCH($E659,单位档案!$A$6:$A$35,0)),"")),IFERROR(INDEX(项目档案!$E$6:$E$255,MATCH($C659,项目档案!$A$6:$A$255,0)),"")),IF($N659="二级",IF(IFERROR(INDEX(项目档案!$G$6:$G$255,MATCH($C659,项目档案!$A$6:$A$255,0)),"")="",N(IFERROR(INDEX(单位档案!$D$6:$D$35,MATCH($E659,单位档案!$A$6:$A$35,0)),"")),IFERROR(INDEX(项目档案!$G$6:$G$255,MATCH($C659,项目档案!$A$6:$A$255,0)),"")),N(IFERROR(INDEX(单位档案!$D$6:$D$35,MATCH($E659,单位档案!$A$6:$A$35,0)),"")))))</f>
        <v/>
      </c>
      <c r="J659" s="22"/>
      <c r="K659" s="22"/>
      <c r="L659" s="33" t="str">
        <f aca="false">IF($B659="","",IF(NOT(ISNUMBER($B659)),"日期格式不对",IF($C659="","未选项目编号",IF(LEFT($M659,1)="⚠","项目编号不存在",IF($D659="","未选业务类型",IF($E659="","未选开票/付款方",IF(ISNA(MATCH($E659,单位档案!$A$6:$A$35,0)),"开票方不在单位档案",IF($F659="","未选收票/收款方",IF(ISNA(MATCH($F659,单位档案!$A$6:$A$35,0)),"收款方不在单位档案",IF(NOT(ISNUMBER($H659)),"金额须为数字",IF(AND($D659="销项开票",$N659="—"),"链条待确认","√")))))))))))</f>
        <v/>
      </c>
      <c r="M659" s="34" t="str">
        <f aca="false">IF($C659="","",IFERROR(INDEX(项目档案!$B$6:$B$255,MATCH($C659,项目档案!$A$6:$A$255,0)),"⚠项目编号不存在"))</f>
        <v/>
      </c>
      <c r="N659" s="35" t="str">
        <f aca="false">IF($E659="","",IF($E659=IFERROR(INDEX(项目档案!$D$6:$D$255,MATCH($C659,项目档案!$A$6:$A$255,0)),""),"一级",IF($E659=IFERROR(INDEX(项目档案!$F$6:$F$255,MATCH($C659,项目档案!$A$6:$A$255,0)),""),"二级",IF($E659=IFERROR(INDEX(项目档案!$H$6:$H$255,MATCH($C659,项目档案!$A$6:$A$255,0)),""),"我方","—"))))</f>
        <v/>
      </c>
      <c r="O659" s="36" t="n">
        <f aca="false">IF($D659&lt;&gt;"销项开票",0,ROUND(N($H659)*N($I659),2))</f>
        <v>0</v>
      </c>
      <c r="P659" s="36" t="n">
        <f aca="false">IF($D659&lt;&gt;"销项开票",0,ROUND(N($H659)-$O659,2))</f>
        <v>0</v>
      </c>
      <c r="Q659" s="37" t="str">
        <f aca="false">IF($E659="","",N(IFERROR(INDEX(单位档案!$E$6:$E$35,MATCH($E659,单位档案!$A$6:$A$35,0)),"")))</f>
        <v/>
      </c>
      <c r="R659" s="37" t="str">
        <f aca="false">IF($E659="","",N(IFERROR(INDEX(单位档案!$F$6:$F$35,MATCH($E659,单位档案!$A$6:$A$35,0)),"")))</f>
        <v/>
      </c>
      <c r="S659" s="36" t="n">
        <f aca="false">IF(OR($D659&lt;&gt;"销项开票",IFERROR(INDEX(单位档案!$G$6:$G$35,MATCH($E659,单位档案!$A$6:$A$35,0)),"")&lt;&gt;"是",N($Q659)=0),0,IF(IFERROR(INDEX(单位档案!$H$6:$H$35,MATCH($E659,单位档案!$A$6:$A$35,0)),"")="税差法",ROUND(N($H659)/(1+$Q659)*$Q659-IF(N($R659)=0,0,$P659/(1+$R659)*$R659),2),ROUND(N($H659)/(1+$Q659)*$Q659,2)))</f>
        <v>0</v>
      </c>
      <c r="T659" s="36" t="n">
        <f aca="false">ROUND($S659*N(IFERROR(INDEX(单位档案!$J$6:$J$35,MATCH($E659,单位档案!$A$6:$A$35,0)),"")),2)</f>
        <v>0</v>
      </c>
      <c r="U659" s="36" t="n">
        <f aca="false">IF($D659&lt;&gt;"销项开票",0,ROUND(N($H659)*N(IFERROR(INDEX(单位档案!$K$6:$K$35,MATCH($E659,单位档案!$A$6:$A$35,0)),"")),2))</f>
        <v>0</v>
      </c>
      <c r="V659" s="36" t="n">
        <f aca="false">IF(OR($D659&lt;&gt;"销项开票",N($Q659)=0),0,ROUND(N($H659)/(1+$Q659)*N(IFERROR(INDEX(单位档案!$L$6:$L$35,MATCH($E659,单位档案!$A$6:$A$35,0)),"")),2))</f>
        <v>0</v>
      </c>
      <c r="W659" s="36" t="n">
        <f aca="false">ROUND($S659+$T659+$U659+$V659,2)</f>
        <v>0</v>
      </c>
      <c r="X659" s="35" t="str">
        <f aca="false">IF(OR($D659="挂靠代收",$D659="我方收款"),COUNTIFS($D$5:$D659,"挂靠代收")+COUNTIFS($D$5:$D659,"我方收款"),"")</f>
        <v/>
      </c>
      <c r="Y659" s="35"/>
      <c r="Z659" s="21" t="s">
        <v>111</v>
      </c>
    </row>
    <row r="660" customFormat="false" ht="15.75" hidden="false" customHeight="true" outlineLevel="0" collapsed="false">
      <c r="A660" s="32" t="str">
        <f aca="false">IF($B660="","",ROW()-4)</f>
        <v/>
      </c>
      <c r="B660" s="26"/>
      <c r="C660" s="24"/>
      <c r="D660" s="21"/>
      <c r="E660" s="21"/>
      <c r="F660" s="21"/>
      <c r="G660" s="21"/>
      <c r="H660" s="27"/>
      <c r="I660" s="23" t="str">
        <f aca="false">IF($D660&lt;&gt;"销项开票","",IF($N660="一级",IF(IFERROR(INDEX(项目档案!$E$6:$E$255,MATCH($C660,项目档案!$A$6:$A$255,0)),"")="",N(IFERROR(INDEX(单位档案!$D$6:$D$35,MATCH($E660,单位档案!$A$6:$A$35,0)),"")),IFERROR(INDEX(项目档案!$E$6:$E$255,MATCH($C660,项目档案!$A$6:$A$255,0)),"")),IF($N660="二级",IF(IFERROR(INDEX(项目档案!$G$6:$G$255,MATCH($C660,项目档案!$A$6:$A$255,0)),"")="",N(IFERROR(INDEX(单位档案!$D$6:$D$35,MATCH($E660,单位档案!$A$6:$A$35,0)),"")),IFERROR(INDEX(项目档案!$G$6:$G$255,MATCH($C660,项目档案!$A$6:$A$255,0)),"")),N(IFERROR(INDEX(单位档案!$D$6:$D$35,MATCH($E660,单位档案!$A$6:$A$35,0)),"")))))</f>
        <v/>
      </c>
      <c r="J660" s="22"/>
      <c r="K660" s="22"/>
      <c r="L660" s="33" t="str">
        <f aca="false">IF($B660="","",IF(NOT(ISNUMBER($B660)),"日期格式不对",IF($C660="","未选项目编号",IF(LEFT($M660,1)="⚠","项目编号不存在",IF($D660="","未选业务类型",IF($E660="","未选开票/付款方",IF(ISNA(MATCH($E660,单位档案!$A$6:$A$35,0)),"开票方不在单位档案",IF($F660="","未选收票/收款方",IF(ISNA(MATCH($F660,单位档案!$A$6:$A$35,0)),"收款方不在单位档案",IF(NOT(ISNUMBER($H660)),"金额须为数字",IF(AND($D660="销项开票",$N660="—"),"链条待确认","√")))))))))))</f>
        <v/>
      </c>
      <c r="M660" s="34" t="str">
        <f aca="false">IF($C660="","",IFERROR(INDEX(项目档案!$B$6:$B$255,MATCH($C660,项目档案!$A$6:$A$255,0)),"⚠项目编号不存在"))</f>
        <v/>
      </c>
      <c r="N660" s="35" t="str">
        <f aca="false">IF($E660="","",IF($E660=IFERROR(INDEX(项目档案!$D$6:$D$255,MATCH($C660,项目档案!$A$6:$A$255,0)),""),"一级",IF($E660=IFERROR(INDEX(项目档案!$F$6:$F$255,MATCH($C660,项目档案!$A$6:$A$255,0)),""),"二级",IF($E660=IFERROR(INDEX(项目档案!$H$6:$H$255,MATCH($C660,项目档案!$A$6:$A$255,0)),""),"我方","—"))))</f>
        <v/>
      </c>
      <c r="O660" s="36" t="n">
        <f aca="false">IF($D660&lt;&gt;"销项开票",0,ROUND(N($H660)*N($I660),2))</f>
        <v>0</v>
      </c>
      <c r="P660" s="36" t="n">
        <f aca="false">IF($D660&lt;&gt;"销项开票",0,ROUND(N($H660)-$O660,2))</f>
        <v>0</v>
      </c>
      <c r="Q660" s="37" t="str">
        <f aca="false">IF($E660="","",N(IFERROR(INDEX(单位档案!$E$6:$E$35,MATCH($E660,单位档案!$A$6:$A$35,0)),"")))</f>
        <v/>
      </c>
      <c r="R660" s="37" t="str">
        <f aca="false">IF($E660="","",N(IFERROR(INDEX(单位档案!$F$6:$F$35,MATCH($E660,单位档案!$A$6:$A$35,0)),"")))</f>
        <v/>
      </c>
      <c r="S660" s="36" t="n">
        <f aca="false">IF(OR($D660&lt;&gt;"销项开票",IFERROR(INDEX(单位档案!$G$6:$G$35,MATCH($E660,单位档案!$A$6:$A$35,0)),"")&lt;&gt;"是",N($Q660)=0),0,IF(IFERROR(INDEX(单位档案!$H$6:$H$35,MATCH($E660,单位档案!$A$6:$A$35,0)),"")="税差法",ROUND(N($H660)/(1+$Q660)*$Q660-IF(N($R660)=0,0,$P660/(1+$R660)*$R660),2),ROUND(N($H660)/(1+$Q660)*$Q660,2)))</f>
        <v>0</v>
      </c>
      <c r="T660" s="36" t="n">
        <f aca="false">ROUND($S660*N(IFERROR(INDEX(单位档案!$J$6:$J$35,MATCH($E660,单位档案!$A$6:$A$35,0)),"")),2)</f>
        <v>0</v>
      </c>
      <c r="U660" s="36" t="n">
        <f aca="false">IF($D660&lt;&gt;"销项开票",0,ROUND(N($H660)*N(IFERROR(INDEX(单位档案!$K$6:$K$35,MATCH($E660,单位档案!$A$6:$A$35,0)),"")),2))</f>
        <v>0</v>
      </c>
      <c r="V660" s="36" t="n">
        <f aca="false">IF(OR($D660&lt;&gt;"销项开票",N($Q660)=0),0,ROUND(N($H660)/(1+$Q660)*N(IFERROR(INDEX(单位档案!$L$6:$L$35,MATCH($E660,单位档案!$A$6:$A$35,0)),"")),2))</f>
        <v>0</v>
      </c>
      <c r="W660" s="36" t="n">
        <f aca="false">ROUND($S660+$T660+$U660+$V660,2)</f>
        <v>0</v>
      </c>
      <c r="X660" s="35" t="str">
        <f aca="false">IF(OR($D660="挂靠代收",$D660="我方收款"),COUNTIFS($D$5:$D660,"挂靠代收")+COUNTIFS($D$5:$D660,"我方收款"),"")</f>
        <v/>
      </c>
      <c r="Y660" s="35"/>
      <c r="Z660" s="21" t="s">
        <v>111</v>
      </c>
    </row>
    <row r="661" customFormat="false" ht="15.75" hidden="false" customHeight="true" outlineLevel="0" collapsed="false">
      <c r="A661" s="32" t="str">
        <f aca="false">IF($B661="","",ROW()-4)</f>
        <v/>
      </c>
      <c r="B661" s="26"/>
      <c r="C661" s="24"/>
      <c r="D661" s="21"/>
      <c r="E661" s="21"/>
      <c r="F661" s="21"/>
      <c r="G661" s="21"/>
      <c r="H661" s="27"/>
      <c r="I661" s="23" t="str">
        <f aca="false">IF($D661&lt;&gt;"销项开票","",IF($N661="一级",IF(IFERROR(INDEX(项目档案!$E$6:$E$255,MATCH($C661,项目档案!$A$6:$A$255,0)),"")="",N(IFERROR(INDEX(单位档案!$D$6:$D$35,MATCH($E661,单位档案!$A$6:$A$35,0)),"")),IFERROR(INDEX(项目档案!$E$6:$E$255,MATCH($C661,项目档案!$A$6:$A$255,0)),"")),IF($N661="二级",IF(IFERROR(INDEX(项目档案!$G$6:$G$255,MATCH($C661,项目档案!$A$6:$A$255,0)),"")="",N(IFERROR(INDEX(单位档案!$D$6:$D$35,MATCH($E661,单位档案!$A$6:$A$35,0)),"")),IFERROR(INDEX(项目档案!$G$6:$G$255,MATCH($C661,项目档案!$A$6:$A$255,0)),"")),N(IFERROR(INDEX(单位档案!$D$6:$D$35,MATCH($E661,单位档案!$A$6:$A$35,0)),"")))))</f>
        <v/>
      </c>
      <c r="J661" s="22"/>
      <c r="K661" s="22"/>
      <c r="L661" s="33" t="str">
        <f aca="false">IF($B661="","",IF(NOT(ISNUMBER($B661)),"日期格式不对",IF($C661="","未选项目编号",IF(LEFT($M661,1)="⚠","项目编号不存在",IF($D661="","未选业务类型",IF($E661="","未选开票/付款方",IF(ISNA(MATCH($E661,单位档案!$A$6:$A$35,0)),"开票方不在单位档案",IF($F661="","未选收票/收款方",IF(ISNA(MATCH($F661,单位档案!$A$6:$A$35,0)),"收款方不在单位档案",IF(NOT(ISNUMBER($H661)),"金额须为数字",IF(AND($D661="销项开票",$N661="—"),"链条待确认","√")))))))))))</f>
        <v/>
      </c>
      <c r="M661" s="34" t="str">
        <f aca="false">IF($C661="","",IFERROR(INDEX(项目档案!$B$6:$B$255,MATCH($C661,项目档案!$A$6:$A$255,0)),"⚠项目编号不存在"))</f>
        <v/>
      </c>
      <c r="N661" s="35" t="str">
        <f aca="false">IF($E661="","",IF($E661=IFERROR(INDEX(项目档案!$D$6:$D$255,MATCH($C661,项目档案!$A$6:$A$255,0)),""),"一级",IF($E661=IFERROR(INDEX(项目档案!$F$6:$F$255,MATCH($C661,项目档案!$A$6:$A$255,0)),""),"二级",IF($E661=IFERROR(INDEX(项目档案!$H$6:$H$255,MATCH($C661,项目档案!$A$6:$A$255,0)),""),"我方","—"))))</f>
        <v/>
      </c>
      <c r="O661" s="36" t="n">
        <f aca="false">IF($D661&lt;&gt;"销项开票",0,ROUND(N($H661)*N($I661),2))</f>
        <v>0</v>
      </c>
      <c r="P661" s="36" t="n">
        <f aca="false">IF($D661&lt;&gt;"销项开票",0,ROUND(N($H661)-$O661,2))</f>
        <v>0</v>
      </c>
      <c r="Q661" s="37" t="str">
        <f aca="false">IF($E661="","",N(IFERROR(INDEX(单位档案!$E$6:$E$35,MATCH($E661,单位档案!$A$6:$A$35,0)),"")))</f>
        <v/>
      </c>
      <c r="R661" s="37" t="str">
        <f aca="false">IF($E661="","",N(IFERROR(INDEX(单位档案!$F$6:$F$35,MATCH($E661,单位档案!$A$6:$A$35,0)),"")))</f>
        <v/>
      </c>
      <c r="S661" s="36" t="n">
        <f aca="false">IF(OR($D661&lt;&gt;"销项开票",IFERROR(INDEX(单位档案!$G$6:$G$35,MATCH($E661,单位档案!$A$6:$A$35,0)),"")&lt;&gt;"是",N($Q661)=0),0,IF(IFERROR(INDEX(单位档案!$H$6:$H$35,MATCH($E661,单位档案!$A$6:$A$35,0)),"")="税差法",ROUND(N($H661)/(1+$Q661)*$Q661-IF(N($R661)=0,0,$P661/(1+$R661)*$R661),2),ROUND(N($H661)/(1+$Q661)*$Q661,2)))</f>
        <v>0</v>
      </c>
      <c r="T661" s="36" t="n">
        <f aca="false">ROUND($S661*N(IFERROR(INDEX(单位档案!$J$6:$J$35,MATCH($E661,单位档案!$A$6:$A$35,0)),"")),2)</f>
        <v>0</v>
      </c>
      <c r="U661" s="36" t="n">
        <f aca="false">IF($D661&lt;&gt;"销项开票",0,ROUND(N($H661)*N(IFERROR(INDEX(单位档案!$K$6:$K$35,MATCH($E661,单位档案!$A$6:$A$35,0)),"")),2))</f>
        <v>0</v>
      </c>
      <c r="V661" s="36" t="n">
        <f aca="false">IF(OR($D661&lt;&gt;"销项开票",N($Q661)=0),0,ROUND(N($H661)/(1+$Q661)*N(IFERROR(INDEX(单位档案!$L$6:$L$35,MATCH($E661,单位档案!$A$6:$A$35,0)),"")),2))</f>
        <v>0</v>
      </c>
      <c r="W661" s="36" t="n">
        <f aca="false">ROUND($S661+$T661+$U661+$V661,2)</f>
        <v>0</v>
      </c>
      <c r="X661" s="35" t="str">
        <f aca="false">IF(OR($D661="挂靠代收",$D661="我方收款"),COUNTIFS($D$5:$D661,"挂靠代收")+COUNTIFS($D$5:$D661,"我方收款"),"")</f>
        <v/>
      </c>
      <c r="Y661" s="35"/>
      <c r="Z661" s="21" t="s">
        <v>111</v>
      </c>
    </row>
    <row r="662" customFormat="false" ht="15.75" hidden="false" customHeight="true" outlineLevel="0" collapsed="false">
      <c r="A662" s="32" t="str">
        <f aca="false">IF($B662="","",ROW()-4)</f>
        <v/>
      </c>
      <c r="B662" s="26"/>
      <c r="C662" s="24"/>
      <c r="D662" s="21"/>
      <c r="E662" s="21"/>
      <c r="F662" s="21"/>
      <c r="G662" s="21"/>
      <c r="H662" s="27"/>
      <c r="I662" s="23" t="str">
        <f aca="false">IF($D662&lt;&gt;"销项开票","",IF($N662="一级",IF(IFERROR(INDEX(项目档案!$E$6:$E$255,MATCH($C662,项目档案!$A$6:$A$255,0)),"")="",N(IFERROR(INDEX(单位档案!$D$6:$D$35,MATCH($E662,单位档案!$A$6:$A$35,0)),"")),IFERROR(INDEX(项目档案!$E$6:$E$255,MATCH($C662,项目档案!$A$6:$A$255,0)),"")),IF($N662="二级",IF(IFERROR(INDEX(项目档案!$G$6:$G$255,MATCH($C662,项目档案!$A$6:$A$255,0)),"")="",N(IFERROR(INDEX(单位档案!$D$6:$D$35,MATCH($E662,单位档案!$A$6:$A$35,0)),"")),IFERROR(INDEX(项目档案!$G$6:$G$255,MATCH($C662,项目档案!$A$6:$A$255,0)),"")),N(IFERROR(INDEX(单位档案!$D$6:$D$35,MATCH($E662,单位档案!$A$6:$A$35,0)),"")))))</f>
        <v/>
      </c>
      <c r="J662" s="22"/>
      <c r="K662" s="22"/>
      <c r="L662" s="33" t="str">
        <f aca="false">IF($B662="","",IF(NOT(ISNUMBER($B662)),"日期格式不对",IF($C662="","未选项目编号",IF(LEFT($M662,1)="⚠","项目编号不存在",IF($D662="","未选业务类型",IF($E662="","未选开票/付款方",IF(ISNA(MATCH($E662,单位档案!$A$6:$A$35,0)),"开票方不在单位档案",IF($F662="","未选收票/收款方",IF(ISNA(MATCH($F662,单位档案!$A$6:$A$35,0)),"收款方不在单位档案",IF(NOT(ISNUMBER($H662)),"金额须为数字",IF(AND($D662="销项开票",$N662="—"),"链条待确认","√")))))))))))</f>
        <v/>
      </c>
      <c r="M662" s="34" t="str">
        <f aca="false">IF($C662="","",IFERROR(INDEX(项目档案!$B$6:$B$255,MATCH($C662,项目档案!$A$6:$A$255,0)),"⚠项目编号不存在"))</f>
        <v/>
      </c>
      <c r="N662" s="35" t="str">
        <f aca="false">IF($E662="","",IF($E662=IFERROR(INDEX(项目档案!$D$6:$D$255,MATCH($C662,项目档案!$A$6:$A$255,0)),""),"一级",IF($E662=IFERROR(INDEX(项目档案!$F$6:$F$255,MATCH($C662,项目档案!$A$6:$A$255,0)),""),"二级",IF($E662=IFERROR(INDEX(项目档案!$H$6:$H$255,MATCH($C662,项目档案!$A$6:$A$255,0)),""),"我方","—"))))</f>
        <v/>
      </c>
      <c r="O662" s="36" t="n">
        <f aca="false">IF($D662&lt;&gt;"销项开票",0,ROUND(N($H662)*N($I662),2))</f>
        <v>0</v>
      </c>
      <c r="P662" s="36" t="n">
        <f aca="false">IF($D662&lt;&gt;"销项开票",0,ROUND(N($H662)-$O662,2))</f>
        <v>0</v>
      </c>
      <c r="Q662" s="37" t="str">
        <f aca="false">IF($E662="","",N(IFERROR(INDEX(单位档案!$E$6:$E$35,MATCH($E662,单位档案!$A$6:$A$35,0)),"")))</f>
        <v/>
      </c>
      <c r="R662" s="37" t="str">
        <f aca="false">IF($E662="","",N(IFERROR(INDEX(单位档案!$F$6:$F$35,MATCH($E662,单位档案!$A$6:$A$35,0)),"")))</f>
        <v/>
      </c>
      <c r="S662" s="36" t="n">
        <f aca="false">IF(OR($D662&lt;&gt;"销项开票",IFERROR(INDEX(单位档案!$G$6:$G$35,MATCH($E662,单位档案!$A$6:$A$35,0)),"")&lt;&gt;"是",N($Q662)=0),0,IF(IFERROR(INDEX(单位档案!$H$6:$H$35,MATCH($E662,单位档案!$A$6:$A$35,0)),"")="税差法",ROUND(N($H662)/(1+$Q662)*$Q662-IF(N($R662)=0,0,$P662/(1+$R662)*$R662),2),ROUND(N($H662)/(1+$Q662)*$Q662,2)))</f>
        <v>0</v>
      </c>
      <c r="T662" s="36" t="n">
        <f aca="false">ROUND($S662*N(IFERROR(INDEX(单位档案!$J$6:$J$35,MATCH($E662,单位档案!$A$6:$A$35,0)),"")),2)</f>
        <v>0</v>
      </c>
      <c r="U662" s="36" t="n">
        <f aca="false">IF($D662&lt;&gt;"销项开票",0,ROUND(N($H662)*N(IFERROR(INDEX(单位档案!$K$6:$K$35,MATCH($E662,单位档案!$A$6:$A$35,0)),"")),2))</f>
        <v>0</v>
      </c>
      <c r="V662" s="36" t="n">
        <f aca="false">IF(OR($D662&lt;&gt;"销项开票",N($Q662)=0),0,ROUND(N($H662)/(1+$Q662)*N(IFERROR(INDEX(单位档案!$L$6:$L$35,MATCH($E662,单位档案!$A$6:$A$35,0)),"")),2))</f>
        <v>0</v>
      </c>
      <c r="W662" s="36" t="n">
        <f aca="false">ROUND($S662+$T662+$U662+$V662,2)</f>
        <v>0</v>
      </c>
      <c r="X662" s="35" t="str">
        <f aca="false">IF(OR($D662="挂靠代收",$D662="我方收款"),COUNTIFS($D$5:$D662,"挂靠代收")+COUNTIFS($D$5:$D662,"我方收款"),"")</f>
        <v/>
      </c>
      <c r="Y662" s="35"/>
      <c r="Z662" s="21" t="s">
        <v>111</v>
      </c>
    </row>
    <row r="663" customFormat="false" ht="15.75" hidden="false" customHeight="true" outlineLevel="0" collapsed="false">
      <c r="A663" s="32" t="str">
        <f aca="false">IF($B663="","",ROW()-4)</f>
        <v/>
      </c>
      <c r="B663" s="26"/>
      <c r="C663" s="24"/>
      <c r="D663" s="21"/>
      <c r="E663" s="21"/>
      <c r="F663" s="21"/>
      <c r="G663" s="21"/>
      <c r="H663" s="27"/>
      <c r="I663" s="23" t="str">
        <f aca="false">IF($D663&lt;&gt;"销项开票","",IF($N663="一级",IF(IFERROR(INDEX(项目档案!$E$6:$E$255,MATCH($C663,项目档案!$A$6:$A$255,0)),"")="",N(IFERROR(INDEX(单位档案!$D$6:$D$35,MATCH($E663,单位档案!$A$6:$A$35,0)),"")),IFERROR(INDEX(项目档案!$E$6:$E$255,MATCH($C663,项目档案!$A$6:$A$255,0)),"")),IF($N663="二级",IF(IFERROR(INDEX(项目档案!$G$6:$G$255,MATCH($C663,项目档案!$A$6:$A$255,0)),"")="",N(IFERROR(INDEX(单位档案!$D$6:$D$35,MATCH($E663,单位档案!$A$6:$A$35,0)),"")),IFERROR(INDEX(项目档案!$G$6:$G$255,MATCH($C663,项目档案!$A$6:$A$255,0)),"")),N(IFERROR(INDEX(单位档案!$D$6:$D$35,MATCH($E663,单位档案!$A$6:$A$35,0)),"")))))</f>
        <v/>
      </c>
      <c r="J663" s="22"/>
      <c r="K663" s="22"/>
      <c r="L663" s="33" t="str">
        <f aca="false">IF($B663="","",IF(NOT(ISNUMBER($B663)),"日期格式不对",IF($C663="","未选项目编号",IF(LEFT($M663,1)="⚠","项目编号不存在",IF($D663="","未选业务类型",IF($E663="","未选开票/付款方",IF(ISNA(MATCH($E663,单位档案!$A$6:$A$35,0)),"开票方不在单位档案",IF($F663="","未选收票/收款方",IF(ISNA(MATCH($F663,单位档案!$A$6:$A$35,0)),"收款方不在单位档案",IF(NOT(ISNUMBER($H663)),"金额须为数字",IF(AND($D663="销项开票",$N663="—"),"链条待确认","√")))))))))))</f>
        <v/>
      </c>
      <c r="M663" s="34" t="str">
        <f aca="false">IF($C663="","",IFERROR(INDEX(项目档案!$B$6:$B$255,MATCH($C663,项目档案!$A$6:$A$255,0)),"⚠项目编号不存在"))</f>
        <v/>
      </c>
      <c r="N663" s="35" t="str">
        <f aca="false">IF($E663="","",IF($E663=IFERROR(INDEX(项目档案!$D$6:$D$255,MATCH($C663,项目档案!$A$6:$A$255,0)),""),"一级",IF($E663=IFERROR(INDEX(项目档案!$F$6:$F$255,MATCH($C663,项目档案!$A$6:$A$255,0)),""),"二级",IF($E663=IFERROR(INDEX(项目档案!$H$6:$H$255,MATCH($C663,项目档案!$A$6:$A$255,0)),""),"我方","—"))))</f>
        <v/>
      </c>
      <c r="O663" s="36" t="n">
        <f aca="false">IF($D663&lt;&gt;"销项开票",0,ROUND(N($H663)*N($I663),2))</f>
        <v>0</v>
      </c>
      <c r="P663" s="36" t="n">
        <f aca="false">IF($D663&lt;&gt;"销项开票",0,ROUND(N($H663)-$O663,2))</f>
        <v>0</v>
      </c>
      <c r="Q663" s="37" t="str">
        <f aca="false">IF($E663="","",N(IFERROR(INDEX(单位档案!$E$6:$E$35,MATCH($E663,单位档案!$A$6:$A$35,0)),"")))</f>
        <v/>
      </c>
      <c r="R663" s="37" t="str">
        <f aca="false">IF($E663="","",N(IFERROR(INDEX(单位档案!$F$6:$F$35,MATCH($E663,单位档案!$A$6:$A$35,0)),"")))</f>
        <v/>
      </c>
      <c r="S663" s="36" t="n">
        <f aca="false">IF(OR($D663&lt;&gt;"销项开票",IFERROR(INDEX(单位档案!$G$6:$G$35,MATCH($E663,单位档案!$A$6:$A$35,0)),"")&lt;&gt;"是",N($Q663)=0),0,IF(IFERROR(INDEX(单位档案!$H$6:$H$35,MATCH($E663,单位档案!$A$6:$A$35,0)),"")="税差法",ROUND(N($H663)/(1+$Q663)*$Q663-IF(N($R663)=0,0,$P663/(1+$R663)*$R663),2),ROUND(N($H663)/(1+$Q663)*$Q663,2)))</f>
        <v>0</v>
      </c>
      <c r="T663" s="36" t="n">
        <f aca="false">ROUND($S663*N(IFERROR(INDEX(单位档案!$J$6:$J$35,MATCH($E663,单位档案!$A$6:$A$35,0)),"")),2)</f>
        <v>0</v>
      </c>
      <c r="U663" s="36" t="n">
        <f aca="false">IF($D663&lt;&gt;"销项开票",0,ROUND(N($H663)*N(IFERROR(INDEX(单位档案!$K$6:$K$35,MATCH($E663,单位档案!$A$6:$A$35,0)),"")),2))</f>
        <v>0</v>
      </c>
      <c r="V663" s="36" t="n">
        <f aca="false">IF(OR($D663&lt;&gt;"销项开票",N($Q663)=0),0,ROUND(N($H663)/(1+$Q663)*N(IFERROR(INDEX(单位档案!$L$6:$L$35,MATCH($E663,单位档案!$A$6:$A$35,0)),"")),2))</f>
        <v>0</v>
      </c>
      <c r="W663" s="36" t="n">
        <f aca="false">ROUND($S663+$T663+$U663+$V663,2)</f>
        <v>0</v>
      </c>
      <c r="X663" s="35" t="str">
        <f aca="false">IF(OR($D663="挂靠代收",$D663="我方收款"),COUNTIFS($D$5:$D663,"挂靠代收")+COUNTIFS($D$5:$D663,"我方收款"),"")</f>
        <v/>
      </c>
      <c r="Y663" s="35"/>
      <c r="Z663" s="21" t="s">
        <v>111</v>
      </c>
    </row>
    <row r="664" customFormat="false" ht="15.75" hidden="false" customHeight="true" outlineLevel="0" collapsed="false">
      <c r="A664" s="32" t="str">
        <f aca="false">IF($B664="","",ROW()-4)</f>
        <v/>
      </c>
      <c r="B664" s="26"/>
      <c r="C664" s="24"/>
      <c r="D664" s="21"/>
      <c r="E664" s="21"/>
      <c r="F664" s="21"/>
      <c r="G664" s="21"/>
      <c r="H664" s="27"/>
      <c r="I664" s="23" t="str">
        <f aca="false">IF($D664&lt;&gt;"销项开票","",IF($N664="一级",IF(IFERROR(INDEX(项目档案!$E$6:$E$255,MATCH($C664,项目档案!$A$6:$A$255,0)),"")="",N(IFERROR(INDEX(单位档案!$D$6:$D$35,MATCH($E664,单位档案!$A$6:$A$35,0)),"")),IFERROR(INDEX(项目档案!$E$6:$E$255,MATCH($C664,项目档案!$A$6:$A$255,0)),"")),IF($N664="二级",IF(IFERROR(INDEX(项目档案!$G$6:$G$255,MATCH($C664,项目档案!$A$6:$A$255,0)),"")="",N(IFERROR(INDEX(单位档案!$D$6:$D$35,MATCH($E664,单位档案!$A$6:$A$35,0)),"")),IFERROR(INDEX(项目档案!$G$6:$G$255,MATCH($C664,项目档案!$A$6:$A$255,0)),"")),N(IFERROR(INDEX(单位档案!$D$6:$D$35,MATCH($E664,单位档案!$A$6:$A$35,0)),"")))))</f>
        <v/>
      </c>
      <c r="J664" s="22"/>
      <c r="K664" s="22"/>
      <c r="L664" s="33" t="str">
        <f aca="false">IF($B664="","",IF(NOT(ISNUMBER($B664)),"日期格式不对",IF($C664="","未选项目编号",IF(LEFT($M664,1)="⚠","项目编号不存在",IF($D664="","未选业务类型",IF($E664="","未选开票/付款方",IF(ISNA(MATCH($E664,单位档案!$A$6:$A$35,0)),"开票方不在单位档案",IF($F664="","未选收票/收款方",IF(ISNA(MATCH($F664,单位档案!$A$6:$A$35,0)),"收款方不在单位档案",IF(NOT(ISNUMBER($H664)),"金额须为数字",IF(AND($D664="销项开票",$N664="—"),"链条待确认","√")))))))))))</f>
        <v/>
      </c>
      <c r="M664" s="34" t="str">
        <f aca="false">IF($C664="","",IFERROR(INDEX(项目档案!$B$6:$B$255,MATCH($C664,项目档案!$A$6:$A$255,0)),"⚠项目编号不存在"))</f>
        <v/>
      </c>
      <c r="N664" s="35" t="str">
        <f aca="false">IF($E664="","",IF($E664=IFERROR(INDEX(项目档案!$D$6:$D$255,MATCH($C664,项目档案!$A$6:$A$255,0)),""),"一级",IF($E664=IFERROR(INDEX(项目档案!$F$6:$F$255,MATCH($C664,项目档案!$A$6:$A$255,0)),""),"二级",IF($E664=IFERROR(INDEX(项目档案!$H$6:$H$255,MATCH($C664,项目档案!$A$6:$A$255,0)),""),"我方","—"))))</f>
        <v/>
      </c>
      <c r="O664" s="36" t="n">
        <f aca="false">IF($D664&lt;&gt;"销项开票",0,ROUND(N($H664)*N($I664),2))</f>
        <v>0</v>
      </c>
      <c r="P664" s="36" t="n">
        <f aca="false">IF($D664&lt;&gt;"销项开票",0,ROUND(N($H664)-$O664,2))</f>
        <v>0</v>
      </c>
      <c r="Q664" s="37" t="str">
        <f aca="false">IF($E664="","",N(IFERROR(INDEX(单位档案!$E$6:$E$35,MATCH($E664,单位档案!$A$6:$A$35,0)),"")))</f>
        <v/>
      </c>
      <c r="R664" s="37" t="str">
        <f aca="false">IF($E664="","",N(IFERROR(INDEX(单位档案!$F$6:$F$35,MATCH($E664,单位档案!$A$6:$A$35,0)),"")))</f>
        <v/>
      </c>
      <c r="S664" s="36" t="n">
        <f aca="false">IF(OR($D664&lt;&gt;"销项开票",IFERROR(INDEX(单位档案!$G$6:$G$35,MATCH($E664,单位档案!$A$6:$A$35,0)),"")&lt;&gt;"是",N($Q664)=0),0,IF(IFERROR(INDEX(单位档案!$H$6:$H$35,MATCH($E664,单位档案!$A$6:$A$35,0)),"")="税差法",ROUND(N($H664)/(1+$Q664)*$Q664-IF(N($R664)=0,0,$P664/(1+$R664)*$R664),2),ROUND(N($H664)/(1+$Q664)*$Q664,2)))</f>
        <v>0</v>
      </c>
      <c r="T664" s="36" t="n">
        <f aca="false">ROUND($S664*N(IFERROR(INDEX(单位档案!$J$6:$J$35,MATCH($E664,单位档案!$A$6:$A$35,0)),"")),2)</f>
        <v>0</v>
      </c>
      <c r="U664" s="36" t="n">
        <f aca="false">IF($D664&lt;&gt;"销项开票",0,ROUND(N($H664)*N(IFERROR(INDEX(单位档案!$K$6:$K$35,MATCH($E664,单位档案!$A$6:$A$35,0)),"")),2))</f>
        <v>0</v>
      </c>
      <c r="V664" s="36" t="n">
        <f aca="false">IF(OR($D664&lt;&gt;"销项开票",N($Q664)=0),0,ROUND(N($H664)/(1+$Q664)*N(IFERROR(INDEX(单位档案!$L$6:$L$35,MATCH($E664,单位档案!$A$6:$A$35,0)),"")),2))</f>
        <v>0</v>
      </c>
      <c r="W664" s="36" t="n">
        <f aca="false">ROUND($S664+$T664+$U664+$V664,2)</f>
        <v>0</v>
      </c>
      <c r="X664" s="35" t="str">
        <f aca="false">IF(OR($D664="挂靠代收",$D664="我方收款"),COUNTIFS($D$5:$D664,"挂靠代收")+COUNTIFS($D$5:$D664,"我方收款"),"")</f>
        <v/>
      </c>
      <c r="Y664" s="35"/>
      <c r="Z664" s="21" t="s">
        <v>111</v>
      </c>
    </row>
    <row r="665" customFormat="false" ht="15.75" hidden="false" customHeight="true" outlineLevel="0" collapsed="false">
      <c r="A665" s="32" t="str">
        <f aca="false">IF($B665="","",ROW()-4)</f>
        <v/>
      </c>
      <c r="B665" s="26"/>
      <c r="C665" s="24"/>
      <c r="D665" s="21"/>
      <c r="E665" s="21"/>
      <c r="F665" s="21"/>
      <c r="G665" s="21"/>
      <c r="H665" s="27"/>
      <c r="I665" s="23" t="str">
        <f aca="false">IF($D665&lt;&gt;"销项开票","",IF($N665="一级",IF(IFERROR(INDEX(项目档案!$E$6:$E$255,MATCH($C665,项目档案!$A$6:$A$255,0)),"")="",N(IFERROR(INDEX(单位档案!$D$6:$D$35,MATCH($E665,单位档案!$A$6:$A$35,0)),"")),IFERROR(INDEX(项目档案!$E$6:$E$255,MATCH($C665,项目档案!$A$6:$A$255,0)),"")),IF($N665="二级",IF(IFERROR(INDEX(项目档案!$G$6:$G$255,MATCH($C665,项目档案!$A$6:$A$255,0)),"")="",N(IFERROR(INDEX(单位档案!$D$6:$D$35,MATCH($E665,单位档案!$A$6:$A$35,0)),"")),IFERROR(INDEX(项目档案!$G$6:$G$255,MATCH($C665,项目档案!$A$6:$A$255,0)),"")),N(IFERROR(INDEX(单位档案!$D$6:$D$35,MATCH($E665,单位档案!$A$6:$A$35,0)),"")))))</f>
        <v/>
      </c>
      <c r="J665" s="22"/>
      <c r="K665" s="22"/>
      <c r="L665" s="33" t="str">
        <f aca="false">IF($B665="","",IF(NOT(ISNUMBER($B665)),"日期格式不对",IF($C665="","未选项目编号",IF(LEFT($M665,1)="⚠","项目编号不存在",IF($D665="","未选业务类型",IF($E665="","未选开票/付款方",IF(ISNA(MATCH($E665,单位档案!$A$6:$A$35,0)),"开票方不在单位档案",IF($F665="","未选收票/收款方",IF(ISNA(MATCH($F665,单位档案!$A$6:$A$35,0)),"收款方不在单位档案",IF(NOT(ISNUMBER($H665)),"金额须为数字",IF(AND($D665="销项开票",$N665="—"),"链条待确认","√")))))))))))</f>
        <v/>
      </c>
      <c r="M665" s="34" t="str">
        <f aca="false">IF($C665="","",IFERROR(INDEX(项目档案!$B$6:$B$255,MATCH($C665,项目档案!$A$6:$A$255,0)),"⚠项目编号不存在"))</f>
        <v/>
      </c>
      <c r="N665" s="35" t="str">
        <f aca="false">IF($E665="","",IF($E665=IFERROR(INDEX(项目档案!$D$6:$D$255,MATCH($C665,项目档案!$A$6:$A$255,0)),""),"一级",IF($E665=IFERROR(INDEX(项目档案!$F$6:$F$255,MATCH($C665,项目档案!$A$6:$A$255,0)),""),"二级",IF($E665=IFERROR(INDEX(项目档案!$H$6:$H$255,MATCH($C665,项目档案!$A$6:$A$255,0)),""),"我方","—"))))</f>
        <v/>
      </c>
      <c r="O665" s="36" t="n">
        <f aca="false">IF($D665&lt;&gt;"销项开票",0,ROUND(N($H665)*N($I665),2))</f>
        <v>0</v>
      </c>
      <c r="P665" s="36" t="n">
        <f aca="false">IF($D665&lt;&gt;"销项开票",0,ROUND(N($H665)-$O665,2))</f>
        <v>0</v>
      </c>
      <c r="Q665" s="37" t="str">
        <f aca="false">IF($E665="","",N(IFERROR(INDEX(单位档案!$E$6:$E$35,MATCH($E665,单位档案!$A$6:$A$35,0)),"")))</f>
        <v/>
      </c>
      <c r="R665" s="37" t="str">
        <f aca="false">IF($E665="","",N(IFERROR(INDEX(单位档案!$F$6:$F$35,MATCH($E665,单位档案!$A$6:$A$35,0)),"")))</f>
        <v/>
      </c>
      <c r="S665" s="36" t="n">
        <f aca="false">IF(OR($D665&lt;&gt;"销项开票",IFERROR(INDEX(单位档案!$G$6:$G$35,MATCH($E665,单位档案!$A$6:$A$35,0)),"")&lt;&gt;"是",N($Q665)=0),0,IF(IFERROR(INDEX(单位档案!$H$6:$H$35,MATCH($E665,单位档案!$A$6:$A$35,0)),"")="税差法",ROUND(N($H665)/(1+$Q665)*$Q665-IF(N($R665)=0,0,$P665/(1+$R665)*$R665),2),ROUND(N($H665)/(1+$Q665)*$Q665,2)))</f>
        <v>0</v>
      </c>
      <c r="T665" s="36" t="n">
        <f aca="false">ROUND($S665*N(IFERROR(INDEX(单位档案!$J$6:$J$35,MATCH($E665,单位档案!$A$6:$A$35,0)),"")),2)</f>
        <v>0</v>
      </c>
      <c r="U665" s="36" t="n">
        <f aca="false">IF($D665&lt;&gt;"销项开票",0,ROUND(N($H665)*N(IFERROR(INDEX(单位档案!$K$6:$K$35,MATCH($E665,单位档案!$A$6:$A$35,0)),"")),2))</f>
        <v>0</v>
      </c>
      <c r="V665" s="36" t="n">
        <f aca="false">IF(OR($D665&lt;&gt;"销项开票",N($Q665)=0),0,ROUND(N($H665)/(1+$Q665)*N(IFERROR(INDEX(单位档案!$L$6:$L$35,MATCH($E665,单位档案!$A$6:$A$35,0)),"")),2))</f>
        <v>0</v>
      </c>
      <c r="W665" s="36" t="n">
        <f aca="false">ROUND($S665+$T665+$U665+$V665,2)</f>
        <v>0</v>
      </c>
      <c r="X665" s="35" t="str">
        <f aca="false">IF(OR($D665="挂靠代收",$D665="我方收款"),COUNTIFS($D$5:$D665,"挂靠代收")+COUNTIFS($D$5:$D665,"我方收款"),"")</f>
        <v/>
      </c>
      <c r="Y665" s="35"/>
      <c r="Z665" s="21" t="s">
        <v>111</v>
      </c>
    </row>
    <row r="666" customFormat="false" ht="15.75" hidden="false" customHeight="true" outlineLevel="0" collapsed="false">
      <c r="A666" s="32" t="str">
        <f aca="false">IF($B666="","",ROW()-4)</f>
        <v/>
      </c>
      <c r="B666" s="26"/>
      <c r="C666" s="24"/>
      <c r="D666" s="21"/>
      <c r="E666" s="21"/>
      <c r="F666" s="21"/>
      <c r="G666" s="21"/>
      <c r="H666" s="27"/>
      <c r="I666" s="23" t="str">
        <f aca="false">IF($D666&lt;&gt;"销项开票","",IF($N666="一级",IF(IFERROR(INDEX(项目档案!$E$6:$E$255,MATCH($C666,项目档案!$A$6:$A$255,0)),"")="",N(IFERROR(INDEX(单位档案!$D$6:$D$35,MATCH($E666,单位档案!$A$6:$A$35,0)),"")),IFERROR(INDEX(项目档案!$E$6:$E$255,MATCH($C666,项目档案!$A$6:$A$255,0)),"")),IF($N666="二级",IF(IFERROR(INDEX(项目档案!$G$6:$G$255,MATCH($C666,项目档案!$A$6:$A$255,0)),"")="",N(IFERROR(INDEX(单位档案!$D$6:$D$35,MATCH($E666,单位档案!$A$6:$A$35,0)),"")),IFERROR(INDEX(项目档案!$G$6:$G$255,MATCH($C666,项目档案!$A$6:$A$255,0)),"")),N(IFERROR(INDEX(单位档案!$D$6:$D$35,MATCH($E666,单位档案!$A$6:$A$35,0)),"")))))</f>
        <v/>
      </c>
      <c r="J666" s="22"/>
      <c r="K666" s="22"/>
      <c r="L666" s="33" t="str">
        <f aca="false">IF($B666="","",IF(NOT(ISNUMBER($B666)),"日期格式不对",IF($C666="","未选项目编号",IF(LEFT($M666,1)="⚠","项目编号不存在",IF($D666="","未选业务类型",IF($E666="","未选开票/付款方",IF(ISNA(MATCH($E666,单位档案!$A$6:$A$35,0)),"开票方不在单位档案",IF($F666="","未选收票/收款方",IF(ISNA(MATCH($F666,单位档案!$A$6:$A$35,0)),"收款方不在单位档案",IF(NOT(ISNUMBER($H666)),"金额须为数字",IF(AND($D666="销项开票",$N666="—"),"链条待确认","√")))))))))))</f>
        <v/>
      </c>
      <c r="M666" s="34" t="str">
        <f aca="false">IF($C666="","",IFERROR(INDEX(项目档案!$B$6:$B$255,MATCH($C666,项目档案!$A$6:$A$255,0)),"⚠项目编号不存在"))</f>
        <v/>
      </c>
      <c r="N666" s="35" t="str">
        <f aca="false">IF($E666="","",IF($E666=IFERROR(INDEX(项目档案!$D$6:$D$255,MATCH($C666,项目档案!$A$6:$A$255,0)),""),"一级",IF($E666=IFERROR(INDEX(项目档案!$F$6:$F$255,MATCH($C666,项目档案!$A$6:$A$255,0)),""),"二级",IF($E666=IFERROR(INDEX(项目档案!$H$6:$H$255,MATCH($C666,项目档案!$A$6:$A$255,0)),""),"我方","—"))))</f>
        <v/>
      </c>
      <c r="O666" s="36" t="n">
        <f aca="false">IF($D666&lt;&gt;"销项开票",0,ROUND(N($H666)*N($I666),2))</f>
        <v>0</v>
      </c>
      <c r="P666" s="36" t="n">
        <f aca="false">IF($D666&lt;&gt;"销项开票",0,ROUND(N($H666)-$O666,2))</f>
        <v>0</v>
      </c>
      <c r="Q666" s="37" t="str">
        <f aca="false">IF($E666="","",N(IFERROR(INDEX(单位档案!$E$6:$E$35,MATCH($E666,单位档案!$A$6:$A$35,0)),"")))</f>
        <v/>
      </c>
      <c r="R666" s="37" t="str">
        <f aca="false">IF($E666="","",N(IFERROR(INDEX(单位档案!$F$6:$F$35,MATCH($E666,单位档案!$A$6:$A$35,0)),"")))</f>
        <v/>
      </c>
      <c r="S666" s="36" t="n">
        <f aca="false">IF(OR($D666&lt;&gt;"销项开票",IFERROR(INDEX(单位档案!$G$6:$G$35,MATCH($E666,单位档案!$A$6:$A$35,0)),"")&lt;&gt;"是",N($Q666)=0),0,IF(IFERROR(INDEX(单位档案!$H$6:$H$35,MATCH($E666,单位档案!$A$6:$A$35,0)),"")="税差法",ROUND(N($H666)/(1+$Q666)*$Q666-IF(N($R666)=0,0,$P666/(1+$R666)*$R666),2),ROUND(N($H666)/(1+$Q666)*$Q666,2)))</f>
        <v>0</v>
      </c>
      <c r="T666" s="36" t="n">
        <f aca="false">ROUND($S666*N(IFERROR(INDEX(单位档案!$J$6:$J$35,MATCH($E666,单位档案!$A$6:$A$35,0)),"")),2)</f>
        <v>0</v>
      </c>
      <c r="U666" s="36" t="n">
        <f aca="false">IF($D666&lt;&gt;"销项开票",0,ROUND(N($H666)*N(IFERROR(INDEX(单位档案!$K$6:$K$35,MATCH($E666,单位档案!$A$6:$A$35,0)),"")),2))</f>
        <v>0</v>
      </c>
      <c r="V666" s="36" t="n">
        <f aca="false">IF(OR($D666&lt;&gt;"销项开票",N($Q666)=0),0,ROUND(N($H666)/(1+$Q666)*N(IFERROR(INDEX(单位档案!$L$6:$L$35,MATCH($E666,单位档案!$A$6:$A$35,0)),"")),2))</f>
        <v>0</v>
      </c>
      <c r="W666" s="36" t="n">
        <f aca="false">ROUND($S666+$T666+$U666+$V666,2)</f>
        <v>0</v>
      </c>
      <c r="X666" s="35" t="str">
        <f aca="false">IF(OR($D666="挂靠代收",$D666="我方收款"),COUNTIFS($D$5:$D666,"挂靠代收")+COUNTIFS($D$5:$D666,"我方收款"),"")</f>
        <v/>
      </c>
      <c r="Y666" s="35"/>
      <c r="Z666" s="21" t="s">
        <v>111</v>
      </c>
    </row>
    <row r="667" customFormat="false" ht="15.75" hidden="false" customHeight="true" outlineLevel="0" collapsed="false">
      <c r="A667" s="32" t="str">
        <f aca="false">IF($B667="","",ROW()-4)</f>
        <v/>
      </c>
      <c r="B667" s="26"/>
      <c r="C667" s="24"/>
      <c r="D667" s="21"/>
      <c r="E667" s="21"/>
      <c r="F667" s="21"/>
      <c r="G667" s="21"/>
      <c r="H667" s="27"/>
      <c r="I667" s="23" t="str">
        <f aca="false">IF($D667&lt;&gt;"销项开票","",IF($N667="一级",IF(IFERROR(INDEX(项目档案!$E$6:$E$255,MATCH($C667,项目档案!$A$6:$A$255,0)),"")="",N(IFERROR(INDEX(单位档案!$D$6:$D$35,MATCH($E667,单位档案!$A$6:$A$35,0)),"")),IFERROR(INDEX(项目档案!$E$6:$E$255,MATCH($C667,项目档案!$A$6:$A$255,0)),"")),IF($N667="二级",IF(IFERROR(INDEX(项目档案!$G$6:$G$255,MATCH($C667,项目档案!$A$6:$A$255,0)),"")="",N(IFERROR(INDEX(单位档案!$D$6:$D$35,MATCH($E667,单位档案!$A$6:$A$35,0)),"")),IFERROR(INDEX(项目档案!$G$6:$G$255,MATCH($C667,项目档案!$A$6:$A$255,0)),"")),N(IFERROR(INDEX(单位档案!$D$6:$D$35,MATCH($E667,单位档案!$A$6:$A$35,0)),"")))))</f>
        <v/>
      </c>
      <c r="J667" s="22"/>
      <c r="K667" s="22"/>
      <c r="L667" s="33" t="str">
        <f aca="false">IF($B667="","",IF(NOT(ISNUMBER($B667)),"日期格式不对",IF($C667="","未选项目编号",IF(LEFT($M667,1)="⚠","项目编号不存在",IF($D667="","未选业务类型",IF($E667="","未选开票/付款方",IF(ISNA(MATCH($E667,单位档案!$A$6:$A$35,0)),"开票方不在单位档案",IF($F667="","未选收票/收款方",IF(ISNA(MATCH($F667,单位档案!$A$6:$A$35,0)),"收款方不在单位档案",IF(NOT(ISNUMBER($H667)),"金额须为数字",IF(AND($D667="销项开票",$N667="—"),"链条待确认","√")))))))))))</f>
        <v/>
      </c>
      <c r="M667" s="34" t="str">
        <f aca="false">IF($C667="","",IFERROR(INDEX(项目档案!$B$6:$B$255,MATCH($C667,项目档案!$A$6:$A$255,0)),"⚠项目编号不存在"))</f>
        <v/>
      </c>
      <c r="N667" s="35" t="str">
        <f aca="false">IF($E667="","",IF($E667=IFERROR(INDEX(项目档案!$D$6:$D$255,MATCH($C667,项目档案!$A$6:$A$255,0)),""),"一级",IF($E667=IFERROR(INDEX(项目档案!$F$6:$F$255,MATCH($C667,项目档案!$A$6:$A$255,0)),""),"二级",IF($E667=IFERROR(INDEX(项目档案!$H$6:$H$255,MATCH($C667,项目档案!$A$6:$A$255,0)),""),"我方","—"))))</f>
        <v/>
      </c>
      <c r="O667" s="36" t="n">
        <f aca="false">IF($D667&lt;&gt;"销项开票",0,ROUND(N($H667)*N($I667),2))</f>
        <v>0</v>
      </c>
      <c r="P667" s="36" t="n">
        <f aca="false">IF($D667&lt;&gt;"销项开票",0,ROUND(N($H667)-$O667,2))</f>
        <v>0</v>
      </c>
      <c r="Q667" s="37" t="str">
        <f aca="false">IF($E667="","",N(IFERROR(INDEX(单位档案!$E$6:$E$35,MATCH($E667,单位档案!$A$6:$A$35,0)),"")))</f>
        <v/>
      </c>
      <c r="R667" s="37" t="str">
        <f aca="false">IF($E667="","",N(IFERROR(INDEX(单位档案!$F$6:$F$35,MATCH($E667,单位档案!$A$6:$A$35,0)),"")))</f>
        <v/>
      </c>
      <c r="S667" s="36" t="n">
        <f aca="false">IF(OR($D667&lt;&gt;"销项开票",IFERROR(INDEX(单位档案!$G$6:$G$35,MATCH($E667,单位档案!$A$6:$A$35,0)),"")&lt;&gt;"是",N($Q667)=0),0,IF(IFERROR(INDEX(单位档案!$H$6:$H$35,MATCH($E667,单位档案!$A$6:$A$35,0)),"")="税差法",ROUND(N($H667)/(1+$Q667)*$Q667-IF(N($R667)=0,0,$P667/(1+$R667)*$R667),2),ROUND(N($H667)/(1+$Q667)*$Q667,2)))</f>
        <v>0</v>
      </c>
      <c r="T667" s="36" t="n">
        <f aca="false">ROUND($S667*N(IFERROR(INDEX(单位档案!$J$6:$J$35,MATCH($E667,单位档案!$A$6:$A$35,0)),"")),2)</f>
        <v>0</v>
      </c>
      <c r="U667" s="36" t="n">
        <f aca="false">IF($D667&lt;&gt;"销项开票",0,ROUND(N($H667)*N(IFERROR(INDEX(单位档案!$K$6:$K$35,MATCH($E667,单位档案!$A$6:$A$35,0)),"")),2))</f>
        <v>0</v>
      </c>
      <c r="V667" s="36" t="n">
        <f aca="false">IF(OR($D667&lt;&gt;"销项开票",N($Q667)=0),0,ROUND(N($H667)/(1+$Q667)*N(IFERROR(INDEX(单位档案!$L$6:$L$35,MATCH($E667,单位档案!$A$6:$A$35,0)),"")),2))</f>
        <v>0</v>
      </c>
      <c r="W667" s="36" t="n">
        <f aca="false">ROUND($S667+$T667+$U667+$V667,2)</f>
        <v>0</v>
      </c>
      <c r="X667" s="35" t="str">
        <f aca="false">IF(OR($D667="挂靠代收",$D667="我方收款"),COUNTIFS($D$5:$D667,"挂靠代收")+COUNTIFS($D$5:$D667,"我方收款"),"")</f>
        <v/>
      </c>
      <c r="Y667" s="35"/>
      <c r="Z667" s="21" t="s">
        <v>111</v>
      </c>
    </row>
    <row r="668" customFormat="false" ht="15.75" hidden="false" customHeight="true" outlineLevel="0" collapsed="false">
      <c r="A668" s="32" t="str">
        <f aca="false">IF($B668="","",ROW()-4)</f>
        <v/>
      </c>
      <c r="B668" s="26"/>
      <c r="C668" s="24"/>
      <c r="D668" s="21"/>
      <c r="E668" s="21"/>
      <c r="F668" s="21"/>
      <c r="G668" s="21"/>
      <c r="H668" s="27"/>
      <c r="I668" s="23" t="str">
        <f aca="false">IF($D668&lt;&gt;"销项开票","",IF($N668="一级",IF(IFERROR(INDEX(项目档案!$E$6:$E$255,MATCH($C668,项目档案!$A$6:$A$255,0)),"")="",N(IFERROR(INDEX(单位档案!$D$6:$D$35,MATCH($E668,单位档案!$A$6:$A$35,0)),"")),IFERROR(INDEX(项目档案!$E$6:$E$255,MATCH($C668,项目档案!$A$6:$A$255,0)),"")),IF($N668="二级",IF(IFERROR(INDEX(项目档案!$G$6:$G$255,MATCH($C668,项目档案!$A$6:$A$255,0)),"")="",N(IFERROR(INDEX(单位档案!$D$6:$D$35,MATCH($E668,单位档案!$A$6:$A$35,0)),"")),IFERROR(INDEX(项目档案!$G$6:$G$255,MATCH($C668,项目档案!$A$6:$A$255,0)),"")),N(IFERROR(INDEX(单位档案!$D$6:$D$35,MATCH($E668,单位档案!$A$6:$A$35,0)),"")))))</f>
        <v/>
      </c>
      <c r="J668" s="22"/>
      <c r="K668" s="22"/>
      <c r="L668" s="33" t="str">
        <f aca="false">IF($B668="","",IF(NOT(ISNUMBER($B668)),"日期格式不对",IF($C668="","未选项目编号",IF(LEFT($M668,1)="⚠","项目编号不存在",IF($D668="","未选业务类型",IF($E668="","未选开票/付款方",IF(ISNA(MATCH($E668,单位档案!$A$6:$A$35,0)),"开票方不在单位档案",IF($F668="","未选收票/收款方",IF(ISNA(MATCH($F668,单位档案!$A$6:$A$35,0)),"收款方不在单位档案",IF(NOT(ISNUMBER($H668)),"金额须为数字",IF(AND($D668="销项开票",$N668="—"),"链条待确认","√")))))))))))</f>
        <v/>
      </c>
      <c r="M668" s="34" t="str">
        <f aca="false">IF($C668="","",IFERROR(INDEX(项目档案!$B$6:$B$255,MATCH($C668,项目档案!$A$6:$A$255,0)),"⚠项目编号不存在"))</f>
        <v/>
      </c>
      <c r="N668" s="35" t="str">
        <f aca="false">IF($E668="","",IF($E668=IFERROR(INDEX(项目档案!$D$6:$D$255,MATCH($C668,项目档案!$A$6:$A$255,0)),""),"一级",IF($E668=IFERROR(INDEX(项目档案!$F$6:$F$255,MATCH($C668,项目档案!$A$6:$A$255,0)),""),"二级",IF($E668=IFERROR(INDEX(项目档案!$H$6:$H$255,MATCH($C668,项目档案!$A$6:$A$255,0)),""),"我方","—"))))</f>
        <v/>
      </c>
      <c r="O668" s="36" t="n">
        <f aca="false">IF($D668&lt;&gt;"销项开票",0,ROUND(N($H668)*N($I668),2))</f>
        <v>0</v>
      </c>
      <c r="P668" s="36" t="n">
        <f aca="false">IF($D668&lt;&gt;"销项开票",0,ROUND(N($H668)-$O668,2))</f>
        <v>0</v>
      </c>
      <c r="Q668" s="37" t="str">
        <f aca="false">IF($E668="","",N(IFERROR(INDEX(单位档案!$E$6:$E$35,MATCH($E668,单位档案!$A$6:$A$35,0)),"")))</f>
        <v/>
      </c>
      <c r="R668" s="37" t="str">
        <f aca="false">IF($E668="","",N(IFERROR(INDEX(单位档案!$F$6:$F$35,MATCH($E668,单位档案!$A$6:$A$35,0)),"")))</f>
        <v/>
      </c>
      <c r="S668" s="36" t="n">
        <f aca="false">IF(OR($D668&lt;&gt;"销项开票",IFERROR(INDEX(单位档案!$G$6:$G$35,MATCH($E668,单位档案!$A$6:$A$35,0)),"")&lt;&gt;"是",N($Q668)=0),0,IF(IFERROR(INDEX(单位档案!$H$6:$H$35,MATCH($E668,单位档案!$A$6:$A$35,0)),"")="税差法",ROUND(N($H668)/(1+$Q668)*$Q668-IF(N($R668)=0,0,$P668/(1+$R668)*$R668),2),ROUND(N($H668)/(1+$Q668)*$Q668,2)))</f>
        <v>0</v>
      </c>
      <c r="T668" s="36" t="n">
        <f aca="false">ROUND($S668*N(IFERROR(INDEX(单位档案!$J$6:$J$35,MATCH($E668,单位档案!$A$6:$A$35,0)),"")),2)</f>
        <v>0</v>
      </c>
      <c r="U668" s="36" t="n">
        <f aca="false">IF($D668&lt;&gt;"销项开票",0,ROUND(N($H668)*N(IFERROR(INDEX(单位档案!$K$6:$K$35,MATCH($E668,单位档案!$A$6:$A$35,0)),"")),2))</f>
        <v>0</v>
      </c>
      <c r="V668" s="36" t="n">
        <f aca="false">IF(OR($D668&lt;&gt;"销项开票",N($Q668)=0),0,ROUND(N($H668)/(1+$Q668)*N(IFERROR(INDEX(单位档案!$L$6:$L$35,MATCH($E668,单位档案!$A$6:$A$35,0)),"")),2))</f>
        <v>0</v>
      </c>
      <c r="W668" s="36" t="n">
        <f aca="false">ROUND($S668+$T668+$U668+$V668,2)</f>
        <v>0</v>
      </c>
      <c r="X668" s="35" t="str">
        <f aca="false">IF(OR($D668="挂靠代收",$D668="我方收款"),COUNTIFS($D$5:$D668,"挂靠代收")+COUNTIFS($D$5:$D668,"我方收款"),"")</f>
        <v/>
      </c>
      <c r="Y668" s="35"/>
      <c r="Z668" s="21" t="s">
        <v>111</v>
      </c>
    </row>
    <row r="669" customFormat="false" ht="15.75" hidden="false" customHeight="true" outlineLevel="0" collapsed="false">
      <c r="A669" s="32" t="str">
        <f aca="false">IF($B669="","",ROW()-4)</f>
        <v/>
      </c>
      <c r="B669" s="26"/>
      <c r="C669" s="24"/>
      <c r="D669" s="21"/>
      <c r="E669" s="21"/>
      <c r="F669" s="21"/>
      <c r="G669" s="21"/>
      <c r="H669" s="27"/>
      <c r="I669" s="23" t="str">
        <f aca="false">IF($D669&lt;&gt;"销项开票","",IF($N669="一级",IF(IFERROR(INDEX(项目档案!$E$6:$E$255,MATCH($C669,项目档案!$A$6:$A$255,0)),"")="",N(IFERROR(INDEX(单位档案!$D$6:$D$35,MATCH($E669,单位档案!$A$6:$A$35,0)),"")),IFERROR(INDEX(项目档案!$E$6:$E$255,MATCH($C669,项目档案!$A$6:$A$255,0)),"")),IF($N669="二级",IF(IFERROR(INDEX(项目档案!$G$6:$G$255,MATCH($C669,项目档案!$A$6:$A$255,0)),"")="",N(IFERROR(INDEX(单位档案!$D$6:$D$35,MATCH($E669,单位档案!$A$6:$A$35,0)),"")),IFERROR(INDEX(项目档案!$G$6:$G$255,MATCH($C669,项目档案!$A$6:$A$255,0)),"")),N(IFERROR(INDEX(单位档案!$D$6:$D$35,MATCH($E669,单位档案!$A$6:$A$35,0)),"")))))</f>
        <v/>
      </c>
      <c r="J669" s="22"/>
      <c r="K669" s="22"/>
      <c r="L669" s="33" t="str">
        <f aca="false">IF($B669="","",IF(NOT(ISNUMBER($B669)),"日期格式不对",IF($C669="","未选项目编号",IF(LEFT($M669,1)="⚠","项目编号不存在",IF($D669="","未选业务类型",IF($E669="","未选开票/付款方",IF(ISNA(MATCH($E669,单位档案!$A$6:$A$35,0)),"开票方不在单位档案",IF($F669="","未选收票/收款方",IF(ISNA(MATCH($F669,单位档案!$A$6:$A$35,0)),"收款方不在单位档案",IF(NOT(ISNUMBER($H669)),"金额须为数字",IF(AND($D669="销项开票",$N669="—"),"链条待确认","√")))))))))))</f>
        <v/>
      </c>
      <c r="M669" s="34" t="str">
        <f aca="false">IF($C669="","",IFERROR(INDEX(项目档案!$B$6:$B$255,MATCH($C669,项目档案!$A$6:$A$255,0)),"⚠项目编号不存在"))</f>
        <v/>
      </c>
      <c r="N669" s="35" t="str">
        <f aca="false">IF($E669="","",IF($E669=IFERROR(INDEX(项目档案!$D$6:$D$255,MATCH($C669,项目档案!$A$6:$A$255,0)),""),"一级",IF($E669=IFERROR(INDEX(项目档案!$F$6:$F$255,MATCH($C669,项目档案!$A$6:$A$255,0)),""),"二级",IF($E669=IFERROR(INDEX(项目档案!$H$6:$H$255,MATCH($C669,项目档案!$A$6:$A$255,0)),""),"我方","—"))))</f>
        <v/>
      </c>
      <c r="O669" s="36" t="n">
        <f aca="false">IF($D669&lt;&gt;"销项开票",0,ROUND(N($H669)*N($I669),2))</f>
        <v>0</v>
      </c>
      <c r="P669" s="36" t="n">
        <f aca="false">IF($D669&lt;&gt;"销项开票",0,ROUND(N($H669)-$O669,2))</f>
        <v>0</v>
      </c>
      <c r="Q669" s="37" t="str">
        <f aca="false">IF($E669="","",N(IFERROR(INDEX(单位档案!$E$6:$E$35,MATCH($E669,单位档案!$A$6:$A$35,0)),"")))</f>
        <v/>
      </c>
      <c r="R669" s="37" t="str">
        <f aca="false">IF($E669="","",N(IFERROR(INDEX(单位档案!$F$6:$F$35,MATCH($E669,单位档案!$A$6:$A$35,0)),"")))</f>
        <v/>
      </c>
      <c r="S669" s="36" t="n">
        <f aca="false">IF(OR($D669&lt;&gt;"销项开票",IFERROR(INDEX(单位档案!$G$6:$G$35,MATCH($E669,单位档案!$A$6:$A$35,0)),"")&lt;&gt;"是",N($Q669)=0),0,IF(IFERROR(INDEX(单位档案!$H$6:$H$35,MATCH($E669,单位档案!$A$6:$A$35,0)),"")="税差法",ROUND(N($H669)/(1+$Q669)*$Q669-IF(N($R669)=0,0,$P669/(1+$R669)*$R669),2),ROUND(N($H669)/(1+$Q669)*$Q669,2)))</f>
        <v>0</v>
      </c>
      <c r="T669" s="36" t="n">
        <f aca="false">ROUND($S669*N(IFERROR(INDEX(单位档案!$J$6:$J$35,MATCH($E669,单位档案!$A$6:$A$35,0)),"")),2)</f>
        <v>0</v>
      </c>
      <c r="U669" s="36" t="n">
        <f aca="false">IF($D669&lt;&gt;"销项开票",0,ROUND(N($H669)*N(IFERROR(INDEX(单位档案!$K$6:$K$35,MATCH($E669,单位档案!$A$6:$A$35,0)),"")),2))</f>
        <v>0</v>
      </c>
      <c r="V669" s="36" t="n">
        <f aca="false">IF(OR($D669&lt;&gt;"销项开票",N($Q669)=0),0,ROUND(N($H669)/(1+$Q669)*N(IFERROR(INDEX(单位档案!$L$6:$L$35,MATCH($E669,单位档案!$A$6:$A$35,0)),"")),2))</f>
        <v>0</v>
      </c>
      <c r="W669" s="36" t="n">
        <f aca="false">ROUND($S669+$T669+$U669+$V669,2)</f>
        <v>0</v>
      </c>
      <c r="X669" s="35" t="str">
        <f aca="false">IF(OR($D669="挂靠代收",$D669="我方收款"),COUNTIFS($D$5:$D669,"挂靠代收")+COUNTIFS($D$5:$D669,"我方收款"),"")</f>
        <v/>
      </c>
      <c r="Y669" s="35"/>
      <c r="Z669" s="21" t="s">
        <v>111</v>
      </c>
    </row>
    <row r="670" customFormat="false" ht="15.75" hidden="false" customHeight="true" outlineLevel="0" collapsed="false">
      <c r="A670" s="32" t="str">
        <f aca="false">IF($B670="","",ROW()-4)</f>
        <v/>
      </c>
      <c r="B670" s="26"/>
      <c r="C670" s="24"/>
      <c r="D670" s="21"/>
      <c r="E670" s="21"/>
      <c r="F670" s="21"/>
      <c r="G670" s="21"/>
      <c r="H670" s="27"/>
      <c r="I670" s="23" t="str">
        <f aca="false">IF($D670&lt;&gt;"销项开票","",IF($N670="一级",IF(IFERROR(INDEX(项目档案!$E$6:$E$255,MATCH($C670,项目档案!$A$6:$A$255,0)),"")="",N(IFERROR(INDEX(单位档案!$D$6:$D$35,MATCH($E670,单位档案!$A$6:$A$35,0)),"")),IFERROR(INDEX(项目档案!$E$6:$E$255,MATCH($C670,项目档案!$A$6:$A$255,0)),"")),IF($N670="二级",IF(IFERROR(INDEX(项目档案!$G$6:$G$255,MATCH($C670,项目档案!$A$6:$A$255,0)),"")="",N(IFERROR(INDEX(单位档案!$D$6:$D$35,MATCH($E670,单位档案!$A$6:$A$35,0)),"")),IFERROR(INDEX(项目档案!$G$6:$G$255,MATCH($C670,项目档案!$A$6:$A$255,0)),"")),N(IFERROR(INDEX(单位档案!$D$6:$D$35,MATCH($E670,单位档案!$A$6:$A$35,0)),"")))))</f>
        <v/>
      </c>
      <c r="J670" s="22"/>
      <c r="K670" s="22"/>
      <c r="L670" s="33" t="str">
        <f aca="false">IF($B670="","",IF(NOT(ISNUMBER($B670)),"日期格式不对",IF($C670="","未选项目编号",IF(LEFT($M670,1)="⚠","项目编号不存在",IF($D670="","未选业务类型",IF($E670="","未选开票/付款方",IF(ISNA(MATCH($E670,单位档案!$A$6:$A$35,0)),"开票方不在单位档案",IF($F670="","未选收票/收款方",IF(ISNA(MATCH($F670,单位档案!$A$6:$A$35,0)),"收款方不在单位档案",IF(NOT(ISNUMBER($H670)),"金额须为数字",IF(AND($D670="销项开票",$N670="—"),"链条待确认","√")))))))))))</f>
        <v/>
      </c>
      <c r="M670" s="34" t="str">
        <f aca="false">IF($C670="","",IFERROR(INDEX(项目档案!$B$6:$B$255,MATCH($C670,项目档案!$A$6:$A$255,0)),"⚠项目编号不存在"))</f>
        <v/>
      </c>
      <c r="N670" s="35" t="str">
        <f aca="false">IF($E670="","",IF($E670=IFERROR(INDEX(项目档案!$D$6:$D$255,MATCH($C670,项目档案!$A$6:$A$255,0)),""),"一级",IF($E670=IFERROR(INDEX(项目档案!$F$6:$F$255,MATCH($C670,项目档案!$A$6:$A$255,0)),""),"二级",IF($E670=IFERROR(INDEX(项目档案!$H$6:$H$255,MATCH($C670,项目档案!$A$6:$A$255,0)),""),"我方","—"))))</f>
        <v/>
      </c>
      <c r="O670" s="36" t="n">
        <f aca="false">IF($D670&lt;&gt;"销项开票",0,ROUND(N($H670)*N($I670),2))</f>
        <v>0</v>
      </c>
      <c r="P670" s="36" t="n">
        <f aca="false">IF($D670&lt;&gt;"销项开票",0,ROUND(N($H670)-$O670,2))</f>
        <v>0</v>
      </c>
      <c r="Q670" s="37" t="str">
        <f aca="false">IF($E670="","",N(IFERROR(INDEX(单位档案!$E$6:$E$35,MATCH($E670,单位档案!$A$6:$A$35,0)),"")))</f>
        <v/>
      </c>
      <c r="R670" s="37" t="str">
        <f aca="false">IF($E670="","",N(IFERROR(INDEX(单位档案!$F$6:$F$35,MATCH($E670,单位档案!$A$6:$A$35,0)),"")))</f>
        <v/>
      </c>
      <c r="S670" s="36" t="n">
        <f aca="false">IF(OR($D670&lt;&gt;"销项开票",IFERROR(INDEX(单位档案!$G$6:$G$35,MATCH($E670,单位档案!$A$6:$A$35,0)),"")&lt;&gt;"是",N($Q670)=0),0,IF(IFERROR(INDEX(单位档案!$H$6:$H$35,MATCH($E670,单位档案!$A$6:$A$35,0)),"")="税差法",ROUND(N($H670)/(1+$Q670)*$Q670-IF(N($R670)=0,0,$P670/(1+$R670)*$R670),2),ROUND(N($H670)/(1+$Q670)*$Q670,2)))</f>
        <v>0</v>
      </c>
      <c r="T670" s="36" t="n">
        <f aca="false">ROUND($S670*N(IFERROR(INDEX(单位档案!$J$6:$J$35,MATCH($E670,单位档案!$A$6:$A$35,0)),"")),2)</f>
        <v>0</v>
      </c>
      <c r="U670" s="36" t="n">
        <f aca="false">IF($D670&lt;&gt;"销项开票",0,ROUND(N($H670)*N(IFERROR(INDEX(单位档案!$K$6:$K$35,MATCH($E670,单位档案!$A$6:$A$35,0)),"")),2))</f>
        <v>0</v>
      </c>
      <c r="V670" s="36" t="n">
        <f aca="false">IF(OR($D670&lt;&gt;"销项开票",N($Q670)=0),0,ROUND(N($H670)/(1+$Q670)*N(IFERROR(INDEX(单位档案!$L$6:$L$35,MATCH($E670,单位档案!$A$6:$A$35,0)),"")),2))</f>
        <v>0</v>
      </c>
      <c r="W670" s="36" t="n">
        <f aca="false">ROUND($S670+$T670+$U670+$V670,2)</f>
        <v>0</v>
      </c>
      <c r="X670" s="35" t="str">
        <f aca="false">IF(OR($D670="挂靠代收",$D670="我方收款"),COUNTIFS($D$5:$D670,"挂靠代收")+COUNTIFS($D$5:$D670,"我方收款"),"")</f>
        <v/>
      </c>
      <c r="Y670" s="35"/>
      <c r="Z670" s="21" t="s">
        <v>111</v>
      </c>
    </row>
    <row r="671" customFormat="false" ht="15.75" hidden="false" customHeight="true" outlineLevel="0" collapsed="false">
      <c r="A671" s="32" t="str">
        <f aca="false">IF($B671="","",ROW()-4)</f>
        <v/>
      </c>
      <c r="B671" s="26"/>
      <c r="C671" s="24"/>
      <c r="D671" s="21"/>
      <c r="E671" s="21"/>
      <c r="F671" s="21"/>
      <c r="G671" s="21"/>
      <c r="H671" s="27"/>
      <c r="I671" s="23" t="str">
        <f aca="false">IF($D671&lt;&gt;"销项开票","",IF($N671="一级",IF(IFERROR(INDEX(项目档案!$E$6:$E$255,MATCH($C671,项目档案!$A$6:$A$255,0)),"")="",N(IFERROR(INDEX(单位档案!$D$6:$D$35,MATCH($E671,单位档案!$A$6:$A$35,0)),"")),IFERROR(INDEX(项目档案!$E$6:$E$255,MATCH($C671,项目档案!$A$6:$A$255,0)),"")),IF($N671="二级",IF(IFERROR(INDEX(项目档案!$G$6:$G$255,MATCH($C671,项目档案!$A$6:$A$255,0)),"")="",N(IFERROR(INDEX(单位档案!$D$6:$D$35,MATCH($E671,单位档案!$A$6:$A$35,0)),"")),IFERROR(INDEX(项目档案!$G$6:$G$255,MATCH($C671,项目档案!$A$6:$A$255,0)),"")),N(IFERROR(INDEX(单位档案!$D$6:$D$35,MATCH($E671,单位档案!$A$6:$A$35,0)),"")))))</f>
        <v/>
      </c>
      <c r="J671" s="22"/>
      <c r="K671" s="22"/>
      <c r="L671" s="33" t="str">
        <f aca="false">IF($B671="","",IF(NOT(ISNUMBER($B671)),"日期格式不对",IF($C671="","未选项目编号",IF(LEFT($M671,1)="⚠","项目编号不存在",IF($D671="","未选业务类型",IF($E671="","未选开票/付款方",IF(ISNA(MATCH($E671,单位档案!$A$6:$A$35,0)),"开票方不在单位档案",IF($F671="","未选收票/收款方",IF(ISNA(MATCH($F671,单位档案!$A$6:$A$35,0)),"收款方不在单位档案",IF(NOT(ISNUMBER($H671)),"金额须为数字",IF(AND($D671="销项开票",$N671="—"),"链条待确认","√")))))))))))</f>
        <v/>
      </c>
      <c r="M671" s="34" t="str">
        <f aca="false">IF($C671="","",IFERROR(INDEX(项目档案!$B$6:$B$255,MATCH($C671,项目档案!$A$6:$A$255,0)),"⚠项目编号不存在"))</f>
        <v/>
      </c>
      <c r="N671" s="35" t="str">
        <f aca="false">IF($E671="","",IF($E671=IFERROR(INDEX(项目档案!$D$6:$D$255,MATCH($C671,项目档案!$A$6:$A$255,0)),""),"一级",IF($E671=IFERROR(INDEX(项目档案!$F$6:$F$255,MATCH($C671,项目档案!$A$6:$A$255,0)),""),"二级",IF($E671=IFERROR(INDEX(项目档案!$H$6:$H$255,MATCH($C671,项目档案!$A$6:$A$255,0)),""),"我方","—"))))</f>
        <v/>
      </c>
      <c r="O671" s="36" t="n">
        <f aca="false">IF($D671&lt;&gt;"销项开票",0,ROUND(N($H671)*N($I671),2))</f>
        <v>0</v>
      </c>
      <c r="P671" s="36" t="n">
        <f aca="false">IF($D671&lt;&gt;"销项开票",0,ROUND(N($H671)-$O671,2))</f>
        <v>0</v>
      </c>
      <c r="Q671" s="37" t="str">
        <f aca="false">IF($E671="","",N(IFERROR(INDEX(单位档案!$E$6:$E$35,MATCH($E671,单位档案!$A$6:$A$35,0)),"")))</f>
        <v/>
      </c>
      <c r="R671" s="37" t="str">
        <f aca="false">IF($E671="","",N(IFERROR(INDEX(单位档案!$F$6:$F$35,MATCH($E671,单位档案!$A$6:$A$35,0)),"")))</f>
        <v/>
      </c>
      <c r="S671" s="36" t="n">
        <f aca="false">IF(OR($D671&lt;&gt;"销项开票",IFERROR(INDEX(单位档案!$G$6:$G$35,MATCH($E671,单位档案!$A$6:$A$35,0)),"")&lt;&gt;"是",N($Q671)=0),0,IF(IFERROR(INDEX(单位档案!$H$6:$H$35,MATCH($E671,单位档案!$A$6:$A$35,0)),"")="税差法",ROUND(N($H671)/(1+$Q671)*$Q671-IF(N($R671)=0,0,$P671/(1+$R671)*$R671),2),ROUND(N($H671)/(1+$Q671)*$Q671,2)))</f>
        <v>0</v>
      </c>
      <c r="T671" s="36" t="n">
        <f aca="false">ROUND($S671*N(IFERROR(INDEX(单位档案!$J$6:$J$35,MATCH($E671,单位档案!$A$6:$A$35,0)),"")),2)</f>
        <v>0</v>
      </c>
      <c r="U671" s="36" t="n">
        <f aca="false">IF($D671&lt;&gt;"销项开票",0,ROUND(N($H671)*N(IFERROR(INDEX(单位档案!$K$6:$K$35,MATCH($E671,单位档案!$A$6:$A$35,0)),"")),2))</f>
        <v>0</v>
      </c>
      <c r="V671" s="36" t="n">
        <f aca="false">IF(OR($D671&lt;&gt;"销项开票",N($Q671)=0),0,ROUND(N($H671)/(1+$Q671)*N(IFERROR(INDEX(单位档案!$L$6:$L$35,MATCH($E671,单位档案!$A$6:$A$35,0)),"")),2))</f>
        <v>0</v>
      </c>
      <c r="W671" s="36" t="n">
        <f aca="false">ROUND($S671+$T671+$U671+$V671,2)</f>
        <v>0</v>
      </c>
      <c r="X671" s="35" t="str">
        <f aca="false">IF(OR($D671="挂靠代收",$D671="我方收款"),COUNTIFS($D$5:$D671,"挂靠代收")+COUNTIFS($D$5:$D671,"我方收款"),"")</f>
        <v/>
      </c>
      <c r="Y671" s="35"/>
      <c r="Z671" s="21" t="s">
        <v>111</v>
      </c>
    </row>
    <row r="672" customFormat="false" ht="15.75" hidden="false" customHeight="true" outlineLevel="0" collapsed="false">
      <c r="A672" s="32" t="str">
        <f aca="false">IF($B672="","",ROW()-4)</f>
        <v/>
      </c>
      <c r="B672" s="26"/>
      <c r="C672" s="24"/>
      <c r="D672" s="21"/>
      <c r="E672" s="21"/>
      <c r="F672" s="21"/>
      <c r="G672" s="21"/>
      <c r="H672" s="27"/>
      <c r="I672" s="23" t="str">
        <f aca="false">IF($D672&lt;&gt;"销项开票","",IF($N672="一级",IF(IFERROR(INDEX(项目档案!$E$6:$E$255,MATCH($C672,项目档案!$A$6:$A$255,0)),"")="",N(IFERROR(INDEX(单位档案!$D$6:$D$35,MATCH($E672,单位档案!$A$6:$A$35,0)),"")),IFERROR(INDEX(项目档案!$E$6:$E$255,MATCH($C672,项目档案!$A$6:$A$255,0)),"")),IF($N672="二级",IF(IFERROR(INDEX(项目档案!$G$6:$G$255,MATCH($C672,项目档案!$A$6:$A$255,0)),"")="",N(IFERROR(INDEX(单位档案!$D$6:$D$35,MATCH($E672,单位档案!$A$6:$A$35,0)),"")),IFERROR(INDEX(项目档案!$G$6:$G$255,MATCH($C672,项目档案!$A$6:$A$255,0)),"")),N(IFERROR(INDEX(单位档案!$D$6:$D$35,MATCH($E672,单位档案!$A$6:$A$35,0)),"")))))</f>
        <v/>
      </c>
      <c r="J672" s="22"/>
      <c r="K672" s="22"/>
      <c r="L672" s="33" t="str">
        <f aca="false">IF($B672="","",IF(NOT(ISNUMBER($B672)),"日期格式不对",IF($C672="","未选项目编号",IF(LEFT($M672,1)="⚠","项目编号不存在",IF($D672="","未选业务类型",IF($E672="","未选开票/付款方",IF(ISNA(MATCH($E672,单位档案!$A$6:$A$35,0)),"开票方不在单位档案",IF($F672="","未选收票/收款方",IF(ISNA(MATCH($F672,单位档案!$A$6:$A$35,0)),"收款方不在单位档案",IF(NOT(ISNUMBER($H672)),"金额须为数字",IF(AND($D672="销项开票",$N672="—"),"链条待确认","√")))))))))))</f>
        <v/>
      </c>
      <c r="M672" s="34" t="str">
        <f aca="false">IF($C672="","",IFERROR(INDEX(项目档案!$B$6:$B$255,MATCH($C672,项目档案!$A$6:$A$255,0)),"⚠项目编号不存在"))</f>
        <v/>
      </c>
      <c r="N672" s="35" t="str">
        <f aca="false">IF($E672="","",IF($E672=IFERROR(INDEX(项目档案!$D$6:$D$255,MATCH($C672,项目档案!$A$6:$A$255,0)),""),"一级",IF($E672=IFERROR(INDEX(项目档案!$F$6:$F$255,MATCH($C672,项目档案!$A$6:$A$255,0)),""),"二级",IF($E672=IFERROR(INDEX(项目档案!$H$6:$H$255,MATCH($C672,项目档案!$A$6:$A$255,0)),""),"我方","—"))))</f>
        <v/>
      </c>
      <c r="O672" s="36" t="n">
        <f aca="false">IF($D672&lt;&gt;"销项开票",0,ROUND(N($H672)*N($I672),2))</f>
        <v>0</v>
      </c>
      <c r="P672" s="36" t="n">
        <f aca="false">IF($D672&lt;&gt;"销项开票",0,ROUND(N($H672)-$O672,2))</f>
        <v>0</v>
      </c>
      <c r="Q672" s="37" t="str">
        <f aca="false">IF($E672="","",N(IFERROR(INDEX(单位档案!$E$6:$E$35,MATCH($E672,单位档案!$A$6:$A$35,0)),"")))</f>
        <v/>
      </c>
      <c r="R672" s="37" t="str">
        <f aca="false">IF($E672="","",N(IFERROR(INDEX(单位档案!$F$6:$F$35,MATCH($E672,单位档案!$A$6:$A$35,0)),"")))</f>
        <v/>
      </c>
      <c r="S672" s="36" t="n">
        <f aca="false">IF(OR($D672&lt;&gt;"销项开票",IFERROR(INDEX(单位档案!$G$6:$G$35,MATCH($E672,单位档案!$A$6:$A$35,0)),"")&lt;&gt;"是",N($Q672)=0),0,IF(IFERROR(INDEX(单位档案!$H$6:$H$35,MATCH($E672,单位档案!$A$6:$A$35,0)),"")="税差法",ROUND(N($H672)/(1+$Q672)*$Q672-IF(N($R672)=0,0,$P672/(1+$R672)*$R672),2),ROUND(N($H672)/(1+$Q672)*$Q672,2)))</f>
        <v>0</v>
      </c>
      <c r="T672" s="36" t="n">
        <f aca="false">ROUND($S672*N(IFERROR(INDEX(单位档案!$J$6:$J$35,MATCH($E672,单位档案!$A$6:$A$35,0)),"")),2)</f>
        <v>0</v>
      </c>
      <c r="U672" s="36" t="n">
        <f aca="false">IF($D672&lt;&gt;"销项开票",0,ROUND(N($H672)*N(IFERROR(INDEX(单位档案!$K$6:$K$35,MATCH($E672,单位档案!$A$6:$A$35,0)),"")),2))</f>
        <v>0</v>
      </c>
      <c r="V672" s="36" t="n">
        <f aca="false">IF(OR($D672&lt;&gt;"销项开票",N($Q672)=0),0,ROUND(N($H672)/(1+$Q672)*N(IFERROR(INDEX(单位档案!$L$6:$L$35,MATCH($E672,单位档案!$A$6:$A$35,0)),"")),2))</f>
        <v>0</v>
      </c>
      <c r="W672" s="36" t="n">
        <f aca="false">ROUND($S672+$T672+$U672+$V672,2)</f>
        <v>0</v>
      </c>
      <c r="X672" s="35" t="str">
        <f aca="false">IF(OR($D672="挂靠代收",$D672="我方收款"),COUNTIFS($D$5:$D672,"挂靠代收")+COUNTIFS($D$5:$D672,"我方收款"),"")</f>
        <v/>
      </c>
      <c r="Y672" s="35"/>
      <c r="Z672" s="21" t="s">
        <v>111</v>
      </c>
    </row>
    <row r="673" customFormat="false" ht="15.75" hidden="false" customHeight="true" outlineLevel="0" collapsed="false">
      <c r="A673" s="32" t="str">
        <f aca="false">IF($B673="","",ROW()-4)</f>
        <v/>
      </c>
      <c r="B673" s="26"/>
      <c r="C673" s="24"/>
      <c r="D673" s="21"/>
      <c r="E673" s="21"/>
      <c r="F673" s="21"/>
      <c r="G673" s="21"/>
      <c r="H673" s="27"/>
      <c r="I673" s="23" t="str">
        <f aca="false">IF($D673&lt;&gt;"销项开票","",IF($N673="一级",IF(IFERROR(INDEX(项目档案!$E$6:$E$255,MATCH($C673,项目档案!$A$6:$A$255,0)),"")="",N(IFERROR(INDEX(单位档案!$D$6:$D$35,MATCH($E673,单位档案!$A$6:$A$35,0)),"")),IFERROR(INDEX(项目档案!$E$6:$E$255,MATCH($C673,项目档案!$A$6:$A$255,0)),"")),IF($N673="二级",IF(IFERROR(INDEX(项目档案!$G$6:$G$255,MATCH($C673,项目档案!$A$6:$A$255,0)),"")="",N(IFERROR(INDEX(单位档案!$D$6:$D$35,MATCH($E673,单位档案!$A$6:$A$35,0)),"")),IFERROR(INDEX(项目档案!$G$6:$G$255,MATCH($C673,项目档案!$A$6:$A$255,0)),"")),N(IFERROR(INDEX(单位档案!$D$6:$D$35,MATCH($E673,单位档案!$A$6:$A$35,0)),"")))))</f>
        <v/>
      </c>
      <c r="J673" s="22"/>
      <c r="K673" s="22"/>
      <c r="L673" s="33" t="str">
        <f aca="false">IF($B673="","",IF(NOT(ISNUMBER($B673)),"日期格式不对",IF($C673="","未选项目编号",IF(LEFT($M673,1)="⚠","项目编号不存在",IF($D673="","未选业务类型",IF($E673="","未选开票/付款方",IF(ISNA(MATCH($E673,单位档案!$A$6:$A$35,0)),"开票方不在单位档案",IF($F673="","未选收票/收款方",IF(ISNA(MATCH($F673,单位档案!$A$6:$A$35,0)),"收款方不在单位档案",IF(NOT(ISNUMBER($H673)),"金额须为数字",IF(AND($D673="销项开票",$N673="—"),"链条待确认","√")))))))))))</f>
        <v/>
      </c>
      <c r="M673" s="34" t="str">
        <f aca="false">IF($C673="","",IFERROR(INDEX(项目档案!$B$6:$B$255,MATCH($C673,项目档案!$A$6:$A$255,0)),"⚠项目编号不存在"))</f>
        <v/>
      </c>
      <c r="N673" s="35" t="str">
        <f aca="false">IF($E673="","",IF($E673=IFERROR(INDEX(项目档案!$D$6:$D$255,MATCH($C673,项目档案!$A$6:$A$255,0)),""),"一级",IF($E673=IFERROR(INDEX(项目档案!$F$6:$F$255,MATCH($C673,项目档案!$A$6:$A$255,0)),""),"二级",IF($E673=IFERROR(INDEX(项目档案!$H$6:$H$255,MATCH($C673,项目档案!$A$6:$A$255,0)),""),"我方","—"))))</f>
        <v/>
      </c>
      <c r="O673" s="36" t="n">
        <f aca="false">IF($D673&lt;&gt;"销项开票",0,ROUND(N($H673)*N($I673),2))</f>
        <v>0</v>
      </c>
      <c r="P673" s="36" t="n">
        <f aca="false">IF($D673&lt;&gt;"销项开票",0,ROUND(N($H673)-$O673,2))</f>
        <v>0</v>
      </c>
      <c r="Q673" s="37" t="str">
        <f aca="false">IF($E673="","",N(IFERROR(INDEX(单位档案!$E$6:$E$35,MATCH($E673,单位档案!$A$6:$A$35,0)),"")))</f>
        <v/>
      </c>
      <c r="R673" s="37" t="str">
        <f aca="false">IF($E673="","",N(IFERROR(INDEX(单位档案!$F$6:$F$35,MATCH($E673,单位档案!$A$6:$A$35,0)),"")))</f>
        <v/>
      </c>
      <c r="S673" s="36" t="n">
        <f aca="false">IF(OR($D673&lt;&gt;"销项开票",IFERROR(INDEX(单位档案!$G$6:$G$35,MATCH($E673,单位档案!$A$6:$A$35,0)),"")&lt;&gt;"是",N($Q673)=0),0,IF(IFERROR(INDEX(单位档案!$H$6:$H$35,MATCH($E673,单位档案!$A$6:$A$35,0)),"")="税差法",ROUND(N($H673)/(1+$Q673)*$Q673-IF(N($R673)=0,0,$P673/(1+$R673)*$R673),2),ROUND(N($H673)/(1+$Q673)*$Q673,2)))</f>
        <v>0</v>
      </c>
      <c r="T673" s="36" t="n">
        <f aca="false">ROUND($S673*N(IFERROR(INDEX(单位档案!$J$6:$J$35,MATCH($E673,单位档案!$A$6:$A$35,0)),"")),2)</f>
        <v>0</v>
      </c>
      <c r="U673" s="36" t="n">
        <f aca="false">IF($D673&lt;&gt;"销项开票",0,ROUND(N($H673)*N(IFERROR(INDEX(单位档案!$K$6:$K$35,MATCH($E673,单位档案!$A$6:$A$35,0)),"")),2))</f>
        <v>0</v>
      </c>
      <c r="V673" s="36" t="n">
        <f aca="false">IF(OR($D673&lt;&gt;"销项开票",N($Q673)=0),0,ROUND(N($H673)/(1+$Q673)*N(IFERROR(INDEX(单位档案!$L$6:$L$35,MATCH($E673,单位档案!$A$6:$A$35,0)),"")),2))</f>
        <v>0</v>
      </c>
      <c r="W673" s="36" t="n">
        <f aca="false">ROUND($S673+$T673+$U673+$V673,2)</f>
        <v>0</v>
      </c>
      <c r="X673" s="35" t="str">
        <f aca="false">IF(OR($D673="挂靠代收",$D673="我方收款"),COUNTIFS($D$5:$D673,"挂靠代收")+COUNTIFS($D$5:$D673,"我方收款"),"")</f>
        <v/>
      </c>
      <c r="Y673" s="35"/>
      <c r="Z673" s="21" t="s">
        <v>111</v>
      </c>
    </row>
    <row r="674" customFormat="false" ht="15.75" hidden="false" customHeight="true" outlineLevel="0" collapsed="false">
      <c r="A674" s="32" t="str">
        <f aca="false">IF($B674="","",ROW()-4)</f>
        <v/>
      </c>
      <c r="B674" s="26"/>
      <c r="C674" s="24"/>
      <c r="D674" s="21"/>
      <c r="E674" s="21"/>
      <c r="F674" s="21"/>
      <c r="G674" s="21"/>
      <c r="H674" s="27"/>
      <c r="I674" s="23" t="str">
        <f aca="false">IF($D674&lt;&gt;"销项开票","",IF($N674="一级",IF(IFERROR(INDEX(项目档案!$E$6:$E$255,MATCH($C674,项目档案!$A$6:$A$255,0)),"")="",N(IFERROR(INDEX(单位档案!$D$6:$D$35,MATCH($E674,单位档案!$A$6:$A$35,0)),"")),IFERROR(INDEX(项目档案!$E$6:$E$255,MATCH($C674,项目档案!$A$6:$A$255,0)),"")),IF($N674="二级",IF(IFERROR(INDEX(项目档案!$G$6:$G$255,MATCH($C674,项目档案!$A$6:$A$255,0)),"")="",N(IFERROR(INDEX(单位档案!$D$6:$D$35,MATCH($E674,单位档案!$A$6:$A$35,0)),"")),IFERROR(INDEX(项目档案!$G$6:$G$255,MATCH($C674,项目档案!$A$6:$A$255,0)),"")),N(IFERROR(INDEX(单位档案!$D$6:$D$35,MATCH($E674,单位档案!$A$6:$A$35,0)),"")))))</f>
        <v/>
      </c>
      <c r="J674" s="22"/>
      <c r="K674" s="22"/>
      <c r="L674" s="33" t="str">
        <f aca="false">IF($B674="","",IF(NOT(ISNUMBER($B674)),"日期格式不对",IF($C674="","未选项目编号",IF(LEFT($M674,1)="⚠","项目编号不存在",IF($D674="","未选业务类型",IF($E674="","未选开票/付款方",IF(ISNA(MATCH($E674,单位档案!$A$6:$A$35,0)),"开票方不在单位档案",IF($F674="","未选收票/收款方",IF(ISNA(MATCH($F674,单位档案!$A$6:$A$35,0)),"收款方不在单位档案",IF(NOT(ISNUMBER($H674)),"金额须为数字",IF(AND($D674="销项开票",$N674="—"),"链条待确认","√")))))))))))</f>
        <v/>
      </c>
      <c r="M674" s="34" t="str">
        <f aca="false">IF($C674="","",IFERROR(INDEX(项目档案!$B$6:$B$255,MATCH($C674,项目档案!$A$6:$A$255,0)),"⚠项目编号不存在"))</f>
        <v/>
      </c>
      <c r="N674" s="35" t="str">
        <f aca="false">IF($E674="","",IF($E674=IFERROR(INDEX(项目档案!$D$6:$D$255,MATCH($C674,项目档案!$A$6:$A$255,0)),""),"一级",IF($E674=IFERROR(INDEX(项目档案!$F$6:$F$255,MATCH($C674,项目档案!$A$6:$A$255,0)),""),"二级",IF($E674=IFERROR(INDEX(项目档案!$H$6:$H$255,MATCH($C674,项目档案!$A$6:$A$255,0)),""),"我方","—"))))</f>
        <v/>
      </c>
      <c r="O674" s="36" t="n">
        <f aca="false">IF($D674&lt;&gt;"销项开票",0,ROUND(N($H674)*N($I674),2))</f>
        <v>0</v>
      </c>
      <c r="P674" s="36" t="n">
        <f aca="false">IF($D674&lt;&gt;"销项开票",0,ROUND(N($H674)-$O674,2))</f>
        <v>0</v>
      </c>
      <c r="Q674" s="37" t="str">
        <f aca="false">IF($E674="","",N(IFERROR(INDEX(单位档案!$E$6:$E$35,MATCH($E674,单位档案!$A$6:$A$35,0)),"")))</f>
        <v/>
      </c>
      <c r="R674" s="37" t="str">
        <f aca="false">IF($E674="","",N(IFERROR(INDEX(单位档案!$F$6:$F$35,MATCH($E674,单位档案!$A$6:$A$35,0)),"")))</f>
        <v/>
      </c>
      <c r="S674" s="36" t="n">
        <f aca="false">IF(OR($D674&lt;&gt;"销项开票",IFERROR(INDEX(单位档案!$G$6:$G$35,MATCH($E674,单位档案!$A$6:$A$35,0)),"")&lt;&gt;"是",N($Q674)=0),0,IF(IFERROR(INDEX(单位档案!$H$6:$H$35,MATCH($E674,单位档案!$A$6:$A$35,0)),"")="税差法",ROUND(N($H674)/(1+$Q674)*$Q674-IF(N($R674)=0,0,$P674/(1+$R674)*$R674),2),ROUND(N($H674)/(1+$Q674)*$Q674,2)))</f>
        <v>0</v>
      </c>
      <c r="T674" s="36" t="n">
        <f aca="false">ROUND($S674*N(IFERROR(INDEX(单位档案!$J$6:$J$35,MATCH($E674,单位档案!$A$6:$A$35,0)),"")),2)</f>
        <v>0</v>
      </c>
      <c r="U674" s="36" t="n">
        <f aca="false">IF($D674&lt;&gt;"销项开票",0,ROUND(N($H674)*N(IFERROR(INDEX(单位档案!$K$6:$K$35,MATCH($E674,单位档案!$A$6:$A$35,0)),"")),2))</f>
        <v>0</v>
      </c>
      <c r="V674" s="36" t="n">
        <f aca="false">IF(OR($D674&lt;&gt;"销项开票",N($Q674)=0),0,ROUND(N($H674)/(1+$Q674)*N(IFERROR(INDEX(单位档案!$L$6:$L$35,MATCH($E674,单位档案!$A$6:$A$35,0)),"")),2))</f>
        <v>0</v>
      </c>
      <c r="W674" s="36" t="n">
        <f aca="false">ROUND($S674+$T674+$U674+$V674,2)</f>
        <v>0</v>
      </c>
      <c r="X674" s="35" t="str">
        <f aca="false">IF(OR($D674="挂靠代收",$D674="我方收款"),COUNTIFS($D$5:$D674,"挂靠代收")+COUNTIFS($D$5:$D674,"我方收款"),"")</f>
        <v/>
      </c>
      <c r="Y674" s="35"/>
      <c r="Z674" s="21" t="s">
        <v>111</v>
      </c>
    </row>
    <row r="675" customFormat="false" ht="15.75" hidden="false" customHeight="true" outlineLevel="0" collapsed="false">
      <c r="A675" s="32" t="str">
        <f aca="false">IF($B675="","",ROW()-4)</f>
        <v/>
      </c>
      <c r="B675" s="26"/>
      <c r="C675" s="24"/>
      <c r="D675" s="21"/>
      <c r="E675" s="21"/>
      <c r="F675" s="21"/>
      <c r="G675" s="21"/>
      <c r="H675" s="27"/>
      <c r="I675" s="23" t="str">
        <f aca="false">IF($D675&lt;&gt;"销项开票","",IF($N675="一级",IF(IFERROR(INDEX(项目档案!$E$6:$E$255,MATCH($C675,项目档案!$A$6:$A$255,0)),"")="",N(IFERROR(INDEX(单位档案!$D$6:$D$35,MATCH($E675,单位档案!$A$6:$A$35,0)),"")),IFERROR(INDEX(项目档案!$E$6:$E$255,MATCH($C675,项目档案!$A$6:$A$255,0)),"")),IF($N675="二级",IF(IFERROR(INDEX(项目档案!$G$6:$G$255,MATCH($C675,项目档案!$A$6:$A$255,0)),"")="",N(IFERROR(INDEX(单位档案!$D$6:$D$35,MATCH($E675,单位档案!$A$6:$A$35,0)),"")),IFERROR(INDEX(项目档案!$G$6:$G$255,MATCH($C675,项目档案!$A$6:$A$255,0)),"")),N(IFERROR(INDEX(单位档案!$D$6:$D$35,MATCH($E675,单位档案!$A$6:$A$35,0)),"")))))</f>
        <v/>
      </c>
      <c r="J675" s="22"/>
      <c r="K675" s="22"/>
      <c r="L675" s="33" t="str">
        <f aca="false">IF($B675="","",IF(NOT(ISNUMBER($B675)),"日期格式不对",IF($C675="","未选项目编号",IF(LEFT($M675,1)="⚠","项目编号不存在",IF($D675="","未选业务类型",IF($E675="","未选开票/付款方",IF(ISNA(MATCH($E675,单位档案!$A$6:$A$35,0)),"开票方不在单位档案",IF($F675="","未选收票/收款方",IF(ISNA(MATCH($F675,单位档案!$A$6:$A$35,0)),"收款方不在单位档案",IF(NOT(ISNUMBER($H675)),"金额须为数字",IF(AND($D675="销项开票",$N675="—"),"链条待确认","√")))))))))))</f>
        <v/>
      </c>
      <c r="M675" s="34" t="str">
        <f aca="false">IF($C675="","",IFERROR(INDEX(项目档案!$B$6:$B$255,MATCH($C675,项目档案!$A$6:$A$255,0)),"⚠项目编号不存在"))</f>
        <v/>
      </c>
      <c r="N675" s="35" t="str">
        <f aca="false">IF($E675="","",IF($E675=IFERROR(INDEX(项目档案!$D$6:$D$255,MATCH($C675,项目档案!$A$6:$A$255,0)),""),"一级",IF($E675=IFERROR(INDEX(项目档案!$F$6:$F$255,MATCH($C675,项目档案!$A$6:$A$255,0)),""),"二级",IF($E675=IFERROR(INDEX(项目档案!$H$6:$H$255,MATCH($C675,项目档案!$A$6:$A$255,0)),""),"我方","—"))))</f>
        <v/>
      </c>
      <c r="O675" s="36" t="n">
        <f aca="false">IF($D675&lt;&gt;"销项开票",0,ROUND(N($H675)*N($I675),2))</f>
        <v>0</v>
      </c>
      <c r="P675" s="36" t="n">
        <f aca="false">IF($D675&lt;&gt;"销项开票",0,ROUND(N($H675)-$O675,2))</f>
        <v>0</v>
      </c>
      <c r="Q675" s="37" t="str">
        <f aca="false">IF($E675="","",N(IFERROR(INDEX(单位档案!$E$6:$E$35,MATCH($E675,单位档案!$A$6:$A$35,0)),"")))</f>
        <v/>
      </c>
      <c r="R675" s="37" t="str">
        <f aca="false">IF($E675="","",N(IFERROR(INDEX(单位档案!$F$6:$F$35,MATCH($E675,单位档案!$A$6:$A$35,0)),"")))</f>
        <v/>
      </c>
      <c r="S675" s="36" t="n">
        <f aca="false">IF(OR($D675&lt;&gt;"销项开票",IFERROR(INDEX(单位档案!$G$6:$G$35,MATCH($E675,单位档案!$A$6:$A$35,0)),"")&lt;&gt;"是",N($Q675)=0),0,IF(IFERROR(INDEX(单位档案!$H$6:$H$35,MATCH($E675,单位档案!$A$6:$A$35,0)),"")="税差法",ROUND(N($H675)/(1+$Q675)*$Q675-IF(N($R675)=0,0,$P675/(1+$R675)*$R675),2),ROUND(N($H675)/(1+$Q675)*$Q675,2)))</f>
        <v>0</v>
      </c>
      <c r="T675" s="36" t="n">
        <f aca="false">ROUND($S675*N(IFERROR(INDEX(单位档案!$J$6:$J$35,MATCH($E675,单位档案!$A$6:$A$35,0)),"")),2)</f>
        <v>0</v>
      </c>
      <c r="U675" s="36" t="n">
        <f aca="false">IF($D675&lt;&gt;"销项开票",0,ROUND(N($H675)*N(IFERROR(INDEX(单位档案!$K$6:$K$35,MATCH($E675,单位档案!$A$6:$A$35,0)),"")),2))</f>
        <v>0</v>
      </c>
      <c r="V675" s="36" t="n">
        <f aca="false">IF(OR($D675&lt;&gt;"销项开票",N($Q675)=0),0,ROUND(N($H675)/(1+$Q675)*N(IFERROR(INDEX(单位档案!$L$6:$L$35,MATCH($E675,单位档案!$A$6:$A$35,0)),"")),2))</f>
        <v>0</v>
      </c>
      <c r="W675" s="36" t="n">
        <f aca="false">ROUND($S675+$T675+$U675+$V675,2)</f>
        <v>0</v>
      </c>
      <c r="X675" s="35" t="str">
        <f aca="false">IF(OR($D675="挂靠代收",$D675="我方收款"),COUNTIFS($D$5:$D675,"挂靠代收")+COUNTIFS($D$5:$D675,"我方收款"),"")</f>
        <v/>
      </c>
      <c r="Y675" s="35"/>
      <c r="Z675" s="21" t="s">
        <v>111</v>
      </c>
    </row>
    <row r="676" customFormat="false" ht="15.75" hidden="false" customHeight="true" outlineLevel="0" collapsed="false">
      <c r="A676" s="32" t="str">
        <f aca="false">IF($B676="","",ROW()-4)</f>
        <v/>
      </c>
      <c r="B676" s="26"/>
      <c r="C676" s="24"/>
      <c r="D676" s="21"/>
      <c r="E676" s="21"/>
      <c r="F676" s="21"/>
      <c r="G676" s="21"/>
      <c r="H676" s="27"/>
      <c r="I676" s="23" t="str">
        <f aca="false">IF($D676&lt;&gt;"销项开票","",IF($N676="一级",IF(IFERROR(INDEX(项目档案!$E$6:$E$255,MATCH($C676,项目档案!$A$6:$A$255,0)),"")="",N(IFERROR(INDEX(单位档案!$D$6:$D$35,MATCH($E676,单位档案!$A$6:$A$35,0)),"")),IFERROR(INDEX(项目档案!$E$6:$E$255,MATCH($C676,项目档案!$A$6:$A$255,0)),"")),IF($N676="二级",IF(IFERROR(INDEX(项目档案!$G$6:$G$255,MATCH($C676,项目档案!$A$6:$A$255,0)),"")="",N(IFERROR(INDEX(单位档案!$D$6:$D$35,MATCH($E676,单位档案!$A$6:$A$35,0)),"")),IFERROR(INDEX(项目档案!$G$6:$G$255,MATCH($C676,项目档案!$A$6:$A$255,0)),"")),N(IFERROR(INDEX(单位档案!$D$6:$D$35,MATCH($E676,单位档案!$A$6:$A$35,0)),"")))))</f>
        <v/>
      </c>
      <c r="J676" s="22"/>
      <c r="K676" s="22"/>
      <c r="L676" s="33" t="str">
        <f aca="false">IF($B676="","",IF(NOT(ISNUMBER($B676)),"日期格式不对",IF($C676="","未选项目编号",IF(LEFT($M676,1)="⚠","项目编号不存在",IF($D676="","未选业务类型",IF($E676="","未选开票/付款方",IF(ISNA(MATCH($E676,单位档案!$A$6:$A$35,0)),"开票方不在单位档案",IF($F676="","未选收票/收款方",IF(ISNA(MATCH($F676,单位档案!$A$6:$A$35,0)),"收款方不在单位档案",IF(NOT(ISNUMBER($H676)),"金额须为数字",IF(AND($D676="销项开票",$N676="—"),"链条待确认","√")))))))))))</f>
        <v/>
      </c>
      <c r="M676" s="34" t="str">
        <f aca="false">IF($C676="","",IFERROR(INDEX(项目档案!$B$6:$B$255,MATCH($C676,项目档案!$A$6:$A$255,0)),"⚠项目编号不存在"))</f>
        <v/>
      </c>
      <c r="N676" s="35" t="str">
        <f aca="false">IF($E676="","",IF($E676=IFERROR(INDEX(项目档案!$D$6:$D$255,MATCH($C676,项目档案!$A$6:$A$255,0)),""),"一级",IF($E676=IFERROR(INDEX(项目档案!$F$6:$F$255,MATCH($C676,项目档案!$A$6:$A$255,0)),""),"二级",IF($E676=IFERROR(INDEX(项目档案!$H$6:$H$255,MATCH($C676,项目档案!$A$6:$A$255,0)),""),"我方","—"))))</f>
        <v/>
      </c>
      <c r="O676" s="36" t="n">
        <f aca="false">IF($D676&lt;&gt;"销项开票",0,ROUND(N($H676)*N($I676),2))</f>
        <v>0</v>
      </c>
      <c r="P676" s="36" t="n">
        <f aca="false">IF($D676&lt;&gt;"销项开票",0,ROUND(N($H676)-$O676,2))</f>
        <v>0</v>
      </c>
      <c r="Q676" s="37" t="str">
        <f aca="false">IF($E676="","",N(IFERROR(INDEX(单位档案!$E$6:$E$35,MATCH($E676,单位档案!$A$6:$A$35,0)),"")))</f>
        <v/>
      </c>
      <c r="R676" s="37" t="str">
        <f aca="false">IF($E676="","",N(IFERROR(INDEX(单位档案!$F$6:$F$35,MATCH($E676,单位档案!$A$6:$A$35,0)),"")))</f>
        <v/>
      </c>
      <c r="S676" s="36" t="n">
        <f aca="false">IF(OR($D676&lt;&gt;"销项开票",IFERROR(INDEX(单位档案!$G$6:$G$35,MATCH($E676,单位档案!$A$6:$A$35,0)),"")&lt;&gt;"是",N($Q676)=0),0,IF(IFERROR(INDEX(单位档案!$H$6:$H$35,MATCH($E676,单位档案!$A$6:$A$35,0)),"")="税差法",ROUND(N($H676)/(1+$Q676)*$Q676-IF(N($R676)=0,0,$P676/(1+$R676)*$R676),2),ROUND(N($H676)/(1+$Q676)*$Q676,2)))</f>
        <v>0</v>
      </c>
      <c r="T676" s="36" t="n">
        <f aca="false">ROUND($S676*N(IFERROR(INDEX(单位档案!$J$6:$J$35,MATCH($E676,单位档案!$A$6:$A$35,0)),"")),2)</f>
        <v>0</v>
      </c>
      <c r="U676" s="36" t="n">
        <f aca="false">IF($D676&lt;&gt;"销项开票",0,ROUND(N($H676)*N(IFERROR(INDEX(单位档案!$K$6:$K$35,MATCH($E676,单位档案!$A$6:$A$35,0)),"")),2))</f>
        <v>0</v>
      </c>
      <c r="V676" s="36" t="n">
        <f aca="false">IF(OR($D676&lt;&gt;"销项开票",N($Q676)=0),0,ROUND(N($H676)/(1+$Q676)*N(IFERROR(INDEX(单位档案!$L$6:$L$35,MATCH($E676,单位档案!$A$6:$A$35,0)),"")),2))</f>
        <v>0</v>
      </c>
      <c r="W676" s="36" t="n">
        <f aca="false">ROUND($S676+$T676+$U676+$V676,2)</f>
        <v>0</v>
      </c>
      <c r="X676" s="35" t="str">
        <f aca="false">IF(OR($D676="挂靠代收",$D676="我方收款"),COUNTIFS($D$5:$D676,"挂靠代收")+COUNTIFS($D$5:$D676,"我方收款"),"")</f>
        <v/>
      </c>
      <c r="Y676" s="35"/>
      <c r="Z676" s="21" t="s">
        <v>111</v>
      </c>
    </row>
    <row r="677" customFormat="false" ht="15.75" hidden="false" customHeight="true" outlineLevel="0" collapsed="false">
      <c r="A677" s="32" t="str">
        <f aca="false">IF($B677="","",ROW()-4)</f>
        <v/>
      </c>
      <c r="B677" s="26"/>
      <c r="C677" s="24"/>
      <c r="D677" s="21"/>
      <c r="E677" s="21"/>
      <c r="F677" s="21"/>
      <c r="G677" s="21"/>
      <c r="H677" s="27"/>
      <c r="I677" s="23" t="str">
        <f aca="false">IF($D677&lt;&gt;"销项开票","",IF($N677="一级",IF(IFERROR(INDEX(项目档案!$E$6:$E$255,MATCH($C677,项目档案!$A$6:$A$255,0)),"")="",N(IFERROR(INDEX(单位档案!$D$6:$D$35,MATCH($E677,单位档案!$A$6:$A$35,0)),"")),IFERROR(INDEX(项目档案!$E$6:$E$255,MATCH($C677,项目档案!$A$6:$A$255,0)),"")),IF($N677="二级",IF(IFERROR(INDEX(项目档案!$G$6:$G$255,MATCH($C677,项目档案!$A$6:$A$255,0)),"")="",N(IFERROR(INDEX(单位档案!$D$6:$D$35,MATCH($E677,单位档案!$A$6:$A$35,0)),"")),IFERROR(INDEX(项目档案!$G$6:$G$255,MATCH($C677,项目档案!$A$6:$A$255,0)),"")),N(IFERROR(INDEX(单位档案!$D$6:$D$35,MATCH($E677,单位档案!$A$6:$A$35,0)),"")))))</f>
        <v/>
      </c>
      <c r="J677" s="22"/>
      <c r="K677" s="22"/>
      <c r="L677" s="33" t="str">
        <f aca="false">IF($B677="","",IF(NOT(ISNUMBER($B677)),"日期格式不对",IF($C677="","未选项目编号",IF(LEFT($M677,1)="⚠","项目编号不存在",IF($D677="","未选业务类型",IF($E677="","未选开票/付款方",IF(ISNA(MATCH($E677,单位档案!$A$6:$A$35,0)),"开票方不在单位档案",IF($F677="","未选收票/收款方",IF(ISNA(MATCH($F677,单位档案!$A$6:$A$35,0)),"收款方不在单位档案",IF(NOT(ISNUMBER($H677)),"金额须为数字",IF(AND($D677="销项开票",$N677="—"),"链条待确认","√")))))))))))</f>
        <v/>
      </c>
      <c r="M677" s="34" t="str">
        <f aca="false">IF($C677="","",IFERROR(INDEX(项目档案!$B$6:$B$255,MATCH($C677,项目档案!$A$6:$A$255,0)),"⚠项目编号不存在"))</f>
        <v/>
      </c>
      <c r="N677" s="35" t="str">
        <f aca="false">IF($E677="","",IF($E677=IFERROR(INDEX(项目档案!$D$6:$D$255,MATCH($C677,项目档案!$A$6:$A$255,0)),""),"一级",IF($E677=IFERROR(INDEX(项目档案!$F$6:$F$255,MATCH($C677,项目档案!$A$6:$A$255,0)),""),"二级",IF($E677=IFERROR(INDEX(项目档案!$H$6:$H$255,MATCH($C677,项目档案!$A$6:$A$255,0)),""),"我方","—"))))</f>
        <v/>
      </c>
      <c r="O677" s="36" t="n">
        <f aca="false">IF($D677&lt;&gt;"销项开票",0,ROUND(N($H677)*N($I677),2))</f>
        <v>0</v>
      </c>
      <c r="P677" s="36" t="n">
        <f aca="false">IF($D677&lt;&gt;"销项开票",0,ROUND(N($H677)-$O677,2))</f>
        <v>0</v>
      </c>
      <c r="Q677" s="37" t="str">
        <f aca="false">IF($E677="","",N(IFERROR(INDEX(单位档案!$E$6:$E$35,MATCH($E677,单位档案!$A$6:$A$35,0)),"")))</f>
        <v/>
      </c>
      <c r="R677" s="37" t="str">
        <f aca="false">IF($E677="","",N(IFERROR(INDEX(单位档案!$F$6:$F$35,MATCH($E677,单位档案!$A$6:$A$35,0)),"")))</f>
        <v/>
      </c>
      <c r="S677" s="36" t="n">
        <f aca="false">IF(OR($D677&lt;&gt;"销项开票",IFERROR(INDEX(单位档案!$G$6:$G$35,MATCH($E677,单位档案!$A$6:$A$35,0)),"")&lt;&gt;"是",N($Q677)=0),0,IF(IFERROR(INDEX(单位档案!$H$6:$H$35,MATCH($E677,单位档案!$A$6:$A$35,0)),"")="税差法",ROUND(N($H677)/(1+$Q677)*$Q677-IF(N($R677)=0,0,$P677/(1+$R677)*$R677),2),ROUND(N($H677)/(1+$Q677)*$Q677,2)))</f>
        <v>0</v>
      </c>
      <c r="T677" s="36" t="n">
        <f aca="false">ROUND($S677*N(IFERROR(INDEX(单位档案!$J$6:$J$35,MATCH($E677,单位档案!$A$6:$A$35,0)),"")),2)</f>
        <v>0</v>
      </c>
      <c r="U677" s="36" t="n">
        <f aca="false">IF($D677&lt;&gt;"销项开票",0,ROUND(N($H677)*N(IFERROR(INDEX(单位档案!$K$6:$K$35,MATCH($E677,单位档案!$A$6:$A$35,0)),"")),2))</f>
        <v>0</v>
      </c>
      <c r="V677" s="36" t="n">
        <f aca="false">IF(OR($D677&lt;&gt;"销项开票",N($Q677)=0),0,ROUND(N($H677)/(1+$Q677)*N(IFERROR(INDEX(单位档案!$L$6:$L$35,MATCH($E677,单位档案!$A$6:$A$35,0)),"")),2))</f>
        <v>0</v>
      </c>
      <c r="W677" s="36" t="n">
        <f aca="false">ROUND($S677+$T677+$U677+$V677,2)</f>
        <v>0</v>
      </c>
      <c r="X677" s="35" t="str">
        <f aca="false">IF(OR($D677="挂靠代收",$D677="我方收款"),COUNTIFS($D$5:$D677,"挂靠代收")+COUNTIFS($D$5:$D677,"我方收款"),"")</f>
        <v/>
      </c>
      <c r="Y677" s="35"/>
      <c r="Z677" s="21" t="s">
        <v>111</v>
      </c>
    </row>
    <row r="678" customFormat="false" ht="15.75" hidden="false" customHeight="true" outlineLevel="0" collapsed="false">
      <c r="A678" s="32" t="str">
        <f aca="false">IF($B678="","",ROW()-4)</f>
        <v/>
      </c>
      <c r="B678" s="26"/>
      <c r="C678" s="24"/>
      <c r="D678" s="21"/>
      <c r="E678" s="21"/>
      <c r="F678" s="21"/>
      <c r="G678" s="21"/>
      <c r="H678" s="27"/>
      <c r="I678" s="23" t="str">
        <f aca="false">IF($D678&lt;&gt;"销项开票","",IF($N678="一级",IF(IFERROR(INDEX(项目档案!$E$6:$E$255,MATCH($C678,项目档案!$A$6:$A$255,0)),"")="",N(IFERROR(INDEX(单位档案!$D$6:$D$35,MATCH($E678,单位档案!$A$6:$A$35,0)),"")),IFERROR(INDEX(项目档案!$E$6:$E$255,MATCH($C678,项目档案!$A$6:$A$255,0)),"")),IF($N678="二级",IF(IFERROR(INDEX(项目档案!$G$6:$G$255,MATCH($C678,项目档案!$A$6:$A$255,0)),"")="",N(IFERROR(INDEX(单位档案!$D$6:$D$35,MATCH($E678,单位档案!$A$6:$A$35,0)),"")),IFERROR(INDEX(项目档案!$G$6:$G$255,MATCH($C678,项目档案!$A$6:$A$255,0)),"")),N(IFERROR(INDEX(单位档案!$D$6:$D$35,MATCH($E678,单位档案!$A$6:$A$35,0)),"")))))</f>
        <v/>
      </c>
      <c r="J678" s="22"/>
      <c r="K678" s="22"/>
      <c r="L678" s="33" t="str">
        <f aca="false">IF($B678="","",IF(NOT(ISNUMBER($B678)),"日期格式不对",IF($C678="","未选项目编号",IF(LEFT($M678,1)="⚠","项目编号不存在",IF($D678="","未选业务类型",IF($E678="","未选开票/付款方",IF(ISNA(MATCH($E678,单位档案!$A$6:$A$35,0)),"开票方不在单位档案",IF($F678="","未选收票/收款方",IF(ISNA(MATCH($F678,单位档案!$A$6:$A$35,0)),"收款方不在单位档案",IF(NOT(ISNUMBER($H678)),"金额须为数字",IF(AND($D678="销项开票",$N678="—"),"链条待确认","√")))))))))))</f>
        <v/>
      </c>
      <c r="M678" s="34" t="str">
        <f aca="false">IF($C678="","",IFERROR(INDEX(项目档案!$B$6:$B$255,MATCH($C678,项目档案!$A$6:$A$255,0)),"⚠项目编号不存在"))</f>
        <v/>
      </c>
      <c r="N678" s="35" t="str">
        <f aca="false">IF($E678="","",IF($E678=IFERROR(INDEX(项目档案!$D$6:$D$255,MATCH($C678,项目档案!$A$6:$A$255,0)),""),"一级",IF($E678=IFERROR(INDEX(项目档案!$F$6:$F$255,MATCH($C678,项目档案!$A$6:$A$255,0)),""),"二级",IF($E678=IFERROR(INDEX(项目档案!$H$6:$H$255,MATCH($C678,项目档案!$A$6:$A$255,0)),""),"我方","—"))))</f>
        <v/>
      </c>
      <c r="O678" s="36" t="n">
        <f aca="false">IF($D678&lt;&gt;"销项开票",0,ROUND(N($H678)*N($I678),2))</f>
        <v>0</v>
      </c>
      <c r="P678" s="36" t="n">
        <f aca="false">IF($D678&lt;&gt;"销项开票",0,ROUND(N($H678)-$O678,2))</f>
        <v>0</v>
      </c>
      <c r="Q678" s="37" t="str">
        <f aca="false">IF($E678="","",N(IFERROR(INDEX(单位档案!$E$6:$E$35,MATCH($E678,单位档案!$A$6:$A$35,0)),"")))</f>
        <v/>
      </c>
      <c r="R678" s="37" t="str">
        <f aca="false">IF($E678="","",N(IFERROR(INDEX(单位档案!$F$6:$F$35,MATCH($E678,单位档案!$A$6:$A$35,0)),"")))</f>
        <v/>
      </c>
      <c r="S678" s="36" t="n">
        <f aca="false">IF(OR($D678&lt;&gt;"销项开票",IFERROR(INDEX(单位档案!$G$6:$G$35,MATCH($E678,单位档案!$A$6:$A$35,0)),"")&lt;&gt;"是",N($Q678)=0),0,IF(IFERROR(INDEX(单位档案!$H$6:$H$35,MATCH($E678,单位档案!$A$6:$A$35,0)),"")="税差法",ROUND(N($H678)/(1+$Q678)*$Q678-IF(N($R678)=0,0,$P678/(1+$R678)*$R678),2),ROUND(N($H678)/(1+$Q678)*$Q678,2)))</f>
        <v>0</v>
      </c>
      <c r="T678" s="36" t="n">
        <f aca="false">ROUND($S678*N(IFERROR(INDEX(单位档案!$J$6:$J$35,MATCH($E678,单位档案!$A$6:$A$35,0)),"")),2)</f>
        <v>0</v>
      </c>
      <c r="U678" s="36" t="n">
        <f aca="false">IF($D678&lt;&gt;"销项开票",0,ROUND(N($H678)*N(IFERROR(INDEX(单位档案!$K$6:$K$35,MATCH($E678,单位档案!$A$6:$A$35,0)),"")),2))</f>
        <v>0</v>
      </c>
      <c r="V678" s="36" t="n">
        <f aca="false">IF(OR($D678&lt;&gt;"销项开票",N($Q678)=0),0,ROUND(N($H678)/(1+$Q678)*N(IFERROR(INDEX(单位档案!$L$6:$L$35,MATCH($E678,单位档案!$A$6:$A$35,0)),"")),2))</f>
        <v>0</v>
      </c>
      <c r="W678" s="36" t="n">
        <f aca="false">ROUND($S678+$T678+$U678+$V678,2)</f>
        <v>0</v>
      </c>
      <c r="X678" s="35" t="str">
        <f aca="false">IF(OR($D678="挂靠代收",$D678="我方收款"),COUNTIFS($D$5:$D678,"挂靠代收")+COUNTIFS($D$5:$D678,"我方收款"),"")</f>
        <v/>
      </c>
      <c r="Y678" s="35"/>
      <c r="Z678" s="21" t="s">
        <v>111</v>
      </c>
    </row>
    <row r="679" customFormat="false" ht="15.75" hidden="false" customHeight="true" outlineLevel="0" collapsed="false">
      <c r="A679" s="32" t="str">
        <f aca="false">IF($B679="","",ROW()-4)</f>
        <v/>
      </c>
      <c r="B679" s="26"/>
      <c r="C679" s="24"/>
      <c r="D679" s="21"/>
      <c r="E679" s="21"/>
      <c r="F679" s="21"/>
      <c r="G679" s="21"/>
      <c r="H679" s="27"/>
      <c r="I679" s="23" t="str">
        <f aca="false">IF($D679&lt;&gt;"销项开票","",IF($N679="一级",IF(IFERROR(INDEX(项目档案!$E$6:$E$255,MATCH($C679,项目档案!$A$6:$A$255,0)),"")="",N(IFERROR(INDEX(单位档案!$D$6:$D$35,MATCH($E679,单位档案!$A$6:$A$35,0)),"")),IFERROR(INDEX(项目档案!$E$6:$E$255,MATCH($C679,项目档案!$A$6:$A$255,0)),"")),IF($N679="二级",IF(IFERROR(INDEX(项目档案!$G$6:$G$255,MATCH($C679,项目档案!$A$6:$A$255,0)),"")="",N(IFERROR(INDEX(单位档案!$D$6:$D$35,MATCH($E679,单位档案!$A$6:$A$35,0)),"")),IFERROR(INDEX(项目档案!$G$6:$G$255,MATCH($C679,项目档案!$A$6:$A$255,0)),"")),N(IFERROR(INDEX(单位档案!$D$6:$D$35,MATCH($E679,单位档案!$A$6:$A$35,0)),"")))))</f>
        <v/>
      </c>
      <c r="J679" s="22"/>
      <c r="K679" s="22"/>
      <c r="L679" s="33" t="str">
        <f aca="false">IF($B679="","",IF(NOT(ISNUMBER($B679)),"日期格式不对",IF($C679="","未选项目编号",IF(LEFT($M679,1)="⚠","项目编号不存在",IF($D679="","未选业务类型",IF($E679="","未选开票/付款方",IF(ISNA(MATCH($E679,单位档案!$A$6:$A$35,0)),"开票方不在单位档案",IF($F679="","未选收票/收款方",IF(ISNA(MATCH($F679,单位档案!$A$6:$A$35,0)),"收款方不在单位档案",IF(NOT(ISNUMBER($H679)),"金额须为数字",IF(AND($D679="销项开票",$N679="—"),"链条待确认","√")))))))))))</f>
        <v/>
      </c>
      <c r="M679" s="34" t="str">
        <f aca="false">IF($C679="","",IFERROR(INDEX(项目档案!$B$6:$B$255,MATCH($C679,项目档案!$A$6:$A$255,0)),"⚠项目编号不存在"))</f>
        <v/>
      </c>
      <c r="N679" s="35" t="str">
        <f aca="false">IF($E679="","",IF($E679=IFERROR(INDEX(项目档案!$D$6:$D$255,MATCH($C679,项目档案!$A$6:$A$255,0)),""),"一级",IF($E679=IFERROR(INDEX(项目档案!$F$6:$F$255,MATCH($C679,项目档案!$A$6:$A$255,0)),""),"二级",IF($E679=IFERROR(INDEX(项目档案!$H$6:$H$255,MATCH($C679,项目档案!$A$6:$A$255,0)),""),"我方","—"))))</f>
        <v/>
      </c>
      <c r="O679" s="36" t="n">
        <f aca="false">IF($D679&lt;&gt;"销项开票",0,ROUND(N($H679)*N($I679),2))</f>
        <v>0</v>
      </c>
      <c r="P679" s="36" t="n">
        <f aca="false">IF($D679&lt;&gt;"销项开票",0,ROUND(N($H679)-$O679,2))</f>
        <v>0</v>
      </c>
      <c r="Q679" s="37" t="str">
        <f aca="false">IF($E679="","",N(IFERROR(INDEX(单位档案!$E$6:$E$35,MATCH($E679,单位档案!$A$6:$A$35,0)),"")))</f>
        <v/>
      </c>
      <c r="R679" s="37" t="str">
        <f aca="false">IF($E679="","",N(IFERROR(INDEX(单位档案!$F$6:$F$35,MATCH($E679,单位档案!$A$6:$A$35,0)),"")))</f>
        <v/>
      </c>
      <c r="S679" s="36" t="n">
        <f aca="false">IF(OR($D679&lt;&gt;"销项开票",IFERROR(INDEX(单位档案!$G$6:$G$35,MATCH($E679,单位档案!$A$6:$A$35,0)),"")&lt;&gt;"是",N($Q679)=0),0,IF(IFERROR(INDEX(单位档案!$H$6:$H$35,MATCH($E679,单位档案!$A$6:$A$35,0)),"")="税差法",ROUND(N($H679)/(1+$Q679)*$Q679-IF(N($R679)=0,0,$P679/(1+$R679)*$R679),2),ROUND(N($H679)/(1+$Q679)*$Q679,2)))</f>
        <v>0</v>
      </c>
      <c r="T679" s="36" t="n">
        <f aca="false">ROUND($S679*N(IFERROR(INDEX(单位档案!$J$6:$J$35,MATCH($E679,单位档案!$A$6:$A$35,0)),"")),2)</f>
        <v>0</v>
      </c>
      <c r="U679" s="36" t="n">
        <f aca="false">IF($D679&lt;&gt;"销项开票",0,ROUND(N($H679)*N(IFERROR(INDEX(单位档案!$K$6:$K$35,MATCH($E679,单位档案!$A$6:$A$35,0)),"")),2))</f>
        <v>0</v>
      </c>
      <c r="V679" s="36" t="n">
        <f aca="false">IF(OR($D679&lt;&gt;"销项开票",N($Q679)=0),0,ROUND(N($H679)/(1+$Q679)*N(IFERROR(INDEX(单位档案!$L$6:$L$35,MATCH($E679,单位档案!$A$6:$A$35,0)),"")),2))</f>
        <v>0</v>
      </c>
      <c r="W679" s="36" t="n">
        <f aca="false">ROUND($S679+$T679+$U679+$V679,2)</f>
        <v>0</v>
      </c>
      <c r="X679" s="35" t="str">
        <f aca="false">IF(OR($D679="挂靠代收",$D679="我方收款"),COUNTIFS($D$5:$D679,"挂靠代收")+COUNTIFS($D$5:$D679,"我方收款"),"")</f>
        <v/>
      </c>
      <c r="Y679" s="35"/>
      <c r="Z679" s="21" t="s">
        <v>111</v>
      </c>
    </row>
    <row r="680" customFormat="false" ht="15.75" hidden="false" customHeight="true" outlineLevel="0" collapsed="false">
      <c r="A680" s="32" t="str">
        <f aca="false">IF($B680="","",ROW()-4)</f>
        <v/>
      </c>
      <c r="B680" s="26"/>
      <c r="C680" s="24"/>
      <c r="D680" s="21"/>
      <c r="E680" s="21"/>
      <c r="F680" s="21"/>
      <c r="G680" s="21"/>
      <c r="H680" s="27"/>
      <c r="I680" s="23" t="str">
        <f aca="false">IF($D680&lt;&gt;"销项开票","",IF($N680="一级",IF(IFERROR(INDEX(项目档案!$E$6:$E$255,MATCH($C680,项目档案!$A$6:$A$255,0)),"")="",N(IFERROR(INDEX(单位档案!$D$6:$D$35,MATCH($E680,单位档案!$A$6:$A$35,0)),"")),IFERROR(INDEX(项目档案!$E$6:$E$255,MATCH($C680,项目档案!$A$6:$A$255,0)),"")),IF($N680="二级",IF(IFERROR(INDEX(项目档案!$G$6:$G$255,MATCH($C680,项目档案!$A$6:$A$255,0)),"")="",N(IFERROR(INDEX(单位档案!$D$6:$D$35,MATCH($E680,单位档案!$A$6:$A$35,0)),"")),IFERROR(INDEX(项目档案!$G$6:$G$255,MATCH($C680,项目档案!$A$6:$A$255,0)),"")),N(IFERROR(INDEX(单位档案!$D$6:$D$35,MATCH($E680,单位档案!$A$6:$A$35,0)),"")))))</f>
        <v/>
      </c>
      <c r="J680" s="22"/>
      <c r="K680" s="22"/>
      <c r="L680" s="33" t="str">
        <f aca="false">IF($B680="","",IF(NOT(ISNUMBER($B680)),"日期格式不对",IF($C680="","未选项目编号",IF(LEFT($M680,1)="⚠","项目编号不存在",IF($D680="","未选业务类型",IF($E680="","未选开票/付款方",IF(ISNA(MATCH($E680,单位档案!$A$6:$A$35,0)),"开票方不在单位档案",IF($F680="","未选收票/收款方",IF(ISNA(MATCH($F680,单位档案!$A$6:$A$35,0)),"收款方不在单位档案",IF(NOT(ISNUMBER($H680)),"金额须为数字",IF(AND($D680="销项开票",$N680="—"),"链条待确认","√")))))))))))</f>
        <v/>
      </c>
      <c r="M680" s="34" t="str">
        <f aca="false">IF($C680="","",IFERROR(INDEX(项目档案!$B$6:$B$255,MATCH($C680,项目档案!$A$6:$A$255,0)),"⚠项目编号不存在"))</f>
        <v/>
      </c>
      <c r="N680" s="35" t="str">
        <f aca="false">IF($E680="","",IF($E680=IFERROR(INDEX(项目档案!$D$6:$D$255,MATCH($C680,项目档案!$A$6:$A$255,0)),""),"一级",IF($E680=IFERROR(INDEX(项目档案!$F$6:$F$255,MATCH($C680,项目档案!$A$6:$A$255,0)),""),"二级",IF($E680=IFERROR(INDEX(项目档案!$H$6:$H$255,MATCH($C680,项目档案!$A$6:$A$255,0)),""),"我方","—"))))</f>
        <v/>
      </c>
      <c r="O680" s="36" t="n">
        <f aca="false">IF($D680&lt;&gt;"销项开票",0,ROUND(N($H680)*N($I680),2))</f>
        <v>0</v>
      </c>
      <c r="P680" s="36" t="n">
        <f aca="false">IF($D680&lt;&gt;"销项开票",0,ROUND(N($H680)-$O680,2))</f>
        <v>0</v>
      </c>
      <c r="Q680" s="37" t="str">
        <f aca="false">IF($E680="","",N(IFERROR(INDEX(单位档案!$E$6:$E$35,MATCH($E680,单位档案!$A$6:$A$35,0)),"")))</f>
        <v/>
      </c>
      <c r="R680" s="37" t="str">
        <f aca="false">IF($E680="","",N(IFERROR(INDEX(单位档案!$F$6:$F$35,MATCH($E680,单位档案!$A$6:$A$35,0)),"")))</f>
        <v/>
      </c>
      <c r="S680" s="36" t="n">
        <f aca="false">IF(OR($D680&lt;&gt;"销项开票",IFERROR(INDEX(单位档案!$G$6:$G$35,MATCH($E680,单位档案!$A$6:$A$35,0)),"")&lt;&gt;"是",N($Q680)=0),0,IF(IFERROR(INDEX(单位档案!$H$6:$H$35,MATCH($E680,单位档案!$A$6:$A$35,0)),"")="税差法",ROUND(N($H680)/(1+$Q680)*$Q680-IF(N($R680)=0,0,$P680/(1+$R680)*$R680),2),ROUND(N($H680)/(1+$Q680)*$Q680,2)))</f>
        <v>0</v>
      </c>
      <c r="T680" s="36" t="n">
        <f aca="false">ROUND($S680*N(IFERROR(INDEX(单位档案!$J$6:$J$35,MATCH($E680,单位档案!$A$6:$A$35,0)),"")),2)</f>
        <v>0</v>
      </c>
      <c r="U680" s="36" t="n">
        <f aca="false">IF($D680&lt;&gt;"销项开票",0,ROUND(N($H680)*N(IFERROR(INDEX(单位档案!$K$6:$K$35,MATCH($E680,单位档案!$A$6:$A$35,0)),"")),2))</f>
        <v>0</v>
      </c>
      <c r="V680" s="36" t="n">
        <f aca="false">IF(OR($D680&lt;&gt;"销项开票",N($Q680)=0),0,ROUND(N($H680)/(1+$Q680)*N(IFERROR(INDEX(单位档案!$L$6:$L$35,MATCH($E680,单位档案!$A$6:$A$35,0)),"")),2))</f>
        <v>0</v>
      </c>
      <c r="W680" s="36" t="n">
        <f aca="false">ROUND($S680+$T680+$U680+$V680,2)</f>
        <v>0</v>
      </c>
      <c r="X680" s="35" t="str">
        <f aca="false">IF(OR($D680="挂靠代收",$D680="我方收款"),COUNTIFS($D$5:$D680,"挂靠代收")+COUNTIFS($D$5:$D680,"我方收款"),"")</f>
        <v/>
      </c>
      <c r="Y680" s="35"/>
      <c r="Z680" s="21" t="s">
        <v>111</v>
      </c>
    </row>
    <row r="681" customFormat="false" ht="15.75" hidden="false" customHeight="true" outlineLevel="0" collapsed="false">
      <c r="A681" s="32" t="str">
        <f aca="false">IF($B681="","",ROW()-4)</f>
        <v/>
      </c>
      <c r="B681" s="26"/>
      <c r="C681" s="24"/>
      <c r="D681" s="21"/>
      <c r="E681" s="21"/>
      <c r="F681" s="21"/>
      <c r="G681" s="21"/>
      <c r="H681" s="27"/>
      <c r="I681" s="23" t="str">
        <f aca="false">IF($D681&lt;&gt;"销项开票","",IF($N681="一级",IF(IFERROR(INDEX(项目档案!$E$6:$E$255,MATCH($C681,项目档案!$A$6:$A$255,0)),"")="",N(IFERROR(INDEX(单位档案!$D$6:$D$35,MATCH($E681,单位档案!$A$6:$A$35,0)),"")),IFERROR(INDEX(项目档案!$E$6:$E$255,MATCH($C681,项目档案!$A$6:$A$255,0)),"")),IF($N681="二级",IF(IFERROR(INDEX(项目档案!$G$6:$G$255,MATCH($C681,项目档案!$A$6:$A$255,0)),"")="",N(IFERROR(INDEX(单位档案!$D$6:$D$35,MATCH($E681,单位档案!$A$6:$A$35,0)),"")),IFERROR(INDEX(项目档案!$G$6:$G$255,MATCH($C681,项目档案!$A$6:$A$255,0)),"")),N(IFERROR(INDEX(单位档案!$D$6:$D$35,MATCH($E681,单位档案!$A$6:$A$35,0)),"")))))</f>
        <v/>
      </c>
      <c r="J681" s="22"/>
      <c r="K681" s="22"/>
      <c r="L681" s="33" t="str">
        <f aca="false">IF($B681="","",IF(NOT(ISNUMBER($B681)),"日期格式不对",IF($C681="","未选项目编号",IF(LEFT($M681,1)="⚠","项目编号不存在",IF($D681="","未选业务类型",IF($E681="","未选开票/付款方",IF(ISNA(MATCH($E681,单位档案!$A$6:$A$35,0)),"开票方不在单位档案",IF($F681="","未选收票/收款方",IF(ISNA(MATCH($F681,单位档案!$A$6:$A$35,0)),"收款方不在单位档案",IF(NOT(ISNUMBER($H681)),"金额须为数字",IF(AND($D681="销项开票",$N681="—"),"链条待确认","√")))))))))))</f>
        <v/>
      </c>
      <c r="M681" s="34" t="str">
        <f aca="false">IF($C681="","",IFERROR(INDEX(项目档案!$B$6:$B$255,MATCH($C681,项目档案!$A$6:$A$255,0)),"⚠项目编号不存在"))</f>
        <v/>
      </c>
      <c r="N681" s="35" t="str">
        <f aca="false">IF($E681="","",IF($E681=IFERROR(INDEX(项目档案!$D$6:$D$255,MATCH($C681,项目档案!$A$6:$A$255,0)),""),"一级",IF($E681=IFERROR(INDEX(项目档案!$F$6:$F$255,MATCH($C681,项目档案!$A$6:$A$255,0)),""),"二级",IF($E681=IFERROR(INDEX(项目档案!$H$6:$H$255,MATCH($C681,项目档案!$A$6:$A$255,0)),""),"我方","—"))))</f>
        <v/>
      </c>
      <c r="O681" s="36" t="n">
        <f aca="false">IF($D681&lt;&gt;"销项开票",0,ROUND(N($H681)*N($I681),2))</f>
        <v>0</v>
      </c>
      <c r="P681" s="36" t="n">
        <f aca="false">IF($D681&lt;&gt;"销项开票",0,ROUND(N($H681)-$O681,2))</f>
        <v>0</v>
      </c>
      <c r="Q681" s="37" t="str">
        <f aca="false">IF($E681="","",N(IFERROR(INDEX(单位档案!$E$6:$E$35,MATCH($E681,单位档案!$A$6:$A$35,0)),"")))</f>
        <v/>
      </c>
      <c r="R681" s="37" t="str">
        <f aca="false">IF($E681="","",N(IFERROR(INDEX(单位档案!$F$6:$F$35,MATCH($E681,单位档案!$A$6:$A$35,0)),"")))</f>
        <v/>
      </c>
      <c r="S681" s="36" t="n">
        <f aca="false">IF(OR($D681&lt;&gt;"销项开票",IFERROR(INDEX(单位档案!$G$6:$G$35,MATCH($E681,单位档案!$A$6:$A$35,0)),"")&lt;&gt;"是",N($Q681)=0),0,IF(IFERROR(INDEX(单位档案!$H$6:$H$35,MATCH($E681,单位档案!$A$6:$A$35,0)),"")="税差法",ROUND(N($H681)/(1+$Q681)*$Q681-IF(N($R681)=0,0,$P681/(1+$R681)*$R681),2),ROUND(N($H681)/(1+$Q681)*$Q681,2)))</f>
        <v>0</v>
      </c>
      <c r="T681" s="36" t="n">
        <f aca="false">ROUND($S681*N(IFERROR(INDEX(单位档案!$J$6:$J$35,MATCH($E681,单位档案!$A$6:$A$35,0)),"")),2)</f>
        <v>0</v>
      </c>
      <c r="U681" s="36" t="n">
        <f aca="false">IF($D681&lt;&gt;"销项开票",0,ROUND(N($H681)*N(IFERROR(INDEX(单位档案!$K$6:$K$35,MATCH($E681,单位档案!$A$6:$A$35,0)),"")),2))</f>
        <v>0</v>
      </c>
      <c r="V681" s="36" t="n">
        <f aca="false">IF(OR($D681&lt;&gt;"销项开票",N($Q681)=0),0,ROUND(N($H681)/(1+$Q681)*N(IFERROR(INDEX(单位档案!$L$6:$L$35,MATCH($E681,单位档案!$A$6:$A$35,0)),"")),2))</f>
        <v>0</v>
      </c>
      <c r="W681" s="36" t="n">
        <f aca="false">ROUND($S681+$T681+$U681+$V681,2)</f>
        <v>0</v>
      </c>
      <c r="X681" s="35" t="str">
        <f aca="false">IF(OR($D681="挂靠代收",$D681="我方收款"),COUNTIFS($D$5:$D681,"挂靠代收")+COUNTIFS($D$5:$D681,"我方收款"),"")</f>
        <v/>
      </c>
      <c r="Y681" s="35"/>
      <c r="Z681" s="21" t="s">
        <v>111</v>
      </c>
    </row>
    <row r="682" customFormat="false" ht="15.75" hidden="false" customHeight="true" outlineLevel="0" collapsed="false">
      <c r="A682" s="32" t="str">
        <f aca="false">IF($B682="","",ROW()-4)</f>
        <v/>
      </c>
      <c r="B682" s="26"/>
      <c r="C682" s="24"/>
      <c r="D682" s="21"/>
      <c r="E682" s="21"/>
      <c r="F682" s="21"/>
      <c r="G682" s="21"/>
      <c r="H682" s="27"/>
      <c r="I682" s="23" t="str">
        <f aca="false">IF($D682&lt;&gt;"销项开票","",IF($N682="一级",IF(IFERROR(INDEX(项目档案!$E$6:$E$255,MATCH($C682,项目档案!$A$6:$A$255,0)),"")="",N(IFERROR(INDEX(单位档案!$D$6:$D$35,MATCH($E682,单位档案!$A$6:$A$35,0)),"")),IFERROR(INDEX(项目档案!$E$6:$E$255,MATCH($C682,项目档案!$A$6:$A$255,0)),"")),IF($N682="二级",IF(IFERROR(INDEX(项目档案!$G$6:$G$255,MATCH($C682,项目档案!$A$6:$A$255,0)),"")="",N(IFERROR(INDEX(单位档案!$D$6:$D$35,MATCH($E682,单位档案!$A$6:$A$35,0)),"")),IFERROR(INDEX(项目档案!$G$6:$G$255,MATCH($C682,项目档案!$A$6:$A$255,0)),"")),N(IFERROR(INDEX(单位档案!$D$6:$D$35,MATCH($E682,单位档案!$A$6:$A$35,0)),"")))))</f>
        <v/>
      </c>
      <c r="J682" s="22"/>
      <c r="K682" s="22"/>
      <c r="L682" s="33" t="str">
        <f aca="false">IF($B682="","",IF(NOT(ISNUMBER($B682)),"日期格式不对",IF($C682="","未选项目编号",IF(LEFT($M682,1)="⚠","项目编号不存在",IF($D682="","未选业务类型",IF($E682="","未选开票/付款方",IF(ISNA(MATCH($E682,单位档案!$A$6:$A$35,0)),"开票方不在单位档案",IF($F682="","未选收票/收款方",IF(ISNA(MATCH($F682,单位档案!$A$6:$A$35,0)),"收款方不在单位档案",IF(NOT(ISNUMBER($H682)),"金额须为数字",IF(AND($D682="销项开票",$N682="—"),"链条待确认","√")))))))))))</f>
        <v/>
      </c>
      <c r="M682" s="34" t="str">
        <f aca="false">IF($C682="","",IFERROR(INDEX(项目档案!$B$6:$B$255,MATCH($C682,项目档案!$A$6:$A$255,0)),"⚠项目编号不存在"))</f>
        <v/>
      </c>
      <c r="N682" s="35" t="str">
        <f aca="false">IF($E682="","",IF($E682=IFERROR(INDEX(项目档案!$D$6:$D$255,MATCH($C682,项目档案!$A$6:$A$255,0)),""),"一级",IF($E682=IFERROR(INDEX(项目档案!$F$6:$F$255,MATCH($C682,项目档案!$A$6:$A$255,0)),""),"二级",IF($E682=IFERROR(INDEX(项目档案!$H$6:$H$255,MATCH($C682,项目档案!$A$6:$A$255,0)),""),"我方","—"))))</f>
        <v/>
      </c>
      <c r="O682" s="36" t="n">
        <f aca="false">IF($D682&lt;&gt;"销项开票",0,ROUND(N($H682)*N($I682),2))</f>
        <v>0</v>
      </c>
      <c r="P682" s="36" t="n">
        <f aca="false">IF($D682&lt;&gt;"销项开票",0,ROUND(N($H682)-$O682,2))</f>
        <v>0</v>
      </c>
      <c r="Q682" s="37" t="str">
        <f aca="false">IF($E682="","",N(IFERROR(INDEX(单位档案!$E$6:$E$35,MATCH($E682,单位档案!$A$6:$A$35,0)),"")))</f>
        <v/>
      </c>
      <c r="R682" s="37" t="str">
        <f aca="false">IF($E682="","",N(IFERROR(INDEX(单位档案!$F$6:$F$35,MATCH($E682,单位档案!$A$6:$A$35,0)),"")))</f>
        <v/>
      </c>
      <c r="S682" s="36" t="n">
        <f aca="false">IF(OR($D682&lt;&gt;"销项开票",IFERROR(INDEX(单位档案!$G$6:$G$35,MATCH($E682,单位档案!$A$6:$A$35,0)),"")&lt;&gt;"是",N($Q682)=0),0,IF(IFERROR(INDEX(单位档案!$H$6:$H$35,MATCH($E682,单位档案!$A$6:$A$35,0)),"")="税差法",ROUND(N($H682)/(1+$Q682)*$Q682-IF(N($R682)=0,0,$P682/(1+$R682)*$R682),2),ROUND(N($H682)/(1+$Q682)*$Q682,2)))</f>
        <v>0</v>
      </c>
      <c r="T682" s="36" t="n">
        <f aca="false">ROUND($S682*N(IFERROR(INDEX(单位档案!$J$6:$J$35,MATCH($E682,单位档案!$A$6:$A$35,0)),"")),2)</f>
        <v>0</v>
      </c>
      <c r="U682" s="36" t="n">
        <f aca="false">IF($D682&lt;&gt;"销项开票",0,ROUND(N($H682)*N(IFERROR(INDEX(单位档案!$K$6:$K$35,MATCH($E682,单位档案!$A$6:$A$35,0)),"")),2))</f>
        <v>0</v>
      </c>
      <c r="V682" s="36" t="n">
        <f aca="false">IF(OR($D682&lt;&gt;"销项开票",N($Q682)=0),0,ROUND(N($H682)/(1+$Q682)*N(IFERROR(INDEX(单位档案!$L$6:$L$35,MATCH($E682,单位档案!$A$6:$A$35,0)),"")),2))</f>
        <v>0</v>
      </c>
      <c r="W682" s="36" t="n">
        <f aca="false">ROUND($S682+$T682+$U682+$V682,2)</f>
        <v>0</v>
      </c>
      <c r="X682" s="35" t="str">
        <f aca="false">IF(OR($D682="挂靠代收",$D682="我方收款"),COUNTIFS($D$5:$D682,"挂靠代收")+COUNTIFS($D$5:$D682,"我方收款"),"")</f>
        <v/>
      </c>
      <c r="Y682" s="35"/>
      <c r="Z682" s="21" t="s">
        <v>111</v>
      </c>
    </row>
    <row r="683" customFormat="false" ht="15.75" hidden="false" customHeight="true" outlineLevel="0" collapsed="false">
      <c r="A683" s="32" t="str">
        <f aca="false">IF($B683="","",ROW()-4)</f>
        <v/>
      </c>
      <c r="B683" s="26"/>
      <c r="C683" s="24"/>
      <c r="D683" s="21"/>
      <c r="E683" s="21"/>
      <c r="F683" s="21"/>
      <c r="G683" s="21"/>
      <c r="H683" s="27"/>
      <c r="I683" s="23" t="str">
        <f aca="false">IF($D683&lt;&gt;"销项开票","",IF($N683="一级",IF(IFERROR(INDEX(项目档案!$E$6:$E$255,MATCH($C683,项目档案!$A$6:$A$255,0)),"")="",N(IFERROR(INDEX(单位档案!$D$6:$D$35,MATCH($E683,单位档案!$A$6:$A$35,0)),"")),IFERROR(INDEX(项目档案!$E$6:$E$255,MATCH($C683,项目档案!$A$6:$A$255,0)),"")),IF($N683="二级",IF(IFERROR(INDEX(项目档案!$G$6:$G$255,MATCH($C683,项目档案!$A$6:$A$255,0)),"")="",N(IFERROR(INDEX(单位档案!$D$6:$D$35,MATCH($E683,单位档案!$A$6:$A$35,0)),"")),IFERROR(INDEX(项目档案!$G$6:$G$255,MATCH($C683,项目档案!$A$6:$A$255,0)),"")),N(IFERROR(INDEX(单位档案!$D$6:$D$35,MATCH($E683,单位档案!$A$6:$A$35,0)),"")))))</f>
        <v/>
      </c>
      <c r="J683" s="22"/>
      <c r="K683" s="22"/>
      <c r="L683" s="33" t="str">
        <f aca="false">IF($B683="","",IF(NOT(ISNUMBER($B683)),"日期格式不对",IF($C683="","未选项目编号",IF(LEFT($M683,1)="⚠","项目编号不存在",IF($D683="","未选业务类型",IF($E683="","未选开票/付款方",IF(ISNA(MATCH($E683,单位档案!$A$6:$A$35,0)),"开票方不在单位档案",IF($F683="","未选收票/收款方",IF(ISNA(MATCH($F683,单位档案!$A$6:$A$35,0)),"收款方不在单位档案",IF(NOT(ISNUMBER($H683)),"金额须为数字",IF(AND($D683="销项开票",$N683="—"),"链条待确认","√")))))))))))</f>
        <v/>
      </c>
      <c r="M683" s="34" t="str">
        <f aca="false">IF($C683="","",IFERROR(INDEX(项目档案!$B$6:$B$255,MATCH($C683,项目档案!$A$6:$A$255,0)),"⚠项目编号不存在"))</f>
        <v/>
      </c>
      <c r="N683" s="35" t="str">
        <f aca="false">IF($E683="","",IF($E683=IFERROR(INDEX(项目档案!$D$6:$D$255,MATCH($C683,项目档案!$A$6:$A$255,0)),""),"一级",IF($E683=IFERROR(INDEX(项目档案!$F$6:$F$255,MATCH($C683,项目档案!$A$6:$A$255,0)),""),"二级",IF($E683=IFERROR(INDEX(项目档案!$H$6:$H$255,MATCH($C683,项目档案!$A$6:$A$255,0)),""),"我方","—"))))</f>
        <v/>
      </c>
      <c r="O683" s="36" t="n">
        <f aca="false">IF($D683&lt;&gt;"销项开票",0,ROUND(N($H683)*N($I683),2))</f>
        <v>0</v>
      </c>
      <c r="P683" s="36" t="n">
        <f aca="false">IF($D683&lt;&gt;"销项开票",0,ROUND(N($H683)-$O683,2))</f>
        <v>0</v>
      </c>
      <c r="Q683" s="37" t="str">
        <f aca="false">IF($E683="","",N(IFERROR(INDEX(单位档案!$E$6:$E$35,MATCH($E683,单位档案!$A$6:$A$35,0)),"")))</f>
        <v/>
      </c>
      <c r="R683" s="37" t="str">
        <f aca="false">IF($E683="","",N(IFERROR(INDEX(单位档案!$F$6:$F$35,MATCH($E683,单位档案!$A$6:$A$35,0)),"")))</f>
        <v/>
      </c>
      <c r="S683" s="36" t="n">
        <f aca="false">IF(OR($D683&lt;&gt;"销项开票",IFERROR(INDEX(单位档案!$G$6:$G$35,MATCH($E683,单位档案!$A$6:$A$35,0)),"")&lt;&gt;"是",N($Q683)=0),0,IF(IFERROR(INDEX(单位档案!$H$6:$H$35,MATCH($E683,单位档案!$A$6:$A$35,0)),"")="税差法",ROUND(N($H683)/(1+$Q683)*$Q683-IF(N($R683)=0,0,$P683/(1+$R683)*$R683),2),ROUND(N($H683)/(1+$Q683)*$Q683,2)))</f>
        <v>0</v>
      </c>
      <c r="T683" s="36" t="n">
        <f aca="false">ROUND($S683*N(IFERROR(INDEX(单位档案!$J$6:$J$35,MATCH($E683,单位档案!$A$6:$A$35,0)),"")),2)</f>
        <v>0</v>
      </c>
      <c r="U683" s="36" t="n">
        <f aca="false">IF($D683&lt;&gt;"销项开票",0,ROUND(N($H683)*N(IFERROR(INDEX(单位档案!$K$6:$K$35,MATCH($E683,单位档案!$A$6:$A$35,0)),"")),2))</f>
        <v>0</v>
      </c>
      <c r="V683" s="36" t="n">
        <f aca="false">IF(OR($D683&lt;&gt;"销项开票",N($Q683)=0),0,ROUND(N($H683)/(1+$Q683)*N(IFERROR(INDEX(单位档案!$L$6:$L$35,MATCH($E683,单位档案!$A$6:$A$35,0)),"")),2))</f>
        <v>0</v>
      </c>
      <c r="W683" s="36" t="n">
        <f aca="false">ROUND($S683+$T683+$U683+$V683,2)</f>
        <v>0</v>
      </c>
      <c r="X683" s="35" t="str">
        <f aca="false">IF(OR($D683="挂靠代收",$D683="我方收款"),COUNTIFS($D$5:$D683,"挂靠代收")+COUNTIFS($D$5:$D683,"我方收款"),"")</f>
        <v/>
      </c>
      <c r="Y683" s="35"/>
      <c r="Z683" s="21" t="s">
        <v>111</v>
      </c>
    </row>
    <row r="684" customFormat="false" ht="15.75" hidden="false" customHeight="true" outlineLevel="0" collapsed="false">
      <c r="A684" s="32" t="str">
        <f aca="false">IF($B684="","",ROW()-4)</f>
        <v/>
      </c>
      <c r="B684" s="26"/>
      <c r="C684" s="24"/>
      <c r="D684" s="21"/>
      <c r="E684" s="21"/>
      <c r="F684" s="21"/>
      <c r="G684" s="21"/>
      <c r="H684" s="27"/>
      <c r="I684" s="23" t="str">
        <f aca="false">IF($D684&lt;&gt;"销项开票","",IF($N684="一级",IF(IFERROR(INDEX(项目档案!$E$6:$E$255,MATCH($C684,项目档案!$A$6:$A$255,0)),"")="",N(IFERROR(INDEX(单位档案!$D$6:$D$35,MATCH($E684,单位档案!$A$6:$A$35,0)),"")),IFERROR(INDEX(项目档案!$E$6:$E$255,MATCH($C684,项目档案!$A$6:$A$255,0)),"")),IF($N684="二级",IF(IFERROR(INDEX(项目档案!$G$6:$G$255,MATCH($C684,项目档案!$A$6:$A$255,0)),"")="",N(IFERROR(INDEX(单位档案!$D$6:$D$35,MATCH($E684,单位档案!$A$6:$A$35,0)),"")),IFERROR(INDEX(项目档案!$G$6:$G$255,MATCH($C684,项目档案!$A$6:$A$255,0)),"")),N(IFERROR(INDEX(单位档案!$D$6:$D$35,MATCH($E684,单位档案!$A$6:$A$35,0)),"")))))</f>
        <v/>
      </c>
      <c r="J684" s="22"/>
      <c r="K684" s="22"/>
      <c r="L684" s="33" t="str">
        <f aca="false">IF($B684="","",IF(NOT(ISNUMBER($B684)),"日期格式不对",IF($C684="","未选项目编号",IF(LEFT($M684,1)="⚠","项目编号不存在",IF($D684="","未选业务类型",IF($E684="","未选开票/付款方",IF(ISNA(MATCH($E684,单位档案!$A$6:$A$35,0)),"开票方不在单位档案",IF($F684="","未选收票/收款方",IF(ISNA(MATCH($F684,单位档案!$A$6:$A$35,0)),"收款方不在单位档案",IF(NOT(ISNUMBER($H684)),"金额须为数字",IF(AND($D684="销项开票",$N684="—"),"链条待确认","√")))))))))))</f>
        <v/>
      </c>
      <c r="M684" s="34" t="str">
        <f aca="false">IF($C684="","",IFERROR(INDEX(项目档案!$B$6:$B$255,MATCH($C684,项目档案!$A$6:$A$255,0)),"⚠项目编号不存在"))</f>
        <v/>
      </c>
      <c r="N684" s="35" t="str">
        <f aca="false">IF($E684="","",IF($E684=IFERROR(INDEX(项目档案!$D$6:$D$255,MATCH($C684,项目档案!$A$6:$A$255,0)),""),"一级",IF($E684=IFERROR(INDEX(项目档案!$F$6:$F$255,MATCH($C684,项目档案!$A$6:$A$255,0)),""),"二级",IF($E684=IFERROR(INDEX(项目档案!$H$6:$H$255,MATCH($C684,项目档案!$A$6:$A$255,0)),""),"我方","—"))))</f>
        <v/>
      </c>
      <c r="O684" s="36" t="n">
        <f aca="false">IF($D684&lt;&gt;"销项开票",0,ROUND(N($H684)*N($I684),2))</f>
        <v>0</v>
      </c>
      <c r="P684" s="36" t="n">
        <f aca="false">IF($D684&lt;&gt;"销项开票",0,ROUND(N($H684)-$O684,2))</f>
        <v>0</v>
      </c>
      <c r="Q684" s="37" t="str">
        <f aca="false">IF($E684="","",N(IFERROR(INDEX(单位档案!$E$6:$E$35,MATCH($E684,单位档案!$A$6:$A$35,0)),"")))</f>
        <v/>
      </c>
      <c r="R684" s="37" t="str">
        <f aca="false">IF($E684="","",N(IFERROR(INDEX(单位档案!$F$6:$F$35,MATCH($E684,单位档案!$A$6:$A$35,0)),"")))</f>
        <v/>
      </c>
      <c r="S684" s="36" t="n">
        <f aca="false">IF(OR($D684&lt;&gt;"销项开票",IFERROR(INDEX(单位档案!$G$6:$G$35,MATCH($E684,单位档案!$A$6:$A$35,0)),"")&lt;&gt;"是",N($Q684)=0),0,IF(IFERROR(INDEX(单位档案!$H$6:$H$35,MATCH($E684,单位档案!$A$6:$A$35,0)),"")="税差法",ROUND(N($H684)/(1+$Q684)*$Q684-IF(N($R684)=0,0,$P684/(1+$R684)*$R684),2),ROUND(N($H684)/(1+$Q684)*$Q684,2)))</f>
        <v>0</v>
      </c>
      <c r="T684" s="36" t="n">
        <f aca="false">ROUND($S684*N(IFERROR(INDEX(单位档案!$J$6:$J$35,MATCH($E684,单位档案!$A$6:$A$35,0)),"")),2)</f>
        <v>0</v>
      </c>
      <c r="U684" s="36" t="n">
        <f aca="false">IF($D684&lt;&gt;"销项开票",0,ROUND(N($H684)*N(IFERROR(INDEX(单位档案!$K$6:$K$35,MATCH($E684,单位档案!$A$6:$A$35,0)),"")),2))</f>
        <v>0</v>
      </c>
      <c r="V684" s="36" t="n">
        <f aca="false">IF(OR($D684&lt;&gt;"销项开票",N($Q684)=0),0,ROUND(N($H684)/(1+$Q684)*N(IFERROR(INDEX(单位档案!$L$6:$L$35,MATCH($E684,单位档案!$A$6:$A$35,0)),"")),2))</f>
        <v>0</v>
      </c>
      <c r="W684" s="36" t="n">
        <f aca="false">ROUND($S684+$T684+$U684+$V684,2)</f>
        <v>0</v>
      </c>
      <c r="X684" s="35" t="str">
        <f aca="false">IF(OR($D684="挂靠代收",$D684="我方收款"),COUNTIFS($D$5:$D684,"挂靠代收")+COUNTIFS($D$5:$D684,"我方收款"),"")</f>
        <v/>
      </c>
      <c r="Y684" s="35"/>
      <c r="Z684" s="21" t="s">
        <v>111</v>
      </c>
    </row>
    <row r="685" customFormat="false" ht="15.75" hidden="false" customHeight="true" outlineLevel="0" collapsed="false">
      <c r="A685" s="32" t="str">
        <f aca="false">IF($B685="","",ROW()-4)</f>
        <v/>
      </c>
      <c r="B685" s="26"/>
      <c r="C685" s="24"/>
      <c r="D685" s="21"/>
      <c r="E685" s="21"/>
      <c r="F685" s="21"/>
      <c r="G685" s="21"/>
      <c r="H685" s="27"/>
      <c r="I685" s="23" t="str">
        <f aca="false">IF($D685&lt;&gt;"销项开票","",IF($N685="一级",IF(IFERROR(INDEX(项目档案!$E$6:$E$255,MATCH($C685,项目档案!$A$6:$A$255,0)),"")="",N(IFERROR(INDEX(单位档案!$D$6:$D$35,MATCH($E685,单位档案!$A$6:$A$35,0)),"")),IFERROR(INDEX(项目档案!$E$6:$E$255,MATCH($C685,项目档案!$A$6:$A$255,0)),"")),IF($N685="二级",IF(IFERROR(INDEX(项目档案!$G$6:$G$255,MATCH($C685,项目档案!$A$6:$A$255,0)),"")="",N(IFERROR(INDEX(单位档案!$D$6:$D$35,MATCH($E685,单位档案!$A$6:$A$35,0)),"")),IFERROR(INDEX(项目档案!$G$6:$G$255,MATCH($C685,项目档案!$A$6:$A$255,0)),"")),N(IFERROR(INDEX(单位档案!$D$6:$D$35,MATCH($E685,单位档案!$A$6:$A$35,0)),"")))))</f>
        <v/>
      </c>
      <c r="J685" s="22"/>
      <c r="K685" s="22"/>
      <c r="L685" s="33" t="str">
        <f aca="false">IF($B685="","",IF(NOT(ISNUMBER($B685)),"日期格式不对",IF($C685="","未选项目编号",IF(LEFT($M685,1)="⚠","项目编号不存在",IF($D685="","未选业务类型",IF($E685="","未选开票/付款方",IF(ISNA(MATCH($E685,单位档案!$A$6:$A$35,0)),"开票方不在单位档案",IF($F685="","未选收票/收款方",IF(ISNA(MATCH($F685,单位档案!$A$6:$A$35,0)),"收款方不在单位档案",IF(NOT(ISNUMBER($H685)),"金额须为数字",IF(AND($D685="销项开票",$N685="—"),"链条待确认","√")))))))))))</f>
        <v/>
      </c>
      <c r="M685" s="34" t="str">
        <f aca="false">IF($C685="","",IFERROR(INDEX(项目档案!$B$6:$B$255,MATCH($C685,项目档案!$A$6:$A$255,0)),"⚠项目编号不存在"))</f>
        <v/>
      </c>
      <c r="N685" s="35" t="str">
        <f aca="false">IF($E685="","",IF($E685=IFERROR(INDEX(项目档案!$D$6:$D$255,MATCH($C685,项目档案!$A$6:$A$255,0)),""),"一级",IF($E685=IFERROR(INDEX(项目档案!$F$6:$F$255,MATCH($C685,项目档案!$A$6:$A$255,0)),""),"二级",IF($E685=IFERROR(INDEX(项目档案!$H$6:$H$255,MATCH($C685,项目档案!$A$6:$A$255,0)),""),"我方","—"))))</f>
        <v/>
      </c>
      <c r="O685" s="36" t="n">
        <f aca="false">IF($D685&lt;&gt;"销项开票",0,ROUND(N($H685)*N($I685),2))</f>
        <v>0</v>
      </c>
      <c r="P685" s="36" t="n">
        <f aca="false">IF($D685&lt;&gt;"销项开票",0,ROUND(N($H685)-$O685,2))</f>
        <v>0</v>
      </c>
      <c r="Q685" s="37" t="str">
        <f aca="false">IF($E685="","",N(IFERROR(INDEX(单位档案!$E$6:$E$35,MATCH($E685,单位档案!$A$6:$A$35,0)),"")))</f>
        <v/>
      </c>
      <c r="R685" s="37" t="str">
        <f aca="false">IF($E685="","",N(IFERROR(INDEX(单位档案!$F$6:$F$35,MATCH($E685,单位档案!$A$6:$A$35,0)),"")))</f>
        <v/>
      </c>
      <c r="S685" s="36" t="n">
        <f aca="false">IF(OR($D685&lt;&gt;"销项开票",IFERROR(INDEX(单位档案!$G$6:$G$35,MATCH($E685,单位档案!$A$6:$A$35,0)),"")&lt;&gt;"是",N($Q685)=0),0,IF(IFERROR(INDEX(单位档案!$H$6:$H$35,MATCH($E685,单位档案!$A$6:$A$35,0)),"")="税差法",ROUND(N($H685)/(1+$Q685)*$Q685-IF(N($R685)=0,0,$P685/(1+$R685)*$R685),2),ROUND(N($H685)/(1+$Q685)*$Q685,2)))</f>
        <v>0</v>
      </c>
      <c r="T685" s="36" t="n">
        <f aca="false">ROUND($S685*N(IFERROR(INDEX(单位档案!$J$6:$J$35,MATCH($E685,单位档案!$A$6:$A$35,0)),"")),2)</f>
        <v>0</v>
      </c>
      <c r="U685" s="36" t="n">
        <f aca="false">IF($D685&lt;&gt;"销项开票",0,ROUND(N($H685)*N(IFERROR(INDEX(单位档案!$K$6:$K$35,MATCH($E685,单位档案!$A$6:$A$35,0)),"")),2))</f>
        <v>0</v>
      </c>
      <c r="V685" s="36" t="n">
        <f aca="false">IF(OR($D685&lt;&gt;"销项开票",N($Q685)=0),0,ROUND(N($H685)/(1+$Q685)*N(IFERROR(INDEX(单位档案!$L$6:$L$35,MATCH($E685,单位档案!$A$6:$A$35,0)),"")),2))</f>
        <v>0</v>
      </c>
      <c r="W685" s="36" t="n">
        <f aca="false">ROUND($S685+$T685+$U685+$V685,2)</f>
        <v>0</v>
      </c>
      <c r="X685" s="35" t="str">
        <f aca="false">IF(OR($D685="挂靠代收",$D685="我方收款"),COUNTIFS($D$5:$D685,"挂靠代收")+COUNTIFS($D$5:$D685,"我方收款"),"")</f>
        <v/>
      </c>
      <c r="Y685" s="35"/>
      <c r="Z685" s="21" t="s">
        <v>111</v>
      </c>
    </row>
    <row r="686" customFormat="false" ht="15.75" hidden="false" customHeight="true" outlineLevel="0" collapsed="false">
      <c r="A686" s="32" t="str">
        <f aca="false">IF($B686="","",ROW()-4)</f>
        <v/>
      </c>
      <c r="B686" s="26"/>
      <c r="C686" s="24"/>
      <c r="D686" s="21"/>
      <c r="E686" s="21"/>
      <c r="F686" s="21"/>
      <c r="G686" s="21"/>
      <c r="H686" s="27"/>
      <c r="I686" s="23" t="str">
        <f aca="false">IF($D686&lt;&gt;"销项开票","",IF($N686="一级",IF(IFERROR(INDEX(项目档案!$E$6:$E$255,MATCH($C686,项目档案!$A$6:$A$255,0)),"")="",N(IFERROR(INDEX(单位档案!$D$6:$D$35,MATCH($E686,单位档案!$A$6:$A$35,0)),"")),IFERROR(INDEX(项目档案!$E$6:$E$255,MATCH($C686,项目档案!$A$6:$A$255,0)),"")),IF($N686="二级",IF(IFERROR(INDEX(项目档案!$G$6:$G$255,MATCH($C686,项目档案!$A$6:$A$255,0)),"")="",N(IFERROR(INDEX(单位档案!$D$6:$D$35,MATCH($E686,单位档案!$A$6:$A$35,0)),"")),IFERROR(INDEX(项目档案!$G$6:$G$255,MATCH($C686,项目档案!$A$6:$A$255,0)),"")),N(IFERROR(INDEX(单位档案!$D$6:$D$35,MATCH($E686,单位档案!$A$6:$A$35,0)),"")))))</f>
        <v/>
      </c>
      <c r="J686" s="22"/>
      <c r="K686" s="22"/>
      <c r="L686" s="33" t="str">
        <f aca="false">IF($B686="","",IF(NOT(ISNUMBER($B686)),"日期格式不对",IF($C686="","未选项目编号",IF(LEFT($M686,1)="⚠","项目编号不存在",IF($D686="","未选业务类型",IF($E686="","未选开票/付款方",IF(ISNA(MATCH($E686,单位档案!$A$6:$A$35,0)),"开票方不在单位档案",IF($F686="","未选收票/收款方",IF(ISNA(MATCH($F686,单位档案!$A$6:$A$35,0)),"收款方不在单位档案",IF(NOT(ISNUMBER($H686)),"金额须为数字",IF(AND($D686="销项开票",$N686="—"),"链条待确认","√")))))))))))</f>
        <v/>
      </c>
      <c r="M686" s="34" t="str">
        <f aca="false">IF($C686="","",IFERROR(INDEX(项目档案!$B$6:$B$255,MATCH($C686,项目档案!$A$6:$A$255,0)),"⚠项目编号不存在"))</f>
        <v/>
      </c>
      <c r="N686" s="35" t="str">
        <f aca="false">IF($E686="","",IF($E686=IFERROR(INDEX(项目档案!$D$6:$D$255,MATCH($C686,项目档案!$A$6:$A$255,0)),""),"一级",IF($E686=IFERROR(INDEX(项目档案!$F$6:$F$255,MATCH($C686,项目档案!$A$6:$A$255,0)),""),"二级",IF($E686=IFERROR(INDEX(项目档案!$H$6:$H$255,MATCH($C686,项目档案!$A$6:$A$255,0)),""),"我方","—"))))</f>
        <v/>
      </c>
      <c r="O686" s="36" t="n">
        <f aca="false">IF($D686&lt;&gt;"销项开票",0,ROUND(N($H686)*N($I686),2))</f>
        <v>0</v>
      </c>
      <c r="P686" s="36" t="n">
        <f aca="false">IF($D686&lt;&gt;"销项开票",0,ROUND(N($H686)-$O686,2))</f>
        <v>0</v>
      </c>
      <c r="Q686" s="37" t="str">
        <f aca="false">IF($E686="","",N(IFERROR(INDEX(单位档案!$E$6:$E$35,MATCH($E686,单位档案!$A$6:$A$35,0)),"")))</f>
        <v/>
      </c>
      <c r="R686" s="37" t="str">
        <f aca="false">IF($E686="","",N(IFERROR(INDEX(单位档案!$F$6:$F$35,MATCH($E686,单位档案!$A$6:$A$35,0)),"")))</f>
        <v/>
      </c>
      <c r="S686" s="36" t="n">
        <f aca="false">IF(OR($D686&lt;&gt;"销项开票",IFERROR(INDEX(单位档案!$G$6:$G$35,MATCH($E686,单位档案!$A$6:$A$35,0)),"")&lt;&gt;"是",N($Q686)=0),0,IF(IFERROR(INDEX(单位档案!$H$6:$H$35,MATCH($E686,单位档案!$A$6:$A$35,0)),"")="税差法",ROUND(N($H686)/(1+$Q686)*$Q686-IF(N($R686)=0,0,$P686/(1+$R686)*$R686),2),ROUND(N($H686)/(1+$Q686)*$Q686,2)))</f>
        <v>0</v>
      </c>
      <c r="T686" s="36" t="n">
        <f aca="false">ROUND($S686*N(IFERROR(INDEX(单位档案!$J$6:$J$35,MATCH($E686,单位档案!$A$6:$A$35,0)),"")),2)</f>
        <v>0</v>
      </c>
      <c r="U686" s="36" t="n">
        <f aca="false">IF($D686&lt;&gt;"销项开票",0,ROUND(N($H686)*N(IFERROR(INDEX(单位档案!$K$6:$K$35,MATCH($E686,单位档案!$A$6:$A$35,0)),"")),2))</f>
        <v>0</v>
      </c>
      <c r="V686" s="36" t="n">
        <f aca="false">IF(OR($D686&lt;&gt;"销项开票",N($Q686)=0),0,ROUND(N($H686)/(1+$Q686)*N(IFERROR(INDEX(单位档案!$L$6:$L$35,MATCH($E686,单位档案!$A$6:$A$35,0)),"")),2))</f>
        <v>0</v>
      </c>
      <c r="W686" s="36" t="n">
        <f aca="false">ROUND($S686+$T686+$U686+$V686,2)</f>
        <v>0</v>
      </c>
      <c r="X686" s="35" t="str">
        <f aca="false">IF(OR($D686="挂靠代收",$D686="我方收款"),COUNTIFS($D$5:$D686,"挂靠代收")+COUNTIFS($D$5:$D686,"我方收款"),"")</f>
        <v/>
      </c>
      <c r="Y686" s="35"/>
      <c r="Z686" s="21" t="s">
        <v>111</v>
      </c>
    </row>
    <row r="687" customFormat="false" ht="15.75" hidden="false" customHeight="true" outlineLevel="0" collapsed="false">
      <c r="A687" s="32" t="str">
        <f aca="false">IF($B687="","",ROW()-4)</f>
        <v/>
      </c>
      <c r="B687" s="26"/>
      <c r="C687" s="24"/>
      <c r="D687" s="21"/>
      <c r="E687" s="21"/>
      <c r="F687" s="21"/>
      <c r="G687" s="21"/>
      <c r="H687" s="27"/>
      <c r="I687" s="23" t="str">
        <f aca="false">IF($D687&lt;&gt;"销项开票","",IF($N687="一级",IF(IFERROR(INDEX(项目档案!$E$6:$E$255,MATCH($C687,项目档案!$A$6:$A$255,0)),"")="",N(IFERROR(INDEX(单位档案!$D$6:$D$35,MATCH($E687,单位档案!$A$6:$A$35,0)),"")),IFERROR(INDEX(项目档案!$E$6:$E$255,MATCH($C687,项目档案!$A$6:$A$255,0)),"")),IF($N687="二级",IF(IFERROR(INDEX(项目档案!$G$6:$G$255,MATCH($C687,项目档案!$A$6:$A$255,0)),"")="",N(IFERROR(INDEX(单位档案!$D$6:$D$35,MATCH($E687,单位档案!$A$6:$A$35,0)),"")),IFERROR(INDEX(项目档案!$G$6:$G$255,MATCH($C687,项目档案!$A$6:$A$255,0)),"")),N(IFERROR(INDEX(单位档案!$D$6:$D$35,MATCH($E687,单位档案!$A$6:$A$35,0)),"")))))</f>
        <v/>
      </c>
      <c r="J687" s="22"/>
      <c r="K687" s="22"/>
      <c r="L687" s="33" t="str">
        <f aca="false">IF($B687="","",IF(NOT(ISNUMBER($B687)),"日期格式不对",IF($C687="","未选项目编号",IF(LEFT($M687,1)="⚠","项目编号不存在",IF($D687="","未选业务类型",IF($E687="","未选开票/付款方",IF(ISNA(MATCH($E687,单位档案!$A$6:$A$35,0)),"开票方不在单位档案",IF($F687="","未选收票/收款方",IF(ISNA(MATCH($F687,单位档案!$A$6:$A$35,0)),"收款方不在单位档案",IF(NOT(ISNUMBER($H687)),"金额须为数字",IF(AND($D687="销项开票",$N687="—"),"链条待确认","√")))))))))))</f>
        <v/>
      </c>
      <c r="M687" s="34" t="str">
        <f aca="false">IF($C687="","",IFERROR(INDEX(项目档案!$B$6:$B$255,MATCH($C687,项目档案!$A$6:$A$255,0)),"⚠项目编号不存在"))</f>
        <v/>
      </c>
      <c r="N687" s="35" t="str">
        <f aca="false">IF($E687="","",IF($E687=IFERROR(INDEX(项目档案!$D$6:$D$255,MATCH($C687,项目档案!$A$6:$A$255,0)),""),"一级",IF($E687=IFERROR(INDEX(项目档案!$F$6:$F$255,MATCH($C687,项目档案!$A$6:$A$255,0)),""),"二级",IF($E687=IFERROR(INDEX(项目档案!$H$6:$H$255,MATCH($C687,项目档案!$A$6:$A$255,0)),""),"我方","—"))))</f>
        <v/>
      </c>
      <c r="O687" s="36" t="n">
        <f aca="false">IF($D687&lt;&gt;"销项开票",0,ROUND(N($H687)*N($I687),2))</f>
        <v>0</v>
      </c>
      <c r="P687" s="36" t="n">
        <f aca="false">IF($D687&lt;&gt;"销项开票",0,ROUND(N($H687)-$O687,2))</f>
        <v>0</v>
      </c>
      <c r="Q687" s="37" t="str">
        <f aca="false">IF($E687="","",N(IFERROR(INDEX(单位档案!$E$6:$E$35,MATCH($E687,单位档案!$A$6:$A$35,0)),"")))</f>
        <v/>
      </c>
      <c r="R687" s="37" t="str">
        <f aca="false">IF($E687="","",N(IFERROR(INDEX(单位档案!$F$6:$F$35,MATCH($E687,单位档案!$A$6:$A$35,0)),"")))</f>
        <v/>
      </c>
      <c r="S687" s="36" t="n">
        <f aca="false">IF(OR($D687&lt;&gt;"销项开票",IFERROR(INDEX(单位档案!$G$6:$G$35,MATCH($E687,单位档案!$A$6:$A$35,0)),"")&lt;&gt;"是",N($Q687)=0),0,IF(IFERROR(INDEX(单位档案!$H$6:$H$35,MATCH($E687,单位档案!$A$6:$A$35,0)),"")="税差法",ROUND(N($H687)/(1+$Q687)*$Q687-IF(N($R687)=0,0,$P687/(1+$R687)*$R687),2),ROUND(N($H687)/(1+$Q687)*$Q687,2)))</f>
        <v>0</v>
      </c>
      <c r="T687" s="36" t="n">
        <f aca="false">ROUND($S687*N(IFERROR(INDEX(单位档案!$J$6:$J$35,MATCH($E687,单位档案!$A$6:$A$35,0)),"")),2)</f>
        <v>0</v>
      </c>
      <c r="U687" s="36" t="n">
        <f aca="false">IF($D687&lt;&gt;"销项开票",0,ROUND(N($H687)*N(IFERROR(INDEX(单位档案!$K$6:$K$35,MATCH($E687,单位档案!$A$6:$A$35,0)),"")),2))</f>
        <v>0</v>
      </c>
      <c r="V687" s="36" t="n">
        <f aca="false">IF(OR($D687&lt;&gt;"销项开票",N($Q687)=0),0,ROUND(N($H687)/(1+$Q687)*N(IFERROR(INDEX(单位档案!$L$6:$L$35,MATCH($E687,单位档案!$A$6:$A$35,0)),"")),2))</f>
        <v>0</v>
      </c>
      <c r="W687" s="36" t="n">
        <f aca="false">ROUND($S687+$T687+$U687+$V687,2)</f>
        <v>0</v>
      </c>
      <c r="X687" s="35" t="str">
        <f aca="false">IF(OR($D687="挂靠代收",$D687="我方收款"),COUNTIFS($D$5:$D687,"挂靠代收")+COUNTIFS($D$5:$D687,"我方收款"),"")</f>
        <v/>
      </c>
      <c r="Y687" s="35"/>
      <c r="Z687" s="21" t="s">
        <v>111</v>
      </c>
    </row>
    <row r="688" customFormat="false" ht="15.75" hidden="false" customHeight="true" outlineLevel="0" collapsed="false">
      <c r="A688" s="32" t="str">
        <f aca="false">IF($B688="","",ROW()-4)</f>
        <v/>
      </c>
      <c r="B688" s="26"/>
      <c r="C688" s="24"/>
      <c r="D688" s="21"/>
      <c r="E688" s="21"/>
      <c r="F688" s="21"/>
      <c r="G688" s="21"/>
      <c r="H688" s="27"/>
      <c r="I688" s="23" t="str">
        <f aca="false">IF($D688&lt;&gt;"销项开票","",IF($N688="一级",IF(IFERROR(INDEX(项目档案!$E$6:$E$255,MATCH($C688,项目档案!$A$6:$A$255,0)),"")="",N(IFERROR(INDEX(单位档案!$D$6:$D$35,MATCH($E688,单位档案!$A$6:$A$35,0)),"")),IFERROR(INDEX(项目档案!$E$6:$E$255,MATCH($C688,项目档案!$A$6:$A$255,0)),"")),IF($N688="二级",IF(IFERROR(INDEX(项目档案!$G$6:$G$255,MATCH($C688,项目档案!$A$6:$A$255,0)),"")="",N(IFERROR(INDEX(单位档案!$D$6:$D$35,MATCH($E688,单位档案!$A$6:$A$35,0)),"")),IFERROR(INDEX(项目档案!$G$6:$G$255,MATCH($C688,项目档案!$A$6:$A$255,0)),"")),N(IFERROR(INDEX(单位档案!$D$6:$D$35,MATCH($E688,单位档案!$A$6:$A$35,0)),"")))))</f>
        <v/>
      </c>
      <c r="J688" s="22"/>
      <c r="K688" s="22"/>
      <c r="L688" s="33" t="str">
        <f aca="false">IF($B688="","",IF(NOT(ISNUMBER($B688)),"日期格式不对",IF($C688="","未选项目编号",IF(LEFT($M688,1)="⚠","项目编号不存在",IF($D688="","未选业务类型",IF($E688="","未选开票/付款方",IF(ISNA(MATCH($E688,单位档案!$A$6:$A$35,0)),"开票方不在单位档案",IF($F688="","未选收票/收款方",IF(ISNA(MATCH($F688,单位档案!$A$6:$A$35,0)),"收款方不在单位档案",IF(NOT(ISNUMBER($H688)),"金额须为数字",IF(AND($D688="销项开票",$N688="—"),"链条待确认","√")))))))))))</f>
        <v/>
      </c>
      <c r="M688" s="34" t="str">
        <f aca="false">IF($C688="","",IFERROR(INDEX(项目档案!$B$6:$B$255,MATCH($C688,项目档案!$A$6:$A$255,0)),"⚠项目编号不存在"))</f>
        <v/>
      </c>
      <c r="N688" s="35" t="str">
        <f aca="false">IF($E688="","",IF($E688=IFERROR(INDEX(项目档案!$D$6:$D$255,MATCH($C688,项目档案!$A$6:$A$255,0)),""),"一级",IF($E688=IFERROR(INDEX(项目档案!$F$6:$F$255,MATCH($C688,项目档案!$A$6:$A$255,0)),""),"二级",IF($E688=IFERROR(INDEX(项目档案!$H$6:$H$255,MATCH($C688,项目档案!$A$6:$A$255,0)),""),"我方","—"))))</f>
        <v/>
      </c>
      <c r="O688" s="36" t="n">
        <f aca="false">IF($D688&lt;&gt;"销项开票",0,ROUND(N($H688)*N($I688),2))</f>
        <v>0</v>
      </c>
      <c r="P688" s="36" t="n">
        <f aca="false">IF($D688&lt;&gt;"销项开票",0,ROUND(N($H688)-$O688,2))</f>
        <v>0</v>
      </c>
      <c r="Q688" s="37" t="str">
        <f aca="false">IF($E688="","",N(IFERROR(INDEX(单位档案!$E$6:$E$35,MATCH($E688,单位档案!$A$6:$A$35,0)),"")))</f>
        <v/>
      </c>
      <c r="R688" s="37" t="str">
        <f aca="false">IF($E688="","",N(IFERROR(INDEX(单位档案!$F$6:$F$35,MATCH($E688,单位档案!$A$6:$A$35,0)),"")))</f>
        <v/>
      </c>
      <c r="S688" s="36" t="n">
        <f aca="false">IF(OR($D688&lt;&gt;"销项开票",IFERROR(INDEX(单位档案!$G$6:$G$35,MATCH($E688,单位档案!$A$6:$A$35,0)),"")&lt;&gt;"是",N($Q688)=0),0,IF(IFERROR(INDEX(单位档案!$H$6:$H$35,MATCH($E688,单位档案!$A$6:$A$35,0)),"")="税差法",ROUND(N($H688)/(1+$Q688)*$Q688-IF(N($R688)=0,0,$P688/(1+$R688)*$R688),2),ROUND(N($H688)/(1+$Q688)*$Q688,2)))</f>
        <v>0</v>
      </c>
      <c r="T688" s="36" t="n">
        <f aca="false">ROUND($S688*N(IFERROR(INDEX(单位档案!$J$6:$J$35,MATCH($E688,单位档案!$A$6:$A$35,0)),"")),2)</f>
        <v>0</v>
      </c>
      <c r="U688" s="36" t="n">
        <f aca="false">IF($D688&lt;&gt;"销项开票",0,ROUND(N($H688)*N(IFERROR(INDEX(单位档案!$K$6:$K$35,MATCH($E688,单位档案!$A$6:$A$35,0)),"")),2))</f>
        <v>0</v>
      </c>
      <c r="V688" s="36" t="n">
        <f aca="false">IF(OR($D688&lt;&gt;"销项开票",N($Q688)=0),0,ROUND(N($H688)/(1+$Q688)*N(IFERROR(INDEX(单位档案!$L$6:$L$35,MATCH($E688,单位档案!$A$6:$A$35,0)),"")),2))</f>
        <v>0</v>
      </c>
      <c r="W688" s="36" t="n">
        <f aca="false">ROUND($S688+$T688+$U688+$V688,2)</f>
        <v>0</v>
      </c>
      <c r="X688" s="35" t="str">
        <f aca="false">IF(OR($D688="挂靠代收",$D688="我方收款"),COUNTIFS($D$5:$D688,"挂靠代收")+COUNTIFS($D$5:$D688,"我方收款"),"")</f>
        <v/>
      </c>
      <c r="Y688" s="35"/>
      <c r="Z688" s="21" t="s">
        <v>111</v>
      </c>
    </row>
    <row r="689" customFormat="false" ht="15.75" hidden="false" customHeight="true" outlineLevel="0" collapsed="false">
      <c r="A689" s="32" t="str">
        <f aca="false">IF($B689="","",ROW()-4)</f>
        <v/>
      </c>
      <c r="B689" s="26"/>
      <c r="C689" s="24"/>
      <c r="D689" s="21"/>
      <c r="E689" s="21"/>
      <c r="F689" s="21"/>
      <c r="G689" s="21"/>
      <c r="H689" s="27"/>
      <c r="I689" s="23" t="str">
        <f aca="false">IF($D689&lt;&gt;"销项开票","",IF($N689="一级",IF(IFERROR(INDEX(项目档案!$E$6:$E$255,MATCH($C689,项目档案!$A$6:$A$255,0)),"")="",N(IFERROR(INDEX(单位档案!$D$6:$D$35,MATCH($E689,单位档案!$A$6:$A$35,0)),"")),IFERROR(INDEX(项目档案!$E$6:$E$255,MATCH($C689,项目档案!$A$6:$A$255,0)),"")),IF($N689="二级",IF(IFERROR(INDEX(项目档案!$G$6:$G$255,MATCH($C689,项目档案!$A$6:$A$255,0)),"")="",N(IFERROR(INDEX(单位档案!$D$6:$D$35,MATCH($E689,单位档案!$A$6:$A$35,0)),"")),IFERROR(INDEX(项目档案!$G$6:$G$255,MATCH($C689,项目档案!$A$6:$A$255,0)),"")),N(IFERROR(INDEX(单位档案!$D$6:$D$35,MATCH($E689,单位档案!$A$6:$A$35,0)),"")))))</f>
        <v/>
      </c>
      <c r="J689" s="22"/>
      <c r="K689" s="22"/>
      <c r="L689" s="33" t="str">
        <f aca="false">IF($B689="","",IF(NOT(ISNUMBER($B689)),"日期格式不对",IF($C689="","未选项目编号",IF(LEFT($M689,1)="⚠","项目编号不存在",IF($D689="","未选业务类型",IF($E689="","未选开票/付款方",IF(ISNA(MATCH($E689,单位档案!$A$6:$A$35,0)),"开票方不在单位档案",IF($F689="","未选收票/收款方",IF(ISNA(MATCH($F689,单位档案!$A$6:$A$35,0)),"收款方不在单位档案",IF(NOT(ISNUMBER($H689)),"金额须为数字",IF(AND($D689="销项开票",$N689="—"),"链条待确认","√")))))))))))</f>
        <v/>
      </c>
      <c r="M689" s="34" t="str">
        <f aca="false">IF($C689="","",IFERROR(INDEX(项目档案!$B$6:$B$255,MATCH($C689,项目档案!$A$6:$A$255,0)),"⚠项目编号不存在"))</f>
        <v/>
      </c>
      <c r="N689" s="35" t="str">
        <f aca="false">IF($E689="","",IF($E689=IFERROR(INDEX(项目档案!$D$6:$D$255,MATCH($C689,项目档案!$A$6:$A$255,0)),""),"一级",IF($E689=IFERROR(INDEX(项目档案!$F$6:$F$255,MATCH($C689,项目档案!$A$6:$A$255,0)),""),"二级",IF($E689=IFERROR(INDEX(项目档案!$H$6:$H$255,MATCH($C689,项目档案!$A$6:$A$255,0)),""),"我方","—"))))</f>
        <v/>
      </c>
      <c r="O689" s="36" t="n">
        <f aca="false">IF($D689&lt;&gt;"销项开票",0,ROUND(N($H689)*N($I689),2))</f>
        <v>0</v>
      </c>
      <c r="P689" s="36" t="n">
        <f aca="false">IF($D689&lt;&gt;"销项开票",0,ROUND(N($H689)-$O689,2))</f>
        <v>0</v>
      </c>
      <c r="Q689" s="37" t="str">
        <f aca="false">IF($E689="","",N(IFERROR(INDEX(单位档案!$E$6:$E$35,MATCH($E689,单位档案!$A$6:$A$35,0)),"")))</f>
        <v/>
      </c>
      <c r="R689" s="37" t="str">
        <f aca="false">IF($E689="","",N(IFERROR(INDEX(单位档案!$F$6:$F$35,MATCH($E689,单位档案!$A$6:$A$35,0)),"")))</f>
        <v/>
      </c>
      <c r="S689" s="36" t="n">
        <f aca="false">IF(OR($D689&lt;&gt;"销项开票",IFERROR(INDEX(单位档案!$G$6:$G$35,MATCH($E689,单位档案!$A$6:$A$35,0)),"")&lt;&gt;"是",N($Q689)=0),0,IF(IFERROR(INDEX(单位档案!$H$6:$H$35,MATCH($E689,单位档案!$A$6:$A$35,0)),"")="税差法",ROUND(N($H689)/(1+$Q689)*$Q689-IF(N($R689)=0,0,$P689/(1+$R689)*$R689),2),ROUND(N($H689)/(1+$Q689)*$Q689,2)))</f>
        <v>0</v>
      </c>
      <c r="T689" s="36" t="n">
        <f aca="false">ROUND($S689*N(IFERROR(INDEX(单位档案!$J$6:$J$35,MATCH($E689,单位档案!$A$6:$A$35,0)),"")),2)</f>
        <v>0</v>
      </c>
      <c r="U689" s="36" t="n">
        <f aca="false">IF($D689&lt;&gt;"销项开票",0,ROUND(N($H689)*N(IFERROR(INDEX(单位档案!$K$6:$K$35,MATCH($E689,单位档案!$A$6:$A$35,0)),"")),2))</f>
        <v>0</v>
      </c>
      <c r="V689" s="36" t="n">
        <f aca="false">IF(OR($D689&lt;&gt;"销项开票",N($Q689)=0),0,ROUND(N($H689)/(1+$Q689)*N(IFERROR(INDEX(单位档案!$L$6:$L$35,MATCH($E689,单位档案!$A$6:$A$35,0)),"")),2))</f>
        <v>0</v>
      </c>
      <c r="W689" s="36" t="n">
        <f aca="false">ROUND($S689+$T689+$U689+$V689,2)</f>
        <v>0</v>
      </c>
      <c r="X689" s="35" t="str">
        <f aca="false">IF(OR($D689="挂靠代收",$D689="我方收款"),COUNTIFS($D$5:$D689,"挂靠代收")+COUNTIFS($D$5:$D689,"我方收款"),"")</f>
        <v/>
      </c>
      <c r="Y689" s="35"/>
      <c r="Z689" s="21" t="s">
        <v>111</v>
      </c>
    </row>
    <row r="690" customFormat="false" ht="15.75" hidden="false" customHeight="true" outlineLevel="0" collapsed="false">
      <c r="A690" s="32" t="str">
        <f aca="false">IF($B690="","",ROW()-4)</f>
        <v/>
      </c>
      <c r="B690" s="26"/>
      <c r="C690" s="24"/>
      <c r="D690" s="21"/>
      <c r="E690" s="21"/>
      <c r="F690" s="21"/>
      <c r="G690" s="21"/>
      <c r="H690" s="27"/>
      <c r="I690" s="23" t="str">
        <f aca="false">IF($D690&lt;&gt;"销项开票","",IF($N690="一级",IF(IFERROR(INDEX(项目档案!$E$6:$E$255,MATCH($C690,项目档案!$A$6:$A$255,0)),"")="",N(IFERROR(INDEX(单位档案!$D$6:$D$35,MATCH($E690,单位档案!$A$6:$A$35,0)),"")),IFERROR(INDEX(项目档案!$E$6:$E$255,MATCH($C690,项目档案!$A$6:$A$255,0)),"")),IF($N690="二级",IF(IFERROR(INDEX(项目档案!$G$6:$G$255,MATCH($C690,项目档案!$A$6:$A$255,0)),"")="",N(IFERROR(INDEX(单位档案!$D$6:$D$35,MATCH($E690,单位档案!$A$6:$A$35,0)),"")),IFERROR(INDEX(项目档案!$G$6:$G$255,MATCH($C690,项目档案!$A$6:$A$255,0)),"")),N(IFERROR(INDEX(单位档案!$D$6:$D$35,MATCH($E690,单位档案!$A$6:$A$35,0)),"")))))</f>
        <v/>
      </c>
      <c r="J690" s="22"/>
      <c r="K690" s="22"/>
      <c r="L690" s="33" t="str">
        <f aca="false">IF($B690="","",IF(NOT(ISNUMBER($B690)),"日期格式不对",IF($C690="","未选项目编号",IF(LEFT($M690,1)="⚠","项目编号不存在",IF($D690="","未选业务类型",IF($E690="","未选开票/付款方",IF(ISNA(MATCH($E690,单位档案!$A$6:$A$35,0)),"开票方不在单位档案",IF($F690="","未选收票/收款方",IF(ISNA(MATCH($F690,单位档案!$A$6:$A$35,0)),"收款方不在单位档案",IF(NOT(ISNUMBER($H690)),"金额须为数字",IF(AND($D690="销项开票",$N690="—"),"链条待确认","√")))))))))))</f>
        <v/>
      </c>
      <c r="M690" s="34" t="str">
        <f aca="false">IF($C690="","",IFERROR(INDEX(项目档案!$B$6:$B$255,MATCH($C690,项目档案!$A$6:$A$255,0)),"⚠项目编号不存在"))</f>
        <v/>
      </c>
      <c r="N690" s="35" t="str">
        <f aca="false">IF($E690="","",IF($E690=IFERROR(INDEX(项目档案!$D$6:$D$255,MATCH($C690,项目档案!$A$6:$A$255,0)),""),"一级",IF($E690=IFERROR(INDEX(项目档案!$F$6:$F$255,MATCH($C690,项目档案!$A$6:$A$255,0)),""),"二级",IF($E690=IFERROR(INDEX(项目档案!$H$6:$H$255,MATCH($C690,项目档案!$A$6:$A$255,0)),""),"我方","—"))))</f>
        <v/>
      </c>
      <c r="O690" s="36" t="n">
        <f aca="false">IF($D690&lt;&gt;"销项开票",0,ROUND(N($H690)*N($I690),2))</f>
        <v>0</v>
      </c>
      <c r="P690" s="36" t="n">
        <f aca="false">IF($D690&lt;&gt;"销项开票",0,ROUND(N($H690)-$O690,2))</f>
        <v>0</v>
      </c>
      <c r="Q690" s="37" t="str">
        <f aca="false">IF($E690="","",N(IFERROR(INDEX(单位档案!$E$6:$E$35,MATCH($E690,单位档案!$A$6:$A$35,0)),"")))</f>
        <v/>
      </c>
      <c r="R690" s="37" t="str">
        <f aca="false">IF($E690="","",N(IFERROR(INDEX(单位档案!$F$6:$F$35,MATCH($E690,单位档案!$A$6:$A$35,0)),"")))</f>
        <v/>
      </c>
      <c r="S690" s="36" t="n">
        <f aca="false">IF(OR($D690&lt;&gt;"销项开票",IFERROR(INDEX(单位档案!$G$6:$G$35,MATCH($E690,单位档案!$A$6:$A$35,0)),"")&lt;&gt;"是",N($Q690)=0),0,IF(IFERROR(INDEX(单位档案!$H$6:$H$35,MATCH($E690,单位档案!$A$6:$A$35,0)),"")="税差法",ROUND(N($H690)/(1+$Q690)*$Q690-IF(N($R690)=0,0,$P690/(1+$R690)*$R690),2),ROUND(N($H690)/(1+$Q690)*$Q690,2)))</f>
        <v>0</v>
      </c>
      <c r="T690" s="36" t="n">
        <f aca="false">ROUND($S690*N(IFERROR(INDEX(单位档案!$J$6:$J$35,MATCH($E690,单位档案!$A$6:$A$35,0)),"")),2)</f>
        <v>0</v>
      </c>
      <c r="U690" s="36" t="n">
        <f aca="false">IF($D690&lt;&gt;"销项开票",0,ROUND(N($H690)*N(IFERROR(INDEX(单位档案!$K$6:$K$35,MATCH($E690,单位档案!$A$6:$A$35,0)),"")),2))</f>
        <v>0</v>
      </c>
      <c r="V690" s="36" t="n">
        <f aca="false">IF(OR($D690&lt;&gt;"销项开票",N($Q690)=0),0,ROUND(N($H690)/(1+$Q690)*N(IFERROR(INDEX(单位档案!$L$6:$L$35,MATCH($E690,单位档案!$A$6:$A$35,0)),"")),2))</f>
        <v>0</v>
      </c>
      <c r="W690" s="36" t="n">
        <f aca="false">ROUND($S690+$T690+$U690+$V690,2)</f>
        <v>0</v>
      </c>
      <c r="X690" s="35" t="str">
        <f aca="false">IF(OR($D690="挂靠代收",$D690="我方收款"),COUNTIFS($D$5:$D690,"挂靠代收")+COUNTIFS($D$5:$D690,"我方收款"),"")</f>
        <v/>
      </c>
      <c r="Y690" s="35"/>
      <c r="Z690" s="21" t="s">
        <v>111</v>
      </c>
    </row>
    <row r="691" customFormat="false" ht="15.75" hidden="false" customHeight="true" outlineLevel="0" collapsed="false">
      <c r="A691" s="32" t="str">
        <f aca="false">IF($B691="","",ROW()-4)</f>
        <v/>
      </c>
      <c r="B691" s="26"/>
      <c r="C691" s="24"/>
      <c r="D691" s="21"/>
      <c r="E691" s="21"/>
      <c r="F691" s="21"/>
      <c r="G691" s="21"/>
      <c r="H691" s="27"/>
      <c r="I691" s="23" t="str">
        <f aca="false">IF($D691&lt;&gt;"销项开票","",IF($N691="一级",IF(IFERROR(INDEX(项目档案!$E$6:$E$255,MATCH($C691,项目档案!$A$6:$A$255,0)),"")="",N(IFERROR(INDEX(单位档案!$D$6:$D$35,MATCH($E691,单位档案!$A$6:$A$35,0)),"")),IFERROR(INDEX(项目档案!$E$6:$E$255,MATCH($C691,项目档案!$A$6:$A$255,0)),"")),IF($N691="二级",IF(IFERROR(INDEX(项目档案!$G$6:$G$255,MATCH($C691,项目档案!$A$6:$A$255,0)),"")="",N(IFERROR(INDEX(单位档案!$D$6:$D$35,MATCH($E691,单位档案!$A$6:$A$35,0)),"")),IFERROR(INDEX(项目档案!$G$6:$G$255,MATCH($C691,项目档案!$A$6:$A$255,0)),"")),N(IFERROR(INDEX(单位档案!$D$6:$D$35,MATCH($E691,单位档案!$A$6:$A$35,0)),"")))))</f>
        <v/>
      </c>
      <c r="J691" s="22"/>
      <c r="K691" s="22"/>
      <c r="L691" s="33" t="str">
        <f aca="false">IF($B691="","",IF(NOT(ISNUMBER($B691)),"日期格式不对",IF($C691="","未选项目编号",IF(LEFT($M691,1)="⚠","项目编号不存在",IF($D691="","未选业务类型",IF($E691="","未选开票/付款方",IF(ISNA(MATCH($E691,单位档案!$A$6:$A$35,0)),"开票方不在单位档案",IF($F691="","未选收票/收款方",IF(ISNA(MATCH($F691,单位档案!$A$6:$A$35,0)),"收款方不在单位档案",IF(NOT(ISNUMBER($H691)),"金额须为数字",IF(AND($D691="销项开票",$N691="—"),"链条待确认","√")))))))))))</f>
        <v/>
      </c>
      <c r="M691" s="34" t="str">
        <f aca="false">IF($C691="","",IFERROR(INDEX(项目档案!$B$6:$B$255,MATCH($C691,项目档案!$A$6:$A$255,0)),"⚠项目编号不存在"))</f>
        <v/>
      </c>
      <c r="N691" s="35" t="str">
        <f aca="false">IF($E691="","",IF($E691=IFERROR(INDEX(项目档案!$D$6:$D$255,MATCH($C691,项目档案!$A$6:$A$255,0)),""),"一级",IF($E691=IFERROR(INDEX(项目档案!$F$6:$F$255,MATCH($C691,项目档案!$A$6:$A$255,0)),""),"二级",IF($E691=IFERROR(INDEX(项目档案!$H$6:$H$255,MATCH($C691,项目档案!$A$6:$A$255,0)),""),"我方","—"))))</f>
        <v/>
      </c>
      <c r="O691" s="36" t="n">
        <f aca="false">IF($D691&lt;&gt;"销项开票",0,ROUND(N($H691)*N($I691),2))</f>
        <v>0</v>
      </c>
      <c r="P691" s="36" t="n">
        <f aca="false">IF($D691&lt;&gt;"销项开票",0,ROUND(N($H691)-$O691,2))</f>
        <v>0</v>
      </c>
      <c r="Q691" s="37" t="str">
        <f aca="false">IF($E691="","",N(IFERROR(INDEX(单位档案!$E$6:$E$35,MATCH($E691,单位档案!$A$6:$A$35,0)),"")))</f>
        <v/>
      </c>
      <c r="R691" s="37" t="str">
        <f aca="false">IF($E691="","",N(IFERROR(INDEX(单位档案!$F$6:$F$35,MATCH($E691,单位档案!$A$6:$A$35,0)),"")))</f>
        <v/>
      </c>
      <c r="S691" s="36" t="n">
        <f aca="false">IF(OR($D691&lt;&gt;"销项开票",IFERROR(INDEX(单位档案!$G$6:$G$35,MATCH($E691,单位档案!$A$6:$A$35,0)),"")&lt;&gt;"是",N($Q691)=0),0,IF(IFERROR(INDEX(单位档案!$H$6:$H$35,MATCH($E691,单位档案!$A$6:$A$35,0)),"")="税差法",ROUND(N($H691)/(1+$Q691)*$Q691-IF(N($R691)=0,0,$P691/(1+$R691)*$R691),2),ROUND(N($H691)/(1+$Q691)*$Q691,2)))</f>
        <v>0</v>
      </c>
      <c r="T691" s="36" t="n">
        <f aca="false">ROUND($S691*N(IFERROR(INDEX(单位档案!$J$6:$J$35,MATCH($E691,单位档案!$A$6:$A$35,0)),"")),2)</f>
        <v>0</v>
      </c>
      <c r="U691" s="36" t="n">
        <f aca="false">IF($D691&lt;&gt;"销项开票",0,ROUND(N($H691)*N(IFERROR(INDEX(单位档案!$K$6:$K$35,MATCH($E691,单位档案!$A$6:$A$35,0)),"")),2))</f>
        <v>0</v>
      </c>
      <c r="V691" s="36" t="n">
        <f aca="false">IF(OR($D691&lt;&gt;"销项开票",N($Q691)=0),0,ROUND(N($H691)/(1+$Q691)*N(IFERROR(INDEX(单位档案!$L$6:$L$35,MATCH($E691,单位档案!$A$6:$A$35,0)),"")),2))</f>
        <v>0</v>
      </c>
      <c r="W691" s="36" t="n">
        <f aca="false">ROUND($S691+$T691+$U691+$V691,2)</f>
        <v>0</v>
      </c>
      <c r="X691" s="35" t="str">
        <f aca="false">IF(OR($D691="挂靠代收",$D691="我方收款"),COUNTIFS($D$5:$D691,"挂靠代收")+COUNTIFS($D$5:$D691,"我方收款"),"")</f>
        <v/>
      </c>
      <c r="Y691" s="35"/>
      <c r="Z691" s="21" t="s">
        <v>111</v>
      </c>
    </row>
    <row r="692" customFormat="false" ht="15.75" hidden="false" customHeight="true" outlineLevel="0" collapsed="false">
      <c r="A692" s="32" t="str">
        <f aca="false">IF($B692="","",ROW()-4)</f>
        <v/>
      </c>
      <c r="B692" s="26"/>
      <c r="C692" s="24"/>
      <c r="D692" s="21"/>
      <c r="E692" s="21"/>
      <c r="F692" s="21"/>
      <c r="G692" s="21"/>
      <c r="H692" s="27"/>
      <c r="I692" s="23" t="str">
        <f aca="false">IF($D692&lt;&gt;"销项开票","",IF($N692="一级",IF(IFERROR(INDEX(项目档案!$E$6:$E$255,MATCH($C692,项目档案!$A$6:$A$255,0)),"")="",N(IFERROR(INDEX(单位档案!$D$6:$D$35,MATCH($E692,单位档案!$A$6:$A$35,0)),"")),IFERROR(INDEX(项目档案!$E$6:$E$255,MATCH($C692,项目档案!$A$6:$A$255,0)),"")),IF($N692="二级",IF(IFERROR(INDEX(项目档案!$G$6:$G$255,MATCH($C692,项目档案!$A$6:$A$255,0)),"")="",N(IFERROR(INDEX(单位档案!$D$6:$D$35,MATCH($E692,单位档案!$A$6:$A$35,0)),"")),IFERROR(INDEX(项目档案!$G$6:$G$255,MATCH($C692,项目档案!$A$6:$A$255,0)),"")),N(IFERROR(INDEX(单位档案!$D$6:$D$35,MATCH($E692,单位档案!$A$6:$A$35,0)),"")))))</f>
        <v/>
      </c>
      <c r="J692" s="22"/>
      <c r="K692" s="22"/>
      <c r="L692" s="33" t="str">
        <f aca="false">IF($B692="","",IF(NOT(ISNUMBER($B692)),"日期格式不对",IF($C692="","未选项目编号",IF(LEFT($M692,1)="⚠","项目编号不存在",IF($D692="","未选业务类型",IF($E692="","未选开票/付款方",IF(ISNA(MATCH($E692,单位档案!$A$6:$A$35,0)),"开票方不在单位档案",IF($F692="","未选收票/收款方",IF(ISNA(MATCH($F692,单位档案!$A$6:$A$35,0)),"收款方不在单位档案",IF(NOT(ISNUMBER($H692)),"金额须为数字",IF(AND($D692="销项开票",$N692="—"),"链条待确认","√")))))))))))</f>
        <v/>
      </c>
      <c r="M692" s="34" t="str">
        <f aca="false">IF($C692="","",IFERROR(INDEX(项目档案!$B$6:$B$255,MATCH($C692,项目档案!$A$6:$A$255,0)),"⚠项目编号不存在"))</f>
        <v/>
      </c>
      <c r="N692" s="35" t="str">
        <f aca="false">IF($E692="","",IF($E692=IFERROR(INDEX(项目档案!$D$6:$D$255,MATCH($C692,项目档案!$A$6:$A$255,0)),""),"一级",IF($E692=IFERROR(INDEX(项目档案!$F$6:$F$255,MATCH($C692,项目档案!$A$6:$A$255,0)),""),"二级",IF($E692=IFERROR(INDEX(项目档案!$H$6:$H$255,MATCH($C692,项目档案!$A$6:$A$255,0)),""),"我方","—"))))</f>
        <v/>
      </c>
      <c r="O692" s="36" t="n">
        <f aca="false">IF($D692&lt;&gt;"销项开票",0,ROUND(N($H692)*N($I692),2))</f>
        <v>0</v>
      </c>
      <c r="P692" s="36" t="n">
        <f aca="false">IF($D692&lt;&gt;"销项开票",0,ROUND(N($H692)-$O692,2))</f>
        <v>0</v>
      </c>
      <c r="Q692" s="37" t="str">
        <f aca="false">IF($E692="","",N(IFERROR(INDEX(单位档案!$E$6:$E$35,MATCH($E692,单位档案!$A$6:$A$35,0)),"")))</f>
        <v/>
      </c>
      <c r="R692" s="37" t="str">
        <f aca="false">IF($E692="","",N(IFERROR(INDEX(单位档案!$F$6:$F$35,MATCH($E692,单位档案!$A$6:$A$35,0)),"")))</f>
        <v/>
      </c>
      <c r="S692" s="36" t="n">
        <f aca="false">IF(OR($D692&lt;&gt;"销项开票",IFERROR(INDEX(单位档案!$G$6:$G$35,MATCH($E692,单位档案!$A$6:$A$35,0)),"")&lt;&gt;"是",N($Q692)=0),0,IF(IFERROR(INDEX(单位档案!$H$6:$H$35,MATCH($E692,单位档案!$A$6:$A$35,0)),"")="税差法",ROUND(N($H692)/(1+$Q692)*$Q692-IF(N($R692)=0,0,$P692/(1+$R692)*$R692),2),ROUND(N($H692)/(1+$Q692)*$Q692,2)))</f>
        <v>0</v>
      </c>
      <c r="T692" s="36" t="n">
        <f aca="false">ROUND($S692*N(IFERROR(INDEX(单位档案!$J$6:$J$35,MATCH($E692,单位档案!$A$6:$A$35,0)),"")),2)</f>
        <v>0</v>
      </c>
      <c r="U692" s="36" t="n">
        <f aca="false">IF($D692&lt;&gt;"销项开票",0,ROUND(N($H692)*N(IFERROR(INDEX(单位档案!$K$6:$K$35,MATCH($E692,单位档案!$A$6:$A$35,0)),"")),2))</f>
        <v>0</v>
      </c>
      <c r="V692" s="36" t="n">
        <f aca="false">IF(OR($D692&lt;&gt;"销项开票",N($Q692)=0),0,ROUND(N($H692)/(1+$Q692)*N(IFERROR(INDEX(单位档案!$L$6:$L$35,MATCH($E692,单位档案!$A$6:$A$35,0)),"")),2))</f>
        <v>0</v>
      </c>
      <c r="W692" s="36" t="n">
        <f aca="false">ROUND($S692+$T692+$U692+$V692,2)</f>
        <v>0</v>
      </c>
      <c r="X692" s="35" t="str">
        <f aca="false">IF(OR($D692="挂靠代收",$D692="我方收款"),COUNTIFS($D$5:$D692,"挂靠代收")+COUNTIFS($D$5:$D692,"我方收款"),"")</f>
        <v/>
      </c>
      <c r="Y692" s="35"/>
      <c r="Z692" s="21" t="s">
        <v>111</v>
      </c>
    </row>
    <row r="693" customFormat="false" ht="15.75" hidden="false" customHeight="true" outlineLevel="0" collapsed="false">
      <c r="A693" s="32" t="str">
        <f aca="false">IF($B693="","",ROW()-4)</f>
        <v/>
      </c>
      <c r="B693" s="26"/>
      <c r="C693" s="24"/>
      <c r="D693" s="21"/>
      <c r="E693" s="21"/>
      <c r="F693" s="21"/>
      <c r="G693" s="21"/>
      <c r="H693" s="27"/>
      <c r="I693" s="23" t="str">
        <f aca="false">IF($D693&lt;&gt;"销项开票","",IF($N693="一级",IF(IFERROR(INDEX(项目档案!$E$6:$E$255,MATCH($C693,项目档案!$A$6:$A$255,0)),"")="",N(IFERROR(INDEX(单位档案!$D$6:$D$35,MATCH($E693,单位档案!$A$6:$A$35,0)),"")),IFERROR(INDEX(项目档案!$E$6:$E$255,MATCH($C693,项目档案!$A$6:$A$255,0)),"")),IF($N693="二级",IF(IFERROR(INDEX(项目档案!$G$6:$G$255,MATCH($C693,项目档案!$A$6:$A$255,0)),"")="",N(IFERROR(INDEX(单位档案!$D$6:$D$35,MATCH($E693,单位档案!$A$6:$A$35,0)),"")),IFERROR(INDEX(项目档案!$G$6:$G$255,MATCH($C693,项目档案!$A$6:$A$255,0)),"")),N(IFERROR(INDEX(单位档案!$D$6:$D$35,MATCH($E693,单位档案!$A$6:$A$35,0)),"")))))</f>
        <v/>
      </c>
      <c r="J693" s="22"/>
      <c r="K693" s="22"/>
      <c r="L693" s="33" t="str">
        <f aca="false">IF($B693="","",IF(NOT(ISNUMBER($B693)),"日期格式不对",IF($C693="","未选项目编号",IF(LEFT($M693,1)="⚠","项目编号不存在",IF($D693="","未选业务类型",IF($E693="","未选开票/付款方",IF(ISNA(MATCH($E693,单位档案!$A$6:$A$35,0)),"开票方不在单位档案",IF($F693="","未选收票/收款方",IF(ISNA(MATCH($F693,单位档案!$A$6:$A$35,0)),"收款方不在单位档案",IF(NOT(ISNUMBER($H693)),"金额须为数字",IF(AND($D693="销项开票",$N693="—"),"链条待确认","√")))))))))))</f>
        <v/>
      </c>
      <c r="M693" s="34" t="str">
        <f aca="false">IF($C693="","",IFERROR(INDEX(项目档案!$B$6:$B$255,MATCH($C693,项目档案!$A$6:$A$255,0)),"⚠项目编号不存在"))</f>
        <v/>
      </c>
      <c r="N693" s="35" t="str">
        <f aca="false">IF($E693="","",IF($E693=IFERROR(INDEX(项目档案!$D$6:$D$255,MATCH($C693,项目档案!$A$6:$A$255,0)),""),"一级",IF($E693=IFERROR(INDEX(项目档案!$F$6:$F$255,MATCH($C693,项目档案!$A$6:$A$255,0)),""),"二级",IF($E693=IFERROR(INDEX(项目档案!$H$6:$H$255,MATCH($C693,项目档案!$A$6:$A$255,0)),""),"我方","—"))))</f>
        <v/>
      </c>
      <c r="O693" s="36" t="n">
        <f aca="false">IF($D693&lt;&gt;"销项开票",0,ROUND(N($H693)*N($I693),2))</f>
        <v>0</v>
      </c>
      <c r="P693" s="36" t="n">
        <f aca="false">IF($D693&lt;&gt;"销项开票",0,ROUND(N($H693)-$O693,2))</f>
        <v>0</v>
      </c>
      <c r="Q693" s="37" t="str">
        <f aca="false">IF($E693="","",N(IFERROR(INDEX(单位档案!$E$6:$E$35,MATCH($E693,单位档案!$A$6:$A$35,0)),"")))</f>
        <v/>
      </c>
      <c r="R693" s="37" t="str">
        <f aca="false">IF($E693="","",N(IFERROR(INDEX(单位档案!$F$6:$F$35,MATCH($E693,单位档案!$A$6:$A$35,0)),"")))</f>
        <v/>
      </c>
      <c r="S693" s="36" t="n">
        <f aca="false">IF(OR($D693&lt;&gt;"销项开票",IFERROR(INDEX(单位档案!$G$6:$G$35,MATCH($E693,单位档案!$A$6:$A$35,0)),"")&lt;&gt;"是",N($Q693)=0),0,IF(IFERROR(INDEX(单位档案!$H$6:$H$35,MATCH($E693,单位档案!$A$6:$A$35,0)),"")="税差法",ROUND(N($H693)/(1+$Q693)*$Q693-IF(N($R693)=0,0,$P693/(1+$R693)*$R693),2),ROUND(N($H693)/(1+$Q693)*$Q693,2)))</f>
        <v>0</v>
      </c>
      <c r="T693" s="36" t="n">
        <f aca="false">ROUND($S693*N(IFERROR(INDEX(单位档案!$J$6:$J$35,MATCH($E693,单位档案!$A$6:$A$35,0)),"")),2)</f>
        <v>0</v>
      </c>
      <c r="U693" s="36" t="n">
        <f aca="false">IF($D693&lt;&gt;"销项开票",0,ROUND(N($H693)*N(IFERROR(INDEX(单位档案!$K$6:$K$35,MATCH($E693,单位档案!$A$6:$A$35,0)),"")),2))</f>
        <v>0</v>
      </c>
      <c r="V693" s="36" t="n">
        <f aca="false">IF(OR($D693&lt;&gt;"销项开票",N($Q693)=0),0,ROUND(N($H693)/(1+$Q693)*N(IFERROR(INDEX(单位档案!$L$6:$L$35,MATCH($E693,单位档案!$A$6:$A$35,0)),"")),2))</f>
        <v>0</v>
      </c>
      <c r="W693" s="36" t="n">
        <f aca="false">ROUND($S693+$T693+$U693+$V693,2)</f>
        <v>0</v>
      </c>
      <c r="X693" s="35" t="str">
        <f aca="false">IF(OR($D693="挂靠代收",$D693="我方收款"),COUNTIFS($D$5:$D693,"挂靠代收")+COUNTIFS($D$5:$D693,"我方收款"),"")</f>
        <v/>
      </c>
      <c r="Y693" s="35"/>
      <c r="Z693" s="21" t="s">
        <v>111</v>
      </c>
    </row>
    <row r="694" customFormat="false" ht="15.75" hidden="false" customHeight="true" outlineLevel="0" collapsed="false">
      <c r="A694" s="32" t="str">
        <f aca="false">IF($B694="","",ROW()-4)</f>
        <v/>
      </c>
      <c r="B694" s="26"/>
      <c r="C694" s="24"/>
      <c r="D694" s="21"/>
      <c r="E694" s="21"/>
      <c r="F694" s="21"/>
      <c r="G694" s="21"/>
      <c r="H694" s="27"/>
      <c r="I694" s="23" t="str">
        <f aca="false">IF($D694&lt;&gt;"销项开票","",IF($N694="一级",IF(IFERROR(INDEX(项目档案!$E$6:$E$255,MATCH($C694,项目档案!$A$6:$A$255,0)),"")="",N(IFERROR(INDEX(单位档案!$D$6:$D$35,MATCH($E694,单位档案!$A$6:$A$35,0)),"")),IFERROR(INDEX(项目档案!$E$6:$E$255,MATCH($C694,项目档案!$A$6:$A$255,0)),"")),IF($N694="二级",IF(IFERROR(INDEX(项目档案!$G$6:$G$255,MATCH($C694,项目档案!$A$6:$A$255,0)),"")="",N(IFERROR(INDEX(单位档案!$D$6:$D$35,MATCH($E694,单位档案!$A$6:$A$35,0)),"")),IFERROR(INDEX(项目档案!$G$6:$G$255,MATCH($C694,项目档案!$A$6:$A$255,0)),"")),N(IFERROR(INDEX(单位档案!$D$6:$D$35,MATCH($E694,单位档案!$A$6:$A$35,0)),"")))))</f>
        <v/>
      </c>
      <c r="J694" s="22"/>
      <c r="K694" s="22"/>
      <c r="L694" s="33" t="str">
        <f aca="false">IF($B694="","",IF(NOT(ISNUMBER($B694)),"日期格式不对",IF($C694="","未选项目编号",IF(LEFT($M694,1)="⚠","项目编号不存在",IF($D694="","未选业务类型",IF($E694="","未选开票/付款方",IF(ISNA(MATCH($E694,单位档案!$A$6:$A$35,0)),"开票方不在单位档案",IF($F694="","未选收票/收款方",IF(ISNA(MATCH($F694,单位档案!$A$6:$A$35,0)),"收款方不在单位档案",IF(NOT(ISNUMBER($H694)),"金额须为数字",IF(AND($D694="销项开票",$N694="—"),"链条待确认","√")))))))))))</f>
        <v/>
      </c>
      <c r="M694" s="34" t="str">
        <f aca="false">IF($C694="","",IFERROR(INDEX(项目档案!$B$6:$B$255,MATCH($C694,项目档案!$A$6:$A$255,0)),"⚠项目编号不存在"))</f>
        <v/>
      </c>
      <c r="N694" s="35" t="str">
        <f aca="false">IF($E694="","",IF($E694=IFERROR(INDEX(项目档案!$D$6:$D$255,MATCH($C694,项目档案!$A$6:$A$255,0)),""),"一级",IF($E694=IFERROR(INDEX(项目档案!$F$6:$F$255,MATCH($C694,项目档案!$A$6:$A$255,0)),""),"二级",IF($E694=IFERROR(INDEX(项目档案!$H$6:$H$255,MATCH($C694,项目档案!$A$6:$A$255,0)),""),"我方","—"))))</f>
        <v/>
      </c>
      <c r="O694" s="36" t="n">
        <f aca="false">IF($D694&lt;&gt;"销项开票",0,ROUND(N($H694)*N($I694),2))</f>
        <v>0</v>
      </c>
      <c r="P694" s="36" t="n">
        <f aca="false">IF($D694&lt;&gt;"销项开票",0,ROUND(N($H694)-$O694,2))</f>
        <v>0</v>
      </c>
      <c r="Q694" s="37" t="str">
        <f aca="false">IF($E694="","",N(IFERROR(INDEX(单位档案!$E$6:$E$35,MATCH($E694,单位档案!$A$6:$A$35,0)),"")))</f>
        <v/>
      </c>
      <c r="R694" s="37" t="str">
        <f aca="false">IF($E694="","",N(IFERROR(INDEX(单位档案!$F$6:$F$35,MATCH($E694,单位档案!$A$6:$A$35,0)),"")))</f>
        <v/>
      </c>
      <c r="S694" s="36" t="n">
        <f aca="false">IF(OR($D694&lt;&gt;"销项开票",IFERROR(INDEX(单位档案!$G$6:$G$35,MATCH($E694,单位档案!$A$6:$A$35,0)),"")&lt;&gt;"是",N($Q694)=0),0,IF(IFERROR(INDEX(单位档案!$H$6:$H$35,MATCH($E694,单位档案!$A$6:$A$35,0)),"")="税差法",ROUND(N($H694)/(1+$Q694)*$Q694-IF(N($R694)=0,0,$P694/(1+$R694)*$R694),2),ROUND(N($H694)/(1+$Q694)*$Q694,2)))</f>
        <v>0</v>
      </c>
      <c r="T694" s="36" t="n">
        <f aca="false">ROUND($S694*N(IFERROR(INDEX(单位档案!$J$6:$J$35,MATCH($E694,单位档案!$A$6:$A$35,0)),"")),2)</f>
        <v>0</v>
      </c>
      <c r="U694" s="36" t="n">
        <f aca="false">IF($D694&lt;&gt;"销项开票",0,ROUND(N($H694)*N(IFERROR(INDEX(单位档案!$K$6:$K$35,MATCH($E694,单位档案!$A$6:$A$35,0)),"")),2))</f>
        <v>0</v>
      </c>
      <c r="V694" s="36" t="n">
        <f aca="false">IF(OR($D694&lt;&gt;"销项开票",N($Q694)=0),0,ROUND(N($H694)/(1+$Q694)*N(IFERROR(INDEX(单位档案!$L$6:$L$35,MATCH($E694,单位档案!$A$6:$A$35,0)),"")),2))</f>
        <v>0</v>
      </c>
      <c r="W694" s="36" t="n">
        <f aca="false">ROUND($S694+$T694+$U694+$V694,2)</f>
        <v>0</v>
      </c>
      <c r="X694" s="35" t="str">
        <f aca="false">IF(OR($D694="挂靠代收",$D694="我方收款"),COUNTIFS($D$5:$D694,"挂靠代收")+COUNTIFS($D$5:$D694,"我方收款"),"")</f>
        <v/>
      </c>
      <c r="Y694" s="35"/>
      <c r="Z694" s="21" t="s">
        <v>111</v>
      </c>
    </row>
    <row r="695" customFormat="false" ht="15.75" hidden="false" customHeight="true" outlineLevel="0" collapsed="false">
      <c r="A695" s="32" t="str">
        <f aca="false">IF($B695="","",ROW()-4)</f>
        <v/>
      </c>
      <c r="B695" s="26"/>
      <c r="C695" s="24"/>
      <c r="D695" s="21"/>
      <c r="E695" s="21"/>
      <c r="F695" s="21"/>
      <c r="G695" s="21"/>
      <c r="H695" s="27"/>
      <c r="I695" s="23" t="str">
        <f aca="false">IF($D695&lt;&gt;"销项开票","",IF($N695="一级",IF(IFERROR(INDEX(项目档案!$E$6:$E$255,MATCH($C695,项目档案!$A$6:$A$255,0)),"")="",N(IFERROR(INDEX(单位档案!$D$6:$D$35,MATCH($E695,单位档案!$A$6:$A$35,0)),"")),IFERROR(INDEX(项目档案!$E$6:$E$255,MATCH($C695,项目档案!$A$6:$A$255,0)),"")),IF($N695="二级",IF(IFERROR(INDEX(项目档案!$G$6:$G$255,MATCH($C695,项目档案!$A$6:$A$255,0)),"")="",N(IFERROR(INDEX(单位档案!$D$6:$D$35,MATCH($E695,单位档案!$A$6:$A$35,0)),"")),IFERROR(INDEX(项目档案!$G$6:$G$255,MATCH($C695,项目档案!$A$6:$A$255,0)),"")),N(IFERROR(INDEX(单位档案!$D$6:$D$35,MATCH($E695,单位档案!$A$6:$A$35,0)),"")))))</f>
        <v/>
      </c>
      <c r="J695" s="22"/>
      <c r="K695" s="22"/>
      <c r="L695" s="33" t="str">
        <f aca="false">IF($B695="","",IF(NOT(ISNUMBER($B695)),"日期格式不对",IF($C695="","未选项目编号",IF(LEFT($M695,1)="⚠","项目编号不存在",IF($D695="","未选业务类型",IF($E695="","未选开票/付款方",IF(ISNA(MATCH($E695,单位档案!$A$6:$A$35,0)),"开票方不在单位档案",IF($F695="","未选收票/收款方",IF(ISNA(MATCH($F695,单位档案!$A$6:$A$35,0)),"收款方不在单位档案",IF(NOT(ISNUMBER($H695)),"金额须为数字",IF(AND($D695="销项开票",$N695="—"),"链条待确认","√")))))))))))</f>
        <v/>
      </c>
      <c r="M695" s="34" t="str">
        <f aca="false">IF($C695="","",IFERROR(INDEX(项目档案!$B$6:$B$255,MATCH($C695,项目档案!$A$6:$A$255,0)),"⚠项目编号不存在"))</f>
        <v/>
      </c>
      <c r="N695" s="35" t="str">
        <f aca="false">IF($E695="","",IF($E695=IFERROR(INDEX(项目档案!$D$6:$D$255,MATCH($C695,项目档案!$A$6:$A$255,0)),""),"一级",IF($E695=IFERROR(INDEX(项目档案!$F$6:$F$255,MATCH($C695,项目档案!$A$6:$A$255,0)),""),"二级",IF($E695=IFERROR(INDEX(项目档案!$H$6:$H$255,MATCH($C695,项目档案!$A$6:$A$255,0)),""),"我方","—"))))</f>
        <v/>
      </c>
      <c r="O695" s="36" t="n">
        <f aca="false">IF($D695&lt;&gt;"销项开票",0,ROUND(N($H695)*N($I695),2))</f>
        <v>0</v>
      </c>
      <c r="P695" s="36" t="n">
        <f aca="false">IF($D695&lt;&gt;"销项开票",0,ROUND(N($H695)-$O695,2))</f>
        <v>0</v>
      </c>
      <c r="Q695" s="37" t="str">
        <f aca="false">IF($E695="","",N(IFERROR(INDEX(单位档案!$E$6:$E$35,MATCH($E695,单位档案!$A$6:$A$35,0)),"")))</f>
        <v/>
      </c>
      <c r="R695" s="37" t="str">
        <f aca="false">IF($E695="","",N(IFERROR(INDEX(单位档案!$F$6:$F$35,MATCH($E695,单位档案!$A$6:$A$35,0)),"")))</f>
        <v/>
      </c>
      <c r="S695" s="36" t="n">
        <f aca="false">IF(OR($D695&lt;&gt;"销项开票",IFERROR(INDEX(单位档案!$G$6:$G$35,MATCH($E695,单位档案!$A$6:$A$35,0)),"")&lt;&gt;"是",N($Q695)=0),0,IF(IFERROR(INDEX(单位档案!$H$6:$H$35,MATCH($E695,单位档案!$A$6:$A$35,0)),"")="税差法",ROUND(N($H695)/(1+$Q695)*$Q695-IF(N($R695)=0,0,$P695/(1+$R695)*$R695),2),ROUND(N($H695)/(1+$Q695)*$Q695,2)))</f>
        <v>0</v>
      </c>
      <c r="T695" s="36" t="n">
        <f aca="false">ROUND($S695*N(IFERROR(INDEX(单位档案!$J$6:$J$35,MATCH($E695,单位档案!$A$6:$A$35,0)),"")),2)</f>
        <v>0</v>
      </c>
      <c r="U695" s="36" t="n">
        <f aca="false">IF($D695&lt;&gt;"销项开票",0,ROUND(N($H695)*N(IFERROR(INDEX(单位档案!$K$6:$K$35,MATCH($E695,单位档案!$A$6:$A$35,0)),"")),2))</f>
        <v>0</v>
      </c>
      <c r="V695" s="36" t="n">
        <f aca="false">IF(OR($D695&lt;&gt;"销项开票",N($Q695)=0),0,ROUND(N($H695)/(1+$Q695)*N(IFERROR(INDEX(单位档案!$L$6:$L$35,MATCH($E695,单位档案!$A$6:$A$35,0)),"")),2))</f>
        <v>0</v>
      </c>
      <c r="W695" s="36" t="n">
        <f aca="false">ROUND($S695+$T695+$U695+$V695,2)</f>
        <v>0</v>
      </c>
      <c r="X695" s="35" t="str">
        <f aca="false">IF(OR($D695="挂靠代收",$D695="我方收款"),COUNTIFS($D$5:$D695,"挂靠代收")+COUNTIFS($D$5:$D695,"我方收款"),"")</f>
        <v/>
      </c>
      <c r="Y695" s="35"/>
      <c r="Z695" s="21" t="s">
        <v>111</v>
      </c>
    </row>
    <row r="696" customFormat="false" ht="15.75" hidden="false" customHeight="true" outlineLevel="0" collapsed="false">
      <c r="A696" s="32" t="str">
        <f aca="false">IF($B696="","",ROW()-4)</f>
        <v/>
      </c>
      <c r="B696" s="26"/>
      <c r="C696" s="24"/>
      <c r="D696" s="21"/>
      <c r="E696" s="21"/>
      <c r="F696" s="21"/>
      <c r="G696" s="21"/>
      <c r="H696" s="27"/>
      <c r="I696" s="23" t="str">
        <f aca="false">IF($D696&lt;&gt;"销项开票","",IF($N696="一级",IF(IFERROR(INDEX(项目档案!$E$6:$E$255,MATCH($C696,项目档案!$A$6:$A$255,0)),"")="",N(IFERROR(INDEX(单位档案!$D$6:$D$35,MATCH($E696,单位档案!$A$6:$A$35,0)),"")),IFERROR(INDEX(项目档案!$E$6:$E$255,MATCH($C696,项目档案!$A$6:$A$255,0)),"")),IF($N696="二级",IF(IFERROR(INDEX(项目档案!$G$6:$G$255,MATCH($C696,项目档案!$A$6:$A$255,0)),"")="",N(IFERROR(INDEX(单位档案!$D$6:$D$35,MATCH($E696,单位档案!$A$6:$A$35,0)),"")),IFERROR(INDEX(项目档案!$G$6:$G$255,MATCH($C696,项目档案!$A$6:$A$255,0)),"")),N(IFERROR(INDEX(单位档案!$D$6:$D$35,MATCH($E696,单位档案!$A$6:$A$35,0)),"")))))</f>
        <v/>
      </c>
      <c r="J696" s="22"/>
      <c r="K696" s="22"/>
      <c r="L696" s="33" t="str">
        <f aca="false">IF($B696="","",IF(NOT(ISNUMBER($B696)),"日期格式不对",IF($C696="","未选项目编号",IF(LEFT($M696,1)="⚠","项目编号不存在",IF($D696="","未选业务类型",IF($E696="","未选开票/付款方",IF(ISNA(MATCH($E696,单位档案!$A$6:$A$35,0)),"开票方不在单位档案",IF($F696="","未选收票/收款方",IF(ISNA(MATCH($F696,单位档案!$A$6:$A$35,0)),"收款方不在单位档案",IF(NOT(ISNUMBER($H696)),"金额须为数字",IF(AND($D696="销项开票",$N696="—"),"链条待确认","√")))))))))))</f>
        <v/>
      </c>
      <c r="M696" s="34" t="str">
        <f aca="false">IF($C696="","",IFERROR(INDEX(项目档案!$B$6:$B$255,MATCH($C696,项目档案!$A$6:$A$255,0)),"⚠项目编号不存在"))</f>
        <v/>
      </c>
      <c r="N696" s="35" t="str">
        <f aca="false">IF($E696="","",IF($E696=IFERROR(INDEX(项目档案!$D$6:$D$255,MATCH($C696,项目档案!$A$6:$A$255,0)),""),"一级",IF($E696=IFERROR(INDEX(项目档案!$F$6:$F$255,MATCH($C696,项目档案!$A$6:$A$255,0)),""),"二级",IF($E696=IFERROR(INDEX(项目档案!$H$6:$H$255,MATCH($C696,项目档案!$A$6:$A$255,0)),""),"我方","—"))))</f>
        <v/>
      </c>
      <c r="O696" s="36" t="n">
        <f aca="false">IF($D696&lt;&gt;"销项开票",0,ROUND(N($H696)*N($I696),2))</f>
        <v>0</v>
      </c>
      <c r="P696" s="36" t="n">
        <f aca="false">IF($D696&lt;&gt;"销项开票",0,ROUND(N($H696)-$O696,2))</f>
        <v>0</v>
      </c>
      <c r="Q696" s="37" t="str">
        <f aca="false">IF($E696="","",N(IFERROR(INDEX(单位档案!$E$6:$E$35,MATCH($E696,单位档案!$A$6:$A$35,0)),"")))</f>
        <v/>
      </c>
      <c r="R696" s="37" t="str">
        <f aca="false">IF($E696="","",N(IFERROR(INDEX(单位档案!$F$6:$F$35,MATCH($E696,单位档案!$A$6:$A$35,0)),"")))</f>
        <v/>
      </c>
      <c r="S696" s="36" t="n">
        <f aca="false">IF(OR($D696&lt;&gt;"销项开票",IFERROR(INDEX(单位档案!$G$6:$G$35,MATCH($E696,单位档案!$A$6:$A$35,0)),"")&lt;&gt;"是",N($Q696)=0),0,IF(IFERROR(INDEX(单位档案!$H$6:$H$35,MATCH($E696,单位档案!$A$6:$A$35,0)),"")="税差法",ROUND(N($H696)/(1+$Q696)*$Q696-IF(N($R696)=0,0,$P696/(1+$R696)*$R696),2),ROUND(N($H696)/(1+$Q696)*$Q696,2)))</f>
        <v>0</v>
      </c>
      <c r="T696" s="36" t="n">
        <f aca="false">ROUND($S696*N(IFERROR(INDEX(单位档案!$J$6:$J$35,MATCH($E696,单位档案!$A$6:$A$35,0)),"")),2)</f>
        <v>0</v>
      </c>
      <c r="U696" s="36" t="n">
        <f aca="false">IF($D696&lt;&gt;"销项开票",0,ROUND(N($H696)*N(IFERROR(INDEX(单位档案!$K$6:$K$35,MATCH($E696,单位档案!$A$6:$A$35,0)),"")),2))</f>
        <v>0</v>
      </c>
      <c r="V696" s="36" t="n">
        <f aca="false">IF(OR($D696&lt;&gt;"销项开票",N($Q696)=0),0,ROUND(N($H696)/(1+$Q696)*N(IFERROR(INDEX(单位档案!$L$6:$L$35,MATCH($E696,单位档案!$A$6:$A$35,0)),"")),2))</f>
        <v>0</v>
      </c>
      <c r="W696" s="36" t="n">
        <f aca="false">ROUND($S696+$T696+$U696+$V696,2)</f>
        <v>0</v>
      </c>
      <c r="X696" s="35" t="str">
        <f aca="false">IF(OR($D696="挂靠代收",$D696="我方收款"),COUNTIFS($D$5:$D696,"挂靠代收")+COUNTIFS($D$5:$D696,"我方收款"),"")</f>
        <v/>
      </c>
      <c r="Y696" s="35"/>
      <c r="Z696" s="21" t="s">
        <v>111</v>
      </c>
    </row>
    <row r="697" customFormat="false" ht="15.75" hidden="false" customHeight="true" outlineLevel="0" collapsed="false">
      <c r="A697" s="32" t="str">
        <f aca="false">IF($B697="","",ROW()-4)</f>
        <v/>
      </c>
      <c r="B697" s="26"/>
      <c r="C697" s="24"/>
      <c r="D697" s="21"/>
      <c r="E697" s="21"/>
      <c r="F697" s="21"/>
      <c r="G697" s="21"/>
      <c r="H697" s="27"/>
      <c r="I697" s="23" t="str">
        <f aca="false">IF($D697&lt;&gt;"销项开票","",IF($N697="一级",IF(IFERROR(INDEX(项目档案!$E$6:$E$255,MATCH($C697,项目档案!$A$6:$A$255,0)),"")="",N(IFERROR(INDEX(单位档案!$D$6:$D$35,MATCH($E697,单位档案!$A$6:$A$35,0)),"")),IFERROR(INDEX(项目档案!$E$6:$E$255,MATCH($C697,项目档案!$A$6:$A$255,0)),"")),IF($N697="二级",IF(IFERROR(INDEX(项目档案!$G$6:$G$255,MATCH($C697,项目档案!$A$6:$A$255,0)),"")="",N(IFERROR(INDEX(单位档案!$D$6:$D$35,MATCH($E697,单位档案!$A$6:$A$35,0)),"")),IFERROR(INDEX(项目档案!$G$6:$G$255,MATCH($C697,项目档案!$A$6:$A$255,0)),"")),N(IFERROR(INDEX(单位档案!$D$6:$D$35,MATCH($E697,单位档案!$A$6:$A$35,0)),"")))))</f>
        <v/>
      </c>
      <c r="J697" s="22"/>
      <c r="K697" s="22"/>
      <c r="L697" s="33" t="str">
        <f aca="false">IF($B697="","",IF(NOT(ISNUMBER($B697)),"日期格式不对",IF($C697="","未选项目编号",IF(LEFT($M697,1)="⚠","项目编号不存在",IF($D697="","未选业务类型",IF($E697="","未选开票/付款方",IF(ISNA(MATCH($E697,单位档案!$A$6:$A$35,0)),"开票方不在单位档案",IF($F697="","未选收票/收款方",IF(ISNA(MATCH($F697,单位档案!$A$6:$A$35,0)),"收款方不在单位档案",IF(NOT(ISNUMBER($H697)),"金额须为数字",IF(AND($D697="销项开票",$N697="—"),"链条待确认","√")))))))))))</f>
        <v/>
      </c>
      <c r="M697" s="34" t="str">
        <f aca="false">IF($C697="","",IFERROR(INDEX(项目档案!$B$6:$B$255,MATCH($C697,项目档案!$A$6:$A$255,0)),"⚠项目编号不存在"))</f>
        <v/>
      </c>
      <c r="N697" s="35" t="str">
        <f aca="false">IF($E697="","",IF($E697=IFERROR(INDEX(项目档案!$D$6:$D$255,MATCH($C697,项目档案!$A$6:$A$255,0)),""),"一级",IF($E697=IFERROR(INDEX(项目档案!$F$6:$F$255,MATCH($C697,项目档案!$A$6:$A$255,0)),""),"二级",IF($E697=IFERROR(INDEX(项目档案!$H$6:$H$255,MATCH($C697,项目档案!$A$6:$A$255,0)),""),"我方","—"))))</f>
        <v/>
      </c>
      <c r="O697" s="36" t="n">
        <f aca="false">IF($D697&lt;&gt;"销项开票",0,ROUND(N($H697)*N($I697),2))</f>
        <v>0</v>
      </c>
      <c r="P697" s="36" t="n">
        <f aca="false">IF($D697&lt;&gt;"销项开票",0,ROUND(N($H697)-$O697,2))</f>
        <v>0</v>
      </c>
      <c r="Q697" s="37" t="str">
        <f aca="false">IF($E697="","",N(IFERROR(INDEX(单位档案!$E$6:$E$35,MATCH($E697,单位档案!$A$6:$A$35,0)),"")))</f>
        <v/>
      </c>
      <c r="R697" s="37" t="str">
        <f aca="false">IF($E697="","",N(IFERROR(INDEX(单位档案!$F$6:$F$35,MATCH($E697,单位档案!$A$6:$A$35,0)),"")))</f>
        <v/>
      </c>
      <c r="S697" s="36" t="n">
        <f aca="false">IF(OR($D697&lt;&gt;"销项开票",IFERROR(INDEX(单位档案!$G$6:$G$35,MATCH($E697,单位档案!$A$6:$A$35,0)),"")&lt;&gt;"是",N($Q697)=0),0,IF(IFERROR(INDEX(单位档案!$H$6:$H$35,MATCH($E697,单位档案!$A$6:$A$35,0)),"")="税差法",ROUND(N($H697)/(1+$Q697)*$Q697-IF(N($R697)=0,0,$P697/(1+$R697)*$R697),2),ROUND(N($H697)/(1+$Q697)*$Q697,2)))</f>
        <v>0</v>
      </c>
      <c r="T697" s="36" t="n">
        <f aca="false">ROUND($S697*N(IFERROR(INDEX(单位档案!$J$6:$J$35,MATCH($E697,单位档案!$A$6:$A$35,0)),"")),2)</f>
        <v>0</v>
      </c>
      <c r="U697" s="36" t="n">
        <f aca="false">IF($D697&lt;&gt;"销项开票",0,ROUND(N($H697)*N(IFERROR(INDEX(单位档案!$K$6:$K$35,MATCH($E697,单位档案!$A$6:$A$35,0)),"")),2))</f>
        <v>0</v>
      </c>
      <c r="V697" s="36" t="n">
        <f aca="false">IF(OR($D697&lt;&gt;"销项开票",N($Q697)=0),0,ROUND(N($H697)/(1+$Q697)*N(IFERROR(INDEX(单位档案!$L$6:$L$35,MATCH($E697,单位档案!$A$6:$A$35,0)),"")),2))</f>
        <v>0</v>
      </c>
      <c r="W697" s="36" t="n">
        <f aca="false">ROUND($S697+$T697+$U697+$V697,2)</f>
        <v>0</v>
      </c>
      <c r="X697" s="35" t="str">
        <f aca="false">IF(OR($D697="挂靠代收",$D697="我方收款"),COUNTIFS($D$5:$D697,"挂靠代收")+COUNTIFS($D$5:$D697,"我方收款"),"")</f>
        <v/>
      </c>
      <c r="Y697" s="35"/>
      <c r="Z697" s="21" t="s">
        <v>111</v>
      </c>
    </row>
    <row r="698" customFormat="false" ht="15.75" hidden="false" customHeight="true" outlineLevel="0" collapsed="false">
      <c r="A698" s="32" t="str">
        <f aca="false">IF($B698="","",ROW()-4)</f>
        <v/>
      </c>
      <c r="B698" s="26"/>
      <c r="C698" s="24"/>
      <c r="D698" s="21"/>
      <c r="E698" s="21"/>
      <c r="F698" s="21"/>
      <c r="G698" s="21"/>
      <c r="H698" s="27"/>
      <c r="I698" s="23" t="str">
        <f aca="false">IF($D698&lt;&gt;"销项开票","",IF($N698="一级",IF(IFERROR(INDEX(项目档案!$E$6:$E$255,MATCH($C698,项目档案!$A$6:$A$255,0)),"")="",N(IFERROR(INDEX(单位档案!$D$6:$D$35,MATCH($E698,单位档案!$A$6:$A$35,0)),"")),IFERROR(INDEX(项目档案!$E$6:$E$255,MATCH($C698,项目档案!$A$6:$A$255,0)),"")),IF($N698="二级",IF(IFERROR(INDEX(项目档案!$G$6:$G$255,MATCH($C698,项目档案!$A$6:$A$255,0)),"")="",N(IFERROR(INDEX(单位档案!$D$6:$D$35,MATCH($E698,单位档案!$A$6:$A$35,0)),"")),IFERROR(INDEX(项目档案!$G$6:$G$255,MATCH($C698,项目档案!$A$6:$A$255,0)),"")),N(IFERROR(INDEX(单位档案!$D$6:$D$35,MATCH($E698,单位档案!$A$6:$A$35,0)),"")))))</f>
        <v/>
      </c>
      <c r="J698" s="22"/>
      <c r="K698" s="22"/>
      <c r="L698" s="33" t="str">
        <f aca="false">IF($B698="","",IF(NOT(ISNUMBER($B698)),"日期格式不对",IF($C698="","未选项目编号",IF(LEFT($M698,1)="⚠","项目编号不存在",IF($D698="","未选业务类型",IF($E698="","未选开票/付款方",IF(ISNA(MATCH($E698,单位档案!$A$6:$A$35,0)),"开票方不在单位档案",IF($F698="","未选收票/收款方",IF(ISNA(MATCH($F698,单位档案!$A$6:$A$35,0)),"收款方不在单位档案",IF(NOT(ISNUMBER($H698)),"金额须为数字",IF(AND($D698="销项开票",$N698="—"),"链条待确认","√")))))))))))</f>
        <v/>
      </c>
      <c r="M698" s="34" t="str">
        <f aca="false">IF($C698="","",IFERROR(INDEX(项目档案!$B$6:$B$255,MATCH($C698,项目档案!$A$6:$A$255,0)),"⚠项目编号不存在"))</f>
        <v/>
      </c>
      <c r="N698" s="35" t="str">
        <f aca="false">IF($E698="","",IF($E698=IFERROR(INDEX(项目档案!$D$6:$D$255,MATCH($C698,项目档案!$A$6:$A$255,0)),""),"一级",IF($E698=IFERROR(INDEX(项目档案!$F$6:$F$255,MATCH($C698,项目档案!$A$6:$A$255,0)),""),"二级",IF($E698=IFERROR(INDEX(项目档案!$H$6:$H$255,MATCH($C698,项目档案!$A$6:$A$255,0)),""),"我方","—"))))</f>
        <v/>
      </c>
      <c r="O698" s="36" t="n">
        <f aca="false">IF($D698&lt;&gt;"销项开票",0,ROUND(N($H698)*N($I698),2))</f>
        <v>0</v>
      </c>
      <c r="P698" s="36" t="n">
        <f aca="false">IF($D698&lt;&gt;"销项开票",0,ROUND(N($H698)-$O698,2))</f>
        <v>0</v>
      </c>
      <c r="Q698" s="37" t="str">
        <f aca="false">IF($E698="","",N(IFERROR(INDEX(单位档案!$E$6:$E$35,MATCH($E698,单位档案!$A$6:$A$35,0)),"")))</f>
        <v/>
      </c>
      <c r="R698" s="37" t="str">
        <f aca="false">IF($E698="","",N(IFERROR(INDEX(单位档案!$F$6:$F$35,MATCH($E698,单位档案!$A$6:$A$35,0)),"")))</f>
        <v/>
      </c>
      <c r="S698" s="36" t="n">
        <f aca="false">IF(OR($D698&lt;&gt;"销项开票",IFERROR(INDEX(单位档案!$G$6:$G$35,MATCH($E698,单位档案!$A$6:$A$35,0)),"")&lt;&gt;"是",N($Q698)=0),0,IF(IFERROR(INDEX(单位档案!$H$6:$H$35,MATCH($E698,单位档案!$A$6:$A$35,0)),"")="税差法",ROUND(N($H698)/(1+$Q698)*$Q698-IF(N($R698)=0,0,$P698/(1+$R698)*$R698),2),ROUND(N($H698)/(1+$Q698)*$Q698,2)))</f>
        <v>0</v>
      </c>
      <c r="T698" s="36" t="n">
        <f aca="false">ROUND($S698*N(IFERROR(INDEX(单位档案!$J$6:$J$35,MATCH($E698,单位档案!$A$6:$A$35,0)),"")),2)</f>
        <v>0</v>
      </c>
      <c r="U698" s="36" t="n">
        <f aca="false">IF($D698&lt;&gt;"销项开票",0,ROUND(N($H698)*N(IFERROR(INDEX(单位档案!$K$6:$K$35,MATCH($E698,单位档案!$A$6:$A$35,0)),"")),2))</f>
        <v>0</v>
      </c>
      <c r="V698" s="36" t="n">
        <f aca="false">IF(OR($D698&lt;&gt;"销项开票",N($Q698)=0),0,ROUND(N($H698)/(1+$Q698)*N(IFERROR(INDEX(单位档案!$L$6:$L$35,MATCH($E698,单位档案!$A$6:$A$35,0)),"")),2))</f>
        <v>0</v>
      </c>
      <c r="W698" s="36" t="n">
        <f aca="false">ROUND($S698+$T698+$U698+$V698,2)</f>
        <v>0</v>
      </c>
      <c r="X698" s="35" t="str">
        <f aca="false">IF(OR($D698="挂靠代收",$D698="我方收款"),COUNTIFS($D$5:$D698,"挂靠代收")+COUNTIFS($D$5:$D698,"我方收款"),"")</f>
        <v/>
      </c>
      <c r="Y698" s="35"/>
      <c r="Z698" s="21" t="s">
        <v>111</v>
      </c>
    </row>
    <row r="699" customFormat="false" ht="15.75" hidden="false" customHeight="true" outlineLevel="0" collapsed="false">
      <c r="A699" s="32" t="str">
        <f aca="false">IF($B699="","",ROW()-4)</f>
        <v/>
      </c>
      <c r="B699" s="26"/>
      <c r="C699" s="24"/>
      <c r="D699" s="21"/>
      <c r="E699" s="21"/>
      <c r="F699" s="21"/>
      <c r="G699" s="21"/>
      <c r="H699" s="27"/>
      <c r="I699" s="23" t="str">
        <f aca="false">IF($D699&lt;&gt;"销项开票","",IF($N699="一级",IF(IFERROR(INDEX(项目档案!$E$6:$E$255,MATCH($C699,项目档案!$A$6:$A$255,0)),"")="",N(IFERROR(INDEX(单位档案!$D$6:$D$35,MATCH($E699,单位档案!$A$6:$A$35,0)),"")),IFERROR(INDEX(项目档案!$E$6:$E$255,MATCH($C699,项目档案!$A$6:$A$255,0)),"")),IF($N699="二级",IF(IFERROR(INDEX(项目档案!$G$6:$G$255,MATCH($C699,项目档案!$A$6:$A$255,0)),"")="",N(IFERROR(INDEX(单位档案!$D$6:$D$35,MATCH($E699,单位档案!$A$6:$A$35,0)),"")),IFERROR(INDEX(项目档案!$G$6:$G$255,MATCH($C699,项目档案!$A$6:$A$255,0)),"")),N(IFERROR(INDEX(单位档案!$D$6:$D$35,MATCH($E699,单位档案!$A$6:$A$35,0)),"")))))</f>
        <v/>
      </c>
      <c r="J699" s="22"/>
      <c r="K699" s="22"/>
      <c r="L699" s="33" t="str">
        <f aca="false">IF($B699="","",IF(NOT(ISNUMBER($B699)),"日期格式不对",IF($C699="","未选项目编号",IF(LEFT($M699,1)="⚠","项目编号不存在",IF($D699="","未选业务类型",IF($E699="","未选开票/付款方",IF(ISNA(MATCH($E699,单位档案!$A$6:$A$35,0)),"开票方不在单位档案",IF($F699="","未选收票/收款方",IF(ISNA(MATCH($F699,单位档案!$A$6:$A$35,0)),"收款方不在单位档案",IF(NOT(ISNUMBER($H699)),"金额须为数字",IF(AND($D699="销项开票",$N699="—"),"链条待确认","√")))))))))))</f>
        <v/>
      </c>
      <c r="M699" s="34" t="str">
        <f aca="false">IF($C699="","",IFERROR(INDEX(项目档案!$B$6:$B$255,MATCH($C699,项目档案!$A$6:$A$255,0)),"⚠项目编号不存在"))</f>
        <v/>
      </c>
      <c r="N699" s="35" t="str">
        <f aca="false">IF($E699="","",IF($E699=IFERROR(INDEX(项目档案!$D$6:$D$255,MATCH($C699,项目档案!$A$6:$A$255,0)),""),"一级",IF($E699=IFERROR(INDEX(项目档案!$F$6:$F$255,MATCH($C699,项目档案!$A$6:$A$255,0)),""),"二级",IF($E699=IFERROR(INDEX(项目档案!$H$6:$H$255,MATCH($C699,项目档案!$A$6:$A$255,0)),""),"我方","—"))))</f>
        <v/>
      </c>
      <c r="O699" s="36" t="n">
        <f aca="false">IF($D699&lt;&gt;"销项开票",0,ROUND(N($H699)*N($I699),2))</f>
        <v>0</v>
      </c>
      <c r="P699" s="36" t="n">
        <f aca="false">IF($D699&lt;&gt;"销项开票",0,ROUND(N($H699)-$O699,2))</f>
        <v>0</v>
      </c>
      <c r="Q699" s="37" t="str">
        <f aca="false">IF($E699="","",N(IFERROR(INDEX(单位档案!$E$6:$E$35,MATCH($E699,单位档案!$A$6:$A$35,0)),"")))</f>
        <v/>
      </c>
      <c r="R699" s="37" t="str">
        <f aca="false">IF($E699="","",N(IFERROR(INDEX(单位档案!$F$6:$F$35,MATCH($E699,单位档案!$A$6:$A$35,0)),"")))</f>
        <v/>
      </c>
      <c r="S699" s="36" t="n">
        <f aca="false">IF(OR($D699&lt;&gt;"销项开票",IFERROR(INDEX(单位档案!$G$6:$G$35,MATCH($E699,单位档案!$A$6:$A$35,0)),"")&lt;&gt;"是",N($Q699)=0),0,IF(IFERROR(INDEX(单位档案!$H$6:$H$35,MATCH($E699,单位档案!$A$6:$A$35,0)),"")="税差法",ROUND(N($H699)/(1+$Q699)*$Q699-IF(N($R699)=0,0,$P699/(1+$R699)*$R699),2),ROUND(N($H699)/(1+$Q699)*$Q699,2)))</f>
        <v>0</v>
      </c>
      <c r="T699" s="36" t="n">
        <f aca="false">ROUND($S699*N(IFERROR(INDEX(单位档案!$J$6:$J$35,MATCH($E699,单位档案!$A$6:$A$35,0)),"")),2)</f>
        <v>0</v>
      </c>
      <c r="U699" s="36" t="n">
        <f aca="false">IF($D699&lt;&gt;"销项开票",0,ROUND(N($H699)*N(IFERROR(INDEX(单位档案!$K$6:$K$35,MATCH($E699,单位档案!$A$6:$A$35,0)),"")),2))</f>
        <v>0</v>
      </c>
      <c r="V699" s="36" t="n">
        <f aca="false">IF(OR($D699&lt;&gt;"销项开票",N($Q699)=0),0,ROUND(N($H699)/(1+$Q699)*N(IFERROR(INDEX(单位档案!$L$6:$L$35,MATCH($E699,单位档案!$A$6:$A$35,0)),"")),2))</f>
        <v>0</v>
      </c>
      <c r="W699" s="36" t="n">
        <f aca="false">ROUND($S699+$T699+$U699+$V699,2)</f>
        <v>0</v>
      </c>
      <c r="X699" s="35" t="str">
        <f aca="false">IF(OR($D699="挂靠代收",$D699="我方收款"),COUNTIFS($D$5:$D699,"挂靠代收")+COUNTIFS($D$5:$D699,"我方收款"),"")</f>
        <v/>
      </c>
      <c r="Y699" s="35"/>
      <c r="Z699" s="21" t="s">
        <v>111</v>
      </c>
    </row>
    <row r="700" customFormat="false" ht="15.75" hidden="false" customHeight="true" outlineLevel="0" collapsed="false">
      <c r="A700" s="32" t="str">
        <f aca="false">IF($B700="","",ROW()-4)</f>
        <v/>
      </c>
      <c r="B700" s="26"/>
      <c r="C700" s="24"/>
      <c r="D700" s="21"/>
      <c r="E700" s="21"/>
      <c r="F700" s="21"/>
      <c r="G700" s="21"/>
      <c r="H700" s="27"/>
      <c r="I700" s="23" t="str">
        <f aca="false">IF($D700&lt;&gt;"销项开票","",IF($N700="一级",IF(IFERROR(INDEX(项目档案!$E$6:$E$255,MATCH($C700,项目档案!$A$6:$A$255,0)),"")="",N(IFERROR(INDEX(单位档案!$D$6:$D$35,MATCH($E700,单位档案!$A$6:$A$35,0)),"")),IFERROR(INDEX(项目档案!$E$6:$E$255,MATCH($C700,项目档案!$A$6:$A$255,0)),"")),IF($N700="二级",IF(IFERROR(INDEX(项目档案!$G$6:$G$255,MATCH($C700,项目档案!$A$6:$A$255,0)),"")="",N(IFERROR(INDEX(单位档案!$D$6:$D$35,MATCH($E700,单位档案!$A$6:$A$35,0)),"")),IFERROR(INDEX(项目档案!$G$6:$G$255,MATCH($C700,项目档案!$A$6:$A$255,0)),"")),N(IFERROR(INDEX(单位档案!$D$6:$D$35,MATCH($E700,单位档案!$A$6:$A$35,0)),"")))))</f>
        <v/>
      </c>
      <c r="J700" s="22"/>
      <c r="K700" s="22"/>
      <c r="L700" s="33" t="str">
        <f aca="false">IF($B700="","",IF(NOT(ISNUMBER($B700)),"日期格式不对",IF($C700="","未选项目编号",IF(LEFT($M700,1)="⚠","项目编号不存在",IF($D700="","未选业务类型",IF($E700="","未选开票/付款方",IF(ISNA(MATCH($E700,单位档案!$A$6:$A$35,0)),"开票方不在单位档案",IF($F700="","未选收票/收款方",IF(ISNA(MATCH($F700,单位档案!$A$6:$A$35,0)),"收款方不在单位档案",IF(NOT(ISNUMBER($H700)),"金额须为数字",IF(AND($D700="销项开票",$N700="—"),"链条待确认","√")))))))))))</f>
        <v/>
      </c>
      <c r="M700" s="34" t="str">
        <f aca="false">IF($C700="","",IFERROR(INDEX(项目档案!$B$6:$B$255,MATCH($C700,项目档案!$A$6:$A$255,0)),"⚠项目编号不存在"))</f>
        <v/>
      </c>
      <c r="N700" s="35" t="str">
        <f aca="false">IF($E700="","",IF($E700=IFERROR(INDEX(项目档案!$D$6:$D$255,MATCH($C700,项目档案!$A$6:$A$255,0)),""),"一级",IF($E700=IFERROR(INDEX(项目档案!$F$6:$F$255,MATCH($C700,项目档案!$A$6:$A$255,0)),""),"二级",IF($E700=IFERROR(INDEX(项目档案!$H$6:$H$255,MATCH($C700,项目档案!$A$6:$A$255,0)),""),"我方","—"))))</f>
        <v/>
      </c>
      <c r="O700" s="36" t="n">
        <f aca="false">IF($D700&lt;&gt;"销项开票",0,ROUND(N($H700)*N($I700),2))</f>
        <v>0</v>
      </c>
      <c r="P700" s="36" t="n">
        <f aca="false">IF($D700&lt;&gt;"销项开票",0,ROUND(N($H700)-$O700,2))</f>
        <v>0</v>
      </c>
      <c r="Q700" s="37" t="str">
        <f aca="false">IF($E700="","",N(IFERROR(INDEX(单位档案!$E$6:$E$35,MATCH($E700,单位档案!$A$6:$A$35,0)),"")))</f>
        <v/>
      </c>
      <c r="R700" s="37" t="str">
        <f aca="false">IF($E700="","",N(IFERROR(INDEX(单位档案!$F$6:$F$35,MATCH($E700,单位档案!$A$6:$A$35,0)),"")))</f>
        <v/>
      </c>
      <c r="S700" s="36" t="n">
        <f aca="false">IF(OR($D700&lt;&gt;"销项开票",IFERROR(INDEX(单位档案!$G$6:$G$35,MATCH($E700,单位档案!$A$6:$A$35,0)),"")&lt;&gt;"是",N($Q700)=0),0,IF(IFERROR(INDEX(单位档案!$H$6:$H$35,MATCH($E700,单位档案!$A$6:$A$35,0)),"")="税差法",ROUND(N($H700)/(1+$Q700)*$Q700-IF(N($R700)=0,0,$P700/(1+$R700)*$R700),2),ROUND(N($H700)/(1+$Q700)*$Q700,2)))</f>
        <v>0</v>
      </c>
      <c r="T700" s="36" t="n">
        <f aca="false">ROUND($S700*N(IFERROR(INDEX(单位档案!$J$6:$J$35,MATCH($E700,单位档案!$A$6:$A$35,0)),"")),2)</f>
        <v>0</v>
      </c>
      <c r="U700" s="36" t="n">
        <f aca="false">IF($D700&lt;&gt;"销项开票",0,ROUND(N($H700)*N(IFERROR(INDEX(单位档案!$K$6:$K$35,MATCH($E700,单位档案!$A$6:$A$35,0)),"")),2))</f>
        <v>0</v>
      </c>
      <c r="V700" s="36" t="n">
        <f aca="false">IF(OR($D700&lt;&gt;"销项开票",N($Q700)=0),0,ROUND(N($H700)/(1+$Q700)*N(IFERROR(INDEX(单位档案!$L$6:$L$35,MATCH($E700,单位档案!$A$6:$A$35,0)),"")),2))</f>
        <v>0</v>
      </c>
      <c r="W700" s="36" t="n">
        <f aca="false">ROUND($S700+$T700+$U700+$V700,2)</f>
        <v>0</v>
      </c>
      <c r="X700" s="35" t="str">
        <f aca="false">IF(OR($D700="挂靠代收",$D700="我方收款"),COUNTIFS($D$5:$D700,"挂靠代收")+COUNTIFS($D$5:$D700,"我方收款"),"")</f>
        <v/>
      </c>
      <c r="Y700" s="35"/>
      <c r="Z700" s="21" t="s">
        <v>111</v>
      </c>
    </row>
    <row r="701" customFormat="false" ht="15.75" hidden="false" customHeight="true" outlineLevel="0" collapsed="false">
      <c r="A701" s="32" t="str">
        <f aca="false">IF($B701="","",ROW()-4)</f>
        <v/>
      </c>
      <c r="B701" s="26"/>
      <c r="C701" s="24"/>
      <c r="D701" s="21"/>
      <c r="E701" s="21"/>
      <c r="F701" s="21"/>
      <c r="G701" s="21"/>
      <c r="H701" s="27"/>
      <c r="I701" s="23" t="str">
        <f aca="false">IF($D701&lt;&gt;"销项开票","",IF($N701="一级",IF(IFERROR(INDEX(项目档案!$E$6:$E$255,MATCH($C701,项目档案!$A$6:$A$255,0)),"")="",N(IFERROR(INDEX(单位档案!$D$6:$D$35,MATCH($E701,单位档案!$A$6:$A$35,0)),"")),IFERROR(INDEX(项目档案!$E$6:$E$255,MATCH($C701,项目档案!$A$6:$A$255,0)),"")),IF($N701="二级",IF(IFERROR(INDEX(项目档案!$G$6:$G$255,MATCH($C701,项目档案!$A$6:$A$255,0)),"")="",N(IFERROR(INDEX(单位档案!$D$6:$D$35,MATCH($E701,单位档案!$A$6:$A$35,0)),"")),IFERROR(INDEX(项目档案!$G$6:$G$255,MATCH($C701,项目档案!$A$6:$A$255,0)),"")),N(IFERROR(INDEX(单位档案!$D$6:$D$35,MATCH($E701,单位档案!$A$6:$A$35,0)),"")))))</f>
        <v/>
      </c>
      <c r="J701" s="22"/>
      <c r="K701" s="22"/>
      <c r="L701" s="33" t="str">
        <f aca="false">IF($B701="","",IF(NOT(ISNUMBER($B701)),"日期格式不对",IF($C701="","未选项目编号",IF(LEFT($M701,1)="⚠","项目编号不存在",IF($D701="","未选业务类型",IF($E701="","未选开票/付款方",IF(ISNA(MATCH($E701,单位档案!$A$6:$A$35,0)),"开票方不在单位档案",IF($F701="","未选收票/收款方",IF(ISNA(MATCH($F701,单位档案!$A$6:$A$35,0)),"收款方不在单位档案",IF(NOT(ISNUMBER($H701)),"金额须为数字",IF(AND($D701="销项开票",$N701="—"),"链条待确认","√")))))))))))</f>
        <v/>
      </c>
      <c r="M701" s="34" t="str">
        <f aca="false">IF($C701="","",IFERROR(INDEX(项目档案!$B$6:$B$255,MATCH($C701,项目档案!$A$6:$A$255,0)),"⚠项目编号不存在"))</f>
        <v/>
      </c>
      <c r="N701" s="35" t="str">
        <f aca="false">IF($E701="","",IF($E701=IFERROR(INDEX(项目档案!$D$6:$D$255,MATCH($C701,项目档案!$A$6:$A$255,0)),""),"一级",IF($E701=IFERROR(INDEX(项目档案!$F$6:$F$255,MATCH($C701,项目档案!$A$6:$A$255,0)),""),"二级",IF($E701=IFERROR(INDEX(项目档案!$H$6:$H$255,MATCH($C701,项目档案!$A$6:$A$255,0)),""),"我方","—"))))</f>
        <v/>
      </c>
      <c r="O701" s="36" t="n">
        <f aca="false">IF($D701&lt;&gt;"销项开票",0,ROUND(N($H701)*N($I701),2))</f>
        <v>0</v>
      </c>
      <c r="P701" s="36" t="n">
        <f aca="false">IF($D701&lt;&gt;"销项开票",0,ROUND(N($H701)-$O701,2))</f>
        <v>0</v>
      </c>
      <c r="Q701" s="37" t="str">
        <f aca="false">IF($E701="","",N(IFERROR(INDEX(单位档案!$E$6:$E$35,MATCH($E701,单位档案!$A$6:$A$35,0)),"")))</f>
        <v/>
      </c>
      <c r="R701" s="37" t="str">
        <f aca="false">IF($E701="","",N(IFERROR(INDEX(单位档案!$F$6:$F$35,MATCH($E701,单位档案!$A$6:$A$35,0)),"")))</f>
        <v/>
      </c>
      <c r="S701" s="36" t="n">
        <f aca="false">IF(OR($D701&lt;&gt;"销项开票",IFERROR(INDEX(单位档案!$G$6:$G$35,MATCH($E701,单位档案!$A$6:$A$35,0)),"")&lt;&gt;"是",N($Q701)=0),0,IF(IFERROR(INDEX(单位档案!$H$6:$H$35,MATCH($E701,单位档案!$A$6:$A$35,0)),"")="税差法",ROUND(N($H701)/(1+$Q701)*$Q701-IF(N($R701)=0,0,$P701/(1+$R701)*$R701),2),ROUND(N($H701)/(1+$Q701)*$Q701,2)))</f>
        <v>0</v>
      </c>
      <c r="T701" s="36" t="n">
        <f aca="false">ROUND($S701*N(IFERROR(INDEX(单位档案!$J$6:$J$35,MATCH($E701,单位档案!$A$6:$A$35,0)),"")),2)</f>
        <v>0</v>
      </c>
      <c r="U701" s="36" t="n">
        <f aca="false">IF($D701&lt;&gt;"销项开票",0,ROUND(N($H701)*N(IFERROR(INDEX(单位档案!$K$6:$K$35,MATCH($E701,单位档案!$A$6:$A$35,0)),"")),2))</f>
        <v>0</v>
      </c>
      <c r="V701" s="36" t="n">
        <f aca="false">IF(OR($D701&lt;&gt;"销项开票",N($Q701)=0),0,ROUND(N($H701)/(1+$Q701)*N(IFERROR(INDEX(单位档案!$L$6:$L$35,MATCH($E701,单位档案!$A$6:$A$35,0)),"")),2))</f>
        <v>0</v>
      </c>
      <c r="W701" s="36" t="n">
        <f aca="false">ROUND($S701+$T701+$U701+$V701,2)</f>
        <v>0</v>
      </c>
      <c r="X701" s="35" t="str">
        <f aca="false">IF(OR($D701="挂靠代收",$D701="我方收款"),COUNTIFS($D$5:$D701,"挂靠代收")+COUNTIFS($D$5:$D701,"我方收款"),"")</f>
        <v/>
      </c>
      <c r="Y701" s="35"/>
      <c r="Z701" s="21" t="s">
        <v>111</v>
      </c>
    </row>
    <row r="702" customFormat="false" ht="15.75" hidden="false" customHeight="true" outlineLevel="0" collapsed="false">
      <c r="A702" s="32" t="str">
        <f aca="false">IF($B702="","",ROW()-4)</f>
        <v/>
      </c>
      <c r="B702" s="26"/>
      <c r="C702" s="24"/>
      <c r="D702" s="21"/>
      <c r="E702" s="21"/>
      <c r="F702" s="21"/>
      <c r="G702" s="21"/>
      <c r="H702" s="27"/>
      <c r="I702" s="23" t="str">
        <f aca="false">IF($D702&lt;&gt;"销项开票","",IF($N702="一级",IF(IFERROR(INDEX(项目档案!$E$6:$E$255,MATCH($C702,项目档案!$A$6:$A$255,0)),"")="",N(IFERROR(INDEX(单位档案!$D$6:$D$35,MATCH($E702,单位档案!$A$6:$A$35,0)),"")),IFERROR(INDEX(项目档案!$E$6:$E$255,MATCH($C702,项目档案!$A$6:$A$255,0)),"")),IF($N702="二级",IF(IFERROR(INDEX(项目档案!$G$6:$G$255,MATCH($C702,项目档案!$A$6:$A$255,0)),"")="",N(IFERROR(INDEX(单位档案!$D$6:$D$35,MATCH($E702,单位档案!$A$6:$A$35,0)),"")),IFERROR(INDEX(项目档案!$G$6:$G$255,MATCH($C702,项目档案!$A$6:$A$255,0)),"")),N(IFERROR(INDEX(单位档案!$D$6:$D$35,MATCH($E702,单位档案!$A$6:$A$35,0)),"")))))</f>
        <v/>
      </c>
      <c r="J702" s="22"/>
      <c r="K702" s="22"/>
      <c r="L702" s="33" t="str">
        <f aca="false">IF($B702="","",IF(NOT(ISNUMBER($B702)),"日期格式不对",IF($C702="","未选项目编号",IF(LEFT($M702,1)="⚠","项目编号不存在",IF($D702="","未选业务类型",IF($E702="","未选开票/付款方",IF(ISNA(MATCH($E702,单位档案!$A$6:$A$35,0)),"开票方不在单位档案",IF($F702="","未选收票/收款方",IF(ISNA(MATCH($F702,单位档案!$A$6:$A$35,0)),"收款方不在单位档案",IF(NOT(ISNUMBER($H702)),"金额须为数字",IF(AND($D702="销项开票",$N702="—"),"链条待确认","√")))))))))))</f>
        <v/>
      </c>
      <c r="M702" s="34" t="str">
        <f aca="false">IF($C702="","",IFERROR(INDEX(项目档案!$B$6:$B$255,MATCH($C702,项目档案!$A$6:$A$255,0)),"⚠项目编号不存在"))</f>
        <v/>
      </c>
      <c r="N702" s="35" t="str">
        <f aca="false">IF($E702="","",IF($E702=IFERROR(INDEX(项目档案!$D$6:$D$255,MATCH($C702,项目档案!$A$6:$A$255,0)),""),"一级",IF($E702=IFERROR(INDEX(项目档案!$F$6:$F$255,MATCH($C702,项目档案!$A$6:$A$255,0)),""),"二级",IF($E702=IFERROR(INDEX(项目档案!$H$6:$H$255,MATCH($C702,项目档案!$A$6:$A$255,0)),""),"我方","—"))))</f>
        <v/>
      </c>
      <c r="O702" s="36" t="n">
        <f aca="false">IF($D702&lt;&gt;"销项开票",0,ROUND(N($H702)*N($I702),2))</f>
        <v>0</v>
      </c>
      <c r="P702" s="36" t="n">
        <f aca="false">IF($D702&lt;&gt;"销项开票",0,ROUND(N($H702)-$O702,2))</f>
        <v>0</v>
      </c>
      <c r="Q702" s="37" t="str">
        <f aca="false">IF($E702="","",N(IFERROR(INDEX(单位档案!$E$6:$E$35,MATCH($E702,单位档案!$A$6:$A$35,0)),"")))</f>
        <v/>
      </c>
      <c r="R702" s="37" t="str">
        <f aca="false">IF($E702="","",N(IFERROR(INDEX(单位档案!$F$6:$F$35,MATCH($E702,单位档案!$A$6:$A$35,0)),"")))</f>
        <v/>
      </c>
      <c r="S702" s="36" t="n">
        <f aca="false">IF(OR($D702&lt;&gt;"销项开票",IFERROR(INDEX(单位档案!$G$6:$G$35,MATCH($E702,单位档案!$A$6:$A$35,0)),"")&lt;&gt;"是",N($Q702)=0),0,IF(IFERROR(INDEX(单位档案!$H$6:$H$35,MATCH($E702,单位档案!$A$6:$A$35,0)),"")="税差法",ROUND(N($H702)/(1+$Q702)*$Q702-IF(N($R702)=0,0,$P702/(1+$R702)*$R702),2),ROUND(N($H702)/(1+$Q702)*$Q702,2)))</f>
        <v>0</v>
      </c>
      <c r="T702" s="36" t="n">
        <f aca="false">ROUND($S702*N(IFERROR(INDEX(单位档案!$J$6:$J$35,MATCH($E702,单位档案!$A$6:$A$35,0)),"")),2)</f>
        <v>0</v>
      </c>
      <c r="U702" s="36" t="n">
        <f aca="false">IF($D702&lt;&gt;"销项开票",0,ROUND(N($H702)*N(IFERROR(INDEX(单位档案!$K$6:$K$35,MATCH($E702,单位档案!$A$6:$A$35,0)),"")),2))</f>
        <v>0</v>
      </c>
      <c r="V702" s="36" t="n">
        <f aca="false">IF(OR($D702&lt;&gt;"销项开票",N($Q702)=0),0,ROUND(N($H702)/(1+$Q702)*N(IFERROR(INDEX(单位档案!$L$6:$L$35,MATCH($E702,单位档案!$A$6:$A$35,0)),"")),2))</f>
        <v>0</v>
      </c>
      <c r="W702" s="36" t="n">
        <f aca="false">ROUND($S702+$T702+$U702+$V702,2)</f>
        <v>0</v>
      </c>
      <c r="X702" s="35" t="str">
        <f aca="false">IF(OR($D702="挂靠代收",$D702="我方收款"),COUNTIFS($D$5:$D702,"挂靠代收")+COUNTIFS($D$5:$D702,"我方收款"),"")</f>
        <v/>
      </c>
      <c r="Y702" s="35"/>
      <c r="Z702" s="21" t="s">
        <v>111</v>
      </c>
    </row>
    <row r="703" customFormat="false" ht="15.75" hidden="false" customHeight="true" outlineLevel="0" collapsed="false">
      <c r="A703" s="32" t="str">
        <f aca="false">IF($B703="","",ROW()-4)</f>
        <v/>
      </c>
      <c r="B703" s="26"/>
      <c r="C703" s="24"/>
      <c r="D703" s="21"/>
      <c r="E703" s="21"/>
      <c r="F703" s="21"/>
      <c r="G703" s="21"/>
      <c r="H703" s="27"/>
      <c r="I703" s="23" t="str">
        <f aca="false">IF($D703&lt;&gt;"销项开票","",IF($N703="一级",IF(IFERROR(INDEX(项目档案!$E$6:$E$255,MATCH($C703,项目档案!$A$6:$A$255,0)),"")="",N(IFERROR(INDEX(单位档案!$D$6:$D$35,MATCH($E703,单位档案!$A$6:$A$35,0)),"")),IFERROR(INDEX(项目档案!$E$6:$E$255,MATCH($C703,项目档案!$A$6:$A$255,0)),"")),IF($N703="二级",IF(IFERROR(INDEX(项目档案!$G$6:$G$255,MATCH($C703,项目档案!$A$6:$A$255,0)),"")="",N(IFERROR(INDEX(单位档案!$D$6:$D$35,MATCH($E703,单位档案!$A$6:$A$35,0)),"")),IFERROR(INDEX(项目档案!$G$6:$G$255,MATCH($C703,项目档案!$A$6:$A$255,0)),"")),N(IFERROR(INDEX(单位档案!$D$6:$D$35,MATCH($E703,单位档案!$A$6:$A$35,0)),"")))))</f>
        <v/>
      </c>
      <c r="J703" s="22"/>
      <c r="K703" s="22"/>
      <c r="L703" s="33" t="str">
        <f aca="false">IF($B703="","",IF(NOT(ISNUMBER($B703)),"日期格式不对",IF($C703="","未选项目编号",IF(LEFT($M703,1)="⚠","项目编号不存在",IF($D703="","未选业务类型",IF($E703="","未选开票/付款方",IF(ISNA(MATCH($E703,单位档案!$A$6:$A$35,0)),"开票方不在单位档案",IF($F703="","未选收票/收款方",IF(ISNA(MATCH($F703,单位档案!$A$6:$A$35,0)),"收款方不在单位档案",IF(NOT(ISNUMBER($H703)),"金额须为数字",IF(AND($D703="销项开票",$N703="—"),"链条待确认","√")))))))))))</f>
        <v/>
      </c>
      <c r="M703" s="34" t="str">
        <f aca="false">IF($C703="","",IFERROR(INDEX(项目档案!$B$6:$B$255,MATCH($C703,项目档案!$A$6:$A$255,0)),"⚠项目编号不存在"))</f>
        <v/>
      </c>
      <c r="N703" s="35" t="str">
        <f aca="false">IF($E703="","",IF($E703=IFERROR(INDEX(项目档案!$D$6:$D$255,MATCH($C703,项目档案!$A$6:$A$255,0)),""),"一级",IF($E703=IFERROR(INDEX(项目档案!$F$6:$F$255,MATCH($C703,项目档案!$A$6:$A$255,0)),""),"二级",IF($E703=IFERROR(INDEX(项目档案!$H$6:$H$255,MATCH($C703,项目档案!$A$6:$A$255,0)),""),"我方","—"))))</f>
        <v/>
      </c>
      <c r="O703" s="36" t="n">
        <f aca="false">IF($D703&lt;&gt;"销项开票",0,ROUND(N($H703)*N($I703),2))</f>
        <v>0</v>
      </c>
      <c r="P703" s="36" t="n">
        <f aca="false">IF($D703&lt;&gt;"销项开票",0,ROUND(N($H703)-$O703,2))</f>
        <v>0</v>
      </c>
      <c r="Q703" s="37" t="str">
        <f aca="false">IF($E703="","",N(IFERROR(INDEX(单位档案!$E$6:$E$35,MATCH($E703,单位档案!$A$6:$A$35,0)),"")))</f>
        <v/>
      </c>
      <c r="R703" s="37" t="str">
        <f aca="false">IF($E703="","",N(IFERROR(INDEX(单位档案!$F$6:$F$35,MATCH($E703,单位档案!$A$6:$A$35,0)),"")))</f>
        <v/>
      </c>
      <c r="S703" s="36" t="n">
        <f aca="false">IF(OR($D703&lt;&gt;"销项开票",IFERROR(INDEX(单位档案!$G$6:$G$35,MATCH($E703,单位档案!$A$6:$A$35,0)),"")&lt;&gt;"是",N($Q703)=0),0,IF(IFERROR(INDEX(单位档案!$H$6:$H$35,MATCH($E703,单位档案!$A$6:$A$35,0)),"")="税差法",ROUND(N($H703)/(1+$Q703)*$Q703-IF(N($R703)=0,0,$P703/(1+$R703)*$R703),2),ROUND(N($H703)/(1+$Q703)*$Q703,2)))</f>
        <v>0</v>
      </c>
      <c r="T703" s="36" t="n">
        <f aca="false">ROUND($S703*N(IFERROR(INDEX(单位档案!$J$6:$J$35,MATCH($E703,单位档案!$A$6:$A$35,0)),"")),2)</f>
        <v>0</v>
      </c>
      <c r="U703" s="36" t="n">
        <f aca="false">IF($D703&lt;&gt;"销项开票",0,ROUND(N($H703)*N(IFERROR(INDEX(单位档案!$K$6:$K$35,MATCH($E703,单位档案!$A$6:$A$35,0)),"")),2))</f>
        <v>0</v>
      </c>
      <c r="V703" s="36" t="n">
        <f aca="false">IF(OR($D703&lt;&gt;"销项开票",N($Q703)=0),0,ROUND(N($H703)/(1+$Q703)*N(IFERROR(INDEX(单位档案!$L$6:$L$35,MATCH($E703,单位档案!$A$6:$A$35,0)),"")),2))</f>
        <v>0</v>
      </c>
      <c r="W703" s="36" t="n">
        <f aca="false">ROUND($S703+$T703+$U703+$V703,2)</f>
        <v>0</v>
      </c>
      <c r="X703" s="35" t="str">
        <f aca="false">IF(OR($D703="挂靠代收",$D703="我方收款"),COUNTIFS($D$5:$D703,"挂靠代收")+COUNTIFS($D$5:$D703,"我方收款"),"")</f>
        <v/>
      </c>
      <c r="Y703" s="35"/>
      <c r="Z703" s="21" t="s">
        <v>111</v>
      </c>
    </row>
    <row r="704" customFormat="false" ht="15.75" hidden="false" customHeight="true" outlineLevel="0" collapsed="false">
      <c r="A704" s="32" t="str">
        <f aca="false">IF($B704="","",ROW()-4)</f>
        <v/>
      </c>
      <c r="B704" s="26"/>
      <c r="C704" s="24"/>
      <c r="D704" s="21"/>
      <c r="E704" s="21"/>
      <c r="F704" s="21"/>
      <c r="G704" s="21"/>
      <c r="H704" s="27"/>
      <c r="I704" s="23" t="str">
        <f aca="false">IF($D704&lt;&gt;"销项开票","",IF($N704="一级",IF(IFERROR(INDEX(项目档案!$E$6:$E$255,MATCH($C704,项目档案!$A$6:$A$255,0)),"")="",N(IFERROR(INDEX(单位档案!$D$6:$D$35,MATCH($E704,单位档案!$A$6:$A$35,0)),"")),IFERROR(INDEX(项目档案!$E$6:$E$255,MATCH($C704,项目档案!$A$6:$A$255,0)),"")),IF($N704="二级",IF(IFERROR(INDEX(项目档案!$G$6:$G$255,MATCH($C704,项目档案!$A$6:$A$255,0)),"")="",N(IFERROR(INDEX(单位档案!$D$6:$D$35,MATCH($E704,单位档案!$A$6:$A$35,0)),"")),IFERROR(INDEX(项目档案!$G$6:$G$255,MATCH($C704,项目档案!$A$6:$A$255,0)),"")),N(IFERROR(INDEX(单位档案!$D$6:$D$35,MATCH($E704,单位档案!$A$6:$A$35,0)),"")))))</f>
        <v/>
      </c>
      <c r="J704" s="22"/>
      <c r="K704" s="22"/>
      <c r="L704" s="33" t="str">
        <f aca="false">IF($B704="","",IF(NOT(ISNUMBER($B704)),"日期格式不对",IF($C704="","未选项目编号",IF(LEFT($M704,1)="⚠","项目编号不存在",IF($D704="","未选业务类型",IF($E704="","未选开票/付款方",IF(ISNA(MATCH($E704,单位档案!$A$6:$A$35,0)),"开票方不在单位档案",IF($F704="","未选收票/收款方",IF(ISNA(MATCH($F704,单位档案!$A$6:$A$35,0)),"收款方不在单位档案",IF(NOT(ISNUMBER($H704)),"金额须为数字",IF(AND($D704="销项开票",$N704="—"),"链条待确认","√")))))))))))</f>
        <v/>
      </c>
      <c r="M704" s="34" t="str">
        <f aca="false">IF($C704="","",IFERROR(INDEX(项目档案!$B$6:$B$255,MATCH($C704,项目档案!$A$6:$A$255,0)),"⚠项目编号不存在"))</f>
        <v/>
      </c>
      <c r="N704" s="35" t="str">
        <f aca="false">IF($E704="","",IF($E704=IFERROR(INDEX(项目档案!$D$6:$D$255,MATCH($C704,项目档案!$A$6:$A$255,0)),""),"一级",IF($E704=IFERROR(INDEX(项目档案!$F$6:$F$255,MATCH($C704,项目档案!$A$6:$A$255,0)),""),"二级",IF($E704=IFERROR(INDEX(项目档案!$H$6:$H$255,MATCH($C704,项目档案!$A$6:$A$255,0)),""),"我方","—"))))</f>
        <v/>
      </c>
      <c r="O704" s="36" t="n">
        <f aca="false">IF($D704&lt;&gt;"销项开票",0,ROUND(N($H704)*N($I704),2))</f>
        <v>0</v>
      </c>
      <c r="P704" s="36" t="n">
        <f aca="false">IF($D704&lt;&gt;"销项开票",0,ROUND(N($H704)-$O704,2))</f>
        <v>0</v>
      </c>
      <c r="Q704" s="37" t="str">
        <f aca="false">IF($E704="","",N(IFERROR(INDEX(单位档案!$E$6:$E$35,MATCH($E704,单位档案!$A$6:$A$35,0)),"")))</f>
        <v/>
      </c>
      <c r="R704" s="37" t="str">
        <f aca="false">IF($E704="","",N(IFERROR(INDEX(单位档案!$F$6:$F$35,MATCH($E704,单位档案!$A$6:$A$35,0)),"")))</f>
        <v/>
      </c>
      <c r="S704" s="36" t="n">
        <f aca="false">IF(OR($D704&lt;&gt;"销项开票",IFERROR(INDEX(单位档案!$G$6:$G$35,MATCH($E704,单位档案!$A$6:$A$35,0)),"")&lt;&gt;"是",N($Q704)=0),0,IF(IFERROR(INDEX(单位档案!$H$6:$H$35,MATCH($E704,单位档案!$A$6:$A$35,0)),"")="税差法",ROUND(N($H704)/(1+$Q704)*$Q704-IF(N($R704)=0,0,$P704/(1+$R704)*$R704),2),ROUND(N($H704)/(1+$Q704)*$Q704,2)))</f>
        <v>0</v>
      </c>
      <c r="T704" s="36" t="n">
        <f aca="false">ROUND($S704*N(IFERROR(INDEX(单位档案!$J$6:$J$35,MATCH($E704,单位档案!$A$6:$A$35,0)),"")),2)</f>
        <v>0</v>
      </c>
      <c r="U704" s="36" t="n">
        <f aca="false">IF($D704&lt;&gt;"销项开票",0,ROUND(N($H704)*N(IFERROR(INDEX(单位档案!$K$6:$K$35,MATCH($E704,单位档案!$A$6:$A$35,0)),"")),2))</f>
        <v>0</v>
      </c>
      <c r="V704" s="36" t="n">
        <f aca="false">IF(OR($D704&lt;&gt;"销项开票",N($Q704)=0),0,ROUND(N($H704)/(1+$Q704)*N(IFERROR(INDEX(单位档案!$L$6:$L$35,MATCH($E704,单位档案!$A$6:$A$35,0)),"")),2))</f>
        <v>0</v>
      </c>
      <c r="W704" s="36" t="n">
        <f aca="false">ROUND($S704+$T704+$U704+$V704,2)</f>
        <v>0</v>
      </c>
      <c r="X704" s="35" t="str">
        <f aca="false">IF(OR($D704="挂靠代收",$D704="我方收款"),COUNTIFS($D$5:$D704,"挂靠代收")+COUNTIFS($D$5:$D704,"我方收款"),"")</f>
        <v/>
      </c>
      <c r="Y704" s="35"/>
      <c r="Z704" s="21" t="s">
        <v>111</v>
      </c>
    </row>
    <row r="705" customFormat="false" ht="15.75" hidden="false" customHeight="true" outlineLevel="0" collapsed="false">
      <c r="A705" s="32" t="str">
        <f aca="false">IF($B705="","",ROW()-4)</f>
        <v/>
      </c>
      <c r="B705" s="26"/>
      <c r="C705" s="24"/>
      <c r="D705" s="21"/>
      <c r="E705" s="21"/>
      <c r="F705" s="21"/>
      <c r="G705" s="21"/>
      <c r="H705" s="27"/>
      <c r="I705" s="23" t="str">
        <f aca="false">IF($D705&lt;&gt;"销项开票","",IF($N705="一级",IF(IFERROR(INDEX(项目档案!$E$6:$E$255,MATCH($C705,项目档案!$A$6:$A$255,0)),"")="",N(IFERROR(INDEX(单位档案!$D$6:$D$35,MATCH($E705,单位档案!$A$6:$A$35,0)),"")),IFERROR(INDEX(项目档案!$E$6:$E$255,MATCH($C705,项目档案!$A$6:$A$255,0)),"")),IF($N705="二级",IF(IFERROR(INDEX(项目档案!$G$6:$G$255,MATCH($C705,项目档案!$A$6:$A$255,0)),"")="",N(IFERROR(INDEX(单位档案!$D$6:$D$35,MATCH($E705,单位档案!$A$6:$A$35,0)),"")),IFERROR(INDEX(项目档案!$G$6:$G$255,MATCH($C705,项目档案!$A$6:$A$255,0)),"")),N(IFERROR(INDEX(单位档案!$D$6:$D$35,MATCH($E705,单位档案!$A$6:$A$35,0)),"")))))</f>
        <v/>
      </c>
      <c r="J705" s="22"/>
      <c r="K705" s="22"/>
      <c r="L705" s="33" t="str">
        <f aca="false">IF($B705="","",IF(NOT(ISNUMBER($B705)),"日期格式不对",IF($C705="","未选项目编号",IF(LEFT($M705,1)="⚠","项目编号不存在",IF($D705="","未选业务类型",IF($E705="","未选开票/付款方",IF(ISNA(MATCH($E705,单位档案!$A$6:$A$35,0)),"开票方不在单位档案",IF($F705="","未选收票/收款方",IF(ISNA(MATCH($F705,单位档案!$A$6:$A$35,0)),"收款方不在单位档案",IF(NOT(ISNUMBER($H705)),"金额须为数字",IF(AND($D705="销项开票",$N705="—"),"链条待确认","√")))))))))))</f>
        <v/>
      </c>
      <c r="M705" s="34" t="str">
        <f aca="false">IF($C705="","",IFERROR(INDEX(项目档案!$B$6:$B$255,MATCH($C705,项目档案!$A$6:$A$255,0)),"⚠项目编号不存在"))</f>
        <v/>
      </c>
      <c r="N705" s="35" t="str">
        <f aca="false">IF($E705="","",IF($E705=IFERROR(INDEX(项目档案!$D$6:$D$255,MATCH($C705,项目档案!$A$6:$A$255,0)),""),"一级",IF($E705=IFERROR(INDEX(项目档案!$F$6:$F$255,MATCH($C705,项目档案!$A$6:$A$255,0)),""),"二级",IF($E705=IFERROR(INDEX(项目档案!$H$6:$H$255,MATCH($C705,项目档案!$A$6:$A$255,0)),""),"我方","—"))))</f>
        <v/>
      </c>
      <c r="O705" s="36" t="n">
        <f aca="false">IF($D705&lt;&gt;"销项开票",0,ROUND(N($H705)*N($I705),2))</f>
        <v>0</v>
      </c>
      <c r="P705" s="36" t="n">
        <f aca="false">IF($D705&lt;&gt;"销项开票",0,ROUND(N($H705)-$O705,2))</f>
        <v>0</v>
      </c>
      <c r="Q705" s="37" t="str">
        <f aca="false">IF($E705="","",N(IFERROR(INDEX(单位档案!$E$6:$E$35,MATCH($E705,单位档案!$A$6:$A$35,0)),"")))</f>
        <v/>
      </c>
      <c r="R705" s="37" t="str">
        <f aca="false">IF($E705="","",N(IFERROR(INDEX(单位档案!$F$6:$F$35,MATCH($E705,单位档案!$A$6:$A$35,0)),"")))</f>
        <v/>
      </c>
      <c r="S705" s="36" t="n">
        <f aca="false">IF(OR($D705&lt;&gt;"销项开票",IFERROR(INDEX(单位档案!$G$6:$G$35,MATCH($E705,单位档案!$A$6:$A$35,0)),"")&lt;&gt;"是",N($Q705)=0),0,IF(IFERROR(INDEX(单位档案!$H$6:$H$35,MATCH($E705,单位档案!$A$6:$A$35,0)),"")="税差法",ROUND(N($H705)/(1+$Q705)*$Q705-IF(N($R705)=0,0,$P705/(1+$R705)*$R705),2),ROUND(N($H705)/(1+$Q705)*$Q705,2)))</f>
        <v>0</v>
      </c>
      <c r="T705" s="36" t="n">
        <f aca="false">ROUND($S705*N(IFERROR(INDEX(单位档案!$J$6:$J$35,MATCH($E705,单位档案!$A$6:$A$35,0)),"")),2)</f>
        <v>0</v>
      </c>
      <c r="U705" s="36" t="n">
        <f aca="false">IF($D705&lt;&gt;"销项开票",0,ROUND(N($H705)*N(IFERROR(INDEX(单位档案!$K$6:$K$35,MATCH($E705,单位档案!$A$6:$A$35,0)),"")),2))</f>
        <v>0</v>
      </c>
      <c r="V705" s="36" t="n">
        <f aca="false">IF(OR($D705&lt;&gt;"销项开票",N($Q705)=0),0,ROUND(N($H705)/(1+$Q705)*N(IFERROR(INDEX(单位档案!$L$6:$L$35,MATCH($E705,单位档案!$A$6:$A$35,0)),"")),2))</f>
        <v>0</v>
      </c>
      <c r="W705" s="36" t="n">
        <f aca="false">ROUND($S705+$T705+$U705+$V705,2)</f>
        <v>0</v>
      </c>
      <c r="X705" s="35" t="str">
        <f aca="false">IF(OR($D705="挂靠代收",$D705="我方收款"),COUNTIFS($D$5:$D705,"挂靠代收")+COUNTIFS($D$5:$D705,"我方收款"),"")</f>
        <v/>
      </c>
      <c r="Y705" s="35"/>
      <c r="Z705" s="21" t="s">
        <v>111</v>
      </c>
    </row>
    <row r="706" customFormat="false" ht="15.75" hidden="false" customHeight="true" outlineLevel="0" collapsed="false">
      <c r="A706" s="32" t="str">
        <f aca="false">IF($B706="","",ROW()-4)</f>
        <v/>
      </c>
      <c r="B706" s="26"/>
      <c r="C706" s="24"/>
      <c r="D706" s="21"/>
      <c r="E706" s="21"/>
      <c r="F706" s="21"/>
      <c r="G706" s="21"/>
      <c r="H706" s="27"/>
      <c r="I706" s="23" t="str">
        <f aca="false">IF($D706&lt;&gt;"销项开票","",IF($N706="一级",IF(IFERROR(INDEX(项目档案!$E$6:$E$255,MATCH($C706,项目档案!$A$6:$A$255,0)),"")="",N(IFERROR(INDEX(单位档案!$D$6:$D$35,MATCH($E706,单位档案!$A$6:$A$35,0)),"")),IFERROR(INDEX(项目档案!$E$6:$E$255,MATCH($C706,项目档案!$A$6:$A$255,0)),"")),IF($N706="二级",IF(IFERROR(INDEX(项目档案!$G$6:$G$255,MATCH($C706,项目档案!$A$6:$A$255,0)),"")="",N(IFERROR(INDEX(单位档案!$D$6:$D$35,MATCH($E706,单位档案!$A$6:$A$35,0)),"")),IFERROR(INDEX(项目档案!$G$6:$G$255,MATCH($C706,项目档案!$A$6:$A$255,0)),"")),N(IFERROR(INDEX(单位档案!$D$6:$D$35,MATCH($E706,单位档案!$A$6:$A$35,0)),"")))))</f>
        <v/>
      </c>
      <c r="J706" s="22"/>
      <c r="K706" s="22"/>
      <c r="L706" s="33" t="str">
        <f aca="false">IF($B706="","",IF(NOT(ISNUMBER($B706)),"日期格式不对",IF($C706="","未选项目编号",IF(LEFT($M706,1)="⚠","项目编号不存在",IF($D706="","未选业务类型",IF($E706="","未选开票/付款方",IF(ISNA(MATCH($E706,单位档案!$A$6:$A$35,0)),"开票方不在单位档案",IF($F706="","未选收票/收款方",IF(ISNA(MATCH($F706,单位档案!$A$6:$A$35,0)),"收款方不在单位档案",IF(NOT(ISNUMBER($H706)),"金额须为数字",IF(AND($D706="销项开票",$N706="—"),"链条待确认","√")))))))))))</f>
        <v/>
      </c>
      <c r="M706" s="34" t="str">
        <f aca="false">IF($C706="","",IFERROR(INDEX(项目档案!$B$6:$B$255,MATCH($C706,项目档案!$A$6:$A$255,0)),"⚠项目编号不存在"))</f>
        <v/>
      </c>
      <c r="N706" s="35" t="str">
        <f aca="false">IF($E706="","",IF($E706=IFERROR(INDEX(项目档案!$D$6:$D$255,MATCH($C706,项目档案!$A$6:$A$255,0)),""),"一级",IF($E706=IFERROR(INDEX(项目档案!$F$6:$F$255,MATCH($C706,项目档案!$A$6:$A$255,0)),""),"二级",IF($E706=IFERROR(INDEX(项目档案!$H$6:$H$255,MATCH($C706,项目档案!$A$6:$A$255,0)),""),"我方","—"))))</f>
        <v/>
      </c>
      <c r="O706" s="36" t="n">
        <f aca="false">IF($D706&lt;&gt;"销项开票",0,ROUND(N($H706)*N($I706),2))</f>
        <v>0</v>
      </c>
      <c r="P706" s="36" t="n">
        <f aca="false">IF($D706&lt;&gt;"销项开票",0,ROUND(N($H706)-$O706,2))</f>
        <v>0</v>
      </c>
      <c r="Q706" s="37" t="str">
        <f aca="false">IF($E706="","",N(IFERROR(INDEX(单位档案!$E$6:$E$35,MATCH($E706,单位档案!$A$6:$A$35,0)),"")))</f>
        <v/>
      </c>
      <c r="R706" s="37" t="str">
        <f aca="false">IF($E706="","",N(IFERROR(INDEX(单位档案!$F$6:$F$35,MATCH($E706,单位档案!$A$6:$A$35,0)),"")))</f>
        <v/>
      </c>
      <c r="S706" s="36" t="n">
        <f aca="false">IF(OR($D706&lt;&gt;"销项开票",IFERROR(INDEX(单位档案!$G$6:$G$35,MATCH($E706,单位档案!$A$6:$A$35,0)),"")&lt;&gt;"是",N($Q706)=0),0,IF(IFERROR(INDEX(单位档案!$H$6:$H$35,MATCH($E706,单位档案!$A$6:$A$35,0)),"")="税差法",ROUND(N($H706)/(1+$Q706)*$Q706-IF(N($R706)=0,0,$P706/(1+$R706)*$R706),2),ROUND(N($H706)/(1+$Q706)*$Q706,2)))</f>
        <v>0</v>
      </c>
      <c r="T706" s="36" t="n">
        <f aca="false">ROUND($S706*N(IFERROR(INDEX(单位档案!$J$6:$J$35,MATCH($E706,单位档案!$A$6:$A$35,0)),"")),2)</f>
        <v>0</v>
      </c>
      <c r="U706" s="36" t="n">
        <f aca="false">IF($D706&lt;&gt;"销项开票",0,ROUND(N($H706)*N(IFERROR(INDEX(单位档案!$K$6:$K$35,MATCH($E706,单位档案!$A$6:$A$35,0)),"")),2))</f>
        <v>0</v>
      </c>
      <c r="V706" s="36" t="n">
        <f aca="false">IF(OR($D706&lt;&gt;"销项开票",N($Q706)=0),0,ROUND(N($H706)/(1+$Q706)*N(IFERROR(INDEX(单位档案!$L$6:$L$35,MATCH($E706,单位档案!$A$6:$A$35,0)),"")),2))</f>
        <v>0</v>
      </c>
      <c r="W706" s="36" t="n">
        <f aca="false">ROUND($S706+$T706+$U706+$V706,2)</f>
        <v>0</v>
      </c>
      <c r="X706" s="35" t="str">
        <f aca="false">IF(OR($D706="挂靠代收",$D706="我方收款"),COUNTIFS($D$5:$D706,"挂靠代收")+COUNTIFS($D$5:$D706,"我方收款"),"")</f>
        <v/>
      </c>
      <c r="Y706" s="35"/>
      <c r="Z706" s="21" t="s">
        <v>111</v>
      </c>
    </row>
    <row r="707" customFormat="false" ht="15.75" hidden="false" customHeight="true" outlineLevel="0" collapsed="false">
      <c r="A707" s="32" t="str">
        <f aca="false">IF($B707="","",ROW()-4)</f>
        <v/>
      </c>
      <c r="B707" s="26"/>
      <c r="C707" s="24"/>
      <c r="D707" s="21"/>
      <c r="E707" s="21"/>
      <c r="F707" s="21"/>
      <c r="G707" s="21"/>
      <c r="H707" s="27"/>
      <c r="I707" s="23" t="str">
        <f aca="false">IF($D707&lt;&gt;"销项开票","",IF($N707="一级",IF(IFERROR(INDEX(项目档案!$E$6:$E$255,MATCH($C707,项目档案!$A$6:$A$255,0)),"")="",N(IFERROR(INDEX(单位档案!$D$6:$D$35,MATCH($E707,单位档案!$A$6:$A$35,0)),"")),IFERROR(INDEX(项目档案!$E$6:$E$255,MATCH($C707,项目档案!$A$6:$A$255,0)),"")),IF($N707="二级",IF(IFERROR(INDEX(项目档案!$G$6:$G$255,MATCH($C707,项目档案!$A$6:$A$255,0)),"")="",N(IFERROR(INDEX(单位档案!$D$6:$D$35,MATCH($E707,单位档案!$A$6:$A$35,0)),"")),IFERROR(INDEX(项目档案!$G$6:$G$255,MATCH($C707,项目档案!$A$6:$A$255,0)),"")),N(IFERROR(INDEX(单位档案!$D$6:$D$35,MATCH($E707,单位档案!$A$6:$A$35,0)),"")))))</f>
        <v/>
      </c>
      <c r="J707" s="22"/>
      <c r="K707" s="22"/>
      <c r="L707" s="33" t="str">
        <f aca="false">IF($B707="","",IF(NOT(ISNUMBER($B707)),"日期格式不对",IF($C707="","未选项目编号",IF(LEFT($M707,1)="⚠","项目编号不存在",IF($D707="","未选业务类型",IF($E707="","未选开票/付款方",IF(ISNA(MATCH($E707,单位档案!$A$6:$A$35,0)),"开票方不在单位档案",IF($F707="","未选收票/收款方",IF(ISNA(MATCH($F707,单位档案!$A$6:$A$35,0)),"收款方不在单位档案",IF(NOT(ISNUMBER($H707)),"金额须为数字",IF(AND($D707="销项开票",$N707="—"),"链条待确认","√")))))))))))</f>
        <v/>
      </c>
      <c r="M707" s="34" t="str">
        <f aca="false">IF($C707="","",IFERROR(INDEX(项目档案!$B$6:$B$255,MATCH($C707,项目档案!$A$6:$A$255,0)),"⚠项目编号不存在"))</f>
        <v/>
      </c>
      <c r="N707" s="35" t="str">
        <f aca="false">IF($E707="","",IF($E707=IFERROR(INDEX(项目档案!$D$6:$D$255,MATCH($C707,项目档案!$A$6:$A$255,0)),""),"一级",IF($E707=IFERROR(INDEX(项目档案!$F$6:$F$255,MATCH($C707,项目档案!$A$6:$A$255,0)),""),"二级",IF($E707=IFERROR(INDEX(项目档案!$H$6:$H$255,MATCH($C707,项目档案!$A$6:$A$255,0)),""),"我方","—"))))</f>
        <v/>
      </c>
      <c r="O707" s="36" t="n">
        <f aca="false">IF($D707&lt;&gt;"销项开票",0,ROUND(N($H707)*N($I707),2))</f>
        <v>0</v>
      </c>
      <c r="P707" s="36" t="n">
        <f aca="false">IF($D707&lt;&gt;"销项开票",0,ROUND(N($H707)-$O707,2))</f>
        <v>0</v>
      </c>
      <c r="Q707" s="37" t="str">
        <f aca="false">IF($E707="","",N(IFERROR(INDEX(单位档案!$E$6:$E$35,MATCH($E707,单位档案!$A$6:$A$35,0)),"")))</f>
        <v/>
      </c>
      <c r="R707" s="37" t="str">
        <f aca="false">IF($E707="","",N(IFERROR(INDEX(单位档案!$F$6:$F$35,MATCH($E707,单位档案!$A$6:$A$35,0)),"")))</f>
        <v/>
      </c>
      <c r="S707" s="36" t="n">
        <f aca="false">IF(OR($D707&lt;&gt;"销项开票",IFERROR(INDEX(单位档案!$G$6:$G$35,MATCH($E707,单位档案!$A$6:$A$35,0)),"")&lt;&gt;"是",N($Q707)=0),0,IF(IFERROR(INDEX(单位档案!$H$6:$H$35,MATCH($E707,单位档案!$A$6:$A$35,0)),"")="税差法",ROUND(N($H707)/(1+$Q707)*$Q707-IF(N($R707)=0,0,$P707/(1+$R707)*$R707),2),ROUND(N($H707)/(1+$Q707)*$Q707,2)))</f>
        <v>0</v>
      </c>
      <c r="T707" s="36" t="n">
        <f aca="false">ROUND($S707*N(IFERROR(INDEX(单位档案!$J$6:$J$35,MATCH($E707,单位档案!$A$6:$A$35,0)),"")),2)</f>
        <v>0</v>
      </c>
      <c r="U707" s="36" t="n">
        <f aca="false">IF($D707&lt;&gt;"销项开票",0,ROUND(N($H707)*N(IFERROR(INDEX(单位档案!$K$6:$K$35,MATCH($E707,单位档案!$A$6:$A$35,0)),"")),2))</f>
        <v>0</v>
      </c>
      <c r="V707" s="36" t="n">
        <f aca="false">IF(OR($D707&lt;&gt;"销项开票",N($Q707)=0),0,ROUND(N($H707)/(1+$Q707)*N(IFERROR(INDEX(单位档案!$L$6:$L$35,MATCH($E707,单位档案!$A$6:$A$35,0)),"")),2))</f>
        <v>0</v>
      </c>
      <c r="W707" s="36" t="n">
        <f aca="false">ROUND($S707+$T707+$U707+$V707,2)</f>
        <v>0</v>
      </c>
      <c r="X707" s="35" t="str">
        <f aca="false">IF(OR($D707="挂靠代收",$D707="我方收款"),COUNTIFS($D$5:$D707,"挂靠代收")+COUNTIFS($D$5:$D707,"我方收款"),"")</f>
        <v/>
      </c>
      <c r="Y707" s="35"/>
      <c r="Z707" s="21" t="s">
        <v>111</v>
      </c>
    </row>
    <row r="708" customFormat="false" ht="15.75" hidden="false" customHeight="true" outlineLevel="0" collapsed="false">
      <c r="A708" s="32" t="str">
        <f aca="false">IF($B708="","",ROW()-4)</f>
        <v/>
      </c>
      <c r="B708" s="26"/>
      <c r="C708" s="24"/>
      <c r="D708" s="21"/>
      <c r="E708" s="21"/>
      <c r="F708" s="21"/>
      <c r="G708" s="21"/>
      <c r="H708" s="27"/>
      <c r="I708" s="23" t="str">
        <f aca="false">IF($D708&lt;&gt;"销项开票","",IF($N708="一级",IF(IFERROR(INDEX(项目档案!$E$6:$E$255,MATCH($C708,项目档案!$A$6:$A$255,0)),"")="",N(IFERROR(INDEX(单位档案!$D$6:$D$35,MATCH($E708,单位档案!$A$6:$A$35,0)),"")),IFERROR(INDEX(项目档案!$E$6:$E$255,MATCH($C708,项目档案!$A$6:$A$255,0)),"")),IF($N708="二级",IF(IFERROR(INDEX(项目档案!$G$6:$G$255,MATCH($C708,项目档案!$A$6:$A$255,0)),"")="",N(IFERROR(INDEX(单位档案!$D$6:$D$35,MATCH($E708,单位档案!$A$6:$A$35,0)),"")),IFERROR(INDEX(项目档案!$G$6:$G$255,MATCH($C708,项目档案!$A$6:$A$255,0)),"")),N(IFERROR(INDEX(单位档案!$D$6:$D$35,MATCH($E708,单位档案!$A$6:$A$35,0)),"")))))</f>
        <v/>
      </c>
      <c r="J708" s="22"/>
      <c r="K708" s="22"/>
      <c r="L708" s="33" t="str">
        <f aca="false">IF($B708="","",IF(NOT(ISNUMBER($B708)),"日期格式不对",IF($C708="","未选项目编号",IF(LEFT($M708,1)="⚠","项目编号不存在",IF($D708="","未选业务类型",IF($E708="","未选开票/付款方",IF(ISNA(MATCH($E708,单位档案!$A$6:$A$35,0)),"开票方不在单位档案",IF($F708="","未选收票/收款方",IF(ISNA(MATCH($F708,单位档案!$A$6:$A$35,0)),"收款方不在单位档案",IF(NOT(ISNUMBER($H708)),"金额须为数字",IF(AND($D708="销项开票",$N708="—"),"链条待确认","√")))))))))))</f>
        <v/>
      </c>
      <c r="M708" s="34" t="str">
        <f aca="false">IF($C708="","",IFERROR(INDEX(项目档案!$B$6:$B$255,MATCH($C708,项目档案!$A$6:$A$255,0)),"⚠项目编号不存在"))</f>
        <v/>
      </c>
      <c r="N708" s="35" t="str">
        <f aca="false">IF($E708="","",IF($E708=IFERROR(INDEX(项目档案!$D$6:$D$255,MATCH($C708,项目档案!$A$6:$A$255,0)),""),"一级",IF($E708=IFERROR(INDEX(项目档案!$F$6:$F$255,MATCH($C708,项目档案!$A$6:$A$255,0)),""),"二级",IF($E708=IFERROR(INDEX(项目档案!$H$6:$H$255,MATCH($C708,项目档案!$A$6:$A$255,0)),""),"我方","—"))))</f>
        <v/>
      </c>
      <c r="O708" s="36" t="n">
        <f aca="false">IF($D708&lt;&gt;"销项开票",0,ROUND(N($H708)*N($I708),2))</f>
        <v>0</v>
      </c>
      <c r="P708" s="36" t="n">
        <f aca="false">IF($D708&lt;&gt;"销项开票",0,ROUND(N($H708)-$O708,2))</f>
        <v>0</v>
      </c>
      <c r="Q708" s="37" t="str">
        <f aca="false">IF($E708="","",N(IFERROR(INDEX(单位档案!$E$6:$E$35,MATCH($E708,单位档案!$A$6:$A$35,0)),"")))</f>
        <v/>
      </c>
      <c r="R708" s="37" t="str">
        <f aca="false">IF($E708="","",N(IFERROR(INDEX(单位档案!$F$6:$F$35,MATCH($E708,单位档案!$A$6:$A$35,0)),"")))</f>
        <v/>
      </c>
      <c r="S708" s="36" t="n">
        <f aca="false">IF(OR($D708&lt;&gt;"销项开票",IFERROR(INDEX(单位档案!$G$6:$G$35,MATCH($E708,单位档案!$A$6:$A$35,0)),"")&lt;&gt;"是",N($Q708)=0),0,IF(IFERROR(INDEX(单位档案!$H$6:$H$35,MATCH($E708,单位档案!$A$6:$A$35,0)),"")="税差法",ROUND(N($H708)/(1+$Q708)*$Q708-IF(N($R708)=0,0,$P708/(1+$R708)*$R708),2),ROUND(N($H708)/(1+$Q708)*$Q708,2)))</f>
        <v>0</v>
      </c>
      <c r="T708" s="36" t="n">
        <f aca="false">ROUND($S708*N(IFERROR(INDEX(单位档案!$J$6:$J$35,MATCH($E708,单位档案!$A$6:$A$35,0)),"")),2)</f>
        <v>0</v>
      </c>
      <c r="U708" s="36" t="n">
        <f aca="false">IF($D708&lt;&gt;"销项开票",0,ROUND(N($H708)*N(IFERROR(INDEX(单位档案!$K$6:$K$35,MATCH($E708,单位档案!$A$6:$A$35,0)),"")),2))</f>
        <v>0</v>
      </c>
      <c r="V708" s="36" t="n">
        <f aca="false">IF(OR($D708&lt;&gt;"销项开票",N($Q708)=0),0,ROUND(N($H708)/(1+$Q708)*N(IFERROR(INDEX(单位档案!$L$6:$L$35,MATCH($E708,单位档案!$A$6:$A$35,0)),"")),2))</f>
        <v>0</v>
      </c>
      <c r="W708" s="36" t="n">
        <f aca="false">ROUND($S708+$T708+$U708+$V708,2)</f>
        <v>0</v>
      </c>
      <c r="X708" s="35" t="str">
        <f aca="false">IF(OR($D708="挂靠代收",$D708="我方收款"),COUNTIFS($D$5:$D708,"挂靠代收")+COUNTIFS($D$5:$D708,"我方收款"),"")</f>
        <v/>
      </c>
      <c r="Y708" s="35"/>
      <c r="Z708" s="21" t="s">
        <v>111</v>
      </c>
    </row>
    <row r="709" customFormat="false" ht="15.75" hidden="false" customHeight="true" outlineLevel="0" collapsed="false">
      <c r="A709" s="32" t="str">
        <f aca="false">IF($B709="","",ROW()-4)</f>
        <v/>
      </c>
      <c r="B709" s="26"/>
      <c r="C709" s="24"/>
      <c r="D709" s="21"/>
      <c r="E709" s="21"/>
      <c r="F709" s="21"/>
      <c r="G709" s="21"/>
      <c r="H709" s="27"/>
      <c r="I709" s="23" t="str">
        <f aca="false">IF($D709&lt;&gt;"销项开票","",IF($N709="一级",IF(IFERROR(INDEX(项目档案!$E$6:$E$255,MATCH($C709,项目档案!$A$6:$A$255,0)),"")="",N(IFERROR(INDEX(单位档案!$D$6:$D$35,MATCH($E709,单位档案!$A$6:$A$35,0)),"")),IFERROR(INDEX(项目档案!$E$6:$E$255,MATCH($C709,项目档案!$A$6:$A$255,0)),"")),IF($N709="二级",IF(IFERROR(INDEX(项目档案!$G$6:$G$255,MATCH($C709,项目档案!$A$6:$A$255,0)),"")="",N(IFERROR(INDEX(单位档案!$D$6:$D$35,MATCH($E709,单位档案!$A$6:$A$35,0)),"")),IFERROR(INDEX(项目档案!$G$6:$G$255,MATCH($C709,项目档案!$A$6:$A$255,0)),"")),N(IFERROR(INDEX(单位档案!$D$6:$D$35,MATCH($E709,单位档案!$A$6:$A$35,0)),"")))))</f>
        <v/>
      </c>
      <c r="J709" s="22"/>
      <c r="K709" s="22"/>
      <c r="L709" s="33" t="str">
        <f aca="false">IF($B709="","",IF(NOT(ISNUMBER($B709)),"日期格式不对",IF($C709="","未选项目编号",IF(LEFT($M709,1)="⚠","项目编号不存在",IF($D709="","未选业务类型",IF($E709="","未选开票/付款方",IF(ISNA(MATCH($E709,单位档案!$A$6:$A$35,0)),"开票方不在单位档案",IF($F709="","未选收票/收款方",IF(ISNA(MATCH($F709,单位档案!$A$6:$A$35,0)),"收款方不在单位档案",IF(NOT(ISNUMBER($H709)),"金额须为数字",IF(AND($D709="销项开票",$N709="—"),"链条待确认","√")))))))))))</f>
        <v/>
      </c>
      <c r="M709" s="34" t="str">
        <f aca="false">IF($C709="","",IFERROR(INDEX(项目档案!$B$6:$B$255,MATCH($C709,项目档案!$A$6:$A$255,0)),"⚠项目编号不存在"))</f>
        <v/>
      </c>
      <c r="N709" s="35" t="str">
        <f aca="false">IF($E709="","",IF($E709=IFERROR(INDEX(项目档案!$D$6:$D$255,MATCH($C709,项目档案!$A$6:$A$255,0)),""),"一级",IF($E709=IFERROR(INDEX(项目档案!$F$6:$F$255,MATCH($C709,项目档案!$A$6:$A$255,0)),""),"二级",IF($E709=IFERROR(INDEX(项目档案!$H$6:$H$255,MATCH($C709,项目档案!$A$6:$A$255,0)),""),"我方","—"))))</f>
        <v/>
      </c>
      <c r="O709" s="36" t="n">
        <f aca="false">IF($D709&lt;&gt;"销项开票",0,ROUND(N($H709)*N($I709),2))</f>
        <v>0</v>
      </c>
      <c r="P709" s="36" t="n">
        <f aca="false">IF($D709&lt;&gt;"销项开票",0,ROUND(N($H709)-$O709,2))</f>
        <v>0</v>
      </c>
      <c r="Q709" s="37" t="str">
        <f aca="false">IF($E709="","",N(IFERROR(INDEX(单位档案!$E$6:$E$35,MATCH($E709,单位档案!$A$6:$A$35,0)),"")))</f>
        <v/>
      </c>
      <c r="R709" s="37" t="str">
        <f aca="false">IF($E709="","",N(IFERROR(INDEX(单位档案!$F$6:$F$35,MATCH($E709,单位档案!$A$6:$A$35,0)),"")))</f>
        <v/>
      </c>
      <c r="S709" s="36" t="n">
        <f aca="false">IF(OR($D709&lt;&gt;"销项开票",IFERROR(INDEX(单位档案!$G$6:$G$35,MATCH($E709,单位档案!$A$6:$A$35,0)),"")&lt;&gt;"是",N($Q709)=0),0,IF(IFERROR(INDEX(单位档案!$H$6:$H$35,MATCH($E709,单位档案!$A$6:$A$35,0)),"")="税差法",ROUND(N($H709)/(1+$Q709)*$Q709-IF(N($R709)=0,0,$P709/(1+$R709)*$R709),2),ROUND(N($H709)/(1+$Q709)*$Q709,2)))</f>
        <v>0</v>
      </c>
      <c r="T709" s="36" t="n">
        <f aca="false">ROUND($S709*N(IFERROR(INDEX(单位档案!$J$6:$J$35,MATCH($E709,单位档案!$A$6:$A$35,0)),"")),2)</f>
        <v>0</v>
      </c>
      <c r="U709" s="36" t="n">
        <f aca="false">IF($D709&lt;&gt;"销项开票",0,ROUND(N($H709)*N(IFERROR(INDEX(单位档案!$K$6:$K$35,MATCH($E709,单位档案!$A$6:$A$35,0)),"")),2))</f>
        <v>0</v>
      </c>
      <c r="V709" s="36" t="n">
        <f aca="false">IF(OR($D709&lt;&gt;"销项开票",N($Q709)=0),0,ROUND(N($H709)/(1+$Q709)*N(IFERROR(INDEX(单位档案!$L$6:$L$35,MATCH($E709,单位档案!$A$6:$A$35,0)),"")),2))</f>
        <v>0</v>
      </c>
      <c r="W709" s="36" t="n">
        <f aca="false">ROUND($S709+$T709+$U709+$V709,2)</f>
        <v>0</v>
      </c>
      <c r="X709" s="35" t="str">
        <f aca="false">IF(OR($D709="挂靠代收",$D709="我方收款"),COUNTIFS($D$5:$D709,"挂靠代收")+COUNTIFS($D$5:$D709,"我方收款"),"")</f>
        <v/>
      </c>
      <c r="Y709" s="35"/>
      <c r="Z709" s="21" t="s">
        <v>111</v>
      </c>
    </row>
    <row r="710" customFormat="false" ht="15.75" hidden="false" customHeight="true" outlineLevel="0" collapsed="false">
      <c r="A710" s="32" t="str">
        <f aca="false">IF($B710="","",ROW()-4)</f>
        <v/>
      </c>
      <c r="B710" s="26"/>
      <c r="C710" s="24"/>
      <c r="D710" s="21"/>
      <c r="E710" s="21"/>
      <c r="F710" s="21"/>
      <c r="G710" s="21"/>
      <c r="H710" s="27"/>
      <c r="I710" s="23" t="str">
        <f aca="false">IF($D710&lt;&gt;"销项开票","",IF($N710="一级",IF(IFERROR(INDEX(项目档案!$E$6:$E$255,MATCH($C710,项目档案!$A$6:$A$255,0)),"")="",N(IFERROR(INDEX(单位档案!$D$6:$D$35,MATCH($E710,单位档案!$A$6:$A$35,0)),"")),IFERROR(INDEX(项目档案!$E$6:$E$255,MATCH($C710,项目档案!$A$6:$A$255,0)),"")),IF($N710="二级",IF(IFERROR(INDEX(项目档案!$G$6:$G$255,MATCH($C710,项目档案!$A$6:$A$255,0)),"")="",N(IFERROR(INDEX(单位档案!$D$6:$D$35,MATCH($E710,单位档案!$A$6:$A$35,0)),"")),IFERROR(INDEX(项目档案!$G$6:$G$255,MATCH($C710,项目档案!$A$6:$A$255,0)),"")),N(IFERROR(INDEX(单位档案!$D$6:$D$35,MATCH($E710,单位档案!$A$6:$A$35,0)),"")))))</f>
        <v/>
      </c>
      <c r="J710" s="22"/>
      <c r="K710" s="22"/>
      <c r="L710" s="33" t="str">
        <f aca="false">IF($B710="","",IF(NOT(ISNUMBER($B710)),"日期格式不对",IF($C710="","未选项目编号",IF(LEFT($M710,1)="⚠","项目编号不存在",IF($D710="","未选业务类型",IF($E710="","未选开票/付款方",IF(ISNA(MATCH($E710,单位档案!$A$6:$A$35,0)),"开票方不在单位档案",IF($F710="","未选收票/收款方",IF(ISNA(MATCH($F710,单位档案!$A$6:$A$35,0)),"收款方不在单位档案",IF(NOT(ISNUMBER($H710)),"金额须为数字",IF(AND($D710="销项开票",$N710="—"),"链条待确认","√")))))))))))</f>
        <v/>
      </c>
      <c r="M710" s="34" t="str">
        <f aca="false">IF($C710="","",IFERROR(INDEX(项目档案!$B$6:$B$255,MATCH($C710,项目档案!$A$6:$A$255,0)),"⚠项目编号不存在"))</f>
        <v/>
      </c>
      <c r="N710" s="35" t="str">
        <f aca="false">IF($E710="","",IF($E710=IFERROR(INDEX(项目档案!$D$6:$D$255,MATCH($C710,项目档案!$A$6:$A$255,0)),""),"一级",IF($E710=IFERROR(INDEX(项目档案!$F$6:$F$255,MATCH($C710,项目档案!$A$6:$A$255,0)),""),"二级",IF($E710=IFERROR(INDEX(项目档案!$H$6:$H$255,MATCH($C710,项目档案!$A$6:$A$255,0)),""),"我方","—"))))</f>
        <v/>
      </c>
      <c r="O710" s="36" t="n">
        <f aca="false">IF($D710&lt;&gt;"销项开票",0,ROUND(N($H710)*N($I710),2))</f>
        <v>0</v>
      </c>
      <c r="P710" s="36" t="n">
        <f aca="false">IF($D710&lt;&gt;"销项开票",0,ROUND(N($H710)-$O710,2))</f>
        <v>0</v>
      </c>
      <c r="Q710" s="37" t="str">
        <f aca="false">IF($E710="","",N(IFERROR(INDEX(单位档案!$E$6:$E$35,MATCH($E710,单位档案!$A$6:$A$35,0)),"")))</f>
        <v/>
      </c>
      <c r="R710" s="37" t="str">
        <f aca="false">IF($E710="","",N(IFERROR(INDEX(单位档案!$F$6:$F$35,MATCH($E710,单位档案!$A$6:$A$35,0)),"")))</f>
        <v/>
      </c>
      <c r="S710" s="36" t="n">
        <f aca="false">IF(OR($D710&lt;&gt;"销项开票",IFERROR(INDEX(单位档案!$G$6:$G$35,MATCH($E710,单位档案!$A$6:$A$35,0)),"")&lt;&gt;"是",N($Q710)=0),0,IF(IFERROR(INDEX(单位档案!$H$6:$H$35,MATCH($E710,单位档案!$A$6:$A$35,0)),"")="税差法",ROUND(N($H710)/(1+$Q710)*$Q710-IF(N($R710)=0,0,$P710/(1+$R710)*$R710),2),ROUND(N($H710)/(1+$Q710)*$Q710,2)))</f>
        <v>0</v>
      </c>
      <c r="T710" s="36" t="n">
        <f aca="false">ROUND($S710*N(IFERROR(INDEX(单位档案!$J$6:$J$35,MATCH($E710,单位档案!$A$6:$A$35,0)),"")),2)</f>
        <v>0</v>
      </c>
      <c r="U710" s="36" t="n">
        <f aca="false">IF($D710&lt;&gt;"销项开票",0,ROUND(N($H710)*N(IFERROR(INDEX(单位档案!$K$6:$K$35,MATCH($E710,单位档案!$A$6:$A$35,0)),"")),2))</f>
        <v>0</v>
      </c>
      <c r="V710" s="36" t="n">
        <f aca="false">IF(OR($D710&lt;&gt;"销项开票",N($Q710)=0),0,ROUND(N($H710)/(1+$Q710)*N(IFERROR(INDEX(单位档案!$L$6:$L$35,MATCH($E710,单位档案!$A$6:$A$35,0)),"")),2))</f>
        <v>0</v>
      </c>
      <c r="W710" s="36" t="n">
        <f aca="false">ROUND($S710+$T710+$U710+$V710,2)</f>
        <v>0</v>
      </c>
      <c r="X710" s="35" t="str">
        <f aca="false">IF(OR($D710="挂靠代收",$D710="我方收款"),COUNTIFS($D$5:$D710,"挂靠代收")+COUNTIFS($D$5:$D710,"我方收款"),"")</f>
        <v/>
      </c>
      <c r="Y710" s="35"/>
      <c r="Z710" s="21" t="s">
        <v>111</v>
      </c>
    </row>
    <row r="711" customFormat="false" ht="15.75" hidden="false" customHeight="true" outlineLevel="0" collapsed="false">
      <c r="A711" s="32" t="str">
        <f aca="false">IF($B711="","",ROW()-4)</f>
        <v/>
      </c>
      <c r="B711" s="26"/>
      <c r="C711" s="24"/>
      <c r="D711" s="21"/>
      <c r="E711" s="21"/>
      <c r="F711" s="21"/>
      <c r="G711" s="21"/>
      <c r="H711" s="27"/>
      <c r="I711" s="23" t="str">
        <f aca="false">IF($D711&lt;&gt;"销项开票","",IF($N711="一级",IF(IFERROR(INDEX(项目档案!$E$6:$E$255,MATCH($C711,项目档案!$A$6:$A$255,0)),"")="",N(IFERROR(INDEX(单位档案!$D$6:$D$35,MATCH($E711,单位档案!$A$6:$A$35,0)),"")),IFERROR(INDEX(项目档案!$E$6:$E$255,MATCH($C711,项目档案!$A$6:$A$255,0)),"")),IF($N711="二级",IF(IFERROR(INDEX(项目档案!$G$6:$G$255,MATCH($C711,项目档案!$A$6:$A$255,0)),"")="",N(IFERROR(INDEX(单位档案!$D$6:$D$35,MATCH($E711,单位档案!$A$6:$A$35,0)),"")),IFERROR(INDEX(项目档案!$G$6:$G$255,MATCH($C711,项目档案!$A$6:$A$255,0)),"")),N(IFERROR(INDEX(单位档案!$D$6:$D$35,MATCH($E711,单位档案!$A$6:$A$35,0)),"")))))</f>
        <v/>
      </c>
      <c r="J711" s="22"/>
      <c r="K711" s="22"/>
      <c r="L711" s="33" t="str">
        <f aca="false">IF($B711="","",IF(NOT(ISNUMBER($B711)),"日期格式不对",IF($C711="","未选项目编号",IF(LEFT($M711,1)="⚠","项目编号不存在",IF($D711="","未选业务类型",IF($E711="","未选开票/付款方",IF(ISNA(MATCH($E711,单位档案!$A$6:$A$35,0)),"开票方不在单位档案",IF($F711="","未选收票/收款方",IF(ISNA(MATCH($F711,单位档案!$A$6:$A$35,0)),"收款方不在单位档案",IF(NOT(ISNUMBER($H711)),"金额须为数字",IF(AND($D711="销项开票",$N711="—"),"链条待确认","√")))))))))))</f>
        <v/>
      </c>
      <c r="M711" s="34" t="str">
        <f aca="false">IF($C711="","",IFERROR(INDEX(项目档案!$B$6:$B$255,MATCH($C711,项目档案!$A$6:$A$255,0)),"⚠项目编号不存在"))</f>
        <v/>
      </c>
      <c r="N711" s="35" t="str">
        <f aca="false">IF($E711="","",IF($E711=IFERROR(INDEX(项目档案!$D$6:$D$255,MATCH($C711,项目档案!$A$6:$A$255,0)),""),"一级",IF($E711=IFERROR(INDEX(项目档案!$F$6:$F$255,MATCH($C711,项目档案!$A$6:$A$255,0)),""),"二级",IF($E711=IFERROR(INDEX(项目档案!$H$6:$H$255,MATCH($C711,项目档案!$A$6:$A$255,0)),""),"我方","—"))))</f>
        <v/>
      </c>
      <c r="O711" s="36" t="n">
        <f aca="false">IF($D711&lt;&gt;"销项开票",0,ROUND(N($H711)*N($I711),2))</f>
        <v>0</v>
      </c>
      <c r="P711" s="36" t="n">
        <f aca="false">IF($D711&lt;&gt;"销项开票",0,ROUND(N($H711)-$O711,2))</f>
        <v>0</v>
      </c>
      <c r="Q711" s="37" t="str">
        <f aca="false">IF($E711="","",N(IFERROR(INDEX(单位档案!$E$6:$E$35,MATCH($E711,单位档案!$A$6:$A$35,0)),"")))</f>
        <v/>
      </c>
      <c r="R711" s="37" t="str">
        <f aca="false">IF($E711="","",N(IFERROR(INDEX(单位档案!$F$6:$F$35,MATCH($E711,单位档案!$A$6:$A$35,0)),"")))</f>
        <v/>
      </c>
      <c r="S711" s="36" t="n">
        <f aca="false">IF(OR($D711&lt;&gt;"销项开票",IFERROR(INDEX(单位档案!$G$6:$G$35,MATCH($E711,单位档案!$A$6:$A$35,0)),"")&lt;&gt;"是",N($Q711)=0),0,IF(IFERROR(INDEX(单位档案!$H$6:$H$35,MATCH($E711,单位档案!$A$6:$A$35,0)),"")="税差法",ROUND(N($H711)/(1+$Q711)*$Q711-IF(N($R711)=0,0,$P711/(1+$R711)*$R711),2),ROUND(N($H711)/(1+$Q711)*$Q711,2)))</f>
        <v>0</v>
      </c>
      <c r="T711" s="36" t="n">
        <f aca="false">ROUND($S711*N(IFERROR(INDEX(单位档案!$J$6:$J$35,MATCH($E711,单位档案!$A$6:$A$35,0)),"")),2)</f>
        <v>0</v>
      </c>
      <c r="U711" s="36" t="n">
        <f aca="false">IF($D711&lt;&gt;"销项开票",0,ROUND(N($H711)*N(IFERROR(INDEX(单位档案!$K$6:$K$35,MATCH($E711,单位档案!$A$6:$A$35,0)),"")),2))</f>
        <v>0</v>
      </c>
      <c r="V711" s="36" t="n">
        <f aca="false">IF(OR($D711&lt;&gt;"销项开票",N($Q711)=0),0,ROUND(N($H711)/(1+$Q711)*N(IFERROR(INDEX(单位档案!$L$6:$L$35,MATCH($E711,单位档案!$A$6:$A$35,0)),"")),2))</f>
        <v>0</v>
      </c>
      <c r="W711" s="36" t="n">
        <f aca="false">ROUND($S711+$T711+$U711+$V711,2)</f>
        <v>0</v>
      </c>
      <c r="X711" s="35" t="str">
        <f aca="false">IF(OR($D711="挂靠代收",$D711="我方收款"),COUNTIFS($D$5:$D711,"挂靠代收")+COUNTIFS($D$5:$D711,"我方收款"),"")</f>
        <v/>
      </c>
      <c r="Y711" s="35"/>
      <c r="Z711" s="21" t="s">
        <v>111</v>
      </c>
    </row>
    <row r="712" customFormat="false" ht="15.75" hidden="false" customHeight="true" outlineLevel="0" collapsed="false">
      <c r="A712" s="32" t="str">
        <f aca="false">IF($B712="","",ROW()-4)</f>
        <v/>
      </c>
      <c r="B712" s="26"/>
      <c r="C712" s="24"/>
      <c r="D712" s="21"/>
      <c r="E712" s="21"/>
      <c r="F712" s="21"/>
      <c r="G712" s="21"/>
      <c r="H712" s="27"/>
      <c r="I712" s="23" t="str">
        <f aca="false">IF($D712&lt;&gt;"销项开票","",IF($N712="一级",IF(IFERROR(INDEX(项目档案!$E$6:$E$255,MATCH($C712,项目档案!$A$6:$A$255,0)),"")="",N(IFERROR(INDEX(单位档案!$D$6:$D$35,MATCH($E712,单位档案!$A$6:$A$35,0)),"")),IFERROR(INDEX(项目档案!$E$6:$E$255,MATCH($C712,项目档案!$A$6:$A$255,0)),"")),IF($N712="二级",IF(IFERROR(INDEX(项目档案!$G$6:$G$255,MATCH($C712,项目档案!$A$6:$A$255,0)),"")="",N(IFERROR(INDEX(单位档案!$D$6:$D$35,MATCH($E712,单位档案!$A$6:$A$35,0)),"")),IFERROR(INDEX(项目档案!$G$6:$G$255,MATCH($C712,项目档案!$A$6:$A$255,0)),"")),N(IFERROR(INDEX(单位档案!$D$6:$D$35,MATCH($E712,单位档案!$A$6:$A$35,0)),"")))))</f>
        <v/>
      </c>
      <c r="J712" s="22"/>
      <c r="K712" s="22"/>
      <c r="L712" s="33" t="str">
        <f aca="false">IF($B712="","",IF(NOT(ISNUMBER($B712)),"日期格式不对",IF($C712="","未选项目编号",IF(LEFT($M712,1)="⚠","项目编号不存在",IF($D712="","未选业务类型",IF($E712="","未选开票/付款方",IF(ISNA(MATCH($E712,单位档案!$A$6:$A$35,0)),"开票方不在单位档案",IF($F712="","未选收票/收款方",IF(ISNA(MATCH($F712,单位档案!$A$6:$A$35,0)),"收款方不在单位档案",IF(NOT(ISNUMBER($H712)),"金额须为数字",IF(AND($D712="销项开票",$N712="—"),"链条待确认","√")))))))))))</f>
        <v/>
      </c>
      <c r="M712" s="34" t="str">
        <f aca="false">IF($C712="","",IFERROR(INDEX(项目档案!$B$6:$B$255,MATCH($C712,项目档案!$A$6:$A$255,0)),"⚠项目编号不存在"))</f>
        <v/>
      </c>
      <c r="N712" s="35" t="str">
        <f aca="false">IF($E712="","",IF($E712=IFERROR(INDEX(项目档案!$D$6:$D$255,MATCH($C712,项目档案!$A$6:$A$255,0)),""),"一级",IF($E712=IFERROR(INDEX(项目档案!$F$6:$F$255,MATCH($C712,项目档案!$A$6:$A$255,0)),""),"二级",IF($E712=IFERROR(INDEX(项目档案!$H$6:$H$255,MATCH($C712,项目档案!$A$6:$A$255,0)),""),"我方","—"))))</f>
        <v/>
      </c>
      <c r="O712" s="36" t="n">
        <f aca="false">IF($D712&lt;&gt;"销项开票",0,ROUND(N($H712)*N($I712),2))</f>
        <v>0</v>
      </c>
      <c r="P712" s="36" t="n">
        <f aca="false">IF($D712&lt;&gt;"销项开票",0,ROUND(N($H712)-$O712,2))</f>
        <v>0</v>
      </c>
      <c r="Q712" s="37" t="str">
        <f aca="false">IF($E712="","",N(IFERROR(INDEX(单位档案!$E$6:$E$35,MATCH($E712,单位档案!$A$6:$A$35,0)),"")))</f>
        <v/>
      </c>
      <c r="R712" s="37" t="str">
        <f aca="false">IF($E712="","",N(IFERROR(INDEX(单位档案!$F$6:$F$35,MATCH($E712,单位档案!$A$6:$A$35,0)),"")))</f>
        <v/>
      </c>
      <c r="S712" s="36" t="n">
        <f aca="false">IF(OR($D712&lt;&gt;"销项开票",IFERROR(INDEX(单位档案!$G$6:$G$35,MATCH($E712,单位档案!$A$6:$A$35,0)),"")&lt;&gt;"是",N($Q712)=0),0,IF(IFERROR(INDEX(单位档案!$H$6:$H$35,MATCH($E712,单位档案!$A$6:$A$35,0)),"")="税差法",ROUND(N($H712)/(1+$Q712)*$Q712-IF(N($R712)=0,0,$P712/(1+$R712)*$R712),2),ROUND(N($H712)/(1+$Q712)*$Q712,2)))</f>
        <v>0</v>
      </c>
      <c r="T712" s="36" t="n">
        <f aca="false">ROUND($S712*N(IFERROR(INDEX(单位档案!$J$6:$J$35,MATCH($E712,单位档案!$A$6:$A$35,0)),"")),2)</f>
        <v>0</v>
      </c>
      <c r="U712" s="36" t="n">
        <f aca="false">IF($D712&lt;&gt;"销项开票",0,ROUND(N($H712)*N(IFERROR(INDEX(单位档案!$K$6:$K$35,MATCH($E712,单位档案!$A$6:$A$35,0)),"")),2))</f>
        <v>0</v>
      </c>
      <c r="V712" s="36" t="n">
        <f aca="false">IF(OR($D712&lt;&gt;"销项开票",N($Q712)=0),0,ROUND(N($H712)/(1+$Q712)*N(IFERROR(INDEX(单位档案!$L$6:$L$35,MATCH($E712,单位档案!$A$6:$A$35,0)),"")),2))</f>
        <v>0</v>
      </c>
      <c r="W712" s="36" t="n">
        <f aca="false">ROUND($S712+$T712+$U712+$V712,2)</f>
        <v>0</v>
      </c>
      <c r="X712" s="35" t="str">
        <f aca="false">IF(OR($D712="挂靠代收",$D712="我方收款"),COUNTIFS($D$5:$D712,"挂靠代收")+COUNTIFS($D$5:$D712,"我方收款"),"")</f>
        <v/>
      </c>
      <c r="Y712" s="35"/>
      <c r="Z712" s="21" t="s">
        <v>111</v>
      </c>
    </row>
    <row r="713" customFormat="false" ht="15.75" hidden="false" customHeight="true" outlineLevel="0" collapsed="false">
      <c r="A713" s="32" t="str">
        <f aca="false">IF($B713="","",ROW()-4)</f>
        <v/>
      </c>
      <c r="B713" s="26"/>
      <c r="C713" s="24"/>
      <c r="D713" s="21"/>
      <c r="E713" s="21"/>
      <c r="F713" s="21"/>
      <c r="G713" s="21"/>
      <c r="H713" s="27"/>
      <c r="I713" s="23" t="str">
        <f aca="false">IF($D713&lt;&gt;"销项开票","",IF($N713="一级",IF(IFERROR(INDEX(项目档案!$E$6:$E$255,MATCH($C713,项目档案!$A$6:$A$255,0)),"")="",N(IFERROR(INDEX(单位档案!$D$6:$D$35,MATCH($E713,单位档案!$A$6:$A$35,0)),"")),IFERROR(INDEX(项目档案!$E$6:$E$255,MATCH($C713,项目档案!$A$6:$A$255,0)),"")),IF($N713="二级",IF(IFERROR(INDEX(项目档案!$G$6:$G$255,MATCH($C713,项目档案!$A$6:$A$255,0)),"")="",N(IFERROR(INDEX(单位档案!$D$6:$D$35,MATCH($E713,单位档案!$A$6:$A$35,0)),"")),IFERROR(INDEX(项目档案!$G$6:$G$255,MATCH($C713,项目档案!$A$6:$A$255,0)),"")),N(IFERROR(INDEX(单位档案!$D$6:$D$35,MATCH($E713,单位档案!$A$6:$A$35,0)),"")))))</f>
        <v/>
      </c>
      <c r="J713" s="22"/>
      <c r="K713" s="22"/>
      <c r="L713" s="33" t="str">
        <f aca="false">IF($B713="","",IF(NOT(ISNUMBER($B713)),"日期格式不对",IF($C713="","未选项目编号",IF(LEFT($M713,1)="⚠","项目编号不存在",IF($D713="","未选业务类型",IF($E713="","未选开票/付款方",IF(ISNA(MATCH($E713,单位档案!$A$6:$A$35,0)),"开票方不在单位档案",IF($F713="","未选收票/收款方",IF(ISNA(MATCH($F713,单位档案!$A$6:$A$35,0)),"收款方不在单位档案",IF(NOT(ISNUMBER($H713)),"金额须为数字",IF(AND($D713="销项开票",$N713="—"),"链条待确认","√")))))))))))</f>
        <v/>
      </c>
      <c r="M713" s="34" t="str">
        <f aca="false">IF($C713="","",IFERROR(INDEX(项目档案!$B$6:$B$255,MATCH($C713,项目档案!$A$6:$A$255,0)),"⚠项目编号不存在"))</f>
        <v/>
      </c>
      <c r="N713" s="35" t="str">
        <f aca="false">IF($E713="","",IF($E713=IFERROR(INDEX(项目档案!$D$6:$D$255,MATCH($C713,项目档案!$A$6:$A$255,0)),""),"一级",IF($E713=IFERROR(INDEX(项目档案!$F$6:$F$255,MATCH($C713,项目档案!$A$6:$A$255,0)),""),"二级",IF($E713=IFERROR(INDEX(项目档案!$H$6:$H$255,MATCH($C713,项目档案!$A$6:$A$255,0)),""),"我方","—"))))</f>
        <v/>
      </c>
      <c r="O713" s="36" t="n">
        <f aca="false">IF($D713&lt;&gt;"销项开票",0,ROUND(N($H713)*N($I713),2))</f>
        <v>0</v>
      </c>
      <c r="P713" s="36" t="n">
        <f aca="false">IF($D713&lt;&gt;"销项开票",0,ROUND(N($H713)-$O713,2))</f>
        <v>0</v>
      </c>
      <c r="Q713" s="37" t="str">
        <f aca="false">IF($E713="","",N(IFERROR(INDEX(单位档案!$E$6:$E$35,MATCH($E713,单位档案!$A$6:$A$35,0)),"")))</f>
        <v/>
      </c>
      <c r="R713" s="37" t="str">
        <f aca="false">IF($E713="","",N(IFERROR(INDEX(单位档案!$F$6:$F$35,MATCH($E713,单位档案!$A$6:$A$35,0)),"")))</f>
        <v/>
      </c>
      <c r="S713" s="36" t="n">
        <f aca="false">IF(OR($D713&lt;&gt;"销项开票",IFERROR(INDEX(单位档案!$G$6:$G$35,MATCH($E713,单位档案!$A$6:$A$35,0)),"")&lt;&gt;"是",N($Q713)=0),0,IF(IFERROR(INDEX(单位档案!$H$6:$H$35,MATCH($E713,单位档案!$A$6:$A$35,0)),"")="税差法",ROUND(N($H713)/(1+$Q713)*$Q713-IF(N($R713)=0,0,$P713/(1+$R713)*$R713),2),ROUND(N($H713)/(1+$Q713)*$Q713,2)))</f>
        <v>0</v>
      </c>
      <c r="T713" s="36" t="n">
        <f aca="false">ROUND($S713*N(IFERROR(INDEX(单位档案!$J$6:$J$35,MATCH($E713,单位档案!$A$6:$A$35,0)),"")),2)</f>
        <v>0</v>
      </c>
      <c r="U713" s="36" t="n">
        <f aca="false">IF($D713&lt;&gt;"销项开票",0,ROUND(N($H713)*N(IFERROR(INDEX(单位档案!$K$6:$K$35,MATCH($E713,单位档案!$A$6:$A$35,0)),"")),2))</f>
        <v>0</v>
      </c>
      <c r="V713" s="36" t="n">
        <f aca="false">IF(OR($D713&lt;&gt;"销项开票",N($Q713)=0),0,ROUND(N($H713)/(1+$Q713)*N(IFERROR(INDEX(单位档案!$L$6:$L$35,MATCH($E713,单位档案!$A$6:$A$35,0)),"")),2))</f>
        <v>0</v>
      </c>
      <c r="W713" s="36" t="n">
        <f aca="false">ROUND($S713+$T713+$U713+$V713,2)</f>
        <v>0</v>
      </c>
      <c r="X713" s="35" t="str">
        <f aca="false">IF(OR($D713="挂靠代收",$D713="我方收款"),COUNTIFS($D$5:$D713,"挂靠代收")+COUNTIFS($D$5:$D713,"我方收款"),"")</f>
        <v/>
      </c>
      <c r="Y713" s="35"/>
      <c r="Z713" s="21" t="s">
        <v>111</v>
      </c>
    </row>
    <row r="714" customFormat="false" ht="15.75" hidden="false" customHeight="true" outlineLevel="0" collapsed="false">
      <c r="A714" s="32" t="str">
        <f aca="false">IF($B714="","",ROW()-4)</f>
        <v/>
      </c>
      <c r="B714" s="26"/>
      <c r="C714" s="24"/>
      <c r="D714" s="21"/>
      <c r="E714" s="21"/>
      <c r="F714" s="21"/>
      <c r="G714" s="21"/>
      <c r="H714" s="27"/>
      <c r="I714" s="23" t="str">
        <f aca="false">IF($D714&lt;&gt;"销项开票","",IF($N714="一级",IF(IFERROR(INDEX(项目档案!$E$6:$E$255,MATCH($C714,项目档案!$A$6:$A$255,0)),"")="",N(IFERROR(INDEX(单位档案!$D$6:$D$35,MATCH($E714,单位档案!$A$6:$A$35,0)),"")),IFERROR(INDEX(项目档案!$E$6:$E$255,MATCH($C714,项目档案!$A$6:$A$255,0)),"")),IF($N714="二级",IF(IFERROR(INDEX(项目档案!$G$6:$G$255,MATCH($C714,项目档案!$A$6:$A$255,0)),"")="",N(IFERROR(INDEX(单位档案!$D$6:$D$35,MATCH($E714,单位档案!$A$6:$A$35,0)),"")),IFERROR(INDEX(项目档案!$G$6:$G$255,MATCH($C714,项目档案!$A$6:$A$255,0)),"")),N(IFERROR(INDEX(单位档案!$D$6:$D$35,MATCH($E714,单位档案!$A$6:$A$35,0)),"")))))</f>
        <v/>
      </c>
      <c r="J714" s="22"/>
      <c r="K714" s="22"/>
      <c r="L714" s="33" t="str">
        <f aca="false">IF($B714="","",IF(NOT(ISNUMBER($B714)),"日期格式不对",IF($C714="","未选项目编号",IF(LEFT($M714,1)="⚠","项目编号不存在",IF($D714="","未选业务类型",IF($E714="","未选开票/付款方",IF(ISNA(MATCH($E714,单位档案!$A$6:$A$35,0)),"开票方不在单位档案",IF($F714="","未选收票/收款方",IF(ISNA(MATCH($F714,单位档案!$A$6:$A$35,0)),"收款方不在单位档案",IF(NOT(ISNUMBER($H714)),"金额须为数字",IF(AND($D714="销项开票",$N714="—"),"链条待确认","√")))))))))))</f>
        <v/>
      </c>
      <c r="M714" s="34" t="str">
        <f aca="false">IF($C714="","",IFERROR(INDEX(项目档案!$B$6:$B$255,MATCH($C714,项目档案!$A$6:$A$255,0)),"⚠项目编号不存在"))</f>
        <v/>
      </c>
      <c r="N714" s="35" t="str">
        <f aca="false">IF($E714="","",IF($E714=IFERROR(INDEX(项目档案!$D$6:$D$255,MATCH($C714,项目档案!$A$6:$A$255,0)),""),"一级",IF($E714=IFERROR(INDEX(项目档案!$F$6:$F$255,MATCH($C714,项目档案!$A$6:$A$255,0)),""),"二级",IF($E714=IFERROR(INDEX(项目档案!$H$6:$H$255,MATCH($C714,项目档案!$A$6:$A$255,0)),""),"我方","—"))))</f>
        <v/>
      </c>
      <c r="O714" s="36" t="n">
        <f aca="false">IF($D714&lt;&gt;"销项开票",0,ROUND(N($H714)*N($I714),2))</f>
        <v>0</v>
      </c>
      <c r="P714" s="36" t="n">
        <f aca="false">IF($D714&lt;&gt;"销项开票",0,ROUND(N($H714)-$O714,2))</f>
        <v>0</v>
      </c>
      <c r="Q714" s="37" t="str">
        <f aca="false">IF($E714="","",N(IFERROR(INDEX(单位档案!$E$6:$E$35,MATCH($E714,单位档案!$A$6:$A$35,0)),"")))</f>
        <v/>
      </c>
      <c r="R714" s="37" t="str">
        <f aca="false">IF($E714="","",N(IFERROR(INDEX(单位档案!$F$6:$F$35,MATCH($E714,单位档案!$A$6:$A$35,0)),"")))</f>
        <v/>
      </c>
      <c r="S714" s="36" t="n">
        <f aca="false">IF(OR($D714&lt;&gt;"销项开票",IFERROR(INDEX(单位档案!$G$6:$G$35,MATCH($E714,单位档案!$A$6:$A$35,0)),"")&lt;&gt;"是",N($Q714)=0),0,IF(IFERROR(INDEX(单位档案!$H$6:$H$35,MATCH($E714,单位档案!$A$6:$A$35,0)),"")="税差法",ROUND(N($H714)/(1+$Q714)*$Q714-IF(N($R714)=0,0,$P714/(1+$R714)*$R714),2),ROUND(N($H714)/(1+$Q714)*$Q714,2)))</f>
        <v>0</v>
      </c>
      <c r="T714" s="36" t="n">
        <f aca="false">ROUND($S714*N(IFERROR(INDEX(单位档案!$J$6:$J$35,MATCH($E714,单位档案!$A$6:$A$35,0)),"")),2)</f>
        <v>0</v>
      </c>
      <c r="U714" s="36" t="n">
        <f aca="false">IF($D714&lt;&gt;"销项开票",0,ROUND(N($H714)*N(IFERROR(INDEX(单位档案!$K$6:$K$35,MATCH($E714,单位档案!$A$6:$A$35,0)),"")),2))</f>
        <v>0</v>
      </c>
      <c r="V714" s="36" t="n">
        <f aca="false">IF(OR($D714&lt;&gt;"销项开票",N($Q714)=0),0,ROUND(N($H714)/(1+$Q714)*N(IFERROR(INDEX(单位档案!$L$6:$L$35,MATCH($E714,单位档案!$A$6:$A$35,0)),"")),2))</f>
        <v>0</v>
      </c>
      <c r="W714" s="36" t="n">
        <f aca="false">ROUND($S714+$T714+$U714+$V714,2)</f>
        <v>0</v>
      </c>
      <c r="X714" s="35" t="str">
        <f aca="false">IF(OR($D714="挂靠代收",$D714="我方收款"),COUNTIFS($D$5:$D714,"挂靠代收")+COUNTIFS($D$5:$D714,"我方收款"),"")</f>
        <v/>
      </c>
      <c r="Y714" s="35"/>
      <c r="Z714" s="21" t="s">
        <v>111</v>
      </c>
    </row>
    <row r="715" customFormat="false" ht="15.75" hidden="false" customHeight="true" outlineLevel="0" collapsed="false">
      <c r="A715" s="32" t="str">
        <f aca="false">IF($B715="","",ROW()-4)</f>
        <v/>
      </c>
      <c r="B715" s="26"/>
      <c r="C715" s="24"/>
      <c r="D715" s="21"/>
      <c r="E715" s="21"/>
      <c r="F715" s="21"/>
      <c r="G715" s="21"/>
      <c r="H715" s="27"/>
      <c r="I715" s="23" t="str">
        <f aca="false">IF($D715&lt;&gt;"销项开票","",IF($N715="一级",IF(IFERROR(INDEX(项目档案!$E$6:$E$255,MATCH($C715,项目档案!$A$6:$A$255,0)),"")="",N(IFERROR(INDEX(单位档案!$D$6:$D$35,MATCH($E715,单位档案!$A$6:$A$35,0)),"")),IFERROR(INDEX(项目档案!$E$6:$E$255,MATCH($C715,项目档案!$A$6:$A$255,0)),"")),IF($N715="二级",IF(IFERROR(INDEX(项目档案!$G$6:$G$255,MATCH($C715,项目档案!$A$6:$A$255,0)),"")="",N(IFERROR(INDEX(单位档案!$D$6:$D$35,MATCH($E715,单位档案!$A$6:$A$35,0)),"")),IFERROR(INDEX(项目档案!$G$6:$G$255,MATCH($C715,项目档案!$A$6:$A$255,0)),"")),N(IFERROR(INDEX(单位档案!$D$6:$D$35,MATCH($E715,单位档案!$A$6:$A$35,0)),"")))))</f>
        <v/>
      </c>
      <c r="J715" s="22"/>
      <c r="K715" s="22"/>
      <c r="L715" s="33" t="str">
        <f aca="false">IF($B715="","",IF(NOT(ISNUMBER($B715)),"日期格式不对",IF($C715="","未选项目编号",IF(LEFT($M715,1)="⚠","项目编号不存在",IF($D715="","未选业务类型",IF($E715="","未选开票/付款方",IF(ISNA(MATCH($E715,单位档案!$A$6:$A$35,0)),"开票方不在单位档案",IF($F715="","未选收票/收款方",IF(ISNA(MATCH($F715,单位档案!$A$6:$A$35,0)),"收款方不在单位档案",IF(NOT(ISNUMBER($H715)),"金额须为数字",IF(AND($D715="销项开票",$N715="—"),"链条待确认","√")))))))))))</f>
        <v/>
      </c>
      <c r="M715" s="34" t="str">
        <f aca="false">IF($C715="","",IFERROR(INDEX(项目档案!$B$6:$B$255,MATCH($C715,项目档案!$A$6:$A$255,0)),"⚠项目编号不存在"))</f>
        <v/>
      </c>
      <c r="N715" s="35" t="str">
        <f aca="false">IF($E715="","",IF($E715=IFERROR(INDEX(项目档案!$D$6:$D$255,MATCH($C715,项目档案!$A$6:$A$255,0)),""),"一级",IF($E715=IFERROR(INDEX(项目档案!$F$6:$F$255,MATCH($C715,项目档案!$A$6:$A$255,0)),""),"二级",IF($E715=IFERROR(INDEX(项目档案!$H$6:$H$255,MATCH($C715,项目档案!$A$6:$A$255,0)),""),"我方","—"))))</f>
        <v/>
      </c>
      <c r="O715" s="36" t="n">
        <f aca="false">IF($D715&lt;&gt;"销项开票",0,ROUND(N($H715)*N($I715),2))</f>
        <v>0</v>
      </c>
      <c r="P715" s="36" t="n">
        <f aca="false">IF($D715&lt;&gt;"销项开票",0,ROUND(N($H715)-$O715,2))</f>
        <v>0</v>
      </c>
      <c r="Q715" s="37" t="str">
        <f aca="false">IF($E715="","",N(IFERROR(INDEX(单位档案!$E$6:$E$35,MATCH($E715,单位档案!$A$6:$A$35,0)),"")))</f>
        <v/>
      </c>
      <c r="R715" s="37" t="str">
        <f aca="false">IF($E715="","",N(IFERROR(INDEX(单位档案!$F$6:$F$35,MATCH($E715,单位档案!$A$6:$A$35,0)),"")))</f>
        <v/>
      </c>
      <c r="S715" s="36" t="n">
        <f aca="false">IF(OR($D715&lt;&gt;"销项开票",IFERROR(INDEX(单位档案!$G$6:$G$35,MATCH($E715,单位档案!$A$6:$A$35,0)),"")&lt;&gt;"是",N($Q715)=0),0,IF(IFERROR(INDEX(单位档案!$H$6:$H$35,MATCH($E715,单位档案!$A$6:$A$35,0)),"")="税差法",ROUND(N($H715)/(1+$Q715)*$Q715-IF(N($R715)=0,0,$P715/(1+$R715)*$R715),2),ROUND(N($H715)/(1+$Q715)*$Q715,2)))</f>
        <v>0</v>
      </c>
      <c r="T715" s="36" t="n">
        <f aca="false">ROUND($S715*N(IFERROR(INDEX(单位档案!$J$6:$J$35,MATCH($E715,单位档案!$A$6:$A$35,0)),"")),2)</f>
        <v>0</v>
      </c>
      <c r="U715" s="36" t="n">
        <f aca="false">IF($D715&lt;&gt;"销项开票",0,ROUND(N($H715)*N(IFERROR(INDEX(单位档案!$K$6:$K$35,MATCH($E715,单位档案!$A$6:$A$35,0)),"")),2))</f>
        <v>0</v>
      </c>
      <c r="V715" s="36" t="n">
        <f aca="false">IF(OR($D715&lt;&gt;"销项开票",N($Q715)=0),0,ROUND(N($H715)/(1+$Q715)*N(IFERROR(INDEX(单位档案!$L$6:$L$35,MATCH($E715,单位档案!$A$6:$A$35,0)),"")),2))</f>
        <v>0</v>
      </c>
      <c r="W715" s="36" t="n">
        <f aca="false">ROUND($S715+$T715+$U715+$V715,2)</f>
        <v>0</v>
      </c>
      <c r="X715" s="35" t="str">
        <f aca="false">IF(OR($D715="挂靠代收",$D715="我方收款"),COUNTIFS($D$5:$D715,"挂靠代收")+COUNTIFS($D$5:$D715,"我方收款"),"")</f>
        <v/>
      </c>
      <c r="Y715" s="35"/>
      <c r="Z715" s="21" t="s">
        <v>111</v>
      </c>
    </row>
    <row r="716" customFormat="false" ht="15.75" hidden="false" customHeight="true" outlineLevel="0" collapsed="false">
      <c r="A716" s="32" t="str">
        <f aca="false">IF($B716="","",ROW()-4)</f>
        <v/>
      </c>
      <c r="B716" s="26"/>
      <c r="C716" s="24"/>
      <c r="D716" s="21"/>
      <c r="E716" s="21"/>
      <c r="F716" s="21"/>
      <c r="G716" s="21"/>
      <c r="H716" s="27"/>
      <c r="I716" s="23" t="str">
        <f aca="false">IF($D716&lt;&gt;"销项开票","",IF($N716="一级",IF(IFERROR(INDEX(项目档案!$E$6:$E$255,MATCH($C716,项目档案!$A$6:$A$255,0)),"")="",N(IFERROR(INDEX(单位档案!$D$6:$D$35,MATCH($E716,单位档案!$A$6:$A$35,0)),"")),IFERROR(INDEX(项目档案!$E$6:$E$255,MATCH($C716,项目档案!$A$6:$A$255,0)),"")),IF($N716="二级",IF(IFERROR(INDEX(项目档案!$G$6:$G$255,MATCH($C716,项目档案!$A$6:$A$255,0)),"")="",N(IFERROR(INDEX(单位档案!$D$6:$D$35,MATCH($E716,单位档案!$A$6:$A$35,0)),"")),IFERROR(INDEX(项目档案!$G$6:$G$255,MATCH($C716,项目档案!$A$6:$A$255,0)),"")),N(IFERROR(INDEX(单位档案!$D$6:$D$35,MATCH($E716,单位档案!$A$6:$A$35,0)),"")))))</f>
        <v/>
      </c>
      <c r="J716" s="22"/>
      <c r="K716" s="22"/>
      <c r="L716" s="33" t="str">
        <f aca="false">IF($B716="","",IF(NOT(ISNUMBER($B716)),"日期格式不对",IF($C716="","未选项目编号",IF(LEFT($M716,1)="⚠","项目编号不存在",IF($D716="","未选业务类型",IF($E716="","未选开票/付款方",IF(ISNA(MATCH($E716,单位档案!$A$6:$A$35,0)),"开票方不在单位档案",IF($F716="","未选收票/收款方",IF(ISNA(MATCH($F716,单位档案!$A$6:$A$35,0)),"收款方不在单位档案",IF(NOT(ISNUMBER($H716)),"金额须为数字",IF(AND($D716="销项开票",$N716="—"),"链条待确认","√")))))))))))</f>
        <v/>
      </c>
      <c r="M716" s="34" t="str">
        <f aca="false">IF($C716="","",IFERROR(INDEX(项目档案!$B$6:$B$255,MATCH($C716,项目档案!$A$6:$A$255,0)),"⚠项目编号不存在"))</f>
        <v/>
      </c>
      <c r="N716" s="35" t="str">
        <f aca="false">IF($E716="","",IF($E716=IFERROR(INDEX(项目档案!$D$6:$D$255,MATCH($C716,项目档案!$A$6:$A$255,0)),""),"一级",IF($E716=IFERROR(INDEX(项目档案!$F$6:$F$255,MATCH($C716,项目档案!$A$6:$A$255,0)),""),"二级",IF($E716=IFERROR(INDEX(项目档案!$H$6:$H$255,MATCH($C716,项目档案!$A$6:$A$255,0)),""),"我方","—"))))</f>
        <v/>
      </c>
      <c r="O716" s="36" t="n">
        <f aca="false">IF($D716&lt;&gt;"销项开票",0,ROUND(N($H716)*N($I716),2))</f>
        <v>0</v>
      </c>
      <c r="P716" s="36" t="n">
        <f aca="false">IF($D716&lt;&gt;"销项开票",0,ROUND(N($H716)-$O716,2))</f>
        <v>0</v>
      </c>
      <c r="Q716" s="37" t="str">
        <f aca="false">IF($E716="","",N(IFERROR(INDEX(单位档案!$E$6:$E$35,MATCH($E716,单位档案!$A$6:$A$35,0)),"")))</f>
        <v/>
      </c>
      <c r="R716" s="37" t="str">
        <f aca="false">IF($E716="","",N(IFERROR(INDEX(单位档案!$F$6:$F$35,MATCH($E716,单位档案!$A$6:$A$35,0)),"")))</f>
        <v/>
      </c>
      <c r="S716" s="36" t="n">
        <f aca="false">IF(OR($D716&lt;&gt;"销项开票",IFERROR(INDEX(单位档案!$G$6:$G$35,MATCH($E716,单位档案!$A$6:$A$35,0)),"")&lt;&gt;"是",N($Q716)=0),0,IF(IFERROR(INDEX(单位档案!$H$6:$H$35,MATCH($E716,单位档案!$A$6:$A$35,0)),"")="税差法",ROUND(N($H716)/(1+$Q716)*$Q716-IF(N($R716)=0,0,$P716/(1+$R716)*$R716),2),ROUND(N($H716)/(1+$Q716)*$Q716,2)))</f>
        <v>0</v>
      </c>
      <c r="T716" s="36" t="n">
        <f aca="false">ROUND($S716*N(IFERROR(INDEX(单位档案!$J$6:$J$35,MATCH($E716,单位档案!$A$6:$A$35,0)),"")),2)</f>
        <v>0</v>
      </c>
      <c r="U716" s="36" t="n">
        <f aca="false">IF($D716&lt;&gt;"销项开票",0,ROUND(N($H716)*N(IFERROR(INDEX(单位档案!$K$6:$K$35,MATCH($E716,单位档案!$A$6:$A$35,0)),"")),2))</f>
        <v>0</v>
      </c>
      <c r="V716" s="36" t="n">
        <f aca="false">IF(OR($D716&lt;&gt;"销项开票",N($Q716)=0),0,ROUND(N($H716)/(1+$Q716)*N(IFERROR(INDEX(单位档案!$L$6:$L$35,MATCH($E716,单位档案!$A$6:$A$35,0)),"")),2))</f>
        <v>0</v>
      </c>
      <c r="W716" s="36" t="n">
        <f aca="false">ROUND($S716+$T716+$U716+$V716,2)</f>
        <v>0</v>
      </c>
      <c r="X716" s="35" t="str">
        <f aca="false">IF(OR($D716="挂靠代收",$D716="我方收款"),COUNTIFS($D$5:$D716,"挂靠代收")+COUNTIFS($D$5:$D716,"我方收款"),"")</f>
        <v/>
      </c>
      <c r="Y716" s="35"/>
      <c r="Z716" s="21" t="s">
        <v>111</v>
      </c>
    </row>
    <row r="717" customFormat="false" ht="15.75" hidden="false" customHeight="true" outlineLevel="0" collapsed="false">
      <c r="A717" s="32" t="str">
        <f aca="false">IF($B717="","",ROW()-4)</f>
        <v/>
      </c>
      <c r="B717" s="26"/>
      <c r="C717" s="24"/>
      <c r="D717" s="21"/>
      <c r="E717" s="21"/>
      <c r="F717" s="21"/>
      <c r="G717" s="21"/>
      <c r="H717" s="27"/>
      <c r="I717" s="23" t="str">
        <f aca="false">IF($D717&lt;&gt;"销项开票","",IF($N717="一级",IF(IFERROR(INDEX(项目档案!$E$6:$E$255,MATCH($C717,项目档案!$A$6:$A$255,0)),"")="",N(IFERROR(INDEX(单位档案!$D$6:$D$35,MATCH($E717,单位档案!$A$6:$A$35,0)),"")),IFERROR(INDEX(项目档案!$E$6:$E$255,MATCH($C717,项目档案!$A$6:$A$255,0)),"")),IF($N717="二级",IF(IFERROR(INDEX(项目档案!$G$6:$G$255,MATCH($C717,项目档案!$A$6:$A$255,0)),"")="",N(IFERROR(INDEX(单位档案!$D$6:$D$35,MATCH($E717,单位档案!$A$6:$A$35,0)),"")),IFERROR(INDEX(项目档案!$G$6:$G$255,MATCH($C717,项目档案!$A$6:$A$255,0)),"")),N(IFERROR(INDEX(单位档案!$D$6:$D$35,MATCH($E717,单位档案!$A$6:$A$35,0)),"")))))</f>
        <v/>
      </c>
      <c r="J717" s="22"/>
      <c r="K717" s="22"/>
      <c r="L717" s="33" t="str">
        <f aca="false">IF($B717="","",IF(NOT(ISNUMBER($B717)),"日期格式不对",IF($C717="","未选项目编号",IF(LEFT($M717,1)="⚠","项目编号不存在",IF($D717="","未选业务类型",IF($E717="","未选开票/付款方",IF(ISNA(MATCH($E717,单位档案!$A$6:$A$35,0)),"开票方不在单位档案",IF($F717="","未选收票/收款方",IF(ISNA(MATCH($F717,单位档案!$A$6:$A$35,0)),"收款方不在单位档案",IF(NOT(ISNUMBER($H717)),"金额须为数字",IF(AND($D717="销项开票",$N717="—"),"链条待确认","√")))))))))))</f>
        <v/>
      </c>
      <c r="M717" s="34" t="str">
        <f aca="false">IF($C717="","",IFERROR(INDEX(项目档案!$B$6:$B$255,MATCH($C717,项目档案!$A$6:$A$255,0)),"⚠项目编号不存在"))</f>
        <v/>
      </c>
      <c r="N717" s="35" t="str">
        <f aca="false">IF($E717="","",IF($E717=IFERROR(INDEX(项目档案!$D$6:$D$255,MATCH($C717,项目档案!$A$6:$A$255,0)),""),"一级",IF($E717=IFERROR(INDEX(项目档案!$F$6:$F$255,MATCH($C717,项目档案!$A$6:$A$255,0)),""),"二级",IF($E717=IFERROR(INDEX(项目档案!$H$6:$H$255,MATCH($C717,项目档案!$A$6:$A$255,0)),""),"我方","—"))))</f>
        <v/>
      </c>
      <c r="O717" s="36" t="n">
        <f aca="false">IF($D717&lt;&gt;"销项开票",0,ROUND(N($H717)*N($I717),2))</f>
        <v>0</v>
      </c>
      <c r="P717" s="36" t="n">
        <f aca="false">IF($D717&lt;&gt;"销项开票",0,ROUND(N($H717)-$O717,2))</f>
        <v>0</v>
      </c>
      <c r="Q717" s="37" t="str">
        <f aca="false">IF($E717="","",N(IFERROR(INDEX(单位档案!$E$6:$E$35,MATCH($E717,单位档案!$A$6:$A$35,0)),"")))</f>
        <v/>
      </c>
      <c r="R717" s="37" t="str">
        <f aca="false">IF($E717="","",N(IFERROR(INDEX(单位档案!$F$6:$F$35,MATCH($E717,单位档案!$A$6:$A$35,0)),"")))</f>
        <v/>
      </c>
      <c r="S717" s="36" t="n">
        <f aca="false">IF(OR($D717&lt;&gt;"销项开票",IFERROR(INDEX(单位档案!$G$6:$G$35,MATCH($E717,单位档案!$A$6:$A$35,0)),"")&lt;&gt;"是",N($Q717)=0),0,IF(IFERROR(INDEX(单位档案!$H$6:$H$35,MATCH($E717,单位档案!$A$6:$A$35,0)),"")="税差法",ROUND(N($H717)/(1+$Q717)*$Q717-IF(N($R717)=0,0,$P717/(1+$R717)*$R717),2),ROUND(N($H717)/(1+$Q717)*$Q717,2)))</f>
        <v>0</v>
      </c>
      <c r="T717" s="36" t="n">
        <f aca="false">ROUND($S717*N(IFERROR(INDEX(单位档案!$J$6:$J$35,MATCH($E717,单位档案!$A$6:$A$35,0)),"")),2)</f>
        <v>0</v>
      </c>
      <c r="U717" s="36" t="n">
        <f aca="false">IF($D717&lt;&gt;"销项开票",0,ROUND(N($H717)*N(IFERROR(INDEX(单位档案!$K$6:$K$35,MATCH($E717,单位档案!$A$6:$A$35,0)),"")),2))</f>
        <v>0</v>
      </c>
      <c r="V717" s="36" t="n">
        <f aca="false">IF(OR($D717&lt;&gt;"销项开票",N($Q717)=0),0,ROUND(N($H717)/(1+$Q717)*N(IFERROR(INDEX(单位档案!$L$6:$L$35,MATCH($E717,单位档案!$A$6:$A$35,0)),"")),2))</f>
        <v>0</v>
      </c>
      <c r="W717" s="36" t="n">
        <f aca="false">ROUND($S717+$T717+$U717+$V717,2)</f>
        <v>0</v>
      </c>
      <c r="X717" s="35" t="str">
        <f aca="false">IF(OR($D717="挂靠代收",$D717="我方收款"),COUNTIFS($D$5:$D717,"挂靠代收")+COUNTIFS($D$5:$D717,"我方收款"),"")</f>
        <v/>
      </c>
      <c r="Y717" s="35"/>
      <c r="Z717" s="21" t="s">
        <v>111</v>
      </c>
    </row>
    <row r="718" customFormat="false" ht="15.75" hidden="false" customHeight="true" outlineLevel="0" collapsed="false">
      <c r="A718" s="32" t="str">
        <f aca="false">IF($B718="","",ROW()-4)</f>
        <v/>
      </c>
      <c r="B718" s="26"/>
      <c r="C718" s="24"/>
      <c r="D718" s="21"/>
      <c r="E718" s="21"/>
      <c r="F718" s="21"/>
      <c r="G718" s="21"/>
      <c r="H718" s="27"/>
      <c r="I718" s="23" t="str">
        <f aca="false">IF($D718&lt;&gt;"销项开票","",IF($N718="一级",IF(IFERROR(INDEX(项目档案!$E$6:$E$255,MATCH($C718,项目档案!$A$6:$A$255,0)),"")="",N(IFERROR(INDEX(单位档案!$D$6:$D$35,MATCH($E718,单位档案!$A$6:$A$35,0)),"")),IFERROR(INDEX(项目档案!$E$6:$E$255,MATCH($C718,项目档案!$A$6:$A$255,0)),"")),IF($N718="二级",IF(IFERROR(INDEX(项目档案!$G$6:$G$255,MATCH($C718,项目档案!$A$6:$A$255,0)),"")="",N(IFERROR(INDEX(单位档案!$D$6:$D$35,MATCH($E718,单位档案!$A$6:$A$35,0)),"")),IFERROR(INDEX(项目档案!$G$6:$G$255,MATCH($C718,项目档案!$A$6:$A$255,0)),"")),N(IFERROR(INDEX(单位档案!$D$6:$D$35,MATCH($E718,单位档案!$A$6:$A$35,0)),"")))))</f>
        <v/>
      </c>
      <c r="J718" s="22"/>
      <c r="K718" s="22"/>
      <c r="L718" s="33" t="str">
        <f aca="false">IF($B718="","",IF(NOT(ISNUMBER($B718)),"日期格式不对",IF($C718="","未选项目编号",IF(LEFT($M718,1)="⚠","项目编号不存在",IF($D718="","未选业务类型",IF($E718="","未选开票/付款方",IF(ISNA(MATCH($E718,单位档案!$A$6:$A$35,0)),"开票方不在单位档案",IF($F718="","未选收票/收款方",IF(ISNA(MATCH($F718,单位档案!$A$6:$A$35,0)),"收款方不在单位档案",IF(NOT(ISNUMBER($H718)),"金额须为数字",IF(AND($D718="销项开票",$N718="—"),"链条待确认","√")))))))))))</f>
        <v/>
      </c>
      <c r="M718" s="34" t="str">
        <f aca="false">IF($C718="","",IFERROR(INDEX(项目档案!$B$6:$B$255,MATCH($C718,项目档案!$A$6:$A$255,0)),"⚠项目编号不存在"))</f>
        <v/>
      </c>
      <c r="N718" s="35" t="str">
        <f aca="false">IF($E718="","",IF($E718=IFERROR(INDEX(项目档案!$D$6:$D$255,MATCH($C718,项目档案!$A$6:$A$255,0)),""),"一级",IF($E718=IFERROR(INDEX(项目档案!$F$6:$F$255,MATCH($C718,项目档案!$A$6:$A$255,0)),""),"二级",IF($E718=IFERROR(INDEX(项目档案!$H$6:$H$255,MATCH($C718,项目档案!$A$6:$A$255,0)),""),"我方","—"))))</f>
        <v/>
      </c>
      <c r="O718" s="36" t="n">
        <f aca="false">IF($D718&lt;&gt;"销项开票",0,ROUND(N($H718)*N($I718),2))</f>
        <v>0</v>
      </c>
      <c r="P718" s="36" t="n">
        <f aca="false">IF($D718&lt;&gt;"销项开票",0,ROUND(N($H718)-$O718,2))</f>
        <v>0</v>
      </c>
      <c r="Q718" s="37" t="str">
        <f aca="false">IF($E718="","",N(IFERROR(INDEX(单位档案!$E$6:$E$35,MATCH($E718,单位档案!$A$6:$A$35,0)),"")))</f>
        <v/>
      </c>
      <c r="R718" s="37" t="str">
        <f aca="false">IF($E718="","",N(IFERROR(INDEX(单位档案!$F$6:$F$35,MATCH($E718,单位档案!$A$6:$A$35,0)),"")))</f>
        <v/>
      </c>
      <c r="S718" s="36" t="n">
        <f aca="false">IF(OR($D718&lt;&gt;"销项开票",IFERROR(INDEX(单位档案!$G$6:$G$35,MATCH($E718,单位档案!$A$6:$A$35,0)),"")&lt;&gt;"是",N($Q718)=0),0,IF(IFERROR(INDEX(单位档案!$H$6:$H$35,MATCH($E718,单位档案!$A$6:$A$35,0)),"")="税差法",ROUND(N($H718)/(1+$Q718)*$Q718-IF(N($R718)=0,0,$P718/(1+$R718)*$R718),2),ROUND(N($H718)/(1+$Q718)*$Q718,2)))</f>
        <v>0</v>
      </c>
      <c r="T718" s="36" t="n">
        <f aca="false">ROUND($S718*N(IFERROR(INDEX(单位档案!$J$6:$J$35,MATCH($E718,单位档案!$A$6:$A$35,0)),"")),2)</f>
        <v>0</v>
      </c>
      <c r="U718" s="36" t="n">
        <f aca="false">IF($D718&lt;&gt;"销项开票",0,ROUND(N($H718)*N(IFERROR(INDEX(单位档案!$K$6:$K$35,MATCH($E718,单位档案!$A$6:$A$35,0)),"")),2))</f>
        <v>0</v>
      </c>
      <c r="V718" s="36" t="n">
        <f aca="false">IF(OR($D718&lt;&gt;"销项开票",N($Q718)=0),0,ROUND(N($H718)/(1+$Q718)*N(IFERROR(INDEX(单位档案!$L$6:$L$35,MATCH($E718,单位档案!$A$6:$A$35,0)),"")),2))</f>
        <v>0</v>
      </c>
      <c r="W718" s="36" t="n">
        <f aca="false">ROUND($S718+$T718+$U718+$V718,2)</f>
        <v>0</v>
      </c>
      <c r="X718" s="35" t="str">
        <f aca="false">IF(OR($D718="挂靠代收",$D718="我方收款"),COUNTIFS($D$5:$D718,"挂靠代收")+COUNTIFS($D$5:$D718,"我方收款"),"")</f>
        <v/>
      </c>
      <c r="Y718" s="35"/>
      <c r="Z718" s="21" t="s">
        <v>111</v>
      </c>
    </row>
    <row r="719" customFormat="false" ht="15.75" hidden="false" customHeight="true" outlineLevel="0" collapsed="false">
      <c r="A719" s="32" t="str">
        <f aca="false">IF($B719="","",ROW()-4)</f>
        <v/>
      </c>
      <c r="B719" s="26"/>
      <c r="C719" s="24"/>
      <c r="D719" s="21"/>
      <c r="E719" s="21"/>
      <c r="F719" s="21"/>
      <c r="G719" s="21"/>
      <c r="H719" s="27"/>
      <c r="I719" s="23" t="str">
        <f aca="false">IF($D719&lt;&gt;"销项开票","",IF($N719="一级",IF(IFERROR(INDEX(项目档案!$E$6:$E$255,MATCH($C719,项目档案!$A$6:$A$255,0)),"")="",N(IFERROR(INDEX(单位档案!$D$6:$D$35,MATCH($E719,单位档案!$A$6:$A$35,0)),"")),IFERROR(INDEX(项目档案!$E$6:$E$255,MATCH($C719,项目档案!$A$6:$A$255,0)),"")),IF($N719="二级",IF(IFERROR(INDEX(项目档案!$G$6:$G$255,MATCH($C719,项目档案!$A$6:$A$255,0)),"")="",N(IFERROR(INDEX(单位档案!$D$6:$D$35,MATCH($E719,单位档案!$A$6:$A$35,0)),"")),IFERROR(INDEX(项目档案!$G$6:$G$255,MATCH($C719,项目档案!$A$6:$A$255,0)),"")),N(IFERROR(INDEX(单位档案!$D$6:$D$35,MATCH($E719,单位档案!$A$6:$A$35,0)),"")))))</f>
        <v/>
      </c>
      <c r="J719" s="22"/>
      <c r="K719" s="22"/>
      <c r="L719" s="33" t="str">
        <f aca="false">IF($B719="","",IF(NOT(ISNUMBER($B719)),"日期格式不对",IF($C719="","未选项目编号",IF(LEFT($M719,1)="⚠","项目编号不存在",IF($D719="","未选业务类型",IF($E719="","未选开票/付款方",IF(ISNA(MATCH($E719,单位档案!$A$6:$A$35,0)),"开票方不在单位档案",IF($F719="","未选收票/收款方",IF(ISNA(MATCH($F719,单位档案!$A$6:$A$35,0)),"收款方不在单位档案",IF(NOT(ISNUMBER($H719)),"金额须为数字",IF(AND($D719="销项开票",$N719="—"),"链条待确认","√")))))))))))</f>
        <v/>
      </c>
      <c r="M719" s="34" t="str">
        <f aca="false">IF($C719="","",IFERROR(INDEX(项目档案!$B$6:$B$255,MATCH($C719,项目档案!$A$6:$A$255,0)),"⚠项目编号不存在"))</f>
        <v/>
      </c>
      <c r="N719" s="35" t="str">
        <f aca="false">IF($E719="","",IF($E719=IFERROR(INDEX(项目档案!$D$6:$D$255,MATCH($C719,项目档案!$A$6:$A$255,0)),""),"一级",IF($E719=IFERROR(INDEX(项目档案!$F$6:$F$255,MATCH($C719,项目档案!$A$6:$A$255,0)),""),"二级",IF($E719=IFERROR(INDEX(项目档案!$H$6:$H$255,MATCH($C719,项目档案!$A$6:$A$255,0)),""),"我方","—"))))</f>
        <v/>
      </c>
      <c r="O719" s="36" t="n">
        <f aca="false">IF($D719&lt;&gt;"销项开票",0,ROUND(N($H719)*N($I719),2))</f>
        <v>0</v>
      </c>
      <c r="P719" s="36" t="n">
        <f aca="false">IF($D719&lt;&gt;"销项开票",0,ROUND(N($H719)-$O719,2))</f>
        <v>0</v>
      </c>
      <c r="Q719" s="37" t="str">
        <f aca="false">IF($E719="","",N(IFERROR(INDEX(单位档案!$E$6:$E$35,MATCH($E719,单位档案!$A$6:$A$35,0)),"")))</f>
        <v/>
      </c>
      <c r="R719" s="37" t="str">
        <f aca="false">IF($E719="","",N(IFERROR(INDEX(单位档案!$F$6:$F$35,MATCH($E719,单位档案!$A$6:$A$35,0)),"")))</f>
        <v/>
      </c>
      <c r="S719" s="36" t="n">
        <f aca="false">IF(OR($D719&lt;&gt;"销项开票",IFERROR(INDEX(单位档案!$G$6:$G$35,MATCH($E719,单位档案!$A$6:$A$35,0)),"")&lt;&gt;"是",N($Q719)=0),0,IF(IFERROR(INDEX(单位档案!$H$6:$H$35,MATCH($E719,单位档案!$A$6:$A$35,0)),"")="税差法",ROUND(N($H719)/(1+$Q719)*$Q719-IF(N($R719)=0,0,$P719/(1+$R719)*$R719),2),ROUND(N($H719)/(1+$Q719)*$Q719,2)))</f>
        <v>0</v>
      </c>
      <c r="T719" s="36" t="n">
        <f aca="false">ROUND($S719*N(IFERROR(INDEX(单位档案!$J$6:$J$35,MATCH($E719,单位档案!$A$6:$A$35,0)),"")),2)</f>
        <v>0</v>
      </c>
      <c r="U719" s="36" t="n">
        <f aca="false">IF($D719&lt;&gt;"销项开票",0,ROUND(N($H719)*N(IFERROR(INDEX(单位档案!$K$6:$K$35,MATCH($E719,单位档案!$A$6:$A$35,0)),"")),2))</f>
        <v>0</v>
      </c>
      <c r="V719" s="36" t="n">
        <f aca="false">IF(OR($D719&lt;&gt;"销项开票",N($Q719)=0),0,ROUND(N($H719)/(1+$Q719)*N(IFERROR(INDEX(单位档案!$L$6:$L$35,MATCH($E719,单位档案!$A$6:$A$35,0)),"")),2))</f>
        <v>0</v>
      </c>
      <c r="W719" s="36" t="n">
        <f aca="false">ROUND($S719+$T719+$U719+$V719,2)</f>
        <v>0</v>
      </c>
      <c r="X719" s="35" t="str">
        <f aca="false">IF(OR($D719="挂靠代收",$D719="我方收款"),COUNTIFS($D$5:$D719,"挂靠代收")+COUNTIFS($D$5:$D719,"我方收款"),"")</f>
        <v/>
      </c>
      <c r="Y719" s="35"/>
      <c r="Z719" s="21" t="s">
        <v>111</v>
      </c>
    </row>
    <row r="720" customFormat="false" ht="15.75" hidden="false" customHeight="true" outlineLevel="0" collapsed="false">
      <c r="A720" s="32" t="str">
        <f aca="false">IF($B720="","",ROW()-4)</f>
        <v/>
      </c>
      <c r="B720" s="26"/>
      <c r="C720" s="24"/>
      <c r="D720" s="21"/>
      <c r="E720" s="21"/>
      <c r="F720" s="21"/>
      <c r="G720" s="21"/>
      <c r="H720" s="27"/>
      <c r="I720" s="23" t="str">
        <f aca="false">IF($D720&lt;&gt;"销项开票","",IF($N720="一级",IF(IFERROR(INDEX(项目档案!$E$6:$E$255,MATCH($C720,项目档案!$A$6:$A$255,0)),"")="",N(IFERROR(INDEX(单位档案!$D$6:$D$35,MATCH($E720,单位档案!$A$6:$A$35,0)),"")),IFERROR(INDEX(项目档案!$E$6:$E$255,MATCH($C720,项目档案!$A$6:$A$255,0)),"")),IF($N720="二级",IF(IFERROR(INDEX(项目档案!$G$6:$G$255,MATCH($C720,项目档案!$A$6:$A$255,0)),"")="",N(IFERROR(INDEX(单位档案!$D$6:$D$35,MATCH($E720,单位档案!$A$6:$A$35,0)),"")),IFERROR(INDEX(项目档案!$G$6:$G$255,MATCH($C720,项目档案!$A$6:$A$255,0)),"")),N(IFERROR(INDEX(单位档案!$D$6:$D$35,MATCH($E720,单位档案!$A$6:$A$35,0)),"")))))</f>
        <v/>
      </c>
      <c r="J720" s="22"/>
      <c r="K720" s="22"/>
      <c r="L720" s="33" t="str">
        <f aca="false">IF($B720="","",IF(NOT(ISNUMBER($B720)),"日期格式不对",IF($C720="","未选项目编号",IF(LEFT($M720,1)="⚠","项目编号不存在",IF($D720="","未选业务类型",IF($E720="","未选开票/付款方",IF(ISNA(MATCH($E720,单位档案!$A$6:$A$35,0)),"开票方不在单位档案",IF($F720="","未选收票/收款方",IF(ISNA(MATCH($F720,单位档案!$A$6:$A$35,0)),"收款方不在单位档案",IF(NOT(ISNUMBER($H720)),"金额须为数字",IF(AND($D720="销项开票",$N720="—"),"链条待确认","√")))))))))))</f>
        <v/>
      </c>
      <c r="M720" s="34" t="str">
        <f aca="false">IF($C720="","",IFERROR(INDEX(项目档案!$B$6:$B$255,MATCH($C720,项目档案!$A$6:$A$255,0)),"⚠项目编号不存在"))</f>
        <v/>
      </c>
      <c r="N720" s="35" t="str">
        <f aca="false">IF($E720="","",IF($E720=IFERROR(INDEX(项目档案!$D$6:$D$255,MATCH($C720,项目档案!$A$6:$A$255,0)),""),"一级",IF($E720=IFERROR(INDEX(项目档案!$F$6:$F$255,MATCH($C720,项目档案!$A$6:$A$255,0)),""),"二级",IF($E720=IFERROR(INDEX(项目档案!$H$6:$H$255,MATCH($C720,项目档案!$A$6:$A$255,0)),""),"我方","—"))))</f>
        <v/>
      </c>
      <c r="O720" s="36" t="n">
        <f aca="false">IF($D720&lt;&gt;"销项开票",0,ROUND(N($H720)*N($I720),2))</f>
        <v>0</v>
      </c>
      <c r="P720" s="36" t="n">
        <f aca="false">IF($D720&lt;&gt;"销项开票",0,ROUND(N($H720)-$O720,2))</f>
        <v>0</v>
      </c>
      <c r="Q720" s="37" t="str">
        <f aca="false">IF($E720="","",N(IFERROR(INDEX(单位档案!$E$6:$E$35,MATCH($E720,单位档案!$A$6:$A$35,0)),"")))</f>
        <v/>
      </c>
      <c r="R720" s="37" t="str">
        <f aca="false">IF($E720="","",N(IFERROR(INDEX(单位档案!$F$6:$F$35,MATCH($E720,单位档案!$A$6:$A$35,0)),"")))</f>
        <v/>
      </c>
      <c r="S720" s="36" t="n">
        <f aca="false">IF(OR($D720&lt;&gt;"销项开票",IFERROR(INDEX(单位档案!$G$6:$G$35,MATCH($E720,单位档案!$A$6:$A$35,0)),"")&lt;&gt;"是",N($Q720)=0),0,IF(IFERROR(INDEX(单位档案!$H$6:$H$35,MATCH($E720,单位档案!$A$6:$A$35,0)),"")="税差法",ROUND(N($H720)/(1+$Q720)*$Q720-IF(N($R720)=0,0,$P720/(1+$R720)*$R720),2),ROUND(N($H720)/(1+$Q720)*$Q720,2)))</f>
        <v>0</v>
      </c>
      <c r="T720" s="36" t="n">
        <f aca="false">ROUND($S720*N(IFERROR(INDEX(单位档案!$J$6:$J$35,MATCH($E720,单位档案!$A$6:$A$35,0)),"")),2)</f>
        <v>0</v>
      </c>
      <c r="U720" s="36" t="n">
        <f aca="false">IF($D720&lt;&gt;"销项开票",0,ROUND(N($H720)*N(IFERROR(INDEX(单位档案!$K$6:$K$35,MATCH($E720,单位档案!$A$6:$A$35,0)),"")),2))</f>
        <v>0</v>
      </c>
      <c r="V720" s="36" t="n">
        <f aca="false">IF(OR($D720&lt;&gt;"销项开票",N($Q720)=0),0,ROUND(N($H720)/(1+$Q720)*N(IFERROR(INDEX(单位档案!$L$6:$L$35,MATCH($E720,单位档案!$A$6:$A$35,0)),"")),2))</f>
        <v>0</v>
      </c>
      <c r="W720" s="36" t="n">
        <f aca="false">ROUND($S720+$T720+$U720+$V720,2)</f>
        <v>0</v>
      </c>
      <c r="X720" s="35" t="str">
        <f aca="false">IF(OR($D720="挂靠代收",$D720="我方收款"),COUNTIFS($D$5:$D720,"挂靠代收")+COUNTIFS($D$5:$D720,"我方收款"),"")</f>
        <v/>
      </c>
      <c r="Y720" s="35"/>
      <c r="Z720" s="21" t="s">
        <v>111</v>
      </c>
    </row>
    <row r="721" customFormat="false" ht="15.75" hidden="false" customHeight="true" outlineLevel="0" collapsed="false">
      <c r="A721" s="32" t="str">
        <f aca="false">IF($B721="","",ROW()-4)</f>
        <v/>
      </c>
      <c r="B721" s="26"/>
      <c r="C721" s="24"/>
      <c r="D721" s="21"/>
      <c r="E721" s="21"/>
      <c r="F721" s="21"/>
      <c r="G721" s="21"/>
      <c r="H721" s="27"/>
      <c r="I721" s="23" t="str">
        <f aca="false">IF($D721&lt;&gt;"销项开票","",IF($N721="一级",IF(IFERROR(INDEX(项目档案!$E$6:$E$255,MATCH($C721,项目档案!$A$6:$A$255,0)),"")="",N(IFERROR(INDEX(单位档案!$D$6:$D$35,MATCH($E721,单位档案!$A$6:$A$35,0)),"")),IFERROR(INDEX(项目档案!$E$6:$E$255,MATCH($C721,项目档案!$A$6:$A$255,0)),"")),IF($N721="二级",IF(IFERROR(INDEX(项目档案!$G$6:$G$255,MATCH($C721,项目档案!$A$6:$A$255,0)),"")="",N(IFERROR(INDEX(单位档案!$D$6:$D$35,MATCH($E721,单位档案!$A$6:$A$35,0)),"")),IFERROR(INDEX(项目档案!$G$6:$G$255,MATCH($C721,项目档案!$A$6:$A$255,0)),"")),N(IFERROR(INDEX(单位档案!$D$6:$D$35,MATCH($E721,单位档案!$A$6:$A$35,0)),"")))))</f>
        <v/>
      </c>
      <c r="J721" s="22"/>
      <c r="K721" s="22"/>
      <c r="L721" s="33" t="str">
        <f aca="false">IF($B721="","",IF(NOT(ISNUMBER($B721)),"日期格式不对",IF($C721="","未选项目编号",IF(LEFT($M721,1)="⚠","项目编号不存在",IF($D721="","未选业务类型",IF($E721="","未选开票/付款方",IF(ISNA(MATCH($E721,单位档案!$A$6:$A$35,0)),"开票方不在单位档案",IF($F721="","未选收票/收款方",IF(ISNA(MATCH($F721,单位档案!$A$6:$A$35,0)),"收款方不在单位档案",IF(NOT(ISNUMBER($H721)),"金额须为数字",IF(AND($D721="销项开票",$N721="—"),"链条待确认","√")))))))))))</f>
        <v/>
      </c>
      <c r="M721" s="34" t="str">
        <f aca="false">IF($C721="","",IFERROR(INDEX(项目档案!$B$6:$B$255,MATCH($C721,项目档案!$A$6:$A$255,0)),"⚠项目编号不存在"))</f>
        <v/>
      </c>
      <c r="N721" s="35" t="str">
        <f aca="false">IF($E721="","",IF($E721=IFERROR(INDEX(项目档案!$D$6:$D$255,MATCH($C721,项目档案!$A$6:$A$255,0)),""),"一级",IF($E721=IFERROR(INDEX(项目档案!$F$6:$F$255,MATCH($C721,项目档案!$A$6:$A$255,0)),""),"二级",IF($E721=IFERROR(INDEX(项目档案!$H$6:$H$255,MATCH($C721,项目档案!$A$6:$A$255,0)),""),"我方","—"))))</f>
        <v/>
      </c>
      <c r="O721" s="36" t="n">
        <f aca="false">IF($D721&lt;&gt;"销项开票",0,ROUND(N($H721)*N($I721),2))</f>
        <v>0</v>
      </c>
      <c r="P721" s="36" t="n">
        <f aca="false">IF($D721&lt;&gt;"销项开票",0,ROUND(N($H721)-$O721,2))</f>
        <v>0</v>
      </c>
      <c r="Q721" s="37" t="str">
        <f aca="false">IF($E721="","",N(IFERROR(INDEX(单位档案!$E$6:$E$35,MATCH($E721,单位档案!$A$6:$A$35,0)),"")))</f>
        <v/>
      </c>
      <c r="R721" s="37" t="str">
        <f aca="false">IF($E721="","",N(IFERROR(INDEX(单位档案!$F$6:$F$35,MATCH($E721,单位档案!$A$6:$A$35,0)),"")))</f>
        <v/>
      </c>
      <c r="S721" s="36" t="n">
        <f aca="false">IF(OR($D721&lt;&gt;"销项开票",IFERROR(INDEX(单位档案!$G$6:$G$35,MATCH($E721,单位档案!$A$6:$A$35,0)),"")&lt;&gt;"是",N($Q721)=0),0,IF(IFERROR(INDEX(单位档案!$H$6:$H$35,MATCH($E721,单位档案!$A$6:$A$35,0)),"")="税差法",ROUND(N($H721)/(1+$Q721)*$Q721-IF(N($R721)=0,0,$P721/(1+$R721)*$R721),2),ROUND(N($H721)/(1+$Q721)*$Q721,2)))</f>
        <v>0</v>
      </c>
      <c r="T721" s="36" t="n">
        <f aca="false">ROUND($S721*N(IFERROR(INDEX(单位档案!$J$6:$J$35,MATCH($E721,单位档案!$A$6:$A$35,0)),"")),2)</f>
        <v>0</v>
      </c>
      <c r="U721" s="36" t="n">
        <f aca="false">IF($D721&lt;&gt;"销项开票",0,ROUND(N($H721)*N(IFERROR(INDEX(单位档案!$K$6:$K$35,MATCH($E721,单位档案!$A$6:$A$35,0)),"")),2))</f>
        <v>0</v>
      </c>
      <c r="V721" s="36" t="n">
        <f aca="false">IF(OR($D721&lt;&gt;"销项开票",N($Q721)=0),0,ROUND(N($H721)/(1+$Q721)*N(IFERROR(INDEX(单位档案!$L$6:$L$35,MATCH($E721,单位档案!$A$6:$A$35,0)),"")),2))</f>
        <v>0</v>
      </c>
      <c r="W721" s="36" t="n">
        <f aca="false">ROUND($S721+$T721+$U721+$V721,2)</f>
        <v>0</v>
      </c>
      <c r="X721" s="35" t="str">
        <f aca="false">IF(OR($D721="挂靠代收",$D721="我方收款"),COUNTIFS($D$5:$D721,"挂靠代收")+COUNTIFS($D$5:$D721,"我方收款"),"")</f>
        <v/>
      </c>
      <c r="Y721" s="35"/>
      <c r="Z721" s="21" t="s">
        <v>111</v>
      </c>
    </row>
    <row r="722" customFormat="false" ht="15.75" hidden="false" customHeight="true" outlineLevel="0" collapsed="false">
      <c r="A722" s="32" t="str">
        <f aca="false">IF($B722="","",ROW()-4)</f>
        <v/>
      </c>
      <c r="B722" s="26"/>
      <c r="C722" s="24"/>
      <c r="D722" s="21"/>
      <c r="E722" s="21"/>
      <c r="F722" s="21"/>
      <c r="G722" s="21"/>
      <c r="H722" s="27"/>
      <c r="I722" s="23" t="str">
        <f aca="false">IF($D722&lt;&gt;"销项开票","",IF($N722="一级",IF(IFERROR(INDEX(项目档案!$E$6:$E$255,MATCH($C722,项目档案!$A$6:$A$255,0)),"")="",N(IFERROR(INDEX(单位档案!$D$6:$D$35,MATCH($E722,单位档案!$A$6:$A$35,0)),"")),IFERROR(INDEX(项目档案!$E$6:$E$255,MATCH($C722,项目档案!$A$6:$A$255,0)),"")),IF($N722="二级",IF(IFERROR(INDEX(项目档案!$G$6:$G$255,MATCH($C722,项目档案!$A$6:$A$255,0)),"")="",N(IFERROR(INDEX(单位档案!$D$6:$D$35,MATCH($E722,单位档案!$A$6:$A$35,0)),"")),IFERROR(INDEX(项目档案!$G$6:$G$255,MATCH($C722,项目档案!$A$6:$A$255,0)),"")),N(IFERROR(INDEX(单位档案!$D$6:$D$35,MATCH($E722,单位档案!$A$6:$A$35,0)),"")))))</f>
        <v/>
      </c>
      <c r="J722" s="22"/>
      <c r="K722" s="22"/>
      <c r="L722" s="33" t="str">
        <f aca="false">IF($B722="","",IF(NOT(ISNUMBER($B722)),"日期格式不对",IF($C722="","未选项目编号",IF(LEFT($M722,1)="⚠","项目编号不存在",IF($D722="","未选业务类型",IF($E722="","未选开票/付款方",IF(ISNA(MATCH($E722,单位档案!$A$6:$A$35,0)),"开票方不在单位档案",IF($F722="","未选收票/收款方",IF(ISNA(MATCH($F722,单位档案!$A$6:$A$35,0)),"收款方不在单位档案",IF(NOT(ISNUMBER($H722)),"金额须为数字",IF(AND($D722="销项开票",$N722="—"),"链条待确认","√")))))))))))</f>
        <v/>
      </c>
      <c r="M722" s="34" t="str">
        <f aca="false">IF($C722="","",IFERROR(INDEX(项目档案!$B$6:$B$255,MATCH($C722,项目档案!$A$6:$A$255,0)),"⚠项目编号不存在"))</f>
        <v/>
      </c>
      <c r="N722" s="35" t="str">
        <f aca="false">IF($E722="","",IF($E722=IFERROR(INDEX(项目档案!$D$6:$D$255,MATCH($C722,项目档案!$A$6:$A$255,0)),""),"一级",IF($E722=IFERROR(INDEX(项目档案!$F$6:$F$255,MATCH($C722,项目档案!$A$6:$A$255,0)),""),"二级",IF($E722=IFERROR(INDEX(项目档案!$H$6:$H$255,MATCH($C722,项目档案!$A$6:$A$255,0)),""),"我方","—"))))</f>
        <v/>
      </c>
      <c r="O722" s="36" t="n">
        <f aca="false">IF($D722&lt;&gt;"销项开票",0,ROUND(N($H722)*N($I722),2))</f>
        <v>0</v>
      </c>
      <c r="P722" s="36" t="n">
        <f aca="false">IF($D722&lt;&gt;"销项开票",0,ROUND(N($H722)-$O722,2))</f>
        <v>0</v>
      </c>
      <c r="Q722" s="37" t="str">
        <f aca="false">IF($E722="","",N(IFERROR(INDEX(单位档案!$E$6:$E$35,MATCH($E722,单位档案!$A$6:$A$35,0)),"")))</f>
        <v/>
      </c>
      <c r="R722" s="37" t="str">
        <f aca="false">IF($E722="","",N(IFERROR(INDEX(单位档案!$F$6:$F$35,MATCH($E722,单位档案!$A$6:$A$35,0)),"")))</f>
        <v/>
      </c>
      <c r="S722" s="36" t="n">
        <f aca="false">IF(OR($D722&lt;&gt;"销项开票",IFERROR(INDEX(单位档案!$G$6:$G$35,MATCH($E722,单位档案!$A$6:$A$35,0)),"")&lt;&gt;"是",N($Q722)=0),0,IF(IFERROR(INDEX(单位档案!$H$6:$H$35,MATCH($E722,单位档案!$A$6:$A$35,0)),"")="税差法",ROUND(N($H722)/(1+$Q722)*$Q722-IF(N($R722)=0,0,$P722/(1+$R722)*$R722),2),ROUND(N($H722)/(1+$Q722)*$Q722,2)))</f>
        <v>0</v>
      </c>
      <c r="T722" s="36" t="n">
        <f aca="false">ROUND($S722*N(IFERROR(INDEX(单位档案!$J$6:$J$35,MATCH($E722,单位档案!$A$6:$A$35,0)),"")),2)</f>
        <v>0</v>
      </c>
      <c r="U722" s="36" t="n">
        <f aca="false">IF($D722&lt;&gt;"销项开票",0,ROUND(N($H722)*N(IFERROR(INDEX(单位档案!$K$6:$K$35,MATCH($E722,单位档案!$A$6:$A$35,0)),"")),2))</f>
        <v>0</v>
      </c>
      <c r="V722" s="36" t="n">
        <f aca="false">IF(OR($D722&lt;&gt;"销项开票",N($Q722)=0),0,ROUND(N($H722)/(1+$Q722)*N(IFERROR(INDEX(单位档案!$L$6:$L$35,MATCH($E722,单位档案!$A$6:$A$35,0)),"")),2))</f>
        <v>0</v>
      </c>
      <c r="W722" s="36" t="n">
        <f aca="false">ROUND($S722+$T722+$U722+$V722,2)</f>
        <v>0</v>
      </c>
      <c r="X722" s="35" t="str">
        <f aca="false">IF(OR($D722="挂靠代收",$D722="我方收款"),COUNTIFS($D$5:$D722,"挂靠代收")+COUNTIFS($D$5:$D722,"我方收款"),"")</f>
        <v/>
      </c>
      <c r="Y722" s="35"/>
      <c r="Z722" s="21" t="s">
        <v>111</v>
      </c>
    </row>
    <row r="723" customFormat="false" ht="15.75" hidden="false" customHeight="true" outlineLevel="0" collapsed="false">
      <c r="A723" s="32" t="str">
        <f aca="false">IF($B723="","",ROW()-4)</f>
        <v/>
      </c>
      <c r="B723" s="26"/>
      <c r="C723" s="24"/>
      <c r="D723" s="21"/>
      <c r="E723" s="21"/>
      <c r="F723" s="21"/>
      <c r="G723" s="21"/>
      <c r="H723" s="27"/>
      <c r="I723" s="23" t="str">
        <f aca="false">IF($D723&lt;&gt;"销项开票","",IF($N723="一级",IF(IFERROR(INDEX(项目档案!$E$6:$E$255,MATCH($C723,项目档案!$A$6:$A$255,0)),"")="",N(IFERROR(INDEX(单位档案!$D$6:$D$35,MATCH($E723,单位档案!$A$6:$A$35,0)),"")),IFERROR(INDEX(项目档案!$E$6:$E$255,MATCH($C723,项目档案!$A$6:$A$255,0)),"")),IF($N723="二级",IF(IFERROR(INDEX(项目档案!$G$6:$G$255,MATCH($C723,项目档案!$A$6:$A$255,0)),"")="",N(IFERROR(INDEX(单位档案!$D$6:$D$35,MATCH($E723,单位档案!$A$6:$A$35,0)),"")),IFERROR(INDEX(项目档案!$G$6:$G$255,MATCH($C723,项目档案!$A$6:$A$255,0)),"")),N(IFERROR(INDEX(单位档案!$D$6:$D$35,MATCH($E723,单位档案!$A$6:$A$35,0)),"")))))</f>
        <v/>
      </c>
      <c r="J723" s="22"/>
      <c r="K723" s="22"/>
      <c r="L723" s="33" t="str">
        <f aca="false">IF($B723="","",IF(NOT(ISNUMBER($B723)),"日期格式不对",IF($C723="","未选项目编号",IF(LEFT($M723,1)="⚠","项目编号不存在",IF($D723="","未选业务类型",IF($E723="","未选开票/付款方",IF(ISNA(MATCH($E723,单位档案!$A$6:$A$35,0)),"开票方不在单位档案",IF($F723="","未选收票/收款方",IF(ISNA(MATCH($F723,单位档案!$A$6:$A$35,0)),"收款方不在单位档案",IF(NOT(ISNUMBER($H723)),"金额须为数字",IF(AND($D723="销项开票",$N723="—"),"链条待确认","√")))))))))))</f>
        <v/>
      </c>
      <c r="M723" s="34" t="str">
        <f aca="false">IF($C723="","",IFERROR(INDEX(项目档案!$B$6:$B$255,MATCH($C723,项目档案!$A$6:$A$255,0)),"⚠项目编号不存在"))</f>
        <v/>
      </c>
      <c r="N723" s="35" t="str">
        <f aca="false">IF($E723="","",IF($E723=IFERROR(INDEX(项目档案!$D$6:$D$255,MATCH($C723,项目档案!$A$6:$A$255,0)),""),"一级",IF($E723=IFERROR(INDEX(项目档案!$F$6:$F$255,MATCH($C723,项目档案!$A$6:$A$255,0)),""),"二级",IF($E723=IFERROR(INDEX(项目档案!$H$6:$H$255,MATCH($C723,项目档案!$A$6:$A$255,0)),""),"我方","—"))))</f>
        <v/>
      </c>
      <c r="O723" s="36" t="n">
        <f aca="false">IF($D723&lt;&gt;"销项开票",0,ROUND(N($H723)*N($I723),2))</f>
        <v>0</v>
      </c>
      <c r="P723" s="36" t="n">
        <f aca="false">IF($D723&lt;&gt;"销项开票",0,ROUND(N($H723)-$O723,2))</f>
        <v>0</v>
      </c>
      <c r="Q723" s="37" t="str">
        <f aca="false">IF($E723="","",N(IFERROR(INDEX(单位档案!$E$6:$E$35,MATCH($E723,单位档案!$A$6:$A$35,0)),"")))</f>
        <v/>
      </c>
      <c r="R723" s="37" t="str">
        <f aca="false">IF($E723="","",N(IFERROR(INDEX(单位档案!$F$6:$F$35,MATCH($E723,单位档案!$A$6:$A$35,0)),"")))</f>
        <v/>
      </c>
      <c r="S723" s="36" t="n">
        <f aca="false">IF(OR($D723&lt;&gt;"销项开票",IFERROR(INDEX(单位档案!$G$6:$G$35,MATCH($E723,单位档案!$A$6:$A$35,0)),"")&lt;&gt;"是",N($Q723)=0),0,IF(IFERROR(INDEX(单位档案!$H$6:$H$35,MATCH($E723,单位档案!$A$6:$A$35,0)),"")="税差法",ROUND(N($H723)/(1+$Q723)*$Q723-IF(N($R723)=0,0,$P723/(1+$R723)*$R723),2),ROUND(N($H723)/(1+$Q723)*$Q723,2)))</f>
        <v>0</v>
      </c>
      <c r="T723" s="36" t="n">
        <f aca="false">ROUND($S723*N(IFERROR(INDEX(单位档案!$J$6:$J$35,MATCH($E723,单位档案!$A$6:$A$35,0)),"")),2)</f>
        <v>0</v>
      </c>
      <c r="U723" s="36" t="n">
        <f aca="false">IF($D723&lt;&gt;"销项开票",0,ROUND(N($H723)*N(IFERROR(INDEX(单位档案!$K$6:$K$35,MATCH($E723,单位档案!$A$6:$A$35,0)),"")),2))</f>
        <v>0</v>
      </c>
      <c r="V723" s="36" t="n">
        <f aca="false">IF(OR($D723&lt;&gt;"销项开票",N($Q723)=0),0,ROUND(N($H723)/(1+$Q723)*N(IFERROR(INDEX(单位档案!$L$6:$L$35,MATCH($E723,单位档案!$A$6:$A$35,0)),"")),2))</f>
        <v>0</v>
      </c>
      <c r="W723" s="36" t="n">
        <f aca="false">ROUND($S723+$T723+$U723+$V723,2)</f>
        <v>0</v>
      </c>
      <c r="X723" s="35" t="str">
        <f aca="false">IF(OR($D723="挂靠代收",$D723="我方收款"),COUNTIFS($D$5:$D723,"挂靠代收")+COUNTIFS($D$5:$D723,"我方收款"),"")</f>
        <v/>
      </c>
      <c r="Y723" s="35"/>
      <c r="Z723" s="21" t="s">
        <v>111</v>
      </c>
    </row>
    <row r="724" customFormat="false" ht="15.75" hidden="false" customHeight="true" outlineLevel="0" collapsed="false">
      <c r="A724" s="32" t="str">
        <f aca="false">IF($B724="","",ROW()-4)</f>
        <v/>
      </c>
      <c r="B724" s="26"/>
      <c r="C724" s="24"/>
      <c r="D724" s="21"/>
      <c r="E724" s="21"/>
      <c r="F724" s="21"/>
      <c r="G724" s="21"/>
      <c r="H724" s="27"/>
      <c r="I724" s="23" t="str">
        <f aca="false">IF($D724&lt;&gt;"销项开票","",IF($N724="一级",IF(IFERROR(INDEX(项目档案!$E$6:$E$255,MATCH($C724,项目档案!$A$6:$A$255,0)),"")="",N(IFERROR(INDEX(单位档案!$D$6:$D$35,MATCH($E724,单位档案!$A$6:$A$35,0)),"")),IFERROR(INDEX(项目档案!$E$6:$E$255,MATCH($C724,项目档案!$A$6:$A$255,0)),"")),IF($N724="二级",IF(IFERROR(INDEX(项目档案!$G$6:$G$255,MATCH($C724,项目档案!$A$6:$A$255,0)),"")="",N(IFERROR(INDEX(单位档案!$D$6:$D$35,MATCH($E724,单位档案!$A$6:$A$35,0)),"")),IFERROR(INDEX(项目档案!$G$6:$G$255,MATCH($C724,项目档案!$A$6:$A$255,0)),"")),N(IFERROR(INDEX(单位档案!$D$6:$D$35,MATCH($E724,单位档案!$A$6:$A$35,0)),"")))))</f>
        <v/>
      </c>
      <c r="J724" s="22"/>
      <c r="K724" s="22"/>
      <c r="L724" s="33" t="str">
        <f aca="false">IF($B724="","",IF(NOT(ISNUMBER($B724)),"日期格式不对",IF($C724="","未选项目编号",IF(LEFT($M724,1)="⚠","项目编号不存在",IF($D724="","未选业务类型",IF($E724="","未选开票/付款方",IF(ISNA(MATCH($E724,单位档案!$A$6:$A$35,0)),"开票方不在单位档案",IF($F724="","未选收票/收款方",IF(ISNA(MATCH($F724,单位档案!$A$6:$A$35,0)),"收款方不在单位档案",IF(NOT(ISNUMBER($H724)),"金额须为数字",IF(AND($D724="销项开票",$N724="—"),"链条待确认","√")))))))))))</f>
        <v/>
      </c>
      <c r="M724" s="34" t="str">
        <f aca="false">IF($C724="","",IFERROR(INDEX(项目档案!$B$6:$B$255,MATCH($C724,项目档案!$A$6:$A$255,0)),"⚠项目编号不存在"))</f>
        <v/>
      </c>
      <c r="N724" s="35" t="str">
        <f aca="false">IF($E724="","",IF($E724=IFERROR(INDEX(项目档案!$D$6:$D$255,MATCH($C724,项目档案!$A$6:$A$255,0)),""),"一级",IF($E724=IFERROR(INDEX(项目档案!$F$6:$F$255,MATCH($C724,项目档案!$A$6:$A$255,0)),""),"二级",IF($E724=IFERROR(INDEX(项目档案!$H$6:$H$255,MATCH($C724,项目档案!$A$6:$A$255,0)),""),"我方","—"))))</f>
        <v/>
      </c>
      <c r="O724" s="36" t="n">
        <f aca="false">IF($D724&lt;&gt;"销项开票",0,ROUND(N($H724)*N($I724),2))</f>
        <v>0</v>
      </c>
      <c r="P724" s="36" t="n">
        <f aca="false">IF($D724&lt;&gt;"销项开票",0,ROUND(N($H724)-$O724,2))</f>
        <v>0</v>
      </c>
      <c r="Q724" s="37" t="str">
        <f aca="false">IF($E724="","",N(IFERROR(INDEX(单位档案!$E$6:$E$35,MATCH($E724,单位档案!$A$6:$A$35,0)),"")))</f>
        <v/>
      </c>
      <c r="R724" s="37" t="str">
        <f aca="false">IF($E724="","",N(IFERROR(INDEX(单位档案!$F$6:$F$35,MATCH($E724,单位档案!$A$6:$A$35,0)),"")))</f>
        <v/>
      </c>
      <c r="S724" s="36" t="n">
        <f aca="false">IF(OR($D724&lt;&gt;"销项开票",IFERROR(INDEX(单位档案!$G$6:$G$35,MATCH($E724,单位档案!$A$6:$A$35,0)),"")&lt;&gt;"是",N($Q724)=0),0,IF(IFERROR(INDEX(单位档案!$H$6:$H$35,MATCH($E724,单位档案!$A$6:$A$35,0)),"")="税差法",ROUND(N($H724)/(1+$Q724)*$Q724-IF(N($R724)=0,0,$P724/(1+$R724)*$R724),2),ROUND(N($H724)/(1+$Q724)*$Q724,2)))</f>
        <v>0</v>
      </c>
      <c r="T724" s="36" t="n">
        <f aca="false">ROUND($S724*N(IFERROR(INDEX(单位档案!$J$6:$J$35,MATCH($E724,单位档案!$A$6:$A$35,0)),"")),2)</f>
        <v>0</v>
      </c>
      <c r="U724" s="36" t="n">
        <f aca="false">IF($D724&lt;&gt;"销项开票",0,ROUND(N($H724)*N(IFERROR(INDEX(单位档案!$K$6:$K$35,MATCH($E724,单位档案!$A$6:$A$35,0)),"")),2))</f>
        <v>0</v>
      </c>
      <c r="V724" s="36" t="n">
        <f aca="false">IF(OR($D724&lt;&gt;"销项开票",N($Q724)=0),0,ROUND(N($H724)/(1+$Q724)*N(IFERROR(INDEX(单位档案!$L$6:$L$35,MATCH($E724,单位档案!$A$6:$A$35,0)),"")),2))</f>
        <v>0</v>
      </c>
      <c r="W724" s="36" t="n">
        <f aca="false">ROUND($S724+$T724+$U724+$V724,2)</f>
        <v>0</v>
      </c>
      <c r="X724" s="35" t="str">
        <f aca="false">IF(OR($D724="挂靠代收",$D724="我方收款"),COUNTIFS($D$5:$D724,"挂靠代收")+COUNTIFS($D$5:$D724,"我方收款"),"")</f>
        <v/>
      </c>
      <c r="Y724" s="35"/>
      <c r="Z724" s="21" t="s">
        <v>111</v>
      </c>
    </row>
    <row r="725" customFormat="false" ht="15.75" hidden="false" customHeight="true" outlineLevel="0" collapsed="false">
      <c r="A725" s="32" t="str">
        <f aca="false">IF($B725="","",ROW()-4)</f>
        <v/>
      </c>
      <c r="B725" s="26"/>
      <c r="C725" s="24"/>
      <c r="D725" s="21"/>
      <c r="E725" s="21"/>
      <c r="F725" s="21"/>
      <c r="G725" s="21"/>
      <c r="H725" s="27"/>
      <c r="I725" s="23" t="str">
        <f aca="false">IF($D725&lt;&gt;"销项开票","",IF($N725="一级",IF(IFERROR(INDEX(项目档案!$E$6:$E$255,MATCH($C725,项目档案!$A$6:$A$255,0)),"")="",N(IFERROR(INDEX(单位档案!$D$6:$D$35,MATCH($E725,单位档案!$A$6:$A$35,0)),"")),IFERROR(INDEX(项目档案!$E$6:$E$255,MATCH($C725,项目档案!$A$6:$A$255,0)),"")),IF($N725="二级",IF(IFERROR(INDEX(项目档案!$G$6:$G$255,MATCH($C725,项目档案!$A$6:$A$255,0)),"")="",N(IFERROR(INDEX(单位档案!$D$6:$D$35,MATCH($E725,单位档案!$A$6:$A$35,0)),"")),IFERROR(INDEX(项目档案!$G$6:$G$255,MATCH($C725,项目档案!$A$6:$A$255,0)),"")),N(IFERROR(INDEX(单位档案!$D$6:$D$35,MATCH($E725,单位档案!$A$6:$A$35,0)),"")))))</f>
        <v/>
      </c>
      <c r="J725" s="22"/>
      <c r="K725" s="22"/>
      <c r="L725" s="33" t="str">
        <f aca="false">IF($B725="","",IF(NOT(ISNUMBER($B725)),"日期格式不对",IF($C725="","未选项目编号",IF(LEFT($M725,1)="⚠","项目编号不存在",IF($D725="","未选业务类型",IF($E725="","未选开票/付款方",IF(ISNA(MATCH($E725,单位档案!$A$6:$A$35,0)),"开票方不在单位档案",IF($F725="","未选收票/收款方",IF(ISNA(MATCH($F725,单位档案!$A$6:$A$35,0)),"收款方不在单位档案",IF(NOT(ISNUMBER($H725)),"金额须为数字",IF(AND($D725="销项开票",$N725="—"),"链条待确认","√")))))))))))</f>
        <v/>
      </c>
      <c r="M725" s="34" t="str">
        <f aca="false">IF($C725="","",IFERROR(INDEX(项目档案!$B$6:$B$255,MATCH($C725,项目档案!$A$6:$A$255,0)),"⚠项目编号不存在"))</f>
        <v/>
      </c>
      <c r="N725" s="35" t="str">
        <f aca="false">IF($E725="","",IF($E725=IFERROR(INDEX(项目档案!$D$6:$D$255,MATCH($C725,项目档案!$A$6:$A$255,0)),""),"一级",IF($E725=IFERROR(INDEX(项目档案!$F$6:$F$255,MATCH($C725,项目档案!$A$6:$A$255,0)),""),"二级",IF($E725=IFERROR(INDEX(项目档案!$H$6:$H$255,MATCH($C725,项目档案!$A$6:$A$255,0)),""),"我方","—"))))</f>
        <v/>
      </c>
      <c r="O725" s="36" t="n">
        <f aca="false">IF($D725&lt;&gt;"销项开票",0,ROUND(N($H725)*N($I725),2))</f>
        <v>0</v>
      </c>
      <c r="P725" s="36" t="n">
        <f aca="false">IF($D725&lt;&gt;"销项开票",0,ROUND(N($H725)-$O725,2))</f>
        <v>0</v>
      </c>
      <c r="Q725" s="37" t="str">
        <f aca="false">IF($E725="","",N(IFERROR(INDEX(单位档案!$E$6:$E$35,MATCH($E725,单位档案!$A$6:$A$35,0)),"")))</f>
        <v/>
      </c>
      <c r="R725" s="37" t="str">
        <f aca="false">IF($E725="","",N(IFERROR(INDEX(单位档案!$F$6:$F$35,MATCH($E725,单位档案!$A$6:$A$35,0)),"")))</f>
        <v/>
      </c>
      <c r="S725" s="36" t="n">
        <f aca="false">IF(OR($D725&lt;&gt;"销项开票",IFERROR(INDEX(单位档案!$G$6:$G$35,MATCH($E725,单位档案!$A$6:$A$35,0)),"")&lt;&gt;"是",N($Q725)=0),0,IF(IFERROR(INDEX(单位档案!$H$6:$H$35,MATCH($E725,单位档案!$A$6:$A$35,0)),"")="税差法",ROUND(N($H725)/(1+$Q725)*$Q725-IF(N($R725)=0,0,$P725/(1+$R725)*$R725),2),ROUND(N($H725)/(1+$Q725)*$Q725,2)))</f>
        <v>0</v>
      </c>
      <c r="T725" s="36" t="n">
        <f aca="false">ROUND($S725*N(IFERROR(INDEX(单位档案!$J$6:$J$35,MATCH($E725,单位档案!$A$6:$A$35,0)),"")),2)</f>
        <v>0</v>
      </c>
      <c r="U725" s="36" t="n">
        <f aca="false">IF($D725&lt;&gt;"销项开票",0,ROUND(N($H725)*N(IFERROR(INDEX(单位档案!$K$6:$K$35,MATCH($E725,单位档案!$A$6:$A$35,0)),"")),2))</f>
        <v>0</v>
      </c>
      <c r="V725" s="36" t="n">
        <f aca="false">IF(OR($D725&lt;&gt;"销项开票",N($Q725)=0),0,ROUND(N($H725)/(1+$Q725)*N(IFERROR(INDEX(单位档案!$L$6:$L$35,MATCH($E725,单位档案!$A$6:$A$35,0)),"")),2))</f>
        <v>0</v>
      </c>
      <c r="W725" s="36" t="n">
        <f aca="false">ROUND($S725+$T725+$U725+$V725,2)</f>
        <v>0</v>
      </c>
      <c r="X725" s="35" t="str">
        <f aca="false">IF(OR($D725="挂靠代收",$D725="我方收款"),COUNTIFS($D$5:$D725,"挂靠代收")+COUNTIFS($D$5:$D725,"我方收款"),"")</f>
        <v/>
      </c>
      <c r="Y725" s="35"/>
      <c r="Z725" s="21" t="s">
        <v>111</v>
      </c>
    </row>
    <row r="726" customFormat="false" ht="15.75" hidden="false" customHeight="true" outlineLevel="0" collapsed="false">
      <c r="A726" s="32" t="str">
        <f aca="false">IF($B726="","",ROW()-4)</f>
        <v/>
      </c>
      <c r="B726" s="26"/>
      <c r="C726" s="24"/>
      <c r="D726" s="21"/>
      <c r="E726" s="21"/>
      <c r="F726" s="21"/>
      <c r="G726" s="21"/>
      <c r="H726" s="27"/>
      <c r="I726" s="23" t="str">
        <f aca="false">IF($D726&lt;&gt;"销项开票","",IF($N726="一级",IF(IFERROR(INDEX(项目档案!$E$6:$E$255,MATCH($C726,项目档案!$A$6:$A$255,0)),"")="",N(IFERROR(INDEX(单位档案!$D$6:$D$35,MATCH($E726,单位档案!$A$6:$A$35,0)),"")),IFERROR(INDEX(项目档案!$E$6:$E$255,MATCH($C726,项目档案!$A$6:$A$255,0)),"")),IF($N726="二级",IF(IFERROR(INDEX(项目档案!$G$6:$G$255,MATCH($C726,项目档案!$A$6:$A$255,0)),"")="",N(IFERROR(INDEX(单位档案!$D$6:$D$35,MATCH($E726,单位档案!$A$6:$A$35,0)),"")),IFERROR(INDEX(项目档案!$G$6:$G$255,MATCH($C726,项目档案!$A$6:$A$255,0)),"")),N(IFERROR(INDEX(单位档案!$D$6:$D$35,MATCH($E726,单位档案!$A$6:$A$35,0)),"")))))</f>
        <v/>
      </c>
      <c r="J726" s="22"/>
      <c r="K726" s="22"/>
      <c r="L726" s="33" t="str">
        <f aca="false">IF($B726="","",IF(NOT(ISNUMBER($B726)),"日期格式不对",IF($C726="","未选项目编号",IF(LEFT($M726,1)="⚠","项目编号不存在",IF($D726="","未选业务类型",IF($E726="","未选开票/付款方",IF(ISNA(MATCH($E726,单位档案!$A$6:$A$35,0)),"开票方不在单位档案",IF($F726="","未选收票/收款方",IF(ISNA(MATCH($F726,单位档案!$A$6:$A$35,0)),"收款方不在单位档案",IF(NOT(ISNUMBER($H726)),"金额须为数字",IF(AND($D726="销项开票",$N726="—"),"链条待确认","√")))))))))))</f>
        <v/>
      </c>
      <c r="M726" s="34" t="str">
        <f aca="false">IF($C726="","",IFERROR(INDEX(项目档案!$B$6:$B$255,MATCH($C726,项目档案!$A$6:$A$255,0)),"⚠项目编号不存在"))</f>
        <v/>
      </c>
      <c r="N726" s="35" t="str">
        <f aca="false">IF($E726="","",IF($E726=IFERROR(INDEX(项目档案!$D$6:$D$255,MATCH($C726,项目档案!$A$6:$A$255,0)),""),"一级",IF($E726=IFERROR(INDEX(项目档案!$F$6:$F$255,MATCH($C726,项目档案!$A$6:$A$255,0)),""),"二级",IF($E726=IFERROR(INDEX(项目档案!$H$6:$H$255,MATCH($C726,项目档案!$A$6:$A$255,0)),""),"我方","—"))))</f>
        <v/>
      </c>
      <c r="O726" s="36" t="n">
        <f aca="false">IF($D726&lt;&gt;"销项开票",0,ROUND(N($H726)*N($I726),2))</f>
        <v>0</v>
      </c>
      <c r="P726" s="36" t="n">
        <f aca="false">IF($D726&lt;&gt;"销项开票",0,ROUND(N($H726)-$O726,2))</f>
        <v>0</v>
      </c>
      <c r="Q726" s="37" t="str">
        <f aca="false">IF($E726="","",N(IFERROR(INDEX(单位档案!$E$6:$E$35,MATCH($E726,单位档案!$A$6:$A$35,0)),"")))</f>
        <v/>
      </c>
      <c r="R726" s="37" t="str">
        <f aca="false">IF($E726="","",N(IFERROR(INDEX(单位档案!$F$6:$F$35,MATCH($E726,单位档案!$A$6:$A$35,0)),"")))</f>
        <v/>
      </c>
      <c r="S726" s="36" t="n">
        <f aca="false">IF(OR($D726&lt;&gt;"销项开票",IFERROR(INDEX(单位档案!$G$6:$G$35,MATCH($E726,单位档案!$A$6:$A$35,0)),"")&lt;&gt;"是",N($Q726)=0),0,IF(IFERROR(INDEX(单位档案!$H$6:$H$35,MATCH($E726,单位档案!$A$6:$A$35,0)),"")="税差法",ROUND(N($H726)/(1+$Q726)*$Q726-IF(N($R726)=0,0,$P726/(1+$R726)*$R726),2),ROUND(N($H726)/(1+$Q726)*$Q726,2)))</f>
        <v>0</v>
      </c>
      <c r="T726" s="36" t="n">
        <f aca="false">ROUND($S726*N(IFERROR(INDEX(单位档案!$J$6:$J$35,MATCH($E726,单位档案!$A$6:$A$35,0)),"")),2)</f>
        <v>0</v>
      </c>
      <c r="U726" s="36" t="n">
        <f aca="false">IF($D726&lt;&gt;"销项开票",0,ROUND(N($H726)*N(IFERROR(INDEX(单位档案!$K$6:$K$35,MATCH($E726,单位档案!$A$6:$A$35,0)),"")),2))</f>
        <v>0</v>
      </c>
      <c r="V726" s="36" t="n">
        <f aca="false">IF(OR($D726&lt;&gt;"销项开票",N($Q726)=0),0,ROUND(N($H726)/(1+$Q726)*N(IFERROR(INDEX(单位档案!$L$6:$L$35,MATCH($E726,单位档案!$A$6:$A$35,0)),"")),2))</f>
        <v>0</v>
      </c>
      <c r="W726" s="36" t="n">
        <f aca="false">ROUND($S726+$T726+$U726+$V726,2)</f>
        <v>0</v>
      </c>
      <c r="X726" s="35" t="str">
        <f aca="false">IF(OR($D726="挂靠代收",$D726="我方收款"),COUNTIFS($D$5:$D726,"挂靠代收")+COUNTIFS($D$5:$D726,"我方收款"),"")</f>
        <v/>
      </c>
      <c r="Y726" s="35"/>
      <c r="Z726" s="21" t="s">
        <v>111</v>
      </c>
    </row>
    <row r="727" customFormat="false" ht="15.75" hidden="false" customHeight="true" outlineLevel="0" collapsed="false">
      <c r="A727" s="32" t="str">
        <f aca="false">IF($B727="","",ROW()-4)</f>
        <v/>
      </c>
      <c r="B727" s="26"/>
      <c r="C727" s="24"/>
      <c r="D727" s="21"/>
      <c r="E727" s="21"/>
      <c r="F727" s="21"/>
      <c r="G727" s="21"/>
      <c r="H727" s="27"/>
      <c r="I727" s="23" t="str">
        <f aca="false">IF($D727&lt;&gt;"销项开票","",IF($N727="一级",IF(IFERROR(INDEX(项目档案!$E$6:$E$255,MATCH($C727,项目档案!$A$6:$A$255,0)),"")="",N(IFERROR(INDEX(单位档案!$D$6:$D$35,MATCH($E727,单位档案!$A$6:$A$35,0)),"")),IFERROR(INDEX(项目档案!$E$6:$E$255,MATCH($C727,项目档案!$A$6:$A$255,0)),"")),IF($N727="二级",IF(IFERROR(INDEX(项目档案!$G$6:$G$255,MATCH($C727,项目档案!$A$6:$A$255,0)),"")="",N(IFERROR(INDEX(单位档案!$D$6:$D$35,MATCH($E727,单位档案!$A$6:$A$35,0)),"")),IFERROR(INDEX(项目档案!$G$6:$G$255,MATCH($C727,项目档案!$A$6:$A$255,0)),"")),N(IFERROR(INDEX(单位档案!$D$6:$D$35,MATCH($E727,单位档案!$A$6:$A$35,0)),"")))))</f>
        <v/>
      </c>
      <c r="J727" s="22"/>
      <c r="K727" s="22"/>
      <c r="L727" s="33" t="str">
        <f aca="false">IF($B727="","",IF(NOT(ISNUMBER($B727)),"日期格式不对",IF($C727="","未选项目编号",IF(LEFT($M727,1)="⚠","项目编号不存在",IF($D727="","未选业务类型",IF($E727="","未选开票/付款方",IF(ISNA(MATCH($E727,单位档案!$A$6:$A$35,0)),"开票方不在单位档案",IF($F727="","未选收票/收款方",IF(ISNA(MATCH($F727,单位档案!$A$6:$A$35,0)),"收款方不在单位档案",IF(NOT(ISNUMBER($H727)),"金额须为数字",IF(AND($D727="销项开票",$N727="—"),"链条待确认","√")))))))))))</f>
        <v/>
      </c>
      <c r="M727" s="34" t="str">
        <f aca="false">IF($C727="","",IFERROR(INDEX(项目档案!$B$6:$B$255,MATCH($C727,项目档案!$A$6:$A$255,0)),"⚠项目编号不存在"))</f>
        <v/>
      </c>
      <c r="N727" s="35" t="str">
        <f aca="false">IF($E727="","",IF($E727=IFERROR(INDEX(项目档案!$D$6:$D$255,MATCH($C727,项目档案!$A$6:$A$255,0)),""),"一级",IF($E727=IFERROR(INDEX(项目档案!$F$6:$F$255,MATCH($C727,项目档案!$A$6:$A$255,0)),""),"二级",IF($E727=IFERROR(INDEX(项目档案!$H$6:$H$255,MATCH($C727,项目档案!$A$6:$A$255,0)),""),"我方","—"))))</f>
        <v/>
      </c>
      <c r="O727" s="36" t="n">
        <f aca="false">IF($D727&lt;&gt;"销项开票",0,ROUND(N($H727)*N($I727),2))</f>
        <v>0</v>
      </c>
      <c r="P727" s="36" t="n">
        <f aca="false">IF($D727&lt;&gt;"销项开票",0,ROUND(N($H727)-$O727,2))</f>
        <v>0</v>
      </c>
      <c r="Q727" s="37" t="str">
        <f aca="false">IF($E727="","",N(IFERROR(INDEX(单位档案!$E$6:$E$35,MATCH($E727,单位档案!$A$6:$A$35,0)),"")))</f>
        <v/>
      </c>
      <c r="R727" s="37" t="str">
        <f aca="false">IF($E727="","",N(IFERROR(INDEX(单位档案!$F$6:$F$35,MATCH($E727,单位档案!$A$6:$A$35,0)),"")))</f>
        <v/>
      </c>
      <c r="S727" s="36" t="n">
        <f aca="false">IF(OR($D727&lt;&gt;"销项开票",IFERROR(INDEX(单位档案!$G$6:$G$35,MATCH($E727,单位档案!$A$6:$A$35,0)),"")&lt;&gt;"是",N($Q727)=0),0,IF(IFERROR(INDEX(单位档案!$H$6:$H$35,MATCH($E727,单位档案!$A$6:$A$35,0)),"")="税差法",ROUND(N($H727)/(1+$Q727)*$Q727-IF(N($R727)=0,0,$P727/(1+$R727)*$R727),2),ROUND(N($H727)/(1+$Q727)*$Q727,2)))</f>
        <v>0</v>
      </c>
      <c r="T727" s="36" t="n">
        <f aca="false">ROUND($S727*N(IFERROR(INDEX(单位档案!$J$6:$J$35,MATCH($E727,单位档案!$A$6:$A$35,0)),"")),2)</f>
        <v>0</v>
      </c>
      <c r="U727" s="36" t="n">
        <f aca="false">IF($D727&lt;&gt;"销项开票",0,ROUND(N($H727)*N(IFERROR(INDEX(单位档案!$K$6:$K$35,MATCH($E727,单位档案!$A$6:$A$35,0)),"")),2))</f>
        <v>0</v>
      </c>
      <c r="V727" s="36" t="n">
        <f aca="false">IF(OR($D727&lt;&gt;"销项开票",N($Q727)=0),0,ROUND(N($H727)/(1+$Q727)*N(IFERROR(INDEX(单位档案!$L$6:$L$35,MATCH($E727,单位档案!$A$6:$A$35,0)),"")),2))</f>
        <v>0</v>
      </c>
      <c r="W727" s="36" t="n">
        <f aca="false">ROUND($S727+$T727+$U727+$V727,2)</f>
        <v>0</v>
      </c>
      <c r="X727" s="35" t="str">
        <f aca="false">IF(OR($D727="挂靠代收",$D727="我方收款"),COUNTIFS($D$5:$D727,"挂靠代收")+COUNTIFS($D$5:$D727,"我方收款"),"")</f>
        <v/>
      </c>
      <c r="Y727" s="35"/>
      <c r="Z727" s="21" t="s">
        <v>111</v>
      </c>
    </row>
    <row r="728" customFormat="false" ht="15.75" hidden="false" customHeight="true" outlineLevel="0" collapsed="false">
      <c r="A728" s="32" t="str">
        <f aca="false">IF($B728="","",ROW()-4)</f>
        <v/>
      </c>
      <c r="B728" s="26"/>
      <c r="C728" s="24"/>
      <c r="D728" s="21"/>
      <c r="E728" s="21"/>
      <c r="F728" s="21"/>
      <c r="G728" s="21"/>
      <c r="H728" s="27"/>
      <c r="I728" s="23" t="str">
        <f aca="false">IF($D728&lt;&gt;"销项开票","",IF($N728="一级",IF(IFERROR(INDEX(项目档案!$E$6:$E$255,MATCH($C728,项目档案!$A$6:$A$255,0)),"")="",N(IFERROR(INDEX(单位档案!$D$6:$D$35,MATCH($E728,单位档案!$A$6:$A$35,0)),"")),IFERROR(INDEX(项目档案!$E$6:$E$255,MATCH($C728,项目档案!$A$6:$A$255,0)),"")),IF($N728="二级",IF(IFERROR(INDEX(项目档案!$G$6:$G$255,MATCH($C728,项目档案!$A$6:$A$255,0)),"")="",N(IFERROR(INDEX(单位档案!$D$6:$D$35,MATCH($E728,单位档案!$A$6:$A$35,0)),"")),IFERROR(INDEX(项目档案!$G$6:$G$255,MATCH($C728,项目档案!$A$6:$A$255,0)),"")),N(IFERROR(INDEX(单位档案!$D$6:$D$35,MATCH($E728,单位档案!$A$6:$A$35,0)),"")))))</f>
        <v/>
      </c>
      <c r="J728" s="22"/>
      <c r="K728" s="22"/>
      <c r="L728" s="33" t="str">
        <f aca="false">IF($B728="","",IF(NOT(ISNUMBER($B728)),"日期格式不对",IF($C728="","未选项目编号",IF(LEFT($M728,1)="⚠","项目编号不存在",IF($D728="","未选业务类型",IF($E728="","未选开票/付款方",IF(ISNA(MATCH($E728,单位档案!$A$6:$A$35,0)),"开票方不在单位档案",IF($F728="","未选收票/收款方",IF(ISNA(MATCH($F728,单位档案!$A$6:$A$35,0)),"收款方不在单位档案",IF(NOT(ISNUMBER($H728)),"金额须为数字",IF(AND($D728="销项开票",$N728="—"),"链条待确认","√")))))))))))</f>
        <v/>
      </c>
      <c r="M728" s="34" t="str">
        <f aca="false">IF($C728="","",IFERROR(INDEX(项目档案!$B$6:$B$255,MATCH($C728,项目档案!$A$6:$A$255,0)),"⚠项目编号不存在"))</f>
        <v/>
      </c>
      <c r="N728" s="35" t="str">
        <f aca="false">IF($E728="","",IF($E728=IFERROR(INDEX(项目档案!$D$6:$D$255,MATCH($C728,项目档案!$A$6:$A$255,0)),""),"一级",IF($E728=IFERROR(INDEX(项目档案!$F$6:$F$255,MATCH($C728,项目档案!$A$6:$A$255,0)),""),"二级",IF($E728=IFERROR(INDEX(项目档案!$H$6:$H$255,MATCH($C728,项目档案!$A$6:$A$255,0)),""),"我方","—"))))</f>
        <v/>
      </c>
      <c r="O728" s="36" t="n">
        <f aca="false">IF($D728&lt;&gt;"销项开票",0,ROUND(N($H728)*N($I728),2))</f>
        <v>0</v>
      </c>
      <c r="P728" s="36" t="n">
        <f aca="false">IF($D728&lt;&gt;"销项开票",0,ROUND(N($H728)-$O728,2))</f>
        <v>0</v>
      </c>
      <c r="Q728" s="37" t="str">
        <f aca="false">IF($E728="","",N(IFERROR(INDEX(单位档案!$E$6:$E$35,MATCH($E728,单位档案!$A$6:$A$35,0)),"")))</f>
        <v/>
      </c>
      <c r="R728" s="37" t="str">
        <f aca="false">IF($E728="","",N(IFERROR(INDEX(单位档案!$F$6:$F$35,MATCH($E728,单位档案!$A$6:$A$35,0)),"")))</f>
        <v/>
      </c>
      <c r="S728" s="36" t="n">
        <f aca="false">IF(OR($D728&lt;&gt;"销项开票",IFERROR(INDEX(单位档案!$G$6:$G$35,MATCH($E728,单位档案!$A$6:$A$35,0)),"")&lt;&gt;"是",N($Q728)=0),0,IF(IFERROR(INDEX(单位档案!$H$6:$H$35,MATCH($E728,单位档案!$A$6:$A$35,0)),"")="税差法",ROUND(N($H728)/(1+$Q728)*$Q728-IF(N($R728)=0,0,$P728/(1+$R728)*$R728),2),ROUND(N($H728)/(1+$Q728)*$Q728,2)))</f>
        <v>0</v>
      </c>
      <c r="T728" s="36" t="n">
        <f aca="false">ROUND($S728*N(IFERROR(INDEX(单位档案!$J$6:$J$35,MATCH($E728,单位档案!$A$6:$A$35,0)),"")),2)</f>
        <v>0</v>
      </c>
      <c r="U728" s="36" t="n">
        <f aca="false">IF($D728&lt;&gt;"销项开票",0,ROUND(N($H728)*N(IFERROR(INDEX(单位档案!$K$6:$K$35,MATCH($E728,单位档案!$A$6:$A$35,0)),"")),2))</f>
        <v>0</v>
      </c>
      <c r="V728" s="36" t="n">
        <f aca="false">IF(OR($D728&lt;&gt;"销项开票",N($Q728)=0),0,ROUND(N($H728)/(1+$Q728)*N(IFERROR(INDEX(单位档案!$L$6:$L$35,MATCH($E728,单位档案!$A$6:$A$35,0)),"")),2))</f>
        <v>0</v>
      </c>
      <c r="W728" s="36" t="n">
        <f aca="false">ROUND($S728+$T728+$U728+$V728,2)</f>
        <v>0</v>
      </c>
      <c r="X728" s="35" t="str">
        <f aca="false">IF(OR($D728="挂靠代收",$D728="我方收款"),COUNTIFS($D$5:$D728,"挂靠代收")+COUNTIFS($D$5:$D728,"我方收款"),"")</f>
        <v/>
      </c>
      <c r="Y728" s="35"/>
      <c r="Z728" s="21" t="s">
        <v>111</v>
      </c>
    </row>
    <row r="729" customFormat="false" ht="15.75" hidden="false" customHeight="true" outlineLevel="0" collapsed="false">
      <c r="A729" s="32" t="str">
        <f aca="false">IF($B729="","",ROW()-4)</f>
        <v/>
      </c>
      <c r="B729" s="26"/>
      <c r="C729" s="24"/>
      <c r="D729" s="21"/>
      <c r="E729" s="21"/>
      <c r="F729" s="21"/>
      <c r="G729" s="21"/>
      <c r="H729" s="27"/>
      <c r="I729" s="23" t="str">
        <f aca="false">IF($D729&lt;&gt;"销项开票","",IF($N729="一级",IF(IFERROR(INDEX(项目档案!$E$6:$E$255,MATCH($C729,项目档案!$A$6:$A$255,0)),"")="",N(IFERROR(INDEX(单位档案!$D$6:$D$35,MATCH($E729,单位档案!$A$6:$A$35,0)),"")),IFERROR(INDEX(项目档案!$E$6:$E$255,MATCH($C729,项目档案!$A$6:$A$255,0)),"")),IF($N729="二级",IF(IFERROR(INDEX(项目档案!$G$6:$G$255,MATCH($C729,项目档案!$A$6:$A$255,0)),"")="",N(IFERROR(INDEX(单位档案!$D$6:$D$35,MATCH($E729,单位档案!$A$6:$A$35,0)),"")),IFERROR(INDEX(项目档案!$G$6:$G$255,MATCH($C729,项目档案!$A$6:$A$255,0)),"")),N(IFERROR(INDEX(单位档案!$D$6:$D$35,MATCH($E729,单位档案!$A$6:$A$35,0)),"")))))</f>
        <v/>
      </c>
      <c r="J729" s="22"/>
      <c r="K729" s="22"/>
      <c r="L729" s="33" t="str">
        <f aca="false">IF($B729="","",IF(NOT(ISNUMBER($B729)),"日期格式不对",IF($C729="","未选项目编号",IF(LEFT($M729,1)="⚠","项目编号不存在",IF($D729="","未选业务类型",IF($E729="","未选开票/付款方",IF(ISNA(MATCH($E729,单位档案!$A$6:$A$35,0)),"开票方不在单位档案",IF($F729="","未选收票/收款方",IF(ISNA(MATCH($F729,单位档案!$A$6:$A$35,0)),"收款方不在单位档案",IF(NOT(ISNUMBER($H729)),"金额须为数字",IF(AND($D729="销项开票",$N729="—"),"链条待确认","√")))))))))))</f>
        <v/>
      </c>
      <c r="M729" s="34" t="str">
        <f aca="false">IF($C729="","",IFERROR(INDEX(项目档案!$B$6:$B$255,MATCH($C729,项目档案!$A$6:$A$255,0)),"⚠项目编号不存在"))</f>
        <v/>
      </c>
      <c r="N729" s="35" t="str">
        <f aca="false">IF($E729="","",IF($E729=IFERROR(INDEX(项目档案!$D$6:$D$255,MATCH($C729,项目档案!$A$6:$A$255,0)),""),"一级",IF($E729=IFERROR(INDEX(项目档案!$F$6:$F$255,MATCH($C729,项目档案!$A$6:$A$255,0)),""),"二级",IF($E729=IFERROR(INDEX(项目档案!$H$6:$H$255,MATCH($C729,项目档案!$A$6:$A$255,0)),""),"我方","—"))))</f>
        <v/>
      </c>
      <c r="O729" s="36" t="n">
        <f aca="false">IF($D729&lt;&gt;"销项开票",0,ROUND(N($H729)*N($I729),2))</f>
        <v>0</v>
      </c>
      <c r="P729" s="36" t="n">
        <f aca="false">IF($D729&lt;&gt;"销项开票",0,ROUND(N($H729)-$O729,2))</f>
        <v>0</v>
      </c>
      <c r="Q729" s="37" t="str">
        <f aca="false">IF($E729="","",N(IFERROR(INDEX(单位档案!$E$6:$E$35,MATCH($E729,单位档案!$A$6:$A$35,0)),"")))</f>
        <v/>
      </c>
      <c r="R729" s="37" t="str">
        <f aca="false">IF($E729="","",N(IFERROR(INDEX(单位档案!$F$6:$F$35,MATCH($E729,单位档案!$A$6:$A$35,0)),"")))</f>
        <v/>
      </c>
      <c r="S729" s="36" t="n">
        <f aca="false">IF(OR($D729&lt;&gt;"销项开票",IFERROR(INDEX(单位档案!$G$6:$G$35,MATCH($E729,单位档案!$A$6:$A$35,0)),"")&lt;&gt;"是",N($Q729)=0),0,IF(IFERROR(INDEX(单位档案!$H$6:$H$35,MATCH($E729,单位档案!$A$6:$A$35,0)),"")="税差法",ROUND(N($H729)/(1+$Q729)*$Q729-IF(N($R729)=0,0,$P729/(1+$R729)*$R729),2),ROUND(N($H729)/(1+$Q729)*$Q729,2)))</f>
        <v>0</v>
      </c>
      <c r="T729" s="36" t="n">
        <f aca="false">ROUND($S729*N(IFERROR(INDEX(单位档案!$J$6:$J$35,MATCH($E729,单位档案!$A$6:$A$35,0)),"")),2)</f>
        <v>0</v>
      </c>
      <c r="U729" s="36" t="n">
        <f aca="false">IF($D729&lt;&gt;"销项开票",0,ROUND(N($H729)*N(IFERROR(INDEX(单位档案!$K$6:$K$35,MATCH($E729,单位档案!$A$6:$A$35,0)),"")),2))</f>
        <v>0</v>
      </c>
      <c r="V729" s="36" t="n">
        <f aca="false">IF(OR($D729&lt;&gt;"销项开票",N($Q729)=0),0,ROUND(N($H729)/(1+$Q729)*N(IFERROR(INDEX(单位档案!$L$6:$L$35,MATCH($E729,单位档案!$A$6:$A$35,0)),"")),2))</f>
        <v>0</v>
      </c>
      <c r="W729" s="36" t="n">
        <f aca="false">ROUND($S729+$T729+$U729+$V729,2)</f>
        <v>0</v>
      </c>
      <c r="X729" s="35" t="str">
        <f aca="false">IF(OR($D729="挂靠代收",$D729="我方收款"),COUNTIFS($D$5:$D729,"挂靠代收")+COUNTIFS($D$5:$D729,"我方收款"),"")</f>
        <v/>
      </c>
      <c r="Y729" s="35"/>
      <c r="Z729" s="21" t="s">
        <v>111</v>
      </c>
    </row>
    <row r="730" customFormat="false" ht="15.75" hidden="false" customHeight="true" outlineLevel="0" collapsed="false">
      <c r="A730" s="32" t="str">
        <f aca="false">IF($B730="","",ROW()-4)</f>
        <v/>
      </c>
      <c r="B730" s="26"/>
      <c r="C730" s="24"/>
      <c r="D730" s="21"/>
      <c r="E730" s="21"/>
      <c r="F730" s="21"/>
      <c r="G730" s="21"/>
      <c r="H730" s="27"/>
      <c r="I730" s="23" t="str">
        <f aca="false">IF($D730&lt;&gt;"销项开票","",IF($N730="一级",IF(IFERROR(INDEX(项目档案!$E$6:$E$255,MATCH($C730,项目档案!$A$6:$A$255,0)),"")="",N(IFERROR(INDEX(单位档案!$D$6:$D$35,MATCH($E730,单位档案!$A$6:$A$35,0)),"")),IFERROR(INDEX(项目档案!$E$6:$E$255,MATCH($C730,项目档案!$A$6:$A$255,0)),"")),IF($N730="二级",IF(IFERROR(INDEX(项目档案!$G$6:$G$255,MATCH($C730,项目档案!$A$6:$A$255,0)),"")="",N(IFERROR(INDEX(单位档案!$D$6:$D$35,MATCH($E730,单位档案!$A$6:$A$35,0)),"")),IFERROR(INDEX(项目档案!$G$6:$G$255,MATCH($C730,项目档案!$A$6:$A$255,0)),"")),N(IFERROR(INDEX(单位档案!$D$6:$D$35,MATCH($E730,单位档案!$A$6:$A$35,0)),"")))))</f>
        <v/>
      </c>
      <c r="J730" s="22"/>
      <c r="K730" s="22"/>
      <c r="L730" s="33" t="str">
        <f aca="false">IF($B730="","",IF(NOT(ISNUMBER($B730)),"日期格式不对",IF($C730="","未选项目编号",IF(LEFT($M730,1)="⚠","项目编号不存在",IF($D730="","未选业务类型",IF($E730="","未选开票/付款方",IF(ISNA(MATCH($E730,单位档案!$A$6:$A$35,0)),"开票方不在单位档案",IF($F730="","未选收票/收款方",IF(ISNA(MATCH($F730,单位档案!$A$6:$A$35,0)),"收款方不在单位档案",IF(NOT(ISNUMBER($H730)),"金额须为数字",IF(AND($D730="销项开票",$N730="—"),"链条待确认","√")))))))))))</f>
        <v/>
      </c>
      <c r="M730" s="34" t="str">
        <f aca="false">IF($C730="","",IFERROR(INDEX(项目档案!$B$6:$B$255,MATCH($C730,项目档案!$A$6:$A$255,0)),"⚠项目编号不存在"))</f>
        <v/>
      </c>
      <c r="N730" s="35" t="str">
        <f aca="false">IF($E730="","",IF($E730=IFERROR(INDEX(项目档案!$D$6:$D$255,MATCH($C730,项目档案!$A$6:$A$255,0)),""),"一级",IF($E730=IFERROR(INDEX(项目档案!$F$6:$F$255,MATCH($C730,项目档案!$A$6:$A$255,0)),""),"二级",IF($E730=IFERROR(INDEX(项目档案!$H$6:$H$255,MATCH($C730,项目档案!$A$6:$A$255,0)),""),"我方","—"))))</f>
        <v/>
      </c>
      <c r="O730" s="36" t="n">
        <f aca="false">IF($D730&lt;&gt;"销项开票",0,ROUND(N($H730)*N($I730),2))</f>
        <v>0</v>
      </c>
      <c r="P730" s="36" t="n">
        <f aca="false">IF($D730&lt;&gt;"销项开票",0,ROUND(N($H730)-$O730,2))</f>
        <v>0</v>
      </c>
      <c r="Q730" s="37" t="str">
        <f aca="false">IF($E730="","",N(IFERROR(INDEX(单位档案!$E$6:$E$35,MATCH($E730,单位档案!$A$6:$A$35,0)),"")))</f>
        <v/>
      </c>
      <c r="R730" s="37" t="str">
        <f aca="false">IF($E730="","",N(IFERROR(INDEX(单位档案!$F$6:$F$35,MATCH($E730,单位档案!$A$6:$A$35,0)),"")))</f>
        <v/>
      </c>
      <c r="S730" s="36" t="n">
        <f aca="false">IF(OR($D730&lt;&gt;"销项开票",IFERROR(INDEX(单位档案!$G$6:$G$35,MATCH($E730,单位档案!$A$6:$A$35,0)),"")&lt;&gt;"是",N($Q730)=0),0,IF(IFERROR(INDEX(单位档案!$H$6:$H$35,MATCH($E730,单位档案!$A$6:$A$35,0)),"")="税差法",ROUND(N($H730)/(1+$Q730)*$Q730-IF(N($R730)=0,0,$P730/(1+$R730)*$R730),2),ROUND(N($H730)/(1+$Q730)*$Q730,2)))</f>
        <v>0</v>
      </c>
      <c r="T730" s="36" t="n">
        <f aca="false">ROUND($S730*N(IFERROR(INDEX(单位档案!$J$6:$J$35,MATCH($E730,单位档案!$A$6:$A$35,0)),"")),2)</f>
        <v>0</v>
      </c>
      <c r="U730" s="36" t="n">
        <f aca="false">IF($D730&lt;&gt;"销项开票",0,ROUND(N($H730)*N(IFERROR(INDEX(单位档案!$K$6:$K$35,MATCH($E730,单位档案!$A$6:$A$35,0)),"")),2))</f>
        <v>0</v>
      </c>
      <c r="V730" s="36" t="n">
        <f aca="false">IF(OR($D730&lt;&gt;"销项开票",N($Q730)=0),0,ROUND(N($H730)/(1+$Q730)*N(IFERROR(INDEX(单位档案!$L$6:$L$35,MATCH($E730,单位档案!$A$6:$A$35,0)),"")),2))</f>
        <v>0</v>
      </c>
      <c r="W730" s="36" t="n">
        <f aca="false">ROUND($S730+$T730+$U730+$V730,2)</f>
        <v>0</v>
      </c>
      <c r="X730" s="35" t="str">
        <f aca="false">IF(OR($D730="挂靠代收",$D730="我方收款"),COUNTIFS($D$5:$D730,"挂靠代收")+COUNTIFS($D$5:$D730,"我方收款"),"")</f>
        <v/>
      </c>
      <c r="Y730" s="35"/>
      <c r="Z730" s="21" t="s">
        <v>111</v>
      </c>
    </row>
    <row r="731" customFormat="false" ht="15.75" hidden="false" customHeight="true" outlineLevel="0" collapsed="false">
      <c r="A731" s="32" t="str">
        <f aca="false">IF($B731="","",ROW()-4)</f>
        <v/>
      </c>
      <c r="B731" s="26"/>
      <c r="C731" s="24"/>
      <c r="D731" s="21"/>
      <c r="E731" s="21"/>
      <c r="F731" s="21"/>
      <c r="G731" s="21"/>
      <c r="H731" s="27"/>
      <c r="I731" s="23" t="str">
        <f aca="false">IF($D731&lt;&gt;"销项开票","",IF($N731="一级",IF(IFERROR(INDEX(项目档案!$E$6:$E$255,MATCH($C731,项目档案!$A$6:$A$255,0)),"")="",N(IFERROR(INDEX(单位档案!$D$6:$D$35,MATCH($E731,单位档案!$A$6:$A$35,0)),"")),IFERROR(INDEX(项目档案!$E$6:$E$255,MATCH($C731,项目档案!$A$6:$A$255,0)),"")),IF($N731="二级",IF(IFERROR(INDEX(项目档案!$G$6:$G$255,MATCH($C731,项目档案!$A$6:$A$255,0)),"")="",N(IFERROR(INDEX(单位档案!$D$6:$D$35,MATCH($E731,单位档案!$A$6:$A$35,0)),"")),IFERROR(INDEX(项目档案!$G$6:$G$255,MATCH($C731,项目档案!$A$6:$A$255,0)),"")),N(IFERROR(INDEX(单位档案!$D$6:$D$35,MATCH($E731,单位档案!$A$6:$A$35,0)),"")))))</f>
        <v/>
      </c>
      <c r="J731" s="22"/>
      <c r="K731" s="22"/>
      <c r="L731" s="33" t="str">
        <f aca="false">IF($B731="","",IF(NOT(ISNUMBER($B731)),"日期格式不对",IF($C731="","未选项目编号",IF(LEFT($M731,1)="⚠","项目编号不存在",IF($D731="","未选业务类型",IF($E731="","未选开票/付款方",IF(ISNA(MATCH($E731,单位档案!$A$6:$A$35,0)),"开票方不在单位档案",IF($F731="","未选收票/收款方",IF(ISNA(MATCH($F731,单位档案!$A$6:$A$35,0)),"收款方不在单位档案",IF(NOT(ISNUMBER($H731)),"金额须为数字",IF(AND($D731="销项开票",$N731="—"),"链条待确认","√")))))))))))</f>
        <v/>
      </c>
      <c r="M731" s="34" t="str">
        <f aca="false">IF($C731="","",IFERROR(INDEX(项目档案!$B$6:$B$255,MATCH($C731,项目档案!$A$6:$A$255,0)),"⚠项目编号不存在"))</f>
        <v/>
      </c>
      <c r="N731" s="35" t="str">
        <f aca="false">IF($E731="","",IF($E731=IFERROR(INDEX(项目档案!$D$6:$D$255,MATCH($C731,项目档案!$A$6:$A$255,0)),""),"一级",IF($E731=IFERROR(INDEX(项目档案!$F$6:$F$255,MATCH($C731,项目档案!$A$6:$A$255,0)),""),"二级",IF($E731=IFERROR(INDEX(项目档案!$H$6:$H$255,MATCH($C731,项目档案!$A$6:$A$255,0)),""),"我方","—"))))</f>
        <v/>
      </c>
      <c r="O731" s="36" t="n">
        <f aca="false">IF($D731&lt;&gt;"销项开票",0,ROUND(N($H731)*N($I731),2))</f>
        <v>0</v>
      </c>
      <c r="P731" s="36" t="n">
        <f aca="false">IF($D731&lt;&gt;"销项开票",0,ROUND(N($H731)-$O731,2))</f>
        <v>0</v>
      </c>
      <c r="Q731" s="37" t="str">
        <f aca="false">IF($E731="","",N(IFERROR(INDEX(单位档案!$E$6:$E$35,MATCH($E731,单位档案!$A$6:$A$35,0)),"")))</f>
        <v/>
      </c>
      <c r="R731" s="37" t="str">
        <f aca="false">IF($E731="","",N(IFERROR(INDEX(单位档案!$F$6:$F$35,MATCH($E731,单位档案!$A$6:$A$35,0)),"")))</f>
        <v/>
      </c>
      <c r="S731" s="36" t="n">
        <f aca="false">IF(OR($D731&lt;&gt;"销项开票",IFERROR(INDEX(单位档案!$G$6:$G$35,MATCH($E731,单位档案!$A$6:$A$35,0)),"")&lt;&gt;"是",N($Q731)=0),0,IF(IFERROR(INDEX(单位档案!$H$6:$H$35,MATCH($E731,单位档案!$A$6:$A$35,0)),"")="税差法",ROUND(N($H731)/(1+$Q731)*$Q731-IF(N($R731)=0,0,$P731/(1+$R731)*$R731),2),ROUND(N($H731)/(1+$Q731)*$Q731,2)))</f>
        <v>0</v>
      </c>
      <c r="T731" s="36" t="n">
        <f aca="false">ROUND($S731*N(IFERROR(INDEX(单位档案!$J$6:$J$35,MATCH($E731,单位档案!$A$6:$A$35,0)),"")),2)</f>
        <v>0</v>
      </c>
      <c r="U731" s="36" t="n">
        <f aca="false">IF($D731&lt;&gt;"销项开票",0,ROUND(N($H731)*N(IFERROR(INDEX(单位档案!$K$6:$K$35,MATCH($E731,单位档案!$A$6:$A$35,0)),"")),2))</f>
        <v>0</v>
      </c>
      <c r="V731" s="36" t="n">
        <f aca="false">IF(OR($D731&lt;&gt;"销项开票",N($Q731)=0),0,ROUND(N($H731)/(1+$Q731)*N(IFERROR(INDEX(单位档案!$L$6:$L$35,MATCH($E731,单位档案!$A$6:$A$35,0)),"")),2))</f>
        <v>0</v>
      </c>
      <c r="W731" s="36" t="n">
        <f aca="false">ROUND($S731+$T731+$U731+$V731,2)</f>
        <v>0</v>
      </c>
      <c r="X731" s="35" t="str">
        <f aca="false">IF(OR($D731="挂靠代收",$D731="我方收款"),COUNTIFS($D$5:$D731,"挂靠代收")+COUNTIFS($D$5:$D731,"我方收款"),"")</f>
        <v/>
      </c>
      <c r="Y731" s="35"/>
      <c r="Z731" s="21" t="s">
        <v>111</v>
      </c>
    </row>
    <row r="732" customFormat="false" ht="15.75" hidden="false" customHeight="true" outlineLevel="0" collapsed="false">
      <c r="A732" s="32" t="str">
        <f aca="false">IF($B732="","",ROW()-4)</f>
        <v/>
      </c>
      <c r="B732" s="26"/>
      <c r="C732" s="24"/>
      <c r="D732" s="21"/>
      <c r="E732" s="21"/>
      <c r="F732" s="21"/>
      <c r="G732" s="21"/>
      <c r="H732" s="27"/>
      <c r="I732" s="23" t="str">
        <f aca="false">IF($D732&lt;&gt;"销项开票","",IF($N732="一级",IF(IFERROR(INDEX(项目档案!$E$6:$E$255,MATCH($C732,项目档案!$A$6:$A$255,0)),"")="",N(IFERROR(INDEX(单位档案!$D$6:$D$35,MATCH($E732,单位档案!$A$6:$A$35,0)),"")),IFERROR(INDEX(项目档案!$E$6:$E$255,MATCH($C732,项目档案!$A$6:$A$255,0)),"")),IF($N732="二级",IF(IFERROR(INDEX(项目档案!$G$6:$G$255,MATCH($C732,项目档案!$A$6:$A$255,0)),"")="",N(IFERROR(INDEX(单位档案!$D$6:$D$35,MATCH($E732,单位档案!$A$6:$A$35,0)),"")),IFERROR(INDEX(项目档案!$G$6:$G$255,MATCH($C732,项目档案!$A$6:$A$255,0)),"")),N(IFERROR(INDEX(单位档案!$D$6:$D$35,MATCH($E732,单位档案!$A$6:$A$35,0)),"")))))</f>
        <v/>
      </c>
      <c r="J732" s="22"/>
      <c r="K732" s="22"/>
      <c r="L732" s="33" t="str">
        <f aca="false">IF($B732="","",IF(NOT(ISNUMBER($B732)),"日期格式不对",IF($C732="","未选项目编号",IF(LEFT($M732,1)="⚠","项目编号不存在",IF($D732="","未选业务类型",IF($E732="","未选开票/付款方",IF(ISNA(MATCH($E732,单位档案!$A$6:$A$35,0)),"开票方不在单位档案",IF($F732="","未选收票/收款方",IF(ISNA(MATCH($F732,单位档案!$A$6:$A$35,0)),"收款方不在单位档案",IF(NOT(ISNUMBER($H732)),"金额须为数字",IF(AND($D732="销项开票",$N732="—"),"链条待确认","√")))))))))))</f>
        <v/>
      </c>
      <c r="M732" s="34" t="str">
        <f aca="false">IF($C732="","",IFERROR(INDEX(项目档案!$B$6:$B$255,MATCH($C732,项目档案!$A$6:$A$255,0)),"⚠项目编号不存在"))</f>
        <v/>
      </c>
      <c r="N732" s="35" t="str">
        <f aca="false">IF($E732="","",IF($E732=IFERROR(INDEX(项目档案!$D$6:$D$255,MATCH($C732,项目档案!$A$6:$A$255,0)),""),"一级",IF($E732=IFERROR(INDEX(项目档案!$F$6:$F$255,MATCH($C732,项目档案!$A$6:$A$255,0)),""),"二级",IF($E732=IFERROR(INDEX(项目档案!$H$6:$H$255,MATCH($C732,项目档案!$A$6:$A$255,0)),""),"我方","—"))))</f>
        <v/>
      </c>
      <c r="O732" s="36" t="n">
        <f aca="false">IF($D732&lt;&gt;"销项开票",0,ROUND(N($H732)*N($I732),2))</f>
        <v>0</v>
      </c>
      <c r="P732" s="36" t="n">
        <f aca="false">IF($D732&lt;&gt;"销项开票",0,ROUND(N($H732)-$O732,2))</f>
        <v>0</v>
      </c>
      <c r="Q732" s="37" t="str">
        <f aca="false">IF($E732="","",N(IFERROR(INDEX(单位档案!$E$6:$E$35,MATCH($E732,单位档案!$A$6:$A$35,0)),"")))</f>
        <v/>
      </c>
      <c r="R732" s="37" t="str">
        <f aca="false">IF($E732="","",N(IFERROR(INDEX(单位档案!$F$6:$F$35,MATCH($E732,单位档案!$A$6:$A$35,0)),"")))</f>
        <v/>
      </c>
      <c r="S732" s="36" t="n">
        <f aca="false">IF(OR($D732&lt;&gt;"销项开票",IFERROR(INDEX(单位档案!$G$6:$G$35,MATCH($E732,单位档案!$A$6:$A$35,0)),"")&lt;&gt;"是",N($Q732)=0),0,IF(IFERROR(INDEX(单位档案!$H$6:$H$35,MATCH($E732,单位档案!$A$6:$A$35,0)),"")="税差法",ROUND(N($H732)/(1+$Q732)*$Q732-IF(N($R732)=0,0,$P732/(1+$R732)*$R732),2),ROUND(N($H732)/(1+$Q732)*$Q732,2)))</f>
        <v>0</v>
      </c>
      <c r="T732" s="36" t="n">
        <f aca="false">ROUND($S732*N(IFERROR(INDEX(单位档案!$J$6:$J$35,MATCH($E732,单位档案!$A$6:$A$35,0)),"")),2)</f>
        <v>0</v>
      </c>
      <c r="U732" s="36" t="n">
        <f aca="false">IF($D732&lt;&gt;"销项开票",0,ROUND(N($H732)*N(IFERROR(INDEX(单位档案!$K$6:$K$35,MATCH($E732,单位档案!$A$6:$A$35,0)),"")),2))</f>
        <v>0</v>
      </c>
      <c r="V732" s="36" t="n">
        <f aca="false">IF(OR($D732&lt;&gt;"销项开票",N($Q732)=0),0,ROUND(N($H732)/(1+$Q732)*N(IFERROR(INDEX(单位档案!$L$6:$L$35,MATCH($E732,单位档案!$A$6:$A$35,0)),"")),2))</f>
        <v>0</v>
      </c>
      <c r="W732" s="36" t="n">
        <f aca="false">ROUND($S732+$T732+$U732+$V732,2)</f>
        <v>0</v>
      </c>
      <c r="X732" s="35" t="str">
        <f aca="false">IF(OR($D732="挂靠代收",$D732="我方收款"),COUNTIFS($D$5:$D732,"挂靠代收")+COUNTIFS($D$5:$D732,"我方收款"),"")</f>
        <v/>
      </c>
      <c r="Y732" s="35"/>
      <c r="Z732" s="21" t="s">
        <v>111</v>
      </c>
    </row>
    <row r="733" customFormat="false" ht="15.75" hidden="false" customHeight="true" outlineLevel="0" collapsed="false">
      <c r="A733" s="32" t="str">
        <f aca="false">IF($B733="","",ROW()-4)</f>
        <v/>
      </c>
      <c r="B733" s="26"/>
      <c r="C733" s="24"/>
      <c r="D733" s="21"/>
      <c r="E733" s="21"/>
      <c r="F733" s="21"/>
      <c r="G733" s="21"/>
      <c r="H733" s="27"/>
      <c r="I733" s="23" t="str">
        <f aca="false">IF($D733&lt;&gt;"销项开票","",IF($N733="一级",IF(IFERROR(INDEX(项目档案!$E$6:$E$255,MATCH($C733,项目档案!$A$6:$A$255,0)),"")="",N(IFERROR(INDEX(单位档案!$D$6:$D$35,MATCH($E733,单位档案!$A$6:$A$35,0)),"")),IFERROR(INDEX(项目档案!$E$6:$E$255,MATCH($C733,项目档案!$A$6:$A$255,0)),"")),IF($N733="二级",IF(IFERROR(INDEX(项目档案!$G$6:$G$255,MATCH($C733,项目档案!$A$6:$A$255,0)),"")="",N(IFERROR(INDEX(单位档案!$D$6:$D$35,MATCH($E733,单位档案!$A$6:$A$35,0)),"")),IFERROR(INDEX(项目档案!$G$6:$G$255,MATCH($C733,项目档案!$A$6:$A$255,0)),"")),N(IFERROR(INDEX(单位档案!$D$6:$D$35,MATCH($E733,单位档案!$A$6:$A$35,0)),"")))))</f>
        <v/>
      </c>
      <c r="J733" s="22"/>
      <c r="K733" s="22"/>
      <c r="L733" s="33" t="str">
        <f aca="false">IF($B733="","",IF(NOT(ISNUMBER($B733)),"日期格式不对",IF($C733="","未选项目编号",IF(LEFT($M733,1)="⚠","项目编号不存在",IF($D733="","未选业务类型",IF($E733="","未选开票/付款方",IF(ISNA(MATCH($E733,单位档案!$A$6:$A$35,0)),"开票方不在单位档案",IF($F733="","未选收票/收款方",IF(ISNA(MATCH($F733,单位档案!$A$6:$A$35,0)),"收款方不在单位档案",IF(NOT(ISNUMBER($H733)),"金额须为数字",IF(AND($D733="销项开票",$N733="—"),"链条待确认","√")))))))))))</f>
        <v/>
      </c>
      <c r="M733" s="34" t="str">
        <f aca="false">IF($C733="","",IFERROR(INDEX(项目档案!$B$6:$B$255,MATCH($C733,项目档案!$A$6:$A$255,0)),"⚠项目编号不存在"))</f>
        <v/>
      </c>
      <c r="N733" s="35" t="str">
        <f aca="false">IF($E733="","",IF($E733=IFERROR(INDEX(项目档案!$D$6:$D$255,MATCH($C733,项目档案!$A$6:$A$255,0)),""),"一级",IF($E733=IFERROR(INDEX(项目档案!$F$6:$F$255,MATCH($C733,项目档案!$A$6:$A$255,0)),""),"二级",IF($E733=IFERROR(INDEX(项目档案!$H$6:$H$255,MATCH($C733,项目档案!$A$6:$A$255,0)),""),"我方","—"))))</f>
        <v/>
      </c>
      <c r="O733" s="36" t="n">
        <f aca="false">IF($D733&lt;&gt;"销项开票",0,ROUND(N($H733)*N($I733),2))</f>
        <v>0</v>
      </c>
      <c r="P733" s="36" t="n">
        <f aca="false">IF($D733&lt;&gt;"销项开票",0,ROUND(N($H733)-$O733,2))</f>
        <v>0</v>
      </c>
      <c r="Q733" s="37" t="str">
        <f aca="false">IF($E733="","",N(IFERROR(INDEX(单位档案!$E$6:$E$35,MATCH($E733,单位档案!$A$6:$A$35,0)),"")))</f>
        <v/>
      </c>
      <c r="R733" s="37" t="str">
        <f aca="false">IF($E733="","",N(IFERROR(INDEX(单位档案!$F$6:$F$35,MATCH($E733,单位档案!$A$6:$A$35,0)),"")))</f>
        <v/>
      </c>
      <c r="S733" s="36" t="n">
        <f aca="false">IF(OR($D733&lt;&gt;"销项开票",IFERROR(INDEX(单位档案!$G$6:$G$35,MATCH($E733,单位档案!$A$6:$A$35,0)),"")&lt;&gt;"是",N($Q733)=0),0,IF(IFERROR(INDEX(单位档案!$H$6:$H$35,MATCH($E733,单位档案!$A$6:$A$35,0)),"")="税差法",ROUND(N($H733)/(1+$Q733)*$Q733-IF(N($R733)=0,0,$P733/(1+$R733)*$R733),2),ROUND(N($H733)/(1+$Q733)*$Q733,2)))</f>
        <v>0</v>
      </c>
      <c r="T733" s="36" t="n">
        <f aca="false">ROUND($S733*N(IFERROR(INDEX(单位档案!$J$6:$J$35,MATCH($E733,单位档案!$A$6:$A$35,0)),"")),2)</f>
        <v>0</v>
      </c>
      <c r="U733" s="36" t="n">
        <f aca="false">IF($D733&lt;&gt;"销项开票",0,ROUND(N($H733)*N(IFERROR(INDEX(单位档案!$K$6:$K$35,MATCH($E733,单位档案!$A$6:$A$35,0)),"")),2))</f>
        <v>0</v>
      </c>
      <c r="V733" s="36" t="n">
        <f aca="false">IF(OR($D733&lt;&gt;"销项开票",N($Q733)=0),0,ROUND(N($H733)/(1+$Q733)*N(IFERROR(INDEX(单位档案!$L$6:$L$35,MATCH($E733,单位档案!$A$6:$A$35,0)),"")),2))</f>
        <v>0</v>
      </c>
      <c r="W733" s="36" t="n">
        <f aca="false">ROUND($S733+$T733+$U733+$V733,2)</f>
        <v>0</v>
      </c>
      <c r="X733" s="35" t="str">
        <f aca="false">IF(OR($D733="挂靠代收",$D733="我方收款"),COUNTIFS($D$5:$D733,"挂靠代收")+COUNTIFS($D$5:$D733,"我方收款"),"")</f>
        <v/>
      </c>
      <c r="Y733" s="35"/>
      <c r="Z733" s="21" t="s">
        <v>111</v>
      </c>
    </row>
    <row r="734" customFormat="false" ht="15.75" hidden="false" customHeight="true" outlineLevel="0" collapsed="false">
      <c r="A734" s="32" t="str">
        <f aca="false">IF($B734="","",ROW()-4)</f>
        <v/>
      </c>
      <c r="B734" s="26"/>
      <c r="C734" s="24"/>
      <c r="D734" s="21"/>
      <c r="E734" s="21"/>
      <c r="F734" s="21"/>
      <c r="G734" s="21"/>
      <c r="H734" s="27"/>
      <c r="I734" s="23" t="str">
        <f aca="false">IF($D734&lt;&gt;"销项开票","",IF($N734="一级",IF(IFERROR(INDEX(项目档案!$E$6:$E$255,MATCH($C734,项目档案!$A$6:$A$255,0)),"")="",N(IFERROR(INDEX(单位档案!$D$6:$D$35,MATCH($E734,单位档案!$A$6:$A$35,0)),"")),IFERROR(INDEX(项目档案!$E$6:$E$255,MATCH($C734,项目档案!$A$6:$A$255,0)),"")),IF($N734="二级",IF(IFERROR(INDEX(项目档案!$G$6:$G$255,MATCH($C734,项目档案!$A$6:$A$255,0)),"")="",N(IFERROR(INDEX(单位档案!$D$6:$D$35,MATCH($E734,单位档案!$A$6:$A$35,0)),"")),IFERROR(INDEX(项目档案!$G$6:$G$255,MATCH($C734,项目档案!$A$6:$A$255,0)),"")),N(IFERROR(INDEX(单位档案!$D$6:$D$35,MATCH($E734,单位档案!$A$6:$A$35,0)),"")))))</f>
        <v/>
      </c>
      <c r="J734" s="22"/>
      <c r="K734" s="22"/>
      <c r="L734" s="33" t="str">
        <f aca="false">IF($B734="","",IF(NOT(ISNUMBER($B734)),"日期格式不对",IF($C734="","未选项目编号",IF(LEFT($M734,1)="⚠","项目编号不存在",IF($D734="","未选业务类型",IF($E734="","未选开票/付款方",IF(ISNA(MATCH($E734,单位档案!$A$6:$A$35,0)),"开票方不在单位档案",IF($F734="","未选收票/收款方",IF(ISNA(MATCH($F734,单位档案!$A$6:$A$35,0)),"收款方不在单位档案",IF(NOT(ISNUMBER($H734)),"金额须为数字",IF(AND($D734="销项开票",$N734="—"),"链条待确认","√")))))))))))</f>
        <v/>
      </c>
      <c r="M734" s="34" t="str">
        <f aca="false">IF($C734="","",IFERROR(INDEX(项目档案!$B$6:$B$255,MATCH($C734,项目档案!$A$6:$A$255,0)),"⚠项目编号不存在"))</f>
        <v/>
      </c>
      <c r="N734" s="35" t="str">
        <f aca="false">IF($E734="","",IF($E734=IFERROR(INDEX(项目档案!$D$6:$D$255,MATCH($C734,项目档案!$A$6:$A$255,0)),""),"一级",IF($E734=IFERROR(INDEX(项目档案!$F$6:$F$255,MATCH($C734,项目档案!$A$6:$A$255,0)),""),"二级",IF($E734=IFERROR(INDEX(项目档案!$H$6:$H$255,MATCH($C734,项目档案!$A$6:$A$255,0)),""),"我方","—"))))</f>
        <v/>
      </c>
      <c r="O734" s="36" t="n">
        <f aca="false">IF($D734&lt;&gt;"销项开票",0,ROUND(N($H734)*N($I734),2))</f>
        <v>0</v>
      </c>
      <c r="P734" s="36" t="n">
        <f aca="false">IF($D734&lt;&gt;"销项开票",0,ROUND(N($H734)-$O734,2))</f>
        <v>0</v>
      </c>
      <c r="Q734" s="37" t="str">
        <f aca="false">IF($E734="","",N(IFERROR(INDEX(单位档案!$E$6:$E$35,MATCH($E734,单位档案!$A$6:$A$35,0)),"")))</f>
        <v/>
      </c>
      <c r="R734" s="37" t="str">
        <f aca="false">IF($E734="","",N(IFERROR(INDEX(单位档案!$F$6:$F$35,MATCH($E734,单位档案!$A$6:$A$35,0)),"")))</f>
        <v/>
      </c>
      <c r="S734" s="36" t="n">
        <f aca="false">IF(OR($D734&lt;&gt;"销项开票",IFERROR(INDEX(单位档案!$G$6:$G$35,MATCH($E734,单位档案!$A$6:$A$35,0)),"")&lt;&gt;"是",N($Q734)=0),0,IF(IFERROR(INDEX(单位档案!$H$6:$H$35,MATCH($E734,单位档案!$A$6:$A$35,0)),"")="税差法",ROUND(N($H734)/(1+$Q734)*$Q734-IF(N($R734)=0,0,$P734/(1+$R734)*$R734),2),ROUND(N($H734)/(1+$Q734)*$Q734,2)))</f>
        <v>0</v>
      </c>
      <c r="T734" s="36" t="n">
        <f aca="false">ROUND($S734*N(IFERROR(INDEX(单位档案!$J$6:$J$35,MATCH($E734,单位档案!$A$6:$A$35,0)),"")),2)</f>
        <v>0</v>
      </c>
      <c r="U734" s="36" t="n">
        <f aca="false">IF($D734&lt;&gt;"销项开票",0,ROUND(N($H734)*N(IFERROR(INDEX(单位档案!$K$6:$K$35,MATCH($E734,单位档案!$A$6:$A$35,0)),"")),2))</f>
        <v>0</v>
      </c>
      <c r="V734" s="36" t="n">
        <f aca="false">IF(OR($D734&lt;&gt;"销项开票",N($Q734)=0),0,ROUND(N($H734)/(1+$Q734)*N(IFERROR(INDEX(单位档案!$L$6:$L$35,MATCH($E734,单位档案!$A$6:$A$35,0)),"")),2))</f>
        <v>0</v>
      </c>
      <c r="W734" s="36" t="n">
        <f aca="false">ROUND($S734+$T734+$U734+$V734,2)</f>
        <v>0</v>
      </c>
      <c r="X734" s="35" t="str">
        <f aca="false">IF(OR($D734="挂靠代收",$D734="我方收款"),COUNTIFS($D$5:$D734,"挂靠代收")+COUNTIFS($D$5:$D734,"我方收款"),"")</f>
        <v/>
      </c>
      <c r="Y734" s="35"/>
      <c r="Z734" s="21" t="s">
        <v>111</v>
      </c>
    </row>
    <row r="735" customFormat="false" ht="15.75" hidden="false" customHeight="true" outlineLevel="0" collapsed="false">
      <c r="A735" s="32" t="str">
        <f aca="false">IF($B735="","",ROW()-4)</f>
        <v/>
      </c>
      <c r="B735" s="26"/>
      <c r="C735" s="24"/>
      <c r="D735" s="21"/>
      <c r="E735" s="21"/>
      <c r="F735" s="21"/>
      <c r="G735" s="21"/>
      <c r="H735" s="27"/>
      <c r="I735" s="23" t="str">
        <f aca="false">IF($D735&lt;&gt;"销项开票","",IF($N735="一级",IF(IFERROR(INDEX(项目档案!$E$6:$E$255,MATCH($C735,项目档案!$A$6:$A$255,0)),"")="",N(IFERROR(INDEX(单位档案!$D$6:$D$35,MATCH($E735,单位档案!$A$6:$A$35,0)),"")),IFERROR(INDEX(项目档案!$E$6:$E$255,MATCH($C735,项目档案!$A$6:$A$255,0)),"")),IF($N735="二级",IF(IFERROR(INDEX(项目档案!$G$6:$G$255,MATCH($C735,项目档案!$A$6:$A$255,0)),"")="",N(IFERROR(INDEX(单位档案!$D$6:$D$35,MATCH($E735,单位档案!$A$6:$A$35,0)),"")),IFERROR(INDEX(项目档案!$G$6:$G$255,MATCH($C735,项目档案!$A$6:$A$255,0)),"")),N(IFERROR(INDEX(单位档案!$D$6:$D$35,MATCH($E735,单位档案!$A$6:$A$35,0)),"")))))</f>
        <v/>
      </c>
      <c r="J735" s="22"/>
      <c r="K735" s="22"/>
      <c r="L735" s="33" t="str">
        <f aca="false">IF($B735="","",IF(NOT(ISNUMBER($B735)),"日期格式不对",IF($C735="","未选项目编号",IF(LEFT($M735,1)="⚠","项目编号不存在",IF($D735="","未选业务类型",IF($E735="","未选开票/付款方",IF(ISNA(MATCH($E735,单位档案!$A$6:$A$35,0)),"开票方不在单位档案",IF($F735="","未选收票/收款方",IF(ISNA(MATCH($F735,单位档案!$A$6:$A$35,0)),"收款方不在单位档案",IF(NOT(ISNUMBER($H735)),"金额须为数字",IF(AND($D735="销项开票",$N735="—"),"链条待确认","√")))))))))))</f>
        <v/>
      </c>
      <c r="M735" s="34" t="str">
        <f aca="false">IF($C735="","",IFERROR(INDEX(项目档案!$B$6:$B$255,MATCH($C735,项目档案!$A$6:$A$255,0)),"⚠项目编号不存在"))</f>
        <v/>
      </c>
      <c r="N735" s="35" t="str">
        <f aca="false">IF($E735="","",IF($E735=IFERROR(INDEX(项目档案!$D$6:$D$255,MATCH($C735,项目档案!$A$6:$A$255,0)),""),"一级",IF($E735=IFERROR(INDEX(项目档案!$F$6:$F$255,MATCH($C735,项目档案!$A$6:$A$255,0)),""),"二级",IF($E735=IFERROR(INDEX(项目档案!$H$6:$H$255,MATCH($C735,项目档案!$A$6:$A$255,0)),""),"我方","—"))))</f>
        <v/>
      </c>
      <c r="O735" s="36" t="n">
        <f aca="false">IF($D735&lt;&gt;"销项开票",0,ROUND(N($H735)*N($I735),2))</f>
        <v>0</v>
      </c>
      <c r="P735" s="36" t="n">
        <f aca="false">IF($D735&lt;&gt;"销项开票",0,ROUND(N($H735)-$O735,2))</f>
        <v>0</v>
      </c>
      <c r="Q735" s="37" t="str">
        <f aca="false">IF($E735="","",N(IFERROR(INDEX(单位档案!$E$6:$E$35,MATCH($E735,单位档案!$A$6:$A$35,0)),"")))</f>
        <v/>
      </c>
      <c r="R735" s="37" t="str">
        <f aca="false">IF($E735="","",N(IFERROR(INDEX(单位档案!$F$6:$F$35,MATCH($E735,单位档案!$A$6:$A$35,0)),"")))</f>
        <v/>
      </c>
      <c r="S735" s="36" t="n">
        <f aca="false">IF(OR($D735&lt;&gt;"销项开票",IFERROR(INDEX(单位档案!$G$6:$G$35,MATCH($E735,单位档案!$A$6:$A$35,0)),"")&lt;&gt;"是",N($Q735)=0),0,IF(IFERROR(INDEX(单位档案!$H$6:$H$35,MATCH($E735,单位档案!$A$6:$A$35,0)),"")="税差法",ROUND(N($H735)/(1+$Q735)*$Q735-IF(N($R735)=0,0,$P735/(1+$R735)*$R735),2),ROUND(N($H735)/(1+$Q735)*$Q735,2)))</f>
        <v>0</v>
      </c>
      <c r="T735" s="36" t="n">
        <f aca="false">ROUND($S735*N(IFERROR(INDEX(单位档案!$J$6:$J$35,MATCH($E735,单位档案!$A$6:$A$35,0)),"")),2)</f>
        <v>0</v>
      </c>
      <c r="U735" s="36" t="n">
        <f aca="false">IF($D735&lt;&gt;"销项开票",0,ROUND(N($H735)*N(IFERROR(INDEX(单位档案!$K$6:$K$35,MATCH($E735,单位档案!$A$6:$A$35,0)),"")),2))</f>
        <v>0</v>
      </c>
      <c r="V735" s="36" t="n">
        <f aca="false">IF(OR($D735&lt;&gt;"销项开票",N($Q735)=0),0,ROUND(N($H735)/(1+$Q735)*N(IFERROR(INDEX(单位档案!$L$6:$L$35,MATCH($E735,单位档案!$A$6:$A$35,0)),"")),2))</f>
        <v>0</v>
      </c>
      <c r="W735" s="36" t="n">
        <f aca="false">ROUND($S735+$T735+$U735+$V735,2)</f>
        <v>0</v>
      </c>
      <c r="X735" s="35" t="str">
        <f aca="false">IF(OR($D735="挂靠代收",$D735="我方收款"),COUNTIFS($D$5:$D735,"挂靠代收")+COUNTIFS($D$5:$D735,"我方收款"),"")</f>
        <v/>
      </c>
      <c r="Y735" s="35"/>
      <c r="Z735" s="21" t="s">
        <v>111</v>
      </c>
    </row>
    <row r="736" customFormat="false" ht="15.75" hidden="false" customHeight="true" outlineLevel="0" collapsed="false">
      <c r="A736" s="32" t="str">
        <f aca="false">IF($B736="","",ROW()-4)</f>
        <v/>
      </c>
      <c r="B736" s="26"/>
      <c r="C736" s="24"/>
      <c r="D736" s="21"/>
      <c r="E736" s="21"/>
      <c r="F736" s="21"/>
      <c r="G736" s="21"/>
      <c r="H736" s="27"/>
      <c r="I736" s="23" t="str">
        <f aca="false">IF($D736&lt;&gt;"销项开票","",IF($N736="一级",IF(IFERROR(INDEX(项目档案!$E$6:$E$255,MATCH($C736,项目档案!$A$6:$A$255,0)),"")="",N(IFERROR(INDEX(单位档案!$D$6:$D$35,MATCH($E736,单位档案!$A$6:$A$35,0)),"")),IFERROR(INDEX(项目档案!$E$6:$E$255,MATCH($C736,项目档案!$A$6:$A$255,0)),"")),IF($N736="二级",IF(IFERROR(INDEX(项目档案!$G$6:$G$255,MATCH($C736,项目档案!$A$6:$A$255,0)),"")="",N(IFERROR(INDEX(单位档案!$D$6:$D$35,MATCH($E736,单位档案!$A$6:$A$35,0)),"")),IFERROR(INDEX(项目档案!$G$6:$G$255,MATCH($C736,项目档案!$A$6:$A$255,0)),"")),N(IFERROR(INDEX(单位档案!$D$6:$D$35,MATCH($E736,单位档案!$A$6:$A$35,0)),"")))))</f>
        <v/>
      </c>
      <c r="J736" s="22"/>
      <c r="K736" s="22"/>
      <c r="L736" s="33" t="str">
        <f aca="false">IF($B736="","",IF(NOT(ISNUMBER($B736)),"日期格式不对",IF($C736="","未选项目编号",IF(LEFT($M736,1)="⚠","项目编号不存在",IF($D736="","未选业务类型",IF($E736="","未选开票/付款方",IF(ISNA(MATCH($E736,单位档案!$A$6:$A$35,0)),"开票方不在单位档案",IF($F736="","未选收票/收款方",IF(ISNA(MATCH($F736,单位档案!$A$6:$A$35,0)),"收款方不在单位档案",IF(NOT(ISNUMBER($H736)),"金额须为数字",IF(AND($D736="销项开票",$N736="—"),"链条待确认","√")))))))))))</f>
        <v/>
      </c>
      <c r="M736" s="34" t="str">
        <f aca="false">IF($C736="","",IFERROR(INDEX(项目档案!$B$6:$B$255,MATCH($C736,项目档案!$A$6:$A$255,0)),"⚠项目编号不存在"))</f>
        <v/>
      </c>
      <c r="N736" s="35" t="str">
        <f aca="false">IF($E736="","",IF($E736=IFERROR(INDEX(项目档案!$D$6:$D$255,MATCH($C736,项目档案!$A$6:$A$255,0)),""),"一级",IF($E736=IFERROR(INDEX(项目档案!$F$6:$F$255,MATCH($C736,项目档案!$A$6:$A$255,0)),""),"二级",IF($E736=IFERROR(INDEX(项目档案!$H$6:$H$255,MATCH($C736,项目档案!$A$6:$A$255,0)),""),"我方","—"))))</f>
        <v/>
      </c>
      <c r="O736" s="36" t="n">
        <f aca="false">IF($D736&lt;&gt;"销项开票",0,ROUND(N($H736)*N($I736),2))</f>
        <v>0</v>
      </c>
      <c r="P736" s="36" t="n">
        <f aca="false">IF($D736&lt;&gt;"销项开票",0,ROUND(N($H736)-$O736,2))</f>
        <v>0</v>
      </c>
      <c r="Q736" s="37" t="str">
        <f aca="false">IF($E736="","",N(IFERROR(INDEX(单位档案!$E$6:$E$35,MATCH($E736,单位档案!$A$6:$A$35,0)),"")))</f>
        <v/>
      </c>
      <c r="R736" s="37" t="str">
        <f aca="false">IF($E736="","",N(IFERROR(INDEX(单位档案!$F$6:$F$35,MATCH($E736,单位档案!$A$6:$A$35,0)),"")))</f>
        <v/>
      </c>
      <c r="S736" s="36" t="n">
        <f aca="false">IF(OR($D736&lt;&gt;"销项开票",IFERROR(INDEX(单位档案!$G$6:$G$35,MATCH($E736,单位档案!$A$6:$A$35,0)),"")&lt;&gt;"是",N($Q736)=0),0,IF(IFERROR(INDEX(单位档案!$H$6:$H$35,MATCH($E736,单位档案!$A$6:$A$35,0)),"")="税差法",ROUND(N($H736)/(1+$Q736)*$Q736-IF(N($R736)=0,0,$P736/(1+$R736)*$R736),2),ROUND(N($H736)/(1+$Q736)*$Q736,2)))</f>
        <v>0</v>
      </c>
      <c r="T736" s="36" t="n">
        <f aca="false">ROUND($S736*N(IFERROR(INDEX(单位档案!$J$6:$J$35,MATCH($E736,单位档案!$A$6:$A$35,0)),"")),2)</f>
        <v>0</v>
      </c>
      <c r="U736" s="36" t="n">
        <f aca="false">IF($D736&lt;&gt;"销项开票",0,ROUND(N($H736)*N(IFERROR(INDEX(单位档案!$K$6:$K$35,MATCH($E736,单位档案!$A$6:$A$35,0)),"")),2))</f>
        <v>0</v>
      </c>
      <c r="V736" s="36" t="n">
        <f aca="false">IF(OR($D736&lt;&gt;"销项开票",N($Q736)=0),0,ROUND(N($H736)/(1+$Q736)*N(IFERROR(INDEX(单位档案!$L$6:$L$35,MATCH($E736,单位档案!$A$6:$A$35,0)),"")),2))</f>
        <v>0</v>
      </c>
      <c r="W736" s="36" t="n">
        <f aca="false">ROUND($S736+$T736+$U736+$V736,2)</f>
        <v>0</v>
      </c>
      <c r="X736" s="35" t="str">
        <f aca="false">IF(OR($D736="挂靠代收",$D736="我方收款"),COUNTIFS($D$5:$D736,"挂靠代收")+COUNTIFS($D$5:$D736,"我方收款"),"")</f>
        <v/>
      </c>
      <c r="Y736" s="35"/>
      <c r="Z736" s="21" t="s">
        <v>111</v>
      </c>
    </row>
    <row r="737" customFormat="false" ht="15.75" hidden="false" customHeight="true" outlineLevel="0" collapsed="false">
      <c r="A737" s="32" t="str">
        <f aca="false">IF($B737="","",ROW()-4)</f>
        <v/>
      </c>
      <c r="B737" s="26"/>
      <c r="C737" s="24"/>
      <c r="D737" s="21"/>
      <c r="E737" s="21"/>
      <c r="F737" s="21"/>
      <c r="G737" s="21"/>
      <c r="H737" s="27"/>
      <c r="I737" s="23" t="str">
        <f aca="false">IF($D737&lt;&gt;"销项开票","",IF($N737="一级",IF(IFERROR(INDEX(项目档案!$E$6:$E$255,MATCH($C737,项目档案!$A$6:$A$255,0)),"")="",N(IFERROR(INDEX(单位档案!$D$6:$D$35,MATCH($E737,单位档案!$A$6:$A$35,0)),"")),IFERROR(INDEX(项目档案!$E$6:$E$255,MATCH($C737,项目档案!$A$6:$A$255,0)),"")),IF($N737="二级",IF(IFERROR(INDEX(项目档案!$G$6:$G$255,MATCH($C737,项目档案!$A$6:$A$255,0)),"")="",N(IFERROR(INDEX(单位档案!$D$6:$D$35,MATCH($E737,单位档案!$A$6:$A$35,0)),"")),IFERROR(INDEX(项目档案!$G$6:$G$255,MATCH($C737,项目档案!$A$6:$A$255,0)),"")),N(IFERROR(INDEX(单位档案!$D$6:$D$35,MATCH($E737,单位档案!$A$6:$A$35,0)),"")))))</f>
        <v/>
      </c>
      <c r="J737" s="22"/>
      <c r="K737" s="22"/>
      <c r="L737" s="33" t="str">
        <f aca="false">IF($B737="","",IF(NOT(ISNUMBER($B737)),"日期格式不对",IF($C737="","未选项目编号",IF(LEFT($M737,1)="⚠","项目编号不存在",IF($D737="","未选业务类型",IF($E737="","未选开票/付款方",IF(ISNA(MATCH($E737,单位档案!$A$6:$A$35,0)),"开票方不在单位档案",IF($F737="","未选收票/收款方",IF(ISNA(MATCH($F737,单位档案!$A$6:$A$35,0)),"收款方不在单位档案",IF(NOT(ISNUMBER($H737)),"金额须为数字",IF(AND($D737="销项开票",$N737="—"),"链条待确认","√")))))))))))</f>
        <v/>
      </c>
      <c r="M737" s="34" t="str">
        <f aca="false">IF($C737="","",IFERROR(INDEX(项目档案!$B$6:$B$255,MATCH($C737,项目档案!$A$6:$A$255,0)),"⚠项目编号不存在"))</f>
        <v/>
      </c>
      <c r="N737" s="35" t="str">
        <f aca="false">IF($E737="","",IF($E737=IFERROR(INDEX(项目档案!$D$6:$D$255,MATCH($C737,项目档案!$A$6:$A$255,0)),""),"一级",IF($E737=IFERROR(INDEX(项目档案!$F$6:$F$255,MATCH($C737,项目档案!$A$6:$A$255,0)),""),"二级",IF($E737=IFERROR(INDEX(项目档案!$H$6:$H$255,MATCH($C737,项目档案!$A$6:$A$255,0)),""),"我方","—"))))</f>
        <v/>
      </c>
      <c r="O737" s="36" t="n">
        <f aca="false">IF($D737&lt;&gt;"销项开票",0,ROUND(N($H737)*N($I737),2))</f>
        <v>0</v>
      </c>
      <c r="P737" s="36" t="n">
        <f aca="false">IF($D737&lt;&gt;"销项开票",0,ROUND(N($H737)-$O737,2))</f>
        <v>0</v>
      </c>
      <c r="Q737" s="37" t="str">
        <f aca="false">IF($E737="","",N(IFERROR(INDEX(单位档案!$E$6:$E$35,MATCH($E737,单位档案!$A$6:$A$35,0)),"")))</f>
        <v/>
      </c>
      <c r="R737" s="37" t="str">
        <f aca="false">IF($E737="","",N(IFERROR(INDEX(单位档案!$F$6:$F$35,MATCH($E737,单位档案!$A$6:$A$35,0)),"")))</f>
        <v/>
      </c>
      <c r="S737" s="36" t="n">
        <f aca="false">IF(OR($D737&lt;&gt;"销项开票",IFERROR(INDEX(单位档案!$G$6:$G$35,MATCH($E737,单位档案!$A$6:$A$35,0)),"")&lt;&gt;"是",N($Q737)=0),0,IF(IFERROR(INDEX(单位档案!$H$6:$H$35,MATCH($E737,单位档案!$A$6:$A$35,0)),"")="税差法",ROUND(N($H737)/(1+$Q737)*$Q737-IF(N($R737)=0,0,$P737/(1+$R737)*$R737),2),ROUND(N($H737)/(1+$Q737)*$Q737,2)))</f>
        <v>0</v>
      </c>
      <c r="T737" s="36" t="n">
        <f aca="false">ROUND($S737*N(IFERROR(INDEX(单位档案!$J$6:$J$35,MATCH($E737,单位档案!$A$6:$A$35,0)),"")),2)</f>
        <v>0</v>
      </c>
      <c r="U737" s="36" t="n">
        <f aca="false">IF($D737&lt;&gt;"销项开票",0,ROUND(N($H737)*N(IFERROR(INDEX(单位档案!$K$6:$K$35,MATCH($E737,单位档案!$A$6:$A$35,0)),"")),2))</f>
        <v>0</v>
      </c>
      <c r="V737" s="36" t="n">
        <f aca="false">IF(OR($D737&lt;&gt;"销项开票",N($Q737)=0),0,ROUND(N($H737)/(1+$Q737)*N(IFERROR(INDEX(单位档案!$L$6:$L$35,MATCH($E737,单位档案!$A$6:$A$35,0)),"")),2))</f>
        <v>0</v>
      </c>
      <c r="W737" s="36" t="n">
        <f aca="false">ROUND($S737+$T737+$U737+$V737,2)</f>
        <v>0</v>
      </c>
      <c r="X737" s="35" t="str">
        <f aca="false">IF(OR($D737="挂靠代收",$D737="我方收款"),COUNTIFS($D$5:$D737,"挂靠代收")+COUNTIFS($D$5:$D737,"我方收款"),"")</f>
        <v/>
      </c>
      <c r="Y737" s="35"/>
      <c r="Z737" s="21" t="s">
        <v>111</v>
      </c>
    </row>
    <row r="738" customFormat="false" ht="15.75" hidden="false" customHeight="true" outlineLevel="0" collapsed="false">
      <c r="A738" s="32" t="str">
        <f aca="false">IF($B738="","",ROW()-4)</f>
        <v/>
      </c>
      <c r="B738" s="26"/>
      <c r="C738" s="24"/>
      <c r="D738" s="21"/>
      <c r="E738" s="21"/>
      <c r="F738" s="21"/>
      <c r="G738" s="21"/>
      <c r="H738" s="27"/>
      <c r="I738" s="23" t="str">
        <f aca="false">IF($D738&lt;&gt;"销项开票","",IF($N738="一级",IF(IFERROR(INDEX(项目档案!$E$6:$E$255,MATCH($C738,项目档案!$A$6:$A$255,0)),"")="",N(IFERROR(INDEX(单位档案!$D$6:$D$35,MATCH($E738,单位档案!$A$6:$A$35,0)),"")),IFERROR(INDEX(项目档案!$E$6:$E$255,MATCH($C738,项目档案!$A$6:$A$255,0)),"")),IF($N738="二级",IF(IFERROR(INDEX(项目档案!$G$6:$G$255,MATCH($C738,项目档案!$A$6:$A$255,0)),"")="",N(IFERROR(INDEX(单位档案!$D$6:$D$35,MATCH($E738,单位档案!$A$6:$A$35,0)),"")),IFERROR(INDEX(项目档案!$G$6:$G$255,MATCH($C738,项目档案!$A$6:$A$255,0)),"")),N(IFERROR(INDEX(单位档案!$D$6:$D$35,MATCH($E738,单位档案!$A$6:$A$35,0)),"")))))</f>
        <v/>
      </c>
      <c r="J738" s="22"/>
      <c r="K738" s="22"/>
      <c r="L738" s="33" t="str">
        <f aca="false">IF($B738="","",IF(NOT(ISNUMBER($B738)),"日期格式不对",IF($C738="","未选项目编号",IF(LEFT($M738,1)="⚠","项目编号不存在",IF($D738="","未选业务类型",IF($E738="","未选开票/付款方",IF(ISNA(MATCH($E738,单位档案!$A$6:$A$35,0)),"开票方不在单位档案",IF($F738="","未选收票/收款方",IF(ISNA(MATCH($F738,单位档案!$A$6:$A$35,0)),"收款方不在单位档案",IF(NOT(ISNUMBER($H738)),"金额须为数字",IF(AND($D738="销项开票",$N738="—"),"链条待确认","√")))))))))))</f>
        <v/>
      </c>
      <c r="M738" s="34" t="str">
        <f aca="false">IF($C738="","",IFERROR(INDEX(项目档案!$B$6:$B$255,MATCH($C738,项目档案!$A$6:$A$255,0)),"⚠项目编号不存在"))</f>
        <v/>
      </c>
      <c r="N738" s="35" t="str">
        <f aca="false">IF($E738="","",IF($E738=IFERROR(INDEX(项目档案!$D$6:$D$255,MATCH($C738,项目档案!$A$6:$A$255,0)),""),"一级",IF($E738=IFERROR(INDEX(项目档案!$F$6:$F$255,MATCH($C738,项目档案!$A$6:$A$255,0)),""),"二级",IF($E738=IFERROR(INDEX(项目档案!$H$6:$H$255,MATCH($C738,项目档案!$A$6:$A$255,0)),""),"我方","—"))))</f>
        <v/>
      </c>
      <c r="O738" s="36" t="n">
        <f aca="false">IF($D738&lt;&gt;"销项开票",0,ROUND(N($H738)*N($I738),2))</f>
        <v>0</v>
      </c>
      <c r="P738" s="36" t="n">
        <f aca="false">IF($D738&lt;&gt;"销项开票",0,ROUND(N($H738)-$O738,2))</f>
        <v>0</v>
      </c>
      <c r="Q738" s="37" t="str">
        <f aca="false">IF($E738="","",N(IFERROR(INDEX(单位档案!$E$6:$E$35,MATCH($E738,单位档案!$A$6:$A$35,0)),"")))</f>
        <v/>
      </c>
      <c r="R738" s="37" t="str">
        <f aca="false">IF($E738="","",N(IFERROR(INDEX(单位档案!$F$6:$F$35,MATCH($E738,单位档案!$A$6:$A$35,0)),"")))</f>
        <v/>
      </c>
      <c r="S738" s="36" t="n">
        <f aca="false">IF(OR($D738&lt;&gt;"销项开票",IFERROR(INDEX(单位档案!$G$6:$G$35,MATCH($E738,单位档案!$A$6:$A$35,0)),"")&lt;&gt;"是",N($Q738)=0),0,IF(IFERROR(INDEX(单位档案!$H$6:$H$35,MATCH($E738,单位档案!$A$6:$A$35,0)),"")="税差法",ROUND(N($H738)/(1+$Q738)*$Q738-IF(N($R738)=0,0,$P738/(1+$R738)*$R738),2),ROUND(N($H738)/(1+$Q738)*$Q738,2)))</f>
        <v>0</v>
      </c>
      <c r="T738" s="36" t="n">
        <f aca="false">ROUND($S738*N(IFERROR(INDEX(单位档案!$J$6:$J$35,MATCH($E738,单位档案!$A$6:$A$35,0)),"")),2)</f>
        <v>0</v>
      </c>
      <c r="U738" s="36" t="n">
        <f aca="false">IF($D738&lt;&gt;"销项开票",0,ROUND(N($H738)*N(IFERROR(INDEX(单位档案!$K$6:$K$35,MATCH($E738,单位档案!$A$6:$A$35,0)),"")),2))</f>
        <v>0</v>
      </c>
      <c r="V738" s="36" t="n">
        <f aca="false">IF(OR($D738&lt;&gt;"销项开票",N($Q738)=0),0,ROUND(N($H738)/(1+$Q738)*N(IFERROR(INDEX(单位档案!$L$6:$L$35,MATCH($E738,单位档案!$A$6:$A$35,0)),"")),2))</f>
        <v>0</v>
      </c>
      <c r="W738" s="36" t="n">
        <f aca="false">ROUND($S738+$T738+$U738+$V738,2)</f>
        <v>0</v>
      </c>
      <c r="X738" s="35" t="str">
        <f aca="false">IF(OR($D738="挂靠代收",$D738="我方收款"),COUNTIFS($D$5:$D738,"挂靠代收")+COUNTIFS($D$5:$D738,"我方收款"),"")</f>
        <v/>
      </c>
      <c r="Y738" s="35"/>
      <c r="Z738" s="21" t="s">
        <v>111</v>
      </c>
    </row>
    <row r="739" customFormat="false" ht="15.75" hidden="false" customHeight="true" outlineLevel="0" collapsed="false">
      <c r="A739" s="32" t="str">
        <f aca="false">IF($B739="","",ROW()-4)</f>
        <v/>
      </c>
      <c r="B739" s="26"/>
      <c r="C739" s="24"/>
      <c r="D739" s="21"/>
      <c r="E739" s="21"/>
      <c r="F739" s="21"/>
      <c r="G739" s="21"/>
      <c r="H739" s="27"/>
      <c r="I739" s="23" t="str">
        <f aca="false">IF($D739&lt;&gt;"销项开票","",IF($N739="一级",IF(IFERROR(INDEX(项目档案!$E$6:$E$255,MATCH($C739,项目档案!$A$6:$A$255,0)),"")="",N(IFERROR(INDEX(单位档案!$D$6:$D$35,MATCH($E739,单位档案!$A$6:$A$35,0)),"")),IFERROR(INDEX(项目档案!$E$6:$E$255,MATCH($C739,项目档案!$A$6:$A$255,0)),"")),IF($N739="二级",IF(IFERROR(INDEX(项目档案!$G$6:$G$255,MATCH($C739,项目档案!$A$6:$A$255,0)),"")="",N(IFERROR(INDEX(单位档案!$D$6:$D$35,MATCH($E739,单位档案!$A$6:$A$35,0)),"")),IFERROR(INDEX(项目档案!$G$6:$G$255,MATCH($C739,项目档案!$A$6:$A$255,0)),"")),N(IFERROR(INDEX(单位档案!$D$6:$D$35,MATCH($E739,单位档案!$A$6:$A$35,0)),"")))))</f>
        <v/>
      </c>
      <c r="J739" s="22"/>
      <c r="K739" s="22"/>
      <c r="L739" s="33" t="str">
        <f aca="false">IF($B739="","",IF(NOT(ISNUMBER($B739)),"日期格式不对",IF($C739="","未选项目编号",IF(LEFT($M739,1)="⚠","项目编号不存在",IF($D739="","未选业务类型",IF($E739="","未选开票/付款方",IF(ISNA(MATCH($E739,单位档案!$A$6:$A$35,0)),"开票方不在单位档案",IF($F739="","未选收票/收款方",IF(ISNA(MATCH($F739,单位档案!$A$6:$A$35,0)),"收款方不在单位档案",IF(NOT(ISNUMBER($H739)),"金额须为数字",IF(AND($D739="销项开票",$N739="—"),"链条待确认","√")))))))))))</f>
        <v/>
      </c>
      <c r="M739" s="34" t="str">
        <f aca="false">IF($C739="","",IFERROR(INDEX(项目档案!$B$6:$B$255,MATCH($C739,项目档案!$A$6:$A$255,0)),"⚠项目编号不存在"))</f>
        <v/>
      </c>
      <c r="N739" s="35" t="str">
        <f aca="false">IF($E739="","",IF($E739=IFERROR(INDEX(项目档案!$D$6:$D$255,MATCH($C739,项目档案!$A$6:$A$255,0)),""),"一级",IF($E739=IFERROR(INDEX(项目档案!$F$6:$F$255,MATCH($C739,项目档案!$A$6:$A$255,0)),""),"二级",IF($E739=IFERROR(INDEX(项目档案!$H$6:$H$255,MATCH($C739,项目档案!$A$6:$A$255,0)),""),"我方","—"))))</f>
        <v/>
      </c>
      <c r="O739" s="36" t="n">
        <f aca="false">IF($D739&lt;&gt;"销项开票",0,ROUND(N($H739)*N($I739),2))</f>
        <v>0</v>
      </c>
      <c r="P739" s="36" t="n">
        <f aca="false">IF($D739&lt;&gt;"销项开票",0,ROUND(N($H739)-$O739,2))</f>
        <v>0</v>
      </c>
      <c r="Q739" s="37" t="str">
        <f aca="false">IF($E739="","",N(IFERROR(INDEX(单位档案!$E$6:$E$35,MATCH($E739,单位档案!$A$6:$A$35,0)),"")))</f>
        <v/>
      </c>
      <c r="R739" s="37" t="str">
        <f aca="false">IF($E739="","",N(IFERROR(INDEX(单位档案!$F$6:$F$35,MATCH($E739,单位档案!$A$6:$A$35,0)),"")))</f>
        <v/>
      </c>
      <c r="S739" s="36" t="n">
        <f aca="false">IF(OR($D739&lt;&gt;"销项开票",IFERROR(INDEX(单位档案!$G$6:$G$35,MATCH($E739,单位档案!$A$6:$A$35,0)),"")&lt;&gt;"是",N($Q739)=0),0,IF(IFERROR(INDEX(单位档案!$H$6:$H$35,MATCH($E739,单位档案!$A$6:$A$35,0)),"")="税差法",ROUND(N($H739)/(1+$Q739)*$Q739-IF(N($R739)=0,0,$P739/(1+$R739)*$R739),2),ROUND(N($H739)/(1+$Q739)*$Q739,2)))</f>
        <v>0</v>
      </c>
      <c r="T739" s="36" t="n">
        <f aca="false">ROUND($S739*N(IFERROR(INDEX(单位档案!$J$6:$J$35,MATCH($E739,单位档案!$A$6:$A$35,0)),"")),2)</f>
        <v>0</v>
      </c>
      <c r="U739" s="36" t="n">
        <f aca="false">IF($D739&lt;&gt;"销项开票",0,ROUND(N($H739)*N(IFERROR(INDEX(单位档案!$K$6:$K$35,MATCH($E739,单位档案!$A$6:$A$35,0)),"")),2))</f>
        <v>0</v>
      </c>
      <c r="V739" s="36" t="n">
        <f aca="false">IF(OR($D739&lt;&gt;"销项开票",N($Q739)=0),0,ROUND(N($H739)/(1+$Q739)*N(IFERROR(INDEX(单位档案!$L$6:$L$35,MATCH($E739,单位档案!$A$6:$A$35,0)),"")),2))</f>
        <v>0</v>
      </c>
      <c r="W739" s="36" t="n">
        <f aca="false">ROUND($S739+$T739+$U739+$V739,2)</f>
        <v>0</v>
      </c>
      <c r="X739" s="35" t="str">
        <f aca="false">IF(OR($D739="挂靠代收",$D739="我方收款"),COUNTIFS($D$5:$D739,"挂靠代收")+COUNTIFS($D$5:$D739,"我方收款"),"")</f>
        <v/>
      </c>
      <c r="Y739" s="35"/>
      <c r="Z739" s="21" t="s">
        <v>111</v>
      </c>
    </row>
    <row r="740" customFormat="false" ht="15.75" hidden="false" customHeight="true" outlineLevel="0" collapsed="false">
      <c r="A740" s="32" t="str">
        <f aca="false">IF($B740="","",ROW()-4)</f>
        <v/>
      </c>
      <c r="B740" s="26"/>
      <c r="C740" s="24"/>
      <c r="D740" s="21"/>
      <c r="E740" s="21"/>
      <c r="F740" s="21"/>
      <c r="G740" s="21"/>
      <c r="H740" s="27"/>
      <c r="I740" s="23" t="str">
        <f aca="false">IF($D740&lt;&gt;"销项开票","",IF($N740="一级",IF(IFERROR(INDEX(项目档案!$E$6:$E$255,MATCH($C740,项目档案!$A$6:$A$255,0)),"")="",N(IFERROR(INDEX(单位档案!$D$6:$D$35,MATCH($E740,单位档案!$A$6:$A$35,0)),"")),IFERROR(INDEX(项目档案!$E$6:$E$255,MATCH($C740,项目档案!$A$6:$A$255,0)),"")),IF($N740="二级",IF(IFERROR(INDEX(项目档案!$G$6:$G$255,MATCH($C740,项目档案!$A$6:$A$255,0)),"")="",N(IFERROR(INDEX(单位档案!$D$6:$D$35,MATCH($E740,单位档案!$A$6:$A$35,0)),"")),IFERROR(INDEX(项目档案!$G$6:$G$255,MATCH($C740,项目档案!$A$6:$A$255,0)),"")),N(IFERROR(INDEX(单位档案!$D$6:$D$35,MATCH($E740,单位档案!$A$6:$A$35,0)),"")))))</f>
        <v/>
      </c>
      <c r="J740" s="22"/>
      <c r="K740" s="22"/>
      <c r="L740" s="33" t="str">
        <f aca="false">IF($B740="","",IF(NOT(ISNUMBER($B740)),"日期格式不对",IF($C740="","未选项目编号",IF(LEFT($M740,1)="⚠","项目编号不存在",IF($D740="","未选业务类型",IF($E740="","未选开票/付款方",IF(ISNA(MATCH($E740,单位档案!$A$6:$A$35,0)),"开票方不在单位档案",IF($F740="","未选收票/收款方",IF(ISNA(MATCH($F740,单位档案!$A$6:$A$35,0)),"收款方不在单位档案",IF(NOT(ISNUMBER($H740)),"金额须为数字",IF(AND($D740="销项开票",$N740="—"),"链条待确认","√")))))))))))</f>
        <v/>
      </c>
      <c r="M740" s="34" t="str">
        <f aca="false">IF($C740="","",IFERROR(INDEX(项目档案!$B$6:$B$255,MATCH($C740,项目档案!$A$6:$A$255,0)),"⚠项目编号不存在"))</f>
        <v/>
      </c>
      <c r="N740" s="35" t="str">
        <f aca="false">IF($E740="","",IF($E740=IFERROR(INDEX(项目档案!$D$6:$D$255,MATCH($C740,项目档案!$A$6:$A$255,0)),""),"一级",IF($E740=IFERROR(INDEX(项目档案!$F$6:$F$255,MATCH($C740,项目档案!$A$6:$A$255,0)),""),"二级",IF($E740=IFERROR(INDEX(项目档案!$H$6:$H$255,MATCH($C740,项目档案!$A$6:$A$255,0)),""),"我方","—"))))</f>
        <v/>
      </c>
      <c r="O740" s="36" t="n">
        <f aca="false">IF($D740&lt;&gt;"销项开票",0,ROUND(N($H740)*N($I740),2))</f>
        <v>0</v>
      </c>
      <c r="P740" s="36" t="n">
        <f aca="false">IF($D740&lt;&gt;"销项开票",0,ROUND(N($H740)-$O740,2))</f>
        <v>0</v>
      </c>
      <c r="Q740" s="37" t="str">
        <f aca="false">IF($E740="","",N(IFERROR(INDEX(单位档案!$E$6:$E$35,MATCH($E740,单位档案!$A$6:$A$35,0)),"")))</f>
        <v/>
      </c>
      <c r="R740" s="37" t="str">
        <f aca="false">IF($E740="","",N(IFERROR(INDEX(单位档案!$F$6:$F$35,MATCH($E740,单位档案!$A$6:$A$35,0)),"")))</f>
        <v/>
      </c>
      <c r="S740" s="36" t="n">
        <f aca="false">IF(OR($D740&lt;&gt;"销项开票",IFERROR(INDEX(单位档案!$G$6:$G$35,MATCH($E740,单位档案!$A$6:$A$35,0)),"")&lt;&gt;"是",N($Q740)=0),0,IF(IFERROR(INDEX(单位档案!$H$6:$H$35,MATCH($E740,单位档案!$A$6:$A$35,0)),"")="税差法",ROUND(N($H740)/(1+$Q740)*$Q740-IF(N($R740)=0,0,$P740/(1+$R740)*$R740),2),ROUND(N($H740)/(1+$Q740)*$Q740,2)))</f>
        <v>0</v>
      </c>
      <c r="T740" s="36" t="n">
        <f aca="false">ROUND($S740*N(IFERROR(INDEX(单位档案!$J$6:$J$35,MATCH($E740,单位档案!$A$6:$A$35,0)),"")),2)</f>
        <v>0</v>
      </c>
      <c r="U740" s="36" t="n">
        <f aca="false">IF($D740&lt;&gt;"销项开票",0,ROUND(N($H740)*N(IFERROR(INDEX(单位档案!$K$6:$K$35,MATCH($E740,单位档案!$A$6:$A$35,0)),"")),2))</f>
        <v>0</v>
      </c>
      <c r="V740" s="36" t="n">
        <f aca="false">IF(OR($D740&lt;&gt;"销项开票",N($Q740)=0),0,ROUND(N($H740)/(1+$Q740)*N(IFERROR(INDEX(单位档案!$L$6:$L$35,MATCH($E740,单位档案!$A$6:$A$35,0)),"")),2))</f>
        <v>0</v>
      </c>
      <c r="W740" s="36" t="n">
        <f aca="false">ROUND($S740+$T740+$U740+$V740,2)</f>
        <v>0</v>
      </c>
      <c r="X740" s="35" t="str">
        <f aca="false">IF(OR($D740="挂靠代收",$D740="我方收款"),COUNTIFS($D$5:$D740,"挂靠代收")+COUNTIFS($D$5:$D740,"我方收款"),"")</f>
        <v/>
      </c>
      <c r="Y740" s="35"/>
      <c r="Z740" s="21" t="s">
        <v>111</v>
      </c>
    </row>
    <row r="741" customFormat="false" ht="15.75" hidden="false" customHeight="true" outlineLevel="0" collapsed="false">
      <c r="A741" s="32" t="str">
        <f aca="false">IF($B741="","",ROW()-4)</f>
        <v/>
      </c>
      <c r="B741" s="26"/>
      <c r="C741" s="24"/>
      <c r="D741" s="21"/>
      <c r="E741" s="21"/>
      <c r="F741" s="21"/>
      <c r="G741" s="21"/>
      <c r="H741" s="27"/>
      <c r="I741" s="23" t="str">
        <f aca="false">IF($D741&lt;&gt;"销项开票","",IF($N741="一级",IF(IFERROR(INDEX(项目档案!$E$6:$E$255,MATCH($C741,项目档案!$A$6:$A$255,0)),"")="",N(IFERROR(INDEX(单位档案!$D$6:$D$35,MATCH($E741,单位档案!$A$6:$A$35,0)),"")),IFERROR(INDEX(项目档案!$E$6:$E$255,MATCH($C741,项目档案!$A$6:$A$255,0)),"")),IF($N741="二级",IF(IFERROR(INDEX(项目档案!$G$6:$G$255,MATCH($C741,项目档案!$A$6:$A$255,0)),"")="",N(IFERROR(INDEX(单位档案!$D$6:$D$35,MATCH($E741,单位档案!$A$6:$A$35,0)),"")),IFERROR(INDEX(项目档案!$G$6:$G$255,MATCH($C741,项目档案!$A$6:$A$255,0)),"")),N(IFERROR(INDEX(单位档案!$D$6:$D$35,MATCH($E741,单位档案!$A$6:$A$35,0)),"")))))</f>
        <v/>
      </c>
      <c r="J741" s="22"/>
      <c r="K741" s="22"/>
      <c r="L741" s="33" t="str">
        <f aca="false">IF($B741="","",IF(NOT(ISNUMBER($B741)),"日期格式不对",IF($C741="","未选项目编号",IF(LEFT($M741,1)="⚠","项目编号不存在",IF($D741="","未选业务类型",IF($E741="","未选开票/付款方",IF(ISNA(MATCH($E741,单位档案!$A$6:$A$35,0)),"开票方不在单位档案",IF($F741="","未选收票/收款方",IF(ISNA(MATCH($F741,单位档案!$A$6:$A$35,0)),"收款方不在单位档案",IF(NOT(ISNUMBER($H741)),"金额须为数字",IF(AND($D741="销项开票",$N741="—"),"链条待确认","√")))))))))))</f>
        <v/>
      </c>
      <c r="M741" s="34" t="str">
        <f aca="false">IF($C741="","",IFERROR(INDEX(项目档案!$B$6:$B$255,MATCH($C741,项目档案!$A$6:$A$255,0)),"⚠项目编号不存在"))</f>
        <v/>
      </c>
      <c r="N741" s="35" t="str">
        <f aca="false">IF($E741="","",IF($E741=IFERROR(INDEX(项目档案!$D$6:$D$255,MATCH($C741,项目档案!$A$6:$A$255,0)),""),"一级",IF($E741=IFERROR(INDEX(项目档案!$F$6:$F$255,MATCH($C741,项目档案!$A$6:$A$255,0)),""),"二级",IF($E741=IFERROR(INDEX(项目档案!$H$6:$H$255,MATCH($C741,项目档案!$A$6:$A$255,0)),""),"我方","—"))))</f>
        <v/>
      </c>
      <c r="O741" s="36" t="n">
        <f aca="false">IF($D741&lt;&gt;"销项开票",0,ROUND(N($H741)*N($I741),2))</f>
        <v>0</v>
      </c>
      <c r="P741" s="36" t="n">
        <f aca="false">IF($D741&lt;&gt;"销项开票",0,ROUND(N($H741)-$O741,2))</f>
        <v>0</v>
      </c>
      <c r="Q741" s="37" t="str">
        <f aca="false">IF($E741="","",N(IFERROR(INDEX(单位档案!$E$6:$E$35,MATCH($E741,单位档案!$A$6:$A$35,0)),"")))</f>
        <v/>
      </c>
      <c r="R741" s="37" t="str">
        <f aca="false">IF($E741="","",N(IFERROR(INDEX(单位档案!$F$6:$F$35,MATCH($E741,单位档案!$A$6:$A$35,0)),"")))</f>
        <v/>
      </c>
      <c r="S741" s="36" t="n">
        <f aca="false">IF(OR($D741&lt;&gt;"销项开票",IFERROR(INDEX(单位档案!$G$6:$G$35,MATCH($E741,单位档案!$A$6:$A$35,0)),"")&lt;&gt;"是",N($Q741)=0),0,IF(IFERROR(INDEX(单位档案!$H$6:$H$35,MATCH($E741,单位档案!$A$6:$A$35,0)),"")="税差法",ROUND(N($H741)/(1+$Q741)*$Q741-IF(N($R741)=0,0,$P741/(1+$R741)*$R741),2),ROUND(N($H741)/(1+$Q741)*$Q741,2)))</f>
        <v>0</v>
      </c>
      <c r="T741" s="36" t="n">
        <f aca="false">ROUND($S741*N(IFERROR(INDEX(单位档案!$J$6:$J$35,MATCH($E741,单位档案!$A$6:$A$35,0)),"")),2)</f>
        <v>0</v>
      </c>
      <c r="U741" s="36" t="n">
        <f aca="false">IF($D741&lt;&gt;"销项开票",0,ROUND(N($H741)*N(IFERROR(INDEX(单位档案!$K$6:$K$35,MATCH($E741,单位档案!$A$6:$A$35,0)),"")),2))</f>
        <v>0</v>
      </c>
      <c r="V741" s="36" t="n">
        <f aca="false">IF(OR($D741&lt;&gt;"销项开票",N($Q741)=0),0,ROUND(N($H741)/(1+$Q741)*N(IFERROR(INDEX(单位档案!$L$6:$L$35,MATCH($E741,单位档案!$A$6:$A$35,0)),"")),2))</f>
        <v>0</v>
      </c>
      <c r="W741" s="36" t="n">
        <f aca="false">ROUND($S741+$T741+$U741+$V741,2)</f>
        <v>0</v>
      </c>
      <c r="X741" s="35" t="str">
        <f aca="false">IF(OR($D741="挂靠代收",$D741="我方收款"),COUNTIFS($D$5:$D741,"挂靠代收")+COUNTIFS($D$5:$D741,"我方收款"),"")</f>
        <v/>
      </c>
      <c r="Y741" s="35"/>
      <c r="Z741" s="21" t="s">
        <v>111</v>
      </c>
    </row>
    <row r="742" customFormat="false" ht="15.75" hidden="false" customHeight="true" outlineLevel="0" collapsed="false">
      <c r="A742" s="32" t="str">
        <f aca="false">IF($B742="","",ROW()-4)</f>
        <v/>
      </c>
      <c r="B742" s="26"/>
      <c r="C742" s="24"/>
      <c r="D742" s="21"/>
      <c r="E742" s="21"/>
      <c r="F742" s="21"/>
      <c r="G742" s="21"/>
      <c r="H742" s="27"/>
      <c r="I742" s="23" t="str">
        <f aca="false">IF($D742&lt;&gt;"销项开票","",IF($N742="一级",IF(IFERROR(INDEX(项目档案!$E$6:$E$255,MATCH($C742,项目档案!$A$6:$A$255,0)),"")="",N(IFERROR(INDEX(单位档案!$D$6:$D$35,MATCH($E742,单位档案!$A$6:$A$35,0)),"")),IFERROR(INDEX(项目档案!$E$6:$E$255,MATCH($C742,项目档案!$A$6:$A$255,0)),"")),IF($N742="二级",IF(IFERROR(INDEX(项目档案!$G$6:$G$255,MATCH($C742,项目档案!$A$6:$A$255,0)),"")="",N(IFERROR(INDEX(单位档案!$D$6:$D$35,MATCH($E742,单位档案!$A$6:$A$35,0)),"")),IFERROR(INDEX(项目档案!$G$6:$G$255,MATCH($C742,项目档案!$A$6:$A$255,0)),"")),N(IFERROR(INDEX(单位档案!$D$6:$D$35,MATCH($E742,单位档案!$A$6:$A$35,0)),"")))))</f>
        <v/>
      </c>
      <c r="J742" s="22"/>
      <c r="K742" s="22"/>
      <c r="L742" s="33" t="str">
        <f aca="false">IF($B742="","",IF(NOT(ISNUMBER($B742)),"日期格式不对",IF($C742="","未选项目编号",IF(LEFT($M742,1)="⚠","项目编号不存在",IF($D742="","未选业务类型",IF($E742="","未选开票/付款方",IF(ISNA(MATCH($E742,单位档案!$A$6:$A$35,0)),"开票方不在单位档案",IF($F742="","未选收票/收款方",IF(ISNA(MATCH($F742,单位档案!$A$6:$A$35,0)),"收款方不在单位档案",IF(NOT(ISNUMBER($H742)),"金额须为数字",IF(AND($D742="销项开票",$N742="—"),"链条待确认","√")))))))))))</f>
        <v/>
      </c>
      <c r="M742" s="34" t="str">
        <f aca="false">IF($C742="","",IFERROR(INDEX(项目档案!$B$6:$B$255,MATCH($C742,项目档案!$A$6:$A$255,0)),"⚠项目编号不存在"))</f>
        <v/>
      </c>
      <c r="N742" s="35" t="str">
        <f aca="false">IF($E742="","",IF($E742=IFERROR(INDEX(项目档案!$D$6:$D$255,MATCH($C742,项目档案!$A$6:$A$255,0)),""),"一级",IF($E742=IFERROR(INDEX(项目档案!$F$6:$F$255,MATCH($C742,项目档案!$A$6:$A$255,0)),""),"二级",IF($E742=IFERROR(INDEX(项目档案!$H$6:$H$255,MATCH($C742,项目档案!$A$6:$A$255,0)),""),"我方","—"))))</f>
        <v/>
      </c>
      <c r="O742" s="36" t="n">
        <f aca="false">IF($D742&lt;&gt;"销项开票",0,ROUND(N($H742)*N($I742),2))</f>
        <v>0</v>
      </c>
      <c r="P742" s="36" t="n">
        <f aca="false">IF($D742&lt;&gt;"销项开票",0,ROUND(N($H742)-$O742,2))</f>
        <v>0</v>
      </c>
      <c r="Q742" s="37" t="str">
        <f aca="false">IF($E742="","",N(IFERROR(INDEX(单位档案!$E$6:$E$35,MATCH($E742,单位档案!$A$6:$A$35,0)),"")))</f>
        <v/>
      </c>
      <c r="R742" s="37" t="str">
        <f aca="false">IF($E742="","",N(IFERROR(INDEX(单位档案!$F$6:$F$35,MATCH($E742,单位档案!$A$6:$A$35,0)),"")))</f>
        <v/>
      </c>
      <c r="S742" s="36" t="n">
        <f aca="false">IF(OR($D742&lt;&gt;"销项开票",IFERROR(INDEX(单位档案!$G$6:$G$35,MATCH($E742,单位档案!$A$6:$A$35,0)),"")&lt;&gt;"是",N($Q742)=0),0,IF(IFERROR(INDEX(单位档案!$H$6:$H$35,MATCH($E742,单位档案!$A$6:$A$35,0)),"")="税差法",ROUND(N($H742)/(1+$Q742)*$Q742-IF(N($R742)=0,0,$P742/(1+$R742)*$R742),2),ROUND(N($H742)/(1+$Q742)*$Q742,2)))</f>
        <v>0</v>
      </c>
      <c r="T742" s="36" t="n">
        <f aca="false">ROUND($S742*N(IFERROR(INDEX(单位档案!$J$6:$J$35,MATCH($E742,单位档案!$A$6:$A$35,0)),"")),2)</f>
        <v>0</v>
      </c>
      <c r="U742" s="36" t="n">
        <f aca="false">IF($D742&lt;&gt;"销项开票",0,ROUND(N($H742)*N(IFERROR(INDEX(单位档案!$K$6:$K$35,MATCH($E742,单位档案!$A$6:$A$35,0)),"")),2))</f>
        <v>0</v>
      </c>
      <c r="V742" s="36" t="n">
        <f aca="false">IF(OR($D742&lt;&gt;"销项开票",N($Q742)=0),0,ROUND(N($H742)/(1+$Q742)*N(IFERROR(INDEX(单位档案!$L$6:$L$35,MATCH($E742,单位档案!$A$6:$A$35,0)),"")),2))</f>
        <v>0</v>
      </c>
      <c r="W742" s="36" t="n">
        <f aca="false">ROUND($S742+$T742+$U742+$V742,2)</f>
        <v>0</v>
      </c>
      <c r="X742" s="35" t="str">
        <f aca="false">IF(OR($D742="挂靠代收",$D742="我方收款"),COUNTIFS($D$5:$D742,"挂靠代收")+COUNTIFS($D$5:$D742,"我方收款"),"")</f>
        <v/>
      </c>
      <c r="Y742" s="35"/>
      <c r="Z742" s="21" t="s">
        <v>111</v>
      </c>
    </row>
    <row r="743" customFormat="false" ht="15.75" hidden="false" customHeight="true" outlineLevel="0" collapsed="false">
      <c r="A743" s="32" t="str">
        <f aca="false">IF($B743="","",ROW()-4)</f>
        <v/>
      </c>
      <c r="B743" s="26"/>
      <c r="C743" s="24"/>
      <c r="D743" s="21"/>
      <c r="E743" s="21"/>
      <c r="F743" s="21"/>
      <c r="G743" s="21"/>
      <c r="H743" s="27"/>
      <c r="I743" s="23" t="str">
        <f aca="false">IF($D743&lt;&gt;"销项开票","",IF($N743="一级",IF(IFERROR(INDEX(项目档案!$E$6:$E$255,MATCH($C743,项目档案!$A$6:$A$255,0)),"")="",N(IFERROR(INDEX(单位档案!$D$6:$D$35,MATCH($E743,单位档案!$A$6:$A$35,0)),"")),IFERROR(INDEX(项目档案!$E$6:$E$255,MATCH($C743,项目档案!$A$6:$A$255,0)),"")),IF($N743="二级",IF(IFERROR(INDEX(项目档案!$G$6:$G$255,MATCH($C743,项目档案!$A$6:$A$255,0)),"")="",N(IFERROR(INDEX(单位档案!$D$6:$D$35,MATCH($E743,单位档案!$A$6:$A$35,0)),"")),IFERROR(INDEX(项目档案!$G$6:$G$255,MATCH($C743,项目档案!$A$6:$A$255,0)),"")),N(IFERROR(INDEX(单位档案!$D$6:$D$35,MATCH($E743,单位档案!$A$6:$A$35,0)),"")))))</f>
        <v/>
      </c>
      <c r="J743" s="22"/>
      <c r="K743" s="22"/>
      <c r="L743" s="33" t="str">
        <f aca="false">IF($B743="","",IF(NOT(ISNUMBER($B743)),"日期格式不对",IF($C743="","未选项目编号",IF(LEFT($M743,1)="⚠","项目编号不存在",IF($D743="","未选业务类型",IF($E743="","未选开票/付款方",IF(ISNA(MATCH($E743,单位档案!$A$6:$A$35,0)),"开票方不在单位档案",IF($F743="","未选收票/收款方",IF(ISNA(MATCH($F743,单位档案!$A$6:$A$35,0)),"收款方不在单位档案",IF(NOT(ISNUMBER($H743)),"金额须为数字",IF(AND($D743="销项开票",$N743="—"),"链条待确认","√")))))))))))</f>
        <v/>
      </c>
      <c r="M743" s="34" t="str">
        <f aca="false">IF($C743="","",IFERROR(INDEX(项目档案!$B$6:$B$255,MATCH($C743,项目档案!$A$6:$A$255,0)),"⚠项目编号不存在"))</f>
        <v/>
      </c>
      <c r="N743" s="35" t="str">
        <f aca="false">IF($E743="","",IF($E743=IFERROR(INDEX(项目档案!$D$6:$D$255,MATCH($C743,项目档案!$A$6:$A$255,0)),""),"一级",IF($E743=IFERROR(INDEX(项目档案!$F$6:$F$255,MATCH($C743,项目档案!$A$6:$A$255,0)),""),"二级",IF($E743=IFERROR(INDEX(项目档案!$H$6:$H$255,MATCH($C743,项目档案!$A$6:$A$255,0)),""),"我方","—"))))</f>
        <v/>
      </c>
      <c r="O743" s="36" t="n">
        <f aca="false">IF($D743&lt;&gt;"销项开票",0,ROUND(N($H743)*N($I743),2))</f>
        <v>0</v>
      </c>
      <c r="P743" s="36" t="n">
        <f aca="false">IF($D743&lt;&gt;"销项开票",0,ROUND(N($H743)-$O743,2))</f>
        <v>0</v>
      </c>
      <c r="Q743" s="37" t="str">
        <f aca="false">IF($E743="","",N(IFERROR(INDEX(单位档案!$E$6:$E$35,MATCH($E743,单位档案!$A$6:$A$35,0)),"")))</f>
        <v/>
      </c>
      <c r="R743" s="37" t="str">
        <f aca="false">IF($E743="","",N(IFERROR(INDEX(单位档案!$F$6:$F$35,MATCH($E743,单位档案!$A$6:$A$35,0)),"")))</f>
        <v/>
      </c>
      <c r="S743" s="36" t="n">
        <f aca="false">IF(OR($D743&lt;&gt;"销项开票",IFERROR(INDEX(单位档案!$G$6:$G$35,MATCH($E743,单位档案!$A$6:$A$35,0)),"")&lt;&gt;"是",N($Q743)=0),0,IF(IFERROR(INDEX(单位档案!$H$6:$H$35,MATCH($E743,单位档案!$A$6:$A$35,0)),"")="税差法",ROUND(N($H743)/(1+$Q743)*$Q743-IF(N($R743)=0,0,$P743/(1+$R743)*$R743),2),ROUND(N($H743)/(1+$Q743)*$Q743,2)))</f>
        <v>0</v>
      </c>
      <c r="T743" s="36" t="n">
        <f aca="false">ROUND($S743*N(IFERROR(INDEX(单位档案!$J$6:$J$35,MATCH($E743,单位档案!$A$6:$A$35,0)),"")),2)</f>
        <v>0</v>
      </c>
      <c r="U743" s="36" t="n">
        <f aca="false">IF($D743&lt;&gt;"销项开票",0,ROUND(N($H743)*N(IFERROR(INDEX(单位档案!$K$6:$K$35,MATCH($E743,单位档案!$A$6:$A$35,0)),"")),2))</f>
        <v>0</v>
      </c>
      <c r="V743" s="36" t="n">
        <f aca="false">IF(OR($D743&lt;&gt;"销项开票",N($Q743)=0),0,ROUND(N($H743)/(1+$Q743)*N(IFERROR(INDEX(单位档案!$L$6:$L$35,MATCH($E743,单位档案!$A$6:$A$35,0)),"")),2))</f>
        <v>0</v>
      </c>
      <c r="W743" s="36" t="n">
        <f aca="false">ROUND($S743+$T743+$U743+$V743,2)</f>
        <v>0</v>
      </c>
      <c r="X743" s="35" t="str">
        <f aca="false">IF(OR($D743="挂靠代收",$D743="我方收款"),COUNTIFS($D$5:$D743,"挂靠代收")+COUNTIFS($D$5:$D743,"我方收款"),"")</f>
        <v/>
      </c>
      <c r="Y743" s="35"/>
      <c r="Z743" s="21" t="s">
        <v>111</v>
      </c>
    </row>
    <row r="744" customFormat="false" ht="15.75" hidden="false" customHeight="true" outlineLevel="0" collapsed="false">
      <c r="A744" s="32" t="str">
        <f aca="false">IF($B744="","",ROW()-4)</f>
        <v/>
      </c>
      <c r="B744" s="26"/>
      <c r="C744" s="24"/>
      <c r="D744" s="21"/>
      <c r="E744" s="21"/>
      <c r="F744" s="21"/>
      <c r="G744" s="21"/>
      <c r="H744" s="27"/>
      <c r="I744" s="23" t="str">
        <f aca="false">IF($D744&lt;&gt;"销项开票","",IF($N744="一级",IF(IFERROR(INDEX(项目档案!$E$6:$E$255,MATCH($C744,项目档案!$A$6:$A$255,0)),"")="",N(IFERROR(INDEX(单位档案!$D$6:$D$35,MATCH($E744,单位档案!$A$6:$A$35,0)),"")),IFERROR(INDEX(项目档案!$E$6:$E$255,MATCH($C744,项目档案!$A$6:$A$255,0)),"")),IF($N744="二级",IF(IFERROR(INDEX(项目档案!$G$6:$G$255,MATCH($C744,项目档案!$A$6:$A$255,0)),"")="",N(IFERROR(INDEX(单位档案!$D$6:$D$35,MATCH($E744,单位档案!$A$6:$A$35,0)),"")),IFERROR(INDEX(项目档案!$G$6:$G$255,MATCH($C744,项目档案!$A$6:$A$255,0)),"")),N(IFERROR(INDEX(单位档案!$D$6:$D$35,MATCH($E744,单位档案!$A$6:$A$35,0)),"")))))</f>
        <v/>
      </c>
      <c r="J744" s="22"/>
      <c r="K744" s="22"/>
      <c r="L744" s="33" t="str">
        <f aca="false">IF($B744="","",IF(NOT(ISNUMBER($B744)),"日期格式不对",IF($C744="","未选项目编号",IF(LEFT($M744,1)="⚠","项目编号不存在",IF($D744="","未选业务类型",IF($E744="","未选开票/付款方",IF(ISNA(MATCH($E744,单位档案!$A$6:$A$35,0)),"开票方不在单位档案",IF($F744="","未选收票/收款方",IF(ISNA(MATCH($F744,单位档案!$A$6:$A$35,0)),"收款方不在单位档案",IF(NOT(ISNUMBER($H744)),"金额须为数字",IF(AND($D744="销项开票",$N744="—"),"链条待确认","√")))))))))))</f>
        <v/>
      </c>
      <c r="M744" s="34" t="str">
        <f aca="false">IF($C744="","",IFERROR(INDEX(项目档案!$B$6:$B$255,MATCH($C744,项目档案!$A$6:$A$255,0)),"⚠项目编号不存在"))</f>
        <v/>
      </c>
      <c r="N744" s="35" t="str">
        <f aca="false">IF($E744="","",IF($E744=IFERROR(INDEX(项目档案!$D$6:$D$255,MATCH($C744,项目档案!$A$6:$A$255,0)),""),"一级",IF($E744=IFERROR(INDEX(项目档案!$F$6:$F$255,MATCH($C744,项目档案!$A$6:$A$255,0)),""),"二级",IF($E744=IFERROR(INDEX(项目档案!$H$6:$H$255,MATCH($C744,项目档案!$A$6:$A$255,0)),""),"我方","—"))))</f>
        <v/>
      </c>
      <c r="O744" s="36" t="n">
        <f aca="false">IF($D744&lt;&gt;"销项开票",0,ROUND(N($H744)*N($I744),2))</f>
        <v>0</v>
      </c>
      <c r="P744" s="36" t="n">
        <f aca="false">IF($D744&lt;&gt;"销项开票",0,ROUND(N($H744)-$O744,2))</f>
        <v>0</v>
      </c>
      <c r="Q744" s="37" t="str">
        <f aca="false">IF($E744="","",N(IFERROR(INDEX(单位档案!$E$6:$E$35,MATCH($E744,单位档案!$A$6:$A$35,0)),"")))</f>
        <v/>
      </c>
      <c r="R744" s="37" t="str">
        <f aca="false">IF($E744="","",N(IFERROR(INDEX(单位档案!$F$6:$F$35,MATCH($E744,单位档案!$A$6:$A$35,0)),"")))</f>
        <v/>
      </c>
      <c r="S744" s="36" t="n">
        <f aca="false">IF(OR($D744&lt;&gt;"销项开票",IFERROR(INDEX(单位档案!$G$6:$G$35,MATCH($E744,单位档案!$A$6:$A$35,0)),"")&lt;&gt;"是",N($Q744)=0),0,IF(IFERROR(INDEX(单位档案!$H$6:$H$35,MATCH($E744,单位档案!$A$6:$A$35,0)),"")="税差法",ROUND(N($H744)/(1+$Q744)*$Q744-IF(N($R744)=0,0,$P744/(1+$R744)*$R744),2),ROUND(N($H744)/(1+$Q744)*$Q744,2)))</f>
        <v>0</v>
      </c>
      <c r="T744" s="36" t="n">
        <f aca="false">ROUND($S744*N(IFERROR(INDEX(单位档案!$J$6:$J$35,MATCH($E744,单位档案!$A$6:$A$35,0)),"")),2)</f>
        <v>0</v>
      </c>
      <c r="U744" s="36" t="n">
        <f aca="false">IF($D744&lt;&gt;"销项开票",0,ROUND(N($H744)*N(IFERROR(INDEX(单位档案!$K$6:$K$35,MATCH($E744,单位档案!$A$6:$A$35,0)),"")),2))</f>
        <v>0</v>
      </c>
      <c r="V744" s="36" t="n">
        <f aca="false">IF(OR($D744&lt;&gt;"销项开票",N($Q744)=0),0,ROUND(N($H744)/(1+$Q744)*N(IFERROR(INDEX(单位档案!$L$6:$L$35,MATCH($E744,单位档案!$A$6:$A$35,0)),"")),2))</f>
        <v>0</v>
      </c>
      <c r="W744" s="36" t="n">
        <f aca="false">ROUND($S744+$T744+$U744+$V744,2)</f>
        <v>0</v>
      </c>
      <c r="X744" s="35" t="str">
        <f aca="false">IF(OR($D744="挂靠代收",$D744="我方收款"),COUNTIFS($D$5:$D744,"挂靠代收")+COUNTIFS($D$5:$D744,"我方收款"),"")</f>
        <v/>
      </c>
      <c r="Y744" s="35"/>
      <c r="Z744" s="21" t="s">
        <v>111</v>
      </c>
    </row>
    <row r="745" customFormat="false" ht="15.75" hidden="false" customHeight="true" outlineLevel="0" collapsed="false">
      <c r="A745" s="32" t="str">
        <f aca="false">IF($B745="","",ROW()-4)</f>
        <v/>
      </c>
      <c r="B745" s="26"/>
      <c r="C745" s="24"/>
      <c r="D745" s="21"/>
      <c r="E745" s="21"/>
      <c r="F745" s="21"/>
      <c r="G745" s="21"/>
      <c r="H745" s="27"/>
      <c r="I745" s="23" t="str">
        <f aca="false">IF($D745&lt;&gt;"销项开票","",IF($N745="一级",IF(IFERROR(INDEX(项目档案!$E$6:$E$255,MATCH($C745,项目档案!$A$6:$A$255,0)),"")="",N(IFERROR(INDEX(单位档案!$D$6:$D$35,MATCH($E745,单位档案!$A$6:$A$35,0)),"")),IFERROR(INDEX(项目档案!$E$6:$E$255,MATCH($C745,项目档案!$A$6:$A$255,0)),"")),IF($N745="二级",IF(IFERROR(INDEX(项目档案!$G$6:$G$255,MATCH($C745,项目档案!$A$6:$A$255,0)),"")="",N(IFERROR(INDEX(单位档案!$D$6:$D$35,MATCH($E745,单位档案!$A$6:$A$35,0)),"")),IFERROR(INDEX(项目档案!$G$6:$G$255,MATCH($C745,项目档案!$A$6:$A$255,0)),"")),N(IFERROR(INDEX(单位档案!$D$6:$D$35,MATCH($E745,单位档案!$A$6:$A$35,0)),"")))))</f>
        <v/>
      </c>
      <c r="J745" s="22"/>
      <c r="K745" s="22"/>
      <c r="L745" s="33" t="str">
        <f aca="false">IF($B745="","",IF(NOT(ISNUMBER($B745)),"日期格式不对",IF($C745="","未选项目编号",IF(LEFT($M745,1)="⚠","项目编号不存在",IF($D745="","未选业务类型",IF($E745="","未选开票/付款方",IF(ISNA(MATCH($E745,单位档案!$A$6:$A$35,0)),"开票方不在单位档案",IF($F745="","未选收票/收款方",IF(ISNA(MATCH($F745,单位档案!$A$6:$A$35,0)),"收款方不在单位档案",IF(NOT(ISNUMBER($H745)),"金额须为数字",IF(AND($D745="销项开票",$N745="—"),"链条待确认","√")))))))))))</f>
        <v/>
      </c>
      <c r="M745" s="34" t="str">
        <f aca="false">IF($C745="","",IFERROR(INDEX(项目档案!$B$6:$B$255,MATCH($C745,项目档案!$A$6:$A$255,0)),"⚠项目编号不存在"))</f>
        <v/>
      </c>
      <c r="N745" s="35" t="str">
        <f aca="false">IF($E745="","",IF($E745=IFERROR(INDEX(项目档案!$D$6:$D$255,MATCH($C745,项目档案!$A$6:$A$255,0)),""),"一级",IF($E745=IFERROR(INDEX(项目档案!$F$6:$F$255,MATCH($C745,项目档案!$A$6:$A$255,0)),""),"二级",IF($E745=IFERROR(INDEX(项目档案!$H$6:$H$255,MATCH($C745,项目档案!$A$6:$A$255,0)),""),"我方","—"))))</f>
        <v/>
      </c>
      <c r="O745" s="36" t="n">
        <f aca="false">IF($D745&lt;&gt;"销项开票",0,ROUND(N($H745)*N($I745),2))</f>
        <v>0</v>
      </c>
      <c r="P745" s="36" t="n">
        <f aca="false">IF($D745&lt;&gt;"销项开票",0,ROUND(N($H745)-$O745,2))</f>
        <v>0</v>
      </c>
      <c r="Q745" s="37" t="str">
        <f aca="false">IF($E745="","",N(IFERROR(INDEX(单位档案!$E$6:$E$35,MATCH($E745,单位档案!$A$6:$A$35,0)),"")))</f>
        <v/>
      </c>
      <c r="R745" s="37" t="str">
        <f aca="false">IF($E745="","",N(IFERROR(INDEX(单位档案!$F$6:$F$35,MATCH($E745,单位档案!$A$6:$A$35,0)),"")))</f>
        <v/>
      </c>
      <c r="S745" s="36" t="n">
        <f aca="false">IF(OR($D745&lt;&gt;"销项开票",IFERROR(INDEX(单位档案!$G$6:$G$35,MATCH($E745,单位档案!$A$6:$A$35,0)),"")&lt;&gt;"是",N($Q745)=0),0,IF(IFERROR(INDEX(单位档案!$H$6:$H$35,MATCH($E745,单位档案!$A$6:$A$35,0)),"")="税差法",ROUND(N($H745)/(1+$Q745)*$Q745-IF(N($R745)=0,0,$P745/(1+$R745)*$R745),2),ROUND(N($H745)/(1+$Q745)*$Q745,2)))</f>
        <v>0</v>
      </c>
      <c r="T745" s="36" t="n">
        <f aca="false">ROUND($S745*N(IFERROR(INDEX(单位档案!$J$6:$J$35,MATCH($E745,单位档案!$A$6:$A$35,0)),"")),2)</f>
        <v>0</v>
      </c>
      <c r="U745" s="36" t="n">
        <f aca="false">IF($D745&lt;&gt;"销项开票",0,ROUND(N($H745)*N(IFERROR(INDEX(单位档案!$K$6:$K$35,MATCH($E745,单位档案!$A$6:$A$35,0)),"")),2))</f>
        <v>0</v>
      </c>
      <c r="V745" s="36" t="n">
        <f aca="false">IF(OR($D745&lt;&gt;"销项开票",N($Q745)=0),0,ROUND(N($H745)/(1+$Q745)*N(IFERROR(INDEX(单位档案!$L$6:$L$35,MATCH($E745,单位档案!$A$6:$A$35,0)),"")),2))</f>
        <v>0</v>
      </c>
      <c r="W745" s="36" t="n">
        <f aca="false">ROUND($S745+$T745+$U745+$V745,2)</f>
        <v>0</v>
      </c>
      <c r="X745" s="35" t="str">
        <f aca="false">IF(OR($D745="挂靠代收",$D745="我方收款"),COUNTIFS($D$5:$D745,"挂靠代收")+COUNTIFS($D$5:$D745,"我方收款"),"")</f>
        <v/>
      </c>
      <c r="Y745" s="35"/>
      <c r="Z745" s="21" t="s">
        <v>111</v>
      </c>
    </row>
    <row r="746" customFormat="false" ht="15.75" hidden="false" customHeight="true" outlineLevel="0" collapsed="false">
      <c r="A746" s="32" t="str">
        <f aca="false">IF($B746="","",ROW()-4)</f>
        <v/>
      </c>
      <c r="B746" s="26"/>
      <c r="C746" s="24"/>
      <c r="D746" s="21"/>
      <c r="E746" s="21"/>
      <c r="F746" s="21"/>
      <c r="G746" s="21"/>
      <c r="H746" s="27"/>
      <c r="I746" s="23" t="str">
        <f aca="false">IF($D746&lt;&gt;"销项开票","",IF($N746="一级",IF(IFERROR(INDEX(项目档案!$E$6:$E$255,MATCH($C746,项目档案!$A$6:$A$255,0)),"")="",N(IFERROR(INDEX(单位档案!$D$6:$D$35,MATCH($E746,单位档案!$A$6:$A$35,0)),"")),IFERROR(INDEX(项目档案!$E$6:$E$255,MATCH($C746,项目档案!$A$6:$A$255,0)),"")),IF($N746="二级",IF(IFERROR(INDEX(项目档案!$G$6:$G$255,MATCH($C746,项目档案!$A$6:$A$255,0)),"")="",N(IFERROR(INDEX(单位档案!$D$6:$D$35,MATCH($E746,单位档案!$A$6:$A$35,0)),"")),IFERROR(INDEX(项目档案!$G$6:$G$255,MATCH($C746,项目档案!$A$6:$A$255,0)),"")),N(IFERROR(INDEX(单位档案!$D$6:$D$35,MATCH($E746,单位档案!$A$6:$A$35,0)),"")))))</f>
        <v/>
      </c>
      <c r="J746" s="22"/>
      <c r="K746" s="22"/>
      <c r="L746" s="33" t="str">
        <f aca="false">IF($B746="","",IF(NOT(ISNUMBER($B746)),"日期格式不对",IF($C746="","未选项目编号",IF(LEFT($M746,1)="⚠","项目编号不存在",IF($D746="","未选业务类型",IF($E746="","未选开票/付款方",IF(ISNA(MATCH($E746,单位档案!$A$6:$A$35,0)),"开票方不在单位档案",IF($F746="","未选收票/收款方",IF(ISNA(MATCH($F746,单位档案!$A$6:$A$35,0)),"收款方不在单位档案",IF(NOT(ISNUMBER($H746)),"金额须为数字",IF(AND($D746="销项开票",$N746="—"),"链条待确认","√")))))))))))</f>
        <v/>
      </c>
      <c r="M746" s="34" t="str">
        <f aca="false">IF($C746="","",IFERROR(INDEX(项目档案!$B$6:$B$255,MATCH($C746,项目档案!$A$6:$A$255,0)),"⚠项目编号不存在"))</f>
        <v/>
      </c>
      <c r="N746" s="35" t="str">
        <f aca="false">IF($E746="","",IF($E746=IFERROR(INDEX(项目档案!$D$6:$D$255,MATCH($C746,项目档案!$A$6:$A$255,0)),""),"一级",IF($E746=IFERROR(INDEX(项目档案!$F$6:$F$255,MATCH($C746,项目档案!$A$6:$A$255,0)),""),"二级",IF($E746=IFERROR(INDEX(项目档案!$H$6:$H$255,MATCH($C746,项目档案!$A$6:$A$255,0)),""),"我方","—"))))</f>
        <v/>
      </c>
      <c r="O746" s="36" t="n">
        <f aca="false">IF($D746&lt;&gt;"销项开票",0,ROUND(N($H746)*N($I746),2))</f>
        <v>0</v>
      </c>
      <c r="P746" s="36" t="n">
        <f aca="false">IF($D746&lt;&gt;"销项开票",0,ROUND(N($H746)-$O746,2))</f>
        <v>0</v>
      </c>
      <c r="Q746" s="37" t="str">
        <f aca="false">IF($E746="","",N(IFERROR(INDEX(单位档案!$E$6:$E$35,MATCH($E746,单位档案!$A$6:$A$35,0)),"")))</f>
        <v/>
      </c>
      <c r="R746" s="37" t="str">
        <f aca="false">IF($E746="","",N(IFERROR(INDEX(单位档案!$F$6:$F$35,MATCH($E746,单位档案!$A$6:$A$35,0)),"")))</f>
        <v/>
      </c>
      <c r="S746" s="36" t="n">
        <f aca="false">IF(OR($D746&lt;&gt;"销项开票",IFERROR(INDEX(单位档案!$G$6:$G$35,MATCH($E746,单位档案!$A$6:$A$35,0)),"")&lt;&gt;"是",N($Q746)=0),0,IF(IFERROR(INDEX(单位档案!$H$6:$H$35,MATCH($E746,单位档案!$A$6:$A$35,0)),"")="税差法",ROUND(N($H746)/(1+$Q746)*$Q746-IF(N($R746)=0,0,$P746/(1+$R746)*$R746),2),ROUND(N($H746)/(1+$Q746)*$Q746,2)))</f>
        <v>0</v>
      </c>
      <c r="T746" s="36" t="n">
        <f aca="false">ROUND($S746*N(IFERROR(INDEX(单位档案!$J$6:$J$35,MATCH($E746,单位档案!$A$6:$A$35,0)),"")),2)</f>
        <v>0</v>
      </c>
      <c r="U746" s="36" t="n">
        <f aca="false">IF($D746&lt;&gt;"销项开票",0,ROUND(N($H746)*N(IFERROR(INDEX(单位档案!$K$6:$K$35,MATCH($E746,单位档案!$A$6:$A$35,0)),"")),2))</f>
        <v>0</v>
      </c>
      <c r="V746" s="36" t="n">
        <f aca="false">IF(OR($D746&lt;&gt;"销项开票",N($Q746)=0),0,ROUND(N($H746)/(1+$Q746)*N(IFERROR(INDEX(单位档案!$L$6:$L$35,MATCH($E746,单位档案!$A$6:$A$35,0)),"")),2))</f>
        <v>0</v>
      </c>
      <c r="W746" s="36" t="n">
        <f aca="false">ROUND($S746+$T746+$U746+$V746,2)</f>
        <v>0</v>
      </c>
      <c r="X746" s="35" t="str">
        <f aca="false">IF(OR($D746="挂靠代收",$D746="我方收款"),COUNTIFS($D$5:$D746,"挂靠代收")+COUNTIFS($D$5:$D746,"我方收款"),"")</f>
        <v/>
      </c>
      <c r="Y746" s="35"/>
      <c r="Z746" s="21" t="s">
        <v>111</v>
      </c>
    </row>
    <row r="747" customFormat="false" ht="15.75" hidden="false" customHeight="true" outlineLevel="0" collapsed="false">
      <c r="A747" s="32" t="str">
        <f aca="false">IF($B747="","",ROW()-4)</f>
        <v/>
      </c>
      <c r="B747" s="26"/>
      <c r="C747" s="24"/>
      <c r="D747" s="21"/>
      <c r="E747" s="21"/>
      <c r="F747" s="21"/>
      <c r="G747" s="21"/>
      <c r="H747" s="27"/>
      <c r="I747" s="23" t="str">
        <f aca="false">IF($D747&lt;&gt;"销项开票","",IF($N747="一级",IF(IFERROR(INDEX(项目档案!$E$6:$E$255,MATCH($C747,项目档案!$A$6:$A$255,0)),"")="",N(IFERROR(INDEX(单位档案!$D$6:$D$35,MATCH($E747,单位档案!$A$6:$A$35,0)),"")),IFERROR(INDEX(项目档案!$E$6:$E$255,MATCH($C747,项目档案!$A$6:$A$255,0)),"")),IF($N747="二级",IF(IFERROR(INDEX(项目档案!$G$6:$G$255,MATCH($C747,项目档案!$A$6:$A$255,0)),"")="",N(IFERROR(INDEX(单位档案!$D$6:$D$35,MATCH($E747,单位档案!$A$6:$A$35,0)),"")),IFERROR(INDEX(项目档案!$G$6:$G$255,MATCH($C747,项目档案!$A$6:$A$255,0)),"")),N(IFERROR(INDEX(单位档案!$D$6:$D$35,MATCH($E747,单位档案!$A$6:$A$35,0)),"")))))</f>
        <v/>
      </c>
      <c r="J747" s="22"/>
      <c r="K747" s="22"/>
      <c r="L747" s="33" t="str">
        <f aca="false">IF($B747="","",IF(NOT(ISNUMBER($B747)),"日期格式不对",IF($C747="","未选项目编号",IF(LEFT($M747,1)="⚠","项目编号不存在",IF($D747="","未选业务类型",IF($E747="","未选开票/付款方",IF(ISNA(MATCH($E747,单位档案!$A$6:$A$35,0)),"开票方不在单位档案",IF($F747="","未选收票/收款方",IF(ISNA(MATCH($F747,单位档案!$A$6:$A$35,0)),"收款方不在单位档案",IF(NOT(ISNUMBER($H747)),"金额须为数字",IF(AND($D747="销项开票",$N747="—"),"链条待确认","√")))))))))))</f>
        <v/>
      </c>
      <c r="M747" s="34" t="str">
        <f aca="false">IF($C747="","",IFERROR(INDEX(项目档案!$B$6:$B$255,MATCH($C747,项目档案!$A$6:$A$255,0)),"⚠项目编号不存在"))</f>
        <v/>
      </c>
      <c r="N747" s="35" t="str">
        <f aca="false">IF($E747="","",IF($E747=IFERROR(INDEX(项目档案!$D$6:$D$255,MATCH($C747,项目档案!$A$6:$A$255,0)),""),"一级",IF($E747=IFERROR(INDEX(项目档案!$F$6:$F$255,MATCH($C747,项目档案!$A$6:$A$255,0)),""),"二级",IF($E747=IFERROR(INDEX(项目档案!$H$6:$H$255,MATCH($C747,项目档案!$A$6:$A$255,0)),""),"我方","—"))))</f>
        <v/>
      </c>
      <c r="O747" s="36" t="n">
        <f aca="false">IF($D747&lt;&gt;"销项开票",0,ROUND(N($H747)*N($I747),2))</f>
        <v>0</v>
      </c>
      <c r="P747" s="36" t="n">
        <f aca="false">IF($D747&lt;&gt;"销项开票",0,ROUND(N($H747)-$O747,2))</f>
        <v>0</v>
      </c>
      <c r="Q747" s="37" t="str">
        <f aca="false">IF($E747="","",N(IFERROR(INDEX(单位档案!$E$6:$E$35,MATCH($E747,单位档案!$A$6:$A$35,0)),"")))</f>
        <v/>
      </c>
      <c r="R747" s="37" t="str">
        <f aca="false">IF($E747="","",N(IFERROR(INDEX(单位档案!$F$6:$F$35,MATCH($E747,单位档案!$A$6:$A$35,0)),"")))</f>
        <v/>
      </c>
      <c r="S747" s="36" t="n">
        <f aca="false">IF(OR($D747&lt;&gt;"销项开票",IFERROR(INDEX(单位档案!$G$6:$G$35,MATCH($E747,单位档案!$A$6:$A$35,0)),"")&lt;&gt;"是",N($Q747)=0),0,IF(IFERROR(INDEX(单位档案!$H$6:$H$35,MATCH($E747,单位档案!$A$6:$A$35,0)),"")="税差法",ROUND(N($H747)/(1+$Q747)*$Q747-IF(N($R747)=0,0,$P747/(1+$R747)*$R747),2),ROUND(N($H747)/(1+$Q747)*$Q747,2)))</f>
        <v>0</v>
      </c>
      <c r="T747" s="36" t="n">
        <f aca="false">ROUND($S747*N(IFERROR(INDEX(单位档案!$J$6:$J$35,MATCH($E747,单位档案!$A$6:$A$35,0)),"")),2)</f>
        <v>0</v>
      </c>
      <c r="U747" s="36" t="n">
        <f aca="false">IF($D747&lt;&gt;"销项开票",0,ROUND(N($H747)*N(IFERROR(INDEX(单位档案!$K$6:$K$35,MATCH($E747,单位档案!$A$6:$A$35,0)),"")),2))</f>
        <v>0</v>
      </c>
      <c r="V747" s="36" t="n">
        <f aca="false">IF(OR($D747&lt;&gt;"销项开票",N($Q747)=0),0,ROUND(N($H747)/(1+$Q747)*N(IFERROR(INDEX(单位档案!$L$6:$L$35,MATCH($E747,单位档案!$A$6:$A$35,0)),"")),2))</f>
        <v>0</v>
      </c>
      <c r="W747" s="36" t="n">
        <f aca="false">ROUND($S747+$T747+$U747+$V747,2)</f>
        <v>0</v>
      </c>
      <c r="X747" s="35" t="str">
        <f aca="false">IF(OR($D747="挂靠代收",$D747="我方收款"),COUNTIFS($D$5:$D747,"挂靠代收")+COUNTIFS($D$5:$D747,"我方收款"),"")</f>
        <v/>
      </c>
      <c r="Y747" s="35"/>
      <c r="Z747" s="21" t="s">
        <v>111</v>
      </c>
    </row>
    <row r="748" customFormat="false" ht="15.75" hidden="false" customHeight="true" outlineLevel="0" collapsed="false">
      <c r="A748" s="32" t="str">
        <f aca="false">IF($B748="","",ROW()-4)</f>
        <v/>
      </c>
      <c r="B748" s="26"/>
      <c r="C748" s="24"/>
      <c r="D748" s="21"/>
      <c r="E748" s="21"/>
      <c r="F748" s="21"/>
      <c r="G748" s="21"/>
      <c r="H748" s="27"/>
      <c r="I748" s="23" t="str">
        <f aca="false">IF($D748&lt;&gt;"销项开票","",IF($N748="一级",IF(IFERROR(INDEX(项目档案!$E$6:$E$255,MATCH($C748,项目档案!$A$6:$A$255,0)),"")="",N(IFERROR(INDEX(单位档案!$D$6:$D$35,MATCH($E748,单位档案!$A$6:$A$35,0)),"")),IFERROR(INDEX(项目档案!$E$6:$E$255,MATCH($C748,项目档案!$A$6:$A$255,0)),"")),IF($N748="二级",IF(IFERROR(INDEX(项目档案!$G$6:$G$255,MATCH($C748,项目档案!$A$6:$A$255,0)),"")="",N(IFERROR(INDEX(单位档案!$D$6:$D$35,MATCH($E748,单位档案!$A$6:$A$35,0)),"")),IFERROR(INDEX(项目档案!$G$6:$G$255,MATCH($C748,项目档案!$A$6:$A$255,0)),"")),N(IFERROR(INDEX(单位档案!$D$6:$D$35,MATCH($E748,单位档案!$A$6:$A$35,0)),"")))))</f>
        <v/>
      </c>
      <c r="J748" s="22"/>
      <c r="K748" s="22"/>
      <c r="L748" s="33" t="str">
        <f aca="false">IF($B748="","",IF(NOT(ISNUMBER($B748)),"日期格式不对",IF($C748="","未选项目编号",IF(LEFT($M748,1)="⚠","项目编号不存在",IF($D748="","未选业务类型",IF($E748="","未选开票/付款方",IF(ISNA(MATCH($E748,单位档案!$A$6:$A$35,0)),"开票方不在单位档案",IF($F748="","未选收票/收款方",IF(ISNA(MATCH($F748,单位档案!$A$6:$A$35,0)),"收款方不在单位档案",IF(NOT(ISNUMBER($H748)),"金额须为数字",IF(AND($D748="销项开票",$N748="—"),"链条待确认","√")))))))))))</f>
        <v/>
      </c>
      <c r="M748" s="34" t="str">
        <f aca="false">IF($C748="","",IFERROR(INDEX(项目档案!$B$6:$B$255,MATCH($C748,项目档案!$A$6:$A$255,0)),"⚠项目编号不存在"))</f>
        <v/>
      </c>
      <c r="N748" s="35" t="str">
        <f aca="false">IF($E748="","",IF($E748=IFERROR(INDEX(项目档案!$D$6:$D$255,MATCH($C748,项目档案!$A$6:$A$255,0)),""),"一级",IF($E748=IFERROR(INDEX(项目档案!$F$6:$F$255,MATCH($C748,项目档案!$A$6:$A$255,0)),""),"二级",IF($E748=IFERROR(INDEX(项目档案!$H$6:$H$255,MATCH($C748,项目档案!$A$6:$A$255,0)),""),"我方","—"))))</f>
        <v/>
      </c>
      <c r="O748" s="36" t="n">
        <f aca="false">IF($D748&lt;&gt;"销项开票",0,ROUND(N($H748)*N($I748),2))</f>
        <v>0</v>
      </c>
      <c r="P748" s="36" t="n">
        <f aca="false">IF($D748&lt;&gt;"销项开票",0,ROUND(N($H748)-$O748,2))</f>
        <v>0</v>
      </c>
      <c r="Q748" s="37" t="str">
        <f aca="false">IF($E748="","",N(IFERROR(INDEX(单位档案!$E$6:$E$35,MATCH($E748,单位档案!$A$6:$A$35,0)),"")))</f>
        <v/>
      </c>
      <c r="R748" s="37" t="str">
        <f aca="false">IF($E748="","",N(IFERROR(INDEX(单位档案!$F$6:$F$35,MATCH($E748,单位档案!$A$6:$A$35,0)),"")))</f>
        <v/>
      </c>
      <c r="S748" s="36" t="n">
        <f aca="false">IF(OR($D748&lt;&gt;"销项开票",IFERROR(INDEX(单位档案!$G$6:$G$35,MATCH($E748,单位档案!$A$6:$A$35,0)),"")&lt;&gt;"是",N($Q748)=0),0,IF(IFERROR(INDEX(单位档案!$H$6:$H$35,MATCH($E748,单位档案!$A$6:$A$35,0)),"")="税差法",ROUND(N($H748)/(1+$Q748)*$Q748-IF(N($R748)=0,0,$P748/(1+$R748)*$R748),2),ROUND(N($H748)/(1+$Q748)*$Q748,2)))</f>
        <v>0</v>
      </c>
      <c r="T748" s="36" t="n">
        <f aca="false">ROUND($S748*N(IFERROR(INDEX(单位档案!$J$6:$J$35,MATCH($E748,单位档案!$A$6:$A$35,0)),"")),2)</f>
        <v>0</v>
      </c>
      <c r="U748" s="36" t="n">
        <f aca="false">IF($D748&lt;&gt;"销项开票",0,ROUND(N($H748)*N(IFERROR(INDEX(单位档案!$K$6:$K$35,MATCH($E748,单位档案!$A$6:$A$35,0)),"")),2))</f>
        <v>0</v>
      </c>
      <c r="V748" s="36" t="n">
        <f aca="false">IF(OR($D748&lt;&gt;"销项开票",N($Q748)=0),0,ROUND(N($H748)/(1+$Q748)*N(IFERROR(INDEX(单位档案!$L$6:$L$35,MATCH($E748,单位档案!$A$6:$A$35,0)),"")),2))</f>
        <v>0</v>
      </c>
      <c r="W748" s="36" t="n">
        <f aca="false">ROUND($S748+$T748+$U748+$V748,2)</f>
        <v>0</v>
      </c>
      <c r="X748" s="35" t="str">
        <f aca="false">IF(OR($D748="挂靠代收",$D748="我方收款"),COUNTIFS($D$5:$D748,"挂靠代收")+COUNTIFS($D$5:$D748,"我方收款"),"")</f>
        <v/>
      </c>
      <c r="Y748" s="35"/>
      <c r="Z748" s="21" t="s">
        <v>111</v>
      </c>
    </row>
    <row r="749" customFormat="false" ht="15.75" hidden="false" customHeight="true" outlineLevel="0" collapsed="false">
      <c r="A749" s="32" t="str">
        <f aca="false">IF($B749="","",ROW()-4)</f>
        <v/>
      </c>
      <c r="B749" s="26"/>
      <c r="C749" s="24"/>
      <c r="D749" s="21"/>
      <c r="E749" s="21"/>
      <c r="F749" s="21"/>
      <c r="G749" s="21"/>
      <c r="H749" s="27"/>
      <c r="I749" s="23" t="str">
        <f aca="false">IF($D749&lt;&gt;"销项开票","",IF($N749="一级",IF(IFERROR(INDEX(项目档案!$E$6:$E$255,MATCH($C749,项目档案!$A$6:$A$255,0)),"")="",N(IFERROR(INDEX(单位档案!$D$6:$D$35,MATCH($E749,单位档案!$A$6:$A$35,0)),"")),IFERROR(INDEX(项目档案!$E$6:$E$255,MATCH($C749,项目档案!$A$6:$A$255,0)),"")),IF($N749="二级",IF(IFERROR(INDEX(项目档案!$G$6:$G$255,MATCH($C749,项目档案!$A$6:$A$255,0)),"")="",N(IFERROR(INDEX(单位档案!$D$6:$D$35,MATCH($E749,单位档案!$A$6:$A$35,0)),"")),IFERROR(INDEX(项目档案!$G$6:$G$255,MATCH($C749,项目档案!$A$6:$A$255,0)),"")),N(IFERROR(INDEX(单位档案!$D$6:$D$35,MATCH($E749,单位档案!$A$6:$A$35,0)),"")))))</f>
        <v/>
      </c>
      <c r="J749" s="22"/>
      <c r="K749" s="22"/>
      <c r="L749" s="33" t="str">
        <f aca="false">IF($B749="","",IF(NOT(ISNUMBER($B749)),"日期格式不对",IF($C749="","未选项目编号",IF(LEFT($M749,1)="⚠","项目编号不存在",IF($D749="","未选业务类型",IF($E749="","未选开票/付款方",IF(ISNA(MATCH($E749,单位档案!$A$6:$A$35,0)),"开票方不在单位档案",IF($F749="","未选收票/收款方",IF(ISNA(MATCH($F749,单位档案!$A$6:$A$35,0)),"收款方不在单位档案",IF(NOT(ISNUMBER($H749)),"金额须为数字",IF(AND($D749="销项开票",$N749="—"),"链条待确认","√")))))))))))</f>
        <v/>
      </c>
      <c r="M749" s="34" t="str">
        <f aca="false">IF($C749="","",IFERROR(INDEX(项目档案!$B$6:$B$255,MATCH($C749,项目档案!$A$6:$A$255,0)),"⚠项目编号不存在"))</f>
        <v/>
      </c>
      <c r="N749" s="35" t="str">
        <f aca="false">IF($E749="","",IF($E749=IFERROR(INDEX(项目档案!$D$6:$D$255,MATCH($C749,项目档案!$A$6:$A$255,0)),""),"一级",IF($E749=IFERROR(INDEX(项目档案!$F$6:$F$255,MATCH($C749,项目档案!$A$6:$A$255,0)),""),"二级",IF($E749=IFERROR(INDEX(项目档案!$H$6:$H$255,MATCH($C749,项目档案!$A$6:$A$255,0)),""),"我方","—"))))</f>
        <v/>
      </c>
      <c r="O749" s="36" t="n">
        <f aca="false">IF($D749&lt;&gt;"销项开票",0,ROUND(N($H749)*N($I749),2))</f>
        <v>0</v>
      </c>
      <c r="P749" s="36" t="n">
        <f aca="false">IF($D749&lt;&gt;"销项开票",0,ROUND(N($H749)-$O749,2))</f>
        <v>0</v>
      </c>
      <c r="Q749" s="37" t="str">
        <f aca="false">IF($E749="","",N(IFERROR(INDEX(单位档案!$E$6:$E$35,MATCH($E749,单位档案!$A$6:$A$35,0)),"")))</f>
        <v/>
      </c>
      <c r="R749" s="37" t="str">
        <f aca="false">IF($E749="","",N(IFERROR(INDEX(单位档案!$F$6:$F$35,MATCH($E749,单位档案!$A$6:$A$35,0)),"")))</f>
        <v/>
      </c>
      <c r="S749" s="36" t="n">
        <f aca="false">IF(OR($D749&lt;&gt;"销项开票",IFERROR(INDEX(单位档案!$G$6:$G$35,MATCH($E749,单位档案!$A$6:$A$35,0)),"")&lt;&gt;"是",N($Q749)=0),0,IF(IFERROR(INDEX(单位档案!$H$6:$H$35,MATCH($E749,单位档案!$A$6:$A$35,0)),"")="税差法",ROUND(N($H749)/(1+$Q749)*$Q749-IF(N($R749)=0,0,$P749/(1+$R749)*$R749),2),ROUND(N($H749)/(1+$Q749)*$Q749,2)))</f>
        <v>0</v>
      </c>
      <c r="T749" s="36" t="n">
        <f aca="false">ROUND($S749*N(IFERROR(INDEX(单位档案!$J$6:$J$35,MATCH($E749,单位档案!$A$6:$A$35,0)),"")),2)</f>
        <v>0</v>
      </c>
      <c r="U749" s="36" t="n">
        <f aca="false">IF($D749&lt;&gt;"销项开票",0,ROUND(N($H749)*N(IFERROR(INDEX(单位档案!$K$6:$K$35,MATCH($E749,单位档案!$A$6:$A$35,0)),"")),2))</f>
        <v>0</v>
      </c>
      <c r="V749" s="36" t="n">
        <f aca="false">IF(OR($D749&lt;&gt;"销项开票",N($Q749)=0),0,ROUND(N($H749)/(1+$Q749)*N(IFERROR(INDEX(单位档案!$L$6:$L$35,MATCH($E749,单位档案!$A$6:$A$35,0)),"")),2))</f>
        <v>0</v>
      </c>
      <c r="W749" s="36" t="n">
        <f aca="false">ROUND($S749+$T749+$U749+$V749,2)</f>
        <v>0</v>
      </c>
      <c r="X749" s="35" t="str">
        <f aca="false">IF(OR($D749="挂靠代收",$D749="我方收款"),COUNTIFS($D$5:$D749,"挂靠代收")+COUNTIFS($D$5:$D749,"我方收款"),"")</f>
        <v/>
      </c>
      <c r="Y749" s="35"/>
      <c r="Z749" s="21" t="s">
        <v>111</v>
      </c>
    </row>
    <row r="750" customFormat="false" ht="15.75" hidden="false" customHeight="true" outlineLevel="0" collapsed="false">
      <c r="A750" s="32" t="str">
        <f aca="false">IF($B750="","",ROW()-4)</f>
        <v/>
      </c>
      <c r="B750" s="26"/>
      <c r="C750" s="24"/>
      <c r="D750" s="21"/>
      <c r="E750" s="21"/>
      <c r="F750" s="21"/>
      <c r="G750" s="21"/>
      <c r="H750" s="27"/>
      <c r="I750" s="23" t="str">
        <f aca="false">IF($D750&lt;&gt;"销项开票","",IF($N750="一级",IF(IFERROR(INDEX(项目档案!$E$6:$E$255,MATCH($C750,项目档案!$A$6:$A$255,0)),"")="",N(IFERROR(INDEX(单位档案!$D$6:$D$35,MATCH($E750,单位档案!$A$6:$A$35,0)),"")),IFERROR(INDEX(项目档案!$E$6:$E$255,MATCH($C750,项目档案!$A$6:$A$255,0)),"")),IF($N750="二级",IF(IFERROR(INDEX(项目档案!$G$6:$G$255,MATCH($C750,项目档案!$A$6:$A$255,0)),"")="",N(IFERROR(INDEX(单位档案!$D$6:$D$35,MATCH($E750,单位档案!$A$6:$A$35,0)),"")),IFERROR(INDEX(项目档案!$G$6:$G$255,MATCH($C750,项目档案!$A$6:$A$255,0)),"")),N(IFERROR(INDEX(单位档案!$D$6:$D$35,MATCH($E750,单位档案!$A$6:$A$35,0)),"")))))</f>
        <v/>
      </c>
      <c r="J750" s="22"/>
      <c r="K750" s="22"/>
      <c r="L750" s="33" t="str">
        <f aca="false">IF($B750="","",IF(NOT(ISNUMBER($B750)),"日期格式不对",IF($C750="","未选项目编号",IF(LEFT($M750,1)="⚠","项目编号不存在",IF($D750="","未选业务类型",IF($E750="","未选开票/付款方",IF(ISNA(MATCH($E750,单位档案!$A$6:$A$35,0)),"开票方不在单位档案",IF($F750="","未选收票/收款方",IF(ISNA(MATCH($F750,单位档案!$A$6:$A$35,0)),"收款方不在单位档案",IF(NOT(ISNUMBER($H750)),"金额须为数字",IF(AND($D750="销项开票",$N750="—"),"链条待确认","√")))))))))))</f>
        <v/>
      </c>
      <c r="M750" s="34" t="str">
        <f aca="false">IF($C750="","",IFERROR(INDEX(项目档案!$B$6:$B$255,MATCH($C750,项目档案!$A$6:$A$255,0)),"⚠项目编号不存在"))</f>
        <v/>
      </c>
      <c r="N750" s="35" t="str">
        <f aca="false">IF($E750="","",IF($E750=IFERROR(INDEX(项目档案!$D$6:$D$255,MATCH($C750,项目档案!$A$6:$A$255,0)),""),"一级",IF($E750=IFERROR(INDEX(项目档案!$F$6:$F$255,MATCH($C750,项目档案!$A$6:$A$255,0)),""),"二级",IF($E750=IFERROR(INDEX(项目档案!$H$6:$H$255,MATCH($C750,项目档案!$A$6:$A$255,0)),""),"我方","—"))))</f>
        <v/>
      </c>
      <c r="O750" s="36" t="n">
        <f aca="false">IF($D750&lt;&gt;"销项开票",0,ROUND(N($H750)*N($I750),2))</f>
        <v>0</v>
      </c>
      <c r="P750" s="36" t="n">
        <f aca="false">IF($D750&lt;&gt;"销项开票",0,ROUND(N($H750)-$O750,2))</f>
        <v>0</v>
      </c>
      <c r="Q750" s="37" t="str">
        <f aca="false">IF($E750="","",N(IFERROR(INDEX(单位档案!$E$6:$E$35,MATCH($E750,单位档案!$A$6:$A$35,0)),"")))</f>
        <v/>
      </c>
      <c r="R750" s="37" t="str">
        <f aca="false">IF($E750="","",N(IFERROR(INDEX(单位档案!$F$6:$F$35,MATCH($E750,单位档案!$A$6:$A$35,0)),"")))</f>
        <v/>
      </c>
      <c r="S750" s="36" t="n">
        <f aca="false">IF(OR($D750&lt;&gt;"销项开票",IFERROR(INDEX(单位档案!$G$6:$G$35,MATCH($E750,单位档案!$A$6:$A$35,0)),"")&lt;&gt;"是",N($Q750)=0),0,IF(IFERROR(INDEX(单位档案!$H$6:$H$35,MATCH($E750,单位档案!$A$6:$A$35,0)),"")="税差法",ROUND(N($H750)/(1+$Q750)*$Q750-IF(N($R750)=0,0,$P750/(1+$R750)*$R750),2),ROUND(N($H750)/(1+$Q750)*$Q750,2)))</f>
        <v>0</v>
      </c>
      <c r="T750" s="36" t="n">
        <f aca="false">ROUND($S750*N(IFERROR(INDEX(单位档案!$J$6:$J$35,MATCH($E750,单位档案!$A$6:$A$35,0)),"")),2)</f>
        <v>0</v>
      </c>
      <c r="U750" s="36" t="n">
        <f aca="false">IF($D750&lt;&gt;"销项开票",0,ROUND(N($H750)*N(IFERROR(INDEX(单位档案!$K$6:$K$35,MATCH($E750,单位档案!$A$6:$A$35,0)),"")),2))</f>
        <v>0</v>
      </c>
      <c r="V750" s="36" t="n">
        <f aca="false">IF(OR($D750&lt;&gt;"销项开票",N($Q750)=0),0,ROUND(N($H750)/(1+$Q750)*N(IFERROR(INDEX(单位档案!$L$6:$L$35,MATCH($E750,单位档案!$A$6:$A$35,0)),"")),2))</f>
        <v>0</v>
      </c>
      <c r="W750" s="36" t="n">
        <f aca="false">ROUND($S750+$T750+$U750+$V750,2)</f>
        <v>0</v>
      </c>
      <c r="X750" s="35" t="str">
        <f aca="false">IF(OR($D750="挂靠代收",$D750="我方收款"),COUNTIFS($D$5:$D750,"挂靠代收")+COUNTIFS($D$5:$D750,"我方收款"),"")</f>
        <v/>
      </c>
      <c r="Y750" s="35"/>
      <c r="Z750" s="21" t="s">
        <v>111</v>
      </c>
    </row>
    <row r="751" customFormat="false" ht="15.75" hidden="false" customHeight="true" outlineLevel="0" collapsed="false">
      <c r="A751" s="32" t="str">
        <f aca="false">IF($B751="","",ROW()-4)</f>
        <v/>
      </c>
      <c r="B751" s="26"/>
      <c r="C751" s="24"/>
      <c r="D751" s="21"/>
      <c r="E751" s="21"/>
      <c r="F751" s="21"/>
      <c r="G751" s="21"/>
      <c r="H751" s="27"/>
      <c r="I751" s="23" t="str">
        <f aca="false">IF($D751&lt;&gt;"销项开票","",IF($N751="一级",IF(IFERROR(INDEX(项目档案!$E$6:$E$255,MATCH($C751,项目档案!$A$6:$A$255,0)),"")="",N(IFERROR(INDEX(单位档案!$D$6:$D$35,MATCH($E751,单位档案!$A$6:$A$35,0)),"")),IFERROR(INDEX(项目档案!$E$6:$E$255,MATCH($C751,项目档案!$A$6:$A$255,0)),"")),IF($N751="二级",IF(IFERROR(INDEX(项目档案!$G$6:$G$255,MATCH($C751,项目档案!$A$6:$A$255,0)),"")="",N(IFERROR(INDEX(单位档案!$D$6:$D$35,MATCH($E751,单位档案!$A$6:$A$35,0)),"")),IFERROR(INDEX(项目档案!$G$6:$G$255,MATCH($C751,项目档案!$A$6:$A$255,0)),"")),N(IFERROR(INDEX(单位档案!$D$6:$D$35,MATCH($E751,单位档案!$A$6:$A$35,0)),"")))))</f>
        <v/>
      </c>
      <c r="J751" s="22"/>
      <c r="K751" s="22"/>
      <c r="L751" s="33" t="str">
        <f aca="false">IF($B751="","",IF(NOT(ISNUMBER($B751)),"日期格式不对",IF($C751="","未选项目编号",IF(LEFT($M751,1)="⚠","项目编号不存在",IF($D751="","未选业务类型",IF($E751="","未选开票/付款方",IF(ISNA(MATCH($E751,单位档案!$A$6:$A$35,0)),"开票方不在单位档案",IF($F751="","未选收票/收款方",IF(ISNA(MATCH($F751,单位档案!$A$6:$A$35,0)),"收款方不在单位档案",IF(NOT(ISNUMBER($H751)),"金额须为数字",IF(AND($D751="销项开票",$N751="—"),"链条待确认","√")))))))))))</f>
        <v/>
      </c>
      <c r="M751" s="34" t="str">
        <f aca="false">IF($C751="","",IFERROR(INDEX(项目档案!$B$6:$B$255,MATCH($C751,项目档案!$A$6:$A$255,0)),"⚠项目编号不存在"))</f>
        <v/>
      </c>
      <c r="N751" s="35" t="str">
        <f aca="false">IF($E751="","",IF($E751=IFERROR(INDEX(项目档案!$D$6:$D$255,MATCH($C751,项目档案!$A$6:$A$255,0)),""),"一级",IF($E751=IFERROR(INDEX(项目档案!$F$6:$F$255,MATCH($C751,项目档案!$A$6:$A$255,0)),""),"二级",IF($E751=IFERROR(INDEX(项目档案!$H$6:$H$255,MATCH($C751,项目档案!$A$6:$A$255,0)),""),"我方","—"))))</f>
        <v/>
      </c>
      <c r="O751" s="36" t="n">
        <f aca="false">IF($D751&lt;&gt;"销项开票",0,ROUND(N($H751)*N($I751),2))</f>
        <v>0</v>
      </c>
      <c r="P751" s="36" t="n">
        <f aca="false">IF($D751&lt;&gt;"销项开票",0,ROUND(N($H751)-$O751,2))</f>
        <v>0</v>
      </c>
      <c r="Q751" s="37" t="str">
        <f aca="false">IF($E751="","",N(IFERROR(INDEX(单位档案!$E$6:$E$35,MATCH($E751,单位档案!$A$6:$A$35,0)),"")))</f>
        <v/>
      </c>
      <c r="R751" s="37" t="str">
        <f aca="false">IF($E751="","",N(IFERROR(INDEX(单位档案!$F$6:$F$35,MATCH($E751,单位档案!$A$6:$A$35,0)),"")))</f>
        <v/>
      </c>
      <c r="S751" s="36" t="n">
        <f aca="false">IF(OR($D751&lt;&gt;"销项开票",IFERROR(INDEX(单位档案!$G$6:$G$35,MATCH($E751,单位档案!$A$6:$A$35,0)),"")&lt;&gt;"是",N($Q751)=0),0,IF(IFERROR(INDEX(单位档案!$H$6:$H$35,MATCH($E751,单位档案!$A$6:$A$35,0)),"")="税差法",ROUND(N($H751)/(1+$Q751)*$Q751-IF(N($R751)=0,0,$P751/(1+$R751)*$R751),2),ROUND(N($H751)/(1+$Q751)*$Q751,2)))</f>
        <v>0</v>
      </c>
      <c r="T751" s="36" t="n">
        <f aca="false">ROUND($S751*N(IFERROR(INDEX(单位档案!$J$6:$J$35,MATCH($E751,单位档案!$A$6:$A$35,0)),"")),2)</f>
        <v>0</v>
      </c>
      <c r="U751" s="36" t="n">
        <f aca="false">IF($D751&lt;&gt;"销项开票",0,ROUND(N($H751)*N(IFERROR(INDEX(单位档案!$K$6:$K$35,MATCH($E751,单位档案!$A$6:$A$35,0)),"")),2))</f>
        <v>0</v>
      </c>
      <c r="V751" s="36" t="n">
        <f aca="false">IF(OR($D751&lt;&gt;"销项开票",N($Q751)=0),0,ROUND(N($H751)/(1+$Q751)*N(IFERROR(INDEX(单位档案!$L$6:$L$35,MATCH($E751,单位档案!$A$6:$A$35,0)),"")),2))</f>
        <v>0</v>
      </c>
      <c r="W751" s="36" t="n">
        <f aca="false">ROUND($S751+$T751+$U751+$V751,2)</f>
        <v>0</v>
      </c>
      <c r="X751" s="35" t="str">
        <f aca="false">IF(OR($D751="挂靠代收",$D751="我方收款"),COUNTIFS($D$5:$D751,"挂靠代收")+COUNTIFS($D$5:$D751,"我方收款"),"")</f>
        <v/>
      </c>
      <c r="Y751" s="35"/>
      <c r="Z751" s="21" t="s">
        <v>111</v>
      </c>
    </row>
    <row r="752" customFormat="false" ht="15.75" hidden="false" customHeight="true" outlineLevel="0" collapsed="false">
      <c r="A752" s="32" t="str">
        <f aca="false">IF($B752="","",ROW()-4)</f>
        <v/>
      </c>
      <c r="B752" s="26"/>
      <c r="C752" s="24"/>
      <c r="D752" s="21"/>
      <c r="E752" s="21"/>
      <c r="F752" s="21"/>
      <c r="G752" s="21"/>
      <c r="H752" s="27"/>
      <c r="I752" s="23" t="str">
        <f aca="false">IF($D752&lt;&gt;"销项开票","",IF($N752="一级",IF(IFERROR(INDEX(项目档案!$E$6:$E$255,MATCH($C752,项目档案!$A$6:$A$255,0)),"")="",N(IFERROR(INDEX(单位档案!$D$6:$D$35,MATCH($E752,单位档案!$A$6:$A$35,0)),"")),IFERROR(INDEX(项目档案!$E$6:$E$255,MATCH($C752,项目档案!$A$6:$A$255,0)),"")),IF($N752="二级",IF(IFERROR(INDEX(项目档案!$G$6:$G$255,MATCH($C752,项目档案!$A$6:$A$255,0)),"")="",N(IFERROR(INDEX(单位档案!$D$6:$D$35,MATCH($E752,单位档案!$A$6:$A$35,0)),"")),IFERROR(INDEX(项目档案!$G$6:$G$255,MATCH($C752,项目档案!$A$6:$A$255,0)),"")),N(IFERROR(INDEX(单位档案!$D$6:$D$35,MATCH($E752,单位档案!$A$6:$A$35,0)),"")))))</f>
        <v/>
      </c>
      <c r="J752" s="22"/>
      <c r="K752" s="22"/>
      <c r="L752" s="33" t="str">
        <f aca="false">IF($B752="","",IF(NOT(ISNUMBER($B752)),"日期格式不对",IF($C752="","未选项目编号",IF(LEFT($M752,1)="⚠","项目编号不存在",IF($D752="","未选业务类型",IF($E752="","未选开票/付款方",IF(ISNA(MATCH($E752,单位档案!$A$6:$A$35,0)),"开票方不在单位档案",IF($F752="","未选收票/收款方",IF(ISNA(MATCH($F752,单位档案!$A$6:$A$35,0)),"收款方不在单位档案",IF(NOT(ISNUMBER($H752)),"金额须为数字",IF(AND($D752="销项开票",$N752="—"),"链条待确认","√")))))))))))</f>
        <v/>
      </c>
      <c r="M752" s="34" t="str">
        <f aca="false">IF($C752="","",IFERROR(INDEX(项目档案!$B$6:$B$255,MATCH($C752,项目档案!$A$6:$A$255,0)),"⚠项目编号不存在"))</f>
        <v/>
      </c>
      <c r="N752" s="35" t="str">
        <f aca="false">IF($E752="","",IF($E752=IFERROR(INDEX(项目档案!$D$6:$D$255,MATCH($C752,项目档案!$A$6:$A$255,0)),""),"一级",IF($E752=IFERROR(INDEX(项目档案!$F$6:$F$255,MATCH($C752,项目档案!$A$6:$A$255,0)),""),"二级",IF($E752=IFERROR(INDEX(项目档案!$H$6:$H$255,MATCH($C752,项目档案!$A$6:$A$255,0)),""),"我方","—"))))</f>
        <v/>
      </c>
      <c r="O752" s="36" t="n">
        <f aca="false">IF($D752&lt;&gt;"销项开票",0,ROUND(N($H752)*N($I752),2))</f>
        <v>0</v>
      </c>
      <c r="P752" s="36" t="n">
        <f aca="false">IF($D752&lt;&gt;"销项开票",0,ROUND(N($H752)-$O752,2))</f>
        <v>0</v>
      </c>
      <c r="Q752" s="37" t="str">
        <f aca="false">IF($E752="","",N(IFERROR(INDEX(单位档案!$E$6:$E$35,MATCH($E752,单位档案!$A$6:$A$35,0)),"")))</f>
        <v/>
      </c>
      <c r="R752" s="37" t="str">
        <f aca="false">IF($E752="","",N(IFERROR(INDEX(单位档案!$F$6:$F$35,MATCH($E752,单位档案!$A$6:$A$35,0)),"")))</f>
        <v/>
      </c>
      <c r="S752" s="36" t="n">
        <f aca="false">IF(OR($D752&lt;&gt;"销项开票",IFERROR(INDEX(单位档案!$G$6:$G$35,MATCH($E752,单位档案!$A$6:$A$35,0)),"")&lt;&gt;"是",N($Q752)=0),0,IF(IFERROR(INDEX(单位档案!$H$6:$H$35,MATCH($E752,单位档案!$A$6:$A$35,0)),"")="税差法",ROUND(N($H752)/(1+$Q752)*$Q752-IF(N($R752)=0,0,$P752/(1+$R752)*$R752),2),ROUND(N($H752)/(1+$Q752)*$Q752,2)))</f>
        <v>0</v>
      </c>
      <c r="T752" s="36" t="n">
        <f aca="false">ROUND($S752*N(IFERROR(INDEX(单位档案!$J$6:$J$35,MATCH($E752,单位档案!$A$6:$A$35,0)),"")),2)</f>
        <v>0</v>
      </c>
      <c r="U752" s="36" t="n">
        <f aca="false">IF($D752&lt;&gt;"销项开票",0,ROUND(N($H752)*N(IFERROR(INDEX(单位档案!$K$6:$K$35,MATCH($E752,单位档案!$A$6:$A$35,0)),"")),2))</f>
        <v>0</v>
      </c>
      <c r="V752" s="36" t="n">
        <f aca="false">IF(OR($D752&lt;&gt;"销项开票",N($Q752)=0),0,ROUND(N($H752)/(1+$Q752)*N(IFERROR(INDEX(单位档案!$L$6:$L$35,MATCH($E752,单位档案!$A$6:$A$35,0)),"")),2))</f>
        <v>0</v>
      </c>
      <c r="W752" s="36" t="n">
        <f aca="false">ROUND($S752+$T752+$U752+$V752,2)</f>
        <v>0</v>
      </c>
      <c r="X752" s="35" t="str">
        <f aca="false">IF(OR($D752="挂靠代收",$D752="我方收款"),COUNTIFS($D$5:$D752,"挂靠代收")+COUNTIFS($D$5:$D752,"我方收款"),"")</f>
        <v/>
      </c>
      <c r="Y752" s="35"/>
      <c r="Z752" s="21" t="s">
        <v>111</v>
      </c>
    </row>
    <row r="753" customFormat="false" ht="15.75" hidden="false" customHeight="true" outlineLevel="0" collapsed="false">
      <c r="A753" s="32" t="str">
        <f aca="false">IF($B753="","",ROW()-4)</f>
        <v/>
      </c>
      <c r="B753" s="26"/>
      <c r="C753" s="24"/>
      <c r="D753" s="21"/>
      <c r="E753" s="21"/>
      <c r="F753" s="21"/>
      <c r="G753" s="21"/>
      <c r="H753" s="27"/>
      <c r="I753" s="23" t="str">
        <f aca="false">IF($D753&lt;&gt;"销项开票","",IF($N753="一级",IF(IFERROR(INDEX(项目档案!$E$6:$E$255,MATCH($C753,项目档案!$A$6:$A$255,0)),"")="",N(IFERROR(INDEX(单位档案!$D$6:$D$35,MATCH($E753,单位档案!$A$6:$A$35,0)),"")),IFERROR(INDEX(项目档案!$E$6:$E$255,MATCH($C753,项目档案!$A$6:$A$255,0)),"")),IF($N753="二级",IF(IFERROR(INDEX(项目档案!$G$6:$G$255,MATCH($C753,项目档案!$A$6:$A$255,0)),"")="",N(IFERROR(INDEX(单位档案!$D$6:$D$35,MATCH($E753,单位档案!$A$6:$A$35,0)),"")),IFERROR(INDEX(项目档案!$G$6:$G$255,MATCH($C753,项目档案!$A$6:$A$255,0)),"")),N(IFERROR(INDEX(单位档案!$D$6:$D$35,MATCH($E753,单位档案!$A$6:$A$35,0)),"")))))</f>
        <v/>
      </c>
      <c r="J753" s="22"/>
      <c r="K753" s="22"/>
      <c r="L753" s="33" t="str">
        <f aca="false">IF($B753="","",IF(NOT(ISNUMBER($B753)),"日期格式不对",IF($C753="","未选项目编号",IF(LEFT($M753,1)="⚠","项目编号不存在",IF($D753="","未选业务类型",IF($E753="","未选开票/付款方",IF(ISNA(MATCH($E753,单位档案!$A$6:$A$35,0)),"开票方不在单位档案",IF($F753="","未选收票/收款方",IF(ISNA(MATCH($F753,单位档案!$A$6:$A$35,0)),"收款方不在单位档案",IF(NOT(ISNUMBER($H753)),"金额须为数字",IF(AND($D753="销项开票",$N753="—"),"链条待确认","√")))))))))))</f>
        <v/>
      </c>
      <c r="M753" s="34" t="str">
        <f aca="false">IF($C753="","",IFERROR(INDEX(项目档案!$B$6:$B$255,MATCH($C753,项目档案!$A$6:$A$255,0)),"⚠项目编号不存在"))</f>
        <v/>
      </c>
      <c r="N753" s="35" t="str">
        <f aca="false">IF($E753="","",IF($E753=IFERROR(INDEX(项目档案!$D$6:$D$255,MATCH($C753,项目档案!$A$6:$A$255,0)),""),"一级",IF($E753=IFERROR(INDEX(项目档案!$F$6:$F$255,MATCH($C753,项目档案!$A$6:$A$255,0)),""),"二级",IF($E753=IFERROR(INDEX(项目档案!$H$6:$H$255,MATCH($C753,项目档案!$A$6:$A$255,0)),""),"我方","—"))))</f>
        <v/>
      </c>
      <c r="O753" s="36" t="n">
        <f aca="false">IF($D753&lt;&gt;"销项开票",0,ROUND(N($H753)*N($I753),2))</f>
        <v>0</v>
      </c>
      <c r="P753" s="36" t="n">
        <f aca="false">IF($D753&lt;&gt;"销项开票",0,ROUND(N($H753)-$O753,2))</f>
        <v>0</v>
      </c>
      <c r="Q753" s="37" t="str">
        <f aca="false">IF($E753="","",N(IFERROR(INDEX(单位档案!$E$6:$E$35,MATCH($E753,单位档案!$A$6:$A$35,0)),"")))</f>
        <v/>
      </c>
      <c r="R753" s="37" t="str">
        <f aca="false">IF($E753="","",N(IFERROR(INDEX(单位档案!$F$6:$F$35,MATCH($E753,单位档案!$A$6:$A$35,0)),"")))</f>
        <v/>
      </c>
      <c r="S753" s="36" t="n">
        <f aca="false">IF(OR($D753&lt;&gt;"销项开票",IFERROR(INDEX(单位档案!$G$6:$G$35,MATCH($E753,单位档案!$A$6:$A$35,0)),"")&lt;&gt;"是",N($Q753)=0),0,IF(IFERROR(INDEX(单位档案!$H$6:$H$35,MATCH($E753,单位档案!$A$6:$A$35,0)),"")="税差法",ROUND(N($H753)/(1+$Q753)*$Q753-IF(N($R753)=0,0,$P753/(1+$R753)*$R753),2),ROUND(N($H753)/(1+$Q753)*$Q753,2)))</f>
        <v>0</v>
      </c>
      <c r="T753" s="36" t="n">
        <f aca="false">ROUND($S753*N(IFERROR(INDEX(单位档案!$J$6:$J$35,MATCH($E753,单位档案!$A$6:$A$35,0)),"")),2)</f>
        <v>0</v>
      </c>
      <c r="U753" s="36" t="n">
        <f aca="false">IF($D753&lt;&gt;"销项开票",0,ROUND(N($H753)*N(IFERROR(INDEX(单位档案!$K$6:$K$35,MATCH($E753,单位档案!$A$6:$A$35,0)),"")),2))</f>
        <v>0</v>
      </c>
      <c r="V753" s="36" t="n">
        <f aca="false">IF(OR($D753&lt;&gt;"销项开票",N($Q753)=0),0,ROUND(N($H753)/(1+$Q753)*N(IFERROR(INDEX(单位档案!$L$6:$L$35,MATCH($E753,单位档案!$A$6:$A$35,0)),"")),2))</f>
        <v>0</v>
      </c>
      <c r="W753" s="36" t="n">
        <f aca="false">ROUND($S753+$T753+$U753+$V753,2)</f>
        <v>0</v>
      </c>
      <c r="X753" s="35" t="str">
        <f aca="false">IF(OR($D753="挂靠代收",$D753="我方收款"),COUNTIFS($D$5:$D753,"挂靠代收")+COUNTIFS($D$5:$D753,"我方收款"),"")</f>
        <v/>
      </c>
      <c r="Y753" s="35"/>
      <c r="Z753" s="21" t="s">
        <v>111</v>
      </c>
    </row>
    <row r="754" customFormat="false" ht="15.75" hidden="false" customHeight="true" outlineLevel="0" collapsed="false">
      <c r="A754" s="32" t="str">
        <f aca="false">IF($B754="","",ROW()-4)</f>
        <v/>
      </c>
      <c r="B754" s="26"/>
      <c r="C754" s="24"/>
      <c r="D754" s="21"/>
      <c r="E754" s="21"/>
      <c r="F754" s="21"/>
      <c r="G754" s="21"/>
      <c r="H754" s="27"/>
      <c r="I754" s="23" t="str">
        <f aca="false">IF($D754&lt;&gt;"销项开票","",IF($N754="一级",IF(IFERROR(INDEX(项目档案!$E$6:$E$255,MATCH($C754,项目档案!$A$6:$A$255,0)),"")="",N(IFERROR(INDEX(单位档案!$D$6:$D$35,MATCH($E754,单位档案!$A$6:$A$35,0)),"")),IFERROR(INDEX(项目档案!$E$6:$E$255,MATCH($C754,项目档案!$A$6:$A$255,0)),"")),IF($N754="二级",IF(IFERROR(INDEX(项目档案!$G$6:$G$255,MATCH($C754,项目档案!$A$6:$A$255,0)),"")="",N(IFERROR(INDEX(单位档案!$D$6:$D$35,MATCH($E754,单位档案!$A$6:$A$35,0)),"")),IFERROR(INDEX(项目档案!$G$6:$G$255,MATCH($C754,项目档案!$A$6:$A$255,0)),"")),N(IFERROR(INDEX(单位档案!$D$6:$D$35,MATCH($E754,单位档案!$A$6:$A$35,0)),"")))))</f>
        <v/>
      </c>
      <c r="J754" s="22"/>
      <c r="K754" s="22"/>
      <c r="L754" s="33" t="str">
        <f aca="false">IF($B754="","",IF(NOT(ISNUMBER($B754)),"日期格式不对",IF($C754="","未选项目编号",IF(LEFT($M754,1)="⚠","项目编号不存在",IF($D754="","未选业务类型",IF($E754="","未选开票/付款方",IF(ISNA(MATCH($E754,单位档案!$A$6:$A$35,0)),"开票方不在单位档案",IF($F754="","未选收票/收款方",IF(ISNA(MATCH($F754,单位档案!$A$6:$A$35,0)),"收款方不在单位档案",IF(NOT(ISNUMBER($H754)),"金额须为数字",IF(AND($D754="销项开票",$N754="—"),"链条待确认","√")))))))))))</f>
        <v/>
      </c>
      <c r="M754" s="34" t="str">
        <f aca="false">IF($C754="","",IFERROR(INDEX(项目档案!$B$6:$B$255,MATCH($C754,项目档案!$A$6:$A$255,0)),"⚠项目编号不存在"))</f>
        <v/>
      </c>
      <c r="N754" s="35" t="str">
        <f aca="false">IF($E754="","",IF($E754=IFERROR(INDEX(项目档案!$D$6:$D$255,MATCH($C754,项目档案!$A$6:$A$255,0)),""),"一级",IF($E754=IFERROR(INDEX(项目档案!$F$6:$F$255,MATCH($C754,项目档案!$A$6:$A$255,0)),""),"二级",IF($E754=IFERROR(INDEX(项目档案!$H$6:$H$255,MATCH($C754,项目档案!$A$6:$A$255,0)),""),"我方","—"))))</f>
        <v/>
      </c>
      <c r="O754" s="36" t="n">
        <f aca="false">IF($D754&lt;&gt;"销项开票",0,ROUND(N($H754)*N($I754),2))</f>
        <v>0</v>
      </c>
      <c r="P754" s="36" t="n">
        <f aca="false">IF($D754&lt;&gt;"销项开票",0,ROUND(N($H754)-$O754,2))</f>
        <v>0</v>
      </c>
      <c r="Q754" s="37" t="str">
        <f aca="false">IF($E754="","",N(IFERROR(INDEX(单位档案!$E$6:$E$35,MATCH($E754,单位档案!$A$6:$A$35,0)),"")))</f>
        <v/>
      </c>
      <c r="R754" s="37" t="str">
        <f aca="false">IF($E754="","",N(IFERROR(INDEX(单位档案!$F$6:$F$35,MATCH($E754,单位档案!$A$6:$A$35,0)),"")))</f>
        <v/>
      </c>
      <c r="S754" s="36" t="n">
        <f aca="false">IF(OR($D754&lt;&gt;"销项开票",IFERROR(INDEX(单位档案!$G$6:$G$35,MATCH($E754,单位档案!$A$6:$A$35,0)),"")&lt;&gt;"是",N($Q754)=0),0,IF(IFERROR(INDEX(单位档案!$H$6:$H$35,MATCH($E754,单位档案!$A$6:$A$35,0)),"")="税差法",ROUND(N($H754)/(1+$Q754)*$Q754-IF(N($R754)=0,0,$P754/(1+$R754)*$R754),2),ROUND(N($H754)/(1+$Q754)*$Q754,2)))</f>
        <v>0</v>
      </c>
      <c r="T754" s="36" t="n">
        <f aca="false">ROUND($S754*N(IFERROR(INDEX(单位档案!$J$6:$J$35,MATCH($E754,单位档案!$A$6:$A$35,0)),"")),2)</f>
        <v>0</v>
      </c>
      <c r="U754" s="36" t="n">
        <f aca="false">IF($D754&lt;&gt;"销项开票",0,ROUND(N($H754)*N(IFERROR(INDEX(单位档案!$K$6:$K$35,MATCH($E754,单位档案!$A$6:$A$35,0)),"")),2))</f>
        <v>0</v>
      </c>
      <c r="V754" s="36" t="n">
        <f aca="false">IF(OR($D754&lt;&gt;"销项开票",N($Q754)=0),0,ROUND(N($H754)/(1+$Q754)*N(IFERROR(INDEX(单位档案!$L$6:$L$35,MATCH($E754,单位档案!$A$6:$A$35,0)),"")),2))</f>
        <v>0</v>
      </c>
      <c r="W754" s="36" t="n">
        <f aca="false">ROUND($S754+$T754+$U754+$V754,2)</f>
        <v>0</v>
      </c>
      <c r="X754" s="35" t="str">
        <f aca="false">IF(OR($D754="挂靠代收",$D754="我方收款"),COUNTIFS($D$5:$D754,"挂靠代收")+COUNTIFS($D$5:$D754,"我方收款"),"")</f>
        <v/>
      </c>
      <c r="Y754" s="35"/>
      <c r="Z754" s="21" t="s">
        <v>111</v>
      </c>
    </row>
    <row r="755" customFormat="false" ht="15.75" hidden="false" customHeight="true" outlineLevel="0" collapsed="false">
      <c r="A755" s="32" t="str">
        <f aca="false">IF($B755="","",ROW()-4)</f>
        <v/>
      </c>
      <c r="B755" s="26"/>
      <c r="C755" s="24"/>
      <c r="D755" s="21"/>
      <c r="E755" s="21"/>
      <c r="F755" s="21"/>
      <c r="G755" s="21"/>
      <c r="H755" s="27"/>
      <c r="I755" s="23" t="str">
        <f aca="false">IF($D755&lt;&gt;"销项开票","",IF($N755="一级",IF(IFERROR(INDEX(项目档案!$E$6:$E$255,MATCH($C755,项目档案!$A$6:$A$255,0)),"")="",N(IFERROR(INDEX(单位档案!$D$6:$D$35,MATCH($E755,单位档案!$A$6:$A$35,0)),"")),IFERROR(INDEX(项目档案!$E$6:$E$255,MATCH($C755,项目档案!$A$6:$A$255,0)),"")),IF($N755="二级",IF(IFERROR(INDEX(项目档案!$G$6:$G$255,MATCH($C755,项目档案!$A$6:$A$255,0)),"")="",N(IFERROR(INDEX(单位档案!$D$6:$D$35,MATCH($E755,单位档案!$A$6:$A$35,0)),"")),IFERROR(INDEX(项目档案!$G$6:$G$255,MATCH($C755,项目档案!$A$6:$A$255,0)),"")),N(IFERROR(INDEX(单位档案!$D$6:$D$35,MATCH($E755,单位档案!$A$6:$A$35,0)),"")))))</f>
        <v/>
      </c>
      <c r="J755" s="22"/>
      <c r="K755" s="22"/>
      <c r="L755" s="33" t="str">
        <f aca="false">IF($B755="","",IF(NOT(ISNUMBER($B755)),"日期格式不对",IF($C755="","未选项目编号",IF(LEFT($M755,1)="⚠","项目编号不存在",IF($D755="","未选业务类型",IF($E755="","未选开票/付款方",IF(ISNA(MATCH($E755,单位档案!$A$6:$A$35,0)),"开票方不在单位档案",IF($F755="","未选收票/收款方",IF(ISNA(MATCH($F755,单位档案!$A$6:$A$35,0)),"收款方不在单位档案",IF(NOT(ISNUMBER($H755)),"金额须为数字",IF(AND($D755="销项开票",$N755="—"),"链条待确认","√")))))))))))</f>
        <v/>
      </c>
      <c r="M755" s="34" t="str">
        <f aca="false">IF($C755="","",IFERROR(INDEX(项目档案!$B$6:$B$255,MATCH($C755,项目档案!$A$6:$A$255,0)),"⚠项目编号不存在"))</f>
        <v/>
      </c>
      <c r="N755" s="35" t="str">
        <f aca="false">IF($E755="","",IF($E755=IFERROR(INDEX(项目档案!$D$6:$D$255,MATCH($C755,项目档案!$A$6:$A$255,0)),""),"一级",IF($E755=IFERROR(INDEX(项目档案!$F$6:$F$255,MATCH($C755,项目档案!$A$6:$A$255,0)),""),"二级",IF($E755=IFERROR(INDEX(项目档案!$H$6:$H$255,MATCH($C755,项目档案!$A$6:$A$255,0)),""),"我方","—"))))</f>
        <v/>
      </c>
      <c r="O755" s="36" t="n">
        <f aca="false">IF($D755&lt;&gt;"销项开票",0,ROUND(N($H755)*N($I755),2))</f>
        <v>0</v>
      </c>
      <c r="P755" s="36" t="n">
        <f aca="false">IF($D755&lt;&gt;"销项开票",0,ROUND(N($H755)-$O755,2))</f>
        <v>0</v>
      </c>
      <c r="Q755" s="37" t="str">
        <f aca="false">IF($E755="","",N(IFERROR(INDEX(单位档案!$E$6:$E$35,MATCH($E755,单位档案!$A$6:$A$35,0)),"")))</f>
        <v/>
      </c>
      <c r="R755" s="37" t="str">
        <f aca="false">IF($E755="","",N(IFERROR(INDEX(单位档案!$F$6:$F$35,MATCH($E755,单位档案!$A$6:$A$35,0)),"")))</f>
        <v/>
      </c>
      <c r="S755" s="36" t="n">
        <f aca="false">IF(OR($D755&lt;&gt;"销项开票",IFERROR(INDEX(单位档案!$G$6:$G$35,MATCH($E755,单位档案!$A$6:$A$35,0)),"")&lt;&gt;"是",N($Q755)=0),0,IF(IFERROR(INDEX(单位档案!$H$6:$H$35,MATCH($E755,单位档案!$A$6:$A$35,0)),"")="税差法",ROUND(N($H755)/(1+$Q755)*$Q755-IF(N($R755)=0,0,$P755/(1+$R755)*$R755),2),ROUND(N($H755)/(1+$Q755)*$Q755,2)))</f>
        <v>0</v>
      </c>
      <c r="T755" s="36" t="n">
        <f aca="false">ROUND($S755*N(IFERROR(INDEX(单位档案!$J$6:$J$35,MATCH($E755,单位档案!$A$6:$A$35,0)),"")),2)</f>
        <v>0</v>
      </c>
      <c r="U755" s="36" t="n">
        <f aca="false">IF($D755&lt;&gt;"销项开票",0,ROUND(N($H755)*N(IFERROR(INDEX(单位档案!$K$6:$K$35,MATCH($E755,单位档案!$A$6:$A$35,0)),"")),2))</f>
        <v>0</v>
      </c>
      <c r="V755" s="36" t="n">
        <f aca="false">IF(OR($D755&lt;&gt;"销项开票",N($Q755)=0),0,ROUND(N($H755)/(1+$Q755)*N(IFERROR(INDEX(单位档案!$L$6:$L$35,MATCH($E755,单位档案!$A$6:$A$35,0)),"")),2))</f>
        <v>0</v>
      </c>
      <c r="W755" s="36" t="n">
        <f aca="false">ROUND($S755+$T755+$U755+$V755,2)</f>
        <v>0</v>
      </c>
      <c r="X755" s="35" t="str">
        <f aca="false">IF(OR($D755="挂靠代收",$D755="我方收款"),COUNTIFS($D$5:$D755,"挂靠代收")+COUNTIFS($D$5:$D755,"我方收款"),"")</f>
        <v/>
      </c>
      <c r="Y755" s="35"/>
      <c r="Z755" s="21" t="s">
        <v>111</v>
      </c>
    </row>
    <row r="756" customFormat="false" ht="15.75" hidden="false" customHeight="true" outlineLevel="0" collapsed="false">
      <c r="A756" s="32" t="str">
        <f aca="false">IF($B756="","",ROW()-4)</f>
        <v/>
      </c>
      <c r="B756" s="26"/>
      <c r="C756" s="24"/>
      <c r="D756" s="21"/>
      <c r="E756" s="21"/>
      <c r="F756" s="21"/>
      <c r="G756" s="21"/>
      <c r="H756" s="27"/>
      <c r="I756" s="23" t="str">
        <f aca="false">IF($D756&lt;&gt;"销项开票","",IF($N756="一级",IF(IFERROR(INDEX(项目档案!$E$6:$E$255,MATCH($C756,项目档案!$A$6:$A$255,0)),"")="",N(IFERROR(INDEX(单位档案!$D$6:$D$35,MATCH($E756,单位档案!$A$6:$A$35,0)),"")),IFERROR(INDEX(项目档案!$E$6:$E$255,MATCH($C756,项目档案!$A$6:$A$255,0)),"")),IF($N756="二级",IF(IFERROR(INDEX(项目档案!$G$6:$G$255,MATCH($C756,项目档案!$A$6:$A$255,0)),"")="",N(IFERROR(INDEX(单位档案!$D$6:$D$35,MATCH($E756,单位档案!$A$6:$A$35,0)),"")),IFERROR(INDEX(项目档案!$G$6:$G$255,MATCH($C756,项目档案!$A$6:$A$255,0)),"")),N(IFERROR(INDEX(单位档案!$D$6:$D$35,MATCH($E756,单位档案!$A$6:$A$35,0)),"")))))</f>
        <v/>
      </c>
      <c r="J756" s="22"/>
      <c r="K756" s="22"/>
      <c r="L756" s="33" t="str">
        <f aca="false">IF($B756="","",IF(NOT(ISNUMBER($B756)),"日期格式不对",IF($C756="","未选项目编号",IF(LEFT($M756,1)="⚠","项目编号不存在",IF($D756="","未选业务类型",IF($E756="","未选开票/付款方",IF(ISNA(MATCH($E756,单位档案!$A$6:$A$35,0)),"开票方不在单位档案",IF($F756="","未选收票/收款方",IF(ISNA(MATCH($F756,单位档案!$A$6:$A$35,0)),"收款方不在单位档案",IF(NOT(ISNUMBER($H756)),"金额须为数字",IF(AND($D756="销项开票",$N756="—"),"链条待确认","√")))))))))))</f>
        <v/>
      </c>
      <c r="M756" s="34" t="str">
        <f aca="false">IF($C756="","",IFERROR(INDEX(项目档案!$B$6:$B$255,MATCH($C756,项目档案!$A$6:$A$255,0)),"⚠项目编号不存在"))</f>
        <v/>
      </c>
      <c r="N756" s="35" t="str">
        <f aca="false">IF($E756="","",IF($E756=IFERROR(INDEX(项目档案!$D$6:$D$255,MATCH($C756,项目档案!$A$6:$A$255,0)),""),"一级",IF($E756=IFERROR(INDEX(项目档案!$F$6:$F$255,MATCH($C756,项目档案!$A$6:$A$255,0)),""),"二级",IF($E756=IFERROR(INDEX(项目档案!$H$6:$H$255,MATCH($C756,项目档案!$A$6:$A$255,0)),""),"我方","—"))))</f>
        <v/>
      </c>
      <c r="O756" s="36" t="n">
        <f aca="false">IF($D756&lt;&gt;"销项开票",0,ROUND(N($H756)*N($I756),2))</f>
        <v>0</v>
      </c>
      <c r="P756" s="36" t="n">
        <f aca="false">IF($D756&lt;&gt;"销项开票",0,ROUND(N($H756)-$O756,2))</f>
        <v>0</v>
      </c>
      <c r="Q756" s="37" t="str">
        <f aca="false">IF($E756="","",N(IFERROR(INDEX(单位档案!$E$6:$E$35,MATCH($E756,单位档案!$A$6:$A$35,0)),"")))</f>
        <v/>
      </c>
      <c r="R756" s="37" t="str">
        <f aca="false">IF($E756="","",N(IFERROR(INDEX(单位档案!$F$6:$F$35,MATCH($E756,单位档案!$A$6:$A$35,0)),"")))</f>
        <v/>
      </c>
      <c r="S756" s="36" t="n">
        <f aca="false">IF(OR($D756&lt;&gt;"销项开票",IFERROR(INDEX(单位档案!$G$6:$G$35,MATCH($E756,单位档案!$A$6:$A$35,0)),"")&lt;&gt;"是",N($Q756)=0),0,IF(IFERROR(INDEX(单位档案!$H$6:$H$35,MATCH($E756,单位档案!$A$6:$A$35,0)),"")="税差法",ROUND(N($H756)/(1+$Q756)*$Q756-IF(N($R756)=0,0,$P756/(1+$R756)*$R756),2),ROUND(N($H756)/(1+$Q756)*$Q756,2)))</f>
        <v>0</v>
      </c>
      <c r="T756" s="36" t="n">
        <f aca="false">ROUND($S756*N(IFERROR(INDEX(单位档案!$J$6:$J$35,MATCH($E756,单位档案!$A$6:$A$35,0)),"")),2)</f>
        <v>0</v>
      </c>
      <c r="U756" s="36" t="n">
        <f aca="false">IF($D756&lt;&gt;"销项开票",0,ROUND(N($H756)*N(IFERROR(INDEX(单位档案!$K$6:$K$35,MATCH($E756,单位档案!$A$6:$A$35,0)),"")),2))</f>
        <v>0</v>
      </c>
      <c r="V756" s="36" t="n">
        <f aca="false">IF(OR($D756&lt;&gt;"销项开票",N($Q756)=0),0,ROUND(N($H756)/(1+$Q756)*N(IFERROR(INDEX(单位档案!$L$6:$L$35,MATCH($E756,单位档案!$A$6:$A$35,0)),"")),2))</f>
        <v>0</v>
      </c>
      <c r="W756" s="36" t="n">
        <f aca="false">ROUND($S756+$T756+$U756+$V756,2)</f>
        <v>0</v>
      </c>
      <c r="X756" s="35" t="str">
        <f aca="false">IF(OR($D756="挂靠代收",$D756="我方收款"),COUNTIFS($D$5:$D756,"挂靠代收")+COUNTIFS($D$5:$D756,"我方收款"),"")</f>
        <v/>
      </c>
      <c r="Y756" s="35"/>
      <c r="Z756" s="21" t="s">
        <v>111</v>
      </c>
    </row>
    <row r="757" customFormat="false" ht="15.75" hidden="false" customHeight="true" outlineLevel="0" collapsed="false">
      <c r="A757" s="32" t="str">
        <f aca="false">IF($B757="","",ROW()-4)</f>
        <v/>
      </c>
      <c r="B757" s="26"/>
      <c r="C757" s="24"/>
      <c r="D757" s="21"/>
      <c r="E757" s="21"/>
      <c r="F757" s="21"/>
      <c r="G757" s="21"/>
      <c r="H757" s="27"/>
      <c r="I757" s="23" t="str">
        <f aca="false">IF($D757&lt;&gt;"销项开票","",IF($N757="一级",IF(IFERROR(INDEX(项目档案!$E$6:$E$255,MATCH($C757,项目档案!$A$6:$A$255,0)),"")="",N(IFERROR(INDEX(单位档案!$D$6:$D$35,MATCH($E757,单位档案!$A$6:$A$35,0)),"")),IFERROR(INDEX(项目档案!$E$6:$E$255,MATCH($C757,项目档案!$A$6:$A$255,0)),"")),IF($N757="二级",IF(IFERROR(INDEX(项目档案!$G$6:$G$255,MATCH($C757,项目档案!$A$6:$A$255,0)),"")="",N(IFERROR(INDEX(单位档案!$D$6:$D$35,MATCH($E757,单位档案!$A$6:$A$35,0)),"")),IFERROR(INDEX(项目档案!$G$6:$G$255,MATCH($C757,项目档案!$A$6:$A$255,0)),"")),N(IFERROR(INDEX(单位档案!$D$6:$D$35,MATCH($E757,单位档案!$A$6:$A$35,0)),"")))))</f>
        <v/>
      </c>
      <c r="J757" s="22"/>
      <c r="K757" s="22"/>
      <c r="L757" s="33" t="str">
        <f aca="false">IF($B757="","",IF(NOT(ISNUMBER($B757)),"日期格式不对",IF($C757="","未选项目编号",IF(LEFT($M757,1)="⚠","项目编号不存在",IF($D757="","未选业务类型",IF($E757="","未选开票/付款方",IF(ISNA(MATCH($E757,单位档案!$A$6:$A$35,0)),"开票方不在单位档案",IF($F757="","未选收票/收款方",IF(ISNA(MATCH($F757,单位档案!$A$6:$A$35,0)),"收款方不在单位档案",IF(NOT(ISNUMBER($H757)),"金额须为数字",IF(AND($D757="销项开票",$N757="—"),"链条待确认","√")))))))))))</f>
        <v/>
      </c>
      <c r="M757" s="34" t="str">
        <f aca="false">IF($C757="","",IFERROR(INDEX(项目档案!$B$6:$B$255,MATCH($C757,项目档案!$A$6:$A$255,0)),"⚠项目编号不存在"))</f>
        <v/>
      </c>
      <c r="N757" s="35" t="str">
        <f aca="false">IF($E757="","",IF($E757=IFERROR(INDEX(项目档案!$D$6:$D$255,MATCH($C757,项目档案!$A$6:$A$255,0)),""),"一级",IF($E757=IFERROR(INDEX(项目档案!$F$6:$F$255,MATCH($C757,项目档案!$A$6:$A$255,0)),""),"二级",IF($E757=IFERROR(INDEX(项目档案!$H$6:$H$255,MATCH($C757,项目档案!$A$6:$A$255,0)),""),"我方","—"))))</f>
        <v/>
      </c>
      <c r="O757" s="36" t="n">
        <f aca="false">IF($D757&lt;&gt;"销项开票",0,ROUND(N($H757)*N($I757),2))</f>
        <v>0</v>
      </c>
      <c r="P757" s="36" t="n">
        <f aca="false">IF($D757&lt;&gt;"销项开票",0,ROUND(N($H757)-$O757,2))</f>
        <v>0</v>
      </c>
      <c r="Q757" s="37" t="str">
        <f aca="false">IF($E757="","",N(IFERROR(INDEX(单位档案!$E$6:$E$35,MATCH($E757,单位档案!$A$6:$A$35,0)),"")))</f>
        <v/>
      </c>
      <c r="R757" s="37" t="str">
        <f aca="false">IF($E757="","",N(IFERROR(INDEX(单位档案!$F$6:$F$35,MATCH($E757,单位档案!$A$6:$A$35,0)),"")))</f>
        <v/>
      </c>
      <c r="S757" s="36" t="n">
        <f aca="false">IF(OR($D757&lt;&gt;"销项开票",IFERROR(INDEX(单位档案!$G$6:$G$35,MATCH($E757,单位档案!$A$6:$A$35,0)),"")&lt;&gt;"是",N($Q757)=0),0,IF(IFERROR(INDEX(单位档案!$H$6:$H$35,MATCH($E757,单位档案!$A$6:$A$35,0)),"")="税差法",ROUND(N($H757)/(1+$Q757)*$Q757-IF(N($R757)=0,0,$P757/(1+$R757)*$R757),2),ROUND(N($H757)/(1+$Q757)*$Q757,2)))</f>
        <v>0</v>
      </c>
      <c r="T757" s="36" t="n">
        <f aca="false">ROUND($S757*N(IFERROR(INDEX(单位档案!$J$6:$J$35,MATCH($E757,单位档案!$A$6:$A$35,0)),"")),2)</f>
        <v>0</v>
      </c>
      <c r="U757" s="36" t="n">
        <f aca="false">IF($D757&lt;&gt;"销项开票",0,ROUND(N($H757)*N(IFERROR(INDEX(单位档案!$K$6:$K$35,MATCH($E757,单位档案!$A$6:$A$35,0)),"")),2))</f>
        <v>0</v>
      </c>
      <c r="V757" s="36" t="n">
        <f aca="false">IF(OR($D757&lt;&gt;"销项开票",N($Q757)=0),0,ROUND(N($H757)/(1+$Q757)*N(IFERROR(INDEX(单位档案!$L$6:$L$35,MATCH($E757,单位档案!$A$6:$A$35,0)),"")),2))</f>
        <v>0</v>
      </c>
      <c r="W757" s="36" t="n">
        <f aca="false">ROUND($S757+$T757+$U757+$V757,2)</f>
        <v>0</v>
      </c>
      <c r="X757" s="35" t="str">
        <f aca="false">IF(OR($D757="挂靠代收",$D757="我方收款"),COUNTIFS($D$5:$D757,"挂靠代收")+COUNTIFS($D$5:$D757,"我方收款"),"")</f>
        <v/>
      </c>
      <c r="Y757" s="35"/>
      <c r="Z757" s="21" t="s">
        <v>111</v>
      </c>
    </row>
    <row r="758" customFormat="false" ht="15.75" hidden="false" customHeight="true" outlineLevel="0" collapsed="false">
      <c r="A758" s="32" t="str">
        <f aca="false">IF($B758="","",ROW()-4)</f>
        <v/>
      </c>
      <c r="B758" s="26"/>
      <c r="C758" s="24"/>
      <c r="D758" s="21"/>
      <c r="E758" s="21"/>
      <c r="F758" s="21"/>
      <c r="G758" s="21"/>
      <c r="H758" s="27"/>
      <c r="I758" s="23" t="str">
        <f aca="false">IF($D758&lt;&gt;"销项开票","",IF($N758="一级",IF(IFERROR(INDEX(项目档案!$E$6:$E$255,MATCH($C758,项目档案!$A$6:$A$255,0)),"")="",N(IFERROR(INDEX(单位档案!$D$6:$D$35,MATCH($E758,单位档案!$A$6:$A$35,0)),"")),IFERROR(INDEX(项目档案!$E$6:$E$255,MATCH($C758,项目档案!$A$6:$A$255,0)),"")),IF($N758="二级",IF(IFERROR(INDEX(项目档案!$G$6:$G$255,MATCH($C758,项目档案!$A$6:$A$255,0)),"")="",N(IFERROR(INDEX(单位档案!$D$6:$D$35,MATCH($E758,单位档案!$A$6:$A$35,0)),"")),IFERROR(INDEX(项目档案!$G$6:$G$255,MATCH($C758,项目档案!$A$6:$A$255,0)),"")),N(IFERROR(INDEX(单位档案!$D$6:$D$35,MATCH($E758,单位档案!$A$6:$A$35,0)),"")))))</f>
        <v/>
      </c>
      <c r="J758" s="22"/>
      <c r="K758" s="22"/>
      <c r="L758" s="33" t="str">
        <f aca="false">IF($B758="","",IF(NOT(ISNUMBER($B758)),"日期格式不对",IF($C758="","未选项目编号",IF(LEFT($M758,1)="⚠","项目编号不存在",IF($D758="","未选业务类型",IF($E758="","未选开票/付款方",IF(ISNA(MATCH($E758,单位档案!$A$6:$A$35,0)),"开票方不在单位档案",IF($F758="","未选收票/收款方",IF(ISNA(MATCH($F758,单位档案!$A$6:$A$35,0)),"收款方不在单位档案",IF(NOT(ISNUMBER($H758)),"金额须为数字",IF(AND($D758="销项开票",$N758="—"),"链条待确认","√")))))))))))</f>
        <v/>
      </c>
      <c r="M758" s="34" t="str">
        <f aca="false">IF($C758="","",IFERROR(INDEX(项目档案!$B$6:$B$255,MATCH($C758,项目档案!$A$6:$A$255,0)),"⚠项目编号不存在"))</f>
        <v/>
      </c>
      <c r="N758" s="35" t="str">
        <f aca="false">IF($E758="","",IF($E758=IFERROR(INDEX(项目档案!$D$6:$D$255,MATCH($C758,项目档案!$A$6:$A$255,0)),""),"一级",IF($E758=IFERROR(INDEX(项目档案!$F$6:$F$255,MATCH($C758,项目档案!$A$6:$A$255,0)),""),"二级",IF($E758=IFERROR(INDEX(项目档案!$H$6:$H$255,MATCH($C758,项目档案!$A$6:$A$255,0)),""),"我方","—"))))</f>
        <v/>
      </c>
      <c r="O758" s="36" t="n">
        <f aca="false">IF($D758&lt;&gt;"销项开票",0,ROUND(N($H758)*N($I758),2))</f>
        <v>0</v>
      </c>
      <c r="P758" s="36" t="n">
        <f aca="false">IF($D758&lt;&gt;"销项开票",0,ROUND(N($H758)-$O758,2))</f>
        <v>0</v>
      </c>
      <c r="Q758" s="37" t="str">
        <f aca="false">IF($E758="","",N(IFERROR(INDEX(单位档案!$E$6:$E$35,MATCH($E758,单位档案!$A$6:$A$35,0)),"")))</f>
        <v/>
      </c>
      <c r="R758" s="37" t="str">
        <f aca="false">IF($E758="","",N(IFERROR(INDEX(单位档案!$F$6:$F$35,MATCH($E758,单位档案!$A$6:$A$35,0)),"")))</f>
        <v/>
      </c>
      <c r="S758" s="36" t="n">
        <f aca="false">IF(OR($D758&lt;&gt;"销项开票",IFERROR(INDEX(单位档案!$G$6:$G$35,MATCH($E758,单位档案!$A$6:$A$35,0)),"")&lt;&gt;"是",N($Q758)=0),0,IF(IFERROR(INDEX(单位档案!$H$6:$H$35,MATCH($E758,单位档案!$A$6:$A$35,0)),"")="税差法",ROUND(N($H758)/(1+$Q758)*$Q758-IF(N($R758)=0,0,$P758/(1+$R758)*$R758),2),ROUND(N($H758)/(1+$Q758)*$Q758,2)))</f>
        <v>0</v>
      </c>
      <c r="T758" s="36" t="n">
        <f aca="false">ROUND($S758*N(IFERROR(INDEX(单位档案!$J$6:$J$35,MATCH($E758,单位档案!$A$6:$A$35,0)),"")),2)</f>
        <v>0</v>
      </c>
      <c r="U758" s="36" t="n">
        <f aca="false">IF($D758&lt;&gt;"销项开票",0,ROUND(N($H758)*N(IFERROR(INDEX(单位档案!$K$6:$K$35,MATCH($E758,单位档案!$A$6:$A$35,0)),"")),2))</f>
        <v>0</v>
      </c>
      <c r="V758" s="36" t="n">
        <f aca="false">IF(OR($D758&lt;&gt;"销项开票",N($Q758)=0),0,ROUND(N($H758)/(1+$Q758)*N(IFERROR(INDEX(单位档案!$L$6:$L$35,MATCH($E758,单位档案!$A$6:$A$35,0)),"")),2))</f>
        <v>0</v>
      </c>
      <c r="W758" s="36" t="n">
        <f aca="false">ROUND($S758+$T758+$U758+$V758,2)</f>
        <v>0</v>
      </c>
      <c r="X758" s="35" t="str">
        <f aca="false">IF(OR($D758="挂靠代收",$D758="我方收款"),COUNTIFS($D$5:$D758,"挂靠代收")+COUNTIFS($D$5:$D758,"我方收款"),"")</f>
        <v/>
      </c>
      <c r="Y758" s="35"/>
      <c r="Z758" s="21" t="s">
        <v>111</v>
      </c>
    </row>
    <row r="759" customFormat="false" ht="15.75" hidden="false" customHeight="true" outlineLevel="0" collapsed="false">
      <c r="A759" s="32" t="str">
        <f aca="false">IF($B759="","",ROW()-4)</f>
        <v/>
      </c>
      <c r="B759" s="26"/>
      <c r="C759" s="24"/>
      <c r="D759" s="21"/>
      <c r="E759" s="21"/>
      <c r="F759" s="21"/>
      <c r="G759" s="21"/>
      <c r="H759" s="27"/>
      <c r="I759" s="23" t="str">
        <f aca="false">IF($D759&lt;&gt;"销项开票","",IF($N759="一级",IF(IFERROR(INDEX(项目档案!$E$6:$E$255,MATCH($C759,项目档案!$A$6:$A$255,0)),"")="",N(IFERROR(INDEX(单位档案!$D$6:$D$35,MATCH($E759,单位档案!$A$6:$A$35,0)),"")),IFERROR(INDEX(项目档案!$E$6:$E$255,MATCH($C759,项目档案!$A$6:$A$255,0)),"")),IF($N759="二级",IF(IFERROR(INDEX(项目档案!$G$6:$G$255,MATCH($C759,项目档案!$A$6:$A$255,0)),"")="",N(IFERROR(INDEX(单位档案!$D$6:$D$35,MATCH($E759,单位档案!$A$6:$A$35,0)),"")),IFERROR(INDEX(项目档案!$G$6:$G$255,MATCH($C759,项目档案!$A$6:$A$255,0)),"")),N(IFERROR(INDEX(单位档案!$D$6:$D$35,MATCH($E759,单位档案!$A$6:$A$35,0)),"")))))</f>
        <v/>
      </c>
      <c r="J759" s="22"/>
      <c r="K759" s="22"/>
      <c r="L759" s="33" t="str">
        <f aca="false">IF($B759="","",IF(NOT(ISNUMBER($B759)),"日期格式不对",IF($C759="","未选项目编号",IF(LEFT($M759,1)="⚠","项目编号不存在",IF($D759="","未选业务类型",IF($E759="","未选开票/付款方",IF(ISNA(MATCH($E759,单位档案!$A$6:$A$35,0)),"开票方不在单位档案",IF($F759="","未选收票/收款方",IF(ISNA(MATCH($F759,单位档案!$A$6:$A$35,0)),"收款方不在单位档案",IF(NOT(ISNUMBER($H759)),"金额须为数字",IF(AND($D759="销项开票",$N759="—"),"链条待确认","√")))))))))))</f>
        <v/>
      </c>
      <c r="M759" s="34" t="str">
        <f aca="false">IF($C759="","",IFERROR(INDEX(项目档案!$B$6:$B$255,MATCH($C759,项目档案!$A$6:$A$255,0)),"⚠项目编号不存在"))</f>
        <v/>
      </c>
      <c r="N759" s="35" t="str">
        <f aca="false">IF($E759="","",IF($E759=IFERROR(INDEX(项目档案!$D$6:$D$255,MATCH($C759,项目档案!$A$6:$A$255,0)),""),"一级",IF($E759=IFERROR(INDEX(项目档案!$F$6:$F$255,MATCH($C759,项目档案!$A$6:$A$255,0)),""),"二级",IF($E759=IFERROR(INDEX(项目档案!$H$6:$H$255,MATCH($C759,项目档案!$A$6:$A$255,0)),""),"我方","—"))))</f>
        <v/>
      </c>
      <c r="O759" s="36" t="n">
        <f aca="false">IF($D759&lt;&gt;"销项开票",0,ROUND(N($H759)*N($I759),2))</f>
        <v>0</v>
      </c>
      <c r="P759" s="36" t="n">
        <f aca="false">IF($D759&lt;&gt;"销项开票",0,ROUND(N($H759)-$O759,2))</f>
        <v>0</v>
      </c>
      <c r="Q759" s="37" t="str">
        <f aca="false">IF($E759="","",N(IFERROR(INDEX(单位档案!$E$6:$E$35,MATCH($E759,单位档案!$A$6:$A$35,0)),"")))</f>
        <v/>
      </c>
      <c r="R759" s="37" t="str">
        <f aca="false">IF($E759="","",N(IFERROR(INDEX(单位档案!$F$6:$F$35,MATCH($E759,单位档案!$A$6:$A$35,0)),"")))</f>
        <v/>
      </c>
      <c r="S759" s="36" t="n">
        <f aca="false">IF(OR($D759&lt;&gt;"销项开票",IFERROR(INDEX(单位档案!$G$6:$G$35,MATCH($E759,单位档案!$A$6:$A$35,0)),"")&lt;&gt;"是",N($Q759)=0),0,IF(IFERROR(INDEX(单位档案!$H$6:$H$35,MATCH($E759,单位档案!$A$6:$A$35,0)),"")="税差法",ROUND(N($H759)/(1+$Q759)*$Q759-IF(N($R759)=0,0,$P759/(1+$R759)*$R759),2),ROUND(N($H759)/(1+$Q759)*$Q759,2)))</f>
        <v>0</v>
      </c>
      <c r="T759" s="36" t="n">
        <f aca="false">ROUND($S759*N(IFERROR(INDEX(单位档案!$J$6:$J$35,MATCH($E759,单位档案!$A$6:$A$35,0)),"")),2)</f>
        <v>0</v>
      </c>
      <c r="U759" s="36" t="n">
        <f aca="false">IF($D759&lt;&gt;"销项开票",0,ROUND(N($H759)*N(IFERROR(INDEX(单位档案!$K$6:$K$35,MATCH($E759,单位档案!$A$6:$A$35,0)),"")),2))</f>
        <v>0</v>
      </c>
      <c r="V759" s="36" t="n">
        <f aca="false">IF(OR($D759&lt;&gt;"销项开票",N($Q759)=0),0,ROUND(N($H759)/(1+$Q759)*N(IFERROR(INDEX(单位档案!$L$6:$L$35,MATCH($E759,单位档案!$A$6:$A$35,0)),"")),2))</f>
        <v>0</v>
      </c>
      <c r="W759" s="36" t="n">
        <f aca="false">ROUND($S759+$T759+$U759+$V759,2)</f>
        <v>0</v>
      </c>
      <c r="X759" s="35" t="str">
        <f aca="false">IF(OR($D759="挂靠代收",$D759="我方收款"),COUNTIFS($D$5:$D759,"挂靠代收")+COUNTIFS($D$5:$D759,"我方收款"),"")</f>
        <v/>
      </c>
      <c r="Y759" s="35"/>
      <c r="Z759" s="21" t="s">
        <v>111</v>
      </c>
    </row>
    <row r="760" customFormat="false" ht="15.75" hidden="false" customHeight="true" outlineLevel="0" collapsed="false">
      <c r="A760" s="32" t="str">
        <f aca="false">IF($B760="","",ROW()-4)</f>
        <v/>
      </c>
      <c r="B760" s="26"/>
      <c r="C760" s="24"/>
      <c r="D760" s="21"/>
      <c r="E760" s="21"/>
      <c r="F760" s="21"/>
      <c r="G760" s="21"/>
      <c r="H760" s="27"/>
      <c r="I760" s="23" t="str">
        <f aca="false">IF($D760&lt;&gt;"销项开票","",IF($N760="一级",IF(IFERROR(INDEX(项目档案!$E$6:$E$255,MATCH($C760,项目档案!$A$6:$A$255,0)),"")="",N(IFERROR(INDEX(单位档案!$D$6:$D$35,MATCH($E760,单位档案!$A$6:$A$35,0)),"")),IFERROR(INDEX(项目档案!$E$6:$E$255,MATCH($C760,项目档案!$A$6:$A$255,0)),"")),IF($N760="二级",IF(IFERROR(INDEX(项目档案!$G$6:$G$255,MATCH($C760,项目档案!$A$6:$A$255,0)),"")="",N(IFERROR(INDEX(单位档案!$D$6:$D$35,MATCH($E760,单位档案!$A$6:$A$35,0)),"")),IFERROR(INDEX(项目档案!$G$6:$G$255,MATCH($C760,项目档案!$A$6:$A$255,0)),"")),N(IFERROR(INDEX(单位档案!$D$6:$D$35,MATCH($E760,单位档案!$A$6:$A$35,0)),"")))))</f>
        <v/>
      </c>
      <c r="J760" s="22"/>
      <c r="K760" s="22"/>
      <c r="L760" s="33" t="str">
        <f aca="false">IF($B760="","",IF(NOT(ISNUMBER($B760)),"日期格式不对",IF($C760="","未选项目编号",IF(LEFT($M760,1)="⚠","项目编号不存在",IF($D760="","未选业务类型",IF($E760="","未选开票/付款方",IF(ISNA(MATCH($E760,单位档案!$A$6:$A$35,0)),"开票方不在单位档案",IF($F760="","未选收票/收款方",IF(ISNA(MATCH($F760,单位档案!$A$6:$A$35,0)),"收款方不在单位档案",IF(NOT(ISNUMBER($H760)),"金额须为数字",IF(AND($D760="销项开票",$N760="—"),"链条待确认","√")))))))))))</f>
        <v/>
      </c>
      <c r="M760" s="34" t="str">
        <f aca="false">IF($C760="","",IFERROR(INDEX(项目档案!$B$6:$B$255,MATCH($C760,项目档案!$A$6:$A$255,0)),"⚠项目编号不存在"))</f>
        <v/>
      </c>
      <c r="N760" s="35" t="str">
        <f aca="false">IF($E760="","",IF($E760=IFERROR(INDEX(项目档案!$D$6:$D$255,MATCH($C760,项目档案!$A$6:$A$255,0)),""),"一级",IF($E760=IFERROR(INDEX(项目档案!$F$6:$F$255,MATCH($C760,项目档案!$A$6:$A$255,0)),""),"二级",IF($E760=IFERROR(INDEX(项目档案!$H$6:$H$255,MATCH($C760,项目档案!$A$6:$A$255,0)),""),"我方","—"))))</f>
        <v/>
      </c>
      <c r="O760" s="36" t="n">
        <f aca="false">IF($D760&lt;&gt;"销项开票",0,ROUND(N($H760)*N($I760),2))</f>
        <v>0</v>
      </c>
      <c r="P760" s="36" t="n">
        <f aca="false">IF($D760&lt;&gt;"销项开票",0,ROUND(N($H760)-$O760,2))</f>
        <v>0</v>
      </c>
      <c r="Q760" s="37" t="str">
        <f aca="false">IF($E760="","",N(IFERROR(INDEX(单位档案!$E$6:$E$35,MATCH($E760,单位档案!$A$6:$A$35,0)),"")))</f>
        <v/>
      </c>
      <c r="R760" s="37" t="str">
        <f aca="false">IF($E760="","",N(IFERROR(INDEX(单位档案!$F$6:$F$35,MATCH($E760,单位档案!$A$6:$A$35,0)),"")))</f>
        <v/>
      </c>
      <c r="S760" s="36" t="n">
        <f aca="false">IF(OR($D760&lt;&gt;"销项开票",IFERROR(INDEX(单位档案!$G$6:$G$35,MATCH($E760,单位档案!$A$6:$A$35,0)),"")&lt;&gt;"是",N($Q760)=0),0,IF(IFERROR(INDEX(单位档案!$H$6:$H$35,MATCH($E760,单位档案!$A$6:$A$35,0)),"")="税差法",ROUND(N($H760)/(1+$Q760)*$Q760-IF(N($R760)=0,0,$P760/(1+$R760)*$R760),2),ROUND(N($H760)/(1+$Q760)*$Q760,2)))</f>
        <v>0</v>
      </c>
      <c r="T760" s="36" t="n">
        <f aca="false">ROUND($S760*N(IFERROR(INDEX(单位档案!$J$6:$J$35,MATCH($E760,单位档案!$A$6:$A$35,0)),"")),2)</f>
        <v>0</v>
      </c>
      <c r="U760" s="36" t="n">
        <f aca="false">IF($D760&lt;&gt;"销项开票",0,ROUND(N($H760)*N(IFERROR(INDEX(单位档案!$K$6:$K$35,MATCH($E760,单位档案!$A$6:$A$35,0)),"")),2))</f>
        <v>0</v>
      </c>
      <c r="V760" s="36" t="n">
        <f aca="false">IF(OR($D760&lt;&gt;"销项开票",N($Q760)=0),0,ROUND(N($H760)/(1+$Q760)*N(IFERROR(INDEX(单位档案!$L$6:$L$35,MATCH($E760,单位档案!$A$6:$A$35,0)),"")),2))</f>
        <v>0</v>
      </c>
      <c r="W760" s="36" t="n">
        <f aca="false">ROUND($S760+$T760+$U760+$V760,2)</f>
        <v>0</v>
      </c>
      <c r="X760" s="35" t="str">
        <f aca="false">IF(OR($D760="挂靠代收",$D760="我方收款"),COUNTIFS($D$5:$D760,"挂靠代收")+COUNTIFS($D$5:$D760,"我方收款"),"")</f>
        <v/>
      </c>
      <c r="Y760" s="35"/>
      <c r="Z760" s="21" t="s">
        <v>111</v>
      </c>
    </row>
    <row r="761" customFormat="false" ht="15.75" hidden="false" customHeight="true" outlineLevel="0" collapsed="false">
      <c r="A761" s="32" t="str">
        <f aca="false">IF($B761="","",ROW()-4)</f>
        <v/>
      </c>
      <c r="B761" s="26"/>
      <c r="C761" s="24"/>
      <c r="D761" s="21"/>
      <c r="E761" s="21"/>
      <c r="F761" s="21"/>
      <c r="G761" s="21"/>
      <c r="H761" s="27"/>
      <c r="I761" s="23" t="str">
        <f aca="false">IF($D761&lt;&gt;"销项开票","",IF($N761="一级",IF(IFERROR(INDEX(项目档案!$E$6:$E$255,MATCH($C761,项目档案!$A$6:$A$255,0)),"")="",N(IFERROR(INDEX(单位档案!$D$6:$D$35,MATCH($E761,单位档案!$A$6:$A$35,0)),"")),IFERROR(INDEX(项目档案!$E$6:$E$255,MATCH($C761,项目档案!$A$6:$A$255,0)),"")),IF($N761="二级",IF(IFERROR(INDEX(项目档案!$G$6:$G$255,MATCH($C761,项目档案!$A$6:$A$255,0)),"")="",N(IFERROR(INDEX(单位档案!$D$6:$D$35,MATCH($E761,单位档案!$A$6:$A$35,0)),"")),IFERROR(INDEX(项目档案!$G$6:$G$255,MATCH($C761,项目档案!$A$6:$A$255,0)),"")),N(IFERROR(INDEX(单位档案!$D$6:$D$35,MATCH($E761,单位档案!$A$6:$A$35,0)),"")))))</f>
        <v/>
      </c>
      <c r="J761" s="22"/>
      <c r="K761" s="22"/>
      <c r="L761" s="33" t="str">
        <f aca="false">IF($B761="","",IF(NOT(ISNUMBER($B761)),"日期格式不对",IF($C761="","未选项目编号",IF(LEFT($M761,1)="⚠","项目编号不存在",IF($D761="","未选业务类型",IF($E761="","未选开票/付款方",IF(ISNA(MATCH($E761,单位档案!$A$6:$A$35,0)),"开票方不在单位档案",IF($F761="","未选收票/收款方",IF(ISNA(MATCH($F761,单位档案!$A$6:$A$35,0)),"收款方不在单位档案",IF(NOT(ISNUMBER($H761)),"金额须为数字",IF(AND($D761="销项开票",$N761="—"),"链条待确认","√")))))))))))</f>
        <v/>
      </c>
      <c r="M761" s="34" t="str">
        <f aca="false">IF($C761="","",IFERROR(INDEX(项目档案!$B$6:$B$255,MATCH($C761,项目档案!$A$6:$A$255,0)),"⚠项目编号不存在"))</f>
        <v/>
      </c>
      <c r="N761" s="35" t="str">
        <f aca="false">IF($E761="","",IF($E761=IFERROR(INDEX(项目档案!$D$6:$D$255,MATCH($C761,项目档案!$A$6:$A$255,0)),""),"一级",IF($E761=IFERROR(INDEX(项目档案!$F$6:$F$255,MATCH($C761,项目档案!$A$6:$A$255,0)),""),"二级",IF($E761=IFERROR(INDEX(项目档案!$H$6:$H$255,MATCH($C761,项目档案!$A$6:$A$255,0)),""),"我方","—"))))</f>
        <v/>
      </c>
      <c r="O761" s="36" t="n">
        <f aca="false">IF($D761&lt;&gt;"销项开票",0,ROUND(N($H761)*N($I761),2))</f>
        <v>0</v>
      </c>
      <c r="P761" s="36" t="n">
        <f aca="false">IF($D761&lt;&gt;"销项开票",0,ROUND(N($H761)-$O761,2))</f>
        <v>0</v>
      </c>
      <c r="Q761" s="37" t="str">
        <f aca="false">IF($E761="","",N(IFERROR(INDEX(单位档案!$E$6:$E$35,MATCH($E761,单位档案!$A$6:$A$35,0)),"")))</f>
        <v/>
      </c>
      <c r="R761" s="37" t="str">
        <f aca="false">IF($E761="","",N(IFERROR(INDEX(单位档案!$F$6:$F$35,MATCH($E761,单位档案!$A$6:$A$35,0)),"")))</f>
        <v/>
      </c>
      <c r="S761" s="36" t="n">
        <f aca="false">IF(OR($D761&lt;&gt;"销项开票",IFERROR(INDEX(单位档案!$G$6:$G$35,MATCH($E761,单位档案!$A$6:$A$35,0)),"")&lt;&gt;"是",N($Q761)=0),0,IF(IFERROR(INDEX(单位档案!$H$6:$H$35,MATCH($E761,单位档案!$A$6:$A$35,0)),"")="税差法",ROUND(N($H761)/(1+$Q761)*$Q761-IF(N($R761)=0,0,$P761/(1+$R761)*$R761),2),ROUND(N($H761)/(1+$Q761)*$Q761,2)))</f>
        <v>0</v>
      </c>
      <c r="T761" s="36" t="n">
        <f aca="false">ROUND($S761*N(IFERROR(INDEX(单位档案!$J$6:$J$35,MATCH($E761,单位档案!$A$6:$A$35,0)),"")),2)</f>
        <v>0</v>
      </c>
      <c r="U761" s="36" t="n">
        <f aca="false">IF($D761&lt;&gt;"销项开票",0,ROUND(N($H761)*N(IFERROR(INDEX(单位档案!$K$6:$K$35,MATCH($E761,单位档案!$A$6:$A$35,0)),"")),2))</f>
        <v>0</v>
      </c>
      <c r="V761" s="36" t="n">
        <f aca="false">IF(OR($D761&lt;&gt;"销项开票",N($Q761)=0),0,ROUND(N($H761)/(1+$Q761)*N(IFERROR(INDEX(单位档案!$L$6:$L$35,MATCH($E761,单位档案!$A$6:$A$35,0)),"")),2))</f>
        <v>0</v>
      </c>
      <c r="W761" s="36" t="n">
        <f aca="false">ROUND($S761+$T761+$U761+$V761,2)</f>
        <v>0</v>
      </c>
      <c r="X761" s="35" t="str">
        <f aca="false">IF(OR($D761="挂靠代收",$D761="我方收款"),COUNTIFS($D$5:$D761,"挂靠代收")+COUNTIFS($D$5:$D761,"我方收款"),"")</f>
        <v/>
      </c>
      <c r="Y761" s="35"/>
      <c r="Z761" s="21" t="s">
        <v>111</v>
      </c>
    </row>
    <row r="762" customFormat="false" ht="15.75" hidden="false" customHeight="true" outlineLevel="0" collapsed="false">
      <c r="A762" s="32" t="str">
        <f aca="false">IF($B762="","",ROW()-4)</f>
        <v/>
      </c>
      <c r="B762" s="26"/>
      <c r="C762" s="24"/>
      <c r="D762" s="21"/>
      <c r="E762" s="21"/>
      <c r="F762" s="21"/>
      <c r="G762" s="21"/>
      <c r="H762" s="27"/>
      <c r="I762" s="23" t="str">
        <f aca="false">IF($D762&lt;&gt;"销项开票","",IF($N762="一级",IF(IFERROR(INDEX(项目档案!$E$6:$E$255,MATCH($C762,项目档案!$A$6:$A$255,0)),"")="",N(IFERROR(INDEX(单位档案!$D$6:$D$35,MATCH($E762,单位档案!$A$6:$A$35,0)),"")),IFERROR(INDEX(项目档案!$E$6:$E$255,MATCH($C762,项目档案!$A$6:$A$255,0)),"")),IF($N762="二级",IF(IFERROR(INDEX(项目档案!$G$6:$G$255,MATCH($C762,项目档案!$A$6:$A$255,0)),"")="",N(IFERROR(INDEX(单位档案!$D$6:$D$35,MATCH($E762,单位档案!$A$6:$A$35,0)),"")),IFERROR(INDEX(项目档案!$G$6:$G$255,MATCH($C762,项目档案!$A$6:$A$255,0)),"")),N(IFERROR(INDEX(单位档案!$D$6:$D$35,MATCH($E762,单位档案!$A$6:$A$35,0)),"")))))</f>
        <v/>
      </c>
      <c r="J762" s="22"/>
      <c r="K762" s="22"/>
      <c r="L762" s="33" t="str">
        <f aca="false">IF($B762="","",IF(NOT(ISNUMBER($B762)),"日期格式不对",IF($C762="","未选项目编号",IF(LEFT($M762,1)="⚠","项目编号不存在",IF($D762="","未选业务类型",IF($E762="","未选开票/付款方",IF(ISNA(MATCH($E762,单位档案!$A$6:$A$35,0)),"开票方不在单位档案",IF($F762="","未选收票/收款方",IF(ISNA(MATCH($F762,单位档案!$A$6:$A$35,0)),"收款方不在单位档案",IF(NOT(ISNUMBER($H762)),"金额须为数字",IF(AND($D762="销项开票",$N762="—"),"链条待确认","√")))))))))))</f>
        <v/>
      </c>
      <c r="M762" s="34" t="str">
        <f aca="false">IF($C762="","",IFERROR(INDEX(项目档案!$B$6:$B$255,MATCH($C762,项目档案!$A$6:$A$255,0)),"⚠项目编号不存在"))</f>
        <v/>
      </c>
      <c r="N762" s="35" t="str">
        <f aca="false">IF($E762="","",IF($E762=IFERROR(INDEX(项目档案!$D$6:$D$255,MATCH($C762,项目档案!$A$6:$A$255,0)),""),"一级",IF($E762=IFERROR(INDEX(项目档案!$F$6:$F$255,MATCH($C762,项目档案!$A$6:$A$255,0)),""),"二级",IF($E762=IFERROR(INDEX(项目档案!$H$6:$H$255,MATCH($C762,项目档案!$A$6:$A$255,0)),""),"我方","—"))))</f>
        <v/>
      </c>
      <c r="O762" s="36" t="n">
        <f aca="false">IF($D762&lt;&gt;"销项开票",0,ROUND(N($H762)*N($I762),2))</f>
        <v>0</v>
      </c>
      <c r="P762" s="36" t="n">
        <f aca="false">IF($D762&lt;&gt;"销项开票",0,ROUND(N($H762)-$O762,2))</f>
        <v>0</v>
      </c>
      <c r="Q762" s="37" t="str">
        <f aca="false">IF($E762="","",N(IFERROR(INDEX(单位档案!$E$6:$E$35,MATCH($E762,单位档案!$A$6:$A$35,0)),"")))</f>
        <v/>
      </c>
      <c r="R762" s="37" t="str">
        <f aca="false">IF($E762="","",N(IFERROR(INDEX(单位档案!$F$6:$F$35,MATCH($E762,单位档案!$A$6:$A$35,0)),"")))</f>
        <v/>
      </c>
      <c r="S762" s="36" t="n">
        <f aca="false">IF(OR($D762&lt;&gt;"销项开票",IFERROR(INDEX(单位档案!$G$6:$G$35,MATCH($E762,单位档案!$A$6:$A$35,0)),"")&lt;&gt;"是",N($Q762)=0),0,IF(IFERROR(INDEX(单位档案!$H$6:$H$35,MATCH($E762,单位档案!$A$6:$A$35,0)),"")="税差法",ROUND(N($H762)/(1+$Q762)*$Q762-IF(N($R762)=0,0,$P762/(1+$R762)*$R762),2),ROUND(N($H762)/(1+$Q762)*$Q762,2)))</f>
        <v>0</v>
      </c>
      <c r="T762" s="36" t="n">
        <f aca="false">ROUND($S762*N(IFERROR(INDEX(单位档案!$J$6:$J$35,MATCH($E762,单位档案!$A$6:$A$35,0)),"")),2)</f>
        <v>0</v>
      </c>
      <c r="U762" s="36" t="n">
        <f aca="false">IF($D762&lt;&gt;"销项开票",0,ROUND(N($H762)*N(IFERROR(INDEX(单位档案!$K$6:$K$35,MATCH($E762,单位档案!$A$6:$A$35,0)),"")),2))</f>
        <v>0</v>
      </c>
      <c r="V762" s="36" t="n">
        <f aca="false">IF(OR($D762&lt;&gt;"销项开票",N($Q762)=0),0,ROUND(N($H762)/(1+$Q762)*N(IFERROR(INDEX(单位档案!$L$6:$L$35,MATCH($E762,单位档案!$A$6:$A$35,0)),"")),2))</f>
        <v>0</v>
      </c>
      <c r="W762" s="36" t="n">
        <f aca="false">ROUND($S762+$T762+$U762+$V762,2)</f>
        <v>0</v>
      </c>
      <c r="X762" s="35" t="str">
        <f aca="false">IF(OR($D762="挂靠代收",$D762="我方收款"),COUNTIFS($D$5:$D762,"挂靠代收")+COUNTIFS($D$5:$D762,"我方收款"),"")</f>
        <v/>
      </c>
      <c r="Y762" s="35"/>
      <c r="Z762" s="21" t="s">
        <v>111</v>
      </c>
    </row>
    <row r="763" customFormat="false" ht="15.75" hidden="false" customHeight="true" outlineLevel="0" collapsed="false">
      <c r="A763" s="32" t="str">
        <f aca="false">IF($B763="","",ROW()-4)</f>
        <v/>
      </c>
      <c r="B763" s="26"/>
      <c r="C763" s="24"/>
      <c r="D763" s="21"/>
      <c r="E763" s="21"/>
      <c r="F763" s="21"/>
      <c r="G763" s="21"/>
      <c r="H763" s="27"/>
      <c r="I763" s="23" t="str">
        <f aca="false">IF($D763&lt;&gt;"销项开票","",IF($N763="一级",IF(IFERROR(INDEX(项目档案!$E$6:$E$255,MATCH($C763,项目档案!$A$6:$A$255,0)),"")="",N(IFERROR(INDEX(单位档案!$D$6:$D$35,MATCH($E763,单位档案!$A$6:$A$35,0)),"")),IFERROR(INDEX(项目档案!$E$6:$E$255,MATCH($C763,项目档案!$A$6:$A$255,0)),"")),IF($N763="二级",IF(IFERROR(INDEX(项目档案!$G$6:$G$255,MATCH($C763,项目档案!$A$6:$A$255,0)),"")="",N(IFERROR(INDEX(单位档案!$D$6:$D$35,MATCH($E763,单位档案!$A$6:$A$35,0)),"")),IFERROR(INDEX(项目档案!$G$6:$G$255,MATCH($C763,项目档案!$A$6:$A$255,0)),"")),N(IFERROR(INDEX(单位档案!$D$6:$D$35,MATCH($E763,单位档案!$A$6:$A$35,0)),"")))))</f>
        <v/>
      </c>
      <c r="J763" s="22"/>
      <c r="K763" s="22"/>
      <c r="L763" s="33" t="str">
        <f aca="false">IF($B763="","",IF(NOT(ISNUMBER($B763)),"日期格式不对",IF($C763="","未选项目编号",IF(LEFT($M763,1)="⚠","项目编号不存在",IF($D763="","未选业务类型",IF($E763="","未选开票/付款方",IF(ISNA(MATCH($E763,单位档案!$A$6:$A$35,0)),"开票方不在单位档案",IF($F763="","未选收票/收款方",IF(ISNA(MATCH($F763,单位档案!$A$6:$A$35,0)),"收款方不在单位档案",IF(NOT(ISNUMBER($H763)),"金额须为数字",IF(AND($D763="销项开票",$N763="—"),"链条待确认","√")))))))))))</f>
        <v/>
      </c>
      <c r="M763" s="34" t="str">
        <f aca="false">IF($C763="","",IFERROR(INDEX(项目档案!$B$6:$B$255,MATCH($C763,项目档案!$A$6:$A$255,0)),"⚠项目编号不存在"))</f>
        <v/>
      </c>
      <c r="N763" s="35" t="str">
        <f aca="false">IF($E763="","",IF($E763=IFERROR(INDEX(项目档案!$D$6:$D$255,MATCH($C763,项目档案!$A$6:$A$255,0)),""),"一级",IF($E763=IFERROR(INDEX(项目档案!$F$6:$F$255,MATCH($C763,项目档案!$A$6:$A$255,0)),""),"二级",IF($E763=IFERROR(INDEX(项目档案!$H$6:$H$255,MATCH($C763,项目档案!$A$6:$A$255,0)),""),"我方","—"))))</f>
        <v/>
      </c>
      <c r="O763" s="36" t="n">
        <f aca="false">IF($D763&lt;&gt;"销项开票",0,ROUND(N($H763)*N($I763),2))</f>
        <v>0</v>
      </c>
      <c r="P763" s="36" t="n">
        <f aca="false">IF($D763&lt;&gt;"销项开票",0,ROUND(N($H763)-$O763,2))</f>
        <v>0</v>
      </c>
      <c r="Q763" s="37" t="str">
        <f aca="false">IF($E763="","",N(IFERROR(INDEX(单位档案!$E$6:$E$35,MATCH($E763,单位档案!$A$6:$A$35,0)),"")))</f>
        <v/>
      </c>
      <c r="R763" s="37" t="str">
        <f aca="false">IF($E763="","",N(IFERROR(INDEX(单位档案!$F$6:$F$35,MATCH($E763,单位档案!$A$6:$A$35,0)),"")))</f>
        <v/>
      </c>
      <c r="S763" s="36" t="n">
        <f aca="false">IF(OR($D763&lt;&gt;"销项开票",IFERROR(INDEX(单位档案!$G$6:$G$35,MATCH($E763,单位档案!$A$6:$A$35,0)),"")&lt;&gt;"是",N($Q763)=0),0,IF(IFERROR(INDEX(单位档案!$H$6:$H$35,MATCH($E763,单位档案!$A$6:$A$35,0)),"")="税差法",ROUND(N($H763)/(1+$Q763)*$Q763-IF(N($R763)=0,0,$P763/(1+$R763)*$R763),2),ROUND(N($H763)/(1+$Q763)*$Q763,2)))</f>
        <v>0</v>
      </c>
      <c r="T763" s="36" t="n">
        <f aca="false">ROUND($S763*N(IFERROR(INDEX(单位档案!$J$6:$J$35,MATCH($E763,单位档案!$A$6:$A$35,0)),"")),2)</f>
        <v>0</v>
      </c>
      <c r="U763" s="36" t="n">
        <f aca="false">IF($D763&lt;&gt;"销项开票",0,ROUND(N($H763)*N(IFERROR(INDEX(单位档案!$K$6:$K$35,MATCH($E763,单位档案!$A$6:$A$35,0)),"")),2))</f>
        <v>0</v>
      </c>
      <c r="V763" s="36" t="n">
        <f aca="false">IF(OR($D763&lt;&gt;"销项开票",N($Q763)=0),0,ROUND(N($H763)/(1+$Q763)*N(IFERROR(INDEX(单位档案!$L$6:$L$35,MATCH($E763,单位档案!$A$6:$A$35,0)),"")),2))</f>
        <v>0</v>
      </c>
      <c r="W763" s="36" t="n">
        <f aca="false">ROUND($S763+$T763+$U763+$V763,2)</f>
        <v>0</v>
      </c>
      <c r="X763" s="35" t="str">
        <f aca="false">IF(OR($D763="挂靠代收",$D763="我方收款"),COUNTIFS($D$5:$D763,"挂靠代收")+COUNTIFS($D$5:$D763,"我方收款"),"")</f>
        <v/>
      </c>
      <c r="Y763" s="35"/>
      <c r="Z763" s="21" t="s">
        <v>111</v>
      </c>
    </row>
    <row r="764" customFormat="false" ht="15.75" hidden="false" customHeight="true" outlineLevel="0" collapsed="false">
      <c r="A764" s="32" t="str">
        <f aca="false">IF($B764="","",ROW()-4)</f>
        <v/>
      </c>
      <c r="B764" s="26"/>
      <c r="C764" s="24"/>
      <c r="D764" s="21"/>
      <c r="E764" s="21"/>
      <c r="F764" s="21"/>
      <c r="G764" s="21"/>
      <c r="H764" s="27"/>
      <c r="I764" s="23" t="str">
        <f aca="false">IF($D764&lt;&gt;"销项开票","",IF($N764="一级",IF(IFERROR(INDEX(项目档案!$E$6:$E$255,MATCH($C764,项目档案!$A$6:$A$255,0)),"")="",N(IFERROR(INDEX(单位档案!$D$6:$D$35,MATCH($E764,单位档案!$A$6:$A$35,0)),"")),IFERROR(INDEX(项目档案!$E$6:$E$255,MATCH($C764,项目档案!$A$6:$A$255,0)),"")),IF($N764="二级",IF(IFERROR(INDEX(项目档案!$G$6:$G$255,MATCH($C764,项目档案!$A$6:$A$255,0)),"")="",N(IFERROR(INDEX(单位档案!$D$6:$D$35,MATCH($E764,单位档案!$A$6:$A$35,0)),"")),IFERROR(INDEX(项目档案!$G$6:$G$255,MATCH($C764,项目档案!$A$6:$A$255,0)),"")),N(IFERROR(INDEX(单位档案!$D$6:$D$35,MATCH($E764,单位档案!$A$6:$A$35,0)),"")))))</f>
        <v/>
      </c>
      <c r="J764" s="22"/>
      <c r="K764" s="22"/>
      <c r="L764" s="33" t="str">
        <f aca="false">IF($B764="","",IF(NOT(ISNUMBER($B764)),"日期格式不对",IF($C764="","未选项目编号",IF(LEFT($M764,1)="⚠","项目编号不存在",IF($D764="","未选业务类型",IF($E764="","未选开票/付款方",IF(ISNA(MATCH($E764,单位档案!$A$6:$A$35,0)),"开票方不在单位档案",IF($F764="","未选收票/收款方",IF(ISNA(MATCH($F764,单位档案!$A$6:$A$35,0)),"收款方不在单位档案",IF(NOT(ISNUMBER($H764)),"金额须为数字",IF(AND($D764="销项开票",$N764="—"),"链条待确认","√")))))))))))</f>
        <v/>
      </c>
      <c r="M764" s="34" t="str">
        <f aca="false">IF($C764="","",IFERROR(INDEX(项目档案!$B$6:$B$255,MATCH($C764,项目档案!$A$6:$A$255,0)),"⚠项目编号不存在"))</f>
        <v/>
      </c>
      <c r="N764" s="35" t="str">
        <f aca="false">IF($E764="","",IF($E764=IFERROR(INDEX(项目档案!$D$6:$D$255,MATCH($C764,项目档案!$A$6:$A$255,0)),""),"一级",IF($E764=IFERROR(INDEX(项目档案!$F$6:$F$255,MATCH($C764,项目档案!$A$6:$A$255,0)),""),"二级",IF($E764=IFERROR(INDEX(项目档案!$H$6:$H$255,MATCH($C764,项目档案!$A$6:$A$255,0)),""),"我方","—"))))</f>
        <v/>
      </c>
      <c r="O764" s="36" t="n">
        <f aca="false">IF($D764&lt;&gt;"销项开票",0,ROUND(N($H764)*N($I764),2))</f>
        <v>0</v>
      </c>
      <c r="P764" s="36" t="n">
        <f aca="false">IF($D764&lt;&gt;"销项开票",0,ROUND(N($H764)-$O764,2))</f>
        <v>0</v>
      </c>
      <c r="Q764" s="37" t="str">
        <f aca="false">IF($E764="","",N(IFERROR(INDEX(单位档案!$E$6:$E$35,MATCH($E764,单位档案!$A$6:$A$35,0)),"")))</f>
        <v/>
      </c>
      <c r="R764" s="37" t="str">
        <f aca="false">IF($E764="","",N(IFERROR(INDEX(单位档案!$F$6:$F$35,MATCH($E764,单位档案!$A$6:$A$35,0)),"")))</f>
        <v/>
      </c>
      <c r="S764" s="36" t="n">
        <f aca="false">IF(OR($D764&lt;&gt;"销项开票",IFERROR(INDEX(单位档案!$G$6:$G$35,MATCH($E764,单位档案!$A$6:$A$35,0)),"")&lt;&gt;"是",N($Q764)=0),0,IF(IFERROR(INDEX(单位档案!$H$6:$H$35,MATCH($E764,单位档案!$A$6:$A$35,0)),"")="税差法",ROUND(N($H764)/(1+$Q764)*$Q764-IF(N($R764)=0,0,$P764/(1+$R764)*$R764),2),ROUND(N($H764)/(1+$Q764)*$Q764,2)))</f>
        <v>0</v>
      </c>
      <c r="T764" s="36" t="n">
        <f aca="false">ROUND($S764*N(IFERROR(INDEX(单位档案!$J$6:$J$35,MATCH($E764,单位档案!$A$6:$A$35,0)),"")),2)</f>
        <v>0</v>
      </c>
      <c r="U764" s="36" t="n">
        <f aca="false">IF($D764&lt;&gt;"销项开票",0,ROUND(N($H764)*N(IFERROR(INDEX(单位档案!$K$6:$K$35,MATCH($E764,单位档案!$A$6:$A$35,0)),"")),2))</f>
        <v>0</v>
      </c>
      <c r="V764" s="36" t="n">
        <f aca="false">IF(OR($D764&lt;&gt;"销项开票",N($Q764)=0),0,ROUND(N($H764)/(1+$Q764)*N(IFERROR(INDEX(单位档案!$L$6:$L$35,MATCH($E764,单位档案!$A$6:$A$35,0)),"")),2))</f>
        <v>0</v>
      </c>
      <c r="W764" s="36" t="n">
        <f aca="false">ROUND($S764+$T764+$U764+$V764,2)</f>
        <v>0</v>
      </c>
      <c r="X764" s="35" t="str">
        <f aca="false">IF(OR($D764="挂靠代收",$D764="我方收款"),COUNTIFS($D$5:$D764,"挂靠代收")+COUNTIFS($D$5:$D764,"我方收款"),"")</f>
        <v/>
      </c>
      <c r="Y764" s="35"/>
      <c r="Z764" s="21" t="s">
        <v>111</v>
      </c>
    </row>
    <row r="765" customFormat="false" ht="15.75" hidden="false" customHeight="true" outlineLevel="0" collapsed="false">
      <c r="A765" s="32" t="str">
        <f aca="false">IF($B765="","",ROW()-4)</f>
        <v/>
      </c>
      <c r="B765" s="26"/>
      <c r="C765" s="24"/>
      <c r="D765" s="21"/>
      <c r="E765" s="21"/>
      <c r="F765" s="21"/>
      <c r="G765" s="21"/>
      <c r="H765" s="27"/>
      <c r="I765" s="23" t="str">
        <f aca="false">IF($D765&lt;&gt;"销项开票","",IF($N765="一级",IF(IFERROR(INDEX(项目档案!$E$6:$E$255,MATCH($C765,项目档案!$A$6:$A$255,0)),"")="",N(IFERROR(INDEX(单位档案!$D$6:$D$35,MATCH($E765,单位档案!$A$6:$A$35,0)),"")),IFERROR(INDEX(项目档案!$E$6:$E$255,MATCH($C765,项目档案!$A$6:$A$255,0)),"")),IF($N765="二级",IF(IFERROR(INDEX(项目档案!$G$6:$G$255,MATCH($C765,项目档案!$A$6:$A$255,0)),"")="",N(IFERROR(INDEX(单位档案!$D$6:$D$35,MATCH($E765,单位档案!$A$6:$A$35,0)),"")),IFERROR(INDEX(项目档案!$G$6:$G$255,MATCH($C765,项目档案!$A$6:$A$255,0)),"")),N(IFERROR(INDEX(单位档案!$D$6:$D$35,MATCH($E765,单位档案!$A$6:$A$35,0)),"")))))</f>
        <v/>
      </c>
      <c r="J765" s="22"/>
      <c r="K765" s="22"/>
      <c r="L765" s="33" t="str">
        <f aca="false">IF($B765="","",IF(NOT(ISNUMBER($B765)),"日期格式不对",IF($C765="","未选项目编号",IF(LEFT($M765,1)="⚠","项目编号不存在",IF($D765="","未选业务类型",IF($E765="","未选开票/付款方",IF(ISNA(MATCH($E765,单位档案!$A$6:$A$35,0)),"开票方不在单位档案",IF($F765="","未选收票/收款方",IF(ISNA(MATCH($F765,单位档案!$A$6:$A$35,0)),"收款方不在单位档案",IF(NOT(ISNUMBER($H765)),"金额须为数字",IF(AND($D765="销项开票",$N765="—"),"链条待确认","√")))))))))))</f>
        <v/>
      </c>
      <c r="M765" s="34" t="str">
        <f aca="false">IF($C765="","",IFERROR(INDEX(项目档案!$B$6:$B$255,MATCH($C765,项目档案!$A$6:$A$255,0)),"⚠项目编号不存在"))</f>
        <v/>
      </c>
      <c r="N765" s="35" t="str">
        <f aca="false">IF($E765="","",IF($E765=IFERROR(INDEX(项目档案!$D$6:$D$255,MATCH($C765,项目档案!$A$6:$A$255,0)),""),"一级",IF($E765=IFERROR(INDEX(项目档案!$F$6:$F$255,MATCH($C765,项目档案!$A$6:$A$255,0)),""),"二级",IF($E765=IFERROR(INDEX(项目档案!$H$6:$H$255,MATCH($C765,项目档案!$A$6:$A$255,0)),""),"我方","—"))))</f>
        <v/>
      </c>
      <c r="O765" s="36" t="n">
        <f aca="false">IF($D765&lt;&gt;"销项开票",0,ROUND(N($H765)*N($I765),2))</f>
        <v>0</v>
      </c>
      <c r="P765" s="36" t="n">
        <f aca="false">IF($D765&lt;&gt;"销项开票",0,ROUND(N($H765)-$O765,2))</f>
        <v>0</v>
      </c>
      <c r="Q765" s="37" t="str">
        <f aca="false">IF($E765="","",N(IFERROR(INDEX(单位档案!$E$6:$E$35,MATCH($E765,单位档案!$A$6:$A$35,0)),"")))</f>
        <v/>
      </c>
      <c r="R765" s="37" t="str">
        <f aca="false">IF($E765="","",N(IFERROR(INDEX(单位档案!$F$6:$F$35,MATCH($E765,单位档案!$A$6:$A$35,0)),"")))</f>
        <v/>
      </c>
      <c r="S765" s="36" t="n">
        <f aca="false">IF(OR($D765&lt;&gt;"销项开票",IFERROR(INDEX(单位档案!$G$6:$G$35,MATCH($E765,单位档案!$A$6:$A$35,0)),"")&lt;&gt;"是",N($Q765)=0),0,IF(IFERROR(INDEX(单位档案!$H$6:$H$35,MATCH($E765,单位档案!$A$6:$A$35,0)),"")="税差法",ROUND(N($H765)/(1+$Q765)*$Q765-IF(N($R765)=0,0,$P765/(1+$R765)*$R765),2),ROUND(N($H765)/(1+$Q765)*$Q765,2)))</f>
        <v>0</v>
      </c>
      <c r="T765" s="36" t="n">
        <f aca="false">ROUND($S765*N(IFERROR(INDEX(单位档案!$J$6:$J$35,MATCH($E765,单位档案!$A$6:$A$35,0)),"")),2)</f>
        <v>0</v>
      </c>
      <c r="U765" s="36" t="n">
        <f aca="false">IF($D765&lt;&gt;"销项开票",0,ROUND(N($H765)*N(IFERROR(INDEX(单位档案!$K$6:$K$35,MATCH($E765,单位档案!$A$6:$A$35,0)),"")),2))</f>
        <v>0</v>
      </c>
      <c r="V765" s="36" t="n">
        <f aca="false">IF(OR($D765&lt;&gt;"销项开票",N($Q765)=0),0,ROUND(N($H765)/(1+$Q765)*N(IFERROR(INDEX(单位档案!$L$6:$L$35,MATCH($E765,单位档案!$A$6:$A$35,0)),"")),2))</f>
        <v>0</v>
      </c>
      <c r="W765" s="36" t="n">
        <f aca="false">ROUND($S765+$T765+$U765+$V765,2)</f>
        <v>0</v>
      </c>
      <c r="X765" s="35" t="str">
        <f aca="false">IF(OR($D765="挂靠代收",$D765="我方收款"),COUNTIFS($D$5:$D765,"挂靠代收")+COUNTIFS($D$5:$D765,"我方收款"),"")</f>
        <v/>
      </c>
      <c r="Y765" s="35"/>
      <c r="Z765" s="21" t="s">
        <v>111</v>
      </c>
    </row>
    <row r="766" customFormat="false" ht="15.75" hidden="false" customHeight="true" outlineLevel="0" collapsed="false">
      <c r="A766" s="32" t="str">
        <f aca="false">IF($B766="","",ROW()-4)</f>
        <v/>
      </c>
      <c r="B766" s="26"/>
      <c r="C766" s="24"/>
      <c r="D766" s="21"/>
      <c r="E766" s="21"/>
      <c r="F766" s="21"/>
      <c r="G766" s="21"/>
      <c r="H766" s="27"/>
      <c r="I766" s="23" t="str">
        <f aca="false">IF($D766&lt;&gt;"销项开票","",IF($N766="一级",IF(IFERROR(INDEX(项目档案!$E$6:$E$255,MATCH($C766,项目档案!$A$6:$A$255,0)),"")="",N(IFERROR(INDEX(单位档案!$D$6:$D$35,MATCH($E766,单位档案!$A$6:$A$35,0)),"")),IFERROR(INDEX(项目档案!$E$6:$E$255,MATCH($C766,项目档案!$A$6:$A$255,0)),"")),IF($N766="二级",IF(IFERROR(INDEX(项目档案!$G$6:$G$255,MATCH($C766,项目档案!$A$6:$A$255,0)),"")="",N(IFERROR(INDEX(单位档案!$D$6:$D$35,MATCH($E766,单位档案!$A$6:$A$35,0)),"")),IFERROR(INDEX(项目档案!$G$6:$G$255,MATCH($C766,项目档案!$A$6:$A$255,0)),"")),N(IFERROR(INDEX(单位档案!$D$6:$D$35,MATCH($E766,单位档案!$A$6:$A$35,0)),"")))))</f>
        <v/>
      </c>
      <c r="J766" s="22"/>
      <c r="K766" s="22"/>
      <c r="L766" s="33" t="str">
        <f aca="false">IF($B766="","",IF(NOT(ISNUMBER($B766)),"日期格式不对",IF($C766="","未选项目编号",IF(LEFT($M766,1)="⚠","项目编号不存在",IF($D766="","未选业务类型",IF($E766="","未选开票/付款方",IF(ISNA(MATCH($E766,单位档案!$A$6:$A$35,0)),"开票方不在单位档案",IF($F766="","未选收票/收款方",IF(ISNA(MATCH($F766,单位档案!$A$6:$A$35,0)),"收款方不在单位档案",IF(NOT(ISNUMBER($H766)),"金额须为数字",IF(AND($D766="销项开票",$N766="—"),"链条待确认","√")))))))))))</f>
        <v/>
      </c>
      <c r="M766" s="34" t="str">
        <f aca="false">IF($C766="","",IFERROR(INDEX(项目档案!$B$6:$B$255,MATCH($C766,项目档案!$A$6:$A$255,0)),"⚠项目编号不存在"))</f>
        <v/>
      </c>
      <c r="N766" s="35" t="str">
        <f aca="false">IF($E766="","",IF($E766=IFERROR(INDEX(项目档案!$D$6:$D$255,MATCH($C766,项目档案!$A$6:$A$255,0)),""),"一级",IF($E766=IFERROR(INDEX(项目档案!$F$6:$F$255,MATCH($C766,项目档案!$A$6:$A$255,0)),""),"二级",IF($E766=IFERROR(INDEX(项目档案!$H$6:$H$255,MATCH($C766,项目档案!$A$6:$A$255,0)),""),"我方","—"))))</f>
        <v/>
      </c>
      <c r="O766" s="36" t="n">
        <f aca="false">IF($D766&lt;&gt;"销项开票",0,ROUND(N($H766)*N($I766),2))</f>
        <v>0</v>
      </c>
      <c r="P766" s="36" t="n">
        <f aca="false">IF($D766&lt;&gt;"销项开票",0,ROUND(N($H766)-$O766,2))</f>
        <v>0</v>
      </c>
      <c r="Q766" s="37" t="str">
        <f aca="false">IF($E766="","",N(IFERROR(INDEX(单位档案!$E$6:$E$35,MATCH($E766,单位档案!$A$6:$A$35,0)),"")))</f>
        <v/>
      </c>
      <c r="R766" s="37" t="str">
        <f aca="false">IF($E766="","",N(IFERROR(INDEX(单位档案!$F$6:$F$35,MATCH($E766,单位档案!$A$6:$A$35,0)),"")))</f>
        <v/>
      </c>
      <c r="S766" s="36" t="n">
        <f aca="false">IF(OR($D766&lt;&gt;"销项开票",IFERROR(INDEX(单位档案!$G$6:$G$35,MATCH($E766,单位档案!$A$6:$A$35,0)),"")&lt;&gt;"是",N($Q766)=0),0,IF(IFERROR(INDEX(单位档案!$H$6:$H$35,MATCH($E766,单位档案!$A$6:$A$35,0)),"")="税差法",ROUND(N($H766)/(1+$Q766)*$Q766-IF(N($R766)=0,0,$P766/(1+$R766)*$R766),2),ROUND(N($H766)/(1+$Q766)*$Q766,2)))</f>
        <v>0</v>
      </c>
      <c r="T766" s="36" t="n">
        <f aca="false">ROUND($S766*N(IFERROR(INDEX(单位档案!$J$6:$J$35,MATCH($E766,单位档案!$A$6:$A$35,0)),"")),2)</f>
        <v>0</v>
      </c>
      <c r="U766" s="36" t="n">
        <f aca="false">IF($D766&lt;&gt;"销项开票",0,ROUND(N($H766)*N(IFERROR(INDEX(单位档案!$K$6:$K$35,MATCH($E766,单位档案!$A$6:$A$35,0)),"")),2))</f>
        <v>0</v>
      </c>
      <c r="V766" s="36" t="n">
        <f aca="false">IF(OR($D766&lt;&gt;"销项开票",N($Q766)=0),0,ROUND(N($H766)/(1+$Q766)*N(IFERROR(INDEX(单位档案!$L$6:$L$35,MATCH($E766,单位档案!$A$6:$A$35,0)),"")),2))</f>
        <v>0</v>
      </c>
      <c r="W766" s="36" t="n">
        <f aca="false">ROUND($S766+$T766+$U766+$V766,2)</f>
        <v>0</v>
      </c>
      <c r="X766" s="35" t="str">
        <f aca="false">IF(OR($D766="挂靠代收",$D766="我方收款"),COUNTIFS($D$5:$D766,"挂靠代收")+COUNTIFS($D$5:$D766,"我方收款"),"")</f>
        <v/>
      </c>
      <c r="Y766" s="35"/>
      <c r="Z766" s="21" t="s">
        <v>111</v>
      </c>
    </row>
    <row r="767" customFormat="false" ht="15.75" hidden="false" customHeight="true" outlineLevel="0" collapsed="false">
      <c r="A767" s="32" t="str">
        <f aca="false">IF($B767="","",ROW()-4)</f>
        <v/>
      </c>
      <c r="B767" s="26"/>
      <c r="C767" s="24"/>
      <c r="D767" s="21"/>
      <c r="E767" s="21"/>
      <c r="F767" s="21"/>
      <c r="G767" s="21"/>
      <c r="H767" s="27"/>
      <c r="I767" s="23" t="str">
        <f aca="false">IF($D767&lt;&gt;"销项开票","",IF($N767="一级",IF(IFERROR(INDEX(项目档案!$E$6:$E$255,MATCH($C767,项目档案!$A$6:$A$255,0)),"")="",N(IFERROR(INDEX(单位档案!$D$6:$D$35,MATCH($E767,单位档案!$A$6:$A$35,0)),"")),IFERROR(INDEX(项目档案!$E$6:$E$255,MATCH($C767,项目档案!$A$6:$A$255,0)),"")),IF($N767="二级",IF(IFERROR(INDEX(项目档案!$G$6:$G$255,MATCH($C767,项目档案!$A$6:$A$255,0)),"")="",N(IFERROR(INDEX(单位档案!$D$6:$D$35,MATCH($E767,单位档案!$A$6:$A$35,0)),"")),IFERROR(INDEX(项目档案!$G$6:$G$255,MATCH($C767,项目档案!$A$6:$A$255,0)),"")),N(IFERROR(INDEX(单位档案!$D$6:$D$35,MATCH($E767,单位档案!$A$6:$A$35,0)),"")))))</f>
        <v/>
      </c>
      <c r="J767" s="22"/>
      <c r="K767" s="22"/>
      <c r="L767" s="33" t="str">
        <f aca="false">IF($B767="","",IF(NOT(ISNUMBER($B767)),"日期格式不对",IF($C767="","未选项目编号",IF(LEFT($M767,1)="⚠","项目编号不存在",IF($D767="","未选业务类型",IF($E767="","未选开票/付款方",IF(ISNA(MATCH($E767,单位档案!$A$6:$A$35,0)),"开票方不在单位档案",IF($F767="","未选收票/收款方",IF(ISNA(MATCH($F767,单位档案!$A$6:$A$35,0)),"收款方不在单位档案",IF(NOT(ISNUMBER($H767)),"金额须为数字",IF(AND($D767="销项开票",$N767="—"),"链条待确认","√")))))))))))</f>
        <v/>
      </c>
      <c r="M767" s="34" t="str">
        <f aca="false">IF($C767="","",IFERROR(INDEX(项目档案!$B$6:$B$255,MATCH($C767,项目档案!$A$6:$A$255,0)),"⚠项目编号不存在"))</f>
        <v/>
      </c>
      <c r="N767" s="35" t="str">
        <f aca="false">IF($E767="","",IF($E767=IFERROR(INDEX(项目档案!$D$6:$D$255,MATCH($C767,项目档案!$A$6:$A$255,0)),""),"一级",IF($E767=IFERROR(INDEX(项目档案!$F$6:$F$255,MATCH($C767,项目档案!$A$6:$A$255,0)),""),"二级",IF($E767=IFERROR(INDEX(项目档案!$H$6:$H$255,MATCH($C767,项目档案!$A$6:$A$255,0)),""),"我方","—"))))</f>
        <v/>
      </c>
      <c r="O767" s="36" t="n">
        <f aca="false">IF($D767&lt;&gt;"销项开票",0,ROUND(N($H767)*N($I767),2))</f>
        <v>0</v>
      </c>
      <c r="P767" s="36" t="n">
        <f aca="false">IF($D767&lt;&gt;"销项开票",0,ROUND(N($H767)-$O767,2))</f>
        <v>0</v>
      </c>
      <c r="Q767" s="37" t="str">
        <f aca="false">IF($E767="","",N(IFERROR(INDEX(单位档案!$E$6:$E$35,MATCH($E767,单位档案!$A$6:$A$35,0)),"")))</f>
        <v/>
      </c>
      <c r="R767" s="37" t="str">
        <f aca="false">IF($E767="","",N(IFERROR(INDEX(单位档案!$F$6:$F$35,MATCH($E767,单位档案!$A$6:$A$35,0)),"")))</f>
        <v/>
      </c>
      <c r="S767" s="36" t="n">
        <f aca="false">IF(OR($D767&lt;&gt;"销项开票",IFERROR(INDEX(单位档案!$G$6:$G$35,MATCH($E767,单位档案!$A$6:$A$35,0)),"")&lt;&gt;"是",N($Q767)=0),0,IF(IFERROR(INDEX(单位档案!$H$6:$H$35,MATCH($E767,单位档案!$A$6:$A$35,0)),"")="税差法",ROUND(N($H767)/(1+$Q767)*$Q767-IF(N($R767)=0,0,$P767/(1+$R767)*$R767),2),ROUND(N($H767)/(1+$Q767)*$Q767,2)))</f>
        <v>0</v>
      </c>
      <c r="T767" s="36" t="n">
        <f aca="false">ROUND($S767*N(IFERROR(INDEX(单位档案!$J$6:$J$35,MATCH($E767,单位档案!$A$6:$A$35,0)),"")),2)</f>
        <v>0</v>
      </c>
      <c r="U767" s="36" t="n">
        <f aca="false">IF($D767&lt;&gt;"销项开票",0,ROUND(N($H767)*N(IFERROR(INDEX(单位档案!$K$6:$K$35,MATCH($E767,单位档案!$A$6:$A$35,0)),"")),2))</f>
        <v>0</v>
      </c>
      <c r="V767" s="36" t="n">
        <f aca="false">IF(OR($D767&lt;&gt;"销项开票",N($Q767)=0),0,ROUND(N($H767)/(1+$Q767)*N(IFERROR(INDEX(单位档案!$L$6:$L$35,MATCH($E767,单位档案!$A$6:$A$35,0)),"")),2))</f>
        <v>0</v>
      </c>
      <c r="W767" s="36" t="n">
        <f aca="false">ROUND($S767+$T767+$U767+$V767,2)</f>
        <v>0</v>
      </c>
      <c r="X767" s="35" t="str">
        <f aca="false">IF(OR($D767="挂靠代收",$D767="我方收款"),COUNTIFS($D$5:$D767,"挂靠代收")+COUNTIFS($D$5:$D767,"我方收款"),"")</f>
        <v/>
      </c>
      <c r="Y767" s="35"/>
      <c r="Z767" s="21" t="s">
        <v>111</v>
      </c>
    </row>
    <row r="768" customFormat="false" ht="15.75" hidden="false" customHeight="true" outlineLevel="0" collapsed="false">
      <c r="A768" s="32" t="str">
        <f aca="false">IF($B768="","",ROW()-4)</f>
        <v/>
      </c>
      <c r="B768" s="26"/>
      <c r="C768" s="24"/>
      <c r="D768" s="21"/>
      <c r="E768" s="21"/>
      <c r="F768" s="21"/>
      <c r="G768" s="21"/>
      <c r="H768" s="27"/>
      <c r="I768" s="23" t="str">
        <f aca="false">IF($D768&lt;&gt;"销项开票","",IF($N768="一级",IF(IFERROR(INDEX(项目档案!$E$6:$E$255,MATCH($C768,项目档案!$A$6:$A$255,0)),"")="",N(IFERROR(INDEX(单位档案!$D$6:$D$35,MATCH($E768,单位档案!$A$6:$A$35,0)),"")),IFERROR(INDEX(项目档案!$E$6:$E$255,MATCH($C768,项目档案!$A$6:$A$255,0)),"")),IF($N768="二级",IF(IFERROR(INDEX(项目档案!$G$6:$G$255,MATCH($C768,项目档案!$A$6:$A$255,0)),"")="",N(IFERROR(INDEX(单位档案!$D$6:$D$35,MATCH($E768,单位档案!$A$6:$A$35,0)),"")),IFERROR(INDEX(项目档案!$G$6:$G$255,MATCH($C768,项目档案!$A$6:$A$255,0)),"")),N(IFERROR(INDEX(单位档案!$D$6:$D$35,MATCH($E768,单位档案!$A$6:$A$35,0)),"")))))</f>
        <v/>
      </c>
      <c r="J768" s="22"/>
      <c r="K768" s="22"/>
      <c r="L768" s="33" t="str">
        <f aca="false">IF($B768="","",IF(NOT(ISNUMBER($B768)),"日期格式不对",IF($C768="","未选项目编号",IF(LEFT($M768,1)="⚠","项目编号不存在",IF($D768="","未选业务类型",IF($E768="","未选开票/付款方",IF(ISNA(MATCH($E768,单位档案!$A$6:$A$35,0)),"开票方不在单位档案",IF($F768="","未选收票/收款方",IF(ISNA(MATCH($F768,单位档案!$A$6:$A$35,0)),"收款方不在单位档案",IF(NOT(ISNUMBER($H768)),"金额须为数字",IF(AND($D768="销项开票",$N768="—"),"链条待确认","√")))))))))))</f>
        <v/>
      </c>
      <c r="M768" s="34" t="str">
        <f aca="false">IF($C768="","",IFERROR(INDEX(项目档案!$B$6:$B$255,MATCH($C768,项目档案!$A$6:$A$255,0)),"⚠项目编号不存在"))</f>
        <v/>
      </c>
      <c r="N768" s="35" t="str">
        <f aca="false">IF($E768="","",IF($E768=IFERROR(INDEX(项目档案!$D$6:$D$255,MATCH($C768,项目档案!$A$6:$A$255,0)),""),"一级",IF($E768=IFERROR(INDEX(项目档案!$F$6:$F$255,MATCH($C768,项目档案!$A$6:$A$255,0)),""),"二级",IF($E768=IFERROR(INDEX(项目档案!$H$6:$H$255,MATCH($C768,项目档案!$A$6:$A$255,0)),""),"我方","—"))))</f>
        <v/>
      </c>
      <c r="O768" s="36" t="n">
        <f aca="false">IF($D768&lt;&gt;"销项开票",0,ROUND(N($H768)*N($I768),2))</f>
        <v>0</v>
      </c>
      <c r="P768" s="36" t="n">
        <f aca="false">IF($D768&lt;&gt;"销项开票",0,ROUND(N($H768)-$O768,2))</f>
        <v>0</v>
      </c>
      <c r="Q768" s="37" t="str">
        <f aca="false">IF($E768="","",N(IFERROR(INDEX(单位档案!$E$6:$E$35,MATCH($E768,单位档案!$A$6:$A$35,0)),"")))</f>
        <v/>
      </c>
      <c r="R768" s="37" t="str">
        <f aca="false">IF($E768="","",N(IFERROR(INDEX(单位档案!$F$6:$F$35,MATCH($E768,单位档案!$A$6:$A$35,0)),"")))</f>
        <v/>
      </c>
      <c r="S768" s="36" t="n">
        <f aca="false">IF(OR($D768&lt;&gt;"销项开票",IFERROR(INDEX(单位档案!$G$6:$G$35,MATCH($E768,单位档案!$A$6:$A$35,0)),"")&lt;&gt;"是",N($Q768)=0),0,IF(IFERROR(INDEX(单位档案!$H$6:$H$35,MATCH($E768,单位档案!$A$6:$A$35,0)),"")="税差法",ROUND(N($H768)/(1+$Q768)*$Q768-IF(N($R768)=0,0,$P768/(1+$R768)*$R768),2),ROUND(N($H768)/(1+$Q768)*$Q768,2)))</f>
        <v>0</v>
      </c>
      <c r="T768" s="36" t="n">
        <f aca="false">ROUND($S768*N(IFERROR(INDEX(单位档案!$J$6:$J$35,MATCH($E768,单位档案!$A$6:$A$35,0)),"")),2)</f>
        <v>0</v>
      </c>
      <c r="U768" s="36" t="n">
        <f aca="false">IF($D768&lt;&gt;"销项开票",0,ROUND(N($H768)*N(IFERROR(INDEX(单位档案!$K$6:$K$35,MATCH($E768,单位档案!$A$6:$A$35,0)),"")),2))</f>
        <v>0</v>
      </c>
      <c r="V768" s="36" t="n">
        <f aca="false">IF(OR($D768&lt;&gt;"销项开票",N($Q768)=0),0,ROUND(N($H768)/(1+$Q768)*N(IFERROR(INDEX(单位档案!$L$6:$L$35,MATCH($E768,单位档案!$A$6:$A$35,0)),"")),2))</f>
        <v>0</v>
      </c>
      <c r="W768" s="36" t="n">
        <f aca="false">ROUND($S768+$T768+$U768+$V768,2)</f>
        <v>0</v>
      </c>
      <c r="X768" s="35" t="str">
        <f aca="false">IF(OR($D768="挂靠代收",$D768="我方收款"),COUNTIFS($D$5:$D768,"挂靠代收")+COUNTIFS($D$5:$D768,"我方收款"),"")</f>
        <v/>
      </c>
      <c r="Y768" s="35"/>
      <c r="Z768" s="21" t="s">
        <v>111</v>
      </c>
    </row>
    <row r="769" customFormat="false" ht="15.75" hidden="false" customHeight="true" outlineLevel="0" collapsed="false">
      <c r="A769" s="32" t="str">
        <f aca="false">IF($B769="","",ROW()-4)</f>
        <v/>
      </c>
      <c r="B769" s="26"/>
      <c r="C769" s="24"/>
      <c r="D769" s="21"/>
      <c r="E769" s="21"/>
      <c r="F769" s="21"/>
      <c r="G769" s="21"/>
      <c r="H769" s="27"/>
      <c r="I769" s="23" t="str">
        <f aca="false">IF($D769&lt;&gt;"销项开票","",IF($N769="一级",IF(IFERROR(INDEX(项目档案!$E$6:$E$255,MATCH($C769,项目档案!$A$6:$A$255,0)),"")="",N(IFERROR(INDEX(单位档案!$D$6:$D$35,MATCH($E769,单位档案!$A$6:$A$35,0)),"")),IFERROR(INDEX(项目档案!$E$6:$E$255,MATCH($C769,项目档案!$A$6:$A$255,0)),"")),IF($N769="二级",IF(IFERROR(INDEX(项目档案!$G$6:$G$255,MATCH($C769,项目档案!$A$6:$A$255,0)),"")="",N(IFERROR(INDEX(单位档案!$D$6:$D$35,MATCH($E769,单位档案!$A$6:$A$35,0)),"")),IFERROR(INDEX(项目档案!$G$6:$G$255,MATCH($C769,项目档案!$A$6:$A$255,0)),"")),N(IFERROR(INDEX(单位档案!$D$6:$D$35,MATCH($E769,单位档案!$A$6:$A$35,0)),"")))))</f>
        <v/>
      </c>
      <c r="J769" s="22"/>
      <c r="K769" s="22"/>
      <c r="L769" s="33" t="str">
        <f aca="false">IF($B769="","",IF(NOT(ISNUMBER($B769)),"日期格式不对",IF($C769="","未选项目编号",IF(LEFT($M769,1)="⚠","项目编号不存在",IF($D769="","未选业务类型",IF($E769="","未选开票/付款方",IF(ISNA(MATCH($E769,单位档案!$A$6:$A$35,0)),"开票方不在单位档案",IF($F769="","未选收票/收款方",IF(ISNA(MATCH($F769,单位档案!$A$6:$A$35,0)),"收款方不在单位档案",IF(NOT(ISNUMBER($H769)),"金额须为数字",IF(AND($D769="销项开票",$N769="—"),"链条待确认","√")))))))))))</f>
        <v/>
      </c>
      <c r="M769" s="34" t="str">
        <f aca="false">IF($C769="","",IFERROR(INDEX(项目档案!$B$6:$B$255,MATCH($C769,项目档案!$A$6:$A$255,0)),"⚠项目编号不存在"))</f>
        <v/>
      </c>
      <c r="N769" s="35" t="str">
        <f aca="false">IF($E769="","",IF($E769=IFERROR(INDEX(项目档案!$D$6:$D$255,MATCH($C769,项目档案!$A$6:$A$255,0)),""),"一级",IF($E769=IFERROR(INDEX(项目档案!$F$6:$F$255,MATCH($C769,项目档案!$A$6:$A$255,0)),""),"二级",IF($E769=IFERROR(INDEX(项目档案!$H$6:$H$255,MATCH($C769,项目档案!$A$6:$A$255,0)),""),"我方","—"))))</f>
        <v/>
      </c>
      <c r="O769" s="36" t="n">
        <f aca="false">IF($D769&lt;&gt;"销项开票",0,ROUND(N($H769)*N($I769),2))</f>
        <v>0</v>
      </c>
      <c r="P769" s="36" t="n">
        <f aca="false">IF($D769&lt;&gt;"销项开票",0,ROUND(N($H769)-$O769,2))</f>
        <v>0</v>
      </c>
      <c r="Q769" s="37" t="str">
        <f aca="false">IF($E769="","",N(IFERROR(INDEX(单位档案!$E$6:$E$35,MATCH($E769,单位档案!$A$6:$A$35,0)),"")))</f>
        <v/>
      </c>
      <c r="R769" s="37" t="str">
        <f aca="false">IF($E769="","",N(IFERROR(INDEX(单位档案!$F$6:$F$35,MATCH($E769,单位档案!$A$6:$A$35,0)),"")))</f>
        <v/>
      </c>
      <c r="S769" s="36" t="n">
        <f aca="false">IF(OR($D769&lt;&gt;"销项开票",IFERROR(INDEX(单位档案!$G$6:$G$35,MATCH($E769,单位档案!$A$6:$A$35,0)),"")&lt;&gt;"是",N($Q769)=0),0,IF(IFERROR(INDEX(单位档案!$H$6:$H$35,MATCH($E769,单位档案!$A$6:$A$35,0)),"")="税差法",ROUND(N($H769)/(1+$Q769)*$Q769-IF(N($R769)=0,0,$P769/(1+$R769)*$R769),2),ROUND(N($H769)/(1+$Q769)*$Q769,2)))</f>
        <v>0</v>
      </c>
      <c r="T769" s="36" t="n">
        <f aca="false">ROUND($S769*N(IFERROR(INDEX(单位档案!$J$6:$J$35,MATCH($E769,单位档案!$A$6:$A$35,0)),"")),2)</f>
        <v>0</v>
      </c>
      <c r="U769" s="36" t="n">
        <f aca="false">IF($D769&lt;&gt;"销项开票",0,ROUND(N($H769)*N(IFERROR(INDEX(单位档案!$K$6:$K$35,MATCH($E769,单位档案!$A$6:$A$35,0)),"")),2))</f>
        <v>0</v>
      </c>
      <c r="V769" s="36" t="n">
        <f aca="false">IF(OR($D769&lt;&gt;"销项开票",N($Q769)=0),0,ROUND(N($H769)/(1+$Q769)*N(IFERROR(INDEX(单位档案!$L$6:$L$35,MATCH($E769,单位档案!$A$6:$A$35,0)),"")),2))</f>
        <v>0</v>
      </c>
      <c r="W769" s="36" t="n">
        <f aca="false">ROUND($S769+$T769+$U769+$V769,2)</f>
        <v>0</v>
      </c>
      <c r="X769" s="35" t="str">
        <f aca="false">IF(OR($D769="挂靠代收",$D769="我方收款"),COUNTIFS($D$5:$D769,"挂靠代收")+COUNTIFS($D$5:$D769,"我方收款"),"")</f>
        <v/>
      </c>
      <c r="Y769" s="35"/>
      <c r="Z769" s="21" t="s">
        <v>111</v>
      </c>
    </row>
    <row r="770" customFormat="false" ht="15.75" hidden="false" customHeight="true" outlineLevel="0" collapsed="false">
      <c r="A770" s="32" t="str">
        <f aca="false">IF($B770="","",ROW()-4)</f>
        <v/>
      </c>
      <c r="B770" s="26"/>
      <c r="C770" s="24"/>
      <c r="D770" s="21"/>
      <c r="E770" s="21"/>
      <c r="F770" s="21"/>
      <c r="G770" s="21"/>
      <c r="H770" s="27"/>
      <c r="I770" s="23" t="str">
        <f aca="false">IF($D770&lt;&gt;"销项开票","",IF($N770="一级",IF(IFERROR(INDEX(项目档案!$E$6:$E$255,MATCH($C770,项目档案!$A$6:$A$255,0)),"")="",N(IFERROR(INDEX(单位档案!$D$6:$D$35,MATCH($E770,单位档案!$A$6:$A$35,0)),"")),IFERROR(INDEX(项目档案!$E$6:$E$255,MATCH($C770,项目档案!$A$6:$A$255,0)),"")),IF($N770="二级",IF(IFERROR(INDEX(项目档案!$G$6:$G$255,MATCH($C770,项目档案!$A$6:$A$255,0)),"")="",N(IFERROR(INDEX(单位档案!$D$6:$D$35,MATCH($E770,单位档案!$A$6:$A$35,0)),"")),IFERROR(INDEX(项目档案!$G$6:$G$255,MATCH($C770,项目档案!$A$6:$A$255,0)),"")),N(IFERROR(INDEX(单位档案!$D$6:$D$35,MATCH($E770,单位档案!$A$6:$A$35,0)),"")))))</f>
        <v/>
      </c>
      <c r="J770" s="22"/>
      <c r="K770" s="22"/>
      <c r="L770" s="33" t="str">
        <f aca="false">IF($B770="","",IF(NOT(ISNUMBER($B770)),"日期格式不对",IF($C770="","未选项目编号",IF(LEFT($M770,1)="⚠","项目编号不存在",IF($D770="","未选业务类型",IF($E770="","未选开票/付款方",IF(ISNA(MATCH($E770,单位档案!$A$6:$A$35,0)),"开票方不在单位档案",IF($F770="","未选收票/收款方",IF(ISNA(MATCH($F770,单位档案!$A$6:$A$35,0)),"收款方不在单位档案",IF(NOT(ISNUMBER($H770)),"金额须为数字",IF(AND($D770="销项开票",$N770="—"),"链条待确认","√")))))))))))</f>
        <v/>
      </c>
      <c r="M770" s="34" t="str">
        <f aca="false">IF($C770="","",IFERROR(INDEX(项目档案!$B$6:$B$255,MATCH($C770,项目档案!$A$6:$A$255,0)),"⚠项目编号不存在"))</f>
        <v/>
      </c>
      <c r="N770" s="35" t="str">
        <f aca="false">IF($E770="","",IF($E770=IFERROR(INDEX(项目档案!$D$6:$D$255,MATCH($C770,项目档案!$A$6:$A$255,0)),""),"一级",IF($E770=IFERROR(INDEX(项目档案!$F$6:$F$255,MATCH($C770,项目档案!$A$6:$A$255,0)),""),"二级",IF($E770=IFERROR(INDEX(项目档案!$H$6:$H$255,MATCH($C770,项目档案!$A$6:$A$255,0)),""),"我方","—"))))</f>
        <v/>
      </c>
      <c r="O770" s="36" t="n">
        <f aca="false">IF($D770&lt;&gt;"销项开票",0,ROUND(N($H770)*N($I770),2))</f>
        <v>0</v>
      </c>
      <c r="P770" s="36" t="n">
        <f aca="false">IF($D770&lt;&gt;"销项开票",0,ROUND(N($H770)-$O770,2))</f>
        <v>0</v>
      </c>
      <c r="Q770" s="37" t="str">
        <f aca="false">IF($E770="","",N(IFERROR(INDEX(单位档案!$E$6:$E$35,MATCH($E770,单位档案!$A$6:$A$35,0)),"")))</f>
        <v/>
      </c>
      <c r="R770" s="37" t="str">
        <f aca="false">IF($E770="","",N(IFERROR(INDEX(单位档案!$F$6:$F$35,MATCH($E770,单位档案!$A$6:$A$35,0)),"")))</f>
        <v/>
      </c>
      <c r="S770" s="36" t="n">
        <f aca="false">IF(OR($D770&lt;&gt;"销项开票",IFERROR(INDEX(单位档案!$G$6:$G$35,MATCH($E770,单位档案!$A$6:$A$35,0)),"")&lt;&gt;"是",N($Q770)=0),0,IF(IFERROR(INDEX(单位档案!$H$6:$H$35,MATCH($E770,单位档案!$A$6:$A$35,0)),"")="税差法",ROUND(N($H770)/(1+$Q770)*$Q770-IF(N($R770)=0,0,$P770/(1+$R770)*$R770),2),ROUND(N($H770)/(1+$Q770)*$Q770,2)))</f>
        <v>0</v>
      </c>
      <c r="T770" s="36" t="n">
        <f aca="false">ROUND($S770*N(IFERROR(INDEX(单位档案!$J$6:$J$35,MATCH($E770,单位档案!$A$6:$A$35,0)),"")),2)</f>
        <v>0</v>
      </c>
      <c r="U770" s="36" t="n">
        <f aca="false">IF($D770&lt;&gt;"销项开票",0,ROUND(N($H770)*N(IFERROR(INDEX(单位档案!$K$6:$K$35,MATCH($E770,单位档案!$A$6:$A$35,0)),"")),2))</f>
        <v>0</v>
      </c>
      <c r="V770" s="36" t="n">
        <f aca="false">IF(OR($D770&lt;&gt;"销项开票",N($Q770)=0),0,ROUND(N($H770)/(1+$Q770)*N(IFERROR(INDEX(单位档案!$L$6:$L$35,MATCH($E770,单位档案!$A$6:$A$35,0)),"")),2))</f>
        <v>0</v>
      </c>
      <c r="W770" s="36" t="n">
        <f aca="false">ROUND($S770+$T770+$U770+$V770,2)</f>
        <v>0</v>
      </c>
      <c r="X770" s="35" t="str">
        <f aca="false">IF(OR($D770="挂靠代收",$D770="我方收款"),COUNTIFS($D$5:$D770,"挂靠代收")+COUNTIFS($D$5:$D770,"我方收款"),"")</f>
        <v/>
      </c>
      <c r="Y770" s="35"/>
      <c r="Z770" s="21" t="s">
        <v>111</v>
      </c>
    </row>
    <row r="771" customFormat="false" ht="15.75" hidden="false" customHeight="true" outlineLevel="0" collapsed="false">
      <c r="A771" s="32" t="str">
        <f aca="false">IF($B771="","",ROW()-4)</f>
        <v/>
      </c>
      <c r="B771" s="26"/>
      <c r="C771" s="24"/>
      <c r="D771" s="21"/>
      <c r="E771" s="21"/>
      <c r="F771" s="21"/>
      <c r="G771" s="21"/>
      <c r="H771" s="27"/>
      <c r="I771" s="23" t="str">
        <f aca="false">IF($D771&lt;&gt;"销项开票","",IF($N771="一级",IF(IFERROR(INDEX(项目档案!$E$6:$E$255,MATCH($C771,项目档案!$A$6:$A$255,0)),"")="",N(IFERROR(INDEX(单位档案!$D$6:$D$35,MATCH($E771,单位档案!$A$6:$A$35,0)),"")),IFERROR(INDEX(项目档案!$E$6:$E$255,MATCH($C771,项目档案!$A$6:$A$255,0)),"")),IF($N771="二级",IF(IFERROR(INDEX(项目档案!$G$6:$G$255,MATCH($C771,项目档案!$A$6:$A$255,0)),"")="",N(IFERROR(INDEX(单位档案!$D$6:$D$35,MATCH($E771,单位档案!$A$6:$A$35,0)),"")),IFERROR(INDEX(项目档案!$G$6:$G$255,MATCH($C771,项目档案!$A$6:$A$255,0)),"")),N(IFERROR(INDEX(单位档案!$D$6:$D$35,MATCH($E771,单位档案!$A$6:$A$35,0)),"")))))</f>
        <v/>
      </c>
      <c r="J771" s="22"/>
      <c r="K771" s="22"/>
      <c r="L771" s="33" t="str">
        <f aca="false">IF($B771="","",IF(NOT(ISNUMBER($B771)),"日期格式不对",IF($C771="","未选项目编号",IF(LEFT($M771,1)="⚠","项目编号不存在",IF($D771="","未选业务类型",IF($E771="","未选开票/付款方",IF(ISNA(MATCH($E771,单位档案!$A$6:$A$35,0)),"开票方不在单位档案",IF($F771="","未选收票/收款方",IF(ISNA(MATCH($F771,单位档案!$A$6:$A$35,0)),"收款方不在单位档案",IF(NOT(ISNUMBER($H771)),"金额须为数字",IF(AND($D771="销项开票",$N771="—"),"链条待确认","√")))))))))))</f>
        <v/>
      </c>
      <c r="M771" s="34" t="str">
        <f aca="false">IF($C771="","",IFERROR(INDEX(项目档案!$B$6:$B$255,MATCH($C771,项目档案!$A$6:$A$255,0)),"⚠项目编号不存在"))</f>
        <v/>
      </c>
      <c r="N771" s="35" t="str">
        <f aca="false">IF($E771="","",IF($E771=IFERROR(INDEX(项目档案!$D$6:$D$255,MATCH($C771,项目档案!$A$6:$A$255,0)),""),"一级",IF($E771=IFERROR(INDEX(项目档案!$F$6:$F$255,MATCH($C771,项目档案!$A$6:$A$255,0)),""),"二级",IF($E771=IFERROR(INDEX(项目档案!$H$6:$H$255,MATCH($C771,项目档案!$A$6:$A$255,0)),""),"我方","—"))))</f>
        <v/>
      </c>
      <c r="O771" s="36" t="n">
        <f aca="false">IF($D771&lt;&gt;"销项开票",0,ROUND(N($H771)*N($I771),2))</f>
        <v>0</v>
      </c>
      <c r="P771" s="36" t="n">
        <f aca="false">IF($D771&lt;&gt;"销项开票",0,ROUND(N($H771)-$O771,2))</f>
        <v>0</v>
      </c>
      <c r="Q771" s="37" t="str">
        <f aca="false">IF($E771="","",N(IFERROR(INDEX(单位档案!$E$6:$E$35,MATCH($E771,单位档案!$A$6:$A$35,0)),"")))</f>
        <v/>
      </c>
      <c r="R771" s="37" t="str">
        <f aca="false">IF($E771="","",N(IFERROR(INDEX(单位档案!$F$6:$F$35,MATCH($E771,单位档案!$A$6:$A$35,0)),"")))</f>
        <v/>
      </c>
      <c r="S771" s="36" t="n">
        <f aca="false">IF(OR($D771&lt;&gt;"销项开票",IFERROR(INDEX(单位档案!$G$6:$G$35,MATCH($E771,单位档案!$A$6:$A$35,0)),"")&lt;&gt;"是",N($Q771)=0),0,IF(IFERROR(INDEX(单位档案!$H$6:$H$35,MATCH($E771,单位档案!$A$6:$A$35,0)),"")="税差法",ROUND(N($H771)/(1+$Q771)*$Q771-IF(N($R771)=0,0,$P771/(1+$R771)*$R771),2),ROUND(N($H771)/(1+$Q771)*$Q771,2)))</f>
        <v>0</v>
      </c>
      <c r="T771" s="36" t="n">
        <f aca="false">ROUND($S771*N(IFERROR(INDEX(单位档案!$J$6:$J$35,MATCH($E771,单位档案!$A$6:$A$35,0)),"")),2)</f>
        <v>0</v>
      </c>
      <c r="U771" s="36" t="n">
        <f aca="false">IF($D771&lt;&gt;"销项开票",0,ROUND(N($H771)*N(IFERROR(INDEX(单位档案!$K$6:$K$35,MATCH($E771,单位档案!$A$6:$A$35,0)),"")),2))</f>
        <v>0</v>
      </c>
      <c r="V771" s="36" t="n">
        <f aca="false">IF(OR($D771&lt;&gt;"销项开票",N($Q771)=0),0,ROUND(N($H771)/(1+$Q771)*N(IFERROR(INDEX(单位档案!$L$6:$L$35,MATCH($E771,单位档案!$A$6:$A$35,0)),"")),2))</f>
        <v>0</v>
      </c>
      <c r="W771" s="36" t="n">
        <f aca="false">ROUND($S771+$T771+$U771+$V771,2)</f>
        <v>0</v>
      </c>
      <c r="X771" s="35" t="str">
        <f aca="false">IF(OR($D771="挂靠代收",$D771="我方收款"),COUNTIFS($D$5:$D771,"挂靠代收")+COUNTIFS($D$5:$D771,"我方收款"),"")</f>
        <v/>
      </c>
      <c r="Y771" s="35"/>
      <c r="Z771" s="21" t="s">
        <v>111</v>
      </c>
    </row>
    <row r="772" customFormat="false" ht="15.75" hidden="false" customHeight="true" outlineLevel="0" collapsed="false">
      <c r="A772" s="32" t="str">
        <f aca="false">IF($B772="","",ROW()-4)</f>
        <v/>
      </c>
      <c r="B772" s="26"/>
      <c r="C772" s="24"/>
      <c r="D772" s="21"/>
      <c r="E772" s="21"/>
      <c r="F772" s="21"/>
      <c r="G772" s="21"/>
      <c r="H772" s="27"/>
      <c r="I772" s="23" t="str">
        <f aca="false">IF($D772&lt;&gt;"销项开票","",IF($N772="一级",IF(IFERROR(INDEX(项目档案!$E$6:$E$255,MATCH($C772,项目档案!$A$6:$A$255,0)),"")="",N(IFERROR(INDEX(单位档案!$D$6:$D$35,MATCH($E772,单位档案!$A$6:$A$35,0)),"")),IFERROR(INDEX(项目档案!$E$6:$E$255,MATCH($C772,项目档案!$A$6:$A$255,0)),"")),IF($N772="二级",IF(IFERROR(INDEX(项目档案!$G$6:$G$255,MATCH($C772,项目档案!$A$6:$A$255,0)),"")="",N(IFERROR(INDEX(单位档案!$D$6:$D$35,MATCH($E772,单位档案!$A$6:$A$35,0)),"")),IFERROR(INDEX(项目档案!$G$6:$G$255,MATCH($C772,项目档案!$A$6:$A$255,0)),"")),N(IFERROR(INDEX(单位档案!$D$6:$D$35,MATCH($E772,单位档案!$A$6:$A$35,0)),"")))))</f>
        <v/>
      </c>
      <c r="J772" s="22"/>
      <c r="K772" s="22"/>
      <c r="L772" s="33" t="str">
        <f aca="false">IF($B772="","",IF(NOT(ISNUMBER($B772)),"日期格式不对",IF($C772="","未选项目编号",IF(LEFT($M772,1)="⚠","项目编号不存在",IF($D772="","未选业务类型",IF($E772="","未选开票/付款方",IF(ISNA(MATCH($E772,单位档案!$A$6:$A$35,0)),"开票方不在单位档案",IF($F772="","未选收票/收款方",IF(ISNA(MATCH($F772,单位档案!$A$6:$A$35,0)),"收款方不在单位档案",IF(NOT(ISNUMBER($H772)),"金额须为数字",IF(AND($D772="销项开票",$N772="—"),"链条待确认","√")))))))))))</f>
        <v/>
      </c>
      <c r="M772" s="34" t="str">
        <f aca="false">IF($C772="","",IFERROR(INDEX(项目档案!$B$6:$B$255,MATCH($C772,项目档案!$A$6:$A$255,0)),"⚠项目编号不存在"))</f>
        <v/>
      </c>
      <c r="N772" s="35" t="str">
        <f aca="false">IF($E772="","",IF($E772=IFERROR(INDEX(项目档案!$D$6:$D$255,MATCH($C772,项目档案!$A$6:$A$255,0)),""),"一级",IF($E772=IFERROR(INDEX(项目档案!$F$6:$F$255,MATCH($C772,项目档案!$A$6:$A$255,0)),""),"二级",IF($E772=IFERROR(INDEX(项目档案!$H$6:$H$255,MATCH($C772,项目档案!$A$6:$A$255,0)),""),"我方","—"))))</f>
        <v/>
      </c>
      <c r="O772" s="36" t="n">
        <f aca="false">IF($D772&lt;&gt;"销项开票",0,ROUND(N($H772)*N($I772),2))</f>
        <v>0</v>
      </c>
      <c r="P772" s="36" t="n">
        <f aca="false">IF($D772&lt;&gt;"销项开票",0,ROUND(N($H772)-$O772,2))</f>
        <v>0</v>
      </c>
      <c r="Q772" s="37" t="str">
        <f aca="false">IF($E772="","",N(IFERROR(INDEX(单位档案!$E$6:$E$35,MATCH($E772,单位档案!$A$6:$A$35,0)),"")))</f>
        <v/>
      </c>
      <c r="R772" s="37" t="str">
        <f aca="false">IF($E772="","",N(IFERROR(INDEX(单位档案!$F$6:$F$35,MATCH($E772,单位档案!$A$6:$A$35,0)),"")))</f>
        <v/>
      </c>
      <c r="S772" s="36" t="n">
        <f aca="false">IF(OR($D772&lt;&gt;"销项开票",IFERROR(INDEX(单位档案!$G$6:$G$35,MATCH($E772,单位档案!$A$6:$A$35,0)),"")&lt;&gt;"是",N($Q772)=0),0,IF(IFERROR(INDEX(单位档案!$H$6:$H$35,MATCH($E772,单位档案!$A$6:$A$35,0)),"")="税差法",ROUND(N($H772)/(1+$Q772)*$Q772-IF(N($R772)=0,0,$P772/(1+$R772)*$R772),2),ROUND(N($H772)/(1+$Q772)*$Q772,2)))</f>
        <v>0</v>
      </c>
      <c r="T772" s="36" t="n">
        <f aca="false">ROUND($S772*N(IFERROR(INDEX(单位档案!$J$6:$J$35,MATCH($E772,单位档案!$A$6:$A$35,0)),"")),2)</f>
        <v>0</v>
      </c>
      <c r="U772" s="36" t="n">
        <f aca="false">IF($D772&lt;&gt;"销项开票",0,ROUND(N($H772)*N(IFERROR(INDEX(单位档案!$K$6:$K$35,MATCH($E772,单位档案!$A$6:$A$35,0)),"")),2))</f>
        <v>0</v>
      </c>
      <c r="V772" s="36" t="n">
        <f aca="false">IF(OR($D772&lt;&gt;"销项开票",N($Q772)=0),0,ROUND(N($H772)/(1+$Q772)*N(IFERROR(INDEX(单位档案!$L$6:$L$35,MATCH($E772,单位档案!$A$6:$A$35,0)),"")),2))</f>
        <v>0</v>
      </c>
      <c r="W772" s="36" t="n">
        <f aca="false">ROUND($S772+$T772+$U772+$V772,2)</f>
        <v>0</v>
      </c>
      <c r="X772" s="35" t="str">
        <f aca="false">IF(OR($D772="挂靠代收",$D772="我方收款"),COUNTIFS($D$5:$D772,"挂靠代收")+COUNTIFS($D$5:$D772,"我方收款"),"")</f>
        <v/>
      </c>
      <c r="Y772" s="35"/>
      <c r="Z772" s="21" t="s">
        <v>111</v>
      </c>
    </row>
    <row r="773" customFormat="false" ht="15.75" hidden="false" customHeight="true" outlineLevel="0" collapsed="false">
      <c r="A773" s="32" t="str">
        <f aca="false">IF($B773="","",ROW()-4)</f>
        <v/>
      </c>
      <c r="B773" s="26"/>
      <c r="C773" s="24"/>
      <c r="D773" s="21"/>
      <c r="E773" s="21"/>
      <c r="F773" s="21"/>
      <c r="G773" s="21"/>
      <c r="H773" s="27"/>
      <c r="I773" s="23" t="str">
        <f aca="false">IF($D773&lt;&gt;"销项开票","",IF($N773="一级",IF(IFERROR(INDEX(项目档案!$E$6:$E$255,MATCH($C773,项目档案!$A$6:$A$255,0)),"")="",N(IFERROR(INDEX(单位档案!$D$6:$D$35,MATCH($E773,单位档案!$A$6:$A$35,0)),"")),IFERROR(INDEX(项目档案!$E$6:$E$255,MATCH($C773,项目档案!$A$6:$A$255,0)),"")),IF($N773="二级",IF(IFERROR(INDEX(项目档案!$G$6:$G$255,MATCH($C773,项目档案!$A$6:$A$255,0)),"")="",N(IFERROR(INDEX(单位档案!$D$6:$D$35,MATCH($E773,单位档案!$A$6:$A$35,0)),"")),IFERROR(INDEX(项目档案!$G$6:$G$255,MATCH($C773,项目档案!$A$6:$A$255,0)),"")),N(IFERROR(INDEX(单位档案!$D$6:$D$35,MATCH($E773,单位档案!$A$6:$A$35,0)),"")))))</f>
        <v/>
      </c>
      <c r="J773" s="22"/>
      <c r="K773" s="22"/>
      <c r="L773" s="33" t="str">
        <f aca="false">IF($B773="","",IF(NOT(ISNUMBER($B773)),"日期格式不对",IF($C773="","未选项目编号",IF(LEFT($M773,1)="⚠","项目编号不存在",IF($D773="","未选业务类型",IF($E773="","未选开票/付款方",IF(ISNA(MATCH($E773,单位档案!$A$6:$A$35,0)),"开票方不在单位档案",IF($F773="","未选收票/收款方",IF(ISNA(MATCH($F773,单位档案!$A$6:$A$35,0)),"收款方不在单位档案",IF(NOT(ISNUMBER($H773)),"金额须为数字",IF(AND($D773="销项开票",$N773="—"),"链条待确认","√")))))))))))</f>
        <v/>
      </c>
      <c r="M773" s="34" t="str">
        <f aca="false">IF($C773="","",IFERROR(INDEX(项目档案!$B$6:$B$255,MATCH($C773,项目档案!$A$6:$A$255,0)),"⚠项目编号不存在"))</f>
        <v/>
      </c>
      <c r="N773" s="35" t="str">
        <f aca="false">IF($E773="","",IF($E773=IFERROR(INDEX(项目档案!$D$6:$D$255,MATCH($C773,项目档案!$A$6:$A$255,0)),""),"一级",IF($E773=IFERROR(INDEX(项目档案!$F$6:$F$255,MATCH($C773,项目档案!$A$6:$A$255,0)),""),"二级",IF($E773=IFERROR(INDEX(项目档案!$H$6:$H$255,MATCH($C773,项目档案!$A$6:$A$255,0)),""),"我方","—"))))</f>
        <v/>
      </c>
      <c r="O773" s="36" t="n">
        <f aca="false">IF($D773&lt;&gt;"销项开票",0,ROUND(N($H773)*N($I773),2))</f>
        <v>0</v>
      </c>
      <c r="P773" s="36" t="n">
        <f aca="false">IF($D773&lt;&gt;"销项开票",0,ROUND(N($H773)-$O773,2))</f>
        <v>0</v>
      </c>
      <c r="Q773" s="37" t="str">
        <f aca="false">IF($E773="","",N(IFERROR(INDEX(单位档案!$E$6:$E$35,MATCH($E773,单位档案!$A$6:$A$35,0)),"")))</f>
        <v/>
      </c>
      <c r="R773" s="37" t="str">
        <f aca="false">IF($E773="","",N(IFERROR(INDEX(单位档案!$F$6:$F$35,MATCH($E773,单位档案!$A$6:$A$35,0)),"")))</f>
        <v/>
      </c>
      <c r="S773" s="36" t="n">
        <f aca="false">IF(OR($D773&lt;&gt;"销项开票",IFERROR(INDEX(单位档案!$G$6:$G$35,MATCH($E773,单位档案!$A$6:$A$35,0)),"")&lt;&gt;"是",N($Q773)=0),0,IF(IFERROR(INDEX(单位档案!$H$6:$H$35,MATCH($E773,单位档案!$A$6:$A$35,0)),"")="税差法",ROUND(N($H773)/(1+$Q773)*$Q773-IF(N($R773)=0,0,$P773/(1+$R773)*$R773),2),ROUND(N($H773)/(1+$Q773)*$Q773,2)))</f>
        <v>0</v>
      </c>
      <c r="T773" s="36" t="n">
        <f aca="false">ROUND($S773*N(IFERROR(INDEX(单位档案!$J$6:$J$35,MATCH($E773,单位档案!$A$6:$A$35,0)),"")),2)</f>
        <v>0</v>
      </c>
      <c r="U773" s="36" t="n">
        <f aca="false">IF($D773&lt;&gt;"销项开票",0,ROUND(N($H773)*N(IFERROR(INDEX(单位档案!$K$6:$K$35,MATCH($E773,单位档案!$A$6:$A$35,0)),"")),2))</f>
        <v>0</v>
      </c>
      <c r="V773" s="36" t="n">
        <f aca="false">IF(OR($D773&lt;&gt;"销项开票",N($Q773)=0),0,ROUND(N($H773)/(1+$Q773)*N(IFERROR(INDEX(单位档案!$L$6:$L$35,MATCH($E773,单位档案!$A$6:$A$35,0)),"")),2))</f>
        <v>0</v>
      </c>
      <c r="W773" s="36" t="n">
        <f aca="false">ROUND($S773+$T773+$U773+$V773,2)</f>
        <v>0</v>
      </c>
      <c r="X773" s="35" t="str">
        <f aca="false">IF(OR($D773="挂靠代收",$D773="我方收款"),COUNTIFS($D$5:$D773,"挂靠代收")+COUNTIFS($D$5:$D773,"我方收款"),"")</f>
        <v/>
      </c>
      <c r="Y773" s="35"/>
      <c r="Z773" s="21" t="s">
        <v>111</v>
      </c>
    </row>
    <row r="774" customFormat="false" ht="15.75" hidden="false" customHeight="true" outlineLevel="0" collapsed="false">
      <c r="A774" s="32" t="str">
        <f aca="false">IF($B774="","",ROW()-4)</f>
        <v/>
      </c>
      <c r="B774" s="26"/>
      <c r="C774" s="24"/>
      <c r="D774" s="21"/>
      <c r="E774" s="21"/>
      <c r="F774" s="21"/>
      <c r="G774" s="21"/>
      <c r="H774" s="27"/>
      <c r="I774" s="23" t="str">
        <f aca="false">IF($D774&lt;&gt;"销项开票","",IF($N774="一级",IF(IFERROR(INDEX(项目档案!$E$6:$E$255,MATCH($C774,项目档案!$A$6:$A$255,0)),"")="",N(IFERROR(INDEX(单位档案!$D$6:$D$35,MATCH($E774,单位档案!$A$6:$A$35,0)),"")),IFERROR(INDEX(项目档案!$E$6:$E$255,MATCH($C774,项目档案!$A$6:$A$255,0)),"")),IF($N774="二级",IF(IFERROR(INDEX(项目档案!$G$6:$G$255,MATCH($C774,项目档案!$A$6:$A$255,0)),"")="",N(IFERROR(INDEX(单位档案!$D$6:$D$35,MATCH($E774,单位档案!$A$6:$A$35,0)),"")),IFERROR(INDEX(项目档案!$G$6:$G$255,MATCH($C774,项目档案!$A$6:$A$255,0)),"")),N(IFERROR(INDEX(单位档案!$D$6:$D$35,MATCH($E774,单位档案!$A$6:$A$35,0)),"")))))</f>
        <v/>
      </c>
      <c r="J774" s="22"/>
      <c r="K774" s="22"/>
      <c r="L774" s="33" t="str">
        <f aca="false">IF($B774="","",IF(NOT(ISNUMBER($B774)),"日期格式不对",IF($C774="","未选项目编号",IF(LEFT($M774,1)="⚠","项目编号不存在",IF($D774="","未选业务类型",IF($E774="","未选开票/付款方",IF(ISNA(MATCH($E774,单位档案!$A$6:$A$35,0)),"开票方不在单位档案",IF($F774="","未选收票/收款方",IF(ISNA(MATCH($F774,单位档案!$A$6:$A$35,0)),"收款方不在单位档案",IF(NOT(ISNUMBER($H774)),"金额须为数字",IF(AND($D774="销项开票",$N774="—"),"链条待确认","√")))))))))))</f>
        <v/>
      </c>
      <c r="M774" s="34" t="str">
        <f aca="false">IF($C774="","",IFERROR(INDEX(项目档案!$B$6:$B$255,MATCH($C774,项目档案!$A$6:$A$255,0)),"⚠项目编号不存在"))</f>
        <v/>
      </c>
      <c r="N774" s="35" t="str">
        <f aca="false">IF($E774="","",IF($E774=IFERROR(INDEX(项目档案!$D$6:$D$255,MATCH($C774,项目档案!$A$6:$A$255,0)),""),"一级",IF($E774=IFERROR(INDEX(项目档案!$F$6:$F$255,MATCH($C774,项目档案!$A$6:$A$255,0)),""),"二级",IF($E774=IFERROR(INDEX(项目档案!$H$6:$H$255,MATCH($C774,项目档案!$A$6:$A$255,0)),""),"我方","—"))))</f>
        <v/>
      </c>
      <c r="O774" s="36" t="n">
        <f aca="false">IF($D774&lt;&gt;"销项开票",0,ROUND(N($H774)*N($I774),2))</f>
        <v>0</v>
      </c>
      <c r="P774" s="36" t="n">
        <f aca="false">IF($D774&lt;&gt;"销项开票",0,ROUND(N($H774)-$O774,2))</f>
        <v>0</v>
      </c>
      <c r="Q774" s="37" t="str">
        <f aca="false">IF($E774="","",N(IFERROR(INDEX(单位档案!$E$6:$E$35,MATCH($E774,单位档案!$A$6:$A$35,0)),"")))</f>
        <v/>
      </c>
      <c r="R774" s="37" t="str">
        <f aca="false">IF($E774="","",N(IFERROR(INDEX(单位档案!$F$6:$F$35,MATCH($E774,单位档案!$A$6:$A$35,0)),"")))</f>
        <v/>
      </c>
      <c r="S774" s="36" t="n">
        <f aca="false">IF(OR($D774&lt;&gt;"销项开票",IFERROR(INDEX(单位档案!$G$6:$G$35,MATCH($E774,单位档案!$A$6:$A$35,0)),"")&lt;&gt;"是",N($Q774)=0),0,IF(IFERROR(INDEX(单位档案!$H$6:$H$35,MATCH($E774,单位档案!$A$6:$A$35,0)),"")="税差法",ROUND(N($H774)/(1+$Q774)*$Q774-IF(N($R774)=0,0,$P774/(1+$R774)*$R774),2),ROUND(N($H774)/(1+$Q774)*$Q774,2)))</f>
        <v>0</v>
      </c>
      <c r="T774" s="36" t="n">
        <f aca="false">ROUND($S774*N(IFERROR(INDEX(单位档案!$J$6:$J$35,MATCH($E774,单位档案!$A$6:$A$35,0)),"")),2)</f>
        <v>0</v>
      </c>
      <c r="U774" s="36" t="n">
        <f aca="false">IF($D774&lt;&gt;"销项开票",0,ROUND(N($H774)*N(IFERROR(INDEX(单位档案!$K$6:$K$35,MATCH($E774,单位档案!$A$6:$A$35,0)),"")),2))</f>
        <v>0</v>
      </c>
      <c r="V774" s="36" t="n">
        <f aca="false">IF(OR($D774&lt;&gt;"销项开票",N($Q774)=0),0,ROUND(N($H774)/(1+$Q774)*N(IFERROR(INDEX(单位档案!$L$6:$L$35,MATCH($E774,单位档案!$A$6:$A$35,0)),"")),2))</f>
        <v>0</v>
      </c>
      <c r="W774" s="36" t="n">
        <f aca="false">ROUND($S774+$T774+$U774+$V774,2)</f>
        <v>0</v>
      </c>
      <c r="X774" s="35" t="str">
        <f aca="false">IF(OR($D774="挂靠代收",$D774="我方收款"),COUNTIFS($D$5:$D774,"挂靠代收")+COUNTIFS($D$5:$D774,"我方收款"),"")</f>
        <v/>
      </c>
      <c r="Y774" s="35"/>
      <c r="Z774" s="21" t="s">
        <v>111</v>
      </c>
    </row>
    <row r="775" customFormat="false" ht="15.75" hidden="false" customHeight="true" outlineLevel="0" collapsed="false">
      <c r="A775" s="32" t="str">
        <f aca="false">IF($B775="","",ROW()-4)</f>
        <v/>
      </c>
      <c r="B775" s="26"/>
      <c r="C775" s="24"/>
      <c r="D775" s="21"/>
      <c r="E775" s="21"/>
      <c r="F775" s="21"/>
      <c r="G775" s="21"/>
      <c r="H775" s="27"/>
      <c r="I775" s="23" t="str">
        <f aca="false">IF($D775&lt;&gt;"销项开票","",IF($N775="一级",IF(IFERROR(INDEX(项目档案!$E$6:$E$255,MATCH($C775,项目档案!$A$6:$A$255,0)),"")="",N(IFERROR(INDEX(单位档案!$D$6:$D$35,MATCH($E775,单位档案!$A$6:$A$35,0)),"")),IFERROR(INDEX(项目档案!$E$6:$E$255,MATCH($C775,项目档案!$A$6:$A$255,0)),"")),IF($N775="二级",IF(IFERROR(INDEX(项目档案!$G$6:$G$255,MATCH($C775,项目档案!$A$6:$A$255,0)),"")="",N(IFERROR(INDEX(单位档案!$D$6:$D$35,MATCH($E775,单位档案!$A$6:$A$35,0)),"")),IFERROR(INDEX(项目档案!$G$6:$G$255,MATCH($C775,项目档案!$A$6:$A$255,0)),"")),N(IFERROR(INDEX(单位档案!$D$6:$D$35,MATCH($E775,单位档案!$A$6:$A$35,0)),"")))))</f>
        <v/>
      </c>
      <c r="J775" s="22"/>
      <c r="K775" s="22"/>
      <c r="L775" s="33" t="str">
        <f aca="false">IF($B775="","",IF(NOT(ISNUMBER($B775)),"日期格式不对",IF($C775="","未选项目编号",IF(LEFT($M775,1)="⚠","项目编号不存在",IF($D775="","未选业务类型",IF($E775="","未选开票/付款方",IF(ISNA(MATCH($E775,单位档案!$A$6:$A$35,0)),"开票方不在单位档案",IF($F775="","未选收票/收款方",IF(ISNA(MATCH($F775,单位档案!$A$6:$A$35,0)),"收款方不在单位档案",IF(NOT(ISNUMBER($H775)),"金额须为数字",IF(AND($D775="销项开票",$N775="—"),"链条待确认","√")))))))))))</f>
        <v/>
      </c>
      <c r="M775" s="34" t="str">
        <f aca="false">IF($C775="","",IFERROR(INDEX(项目档案!$B$6:$B$255,MATCH($C775,项目档案!$A$6:$A$255,0)),"⚠项目编号不存在"))</f>
        <v/>
      </c>
      <c r="N775" s="35" t="str">
        <f aca="false">IF($E775="","",IF($E775=IFERROR(INDEX(项目档案!$D$6:$D$255,MATCH($C775,项目档案!$A$6:$A$255,0)),""),"一级",IF($E775=IFERROR(INDEX(项目档案!$F$6:$F$255,MATCH($C775,项目档案!$A$6:$A$255,0)),""),"二级",IF($E775=IFERROR(INDEX(项目档案!$H$6:$H$255,MATCH($C775,项目档案!$A$6:$A$255,0)),""),"我方","—"))))</f>
        <v/>
      </c>
      <c r="O775" s="36" t="n">
        <f aca="false">IF($D775&lt;&gt;"销项开票",0,ROUND(N($H775)*N($I775),2))</f>
        <v>0</v>
      </c>
      <c r="P775" s="36" t="n">
        <f aca="false">IF($D775&lt;&gt;"销项开票",0,ROUND(N($H775)-$O775,2))</f>
        <v>0</v>
      </c>
      <c r="Q775" s="37" t="str">
        <f aca="false">IF($E775="","",N(IFERROR(INDEX(单位档案!$E$6:$E$35,MATCH($E775,单位档案!$A$6:$A$35,0)),"")))</f>
        <v/>
      </c>
      <c r="R775" s="37" t="str">
        <f aca="false">IF($E775="","",N(IFERROR(INDEX(单位档案!$F$6:$F$35,MATCH($E775,单位档案!$A$6:$A$35,0)),"")))</f>
        <v/>
      </c>
      <c r="S775" s="36" t="n">
        <f aca="false">IF(OR($D775&lt;&gt;"销项开票",IFERROR(INDEX(单位档案!$G$6:$G$35,MATCH($E775,单位档案!$A$6:$A$35,0)),"")&lt;&gt;"是",N($Q775)=0),0,IF(IFERROR(INDEX(单位档案!$H$6:$H$35,MATCH($E775,单位档案!$A$6:$A$35,0)),"")="税差法",ROUND(N($H775)/(1+$Q775)*$Q775-IF(N($R775)=0,0,$P775/(1+$R775)*$R775),2),ROUND(N($H775)/(1+$Q775)*$Q775,2)))</f>
        <v>0</v>
      </c>
      <c r="T775" s="36" t="n">
        <f aca="false">ROUND($S775*N(IFERROR(INDEX(单位档案!$J$6:$J$35,MATCH($E775,单位档案!$A$6:$A$35,0)),"")),2)</f>
        <v>0</v>
      </c>
      <c r="U775" s="36" t="n">
        <f aca="false">IF($D775&lt;&gt;"销项开票",0,ROUND(N($H775)*N(IFERROR(INDEX(单位档案!$K$6:$K$35,MATCH($E775,单位档案!$A$6:$A$35,0)),"")),2))</f>
        <v>0</v>
      </c>
      <c r="V775" s="36" t="n">
        <f aca="false">IF(OR($D775&lt;&gt;"销项开票",N($Q775)=0),0,ROUND(N($H775)/(1+$Q775)*N(IFERROR(INDEX(单位档案!$L$6:$L$35,MATCH($E775,单位档案!$A$6:$A$35,0)),"")),2))</f>
        <v>0</v>
      </c>
      <c r="W775" s="36" t="n">
        <f aca="false">ROUND($S775+$T775+$U775+$V775,2)</f>
        <v>0</v>
      </c>
      <c r="X775" s="35" t="str">
        <f aca="false">IF(OR($D775="挂靠代收",$D775="我方收款"),COUNTIFS($D$5:$D775,"挂靠代收")+COUNTIFS($D$5:$D775,"我方收款"),"")</f>
        <v/>
      </c>
      <c r="Y775" s="35"/>
      <c r="Z775" s="21" t="s">
        <v>111</v>
      </c>
    </row>
    <row r="776" customFormat="false" ht="15.75" hidden="false" customHeight="true" outlineLevel="0" collapsed="false">
      <c r="A776" s="32" t="str">
        <f aca="false">IF($B776="","",ROW()-4)</f>
        <v/>
      </c>
      <c r="B776" s="26"/>
      <c r="C776" s="24"/>
      <c r="D776" s="21"/>
      <c r="E776" s="21"/>
      <c r="F776" s="21"/>
      <c r="G776" s="21"/>
      <c r="H776" s="27"/>
      <c r="I776" s="23" t="str">
        <f aca="false">IF($D776&lt;&gt;"销项开票","",IF($N776="一级",IF(IFERROR(INDEX(项目档案!$E$6:$E$255,MATCH($C776,项目档案!$A$6:$A$255,0)),"")="",N(IFERROR(INDEX(单位档案!$D$6:$D$35,MATCH($E776,单位档案!$A$6:$A$35,0)),"")),IFERROR(INDEX(项目档案!$E$6:$E$255,MATCH($C776,项目档案!$A$6:$A$255,0)),"")),IF($N776="二级",IF(IFERROR(INDEX(项目档案!$G$6:$G$255,MATCH($C776,项目档案!$A$6:$A$255,0)),"")="",N(IFERROR(INDEX(单位档案!$D$6:$D$35,MATCH($E776,单位档案!$A$6:$A$35,0)),"")),IFERROR(INDEX(项目档案!$G$6:$G$255,MATCH($C776,项目档案!$A$6:$A$255,0)),"")),N(IFERROR(INDEX(单位档案!$D$6:$D$35,MATCH($E776,单位档案!$A$6:$A$35,0)),"")))))</f>
        <v/>
      </c>
      <c r="J776" s="22"/>
      <c r="K776" s="22"/>
      <c r="L776" s="33" t="str">
        <f aca="false">IF($B776="","",IF(NOT(ISNUMBER($B776)),"日期格式不对",IF($C776="","未选项目编号",IF(LEFT($M776,1)="⚠","项目编号不存在",IF($D776="","未选业务类型",IF($E776="","未选开票/付款方",IF(ISNA(MATCH($E776,单位档案!$A$6:$A$35,0)),"开票方不在单位档案",IF($F776="","未选收票/收款方",IF(ISNA(MATCH($F776,单位档案!$A$6:$A$35,0)),"收款方不在单位档案",IF(NOT(ISNUMBER($H776)),"金额须为数字",IF(AND($D776="销项开票",$N776="—"),"链条待确认","√")))))))))))</f>
        <v/>
      </c>
      <c r="M776" s="34" t="str">
        <f aca="false">IF($C776="","",IFERROR(INDEX(项目档案!$B$6:$B$255,MATCH($C776,项目档案!$A$6:$A$255,0)),"⚠项目编号不存在"))</f>
        <v/>
      </c>
      <c r="N776" s="35" t="str">
        <f aca="false">IF($E776="","",IF($E776=IFERROR(INDEX(项目档案!$D$6:$D$255,MATCH($C776,项目档案!$A$6:$A$255,0)),""),"一级",IF($E776=IFERROR(INDEX(项目档案!$F$6:$F$255,MATCH($C776,项目档案!$A$6:$A$255,0)),""),"二级",IF($E776=IFERROR(INDEX(项目档案!$H$6:$H$255,MATCH($C776,项目档案!$A$6:$A$255,0)),""),"我方","—"))))</f>
        <v/>
      </c>
      <c r="O776" s="36" t="n">
        <f aca="false">IF($D776&lt;&gt;"销项开票",0,ROUND(N($H776)*N($I776),2))</f>
        <v>0</v>
      </c>
      <c r="P776" s="36" t="n">
        <f aca="false">IF($D776&lt;&gt;"销项开票",0,ROUND(N($H776)-$O776,2))</f>
        <v>0</v>
      </c>
      <c r="Q776" s="37" t="str">
        <f aca="false">IF($E776="","",N(IFERROR(INDEX(单位档案!$E$6:$E$35,MATCH($E776,单位档案!$A$6:$A$35,0)),"")))</f>
        <v/>
      </c>
      <c r="R776" s="37" t="str">
        <f aca="false">IF($E776="","",N(IFERROR(INDEX(单位档案!$F$6:$F$35,MATCH($E776,单位档案!$A$6:$A$35,0)),"")))</f>
        <v/>
      </c>
      <c r="S776" s="36" t="n">
        <f aca="false">IF(OR($D776&lt;&gt;"销项开票",IFERROR(INDEX(单位档案!$G$6:$G$35,MATCH($E776,单位档案!$A$6:$A$35,0)),"")&lt;&gt;"是",N($Q776)=0),0,IF(IFERROR(INDEX(单位档案!$H$6:$H$35,MATCH($E776,单位档案!$A$6:$A$35,0)),"")="税差法",ROUND(N($H776)/(1+$Q776)*$Q776-IF(N($R776)=0,0,$P776/(1+$R776)*$R776),2),ROUND(N($H776)/(1+$Q776)*$Q776,2)))</f>
        <v>0</v>
      </c>
      <c r="T776" s="36" t="n">
        <f aca="false">ROUND($S776*N(IFERROR(INDEX(单位档案!$J$6:$J$35,MATCH($E776,单位档案!$A$6:$A$35,0)),"")),2)</f>
        <v>0</v>
      </c>
      <c r="U776" s="36" t="n">
        <f aca="false">IF($D776&lt;&gt;"销项开票",0,ROUND(N($H776)*N(IFERROR(INDEX(单位档案!$K$6:$K$35,MATCH($E776,单位档案!$A$6:$A$35,0)),"")),2))</f>
        <v>0</v>
      </c>
      <c r="V776" s="36" t="n">
        <f aca="false">IF(OR($D776&lt;&gt;"销项开票",N($Q776)=0),0,ROUND(N($H776)/(1+$Q776)*N(IFERROR(INDEX(单位档案!$L$6:$L$35,MATCH($E776,单位档案!$A$6:$A$35,0)),"")),2))</f>
        <v>0</v>
      </c>
      <c r="W776" s="36" t="n">
        <f aca="false">ROUND($S776+$T776+$U776+$V776,2)</f>
        <v>0</v>
      </c>
      <c r="X776" s="35" t="str">
        <f aca="false">IF(OR($D776="挂靠代收",$D776="我方收款"),COUNTIFS($D$5:$D776,"挂靠代收")+COUNTIFS($D$5:$D776,"我方收款"),"")</f>
        <v/>
      </c>
      <c r="Y776" s="35"/>
      <c r="Z776" s="21" t="s">
        <v>111</v>
      </c>
    </row>
    <row r="777" customFormat="false" ht="15.75" hidden="false" customHeight="true" outlineLevel="0" collapsed="false">
      <c r="A777" s="32" t="str">
        <f aca="false">IF($B777="","",ROW()-4)</f>
        <v/>
      </c>
      <c r="B777" s="26"/>
      <c r="C777" s="24"/>
      <c r="D777" s="21"/>
      <c r="E777" s="21"/>
      <c r="F777" s="21"/>
      <c r="G777" s="21"/>
      <c r="H777" s="27"/>
      <c r="I777" s="23" t="str">
        <f aca="false">IF($D777&lt;&gt;"销项开票","",IF($N777="一级",IF(IFERROR(INDEX(项目档案!$E$6:$E$255,MATCH($C777,项目档案!$A$6:$A$255,0)),"")="",N(IFERROR(INDEX(单位档案!$D$6:$D$35,MATCH($E777,单位档案!$A$6:$A$35,0)),"")),IFERROR(INDEX(项目档案!$E$6:$E$255,MATCH($C777,项目档案!$A$6:$A$255,0)),"")),IF($N777="二级",IF(IFERROR(INDEX(项目档案!$G$6:$G$255,MATCH($C777,项目档案!$A$6:$A$255,0)),"")="",N(IFERROR(INDEX(单位档案!$D$6:$D$35,MATCH($E777,单位档案!$A$6:$A$35,0)),"")),IFERROR(INDEX(项目档案!$G$6:$G$255,MATCH($C777,项目档案!$A$6:$A$255,0)),"")),N(IFERROR(INDEX(单位档案!$D$6:$D$35,MATCH($E777,单位档案!$A$6:$A$35,0)),"")))))</f>
        <v/>
      </c>
      <c r="J777" s="22"/>
      <c r="K777" s="22"/>
      <c r="L777" s="33" t="str">
        <f aca="false">IF($B777="","",IF(NOT(ISNUMBER($B777)),"日期格式不对",IF($C777="","未选项目编号",IF(LEFT($M777,1)="⚠","项目编号不存在",IF($D777="","未选业务类型",IF($E777="","未选开票/付款方",IF(ISNA(MATCH($E777,单位档案!$A$6:$A$35,0)),"开票方不在单位档案",IF($F777="","未选收票/收款方",IF(ISNA(MATCH($F777,单位档案!$A$6:$A$35,0)),"收款方不在单位档案",IF(NOT(ISNUMBER($H777)),"金额须为数字",IF(AND($D777="销项开票",$N777="—"),"链条待确认","√")))))))))))</f>
        <v/>
      </c>
      <c r="M777" s="34" t="str">
        <f aca="false">IF($C777="","",IFERROR(INDEX(项目档案!$B$6:$B$255,MATCH($C777,项目档案!$A$6:$A$255,0)),"⚠项目编号不存在"))</f>
        <v/>
      </c>
      <c r="N777" s="35" t="str">
        <f aca="false">IF($E777="","",IF($E777=IFERROR(INDEX(项目档案!$D$6:$D$255,MATCH($C777,项目档案!$A$6:$A$255,0)),""),"一级",IF($E777=IFERROR(INDEX(项目档案!$F$6:$F$255,MATCH($C777,项目档案!$A$6:$A$255,0)),""),"二级",IF($E777=IFERROR(INDEX(项目档案!$H$6:$H$255,MATCH($C777,项目档案!$A$6:$A$255,0)),""),"我方","—"))))</f>
        <v/>
      </c>
      <c r="O777" s="36" t="n">
        <f aca="false">IF($D777&lt;&gt;"销项开票",0,ROUND(N($H777)*N($I777),2))</f>
        <v>0</v>
      </c>
      <c r="P777" s="36" t="n">
        <f aca="false">IF($D777&lt;&gt;"销项开票",0,ROUND(N($H777)-$O777,2))</f>
        <v>0</v>
      </c>
      <c r="Q777" s="37" t="str">
        <f aca="false">IF($E777="","",N(IFERROR(INDEX(单位档案!$E$6:$E$35,MATCH($E777,单位档案!$A$6:$A$35,0)),"")))</f>
        <v/>
      </c>
      <c r="R777" s="37" t="str">
        <f aca="false">IF($E777="","",N(IFERROR(INDEX(单位档案!$F$6:$F$35,MATCH($E777,单位档案!$A$6:$A$35,0)),"")))</f>
        <v/>
      </c>
      <c r="S777" s="36" t="n">
        <f aca="false">IF(OR($D777&lt;&gt;"销项开票",IFERROR(INDEX(单位档案!$G$6:$G$35,MATCH($E777,单位档案!$A$6:$A$35,0)),"")&lt;&gt;"是",N($Q777)=0),0,IF(IFERROR(INDEX(单位档案!$H$6:$H$35,MATCH($E777,单位档案!$A$6:$A$35,0)),"")="税差法",ROUND(N($H777)/(1+$Q777)*$Q777-IF(N($R777)=0,0,$P777/(1+$R777)*$R777),2),ROUND(N($H777)/(1+$Q777)*$Q777,2)))</f>
        <v>0</v>
      </c>
      <c r="T777" s="36" t="n">
        <f aca="false">ROUND($S777*N(IFERROR(INDEX(单位档案!$J$6:$J$35,MATCH($E777,单位档案!$A$6:$A$35,0)),"")),2)</f>
        <v>0</v>
      </c>
      <c r="U777" s="36" t="n">
        <f aca="false">IF($D777&lt;&gt;"销项开票",0,ROUND(N($H777)*N(IFERROR(INDEX(单位档案!$K$6:$K$35,MATCH($E777,单位档案!$A$6:$A$35,0)),"")),2))</f>
        <v>0</v>
      </c>
      <c r="V777" s="36" t="n">
        <f aca="false">IF(OR($D777&lt;&gt;"销项开票",N($Q777)=0),0,ROUND(N($H777)/(1+$Q777)*N(IFERROR(INDEX(单位档案!$L$6:$L$35,MATCH($E777,单位档案!$A$6:$A$35,0)),"")),2))</f>
        <v>0</v>
      </c>
      <c r="W777" s="36" t="n">
        <f aca="false">ROUND($S777+$T777+$U777+$V777,2)</f>
        <v>0</v>
      </c>
      <c r="X777" s="35" t="str">
        <f aca="false">IF(OR($D777="挂靠代收",$D777="我方收款"),COUNTIFS($D$5:$D777,"挂靠代收")+COUNTIFS($D$5:$D777,"我方收款"),"")</f>
        <v/>
      </c>
      <c r="Y777" s="35"/>
      <c r="Z777" s="21" t="s">
        <v>111</v>
      </c>
    </row>
    <row r="778" customFormat="false" ht="15.75" hidden="false" customHeight="true" outlineLevel="0" collapsed="false">
      <c r="A778" s="32" t="str">
        <f aca="false">IF($B778="","",ROW()-4)</f>
        <v/>
      </c>
      <c r="B778" s="26"/>
      <c r="C778" s="24"/>
      <c r="D778" s="21"/>
      <c r="E778" s="21"/>
      <c r="F778" s="21"/>
      <c r="G778" s="21"/>
      <c r="H778" s="27"/>
      <c r="I778" s="23" t="str">
        <f aca="false">IF($D778&lt;&gt;"销项开票","",IF($N778="一级",IF(IFERROR(INDEX(项目档案!$E$6:$E$255,MATCH($C778,项目档案!$A$6:$A$255,0)),"")="",N(IFERROR(INDEX(单位档案!$D$6:$D$35,MATCH($E778,单位档案!$A$6:$A$35,0)),"")),IFERROR(INDEX(项目档案!$E$6:$E$255,MATCH($C778,项目档案!$A$6:$A$255,0)),"")),IF($N778="二级",IF(IFERROR(INDEX(项目档案!$G$6:$G$255,MATCH($C778,项目档案!$A$6:$A$255,0)),"")="",N(IFERROR(INDEX(单位档案!$D$6:$D$35,MATCH($E778,单位档案!$A$6:$A$35,0)),"")),IFERROR(INDEX(项目档案!$G$6:$G$255,MATCH($C778,项目档案!$A$6:$A$255,0)),"")),N(IFERROR(INDEX(单位档案!$D$6:$D$35,MATCH($E778,单位档案!$A$6:$A$35,0)),"")))))</f>
        <v/>
      </c>
      <c r="J778" s="22"/>
      <c r="K778" s="22"/>
      <c r="L778" s="33" t="str">
        <f aca="false">IF($B778="","",IF(NOT(ISNUMBER($B778)),"日期格式不对",IF($C778="","未选项目编号",IF(LEFT($M778,1)="⚠","项目编号不存在",IF($D778="","未选业务类型",IF($E778="","未选开票/付款方",IF(ISNA(MATCH($E778,单位档案!$A$6:$A$35,0)),"开票方不在单位档案",IF($F778="","未选收票/收款方",IF(ISNA(MATCH($F778,单位档案!$A$6:$A$35,0)),"收款方不在单位档案",IF(NOT(ISNUMBER($H778)),"金额须为数字",IF(AND($D778="销项开票",$N778="—"),"链条待确认","√")))))))))))</f>
        <v/>
      </c>
      <c r="M778" s="34" t="str">
        <f aca="false">IF($C778="","",IFERROR(INDEX(项目档案!$B$6:$B$255,MATCH($C778,项目档案!$A$6:$A$255,0)),"⚠项目编号不存在"))</f>
        <v/>
      </c>
      <c r="N778" s="35" t="str">
        <f aca="false">IF($E778="","",IF($E778=IFERROR(INDEX(项目档案!$D$6:$D$255,MATCH($C778,项目档案!$A$6:$A$255,0)),""),"一级",IF($E778=IFERROR(INDEX(项目档案!$F$6:$F$255,MATCH($C778,项目档案!$A$6:$A$255,0)),""),"二级",IF($E778=IFERROR(INDEX(项目档案!$H$6:$H$255,MATCH($C778,项目档案!$A$6:$A$255,0)),""),"我方","—"))))</f>
        <v/>
      </c>
      <c r="O778" s="36" t="n">
        <f aca="false">IF($D778&lt;&gt;"销项开票",0,ROUND(N($H778)*N($I778),2))</f>
        <v>0</v>
      </c>
      <c r="P778" s="36" t="n">
        <f aca="false">IF($D778&lt;&gt;"销项开票",0,ROUND(N($H778)-$O778,2))</f>
        <v>0</v>
      </c>
      <c r="Q778" s="37" t="str">
        <f aca="false">IF($E778="","",N(IFERROR(INDEX(单位档案!$E$6:$E$35,MATCH($E778,单位档案!$A$6:$A$35,0)),"")))</f>
        <v/>
      </c>
      <c r="R778" s="37" t="str">
        <f aca="false">IF($E778="","",N(IFERROR(INDEX(单位档案!$F$6:$F$35,MATCH($E778,单位档案!$A$6:$A$35,0)),"")))</f>
        <v/>
      </c>
      <c r="S778" s="36" t="n">
        <f aca="false">IF(OR($D778&lt;&gt;"销项开票",IFERROR(INDEX(单位档案!$G$6:$G$35,MATCH($E778,单位档案!$A$6:$A$35,0)),"")&lt;&gt;"是",N($Q778)=0),0,IF(IFERROR(INDEX(单位档案!$H$6:$H$35,MATCH($E778,单位档案!$A$6:$A$35,0)),"")="税差法",ROUND(N($H778)/(1+$Q778)*$Q778-IF(N($R778)=0,0,$P778/(1+$R778)*$R778),2),ROUND(N($H778)/(1+$Q778)*$Q778,2)))</f>
        <v>0</v>
      </c>
      <c r="T778" s="36" t="n">
        <f aca="false">ROUND($S778*N(IFERROR(INDEX(单位档案!$J$6:$J$35,MATCH($E778,单位档案!$A$6:$A$35,0)),"")),2)</f>
        <v>0</v>
      </c>
      <c r="U778" s="36" t="n">
        <f aca="false">IF($D778&lt;&gt;"销项开票",0,ROUND(N($H778)*N(IFERROR(INDEX(单位档案!$K$6:$K$35,MATCH($E778,单位档案!$A$6:$A$35,0)),"")),2))</f>
        <v>0</v>
      </c>
      <c r="V778" s="36" t="n">
        <f aca="false">IF(OR($D778&lt;&gt;"销项开票",N($Q778)=0),0,ROUND(N($H778)/(1+$Q778)*N(IFERROR(INDEX(单位档案!$L$6:$L$35,MATCH($E778,单位档案!$A$6:$A$35,0)),"")),2))</f>
        <v>0</v>
      </c>
      <c r="W778" s="36" t="n">
        <f aca="false">ROUND($S778+$T778+$U778+$V778,2)</f>
        <v>0</v>
      </c>
      <c r="X778" s="35" t="str">
        <f aca="false">IF(OR($D778="挂靠代收",$D778="我方收款"),COUNTIFS($D$5:$D778,"挂靠代收")+COUNTIFS($D$5:$D778,"我方收款"),"")</f>
        <v/>
      </c>
      <c r="Y778" s="35"/>
      <c r="Z778" s="21" t="s">
        <v>111</v>
      </c>
    </row>
    <row r="779" customFormat="false" ht="15.75" hidden="false" customHeight="true" outlineLevel="0" collapsed="false">
      <c r="A779" s="32" t="str">
        <f aca="false">IF($B779="","",ROW()-4)</f>
        <v/>
      </c>
      <c r="B779" s="26"/>
      <c r="C779" s="24"/>
      <c r="D779" s="21"/>
      <c r="E779" s="21"/>
      <c r="F779" s="21"/>
      <c r="G779" s="21"/>
      <c r="H779" s="27"/>
      <c r="I779" s="23" t="str">
        <f aca="false">IF($D779&lt;&gt;"销项开票","",IF($N779="一级",IF(IFERROR(INDEX(项目档案!$E$6:$E$255,MATCH($C779,项目档案!$A$6:$A$255,0)),"")="",N(IFERROR(INDEX(单位档案!$D$6:$D$35,MATCH($E779,单位档案!$A$6:$A$35,0)),"")),IFERROR(INDEX(项目档案!$E$6:$E$255,MATCH($C779,项目档案!$A$6:$A$255,0)),"")),IF($N779="二级",IF(IFERROR(INDEX(项目档案!$G$6:$G$255,MATCH($C779,项目档案!$A$6:$A$255,0)),"")="",N(IFERROR(INDEX(单位档案!$D$6:$D$35,MATCH($E779,单位档案!$A$6:$A$35,0)),"")),IFERROR(INDEX(项目档案!$G$6:$G$255,MATCH($C779,项目档案!$A$6:$A$255,0)),"")),N(IFERROR(INDEX(单位档案!$D$6:$D$35,MATCH($E779,单位档案!$A$6:$A$35,0)),"")))))</f>
        <v/>
      </c>
      <c r="J779" s="22"/>
      <c r="K779" s="22"/>
      <c r="L779" s="33" t="str">
        <f aca="false">IF($B779="","",IF(NOT(ISNUMBER($B779)),"日期格式不对",IF($C779="","未选项目编号",IF(LEFT($M779,1)="⚠","项目编号不存在",IF($D779="","未选业务类型",IF($E779="","未选开票/付款方",IF(ISNA(MATCH($E779,单位档案!$A$6:$A$35,0)),"开票方不在单位档案",IF($F779="","未选收票/收款方",IF(ISNA(MATCH($F779,单位档案!$A$6:$A$35,0)),"收款方不在单位档案",IF(NOT(ISNUMBER($H779)),"金额须为数字",IF(AND($D779="销项开票",$N779="—"),"链条待确认","√")))))))))))</f>
        <v/>
      </c>
      <c r="M779" s="34" t="str">
        <f aca="false">IF($C779="","",IFERROR(INDEX(项目档案!$B$6:$B$255,MATCH($C779,项目档案!$A$6:$A$255,0)),"⚠项目编号不存在"))</f>
        <v/>
      </c>
      <c r="N779" s="35" t="str">
        <f aca="false">IF($E779="","",IF($E779=IFERROR(INDEX(项目档案!$D$6:$D$255,MATCH($C779,项目档案!$A$6:$A$255,0)),""),"一级",IF($E779=IFERROR(INDEX(项目档案!$F$6:$F$255,MATCH($C779,项目档案!$A$6:$A$255,0)),""),"二级",IF($E779=IFERROR(INDEX(项目档案!$H$6:$H$255,MATCH($C779,项目档案!$A$6:$A$255,0)),""),"我方","—"))))</f>
        <v/>
      </c>
      <c r="O779" s="36" t="n">
        <f aca="false">IF($D779&lt;&gt;"销项开票",0,ROUND(N($H779)*N($I779),2))</f>
        <v>0</v>
      </c>
      <c r="P779" s="36" t="n">
        <f aca="false">IF($D779&lt;&gt;"销项开票",0,ROUND(N($H779)-$O779,2))</f>
        <v>0</v>
      </c>
      <c r="Q779" s="37" t="str">
        <f aca="false">IF($E779="","",N(IFERROR(INDEX(单位档案!$E$6:$E$35,MATCH($E779,单位档案!$A$6:$A$35,0)),"")))</f>
        <v/>
      </c>
      <c r="R779" s="37" t="str">
        <f aca="false">IF($E779="","",N(IFERROR(INDEX(单位档案!$F$6:$F$35,MATCH($E779,单位档案!$A$6:$A$35,0)),"")))</f>
        <v/>
      </c>
      <c r="S779" s="36" t="n">
        <f aca="false">IF(OR($D779&lt;&gt;"销项开票",IFERROR(INDEX(单位档案!$G$6:$G$35,MATCH($E779,单位档案!$A$6:$A$35,0)),"")&lt;&gt;"是",N($Q779)=0),0,IF(IFERROR(INDEX(单位档案!$H$6:$H$35,MATCH($E779,单位档案!$A$6:$A$35,0)),"")="税差法",ROUND(N($H779)/(1+$Q779)*$Q779-IF(N($R779)=0,0,$P779/(1+$R779)*$R779),2),ROUND(N($H779)/(1+$Q779)*$Q779,2)))</f>
        <v>0</v>
      </c>
      <c r="T779" s="36" t="n">
        <f aca="false">ROUND($S779*N(IFERROR(INDEX(单位档案!$J$6:$J$35,MATCH($E779,单位档案!$A$6:$A$35,0)),"")),2)</f>
        <v>0</v>
      </c>
      <c r="U779" s="36" t="n">
        <f aca="false">IF($D779&lt;&gt;"销项开票",0,ROUND(N($H779)*N(IFERROR(INDEX(单位档案!$K$6:$K$35,MATCH($E779,单位档案!$A$6:$A$35,0)),"")),2))</f>
        <v>0</v>
      </c>
      <c r="V779" s="36" t="n">
        <f aca="false">IF(OR($D779&lt;&gt;"销项开票",N($Q779)=0),0,ROUND(N($H779)/(1+$Q779)*N(IFERROR(INDEX(单位档案!$L$6:$L$35,MATCH($E779,单位档案!$A$6:$A$35,0)),"")),2))</f>
        <v>0</v>
      </c>
      <c r="W779" s="36" t="n">
        <f aca="false">ROUND($S779+$T779+$U779+$V779,2)</f>
        <v>0</v>
      </c>
      <c r="X779" s="35" t="str">
        <f aca="false">IF(OR($D779="挂靠代收",$D779="我方收款"),COUNTIFS($D$5:$D779,"挂靠代收")+COUNTIFS($D$5:$D779,"我方收款"),"")</f>
        <v/>
      </c>
      <c r="Y779" s="35"/>
      <c r="Z779" s="21" t="s">
        <v>111</v>
      </c>
    </row>
    <row r="780" customFormat="false" ht="15.75" hidden="false" customHeight="true" outlineLevel="0" collapsed="false">
      <c r="A780" s="32" t="str">
        <f aca="false">IF($B780="","",ROW()-4)</f>
        <v/>
      </c>
      <c r="B780" s="26"/>
      <c r="C780" s="24"/>
      <c r="D780" s="21"/>
      <c r="E780" s="21"/>
      <c r="F780" s="21"/>
      <c r="G780" s="21"/>
      <c r="H780" s="27"/>
      <c r="I780" s="23" t="str">
        <f aca="false">IF($D780&lt;&gt;"销项开票","",IF($N780="一级",IF(IFERROR(INDEX(项目档案!$E$6:$E$255,MATCH($C780,项目档案!$A$6:$A$255,0)),"")="",N(IFERROR(INDEX(单位档案!$D$6:$D$35,MATCH($E780,单位档案!$A$6:$A$35,0)),"")),IFERROR(INDEX(项目档案!$E$6:$E$255,MATCH($C780,项目档案!$A$6:$A$255,0)),"")),IF($N780="二级",IF(IFERROR(INDEX(项目档案!$G$6:$G$255,MATCH($C780,项目档案!$A$6:$A$255,0)),"")="",N(IFERROR(INDEX(单位档案!$D$6:$D$35,MATCH($E780,单位档案!$A$6:$A$35,0)),"")),IFERROR(INDEX(项目档案!$G$6:$G$255,MATCH($C780,项目档案!$A$6:$A$255,0)),"")),N(IFERROR(INDEX(单位档案!$D$6:$D$35,MATCH($E780,单位档案!$A$6:$A$35,0)),"")))))</f>
        <v/>
      </c>
      <c r="J780" s="22"/>
      <c r="K780" s="22"/>
      <c r="L780" s="33" t="str">
        <f aca="false">IF($B780="","",IF(NOT(ISNUMBER($B780)),"日期格式不对",IF($C780="","未选项目编号",IF(LEFT($M780,1)="⚠","项目编号不存在",IF($D780="","未选业务类型",IF($E780="","未选开票/付款方",IF(ISNA(MATCH($E780,单位档案!$A$6:$A$35,0)),"开票方不在单位档案",IF($F780="","未选收票/收款方",IF(ISNA(MATCH($F780,单位档案!$A$6:$A$35,0)),"收款方不在单位档案",IF(NOT(ISNUMBER($H780)),"金额须为数字",IF(AND($D780="销项开票",$N780="—"),"链条待确认","√")))))))))))</f>
        <v/>
      </c>
      <c r="M780" s="34" t="str">
        <f aca="false">IF($C780="","",IFERROR(INDEX(项目档案!$B$6:$B$255,MATCH($C780,项目档案!$A$6:$A$255,0)),"⚠项目编号不存在"))</f>
        <v/>
      </c>
      <c r="N780" s="35" t="str">
        <f aca="false">IF($E780="","",IF($E780=IFERROR(INDEX(项目档案!$D$6:$D$255,MATCH($C780,项目档案!$A$6:$A$255,0)),""),"一级",IF($E780=IFERROR(INDEX(项目档案!$F$6:$F$255,MATCH($C780,项目档案!$A$6:$A$255,0)),""),"二级",IF($E780=IFERROR(INDEX(项目档案!$H$6:$H$255,MATCH($C780,项目档案!$A$6:$A$255,0)),""),"我方","—"))))</f>
        <v/>
      </c>
      <c r="O780" s="36" t="n">
        <f aca="false">IF($D780&lt;&gt;"销项开票",0,ROUND(N($H780)*N($I780),2))</f>
        <v>0</v>
      </c>
      <c r="P780" s="36" t="n">
        <f aca="false">IF($D780&lt;&gt;"销项开票",0,ROUND(N($H780)-$O780,2))</f>
        <v>0</v>
      </c>
      <c r="Q780" s="37" t="str">
        <f aca="false">IF($E780="","",N(IFERROR(INDEX(单位档案!$E$6:$E$35,MATCH($E780,单位档案!$A$6:$A$35,0)),"")))</f>
        <v/>
      </c>
      <c r="R780" s="37" t="str">
        <f aca="false">IF($E780="","",N(IFERROR(INDEX(单位档案!$F$6:$F$35,MATCH($E780,单位档案!$A$6:$A$35,0)),"")))</f>
        <v/>
      </c>
      <c r="S780" s="36" t="n">
        <f aca="false">IF(OR($D780&lt;&gt;"销项开票",IFERROR(INDEX(单位档案!$G$6:$G$35,MATCH($E780,单位档案!$A$6:$A$35,0)),"")&lt;&gt;"是",N($Q780)=0),0,IF(IFERROR(INDEX(单位档案!$H$6:$H$35,MATCH($E780,单位档案!$A$6:$A$35,0)),"")="税差法",ROUND(N($H780)/(1+$Q780)*$Q780-IF(N($R780)=0,0,$P780/(1+$R780)*$R780),2),ROUND(N($H780)/(1+$Q780)*$Q780,2)))</f>
        <v>0</v>
      </c>
      <c r="T780" s="36" t="n">
        <f aca="false">ROUND($S780*N(IFERROR(INDEX(单位档案!$J$6:$J$35,MATCH($E780,单位档案!$A$6:$A$35,0)),"")),2)</f>
        <v>0</v>
      </c>
      <c r="U780" s="36" t="n">
        <f aca="false">IF($D780&lt;&gt;"销项开票",0,ROUND(N($H780)*N(IFERROR(INDEX(单位档案!$K$6:$K$35,MATCH($E780,单位档案!$A$6:$A$35,0)),"")),2))</f>
        <v>0</v>
      </c>
      <c r="V780" s="36" t="n">
        <f aca="false">IF(OR($D780&lt;&gt;"销项开票",N($Q780)=0),0,ROUND(N($H780)/(1+$Q780)*N(IFERROR(INDEX(单位档案!$L$6:$L$35,MATCH($E780,单位档案!$A$6:$A$35,0)),"")),2))</f>
        <v>0</v>
      </c>
      <c r="W780" s="36" t="n">
        <f aca="false">ROUND($S780+$T780+$U780+$V780,2)</f>
        <v>0</v>
      </c>
      <c r="X780" s="35" t="str">
        <f aca="false">IF(OR($D780="挂靠代收",$D780="我方收款"),COUNTIFS($D$5:$D780,"挂靠代收")+COUNTIFS($D$5:$D780,"我方收款"),"")</f>
        <v/>
      </c>
      <c r="Y780" s="35"/>
      <c r="Z780" s="21" t="s">
        <v>111</v>
      </c>
    </row>
    <row r="781" customFormat="false" ht="15.75" hidden="false" customHeight="true" outlineLevel="0" collapsed="false">
      <c r="A781" s="32" t="str">
        <f aca="false">IF($B781="","",ROW()-4)</f>
        <v/>
      </c>
      <c r="B781" s="26"/>
      <c r="C781" s="24"/>
      <c r="D781" s="21"/>
      <c r="E781" s="21"/>
      <c r="F781" s="21"/>
      <c r="G781" s="21"/>
      <c r="H781" s="27"/>
      <c r="I781" s="23" t="str">
        <f aca="false">IF($D781&lt;&gt;"销项开票","",IF($N781="一级",IF(IFERROR(INDEX(项目档案!$E$6:$E$255,MATCH($C781,项目档案!$A$6:$A$255,0)),"")="",N(IFERROR(INDEX(单位档案!$D$6:$D$35,MATCH($E781,单位档案!$A$6:$A$35,0)),"")),IFERROR(INDEX(项目档案!$E$6:$E$255,MATCH($C781,项目档案!$A$6:$A$255,0)),"")),IF($N781="二级",IF(IFERROR(INDEX(项目档案!$G$6:$G$255,MATCH($C781,项目档案!$A$6:$A$255,0)),"")="",N(IFERROR(INDEX(单位档案!$D$6:$D$35,MATCH($E781,单位档案!$A$6:$A$35,0)),"")),IFERROR(INDEX(项目档案!$G$6:$G$255,MATCH($C781,项目档案!$A$6:$A$255,0)),"")),N(IFERROR(INDEX(单位档案!$D$6:$D$35,MATCH($E781,单位档案!$A$6:$A$35,0)),"")))))</f>
        <v/>
      </c>
      <c r="J781" s="22"/>
      <c r="K781" s="22"/>
      <c r="L781" s="33" t="str">
        <f aca="false">IF($B781="","",IF(NOT(ISNUMBER($B781)),"日期格式不对",IF($C781="","未选项目编号",IF(LEFT($M781,1)="⚠","项目编号不存在",IF($D781="","未选业务类型",IF($E781="","未选开票/付款方",IF(ISNA(MATCH($E781,单位档案!$A$6:$A$35,0)),"开票方不在单位档案",IF($F781="","未选收票/收款方",IF(ISNA(MATCH($F781,单位档案!$A$6:$A$35,0)),"收款方不在单位档案",IF(NOT(ISNUMBER($H781)),"金额须为数字",IF(AND($D781="销项开票",$N781="—"),"链条待确认","√")))))))))))</f>
        <v/>
      </c>
      <c r="M781" s="34" t="str">
        <f aca="false">IF($C781="","",IFERROR(INDEX(项目档案!$B$6:$B$255,MATCH($C781,项目档案!$A$6:$A$255,0)),"⚠项目编号不存在"))</f>
        <v/>
      </c>
      <c r="N781" s="35" t="str">
        <f aca="false">IF($E781="","",IF($E781=IFERROR(INDEX(项目档案!$D$6:$D$255,MATCH($C781,项目档案!$A$6:$A$255,0)),""),"一级",IF($E781=IFERROR(INDEX(项目档案!$F$6:$F$255,MATCH($C781,项目档案!$A$6:$A$255,0)),""),"二级",IF($E781=IFERROR(INDEX(项目档案!$H$6:$H$255,MATCH($C781,项目档案!$A$6:$A$255,0)),""),"我方","—"))))</f>
        <v/>
      </c>
      <c r="O781" s="36" t="n">
        <f aca="false">IF($D781&lt;&gt;"销项开票",0,ROUND(N($H781)*N($I781),2))</f>
        <v>0</v>
      </c>
      <c r="P781" s="36" t="n">
        <f aca="false">IF($D781&lt;&gt;"销项开票",0,ROUND(N($H781)-$O781,2))</f>
        <v>0</v>
      </c>
      <c r="Q781" s="37" t="str">
        <f aca="false">IF($E781="","",N(IFERROR(INDEX(单位档案!$E$6:$E$35,MATCH($E781,单位档案!$A$6:$A$35,0)),"")))</f>
        <v/>
      </c>
      <c r="R781" s="37" t="str">
        <f aca="false">IF($E781="","",N(IFERROR(INDEX(单位档案!$F$6:$F$35,MATCH($E781,单位档案!$A$6:$A$35,0)),"")))</f>
        <v/>
      </c>
      <c r="S781" s="36" t="n">
        <f aca="false">IF(OR($D781&lt;&gt;"销项开票",IFERROR(INDEX(单位档案!$G$6:$G$35,MATCH($E781,单位档案!$A$6:$A$35,0)),"")&lt;&gt;"是",N($Q781)=0),0,IF(IFERROR(INDEX(单位档案!$H$6:$H$35,MATCH($E781,单位档案!$A$6:$A$35,0)),"")="税差法",ROUND(N($H781)/(1+$Q781)*$Q781-IF(N($R781)=0,0,$P781/(1+$R781)*$R781),2),ROUND(N($H781)/(1+$Q781)*$Q781,2)))</f>
        <v>0</v>
      </c>
      <c r="T781" s="36" t="n">
        <f aca="false">ROUND($S781*N(IFERROR(INDEX(单位档案!$J$6:$J$35,MATCH($E781,单位档案!$A$6:$A$35,0)),"")),2)</f>
        <v>0</v>
      </c>
      <c r="U781" s="36" t="n">
        <f aca="false">IF($D781&lt;&gt;"销项开票",0,ROUND(N($H781)*N(IFERROR(INDEX(单位档案!$K$6:$K$35,MATCH($E781,单位档案!$A$6:$A$35,0)),"")),2))</f>
        <v>0</v>
      </c>
      <c r="V781" s="36" t="n">
        <f aca="false">IF(OR($D781&lt;&gt;"销项开票",N($Q781)=0),0,ROUND(N($H781)/(1+$Q781)*N(IFERROR(INDEX(单位档案!$L$6:$L$35,MATCH($E781,单位档案!$A$6:$A$35,0)),"")),2))</f>
        <v>0</v>
      </c>
      <c r="W781" s="36" t="n">
        <f aca="false">ROUND($S781+$T781+$U781+$V781,2)</f>
        <v>0</v>
      </c>
      <c r="X781" s="35" t="str">
        <f aca="false">IF(OR($D781="挂靠代收",$D781="我方收款"),COUNTIFS($D$5:$D781,"挂靠代收")+COUNTIFS($D$5:$D781,"我方收款"),"")</f>
        <v/>
      </c>
      <c r="Y781" s="35"/>
      <c r="Z781" s="21" t="s">
        <v>111</v>
      </c>
    </row>
    <row r="782" customFormat="false" ht="15.75" hidden="false" customHeight="true" outlineLevel="0" collapsed="false">
      <c r="A782" s="32" t="str">
        <f aca="false">IF($B782="","",ROW()-4)</f>
        <v/>
      </c>
      <c r="B782" s="26"/>
      <c r="C782" s="24"/>
      <c r="D782" s="21"/>
      <c r="E782" s="21"/>
      <c r="F782" s="21"/>
      <c r="G782" s="21"/>
      <c r="H782" s="27"/>
      <c r="I782" s="23" t="str">
        <f aca="false">IF($D782&lt;&gt;"销项开票","",IF($N782="一级",IF(IFERROR(INDEX(项目档案!$E$6:$E$255,MATCH($C782,项目档案!$A$6:$A$255,0)),"")="",N(IFERROR(INDEX(单位档案!$D$6:$D$35,MATCH($E782,单位档案!$A$6:$A$35,0)),"")),IFERROR(INDEX(项目档案!$E$6:$E$255,MATCH($C782,项目档案!$A$6:$A$255,0)),"")),IF($N782="二级",IF(IFERROR(INDEX(项目档案!$G$6:$G$255,MATCH($C782,项目档案!$A$6:$A$255,0)),"")="",N(IFERROR(INDEX(单位档案!$D$6:$D$35,MATCH($E782,单位档案!$A$6:$A$35,0)),"")),IFERROR(INDEX(项目档案!$G$6:$G$255,MATCH($C782,项目档案!$A$6:$A$255,0)),"")),N(IFERROR(INDEX(单位档案!$D$6:$D$35,MATCH($E782,单位档案!$A$6:$A$35,0)),"")))))</f>
        <v/>
      </c>
      <c r="J782" s="22"/>
      <c r="K782" s="22"/>
      <c r="L782" s="33" t="str">
        <f aca="false">IF($B782="","",IF(NOT(ISNUMBER($B782)),"日期格式不对",IF($C782="","未选项目编号",IF(LEFT($M782,1)="⚠","项目编号不存在",IF($D782="","未选业务类型",IF($E782="","未选开票/付款方",IF(ISNA(MATCH($E782,单位档案!$A$6:$A$35,0)),"开票方不在单位档案",IF($F782="","未选收票/收款方",IF(ISNA(MATCH($F782,单位档案!$A$6:$A$35,0)),"收款方不在单位档案",IF(NOT(ISNUMBER($H782)),"金额须为数字",IF(AND($D782="销项开票",$N782="—"),"链条待确认","√")))))))))))</f>
        <v/>
      </c>
      <c r="M782" s="34" t="str">
        <f aca="false">IF($C782="","",IFERROR(INDEX(项目档案!$B$6:$B$255,MATCH($C782,项目档案!$A$6:$A$255,0)),"⚠项目编号不存在"))</f>
        <v/>
      </c>
      <c r="N782" s="35" t="str">
        <f aca="false">IF($E782="","",IF($E782=IFERROR(INDEX(项目档案!$D$6:$D$255,MATCH($C782,项目档案!$A$6:$A$255,0)),""),"一级",IF($E782=IFERROR(INDEX(项目档案!$F$6:$F$255,MATCH($C782,项目档案!$A$6:$A$255,0)),""),"二级",IF($E782=IFERROR(INDEX(项目档案!$H$6:$H$255,MATCH($C782,项目档案!$A$6:$A$255,0)),""),"我方","—"))))</f>
        <v/>
      </c>
      <c r="O782" s="36" t="n">
        <f aca="false">IF($D782&lt;&gt;"销项开票",0,ROUND(N($H782)*N($I782),2))</f>
        <v>0</v>
      </c>
      <c r="P782" s="36" t="n">
        <f aca="false">IF($D782&lt;&gt;"销项开票",0,ROUND(N($H782)-$O782,2))</f>
        <v>0</v>
      </c>
      <c r="Q782" s="37" t="str">
        <f aca="false">IF($E782="","",N(IFERROR(INDEX(单位档案!$E$6:$E$35,MATCH($E782,单位档案!$A$6:$A$35,0)),"")))</f>
        <v/>
      </c>
      <c r="R782" s="37" t="str">
        <f aca="false">IF($E782="","",N(IFERROR(INDEX(单位档案!$F$6:$F$35,MATCH($E782,单位档案!$A$6:$A$35,0)),"")))</f>
        <v/>
      </c>
      <c r="S782" s="36" t="n">
        <f aca="false">IF(OR($D782&lt;&gt;"销项开票",IFERROR(INDEX(单位档案!$G$6:$G$35,MATCH($E782,单位档案!$A$6:$A$35,0)),"")&lt;&gt;"是",N($Q782)=0),0,IF(IFERROR(INDEX(单位档案!$H$6:$H$35,MATCH($E782,单位档案!$A$6:$A$35,0)),"")="税差法",ROUND(N($H782)/(1+$Q782)*$Q782-IF(N($R782)=0,0,$P782/(1+$R782)*$R782),2),ROUND(N($H782)/(1+$Q782)*$Q782,2)))</f>
        <v>0</v>
      </c>
      <c r="T782" s="36" t="n">
        <f aca="false">ROUND($S782*N(IFERROR(INDEX(单位档案!$J$6:$J$35,MATCH($E782,单位档案!$A$6:$A$35,0)),"")),2)</f>
        <v>0</v>
      </c>
      <c r="U782" s="36" t="n">
        <f aca="false">IF($D782&lt;&gt;"销项开票",0,ROUND(N($H782)*N(IFERROR(INDEX(单位档案!$K$6:$K$35,MATCH($E782,单位档案!$A$6:$A$35,0)),"")),2))</f>
        <v>0</v>
      </c>
      <c r="V782" s="36" t="n">
        <f aca="false">IF(OR($D782&lt;&gt;"销项开票",N($Q782)=0),0,ROUND(N($H782)/(1+$Q782)*N(IFERROR(INDEX(单位档案!$L$6:$L$35,MATCH($E782,单位档案!$A$6:$A$35,0)),"")),2))</f>
        <v>0</v>
      </c>
      <c r="W782" s="36" t="n">
        <f aca="false">ROUND($S782+$T782+$U782+$V782,2)</f>
        <v>0</v>
      </c>
      <c r="X782" s="35" t="str">
        <f aca="false">IF(OR($D782="挂靠代收",$D782="我方收款"),COUNTIFS($D$5:$D782,"挂靠代收")+COUNTIFS($D$5:$D782,"我方收款"),"")</f>
        <v/>
      </c>
      <c r="Y782" s="35"/>
      <c r="Z782" s="21" t="s">
        <v>111</v>
      </c>
    </row>
    <row r="783" customFormat="false" ht="15.75" hidden="false" customHeight="true" outlineLevel="0" collapsed="false">
      <c r="A783" s="32" t="str">
        <f aca="false">IF($B783="","",ROW()-4)</f>
        <v/>
      </c>
      <c r="B783" s="26"/>
      <c r="C783" s="24"/>
      <c r="D783" s="21"/>
      <c r="E783" s="21"/>
      <c r="F783" s="21"/>
      <c r="G783" s="21"/>
      <c r="H783" s="27"/>
      <c r="I783" s="23" t="str">
        <f aca="false">IF($D783&lt;&gt;"销项开票","",IF($N783="一级",IF(IFERROR(INDEX(项目档案!$E$6:$E$255,MATCH($C783,项目档案!$A$6:$A$255,0)),"")="",N(IFERROR(INDEX(单位档案!$D$6:$D$35,MATCH($E783,单位档案!$A$6:$A$35,0)),"")),IFERROR(INDEX(项目档案!$E$6:$E$255,MATCH($C783,项目档案!$A$6:$A$255,0)),"")),IF($N783="二级",IF(IFERROR(INDEX(项目档案!$G$6:$G$255,MATCH($C783,项目档案!$A$6:$A$255,0)),"")="",N(IFERROR(INDEX(单位档案!$D$6:$D$35,MATCH($E783,单位档案!$A$6:$A$35,0)),"")),IFERROR(INDEX(项目档案!$G$6:$G$255,MATCH($C783,项目档案!$A$6:$A$255,0)),"")),N(IFERROR(INDEX(单位档案!$D$6:$D$35,MATCH($E783,单位档案!$A$6:$A$35,0)),"")))))</f>
        <v/>
      </c>
      <c r="J783" s="22"/>
      <c r="K783" s="22"/>
      <c r="L783" s="33" t="str">
        <f aca="false">IF($B783="","",IF(NOT(ISNUMBER($B783)),"日期格式不对",IF($C783="","未选项目编号",IF(LEFT($M783,1)="⚠","项目编号不存在",IF($D783="","未选业务类型",IF($E783="","未选开票/付款方",IF(ISNA(MATCH($E783,单位档案!$A$6:$A$35,0)),"开票方不在单位档案",IF($F783="","未选收票/收款方",IF(ISNA(MATCH($F783,单位档案!$A$6:$A$35,0)),"收款方不在单位档案",IF(NOT(ISNUMBER($H783)),"金额须为数字",IF(AND($D783="销项开票",$N783="—"),"链条待确认","√")))))))))))</f>
        <v/>
      </c>
      <c r="M783" s="34" t="str">
        <f aca="false">IF($C783="","",IFERROR(INDEX(项目档案!$B$6:$B$255,MATCH($C783,项目档案!$A$6:$A$255,0)),"⚠项目编号不存在"))</f>
        <v/>
      </c>
      <c r="N783" s="35" t="str">
        <f aca="false">IF($E783="","",IF($E783=IFERROR(INDEX(项目档案!$D$6:$D$255,MATCH($C783,项目档案!$A$6:$A$255,0)),""),"一级",IF($E783=IFERROR(INDEX(项目档案!$F$6:$F$255,MATCH($C783,项目档案!$A$6:$A$255,0)),""),"二级",IF($E783=IFERROR(INDEX(项目档案!$H$6:$H$255,MATCH($C783,项目档案!$A$6:$A$255,0)),""),"我方","—"))))</f>
        <v/>
      </c>
      <c r="O783" s="36" t="n">
        <f aca="false">IF($D783&lt;&gt;"销项开票",0,ROUND(N($H783)*N($I783),2))</f>
        <v>0</v>
      </c>
      <c r="P783" s="36" t="n">
        <f aca="false">IF($D783&lt;&gt;"销项开票",0,ROUND(N($H783)-$O783,2))</f>
        <v>0</v>
      </c>
      <c r="Q783" s="37" t="str">
        <f aca="false">IF($E783="","",N(IFERROR(INDEX(单位档案!$E$6:$E$35,MATCH($E783,单位档案!$A$6:$A$35,0)),"")))</f>
        <v/>
      </c>
      <c r="R783" s="37" t="str">
        <f aca="false">IF($E783="","",N(IFERROR(INDEX(单位档案!$F$6:$F$35,MATCH($E783,单位档案!$A$6:$A$35,0)),"")))</f>
        <v/>
      </c>
      <c r="S783" s="36" t="n">
        <f aca="false">IF(OR($D783&lt;&gt;"销项开票",IFERROR(INDEX(单位档案!$G$6:$G$35,MATCH($E783,单位档案!$A$6:$A$35,0)),"")&lt;&gt;"是",N($Q783)=0),0,IF(IFERROR(INDEX(单位档案!$H$6:$H$35,MATCH($E783,单位档案!$A$6:$A$35,0)),"")="税差法",ROUND(N($H783)/(1+$Q783)*$Q783-IF(N($R783)=0,0,$P783/(1+$R783)*$R783),2),ROUND(N($H783)/(1+$Q783)*$Q783,2)))</f>
        <v>0</v>
      </c>
      <c r="T783" s="36" t="n">
        <f aca="false">ROUND($S783*N(IFERROR(INDEX(单位档案!$J$6:$J$35,MATCH($E783,单位档案!$A$6:$A$35,0)),"")),2)</f>
        <v>0</v>
      </c>
      <c r="U783" s="36" t="n">
        <f aca="false">IF($D783&lt;&gt;"销项开票",0,ROUND(N($H783)*N(IFERROR(INDEX(单位档案!$K$6:$K$35,MATCH($E783,单位档案!$A$6:$A$35,0)),"")),2))</f>
        <v>0</v>
      </c>
      <c r="V783" s="36" t="n">
        <f aca="false">IF(OR($D783&lt;&gt;"销项开票",N($Q783)=0),0,ROUND(N($H783)/(1+$Q783)*N(IFERROR(INDEX(单位档案!$L$6:$L$35,MATCH($E783,单位档案!$A$6:$A$35,0)),"")),2))</f>
        <v>0</v>
      </c>
      <c r="W783" s="36" t="n">
        <f aca="false">ROUND($S783+$T783+$U783+$V783,2)</f>
        <v>0</v>
      </c>
      <c r="X783" s="35" t="str">
        <f aca="false">IF(OR($D783="挂靠代收",$D783="我方收款"),COUNTIFS($D$5:$D783,"挂靠代收")+COUNTIFS($D$5:$D783,"我方收款"),"")</f>
        <v/>
      </c>
      <c r="Y783" s="35"/>
      <c r="Z783" s="21" t="s">
        <v>111</v>
      </c>
    </row>
    <row r="784" customFormat="false" ht="15.75" hidden="false" customHeight="true" outlineLevel="0" collapsed="false">
      <c r="A784" s="32" t="str">
        <f aca="false">IF($B784="","",ROW()-4)</f>
        <v/>
      </c>
      <c r="B784" s="26"/>
      <c r="C784" s="24"/>
      <c r="D784" s="21"/>
      <c r="E784" s="21"/>
      <c r="F784" s="21"/>
      <c r="G784" s="21"/>
      <c r="H784" s="27"/>
      <c r="I784" s="23" t="str">
        <f aca="false">IF($D784&lt;&gt;"销项开票","",IF($N784="一级",IF(IFERROR(INDEX(项目档案!$E$6:$E$255,MATCH($C784,项目档案!$A$6:$A$255,0)),"")="",N(IFERROR(INDEX(单位档案!$D$6:$D$35,MATCH($E784,单位档案!$A$6:$A$35,0)),"")),IFERROR(INDEX(项目档案!$E$6:$E$255,MATCH($C784,项目档案!$A$6:$A$255,0)),"")),IF($N784="二级",IF(IFERROR(INDEX(项目档案!$G$6:$G$255,MATCH($C784,项目档案!$A$6:$A$255,0)),"")="",N(IFERROR(INDEX(单位档案!$D$6:$D$35,MATCH($E784,单位档案!$A$6:$A$35,0)),"")),IFERROR(INDEX(项目档案!$G$6:$G$255,MATCH($C784,项目档案!$A$6:$A$255,0)),"")),N(IFERROR(INDEX(单位档案!$D$6:$D$35,MATCH($E784,单位档案!$A$6:$A$35,0)),"")))))</f>
        <v/>
      </c>
      <c r="J784" s="22"/>
      <c r="K784" s="22"/>
      <c r="L784" s="33" t="str">
        <f aca="false">IF($B784="","",IF(NOT(ISNUMBER($B784)),"日期格式不对",IF($C784="","未选项目编号",IF(LEFT($M784,1)="⚠","项目编号不存在",IF($D784="","未选业务类型",IF($E784="","未选开票/付款方",IF(ISNA(MATCH($E784,单位档案!$A$6:$A$35,0)),"开票方不在单位档案",IF($F784="","未选收票/收款方",IF(ISNA(MATCH($F784,单位档案!$A$6:$A$35,0)),"收款方不在单位档案",IF(NOT(ISNUMBER($H784)),"金额须为数字",IF(AND($D784="销项开票",$N784="—"),"链条待确认","√")))))))))))</f>
        <v/>
      </c>
      <c r="M784" s="34" t="str">
        <f aca="false">IF($C784="","",IFERROR(INDEX(项目档案!$B$6:$B$255,MATCH($C784,项目档案!$A$6:$A$255,0)),"⚠项目编号不存在"))</f>
        <v/>
      </c>
      <c r="N784" s="35" t="str">
        <f aca="false">IF($E784="","",IF($E784=IFERROR(INDEX(项目档案!$D$6:$D$255,MATCH($C784,项目档案!$A$6:$A$255,0)),""),"一级",IF($E784=IFERROR(INDEX(项目档案!$F$6:$F$255,MATCH($C784,项目档案!$A$6:$A$255,0)),""),"二级",IF($E784=IFERROR(INDEX(项目档案!$H$6:$H$255,MATCH($C784,项目档案!$A$6:$A$255,0)),""),"我方","—"))))</f>
        <v/>
      </c>
      <c r="O784" s="36" t="n">
        <f aca="false">IF($D784&lt;&gt;"销项开票",0,ROUND(N($H784)*N($I784),2))</f>
        <v>0</v>
      </c>
      <c r="P784" s="36" t="n">
        <f aca="false">IF($D784&lt;&gt;"销项开票",0,ROUND(N($H784)-$O784,2))</f>
        <v>0</v>
      </c>
      <c r="Q784" s="37" t="str">
        <f aca="false">IF($E784="","",N(IFERROR(INDEX(单位档案!$E$6:$E$35,MATCH($E784,单位档案!$A$6:$A$35,0)),"")))</f>
        <v/>
      </c>
      <c r="R784" s="37" t="str">
        <f aca="false">IF($E784="","",N(IFERROR(INDEX(单位档案!$F$6:$F$35,MATCH($E784,单位档案!$A$6:$A$35,0)),"")))</f>
        <v/>
      </c>
      <c r="S784" s="36" t="n">
        <f aca="false">IF(OR($D784&lt;&gt;"销项开票",IFERROR(INDEX(单位档案!$G$6:$G$35,MATCH($E784,单位档案!$A$6:$A$35,0)),"")&lt;&gt;"是",N($Q784)=0),0,IF(IFERROR(INDEX(单位档案!$H$6:$H$35,MATCH($E784,单位档案!$A$6:$A$35,0)),"")="税差法",ROUND(N($H784)/(1+$Q784)*$Q784-IF(N($R784)=0,0,$P784/(1+$R784)*$R784),2),ROUND(N($H784)/(1+$Q784)*$Q784,2)))</f>
        <v>0</v>
      </c>
      <c r="T784" s="36" t="n">
        <f aca="false">ROUND($S784*N(IFERROR(INDEX(单位档案!$J$6:$J$35,MATCH($E784,单位档案!$A$6:$A$35,0)),"")),2)</f>
        <v>0</v>
      </c>
      <c r="U784" s="36" t="n">
        <f aca="false">IF($D784&lt;&gt;"销项开票",0,ROUND(N($H784)*N(IFERROR(INDEX(单位档案!$K$6:$K$35,MATCH($E784,单位档案!$A$6:$A$35,0)),"")),2))</f>
        <v>0</v>
      </c>
      <c r="V784" s="36" t="n">
        <f aca="false">IF(OR($D784&lt;&gt;"销项开票",N($Q784)=0),0,ROUND(N($H784)/(1+$Q784)*N(IFERROR(INDEX(单位档案!$L$6:$L$35,MATCH($E784,单位档案!$A$6:$A$35,0)),"")),2))</f>
        <v>0</v>
      </c>
      <c r="W784" s="36" t="n">
        <f aca="false">ROUND($S784+$T784+$U784+$V784,2)</f>
        <v>0</v>
      </c>
      <c r="X784" s="35" t="str">
        <f aca="false">IF(OR($D784="挂靠代收",$D784="我方收款"),COUNTIFS($D$5:$D784,"挂靠代收")+COUNTIFS($D$5:$D784,"我方收款"),"")</f>
        <v/>
      </c>
      <c r="Y784" s="35"/>
      <c r="Z784" s="21" t="s">
        <v>111</v>
      </c>
    </row>
    <row r="785" customFormat="false" ht="15.75" hidden="false" customHeight="true" outlineLevel="0" collapsed="false">
      <c r="A785" s="32" t="str">
        <f aca="false">IF($B785="","",ROW()-4)</f>
        <v/>
      </c>
      <c r="B785" s="26"/>
      <c r="C785" s="24"/>
      <c r="D785" s="21"/>
      <c r="E785" s="21"/>
      <c r="F785" s="21"/>
      <c r="G785" s="21"/>
      <c r="H785" s="27"/>
      <c r="I785" s="23" t="str">
        <f aca="false">IF($D785&lt;&gt;"销项开票","",IF($N785="一级",IF(IFERROR(INDEX(项目档案!$E$6:$E$255,MATCH($C785,项目档案!$A$6:$A$255,0)),"")="",N(IFERROR(INDEX(单位档案!$D$6:$D$35,MATCH($E785,单位档案!$A$6:$A$35,0)),"")),IFERROR(INDEX(项目档案!$E$6:$E$255,MATCH($C785,项目档案!$A$6:$A$255,0)),"")),IF($N785="二级",IF(IFERROR(INDEX(项目档案!$G$6:$G$255,MATCH($C785,项目档案!$A$6:$A$255,0)),"")="",N(IFERROR(INDEX(单位档案!$D$6:$D$35,MATCH($E785,单位档案!$A$6:$A$35,0)),"")),IFERROR(INDEX(项目档案!$G$6:$G$255,MATCH($C785,项目档案!$A$6:$A$255,0)),"")),N(IFERROR(INDEX(单位档案!$D$6:$D$35,MATCH($E785,单位档案!$A$6:$A$35,0)),"")))))</f>
        <v/>
      </c>
      <c r="J785" s="22"/>
      <c r="K785" s="22"/>
      <c r="L785" s="33" t="str">
        <f aca="false">IF($B785="","",IF(NOT(ISNUMBER($B785)),"日期格式不对",IF($C785="","未选项目编号",IF(LEFT($M785,1)="⚠","项目编号不存在",IF($D785="","未选业务类型",IF($E785="","未选开票/付款方",IF(ISNA(MATCH($E785,单位档案!$A$6:$A$35,0)),"开票方不在单位档案",IF($F785="","未选收票/收款方",IF(ISNA(MATCH($F785,单位档案!$A$6:$A$35,0)),"收款方不在单位档案",IF(NOT(ISNUMBER($H785)),"金额须为数字",IF(AND($D785="销项开票",$N785="—"),"链条待确认","√")))))))))))</f>
        <v/>
      </c>
      <c r="M785" s="34" t="str">
        <f aca="false">IF($C785="","",IFERROR(INDEX(项目档案!$B$6:$B$255,MATCH($C785,项目档案!$A$6:$A$255,0)),"⚠项目编号不存在"))</f>
        <v/>
      </c>
      <c r="N785" s="35" t="str">
        <f aca="false">IF($E785="","",IF($E785=IFERROR(INDEX(项目档案!$D$6:$D$255,MATCH($C785,项目档案!$A$6:$A$255,0)),""),"一级",IF($E785=IFERROR(INDEX(项目档案!$F$6:$F$255,MATCH($C785,项目档案!$A$6:$A$255,0)),""),"二级",IF($E785=IFERROR(INDEX(项目档案!$H$6:$H$255,MATCH($C785,项目档案!$A$6:$A$255,0)),""),"我方","—"))))</f>
        <v/>
      </c>
      <c r="O785" s="36" t="n">
        <f aca="false">IF($D785&lt;&gt;"销项开票",0,ROUND(N($H785)*N($I785),2))</f>
        <v>0</v>
      </c>
      <c r="P785" s="36" t="n">
        <f aca="false">IF($D785&lt;&gt;"销项开票",0,ROUND(N($H785)-$O785,2))</f>
        <v>0</v>
      </c>
      <c r="Q785" s="37" t="str">
        <f aca="false">IF($E785="","",N(IFERROR(INDEX(单位档案!$E$6:$E$35,MATCH($E785,单位档案!$A$6:$A$35,0)),"")))</f>
        <v/>
      </c>
      <c r="R785" s="37" t="str">
        <f aca="false">IF($E785="","",N(IFERROR(INDEX(单位档案!$F$6:$F$35,MATCH($E785,单位档案!$A$6:$A$35,0)),"")))</f>
        <v/>
      </c>
      <c r="S785" s="36" t="n">
        <f aca="false">IF(OR($D785&lt;&gt;"销项开票",IFERROR(INDEX(单位档案!$G$6:$G$35,MATCH($E785,单位档案!$A$6:$A$35,0)),"")&lt;&gt;"是",N($Q785)=0),0,IF(IFERROR(INDEX(单位档案!$H$6:$H$35,MATCH($E785,单位档案!$A$6:$A$35,0)),"")="税差法",ROUND(N($H785)/(1+$Q785)*$Q785-IF(N($R785)=0,0,$P785/(1+$R785)*$R785),2),ROUND(N($H785)/(1+$Q785)*$Q785,2)))</f>
        <v>0</v>
      </c>
      <c r="T785" s="36" t="n">
        <f aca="false">ROUND($S785*N(IFERROR(INDEX(单位档案!$J$6:$J$35,MATCH($E785,单位档案!$A$6:$A$35,0)),"")),2)</f>
        <v>0</v>
      </c>
      <c r="U785" s="36" t="n">
        <f aca="false">IF($D785&lt;&gt;"销项开票",0,ROUND(N($H785)*N(IFERROR(INDEX(单位档案!$K$6:$K$35,MATCH($E785,单位档案!$A$6:$A$35,0)),"")),2))</f>
        <v>0</v>
      </c>
      <c r="V785" s="36" t="n">
        <f aca="false">IF(OR($D785&lt;&gt;"销项开票",N($Q785)=0),0,ROUND(N($H785)/(1+$Q785)*N(IFERROR(INDEX(单位档案!$L$6:$L$35,MATCH($E785,单位档案!$A$6:$A$35,0)),"")),2))</f>
        <v>0</v>
      </c>
      <c r="W785" s="36" t="n">
        <f aca="false">ROUND($S785+$T785+$U785+$V785,2)</f>
        <v>0</v>
      </c>
      <c r="X785" s="35" t="str">
        <f aca="false">IF(OR($D785="挂靠代收",$D785="我方收款"),COUNTIFS($D$5:$D785,"挂靠代收")+COUNTIFS($D$5:$D785,"我方收款"),"")</f>
        <v/>
      </c>
      <c r="Y785" s="35"/>
      <c r="Z785" s="21" t="s">
        <v>111</v>
      </c>
    </row>
    <row r="786" customFormat="false" ht="15.75" hidden="false" customHeight="true" outlineLevel="0" collapsed="false">
      <c r="A786" s="32" t="str">
        <f aca="false">IF($B786="","",ROW()-4)</f>
        <v/>
      </c>
      <c r="B786" s="26"/>
      <c r="C786" s="24"/>
      <c r="D786" s="21"/>
      <c r="E786" s="21"/>
      <c r="F786" s="21"/>
      <c r="G786" s="21"/>
      <c r="H786" s="27"/>
      <c r="I786" s="23" t="str">
        <f aca="false">IF($D786&lt;&gt;"销项开票","",IF($N786="一级",IF(IFERROR(INDEX(项目档案!$E$6:$E$255,MATCH($C786,项目档案!$A$6:$A$255,0)),"")="",N(IFERROR(INDEX(单位档案!$D$6:$D$35,MATCH($E786,单位档案!$A$6:$A$35,0)),"")),IFERROR(INDEX(项目档案!$E$6:$E$255,MATCH($C786,项目档案!$A$6:$A$255,0)),"")),IF($N786="二级",IF(IFERROR(INDEX(项目档案!$G$6:$G$255,MATCH($C786,项目档案!$A$6:$A$255,0)),"")="",N(IFERROR(INDEX(单位档案!$D$6:$D$35,MATCH($E786,单位档案!$A$6:$A$35,0)),"")),IFERROR(INDEX(项目档案!$G$6:$G$255,MATCH($C786,项目档案!$A$6:$A$255,0)),"")),N(IFERROR(INDEX(单位档案!$D$6:$D$35,MATCH($E786,单位档案!$A$6:$A$35,0)),"")))))</f>
        <v/>
      </c>
      <c r="J786" s="22"/>
      <c r="K786" s="22"/>
      <c r="L786" s="33" t="str">
        <f aca="false">IF($B786="","",IF(NOT(ISNUMBER($B786)),"日期格式不对",IF($C786="","未选项目编号",IF(LEFT($M786,1)="⚠","项目编号不存在",IF($D786="","未选业务类型",IF($E786="","未选开票/付款方",IF(ISNA(MATCH($E786,单位档案!$A$6:$A$35,0)),"开票方不在单位档案",IF($F786="","未选收票/收款方",IF(ISNA(MATCH($F786,单位档案!$A$6:$A$35,0)),"收款方不在单位档案",IF(NOT(ISNUMBER($H786)),"金额须为数字",IF(AND($D786="销项开票",$N786="—"),"链条待确认","√")))))))))))</f>
        <v/>
      </c>
      <c r="M786" s="34" t="str">
        <f aca="false">IF($C786="","",IFERROR(INDEX(项目档案!$B$6:$B$255,MATCH($C786,项目档案!$A$6:$A$255,0)),"⚠项目编号不存在"))</f>
        <v/>
      </c>
      <c r="N786" s="35" t="str">
        <f aca="false">IF($E786="","",IF($E786=IFERROR(INDEX(项目档案!$D$6:$D$255,MATCH($C786,项目档案!$A$6:$A$255,0)),""),"一级",IF($E786=IFERROR(INDEX(项目档案!$F$6:$F$255,MATCH($C786,项目档案!$A$6:$A$255,0)),""),"二级",IF($E786=IFERROR(INDEX(项目档案!$H$6:$H$255,MATCH($C786,项目档案!$A$6:$A$255,0)),""),"我方","—"))))</f>
        <v/>
      </c>
      <c r="O786" s="36" t="n">
        <f aca="false">IF($D786&lt;&gt;"销项开票",0,ROUND(N($H786)*N($I786),2))</f>
        <v>0</v>
      </c>
      <c r="P786" s="36" t="n">
        <f aca="false">IF($D786&lt;&gt;"销项开票",0,ROUND(N($H786)-$O786,2))</f>
        <v>0</v>
      </c>
      <c r="Q786" s="37" t="str">
        <f aca="false">IF($E786="","",N(IFERROR(INDEX(单位档案!$E$6:$E$35,MATCH($E786,单位档案!$A$6:$A$35,0)),"")))</f>
        <v/>
      </c>
      <c r="R786" s="37" t="str">
        <f aca="false">IF($E786="","",N(IFERROR(INDEX(单位档案!$F$6:$F$35,MATCH($E786,单位档案!$A$6:$A$35,0)),"")))</f>
        <v/>
      </c>
      <c r="S786" s="36" t="n">
        <f aca="false">IF(OR($D786&lt;&gt;"销项开票",IFERROR(INDEX(单位档案!$G$6:$G$35,MATCH($E786,单位档案!$A$6:$A$35,0)),"")&lt;&gt;"是",N($Q786)=0),0,IF(IFERROR(INDEX(单位档案!$H$6:$H$35,MATCH($E786,单位档案!$A$6:$A$35,0)),"")="税差法",ROUND(N($H786)/(1+$Q786)*$Q786-IF(N($R786)=0,0,$P786/(1+$R786)*$R786),2),ROUND(N($H786)/(1+$Q786)*$Q786,2)))</f>
        <v>0</v>
      </c>
      <c r="T786" s="36" t="n">
        <f aca="false">ROUND($S786*N(IFERROR(INDEX(单位档案!$J$6:$J$35,MATCH($E786,单位档案!$A$6:$A$35,0)),"")),2)</f>
        <v>0</v>
      </c>
      <c r="U786" s="36" t="n">
        <f aca="false">IF($D786&lt;&gt;"销项开票",0,ROUND(N($H786)*N(IFERROR(INDEX(单位档案!$K$6:$K$35,MATCH($E786,单位档案!$A$6:$A$35,0)),"")),2))</f>
        <v>0</v>
      </c>
      <c r="V786" s="36" t="n">
        <f aca="false">IF(OR($D786&lt;&gt;"销项开票",N($Q786)=0),0,ROUND(N($H786)/(1+$Q786)*N(IFERROR(INDEX(单位档案!$L$6:$L$35,MATCH($E786,单位档案!$A$6:$A$35,0)),"")),2))</f>
        <v>0</v>
      </c>
      <c r="W786" s="36" t="n">
        <f aca="false">ROUND($S786+$T786+$U786+$V786,2)</f>
        <v>0</v>
      </c>
      <c r="X786" s="35" t="str">
        <f aca="false">IF(OR($D786="挂靠代收",$D786="我方收款"),COUNTIFS($D$5:$D786,"挂靠代收")+COUNTIFS($D$5:$D786,"我方收款"),"")</f>
        <v/>
      </c>
      <c r="Y786" s="35"/>
      <c r="Z786" s="21" t="s">
        <v>111</v>
      </c>
    </row>
    <row r="787" customFormat="false" ht="15.75" hidden="false" customHeight="true" outlineLevel="0" collapsed="false">
      <c r="A787" s="32" t="str">
        <f aca="false">IF($B787="","",ROW()-4)</f>
        <v/>
      </c>
      <c r="B787" s="26"/>
      <c r="C787" s="24"/>
      <c r="D787" s="21"/>
      <c r="E787" s="21"/>
      <c r="F787" s="21"/>
      <c r="G787" s="21"/>
      <c r="H787" s="27"/>
      <c r="I787" s="23" t="str">
        <f aca="false">IF($D787&lt;&gt;"销项开票","",IF($N787="一级",IF(IFERROR(INDEX(项目档案!$E$6:$E$255,MATCH($C787,项目档案!$A$6:$A$255,0)),"")="",N(IFERROR(INDEX(单位档案!$D$6:$D$35,MATCH($E787,单位档案!$A$6:$A$35,0)),"")),IFERROR(INDEX(项目档案!$E$6:$E$255,MATCH($C787,项目档案!$A$6:$A$255,0)),"")),IF($N787="二级",IF(IFERROR(INDEX(项目档案!$G$6:$G$255,MATCH($C787,项目档案!$A$6:$A$255,0)),"")="",N(IFERROR(INDEX(单位档案!$D$6:$D$35,MATCH($E787,单位档案!$A$6:$A$35,0)),"")),IFERROR(INDEX(项目档案!$G$6:$G$255,MATCH($C787,项目档案!$A$6:$A$255,0)),"")),N(IFERROR(INDEX(单位档案!$D$6:$D$35,MATCH($E787,单位档案!$A$6:$A$35,0)),"")))))</f>
        <v/>
      </c>
      <c r="J787" s="22"/>
      <c r="K787" s="22"/>
      <c r="L787" s="33" t="str">
        <f aca="false">IF($B787="","",IF(NOT(ISNUMBER($B787)),"日期格式不对",IF($C787="","未选项目编号",IF(LEFT($M787,1)="⚠","项目编号不存在",IF($D787="","未选业务类型",IF($E787="","未选开票/付款方",IF(ISNA(MATCH($E787,单位档案!$A$6:$A$35,0)),"开票方不在单位档案",IF($F787="","未选收票/收款方",IF(ISNA(MATCH($F787,单位档案!$A$6:$A$35,0)),"收款方不在单位档案",IF(NOT(ISNUMBER($H787)),"金额须为数字",IF(AND($D787="销项开票",$N787="—"),"链条待确认","√")))))))))))</f>
        <v/>
      </c>
      <c r="M787" s="34" t="str">
        <f aca="false">IF($C787="","",IFERROR(INDEX(项目档案!$B$6:$B$255,MATCH($C787,项目档案!$A$6:$A$255,0)),"⚠项目编号不存在"))</f>
        <v/>
      </c>
      <c r="N787" s="35" t="str">
        <f aca="false">IF($E787="","",IF($E787=IFERROR(INDEX(项目档案!$D$6:$D$255,MATCH($C787,项目档案!$A$6:$A$255,0)),""),"一级",IF($E787=IFERROR(INDEX(项目档案!$F$6:$F$255,MATCH($C787,项目档案!$A$6:$A$255,0)),""),"二级",IF($E787=IFERROR(INDEX(项目档案!$H$6:$H$255,MATCH($C787,项目档案!$A$6:$A$255,0)),""),"我方","—"))))</f>
        <v/>
      </c>
      <c r="O787" s="36" t="n">
        <f aca="false">IF($D787&lt;&gt;"销项开票",0,ROUND(N($H787)*N($I787),2))</f>
        <v>0</v>
      </c>
      <c r="P787" s="36" t="n">
        <f aca="false">IF($D787&lt;&gt;"销项开票",0,ROUND(N($H787)-$O787,2))</f>
        <v>0</v>
      </c>
      <c r="Q787" s="37" t="str">
        <f aca="false">IF($E787="","",N(IFERROR(INDEX(单位档案!$E$6:$E$35,MATCH($E787,单位档案!$A$6:$A$35,0)),"")))</f>
        <v/>
      </c>
      <c r="R787" s="37" t="str">
        <f aca="false">IF($E787="","",N(IFERROR(INDEX(单位档案!$F$6:$F$35,MATCH($E787,单位档案!$A$6:$A$35,0)),"")))</f>
        <v/>
      </c>
      <c r="S787" s="36" t="n">
        <f aca="false">IF(OR($D787&lt;&gt;"销项开票",IFERROR(INDEX(单位档案!$G$6:$G$35,MATCH($E787,单位档案!$A$6:$A$35,0)),"")&lt;&gt;"是",N($Q787)=0),0,IF(IFERROR(INDEX(单位档案!$H$6:$H$35,MATCH($E787,单位档案!$A$6:$A$35,0)),"")="税差法",ROUND(N($H787)/(1+$Q787)*$Q787-IF(N($R787)=0,0,$P787/(1+$R787)*$R787),2),ROUND(N($H787)/(1+$Q787)*$Q787,2)))</f>
        <v>0</v>
      </c>
      <c r="T787" s="36" t="n">
        <f aca="false">ROUND($S787*N(IFERROR(INDEX(单位档案!$J$6:$J$35,MATCH($E787,单位档案!$A$6:$A$35,0)),"")),2)</f>
        <v>0</v>
      </c>
      <c r="U787" s="36" t="n">
        <f aca="false">IF($D787&lt;&gt;"销项开票",0,ROUND(N($H787)*N(IFERROR(INDEX(单位档案!$K$6:$K$35,MATCH($E787,单位档案!$A$6:$A$35,0)),"")),2))</f>
        <v>0</v>
      </c>
      <c r="V787" s="36" t="n">
        <f aca="false">IF(OR($D787&lt;&gt;"销项开票",N($Q787)=0),0,ROUND(N($H787)/(1+$Q787)*N(IFERROR(INDEX(单位档案!$L$6:$L$35,MATCH($E787,单位档案!$A$6:$A$35,0)),"")),2))</f>
        <v>0</v>
      </c>
      <c r="W787" s="36" t="n">
        <f aca="false">ROUND($S787+$T787+$U787+$V787,2)</f>
        <v>0</v>
      </c>
      <c r="X787" s="35" t="str">
        <f aca="false">IF(OR($D787="挂靠代收",$D787="我方收款"),COUNTIFS($D$5:$D787,"挂靠代收")+COUNTIFS($D$5:$D787,"我方收款"),"")</f>
        <v/>
      </c>
      <c r="Y787" s="35"/>
      <c r="Z787" s="21" t="s">
        <v>111</v>
      </c>
    </row>
    <row r="788" customFormat="false" ht="15.75" hidden="false" customHeight="true" outlineLevel="0" collapsed="false">
      <c r="A788" s="32" t="str">
        <f aca="false">IF($B788="","",ROW()-4)</f>
        <v/>
      </c>
      <c r="B788" s="26"/>
      <c r="C788" s="24"/>
      <c r="D788" s="21"/>
      <c r="E788" s="21"/>
      <c r="F788" s="21"/>
      <c r="G788" s="21"/>
      <c r="H788" s="27"/>
      <c r="I788" s="23" t="str">
        <f aca="false">IF($D788&lt;&gt;"销项开票","",IF($N788="一级",IF(IFERROR(INDEX(项目档案!$E$6:$E$255,MATCH($C788,项目档案!$A$6:$A$255,0)),"")="",N(IFERROR(INDEX(单位档案!$D$6:$D$35,MATCH($E788,单位档案!$A$6:$A$35,0)),"")),IFERROR(INDEX(项目档案!$E$6:$E$255,MATCH($C788,项目档案!$A$6:$A$255,0)),"")),IF($N788="二级",IF(IFERROR(INDEX(项目档案!$G$6:$G$255,MATCH($C788,项目档案!$A$6:$A$255,0)),"")="",N(IFERROR(INDEX(单位档案!$D$6:$D$35,MATCH($E788,单位档案!$A$6:$A$35,0)),"")),IFERROR(INDEX(项目档案!$G$6:$G$255,MATCH($C788,项目档案!$A$6:$A$255,0)),"")),N(IFERROR(INDEX(单位档案!$D$6:$D$35,MATCH($E788,单位档案!$A$6:$A$35,0)),"")))))</f>
        <v/>
      </c>
      <c r="J788" s="22"/>
      <c r="K788" s="22"/>
      <c r="L788" s="33" t="str">
        <f aca="false">IF($B788="","",IF(NOT(ISNUMBER($B788)),"日期格式不对",IF($C788="","未选项目编号",IF(LEFT($M788,1)="⚠","项目编号不存在",IF($D788="","未选业务类型",IF($E788="","未选开票/付款方",IF(ISNA(MATCH($E788,单位档案!$A$6:$A$35,0)),"开票方不在单位档案",IF($F788="","未选收票/收款方",IF(ISNA(MATCH($F788,单位档案!$A$6:$A$35,0)),"收款方不在单位档案",IF(NOT(ISNUMBER($H788)),"金额须为数字",IF(AND($D788="销项开票",$N788="—"),"链条待确认","√")))))))))))</f>
        <v/>
      </c>
      <c r="M788" s="34" t="str">
        <f aca="false">IF($C788="","",IFERROR(INDEX(项目档案!$B$6:$B$255,MATCH($C788,项目档案!$A$6:$A$255,0)),"⚠项目编号不存在"))</f>
        <v/>
      </c>
      <c r="N788" s="35" t="str">
        <f aca="false">IF($E788="","",IF($E788=IFERROR(INDEX(项目档案!$D$6:$D$255,MATCH($C788,项目档案!$A$6:$A$255,0)),""),"一级",IF($E788=IFERROR(INDEX(项目档案!$F$6:$F$255,MATCH($C788,项目档案!$A$6:$A$255,0)),""),"二级",IF($E788=IFERROR(INDEX(项目档案!$H$6:$H$255,MATCH($C788,项目档案!$A$6:$A$255,0)),""),"我方","—"))))</f>
        <v/>
      </c>
      <c r="O788" s="36" t="n">
        <f aca="false">IF($D788&lt;&gt;"销项开票",0,ROUND(N($H788)*N($I788),2))</f>
        <v>0</v>
      </c>
      <c r="P788" s="36" t="n">
        <f aca="false">IF($D788&lt;&gt;"销项开票",0,ROUND(N($H788)-$O788,2))</f>
        <v>0</v>
      </c>
      <c r="Q788" s="37" t="str">
        <f aca="false">IF($E788="","",N(IFERROR(INDEX(单位档案!$E$6:$E$35,MATCH($E788,单位档案!$A$6:$A$35,0)),"")))</f>
        <v/>
      </c>
      <c r="R788" s="37" t="str">
        <f aca="false">IF($E788="","",N(IFERROR(INDEX(单位档案!$F$6:$F$35,MATCH($E788,单位档案!$A$6:$A$35,0)),"")))</f>
        <v/>
      </c>
      <c r="S788" s="36" t="n">
        <f aca="false">IF(OR($D788&lt;&gt;"销项开票",IFERROR(INDEX(单位档案!$G$6:$G$35,MATCH($E788,单位档案!$A$6:$A$35,0)),"")&lt;&gt;"是",N($Q788)=0),0,IF(IFERROR(INDEX(单位档案!$H$6:$H$35,MATCH($E788,单位档案!$A$6:$A$35,0)),"")="税差法",ROUND(N($H788)/(1+$Q788)*$Q788-IF(N($R788)=0,0,$P788/(1+$R788)*$R788),2),ROUND(N($H788)/(1+$Q788)*$Q788,2)))</f>
        <v>0</v>
      </c>
      <c r="T788" s="36" t="n">
        <f aca="false">ROUND($S788*N(IFERROR(INDEX(单位档案!$J$6:$J$35,MATCH($E788,单位档案!$A$6:$A$35,0)),"")),2)</f>
        <v>0</v>
      </c>
      <c r="U788" s="36" t="n">
        <f aca="false">IF($D788&lt;&gt;"销项开票",0,ROUND(N($H788)*N(IFERROR(INDEX(单位档案!$K$6:$K$35,MATCH($E788,单位档案!$A$6:$A$35,0)),"")),2))</f>
        <v>0</v>
      </c>
      <c r="V788" s="36" t="n">
        <f aca="false">IF(OR($D788&lt;&gt;"销项开票",N($Q788)=0),0,ROUND(N($H788)/(1+$Q788)*N(IFERROR(INDEX(单位档案!$L$6:$L$35,MATCH($E788,单位档案!$A$6:$A$35,0)),"")),2))</f>
        <v>0</v>
      </c>
      <c r="W788" s="36" t="n">
        <f aca="false">ROUND($S788+$T788+$U788+$V788,2)</f>
        <v>0</v>
      </c>
      <c r="X788" s="35" t="str">
        <f aca="false">IF(OR($D788="挂靠代收",$D788="我方收款"),COUNTIFS($D$5:$D788,"挂靠代收")+COUNTIFS($D$5:$D788,"我方收款"),"")</f>
        <v/>
      </c>
      <c r="Y788" s="35"/>
      <c r="Z788" s="21" t="s">
        <v>111</v>
      </c>
    </row>
    <row r="789" customFormat="false" ht="15.75" hidden="false" customHeight="true" outlineLevel="0" collapsed="false">
      <c r="A789" s="32" t="str">
        <f aca="false">IF($B789="","",ROW()-4)</f>
        <v/>
      </c>
      <c r="B789" s="26"/>
      <c r="C789" s="24"/>
      <c r="D789" s="21"/>
      <c r="E789" s="21"/>
      <c r="F789" s="21"/>
      <c r="G789" s="21"/>
      <c r="H789" s="27"/>
      <c r="I789" s="23" t="str">
        <f aca="false">IF($D789&lt;&gt;"销项开票","",IF($N789="一级",IF(IFERROR(INDEX(项目档案!$E$6:$E$255,MATCH($C789,项目档案!$A$6:$A$255,0)),"")="",N(IFERROR(INDEX(单位档案!$D$6:$D$35,MATCH($E789,单位档案!$A$6:$A$35,0)),"")),IFERROR(INDEX(项目档案!$E$6:$E$255,MATCH($C789,项目档案!$A$6:$A$255,0)),"")),IF($N789="二级",IF(IFERROR(INDEX(项目档案!$G$6:$G$255,MATCH($C789,项目档案!$A$6:$A$255,0)),"")="",N(IFERROR(INDEX(单位档案!$D$6:$D$35,MATCH($E789,单位档案!$A$6:$A$35,0)),"")),IFERROR(INDEX(项目档案!$G$6:$G$255,MATCH($C789,项目档案!$A$6:$A$255,0)),"")),N(IFERROR(INDEX(单位档案!$D$6:$D$35,MATCH($E789,单位档案!$A$6:$A$35,0)),"")))))</f>
        <v/>
      </c>
      <c r="J789" s="22"/>
      <c r="K789" s="22"/>
      <c r="L789" s="33" t="str">
        <f aca="false">IF($B789="","",IF(NOT(ISNUMBER($B789)),"日期格式不对",IF($C789="","未选项目编号",IF(LEFT($M789,1)="⚠","项目编号不存在",IF($D789="","未选业务类型",IF($E789="","未选开票/付款方",IF(ISNA(MATCH($E789,单位档案!$A$6:$A$35,0)),"开票方不在单位档案",IF($F789="","未选收票/收款方",IF(ISNA(MATCH($F789,单位档案!$A$6:$A$35,0)),"收款方不在单位档案",IF(NOT(ISNUMBER($H789)),"金额须为数字",IF(AND($D789="销项开票",$N789="—"),"链条待确认","√")))))))))))</f>
        <v/>
      </c>
      <c r="M789" s="34" t="str">
        <f aca="false">IF($C789="","",IFERROR(INDEX(项目档案!$B$6:$B$255,MATCH($C789,项目档案!$A$6:$A$255,0)),"⚠项目编号不存在"))</f>
        <v/>
      </c>
      <c r="N789" s="35" t="str">
        <f aca="false">IF($E789="","",IF($E789=IFERROR(INDEX(项目档案!$D$6:$D$255,MATCH($C789,项目档案!$A$6:$A$255,0)),""),"一级",IF($E789=IFERROR(INDEX(项目档案!$F$6:$F$255,MATCH($C789,项目档案!$A$6:$A$255,0)),""),"二级",IF($E789=IFERROR(INDEX(项目档案!$H$6:$H$255,MATCH($C789,项目档案!$A$6:$A$255,0)),""),"我方","—"))))</f>
        <v/>
      </c>
      <c r="O789" s="36" t="n">
        <f aca="false">IF($D789&lt;&gt;"销项开票",0,ROUND(N($H789)*N($I789),2))</f>
        <v>0</v>
      </c>
      <c r="P789" s="36" t="n">
        <f aca="false">IF($D789&lt;&gt;"销项开票",0,ROUND(N($H789)-$O789,2))</f>
        <v>0</v>
      </c>
      <c r="Q789" s="37" t="str">
        <f aca="false">IF($E789="","",N(IFERROR(INDEX(单位档案!$E$6:$E$35,MATCH($E789,单位档案!$A$6:$A$35,0)),"")))</f>
        <v/>
      </c>
      <c r="R789" s="37" t="str">
        <f aca="false">IF($E789="","",N(IFERROR(INDEX(单位档案!$F$6:$F$35,MATCH($E789,单位档案!$A$6:$A$35,0)),"")))</f>
        <v/>
      </c>
      <c r="S789" s="36" t="n">
        <f aca="false">IF(OR($D789&lt;&gt;"销项开票",IFERROR(INDEX(单位档案!$G$6:$G$35,MATCH($E789,单位档案!$A$6:$A$35,0)),"")&lt;&gt;"是",N($Q789)=0),0,IF(IFERROR(INDEX(单位档案!$H$6:$H$35,MATCH($E789,单位档案!$A$6:$A$35,0)),"")="税差法",ROUND(N($H789)/(1+$Q789)*$Q789-IF(N($R789)=0,0,$P789/(1+$R789)*$R789),2),ROUND(N($H789)/(1+$Q789)*$Q789,2)))</f>
        <v>0</v>
      </c>
      <c r="T789" s="36" t="n">
        <f aca="false">ROUND($S789*N(IFERROR(INDEX(单位档案!$J$6:$J$35,MATCH($E789,单位档案!$A$6:$A$35,0)),"")),2)</f>
        <v>0</v>
      </c>
      <c r="U789" s="36" t="n">
        <f aca="false">IF($D789&lt;&gt;"销项开票",0,ROUND(N($H789)*N(IFERROR(INDEX(单位档案!$K$6:$K$35,MATCH($E789,单位档案!$A$6:$A$35,0)),"")),2))</f>
        <v>0</v>
      </c>
      <c r="V789" s="36" t="n">
        <f aca="false">IF(OR($D789&lt;&gt;"销项开票",N($Q789)=0),0,ROUND(N($H789)/(1+$Q789)*N(IFERROR(INDEX(单位档案!$L$6:$L$35,MATCH($E789,单位档案!$A$6:$A$35,0)),"")),2))</f>
        <v>0</v>
      </c>
      <c r="W789" s="36" t="n">
        <f aca="false">ROUND($S789+$T789+$U789+$V789,2)</f>
        <v>0</v>
      </c>
      <c r="X789" s="35" t="str">
        <f aca="false">IF(OR($D789="挂靠代收",$D789="我方收款"),COUNTIFS($D$5:$D789,"挂靠代收")+COUNTIFS($D$5:$D789,"我方收款"),"")</f>
        <v/>
      </c>
      <c r="Y789" s="35"/>
      <c r="Z789" s="21" t="s">
        <v>111</v>
      </c>
    </row>
    <row r="790" customFormat="false" ht="15.75" hidden="false" customHeight="true" outlineLevel="0" collapsed="false">
      <c r="A790" s="32" t="str">
        <f aca="false">IF($B790="","",ROW()-4)</f>
        <v/>
      </c>
      <c r="B790" s="26"/>
      <c r="C790" s="24"/>
      <c r="D790" s="21"/>
      <c r="E790" s="21"/>
      <c r="F790" s="21"/>
      <c r="G790" s="21"/>
      <c r="H790" s="27"/>
      <c r="I790" s="23" t="str">
        <f aca="false">IF($D790&lt;&gt;"销项开票","",IF($N790="一级",IF(IFERROR(INDEX(项目档案!$E$6:$E$255,MATCH($C790,项目档案!$A$6:$A$255,0)),"")="",N(IFERROR(INDEX(单位档案!$D$6:$D$35,MATCH($E790,单位档案!$A$6:$A$35,0)),"")),IFERROR(INDEX(项目档案!$E$6:$E$255,MATCH($C790,项目档案!$A$6:$A$255,0)),"")),IF($N790="二级",IF(IFERROR(INDEX(项目档案!$G$6:$G$255,MATCH($C790,项目档案!$A$6:$A$255,0)),"")="",N(IFERROR(INDEX(单位档案!$D$6:$D$35,MATCH($E790,单位档案!$A$6:$A$35,0)),"")),IFERROR(INDEX(项目档案!$G$6:$G$255,MATCH($C790,项目档案!$A$6:$A$255,0)),"")),N(IFERROR(INDEX(单位档案!$D$6:$D$35,MATCH($E790,单位档案!$A$6:$A$35,0)),"")))))</f>
        <v/>
      </c>
      <c r="J790" s="22"/>
      <c r="K790" s="22"/>
      <c r="L790" s="33" t="str">
        <f aca="false">IF($B790="","",IF(NOT(ISNUMBER($B790)),"日期格式不对",IF($C790="","未选项目编号",IF(LEFT($M790,1)="⚠","项目编号不存在",IF($D790="","未选业务类型",IF($E790="","未选开票/付款方",IF(ISNA(MATCH($E790,单位档案!$A$6:$A$35,0)),"开票方不在单位档案",IF($F790="","未选收票/收款方",IF(ISNA(MATCH($F790,单位档案!$A$6:$A$35,0)),"收款方不在单位档案",IF(NOT(ISNUMBER($H790)),"金额须为数字",IF(AND($D790="销项开票",$N790="—"),"链条待确认","√")))))))))))</f>
        <v/>
      </c>
      <c r="M790" s="34" t="str">
        <f aca="false">IF($C790="","",IFERROR(INDEX(项目档案!$B$6:$B$255,MATCH($C790,项目档案!$A$6:$A$255,0)),"⚠项目编号不存在"))</f>
        <v/>
      </c>
      <c r="N790" s="35" t="str">
        <f aca="false">IF($E790="","",IF($E790=IFERROR(INDEX(项目档案!$D$6:$D$255,MATCH($C790,项目档案!$A$6:$A$255,0)),""),"一级",IF($E790=IFERROR(INDEX(项目档案!$F$6:$F$255,MATCH($C790,项目档案!$A$6:$A$255,0)),""),"二级",IF($E790=IFERROR(INDEX(项目档案!$H$6:$H$255,MATCH($C790,项目档案!$A$6:$A$255,0)),""),"我方","—"))))</f>
        <v/>
      </c>
      <c r="O790" s="36" t="n">
        <f aca="false">IF($D790&lt;&gt;"销项开票",0,ROUND(N($H790)*N($I790),2))</f>
        <v>0</v>
      </c>
      <c r="P790" s="36" t="n">
        <f aca="false">IF($D790&lt;&gt;"销项开票",0,ROUND(N($H790)-$O790,2))</f>
        <v>0</v>
      </c>
      <c r="Q790" s="37" t="str">
        <f aca="false">IF($E790="","",N(IFERROR(INDEX(单位档案!$E$6:$E$35,MATCH($E790,单位档案!$A$6:$A$35,0)),"")))</f>
        <v/>
      </c>
      <c r="R790" s="37" t="str">
        <f aca="false">IF($E790="","",N(IFERROR(INDEX(单位档案!$F$6:$F$35,MATCH($E790,单位档案!$A$6:$A$35,0)),"")))</f>
        <v/>
      </c>
      <c r="S790" s="36" t="n">
        <f aca="false">IF(OR($D790&lt;&gt;"销项开票",IFERROR(INDEX(单位档案!$G$6:$G$35,MATCH($E790,单位档案!$A$6:$A$35,0)),"")&lt;&gt;"是",N($Q790)=0),0,IF(IFERROR(INDEX(单位档案!$H$6:$H$35,MATCH($E790,单位档案!$A$6:$A$35,0)),"")="税差法",ROUND(N($H790)/(1+$Q790)*$Q790-IF(N($R790)=0,0,$P790/(1+$R790)*$R790),2),ROUND(N($H790)/(1+$Q790)*$Q790,2)))</f>
        <v>0</v>
      </c>
      <c r="T790" s="36" t="n">
        <f aca="false">ROUND($S790*N(IFERROR(INDEX(单位档案!$J$6:$J$35,MATCH($E790,单位档案!$A$6:$A$35,0)),"")),2)</f>
        <v>0</v>
      </c>
      <c r="U790" s="36" t="n">
        <f aca="false">IF($D790&lt;&gt;"销项开票",0,ROUND(N($H790)*N(IFERROR(INDEX(单位档案!$K$6:$K$35,MATCH($E790,单位档案!$A$6:$A$35,0)),"")),2))</f>
        <v>0</v>
      </c>
      <c r="V790" s="36" t="n">
        <f aca="false">IF(OR($D790&lt;&gt;"销项开票",N($Q790)=0),0,ROUND(N($H790)/(1+$Q790)*N(IFERROR(INDEX(单位档案!$L$6:$L$35,MATCH($E790,单位档案!$A$6:$A$35,0)),"")),2))</f>
        <v>0</v>
      </c>
      <c r="W790" s="36" t="n">
        <f aca="false">ROUND($S790+$T790+$U790+$V790,2)</f>
        <v>0</v>
      </c>
      <c r="X790" s="35" t="str">
        <f aca="false">IF(OR($D790="挂靠代收",$D790="我方收款"),COUNTIFS($D$5:$D790,"挂靠代收")+COUNTIFS($D$5:$D790,"我方收款"),"")</f>
        <v/>
      </c>
      <c r="Y790" s="35"/>
      <c r="Z790" s="21" t="s">
        <v>111</v>
      </c>
    </row>
    <row r="791" customFormat="false" ht="15.75" hidden="false" customHeight="true" outlineLevel="0" collapsed="false">
      <c r="A791" s="32" t="str">
        <f aca="false">IF($B791="","",ROW()-4)</f>
        <v/>
      </c>
      <c r="B791" s="26"/>
      <c r="C791" s="24"/>
      <c r="D791" s="21"/>
      <c r="E791" s="21"/>
      <c r="F791" s="21"/>
      <c r="G791" s="21"/>
      <c r="H791" s="27"/>
      <c r="I791" s="23" t="str">
        <f aca="false">IF($D791&lt;&gt;"销项开票","",IF($N791="一级",IF(IFERROR(INDEX(项目档案!$E$6:$E$255,MATCH($C791,项目档案!$A$6:$A$255,0)),"")="",N(IFERROR(INDEX(单位档案!$D$6:$D$35,MATCH($E791,单位档案!$A$6:$A$35,0)),"")),IFERROR(INDEX(项目档案!$E$6:$E$255,MATCH($C791,项目档案!$A$6:$A$255,0)),"")),IF($N791="二级",IF(IFERROR(INDEX(项目档案!$G$6:$G$255,MATCH($C791,项目档案!$A$6:$A$255,0)),"")="",N(IFERROR(INDEX(单位档案!$D$6:$D$35,MATCH($E791,单位档案!$A$6:$A$35,0)),"")),IFERROR(INDEX(项目档案!$G$6:$G$255,MATCH($C791,项目档案!$A$6:$A$255,0)),"")),N(IFERROR(INDEX(单位档案!$D$6:$D$35,MATCH($E791,单位档案!$A$6:$A$35,0)),"")))))</f>
        <v/>
      </c>
      <c r="J791" s="22"/>
      <c r="K791" s="22"/>
      <c r="L791" s="33" t="str">
        <f aca="false">IF($B791="","",IF(NOT(ISNUMBER($B791)),"日期格式不对",IF($C791="","未选项目编号",IF(LEFT($M791,1)="⚠","项目编号不存在",IF($D791="","未选业务类型",IF($E791="","未选开票/付款方",IF(ISNA(MATCH($E791,单位档案!$A$6:$A$35,0)),"开票方不在单位档案",IF($F791="","未选收票/收款方",IF(ISNA(MATCH($F791,单位档案!$A$6:$A$35,0)),"收款方不在单位档案",IF(NOT(ISNUMBER($H791)),"金额须为数字",IF(AND($D791="销项开票",$N791="—"),"链条待确认","√")))))))))))</f>
        <v/>
      </c>
      <c r="M791" s="34" t="str">
        <f aca="false">IF($C791="","",IFERROR(INDEX(项目档案!$B$6:$B$255,MATCH($C791,项目档案!$A$6:$A$255,0)),"⚠项目编号不存在"))</f>
        <v/>
      </c>
      <c r="N791" s="35" t="str">
        <f aca="false">IF($E791="","",IF($E791=IFERROR(INDEX(项目档案!$D$6:$D$255,MATCH($C791,项目档案!$A$6:$A$255,0)),""),"一级",IF($E791=IFERROR(INDEX(项目档案!$F$6:$F$255,MATCH($C791,项目档案!$A$6:$A$255,0)),""),"二级",IF($E791=IFERROR(INDEX(项目档案!$H$6:$H$255,MATCH($C791,项目档案!$A$6:$A$255,0)),""),"我方","—"))))</f>
        <v/>
      </c>
      <c r="O791" s="36" t="n">
        <f aca="false">IF($D791&lt;&gt;"销项开票",0,ROUND(N($H791)*N($I791),2))</f>
        <v>0</v>
      </c>
      <c r="P791" s="36" t="n">
        <f aca="false">IF($D791&lt;&gt;"销项开票",0,ROUND(N($H791)-$O791,2))</f>
        <v>0</v>
      </c>
      <c r="Q791" s="37" t="str">
        <f aca="false">IF($E791="","",N(IFERROR(INDEX(单位档案!$E$6:$E$35,MATCH($E791,单位档案!$A$6:$A$35,0)),"")))</f>
        <v/>
      </c>
      <c r="R791" s="37" t="str">
        <f aca="false">IF($E791="","",N(IFERROR(INDEX(单位档案!$F$6:$F$35,MATCH($E791,单位档案!$A$6:$A$35,0)),"")))</f>
        <v/>
      </c>
      <c r="S791" s="36" t="n">
        <f aca="false">IF(OR($D791&lt;&gt;"销项开票",IFERROR(INDEX(单位档案!$G$6:$G$35,MATCH($E791,单位档案!$A$6:$A$35,0)),"")&lt;&gt;"是",N($Q791)=0),0,IF(IFERROR(INDEX(单位档案!$H$6:$H$35,MATCH($E791,单位档案!$A$6:$A$35,0)),"")="税差法",ROUND(N($H791)/(1+$Q791)*$Q791-IF(N($R791)=0,0,$P791/(1+$R791)*$R791),2),ROUND(N($H791)/(1+$Q791)*$Q791,2)))</f>
        <v>0</v>
      </c>
      <c r="T791" s="36" t="n">
        <f aca="false">ROUND($S791*N(IFERROR(INDEX(单位档案!$J$6:$J$35,MATCH($E791,单位档案!$A$6:$A$35,0)),"")),2)</f>
        <v>0</v>
      </c>
      <c r="U791" s="36" t="n">
        <f aca="false">IF($D791&lt;&gt;"销项开票",0,ROUND(N($H791)*N(IFERROR(INDEX(单位档案!$K$6:$K$35,MATCH($E791,单位档案!$A$6:$A$35,0)),"")),2))</f>
        <v>0</v>
      </c>
      <c r="V791" s="36" t="n">
        <f aca="false">IF(OR($D791&lt;&gt;"销项开票",N($Q791)=0),0,ROUND(N($H791)/(1+$Q791)*N(IFERROR(INDEX(单位档案!$L$6:$L$35,MATCH($E791,单位档案!$A$6:$A$35,0)),"")),2))</f>
        <v>0</v>
      </c>
      <c r="W791" s="36" t="n">
        <f aca="false">ROUND($S791+$T791+$U791+$V791,2)</f>
        <v>0</v>
      </c>
      <c r="X791" s="35" t="str">
        <f aca="false">IF(OR($D791="挂靠代收",$D791="我方收款"),COUNTIFS($D$5:$D791,"挂靠代收")+COUNTIFS($D$5:$D791,"我方收款"),"")</f>
        <v/>
      </c>
      <c r="Y791" s="35"/>
      <c r="Z791" s="21" t="s">
        <v>111</v>
      </c>
    </row>
    <row r="792" customFormat="false" ht="15.75" hidden="false" customHeight="true" outlineLevel="0" collapsed="false">
      <c r="A792" s="32" t="str">
        <f aca="false">IF($B792="","",ROW()-4)</f>
        <v/>
      </c>
      <c r="B792" s="26"/>
      <c r="C792" s="24"/>
      <c r="D792" s="21"/>
      <c r="E792" s="21"/>
      <c r="F792" s="21"/>
      <c r="G792" s="21"/>
      <c r="H792" s="27"/>
      <c r="I792" s="23" t="str">
        <f aca="false">IF($D792&lt;&gt;"销项开票","",IF($N792="一级",IF(IFERROR(INDEX(项目档案!$E$6:$E$255,MATCH($C792,项目档案!$A$6:$A$255,0)),"")="",N(IFERROR(INDEX(单位档案!$D$6:$D$35,MATCH($E792,单位档案!$A$6:$A$35,0)),"")),IFERROR(INDEX(项目档案!$E$6:$E$255,MATCH($C792,项目档案!$A$6:$A$255,0)),"")),IF($N792="二级",IF(IFERROR(INDEX(项目档案!$G$6:$G$255,MATCH($C792,项目档案!$A$6:$A$255,0)),"")="",N(IFERROR(INDEX(单位档案!$D$6:$D$35,MATCH($E792,单位档案!$A$6:$A$35,0)),"")),IFERROR(INDEX(项目档案!$G$6:$G$255,MATCH($C792,项目档案!$A$6:$A$255,0)),"")),N(IFERROR(INDEX(单位档案!$D$6:$D$35,MATCH($E792,单位档案!$A$6:$A$35,0)),"")))))</f>
        <v/>
      </c>
      <c r="J792" s="22"/>
      <c r="K792" s="22"/>
      <c r="L792" s="33" t="str">
        <f aca="false">IF($B792="","",IF(NOT(ISNUMBER($B792)),"日期格式不对",IF($C792="","未选项目编号",IF(LEFT($M792,1)="⚠","项目编号不存在",IF($D792="","未选业务类型",IF($E792="","未选开票/付款方",IF(ISNA(MATCH($E792,单位档案!$A$6:$A$35,0)),"开票方不在单位档案",IF($F792="","未选收票/收款方",IF(ISNA(MATCH($F792,单位档案!$A$6:$A$35,0)),"收款方不在单位档案",IF(NOT(ISNUMBER($H792)),"金额须为数字",IF(AND($D792="销项开票",$N792="—"),"链条待确认","√")))))))))))</f>
        <v/>
      </c>
      <c r="M792" s="34" t="str">
        <f aca="false">IF($C792="","",IFERROR(INDEX(项目档案!$B$6:$B$255,MATCH($C792,项目档案!$A$6:$A$255,0)),"⚠项目编号不存在"))</f>
        <v/>
      </c>
      <c r="N792" s="35" t="str">
        <f aca="false">IF($E792="","",IF($E792=IFERROR(INDEX(项目档案!$D$6:$D$255,MATCH($C792,项目档案!$A$6:$A$255,0)),""),"一级",IF($E792=IFERROR(INDEX(项目档案!$F$6:$F$255,MATCH($C792,项目档案!$A$6:$A$255,0)),""),"二级",IF($E792=IFERROR(INDEX(项目档案!$H$6:$H$255,MATCH($C792,项目档案!$A$6:$A$255,0)),""),"我方","—"))))</f>
        <v/>
      </c>
      <c r="O792" s="36" t="n">
        <f aca="false">IF($D792&lt;&gt;"销项开票",0,ROUND(N($H792)*N($I792),2))</f>
        <v>0</v>
      </c>
      <c r="P792" s="36" t="n">
        <f aca="false">IF($D792&lt;&gt;"销项开票",0,ROUND(N($H792)-$O792,2))</f>
        <v>0</v>
      </c>
      <c r="Q792" s="37" t="str">
        <f aca="false">IF($E792="","",N(IFERROR(INDEX(单位档案!$E$6:$E$35,MATCH($E792,单位档案!$A$6:$A$35,0)),"")))</f>
        <v/>
      </c>
      <c r="R792" s="37" t="str">
        <f aca="false">IF($E792="","",N(IFERROR(INDEX(单位档案!$F$6:$F$35,MATCH($E792,单位档案!$A$6:$A$35,0)),"")))</f>
        <v/>
      </c>
      <c r="S792" s="36" t="n">
        <f aca="false">IF(OR($D792&lt;&gt;"销项开票",IFERROR(INDEX(单位档案!$G$6:$G$35,MATCH($E792,单位档案!$A$6:$A$35,0)),"")&lt;&gt;"是",N($Q792)=0),0,IF(IFERROR(INDEX(单位档案!$H$6:$H$35,MATCH($E792,单位档案!$A$6:$A$35,0)),"")="税差法",ROUND(N($H792)/(1+$Q792)*$Q792-IF(N($R792)=0,0,$P792/(1+$R792)*$R792),2),ROUND(N($H792)/(1+$Q792)*$Q792,2)))</f>
        <v>0</v>
      </c>
      <c r="T792" s="36" t="n">
        <f aca="false">ROUND($S792*N(IFERROR(INDEX(单位档案!$J$6:$J$35,MATCH($E792,单位档案!$A$6:$A$35,0)),"")),2)</f>
        <v>0</v>
      </c>
      <c r="U792" s="36" t="n">
        <f aca="false">IF($D792&lt;&gt;"销项开票",0,ROUND(N($H792)*N(IFERROR(INDEX(单位档案!$K$6:$K$35,MATCH($E792,单位档案!$A$6:$A$35,0)),"")),2))</f>
        <v>0</v>
      </c>
      <c r="V792" s="36" t="n">
        <f aca="false">IF(OR($D792&lt;&gt;"销项开票",N($Q792)=0),0,ROUND(N($H792)/(1+$Q792)*N(IFERROR(INDEX(单位档案!$L$6:$L$35,MATCH($E792,单位档案!$A$6:$A$35,0)),"")),2))</f>
        <v>0</v>
      </c>
      <c r="W792" s="36" t="n">
        <f aca="false">ROUND($S792+$T792+$U792+$V792,2)</f>
        <v>0</v>
      </c>
      <c r="X792" s="35" t="str">
        <f aca="false">IF(OR($D792="挂靠代收",$D792="我方收款"),COUNTIFS($D$5:$D792,"挂靠代收")+COUNTIFS($D$5:$D792,"我方收款"),"")</f>
        <v/>
      </c>
      <c r="Y792" s="35"/>
      <c r="Z792" s="21" t="s">
        <v>111</v>
      </c>
    </row>
    <row r="793" customFormat="false" ht="15.75" hidden="false" customHeight="true" outlineLevel="0" collapsed="false">
      <c r="A793" s="32" t="str">
        <f aca="false">IF($B793="","",ROW()-4)</f>
        <v/>
      </c>
      <c r="B793" s="26"/>
      <c r="C793" s="24"/>
      <c r="D793" s="21"/>
      <c r="E793" s="21"/>
      <c r="F793" s="21"/>
      <c r="G793" s="21"/>
      <c r="H793" s="27"/>
      <c r="I793" s="23" t="str">
        <f aca="false">IF($D793&lt;&gt;"销项开票","",IF($N793="一级",IF(IFERROR(INDEX(项目档案!$E$6:$E$255,MATCH($C793,项目档案!$A$6:$A$255,0)),"")="",N(IFERROR(INDEX(单位档案!$D$6:$D$35,MATCH($E793,单位档案!$A$6:$A$35,0)),"")),IFERROR(INDEX(项目档案!$E$6:$E$255,MATCH($C793,项目档案!$A$6:$A$255,0)),"")),IF($N793="二级",IF(IFERROR(INDEX(项目档案!$G$6:$G$255,MATCH($C793,项目档案!$A$6:$A$255,0)),"")="",N(IFERROR(INDEX(单位档案!$D$6:$D$35,MATCH($E793,单位档案!$A$6:$A$35,0)),"")),IFERROR(INDEX(项目档案!$G$6:$G$255,MATCH($C793,项目档案!$A$6:$A$255,0)),"")),N(IFERROR(INDEX(单位档案!$D$6:$D$35,MATCH($E793,单位档案!$A$6:$A$35,0)),"")))))</f>
        <v/>
      </c>
      <c r="J793" s="22"/>
      <c r="K793" s="22"/>
      <c r="L793" s="33" t="str">
        <f aca="false">IF($B793="","",IF(NOT(ISNUMBER($B793)),"日期格式不对",IF($C793="","未选项目编号",IF(LEFT($M793,1)="⚠","项目编号不存在",IF($D793="","未选业务类型",IF($E793="","未选开票/付款方",IF(ISNA(MATCH($E793,单位档案!$A$6:$A$35,0)),"开票方不在单位档案",IF($F793="","未选收票/收款方",IF(ISNA(MATCH($F793,单位档案!$A$6:$A$35,0)),"收款方不在单位档案",IF(NOT(ISNUMBER($H793)),"金额须为数字",IF(AND($D793="销项开票",$N793="—"),"链条待确认","√")))))))))))</f>
        <v/>
      </c>
      <c r="M793" s="34" t="str">
        <f aca="false">IF($C793="","",IFERROR(INDEX(项目档案!$B$6:$B$255,MATCH($C793,项目档案!$A$6:$A$255,0)),"⚠项目编号不存在"))</f>
        <v/>
      </c>
      <c r="N793" s="35" t="str">
        <f aca="false">IF($E793="","",IF($E793=IFERROR(INDEX(项目档案!$D$6:$D$255,MATCH($C793,项目档案!$A$6:$A$255,0)),""),"一级",IF($E793=IFERROR(INDEX(项目档案!$F$6:$F$255,MATCH($C793,项目档案!$A$6:$A$255,0)),""),"二级",IF($E793=IFERROR(INDEX(项目档案!$H$6:$H$255,MATCH($C793,项目档案!$A$6:$A$255,0)),""),"我方","—"))))</f>
        <v/>
      </c>
      <c r="O793" s="36" t="n">
        <f aca="false">IF($D793&lt;&gt;"销项开票",0,ROUND(N($H793)*N($I793),2))</f>
        <v>0</v>
      </c>
      <c r="P793" s="36" t="n">
        <f aca="false">IF($D793&lt;&gt;"销项开票",0,ROUND(N($H793)-$O793,2))</f>
        <v>0</v>
      </c>
      <c r="Q793" s="37" t="str">
        <f aca="false">IF($E793="","",N(IFERROR(INDEX(单位档案!$E$6:$E$35,MATCH($E793,单位档案!$A$6:$A$35,0)),"")))</f>
        <v/>
      </c>
      <c r="R793" s="37" t="str">
        <f aca="false">IF($E793="","",N(IFERROR(INDEX(单位档案!$F$6:$F$35,MATCH($E793,单位档案!$A$6:$A$35,0)),"")))</f>
        <v/>
      </c>
      <c r="S793" s="36" t="n">
        <f aca="false">IF(OR($D793&lt;&gt;"销项开票",IFERROR(INDEX(单位档案!$G$6:$G$35,MATCH($E793,单位档案!$A$6:$A$35,0)),"")&lt;&gt;"是",N($Q793)=0),0,IF(IFERROR(INDEX(单位档案!$H$6:$H$35,MATCH($E793,单位档案!$A$6:$A$35,0)),"")="税差法",ROUND(N($H793)/(1+$Q793)*$Q793-IF(N($R793)=0,0,$P793/(1+$R793)*$R793),2),ROUND(N($H793)/(1+$Q793)*$Q793,2)))</f>
        <v>0</v>
      </c>
      <c r="T793" s="36" t="n">
        <f aca="false">ROUND($S793*N(IFERROR(INDEX(单位档案!$J$6:$J$35,MATCH($E793,单位档案!$A$6:$A$35,0)),"")),2)</f>
        <v>0</v>
      </c>
      <c r="U793" s="36" t="n">
        <f aca="false">IF($D793&lt;&gt;"销项开票",0,ROUND(N($H793)*N(IFERROR(INDEX(单位档案!$K$6:$K$35,MATCH($E793,单位档案!$A$6:$A$35,0)),"")),2))</f>
        <v>0</v>
      </c>
      <c r="V793" s="36" t="n">
        <f aca="false">IF(OR($D793&lt;&gt;"销项开票",N($Q793)=0),0,ROUND(N($H793)/(1+$Q793)*N(IFERROR(INDEX(单位档案!$L$6:$L$35,MATCH($E793,单位档案!$A$6:$A$35,0)),"")),2))</f>
        <v>0</v>
      </c>
      <c r="W793" s="36" t="n">
        <f aca="false">ROUND($S793+$T793+$U793+$V793,2)</f>
        <v>0</v>
      </c>
      <c r="X793" s="35" t="str">
        <f aca="false">IF(OR($D793="挂靠代收",$D793="我方收款"),COUNTIFS($D$5:$D793,"挂靠代收")+COUNTIFS($D$5:$D793,"我方收款"),"")</f>
        <v/>
      </c>
      <c r="Y793" s="35"/>
      <c r="Z793" s="21" t="s">
        <v>111</v>
      </c>
    </row>
    <row r="794" customFormat="false" ht="15.75" hidden="false" customHeight="true" outlineLevel="0" collapsed="false">
      <c r="A794" s="32" t="str">
        <f aca="false">IF($B794="","",ROW()-4)</f>
        <v/>
      </c>
      <c r="B794" s="26"/>
      <c r="C794" s="24"/>
      <c r="D794" s="21"/>
      <c r="E794" s="21"/>
      <c r="F794" s="21"/>
      <c r="G794" s="21"/>
      <c r="H794" s="27"/>
      <c r="I794" s="23" t="str">
        <f aca="false">IF($D794&lt;&gt;"销项开票","",IF($N794="一级",IF(IFERROR(INDEX(项目档案!$E$6:$E$255,MATCH($C794,项目档案!$A$6:$A$255,0)),"")="",N(IFERROR(INDEX(单位档案!$D$6:$D$35,MATCH($E794,单位档案!$A$6:$A$35,0)),"")),IFERROR(INDEX(项目档案!$E$6:$E$255,MATCH($C794,项目档案!$A$6:$A$255,0)),"")),IF($N794="二级",IF(IFERROR(INDEX(项目档案!$G$6:$G$255,MATCH($C794,项目档案!$A$6:$A$255,0)),"")="",N(IFERROR(INDEX(单位档案!$D$6:$D$35,MATCH($E794,单位档案!$A$6:$A$35,0)),"")),IFERROR(INDEX(项目档案!$G$6:$G$255,MATCH($C794,项目档案!$A$6:$A$255,0)),"")),N(IFERROR(INDEX(单位档案!$D$6:$D$35,MATCH($E794,单位档案!$A$6:$A$35,0)),"")))))</f>
        <v/>
      </c>
      <c r="J794" s="22"/>
      <c r="K794" s="22"/>
      <c r="L794" s="33" t="str">
        <f aca="false">IF($B794="","",IF(NOT(ISNUMBER($B794)),"日期格式不对",IF($C794="","未选项目编号",IF(LEFT($M794,1)="⚠","项目编号不存在",IF($D794="","未选业务类型",IF($E794="","未选开票/付款方",IF(ISNA(MATCH($E794,单位档案!$A$6:$A$35,0)),"开票方不在单位档案",IF($F794="","未选收票/收款方",IF(ISNA(MATCH($F794,单位档案!$A$6:$A$35,0)),"收款方不在单位档案",IF(NOT(ISNUMBER($H794)),"金额须为数字",IF(AND($D794="销项开票",$N794="—"),"链条待确认","√")))))))))))</f>
        <v/>
      </c>
      <c r="M794" s="34" t="str">
        <f aca="false">IF($C794="","",IFERROR(INDEX(项目档案!$B$6:$B$255,MATCH($C794,项目档案!$A$6:$A$255,0)),"⚠项目编号不存在"))</f>
        <v/>
      </c>
      <c r="N794" s="35" t="str">
        <f aca="false">IF($E794="","",IF($E794=IFERROR(INDEX(项目档案!$D$6:$D$255,MATCH($C794,项目档案!$A$6:$A$255,0)),""),"一级",IF($E794=IFERROR(INDEX(项目档案!$F$6:$F$255,MATCH($C794,项目档案!$A$6:$A$255,0)),""),"二级",IF($E794=IFERROR(INDEX(项目档案!$H$6:$H$255,MATCH($C794,项目档案!$A$6:$A$255,0)),""),"我方","—"))))</f>
        <v/>
      </c>
      <c r="O794" s="36" t="n">
        <f aca="false">IF($D794&lt;&gt;"销项开票",0,ROUND(N($H794)*N($I794),2))</f>
        <v>0</v>
      </c>
      <c r="P794" s="36" t="n">
        <f aca="false">IF($D794&lt;&gt;"销项开票",0,ROUND(N($H794)-$O794,2))</f>
        <v>0</v>
      </c>
      <c r="Q794" s="37" t="str">
        <f aca="false">IF($E794="","",N(IFERROR(INDEX(单位档案!$E$6:$E$35,MATCH($E794,单位档案!$A$6:$A$35,0)),"")))</f>
        <v/>
      </c>
      <c r="R794" s="37" t="str">
        <f aca="false">IF($E794="","",N(IFERROR(INDEX(单位档案!$F$6:$F$35,MATCH($E794,单位档案!$A$6:$A$35,0)),"")))</f>
        <v/>
      </c>
      <c r="S794" s="36" t="n">
        <f aca="false">IF(OR($D794&lt;&gt;"销项开票",IFERROR(INDEX(单位档案!$G$6:$G$35,MATCH($E794,单位档案!$A$6:$A$35,0)),"")&lt;&gt;"是",N($Q794)=0),0,IF(IFERROR(INDEX(单位档案!$H$6:$H$35,MATCH($E794,单位档案!$A$6:$A$35,0)),"")="税差法",ROUND(N($H794)/(1+$Q794)*$Q794-IF(N($R794)=0,0,$P794/(1+$R794)*$R794),2),ROUND(N($H794)/(1+$Q794)*$Q794,2)))</f>
        <v>0</v>
      </c>
      <c r="T794" s="36" t="n">
        <f aca="false">ROUND($S794*N(IFERROR(INDEX(单位档案!$J$6:$J$35,MATCH($E794,单位档案!$A$6:$A$35,0)),"")),2)</f>
        <v>0</v>
      </c>
      <c r="U794" s="36" t="n">
        <f aca="false">IF($D794&lt;&gt;"销项开票",0,ROUND(N($H794)*N(IFERROR(INDEX(单位档案!$K$6:$K$35,MATCH($E794,单位档案!$A$6:$A$35,0)),"")),2))</f>
        <v>0</v>
      </c>
      <c r="V794" s="36" t="n">
        <f aca="false">IF(OR($D794&lt;&gt;"销项开票",N($Q794)=0),0,ROUND(N($H794)/(1+$Q794)*N(IFERROR(INDEX(单位档案!$L$6:$L$35,MATCH($E794,单位档案!$A$6:$A$35,0)),"")),2))</f>
        <v>0</v>
      </c>
      <c r="W794" s="36" t="n">
        <f aca="false">ROUND($S794+$T794+$U794+$V794,2)</f>
        <v>0</v>
      </c>
      <c r="X794" s="35" t="str">
        <f aca="false">IF(OR($D794="挂靠代收",$D794="我方收款"),COUNTIFS($D$5:$D794,"挂靠代收")+COUNTIFS($D$5:$D794,"我方收款"),"")</f>
        <v/>
      </c>
      <c r="Y794" s="35"/>
      <c r="Z794" s="21" t="s">
        <v>111</v>
      </c>
    </row>
    <row r="795" customFormat="false" ht="15.75" hidden="false" customHeight="true" outlineLevel="0" collapsed="false">
      <c r="A795" s="32" t="str">
        <f aca="false">IF($B795="","",ROW()-4)</f>
        <v/>
      </c>
      <c r="B795" s="26"/>
      <c r="C795" s="24"/>
      <c r="D795" s="21"/>
      <c r="E795" s="21"/>
      <c r="F795" s="21"/>
      <c r="G795" s="21"/>
      <c r="H795" s="27"/>
      <c r="I795" s="23" t="str">
        <f aca="false">IF($D795&lt;&gt;"销项开票","",IF($N795="一级",IF(IFERROR(INDEX(项目档案!$E$6:$E$255,MATCH($C795,项目档案!$A$6:$A$255,0)),"")="",N(IFERROR(INDEX(单位档案!$D$6:$D$35,MATCH($E795,单位档案!$A$6:$A$35,0)),"")),IFERROR(INDEX(项目档案!$E$6:$E$255,MATCH($C795,项目档案!$A$6:$A$255,0)),"")),IF($N795="二级",IF(IFERROR(INDEX(项目档案!$G$6:$G$255,MATCH($C795,项目档案!$A$6:$A$255,0)),"")="",N(IFERROR(INDEX(单位档案!$D$6:$D$35,MATCH($E795,单位档案!$A$6:$A$35,0)),"")),IFERROR(INDEX(项目档案!$G$6:$G$255,MATCH($C795,项目档案!$A$6:$A$255,0)),"")),N(IFERROR(INDEX(单位档案!$D$6:$D$35,MATCH($E795,单位档案!$A$6:$A$35,0)),"")))))</f>
        <v/>
      </c>
      <c r="J795" s="22"/>
      <c r="K795" s="22"/>
      <c r="L795" s="33" t="str">
        <f aca="false">IF($B795="","",IF(NOT(ISNUMBER($B795)),"日期格式不对",IF($C795="","未选项目编号",IF(LEFT($M795,1)="⚠","项目编号不存在",IF($D795="","未选业务类型",IF($E795="","未选开票/付款方",IF(ISNA(MATCH($E795,单位档案!$A$6:$A$35,0)),"开票方不在单位档案",IF($F795="","未选收票/收款方",IF(ISNA(MATCH($F795,单位档案!$A$6:$A$35,0)),"收款方不在单位档案",IF(NOT(ISNUMBER($H795)),"金额须为数字",IF(AND($D795="销项开票",$N795="—"),"链条待确认","√")))))))))))</f>
        <v/>
      </c>
      <c r="M795" s="34" t="str">
        <f aca="false">IF($C795="","",IFERROR(INDEX(项目档案!$B$6:$B$255,MATCH($C795,项目档案!$A$6:$A$255,0)),"⚠项目编号不存在"))</f>
        <v/>
      </c>
      <c r="N795" s="35" t="str">
        <f aca="false">IF($E795="","",IF($E795=IFERROR(INDEX(项目档案!$D$6:$D$255,MATCH($C795,项目档案!$A$6:$A$255,0)),""),"一级",IF($E795=IFERROR(INDEX(项目档案!$F$6:$F$255,MATCH($C795,项目档案!$A$6:$A$255,0)),""),"二级",IF($E795=IFERROR(INDEX(项目档案!$H$6:$H$255,MATCH($C795,项目档案!$A$6:$A$255,0)),""),"我方","—"))))</f>
        <v/>
      </c>
      <c r="O795" s="36" t="n">
        <f aca="false">IF($D795&lt;&gt;"销项开票",0,ROUND(N($H795)*N($I795),2))</f>
        <v>0</v>
      </c>
      <c r="P795" s="36" t="n">
        <f aca="false">IF($D795&lt;&gt;"销项开票",0,ROUND(N($H795)-$O795,2))</f>
        <v>0</v>
      </c>
      <c r="Q795" s="37" t="str">
        <f aca="false">IF($E795="","",N(IFERROR(INDEX(单位档案!$E$6:$E$35,MATCH($E795,单位档案!$A$6:$A$35,0)),"")))</f>
        <v/>
      </c>
      <c r="R795" s="37" t="str">
        <f aca="false">IF($E795="","",N(IFERROR(INDEX(单位档案!$F$6:$F$35,MATCH($E795,单位档案!$A$6:$A$35,0)),"")))</f>
        <v/>
      </c>
      <c r="S795" s="36" t="n">
        <f aca="false">IF(OR($D795&lt;&gt;"销项开票",IFERROR(INDEX(单位档案!$G$6:$G$35,MATCH($E795,单位档案!$A$6:$A$35,0)),"")&lt;&gt;"是",N($Q795)=0),0,IF(IFERROR(INDEX(单位档案!$H$6:$H$35,MATCH($E795,单位档案!$A$6:$A$35,0)),"")="税差法",ROUND(N($H795)/(1+$Q795)*$Q795-IF(N($R795)=0,0,$P795/(1+$R795)*$R795),2),ROUND(N($H795)/(1+$Q795)*$Q795,2)))</f>
        <v>0</v>
      </c>
      <c r="T795" s="36" t="n">
        <f aca="false">ROUND($S795*N(IFERROR(INDEX(单位档案!$J$6:$J$35,MATCH($E795,单位档案!$A$6:$A$35,0)),"")),2)</f>
        <v>0</v>
      </c>
      <c r="U795" s="36" t="n">
        <f aca="false">IF($D795&lt;&gt;"销项开票",0,ROUND(N($H795)*N(IFERROR(INDEX(单位档案!$K$6:$K$35,MATCH($E795,单位档案!$A$6:$A$35,0)),"")),2))</f>
        <v>0</v>
      </c>
      <c r="V795" s="36" t="n">
        <f aca="false">IF(OR($D795&lt;&gt;"销项开票",N($Q795)=0),0,ROUND(N($H795)/(1+$Q795)*N(IFERROR(INDEX(单位档案!$L$6:$L$35,MATCH($E795,单位档案!$A$6:$A$35,0)),"")),2))</f>
        <v>0</v>
      </c>
      <c r="W795" s="36" t="n">
        <f aca="false">ROUND($S795+$T795+$U795+$V795,2)</f>
        <v>0</v>
      </c>
      <c r="X795" s="35" t="str">
        <f aca="false">IF(OR($D795="挂靠代收",$D795="我方收款"),COUNTIFS($D$5:$D795,"挂靠代收")+COUNTIFS($D$5:$D795,"我方收款"),"")</f>
        <v/>
      </c>
      <c r="Y795" s="35"/>
      <c r="Z795" s="21" t="s">
        <v>111</v>
      </c>
    </row>
    <row r="796" customFormat="false" ht="15.75" hidden="false" customHeight="true" outlineLevel="0" collapsed="false">
      <c r="A796" s="32" t="str">
        <f aca="false">IF($B796="","",ROW()-4)</f>
        <v/>
      </c>
      <c r="B796" s="26"/>
      <c r="C796" s="24"/>
      <c r="D796" s="21"/>
      <c r="E796" s="21"/>
      <c r="F796" s="21"/>
      <c r="G796" s="21"/>
      <c r="H796" s="27"/>
      <c r="I796" s="23" t="str">
        <f aca="false">IF($D796&lt;&gt;"销项开票","",IF($N796="一级",IF(IFERROR(INDEX(项目档案!$E$6:$E$255,MATCH($C796,项目档案!$A$6:$A$255,0)),"")="",N(IFERROR(INDEX(单位档案!$D$6:$D$35,MATCH($E796,单位档案!$A$6:$A$35,0)),"")),IFERROR(INDEX(项目档案!$E$6:$E$255,MATCH($C796,项目档案!$A$6:$A$255,0)),"")),IF($N796="二级",IF(IFERROR(INDEX(项目档案!$G$6:$G$255,MATCH($C796,项目档案!$A$6:$A$255,0)),"")="",N(IFERROR(INDEX(单位档案!$D$6:$D$35,MATCH($E796,单位档案!$A$6:$A$35,0)),"")),IFERROR(INDEX(项目档案!$G$6:$G$255,MATCH($C796,项目档案!$A$6:$A$255,0)),"")),N(IFERROR(INDEX(单位档案!$D$6:$D$35,MATCH($E796,单位档案!$A$6:$A$35,0)),"")))))</f>
        <v/>
      </c>
      <c r="J796" s="22"/>
      <c r="K796" s="22"/>
      <c r="L796" s="33" t="str">
        <f aca="false">IF($B796="","",IF(NOT(ISNUMBER($B796)),"日期格式不对",IF($C796="","未选项目编号",IF(LEFT($M796,1)="⚠","项目编号不存在",IF($D796="","未选业务类型",IF($E796="","未选开票/付款方",IF(ISNA(MATCH($E796,单位档案!$A$6:$A$35,0)),"开票方不在单位档案",IF($F796="","未选收票/收款方",IF(ISNA(MATCH($F796,单位档案!$A$6:$A$35,0)),"收款方不在单位档案",IF(NOT(ISNUMBER($H796)),"金额须为数字",IF(AND($D796="销项开票",$N796="—"),"链条待确认","√")))))))))))</f>
        <v/>
      </c>
      <c r="M796" s="34" t="str">
        <f aca="false">IF($C796="","",IFERROR(INDEX(项目档案!$B$6:$B$255,MATCH($C796,项目档案!$A$6:$A$255,0)),"⚠项目编号不存在"))</f>
        <v/>
      </c>
      <c r="N796" s="35" t="str">
        <f aca="false">IF($E796="","",IF($E796=IFERROR(INDEX(项目档案!$D$6:$D$255,MATCH($C796,项目档案!$A$6:$A$255,0)),""),"一级",IF($E796=IFERROR(INDEX(项目档案!$F$6:$F$255,MATCH($C796,项目档案!$A$6:$A$255,0)),""),"二级",IF($E796=IFERROR(INDEX(项目档案!$H$6:$H$255,MATCH($C796,项目档案!$A$6:$A$255,0)),""),"我方","—"))))</f>
        <v/>
      </c>
      <c r="O796" s="36" t="n">
        <f aca="false">IF($D796&lt;&gt;"销项开票",0,ROUND(N($H796)*N($I796),2))</f>
        <v>0</v>
      </c>
      <c r="P796" s="36" t="n">
        <f aca="false">IF($D796&lt;&gt;"销项开票",0,ROUND(N($H796)-$O796,2))</f>
        <v>0</v>
      </c>
      <c r="Q796" s="37" t="str">
        <f aca="false">IF($E796="","",N(IFERROR(INDEX(单位档案!$E$6:$E$35,MATCH($E796,单位档案!$A$6:$A$35,0)),"")))</f>
        <v/>
      </c>
      <c r="R796" s="37" t="str">
        <f aca="false">IF($E796="","",N(IFERROR(INDEX(单位档案!$F$6:$F$35,MATCH($E796,单位档案!$A$6:$A$35,0)),"")))</f>
        <v/>
      </c>
      <c r="S796" s="36" t="n">
        <f aca="false">IF(OR($D796&lt;&gt;"销项开票",IFERROR(INDEX(单位档案!$G$6:$G$35,MATCH($E796,单位档案!$A$6:$A$35,0)),"")&lt;&gt;"是",N($Q796)=0),0,IF(IFERROR(INDEX(单位档案!$H$6:$H$35,MATCH($E796,单位档案!$A$6:$A$35,0)),"")="税差法",ROUND(N($H796)/(1+$Q796)*$Q796-IF(N($R796)=0,0,$P796/(1+$R796)*$R796),2),ROUND(N($H796)/(1+$Q796)*$Q796,2)))</f>
        <v>0</v>
      </c>
      <c r="T796" s="36" t="n">
        <f aca="false">ROUND($S796*N(IFERROR(INDEX(单位档案!$J$6:$J$35,MATCH($E796,单位档案!$A$6:$A$35,0)),"")),2)</f>
        <v>0</v>
      </c>
      <c r="U796" s="36" t="n">
        <f aca="false">IF($D796&lt;&gt;"销项开票",0,ROUND(N($H796)*N(IFERROR(INDEX(单位档案!$K$6:$K$35,MATCH($E796,单位档案!$A$6:$A$35,0)),"")),2))</f>
        <v>0</v>
      </c>
      <c r="V796" s="36" t="n">
        <f aca="false">IF(OR($D796&lt;&gt;"销项开票",N($Q796)=0),0,ROUND(N($H796)/(1+$Q796)*N(IFERROR(INDEX(单位档案!$L$6:$L$35,MATCH($E796,单位档案!$A$6:$A$35,0)),"")),2))</f>
        <v>0</v>
      </c>
      <c r="W796" s="36" t="n">
        <f aca="false">ROUND($S796+$T796+$U796+$V796,2)</f>
        <v>0</v>
      </c>
      <c r="X796" s="35" t="str">
        <f aca="false">IF(OR($D796="挂靠代收",$D796="我方收款"),COUNTIFS($D$5:$D796,"挂靠代收")+COUNTIFS($D$5:$D796,"我方收款"),"")</f>
        <v/>
      </c>
      <c r="Y796" s="35"/>
      <c r="Z796" s="21" t="s">
        <v>111</v>
      </c>
    </row>
    <row r="797" customFormat="false" ht="15.75" hidden="false" customHeight="true" outlineLevel="0" collapsed="false">
      <c r="A797" s="32" t="str">
        <f aca="false">IF($B797="","",ROW()-4)</f>
        <v/>
      </c>
      <c r="B797" s="26"/>
      <c r="C797" s="24"/>
      <c r="D797" s="21"/>
      <c r="E797" s="21"/>
      <c r="F797" s="21"/>
      <c r="G797" s="21"/>
      <c r="H797" s="27"/>
      <c r="I797" s="23" t="str">
        <f aca="false">IF($D797&lt;&gt;"销项开票","",IF($N797="一级",IF(IFERROR(INDEX(项目档案!$E$6:$E$255,MATCH($C797,项目档案!$A$6:$A$255,0)),"")="",N(IFERROR(INDEX(单位档案!$D$6:$D$35,MATCH($E797,单位档案!$A$6:$A$35,0)),"")),IFERROR(INDEX(项目档案!$E$6:$E$255,MATCH($C797,项目档案!$A$6:$A$255,0)),"")),IF($N797="二级",IF(IFERROR(INDEX(项目档案!$G$6:$G$255,MATCH($C797,项目档案!$A$6:$A$255,0)),"")="",N(IFERROR(INDEX(单位档案!$D$6:$D$35,MATCH($E797,单位档案!$A$6:$A$35,0)),"")),IFERROR(INDEX(项目档案!$G$6:$G$255,MATCH($C797,项目档案!$A$6:$A$255,0)),"")),N(IFERROR(INDEX(单位档案!$D$6:$D$35,MATCH($E797,单位档案!$A$6:$A$35,0)),"")))))</f>
        <v/>
      </c>
      <c r="J797" s="22"/>
      <c r="K797" s="22"/>
      <c r="L797" s="33" t="str">
        <f aca="false">IF($B797="","",IF(NOT(ISNUMBER($B797)),"日期格式不对",IF($C797="","未选项目编号",IF(LEFT($M797,1)="⚠","项目编号不存在",IF($D797="","未选业务类型",IF($E797="","未选开票/付款方",IF(ISNA(MATCH($E797,单位档案!$A$6:$A$35,0)),"开票方不在单位档案",IF($F797="","未选收票/收款方",IF(ISNA(MATCH($F797,单位档案!$A$6:$A$35,0)),"收款方不在单位档案",IF(NOT(ISNUMBER($H797)),"金额须为数字",IF(AND($D797="销项开票",$N797="—"),"链条待确认","√")))))))))))</f>
        <v/>
      </c>
      <c r="M797" s="34" t="str">
        <f aca="false">IF($C797="","",IFERROR(INDEX(项目档案!$B$6:$B$255,MATCH($C797,项目档案!$A$6:$A$255,0)),"⚠项目编号不存在"))</f>
        <v/>
      </c>
      <c r="N797" s="35" t="str">
        <f aca="false">IF($E797="","",IF($E797=IFERROR(INDEX(项目档案!$D$6:$D$255,MATCH($C797,项目档案!$A$6:$A$255,0)),""),"一级",IF($E797=IFERROR(INDEX(项目档案!$F$6:$F$255,MATCH($C797,项目档案!$A$6:$A$255,0)),""),"二级",IF($E797=IFERROR(INDEX(项目档案!$H$6:$H$255,MATCH($C797,项目档案!$A$6:$A$255,0)),""),"我方","—"))))</f>
        <v/>
      </c>
      <c r="O797" s="36" t="n">
        <f aca="false">IF($D797&lt;&gt;"销项开票",0,ROUND(N($H797)*N($I797),2))</f>
        <v>0</v>
      </c>
      <c r="P797" s="36" t="n">
        <f aca="false">IF($D797&lt;&gt;"销项开票",0,ROUND(N($H797)-$O797,2))</f>
        <v>0</v>
      </c>
      <c r="Q797" s="37" t="str">
        <f aca="false">IF($E797="","",N(IFERROR(INDEX(单位档案!$E$6:$E$35,MATCH($E797,单位档案!$A$6:$A$35,0)),"")))</f>
        <v/>
      </c>
      <c r="R797" s="37" t="str">
        <f aca="false">IF($E797="","",N(IFERROR(INDEX(单位档案!$F$6:$F$35,MATCH($E797,单位档案!$A$6:$A$35,0)),"")))</f>
        <v/>
      </c>
      <c r="S797" s="36" t="n">
        <f aca="false">IF(OR($D797&lt;&gt;"销项开票",IFERROR(INDEX(单位档案!$G$6:$G$35,MATCH($E797,单位档案!$A$6:$A$35,0)),"")&lt;&gt;"是",N($Q797)=0),0,IF(IFERROR(INDEX(单位档案!$H$6:$H$35,MATCH($E797,单位档案!$A$6:$A$35,0)),"")="税差法",ROUND(N($H797)/(1+$Q797)*$Q797-IF(N($R797)=0,0,$P797/(1+$R797)*$R797),2),ROUND(N($H797)/(1+$Q797)*$Q797,2)))</f>
        <v>0</v>
      </c>
      <c r="T797" s="36" t="n">
        <f aca="false">ROUND($S797*N(IFERROR(INDEX(单位档案!$J$6:$J$35,MATCH($E797,单位档案!$A$6:$A$35,0)),"")),2)</f>
        <v>0</v>
      </c>
      <c r="U797" s="36" t="n">
        <f aca="false">IF($D797&lt;&gt;"销项开票",0,ROUND(N($H797)*N(IFERROR(INDEX(单位档案!$K$6:$K$35,MATCH($E797,单位档案!$A$6:$A$35,0)),"")),2))</f>
        <v>0</v>
      </c>
      <c r="V797" s="36" t="n">
        <f aca="false">IF(OR($D797&lt;&gt;"销项开票",N($Q797)=0),0,ROUND(N($H797)/(1+$Q797)*N(IFERROR(INDEX(单位档案!$L$6:$L$35,MATCH($E797,单位档案!$A$6:$A$35,0)),"")),2))</f>
        <v>0</v>
      </c>
      <c r="W797" s="36" t="n">
        <f aca="false">ROUND($S797+$T797+$U797+$V797,2)</f>
        <v>0</v>
      </c>
      <c r="X797" s="35" t="str">
        <f aca="false">IF(OR($D797="挂靠代收",$D797="我方收款"),COUNTIFS($D$5:$D797,"挂靠代收")+COUNTIFS($D$5:$D797,"我方收款"),"")</f>
        <v/>
      </c>
      <c r="Y797" s="35"/>
      <c r="Z797" s="21" t="s">
        <v>111</v>
      </c>
    </row>
    <row r="798" customFormat="false" ht="15.75" hidden="false" customHeight="true" outlineLevel="0" collapsed="false">
      <c r="A798" s="32" t="str">
        <f aca="false">IF($B798="","",ROW()-4)</f>
        <v/>
      </c>
      <c r="B798" s="26"/>
      <c r="C798" s="24"/>
      <c r="D798" s="21"/>
      <c r="E798" s="21"/>
      <c r="F798" s="21"/>
      <c r="G798" s="21"/>
      <c r="H798" s="27"/>
      <c r="I798" s="23" t="str">
        <f aca="false">IF($D798&lt;&gt;"销项开票","",IF($N798="一级",IF(IFERROR(INDEX(项目档案!$E$6:$E$255,MATCH($C798,项目档案!$A$6:$A$255,0)),"")="",N(IFERROR(INDEX(单位档案!$D$6:$D$35,MATCH($E798,单位档案!$A$6:$A$35,0)),"")),IFERROR(INDEX(项目档案!$E$6:$E$255,MATCH($C798,项目档案!$A$6:$A$255,0)),"")),IF($N798="二级",IF(IFERROR(INDEX(项目档案!$G$6:$G$255,MATCH($C798,项目档案!$A$6:$A$255,0)),"")="",N(IFERROR(INDEX(单位档案!$D$6:$D$35,MATCH($E798,单位档案!$A$6:$A$35,0)),"")),IFERROR(INDEX(项目档案!$G$6:$G$255,MATCH($C798,项目档案!$A$6:$A$255,0)),"")),N(IFERROR(INDEX(单位档案!$D$6:$D$35,MATCH($E798,单位档案!$A$6:$A$35,0)),"")))))</f>
        <v/>
      </c>
      <c r="J798" s="22"/>
      <c r="K798" s="22"/>
      <c r="L798" s="33" t="str">
        <f aca="false">IF($B798="","",IF(NOT(ISNUMBER($B798)),"日期格式不对",IF($C798="","未选项目编号",IF(LEFT($M798,1)="⚠","项目编号不存在",IF($D798="","未选业务类型",IF($E798="","未选开票/付款方",IF(ISNA(MATCH($E798,单位档案!$A$6:$A$35,0)),"开票方不在单位档案",IF($F798="","未选收票/收款方",IF(ISNA(MATCH($F798,单位档案!$A$6:$A$35,0)),"收款方不在单位档案",IF(NOT(ISNUMBER($H798)),"金额须为数字",IF(AND($D798="销项开票",$N798="—"),"链条待确认","√")))))))))))</f>
        <v/>
      </c>
      <c r="M798" s="34" t="str">
        <f aca="false">IF($C798="","",IFERROR(INDEX(项目档案!$B$6:$B$255,MATCH($C798,项目档案!$A$6:$A$255,0)),"⚠项目编号不存在"))</f>
        <v/>
      </c>
      <c r="N798" s="35" t="str">
        <f aca="false">IF($E798="","",IF($E798=IFERROR(INDEX(项目档案!$D$6:$D$255,MATCH($C798,项目档案!$A$6:$A$255,0)),""),"一级",IF($E798=IFERROR(INDEX(项目档案!$F$6:$F$255,MATCH($C798,项目档案!$A$6:$A$255,0)),""),"二级",IF($E798=IFERROR(INDEX(项目档案!$H$6:$H$255,MATCH($C798,项目档案!$A$6:$A$255,0)),""),"我方","—"))))</f>
        <v/>
      </c>
      <c r="O798" s="36" t="n">
        <f aca="false">IF($D798&lt;&gt;"销项开票",0,ROUND(N($H798)*N($I798),2))</f>
        <v>0</v>
      </c>
      <c r="P798" s="36" t="n">
        <f aca="false">IF($D798&lt;&gt;"销项开票",0,ROUND(N($H798)-$O798,2))</f>
        <v>0</v>
      </c>
      <c r="Q798" s="37" t="str">
        <f aca="false">IF($E798="","",N(IFERROR(INDEX(单位档案!$E$6:$E$35,MATCH($E798,单位档案!$A$6:$A$35,0)),"")))</f>
        <v/>
      </c>
      <c r="R798" s="37" t="str">
        <f aca="false">IF($E798="","",N(IFERROR(INDEX(单位档案!$F$6:$F$35,MATCH($E798,单位档案!$A$6:$A$35,0)),"")))</f>
        <v/>
      </c>
      <c r="S798" s="36" t="n">
        <f aca="false">IF(OR($D798&lt;&gt;"销项开票",IFERROR(INDEX(单位档案!$G$6:$G$35,MATCH($E798,单位档案!$A$6:$A$35,0)),"")&lt;&gt;"是",N($Q798)=0),0,IF(IFERROR(INDEX(单位档案!$H$6:$H$35,MATCH($E798,单位档案!$A$6:$A$35,0)),"")="税差法",ROUND(N($H798)/(1+$Q798)*$Q798-IF(N($R798)=0,0,$P798/(1+$R798)*$R798),2),ROUND(N($H798)/(1+$Q798)*$Q798,2)))</f>
        <v>0</v>
      </c>
      <c r="T798" s="36" t="n">
        <f aca="false">ROUND($S798*N(IFERROR(INDEX(单位档案!$J$6:$J$35,MATCH($E798,单位档案!$A$6:$A$35,0)),"")),2)</f>
        <v>0</v>
      </c>
      <c r="U798" s="36" t="n">
        <f aca="false">IF($D798&lt;&gt;"销项开票",0,ROUND(N($H798)*N(IFERROR(INDEX(单位档案!$K$6:$K$35,MATCH($E798,单位档案!$A$6:$A$35,0)),"")),2))</f>
        <v>0</v>
      </c>
      <c r="V798" s="36" t="n">
        <f aca="false">IF(OR($D798&lt;&gt;"销项开票",N($Q798)=0),0,ROUND(N($H798)/(1+$Q798)*N(IFERROR(INDEX(单位档案!$L$6:$L$35,MATCH($E798,单位档案!$A$6:$A$35,0)),"")),2))</f>
        <v>0</v>
      </c>
      <c r="W798" s="36" t="n">
        <f aca="false">ROUND($S798+$T798+$U798+$V798,2)</f>
        <v>0</v>
      </c>
      <c r="X798" s="35" t="str">
        <f aca="false">IF(OR($D798="挂靠代收",$D798="我方收款"),COUNTIFS($D$5:$D798,"挂靠代收")+COUNTIFS($D$5:$D798,"我方收款"),"")</f>
        <v/>
      </c>
      <c r="Y798" s="35"/>
      <c r="Z798" s="21" t="s">
        <v>111</v>
      </c>
    </row>
    <row r="799" customFormat="false" ht="15.75" hidden="false" customHeight="true" outlineLevel="0" collapsed="false">
      <c r="A799" s="32" t="str">
        <f aca="false">IF($B799="","",ROW()-4)</f>
        <v/>
      </c>
      <c r="B799" s="26"/>
      <c r="C799" s="24"/>
      <c r="D799" s="21"/>
      <c r="E799" s="21"/>
      <c r="F799" s="21"/>
      <c r="G799" s="21"/>
      <c r="H799" s="27"/>
      <c r="I799" s="23" t="str">
        <f aca="false">IF($D799&lt;&gt;"销项开票","",IF($N799="一级",IF(IFERROR(INDEX(项目档案!$E$6:$E$255,MATCH($C799,项目档案!$A$6:$A$255,0)),"")="",N(IFERROR(INDEX(单位档案!$D$6:$D$35,MATCH($E799,单位档案!$A$6:$A$35,0)),"")),IFERROR(INDEX(项目档案!$E$6:$E$255,MATCH($C799,项目档案!$A$6:$A$255,0)),"")),IF($N799="二级",IF(IFERROR(INDEX(项目档案!$G$6:$G$255,MATCH($C799,项目档案!$A$6:$A$255,0)),"")="",N(IFERROR(INDEX(单位档案!$D$6:$D$35,MATCH($E799,单位档案!$A$6:$A$35,0)),"")),IFERROR(INDEX(项目档案!$G$6:$G$255,MATCH($C799,项目档案!$A$6:$A$255,0)),"")),N(IFERROR(INDEX(单位档案!$D$6:$D$35,MATCH($E799,单位档案!$A$6:$A$35,0)),"")))))</f>
        <v/>
      </c>
      <c r="J799" s="22"/>
      <c r="K799" s="22"/>
      <c r="L799" s="33" t="str">
        <f aca="false">IF($B799="","",IF(NOT(ISNUMBER($B799)),"日期格式不对",IF($C799="","未选项目编号",IF(LEFT($M799,1)="⚠","项目编号不存在",IF($D799="","未选业务类型",IF($E799="","未选开票/付款方",IF(ISNA(MATCH($E799,单位档案!$A$6:$A$35,0)),"开票方不在单位档案",IF($F799="","未选收票/收款方",IF(ISNA(MATCH($F799,单位档案!$A$6:$A$35,0)),"收款方不在单位档案",IF(NOT(ISNUMBER($H799)),"金额须为数字",IF(AND($D799="销项开票",$N799="—"),"链条待确认","√")))))))))))</f>
        <v/>
      </c>
      <c r="M799" s="34" t="str">
        <f aca="false">IF($C799="","",IFERROR(INDEX(项目档案!$B$6:$B$255,MATCH($C799,项目档案!$A$6:$A$255,0)),"⚠项目编号不存在"))</f>
        <v/>
      </c>
      <c r="N799" s="35" t="str">
        <f aca="false">IF($E799="","",IF($E799=IFERROR(INDEX(项目档案!$D$6:$D$255,MATCH($C799,项目档案!$A$6:$A$255,0)),""),"一级",IF($E799=IFERROR(INDEX(项目档案!$F$6:$F$255,MATCH($C799,项目档案!$A$6:$A$255,0)),""),"二级",IF($E799=IFERROR(INDEX(项目档案!$H$6:$H$255,MATCH($C799,项目档案!$A$6:$A$255,0)),""),"我方","—"))))</f>
        <v/>
      </c>
      <c r="O799" s="36" t="n">
        <f aca="false">IF($D799&lt;&gt;"销项开票",0,ROUND(N($H799)*N($I799),2))</f>
        <v>0</v>
      </c>
      <c r="P799" s="36" t="n">
        <f aca="false">IF($D799&lt;&gt;"销项开票",0,ROUND(N($H799)-$O799,2))</f>
        <v>0</v>
      </c>
      <c r="Q799" s="37" t="str">
        <f aca="false">IF($E799="","",N(IFERROR(INDEX(单位档案!$E$6:$E$35,MATCH($E799,单位档案!$A$6:$A$35,0)),"")))</f>
        <v/>
      </c>
      <c r="R799" s="37" t="str">
        <f aca="false">IF($E799="","",N(IFERROR(INDEX(单位档案!$F$6:$F$35,MATCH($E799,单位档案!$A$6:$A$35,0)),"")))</f>
        <v/>
      </c>
      <c r="S799" s="36" t="n">
        <f aca="false">IF(OR($D799&lt;&gt;"销项开票",IFERROR(INDEX(单位档案!$G$6:$G$35,MATCH($E799,单位档案!$A$6:$A$35,0)),"")&lt;&gt;"是",N($Q799)=0),0,IF(IFERROR(INDEX(单位档案!$H$6:$H$35,MATCH($E799,单位档案!$A$6:$A$35,0)),"")="税差法",ROUND(N($H799)/(1+$Q799)*$Q799-IF(N($R799)=0,0,$P799/(1+$R799)*$R799),2),ROUND(N($H799)/(1+$Q799)*$Q799,2)))</f>
        <v>0</v>
      </c>
      <c r="T799" s="36" t="n">
        <f aca="false">ROUND($S799*N(IFERROR(INDEX(单位档案!$J$6:$J$35,MATCH($E799,单位档案!$A$6:$A$35,0)),"")),2)</f>
        <v>0</v>
      </c>
      <c r="U799" s="36" t="n">
        <f aca="false">IF($D799&lt;&gt;"销项开票",0,ROUND(N($H799)*N(IFERROR(INDEX(单位档案!$K$6:$K$35,MATCH($E799,单位档案!$A$6:$A$35,0)),"")),2))</f>
        <v>0</v>
      </c>
      <c r="V799" s="36" t="n">
        <f aca="false">IF(OR($D799&lt;&gt;"销项开票",N($Q799)=0),0,ROUND(N($H799)/(1+$Q799)*N(IFERROR(INDEX(单位档案!$L$6:$L$35,MATCH($E799,单位档案!$A$6:$A$35,0)),"")),2))</f>
        <v>0</v>
      </c>
      <c r="W799" s="36" t="n">
        <f aca="false">ROUND($S799+$T799+$U799+$V799,2)</f>
        <v>0</v>
      </c>
      <c r="X799" s="35" t="str">
        <f aca="false">IF(OR($D799="挂靠代收",$D799="我方收款"),COUNTIFS($D$5:$D799,"挂靠代收")+COUNTIFS($D$5:$D799,"我方收款"),"")</f>
        <v/>
      </c>
      <c r="Y799" s="35"/>
      <c r="Z799" s="21" t="s">
        <v>111</v>
      </c>
    </row>
    <row r="800" customFormat="false" ht="15.75" hidden="false" customHeight="true" outlineLevel="0" collapsed="false">
      <c r="A800" s="32" t="str">
        <f aca="false">IF($B800="","",ROW()-4)</f>
        <v/>
      </c>
      <c r="B800" s="26"/>
      <c r="C800" s="24"/>
      <c r="D800" s="21"/>
      <c r="E800" s="21"/>
      <c r="F800" s="21"/>
      <c r="G800" s="21"/>
      <c r="H800" s="27"/>
      <c r="I800" s="23" t="str">
        <f aca="false">IF($D800&lt;&gt;"销项开票","",IF($N800="一级",IF(IFERROR(INDEX(项目档案!$E$6:$E$255,MATCH($C800,项目档案!$A$6:$A$255,0)),"")="",N(IFERROR(INDEX(单位档案!$D$6:$D$35,MATCH($E800,单位档案!$A$6:$A$35,0)),"")),IFERROR(INDEX(项目档案!$E$6:$E$255,MATCH($C800,项目档案!$A$6:$A$255,0)),"")),IF($N800="二级",IF(IFERROR(INDEX(项目档案!$G$6:$G$255,MATCH($C800,项目档案!$A$6:$A$255,0)),"")="",N(IFERROR(INDEX(单位档案!$D$6:$D$35,MATCH($E800,单位档案!$A$6:$A$35,0)),"")),IFERROR(INDEX(项目档案!$G$6:$G$255,MATCH($C800,项目档案!$A$6:$A$255,0)),"")),N(IFERROR(INDEX(单位档案!$D$6:$D$35,MATCH($E800,单位档案!$A$6:$A$35,0)),"")))))</f>
        <v/>
      </c>
      <c r="J800" s="22"/>
      <c r="K800" s="22"/>
      <c r="L800" s="33" t="str">
        <f aca="false">IF($B800="","",IF(NOT(ISNUMBER($B800)),"日期格式不对",IF($C800="","未选项目编号",IF(LEFT($M800,1)="⚠","项目编号不存在",IF($D800="","未选业务类型",IF($E800="","未选开票/付款方",IF(ISNA(MATCH($E800,单位档案!$A$6:$A$35,0)),"开票方不在单位档案",IF($F800="","未选收票/收款方",IF(ISNA(MATCH($F800,单位档案!$A$6:$A$35,0)),"收款方不在单位档案",IF(NOT(ISNUMBER($H800)),"金额须为数字",IF(AND($D800="销项开票",$N800="—"),"链条待确认","√")))))))))))</f>
        <v/>
      </c>
      <c r="M800" s="34" t="str">
        <f aca="false">IF($C800="","",IFERROR(INDEX(项目档案!$B$6:$B$255,MATCH($C800,项目档案!$A$6:$A$255,0)),"⚠项目编号不存在"))</f>
        <v/>
      </c>
      <c r="N800" s="35" t="str">
        <f aca="false">IF($E800="","",IF($E800=IFERROR(INDEX(项目档案!$D$6:$D$255,MATCH($C800,项目档案!$A$6:$A$255,0)),""),"一级",IF($E800=IFERROR(INDEX(项目档案!$F$6:$F$255,MATCH($C800,项目档案!$A$6:$A$255,0)),""),"二级",IF($E800=IFERROR(INDEX(项目档案!$H$6:$H$255,MATCH($C800,项目档案!$A$6:$A$255,0)),""),"我方","—"))))</f>
        <v/>
      </c>
      <c r="O800" s="36" t="n">
        <f aca="false">IF($D800&lt;&gt;"销项开票",0,ROUND(N($H800)*N($I800),2))</f>
        <v>0</v>
      </c>
      <c r="P800" s="36" t="n">
        <f aca="false">IF($D800&lt;&gt;"销项开票",0,ROUND(N($H800)-$O800,2))</f>
        <v>0</v>
      </c>
      <c r="Q800" s="37" t="str">
        <f aca="false">IF($E800="","",N(IFERROR(INDEX(单位档案!$E$6:$E$35,MATCH($E800,单位档案!$A$6:$A$35,0)),"")))</f>
        <v/>
      </c>
      <c r="R800" s="37" t="str">
        <f aca="false">IF($E800="","",N(IFERROR(INDEX(单位档案!$F$6:$F$35,MATCH($E800,单位档案!$A$6:$A$35,0)),"")))</f>
        <v/>
      </c>
      <c r="S800" s="36" t="n">
        <f aca="false">IF(OR($D800&lt;&gt;"销项开票",IFERROR(INDEX(单位档案!$G$6:$G$35,MATCH($E800,单位档案!$A$6:$A$35,0)),"")&lt;&gt;"是",N($Q800)=0),0,IF(IFERROR(INDEX(单位档案!$H$6:$H$35,MATCH($E800,单位档案!$A$6:$A$35,0)),"")="税差法",ROUND(N($H800)/(1+$Q800)*$Q800-IF(N($R800)=0,0,$P800/(1+$R800)*$R800),2),ROUND(N($H800)/(1+$Q800)*$Q800,2)))</f>
        <v>0</v>
      </c>
      <c r="T800" s="36" t="n">
        <f aca="false">ROUND($S800*N(IFERROR(INDEX(单位档案!$J$6:$J$35,MATCH($E800,单位档案!$A$6:$A$35,0)),"")),2)</f>
        <v>0</v>
      </c>
      <c r="U800" s="36" t="n">
        <f aca="false">IF($D800&lt;&gt;"销项开票",0,ROUND(N($H800)*N(IFERROR(INDEX(单位档案!$K$6:$K$35,MATCH($E800,单位档案!$A$6:$A$35,0)),"")),2))</f>
        <v>0</v>
      </c>
      <c r="V800" s="36" t="n">
        <f aca="false">IF(OR($D800&lt;&gt;"销项开票",N($Q800)=0),0,ROUND(N($H800)/(1+$Q800)*N(IFERROR(INDEX(单位档案!$L$6:$L$35,MATCH($E800,单位档案!$A$6:$A$35,0)),"")),2))</f>
        <v>0</v>
      </c>
      <c r="W800" s="36" t="n">
        <f aca="false">ROUND($S800+$T800+$U800+$V800,2)</f>
        <v>0</v>
      </c>
      <c r="X800" s="35" t="str">
        <f aca="false">IF(OR($D800="挂靠代收",$D800="我方收款"),COUNTIFS($D$5:$D800,"挂靠代收")+COUNTIFS($D$5:$D800,"我方收款"),"")</f>
        <v/>
      </c>
      <c r="Y800" s="35"/>
      <c r="Z800" s="21" t="s">
        <v>111</v>
      </c>
    </row>
    <row r="801" customFormat="false" ht="15.75" hidden="false" customHeight="true" outlineLevel="0" collapsed="false">
      <c r="A801" s="32" t="str">
        <f aca="false">IF($B801="","",ROW()-4)</f>
        <v/>
      </c>
      <c r="B801" s="26"/>
      <c r="C801" s="24"/>
      <c r="D801" s="21"/>
      <c r="E801" s="21"/>
      <c r="F801" s="21"/>
      <c r="G801" s="21"/>
      <c r="H801" s="27"/>
      <c r="I801" s="23" t="str">
        <f aca="false">IF($D801&lt;&gt;"销项开票","",IF($N801="一级",IF(IFERROR(INDEX(项目档案!$E$6:$E$255,MATCH($C801,项目档案!$A$6:$A$255,0)),"")="",N(IFERROR(INDEX(单位档案!$D$6:$D$35,MATCH($E801,单位档案!$A$6:$A$35,0)),"")),IFERROR(INDEX(项目档案!$E$6:$E$255,MATCH($C801,项目档案!$A$6:$A$255,0)),"")),IF($N801="二级",IF(IFERROR(INDEX(项目档案!$G$6:$G$255,MATCH($C801,项目档案!$A$6:$A$255,0)),"")="",N(IFERROR(INDEX(单位档案!$D$6:$D$35,MATCH($E801,单位档案!$A$6:$A$35,0)),"")),IFERROR(INDEX(项目档案!$G$6:$G$255,MATCH($C801,项目档案!$A$6:$A$255,0)),"")),N(IFERROR(INDEX(单位档案!$D$6:$D$35,MATCH($E801,单位档案!$A$6:$A$35,0)),"")))))</f>
        <v/>
      </c>
      <c r="J801" s="22"/>
      <c r="K801" s="22"/>
      <c r="L801" s="33" t="str">
        <f aca="false">IF($B801="","",IF(NOT(ISNUMBER($B801)),"日期格式不对",IF($C801="","未选项目编号",IF(LEFT($M801,1)="⚠","项目编号不存在",IF($D801="","未选业务类型",IF($E801="","未选开票/付款方",IF(ISNA(MATCH($E801,单位档案!$A$6:$A$35,0)),"开票方不在单位档案",IF($F801="","未选收票/收款方",IF(ISNA(MATCH($F801,单位档案!$A$6:$A$35,0)),"收款方不在单位档案",IF(NOT(ISNUMBER($H801)),"金额须为数字",IF(AND($D801="销项开票",$N801="—"),"链条待确认","√")))))))))))</f>
        <v/>
      </c>
      <c r="M801" s="34" t="str">
        <f aca="false">IF($C801="","",IFERROR(INDEX(项目档案!$B$6:$B$255,MATCH($C801,项目档案!$A$6:$A$255,0)),"⚠项目编号不存在"))</f>
        <v/>
      </c>
      <c r="N801" s="35" t="str">
        <f aca="false">IF($E801="","",IF($E801=IFERROR(INDEX(项目档案!$D$6:$D$255,MATCH($C801,项目档案!$A$6:$A$255,0)),""),"一级",IF($E801=IFERROR(INDEX(项目档案!$F$6:$F$255,MATCH($C801,项目档案!$A$6:$A$255,0)),""),"二级",IF($E801=IFERROR(INDEX(项目档案!$H$6:$H$255,MATCH($C801,项目档案!$A$6:$A$255,0)),""),"我方","—"))))</f>
        <v/>
      </c>
      <c r="O801" s="36" t="n">
        <f aca="false">IF($D801&lt;&gt;"销项开票",0,ROUND(N($H801)*N($I801),2))</f>
        <v>0</v>
      </c>
      <c r="P801" s="36" t="n">
        <f aca="false">IF($D801&lt;&gt;"销项开票",0,ROUND(N($H801)-$O801,2))</f>
        <v>0</v>
      </c>
      <c r="Q801" s="37" t="str">
        <f aca="false">IF($E801="","",N(IFERROR(INDEX(单位档案!$E$6:$E$35,MATCH($E801,单位档案!$A$6:$A$35,0)),"")))</f>
        <v/>
      </c>
      <c r="R801" s="37" t="str">
        <f aca="false">IF($E801="","",N(IFERROR(INDEX(单位档案!$F$6:$F$35,MATCH($E801,单位档案!$A$6:$A$35,0)),"")))</f>
        <v/>
      </c>
      <c r="S801" s="36" t="n">
        <f aca="false">IF(OR($D801&lt;&gt;"销项开票",IFERROR(INDEX(单位档案!$G$6:$G$35,MATCH($E801,单位档案!$A$6:$A$35,0)),"")&lt;&gt;"是",N($Q801)=0),0,IF(IFERROR(INDEX(单位档案!$H$6:$H$35,MATCH($E801,单位档案!$A$6:$A$35,0)),"")="税差法",ROUND(N($H801)/(1+$Q801)*$Q801-IF(N($R801)=0,0,$P801/(1+$R801)*$R801),2),ROUND(N($H801)/(1+$Q801)*$Q801,2)))</f>
        <v>0</v>
      </c>
      <c r="T801" s="36" t="n">
        <f aca="false">ROUND($S801*N(IFERROR(INDEX(单位档案!$J$6:$J$35,MATCH($E801,单位档案!$A$6:$A$35,0)),"")),2)</f>
        <v>0</v>
      </c>
      <c r="U801" s="36" t="n">
        <f aca="false">IF($D801&lt;&gt;"销项开票",0,ROUND(N($H801)*N(IFERROR(INDEX(单位档案!$K$6:$K$35,MATCH($E801,单位档案!$A$6:$A$35,0)),"")),2))</f>
        <v>0</v>
      </c>
      <c r="V801" s="36" t="n">
        <f aca="false">IF(OR($D801&lt;&gt;"销项开票",N($Q801)=0),0,ROUND(N($H801)/(1+$Q801)*N(IFERROR(INDEX(单位档案!$L$6:$L$35,MATCH($E801,单位档案!$A$6:$A$35,0)),"")),2))</f>
        <v>0</v>
      </c>
      <c r="W801" s="36" t="n">
        <f aca="false">ROUND($S801+$T801+$U801+$V801,2)</f>
        <v>0</v>
      </c>
      <c r="X801" s="35" t="str">
        <f aca="false">IF(OR($D801="挂靠代收",$D801="我方收款"),COUNTIFS($D$5:$D801,"挂靠代收")+COUNTIFS($D$5:$D801,"我方收款"),"")</f>
        <v/>
      </c>
      <c r="Y801" s="35"/>
      <c r="Z801" s="21" t="s">
        <v>111</v>
      </c>
    </row>
    <row r="802" customFormat="false" ht="15.75" hidden="false" customHeight="true" outlineLevel="0" collapsed="false">
      <c r="A802" s="32" t="str">
        <f aca="false">IF($B802="","",ROW()-4)</f>
        <v/>
      </c>
      <c r="B802" s="26"/>
      <c r="C802" s="24"/>
      <c r="D802" s="21"/>
      <c r="E802" s="21"/>
      <c r="F802" s="21"/>
      <c r="G802" s="21"/>
      <c r="H802" s="27"/>
      <c r="I802" s="23" t="str">
        <f aca="false">IF($D802&lt;&gt;"销项开票","",IF($N802="一级",IF(IFERROR(INDEX(项目档案!$E$6:$E$255,MATCH($C802,项目档案!$A$6:$A$255,0)),"")="",N(IFERROR(INDEX(单位档案!$D$6:$D$35,MATCH($E802,单位档案!$A$6:$A$35,0)),"")),IFERROR(INDEX(项目档案!$E$6:$E$255,MATCH($C802,项目档案!$A$6:$A$255,0)),"")),IF($N802="二级",IF(IFERROR(INDEX(项目档案!$G$6:$G$255,MATCH($C802,项目档案!$A$6:$A$255,0)),"")="",N(IFERROR(INDEX(单位档案!$D$6:$D$35,MATCH($E802,单位档案!$A$6:$A$35,0)),"")),IFERROR(INDEX(项目档案!$G$6:$G$255,MATCH($C802,项目档案!$A$6:$A$255,0)),"")),N(IFERROR(INDEX(单位档案!$D$6:$D$35,MATCH($E802,单位档案!$A$6:$A$35,0)),"")))))</f>
        <v/>
      </c>
      <c r="J802" s="22"/>
      <c r="K802" s="22"/>
      <c r="L802" s="33" t="str">
        <f aca="false">IF($B802="","",IF(NOT(ISNUMBER($B802)),"日期格式不对",IF($C802="","未选项目编号",IF(LEFT($M802,1)="⚠","项目编号不存在",IF($D802="","未选业务类型",IF($E802="","未选开票/付款方",IF(ISNA(MATCH($E802,单位档案!$A$6:$A$35,0)),"开票方不在单位档案",IF($F802="","未选收票/收款方",IF(ISNA(MATCH($F802,单位档案!$A$6:$A$35,0)),"收款方不在单位档案",IF(NOT(ISNUMBER($H802)),"金额须为数字",IF(AND($D802="销项开票",$N802="—"),"链条待确认","√")))))))))))</f>
        <v/>
      </c>
      <c r="M802" s="34" t="str">
        <f aca="false">IF($C802="","",IFERROR(INDEX(项目档案!$B$6:$B$255,MATCH($C802,项目档案!$A$6:$A$255,0)),"⚠项目编号不存在"))</f>
        <v/>
      </c>
      <c r="N802" s="35" t="str">
        <f aca="false">IF($E802="","",IF($E802=IFERROR(INDEX(项目档案!$D$6:$D$255,MATCH($C802,项目档案!$A$6:$A$255,0)),""),"一级",IF($E802=IFERROR(INDEX(项目档案!$F$6:$F$255,MATCH($C802,项目档案!$A$6:$A$255,0)),""),"二级",IF($E802=IFERROR(INDEX(项目档案!$H$6:$H$255,MATCH($C802,项目档案!$A$6:$A$255,0)),""),"我方","—"))))</f>
        <v/>
      </c>
      <c r="O802" s="36" t="n">
        <f aca="false">IF($D802&lt;&gt;"销项开票",0,ROUND(N($H802)*N($I802),2))</f>
        <v>0</v>
      </c>
      <c r="P802" s="36" t="n">
        <f aca="false">IF($D802&lt;&gt;"销项开票",0,ROUND(N($H802)-$O802,2))</f>
        <v>0</v>
      </c>
      <c r="Q802" s="37" t="str">
        <f aca="false">IF($E802="","",N(IFERROR(INDEX(单位档案!$E$6:$E$35,MATCH($E802,单位档案!$A$6:$A$35,0)),"")))</f>
        <v/>
      </c>
      <c r="R802" s="37" t="str">
        <f aca="false">IF($E802="","",N(IFERROR(INDEX(单位档案!$F$6:$F$35,MATCH($E802,单位档案!$A$6:$A$35,0)),"")))</f>
        <v/>
      </c>
      <c r="S802" s="36" t="n">
        <f aca="false">IF(OR($D802&lt;&gt;"销项开票",IFERROR(INDEX(单位档案!$G$6:$G$35,MATCH($E802,单位档案!$A$6:$A$35,0)),"")&lt;&gt;"是",N($Q802)=0),0,IF(IFERROR(INDEX(单位档案!$H$6:$H$35,MATCH($E802,单位档案!$A$6:$A$35,0)),"")="税差法",ROUND(N($H802)/(1+$Q802)*$Q802-IF(N($R802)=0,0,$P802/(1+$R802)*$R802),2),ROUND(N($H802)/(1+$Q802)*$Q802,2)))</f>
        <v>0</v>
      </c>
      <c r="T802" s="36" t="n">
        <f aca="false">ROUND($S802*N(IFERROR(INDEX(单位档案!$J$6:$J$35,MATCH($E802,单位档案!$A$6:$A$35,0)),"")),2)</f>
        <v>0</v>
      </c>
      <c r="U802" s="36" t="n">
        <f aca="false">IF($D802&lt;&gt;"销项开票",0,ROUND(N($H802)*N(IFERROR(INDEX(单位档案!$K$6:$K$35,MATCH($E802,单位档案!$A$6:$A$35,0)),"")),2))</f>
        <v>0</v>
      </c>
      <c r="V802" s="36" t="n">
        <f aca="false">IF(OR($D802&lt;&gt;"销项开票",N($Q802)=0),0,ROUND(N($H802)/(1+$Q802)*N(IFERROR(INDEX(单位档案!$L$6:$L$35,MATCH($E802,单位档案!$A$6:$A$35,0)),"")),2))</f>
        <v>0</v>
      </c>
      <c r="W802" s="36" t="n">
        <f aca="false">ROUND($S802+$T802+$U802+$V802,2)</f>
        <v>0</v>
      </c>
      <c r="X802" s="35" t="str">
        <f aca="false">IF(OR($D802="挂靠代收",$D802="我方收款"),COUNTIFS($D$5:$D802,"挂靠代收")+COUNTIFS($D$5:$D802,"我方收款"),"")</f>
        <v/>
      </c>
      <c r="Y802" s="35"/>
      <c r="Z802" s="21" t="s">
        <v>111</v>
      </c>
    </row>
    <row r="803" customFormat="false" ht="15.75" hidden="false" customHeight="true" outlineLevel="0" collapsed="false">
      <c r="A803" s="32" t="str">
        <f aca="false">IF($B803="","",ROW()-4)</f>
        <v/>
      </c>
      <c r="B803" s="26"/>
      <c r="C803" s="24"/>
      <c r="D803" s="21"/>
      <c r="E803" s="21"/>
      <c r="F803" s="21"/>
      <c r="G803" s="21"/>
      <c r="H803" s="27"/>
      <c r="I803" s="23" t="str">
        <f aca="false">IF($D803&lt;&gt;"销项开票","",IF($N803="一级",IF(IFERROR(INDEX(项目档案!$E$6:$E$255,MATCH($C803,项目档案!$A$6:$A$255,0)),"")="",N(IFERROR(INDEX(单位档案!$D$6:$D$35,MATCH($E803,单位档案!$A$6:$A$35,0)),"")),IFERROR(INDEX(项目档案!$E$6:$E$255,MATCH($C803,项目档案!$A$6:$A$255,0)),"")),IF($N803="二级",IF(IFERROR(INDEX(项目档案!$G$6:$G$255,MATCH($C803,项目档案!$A$6:$A$255,0)),"")="",N(IFERROR(INDEX(单位档案!$D$6:$D$35,MATCH($E803,单位档案!$A$6:$A$35,0)),"")),IFERROR(INDEX(项目档案!$G$6:$G$255,MATCH($C803,项目档案!$A$6:$A$255,0)),"")),N(IFERROR(INDEX(单位档案!$D$6:$D$35,MATCH($E803,单位档案!$A$6:$A$35,0)),"")))))</f>
        <v/>
      </c>
      <c r="J803" s="22"/>
      <c r="K803" s="22"/>
      <c r="L803" s="33" t="str">
        <f aca="false">IF($B803="","",IF(NOT(ISNUMBER($B803)),"日期格式不对",IF($C803="","未选项目编号",IF(LEFT($M803,1)="⚠","项目编号不存在",IF($D803="","未选业务类型",IF($E803="","未选开票/付款方",IF(ISNA(MATCH($E803,单位档案!$A$6:$A$35,0)),"开票方不在单位档案",IF($F803="","未选收票/收款方",IF(ISNA(MATCH($F803,单位档案!$A$6:$A$35,0)),"收款方不在单位档案",IF(NOT(ISNUMBER($H803)),"金额须为数字",IF(AND($D803="销项开票",$N803="—"),"链条待确认","√")))))))))))</f>
        <v/>
      </c>
      <c r="M803" s="34" t="str">
        <f aca="false">IF($C803="","",IFERROR(INDEX(项目档案!$B$6:$B$255,MATCH($C803,项目档案!$A$6:$A$255,0)),"⚠项目编号不存在"))</f>
        <v/>
      </c>
      <c r="N803" s="35" t="str">
        <f aca="false">IF($E803="","",IF($E803=IFERROR(INDEX(项目档案!$D$6:$D$255,MATCH($C803,项目档案!$A$6:$A$255,0)),""),"一级",IF($E803=IFERROR(INDEX(项目档案!$F$6:$F$255,MATCH($C803,项目档案!$A$6:$A$255,0)),""),"二级",IF($E803=IFERROR(INDEX(项目档案!$H$6:$H$255,MATCH($C803,项目档案!$A$6:$A$255,0)),""),"我方","—"))))</f>
        <v/>
      </c>
      <c r="O803" s="36" t="n">
        <f aca="false">IF($D803&lt;&gt;"销项开票",0,ROUND(N($H803)*N($I803),2))</f>
        <v>0</v>
      </c>
      <c r="P803" s="36" t="n">
        <f aca="false">IF($D803&lt;&gt;"销项开票",0,ROUND(N($H803)-$O803,2))</f>
        <v>0</v>
      </c>
      <c r="Q803" s="37" t="str">
        <f aca="false">IF($E803="","",N(IFERROR(INDEX(单位档案!$E$6:$E$35,MATCH($E803,单位档案!$A$6:$A$35,0)),"")))</f>
        <v/>
      </c>
      <c r="R803" s="37" t="str">
        <f aca="false">IF($E803="","",N(IFERROR(INDEX(单位档案!$F$6:$F$35,MATCH($E803,单位档案!$A$6:$A$35,0)),"")))</f>
        <v/>
      </c>
      <c r="S803" s="36" t="n">
        <f aca="false">IF(OR($D803&lt;&gt;"销项开票",IFERROR(INDEX(单位档案!$G$6:$G$35,MATCH($E803,单位档案!$A$6:$A$35,0)),"")&lt;&gt;"是",N($Q803)=0),0,IF(IFERROR(INDEX(单位档案!$H$6:$H$35,MATCH($E803,单位档案!$A$6:$A$35,0)),"")="税差法",ROUND(N($H803)/(1+$Q803)*$Q803-IF(N($R803)=0,0,$P803/(1+$R803)*$R803),2),ROUND(N($H803)/(1+$Q803)*$Q803,2)))</f>
        <v>0</v>
      </c>
      <c r="T803" s="36" t="n">
        <f aca="false">ROUND($S803*N(IFERROR(INDEX(单位档案!$J$6:$J$35,MATCH($E803,单位档案!$A$6:$A$35,0)),"")),2)</f>
        <v>0</v>
      </c>
      <c r="U803" s="36" t="n">
        <f aca="false">IF($D803&lt;&gt;"销项开票",0,ROUND(N($H803)*N(IFERROR(INDEX(单位档案!$K$6:$K$35,MATCH($E803,单位档案!$A$6:$A$35,0)),"")),2))</f>
        <v>0</v>
      </c>
      <c r="V803" s="36" t="n">
        <f aca="false">IF(OR($D803&lt;&gt;"销项开票",N($Q803)=0),0,ROUND(N($H803)/(1+$Q803)*N(IFERROR(INDEX(单位档案!$L$6:$L$35,MATCH($E803,单位档案!$A$6:$A$35,0)),"")),2))</f>
        <v>0</v>
      </c>
      <c r="W803" s="36" t="n">
        <f aca="false">ROUND($S803+$T803+$U803+$V803,2)</f>
        <v>0</v>
      </c>
      <c r="X803" s="35" t="str">
        <f aca="false">IF(OR($D803="挂靠代收",$D803="我方收款"),COUNTIFS($D$5:$D803,"挂靠代收")+COUNTIFS($D$5:$D803,"我方收款"),"")</f>
        <v/>
      </c>
      <c r="Y803" s="35"/>
      <c r="Z803" s="21" t="s">
        <v>111</v>
      </c>
    </row>
    <row r="804" customFormat="false" ht="15.75" hidden="false" customHeight="true" outlineLevel="0" collapsed="false">
      <c r="A804" s="32" t="str">
        <f aca="false">IF($B804="","",ROW()-4)</f>
        <v/>
      </c>
      <c r="B804" s="26"/>
      <c r="C804" s="24"/>
      <c r="D804" s="21"/>
      <c r="E804" s="21"/>
      <c r="F804" s="21"/>
      <c r="G804" s="21"/>
      <c r="H804" s="27"/>
      <c r="I804" s="23" t="str">
        <f aca="false">IF($D804&lt;&gt;"销项开票","",IF($N804="一级",IF(IFERROR(INDEX(项目档案!$E$6:$E$255,MATCH($C804,项目档案!$A$6:$A$255,0)),"")="",N(IFERROR(INDEX(单位档案!$D$6:$D$35,MATCH($E804,单位档案!$A$6:$A$35,0)),"")),IFERROR(INDEX(项目档案!$E$6:$E$255,MATCH($C804,项目档案!$A$6:$A$255,0)),"")),IF($N804="二级",IF(IFERROR(INDEX(项目档案!$G$6:$G$255,MATCH($C804,项目档案!$A$6:$A$255,0)),"")="",N(IFERROR(INDEX(单位档案!$D$6:$D$35,MATCH($E804,单位档案!$A$6:$A$35,0)),"")),IFERROR(INDEX(项目档案!$G$6:$G$255,MATCH($C804,项目档案!$A$6:$A$255,0)),"")),N(IFERROR(INDEX(单位档案!$D$6:$D$35,MATCH($E804,单位档案!$A$6:$A$35,0)),"")))))</f>
        <v/>
      </c>
      <c r="J804" s="22"/>
      <c r="K804" s="22"/>
      <c r="L804" s="33" t="str">
        <f aca="false">IF($B804="","",IF(NOT(ISNUMBER($B804)),"日期格式不对",IF($C804="","未选项目编号",IF(LEFT($M804,1)="⚠","项目编号不存在",IF($D804="","未选业务类型",IF($E804="","未选开票/付款方",IF(ISNA(MATCH($E804,单位档案!$A$6:$A$35,0)),"开票方不在单位档案",IF($F804="","未选收票/收款方",IF(ISNA(MATCH($F804,单位档案!$A$6:$A$35,0)),"收款方不在单位档案",IF(NOT(ISNUMBER($H804)),"金额须为数字",IF(AND($D804="销项开票",$N804="—"),"链条待确认","√")))))))))))</f>
        <v/>
      </c>
      <c r="M804" s="34" t="str">
        <f aca="false">IF($C804="","",IFERROR(INDEX(项目档案!$B$6:$B$255,MATCH($C804,项目档案!$A$6:$A$255,0)),"⚠项目编号不存在"))</f>
        <v/>
      </c>
      <c r="N804" s="35" t="str">
        <f aca="false">IF($E804="","",IF($E804=IFERROR(INDEX(项目档案!$D$6:$D$255,MATCH($C804,项目档案!$A$6:$A$255,0)),""),"一级",IF($E804=IFERROR(INDEX(项目档案!$F$6:$F$255,MATCH($C804,项目档案!$A$6:$A$255,0)),""),"二级",IF($E804=IFERROR(INDEX(项目档案!$H$6:$H$255,MATCH($C804,项目档案!$A$6:$A$255,0)),""),"我方","—"))))</f>
        <v/>
      </c>
      <c r="O804" s="36" t="n">
        <f aca="false">IF($D804&lt;&gt;"销项开票",0,ROUND(N($H804)*N($I804),2))</f>
        <v>0</v>
      </c>
      <c r="P804" s="36" t="n">
        <f aca="false">IF($D804&lt;&gt;"销项开票",0,ROUND(N($H804)-$O804,2))</f>
        <v>0</v>
      </c>
      <c r="Q804" s="37" t="str">
        <f aca="false">IF($E804="","",N(IFERROR(INDEX(单位档案!$E$6:$E$35,MATCH($E804,单位档案!$A$6:$A$35,0)),"")))</f>
        <v/>
      </c>
      <c r="R804" s="37" t="str">
        <f aca="false">IF($E804="","",N(IFERROR(INDEX(单位档案!$F$6:$F$35,MATCH($E804,单位档案!$A$6:$A$35,0)),"")))</f>
        <v/>
      </c>
      <c r="S804" s="36" t="n">
        <f aca="false">IF(OR($D804&lt;&gt;"销项开票",IFERROR(INDEX(单位档案!$G$6:$G$35,MATCH($E804,单位档案!$A$6:$A$35,0)),"")&lt;&gt;"是",N($Q804)=0),0,IF(IFERROR(INDEX(单位档案!$H$6:$H$35,MATCH($E804,单位档案!$A$6:$A$35,0)),"")="税差法",ROUND(N($H804)/(1+$Q804)*$Q804-IF(N($R804)=0,0,$P804/(1+$R804)*$R804),2),ROUND(N($H804)/(1+$Q804)*$Q804,2)))</f>
        <v>0</v>
      </c>
      <c r="T804" s="36" t="n">
        <f aca="false">ROUND($S804*N(IFERROR(INDEX(单位档案!$J$6:$J$35,MATCH($E804,单位档案!$A$6:$A$35,0)),"")),2)</f>
        <v>0</v>
      </c>
      <c r="U804" s="36" t="n">
        <f aca="false">IF($D804&lt;&gt;"销项开票",0,ROUND(N($H804)*N(IFERROR(INDEX(单位档案!$K$6:$K$35,MATCH($E804,单位档案!$A$6:$A$35,0)),"")),2))</f>
        <v>0</v>
      </c>
      <c r="V804" s="36" t="n">
        <f aca="false">IF(OR($D804&lt;&gt;"销项开票",N($Q804)=0),0,ROUND(N($H804)/(1+$Q804)*N(IFERROR(INDEX(单位档案!$L$6:$L$35,MATCH($E804,单位档案!$A$6:$A$35,0)),"")),2))</f>
        <v>0</v>
      </c>
      <c r="W804" s="36" t="n">
        <f aca="false">ROUND($S804+$T804+$U804+$V804,2)</f>
        <v>0</v>
      </c>
      <c r="X804" s="35" t="str">
        <f aca="false">IF(OR($D804="挂靠代收",$D804="我方收款"),COUNTIFS($D$5:$D804,"挂靠代收")+COUNTIFS($D$5:$D804,"我方收款"),"")</f>
        <v/>
      </c>
      <c r="Y804" s="35"/>
      <c r="Z804" s="21" t="s">
        <v>111</v>
      </c>
    </row>
    <row r="805" customFormat="false" ht="15.75" hidden="false" customHeight="true" outlineLevel="0" collapsed="false">
      <c r="A805" s="32" t="str">
        <f aca="false">IF($B805="","",ROW()-4)</f>
        <v/>
      </c>
      <c r="B805" s="26"/>
      <c r="C805" s="24"/>
      <c r="D805" s="21"/>
      <c r="E805" s="21"/>
      <c r="F805" s="21"/>
      <c r="G805" s="21"/>
      <c r="H805" s="27"/>
      <c r="I805" s="23" t="str">
        <f aca="false">IF($D805&lt;&gt;"销项开票","",IF($N805="一级",IF(IFERROR(INDEX(项目档案!$E$6:$E$255,MATCH($C805,项目档案!$A$6:$A$255,0)),"")="",N(IFERROR(INDEX(单位档案!$D$6:$D$35,MATCH($E805,单位档案!$A$6:$A$35,0)),"")),IFERROR(INDEX(项目档案!$E$6:$E$255,MATCH($C805,项目档案!$A$6:$A$255,0)),"")),IF($N805="二级",IF(IFERROR(INDEX(项目档案!$G$6:$G$255,MATCH($C805,项目档案!$A$6:$A$255,0)),"")="",N(IFERROR(INDEX(单位档案!$D$6:$D$35,MATCH($E805,单位档案!$A$6:$A$35,0)),"")),IFERROR(INDEX(项目档案!$G$6:$G$255,MATCH($C805,项目档案!$A$6:$A$255,0)),"")),N(IFERROR(INDEX(单位档案!$D$6:$D$35,MATCH($E805,单位档案!$A$6:$A$35,0)),"")))))</f>
        <v/>
      </c>
      <c r="J805" s="22"/>
      <c r="K805" s="22"/>
      <c r="L805" s="33" t="str">
        <f aca="false">IF($B805="","",IF(NOT(ISNUMBER($B805)),"日期格式不对",IF($C805="","未选项目编号",IF(LEFT($M805,1)="⚠","项目编号不存在",IF($D805="","未选业务类型",IF($E805="","未选开票/付款方",IF(ISNA(MATCH($E805,单位档案!$A$6:$A$35,0)),"开票方不在单位档案",IF($F805="","未选收票/收款方",IF(ISNA(MATCH($F805,单位档案!$A$6:$A$35,0)),"收款方不在单位档案",IF(NOT(ISNUMBER($H805)),"金额须为数字",IF(AND($D805="销项开票",$N805="—"),"链条待确认","√")))))))))))</f>
        <v/>
      </c>
      <c r="M805" s="34" t="str">
        <f aca="false">IF($C805="","",IFERROR(INDEX(项目档案!$B$6:$B$255,MATCH($C805,项目档案!$A$6:$A$255,0)),"⚠项目编号不存在"))</f>
        <v/>
      </c>
      <c r="N805" s="35" t="str">
        <f aca="false">IF($E805="","",IF($E805=IFERROR(INDEX(项目档案!$D$6:$D$255,MATCH($C805,项目档案!$A$6:$A$255,0)),""),"一级",IF($E805=IFERROR(INDEX(项目档案!$F$6:$F$255,MATCH($C805,项目档案!$A$6:$A$255,0)),""),"二级",IF($E805=IFERROR(INDEX(项目档案!$H$6:$H$255,MATCH($C805,项目档案!$A$6:$A$255,0)),""),"我方","—"))))</f>
        <v/>
      </c>
      <c r="O805" s="36" t="n">
        <f aca="false">IF($D805&lt;&gt;"销项开票",0,ROUND(N($H805)*N($I805),2))</f>
        <v>0</v>
      </c>
      <c r="P805" s="36" t="n">
        <f aca="false">IF($D805&lt;&gt;"销项开票",0,ROUND(N($H805)-$O805,2))</f>
        <v>0</v>
      </c>
      <c r="Q805" s="37" t="str">
        <f aca="false">IF($E805="","",N(IFERROR(INDEX(单位档案!$E$6:$E$35,MATCH($E805,单位档案!$A$6:$A$35,0)),"")))</f>
        <v/>
      </c>
      <c r="R805" s="37" t="str">
        <f aca="false">IF($E805="","",N(IFERROR(INDEX(单位档案!$F$6:$F$35,MATCH($E805,单位档案!$A$6:$A$35,0)),"")))</f>
        <v/>
      </c>
      <c r="S805" s="36" t="n">
        <f aca="false">IF(OR($D805&lt;&gt;"销项开票",IFERROR(INDEX(单位档案!$G$6:$G$35,MATCH($E805,单位档案!$A$6:$A$35,0)),"")&lt;&gt;"是",N($Q805)=0),0,IF(IFERROR(INDEX(单位档案!$H$6:$H$35,MATCH($E805,单位档案!$A$6:$A$35,0)),"")="税差法",ROUND(N($H805)/(1+$Q805)*$Q805-IF(N($R805)=0,0,$P805/(1+$R805)*$R805),2),ROUND(N($H805)/(1+$Q805)*$Q805,2)))</f>
        <v>0</v>
      </c>
      <c r="T805" s="36" t="n">
        <f aca="false">ROUND($S805*N(IFERROR(INDEX(单位档案!$J$6:$J$35,MATCH($E805,单位档案!$A$6:$A$35,0)),"")),2)</f>
        <v>0</v>
      </c>
      <c r="U805" s="36" t="n">
        <f aca="false">IF($D805&lt;&gt;"销项开票",0,ROUND(N($H805)*N(IFERROR(INDEX(单位档案!$K$6:$K$35,MATCH($E805,单位档案!$A$6:$A$35,0)),"")),2))</f>
        <v>0</v>
      </c>
      <c r="V805" s="36" t="n">
        <f aca="false">IF(OR($D805&lt;&gt;"销项开票",N($Q805)=0),0,ROUND(N($H805)/(1+$Q805)*N(IFERROR(INDEX(单位档案!$L$6:$L$35,MATCH($E805,单位档案!$A$6:$A$35,0)),"")),2))</f>
        <v>0</v>
      </c>
      <c r="W805" s="36" t="n">
        <f aca="false">ROUND($S805+$T805+$U805+$V805,2)</f>
        <v>0</v>
      </c>
      <c r="X805" s="35" t="str">
        <f aca="false">IF(OR($D805="挂靠代收",$D805="我方收款"),COUNTIFS($D$5:$D805,"挂靠代收")+COUNTIFS($D$5:$D805,"我方收款"),"")</f>
        <v/>
      </c>
      <c r="Y805" s="35"/>
      <c r="Z805" s="21" t="s">
        <v>111</v>
      </c>
    </row>
    <row r="806" customFormat="false" ht="15.75" hidden="false" customHeight="true" outlineLevel="0" collapsed="false">
      <c r="A806" s="32" t="str">
        <f aca="false">IF($B806="","",ROW()-4)</f>
        <v/>
      </c>
      <c r="B806" s="26"/>
      <c r="C806" s="24"/>
      <c r="D806" s="21"/>
      <c r="E806" s="21"/>
      <c r="F806" s="21"/>
      <c r="G806" s="21"/>
      <c r="H806" s="27"/>
      <c r="I806" s="23" t="str">
        <f aca="false">IF($D806&lt;&gt;"销项开票","",IF($N806="一级",IF(IFERROR(INDEX(项目档案!$E$6:$E$255,MATCH($C806,项目档案!$A$6:$A$255,0)),"")="",N(IFERROR(INDEX(单位档案!$D$6:$D$35,MATCH($E806,单位档案!$A$6:$A$35,0)),"")),IFERROR(INDEX(项目档案!$E$6:$E$255,MATCH($C806,项目档案!$A$6:$A$255,0)),"")),IF($N806="二级",IF(IFERROR(INDEX(项目档案!$G$6:$G$255,MATCH($C806,项目档案!$A$6:$A$255,0)),"")="",N(IFERROR(INDEX(单位档案!$D$6:$D$35,MATCH($E806,单位档案!$A$6:$A$35,0)),"")),IFERROR(INDEX(项目档案!$G$6:$G$255,MATCH($C806,项目档案!$A$6:$A$255,0)),"")),N(IFERROR(INDEX(单位档案!$D$6:$D$35,MATCH($E806,单位档案!$A$6:$A$35,0)),"")))))</f>
        <v/>
      </c>
      <c r="J806" s="22"/>
      <c r="K806" s="22"/>
      <c r="L806" s="33" t="str">
        <f aca="false">IF($B806="","",IF(NOT(ISNUMBER($B806)),"日期格式不对",IF($C806="","未选项目编号",IF(LEFT($M806,1)="⚠","项目编号不存在",IF($D806="","未选业务类型",IF($E806="","未选开票/付款方",IF(ISNA(MATCH($E806,单位档案!$A$6:$A$35,0)),"开票方不在单位档案",IF($F806="","未选收票/收款方",IF(ISNA(MATCH($F806,单位档案!$A$6:$A$35,0)),"收款方不在单位档案",IF(NOT(ISNUMBER($H806)),"金额须为数字",IF(AND($D806="销项开票",$N806="—"),"链条待确认","√")))))))))))</f>
        <v/>
      </c>
      <c r="M806" s="34" t="str">
        <f aca="false">IF($C806="","",IFERROR(INDEX(项目档案!$B$6:$B$255,MATCH($C806,项目档案!$A$6:$A$255,0)),"⚠项目编号不存在"))</f>
        <v/>
      </c>
      <c r="N806" s="35" t="str">
        <f aca="false">IF($E806="","",IF($E806=IFERROR(INDEX(项目档案!$D$6:$D$255,MATCH($C806,项目档案!$A$6:$A$255,0)),""),"一级",IF($E806=IFERROR(INDEX(项目档案!$F$6:$F$255,MATCH($C806,项目档案!$A$6:$A$255,0)),""),"二级",IF($E806=IFERROR(INDEX(项目档案!$H$6:$H$255,MATCH($C806,项目档案!$A$6:$A$255,0)),""),"我方","—"))))</f>
        <v/>
      </c>
      <c r="O806" s="36" t="n">
        <f aca="false">IF($D806&lt;&gt;"销项开票",0,ROUND(N($H806)*N($I806),2))</f>
        <v>0</v>
      </c>
      <c r="P806" s="36" t="n">
        <f aca="false">IF($D806&lt;&gt;"销项开票",0,ROUND(N($H806)-$O806,2))</f>
        <v>0</v>
      </c>
      <c r="Q806" s="37" t="str">
        <f aca="false">IF($E806="","",N(IFERROR(INDEX(单位档案!$E$6:$E$35,MATCH($E806,单位档案!$A$6:$A$35,0)),"")))</f>
        <v/>
      </c>
      <c r="R806" s="37" t="str">
        <f aca="false">IF($E806="","",N(IFERROR(INDEX(单位档案!$F$6:$F$35,MATCH($E806,单位档案!$A$6:$A$35,0)),"")))</f>
        <v/>
      </c>
      <c r="S806" s="36" t="n">
        <f aca="false">IF(OR($D806&lt;&gt;"销项开票",IFERROR(INDEX(单位档案!$G$6:$G$35,MATCH($E806,单位档案!$A$6:$A$35,0)),"")&lt;&gt;"是",N($Q806)=0),0,IF(IFERROR(INDEX(单位档案!$H$6:$H$35,MATCH($E806,单位档案!$A$6:$A$35,0)),"")="税差法",ROUND(N($H806)/(1+$Q806)*$Q806-IF(N($R806)=0,0,$P806/(1+$R806)*$R806),2),ROUND(N($H806)/(1+$Q806)*$Q806,2)))</f>
        <v>0</v>
      </c>
      <c r="T806" s="36" t="n">
        <f aca="false">ROUND($S806*N(IFERROR(INDEX(单位档案!$J$6:$J$35,MATCH($E806,单位档案!$A$6:$A$35,0)),"")),2)</f>
        <v>0</v>
      </c>
      <c r="U806" s="36" t="n">
        <f aca="false">IF($D806&lt;&gt;"销项开票",0,ROUND(N($H806)*N(IFERROR(INDEX(单位档案!$K$6:$K$35,MATCH($E806,单位档案!$A$6:$A$35,0)),"")),2))</f>
        <v>0</v>
      </c>
      <c r="V806" s="36" t="n">
        <f aca="false">IF(OR($D806&lt;&gt;"销项开票",N($Q806)=0),0,ROUND(N($H806)/(1+$Q806)*N(IFERROR(INDEX(单位档案!$L$6:$L$35,MATCH($E806,单位档案!$A$6:$A$35,0)),"")),2))</f>
        <v>0</v>
      </c>
      <c r="W806" s="36" t="n">
        <f aca="false">ROUND($S806+$T806+$U806+$V806,2)</f>
        <v>0</v>
      </c>
      <c r="X806" s="35" t="str">
        <f aca="false">IF(OR($D806="挂靠代收",$D806="我方收款"),COUNTIFS($D$5:$D806,"挂靠代收")+COUNTIFS($D$5:$D806,"我方收款"),"")</f>
        <v/>
      </c>
      <c r="Y806" s="35"/>
      <c r="Z806" s="21" t="s">
        <v>111</v>
      </c>
    </row>
    <row r="807" customFormat="false" ht="15.75" hidden="false" customHeight="true" outlineLevel="0" collapsed="false">
      <c r="A807" s="32" t="str">
        <f aca="false">IF($B807="","",ROW()-4)</f>
        <v/>
      </c>
      <c r="B807" s="26"/>
      <c r="C807" s="24"/>
      <c r="D807" s="21"/>
      <c r="E807" s="21"/>
      <c r="F807" s="21"/>
      <c r="G807" s="21"/>
      <c r="H807" s="27"/>
      <c r="I807" s="23" t="str">
        <f aca="false">IF($D807&lt;&gt;"销项开票","",IF($N807="一级",IF(IFERROR(INDEX(项目档案!$E$6:$E$255,MATCH($C807,项目档案!$A$6:$A$255,0)),"")="",N(IFERROR(INDEX(单位档案!$D$6:$D$35,MATCH($E807,单位档案!$A$6:$A$35,0)),"")),IFERROR(INDEX(项目档案!$E$6:$E$255,MATCH($C807,项目档案!$A$6:$A$255,0)),"")),IF($N807="二级",IF(IFERROR(INDEX(项目档案!$G$6:$G$255,MATCH($C807,项目档案!$A$6:$A$255,0)),"")="",N(IFERROR(INDEX(单位档案!$D$6:$D$35,MATCH($E807,单位档案!$A$6:$A$35,0)),"")),IFERROR(INDEX(项目档案!$G$6:$G$255,MATCH($C807,项目档案!$A$6:$A$255,0)),"")),N(IFERROR(INDEX(单位档案!$D$6:$D$35,MATCH($E807,单位档案!$A$6:$A$35,0)),"")))))</f>
        <v/>
      </c>
      <c r="J807" s="22"/>
      <c r="K807" s="22"/>
      <c r="L807" s="33" t="str">
        <f aca="false">IF($B807="","",IF(NOT(ISNUMBER($B807)),"日期格式不对",IF($C807="","未选项目编号",IF(LEFT($M807,1)="⚠","项目编号不存在",IF($D807="","未选业务类型",IF($E807="","未选开票/付款方",IF(ISNA(MATCH($E807,单位档案!$A$6:$A$35,0)),"开票方不在单位档案",IF($F807="","未选收票/收款方",IF(ISNA(MATCH($F807,单位档案!$A$6:$A$35,0)),"收款方不在单位档案",IF(NOT(ISNUMBER($H807)),"金额须为数字",IF(AND($D807="销项开票",$N807="—"),"链条待确认","√")))))))))))</f>
        <v/>
      </c>
      <c r="M807" s="34" t="str">
        <f aca="false">IF($C807="","",IFERROR(INDEX(项目档案!$B$6:$B$255,MATCH($C807,项目档案!$A$6:$A$255,0)),"⚠项目编号不存在"))</f>
        <v/>
      </c>
      <c r="N807" s="35" t="str">
        <f aca="false">IF($E807="","",IF($E807=IFERROR(INDEX(项目档案!$D$6:$D$255,MATCH($C807,项目档案!$A$6:$A$255,0)),""),"一级",IF($E807=IFERROR(INDEX(项目档案!$F$6:$F$255,MATCH($C807,项目档案!$A$6:$A$255,0)),""),"二级",IF($E807=IFERROR(INDEX(项目档案!$H$6:$H$255,MATCH($C807,项目档案!$A$6:$A$255,0)),""),"我方","—"))))</f>
        <v/>
      </c>
      <c r="O807" s="36" t="n">
        <f aca="false">IF($D807&lt;&gt;"销项开票",0,ROUND(N($H807)*N($I807),2))</f>
        <v>0</v>
      </c>
      <c r="P807" s="36" t="n">
        <f aca="false">IF($D807&lt;&gt;"销项开票",0,ROUND(N($H807)-$O807,2))</f>
        <v>0</v>
      </c>
      <c r="Q807" s="37" t="str">
        <f aca="false">IF($E807="","",N(IFERROR(INDEX(单位档案!$E$6:$E$35,MATCH($E807,单位档案!$A$6:$A$35,0)),"")))</f>
        <v/>
      </c>
      <c r="R807" s="37" t="str">
        <f aca="false">IF($E807="","",N(IFERROR(INDEX(单位档案!$F$6:$F$35,MATCH($E807,单位档案!$A$6:$A$35,0)),"")))</f>
        <v/>
      </c>
      <c r="S807" s="36" t="n">
        <f aca="false">IF(OR($D807&lt;&gt;"销项开票",IFERROR(INDEX(单位档案!$G$6:$G$35,MATCH($E807,单位档案!$A$6:$A$35,0)),"")&lt;&gt;"是",N($Q807)=0),0,IF(IFERROR(INDEX(单位档案!$H$6:$H$35,MATCH($E807,单位档案!$A$6:$A$35,0)),"")="税差法",ROUND(N($H807)/(1+$Q807)*$Q807-IF(N($R807)=0,0,$P807/(1+$R807)*$R807),2),ROUND(N($H807)/(1+$Q807)*$Q807,2)))</f>
        <v>0</v>
      </c>
      <c r="T807" s="36" t="n">
        <f aca="false">ROUND($S807*N(IFERROR(INDEX(单位档案!$J$6:$J$35,MATCH($E807,单位档案!$A$6:$A$35,0)),"")),2)</f>
        <v>0</v>
      </c>
      <c r="U807" s="36" t="n">
        <f aca="false">IF($D807&lt;&gt;"销项开票",0,ROUND(N($H807)*N(IFERROR(INDEX(单位档案!$K$6:$K$35,MATCH($E807,单位档案!$A$6:$A$35,0)),"")),2))</f>
        <v>0</v>
      </c>
      <c r="V807" s="36" t="n">
        <f aca="false">IF(OR($D807&lt;&gt;"销项开票",N($Q807)=0),0,ROUND(N($H807)/(1+$Q807)*N(IFERROR(INDEX(单位档案!$L$6:$L$35,MATCH($E807,单位档案!$A$6:$A$35,0)),"")),2))</f>
        <v>0</v>
      </c>
      <c r="W807" s="36" t="n">
        <f aca="false">ROUND($S807+$T807+$U807+$V807,2)</f>
        <v>0</v>
      </c>
      <c r="X807" s="35" t="str">
        <f aca="false">IF(OR($D807="挂靠代收",$D807="我方收款"),COUNTIFS($D$5:$D807,"挂靠代收")+COUNTIFS($D$5:$D807,"我方收款"),"")</f>
        <v/>
      </c>
      <c r="Y807" s="35"/>
      <c r="Z807" s="21" t="s">
        <v>111</v>
      </c>
    </row>
    <row r="808" customFormat="false" ht="15.75" hidden="false" customHeight="true" outlineLevel="0" collapsed="false">
      <c r="A808" s="32" t="str">
        <f aca="false">IF($B808="","",ROW()-4)</f>
        <v/>
      </c>
      <c r="B808" s="26"/>
      <c r="C808" s="24"/>
      <c r="D808" s="21"/>
      <c r="E808" s="21"/>
      <c r="F808" s="21"/>
      <c r="G808" s="21"/>
      <c r="H808" s="27"/>
      <c r="I808" s="23" t="str">
        <f aca="false">IF($D808&lt;&gt;"销项开票","",IF($N808="一级",IF(IFERROR(INDEX(项目档案!$E$6:$E$255,MATCH($C808,项目档案!$A$6:$A$255,0)),"")="",N(IFERROR(INDEX(单位档案!$D$6:$D$35,MATCH($E808,单位档案!$A$6:$A$35,0)),"")),IFERROR(INDEX(项目档案!$E$6:$E$255,MATCH($C808,项目档案!$A$6:$A$255,0)),"")),IF($N808="二级",IF(IFERROR(INDEX(项目档案!$G$6:$G$255,MATCH($C808,项目档案!$A$6:$A$255,0)),"")="",N(IFERROR(INDEX(单位档案!$D$6:$D$35,MATCH($E808,单位档案!$A$6:$A$35,0)),"")),IFERROR(INDEX(项目档案!$G$6:$G$255,MATCH($C808,项目档案!$A$6:$A$255,0)),"")),N(IFERROR(INDEX(单位档案!$D$6:$D$35,MATCH($E808,单位档案!$A$6:$A$35,0)),"")))))</f>
        <v/>
      </c>
      <c r="J808" s="22"/>
      <c r="K808" s="22"/>
      <c r="L808" s="33" t="str">
        <f aca="false">IF($B808="","",IF(NOT(ISNUMBER($B808)),"日期格式不对",IF($C808="","未选项目编号",IF(LEFT($M808,1)="⚠","项目编号不存在",IF($D808="","未选业务类型",IF($E808="","未选开票/付款方",IF(ISNA(MATCH($E808,单位档案!$A$6:$A$35,0)),"开票方不在单位档案",IF($F808="","未选收票/收款方",IF(ISNA(MATCH($F808,单位档案!$A$6:$A$35,0)),"收款方不在单位档案",IF(NOT(ISNUMBER($H808)),"金额须为数字",IF(AND($D808="销项开票",$N808="—"),"链条待确认","√")))))))))))</f>
        <v/>
      </c>
      <c r="M808" s="34" t="str">
        <f aca="false">IF($C808="","",IFERROR(INDEX(项目档案!$B$6:$B$255,MATCH($C808,项目档案!$A$6:$A$255,0)),"⚠项目编号不存在"))</f>
        <v/>
      </c>
      <c r="N808" s="35" t="str">
        <f aca="false">IF($E808="","",IF($E808=IFERROR(INDEX(项目档案!$D$6:$D$255,MATCH($C808,项目档案!$A$6:$A$255,0)),""),"一级",IF($E808=IFERROR(INDEX(项目档案!$F$6:$F$255,MATCH($C808,项目档案!$A$6:$A$255,0)),""),"二级",IF($E808=IFERROR(INDEX(项目档案!$H$6:$H$255,MATCH($C808,项目档案!$A$6:$A$255,0)),""),"我方","—"))))</f>
        <v/>
      </c>
      <c r="O808" s="36" t="n">
        <f aca="false">IF($D808&lt;&gt;"销项开票",0,ROUND(N($H808)*N($I808),2))</f>
        <v>0</v>
      </c>
      <c r="P808" s="36" t="n">
        <f aca="false">IF($D808&lt;&gt;"销项开票",0,ROUND(N($H808)-$O808,2))</f>
        <v>0</v>
      </c>
      <c r="Q808" s="37" t="str">
        <f aca="false">IF($E808="","",N(IFERROR(INDEX(单位档案!$E$6:$E$35,MATCH($E808,单位档案!$A$6:$A$35,0)),"")))</f>
        <v/>
      </c>
      <c r="R808" s="37" t="str">
        <f aca="false">IF($E808="","",N(IFERROR(INDEX(单位档案!$F$6:$F$35,MATCH($E808,单位档案!$A$6:$A$35,0)),"")))</f>
        <v/>
      </c>
      <c r="S808" s="36" t="n">
        <f aca="false">IF(OR($D808&lt;&gt;"销项开票",IFERROR(INDEX(单位档案!$G$6:$G$35,MATCH($E808,单位档案!$A$6:$A$35,0)),"")&lt;&gt;"是",N($Q808)=0),0,IF(IFERROR(INDEX(单位档案!$H$6:$H$35,MATCH($E808,单位档案!$A$6:$A$35,0)),"")="税差法",ROUND(N($H808)/(1+$Q808)*$Q808-IF(N($R808)=0,0,$P808/(1+$R808)*$R808),2),ROUND(N($H808)/(1+$Q808)*$Q808,2)))</f>
        <v>0</v>
      </c>
      <c r="T808" s="36" t="n">
        <f aca="false">ROUND($S808*N(IFERROR(INDEX(单位档案!$J$6:$J$35,MATCH($E808,单位档案!$A$6:$A$35,0)),"")),2)</f>
        <v>0</v>
      </c>
      <c r="U808" s="36" t="n">
        <f aca="false">IF($D808&lt;&gt;"销项开票",0,ROUND(N($H808)*N(IFERROR(INDEX(单位档案!$K$6:$K$35,MATCH($E808,单位档案!$A$6:$A$35,0)),"")),2))</f>
        <v>0</v>
      </c>
      <c r="V808" s="36" t="n">
        <f aca="false">IF(OR($D808&lt;&gt;"销项开票",N($Q808)=0),0,ROUND(N($H808)/(1+$Q808)*N(IFERROR(INDEX(单位档案!$L$6:$L$35,MATCH($E808,单位档案!$A$6:$A$35,0)),"")),2))</f>
        <v>0</v>
      </c>
      <c r="W808" s="36" t="n">
        <f aca="false">ROUND($S808+$T808+$U808+$V808,2)</f>
        <v>0</v>
      </c>
      <c r="X808" s="35" t="str">
        <f aca="false">IF(OR($D808="挂靠代收",$D808="我方收款"),COUNTIFS($D$5:$D808,"挂靠代收")+COUNTIFS($D$5:$D808,"我方收款"),"")</f>
        <v/>
      </c>
      <c r="Y808" s="35"/>
      <c r="Z808" s="21" t="s">
        <v>111</v>
      </c>
    </row>
    <row r="809" customFormat="false" ht="15.75" hidden="false" customHeight="true" outlineLevel="0" collapsed="false">
      <c r="A809" s="32" t="str">
        <f aca="false">IF($B809="","",ROW()-4)</f>
        <v/>
      </c>
      <c r="B809" s="26"/>
      <c r="C809" s="24"/>
      <c r="D809" s="21"/>
      <c r="E809" s="21"/>
      <c r="F809" s="21"/>
      <c r="G809" s="21"/>
      <c r="H809" s="27"/>
      <c r="I809" s="23" t="str">
        <f aca="false">IF($D809&lt;&gt;"销项开票","",IF($N809="一级",IF(IFERROR(INDEX(项目档案!$E$6:$E$255,MATCH($C809,项目档案!$A$6:$A$255,0)),"")="",N(IFERROR(INDEX(单位档案!$D$6:$D$35,MATCH($E809,单位档案!$A$6:$A$35,0)),"")),IFERROR(INDEX(项目档案!$E$6:$E$255,MATCH($C809,项目档案!$A$6:$A$255,0)),"")),IF($N809="二级",IF(IFERROR(INDEX(项目档案!$G$6:$G$255,MATCH($C809,项目档案!$A$6:$A$255,0)),"")="",N(IFERROR(INDEX(单位档案!$D$6:$D$35,MATCH($E809,单位档案!$A$6:$A$35,0)),"")),IFERROR(INDEX(项目档案!$G$6:$G$255,MATCH($C809,项目档案!$A$6:$A$255,0)),"")),N(IFERROR(INDEX(单位档案!$D$6:$D$35,MATCH($E809,单位档案!$A$6:$A$35,0)),"")))))</f>
        <v/>
      </c>
      <c r="J809" s="22"/>
      <c r="K809" s="22"/>
      <c r="L809" s="33" t="str">
        <f aca="false">IF($B809="","",IF(NOT(ISNUMBER($B809)),"日期格式不对",IF($C809="","未选项目编号",IF(LEFT($M809,1)="⚠","项目编号不存在",IF($D809="","未选业务类型",IF($E809="","未选开票/付款方",IF(ISNA(MATCH($E809,单位档案!$A$6:$A$35,0)),"开票方不在单位档案",IF($F809="","未选收票/收款方",IF(ISNA(MATCH($F809,单位档案!$A$6:$A$35,0)),"收款方不在单位档案",IF(NOT(ISNUMBER($H809)),"金额须为数字",IF(AND($D809="销项开票",$N809="—"),"链条待确认","√")))))))))))</f>
        <v/>
      </c>
      <c r="M809" s="34" t="str">
        <f aca="false">IF($C809="","",IFERROR(INDEX(项目档案!$B$6:$B$255,MATCH($C809,项目档案!$A$6:$A$255,0)),"⚠项目编号不存在"))</f>
        <v/>
      </c>
      <c r="N809" s="35" t="str">
        <f aca="false">IF($E809="","",IF($E809=IFERROR(INDEX(项目档案!$D$6:$D$255,MATCH($C809,项目档案!$A$6:$A$255,0)),""),"一级",IF($E809=IFERROR(INDEX(项目档案!$F$6:$F$255,MATCH($C809,项目档案!$A$6:$A$255,0)),""),"二级",IF($E809=IFERROR(INDEX(项目档案!$H$6:$H$255,MATCH($C809,项目档案!$A$6:$A$255,0)),""),"我方","—"))))</f>
        <v/>
      </c>
      <c r="O809" s="36" t="n">
        <f aca="false">IF($D809&lt;&gt;"销项开票",0,ROUND(N($H809)*N($I809),2))</f>
        <v>0</v>
      </c>
      <c r="P809" s="36" t="n">
        <f aca="false">IF($D809&lt;&gt;"销项开票",0,ROUND(N($H809)-$O809,2))</f>
        <v>0</v>
      </c>
      <c r="Q809" s="37" t="str">
        <f aca="false">IF($E809="","",N(IFERROR(INDEX(单位档案!$E$6:$E$35,MATCH($E809,单位档案!$A$6:$A$35,0)),"")))</f>
        <v/>
      </c>
      <c r="R809" s="37" t="str">
        <f aca="false">IF($E809="","",N(IFERROR(INDEX(单位档案!$F$6:$F$35,MATCH($E809,单位档案!$A$6:$A$35,0)),"")))</f>
        <v/>
      </c>
      <c r="S809" s="36" t="n">
        <f aca="false">IF(OR($D809&lt;&gt;"销项开票",IFERROR(INDEX(单位档案!$G$6:$G$35,MATCH($E809,单位档案!$A$6:$A$35,0)),"")&lt;&gt;"是",N($Q809)=0),0,IF(IFERROR(INDEX(单位档案!$H$6:$H$35,MATCH($E809,单位档案!$A$6:$A$35,0)),"")="税差法",ROUND(N($H809)/(1+$Q809)*$Q809-IF(N($R809)=0,0,$P809/(1+$R809)*$R809),2),ROUND(N($H809)/(1+$Q809)*$Q809,2)))</f>
        <v>0</v>
      </c>
      <c r="T809" s="36" t="n">
        <f aca="false">ROUND($S809*N(IFERROR(INDEX(单位档案!$J$6:$J$35,MATCH($E809,单位档案!$A$6:$A$35,0)),"")),2)</f>
        <v>0</v>
      </c>
      <c r="U809" s="36" t="n">
        <f aca="false">IF($D809&lt;&gt;"销项开票",0,ROUND(N($H809)*N(IFERROR(INDEX(单位档案!$K$6:$K$35,MATCH($E809,单位档案!$A$6:$A$35,0)),"")),2))</f>
        <v>0</v>
      </c>
      <c r="V809" s="36" t="n">
        <f aca="false">IF(OR($D809&lt;&gt;"销项开票",N($Q809)=0),0,ROUND(N($H809)/(1+$Q809)*N(IFERROR(INDEX(单位档案!$L$6:$L$35,MATCH($E809,单位档案!$A$6:$A$35,0)),"")),2))</f>
        <v>0</v>
      </c>
      <c r="W809" s="36" t="n">
        <f aca="false">ROUND($S809+$T809+$U809+$V809,2)</f>
        <v>0</v>
      </c>
      <c r="X809" s="35" t="str">
        <f aca="false">IF(OR($D809="挂靠代收",$D809="我方收款"),COUNTIFS($D$5:$D809,"挂靠代收")+COUNTIFS($D$5:$D809,"我方收款"),"")</f>
        <v/>
      </c>
      <c r="Y809" s="35"/>
      <c r="Z809" s="21" t="s">
        <v>111</v>
      </c>
    </row>
    <row r="810" customFormat="false" ht="15.75" hidden="false" customHeight="true" outlineLevel="0" collapsed="false">
      <c r="A810" s="32" t="str">
        <f aca="false">IF($B810="","",ROW()-4)</f>
        <v/>
      </c>
      <c r="B810" s="26"/>
      <c r="C810" s="24"/>
      <c r="D810" s="21"/>
      <c r="E810" s="21"/>
      <c r="F810" s="21"/>
      <c r="G810" s="21"/>
      <c r="H810" s="27"/>
      <c r="I810" s="23" t="str">
        <f aca="false">IF($D810&lt;&gt;"销项开票","",IF($N810="一级",IF(IFERROR(INDEX(项目档案!$E$6:$E$255,MATCH($C810,项目档案!$A$6:$A$255,0)),"")="",N(IFERROR(INDEX(单位档案!$D$6:$D$35,MATCH($E810,单位档案!$A$6:$A$35,0)),"")),IFERROR(INDEX(项目档案!$E$6:$E$255,MATCH($C810,项目档案!$A$6:$A$255,0)),"")),IF($N810="二级",IF(IFERROR(INDEX(项目档案!$G$6:$G$255,MATCH($C810,项目档案!$A$6:$A$255,0)),"")="",N(IFERROR(INDEX(单位档案!$D$6:$D$35,MATCH($E810,单位档案!$A$6:$A$35,0)),"")),IFERROR(INDEX(项目档案!$G$6:$G$255,MATCH($C810,项目档案!$A$6:$A$255,0)),"")),N(IFERROR(INDEX(单位档案!$D$6:$D$35,MATCH($E810,单位档案!$A$6:$A$35,0)),"")))))</f>
        <v/>
      </c>
      <c r="J810" s="22"/>
      <c r="K810" s="22"/>
      <c r="L810" s="33" t="str">
        <f aca="false">IF($B810="","",IF(NOT(ISNUMBER($B810)),"日期格式不对",IF($C810="","未选项目编号",IF(LEFT($M810,1)="⚠","项目编号不存在",IF($D810="","未选业务类型",IF($E810="","未选开票/付款方",IF(ISNA(MATCH($E810,单位档案!$A$6:$A$35,0)),"开票方不在单位档案",IF($F810="","未选收票/收款方",IF(ISNA(MATCH($F810,单位档案!$A$6:$A$35,0)),"收款方不在单位档案",IF(NOT(ISNUMBER($H810)),"金额须为数字",IF(AND($D810="销项开票",$N810="—"),"链条待确认","√")))))))))))</f>
        <v/>
      </c>
      <c r="M810" s="34" t="str">
        <f aca="false">IF($C810="","",IFERROR(INDEX(项目档案!$B$6:$B$255,MATCH($C810,项目档案!$A$6:$A$255,0)),"⚠项目编号不存在"))</f>
        <v/>
      </c>
      <c r="N810" s="35" t="str">
        <f aca="false">IF($E810="","",IF($E810=IFERROR(INDEX(项目档案!$D$6:$D$255,MATCH($C810,项目档案!$A$6:$A$255,0)),""),"一级",IF($E810=IFERROR(INDEX(项目档案!$F$6:$F$255,MATCH($C810,项目档案!$A$6:$A$255,0)),""),"二级",IF($E810=IFERROR(INDEX(项目档案!$H$6:$H$255,MATCH($C810,项目档案!$A$6:$A$255,0)),""),"我方","—"))))</f>
        <v/>
      </c>
      <c r="O810" s="36" t="n">
        <f aca="false">IF($D810&lt;&gt;"销项开票",0,ROUND(N($H810)*N($I810),2))</f>
        <v>0</v>
      </c>
      <c r="P810" s="36" t="n">
        <f aca="false">IF($D810&lt;&gt;"销项开票",0,ROUND(N($H810)-$O810,2))</f>
        <v>0</v>
      </c>
      <c r="Q810" s="37" t="str">
        <f aca="false">IF($E810="","",N(IFERROR(INDEX(单位档案!$E$6:$E$35,MATCH($E810,单位档案!$A$6:$A$35,0)),"")))</f>
        <v/>
      </c>
      <c r="R810" s="37" t="str">
        <f aca="false">IF($E810="","",N(IFERROR(INDEX(单位档案!$F$6:$F$35,MATCH($E810,单位档案!$A$6:$A$35,0)),"")))</f>
        <v/>
      </c>
      <c r="S810" s="36" t="n">
        <f aca="false">IF(OR($D810&lt;&gt;"销项开票",IFERROR(INDEX(单位档案!$G$6:$G$35,MATCH($E810,单位档案!$A$6:$A$35,0)),"")&lt;&gt;"是",N($Q810)=0),0,IF(IFERROR(INDEX(单位档案!$H$6:$H$35,MATCH($E810,单位档案!$A$6:$A$35,0)),"")="税差法",ROUND(N($H810)/(1+$Q810)*$Q810-IF(N($R810)=0,0,$P810/(1+$R810)*$R810),2),ROUND(N($H810)/(1+$Q810)*$Q810,2)))</f>
        <v>0</v>
      </c>
      <c r="T810" s="36" t="n">
        <f aca="false">ROUND($S810*N(IFERROR(INDEX(单位档案!$J$6:$J$35,MATCH($E810,单位档案!$A$6:$A$35,0)),"")),2)</f>
        <v>0</v>
      </c>
      <c r="U810" s="36" t="n">
        <f aca="false">IF($D810&lt;&gt;"销项开票",0,ROUND(N($H810)*N(IFERROR(INDEX(单位档案!$K$6:$K$35,MATCH($E810,单位档案!$A$6:$A$35,0)),"")),2))</f>
        <v>0</v>
      </c>
      <c r="V810" s="36" t="n">
        <f aca="false">IF(OR($D810&lt;&gt;"销项开票",N($Q810)=0),0,ROUND(N($H810)/(1+$Q810)*N(IFERROR(INDEX(单位档案!$L$6:$L$35,MATCH($E810,单位档案!$A$6:$A$35,0)),"")),2))</f>
        <v>0</v>
      </c>
      <c r="W810" s="36" t="n">
        <f aca="false">ROUND($S810+$T810+$U810+$V810,2)</f>
        <v>0</v>
      </c>
      <c r="X810" s="35" t="str">
        <f aca="false">IF(OR($D810="挂靠代收",$D810="我方收款"),COUNTIFS($D$5:$D810,"挂靠代收")+COUNTIFS($D$5:$D810,"我方收款"),"")</f>
        <v/>
      </c>
      <c r="Y810" s="35"/>
      <c r="Z810" s="21" t="s">
        <v>111</v>
      </c>
    </row>
    <row r="811" customFormat="false" ht="15.75" hidden="false" customHeight="true" outlineLevel="0" collapsed="false">
      <c r="A811" s="32" t="str">
        <f aca="false">IF($B811="","",ROW()-4)</f>
        <v/>
      </c>
      <c r="B811" s="26"/>
      <c r="C811" s="24"/>
      <c r="D811" s="21"/>
      <c r="E811" s="21"/>
      <c r="F811" s="21"/>
      <c r="G811" s="21"/>
      <c r="H811" s="27"/>
      <c r="I811" s="23" t="str">
        <f aca="false">IF($D811&lt;&gt;"销项开票","",IF($N811="一级",IF(IFERROR(INDEX(项目档案!$E$6:$E$255,MATCH($C811,项目档案!$A$6:$A$255,0)),"")="",N(IFERROR(INDEX(单位档案!$D$6:$D$35,MATCH($E811,单位档案!$A$6:$A$35,0)),"")),IFERROR(INDEX(项目档案!$E$6:$E$255,MATCH($C811,项目档案!$A$6:$A$255,0)),"")),IF($N811="二级",IF(IFERROR(INDEX(项目档案!$G$6:$G$255,MATCH($C811,项目档案!$A$6:$A$255,0)),"")="",N(IFERROR(INDEX(单位档案!$D$6:$D$35,MATCH($E811,单位档案!$A$6:$A$35,0)),"")),IFERROR(INDEX(项目档案!$G$6:$G$255,MATCH($C811,项目档案!$A$6:$A$255,0)),"")),N(IFERROR(INDEX(单位档案!$D$6:$D$35,MATCH($E811,单位档案!$A$6:$A$35,0)),"")))))</f>
        <v/>
      </c>
      <c r="J811" s="22"/>
      <c r="K811" s="22"/>
      <c r="L811" s="33" t="str">
        <f aca="false">IF($B811="","",IF(NOT(ISNUMBER($B811)),"日期格式不对",IF($C811="","未选项目编号",IF(LEFT($M811,1)="⚠","项目编号不存在",IF($D811="","未选业务类型",IF($E811="","未选开票/付款方",IF(ISNA(MATCH($E811,单位档案!$A$6:$A$35,0)),"开票方不在单位档案",IF($F811="","未选收票/收款方",IF(ISNA(MATCH($F811,单位档案!$A$6:$A$35,0)),"收款方不在单位档案",IF(NOT(ISNUMBER($H811)),"金额须为数字",IF(AND($D811="销项开票",$N811="—"),"链条待确认","√")))))))))))</f>
        <v/>
      </c>
      <c r="M811" s="34" t="str">
        <f aca="false">IF($C811="","",IFERROR(INDEX(项目档案!$B$6:$B$255,MATCH($C811,项目档案!$A$6:$A$255,0)),"⚠项目编号不存在"))</f>
        <v/>
      </c>
      <c r="N811" s="35" t="str">
        <f aca="false">IF($E811="","",IF($E811=IFERROR(INDEX(项目档案!$D$6:$D$255,MATCH($C811,项目档案!$A$6:$A$255,0)),""),"一级",IF($E811=IFERROR(INDEX(项目档案!$F$6:$F$255,MATCH($C811,项目档案!$A$6:$A$255,0)),""),"二级",IF($E811=IFERROR(INDEX(项目档案!$H$6:$H$255,MATCH($C811,项目档案!$A$6:$A$255,0)),""),"我方","—"))))</f>
        <v/>
      </c>
      <c r="O811" s="36" t="n">
        <f aca="false">IF($D811&lt;&gt;"销项开票",0,ROUND(N($H811)*N($I811),2))</f>
        <v>0</v>
      </c>
      <c r="P811" s="36" t="n">
        <f aca="false">IF($D811&lt;&gt;"销项开票",0,ROUND(N($H811)-$O811,2))</f>
        <v>0</v>
      </c>
      <c r="Q811" s="37" t="str">
        <f aca="false">IF($E811="","",N(IFERROR(INDEX(单位档案!$E$6:$E$35,MATCH($E811,单位档案!$A$6:$A$35,0)),"")))</f>
        <v/>
      </c>
      <c r="R811" s="37" t="str">
        <f aca="false">IF($E811="","",N(IFERROR(INDEX(单位档案!$F$6:$F$35,MATCH($E811,单位档案!$A$6:$A$35,0)),"")))</f>
        <v/>
      </c>
      <c r="S811" s="36" t="n">
        <f aca="false">IF(OR($D811&lt;&gt;"销项开票",IFERROR(INDEX(单位档案!$G$6:$G$35,MATCH($E811,单位档案!$A$6:$A$35,0)),"")&lt;&gt;"是",N($Q811)=0),0,IF(IFERROR(INDEX(单位档案!$H$6:$H$35,MATCH($E811,单位档案!$A$6:$A$35,0)),"")="税差法",ROUND(N($H811)/(1+$Q811)*$Q811-IF(N($R811)=0,0,$P811/(1+$R811)*$R811),2),ROUND(N($H811)/(1+$Q811)*$Q811,2)))</f>
        <v>0</v>
      </c>
      <c r="T811" s="36" t="n">
        <f aca="false">ROUND($S811*N(IFERROR(INDEX(单位档案!$J$6:$J$35,MATCH($E811,单位档案!$A$6:$A$35,0)),"")),2)</f>
        <v>0</v>
      </c>
      <c r="U811" s="36" t="n">
        <f aca="false">IF($D811&lt;&gt;"销项开票",0,ROUND(N($H811)*N(IFERROR(INDEX(单位档案!$K$6:$K$35,MATCH($E811,单位档案!$A$6:$A$35,0)),"")),2))</f>
        <v>0</v>
      </c>
      <c r="V811" s="36" t="n">
        <f aca="false">IF(OR($D811&lt;&gt;"销项开票",N($Q811)=0),0,ROUND(N($H811)/(1+$Q811)*N(IFERROR(INDEX(单位档案!$L$6:$L$35,MATCH($E811,单位档案!$A$6:$A$35,0)),"")),2))</f>
        <v>0</v>
      </c>
      <c r="W811" s="36" t="n">
        <f aca="false">ROUND($S811+$T811+$U811+$V811,2)</f>
        <v>0</v>
      </c>
      <c r="X811" s="35" t="str">
        <f aca="false">IF(OR($D811="挂靠代收",$D811="我方收款"),COUNTIFS($D$5:$D811,"挂靠代收")+COUNTIFS($D$5:$D811,"我方收款"),"")</f>
        <v/>
      </c>
      <c r="Y811" s="35"/>
      <c r="Z811" s="21" t="s">
        <v>111</v>
      </c>
    </row>
    <row r="812" customFormat="false" ht="15.75" hidden="false" customHeight="true" outlineLevel="0" collapsed="false">
      <c r="A812" s="32" t="str">
        <f aca="false">IF($B812="","",ROW()-4)</f>
        <v/>
      </c>
      <c r="B812" s="26"/>
      <c r="C812" s="24"/>
      <c r="D812" s="21"/>
      <c r="E812" s="21"/>
      <c r="F812" s="21"/>
      <c r="G812" s="21"/>
      <c r="H812" s="27"/>
      <c r="I812" s="23" t="str">
        <f aca="false">IF($D812&lt;&gt;"销项开票","",IF($N812="一级",IF(IFERROR(INDEX(项目档案!$E$6:$E$255,MATCH($C812,项目档案!$A$6:$A$255,0)),"")="",N(IFERROR(INDEX(单位档案!$D$6:$D$35,MATCH($E812,单位档案!$A$6:$A$35,0)),"")),IFERROR(INDEX(项目档案!$E$6:$E$255,MATCH($C812,项目档案!$A$6:$A$255,0)),"")),IF($N812="二级",IF(IFERROR(INDEX(项目档案!$G$6:$G$255,MATCH($C812,项目档案!$A$6:$A$255,0)),"")="",N(IFERROR(INDEX(单位档案!$D$6:$D$35,MATCH($E812,单位档案!$A$6:$A$35,0)),"")),IFERROR(INDEX(项目档案!$G$6:$G$255,MATCH($C812,项目档案!$A$6:$A$255,0)),"")),N(IFERROR(INDEX(单位档案!$D$6:$D$35,MATCH($E812,单位档案!$A$6:$A$35,0)),"")))))</f>
        <v/>
      </c>
      <c r="J812" s="22"/>
      <c r="K812" s="22"/>
      <c r="L812" s="33" t="str">
        <f aca="false">IF($B812="","",IF(NOT(ISNUMBER($B812)),"日期格式不对",IF($C812="","未选项目编号",IF(LEFT($M812,1)="⚠","项目编号不存在",IF($D812="","未选业务类型",IF($E812="","未选开票/付款方",IF(ISNA(MATCH($E812,单位档案!$A$6:$A$35,0)),"开票方不在单位档案",IF($F812="","未选收票/收款方",IF(ISNA(MATCH($F812,单位档案!$A$6:$A$35,0)),"收款方不在单位档案",IF(NOT(ISNUMBER($H812)),"金额须为数字",IF(AND($D812="销项开票",$N812="—"),"链条待确认","√")))))))))))</f>
        <v/>
      </c>
      <c r="M812" s="34" t="str">
        <f aca="false">IF($C812="","",IFERROR(INDEX(项目档案!$B$6:$B$255,MATCH($C812,项目档案!$A$6:$A$255,0)),"⚠项目编号不存在"))</f>
        <v/>
      </c>
      <c r="N812" s="35" t="str">
        <f aca="false">IF($E812="","",IF($E812=IFERROR(INDEX(项目档案!$D$6:$D$255,MATCH($C812,项目档案!$A$6:$A$255,0)),""),"一级",IF($E812=IFERROR(INDEX(项目档案!$F$6:$F$255,MATCH($C812,项目档案!$A$6:$A$255,0)),""),"二级",IF($E812=IFERROR(INDEX(项目档案!$H$6:$H$255,MATCH($C812,项目档案!$A$6:$A$255,0)),""),"我方","—"))))</f>
        <v/>
      </c>
      <c r="O812" s="36" t="n">
        <f aca="false">IF($D812&lt;&gt;"销项开票",0,ROUND(N($H812)*N($I812),2))</f>
        <v>0</v>
      </c>
      <c r="P812" s="36" t="n">
        <f aca="false">IF($D812&lt;&gt;"销项开票",0,ROUND(N($H812)-$O812,2))</f>
        <v>0</v>
      </c>
      <c r="Q812" s="37" t="str">
        <f aca="false">IF($E812="","",N(IFERROR(INDEX(单位档案!$E$6:$E$35,MATCH($E812,单位档案!$A$6:$A$35,0)),"")))</f>
        <v/>
      </c>
      <c r="R812" s="37" t="str">
        <f aca="false">IF($E812="","",N(IFERROR(INDEX(单位档案!$F$6:$F$35,MATCH($E812,单位档案!$A$6:$A$35,0)),"")))</f>
        <v/>
      </c>
      <c r="S812" s="36" t="n">
        <f aca="false">IF(OR($D812&lt;&gt;"销项开票",IFERROR(INDEX(单位档案!$G$6:$G$35,MATCH($E812,单位档案!$A$6:$A$35,0)),"")&lt;&gt;"是",N($Q812)=0),0,IF(IFERROR(INDEX(单位档案!$H$6:$H$35,MATCH($E812,单位档案!$A$6:$A$35,0)),"")="税差法",ROUND(N($H812)/(1+$Q812)*$Q812-IF(N($R812)=0,0,$P812/(1+$R812)*$R812),2),ROUND(N($H812)/(1+$Q812)*$Q812,2)))</f>
        <v>0</v>
      </c>
      <c r="T812" s="36" t="n">
        <f aca="false">ROUND($S812*N(IFERROR(INDEX(单位档案!$J$6:$J$35,MATCH($E812,单位档案!$A$6:$A$35,0)),"")),2)</f>
        <v>0</v>
      </c>
      <c r="U812" s="36" t="n">
        <f aca="false">IF($D812&lt;&gt;"销项开票",0,ROUND(N($H812)*N(IFERROR(INDEX(单位档案!$K$6:$K$35,MATCH($E812,单位档案!$A$6:$A$35,0)),"")),2))</f>
        <v>0</v>
      </c>
      <c r="V812" s="36" t="n">
        <f aca="false">IF(OR($D812&lt;&gt;"销项开票",N($Q812)=0),0,ROUND(N($H812)/(1+$Q812)*N(IFERROR(INDEX(单位档案!$L$6:$L$35,MATCH($E812,单位档案!$A$6:$A$35,0)),"")),2))</f>
        <v>0</v>
      </c>
      <c r="W812" s="36" t="n">
        <f aca="false">ROUND($S812+$T812+$U812+$V812,2)</f>
        <v>0</v>
      </c>
      <c r="X812" s="35" t="str">
        <f aca="false">IF(OR($D812="挂靠代收",$D812="我方收款"),COUNTIFS($D$5:$D812,"挂靠代收")+COUNTIFS($D$5:$D812,"我方收款"),"")</f>
        <v/>
      </c>
      <c r="Y812" s="35"/>
      <c r="Z812" s="21" t="s">
        <v>111</v>
      </c>
    </row>
    <row r="813" customFormat="false" ht="15.75" hidden="false" customHeight="true" outlineLevel="0" collapsed="false">
      <c r="A813" s="32" t="str">
        <f aca="false">IF($B813="","",ROW()-4)</f>
        <v/>
      </c>
      <c r="B813" s="26"/>
      <c r="C813" s="24"/>
      <c r="D813" s="21"/>
      <c r="E813" s="21"/>
      <c r="F813" s="21"/>
      <c r="G813" s="21"/>
      <c r="H813" s="27"/>
      <c r="I813" s="23" t="str">
        <f aca="false">IF($D813&lt;&gt;"销项开票","",IF($N813="一级",IF(IFERROR(INDEX(项目档案!$E$6:$E$255,MATCH($C813,项目档案!$A$6:$A$255,0)),"")="",N(IFERROR(INDEX(单位档案!$D$6:$D$35,MATCH($E813,单位档案!$A$6:$A$35,0)),"")),IFERROR(INDEX(项目档案!$E$6:$E$255,MATCH($C813,项目档案!$A$6:$A$255,0)),"")),IF($N813="二级",IF(IFERROR(INDEX(项目档案!$G$6:$G$255,MATCH($C813,项目档案!$A$6:$A$255,0)),"")="",N(IFERROR(INDEX(单位档案!$D$6:$D$35,MATCH($E813,单位档案!$A$6:$A$35,0)),"")),IFERROR(INDEX(项目档案!$G$6:$G$255,MATCH($C813,项目档案!$A$6:$A$255,0)),"")),N(IFERROR(INDEX(单位档案!$D$6:$D$35,MATCH($E813,单位档案!$A$6:$A$35,0)),"")))))</f>
        <v/>
      </c>
      <c r="J813" s="22"/>
      <c r="K813" s="22"/>
      <c r="L813" s="33" t="str">
        <f aca="false">IF($B813="","",IF(NOT(ISNUMBER($B813)),"日期格式不对",IF($C813="","未选项目编号",IF(LEFT($M813,1)="⚠","项目编号不存在",IF($D813="","未选业务类型",IF($E813="","未选开票/付款方",IF(ISNA(MATCH($E813,单位档案!$A$6:$A$35,0)),"开票方不在单位档案",IF($F813="","未选收票/收款方",IF(ISNA(MATCH($F813,单位档案!$A$6:$A$35,0)),"收款方不在单位档案",IF(NOT(ISNUMBER($H813)),"金额须为数字",IF(AND($D813="销项开票",$N813="—"),"链条待确认","√")))))))))))</f>
        <v/>
      </c>
      <c r="M813" s="34" t="str">
        <f aca="false">IF($C813="","",IFERROR(INDEX(项目档案!$B$6:$B$255,MATCH($C813,项目档案!$A$6:$A$255,0)),"⚠项目编号不存在"))</f>
        <v/>
      </c>
      <c r="N813" s="35" t="str">
        <f aca="false">IF($E813="","",IF($E813=IFERROR(INDEX(项目档案!$D$6:$D$255,MATCH($C813,项目档案!$A$6:$A$255,0)),""),"一级",IF($E813=IFERROR(INDEX(项目档案!$F$6:$F$255,MATCH($C813,项目档案!$A$6:$A$255,0)),""),"二级",IF($E813=IFERROR(INDEX(项目档案!$H$6:$H$255,MATCH($C813,项目档案!$A$6:$A$255,0)),""),"我方","—"))))</f>
        <v/>
      </c>
      <c r="O813" s="36" t="n">
        <f aca="false">IF($D813&lt;&gt;"销项开票",0,ROUND(N($H813)*N($I813),2))</f>
        <v>0</v>
      </c>
      <c r="P813" s="36" t="n">
        <f aca="false">IF($D813&lt;&gt;"销项开票",0,ROUND(N($H813)-$O813,2))</f>
        <v>0</v>
      </c>
      <c r="Q813" s="37" t="str">
        <f aca="false">IF($E813="","",N(IFERROR(INDEX(单位档案!$E$6:$E$35,MATCH($E813,单位档案!$A$6:$A$35,0)),"")))</f>
        <v/>
      </c>
      <c r="R813" s="37" t="str">
        <f aca="false">IF($E813="","",N(IFERROR(INDEX(单位档案!$F$6:$F$35,MATCH($E813,单位档案!$A$6:$A$35,0)),"")))</f>
        <v/>
      </c>
      <c r="S813" s="36" t="n">
        <f aca="false">IF(OR($D813&lt;&gt;"销项开票",IFERROR(INDEX(单位档案!$G$6:$G$35,MATCH($E813,单位档案!$A$6:$A$35,0)),"")&lt;&gt;"是",N($Q813)=0),0,IF(IFERROR(INDEX(单位档案!$H$6:$H$35,MATCH($E813,单位档案!$A$6:$A$35,0)),"")="税差法",ROUND(N($H813)/(1+$Q813)*$Q813-IF(N($R813)=0,0,$P813/(1+$R813)*$R813),2),ROUND(N($H813)/(1+$Q813)*$Q813,2)))</f>
        <v>0</v>
      </c>
      <c r="T813" s="36" t="n">
        <f aca="false">ROUND($S813*N(IFERROR(INDEX(单位档案!$J$6:$J$35,MATCH($E813,单位档案!$A$6:$A$35,0)),"")),2)</f>
        <v>0</v>
      </c>
      <c r="U813" s="36" t="n">
        <f aca="false">IF($D813&lt;&gt;"销项开票",0,ROUND(N($H813)*N(IFERROR(INDEX(单位档案!$K$6:$K$35,MATCH($E813,单位档案!$A$6:$A$35,0)),"")),2))</f>
        <v>0</v>
      </c>
      <c r="V813" s="36" t="n">
        <f aca="false">IF(OR($D813&lt;&gt;"销项开票",N($Q813)=0),0,ROUND(N($H813)/(1+$Q813)*N(IFERROR(INDEX(单位档案!$L$6:$L$35,MATCH($E813,单位档案!$A$6:$A$35,0)),"")),2))</f>
        <v>0</v>
      </c>
      <c r="W813" s="36" t="n">
        <f aca="false">ROUND($S813+$T813+$U813+$V813,2)</f>
        <v>0</v>
      </c>
      <c r="X813" s="35" t="str">
        <f aca="false">IF(OR($D813="挂靠代收",$D813="我方收款"),COUNTIFS($D$5:$D813,"挂靠代收")+COUNTIFS($D$5:$D813,"我方收款"),"")</f>
        <v/>
      </c>
      <c r="Y813" s="35"/>
      <c r="Z813" s="21" t="s">
        <v>111</v>
      </c>
    </row>
    <row r="814" customFormat="false" ht="15.75" hidden="false" customHeight="true" outlineLevel="0" collapsed="false">
      <c r="A814" s="32" t="str">
        <f aca="false">IF($B814="","",ROW()-4)</f>
        <v/>
      </c>
      <c r="B814" s="26"/>
      <c r="C814" s="24"/>
      <c r="D814" s="21"/>
      <c r="E814" s="21"/>
      <c r="F814" s="21"/>
      <c r="G814" s="21"/>
      <c r="H814" s="27"/>
      <c r="I814" s="23" t="str">
        <f aca="false">IF($D814&lt;&gt;"销项开票","",IF($N814="一级",IF(IFERROR(INDEX(项目档案!$E$6:$E$255,MATCH($C814,项目档案!$A$6:$A$255,0)),"")="",N(IFERROR(INDEX(单位档案!$D$6:$D$35,MATCH($E814,单位档案!$A$6:$A$35,0)),"")),IFERROR(INDEX(项目档案!$E$6:$E$255,MATCH($C814,项目档案!$A$6:$A$255,0)),"")),IF($N814="二级",IF(IFERROR(INDEX(项目档案!$G$6:$G$255,MATCH($C814,项目档案!$A$6:$A$255,0)),"")="",N(IFERROR(INDEX(单位档案!$D$6:$D$35,MATCH($E814,单位档案!$A$6:$A$35,0)),"")),IFERROR(INDEX(项目档案!$G$6:$G$255,MATCH($C814,项目档案!$A$6:$A$255,0)),"")),N(IFERROR(INDEX(单位档案!$D$6:$D$35,MATCH($E814,单位档案!$A$6:$A$35,0)),"")))))</f>
        <v/>
      </c>
      <c r="J814" s="22"/>
      <c r="K814" s="22"/>
      <c r="L814" s="33" t="str">
        <f aca="false">IF($B814="","",IF(NOT(ISNUMBER($B814)),"日期格式不对",IF($C814="","未选项目编号",IF(LEFT($M814,1)="⚠","项目编号不存在",IF($D814="","未选业务类型",IF($E814="","未选开票/付款方",IF(ISNA(MATCH($E814,单位档案!$A$6:$A$35,0)),"开票方不在单位档案",IF($F814="","未选收票/收款方",IF(ISNA(MATCH($F814,单位档案!$A$6:$A$35,0)),"收款方不在单位档案",IF(NOT(ISNUMBER($H814)),"金额须为数字",IF(AND($D814="销项开票",$N814="—"),"链条待确认","√")))))))))))</f>
        <v/>
      </c>
      <c r="M814" s="34" t="str">
        <f aca="false">IF($C814="","",IFERROR(INDEX(项目档案!$B$6:$B$255,MATCH($C814,项目档案!$A$6:$A$255,0)),"⚠项目编号不存在"))</f>
        <v/>
      </c>
      <c r="N814" s="35" t="str">
        <f aca="false">IF($E814="","",IF($E814=IFERROR(INDEX(项目档案!$D$6:$D$255,MATCH($C814,项目档案!$A$6:$A$255,0)),""),"一级",IF($E814=IFERROR(INDEX(项目档案!$F$6:$F$255,MATCH($C814,项目档案!$A$6:$A$255,0)),""),"二级",IF($E814=IFERROR(INDEX(项目档案!$H$6:$H$255,MATCH($C814,项目档案!$A$6:$A$255,0)),""),"我方","—"))))</f>
        <v/>
      </c>
      <c r="O814" s="36" t="n">
        <f aca="false">IF($D814&lt;&gt;"销项开票",0,ROUND(N($H814)*N($I814),2))</f>
        <v>0</v>
      </c>
      <c r="P814" s="36" t="n">
        <f aca="false">IF($D814&lt;&gt;"销项开票",0,ROUND(N($H814)-$O814,2))</f>
        <v>0</v>
      </c>
      <c r="Q814" s="37" t="str">
        <f aca="false">IF($E814="","",N(IFERROR(INDEX(单位档案!$E$6:$E$35,MATCH($E814,单位档案!$A$6:$A$35,0)),"")))</f>
        <v/>
      </c>
      <c r="R814" s="37" t="str">
        <f aca="false">IF($E814="","",N(IFERROR(INDEX(单位档案!$F$6:$F$35,MATCH($E814,单位档案!$A$6:$A$35,0)),"")))</f>
        <v/>
      </c>
      <c r="S814" s="36" t="n">
        <f aca="false">IF(OR($D814&lt;&gt;"销项开票",IFERROR(INDEX(单位档案!$G$6:$G$35,MATCH($E814,单位档案!$A$6:$A$35,0)),"")&lt;&gt;"是",N($Q814)=0),0,IF(IFERROR(INDEX(单位档案!$H$6:$H$35,MATCH($E814,单位档案!$A$6:$A$35,0)),"")="税差法",ROUND(N($H814)/(1+$Q814)*$Q814-IF(N($R814)=0,0,$P814/(1+$R814)*$R814),2),ROUND(N($H814)/(1+$Q814)*$Q814,2)))</f>
        <v>0</v>
      </c>
      <c r="T814" s="36" t="n">
        <f aca="false">ROUND($S814*N(IFERROR(INDEX(单位档案!$J$6:$J$35,MATCH($E814,单位档案!$A$6:$A$35,0)),"")),2)</f>
        <v>0</v>
      </c>
      <c r="U814" s="36" t="n">
        <f aca="false">IF($D814&lt;&gt;"销项开票",0,ROUND(N($H814)*N(IFERROR(INDEX(单位档案!$K$6:$K$35,MATCH($E814,单位档案!$A$6:$A$35,0)),"")),2))</f>
        <v>0</v>
      </c>
      <c r="V814" s="36" t="n">
        <f aca="false">IF(OR($D814&lt;&gt;"销项开票",N($Q814)=0),0,ROUND(N($H814)/(1+$Q814)*N(IFERROR(INDEX(单位档案!$L$6:$L$35,MATCH($E814,单位档案!$A$6:$A$35,0)),"")),2))</f>
        <v>0</v>
      </c>
      <c r="W814" s="36" t="n">
        <f aca="false">ROUND($S814+$T814+$U814+$V814,2)</f>
        <v>0</v>
      </c>
      <c r="X814" s="35" t="str">
        <f aca="false">IF(OR($D814="挂靠代收",$D814="我方收款"),COUNTIFS($D$5:$D814,"挂靠代收")+COUNTIFS($D$5:$D814,"我方收款"),"")</f>
        <v/>
      </c>
      <c r="Y814" s="35"/>
      <c r="Z814" s="21" t="s">
        <v>111</v>
      </c>
    </row>
    <row r="815" customFormat="false" ht="15.75" hidden="false" customHeight="true" outlineLevel="0" collapsed="false">
      <c r="A815" s="32" t="str">
        <f aca="false">IF($B815="","",ROW()-4)</f>
        <v/>
      </c>
      <c r="B815" s="26"/>
      <c r="C815" s="24"/>
      <c r="D815" s="21"/>
      <c r="E815" s="21"/>
      <c r="F815" s="21"/>
      <c r="G815" s="21"/>
      <c r="H815" s="27"/>
      <c r="I815" s="23" t="str">
        <f aca="false">IF($D815&lt;&gt;"销项开票","",IF($N815="一级",IF(IFERROR(INDEX(项目档案!$E$6:$E$255,MATCH($C815,项目档案!$A$6:$A$255,0)),"")="",N(IFERROR(INDEX(单位档案!$D$6:$D$35,MATCH($E815,单位档案!$A$6:$A$35,0)),"")),IFERROR(INDEX(项目档案!$E$6:$E$255,MATCH($C815,项目档案!$A$6:$A$255,0)),"")),IF($N815="二级",IF(IFERROR(INDEX(项目档案!$G$6:$G$255,MATCH($C815,项目档案!$A$6:$A$255,0)),"")="",N(IFERROR(INDEX(单位档案!$D$6:$D$35,MATCH($E815,单位档案!$A$6:$A$35,0)),"")),IFERROR(INDEX(项目档案!$G$6:$G$255,MATCH($C815,项目档案!$A$6:$A$255,0)),"")),N(IFERROR(INDEX(单位档案!$D$6:$D$35,MATCH($E815,单位档案!$A$6:$A$35,0)),"")))))</f>
        <v/>
      </c>
      <c r="J815" s="22"/>
      <c r="K815" s="22"/>
      <c r="L815" s="33" t="str">
        <f aca="false">IF($B815="","",IF(NOT(ISNUMBER($B815)),"日期格式不对",IF($C815="","未选项目编号",IF(LEFT($M815,1)="⚠","项目编号不存在",IF($D815="","未选业务类型",IF($E815="","未选开票/付款方",IF(ISNA(MATCH($E815,单位档案!$A$6:$A$35,0)),"开票方不在单位档案",IF($F815="","未选收票/收款方",IF(ISNA(MATCH($F815,单位档案!$A$6:$A$35,0)),"收款方不在单位档案",IF(NOT(ISNUMBER($H815)),"金额须为数字",IF(AND($D815="销项开票",$N815="—"),"链条待确认","√")))))))))))</f>
        <v/>
      </c>
      <c r="M815" s="34" t="str">
        <f aca="false">IF($C815="","",IFERROR(INDEX(项目档案!$B$6:$B$255,MATCH($C815,项目档案!$A$6:$A$255,0)),"⚠项目编号不存在"))</f>
        <v/>
      </c>
      <c r="N815" s="35" t="str">
        <f aca="false">IF($E815="","",IF($E815=IFERROR(INDEX(项目档案!$D$6:$D$255,MATCH($C815,项目档案!$A$6:$A$255,0)),""),"一级",IF($E815=IFERROR(INDEX(项目档案!$F$6:$F$255,MATCH($C815,项目档案!$A$6:$A$255,0)),""),"二级",IF($E815=IFERROR(INDEX(项目档案!$H$6:$H$255,MATCH($C815,项目档案!$A$6:$A$255,0)),""),"我方","—"))))</f>
        <v/>
      </c>
      <c r="O815" s="36" t="n">
        <f aca="false">IF($D815&lt;&gt;"销项开票",0,ROUND(N($H815)*N($I815),2))</f>
        <v>0</v>
      </c>
      <c r="P815" s="36" t="n">
        <f aca="false">IF($D815&lt;&gt;"销项开票",0,ROUND(N($H815)-$O815,2))</f>
        <v>0</v>
      </c>
      <c r="Q815" s="37" t="str">
        <f aca="false">IF($E815="","",N(IFERROR(INDEX(单位档案!$E$6:$E$35,MATCH($E815,单位档案!$A$6:$A$35,0)),"")))</f>
        <v/>
      </c>
      <c r="R815" s="37" t="str">
        <f aca="false">IF($E815="","",N(IFERROR(INDEX(单位档案!$F$6:$F$35,MATCH($E815,单位档案!$A$6:$A$35,0)),"")))</f>
        <v/>
      </c>
      <c r="S815" s="36" t="n">
        <f aca="false">IF(OR($D815&lt;&gt;"销项开票",IFERROR(INDEX(单位档案!$G$6:$G$35,MATCH($E815,单位档案!$A$6:$A$35,0)),"")&lt;&gt;"是",N($Q815)=0),0,IF(IFERROR(INDEX(单位档案!$H$6:$H$35,MATCH($E815,单位档案!$A$6:$A$35,0)),"")="税差法",ROUND(N($H815)/(1+$Q815)*$Q815-IF(N($R815)=0,0,$P815/(1+$R815)*$R815),2),ROUND(N($H815)/(1+$Q815)*$Q815,2)))</f>
        <v>0</v>
      </c>
      <c r="T815" s="36" t="n">
        <f aca="false">ROUND($S815*N(IFERROR(INDEX(单位档案!$J$6:$J$35,MATCH($E815,单位档案!$A$6:$A$35,0)),"")),2)</f>
        <v>0</v>
      </c>
      <c r="U815" s="36" t="n">
        <f aca="false">IF($D815&lt;&gt;"销项开票",0,ROUND(N($H815)*N(IFERROR(INDEX(单位档案!$K$6:$K$35,MATCH($E815,单位档案!$A$6:$A$35,0)),"")),2))</f>
        <v>0</v>
      </c>
      <c r="V815" s="36" t="n">
        <f aca="false">IF(OR($D815&lt;&gt;"销项开票",N($Q815)=0),0,ROUND(N($H815)/(1+$Q815)*N(IFERROR(INDEX(单位档案!$L$6:$L$35,MATCH($E815,单位档案!$A$6:$A$35,0)),"")),2))</f>
        <v>0</v>
      </c>
      <c r="W815" s="36" t="n">
        <f aca="false">ROUND($S815+$T815+$U815+$V815,2)</f>
        <v>0</v>
      </c>
      <c r="X815" s="35" t="str">
        <f aca="false">IF(OR($D815="挂靠代收",$D815="我方收款"),COUNTIFS($D$5:$D815,"挂靠代收")+COUNTIFS($D$5:$D815,"我方收款"),"")</f>
        <v/>
      </c>
      <c r="Y815" s="35"/>
      <c r="Z815" s="21" t="s">
        <v>111</v>
      </c>
    </row>
    <row r="816" customFormat="false" ht="15.75" hidden="false" customHeight="true" outlineLevel="0" collapsed="false">
      <c r="A816" s="32" t="str">
        <f aca="false">IF($B816="","",ROW()-4)</f>
        <v/>
      </c>
      <c r="B816" s="26"/>
      <c r="C816" s="24"/>
      <c r="D816" s="21"/>
      <c r="E816" s="21"/>
      <c r="F816" s="21"/>
      <c r="G816" s="21"/>
      <c r="H816" s="27"/>
      <c r="I816" s="23" t="str">
        <f aca="false">IF($D816&lt;&gt;"销项开票","",IF($N816="一级",IF(IFERROR(INDEX(项目档案!$E$6:$E$255,MATCH($C816,项目档案!$A$6:$A$255,0)),"")="",N(IFERROR(INDEX(单位档案!$D$6:$D$35,MATCH($E816,单位档案!$A$6:$A$35,0)),"")),IFERROR(INDEX(项目档案!$E$6:$E$255,MATCH($C816,项目档案!$A$6:$A$255,0)),"")),IF($N816="二级",IF(IFERROR(INDEX(项目档案!$G$6:$G$255,MATCH($C816,项目档案!$A$6:$A$255,0)),"")="",N(IFERROR(INDEX(单位档案!$D$6:$D$35,MATCH($E816,单位档案!$A$6:$A$35,0)),"")),IFERROR(INDEX(项目档案!$G$6:$G$255,MATCH($C816,项目档案!$A$6:$A$255,0)),"")),N(IFERROR(INDEX(单位档案!$D$6:$D$35,MATCH($E816,单位档案!$A$6:$A$35,0)),"")))))</f>
        <v/>
      </c>
      <c r="J816" s="22"/>
      <c r="K816" s="22"/>
      <c r="L816" s="33" t="str">
        <f aca="false">IF($B816="","",IF(NOT(ISNUMBER($B816)),"日期格式不对",IF($C816="","未选项目编号",IF(LEFT($M816,1)="⚠","项目编号不存在",IF($D816="","未选业务类型",IF($E816="","未选开票/付款方",IF(ISNA(MATCH($E816,单位档案!$A$6:$A$35,0)),"开票方不在单位档案",IF($F816="","未选收票/收款方",IF(ISNA(MATCH($F816,单位档案!$A$6:$A$35,0)),"收款方不在单位档案",IF(NOT(ISNUMBER($H816)),"金额须为数字",IF(AND($D816="销项开票",$N816="—"),"链条待确认","√")))))))))))</f>
        <v/>
      </c>
      <c r="M816" s="34" t="str">
        <f aca="false">IF($C816="","",IFERROR(INDEX(项目档案!$B$6:$B$255,MATCH($C816,项目档案!$A$6:$A$255,0)),"⚠项目编号不存在"))</f>
        <v/>
      </c>
      <c r="N816" s="35" t="str">
        <f aca="false">IF($E816="","",IF($E816=IFERROR(INDEX(项目档案!$D$6:$D$255,MATCH($C816,项目档案!$A$6:$A$255,0)),""),"一级",IF($E816=IFERROR(INDEX(项目档案!$F$6:$F$255,MATCH($C816,项目档案!$A$6:$A$255,0)),""),"二级",IF($E816=IFERROR(INDEX(项目档案!$H$6:$H$255,MATCH($C816,项目档案!$A$6:$A$255,0)),""),"我方","—"))))</f>
        <v/>
      </c>
      <c r="O816" s="36" t="n">
        <f aca="false">IF($D816&lt;&gt;"销项开票",0,ROUND(N($H816)*N($I816),2))</f>
        <v>0</v>
      </c>
      <c r="P816" s="36" t="n">
        <f aca="false">IF($D816&lt;&gt;"销项开票",0,ROUND(N($H816)-$O816,2))</f>
        <v>0</v>
      </c>
      <c r="Q816" s="37" t="str">
        <f aca="false">IF($E816="","",N(IFERROR(INDEX(单位档案!$E$6:$E$35,MATCH($E816,单位档案!$A$6:$A$35,0)),"")))</f>
        <v/>
      </c>
      <c r="R816" s="37" t="str">
        <f aca="false">IF($E816="","",N(IFERROR(INDEX(单位档案!$F$6:$F$35,MATCH($E816,单位档案!$A$6:$A$35,0)),"")))</f>
        <v/>
      </c>
      <c r="S816" s="36" t="n">
        <f aca="false">IF(OR($D816&lt;&gt;"销项开票",IFERROR(INDEX(单位档案!$G$6:$G$35,MATCH($E816,单位档案!$A$6:$A$35,0)),"")&lt;&gt;"是",N($Q816)=0),0,IF(IFERROR(INDEX(单位档案!$H$6:$H$35,MATCH($E816,单位档案!$A$6:$A$35,0)),"")="税差法",ROUND(N($H816)/(1+$Q816)*$Q816-IF(N($R816)=0,0,$P816/(1+$R816)*$R816),2),ROUND(N($H816)/(1+$Q816)*$Q816,2)))</f>
        <v>0</v>
      </c>
      <c r="T816" s="36" t="n">
        <f aca="false">ROUND($S816*N(IFERROR(INDEX(单位档案!$J$6:$J$35,MATCH($E816,单位档案!$A$6:$A$35,0)),"")),2)</f>
        <v>0</v>
      </c>
      <c r="U816" s="36" t="n">
        <f aca="false">IF($D816&lt;&gt;"销项开票",0,ROUND(N($H816)*N(IFERROR(INDEX(单位档案!$K$6:$K$35,MATCH($E816,单位档案!$A$6:$A$35,0)),"")),2))</f>
        <v>0</v>
      </c>
      <c r="V816" s="36" t="n">
        <f aca="false">IF(OR($D816&lt;&gt;"销项开票",N($Q816)=0),0,ROUND(N($H816)/(1+$Q816)*N(IFERROR(INDEX(单位档案!$L$6:$L$35,MATCH($E816,单位档案!$A$6:$A$35,0)),"")),2))</f>
        <v>0</v>
      </c>
      <c r="W816" s="36" t="n">
        <f aca="false">ROUND($S816+$T816+$U816+$V816,2)</f>
        <v>0</v>
      </c>
      <c r="X816" s="35" t="str">
        <f aca="false">IF(OR($D816="挂靠代收",$D816="我方收款"),COUNTIFS($D$5:$D816,"挂靠代收")+COUNTIFS($D$5:$D816,"我方收款"),"")</f>
        <v/>
      </c>
      <c r="Y816" s="35"/>
      <c r="Z816" s="21" t="s">
        <v>111</v>
      </c>
    </row>
    <row r="817" customFormat="false" ht="15.75" hidden="false" customHeight="true" outlineLevel="0" collapsed="false">
      <c r="A817" s="32" t="str">
        <f aca="false">IF($B817="","",ROW()-4)</f>
        <v/>
      </c>
      <c r="B817" s="26"/>
      <c r="C817" s="24"/>
      <c r="D817" s="21"/>
      <c r="E817" s="21"/>
      <c r="F817" s="21"/>
      <c r="G817" s="21"/>
      <c r="H817" s="27"/>
      <c r="I817" s="23" t="str">
        <f aca="false">IF($D817&lt;&gt;"销项开票","",IF($N817="一级",IF(IFERROR(INDEX(项目档案!$E$6:$E$255,MATCH($C817,项目档案!$A$6:$A$255,0)),"")="",N(IFERROR(INDEX(单位档案!$D$6:$D$35,MATCH($E817,单位档案!$A$6:$A$35,0)),"")),IFERROR(INDEX(项目档案!$E$6:$E$255,MATCH($C817,项目档案!$A$6:$A$255,0)),"")),IF($N817="二级",IF(IFERROR(INDEX(项目档案!$G$6:$G$255,MATCH($C817,项目档案!$A$6:$A$255,0)),"")="",N(IFERROR(INDEX(单位档案!$D$6:$D$35,MATCH($E817,单位档案!$A$6:$A$35,0)),"")),IFERROR(INDEX(项目档案!$G$6:$G$255,MATCH($C817,项目档案!$A$6:$A$255,0)),"")),N(IFERROR(INDEX(单位档案!$D$6:$D$35,MATCH($E817,单位档案!$A$6:$A$35,0)),"")))))</f>
        <v/>
      </c>
      <c r="J817" s="22"/>
      <c r="K817" s="22"/>
      <c r="L817" s="33" t="str">
        <f aca="false">IF($B817="","",IF(NOT(ISNUMBER($B817)),"日期格式不对",IF($C817="","未选项目编号",IF(LEFT($M817,1)="⚠","项目编号不存在",IF($D817="","未选业务类型",IF($E817="","未选开票/付款方",IF(ISNA(MATCH($E817,单位档案!$A$6:$A$35,0)),"开票方不在单位档案",IF($F817="","未选收票/收款方",IF(ISNA(MATCH($F817,单位档案!$A$6:$A$35,0)),"收款方不在单位档案",IF(NOT(ISNUMBER($H817)),"金额须为数字",IF(AND($D817="销项开票",$N817="—"),"链条待确认","√")))))))))))</f>
        <v/>
      </c>
      <c r="M817" s="34" t="str">
        <f aca="false">IF($C817="","",IFERROR(INDEX(项目档案!$B$6:$B$255,MATCH($C817,项目档案!$A$6:$A$255,0)),"⚠项目编号不存在"))</f>
        <v/>
      </c>
      <c r="N817" s="35" t="str">
        <f aca="false">IF($E817="","",IF($E817=IFERROR(INDEX(项目档案!$D$6:$D$255,MATCH($C817,项目档案!$A$6:$A$255,0)),""),"一级",IF($E817=IFERROR(INDEX(项目档案!$F$6:$F$255,MATCH($C817,项目档案!$A$6:$A$255,0)),""),"二级",IF($E817=IFERROR(INDEX(项目档案!$H$6:$H$255,MATCH($C817,项目档案!$A$6:$A$255,0)),""),"我方","—"))))</f>
        <v/>
      </c>
      <c r="O817" s="36" t="n">
        <f aca="false">IF($D817&lt;&gt;"销项开票",0,ROUND(N($H817)*N($I817),2))</f>
        <v>0</v>
      </c>
      <c r="P817" s="36" t="n">
        <f aca="false">IF($D817&lt;&gt;"销项开票",0,ROUND(N($H817)-$O817,2))</f>
        <v>0</v>
      </c>
      <c r="Q817" s="37" t="str">
        <f aca="false">IF($E817="","",N(IFERROR(INDEX(单位档案!$E$6:$E$35,MATCH($E817,单位档案!$A$6:$A$35,0)),"")))</f>
        <v/>
      </c>
      <c r="R817" s="37" t="str">
        <f aca="false">IF($E817="","",N(IFERROR(INDEX(单位档案!$F$6:$F$35,MATCH($E817,单位档案!$A$6:$A$35,0)),"")))</f>
        <v/>
      </c>
      <c r="S817" s="36" t="n">
        <f aca="false">IF(OR($D817&lt;&gt;"销项开票",IFERROR(INDEX(单位档案!$G$6:$G$35,MATCH($E817,单位档案!$A$6:$A$35,0)),"")&lt;&gt;"是",N($Q817)=0),0,IF(IFERROR(INDEX(单位档案!$H$6:$H$35,MATCH($E817,单位档案!$A$6:$A$35,0)),"")="税差法",ROUND(N($H817)/(1+$Q817)*$Q817-IF(N($R817)=0,0,$P817/(1+$R817)*$R817),2),ROUND(N($H817)/(1+$Q817)*$Q817,2)))</f>
        <v>0</v>
      </c>
      <c r="T817" s="36" t="n">
        <f aca="false">ROUND($S817*N(IFERROR(INDEX(单位档案!$J$6:$J$35,MATCH($E817,单位档案!$A$6:$A$35,0)),"")),2)</f>
        <v>0</v>
      </c>
      <c r="U817" s="36" t="n">
        <f aca="false">IF($D817&lt;&gt;"销项开票",0,ROUND(N($H817)*N(IFERROR(INDEX(单位档案!$K$6:$K$35,MATCH($E817,单位档案!$A$6:$A$35,0)),"")),2))</f>
        <v>0</v>
      </c>
      <c r="V817" s="36" t="n">
        <f aca="false">IF(OR($D817&lt;&gt;"销项开票",N($Q817)=0),0,ROUND(N($H817)/(1+$Q817)*N(IFERROR(INDEX(单位档案!$L$6:$L$35,MATCH($E817,单位档案!$A$6:$A$35,0)),"")),2))</f>
        <v>0</v>
      </c>
      <c r="W817" s="36" t="n">
        <f aca="false">ROUND($S817+$T817+$U817+$V817,2)</f>
        <v>0</v>
      </c>
      <c r="X817" s="35" t="str">
        <f aca="false">IF(OR($D817="挂靠代收",$D817="我方收款"),COUNTIFS($D$5:$D817,"挂靠代收")+COUNTIFS($D$5:$D817,"我方收款"),"")</f>
        <v/>
      </c>
      <c r="Y817" s="35"/>
      <c r="Z817" s="21" t="s">
        <v>111</v>
      </c>
    </row>
    <row r="818" customFormat="false" ht="15.75" hidden="false" customHeight="true" outlineLevel="0" collapsed="false">
      <c r="A818" s="32" t="str">
        <f aca="false">IF($B818="","",ROW()-4)</f>
        <v/>
      </c>
      <c r="B818" s="26"/>
      <c r="C818" s="24"/>
      <c r="D818" s="21"/>
      <c r="E818" s="21"/>
      <c r="F818" s="21"/>
      <c r="G818" s="21"/>
      <c r="H818" s="27"/>
      <c r="I818" s="23" t="str">
        <f aca="false">IF($D818&lt;&gt;"销项开票","",IF($N818="一级",IF(IFERROR(INDEX(项目档案!$E$6:$E$255,MATCH($C818,项目档案!$A$6:$A$255,0)),"")="",N(IFERROR(INDEX(单位档案!$D$6:$D$35,MATCH($E818,单位档案!$A$6:$A$35,0)),"")),IFERROR(INDEX(项目档案!$E$6:$E$255,MATCH($C818,项目档案!$A$6:$A$255,0)),"")),IF($N818="二级",IF(IFERROR(INDEX(项目档案!$G$6:$G$255,MATCH($C818,项目档案!$A$6:$A$255,0)),"")="",N(IFERROR(INDEX(单位档案!$D$6:$D$35,MATCH($E818,单位档案!$A$6:$A$35,0)),"")),IFERROR(INDEX(项目档案!$G$6:$G$255,MATCH($C818,项目档案!$A$6:$A$255,0)),"")),N(IFERROR(INDEX(单位档案!$D$6:$D$35,MATCH($E818,单位档案!$A$6:$A$35,0)),"")))))</f>
        <v/>
      </c>
      <c r="J818" s="22"/>
      <c r="K818" s="22"/>
      <c r="L818" s="33" t="str">
        <f aca="false">IF($B818="","",IF(NOT(ISNUMBER($B818)),"日期格式不对",IF($C818="","未选项目编号",IF(LEFT($M818,1)="⚠","项目编号不存在",IF($D818="","未选业务类型",IF($E818="","未选开票/付款方",IF(ISNA(MATCH($E818,单位档案!$A$6:$A$35,0)),"开票方不在单位档案",IF($F818="","未选收票/收款方",IF(ISNA(MATCH($F818,单位档案!$A$6:$A$35,0)),"收款方不在单位档案",IF(NOT(ISNUMBER($H818)),"金额须为数字",IF(AND($D818="销项开票",$N818="—"),"链条待确认","√")))))))))))</f>
        <v/>
      </c>
      <c r="M818" s="34" t="str">
        <f aca="false">IF($C818="","",IFERROR(INDEX(项目档案!$B$6:$B$255,MATCH($C818,项目档案!$A$6:$A$255,0)),"⚠项目编号不存在"))</f>
        <v/>
      </c>
      <c r="N818" s="35" t="str">
        <f aca="false">IF($E818="","",IF($E818=IFERROR(INDEX(项目档案!$D$6:$D$255,MATCH($C818,项目档案!$A$6:$A$255,0)),""),"一级",IF($E818=IFERROR(INDEX(项目档案!$F$6:$F$255,MATCH($C818,项目档案!$A$6:$A$255,0)),""),"二级",IF($E818=IFERROR(INDEX(项目档案!$H$6:$H$255,MATCH($C818,项目档案!$A$6:$A$255,0)),""),"我方","—"))))</f>
        <v/>
      </c>
      <c r="O818" s="36" t="n">
        <f aca="false">IF($D818&lt;&gt;"销项开票",0,ROUND(N($H818)*N($I818),2))</f>
        <v>0</v>
      </c>
      <c r="P818" s="36" t="n">
        <f aca="false">IF($D818&lt;&gt;"销项开票",0,ROUND(N($H818)-$O818,2))</f>
        <v>0</v>
      </c>
      <c r="Q818" s="37" t="str">
        <f aca="false">IF($E818="","",N(IFERROR(INDEX(单位档案!$E$6:$E$35,MATCH($E818,单位档案!$A$6:$A$35,0)),"")))</f>
        <v/>
      </c>
      <c r="R818" s="37" t="str">
        <f aca="false">IF($E818="","",N(IFERROR(INDEX(单位档案!$F$6:$F$35,MATCH($E818,单位档案!$A$6:$A$35,0)),"")))</f>
        <v/>
      </c>
      <c r="S818" s="36" t="n">
        <f aca="false">IF(OR($D818&lt;&gt;"销项开票",IFERROR(INDEX(单位档案!$G$6:$G$35,MATCH($E818,单位档案!$A$6:$A$35,0)),"")&lt;&gt;"是",N($Q818)=0),0,IF(IFERROR(INDEX(单位档案!$H$6:$H$35,MATCH($E818,单位档案!$A$6:$A$35,0)),"")="税差法",ROUND(N($H818)/(1+$Q818)*$Q818-IF(N($R818)=0,0,$P818/(1+$R818)*$R818),2),ROUND(N($H818)/(1+$Q818)*$Q818,2)))</f>
        <v>0</v>
      </c>
      <c r="T818" s="36" t="n">
        <f aca="false">ROUND($S818*N(IFERROR(INDEX(单位档案!$J$6:$J$35,MATCH($E818,单位档案!$A$6:$A$35,0)),"")),2)</f>
        <v>0</v>
      </c>
      <c r="U818" s="36" t="n">
        <f aca="false">IF($D818&lt;&gt;"销项开票",0,ROUND(N($H818)*N(IFERROR(INDEX(单位档案!$K$6:$K$35,MATCH($E818,单位档案!$A$6:$A$35,0)),"")),2))</f>
        <v>0</v>
      </c>
      <c r="V818" s="36" t="n">
        <f aca="false">IF(OR($D818&lt;&gt;"销项开票",N($Q818)=0),0,ROUND(N($H818)/(1+$Q818)*N(IFERROR(INDEX(单位档案!$L$6:$L$35,MATCH($E818,单位档案!$A$6:$A$35,0)),"")),2))</f>
        <v>0</v>
      </c>
      <c r="W818" s="36" t="n">
        <f aca="false">ROUND($S818+$T818+$U818+$V818,2)</f>
        <v>0</v>
      </c>
      <c r="X818" s="35" t="str">
        <f aca="false">IF(OR($D818="挂靠代收",$D818="我方收款"),COUNTIFS($D$5:$D818,"挂靠代收")+COUNTIFS($D$5:$D818,"我方收款"),"")</f>
        <v/>
      </c>
      <c r="Y818" s="35"/>
      <c r="Z818" s="21" t="s">
        <v>111</v>
      </c>
    </row>
    <row r="819" customFormat="false" ht="15.75" hidden="false" customHeight="true" outlineLevel="0" collapsed="false">
      <c r="A819" s="32" t="str">
        <f aca="false">IF($B819="","",ROW()-4)</f>
        <v/>
      </c>
      <c r="B819" s="26"/>
      <c r="C819" s="24"/>
      <c r="D819" s="21"/>
      <c r="E819" s="21"/>
      <c r="F819" s="21"/>
      <c r="G819" s="21"/>
      <c r="H819" s="27"/>
      <c r="I819" s="23" t="str">
        <f aca="false">IF($D819&lt;&gt;"销项开票","",IF($N819="一级",IF(IFERROR(INDEX(项目档案!$E$6:$E$255,MATCH($C819,项目档案!$A$6:$A$255,0)),"")="",N(IFERROR(INDEX(单位档案!$D$6:$D$35,MATCH($E819,单位档案!$A$6:$A$35,0)),"")),IFERROR(INDEX(项目档案!$E$6:$E$255,MATCH($C819,项目档案!$A$6:$A$255,0)),"")),IF($N819="二级",IF(IFERROR(INDEX(项目档案!$G$6:$G$255,MATCH($C819,项目档案!$A$6:$A$255,0)),"")="",N(IFERROR(INDEX(单位档案!$D$6:$D$35,MATCH($E819,单位档案!$A$6:$A$35,0)),"")),IFERROR(INDEX(项目档案!$G$6:$G$255,MATCH($C819,项目档案!$A$6:$A$255,0)),"")),N(IFERROR(INDEX(单位档案!$D$6:$D$35,MATCH($E819,单位档案!$A$6:$A$35,0)),"")))))</f>
        <v/>
      </c>
      <c r="J819" s="22"/>
      <c r="K819" s="22"/>
      <c r="L819" s="33" t="str">
        <f aca="false">IF($B819="","",IF(NOT(ISNUMBER($B819)),"日期格式不对",IF($C819="","未选项目编号",IF(LEFT($M819,1)="⚠","项目编号不存在",IF($D819="","未选业务类型",IF($E819="","未选开票/付款方",IF(ISNA(MATCH($E819,单位档案!$A$6:$A$35,0)),"开票方不在单位档案",IF($F819="","未选收票/收款方",IF(ISNA(MATCH($F819,单位档案!$A$6:$A$35,0)),"收款方不在单位档案",IF(NOT(ISNUMBER($H819)),"金额须为数字",IF(AND($D819="销项开票",$N819="—"),"链条待确认","√")))))))))))</f>
        <v/>
      </c>
      <c r="M819" s="34" t="str">
        <f aca="false">IF($C819="","",IFERROR(INDEX(项目档案!$B$6:$B$255,MATCH($C819,项目档案!$A$6:$A$255,0)),"⚠项目编号不存在"))</f>
        <v/>
      </c>
      <c r="N819" s="35" t="str">
        <f aca="false">IF($E819="","",IF($E819=IFERROR(INDEX(项目档案!$D$6:$D$255,MATCH($C819,项目档案!$A$6:$A$255,0)),""),"一级",IF($E819=IFERROR(INDEX(项目档案!$F$6:$F$255,MATCH($C819,项目档案!$A$6:$A$255,0)),""),"二级",IF($E819=IFERROR(INDEX(项目档案!$H$6:$H$255,MATCH($C819,项目档案!$A$6:$A$255,0)),""),"我方","—"))))</f>
        <v/>
      </c>
      <c r="O819" s="36" t="n">
        <f aca="false">IF($D819&lt;&gt;"销项开票",0,ROUND(N($H819)*N($I819),2))</f>
        <v>0</v>
      </c>
      <c r="P819" s="36" t="n">
        <f aca="false">IF($D819&lt;&gt;"销项开票",0,ROUND(N($H819)-$O819,2))</f>
        <v>0</v>
      </c>
      <c r="Q819" s="37" t="str">
        <f aca="false">IF($E819="","",N(IFERROR(INDEX(单位档案!$E$6:$E$35,MATCH($E819,单位档案!$A$6:$A$35,0)),"")))</f>
        <v/>
      </c>
      <c r="R819" s="37" t="str">
        <f aca="false">IF($E819="","",N(IFERROR(INDEX(单位档案!$F$6:$F$35,MATCH($E819,单位档案!$A$6:$A$35,0)),"")))</f>
        <v/>
      </c>
      <c r="S819" s="36" t="n">
        <f aca="false">IF(OR($D819&lt;&gt;"销项开票",IFERROR(INDEX(单位档案!$G$6:$G$35,MATCH($E819,单位档案!$A$6:$A$35,0)),"")&lt;&gt;"是",N($Q819)=0),0,IF(IFERROR(INDEX(单位档案!$H$6:$H$35,MATCH($E819,单位档案!$A$6:$A$35,0)),"")="税差法",ROUND(N($H819)/(1+$Q819)*$Q819-IF(N($R819)=0,0,$P819/(1+$R819)*$R819),2),ROUND(N($H819)/(1+$Q819)*$Q819,2)))</f>
        <v>0</v>
      </c>
      <c r="T819" s="36" t="n">
        <f aca="false">ROUND($S819*N(IFERROR(INDEX(单位档案!$J$6:$J$35,MATCH($E819,单位档案!$A$6:$A$35,0)),"")),2)</f>
        <v>0</v>
      </c>
      <c r="U819" s="36" t="n">
        <f aca="false">IF($D819&lt;&gt;"销项开票",0,ROUND(N($H819)*N(IFERROR(INDEX(单位档案!$K$6:$K$35,MATCH($E819,单位档案!$A$6:$A$35,0)),"")),2))</f>
        <v>0</v>
      </c>
      <c r="V819" s="36" t="n">
        <f aca="false">IF(OR($D819&lt;&gt;"销项开票",N($Q819)=0),0,ROUND(N($H819)/(1+$Q819)*N(IFERROR(INDEX(单位档案!$L$6:$L$35,MATCH($E819,单位档案!$A$6:$A$35,0)),"")),2))</f>
        <v>0</v>
      </c>
      <c r="W819" s="36" t="n">
        <f aca="false">ROUND($S819+$T819+$U819+$V819,2)</f>
        <v>0</v>
      </c>
      <c r="X819" s="35" t="str">
        <f aca="false">IF(OR($D819="挂靠代收",$D819="我方收款"),COUNTIFS($D$5:$D819,"挂靠代收")+COUNTIFS($D$5:$D819,"我方收款"),"")</f>
        <v/>
      </c>
      <c r="Y819" s="35"/>
      <c r="Z819" s="21" t="s">
        <v>111</v>
      </c>
    </row>
    <row r="820" customFormat="false" ht="15.75" hidden="false" customHeight="true" outlineLevel="0" collapsed="false">
      <c r="A820" s="32" t="str">
        <f aca="false">IF($B820="","",ROW()-4)</f>
        <v/>
      </c>
      <c r="B820" s="26"/>
      <c r="C820" s="24"/>
      <c r="D820" s="21"/>
      <c r="E820" s="21"/>
      <c r="F820" s="21"/>
      <c r="G820" s="21"/>
      <c r="H820" s="27"/>
      <c r="I820" s="23" t="str">
        <f aca="false">IF($D820&lt;&gt;"销项开票","",IF($N820="一级",IF(IFERROR(INDEX(项目档案!$E$6:$E$255,MATCH($C820,项目档案!$A$6:$A$255,0)),"")="",N(IFERROR(INDEX(单位档案!$D$6:$D$35,MATCH($E820,单位档案!$A$6:$A$35,0)),"")),IFERROR(INDEX(项目档案!$E$6:$E$255,MATCH($C820,项目档案!$A$6:$A$255,0)),"")),IF($N820="二级",IF(IFERROR(INDEX(项目档案!$G$6:$G$255,MATCH($C820,项目档案!$A$6:$A$255,0)),"")="",N(IFERROR(INDEX(单位档案!$D$6:$D$35,MATCH($E820,单位档案!$A$6:$A$35,0)),"")),IFERROR(INDEX(项目档案!$G$6:$G$255,MATCH($C820,项目档案!$A$6:$A$255,0)),"")),N(IFERROR(INDEX(单位档案!$D$6:$D$35,MATCH($E820,单位档案!$A$6:$A$35,0)),"")))))</f>
        <v/>
      </c>
      <c r="J820" s="22"/>
      <c r="K820" s="22"/>
      <c r="L820" s="33" t="str">
        <f aca="false">IF($B820="","",IF(NOT(ISNUMBER($B820)),"日期格式不对",IF($C820="","未选项目编号",IF(LEFT($M820,1)="⚠","项目编号不存在",IF($D820="","未选业务类型",IF($E820="","未选开票/付款方",IF(ISNA(MATCH($E820,单位档案!$A$6:$A$35,0)),"开票方不在单位档案",IF($F820="","未选收票/收款方",IF(ISNA(MATCH($F820,单位档案!$A$6:$A$35,0)),"收款方不在单位档案",IF(NOT(ISNUMBER($H820)),"金额须为数字",IF(AND($D820="销项开票",$N820="—"),"链条待确认","√")))))))))))</f>
        <v/>
      </c>
      <c r="M820" s="34" t="str">
        <f aca="false">IF($C820="","",IFERROR(INDEX(项目档案!$B$6:$B$255,MATCH($C820,项目档案!$A$6:$A$255,0)),"⚠项目编号不存在"))</f>
        <v/>
      </c>
      <c r="N820" s="35" t="str">
        <f aca="false">IF($E820="","",IF($E820=IFERROR(INDEX(项目档案!$D$6:$D$255,MATCH($C820,项目档案!$A$6:$A$255,0)),""),"一级",IF($E820=IFERROR(INDEX(项目档案!$F$6:$F$255,MATCH($C820,项目档案!$A$6:$A$255,0)),""),"二级",IF($E820=IFERROR(INDEX(项目档案!$H$6:$H$255,MATCH($C820,项目档案!$A$6:$A$255,0)),""),"我方","—"))))</f>
        <v/>
      </c>
      <c r="O820" s="36" t="n">
        <f aca="false">IF($D820&lt;&gt;"销项开票",0,ROUND(N($H820)*N($I820),2))</f>
        <v>0</v>
      </c>
      <c r="P820" s="36" t="n">
        <f aca="false">IF($D820&lt;&gt;"销项开票",0,ROUND(N($H820)-$O820,2))</f>
        <v>0</v>
      </c>
      <c r="Q820" s="37" t="str">
        <f aca="false">IF($E820="","",N(IFERROR(INDEX(单位档案!$E$6:$E$35,MATCH($E820,单位档案!$A$6:$A$35,0)),"")))</f>
        <v/>
      </c>
      <c r="R820" s="37" t="str">
        <f aca="false">IF($E820="","",N(IFERROR(INDEX(单位档案!$F$6:$F$35,MATCH($E820,单位档案!$A$6:$A$35,0)),"")))</f>
        <v/>
      </c>
      <c r="S820" s="36" t="n">
        <f aca="false">IF(OR($D820&lt;&gt;"销项开票",IFERROR(INDEX(单位档案!$G$6:$G$35,MATCH($E820,单位档案!$A$6:$A$35,0)),"")&lt;&gt;"是",N($Q820)=0),0,IF(IFERROR(INDEX(单位档案!$H$6:$H$35,MATCH($E820,单位档案!$A$6:$A$35,0)),"")="税差法",ROUND(N($H820)/(1+$Q820)*$Q820-IF(N($R820)=0,0,$P820/(1+$R820)*$R820),2),ROUND(N($H820)/(1+$Q820)*$Q820,2)))</f>
        <v>0</v>
      </c>
      <c r="T820" s="36" t="n">
        <f aca="false">ROUND($S820*N(IFERROR(INDEX(单位档案!$J$6:$J$35,MATCH($E820,单位档案!$A$6:$A$35,0)),"")),2)</f>
        <v>0</v>
      </c>
      <c r="U820" s="36" t="n">
        <f aca="false">IF($D820&lt;&gt;"销项开票",0,ROUND(N($H820)*N(IFERROR(INDEX(单位档案!$K$6:$K$35,MATCH($E820,单位档案!$A$6:$A$35,0)),"")),2))</f>
        <v>0</v>
      </c>
      <c r="V820" s="36" t="n">
        <f aca="false">IF(OR($D820&lt;&gt;"销项开票",N($Q820)=0),0,ROUND(N($H820)/(1+$Q820)*N(IFERROR(INDEX(单位档案!$L$6:$L$35,MATCH($E820,单位档案!$A$6:$A$35,0)),"")),2))</f>
        <v>0</v>
      </c>
      <c r="W820" s="36" t="n">
        <f aca="false">ROUND($S820+$T820+$U820+$V820,2)</f>
        <v>0</v>
      </c>
      <c r="X820" s="35" t="str">
        <f aca="false">IF(OR($D820="挂靠代收",$D820="我方收款"),COUNTIFS($D$5:$D820,"挂靠代收")+COUNTIFS($D$5:$D820,"我方收款"),"")</f>
        <v/>
      </c>
      <c r="Y820" s="35"/>
      <c r="Z820" s="21" t="s">
        <v>111</v>
      </c>
    </row>
    <row r="821" customFormat="false" ht="15.75" hidden="false" customHeight="true" outlineLevel="0" collapsed="false">
      <c r="A821" s="32" t="str">
        <f aca="false">IF($B821="","",ROW()-4)</f>
        <v/>
      </c>
      <c r="B821" s="26"/>
      <c r="C821" s="24"/>
      <c r="D821" s="21"/>
      <c r="E821" s="21"/>
      <c r="F821" s="21"/>
      <c r="G821" s="21"/>
      <c r="H821" s="27"/>
      <c r="I821" s="23" t="str">
        <f aca="false">IF($D821&lt;&gt;"销项开票","",IF($N821="一级",IF(IFERROR(INDEX(项目档案!$E$6:$E$255,MATCH($C821,项目档案!$A$6:$A$255,0)),"")="",N(IFERROR(INDEX(单位档案!$D$6:$D$35,MATCH($E821,单位档案!$A$6:$A$35,0)),"")),IFERROR(INDEX(项目档案!$E$6:$E$255,MATCH($C821,项目档案!$A$6:$A$255,0)),"")),IF($N821="二级",IF(IFERROR(INDEX(项目档案!$G$6:$G$255,MATCH($C821,项目档案!$A$6:$A$255,0)),"")="",N(IFERROR(INDEX(单位档案!$D$6:$D$35,MATCH($E821,单位档案!$A$6:$A$35,0)),"")),IFERROR(INDEX(项目档案!$G$6:$G$255,MATCH($C821,项目档案!$A$6:$A$255,0)),"")),N(IFERROR(INDEX(单位档案!$D$6:$D$35,MATCH($E821,单位档案!$A$6:$A$35,0)),"")))))</f>
        <v/>
      </c>
      <c r="J821" s="22"/>
      <c r="K821" s="22"/>
      <c r="L821" s="33" t="str">
        <f aca="false">IF($B821="","",IF(NOT(ISNUMBER($B821)),"日期格式不对",IF($C821="","未选项目编号",IF(LEFT($M821,1)="⚠","项目编号不存在",IF($D821="","未选业务类型",IF($E821="","未选开票/付款方",IF(ISNA(MATCH($E821,单位档案!$A$6:$A$35,0)),"开票方不在单位档案",IF($F821="","未选收票/收款方",IF(ISNA(MATCH($F821,单位档案!$A$6:$A$35,0)),"收款方不在单位档案",IF(NOT(ISNUMBER($H821)),"金额须为数字",IF(AND($D821="销项开票",$N821="—"),"链条待确认","√")))))))))))</f>
        <v/>
      </c>
      <c r="M821" s="34" t="str">
        <f aca="false">IF($C821="","",IFERROR(INDEX(项目档案!$B$6:$B$255,MATCH($C821,项目档案!$A$6:$A$255,0)),"⚠项目编号不存在"))</f>
        <v/>
      </c>
      <c r="N821" s="35" t="str">
        <f aca="false">IF($E821="","",IF($E821=IFERROR(INDEX(项目档案!$D$6:$D$255,MATCH($C821,项目档案!$A$6:$A$255,0)),""),"一级",IF($E821=IFERROR(INDEX(项目档案!$F$6:$F$255,MATCH($C821,项目档案!$A$6:$A$255,0)),""),"二级",IF($E821=IFERROR(INDEX(项目档案!$H$6:$H$255,MATCH($C821,项目档案!$A$6:$A$255,0)),""),"我方","—"))))</f>
        <v/>
      </c>
      <c r="O821" s="36" t="n">
        <f aca="false">IF($D821&lt;&gt;"销项开票",0,ROUND(N($H821)*N($I821),2))</f>
        <v>0</v>
      </c>
      <c r="P821" s="36" t="n">
        <f aca="false">IF($D821&lt;&gt;"销项开票",0,ROUND(N($H821)-$O821,2))</f>
        <v>0</v>
      </c>
      <c r="Q821" s="37" t="str">
        <f aca="false">IF($E821="","",N(IFERROR(INDEX(单位档案!$E$6:$E$35,MATCH($E821,单位档案!$A$6:$A$35,0)),"")))</f>
        <v/>
      </c>
      <c r="R821" s="37" t="str">
        <f aca="false">IF($E821="","",N(IFERROR(INDEX(单位档案!$F$6:$F$35,MATCH($E821,单位档案!$A$6:$A$35,0)),"")))</f>
        <v/>
      </c>
      <c r="S821" s="36" t="n">
        <f aca="false">IF(OR($D821&lt;&gt;"销项开票",IFERROR(INDEX(单位档案!$G$6:$G$35,MATCH($E821,单位档案!$A$6:$A$35,0)),"")&lt;&gt;"是",N($Q821)=0),0,IF(IFERROR(INDEX(单位档案!$H$6:$H$35,MATCH($E821,单位档案!$A$6:$A$35,0)),"")="税差法",ROUND(N($H821)/(1+$Q821)*$Q821-IF(N($R821)=0,0,$P821/(1+$R821)*$R821),2),ROUND(N($H821)/(1+$Q821)*$Q821,2)))</f>
        <v>0</v>
      </c>
      <c r="T821" s="36" t="n">
        <f aca="false">ROUND($S821*N(IFERROR(INDEX(单位档案!$J$6:$J$35,MATCH($E821,单位档案!$A$6:$A$35,0)),"")),2)</f>
        <v>0</v>
      </c>
      <c r="U821" s="36" t="n">
        <f aca="false">IF($D821&lt;&gt;"销项开票",0,ROUND(N($H821)*N(IFERROR(INDEX(单位档案!$K$6:$K$35,MATCH($E821,单位档案!$A$6:$A$35,0)),"")),2))</f>
        <v>0</v>
      </c>
      <c r="V821" s="36" t="n">
        <f aca="false">IF(OR($D821&lt;&gt;"销项开票",N($Q821)=0),0,ROUND(N($H821)/(1+$Q821)*N(IFERROR(INDEX(单位档案!$L$6:$L$35,MATCH($E821,单位档案!$A$6:$A$35,0)),"")),2))</f>
        <v>0</v>
      </c>
      <c r="W821" s="36" t="n">
        <f aca="false">ROUND($S821+$T821+$U821+$V821,2)</f>
        <v>0</v>
      </c>
      <c r="X821" s="35" t="str">
        <f aca="false">IF(OR($D821="挂靠代收",$D821="我方收款"),COUNTIFS($D$5:$D821,"挂靠代收")+COUNTIFS($D$5:$D821,"我方收款"),"")</f>
        <v/>
      </c>
      <c r="Y821" s="35"/>
      <c r="Z821" s="21" t="s">
        <v>111</v>
      </c>
    </row>
    <row r="822" customFormat="false" ht="15.75" hidden="false" customHeight="true" outlineLevel="0" collapsed="false">
      <c r="A822" s="32" t="str">
        <f aca="false">IF($B822="","",ROW()-4)</f>
        <v/>
      </c>
      <c r="B822" s="26"/>
      <c r="C822" s="24"/>
      <c r="D822" s="21"/>
      <c r="E822" s="21"/>
      <c r="F822" s="21"/>
      <c r="G822" s="21"/>
      <c r="H822" s="27"/>
      <c r="I822" s="23" t="str">
        <f aca="false">IF($D822&lt;&gt;"销项开票","",IF($N822="一级",IF(IFERROR(INDEX(项目档案!$E$6:$E$255,MATCH($C822,项目档案!$A$6:$A$255,0)),"")="",N(IFERROR(INDEX(单位档案!$D$6:$D$35,MATCH($E822,单位档案!$A$6:$A$35,0)),"")),IFERROR(INDEX(项目档案!$E$6:$E$255,MATCH($C822,项目档案!$A$6:$A$255,0)),"")),IF($N822="二级",IF(IFERROR(INDEX(项目档案!$G$6:$G$255,MATCH($C822,项目档案!$A$6:$A$255,0)),"")="",N(IFERROR(INDEX(单位档案!$D$6:$D$35,MATCH($E822,单位档案!$A$6:$A$35,0)),"")),IFERROR(INDEX(项目档案!$G$6:$G$255,MATCH($C822,项目档案!$A$6:$A$255,0)),"")),N(IFERROR(INDEX(单位档案!$D$6:$D$35,MATCH($E822,单位档案!$A$6:$A$35,0)),"")))))</f>
        <v/>
      </c>
      <c r="J822" s="22"/>
      <c r="K822" s="22"/>
      <c r="L822" s="33" t="str">
        <f aca="false">IF($B822="","",IF(NOT(ISNUMBER($B822)),"日期格式不对",IF($C822="","未选项目编号",IF(LEFT($M822,1)="⚠","项目编号不存在",IF($D822="","未选业务类型",IF($E822="","未选开票/付款方",IF(ISNA(MATCH($E822,单位档案!$A$6:$A$35,0)),"开票方不在单位档案",IF($F822="","未选收票/收款方",IF(ISNA(MATCH($F822,单位档案!$A$6:$A$35,0)),"收款方不在单位档案",IF(NOT(ISNUMBER($H822)),"金额须为数字",IF(AND($D822="销项开票",$N822="—"),"链条待确认","√")))))))))))</f>
        <v/>
      </c>
      <c r="M822" s="34" t="str">
        <f aca="false">IF($C822="","",IFERROR(INDEX(项目档案!$B$6:$B$255,MATCH($C822,项目档案!$A$6:$A$255,0)),"⚠项目编号不存在"))</f>
        <v/>
      </c>
      <c r="N822" s="35" t="str">
        <f aca="false">IF($E822="","",IF($E822=IFERROR(INDEX(项目档案!$D$6:$D$255,MATCH($C822,项目档案!$A$6:$A$255,0)),""),"一级",IF($E822=IFERROR(INDEX(项目档案!$F$6:$F$255,MATCH($C822,项目档案!$A$6:$A$255,0)),""),"二级",IF($E822=IFERROR(INDEX(项目档案!$H$6:$H$255,MATCH($C822,项目档案!$A$6:$A$255,0)),""),"我方","—"))))</f>
        <v/>
      </c>
      <c r="O822" s="36" t="n">
        <f aca="false">IF($D822&lt;&gt;"销项开票",0,ROUND(N($H822)*N($I822),2))</f>
        <v>0</v>
      </c>
      <c r="P822" s="36" t="n">
        <f aca="false">IF($D822&lt;&gt;"销项开票",0,ROUND(N($H822)-$O822,2))</f>
        <v>0</v>
      </c>
      <c r="Q822" s="37" t="str">
        <f aca="false">IF($E822="","",N(IFERROR(INDEX(单位档案!$E$6:$E$35,MATCH($E822,单位档案!$A$6:$A$35,0)),"")))</f>
        <v/>
      </c>
      <c r="R822" s="37" t="str">
        <f aca="false">IF($E822="","",N(IFERROR(INDEX(单位档案!$F$6:$F$35,MATCH($E822,单位档案!$A$6:$A$35,0)),"")))</f>
        <v/>
      </c>
      <c r="S822" s="36" t="n">
        <f aca="false">IF(OR($D822&lt;&gt;"销项开票",IFERROR(INDEX(单位档案!$G$6:$G$35,MATCH($E822,单位档案!$A$6:$A$35,0)),"")&lt;&gt;"是",N($Q822)=0),0,IF(IFERROR(INDEX(单位档案!$H$6:$H$35,MATCH($E822,单位档案!$A$6:$A$35,0)),"")="税差法",ROUND(N($H822)/(1+$Q822)*$Q822-IF(N($R822)=0,0,$P822/(1+$R822)*$R822),2),ROUND(N($H822)/(1+$Q822)*$Q822,2)))</f>
        <v>0</v>
      </c>
      <c r="T822" s="36" t="n">
        <f aca="false">ROUND($S822*N(IFERROR(INDEX(单位档案!$J$6:$J$35,MATCH($E822,单位档案!$A$6:$A$35,0)),"")),2)</f>
        <v>0</v>
      </c>
      <c r="U822" s="36" t="n">
        <f aca="false">IF($D822&lt;&gt;"销项开票",0,ROUND(N($H822)*N(IFERROR(INDEX(单位档案!$K$6:$K$35,MATCH($E822,单位档案!$A$6:$A$35,0)),"")),2))</f>
        <v>0</v>
      </c>
      <c r="V822" s="36" t="n">
        <f aca="false">IF(OR($D822&lt;&gt;"销项开票",N($Q822)=0),0,ROUND(N($H822)/(1+$Q822)*N(IFERROR(INDEX(单位档案!$L$6:$L$35,MATCH($E822,单位档案!$A$6:$A$35,0)),"")),2))</f>
        <v>0</v>
      </c>
      <c r="W822" s="36" t="n">
        <f aca="false">ROUND($S822+$T822+$U822+$V822,2)</f>
        <v>0</v>
      </c>
      <c r="X822" s="35" t="str">
        <f aca="false">IF(OR($D822="挂靠代收",$D822="我方收款"),COUNTIFS($D$5:$D822,"挂靠代收")+COUNTIFS($D$5:$D822,"我方收款"),"")</f>
        <v/>
      </c>
      <c r="Y822" s="35"/>
      <c r="Z822" s="21" t="s">
        <v>111</v>
      </c>
    </row>
    <row r="823" customFormat="false" ht="15.75" hidden="false" customHeight="true" outlineLevel="0" collapsed="false">
      <c r="A823" s="32" t="str">
        <f aca="false">IF($B823="","",ROW()-4)</f>
        <v/>
      </c>
      <c r="B823" s="26"/>
      <c r="C823" s="24"/>
      <c r="D823" s="21"/>
      <c r="E823" s="21"/>
      <c r="F823" s="21"/>
      <c r="G823" s="21"/>
      <c r="H823" s="27"/>
      <c r="I823" s="23" t="str">
        <f aca="false">IF($D823&lt;&gt;"销项开票","",IF($N823="一级",IF(IFERROR(INDEX(项目档案!$E$6:$E$255,MATCH($C823,项目档案!$A$6:$A$255,0)),"")="",N(IFERROR(INDEX(单位档案!$D$6:$D$35,MATCH($E823,单位档案!$A$6:$A$35,0)),"")),IFERROR(INDEX(项目档案!$E$6:$E$255,MATCH($C823,项目档案!$A$6:$A$255,0)),"")),IF($N823="二级",IF(IFERROR(INDEX(项目档案!$G$6:$G$255,MATCH($C823,项目档案!$A$6:$A$255,0)),"")="",N(IFERROR(INDEX(单位档案!$D$6:$D$35,MATCH($E823,单位档案!$A$6:$A$35,0)),"")),IFERROR(INDEX(项目档案!$G$6:$G$255,MATCH($C823,项目档案!$A$6:$A$255,0)),"")),N(IFERROR(INDEX(单位档案!$D$6:$D$35,MATCH($E823,单位档案!$A$6:$A$35,0)),"")))))</f>
        <v/>
      </c>
      <c r="J823" s="22"/>
      <c r="K823" s="22"/>
      <c r="L823" s="33" t="str">
        <f aca="false">IF($B823="","",IF(NOT(ISNUMBER($B823)),"日期格式不对",IF($C823="","未选项目编号",IF(LEFT($M823,1)="⚠","项目编号不存在",IF($D823="","未选业务类型",IF($E823="","未选开票/付款方",IF(ISNA(MATCH($E823,单位档案!$A$6:$A$35,0)),"开票方不在单位档案",IF($F823="","未选收票/收款方",IF(ISNA(MATCH($F823,单位档案!$A$6:$A$35,0)),"收款方不在单位档案",IF(NOT(ISNUMBER($H823)),"金额须为数字",IF(AND($D823="销项开票",$N823="—"),"链条待确认","√")))))))))))</f>
        <v/>
      </c>
      <c r="M823" s="34" t="str">
        <f aca="false">IF($C823="","",IFERROR(INDEX(项目档案!$B$6:$B$255,MATCH($C823,项目档案!$A$6:$A$255,0)),"⚠项目编号不存在"))</f>
        <v/>
      </c>
      <c r="N823" s="35" t="str">
        <f aca="false">IF($E823="","",IF($E823=IFERROR(INDEX(项目档案!$D$6:$D$255,MATCH($C823,项目档案!$A$6:$A$255,0)),""),"一级",IF($E823=IFERROR(INDEX(项目档案!$F$6:$F$255,MATCH($C823,项目档案!$A$6:$A$255,0)),""),"二级",IF($E823=IFERROR(INDEX(项目档案!$H$6:$H$255,MATCH($C823,项目档案!$A$6:$A$255,0)),""),"我方","—"))))</f>
        <v/>
      </c>
      <c r="O823" s="36" t="n">
        <f aca="false">IF($D823&lt;&gt;"销项开票",0,ROUND(N($H823)*N($I823),2))</f>
        <v>0</v>
      </c>
      <c r="P823" s="36" t="n">
        <f aca="false">IF($D823&lt;&gt;"销项开票",0,ROUND(N($H823)-$O823,2))</f>
        <v>0</v>
      </c>
      <c r="Q823" s="37" t="str">
        <f aca="false">IF($E823="","",N(IFERROR(INDEX(单位档案!$E$6:$E$35,MATCH($E823,单位档案!$A$6:$A$35,0)),"")))</f>
        <v/>
      </c>
      <c r="R823" s="37" t="str">
        <f aca="false">IF($E823="","",N(IFERROR(INDEX(单位档案!$F$6:$F$35,MATCH($E823,单位档案!$A$6:$A$35,0)),"")))</f>
        <v/>
      </c>
      <c r="S823" s="36" t="n">
        <f aca="false">IF(OR($D823&lt;&gt;"销项开票",IFERROR(INDEX(单位档案!$G$6:$G$35,MATCH($E823,单位档案!$A$6:$A$35,0)),"")&lt;&gt;"是",N($Q823)=0),0,IF(IFERROR(INDEX(单位档案!$H$6:$H$35,MATCH($E823,单位档案!$A$6:$A$35,0)),"")="税差法",ROUND(N($H823)/(1+$Q823)*$Q823-IF(N($R823)=0,0,$P823/(1+$R823)*$R823),2),ROUND(N($H823)/(1+$Q823)*$Q823,2)))</f>
        <v>0</v>
      </c>
      <c r="T823" s="36" t="n">
        <f aca="false">ROUND($S823*N(IFERROR(INDEX(单位档案!$J$6:$J$35,MATCH($E823,单位档案!$A$6:$A$35,0)),"")),2)</f>
        <v>0</v>
      </c>
      <c r="U823" s="36" t="n">
        <f aca="false">IF($D823&lt;&gt;"销项开票",0,ROUND(N($H823)*N(IFERROR(INDEX(单位档案!$K$6:$K$35,MATCH($E823,单位档案!$A$6:$A$35,0)),"")),2))</f>
        <v>0</v>
      </c>
      <c r="V823" s="36" t="n">
        <f aca="false">IF(OR($D823&lt;&gt;"销项开票",N($Q823)=0),0,ROUND(N($H823)/(1+$Q823)*N(IFERROR(INDEX(单位档案!$L$6:$L$35,MATCH($E823,单位档案!$A$6:$A$35,0)),"")),2))</f>
        <v>0</v>
      </c>
      <c r="W823" s="36" t="n">
        <f aca="false">ROUND($S823+$T823+$U823+$V823,2)</f>
        <v>0</v>
      </c>
      <c r="X823" s="35" t="str">
        <f aca="false">IF(OR($D823="挂靠代收",$D823="我方收款"),COUNTIFS($D$5:$D823,"挂靠代收")+COUNTIFS($D$5:$D823,"我方收款"),"")</f>
        <v/>
      </c>
      <c r="Y823" s="35"/>
      <c r="Z823" s="21" t="s">
        <v>111</v>
      </c>
    </row>
    <row r="824" customFormat="false" ht="15.75" hidden="false" customHeight="true" outlineLevel="0" collapsed="false">
      <c r="A824" s="32" t="str">
        <f aca="false">IF($B824="","",ROW()-4)</f>
        <v/>
      </c>
      <c r="B824" s="26"/>
      <c r="C824" s="24"/>
      <c r="D824" s="21"/>
      <c r="E824" s="21"/>
      <c r="F824" s="21"/>
      <c r="G824" s="21"/>
      <c r="H824" s="27"/>
      <c r="I824" s="23" t="str">
        <f aca="false">IF($D824&lt;&gt;"销项开票","",IF($N824="一级",IF(IFERROR(INDEX(项目档案!$E$6:$E$255,MATCH($C824,项目档案!$A$6:$A$255,0)),"")="",N(IFERROR(INDEX(单位档案!$D$6:$D$35,MATCH($E824,单位档案!$A$6:$A$35,0)),"")),IFERROR(INDEX(项目档案!$E$6:$E$255,MATCH($C824,项目档案!$A$6:$A$255,0)),"")),IF($N824="二级",IF(IFERROR(INDEX(项目档案!$G$6:$G$255,MATCH($C824,项目档案!$A$6:$A$255,0)),"")="",N(IFERROR(INDEX(单位档案!$D$6:$D$35,MATCH($E824,单位档案!$A$6:$A$35,0)),"")),IFERROR(INDEX(项目档案!$G$6:$G$255,MATCH($C824,项目档案!$A$6:$A$255,0)),"")),N(IFERROR(INDEX(单位档案!$D$6:$D$35,MATCH($E824,单位档案!$A$6:$A$35,0)),"")))))</f>
        <v/>
      </c>
      <c r="J824" s="22"/>
      <c r="K824" s="22"/>
      <c r="L824" s="33" t="str">
        <f aca="false">IF($B824="","",IF(NOT(ISNUMBER($B824)),"日期格式不对",IF($C824="","未选项目编号",IF(LEFT($M824,1)="⚠","项目编号不存在",IF($D824="","未选业务类型",IF($E824="","未选开票/付款方",IF(ISNA(MATCH($E824,单位档案!$A$6:$A$35,0)),"开票方不在单位档案",IF($F824="","未选收票/收款方",IF(ISNA(MATCH($F824,单位档案!$A$6:$A$35,0)),"收款方不在单位档案",IF(NOT(ISNUMBER($H824)),"金额须为数字",IF(AND($D824="销项开票",$N824="—"),"链条待确认","√")))))))))))</f>
        <v/>
      </c>
      <c r="M824" s="34" t="str">
        <f aca="false">IF($C824="","",IFERROR(INDEX(项目档案!$B$6:$B$255,MATCH($C824,项目档案!$A$6:$A$255,0)),"⚠项目编号不存在"))</f>
        <v/>
      </c>
      <c r="N824" s="35" t="str">
        <f aca="false">IF($E824="","",IF($E824=IFERROR(INDEX(项目档案!$D$6:$D$255,MATCH($C824,项目档案!$A$6:$A$255,0)),""),"一级",IF($E824=IFERROR(INDEX(项目档案!$F$6:$F$255,MATCH($C824,项目档案!$A$6:$A$255,0)),""),"二级",IF($E824=IFERROR(INDEX(项目档案!$H$6:$H$255,MATCH($C824,项目档案!$A$6:$A$255,0)),""),"我方","—"))))</f>
        <v/>
      </c>
      <c r="O824" s="36" t="n">
        <f aca="false">IF($D824&lt;&gt;"销项开票",0,ROUND(N($H824)*N($I824),2))</f>
        <v>0</v>
      </c>
      <c r="P824" s="36" t="n">
        <f aca="false">IF($D824&lt;&gt;"销项开票",0,ROUND(N($H824)-$O824,2))</f>
        <v>0</v>
      </c>
      <c r="Q824" s="37" t="str">
        <f aca="false">IF($E824="","",N(IFERROR(INDEX(单位档案!$E$6:$E$35,MATCH($E824,单位档案!$A$6:$A$35,0)),"")))</f>
        <v/>
      </c>
      <c r="R824" s="37" t="str">
        <f aca="false">IF($E824="","",N(IFERROR(INDEX(单位档案!$F$6:$F$35,MATCH($E824,单位档案!$A$6:$A$35,0)),"")))</f>
        <v/>
      </c>
      <c r="S824" s="36" t="n">
        <f aca="false">IF(OR($D824&lt;&gt;"销项开票",IFERROR(INDEX(单位档案!$G$6:$G$35,MATCH($E824,单位档案!$A$6:$A$35,0)),"")&lt;&gt;"是",N($Q824)=0),0,IF(IFERROR(INDEX(单位档案!$H$6:$H$35,MATCH($E824,单位档案!$A$6:$A$35,0)),"")="税差法",ROUND(N($H824)/(1+$Q824)*$Q824-IF(N($R824)=0,0,$P824/(1+$R824)*$R824),2),ROUND(N($H824)/(1+$Q824)*$Q824,2)))</f>
        <v>0</v>
      </c>
      <c r="T824" s="36" t="n">
        <f aca="false">ROUND($S824*N(IFERROR(INDEX(单位档案!$J$6:$J$35,MATCH($E824,单位档案!$A$6:$A$35,0)),"")),2)</f>
        <v>0</v>
      </c>
      <c r="U824" s="36" t="n">
        <f aca="false">IF($D824&lt;&gt;"销项开票",0,ROUND(N($H824)*N(IFERROR(INDEX(单位档案!$K$6:$K$35,MATCH($E824,单位档案!$A$6:$A$35,0)),"")),2))</f>
        <v>0</v>
      </c>
      <c r="V824" s="36" t="n">
        <f aca="false">IF(OR($D824&lt;&gt;"销项开票",N($Q824)=0),0,ROUND(N($H824)/(1+$Q824)*N(IFERROR(INDEX(单位档案!$L$6:$L$35,MATCH($E824,单位档案!$A$6:$A$35,0)),"")),2))</f>
        <v>0</v>
      </c>
      <c r="W824" s="36" t="n">
        <f aca="false">ROUND($S824+$T824+$U824+$V824,2)</f>
        <v>0</v>
      </c>
      <c r="X824" s="35" t="str">
        <f aca="false">IF(OR($D824="挂靠代收",$D824="我方收款"),COUNTIFS($D$5:$D824,"挂靠代收")+COUNTIFS($D$5:$D824,"我方收款"),"")</f>
        <v/>
      </c>
      <c r="Y824" s="35"/>
      <c r="Z824" s="21" t="s">
        <v>111</v>
      </c>
    </row>
    <row r="825" customFormat="false" ht="15.75" hidden="false" customHeight="true" outlineLevel="0" collapsed="false">
      <c r="A825" s="32" t="str">
        <f aca="false">IF($B825="","",ROW()-4)</f>
        <v/>
      </c>
      <c r="B825" s="26"/>
      <c r="C825" s="24"/>
      <c r="D825" s="21"/>
      <c r="E825" s="21"/>
      <c r="F825" s="21"/>
      <c r="G825" s="21"/>
      <c r="H825" s="27"/>
      <c r="I825" s="23" t="str">
        <f aca="false">IF($D825&lt;&gt;"销项开票","",IF($N825="一级",IF(IFERROR(INDEX(项目档案!$E$6:$E$255,MATCH($C825,项目档案!$A$6:$A$255,0)),"")="",N(IFERROR(INDEX(单位档案!$D$6:$D$35,MATCH($E825,单位档案!$A$6:$A$35,0)),"")),IFERROR(INDEX(项目档案!$E$6:$E$255,MATCH($C825,项目档案!$A$6:$A$255,0)),"")),IF($N825="二级",IF(IFERROR(INDEX(项目档案!$G$6:$G$255,MATCH($C825,项目档案!$A$6:$A$255,0)),"")="",N(IFERROR(INDEX(单位档案!$D$6:$D$35,MATCH($E825,单位档案!$A$6:$A$35,0)),"")),IFERROR(INDEX(项目档案!$G$6:$G$255,MATCH($C825,项目档案!$A$6:$A$255,0)),"")),N(IFERROR(INDEX(单位档案!$D$6:$D$35,MATCH($E825,单位档案!$A$6:$A$35,0)),"")))))</f>
        <v/>
      </c>
      <c r="J825" s="22"/>
      <c r="K825" s="22"/>
      <c r="L825" s="33" t="str">
        <f aca="false">IF($B825="","",IF(NOT(ISNUMBER($B825)),"日期格式不对",IF($C825="","未选项目编号",IF(LEFT($M825,1)="⚠","项目编号不存在",IF($D825="","未选业务类型",IF($E825="","未选开票/付款方",IF(ISNA(MATCH($E825,单位档案!$A$6:$A$35,0)),"开票方不在单位档案",IF($F825="","未选收票/收款方",IF(ISNA(MATCH($F825,单位档案!$A$6:$A$35,0)),"收款方不在单位档案",IF(NOT(ISNUMBER($H825)),"金额须为数字",IF(AND($D825="销项开票",$N825="—"),"链条待确认","√")))))))))))</f>
        <v/>
      </c>
      <c r="M825" s="34" t="str">
        <f aca="false">IF($C825="","",IFERROR(INDEX(项目档案!$B$6:$B$255,MATCH($C825,项目档案!$A$6:$A$255,0)),"⚠项目编号不存在"))</f>
        <v/>
      </c>
      <c r="N825" s="35" t="str">
        <f aca="false">IF($E825="","",IF($E825=IFERROR(INDEX(项目档案!$D$6:$D$255,MATCH($C825,项目档案!$A$6:$A$255,0)),""),"一级",IF($E825=IFERROR(INDEX(项目档案!$F$6:$F$255,MATCH($C825,项目档案!$A$6:$A$255,0)),""),"二级",IF($E825=IFERROR(INDEX(项目档案!$H$6:$H$255,MATCH($C825,项目档案!$A$6:$A$255,0)),""),"我方","—"))))</f>
        <v/>
      </c>
      <c r="O825" s="36" t="n">
        <f aca="false">IF($D825&lt;&gt;"销项开票",0,ROUND(N($H825)*N($I825),2))</f>
        <v>0</v>
      </c>
      <c r="P825" s="36" t="n">
        <f aca="false">IF($D825&lt;&gt;"销项开票",0,ROUND(N($H825)-$O825,2))</f>
        <v>0</v>
      </c>
      <c r="Q825" s="37" t="str">
        <f aca="false">IF($E825="","",N(IFERROR(INDEX(单位档案!$E$6:$E$35,MATCH($E825,单位档案!$A$6:$A$35,0)),"")))</f>
        <v/>
      </c>
      <c r="R825" s="37" t="str">
        <f aca="false">IF($E825="","",N(IFERROR(INDEX(单位档案!$F$6:$F$35,MATCH($E825,单位档案!$A$6:$A$35,0)),"")))</f>
        <v/>
      </c>
      <c r="S825" s="36" t="n">
        <f aca="false">IF(OR($D825&lt;&gt;"销项开票",IFERROR(INDEX(单位档案!$G$6:$G$35,MATCH($E825,单位档案!$A$6:$A$35,0)),"")&lt;&gt;"是",N($Q825)=0),0,IF(IFERROR(INDEX(单位档案!$H$6:$H$35,MATCH($E825,单位档案!$A$6:$A$35,0)),"")="税差法",ROUND(N($H825)/(1+$Q825)*$Q825-IF(N($R825)=0,0,$P825/(1+$R825)*$R825),2),ROUND(N($H825)/(1+$Q825)*$Q825,2)))</f>
        <v>0</v>
      </c>
      <c r="T825" s="36" t="n">
        <f aca="false">ROUND($S825*N(IFERROR(INDEX(单位档案!$J$6:$J$35,MATCH($E825,单位档案!$A$6:$A$35,0)),"")),2)</f>
        <v>0</v>
      </c>
      <c r="U825" s="36" t="n">
        <f aca="false">IF($D825&lt;&gt;"销项开票",0,ROUND(N($H825)*N(IFERROR(INDEX(单位档案!$K$6:$K$35,MATCH($E825,单位档案!$A$6:$A$35,0)),"")),2))</f>
        <v>0</v>
      </c>
      <c r="V825" s="36" t="n">
        <f aca="false">IF(OR($D825&lt;&gt;"销项开票",N($Q825)=0),0,ROUND(N($H825)/(1+$Q825)*N(IFERROR(INDEX(单位档案!$L$6:$L$35,MATCH($E825,单位档案!$A$6:$A$35,0)),"")),2))</f>
        <v>0</v>
      </c>
      <c r="W825" s="36" t="n">
        <f aca="false">ROUND($S825+$T825+$U825+$V825,2)</f>
        <v>0</v>
      </c>
      <c r="X825" s="35" t="str">
        <f aca="false">IF(OR($D825="挂靠代收",$D825="我方收款"),COUNTIFS($D$5:$D825,"挂靠代收")+COUNTIFS($D$5:$D825,"我方收款"),"")</f>
        <v/>
      </c>
      <c r="Y825" s="35"/>
      <c r="Z825" s="21" t="s">
        <v>111</v>
      </c>
    </row>
    <row r="826" customFormat="false" ht="15.75" hidden="false" customHeight="true" outlineLevel="0" collapsed="false">
      <c r="A826" s="32" t="str">
        <f aca="false">IF($B826="","",ROW()-4)</f>
        <v/>
      </c>
      <c r="B826" s="26"/>
      <c r="C826" s="24"/>
      <c r="D826" s="21"/>
      <c r="E826" s="21"/>
      <c r="F826" s="21"/>
      <c r="G826" s="21"/>
      <c r="H826" s="27"/>
      <c r="I826" s="23" t="str">
        <f aca="false">IF($D826&lt;&gt;"销项开票","",IF($N826="一级",IF(IFERROR(INDEX(项目档案!$E$6:$E$255,MATCH($C826,项目档案!$A$6:$A$255,0)),"")="",N(IFERROR(INDEX(单位档案!$D$6:$D$35,MATCH($E826,单位档案!$A$6:$A$35,0)),"")),IFERROR(INDEX(项目档案!$E$6:$E$255,MATCH($C826,项目档案!$A$6:$A$255,0)),"")),IF($N826="二级",IF(IFERROR(INDEX(项目档案!$G$6:$G$255,MATCH($C826,项目档案!$A$6:$A$255,0)),"")="",N(IFERROR(INDEX(单位档案!$D$6:$D$35,MATCH($E826,单位档案!$A$6:$A$35,0)),"")),IFERROR(INDEX(项目档案!$G$6:$G$255,MATCH($C826,项目档案!$A$6:$A$255,0)),"")),N(IFERROR(INDEX(单位档案!$D$6:$D$35,MATCH($E826,单位档案!$A$6:$A$35,0)),"")))))</f>
        <v/>
      </c>
      <c r="J826" s="22"/>
      <c r="K826" s="22"/>
      <c r="L826" s="33" t="str">
        <f aca="false">IF($B826="","",IF(NOT(ISNUMBER($B826)),"日期格式不对",IF($C826="","未选项目编号",IF(LEFT($M826,1)="⚠","项目编号不存在",IF($D826="","未选业务类型",IF($E826="","未选开票/付款方",IF(ISNA(MATCH($E826,单位档案!$A$6:$A$35,0)),"开票方不在单位档案",IF($F826="","未选收票/收款方",IF(ISNA(MATCH($F826,单位档案!$A$6:$A$35,0)),"收款方不在单位档案",IF(NOT(ISNUMBER($H826)),"金额须为数字",IF(AND($D826="销项开票",$N826="—"),"链条待确认","√")))))))))))</f>
        <v/>
      </c>
      <c r="M826" s="34" t="str">
        <f aca="false">IF($C826="","",IFERROR(INDEX(项目档案!$B$6:$B$255,MATCH($C826,项目档案!$A$6:$A$255,0)),"⚠项目编号不存在"))</f>
        <v/>
      </c>
      <c r="N826" s="35" t="str">
        <f aca="false">IF($E826="","",IF($E826=IFERROR(INDEX(项目档案!$D$6:$D$255,MATCH($C826,项目档案!$A$6:$A$255,0)),""),"一级",IF($E826=IFERROR(INDEX(项目档案!$F$6:$F$255,MATCH($C826,项目档案!$A$6:$A$255,0)),""),"二级",IF($E826=IFERROR(INDEX(项目档案!$H$6:$H$255,MATCH($C826,项目档案!$A$6:$A$255,0)),""),"我方","—"))))</f>
        <v/>
      </c>
      <c r="O826" s="36" t="n">
        <f aca="false">IF($D826&lt;&gt;"销项开票",0,ROUND(N($H826)*N($I826),2))</f>
        <v>0</v>
      </c>
      <c r="P826" s="36" t="n">
        <f aca="false">IF($D826&lt;&gt;"销项开票",0,ROUND(N($H826)-$O826,2))</f>
        <v>0</v>
      </c>
      <c r="Q826" s="37" t="str">
        <f aca="false">IF($E826="","",N(IFERROR(INDEX(单位档案!$E$6:$E$35,MATCH($E826,单位档案!$A$6:$A$35,0)),"")))</f>
        <v/>
      </c>
      <c r="R826" s="37" t="str">
        <f aca="false">IF($E826="","",N(IFERROR(INDEX(单位档案!$F$6:$F$35,MATCH($E826,单位档案!$A$6:$A$35,0)),"")))</f>
        <v/>
      </c>
      <c r="S826" s="36" t="n">
        <f aca="false">IF(OR($D826&lt;&gt;"销项开票",IFERROR(INDEX(单位档案!$G$6:$G$35,MATCH($E826,单位档案!$A$6:$A$35,0)),"")&lt;&gt;"是",N($Q826)=0),0,IF(IFERROR(INDEX(单位档案!$H$6:$H$35,MATCH($E826,单位档案!$A$6:$A$35,0)),"")="税差法",ROUND(N($H826)/(1+$Q826)*$Q826-IF(N($R826)=0,0,$P826/(1+$R826)*$R826),2),ROUND(N($H826)/(1+$Q826)*$Q826,2)))</f>
        <v>0</v>
      </c>
      <c r="T826" s="36" t="n">
        <f aca="false">ROUND($S826*N(IFERROR(INDEX(单位档案!$J$6:$J$35,MATCH($E826,单位档案!$A$6:$A$35,0)),"")),2)</f>
        <v>0</v>
      </c>
      <c r="U826" s="36" t="n">
        <f aca="false">IF($D826&lt;&gt;"销项开票",0,ROUND(N($H826)*N(IFERROR(INDEX(单位档案!$K$6:$K$35,MATCH($E826,单位档案!$A$6:$A$35,0)),"")),2))</f>
        <v>0</v>
      </c>
      <c r="V826" s="36" t="n">
        <f aca="false">IF(OR($D826&lt;&gt;"销项开票",N($Q826)=0),0,ROUND(N($H826)/(1+$Q826)*N(IFERROR(INDEX(单位档案!$L$6:$L$35,MATCH($E826,单位档案!$A$6:$A$35,0)),"")),2))</f>
        <v>0</v>
      </c>
      <c r="W826" s="36" t="n">
        <f aca="false">ROUND($S826+$T826+$U826+$V826,2)</f>
        <v>0</v>
      </c>
      <c r="X826" s="35" t="str">
        <f aca="false">IF(OR($D826="挂靠代收",$D826="我方收款"),COUNTIFS($D$5:$D826,"挂靠代收")+COUNTIFS($D$5:$D826,"我方收款"),"")</f>
        <v/>
      </c>
      <c r="Y826" s="35"/>
      <c r="Z826" s="21" t="s">
        <v>111</v>
      </c>
    </row>
    <row r="827" customFormat="false" ht="15.75" hidden="false" customHeight="true" outlineLevel="0" collapsed="false">
      <c r="A827" s="32" t="str">
        <f aca="false">IF($B827="","",ROW()-4)</f>
        <v/>
      </c>
      <c r="B827" s="26"/>
      <c r="C827" s="24"/>
      <c r="D827" s="21"/>
      <c r="E827" s="21"/>
      <c r="F827" s="21"/>
      <c r="G827" s="21"/>
      <c r="H827" s="27"/>
      <c r="I827" s="23" t="str">
        <f aca="false">IF($D827&lt;&gt;"销项开票","",IF($N827="一级",IF(IFERROR(INDEX(项目档案!$E$6:$E$255,MATCH($C827,项目档案!$A$6:$A$255,0)),"")="",N(IFERROR(INDEX(单位档案!$D$6:$D$35,MATCH($E827,单位档案!$A$6:$A$35,0)),"")),IFERROR(INDEX(项目档案!$E$6:$E$255,MATCH($C827,项目档案!$A$6:$A$255,0)),"")),IF($N827="二级",IF(IFERROR(INDEX(项目档案!$G$6:$G$255,MATCH($C827,项目档案!$A$6:$A$255,0)),"")="",N(IFERROR(INDEX(单位档案!$D$6:$D$35,MATCH($E827,单位档案!$A$6:$A$35,0)),"")),IFERROR(INDEX(项目档案!$G$6:$G$255,MATCH($C827,项目档案!$A$6:$A$255,0)),"")),N(IFERROR(INDEX(单位档案!$D$6:$D$35,MATCH($E827,单位档案!$A$6:$A$35,0)),"")))))</f>
        <v/>
      </c>
      <c r="J827" s="22"/>
      <c r="K827" s="22"/>
      <c r="L827" s="33" t="str">
        <f aca="false">IF($B827="","",IF(NOT(ISNUMBER($B827)),"日期格式不对",IF($C827="","未选项目编号",IF(LEFT($M827,1)="⚠","项目编号不存在",IF($D827="","未选业务类型",IF($E827="","未选开票/付款方",IF(ISNA(MATCH($E827,单位档案!$A$6:$A$35,0)),"开票方不在单位档案",IF($F827="","未选收票/收款方",IF(ISNA(MATCH($F827,单位档案!$A$6:$A$35,0)),"收款方不在单位档案",IF(NOT(ISNUMBER($H827)),"金额须为数字",IF(AND($D827="销项开票",$N827="—"),"链条待确认","√")))))))))))</f>
        <v/>
      </c>
      <c r="M827" s="34" t="str">
        <f aca="false">IF($C827="","",IFERROR(INDEX(项目档案!$B$6:$B$255,MATCH($C827,项目档案!$A$6:$A$255,0)),"⚠项目编号不存在"))</f>
        <v/>
      </c>
      <c r="N827" s="35" t="str">
        <f aca="false">IF($E827="","",IF($E827=IFERROR(INDEX(项目档案!$D$6:$D$255,MATCH($C827,项目档案!$A$6:$A$255,0)),""),"一级",IF($E827=IFERROR(INDEX(项目档案!$F$6:$F$255,MATCH($C827,项目档案!$A$6:$A$255,0)),""),"二级",IF($E827=IFERROR(INDEX(项目档案!$H$6:$H$255,MATCH($C827,项目档案!$A$6:$A$255,0)),""),"我方","—"))))</f>
        <v/>
      </c>
      <c r="O827" s="36" t="n">
        <f aca="false">IF($D827&lt;&gt;"销项开票",0,ROUND(N($H827)*N($I827),2))</f>
        <v>0</v>
      </c>
      <c r="P827" s="36" t="n">
        <f aca="false">IF($D827&lt;&gt;"销项开票",0,ROUND(N($H827)-$O827,2))</f>
        <v>0</v>
      </c>
      <c r="Q827" s="37" t="str">
        <f aca="false">IF($E827="","",N(IFERROR(INDEX(单位档案!$E$6:$E$35,MATCH($E827,单位档案!$A$6:$A$35,0)),"")))</f>
        <v/>
      </c>
      <c r="R827" s="37" t="str">
        <f aca="false">IF($E827="","",N(IFERROR(INDEX(单位档案!$F$6:$F$35,MATCH($E827,单位档案!$A$6:$A$35,0)),"")))</f>
        <v/>
      </c>
      <c r="S827" s="36" t="n">
        <f aca="false">IF(OR($D827&lt;&gt;"销项开票",IFERROR(INDEX(单位档案!$G$6:$G$35,MATCH($E827,单位档案!$A$6:$A$35,0)),"")&lt;&gt;"是",N($Q827)=0),0,IF(IFERROR(INDEX(单位档案!$H$6:$H$35,MATCH($E827,单位档案!$A$6:$A$35,0)),"")="税差法",ROUND(N($H827)/(1+$Q827)*$Q827-IF(N($R827)=0,0,$P827/(1+$R827)*$R827),2),ROUND(N($H827)/(1+$Q827)*$Q827,2)))</f>
        <v>0</v>
      </c>
      <c r="T827" s="36" t="n">
        <f aca="false">ROUND($S827*N(IFERROR(INDEX(单位档案!$J$6:$J$35,MATCH($E827,单位档案!$A$6:$A$35,0)),"")),2)</f>
        <v>0</v>
      </c>
      <c r="U827" s="36" t="n">
        <f aca="false">IF($D827&lt;&gt;"销项开票",0,ROUND(N($H827)*N(IFERROR(INDEX(单位档案!$K$6:$K$35,MATCH($E827,单位档案!$A$6:$A$35,0)),"")),2))</f>
        <v>0</v>
      </c>
      <c r="V827" s="36" t="n">
        <f aca="false">IF(OR($D827&lt;&gt;"销项开票",N($Q827)=0),0,ROUND(N($H827)/(1+$Q827)*N(IFERROR(INDEX(单位档案!$L$6:$L$35,MATCH($E827,单位档案!$A$6:$A$35,0)),"")),2))</f>
        <v>0</v>
      </c>
      <c r="W827" s="36" t="n">
        <f aca="false">ROUND($S827+$T827+$U827+$V827,2)</f>
        <v>0</v>
      </c>
      <c r="X827" s="35" t="str">
        <f aca="false">IF(OR($D827="挂靠代收",$D827="我方收款"),COUNTIFS($D$5:$D827,"挂靠代收")+COUNTIFS($D$5:$D827,"我方收款"),"")</f>
        <v/>
      </c>
      <c r="Y827" s="35"/>
      <c r="Z827" s="21" t="s">
        <v>111</v>
      </c>
    </row>
    <row r="828" customFormat="false" ht="15.75" hidden="false" customHeight="true" outlineLevel="0" collapsed="false">
      <c r="A828" s="32" t="str">
        <f aca="false">IF($B828="","",ROW()-4)</f>
        <v/>
      </c>
      <c r="B828" s="26"/>
      <c r="C828" s="24"/>
      <c r="D828" s="21"/>
      <c r="E828" s="21"/>
      <c r="F828" s="21"/>
      <c r="G828" s="21"/>
      <c r="H828" s="27"/>
      <c r="I828" s="23" t="str">
        <f aca="false">IF($D828&lt;&gt;"销项开票","",IF($N828="一级",IF(IFERROR(INDEX(项目档案!$E$6:$E$255,MATCH($C828,项目档案!$A$6:$A$255,0)),"")="",N(IFERROR(INDEX(单位档案!$D$6:$D$35,MATCH($E828,单位档案!$A$6:$A$35,0)),"")),IFERROR(INDEX(项目档案!$E$6:$E$255,MATCH($C828,项目档案!$A$6:$A$255,0)),"")),IF($N828="二级",IF(IFERROR(INDEX(项目档案!$G$6:$G$255,MATCH($C828,项目档案!$A$6:$A$255,0)),"")="",N(IFERROR(INDEX(单位档案!$D$6:$D$35,MATCH($E828,单位档案!$A$6:$A$35,0)),"")),IFERROR(INDEX(项目档案!$G$6:$G$255,MATCH($C828,项目档案!$A$6:$A$255,0)),"")),N(IFERROR(INDEX(单位档案!$D$6:$D$35,MATCH($E828,单位档案!$A$6:$A$35,0)),"")))))</f>
        <v/>
      </c>
      <c r="J828" s="22"/>
      <c r="K828" s="22"/>
      <c r="L828" s="33" t="str">
        <f aca="false">IF($B828="","",IF(NOT(ISNUMBER($B828)),"日期格式不对",IF($C828="","未选项目编号",IF(LEFT($M828,1)="⚠","项目编号不存在",IF($D828="","未选业务类型",IF($E828="","未选开票/付款方",IF(ISNA(MATCH($E828,单位档案!$A$6:$A$35,0)),"开票方不在单位档案",IF($F828="","未选收票/收款方",IF(ISNA(MATCH($F828,单位档案!$A$6:$A$35,0)),"收款方不在单位档案",IF(NOT(ISNUMBER($H828)),"金额须为数字",IF(AND($D828="销项开票",$N828="—"),"链条待确认","√")))))))))))</f>
        <v/>
      </c>
      <c r="M828" s="34" t="str">
        <f aca="false">IF($C828="","",IFERROR(INDEX(项目档案!$B$6:$B$255,MATCH($C828,项目档案!$A$6:$A$255,0)),"⚠项目编号不存在"))</f>
        <v/>
      </c>
      <c r="N828" s="35" t="str">
        <f aca="false">IF($E828="","",IF($E828=IFERROR(INDEX(项目档案!$D$6:$D$255,MATCH($C828,项目档案!$A$6:$A$255,0)),""),"一级",IF($E828=IFERROR(INDEX(项目档案!$F$6:$F$255,MATCH($C828,项目档案!$A$6:$A$255,0)),""),"二级",IF($E828=IFERROR(INDEX(项目档案!$H$6:$H$255,MATCH($C828,项目档案!$A$6:$A$255,0)),""),"我方","—"))))</f>
        <v/>
      </c>
      <c r="O828" s="36" t="n">
        <f aca="false">IF($D828&lt;&gt;"销项开票",0,ROUND(N($H828)*N($I828),2))</f>
        <v>0</v>
      </c>
      <c r="P828" s="36" t="n">
        <f aca="false">IF($D828&lt;&gt;"销项开票",0,ROUND(N($H828)-$O828,2))</f>
        <v>0</v>
      </c>
      <c r="Q828" s="37" t="str">
        <f aca="false">IF($E828="","",N(IFERROR(INDEX(单位档案!$E$6:$E$35,MATCH($E828,单位档案!$A$6:$A$35,0)),"")))</f>
        <v/>
      </c>
      <c r="R828" s="37" t="str">
        <f aca="false">IF($E828="","",N(IFERROR(INDEX(单位档案!$F$6:$F$35,MATCH($E828,单位档案!$A$6:$A$35,0)),"")))</f>
        <v/>
      </c>
      <c r="S828" s="36" t="n">
        <f aca="false">IF(OR($D828&lt;&gt;"销项开票",IFERROR(INDEX(单位档案!$G$6:$G$35,MATCH($E828,单位档案!$A$6:$A$35,0)),"")&lt;&gt;"是",N($Q828)=0),0,IF(IFERROR(INDEX(单位档案!$H$6:$H$35,MATCH($E828,单位档案!$A$6:$A$35,0)),"")="税差法",ROUND(N($H828)/(1+$Q828)*$Q828-IF(N($R828)=0,0,$P828/(1+$R828)*$R828),2),ROUND(N($H828)/(1+$Q828)*$Q828,2)))</f>
        <v>0</v>
      </c>
      <c r="T828" s="36" t="n">
        <f aca="false">ROUND($S828*N(IFERROR(INDEX(单位档案!$J$6:$J$35,MATCH($E828,单位档案!$A$6:$A$35,0)),"")),2)</f>
        <v>0</v>
      </c>
      <c r="U828" s="36" t="n">
        <f aca="false">IF($D828&lt;&gt;"销项开票",0,ROUND(N($H828)*N(IFERROR(INDEX(单位档案!$K$6:$K$35,MATCH($E828,单位档案!$A$6:$A$35,0)),"")),2))</f>
        <v>0</v>
      </c>
      <c r="V828" s="36" t="n">
        <f aca="false">IF(OR($D828&lt;&gt;"销项开票",N($Q828)=0),0,ROUND(N($H828)/(1+$Q828)*N(IFERROR(INDEX(单位档案!$L$6:$L$35,MATCH($E828,单位档案!$A$6:$A$35,0)),"")),2))</f>
        <v>0</v>
      </c>
      <c r="W828" s="36" t="n">
        <f aca="false">ROUND($S828+$T828+$U828+$V828,2)</f>
        <v>0</v>
      </c>
      <c r="X828" s="35" t="str">
        <f aca="false">IF(OR($D828="挂靠代收",$D828="我方收款"),COUNTIFS($D$5:$D828,"挂靠代收")+COUNTIFS($D$5:$D828,"我方收款"),"")</f>
        <v/>
      </c>
      <c r="Y828" s="35"/>
      <c r="Z828" s="21" t="s">
        <v>111</v>
      </c>
    </row>
    <row r="829" customFormat="false" ht="15.75" hidden="false" customHeight="true" outlineLevel="0" collapsed="false">
      <c r="A829" s="32" t="str">
        <f aca="false">IF($B829="","",ROW()-4)</f>
        <v/>
      </c>
      <c r="B829" s="26"/>
      <c r="C829" s="24"/>
      <c r="D829" s="21"/>
      <c r="E829" s="21"/>
      <c r="F829" s="21"/>
      <c r="G829" s="21"/>
      <c r="H829" s="27"/>
      <c r="I829" s="23" t="str">
        <f aca="false">IF($D829&lt;&gt;"销项开票","",IF($N829="一级",IF(IFERROR(INDEX(项目档案!$E$6:$E$255,MATCH($C829,项目档案!$A$6:$A$255,0)),"")="",N(IFERROR(INDEX(单位档案!$D$6:$D$35,MATCH($E829,单位档案!$A$6:$A$35,0)),"")),IFERROR(INDEX(项目档案!$E$6:$E$255,MATCH($C829,项目档案!$A$6:$A$255,0)),"")),IF($N829="二级",IF(IFERROR(INDEX(项目档案!$G$6:$G$255,MATCH($C829,项目档案!$A$6:$A$255,0)),"")="",N(IFERROR(INDEX(单位档案!$D$6:$D$35,MATCH($E829,单位档案!$A$6:$A$35,0)),"")),IFERROR(INDEX(项目档案!$G$6:$G$255,MATCH($C829,项目档案!$A$6:$A$255,0)),"")),N(IFERROR(INDEX(单位档案!$D$6:$D$35,MATCH($E829,单位档案!$A$6:$A$35,0)),"")))))</f>
        <v/>
      </c>
      <c r="J829" s="22"/>
      <c r="K829" s="22"/>
      <c r="L829" s="33" t="str">
        <f aca="false">IF($B829="","",IF(NOT(ISNUMBER($B829)),"日期格式不对",IF($C829="","未选项目编号",IF(LEFT($M829,1)="⚠","项目编号不存在",IF($D829="","未选业务类型",IF($E829="","未选开票/付款方",IF(ISNA(MATCH($E829,单位档案!$A$6:$A$35,0)),"开票方不在单位档案",IF($F829="","未选收票/收款方",IF(ISNA(MATCH($F829,单位档案!$A$6:$A$35,0)),"收款方不在单位档案",IF(NOT(ISNUMBER($H829)),"金额须为数字",IF(AND($D829="销项开票",$N829="—"),"链条待确认","√")))))))))))</f>
        <v/>
      </c>
      <c r="M829" s="34" t="str">
        <f aca="false">IF($C829="","",IFERROR(INDEX(项目档案!$B$6:$B$255,MATCH($C829,项目档案!$A$6:$A$255,0)),"⚠项目编号不存在"))</f>
        <v/>
      </c>
      <c r="N829" s="35" t="str">
        <f aca="false">IF($E829="","",IF($E829=IFERROR(INDEX(项目档案!$D$6:$D$255,MATCH($C829,项目档案!$A$6:$A$255,0)),""),"一级",IF($E829=IFERROR(INDEX(项目档案!$F$6:$F$255,MATCH($C829,项目档案!$A$6:$A$255,0)),""),"二级",IF($E829=IFERROR(INDEX(项目档案!$H$6:$H$255,MATCH($C829,项目档案!$A$6:$A$255,0)),""),"我方","—"))))</f>
        <v/>
      </c>
      <c r="O829" s="36" t="n">
        <f aca="false">IF($D829&lt;&gt;"销项开票",0,ROUND(N($H829)*N($I829),2))</f>
        <v>0</v>
      </c>
      <c r="P829" s="36" t="n">
        <f aca="false">IF($D829&lt;&gt;"销项开票",0,ROUND(N($H829)-$O829,2))</f>
        <v>0</v>
      </c>
      <c r="Q829" s="37" t="str">
        <f aca="false">IF($E829="","",N(IFERROR(INDEX(单位档案!$E$6:$E$35,MATCH($E829,单位档案!$A$6:$A$35,0)),"")))</f>
        <v/>
      </c>
      <c r="R829" s="37" t="str">
        <f aca="false">IF($E829="","",N(IFERROR(INDEX(单位档案!$F$6:$F$35,MATCH($E829,单位档案!$A$6:$A$35,0)),"")))</f>
        <v/>
      </c>
      <c r="S829" s="36" t="n">
        <f aca="false">IF(OR($D829&lt;&gt;"销项开票",IFERROR(INDEX(单位档案!$G$6:$G$35,MATCH($E829,单位档案!$A$6:$A$35,0)),"")&lt;&gt;"是",N($Q829)=0),0,IF(IFERROR(INDEX(单位档案!$H$6:$H$35,MATCH($E829,单位档案!$A$6:$A$35,0)),"")="税差法",ROUND(N($H829)/(1+$Q829)*$Q829-IF(N($R829)=0,0,$P829/(1+$R829)*$R829),2),ROUND(N($H829)/(1+$Q829)*$Q829,2)))</f>
        <v>0</v>
      </c>
      <c r="T829" s="36" t="n">
        <f aca="false">ROUND($S829*N(IFERROR(INDEX(单位档案!$J$6:$J$35,MATCH($E829,单位档案!$A$6:$A$35,0)),"")),2)</f>
        <v>0</v>
      </c>
      <c r="U829" s="36" t="n">
        <f aca="false">IF($D829&lt;&gt;"销项开票",0,ROUND(N($H829)*N(IFERROR(INDEX(单位档案!$K$6:$K$35,MATCH($E829,单位档案!$A$6:$A$35,0)),"")),2))</f>
        <v>0</v>
      </c>
      <c r="V829" s="36" t="n">
        <f aca="false">IF(OR($D829&lt;&gt;"销项开票",N($Q829)=0),0,ROUND(N($H829)/(1+$Q829)*N(IFERROR(INDEX(单位档案!$L$6:$L$35,MATCH($E829,单位档案!$A$6:$A$35,0)),"")),2))</f>
        <v>0</v>
      </c>
      <c r="W829" s="36" t="n">
        <f aca="false">ROUND($S829+$T829+$U829+$V829,2)</f>
        <v>0</v>
      </c>
      <c r="X829" s="35" t="str">
        <f aca="false">IF(OR($D829="挂靠代收",$D829="我方收款"),COUNTIFS($D$5:$D829,"挂靠代收")+COUNTIFS($D$5:$D829,"我方收款"),"")</f>
        <v/>
      </c>
      <c r="Y829" s="35"/>
      <c r="Z829" s="21" t="s">
        <v>111</v>
      </c>
    </row>
    <row r="830" customFormat="false" ht="15.75" hidden="false" customHeight="true" outlineLevel="0" collapsed="false">
      <c r="A830" s="32" t="str">
        <f aca="false">IF($B830="","",ROW()-4)</f>
        <v/>
      </c>
      <c r="B830" s="26"/>
      <c r="C830" s="24"/>
      <c r="D830" s="21"/>
      <c r="E830" s="21"/>
      <c r="F830" s="21"/>
      <c r="G830" s="21"/>
      <c r="H830" s="27"/>
      <c r="I830" s="23" t="str">
        <f aca="false">IF($D830&lt;&gt;"销项开票","",IF($N830="一级",IF(IFERROR(INDEX(项目档案!$E$6:$E$255,MATCH($C830,项目档案!$A$6:$A$255,0)),"")="",N(IFERROR(INDEX(单位档案!$D$6:$D$35,MATCH($E830,单位档案!$A$6:$A$35,0)),"")),IFERROR(INDEX(项目档案!$E$6:$E$255,MATCH($C830,项目档案!$A$6:$A$255,0)),"")),IF($N830="二级",IF(IFERROR(INDEX(项目档案!$G$6:$G$255,MATCH($C830,项目档案!$A$6:$A$255,0)),"")="",N(IFERROR(INDEX(单位档案!$D$6:$D$35,MATCH($E830,单位档案!$A$6:$A$35,0)),"")),IFERROR(INDEX(项目档案!$G$6:$G$255,MATCH($C830,项目档案!$A$6:$A$255,0)),"")),N(IFERROR(INDEX(单位档案!$D$6:$D$35,MATCH($E830,单位档案!$A$6:$A$35,0)),"")))))</f>
        <v/>
      </c>
      <c r="J830" s="22"/>
      <c r="K830" s="22"/>
      <c r="L830" s="33" t="str">
        <f aca="false">IF($B830="","",IF(NOT(ISNUMBER($B830)),"日期格式不对",IF($C830="","未选项目编号",IF(LEFT($M830,1)="⚠","项目编号不存在",IF($D830="","未选业务类型",IF($E830="","未选开票/付款方",IF(ISNA(MATCH($E830,单位档案!$A$6:$A$35,0)),"开票方不在单位档案",IF($F830="","未选收票/收款方",IF(ISNA(MATCH($F830,单位档案!$A$6:$A$35,0)),"收款方不在单位档案",IF(NOT(ISNUMBER($H830)),"金额须为数字",IF(AND($D830="销项开票",$N830="—"),"链条待确认","√")))))))))))</f>
        <v/>
      </c>
      <c r="M830" s="34" t="str">
        <f aca="false">IF($C830="","",IFERROR(INDEX(项目档案!$B$6:$B$255,MATCH($C830,项目档案!$A$6:$A$255,0)),"⚠项目编号不存在"))</f>
        <v/>
      </c>
      <c r="N830" s="35" t="str">
        <f aca="false">IF($E830="","",IF($E830=IFERROR(INDEX(项目档案!$D$6:$D$255,MATCH($C830,项目档案!$A$6:$A$255,0)),""),"一级",IF($E830=IFERROR(INDEX(项目档案!$F$6:$F$255,MATCH($C830,项目档案!$A$6:$A$255,0)),""),"二级",IF($E830=IFERROR(INDEX(项目档案!$H$6:$H$255,MATCH($C830,项目档案!$A$6:$A$255,0)),""),"我方","—"))))</f>
        <v/>
      </c>
      <c r="O830" s="36" t="n">
        <f aca="false">IF($D830&lt;&gt;"销项开票",0,ROUND(N($H830)*N($I830),2))</f>
        <v>0</v>
      </c>
      <c r="P830" s="36" t="n">
        <f aca="false">IF($D830&lt;&gt;"销项开票",0,ROUND(N($H830)-$O830,2))</f>
        <v>0</v>
      </c>
      <c r="Q830" s="37" t="str">
        <f aca="false">IF($E830="","",N(IFERROR(INDEX(单位档案!$E$6:$E$35,MATCH($E830,单位档案!$A$6:$A$35,0)),"")))</f>
        <v/>
      </c>
      <c r="R830" s="37" t="str">
        <f aca="false">IF($E830="","",N(IFERROR(INDEX(单位档案!$F$6:$F$35,MATCH($E830,单位档案!$A$6:$A$35,0)),"")))</f>
        <v/>
      </c>
      <c r="S830" s="36" t="n">
        <f aca="false">IF(OR($D830&lt;&gt;"销项开票",IFERROR(INDEX(单位档案!$G$6:$G$35,MATCH($E830,单位档案!$A$6:$A$35,0)),"")&lt;&gt;"是",N($Q830)=0),0,IF(IFERROR(INDEX(单位档案!$H$6:$H$35,MATCH($E830,单位档案!$A$6:$A$35,0)),"")="税差法",ROUND(N($H830)/(1+$Q830)*$Q830-IF(N($R830)=0,0,$P830/(1+$R830)*$R830),2),ROUND(N($H830)/(1+$Q830)*$Q830,2)))</f>
        <v>0</v>
      </c>
      <c r="T830" s="36" t="n">
        <f aca="false">ROUND($S830*N(IFERROR(INDEX(单位档案!$J$6:$J$35,MATCH($E830,单位档案!$A$6:$A$35,0)),"")),2)</f>
        <v>0</v>
      </c>
      <c r="U830" s="36" t="n">
        <f aca="false">IF($D830&lt;&gt;"销项开票",0,ROUND(N($H830)*N(IFERROR(INDEX(单位档案!$K$6:$K$35,MATCH($E830,单位档案!$A$6:$A$35,0)),"")),2))</f>
        <v>0</v>
      </c>
      <c r="V830" s="36" t="n">
        <f aca="false">IF(OR($D830&lt;&gt;"销项开票",N($Q830)=0),0,ROUND(N($H830)/(1+$Q830)*N(IFERROR(INDEX(单位档案!$L$6:$L$35,MATCH($E830,单位档案!$A$6:$A$35,0)),"")),2))</f>
        <v>0</v>
      </c>
      <c r="W830" s="36" t="n">
        <f aca="false">ROUND($S830+$T830+$U830+$V830,2)</f>
        <v>0</v>
      </c>
      <c r="X830" s="35" t="str">
        <f aca="false">IF(OR($D830="挂靠代收",$D830="我方收款"),COUNTIFS($D$5:$D830,"挂靠代收")+COUNTIFS($D$5:$D830,"我方收款"),"")</f>
        <v/>
      </c>
      <c r="Y830" s="35"/>
      <c r="Z830" s="21" t="s">
        <v>111</v>
      </c>
    </row>
    <row r="831" customFormat="false" ht="15.75" hidden="false" customHeight="true" outlineLevel="0" collapsed="false">
      <c r="A831" s="32" t="str">
        <f aca="false">IF($B831="","",ROW()-4)</f>
        <v/>
      </c>
      <c r="B831" s="26"/>
      <c r="C831" s="24"/>
      <c r="D831" s="21"/>
      <c r="E831" s="21"/>
      <c r="F831" s="21"/>
      <c r="G831" s="21"/>
      <c r="H831" s="27"/>
      <c r="I831" s="23" t="str">
        <f aca="false">IF($D831&lt;&gt;"销项开票","",IF($N831="一级",IF(IFERROR(INDEX(项目档案!$E$6:$E$255,MATCH($C831,项目档案!$A$6:$A$255,0)),"")="",N(IFERROR(INDEX(单位档案!$D$6:$D$35,MATCH($E831,单位档案!$A$6:$A$35,0)),"")),IFERROR(INDEX(项目档案!$E$6:$E$255,MATCH($C831,项目档案!$A$6:$A$255,0)),"")),IF($N831="二级",IF(IFERROR(INDEX(项目档案!$G$6:$G$255,MATCH($C831,项目档案!$A$6:$A$255,0)),"")="",N(IFERROR(INDEX(单位档案!$D$6:$D$35,MATCH($E831,单位档案!$A$6:$A$35,0)),"")),IFERROR(INDEX(项目档案!$G$6:$G$255,MATCH($C831,项目档案!$A$6:$A$255,0)),"")),N(IFERROR(INDEX(单位档案!$D$6:$D$35,MATCH($E831,单位档案!$A$6:$A$35,0)),"")))))</f>
        <v/>
      </c>
      <c r="J831" s="22"/>
      <c r="K831" s="22"/>
      <c r="L831" s="33" t="str">
        <f aca="false">IF($B831="","",IF(NOT(ISNUMBER($B831)),"日期格式不对",IF($C831="","未选项目编号",IF(LEFT($M831,1)="⚠","项目编号不存在",IF($D831="","未选业务类型",IF($E831="","未选开票/付款方",IF(ISNA(MATCH($E831,单位档案!$A$6:$A$35,0)),"开票方不在单位档案",IF($F831="","未选收票/收款方",IF(ISNA(MATCH($F831,单位档案!$A$6:$A$35,0)),"收款方不在单位档案",IF(NOT(ISNUMBER($H831)),"金额须为数字",IF(AND($D831="销项开票",$N831="—"),"链条待确认","√")))))))))))</f>
        <v/>
      </c>
      <c r="M831" s="34" t="str">
        <f aca="false">IF($C831="","",IFERROR(INDEX(项目档案!$B$6:$B$255,MATCH($C831,项目档案!$A$6:$A$255,0)),"⚠项目编号不存在"))</f>
        <v/>
      </c>
      <c r="N831" s="35" t="str">
        <f aca="false">IF($E831="","",IF($E831=IFERROR(INDEX(项目档案!$D$6:$D$255,MATCH($C831,项目档案!$A$6:$A$255,0)),""),"一级",IF($E831=IFERROR(INDEX(项目档案!$F$6:$F$255,MATCH($C831,项目档案!$A$6:$A$255,0)),""),"二级",IF($E831=IFERROR(INDEX(项目档案!$H$6:$H$255,MATCH($C831,项目档案!$A$6:$A$255,0)),""),"我方","—"))))</f>
        <v/>
      </c>
      <c r="O831" s="36" t="n">
        <f aca="false">IF($D831&lt;&gt;"销项开票",0,ROUND(N($H831)*N($I831),2))</f>
        <v>0</v>
      </c>
      <c r="P831" s="36" t="n">
        <f aca="false">IF($D831&lt;&gt;"销项开票",0,ROUND(N($H831)-$O831,2))</f>
        <v>0</v>
      </c>
      <c r="Q831" s="37" t="str">
        <f aca="false">IF($E831="","",N(IFERROR(INDEX(单位档案!$E$6:$E$35,MATCH($E831,单位档案!$A$6:$A$35,0)),"")))</f>
        <v/>
      </c>
      <c r="R831" s="37" t="str">
        <f aca="false">IF($E831="","",N(IFERROR(INDEX(单位档案!$F$6:$F$35,MATCH($E831,单位档案!$A$6:$A$35,0)),"")))</f>
        <v/>
      </c>
      <c r="S831" s="36" t="n">
        <f aca="false">IF(OR($D831&lt;&gt;"销项开票",IFERROR(INDEX(单位档案!$G$6:$G$35,MATCH($E831,单位档案!$A$6:$A$35,0)),"")&lt;&gt;"是",N($Q831)=0),0,IF(IFERROR(INDEX(单位档案!$H$6:$H$35,MATCH($E831,单位档案!$A$6:$A$35,0)),"")="税差法",ROUND(N($H831)/(1+$Q831)*$Q831-IF(N($R831)=0,0,$P831/(1+$R831)*$R831),2),ROUND(N($H831)/(1+$Q831)*$Q831,2)))</f>
        <v>0</v>
      </c>
      <c r="T831" s="36" t="n">
        <f aca="false">ROUND($S831*N(IFERROR(INDEX(单位档案!$J$6:$J$35,MATCH($E831,单位档案!$A$6:$A$35,0)),"")),2)</f>
        <v>0</v>
      </c>
      <c r="U831" s="36" t="n">
        <f aca="false">IF($D831&lt;&gt;"销项开票",0,ROUND(N($H831)*N(IFERROR(INDEX(单位档案!$K$6:$K$35,MATCH($E831,单位档案!$A$6:$A$35,0)),"")),2))</f>
        <v>0</v>
      </c>
      <c r="V831" s="36" t="n">
        <f aca="false">IF(OR($D831&lt;&gt;"销项开票",N($Q831)=0),0,ROUND(N($H831)/(1+$Q831)*N(IFERROR(INDEX(单位档案!$L$6:$L$35,MATCH($E831,单位档案!$A$6:$A$35,0)),"")),2))</f>
        <v>0</v>
      </c>
      <c r="W831" s="36" t="n">
        <f aca="false">ROUND($S831+$T831+$U831+$V831,2)</f>
        <v>0</v>
      </c>
      <c r="X831" s="35" t="str">
        <f aca="false">IF(OR($D831="挂靠代收",$D831="我方收款"),COUNTIFS($D$5:$D831,"挂靠代收")+COUNTIFS($D$5:$D831,"我方收款"),"")</f>
        <v/>
      </c>
      <c r="Y831" s="35"/>
      <c r="Z831" s="21" t="s">
        <v>111</v>
      </c>
    </row>
    <row r="832" customFormat="false" ht="15.75" hidden="false" customHeight="true" outlineLevel="0" collapsed="false">
      <c r="A832" s="32" t="str">
        <f aca="false">IF($B832="","",ROW()-4)</f>
        <v/>
      </c>
      <c r="B832" s="26"/>
      <c r="C832" s="24"/>
      <c r="D832" s="21"/>
      <c r="E832" s="21"/>
      <c r="F832" s="21"/>
      <c r="G832" s="21"/>
      <c r="H832" s="27"/>
      <c r="I832" s="23" t="str">
        <f aca="false">IF($D832&lt;&gt;"销项开票","",IF($N832="一级",IF(IFERROR(INDEX(项目档案!$E$6:$E$255,MATCH($C832,项目档案!$A$6:$A$255,0)),"")="",N(IFERROR(INDEX(单位档案!$D$6:$D$35,MATCH($E832,单位档案!$A$6:$A$35,0)),"")),IFERROR(INDEX(项目档案!$E$6:$E$255,MATCH($C832,项目档案!$A$6:$A$255,0)),"")),IF($N832="二级",IF(IFERROR(INDEX(项目档案!$G$6:$G$255,MATCH($C832,项目档案!$A$6:$A$255,0)),"")="",N(IFERROR(INDEX(单位档案!$D$6:$D$35,MATCH($E832,单位档案!$A$6:$A$35,0)),"")),IFERROR(INDEX(项目档案!$G$6:$G$255,MATCH($C832,项目档案!$A$6:$A$255,0)),"")),N(IFERROR(INDEX(单位档案!$D$6:$D$35,MATCH($E832,单位档案!$A$6:$A$35,0)),"")))))</f>
        <v/>
      </c>
      <c r="J832" s="22"/>
      <c r="K832" s="22"/>
      <c r="L832" s="33" t="str">
        <f aca="false">IF($B832="","",IF(NOT(ISNUMBER($B832)),"日期格式不对",IF($C832="","未选项目编号",IF(LEFT($M832,1)="⚠","项目编号不存在",IF($D832="","未选业务类型",IF($E832="","未选开票/付款方",IF(ISNA(MATCH($E832,单位档案!$A$6:$A$35,0)),"开票方不在单位档案",IF($F832="","未选收票/收款方",IF(ISNA(MATCH($F832,单位档案!$A$6:$A$35,0)),"收款方不在单位档案",IF(NOT(ISNUMBER($H832)),"金额须为数字",IF(AND($D832="销项开票",$N832="—"),"链条待确认","√")))))))))))</f>
        <v/>
      </c>
      <c r="M832" s="34" t="str">
        <f aca="false">IF($C832="","",IFERROR(INDEX(项目档案!$B$6:$B$255,MATCH($C832,项目档案!$A$6:$A$255,0)),"⚠项目编号不存在"))</f>
        <v/>
      </c>
      <c r="N832" s="35" t="str">
        <f aca="false">IF($E832="","",IF($E832=IFERROR(INDEX(项目档案!$D$6:$D$255,MATCH($C832,项目档案!$A$6:$A$255,0)),""),"一级",IF($E832=IFERROR(INDEX(项目档案!$F$6:$F$255,MATCH($C832,项目档案!$A$6:$A$255,0)),""),"二级",IF($E832=IFERROR(INDEX(项目档案!$H$6:$H$255,MATCH($C832,项目档案!$A$6:$A$255,0)),""),"我方","—"))))</f>
        <v/>
      </c>
      <c r="O832" s="36" t="n">
        <f aca="false">IF($D832&lt;&gt;"销项开票",0,ROUND(N($H832)*N($I832),2))</f>
        <v>0</v>
      </c>
      <c r="P832" s="36" t="n">
        <f aca="false">IF($D832&lt;&gt;"销项开票",0,ROUND(N($H832)-$O832,2))</f>
        <v>0</v>
      </c>
      <c r="Q832" s="37" t="str">
        <f aca="false">IF($E832="","",N(IFERROR(INDEX(单位档案!$E$6:$E$35,MATCH($E832,单位档案!$A$6:$A$35,0)),"")))</f>
        <v/>
      </c>
      <c r="R832" s="37" t="str">
        <f aca="false">IF($E832="","",N(IFERROR(INDEX(单位档案!$F$6:$F$35,MATCH($E832,单位档案!$A$6:$A$35,0)),"")))</f>
        <v/>
      </c>
      <c r="S832" s="36" t="n">
        <f aca="false">IF(OR($D832&lt;&gt;"销项开票",IFERROR(INDEX(单位档案!$G$6:$G$35,MATCH($E832,单位档案!$A$6:$A$35,0)),"")&lt;&gt;"是",N($Q832)=0),0,IF(IFERROR(INDEX(单位档案!$H$6:$H$35,MATCH($E832,单位档案!$A$6:$A$35,0)),"")="税差法",ROUND(N($H832)/(1+$Q832)*$Q832-IF(N($R832)=0,0,$P832/(1+$R832)*$R832),2),ROUND(N($H832)/(1+$Q832)*$Q832,2)))</f>
        <v>0</v>
      </c>
      <c r="T832" s="36" t="n">
        <f aca="false">ROUND($S832*N(IFERROR(INDEX(单位档案!$J$6:$J$35,MATCH($E832,单位档案!$A$6:$A$35,0)),"")),2)</f>
        <v>0</v>
      </c>
      <c r="U832" s="36" t="n">
        <f aca="false">IF($D832&lt;&gt;"销项开票",0,ROUND(N($H832)*N(IFERROR(INDEX(单位档案!$K$6:$K$35,MATCH($E832,单位档案!$A$6:$A$35,0)),"")),2))</f>
        <v>0</v>
      </c>
      <c r="V832" s="36" t="n">
        <f aca="false">IF(OR($D832&lt;&gt;"销项开票",N($Q832)=0),0,ROUND(N($H832)/(1+$Q832)*N(IFERROR(INDEX(单位档案!$L$6:$L$35,MATCH($E832,单位档案!$A$6:$A$35,0)),"")),2))</f>
        <v>0</v>
      </c>
      <c r="W832" s="36" t="n">
        <f aca="false">ROUND($S832+$T832+$U832+$V832,2)</f>
        <v>0</v>
      </c>
      <c r="X832" s="35" t="str">
        <f aca="false">IF(OR($D832="挂靠代收",$D832="我方收款"),COUNTIFS($D$5:$D832,"挂靠代收")+COUNTIFS($D$5:$D832,"我方收款"),"")</f>
        <v/>
      </c>
      <c r="Y832" s="35"/>
      <c r="Z832" s="21" t="s">
        <v>111</v>
      </c>
    </row>
    <row r="833" customFormat="false" ht="15.75" hidden="false" customHeight="true" outlineLevel="0" collapsed="false">
      <c r="A833" s="32" t="str">
        <f aca="false">IF($B833="","",ROW()-4)</f>
        <v/>
      </c>
      <c r="B833" s="26"/>
      <c r="C833" s="24"/>
      <c r="D833" s="21"/>
      <c r="E833" s="21"/>
      <c r="F833" s="21"/>
      <c r="G833" s="21"/>
      <c r="H833" s="27"/>
      <c r="I833" s="23" t="str">
        <f aca="false">IF($D833&lt;&gt;"销项开票","",IF($N833="一级",IF(IFERROR(INDEX(项目档案!$E$6:$E$255,MATCH($C833,项目档案!$A$6:$A$255,0)),"")="",N(IFERROR(INDEX(单位档案!$D$6:$D$35,MATCH($E833,单位档案!$A$6:$A$35,0)),"")),IFERROR(INDEX(项目档案!$E$6:$E$255,MATCH($C833,项目档案!$A$6:$A$255,0)),"")),IF($N833="二级",IF(IFERROR(INDEX(项目档案!$G$6:$G$255,MATCH($C833,项目档案!$A$6:$A$255,0)),"")="",N(IFERROR(INDEX(单位档案!$D$6:$D$35,MATCH($E833,单位档案!$A$6:$A$35,0)),"")),IFERROR(INDEX(项目档案!$G$6:$G$255,MATCH($C833,项目档案!$A$6:$A$255,0)),"")),N(IFERROR(INDEX(单位档案!$D$6:$D$35,MATCH($E833,单位档案!$A$6:$A$35,0)),"")))))</f>
        <v/>
      </c>
      <c r="J833" s="22"/>
      <c r="K833" s="22"/>
      <c r="L833" s="33" t="str">
        <f aca="false">IF($B833="","",IF(NOT(ISNUMBER($B833)),"日期格式不对",IF($C833="","未选项目编号",IF(LEFT($M833,1)="⚠","项目编号不存在",IF($D833="","未选业务类型",IF($E833="","未选开票/付款方",IF(ISNA(MATCH($E833,单位档案!$A$6:$A$35,0)),"开票方不在单位档案",IF($F833="","未选收票/收款方",IF(ISNA(MATCH($F833,单位档案!$A$6:$A$35,0)),"收款方不在单位档案",IF(NOT(ISNUMBER($H833)),"金额须为数字",IF(AND($D833="销项开票",$N833="—"),"链条待确认","√")))))))))))</f>
        <v/>
      </c>
      <c r="M833" s="34" t="str">
        <f aca="false">IF($C833="","",IFERROR(INDEX(项目档案!$B$6:$B$255,MATCH($C833,项目档案!$A$6:$A$255,0)),"⚠项目编号不存在"))</f>
        <v/>
      </c>
      <c r="N833" s="35" t="str">
        <f aca="false">IF($E833="","",IF($E833=IFERROR(INDEX(项目档案!$D$6:$D$255,MATCH($C833,项目档案!$A$6:$A$255,0)),""),"一级",IF($E833=IFERROR(INDEX(项目档案!$F$6:$F$255,MATCH($C833,项目档案!$A$6:$A$255,0)),""),"二级",IF($E833=IFERROR(INDEX(项目档案!$H$6:$H$255,MATCH($C833,项目档案!$A$6:$A$255,0)),""),"我方","—"))))</f>
        <v/>
      </c>
      <c r="O833" s="36" t="n">
        <f aca="false">IF($D833&lt;&gt;"销项开票",0,ROUND(N($H833)*N($I833),2))</f>
        <v>0</v>
      </c>
      <c r="P833" s="36" t="n">
        <f aca="false">IF($D833&lt;&gt;"销项开票",0,ROUND(N($H833)-$O833,2))</f>
        <v>0</v>
      </c>
      <c r="Q833" s="37" t="str">
        <f aca="false">IF($E833="","",N(IFERROR(INDEX(单位档案!$E$6:$E$35,MATCH($E833,单位档案!$A$6:$A$35,0)),"")))</f>
        <v/>
      </c>
      <c r="R833" s="37" t="str">
        <f aca="false">IF($E833="","",N(IFERROR(INDEX(单位档案!$F$6:$F$35,MATCH($E833,单位档案!$A$6:$A$35,0)),"")))</f>
        <v/>
      </c>
      <c r="S833" s="36" t="n">
        <f aca="false">IF(OR($D833&lt;&gt;"销项开票",IFERROR(INDEX(单位档案!$G$6:$G$35,MATCH($E833,单位档案!$A$6:$A$35,0)),"")&lt;&gt;"是",N($Q833)=0),0,IF(IFERROR(INDEX(单位档案!$H$6:$H$35,MATCH($E833,单位档案!$A$6:$A$35,0)),"")="税差法",ROUND(N($H833)/(1+$Q833)*$Q833-IF(N($R833)=0,0,$P833/(1+$R833)*$R833),2),ROUND(N($H833)/(1+$Q833)*$Q833,2)))</f>
        <v>0</v>
      </c>
      <c r="T833" s="36" t="n">
        <f aca="false">ROUND($S833*N(IFERROR(INDEX(单位档案!$J$6:$J$35,MATCH($E833,单位档案!$A$6:$A$35,0)),"")),2)</f>
        <v>0</v>
      </c>
      <c r="U833" s="36" t="n">
        <f aca="false">IF($D833&lt;&gt;"销项开票",0,ROUND(N($H833)*N(IFERROR(INDEX(单位档案!$K$6:$K$35,MATCH($E833,单位档案!$A$6:$A$35,0)),"")),2))</f>
        <v>0</v>
      </c>
      <c r="V833" s="36" t="n">
        <f aca="false">IF(OR($D833&lt;&gt;"销项开票",N($Q833)=0),0,ROUND(N($H833)/(1+$Q833)*N(IFERROR(INDEX(单位档案!$L$6:$L$35,MATCH($E833,单位档案!$A$6:$A$35,0)),"")),2))</f>
        <v>0</v>
      </c>
      <c r="W833" s="36" t="n">
        <f aca="false">ROUND($S833+$T833+$U833+$V833,2)</f>
        <v>0</v>
      </c>
      <c r="X833" s="35" t="str">
        <f aca="false">IF(OR($D833="挂靠代收",$D833="我方收款"),COUNTIFS($D$5:$D833,"挂靠代收")+COUNTIFS($D$5:$D833,"我方收款"),"")</f>
        <v/>
      </c>
      <c r="Y833" s="35"/>
      <c r="Z833" s="21" t="s">
        <v>111</v>
      </c>
    </row>
    <row r="834" customFormat="false" ht="15.75" hidden="false" customHeight="true" outlineLevel="0" collapsed="false">
      <c r="A834" s="32" t="str">
        <f aca="false">IF($B834="","",ROW()-4)</f>
        <v/>
      </c>
      <c r="B834" s="26"/>
      <c r="C834" s="24"/>
      <c r="D834" s="21"/>
      <c r="E834" s="21"/>
      <c r="F834" s="21"/>
      <c r="G834" s="21"/>
      <c r="H834" s="27"/>
      <c r="I834" s="23" t="str">
        <f aca="false">IF($D834&lt;&gt;"销项开票","",IF($N834="一级",IF(IFERROR(INDEX(项目档案!$E$6:$E$255,MATCH($C834,项目档案!$A$6:$A$255,0)),"")="",N(IFERROR(INDEX(单位档案!$D$6:$D$35,MATCH($E834,单位档案!$A$6:$A$35,0)),"")),IFERROR(INDEX(项目档案!$E$6:$E$255,MATCH($C834,项目档案!$A$6:$A$255,0)),"")),IF($N834="二级",IF(IFERROR(INDEX(项目档案!$G$6:$G$255,MATCH($C834,项目档案!$A$6:$A$255,0)),"")="",N(IFERROR(INDEX(单位档案!$D$6:$D$35,MATCH($E834,单位档案!$A$6:$A$35,0)),"")),IFERROR(INDEX(项目档案!$G$6:$G$255,MATCH($C834,项目档案!$A$6:$A$255,0)),"")),N(IFERROR(INDEX(单位档案!$D$6:$D$35,MATCH($E834,单位档案!$A$6:$A$35,0)),"")))))</f>
        <v/>
      </c>
      <c r="J834" s="22"/>
      <c r="K834" s="22"/>
      <c r="L834" s="33" t="str">
        <f aca="false">IF($B834="","",IF(NOT(ISNUMBER($B834)),"日期格式不对",IF($C834="","未选项目编号",IF(LEFT($M834,1)="⚠","项目编号不存在",IF($D834="","未选业务类型",IF($E834="","未选开票/付款方",IF(ISNA(MATCH($E834,单位档案!$A$6:$A$35,0)),"开票方不在单位档案",IF($F834="","未选收票/收款方",IF(ISNA(MATCH($F834,单位档案!$A$6:$A$35,0)),"收款方不在单位档案",IF(NOT(ISNUMBER($H834)),"金额须为数字",IF(AND($D834="销项开票",$N834="—"),"链条待确认","√")))))))))))</f>
        <v/>
      </c>
      <c r="M834" s="34" t="str">
        <f aca="false">IF($C834="","",IFERROR(INDEX(项目档案!$B$6:$B$255,MATCH($C834,项目档案!$A$6:$A$255,0)),"⚠项目编号不存在"))</f>
        <v/>
      </c>
      <c r="N834" s="35" t="str">
        <f aca="false">IF($E834="","",IF($E834=IFERROR(INDEX(项目档案!$D$6:$D$255,MATCH($C834,项目档案!$A$6:$A$255,0)),""),"一级",IF($E834=IFERROR(INDEX(项目档案!$F$6:$F$255,MATCH($C834,项目档案!$A$6:$A$255,0)),""),"二级",IF($E834=IFERROR(INDEX(项目档案!$H$6:$H$255,MATCH($C834,项目档案!$A$6:$A$255,0)),""),"我方","—"))))</f>
        <v/>
      </c>
      <c r="O834" s="36" t="n">
        <f aca="false">IF($D834&lt;&gt;"销项开票",0,ROUND(N($H834)*N($I834),2))</f>
        <v>0</v>
      </c>
      <c r="P834" s="36" t="n">
        <f aca="false">IF($D834&lt;&gt;"销项开票",0,ROUND(N($H834)-$O834,2))</f>
        <v>0</v>
      </c>
      <c r="Q834" s="37" t="str">
        <f aca="false">IF($E834="","",N(IFERROR(INDEX(单位档案!$E$6:$E$35,MATCH($E834,单位档案!$A$6:$A$35,0)),"")))</f>
        <v/>
      </c>
      <c r="R834" s="37" t="str">
        <f aca="false">IF($E834="","",N(IFERROR(INDEX(单位档案!$F$6:$F$35,MATCH($E834,单位档案!$A$6:$A$35,0)),"")))</f>
        <v/>
      </c>
      <c r="S834" s="36" t="n">
        <f aca="false">IF(OR($D834&lt;&gt;"销项开票",IFERROR(INDEX(单位档案!$G$6:$G$35,MATCH($E834,单位档案!$A$6:$A$35,0)),"")&lt;&gt;"是",N($Q834)=0),0,IF(IFERROR(INDEX(单位档案!$H$6:$H$35,MATCH($E834,单位档案!$A$6:$A$35,0)),"")="税差法",ROUND(N($H834)/(1+$Q834)*$Q834-IF(N($R834)=0,0,$P834/(1+$R834)*$R834),2),ROUND(N($H834)/(1+$Q834)*$Q834,2)))</f>
        <v>0</v>
      </c>
      <c r="T834" s="36" t="n">
        <f aca="false">ROUND($S834*N(IFERROR(INDEX(单位档案!$J$6:$J$35,MATCH($E834,单位档案!$A$6:$A$35,0)),"")),2)</f>
        <v>0</v>
      </c>
      <c r="U834" s="36" t="n">
        <f aca="false">IF($D834&lt;&gt;"销项开票",0,ROUND(N($H834)*N(IFERROR(INDEX(单位档案!$K$6:$K$35,MATCH($E834,单位档案!$A$6:$A$35,0)),"")),2))</f>
        <v>0</v>
      </c>
      <c r="V834" s="36" t="n">
        <f aca="false">IF(OR($D834&lt;&gt;"销项开票",N($Q834)=0),0,ROUND(N($H834)/(1+$Q834)*N(IFERROR(INDEX(单位档案!$L$6:$L$35,MATCH($E834,单位档案!$A$6:$A$35,0)),"")),2))</f>
        <v>0</v>
      </c>
      <c r="W834" s="36" t="n">
        <f aca="false">ROUND($S834+$T834+$U834+$V834,2)</f>
        <v>0</v>
      </c>
      <c r="X834" s="35" t="str">
        <f aca="false">IF(OR($D834="挂靠代收",$D834="我方收款"),COUNTIFS($D$5:$D834,"挂靠代收")+COUNTIFS($D$5:$D834,"我方收款"),"")</f>
        <v/>
      </c>
      <c r="Y834" s="35"/>
      <c r="Z834" s="21" t="s">
        <v>111</v>
      </c>
    </row>
    <row r="835" customFormat="false" ht="15.75" hidden="false" customHeight="true" outlineLevel="0" collapsed="false">
      <c r="A835" s="32" t="str">
        <f aca="false">IF($B835="","",ROW()-4)</f>
        <v/>
      </c>
      <c r="B835" s="26"/>
      <c r="C835" s="24"/>
      <c r="D835" s="21"/>
      <c r="E835" s="21"/>
      <c r="F835" s="21"/>
      <c r="G835" s="21"/>
      <c r="H835" s="27"/>
      <c r="I835" s="23" t="str">
        <f aca="false">IF($D835&lt;&gt;"销项开票","",IF($N835="一级",IF(IFERROR(INDEX(项目档案!$E$6:$E$255,MATCH($C835,项目档案!$A$6:$A$255,0)),"")="",N(IFERROR(INDEX(单位档案!$D$6:$D$35,MATCH($E835,单位档案!$A$6:$A$35,0)),"")),IFERROR(INDEX(项目档案!$E$6:$E$255,MATCH($C835,项目档案!$A$6:$A$255,0)),"")),IF($N835="二级",IF(IFERROR(INDEX(项目档案!$G$6:$G$255,MATCH($C835,项目档案!$A$6:$A$255,0)),"")="",N(IFERROR(INDEX(单位档案!$D$6:$D$35,MATCH($E835,单位档案!$A$6:$A$35,0)),"")),IFERROR(INDEX(项目档案!$G$6:$G$255,MATCH($C835,项目档案!$A$6:$A$255,0)),"")),N(IFERROR(INDEX(单位档案!$D$6:$D$35,MATCH($E835,单位档案!$A$6:$A$35,0)),"")))))</f>
        <v/>
      </c>
      <c r="J835" s="22"/>
      <c r="K835" s="22"/>
      <c r="L835" s="33" t="str">
        <f aca="false">IF($B835="","",IF(NOT(ISNUMBER($B835)),"日期格式不对",IF($C835="","未选项目编号",IF(LEFT($M835,1)="⚠","项目编号不存在",IF($D835="","未选业务类型",IF($E835="","未选开票/付款方",IF(ISNA(MATCH($E835,单位档案!$A$6:$A$35,0)),"开票方不在单位档案",IF($F835="","未选收票/收款方",IF(ISNA(MATCH($F835,单位档案!$A$6:$A$35,0)),"收款方不在单位档案",IF(NOT(ISNUMBER($H835)),"金额须为数字",IF(AND($D835="销项开票",$N835="—"),"链条待确认","√")))))))))))</f>
        <v/>
      </c>
      <c r="M835" s="34" t="str">
        <f aca="false">IF($C835="","",IFERROR(INDEX(项目档案!$B$6:$B$255,MATCH($C835,项目档案!$A$6:$A$255,0)),"⚠项目编号不存在"))</f>
        <v/>
      </c>
      <c r="N835" s="35" t="str">
        <f aca="false">IF($E835="","",IF($E835=IFERROR(INDEX(项目档案!$D$6:$D$255,MATCH($C835,项目档案!$A$6:$A$255,0)),""),"一级",IF($E835=IFERROR(INDEX(项目档案!$F$6:$F$255,MATCH($C835,项目档案!$A$6:$A$255,0)),""),"二级",IF($E835=IFERROR(INDEX(项目档案!$H$6:$H$255,MATCH($C835,项目档案!$A$6:$A$255,0)),""),"我方","—"))))</f>
        <v/>
      </c>
      <c r="O835" s="36" t="n">
        <f aca="false">IF($D835&lt;&gt;"销项开票",0,ROUND(N($H835)*N($I835),2))</f>
        <v>0</v>
      </c>
      <c r="P835" s="36" t="n">
        <f aca="false">IF($D835&lt;&gt;"销项开票",0,ROUND(N($H835)-$O835,2))</f>
        <v>0</v>
      </c>
      <c r="Q835" s="37" t="str">
        <f aca="false">IF($E835="","",N(IFERROR(INDEX(单位档案!$E$6:$E$35,MATCH($E835,单位档案!$A$6:$A$35,0)),"")))</f>
        <v/>
      </c>
      <c r="R835" s="37" t="str">
        <f aca="false">IF($E835="","",N(IFERROR(INDEX(单位档案!$F$6:$F$35,MATCH($E835,单位档案!$A$6:$A$35,0)),"")))</f>
        <v/>
      </c>
      <c r="S835" s="36" t="n">
        <f aca="false">IF(OR($D835&lt;&gt;"销项开票",IFERROR(INDEX(单位档案!$G$6:$G$35,MATCH($E835,单位档案!$A$6:$A$35,0)),"")&lt;&gt;"是",N($Q835)=0),0,IF(IFERROR(INDEX(单位档案!$H$6:$H$35,MATCH($E835,单位档案!$A$6:$A$35,0)),"")="税差法",ROUND(N($H835)/(1+$Q835)*$Q835-IF(N($R835)=0,0,$P835/(1+$R835)*$R835),2),ROUND(N($H835)/(1+$Q835)*$Q835,2)))</f>
        <v>0</v>
      </c>
      <c r="T835" s="36" t="n">
        <f aca="false">ROUND($S835*N(IFERROR(INDEX(单位档案!$J$6:$J$35,MATCH($E835,单位档案!$A$6:$A$35,0)),"")),2)</f>
        <v>0</v>
      </c>
      <c r="U835" s="36" t="n">
        <f aca="false">IF($D835&lt;&gt;"销项开票",0,ROUND(N($H835)*N(IFERROR(INDEX(单位档案!$K$6:$K$35,MATCH($E835,单位档案!$A$6:$A$35,0)),"")),2))</f>
        <v>0</v>
      </c>
      <c r="V835" s="36" t="n">
        <f aca="false">IF(OR($D835&lt;&gt;"销项开票",N($Q835)=0),0,ROUND(N($H835)/(1+$Q835)*N(IFERROR(INDEX(单位档案!$L$6:$L$35,MATCH($E835,单位档案!$A$6:$A$35,0)),"")),2))</f>
        <v>0</v>
      </c>
      <c r="W835" s="36" t="n">
        <f aca="false">ROUND($S835+$T835+$U835+$V835,2)</f>
        <v>0</v>
      </c>
      <c r="X835" s="35" t="str">
        <f aca="false">IF(OR($D835="挂靠代收",$D835="我方收款"),COUNTIFS($D$5:$D835,"挂靠代收")+COUNTIFS($D$5:$D835,"我方收款"),"")</f>
        <v/>
      </c>
      <c r="Y835" s="35"/>
      <c r="Z835" s="21" t="s">
        <v>111</v>
      </c>
    </row>
    <row r="836" customFormat="false" ht="15.75" hidden="false" customHeight="true" outlineLevel="0" collapsed="false">
      <c r="A836" s="32" t="str">
        <f aca="false">IF($B836="","",ROW()-4)</f>
        <v/>
      </c>
      <c r="B836" s="26"/>
      <c r="C836" s="24"/>
      <c r="D836" s="21"/>
      <c r="E836" s="21"/>
      <c r="F836" s="21"/>
      <c r="G836" s="21"/>
      <c r="H836" s="27"/>
      <c r="I836" s="23" t="str">
        <f aca="false">IF($D836&lt;&gt;"销项开票","",IF($N836="一级",IF(IFERROR(INDEX(项目档案!$E$6:$E$255,MATCH($C836,项目档案!$A$6:$A$255,0)),"")="",N(IFERROR(INDEX(单位档案!$D$6:$D$35,MATCH($E836,单位档案!$A$6:$A$35,0)),"")),IFERROR(INDEX(项目档案!$E$6:$E$255,MATCH($C836,项目档案!$A$6:$A$255,0)),"")),IF($N836="二级",IF(IFERROR(INDEX(项目档案!$G$6:$G$255,MATCH($C836,项目档案!$A$6:$A$255,0)),"")="",N(IFERROR(INDEX(单位档案!$D$6:$D$35,MATCH($E836,单位档案!$A$6:$A$35,0)),"")),IFERROR(INDEX(项目档案!$G$6:$G$255,MATCH($C836,项目档案!$A$6:$A$255,0)),"")),N(IFERROR(INDEX(单位档案!$D$6:$D$35,MATCH($E836,单位档案!$A$6:$A$35,0)),"")))))</f>
        <v/>
      </c>
      <c r="J836" s="22"/>
      <c r="K836" s="22"/>
      <c r="L836" s="33" t="str">
        <f aca="false">IF($B836="","",IF(NOT(ISNUMBER($B836)),"日期格式不对",IF($C836="","未选项目编号",IF(LEFT($M836,1)="⚠","项目编号不存在",IF($D836="","未选业务类型",IF($E836="","未选开票/付款方",IF(ISNA(MATCH($E836,单位档案!$A$6:$A$35,0)),"开票方不在单位档案",IF($F836="","未选收票/收款方",IF(ISNA(MATCH($F836,单位档案!$A$6:$A$35,0)),"收款方不在单位档案",IF(NOT(ISNUMBER($H836)),"金额须为数字",IF(AND($D836="销项开票",$N836="—"),"链条待确认","√")))))))))))</f>
        <v/>
      </c>
      <c r="M836" s="34" t="str">
        <f aca="false">IF($C836="","",IFERROR(INDEX(项目档案!$B$6:$B$255,MATCH($C836,项目档案!$A$6:$A$255,0)),"⚠项目编号不存在"))</f>
        <v/>
      </c>
      <c r="N836" s="35" t="str">
        <f aca="false">IF($E836="","",IF($E836=IFERROR(INDEX(项目档案!$D$6:$D$255,MATCH($C836,项目档案!$A$6:$A$255,0)),""),"一级",IF($E836=IFERROR(INDEX(项目档案!$F$6:$F$255,MATCH($C836,项目档案!$A$6:$A$255,0)),""),"二级",IF($E836=IFERROR(INDEX(项目档案!$H$6:$H$255,MATCH($C836,项目档案!$A$6:$A$255,0)),""),"我方","—"))))</f>
        <v/>
      </c>
      <c r="O836" s="36" t="n">
        <f aca="false">IF($D836&lt;&gt;"销项开票",0,ROUND(N($H836)*N($I836),2))</f>
        <v>0</v>
      </c>
      <c r="P836" s="36" t="n">
        <f aca="false">IF($D836&lt;&gt;"销项开票",0,ROUND(N($H836)-$O836,2))</f>
        <v>0</v>
      </c>
      <c r="Q836" s="37" t="str">
        <f aca="false">IF($E836="","",N(IFERROR(INDEX(单位档案!$E$6:$E$35,MATCH($E836,单位档案!$A$6:$A$35,0)),"")))</f>
        <v/>
      </c>
      <c r="R836" s="37" t="str">
        <f aca="false">IF($E836="","",N(IFERROR(INDEX(单位档案!$F$6:$F$35,MATCH($E836,单位档案!$A$6:$A$35,0)),"")))</f>
        <v/>
      </c>
      <c r="S836" s="36" t="n">
        <f aca="false">IF(OR($D836&lt;&gt;"销项开票",IFERROR(INDEX(单位档案!$G$6:$G$35,MATCH($E836,单位档案!$A$6:$A$35,0)),"")&lt;&gt;"是",N($Q836)=0),0,IF(IFERROR(INDEX(单位档案!$H$6:$H$35,MATCH($E836,单位档案!$A$6:$A$35,0)),"")="税差法",ROUND(N($H836)/(1+$Q836)*$Q836-IF(N($R836)=0,0,$P836/(1+$R836)*$R836),2),ROUND(N($H836)/(1+$Q836)*$Q836,2)))</f>
        <v>0</v>
      </c>
      <c r="T836" s="36" t="n">
        <f aca="false">ROUND($S836*N(IFERROR(INDEX(单位档案!$J$6:$J$35,MATCH($E836,单位档案!$A$6:$A$35,0)),"")),2)</f>
        <v>0</v>
      </c>
      <c r="U836" s="36" t="n">
        <f aca="false">IF($D836&lt;&gt;"销项开票",0,ROUND(N($H836)*N(IFERROR(INDEX(单位档案!$K$6:$K$35,MATCH($E836,单位档案!$A$6:$A$35,0)),"")),2))</f>
        <v>0</v>
      </c>
      <c r="V836" s="36" t="n">
        <f aca="false">IF(OR($D836&lt;&gt;"销项开票",N($Q836)=0),0,ROUND(N($H836)/(1+$Q836)*N(IFERROR(INDEX(单位档案!$L$6:$L$35,MATCH($E836,单位档案!$A$6:$A$35,0)),"")),2))</f>
        <v>0</v>
      </c>
      <c r="W836" s="36" t="n">
        <f aca="false">ROUND($S836+$T836+$U836+$V836,2)</f>
        <v>0</v>
      </c>
      <c r="X836" s="35" t="str">
        <f aca="false">IF(OR($D836="挂靠代收",$D836="我方收款"),COUNTIFS($D$5:$D836,"挂靠代收")+COUNTIFS($D$5:$D836,"我方收款"),"")</f>
        <v/>
      </c>
      <c r="Y836" s="35"/>
      <c r="Z836" s="21" t="s">
        <v>111</v>
      </c>
    </row>
    <row r="837" customFormat="false" ht="15.75" hidden="false" customHeight="true" outlineLevel="0" collapsed="false">
      <c r="A837" s="32" t="str">
        <f aca="false">IF($B837="","",ROW()-4)</f>
        <v/>
      </c>
      <c r="B837" s="26"/>
      <c r="C837" s="24"/>
      <c r="D837" s="21"/>
      <c r="E837" s="21"/>
      <c r="F837" s="21"/>
      <c r="G837" s="21"/>
      <c r="H837" s="27"/>
      <c r="I837" s="23" t="str">
        <f aca="false">IF($D837&lt;&gt;"销项开票","",IF($N837="一级",IF(IFERROR(INDEX(项目档案!$E$6:$E$255,MATCH($C837,项目档案!$A$6:$A$255,0)),"")="",N(IFERROR(INDEX(单位档案!$D$6:$D$35,MATCH($E837,单位档案!$A$6:$A$35,0)),"")),IFERROR(INDEX(项目档案!$E$6:$E$255,MATCH($C837,项目档案!$A$6:$A$255,0)),"")),IF($N837="二级",IF(IFERROR(INDEX(项目档案!$G$6:$G$255,MATCH($C837,项目档案!$A$6:$A$255,0)),"")="",N(IFERROR(INDEX(单位档案!$D$6:$D$35,MATCH($E837,单位档案!$A$6:$A$35,0)),"")),IFERROR(INDEX(项目档案!$G$6:$G$255,MATCH($C837,项目档案!$A$6:$A$255,0)),"")),N(IFERROR(INDEX(单位档案!$D$6:$D$35,MATCH($E837,单位档案!$A$6:$A$35,0)),"")))))</f>
        <v/>
      </c>
      <c r="J837" s="22"/>
      <c r="K837" s="22"/>
      <c r="L837" s="33" t="str">
        <f aca="false">IF($B837="","",IF(NOT(ISNUMBER($B837)),"日期格式不对",IF($C837="","未选项目编号",IF(LEFT($M837,1)="⚠","项目编号不存在",IF($D837="","未选业务类型",IF($E837="","未选开票/付款方",IF(ISNA(MATCH($E837,单位档案!$A$6:$A$35,0)),"开票方不在单位档案",IF($F837="","未选收票/收款方",IF(ISNA(MATCH($F837,单位档案!$A$6:$A$35,0)),"收款方不在单位档案",IF(NOT(ISNUMBER($H837)),"金额须为数字",IF(AND($D837="销项开票",$N837="—"),"链条待确认","√")))))))))))</f>
        <v/>
      </c>
      <c r="M837" s="34" t="str">
        <f aca="false">IF($C837="","",IFERROR(INDEX(项目档案!$B$6:$B$255,MATCH($C837,项目档案!$A$6:$A$255,0)),"⚠项目编号不存在"))</f>
        <v/>
      </c>
      <c r="N837" s="35" t="str">
        <f aca="false">IF($E837="","",IF($E837=IFERROR(INDEX(项目档案!$D$6:$D$255,MATCH($C837,项目档案!$A$6:$A$255,0)),""),"一级",IF($E837=IFERROR(INDEX(项目档案!$F$6:$F$255,MATCH($C837,项目档案!$A$6:$A$255,0)),""),"二级",IF($E837=IFERROR(INDEX(项目档案!$H$6:$H$255,MATCH($C837,项目档案!$A$6:$A$255,0)),""),"我方","—"))))</f>
        <v/>
      </c>
      <c r="O837" s="36" t="n">
        <f aca="false">IF($D837&lt;&gt;"销项开票",0,ROUND(N($H837)*N($I837),2))</f>
        <v>0</v>
      </c>
      <c r="P837" s="36" t="n">
        <f aca="false">IF($D837&lt;&gt;"销项开票",0,ROUND(N($H837)-$O837,2))</f>
        <v>0</v>
      </c>
      <c r="Q837" s="37" t="str">
        <f aca="false">IF($E837="","",N(IFERROR(INDEX(单位档案!$E$6:$E$35,MATCH($E837,单位档案!$A$6:$A$35,0)),"")))</f>
        <v/>
      </c>
      <c r="R837" s="37" t="str">
        <f aca="false">IF($E837="","",N(IFERROR(INDEX(单位档案!$F$6:$F$35,MATCH($E837,单位档案!$A$6:$A$35,0)),"")))</f>
        <v/>
      </c>
      <c r="S837" s="36" t="n">
        <f aca="false">IF(OR($D837&lt;&gt;"销项开票",IFERROR(INDEX(单位档案!$G$6:$G$35,MATCH($E837,单位档案!$A$6:$A$35,0)),"")&lt;&gt;"是",N($Q837)=0),0,IF(IFERROR(INDEX(单位档案!$H$6:$H$35,MATCH($E837,单位档案!$A$6:$A$35,0)),"")="税差法",ROUND(N($H837)/(1+$Q837)*$Q837-IF(N($R837)=0,0,$P837/(1+$R837)*$R837),2),ROUND(N($H837)/(1+$Q837)*$Q837,2)))</f>
        <v>0</v>
      </c>
      <c r="T837" s="36" t="n">
        <f aca="false">ROUND($S837*N(IFERROR(INDEX(单位档案!$J$6:$J$35,MATCH($E837,单位档案!$A$6:$A$35,0)),"")),2)</f>
        <v>0</v>
      </c>
      <c r="U837" s="36" t="n">
        <f aca="false">IF($D837&lt;&gt;"销项开票",0,ROUND(N($H837)*N(IFERROR(INDEX(单位档案!$K$6:$K$35,MATCH($E837,单位档案!$A$6:$A$35,0)),"")),2))</f>
        <v>0</v>
      </c>
      <c r="V837" s="36" t="n">
        <f aca="false">IF(OR($D837&lt;&gt;"销项开票",N($Q837)=0),0,ROUND(N($H837)/(1+$Q837)*N(IFERROR(INDEX(单位档案!$L$6:$L$35,MATCH($E837,单位档案!$A$6:$A$35,0)),"")),2))</f>
        <v>0</v>
      </c>
      <c r="W837" s="36" t="n">
        <f aca="false">ROUND($S837+$T837+$U837+$V837,2)</f>
        <v>0</v>
      </c>
      <c r="X837" s="35" t="str">
        <f aca="false">IF(OR($D837="挂靠代收",$D837="我方收款"),COUNTIFS($D$5:$D837,"挂靠代收")+COUNTIFS($D$5:$D837,"我方收款"),"")</f>
        <v/>
      </c>
      <c r="Y837" s="35"/>
      <c r="Z837" s="21" t="s">
        <v>111</v>
      </c>
    </row>
    <row r="838" customFormat="false" ht="15.75" hidden="false" customHeight="true" outlineLevel="0" collapsed="false">
      <c r="A838" s="32" t="str">
        <f aca="false">IF($B838="","",ROW()-4)</f>
        <v/>
      </c>
      <c r="B838" s="26"/>
      <c r="C838" s="24"/>
      <c r="D838" s="21"/>
      <c r="E838" s="21"/>
      <c r="F838" s="21"/>
      <c r="G838" s="21"/>
      <c r="H838" s="27"/>
      <c r="I838" s="23" t="str">
        <f aca="false">IF($D838&lt;&gt;"销项开票","",IF($N838="一级",IF(IFERROR(INDEX(项目档案!$E$6:$E$255,MATCH($C838,项目档案!$A$6:$A$255,0)),"")="",N(IFERROR(INDEX(单位档案!$D$6:$D$35,MATCH($E838,单位档案!$A$6:$A$35,0)),"")),IFERROR(INDEX(项目档案!$E$6:$E$255,MATCH($C838,项目档案!$A$6:$A$255,0)),"")),IF($N838="二级",IF(IFERROR(INDEX(项目档案!$G$6:$G$255,MATCH($C838,项目档案!$A$6:$A$255,0)),"")="",N(IFERROR(INDEX(单位档案!$D$6:$D$35,MATCH($E838,单位档案!$A$6:$A$35,0)),"")),IFERROR(INDEX(项目档案!$G$6:$G$255,MATCH($C838,项目档案!$A$6:$A$255,0)),"")),N(IFERROR(INDEX(单位档案!$D$6:$D$35,MATCH($E838,单位档案!$A$6:$A$35,0)),"")))))</f>
        <v/>
      </c>
      <c r="J838" s="22"/>
      <c r="K838" s="22"/>
      <c r="L838" s="33" t="str">
        <f aca="false">IF($B838="","",IF(NOT(ISNUMBER($B838)),"日期格式不对",IF($C838="","未选项目编号",IF(LEFT($M838,1)="⚠","项目编号不存在",IF($D838="","未选业务类型",IF($E838="","未选开票/付款方",IF(ISNA(MATCH($E838,单位档案!$A$6:$A$35,0)),"开票方不在单位档案",IF($F838="","未选收票/收款方",IF(ISNA(MATCH($F838,单位档案!$A$6:$A$35,0)),"收款方不在单位档案",IF(NOT(ISNUMBER($H838)),"金额须为数字",IF(AND($D838="销项开票",$N838="—"),"链条待确认","√")))))))))))</f>
        <v/>
      </c>
      <c r="M838" s="34" t="str">
        <f aca="false">IF($C838="","",IFERROR(INDEX(项目档案!$B$6:$B$255,MATCH($C838,项目档案!$A$6:$A$255,0)),"⚠项目编号不存在"))</f>
        <v/>
      </c>
      <c r="N838" s="35" t="str">
        <f aca="false">IF($E838="","",IF($E838=IFERROR(INDEX(项目档案!$D$6:$D$255,MATCH($C838,项目档案!$A$6:$A$255,0)),""),"一级",IF($E838=IFERROR(INDEX(项目档案!$F$6:$F$255,MATCH($C838,项目档案!$A$6:$A$255,0)),""),"二级",IF($E838=IFERROR(INDEX(项目档案!$H$6:$H$255,MATCH($C838,项目档案!$A$6:$A$255,0)),""),"我方","—"))))</f>
        <v/>
      </c>
      <c r="O838" s="36" t="n">
        <f aca="false">IF($D838&lt;&gt;"销项开票",0,ROUND(N($H838)*N($I838),2))</f>
        <v>0</v>
      </c>
      <c r="P838" s="36" t="n">
        <f aca="false">IF($D838&lt;&gt;"销项开票",0,ROUND(N($H838)-$O838,2))</f>
        <v>0</v>
      </c>
      <c r="Q838" s="37" t="str">
        <f aca="false">IF($E838="","",N(IFERROR(INDEX(单位档案!$E$6:$E$35,MATCH($E838,单位档案!$A$6:$A$35,0)),"")))</f>
        <v/>
      </c>
      <c r="R838" s="37" t="str">
        <f aca="false">IF($E838="","",N(IFERROR(INDEX(单位档案!$F$6:$F$35,MATCH($E838,单位档案!$A$6:$A$35,0)),"")))</f>
        <v/>
      </c>
      <c r="S838" s="36" t="n">
        <f aca="false">IF(OR($D838&lt;&gt;"销项开票",IFERROR(INDEX(单位档案!$G$6:$G$35,MATCH($E838,单位档案!$A$6:$A$35,0)),"")&lt;&gt;"是",N($Q838)=0),0,IF(IFERROR(INDEX(单位档案!$H$6:$H$35,MATCH($E838,单位档案!$A$6:$A$35,0)),"")="税差法",ROUND(N($H838)/(1+$Q838)*$Q838-IF(N($R838)=0,0,$P838/(1+$R838)*$R838),2),ROUND(N($H838)/(1+$Q838)*$Q838,2)))</f>
        <v>0</v>
      </c>
      <c r="T838" s="36" t="n">
        <f aca="false">ROUND($S838*N(IFERROR(INDEX(单位档案!$J$6:$J$35,MATCH($E838,单位档案!$A$6:$A$35,0)),"")),2)</f>
        <v>0</v>
      </c>
      <c r="U838" s="36" t="n">
        <f aca="false">IF($D838&lt;&gt;"销项开票",0,ROUND(N($H838)*N(IFERROR(INDEX(单位档案!$K$6:$K$35,MATCH($E838,单位档案!$A$6:$A$35,0)),"")),2))</f>
        <v>0</v>
      </c>
      <c r="V838" s="36" t="n">
        <f aca="false">IF(OR($D838&lt;&gt;"销项开票",N($Q838)=0),0,ROUND(N($H838)/(1+$Q838)*N(IFERROR(INDEX(单位档案!$L$6:$L$35,MATCH($E838,单位档案!$A$6:$A$35,0)),"")),2))</f>
        <v>0</v>
      </c>
      <c r="W838" s="36" t="n">
        <f aca="false">ROUND($S838+$T838+$U838+$V838,2)</f>
        <v>0</v>
      </c>
      <c r="X838" s="35" t="str">
        <f aca="false">IF(OR($D838="挂靠代收",$D838="我方收款"),COUNTIFS($D$5:$D838,"挂靠代收")+COUNTIFS($D$5:$D838,"我方收款"),"")</f>
        <v/>
      </c>
      <c r="Y838" s="35"/>
      <c r="Z838" s="21" t="s">
        <v>111</v>
      </c>
    </row>
    <row r="839" customFormat="false" ht="15.75" hidden="false" customHeight="true" outlineLevel="0" collapsed="false">
      <c r="A839" s="32" t="str">
        <f aca="false">IF($B839="","",ROW()-4)</f>
        <v/>
      </c>
      <c r="B839" s="26"/>
      <c r="C839" s="24"/>
      <c r="D839" s="21"/>
      <c r="E839" s="21"/>
      <c r="F839" s="21"/>
      <c r="G839" s="21"/>
      <c r="H839" s="27"/>
      <c r="I839" s="23" t="str">
        <f aca="false">IF($D839&lt;&gt;"销项开票","",IF($N839="一级",IF(IFERROR(INDEX(项目档案!$E$6:$E$255,MATCH($C839,项目档案!$A$6:$A$255,0)),"")="",N(IFERROR(INDEX(单位档案!$D$6:$D$35,MATCH($E839,单位档案!$A$6:$A$35,0)),"")),IFERROR(INDEX(项目档案!$E$6:$E$255,MATCH($C839,项目档案!$A$6:$A$255,0)),"")),IF($N839="二级",IF(IFERROR(INDEX(项目档案!$G$6:$G$255,MATCH($C839,项目档案!$A$6:$A$255,0)),"")="",N(IFERROR(INDEX(单位档案!$D$6:$D$35,MATCH($E839,单位档案!$A$6:$A$35,0)),"")),IFERROR(INDEX(项目档案!$G$6:$G$255,MATCH($C839,项目档案!$A$6:$A$255,0)),"")),N(IFERROR(INDEX(单位档案!$D$6:$D$35,MATCH($E839,单位档案!$A$6:$A$35,0)),"")))))</f>
        <v/>
      </c>
      <c r="J839" s="22"/>
      <c r="K839" s="22"/>
      <c r="L839" s="33" t="str">
        <f aca="false">IF($B839="","",IF(NOT(ISNUMBER($B839)),"日期格式不对",IF($C839="","未选项目编号",IF(LEFT($M839,1)="⚠","项目编号不存在",IF($D839="","未选业务类型",IF($E839="","未选开票/付款方",IF(ISNA(MATCH($E839,单位档案!$A$6:$A$35,0)),"开票方不在单位档案",IF($F839="","未选收票/收款方",IF(ISNA(MATCH($F839,单位档案!$A$6:$A$35,0)),"收款方不在单位档案",IF(NOT(ISNUMBER($H839)),"金额须为数字",IF(AND($D839="销项开票",$N839="—"),"链条待确认","√")))))))))))</f>
        <v/>
      </c>
      <c r="M839" s="34" t="str">
        <f aca="false">IF($C839="","",IFERROR(INDEX(项目档案!$B$6:$B$255,MATCH($C839,项目档案!$A$6:$A$255,0)),"⚠项目编号不存在"))</f>
        <v/>
      </c>
      <c r="N839" s="35" t="str">
        <f aca="false">IF($E839="","",IF($E839=IFERROR(INDEX(项目档案!$D$6:$D$255,MATCH($C839,项目档案!$A$6:$A$255,0)),""),"一级",IF($E839=IFERROR(INDEX(项目档案!$F$6:$F$255,MATCH($C839,项目档案!$A$6:$A$255,0)),""),"二级",IF($E839=IFERROR(INDEX(项目档案!$H$6:$H$255,MATCH($C839,项目档案!$A$6:$A$255,0)),""),"我方","—"))))</f>
        <v/>
      </c>
      <c r="O839" s="36" t="n">
        <f aca="false">IF($D839&lt;&gt;"销项开票",0,ROUND(N($H839)*N($I839),2))</f>
        <v>0</v>
      </c>
      <c r="P839" s="36" t="n">
        <f aca="false">IF($D839&lt;&gt;"销项开票",0,ROUND(N($H839)-$O839,2))</f>
        <v>0</v>
      </c>
      <c r="Q839" s="37" t="str">
        <f aca="false">IF($E839="","",N(IFERROR(INDEX(单位档案!$E$6:$E$35,MATCH($E839,单位档案!$A$6:$A$35,0)),"")))</f>
        <v/>
      </c>
      <c r="R839" s="37" t="str">
        <f aca="false">IF($E839="","",N(IFERROR(INDEX(单位档案!$F$6:$F$35,MATCH($E839,单位档案!$A$6:$A$35,0)),"")))</f>
        <v/>
      </c>
      <c r="S839" s="36" t="n">
        <f aca="false">IF(OR($D839&lt;&gt;"销项开票",IFERROR(INDEX(单位档案!$G$6:$G$35,MATCH($E839,单位档案!$A$6:$A$35,0)),"")&lt;&gt;"是",N($Q839)=0),0,IF(IFERROR(INDEX(单位档案!$H$6:$H$35,MATCH($E839,单位档案!$A$6:$A$35,0)),"")="税差法",ROUND(N($H839)/(1+$Q839)*$Q839-IF(N($R839)=0,0,$P839/(1+$R839)*$R839),2),ROUND(N($H839)/(1+$Q839)*$Q839,2)))</f>
        <v>0</v>
      </c>
      <c r="T839" s="36" t="n">
        <f aca="false">ROUND($S839*N(IFERROR(INDEX(单位档案!$J$6:$J$35,MATCH($E839,单位档案!$A$6:$A$35,0)),"")),2)</f>
        <v>0</v>
      </c>
      <c r="U839" s="36" t="n">
        <f aca="false">IF($D839&lt;&gt;"销项开票",0,ROUND(N($H839)*N(IFERROR(INDEX(单位档案!$K$6:$K$35,MATCH($E839,单位档案!$A$6:$A$35,0)),"")),2))</f>
        <v>0</v>
      </c>
      <c r="V839" s="36" t="n">
        <f aca="false">IF(OR($D839&lt;&gt;"销项开票",N($Q839)=0),0,ROUND(N($H839)/(1+$Q839)*N(IFERROR(INDEX(单位档案!$L$6:$L$35,MATCH($E839,单位档案!$A$6:$A$35,0)),"")),2))</f>
        <v>0</v>
      </c>
      <c r="W839" s="36" t="n">
        <f aca="false">ROUND($S839+$T839+$U839+$V839,2)</f>
        <v>0</v>
      </c>
      <c r="X839" s="35" t="str">
        <f aca="false">IF(OR($D839="挂靠代收",$D839="我方收款"),COUNTIFS($D$5:$D839,"挂靠代收")+COUNTIFS($D$5:$D839,"我方收款"),"")</f>
        <v/>
      </c>
      <c r="Y839" s="35"/>
      <c r="Z839" s="21" t="s">
        <v>111</v>
      </c>
    </row>
    <row r="840" customFormat="false" ht="15.75" hidden="false" customHeight="true" outlineLevel="0" collapsed="false">
      <c r="A840" s="32" t="str">
        <f aca="false">IF($B840="","",ROW()-4)</f>
        <v/>
      </c>
      <c r="B840" s="26"/>
      <c r="C840" s="24"/>
      <c r="D840" s="21"/>
      <c r="E840" s="21"/>
      <c r="F840" s="21"/>
      <c r="G840" s="21"/>
      <c r="H840" s="27"/>
      <c r="I840" s="23" t="str">
        <f aca="false">IF($D840&lt;&gt;"销项开票","",IF($N840="一级",IF(IFERROR(INDEX(项目档案!$E$6:$E$255,MATCH($C840,项目档案!$A$6:$A$255,0)),"")="",N(IFERROR(INDEX(单位档案!$D$6:$D$35,MATCH($E840,单位档案!$A$6:$A$35,0)),"")),IFERROR(INDEX(项目档案!$E$6:$E$255,MATCH($C840,项目档案!$A$6:$A$255,0)),"")),IF($N840="二级",IF(IFERROR(INDEX(项目档案!$G$6:$G$255,MATCH($C840,项目档案!$A$6:$A$255,0)),"")="",N(IFERROR(INDEX(单位档案!$D$6:$D$35,MATCH($E840,单位档案!$A$6:$A$35,0)),"")),IFERROR(INDEX(项目档案!$G$6:$G$255,MATCH($C840,项目档案!$A$6:$A$255,0)),"")),N(IFERROR(INDEX(单位档案!$D$6:$D$35,MATCH($E840,单位档案!$A$6:$A$35,0)),"")))))</f>
        <v/>
      </c>
      <c r="J840" s="22"/>
      <c r="K840" s="22"/>
      <c r="L840" s="33" t="str">
        <f aca="false">IF($B840="","",IF(NOT(ISNUMBER($B840)),"日期格式不对",IF($C840="","未选项目编号",IF(LEFT($M840,1)="⚠","项目编号不存在",IF($D840="","未选业务类型",IF($E840="","未选开票/付款方",IF(ISNA(MATCH($E840,单位档案!$A$6:$A$35,0)),"开票方不在单位档案",IF($F840="","未选收票/收款方",IF(ISNA(MATCH($F840,单位档案!$A$6:$A$35,0)),"收款方不在单位档案",IF(NOT(ISNUMBER($H840)),"金额须为数字",IF(AND($D840="销项开票",$N840="—"),"链条待确认","√")))))))))))</f>
        <v/>
      </c>
      <c r="M840" s="34" t="str">
        <f aca="false">IF($C840="","",IFERROR(INDEX(项目档案!$B$6:$B$255,MATCH($C840,项目档案!$A$6:$A$255,0)),"⚠项目编号不存在"))</f>
        <v/>
      </c>
      <c r="N840" s="35" t="str">
        <f aca="false">IF($E840="","",IF($E840=IFERROR(INDEX(项目档案!$D$6:$D$255,MATCH($C840,项目档案!$A$6:$A$255,0)),""),"一级",IF($E840=IFERROR(INDEX(项目档案!$F$6:$F$255,MATCH($C840,项目档案!$A$6:$A$255,0)),""),"二级",IF($E840=IFERROR(INDEX(项目档案!$H$6:$H$255,MATCH($C840,项目档案!$A$6:$A$255,0)),""),"我方","—"))))</f>
        <v/>
      </c>
      <c r="O840" s="36" t="n">
        <f aca="false">IF($D840&lt;&gt;"销项开票",0,ROUND(N($H840)*N($I840),2))</f>
        <v>0</v>
      </c>
      <c r="P840" s="36" t="n">
        <f aca="false">IF($D840&lt;&gt;"销项开票",0,ROUND(N($H840)-$O840,2))</f>
        <v>0</v>
      </c>
      <c r="Q840" s="37" t="str">
        <f aca="false">IF($E840="","",N(IFERROR(INDEX(单位档案!$E$6:$E$35,MATCH($E840,单位档案!$A$6:$A$35,0)),"")))</f>
        <v/>
      </c>
      <c r="R840" s="37" t="str">
        <f aca="false">IF($E840="","",N(IFERROR(INDEX(单位档案!$F$6:$F$35,MATCH($E840,单位档案!$A$6:$A$35,0)),"")))</f>
        <v/>
      </c>
      <c r="S840" s="36" t="n">
        <f aca="false">IF(OR($D840&lt;&gt;"销项开票",IFERROR(INDEX(单位档案!$G$6:$G$35,MATCH($E840,单位档案!$A$6:$A$35,0)),"")&lt;&gt;"是",N($Q840)=0),0,IF(IFERROR(INDEX(单位档案!$H$6:$H$35,MATCH($E840,单位档案!$A$6:$A$35,0)),"")="税差法",ROUND(N($H840)/(1+$Q840)*$Q840-IF(N($R840)=0,0,$P840/(1+$R840)*$R840),2),ROUND(N($H840)/(1+$Q840)*$Q840,2)))</f>
        <v>0</v>
      </c>
      <c r="T840" s="36" t="n">
        <f aca="false">ROUND($S840*N(IFERROR(INDEX(单位档案!$J$6:$J$35,MATCH($E840,单位档案!$A$6:$A$35,0)),"")),2)</f>
        <v>0</v>
      </c>
      <c r="U840" s="36" t="n">
        <f aca="false">IF($D840&lt;&gt;"销项开票",0,ROUND(N($H840)*N(IFERROR(INDEX(单位档案!$K$6:$K$35,MATCH($E840,单位档案!$A$6:$A$35,0)),"")),2))</f>
        <v>0</v>
      </c>
      <c r="V840" s="36" t="n">
        <f aca="false">IF(OR($D840&lt;&gt;"销项开票",N($Q840)=0),0,ROUND(N($H840)/(1+$Q840)*N(IFERROR(INDEX(单位档案!$L$6:$L$35,MATCH($E840,单位档案!$A$6:$A$35,0)),"")),2))</f>
        <v>0</v>
      </c>
      <c r="W840" s="36" t="n">
        <f aca="false">ROUND($S840+$T840+$U840+$V840,2)</f>
        <v>0</v>
      </c>
      <c r="X840" s="35" t="str">
        <f aca="false">IF(OR($D840="挂靠代收",$D840="我方收款"),COUNTIFS($D$5:$D840,"挂靠代收")+COUNTIFS($D$5:$D840,"我方收款"),"")</f>
        <v/>
      </c>
      <c r="Y840" s="35"/>
      <c r="Z840" s="21" t="s">
        <v>111</v>
      </c>
    </row>
    <row r="841" customFormat="false" ht="15.75" hidden="false" customHeight="true" outlineLevel="0" collapsed="false">
      <c r="A841" s="32" t="str">
        <f aca="false">IF($B841="","",ROW()-4)</f>
        <v/>
      </c>
      <c r="B841" s="26"/>
      <c r="C841" s="24"/>
      <c r="D841" s="21"/>
      <c r="E841" s="21"/>
      <c r="F841" s="21"/>
      <c r="G841" s="21"/>
      <c r="H841" s="27"/>
      <c r="I841" s="23" t="str">
        <f aca="false">IF($D841&lt;&gt;"销项开票","",IF($N841="一级",IF(IFERROR(INDEX(项目档案!$E$6:$E$255,MATCH($C841,项目档案!$A$6:$A$255,0)),"")="",N(IFERROR(INDEX(单位档案!$D$6:$D$35,MATCH($E841,单位档案!$A$6:$A$35,0)),"")),IFERROR(INDEX(项目档案!$E$6:$E$255,MATCH($C841,项目档案!$A$6:$A$255,0)),"")),IF($N841="二级",IF(IFERROR(INDEX(项目档案!$G$6:$G$255,MATCH($C841,项目档案!$A$6:$A$255,0)),"")="",N(IFERROR(INDEX(单位档案!$D$6:$D$35,MATCH($E841,单位档案!$A$6:$A$35,0)),"")),IFERROR(INDEX(项目档案!$G$6:$G$255,MATCH($C841,项目档案!$A$6:$A$255,0)),"")),N(IFERROR(INDEX(单位档案!$D$6:$D$35,MATCH($E841,单位档案!$A$6:$A$35,0)),"")))))</f>
        <v/>
      </c>
      <c r="J841" s="22"/>
      <c r="K841" s="22"/>
      <c r="L841" s="33" t="str">
        <f aca="false">IF($B841="","",IF(NOT(ISNUMBER($B841)),"日期格式不对",IF($C841="","未选项目编号",IF(LEFT($M841,1)="⚠","项目编号不存在",IF($D841="","未选业务类型",IF($E841="","未选开票/付款方",IF(ISNA(MATCH($E841,单位档案!$A$6:$A$35,0)),"开票方不在单位档案",IF($F841="","未选收票/收款方",IF(ISNA(MATCH($F841,单位档案!$A$6:$A$35,0)),"收款方不在单位档案",IF(NOT(ISNUMBER($H841)),"金额须为数字",IF(AND($D841="销项开票",$N841="—"),"链条待确认","√")))))))))))</f>
        <v/>
      </c>
      <c r="M841" s="34" t="str">
        <f aca="false">IF($C841="","",IFERROR(INDEX(项目档案!$B$6:$B$255,MATCH($C841,项目档案!$A$6:$A$255,0)),"⚠项目编号不存在"))</f>
        <v/>
      </c>
      <c r="N841" s="35" t="str">
        <f aca="false">IF($E841="","",IF($E841=IFERROR(INDEX(项目档案!$D$6:$D$255,MATCH($C841,项目档案!$A$6:$A$255,0)),""),"一级",IF($E841=IFERROR(INDEX(项目档案!$F$6:$F$255,MATCH($C841,项目档案!$A$6:$A$255,0)),""),"二级",IF($E841=IFERROR(INDEX(项目档案!$H$6:$H$255,MATCH($C841,项目档案!$A$6:$A$255,0)),""),"我方","—"))))</f>
        <v/>
      </c>
      <c r="O841" s="36" t="n">
        <f aca="false">IF($D841&lt;&gt;"销项开票",0,ROUND(N($H841)*N($I841),2))</f>
        <v>0</v>
      </c>
      <c r="P841" s="36" t="n">
        <f aca="false">IF($D841&lt;&gt;"销项开票",0,ROUND(N($H841)-$O841,2))</f>
        <v>0</v>
      </c>
      <c r="Q841" s="37" t="str">
        <f aca="false">IF($E841="","",N(IFERROR(INDEX(单位档案!$E$6:$E$35,MATCH($E841,单位档案!$A$6:$A$35,0)),"")))</f>
        <v/>
      </c>
      <c r="R841" s="37" t="str">
        <f aca="false">IF($E841="","",N(IFERROR(INDEX(单位档案!$F$6:$F$35,MATCH($E841,单位档案!$A$6:$A$35,0)),"")))</f>
        <v/>
      </c>
      <c r="S841" s="36" t="n">
        <f aca="false">IF(OR($D841&lt;&gt;"销项开票",IFERROR(INDEX(单位档案!$G$6:$G$35,MATCH($E841,单位档案!$A$6:$A$35,0)),"")&lt;&gt;"是",N($Q841)=0),0,IF(IFERROR(INDEX(单位档案!$H$6:$H$35,MATCH($E841,单位档案!$A$6:$A$35,0)),"")="税差法",ROUND(N($H841)/(1+$Q841)*$Q841-IF(N($R841)=0,0,$P841/(1+$R841)*$R841),2),ROUND(N($H841)/(1+$Q841)*$Q841,2)))</f>
        <v>0</v>
      </c>
      <c r="T841" s="36" t="n">
        <f aca="false">ROUND($S841*N(IFERROR(INDEX(单位档案!$J$6:$J$35,MATCH($E841,单位档案!$A$6:$A$35,0)),"")),2)</f>
        <v>0</v>
      </c>
      <c r="U841" s="36" t="n">
        <f aca="false">IF($D841&lt;&gt;"销项开票",0,ROUND(N($H841)*N(IFERROR(INDEX(单位档案!$K$6:$K$35,MATCH($E841,单位档案!$A$6:$A$35,0)),"")),2))</f>
        <v>0</v>
      </c>
      <c r="V841" s="36" t="n">
        <f aca="false">IF(OR($D841&lt;&gt;"销项开票",N($Q841)=0),0,ROUND(N($H841)/(1+$Q841)*N(IFERROR(INDEX(单位档案!$L$6:$L$35,MATCH($E841,单位档案!$A$6:$A$35,0)),"")),2))</f>
        <v>0</v>
      </c>
      <c r="W841" s="36" t="n">
        <f aca="false">ROUND($S841+$T841+$U841+$V841,2)</f>
        <v>0</v>
      </c>
      <c r="X841" s="35" t="str">
        <f aca="false">IF(OR($D841="挂靠代收",$D841="我方收款"),COUNTIFS($D$5:$D841,"挂靠代收")+COUNTIFS($D$5:$D841,"我方收款"),"")</f>
        <v/>
      </c>
      <c r="Y841" s="35"/>
      <c r="Z841" s="21" t="s">
        <v>111</v>
      </c>
    </row>
    <row r="842" customFormat="false" ht="15.75" hidden="false" customHeight="true" outlineLevel="0" collapsed="false">
      <c r="A842" s="32" t="str">
        <f aca="false">IF($B842="","",ROW()-4)</f>
        <v/>
      </c>
      <c r="B842" s="26"/>
      <c r="C842" s="24"/>
      <c r="D842" s="21"/>
      <c r="E842" s="21"/>
      <c r="F842" s="21"/>
      <c r="G842" s="21"/>
      <c r="H842" s="27"/>
      <c r="I842" s="23" t="str">
        <f aca="false">IF($D842&lt;&gt;"销项开票","",IF($N842="一级",IF(IFERROR(INDEX(项目档案!$E$6:$E$255,MATCH($C842,项目档案!$A$6:$A$255,0)),"")="",N(IFERROR(INDEX(单位档案!$D$6:$D$35,MATCH($E842,单位档案!$A$6:$A$35,0)),"")),IFERROR(INDEX(项目档案!$E$6:$E$255,MATCH($C842,项目档案!$A$6:$A$255,0)),"")),IF($N842="二级",IF(IFERROR(INDEX(项目档案!$G$6:$G$255,MATCH($C842,项目档案!$A$6:$A$255,0)),"")="",N(IFERROR(INDEX(单位档案!$D$6:$D$35,MATCH($E842,单位档案!$A$6:$A$35,0)),"")),IFERROR(INDEX(项目档案!$G$6:$G$255,MATCH($C842,项目档案!$A$6:$A$255,0)),"")),N(IFERROR(INDEX(单位档案!$D$6:$D$35,MATCH($E842,单位档案!$A$6:$A$35,0)),"")))))</f>
        <v/>
      </c>
      <c r="J842" s="22"/>
      <c r="K842" s="22"/>
      <c r="L842" s="33" t="str">
        <f aca="false">IF($B842="","",IF(NOT(ISNUMBER($B842)),"日期格式不对",IF($C842="","未选项目编号",IF(LEFT($M842,1)="⚠","项目编号不存在",IF($D842="","未选业务类型",IF($E842="","未选开票/付款方",IF(ISNA(MATCH($E842,单位档案!$A$6:$A$35,0)),"开票方不在单位档案",IF($F842="","未选收票/收款方",IF(ISNA(MATCH($F842,单位档案!$A$6:$A$35,0)),"收款方不在单位档案",IF(NOT(ISNUMBER($H842)),"金额须为数字",IF(AND($D842="销项开票",$N842="—"),"链条待确认","√")))))))))))</f>
        <v/>
      </c>
      <c r="M842" s="34" t="str">
        <f aca="false">IF($C842="","",IFERROR(INDEX(项目档案!$B$6:$B$255,MATCH($C842,项目档案!$A$6:$A$255,0)),"⚠项目编号不存在"))</f>
        <v/>
      </c>
      <c r="N842" s="35" t="str">
        <f aca="false">IF($E842="","",IF($E842=IFERROR(INDEX(项目档案!$D$6:$D$255,MATCH($C842,项目档案!$A$6:$A$255,0)),""),"一级",IF($E842=IFERROR(INDEX(项目档案!$F$6:$F$255,MATCH($C842,项目档案!$A$6:$A$255,0)),""),"二级",IF($E842=IFERROR(INDEX(项目档案!$H$6:$H$255,MATCH($C842,项目档案!$A$6:$A$255,0)),""),"我方","—"))))</f>
        <v/>
      </c>
      <c r="O842" s="36" t="n">
        <f aca="false">IF($D842&lt;&gt;"销项开票",0,ROUND(N($H842)*N($I842),2))</f>
        <v>0</v>
      </c>
      <c r="P842" s="36" t="n">
        <f aca="false">IF($D842&lt;&gt;"销项开票",0,ROUND(N($H842)-$O842,2))</f>
        <v>0</v>
      </c>
      <c r="Q842" s="37" t="str">
        <f aca="false">IF($E842="","",N(IFERROR(INDEX(单位档案!$E$6:$E$35,MATCH($E842,单位档案!$A$6:$A$35,0)),"")))</f>
        <v/>
      </c>
      <c r="R842" s="37" t="str">
        <f aca="false">IF($E842="","",N(IFERROR(INDEX(单位档案!$F$6:$F$35,MATCH($E842,单位档案!$A$6:$A$35,0)),"")))</f>
        <v/>
      </c>
      <c r="S842" s="36" t="n">
        <f aca="false">IF(OR($D842&lt;&gt;"销项开票",IFERROR(INDEX(单位档案!$G$6:$G$35,MATCH($E842,单位档案!$A$6:$A$35,0)),"")&lt;&gt;"是",N($Q842)=0),0,IF(IFERROR(INDEX(单位档案!$H$6:$H$35,MATCH($E842,单位档案!$A$6:$A$35,0)),"")="税差法",ROUND(N($H842)/(1+$Q842)*$Q842-IF(N($R842)=0,0,$P842/(1+$R842)*$R842),2),ROUND(N($H842)/(1+$Q842)*$Q842,2)))</f>
        <v>0</v>
      </c>
      <c r="T842" s="36" t="n">
        <f aca="false">ROUND($S842*N(IFERROR(INDEX(单位档案!$J$6:$J$35,MATCH($E842,单位档案!$A$6:$A$35,0)),"")),2)</f>
        <v>0</v>
      </c>
      <c r="U842" s="36" t="n">
        <f aca="false">IF($D842&lt;&gt;"销项开票",0,ROUND(N($H842)*N(IFERROR(INDEX(单位档案!$K$6:$K$35,MATCH($E842,单位档案!$A$6:$A$35,0)),"")),2))</f>
        <v>0</v>
      </c>
      <c r="V842" s="36" t="n">
        <f aca="false">IF(OR($D842&lt;&gt;"销项开票",N($Q842)=0),0,ROUND(N($H842)/(1+$Q842)*N(IFERROR(INDEX(单位档案!$L$6:$L$35,MATCH($E842,单位档案!$A$6:$A$35,0)),"")),2))</f>
        <v>0</v>
      </c>
      <c r="W842" s="36" t="n">
        <f aca="false">ROUND($S842+$T842+$U842+$V842,2)</f>
        <v>0</v>
      </c>
      <c r="X842" s="35" t="str">
        <f aca="false">IF(OR($D842="挂靠代收",$D842="我方收款"),COUNTIFS($D$5:$D842,"挂靠代收")+COUNTIFS($D$5:$D842,"我方收款"),"")</f>
        <v/>
      </c>
      <c r="Y842" s="35"/>
      <c r="Z842" s="21" t="s">
        <v>111</v>
      </c>
    </row>
    <row r="843" customFormat="false" ht="15.75" hidden="false" customHeight="true" outlineLevel="0" collapsed="false">
      <c r="A843" s="32" t="str">
        <f aca="false">IF($B843="","",ROW()-4)</f>
        <v/>
      </c>
      <c r="B843" s="26"/>
      <c r="C843" s="24"/>
      <c r="D843" s="21"/>
      <c r="E843" s="21"/>
      <c r="F843" s="21"/>
      <c r="G843" s="21"/>
      <c r="H843" s="27"/>
      <c r="I843" s="23" t="str">
        <f aca="false">IF($D843&lt;&gt;"销项开票","",IF($N843="一级",IF(IFERROR(INDEX(项目档案!$E$6:$E$255,MATCH($C843,项目档案!$A$6:$A$255,0)),"")="",N(IFERROR(INDEX(单位档案!$D$6:$D$35,MATCH($E843,单位档案!$A$6:$A$35,0)),"")),IFERROR(INDEX(项目档案!$E$6:$E$255,MATCH($C843,项目档案!$A$6:$A$255,0)),"")),IF($N843="二级",IF(IFERROR(INDEX(项目档案!$G$6:$G$255,MATCH($C843,项目档案!$A$6:$A$255,0)),"")="",N(IFERROR(INDEX(单位档案!$D$6:$D$35,MATCH($E843,单位档案!$A$6:$A$35,0)),"")),IFERROR(INDEX(项目档案!$G$6:$G$255,MATCH($C843,项目档案!$A$6:$A$255,0)),"")),N(IFERROR(INDEX(单位档案!$D$6:$D$35,MATCH($E843,单位档案!$A$6:$A$35,0)),"")))))</f>
        <v/>
      </c>
      <c r="J843" s="22"/>
      <c r="K843" s="22"/>
      <c r="L843" s="33" t="str">
        <f aca="false">IF($B843="","",IF(NOT(ISNUMBER($B843)),"日期格式不对",IF($C843="","未选项目编号",IF(LEFT($M843,1)="⚠","项目编号不存在",IF($D843="","未选业务类型",IF($E843="","未选开票/付款方",IF(ISNA(MATCH($E843,单位档案!$A$6:$A$35,0)),"开票方不在单位档案",IF($F843="","未选收票/收款方",IF(ISNA(MATCH($F843,单位档案!$A$6:$A$35,0)),"收款方不在单位档案",IF(NOT(ISNUMBER($H843)),"金额须为数字",IF(AND($D843="销项开票",$N843="—"),"链条待确认","√")))))))))))</f>
        <v/>
      </c>
      <c r="M843" s="34" t="str">
        <f aca="false">IF($C843="","",IFERROR(INDEX(项目档案!$B$6:$B$255,MATCH($C843,项目档案!$A$6:$A$255,0)),"⚠项目编号不存在"))</f>
        <v/>
      </c>
      <c r="N843" s="35" t="str">
        <f aca="false">IF($E843="","",IF($E843=IFERROR(INDEX(项目档案!$D$6:$D$255,MATCH($C843,项目档案!$A$6:$A$255,0)),""),"一级",IF($E843=IFERROR(INDEX(项目档案!$F$6:$F$255,MATCH($C843,项目档案!$A$6:$A$255,0)),""),"二级",IF($E843=IFERROR(INDEX(项目档案!$H$6:$H$255,MATCH($C843,项目档案!$A$6:$A$255,0)),""),"我方","—"))))</f>
        <v/>
      </c>
      <c r="O843" s="36" t="n">
        <f aca="false">IF($D843&lt;&gt;"销项开票",0,ROUND(N($H843)*N($I843),2))</f>
        <v>0</v>
      </c>
      <c r="P843" s="36" t="n">
        <f aca="false">IF($D843&lt;&gt;"销项开票",0,ROUND(N($H843)-$O843,2))</f>
        <v>0</v>
      </c>
      <c r="Q843" s="37" t="str">
        <f aca="false">IF($E843="","",N(IFERROR(INDEX(单位档案!$E$6:$E$35,MATCH($E843,单位档案!$A$6:$A$35,0)),"")))</f>
        <v/>
      </c>
      <c r="R843" s="37" t="str">
        <f aca="false">IF($E843="","",N(IFERROR(INDEX(单位档案!$F$6:$F$35,MATCH($E843,单位档案!$A$6:$A$35,0)),"")))</f>
        <v/>
      </c>
      <c r="S843" s="36" t="n">
        <f aca="false">IF(OR($D843&lt;&gt;"销项开票",IFERROR(INDEX(单位档案!$G$6:$G$35,MATCH($E843,单位档案!$A$6:$A$35,0)),"")&lt;&gt;"是",N($Q843)=0),0,IF(IFERROR(INDEX(单位档案!$H$6:$H$35,MATCH($E843,单位档案!$A$6:$A$35,0)),"")="税差法",ROUND(N($H843)/(1+$Q843)*$Q843-IF(N($R843)=0,0,$P843/(1+$R843)*$R843),2),ROUND(N($H843)/(1+$Q843)*$Q843,2)))</f>
        <v>0</v>
      </c>
      <c r="T843" s="36" t="n">
        <f aca="false">ROUND($S843*N(IFERROR(INDEX(单位档案!$J$6:$J$35,MATCH($E843,单位档案!$A$6:$A$35,0)),"")),2)</f>
        <v>0</v>
      </c>
      <c r="U843" s="36" t="n">
        <f aca="false">IF($D843&lt;&gt;"销项开票",0,ROUND(N($H843)*N(IFERROR(INDEX(单位档案!$K$6:$K$35,MATCH($E843,单位档案!$A$6:$A$35,0)),"")),2))</f>
        <v>0</v>
      </c>
      <c r="V843" s="36" t="n">
        <f aca="false">IF(OR($D843&lt;&gt;"销项开票",N($Q843)=0),0,ROUND(N($H843)/(1+$Q843)*N(IFERROR(INDEX(单位档案!$L$6:$L$35,MATCH($E843,单位档案!$A$6:$A$35,0)),"")),2))</f>
        <v>0</v>
      </c>
      <c r="W843" s="36" t="n">
        <f aca="false">ROUND($S843+$T843+$U843+$V843,2)</f>
        <v>0</v>
      </c>
      <c r="X843" s="35" t="str">
        <f aca="false">IF(OR($D843="挂靠代收",$D843="我方收款"),COUNTIFS($D$5:$D843,"挂靠代收")+COUNTIFS($D$5:$D843,"我方收款"),"")</f>
        <v/>
      </c>
      <c r="Y843" s="35"/>
      <c r="Z843" s="21" t="s">
        <v>111</v>
      </c>
    </row>
    <row r="844" customFormat="false" ht="15.75" hidden="false" customHeight="true" outlineLevel="0" collapsed="false">
      <c r="A844" s="32" t="str">
        <f aca="false">IF($B844="","",ROW()-4)</f>
        <v/>
      </c>
      <c r="B844" s="26"/>
      <c r="C844" s="24"/>
      <c r="D844" s="21"/>
      <c r="E844" s="21"/>
      <c r="F844" s="21"/>
      <c r="G844" s="21"/>
      <c r="H844" s="27"/>
      <c r="I844" s="23" t="str">
        <f aca="false">IF($D844&lt;&gt;"销项开票","",IF($N844="一级",IF(IFERROR(INDEX(项目档案!$E$6:$E$255,MATCH($C844,项目档案!$A$6:$A$255,0)),"")="",N(IFERROR(INDEX(单位档案!$D$6:$D$35,MATCH($E844,单位档案!$A$6:$A$35,0)),"")),IFERROR(INDEX(项目档案!$E$6:$E$255,MATCH($C844,项目档案!$A$6:$A$255,0)),"")),IF($N844="二级",IF(IFERROR(INDEX(项目档案!$G$6:$G$255,MATCH($C844,项目档案!$A$6:$A$255,0)),"")="",N(IFERROR(INDEX(单位档案!$D$6:$D$35,MATCH($E844,单位档案!$A$6:$A$35,0)),"")),IFERROR(INDEX(项目档案!$G$6:$G$255,MATCH($C844,项目档案!$A$6:$A$255,0)),"")),N(IFERROR(INDEX(单位档案!$D$6:$D$35,MATCH($E844,单位档案!$A$6:$A$35,0)),"")))))</f>
        <v/>
      </c>
      <c r="J844" s="22"/>
      <c r="K844" s="22"/>
      <c r="L844" s="33" t="str">
        <f aca="false">IF($B844="","",IF(NOT(ISNUMBER($B844)),"日期格式不对",IF($C844="","未选项目编号",IF(LEFT($M844,1)="⚠","项目编号不存在",IF($D844="","未选业务类型",IF($E844="","未选开票/付款方",IF(ISNA(MATCH($E844,单位档案!$A$6:$A$35,0)),"开票方不在单位档案",IF($F844="","未选收票/收款方",IF(ISNA(MATCH($F844,单位档案!$A$6:$A$35,0)),"收款方不在单位档案",IF(NOT(ISNUMBER($H844)),"金额须为数字",IF(AND($D844="销项开票",$N844="—"),"链条待确认","√")))))))))))</f>
        <v/>
      </c>
      <c r="M844" s="34" t="str">
        <f aca="false">IF($C844="","",IFERROR(INDEX(项目档案!$B$6:$B$255,MATCH($C844,项目档案!$A$6:$A$255,0)),"⚠项目编号不存在"))</f>
        <v/>
      </c>
      <c r="N844" s="35" t="str">
        <f aca="false">IF($E844="","",IF($E844=IFERROR(INDEX(项目档案!$D$6:$D$255,MATCH($C844,项目档案!$A$6:$A$255,0)),""),"一级",IF($E844=IFERROR(INDEX(项目档案!$F$6:$F$255,MATCH($C844,项目档案!$A$6:$A$255,0)),""),"二级",IF($E844=IFERROR(INDEX(项目档案!$H$6:$H$255,MATCH($C844,项目档案!$A$6:$A$255,0)),""),"我方","—"))))</f>
        <v/>
      </c>
      <c r="O844" s="36" t="n">
        <f aca="false">IF($D844&lt;&gt;"销项开票",0,ROUND(N($H844)*N($I844),2))</f>
        <v>0</v>
      </c>
      <c r="P844" s="36" t="n">
        <f aca="false">IF($D844&lt;&gt;"销项开票",0,ROUND(N($H844)-$O844,2))</f>
        <v>0</v>
      </c>
      <c r="Q844" s="37" t="str">
        <f aca="false">IF($E844="","",N(IFERROR(INDEX(单位档案!$E$6:$E$35,MATCH($E844,单位档案!$A$6:$A$35,0)),"")))</f>
        <v/>
      </c>
      <c r="R844" s="37" t="str">
        <f aca="false">IF($E844="","",N(IFERROR(INDEX(单位档案!$F$6:$F$35,MATCH($E844,单位档案!$A$6:$A$35,0)),"")))</f>
        <v/>
      </c>
      <c r="S844" s="36" t="n">
        <f aca="false">IF(OR($D844&lt;&gt;"销项开票",IFERROR(INDEX(单位档案!$G$6:$G$35,MATCH($E844,单位档案!$A$6:$A$35,0)),"")&lt;&gt;"是",N($Q844)=0),0,IF(IFERROR(INDEX(单位档案!$H$6:$H$35,MATCH($E844,单位档案!$A$6:$A$35,0)),"")="税差法",ROUND(N($H844)/(1+$Q844)*$Q844-IF(N($R844)=0,0,$P844/(1+$R844)*$R844),2),ROUND(N($H844)/(1+$Q844)*$Q844,2)))</f>
        <v>0</v>
      </c>
      <c r="T844" s="36" t="n">
        <f aca="false">ROUND($S844*N(IFERROR(INDEX(单位档案!$J$6:$J$35,MATCH($E844,单位档案!$A$6:$A$35,0)),"")),2)</f>
        <v>0</v>
      </c>
      <c r="U844" s="36" t="n">
        <f aca="false">IF($D844&lt;&gt;"销项开票",0,ROUND(N($H844)*N(IFERROR(INDEX(单位档案!$K$6:$K$35,MATCH($E844,单位档案!$A$6:$A$35,0)),"")),2))</f>
        <v>0</v>
      </c>
      <c r="V844" s="36" t="n">
        <f aca="false">IF(OR($D844&lt;&gt;"销项开票",N($Q844)=0),0,ROUND(N($H844)/(1+$Q844)*N(IFERROR(INDEX(单位档案!$L$6:$L$35,MATCH($E844,单位档案!$A$6:$A$35,0)),"")),2))</f>
        <v>0</v>
      </c>
      <c r="W844" s="36" t="n">
        <f aca="false">ROUND($S844+$T844+$U844+$V844,2)</f>
        <v>0</v>
      </c>
      <c r="X844" s="35" t="str">
        <f aca="false">IF(OR($D844="挂靠代收",$D844="我方收款"),COUNTIFS($D$5:$D844,"挂靠代收")+COUNTIFS($D$5:$D844,"我方收款"),"")</f>
        <v/>
      </c>
      <c r="Y844" s="35"/>
      <c r="Z844" s="21" t="s">
        <v>111</v>
      </c>
    </row>
    <row r="845" customFormat="false" ht="15.75" hidden="false" customHeight="true" outlineLevel="0" collapsed="false">
      <c r="A845" s="32" t="str">
        <f aca="false">IF($B845="","",ROW()-4)</f>
        <v/>
      </c>
      <c r="B845" s="26"/>
      <c r="C845" s="24"/>
      <c r="D845" s="21"/>
      <c r="E845" s="21"/>
      <c r="F845" s="21"/>
      <c r="G845" s="21"/>
      <c r="H845" s="27"/>
      <c r="I845" s="23" t="str">
        <f aca="false">IF($D845&lt;&gt;"销项开票","",IF($N845="一级",IF(IFERROR(INDEX(项目档案!$E$6:$E$255,MATCH($C845,项目档案!$A$6:$A$255,0)),"")="",N(IFERROR(INDEX(单位档案!$D$6:$D$35,MATCH($E845,单位档案!$A$6:$A$35,0)),"")),IFERROR(INDEX(项目档案!$E$6:$E$255,MATCH($C845,项目档案!$A$6:$A$255,0)),"")),IF($N845="二级",IF(IFERROR(INDEX(项目档案!$G$6:$G$255,MATCH($C845,项目档案!$A$6:$A$255,0)),"")="",N(IFERROR(INDEX(单位档案!$D$6:$D$35,MATCH($E845,单位档案!$A$6:$A$35,0)),"")),IFERROR(INDEX(项目档案!$G$6:$G$255,MATCH($C845,项目档案!$A$6:$A$255,0)),"")),N(IFERROR(INDEX(单位档案!$D$6:$D$35,MATCH($E845,单位档案!$A$6:$A$35,0)),"")))))</f>
        <v/>
      </c>
      <c r="J845" s="22"/>
      <c r="K845" s="22"/>
      <c r="L845" s="33" t="str">
        <f aca="false">IF($B845="","",IF(NOT(ISNUMBER($B845)),"日期格式不对",IF($C845="","未选项目编号",IF(LEFT($M845,1)="⚠","项目编号不存在",IF($D845="","未选业务类型",IF($E845="","未选开票/付款方",IF(ISNA(MATCH($E845,单位档案!$A$6:$A$35,0)),"开票方不在单位档案",IF($F845="","未选收票/收款方",IF(ISNA(MATCH($F845,单位档案!$A$6:$A$35,0)),"收款方不在单位档案",IF(NOT(ISNUMBER($H845)),"金额须为数字",IF(AND($D845="销项开票",$N845="—"),"链条待确认","√")))))))))))</f>
        <v/>
      </c>
      <c r="M845" s="34" t="str">
        <f aca="false">IF($C845="","",IFERROR(INDEX(项目档案!$B$6:$B$255,MATCH($C845,项目档案!$A$6:$A$255,0)),"⚠项目编号不存在"))</f>
        <v/>
      </c>
      <c r="N845" s="35" t="str">
        <f aca="false">IF($E845="","",IF($E845=IFERROR(INDEX(项目档案!$D$6:$D$255,MATCH($C845,项目档案!$A$6:$A$255,0)),""),"一级",IF($E845=IFERROR(INDEX(项目档案!$F$6:$F$255,MATCH($C845,项目档案!$A$6:$A$255,0)),""),"二级",IF($E845=IFERROR(INDEX(项目档案!$H$6:$H$255,MATCH($C845,项目档案!$A$6:$A$255,0)),""),"我方","—"))))</f>
        <v/>
      </c>
      <c r="O845" s="36" t="n">
        <f aca="false">IF($D845&lt;&gt;"销项开票",0,ROUND(N($H845)*N($I845),2))</f>
        <v>0</v>
      </c>
      <c r="P845" s="36" t="n">
        <f aca="false">IF($D845&lt;&gt;"销项开票",0,ROUND(N($H845)-$O845,2))</f>
        <v>0</v>
      </c>
      <c r="Q845" s="37" t="str">
        <f aca="false">IF($E845="","",N(IFERROR(INDEX(单位档案!$E$6:$E$35,MATCH($E845,单位档案!$A$6:$A$35,0)),"")))</f>
        <v/>
      </c>
      <c r="R845" s="37" t="str">
        <f aca="false">IF($E845="","",N(IFERROR(INDEX(单位档案!$F$6:$F$35,MATCH($E845,单位档案!$A$6:$A$35,0)),"")))</f>
        <v/>
      </c>
      <c r="S845" s="36" t="n">
        <f aca="false">IF(OR($D845&lt;&gt;"销项开票",IFERROR(INDEX(单位档案!$G$6:$G$35,MATCH($E845,单位档案!$A$6:$A$35,0)),"")&lt;&gt;"是",N($Q845)=0),0,IF(IFERROR(INDEX(单位档案!$H$6:$H$35,MATCH($E845,单位档案!$A$6:$A$35,0)),"")="税差法",ROUND(N($H845)/(1+$Q845)*$Q845-IF(N($R845)=0,0,$P845/(1+$R845)*$R845),2),ROUND(N($H845)/(1+$Q845)*$Q845,2)))</f>
        <v>0</v>
      </c>
      <c r="T845" s="36" t="n">
        <f aca="false">ROUND($S845*N(IFERROR(INDEX(单位档案!$J$6:$J$35,MATCH($E845,单位档案!$A$6:$A$35,0)),"")),2)</f>
        <v>0</v>
      </c>
      <c r="U845" s="36" t="n">
        <f aca="false">IF($D845&lt;&gt;"销项开票",0,ROUND(N($H845)*N(IFERROR(INDEX(单位档案!$K$6:$K$35,MATCH($E845,单位档案!$A$6:$A$35,0)),"")),2))</f>
        <v>0</v>
      </c>
      <c r="V845" s="36" t="n">
        <f aca="false">IF(OR($D845&lt;&gt;"销项开票",N($Q845)=0),0,ROUND(N($H845)/(1+$Q845)*N(IFERROR(INDEX(单位档案!$L$6:$L$35,MATCH($E845,单位档案!$A$6:$A$35,0)),"")),2))</f>
        <v>0</v>
      </c>
      <c r="W845" s="36" t="n">
        <f aca="false">ROUND($S845+$T845+$U845+$V845,2)</f>
        <v>0</v>
      </c>
      <c r="X845" s="35" t="str">
        <f aca="false">IF(OR($D845="挂靠代收",$D845="我方收款"),COUNTIFS($D$5:$D845,"挂靠代收")+COUNTIFS($D$5:$D845,"我方收款"),"")</f>
        <v/>
      </c>
      <c r="Y845" s="35"/>
      <c r="Z845" s="21" t="s">
        <v>111</v>
      </c>
    </row>
    <row r="846" customFormat="false" ht="15.75" hidden="false" customHeight="true" outlineLevel="0" collapsed="false">
      <c r="A846" s="32" t="str">
        <f aca="false">IF($B846="","",ROW()-4)</f>
        <v/>
      </c>
      <c r="B846" s="26"/>
      <c r="C846" s="24"/>
      <c r="D846" s="21"/>
      <c r="E846" s="21"/>
      <c r="F846" s="21"/>
      <c r="G846" s="21"/>
      <c r="H846" s="27"/>
      <c r="I846" s="23" t="str">
        <f aca="false">IF($D846&lt;&gt;"销项开票","",IF($N846="一级",IF(IFERROR(INDEX(项目档案!$E$6:$E$255,MATCH($C846,项目档案!$A$6:$A$255,0)),"")="",N(IFERROR(INDEX(单位档案!$D$6:$D$35,MATCH($E846,单位档案!$A$6:$A$35,0)),"")),IFERROR(INDEX(项目档案!$E$6:$E$255,MATCH($C846,项目档案!$A$6:$A$255,0)),"")),IF($N846="二级",IF(IFERROR(INDEX(项目档案!$G$6:$G$255,MATCH($C846,项目档案!$A$6:$A$255,0)),"")="",N(IFERROR(INDEX(单位档案!$D$6:$D$35,MATCH($E846,单位档案!$A$6:$A$35,0)),"")),IFERROR(INDEX(项目档案!$G$6:$G$255,MATCH($C846,项目档案!$A$6:$A$255,0)),"")),N(IFERROR(INDEX(单位档案!$D$6:$D$35,MATCH($E846,单位档案!$A$6:$A$35,0)),"")))))</f>
        <v/>
      </c>
      <c r="J846" s="22"/>
      <c r="K846" s="22"/>
      <c r="L846" s="33" t="str">
        <f aca="false">IF($B846="","",IF(NOT(ISNUMBER($B846)),"日期格式不对",IF($C846="","未选项目编号",IF(LEFT($M846,1)="⚠","项目编号不存在",IF($D846="","未选业务类型",IF($E846="","未选开票/付款方",IF(ISNA(MATCH($E846,单位档案!$A$6:$A$35,0)),"开票方不在单位档案",IF($F846="","未选收票/收款方",IF(ISNA(MATCH($F846,单位档案!$A$6:$A$35,0)),"收款方不在单位档案",IF(NOT(ISNUMBER($H846)),"金额须为数字",IF(AND($D846="销项开票",$N846="—"),"链条待确认","√")))))))))))</f>
        <v/>
      </c>
      <c r="M846" s="34" t="str">
        <f aca="false">IF($C846="","",IFERROR(INDEX(项目档案!$B$6:$B$255,MATCH($C846,项目档案!$A$6:$A$255,0)),"⚠项目编号不存在"))</f>
        <v/>
      </c>
      <c r="N846" s="35" t="str">
        <f aca="false">IF($E846="","",IF($E846=IFERROR(INDEX(项目档案!$D$6:$D$255,MATCH($C846,项目档案!$A$6:$A$255,0)),""),"一级",IF($E846=IFERROR(INDEX(项目档案!$F$6:$F$255,MATCH($C846,项目档案!$A$6:$A$255,0)),""),"二级",IF($E846=IFERROR(INDEX(项目档案!$H$6:$H$255,MATCH($C846,项目档案!$A$6:$A$255,0)),""),"我方","—"))))</f>
        <v/>
      </c>
      <c r="O846" s="36" t="n">
        <f aca="false">IF($D846&lt;&gt;"销项开票",0,ROUND(N($H846)*N($I846),2))</f>
        <v>0</v>
      </c>
      <c r="P846" s="36" t="n">
        <f aca="false">IF($D846&lt;&gt;"销项开票",0,ROUND(N($H846)-$O846,2))</f>
        <v>0</v>
      </c>
      <c r="Q846" s="37" t="str">
        <f aca="false">IF($E846="","",N(IFERROR(INDEX(单位档案!$E$6:$E$35,MATCH($E846,单位档案!$A$6:$A$35,0)),"")))</f>
        <v/>
      </c>
      <c r="R846" s="37" t="str">
        <f aca="false">IF($E846="","",N(IFERROR(INDEX(单位档案!$F$6:$F$35,MATCH($E846,单位档案!$A$6:$A$35,0)),"")))</f>
        <v/>
      </c>
      <c r="S846" s="36" t="n">
        <f aca="false">IF(OR($D846&lt;&gt;"销项开票",IFERROR(INDEX(单位档案!$G$6:$G$35,MATCH($E846,单位档案!$A$6:$A$35,0)),"")&lt;&gt;"是",N($Q846)=0),0,IF(IFERROR(INDEX(单位档案!$H$6:$H$35,MATCH($E846,单位档案!$A$6:$A$35,0)),"")="税差法",ROUND(N($H846)/(1+$Q846)*$Q846-IF(N($R846)=0,0,$P846/(1+$R846)*$R846),2),ROUND(N($H846)/(1+$Q846)*$Q846,2)))</f>
        <v>0</v>
      </c>
      <c r="T846" s="36" t="n">
        <f aca="false">ROUND($S846*N(IFERROR(INDEX(单位档案!$J$6:$J$35,MATCH($E846,单位档案!$A$6:$A$35,0)),"")),2)</f>
        <v>0</v>
      </c>
      <c r="U846" s="36" t="n">
        <f aca="false">IF($D846&lt;&gt;"销项开票",0,ROUND(N($H846)*N(IFERROR(INDEX(单位档案!$K$6:$K$35,MATCH($E846,单位档案!$A$6:$A$35,0)),"")),2))</f>
        <v>0</v>
      </c>
      <c r="V846" s="36" t="n">
        <f aca="false">IF(OR($D846&lt;&gt;"销项开票",N($Q846)=0),0,ROUND(N($H846)/(1+$Q846)*N(IFERROR(INDEX(单位档案!$L$6:$L$35,MATCH($E846,单位档案!$A$6:$A$35,0)),"")),2))</f>
        <v>0</v>
      </c>
      <c r="W846" s="36" t="n">
        <f aca="false">ROUND($S846+$T846+$U846+$V846,2)</f>
        <v>0</v>
      </c>
      <c r="X846" s="35" t="str">
        <f aca="false">IF(OR($D846="挂靠代收",$D846="我方收款"),COUNTIFS($D$5:$D846,"挂靠代收")+COUNTIFS($D$5:$D846,"我方收款"),"")</f>
        <v/>
      </c>
      <c r="Y846" s="35"/>
      <c r="Z846" s="21" t="s">
        <v>111</v>
      </c>
    </row>
    <row r="847" customFormat="false" ht="15.75" hidden="false" customHeight="true" outlineLevel="0" collapsed="false">
      <c r="A847" s="32" t="str">
        <f aca="false">IF($B847="","",ROW()-4)</f>
        <v/>
      </c>
      <c r="B847" s="26"/>
      <c r="C847" s="24"/>
      <c r="D847" s="21"/>
      <c r="E847" s="21"/>
      <c r="F847" s="21"/>
      <c r="G847" s="21"/>
      <c r="H847" s="27"/>
      <c r="I847" s="23" t="str">
        <f aca="false">IF($D847&lt;&gt;"销项开票","",IF($N847="一级",IF(IFERROR(INDEX(项目档案!$E$6:$E$255,MATCH($C847,项目档案!$A$6:$A$255,0)),"")="",N(IFERROR(INDEX(单位档案!$D$6:$D$35,MATCH($E847,单位档案!$A$6:$A$35,0)),"")),IFERROR(INDEX(项目档案!$E$6:$E$255,MATCH($C847,项目档案!$A$6:$A$255,0)),"")),IF($N847="二级",IF(IFERROR(INDEX(项目档案!$G$6:$G$255,MATCH($C847,项目档案!$A$6:$A$255,0)),"")="",N(IFERROR(INDEX(单位档案!$D$6:$D$35,MATCH($E847,单位档案!$A$6:$A$35,0)),"")),IFERROR(INDEX(项目档案!$G$6:$G$255,MATCH($C847,项目档案!$A$6:$A$255,0)),"")),N(IFERROR(INDEX(单位档案!$D$6:$D$35,MATCH($E847,单位档案!$A$6:$A$35,0)),"")))))</f>
        <v/>
      </c>
      <c r="J847" s="22"/>
      <c r="K847" s="22"/>
      <c r="L847" s="33" t="str">
        <f aca="false">IF($B847="","",IF(NOT(ISNUMBER($B847)),"日期格式不对",IF($C847="","未选项目编号",IF(LEFT($M847,1)="⚠","项目编号不存在",IF($D847="","未选业务类型",IF($E847="","未选开票/付款方",IF(ISNA(MATCH($E847,单位档案!$A$6:$A$35,0)),"开票方不在单位档案",IF($F847="","未选收票/收款方",IF(ISNA(MATCH($F847,单位档案!$A$6:$A$35,0)),"收款方不在单位档案",IF(NOT(ISNUMBER($H847)),"金额须为数字",IF(AND($D847="销项开票",$N847="—"),"链条待确认","√")))))))))))</f>
        <v/>
      </c>
      <c r="M847" s="34" t="str">
        <f aca="false">IF($C847="","",IFERROR(INDEX(项目档案!$B$6:$B$255,MATCH($C847,项目档案!$A$6:$A$255,0)),"⚠项目编号不存在"))</f>
        <v/>
      </c>
      <c r="N847" s="35" t="str">
        <f aca="false">IF($E847="","",IF($E847=IFERROR(INDEX(项目档案!$D$6:$D$255,MATCH($C847,项目档案!$A$6:$A$255,0)),""),"一级",IF($E847=IFERROR(INDEX(项目档案!$F$6:$F$255,MATCH($C847,项目档案!$A$6:$A$255,0)),""),"二级",IF($E847=IFERROR(INDEX(项目档案!$H$6:$H$255,MATCH($C847,项目档案!$A$6:$A$255,0)),""),"我方","—"))))</f>
        <v/>
      </c>
      <c r="O847" s="36" t="n">
        <f aca="false">IF($D847&lt;&gt;"销项开票",0,ROUND(N($H847)*N($I847),2))</f>
        <v>0</v>
      </c>
      <c r="P847" s="36" t="n">
        <f aca="false">IF($D847&lt;&gt;"销项开票",0,ROUND(N($H847)-$O847,2))</f>
        <v>0</v>
      </c>
      <c r="Q847" s="37" t="str">
        <f aca="false">IF($E847="","",N(IFERROR(INDEX(单位档案!$E$6:$E$35,MATCH($E847,单位档案!$A$6:$A$35,0)),"")))</f>
        <v/>
      </c>
      <c r="R847" s="37" t="str">
        <f aca="false">IF($E847="","",N(IFERROR(INDEX(单位档案!$F$6:$F$35,MATCH($E847,单位档案!$A$6:$A$35,0)),"")))</f>
        <v/>
      </c>
      <c r="S847" s="36" t="n">
        <f aca="false">IF(OR($D847&lt;&gt;"销项开票",IFERROR(INDEX(单位档案!$G$6:$G$35,MATCH($E847,单位档案!$A$6:$A$35,0)),"")&lt;&gt;"是",N($Q847)=0),0,IF(IFERROR(INDEX(单位档案!$H$6:$H$35,MATCH($E847,单位档案!$A$6:$A$35,0)),"")="税差法",ROUND(N($H847)/(1+$Q847)*$Q847-IF(N($R847)=0,0,$P847/(1+$R847)*$R847),2),ROUND(N($H847)/(1+$Q847)*$Q847,2)))</f>
        <v>0</v>
      </c>
      <c r="T847" s="36" t="n">
        <f aca="false">ROUND($S847*N(IFERROR(INDEX(单位档案!$J$6:$J$35,MATCH($E847,单位档案!$A$6:$A$35,0)),"")),2)</f>
        <v>0</v>
      </c>
      <c r="U847" s="36" t="n">
        <f aca="false">IF($D847&lt;&gt;"销项开票",0,ROUND(N($H847)*N(IFERROR(INDEX(单位档案!$K$6:$K$35,MATCH($E847,单位档案!$A$6:$A$35,0)),"")),2))</f>
        <v>0</v>
      </c>
      <c r="V847" s="36" t="n">
        <f aca="false">IF(OR($D847&lt;&gt;"销项开票",N($Q847)=0),0,ROUND(N($H847)/(1+$Q847)*N(IFERROR(INDEX(单位档案!$L$6:$L$35,MATCH($E847,单位档案!$A$6:$A$35,0)),"")),2))</f>
        <v>0</v>
      </c>
      <c r="W847" s="36" t="n">
        <f aca="false">ROUND($S847+$T847+$U847+$V847,2)</f>
        <v>0</v>
      </c>
      <c r="X847" s="35" t="str">
        <f aca="false">IF(OR($D847="挂靠代收",$D847="我方收款"),COUNTIFS($D$5:$D847,"挂靠代收")+COUNTIFS($D$5:$D847,"我方收款"),"")</f>
        <v/>
      </c>
      <c r="Y847" s="35"/>
      <c r="Z847" s="21" t="s">
        <v>111</v>
      </c>
    </row>
    <row r="848" customFormat="false" ht="15.75" hidden="false" customHeight="true" outlineLevel="0" collapsed="false">
      <c r="A848" s="32" t="str">
        <f aca="false">IF($B848="","",ROW()-4)</f>
        <v/>
      </c>
      <c r="B848" s="26"/>
      <c r="C848" s="24"/>
      <c r="D848" s="21"/>
      <c r="E848" s="21"/>
      <c r="F848" s="21"/>
      <c r="G848" s="21"/>
      <c r="H848" s="27"/>
      <c r="I848" s="23" t="str">
        <f aca="false">IF($D848&lt;&gt;"销项开票","",IF($N848="一级",IF(IFERROR(INDEX(项目档案!$E$6:$E$255,MATCH($C848,项目档案!$A$6:$A$255,0)),"")="",N(IFERROR(INDEX(单位档案!$D$6:$D$35,MATCH($E848,单位档案!$A$6:$A$35,0)),"")),IFERROR(INDEX(项目档案!$E$6:$E$255,MATCH($C848,项目档案!$A$6:$A$255,0)),"")),IF($N848="二级",IF(IFERROR(INDEX(项目档案!$G$6:$G$255,MATCH($C848,项目档案!$A$6:$A$255,0)),"")="",N(IFERROR(INDEX(单位档案!$D$6:$D$35,MATCH($E848,单位档案!$A$6:$A$35,0)),"")),IFERROR(INDEX(项目档案!$G$6:$G$255,MATCH($C848,项目档案!$A$6:$A$255,0)),"")),N(IFERROR(INDEX(单位档案!$D$6:$D$35,MATCH($E848,单位档案!$A$6:$A$35,0)),"")))))</f>
        <v/>
      </c>
      <c r="J848" s="22"/>
      <c r="K848" s="22"/>
      <c r="L848" s="33" t="str">
        <f aca="false">IF($B848="","",IF(NOT(ISNUMBER($B848)),"日期格式不对",IF($C848="","未选项目编号",IF(LEFT($M848,1)="⚠","项目编号不存在",IF($D848="","未选业务类型",IF($E848="","未选开票/付款方",IF(ISNA(MATCH($E848,单位档案!$A$6:$A$35,0)),"开票方不在单位档案",IF($F848="","未选收票/收款方",IF(ISNA(MATCH($F848,单位档案!$A$6:$A$35,0)),"收款方不在单位档案",IF(NOT(ISNUMBER($H848)),"金额须为数字",IF(AND($D848="销项开票",$N848="—"),"链条待确认","√")))))))))))</f>
        <v/>
      </c>
      <c r="M848" s="34" t="str">
        <f aca="false">IF($C848="","",IFERROR(INDEX(项目档案!$B$6:$B$255,MATCH($C848,项目档案!$A$6:$A$255,0)),"⚠项目编号不存在"))</f>
        <v/>
      </c>
      <c r="N848" s="35" t="str">
        <f aca="false">IF($E848="","",IF($E848=IFERROR(INDEX(项目档案!$D$6:$D$255,MATCH($C848,项目档案!$A$6:$A$255,0)),""),"一级",IF($E848=IFERROR(INDEX(项目档案!$F$6:$F$255,MATCH($C848,项目档案!$A$6:$A$255,0)),""),"二级",IF($E848=IFERROR(INDEX(项目档案!$H$6:$H$255,MATCH($C848,项目档案!$A$6:$A$255,0)),""),"我方","—"))))</f>
        <v/>
      </c>
      <c r="O848" s="36" t="n">
        <f aca="false">IF($D848&lt;&gt;"销项开票",0,ROUND(N($H848)*N($I848),2))</f>
        <v>0</v>
      </c>
      <c r="P848" s="36" t="n">
        <f aca="false">IF($D848&lt;&gt;"销项开票",0,ROUND(N($H848)-$O848,2))</f>
        <v>0</v>
      </c>
      <c r="Q848" s="37" t="str">
        <f aca="false">IF($E848="","",N(IFERROR(INDEX(单位档案!$E$6:$E$35,MATCH($E848,单位档案!$A$6:$A$35,0)),"")))</f>
        <v/>
      </c>
      <c r="R848" s="37" t="str">
        <f aca="false">IF($E848="","",N(IFERROR(INDEX(单位档案!$F$6:$F$35,MATCH($E848,单位档案!$A$6:$A$35,0)),"")))</f>
        <v/>
      </c>
      <c r="S848" s="36" t="n">
        <f aca="false">IF(OR($D848&lt;&gt;"销项开票",IFERROR(INDEX(单位档案!$G$6:$G$35,MATCH($E848,单位档案!$A$6:$A$35,0)),"")&lt;&gt;"是",N($Q848)=0),0,IF(IFERROR(INDEX(单位档案!$H$6:$H$35,MATCH($E848,单位档案!$A$6:$A$35,0)),"")="税差法",ROUND(N($H848)/(1+$Q848)*$Q848-IF(N($R848)=0,0,$P848/(1+$R848)*$R848),2),ROUND(N($H848)/(1+$Q848)*$Q848,2)))</f>
        <v>0</v>
      </c>
      <c r="T848" s="36" t="n">
        <f aca="false">ROUND($S848*N(IFERROR(INDEX(单位档案!$J$6:$J$35,MATCH($E848,单位档案!$A$6:$A$35,0)),"")),2)</f>
        <v>0</v>
      </c>
      <c r="U848" s="36" t="n">
        <f aca="false">IF($D848&lt;&gt;"销项开票",0,ROUND(N($H848)*N(IFERROR(INDEX(单位档案!$K$6:$K$35,MATCH($E848,单位档案!$A$6:$A$35,0)),"")),2))</f>
        <v>0</v>
      </c>
      <c r="V848" s="36" t="n">
        <f aca="false">IF(OR($D848&lt;&gt;"销项开票",N($Q848)=0),0,ROUND(N($H848)/(1+$Q848)*N(IFERROR(INDEX(单位档案!$L$6:$L$35,MATCH($E848,单位档案!$A$6:$A$35,0)),"")),2))</f>
        <v>0</v>
      </c>
      <c r="W848" s="36" t="n">
        <f aca="false">ROUND($S848+$T848+$U848+$V848,2)</f>
        <v>0</v>
      </c>
      <c r="X848" s="35" t="str">
        <f aca="false">IF(OR($D848="挂靠代收",$D848="我方收款"),COUNTIFS($D$5:$D848,"挂靠代收")+COUNTIFS($D$5:$D848,"我方收款"),"")</f>
        <v/>
      </c>
      <c r="Y848" s="35"/>
      <c r="Z848" s="21" t="s">
        <v>111</v>
      </c>
    </row>
    <row r="849" customFormat="false" ht="15.75" hidden="false" customHeight="true" outlineLevel="0" collapsed="false">
      <c r="A849" s="32" t="str">
        <f aca="false">IF($B849="","",ROW()-4)</f>
        <v/>
      </c>
      <c r="B849" s="26"/>
      <c r="C849" s="24"/>
      <c r="D849" s="21"/>
      <c r="E849" s="21"/>
      <c r="F849" s="21"/>
      <c r="G849" s="21"/>
      <c r="H849" s="27"/>
      <c r="I849" s="23" t="str">
        <f aca="false">IF($D849&lt;&gt;"销项开票","",IF($N849="一级",IF(IFERROR(INDEX(项目档案!$E$6:$E$255,MATCH($C849,项目档案!$A$6:$A$255,0)),"")="",N(IFERROR(INDEX(单位档案!$D$6:$D$35,MATCH($E849,单位档案!$A$6:$A$35,0)),"")),IFERROR(INDEX(项目档案!$E$6:$E$255,MATCH($C849,项目档案!$A$6:$A$255,0)),"")),IF($N849="二级",IF(IFERROR(INDEX(项目档案!$G$6:$G$255,MATCH($C849,项目档案!$A$6:$A$255,0)),"")="",N(IFERROR(INDEX(单位档案!$D$6:$D$35,MATCH($E849,单位档案!$A$6:$A$35,0)),"")),IFERROR(INDEX(项目档案!$G$6:$G$255,MATCH($C849,项目档案!$A$6:$A$255,0)),"")),N(IFERROR(INDEX(单位档案!$D$6:$D$35,MATCH($E849,单位档案!$A$6:$A$35,0)),"")))))</f>
        <v/>
      </c>
      <c r="J849" s="22"/>
      <c r="K849" s="22"/>
      <c r="L849" s="33" t="str">
        <f aca="false">IF($B849="","",IF(NOT(ISNUMBER($B849)),"日期格式不对",IF($C849="","未选项目编号",IF(LEFT($M849,1)="⚠","项目编号不存在",IF($D849="","未选业务类型",IF($E849="","未选开票/付款方",IF(ISNA(MATCH($E849,单位档案!$A$6:$A$35,0)),"开票方不在单位档案",IF($F849="","未选收票/收款方",IF(ISNA(MATCH($F849,单位档案!$A$6:$A$35,0)),"收款方不在单位档案",IF(NOT(ISNUMBER($H849)),"金额须为数字",IF(AND($D849="销项开票",$N849="—"),"链条待确认","√")))))))))))</f>
        <v/>
      </c>
      <c r="M849" s="34" t="str">
        <f aca="false">IF($C849="","",IFERROR(INDEX(项目档案!$B$6:$B$255,MATCH($C849,项目档案!$A$6:$A$255,0)),"⚠项目编号不存在"))</f>
        <v/>
      </c>
      <c r="N849" s="35" t="str">
        <f aca="false">IF($E849="","",IF($E849=IFERROR(INDEX(项目档案!$D$6:$D$255,MATCH($C849,项目档案!$A$6:$A$255,0)),""),"一级",IF($E849=IFERROR(INDEX(项目档案!$F$6:$F$255,MATCH($C849,项目档案!$A$6:$A$255,0)),""),"二级",IF($E849=IFERROR(INDEX(项目档案!$H$6:$H$255,MATCH($C849,项目档案!$A$6:$A$255,0)),""),"我方","—"))))</f>
        <v/>
      </c>
      <c r="O849" s="36" t="n">
        <f aca="false">IF($D849&lt;&gt;"销项开票",0,ROUND(N($H849)*N($I849),2))</f>
        <v>0</v>
      </c>
      <c r="P849" s="36" t="n">
        <f aca="false">IF($D849&lt;&gt;"销项开票",0,ROUND(N($H849)-$O849,2))</f>
        <v>0</v>
      </c>
      <c r="Q849" s="37" t="str">
        <f aca="false">IF($E849="","",N(IFERROR(INDEX(单位档案!$E$6:$E$35,MATCH($E849,单位档案!$A$6:$A$35,0)),"")))</f>
        <v/>
      </c>
      <c r="R849" s="37" t="str">
        <f aca="false">IF($E849="","",N(IFERROR(INDEX(单位档案!$F$6:$F$35,MATCH($E849,单位档案!$A$6:$A$35,0)),"")))</f>
        <v/>
      </c>
      <c r="S849" s="36" t="n">
        <f aca="false">IF(OR($D849&lt;&gt;"销项开票",IFERROR(INDEX(单位档案!$G$6:$G$35,MATCH($E849,单位档案!$A$6:$A$35,0)),"")&lt;&gt;"是",N($Q849)=0),0,IF(IFERROR(INDEX(单位档案!$H$6:$H$35,MATCH($E849,单位档案!$A$6:$A$35,0)),"")="税差法",ROUND(N($H849)/(1+$Q849)*$Q849-IF(N($R849)=0,0,$P849/(1+$R849)*$R849),2),ROUND(N($H849)/(1+$Q849)*$Q849,2)))</f>
        <v>0</v>
      </c>
      <c r="T849" s="36" t="n">
        <f aca="false">ROUND($S849*N(IFERROR(INDEX(单位档案!$J$6:$J$35,MATCH($E849,单位档案!$A$6:$A$35,0)),"")),2)</f>
        <v>0</v>
      </c>
      <c r="U849" s="36" t="n">
        <f aca="false">IF($D849&lt;&gt;"销项开票",0,ROUND(N($H849)*N(IFERROR(INDEX(单位档案!$K$6:$K$35,MATCH($E849,单位档案!$A$6:$A$35,0)),"")),2))</f>
        <v>0</v>
      </c>
      <c r="V849" s="36" t="n">
        <f aca="false">IF(OR($D849&lt;&gt;"销项开票",N($Q849)=0),0,ROUND(N($H849)/(1+$Q849)*N(IFERROR(INDEX(单位档案!$L$6:$L$35,MATCH($E849,单位档案!$A$6:$A$35,0)),"")),2))</f>
        <v>0</v>
      </c>
      <c r="W849" s="36" t="n">
        <f aca="false">ROUND($S849+$T849+$U849+$V849,2)</f>
        <v>0</v>
      </c>
      <c r="X849" s="35" t="str">
        <f aca="false">IF(OR($D849="挂靠代收",$D849="我方收款"),COUNTIFS($D$5:$D849,"挂靠代收")+COUNTIFS($D$5:$D849,"我方收款"),"")</f>
        <v/>
      </c>
      <c r="Y849" s="35"/>
      <c r="Z849" s="21" t="s">
        <v>111</v>
      </c>
    </row>
    <row r="850" customFormat="false" ht="15.75" hidden="false" customHeight="true" outlineLevel="0" collapsed="false">
      <c r="A850" s="32" t="str">
        <f aca="false">IF($B850="","",ROW()-4)</f>
        <v/>
      </c>
      <c r="B850" s="26"/>
      <c r="C850" s="24"/>
      <c r="D850" s="21"/>
      <c r="E850" s="21"/>
      <c r="F850" s="21"/>
      <c r="G850" s="21"/>
      <c r="H850" s="27"/>
      <c r="I850" s="23" t="str">
        <f aca="false">IF($D850&lt;&gt;"销项开票","",IF($N850="一级",IF(IFERROR(INDEX(项目档案!$E$6:$E$255,MATCH($C850,项目档案!$A$6:$A$255,0)),"")="",N(IFERROR(INDEX(单位档案!$D$6:$D$35,MATCH($E850,单位档案!$A$6:$A$35,0)),"")),IFERROR(INDEX(项目档案!$E$6:$E$255,MATCH($C850,项目档案!$A$6:$A$255,0)),"")),IF($N850="二级",IF(IFERROR(INDEX(项目档案!$G$6:$G$255,MATCH($C850,项目档案!$A$6:$A$255,0)),"")="",N(IFERROR(INDEX(单位档案!$D$6:$D$35,MATCH($E850,单位档案!$A$6:$A$35,0)),"")),IFERROR(INDEX(项目档案!$G$6:$G$255,MATCH($C850,项目档案!$A$6:$A$255,0)),"")),N(IFERROR(INDEX(单位档案!$D$6:$D$35,MATCH($E850,单位档案!$A$6:$A$35,0)),"")))))</f>
        <v/>
      </c>
      <c r="J850" s="22"/>
      <c r="K850" s="22"/>
      <c r="L850" s="33" t="str">
        <f aca="false">IF($B850="","",IF(NOT(ISNUMBER($B850)),"日期格式不对",IF($C850="","未选项目编号",IF(LEFT($M850,1)="⚠","项目编号不存在",IF($D850="","未选业务类型",IF($E850="","未选开票/付款方",IF(ISNA(MATCH($E850,单位档案!$A$6:$A$35,0)),"开票方不在单位档案",IF($F850="","未选收票/收款方",IF(ISNA(MATCH($F850,单位档案!$A$6:$A$35,0)),"收款方不在单位档案",IF(NOT(ISNUMBER($H850)),"金额须为数字",IF(AND($D850="销项开票",$N850="—"),"链条待确认","√")))))))))))</f>
        <v/>
      </c>
      <c r="M850" s="34" t="str">
        <f aca="false">IF($C850="","",IFERROR(INDEX(项目档案!$B$6:$B$255,MATCH($C850,项目档案!$A$6:$A$255,0)),"⚠项目编号不存在"))</f>
        <v/>
      </c>
      <c r="N850" s="35" t="str">
        <f aca="false">IF($E850="","",IF($E850=IFERROR(INDEX(项目档案!$D$6:$D$255,MATCH($C850,项目档案!$A$6:$A$255,0)),""),"一级",IF($E850=IFERROR(INDEX(项目档案!$F$6:$F$255,MATCH($C850,项目档案!$A$6:$A$255,0)),""),"二级",IF($E850=IFERROR(INDEX(项目档案!$H$6:$H$255,MATCH($C850,项目档案!$A$6:$A$255,0)),""),"我方","—"))))</f>
        <v/>
      </c>
      <c r="O850" s="36" t="n">
        <f aca="false">IF($D850&lt;&gt;"销项开票",0,ROUND(N($H850)*N($I850),2))</f>
        <v>0</v>
      </c>
      <c r="P850" s="36" t="n">
        <f aca="false">IF($D850&lt;&gt;"销项开票",0,ROUND(N($H850)-$O850,2))</f>
        <v>0</v>
      </c>
      <c r="Q850" s="37" t="str">
        <f aca="false">IF($E850="","",N(IFERROR(INDEX(单位档案!$E$6:$E$35,MATCH($E850,单位档案!$A$6:$A$35,0)),"")))</f>
        <v/>
      </c>
      <c r="R850" s="37" t="str">
        <f aca="false">IF($E850="","",N(IFERROR(INDEX(单位档案!$F$6:$F$35,MATCH($E850,单位档案!$A$6:$A$35,0)),"")))</f>
        <v/>
      </c>
      <c r="S850" s="36" t="n">
        <f aca="false">IF(OR($D850&lt;&gt;"销项开票",IFERROR(INDEX(单位档案!$G$6:$G$35,MATCH($E850,单位档案!$A$6:$A$35,0)),"")&lt;&gt;"是",N($Q850)=0),0,IF(IFERROR(INDEX(单位档案!$H$6:$H$35,MATCH($E850,单位档案!$A$6:$A$35,0)),"")="税差法",ROUND(N($H850)/(1+$Q850)*$Q850-IF(N($R850)=0,0,$P850/(1+$R850)*$R850),2),ROUND(N($H850)/(1+$Q850)*$Q850,2)))</f>
        <v>0</v>
      </c>
      <c r="T850" s="36" t="n">
        <f aca="false">ROUND($S850*N(IFERROR(INDEX(单位档案!$J$6:$J$35,MATCH($E850,单位档案!$A$6:$A$35,0)),"")),2)</f>
        <v>0</v>
      </c>
      <c r="U850" s="36" t="n">
        <f aca="false">IF($D850&lt;&gt;"销项开票",0,ROUND(N($H850)*N(IFERROR(INDEX(单位档案!$K$6:$K$35,MATCH($E850,单位档案!$A$6:$A$35,0)),"")),2))</f>
        <v>0</v>
      </c>
      <c r="V850" s="36" t="n">
        <f aca="false">IF(OR($D850&lt;&gt;"销项开票",N($Q850)=0),0,ROUND(N($H850)/(1+$Q850)*N(IFERROR(INDEX(单位档案!$L$6:$L$35,MATCH($E850,单位档案!$A$6:$A$35,0)),"")),2))</f>
        <v>0</v>
      </c>
      <c r="W850" s="36" t="n">
        <f aca="false">ROUND($S850+$T850+$U850+$V850,2)</f>
        <v>0</v>
      </c>
      <c r="X850" s="35" t="str">
        <f aca="false">IF(OR($D850="挂靠代收",$D850="我方收款"),COUNTIFS($D$5:$D850,"挂靠代收")+COUNTIFS($D$5:$D850,"我方收款"),"")</f>
        <v/>
      </c>
      <c r="Y850" s="35"/>
      <c r="Z850" s="21" t="s">
        <v>111</v>
      </c>
    </row>
    <row r="851" customFormat="false" ht="15.75" hidden="false" customHeight="true" outlineLevel="0" collapsed="false">
      <c r="A851" s="32" t="str">
        <f aca="false">IF($B851="","",ROW()-4)</f>
        <v/>
      </c>
      <c r="B851" s="26"/>
      <c r="C851" s="24"/>
      <c r="D851" s="21"/>
      <c r="E851" s="21"/>
      <c r="F851" s="21"/>
      <c r="G851" s="21"/>
      <c r="H851" s="27"/>
      <c r="I851" s="23" t="str">
        <f aca="false">IF($D851&lt;&gt;"销项开票","",IF($N851="一级",IF(IFERROR(INDEX(项目档案!$E$6:$E$255,MATCH($C851,项目档案!$A$6:$A$255,0)),"")="",N(IFERROR(INDEX(单位档案!$D$6:$D$35,MATCH($E851,单位档案!$A$6:$A$35,0)),"")),IFERROR(INDEX(项目档案!$E$6:$E$255,MATCH($C851,项目档案!$A$6:$A$255,0)),"")),IF($N851="二级",IF(IFERROR(INDEX(项目档案!$G$6:$G$255,MATCH($C851,项目档案!$A$6:$A$255,0)),"")="",N(IFERROR(INDEX(单位档案!$D$6:$D$35,MATCH($E851,单位档案!$A$6:$A$35,0)),"")),IFERROR(INDEX(项目档案!$G$6:$G$255,MATCH($C851,项目档案!$A$6:$A$255,0)),"")),N(IFERROR(INDEX(单位档案!$D$6:$D$35,MATCH($E851,单位档案!$A$6:$A$35,0)),"")))))</f>
        <v/>
      </c>
      <c r="J851" s="22"/>
      <c r="K851" s="22"/>
      <c r="L851" s="33" t="str">
        <f aca="false">IF($B851="","",IF(NOT(ISNUMBER($B851)),"日期格式不对",IF($C851="","未选项目编号",IF(LEFT($M851,1)="⚠","项目编号不存在",IF($D851="","未选业务类型",IF($E851="","未选开票/付款方",IF(ISNA(MATCH($E851,单位档案!$A$6:$A$35,0)),"开票方不在单位档案",IF($F851="","未选收票/收款方",IF(ISNA(MATCH($F851,单位档案!$A$6:$A$35,0)),"收款方不在单位档案",IF(NOT(ISNUMBER($H851)),"金额须为数字",IF(AND($D851="销项开票",$N851="—"),"链条待确认","√")))))))))))</f>
        <v/>
      </c>
      <c r="M851" s="34" t="str">
        <f aca="false">IF($C851="","",IFERROR(INDEX(项目档案!$B$6:$B$255,MATCH($C851,项目档案!$A$6:$A$255,0)),"⚠项目编号不存在"))</f>
        <v/>
      </c>
      <c r="N851" s="35" t="str">
        <f aca="false">IF($E851="","",IF($E851=IFERROR(INDEX(项目档案!$D$6:$D$255,MATCH($C851,项目档案!$A$6:$A$255,0)),""),"一级",IF($E851=IFERROR(INDEX(项目档案!$F$6:$F$255,MATCH($C851,项目档案!$A$6:$A$255,0)),""),"二级",IF($E851=IFERROR(INDEX(项目档案!$H$6:$H$255,MATCH($C851,项目档案!$A$6:$A$255,0)),""),"我方","—"))))</f>
        <v/>
      </c>
      <c r="O851" s="36" t="n">
        <f aca="false">IF($D851&lt;&gt;"销项开票",0,ROUND(N($H851)*N($I851),2))</f>
        <v>0</v>
      </c>
      <c r="P851" s="36" t="n">
        <f aca="false">IF($D851&lt;&gt;"销项开票",0,ROUND(N($H851)-$O851,2))</f>
        <v>0</v>
      </c>
      <c r="Q851" s="37" t="str">
        <f aca="false">IF($E851="","",N(IFERROR(INDEX(单位档案!$E$6:$E$35,MATCH($E851,单位档案!$A$6:$A$35,0)),"")))</f>
        <v/>
      </c>
      <c r="R851" s="37" t="str">
        <f aca="false">IF($E851="","",N(IFERROR(INDEX(单位档案!$F$6:$F$35,MATCH($E851,单位档案!$A$6:$A$35,0)),"")))</f>
        <v/>
      </c>
      <c r="S851" s="36" t="n">
        <f aca="false">IF(OR($D851&lt;&gt;"销项开票",IFERROR(INDEX(单位档案!$G$6:$G$35,MATCH($E851,单位档案!$A$6:$A$35,0)),"")&lt;&gt;"是",N($Q851)=0),0,IF(IFERROR(INDEX(单位档案!$H$6:$H$35,MATCH($E851,单位档案!$A$6:$A$35,0)),"")="税差法",ROUND(N($H851)/(1+$Q851)*$Q851-IF(N($R851)=0,0,$P851/(1+$R851)*$R851),2),ROUND(N($H851)/(1+$Q851)*$Q851,2)))</f>
        <v>0</v>
      </c>
      <c r="T851" s="36" t="n">
        <f aca="false">ROUND($S851*N(IFERROR(INDEX(单位档案!$J$6:$J$35,MATCH($E851,单位档案!$A$6:$A$35,0)),"")),2)</f>
        <v>0</v>
      </c>
      <c r="U851" s="36" t="n">
        <f aca="false">IF($D851&lt;&gt;"销项开票",0,ROUND(N($H851)*N(IFERROR(INDEX(单位档案!$K$6:$K$35,MATCH($E851,单位档案!$A$6:$A$35,0)),"")),2))</f>
        <v>0</v>
      </c>
      <c r="V851" s="36" t="n">
        <f aca="false">IF(OR($D851&lt;&gt;"销项开票",N($Q851)=0),0,ROUND(N($H851)/(1+$Q851)*N(IFERROR(INDEX(单位档案!$L$6:$L$35,MATCH($E851,单位档案!$A$6:$A$35,0)),"")),2))</f>
        <v>0</v>
      </c>
      <c r="W851" s="36" t="n">
        <f aca="false">ROUND($S851+$T851+$U851+$V851,2)</f>
        <v>0</v>
      </c>
      <c r="X851" s="35" t="str">
        <f aca="false">IF(OR($D851="挂靠代收",$D851="我方收款"),COUNTIFS($D$5:$D851,"挂靠代收")+COUNTIFS($D$5:$D851,"我方收款"),"")</f>
        <v/>
      </c>
      <c r="Y851" s="35"/>
      <c r="Z851" s="21" t="s">
        <v>111</v>
      </c>
    </row>
    <row r="852" customFormat="false" ht="15.75" hidden="false" customHeight="true" outlineLevel="0" collapsed="false">
      <c r="A852" s="32" t="str">
        <f aca="false">IF($B852="","",ROW()-4)</f>
        <v/>
      </c>
      <c r="B852" s="26"/>
      <c r="C852" s="24"/>
      <c r="D852" s="21"/>
      <c r="E852" s="21"/>
      <c r="F852" s="21"/>
      <c r="G852" s="21"/>
      <c r="H852" s="27"/>
      <c r="I852" s="23" t="str">
        <f aca="false">IF($D852&lt;&gt;"销项开票","",IF($N852="一级",IF(IFERROR(INDEX(项目档案!$E$6:$E$255,MATCH($C852,项目档案!$A$6:$A$255,0)),"")="",N(IFERROR(INDEX(单位档案!$D$6:$D$35,MATCH($E852,单位档案!$A$6:$A$35,0)),"")),IFERROR(INDEX(项目档案!$E$6:$E$255,MATCH($C852,项目档案!$A$6:$A$255,0)),"")),IF($N852="二级",IF(IFERROR(INDEX(项目档案!$G$6:$G$255,MATCH($C852,项目档案!$A$6:$A$255,0)),"")="",N(IFERROR(INDEX(单位档案!$D$6:$D$35,MATCH($E852,单位档案!$A$6:$A$35,0)),"")),IFERROR(INDEX(项目档案!$G$6:$G$255,MATCH($C852,项目档案!$A$6:$A$255,0)),"")),N(IFERROR(INDEX(单位档案!$D$6:$D$35,MATCH($E852,单位档案!$A$6:$A$35,0)),"")))))</f>
        <v/>
      </c>
      <c r="J852" s="22"/>
      <c r="K852" s="22"/>
      <c r="L852" s="33" t="str">
        <f aca="false">IF($B852="","",IF(NOT(ISNUMBER($B852)),"日期格式不对",IF($C852="","未选项目编号",IF(LEFT($M852,1)="⚠","项目编号不存在",IF($D852="","未选业务类型",IF($E852="","未选开票/付款方",IF(ISNA(MATCH($E852,单位档案!$A$6:$A$35,0)),"开票方不在单位档案",IF($F852="","未选收票/收款方",IF(ISNA(MATCH($F852,单位档案!$A$6:$A$35,0)),"收款方不在单位档案",IF(NOT(ISNUMBER($H852)),"金额须为数字",IF(AND($D852="销项开票",$N852="—"),"链条待确认","√")))))))))))</f>
        <v/>
      </c>
      <c r="M852" s="34" t="str">
        <f aca="false">IF($C852="","",IFERROR(INDEX(项目档案!$B$6:$B$255,MATCH($C852,项目档案!$A$6:$A$255,0)),"⚠项目编号不存在"))</f>
        <v/>
      </c>
      <c r="N852" s="35" t="str">
        <f aca="false">IF($E852="","",IF($E852=IFERROR(INDEX(项目档案!$D$6:$D$255,MATCH($C852,项目档案!$A$6:$A$255,0)),""),"一级",IF($E852=IFERROR(INDEX(项目档案!$F$6:$F$255,MATCH($C852,项目档案!$A$6:$A$255,0)),""),"二级",IF($E852=IFERROR(INDEX(项目档案!$H$6:$H$255,MATCH($C852,项目档案!$A$6:$A$255,0)),""),"我方","—"))))</f>
        <v/>
      </c>
      <c r="O852" s="36" t="n">
        <f aca="false">IF($D852&lt;&gt;"销项开票",0,ROUND(N($H852)*N($I852),2))</f>
        <v>0</v>
      </c>
      <c r="P852" s="36" t="n">
        <f aca="false">IF($D852&lt;&gt;"销项开票",0,ROUND(N($H852)-$O852,2))</f>
        <v>0</v>
      </c>
      <c r="Q852" s="37" t="str">
        <f aca="false">IF($E852="","",N(IFERROR(INDEX(单位档案!$E$6:$E$35,MATCH($E852,单位档案!$A$6:$A$35,0)),"")))</f>
        <v/>
      </c>
      <c r="R852" s="37" t="str">
        <f aca="false">IF($E852="","",N(IFERROR(INDEX(单位档案!$F$6:$F$35,MATCH($E852,单位档案!$A$6:$A$35,0)),"")))</f>
        <v/>
      </c>
      <c r="S852" s="36" t="n">
        <f aca="false">IF(OR($D852&lt;&gt;"销项开票",IFERROR(INDEX(单位档案!$G$6:$G$35,MATCH($E852,单位档案!$A$6:$A$35,0)),"")&lt;&gt;"是",N($Q852)=0),0,IF(IFERROR(INDEX(单位档案!$H$6:$H$35,MATCH($E852,单位档案!$A$6:$A$35,0)),"")="税差法",ROUND(N($H852)/(1+$Q852)*$Q852-IF(N($R852)=0,0,$P852/(1+$R852)*$R852),2),ROUND(N($H852)/(1+$Q852)*$Q852,2)))</f>
        <v>0</v>
      </c>
      <c r="T852" s="36" t="n">
        <f aca="false">ROUND($S852*N(IFERROR(INDEX(单位档案!$J$6:$J$35,MATCH($E852,单位档案!$A$6:$A$35,0)),"")),2)</f>
        <v>0</v>
      </c>
      <c r="U852" s="36" t="n">
        <f aca="false">IF($D852&lt;&gt;"销项开票",0,ROUND(N($H852)*N(IFERROR(INDEX(单位档案!$K$6:$K$35,MATCH($E852,单位档案!$A$6:$A$35,0)),"")),2))</f>
        <v>0</v>
      </c>
      <c r="V852" s="36" t="n">
        <f aca="false">IF(OR($D852&lt;&gt;"销项开票",N($Q852)=0),0,ROUND(N($H852)/(1+$Q852)*N(IFERROR(INDEX(单位档案!$L$6:$L$35,MATCH($E852,单位档案!$A$6:$A$35,0)),"")),2))</f>
        <v>0</v>
      </c>
      <c r="W852" s="36" t="n">
        <f aca="false">ROUND($S852+$T852+$U852+$V852,2)</f>
        <v>0</v>
      </c>
      <c r="X852" s="35" t="str">
        <f aca="false">IF(OR($D852="挂靠代收",$D852="我方收款"),COUNTIFS($D$5:$D852,"挂靠代收")+COUNTIFS($D$5:$D852,"我方收款"),"")</f>
        <v/>
      </c>
      <c r="Y852" s="35"/>
      <c r="Z852" s="21" t="s">
        <v>111</v>
      </c>
    </row>
    <row r="853" customFormat="false" ht="15.75" hidden="false" customHeight="true" outlineLevel="0" collapsed="false">
      <c r="A853" s="32" t="str">
        <f aca="false">IF($B853="","",ROW()-4)</f>
        <v/>
      </c>
      <c r="B853" s="26"/>
      <c r="C853" s="24"/>
      <c r="D853" s="21"/>
      <c r="E853" s="21"/>
      <c r="F853" s="21"/>
      <c r="G853" s="21"/>
      <c r="H853" s="27"/>
      <c r="I853" s="23" t="str">
        <f aca="false">IF($D853&lt;&gt;"销项开票","",IF($N853="一级",IF(IFERROR(INDEX(项目档案!$E$6:$E$255,MATCH($C853,项目档案!$A$6:$A$255,0)),"")="",N(IFERROR(INDEX(单位档案!$D$6:$D$35,MATCH($E853,单位档案!$A$6:$A$35,0)),"")),IFERROR(INDEX(项目档案!$E$6:$E$255,MATCH($C853,项目档案!$A$6:$A$255,0)),"")),IF($N853="二级",IF(IFERROR(INDEX(项目档案!$G$6:$G$255,MATCH($C853,项目档案!$A$6:$A$255,0)),"")="",N(IFERROR(INDEX(单位档案!$D$6:$D$35,MATCH($E853,单位档案!$A$6:$A$35,0)),"")),IFERROR(INDEX(项目档案!$G$6:$G$255,MATCH($C853,项目档案!$A$6:$A$255,0)),"")),N(IFERROR(INDEX(单位档案!$D$6:$D$35,MATCH($E853,单位档案!$A$6:$A$35,0)),"")))))</f>
        <v/>
      </c>
      <c r="J853" s="22"/>
      <c r="K853" s="22"/>
      <c r="L853" s="33" t="str">
        <f aca="false">IF($B853="","",IF(NOT(ISNUMBER($B853)),"日期格式不对",IF($C853="","未选项目编号",IF(LEFT($M853,1)="⚠","项目编号不存在",IF($D853="","未选业务类型",IF($E853="","未选开票/付款方",IF(ISNA(MATCH($E853,单位档案!$A$6:$A$35,0)),"开票方不在单位档案",IF($F853="","未选收票/收款方",IF(ISNA(MATCH($F853,单位档案!$A$6:$A$35,0)),"收款方不在单位档案",IF(NOT(ISNUMBER($H853)),"金额须为数字",IF(AND($D853="销项开票",$N853="—"),"链条待确认","√")))))))))))</f>
        <v/>
      </c>
      <c r="M853" s="34" t="str">
        <f aca="false">IF($C853="","",IFERROR(INDEX(项目档案!$B$6:$B$255,MATCH($C853,项目档案!$A$6:$A$255,0)),"⚠项目编号不存在"))</f>
        <v/>
      </c>
      <c r="N853" s="35" t="str">
        <f aca="false">IF($E853="","",IF($E853=IFERROR(INDEX(项目档案!$D$6:$D$255,MATCH($C853,项目档案!$A$6:$A$255,0)),""),"一级",IF($E853=IFERROR(INDEX(项目档案!$F$6:$F$255,MATCH($C853,项目档案!$A$6:$A$255,0)),""),"二级",IF($E853=IFERROR(INDEX(项目档案!$H$6:$H$255,MATCH($C853,项目档案!$A$6:$A$255,0)),""),"我方","—"))))</f>
        <v/>
      </c>
      <c r="O853" s="36" t="n">
        <f aca="false">IF($D853&lt;&gt;"销项开票",0,ROUND(N($H853)*N($I853),2))</f>
        <v>0</v>
      </c>
      <c r="P853" s="36" t="n">
        <f aca="false">IF($D853&lt;&gt;"销项开票",0,ROUND(N($H853)-$O853,2))</f>
        <v>0</v>
      </c>
      <c r="Q853" s="37" t="str">
        <f aca="false">IF($E853="","",N(IFERROR(INDEX(单位档案!$E$6:$E$35,MATCH($E853,单位档案!$A$6:$A$35,0)),"")))</f>
        <v/>
      </c>
      <c r="R853" s="37" t="str">
        <f aca="false">IF($E853="","",N(IFERROR(INDEX(单位档案!$F$6:$F$35,MATCH($E853,单位档案!$A$6:$A$35,0)),"")))</f>
        <v/>
      </c>
      <c r="S853" s="36" t="n">
        <f aca="false">IF(OR($D853&lt;&gt;"销项开票",IFERROR(INDEX(单位档案!$G$6:$G$35,MATCH($E853,单位档案!$A$6:$A$35,0)),"")&lt;&gt;"是",N($Q853)=0),0,IF(IFERROR(INDEX(单位档案!$H$6:$H$35,MATCH($E853,单位档案!$A$6:$A$35,0)),"")="税差法",ROUND(N($H853)/(1+$Q853)*$Q853-IF(N($R853)=0,0,$P853/(1+$R853)*$R853),2),ROUND(N($H853)/(1+$Q853)*$Q853,2)))</f>
        <v>0</v>
      </c>
      <c r="T853" s="36" t="n">
        <f aca="false">ROUND($S853*N(IFERROR(INDEX(单位档案!$J$6:$J$35,MATCH($E853,单位档案!$A$6:$A$35,0)),"")),2)</f>
        <v>0</v>
      </c>
      <c r="U853" s="36" t="n">
        <f aca="false">IF($D853&lt;&gt;"销项开票",0,ROUND(N($H853)*N(IFERROR(INDEX(单位档案!$K$6:$K$35,MATCH($E853,单位档案!$A$6:$A$35,0)),"")),2))</f>
        <v>0</v>
      </c>
      <c r="V853" s="36" t="n">
        <f aca="false">IF(OR($D853&lt;&gt;"销项开票",N($Q853)=0),0,ROUND(N($H853)/(1+$Q853)*N(IFERROR(INDEX(单位档案!$L$6:$L$35,MATCH($E853,单位档案!$A$6:$A$35,0)),"")),2))</f>
        <v>0</v>
      </c>
      <c r="W853" s="36" t="n">
        <f aca="false">ROUND($S853+$T853+$U853+$V853,2)</f>
        <v>0</v>
      </c>
      <c r="X853" s="35" t="str">
        <f aca="false">IF(OR($D853="挂靠代收",$D853="我方收款"),COUNTIFS($D$5:$D853,"挂靠代收")+COUNTIFS($D$5:$D853,"我方收款"),"")</f>
        <v/>
      </c>
      <c r="Y853" s="35"/>
      <c r="Z853" s="21" t="s">
        <v>111</v>
      </c>
    </row>
    <row r="854" customFormat="false" ht="15.75" hidden="false" customHeight="true" outlineLevel="0" collapsed="false">
      <c r="A854" s="32" t="str">
        <f aca="false">IF($B854="","",ROW()-4)</f>
        <v/>
      </c>
      <c r="B854" s="26"/>
      <c r="C854" s="24"/>
      <c r="D854" s="21"/>
      <c r="E854" s="21"/>
      <c r="F854" s="21"/>
      <c r="G854" s="21"/>
      <c r="H854" s="27"/>
      <c r="I854" s="23" t="str">
        <f aca="false">IF($D854&lt;&gt;"销项开票","",IF($N854="一级",IF(IFERROR(INDEX(项目档案!$E$6:$E$255,MATCH($C854,项目档案!$A$6:$A$255,0)),"")="",N(IFERROR(INDEX(单位档案!$D$6:$D$35,MATCH($E854,单位档案!$A$6:$A$35,0)),"")),IFERROR(INDEX(项目档案!$E$6:$E$255,MATCH($C854,项目档案!$A$6:$A$255,0)),"")),IF($N854="二级",IF(IFERROR(INDEX(项目档案!$G$6:$G$255,MATCH($C854,项目档案!$A$6:$A$255,0)),"")="",N(IFERROR(INDEX(单位档案!$D$6:$D$35,MATCH($E854,单位档案!$A$6:$A$35,0)),"")),IFERROR(INDEX(项目档案!$G$6:$G$255,MATCH($C854,项目档案!$A$6:$A$255,0)),"")),N(IFERROR(INDEX(单位档案!$D$6:$D$35,MATCH($E854,单位档案!$A$6:$A$35,0)),"")))))</f>
        <v/>
      </c>
      <c r="J854" s="22"/>
      <c r="K854" s="22"/>
      <c r="L854" s="33" t="str">
        <f aca="false">IF($B854="","",IF(NOT(ISNUMBER($B854)),"日期格式不对",IF($C854="","未选项目编号",IF(LEFT($M854,1)="⚠","项目编号不存在",IF($D854="","未选业务类型",IF($E854="","未选开票/付款方",IF(ISNA(MATCH($E854,单位档案!$A$6:$A$35,0)),"开票方不在单位档案",IF($F854="","未选收票/收款方",IF(ISNA(MATCH($F854,单位档案!$A$6:$A$35,0)),"收款方不在单位档案",IF(NOT(ISNUMBER($H854)),"金额须为数字",IF(AND($D854="销项开票",$N854="—"),"链条待确认","√")))))))))))</f>
        <v/>
      </c>
      <c r="M854" s="34" t="str">
        <f aca="false">IF($C854="","",IFERROR(INDEX(项目档案!$B$6:$B$255,MATCH($C854,项目档案!$A$6:$A$255,0)),"⚠项目编号不存在"))</f>
        <v/>
      </c>
      <c r="N854" s="35" t="str">
        <f aca="false">IF($E854="","",IF($E854=IFERROR(INDEX(项目档案!$D$6:$D$255,MATCH($C854,项目档案!$A$6:$A$255,0)),""),"一级",IF($E854=IFERROR(INDEX(项目档案!$F$6:$F$255,MATCH($C854,项目档案!$A$6:$A$255,0)),""),"二级",IF($E854=IFERROR(INDEX(项目档案!$H$6:$H$255,MATCH($C854,项目档案!$A$6:$A$255,0)),""),"我方","—"))))</f>
        <v/>
      </c>
      <c r="O854" s="36" t="n">
        <f aca="false">IF($D854&lt;&gt;"销项开票",0,ROUND(N($H854)*N($I854),2))</f>
        <v>0</v>
      </c>
      <c r="P854" s="36" t="n">
        <f aca="false">IF($D854&lt;&gt;"销项开票",0,ROUND(N($H854)-$O854,2))</f>
        <v>0</v>
      </c>
      <c r="Q854" s="37" t="str">
        <f aca="false">IF($E854="","",N(IFERROR(INDEX(单位档案!$E$6:$E$35,MATCH($E854,单位档案!$A$6:$A$35,0)),"")))</f>
        <v/>
      </c>
      <c r="R854" s="37" t="str">
        <f aca="false">IF($E854="","",N(IFERROR(INDEX(单位档案!$F$6:$F$35,MATCH($E854,单位档案!$A$6:$A$35,0)),"")))</f>
        <v/>
      </c>
      <c r="S854" s="36" t="n">
        <f aca="false">IF(OR($D854&lt;&gt;"销项开票",IFERROR(INDEX(单位档案!$G$6:$G$35,MATCH($E854,单位档案!$A$6:$A$35,0)),"")&lt;&gt;"是",N($Q854)=0),0,IF(IFERROR(INDEX(单位档案!$H$6:$H$35,MATCH($E854,单位档案!$A$6:$A$35,0)),"")="税差法",ROUND(N($H854)/(1+$Q854)*$Q854-IF(N($R854)=0,0,$P854/(1+$R854)*$R854),2),ROUND(N($H854)/(1+$Q854)*$Q854,2)))</f>
        <v>0</v>
      </c>
      <c r="T854" s="36" t="n">
        <f aca="false">ROUND($S854*N(IFERROR(INDEX(单位档案!$J$6:$J$35,MATCH($E854,单位档案!$A$6:$A$35,0)),"")),2)</f>
        <v>0</v>
      </c>
      <c r="U854" s="36" t="n">
        <f aca="false">IF($D854&lt;&gt;"销项开票",0,ROUND(N($H854)*N(IFERROR(INDEX(单位档案!$K$6:$K$35,MATCH($E854,单位档案!$A$6:$A$35,0)),"")),2))</f>
        <v>0</v>
      </c>
      <c r="V854" s="36" t="n">
        <f aca="false">IF(OR($D854&lt;&gt;"销项开票",N($Q854)=0),0,ROUND(N($H854)/(1+$Q854)*N(IFERROR(INDEX(单位档案!$L$6:$L$35,MATCH($E854,单位档案!$A$6:$A$35,0)),"")),2))</f>
        <v>0</v>
      </c>
      <c r="W854" s="36" t="n">
        <f aca="false">ROUND($S854+$T854+$U854+$V854,2)</f>
        <v>0</v>
      </c>
      <c r="X854" s="35" t="str">
        <f aca="false">IF(OR($D854="挂靠代收",$D854="我方收款"),COUNTIFS($D$5:$D854,"挂靠代收")+COUNTIFS($D$5:$D854,"我方收款"),"")</f>
        <v/>
      </c>
      <c r="Y854" s="35"/>
      <c r="Z854" s="21" t="s">
        <v>111</v>
      </c>
    </row>
    <row r="855" customFormat="false" ht="15.75" hidden="false" customHeight="true" outlineLevel="0" collapsed="false">
      <c r="A855" s="32" t="str">
        <f aca="false">IF($B855="","",ROW()-4)</f>
        <v/>
      </c>
      <c r="B855" s="26"/>
      <c r="C855" s="24"/>
      <c r="D855" s="21"/>
      <c r="E855" s="21"/>
      <c r="F855" s="21"/>
      <c r="G855" s="21"/>
      <c r="H855" s="27"/>
      <c r="I855" s="23" t="str">
        <f aca="false">IF($D855&lt;&gt;"销项开票","",IF($N855="一级",IF(IFERROR(INDEX(项目档案!$E$6:$E$255,MATCH($C855,项目档案!$A$6:$A$255,0)),"")="",N(IFERROR(INDEX(单位档案!$D$6:$D$35,MATCH($E855,单位档案!$A$6:$A$35,0)),"")),IFERROR(INDEX(项目档案!$E$6:$E$255,MATCH($C855,项目档案!$A$6:$A$255,0)),"")),IF($N855="二级",IF(IFERROR(INDEX(项目档案!$G$6:$G$255,MATCH($C855,项目档案!$A$6:$A$255,0)),"")="",N(IFERROR(INDEX(单位档案!$D$6:$D$35,MATCH($E855,单位档案!$A$6:$A$35,0)),"")),IFERROR(INDEX(项目档案!$G$6:$G$255,MATCH($C855,项目档案!$A$6:$A$255,0)),"")),N(IFERROR(INDEX(单位档案!$D$6:$D$35,MATCH($E855,单位档案!$A$6:$A$35,0)),"")))))</f>
        <v/>
      </c>
      <c r="J855" s="22"/>
      <c r="K855" s="22"/>
      <c r="L855" s="33" t="str">
        <f aca="false">IF($B855="","",IF(NOT(ISNUMBER($B855)),"日期格式不对",IF($C855="","未选项目编号",IF(LEFT($M855,1)="⚠","项目编号不存在",IF($D855="","未选业务类型",IF($E855="","未选开票/付款方",IF(ISNA(MATCH($E855,单位档案!$A$6:$A$35,0)),"开票方不在单位档案",IF($F855="","未选收票/收款方",IF(ISNA(MATCH($F855,单位档案!$A$6:$A$35,0)),"收款方不在单位档案",IF(NOT(ISNUMBER($H855)),"金额须为数字",IF(AND($D855="销项开票",$N855="—"),"链条待确认","√")))))))))))</f>
        <v/>
      </c>
      <c r="M855" s="34" t="str">
        <f aca="false">IF($C855="","",IFERROR(INDEX(项目档案!$B$6:$B$255,MATCH($C855,项目档案!$A$6:$A$255,0)),"⚠项目编号不存在"))</f>
        <v/>
      </c>
      <c r="N855" s="35" t="str">
        <f aca="false">IF($E855="","",IF($E855=IFERROR(INDEX(项目档案!$D$6:$D$255,MATCH($C855,项目档案!$A$6:$A$255,0)),""),"一级",IF($E855=IFERROR(INDEX(项目档案!$F$6:$F$255,MATCH($C855,项目档案!$A$6:$A$255,0)),""),"二级",IF($E855=IFERROR(INDEX(项目档案!$H$6:$H$255,MATCH($C855,项目档案!$A$6:$A$255,0)),""),"我方","—"))))</f>
        <v/>
      </c>
      <c r="O855" s="36" t="n">
        <f aca="false">IF($D855&lt;&gt;"销项开票",0,ROUND(N($H855)*N($I855),2))</f>
        <v>0</v>
      </c>
      <c r="P855" s="36" t="n">
        <f aca="false">IF($D855&lt;&gt;"销项开票",0,ROUND(N($H855)-$O855,2))</f>
        <v>0</v>
      </c>
      <c r="Q855" s="37" t="str">
        <f aca="false">IF($E855="","",N(IFERROR(INDEX(单位档案!$E$6:$E$35,MATCH($E855,单位档案!$A$6:$A$35,0)),"")))</f>
        <v/>
      </c>
      <c r="R855" s="37" t="str">
        <f aca="false">IF($E855="","",N(IFERROR(INDEX(单位档案!$F$6:$F$35,MATCH($E855,单位档案!$A$6:$A$35,0)),"")))</f>
        <v/>
      </c>
      <c r="S855" s="36" t="n">
        <f aca="false">IF(OR($D855&lt;&gt;"销项开票",IFERROR(INDEX(单位档案!$G$6:$G$35,MATCH($E855,单位档案!$A$6:$A$35,0)),"")&lt;&gt;"是",N($Q855)=0),0,IF(IFERROR(INDEX(单位档案!$H$6:$H$35,MATCH($E855,单位档案!$A$6:$A$35,0)),"")="税差法",ROUND(N($H855)/(1+$Q855)*$Q855-IF(N($R855)=0,0,$P855/(1+$R855)*$R855),2),ROUND(N($H855)/(1+$Q855)*$Q855,2)))</f>
        <v>0</v>
      </c>
      <c r="T855" s="36" t="n">
        <f aca="false">ROUND($S855*N(IFERROR(INDEX(单位档案!$J$6:$J$35,MATCH($E855,单位档案!$A$6:$A$35,0)),"")),2)</f>
        <v>0</v>
      </c>
      <c r="U855" s="36" t="n">
        <f aca="false">IF($D855&lt;&gt;"销项开票",0,ROUND(N($H855)*N(IFERROR(INDEX(单位档案!$K$6:$K$35,MATCH($E855,单位档案!$A$6:$A$35,0)),"")),2))</f>
        <v>0</v>
      </c>
      <c r="V855" s="36" t="n">
        <f aca="false">IF(OR($D855&lt;&gt;"销项开票",N($Q855)=0),0,ROUND(N($H855)/(1+$Q855)*N(IFERROR(INDEX(单位档案!$L$6:$L$35,MATCH($E855,单位档案!$A$6:$A$35,0)),"")),2))</f>
        <v>0</v>
      </c>
      <c r="W855" s="36" t="n">
        <f aca="false">ROUND($S855+$T855+$U855+$V855,2)</f>
        <v>0</v>
      </c>
      <c r="X855" s="35" t="str">
        <f aca="false">IF(OR($D855="挂靠代收",$D855="我方收款"),COUNTIFS($D$5:$D855,"挂靠代收")+COUNTIFS($D$5:$D855,"我方收款"),"")</f>
        <v/>
      </c>
      <c r="Y855" s="35"/>
      <c r="Z855" s="21" t="s">
        <v>111</v>
      </c>
    </row>
    <row r="856" customFormat="false" ht="15.75" hidden="false" customHeight="true" outlineLevel="0" collapsed="false">
      <c r="A856" s="32" t="str">
        <f aca="false">IF($B856="","",ROW()-4)</f>
        <v/>
      </c>
      <c r="B856" s="26"/>
      <c r="C856" s="24"/>
      <c r="D856" s="21"/>
      <c r="E856" s="21"/>
      <c r="F856" s="21"/>
      <c r="G856" s="21"/>
      <c r="H856" s="27"/>
      <c r="I856" s="23" t="str">
        <f aca="false">IF($D856&lt;&gt;"销项开票","",IF($N856="一级",IF(IFERROR(INDEX(项目档案!$E$6:$E$255,MATCH($C856,项目档案!$A$6:$A$255,0)),"")="",N(IFERROR(INDEX(单位档案!$D$6:$D$35,MATCH($E856,单位档案!$A$6:$A$35,0)),"")),IFERROR(INDEX(项目档案!$E$6:$E$255,MATCH($C856,项目档案!$A$6:$A$255,0)),"")),IF($N856="二级",IF(IFERROR(INDEX(项目档案!$G$6:$G$255,MATCH($C856,项目档案!$A$6:$A$255,0)),"")="",N(IFERROR(INDEX(单位档案!$D$6:$D$35,MATCH($E856,单位档案!$A$6:$A$35,0)),"")),IFERROR(INDEX(项目档案!$G$6:$G$255,MATCH($C856,项目档案!$A$6:$A$255,0)),"")),N(IFERROR(INDEX(单位档案!$D$6:$D$35,MATCH($E856,单位档案!$A$6:$A$35,0)),"")))))</f>
        <v/>
      </c>
      <c r="J856" s="22"/>
      <c r="K856" s="22"/>
      <c r="L856" s="33" t="str">
        <f aca="false">IF($B856="","",IF(NOT(ISNUMBER($B856)),"日期格式不对",IF($C856="","未选项目编号",IF(LEFT($M856,1)="⚠","项目编号不存在",IF($D856="","未选业务类型",IF($E856="","未选开票/付款方",IF(ISNA(MATCH($E856,单位档案!$A$6:$A$35,0)),"开票方不在单位档案",IF($F856="","未选收票/收款方",IF(ISNA(MATCH($F856,单位档案!$A$6:$A$35,0)),"收款方不在单位档案",IF(NOT(ISNUMBER($H856)),"金额须为数字",IF(AND($D856="销项开票",$N856="—"),"链条待确认","√")))))))))))</f>
        <v/>
      </c>
      <c r="M856" s="34" t="str">
        <f aca="false">IF($C856="","",IFERROR(INDEX(项目档案!$B$6:$B$255,MATCH($C856,项目档案!$A$6:$A$255,0)),"⚠项目编号不存在"))</f>
        <v/>
      </c>
      <c r="N856" s="35" t="str">
        <f aca="false">IF($E856="","",IF($E856=IFERROR(INDEX(项目档案!$D$6:$D$255,MATCH($C856,项目档案!$A$6:$A$255,0)),""),"一级",IF($E856=IFERROR(INDEX(项目档案!$F$6:$F$255,MATCH($C856,项目档案!$A$6:$A$255,0)),""),"二级",IF($E856=IFERROR(INDEX(项目档案!$H$6:$H$255,MATCH($C856,项目档案!$A$6:$A$255,0)),""),"我方","—"))))</f>
        <v/>
      </c>
      <c r="O856" s="36" t="n">
        <f aca="false">IF($D856&lt;&gt;"销项开票",0,ROUND(N($H856)*N($I856),2))</f>
        <v>0</v>
      </c>
      <c r="P856" s="36" t="n">
        <f aca="false">IF($D856&lt;&gt;"销项开票",0,ROUND(N($H856)-$O856,2))</f>
        <v>0</v>
      </c>
      <c r="Q856" s="37" t="str">
        <f aca="false">IF($E856="","",N(IFERROR(INDEX(单位档案!$E$6:$E$35,MATCH($E856,单位档案!$A$6:$A$35,0)),"")))</f>
        <v/>
      </c>
      <c r="R856" s="37" t="str">
        <f aca="false">IF($E856="","",N(IFERROR(INDEX(单位档案!$F$6:$F$35,MATCH($E856,单位档案!$A$6:$A$35,0)),"")))</f>
        <v/>
      </c>
      <c r="S856" s="36" t="n">
        <f aca="false">IF(OR($D856&lt;&gt;"销项开票",IFERROR(INDEX(单位档案!$G$6:$G$35,MATCH($E856,单位档案!$A$6:$A$35,0)),"")&lt;&gt;"是",N($Q856)=0),0,IF(IFERROR(INDEX(单位档案!$H$6:$H$35,MATCH($E856,单位档案!$A$6:$A$35,0)),"")="税差法",ROUND(N($H856)/(1+$Q856)*$Q856-IF(N($R856)=0,0,$P856/(1+$R856)*$R856),2),ROUND(N($H856)/(1+$Q856)*$Q856,2)))</f>
        <v>0</v>
      </c>
      <c r="T856" s="36" t="n">
        <f aca="false">ROUND($S856*N(IFERROR(INDEX(单位档案!$J$6:$J$35,MATCH($E856,单位档案!$A$6:$A$35,0)),"")),2)</f>
        <v>0</v>
      </c>
      <c r="U856" s="36" t="n">
        <f aca="false">IF($D856&lt;&gt;"销项开票",0,ROUND(N($H856)*N(IFERROR(INDEX(单位档案!$K$6:$K$35,MATCH($E856,单位档案!$A$6:$A$35,0)),"")),2))</f>
        <v>0</v>
      </c>
      <c r="V856" s="36" t="n">
        <f aca="false">IF(OR($D856&lt;&gt;"销项开票",N($Q856)=0),0,ROUND(N($H856)/(1+$Q856)*N(IFERROR(INDEX(单位档案!$L$6:$L$35,MATCH($E856,单位档案!$A$6:$A$35,0)),"")),2))</f>
        <v>0</v>
      </c>
      <c r="W856" s="36" t="n">
        <f aca="false">ROUND($S856+$T856+$U856+$V856,2)</f>
        <v>0</v>
      </c>
      <c r="X856" s="35" t="str">
        <f aca="false">IF(OR($D856="挂靠代收",$D856="我方收款"),COUNTIFS($D$5:$D856,"挂靠代收")+COUNTIFS($D$5:$D856,"我方收款"),"")</f>
        <v/>
      </c>
      <c r="Y856" s="35"/>
      <c r="Z856" s="21" t="s">
        <v>111</v>
      </c>
    </row>
    <row r="857" customFormat="false" ht="15.75" hidden="false" customHeight="true" outlineLevel="0" collapsed="false">
      <c r="A857" s="32" t="str">
        <f aca="false">IF($B857="","",ROW()-4)</f>
        <v/>
      </c>
      <c r="B857" s="26"/>
      <c r="C857" s="24"/>
      <c r="D857" s="21"/>
      <c r="E857" s="21"/>
      <c r="F857" s="21"/>
      <c r="G857" s="21"/>
      <c r="H857" s="27"/>
      <c r="I857" s="23" t="str">
        <f aca="false">IF($D857&lt;&gt;"销项开票","",IF($N857="一级",IF(IFERROR(INDEX(项目档案!$E$6:$E$255,MATCH($C857,项目档案!$A$6:$A$255,0)),"")="",N(IFERROR(INDEX(单位档案!$D$6:$D$35,MATCH($E857,单位档案!$A$6:$A$35,0)),"")),IFERROR(INDEX(项目档案!$E$6:$E$255,MATCH($C857,项目档案!$A$6:$A$255,0)),"")),IF($N857="二级",IF(IFERROR(INDEX(项目档案!$G$6:$G$255,MATCH($C857,项目档案!$A$6:$A$255,0)),"")="",N(IFERROR(INDEX(单位档案!$D$6:$D$35,MATCH($E857,单位档案!$A$6:$A$35,0)),"")),IFERROR(INDEX(项目档案!$G$6:$G$255,MATCH($C857,项目档案!$A$6:$A$255,0)),"")),N(IFERROR(INDEX(单位档案!$D$6:$D$35,MATCH($E857,单位档案!$A$6:$A$35,0)),"")))))</f>
        <v/>
      </c>
      <c r="J857" s="22"/>
      <c r="K857" s="22"/>
      <c r="L857" s="33" t="str">
        <f aca="false">IF($B857="","",IF(NOT(ISNUMBER($B857)),"日期格式不对",IF($C857="","未选项目编号",IF(LEFT($M857,1)="⚠","项目编号不存在",IF($D857="","未选业务类型",IF($E857="","未选开票/付款方",IF(ISNA(MATCH($E857,单位档案!$A$6:$A$35,0)),"开票方不在单位档案",IF($F857="","未选收票/收款方",IF(ISNA(MATCH($F857,单位档案!$A$6:$A$35,0)),"收款方不在单位档案",IF(NOT(ISNUMBER($H857)),"金额须为数字",IF(AND($D857="销项开票",$N857="—"),"链条待确认","√")))))))))))</f>
        <v/>
      </c>
      <c r="M857" s="34" t="str">
        <f aca="false">IF($C857="","",IFERROR(INDEX(项目档案!$B$6:$B$255,MATCH($C857,项目档案!$A$6:$A$255,0)),"⚠项目编号不存在"))</f>
        <v/>
      </c>
      <c r="N857" s="35" t="str">
        <f aca="false">IF($E857="","",IF($E857=IFERROR(INDEX(项目档案!$D$6:$D$255,MATCH($C857,项目档案!$A$6:$A$255,0)),""),"一级",IF($E857=IFERROR(INDEX(项目档案!$F$6:$F$255,MATCH($C857,项目档案!$A$6:$A$255,0)),""),"二级",IF($E857=IFERROR(INDEX(项目档案!$H$6:$H$255,MATCH($C857,项目档案!$A$6:$A$255,0)),""),"我方","—"))))</f>
        <v/>
      </c>
      <c r="O857" s="36" t="n">
        <f aca="false">IF($D857&lt;&gt;"销项开票",0,ROUND(N($H857)*N($I857),2))</f>
        <v>0</v>
      </c>
      <c r="P857" s="36" t="n">
        <f aca="false">IF($D857&lt;&gt;"销项开票",0,ROUND(N($H857)-$O857,2))</f>
        <v>0</v>
      </c>
      <c r="Q857" s="37" t="str">
        <f aca="false">IF($E857="","",N(IFERROR(INDEX(单位档案!$E$6:$E$35,MATCH($E857,单位档案!$A$6:$A$35,0)),"")))</f>
        <v/>
      </c>
      <c r="R857" s="37" t="str">
        <f aca="false">IF($E857="","",N(IFERROR(INDEX(单位档案!$F$6:$F$35,MATCH($E857,单位档案!$A$6:$A$35,0)),"")))</f>
        <v/>
      </c>
      <c r="S857" s="36" t="n">
        <f aca="false">IF(OR($D857&lt;&gt;"销项开票",IFERROR(INDEX(单位档案!$G$6:$G$35,MATCH($E857,单位档案!$A$6:$A$35,0)),"")&lt;&gt;"是",N($Q857)=0),0,IF(IFERROR(INDEX(单位档案!$H$6:$H$35,MATCH($E857,单位档案!$A$6:$A$35,0)),"")="税差法",ROUND(N($H857)/(1+$Q857)*$Q857-IF(N($R857)=0,0,$P857/(1+$R857)*$R857),2),ROUND(N($H857)/(1+$Q857)*$Q857,2)))</f>
        <v>0</v>
      </c>
      <c r="T857" s="36" t="n">
        <f aca="false">ROUND($S857*N(IFERROR(INDEX(单位档案!$J$6:$J$35,MATCH($E857,单位档案!$A$6:$A$35,0)),"")),2)</f>
        <v>0</v>
      </c>
      <c r="U857" s="36" t="n">
        <f aca="false">IF($D857&lt;&gt;"销项开票",0,ROUND(N($H857)*N(IFERROR(INDEX(单位档案!$K$6:$K$35,MATCH($E857,单位档案!$A$6:$A$35,0)),"")),2))</f>
        <v>0</v>
      </c>
      <c r="V857" s="36" t="n">
        <f aca="false">IF(OR($D857&lt;&gt;"销项开票",N($Q857)=0),0,ROUND(N($H857)/(1+$Q857)*N(IFERROR(INDEX(单位档案!$L$6:$L$35,MATCH($E857,单位档案!$A$6:$A$35,0)),"")),2))</f>
        <v>0</v>
      </c>
      <c r="W857" s="36" t="n">
        <f aca="false">ROUND($S857+$T857+$U857+$V857,2)</f>
        <v>0</v>
      </c>
      <c r="X857" s="35" t="str">
        <f aca="false">IF(OR($D857="挂靠代收",$D857="我方收款"),COUNTIFS($D$5:$D857,"挂靠代收")+COUNTIFS($D$5:$D857,"我方收款"),"")</f>
        <v/>
      </c>
      <c r="Y857" s="35"/>
      <c r="Z857" s="21" t="s">
        <v>111</v>
      </c>
    </row>
    <row r="858" customFormat="false" ht="15.75" hidden="false" customHeight="true" outlineLevel="0" collapsed="false">
      <c r="A858" s="32" t="str">
        <f aca="false">IF($B858="","",ROW()-4)</f>
        <v/>
      </c>
      <c r="B858" s="26"/>
      <c r="C858" s="24"/>
      <c r="D858" s="21"/>
      <c r="E858" s="21"/>
      <c r="F858" s="21"/>
      <c r="G858" s="21"/>
      <c r="H858" s="27"/>
      <c r="I858" s="23" t="str">
        <f aca="false">IF($D858&lt;&gt;"销项开票","",IF($N858="一级",IF(IFERROR(INDEX(项目档案!$E$6:$E$255,MATCH($C858,项目档案!$A$6:$A$255,0)),"")="",N(IFERROR(INDEX(单位档案!$D$6:$D$35,MATCH($E858,单位档案!$A$6:$A$35,0)),"")),IFERROR(INDEX(项目档案!$E$6:$E$255,MATCH($C858,项目档案!$A$6:$A$255,0)),"")),IF($N858="二级",IF(IFERROR(INDEX(项目档案!$G$6:$G$255,MATCH($C858,项目档案!$A$6:$A$255,0)),"")="",N(IFERROR(INDEX(单位档案!$D$6:$D$35,MATCH($E858,单位档案!$A$6:$A$35,0)),"")),IFERROR(INDEX(项目档案!$G$6:$G$255,MATCH($C858,项目档案!$A$6:$A$255,0)),"")),N(IFERROR(INDEX(单位档案!$D$6:$D$35,MATCH($E858,单位档案!$A$6:$A$35,0)),"")))))</f>
        <v/>
      </c>
      <c r="J858" s="22"/>
      <c r="K858" s="22"/>
      <c r="L858" s="33" t="str">
        <f aca="false">IF($B858="","",IF(NOT(ISNUMBER($B858)),"日期格式不对",IF($C858="","未选项目编号",IF(LEFT($M858,1)="⚠","项目编号不存在",IF($D858="","未选业务类型",IF($E858="","未选开票/付款方",IF(ISNA(MATCH($E858,单位档案!$A$6:$A$35,0)),"开票方不在单位档案",IF($F858="","未选收票/收款方",IF(ISNA(MATCH($F858,单位档案!$A$6:$A$35,0)),"收款方不在单位档案",IF(NOT(ISNUMBER($H858)),"金额须为数字",IF(AND($D858="销项开票",$N858="—"),"链条待确认","√")))))))))))</f>
        <v/>
      </c>
      <c r="M858" s="34" t="str">
        <f aca="false">IF($C858="","",IFERROR(INDEX(项目档案!$B$6:$B$255,MATCH($C858,项目档案!$A$6:$A$255,0)),"⚠项目编号不存在"))</f>
        <v/>
      </c>
      <c r="N858" s="35" t="str">
        <f aca="false">IF($E858="","",IF($E858=IFERROR(INDEX(项目档案!$D$6:$D$255,MATCH($C858,项目档案!$A$6:$A$255,0)),""),"一级",IF($E858=IFERROR(INDEX(项目档案!$F$6:$F$255,MATCH($C858,项目档案!$A$6:$A$255,0)),""),"二级",IF($E858=IFERROR(INDEX(项目档案!$H$6:$H$255,MATCH($C858,项目档案!$A$6:$A$255,0)),""),"我方","—"))))</f>
        <v/>
      </c>
      <c r="O858" s="36" t="n">
        <f aca="false">IF($D858&lt;&gt;"销项开票",0,ROUND(N($H858)*N($I858),2))</f>
        <v>0</v>
      </c>
      <c r="P858" s="36" t="n">
        <f aca="false">IF($D858&lt;&gt;"销项开票",0,ROUND(N($H858)-$O858,2))</f>
        <v>0</v>
      </c>
      <c r="Q858" s="37" t="str">
        <f aca="false">IF($E858="","",N(IFERROR(INDEX(单位档案!$E$6:$E$35,MATCH($E858,单位档案!$A$6:$A$35,0)),"")))</f>
        <v/>
      </c>
      <c r="R858" s="37" t="str">
        <f aca="false">IF($E858="","",N(IFERROR(INDEX(单位档案!$F$6:$F$35,MATCH($E858,单位档案!$A$6:$A$35,0)),"")))</f>
        <v/>
      </c>
      <c r="S858" s="36" t="n">
        <f aca="false">IF(OR($D858&lt;&gt;"销项开票",IFERROR(INDEX(单位档案!$G$6:$G$35,MATCH($E858,单位档案!$A$6:$A$35,0)),"")&lt;&gt;"是",N($Q858)=0),0,IF(IFERROR(INDEX(单位档案!$H$6:$H$35,MATCH($E858,单位档案!$A$6:$A$35,0)),"")="税差法",ROUND(N($H858)/(1+$Q858)*$Q858-IF(N($R858)=0,0,$P858/(1+$R858)*$R858),2),ROUND(N($H858)/(1+$Q858)*$Q858,2)))</f>
        <v>0</v>
      </c>
      <c r="T858" s="36" t="n">
        <f aca="false">ROUND($S858*N(IFERROR(INDEX(单位档案!$J$6:$J$35,MATCH($E858,单位档案!$A$6:$A$35,0)),"")),2)</f>
        <v>0</v>
      </c>
      <c r="U858" s="36" t="n">
        <f aca="false">IF($D858&lt;&gt;"销项开票",0,ROUND(N($H858)*N(IFERROR(INDEX(单位档案!$K$6:$K$35,MATCH($E858,单位档案!$A$6:$A$35,0)),"")),2))</f>
        <v>0</v>
      </c>
      <c r="V858" s="36" t="n">
        <f aca="false">IF(OR($D858&lt;&gt;"销项开票",N($Q858)=0),0,ROUND(N($H858)/(1+$Q858)*N(IFERROR(INDEX(单位档案!$L$6:$L$35,MATCH($E858,单位档案!$A$6:$A$35,0)),"")),2))</f>
        <v>0</v>
      </c>
      <c r="W858" s="36" t="n">
        <f aca="false">ROUND($S858+$T858+$U858+$V858,2)</f>
        <v>0</v>
      </c>
      <c r="X858" s="35" t="str">
        <f aca="false">IF(OR($D858="挂靠代收",$D858="我方收款"),COUNTIFS($D$5:$D858,"挂靠代收")+COUNTIFS($D$5:$D858,"我方收款"),"")</f>
        <v/>
      </c>
      <c r="Y858" s="35"/>
      <c r="Z858" s="21" t="s">
        <v>111</v>
      </c>
    </row>
    <row r="859" customFormat="false" ht="15.75" hidden="false" customHeight="true" outlineLevel="0" collapsed="false">
      <c r="A859" s="32" t="str">
        <f aca="false">IF($B859="","",ROW()-4)</f>
        <v/>
      </c>
      <c r="B859" s="26"/>
      <c r="C859" s="24"/>
      <c r="D859" s="21"/>
      <c r="E859" s="21"/>
      <c r="F859" s="21"/>
      <c r="G859" s="21"/>
      <c r="H859" s="27"/>
      <c r="I859" s="23" t="str">
        <f aca="false">IF($D859&lt;&gt;"销项开票","",IF($N859="一级",IF(IFERROR(INDEX(项目档案!$E$6:$E$255,MATCH($C859,项目档案!$A$6:$A$255,0)),"")="",N(IFERROR(INDEX(单位档案!$D$6:$D$35,MATCH($E859,单位档案!$A$6:$A$35,0)),"")),IFERROR(INDEX(项目档案!$E$6:$E$255,MATCH($C859,项目档案!$A$6:$A$255,0)),"")),IF($N859="二级",IF(IFERROR(INDEX(项目档案!$G$6:$G$255,MATCH($C859,项目档案!$A$6:$A$255,0)),"")="",N(IFERROR(INDEX(单位档案!$D$6:$D$35,MATCH($E859,单位档案!$A$6:$A$35,0)),"")),IFERROR(INDEX(项目档案!$G$6:$G$255,MATCH($C859,项目档案!$A$6:$A$255,0)),"")),N(IFERROR(INDEX(单位档案!$D$6:$D$35,MATCH($E859,单位档案!$A$6:$A$35,0)),"")))))</f>
        <v/>
      </c>
      <c r="J859" s="22"/>
      <c r="K859" s="22"/>
      <c r="L859" s="33" t="str">
        <f aca="false">IF($B859="","",IF(NOT(ISNUMBER($B859)),"日期格式不对",IF($C859="","未选项目编号",IF(LEFT($M859,1)="⚠","项目编号不存在",IF($D859="","未选业务类型",IF($E859="","未选开票/付款方",IF(ISNA(MATCH($E859,单位档案!$A$6:$A$35,0)),"开票方不在单位档案",IF($F859="","未选收票/收款方",IF(ISNA(MATCH($F859,单位档案!$A$6:$A$35,0)),"收款方不在单位档案",IF(NOT(ISNUMBER($H859)),"金额须为数字",IF(AND($D859="销项开票",$N859="—"),"链条待确认","√")))))))))))</f>
        <v/>
      </c>
      <c r="M859" s="34" t="str">
        <f aca="false">IF($C859="","",IFERROR(INDEX(项目档案!$B$6:$B$255,MATCH($C859,项目档案!$A$6:$A$255,0)),"⚠项目编号不存在"))</f>
        <v/>
      </c>
      <c r="N859" s="35" t="str">
        <f aca="false">IF($E859="","",IF($E859=IFERROR(INDEX(项目档案!$D$6:$D$255,MATCH($C859,项目档案!$A$6:$A$255,0)),""),"一级",IF($E859=IFERROR(INDEX(项目档案!$F$6:$F$255,MATCH($C859,项目档案!$A$6:$A$255,0)),""),"二级",IF($E859=IFERROR(INDEX(项目档案!$H$6:$H$255,MATCH($C859,项目档案!$A$6:$A$255,0)),""),"我方","—"))))</f>
        <v/>
      </c>
      <c r="O859" s="36" t="n">
        <f aca="false">IF($D859&lt;&gt;"销项开票",0,ROUND(N($H859)*N($I859),2))</f>
        <v>0</v>
      </c>
      <c r="P859" s="36" t="n">
        <f aca="false">IF($D859&lt;&gt;"销项开票",0,ROUND(N($H859)-$O859,2))</f>
        <v>0</v>
      </c>
      <c r="Q859" s="37" t="str">
        <f aca="false">IF($E859="","",N(IFERROR(INDEX(单位档案!$E$6:$E$35,MATCH($E859,单位档案!$A$6:$A$35,0)),"")))</f>
        <v/>
      </c>
      <c r="R859" s="37" t="str">
        <f aca="false">IF($E859="","",N(IFERROR(INDEX(单位档案!$F$6:$F$35,MATCH($E859,单位档案!$A$6:$A$35,0)),"")))</f>
        <v/>
      </c>
      <c r="S859" s="36" t="n">
        <f aca="false">IF(OR($D859&lt;&gt;"销项开票",IFERROR(INDEX(单位档案!$G$6:$G$35,MATCH($E859,单位档案!$A$6:$A$35,0)),"")&lt;&gt;"是",N($Q859)=0),0,IF(IFERROR(INDEX(单位档案!$H$6:$H$35,MATCH($E859,单位档案!$A$6:$A$35,0)),"")="税差法",ROUND(N($H859)/(1+$Q859)*$Q859-IF(N($R859)=0,0,$P859/(1+$R859)*$R859),2),ROUND(N($H859)/(1+$Q859)*$Q859,2)))</f>
        <v>0</v>
      </c>
      <c r="T859" s="36" t="n">
        <f aca="false">ROUND($S859*N(IFERROR(INDEX(单位档案!$J$6:$J$35,MATCH($E859,单位档案!$A$6:$A$35,0)),"")),2)</f>
        <v>0</v>
      </c>
      <c r="U859" s="36" t="n">
        <f aca="false">IF($D859&lt;&gt;"销项开票",0,ROUND(N($H859)*N(IFERROR(INDEX(单位档案!$K$6:$K$35,MATCH($E859,单位档案!$A$6:$A$35,0)),"")),2))</f>
        <v>0</v>
      </c>
      <c r="V859" s="36" t="n">
        <f aca="false">IF(OR($D859&lt;&gt;"销项开票",N($Q859)=0),0,ROUND(N($H859)/(1+$Q859)*N(IFERROR(INDEX(单位档案!$L$6:$L$35,MATCH($E859,单位档案!$A$6:$A$35,0)),"")),2))</f>
        <v>0</v>
      </c>
      <c r="W859" s="36" t="n">
        <f aca="false">ROUND($S859+$T859+$U859+$V859,2)</f>
        <v>0</v>
      </c>
      <c r="X859" s="35" t="str">
        <f aca="false">IF(OR($D859="挂靠代收",$D859="我方收款"),COUNTIFS($D$5:$D859,"挂靠代收")+COUNTIFS($D$5:$D859,"我方收款"),"")</f>
        <v/>
      </c>
      <c r="Y859" s="35"/>
      <c r="Z859" s="21" t="s">
        <v>111</v>
      </c>
    </row>
    <row r="860" customFormat="false" ht="15.75" hidden="false" customHeight="true" outlineLevel="0" collapsed="false">
      <c r="A860" s="32" t="str">
        <f aca="false">IF($B860="","",ROW()-4)</f>
        <v/>
      </c>
      <c r="B860" s="26"/>
      <c r="C860" s="24"/>
      <c r="D860" s="21"/>
      <c r="E860" s="21"/>
      <c r="F860" s="21"/>
      <c r="G860" s="21"/>
      <c r="H860" s="27"/>
      <c r="I860" s="23" t="str">
        <f aca="false">IF($D860&lt;&gt;"销项开票","",IF($N860="一级",IF(IFERROR(INDEX(项目档案!$E$6:$E$255,MATCH($C860,项目档案!$A$6:$A$255,0)),"")="",N(IFERROR(INDEX(单位档案!$D$6:$D$35,MATCH($E860,单位档案!$A$6:$A$35,0)),"")),IFERROR(INDEX(项目档案!$E$6:$E$255,MATCH($C860,项目档案!$A$6:$A$255,0)),"")),IF($N860="二级",IF(IFERROR(INDEX(项目档案!$G$6:$G$255,MATCH($C860,项目档案!$A$6:$A$255,0)),"")="",N(IFERROR(INDEX(单位档案!$D$6:$D$35,MATCH($E860,单位档案!$A$6:$A$35,0)),"")),IFERROR(INDEX(项目档案!$G$6:$G$255,MATCH($C860,项目档案!$A$6:$A$255,0)),"")),N(IFERROR(INDEX(单位档案!$D$6:$D$35,MATCH($E860,单位档案!$A$6:$A$35,0)),"")))))</f>
        <v/>
      </c>
      <c r="J860" s="22"/>
      <c r="K860" s="22"/>
      <c r="L860" s="33" t="str">
        <f aca="false">IF($B860="","",IF(NOT(ISNUMBER($B860)),"日期格式不对",IF($C860="","未选项目编号",IF(LEFT($M860,1)="⚠","项目编号不存在",IF($D860="","未选业务类型",IF($E860="","未选开票/付款方",IF(ISNA(MATCH($E860,单位档案!$A$6:$A$35,0)),"开票方不在单位档案",IF($F860="","未选收票/收款方",IF(ISNA(MATCH($F860,单位档案!$A$6:$A$35,0)),"收款方不在单位档案",IF(NOT(ISNUMBER($H860)),"金额须为数字",IF(AND($D860="销项开票",$N860="—"),"链条待确认","√")))))))))))</f>
        <v/>
      </c>
      <c r="M860" s="34" t="str">
        <f aca="false">IF($C860="","",IFERROR(INDEX(项目档案!$B$6:$B$255,MATCH($C860,项目档案!$A$6:$A$255,0)),"⚠项目编号不存在"))</f>
        <v/>
      </c>
      <c r="N860" s="35" t="str">
        <f aca="false">IF($E860="","",IF($E860=IFERROR(INDEX(项目档案!$D$6:$D$255,MATCH($C860,项目档案!$A$6:$A$255,0)),""),"一级",IF($E860=IFERROR(INDEX(项目档案!$F$6:$F$255,MATCH($C860,项目档案!$A$6:$A$255,0)),""),"二级",IF($E860=IFERROR(INDEX(项目档案!$H$6:$H$255,MATCH($C860,项目档案!$A$6:$A$255,0)),""),"我方","—"))))</f>
        <v/>
      </c>
      <c r="O860" s="36" t="n">
        <f aca="false">IF($D860&lt;&gt;"销项开票",0,ROUND(N($H860)*N($I860),2))</f>
        <v>0</v>
      </c>
      <c r="P860" s="36" t="n">
        <f aca="false">IF($D860&lt;&gt;"销项开票",0,ROUND(N($H860)-$O860,2))</f>
        <v>0</v>
      </c>
      <c r="Q860" s="37" t="str">
        <f aca="false">IF($E860="","",N(IFERROR(INDEX(单位档案!$E$6:$E$35,MATCH($E860,单位档案!$A$6:$A$35,0)),"")))</f>
        <v/>
      </c>
      <c r="R860" s="37" t="str">
        <f aca="false">IF($E860="","",N(IFERROR(INDEX(单位档案!$F$6:$F$35,MATCH($E860,单位档案!$A$6:$A$35,0)),"")))</f>
        <v/>
      </c>
      <c r="S860" s="36" t="n">
        <f aca="false">IF(OR($D860&lt;&gt;"销项开票",IFERROR(INDEX(单位档案!$G$6:$G$35,MATCH($E860,单位档案!$A$6:$A$35,0)),"")&lt;&gt;"是",N($Q860)=0),0,IF(IFERROR(INDEX(单位档案!$H$6:$H$35,MATCH($E860,单位档案!$A$6:$A$35,0)),"")="税差法",ROUND(N($H860)/(1+$Q860)*$Q860-IF(N($R860)=0,0,$P860/(1+$R860)*$R860),2),ROUND(N($H860)/(1+$Q860)*$Q860,2)))</f>
        <v>0</v>
      </c>
      <c r="T860" s="36" t="n">
        <f aca="false">ROUND($S860*N(IFERROR(INDEX(单位档案!$J$6:$J$35,MATCH($E860,单位档案!$A$6:$A$35,0)),"")),2)</f>
        <v>0</v>
      </c>
      <c r="U860" s="36" t="n">
        <f aca="false">IF($D860&lt;&gt;"销项开票",0,ROUND(N($H860)*N(IFERROR(INDEX(单位档案!$K$6:$K$35,MATCH($E860,单位档案!$A$6:$A$35,0)),"")),2))</f>
        <v>0</v>
      </c>
      <c r="V860" s="36" t="n">
        <f aca="false">IF(OR($D860&lt;&gt;"销项开票",N($Q860)=0),0,ROUND(N($H860)/(1+$Q860)*N(IFERROR(INDEX(单位档案!$L$6:$L$35,MATCH($E860,单位档案!$A$6:$A$35,0)),"")),2))</f>
        <v>0</v>
      </c>
      <c r="W860" s="36" t="n">
        <f aca="false">ROUND($S860+$T860+$U860+$V860,2)</f>
        <v>0</v>
      </c>
      <c r="X860" s="35" t="str">
        <f aca="false">IF(OR($D860="挂靠代收",$D860="我方收款"),COUNTIFS($D$5:$D860,"挂靠代收")+COUNTIFS($D$5:$D860,"我方收款"),"")</f>
        <v/>
      </c>
      <c r="Y860" s="35"/>
      <c r="Z860" s="21" t="s">
        <v>111</v>
      </c>
    </row>
    <row r="861" customFormat="false" ht="15.75" hidden="false" customHeight="true" outlineLevel="0" collapsed="false">
      <c r="A861" s="32" t="str">
        <f aca="false">IF($B861="","",ROW()-4)</f>
        <v/>
      </c>
      <c r="B861" s="26"/>
      <c r="C861" s="24"/>
      <c r="D861" s="21"/>
      <c r="E861" s="21"/>
      <c r="F861" s="21"/>
      <c r="G861" s="21"/>
      <c r="H861" s="27"/>
      <c r="I861" s="23" t="str">
        <f aca="false">IF($D861&lt;&gt;"销项开票","",IF($N861="一级",IF(IFERROR(INDEX(项目档案!$E$6:$E$255,MATCH($C861,项目档案!$A$6:$A$255,0)),"")="",N(IFERROR(INDEX(单位档案!$D$6:$D$35,MATCH($E861,单位档案!$A$6:$A$35,0)),"")),IFERROR(INDEX(项目档案!$E$6:$E$255,MATCH($C861,项目档案!$A$6:$A$255,0)),"")),IF($N861="二级",IF(IFERROR(INDEX(项目档案!$G$6:$G$255,MATCH($C861,项目档案!$A$6:$A$255,0)),"")="",N(IFERROR(INDEX(单位档案!$D$6:$D$35,MATCH($E861,单位档案!$A$6:$A$35,0)),"")),IFERROR(INDEX(项目档案!$G$6:$G$255,MATCH($C861,项目档案!$A$6:$A$255,0)),"")),N(IFERROR(INDEX(单位档案!$D$6:$D$35,MATCH($E861,单位档案!$A$6:$A$35,0)),"")))))</f>
        <v/>
      </c>
      <c r="J861" s="22"/>
      <c r="K861" s="22"/>
      <c r="L861" s="33" t="str">
        <f aca="false">IF($B861="","",IF(NOT(ISNUMBER($B861)),"日期格式不对",IF($C861="","未选项目编号",IF(LEFT($M861,1)="⚠","项目编号不存在",IF($D861="","未选业务类型",IF($E861="","未选开票/付款方",IF(ISNA(MATCH($E861,单位档案!$A$6:$A$35,0)),"开票方不在单位档案",IF($F861="","未选收票/收款方",IF(ISNA(MATCH($F861,单位档案!$A$6:$A$35,0)),"收款方不在单位档案",IF(NOT(ISNUMBER($H861)),"金额须为数字",IF(AND($D861="销项开票",$N861="—"),"链条待确认","√")))))))))))</f>
        <v/>
      </c>
      <c r="M861" s="34" t="str">
        <f aca="false">IF($C861="","",IFERROR(INDEX(项目档案!$B$6:$B$255,MATCH($C861,项目档案!$A$6:$A$255,0)),"⚠项目编号不存在"))</f>
        <v/>
      </c>
      <c r="N861" s="35" t="str">
        <f aca="false">IF($E861="","",IF($E861=IFERROR(INDEX(项目档案!$D$6:$D$255,MATCH($C861,项目档案!$A$6:$A$255,0)),""),"一级",IF($E861=IFERROR(INDEX(项目档案!$F$6:$F$255,MATCH($C861,项目档案!$A$6:$A$255,0)),""),"二级",IF($E861=IFERROR(INDEX(项目档案!$H$6:$H$255,MATCH($C861,项目档案!$A$6:$A$255,0)),""),"我方","—"))))</f>
        <v/>
      </c>
      <c r="O861" s="36" t="n">
        <f aca="false">IF($D861&lt;&gt;"销项开票",0,ROUND(N($H861)*N($I861),2))</f>
        <v>0</v>
      </c>
      <c r="P861" s="36" t="n">
        <f aca="false">IF($D861&lt;&gt;"销项开票",0,ROUND(N($H861)-$O861,2))</f>
        <v>0</v>
      </c>
      <c r="Q861" s="37" t="str">
        <f aca="false">IF($E861="","",N(IFERROR(INDEX(单位档案!$E$6:$E$35,MATCH($E861,单位档案!$A$6:$A$35,0)),"")))</f>
        <v/>
      </c>
      <c r="R861" s="37" t="str">
        <f aca="false">IF($E861="","",N(IFERROR(INDEX(单位档案!$F$6:$F$35,MATCH($E861,单位档案!$A$6:$A$35,0)),"")))</f>
        <v/>
      </c>
      <c r="S861" s="36" t="n">
        <f aca="false">IF(OR($D861&lt;&gt;"销项开票",IFERROR(INDEX(单位档案!$G$6:$G$35,MATCH($E861,单位档案!$A$6:$A$35,0)),"")&lt;&gt;"是",N($Q861)=0),0,IF(IFERROR(INDEX(单位档案!$H$6:$H$35,MATCH($E861,单位档案!$A$6:$A$35,0)),"")="税差法",ROUND(N($H861)/(1+$Q861)*$Q861-IF(N($R861)=0,0,$P861/(1+$R861)*$R861),2),ROUND(N($H861)/(1+$Q861)*$Q861,2)))</f>
        <v>0</v>
      </c>
      <c r="T861" s="36" t="n">
        <f aca="false">ROUND($S861*N(IFERROR(INDEX(单位档案!$J$6:$J$35,MATCH($E861,单位档案!$A$6:$A$35,0)),"")),2)</f>
        <v>0</v>
      </c>
      <c r="U861" s="36" t="n">
        <f aca="false">IF($D861&lt;&gt;"销项开票",0,ROUND(N($H861)*N(IFERROR(INDEX(单位档案!$K$6:$K$35,MATCH($E861,单位档案!$A$6:$A$35,0)),"")),2))</f>
        <v>0</v>
      </c>
      <c r="V861" s="36" t="n">
        <f aca="false">IF(OR($D861&lt;&gt;"销项开票",N($Q861)=0),0,ROUND(N($H861)/(1+$Q861)*N(IFERROR(INDEX(单位档案!$L$6:$L$35,MATCH($E861,单位档案!$A$6:$A$35,0)),"")),2))</f>
        <v>0</v>
      </c>
      <c r="W861" s="36" t="n">
        <f aca="false">ROUND($S861+$T861+$U861+$V861,2)</f>
        <v>0</v>
      </c>
      <c r="X861" s="35" t="str">
        <f aca="false">IF(OR($D861="挂靠代收",$D861="我方收款"),COUNTIFS($D$5:$D861,"挂靠代收")+COUNTIFS($D$5:$D861,"我方收款"),"")</f>
        <v/>
      </c>
      <c r="Y861" s="35"/>
      <c r="Z861" s="21" t="s">
        <v>111</v>
      </c>
    </row>
    <row r="862" customFormat="false" ht="15.75" hidden="false" customHeight="true" outlineLevel="0" collapsed="false">
      <c r="A862" s="32" t="str">
        <f aca="false">IF($B862="","",ROW()-4)</f>
        <v/>
      </c>
      <c r="B862" s="26"/>
      <c r="C862" s="24"/>
      <c r="D862" s="21"/>
      <c r="E862" s="21"/>
      <c r="F862" s="21"/>
      <c r="G862" s="21"/>
      <c r="H862" s="27"/>
      <c r="I862" s="23" t="str">
        <f aca="false">IF($D862&lt;&gt;"销项开票","",IF($N862="一级",IF(IFERROR(INDEX(项目档案!$E$6:$E$255,MATCH($C862,项目档案!$A$6:$A$255,0)),"")="",N(IFERROR(INDEX(单位档案!$D$6:$D$35,MATCH($E862,单位档案!$A$6:$A$35,0)),"")),IFERROR(INDEX(项目档案!$E$6:$E$255,MATCH($C862,项目档案!$A$6:$A$255,0)),"")),IF($N862="二级",IF(IFERROR(INDEX(项目档案!$G$6:$G$255,MATCH($C862,项目档案!$A$6:$A$255,0)),"")="",N(IFERROR(INDEX(单位档案!$D$6:$D$35,MATCH($E862,单位档案!$A$6:$A$35,0)),"")),IFERROR(INDEX(项目档案!$G$6:$G$255,MATCH($C862,项目档案!$A$6:$A$255,0)),"")),N(IFERROR(INDEX(单位档案!$D$6:$D$35,MATCH($E862,单位档案!$A$6:$A$35,0)),"")))))</f>
        <v/>
      </c>
      <c r="J862" s="22"/>
      <c r="K862" s="22"/>
      <c r="L862" s="33" t="str">
        <f aca="false">IF($B862="","",IF(NOT(ISNUMBER($B862)),"日期格式不对",IF($C862="","未选项目编号",IF(LEFT($M862,1)="⚠","项目编号不存在",IF($D862="","未选业务类型",IF($E862="","未选开票/付款方",IF(ISNA(MATCH($E862,单位档案!$A$6:$A$35,0)),"开票方不在单位档案",IF($F862="","未选收票/收款方",IF(ISNA(MATCH($F862,单位档案!$A$6:$A$35,0)),"收款方不在单位档案",IF(NOT(ISNUMBER($H862)),"金额须为数字",IF(AND($D862="销项开票",$N862="—"),"链条待确认","√")))))))))))</f>
        <v/>
      </c>
      <c r="M862" s="34" t="str">
        <f aca="false">IF($C862="","",IFERROR(INDEX(项目档案!$B$6:$B$255,MATCH($C862,项目档案!$A$6:$A$255,0)),"⚠项目编号不存在"))</f>
        <v/>
      </c>
      <c r="N862" s="35" t="str">
        <f aca="false">IF($E862="","",IF($E862=IFERROR(INDEX(项目档案!$D$6:$D$255,MATCH($C862,项目档案!$A$6:$A$255,0)),""),"一级",IF($E862=IFERROR(INDEX(项目档案!$F$6:$F$255,MATCH($C862,项目档案!$A$6:$A$255,0)),""),"二级",IF($E862=IFERROR(INDEX(项目档案!$H$6:$H$255,MATCH($C862,项目档案!$A$6:$A$255,0)),""),"我方","—"))))</f>
        <v/>
      </c>
      <c r="O862" s="36" t="n">
        <f aca="false">IF($D862&lt;&gt;"销项开票",0,ROUND(N($H862)*N($I862),2))</f>
        <v>0</v>
      </c>
      <c r="P862" s="36" t="n">
        <f aca="false">IF($D862&lt;&gt;"销项开票",0,ROUND(N($H862)-$O862,2))</f>
        <v>0</v>
      </c>
      <c r="Q862" s="37" t="str">
        <f aca="false">IF($E862="","",N(IFERROR(INDEX(单位档案!$E$6:$E$35,MATCH($E862,单位档案!$A$6:$A$35,0)),"")))</f>
        <v/>
      </c>
      <c r="R862" s="37" t="str">
        <f aca="false">IF($E862="","",N(IFERROR(INDEX(单位档案!$F$6:$F$35,MATCH($E862,单位档案!$A$6:$A$35,0)),"")))</f>
        <v/>
      </c>
      <c r="S862" s="36" t="n">
        <f aca="false">IF(OR($D862&lt;&gt;"销项开票",IFERROR(INDEX(单位档案!$G$6:$G$35,MATCH($E862,单位档案!$A$6:$A$35,0)),"")&lt;&gt;"是",N($Q862)=0),0,IF(IFERROR(INDEX(单位档案!$H$6:$H$35,MATCH($E862,单位档案!$A$6:$A$35,0)),"")="税差法",ROUND(N($H862)/(1+$Q862)*$Q862-IF(N($R862)=0,0,$P862/(1+$R862)*$R862),2),ROUND(N($H862)/(1+$Q862)*$Q862,2)))</f>
        <v>0</v>
      </c>
      <c r="T862" s="36" t="n">
        <f aca="false">ROUND($S862*N(IFERROR(INDEX(单位档案!$J$6:$J$35,MATCH($E862,单位档案!$A$6:$A$35,0)),"")),2)</f>
        <v>0</v>
      </c>
      <c r="U862" s="36" t="n">
        <f aca="false">IF($D862&lt;&gt;"销项开票",0,ROUND(N($H862)*N(IFERROR(INDEX(单位档案!$K$6:$K$35,MATCH($E862,单位档案!$A$6:$A$35,0)),"")),2))</f>
        <v>0</v>
      </c>
      <c r="V862" s="36" t="n">
        <f aca="false">IF(OR($D862&lt;&gt;"销项开票",N($Q862)=0),0,ROUND(N($H862)/(1+$Q862)*N(IFERROR(INDEX(单位档案!$L$6:$L$35,MATCH($E862,单位档案!$A$6:$A$35,0)),"")),2))</f>
        <v>0</v>
      </c>
      <c r="W862" s="36" t="n">
        <f aca="false">ROUND($S862+$T862+$U862+$V862,2)</f>
        <v>0</v>
      </c>
      <c r="X862" s="35" t="str">
        <f aca="false">IF(OR($D862="挂靠代收",$D862="我方收款"),COUNTIFS($D$5:$D862,"挂靠代收")+COUNTIFS($D$5:$D862,"我方收款"),"")</f>
        <v/>
      </c>
      <c r="Y862" s="35"/>
      <c r="Z862" s="21" t="s">
        <v>111</v>
      </c>
    </row>
    <row r="863" customFormat="false" ht="15.75" hidden="false" customHeight="true" outlineLevel="0" collapsed="false">
      <c r="A863" s="32" t="str">
        <f aca="false">IF($B863="","",ROW()-4)</f>
        <v/>
      </c>
      <c r="B863" s="26"/>
      <c r="C863" s="24"/>
      <c r="D863" s="21"/>
      <c r="E863" s="21"/>
      <c r="F863" s="21"/>
      <c r="G863" s="21"/>
      <c r="H863" s="27"/>
      <c r="I863" s="23" t="str">
        <f aca="false">IF($D863&lt;&gt;"销项开票","",IF($N863="一级",IF(IFERROR(INDEX(项目档案!$E$6:$E$255,MATCH($C863,项目档案!$A$6:$A$255,0)),"")="",N(IFERROR(INDEX(单位档案!$D$6:$D$35,MATCH($E863,单位档案!$A$6:$A$35,0)),"")),IFERROR(INDEX(项目档案!$E$6:$E$255,MATCH($C863,项目档案!$A$6:$A$255,0)),"")),IF($N863="二级",IF(IFERROR(INDEX(项目档案!$G$6:$G$255,MATCH($C863,项目档案!$A$6:$A$255,0)),"")="",N(IFERROR(INDEX(单位档案!$D$6:$D$35,MATCH($E863,单位档案!$A$6:$A$35,0)),"")),IFERROR(INDEX(项目档案!$G$6:$G$255,MATCH($C863,项目档案!$A$6:$A$255,0)),"")),N(IFERROR(INDEX(单位档案!$D$6:$D$35,MATCH($E863,单位档案!$A$6:$A$35,0)),"")))))</f>
        <v/>
      </c>
      <c r="J863" s="22"/>
      <c r="K863" s="22"/>
      <c r="L863" s="33" t="str">
        <f aca="false">IF($B863="","",IF(NOT(ISNUMBER($B863)),"日期格式不对",IF($C863="","未选项目编号",IF(LEFT($M863,1)="⚠","项目编号不存在",IF($D863="","未选业务类型",IF($E863="","未选开票/付款方",IF(ISNA(MATCH($E863,单位档案!$A$6:$A$35,0)),"开票方不在单位档案",IF($F863="","未选收票/收款方",IF(ISNA(MATCH($F863,单位档案!$A$6:$A$35,0)),"收款方不在单位档案",IF(NOT(ISNUMBER($H863)),"金额须为数字",IF(AND($D863="销项开票",$N863="—"),"链条待确认","√")))))))))))</f>
        <v/>
      </c>
      <c r="M863" s="34" t="str">
        <f aca="false">IF($C863="","",IFERROR(INDEX(项目档案!$B$6:$B$255,MATCH($C863,项目档案!$A$6:$A$255,0)),"⚠项目编号不存在"))</f>
        <v/>
      </c>
      <c r="N863" s="35" t="str">
        <f aca="false">IF($E863="","",IF($E863=IFERROR(INDEX(项目档案!$D$6:$D$255,MATCH($C863,项目档案!$A$6:$A$255,0)),""),"一级",IF($E863=IFERROR(INDEX(项目档案!$F$6:$F$255,MATCH($C863,项目档案!$A$6:$A$255,0)),""),"二级",IF($E863=IFERROR(INDEX(项目档案!$H$6:$H$255,MATCH($C863,项目档案!$A$6:$A$255,0)),""),"我方","—"))))</f>
        <v/>
      </c>
      <c r="O863" s="36" t="n">
        <f aca="false">IF($D863&lt;&gt;"销项开票",0,ROUND(N($H863)*N($I863),2))</f>
        <v>0</v>
      </c>
      <c r="P863" s="36" t="n">
        <f aca="false">IF($D863&lt;&gt;"销项开票",0,ROUND(N($H863)-$O863,2))</f>
        <v>0</v>
      </c>
      <c r="Q863" s="37" t="str">
        <f aca="false">IF($E863="","",N(IFERROR(INDEX(单位档案!$E$6:$E$35,MATCH($E863,单位档案!$A$6:$A$35,0)),"")))</f>
        <v/>
      </c>
      <c r="R863" s="37" t="str">
        <f aca="false">IF($E863="","",N(IFERROR(INDEX(单位档案!$F$6:$F$35,MATCH($E863,单位档案!$A$6:$A$35,0)),"")))</f>
        <v/>
      </c>
      <c r="S863" s="36" t="n">
        <f aca="false">IF(OR($D863&lt;&gt;"销项开票",IFERROR(INDEX(单位档案!$G$6:$G$35,MATCH($E863,单位档案!$A$6:$A$35,0)),"")&lt;&gt;"是",N($Q863)=0),0,IF(IFERROR(INDEX(单位档案!$H$6:$H$35,MATCH($E863,单位档案!$A$6:$A$35,0)),"")="税差法",ROUND(N($H863)/(1+$Q863)*$Q863-IF(N($R863)=0,0,$P863/(1+$R863)*$R863),2),ROUND(N($H863)/(1+$Q863)*$Q863,2)))</f>
        <v>0</v>
      </c>
      <c r="T863" s="36" t="n">
        <f aca="false">ROUND($S863*N(IFERROR(INDEX(单位档案!$J$6:$J$35,MATCH($E863,单位档案!$A$6:$A$35,0)),"")),2)</f>
        <v>0</v>
      </c>
      <c r="U863" s="36" t="n">
        <f aca="false">IF($D863&lt;&gt;"销项开票",0,ROUND(N($H863)*N(IFERROR(INDEX(单位档案!$K$6:$K$35,MATCH($E863,单位档案!$A$6:$A$35,0)),"")),2))</f>
        <v>0</v>
      </c>
      <c r="V863" s="36" t="n">
        <f aca="false">IF(OR($D863&lt;&gt;"销项开票",N($Q863)=0),0,ROUND(N($H863)/(1+$Q863)*N(IFERROR(INDEX(单位档案!$L$6:$L$35,MATCH($E863,单位档案!$A$6:$A$35,0)),"")),2))</f>
        <v>0</v>
      </c>
      <c r="W863" s="36" t="n">
        <f aca="false">ROUND($S863+$T863+$U863+$V863,2)</f>
        <v>0</v>
      </c>
      <c r="X863" s="35" t="str">
        <f aca="false">IF(OR($D863="挂靠代收",$D863="我方收款"),COUNTIFS($D$5:$D863,"挂靠代收")+COUNTIFS($D$5:$D863,"我方收款"),"")</f>
        <v/>
      </c>
      <c r="Y863" s="35"/>
      <c r="Z863" s="21" t="s">
        <v>111</v>
      </c>
    </row>
    <row r="864" customFormat="false" ht="15.75" hidden="false" customHeight="true" outlineLevel="0" collapsed="false">
      <c r="A864" s="32" t="str">
        <f aca="false">IF($B864="","",ROW()-4)</f>
        <v/>
      </c>
      <c r="B864" s="26"/>
      <c r="C864" s="24"/>
      <c r="D864" s="21"/>
      <c r="E864" s="21"/>
      <c r="F864" s="21"/>
      <c r="G864" s="21"/>
      <c r="H864" s="27"/>
      <c r="I864" s="23" t="str">
        <f aca="false">IF($D864&lt;&gt;"销项开票","",IF($N864="一级",IF(IFERROR(INDEX(项目档案!$E$6:$E$255,MATCH($C864,项目档案!$A$6:$A$255,0)),"")="",N(IFERROR(INDEX(单位档案!$D$6:$D$35,MATCH($E864,单位档案!$A$6:$A$35,0)),"")),IFERROR(INDEX(项目档案!$E$6:$E$255,MATCH($C864,项目档案!$A$6:$A$255,0)),"")),IF($N864="二级",IF(IFERROR(INDEX(项目档案!$G$6:$G$255,MATCH($C864,项目档案!$A$6:$A$255,0)),"")="",N(IFERROR(INDEX(单位档案!$D$6:$D$35,MATCH($E864,单位档案!$A$6:$A$35,0)),"")),IFERROR(INDEX(项目档案!$G$6:$G$255,MATCH($C864,项目档案!$A$6:$A$255,0)),"")),N(IFERROR(INDEX(单位档案!$D$6:$D$35,MATCH($E864,单位档案!$A$6:$A$35,0)),"")))))</f>
        <v/>
      </c>
      <c r="J864" s="22"/>
      <c r="K864" s="22"/>
      <c r="L864" s="33" t="str">
        <f aca="false">IF($B864="","",IF(NOT(ISNUMBER($B864)),"日期格式不对",IF($C864="","未选项目编号",IF(LEFT($M864,1)="⚠","项目编号不存在",IF($D864="","未选业务类型",IF($E864="","未选开票/付款方",IF(ISNA(MATCH($E864,单位档案!$A$6:$A$35,0)),"开票方不在单位档案",IF($F864="","未选收票/收款方",IF(ISNA(MATCH($F864,单位档案!$A$6:$A$35,0)),"收款方不在单位档案",IF(NOT(ISNUMBER($H864)),"金额须为数字",IF(AND($D864="销项开票",$N864="—"),"链条待确认","√")))))))))))</f>
        <v/>
      </c>
      <c r="M864" s="34" t="str">
        <f aca="false">IF($C864="","",IFERROR(INDEX(项目档案!$B$6:$B$255,MATCH($C864,项目档案!$A$6:$A$255,0)),"⚠项目编号不存在"))</f>
        <v/>
      </c>
      <c r="N864" s="35" t="str">
        <f aca="false">IF($E864="","",IF($E864=IFERROR(INDEX(项目档案!$D$6:$D$255,MATCH($C864,项目档案!$A$6:$A$255,0)),""),"一级",IF($E864=IFERROR(INDEX(项目档案!$F$6:$F$255,MATCH($C864,项目档案!$A$6:$A$255,0)),""),"二级",IF($E864=IFERROR(INDEX(项目档案!$H$6:$H$255,MATCH($C864,项目档案!$A$6:$A$255,0)),""),"我方","—"))))</f>
        <v/>
      </c>
      <c r="O864" s="36" t="n">
        <f aca="false">IF($D864&lt;&gt;"销项开票",0,ROUND(N($H864)*N($I864),2))</f>
        <v>0</v>
      </c>
      <c r="P864" s="36" t="n">
        <f aca="false">IF($D864&lt;&gt;"销项开票",0,ROUND(N($H864)-$O864,2))</f>
        <v>0</v>
      </c>
      <c r="Q864" s="37" t="str">
        <f aca="false">IF($E864="","",N(IFERROR(INDEX(单位档案!$E$6:$E$35,MATCH($E864,单位档案!$A$6:$A$35,0)),"")))</f>
        <v/>
      </c>
      <c r="R864" s="37" t="str">
        <f aca="false">IF($E864="","",N(IFERROR(INDEX(单位档案!$F$6:$F$35,MATCH($E864,单位档案!$A$6:$A$35,0)),"")))</f>
        <v/>
      </c>
      <c r="S864" s="36" t="n">
        <f aca="false">IF(OR($D864&lt;&gt;"销项开票",IFERROR(INDEX(单位档案!$G$6:$G$35,MATCH($E864,单位档案!$A$6:$A$35,0)),"")&lt;&gt;"是",N($Q864)=0),0,IF(IFERROR(INDEX(单位档案!$H$6:$H$35,MATCH($E864,单位档案!$A$6:$A$35,0)),"")="税差法",ROUND(N($H864)/(1+$Q864)*$Q864-IF(N($R864)=0,0,$P864/(1+$R864)*$R864),2),ROUND(N($H864)/(1+$Q864)*$Q864,2)))</f>
        <v>0</v>
      </c>
      <c r="T864" s="36" t="n">
        <f aca="false">ROUND($S864*N(IFERROR(INDEX(单位档案!$J$6:$J$35,MATCH($E864,单位档案!$A$6:$A$35,0)),"")),2)</f>
        <v>0</v>
      </c>
      <c r="U864" s="36" t="n">
        <f aca="false">IF($D864&lt;&gt;"销项开票",0,ROUND(N($H864)*N(IFERROR(INDEX(单位档案!$K$6:$K$35,MATCH($E864,单位档案!$A$6:$A$35,0)),"")),2))</f>
        <v>0</v>
      </c>
      <c r="V864" s="36" t="n">
        <f aca="false">IF(OR($D864&lt;&gt;"销项开票",N($Q864)=0),0,ROUND(N($H864)/(1+$Q864)*N(IFERROR(INDEX(单位档案!$L$6:$L$35,MATCH($E864,单位档案!$A$6:$A$35,0)),"")),2))</f>
        <v>0</v>
      </c>
      <c r="W864" s="36" t="n">
        <f aca="false">ROUND($S864+$T864+$U864+$V864,2)</f>
        <v>0</v>
      </c>
      <c r="X864" s="35" t="str">
        <f aca="false">IF(OR($D864="挂靠代收",$D864="我方收款"),COUNTIFS($D$5:$D864,"挂靠代收")+COUNTIFS($D$5:$D864,"我方收款"),"")</f>
        <v/>
      </c>
      <c r="Y864" s="35"/>
      <c r="Z864" s="21" t="s">
        <v>111</v>
      </c>
    </row>
    <row r="865" customFormat="false" ht="15.75" hidden="false" customHeight="true" outlineLevel="0" collapsed="false">
      <c r="A865" s="32" t="str">
        <f aca="false">IF($B865="","",ROW()-4)</f>
        <v/>
      </c>
      <c r="B865" s="26"/>
      <c r="C865" s="24"/>
      <c r="D865" s="21"/>
      <c r="E865" s="21"/>
      <c r="F865" s="21"/>
      <c r="G865" s="21"/>
      <c r="H865" s="27"/>
      <c r="I865" s="23" t="str">
        <f aca="false">IF($D865&lt;&gt;"销项开票","",IF($N865="一级",IF(IFERROR(INDEX(项目档案!$E$6:$E$255,MATCH($C865,项目档案!$A$6:$A$255,0)),"")="",N(IFERROR(INDEX(单位档案!$D$6:$D$35,MATCH($E865,单位档案!$A$6:$A$35,0)),"")),IFERROR(INDEX(项目档案!$E$6:$E$255,MATCH($C865,项目档案!$A$6:$A$255,0)),"")),IF($N865="二级",IF(IFERROR(INDEX(项目档案!$G$6:$G$255,MATCH($C865,项目档案!$A$6:$A$255,0)),"")="",N(IFERROR(INDEX(单位档案!$D$6:$D$35,MATCH($E865,单位档案!$A$6:$A$35,0)),"")),IFERROR(INDEX(项目档案!$G$6:$G$255,MATCH($C865,项目档案!$A$6:$A$255,0)),"")),N(IFERROR(INDEX(单位档案!$D$6:$D$35,MATCH($E865,单位档案!$A$6:$A$35,0)),"")))))</f>
        <v/>
      </c>
      <c r="J865" s="22"/>
      <c r="K865" s="22"/>
      <c r="L865" s="33" t="str">
        <f aca="false">IF($B865="","",IF(NOT(ISNUMBER($B865)),"日期格式不对",IF($C865="","未选项目编号",IF(LEFT($M865,1)="⚠","项目编号不存在",IF($D865="","未选业务类型",IF($E865="","未选开票/付款方",IF(ISNA(MATCH($E865,单位档案!$A$6:$A$35,0)),"开票方不在单位档案",IF($F865="","未选收票/收款方",IF(ISNA(MATCH($F865,单位档案!$A$6:$A$35,0)),"收款方不在单位档案",IF(NOT(ISNUMBER($H865)),"金额须为数字",IF(AND($D865="销项开票",$N865="—"),"链条待确认","√")))))))))))</f>
        <v/>
      </c>
      <c r="M865" s="34" t="str">
        <f aca="false">IF($C865="","",IFERROR(INDEX(项目档案!$B$6:$B$255,MATCH($C865,项目档案!$A$6:$A$255,0)),"⚠项目编号不存在"))</f>
        <v/>
      </c>
      <c r="N865" s="35" t="str">
        <f aca="false">IF($E865="","",IF($E865=IFERROR(INDEX(项目档案!$D$6:$D$255,MATCH($C865,项目档案!$A$6:$A$255,0)),""),"一级",IF($E865=IFERROR(INDEX(项目档案!$F$6:$F$255,MATCH($C865,项目档案!$A$6:$A$255,0)),""),"二级",IF($E865=IFERROR(INDEX(项目档案!$H$6:$H$255,MATCH($C865,项目档案!$A$6:$A$255,0)),""),"我方","—"))))</f>
        <v/>
      </c>
      <c r="O865" s="36" t="n">
        <f aca="false">IF($D865&lt;&gt;"销项开票",0,ROUND(N($H865)*N($I865),2))</f>
        <v>0</v>
      </c>
      <c r="P865" s="36" t="n">
        <f aca="false">IF($D865&lt;&gt;"销项开票",0,ROUND(N($H865)-$O865,2))</f>
        <v>0</v>
      </c>
      <c r="Q865" s="37" t="str">
        <f aca="false">IF($E865="","",N(IFERROR(INDEX(单位档案!$E$6:$E$35,MATCH($E865,单位档案!$A$6:$A$35,0)),"")))</f>
        <v/>
      </c>
      <c r="R865" s="37" t="str">
        <f aca="false">IF($E865="","",N(IFERROR(INDEX(单位档案!$F$6:$F$35,MATCH($E865,单位档案!$A$6:$A$35,0)),"")))</f>
        <v/>
      </c>
      <c r="S865" s="36" t="n">
        <f aca="false">IF(OR($D865&lt;&gt;"销项开票",IFERROR(INDEX(单位档案!$G$6:$G$35,MATCH($E865,单位档案!$A$6:$A$35,0)),"")&lt;&gt;"是",N($Q865)=0),0,IF(IFERROR(INDEX(单位档案!$H$6:$H$35,MATCH($E865,单位档案!$A$6:$A$35,0)),"")="税差法",ROUND(N($H865)/(1+$Q865)*$Q865-IF(N($R865)=0,0,$P865/(1+$R865)*$R865),2),ROUND(N($H865)/(1+$Q865)*$Q865,2)))</f>
        <v>0</v>
      </c>
      <c r="T865" s="36" t="n">
        <f aca="false">ROUND($S865*N(IFERROR(INDEX(单位档案!$J$6:$J$35,MATCH($E865,单位档案!$A$6:$A$35,0)),"")),2)</f>
        <v>0</v>
      </c>
      <c r="U865" s="36" t="n">
        <f aca="false">IF($D865&lt;&gt;"销项开票",0,ROUND(N($H865)*N(IFERROR(INDEX(单位档案!$K$6:$K$35,MATCH($E865,单位档案!$A$6:$A$35,0)),"")),2))</f>
        <v>0</v>
      </c>
      <c r="V865" s="36" t="n">
        <f aca="false">IF(OR($D865&lt;&gt;"销项开票",N($Q865)=0),0,ROUND(N($H865)/(1+$Q865)*N(IFERROR(INDEX(单位档案!$L$6:$L$35,MATCH($E865,单位档案!$A$6:$A$35,0)),"")),2))</f>
        <v>0</v>
      </c>
      <c r="W865" s="36" t="n">
        <f aca="false">ROUND($S865+$T865+$U865+$V865,2)</f>
        <v>0</v>
      </c>
      <c r="X865" s="35" t="str">
        <f aca="false">IF(OR($D865="挂靠代收",$D865="我方收款"),COUNTIFS($D$5:$D865,"挂靠代收")+COUNTIFS($D$5:$D865,"我方收款"),"")</f>
        <v/>
      </c>
      <c r="Y865" s="35"/>
      <c r="Z865" s="21" t="s">
        <v>111</v>
      </c>
    </row>
    <row r="866" customFormat="false" ht="15.75" hidden="false" customHeight="true" outlineLevel="0" collapsed="false">
      <c r="A866" s="32" t="str">
        <f aca="false">IF($B866="","",ROW()-4)</f>
        <v/>
      </c>
      <c r="B866" s="26"/>
      <c r="C866" s="24"/>
      <c r="D866" s="21"/>
      <c r="E866" s="21"/>
      <c r="F866" s="21"/>
      <c r="G866" s="21"/>
      <c r="H866" s="27"/>
      <c r="I866" s="23" t="str">
        <f aca="false">IF($D866&lt;&gt;"销项开票","",IF($N866="一级",IF(IFERROR(INDEX(项目档案!$E$6:$E$255,MATCH($C866,项目档案!$A$6:$A$255,0)),"")="",N(IFERROR(INDEX(单位档案!$D$6:$D$35,MATCH($E866,单位档案!$A$6:$A$35,0)),"")),IFERROR(INDEX(项目档案!$E$6:$E$255,MATCH($C866,项目档案!$A$6:$A$255,0)),"")),IF($N866="二级",IF(IFERROR(INDEX(项目档案!$G$6:$G$255,MATCH($C866,项目档案!$A$6:$A$255,0)),"")="",N(IFERROR(INDEX(单位档案!$D$6:$D$35,MATCH($E866,单位档案!$A$6:$A$35,0)),"")),IFERROR(INDEX(项目档案!$G$6:$G$255,MATCH($C866,项目档案!$A$6:$A$255,0)),"")),N(IFERROR(INDEX(单位档案!$D$6:$D$35,MATCH($E866,单位档案!$A$6:$A$35,0)),"")))))</f>
        <v/>
      </c>
      <c r="J866" s="22"/>
      <c r="K866" s="22"/>
      <c r="L866" s="33" t="str">
        <f aca="false">IF($B866="","",IF(NOT(ISNUMBER($B866)),"日期格式不对",IF($C866="","未选项目编号",IF(LEFT($M866,1)="⚠","项目编号不存在",IF($D866="","未选业务类型",IF($E866="","未选开票/付款方",IF(ISNA(MATCH($E866,单位档案!$A$6:$A$35,0)),"开票方不在单位档案",IF($F866="","未选收票/收款方",IF(ISNA(MATCH($F866,单位档案!$A$6:$A$35,0)),"收款方不在单位档案",IF(NOT(ISNUMBER($H866)),"金额须为数字",IF(AND($D866="销项开票",$N866="—"),"链条待确认","√")))))))))))</f>
        <v/>
      </c>
      <c r="M866" s="34" t="str">
        <f aca="false">IF($C866="","",IFERROR(INDEX(项目档案!$B$6:$B$255,MATCH($C866,项目档案!$A$6:$A$255,0)),"⚠项目编号不存在"))</f>
        <v/>
      </c>
      <c r="N866" s="35" t="str">
        <f aca="false">IF($E866="","",IF($E866=IFERROR(INDEX(项目档案!$D$6:$D$255,MATCH($C866,项目档案!$A$6:$A$255,0)),""),"一级",IF($E866=IFERROR(INDEX(项目档案!$F$6:$F$255,MATCH($C866,项目档案!$A$6:$A$255,0)),""),"二级",IF($E866=IFERROR(INDEX(项目档案!$H$6:$H$255,MATCH($C866,项目档案!$A$6:$A$255,0)),""),"我方","—"))))</f>
        <v/>
      </c>
      <c r="O866" s="36" t="n">
        <f aca="false">IF($D866&lt;&gt;"销项开票",0,ROUND(N($H866)*N($I866),2))</f>
        <v>0</v>
      </c>
      <c r="P866" s="36" t="n">
        <f aca="false">IF($D866&lt;&gt;"销项开票",0,ROUND(N($H866)-$O866,2))</f>
        <v>0</v>
      </c>
      <c r="Q866" s="37" t="str">
        <f aca="false">IF($E866="","",N(IFERROR(INDEX(单位档案!$E$6:$E$35,MATCH($E866,单位档案!$A$6:$A$35,0)),"")))</f>
        <v/>
      </c>
      <c r="R866" s="37" t="str">
        <f aca="false">IF($E866="","",N(IFERROR(INDEX(单位档案!$F$6:$F$35,MATCH($E866,单位档案!$A$6:$A$35,0)),"")))</f>
        <v/>
      </c>
      <c r="S866" s="36" t="n">
        <f aca="false">IF(OR($D866&lt;&gt;"销项开票",IFERROR(INDEX(单位档案!$G$6:$G$35,MATCH($E866,单位档案!$A$6:$A$35,0)),"")&lt;&gt;"是",N($Q866)=0),0,IF(IFERROR(INDEX(单位档案!$H$6:$H$35,MATCH($E866,单位档案!$A$6:$A$35,0)),"")="税差法",ROUND(N($H866)/(1+$Q866)*$Q866-IF(N($R866)=0,0,$P866/(1+$R866)*$R866),2),ROUND(N($H866)/(1+$Q866)*$Q866,2)))</f>
        <v>0</v>
      </c>
      <c r="T866" s="36" t="n">
        <f aca="false">ROUND($S866*N(IFERROR(INDEX(单位档案!$J$6:$J$35,MATCH($E866,单位档案!$A$6:$A$35,0)),"")),2)</f>
        <v>0</v>
      </c>
      <c r="U866" s="36" t="n">
        <f aca="false">IF($D866&lt;&gt;"销项开票",0,ROUND(N($H866)*N(IFERROR(INDEX(单位档案!$K$6:$K$35,MATCH($E866,单位档案!$A$6:$A$35,0)),"")),2))</f>
        <v>0</v>
      </c>
      <c r="V866" s="36" t="n">
        <f aca="false">IF(OR($D866&lt;&gt;"销项开票",N($Q866)=0),0,ROUND(N($H866)/(1+$Q866)*N(IFERROR(INDEX(单位档案!$L$6:$L$35,MATCH($E866,单位档案!$A$6:$A$35,0)),"")),2))</f>
        <v>0</v>
      </c>
      <c r="W866" s="36" t="n">
        <f aca="false">ROUND($S866+$T866+$U866+$V866,2)</f>
        <v>0</v>
      </c>
      <c r="X866" s="35" t="str">
        <f aca="false">IF(OR($D866="挂靠代收",$D866="我方收款"),COUNTIFS($D$5:$D866,"挂靠代收")+COUNTIFS($D$5:$D866,"我方收款"),"")</f>
        <v/>
      </c>
      <c r="Y866" s="35"/>
      <c r="Z866" s="21" t="s">
        <v>111</v>
      </c>
    </row>
    <row r="867" customFormat="false" ht="15.75" hidden="false" customHeight="true" outlineLevel="0" collapsed="false">
      <c r="A867" s="32" t="str">
        <f aca="false">IF($B867="","",ROW()-4)</f>
        <v/>
      </c>
      <c r="B867" s="26"/>
      <c r="C867" s="24"/>
      <c r="D867" s="21"/>
      <c r="E867" s="21"/>
      <c r="F867" s="21"/>
      <c r="G867" s="21"/>
      <c r="H867" s="27"/>
      <c r="I867" s="23" t="str">
        <f aca="false">IF($D867&lt;&gt;"销项开票","",IF($N867="一级",IF(IFERROR(INDEX(项目档案!$E$6:$E$255,MATCH($C867,项目档案!$A$6:$A$255,0)),"")="",N(IFERROR(INDEX(单位档案!$D$6:$D$35,MATCH($E867,单位档案!$A$6:$A$35,0)),"")),IFERROR(INDEX(项目档案!$E$6:$E$255,MATCH($C867,项目档案!$A$6:$A$255,0)),"")),IF($N867="二级",IF(IFERROR(INDEX(项目档案!$G$6:$G$255,MATCH($C867,项目档案!$A$6:$A$255,0)),"")="",N(IFERROR(INDEX(单位档案!$D$6:$D$35,MATCH($E867,单位档案!$A$6:$A$35,0)),"")),IFERROR(INDEX(项目档案!$G$6:$G$255,MATCH($C867,项目档案!$A$6:$A$255,0)),"")),N(IFERROR(INDEX(单位档案!$D$6:$D$35,MATCH($E867,单位档案!$A$6:$A$35,0)),"")))))</f>
        <v/>
      </c>
      <c r="J867" s="22"/>
      <c r="K867" s="22"/>
      <c r="L867" s="33" t="str">
        <f aca="false">IF($B867="","",IF(NOT(ISNUMBER($B867)),"日期格式不对",IF($C867="","未选项目编号",IF(LEFT($M867,1)="⚠","项目编号不存在",IF($D867="","未选业务类型",IF($E867="","未选开票/付款方",IF(ISNA(MATCH($E867,单位档案!$A$6:$A$35,0)),"开票方不在单位档案",IF($F867="","未选收票/收款方",IF(ISNA(MATCH($F867,单位档案!$A$6:$A$35,0)),"收款方不在单位档案",IF(NOT(ISNUMBER($H867)),"金额须为数字",IF(AND($D867="销项开票",$N867="—"),"链条待确认","√")))))))))))</f>
        <v/>
      </c>
      <c r="M867" s="34" t="str">
        <f aca="false">IF($C867="","",IFERROR(INDEX(项目档案!$B$6:$B$255,MATCH($C867,项目档案!$A$6:$A$255,0)),"⚠项目编号不存在"))</f>
        <v/>
      </c>
      <c r="N867" s="35" t="str">
        <f aca="false">IF($E867="","",IF($E867=IFERROR(INDEX(项目档案!$D$6:$D$255,MATCH($C867,项目档案!$A$6:$A$255,0)),""),"一级",IF($E867=IFERROR(INDEX(项目档案!$F$6:$F$255,MATCH($C867,项目档案!$A$6:$A$255,0)),""),"二级",IF($E867=IFERROR(INDEX(项目档案!$H$6:$H$255,MATCH($C867,项目档案!$A$6:$A$255,0)),""),"我方","—"))))</f>
        <v/>
      </c>
      <c r="O867" s="36" t="n">
        <f aca="false">IF($D867&lt;&gt;"销项开票",0,ROUND(N($H867)*N($I867),2))</f>
        <v>0</v>
      </c>
      <c r="P867" s="36" t="n">
        <f aca="false">IF($D867&lt;&gt;"销项开票",0,ROUND(N($H867)-$O867,2))</f>
        <v>0</v>
      </c>
      <c r="Q867" s="37" t="str">
        <f aca="false">IF($E867="","",N(IFERROR(INDEX(单位档案!$E$6:$E$35,MATCH($E867,单位档案!$A$6:$A$35,0)),"")))</f>
        <v/>
      </c>
      <c r="R867" s="37" t="str">
        <f aca="false">IF($E867="","",N(IFERROR(INDEX(单位档案!$F$6:$F$35,MATCH($E867,单位档案!$A$6:$A$35,0)),"")))</f>
        <v/>
      </c>
      <c r="S867" s="36" t="n">
        <f aca="false">IF(OR($D867&lt;&gt;"销项开票",IFERROR(INDEX(单位档案!$G$6:$G$35,MATCH($E867,单位档案!$A$6:$A$35,0)),"")&lt;&gt;"是",N($Q867)=0),0,IF(IFERROR(INDEX(单位档案!$H$6:$H$35,MATCH($E867,单位档案!$A$6:$A$35,0)),"")="税差法",ROUND(N($H867)/(1+$Q867)*$Q867-IF(N($R867)=0,0,$P867/(1+$R867)*$R867),2),ROUND(N($H867)/(1+$Q867)*$Q867,2)))</f>
        <v>0</v>
      </c>
      <c r="T867" s="36" t="n">
        <f aca="false">ROUND($S867*N(IFERROR(INDEX(单位档案!$J$6:$J$35,MATCH($E867,单位档案!$A$6:$A$35,0)),"")),2)</f>
        <v>0</v>
      </c>
      <c r="U867" s="36" t="n">
        <f aca="false">IF($D867&lt;&gt;"销项开票",0,ROUND(N($H867)*N(IFERROR(INDEX(单位档案!$K$6:$K$35,MATCH($E867,单位档案!$A$6:$A$35,0)),"")),2))</f>
        <v>0</v>
      </c>
      <c r="V867" s="36" t="n">
        <f aca="false">IF(OR($D867&lt;&gt;"销项开票",N($Q867)=0),0,ROUND(N($H867)/(1+$Q867)*N(IFERROR(INDEX(单位档案!$L$6:$L$35,MATCH($E867,单位档案!$A$6:$A$35,0)),"")),2))</f>
        <v>0</v>
      </c>
      <c r="W867" s="36" t="n">
        <f aca="false">ROUND($S867+$T867+$U867+$V867,2)</f>
        <v>0</v>
      </c>
      <c r="X867" s="35" t="str">
        <f aca="false">IF(OR($D867="挂靠代收",$D867="我方收款"),COUNTIFS($D$5:$D867,"挂靠代收")+COUNTIFS($D$5:$D867,"我方收款"),"")</f>
        <v/>
      </c>
      <c r="Y867" s="35"/>
      <c r="Z867" s="21" t="s">
        <v>111</v>
      </c>
    </row>
    <row r="868" customFormat="false" ht="15.75" hidden="false" customHeight="true" outlineLevel="0" collapsed="false">
      <c r="A868" s="32" t="str">
        <f aca="false">IF($B868="","",ROW()-4)</f>
        <v/>
      </c>
      <c r="B868" s="26"/>
      <c r="C868" s="24"/>
      <c r="D868" s="21"/>
      <c r="E868" s="21"/>
      <c r="F868" s="21"/>
      <c r="G868" s="21"/>
      <c r="H868" s="27"/>
      <c r="I868" s="23" t="str">
        <f aca="false">IF($D868&lt;&gt;"销项开票","",IF($N868="一级",IF(IFERROR(INDEX(项目档案!$E$6:$E$255,MATCH($C868,项目档案!$A$6:$A$255,0)),"")="",N(IFERROR(INDEX(单位档案!$D$6:$D$35,MATCH($E868,单位档案!$A$6:$A$35,0)),"")),IFERROR(INDEX(项目档案!$E$6:$E$255,MATCH($C868,项目档案!$A$6:$A$255,0)),"")),IF($N868="二级",IF(IFERROR(INDEX(项目档案!$G$6:$G$255,MATCH($C868,项目档案!$A$6:$A$255,0)),"")="",N(IFERROR(INDEX(单位档案!$D$6:$D$35,MATCH($E868,单位档案!$A$6:$A$35,0)),"")),IFERROR(INDEX(项目档案!$G$6:$G$255,MATCH($C868,项目档案!$A$6:$A$255,0)),"")),N(IFERROR(INDEX(单位档案!$D$6:$D$35,MATCH($E868,单位档案!$A$6:$A$35,0)),"")))))</f>
        <v/>
      </c>
      <c r="J868" s="22"/>
      <c r="K868" s="22"/>
      <c r="L868" s="33" t="str">
        <f aca="false">IF($B868="","",IF(NOT(ISNUMBER($B868)),"日期格式不对",IF($C868="","未选项目编号",IF(LEFT($M868,1)="⚠","项目编号不存在",IF($D868="","未选业务类型",IF($E868="","未选开票/付款方",IF(ISNA(MATCH($E868,单位档案!$A$6:$A$35,0)),"开票方不在单位档案",IF($F868="","未选收票/收款方",IF(ISNA(MATCH($F868,单位档案!$A$6:$A$35,0)),"收款方不在单位档案",IF(NOT(ISNUMBER($H868)),"金额须为数字",IF(AND($D868="销项开票",$N868="—"),"链条待确认","√")))))))))))</f>
        <v/>
      </c>
      <c r="M868" s="34" t="str">
        <f aca="false">IF($C868="","",IFERROR(INDEX(项目档案!$B$6:$B$255,MATCH($C868,项目档案!$A$6:$A$255,0)),"⚠项目编号不存在"))</f>
        <v/>
      </c>
      <c r="N868" s="35" t="str">
        <f aca="false">IF($E868="","",IF($E868=IFERROR(INDEX(项目档案!$D$6:$D$255,MATCH($C868,项目档案!$A$6:$A$255,0)),""),"一级",IF($E868=IFERROR(INDEX(项目档案!$F$6:$F$255,MATCH($C868,项目档案!$A$6:$A$255,0)),""),"二级",IF($E868=IFERROR(INDEX(项目档案!$H$6:$H$255,MATCH($C868,项目档案!$A$6:$A$255,0)),""),"我方","—"))))</f>
        <v/>
      </c>
      <c r="O868" s="36" t="n">
        <f aca="false">IF($D868&lt;&gt;"销项开票",0,ROUND(N($H868)*N($I868),2))</f>
        <v>0</v>
      </c>
      <c r="P868" s="36" t="n">
        <f aca="false">IF($D868&lt;&gt;"销项开票",0,ROUND(N($H868)-$O868,2))</f>
        <v>0</v>
      </c>
      <c r="Q868" s="37" t="str">
        <f aca="false">IF($E868="","",N(IFERROR(INDEX(单位档案!$E$6:$E$35,MATCH($E868,单位档案!$A$6:$A$35,0)),"")))</f>
        <v/>
      </c>
      <c r="R868" s="37" t="str">
        <f aca="false">IF($E868="","",N(IFERROR(INDEX(单位档案!$F$6:$F$35,MATCH($E868,单位档案!$A$6:$A$35,0)),"")))</f>
        <v/>
      </c>
      <c r="S868" s="36" t="n">
        <f aca="false">IF(OR($D868&lt;&gt;"销项开票",IFERROR(INDEX(单位档案!$G$6:$G$35,MATCH($E868,单位档案!$A$6:$A$35,0)),"")&lt;&gt;"是",N($Q868)=0),0,IF(IFERROR(INDEX(单位档案!$H$6:$H$35,MATCH($E868,单位档案!$A$6:$A$35,0)),"")="税差法",ROUND(N($H868)/(1+$Q868)*$Q868-IF(N($R868)=0,0,$P868/(1+$R868)*$R868),2),ROUND(N($H868)/(1+$Q868)*$Q868,2)))</f>
        <v>0</v>
      </c>
      <c r="T868" s="36" t="n">
        <f aca="false">ROUND($S868*N(IFERROR(INDEX(单位档案!$J$6:$J$35,MATCH($E868,单位档案!$A$6:$A$35,0)),"")),2)</f>
        <v>0</v>
      </c>
      <c r="U868" s="36" t="n">
        <f aca="false">IF($D868&lt;&gt;"销项开票",0,ROUND(N($H868)*N(IFERROR(INDEX(单位档案!$K$6:$K$35,MATCH($E868,单位档案!$A$6:$A$35,0)),"")),2))</f>
        <v>0</v>
      </c>
      <c r="V868" s="36" t="n">
        <f aca="false">IF(OR($D868&lt;&gt;"销项开票",N($Q868)=0),0,ROUND(N($H868)/(1+$Q868)*N(IFERROR(INDEX(单位档案!$L$6:$L$35,MATCH($E868,单位档案!$A$6:$A$35,0)),"")),2))</f>
        <v>0</v>
      </c>
      <c r="W868" s="36" t="n">
        <f aca="false">ROUND($S868+$T868+$U868+$V868,2)</f>
        <v>0</v>
      </c>
      <c r="X868" s="35" t="str">
        <f aca="false">IF(OR($D868="挂靠代收",$D868="我方收款"),COUNTIFS($D$5:$D868,"挂靠代收")+COUNTIFS($D$5:$D868,"我方收款"),"")</f>
        <v/>
      </c>
      <c r="Y868" s="35"/>
      <c r="Z868" s="21" t="s">
        <v>111</v>
      </c>
    </row>
    <row r="869" customFormat="false" ht="15.75" hidden="false" customHeight="true" outlineLevel="0" collapsed="false">
      <c r="A869" s="32" t="str">
        <f aca="false">IF($B869="","",ROW()-4)</f>
        <v/>
      </c>
      <c r="B869" s="26"/>
      <c r="C869" s="24"/>
      <c r="D869" s="21"/>
      <c r="E869" s="21"/>
      <c r="F869" s="21"/>
      <c r="G869" s="21"/>
      <c r="H869" s="27"/>
      <c r="I869" s="23" t="str">
        <f aca="false">IF($D869&lt;&gt;"销项开票","",IF($N869="一级",IF(IFERROR(INDEX(项目档案!$E$6:$E$255,MATCH($C869,项目档案!$A$6:$A$255,0)),"")="",N(IFERROR(INDEX(单位档案!$D$6:$D$35,MATCH($E869,单位档案!$A$6:$A$35,0)),"")),IFERROR(INDEX(项目档案!$E$6:$E$255,MATCH($C869,项目档案!$A$6:$A$255,0)),"")),IF($N869="二级",IF(IFERROR(INDEX(项目档案!$G$6:$G$255,MATCH($C869,项目档案!$A$6:$A$255,0)),"")="",N(IFERROR(INDEX(单位档案!$D$6:$D$35,MATCH($E869,单位档案!$A$6:$A$35,0)),"")),IFERROR(INDEX(项目档案!$G$6:$G$255,MATCH($C869,项目档案!$A$6:$A$255,0)),"")),N(IFERROR(INDEX(单位档案!$D$6:$D$35,MATCH($E869,单位档案!$A$6:$A$35,0)),"")))))</f>
        <v/>
      </c>
      <c r="J869" s="22"/>
      <c r="K869" s="22"/>
      <c r="L869" s="33" t="str">
        <f aca="false">IF($B869="","",IF(NOT(ISNUMBER($B869)),"日期格式不对",IF($C869="","未选项目编号",IF(LEFT($M869,1)="⚠","项目编号不存在",IF($D869="","未选业务类型",IF($E869="","未选开票/付款方",IF(ISNA(MATCH($E869,单位档案!$A$6:$A$35,0)),"开票方不在单位档案",IF($F869="","未选收票/收款方",IF(ISNA(MATCH($F869,单位档案!$A$6:$A$35,0)),"收款方不在单位档案",IF(NOT(ISNUMBER($H869)),"金额须为数字",IF(AND($D869="销项开票",$N869="—"),"链条待确认","√")))))))))))</f>
        <v/>
      </c>
      <c r="M869" s="34" t="str">
        <f aca="false">IF($C869="","",IFERROR(INDEX(项目档案!$B$6:$B$255,MATCH($C869,项目档案!$A$6:$A$255,0)),"⚠项目编号不存在"))</f>
        <v/>
      </c>
      <c r="N869" s="35" t="str">
        <f aca="false">IF($E869="","",IF($E869=IFERROR(INDEX(项目档案!$D$6:$D$255,MATCH($C869,项目档案!$A$6:$A$255,0)),""),"一级",IF($E869=IFERROR(INDEX(项目档案!$F$6:$F$255,MATCH($C869,项目档案!$A$6:$A$255,0)),""),"二级",IF($E869=IFERROR(INDEX(项目档案!$H$6:$H$255,MATCH($C869,项目档案!$A$6:$A$255,0)),""),"我方","—"))))</f>
        <v/>
      </c>
      <c r="O869" s="36" t="n">
        <f aca="false">IF($D869&lt;&gt;"销项开票",0,ROUND(N($H869)*N($I869),2))</f>
        <v>0</v>
      </c>
      <c r="P869" s="36" t="n">
        <f aca="false">IF($D869&lt;&gt;"销项开票",0,ROUND(N($H869)-$O869,2))</f>
        <v>0</v>
      </c>
      <c r="Q869" s="37" t="str">
        <f aca="false">IF($E869="","",N(IFERROR(INDEX(单位档案!$E$6:$E$35,MATCH($E869,单位档案!$A$6:$A$35,0)),"")))</f>
        <v/>
      </c>
      <c r="R869" s="37" t="str">
        <f aca="false">IF($E869="","",N(IFERROR(INDEX(单位档案!$F$6:$F$35,MATCH($E869,单位档案!$A$6:$A$35,0)),"")))</f>
        <v/>
      </c>
      <c r="S869" s="36" t="n">
        <f aca="false">IF(OR($D869&lt;&gt;"销项开票",IFERROR(INDEX(单位档案!$G$6:$G$35,MATCH($E869,单位档案!$A$6:$A$35,0)),"")&lt;&gt;"是",N($Q869)=0),0,IF(IFERROR(INDEX(单位档案!$H$6:$H$35,MATCH($E869,单位档案!$A$6:$A$35,0)),"")="税差法",ROUND(N($H869)/(1+$Q869)*$Q869-IF(N($R869)=0,0,$P869/(1+$R869)*$R869),2),ROUND(N($H869)/(1+$Q869)*$Q869,2)))</f>
        <v>0</v>
      </c>
      <c r="T869" s="36" t="n">
        <f aca="false">ROUND($S869*N(IFERROR(INDEX(单位档案!$J$6:$J$35,MATCH($E869,单位档案!$A$6:$A$35,0)),"")),2)</f>
        <v>0</v>
      </c>
      <c r="U869" s="36" t="n">
        <f aca="false">IF($D869&lt;&gt;"销项开票",0,ROUND(N($H869)*N(IFERROR(INDEX(单位档案!$K$6:$K$35,MATCH($E869,单位档案!$A$6:$A$35,0)),"")),2))</f>
        <v>0</v>
      </c>
      <c r="V869" s="36" t="n">
        <f aca="false">IF(OR($D869&lt;&gt;"销项开票",N($Q869)=0),0,ROUND(N($H869)/(1+$Q869)*N(IFERROR(INDEX(单位档案!$L$6:$L$35,MATCH($E869,单位档案!$A$6:$A$35,0)),"")),2))</f>
        <v>0</v>
      </c>
      <c r="W869" s="36" t="n">
        <f aca="false">ROUND($S869+$T869+$U869+$V869,2)</f>
        <v>0</v>
      </c>
      <c r="X869" s="35" t="str">
        <f aca="false">IF(OR($D869="挂靠代收",$D869="我方收款"),COUNTIFS($D$5:$D869,"挂靠代收")+COUNTIFS($D$5:$D869,"我方收款"),"")</f>
        <v/>
      </c>
      <c r="Y869" s="35"/>
      <c r="Z869" s="21" t="s">
        <v>111</v>
      </c>
    </row>
    <row r="870" customFormat="false" ht="15.75" hidden="false" customHeight="true" outlineLevel="0" collapsed="false">
      <c r="A870" s="32" t="str">
        <f aca="false">IF($B870="","",ROW()-4)</f>
        <v/>
      </c>
      <c r="B870" s="26"/>
      <c r="C870" s="24"/>
      <c r="D870" s="21"/>
      <c r="E870" s="21"/>
      <c r="F870" s="21"/>
      <c r="G870" s="21"/>
      <c r="H870" s="27"/>
      <c r="I870" s="23" t="str">
        <f aca="false">IF($D870&lt;&gt;"销项开票","",IF($N870="一级",IF(IFERROR(INDEX(项目档案!$E$6:$E$255,MATCH($C870,项目档案!$A$6:$A$255,0)),"")="",N(IFERROR(INDEX(单位档案!$D$6:$D$35,MATCH($E870,单位档案!$A$6:$A$35,0)),"")),IFERROR(INDEX(项目档案!$E$6:$E$255,MATCH($C870,项目档案!$A$6:$A$255,0)),"")),IF($N870="二级",IF(IFERROR(INDEX(项目档案!$G$6:$G$255,MATCH($C870,项目档案!$A$6:$A$255,0)),"")="",N(IFERROR(INDEX(单位档案!$D$6:$D$35,MATCH($E870,单位档案!$A$6:$A$35,0)),"")),IFERROR(INDEX(项目档案!$G$6:$G$255,MATCH($C870,项目档案!$A$6:$A$255,0)),"")),N(IFERROR(INDEX(单位档案!$D$6:$D$35,MATCH($E870,单位档案!$A$6:$A$35,0)),"")))))</f>
        <v/>
      </c>
      <c r="J870" s="22"/>
      <c r="K870" s="22"/>
      <c r="L870" s="33" t="str">
        <f aca="false">IF($B870="","",IF(NOT(ISNUMBER($B870)),"日期格式不对",IF($C870="","未选项目编号",IF(LEFT($M870,1)="⚠","项目编号不存在",IF($D870="","未选业务类型",IF($E870="","未选开票/付款方",IF(ISNA(MATCH($E870,单位档案!$A$6:$A$35,0)),"开票方不在单位档案",IF($F870="","未选收票/收款方",IF(ISNA(MATCH($F870,单位档案!$A$6:$A$35,0)),"收款方不在单位档案",IF(NOT(ISNUMBER($H870)),"金额须为数字",IF(AND($D870="销项开票",$N870="—"),"链条待确认","√")))))))))))</f>
        <v/>
      </c>
      <c r="M870" s="34" t="str">
        <f aca="false">IF($C870="","",IFERROR(INDEX(项目档案!$B$6:$B$255,MATCH($C870,项目档案!$A$6:$A$255,0)),"⚠项目编号不存在"))</f>
        <v/>
      </c>
      <c r="N870" s="35" t="str">
        <f aca="false">IF($E870="","",IF($E870=IFERROR(INDEX(项目档案!$D$6:$D$255,MATCH($C870,项目档案!$A$6:$A$255,0)),""),"一级",IF($E870=IFERROR(INDEX(项目档案!$F$6:$F$255,MATCH($C870,项目档案!$A$6:$A$255,0)),""),"二级",IF($E870=IFERROR(INDEX(项目档案!$H$6:$H$255,MATCH($C870,项目档案!$A$6:$A$255,0)),""),"我方","—"))))</f>
        <v/>
      </c>
      <c r="O870" s="36" t="n">
        <f aca="false">IF($D870&lt;&gt;"销项开票",0,ROUND(N($H870)*N($I870),2))</f>
        <v>0</v>
      </c>
      <c r="P870" s="36" t="n">
        <f aca="false">IF($D870&lt;&gt;"销项开票",0,ROUND(N($H870)-$O870,2))</f>
        <v>0</v>
      </c>
      <c r="Q870" s="37" t="str">
        <f aca="false">IF($E870="","",N(IFERROR(INDEX(单位档案!$E$6:$E$35,MATCH($E870,单位档案!$A$6:$A$35,0)),"")))</f>
        <v/>
      </c>
      <c r="R870" s="37" t="str">
        <f aca="false">IF($E870="","",N(IFERROR(INDEX(单位档案!$F$6:$F$35,MATCH($E870,单位档案!$A$6:$A$35,0)),"")))</f>
        <v/>
      </c>
      <c r="S870" s="36" t="n">
        <f aca="false">IF(OR($D870&lt;&gt;"销项开票",IFERROR(INDEX(单位档案!$G$6:$G$35,MATCH($E870,单位档案!$A$6:$A$35,0)),"")&lt;&gt;"是",N($Q870)=0),0,IF(IFERROR(INDEX(单位档案!$H$6:$H$35,MATCH($E870,单位档案!$A$6:$A$35,0)),"")="税差法",ROUND(N($H870)/(1+$Q870)*$Q870-IF(N($R870)=0,0,$P870/(1+$R870)*$R870),2),ROUND(N($H870)/(1+$Q870)*$Q870,2)))</f>
        <v>0</v>
      </c>
      <c r="T870" s="36" t="n">
        <f aca="false">ROUND($S870*N(IFERROR(INDEX(单位档案!$J$6:$J$35,MATCH($E870,单位档案!$A$6:$A$35,0)),"")),2)</f>
        <v>0</v>
      </c>
      <c r="U870" s="36" t="n">
        <f aca="false">IF($D870&lt;&gt;"销项开票",0,ROUND(N($H870)*N(IFERROR(INDEX(单位档案!$K$6:$K$35,MATCH($E870,单位档案!$A$6:$A$35,0)),"")),2))</f>
        <v>0</v>
      </c>
      <c r="V870" s="36" t="n">
        <f aca="false">IF(OR($D870&lt;&gt;"销项开票",N($Q870)=0),0,ROUND(N($H870)/(1+$Q870)*N(IFERROR(INDEX(单位档案!$L$6:$L$35,MATCH($E870,单位档案!$A$6:$A$35,0)),"")),2))</f>
        <v>0</v>
      </c>
      <c r="W870" s="36" t="n">
        <f aca="false">ROUND($S870+$T870+$U870+$V870,2)</f>
        <v>0</v>
      </c>
      <c r="X870" s="35" t="str">
        <f aca="false">IF(OR($D870="挂靠代收",$D870="我方收款"),COUNTIFS($D$5:$D870,"挂靠代收")+COUNTIFS($D$5:$D870,"我方收款"),"")</f>
        <v/>
      </c>
      <c r="Y870" s="35"/>
      <c r="Z870" s="21" t="s">
        <v>111</v>
      </c>
    </row>
    <row r="871" customFormat="false" ht="15.75" hidden="false" customHeight="true" outlineLevel="0" collapsed="false">
      <c r="A871" s="32" t="str">
        <f aca="false">IF($B871="","",ROW()-4)</f>
        <v/>
      </c>
      <c r="B871" s="26"/>
      <c r="C871" s="24"/>
      <c r="D871" s="21"/>
      <c r="E871" s="21"/>
      <c r="F871" s="21"/>
      <c r="G871" s="21"/>
      <c r="H871" s="27"/>
      <c r="I871" s="23" t="str">
        <f aca="false">IF($D871&lt;&gt;"销项开票","",IF($N871="一级",IF(IFERROR(INDEX(项目档案!$E$6:$E$255,MATCH($C871,项目档案!$A$6:$A$255,0)),"")="",N(IFERROR(INDEX(单位档案!$D$6:$D$35,MATCH($E871,单位档案!$A$6:$A$35,0)),"")),IFERROR(INDEX(项目档案!$E$6:$E$255,MATCH($C871,项目档案!$A$6:$A$255,0)),"")),IF($N871="二级",IF(IFERROR(INDEX(项目档案!$G$6:$G$255,MATCH($C871,项目档案!$A$6:$A$255,0)),"")="",N(IFERROR(INDEX(单位档案!$D$6:$D$35,MATCH($E871,单位档案!$A$6:$A$35,0)),"")),IFERROR(INDEX(项目档案!$G$6:$G$255,MATCH($C871,项目档案!$A$6:$A$255,0)),"")),N(IFERROR(INDEX(单位档案!$D$6:$D$35,MATCH($E871,单位档案!$A$6:$A$35,0)),"")))))</f>
        <v/>
      </c>
      <c r="J871" s="22"/>
      <c r="K871" s="22"/>
      <c r="L871" s="33" t="str">
        <f aca="false">IF($B871="","",IF(NOT(ISNUMBER($B871)),"日期格式不对",IF($C871="","未选项目编号",IF(LEFT($M871,1)="⚠","项目编号不存在",IF($D871="","未选业务类型",IF($E871="","未选开票/付款方",IF(ISNA(MATCH($E871,单位档案!$A$6:$A$35,0)),"开票方不在单位档案",IF($F871="","未选收票/收款方",IF(ISNA(MATCH($F871,单位档案!$A$6:$A$35,0)),"收款方不在单位档案",IF(NOT(ISNUMBER($H871)),"金额须为数字",IF(AND($D871="销项开票",$N871="—"),"链条待确认","√")))))))))))</f>
        <v/>
      </c>
      <c r="M871" s="34" t="str">
        <f aca="false">IF($C871="","",IFERROR(INDEX(项目档案!$B$6:$B$255,MATCH($C871,项目档案!$A$6:$A$255,0)),"⚠项目编号不存在"))</f>
        <v/>
      </c>
      <c r="N871" s="35" t="str">
        <f aca="false">IF($E871="","",IF($E871=IFERROR(INDEX(项目档案!$D$6:$D$255,MATCH($C871,项目档案!$A$6:$A$255,0)),""),"一级",IF($E871=IFERROR(INDEX(项目档案!$F$6:$F$255,MATCH($C871,项目档案!$A$6:$A$255,0)),""),"二级",IF($E871=IFERROR(INDEX(项目档案!$H$6:$H$255,MATCH($C871,项目档案!$A$6:$A$255,0)),""),"我方","—"))))</f>
        <v/>
      </c>
      <c r="O871" s="36" t="n">
        <f aca="false">IF($D871&lt;&gt;"销项开票",0,ROUND(N($H871)*N($I871),2))</f>
        <v>0</v>
      </c>
      <c r="P871" s="36" t="n">
        <f aca="false">IF($D871&lt;&gt;"销项开票",0,ROUND(N($H871)-$O871,2))</f>
        <v>0</v>
      </c>
      <c r="Q871" s="37" t="str">
        <f aca="false">IF($E871="","",N(IFERROR(INDEX(单位档案!$E$6:$E$35,MATCH($E871,单位档案!$A$6:$A$35,0)),"")))</f>
        <v/>
      </c>
      <c r="R871" s="37" t="str">
        <f aca="false">IF($E871="","",N(IFERROR(INDEX(单位档案!$F$6:$F$35,MATCH($E871,单位档案!$A$6:$A$35,0)),"")))</f>
        <v/>
      </c>
      <c r="S871" s="36" t="n">
        <f aca="false">IF(OR($D871&lt;&gt;"销项开票",IFERROR(INDEX(单位档案!$G$6:$G$35,MATCH($E871,单位档案!$A$6:$A$35,0)),"")&lt;&gt;"是",N($Q871)=0),0,IF(IFERROR(INDEX(单位档案!$H$6:$H$35,MATCH($E871,单位档案!$A$6:$A$35,0)),"")="税差法",ROUND(N($H871)/(1+$Q871)*$Q871-IF(N($R871)=0,0,$P871/(1+$R871)*$R871),2),ROUND(N($H871)/(1+$Q871)*$Q871,2)))</f>
        <v>0</v>
      </c>
      <c r="T871" s="36" t="n">
        <f aca="false">ROUND($S871*N(IFERROR(INDEX(单位档案!$J$6:$J$35,MATCH($E871,单位档案!$A$6:$A$35,0)),"")),2)</f>
        <v>0</v>
      </c>
      <c r="U871" s="36" t="n">
        <f aca="false">IF($D871&lt;&gt;"销项开票",0,ROUND(N($H871)*N(IFERROR(INDEX(单位档案!$K$6:$K$35,MATCH($E871,单位档案!$A$6:$A$35,0)),"")),2))</f>
        <v>0</v>
      </c>
      <c r="V871" s="36" t="n">
        <f aca="false">IF(OR($D871&lt;&gt;"销项开票",N($Q871)=0),0,ROUND(N($H871)/(1+$Q871)*N(IFERROR(INDEX(单位档案!$L$6:$L$35,MATCH($E871,单位档案!$A$6:$A$35,0)),"")),2))</f>
        <v>0</v>
      </c>
      <c r="W871" s="36" t="n">
        <f aca="false">ROUND($S871+$T871+$U871+$V871,2)</f>
        <v>0</v>
      </c>
      <c r="X871" s="35" t="str">
        <f aca="false">IF(OR($D871="挂靠代收",$D871="我方收款"),COUNTIFS($D$5:$D871,"挂靠代收")+COUNTIFS($D$5:$D871,"我方收款"),"")</f>
        <v/>
      </c>
      <c r="Y871" s="35"/>
      <c r="Z871" s="21" t="s">
        <v>111</v>
      </c>
    </row>
    <row r="872" customFormat="false" ht="15.75" hidden="false" customHeight="true" outlineLevel="0" collapsed="false">
      <c r="A872" s="32" t="str">
        <f aca="false">IF($B872="","",ROW()-4)</f>
        <v/>
      </c>
      <c r="B872" s="26"/>
      <c r="C872" s="24"/>
      <c r="D872" s="21"/>
      <c r="E872" s="21"/>
      <c r="F872" s="21"/>
      <c r="G872" s="21"/>
      <c r="H872" s="27"/>
      <c r="I872" s="23" t="str">
        <f aca="false">IF($D872&lt;&gt;"销项开票","",IF($N872="一级",IF(IFERROR(INDEX(项目档案!$E$6:$E$255,MATCH($C872,项目档案!$A$6:$A$255,0)),"")="",N(IFERROR(INDEX(单位档案!$D$6:$D$35,MATCH($E872,单位档案!$A$6:$A$35,0)),"")),IFERROR(INDEX(项目档案!$E$6:$E$255,MATCH($C872,项目档案!$A$6:$A$255,0)),"")),IF($N872="二级",IF(IFERROR(INDEX(项目档案!$G$6:$G$255,MATCH($C872,项目档案!$A$6:$A$255,0)),"")="",N(IFERROR(INDEX(单位档案!$D$6:$D$35,MATCH($E872,单位档案!$A$6:$A$35,0)),"")),IFERROR(INDEX(项目档案!$G$6:$G$255,MATCH($C872,项目档案!$A$6:$A$255,0)),"")),N(IFERROR(INDEX(单位档案!$D$6:$D$35,MATCH($E872,单位档案!$A$6:$A$35,0)),"")))))</f>
        <v/>
      </c>
      <c r="J872" s="22"/>
      <c r="K872" s="22"/>
      <c r="L872" s="33" t="str">
        <f aca="false">IF($B872="","",IF(NOT(ISNUMBER($B872)),"日期格式不对",IF($C872="","未选项目编号",IF(LEFT($M872,1)="⚠","项目编号不存在",IF($D872="","未选业务类型",IF($E872="","未选开票/付款方",IF(ISNA(MATCH($E872,单位档案!$A$6:$A$35,0)),"开票方不在单位档案",IF($F872="","未选收票/收款方",IF(ISNA(MATCH($F872,单位档案!$A$6:$A$35,0)),"收款方不在单位档案",IF(NOT(ISNUMBER($H872)),"金额须为数字",IF(AND($D872="销项开票",$N872="—"),"链条待确认","√")))))))))))</f>
        <v/>
      </c>
      <c r="M872" s="34" t="str">
        <f aca="false">IF($C872="","",IFERROR(INDEX(项目档案!$B$6:$B$255,MATCH($C872,项目档案!$A$6:$A$255,0)),"⚠项目编号不存在"))</f>
        <v/>
      </c>
      <c r="N872" s="35" t="str">
        <f aca="false">IF($E872="","",IF($E872=IFERROR(INDEX(项目档案!$D$6:$D$255,MATCH($C872,项目档案!$A$6:$A$255,0)),""),"一级",IF($E872=IFERROR(INDEX(项目档案!$F$6:$F$255,MATCH($C872,项目档案!$A$6:$A$255,0)),""),"二级",IF($E872=IFERROR(INDEX(项目档案!$H$6:$H$255,MATCH($C872,项目档案!$A$6:$A$255,0)),""),"我方","—"))))</f>
        <v/>
      </c>
      <c r="O872" s="36" t="n">
        <f aca="false">IF($D872&lt;&gt;"销项开票",0,ROUND(N($H872)*N($I872),2))</f>
        <v>0</v>
      </c>
      <c r="P872" s="36" t="n">
        <f aca="false">IF($D872&lt;&gt;"销项开票",0,ROUND(N($H872)-$O872,2))</f>
        <v>0</v>
      </c>
      <c r="Q872" s="37" t="str">
        <f aca="false">IF($E872="","",N(IFERROR(INDEX(单位档案!$E$6:$E$35,MATCH($E872,单位档案!$A$6:$A$35,0)),"")))</f>
        <v/>
      </c>
      <c r="R872" s="37" t="str">
        <f aca="false">IF($E872="","",N(IFERROR(INDEX(单位档案!$F$6:$F$35,MATCH($E872,单位档案!$A$6:$A$35,0)),"")))</f>
        <v/>
      </c>
      <c r="S872" s="36" t="n">
        <f aca="false">IF(OR($D872&lt;&gt;"销项开票",IFERROR(INDEX(单位档案!$G$6:$G$35,MATCH($E872,单位档案!$A$6:$A$35,0)),"")&lt;&gt;"是",N($Q872)=0),0,IF(IFERROR(INDEX(单位档案!$H$6:$H$35,MATCH($E872,单位档案!$A$6:$A$35,0)),"")="税差法",ROUND(N($H872)/(1+$Q872)*$Q872-IF(N($R872)=0,0,$P872/(1+$R872)*$R872),2),ROUND(N($H872)/(1+$Q872)*$Q872,2)))</f>
        <v>0</v>
      </c>
      <c r="T872" s="36" t="n">
        <f aca="false">ROUND($S872*N(IFERROR(INDEX(单位档案!$J$6:$J$35,MATCH($E872,单位档案!$A$6:$A$35,0)),"")),2)</f>
        <v>0</v>
      </c>
      <c r="U872" s="36" t="n">
        <f aca="false">IF($D872&lt;&gt;"销项开票",0,ROUND(N($H872)*N(IFERROR(INDEX(单位档案!$K$6:$K$35,MATCH($E872,单位档案!$A$6:$A$35,0)),"")),2))</f>
        <v>0</v>
      </c>
      <c r="V872" s="36" t="n">
        <f aca="false">IF(OR($D872&lt;&gt;"销项开票",N($Q872)=0),0,ROUND(N($H872)/(1+$Q872)*N(IFERROR(INDEX(单位档案!$L$6:$L$35,MATCH($E872,单位档案!$A$6:$A$35,0)),"")),2))</f>
        <v>0</v>
      </c>
      <c r="W872" s="36" t="n">
        <f aca="false">ROUND($S872+$T872+$U872+$V872,2)</f>
        <v>0</v>
      </c>
      <c r="X872" s="35" t="str">
        <f aca="false">IF(OR($D872="挂靠代收",$D872="我方收款"),COUNTIFS($D$5:$D872,"挂靠代收")+COUNTIFS($D$5:$D872,"我方收款"),"")</f>
        <v/>
      </c>
      <c r="Y872" s="35"/>
      <c r="Z872" s="21" t="s">
        <v>111</v>
      </c>
    </row>
    <row r="873" customFormat="false" ht="15.75" hidden="false" customHeight="true" outlineLevel="0" collapsed="false">
      <c r="A873" s="32" t="str">
        <f aca="false">IF($B873="","",ROW()-4)</f>
        <v/>
      </c>
      <c r="B873" s="26"/>
      <c r="C873" s="24"/>
      <c r="D873" s="21"/>
      <c r="E873" s="21"/>
      <c r="F873" s="21"/>
      <c r="G873" s="21"/>
      <c r="H873" s="27"/>
      <c r="I873" s="23" t="str">
        <f aca="false">IF($D873&lt;&gt;"销项开票","",IF($N873="一级",IF(IFERROR(INDEX(项目档案!$E$6:$E$255,MATCH($C873,项目档案!$A$6:$A$255,0)),"")="",N(IFERROR(INDEX(单位档案!$D$6:$D$35,MATCH($E873,单位档案!$A$6:$A$35,0)),"")),IFERROR(INDEX(项目档案!$E$6:$E$255,MATCH($C873,项目档案!$A$6:$A$255,0)),"")),IF($N873="二级",IF(IFERROR(INDEX(项目档案!$G$6:$G$255,MATCH($C873,项目档案!$A$6:$A$255,0)),"")="",N(IFERROR(INDEX(单位档案!$D$6:$D$35,MATCH($E873,单位档案!$A$6:$A$35,0)),"")),IFERROR(INDEX(项目档案!$G$6:$G$255,MATCH($C873,项目档案!$A$6:$A$255,0)),"")),N(IFERROR(INDEX(单位档案!$D$6:$D$35,MATCH($E873,单位档案!$A$6:$A$35,0)),"")))))</f>
        <v/>
      </c>
      <c r="J873" s="22"/>
      <c r="K873" s="22"/>
      <c r="L873" s="33" t="str">
        <f aca="false">IF($B873="","",IF(NOT(ISNUMBER($B873)),"日期格式不对",IF($C873="","未选项目编号",IF(LEFT($M873,1)="⚠","项目编号不存在",IF($D873="","未选业务类型",IF($E873="","未选开票/付款方",IF(ISNA(MATCH($E873,单位档案!$A$6:$A$35,0)),"开票方不在单位档案",IF($F873="","未选收票/收款方",IF(ISNA(MATCH($F873,单位档案!$A$6:$A$35,0)),"收款方不在单位档案",IF(NOT(ISNUMBER($H873)),"金额须为数字",IF(AND($D873="销项开票",$N873="—"),"链条待确认","√")))))))))))</f>
        <v/>
      </c>
      <c r="M873" s="34" t="str">
        <f aca="false">IF($C873="","",IFERROR(INDEX(项目档案!$B$6:$B$255,MATCH($C873,项目档案!$A$6:$A$255,0)),"⚠项目编号不存在"))</f>
        <v/>
      </c>
      <c r="N873" s="35" t="str">
        <f aca="false">IF($E873="","",IF($E873=IFERROR(INDEX(项目档案!$D$6:$D$255,MATCH($C873,项目档案!$A$6:$A$255,0)),""),"一级",IF($E873=IFERROR(INDEX(项目档案!$F$6:$F$255,MATCH($C873,项目档案!$A$6:$A$255,0)),""),"二级",IF($E873=IFERROR(INDEX(项目档案!$H$6:$H$255,MATCH($C873,项目档案!$A$6:$A$255,0)),""),"我方","—"))))</f>
        <v/>
      </c>
      <c r="O873" s="36" t="n">
        <f aca="false">IF($D873&lt;&gt;"销项开票",0,ROUND(N($H873)*N($I873),2))</f>
        <v>0</v>
      </c>
      <c r="P873" s="36" t="n">
        <f aca="false">IF($D873&lt;&gt;"销项开票",0,ROUND(N($H873)-$O873,2))</f>
        <v>0</v>
      </c>
      <c r="Q873" s="37" t="str">
        <f aca="false">IF($E873="","",N(IFERROR(INDEX(单位档案!$E$6:$E$35,MATCH($E873,单位档案!$A$6:$A$35,0)),"")))</f>
        <v/>
      </c>
      <c r="R873" s="37" t="str">
        <f aca="false">IF($E873="","",N(IFERROR(INDEX(单位档案!$F$6:$F$35,MATCH($E873,单位档案!$A$6:$A$35,0)),"")))</f>
        <v/>
      </c>
      <c r="S873" s="36" t="n">
        <f aca="false">IF(OR($D873&lt;&gt;"销项开票",IFERROR(INDEX(单位档案!$G$6:$G$35,MATCH($E873,单位档案!$A$6:$A$35,0)),"")&lt;&gt;"是",N($Q873)=0),0,IF(IFERROR(INDEX(单位档案!$H$6:$H$35,MATCH($E873,单位档案!$A$6:$A$35,0)),"")="税差法",ROUND(N($H873)/(1+$Q873)*$Q873-IF(N($R873)=0,0,$P873/(1+$R873)*$R873),2),ROUND(N($H873)/(1+$Q873)*$Q873,2)))</f>
        <v>0</v>
      </c>
      <c r="T873" s="36" t="n">
        <f aca="false">ROUND($S873*N(IFERROR(INDEX(单位档案!$J$6:$J$35,MATCH($E873,单位档案!$A$6:$A$35,0)),"")),2)</f>
        <v>0</v>
      </c>
      <c r="U873" s="36" t="n">
        <f aca="false">IF($D873&lt;&gt;"销项开票",0,ROUND(N($H873)*N(IFERROR(INDEX(单位档案!$K$6:$K$35,MATCH($E873,单位档案!$A$6:$A$35,0)),"")),2))</f>
        <v>0</v>
      </c>
      <c r="V873" s="36" t="n">
        <f aca="false">IF(OR($D873&lt;&gt;"销项开票",N($Q873)=0),0,ROUND(N($H873)/(1+$Q873)*N(IFERROR(INDEX(单位档案!$L$6:$L$35,MATCH($E873,单位档案!$A$6:$A$35,0)),"")),2))</f>
        <v>0</v>
      </c>
      <c r="W873" s="36" t="n">
        <f aca="false">ROUND($S873+$T873+$U873+$V873,2)</f>
        <v>0</v>
      </c>
      <c r="X873" s="35" t="str">
        <f aca="false">IF(OR($D873="挂靠代收",$D873="我方收款"),COUNTIFS($D$5:$D873,"挂靠代收")+COUNTIFS($D$5:$D873,"我方收款"),"")</f>
        <v/>
      </c>
      <c r="Y873" s="35"/>
      <c r="Z873" s="21" t="s">
        <v>111</v>
      </c>
    </row>
    <row r="874" customFormat="false" ht="15.75" hidden="false" customHeight="true" outlineLevel="0" collapsed="false">
      <c r="A874" s="32" t="str">
        <f aca="false">IF($B874="","",ROW()-4)</f>
        <v/>
      </c>
      <c r="B874" s="26"/>
      <c r="C874" s="24"/>
      <c r="D874" s="21"/>
      <c r="E874" s="21"/>
      <c r="F874" s="21"/>
      <c r="G874" s="21"/>
      <c r="H874" s="27"/>
      <c r="I874" s="23" t="str">
        <f aca="false">IF($D874&lt;&gt;"销项开票","",IF($N874="一级",IF(IFERROR(INDEX(项目档案!$E$6:$E$255,MATCH($C874,项目档案!$A$6:$A$255,0)),"")="",N(IFERROR(INDEX(单位档案!$D$6:$D$35,MATCH($E874,单位档案!$A$6:$A$35,0)),"")),IFERROR(INDEX(项目档案!$E$6:$E$255,MATCH($C874,项目档案!$A$6:$A$255,0)),"")),IF($N874="二级",IF(IFERROR(INDEX(项目档案!$G$6:$G$255,MATCH($C874,项目档案!$A$6:$A$255,0)),"")="",N(IFERROR(INDEX(单位档案!$D$6:$D$35,MATCH($E874,单位档案!$A$6:$A$35,0)),"")),IFERROR(INDEX(项目档案!$G$6:$G$255,MATCH($C874,项目档案!$A$6:$A$255,0)),"")),N(IFERROR(INDEX(单位档案!$D$6:$D$35,MATCH($E874,单位档案!$A$6:$A$35,0)),"")))))</f>
        <v/>
      </c>
      <c r="J874" s="22"/>
      <c r="K874" s="22"/>
      <c r="L874" s="33" t="str">
        <f aca="false">IF($B874="","",IF(NOT(ISNUMBER($B874)),"日期格式不对",IF($C874="","未选项目编号",IF(LEFT($M874,1)="⚠","项目编号不存在",IF($D874="","未选业务类型",IF($E874="","未选开票/付款方",IF(ISNA(MATCH($E874,单位档案!$A$6:$A$35,0)),"开票方不在单位档案",IF($F874="","未选收票/收款方",IF(ISNA(MATCH($F874,单位档案!$A$6:$A$35,0)),"收款方不在单位档案",IF(NOT(ISNUMBER($H874)),"金额须为数字",IF(AND($D874="销项开票",$N874="—"),"链条待确认","√")))))))))))</f>
        <v/>
      </c>
      <c r="M874" s="34" t="str">
        <f aca="false">IF($C874="","",IFERROR(INDEX(项目档案!$B$6:$B$255,MATCH($C874,项目档案!$A$6:$A$255,0)),"⚠项目编号不存在"))</f>
        <v/>
      </c>
      <c r="N874" s="35" t="str">
        <f aca="false">IF($E874="","",IF($E874=IFERROR(INDEX(项目档案!$D$6:$D$255,MATCH($C874,项目档案!$A$6:$A$255,0)),""),"一级",IF($E874=IFERROR(INDEX(项目档案!$F$6:$F$255,MATCH($C874,项目档案!$A$6:$A$255,0)),""),"二级",IF($E874=IFERROR(INDEX(项目档案!$H$6:$H$255,MATCH($C874,项目档案!$A$6:$A$255,0)),""),"我方","—"))))</f>
        <v/>
      </c>
      <c r="O874" s="36" t="n">
        <f aca="false">IF($D874&lt;&gt;"销项开票",0,ROUND(N($H874)*N($I874),2))</f>
        <v>0</v>
      </c>
      <c r="P874" s="36" t="n">
        <f aca="false">IF($D874&lt;&gt;"销项开票",0,ROUND(N($H874)-$O874,2))</f>
        <v>0</v>
      </c>
      <c r="Q874" s="37" t="str">
        <f aca="false">IF($E874="","",N(IFERROR(INDEX(单位档案!$E$6:$E$35,MATCH($E874,单位档案!$A$6:$A$35,0)),"")))</f>
        <v/>
      </c>
      <c r="R874" s="37" t="str">
        <f aca="false">IF($E874="","",N(IFERROR(INDEX(单位档案!$F$6:$F$35,MATCH($E874,单位档案!$A$6:$A$35,0)),"")))</f>
        <v/>
      </c>
      <c r="S874" s="36" t="n">
        <f aca="false">IF(OR($D874&lt;&gt;"销项开票",IFERROR(INDEX(单位档案!$G$6:$G$35,MATCH($E874,单位档案!$A$6:$A$35,0)),"")&lt;&gt;"是",N($Q874)=0),0,IF(IFERROR(INDEX(单位档案!$H$6:$H$35,MATCH($E874,单位档案!$A$6:$A$35,0)),"")="税差法",ROUND(N($H874)/(1+$Q874)*$Q874-IF(N($R874)=0,0,$P874/(1+$R874)*$R874),2),ROUND(N($H874)/(1+$Q874)*$Q874,2)))</f>
        <v>0</v>
      </c>
      <c r="T874" s="36" t="n">
        <f aca="false">ROUND($S874*N(IFERROR(INDEX(单位档案!$J$6:$J$35,MATCH($E874,单位档案!$A$6:$A$35,0)),"")),2)</f>
        <v>0</v>
      </c>
      <c r="U874" s="36" t="n">
        <f aca="false">IF($D874&lt;&gt;"销项开票",0,ROUND(N($H874)*N(IFERROR(INDEX(单位档案!$K$6:$K$35,MATCH($E874,单位档案!$A$6:$A$35,0)),"")),2))</f>
        <v>0</v>
      </c>
      <c r="V874" s="36" t="n">
        <f aca="false">IF(OR($D874&lt;&gt;"销项开票",N($Q874)=0),0,ROUND(N($H874)/(1+$Q874)*N(IFERROR(INDEX(单位档案!$L$6:$L$35,MATCH($E874,单位档案!$A$6:$A$35,0)),"")),2))</f>
        <v>0</v>
      </c>
      <c r="W874" s="36" t="n">
        <f aca="false">ROUND($S874+$T874+$U874+$V874,2)</f>
        <v>0</v>
      </c>
      <c r="X874" s="35" t="str">
        <f aca="false">IF(OR($D874="挂靠代收",$D874="我方收款"),COUNTIFS($D$5:$D874,"挂靠代收")+COUNTIFS($D$5:$D874,"我方收款"),"")</f>
        <v/>
      </c>
      <c r="Y874" s="35"/>
      <c r="Z874" s="21" t="s">
        <v>111</v>
      </c>
    </row>
    <row r="875" customFormat="false" ht="15.75" hidden="false" customHeight="true" outlineLevel="0" collapsed="false">
      <c r="A875" s="32" t="str">
        <f aca="false">IF($B875="","",ROW()-4)</f>
        <v/>
      </c>
      <c r="B875" s="26"/>
      <c r="C875" s="24"/>
      <c r="D875" s="21"/>
      <c r="E875" s="21"/>
      <c r="F875" s="21"/>
      <c r="G875" s="21"/>
      <c r="H875" s="27"/>
      <c r="I875" s="23" t="str">
        <f aca="false">IF($D875&lt;&gt;"销项开票","",IF($N875="一级",IF(IFERROR(INDEX(项目档案!$E$6:$E$255,MATCH($C875,项目档案!$A$6:$A$255,0)),"")="",N(IFERROR(INDEX(单位档案!$D$6:$D$35,MATCH($E875,单位档案!$A$6:$A$35,0)),"")),IFERROR(INDEX(项目档案!$E$6:$E$255,MATCH($C875,项目档案!$A$6:$A$255,0)),"")),IF($N875="二级",IF(IFERROR(INDEX(项目档案!$G$6:$G$255,MATCH($C875,项目档案!$A$6:$A$255,0)),"")="",N(IFERROR(INDEX(单位档案!$D$6:$D$35,MATCH($E875,单位档案!$A$6:$A$35,0)),"")),IFERROR(INDEX(项目档案!$G$6:$G$255,MATCH($C875,项目档案!$A$6:$A$255,0)),"")),N(IFERROR(INDEX(单位档案!$D$6:$D$35,MATCH($E875,单位档案!$A$6:$A$35,0)),"")))))</f>
        <v/>
      </c>
      <c r="J875" s="22"/>
      <c r="K875" s="22"/>
      <c r="L875" s="33" t="str">
        <f aca="false">IF($B875="","",IF(NOT(ISNUMBER($B875)),"日期格式不对",IF($C875="","未选项目编号",IF(LEFT($M875,1)="⚠","项目编号不存在",IF($D875="","未选业务类型",IF($E875="","未选开票/付款方",IF(ISNA(MATCH($E875,单位档案!$A$6:$A$35,0)),"开票方不在单位档案",IF($F875="","未选收票/收款方",IF(ISNA(MATCH($F875,单位档案!$A$6:$A$35,0)),"收款方不在单位档案",IF(NOT(ISNUMBER($H875)),"金额须为数字",IF(AND($D875="销项开票",$N875="—"),"链条待确认","√")))))))))))</f>
        <v/>
      </c>
      <c r="M875" s="34" t="str">
        <f aca="false">IF($C875="","",IFERROR(INDEX(项目档案!$B$6:$B$255,MATCH($C875,项目档案!$A$6:$A$255,0)),"⚠项目编号不存在"))</f>
        <v/>
      </c>
      <c r="N875" s="35" t="str">
        <f aca="false">IF($E875="","",IF($E875=IFERROR(INDEX(项目档案!$D$6:$D$255,MATCH($C875,项目档案!$A$6:$A$255,0)),""),"一级",IF($E875=IFERROR(INDEX(项目档案!$F$6:$F$255,MATCH($C875,项目档案!$A$6:$A$255,0)),""),"二级",IF($E875=IFERROR(INDEX(项目档案!$H$6:$H$255,MATCH($C875,项目档案!$A$6:$A$255,0)),""),"我方","—"))))</f>
        <v/>
      </c>
      <c r="O875" s="36" t="n">
        <f aca="false">IF($D875&lt;&gt;"销项开票",0,ROUND(N($H875)*N($I875),2))</f>
        <v>0</v>
      </c>
      <c r="P875" s="36" t="n">
        <f aca="false">IF($D875&lt;&gt;"销项开票",0,ROUND(N($H875)-$O875,2))</f>
        <v>0</v>
      </c>
      <c r="Q875" s="37" t="str">
        <f aca="false">IF($E875="","",N(IFERROR(INDEX(单位档案!$E$6:$E$35,MATCH($E875,单位档案!$A$6:$A$35,0)),"")))</f>
        <v/>
      </c>
      <c r="R875" s="37" t="str">
        <f aca="false">IF($E875="","",N(IFERROR(INDEX(单位档案!$F$6:$F$35,MATCH($E875,单位档案!$A$6:$A$35,0)),"")))</f>
        <v/>
      </c>
      <c r="S875" s="36" t="n">
        <f aca="false">IF(OR($D875&lt;&gt;"销项开票",IFERROR(INDEX(单位档案!$G$6:$G$35,MATCH($E875,单位档案!$A$6:$A$35,0)),"")&lt;&gt;"是",N($Q875)=0),0,IF(IFERROR(INDEX(单位档案!$H$6:$H$35,MATCH($E875,单位档案!$A$6:$A$35,0)),"")="税差法",ROUND(N($H875)/(1+$Q875)*$Q875-IF(N($R875)=0,0,$P875/(1+$R875)*$R875),2),ROUND(N($H875)/(1+$Q875)*$Q875,2)))</f>
        <v>0</v>
      </c>
      <c r="T875" s="36" t="n">
        <f aca="false">ROUND($S875*N(IFERROR(INDEX(单位档案!$J$6:$J$35,MATCH($E875,单位档案!$A$6:$A$35,0)),"")),2)</f>
        <v>0</v>
      </c>
      <c r="U875" s="36" t="n">
        <f aca="false">IF($D875&lt;&gt;"销项开票",0,ROUND(N($H875)*N(IFERROR(INDEX(单位档案!$K$6:$K$35,MATCH($E875,单位档案!$A$6:$A$35,0)),"")),2))</f>
        <v>0</v>
      </c>
      <c r="V875" s="36" t="n">
        <f aca="false">IF(OR($D875&lt;&gt;"销项开票",N($Q875)=0),0,ROUND(N($H875)/(1+$Q875)*N(IFERROR(INDEX(单位档案!$L$6:$L$35,MATCH($E875,单位档案!$A$6:$A$35,0)),"")),2))</f>
        <v>0</v>
      </c>
      <c r="W875" s="36" t="n">
        <f aca="false">ROUND($S875+$T875+$U875+$V875,2)</f>
        <v>0</v>
      </c>
      <c r="X875" s="35" t="str">
        <f aca="false">IF(OR($D875="挂靠代收",$D875="我方收款"),COUNTIFS($D$5:$D875,"挂靠代收")+COUNTIFS($D$5:$D875,"我方收款"),"")</f>
        <v/>
      </c>
      <c r="Y875" s="35"/>
      <c r="Z875" s="21" t="s">
        <v>111</v>
      </c>
    </row>
    <row r="876" customFormat="false" ht="15.75" hidden="false" customHeight="true" outlineLevel="0" collapsed="false">
      <c r="A876" s="32" t="str">
        <f aca="false">IF($B876="","",ROW()-4)</f>
        <v/>
      </c>
      <c r="B876" s="26"/>
      <c r="C876" s="24"/>
      <c r="D876" s="21"/>
      <c r="E876" s="21"/>
      <c r="F876" s="21"/>
      <c r="G876" s="21"/>
      <c r="H876" s="27"/>
      <c r="I876" s="23" t="str">
        <f aca="false">IF($D876&lt;&gt;"销项开票","",IF($N876="一级",IF(IFERROR(INDEX(项目档案!$E$6:$E$255,MATCH($C876,项目档案!$A$6:$A$255,0)),"")="",N(IFERROR(INDEX(单位档案!$D$6:$D$35,MATCH($E876,单位档案!$A$6:$A$35,0)),"")),IFERROR(INDEX(项目档案!$E$6:$E$255,MATCH($C876,项目档案!$A$6:$A$255,0)),"")),IF($N876="二级",IF(IFERROR(INDEX(项目档案!$G$6:$G$255,MATCH($C876,项目档案!$A$6:$A$255,0)),"")="",N(IFERROR(INDEX(单位档案!$D$6:$D$35,MATCH($E876,单位档案!$A$6:$A$35,0)),"")),IFERROR(INDEX(项目档案!$G$6:$G$255,MATCH($C876,项目档案!$A$6:$A$255,0)),"")),N(IFERROR(INDEX(单位档案!$D$6:$D$35,MATCH($E876,单位档案!$A$6:$A$35,0)),"")))))</f>
        <v/>
      </c>
      <c r="J876" s="22"/>
      <c r="K876" s="22"/>
      <c r="L876" s="33" t="str">
        <f aca="false">IF($B876="","",IF(NOT(ISNUMBER($B876)),"日期格式不对",IF($C876="","未选项目编号",IF(LEFT($M876,1)="⚠","项目编号不存在",IF($D876="","未选业务类型",IF($E876="","未选开票/付款方",IF(ISNA(MATCH($E876,单位档案!$A$6:$A$35,0)),"开票方不在单位档案",IF($F876="","未选收票/收款方",IF(ISNA(MATCH($F876,单位档案!$A$6:$A$35,0)),"收款方不在单位档案",IF(NOT(ISNUMBER($H876)),"金额须为数字",IF(AND($D876="销项开票",$N876="—"),"链条待确认","√")))))))))))</f>
        <v/>
      </c>
      <c r="M876" s="34" t="str">
        <f aca="false">IF($C876="","",IFERROR(INDEX(项目档案!$B$6:$B$255,MATCH($C876,项目档案!$A$6:$A$255,0)),"⚠项目编号不存在"))</f>
        <v/>
      </c>
      <c r="N876" s="35" t="str">
        <f aca="false">IF($E876="","",IF($E876=IFERROR(INDEX(项目档案!$D$6:$D$255,MATCH($C876,项目档案!$A$6:$A$255,0)),""),"一级",IF($E876=IFERROR(INDEX(项目档案!$F$6:$F$255,MATCH($C876,项目档案!$A$6:$A$255,0)),""),"二级",IF($E876=IFERROR(INDEX(项目档案!$H$6:$H$255,MATCH($C876,项目档案!$A$6:$A$255,0)),""),"我方","—"))))</f>
        <v/>
      </c>
      <c r="O876" s="36" t="n">
        <f aca="false">IF($D876&lt;&gt;"销项开票",0,ROUND(N($H876)*N($I876),2))</f>
        <v>0</v>
      </c>
      <c r="P876" s="36" t="n">
        <f aca="false">IF($D876&lt;&gt;"销项开票",0,ROUND(N($H876)-$O876,2))</f>
        <v>0</v>
      </c>
      <c r="Q876" s="37" t="str">
        <f aca="false">IF($E876="","",N(IFERROR(INDEX(单位档案!$E$6:$E$35,MATCH($E876,单位档案!$A$6:$A$35,0)),"")))</f>
        <v/>
      </c>
      <c r="R876" s="37" t="str">
        <f aca="false">IF($E876="","",N(IFERROR(INDEX(单位档案!$F$6:$F$35,MATCH($E876,单位档案!$A$6:$A$35,0)),"")))</f>
        <v/>
      </c>
      <c r="S876" s="36" t="n">
        <f aca="false">IF(OR($D876&lt;&gt;"销项开票",IFERROR(INDEX(单位档案!$G$6:$G$35,MATCH($E876,单位档案!$A$6:$A$35,0)),"")&lt;&gt;"是",N($Q876)=0),0,IF(IFERROR(INDEX(单位档案!$H$6:$H$35,MATCH($E876,单位档案!$A$6:$A$35,0)),"")="税差法",ROUND(N($H876)/(1+$Q876)*$Q876-IF(N($R876)=0,0,$P876/(1+$R876)*$R876),2),ROUND(N($H876)/(1+$Q876)*$Q876,2)))</f>
        <v>0</v>
      </c>
      <c r="T876" s="36" t="n">
        <f aca="false">ROUND($S876*N(IFERROR(INDEX(单位档案!$J$6:$J$35,MATCH($E876,单位档案!$A$6:$A$35,0)),"")),2)</f>
        <v>0</v>
      </c>
      <c r="U876" s="36" t="n">
        <f aca="false">IF($D876&lt;&gt;"销项开票",0,ROUND(N($H876)*N(IFERROR(INDEX(单位档案!$K$6:$K$35,MATCH($E876,单位档案!$A$6:$A$35,0)),"")),2))</f>
        <v>0</v>
      </c>
      <c r="V876" s="36" t="n">
        <f aca="false">IF(OR($D876&lt;&gt;"销项开票",N($Q876)=0),0,ROUND(N($H876)/(1+$Q876)*N(IFERROR(INDEX(单位档案!$L$6:$L$35,MATCH($E876,单位档案!$A$6:$A$35,0)),"")),2))</f>
        <v>0</v>
      </c>
      <c r="W876" s="36" t="n">
        <f aca="false">ROUND($S876+$T876+$U876+$V876,2)</f>
        <v>0</v>
      </c>
      <c r="X876" s="35" t="str">
        <f aca="false">IF(OR($D876="挂靠代收",$D876="我方收款"),COUNTIFS($D$5:$D876,"挂靠代收")+COUNTIFS($D$5:$D876,"我方收款"),"")</f>
        <v/>
      </c>
      <c r="Y876" s="35"/>
      <c r="Z876" s="21" t="s">
        <v>111</v>
      </c>
    </row>
    <row r="877" customFormat="false" ht="15.75" hidden="false" customHeight="true" outlineLevel="0" collapsed="false">
      <c r="A877" s="32" t="str">
        <f aca="false">IF($B877="","",ROW()-4)</f>
        <v/>
      </c>
      <c r="B877" s="26"/>
      <c r="C877" s="24"/>
      <c r="D877" s="21"/>
      <c r="E877" s="21"/>
      <c r="F877" s="21"/>
      <c r="G877" s="21"/>
      <c r="H877" s="27"/>
      <c r="I877" s="23" t="str">
        <f aca="false">IF($D877&lt;&gt;"销项开票","",IF($N877="一级",IF(IFERROR(INDEX(项目档案!$E$6:$E$255,MATCH($C877,项目档案!$A$6:$A$255,0)),"")="",N(IFERROR(INDEX(单位档案!$D$6:$D$35,MATCH($E877,单位档案!$A$6:$A$35,0)),"")),IFERROR(INDEX(项目档案!$E$6:$E$255,MATCH($C877,项目档案!$A$6:$A$255,0)),"")),IF($N877="二级",IF(IFERROR(INDEX(项目档案!$G$6:$G$255,MATCH($C877,项目档案!$A$6:$A$255,0)),"")="",N(IFERROR(INDEX(单位档案!$D$6:$D$35,MATCH($E877,单位档案!$A$6:$A$35,0)),"")),IFERROR(INDEX(项目档案!$G$6:$G$255,MATCH($C877,项目档案!$A$6:$A$255,0)),"")),N(IFERROR(INDEX(单位档案!$D$6:$D$35,MATCH($E877,单位档案!$A$6:$A$35,0)),"")))))</f>
        <v/>
      </c>
      <c r="J877" s="22"/>
      <c r="K877" s="22"/>
      <c r="L877" s="33" t="str">
        <f aca="false">IF($B877="","",IF(NOT(ISNUMBER($B877)),"日期格式不对",IF($C877="","未选项目编号",IF(LEFT($M877,1)="⚠","项目编号不存在",IF($D877="","未选业务类型",IF($E877="","未选开票/付款方",IF(ISNA(MATCH($E877,单位档案!$A$6:$A$35,0)),"开票方不在单位档案",IF($F877="","未选收票/收款方",IF(ISNA(MATCH($F877,单位档案!$A$6:$A$35,0)),"收款方不在单位档案",IF(NOT(ISNUMBER($H877)),"金额须为数字",IF(AND($D877="销项开票",$N877="—"),"链条待确认","√")))))))))))</f>
        <v/>
      </c>
      <c r="M877" s="34" t="str">
        <f aca="false">IF($C877="","",IFERROR(INDEX(项目档案!$B$6:$B$255,MATCH($C877,项目档案!$A$6:$A$255,0)),"⚠项目编号不存在"))</f>
        <v/>
      </c>
      <c r="N877" s="35" t="str">
        <f aca="false">IF($E877="","",IF($E877=IFERROR(INDEX(项目档案!$D$6:$D$255,MATCH($C877,项目档案!$A$6:$A$255,0)),""),"一级",IF($E877=IFERROR(INDEX(项目档案!$F$6:$F$255,MATCH($C877,项目档案!$A$6:$A$255,0)),""),"二级",IF($E877=IFERROR(INDEX(项目档案!$H$6:$H$255,MATCH($C877,项目档案!$A$6:$A$255,0)),""),"我方","—"))))</f>
        <v/>
      </c>
      <c r="O877" s="36" t="n">
        <f aca="false">IF($D877&lt;&gt;"销项开票",0,ROUND(N($H877)*N($I877),2))</f>
        <v>0</v>
      </c>
      <c r="P877" s="36" t="n">
        <f aca="false">IF($D877&lt;&gt;"销项开票",0,ROUND(N($H877)-$O877,2))</f>
        <v>0</v>
      </c>
      <c r="Q877" s="37" t="str">
        <f aca="false">IF($E877="","",N(IFERROR(INDEX(单位档案!$E$6:$E$35,MATCH($E877,单位档案!$A$6:$A$35,0)),"")))</f>
        <v/>
      </c>
      <c r="R877" s="37" t="str">
        <f aca="false">IF($E877="","",N(IFERROR(INDEX(单位档案!$F$6:$F$35,MATCH($E877,单位档案!$A$6:$A$35,0)),"")))</f>
        <v/>
      </c>
      <c r="S877" s="36" t="n">
        <f aca="false">IF(OR($D877&lt;&gt;"销项开票",IFERROR(INDEX(单位档案!$G$6:$G$35,MATCH($E877,单位档案!$A$6:$A$35,0)),"")&lt;&gt;"是",N($Q877)=0),0,IF(IFERROR(INDEX(单位档案!$H$6:$H$35,MATCH($E877,单位档案!$A$6:$A$35,0)),"")="税差法",ROUND(N($H877)/(1+$Q877)*$Q877-IF(N($R877)=0,0,$P877/(1+$R877)*$R877),2),ROUND(N($H877)/(1+$Q877)*$Q877,2)))</f>
        <v>0</v>
      </c>
      <c r="T877" s="36" t="n">
        <f aca="false">ROUND($S877*N(IFERROR(INDEX(单位档案!$J$6:$J$35,MATCH($E877,单位档案!$A$6:$A$35,0)),"")),2)</f>
        <v>0</v>
      </c>
      <c r="U877" s="36" t="n">
        <f aca="false">IF($D877&lt;&gt;"销项开票",0,ROUND(N($H877)*N(IFERROR(INDEX(单位档案!$K$6:$K$35,MATCH($E877,单位档案!$A$6:$A$35,0)),"")),2))</f>
        <v>0</v>
      </c>
      <c r="V877" s="36" t="n">
        <f aca="false">IF(OR($D877&lt;&gt;"销项开票",N($Q877)=0),0,ROUND(N($H877)/(1+$Q877)*N(IFERROR(INDEX(单位档案!$L$6:$L$35,MATCH($E877,单位档案!$A$6:$A$35,0)),"")),2))</f>
        <v>0</v>
      </c>
      <c r="W877" s="36" t="n">
        <f aca="false">ROUND($S877+$T877+$U877+$V877,2)</f>
        <v>0</v>
      </c>
      <c r="X877" s="35" t="str">
        <f aca="false">IF(OR($D877="挂靠代收",$D877="我方收款"),COUNTIFS($D$5:$D877,"挂靠代收")+COUNTIFS($D$5:$D877,"我方收款"),"")</f>
        <v/>
      </c>
      <c r="Y877" s="35"/>
      <c r="Z877" s="21" t="s">
        <v>111</v>
      </c>
    </row>
    <row r="878" customFormat="false" ht="15.75" hidden="false" customHeight="true" outlineLevel="0" collapsed="false">
      <c r="A878" s="32" t="str">
        <f aca="false">IF($B878="","",ROW()-4)</f>
        <v/>
      </c>
      <c r="B878" s="26"/>
      <c r="C878" s="24"/>
      <c r="D878" s="21"/>
      <c r="E878" s="21"/>
      <c r="F878" s="21"/>
      <c r="G878" s="21"/>
      <c r="H878" s="27"/>
      <c r="I878" s="23" t="str">
        <f aca="false">IF($D878&lt;&gt;"销项开票","",IF($N878="一级",IF(IFERROR(INDEX(项目档案!$E$6:$E$255,MATCH($C878,项目档案!$A$6:$A$255,0)),"")="",N(IFERROR(INDEX(单位档案!$D$6:$D$35,MATCH($E878,单位档案!$A$6:$A$35,0)),"")),IFERROR(INDEX(项目档案!$E$6:$E$255,MATCH($C878,项目档案!$A$6:$A$255,0)),"")),IF($N878="二级",IF(IFERROR(INDEX(项目档案!$G$6:$G$255,MATCH($C878,项目档案!$A$6:$A$255,0)),"")="",N(IFERROR(INDEX(单位档案!$D$6:$D$35,MATCH($E878,单位档案!$A$6:$A$35,0)),"")),IFERROR(INDEX(项目档案!$G$6:$G$255,MATCH($C878,项目档案!$A$6:$A$255,0)),"")),N(IFERROR(INDEX(单位档案!$D$6:$D$35,MATCH($E878,单位档案!$A$6:$A$35,0)),"")))))</f>
        <v/>
      </c>
      <c r="J878" s="22"/>
      <c r="K878" s="22"/>
      <c r="L878" s="33" t="str">
        <f aca="false">IF($B878="","",IF(NOT(ISNUMBER($B878)),"日期格式不对",IF($C878="","未选项目编号",IF(LEFT($M878,1)="⚠","项目编号不存在",IF($D878="","未选业务类型",IF($E878="","未选开票/付款方",IF(ISNA(MATCH($E878,单位档案!$A$6:$A$35,0)),"开票方不在单位档案",IF($F878="","未选收票/收款方",IF(ISNA(MATCH($F878,单位档案!$A$6:$A$35,0)),"收款方不在单位档案",IF(NOT(ISNUMBER($H878)),"金额须为数字",IF(AND($D878="销项开票",$N878="—"),"链条待确认","√")))))))))))</f>
        <v/>
      </c>
      <c r="M878" s="34" t="str">
        <f aca="false">IF($C878="","",IFERROR(INDEX(项目档案!$B$6:$B$255,MATCH($C878,项目档案!$A$6:$A$255,0)),"⚠项目编号不存在"))</f>
        <v/>
      </c>
      <c r="N878" s="35" t="str">
        <f aca="false">IF($E878="","",IF($E878=IFERROR(INDEX(项目档案!$D$6:$D$255,MATCH($C878,项目档案!$A$6:$A$255,0)),""),"一级",IF($E878=IFERROR(INDEX(项目档案!$F$6:$F$255,MATCH($C878,项目档案!$A$6:$A$255,0)),""),"二级",IF($E878=IFERROR(INDEX(项目档案!$H$6:$H$255,MATCH($C878,项目档案!$A$6:$A$255,0)),""),"我方","—"))))</f>
        <v/>
      </c>
      <c r="O878" s="36" t="n">
        <f aca="false">IF($D878&lt;&gt;"销项开票",0,ROUND(N($H878)*N($I878),2))</f>
        <v>0</v>
      </c>
      <c r="P878" s="36" t="n">
        <f aca="false">IF($D878&lt;&gt;"销项开票",0,ROUND(N($H878)-$O878,2))</f>
        <v>0</v>
      </c>
      <c r="Q878" s="37" t="str">
        <f aca="false">IF($E878="","",N(IFERROR(INDEX(单位档案!$E$6:$E$35,MATCH($E878,单位档案!$A$6:$A$35,0)),"")))</f>
        <v/>
      </c>
      <c r="R878" s="37" t="str">
        <f aca="false">IF($E878="","",N(IFERROR(INDEX(单位档案!$F$6:$F$35,MATCH($E878,单位档案!$A$6:$A$35,0)),"")))</f>
        <v/>
      </c>
      <c r="S878" s="36" t="n">
        <f aca="false">IF(OR($D878&lt;&gt;"销项开票",IFERROR(INDEX(单位档案!$G$6:$G$35,MATCH($E878,单位档案!$A$6:$A$35,0)),"")&lt;&gt;"是",N($Q878)=0),0,IF(IFERROR(INDEX(单位档案!$H$6:$H$35,MATCH($E878,单位档案!$A$6:$A$35,0)),"")="税差法",ROUND(N($H878)/(1+$Q878)*$Q878-IF(N($R878)=0,0,$P878/(1+$R878)*$R878),2),ROUND(N($H878)/(1+$Q878)*$Q878,2)))</f>
        <v>0</v>
      </c>
      <c r="T878" s="36" t="n">
        <f aca="false">ROUND($S878*N(IFERROR(INDEX(单位档案!$J$6:$J$35,MATCH($E878,单位档案!$A$6:$A$35,0)),"")),2)</f>
        <v>0</v>
      </c>
      <c r="U878" s="36" t="n">
        <f aca="false">IF($D878&lt;&gt;"销项开票",0,ROUND(N($H878)*N(IFERROR(INDEX(单位档案!$K$6:$K$35,MATCH($E878,单位档案!$A$6:$A$35,0)),"")),2))</f>
        <v>0</v>
      </c>
      <c r="V878" s="36" t="n">
        <f aca="false">IF(OR($D878&lt;&gt;"销项开票",N($Q878)=0),0,ROUND(N($H878)/(1+$Q878)*N(IFERROR(INDEX(单位档案!$L$6:$L$35,MATCH($E878,单位档案!$A$6:$A$35,0)),"")),2))</f>
        <v>0</v>
      </c>
      <c r="W878" s="36" t="n">
        <f aca="false">ROUND($S878+$T878+$U878+$V878,2)</f>
        <v>0</v>
      </c>
      <c r="X878" s="35" t="str">
        <f aca="false">IF(OR($D878="挂靠代收",$D878="我方收款"),COUNTIFS($D$5:$D878,"挂靠代收")+COUNTIFS($D$5:$D878,"我方收款"),"")</f>
        <v/>
      </c>
      <c r="Y878" s="35"/>
      <c r="Z878" s="21" t="s">
        <v>111</v>
      </c>
    </row>
    <row r="879" customFormat="false" ht="15.75" hidden="false" customHeight="true" outlineLevel="0" collapsed="false">
      <c r="A879" s="32" t="str">
        <f aca="false">IF($B879="","",ROW()-4)</f>
        <v/>
      </c>
      <c r="B879" s="26"/>
      <c r="C879" s="24"/>
      <c r="D879" s="21"/>
      <c r="E879" s="21"/>
      <c r="F879" s="21"/>
      <c r="G879" s="21"/>
      <c r="H879" s="27"/>
      <c r="I879" s="23" t="str">
        <f aca="false">IF($D879&lt;&gt;"销项开票","",IF($N879="一级",IF(IFERROR(INDEX(项目档案!$E$6:$E$255,MATCH($C879,项目档案!$A$6:$A$255,0)),"")="",N(IFERROR(INDEX(单位档案!$D$6:$D$35,MATCH($E879,单位档案!$A$6:$A$35,0)),"")),IFERROR(INDEX(项目档案!$E$6:$E$255,MATCH($C879,项目档案!$A$6:$A$255,0)),"")),IF($N879="二级",IF(IFERROR(INDEX(项目档案!$G$6:$G$255,MATCH($C879,项目档案!$A$6:$A$255,0)),"")="",N(IFERROR(INDEX(单位档案!$D$6:$D$35,MATCH($E879,单位档案!$A$6:$A$35,0)),"")),IFERROR(INDEX(项目档案!$G$6:$G$255,MATCH($C879,项目档案!$A$6:$A$255,0)),"")),N(IFERROR(INDEX(单位档案!$D$6:$D$35,MATCH($E879,单位档案!$A$6:$A$35,0)),"")))))</f>
        <v/>
      </c>
      <c r="J879" s="22"/>
      <c r="K879" s="22"/>
      <c r="L879" s="33" t="str">
        <f aca="false">IF($B879="","",IF(NOT(ISNUMBER($B879)),"日期格式不对",IF($C879="","未选项目编号",IF(LEFT($M879,1)="⚠","项目编号不存在",IF($D879="","未选业务类型",IF($E879="","未选开票/付款方",IF(ISNA(MATCH($E879,单位档案!$A$6:$A$35,0)),"开票方不在单位档案",IF($F879="","未选收票/收款方",IF(ISNA(MATCH($F879,单位档案!$A$6:$A$35,0)),"收款方不在单位档案",IF(NOT(ISNUMBER($H879)),"金额须为数字",IF(AND($D879="销项开票",$N879="—"),"链条待确认","√")))))))))))</f>
        <v/>
      </c>
      <c r="M879" s="34" t="str">
        <f aca="false">IF($C879="","",IFERROR(INDEX(项目档案!$B$6:$B$255,MATCH($C879,项目档案!$A$6:$A$255,0)),"⚠项目编号不存在"))</f>
        <v/>
      </c>
      <c r="N879" s="35" t="str">
        <f aca="false">IF($E879="","",IF($E879=IFERROR(INDEX(项目档案!$D$6:$D$255,MATCH($C879,项目档案!$A$6:$A$255,0)),""),"一级",IF($E879=IFERROR(INDEX(项目档案!$F$6:$F$255,MATCH($C879,项目档案!$A$6:$A$255,0)),""),"二级",IF($E879=IFERROR(INDEX(项目档案!$H$6:$H$255,MATCH($C879,项目档案!$A$6:$A$255,0)),""),"我方","—"))))</f>
        <v/>
      </c>
      <c r="O879" s="36" t="n">
        <f aca="false">IF($D879&lt;&gt;"销项开票",0,ROUND(N($H879)*N($I879),2))</f>
        <v>0</v>
      </c>
      <c r="P879" s="36" t="n">
        <f aca="false">IF($D879&lt;&gt;"销项开票",0,ROUND(N($H879)-$O879,2))</f>
        <v>0</v>
      </c>
      <c r="Q879" s="37" t="str">
        <f aca="false">IF($E879="","",N(IFERROR(INDEX(单位档案!$E$6:$E$35,MATCH($E879,单位档案!$A$6:$A$35,0)),"")))</f>
        <v/>
      </c>
      <c r="R879" s="37" t="str">
        <f aca="false">IF($E879="","",N(IFERROR(INDEX(单位档案!$F$6:$F$35,MATCH($E879,单位档案!$A$6:$A$35,0)),"")))</f>
        <v/>
      </c>
      <c r="S879" s="36" t="n">
        <f aca="false">IF(OR($D879&lt;&gt;"销项开票",IFERROR(INDEX(单位档案!$G$6:$G$35,MATCH($E879,单位档案!$A$6:$A$35,0)),"")&lt;&gt;"是",N($Q879)=0),0,IF(IFERROR(INDEX(单位档案!$H$6:$H$35,MATCH($E879,单位档案!$A$6:$A$35,0)),"")="税差法",ROUND(N($H879)/(1+$Q879)*$Q879-IF(N($R879)=0,0,$P879/(1+$R879)*$R879),2),ROUND(N($H879)/(1+$Q879)*$Q879,2)))</f>
        <v>0</v>
      </c>
      <c r="T879" s="36" t="n">
        <f aca="false">ROUND($S879*N(IFERROR(INDEX(单位档案!$J$6:$J$35,MATCH($E879,单位档案!$A$6:$A$35,0)),"")),2)</f>
        <v>0</v>
      </c>
      <c r="U879" s="36" t="n">
        <f aca="false">IF($D879&lt;&gt;"销项开票",0,ROUND(N($H879)*N(IFERROR(INDEX(单位档案!$K$6:$K$35,MATCH($E879,单位档案!$A$6:$A$35,0)),"")),2))</f>
        <v>0</v>
      </c>
      <c r="V879" s="36" t="n">
        <f aca="false">IF(OR($D879&lt;&gt;"销项开票",N($Q879)=0),0,ROUND(N($H879)/(1+$Q879)*N(IFERROR(INDEX(单位档案!$L$6:$L$35,MATCH($E879,单位档案!$A$6:$A$35,0)),"")),2))</f>
        <v>0</v>
      </c>
      <c r="W879" s="36" t="n">
        <f aca="false">ROUND($S879+$T879+$U879+$V879,2)</f>
        <v>0</v>
      </c>
      <c r="X879" s="35" t="str">
        <f aca="false">IF(OR($D879="挂靠代收",$D879="我方收款"),COUNTIFS($D$5:$D879,"挂靠代收")+COUNTIFS($D$5:$D879,"我方收款"),"")</f>
        <v/>
      </c>
      <c r="Y879" s="35"/>
      <c r="Z879" s="21" t="s">
        <v>111</v>
      </c>
    </row>
    <row r="880" customFormat="false" ht="15.75" hidden="false" customHeight="true" outlineLevel="0" collapsed="false">
      <c r="A880" s="32" t="str">
        <f aca="false">IF($B880="","",ROW()-4)</f>
        <v/>
      </c>
      <c r="B880" s="26"/>
      <c r="C880" s="24"/>
      <c r="D880" s="21"/>
      <c r="E880" s="21"/>
      <c r="F880" s="21"/>
      <c r="G880" s="21"/>
      <c r="H880" s="27"/>
      <c r="I880" s="23" t="str">
        <f aca="false">IF($D880&lt;&gt;"销项开票","",IF($N880="一级",IF(IFERROR(INDEX(项目档案!$E$6:$E$255,MATCH($C880,项目档案!$A$6:$A$255,0)),"")="",N(IFERROR(INDEX(单位档案!$D$6:$D$35,MATCH($E880,单位档案!$A$6:$A$35,0)),"")),IFERROR(INDEX(项目档案!$E$6:$E$255,MATCH($C880,项目档案!$A$6:$A$255,0)),"")),IF($N880="二级",IF(IFERROR(INDEX(项目档案!$G$6:$G$255,MATCH($C880,项目档案!$A$6:$A$255,0)),"")="",N(IFERROR(INDEX(单位档案!$D$6:$D$35,MATCH($E880,单位档案!$A$6:$A$35,0)),"")),IFERROR(INDEX(项目档案!$G$6:$G$255,MATCH($C880,项目档案!$A$6:$A$255,0)),"")),N(IFERROR(INDEX(单位档案!$D$6:$D$35,MATCH($E880,单位档案!$A$6:$A$35,0)),"")))))</f>
        <v/>
      </c>
      <c r="J880" s="22"/>
      <c r="K880" s="22"/>
      <c r="L880" s="33" t="str">
        <f aca="false">IF($B880="","",IF(NOT(ISNUMBER($B880)),"日期格式不对",IF($C880="","未选项目编号",IF(LEFT($M880,1)="⚠","项目编号不存在",IF($D880="","未选业务类型",IF($E880="","未选开票/付款方",IF(ISNA(MATCH($E880,单位档案!$A$6:$A$35,0)),"开票方不在单位档案",IF($F880="","未选收票/收款方",IF(ISNA(MATCH($F880,单位档案!$A$6:$A$35,0)),"收款方不在单位档案",IF(NOT(ISNUMBER($H880)),"金额须为数字",IF(AND($D880="销项开票",$N880="—"),"链条待确认","√")))))))))))</f>
        <v/>
      </c>
      <c r="M880" s="34" t="str">
        <f aca="false">IF($C880="","",IFERROR(INDEX(项目档案!$B$6:$B$255,MATCH($C880,项目档案!$A$6:$A$255,0)),"⚠项目编号不存在"))</f>
        <v/>
      </c>
      <c r="N880" s="35" t="str">
        <f aca="false">IF($E880="","",IF($E880=IFERROR(INDEX(项目档案!$D$6:$D$255,MATCH($C880,项目档案!$A$6:$A$255,0)),""),"一级",IF($E880=IFERROR(INDEX(项目档案!$F$6:$F$255,MATCH($C880,项目档案!$A$6:$A$255,0)),""),"二级",IF($E880=IFERROR(INDEX(项目档案!$H$6:$H$255,MATCH($C880,项目档案!$A$6:$A$255,0)),""),"我方","—"))))</f>
        <v/>
      </c>
      <c r="O880" s="36" t="n">
        <f aca="false">IF($D880&lt;&gt;"销项开票",0,ROUND(N($H880)*N($I880),2))</f>
        <v>0</v>
      </c>
      <c r="P880" s="36" t="n">
        <f aca="false">IF($D880&lt;&gt;"销项开票",0,ROUND(N($H880)-$O880,2))</f>
        <v>0</v>
      </c>
      <c r="Q880" s="37" t="str">
        <f aca="false">IF($E880="","",N(IFERROR(INDEX(单位档案!$E$6:$E$35,MATCH($E880,单位档案!$A$6:$A$35,0)),"")))</f>
        <v/>
      </c>
      <c r="R880" s="37" t="str">
        <f aca="false">IF($E880="","",N(IFERROR(INDEX(单位档案!$F$6:$F$35,MATCH($E880,单位档案!$A$6:$A$35,0)),"")))</f>
        <v/>
      </c>
      <c r="S880" s="36" t="n">
        <f aca="false">IF(OR($D880&lt;&gt;"销项开票",IFERROR(INDEX(单位档案!$G$6:$G$35,MATCH($E880,单位档案!$A$6:$A$35,0)),"")&lt;&gt;"是",N($Q880)=0),0,IF(IFERROR(INDEX(单位档案!$H$6:$H$35,MATCH($E880,单位档案!$A$6:$A$35,0)),"")="税差法",ROUND(N($H880)/(1+$Q880)*$Q880-IF(N($R880)=0,0,$P880/(1+$R880)*$R880),2),ROUND(N($H880)/(1+$Q880)*$Q880,2)))</f>
        <v>0</v>
      </c>
      <c r="T880" s="36" t="n">
        <f aca="false">ROUND($S880*N(IFERROR(INDEX(单位档案!$J$6:$J$35,MATCH($E880,单位档案!$A$6:$A$35,0)),"")),2)</f>
        <v>0</v>
      </c>
      <c r="U880" s="36" t="n">
        <f aca="false">IF($D880&lt;&gt;"销项开票",0,ROUND(N($H880)*N(IFERROR(INDEX(单位档案!$K$6:$K$35,MATCH($E880,单位档案!$A$6:$A$35,0)),"")),2))</f>
        <v>0</v>
      </c>
      <c r="V880" s="36" t="n">
        <f aca="false">IF(OR($D880&lt;&gt;"销项开票",N($Q880)=0),0,ROUND(N($H880)/(1+$Q880)*N(IFERROR(INDEX(单位档案!$L$6:$L$35,MATCH($E880,单位档案!$A$6:$A$35,0)),"")),2))</f>
        <v>0</v>
      </c>
      <c r="W880" s="36" t="n">
        <f aca="false">ROUND($S880+$T880+$U880+$V880,2)</f>
        <v>0</v>
      </c>
      <c r="X880" s="35" t="str">
        <f aca="false">IF(OR($D880="挂靠代收",$D880="我方收款"),COUNTIFS($D$5:$D880,"挂靠代收")+COUNTIFS($D$5:$D880,"我方收款"),"")</f>
        <v/>
      </c>
      <c r="Y880" s="35"/>
      <c r="Z880" s="21" t="s">
        <v>111</v>
      </c>
    </row>
    <row r="881" customFormat="false" ht="15.75" hidden="false" customHeight="true" outlineLevel="0" collapsed="false">
      <c r="A881" s="32" t="str">
        <f aca="false">IF($B881="","",ROW()-4)</f>
        <v/>
      </c>
      <c r="B881" s="26"/>
      <c r="C881" s="24"/>
      <c r="D881" s="21"/>
      <c r="E881" s="21"/>
      <c r="F881" s="21"/>
      <c r="G881" s="21"/>
      <c r="H881" s="27"/>
      <c r="I881" s="23" t="str">
        <f aca="false">IF($D881&lt;&gt;"销项开票","",IF($N881="一级",IF(IFERROR(INDEX(项目档案!$E$6:$E$255,MATCH($C881,项目档案!$A$6:$A$255,0)),"")="",N(IFERROR(INDEX(单位档案!$D$6:$D$35,MATCH($E881,单位档案!$A$6:$A$35,0)),"")),IFERROR(INDEX(项目档案!$E$6:$E$255,MATCH($C881,项目档案!$A$6:$A$255,0)),"")),IF($N881="二级",IF(IFERROR(INDEX(项目档案!$G$6:$G$255,MATCH($C881,项目档案!$A$6:$A$255,0)),"")="",N(IFERROR(INDEX(单位档案!$D$6:$D$35,MATCH($E881,单位档案!$A$6:$A$35,0)),"")),IFERROR(INDEX(项目档案!$G$6:$G$255,MATCH($C881,项目档案!$A$6:$A$255,0)),"")),N(IFERROR(INDEX(单位档案!$D$6:$D$35,MATCH($E881,单位档案!$A$6:$A$35,0)),"")))))</f>
        <v/>
      </c>
      <c r="J881" s="22"/>
      <c r="K881" s="22"/>
      <c r="L881" s="33" t="str">
        <f aca="false">IF($B881="","",IF(NOT(ISNUMBER($B881)),"日期格式不对",IF($C881="","未选项目编号",IF(LEFT($M881,1)="⚠","项目编号不存在",IF($D881="","未选业务类型",IF($E881="","未选开票/付款方",IF(ISNA(MATCH($E881,单位档案!$A$6:$A$35,0)),"开票方不在单位档案",IF($F881="","未选收票/收款方",IF(ISNA(MATCH($F881,单位档案!$A$6:$A$35,0)),"收款方不在单位档案",IF(NOT(ISNUMBER($H881)),"金额须为数字",IF(AND($D881="销项开票",$N881="—"),"链条待确认","√")))))))))))</f>
        <v/>
      </c>
      <c r="M881" s="34" t="str">
        <f aca="false">IF($C881="","",IFERROR(INDEX(项目档案!$B$6:$B$255,MATCH($C881,项目档案!$A$6:$A$255,0)),"⚠项目编号不存在"))</f>
        <v/>
      </c>
      <c r="N881" s="35" t="str">
        <f aca="false">IF($E881="","",IF($E881=IFERROR(INDEX(项目档案!$D$6:$D$255,MATCH($C881,项目档案!$A$6:$A$255,0)),""),"一级",IF($E881=IFERROR(INDEX(项目档案!$F$6:$F$255,MATCH($C881,项目档案!$A$6:$A$255,0)),""),"二级",IF($E881=IFERROR(INDEX(项目档案!$H$6:$H$255,MATCH($C881,项目档案!$A$6:$A$255,0)),""),"我方","—"))))</f>
        <v/>
      </c>
      <c r="O881" s="36" t="n">
        <f aca="false">IF($D881&lt;&gt;"销项开票",0,ROUND(N($H881)*N($I881),2))</f>
        <v>0</v>
      </c>
      <c r="P881" s="36" t="n">
        <f aca="false">IF($D881&lt;&gt;"销项开票",0,ROUND(N($H881)-$O881,2))</f>
        <v>0</v>
      </c>
      <c r="Q881" s="37" t="str">
        <f aca="false">IF($E881="","",N(IFERROR(INDEX(单位档案!$E$6:$E$35,MATCH($E881,单位档案!$A$6:$A$35,0)),"")))</f>
        <v/>
      </c>
      <c r="R881" s="37" t="str">
        <f aca="false">IF($E881="","",N(IFERROR(INDEX(单位档案!$F$6:$F$35,MATCH($E881,单位档案!$A$6:$A$35,0)),"")))</f>
        <v/>
      </c>
      <c r="S881" s="36" t="n">
        <f aca="false">IF(OR($D881&lt;&gt;"销项开票",IFERROR(INDEX(单位档案!$G$6:$G$35,MATCH($E881,单位档案!$A$6:$A$35,0)),"")&lt;&gt;"是",N($Q881)=0),0,IF(IFERROR(INDEX(单位档案!$H$6:$H$35,MATCH($E881,单位档案!$A$6:$A$35,0)),"")="税差法",ROUND(N($H881)/(1+$Q881)*$Q881-IF(N($R881)=0,0,$P881/(1+$R881)*$R881),2),ROUND(N($H881)/(1+$Q881)*$Q881,2)))</f>
        <v>0</v>
      </c>
      <c r="T881" s="36" t="n">
        <f aca="false">ROUND($S881*N(IFERROR(INDEX(单位档案!$J$6:$J$35,MATCH($E881,单位档案!$A$6:$A$35,0)),"")),2)</f>
        <v>0</v>
      </c>
      <c r="U881" s="36" t="n">
        <f aca="false">IF($D881&lt;&gt;"销项开票",0,ROUND(N($H881)*N(IFERROR(INDEX(单位档案!$K$6:$K$35,MATCH($E881,单位档案!$A$6:$A$35,0)),"")),2))</f>
        <v>0</v>
      </c>
      <c r="V881" s="36" t="n">
        <f aca="false">IF(OR($D881&lt;&gt;"销项开票",N($Q881)=0),0,ROUND(N($H881)/(1+$Q881)*N(IFERROR(INDEX(单位档案!$L$6:$L$35,MATCH($E881,单位档案!$A$6:$A$35,0)),"")),2))</f>
        <v>0</v>
      </c>
      <c r="W881" s="36" t="n">
        <f aca="false">ROUND($S881+$T881+$U881+$V881,2)</f>
        <v>0</v>
      </c>
      <c r="X881" s="35" t="str">
        <f aca="false">IF(OR($D881="挂靠代收",$D881="我方收款"),COUNTIFS($D$5:$D881,"挂靠代收")+COUNTIFS($D$5:$D881,"我方收款"),"")</f>
        <v/>
      </c>
      <c r="Y881" s="35"/>
      <c r="Z881" s="21" t="s">
        <v>111</v>
      </c>
    </row>
    <row r="882" customFormat="false" ht="15.75" hidden="false" customHeight="true" outlineLevel="0" collapsed="false">
      <c r="A882" s="32" t="str">
        <f aca="false">IF($B882="","",ROW()-4)</f>
        <v/>
      </c>
      <c r="B882" s="26"/>
      <c r="C882" s="24"/>
      <c r="D882" s="21"/>
      <c r="E882" s="21"/>
      <c r="F882" s="21"/>
      <c r="G882" s="21"/>
      <c r="H882" s="27"/>
      <c r="I882" s="23" t="str">
        <f aca="false">IF($D882&lt;&gt;"销项开票","",IF($N882="一级",IF(IFERROR(INDEX(项目档案!$E$6:$E$255,MATCH($C882,项目档案!$A$6:$A$255,0)),"")="",N(IFERROR(INDEX(单位档案!$D$6:$D$35,MATCH($E882,单位档案!$A$6:$A$35,0)),"")),IFERROR(INDEX(项目档案!$E$6:$E$255,MATCH($C882,项目档案!$A$6:$A$255,0)),"")),IF($N882="二级",IF(IFERROR(INDEX(项目档案!$G$6:$G$255,MATCH($C882,项目档案!$A$6:$A$255,0)),"")="",N(IFERROR(INDEX(单位档案!$D$6:$D$35,MATCH($E882,单位档案!$A$6:$A$35,0)),"")),IFERROR(INDEX(项目档案!$G$6:$G$255,MATCH($C882,项目档案!$A$6:$A$255,0)),"")),N(IFERROR(INDEX(单位档案!$D$6:$D$35,MATCH($E882,单位档案!$A$6:$A$35,0)),"")))))</f>
        <v/>
      </c>
      <c r="J882" s="22"/>
      <c r="K882" s="22"/>
      <c r="L882" s="33" t="str">
        <f aca="false">IF($B882="","",IF(NOT(ISNUMBER($B882)),"日期格式不对",IF($C882="","未选项目编号",IF(LEFT($M882,1)="⚠","项目编号不存在",IF($D882="","未选业务类型",IF($E882="","未选开票/付款方",IF(ISNA(MATCH($E882,单位档案!$A$6:$A$35,0)),"开票方不在单位档案",IF($F882="","未选收票/收款方",IF(ISNA(MATCH($F882,单位档案!$A$6:$A$35,0)),"收款方不在单位档案",IF(NOT(ISNUMBER($H882)),"金额须为数字",IF(AND($D882="销项开票",$N882="—"),"链条待确认","√")))))))))))</f>
        <v/>
      </c>
      <c r="M882" s="34" t="str">
        <f aca="false">IF($C882="","",IFERROR(INDEX(项目档案!$B$6:$B$255,MATCH($C882,项目档案!$A$6:$A$255,0)),"⚠项目编号不存在"))</f>
        <v/>
      </c>
      <c r="N882" s="35" t="str">
        <f aca="false">IF($E882="","",IF($E882=IFERROR(INDEX(项目档案!$D$6:$D$255,MATCH($C882,项目档案!$A$6:$A$255,0)),""),"一级",IF($E882=IFERROR(INDEX(项目档案!$F$6:$F$255,MATCH($C882,项目档案!$A$6:$A$255,0)),""),"二级",IF($E882=IFERROR(INDEX(项目档案!$H$6:$H$255,MATCH($C882,项目档案!$A$6:$A$255,0)),""),"我方","—"))))</f>
        <v/>
      </c>
      <c r="O882" s="36" t="n">
        <f aca="false">IF($D882&lt;&gt;"销项开票",0,ROUND(N($H882)*N($I882),2))</f>
        <v>0</v>
      </c>
      <c r="P882" s="36" t="n">
        <f aca="false">IF($D882&lt;&gt;"销项开票",0,ROUND(N($H882)-$O882,2))</f>
        <v>0</v>
      </c>
      <c r="Q882" s="37" t="str">
        <f aca="false">IF($E882="","",N(IFERROR(INDEX(单位档案!$E$6:$E$35,MATCH($E882,单位档案!$A$6:$A$35,0)),"")))</f>
        <v/>
      </c>
      <c r="R882" s="37" t="str">
        <f aca="false">IF($E882="","",N(IFERROR(INDEX(单位档案!$F$6:$F$35,MATCH($E882,单位档案!$A$6:$A$35,0)),"")))</f>
        <v/>
      </c>
      <c r="S882" s="36" t="n">
        <f aca="false">IF(OR($D882&lt;&gt;"销项开票",IFERROR(INDEX(单位档案!$G$6:$G$35,MATCH($E882,单位档案!$A$6:$A$35,0)),"")&lt;&gt;"是",N($Q882)=0),0,IF(IFERROR(INDEX(单位档案!$H$6:$H$35,MATCH($E882,单位档案!$A$6:$A$35,0)),"")="税差法",ROUND(N($H882)/(1+$Q882)*$Q882-IF(N($R882)=0,0,$P882/(1+$R882)*$R882),2),ROUND(N($H882)/(1+$Q882)*$Q882,2)))</f>
        <v>0</v>
      </c>
      <c r="T882" s="36" t="n">
        <f aca="false">ROUND($S882*N(IFERROR(INDEX(单位档案!$J$6:$J$35,MATCH($E882,单位档案!$A$6:$A$35,0)),"")),2)</f>
        <v>0</v>
      </c>
      <c r="U882" s="36" t="n">
        <f aca="false">IF($D882&lt;&gt;"销项开票",0,ROUND(N($H882)*N(IFERROR(INDEX(单位档案!$K$6:$K$35,MATCH($E882,单位档案!$A$6:$A$35,0)),"")),2))</f>
        <v>0</v>
      </c>
      <c r="V882" s="36" t="n">
        <f aca="false">IF(OR($D882&lt;&gt;"销项开票",N($Q882)=0),0,ROUND(N($H882)/(1+$Q882)*N(IFERROR(INDEX(单位档案!$L$6:$L$35,MATCH($E882,单位档案!$A$6:$A$35,0)),"")),2))</f>
        <v>0</v>
      </c>
      <c r="W882" s="36" t="n">
        <f aca="false">ROUND($S882+$T882+$U882+$V882,2)</f>
        <v>0</v>
      </c>
      <c r="X882" s="35" t="str">
        <f aca="false">IF(OR($D882="挂靠代收",$D882="我方收款"),COUNTIFS($D$5:$D882,"挂靠代收")+COUNTIFS($D$5:$D882,"我方收款"),"")</f>
        <v/>
      </c>
      <c r="Y882" s="35"/>
      <c r="Z882" s="21" t="s">
        <v>111</v>
      </c>
    </row>
    <row r="883" customFormat="false" ht="15.75" hidden="false" customHeight="true" outlineLevel="0" collapsed="false">
      <c r="A883" s="32" t="str">
        <f aca="false">IF($B883="","",ROW()-4)</f>
        <v/>
      </c>
      <c r="B883" s="26"/>
      <c r="C883" s="24"/>
      <c r="D883" s="21"/>
      <c r="E883" s="21"/>
      <c r="F883" s="21"/>
      <c r="G883" s="21"/>
      <c r="H883" s="27"/>
      <c r="I883" s="23" t="str">
        <f aca="false">IF($D883&lt;&gt;"销项开票","",IF($N883="一级",IF(IFERROR(INDEX(项目档案!$E$6:$E$255,MATCH($C883,项目档案!$A$6:$A$255,0)),"")="",N(IFERROR(INDEX(单位档案!$D$6:$D$35,MATCH($E883,单位档案!$A$6:$A$35,0)),"")),IFERROR(INDEX(项目档案!$E$6:$E$255,MATCH($C883,项目档案!$A$6:$A$255,0)),"")),IF($N883="二级",IF(IFERROR(INDEX(项目档案!$G$6:$G$255,MATCH($C883,项目档案!$A$6:$A$255,0)),"")="",N(IFERROR(INDEX(单位档案!$D$6:$D$35,MATCH($E883,单位档案!$A$6:$A$35,0)),"")),IFERROR(INDEX(项目档案!$G$6:$G$255,MATCH($C883,项目档案!$A$6:$A$255,0)),"")),N(IFERROR(INDEX(单位档案!$D$6:$D$35,MATCH($E883,单位档案!$A$6:$A$35,0)),"")))))</f>
        <v/>
      </c>
      <c r="J883" s="22"/>
      <c r="K883" s="22"/>
      <c r="L883" s="33" t="str">
        <f aca="false">IF($B883="","",IF(NOT(ISNUMBER($B883)),"日期格式不对",IF($C883="","未选项目编号",IF(LEFT($M883,1)="⚠","项目编号不存在",IF($D883="","未选业务类型",IF($E883="","未选开票/付款方",IF(ISNA(MATCH($E883,单位档案!$A$6:$A$35,0)),"开票方不在单位档案",IF($F883="","未选收票/收款方",IF(ISNA(MATCH($F883,单位档案!$A$6:$A$35,0)),"收款方不在单位档案",IF(NOT(ISNUMBER($H883)),"金额须为数字",IF(AND($D883="销项开票",$N883="—"),"链条待确认","√")))))))))))</f>
        <v/>
      </c>
      <c r="M883" s="34" t="str">
        <f aca="false">IF($C883="","",IFERROR(INDEX(项目档案!$B$6:$B$255,MATCH($C883,项目档案!$A$6:$A$255,0)),"⚠项目编号不存在"))</f>
        <v/>
      </c>
      <c r="N883" s="35" t="str">
        <f aca="false">IF($E883="","",IF($E883=IFERROR(INDEX(项目档案!$D$6:$D$255,MATCH($C883,项目档案!$A$6:$A$255,0)),""),"一级",IF($E883=IFERROR(INDEX(项目档案!$F$6:$F$255,MATCH($C883,项目档案!$A$6:$A$255,0)),""),"二级",IF($E883=IFERROR(INDEX(项目档案!$H$6:$H$255,MATCH($C883,项目档案!$A$6:$A$255,0)),""),"我方","—"))))</f>
        <v/>
      </c>
      <c r="O883" s="36" t="n">
        <f aca="false">IF($D883&lt;&gt;"销项开票",0,ROUND(N($H883)*N($I883),2))</f>
        <v>0</v>
      </c>
      <c r="P883" s="36" t="n">
        <f aca="false">IF($D883&lt;&gt;"销项开票",0,ROUND(N($H883)-$O883,2))</f>
        <v>0</v>
      </c>
      <c r="Q883" s="37" t="str">
        <f aca="false">IF($E883="","",N(IFERROR(INDEX(单位档案!$E$6:$E$35,MATCH($E883,单位档案!$A$6:$A$35,0)),"")))</f>
        <v/>
      </c>
      <c r="R883" s="37" t="str">
        <f aca="false">IF($E883="","",N(IFERROR(INDEX(单位档案!$F$6:$F$35,MATCH($E883,单位档案!$A$6:$A$35,0)),"")))</f>
        <v/>
      </c>
      <c r="S883" s="36" t="n">
        <f aca="false">IF(OR($D883&lt;&gt;"销项开票",IFERROR(INDEX(单位档案!$G$6:$G$35,MATCH($E883,单位档案!$A$6:$A$35,0)),"")&lt;&gt;"是",N($Q883)=0),0,IF(IFERROR(INDEX(单位档案!$H$6:$H$35,MATCH($E883,单位档案!$A$6:$A$35,0)),"")="税差法",ROUND(N($H883)/(1+$Q883)*$Q883-IF(N($R883)=0,0,$P883/(1+$R883)*$R883),2),ROUND(N($H883)/(1+$Q883)*$Q883,2)))</f>
        <v>0</v>
      </c>
      <c r="T883" s="36" t="n">
        <f aca="false">ROUND($S883*N(IFERROR(INDEX(单位档案!$J$6:$J$35,MATCH($E883,单位档案!$A$6:$A$35,0)),"")),2)</f>
        <v>0</v>
      </c>
      <c r="U883" s="36" t="n">
        <f aca="false">IF($D883&lt;&gt;"销项开票",0,ROUND(N($H883)*N(IFERROR(INDEX(单位档案!$K$6:$K$35,MATCH($E883,单位档案!$A$6:$A$35,0)),"")),2))</f>
        <v>0</v>
      </c>
      <c r="V883" s="36" t="n">
        <f aca="false">IF(OR($D883&lt;&gt;"销项开票",N($Q883)=0),0,ROUND(N($H883)/(1+$Q883)*N(IFERROR(INDEX(单位档案!$L$6:$L$35,MATCH($E883,单位档案!$A$6:$A$35,0)),"")),2))</f>
        <v>0</v>
      </c>
      <c r="W883" s="36" t="n">
        <f aca="false">ROUND($S883+$T883+$U883+$V883,2)</f>
        <v>0</v>
      </c>
      <c r="X883" s="35" t="str">
        <f aca="false">IF(OR($D883="挂靠代收",$D883="我方收款"),COUNTIFS($D$5:$D883,"挂靠代收")+COUNTIFS($D$5:$D883,"我方收款"),"")</f>
        <v/>
      </c>
      <c r="Y883" s="35"/>
      <c r="Z883" s="21" t="s">
        <v>111</v>
      </c>
    </row>
    <row r="884" customFormat="false" ht="15.75" hidden="false" customHeight="true" outlineLevel="0" collapsed="false">
      <c r="A884" s="32" t="str">
        <f aca="false">IF($B884="","",ROW()-4)</f>
        <v/>
      </c>
      <c r="B884" s="26"/>
      <c r="C884" s="24"/>
      <c r="D884" s="21"/>
      <c r="E884" s="21"/>
      <c r="F884" s="21"/>
      <c r="G884" s="21"/>
      <c r="H884" s="27"/>
      <c r="I884" s="23" t="str">
        <f aca="false">IF($D884&lt;&gt;"销项开票","",IF($N884="一级",IF(IFERROR(INDEX(项目档案!$E$6:$E$255,MATCH($C884,项目档案!$A$6:$A$255,0)),"")="",N(IFERROR(INDEX(单位档案!$D$6:$D$35,MATCH($E884,单位档案!$A$6:$A$35,0)),"")),IFERROR(INDEX(项目档案!$E$6:$E$255,MATCH($C884,项目档案!$A$6:$A$255,0)),"")),IF($N884="二级",IF(IFERROR(INDEX(项目档案!$G$6:$G$255,MATCH($C884,项目档案!$A$6:$A$255,0)),"")="",N(IFERROR(INDEX(单位档案!$D$6:$D$35,MATCH($E884,单位档案!$A$6:$A$35,0)),"")),IFERROR(INDEX(项目档案!$G$6:$G$255,MATCH($C884,项目档案!$A$6:$A$255,0)),"")),N(IFERROR(INDEX(单位档案!$D$6:$D$35,MATCH($E884,单位档案!$A$6:$A$35,0)),"")))))</f>
        <v/>
      </c>
      <c r="J884" s="22"/>
      <c r="K884" s="22"/>
      <c r="L884" s="33" t="str">
        <f aca="false">IF($B884="","",IF(NOT(ISNUMBER($B884)),"日期格式不对",IF($C884="","未选项目编号",IF(LEFT($M884,1)="⚠","项目编号不存在",IF($D884="","未选业务类型",IF($E884="","未选开票/付款方",IF(ISNA(MATCH($E884,单位档案!$A$6:$A$35,0)),"开票方不在单位档案",IF($F884="","未选收票/收款方",IF(ISNA(MATCH($F884,单位档案!$A$6:$A$35,0)),"收款方不在单位档案",IF(NOT(ISNUMBER($H884)),"金额须为数字",IF(AND($D884="销项开票",$N884="—"),"链条待确认","√")))))))))))</f>
        <v/>
      </c>
      <c r="M884" s="34" t="str">
        <f aca="false">IF($C884="","",IFERROR(INDEX(项目档案!$B$6:$B$255,MATCH($C884,项目档案!$A$6:$A$255,0)),"⚠项目编号不存在"))</f>
        <v/>
      </c>
      <c r="N884" s="35" t="str">
        <f aca="false">IF($E884="","",IF($E884=IFERROR(INDEX(项目档案!$D$6:$D$255,MATCH($C884,项目档案!$A$6:$A$255,0)),""),"一级",IF($E884=IFERROR(INDEX(项目档案!$F$6:$F$255,MATCH($C884,项目档案!$A$6:$A$255,0)),""),"二级",IF($E884=IFERROR(INDEX(项目档案!$H$6:$H$255,MATCH($C884,项目档案!$A$6:$A$255,0)),""),"我方","—"))))</f>
        <v/>
      </c>
      <c r="O884" s="36" t="n">
        <f aca="false">IF($D884&lt;&gt;"销项开票",0,ROUND(N($H884)*N($I884),2))</f>
        <v>0</v>
      </c>
      <c r="P884" s="36" t="n">
        <f aca="false">IF($D884&lt;&gt;"销项开票",0,ROUND(N($H884)-$O884,2))</f>
        <v>0</v>
      </c>
      <c r="Q884" s="37" t="str">
        <f aca="false">IF($E884="","",N(IFERROR(INDEX(单位档案!$E$6:$E$35,MATCH($E884,单位档案!$A$6:$A$35,0)),"")))</f>
        <v/>
      </c>
      <c r="R884" s="37" t="str">
        <f aca="false">IF($E884="","",N(IFERROR(INDEX(单位档案!$F$6:$F$35,MATCH($E884,单位档案!$A$6:$A$35,0)),"")))</f>
        <v/>
      </c>
      <c r="S884" s="36" t="n">
        <f aca="false">IF(OR($D884&lt;&gt;"销项开票",IFERROR(INDEX(单位档案!$G$6:$G$35,MATCH($E884,单位档案!$A$6:$A$35,0)),"")&lt;&gt;"是",N($Q884)=0),0,IF(IFERROR(INDEX(单位档案!$H$6:$H$35,MATCH($E884,单位档案!$A$6:$A$35,0)),"")="税差法",ROUND(N($H884)/(1+$Q884)*$Q884-IF(N($R884)=0,0,$P884/(1+$R884)*$R884),2),ROUND(N($H884)/(1+$Q884)*$Q884,2)))</f>
        <v>0</v>
      </c>
      <c r="T884" s="36" t="n">
        <f aca="false">ROUND($S884*N(IFERROR(INDEX(单位档案!$J$6:$J$35,MATCH($E884,单位档案!$A$6:$A$35,0)),"")),2)</f>
        <v>0</v>
      </c>
      <c r="U884" s="36" t="n">
        <f aca="false">IF($D884&lt;&gt;"销项开票",0,ROUND(N($H884)*N(IFERROR(INDEX(单位档案!$K$6:$K$35,MATCH($E884,单位档案!$A$6:$A$35,0)),"")),2))</f>
        <v>0</v>
      </c>
      <c r="V884" s="36" t="n">
        <f aca="false">IF(OR($D884&lt;&gt;"销项开票",N($Q884)=0),0,ROUND(N($H884)/(1+$Q884)*N(IFERROR(INDEX(单位档案!$L$6:$L$35,MATCH($E884,单位档案!$A$6:$A$35,0)),"")),2))</f>
        <v>0</v>
      </c>
      <c r="W884" s="36" t="n">
        <f aca="false">ROUND($S884+$T884+$U884+$V884,2)</f>
        <v>0</v>
      </c>
      <c r="X884" s="35" t="str">
        <f aca="false">IF(OR($D884="挂靠代收",$D884="我方收款"),COUNTIFS($D$5:$D884,"挂靠代收")+COUNTIFS($D$5:$D884,"我方收款"),"")</f>
        <v/>
      </c>
      <c r="Y884" s="35"/>
      <c r="Z884" s="21" t="s">
        <v>111</v>
      </c>
    </row>
    <row r="885" customFormat="false" ht="15.75" hidden="false" customHeight="true" outlineLevel="0" collapsed="false">
      <c r="A885" s="32" t="str">
        <f aca="false">IF($B885="","",ROW()-4)</f>
        <v/>
      </c>
      <c r="B885" s="26"/>
      <c r="C885" s="24"/>
      <c r="D885" s="21"/>
      <c r="E885" s="21"/>
      <c r="F885" s="21"/>
      <c r="G885" s="21"/>
      <c r="H885" s="27"/>
      <c r="I885" s="23" t="str">
        <f aca="false">IF($D885&lt;&gt;"销项开票","",IF($N885="一级",IF(IFERROR(INDEX(项目档案!$E$6:$E$255,MATCH($C885,项目档案!$A$6:$A$255,0)),"")="",N(IFERROR(INDEX(单位档案!$D$6:$D$35,MATCH($E885,单位档案!$A$6:$A$35,0)),"")),IFERROR(INDEX(项目档案!$E$6:$E$255,MATCH($C885,项目档案!$A$6:$A$255,0)),"")),IF($N885="二级",IF(IFERROR(INDEX(项目档案!$G$6:$G$255,MATCH($C885,项目档案!$A$6:$A$255,0)),"")="",N(IFERROR(INDEX(单位档案!$D$6:$D$35,MATCH($E885,单位档案!$A$6:$A$35,0)),"")),IFERROR(INDEX(项目档案!$G$6:$G$255,MATCH($C885,项目档案!$A$6:$A$255,0)),"")),N(IFERROR(INDEX(单位档案!$D$6:$D$35,MATCH($E885,单位档案!$A$6:$A$35,0)),"")))))</f>
        <v/>
      </c>
      <c r="J885" s="22"/>
      <c r="K885" s="22"/>
      <c r="L885" s="33" t="str">
        <f aca="false">IF($B885="","",IF(NOT(ISNUMBER($B885)),"日期格式不对",IF($C885="","未选项目编号",IF(LEFT($M885,1)="⚠","项目编号不存在",IF($D885="","未选业务类型",IF($E885="","未选开票/付款方",IF(ISNA(MATCH($E885,单位档案!$A$6:$A$35,0)),"开票方不在单位档案",IF($F885="","未选收票/收款方",IF(ISNA(MATCH($F885,单位档案!$A$6:$A$35,0)),"收款方不在单位档案",IF(NOT(ISNUMBER($H885)),"金额须为数字",IF(AND($D885="销项开票",$N885="—"),"链条待确认","√")))))))))))</f>
        <v/>
      </c>
      <c r="M885" s="34" t="str">
        <f aca="false">IF($C885="","",IFERROR(INDEX(项目档案!$B$6:$B$255,MATCH($C885,项目档案!$A$6:$A$255,0)),"⚠项目编号不存在"))</f>
        <v/>
      </c>
      <c r="N885" s="35" t="str">
        <f aca="false">IF($E885="","",IF($E885=IFERROR(INDEX(项目档案!$D$6:$D$255,MATCH($C885,项目档案!$A$6:$A$255,0)),""),"一级",IF($E885=IFERROR(INDEX(项目档案!$F$6:$F$255,MATCH($C885,项目档案!$A$6:$A$255,0)),""),"二级",IF($E885=IFERROR(INDEX(项目档案!$H$6:$H$255,MATCH($C885,项目档案!$A$6:$A$255,0)),""),"我方","—"))))</f>
        <v/>
      </c>
      <c r="O885" s="36" t="n">
        <f aca="false">IF($D885&lt;&gt;"销项开票",0,ROUND(N($H885)*N($I885),2))</f>
        <v>0</v>
      </c>
      <c r="P885" s="36" t="n">
        <f aca="false">IF($D885&lt;&gt;"销项开票",0,ROUND(N($H885)-$O885,2))</f>
        <v>0</v>
      </c>
      <c r="Q885" s="37" t="str">
        <f aca="false">IF($E885="","",N(IFERROR(INDEX(单位档案!$E$6:$E$35,MATCH($E885,单位档案!$A$6:$A$35,0)),"")))</f>
        <v/>
      </c>
      <c r="R885" s="37" t="str">
        <f aca="false">IF($E885="","",N(IFERROR(INDEX(单位档案!$F$6:$F$35,MATCH($E885,单位档案!$A$6:$A$35,0)),"")))</f>
        <v/>
      </c>
      <c r="S885" s="36" t="n">
        <f aca="false">IF(OR($D885&lt;&gt;"销项开票",IFERROR(INDEX(单位档案!$G$6:$G$35,MATCH($E885,单位档案!$A$6:$A$35,0)),"")&lt;&gt;"是",N($Q885)=0),0,IF(IFERROR(INDEX(单位档案!$H$6:$H$35,MATCH($E885,单位档案!$A$6:$A$35,0)),"")="税差法",ROUND(N($H885)/(1+$Q885)*$Q885-IF(N($R885)=0,0,$P885/(1+$R885)*$R885),2),ROUND(N($H885)/(1+$Q885)*$Q885,2)))</f>
        <v>0</v>
      </c>
      <c r="T885" s="36" t="n">
        <f aca="false">ROUND($S885*N(IFERROR(INDEX(单位档案!$J$6:$J$35,MATCH($E885,单位档案!$A$6:$A$35,0)),"")),2)</f>
        <v>0</v>
      </c>
      <c r="U885" s="36" t="n">
        <f aca="false">IF($D885&lt;&gt;"销项开票",0,ROUND(N($H885)*N(IFERROR(INDEX(单位档案!$K$6:$K$35,MATCH($E885,单位档案!$A$6:$A$35,0)),"")),2))</f>
        <v>0</v>
      </c>
      <c r="V885" s="36" t="n">
        <f aca="false">IF(OR($D885&lt;&gt;"销项开票",N($Q885)=0),0,ROUND(N($H885)/(1+$Q885)*N(IFERROR(INDEX(单位档案!$L$6:$L$35,MATCH($E885,单位档案!$A$6:$A$35,0)),"")),2))</f>
        <v>0</v>
      </c>
      <c r="W885" s="36" t="n">
        <f aca="false">ROUND($S885+$T885+$U885+$V885,2)</f>
        <v>0</v>
      </c>
      <c r="X885" s="35" t="str">
        <f aca="false">IF(OR($D885="挂靠代收",$D885="我方收款"),COUNTIFS($D$5:$D885,"挂靠代收")+COUNTIFS($D$5:$D885,"我方收款"),"")</f>
        <v/>
      </c>
      <c r="Y885" s="35"/>
      <c r="Z885" s="21" t="s">
        <v>111</v>
      </c>
    </row>
    <row r="886" customFormat="false" ht="15.75" hidden="false" customHeight="true" outlineLevel="0" collapsed="false">
      <c r="A886" s="32" t="str">
        <f aca="false">IF($B886="","",ROW()-4)</f>
        <v/>
      </c>
      <c r="B886" s="26"/>
      <c r="C886" s="24"/>
      <c r="D886" s="21"/>
      <c r="E886" s="21"/>
      <c r="F886" s="21"/>
      <c r="G886" s="21"/>
      <c r="H886" s="27"/>
      <c r="I886" s="23" t="str">
        <f aca="false">IF($D886&lt;&gt;"销项开票","",IF($N886="一级",IF(IFERROR(INDEX(项目档案!$E$6:$E$255,MATCH($C886,项目档案!$A$6:$A$255,0)),"")="",N(IFERROR(INDEX(单位档案!$D$6:$D$35,MATCH($E886,单位档案!$A$6:$A$35,0)),"")),IFERROR(INDEX(项目档案!$E$6:$E$255,MATCH($C886,项目档案!$A$6:$A$255,0)),"")),IF($N886="二级",IF(IFERROR(INDEX(项目档案!$G$6:$G$255,MATCH($C886,项目档案!$A$6:$A$255,0)),"")="",N(IFERROR(INDEX(单位档案!$D$6:$D$35,MATCH($E886,单位档案!$A$6:$A$35,0)),"")),IFERROR(INDEX(项目档案!$G$6:$G$255,MATCH($C886,项目档案!$A$6:$A$255,0)),"")),N(IFERROR(INDEX(单位档案!$D$6:$D$35,MATCH($E886,单位档案!$A$6:$A$35,0)),"")))))</f>
        <v/>
      </c>
      <c r="J886" s="22"/>
      <c r="K886" s="22"/>
      <c r="L886" s="33" t="str">
        <f aca="false">IF($B886="","",IF(NOT(ISNUMBER($B886)),"日期格式不对",IF($C886="","未选项目编号",IF(LEFT($M886,1)="⚠","项目编号不存在",IF($D886="","未选业务类型",IF($E886="","未选开票/付款方",IF(ISNA(MATCH($E886,单位档案!$A$6:$A$35,0)),"开票方不在单位档案",IF($F886="","未选收票/收款方",IF(ISNA(MATCH($F886,单位档案!$A$6:$A$35,0)),"收款方不在单位档案",IF(NOT(ISNUMBER($H886)),"金额须为数字",IF(AND($D886="销项开票",$N886="—"),"链条待确认","√")))))))))))</f>
        <v/>
      </c>
      <c r="M886" s="34" t="str">
        <f aca="false">IF($C886="","",IFERROR(INDEX(项目档案!$B$6:$B$255,MATCH($C886,项目档案!$A$6:$A$255,0)),"⚠项目编号不存在"))</f>
        <v/>
      </c>
      <c r="N886" s="35" t="str">
        <f aca="false">IF($E886="","",IF($E886=IFERROR(INDEX(项目档案!$D$6:$D$255,MATCH($C886,项目档案!$A$6:$A$255,0)),""),"一级",IF($E886=IFERROR(INDEX(项目档案!$F$6:$F$255,MATCH($C886,项目档案!$A$6:$A$255,0)),""),"二级",IF($E886=IFERROR(INDEX(项目档案!$H$6:$H$255,MATCH($C886,项目档案!$A$6:$A$255,0)),""),"我方","—"))))</f>
        <v/>
      </c>
      <c r="O886" s="36" t="n">
        <f aca="false">IF($D886&lt;&gt;"销项开票",0,ROUND(N($H886)*N($I886),2))</f>
        <v>0</v>
      </c>
      <c r="P886" s="36" t="n">
        <f aca="false">IF($D886&lt;&gt;"销项开票",0,ROUND(N($H886)-$O886,2))</f>
        <v>0</v>
      </c>
      <c r="Q886" s="37" t="str">
        <f aca="false">IF($E886="","",N(IFERROR(INDEX(单位档案!$E$6:$E$35,MATCH($E886,单位档案!$A$6:$A$35,0)),"")))</f>
        <v/>
      </c>
      <c r="R886" s="37" t="str">
        <f aca="false">IF($E886="","",N(IFERROR(INDEX(单位档案!$F$6:$F$35,MATCH($E886,单位档案!$A$6:$A$35,0)),"")))</f>
        <v/>
      </c>
      <c r="S886" s="36" t="n">
        <f aca="false">IF(OR($D886&lt;&gt;"销项开票",IFERROR(INDEX(单位档案!$G$6:$G$35,MATCH($E886,单位档案!$A$6:$A$35,0)),"")&lt;&gt;"是",N($Q886)=0),0,IF(IFERROR(INDEX(单位档案!$H$6:$H$35,MATCH($E886,单位档案!$A$6:$A$35,0)),"")="税差法",ROUND(N($H886)/(1+$Q886)*$Q886-IF(N($R886)=0,0,$P886/(1+$R886)*$R886),2),ROUND(N($H886)/(1+$Q886)*$Q886,2)))</f>
        <v>0</v>
      </c>
      <c r="T886" s="36" t="n">
        <f aca="false">ROUND($S886*N(IFERROR(INDEX(单位档案!$J$6:$J$35,MATCH($E886,单位档案!$A$6:$A$35,0)),"")),2)</f>
        <v>0</v>
      </c>
      <c r="U886" s="36" t="n">
        <f aca="false">IF($D886&lt;&gt;"销项开票",0,ROUND(N($H886)*N(IFERROR(INDEX(单位档案!$K$6:$K$35,MATCH($E886,单位档案!$A$6:$A$35,0)),"")),2))</f>
        <v>0</v>
      </c>
      <c r="V886" s="36" t="n">
        <f aca="false">IF(OR($D886&lt;&gt;"销项开票",N($Q886)=0),0,ROUND(N($H886)/(1+$Q886)*N(IFERROR(INDEX(单位档案!$L$6:$L$35,MATCH($E886,单位档案!$A$6:$A$35,0)),"")),2))</f>
        <v>0</v>
      </c>
      <c r="W886" s="36" t="n">
        <f aca="false">ROUND($S886+$T886+$U886+$V886,2)</f>
        <v>0</v>
      </c>
      <c r="X886" s="35" t="str">
        <f aca="false">IF(OR($D886="挂靠代收",$D886="我方收款"),COUNTIFS($D$5:$D886,"挂靠代收")+COUNTIFS($D$5:$D886,"我方收款"),"")</f>
        <v/>
      </c>
      <c r="Y886" s="35"/>
      <c r="Z886" s="21" t="s">
        <v>111</v>
      </c>
    </row>
    <row r="887" customFormat="false" ht="15.75" hidden="false" customHeight="true" outlineLevel="0" collapsed="false">
      <c r="A887" s="32" t="str">
        <f aca="false">IF($B887="","",ROW()-4)</f>
        <v/>
      </c>
      <c r="B887" s="26"/>
      <c r="C887" s="24"/>
      <c r="D887" s="21"/>
      <c r="E887" s="21"/>
      <c r="F887" s="21"/>
      <c r="G887" s="21"/>
      <c r="H887" s="27"/>
      <c r="I887" s="23" t="str">
        <f aca="false">IF($D887&lt;&gt;"销项开票","",IF($N887="一级",IF(IFERROR(INDEX(项目档案!$E$6:$E$255,MATCH($C887,项目档案!$A$6:$A$255,0)),"")="",N(IFERROR(INDEX(单位档案!$D$6:$D$35,MATCH($E887,单位档案!$A$6:$A$35,0)),"")),IFERROR(INDEX(项目档案!$E$6:$E$255,MATCH($C887,项目档案!$A$6:$A$255,0)),"")),IF($N887="二级",IF(IFERROR(INDEX(项目档案!$G$6:$G$255,MATCH($C887,项目档案!$A$6:$A$255,0)),"")="",N(IFERROR(INDEX(单位档案!$D$6:$D$35,MATCH($E887,单位档案!$A$6:$A$35,0)),"")),IFERROR(INDEX(项目档案!$G$6:$G$255,MATCH($C887,项目档案!$A$6:$A$255,0)),"")),N(IFERROR(INDEX(单位档案!$D$6:$D$35,MATCH($E887,单位档案!$A$6:$A$35,0)),"")))))</f>
        <v/>
      </c>
      <c r="J887" s="22"/>
      <c r="K887" s="22"/>
      <c r="L887" s="33" t="str">
        <f aca="false">IF($B887="","",IF(NOT(ISNUMBER($B887)),"日期格式不对",IF($C887="","未选项目编号",IF(LEFT($M887,1)="⚠","项目编号不存在",IF($D887="","未选业务类型",IF($E887="","未选开票/付款方",IF(ISNA(MATCH($E887,单位档案!$A$6:$A$35,0)),"开票方不在单位档案",IF($F887="","未选收票/收款方",IF(ISNA(MATCH($F887,单位档案!$A$6:$A$35,0)),"收款方不在单位档案",IF(NOT(ISNUMBER($H887)),"金额须为数字",IF(AND($D887="销项开票",$N887="—"),"链条待确认","√")))))))))))</f>
        <v/>
      </c>
      <c r="M887" s="34" t="str">
        <f aca="false">IF($C887="","",IFERROR(INDEX(项目档案!$B$6:$B$255,MATCH($C887,项目档案!$A$6:$A$255,0)),"⚠项目编号不存在"))</f>
        <v/>
      </c>
      <c r="N887" s="35" t="str">
        <f aca="false">IF($E887="","",IF($E887=IFERROR(INDEX(项目档案!$D$6:$D$255,MATCH($C887,项目档案!$A$6:$A$255,0)),""),"一级",IF($E887=IFERROR(INDEX(项目档案!$F$6:$F$255,MATCH($C887,项目档案!$A$6:$A$255,0)),""),"二级",IF($E887=IFERROR(INDEX(项目档案!$H$6:$H$255,MATCH($C887,项目档案!$A$6:$A$255,0)),""),"我方","—"))))</f>
        <v/>
      </c>
      <c r="O887" s="36" t="n">
        <f aca="false">IF($D887&lt;&gt;"销项开票",0,ROUND(N($H887)*N($I887),2))</f>
        <v>0</v>
      </c>
      <c r="P887" s="36" t="n">
        <f aca="false">IF($D887&lt;&gt;"销项开票",0,ROUND(N($H887)-$O887,2))</f>
        <v>0</v>
      </c>
      <c r="Q887" s="37" t="str">
        <f aca="false">IF($E887="","",N(IFERROR(INDEX(单位档案!$E$6:$E$35,MATCH($E887,单位档案!$A$6:$A$35,0)),"")))</f>
        <v/>
      </c>
      <c r="R887" s="37" t="str">
        <f aca="false">IF($E887="","",N(IFERROR(INDEX(单位档案!$F$6:$F$35,MATCH($E887,单位档案!$A$6:$A$35,0)),"")))</f>
        <v/>
      </c>
      <c r="S887" s="36" t="n">
        <f aca="false">IF(OR($D887&lt;&gt;"销项开票",IFERROR(INDEX(单位档案!$G$6:$G$35,MATCH($E887,单位档案!$A$6:$A$35,0)),"")&lt;&gt;"是",N($Q887)=0),0,IF(IFERROR(INDEX(单位档案!$H$6:$H$35,MATCH($E887,单位档案!$A$6:$A$35,0)),"")="税差法",ROUND(N($H887)/(1+$Q887)*$Q887-IF(N($R887)=0,0,$P887/(1+$R887)*$R887),2),ROUND(N($H887)/(1+$Q887)*$Q887,2)))</f>
        <v>0</v>
      </c>
      <c r="T887" s="36" t="n">
        <f aca="false">ROUND($S887*N(IFERROR(INDEX(单位档案!$J$6:$J$35,MATCH($E887,单位档案!$A$6:$A$35,0)),"")),2)</f>
        <v>0</v>
      </c>
      <c r="U887" s="36" t="n">
        <f aca="false">IF($D887&lt;&gt;"销项开票",0,ROUND(N($H887)*N(IFERROR(INDEX(单位档案!$K$6:$K$35,MATCH($E887,单位档案!$A$6:$A$35,0)),"")),2))</f>
        <v>0</v>
      </c>
      <c r="V887" s="36" t="n">
        <f aca="false">IF(OR($D887&lt;&gt;"销项开票",N($Q887)=0),0,ROUND(N($H887)/(1+$Q887)*N(IFERROR(INDEX(单位档案!$L$6:$L$35,MATCH($E887,单位档案!$A$6:$A$35,0)),"")),2))</f>
        <v>0</v>
      </c>
      <c r="W887" s="36" t="n">
        <f aca="false">ROUND($S887+$T887+$U887+$V887,2)</f>
        <v>0</v>
      </c>
      <c r="X887" s="35" t="str">
        <f aca="false">IF(OR($D887="挂靠代收",$D887="我方收款"),COUNTIFS($D$5:$D887,"挂靠代收")+COUNTIFS($D$5:$D887,"我方收款"),"")</f>
        <v/>
      </c>
      <c r="Y887" s="35"/>
      <c r="Z887" s="21" t="s">
        <v>111</v>
      </c>
    </row>
    <row r="888" customFormat="false" ht="15.75" hidden="false" customHeight="true" outlineLevel="0" collapsed="false">
      <c r="A888" s="32" t="str">
        <f aca="false">IF($B888="","",ROW()-4)</f>
        <v/>
      </c>
      <c r="B888" s="26"/>
      <c r="C888" s="24"/>
      <c r="D888" s="21"/>
      <c r="E888" s="21"/>
      <c r="F888" s="21"/>
      <c r="G888" s="21"/>
      <c r="H888" s="27"/>
      <c r="I888" s="23" t="str">
        <f aca="false">IF($D888&lt;&gt;"销项开票","",IF($N888="一级",IF(IFERROR(INDEX(项目档案!$E$6:$E$255,MATCH($C888,项目档案!$A$6:$A$255,0)),"")="",N(IFERROR(INDEX(单位档案!$D$6:$D$35,MATCH($E888,单位档案!$A$6:$A$35,0)),"")),IFERROR(INDEX(项目档案!$E$6:$E$255,MATCH($C888,项目档案!$A$6:$A$255,0)),"")),IF($N888="二级",IF(IFERROR(INDEX(项目档案!$G$6:$G$255,MATCH($C888,项目档案!$A$6:$A$255,0)),"")="",N(IFERROR(INDEX(单位档案!$D$6:$D$35,MATCH($E888,单位档案!$A$6:$A$35,0)),"")),IFERROR(INDEX(项目档案!$G$6:$G$255,MATCH($C888,项目档案!$A$6:$A$255,0)),"")),N(IFERROR(INDEX(单位档案!$D$6:$D$35,MATCH($E888,单位档案!$A$6:$A$35,0)),"")))))</f>
        <v/>
      </c>
      <c r="J888" s="22"/>
      <c r="K888" s="22"/>
      <c r="L888" s="33" t="str">
        <f aca="false">IF($B888="","",IF(NOT(ISNUMBER($B888)),"日期格式不对",IF($C888="","未选项目编号",IF(LEFT($M888,1)="⚠","项目编号不存在",IF($D888="","未选业务类型",IF($E888="","未选开票/付款方",IF(ISNA(MATCH($E888,单位档案!$A$6:$A$35,0)),"开票方不在单位档案",IF($F888="","未选收票/收款方",IF(ISNA(MATCH($F888,单位档案!$A$6:$A$35,0)),"收款方不在单位档案",IF(NOT(ISNUMBER($H888)),"金额须为数字",IF(AND($D888="销项开票",$N888="—"),"链条待确认","√")))))))))))</f>
        <v/>
      </c>
      <c r="M888" s="34" t="str">
        <f aca="false">IF($C888="","",IFERROR(INDEX(项目档案!$B$6:$B$255,MATCH($C888,项目档案!$A$6:$A$255,0)),"⚠项目编号不存在"))</f>
        <v/>
      </c>
      <c r="N888" s="35" t="str">
        <f aca="false">IF($E888="","",IF($E888=IFERROR(INDEX(项目档案!$D$6:$D$255,MATCH($C888,项目档案!$A$6:$A$255,0)),""),"一级",IF($E888=IFERROR(INDEX(项目档案!$F$6:$F$255,MATCH($C888,项目档案!$A$6:$A$255,0)),""),"二级",IF($E888=IFERROR(INDEX(项目档案!$H$6:$H$255,MATCH($C888,项目档案!$A$6:$A$255,0)),""),"我方","—"))))</f>
        <v/>
      </c>
      <c r="O888" s="36" t="n">
        <f aca="false">IF($D888&lt;&gt;"销项开票",0,ROUND(N($H888)*N($I888),2))</f>
        <v>0</v>
      </c>
      <c r="P888" s="36" t="n">
        <f aca="false">IF($D888&lt;&gt;"销项开票",0,ROUND(N($H888)-$O888,2))</f>
        <v>0</v>
      </c>
      <c r="Q888" s="37" t="str">
        <f aca="false">IF($E888="","",N(IFERROR(INDEX(单位档案!$E$6:$E$35,MATCH($E888,单位档案!$A$6:$A$35,0)),"")))</f>
        <v/>
      </c>
      <c r="R888" s="37" t="str">
        <f aca="false">IF($E888="","",N(IFERROR(INDEX(单位档案!$F$6:$F$35,MATCH($E888,单位档案!$A$6:$A$35,0)),"")))</f>
        <v/>
      </c>
      <c r="S888" s="36" t="n">
        <f aca="false">IF(OR($D888&lt;&gt;"销项开票",IFERROR(INDEX(单位档案!$G$6:$G$35,MATCH($E888,单位档案!$A$6:$A$35,0)),"")&lt;&gt;"是",N($Q888)=0),0,IF(IFERROR(INDEX(单位档案!$H$6:$H$35,MATCH($E888,单位档案!$A$6:$A$35,0)),"")="税差法",ROUND(N($H888)/(1+$Q888)*$Q888-IF(N($R888)=0,0,$P888/(1+$R888)*$R888),2),ROUND(N($H888)/(1+$Q888)*$Q888,2)))</f>
        <v>0</v>
      </c>
      <c r="T888" s="36" t="n">
        <f aca="false">ROUND($S888*N(IFERROR(INDEX(单位档案!$J$6:$J$35,MATCH($E888,单位档案!$A$6:$A$35,0)),"")),2)</f>
        <v>0</v>
      </c>
      <c r="U888" s="36" t="n">
        <f aca="false">IF($D888&lt;&gt;"销项开票",0,ROUND(N($H888)*N(IFERROR(INDEX(单位档案!$K$6:$K$35,MATCH($E888,单位档案!$A$6:$A$35,0)),"")),2))</f>
        <v>0</v>
      </c>
      <c r="V888" s="36" t="n">
        <f aca="false">IF(OR($D888&lt;&gt;"销项开票",N($Q888)=0),0,ROUND(N($H888)/(1+$Q888)*N(IFERROR(INDEX(单位档案!$L$6:$L$35,MATCH($E888,单位档案!$A$6:$A$35,0)),"")),2))</f>
        <v>0</v>
      </c>
      <c r="W888" s="36" t="n">
        <f aca="false">ROUND($S888+$T888+$U888+$V888,2)</f>
        <v>0</v>
      </c>
      <c r="X888" s="35" t="str">
        <f aca="false">IF(OR($D888="挂靠代收",$D888="我方收款"),COUNTIFS($D$5:$D888,"挂靠代收")+COUNTIFS($D$5:$D888,"我方收款"),"")</f>
        <v/>
      </c>
      <c r="Y888" s="35"/>
      <c r="Z888" s="21" t="s">
        <v>111</v>
      </c>
    </row>
    <row r="889" customFormat="false" ht="15.75" hidden="false" customHeight="true" outlineLevel="0" collapsed="false">
      <c r="A889" s="32" t="str">
        <f aca="false">IF($B889="","",ROW()-4)</f>
        <v/>
      </c>
      <c r="B889" s="26"/>
      <c r="C889" s="24"/>
      <c r="D889" s="21"/>
      <c r="E889" s="21"/>
      <c r="F889" s="21"/>
      <c r="G889" s="21"/>
      <c r="H889" s="27"/>
      <c r="I889" s="23" t="str">
        <f aca="false">IF($D889&lt;&gt;"销项开票","",IF($N889="一级",IF(IFERROR(INDEX(项目档案!$E$6:$E$255,MATCH($C889,项目档案!$A$6:$A$255,0)),"")="",N(IFERROR(INDEX(单位档案!$D$6:$D$35,MATCH($E889,单位档案!$A$6:$A$35,0)),"")),IFERROR(INDEX(项目档案!$E$6:$E$255,MATCH($C889,项目档案!$A$6:$A$255,0)),"")),IF($N889="二级",IF(IFERROR(INDEX(项目档案!$G$6:$G$255,MATCH($C889,项目档案!$A$6:$A$255,0)),"")="",N(IFERROR(INDEX(单位档案!$D$6:$D$35,MATCH($E889,单位档案!$A$6:$A$35,0)),"")),IFERROR(INDEX(项目档案!$G$6:$G$255,MATCH($C889,项目档案!$A$6:$A$255,0)),"")),N(IFERROR(INDEX(单位档案!$D$6:$D$35,MATCH($E889,单位档案!$A$6:$A$35,0)),"")))))</f>
        <v/>
      </c>
      <c r="J889" s="22"/>
      <c r="K889" s="22"/>
      <c r="L889" s="33" t="str">
        <f aca="false">IF($B889="","",IF(NOT(ISNUMBER($B889)),"日期格式不对",IF($C889="","未选项目编号",IF(LEFT($M889,1)="⚠","项目编号不存在",IF($D889="","未选业务类型",IF($E889="","未选开票/付款方",IF(ISNA(MATCH($E889,单位档案!$A$6:$A$35,0)),"开票方不在单位档案",IF($F889="","未选收票/收款方",IF(ISNA(MATCH($F889,单位档案!$A$6:$A$35,0)),"收款方不在单位档案",IF(NOT(ISNUMBER($H889)),"金额须为数字",IF(AND($D889="销项开票",$N889="—"),"链条待确认","√")))))))))))</f>
        <v/>
      </c>
      <c r="M889" s="34" t="str">
        <f aca="false">IF($C889="","",IFERROR(INDEX(项目档案!$B$6:$B$255,MATCH($C889,项目档案!$A$6:$A$255,0)),"⚠项目编号不存在"))</f>
        <v/>
      </c>
      <c r="N889" s="35" t="str">
        <f aca="false">IF($E889="","",IF($E889=IFERROR(INDEX(项目档案!$D$6:$D$255,MATCH($C889,项目档案!$A$6:$A$255,0)),""),"一级",IF($E889=IFERROR(INDEX(项目档案!$F$6:$F$255,MATCH($C889,项目档案!$A$6:$A$255,0)),""),"二级",IF($E889=IFERROR(INDEX(项目档案!$H$6:$H$255,MATCH($C889,项目档案!$A$6:$A$255,0)),""),"我方","—"))))</f>
        <v/>
      </c>
      <c r="O889" s="36" t="n">
        <f aca="false">IF($D889&lt;&gt;"销项开票",0,ROUND(N($H889)*N($I889),2))</f>
        <v>0</v>
      </c>
      <c r="P889" s="36" t="n">
        <f aca="false">IF($D889&lt;&gt;"销项开票",0,ROUND(N($H889)-$O889,2))</f>
        <v>0</v>
      </c>
      <c r="Q889" s="37" t="str">
        <f aca="false">IF($E889="","",N(IFERROR(INDEX(单位档案!$E$6:$E$35,MATCH($E889,单位档案!$A$6:$A$35,0)),"")))</f>
        <v/>
      </c>
      <c r="R889" s="37" t="str">
        <f aca="false">IF($E889="","",N(IFERROR(INDEX(单位档案!$F$6:$F$35,MATCH($E889,单位档案!$A$6:$A$35,0)),"")))</f>
        <v/>
      </c>
      <c r="S889" s="36" t="n">
        <f aca="false">IF(OR($D889&lt;&gt;"销项开票",IFERROR(INDEX(单位档案!$G$6:$G$35,MATCH($E889,单位档案!$A$6:$A$35,0)),"")&lt;&gt;"是",N($Q889)=0),0,IF(IFERROR(INDEX(单位档案!$H$6:$H$35,MATCH($E889,单位档案!$A$6:$A$35,0)),"")="税差法",ROUND(N($H889)/(1+$Q889)*$Q889-IF(N($R889)=0,0,$P889/(1+$R889)*$R889),2),ROUND(N($H889)/(1+$Q889)*$Q889,2)))</f>
        <v>0</v>
      </c>
      <c r="T889" s="36" t="n">
        <f aca="false">ROUND($S889*N(IFERROR(INDEX(单位档案!$J$6:$J$35,MATCH($E889,单位档案!$A$6:$A$35,0)),"")),2)</f>
        <v>0</v>
      </c>
      <c r="U889" s="36" t="n">
        <f aca="false">IF($D889&lt;&gt;"销项开票",0,ROUND(N($H889)*N(IFERROR(INDEX(单位档案!$K$6:$K$35,MATCH($E889,单位档案!$A$6:$A$35,0)),"")),2))</f>
        <v>0</v>
      </c>
      <c r="V889" s="36" t="n">
        <f aca="false">IF(OR($D889&lt;&gt;"销项开票",N($Q889)=0),0,ROUND(N($H889)/(1+$Q889)*N(IFERROR(INDEX(单位档案!$L$6:$L$35,MATCH($E889,单位档案!$A$6:$A$35,0)),"")),2))</f>
        <v>0</v>
      </c>
      <c r="W889" s="36" t="n">
        <f aca="false">ROUND($S889+$T889+$U889+$V889,2)</f>
        <v>0</v>
      </c>
      <c r="X889" s="35" t="str">
        <f aca="false">IF(OR($D889="挂靠代收",$D889="我方收款"),COUNTIFS($D$5:$D889,"挂靠代收")+COUNTIFS($D$5:$D889,"我方收款"),"")</f>
        <v/>
      </c>
      <c r="Y889" s="35"/>
      <c r="Z889" s="21" t="s">
        <v>111</v>
      </c>
    </row>
    <row r="890" customFormat="false" ht="15.75" hidden="false" customHeight="true" outlineLevel="0" collapsed="false">
      <c r="A890" s="32" t="str">
        <f aca="false">IF($B890="","",ROW()-4)</f>
        <v/>
      </c>
      <c r="B890" s="26"/>
      <c r="C890" s="24"/>
      <c r="D890" s="21"/>
      <c r="E890" s="21"/>
      <c r="F890" s="21"/>
      <c r="G890" s="21"/>
      <c r="H890" s="27"/>
      <c r="I890" s="23" t="str">
        <f aca="false">IF($D890&lt;&gt;"销项开票","",IF($N890="一级",IF(IFERROR(INDEX(项目档案!$E$6:$E$255,MATCH($C890,项目档案!$A$6:$A$255,0)),"")="",N(IFERROR(INDEX(单位档案!$D$6:$D$35,MATCH($E890,单位档案!$A$6:$A$35,0)),"")),IFERROR(INDEX(项目档案!$E$6:$E$255,MATCH($C890,项目档案!$A$6:$A$255,0)),"")),IF($N890="二级",IF(IFERROR(INDEX(项目档案!$G$6:$G$255,MATCH($C890,项目档案!$A$6:$A$255,0)),"")="",N(IFERROR(INDEX(单位档案!$D$6:$D$35,MATCH($E890,单位档案!$A$6:$A$35,0)),"")),IFERROR(INDEX(项目档案!$G$6:$G$255,MATCH($C890,项目档案!$A$6:$A$255,0)),"")),N(IFERROR(INDEX(单位档案!$D$6:$D$35,MATCH($E890,单位档案!$A$6:$A$35,0)),"")))))</f>
        <v/>
      </c>
      <c r="J890" s="22"/>
      <c r="K890" s="22"/>
      <c r="L890" s="33" t="str">
        <f aca="false">IF($B890="","",IF(NOT(ISNUMBER($B890)),"日期格式不对",IF($C890="","未选项目编号",IF(LEFT($M890,1)="⚠","项目编号不存在",IF($D890="","未选业务类型",IF($E890="","未选开票/付款方",IF(ISNA(MATCH($E890,单位档案!$A$6:$A$35,0)),"开票方不在单位档案",IF($F890="","未选收票/收款方",IF(ISNA(MATCH($F890,单位档案!$A$6:$A$35,0)),"收款方不在单位档案",IF(NOT(ISNUMBER($H890)),"金额须为数字",IF(AND($D890="销项开票",$N890="—"),"链条待确认","√")))))))))))</f>
        <v/>
      </c>
      <c r="M890" s="34" t="str">
        <f aca="false">IF($C890="","",IFERROR(INDEX(项目档案!$B$6:$B$255,MATCH($C890,项目档案!$A$6:$A$255,0)),"⚠项目编号不存在"))</f>
        <v/>
      </c>
      <c r="N890" s="35" t="str">
        <f aca="false">IF($E890="","",IF($E890=IFERROR(INDEX(项目档案!$D$6:$D$255,MATCH($C890,项目档案!$A$6:$A$255,0)),""),"一级",IF($E890=IFERROR(INDEX(项目档案!$F$6:$F$255,MATCH($C890,项目档案!$A$6:$A$255,0)),""),"二级",IF($E890=IFERROR(INDEX(项目档案!$H$6:$H$255,MATCH($C890,项目档案!$A$6:$A$255,0)),""),"我方","—"))))</f>
        <v/>
      </c>
      <c r="O890" s="36" t="n">
        <f aca="false">IF($D890&lt;&gt;"销项开票",0,ROUND(N($H890)*N($I890),2))</f>
        <v>0</v>
      </c>
      <c r="P890" s="36" t="n">
        <f aca="false">IF($D890&lt;&gt;"销项开票",0,ROUND(N($H890)-$O890,2))</f>
        <v>0</v>
      </c>
      <c r="Q890" s="37" t="str">
        <f aca="false">IF($E890="","",N(IFERROR(INDEX(单位档案!$E$6:$E$35,MATCH($E890,单位档案!$A$6:$A$35,0)),"")))</f>
        <v/>
      </c>
      <c r="R890" s="37" t="str">
        <f aca="false">IF($E890="","",N(IFERROR(INDEX(单位档案!$F$6:$F$35,MATCH($E890,单位档案!$A$6:$A$35,0)),"")))</f>
        <v/>
      </c>
      <c r="S890" s="36" t="n">
        <f aca="false">IF(OR($D890&lt;&gt;"销项开票",IFERROR(INDEX(单位档案!$G$6:$G$35,MATCH($E890,单位档案!$A$6:$A$35,0)),"")&lt;&gt;"是",N($Q890)=0),0,IF(IFERROR(INDEX(单位档案!$H$6:$H$35,MATCH($E890,单位档案!$A$6:$A$35,0)),"")="税差法",ROUND(N($H890)/(1+$Q890)*$Q890-IF(N($R890)=0,0,$P890/(1+$R890)*$R890),2),ROUND(N($H890)/(1+$Q890)*$Q890,2)))</f>
        <v>0</v>
      </c>
      <c r="T890" s="36" t="n">
        <f aca="false">ROUND($S890*N(IFERROR(INDEX(单位档案!$J$6:$J$35,MATCH($E890,单位档案!$A$6:$A$35,0)),"")),2)</f>
        <v>0</v>
      </c>
      <c r="U890" s="36" t="n">
        <f aca="false">IF($D890&lt;&gt;"销项开票",0,ROUND(N($H890)*N(IFERROR(INDEX(单位档案!$K$6:$K$35,MATCH($E890,单位档案!$A$6:$A$35,0)),"")),2))</f>
        <v>0</v>
      </c>
      <c r="V890" s="36" t="n">
        <f aca="false">IF(OR($D890&lt;&gt;"销项开票",N($Q890)=0),0,ROUND(N($H890)/(1+$Q890)*N(IFERROR(INDEX(单位档案!$L$6:$L$35,MATCH($E890,单位档案!$A$6:$A$35,0)),"")),2))</f>
        <v>0</v>
      </c>
      <c r="W890" s="36" t="n">
        <f aca="false">ROUND($S890+$T890+$U890+$V890,2)</f>
        <v>0</v>
      </c>
      <c r="X890" s="35" t="str">
        <f aca="false">IF(OR($D890="挂靠代收",$D890="我方收款"),COUNTIFS($D$5:$D890,"挂靠代收")+COUNTIFS($D$5:$D890,"我方收款"),"")</f>
        <v/>
      </c>
      <c r="Y890" s="35"/>
      <c r="Z890" s="21" t="s">
        <v>111</v>
      </c>
    </row>
    <row r="891" customFormat="false" ht="15.75" hidden="false" customHeight="true" outlineLevel="0" collapsed="false">
      <c r="A891" s="32" t="str">
        <f aca="false">IF($B891="","",ROW()-4)</f>
        <v/>
      </c>
      <c r="B891" s="26"/>
      <c r="C891" s="24"/>
      <c r="D891" s="21"/>
      <c r="E891" s="21"/>
      <c r="F891" s="21"/>
      <c r="G891" s="21"/>
      <c r="H891" s="27"/>
      <c r="I891" s="23" t="str">
        <f aca="false">IF($D891&lt;&gt;"销项开票","",IF($N891="一级",IF(IFERROR(INDEX(项目档案!$E$6:$E$255,MATCH($C891,项目档案!$A$6:$A$255,0)),"")="",N(IFERROR(INDEX(单位档案!$D$6:$D$35,MATCH($E891,单位档案!$A$6:$A$35,0)),"")),IFERROR(INDEX(项目档案!$E$6:$E$255,MATCH($C891,项目档案!$A$6:$A$255,0)),"")),IF($N891="二级",IF(IFERROR(INDEX(项目档案!$G$6:$G$255,MATCH($C891,项目档案!$A$6:$A$255,0)),"")="",N(IFERROR(INDEX(单位档案!$D$6:$D$35,MATCH($E891,单位档案!$A$6:$A$35,0)),"")),IFERROR(INDEX(项目档案!$G$6:$G$255,MATCH($C891,项目档案!$A$6:$A$255,0)),"")),N(IFERROR(INDEX(单位档案!$D$6:$D$35,MATCH($E891,单位档案!$A$6:$A$35,0)),"")))))</f>
        <v/>
      </c>
      <c r="J891" s="22"/>
      <c r="K891" s="22"/>
      <c r="L891" s="33" t="str">
        <f aca="false">IF($B891="","",IF(NOT(ISNUMBER($B891)),"日期格式不对",IF($C891="","未选项目编号",IF(LEFT($M891,1)="⚠","项目编号不存在",IF($D891="","未选业务类型",IF($E891="","未选开票/付款方",IF(ISNA(MATCH($E891,单位档案!$A$6:$A$35,0)),"开票方不在单位档案",IF($F891="","未选收票/收款方",IF(ISNA(MATCH($F891,单位档案!$A$6:$A$35,0)),"收款方不在单位档案",IF(NOT(ISNUMBER($H891)),"金额须为数字",IF(AND($D891="销项开票",$N891="—"),"链条待确认","√")))))))))))</f>
        <v/>
      </c>
      <c r="M891" s="34" t="str">
        <f aca="false">IF($C891="","",IFERROR(INDEX(项目档案!$B$6:$B$255,MATCH($C891,项目档案!$A$6:$A$255,0)),"⚠项目编号不存在"))</f>
        <v/>
      </c>
      <c r="N891" s="35" t="str">
        <f aca="false">IF($E891="","",IF($E891=IFERROR(INDEX(项目档案!$D$6:$D$255,MATCH($C891,项目档案!$A$6:$A$255,0)),""),"一级",IF($E891=IFERROR(INDEX(项目档案!$F$6:$F$255,MATCH($C891,项目档案!$A$6:$A$255,0)),""),"二级",IF($E891=IFERROR(INDEX(项目档案!$H$6:$H$255,MATCH($C891,项目档案!$A$6:$A$255,0)),""),"我方","—"))))</f>
        <v/>
      </c>
      <c r="O891" s="36" t="n">
        <f aca="false">IF($D891&lt;&gt;"销项开票",0,ROUND(N($H891)*N($I891),2))</f>
        <v>0</v>
      </c>
      <c r="P891" s="36" t="n">
        <f aca="false">IF($D891&lt;&gt;"销项开票",0,ROUND(N($H891)-$O891,2))</f>
        <v>0</v>
      </c>
      <c r="Q891" s="37" t="str">
        <f aca="false">IF($E891="","",N(IFERROR(INDEX(单位档案!$E$6:$E$35,MATCH($E891,单位档案!$A$6:$A$35,0)),"")))</f>
        <v/>
      </c>
      <c r="R891" s="37" t="str">
        <f aca="false">IF($E891="","",N(IFERROR(INDEX(单位档案!$F$6:$F$35,MATCH($E891,单位档案!$A$6:$A$35,0)),"")))</f>
        <v/>
      </c>
      <c r="S891" s="36" t="n">
        <f aca="false">IF(OR($D891&lt;&gt;"销项开票",IFERROR(INDEX(单位档案!$G$6:$G$35,MATCH($E891,单位档案!$A$6:$A$35,0)),"")&lt;&gt;"是",N($Q891)=0),0,IF(IFERROR(INDEX(单位档案!$H$6:$H$35,MATCH($E891,单位档案!$A$6:$A$35,0)),"")="税差法",ROUND(N($H891)/(1+$Q891)*$Q891-IF(N($R891)=0,0,$P891/(1+$R891)*$R891),2),ROUND(N($H891)/(1+$Q891)*$Q891,2)))</f>
        <v>0</v>
      </c>
      <c r="T891" s="36" t="n">
        <f aca="false">ROUND($S891*N(IFERROR(INDEX(单位档案!$J$6:$J$35,MATCH($E891,单位档案!$A$6:$A$35,0)),"")),2)</f>
        <v>0</v>
      </c>
      <c r="U891" s="36" t="n">
        <f aca="false">IF($D891&lt;&gt;"销项开票",0,ROUND(N($H891)*N(IFERROR(INDEX(单位档案!$K$6:$K$35,MATCH($E891,单位档案!$A$6:$A$35,0)),"")),2))</f>
        <v>0</v>
      </c>
      <c r="V891" s="36" t="n">
        <f aca="false">IF(OR($D891&lt;&gt;"销项开票",N($Q891)=0),0,ROUND(N($H891)/(1+$Q891)*N(IFERROR(INDEX(单位档案!$L$6:$L$35,MATCH($E891,单位档案!$A$6:$A$35,0)),"")),2))</f>
        <v>0</v>
      </c>
      <c r="W891" s="36" t="n">
        <f aca="false">ROUND($S891+$T891+$U891+$V891,2)</f>
        <v>0</v>
      </c>
      <c r="X891" s="35" t="str">
        <f aca="false">IF(OR($D891="挂靠代收",$D891="我方收款"),COUNTIFS($D$5:$D891,"挂靠代收")+COUNTIFS($D$5:$D891,"我方收款"),"")</f>
        <v/>
      </c>
      <c r="Y891" s="35"/>
      <c r="Z891" s="21" t="s">
        <v>111</v>
      </c>
    </row>
    <row r="892" customFormat="false" ht="15.75" hidden="false" customHeight="true" outlineLevel="0" collapsed="false">
      <c r="A892" s="32" t="str">
        <f aca="false">IF($B892="","",ROW()-4)</f>
        <v/>
      </c>
      <c r="B892" s="26"/>
      <c r="C892" s="24"/>
      <c r="D892" s="21"/>
      <c r="E892" s="21"/>
      <c r="F892" s="21"/>
      <c r="G892" s="21"/>
      <c r="H892" s="27"/>
      <c r="I892" s="23" t="str">
        <f aca="false">IF($D892&lt;&gt;"销项开票","",IF($N892="一级",IF(IFERROR(INDEX(项目档案!$E$6:$E$255,MATCH($C892,项目档案!$A$6:$A$255,0)),"")="",N(IFERROR(INDEX(单位档案!$D$6:$D$35,MATCH($E892,单位档案!$A$6:$A$35,0)),"")),IFERROR(INDEX(项目档案!$E$6:$E$255,MATCH($C892,项目档案!$A$6:$A$255,0)),"")),IF($N892="二级",IF(IFERROR(INDEX(项目档案!$G$6:$G$255,MATCH($C892,项目档案!$A$6:$A$255,0)),"")="",N(IFERROR(INDEX(单位档案!$D$6:$D$35,MATCH($E892,单位档案!$A$6:$A$35,0)),"")),IFERROR(INDEX(项目档案!$G$6:$G$255,MATCH($C892,项目档案!$A$6:$A$255,0)),"")),N(IFERROR(INDEX(单位档案!$D$6:$D$35,MATCH($E892,单位档案!$A$6:$A$35,0)),"")))))</f>
        <v/>
      </c>
      <c r="J892" s="22"/>
      <c r="K892" s="22"/>
      <c r="L892" s="33" t="str">
        <f aca="false">IF($B892="","",IF(NOT(ISNUMBER($B892)),"日期格式不对",IF($C892="","未选项目编号",IF(LEFT($M892,1)="⚠","项目编号不存在",IF($D892="","未选业务类型",IF($E892="","未选开票/付款方",IF(ISNA(MATCH($E892,单位档案!$A$6:$A$35,0)),"开票方不在单位档案",IF($F892="","未选收票/收款方",IF(ISNA(MATCH($F892,单位档案!$A$6:$A$35,0)),"收款方不在单位档案",IF(NOT(ISNUMBER($H892)),"金额须为数字",IF(AND($D892="销项开票",$N892="—"),"链条待确认","√")))))))))))</f>
        <v/>
      </c>
      <c r="M892" s="34" t="str">
        <f aca="false">IF($C892="","",IFERROR(INDEX(项目档案!$B$6:$B$255,MATCH($C892,项目档案!$A$6:$A$255,0)),"⚠项目编号不存在"))</f>
        <v/>
      </c>
      <c r="N892" s="35" t="str">
        <f aca="false">IF($E892="","",IF($E892=IFERROR(INDEX(项目档案!$D$6:$D$255,MATCH($C892,项目档案!$A$6:$A$255,0)),""),"一级",IF($E892=IFERROR(INDEX(项目档案!$F$6:$F$255,MATCH($C892,项目档案!$A$6:$A$255,0)),""),"二级",IF($E892=IFERROR(INDEX(项目档案!$H$6:$H$255,MATCH($C892,项目档案!$A$6:$A$255,0)),""),"我方","—"))))</f>
        <v/>
      </c>
      <c r="O892" s="36" t="n">
        <f aca="false">IF($D892&lt;&gt;"销项开票",0,ROUND(N($H892)*N($I892),2))</f>
        <v>0</v>
      </c>
      <c r="P892" s="36" t="n">
        <f aca="false">IF($D892&lt;&gt;"销项开票",0,ROUND(N($H892)-$O892,2))</f>
        <v>0</v>
      </c>
      <c r="Q892" s="37" t="str">
        <f aca="false">IF($E892="","",N(IFERROR(INDEX(单位档案!$E$6:$E$35,MATCH($E892,单位档案!$A$6:$A$35,0)),"")))</f>
        <v/>
      </c>
      <c r="R892" s="37" t="str">
        <f aca="false">IF($E892="","",N(IFERROR(INDEX(单位档案!$F$6:$F$35,MATCH($E892,单位档案!$A$6:$A$35,0)),"")))</f>
        <v/>
      </c>
      <c r="S892" s="36" t="n">
        <f aca="false">IF(OR($D892&lt;&gt;"销项开票",IFERROR(INDEX(单位档案!$G$6:$G$35,MATCH($E892,单位档案!$A$6:$A$35,0)),"")&lt;&gt;"是",N($Q892)=0),0,IF(IFERROR(INDEX(单位档案!$H$6:$H$35,MATCH($E892,单位档案!$A$6:$A$35,0)),"")="税差法",ROUND(N($H892)/(1+$Q892)*$Q892-IF(N($R892)=0,0,$P892/(1+$R892)*$R892),2),ROUND(N($H892)/(1+$Q892)*$Q892,2)))</f>
        <v>0</v>
      </c>
      <c r="T892" s="36" t="n">
        <f aca="false">ROUND($S892*N(IFERROR(INDEX(单位档案!$J$6:$J$35,MATCH($E892,单位档案!$A$6:$A$35,0)),"")),2)</f>
        <v>0</v>
      </c>
      <c r="U892" s="36" t="n">
        <f aca="false">IF($D892&lt;&gt;"销项开票",0,ROUND(N($H892)*N(IFERROR(INDEX(单位档案!$K$6:$K$35,MATCH($E892,单位档案!$A$6:$A$35,0)),"")),2))</f>
        <v>0</v>
      </c>
      <c r="V892" s="36" t="n">
        <f aca="false">IF(OR($D892&lt;&gt;"销项开票",N($Q892)=0),0,ROUND(N($H892)/(1+$Q892)*N(IFERROR(INDEX(单位档案!$L$6:$L$35,MATCH($E892,单位档案!$A$6:$A$35,0)),"")),2))</f>
        <v>0</v>
      </c>
      <c r="W892" s="36" t="n">
        <f aca="false">ROUND($S892+$T892+$U892+$V892,2)</f>
        <v>0</v>
      </c>
      <c r="X892" s="35" t="str">
        <f aca="false">IF(OR($D892="挂靠代收",$D892="我方收款"),COUNTIFS($D$5:$D892,"挂靠代收")+COUNTIFS($D$5:$D892,"我方收款"),"")</f>
        <v/>
      </c>
      <c r="Y892" s="35"/>
      <c r="Z892" s="21" t="s">
        <v>111</v>
      </c>
    </row>
    <row r="893" customFormat="false" ht="15.75" hidden="false" customHeight="true" outlineLevel="0" collapsed="false">
      <c r="A893" s="32" t="str">
        <f aca="false">IF($B893="","",ROW()-4)</f>
        <v/>
      </c>
      <c r="B893" s="26"/>
      <c r="C893" s="24"/>
      <c r="D893" s="21"/>
      <c r="E893" s="21"/>
      <c r="F893" s="21"/>
      <c r="G893" s="21"/>
      <c r="H893" s="27"/>
      <c r="I893" s="23" t="str">
        <f aca="false">IF($D893&lt;&gt;"销项开票","",IF($N893="一级",IF(IFERROR(INDEX(项目档案!$E$6:$E$255,MATCH($C893,项目档案!$A$6:$A$255,0)),"")="",N(IFERROR(INDEX(单位档案!$D$6:$D$35,MATCH($E893,单位档案!$A$6:$A$35,0)),"")),IFERROR(INDEX(项目档案!$E$6:$E$255,MATCH($C893,项目档案!$A$6:$A$255,0)),"")),IF($N893="二级",IF(IFERROR(INDEX(项目档案!$G$6:$G$255,MATCH($C893,项目档案!$A$6:$A$255,0)),"")="",N(IFERROR(INDEX(单位档案!$D$6:$D$35,MATCH($E893,单位档案!$A$6:$A$35,0)),"")),IFERROR(INDEX(项目档案!$G$6:$G$255,MATCH($C893,项目档案!$A$6:$A$255,0)),"")),N(IFERROR(INDEX(单位档案!$D$6:$D$35,MATCH($E893,单位档案!$A$6:$A$35,0)),"")))))</f>
        <v/>
      </c>
      <c r="J893" s="22"/>
      <c r="K893" s="22"/>
      <c r="L893" s="33" t="str">
        <f aca="false">IF($B893="","",IF(NOT(ISNUMBER($B893)),"日期格式不对",IF($C893="","未选项目编号",IF(LEFT($M893,1)="⚠","项目编号不存在",IF($D893="","未选业务类型",IF($E893="","未选开票/付款方",IF(ISNA(MATCH($E893,单位档案!$A$6:$A$35,0)),"开票方不在单位档案",IF($F893="","未选收票/收款方",IF(ISNA(MATCH($F893,单位档案!$A$6:$A$35,0)),"收款方不在单位档案",IF(NOT(ISNUMBER($H893)),"金额须为数字",IF(AND($D893="销项开票",$N893="—"),"链条待确认","√")))))))))))</f>
        <v/>
      </c>
      <c r="M893" s="34" t="str">
        <f aca="false">IF($C893="","",IFERROR(INDEX(项目档案!$B$6:$B$255,MATCH($C893,项目档案!$A$6:$A$255,0)),"⚠项目编号不存在"))</f>
        <v/>
      </c>
      <c r="N893" s="35" t="str">
        <f aca="false">IF($E893="","",IF($E893=IFERROR(INDEX(项目档案!$D$6:$D$255,MATCH($C893,项目档案!$A$6:$A$255,0)),""),"一级",IF($E893=IFERROR(INDEX(项目档案!$F$6:$F$255,MATCH($C893,项目档案!$A$6:$A$255,0)),""),"二级",IF($E893=IFERROR(INDEX(项目档案!$H$6:$H$255,MATCH($C893,项目档案!$A$6:$A$255,0)),""),"我方","—"))))</f>
        <v/>
      </c>
      <c r="O893" s="36" t="n">
        <f aca="false">IF($D893&lt;&gt;"销项开票",0,ROUND(N($H893)*N($I893),2))</f>
        <v>0</v>
      </c>
      <c r="P893" s="36" t="n">
        <f aca="false">IF($D893&lt;&gt;"销项开票",0,ROUND(N($H893)-$O893,2))</f>
        <v>0</v>
      </c>
      <c r="Q893" s="37" t="str">
        <f aca="false">IF($E893="","",N(IFERROR(INDEX(单位档案!$E$6:$E$35,MATCH($E893,单位档案!$A$6:$A$35,0)),"")))</f>
        <v/>
      </c>
      <c r="R893" s="37" t="str">
        <f aca="false">IF($E893="","",N(IFERROR(INDEX(单位档案!$F$6:$F$35,MATCH($E893,单位档案!$A$6:$A$35,0)),"")))</f>
        <v/>
      </c>
      <c r="S893" s="36" t="n">
        <f aca="false">IF(OR($D893&lt;&gt;"销项开票",IFERROR(INDEX(单位档案!$G$6:$G$35,MATCH($E893,单位档案!$A$6:$A$35,0)),"")&lt;&gt;"是",N($Q893)=0),0,IF(IFERROR(INDEX(单位档案!$H$6:$H$35,MATCH($E893,单位档案!$A$6:$A$35,0)),"")="税差法",ROUND(N($H893)/(1+$Q893)*$Q893-IF(N($R893)=0,0,$P893/(1+$R893)*$R893),2),ROUND(N($H893)/(1+$Q893)*$Q893,2)))</f>
        <v>0</v>
      </c>
      <c r="T893" s="36" t="n">
        <f aca="false">ROUND($S893*N(IFERROR(INDEX(单位档案!$J$6:$J$35,MATCH($E893,单位档案!$A$6:$A$35,0)),"")),2)</f>
        <v>0</v>
      </c>
      <c r="U893" s="36" t="n">
        <f aca="false">IF($D893&lt;&gt;"销项开票",0,ROUND(N($H893)*N(IFERROR(INDEX(单位档案!$K$6:$K$35,MATCH($E893,单位档案!$A$6:$A$35,0)),"")),2))</f>
        <v>0</v>
      </c>
      <c r="V893" s="36" t="n">
        <f aca="false">IF(OR($D893&lt;&gt;"销项开票",N($Q893)=0),0,ROUND(N($H893)/(1+$Q893)*N(IFERROR(INDEX(单位档案!$L$6:$L$35,MATCH($E893,单位档案!$A$6:$A$35,0)),"")),2))</f>
        <v>0</v>
      </c>
      <c r="W893" s="36" t="n">
        <f aca="false">ROUND($S893+$T893+$U893+$V893,2)</f>
        <v>0</v>
      </c>
      <c r="X893" s="35" t="str">
        <f aca="false">IF(OR($D893="挂靠代收",$D893="我方收款"),COUNTIFS($D$5:$D893,"挂靠代收")+COUNTIFS($D$5:$D893,"我方收款"),"")</f>
        <v/>
      </c>
      <c r="Y893" s="35"/>
      <c r="Z893" s="21" t="s">
        <v>111</v>
      </c>
    </row>
    <row r="894" customFormat="false" ht="15.75" hidden="false" customHeight="true" outlineLevel="0" collapsed="false">
      <c r="A894" s="32" t="str">
        <f aca="false">IF($B894="","",ROW()-4)</f>
        <v/>
      </c>
      <c r="B894" s="26"/>
      <c r="C894" s="24"/>
      <c r="D894" s="21"/>
      <c r="E894" s="21"/>
      <c r="F894" s="21"/>
      <c r="G894" s="21"/>
      <c r="H894" s="27"/>
      <c r="I894" s="23" t="str">
        <f aca="false">IF($D894&lt;&gt;"销项开票","",IF($N894="一级",IF(IFERROR(INDEX(项目档案!$E$6:$E$255,MATCH($C894,项目档案!$A$6:$A$255,0)),"")="",N(IFERROR(INDEX(单位档案!$D$6:$D$35,MATCH($E894,单位档案!$A$6:$A$35,0)),"")),IFERROR(INDEX(项目档案!$E$6:$E$255,MATCH($C894,项目档案!$A$6:$A$255,0)),"")),IF($N894="二级",IF(IFERROR(INDEX(项目档案!$G$6:$G$255,MATCH($C894,项目档案!$A$6:$A$255,0)),"")="",N(IFERROR(INDEX(单位档案!$D$6:$D$35,MATCH($E894,单位档案!$A$6:$A$35,0)),"")),IFERROR(INDEX(项目档案!$G$6:$G$255,MATCH($C894,项目档案!$A$6:$A$255,0)),"")),N(IFERROR(INDEX(单位档案!$D$6:$D$35,MATCH($E894,单位档案!$A$6:$A$35,0)),"")))))</f>
        <v/>
      </c>
      <c r="J894" s="22"/>
      <c r="K894" s="22"/>
      <c r="L894" s="33" t="str">
        <f aca="false">IF($B894="","",IF(NOT(ISNUMBER($B894)),"日期格式不对",IF($C894="","未选项目编号",IF(LEFT($M894,1)="⚠","项目编号不存在",IF($D894="","未选业务类型",IF($E894="","未选开票/付款方",IF(ISNA(MATCH($E894,单位档案!$A$6:$A$35,0)),"开票方不在单位档案",IF($F894="","未选收票/收款方",IF(ISNA(MATCH($F894,单位档案!$A$6:$A$35,0)),"收款方不在单位档案",IF(NOT(ISNUMBER($H894)),"金额须为数字",IF(AND($D894="销项开票",$N894="—"),"链条待确认","√")))))))))))</f>
        <v/>
      </c>
      <c r="M894" s="34" t="str">
        <f aca="false">IF($C894="","",IFERROR(INDEX(项目档案!$B$6:$B$255,MATCH($C894,项目档案!$A$6:$A$255,0)),"⚠项目编号不存在"))</f>
        <v/>
      </c>
      <c r="N894" s="35" t="str">
        <f aca="false">IF($E894="","",IF($E894=IFERROR(INDEX(项目档案!$D$6:$D$255,MATCH($C894,项目档案!$A$6:$A$255,0)),""),"一级",IF($E894=IFERROR(INDEX(项目档案!$F$6:$F$255,MATCH($C894,项目档案!$A$6:$A$255,0)),""),"二级",IF($E894=IFERROR(INDEX(项目档案!$H$6:$H$255,MATCH($C894,项目档案!$A$6:$A$255,0)),""),"我方","—"))))</f>
        <v/>
      </c>
      <c r="O894" s="36" t="n">
        <f aca="false">IF($D894&lt;&gt;"销项开票",0,ROUND(N($H894)*N($I894),2))</f>
        <v>0</v>
      </c>
      <c r="P894" s="36" t="n">
        <f aca="false">IF($D894&lt;&gt;"销项开票",0,ROUND(N($H894)-$O894,2))</f>
        <v>0</v>
      </c>
      <c r="Q894" s="37" t="str">
        <f aca="false">IF($E894="","",N(IFERROR(INDEX(单位档案!$E$6:$E$35,MATCH($E894,单位档案!$A$6:$A$35,0)),"")))</f>
        <v/>
      </c>
      <c r="R894" s="37" t="str">
        <f aca="false">IF($E894="","",N(IFERROR(INDEX(单位档案!$F$6:$F$35,MATCH($E894,单位档案!$A$6:$A$35,0)),"")))</f>
        <v/>
      </c>
      <c r="S894" s="36" t="n">
        <f aca="false">IF(OR($D894&lt;&gt;"销项开票",IFERROR(INDEX(单位档案!$G$6:$G$35,MATCH($E894,单位档案!$A$6:$A$35,0)),"")&lt;&gt;"是",N($Q894)=0),0,IF(IFERROR(INDEX(单位档案!$H$6:$H$35,MATCH($E894,单位档案!$A$6:$A$35,0)),"")="税差法",ROUND(N($H894)/(1+$Q894)*$Q894-IF(N($R894)=0,0,$P894/(1+$R894)*$R894),2),ROUND(N($H894)/(1+$Q894)*$Q894,2)))</f>
        <v>0</v>
      </c>
      <c r="T894" s="36" t="n">
        <f aca="false">ROUND($S894*N(IFERROR(INDEX(单位档案!$J$6:$J$35,MATCH($E894,单位档案!$A$6:$A$35,0)),"")),2)</f>
        <v>0</v>
      </c>
      <c r="U894" s="36" t="n">
        <f aca="false">IF($D894&lt;&gt;"销项开票",0,ROUND(N($H894)*N(IFERROR(INDEX(单位档案!$K$6:$K$35,MATCH($E894,单位档案!$A$6:$A$35,0)),"")),2))</f>
        <v>0</v>
      </c>
      <c r="V894" s="36" t="n">
        <f aca="false">IF(OR($D894&lt;&gt;"销项开票",N($Q894)=0),0,ROUND(N($H894)/(1+$Q894)*N(IFERROR(INDEX(单位档案!$L$6:$L$35,MATCH($E894,单位档案!$A$6:$A$35,0)),"")),2))</f>
        <v>0</v>
      </c>
      <c r="W894" s="36" t="n">
        <f aca="false">ROUND($S894+$T894+$U894+$V894,2)</f>
        <v>0</v>
      </c>
      <c r="X894" s="35" t="str">
        <f aca="false">IF(OR($D894="挂靠代收",$D894="我方收款"),COUNTIFS($D$5:$D894,"挂靠代收")+COUNTIFS($D$5:$D894,"我方收款"),"")</f>
        <v/>
      </c>
      <c r="Y894" s="35"/>
      <c r="Z894" s="21" t="s">
        <v>111</v>
      </c>
    </row>
    <row r="895" customFormat="false" ht="15.75" hidden="false" customHeight="true" outlineLevel="0" collapsed="false">
      <c r="A895" s="32" t="str">
        <f aca="false">IF($B895="","",ROW()-4)</f>
        <v/>
      </c>
      <c r="B895" s="26"/>
      <c r="C895" s="24"/>
      <c r="D895" s="21"/>
      <c r="E895" s="21"/>
      <c r="F895" s="21"/>
      <c r="G895" s="21"/>
      <c r="H895" s="27"/>
      <c r="I895" s="23" t="str">
        <f aca="false">IF($D895&lt;&gt;"销项开票","",IF($N895="一级",IF(IFERROR(INDEX(项目档案!$E$6:$E$255,MATCH($C895,项目档案!$A$6:$A$255,0)),"")="",N(IFERROR(INDEX(单位档案!$D$6:$D$35,MATCH($E895,单位档案!$A$6:$A$35,0)),"")),IFERROR(INDEX(项目档案!$E$6:$E$255,MATCH($C895,项目档案!$A$6:$A$255,0)),"")),IF($N895="二级",IF(IFERROR(INDEX(项目档案!$G$6:$G$255,MATCH($C895,项目档案!$A$6:$A$255,0)),"")="",N(IFERROR(INDEX(单位档案!$D$6:$D$35,MATCH($E895,单位档案!$A$6:$A$35,0)),"")),IFERROR(INDEX(项目档案!$G$6:$G$255,MATCH($C895,项目档案!$A$6:$A$255,0)),"")),N(IFERROR(INDEX(单位档案!$D$6:$D$35,MATCH($E895,单位档案!$A$6:$A$35,0)),"")))))</f>
        <v/>
      </c>
      <c r="J895" s="22"/>
      <c r="K895" s="22"/>
      <c r="L895" s="33" t="str">
        <f aca="false">IF($B895="","",IF(NOT(ISNUMBER($B895)),"日期格式不对",IF($C895="","未选项目编号",IF(LEFT($M895,1)="⚠","项目编号不存在",IF($D895="","未选业务类型",IF($E895="","未选开票/付款方",IF(ISNA(MATCH($E895,单位档案!$A$6:$A$35,0)),"开票方不在单位档案",IF($F895="","未选收票/收款方",IF(ISNA(MATCH($F895,单位档案!$A$6:$A$35,0)),"收款方不在单位档案",IF(NOT(ISNUMBER($H895)),"金额须为数字",IF(AND($D895="销项开票",$N895="—"),"链条待确认","√")))))))))))</f>
        <v/>
      </c>
      <c r="M895" s="34" t="str">
        <f aca="false">IF($C895="","",IFERROR(INDEX(项目档案!$B$6:$B$255,MATCH($C895,项目档案!$A$6:$A$255,0)),"⚠项目编号不存在"))</f>
        <v/>
      </c>
      <c r="N895" s="35" t="str">
        <f aca="false">IF($E895="","",IF($E895=IFERROR(INDEX(项目档案!$D$6:$D$255,MATCH($C895,项目档案!$A$6:$A$255,0)),""),"一级",IF($E895=IFERROR(INDEX(项目档案!$F$6:$F$255,MATCH($C895,项目档案!$A$6:$A$255,0)),""),"二级",IF($E895=IFERROR(INDEX(项目档案!$H$6:$H$255,MATCH($C895,项目档案!$A$6:$A$255,0)),""),"我方","—"))))</f>
        <v/>
      </c>
      <c r="O895" s="36" t="n">
        <f aca="false">IF($D895&lt;&gt;"销项开票",0,ROUND(N($H895)*N($I895),2))</f>
        <v>0</v>
      </c>
      <c r="P895" s="36" t="n">
        <f aca="false">IF($D895&lt;&gt;"销项开票",0,ROUND(N($H895)-$O895,2))</f>
        <v>0</v>
      </c>
      <c r="Q895" s="37" t="str">
        <f aca="false">IF($E895="","",N(IFERROR(INDEX(单位档案!$E$6:$E$35,MATCH($E895,单位档案!$A$6:$A$35,0)),"")))</f>
        <v/>
      </c>
      <c r="R895" s="37" t="str">
        <f aca="false">IF($E895="","",N(IFERROR(INDEX(单位档案!$F$6:$F$35,MATCH($E895,单位档案!$A$6:$A$35,0)),"")))</f>
        <v/>
      </c>
      <c r="S895" s="36" t="n">
        <f aca="false">IF(OR($D895&lt;&gt;"销项开票",IFERROR(INDEX(单位档案!$G$6:$G$35,MATCH($E895,单位档案!$A$6:$A$35,0)),"")&lt;&gt;"是",N($Q895)=0),0,IF(IFERROR(INDEX(单位档案!$H$6:$H$35,MATCH($E895,单位档案!$A$6:$A$35,0)),"")="税差法",ROUND(N($H895)/(1+$Q895)*$Q895-IF(N($R895)=0,0,$P895/(1+$R895)*$R895),2),ROUND(N($H895)/(1+$Q895)*$Q895,2)))</f>
        <v>0</v>
      </c>
      <c r="T895" s="36" t="n">
        <f aca="false">ROUND($S895*N(IFERROR(INDEX(单位档案!$J$6:$J$35,MATCH($E895,单位档案!$A$6:$A$35,0)),"")),2)</f>
        <v>0</v>
      </c>
      <c r="U895" s="36" t="n">
        <f aca="false">IF($D895&lt;&gt;"销项开票",0,ROUND(N($H895)*N(IFERROR(INDEX(单位档案!$K$6:$K$35,MATCH($E895,单位档案!$A$6:$A$35,0)),"")),2))</f>
        <v>0</v>
      </c>
      <c r="V895" s="36" t="n">
        <f aca="false">IF(OR($D895&lt;&gt;"销项开票",N($Q895)=0),0,ROUND(N($H895)/(1+$Q895)*N(IFERROR(INDEX(单位档案!$L$6:$L$35,MATCH($E895,单位档案!$A$6:$A$35,0)),"")),2))</f>
        <v>0</v>
      </c>
      <c r="W895" s="36" t="n">
        <f aca="false">ROUND($S895+$T895+$U895+$V895,2)</f>
        <v>0</v>
      </c>
      <c r="X895" s="35" t="str">
        <f aca="false">IF(OR($D895="挂靠代收",$D895="我方收款"),COUNTIFS($D$5:$D895,"挂靠代收")+COUNTIFS($D$5:$D895,"我方收款"),"")</f>
        <v/>
      </c>
      <c r="Y895" s="35"/>
      <c r="Z895" s="21" t="s">
        <v>111</v>
      </c>
    </row>
    <row r="896" customFormat="false" ht="15.75" hidden="false" customHeight="true" outlineLevel="0" collapsed="false">
      <c r="A896" s="32" t="str">
        <f aca="false">IF($B896="","",ROW()-4)</f>
        <v/>
      </c>
      <c r="B896" s="26"/>
      <c r="C896" s="24"/>
      <c r="D896" s="21"/>
      <c r="E896" s="21"/>
      <c r="F896" s="21"/>
      <c r="G896" s="21"/>
      <c r="H896" s="27"/>
      <c r="I896" s="23" t="str">
        <f aca="false">IF($D896&lt;&gt;"销项开票","",IF($N896="一级",IF(IFERROR(INDEX(项目档案!$E$6:$E$255,MATCH($C896,项目档案!$A$6:$A$255,0)),"")="",N(IFERROR(INDEX(单位档案!$D$6:$D$35,MATCH($E896,单位档案!$A$6:$A$35,0)),"")),IFERROR(INDEX(项目档案!$E$6:$E$255,MATCH($C896,项目档案!$A$6:$A$255,0)),"")),IF($N896="二级",IF(IFERROR(INDEX(项目档案!$G$6:$G$255,MATCH($C896,项目档案!$A$6:$A$255,0)),"")="",N(IFERROR(INDEX(单位档案!$D$6:$D$35,MATCH($E896,单位档案!$A$6:$A$35,0)),"")),IFERROR(INDEX(项目档案!$G$6:$G$255,MATCH($C896,项目档案!$A$6:$A$255,0)),"")),N(IFERROR(INDEX(单位档案!$D$6:$D$35,MATCH($E896,单位档案!$A$6:$A$35,0)),"")))))</f>
        <v/>
      </c>
      <c r="J896" s="22"/>
      <c r="K896" s="22"/>
      <c r="L896" s="33" t="str">
        <f aca="false">IF($B896="","",IF(NOT(ISNUMBER($B896)),"日期格式不对",IF($C896="","未选项目编号",IF(LEFT($M896,1)="⚠","项目编号不存在",IF($D896="","未选业务类型",IF($E896="","未选开票/付款方",IF(ISNA(MATCH($E896,单位档案!$A$6:$A$35,0)),"开票方不在单位档案",IF($F896="","未选收票/收款方",IF(ISNA(MATCH($F896,单位档案!$A$6:$A$35,0)),"收款方不在单位档案",IF(NOT(ISNUMBER($H896)),"金额须为数字",IF(AND($D896="销项开票",$N896="—"),"链条待确认","√")))))))))))</f>
        <v/>
      </c>
      <c r="M896" s="34" t="str">
        <f aca="false">IF($C896="","",IFERROR(INDEX(项目档案!$B$6:$B$255,MATCH($C896,项目档案!$A$6:$A$255,0)),"⚠项目编号不存在"))</f>
        <v/>
      </c>
      <c r="N896" s="35" t="str">
        <f aca="false">IF($E896="","",IF($E896=IFERROR(INDEX(项目档案!$D$6:$D$255,MATCH($C896,项目档案!$A$6:$A$255,0)),""),"一级",IF($E896=IFERROR(INDEX(项目档案!$F$6:$F$255,MATCH($C896,项目档案!$A$6:$A$255,0)),""),"二级",IF($E896=IFERROR(INDEX(项目档案!$H$6:$H$255,MATCH($C896,项目档案!$A$6:$A$255,0)),""),"我方","—"))))</f>
        <v/>
      </c>
      <c r="O896" s="36" t="n">
        <f aca="false">IF($D896&lt;&gt;"销项开票",0,ROUND(N($H896)*N($I896),2))</f>
        <v>0</v>
      </c>
      <c r="P896" s="36" t="n">
        <f aca="false">IF($D896&lt;&gt;"销项开票",0,ROUND(N($H896)-$O896,2))</f>
        <v>0</v>
      </c>
      <c r="Q896" s="37" t="str">
        <f aca="false">IF($E896="","",N(IFERROR(INDEX(单位档案!$E$6:$E$35,MATCH($E896,单位档案!$A$6:$A$35,0)),"")))</f>
        <v/>
      </c>
      <c r="R896" s="37" t="str">
        <f aca="false">IF($E896="","",N(IFERROR(INDEX(单位档案!$F$6:$F$35,MATCH($E896,单位档案!$A$6:$A$35,0)),"")))</f>
        <v/>
      </c>
      <c r="S896" s="36" t="n">
        <f aca="false">IF(OR($D896&lt;&gt;"销项开票",IFERROR(INDEX(单位档案!$G$6:$G$35,MATCH($E896,单位档案!$A$6:$A$35,0)),"")&lt;&gt;"是",N($Q896)=0),0,IF(IFERROR(INDEX(单位档案!$H$6:$H$35,MATCH($E896,单位档案!$A$6:$A$35,0)),"")="税差法",ROUND(N($H896)/(1+$Q896)*$Q896-IF(N($R896)=0,0,$P896/(1+$R896)*$R896),2),ROUND(N($H896)/(1+$Q896)*$Q896,2)))</f>
        <v>0</v>
      </c>
      <c r="T896" s="36" t="n">
        <f aca="false">ROUND($S896*N(IFERROR(INDEX(单位档案!$J$6:$J$35,MATCH($E896,单位档案!$A$6:$A$35,0)),"")),2)</f>
        <v>0</v>
      </c>
      <c r="U896" s="36" t="n">
        <f aca="false">IF($D896&lt;&gt;"销项开票",0,ROUND(N($H896)*N(IFERROR(INDEX(单位档案!$K$6:$K$35,MATCH($E896,单位档案!$A$6:$A$35,0)),"")),2))</f>
        <v>0</v>
      </c>
      <c r="V896" s="36" t="n">
        <f aca="false">IF(OR($D896&lt;&gt;"销项开票",N($Q896)=0),0,ROUND(N($H896)/(1+$Q896)*N(IFERROR(INDEX(单位档案!$L$6:$L$35,MATCH($E896,单位档案!$A$6:$A$35,0)),"")),2))</f>
        <v>0</v>
      </c>
      <c r="W896" s="36" t="n">
        <f aca="false">ROUND($S896+$T896+$U896+$V896,2)</f>
        <v>0</v>
      </c>
      <c r="X896" s="35" t="str">
        <f aca="false">IF(OR($D896="挂靠代收",$D896="我方收款"),COUNTIFS($D$5:$D896,"挂靠代收")+COUNTIFS($D$5:$D896,"我方收款"),"")</f>
        <v/>
      </c>
      <c r="Y896" s="35"/>
      <c r="Z896" s="21" t="s">
        <v>111</v>
      </c>
    </row>
    <row r="897" customFormat="false" ht="15.75" hidden="false" customHeight="true" outlineLevel="0" collapsed="false">
      <c r="A897" s="32" t="str">
        <f aca="false">IF($B897="","",ROW()-4)</f>
        <v/>
      </c>
      <c r="B897" s="26"/>
      <c r="C897" s="24"/>
      <c r="D897" s="21"/>
      <c r="E897" s="21"/>
      <c r="F897" s="21"/>
      <c r="G897" s="21"/>
      <c r="H897" s="27"/>
      <c r="I897" s="23" t="str">
        <f aca="false">IF($D897&lt;&gt;"销项开票","",IF($N897="一级",IF(IFERROR(INDEX(项目档案!$E$6:$E$255,MATCH($C897,项目档案!$A$6:$A$255,0)),"")="",N(IFERROR(INDEX(单位档案!$D$6:$D$35,MATCH($E897,单位档案!$A$6:$A$35,0)),"")),IFERROR(INDEX(项目档案!$E$6:$E$255,MATCH($C897,项目档案!$A$6:$A$255,0)),"")),IF($N897="二级",IF(IFERROR(INDEX(项目档案!$G$6:$G$255,MATCH($C897,项目档案!$A$6:$A$255,0)),"")="",N(IFERROR(INDEX(单位档案!$D$6:$D$35,MATCH($E897,单位档案!$A$6:$A$35,0)),"")),IFERROR(INDEX(项目档案!$G$6:$G$255,MATCH($C897,项目档案!$A$6:$A$255,0)),"")),N(IFERROR(INDEX(单位档案!$D$6:$D$35,MATCH($E897,单位档案!$A$6:$A$35,0)),"")))))</f>
        <v/>
      </c>
      <c r="J897" s="22"/>
      <c r="K897" s="22"/>
      <c r="L897" s="33" t="str">
        <f aca="false">IF($B897="","",IF(NOT(ISNUMBER($B897)),"日期格式不对",IF($C897="","未选项目编号",IF(LEFT($M897,1)="⚠","项目编号不存在",IF($D897="","未选业务类型",IF($E897="","未选开票/付款方",IF(ISNA(MATCH($E897,单位档案!$A$6:$A$35,0)),"开票方不在单位档案",IF($F897="","未选收票/收款方",IF(ISNA(MATCH($F897,单位档案!$A$6:$A$35,0)),"收款方不在单位档案",IF(NOT(ISNUMBER($H897)),"金额须为数字",IF(AND($D897="销项开票",$N897="—"),"链条待确认","√")))))))))))</f>
        <v/>
      </c>
      <c r="M897" s="34" t="str">
        <f aca="false">IF($C897="","",IFERROR(INDEX(项目档案!$B$6:$B$255,MATCH($C897,项目档案!$A$6:$A$255,0)),"⚠项目编号不存在"))</f>
        <v/>
      </c>
      <c r="N897" s="35" t="str">
        <f aca="false">IF($E897="","",IF($E897=IFERROR(INDEX(项目档案!$D$6:$D$255,MATCH($C897,项目档案!$A$6:$A$255,0)),""),"一级",IF($E897=IFERROR(INDEX(项目档案!$F$6:$F$255,MATCH($C897,项目档案!$A$6:$A$255,0)),""),"二级",IF($E897=IFERROR(INDEX(项目档案!$H$6:$H$255,MATCH($C897,项目档案!$A$6:$A$255,0)),""),"我方","—"))))</f>
        <v/>
      </c>
      <c r="O897" s="36" t="n">
        <f aca="false">IF($D897&lt;&gt;"销项开票",0,ROUND(N($H897)*N($I897),2))</f>
        <v>0</v>
      </c>
      <c r="P897" s="36" t="n">
        <f aca="false">IF($D897&lt;&gt;"销项开票",0,ROUND(N($H897)-$O897,2))</f>
        <v>0</v>
      </c>
      <c r="Q897" s="37" t="str">
        <f aca="false">IF($E897="","",N(IFERROR(INDEX(单位档案!$E$6:$E$35,MATCH($E897,单位档案!$A$6:$A$35,0)),"")))</f>
        <v/>
      </c>
      <c r="R897" s="37" t="str">
        <f aca="false">IF($E897="","",N(IFERROR(INDEX(单位档案!$F$6:$F$35,MATCH($E897,单位档案!$A$6:$A$35,0)),"")))</f>
        <v/>
      </c>
      <c r="S897" s="36" t="n">
        <f aca="false">IF(OR($D897&lt;&gt;"销项开票",IFERROR(INDEX(单位档案!$G$6:$G$35,MATCH($E897,单位档案!$A$6:$A$35,0)),"")&lt;&gt;"是",N($Q897)=0),0,IF(IFERROR(INDEX(单位档案!$H$6:$H$35,MATCH($E897,单位档案!$A$6:$A$35,0)),"")="税差法",ROUND(N($H897)/(1+$Q897)*$Q897-IF(N($R897)=0,0,$P897/(1+$R897)*$R897),2),ROUND(N($H897)/(1+$Q897)*$Q897,2)))</f>
        <v>0</v>
      </c>
      <c r="T897" s="36" t="n">
        <f aca="false">ROUND($S897*N(IFERROR(INDEX(单位档案!$J$6:$J$35,MATCH($E897,单位档案!$A$6:$A$35,0)),"")),2)</f>
        <v>0</v>
      </c>
      <c r="U897" s="36" t="n">
        <f aca="false">IF($D897&lt;&gt;"销项开票",0,ROUND(N($H897)*N(IFERROR(INDEX(单位档案!$K$6:$K$35,MATCH($E897,单位档案!$A$6:$A$35,0)),"")),2))</f>
        <v>0</v>
      </c>
      <c r="V897" s="36" t="n">
        <f aca="false">IF(OR($D897&lt;&gt;"销项开票",N($Q897)=0),0,ROUND(N($H897)/(1+$Q897)*N(IFERROR(INDEX(单位档案!$L$6:$L$35,MATCH($E897,单位档案!$A$6:$A$35,0)),"")),2))</f>
        <v>0</v>
      </c>
      <c r="W897" s="36" t="n">
        <f aca="false">ROUND($S897+$T897+$U897+$V897,2)</f>
        <v>0</v>
      </c>
      <c r="X897" s="35" t="str">
        <f aca="false">IF(OR($D897="挂靠代收",$D897="我方收款"),COUNTIFS($D$5:$D897,"挂靠代收")+COUNTIFS($D$5:$D897,"我方收款"),"")</f>
        <v/>
      </c>
      <c r="Y897" s="35"/>
      <c r="Z897" s="21" t="s">
        <v>111</v>
      </c>
    </row>
    <row r="898" customFormat="false" ht="15.75" hidden="false" customHeight="true" outlineLevel="0" collapsed="false">
      <c r="A898" s="32" t="str">
        <f aca="false">IF($B898="","",ROW()-4)</f>
        <v/>
      </c>
      <c r="B898" s="26"/>
      <c r="C898" s="24"/>
      <c r="D898" s="21"/>
      <c r="E898" s="21"/>
      <c r="F898" s="21"/>
      <c r="G898" s="21"/>
      <c r="H898" s="27"/>
      <c r="I898" s="23" t="str">
        <f aca="false">IF($D898&lt;&gt;"销项开票","",IF($N898="一级",IF(IFERROR(INDEX(项目档案!$E$6:$E$255,MATCH($C898,项目档案!$A$6:$A$255,0)),"")="",N(IFERROR(INDEX(单位档案!$D$6:$D$35,MATCH($E898,单位档案!$A$6:$A$35,0)),"")),IFERROR(INDEX(项目档案!$E$6:$E$255,MATCH($C898,项目档案!$A$6:$A$255,0)),"")),IF($N898="二级",IF(IFERROR(INDEX(项目档案!$G$6:$G$255,MATCH($C898,项目档案!$A$6:$A$255,0)),"")="",N(IFERROR(INDEX(单位档案!$D$6:$D$35,MATCH($E898,单位档案!$A$6:$A$35,0)),"")),IFERROR(INDEX(项目档案!$G$6:$G$255,MATCH($C898,项目档案!$A$6:$A$255,0)),"")),N(IFERROR(INDEX(单位档案!$D$6:$D$35,MATCH($E898,单位档案!$A$6:$A$35,0)),"")))))</f>
        <v/>
      </c>
      <c r="J898" s="22"/>
      <c r="K898" s="22"/>
      <c r="L898" s="33" t="str">
        <f aca="false">IF($B898="","",IF(NOT(ISNUMBER($B898)),"日期格式不对",IF($C898="","未选项目编号",IF(LEFT($M898,1)="⚠","项目编号不存在",IF($D898="","未选业务类型",IF($E898="","未选开票/付款方",IF(ISNA(MATCH($E898,单位档案!$A$6:$A$35,0)),"开票方不在单位档案",IF($F898="","未选收票/收款方",IF(ISNA(MATCH($F898,单位档案!$A$6:$A$35,0)),"收款方不在单位档案",IF(NOT(ISNUMBER($H898)),"金额须为数字",IF(AND($D898="销项开票",$N898="—"),"链条待确认","√")))))))))))</f>
        <v/>
      </c>
      <c r="M898" s="34" t="str">
        <f aca="false">IF($C898="","",IFERROR(INDEX(项目档案!$B$6:$B$255,MATCH($C898,项目档案!$A$6:$A$255,0)),"⚠项目编号不存在"))</f>
        <v/>
      </c>
      <c r="N898" s="35" t="str">
        <f aca="false">IF($E898="","",IF($E898=IFERROR(INDEX(项目档案!$D$6:$D$255,MATCH($C898,项目档案!$A$6:$A$255,0)),""),"一级",IF($E898=IFERROR(INDEX(项目档案!$F$6:$F$255,MATCH($C898,项目档案!$A$6:$A$255,0)),""),"二级",IF($E898=IFERROR(INDEX(项目档案!$H$6:$H$255,MATCH($C898,项目档案!$A$6:$A$255,0)),""),"我方","—"))))</f>
        <v/>
      </c>
      <c r="O898" s="36" t="n">
        <f aca="false">IF($D898&lt;&gt;"销项开票",0,ROUND(N($H898)*N($I898),2))</f>
        <v>0</v>
      </c>
      <c r="P898" s="36" t="n">
        <f aca="false">IF($D898&lt;&gt;"销项开票",0,ROUND(N($H898)-$O898,2))</f>
        <v>0</v>
      </c>
      <c r="Q898" s="37" t="str">
        <f aca="false">IF($E898="","",N(IFERROR(INDEX(单位档案!$E$6:$E$35,MATCH($E898,单位档案!$A$6:$A$35,0)),"")))</f>
        <v/>
      </c>
      <c r="R898" s="37" t="str">
        <f aca="false">IF($E898="","",N(IFERROR(INDEX(单位档案!$F$6:$F$35,MATCH($E898,单位档案!$A$6:$A$35,0)),"")))</f>
        <v/>
      </c>
      <c r="S898" s="36" t="n">
        <f aca="false">IF(OR($D898&lt;&gt;"销项开票",IFERROR(INDEX(单位档案!$G$6:$G$35,MATCH($E898,单位档案!$A$6:$A$35,0)),"")&lt;&gt;"是",N($Q898)=0),0,IF(IFERROR(INDEX(单位档案!$H$6:$H$35,MATCH($E898,单位档案!$A$6:$A$35,0)),"")="税差法",ROUND(N($H898)/(1+$Q898)*$Q898-IF(N($R898)=0,0,$P898/(1+$R898)*$R898),2),ROUND(N($H898)/(1+$Q898)*$Q898,2)))</f>
        <v>0</v>
      </c>
      <c r="T898" s="36" t="n">
        <f aca="false">ROUND($S898*N(IFERROR(INDEX(单位档案!$J$6:$J$35,MATCH($E898,单位档案!$A$6:$A$35,0)),"")),2)</f>
        <v>0</v>
      </c>
      <c r="U898" s="36" t="n">
        <f aca="false">IF($D898&lt;&gt;"销项开票",0,ROUND(N($H898)*N(IFERROR(INDEX(单位档案!$K$6:$K$35,MATCH($E898,单位档案!$A$6:$A$35,0)),"")),2))</f>
        <v>0</v>
      </c>
      <c r="V898" s="36" t="n">
        <f aca="false">IF(OR($D898&lt;&gt;"销项开票",N($Q898)=0),0,ROUND(N($H898)/(1+$Q898)*N(IFERROR(INDEX(单位档案!$L$6:$L$35,MATCH($E898,单位档案!$A$6:$A$35,0)),"")),2))</f>
        <v>0</v>
      </c>
      <c r="W898" s="36" t="n">
        <f aca="false">ROUND($S898+$T898+$U898+$V898,2)</f>
        <v>0</v>
      </c>
      <c r="X898" s="35" t="str">
        <f aca="false">IF(OR($D898="挂靠代收",$D898="我方收款"),COUNTIFS($D$5:$D898,"挂靠代收")+COUNTIFS($D$5:$D898,"我方收款"),"")</f>
        <v/>
      </c>
      <c r="Y898" s="35"/>
      <c r="Z898" s="21" t="s">
        <v>111</v>
      </c>
    </row>
    <row r="899" customFormat="false" ht="15.75" hidden="false" customHeight="true" outlineLevel="0" collapsed="false">
      <c r="A899" s="32" t="str">
        <f aca="false">IF($B899="","",ROW()-4)</f>
        <v/>
      </c>
      <c r="B899" s="26"/>
      <c r="C899" s="24"/>
      <c r="D899" s="21"/>
      <c r="E899" s="21"/>
      <c r="F899" s="21"/>
      <c r="G899" s="21"/>
      <c r="H899" s="27"/>
      <c r="I899" s="23" t="str">
        <f aca="false">IF($D899&lt;&gt;"销项开票","",IF($N899="一级",IF(IFERROR(INDEX(项目档案!$E$6:$E$255,MATCH($C899,项目档案!$A$6:$A$255,0)),"")="",N(IFERROR(INDEX(单位档案!$D$6:$D$35,MATCH($E899,单位档案!$A$6:$A$35,0)),"")),IFERROR(INDEX(项目档案!$E$6:$E$255,MATCH($C899,项目档案!$A$6:$A$255,0)),"")),IF($N899="二级",IF(IFERROR(INDEX(项目档案!$G$6:$G$255,MATCH($C899,项目档案!$A$6:$A$255,0)),"")="",N(IFERROR(INDEX(单位档案!$D$6:$D$35,MATCH($E899,单位档案!$A$6:$A$35,0)),"")),IFERROR(INDEX(项目档案!$G$6:$G$255,MATCH($C899,项目档案!$A$6:$A$255,0)),"")),N(IFERROR(INDEX(单位档案!$D$6:$D$35,MATCH($E899,单位档案!$A$6:$A$35,0)),"")))))</f>
        <v/>
      </c>
      <c r="J899" s="22"/>
      <c r="K899" s="22"/>
      <c r="L899" s="33" t="str">
        <f aca="false">IF($B899="","",IF(NOT(ISNUMBER($B899)),"日期格式不对",IF($C899="","未选项目编号",IF(LEFT($M899,1)="⚠","项目编号不存在",IF($D899="","未选业务类型",IF($E899="","未选开票/付款方",IF(ISNA(MATCH($E899,单位档案!$A$6:$A$35,0)),"开票方不在单位档案",IF($F899="","未选收票/收款方",IF(ISNA(MATCH($F899,单位档案!$A$6:$A$35,0)),"收款方不在单位档案",IF(NOT(ISNUMBER($H899)),"金额须为数字",IF(AND($D899="销项开票",$N899="—"),"链条待确认","√")))))))))))</f>
        <v/>
      </c>
      <c r="M899" s="34" t="str">
        <f aca="false">IF($C899="","",IFERROR(INDEX(项目档案!$B$6:$B$255,MATCH($C899,项目档案!$A$6:$A$255,0)),"⚠项目编号不存在"))</f>
        <v/>
      </c>
      <c r="N899" s="35" t="str">
        <f aca="false">IF($E899="","",IF($E899=IFERROR(INDEX(项目档案!$D$6:$D$255,MATCH($C899,项目档案!$A$6:$A$255,0)),""),"一级",IF($E899=IFERROR(INDEX(项目档案!$F$6:$F$255,MATCH($C899,项目档案!$A$6:$A$255,0)),""),"二级",IF($E899=IFERROR(INDEX(项目档案!$H$6:$H$255,MATCH($C899,项目档案!$A$6:$A$255,0)),""),"我方","—"))))</f>
        <v/>
      </c>
      <c r="O899" s="36" t="n">
        <f aca="false">IF($D899&lt;&gt;"销项开票",0,ROUND(N($H899)*N($I899),2))</f>
        <v>0</v>
      </c>
      <c r="P899" s="36" t="n">
        <f aca="false">IF($D899&lt;&gt;"销项开票",0,ROUND(N($H899)-$O899,2))</f>
        <v>0</v>
      </c>
      <c r="Q899" s="37" t="str">
        <f aca="false">IF($E899="","",N(IFERROR(INDEX(单位档案!$E$6:$E$35,MATCH($E899,单位档案!$A$6:$A$35,0)),"")))</f>
        <v/>
      </c>
      <c r="R899" s="37" t="str">
        <f aca="false">IF($E899="","",N(IFERROR(INDEX(单位档案!$F$6:$F$35,MATCH($E899,单位档案!$A$6:$A$35,0)),"")))</f>
        <v/>
      </c>
      <c r="S899" s="36" t="n">
        <f aca="false">IF(OR($D899&lt;&gt;"销项开票",IFERROR(INDEX(单位档案!$G$6:$G$35,MATCH($E899,单位档案!$A$6:$A$35,0)),"")&lt;&gt;"是",N($Q899)=0),0,IF(IFERROR(INDEX(单位档案!$H$6:$H$35,MATCH($E899,单位档案!$A$6:$A$35,0)),"")="税差法",ROUND(N($H899)/(1+$Q899)*$Q899-IF(N($R899)=0,0,$P899/(1+$R899)*$R899),2),ROUND(N($H899)/(1+$Q899)*$Q899,2)))</f>
        <v>0</v>
      </c>
      <c r="T899" s="36" t="n">
        <f aca="false">ROUND($S899*N(IFERROR(INDEX(单位档案!$J$6:$J$35,MATCH($E899,单位档案!$A$6:$A$35,0)),"")),2)</f>
        <v>0</v>
      </c>
      <c r="U899" s="36" t="n">
        <f aca="false">IF($D899&lt;&gt;"销项开票",0,ROUND(N($H899)*N(IFERROR(INDEX(单位档案!$K$6:$K$35,MATCH($E899,单位档案!$A$6:$A$35,0)),"")),2))</f>
        <v>0</v>
      </c>
      <c r="V899" s="36" t="n">
        <f aca="false">IF(OR($D899&lt;&gt;"销项开票",N($Q899)=0),0,ROUND(N($H899)/(1+$Q899)*N(IFERROR(INDEX(单位档案!$L$6:$L$35,MATCH($E899,单位档案!$A$6:$A$35,0)),"")),2))</f>
        <v>0</v>
      </c>
      <c r="W899" s="36" t="n">
        <f aca="false">ROUND($S899+$T899+$U899+$V899,2)</f>
        <v>0</v>
      </c>
      <c r="X899" s="35" t="str">
        <f aca="false">IF(OR($D899="挂靠代收",$D899="我方收款"),COUNTIFS($D$5:$D899,"挂靠代收")+COUNTIFS($D$5:$D899,"我方收款"),"")</f>
        <v/>
      </c>
      <c r="Y899" s="35"/>
      <c r="Z899" s="21" t="s">
        <v>111</v>
      </c>
    </row>
    <row r="900" customFormat="false" ht="15.75" hidden="false" customHeight="true" outlineLevel="0" collapsed="false">
      <c r="A900" s="32" t="str">
        <f aca="false">IF($B900="","",ROW()-4)</f>
        <v/>
      </c>
      <c r="B900" s="26"/>
      <c r="C900" s="24"/>
      <c r="D900" s="21"/>
      <c r="E900" s="21"/>
      <c r="F900" s="21"/>
      <c r="G900" s="21"/>
      <c r="H900" s="27"/>
      <c r="I900" s="23" t="str">
        <f aca="false">IF($D900&lt;&gt;"销项开票","",IF($N900="一级",IF(IFERROR(INDEX(项目档案!$E$6:$E$255,MATCH($C900,项目档案!$A$6:$A$255,0)),"")="",N(IFERROR(INDEX(单位档案!$D$6:$D$35,MATCH($E900,单位档案!$A$6:$A$35,0)),"")),IFERROR(INDEX(项目档案!$E$6:$E$255,MATCH($C900,项目档案!$A$6:$A$255,0)),"")),IF($N900="二级",IF(IFERROR(INDEX(项目档案!$G$6:$G$255,MATCH($C900,项目档案!$A$6:$A$255,0)),"")="",N(IFERROR(INDEX(单位档案!$D$6:$D$35,MATCH($E900,单位档案!$A$6:$A$35,0)),"")),IFERROR(INDEX(项目档案!$G$6:$G$255,MATCH($C900,项目档案!$A$6:$A$255,0)),"")),N(IFERROR(INDEX(单位档案!$D$6:$D$35,MATCH($E900,单位档案!$A$6:$A$35,0)),"")))))</f>
        <v/>
      </c>
      <c r="J900" s="22"/>
      <c r="K900" s="22"/>
      <c r="L900" s="33" t="str">
        <f aca="false">IF($B900="","",IF(NOT(ISNUMBER($B900)),"日期格式不对",IF($C900="","未选项目编号",IF(LEFT($M900,1)="⚠","项目编号不存在",IF($D900="","未选业务类型",IF($E900="","未选开票/付款方",IF(ISNA(MATCH($E900,单位档案!$A$6:$A$35,0)),"开票方不在单位档案",IF($F900="","未选收票/收款方",IF(ISNA(MATCH($F900,单位档案!$A$6:$A$35,0)),"收款方不在单位档案",IF(NOT(ISNUMBER($H900)),"金额须为数字",IF(AND($D900="销项开票",$N900="—"),"链条待确认","√")))))))))))</f>
        <v/>
      </c>
      <c r="M900" s="34" t="str">
        <f aca="false">IF($C900="","",IFERROR(INDEX(项目档案!$B$6:$B$255,MATCH($C900,项目档案!$A$6:$A$255,0)),"⚠项目编号不存在"))</f>
        <v/>
      </c>
      <c r="N900" s="35" t="str">
        <f aca="false">IF($E900="","",IF($E900=IFERROR(INDEX(项目档案!$D$6:$D$255,MATCH($C900,项目档案!$A$6:$A$255,0)),""),"一级",IF($E900=IFERROR(INDEX(项目档案!$F$6:$F$255,MATCH($C900,项目档案!$A$6:$A$255,0)),""),"二级",IF($E900=IFERROR(INDEX(项目档案!$H$6:$H$255,MATCH($C900,项目档案!$A$6:$A$255,0)),""),"我方","—"))))</f>
        <v/>
      </c>
      <c r="O900" s="36" t="n">
        <f aca="false">IF($D900&lt;&gt;"销项开票",0,ROUND(N($H900)*N($I900),2))</f>
        <v>0</v>
      </c>
      <c r="P900" s="36" t="n">
        <f aca="false">IF($D900&lt;&gt;"销项开票",0,ROUND(N($H900)-$O900,2))</f>
        <v>0</v>
      </c>
      <c r="Q900" s="37" t="str">
        <f aca="false">IF($E900="","",N(IFERROR(INDEX(单位档案!$E$6:$E$35,MATCH($E900,单位档案!$A$6:$A$35,0)),"")))</f>
        <v/>
      </c>
      <c r="R900" s="37" t="str">
        <f aca="false">IF($E900="","",N(IFERROR(INDEX(单位档案!$F$6:$F$35,MATCH($E900,单位档案!$A$6:$A$35,0)),"")))</f>
        <v/>
      </c>
      <c r="S900" s="36" t="n">
        <f aca="false">IF(OR($D900&lt;&gt;"销项开票",IFERROR(INDEX(单位档案!$G$6:$G$35,MATCH($E900,单位档案!$A$6:$A$35,0)),"")&lt;&gt;"是",N($Q900)=0),0,IF(IFERROR(INDEX(单位档案!$H$6:$H$35,MATCH($E900,单位档案!$A$6:$A$35,0)),"")="税差法",ROUND(N($H900)/(1+$Q900)*$Q900-IF(N($R900)=0,0,$P900/(1+$R900)*$R900),2),ROUND(N($H900)/(1+$Q900)*$Q900,2)))</f>
        <v>0</v>
      </c>
      <c r="T900" s="36" t="n">
        <f aca="false">ROUND($S900*N(IFERROR(INDEX(单位档案!$J$6:$J$35,MATCH($E900,单位档案!$A$6:$A$35,0)),"")),2)</f>
        <v>0</v>
      </c>
      <c r="U900" s="36" t="n">
        <f aca="false">IF($D900&lt;&gt;"销项开票",0,ROUND(N($H900)*N(IFERROR(INDEX(单位档案!$K$6:$K$35,MATCH($E900,单位档案!$A$6:$A$35,0)),"")),2))</f>
        <v>0</v>
      </c>
      <c r="V900" s="36" t="n">
        <f aca="false">IF(OR($D900&lt;&gt;"销项开票",N($Q900)=0),0,ROUND(N($H900)/(1+$Q900)*N(IFERROR(INDEX(单位档案!$L$6:$L$35,MATCH($E900,单位档案!$A$6:$A$35,0)),"")),2))</f>
        <v>0</v>
      </c>
      <c r="W900" s="36" t="n">
        <f aca="false">ROUND($S900+$T900+$U900+$V900,2)</f>
        <v>0</v>
      </c>
      <c r="X900" s="35" t="str">
        <f aca="false">IF(OR($D900="挂靠代收",$D900="我方收款"),COUNTIFS($D$5:$D900,"挂靠代收")+COUNTIFS($D$5:$D900,"我方收款"),"")</f>
        <v/>
      </c>
      <c r="Y900" s="35"/>
      <c r="Z900" s="21" t="s">
        <v>111</v>
      </c>
    </row>
    <row r="901" customFormat="false" ht="15.75" hidden="false" customHeight="true" outlineLevel="0" collapsed="false">
      <c r="A901" s="32" t="str">
        <f aca="false">IF($B901="","",ROW()-4)</f>
        <v/>
      </c>
      <c r="B901" s="26"/>
      <c r="C901" s="24"/>
      <c r="D901" s="21"/>
      <c r="E901" s="21"/>
      <c r="F901" s="21"/>
      <c r="G901" s="21"/>
      <c r="H901" s="27"/>
      <c r="I901" s="23" t="str">
        <f aca="false">IF($D901&lt;&gt;"销项开票","",IF($N901="一级",IF(IFERROR(INDEX(项目档案!$E$6:$E$255,MATCH($C901,项目档案!$A$6:$A$255,0)),"")="",N(IFERROR(INDEX(单位档案!$D$6:$D$35,MATCH($E901,单位档案!$A$6:$A$35,0)),"")),IFERROR(INDEX(项目档案!$E$6:$E$255,MATCH($C901,项目档案!$A$6:$A$255,0)),"")),IF($N901="二级",IF(IFERROR(INDEX(项目档案!$G$6:$G$255,MATCH($C901,项目档案!$A$6:$A$255,0)),"")="",N(IFERROR(INDEX(单位档案!$D$6:$D$35,MATCH($E901,单位档案!$A$6:$A$35,0)),"")),IFERROR(INDEX(项目档案!$G$6:$G$255,MATCH($C901,项目档案!$A$6:$A$255,0)),"")),N(IFERROR(INDEX(单位档案!$D$6:$D$35,MATCH($E901,单位档案!$A$6:$A$35,0)),"")))))</f>
        <v/>
      </c>
      <c r="J901" s="22"/>
      <c r="K901" s="22"/>
      <c r="L901" s="33" t="str">
        <f aca="false">IF($B901="","",IF(NOT(ISNUMBER($B901)),"日期格式不对",IF($C901="","未选项目编号",IF(LEFT($M901,1)="⚠","项目编号不存在",IF($D901="","未选业务类型",IF($E901="","未选开票/付款方",IF(ISNA(MATCH($E901,单位档案!$A$6:$A$35,0)),"开票方不在单位档案",IF($F901="","未选收票/收款方",IF(ISNA(MATCH($F901,单位档案!$A$6:$A$35,0)),"收款方不在单位档案",IF(NOT(ISNUMBER($H901)),"金额须为数字",IF(AND($D901="销项开票",$N901="—"),"链条待确认","√")))))))))))</f>
        <v/>
      </c>
      <c r="M901" s="34" t="str">
        <f aca="false">IF($C901="","",IFERROR(INDEX(项目档案!$B$6:$B$255,MATCH($C901,项目档案!$A$6:$A$255,0)),"⚠项目编号不存在"))</f>
        <v/>
      </c>
      <c r="N901" s="35" t="str">
        <f aca="false">IF($E901="","",IF($E901=IFERROR(INDEX(项目档案!$D$6:$D$255,MATCH($C901,项目档案!$A$6:$A$255,0)),""),"一级",IF($E901=IFERROR(INDEX(项目档案!$F$6:$F$255,MATCH($C901,项目档案!$A$6:$A$255,0)),""),"二级",IF($E901=IFERROR(INDEX(项目档案!$H$6:$H$255,MATCH($C901,项目档案!$A$6:$A$255,0)),""),"我方","—"))))</f>
        <v/>
      </c>
      <c r="O901" s="36" t="n">
        <f aca="false">IF($D901&lt;&gt;"销项开票",0,ROUND(N($H901)*N($I901),2))</f>
        <v>0</v>
      </c>
      <c r="P901" s="36" t="n">
        <f aca="false">IF($D901&lt;&gt;"销项开票",0,ROUND(N($H901)-$O901,2))</f>
        <v>0</v>
      </c>
      <c r="Q901" s="37" t="str">
        <f aca="false">IF($E901="","",N(IFERROR(INDEX(单位档案!$E$6:$E$35,MATCH($E901,单位档案!$A$6:$A$35,0)),"")))</f>
        <v/>
      </c>
      <c r="R901" s="37" t="str">
        <f aca="false">IF($E901="","",N(IFERROR(INDEX(单位档案!$F$6:$F$35,MATCH($E901,单位档案!$A$6:$A$35,0)),"")))</f>
        <v/>
      </c>
      <c r="S901" s="36" t="n">
        <f aca="false">IF(OR($D901&lt;&gt;"销项开票",IFERROR(INDEX(单位档案!$G$6:$G$35,MATCH($E901,单位档案!$A$6:$A$35,0)),"")&lt;&gt;"是",N($Q901)=0),0,IF(IFERROR(INDEX(单位档案!$H$6:$H$35,MATCH($E901,单位档案!$A$6:$A$35,0)),"")="税差法",ROUND(N($H901)/(1+$Q901)*$Q901-IF(N($R901)=0,0,$P901/(1+$R901)*$R901),2),ROUND(N($H901)/(1+$Q901)*$Q901,2)))</f>
        <v>0</v>
      </c>
      <c r="T901" s="36" t="n">
        <f aca="false">ROUND($S901*N(IFERROR(INDEX(单位档案!$J$6:$J$35,MATCH($E901,单位档案!$A$6:$A$35,0)),"")),2)</f>
        <v>0</v>
      </c>
      <c r="U901" s="36" t="n">
        <f aca="false">IF($D901&lt;&gt;"销项开票",0,ROUND(N($H901)*N(IFERROR(INDEX(单位档案!$K$6:$K$35,MATCH($E901,单位档案!$A$6:$A$35,0)),"")),2))</f>
        <v>0</v>
      </c>
      <c r="V901" s="36" t="n">
        <f aca="false">IF(OR($D901&lt;&gt;"销项开票",N($Q901)=0),0,ROUND(N($H901)/(1+$Q901)*N(IFERROR(INDEX(单位档案!$L$6:$L$35,MATCH($E901,单位档案!$A$6:$A$35,0)),"")),2))</f>
        <v>0</v>
      </c>
      <c r="W901" s="36" t="n">
        <f aca="false">ROUND($S901+$T901+$U901+$V901,2)</f>
        <v>0</v>
      </c>
      <c r="X901" s="35" t="str">
        <f aca="false">IF(OR($D901="挂靠代收",$D901="我方收款"),COUNTIFS($D$5:$D901,"挂靠代收")+COUNTIFS($D$5:$D901,"我方收款"),"")</f>
        <v/>
      </c>
      <c r="Y901" s="35"/>
      <c r="Z901" s="21" t="s">
        <v>111</v>
      </c>
    </row>
    <row r="902" customFormat="false" ht="15.75" hidden="false" customHeight="true" outlineLevel="0" collapsed="false">
      <c r="A902" s="32" t="str">
        <f aca="false">IF($B902="","",ROW()-4)</f>
        <v/>
      </c>
      <c r="B902" s="26"/>
      <c r="C902" s="24"/>
      <c r="D902" s="21"/>
      <c r="E902" s="21"/>
      <c r="F902" s="21"/>
      <c r="G902" s="21"/>
      <c r="H902" s="27"/>
      <c r="I902" s="23" t="str">
        <f aca="false">IF($D902&lt;&gt;"销项开票","",IF($N902="一级",IF(IFERROR(INDEX(项目档案!$E$6:$E$255,MATCH($C902,项目档案!$A$6:$A$255,0)),"")="",N(IFERROR(INDEX(单位档案!$D$6:$D$35,MATCH($E902,单位档案!$A$6:$A$35,0)),"")),IFERROR(INDEX(项目档案!$E$6:$E$255,MATCH($C902,项目档案!$A$6:$A$255,0)),"")),IF($N902="二级",IF(IFERROR(INDEX(项目档案!$G$6:$G$255,MATCH($C902,项目档案!$A$6:$A$255,0)),"")="",N(IFERROR(INDEX(单位档案!$D$6:$D$35,MATCH($E902,单位档案!$A$6:$A$35,0)),"")),IFERROR(INDEX(项目档案!$G$6:$G$255,MATCH($C902,项目档案!$A$6:$A$255,0)),"")),N(IFERROR(INDEX(单位档案!$D$6:$D$35,MATCH($E902,单位档案!$A$6:$A$35,0)),"")))))</f>
        <v/>
      </c>
      <c r="J902" s="22"/>
      <c r="K902" s="22"/>
      <c r="L902" s="33" t="str">
        <f aca="false">IF($B902="","",IF(NOT(ISNUMBER($B902)),"日期格式不对",IF($C902="","未选项目编号",IF(LEFT($M902,1)="⚠","项目编号不存在",IF($D902="","未选业务类型",IF($E902="","未选开票/付款方",IF(ISNA(MATCH($E902,单位档案!$A$6:$A$35,0)),"开票方不在单位档案",IF($F902="","未选收票/收款方",IF(ISNA(MATCH($F902,单位档案!$A$6:$A$35,0)),"收款方不在单位档案",IF(NOT(ISNUMBER($H902)),"金额须为数字",IF(AND($D902="销项开票",$N902="—"),"链条待确认","√")))))))))))</f>
        <v/>
      </c>
      <c r="M902" s="34" t="str">
        <f aca="false">IF($C902="","",IFERROR(INDEX(项目档案!$B$6:$B$255,MATCH($C902,项目档案!$A$6:$A$255,0)),"⚠项目编号不存在"))</f>
        <v/>
      </c>
      <c r="N902" s="35" t="str">
        <f aca="false">IF($E902="","",IF($E902=IFERROR(INDEX(项目档案!$D$6:$D$255,MATCH($C902,项目档案!$A$6:$A$255,0)),""),"一级",IF($E902=IFERROR(INDEX(项目档案!$F$6:$F$255,MATCH($C902,项目档案!$A$6:$A$255,0)),""),"二级",IF($E902=IFERROR(INDEX(项目档案!$H$6:$H$255,MATCH($C902,项目档案!$A$6:$A$255,0)),""),"我方","—"))))</f>
        <v/>
      </c>
      <c r="O902" s="36" t="n">
        <f aca="false">IF($D902&lt;&gt;"销项开票",0,ROUND(N($H902)*N($I902),2))</f>
        <v>0</v>
      </c>
      <c r="P902" s="36" t="n">
        <f aca="false">IF($D902&lt;&gt;"销项开票",0,ROUND(N($H902)-$O902,2))</f>
        <v>0</v>
      </c>
      <c r="Q902" s="37" t="str">
        <f aca="false">IF($E902="","",N(IFERROR(INDEX(单位档案!$E$6:$E$35,MATCH($E902,单位档案!$A$6:$A$35,0)),"")))</f>
        <v/>
      </c>
      <c r="R902" s="37" t="str">
        <f aca="false">IF($E902="","",N(IFERROR(INDEX(单位档案!$F$6:$F$35,MATCH($E902,单位档案!$A$6:$A$35,0)),"")))</f>
        <v/>
      </c>
      <c r="S902" s="36" t="n">
        <f aca="false">IF(OR($D902&lt;&gt;"销项开票",IFERROR(INDEX(单位档案!$G$6:$G$35,MATCH($E902,单位档案!$A$6:$A$35,0)),"")&lt;&gt;"是",N($Q902)=0),0,IF(IFERROR(INDEX(单位档案!$H$6:$H$35,MATCH($E902,单位档案!$A$6:$A$35,0)),"")="税差法",ROUND(N($H902)/(1+$Q902)*$Q902-IF(N($R902)=0,0,$P902/(1+$R902)*$R902),2),ROUND(N($H902)/(1+$Q902)*$Q902,2)))</f>
        <v>0</v>
      </c>
      <c r="T902" s="36" t="n">
        <f aca="false">ROUND($S902*N(IFERROR(INDEX(单位档案!$J$6:$J$35,MATCH($E902,单位档案!$A$6:$A$35,0)),"")),2)</f>
        <v>0</v>
      </c>
      <c r="U902" s="36" t="n">
        <f aca="false">IF($D902&lt;&gt;"销项开票",0,ROUND(N($H902)*N(IFERROR(INDEX(单位档案!$K$6:$K$35,MATCH($E902,单位档案!$A$6:$A$35,0)),"")),2))</f>
        <v>0</v>
      </c>
      <c r="V902" s="36" t="n">
        <f aca="false">IF(OR($D902&lt;&gt;"销项开票",N($Q902)=0),0,ROUND(N($H902)/(1+$Q902)*N(IFERROR(INDEX(单位档案!$L$6:$L$35,MATCH($E902,单位档案!$A$6:$A$35,0)),"")),2))</f>
        <v>0</v>
      </c>
      <c r="W902" s="36" t="n">
        <f aca="false">ROUND($S902+$T902+$U902+$V902,2)</f>
        <v>0</v>
      </c>
      <c r="X902" s="35" t="str">
        <f aca="false">IF(OR($D902="挂靠代收",$D902="我方收款"),COUNTIFS($D$5:$D902,"挂靠代收")+COUNTIFS($D$5:$D902,"我方收款"),"")</f>
        <v/>
      </c>
      <c r="Y902" s="35"/>
      <c r="Z902" s="21" t="s">
        <v>111</v>
      </c>
    </row>
    <row r="903" customFormat="false" ht="15.75" hidden="false" customHeight="true" outlineLevel="0" collapsed="false">
      <c r="A903" s="32" t="str">
        <f aca="false">IF($B903="","",ROW()-4)</f>
        <v/>
      </c>
      <c r="B903" s="26"/>
      <c r="C903" s="24"/>
      <c r="D903" s="21"/>
      <c r="E903" s="21"/>
      <c r="F903" s="21"/>
      <c r="G903" s="21"/>
      <c r="H903" s="27"/>
      <c r="I903" s="23" t="str">
        <f aca="false">IF($D903&lt;&gt;"销项开票","",IF($N903="一级",IF(IFERROR(INDEX(项目档案!$E$6:$E$255,MATCH($C903,项目档案!$A$6:$A$255,0)),"")="",N(IFERROR(INDEX(单位档案!$D$6:$D$35,MATCH($E903,单位档案!$A$6:$A$35,0)),"")),IFERROR(INDEX(项目档案!$E$6:$E$255,MATCH($C903,项目档案!$A$6:$A$255,0)),"")),IF($N903="二级",IF(IFERROR(INDEX(项目档案!$G$6:$G$255,MATCH($C903,项目档案!$A$6:$A$255,0)),"")="",N(IFERROR(INDEX(单位档案!$D$6:$D$35,MATCH($E903,单位档案!$A$6:$A$35,0)),"")),IFERROR(INDEX(项目档案!$G$6:$G$255,MATCH($C903,项目档案!$A$6:$A$255,0)),"")),N(IFERROR(INDEX(单位档案!$D$6:$D$35,MATCH($E903,单位档案!$A$6:$A$35,0)),"")))))</f>
        <v/>
      </c>
      <c r="J903" s="22"/>
      <c r="K903" s="22"/>
      <c r="L903" s="33" t="str">
        <f aca="false">IF($B903="","",IF(NOT(ISNUMBER($B903)),"日期格式不对",IF($C903="","未选项目编号",IF(LEFT($M903,1)="⚠","项目编号不存在",IF($D903="","未选业务类型",IF($E903="","未选开票/付款方",IF(ISNA(MATCH($E903,单位档案!$A$6:$A$35,0)),"开票方不在单位档案",IF($F903="","未选收票/收款方",IF(ISNA(MATCH($F903,单位档案!$A$6:$A$35,0)),"收款方不在单位档案",IF(NOT(ISNUMBER($H903)),"金额须为数字",IF(AND($D903="销项开票",$N903="—"),"链条待确认","√")))))))))))</f>
        <v/>
      </c>
      <c r="M903" s="34" t="str">
        <f aca="false">IF($C903="","",IFERROR(INDEX(项目档案!$B$6:$B$255,MATCH($C903,项目档案!$A$6:$A$255,0)),"⚠项目编号不存在"))</f>
        <v/>
      </c>
      <c r="N903" s="35" t="str">
        <f aca="false">IF($E903="","",IF($E903=IFERROR(INDEX(项目档案!$D$6:$D$255,MATCH($C903,项目档案!$A$6:$A$255,0)),""),"一级",IF($E903=IFERROR(INDEX(项目档案!$F$6:$F$255,MATCH($C903,项目档案!$A$6:$A$255,0)),""),"二级",IF($E903=IFERROR(INDEX(项目档案!$H$6:$H$255,MATCH($C903,项目档案!$A$6:$A$255,0)),""),"我方","—"))))</f>
        <v/>
      </c>
      <c r="O903" s="36" t="n">
        <f aca="false">IF($D903&lt;&gt;"销项开票",0,ROUND(N($H903)*N($I903),2))</f>
        <v>0</v>
      </c>
      <c r="P903" s="36" t="n">
        <f aca="false">IF($D903&lt;&gt;"销项开票",0,ROUND(N($H903)-$O903,2))</f>
        <v>0</v>
      </c>
      <c r="Q903" s="37" t="str">
        <f aca="false">IF($E903="","",N(IFERROR(INDEX(单位档案!$E$6:$E$35,MATCH($E903,单位档案!$A$6:$A$35,0)),"")))</f>
        <v/>
      </c>
      <c r="R903" s="37" t="str">
        <f aca="false">IF($E903="","",N(IFERROR(INDEX(单位档案!$F$6:$F$35,MATCH($E903,单位档案!$A$6:$A$35,0)),"")))</f>
        <v/>
      </c>
      <c r="S903" s="36" t="n">
        <f aca="false">IF(OR($D903&lt;&gt;"销项开票",IFERROR(INDEX(单位档案!$G$6:$G$35,MATCH($E903,单位档案!$A$6:$A$35,0)),"")&lt;&gt;"是",N($Q903)=0),0,IF(IFERROR(INDEX(单位档案!$H$6:$H$35,MATCH($E903,单位档案!$A$6:$A$35,0)),"")="税差法",ROUND(N($H903)/(1+$Q903)*$Q903-IF(N($R903)=0,0,$P903/(1+$R903)*$R903),2),ROUND(N($H903)/(1+$Q903)*$Q903,2)))</f>
        <v>0</v>
      </c>
      <c r="T903" s="36" t="n">
        <f aca="false">ROUND($S903*N(IFERROR(INDEX(单位档案!$J$6:$J$35,MATCH($E903,单位档案!$A$6:$A$35,0)),"")),2)</f>
        <v>0</v>
      </c>
      <c r="U903" s="36" t="n">
        <f aca="false">IF($D903&lt;&gt;"销项开票",0,ROUND(N($H903)*N(IFERROR(INDEX(单位档案!$K$6:$K$35,MATCH($E903,单位档案!$A$6:$A$35,0)),"")),2))</f>
        <v>0</v>
      </c>
      <c r="V903" s="36" t="n">
        <f aca="false">IF(OR($D903&lt;&gt;"销项开票",N($Q903)=0),0,ROUND(N($H903)/(1+$Q903)*N(IFERROR(INDEX(单位档案!$L$6:$L$35,MATCH($E903,单位档案!$A$6:$A$35,0)),"")),2))</f>
        <v>0</v>
      </c>
      <c r="W903" s="36" t="n">
        <f aca="false">ROUND($S903+$T903+$U903+$V903,2)</f>
        <v>0</v>
      </c>
      <c r="X903" s="35" t="str">
        <f aca="false">IF(OR($D903="挂靠代收",$D903="我方收款"),COUNTIFS($D$5:$D903,"挂靠代收")+COUNTIFS($D$5:$D903,"我方收款"),"")</f>
        <v/>
      </c>
      <c r="Y903" s="35"/>
      <c r="Z903" s="21" t="s">
        <v>111</v>
      </c>
    </row>
    <row r="904" customFormat="false" ht="15.75" hidden="false" customHeight="true" outlineLevel="0" collapsed="false">
      <c r="A904" s="32" t="str">
        <f aca="false">IF($B904="","",ROW()-4)</f>
        <v/>
      </c>
      <c r="B904" s="26"/>
      <c r="C904" s="24"/>
      <c r="D904" s="21"/>
      <c r="E904" s="21"/>
      <c r="F904" s="21"/>
      <c r="G904" s="21"/>
      <c r="H904" s="27"/>
      <c r="I904" s="23" t="str">
        <f aca="false">IF($D904&lt;&gt;"销项开票","",IF($N904="一级",IF(IFERROR(INDEX(项目档案!$E$6:$E$255,MATCH($C904,项目档案!$A$6:$A$255,0)),"")="",N(IFERROR(INDEX(单位档案!$D$6:$D$35,MATCH($E904,单位档案!$A$6:$A$35,0)),"")),IFERROR(INDEX(项目档案!$E$6:$E$255,MATCH($C904,项目档案!$A$6:$A$255,0)),"")),IF($N904="二级",IF(IFERROR(INDEX(项目档案!$G$6:$G$255,MATCH($C904,项目档案!$A$6:$A$255,0)),"")="",N(IFERROR(INDEX(单位档案!$D$6:$D$35,MATCH($E904,单位档案!$A$6:$A$35,0)),"")),IFERROR(INDEX(项目档案!$G$6:$G$255,MATCH($C904,项目档案!$A$6:$A$255,0)),"")),N(IFERROR(INDEX(单位档案!$D$6:$D$35,MATCH($E904,单位档案!$A$6:$A$35,0)),"")))))</f>
        <v/>
      </c>
      <c r="J904" s="22"/>
      <c r="K904" s="22"/>
      <c r="L904" s="33" t="str">
        <f aca="false">IF($B904="","",IF(NOT(ISNUMBER($B904)),"日期格式不对",IF($C904="","未选项目编号",IF(LEFT($M904,1)="⚠","项目编号不存在",IF($D904="","未选业务类型",IF($E904="","未选开票/付款方",IF(ISNA(MATCH($E904,单位档案!$A$6:$A$35,0)),"开票方不在单位档案",IF($F904="","未选收票/收款方",IF(ISNA(MATCH($F904,单位档案!$A$6:$A$35,0)),"收款方不在单位档案",IF(NOT(ISNUMBER($H904)),"金额须为数字",IF(AND($D904="销项开票",$N904="—"),"链条待确认","√")))))))))))</f>
        <v/>
      </c>
      <c r="M904" s="34" t="str">
        <f aca="false">IF($C904="","",IFERROR(INDEX(项目档案!$B$6:$B$255,MATCH($C904,项目档案!$A$6:$A$255,0)),"⚠项目编号不存在"))</f>
        <v/>
      </c>
      <c r="N904" s="35" t="str">
        <f aca="false">IF($E904="","",IF($E904=IFERROR(INDEX(项目档案!$D$6:$D$255,MATCH($C904,项目档案!$A$6:$A$255,0)),""),"一级",IF($E904=IFERROR(INDEX(项目档案!$F$6:$F$255,MATCH($C904,项目档案!$A$6:$A$255,0)),""),"二级",IF($E904=IFERROR(INDEX(项目档案!$H$6:$H$255,MATCH($C904,项目档案!$A$6:$A$255,0)),""),"我方","—"))))</f>
        <v/>
      </c>
      <c r="O904" s="36" t="n">
        <f aca="false">IF($D904&lt;&gt;"销项开票",0,ROUND(N($H904)*N($I904),2))</f>
        <v>0</v>
      </c>
      <c r="P904" s="36" t="n">
        <f aca="false">IF($D904&lt;&gt;"销项开票",0,ROUND(N($H904)-$O904,2))</f>
        <v>0</v>
      </c>
      <c r="Q904" s="37" t="str">
        <f aca="false">IF($E904="","",N(IFERROR(INDEX(单位档案!$E$6:$E$35,MATCH($E904,单位档案!$A$6:$A$35,0)),"")))</f>
        <v/>
      </c>
      <c r="R904" s="37" t="str">
        <f aca="false">IF($E904="","",N(IFERROR(INDEX(单位档案!$F$6:$F$35,MATCH($E904,单位档案!$A$6:$A$35,0)),"")))</f>
        <v/>
      </c>
      <c r="S904" s="36" t="n">
        <f aca="false">IF(OR($D904&lt;&gt;"销项开票",IFERROR(INDEX(单位档案!$G$6:$G$35,MATCH($E904,单位档案!$A$6:$A$35,0)),"")&lt;&gt;"是",N($Q904)=0),0,IF(IFERROR(INDEX(单位档案!$H$6:$H$35,MATCH($E904,单位档案!$A$6:$A$35,0)),"")="税差法",ROUND(N($H904)/(1+$Q904)*$Q904-IF(N($R904)=0,0,$P904/(1+$R904)*$R904),2),ROUND(N($H904)/(1+$Q904)*$Q904,2)))</f>
        <v>0</v>
      </c>
      <c r="T904" s="36" t="n">
        <f aca="false">ROUND($S904*N(IFERROR(INDEX(单位档案!$J$6:$J$35,MATCH($E904,单位档案!$A$6:$A$35,0)),"")),2)</f>
        <v>0</v>
      </c>
      <c r="U904" s="36" t="n">
        <f aca="false">IF($D904&lt;&gt;"销项开票",0,ROUND(N($H904)*N(IFERROR(INDEX(单位档案!$K$6:$K$35,MATCH($E904,单位档案!$A$6:$A$35,0)),"")),2))</f>
        <v>0</v>
      </c>
      <c r="V904" s="36" t="n">
        <f aca="false">IF(OR($D904&lt;&gt;"销项开票",N($Q904)=0),0,ROUND(N($H904)/(1+$Q904)*N(IFERROR(INDEX(单位档案!$L$6:$L$35,MATCH($E904,单位档案!$A$6:$A$35,0)),"")),2))</f>
        <v>0</v>
      </c>
      <c r="W904" s="36" t="n">
        <f aca="false">ROUND($S904+$T904+$U904+$V904,2)</f>
        <v>0</v>
      </c>
      <c r="X904" s="35" t="str">
        <f aca="false">IF(OR($D904="挂靠代收",$D904="我方收款"),COUNTIFS($D$5:$D904,"挂靠代收")+COUNTIFS($D$5:$D904,"我方收款"),"")</f>
        <v/>
      </c>
      <c r="Y904" s="35"/>
      <c r="Z904" s="21" t="s">
        <v>111</v>
      </c>
    </row>
    <row r="905" customFormat="false" ht="15.75" hidden="false" customHeight="true" outlineLevel="0" collapsed="false">
      <c r="A905" s="32" t="str">
        <f aca="false">IF($B905="","",ROW()-4)</f>
        <v/>
      </c>
      <c r="B905" s="26"/>
      <c r="C905" s="24"/>
      <c r="D905" s="21"/>
      <c r="E905" s="21"/>
      <c r="F905" s="21"/>
      <c r="G905" s="21"/>
      <c r="H905" s="27"/>
      <c r="I905" s="23" t="str">
        <f aca="false">IF($D905&lt;&gt;"销项开票","",IF($N905="一级",IF(IFERROR(INDEX(项目档案!$E$6:$E$255,MATCH($C905,项目档案!$A$6:$A$255,0)),"")="",N(IFERROR(INDEX(单位档案!$D$6:$D$35,MATCH($E905,单位档案!$A$6:$A$35,0)),"")),IFERROR(INDEX(项目档案!$E$6:$E$255,MATCH($C905,项目档案!$A$6:$A$255,0)),"")),IF($N905="二级",IF(IFERROR(INDEX(项目档案!$G$6:$G$255,MATCH($C905,项目档案!$A$6:$A$255,0)),"")="",N(IFERROR(INDEX(单位档案!$D$6:$D$35,MATCH($E905,单位档案!$A$6:$A$35,0)),"")),IFERROR(INDEX(项目档案!$G$6:$G$255,MATCH($C905,项目档案!$A$6:$A$255,0)),"")),N(IFERROR(INDEX(单位档案!$D$6:$D$35,MATCH($E905,单位档案!$A$6:$A$35,0)),"")))))</f>
        <v/>
      </c>
      <c r="J905" s="22"/>
      <c r="K905" s="22"/>
      <c r="L905" s="33" t="str">
        <f aca="false">IF($B905="","",IF(NOT(ISNUMBER($B905)),"日期格式不对",IF($C905="","未选项目编号",IF(LEFT($M905,1)="⚠","项目编号不存在",IF($D905="","未选业务类型",IF($E905="","未选开票/付款方",IF(ISNA(MATCH($E905,单位档案!$A$6:$A$35,0)),"开票方不在单位档案",IF($F905="","未选收票/收款方",IF(ISNA(MATCH($F905,单位档案!$A$6:$A$35,0)),"收款方不在单位档案",IF(NOT(ISNUMBER($H905)),"金额须为数字",IF(AND($D905="销项开票",$N905="—"),"链条待确认","√")))))))))))</f>
        <v/>
      </c>
      <c r="M905" s="34" t="str">
        <f aca="false">IF($C905="","",IFERROR(INDEX(项目档案!$B$6:$B$255,MATCH($C905,项目档案!$A$6:$A$255,0)),"⚠项目编号不存在"))</f>
        <v/>
      </c>
      <c r="N905" s="35" t="str">
        <f aca="false">IF($E905="","",IF($E905=IFERROR(INDEX(项目档案!$D$6:$D$255,MATCH($C905,项目档案!$A$6:$A$255,0)),""),"一级",IF($E905=IFERROR(INDEX(项目档案!$F$6:$F$255,MATCH($C905,项目档案!$A$6:$A$255,0)),""),"二级",IF($E905=IFERROR(INDEX(项目档案!$H$6:$H$255,MATCH($C905,项目档案!$A$6:$A$255,0)),""),"我方","—"))))</f>
        <v/>
      </c>
      <c r="O905" s="36" t="n">
        <f aca="false">IF($D905&lt;&gt;"销项开票",0,ROUND(N($H905)*N($I905),2))</f>
        <v>0</v>
      </c>
      <c r="P905" s="36" t="n">
        <f aca="false">IF($D905&lt;&gt;"销项开票",0,ROUND(N($H905)-$O905,2))</f>
        <v>0</v>
      </c>
      <c r="Q905" s="37" t="str">
        <f aca="false">IF($E905="","",N(IFERROR(INDEX(单位档案!$E$6:$E$35,MATCH($E905,单位档案!$A$6:$A$35,0)),"")))</f>
        <v/>
      </c>
      <c r="R905" s="37" t="str">
        <f aca="false">IF($E905="","",N(IFERROR(INDEX(单位档案!$F$6:$F$35,MATCH($E905,单位档案!$A$6:$A$35,0)),"")))</f>
        <v/>
      </c>
      <c r="S905" s="36" t="n">
        <f aca="false">IF(OR($D905&lt;&gt;"销项开票",IFERROR(INDEX(单位档案!$G$6:$G$35,MATCH($E905,单位档案!$A$6:$A$35,0)),"")&lt;&gt;"是",N($Q905)=0),0,IF(IFERROR(INDEX(单位档案!$H$6:$H$35,MATCH($E905,单位档案!$A$6:$A$35,0)),"")="税差法",ROUND(N($H905)/(1+$Q905)*$Q905-IF(N($R905)=0,0,$P905/(1+$R905)*$R905),2),ROUND(N($H905)/(1+$Q905)*$Q905,2)))</f>
        <v>0</v>
      </c>
      <c r="T905" s="36" t="n">
        <f aca="false">ROUND($S905*N(IFERROR(INDEX(单位档案!$J$6:$J$35,MATCH($E905,单位档案!$A$6:$A$35,0)),"")),2)</f>
        <v>0</v>
      </c>
      <c r="U905" s="36" t="n">
        <f aca="false">IF($D905&lt;&gt;"销项开票",0,ROUND(N($H905)*N(IFERROR(INDEX(单位档案!$K$6:$K$35,MATCH($E905,单位档案!$A$6:$A$35,0)),"")),2))</f>
        <v>0</v>
      </c>
      <c r="V905" s="36" t="n">
        <f aca="false">IF(OR($D905&lt;&gt;"销项开票",N($Q905)=0),0,ROUND(N($H905)/(1+$Q905)*N(IFERROR(INDEX(单位档案!$L$6:$L$35,MATCH($E905,单位档案!$A$6:$A$35,0)),"")),2))</f>
        <v>0</v>
      </c>
      <c r="W905" s="36" t="n">
        <f aca="false">ROUND($S905+$T905+$U905+$V905,2)</f>
        <v>0</v>
      </c>
      <c r="X905" s="35" t="str">
        <f aca="false">IF(OR($D905="挂靠代收",$D905="我方收款"),COUNTIFS($D$5:$D905,"挂靠代收")+COUNTIFS($D$5:$D905,"我方收款"),"")</f>
        <v/>
      </c>
      <c r="Y905" s="35"/>
      <c r="Z905" s="21" t="s">
        <v>111</v>
      </c>
    </row>
    <row r="906" customFormat="false" ht="15.75" hidden="false" customHeight="true" outlineLevel="0" collapsed="false">
      <c r="A906" s="32" t="str">
        <f aca="false">IF($B906="","",ROW()-4)</f>
        <v/>
      </c>
      <c r="B906" s="26"/>
      <c r="C906" s="24"/>
      <c r="D906" s="21"/>
      <c r="E906" s="21"/>
      <c r="F906" s="21"/>
      <c r="G906" s="21"/>
      <c r="H906" s="27"/>
      <c r="I906" s="23" t="str">
        <f aca="false">IF($D906&lt;&gt;"销项开票","",IF($N906="一级",IF(IFERROR(INDEX(项目档案!$E$6:$E$255,MATCH($C906,项目档案!$A$6:$A$255,0)),"")="",N(IFERROR(INDEX(单位档案!$D$6:$D$35,MATCH($E906,单位档案!$A$6:$A$35,0)),"")),IFERROR(INDEX(项目档案!$E$6:$E$255,MATCH($C906,项目档案!$A$6:$A$255,0)),"")),IF($N906="二级",IF(IFERROR(INDEX(项目档案!$G$6:$G$255,MATCH($C906,项目档案!$A$6:$A$255,0)),"")="",N(IFERROR(INDEX(单位档案!$D$6:$D$35,MATCH($E906,单位档案!$A$6:$A$35,0)),"")),IFERROR(INDEX(项目档案!$G$6:$G$255,MATCH($C906,项目档案!$A$6:$A$255,0)),"")),N(IFERROR(INDEX(单位档案!$D$6:$D$35,MATCH($E906,单位档案!$A$6:$A$35,0)),"")))))</f>
        <v/>
      </c>
      <c r="J906" s="22"/>
      <c r="K906" s="22"/>
      <c r="L906" s="33" t="str">
        <f aca="false">IF($B906="","",IF(NOT(ISNUMBER($B906)),"日期格式不对",IF($C906="","未选项目编号",IF(LEFT($M906,1)="⚠","项目编号不存在",IF($D906="","未选业务类型",IF($E906="","未选开票/付款方",IF(ISNA(MATCH($E906,单位档案!$A$6:$A$35,0)),"开票方不在单位档案",IF($F906="","未选收票/收款方",IF(ISNA(MATCH($F906,单位档案!$A$6:$A$35,0)),"收款方不在单位档案",IF(NOT(ISNUMBER($H906)),"金额须为数字",IF(AND($D906="销项开票",$N906="—"),"链条待确认","√")))))))))))</f>
        <v/>
      </c>
      <c r="M906" s="34" t="str">
        <f aca="false">IF($C906="","",IFERROR(INDEX(项目档案!$B$6:$B$255,MATCH($C906,项目档案!$A$6:$A$255,0)),"⚠项目编号不存在"))</f>
        <v/>
      </c>
      <c r="N906" s="35" t="str">
        <f aca="false">IF($E906="","",IF($E906=IFERROR(INDEX(项目档案!$D$6:$D$255,MATCH($C906,项目档案!$A$6:$A$255,0)),""),"一级",IF($E906=IFERROR(INDEX(项目档案!$F$6:$F$255,MATCH($C906,项目档案!$A$6:$A$255,0)),""),"二级",IF($E906=IFERROR(INDEX(项目档案!$H$6:$H$255,MATCH($C906,项目档案!$A$6:$A$255,0)),""),"我方","—"))))</f>
        <v/>
      </c>
      <c r="O906" s="36" t="n">
        <f aca="false">IF($D906&lt;&gt;"销项开票",0,ROUND(N($H906)*N($I906),2))</f>
        <v>0</v>
      </c>
      <c r="P906" s="36" t="n">
        <f aca="false">IF($D906&lt;&gt;"销项开票",0,ROUND(N($H906)-$O906,2))</f>
        <v>0</v>
      </c>
      <c r="Q906" s="37" t="str">
        <f aca="false">IF($E906="","",N(IFERROR(INDEX(单位档案!$E$6:$E$35,MATCH($E906,单位档案!$A$6:$A$35,0)),"")))</f>
        <v/>
      </c>
      <c r="R906" s="37" t="str">
        <f aca="false">IF($E906="","",N(IFERROR(INDEX(单位档案!$F$6:$F$35,MATCH($E906,单位档案!$A$6:$A$35,0)),"")))</f>
        <v/>
      </c>
      <c r="S906" s="36" t="n">
        <f aca="false">IF(OR($D906&lt;&gt;"销项开票",IFERROR(INDEX(单位档案!$G$6:$G$35,MATCH($E906,单位档案!$A$6:$A$35,0)),"")&lt;&gt;"是",N($Q906)=0),0,IF(IFERROR(INDEX(单位档案!$H$6:$H$35,MATCH($E906,单位档案!$A$6:$A$35,0)),"")="税差法",ROUND(N($H906)/(1+$Q906)*$Q906-IF(N($R906)=0,0,$P906/(1+$R906)*$R906),2),ROUND(N($H906)/(1+$Q906)*$Q906,2)))</f>
        <v>0</v>
      </c>
      <c r="T906" s="36" t="n">
        <f aca="false">ROUND($S906*N(IFERROR(INDEX(单位档案!$J$6:$J$35,MATCH($E906,单位档案!$A$6:$A$35,0)),"")),2)</f>
        <v>0</v>
      </c>
      <c r="U906" s="36" t="n">
        <f aca="false">IF($D906&lt;&gt;"销项开票",0,ROUND(N($H906)*N(IFERROR(INDEX(单位档案!$K$6:$K$35,MATCH($E906,单位档案!$A$6:$A$35,0)),"")),2))</f>
        <v>0</v>
      </c>
      <c r="V906" s="36" t="n">
        <f aca="false">IF(OR($D906&lt;&gt;"销项开票",N($Q906)=0),0,ROUND(N($H906)/(1+$Q906)*N(IFERROR(INDEX(单位档案!$L$6:$L$35,MATCH($E906,单位档案!$A$6:$A$35,0)),"")),2))</f>
        <v>0</v>
      </c>
      <c r="W906" s="36" t="n">
        <f aca="false">ROUND($S906+$T906+$U906+$V906,2)</f>
        <v>0</v>
      </c>
      <c r="X906" s="35" t="str">
        <f aca="false">IF(OR($D906="挂靠代收",$D906="我方收款"),COUNTIFS($D$5:$D906,"挂靠代收")+COUNTIFS($D$5:$D906,"我方收款"),"")</f>
        <v/>
      </c>
      <c r="Y906" s="35"/>
      <c r="Z906" s="21" t="s">
        <v>111</v>
      </c>
    </row>
    <row r="907" customFormat="false" ht="15.75" hidden="false" customHeight="true" outlineLevel="0" collapsed="false">
      <c r="A907" s="32" t="str">
        <f aca="false">IF($B907="","",ROW()-4)</f>
        <v/>
      </c>
      <c r="B907" s="26"/>
      <c r="C907" s="24"/>
      <c r="D907" s="21"/>
      <c r="E907" s="21"/>
      <c r="F907" s="21"/>
      <c r="G907" s="21"/>
      <c r="H907" s="27"/>
      <c r="I907" s="23" t="str">
        <f aca="false">IF($D907&lt;&gt;"销项开票","",IF($N907="一级",IF(IFERROR(INDEX(项目档案!$E$6:$E$255,MATCH($C907,项目档案!$A$6:$A$255,0)),"")="",N(IFERROR(INDEX(单位档案!$D$6:$D$35,MATCH($E907,单位档案!$A$6:$A$35,0)),"")),IFERROR(INDEX(项目档案!$E$6:$E$255,MATCH($C907,项目档案!$A$6:$A$255,0)),"")),IF($N907="二级",IF(IFERROR(INDEX(项目档案!$G$6:$G$255,MATCH($C907,项目档案!$A$6:$A$255,0)),"")="",N(IFERROR(INDEX(单位档案!$D$6:$D$35,MATCH($E907,单位档案!$A$6:$A$35,0)),"")),IFERROR(INDEX(项目档案!$G$6:$G$255,MATCH($C907,项目档案!$A$6:$A$255,0)),"")),N(IFERROR(INDEX(单位档案!$D$6:$D$35,MATCH($E907,单位档案!$A$6:$A$35,0)),"")))))</f>
        <v/>
      </c>
      <c r="J907" s="22"/>
      <c r="K907" s="22"/>
      <c r="L907" s="33" t="str">
        <f aca="false">IF($B907="","",IF(NOT(ISNUMBER($B907)),"日期格式不对",IF($C907="","未选项目编号",IF(LEFT($M907,1)="⚠","项目编号不存在",IF($D907="","未选业务类型",IF($E907="","未选开票/付款方",IF(ISNA(MATCH($E907,单位档案!$A$6:$A$35,0)),"开票方不在单位档案",IF($F907="","未选收票/收款方",IF(ISNA(MATCH($F907,单位档案!$A$6:$A$35,0)),"收款方不在单位档案",IF(NOT(ISNUMBER($H907)),"金额须为数字",IF(AND($D907="销项开票",$N907="—"),"链条待确认","√")))))))))))</f>
        <v/>
      </c>
      <c r="M907" s="34" t="str">
        <f aca="false">IF($C907="","",IFERROR(INDEX(项目档案!$B$6:$B$255,MATCH($C907,项目档案!$A$6:$A$255,0)),"⚠项目编号不存在"))</f>
        <v/>
      </c>
      <c r="N907" s="35" t="str">
        <f aca="false">IF($E907="","",IF($E907=IFERROR(INDEX(项目档案!$D$6:$D$255,MATCH($C907,项目档案!$A$6:$A$255,0)),""),"一级",IF($E907=IFERROR(INDEX(项目档案!$F$6:$F$255,MATCH($C907,项目档案!$A$6:$A$255,0)),""),"二级",IF($E907=IFERROR(INDEX(项目档案!$H$6:$H$255,MATCH($C907,项目档案!$A$6:$A$255,0)),""),"我方","—"))))</f>
        <v/>
      </c>
      <c r="O907" s="36" t="n">
        <f aca="false">IF($D907&lt;&gt;"销项开票",0,ROUND(N($H907)*N($I907),2))</f>
        <v>0</v>
      </c>
      <c r="P907" s="36" t="n">
        <f aca="false">IF($D907&lt;&gt;"销项开票",0,ROUND(N($H907)-$O907,2))</f>
        <v>0</v>
      </c>
      <c r="Q907" s="37" t="str">
        <f aca="false">IF($E907="","",N(IFERROR(INDEX(单位档案!$E$6:$E$35,MATCH($E907,单位档案!$A$6:$A$35,0)),"")))</f>
        <v/>
      </c>
      <c r="R907" s="37" t="str">
        <f aca="false">IF($E907="","",N(IFERROR(INDEX(单位档案!$F$6:$F$35,MATCH($E907,单位档案!$A$6:$A$35,0)),"")))</f>
        <v/>
      </c>
      <c r="S907" s="36" t="n">
        <f aca="false">IF(OR($D907&lt;&gt;"销项开票",IFERROR(INDEX(单位档案!$G$6:$G$35,MATCH($E907,单位档案!$A$6:$A$35,0)),"")&lt;&gt;"是",N($Q907)=0),0,IF(IFERROR(INDEX(单位档案!$H$6:$H$35,MATCH($E907,单位档案!$A$6:$A$35,0)),"")="税差法",ROUND(N($H907)/(1+$Q907)*$Q907-IF(N($R907)=0,0,$P907/(1+$R907)*$R907),2),ROUND(N($H907)/(1+$Q907)*$Q907,2)))</f>
        <v>0</v>
      </c>
      <c r="T907" s="36" t="n">
        <f aca="false">ROUND($S907*N(IFERROR(INDEX(单位档案!$J$6:$J$35,MATCH($E907,单位档案!$A$6:$A$35,0)),"")),2)</f>
        <v>0</v>
      </c>
      <c r="U907" s="36" t="n">
        <f aca="false">IF($D907&lt;&gt;"销项开票",0,ROUND(N($H907)*N(IFERROR(INDEX(单位档案!$K$6:$K$35,MATCH($E907,单位档案!$A$6:$A$35,0)),"")),2))</f>
        <v>0</v>
      </c>
      <c r="V907" s="36" t="n">
        <f aca="false">IF(OR($D907&lt;&gt;"销项开票",N($Q907)=0),0,ROUND(N($H907)/(1+$Q907)*N(IFERROR(INDEX(单位档案!$L$6:$L$35,MATCH($E907,单位档案!$A$6:$A$35,0)),"")),2))</f>
        <v>0</v>
      </c>
      <c r="W907" s="36" t="n">
        <f aca="false">ROUND($S907+$T907+$U907+$V907,2)</f>
        <v>0</v>
      </c>
      <c r="X907" s="35" t="str">
        <f aca="false">IF(OR($D907="挂靠代收",$D907="我方收款"),COUNTIFS($D$5:$D907,"挂靠代收")+COUNTIFS($D$5:$D907,"我方收款"),"")</f>
        <v/>
      </c>
      <c r="Y907" s="35"/>
      <c r="Z907" s="21" t="s">
        <v>111</v>
      </c>
    </row>
    <row r="908" customFormat="false" ht="15.75" hidden="false" customHeight="true" outlineLevel="0" collapsed="false">
      <c r="A908" s="32" t="str">
        <f aca="false">IF($B908="","",ROW()-4)</f>
        <v/>
      </c>
      <c r="B908" s="26"/>
      <c r="C908" s="24"/>
      <c r="D908" s="21"/>
      <c r="E908" s="21"/>
      <c r="F908" s="21"/>
      <c r="G908" s="21"/>
      <c r="H908" s="27"/>
      <c r="I908" s="23" t="str">
        <f aca="false">IF($D908&lt;&gt;"销项开票","",IF($N908="一级",IF(IFERROR(INDEX(项目档案!$E$6:$E$255,MATCH($C908,项目档案!$A$6:$A$255,0)),"")="",N(IFERROR(INDEX(单位档案!$D$6:$D$35,MATCH($E908,单位档案!$A$6:$A$35,0)),"")),IFERROR(INDEX(项目档案!$E$6:$E$255,MATCH($C908,项目档案!$A$6:$A$255,0)),"")),IF($N908="二级",IF(IFERROR(INDEX(项目档案!$G$6:$G$255,MATCH($C908,项目档案!$A$6:$A$255,0)),"")="",N(IFERROR(INDEX(单位档案!$D$6:$D$35,MATCH($E908,单位档案!$A$6:$A$35,0)),"")),IFERROR(INDEX(项目档案!$G$6:$G$255,MATCH($C908,项目档案!$A$6:$A$255,0)),"")),N(IFERROR(INDEX(单位档案!$D$6:$D$35,MATCH($E908,单位档案!$A$6:$A$35,0)),"")))))</f>
        <v/>
      </c>
      <c r="J908" s="22"/>
      <c r="K908" s="22"/>
      <c r="L908" s="33" t="str">
        <f aca="false">IF($B908="","",IF(NOT(ISNUMBER($B908)),"日期格式不对",IF($C908="","未选项目编号",IF(LEFT($M908,1)="⚠","项目编号不存在",IF($D908="","未选业务类型",IF($E908="","未选开票/付款方",IF(ISNA(MATCH($E908,单位档案!$A$6:$A$35,0)),"开票方不在单位档案",IF($F908="","未选收票/收款方",IF(ISNA(MATCH($F908,单位档案!$A$6:$A$35,0)),"收款方不在单位档案",IF(NOT(ISNUMBER($H908)),"金额须为数字",IF(AND($D908="销项开票",$N908="—"),"链条待确认","√")))))))))))</f>
        <v/>
      </c>
      <c r="M908" s="34" t="str">
        <f aca="false">IF($C908="","",IFERROR(INDEX(项目档案!$B$6:$B$255,MATCH($C908,项目档案!$A$6:$A$255,0)),"⚠项目编号不存在"))</f>
        <v/>
      </c>
      <c r="N908" s="35" t="str">
        <f aca="false">IF($E908="","",IF($E908=IFERROR(INDEX(项目档案!$D$6:$D$255,MATCH($C908,项目档案!$A$6:$A$255,0)),""),"一级",IF($E908=IFERROR(INDEX(项目档案!$F$6:$F$255,MATCH($C908,项目档案!$A$6:$A$255,0)),""),"二级",IF($E908=IFERROR(INDEX(项目档案!$H$6:$H$255,MATCH($C908,项目档案!$A$6:$A$255,0)),""),"我方","—"))))</f>
        <v/>
      </c>
      <c r="O908" s="36" t="n">
        <f aca="false">IF($D908&lt;&gt;"销项开票",0,ROUND(N($H908)*N($I908),2))</f>
        <v>0</v>
      </c>
      <c r="P908" s="36" t="n">
        <f aca="false">IF($D908&lt;&gt;"销项开票",0,ROUND(N($H908)-$O908,2))</f>
        <v>0</v>
      </c>
      <c r="Q908" s="37" t="str">
        <f aca="false">IF($E908="","",N(IFERROR(INDEX(单位档案!$E$6:$E$35,MATCH($E908,单位档案!$A$6:$A$35,0)),"")))</f>
        <v/>
      </c>
      <c r="R908" s="37" t="str">
        <f aca="false">IF($E908="","",N(IFERROR(INDEX(单位档案!$F$6:$F$35,MATCH($E908,单位档案!$A$6:$A$35,0)),"")))</f>
        <v/>
      </c>
      <c r="S908" s="36" t="n">
        <f aca="false">IF(OR($D908&lt;&gt;"销项开票",IFERROR(INDEX(单位档案!$G$6:$G$35,MATCH($E908,单位档案!$A$6:$A$35,0)),"")&lt;&gt;"是",N($Q908)=0),0,IF(IFERROR(INDEX(单位档案!$H$6:$H$35,MATCH($E908,单位档案!$A$6:$A$35,0)),"")="税差法",ROUND(N($H908)/(1+$Q908)*$Q908-IF(N($R908)=0,0,$P908/(1+$R908)*$R908),2),ROUND(N($H908)/(1+$Q908)*$Q908,2)))</f>
        <v>0</v>
      </c>
      <c r="T908" s="36" t="n">
        <f aca="false">ROUND($S908*N(IFERROR(INDEX(单位档案!$J$6:$J$35,MATCH($E908,单位档案!$A$6:$A$35,0)),"")),2)</f>
        <v>0</v>
      </c>
      <c r="U908" s="36" t="n">
        <f aca="false">IF($D908&lt;&gt;"销项开票",0,ROUND(N($H908)*N(IFERROR(INDEX(单位档案!$K$6:$K$35,MATCH($E908,单位档案!$A$6:$A$35,0)),"")),2))</f>
        <v>0</v>
      </c>
      <c r="V908" s="36" t="n">
        <f aca="false">IF(OR($D908&lt;&gt;"销项开票",N($Q908)=0),0,ROUND(N($H908)/(1+$Q908)*N(IFERROR(INDEX(单位档案!$L$6:$L$35,MATCH($E908,单位档案!$A$6:$A$35,0)),"")),2))</f>
        <v>0</v>
      </c>
      <c r="W908" s="36" t="n">
        <f aca="false">ROUND($S908+$T908+$U908+$V908,2)</f>
        <v>0</v>
      </c>
      <c r="X908" s="35" t="str">
        <f aca="false">IF(OR($D908="挂靠代收",$D908="我方收款"),COUNTIFS($D$5:$D908,"挂靠代收")+COUNTIFS($D$5:$D908,"我方收款"),"")</f>
        <v/>
      </c>
      <c r="Y908" s="35"/>
      <c r="Z908" s="21" t="s">
        <v>111</v>
      </c>
    </row>
    <row r="909" customFormat="false" ht="15.75" hidden="false" customHeight="true" outlineLevel="0" collapsed="false">
      <c r="A909" s="32" t="str">
        <f aca="false">IF($B909="","",ROW()-4)</f>
        <v/>
      </c>
      <c r="B909" s="26"/>
      <c r="C909" s="24"/>
      <c r="D909" s="21"/>
      <c r="E909" s="21"/>
      <c r="F909" s="21"/>
      <c r="G909" s="21"/>
      <c r="H909" s="27"/>
      <c r="I909" s="23" t="str">
        <f aca="false">IF($D909&lt;&gt;"销项开票","",IF($N909="一级",IF(IFERROR(INDEX(项目档案!$E$6:$E$255,MATCH($C909,项目档案!$A$6:$A$255,0)),"")="",N(IFERROR(INDEX(单位档案!$D$6:$D$35,MATCH($E909,单位档案!$A$6:$A$35,0)),"")),IFERROR(INDEX(项目档案!$E$6:$E$255,MATCH($C909,项目档案!$A$6:$A$255,0)),"")),IF($N909="二级",IF(IFERROR(INDEX(项目档案!$G$6:$G$255,MATCH($C909,项目档案!$A$6:$A$255,0)),"")="",N(IFERROR(INDEX(单位档案!$D$6:$D$35,MATCH($E909,单位档案!$A$6:$A$35,0)),"")),IFERROR(INDEX(项目档案!$G$6:$G$255,MATCH($C909,项目档案!$A$6:$A$255,0)),"")),N(IFERROR(INDEX(单位档案!$D$6:$D$35,MATCH($E909,单位档案!$A$6:$A$35,0)),"")))))</f>
        <v/>
      </c>
      <c r="J909" s="22"/>
      <c r="K909" s="22"/>
      <c r="L909" s="33" t="str">
        <f aca="false">IF($B909="","",IF(NOT(ISNUMBER($B909)),"日期格式不对",IF($C909="","未选项目编号",IF(LEFT($M909,1)="⚠","项目编号不存在",IF($D909="","未选业务类型",IF($E909="","未选开票/付款方",IF(ISNA(MATCH($E909,单位档案!$A$6:$A$35,0)),"开票方不在单位档案",IF($F909="","未选收票/收款方",IF(ISNA(MATCH($F909,单位档案!$A$6:$A$35,0)),"收款方不在单位档案",IF(NOT(ISNUMBER($H909)),"金额须为数字",IF(AND($D909="销项开票",$N909="—"),"链条待确认","√")))))))))))</f>
        <v/>
      </c>
      <c r="M909" s="34" t="str">
        <f aca="false">IF($C909="","",IFERROR(INDEX(项目档案!$B$6:$B$255,MATCH($C909,项目档案!$A$6:$A$255,0)),"⚠项目编号不存在"))</f>
        <v/>
      </c>
      <c r="N909" s="35" t="str">
        <f aca="false">IF($E909="","",IF($E909=IFERROR(INDEX(项目档案!$D$6:$D$255,MATCH($C909,项目档案!$A$6:$A$255,0)),""),"一级",IF($E909=IFERROR(INDEX(项目档案!$F$6:$F$255,MATCH($C909,项目档案!$A$6:$A$255,0)),""),"二级",IF($E909=IFERROR(INDEX(项目档案!$H$6:$H$255,MATCH($C909,项目档案!$A$6:$A$255,0)),""),"我方","—"))))</f>
        <v/>
      </c>
      <c r="O909" s="36" t="n">
        <f aca="false">IF($D909&lt;&gt;"销项开票",0,ROUND(N($H909)*N($I909),2))</f>
        <v>0</v>
      </c>
      <c r="P909" s="36" t="n">
        <f aca="false">IF($D909&lt;&gt;"销项开票",0,ROUND(N($H909)-$O909,2))</f>
        <v>0</v>
      </c>
      <c r="Q909" s="37" t="str">
        <f aca="false">IF($E909="","",N(IFERROR(INDEX(单位档案!$E$6:$E$35,MATCH($E909,单位档案!$A$6:$A$35,0)),"")))</f>
        <v/>
      </c>
      <c r="R909" s="37" t="str">
        <f aca="false">IF($E909="","",N(IFERROR(INDEX(单位档案!$F$6:$F$35,MATCH($E909,单位档案!$A$6:$A$35,0)),"")))</f>
        <v/>
      </c>
      <c r="S909" s="36" t="n">
        <f aca="false">IF(OR($D909&lt;&gt;"销项开票",IFERROR(INDEX(单位档案!$G$6:$G$35,MATCH($E909,单位档案!$A$6:$A$35,0)),"")&lt;&gt;"是",N($Q909)=0),0,IF(IFERROR(INDEX(单位档案!$H$6:$H$35,MATCH($E909,单位档案!$A$6:$A$35,0)),"")="税差法",ROUND(N($H909)/(1+$Q909)*$Q909-IF(N($R909)=0,0,$P909/(1+$R909)*$R909),2),ROUND(N($H909)/(1+$Q909)*$Q909,2)))</f>
        <v>0</v>
      </c>
      <c r="T909" s="36" t="n">
        <f aca="false">ROUND($S909*N(IFERROR(INDEX(单位档案!$J$6:$J$35,MATCH($E909,单位档案!$A$6:$A$35,0)),"")),2)</f>
        <v>0</v>
      </c>
      <c r="U909" s="36" t="n">
        <f aca="false">IF($D909&lt;&gt;"销项开票",0,ROUND(N($H909)*N(IFERROR(INDEX(单位档案!$K$6:$K$35,MATCH($E909,单位档案!$A$6:$A$35,0)),"")),2))</f>
        <v>0</v>
      </c>
      <c r="V909" s="36" t="n">
        <f aca="false">IF(OR($D909&lt;&gt;"销项开票",N($Q909)=0),0,ROUND(N($H909)/(1+$Q909)*N(IFERROR(INDEX(单位档案!$L$6:$L$35,MATCH($E909,单位档案!$A$6:$A$35,0)),"")),2))</f>
        <v>0</v>
      </c>
      <c r="W909" s="36" t="n">
        <f aca="false">ROUND($S909+$T909+$U909+$V909,2)</f>
        <v>0</v>
      </c>
      <c r="X909" s="35" t="str">
        <f aca="false">IF(OR($D909="挂靠代收",$D909="我方收款"),COUNTIFS($D$5:$D909,"挂靠代收")+COUNTIFS($D$5:$D909,"我方收款"),"")</f>
        <v/>
      </c>
      <c r="Y909" s="35"/>
      <c r="Z909" s="21" t="s">
        <v>111</v>
      </c>
    </row>
    <row r="910" customFormat="false" ht="15.75" hidden="false" customHeight="true" outlineLevel="0" collapsed="false">
      <c r="A910" s="32" t="str">
        <f aca="false">IF($B910="","",ROW()-4)</f>
        <v/>
      </c>
      <c r="B910" s="26"/>
      <c r="C910" s="24"/>
      <c r="D910" s="21"/>
      <c r="E910" s="21"/>
      <c r="F910" s="21"/>
      <c r="G910" s="21"/>
      <c r="H910" s="27"/>
      <c r="I910" s="23" t="str">
        <f aca="false">IF($D910&lt;&gt;"销项开票","",IF($N910="一级",IF(IFERROR(INDEX(项目档案!$E$6:$E$255,MATCH($C910,项目档案!$A$6:$A$255,0)),"")="",N(IFERROR(INDEX(单位档案!$D$6:$D$35,MATCH($E910,单位档案!$A$6:$A$35,0)),"")),IFERROR(INDEX(项目档案!$E$6:$E$255,MATCH($C910,项目档案!$A$6:$A$255,0)),"")),IF($N910="二级",IF(IFERROR(INDEX(项目档案!$G$6:$G$255,MATCH($C910,项目档案!$A$6:$A$255,0)),"")="",N(IFERROR(INDEX(单位档案!$D$6:$D$35,MATCH($E910,单位档案!$A$6:$A$35,0)),"")),IFERROR(INDEX(项目档案!$G$6:$G$255,MATCH($C910,项目档案!$A$6:$A$255,0)),"")),N(IFERROR(INDEX(单位档案!$D$6:$D$35,MATCH($E910,单位档案!$A$6:$A$35,0)),"")))))</f>
        <v/>
      </c>
      <c r="J910" s="22"/>
      <c r="K910" s="22"/>
      <c r="L910" s="33" t="str">
        <f aca="false">IF($B910="","",IF(NOT(ISNUMBER($B910)),"日期格式不对",IF($C910="","未选项目编号",IF(LEFT($M910,1)="⚠","项目编号不存在",IF($D910="","未选业务类型",IF($E910="","未选开票/付款方",IF(ISNA(MATCH($E910,单位档案!$A$6:$A$35,0)),"开票方不在单位档案",IF($F910="","未选收票/收款方",IF(ISNA(MATCH($F910,单位档案!$A$6:$A$35,0)),"收款方不在单位档案",IF(NOT(ISNUMBER($H910)),"金额须为数字",IF(AND($D910="销项开票",$N910="—"),"链条待确认","√")))))))))))</f>
        <v/>
      </c>
      <c r="M910" s="34" t="str">
        <f aca="false">IF($C910="","",IFERROR(INDEX(项目档案!$B$6:$B$255,MATCH($C910,项目档案!$A$6:$A$255,0)),"⚠项目编号不存在"))</f>
        <v/>
      </c>
      <c r="N910" s="35" t="str">
        <f aca="false">IF($E910="","",IF($E910=IFERROR(INDEX(项目档案!$D$6:$D$255,MATCH($C910,项目档案!$A$6:$A$255,0)),""),"一级",IF($E910=IFERROR(INDEX(项目档案!$F$6:$F$255,MATCH($C910,项目档案!$A$6:$A$255,0)),""),"二级",IF($E910=IFERROR(INDEX(项目档案!$H$6:$H$255,MATCH($C910,项目档案!$A$6:$A$255,0)),""),"我方","—"))))</f>
        <v/>
      </c>
      <c r="O910" s="36" t="n">
        <f aca="false">IF($D910&lt;&gt;"销项开票",0,ROUND(N($H910)*N($I910),2))</f>
        <v>0</v>
      </c>
      <c r="P910" s="36" t="n">
        <f aca="false">IF($D910&lt;&gt;"销项开票",0,ROUND(N($H910)-$O910,2))</f>
        <v>0</v>
      </c>
      <c r="Q910" s="37" t="str">
        <f aca="false">IF($E910="","",N(IFERROR(INDEX(单位档案!$E$6:$E$35,MATCH($E910,单位档案!$A$6:$A$35,0)),"")))</f>
        <v/>
      </c>
      <c r="R910" s="37" t="str">
        <f aca="false">IF($E910="","",N(IFERROR(INDEX(单位档案!$F$6:$F$35,MATCH($E910,单位档案!$A$6:$A$35,0)),"")))</f>
        <v/>
      </c>
      <c r="S910" s="36" t="n">
        <f aca="false">IF(OR($D910&lt;&gt;"销项开票",IFERROR(INDEX(单位档案!$G$6:$G$35,MATCH($E910,单位档案!$A$6:$A$35,0)),"")&lt;&gt;"是",N($Q910)=0),0,IF(IFERROR(INDEX(单位档案!$H$6:$H$35,MATCH($E910,单位档案!$A$6:$A$35,0)),"")="税差法",ROUND(N($H910)/(1+$Q910)*$Q910-IF(N($R910)=0,0,$P910/(1+$R910)*$R910),2),ROUND(N($H910)/(1+$Q910)*$Q910,2)))</f>
        <v>0</v>
      </c>
      <c r="T910" s="36" t="n">
        <f aca="false">ROUND($S910*N(IFERROR(INDEX(单位档案!$J$6:$J$35,MATCH($E910,单位档案!$A$6:$A$35,0)),"")),2)</f>
        <v>0</v>
      </c>
      <c r="U910" s="36" t="n">
        <f aca="false">IF($D910&lt;&gt;"销项开票",0,ROUND(N($H910)*N(IFERROR(INDEX(单位档案!$K$6:$K$35,MATCH($E910,单位档案!$A$6:$A$35,0)),"")),2))</f>
        <v>0</v>
      </c>
      <c r="V910" s="36" t="n">
        <f aca="false">IF(OR($D910&lt;&gt;"销项开票",N($Q910)=0),0,ROUND(N($H910)/(1+$Q910)*N(IFERROR(INDEX(单位档案!$L$6:$L$35,MATCH($E910,单位档案!$A$6:$A$35,0)),"")),2))</f>
        <v>0</v>
      </c>
      <c r="W910" s="36" t="n">
        <f aca="false">ROUND($S910+$T910+$U910+$V910,2)</f>
        <v>0</v>
      </c>
      <c r="X910" s="35" t="str">
        <f aca="false">IF(OR($D910="挂靠代收",$D910="我方收款"),COUNTIFS($D$5:$D910,"挂靠代收")+COUNTIFS($D$5:$D910,"我方收款"),"")</f>
        <v/>
      </c>
      <c r="Y910" s="35"/>
      <c r="Z910" s="21" t="s">
        <v>111</v>
      </c>
    </row>
    <row r="911" customFormat="false" ht="15.75" hidden="false" customHeight="true" outlineLevel="0" collapsed="false">
      <c r="A911" s="32" t="str">
        <f aca="false">IF($B911="","",ROW()-4)</f>
        <v/>
      </c>
      <c r="B911" s="26"/>
      <c r="C911" s="24"/>
      <c r="D911" s="21"/>
      <c r="E911" s="21"/>
      <c r="F911" s="21"/>
      <c r="G911" s="21"/>
      <c r="H911" s="27"/>
      <c r="I911" s="23" t="str">
        <f aca="false">IF($D911&lt;&gt;"销项开票","",IF($N911="一级",IF(IFERROR(INDEX(项目档案!$E$6:$E$255,MATCH($C911,项目档案!$A$6:$A$255,0)),"")="",N(IFERROR(INDEX(单位档案!$D$6:$D$35,MATCH($E911,单位档案!$A$6:$A$35,0)),"")),IFERROR(INDEX(项目档案!$E$6:$E$255,MATCH($C911,项目档案!$A$6:$A$255,0)),"")),IF($N911="二级",IF(IFERROR(INDEX(项目档案!$G$6:$G$255,MATCH($C911,项目档案!$A$6:$A$255,0)),"")="",N(IFERROR(INDEX(单位档案!$D$6:$D$35,MATCH($E911,单位档案!$A$6:$A$35,0)),"")),IFERROR(INDEX(项目档案!$G$6:$G$255,MATCH($C911,项目档案!$A$6:$A$255,0)),"")),N(IFERROR(INDEX(单位档案!$D$6:$D$35,MATCH($E911,单位档案!$A$6:$A$35,0)),"")))))</f>
        <v/>
      </c>
      <c r="J911" s="22"/>
      <c r="K911" s="22"/>
      <c r="L911" s="33" t="str">
        <f aca="false">IF($B911="","",IF(NOT(ISNUMBER($B911)),"日期格式不对",IF($C911="","未选项目编号",IF(LEFT($M911,1)="⚠","项目编号不存在",IF($D911="","未选业务类型",IF($E911="","未选开票/付款方",IF(ISNA(MATCH($E911,单位档案!$A$6:$A$35,0)),"开票方不在单位档案",IF($F911="","未选收票/收款方",IF(ISNA(MATCH($F911,单位档案!$A$6:$A$35,0)),"收款方不在单位档案",IF(NOT(ISNUMBER($H911)),"金额须为数字",IF(AND($D911="销项开票",$N911="—"),"链条待确认","√")))))))))))</f>
        <v/>
      </c>
      <c r="M911" s="34" t="str">
        <f aca="false">IF($C911="","",IFERROR(INDEX(项目档案!$B$6:$B$255,MATCH($C911,项目档案!$A$6:$A$255,0)),"⚠项目编号不存在"))</f>
        <v/>
      </c>
      <c r="N911" s="35" t="str">
        <f aca="false">IF($E911="","",IF($E911=IFERROR(INDEX(项目档案!$D$6:$D$255,MATCH($C911,项目档案!$A$6:$A$255,0)),""),"一级",IF($E911=IFERROR(INDEX(项目档案!$F$6:$F$255,MATCH($C911,项目档案!$A$6:$A$255,0)),""),"二级",IF($E911=IFERROR(INDEX(项目档案!$H$6:$H$255,MATCH($C911,项目档案!$A$6:$A$255,0)),""),"我方","—"))))</f>
        <v/>
      </c>
      <c r="O911" s="36" t="n">
        <f aca="false">IF($D911&lt;&gt;"销项开票",0,ROUND(N($H911)*N($I911),2))</f>
        <v>0</v>
      </c>
      <c r="P911" s="36" t="n">
        <f aca="false">IF($D911&lt;&gt;"销项开票",0,ROUND(N($H911)-$O911,2))</f>
        <v>0</v>
      </c>
      <c r="Q911" s="37" t="str">
        <f aca="false">IF($E911="","",N(IFERROR(INDEX(单位档案!$E$6:$E$35,MATCH($E911,单位档案!$A$6:$A$35,0)),"")))</f>
        <v/>
      </c>
      <c r="R911" s="37" t="str">
        <f aca="false">IF($E911="","",N(IFERROR(INDEX(单位档案!$F$6:$F$35,MATCH($E911,单位档案!$A$6:$A$35,0)),"")))</f>
        <v/>
      </c>
      <c r="S911" s="36" t="n">
        <f aca="false">IF(OR($D911&lt;&gt;"销项开票",IFERROR(INDEX(单位档案!$G$6:$G$35,MATCH($E911,单位档案!$A$6:$A$35,0)),"")&lt;&gt;"是",N($Q911)=0),0,IF(IFERROR(INDEX(单位档案!$H$6:$H$35,MATCH($E911,单位档案!$A$6:$A$35,0)),"")="税差法",ROUND(N($H911)/(1+$Q911)*$Q911-IF(N($R911)=0,0,$P911/(1+$R911)*$R911),2),ROUND(N($H911)/(1+$Q911)*$Q911,2)))</f>
        <v>0</v>
      </c>
      <c r="T911" s="36" t="n">
        <f aca="false">ROUND($S911*N(IFERROR(INDEX(单位档案!$J$6:$J$35,MATCH($E911,单位档案!$A$6:$A$35,0)),"")),2)</f>
        <v>0</v>
      </c>
      <c r="U911" s="36" t="n">
        <f aca="false">IF($D911&lt;&gt;"销项开票",0,ROUND(N($H911)*N(IFERROR(INDEX(单位档案!$K$6:$K$35,MATCH($E911,单位档案!$A$6:$A$35,0)),"")),2))</f>
        <v>0</v>
      </c>
      <c r="V911" s="36" t="n">
        <f aca="false">IF(OR($D911&lt;&gt;"销项开票",N($Q911)=0),0,ROUND(N($H911)/(1+$Q911)*N(IFERROR(INDEX(单位档案!$L$6:$L$35,MATCH($E911,单位档案!$A$6:$A$35,0)),"")),2))</f>
        <v>0</v>
      </c>
      <c r="W911" s="36" t="n">
        <f aca="false">ROUND($S911+$T911+$U911+$V911,2)</f>
        <v>0</v>
      </c>
      <c r="X911" s="35" t="str">
        <f aca="false">IF(OR($D911="挂靠代收",$D911="我方收款"),COUNTIFS($D$5:$D911,"挂靠代收")+COUNTIFS($D$5:$D911,"我方收款"),"")</f>
        <v/>
      </c>
      <c r="Y911" s="35"/>
      <c r="Z911" s="21" t="s">
        <v>111</v>
      </c>
    </row>
    <row r="912" customFormat="false" ht="15.75" hidden="false" customHeight="true" outlineLevel="0" collapsed="false">
      <c r="A912" s="32" t="str">
        <f aca="false">IF($B912="","",ROW()-4)</f>
        <v/>
      </c>
      <c r="B912" s="26"/>
      <c r="C912" s="24"/>
      <c r="D912" s="21"/>
      <c r="E912" s="21"/>
      <c r="F912" s="21"/>
      <c r="G912" s="21"/>
      <c r="H912" s="27"/>
      <c r="I912" s="23" t="str">
        <f aca="false">IF($D912&lt;&gt;"销项开票","",IF($N912="一级",IF(IFERROR(INDEX(项目档案!$E$6:$E$255,MATCH($C912,项目档案!$A$6:$A$255,0)),"")="",N(IFERROR(INDEX(单位档案!$D$6:$D$35,MATCH($E912,单位档案!$A$6:$A$35,0)),"")),IFERROR(INDEX(项目档案!$E$6:$E$255,MATCH($C912,项目档案!$A$6:$A$255,0)),"")),IF($N912="二级",IF(IFERROR(INDEX(项目档案!$G$6:$G$255,MATCH($C912,项目档案!$A$6:$A$255,0)),"")="",N(IFERROR(INDEX(单位档案!$D$6:$D$35,MATCH($E912,单位档案!$A$6:$A$35,0)),"")),IFERROR(INDEX(项目档案!$G$6:$G$255,MATCH($C912,项目档案!$A$6:$A$255,0)),"")),N(IFERROR(INDEX(单位档案!$D$6:$D$35,MATCH($E912,单位档案!$A$6:$A$35,0)),"")))))</f>
        <v/>
      </c>
      <c r="J912" s="22"/>
      <c r="K912" s="22"/>
      <c r="L912" s="33" t="str">
        <f aca="false">IF($B912="","",IF(NOT(ISNUMBER($B912)),"日期格式不对",IF($C912="","未选项目编号",IF(LEFT($M912,1)="⚠","项目编号不存在",IF($D912="","未选业务类型",IF($E912="","未选开票/付款方",IF(ISNA(MATCH($E912,单位档案!$A$6:$A$35,0)),"开票方不在单位档案",IF($F912="","未选收票/收款方",IF(ISNA(MATCH($F912,单位档案!$A$6:$A$35,0)),"收款方不在单位档案",IF(NOT(ISNUMBER($H912)),"金额须为数字",IF(AND($D912="销项开票",$N912="—"),"链条待确认","√")))))))))))</f>
        <v/>
      </c>
      <c r="M912" s="34" t="str">
        <f aca="false">IF($C912="","",IFERROR(INDEX(项目档案!$B$6:$B$255,MATCH($C912,项目档案!$A$6:$A$255,0)),"⚠项目编号不存在"))</f>
        <v/>
      </c>
      <c r="N912" s="35" t="str">
        <f aca="false">IF($E912="","",IF($E912=IFERROR(INDEX(项目档案!$D$6:$D$255,MATCH($C912,项目档案!$A$6:$A$255,0)),""),"一级",IF($E912=IFERROR(INDEX(项目档案!$F$6:$F$255,MATCH($C912,项目档案!$A$6:$A$255,0)),""),"二级",IF($E912=IFERROR(INDEX(项目档案!$H$6:$H$255,MATCH($C912,项目档案!$A$6:$A$255,0)),""),"我方","—"))))</f>
        <v/>
      </c>
      <c r="O912" s="36" t="n">
        <f aca="false">IF($D912&lt;&gt;"销项开票",0,ROUND(N($H912)*N($I912),2))</f>
        <v>0</v>
      </c>
      <c r="P912" s="36" t="n">
        <f aca="false">IF($D912&lt;&gt;"销项开票",0,ROUND(N($H912)-$O912,2))</f>
        <v>0</v>
      </c>
      <c r="Q912" s="37" t="str">
        <f aca="false">IF($E912="","",N(IFERROR(INDEX(单位档案!$E$6:$E$35,MATCH($E912,单位档案!$A$6:$A$35,0)),"")))</f>
        <v/>
      </c>
      <c r="R912" s="37" t="str">
        <f aca="false">IF($E912="","",N(IFERROR(INDEX(单位档案!$F$6:$F$35,MATCH($E912,单位档案!$A$6:$A$35,0)),"")))</f>
        <v/>
      </c>
      <c r="S912" s="36" t="n">
        <f aca="false">IF(OR($D912&lt;&gt;"销项开票",IFERROR(INDEX(单位档案!$G$6:$G$35,MATCH($E912,单位档案!$A$6:$A$35,0)),"")&lt;&gt;"是",N($Q912)=0),0,IF(IFERROR(INDEX(单位档案!$H$6:$H$35,MATCH($E912,单位档案!$A$6:$A$35,0)),"")="税差法",ROUND(N($H912)/(1+$Q912)*$Q912-IF(N($R912)=0,0,$P912/(1+$R912)*$R912),2),ROUND(N($H912)/(1+$Q912)*$Q912,2)))</f>
        <v>0</v>
      </c>
      <c r="T912" s="36" t="n">
        <f aca="false">ROUND($S912*N(IFERROR(INDEX(单位档案!$J$6:$J$35,MATCH($E912,单位档案!$A$6:$A$35,0)),"")),2)</f>
        <v>0</v>
      </c>
      <c r="U912" s="36" t="n">
        <f aca="false">IF($D912&lt;&gt;"销项开票",0,ROUND(N($H912)*N(IFERROR(INDEX(单位档案!$K$6:$K$35,MATCH($E912,单位档案!$A$6:$A$35,0)),"")),2))</f>
        <v>0</v>
      </c>
      <c r="V912" s="36" t="n">
        <f aca="false">IF(OR($D912&lt;&gt;"销项开票",N($Q912)=0),0,ROUND(N($H912)/(1+$Q912)*N(IFERROR(INDEX(单位档案!$L$6:$L$35,MATCH($E912,单位档案!$A$6:$A$35,0)),"")),2))</f>
        <v>0</v>
      </c>
      <c r="W912" s="36" t="n">
        <f aca="false">ROUND($S912+$T912+$U912+$V912,2)</f>
        <v>0</v>
      </c>
      <c r="X912" s="35" t="str">
        <f aca="false">IF(OR($D912="挂靠代收",$D912="我方收款"),COUNTIFS($D$5:$D912,"挂靠代收")+COUNTIFS($D$5:$D912,"我方收款"),"")</f>
        <v/>
      </c>
      <c r="Y912" s="35"/>
      <c r="Z912" s="21" t="s">
        <v>111</v>
      </c>
    </row>
    <row r="913" customFormat="false" ht="15.75" hidden="false" customHeight="true" outlineLevel="0" collapsed="false">
      <c r="A913" s="32" t="str">
        <f aca="false">IF($B913="","",ROW()-4)</f>
        <v/>
      </c>
      <c r="B913" s="26"/>
      <c r="C913" s="24"/>
      <c r="D913" s="21"/>
      <c r="E913" s="21"/>
      <c r="F913" s="21"/>
      <c r="G913" s="21"/>
      <c r="H913" s="27"/>
      <c r="I913" s="23" t="str">
        <f aca="false">IF($D913&lt;&gt;"销项开票","",IF($N913="一级",IF(IFERROR(INDEX(项目档案!$E$6:$E$255,MATCH($C913,项目档案!$A$6:$A$255,0)),"")="",N(IFERROR(INDEX(单位档案!$D$6:$D$35,MATCH($E913,单位档案!$A$6:$A$35,0)),"")),IFERROR(INDEX(项目档案!$E$6:$E$255,MATCH($C913,项目档案!$A$6:$A$255,0)),"")),IF($N913="二级",IF(IFERROR(INDEX(项目档案!$G$6:$G$255,MATCH($C913,项目档案!$A$6:$A$255,0)),"")="",N(IFERROR(INDEX(单位档案!$D$6:$D$35,MATCH($E913,单位档案!$A$6:$A$35,0)),"")),IFERROR(INDEX(项目档案!$G$6:$G$255,MATCH($C913,项目档案!$A$6:$A$255,0)),"")),N(IFERROR(INDEX(单位档案!$D$6:$D$35,MATCH($E913,单位档案!$A$6:$A$35,0)),"")))))</f>
        <v/>
      </c>
      <c r="J913" s="22"/>
      <c r="K913" s="22"/>
      <c r="L913" s="33" t="str">
        <f aca="false">IF($B913="","",IF(NOT(ISNUMBER($B913)),"日期格式不对",IF($C913="","未选项目编号",IF(LEFT($M913,1)="⚠","项目编号不存在",IF($D913="","未选业务类型",IF($E913="","未选开票/付款方",IF(ISNA(MATCH($E913,单位档案!$A$6:$A$35,0)),"开票方不在单位档案",IF($F913="","未选收票/收款方",IF(ISNA(MATCH($F913,单位档案!$A$6:$A$35,0)),"收款方不在单位档案",IF(NOT(ISNUMBER($H913)),"金额须为数字",IF(AND($D913="销项开票",$N913="—"),"链条待确认","√")))))))))))</f>
        <v/>
      </c>
      <c r="M913" s="34" t="str">
        <f aca="false">IF($C913="","",IFERROR(INDEX(项目档案!$B$6:$B$255,MATCH($C913,项目档案!$A$6:$A$255,0)),"⚠项目编号不存在"))</f>
        <v/>
      </c>
      <c r="N913" s="35" t="str">
        <f aca="false">IF($E913="","",IF($E913=IFERROR(INDEX(项目档案!$D$6:$D$255,MATCH($C913,项目档案!$A$6:$A$255,0)),""),"一级",IF($E913=IFERROR(INDEX(项目档案!$F$6:$F$255,MATCH($C913,项目档案!$A$6:$A$255,0)),""),"二级",IF($E913=IFERROR(INDEX(项目档案!$H$6:$H$255,MATCH($C913,项目档案!$A$6:$A$255,0)),""),"我方","—"))))</f>
        <v/>
      </c>
      <c r="O913" s="36" t="n">
        <f aca="false">IF($D913&lt;&gt;"销项开票",0,ROUND(N($H913)*N($I913),2))</f>
        <v>0</v>
      </c>
      <c r="P913" s="36" t="n">
        <f aca="false">IF($D913&lt;&gt;"销项开票",0,ROUND(N($H913)-$O913,2))</f>
        <v>0</v>
      </c>
      <c r="Q913" s="37" t="str">
        <f aca="false">IF($E913="","",N(IFERROR(INDEX(单位档案!$E$6:$E$35,MATCH($E913,单位档案!$A$6:$A$35,0)),"")))</f>
        <v/>
      </c>
      <c r="R913" s="37" t="str">
        <f aca="false">IF($E913="","",N(IFERROR(INDEX(单位档案!$F$6:$F$35,MATCH($E913,单位档案!$A$6:$A$35,0)),"")))</f>
        <v/>
      </c>
      <c r="S913" s="36" t="n">
        <f aca="false">IF(OR($D913&lt;&gt;"销项开票",IFERROR(INDEX(单位档案!$G$6:$G$35,MATCH($E913,单位档案!$A$6:$A$35,0)),"")&lt;&gt;"是",N($Q913)=0),0,IF(IFERROR(INDEX(单位档案!$H$6:$H$35,MATCH($E913,单位档案!$A$6:$A$35,0)),"")="税差法",ROUND(N($H913)/(1+$Q913)*$Q913-IF(N($R913)=0,0,$P913/(1+$R913)*$R913),2),ROUND(N($H913)/(1+$Q913)*$Q913,2)))</f>
        <v>0</v>
      </c>
      <c r="T913" s="36" t="n">
        <f aca="false">ROUND($S913*N(IFERROR(INDEX(单位档案!$J$6:$J$35,MATCH($E913,单位档案!$A$6:$A$35,0)),"")),2)</f>
        <v>0</v>
      </c>
      <c r="U913" s="36" t="n">
        <f aca="false">IF($D913&lt;&gt;"销项开票",0,ROUND(N($H913)*N(IFERROR(INDEX(单位档案!$K$6:$K$35,MATCH($E913,单位档案!$A$6:$A$35,0)),"")),2))</f>
        <v>0</v>
      </c>
      <c r="V913" s="36" t="n">
        <f aca="false">IF(OR($D913&lt;&gt;"销项开票",N($Q913)=0),0,ROUND(N($H913)/(1+$Q913)*N(IFERROR(INDEX(单位档案!$L$6:$L$35,MATCH($E913,单位档案!$A$6:$A$35,0)),"")),2))</f>
        <v>0</v>
      </c>
      <c r="W913" s="36" t="n">
        <f aca="false">ROUND($S913+$T913+$U913+$V913,2)</f>
        <v>0</v>
      </c>
      <c r="X913" s="35" t="str">
        <f aca="false">IF(OR($D913="挂靠代收",$D913="我方收款"),COUNTIFS($D$5:$D913,"挂靠代收")+COUNTIFS($D$5:$D913,"我方收款"),"")</f>
        <v/>
      </c>
      <c r="Y913" s="35"/>
      <c r="Z913" s="21" t="s">
        <v>111</v>
      </c>
    </row>
    <row r="914" customFormat="false" ht="15.75" hidden="false" customHeight="true" outlineLevel="0" collapsed="false">
      <c r="A914" s="32" t="str">
        <f aca="false">IF($B914="","",ROW()-4)</f>
        <v/>
      </c>
      <c r="B914" s="26"/>
      <c r="C914" s="24"/>
      <c r="D914" s="21"/>
      <c r="E914" s="21"/>
      <c r="F914" s="21"/>
      <c r="G914" s="21"/>
      <c r="H914" s="27"/>
      <c r="I914" s="23" t="str">
        <f aca="false">IF($D914&lt;&gt;"销项开票","",IF($N914="一级",IF(IFERROR(INDEX(项目档案!$E$6:$E$255,MATCH($C914,项目档案!$A$6:$A$255,0)),"")="",N(IFERROR(INDEX(单位档案!$D$6:$D$35,MATCH($E914,单位档案!$A$6:$A$35,0)),"")),IFERROR(INDEX(项目档案!$E$6:$E$255,MATCH($C914,项目档案!$A$6:$A$255,0)),"")),IF($N914="二级",IF(IFERROR(INDEX(项目档案!$G$6:$G$255,MATCH($C914,项目档案!$A$6:$A$255,0)),"")="",N(IFERROR(INDEX(单位档案!$D$6:$D$35,MATCH($E914,单位档案!$A$6:$A$35,0)),"")),IFERROR(INDEX(项目档案!$G$6:$G$255,MATCH($C914,项目档案!$A$6:$A$255,0)),"")),N(IFERROR(INDEX(单位档案!$D$6:$D$35,MATCH($E914,单位档案!$A$6:$A$35,0)),"")))))</f>
        <v/>
      </c>
      <c r="J914" s="22"/>
      <c r="K914" s="22"/>
      <c r="L914" s="33" t="str">
        <f aca="false">IF($B914="","",IF(NOT(ISNUMBER($B914)),"日期格式不对",IF($C914="","未选项目编号",IF(LEFT($M914,1)="⚠","项目编号不存在",IF($D914="","未选业务类型",IF($E914="","未选开票/付款方",IF(ISNA(MATCH($E914,单位档案!$A$6:$A$35,0)),"开票方不在单位档案",IF($F914="","未选收票/收款方",IF(ISNA(MATCH($F914,单位档案!$A$6:$A$35,0)),"收款方不在单位档案",IF(NOT(ISNUMBER($H914)),"金额须为数字",IF(AND($D914="销项开票",$N914="—"),"链条待确认","√")))))))))))</f>
        <v/>
      </c>
      <c r="M914" s="34" t="str">
        <f aca="false">IF($C914="","",IFERROR(INDEX(项目档案!$B$6:$B$255,MATCH($C914,项目档案!$A$6:$A$255,0)),"⚠项目编号不存在"))</f>
        <v/>
      </c>
      <c r="N914" s="35" t="str">
        <f aca="false">IF($E914="","",IF($E914=IFERROR(INDEX(项目档案!$D$6:$D$255,MATCH($C914,项目档案!$A$6:$A$255,0)),""),"一级",IF($E914=IFERROR(INDEX(项目档案!$F$6:$F$255,MATCH($C914,项目档案!$A$6:$A$255,0)),""),"二级",IF($E914=IFERROR(INDEX(项目档案!$H$6:$H$255,MATCH($C914,项目档案!$A$6:$A$255,0)),""),"我方","—"))))</f>
        <v/>
      </c>
      <c r="O914" s="36" t="n">
        <f aca="false">IF($D914&lt;&gt;"销项开票",0,ROUND(N($H914)*N($I914),2))</f>
        <v>0</v>
      </c>
      <c r="P914" s="36" t="n">
        <f aca="false">IF($D914&lt;&gt;"销项开票",0,ROUND(N($H914)-$O914,2))</f>
        <v>0</v>
      </c>
      <c r="Q914" s="37" t="str">
        <f aca="false">IF($E914="","",N(IFERROR(INDEX(单位档案!$E$6:$E$35,MATCH($E914,单位档案!$A$6:$A$35,0)),"")))</f>
        <v/>
      </c>
      <c r="R914" s="37" t="str">
        <f aca="false">IF($E914="","",N(IFERROR(INDEX(单位档案!$F$6:$F$35,MATCH($E914,单位档案!$A$6:$A$35,0)),"")))</f>
        <v/>
      </c>
      <c r="S914" s="36" t="n">
        <f aca="false">IF(OR($D914&lt;&gt;"销项开票",IFERROR(INDEX(单位档案!$G$6:$G$35,MATCH($E914,单位档案!$A$6:$A$35,0)),"")&lt;&gt;"是",N($Q914)=0),0,IF(IFERROR(INDEX(单位档案!$H$6:$H$35,MATCH($E914,单位档案!$A$6:$A$35,0)),"")="税差法",ROUND(N($H914)/(1+$Q914)*$Q914-IF(N($R914)=0,0,$P914/(1+$R914)*$R914),2),ROUND(N($H914)/(1+$Q914)*$Q914,2)))</f>
        <v>0</v>
      </c>
      <c r="T914" s="36" t="n">
        <f aca="false">ROUND($S914*N(IFERROR(INDEX(单位档案!$J$6:$J$35,MATCH($E914,单位档案!$A$6:$A$35,0)),"")),2)</f>
        <v>0</v>
      </c>
      <c r="U914" s="36" t="n">
        <f aca="false">IF($D914&lt;&gt;"销项开票",0,ROUND(N($H914)*N(IFERROR(INDEX(单位档案!$K$6:$K$35,MATCH($E914,单位档案!$A$6:$A$35,0)),"")),2))</f>
        <v>0</v>
      </c>
      <c r="V914" s="36" t="n">
        <f aca="false">IF(OR($D914&lt;&gt;"销项开票",N($Q914)=0),0,ROUND(N($H914)/(1+$Q914)*N(IFERROR(INDEX(单位档案!$L$6:$L$35,MATCH($E914,单位档案!$A$6:$A$35,0)),"")),2))</f>
        <v>0</v>
      </c>
      <c r="W914" s="36" t="n">
        <f aca="false">ROUND($S914+$T914+$U914+$V914,2)</f>
        <v>0</v>
      </c>
      <c r="X914" s="35" t="str">
        <f aca="false">IF(OR($D914="挂靠代收",$D914="我方收款"),COUNTIFS($D$5:$D914,"挂靠代收")+COUNTIFS($D$5:$D914,"我方收款"),"")</f>
        <v/>
      </c>
      <c r="Y914" s="35"/>
      <c r="Z914" s="21" t="s">
        <v>111</v>
      </c>
    </row>
    <row r="915" customFormat="false" ht="15.75" hidden="false" customHeight="true" outlineLevel="0" collapsed="false">
      <c r="A915" s="32" t="str">
        <f aca="false">IF($B915="","",ROW()-4)</f>
        <v/>
      </c>
      <c r="B915" s="26"/>
      <c r="C915" s="24"/>
      <c r="D915" s="21"/>
      <c r="E915" s="21"/>
      <c r="F915" s="21"/>
      <c r="G915" s="21"/>
      <c r="H915" s="27"/>
      <c r="I915" s="23" t="str">
        <f aca="false">IF($D915&lt;&gt;"销项开票","",IF($N915="一级",IF(IFERROR(INDEX(项目档案!$E$6:$E$255,MATCH($C915,项目档案!$A$6:$A$255,0)),"")="",N(IFERROR(INDEX(单位档案!$D$6:$D$35,MATCH($E915,单位档案!$A$6:$A$35,0)),"")),IFERROR(INDEX(项目档案!$E$6:$E$255,MATCH($C915,项目档案!$A$6:$A$255,0)),"")),IF($N915="二级",IF(IFERROR(INDEX(项目档案!$G$6:$G$255,MATCH($C915,项目档案!$A$6:$A$255,0)),"")="",N(IFERROR(INDEX(单位档案!$D$6:$D$35,MATCH($E915,单位档案!$A$6:$A$35,0)),"")),IFERROR(INDEX(项目档案!$G$6:$G$255,MATCH($C915,项目档案!$A$6:$A$255,0)),"")),N(IFERROR(INDEX(单位档案!$D$6:$D$35,MATCH($E915,单位档案!$A$6:$A$35,0)),"")))))</f>
        <v/>
      </c>
      <c r="J915" s="22"/>
      <c r="K915" s="22"/>
      <c r="L915" s="33" t="str">
        <f aca="false">IF($B915="","",IF(NOT(ISNUMBER($B915)),"日期格式不对",IF($C915="","未选项目编号",IF(LEFT($M915,1)="⚠","项目编号不存在",IF($D915="","未选业务类型",IF($E915="","未选开票/付款方",IF(ISNA(MATCH($E915,单位档案!$A$6:$A$35,0)),"开票方不在单位档案",IF($F915="","未选收票/收款方",IF(ISNA(MATCH($F915,单位档案!$A$6:$A$35,0)),"收款方不在单位档案",IF(NOT(ISNUMBER($H915)),"金额须为数字",IF(AND($D915="销项开票",$N915="—"),"链条待确认","√")))))))))))</f>
        <v/>
      </c>
      <c r="M915" s="34" t="str">
        <f aca="false">IF($C915="","",IFERROR(INDEX(项目档案!$B$6:$B$255,MATCH($C915,项目档案!$A$6:$A$255,0)),"⚠项目编号不存在"))</f>
        <v/>
      </c>
      <c r="N915" s="35" t="str">
        <f aca="false">IF($E915="","",IF($E915=IFERROR(INDEX(项目档案!$D$6:$D$255,MATCH($C915,项目档案!$A$6:$A$255,0)),""),"一级",IF($E915=IFERROR(INDEX(项目档案!$F$6:$F$255,MATCH($C915,项目档案!$A$6:$A$255,0)),""),"二级",IF($E915=IFERROR(INDEX(项目档案!$H$6:$H$255,MATCH($C915,项目档案!$A$6:$A$255,0)),""),"我方","—"))))</f>
        <v/>
      </c>
      <c r="O915" s="36" t="n">
        <f aca="false">IF($D915&lt;&gt;"销项开票",0,ROUND(N($H915)*N($I915),2))</f>
        <v>0</v>
      </c>
      <c r="P915" s="36" t="n">
        <f aca="false">IF($D915&lt;&gt;"销项开票",0,ROUND(N($H915)-$O915,2))</f>
        <v>0</v>
      </c>
      <c r="Q915" s="37" t="str">
        <f aca="false">IF($E915="","",N(IFERROR(INDEX(单位档案!$E$6:$E$35,MATCH($E915,单位档案!$A$6:$A$35,0)),"")))</f>
        <v/>
      </c>
      <c r="R915" s="37" t="str">
        <f aca="false">IF($E915="","",N(IFERROR(INDEX(单位档案!$F$6:$F$35,MATCH($E915,单位档案!$A$6:$A$35,0)),"")))</f>
        <v/>
      </c>
      <c r="S915" s="36" t="n">
        <f aca="false">IF(OR($D915&lt;&gt;"销项开票",IFERROR(INDEX(单位档案!$G$6:$G$35,MATCH($E915,单位档案!$A$6:$A$35,0)),"")&lt;&gt;"是",N($Q915)=0),0,IF(IFERROR(INDEX(单位档案!$H$6:$H$35,MATCH($E915,单位档案!$A$6:$A$35,0)),"")="税差法",ROUND(N($H915)/(1+$Q915)*$Q915-IF(N($R915)=0,0,$P915/(1+$R915)*$R915),2),ROUND(N($H915)/(1+$Q915)*$Q915,2)))</f>
        <v>0</v>
      </c>
      <c r="T915" s="36" t="n">
        <f aca="false">ROUND($S915*N(IFERROR(INDEX(单位档案!$J$6:$J$35,MATCH($E915,单位档案!$A$6:$A$35,0)),"")),2)</f>
        <v>0</v>
      </c>
      <c r="U915" s="36" t="n">
        <f aca="false">IF($D915&lt;&gt;"销项开票",0,ROUND(N($H915)*N(IFERROR(INDEX(单位档案!$K$6:$K$35,MATCH($E915,单位档案!$A$6:$A$35,0)),"")),2))</f>
        <v>0</v>
      </c>
      <c r="V915" s="36" t="n">
        <f aca="false">IF(OR($D915&lt;&gt;"销项开票",N($Q915)=0),0,ROUND(N($H915)/(1+$Q915)*N(IFERROR(INDEX(单位档案!$L$6:$L$35,MATCH($E915,单位档案!$A$6:$A$35,0)),"")),2))</f>
        <v>0</v>
      </c>
      <c r="W915" s="36" t="n">
        <f aca="false">ROUND($S915+$T915+$U915+$V915,2)</f>
        <v>0</v>
      </c>
      <c r="X915" s="35" t="str">
        <f aca="false">IF(OR($D915="挂靠代收",$D915="我方收款"),COUNTIFS($D$5:$D915,"挂靠代收")+COUNTIFS($D$5:$D915,"我方收款"),"")</f>
        <v/>
      </c>
      <c r="Y915" s="35"/>
      <c r="Z915" s="21" t="s">
        <v>111</v>
      </c>
    </row>
    <row r="916" customFormat="false" ht="15.75" hidden="false" customHeight="true" outlineLevel="0" collapsed="false">
      <c r="A916" s="32" t="str">
        <f aca="false">IF($B916="","",ROW()-4)</f>
        <v/>
      </c>
      <c r="B916" s="26"/>
      <c r="C916" s="24"/>
      <c r="D916" s="21"/>
      <c r="E916" s="21"/>
      <c r="F916" s="21"/>
      <c r="G916" s="21"/>
      <c r="H916" s="27"/>
      <c r="I916" s="23" t="str">
        <f aca="false">IF($D916&lt;&gt;"销项开票","",IF($N916="一级",IF(IFERROR(INDEX(项目档案!$E$6:$E$255,MATCH($C916,项目档案!$A$6:$A$255,0)),"")="",N(IFERROR(INDEX(单位档案!$D$6:$D$35,MATCH($E916,单位档案!$A$6:$A$35,0)),"")),IFERROR(INDEX(项目档案!$E$6:$E$255,MATCH($C916,项目档案!$A$6:$A$255,0)),"")),IF($N916="二级",IF(IFERROR(INDEX(项目档案!$G$6:$G$255,MATCH($C916,项目档案!$A$6:$A$255,0)),"")="",N(IFERROR(INDEX(单位档案!$D$6:$D$35,MATCH($E916,单位档案!$A$6:$A$35,0)),"")),IFERROR(INDEX(项目档案!$G$6:$G$255,MATCH($C916,项目档案!$A$6:$A$255,0)),"")),N(IFERROR(INDEX(单位档案!$D$6:$D$35,MATCH($E916,单位档案!$A$6:$A$35,0)),"")))))</f>
        <v/>
      </c>
      <c r="J916" s="22"/>
      <c r="K916" s="22"/>
      <c r="L916" s="33" t="str">
        <f aca="false">IF($B916="","",IF(NOT(ISNUMBER($B916)),"日期格式不对",IF($C916="","未选项目编号",IF(LEFT($M916,1)="⚠","项目编号不存在",IF($D916="","未选业务类型",IF($E916="","未选开票/付款方",IF(ISNA(MATCH($E916,单位档案!$A$6:$A$35,0)),"开票方不在单位档案",IF($F916="","未选收票/收款方",IF(ISNA(MATCH($F916,单位档案!$A$6:$A$35,0)),"收款方不在单位档案",IF(NOT(ISNUMBER($H916)),"金额须为数字",IF(AND($D916="销项开票",$N916="—"),"链条待确认","√")))))))))))</f>
        <v/>
      </c>
      <c r="M916" s="34" t="str">
        <f aca="false">IF($C916="","",IFERROR(INDEX(项目档案!$B$6:$B$255,MATCH($C916,项目档案!$A$6:$A$255,0)),"⚠项目编号不存在"))</f>
        <v/>
      </c>
      <c r="N916" s="35" t="str">
        <f aca="false">IF($E916="","",IF($E916=IFERROR(INDEX(项目档案!$D$6:$D$255,MATCH($C916,项目档案!$A$6:$A$255,0)),""),"一级",IF($E916=IFERROR(INDEX(项目档案!$F$6:$F$255,MATCH($C916,项目档案!$A$6:$A$255,0)),""),"二级",IF($E916=IFERROR(INDEX(项目档案!$H$6:$H$255,MATCH($C916,项目档案!$A$6:$A$255,0)),""),"我方","—"))))</f>
        <v/>
      </c>
      <c r="O916" s="36" t="n">
        <f aca="false">IF($D916&lt;&gt;"销项开票",0,ROUND(N($H916)*N($I916),2))</f>
        <v>0</v>
      </c>
      <c r="P916" s="36" t="n">
        <f aca="false">IF($D916&lt;&gt;"销项开票",0,ROUND(N($H916)-$O916,2))</f>
        <v>0</v>
      </c>
      <c r="Q916" s="37" t="str">
        <f aca="false">IF($E916="","",N(IFERROR(INDEX(单位档案!$E$6:$E$35,MATCH($E916,单位档案!$A$6:$A$35,0)),"")))</f>
        <v/>
      </c>
      <c r="R916" s="37" t="str">
        <f aca="false">IF($E916="","",N(IFERROR(INDEX(单位档案!$F$6:$F$35,MATCH($E916,单位档案!$A$6:$A$35,0)),"")))</f>
        <v/>
      </c>
      <c r="S916" s="36" t="n">
        <f aca="false">IF(OR($D916&lt;&gt;"销项开票",IFERROR(INDEX(单位档案!$G$6:$G$35,MATCH($E916,单位档案!$A$6:$A$35,0)),"")&lt;&gt;"是",N($Q916)=0),0,IF(IFERROR(INDEX(单位档案!$H$6:$H$35,MATCH($E916,单位档案!$A$6:$A$35,0)),"")="税差法",ROUND(N($H916)/(1+$Q916)*$Q916-IF(N($R916)=0,0,$P916/(1+$R916)*$R916),2),ROUND(N($H916)/(1+$Q916)*$Q916,2)))</f>
        <v>0</v>
      </c>
      <c r="T916" s="36" t="n">
        <f aca="false">ROUND($S916*N(IFERROR(INDEX(单位档案!$J$6:$J$35,MATCH($E916,单位档案!$A$6:$A$35,0)),"")),2)</f>
        <v>0</v>
      </c>
      <c r="U916" s="36" t="n">
        <f aca="false">IF($D916&lt;&gt;"销项开票",0,ROUND(N($H916)*N(IFERROR(INDEX(单位档案!$K$6:$K$35,MATCH($E916,单位档案!$A$6:$A$35,0)),"")),2))</f>
        <v>0</v>
      </c>
      <c r="V916" s="36" t="n">
        <f aca="false">IF(OR($D916&lt;&gt;"销项开票",N($Q916)=0),0,ROUND(N($H916)/(1+$Q916)*N(IFERROR(INDEX(单位档案!$L$6:$L$35,MATCH($E916,单位档案!$A$6:$A$35,0)),"")),2))</f>
        <v>0</v>
      </c>
      <c r="W916" s="36" t="n">
        <f aca="false">ROUND($S916+$T916+$U916+$V916,2)</f>
        <v>0</v>
      </c>
      <c r="X916" s="35" t="str">
        <f aca="false">IF(OR($D916="挂靠代收",$D916="我方收款"),COUNTIFS($D$5:$D916,"挂靠代收")+COUNTIFS($D$5:$D916,"我方收款"),"")</f>
        <v/>
      </c>
      <c r="Y916" s="35"/>
      <c r="Z916" s="21" t="s">
        <v>111</v>
      </c>
    </row>
    <row r="917" customFormat="false" ht="15.75" hidden="false" customHeight="true" outlineLevel="0" collapsed="false">
      <c r="A917" s="32" t="str">
        <f aca="false">IF($B917="","",ROW()-4)</f>
        <v/>
      </c>
      <c r="B917" s="26"/>
      <c r="C917" s="24"/>
      <c r="D917" s="21"/>
      <c r="E917" s="21"/>
      <c r="F917" s="21"/>
      <c r="G917" s="21"/>
      <c r="H917" s="27"/>
      <c r="I917" s="23" t="str">
        <f aca="false">IF($D917&lt;&gt;"销项开票","",IF($N917="一级",IF(IFERROR(INDEX(项目档案!$E$6:$E$255,MATCH($C917,项目档案!$A$6:$A$255,0)),"")="",N(IFERROR(INDEX(单位档案!$D$6:$D$35,MATCH($E917,单位档案!$A$6:$A$35,0)),"")),IFERROR(INDEX(项目档案!$E$6:$E$255,MATCH($C917,项目档案!$A$6:$A$255,0)),"")),IF($N917="二级",IF(IFERROR(INDEX(项目档案!$G$6:$G$255,MATCH($C917,项目档案!$A$6:$A$255,0)),"")="",N(IFERROR(INDEX(单位档案!$D$6:$D$35,MATCH($E917,单位档案!$A$6:$A$35,0)),"")),IFERROR(INDEX(项目档案!$G$6:$G$255,MATCH($C917,项目档案!$A$6:$A$255,0)),"")),N(IFERROR(INDEX(单位档案!$D$6:$D$35,MATCH($E917,单位档案!$A$6:$A$35,0)),"")))))</f>
        <v/>
      </c>
      <c r="J917" s="22"/>
      <c r="K917" s="22"/>
      <c r="L917" s="33" t="str">
        <f aca="false">IF($B917="","",IF(NOT(ISNUMBER($B917)),"日期格式不对",IF($C917="","未选项目编号",IF(LEFT($M917,1)="⚠","项目编号不存在",IF($D917="","未选业务类型",IF($E917="","未选开票/付款方",IF(ISNA(MATCH($E917,单位档案!$A$6:$A$35,0)),"开票方不在单位档案",IF($F917="","未选收票/收款方",IF(ISNA(MATCH($F917,单位档案!$A$6:$A$35,0)),"收款方不在单位档案",IF(NOT(ISNUMBER($H917)),"金额须为数字",IF(AND($D917="销项开票",$N917="—"),"链条待确认","√")))))))))))</f>
        <v/>
      </c>
      <c r="M917" s="34" t="str">
        <f aca="false">IF($C917="","",IFERROR(INDEX(项目档案!$B$6:$B$255,MATCH($C917,项目档案!$A$6:$A$255,0)),"⚠项目编号不存在"))</f>
        <v/>
      </c>
      <c r="N917" s="35" t="str">
        <f aca="false">IF($E917="","",IF($E917=IFERROR(INDEX(项目档案!$D$6:$D$255,MATCH($C917,项目档案!$A$6:$A$255,0)),""),"一级",IF($E917=IFERROR(INDEX(项目档案!$F$6:$F$255,MATCH($C917,项目档案!$A$6:$A$255,0)),""),"二级",IF($E917=IFERROR(INDEX(项目档案!$H$6:$H$255,MATCH($C917,项目档案!$A$6:$A$255,0)),""),"我方","—"))))</f>
        <v/>
      </c>
      <c r="O917" s="36" t="n">
        <f aca="false">IF($D917&lt;&gt;"销项开票",0,ROUND(N($H917)*N($I917),2))</f>
        <v>0</v>
      </c>
      <c r="P917" s="36" t="n">
        <f aca="false">IF($D917&lt;&gt;"销项开票",0,ROUND(N($H917)-$O917,2))</f>
        <v>0</v>
      </c>
      <c r="Q917" s="37" t="str">
        <f aca="false">IF($E917="","",N(IFERROR(INDEX(单位档案!$E$6:$E$35,MATCH($E917,单位档案!$A$6:$A$35,0)),"")))</f>
        <v/>
      </c>
      <c r="R917" s="37" t="str">
        <f aca="false">IF($E917="","",N(IFERROR(INDEX(单位档案!$F$6:$F$35,MATCH($E917,单位档案!$A$6:$A$35,0)),"")))</f>
        <v/>
      </c>
      <c r="S917" s="36" t="n">
        <f aca="false">IF(OR($D917&lt;&gt;"销项开票",IFERROR(INDEX(单位档案!$G$6:$G$35,MATCH($E917,单位档案!$A$6:$A$35,0)),"")&lt;&gt;"是",N($Q917)=0),0,IF(IFERROR(INDEX(单位档案!$H$6:$H$35,MATCH($E917,单位档案!$A$6:$A$35,0)),"")="税差法",ROUND(N($H917)/(1+$Q917)*$Q917-IF(N($R917)=0,0,$P917/(1+$R917)*$R917),2),ROUND(N($H917)/(1+$Q917)*$Q917,2)))</f>
        <v>0</v>
      </c>
      <c r="T917" s="36" t="n">
        <f aca="false">ROUND($S917*N(IFERROR(INDEX(单位档案!$J$6:$J$35,MATCH($E917,单位档案!$A$6:$A$35,0)),"")),2)</f>
        <v>0</v>
      </c>
      <c r="U917" s="36" t="n">
        <f aca="false">IF($D917&lt;&gt;"销项开票",0,ROUND(N($H917)*N(IFERROR(INDEX(单位档案!$K$6:$K$35,MATCH($E917,单位档案!$A$6:$A$35,0)),"")),2))</f>
        <v>0</v>
      </c>
      <c r="V917" s="36" t="n">
        <f aca="false">IF(OR($D917&lt;&gt;"销项开票",N($Q917)=0),0,ROUND(N($H917)/(1+$Q917)*N(IFERROR(INDEX(单位档案!$L$6:$L$35,MATCH($E917,单位档案!$A$6:$A$35,0)),"")),2))</f>
        <v>0</v>
      </c>
      <c r="W917" s="36" t="n">
        <f aca="false">ROUND($S917+$T917+$U917+$V917,2)</f>
        <v>0</v>
      </c>
      <c r="X917" s="35" t="str">
        <f aca="false">IF(OR($D917="挂靠代收",$D917="我方收款"),COUNTIFS($D$5:$D917,"挂靠代收")+COUNTIFS($D$5:$D917,"我方收款"),"")</f>
        <v/>
      </c>
      <c r="Y917" s="35"/>
      <c r="Z917" s="21" t="s">
        <v>111</v>
      </c>
    </row>
    <row r="918" customFormat="false" ht="15.75" hidden="false" customHeight="true" outlineLevel="0" collapsed="false">
      <c r="A918" s="32" t="str">
        <f aca="false">IF($B918="","",ROW()-4)</f>
        <v/>
      </c>
      <c r="B918" s="26"/>
      <c r="C918" s="24"/>
      <c r="D918" s="21"/>
      <c r="E918" s="21"/>
      <c r="F918" s="21"/>
      <c r="G918" s="21"/>
      <c r="H918" s="27"/>
      <c r="I918" s="23" t="str">
        <f aca="false">IF($D918&lt;&gt;"销项开票","",IF($N918="一级",IF(IFERROR(INDEX(项目档案!$E$6:$E$255,MATCH($C918,项目档案!$A$6:$A$255,0)),"")="",N(IFERROR(INDEX(单位档案!$D$6:$D$35,MATCH($E918,单位档案!$A$6:$A$35,0)),"")),IFERROR(INDEX(项目档案!$E$6:$E$255,MATCH($C918,项目档案!$A$6:$A$255,0)),"")),IF($N918="二级",IF(IFERROR(INDEX(项目档案!$G$6:$G$255,MATCH($C918,项目档案!$A$6:$A$255,0)),"")="",N(IFERROR(INDEX(单位档案!$D$6:$D$35,MATCH($E918,单位档案!$A$6:$A$35,0)),"")),IFERROR(INDEX(项目档案!$G$6:$G$255,MATCH($C918,项目档案!$A$6:$A$255,0)),"")),N(IFERROR(INDEX(单位档案!$D$6:$D$35,MATCH($E918,单位档案!$A$6:$A$35,0)),"")))))</f>
        <v/>
      </c>
      <c r="J918" s="22"/>
      <c r="K918" s="22"/>
      <c r="L918" s="33" t="str">
        <f aca="false">IF($B918="","",IF(NOT(ISNUMBER($B918)),"日期格式不对",IF($C918="","未选项目编号",IF(LEFT($M918,1)="⚠","项目编号不存在",IF($D918="","未选业务类型",IF($E918="","未选开票/付款方",IF(ISNA(MATCH($E918,单位档案!$A$6:$A$35,0)),"开票方不在单位档案",IF($F918="","未选收票/收款方",IF(ISNA(MATCH($F918,单位档案!$A$6:$A$35,0)),"收款方不在单位档案",IF(NOT(ISNUMBER($H918)),"金额须为数字",IF(AND($D918="销项开票",$N918="—"),"链条待确认","√")))))))))))</f>
        <v/>
      </c>
      <c r="M918" s="34" t="str">
        <f aca="false">IF($C918="","",IFERROR(INDEX(项目档案!$B$6:$B$255,MATCH($C918,项目档案!$A$6:$A$255,0)),"⚠项目编号不存在"))</f>
        <v/>
      </c>
      <c r="N918" s="35" t="str">
        <f aca="false">IF($E918="","",IF($E918=IFERROR(INDEX(项目档案!$D$6:$D$255,MATCH($C918,项目档案!$A$6:$A$255,0)),""),"一级",IF($E918=IFERROR(INDEX(项目档案!$F$6:$F$255,MATCH($C918,项目档案!$A$6:$A$255,0)),""),"二级",IF($E918=IFERROR(INDEX(项目档案!$H$6:$H$255,MATCH($C918,项目档案!$A$6:$A$255,0)),""),"我方","—"))))</f>
        <v/>
      </c>
      <c r="O918" s="36" t="n">
        <f aca="false">IF($D918&lt;&gt;"销项开票",0,ROUND(N($H918)*N($I918),2))</f>
        <v>0</v>
      </c>
      <c r="P918" s="36" t="n">
        <f aca="false">IF($D918&lt;&gt;"销项开票",0,ROUND(N($H918)-$O918,2))</f>
        <v>0</v>
      </c>
      <c r="Q918" s="37" t="str">
        <f aca="false">IF($E918="","",N(IFERROR(INDEX(单位档案!$E$6:$E$35,MATCH($E918,单位档案!$A$6:$A$35,0)),"")))</f>
        <v/>
      </c>
      <c r="R918" s="37" t="str">
        <f aca="false">IF($E918="","",N(IFERROR(INDEX(单位档案!$F$6:$F$35,MATCH($E918,单位档案!$A$6:$A$35,0)),"")))</f>
        <v/>
      </c>
      <c r="S918" s="36" t="n">
        <f aca="false">IF(OR($D918&lt;&gt;"销项开票",IFERROR(INDEX(单位档案!$G$6:$G$35,MATCH($E918,单位档案!$A$6:$A$35,0)),"")&lt;&gt;"是",N($Q918)=0),0,IF(IFERROR(INDEX(单位档案!$H$6:$H$35,MATCH($E918,单位档案!$A$6:$A$35,0)),"")="税差法",ROUND(N($H918)/(1+$Q918)*$Q918-IF(N($R918)=0,0,$P918/(1+$R918)*$R918),2),ROUND(N($H918)/(1+$Q918)*$Q918,2)))</f>
        <v>0</v>
      </c>
      <c r="T918" s="36" t="n">
        <f aca="false">ROUND($S918*N(IFERROR(INDEX(单位档案!$J$6:$J$35,MATCH($E918,单位档案!$A$6:$A$35,0)),"")),2)</f>
        <v>0</v>
      </c>
      <c r="U918" s="36" t="n">
        <f aca="false">IF($D918&lt;&gt;"销项开票",0,ROUND(N($H918)*N(IFERROR(INDEX(单位档案!$K$6:$K$35,MATCH($E918,单位档案!$A$6:$A$35,0)),"")),2))</f>
        <v>0</v>
      </c>
      <c r="V918" s="36" t="n">
        <f aca="false">IF(OR($D918&lt;&gt;"销项开票",N($Q918)=0),0,ROUND(N($H918)/(1+$Q918)*N(IFERROR(INDEX(单位档案!$L$6:$L$35,MATCH($E918,单位档案!$A$6:$A$35,0)),"")),2))</f>
        <v>0</v>
      </c>
      <c r="W918" s="36" t="n">
        <f aca="false">ROUND($S918+$T918+$U918+$V918,2)</f>
        <v>0</v>
      </c>
      <c r="X918" s="35" t="str">
        <f aca="false">IF(OR($D918="挂靠代收",$D918="我方收款"),COUNTIFS($D$5:$D918,"挂靠代收")+COUNTIFS($D$5:$D918,"我方收款"),"")</f>
        <v/>
      </c>
      <c r="Y918" s="35"/>
      <c r="Z918" s="21" t="s">
        <v>111</v>
      </c>
    </row>
    <row r="919" customFormat="false" ht="15.75" hidden="false" customHeight="true" outlineLevel="0" collapsed="false">
      <c r="A919" s="32" t="str">
        <f aca="false">IF($B919="","",ROW()-4)</f>
        <v/>
      </c>
      <c r="B919" s="26"/>
      <c r="C919" s="24"/>
      <c r="D919" s="21"/>
      <c r="E919" s="21"/>
      <c r="F919" s="21"/>
      <c r="G919" s="21"/>
      <c r="H919" s="27"/>
      <c r="I919" s="23" t="str">
        <f aca="false">IF($D919&lt;&gt;"销项开票","",IF($N919="一级",IF(IFERROR(INDEX(项目档案!$E$6:$E$255,MATCH($C919,项目档案!$A$6:$A$255,0)),"")="",N(IFERROR(INDEX(单位档案!$D$6:$D$35,MATCH($E919,单位档案!$A$6:$A$35,0)),"")),IFERROR(INDEX(项目档案!$E$6:$E$255,MATCH($C919,项目档案!$A$6:$A$255,0)),"")),IF($N919="二级",IF(IFERROR(INDEX(项目档案!$G$6:$G$255,MATCH($C919,项目档案!$A$6:$A$255,0)),"")="",N(IFERROR(INDEX(单位档案!$D$6:$D$35,MATCH($E919,单位档案!$A$6:$A$35,0)),"")),IFERROR(INDEX(项目档案!$G$6:$G$255,MATCH($C919,项目档案!$A$6:$A$255,0)),"")),N(IFERROR(INDEX(单位档案!$D$6:$D$35,MATCH($E919,单位档案!$A$6:$A$35,0)),"")))))</f>
        <v/>
      </c>
      <c r="J919" s="22"/>
      <c r="K919" s="22"/>
      <c r="L919" s="33" t="str">
        <f aca="false">IF($B919="","",IF(NOT(ISNUMBER($B919)),"日期格式不对",IF($C919="","未选项目编号",IF(LEFT($M919,1)="⚠","项目编号不存在",IF($D919="","未选业务类型",IF($E919="","未选开票/付款方",IF(ISNA(MATCH($E919,单位档案!$A$6:$A$35,0)),"开票方不在单位档案",IF($F919="","未选收票/收款方",IF(ISNA(MATCH($F919,单位档案!$A$6:$A$35,0)),"收款方不在单位档案",IF(NOT(ISNUMBER($H919)),"金额须为数字",IF(AND($D919="销项开票",$N919="—"),"链条待确认","√")))))))))))</f>
        <v/>
      </c>
      <c r="M919" s="34" t="str">
        <f aca="false">IF($C919="","",IFERROR(INDEX(项目档案!$B$6:$B$255,MATCH($C919,项目档案!$A$6:$A$255,0)),"⚠项目编号不存在"))</f>
        <v/>
      </c>
      <c r="N919" s="35" t="str">
        <f aca="false">IF($E919="","",IF($E919=IFERROR(INDEX(项目档案!$D$6:$D$255,MATCH($C919,项目档案!$A$6:$A$255,0)),""),"一级",IF($E919=IFERROR(INDEX(项目档案!$F$6:$F$255,MATCH($C919,项目档案!$A$6:$A$255,0)),""),"二级",IF($E919=IFERROR(INDEX(项目档案!$H$6:$H$255,MATCH($C919,项目档案!$A$6:$A$255,0)),""),"我方","—"))))</f>
        <v/>
      </c>
      <c r="O919" s="36" t="n">
        <f aca="false">IF($D919&lt;&gt;"销项开票",0,ROUND(N($H919)*N($I919),2))</f>
        <v>0</v>
      </c>
      <c r="P919" s="36" t="n">
        <f aca="false">IF($D919&lt;&gt;"销项开票",0,ROUND(N($H919)-$O919,2))</f>
        <v>0</v>
      </c>
      <c r="Q919" s="37" t="str">
        <f aca="false">IF($E919="","",N(IFERROR(INDEX(单位档案!$E$6:$E$35,MATCH($E919,单位档案!$A$6:$A$35,0)),"")))</f>
        <v/>
      </c>
      <c r="R919" s="37" t="str">
        <f aca="false">IF($E919="","",N(IFERROR(INDEX(单位档案!$F$6:$F$35,MATCH($E919,单位档案!$A$6:$A$35,0)),"")))</f>
        <v/>
      </c>
      <c r="S919" s="36" t="n">
        <f aca="false">IF(OR($D919&lt;&gt;"销项开票",IFERROR(INDEX(单位档案!$G$6:$G$35,MATCH($E919,单位档案!$A$6:$A$35,0)),"")&lt;&gt;"是",N($Q919)=0),0,IF(IFERROR(INDEX(单位档案!$H$6:$H$35,MATCH($E919,单位档案!$A$6:$A$35,0)),"")="税差法",ROUND(N($H919)/(1+$Q919)*$Q919-IF(N($R919)=0,0,$P919/(1+$R919)*$R919),2),ROUND(N($H919)/(1+$Q919)*$Q919,2)))</f>
        <v>0</v>
      </c>
      <c r="T919" s="36" t="n">
        <f aca="false">ROUND($S919*N(IFERROR(INDEX(单位档案!$J$6:$J$35,MATCH($E919,单位档案!$A$6:$A$35,0)),"")),2)</f>
        <v>0</v>
      </c>
      <c r="U919" s="36" t="n">
        <f aca="false">IF($D919&lt;&gt;"销项开票",0,ROUND(N($H919)*N(IFERROR(INDEX(单位档案!$K$6:$K$35,MATCH($E919,单位档案!$A$6:$A$35,0)),"")),2))</f>
        <v>0</v>
      </c>
      <c r="V919" s="36" t="n">
        <f aca="false">IF(OR($D919&lt;&gt;"销项开票",N($Q919)=0),0,ROUND(N($H919)/(1+$Q919)*N(IFERROR(INDEX(单位档案!$L$6:$L$35,MATCH($E919,单位档案!$A$6:$A$35,0)),"")),2))</f>
        <v>0</v>
      </c>
      <c r="W919" s="36" t="n">
        <f aca="false">ROUND($S919+$T919+$U919+$V919,2)</f>
        <v>0</v>
      </c>
      <c r="X919" s="35" t="str">
        <f aca="false">IF(OR($D919="挂靠代收",$D919="我方收款"),COUNTIFS($D$5:$D919,"挂靠代收")+COUNTIFS($D$5:$D919,"我方收款"),"")</f>
        <v/>
      </c>
      <c r="Y919" s="35"/>
      <c r="Z919" s="21" t="s">
        <v>111</v>
      </c>
    </row>
    <row r="920" customFormat="false" ht="15.75" hidden="false" customHeight="true" outlineLevel="0" collapsed="false">
      <c r="A920" s="32" t="str">
        <f aca="false">IF($B920="","",ROW()-4)</f>
        <v/>
      </c>
      <c r="B920" s="26"/>
      <c r="C920" s="24"/>
      <c r="D920" s="21"/>
      <c r="E920" s="21"/>
      <c r="F920" s="21"/>
      <c r="G920" s="21"/>
      <c r="H920" s="27"/>
      <c r="I920" s="23" t="str">
        <f aca="false">IF($D920&lt;&gt;"销项开票","",IF($N920="一级",IF(IFERROR(INDEX(项目档案!$E$6:$E$255,MATCH($C920,项目档案!$A$6:$A$255,0)),"")="",N(IFERROR(INDEX(单位档案!$D$6:$D$35,MATCH($E920,单位档案!$A$6:$A$35,0)),"")),IFERROR(INDEX(项目档案!$E$6:$E$255,MATCH($C920,项目档案!$A$6:$A$255,0)),"")),IF($N920="二级",IF(IFERROR(INDEX(项目档案!$G$6:$G$255,MATCH($C920,项目档案!$A$6:$A$255,0)),"")="",N(IFERROR(INDEX(单位档案!$D$6:$D$35,MATCH($E920,单位档案!$A$6:$A$35,0)),"")),IFERROR(INDEX(项目档案!$G$6:$G$255,MATCH($C920,项目档案!$A$6:$A$255,0)),"")),N(IFERROR(INDEX(单位档案!$D$6:$D$35,MATCH($E920,单位档案!$A$6:$A$35,0)),"")))))</f>
        <v/>
      </c>
      <c r="J920" s="22"/>
      <c r="K920" s="22"/>
      <c r="L920" s="33" t="str">
        <f aca="false">IF($B920="","",IF(NOT(ISNUMBER($B920)),"日期格式不对",IF($C920="","未选项目编号",IF(LEFT($M920,1)="⚠","项目编号不存在",IF($D920="","未选业务类型",IF($E920="","未选开票/付款方",IF(ISNA(MATCH($E920,单位档案!$A$6:$A$35,0)),"开票方不在单位档案",IF($F920="","未选收票/收款方",IF(ISNA(MATCH($F920,单位档案!$A$6:$A$35,0)),"收款方不在单位档案",IF(NOT(ISNUMBER($H920)),"金额须为数字",IF(AND($D920="销项开票",$N920="—"),"链条待确认","√")))))))))))</f>
        <v/>
      </c>
      <c r="M920" s="34" t="str">
        <f aca="false">IF($C920="","",IFERROR(INDEX(项目档案!$B$6:$B$255,MATCH($C920,项目档案!$A$6:$A$255,0)),"⚠项目编号不存在"))</f>
        <v/>
      </c>
      <c r="N920" s="35" t="str">
        <f aca="false">IF($E920="","",IF($E920=IFERROR(INDEX(项目档案!$D$6:$D$255,MATCH($C920,项目档案!$A$6:$A$255,0)),""),"一级",IF($E920=IFERROR(INDEX(项目档案!$F$6:$F$255,MATCH($C920,项目档案!$A$6:$A$255,0)),""),"二级",IF($E920=IFERROR(INDEX(项目档案!$H$6:$H$255,MATCH($C920,项目档案!$A$6:$A$255,0)),""),"我方","—"))))</f>
        <v/>
      </c>
      <c r="O920" s="36" t="n">
        <f aca="false">IF($D920&lt;&gt;"销项开票",0,ROUND(N($H920)*N($I920),2))</f>
        <v>0</v>
      </c>
      <c r="P920" s="36" t="n">
        <f aca="false">IF($D920&lt;&gt;"销项开票",0,ROUND(N($H920)-$O920,2))</f>
        <v>0</v>
      </c>
      <c r="Q920" s="37" t="str">
        <f aca="false">IF($E920="","",N(IFERROR(INDEX(单位档案!$E$6:$E$35,MATCH($E920,单位档案!$A$6:$A$35,0)),"")))</f>
        <v/>
      </c>
      <c r="R920" s="37" t="str">
        <f aca="false">IF($E920="","",N(IFERROR(INDEX(单位档案!$F$6:$F$35,MATCH($E920,单位档案!$A$6:$A$35,0)),"")))</f>
        <v/>
      </c>
      <c r="S920" s="36" t="n">
        <f aca="false">IF(OR($D920&lt;&gt;"销项开票",IFERROR(INDEX(单位档案!$G$6:$G$35,MATCH($E920,单位档案!$A$6:$A$35,0)),"")&lt;&gt;"是",N($Q920)=0),0,IF(IFERROR(INDEX(单位档案!$H$6:$H$35,MATCH($E920,单位档案!$A$6:$A$35,0)),"")="税差法",ROUND(N($H920)/(1+$Q920)*$Q920-IF(N($R920)=0,0,$P920/(1+$R920)*$R920),2),ROUND(N($H920)/(1+$Q920)*$Q920,2)))</f>
        <v>0</v>
      </c>
      <c r="T920" s="36" t="n">
        <f aca="false">ROUND($S920*N(IFERROR(INDEX(单位档案!$J$6:$J$35,MATCH($E920,单位档案!$A$6:$A$35,0)),"")),2)</f>
        <v>0</v>
      </c>
      <c r="U920" s="36" t="n">
        <f aca="false">IF($D920&lt;&gt;"销项开票",0,ROUND(N($H920)*N(IFERROR(INDEX(单位档案!$K$6:$K$35,MATCH($E920,单位档案!$A$6:$A$35,0)),"")),2))</f>
        <v>0</v>
      </c>
      <c r="V920" s="36" t="n">
        <f aca="false">IF(OR($D920&lt;&gt;"销项开票",N($Q920)=0),0,ROUND(N($H920)/(1+$Q920)*N(IFERROR(INDEX(单位档案!$L$6:$L$35,MATCH($E920,单位档案!$A$6:$A$35,0)),"")),2))</f>
        <v>0</v>
      </c>
      <c r="W920" s="36" t="n">
        <f aca="false">ROUND($S920+$T920+$U920+$V920,2)</f>
        <v>0</v>
      </c>
      <c r="X920" s="35" t="str">
        <f aca="false">IF(OR($D920="挂靠代收",$D920="我方收款"),COUNTIFS($D$5:$D920,"挂靠代收")+COUNTIFS($D$5:$D920,"我方收款"),"")</f>
        <v/>
      </c>
      <c r="Y920" s="35"/>
      <c r="Z920" s="21" t="s">
        <v>111</v>
      </c>
    </row>
    <row r="921" customFormat="false" ht="15.75" hidden="false" customHeight="true" outlineLevel="0" collapsed="false">
      <c r="A921" s="32" t="str">
        <f aca="false">IF($B921="","",ROW()-4)</f>
        <v/>
      </c>
      <c r="B921" s="26"/>
      <c r="C921" s="24"/>
      <c r="D921" s="21"/>
      <c r="E921" s="21"/>
      <c r="F921" s="21"/>
      <c r="G921" s="21"/>
      <c r="H921" s="27"/>
      <c r="I921" s="23" t="str">
        <f aca="false">IF($D921&lt;&gt;"销项开票","",IF($N921="一级",IF(IFERROR(INDEX(项目档案!$E$6:$E$255,MATCH($C921,项目档案!$A$6:$A$255,0)),"")="",N(IFERROR(INDEX(单位档案!$D$6:$D$35,MATCH($E921,单位档案!$A$6:$A$35,0)),"")),IFERROR(INDEX(项目档案!$E$6:$E$255,MATCH($C921,项目档案!$A$6:$A$255,0)),"")),IF($N921="二级",IF(IFERROR(INDEX(项目档案!$G$6:$G$255,MATCH($C921,项目档案!$A$6:$A$255,0)),"")="",N(IFERROR(INDEX(单位档案!$D$6:$D$35,MATCH($E921,单位档案!$A$6:$A$35,0)),"")),IFERROR(INDEX(项目档案!$G$6:$G$255,MATCH($C921,项目档案!$A$6:$A$255,0)),"")),N(IFERROR(INDEX(单位档案!$D$6:$D$35,MATCH($E921,单位档案!$A$6:$A$35,0)),"")))))</f>
        <v/>
      </c>
      <c r="J921" s="22"/>
      <c r="K921" s="22"/>
      <c r="L921" s="33" t="str">
        <f aca="false">IF($B921="","",IF(NOT(ISNUMBER($B921)),"日期格式不对",IF($C921="","未选项目编号",IF(LEFT($M921,1)="⚠","项目编号不存在",IF($D921="","未选业务类型",IF($E921="","未选开票/付款方",IF(ISNA(MATCH($E921,单位档案!$A$6:$A$35,0)),"开票方不在单位档案",IF($F921="","未选收票/收款方",IF(ISNA(MATCH($F921,单位档案!$A$6:$A$35,0)),"收款方不在单位档案",IF(NOT(ISNUMBER($H921)),"金额须为数字",IF(AND($D921="销项开票",$N921="—"),"链条待确认","√")))))))))))</f>
        <v/>
      </c>
      <c r="M921" s="34" t="str">
        <f aca="false">IF($C921="","",IFERROR(INDEX(项目档案!$B$6:$B$255,MATCH($C921,项目档案!$A$6:$A$255,0)),"⚠项目编号不存在"))</f>
        <v/>
      </c>
      <c r="N921" s="35" t="str">
        <f aca="false">IF($E921="","",IF($E921=IFERROR(INDEX(项目档案!$D$6:$D$255,MATCH($C921,项目档案!$A$6:$A$255,0)),""),"一级",IF($E921=IFERROR(INDEX(项目档案!$F$6:$F$255,MATCH($C921,项目档案!$A$6:$A$255,0)),""),"二级",IF($E921=IFERROR(INDEX(项目档案!$H$6:$H$255,MATCH($C921,项目档案!$A$6:$A$255,0)),""),"我方","—"))))</f>
        <v/>
      </c>
      <c r="O921" s="36" t="n">
        <f aca="false">IF($D921&lt;&gt;"销项开票",0,ROUND(N($H921)*N($I921),2))</f>
        <v>0</v>
      </c>
      <c r="P921" s="36" t="n">
        <f aca="false">IF($D921&lt;&gt;"销项开票",0,ROUND(N($H921)-$O921,2))</f>
        <v>0</v>
      </c>
      <c r="Q921" s="37" t="str">
        <f aca="false">IF($E921="","",N(IFERROR(INDEX(单位档案!$E$6:$E$35,MATCH($E921,单位档案!$A$6:$A$35,0)),"")))</f>
        <v/>
      </c>
      <c r="R921" s="37" t="str">
        <f aca="false">IF($E921="","",N(IFERROR(INDEX(单位档案!$F$6:$F$35,MATCH($E921,单位档案!$A$6:$A$35,0)),"")))</f>
        <v/>
      </c>
      <c r="S921" s="36" t="n">
        <f aca="false">IF(OR($D921&lt;&gt;"销项开票",IFERROR(INDEX(单位档案!$G$6:$G$35,MATCH($E921,单位档案!$A$6:$A$35,0)),"")&lt;&gt;"是",N($Q921)=0),0,IF(IFERROR(INDEX(单位档案!$H$6:$H$35,MATCH($E921,单位档案!$A$6:$A$35,0)),"")="税差法",ROUND(N($H921)/(1+$Q921)*$Q921-IF(N($R921)=0,0,$P921/(1+$R921)*$R921),2),ROUND(N($H921)/(1+$Q921)*$Q921,2)))</f>
        <v>0</v>
      </c>
      <c r="T921" s="36" t="n">
        <f aca="false">ROUND($S921*N(IFERROR(INDEX(单位档案!$J$6:$J$35,MATCH($E921,单位档案!$A$6:$A$35,0)),"")),2)</f>
        <v>0</v>
      </c>
      <c r="U921" s="36" t="n">
        <f aca="false">IF($D921&lt;&gt;"销项开票",0,ROUND(N($H921)*N(IFERROR(INDEX(单位档案!$K$6:$K$35,MATCH($E921,单位档案!$A$6:$A$35,0)),"")),2))</f>
        <v>0</v>
      </c>
      <c r="V921" s="36" t="n">
        <f aca="false">IF(OR($D921&lt;&gt;"销项开票",N($Q921)=0),0,ROUND(N($H921)/(1+$Q921)*N(IFERROR(INDEX(单位档案!$L$6:$L$35,MATCH($E921,单位档案!$A$6:$A$35,0)),"")),2))</f>
        <v>0</v>
      </c>
      <c r="W921" s="36" t="n">
        <f aca="false">ROUND($S921+$T921+$U921+$V921,2)</f>
        <v>0</v>
      </c>
      <c r="X921" s="35" t="str">
        <f aca="false">IF(OR($D921="挂靠代收",$D921="我方收款"),COUNTIFS($D$5:$D921,"挂靠代收")+COUNTIFS($D$5:$D921,"我方收款"),"")</f>
        <v/>
      </c>
      <c r="Y921" s="35"/>
      <c r="Z921" s="21" t="s">
        <v>111</v>
      </c>
    </row>
    <row r="922" customFormat="false" ht="15.75" hidden="false" customHeight="true" outlineLevel="0" collapsed="false">
      <c r="A922" s="32" t="str">
        <f aca="false">IF($B922="","",ROW()-4)</f>
        <v/>
      </c>
      <c r="B922" s="26"/>
      <c r="C922" s="24"/>
      <c r="D922" s="21"/>
      <c r="E922" s="21"/>
      <c r="F922" s="21"/>
      <c r="G922" s="21"/>
      <c r="H922" s="27"/>
      <c r="I922" s="23" t="str">
        <f aca="false">IF($D922&lt;&gt;"销项开票","",IF($N922="一级",IF(IFERROR(INDEX(项目档案!$E$6:$E$255,MATCH($C922,项目档案!$A$6:$A$255,0)),"")="",N(IFERROR(INDEX(单位档案!$D$6:$D$35,MATCH($E922,单位档案!$A$6:$A$35,0)),"")),IFERROR(INDEX(项目档案!$E$6:$E$255,MATCH($C922,项目档案!$A$6:$A$255,0)),"")),IF($N922="二级",IF(IFERROR(INDEX(项目档案!$G$6:$G$255,MATCH($C922,项目档案!$A$6:$A$255,0)),"")="",N(IFERROR(INDEX(单位档案!$D$6:$D$35,MATCH($E922,单位档案!$A$6:$A$35,0)),"")),IFERROR(INDEX(项目档案!$G$6:$G$255,MATCH($C922,项目档案!$A$6:$A$255,0)),"")),N(IFERROR(INDEX(单位档案!$D$6:$D$35,MATCH($E922,单位档案!$A$6:$A$35,0)),"")))))</f>
        <v/>
      </c>
      <c r="J922" s="22"/>
      <c r="K922" s="22"/>
      <c r="L922" s="33" t="str">
        <f aca="false">IF($B922="","",IF(NOT(ISNUMBER($B922)),"日期格式不对",IF($C922="","未选项目编号",IF(LEFT($M922,1)="⚠","项目编号不存在",IF($D922="","未选业务类型",IF($E922="","未选开票/付款方",IF(ISNA(MATCH($E922,单位档案!$A$6:$A$35,0)),"开票方不在单位档案",IF($F922="","未选收票/收款方",IF(ISNA(MATCH($F922,单位档案!$A$6:$A$35,0)),"收款方不在单位档案",IF(NOT(ISNUMBER($H922)),"金额须为数字",IF(AND($D922="销项开票",$N922="—"),"链条待确认","√")))))))))))</f>
        <v/>
      </c>
      <c r="M922" s="34" t="str">
        <f aca="false">IF($C922="","",IFERROR(INDEX(项目档案!$B$6:$B$255,MATCH($C922,项目档案!$A$6:$A$255,0)),"⚠项目编号不存在"))</f>
        <v/>
      </c>
      <c r="N922" s="35" t="str">
        <f aca="false">IF($E922="","",IF($E922=IFERROR(INDEX(项目档案!$D$6:$D$255,MATCH($C922,项目档案!$A$6:$A$255,0)),""),"一级",IF($E922=IFERROR(INDEX(项目档案!$F$6:$F$255,MATCH($C922,项目档案!$A$6:$A$255,0)),""),"二级",IF($E922=IFERROR(INDEX(项目档案!$H$6:$H$255,MATCH($C922,项目档案!$A$6:$A$255,0)),""),"我方","—"))))</f>
        <v/>
      </c>
      <c r="O922" s="36" t="n">
        <f aca="false">IF($D922&lt;&gt;"销项开票",0,ROUND(N($H922)*N($I922),2))</f>
        <v>0</v>
      </c>
      <c r="P922" s="36" t="n">
        <f aca="false">IF($D922&lt;&gt;"销项开票",0,ROUND(N($H922)-$O922,2))</f>
        <v>0</v>
      </c>
      <c r="Q922" s="37" t="str">
        <f aca="false">IF($E922="","",N(IFERROR(INDEX(单位档案!$E$6:$E$35,MATCH($E922,单位档案!$A$6:$A$35,0)),"")))</f>
        <v/>
      </c>
      <c r="R922" s="37" t="str">
        <f aca="false">IF($E922="","",N(IFERROR(INDEX(单位档案!$F$6:$F$35,MATCH($E922,单位档案!$A$6:$A$35,0)),"")))</f>
        <v/>
      </c>
      <c r="S922" s="36" t="n">
        <f aca="false">IF(OR($D922&lt;&gt;"销项开票",IFERROR(INDEX(单位档案!$G$6:$G$35,MATCH($E922,单位档案!$A$6:$A$35,0)),"")&lt;&gt;"是",N($Q922)=0),0,IF(IFERROR(INDEX(单位档案!$H$6:$H$35,MATCH($E922,单位档案!$A$6:$A$35,0)),"")="税差法",ROUND(N($H922)/(1+$Q922)*$Q922-IF(N($R922)=0,0,$P922/(1+$R922)*$R922),2),ROUND(N($H922)/(1+$Q922)*$Q922,2)))</f>
        <v>0</v>
      </c>
      <c r="T922" s="36" t="n">
        <f aca="false">ROUND($S922*N(IFERROR(INDEX(单位档案!$J$6:$J$35,MATCH($E922,单位档案!$A$6:$A$35,0)),"")),2)</f>
        <v>0</v>
      </c>
      <c r="U922" s="36" t="n">
        <f aca="false">IF($D922&lt;&gt;"销项开票",0,ROUND(N($H922)*N(IFERROR(INDEX(单位档案!$K$6:$K$35,MATCH($E922,单位档案!$A$6:$A$35,0)),"")),2))</f>
        <v>0</v>
      </c>
      <c r="V922" s="36" t="n">
        <f aca="false">IF(OR($D922&lt;&gt;"销项开票",N($Q922)=0),0,ROUND(N($H922)/(1+$Q922)*N(IFERROR(INDEX(单位档案!$L$6:$L$35,MATCH($E922,单位档案!$A$6:$A$35,0)),"")),2))</f>
        <v>0</v>
      </c>
      <c r="W922" s="36" t="n">
        <f aca="false">ROUND($S922+$T922+$U922+$V922,2)</f>
        <v>0</v>
      </c>
      <c r="X922" s="35" t="str">
        <f aca="false">IF(OR($D922="挂靠代收",$D922="我方收款"),COUNTIFS($D$5:$D922,"挂靠代收")+COUNTIFS($D$5:$D922,"我方收款"),"")</f>
        <v/>
      </c>
      <c r="Y922" s="35"/>
      <c r="Z922" s="21" t="s">
        <v>111</v>
      </c>
    </row>
    <row r="923" customFormat="false" ht="15.75" hidden="false" customHeight="true" outlineLevel="0" collapsed="false">
      <c r="A923" s="32" t="str">
        <f aca="false">IF($B923="","",ROW()-4)</f>
        <v/>
      </c>
      <c r="B923" s="26"/>
      <c r="C923" s="24"/>
      <c r="D923" s="21"/>
      <c r="E923" s="21"/>
      <c r="F923" s="21"/>
      <c r="G923" s="21"/>
      <c r="H923" s="27"/>
      <c r="I923" s="23" t="str">
        <f aca="false">IF($D923&lt;&gt;"销项开票","",IF($N923="一级",IF(IFERROR(INDEX(项目档案!$E$6:$E$255,MATCH($C923,项目档案!$A$6:$A$255,0)),"")="",N(IFERROR(INDEX(单位档案!$D$6:$D$35,MATCH($E923,单位档案!$A$6:$A$35,0)),"")),IFERROR(INDEX(项目档案!$E$6:$E$255,MATCH($C923,项目档案!$A$6:$A$255,0)),"")),IF($N923="二级",IF(IFERROR(INDEX(项目档案!$G$6:$G$255,MATCH($C923,项目档案!$A$6:$A$255,0)),"")="",N(IFERROR(INDEX(单位档案!$D$6:$D$35,MATCH($E923,单位档案!$A$6:$A$35,0)),"")),IFERROR(INDEX(项目档案!$G$6:$G$255,MATCH($C923,项目档案!$A$6:$A$255,0)),"")),N(IFERROR(INDEX(单位档案!$D$6:$D$35,MATCH($E923,单位档案!$A$6:$A$35,0)),"")))))</f>
        <v/>
      </c>
      <c r="J923" s="22"/>
      <c r="K923" s="22"/>
      <c r="L923" s="33" t="str">
        <f aca="false">IF($B923="","",IF(NOT(ISNUMBER($B923)),"日期格式不对",IF($C923="","未选项目编号",IF(LEFT($M923,1)="⚠","项目编号不存在",IF($D923="","未选业务类型",IF($E923="","未选开票/付款方",IF(ISNA(MATCH($E923,单位档案!$A$6:$A$35,0)),"开票方不在单位档案",IF($F923="","未选收票/收款方",IF(ISNA(MATCH($F923,单位档案!$A$6:$A$35,0)),"收款方不在单位档案",IF(NOT(ISNUMBER($H923)),"金额须为数字",IF(AND($D923="销项开票",$N923="—"),"链条待确认","√")))))))))))</f>
        <v/>
      </c>
      <c r="M923" s="34" t="str">
        <f aca="false">IF($C923="","",IFERROR(INDEX(项目档案!$B$6:$B$255,MATCH($C923,项目档案!$A$6:$A$255,0)),"⚠项目编号不存在"))</f>
        <v/>
      </c>
      <c r="N923" s="35" t="str">
        <f aca="false">IF($E923="","",IF($E923=IFERROR(INDEX(项目档案!$D$6:$D$255,MATCH($C923,项目档案!$A$6:$A$255,0)),""),"一级",IF($E923=IFERROR(INDEX(项目档案!$F$6:$F$255,MATCH($C923,项目档案!$A$6:$A$255,0)),""),"二级",IF($E923=IFERROR(INDEX(项目档案!$H$6:$H$255,MATCH($C923,项目档案!$A$6:$A$255,0)),""),"我方","—"))))</f>
        <v/>
      </c>
      <c r="O923" s="36" t="n">
        <f aca="false">IF($D923&lt;&gt;"销项开票",0,ROUND(N($H923)*N($I923),2))</f>
        <v>0</v>
      </c>
      <c r="P923" s="36" t="n">
        <f aca="false">IF($D923&lt;&gt;"销项开票",0,ROUND(N($H923)-$O923,2))</f>
        <v>0</v>
      </c>
      <c r="Q923" s="37" t="str">
        <f aca="false">IF($E923="","",N(IFERROR(INDEX(单位档案!$E$6:$E$35,MATCH($E923,单位档案!$A$6:$A$35,0)),"")))</f>
        <v/>
      </c>
      <c r="R923" s="37" t="str">
        <f aca="false">IF($E923="","",N(IFERROR(INDEX(单位档案!$F$6:$F$35,MATCH($E923,单位档案!$A$6:$A$35,0)),"")))</f>
        <v/>
      </c>
      <c r="S923" s="36" t="n">
        <f aca="false">IF(OR($D923&lt;&gt;"销项开票",IFERROR(INDEX(单位档案!$G$6:$G$35,MATCH($E923,单位档案!$A$6:$A$35,0)),"")&lt;&gt;"是",N($Q923)=0),0,IF(IFERROR(INDEX(单位档案!$H$6:$H$35,MATCH($E923,单位档案!$A$6:$A$35,0)),"")="税差法",ROUND(N($H923)/(1+$Q923)*$Q923-IF(N($R923)=0,0,$P923/(1+$R923)*$R923),2),ROUND(N($H923)/(1+$Q923)*$Q923,2)))</f>
        <v>0</v>
      </c>
      <c r="T923" s="36" t="n">
        <f aca="false">ROUND($S923*N(IFERROR(INDEX(单位档案!$J$6:$J$35,MATCH($E923,单位档案!$A$6:$A$35,0)),"")),2)</f>
        <v>0</v>
      </c>
      <c r="U923" s="36" t="n">
        <f aca="false">IF($D923&lt;&gt;"销项开票",0,ROUND(N($H923)*N(IFERROR(INDEX(单位档案!$K$6:$K$35,MATCH($E923,单位档案!$A$6:$A$35,0)),"")),2))</f>
        <v>0</v>
      </c>
      <c r="V923" s="36" t="n">
        <f aca="false">IF(OR($D923&lt;&gt;"销项开票",N($Q923)=0),0,ROUND(N($H923)/(1+$Q923)*N(IFERROR(INDEX(单位档案!$L$6:$L$35,MATCH($E923,单位档案!$A$6:$A$35,0)),"")),2))</f>
        <v>0</v>
      </c>
      <c r="W923" s="36" t="n">
        <f aca="false">ROUND($S923+$T923+$U923+$V923,2)</f>
        <v>0</v>
      </c>
      <c r="X923" s="35" t="str">
        <f aca="false">IF(OR($D923="挂靠代收",$D923="我方收款"),COUNTIFS($D$5:$D923,"挂靠代收")+COUNTIFS($D$5:$D923,"我方收款"),"")</f>
        <v/>
      </c>
      <c r="Y923" s="35"/>
      <c r="Z923" s="21" t="s">
        <v>111</v>
      </c>
    </row>
    <row r="924" customFormat="false" ht="15.75" hidden="false" customHeight="true" outlineLevel="0" collapsed="false">
      <c r="A924" s="32" t="str">
        <f aca="false">IF($B924="","",ROW()-4)</f>
        <v/>
      </c>
      <c r="B924" s="26"/>
      <c r="C924" s="24"/>
      <c r="D924" s="21"/>
      <c r="E924" s="21"/>
      <c r="F924" s="21"/>
      <c r="G924" s="21"/>
      <c r="H924" s="27"/>
      <c r="I924" s="23" t="str">
        <f aca="false">IF($D924&lt;&gt;"销项开票","",IF($N924="一级",IF(IFERROR(INDEX(项目档案!$E$6:$E$255,MATCH($C924,项目档案!$A$6:$A$255,0)),"")="",N(IFERROR(INDEX(单位档案!$D$6:$D$35,MATCH($E924,单位档案!$A$6:$A$35,0)),"")),IFERROR(INDEX(项目档案!$E$6:$E$255,MATCH($C924,项目档案!$A$6:$A$255,0)),"")),IF($N924="二级",IF(IFERROR(INDEX(项目档案!$G$6:$G$255,MATCH($C924,项目档案!$A$6:$A$255,0)),"")="",N(IFERROR(INDEX(单位档案!$D$6:$D$35,MATCH($E924,单位档案!$A$6:$A$35,0)),"")),IFERROR(INDEX(项目档案!$G$6:$G$255,MATCH($C924,项目档案!$A$6:$A$255,0)),"")),N(IFERROR(INDEX(单位档案!$D$6:$D$35,MATCH($E924,单位档案!$A$6:$A$35,0)),"")))))</f>
        <v/>
      </c>
      <c r="J924" s="22"/>
      <c r="K924" s="22"/>
      <c r="L924" s="33" t="str">
        <f aca="false">IF($B924="","",IF(NOT(ISNUMBER($B924)),"日期格式不对",IF($C924="","未选项目编号",IF(LEFT($M924,1)="⚠","项目编号不存在",IF($D924="","未选业务类型",IF($E924="","未选开票/付款方",IF(ISNA(MATCH($E924,单位档案!$A$6:$A$35,0)),"开票方不在单位档案",IF($F924="","未选收票/收款方",IF(ISNA(MATCH($F924,单位档案!$A$6:$A$35,0)),"收款方不在单位档案",IF(NOT(ISNUMBER($H924)),"金额须为数字",IF(AND($D924="销项开票",$N924="—"),"链条待确认","√")))))))))))</f>
        <v/>
      </c>
      <c r="M924" s="34" t="str">
        <f aca="false">IF($C924="","",IFERROR(INDEX(项目档案!$B$6:$B$255,MATCH($C924,项目档案!$A$6:$A$255,0)),"⚠项目编号不存在"))</f>
        <v/>
      </c>
      <c r="N924" s="35" t="str">
        <f aca="false">IF($E924="","",IF($E924=IFERROR(INDEX(项目档案!$D$6:$D$255,MATCH($C924,项目档案!$A$6:$A$255,0)),""),"一级",IF($E924=IFERROR(INDEX(项目档案!$F$6:$F$255,MATCH($C924,项目档案!$A$6:$A$255,0)),""),"二级",IF($E924=IFERROR(INDEX(项目档案!$H$6:$H$255,MATCH($C924,项目档案!$A$6:$A$255,0)),""),"我方","—"))))</f>
        <v/>
      </c>
      <c r="O924" s="36" t="n">
        <f aca="false">IF($D924&lt;&gt;"销项开票",0,ROUND(N($H924)*N($I924),2))</f>
        <v>0</v>
      </c>
      <c r="P924" s="36" t="n">
        <f aca="false">IF($D924&lt;&gt;"销项开票",0,ROUND(N($H924)-$O924,2))</f>
        <v>0</v>
      </c>
      <c r="Q924" s="37" t="str">
        <f aca="false">IF($E924="","",N(IFERROR(INDEX(单位档案!$E$6:$E$35,MATCH($E924,单位档案!$A$6:$A$35,0)),"")))</f>
        <v/>
      </c>
      <c r="R924" s="37" t="str">
        <f aca="false">IF($E924="","",N(IFERROR(INDEX(单位档案!$F$6:$F$35,MATCH($E924,单位档案!$A$6:$A$35,0)),"")))</f>
        <v/>
      </c>
      <c r="S924" s="36" t="n">
        <f aca="false">IF(OR($D924&lt;&gt;"销项开票",IFERROR(INDEX(单位档案!$G$6:$G$35,MATCH($E924,单位档案!$A$6:$A$35,0)),"")&lt;&gt;"是",N($Q924)=0),0,IF(IFERROR(INDEX(单位档案!$H$6:$H$35,MATCH($E924,单位档案!$A$6:$A$35,0)),"")="税差法",ROUND(N($H924)/(1+$Q924)*$Q924-IF(N($R924)=0,0,$P924/(1+$R924)*$R924),2),ROUND(N($H924)/(1+$Q924)*$Q924,2)))</f>
        <v>0</v>
      </c>
      <c r="T924" s="36" t="n">
        <f aca="false">ROUND($S924*N(IFERROR(INDEX(单位档案!$J$6:$J$35,MATCH($E924,单位档案!$A$6:$A$35,0)),"")),2)</f>
        <v>0</v>
      </c>
      <c r="U924" s="36" t="n">
        <f aca="false">IF($D924&lt;&gt;"销项开票",0,ROUND(N($H924)*N(IFERROR(INDEX(单位档案!$K$6:$K$35,MATCH($E924,单位档案!$A$6:$A$35,0)),"")),2))</f>
        <v>0</v>
      </c>
      <c r="V924" s="36" t="n">
        <f aca="false">IF(OR($D924&lt;&gt;"销项开票",N($Q924)=0),0,ROUND(N($H924)/(1+$Q924)*N(IFERROR(INDEX(单位档案!$L$6:$L$35,MATCH($E924,单位档案!$A$6:$A$35,0)),"")),2))</f>
        <v>0</v>
      </c>
      <c r="W924" s="36" t="n">
        <f aca="false">ROUND($S924+$T924+$U924+$V924,2)</f>
        <v>0</v>
      </c>
      <c r="X924" s="35" t="str">
        <f aca="false">IF(OR($D924="挂靠代收",$D924="我方收款"),COUNTIFS($D$5:$D924,"挂靠代收")+COUNTIFS($D$5:$D924,"我方收款"),"")</f>
        <v/>
      </c>
      <c r="Y924" s="35"/>
      <c r="Z924" s="21" t="s">
        <v>111</v>
      </c>
    </row>
    <row r="925" customFormat="false" ht="15.75" hidden="false" customHeight="true" outlineLevel="0" collapsed="false">
      <c r="A925" s="32" t="str">
        <f aca="false">IF($B925="","",ROW()-4)</f>
        <v/>
      </c>
      <c r="B925" s="26"/>
      <c r="C925" s="24"/>
      <c r="D925" s="21"/>
      <c r="E925" s="21"/>
      <c r="F925" s="21"/>
      <c r="G925" s="21"/>
      <c r="H925" s="27"/>
      <c r="I925" s="23" t="str">
        <f aca="false">IF($D925&lt;&gt;"销项开票","",IF($N925="一级",IF(IFERROR(INDEX(项目档案!$E$6:$E$255,MATCH($C925,项目档案!$A$6:$A$255,0)),"")="",N(IFERROR(INDEX(单位档案!$D$6:$D$35,MATCH($E925,单位档案!$A$6:$A$35,0)),"")),IFERROR(INDEX(项目档案!$E$6:$E$255,MATCH($C925,项目档案!$A$6:$A$255,0)),"")),IF($N925="二级",IF(IFERROR(INDEX(项目档案!$G$6:$G$255,MATCH($C925,项目档案!$A$6:$A$255,0)),"")="",N(IFERROR(INDEX(单位档案!$D$6:$D$35,MATCH($E925,单位档案!$A$6:$A$35,0)),"")),IFERROR(INDEX(项目档案!$G$6:$G$255,MATCH($C925,项目档案!$A$6:$A$255,0)),"")),N(IFERROR(INDEX(单位档案!$D$6:$D$35,MATCH($E925,单位档案!$A$6:$A$35,0)),"")))))</f>
        <v/>
      </c>
      <c r="J925" s="22"/>
      <c r="K925" s="22"/>
      <c r="L925" s="33" t="str">
        <f aca="false">IF($B925="","",IF(NOT(ISNUMBER($B925)),"日期格式不对",IF($C925="","未选项目编号",IF(LEFT($M925,1)="⚠","项目编号不存在",IF($D925="","未选业务类型",IF($E925="","未选开票/付款方",IF(ISNA(MATCH($E925,单位档案!$A$6:$A$35,0)),"开票方不在单位档案",IF($F925="","未选收票/收款方",IF(ISNA(MATCH($F925,单位档案!$A$6:$A$35,0)),"收款方不在单位档案",IF(NOT(ISNUMBER($H925)),"金额须为数字",IF(AND($D925="销项开票",$N925="—"),"链条待确认","√")))))))))))</f>
        <v/>
      </c>
      <c r="M925" s="34" t="str">
        <f aca="false">IF($C925="","",IFERROR(INDEX(项目档案!$B$6:$B$255,MATCH($C925,项目档案!$A$6:$A$255,0)),"⚠项目编号不存在"))</f>
        <v/>
      </c>
      <c r="N925" s="35" t="str">
        <f aca="false">IF($E925="","",IF($E925=IFERROR(INDEX(项目档案!$D$6:$D$255,MATCH($C925,项目档案!$A$6:$A$255,0)),""),"一级",IF($E925=IFERROR(INDEX(项目档案!$F$6:$F$255,MATCH($C925,项目档案!$A$6:$A$255,0)),""),"二级",IF($E925=IFERROR(INDEX(项目档案!$H$6:$H$255,MATCH($C925,项目档案!$A$6:$A$255,0)),""),"我方","—"))))</f>
        <v/>
      </c>
      <c r="O925" s="36" t="n">
        <f aca="false">IF($D925&lt;&gt;"销项开票",0,ROUND(N($H925)*N($I925),2))</f>
        <v>0</v>
      </c>
      <c r="P925" s="36" t="n">
        <f aca="false">IF($D925&lt;&gt;"销项开票",0,ROUND(N($H925)-$O925,2))</f>
        <v>0</v>
      </c>
      <c r="Q925" s="37" t="str">
        <f aca="false">IF($E925="","",N(IFERROR(INDEX(单位档案!$E$6:$E$35,MATCH($E925,单位档案!$A$6:$A$35,0)),"")))</f>
        <v/>
      </c>
      <c r="R925" s="37" t="str">
        <f aca="false">IF($E925="","",N(IFERROR(INDEX(单位档案!$F$6:$F$35,MATCH($E925,单位档案!$A$6:$A$35,0)),"")))</f>
        <v/>
      </c>
      <c r="S925" s="36" t="n">
        <f aca="false">IF(OR($D925&lt;&gt;"销项开票",IFERROR(INDEX(单位档案!$G$6:$G$35,MATCH($E925,单位档案!$A$6:$A$35,0)),"")&lt;&gt;"是",N($Q925)=0),0,IF(IFERROR(INDEX(单位档案!$H$6:$H$35,MATCH($E925,单位档案!$A$6:$A$35,0)),"")="税差法",ROUND(N($H925)/(1+$Q925)*$Q925-IF(N($R925)=0,0,$P925/(1+$R925)*$R925),2),ROUND(N($H925)/(1+$Q925)*$Q925,2)))</f>
        <v>0</v>
      </c>
      <c r="T925" s="36" t="n">
        <f aca="false">ROUND($S925*N(IFERROR(INDEX(单位档案!$J$6:$J$35,MATCH($E925,单位档案!$A$6:$A$35,0)),"")),2)</f>
        <v>0</v>
      </c>
      <c r="U925" s="36" t="n">
        <f aca="false">IF($D925&lt;&gt;"销项开票",0,ROUND(N($H925)*N(IFERROR(INDEX(单位档案!$K$6:$K$35,MATCH($E925,单位档案!$A$6:$A$35,0)),"")),2))</f>
        <v>0</v>
      </c>
      <c r="V925" s="36" t="n">
        <f aca="false">IF(OR($D925&lt;&gt;"销项开票",N($Q925)=0),0,ROUND(N($H925)/(1+$Q925)*N(IFERROR(INDEX(单位档案!$L$6:$L$35,MATCH($E925,单位档案!$A$6:$A$35,0)),"")),2))</f>
        <v>0</v>
      </c>
      <c r="W925" s="36" t="n">
        <f aca="false">ROUND($S925+$T925+$U925+$V925,2)</f>
        <v>0</v>
      </c>
      <c r="X925" s="35" t="str">
        <f aca="false">IF(OR($D925="挂靠代收",$D925="我方收款"),COUNTIFS($D$5:$D925,"挂靠代收")+COUNTIFS($D$5:$D925,"我方收款"),"")</f>
        <v/>
      </c>
      <c r="Y925" s="35"/>
      <c r="Z925" s="21" t="s">
        <v>111</v>
      </c>
    </row>
    <row r="926" customFormat="false" ht="15.75" hidden="false" customHeight="true" outlineLevel="0" collapsed="false">
      <c r="A926" s="32" t="str">
        <f aca="false">IF($B926="","",ROW()-4)</f>
        <v/>
      </c>
      <c r="B926" s="26"/>
      <c r="C926" s="24"/>
      <c r="D926" s="21"/>
      <c r="E926" s="21"/>
      <c r="F926" s="21"/>
      <c r="G926" s="21"/>
      <c r="H926" s="27"/>
      <c r="I926" s="23" t="str">
        <f aca="false">IF($D926&lt;&gt;"销项开票","",IF($N926="一级",IF(IFERROR(INDEX(项目档案!$E$6:$E$255,MATCH($C926,项目档案!$A$6:$A$255,0)),"")="",N(IFERROR(INDEX(单位档案!$D$6:$D$35,MATCH($E926,单位档案!$A$6:$A$35,0)),"")),IFERROR(INDEX(项目档案!$E$6:$E$255,MATCH($C926,项目档案!$A$6:$A$255,0)),"")),IF($N926="二级",IF(IFERROR(INDEX(项目档案!$G$6:$G$255,MATCH($C926,项目档案!$A$6:$A$255,0)),"")="",N(IFERROR(INDEX(单位档案!$D$6:$D$35,MATCH($E926,单位档案!$A$6:$A$35,0)),"")),IFERROR(INDEX(项目档案!$G$6:$G$255,MATCH($C926,项目档案!$A$6:$A$255,0)),"")),N(IFERROR(INDEX(单位档案!$D$6:$D$35,MATCH($E926,单位档案!$A$6:$A$35,0)),"")))))</f>
        <v/>
      </c>
      <c r="J926" s="22"/>
      <c r="K926" s="22"/>
      <c r="L926" s="33" t="str">
        <f aca="false">IF($B926="","",IF(NOT(ISNUMBER($B926)),"日期格式不对",IF($C926="","未选项目编号",IF(LEFT($M926,1)="⚠","项目编号不存在",IF($D926="","未选业务类型",IF($E926="","未选开票/付款方",IF(ISNA(MATCH($E926,单位档案!$A$6:$A$35,0)),"开票方不在单位档案",IF($F926="","未选收票/收款方",IF(ISNA(MATCH($F926,单位档案!$A$6:$A$35,0)),"收款方不在单位档案",IF(NOT(ISNUMBER($H926)),"金额须为数字",IF(AND($D926="销项开票",$N926="—"),"链条待确认","√")))))))))))</f>
        <v/>
      </c>
      <c r="M926" s="34" t="str">
        <f aca="false">IF($C926="","",IFERROR(INDEX(项目档案!$B$6:$B$255,MATCH($C926,项目档案!$A$6:$A$255,0)),"⚠项目编号不存在"))</f>
        <v/>
      </c>
      <c r="N926" s="35" t="str">
        <f aca="false">IF($E926="","",IF($E926=IFERROR(INDEX(项目档案!$D$6:$D$255,MATCH($C926,项目档案!$A$6:$A$255,0)),""),"一级",IF($E926=IFERROR(INDEX(项目档案!$F$6:$F$255,MATCH($C926,项目档案!$A$6:$A$255,0)),""),"二级",IF($E926=IFERROR(INDEX(项目档案!$H$6:$H$255,MATCH($C926,项目档案!$A$6:$A$255,0)),""),"我方","—"))))</f>
        <v/>
      </c>
      <c r="O926" s="36" t="n">
        <f aca="false">IF($D926&lt;&gt;"销项开票",0,ROUND(N($H926)*N($I926),2))</f>
        <v>0</v>
      </c>
      <c r="P926" s="36" t="n">
        <f aca="false">IF($D926&lt;&gt;"销项开票",0,ROUND(N($H926)-$O926,2))</f>
        <v>0</v>
      </c>
      <c r="Q926" s="37" t="str">
        <f aca="false">IF($E926="","",N(IFERROR(INDEX(单位档案!$E$6:$E$35,MATCH($E926,单位档案!$A$6:$A$35,0)),"")))</f>
        <v/>
      </c>
      <c r="R926" s="37" t="str">
        <f aca="false">IF($E926="","",N(IFERROR(INDEX(单位档案!$F$6:$F$35,MATCH($E926,单位档案!$A$6:$A$35,0)),"")))</f>
        <v/>
      </c>
      <c r="S926" s="36" t="n">
        <f aca="false">IF(OR($D926&lt;&gt;"销项开票",IFERROR(INDEX(单位档案!$G$6:$G$35,MATCH($E926,单位档案!$A$6:$A$35,0)),"")&lt;&gt;"是",N($Q926)=0),0,IF(IFERROR(INDEX(单位档案!$H$6:$H$35,MATCH($E926,单位档案!$A$6:$A$35,0)),"")="税差法",ROUND(N($H926)/(1+$Q926)*$Q926-IF(N($R926)=0,0,$P926/(1+$R926)*$R926),2),ROUND(N($H926)/(1+$Q926)*$Q926,2)))</f>
        <v>0</v>
      </c>
      <c r="T926" s="36" t="n">
        <f aca="false">ROUND($S926*N(IFERROR(INDEX(单位档案!$J$6:$J$35,MATCH($E926,单位档案!$A$6:$A$35,0)),"")),2)</f>
        <v>0</v>
      </c>
      <c r="U926" s="36" t="n">
        <f aca="false">IF($D926&lt;&gt;"销项开票",0,ROUND(N($H926)*N(IFERROR(INDEX(单位档案!$K$6:$K$35,MATCH($E926,单位档案!$A$6:$A$35,0)),"")),2))</f>
        <v>0</v>
      </c>
      <c r="V926" s="36" t="n">
        <f aca="false">IF(OR($D926&lt;&gt;"销项开票",N($Q926)=0),0,ROUND(N($H926)/(1+$Q926)*N(IFERROR(INDEX(单位档案!$L$6:$L$35,MATCH($E926,单位档案!$A$6:$A$35,0)),"")),2))</f>
        <v>0</v>
      </c>
      <c r="W926" s="36" t="n">
        <f aca="false">ROUND($S926+$T926+$U926+$V926,2)</f>
        <v>0</v>
      </c>
      <c r="X926" s="35" t="str">
        <f aca="false">IF(OR($D926="挂靠代收",$D926="我方收款"),COUNTIFS($D$5:$D926,"挂靠代收")+COUNTIFS($D$5:$D926,"我方收款"),"")</f>
        <v/>
      </c>
      <c r="Y926" s="35"/>
      <c r="Z926" s="21" t="s">
        <v>111</v>
      </c>
    </row>
    <row r="927" customFormat="false" ht="15.75" hidden="false" customHeight="true" outlineLevel="0" collapsed="false">
      <c r="A927" s="32" t="str">
        <f aca="false">IF($B927="","",ROW()-4)</f>
        <v/>
      </c>
      <c r="B927" s="26"/>
      <c r="C927" s="24"/>
      <c r="D927" s="21"/>
      <c r="E927" s="21"/>
      <c r="F927" s="21"/>
      <c r="G927" s="21"/>
      <c r="H927" s="27"/>
      <c r="I927" s="23" t="str">
        <f aca="false">IF($D927&lt;&gt;"销项开票","",IF($N927="一级",IF(IFERROR(INDEX(项目档案!$E$6:$E$255,MATCH($C927,项目档案!$A$6:$A$255,0)),"")="",N(IFERROR(INDEX(单位档案!$D$6:$D$35,MATCH($E927,单位档案!$A$6:$A$35,0)),"")),IFERROR(INDEX(项目档案!$E$6:$E$255,MATCH($C927,项目档案!$A$6:$A$255,0)),"")),IF($N927="二级",IF(IFERROR(INDEX(项目档案!$G$6:$G$255,MATCH($C927,项目档案!$A$6:$A$255,0)),"")="",N(IFERROR(INDEX(单位档案!$D$6:$D$35,MATCH($E927,单位档案!$A$6:$A$35,0)),"")),IFERROR(INDEX(项目档案!$G$6:$G$255,MATCH($C927,项目档案!$A$6:$A$255,0)),"")),N(IFERROR(INDEX(单位档案!$D$6:$D$35,MATCH($E927,单位档案!$A$6:$A$35,0)),"")))))</f>
        <v/>
      </c>
      <c r="J927" s="22"/>
      <c r="K927" s="22"/>
      <c r="L927" s="33" t="str">
        <f aca="false">IF($B927="","",IF(NOT(ISNUMBER($B927)),"日期格式不对",IF($C927="","未选项目编号",IF(LEFT($M927,1)="⚠","项目编号不存在",IF($D927="","未选业务类型",IF($E927="","未选开票/付款方",IF(ISNA(MATCH($E927,单位档案!$A$6:$A$35,0)),"开票方不在单位档案",IF($F927="","未选收票/收款方",IF(ISNA(MATCH($F927,单位档案!$A$6:$A$35,0)),"收款方不在单位档案",IF(NOT(ISNUMBER($H927)),"金额须为数字",IF(AND($D927="销项开票",$N927="—"),"链条待确认","√")))))))))))</f>
        <v/>
      </c>
      <c r="M927" s="34" t="str">
        <f aca="false">IF($C927="","",IFERROR(INDEX(项目档案!$B$6:$B$255,MATCH($C927,项目档案!$A$6:$A$255,0)),"⚠项目编号不存在"))</f>
        <v/>
      </c>
      <c r="N927" s="35" t="str">
        <f aca="false">IF($E927="","",IF($E927=IFERROR(INDEX(项目档案!$D$6:$D$255,MATCH($C927,项目档案!$A$6:$A$255,0)),""),"一级",IF($E927=IFERROR(INDEX(项目档案!$F$6:$F$255,MATCH($C927,项目档案!$A$6:$A$255,0)),""),"二级",IF($E927=IFERROR(INDEX(项目档案!$H$6:$H$255,MATCH($C927,项目档案!$A$6:$A$255,0)),""),"我方","—"))))</f>
        <v/>
      </c>
      <c r="O927" s="36" t="n">
        <f aca="false">IF($D927&lt;&gt;"销项开票",0,ROUND(N($H927)*N($I927),2))</f>
        <v>0</v>
      </c>
      <c r="P927" s="36" t="n">
        <f aca="false">IF($D927&lt;&gt;"销项开票",0,ROUND(N($H927)-$O927,2))</f>
        <v>0</v>
      </c>
      <c r="Q927" s="37" t="str">
        <f aca="false">IF($E927="","",N(IFERROR(INDEX(单位档案!$E$6:$E$35,MATCH($E927,单位档案!$A$6:$A$35,0)),"")))</f>
        <v/>
      </c>
      <c r="R927" s="37" t="str">
        <f aca="false">IF($E927="","",N(IFERROR(INDEX(单位档案!$F$6:$F$35,MATCH($E927,单位档案!$A$6:$A$35,0)),"")))</f>
        <v/>
      </c>
      <c r="S927" s="36" t="n">
        <f aca="false">IF(OR($D927&lt;&gt;"销项开票",IFERROR(INDEX(单位档案!$G$6:$G$35,MATCH($E927,单位档案!$A$6:$A$35,0)),"")&lt;&gt;"是",N($Q927)=0),0,IF(IFERROR(INDEX(单位档案!$H$6:$H$35,MATCH($E927,单位档案!$A$6:$A$35,0)),"")="税差法",ROUND(N($H927)/(1+$Q927)*$Q927-IF(N($R927)=0,0,$P927/(1+$R927)*$R927),2),ROUND(N($H927)/(1+$Q927)*$Q927,2)))</f>
        <v>0</v>
      </c>
      <c r="T927" s="36" t="n">
        <f aca="false">ROUND($S927*N(IFERROR(INDEX(单位档案!$J$6:$J$35,MATCH($E927,单位档案!$A$6:$A$35,0)),"")),2)</f>
        <v>0</v>
      </c>
      <c r="U927" s="36" t="n">
        <f aca="false">IF($D927&lt;&gt;"销项开票",0,ROUND(N($H927)*N(IFERROR(INDEX(单位档案!$K$6:$K$35,MATCH($E927,单位档案!$A$6:$A$35,0)),"")),2))</f>
        <v>0</v>
      </c>
      <c r="V927" s="36" t="n">
        <f aca="false">IF(OR($D927&lt;&gt;"销项开票",N($Q927)=0),0,ROUND(N($H927)/(1+$Q927)*N(IFERROR(INDEX(单位档案!$L$6:$L$35,MATCH($E927,单位档案!$A$6:$A$35,0)),"")),2))</f>
        <v>0</v>
      </c>
      <c r="W927" s="36" t="n">
        <f aca="false">ROUND($S927+$T927+$U927+$V927,2)</f>
        <v>0</v>
      </c>
      <c r="X927" s="35" t="str">
        <f aca="false">IF(OR($D927="挂靠代收",$D927="我方收款"),COUNTIFS($D$5:$D927,"挂靠代收")+COUNTIFS($D$5:$D927,"我方收款"),"")</f>
        <v/>
      </c>
      <c r="Y927" s="35"/>
      <c r="Z927" s="21" t="s">
        <v>111</v>
      </c>
    </row>
    <row r="928" customFormat="false" ht="15.75" hidden="false" customHeight="true" outlineLevel="0" collapsed="false">
      <c r="A928" s="32" t="str">
        <f aca="false">IF($B928="","",ROW()-4)</f>
        <v/>
      </c>
      <c r="B928" s="26"/>
      <c r="C928" s="24"/>
      <c r="D928" s="21"/>
      <c r="E928" s="21"/>
      <c r="F928" s="21"/>
      <c r="G928" s="21"/>
      <c r="H928" s="27"/>
      <c r="I928" s="23" t="str">
        <f aca="false">IF($D928&lt;&gt;"销项开票","",IF($N928="一级",IF(IFERROR(INDEX(项目档案!$E$6:$E$255,MATCH($C928,项目档案!$A$6:$A$255,0)),"")="",N(IFERROR(INDEX(单位档案!$D$6:$D$35,MATCH($E928,单位档案!$A$6:$A$35,0)),"")),IFERROR(INDEX(项目档案!$E$6:$E$255,MATCH($C928,项目档案!$A$6:$A$255,0)),"")),IF($N928="二级",IF(IFERROR(INDEX(项目档案!$G$6:$G$255,MATCH($C928,项目档案!$A$6:$A$255,0)),"")="",N(IFERROR(INDEX(单位档案!$D$6:$D$35,MATCH($E928,单位档案!$A$6:$A$35,0)),"")),IFERROR(INDEX(项目档案!$G$6:$G$255,MATCH($C928,项目档案!$A$6:$A$255,0)),"")),N(IFERROR(INDEX(单位档案!$D$6:$D$35,MATCH($E928,单位档案!$A$6:$A$35,0)),"")))))</f>
        <v/>
      </c>
      <c r="J928" s="22"/>
      <c r="K928" s="22"/>
      <c r="L928" s="33" t="str">
        <f aca="false">IF($B928="","",IF(NOT(ISNUMBER($B928)),"日期格式不对",IF($C928="","未选项目编号",IF(LEFT($M928,1)="⚠","项目编号不存在",IF($D928="","未选业务类型",IF($E928="","未选开票/付款方",IF(ISNA(MATCH($E928,单位档案!$A$6:$A$35,0)),"开票方不在单位档案",IF($F928="","未选收票/收款方",IF(ISNA(MATCH($F928,单位档案!$A$6:$A$35,0)),"收款方不在单位档案",IF(NOT(ISNUMBER($H928)),"金额须为数字",IF(AND($D928="销项开票",$N928="—"),"链条待确认","√")))))))))))</f>
        <v/>
      </c>
      <c r="M928" s="34" t="str">
        <f aca="false">IF($C928="","",IFERROR(INDEX(项目档案!$B$6:$B$255,MATCH($C928,项目档案!$A$6:$A$255,0)),"⚠项目编号不存在"))</f>
        <v/>
      </c>
      <c r="N928" s="35" t="str">
        <f aca="false">IF($E928="","",IF($E928=IFERROR(INDEX(项目档案!$D$6:$D$255,MATCH($C928,项目档案!$A$6:$A$255,0)),""),"一级",IF($E928=IFERROR(INDEX(项目档案!$F$6:$F$255,MATCH($C928,项目档案!$A$6:$A$255,0)),""),"二级",IF($E928=IFERROR(INDEX(项目档案!$H$6:$H$255,MATCH($C928,项目档案!$A$6:$A$255,0)),""),"我方","—"))))</f>
        <v/>
      </c>
      <c r="O928" s="36" t="n">
        <f aca="false">IF($D928&lt;&gt;"销项开票",0,ROUND(N($H928)*N($I928),2))</f>
        <v>0</v>
      </c>
      <c r="P928" s="36" t="n">
        <f aca="false">IF($D928&lt;&gt;"销项开票",0,ROUND(N($H928)-$O928,2))</f>
        <v>0</v>
      </c>
      <c r="Q928" s="37" t="str">
        <f aca="false">IF($E928="","",N(IFERROR(INDEX(单位档案!$E$6:$E$35,MATCH($E928,单位档案!$A$6:$A$35,0)),"")))</f>
        <v/>
      </c>
      <c r="R928" s="37" t="str">
        <f aca="false">IF($E928="","",N(IFERROR(INDEX(单位档案!$F$6:$F$35,MATCH($E928,单位档案!$A$6:$A$35,0)),"")))</f>
        <v/>
      </c>
      <c r="S928" s="36" t="n">
        <f aca="false">IF(OR($D928&lt;&gt;"销项开票",IFERROR(INDEX(单位档案!$G$6:$G$35,MATCH($E928,单位档案!$A$6:$A$35,0)),"")&lt;&gt;"是",N($Q928)=0),0,IF(IFERROR(INDEX(单位档案!$H$6:$H$35,MATCH($E928,单位档案!$A$6:$A$35,0)),"")="税差法",ROUND(N($H928)/(1+$Q928)*$Q928-IF(N($R928)=0,0,$P928/(1+$R928)*$R928),2),ROUND(N($H928)/(1+$Q928)*$Q928,2)))</f>
        <v>0</v>
      </c>
      <c r="T928" s="36" t="n">
        <f aca="false">ROUND($S928*N(IFERROR(INDEX(单位档案!$J$6:$J$35,MATCH($E928,单位档案!$A$6:$A$35,0)),"")),2)</f>
        <v>0</v>
      </c>
      <c r="U928" s="36" t="n">
        <f aca="false">IF($D928&lt;&gt;"销项开票",0,ROUND(N($H928)*N(IFERROR(INDEX(单位档案!$K$6:$K$35,MATCH($E928,单位档案!$A$6:$A$35,0)),"")),2))</f>
        <v>0</v>
      </c>
      <c r="V928" s="36" t="n">
        <f aca="false">IF(OR($D928&lt;&gt;"销项开票",N($Q928)=0),0,ROUND(N($H928)/(1+$Q928)*N(IFERROR(INDEX(单位档案!$L$6:$L$35,MATCH($E928,单位档案!$A$6:$A$35,0)),"")),2))</f>
        <v>0</v>
      </c>
      <c r="W928" s="36" t="n">
        <f aca="false">ROUND($S928+$T928+$U928+$V928,2)</f>
        <v>0</v>
      </c>
      <c r="X928" s="35" t="str">
        <f aca="false">IF(OR($D928="挂靠代收",$D928="我方收款"),COUNTIFS($D$5:$D928,"挂靠代收")+COUNTIFS($D$5:$D928,"我方收款"),"")</f>
        <v/>
      </c>
      <c r="Y928" s="35"/>
      <c r="Z928" s="21" t="s">
        <v>111</v>
      </c>
    </row>
    <row r="929" customFormat="false" ht="15.75" hidden="false" customHeight="true" outlineLevel="0" collapsed="false">
      <c r="A929" s="32" t="str">
        <f aca="false">IF($B929="","",ROW()-4)</f>
        <v/>
      </c>
      <c r="B929" s="26"/>
      <c r="C929" s="24"/>
      <c r="D929" s="21"/>
      <c r="E929" s="21"/>
      <c r="F929" s="21"/>
      <c r="G929" s="21"/>
      <c r="H929" s="27"/>
      <c r="I929" s="23" t="str">
        <f aca="false">IF($D929&lt;&gt;"销项开票","",IF($N929="一级",IF(IFERROR(INDEX(项目档案!$E$6:$E$255,MATCH($C929,项目档案!$A$6:$A$255,0)),"")="",N(IFERROR(INDEX(单位档案!$D$6:$D$35,MATCH($E929,单位档案!$A$6:$A$35,0)),"")),IFERROR(INDEX(项目档案!$E$6:$E$255,MATCH($C929,项目档案!$A$6:$A$255,0)),"")),IF($N929="二级",IF(IFERROR(INDEX(项目档案!$G$6:$G$255,MATCH($C929,项目档案!$A$6:$A$255,0)),"")="",N(IFERROR(INDEX(单位档案!$D$6:$D$35,MATCH($E929,单位档案!$A$6:$A$35,0)),"")),IFERROR(INDEX(项目档案!$G$6:$G$255,MATCH($C929,项目档案!$A$6:$A$255,0)),"")),N(IFERROR(INDEX(单位档案!$D$6:$D$35,MATCH($E929,单位档案!$A$6:$A$35,0)),"")))))</f>
        <v/>
      </c>
      <c r="J929" s="22"/>
      <c r="K929" s="22"/>
      <c r="L929" s="33" t="str">
        <f aca="false">IF($B929="","",IF(NOT(ISNUMBER($B929)),"日期格式不对",IF($C929="","未选项目编号",IF(LEFT($M929,1)="⚠","项目编号不存在",IF($D929="","未选业务类型",IF($E929="","未选开票/付款方",IF(ISNA(MATCH($E929,单位档案!$A$6:$A$35,0)),"开票方不在单位档案",IF($F929="","未选收票/收款方",IF(ISNA(MATCH($F929,单位档案!$A$6:$A$35,0)),"收款方不在单位档案",IF(NOT(ISNUMBER($H929)),"金额须为数字",IF(AND($D929="销项开票",$N929="—"),"链条待确认","√")))))))))))</f>
        <v/>
      </c>
      <c r="M929" s="34" t="str">
        <f aca="false">IF($C929="","",IFERROR(INDEX(项目档案!$B$6:$B$255,MATCH($C929,项目档案!$A$6:$A$255,0)),"⚠项目编号不存在"))</f>
        <v/>
      </c>
      <c r="N929" s="35" t="str">
        <f aca="false">IF($E929="","",IF($E929=IFERROR(INDEX(项目档案!$D$6:$D$255,MATCH($C929,项目档案!$A$6:$A$255,0)),""),"一级",IF($E929=IFERROR(INDEX(项目档案!$F$6:$F$255,MATCH($C929,项目档案!$A$6:$A$255,0)),""),"二级",IF($E929=IFERROR(INDEX(项目档案!$H$6:$H$255,MATCH($C929,项目档案!$A$6:$A$255,0)),""),"我方","—"))))</f>
        <v/>
      </c>
      <c r="O929" s="36" t="n">
        <f aca="false">IF($D929&lt;&gt;"销项开票",0,ROUND(N($H929)*N($I929),2))</f>
        <v>0</v>
      </c>
      <c r="P929" s="36" t="n">
        <f aca="false">IF($D929&lt;&gt;"销项开票",0,ROUND(N($H929)-$O929,2))</f>
        <v>0</v>
      </c>
      <c r="Q929" s="37" t="str">
        <f aca="false">IF($E929="","",N(IFERROR(INDEX(单位档案!$E$6:$E$35,MATCH($E929,单位档案!$A$6:$A$35,0)),"")))</f>
        <v/>
      </c>
      <c r="R929" s="37" t="str">
        <f aca="false">IF($E929="","",N(IFERROR(INDEX(单位档案!$F$6:$F$35,MATCH($E929,单位档案!$A$6:$A$35,0)),"")))</f>
        <v/>
      </c>
      <c r="S929" s="36" t="n">
        <f aca="false">IF(OR($D929&lt;&gt;"销项开票",IFERROR(INDEX(单位档案!$G$6:$G$35,MATCH($E929,单位档案!$A$6:$A$35,0)),"")&lt;&gt;"是",N($Q929)=0),0,IF(IFERROR(INDEX(单位档案!$H$6:$H$35,MATCH($E929,单位档案!$A$6:$A$35,0)),"")="税差法",ROUND(N($H929)/(1+$Q929)*$Q929-IF(N($R929)=0,0,$P929/(1+$R929)*$R929),2),ROUND(N($H929)/(1+$Q929)*$Q929,2)))</f>
        <v>0</v>
      </c>
      <c r="T929" s="36" t="n">
        <f aca="false">ROUND($S929*N(IFERROR(INDEX(单位档案!$J$6:$J$35,MATCH($E929,单位档案!$A$6:$A$35,0)),"")),2)</f>
        <v>0</v>
      </c>
      <c r="U929" s="36" t="n">
        <f aca="false">IF($D929&lt;&gt;"销项开票",0,ROUND(N($H929)*N(IFERROR(INDEX(单位档案!$K$6:$K$35,MATCH($E929,单位档案!$A$6:$A$35,0)),"")),2))</f>
        <v>0</v>
      </c>
      <c r="V929" s="36" t="n">
        <f aca="false">IF(OR($D929&lt;&gt;"销项开票",N($Q929)=0),0,ROUND(N($H929)/(1+$Q929)*N(IFERROR(INDEX(单位档案!$L$6:$L$35,MATCH($E929,单位档案!$A$6:$A$35,0)),"")),2))</f>
        <v>0</v>
      </c>
      <c r="W929" s="36" t="n">
        <f aca="false">ROUND($S929+$T929+$U929+$V929,2)</f>
        <v>0</v>
      </c>
      <c r="X929" s="35" t="str">
        <f aca="false">IF(OR($D929="挂靠代收",$D929="我方收款"),COUNTIFS($D$5:$D929,"挂靠代收")+COUNTIFS($D$5:$D929,"我方收款"),"")</f>
        <v/>
      </c>
      <c r="Y929" s="35"/>
      <c r="Z929" s="21" t="s">
        <v>111</v>
      </c>
    </row>
    <row r="930" customFormat="false" ht="15.75" hidden="false" customHeight="true" outlineLevel="0" collapsed="false">
      <c r="A930" s="32" t="str">
        <f aca="false">IF($B930="","",ROW()-4)</f>
        <v/>
      </c>
      <c r="B930" s="26"/>
      <c r="C930" s="24"/>
      <c r="D930" s="21"/>
      <c r="E930" s="21"/>
      <c r="F930" s="21"/>
      <c r="G930" s="21"/>
      <c r="H930" s="27"/>
      <c r="I930" s="23" t="str">
        <f aca="false">IF($D930&lt;&gt;"销项开票","",IF($N930="一级",IF(IFERROR(INDEX(项目档案!$E$6:$E$255,MATCH($C930,项目档案!$A$6:$A$255,0)),"")="",N(IFERROR(INDEX(单位档案!$D$6:$D$35,MATCH($E930,单位档案!$A$6:$A$35,0)),"")),IFERROR(INDEX(项目档案!$E$6:$E$255,MATCH($C930,项目档案!$A$6:$A$255,0)),"")),IF($N930="二级",IF(IFERROR(INDEX(项目档案!$G$6:$G$255,MATCH($C930,项目档案!$A$6:$A$255,0)),"")="",N(IFERROR(INDEX(单位档案!$D$6:$D$35,MATCH($E930,单位档案!$A$6:$A$35,0)),"")),IFERROR(INDEX(项目档案!$G$6:$G$255,MATCH($C930,项目档案!$A$6:$A$255,0)),"")),N(IFERROR(INDEX(单位档案!$D$6:$D$35,MATCH($E930,单位档案!$A$6:$A$35,0)),"")))))</f>
        <v/>
      </c>
      <c r="J930" s="22"/>
      <c r="K930" s="22"/>
      <c r="L930" s="33" t="str">
        <f aca="false">IF($B930="","",IF(NOT(ISNUMBER($B930)),"日期格式不对",IF($C930="","未选项目编号",IF(LEFT($M930,1)="⚠","项目编号不存在",IF($D930="","未选业务类型",IF($E930="","未选开票/付款方",IF(ISNA(MATCH($E930,单位档案!$A$6:$A$35,0)),"开票方不在单位档案",IF($F930="","未选收票/收款方",IF(ISNA(MATCH($F930,单位档案!$A$6:$A$35,0)),"收款方不在单位档案",IF(NOT(ISNUMBER($H930)),"金额须为数字",IF(AND($D930="销项开票",$N930="—"),"链条待确认","√")))))))))))</f>
        <v/>
      </c>
      <c r="M930" s="34" t="str">
        <f aca="false">IF($C930="","",IFERROR(INDEX(项目档案!$B$6:$B$255,MATCH($C930,项目档案!$A$6:$A$255,0)),"⚠项目编号不存在"))</f>
        <v/>
      </c>
      <c r="N930" s="35" t="str">
        <f aca="false">IF($E930="","",IF($E930=IFERROR(INDEX(项目档案!$D$6:$D$255,MATCH($C930,项目档案!$A$6:$A$255,0)),""),"一级",IF($E930=IFERROR(INDEX(项目档案!$F$6:$F$255,MATCH($C930,项目档案!$A$6:$A$255,0)),""),"二级",IF($E930=IFERROR(INDEX(项目档案!$H$6:$H$255,MATCH($C930,项目档案!$A$6:$A$255,0)),""),"我方","—"))))</f>
        <v/>
      </c>
      <c r="O930" s="36" t="n">
        <f aca="false">IF($D930&lt;&gt;"销项开票",0,ROUND(N($H930)*N($I930),2))</f>
        <v>0</v>
      </c>
      <c r="P930" s="36" t="n">
        <f aca="false">IF($D930&lt;&gt;"销项开票",0,ROUND(N($H930)-$O930,2))</f>
        <v>0</v>
      </c>
      <c r="Q930" s="37" t="str">
        <f aca="false">IF($E930="","",N(IFERROR(INDEX(单位档案!$E$6:$E$35,MATCH($E930,单位档案!$A$6:$A$35,0)),"")))</f>
        <v/>
      </c>
      <c r="R930" s="37" t="str">
        <f aca="false">IF($E930="","",N(IFERROR(INDEX(单位档案!$F$6:$F$35,MATCH($E930,单位档案!$A$6:$A$35,0)),"")))</f>
        <v/>
      </c>
      <c r="S930" s="36" t="n">
        <f aca="false">IF(OR($D930&lt;&gt;"销项开票",IFERROR(INDEX(单位档案!$G$6:$G$35,MATCH($E930,单位档案!$A$6:$A$35,0)),"")&lt;&gt;"是",N($Q930)=0),0,IF(IFERROR(INDEX(单位档案!$H$6:$H$35,MATCH($E930,单位档案!$A$6:$A$35,0)),"")="税差法",ROUND(N($H930)/(1+$Q930)*$Q930-IF(N($R930)=0,0,$P930/(1+$R930)*$R930),2),ROUND(N($H930)/(1+$Q930)*$Q930,2)))</f>
        <v>0</v>
      </c>
      <c r="T930" s="36" t="n">
        <f aca="false">ROUND($S930*N(IFERROR(INDEX(单位档案!$J$6:$J$35,MATCH($E930,单位档案!$A$6:$A$35,0)),"")),2)</f>
        <v>0</v>
      </c>
      <c r="U930" s="36" t="n">
        <f aca="false">IF($D930&lt;&gt;"销项开票",0,ROUND(N($H930)*N(IFERROR(INDEX(单位档案!$K$6:$K$35,MATCH($E930,单位档案!$A$6:$A$35,0)),"")),2))</f>
        <v>0</v>
      </c>
      <c r="V930" s="36" t="n">
        <f aca="false">IF(OR($D930&lt;&gt;"销项开票",N($Q930)=0),0,ROUND(N($H930)/(1+$Q930)*N(IFERROR(INDEX(单位档案!$L$6:$L$35,MATCH($E930,单位档案!$A$6:$A$35,0)),"")),2))</f>
        <v>0</v>
      </c>
      <c r="W930" s="36" t="n">
        <f aca="false">ROUND($S930+$T930+$U930+$V930,2)</f>
        <v>0</v>
      </c>
      <c r="X930" s="35" t="str">
        <f aca="false">IF(OR($D930="挂靠代收",$D930="我方收款"),COUNTIFS($D$5:$D930,"挂靠代收")+COUNTIFS($D$5:$D930,"我方收款"),"")</f>
        <v/>
      </c>
      <c r="Y930" s="35"/>
      <c r="Z930" s="21" t="s">
        <v>111</v>
      </c>
    </row>
    <row r="931" customFormat="false" ht="15.75" hidden="false" customHeight="true" outlineLevel="0" collapsed="false">
      <c r="A931" s="32" t="str">
        <f aca="false">IF($B931="","",ROW()-4)</f>
        <v/>
      </c>
      <c r="B931" s="26"/>
      <c r="C931" s="24"/>
      <c r="D931" s="21"/>
      <c r="E931" s="21"/>
      <c r="F931" s="21"/>
      <c r="G931" s="21"/>
      <c r="H931" s="27"/>
      <c r="I931" s="23" t="str">
        <f aca="false">IF($D931&lt;&gt;"销项开票","",IF($N931="一级",IF(IFERROR(INDEX(项目档案!$E$6:$E$255,MATCH($C931,项目档案!$A$6:$A$255,0)),"")="",N(IFERROR(INDEX(单位档案!$D$6:$D$35,MATCH($E931,单位档案!$A$6:$A$35,0)),"")),IFERROR(INDEX(项目档案!$E$6:$E$255,MATCH($C931,项目档案!$A$6:$A$255,0)),"")),IF($N931="二级",IF(IFERROR(INDEX(项目档案!$G$6:$G$255,MATCH($C931,项目档案!$A$6:$A$255,0)),"")="",N(IFERROR(INDEX(单位档案!$D$6:$D$35,MATCH($E931,单位档案!$A$6:$A$35,0)),"")),IFERROR(INDEX(项目档案!$G$6:$G$255,MATCH($C931,项目档案!$A$6:$A$255,0)),"")),N(IFERROR(INDEX(单位档案!$D$6:$D$35,MATCH($E931,单位档案!$A$6:$A$35,0)),"")))))</f>
        <v/>
      </c>
      <c r="J931" s="22"/>
      <c r="K931" s="22"/>
      <c r="L931" s="33" t="str">
        <f aca="false">IF($B931="","",IF(NOT(ISNUMBER($B931)),"日期格式不对",IF($C931="","未选项目编号",IF(LEFT($M931,1)="⚠","项目编号不存在",IF($D931="","未选业务类型",IF($E931="","未选开票/付款方",IF(ISNA(MATCH($E931,单位档案!$A$6:$A$35,0)),"开票方不在单位档案",IF($F931="","未选收票/收款方",IF(ISNA(MATCH($F931,单位档案!$A$6:$A$35,0)),"收款方不在单位档案",IF(NOT(ISNUMBER($H931)),"金额须为数字",IF(AND($D931="销项开票",$N931="—"),"链条待确认","√")))))))))))</f>
        <v/>
      </c>
      <c r="M931" s="34" t="str">
        <f aca="false">IF($C931="","",IFERROR(INDEX(项目档案!$B$6:$B$255,MATCH($C931,项目档案!$A$6:$A$255,0)),"⚠项目编号不存在"))</f>
        <v/>
      </c>
      <c r="N931" s="35" t="str">
        <f aca="false">IF($E931="","",IF($E931=IFERROR(INDEX(项目档案!$D$6:$D$255,MATCH($C931,项目档案!$A$6:$A$255,0)),""),"一级",IF($E931=IFERROR(INDEX(项目档案!$F$6:$F$255,MATCH($C931,项目档案!$A$6:$A$255,0)),""),"二级",IF($E931=IFERROR(INDEX(项目档案!$H$6:$H$255,MATCH($C931,项目档案!$A$6:$A$255,0)),""),"我方","—"))))</f>
        <v/>
      </c>
      <c r="O931" s="36" t="n">
        <f aca="false">IF($D931&lt;&gt;"销项开票",0,ROUND(N($H931)*N($I931),2))</f>
        <v>0</v>
      </c>
      <c r="P931" s="36" t="n">
        <f aca="false">IF($D931&lt;&gt;"销项开票",0,ROUND(N($H931)-$O931,2))</f>
        <v>0</v>
      </c>
      <c r="Q931" s="37" t="str">
        <f aca="false">IF($E931="","",N(IFERROR(INDEX(单位档案!$E$6:$E$35,MATCH($E931,单位档案!$A$6:$A$35,0)),"")))</f>
        <v/>
      </c>
      <c r="R931" s="37" t="str">
        <f aca="false">IF($E931="","",N(IFERROR(INDEX(单位档案!$F$6:$F$35,MATCH($E931,单位档案!$A$6:$A$35,0)),"")))</f>
        <v/>
      </c>
      <c r="S931" s="36" t="n">
        <f aca="false">IF(OR($D931&lt;&gt;"销项开票",IFERROR(INDEX(单位档案!$G$6:$G$35,MATCH($E931,单位档案!$A$6:$A$35,0)),"")&lt;&gt;"是",N($Q931)=0),0,IF(IFERROR(INDEX(单位档案!$H$6:$H$35,MATCH($E931,单位档案!$A$6:$A$35,0)),"")="税差法",ROUND(N($H931)/(1+$Q931)*$Q931-IF(N($R931)=0,0,$P931/(1+$R931)*$R931),2),ROUND(N($H931)/(1+$Q931)*$Q931,2)))</f>
        <v>0</v>
      </c>
      <c r="T931" s="36" t="n">
        <f aca="false">ROUND($S931*N(IFERROR(INDEX(单位档案!$J$6:$J$35,MATCH($E931,单位档案!$A$6:$A$35,0)),"")),2)</f>
        <v>0</v>
      </c>
      <c r="U931" s="36" t="n">
        <f aca="false">IF($D931&lt;&gt;"销项开票",0,ROUND(N($H931)*N(IFERROR(INDEX(单位档案!$K$6:$K$35,MATCH($E931,单位档案!$A$6:$A$35,0)),"")),2))</f>
        <v>0</v>
      </c>
      <c r="V931" s="36" t="n">
        <f aca="false">IF(OR($D931&lt;&gt;"销项开票",N($Q931)=0),0,ROUND(N($H931)/(1+$Q931)*N(IFERROR(INDEX(单位档案!$L$6:$L$35,MATCH($E931,单位档案!$A$6:$A$35,0)),"")),2))</f>
        <v>0</v>
      </c>
      <c r="W931" s="36" t="n">
        <f aca="false">ROUND($S931+$T931+$U931+$V931,2)</f>
        <v>0</v>
      </c>
      <c r="X931" s="35" t="str">
        <f aca="false">IF(OR($D931="挂靠代收",$D931="我方收款"),COUNTIFS($D$5:$D931,"挂靠代收")+COUNTIFS($D$5:$D931,"我方收款"),"")</f>
        <v/>
      </c>
      <c r="Y931" s="35"/>
      <c r="Z931" s="21" t="s">
        <v>111</v>
      </c>
    </row>
    <row r="932" customFormat="false" ht="15.75" hidden="false" customHeight="true" outlineLevel="0" collapsed="false">
      <c r="A932" s="32" t="str">
        <f aca="false">IF($B932="","",ROW()-4)</f>
        <v/>
      </c>
      <c r="B932" s="26"/>
      <c r="C932" s="24"/>
      <c r="D932" s="21"/>
      <c r="E932" s="21"/>
      <c r="F932" s="21"/>
      <c r="G932" s="21"/>
      <c r="H932" s="27"/>
      <c r="I932" s="23" t="str">
        <f aca="false">IF($D932&lt;&gt;"销项开票","",IF($N932="一级",IF(IFERROR(INDEX(项目档案!$E$6:$E$255,MATCH($C932,项目档案!$A$6:$A$255,0)),"")="",N(IFERROR(INDEX(单位档案!$D$6:$D$35,MATCH($E932,单位档案!$A$6:$A$35,0)),"")),IFERROR(INDEX(项目档案!$E$6:$E$255,MATCH($C932,项目档案!$A$6:$A$255,0)),"")),IF($N932="二级",IF(IFERROR(INDEX(项目档案!$G$6:$G$255,MATCH($C932,项目档案!$A$6:$A$255,0)),"")="",N(IFERROR(INDEX(单位档案!$D$6:$D$35,MATCH($E932,单位档案!$A$6:$A$35,0)),"")),IFERROR(INDEX(项目档案!$G$6:$G$255,MATCH($C932,项目档案!$A$6:$A$255,0)),"")),N(IFERROR(INDEX(单位档案!$D$6:$D$35,MATCH($E932,单位档案!$A$6:$A$35,0)),"")))))</f>
        <v/>
      </c>
      <c r="J932" s="22"/>
      <c r="K932" s="22"/>
      <c r="L932" s="33" t="str">
        <f aca="false">IF($B932="","",IF(NOT(ISNUMBER($B932)),"日期格式不对",IF($C932="","未选项目编号",IF(LEFT($M932,1)="⚠","项目编号不存在",IF($D932="","未选业务类型",IF($E932="","未选开票/付款方",IF(ISNA(MATCH($E932,单位档案!$A$6:$A$35,0)),"开票方不在单位档案",IF($F932="","未选收票/收款方",IF(ISNA(MATCH($F932,单位档案!$A$6:$A$35,0)),"收款方不在单位档案",IF(NOT(ISNUMBER($H932)),"金额须为数字",IF(AND($D932="销项开票",$N932="—"),"链条待确认","√")))))))))))</f>
        <v/>
      </c>
      <c r="M932" s="34" t="str">
        <f aca="false">IF($C932="","",IFERROR(INDEX(项目档案!$B$6:$B$255,MATCH($C932,项目档案!$A$6:$A$255,0)),"⚠项目编号不存在"))</f>
        <v/>
      </c>
      <c r="N932" s="35" t="str">
        <f aca="false">IF($E932="","",IF($E932=IFERROR(INDEX(项目档案!$D$6:$D$255,MATCH($C932,项目档案!$A$6:$A$255,0)),""),"一级",IF($E932=IFERROR(INDEX(项目档案!$F$6:$F$255,MATCH($C932,项目档案!$A$6:$A$255,0)),""),"二级",IF($E932=IFERROR(INDEX(项目档案!$H$6:$H$255,MATCH($C932,项目档案!$A$6:$A$255,0)),""),"我方","—"))))</f>
        <v/>
      </c>
      <c r="O932" s="36" t="n">
        <f aca="false">IF($D932&lt;&gt;"销项开票",0,ROUND(N($H932)*N($I932),2))</f>
        <v>0</v>
      </c>
      <c r="P932" s="36" t="n">
        <f aca="false">IF($D932&lt;&gt;"销项开票",0,ROUND(N($H932)-$O932,2))</f>
        <v>0</v>
      </c>
      <c r="Q932" s="37" t="str">
        <f aca="false">IF($E932="","",N(IFERROR(INDEX(单位档案!$E$6:$E$35,MATCH($E932,单位档案!$A$6:$A$35,0)),"")))</f>
        <v/>
      </c>
      <c r="R932" s="37" t="str">
        <f aca="false">IF($E932="","",N(IFERROR(INDEX(单位档案!$F$6:$F$35,MATCH($E932,单位档案!$A$6:$A$35,0)),"")))</f>
        <v/>
      </c>
      <c r="S932" s="36" t="n">
        <f aca="false">IF(OR($D932&lt;&gt;"销项开票",IFERROR(INDEX(单位档案!$G$6:$G$35,MATCH($E932,单位档案!$A$6:$A$35,0)),"")&lt;&gt;"是",N($Q932)=0),0,IF(IFERROR(INDEX(单位档案!$H$6:$H$35,MATCH($E932,单位档案!$A$6:$A$35,0)),"")="税差法",ROUND(N($H932)/(1+$Q932)*$Q932-IF(N($R932)=0,0,$P932/(1+$R932)*$R932),2),ROUND(N($H932)/(1+$Q932)*$Q932,2)))</f>
        <v>0</v>
      </c>
      <c r="T932" s="36" t="n">
        <f aca="false">ROUND($S932*N(IFERROR(INDEX(单位档案!$J$6:$J$35,MATCH($E932,单位档案!$A$6:$A$35,0)),"")),2)</f>
        <v>0</v>
      </c>
      <c r="U932" s="36" t="n">
        <f aca="false">IF($D932&lt;&gt;"销项开票",0,ROUND(N($H932)*N(IFERROR(INDEX(单位档案!$K$6:$K$35,MATCH($E932,单位档案!$A$6:$A$35,0)),"")),2))</f>
        <v>0</v>
      </c>
      <c r="V932" s="36" t="n">
        <f aca="false">IF(OR($D932&lt;&gt;"销项开票",N($Q932)=0),0,ROUND(N($H932)/(1+$Q932)*N(IFERROR(INDEX(单位档案!$L$6:$L$35,MATCH($E932,单位档案!$A$6:$A$35,0)),"")),2))</f>
        <v>0</v>
      </c>
      <c r="W932" s="36" t="n">
        <f aca="false">ROUND($S932+$T932+$U932+$V932,2)</f>
        <v>0</v>
      </c>
      <c r="X932" s="35" t="str">
        <f aca="false">IF(OR($D932="挂靠代收",$D932="我方收款"),COUNTIFS($D$5:$D932,"挂靠代收")+COUNTIFS($D$5:$D932,"我方收款"),"")</f>
        <v/>
      </c>
      <c r="Y932" s="35"/>
      <c r="Z932" s="21" t="s">
        <v>111</v>
      </c>
    </row>
    <row r="933" customFormat="false" ht="15.75" hidden="false" customHeight="true" outlineLevel="0" collapsed="false">
      <c r="A933" s="32" t="str">
        <f aca="false">IF($B933="","",ROW()-4)</f>
        <v/>
      </c>
      <c r="B933" s="26"/>
      <c r="C933" s="24"/>
      <c r="D933" s="21"/>
      <c r="E933" s="21"/>
      <c r="F933" s="21"/>
      <c r="G933" s="21"/>
      <c r="H933" s="27"/>
      <c r="I933" s="23" t="str">
        <f aca="false">IF($D933&lt;&gt;"销项开票","",IF($N933="一级",IF(IFERROR(INDEX(项目档案!$E$6:$E$255,MATCH($C933,项目档案!$A$6:$A$255,0)),"")="",N(IFERROR(INDEX(单位档案!$D$6:$D$35,MATCH($E933,单位档案!$A$6:$A$35,0)),"")),IFERROR(INDEX(项目档案!$E$6:$E$255,MATCH($C933,项目档案!$A$6:$A$255,0)),"")),IF($N933="二级",IF(IFERROR(INDEX(项目档案!$G$6:$G$255,MATCH($C933,项目档案!$A$6:$A$255,0)),"")="",N(IFERROR(INDEX(单位档案!$D$6:$D$35,MATCH($E933,单位档案!$A$6:$A$35,0)),"")),IFERROR(INDEX(项目档案!$G$6:$G$255,MATCH($C933,项目档案!$A$6:$A$255,0)),"")),N(IFERROR(INDEX(单位档案!$D$6:$D$35,MATCH($E933,单位档案!$A$6:$A$35,0)),"")))))</f>
        <v/>
      </c>
      <c r="J933" s="22"/>
      <c r="K933" s="22"/>
      <c r="L933" s="33" t="str">
        <f aca="false">IF($B933="","",IF(NOT(ISNUMBER($B933)),"日期格式不对",IF($C933="","未选项目编号",IF(LEFT($M933,1)="⚠","项目编号不存在",IF($D933="","未选业务类型",IF($E933="","未选开票/付款方",IF(ISNA(MATCH($E933,单位档案!$A$6:$A$35,0)),"开票方不在单位档案",IF($F933="","未选收票/收款方",IF(ISNA(MATCH($F933,单位档案!$A$6:$A$35,0)),"收款方不在单位档案",IF(NOT(ISNUMBER($H933)),"金额须为数字",IF(AND($D933="销项开票",$N933="—"),"链条待确认","√")))))))))))</f>
        <v/>
      </c>
      <c r="M933" s="34" t="str">
        <f aca="false">IF($C933="","",IFERROR(INDEX(项目档案!$B$6:$B$255,MATCH($C933,项目档案!$A$6:$A$255,0)),"⚠项目编号不存在"))</f>
        <v/>
      </c>
      <c r="N933" s="35" t="str">
        <f aca="false">IF($E933="","",IF($E933=IFERROR(INDEX(项目档案!$D$6:$D$255,MATCH($C933,项目档案!$A$6:$A$255,0)),""),"一级",IF($E933=IFERROR(INDEX(项目档案!$F$6:$F$255,MATCH($C933,项目档案!$A$6:$A$255,0)),""),"二级",IF($E933=IFERROR(INDEX(项目档案!$H$6:$H$255,MATCH($C933,项目档案!$A$6:$A$255,0)),""),"我方","—"))))</f>
        <v/>
      </c>
      <c r="O933" s="36" t="n">
        <f aca="false">IF($D933&lt;&gt;"销项开票",0,ROUND(N($H933)*N($I933),2))</f>
        <v>0</v>
      </c>
      <c r="P933" s="36" t="n">
        <f aca="false">IF($D933&lt;&gt;"销项开票",0,ROUND(N($H933)-$O933,2))</f>
        <v>0</v>
      </c>
      <c r="Q933" s="37" t="str">
        <f aca="false">IF($E933="","",N(IFERROR(INDEX(单位档案!$E$6:$E$35,MATCH($E933,单位档案!$A$6:$A$35,0)),"")))</f>
        <v/>
      </c>
      <c r="R933" s="37" t="str">
        <f aca="false">IF($E933="","",N(IFERROR(INDEX(单位档案!$F$6:$F$35,MATCH($E933,单位档案!$A$6:$A$35,0)),"")))</f>
        <v/>
      </c>
      <c r="S933" s="36" t="n">
        <f aca="false">IF(OR($D933&lt;&gt;"销项开票",IFERROR(INDEX(单位档案!$G$6:$G$35,MATCH($E933,单位档案!$A$6:$A$35,0)),"")&lt;&gt;"是",N($Q933)=0),0,IF(IFERROR(INDEX(单位档案!$H$6:$H$35,MATCH($E933,单位档案!$A$6:$A$35,0)),"")="税差法",ROUND(N($H933)/(1+$Q933)*$Q933-IF(N($R933)=0,0,$P933/(1+$R933)*$R933),2),ROUND(N($H933)/(1+$Q933)*$Q933,2)))</f>
        <v>0</v>
      </c>
      <c r="T933" s="36" t="n">
        <f aca="false">ROUND($S933*N(IFERROR(INDEX(单位档案!$J$6:$J$35,MATCH($E933,单位档案!$A$6:$A$35,0)),"")),2)</f>
        <v>0</v>
      </c>
      <c r="U933" s="36" t="n">
        <f aca="false">IF($D933&lt;&gt;"销项开票",0,ROUND(N($H933)*N(IFERROR(INDEX(单位档案!$K$6:$K$35,MATCH($E933,单位档案!$A$6:$A$35,0)),"")),2))</f>
        <v>0</v>
      </c>
      <c r="V933" s="36" t="n">
        <f aca="false">IF(OR($D933&lt;&gt;"销项开票",N($Q933)=0),0,ROUND(N($H933)/(1+$Q933)*N(IFERROR(INDEX(单位档案!$L$6:$L$35,MATCH($E933,单位档案!$A$6:$A$35,0)),"")),2))</f>
        <v>0</v>
      </c>
      <c r="W933" s="36" t="n">
        <f aca="false">ROUND($S933+$T933+$U933+$V933,2)</f>
        <v>0</v>
      </c>
      <c r="X933" s="35" t="str">
        <f aca="false">IF(OR($D933="挂靠代收",$D933="我方收款"),COUNTIFS($D$5:$D933,"挂靠代收")+COUNTIFS($D$5:$D933,"我方收款"),"")</f>
        <v/>
      </c>
      <c r="Y933" s="35"/>
      <c r="Z933" s="21" t="s">
        <v>111</v>
      </c>
    </row>
    <row r="934" customFormat="false" ht="15.75" hidden="false" customHeight="true" outlineLevel="0" collapsed="false">
      <c r="A934" s="32" t="str">
        <f aca="false">IF($B934="","",ROW()-4)</f>
        <v/>
      </c>
      <c r="B934" s="26"/>
      <c r="C934" s="24"/>
      <c r="D934" s="21"/>
      <c r="E934" s="21"/>
      <c r="F934" s="21"/>
      <c r="G934" s="21"/>
      <c r="H934" s="27"/>
      <c r="I934" s="23" t="str">
        <f aca="false">IF($D934&lt;&gt;"销项开票","",IF($N934="一级",IF(IFERROR(INDEX(项目档案!$E$6:$E$255,MATCH($C934,项目档案!$A$6:$A$255,0)),"")="",N(IFERROR(INDEX(单位档案!$D$6:$D$35,MATCH($E934,单位档案!$A$6:$A$35,0)),"")),IFERROR(INDEX(项目档案!$E$6:$E$255,MATCH($C934,项目档案!$A$6:$A$255,0)),"")),IF($N934="二级",IF(IFERROR(INDEX(项目档案!$G$6:$G$255,MATCH($C934,项目档案!$A$6:$A$255,0)),"")="",N(IFERROR(INDEX(单位档案!$D$6:$D$35,MATCH($E934,单位档案!$A$6:$A$35,0)),"")),IFERROR(INDEX(项目档案!$G$6:$G$255,MATCH($C934,项目档案!$A$6:$A$255,0)),"")),N(IFERROR(INDEX(单位档案!$D$6:$D$35,MATCH($E934,单位档案!$A$6:$A$35,0)),"")))))</f>
        <v/>
      </c>
      <c r="J934" s="22"/>
      <c r="K934" s="22"/>
      <c r="L934" s="33" t="str">
        <f aca="false">IF($B934="","",IF(NOT(ISNUMBER($B934)),"日期格式不对",IF($C934="","未选项目编号",IF(LEFT($M934,1)="⚠","项目编号不存在",IF($D934="","未选业务类型",IF($E934="","未选开票/付款方",IF(ISNA(MATCH($E934,单位档案!$A$6:$A$35,0)),"开票方不在单位档案",IF($F934="","未选收票/收款方",IF(ISNA(MATCH($F934,单位档案!$A$6:$A$35,0)),"收款方不在单位档案",IF(NOT(ISNUMBER($H934)),"金额须为数字",IF(AND($D934="销项开票",$N934="—"),"链条待确认","√")))))))))))</f>
        <v/>
      </c>
      <c r="M934" s="34" t="str">
        <f aca="false">IF($C934="","",IFERROR(INDEX(项目档案!$B$6:$B$255,MATCH($C934,项目档案!$A$6:$A$255,0)),"⚠项目编号不存在"))</f>
        <v/>
      </c>
      <c r="N934" s="35" t="str">
        <f aca="false">IF($E934="","",IF($E934=IFERROR(INDEX(项目档案!$D$6:$D$255,MATCH($C934,项目档案!$A$6:$A$255,0)),""),"一级",IF($E934=IFERROR(INDEX(项目档案!$F$6:$F$255,MATCH($C934,项目档案!$A$6:$A$255,0)),""),"二级",IF($E934=IFERROR(INDEX(项目档案!$H$6:$H$255,MATCH($C934,项目档案!$A$6:$A$255,0)),""),"我方","—"))))</f>
        <v/>
      </c>
      <c r="O934" s="36" t="n">
        <f aca="false">IF($D934&lt;&gt;"销项开票",0,ROUND(N($H934)*N($I934),2))</f>
        <v>0</v>
      </c>
      <c r="P934" s="36" t="n">
        <f aca="false">IF($D934&lt;&gt;"销项开票",0,ROUND(N($H934)-$O934,2))</f>
        <v>0</v>
      </c>
      <c r="Q934" s="37" t="str">
        <f aca="false">IF($E934="","",N(IFERROR(INDEX(单位档案!$E$6:$E$35,MATCH($E934,单位档案!$A$6:$A$35,0)),"")))</f>
        <v/>
      </c>
      <c r="R934" s="37" t="str">
        <f aca="false">IF($E934="","",N(IFERROR(INDEX(单位档案!$F$6:$F$35,MATCH($E934,单位档案!$A$6:$A$35,0)),"")))</f>
        <v/>
      </c>
      <c r="S934" s="36" t="n">
        <f aca="false">IF(OR($D934&lt;&gt;"销项开票",IFERROR(INDEX(单位档案!$G$6:$G$35,MATCH($E934,单位档案!$A$6:$A$35,0)),"")&lt;&gt;"是",N($Q934)=0),0,IF(IFERROR(INDEX(单位档案!$H$6:$H$35,MATCH($E934,单位档案!$A$6:$A$35,0)),"")="税差法",ROUND(N($H934)/(1+$Q934)*$Q934-IF(N($R934)=0,0,$P934/(1+$R934)*$R934),2),ROUND(N($H934)/(1+$Q934)*$Q934,2)))</f>
        <v>0</v>
      </c>
      <c r="T934" s="36" t="n">
        <f aca="false">ROUND($S934*N(IFERROR(INDEX(单位档案!$J$6:$J$35,MATCH($E934,单位档案!$A$6:$A$35,0)),"")),2)</f>
        <v>0</v>
      </c>
      <c r="U934" s="36" t="n">
        <f aca="false">IF($D934&lt;&gt;"销项开票",0,ROUND(N($H934)*N(IFERROR(INDEX(单位档案!$K$6:$K$35,MATCH($E934,单位档案!$A$6:$A$35,0)),"")),2))</f>
        <v>0</v>
      </c>
      <c r="V934" s="36" t="n">
        <f aca="false">IF(OR($D934&lt;&gt;"销项开票",N($Q934)=0),0,ROUND(N($H934)/(1+$Q934)*N(IFERROR(INDEX(单位档案!$L$6:$L$35,MATCH($E934,单位档案!$A$6:$A$35,0)),"")),2))</f>
        <v>0</v>
      </c>
      <c r="W934" s="36" t="n">
        <f aca="false">ROUND($S934+$T934+$U934+$V934,2)</f>
        <v>0</v>
      </c>
      <c r="X934" s="35" t="str">
        <f aca="false">IF(OR($D934="挂靠代收",$D934="我方收款"),COUNTIFS($D$5:$D934,"挂靠代收")+COUNTIFS($D$5:$D934,"我方收款"),"")</f>
        <v/>
      </c>
      <c r="Y934" s="35"/>
      <c r="Z934" s="21" t="s">
        <v>111</v>
      </c>
    </row>
    <row r="935" customFormat="false" ht="15.75" hidden="false" customHeight="true" outlineLevel="0" collapsed="false">
      <c r="A935" s="32" t="str">
        <f aca="false">IF($B935="","",ROW()-4)</f>
        <v/>
      </c>
      <c r="B935" s="26"/>
      <c r="C935" s="24"/>
      <c r="D935" s="21"/>
      <c r="E935" s="21"/>
      <c r="F935" s="21"/>
      <c r="G935" s="21"/>
      <c r="H935" s="27"/>
      <c r="I935" s="23" t="str">
        <f aca="false">IF($D935&lt;&gt;"销项开票","",IF($N935="一级",IF(IFERROR(INDEX(项目档案!$E$6:$E$255,MATCH($C935,项目档案!$A$6:$A$255,0)),"")="",N(IFERROR(INDEX(单位档案!$D$6:$D$35,MATCH($E935,单位档案!$A$6:$A$35,0)),"")),IFERROR(INDEX(项目档案!$E$6:$E$255,MATCH($C935,项目档案!$A$6:$A$255,0)),"")),IF($N935="二级",IF(IFERROR(INDEX(项目档案!$G$6:$G$255,MATCH($C935,项目档案!$A$6:$A$255,0)),"")="",N(IFERROR(INDEX(单位档案!$D$6:$D$35,MATCH($E935,单位档案!$A$6:$A$35,0)),"")),IFERROR(INDEX(项目档案!$G$6:$G$255,MATCH($C935,项目档案!$A$6:$A$255,0)),"")),N(IFERROR(INDEX(单位档案!$D$6:$D$35,MATCH($E935,单位档案!$A$6:$A$35,0)),"")))))</f>
        <v/>
      </c>
      <c r="J935" s="22"/>
      <c r="K935" s="22"/>
      <c r="L935" s="33" t="str">
        <f aca="false">IF($B935="","",IF(NOT(ISNUMBER($B935)),"日期格式不对",IF($C935="","未选项目编号",IF(LEFT($M935,1)="⚠","项目编号不存在",IF($D935="","未选业务类型",IF($E935="","未选开票/付款方",IF(ISNA(MATCH($E935,单位档案!$A$6:$A$35,0)),"开票方不在单位档案",IF($F935="","未选收票/收款方",IF(ISNA(MATCH($F935,单位档案!$A$6:$A$35,0)),"收款方不在单位档案",IF(NOT(ISNUMBER($H935)),"金额须为数字",IF(AND($D935="销项开票",$N935="—"),"链条待确认","√")))))))))))</f>
        <v/>
      </c>
      <c r="M935" s="34" t="str">
        <f aca="false">IF($C935="","",IFERROR(INDEX(项目档案!$B$6:$B$255,MATCH($C935,项目档案!$A$6:$A$255,0)),"⚠项目编号不存在"))</f>
        <v/>
      </c>
      <c r="N935" s="35" t="str">
        <f aca="false">IF($E935="","",IF($E935=IFERROR(INDEX(项目档案!$D$6:$D$255,MATCH($C935,项目档案!$A$6:$A$255,0)),""),"一级",IF($E935=IFERROR(INDEX(项目档案!$F$6:$F$255,MATCH($C935,项目档案!$A$6:$A$255,0)),""),"二级",IF($E935=IFERROR(INDEX(项目档案!$H$6:$H$255,MATCH($C935,项目档案!$A$6:$A$255,0)),""),"我方","—"))))</f>
        <v/>
      </c>
      <c r="O935" s="36" t="n">
        <f aca="false">IF($D935&lt;&gt;"销项开票",0,ROUND(N($H935)*N($I935),2))</f>
        <v>0</v>
      </c>
      <c r="P935" s="36" t="n">
        <f aca="false">IF($D935&lt;&gt;"销项开票",0,ROUND(N($H935)-$O935,2))</f>
        <v>0</v>
      </c>
      <c r="Q935" s="37" t="str">
        <f aca="false">IF($E935="","",N(IFERROR(INDEX(单位档案!$E$6:$E$35,MATCH($E935,单位档案!$A$6:$A$35,0)),"")))</f>
        <v/>
      </c>
      <c r="R935" s="37" t="str">
        <f aca="false">IF($E935="","",N(IFERROR(INDEX(单位档案!$F$6:$F$35,MATCH($E935,单位档案!$A$6:$A$35,0)),"")))</f>
        <v/>
      </c>
      <c r="S935" s="36" t="n">
        <f aca="false">IF(OR($D935&lt;&gt;"销项开票",IFERROR(INDEX(单位档案!$G$6:$G$35,MATCH($E935,单位档案!$A$6:$A$35,0)),"")&lt;&gt;"是",N($Q935)=0),0,IF(IFERROR(INDEX(单位档案!$H$6:$H$35,MATCH($E935,单位档案!$A$6:$A$35,0)),"")="税差法",ROUND(N($H935)/(1+$Q935)*$Q935-IF(N($R935)=0,0,$P935/(1+$R935)*$R935),2),ROUND(N($H935)/(1+$Q935)*$Q935,2)))</f>
        <v>0</v>
      </c>
      <c r="T935" s="36" t="n">
        <f aca="false">ROUND($S935*N(IFERROR(INDEX(单位档案!$J$6:$J$35,MATCH($E935,单位档案!$A$6:$A$35,0)),"")),2)</f>
        <v>0</v>
      </c>
      <c r="U935" s="36" t="n">
        <f aca="false">IF($D935&lt;&gt;"销项开票",0,ROUND(N($H935)*N(IFERROR(INDEX(单位档案!$K$6:$K$35,MATCH($E935,单位档案!$A$6:$A$35,0)),"")),2))</f>
        <v>0</v>
      </c>
      <c r="V935" s="36" t="n">
        <f aca="false">IF(OR($D935&lt;&gt;"销项开票",N($Q935)=0),0,ROUND(N($H935)/(1+$Q935)*N(IFERROR(INDEX(单位档案!$L$6:$L$35,MATCH($E935,单位档案!$A$6:$A$35,0)),"")),2))</f>
        <v>0</v>
      </c>
      <c r="W935" s="36" t="n">
        <f aca="false">ROUND($S935+$T935+$U935+$V935,2)</f>
        <v>0</v>
      </c>
      <c r="X935" s="35" t="str">
        <f aca="false">IF(OR($D935="挂靠代收",$D935="我方收款"),COUNTIFS($D$5:$D935,"挂靠代收")+COUNTIFS($D$5:$D935,"我方收款"),"")</f>
        <v/>
      </c>
      <c r="Y935" s="35"/>
      <c r="Z935" s="21" t="s">
        <v>111</v>
      </c>
    </row>
    <row r="936" customFormat="false" ht="15.75" hidden="false" customHeight="true" outlineLevel="0" collapsed="false">
      <c r="A936" s="32" t="str">
        <f aca="false">IF($B936="","",ROW()-4)</f>
        <v/>
      </c>
      <c r="B936" s="26"/>
      <c r="C936" s="24"/>
      <c r="D936" s="21"/>
      <c r="E936" s="21"/>
      <c r="F936" s="21"/>
      <c r="G936" s="21"/>
      <c r="H936" s="27"/>
      <c r="I936" s="23" t="str">
        <f aca="false">IF($D936&lt;&gt;"销项开票","",IF($N936="一级",IF(IFERROR(INDEX(项目档案!$E$6:$E$255,MATCH($C936,项目档案!$A$6:$A$255,0)),"")="",N(IFERROR(INDEX(单位档案!$D$6:$D$35,MATCH($E936,单位档案!$A$6:$A$35,0)),"")),IFERROR(INDEX(项目档案!$E$6:$E$255,MATCH($C936,项目档案!$A$6:$A$255,0)),"")),IF($N936="二级",IF(IFERROR(INDEX(项目档案!$G$6:$G$255,MATCH($C936,项目档案!$A$6:$A$255,0)),"")="",N(IFERROR(INDEX(单位档案!$D$6:$D$35,MATCH($E936,单位档案!$A$6:$A$35,0)),"")),IFERROR(INDEX(项目档案!$G$6:$G$255,MATCH($C936,项目档案!$A$6:$A$255,0)),"")),N(IFERROR(INDEX(单位档案!$D$6:$D$35,MATCH($E936,单位档案!$A$6:$A$35,0)),"")))))</f>
        <v/>
      </c>
      <c r="J936" s="22"/>
      <c r="K936" s="22"/>
      <c r="L936" s="33" t="str">
        <f aca="false">IF($B936="","",IF(NOT(ISNUMBER($B936)),"日期格式不对",IF($C936="","未选项目编号",IF(LEFT($M936,1)="⚠","项目编号不存在",IF($D936="","未选业务类型",IF($E936="","未选开票/付款方",IF(ISNA(MATCH($E936,单位档案!$A$6:$A$35,0)),"开票方不在单位档案",IF($F936="","未选收票/收款方",IF(ISNA(MATCH($F936,单位档案!$A$6:$A$35,0)),"收款方不在单位档案",IF(NOT(ISNUMBER($H936)),"金额须为数字",IF(AND($D936="销项开票",$N936="—"),"链条待确认","√")))))))))))</f>
        <v/>
      </c>
      <c r="M936" s="34" t="str">
        <f aca="false">IF($C936="","",IFERROR(INDEX(项目档案!$B$6:$B$255,MATCH($C936,项目档案!$A$6:$A$255,0)),"⚠项目编号不存在"))</f>
        <v/>
      </c>
      <c r="N936" s="35" t="str">
        <f aca="false">IF($E936="","",IF($E936=IFERROR(INDEX(项目档案!$D$6:$D$255,MATCH($C936,项目档案!$A$6:$A$255,0)),""),"一级",IF($E936=IFERROR(INDEX(项目档案!$F$6:$F$255,MATCH($C936,项目档案!$A$6:$A$255,0)),""),"二级",IF($E936=IFERROR(INDEX(项目档案!$H$6:$H$255,MATCH($C936,项目档案!$A$6:$A$255,0)),""),"我方","—"))))</f>
        <v/>
      </c>
      <c r="O936" s="36" t="n">
        <f aca="false">IF($D936&lt;&gt;"销项开票",0,ROUND(N($H936)*N($I936),2))</f>
        <v>0</v>
      </c>
      <c r="P936" s="36" t="n">
        <f aca="false">IF($D936&lt;&gt;"销项开票",0,ROUND(N($H936)-$O936,2))</f>
        <v>0</v>
      </c>
      <c r="Q936" s="37" t="str">
        <f aca="false">IF($E936="","",N(IFERROR(INDEX(单位档案!$E$6:$E$35,MATCH($E936,单位档案!$A$6:$A$35,0)),"")))</f>
        <v/>
      </c>
      <c r="R936" s="37" t="str">
        <f aca="false">IF($E936="","",N(IFERROR(INDEX(单位档案!$F$6:$F$35,MATCH($E936,单位档案!$A$6:$A$35,0)),"")))</f>
        <v/>
      </c>
      <c r="S936" s="36" t="n">
        <f aca="false">IF(OR($D936&lt;&gt;"销项开票",IFERROR(INDEX(单位档案!$G$6:$G$35,MATCH($E936,单位档案!$A$6:$A$35,0)),"")&lt;&gt;"是",N($Q936)=0),0,IF(IFERROR(INDEX(单位档案!$H$6:$H$35,MATCH($E936,单位档案!$A$6:$A$35,0)),"")="税差法",ROUND(N($H936)/(1+$Q936)*$Q936-IF(N($R936)=0,0,$P936/(1+$R936)*$R936),2),ROUND(N($H936)/(1+$Q936)*$Q936,2)))</f>
        <v>0</v>
      </c>
      <c r="T936" s="36" t="n">
        <f aca="false">ROUND($S936*N(IFERROR(INDEX(单位档案!$J$6:$J$35,MATCH($E936,单位档案!$A$6:$A$35,0)),"")),2)</f>
        <v>0</v>
      </c>
      <c r="U936" s="36" t="n">
        <f aca="false">IF($D936&lt;&gt;"销项开票",0,ROUND(N($H936)*N(IFERROR(INDEX(单位档案!$K$6:$K$35,MATCH($E936,单位档案!$A$6:$A$35,0)),"")),2))</f>
        <v>0</v>
      </c>
      <c r="V936" s="36" t="n">
        <f aca="false">IF(OR($D936&lt;&gt;"销项开票",N($Q936)=0),0,ROUND(N($H936)/(1+$Q936)*N(IFERROR(INDEX(单位档案!$L$6:$L$35,MATCH($E936,单位档案!$A$6:$A$35,0)),"")),2))</f>
        <v>0</v>
      </c>
      <c r="W936" s="36" t="n">
        <f aca="false">ROUND($S936+$T936+$U936+$V936,2)</f>
        <v>0</v>
      </c>
      <c r="X936" s="35" t="str">
        <f aca="false">IF(OR($D936="挂靠代收",$D936="我方收款"),COUNTIFS($D$5:$D936,"挂靠代收")+COUNTIFS($D$5:$D936,"我方收款"),"")</f>
        <v/>
      </c>
      <c r="Y936" s="35"/>
      <c r="Z936" s="21" t="s">
        <v>111</v>
      </c>
    </row>
    <row r="937" customFormat="false" ht="15.75" hidden="false" customHeight="true" outlineLevel="0" collapsed="false">
      <c r="A937" s="32" t="str">
        <f aca="false">IF($B937="","",ROW()-4)</f>
        <v/>
      </c>
      <c r="B937" s="26"/>
      <c r="C937" s="24"/>
      <c r="D937" s="21"/>
      <c r="E937" s="21"/>
      <c r="F937" s="21"/>
      <c r="G937" s="21"/>
      <c r="H937" s="27"/>
      <c r="I937" s="23" t="str">
        <f aca="false">IF($D937&lt;&gt;"销项开票","",IF($N937="一级",IF(IFERROR(INDEX(项目档案!$E$6:$E$255,MATCH($C937,项目档案!$A$6:$A$255,0)),"")="",N(IFERROR(INDEX(单位档案!$D$6:$D$35,MATCH($E937,单位档案!$A$6:$A$35,0)),"")),IFERROR(INDEX(项目档案!$E$6:$E$255,MATCH($C937,项目档案!$A$6:$A$255,0)),"")),IF($N937="二级",IF(IFERROR(INDEX(项目档案!$G$6:$G$255,MATCH($C937,项目档案!$A$6:$A$255,0)),"")="",N(IFERROR(INDEX(单位档案!$D$6:$D$35,MATCH($E937,单位档案!$A$6:$A$35,0)),"")),IFERROR(INDEX(项目档案!$G$6:$G$255,MATCH($C937,项目档案!$A$6:$A$255,0)),"")),N(IFERROR(INDEX(单位档案!$D$6:$D$35,MATCH($E937,单位档案!$A$6:$A$35,0)),"")))))</f>
        <v/>
      </c>
      <c r="J937" s="22"/>
      <c r="K937" s="22"/>
      <c r="L937" s="33" t="str">
        <f aca="false">IF($B937="","",IF(NOT(ISNUMBER($B937)),"日期格式不对",IF($C937="","未选项目编号",IF(LEFT($M937,1)="⚠","项目编号不存在",IF($D937="","未选业务类型",IF($E937="","未选开票/付款方",IF(ISNA(MATCH($E937,单位档案!$A$6:$A$35,0)),"开票方不在单位档案",IF($F937="","未选收票/收款方",IF(ISNA(MATCH($F937,单位档案!$A$6:$A$35,0)),"收款方不在单位档案",IF(NOT(ISNUMBER($H937)),"金额须为数字",IF(AND($D937="销项开票",$N937="—"),"链条待确认","√")))))))))))</f>
        <v/>
      </c>
      <c r="M937" s="34" t="str">
        <f aca="false">IF($C937="","",IFERROR(INDEX(项目档案!$B$6:$B$255,MATCH($C937,项目档案!$A$6:$A$255,0)),"⚠项目编号不存在"))</f>
        <v/>
      </c>
      <c r="N937" s="35" t="str">
        <f aca="false">IF($E937="","",IF($E937=IFERROR(INDEX(项目档案!$D$6:$D$255,MATCH($C937,项目档案!$A$6:$A$255,0)),""),"一级",IF($E937=IFERROR(INDEX(项目档案!$F$6:$F$255,MATCH($C937,项目档案!$A$6:$A$255,0)),""),"二级",IF($E937=IFERROR(INDEX(项目档案!$H$6:$H$255,MATCH($C937,项目档案!$A$6:$A$255,0)),""),"我方","—"))))</f>
        <v/>
      </c>
      <c r="O937" s="36" t="n">
        <f aca="false">IF($D937&lt;&gt;"销项开票",0,ROUND(N($H937)*N($I937),2))</f>
        <v>0</v>
      </c>
      <c r="P937" s="36" t="n">
        <f aca="false">IF($D937&lt;&gt;"销项开票",0,ROUND(N($H937)-$O937,2))</f>
        <v>0</v>
      </c>
      <c r="Q937" s="37" t="str">
        <f aca="false">IF($E937="","",N(IFERROR(INDEX(单位档案!$E$6:$E$35,MATCH($E937,单位档案!$A$6:$A$35,0)),"")))</f>
        <v/>
      </c>
      <c r="R937" s="37" t="str">
        <f aca="false">IF($E937="","",N(IFERROR(INDEX(单位档案!$F$6:$F$35,MATCH($E937,单位档案!$A$6:$A$35,0)),"")))</f>
        <v/>
      </c>
      <c r="S937" s="36" t="n">
        <f aca="false">IF(OR($D937&lt;&gt;"销项开票",IFERROR(INDEX(单位档案!$G$6:$G$35,MATCH($E937,单位档案!$A$6:$A$35,0)),"")&lt;&gt;"是",N($Q937)=0),0,IF(IFERROR(INDEX(单位档案!$H$6:$H$35,MATCH($E937,单位档案!$A$6:$A$35,0)),"")="税差法",ROUND(N($H937)/(1+$Q937)*$Q937-IF(N($R937)=0,0,$P937/(1+$R937)*$R937),2),ROUND(N($H937)/(1+$Q937)*$Q937,2)))</f>
        <v>0</v>
      </c>
      <c r="T937" s="36" t="n">
        <f aca="false">ROUND($S937*N(IFERROR(INDEX(单位档案!$J$6:$J$35,MATCH($E937,单位档案!$A$6:$A$35,0)),"")),2)</f>
        <v>0</v>
      </c>
      <c r="U937" s="36" t="n">
        <f aca="false">IF($D937&lt;&gt;"销项开票",0,ROUND(N($H937)*N(IFERROR(INDEX(单位档案!$K$6:$K$35,MATCH($E937,单位档案!$A$6:$A$35,0)),"")),2))</f>
        <v>0</v>
      </c>
      <c r="V937" s="36" t="n">
        <f aca="false">IF(OR($D937&lt;&gt;"销项开票",N($Q937)=0),0,ROUND(N($H937)/(1+$Q937)*N(IFERROR(INDEX(单位档案!$L$6:$L$35,MATCH($E937,单位档案!$A$6:$A$35,0)),"")),2))</f>
        <v>0</v>
      </c>
      <c r="W937" s="36" t="n">
        <f aca="false">ROUND($S937+$T937+$U937+$V937,2)</f>
        <v>0</v>
      </c>
      <c r="X937" s="35" t="str">
        <f aca="false">IF(OR($D937="挂靠代收",$D937="我方收款"),COUNTIFS($D$5:$D937,"挂靠代收")+COUNTIFS($D$5:$D937,"我方收款"),"")</f>
        <v/>
      </c>
      <c r="Y937" s="35"/>
      <c r="Z937" s="21" t="s">
        <v>111</v>
      </c>
    </row>
    <row r="938" customFormat="false" ht="15.75" hidden="false" customHeight="true" outlineLevel="0" collapsed="false">
      <c r="A938" s="32" t="str">
        <f aca="false">IF($B938="","",ROW()-4)</f>
        <v/>
      </c>
      <c r="B938" s="26"/>
      <c r="C938" s="24"/>
      <c r="D938" s="21"/>
      <c r="E938" s="21"/>
      <c r="F938" s="21"/>
      <c r="G938" s="21"/>
      <c r="H938" s="27"/>
      <c r="I938" s="23" t="str">
        <f aca="false">IF($D938&lt;&gt;"销项开票","",IF($N938="一级",IF(IFERROR(INDEX(项目档案!$E$6:$E$255,MATCH($C938,项目档案!$A$6:$A$255,0)),"")="",N(IFERROR(INDEX(单位档案!$D$6:$D$35,MATCH($E938,单位档案!$A$6:$A$35,0)),"")),IFERROR(INDEX(项目档案!$E$6:$E$255,MATCH($C938,项目档案!$A$6:$A$255,0)),"")),IF($N938="二级",IF(IFERROR(INDEX(项目档案!$G$6:$G$255,MATCH($C938,项目档案!$A$6:$A$255,0)),"")="",N(IFERROR(INDEX(单位档案!$D$6:$D$35,MATCH($E938,单位档案!$A$6:$A$35,0)),"")),IFERROR(INDEX(项目档案!$G$6:$G$255,MATCH($C938,项目档案!$A$6:$A$255,0)),"")),N(IFERROR(INDEX(单位档案!$D$6:$D$35,MATCH($E938,单位档案!$A$6:$A$35,0)),"")))))</f>
        <v/>
      </c>
      <c r="J938" s="22"/>
      <c r="K938" s="22"/>
      <c r="L938" s="33" t="str">
        <f aca="false">IF($B938="","",IF(NOT(ISNUMBER($B938)),"日期格式不对",IF($C938="","未选项目编号",IF(LEFT($M938,1)="⚠","项目编号不存在",IF($D938="","未选业务类型",IF($E938="","未选开票/付款方",IF(ISNA(MATCH($E938,单位档案!$A$6:$A$35,0)),"开票方不在单位档案",IF($F938="","未选收票/收款方",IF(ISNA(MATCH($F938,单位档案!$A$6:$A$35,0)),"收款方不在单位档案",IF(NOT(ISNUMBER($H938)),"金额须为数字",IF(AND($D938="销项开票",$N938="—"),"链条待确认","√")))))))))))</f>
        <v/>
      </c>
      <c r="M938" s="34" t="str">
        <f aca="false">IF($C938="","",IFERROR(INDEX(项目档案!$B$6:$B$255,MATCH($C938,项目档案!$A$6:$A$255,0)),"⚠项目编号不存在"))</f>
        <v/>
      </c>
      <c r="N938" s="35" t="str">
        <f aca="false">IF($E938="","",IF($E938=IFERROR(INDEX(项目档案!$D$6:$D$255,MATCH($C938,项目档案!$A$6:$A$255,0)),""),"一级",IF($E938=IFERROR(INDEX(项目档案!$F$6:$F$255,MATCH($C938,项目档案!$A$6:$A$255,0)),""),"二级",IF($E938=IFERROR(INDEX(项目档案!$H$6:$H$255,MATCH($C938,项目档案!$A$6:$A$255,0)),""),"我方","—"))))</f>
        <v/>
      </c>
      <c r="O938" s="36" t="n">
        <f aca="false">IF($D938&lt;&gt;"销项开票",0,ROUND(N($H938)*N($I938),2))</f>
        <v>0</v>
      </c>
      <c r="P938" s="36" t="n">
        <f aca="false">IF($D938&lt;&gt;"销项开票",0,ROUND(N($H938)-$O938,2))</f>
        <v>0</v>
      </c>
      <c r="Q938" s="37" t="str">
        <f aca="false">IF($E938="","",N(IFERROR(INDEX(单位档案!$E$6:$E$35,MATCH($E938,单位档案!$A$6:$A$35,0)),"")))</f>
        <v/>
      </c>
      <c r="R938" s="37" t="str">
        <f aca="false">IF($E938="","",N(IFERROR(INDEX(单位档案!$F$6:$F$35,MATCH($E938,单位档案!$A$6:$A$35,0)),"")))</f>
        <v/>
      </c>
      <c r="S938" s="36" t="n">
        <f aca="false">IF(OR($D938&lt;&gt;"销项开票",IFERROR(INDEX(单位档案!$G$6:$G$35,MATCH($E938,单位档案!$A$6:$A$35,0)),"")&lt;&gt;"是",N($Q938)=0),0,IF(IFERROR(INDEX(单位档案!$H$6:$H$35,MATCH($E938,单位档案!$A$6:$A$35,0)),"")="税差法",ROUND(N($H938)/(1+$Q938)*$Q938-IF(N($R938)=0,0,$P938/(1+$R938)*$R938),2),ROUND(N($H938)/(1+$Q938)*$Q938,2)))</f>
        <v>0</v>
      </c>
      <c r="T938" s="36" t="n">
        <f aca="false">ROUND($S938*N(IFERROR(INDEX(单位档案!$J$6:$J$35,MATCH($E938,单位档案!$A$6:$A$35,0)),"")),2)</f>
        <v>0</v>
      </c>
      <c r="U938" s="36" t="n">
        <f aca="false">IF($D938&lt;&gt;"销项开票",0,ROUND(N($H938)*N(IFERROR(INDEX(单位档案!$K$6:$K$35,MATCH($E938,单位档案!$A$6:$A$35,0)),"")),2))</f>
        <v>0</v>
      </c>
      <c r="V938" s="36" t="n">
        <f aca="false">IF(OR($D938&lt;&gt;"销项开票",N($Q938)=0),0,ROUND(N($H938)/(1+$Q938)*N(IFERROR(INDEX(单位档案!$L$6:$L$35,MATCH($E938,单位档案!$A$6:$A$35,0)),"")),2))</f>
        <v>0</v>
      </c>
      <c r="W938" s="36" t="n">
        <f aca="false">ROUND($S938+$T938+$U938+$V938,2)</f>
        <v>0</v>
      </c>
      <c r="X938" s="35" t="str">
        <f aca="false">IF(OR($D938="挂靠代收",$D938="我方收款"),COUNTIFS($D$5:$D938,"挂靠代收")+COUNTIFS($D$5:$D938,"我方收款"),"")</f>
        <v/>
      </c>
      <c r="Y938" s="35"/>
      <c r="Z938" s="21" t="s">
        <v>111</v>
      </c>
    </row>
    <row r="939" customFormat="false" ht="15.75" hidden="false" customHeight="true" outlineLevel="0" collapsed="false">
      <c r="A939" s="32" t="str">
        <f aca="false">IF($B939="","",ROW()-4)</f>
        <v/>
      </c>
      <c r="B939" s="26"/>
      <c r="C939" s="24"/>
      <c r="D939" s="21"/>
      <c r="E939" s="21"/>
      <c r="F939" s="21"/>
      <c r="G939" s="21"/>
      <c r="H939" s="27"/>
      <c r="I939" s="23" t="str">
        <f aca="false">IF($D939&lt;&gt;"销项开票","",IF($N939="一级",IF(IFERROR(INDEX(项目档案!$E$6:$E$255,MATCH($C939,项目档案!$A$6:$A$255,0)),"")="",N(IFERROR(INDEX(单位档案!$D$6:$D$35,MATCH($E939,单位档案!$A$6:$A$35,0)),"")),IFERROR(INDEX(项目档案!$E$6:$E$255,MATCH($C939,项目档案!$A$6:$A$255,0)),"")),IF($N939="二级",IF(IFERROR(INDEX(项目档案!$G$6:$G$255,MATCH($C939,项目档案!$A$6:$A$255,0)),"")="",N(IFERROR(INDEX(单位档案!$D$6:$D$35,MATCH($E939,单位档案!$A$6:$A$35,0)),"")),IFERROR(INDEX(项目档案!$G$6:$G$255,MATCH($C939,项目档案!$A$6:$A$255,0)),"")),N(IFERROR(INDEX(单位档案!$D$6:$D$35,MATCH($E939,单位档案!$A$6:$A$35,0)),"")))))</f>
        <v/>
      </c>
      <c r="J939" s="22"/>
      <c r="K939" s="22"/>
      <c r="L939" s="33" t="str">
        <f aca="false">IF($B939="","",IF(NOT(ISNUMBER($B939)),"日期格式不对",IF($C939="","未选项目编号",IF(LEFT($M939,1)="⚠","项目编号不存在",IF($D939="","未选业务类型",IF($E939="","未选开票/付款方",IF(ISNA(MATCH($E939,单位档案!$A$6:$A$35,0)),"开票方不在单位档案",IF($F939="","未选收票/收款方",IF(ISNA(MATCH($F939,单位档案!$A$6:$A$35,0)),"收款方不在单位档案",IF(NOT(ISNUMBER($H939)),"金额须为数字",IF(AND($D939="销项开票",$N939="—"),"链条待确认","√")))))))))))</f>
        <v/>
      </c>
      <c r="M939" s="34" t="str">
        <f aca="false">IF($C939="","",IFERROR(INDEX(项目档案!$B$6:$B$255,MATCH($C939,项目档案!$A$6:$A$255,0)),"⚠项目编号不存在"))</f>
        <v/>
      </c>
      <c r="N939" s="35" t="str">
        <f aca="false">IF($E939="","",IF($E939=IFERROR(INDEX(项目档案!$D$6:$D$255,MATCH($C939,项目档案!$A$6:$A$255,0)),""),"一级",IF($E939=IFERROR(INDEX(项目档案!$F$6:$F$255,MATCH($C939,项目档案!$A$6:$A$255,0)),""),"二级",IF($E939=IFERROR(INDEX(项目档案!$H$6:$H$255,MATCH($C939,项目档案!$A$6:$A$255,0)),""),"我方","—"))))</f>
        <v/>
      </c>
      <c r="O939" s="36" t="n">
        <f aca="false">IF($D939&lt;&gt;"销项开票",0,ROUND(N($H939)*N($I939),2))</f>
        <v>0</v>
      </c>
      <c r="P939" s="36" t="n">
        <f aca="false">IF($D939&lt;&gt;"销项开票",0,ROUND(N($H939)-$O939,2))</f>
        <v>0</v>
      </c>
      <c r="Q939" s="37" t="str">
        <f aca="false">IF($E939="","",N(IFERROR(INDEX(单位档案!$E$6:$E$35,MATCH($E939,单位档案!$A$6:$A$35,0)),"")))</f>
        <v/>
      </c>
      <c r="R939" s="37" t="str">
        <f aca="false">IF($E939="","",N(IFERROR(INDEX(单位档案!$F$6:$F$35,MATCH($E939,单位档案!$A$6:$A$35,0)),"")))</f>
        <v/>
      </c>
      <c r="S939" s="36" t="n">
        <f aca="false">IF(OR($D939&lt;&gt;"销项开票",IFERROR(INDEX(单位档案!$G$6:$G$35,MATCH($E939,单位档案!$A$6:$A$35,0)),"")&lt;&gt;"是",N($Q939)=0),0,IF(IFERROR(INDEX(单位档案!$H$6:$H$35,MATCH($E939,单位档案!$A$6:$A$35,0)),"")="税差法",ROUND(N($H939)/(1+$Q939)*$Q939-IF(N($R939)=0,0,$P939/(1+$R939)*$R939),2),ROUND(N($H939)/(1+$Q939)*$Q939,2)))</f>
        <v>0</v>
      </c>
      <c r="T939" s="36" t="n">
        <f aca="false">ROUND($S939*N(IFERROR(INDEX(单位档案!$J$6:$J$35,MATCH($E939,单位档案!$A$6:$A$35,0)),"")),2)</f>
        <v>0</v>
      </c>
      <c r="U939" s="36" t="n">
        <f aca="false">IF($D939&lt;&gt;"销项开票",0,ROUND(N($H939)*N(IFERROR(INDEX(单位档案!$K$6:$K$35,MATCH($E939,单位档案!$A$6:$A$35,0)),"")),2))</f>
        <v>0</v>
      </c>
      <c r="V939" s="36" t="n">
        <f aca="false">IF(OR($D939&lt;&gt;"销项开票",N($Q939)=0),0,ROUND(N($H939)/(1+$Q939)*N(IFERROR(INDEX(单位档案!$L$6:$L$35,MATCH($E939,单位档案!$A$6:$A$35,0)),"")),2))</f>
        <v>0</v>
      </c>
      <c r="W939" s="36" t="n">
        <f aca="false">ROUND($S939+$T939+$U939+$V939,2)</f>
        <v>0</v>
      </c>
      <c r="X939" s="35" t="str">
        <f aca="false">IF(OR($D939="挂靠代收",$D939="我方收款"),COUNTIFS($D$5:$D939,"挂靠代收")+COUNTIFS($D$5:$D939,"我方收款"),"")</f>
        <v/>
      </c>
      <c r="Y939" s="35"/>
      <c r="Z939" s="21" t="s">
        <v>111</v>
      </c>
    </row>
    <row r="940" customFormat="false" ht="15.75" hidden="false" customHeight="true" outlineLevel="0" collapsed="false">
      <c r="A940" s="32" t="str">
        <f aca="false">IF($B940="","",ROW()-4)</f>
        <v/>
      </c>
      <c r="B940" s="26"/>
      <c r="C940" s="24"/>
      <c r="D940" s="21"/>
      <c r="E940" s="21"/>
      <c r="F940" s="21"/>
      <c r="G940" s="21"/>
      <c r="H940" s="27"/>
      <c r="I940" s="23" t="str">
        <f aca="false">IF($D940&lt;&gt;"销项开票","",IF($N940="一级",IF(IFERROR(INDEX(项目档案!$E$6:$E$255,MATCH($C940,项目档案!$A$6:$A$255,0)),"")="",N(IFERROR(INDEX(单位档案!$D$6:$D$35,MATCH($E940,单位档案!$A$6:$A$35,0)),"")),IFERROR(INDEX(项目档案!$E$6:$E$255,MATCH($C940,项目档案!$A$6:$A$255,0)),"")),IF($N940="二级",IF(IFERROR(INDEX(项目档案!$G$6:$G$255,MATCH($C940,项目档案!$A$6:$A$255,0)),"")="",N(IFERROR(INDEX(单位档案!$D$6:$D$35,MATCH($E940,单位档案!$A$6:$A$35,0)),"")),IFERROR(INDEX(项目档案!$G$6:$G$255,MATCH($C940,项目档案!$A$6:$A$255,0)),"")),N(IFERROR(INDEX(单位档案!$D$6:$D$35,MATCH($E940,单位档案!$A$6:$A$35,0)),"")))))</f>
        <v/>
      </c>
      <c r="J940" s="22"/>
      <c r="K940" s="22"/>
      <c r="L940" s="33" t="str">
        <f aca="false">IF($B940="","",IF(NOT(ISNUMBER($B940)),"日期格式不对",IF($C940="","未选项目编号",IF(LEFT($M940,1)="⚠","项目编号不存在",IF($D940="","未选业务类型",IF($E940="","未选开票/付款方",IF(ISNA(MATCH($E940,单位档案!$A$6:$A$35,0)),"开票方不在单位档案",IF($F940="","未选收票/收款方",IF(ISNA(MATCH($F940,单位档案!$A$6:$A$35,0)),"收款方不在单位档案",IF(NOT(ISNUMBER($H940)),"金额须为数字",IF(AND($D940="销项开票",$N940="—"),"链条待确认","√")))))))))))</f>
        <v/>
      </c>
      <c r="M940" s="34" t="str">
        <f aca="false">IF($C940="","",IFERROR(INDEX(项目档案!$B$6:$B$255,MATCH($C940,项目档案!$A$6:$A$255,0)),"⚠项目编号不存在"))</f>
        <v/>
      </c>
      <c r="N940" s="35" t="str">
        <f aca="false">IF($E940="","",IF($E940=IFERROR(INDEX(项目档案!$D$6:$D$255,MATCH($C940,项目档案!$A$6:$A$255,0)),""),"一级",IF($E940=IFERROR(INDEX(项目档案!$F$6:$F$255,MATCH($C940,项目档案!$A$6:$A$255,0)),""),"二级",IF($E940=IFERROR(INDEX(项目档案!$H$6:$H$255,MATCH($C940,项目档案!$A$6:$A$255,0)),""),"我方","—"))))</f>
        <v/>
      </c>
      <c r="O940" s="36" t="n">
        <f aca="false">IF($D940&lt;&gt;"销项开票",0,ROUND(N($H940)*N($I940),2))</f>
        <v>0</v>
      </c>
      <c r="P940" s="36" t="n">
        <f aca="false">IF($D940&lt;&gt;"销项开票",0,ROUND(N($H940)-$O940,2))</f>
        <v>0</v>
      </c>
      <c r="Q940" s="37" t="str">
        <f aca="false">IF($E940="","",N(IFERROR(INDEX(单位档案!$E$6:$E$35,MATCH($E940,单位档案!$A$6:$A$35,0)),"")))</f>
        <v/>
      </c>
      <c r="R940" s="37" t="str">
        <f aca="false">IF($E940="","",N(IFERROR(INDEX(单位档案!$F$6:$F$35,MATCH($E940,单位档案!$A$6:$A$35,0)),"")))</f>
        <v/>
      </c>
      <c r="S940" s="36" t="n">
        <f aca="false">IF(OR($D940&lt;&gt;"销项开票",IFERROR(INDEX(单位档案!$G$6:$G$35,MATCH($E940,单位档案!$A$6:$A$35,0)),"")&lt;&gt;"是",N($Q940)=0),0,IF(IFERROR(INDEX(单位档案!$H$6:$H$35,MATCH($E940,单位档案!$A$6:$A$35,0)),"")="税差法",ROUND(N($H940)/(1+$Q940)*$Q940-IF(N($R940)=0,0,$P940/(1+$R940)*$R940),2),ROUND(N($H940)/(1+$Q940)*$Q940,2)))</f>
        <v>0</v>
      </c>
      <c r="T940" s="36" t="n">
        <f aca="false">ROUND($S940*N(IFERROR(INDEX(单位档案!$J$6:$J$35,MATCH($E940,单位档案!$A$6:$A$35,0)),"")),2)</f>
        <v>0</v>
      </c>
      <c r="U940" s="36" t="n">
        <f aca="false">IF($D940&lt;&gt;"销项开票",0,ROUND(N($H940)*N(IFERROR(INDEX(单位档案!$K$6:$K$35,MATCH($E940,单位档案!$A$6:$A$35,0)),"")),2))</f>
        <v>0</v>
      </c>
      <c r="V940" s="36" t="n">
        <f aca="false">IF(OR($D940&lt;&gt;"销项开票",N($Q940)=0),0,ROUND(N($H940)/(1+$Q940)*N(IFERROR(INDEX(单位档案!$L$6:$L$35,MATCH($E940,单位档案!$A$6:$A$35,0)),"")),2))</f>
        <v>0</v>
      </c>
      <c r="W940" s="36" t="n">
        <f aca="false">ROUND($S940+$T940+$U940+$V940,2)</f>
        <v>0</v>
      </c>
      <c r="X940" s="35" t="str">
        <f aca="false">IF(OR($D940="挂靠代收",$D940="我方收款"),COUNTIFS($D$5:$D940,"挂靠代收")+COUNTIFS($D$5:$D940,"我方收款"),"")</f>
        <v/>
      </c>
      <c r="Y940" s="35"/>
      <c r="Z940" s="21" t="s">
        <v>111</v>
      </c>
    </row>
    <row r="941" customFormat="false" ht="15.75" hidden="false" customHeight="true" outlineLevel="0" collapsed="false">
      <c r="A941" s="32" t="str">
        <f aca="false">IF($B941="","",ROW()-4)</f>
        <v/>
      </c>
      <c r="B941" s="26"/>
      <c r="C941" s="24"/>
      <c r="D941" s="21"/>
      <c r="E941" s="21"/>
      <c r="F941" s="21"/>
      <c r="G941" s="21"/>
      <c r="H941" s="27"/>
      <c r="I941" s="23" t="str">
        <f aca="false">IF($D941&lt;&gt;"销项开票","",IF($N941="一级",IF(IFERROR(INDEX(项目档案!$E$6:$E$255,MATCH($C941,项目档案!$A$6:$A$255,0)),"")="",N(IFERROR(INDEX(单位档案!$D$6:$D$35,MATCH($E941,单位档案!$A$6:$A$35,0)),"")),IFERROR(INDEX(项目档案!$E$6:$E$255,MATCH($C941,项目档案!$A$6:$A$255,0)),"")),IF($N941="二级",IF(IFERROR(INDEX(项目档案!$G$6:$G$255,MATCH($C941,项目档案!$A$6:$A$255,0)),"")="",N(IFERROR(INDEX(单位档案!$D$6:$D$35,MATCH($E941,单位档案!$A$6:$A$35,0)),"")),IFERROR(INDEX(项目档案!$G$6:$G$255,MATCH($C941,项目档案!$A$6:$A$255,0)),"")),N(IFERROR(INDEX(单位档案!$D$6:$D$35,MATCH($E941,单位档案!$A$6:$A$35,0)),"")))))</f>
        <v/>
      </c>
      <c r="J941" s="22"/>
      <c r="K941" s="22"/>
      <c r="L941" s="33" t="str">
        <f aca="false">IF($B941="","",IF(NOT(ISNUMBER($B941)),"日期格式不对",IF($C941="","未选项目编号",IF(LEFT($M941,1)="⚠","项目编号不存在",IF($D941="","未选业务类型",IF($E941="","未选开票/付款方",IF(ISNA(MATCH($E941,单位档案!$A$6:$A$35,0)),"开票方不在单位档案",IF($F941="","未选收票/收款方",IF(ISNA(MATCH($F941,单位档案!$A$6:$A$35,0)),"收款方不在单位档案",IF(NOT(ISNUMBER($H941)),"金额须为数字",IF(AND($D941="销项开票",$N941="—"),"链条待确认","√")))))))))))</f>
        <v/>
      </c>
      <c r="M941" s="34" t="str">
        <f aca="false">IF($C941="","",IFERROR(INDEX(项目档案!$B$6:$B$255,MATCH($C941,项目档案!$A$6:$A$255,0)),"⚠项目编号不存在"))</f>
        <v/>
      </c>
      <c r="N941" s="35" t="str">
        <f aca="false">IF($E941="","",IF($E941=IFERROR(INDEX(项目档案!$D$6:$D$255,MATCH($C941,项目档案!$A$6:$A$255,0)),""),"一级",IF($E941=IFERROR(INDEX(项目档案!$F$6:$F$255,MATCH($C941,项目档案!$A$6:$A$255,0)),""),"二级",IF($E941=IFERROR(INDEX(项目档案!$H$6:$H$255,MATCH($C941,项目档案!$A$6:$A$255,0)),""),"我方","—"))))</f>
        <v/>
      </c>
      <c r="O941" s="36" t="n">
        <f aca="false">IF($D941&lt;&gt;"销项开票",0,ROUND(N($H941)*N($I941),2))</f>
        <v>0</v>
      </c>
      <c r="P941" s="36" t="n">
        <f aca="false">IF($D941&lt;&gt;"销项开票",0,ROUND(N($H941)-$O941,2))</f>
        <v>0</v>
      </c>
      <c r="Q941" s="37" t="str">
        <f aca="false">IF($E941="","",N(IFERROR(INDEX(单位档案!$E$6:$E$35,MATCH($E941,单位档案!$A$6:$A$35,0)),"")))</f>
        <v/>
      </c>
      <c r="R941" s="37" t="str">
        <f aca="false">IF($E941="","",N(IFERROR(INDEX(单位档案!$F$6:$F$35,MATCH($E941,单位档案!$A$6:$A$35,0)),"")))</f>
        <v/>
      </c>
      <c r="S941" s="36" t="n">
        <f aca="false">IF(OR($D941&lt;&gt;"销项开票",IFERROR(INDEX(单位档案!$G$6:$G$35,MATCH($E941,单位档案!$A$6:$A$35,0)),"")&lt;&gt;"是",N($Q941)=0),0,IF(IFERROR(INDEX(单位档案!$H$6:$H$35,MATCH($E941,单位档案!$A$6:$A$35,0)),"")="税差法",ROUND(N($H941)/(1+$Q941)*$Q941-IF(N($R941)=0,0,$P941/(1+$R941)*$R941),2),ROUND(N($H941)/(1+$Q941)*$Q941,2)))</f>
        <v>0</v>
      </c>
      <c r="T941" s="36" t="n">
        <f aca="false">ROUND($S941*N(IFERROR(INDEX(单位档案!$J$6:$J$35,MATCH($E941,单位档案!$A$6:$A$35,0)),"")),2)</f>
        <v>0</v>
      </c>
      <c r="U941" s="36" t="n">
        <f aca="false">IF($D941&lt;&gt;"销项开票",0,ROUND(N($H941)*N(IFERROR(INDEX(单位档案!$K$6:$K$35,MATCH($E941,单位档案!$A$6:$A$35,0)),"")),2))</f>
        <v>0</v>
      </c>
      <c r="V941" s="36" t="n">
        <f aca="false">IF(OR($D941&lt;&gt;"销项开票",N($Q941)=0),0,ROUND(N($H941)/(1+$Q941)*N(IFERROR(INDEX(单位档案!$L$6:$L$35,MATCH($E941,单位档案!$A$6:$A$35,0)),"")),2))</f>
        <v>0</v>
      </c>
      <c r="W941" s="36" t="n">
        <f aca="false">ROUND($S941+$T941+$U941+$V941,2)</f>
        <v>0</v>
      </c>
      <c r="X941" s="35" t="str">
        <f aca="false">IF(OR($D941="挂靠代收",$D941="我方收款"),COUNTIFS($D$5:$D941,"挂靠代收")+COUNTIFS($D$5:$D941,"我方收款"),"")</f>
        <v/>
      </c>
      <c r="Y941" s="35"/>
      <c r="Z941" s="21" t="s">
        <v>111</v>
      </c>
    </row>
    <row r="942" customFormat="false" ht="15.75" hidden="false" customHeight="true" outlineLevel="0" collapsed="false">
      <c r="A942" s="32" t="str">
        <f aca="false">IF($B942="","",ROW()-4)</f>
        <v/>
      </c>
      <c r="B942" s="26"/>
      <c r="C942" s="24"/>
      <c r="D942" s="21"/>
      <c r="E942" s="21"/>
      <c r="F942" s="21"/>
      <c r="G942" s="21"/>
      <c r="H942" s="27"/>
      <c r="I942" s="23" t="str">
        <f aca="false">IF($D942&lt;&gt;"销项开票","",IF($N942="一级",IF(IFERROR(INDEX(项目档案!$E$6:$E$255,MATCH($C942,项目档案!$A$6:$A$255,0)),"")="",N(IFERROR(INDEX(单位档案!$D$6:$D$35,MATCH($E942,单位档案!$A$6:$A$35,0)),"")),IFERROR(INDEX(项目档案!$E$6:$E$255,MATCH($C942,项目档案!$A$6:$A$255,0)),"")),IF($N942="二级",IF(IFERROR(INDEX(项目档案!$G$6:$G$255,MATCH($C942,项目档案!$A$6:$A$255,0)),"")="",N(IFERROR(INDEX(单位档案!$D$6:$D$35,MATCH($E942,单位档案!$A$6:$A$35,0)),"")),IFERROR(INDEX(项目档案!$G$6:$G$255,MATCH($C942,项目档案!$A$6:$A$255,0)),"")),N(IFERROR(INDEX(单位档案!$D$6:$D$35,MATCH($E942,单位档案!$A$6:$A$35,0)),"")))))</f>
        <v/>
      </c>
      <c r="J942" s="22"/>
      <c r="K942" s="22"/>
      <c r="L942" s="33" t="str">
        <f aca="false">IF($B942="","",IF(NOT(ISNUMBER($B942)),"日期格式不对",IF($C942="","未选项目编号",IF(LEFT($M942,1)="⚠","项目编号不存在",IF($D942="","未选业务类型",IF($E942="","未选开票/付款方",IF(ISNA(MATCH($E942,单位档案!$A$6:$A$35,0)),"开票方不在单位档案",IF($F942="","未选收票/收款方",IF(ISNA(MATCH($F942,单位档案!$A$6:$A$35,0)),"收款方不在单位档案",IF(NOT(ISNUMBER($H942)),"金额须为数字",IF(AND($D942="销项开票",$N942="—"),"链条待确认","√")))))))))))</f>
        <v/>
      </c>
      <c r="M942" s="34" t="str">
        <f aca="false">IF($C942="","",IFERROR(INDEX(项目档案!$B$6:$B$255,MATCH($C942,项目档案!$A$6:$A$255,0)),"⚠项目编号不存在"))</f>
        <v/>
      </c>
      <c r="N942" s="35" t="str">
        <f aca="false">IF($E942="","",IF($E942=IFERROR(INDEX(项目档案!$D$6:$D$255,MATCH($C942,项目档案!$A$6:$A$255,0)),""),"一级",IF($E942=IFERROR(INDEX(项目档案!$F$6:$F$255,MATCH($C942,项目档案!$A$6:$A$255,0)),""),"二级",IF($E942=IFERROR(INDEX(项目档案!$H$6:$H$255,MATCH($C942,项目档案!$A$6:$A$255,0)),""),"我方","—"))))</f>
        <v/>
      </c>
      <c r="O942" s="36" t="n">
        <f aca="false">IF($D942&lt;&gt;"销项开票",0,ROUND(N($H942)*N($I942),2))</f>
        <v>0</v>
      </c>
      <c r="P942" s="36" t="n">
        <f aca="false">IF($D942&lt;&gt;"销项开票",0,ROUND(N($H942)-$O942,2))</f>
        <v>0</v>
      </c>
      <c r="Q942" s="37" t="str">
        <f aca="false">IF($E942="","",N(IFERROR(INDEX(单位档案!$E$6:$E$35,MATCH($E942,单位档案!$A$6:$A$35,0)),"")))</f>
        <v/>
      </c>
      <c r="R942" s="37" t="str">
        <f aca="false">IF($E942="","",N(IFERROR(INDEX(单位档案!$F$6:$F$35,MATCH($E942,单位档案!$A$6:$A$35,0)),"")))</f>
        <v/>
      </c>
      <c r="S942" s="36" t="n">
        <f aca="false">IF(OR($D942&lt;&gt;"销项开票",IFERROR(INDEX(单位档案!$G$6:$G$35,MATCH($E942,单位档案!$A$6:$A$35,0)),"")&lt;&gt;"是",N($Q942)=0),0,IF(IFERROR(INDEX(单位档案!$H$6:$H$35,MATCH($E942,单位档案!$A$6:$A$35,0)),"")="税差法",ROUND(N($H942)/(1+$Q942)*$Q942-IF(N($R942)=0,0,$P942/(1+$R942)*$R942),2),ROUND(N($H942)/(1+$Q942)*$Q942,2)))</f>
        <v>0</v>
      </c>
      <c r="T942" s="36" t="n">
        <f aca="false">ROUND($S942*N(IFERROR(INDEX(单位档案!$J$6:$J$35,MATCH($E942,单位档案!$A$6:$A$35,0)),"")),2)</f>
        <v>0</v>
      </c>
      <c r="U942" s="36" t="n">
        <f aca="false">IF($D942&lt;&gt;"销项开票",0,ROUND(N($H942)*N(IFERROR(INDEX(单位档案!$K$6:$K$35,MATCH($E942,单位档案!$A$6:$A$35,0)),"")),2))</f>
        <v>0</v>
      </c>
      <c r="V942" s="36" t="n">
        <f aca="false">IF(OR($D942&lt;&gt;"销项开票",N($Q942)=0),0,ROUND(N($H942)/(1+$Q942)*N(IFERROR(INDEX(单位档案!$L$6:$L$35,MATCH($E942,单位档案!$A$6:$A$35,0)),"")),2))</f>
        <v>0</v>
      </c>
      <c r="W942" s="36" t="n">
        <f aca="false">ROUND($S942+$T942+$U942+$V942,2)</f>
        <v>0</v>
      </c>
      <c r="X942" s="35" t="str">
        <f aca="false">IF(OR($D942="挂靠代收",$D942="我方收款"),COUNTIFS($D$5:$D942,"挂靠代收")+COUNTIFS($D$5:$D942,"我方收款"),"")</f>
        <v/>
      </c>
      <c r="Y942" s="35"/>
      <c r="Z942" s="21" t="s">
        <v>111</v>
      </c>
    </row>
    <row r="943" customFormat="false" ht="15.75" hidden="false" customHeight="true" outlineLevel="0" collapsed="false">
      <c r="A943" s="32" t="str">
        <f aca="false">IF($B943="","",ROW()-4)</f>
        <v/>
      </c>
      <c r="B943" s="26"/>
      <c r="C943" s="24"/>
      <c r="D943" s="21"/>
      <c r="E943" s="21"/>
      <c r="F943" s="21"/>
      <c r="G943" s="21"/>
      <c r="H943" s="27"/>
      <c r="I943" s="23" t="str">
        <f aca="false">IF($D943&lt;&gt;"销项开票","",IF($N943="一级",IF(IFERROR(INDEX(项目档案!$E$6:$E$255,MATCH($C943,项目档案!$A$6:$A$255,0)),"")="",N(IFERROR(INDEX(单位档案!$D$6:$D$35,MATCH($E943,单位档案!$A$6:$A$35,0)),"")),IFERROR(INDEX(项目档案!$E$6:$E$255,MATCH($C943,项目档案!$A$6:$A$255,0)),"")),IF($N943="二级",IF(IFERROR(INDEX(项目档案!$G$6:$G$255,MATCH($C943,项目档案!$A$6:$A$255,0)),"")="",N(IFERROR(INDEX(单位档案!$D$6:$D$35,MATCH($E943,单位档案!$A$6:$A$35,0)),"")),IFERROR(INDEX(项目档案!$G$6:$G$255,MATCH($C943,项目档案!$A$6:$A$255,0)),"")),N(IFERROR(INDEX(单位档案!$D$6:$D$35,MATCH($E943,单位档案!$A$6:$A$35,0)),"")))))</f>
        <v/>
      </c>
      <c r="J943" s="22"/>
      <c r="K943" s="22"/>
      <c r="L943" s="33" t="str">
        <f aca="false">IF($B943="","",IF(NOT(ISNUMBER($B943)),"日期格式不对",IF($C943="","未选项目编号",IF(LEFT($M943,1)="⚠","项目编号不存在",IF($D943="","未选业务类型",IF($E943="","未选开票/付款方",IF(ISNA(MATCH($E943,单位档案!$A$6:$A$35,0)),"开票方不在单位档案",IF($F943="","未选收票/收款方",IF(ISNA(MATCH($F943,单位档案!$A$6:$A$35,0)),"收款方不在单位档案",IF(NOT(ISNUMBER($H943)),"金额须为数字",IF(AND($D943="销项开票",$N943="—"),"链条待确认","√")))))))))))</f>
        <v/>
      </c>
      <c r="M943" s="34" t="str">
        <f aca="false">IF($C943="","",IFERROR(INDEX(项目档案!$B$6:$B$255,MATCH($C943,项目档案!$A$6:$A$255,0)),"⚠项目编号不存在"))</f>
        <v/>
      </c>
      <c r="N943" s="35" t="str">
        <f aca="false">IF($E943="","",IF($E943=IFERROR(INDEX(项目档案!$D$6:$D$255,MATCH($C943,项目档案!$A$6:$A$255,0)),""),"一级",IF($E943=IFERROR(INDEX(项目档案!$F$6:$F$255,MATCH($C943,项目档案!$A$6:$A$255,0)),""),"二级",IF($E943=IFERROR(INDEX(项目档案!$H$6:$H$255,MATCH($C943,项目档案!$A$6:$A$255,0)),""),"我方","—"))))</f>
        <v/>
      </c>
      <c r="O943" s="36" t="n">
        <f aca="false">IF($D943&lt;&gt;"销项开票",0,ROUND(N($H943)*N($I943),2))</f>
        <v>0</v>
      </c>
      <c r="P943" s="36" t="n">
        <f aca="false">IF($D943&lt;&gt;"销项开票",0,ROUND(N($H943)-$O943,2))</f>
        <v>0</v>
      </c>
      <c r="Q943" s="37" t="str">
        <f aca="false">IF($E943="","",N(IFERROR(INDEX(单位档案!$E$6:$E$35,MATCH($E943,单位档案!$A$6:$A$35,0)),"")))</f>
        <v/>
      </c>
      <c r="R943" s="37" t="str">
        <f aca="false">IF($E943="","",N(IFERROR(INDEX(单位档案!$F$6:$F$35,MATCH($E943,单位档案!$A$6:$A$35,0)),"")))</f>
        <v/>
      </c>
      <c r="S943" s="36" t="n">
        <f aca="false">IF(OR($D943&lt;&gt;"销项开票",IFERROR(INDEX(单位档案!$G$6:$G$35,MATCH($E943,单位档案!$A$6:$A$35,0)),"")&lt;&gt;"是",N($Q943)=0),0,IF(IFERROR(INDEX(单位档案!$H$6:$H$35,MATCH($E943,单位档案!$A$6:$A$35,0)),"")="税差法",ROUND(N($H943)/(1+$Q943)*$Q943-IF(N($R943)=0,0,$P943/(1+$R943)*$R943),2),ROUND(N($H943)/(1+$Q943)*$Q943,2)))</f>
        <v>0</v>
      </c>
      <c r="T943" s="36" t="n">
        <f aca="false">ROUND($S943*N(IFERROR(INDEX(单位档案!$J$6:$J$35,MATCH($E943,单位档案!$A$6:$A$35,0)),"")),2)</f>
        <v>0</v>
      </c>
      <c r="U943" s="36" t="n">
        <f aca="false">IF($D943&lt;&gt;"销项开票",0,ROUND(N($H943)*N(IFERROR(INDEX(单位档案!$K$6:$K$35,MATCH($E943,单位档案!$A$6:$A$35,0)),"")),2))</f>
        <v>0</v>
      </c>
      <c r="V943" s="36" t="n">
        <f aca="false">IF(OR($D943&lt;&gt;"销项开票",N($Q943)=0),0,ROUND(N($H943)/(1+$Q943)*N(IFERROR(INDEX(单位档案!$L$6:$L$35,MATCH($E943,单位档案!$A$6:$A$35,0)),"")),2))</f>
        <v>0</v>
      </c>
      <c r="W943" s="36" t="n">
        <f aca="false">ROUND($S943+$T943+$U943+$V943,2)</f>
        <v>0</v>
      </c>
      <c r="X943" s="35" t="str">
        <f aca="false">IF(OR($D943="挂靠代收",$D943="我方收款"),COUNTIFS($D$5:$D943,"挂靠代收")+COUNTIFS($D$5:$D943,"我方收款"),"")</f>
        <v/>
      </c>
      <c r="Y943" s="35"/>
      <c r="Z943" s="21" t="s">
        <v>111</v>
      </c>
    </row>
    <row r="944" customFormat="false" ht="15.75" hidden="false" customHeight="true" outlineLevel="0" collapsed="false">
      <c r="A944" s="32" t="str">
        <f aca="false">IF($B944="","",ROW()-4)</f>
        <v/>
      </c>
      <c r="B944" s="26"/>
      <c r="C944" s="24"/>
      <c r="D944" s="21"/>
      <c r="E944" s="21"/>
      <c r="F944" s="21"/>
      <c r="G944" s="21"/>
      <c r="H944" s="27"/>
      <c r="I944" s="23" t="str">
        <f aca="false">IF($D944&lt;&gt;"销项开票","",IF($N944="一级",IF(IFERROR(INDEX(项目档案!$E$6:$E$255,MATCH($C944,项目档案!$A$6:$A$255,0)),"")="",N(IFERROR(INDEX(单位档案!$D$6:$D$35,MATCH($E944,单位档案!$A$6:$A$35,0)),"")),IFERROR(INDEX(项目档案!$E$6:$E$255,MATCH($C944,项目档案!$A$6:$A$255,0)),"")),IF($N944="二级",IF(IFERROR(INDEX(项目档案!$G$6:$G$255,MATCH($C944,项目档案!$A$6:$A$255,0)),"")="",N(IFERROR(INDEX(单位档案!$D$6:$D$35,MATCH($E944,单位档案!$A$6:$A$35,0)),"")),IFERROR(INDEX(项目档案!$G$6:$G$255,MATCH($C944,项目档案!$A$6:$A$255,0)),"")),N(IFERROR(INDEX(单位档案!$D$6:$D$35,MATCH($E944,单位档案!$A$6:$A$35,0)),"")))))</f>
        <v/>
      </c>
      <c r="J944" s="22"/>
      <c r="K944" s="22"/>
      <c r="L944" s="33" t="str">
        <f aca="false">IF($B944="","",IF(NOT(ISNUMBER($B944)),"日期格式不对",IF($C944="","未选项目编号",IF(LEFT($M944,1)="⚠","项目编号不存在",IF($D944="","未选业务类型",IF($E944="","未选开票/付款方",IF(ISNA(MATCH($E944,单位档案!$A$6:$A$35,0)),"开票方不在单位档案",IF($F944="","未选收票/收款方",IF(ISNA(MATCH($F944,单位档案!$A$6:$A$35,0)),"收款方不在单位档案",IF(NOT(ISNUMBER($H944)),"金额须为数字",IF(AND($D944="销项开票",$N944="—"),"链条待确认","√")))))))))))</f>
        <v/>
      </c>
      <c r="M944" s="34" t="str">
        <f aca="false">IF($C944="","",IFERROR(INDEX(项目档案!$B$6:$B$255,MATCH($C944,项目档案!$A$6:$A$255,0)),"⚠项目编号不存在"))</f>
        <v/>
      </c>
      <c r="N944" s="35" t="str">
        <f aca="false">IF($E944="","",IF($E944=IFERROR(INDEX(项目档案!$D$6:$D$255,MATCH($C944,项目档案!$A$6:$A$255,0)),""),"一级",IF($E944=IFERROR(INDEX(项目档案!$F$6:$F$255,MATCH($C944,项目档案!$A$6:$A$255,0)),""),"二级",IF($E944=IFERROR(INDEX(项目档案!$H$6:$H$255,MATCH($C944,项目档案!$A$6:$A$255,0)),""),"我方","—"))))</f>
        <v/>
      </c>
      <c r="O944" s="36" t="n">
        <f aca="false">IF($D944&lt;&gt;"销项开票",0,ROUND(N($H944)*N($I944),2))</f>
        <v>0</v>
      </c>
      <c r="P944" s="36" t="n">
        <f aca="false">IF($D944&lt;&gt;"销项开票",0,ROUND(N($H944)-$O944,2))</f>
        <v>0</v>
      </c>
      <c r="Q944" s="37" t="str">
        <f aca="false">IF($E944="","",N(IFERROR(INDEX(单位档案!$E$6:$E$35,MATCH($E944,单位档案!$A$6:$A$35,0)),"")))</f>
        <v/>
      </c>
      <c r="R944" s="37" t="str">
        <f aca="false">IF($E944="","",N(IFERROR(INDEX(单位档案!$F$6:$F$35,MATCH($E944,单位档案!$A$6:$A$35,0)),"")))</f>
        <v/>
      </c>
      <c r="S944" s="36" t="n">
        <f aca="false">IF(OR($D944&lt;&gt;"销项开票",IFERROR(INDEX(单位档案!$G$6:$G$35,MATCH($E944,单位档案!$A$6:$A$35,0)),"")&lt;&gt;"是",N($Q944)=0),0,IF(IFERROR(INDEX(单位档案!$H$6:$H$35,MATCH($E944,单位档案!$A$6:$A$35,0)),"")="税差法",ROUND(N($H944)/(1+$Q944)*$Q944-IF(N($R944)=0,0,$P944/(1+$R944)*$R944),2),ROUND(N($H944)/(1+$Q944)*$Q944,2)))</f>
        <v>0</v>
      </c>
      <c r="T944" s="36" t="n">
        <f aca="false">ROUND($S944*N(IFERROR(INDEX(单位档案!$J$6:$J$35,MATCH($E944,单位档案!$A$6:$A$35,0)),"")),2)</f>
        <v>0</v>
      </c>
      <c r="U944" s="36" t="n">
        <f aca="false">IF($D944&lt;&gt;"销项开票",0,ROUND(N($H944)*N(IFERROR(INDEX(单位档案!$K$6:$K$35,MATCH($E944,单位档案!$A$6:$A$35,0)),"")),2))</f>
        <v>0</v>
      </c>
      <c r="V944" s="36" t="n">
        <f aca="false">IF(OR($D944&lt;&gt;"销项开票",N($Q944)=0),0,ROUND(N($H944)/(1+$Q944)*N(IFERROR(INDEX(单位档案!$L$6:$L$35,MATCH($E944,单位档案!$A$6:$A$35,0)),"")),2))</f>
        <v>0</v>
      </c>
      <c r="W944" s="36" t="n">
        <f aca="false">ROUND($S944+$T944+$U944+$V944,2)</f>
        <v>0</v>
      </c>
      <c r="X944" s="35" t="str">
        <f aca="false">IF(OR($D944="挂靠代收",$D944="我方收款"),COUNTIFS($D$5:$D944,"挂靠代收")+COUNTIFS($D$5:$D944,"我方收款"),"")</f>
        <v/>
      </c>
      <c r="Y944" s="35"/>
      <c r="Z944" s="21" t="s">
        <v>111</v>
      </c>
    </row>
    <row r="945" customFormat="false" ht="15.75" hidden="false" customHeight="true" outlineLevel="0" collapsed="false">
      <c r="A945" s="32" t="str">
        <f aca="false">IF($B945="","",ROW()-4)</f>
        <v/>
      </c>
      <c r="B945" s="26"/>
      <c r="C945" s="24"/>
      <c r="D945" s="21"/>
      <c r="E945" s="21"/>
      <c r="F945" s="21"/>
      <c r="G945" s="21"/>
      <c r="H945" s="27"/>
      <c r="I945" s="23" t="str">
        <f aca="false">IF($D945&lt;&gt;"销项开票","",IF($N945="一级",IF(IFERROR(INDEX(项目档案!$E$6:$E$255,MATCH($C945,项目档案!$A$6:$A$255,0)),"")="",N(IFERROR(INDEX(单位档案!$D$6:$D$35,MATCH($E945,单位档案!$A$6:$A$35,0)),"")),IFERROR(INDEX(项目档案!$E$6:$E$255,MATCH($C945,项目档案!$A$6:$A$255,0)),"")),IF($N945="二级",IF(IFERROR(INDEX(项目档案!$G$6:$G$255,MATCH($C945,项目档案!$A$6:$A$255,0)),"")="",N(IFERROR(INDEX(单位档案!$D$6:$D$35,MATCH($E945,单位档案!$A$6:$A$35,0)),"")),IFERROR(INDEX(项目档案!$G$6:$G$255,MATCH($C945,项目档案!$A$6:$A$255,0)),"")),N(IFERROR(INDEX(单位档案!$D$6:$D$35,MATCH($E945,单位档案!$A$6:$A$35,0)),"")))))</f>
        <v/>
      </c>
      <c r="J945" s="22"/>
      <c r="K945" s="22"/>
      <c r="L945" s="33" t="str">
        <f aca="false">IF($B945="","",IF(NOT(ISNUMBER($B945)),"日期格式不对",IF($C945="","未选项目编号",IF(LEFT($M945,1)="⚠","项目编号不存在",IF($D945="","未选业务类型",IF($E945="","未选开票/付款方",IF(ISNA(MATCH($E945,单位档案!$A$6:$A$35,0)),"开票方不在单位档案",IF($F945="","未选收票/收款方",IF(ISNA(MATCH($F945,单位档案!$A$6:$A$35,0)),"收款方不在单位档案",IF(NOT(ISNUMBER($H945)),"金额须为数字",IF(AND($D945="销项开票",$N945="—"),"链条待确认","√")))))))))))</f>
        <v/>
      </c>
      <c r="M945" s="34" t="str">
        <f aca="false">IF($C945="","",IFERROR(INDEX(项目档案!$B$6:$B$255,MATCH($C945,项目档案!$A$6:$A$255,0)),"⚠项目编号不存在"))</f>
        <v/>
      </c>
      <c r="N945" s="35" t="str">
        <f aca="false">IF($E945="","",IF($E945=IFERROR(INDEX(项目档案!$D$6:$D$255,MATCH($C945,项目档案!$A$6:$A$255,0)),""),"一级",IF($E945=IFERROR(INDEX(项目档案!$F$6:$F$255,MATCH($C945,项目档案!$A$6:$A$255,0)),""),"二级",IF($E945=IFERROR(INDEX(项目档案!$H$6:$H$255,MATCH($C945,项目档案!$A$6:$A$255,0)),""),"我方","—"))))</f>
        <v/>
      </c>
      <c r="O945" s="36" t="n">
        <f aca="false">IF($D945&lt;&gt;"销项开票",0,ROUND(N($H945)*N($I945),2))</f>
        <v>0</v>
      </c>
      <c r="P945" s="36" t="n">
        <f aca="false">IF($D945&lt;&gt;"销项开票",0,ROUND(N($H945)-$O945,2))</f>
        <v>0</v>
      </c>
      <c r="Q945" s="37" t="str">
        <f aca="false">IF($E945="","",N(IFERROR(INDEX(单位档案!$E$6:$E$35,MATCH($E945,单位档案!$A$6:$A$35,0)),"")))</f>
        <v/>
      </c>
      <c r="R945" s="37" t="str">
        <f aca="false">IF($E945="","",N(IFERROR(INDEX(单位档案!$F$6:$F$35,MATCH($E945,单位档案!$A$6:$A$35,0)),"")))</f>
        <v/>
      </c>
      <c r="S945" s="36" t="n">
        <f aca="false">IF(OR($D945&lt;&gt;"销项开票",IFERROR(INDEX(单位档案!$G$6:$G$35,MATCH($E945,单位档案!$A$6:$A$35,0)),"")&lt;&gt;"是",N($Q945)=0),0,IF(IFERROR(INDEX(单位档案!$H$6:$H$35,MATCH($E945,单位档案!$A$6:$A$35,0)),"")="税差法",ROUND(N($H945)/(1+$Q945)*$Q945-IF(N($R945)=0,0,$P945/(1+$R945)*$R945),2),ROUND(N($H945)/(1+$Q945)*$Q945,2)))</f>
        <v>0</v>
      </c>
      <c r="T945" s="36" t="n">
        <f aca="false">ROUND($S945*N(IFERROR(INDEX(单位档案!$J$6:$J$35,MATCH($E945,单位档案!$A$6:$A$35,0)),"")),2)</f>
        <v>0</v>
      </c>
      <c r="U945" s="36" t="n">
        <f aca="false">IF($D945&lt;&gt;"销项开票",0,ROUND(N($H945)*N(IFERROR(INDEX(单位档案!$K$6:$K$35,MATCH($E945,单位档案!$A$6:$A$35,0)),"")),2))</f>
        <v>0</v>
      </c>
      <c r="V945" s="36" t="n">
        <f aca="false">IF(OR($D945&lt;&gt;"销项开票",N($Q945)=0),0,ROUND(N($H945)/(1+$Q945)*N(IFERROR(INDEX(单位档案!$L$6:$L$35,MATCH($E945,单位档案!$A$6:$A$35,0)),"")),2))</f>
        <v>0</v>
      </c>
      <c r="W945" s="36" t="n">
        <f aca="false">ROUND($S945+$T945+$U945+$V945,2)</f>
        <v>0</v>
      </c>
      <c r="X945" s="35" t="str">
        <f aca="false">IF(OR($D945="挂靠代收",$D945="我方收款"),COUNTIFS($D$5:$D945,"挂靠代收")+COUNTIFS($D$5:$D945,"我方收款"),"")</f>
        <v/>
      </c>
      <c r="Y945" s="35"/>
      <c r="Z945" s="21" t="s">
        <v>111</v>
      </c>
    </row>
    <row r="946" customFormat="false" ht="15.75" hidden="false" customHeight="true" outlineLevel="0" collapsed="false">
      <c r="A946" s="32" t="str">
        <f aca="false">IF($B946="","",ROW()-4)</f>
        <v/>
      </c>
      <c r="B946" s="26"/>
      <c r="C946" s="24"/>
      <c r="D946" s="21"/>
      <c r="E946" s="21"/>
      <c r="F946" s="21"/>
      <c r="G946" s="21"/>
      <c r="H946" s="27"/>
      <c r="I946" s="23" t="str">
        <f aca="false">IF($D946&lt;&gt;"销项开票","",IF($N946="一级",IF(IFERROR(INDEX(项目档案!$E$6:$E$255,MATCH($C946,项目档案!$A$6:$A$255,0)),"")="",N(IFERROR(INDEX(单位档案!$D$6:$D$35,MATCH($E946,单位档案!$A$6:$A$35,0)),"")),IFERROR(INDEX(项目档案!$E$6:$E$255,MATCH($C946,项目档案!$A$6:$A$255,0)),"")),IF($N946="二级",IF(IFERROR(INDEX(项目档案!$G$6:$G$255,MATCH($C946,项目档案!$A$6:$A$255,0)),"")="",N(IFERROR(INDEX(单位档案!$D$6:$D$35,MATCH($E946,单位档案!$A$6:$A$35,0)),"")),IFERROR(INDEX(项目档案!$G$6:$G$255,MATCH($C946,项目档案!$A$6:$A$255,0)),"")),N(IFERROR(INDEX(单位档案!$D$6:$D$35,MATCH($E946,单位档案!$A$6:$A$35,0)),"")))))</f>
        <v/>
      </c>
      <c r="J946" s="22"/>
      <c r="K946" s="22"/>
      <c r="L946" s="33" t="str">
        <f aca="false">IF($B946="","",IF(NOT(ISNUMBER($B946)),"日期格式不对",IF($C946="","未选项目编号",IF(LEFT($M946,1)="⚠","项目编号不存在",IF($D946="","未选业务类型",IF($E946="","未选开票/付款方",IF(ISNA(MATCH($E946,单位档案!$A$6:$A$35,0)),"开票方不在单位档案",IF($F946="","未选收票/收款方",IF(ISNA(MATCH($F946,单位档案!$A$6:$A$35,0)),"收款方不在单位档案",IF(NOT(ISNUMBER($H946)),"金额须为数字",IF(AND($D946="销项开票",$N946="—"),"链条待确认","√")))))))))))</f>
        <v/>
      </c>
      <c r="M946" s="34" t="str">
        <f aca="false">IF($C946="","",IFERROR(INDEX(项目档案!$B$6:$B$255,MATCH($C946,项目档案!$A$6:$A$255,0)),"⚠项目编号不存在"))</f>
        <v/>
      </c>
      <c r="N946" s="35" t="str">
        <f aca="false">IF($E946="","",IF($E946=IFERROR(INDEX(项目档案!$D$6:$D$255,MATCH($C946,项目档案!$A$6:$A$255,0)),""),"一级",IF($E946=IFERROR(INDEX(项目档案!$F$6:$F$255,MATCH($C946,项目档案!$A$6:$A$255,0)),""),"二级",IF($E946=IFERROR(INDEX(项目档案!$H$6:$H$255,MATCH($C946,项目档案!$A$6:$A$255,0)),""),"我方","—"))))</f>
        <v/>
      </c>
      <c r="O946" s="36" t="n">
        <f aca="false">IF($D946&lt;&gt;"销项开票",0,ROUND(N($H946)*N($I946),2))</f>
        <v>0</v>
      </c>
      <c r="P946" s="36" t="n">
        <f aca="false">IF($D946&lt;&gt;"销项开票",0,ROUND(N($H946)-$O946,2))</f>
        <v>0</v>
      </c>
      <c r="Q946" s="37" t="str">
        <f aca="false">IF($E946="","",N(IFERROR(INDEX(单位档案!$E$6:$E$35,MATCH($E946,单位档案!$A$6:$A$35,0)),"")))</f>
        <v/>
      </c>
      <c r="R946" s="37" t="str">
        <f aca="false">IF($E946="","",N(IFERROR(INDEX(单位档案!$F$6:$F$35,MATCH($E946,单位档案!$A$6:$A$35,0)),"")))</f>
        <v/>
      </c>
      <c r="S946" s="36" t="n">
        <f aca="false">IF(OR($D946&lt;&gt;"销项开票",IFERROR(INDEX(单位档案!$G$6:$G$35,MATCH($E946,单位档案!$A$6:$A$35,0)),"")&lt;&gt;"是",N($Q946)=0),0,IF(IFERROR(INDEX(单位档案!$H$6:$H$35,MATCH($E946,单位档案!$A$6:$A$35,0)),"")="税差法",ROUND(N($H946)/(1+$Q946)*$Q946-IF(N($R946)=0,0,$P946/(1+$R946)*$R946),2),ROUND(N($H946)/(1+$Q946)*$Q946,2)))</f>
        <v>0</v>
      </c>
      <c r="T946" s="36" t="n">
        <f aca="false">ROUND($S946*N(IFERROR(INDEX(单位档案!$J$6:$J$35,MATCH($E946,单位档案!$A$6:$A$35,0)),"")),2)</f>
        <v>0</v>
      </c>
      <c r="U946" s="36" t="n">
        <f aca="false">IF($D946&lt;&gt;"销项开票",0,ROUND(N($H946)*N(IFERROR(INDEX(单位档案!$K$6:$K$35,MATCH($E946,单位档案!$A$6:$A$35,0)),"")),2))</f>
        <v>0</v>
      </c>
      <c r="V946" s="36" t="n">
        <f aca="false">IF(OR($D946&lt;&gt;"销项开票",N($Q946)=0),0,ROUND(N($H946)/(1+$Q946)*N(IFERROR(INDEX(单位档案!$L$6:$L$35,MATCH($E946,单位档案!$A$6:$A$35,0)),"")),2))</f>
        <v>0</v>
      </c>
      <c r="W946" s="36" t="n">
        <f aca="false">ROUND($S946+$T946+$U946+$V946,2)</f>
        <v>0</v>
      </c>
      <c r="X946" s="35" t="str">
        <f aca="false">IF(OR($D946="挂靠代收",$D946="我方收款"),COUNTIFS($D$5:$D946,"挂靠代收")+COUNTIFS($D$5:$D946,"我方收款"),"")</f>
        <v/>
      </c>
      <c r="Y946" s="35"/>
      <c r="Z946" s="21" t="s">
        <v>111</v>
      </c>
    </row>
    <row r="947" customFormat="false" ht="15.75" hidden="false" customHeight="true" outlineLevel="0" collapsed="false">
      <c r="A947" s="32" t="str">
        <f aca="false">IF($B947="","",ROW()-4)</f>
        <v/>
      </c>
      <c r="B947" s="26"/>
      <c r="C947" s="24"/>
      <c r="D947" s="21"/>
      <c r="E947" s="21"/>
      <c r="F947" s="21"/>
      <c r="G947" s="21"/>
      <c r="H947" s="27"/>
      <c r="I947" s="23" t="str">
        <f aca="false">IF($D947&lt;&gt;"销项开票","",IF($N947="一级",IF(IFERROR(INDEX(项目档案!$E$6:$E$255,MATCH($C947,项目档案!$A$6:$A$255,0)),"")="",N(IFERROR(INDEX(单位档案!$D$6:$D$35,MATCH($E947,单位档案!$A$6:$A$35,0)),"")),IFERROR(INDEX(项目档案!$E$6:$E$255,MATCH($C947,项目档案!$A$6:$A$255,0)),"")),IF($N947="二级",IF(IFERROR(INDEX(项目档案!$G$6:$G$255,MATCH($C947,项目档案!$A$6:$A$255,0)),"")="",N(IFERROR(INDEX(单位档案!$D$6:$D$35,MATCH($E947,单位档案!$A$6:$A$35,0)),"")),IFERROR(INDEX(项目档案!$G$6:$G$255,MATCH($C947,项目档案!$A$6:$A$255,0)),"")),N(IFERROR(INDEX(单位档案!$D$6:$D$35,MATCH($E947,单位档案!$A$6:$A$35,0)),"")))))</f>
        <v/>
      </c>
      <c r="J947" s="22"/>
      <c r="K947" s="22"/>
      <c r="L947" s="33" t="str">
        <f aca="false">IF($B947="","",IF(NOT(ISNUMBER($B947)),"日期格式不对",IF($C947="","未选项目编号",IF(LEFT($M947,1)="⚠","项目编号不存在",IF($D947="","未选业务类型",IF($E947="","未选开票/付款方",IF(ISNA(MATCH($E947,单位档案!$A$6:$A$35,0)),"开票方不在单位档案",IF($F947="","未选收票/收款方",IF(ISNA(MATCH($F947,单位档案!$A$6:$A$35,0)),"收款方不在单位档案",IF(NOT(ISNUMBER($H947)),"金额须为数字",IF(AND($D947="销项开票",$N947="—"),"链条待确认","√")))))))))))</f>
        <v/>
      </c>
      <c r="M947" s="34" t="str">
        <f aca="false">IF($C947="","",IFERROR(INDEX(项目档案!$B$6:$B$255,MATCH($C947,项目档案!$A$6:$A$255,0)),"⚠项目编号不存在"))</f>
        <v/>
      </c>
      <c r="N947" s="35" t="str">
        <f aca="false">IF($E947="","",IF($E947=IFERROR(INDEX(项目档案!$D$6:$D$255,MATCH($C947,项目档案!$A$6:$A$255,0)),""),"一级",IF($E947=IFERROR(INDEX(项目档案!$F$6:$F$255,MATCH($C947,项目档案!$A$6:$A$255,0)),""),"二级",IF($E947=IFERROR(INDEX(项目档案!$H$6:$H$255,MATCH($C947,项目档案!$A$6:$A$255,0)),""),"我方","—"))))</f>
        <v/>
      </c>
      <c r="O947" s="36" t="n">
        <f aca="false">IF($D947&lt;&gt;"销项开票",0,ROUND(N($H947)*N($I947),2))</f>
        <v>0</v>
      </c>
      <c r="P947" s="36" t="n">
        <f aca="false">IF($D947&lt;&gt;"销项开票",0,ROUND(N($H947)-$O947,2))</f>
        <v>0</v>
      </c>
      <c r="Q947" s="37" t="str">
        <f aca="false">IF($E947="","",N(IFERROR(INDEX(单位档案!$E$6:$E$35,MATCH($E947,单位档案!$A$6:$A$35,0)),"")))</f>
        <v/>
      </c>
      <c r="R947" s="37" t="str">
        <f aca="false">IF($E947="","",N(IFERROR(INDEX(单位档案!$F$6:$F$35,MATCH($E947,单位档案!$A$6:$A$35,0)),"")))</f>
        <v/>
      </c>
      <c r="S947" s="36" t="n">
        <f aca="false">IF(OR($D947&lt;&gt;"销项开票",IFERROR(INDEX(单位档案!$G$6:$G$35,MATCH($E947,单位档案!$A$6:$A$35,0)),"")&lt;&gt;"是",N($Q947)=0),0,IF(IFERROR(INDEX(单位档案!$H$6:$H$35,MATCH($E947,单位档案!$A$6:$A$35,0)),"")="税差法",ROUND(N($H947)/(1+$Q947)*$Q947-IF(N($R947)=0,0,$P947/(1+$R947)*$R947),2),ROUND(N($H947)/(1+$Q947)*$Q947,2)))</f>
        <v>0</v>
      </c>
      <c r="T947" s="36" t="n">
        <f aca="false">ROUND($S947*N(IFERROR(INDEX(单位档案!$J$6:$J$35,MATCH($E947,单位档案!$A$6:$A$35,0)),"")),2)</f>
        <v>0</v>
      </c>
      <c r="U947" s="36" t="n">
        <f aca="false">IF($D947&lt;&gt;"销项开票",0,ROUND(N($H947)*N(IFERROR(INDEX(单位档案!$K$6:$K$35,MATCH($E947,单位档案!$A$6:$A$35,0)),"")),2))</f>
        <v>0</v>
      </c>
      <c r="V947" s="36" t="n">
        <f aca="false">IF(OR($D947&lt;&gt;"销项开票",N($Q947)=0),0,ROUND(N($H947)/(1+$Q947)*N(IFERROR(INDEX(单位档案!$L$6:$L$35,MATCH($E947,单位档案!$A$6:$A$35,0)),"")),2))</f>
        <v>0</v>
      </c>
      <c r="W947" s="36" t="n">
        <f aca="false">ROUND($S947+$T947+$U947+$V947,2)</f>
        <v>0</v>
      </c>
      <c r="X947" s="35" t="str">
        <f aca="false">IF(OR($D947="挂靠代收",$D947="我方收款"),COUNTIFS($D$5:$D947,"挂靠代收")+COUNTIFS($D$5:$D947,"我方收款"),"")</f>
        <v/>
      </c>
      <c r="Y947" s="35"/>
      <c r="Z947" s="21" t="s">
        <v>111</v>
      </c>
    </row>
    <row r="948" customFormat="false" ht="15.75" hidden="false" customHeight="true" outlineLevel="0" collapsed="false">
      <c r="A948" s="32" t="str">
        <f aca="false">IF($B948="","",ROW()-4)</f>
        <v/>
      </c>
      <c r="B948" s="26"/>
      <c r="C948" s="24"/>
      <c r="D948" s="21"/>
      <c r="E948" s="21"/>
      <c r="F948" s="21"/>
      <c r="G948" s="21"/>
      <c r="H948" s="27"/>
      <c r="I948" s="23" t="str">
        <f aca="false">IF($D948&lt;&gt;"销项开票","",IF($N948="一级",IF(IFERROR(INDEX(项目档案!$E$6:$E$255,MATCH($C948,项目档案!$A$6:$A$255,0)),"")="",N(IFERROR(INDEX(单位档案!$D$6:$D$35,MATCH($E948,单位档案!$A$6:$A$35,0)),"")),IFERROR(INDEX(项目档案!$E$6:$E$255,MATCH($C948,项目档案!$A$6:$A$255,0)),"")),IF($N948="二级",IF(IFERROR(INDEX(项目档案!$G$6:$G$255,MATCH($C948,项目档案!$A$6:$A$255,0)),"")="",N(IFERROR(INDEX(单位档案!$D$6:$D$35,MATCH($E948,单位档案!$A$6:$A$35,0)),"")),IFERROR(INDEX(项目档案!$G$6:$G$255,MATCH($C948,项目档案!$A$6:$A$255,0)),"")),N(IFERROR(INDEX(单位档案!$D$6:$D$35,MATCH($E948,单位档案!$A$6:$A$35,0)),"")))))</f>
        <v/>
      </c>
      <c r="J948" s="22"/>
      <c r="K948" s="22"/>
      <c r="L948" s="33" t="str">
        <f aca="false">IF($B948="","",IF(NOT(ISNUMBER($B948)),"日期格式不对",IF($C948="","未选项目编号",IF(LEFT($M948,1)="⚠","项目编号不存在",IF($D948="","未选业务类型",IF($E948="","未选开票/付款方",IF(ISNA(MATCH($E948,单位档案!$A$6:$A$35,0)),"开票方不在单位档案",IF($F948="","未选收票/收款方",IF(ISNA(MATCH($F948,单位档案!$A$6:$A$35,0)),"收款方不在单位档案",IF(NOT(ISNUMBER($H948)),"金额须为数字",IF(AND($D948="销项开票",$N948="—"),"链条待确认","√")))))))))))</f>
        <v/>
      </c>
      <c r="M948" s="34" t="str">
        <f aca="false">IF($C948="","",IFERROR(INDEX(项目档案!$B$6:$B$255,MATCH($C948,项目档案!$A$6:$A$255,0)),"⚠项目编号不存在"))</f>
        <v/>
      </c>
      <c r="N948" s="35" t="str">
        <f aca="false">IF($E948="","",IF($E948=IFERROR(INDEX(项目档案!$D$6:$D$255,MATCH($C948,项目档案!$A$6:$A$255,0)),""),"一级",IF($E948=IFERROR(INDEX(项目档案!$F$6:$F$255,MATCH($C948,项目档案!$A$6:$A$255,0)),""),"二级",IF($E948=IFERROR(INDEX(项目档案!$H$6:$H$255,MATCH($C948,项目档案!$A$6:$A$255,0)),""),"我方","—"))))</f>
        <v/>
      </c>
      <c r="O948" s="36" t="n">
        <f aca="false">IF($D948&lt;&gt;"销项开票",0,ROUND(N($H948)*N($I948),2))</f>
        <v>0</v>
      </c>
      <c r="P948" s="36" t="n">
        <f aca="false">IF($D948&lt;&gt;"销项开票",0,ROUND(N($H948)-$O948,2))</f>
        <v>0</v>
      </c>
      <c r="Q948" s="37" t="str">
        <f aca="false">IF($E948="","",N(IFERROR(INDEX(单位档案!$E$6:$E$35,MATCH($E948,单位档案!$A$6:$A$35,0)),"")))</f>
        <v/>
      </c>
      <c r="R948" s="37" t="str">
        <f aca="false">IF($E948="","",N(IFERROR(INDEX(单位档案!$F$6:$F$35,MATCH($E948,单位档案!$A$6:$A$35,0)),"")))</f>
        <v/>
      </c>
      <c r="S948" s="36" t="n">
        <f aca="false">IF(OR($D948&lt;&gt;"销项开票",IFERROR(INDEX(单位档案!$G$6:$G$35,MATCH($E948,单位档案!$A$6:$A$35,0)),"")&lt;&gt;"是",N($Q948)=0),0,IF(IFERROR(INDEX(单位档案!$H$6:$H$35,MATCH($E948,单位档案!$A$6:$A$35,0)),"")="税差法",ROUND(N($H948)/(1+$Q948)*$Q948-IF(N($R948)=0,0,$P948/(1+$R948)*$R948),2),ROUND(N($H948)/(1+$Q948)*$Q948,2)))</f>
        <v>0</v>
      </c>
      <c r="T948" s="36" t="n">
        <f aca="false">ROUND($S948*N(IFERROR(INDEX(单位档案!$J$6:$J$35,MATCH($E948,单位档案!$A$6:$A$35,0)),"")),2)</f>
        <v>0</v>
      </c>
      <c r="U948" s="36" t="n">
        <f aca="false">IF($D948&lt;&gt;"销项开票",0,ROUND(N($H948)*N(IFERROR(INDEX(单位档案!$K$6:$K$35,MATCH($E948,单位档案!$A$6:$A$35,0)),"")),2))</f>
        <v>0</v>
      </c>
      <c r="V948" s="36" t="n">
        <f aca="false">IF(OR($D948&lt;&gt;"销项开票",N($Q948)=0),0,ROUND(N($H948)/(1+$Q948)*N(IFERROR(INDEX(单位档案!$L$6:$L$35,MATCH($E948,单位档案!$A$6:$A$35,0)),"")),2))</f>
        <v>0</v>
      </c>
      <c r="W948" s="36" t="n">
        <f aca="false">ROUND($S948+$T948+$U948+$V948,2)</f>
        <v>0</v>
      </c>
      <c r="X948" s="35" t="str">
        <f aca="false">IF(OR($D948="挂靠代收",$D948="我方收款"),COUNTIFS($D$5:$D948,"挂靠代收")+COUNTIFS($D$5:$D948,"我方收款"),"")</f>
        <v/>
      </c>
      <c r="Y948" s="35"/>
      <c r="Z948" s="21" t="s">
        <v>111</v>
      </c>
    </row>
    <row r="949" customFormat="false" ht="15.75" hidden="false" customHeight="true" outlineLevel="0" collapsed="false">
      <c r="A949" s="32" t="str">
        <f aca="false">IF($B949="","",ROW()-4)</f>
        <v/>
      </c>
      <c r="B949" s="26"/>
      <c r="C949" s="24"/>
      <c r="D949" s="21"/>
      <c r="E949" s="21"/>
      <c r="F949" s="21"/>
      <c r="G949" s="21"/>
      <c r="H949" s="27"/>
      <c r="I949" s="23" t="str">
        <f aca="false">IF($D949&lt;&gt;"销项开票","",IF($N949="一级",IF(IFERROR(INDEX(项目档案!$E$6:$E$255,MATCH($C949,项目档案!$A$6:$A$255,0)),"")="",N(IFERROR(INDEX(单位档案!$D$6:$D$35,MATCH($E949,单位档案!$A$6:$A$35,0)),"")),IFERROR(INDEX(项目档案!$E$6:$E$255,MATCH($C949,项目档案!$A$6:$A$255,0)),"")),IF($N949="二级",IF(IFERROR(INDEX(项目档案!$G$6:$G$255,MATCH($C949,项目档案!$A$6:$A$255,0)),"")="",N(IFERROR(INDEX(单位档案!$D$6:$D$35,MATCH($E949,单位档案!$A$6:$A$35,0)),"")),IFERROR(INDEX(项目档案!$G$6:$G$255,MATCH($C949,项目档案!$A$6:$A$255,0)),"")),N(IFERROR(INDEX(单位档案!$D$6:$D$35,MATCH($E949,单位档案!$A$6:$A$35,0)),"")))))</f>
        <v/>
      </c>
      <c r="J949" s="22"/>
      <c r="K949" s="22"/>
      <c r="L949" s="33" t="str">
        <f aca="false">IF($B949="","",IF(NOT(ISNUMBER($B949)),"日期格式不对",IF($C949="","未选项目编号",IF(LEFT($M949,1)="⚠","项目编号不存在",IF($D949="","未选业务类型",IF($E949="","未选开票/付款方",IF(ISNA(MATCH($E949,单位档案!$A$6:$A$35,0)),"开票方不在单位档案",IF($F949="","未选收票/收款方",IF(ISNA(MATCH($F949,单位档案!$A$6:$A$35,0)),"收款方不在单位档案",IF(NOT(ISNUMBER($H949)),"金额须为数字",IF(AND($D949="销项开票",$N949="—"),"链条待确认","√")))))))))))</f>
        <v/>
      </c>
      <c r="M949" s="34" t="str">
        <f aca="false">IF($C949="","",IFERROR(INDEX(项目档案!$B$6:$B$255,MATCH($C949,项目档案!$A$6:$A$255,0)),"⚠项目编号不存在"))</f>
        <v/>
      </c>
      <c r="N949" s="35" t="str">
        <f aca="false">IF($E949="","",IF($E949=IFERROR(INDEX(项目档案!$D$6:$D$255,MATCH($C949,项目档案!$A$6:$A$255,0)),""),"一级",IF($E949=IFERROR(INDEX(项目档案!$F$6:$F$255,MATCH($C949,项目档案!$A$6:$A$255,0)),""),"二级",IF($E949=IFERROR(INDEX(项目档案!$H$6:$H$255,MATCH($C949,项目档案!$A$6:$A$255,0)),""),"我方","—"))))</f>
        <v/>
      </c>
      <c r="O949" s="36" t="n">
        <f aca="false">IF($D949&lt;&gt;"销项开票",0,ROUND(N($H949)*N($I949),2))</f>
        <v>0</v>
      </c>
      <c r="P949" s="36" t="n">
        <f aca="false">IF($D949&lt;&gt;"销项开票",0,ROUND(N($H949)-$O949,2))</f>
        <v>0</v>
      </c>
      <c r="Q949" s="37" t="str">
        <f aca="false">IF($E949="","",N(IFERROR(INDEX(单位档案!$E$6:$E$35,MATCH($E949,单位档案!$A$6:$A$35,0)),"")))</f>
        <v/>
      </c>
      <c r="R949" s="37" t="str">
        <f aca="false">IF($E949="","",N(IFERROR(INDEX(单位档案!$F$6:$F$35,MATCH($E949,单位档案!$A$6:$A$35,0)),"")))</f>
        <v/>
      </c>
      <c r="S949" s="36" t="n">
        <f aca="false">IF(OR($D949&lt;&gt;"销项开票",IFERROR(INDEX(单位档案!$G$6:$G$35,MATCH($E949,单位档案!$A$6:$A$35,0)),"")&lt;&gt;"是",N($Q949)=0),0,IF(IFERROR(INDEX(单位档案!$H$6:$H$35,MATCH($E949,单位档案!$A$6:$A$35,0)),"")="税差法",ROUND(N($H949)/(1+$Q949)*$Q949-IF(N($R949)=0,0,$P949/(1+$R949)*$R949),2),ROUND(N($H949)/(1+$Q949)*$Q949,2)))</f>
        <v>0</v>
      </c>
      <c r="T949" s="36" t="n">
        <f aca="false">ROUND($S949*N(IFERROR(INDEX(单位档案!$J$6:$J$35,MATCH($E949,单位档案!$A$6:$A$35,0)),"")),2)</f>
        <v>0</v>
      </c>
      <c r="U949" s="36" t="n">
        <f aca="false">IF($D949&lt;&gt;"销项开票",0,ROUND(N($H949)*N(IFERROR(INDEX(单位档案!$K$6:$K$35,MATCH($E949,单位档案!$A$6:$A$35,0)),"")),2))</f>
        <v>0</v>
      </c>
      <c r="V949" s="36" t="n">
        <f aca="false">IF(OR($D949&lt;&gt;"销项开票",N($Q949)=0),0,ROUND(N($H949)/(1+$Q949)*N(IFERROR(INDEX(单位档案!$L$6:$L$35,MATCH($E949,单位档案!$A$6:$A$35,0)),"")),2))</f>
        <v>0</v>
      </c>
      <c r="W949" s="36" t="n">
        <f aca="false">ROUND($S949+$T949+$U949+$V949,2)</f>
        <v>0</v>
      </c>
      <c r="X949" s="35" t="str">
        <f aca="false">IF(OR($D949="挂靠代收",$D949="我方收款"),COUNTIFS($D$5:$D949,"挂靠代收")+COUNTIFS($D$5:$D949,"我方收款"),"")</f>
        <v/>
      </c>
      <c r="Y949" s="35"/>
      <c r="Z949" s="21" t="s">
        <v>111</v>
      </c>
    </row>
    <row r="950" customFormat="false" ht="15.75" hidden="false" customHeight="true" outlineLevel="0" collapsed="false">
      <c r="A950" s="32" t="str">
        <f aca="false">IF($B950="","",ROW()-4)</f>
        <v/>
      </c>
      <c r="B950" s="26"/>
      <c r="C950" s="24"/>
      <c r="D950" s="21"/>
      <c r="E950" s="21"/>
      <c r="F950" s="21"/>
      <c r="G950" s="21"/>
      <c r="H950" s="27"/>
      <c r="I950" s="23" t="str">
        <f aca="false">IF($D950&lt;&gt;"销项开票","",IF($N950="一级",IF(IFERROR(INDEX(项目档案!$E$6:$E$255,MATCH($C950,项目档案!$A$6:$A$255,0)),"")="",N(IFERROR(INDEX(单位档案!$D$6:$D$35,MATCH($E950,单位档案!$A$6:$A$35,0)),"")),IFERROR(INDEX(项目档案!$E$6:$E$255,MATCH($C950,项目档案!$A$6:$A$255,0)),"")),IF($N950="二级",IF(IFERROR(INDEX(项目档案!$G$6:$G$255,MATCH($C950,项目档案!$A$6:$A$255,0)),"")="",N(IFERROR(INDEX(单位档案!$D$6:$D$35,MATCH($E950,单位档案!$A$6:$A$35,0)),"")),IFERROR(INDEX(项目档案!$G$6:$G$255,MATCH($C950,项目档案!$A$6:$A$255,0)),"")),N(IFERROR(INDEX(单位档案!$D$6:$D$35,MATCH($E950,单位档案!$A$6:$A$35,0)),"")))))</f>
        <v/>
      </c>
      <c r="J950" s="22"/>
      <c r="K950" s="22"/>
      <c r="L950" s="33" t="str">
        <f aca="false">IF($B950="","",IF(NOT(ISNUMBER($B950)),"日期格式不对",IF($C950="","未选项目编号",IF(LEFT($M950,1)="⚠","项目编号不存在",IF($D950="","未选业务类型",IF($E950="","未选开票/付款方",IF(ISNA(MATCH($E950,单位档案!$A$6:$A$35,0)),"开票方不在单位档案",IF($F950="","未选收票/收款方",IF(ISNA(MATCH($F950,单位档案!$A$6:$A$35,0)),"收款方不在单位档案",IF(NOT(ISNUMBER($H950)),"金额须为数字",IF(AND($D950="销项开票",$N950="—"),"链条待确认","√")))))))))))</f>
        <v/>
      </c>
      <c r="M950" s="34" t="str">
        <f aca="false">IF($C950="","",IFERROR(INDEX(项目档案!$B$6:$B$255,MATCH($C950,项目档案!$A$6:$A$255,0)),"⚠项目编号不存在"))</f>
        <v/>
      </c>
      <c r="N950" s="35" t="str">
        <f aca="false">IF($E950="","",IF($E950=IFERROR(INDEX(项目档案!$D$6:$D$255,MATCH($C950,项目档案!$A$6:$A$255,0)),""),"一级",IF($E950=IFERROR(INDEX(项目档案!$F$6:$F$255,MATCH($C950,项目档案!$A$6:$A$255,0)),""),"二级",IF($E950=IFERROR(INDEX(项目档案!$H$6:$H$255,MATCH($C950,项目档案!$A$6:$A$255,0)),""),"我方","—"))))</f>
        <v/>
      </c>
      <c r="O950" s="36" t="n">
        <f aca="false">IF($D950&lt;&gt;"销项开票",0,ROUND(N($H950)*N($I950),2))</f>
        <v>0</v>
      </c>
      <c r="P950" s="36" t="n">
        <f aca="false">IF($D950&lt;&gt;"销项开票",0,ROUND(N($H950)-$O950,2))</f>
        <v>0</v>
      </c>
      <c r="Q950" s="37" t="str">
        <f aca="false">IF($E950="","",N(IFERROR(INDEX(单位档案!$E$6:$E$35,MATCH($E950,单位档案!$A$6:$A$35,0)),"")))</f>
        <v/>
      </c>
      <c r="R950" s="37" t="str">
        <f aca="false">IF($E950="","",N(IFERROR(INDEX(单位档案!$F$6:$F$35,MATCH($E950,单位档案!$A$6:$A$35,0)),"")))</f>
        <v/>
      </c>
      <c r="S950" s="36" t="n">
        <f aca="false">IF(OR($D950&lt;&gt;"销项开票",IFERROR(INDEX(单位档案!$G$6:$G$35,MATCH($E950,单位档案!$A$6:$A$35,0)),"")&lt;&gt;"是",N($Q950)=0),0,IF(IFERROR(INDEX(单位档案!$H$6:$H$35,MATCH($E950,单位档案!$A$6:$A$35,0)),"")="税差法",ROUND(N($H950)/(1+$Q950)*$Q950-IF(N($R950)=0,0,$P950/(1+$R950)*$R950),2),ROUND(N($H950)/(1+$Q950)*$Q950,2)))</f>
        <v>0</v>
      </c>
      <c r="T950" s="36" t="n">
        <f aca="false">ROUND($S950*N(IFERROR(INDEX(单位档案!$J$6:$J$35,MATCH($E950,单位档案!$A$6:$A$35,0)),"")),2)</f>
        <v>0</v>
      </c>
      <c r="U950" s="36" t="n">
        <f aca="false">IF($D950&lt;&gt;"销项开票",0,ROUND(N($H950)*N(IFERROR(INDEX(单位档案!$K$6:$K$35,MATCH($E950,单位档案!$A$6:$A$35,0)),"")),2))</f>
        <v>0</v>
      </c>
      <c r="V950" s="36" t="n">
        <f aca="false">IF(OR($D950&lt;&gt;"销项开票",N($Q950)=0),0,ROUND(N($H950)/(1+$Q950)*N(IFERROR(INDEX(单位档案!$L$6:$L$35,MATCH($E950,单位档案!$A$6:$A$35,0)),"")),2))</f>
        <v>0</v>
      </c>
      <c r="W950" s="36" t="n">
        <f aca="false">ROUND($S950+$T950+$U950+$V950,2)</f>
        <v>0</v>
      </c>
      <c r="X950" s="35" t="str">
        <f aca="false">IF(OR($D950="挂靠代收",$D950="我方收款"),COUNTIFS($D$5:$D950,"挂靠代收")+COUNTIFS($D$5:$D950,"我方收款"),"")</f>
        <v/>
      </c>
      <c r="Y950" s="35"/>
      <c r="Z950" s="21" t="s">
        <v>111</v>
      </c>
    </row>
    <row r="951" customFormat="false" ht="15.75" hidden="false" customHeight="true" outlineLevel="0" collapsed="false">
      <c r="A951" s="32" t="str">
        <f aca="false">IF($B951="","",ROW()-4)</f>
        <v/>
      </c>
      <c r="B951" s="26"/>
      <c r="C951" s="24"/>
      <c r="D951" s="21"/>
      <c r="E951" s="21"/>
      <c r="F951" s="21"/>
      <c r="G951" s="21"/>
      <c r="H951" s="27"/>
      <c r="I951" s="23" t="str">
        <f aca="false">IF($D951&lt;&gt;"销项开票","",IF($N951="一级",IF(IFERROR(INDEX(项目档案!$E$6:$E$255,MATCH($C951,项目档案!$A$6:$A$255,0)),"")="",N(IFERROR(INDEX(单位档案!$D$6:$D$35,MATCH($E951,单位档案!$A$6:$A$35,0)),"")),IFERROR(INDEX(项目档案!$E$6:$E$255,MATCH($C951,项目档案!$A$6:$A$255,0)),"")),IF($N951="二级",IF(IFERROR(INDEX(项目档案!$G$6:$G$255,MATCH($C951,项目档案!$A$6:$A$255,0)),"")="",N(IFERROR(INDEX(单位档案!$D$6:$D$35,MATCH($E951,单位档案!$A$6:$A$35,0)),"")),IFERROR(INDEX(项目档案!$G$6:$G$255,MATCH($C951,项目档案!$A$6:$A$255,0)),"")),N(IFERROR(INDEX(单位档案!$D$6:$D$35,MATCH($E951,单位档案!$A$6:$A$35,0)),"")))))</f>
        <v/>
      </c>
      <c r="J951" s="22"/>
      <c r="K951" s="22"/>
      <c r="L951" s="33" t="str">
        <f aca="false">IF($B951="","",IF(NOT(ISNUMBER($B951)),"日期格式不对",IF($C951="","未选项目编号",IF(LEFT($M951,1)="⚠","项目编号不存在",IF($D951="","未选业务类型",IF($E951="","未选开票/付款方",IF(ISNA(MATCH($E951,单位档案!$A$6:$A$35,0)),"开票方不在单位档案",IF($F951="","未选收票/收款方",IF(ISNA(MATCH($F951,单位档案!$A$6:$A$35,0)),"收款方不在单位档案",IF(NOT(ISNUMBER($H951)),"金额须为数字",IF(AND($D951="销项开票",$N951="—"),"链条待确认","√")))))))))))</f>
        <v/>
      </c>
      <c r="M951" s="34" t="str">
        <f aca="false">IF($C951="","",IFERROR(INDEX(项目档案!$B$6:$B$255,MATCH($C951,项目档案!$A$6:$A$255,0)),"⚠项目编号不存在"))</f>
        <v/>
      </c>
      <c r="N951" s="35" t="str">
        <f aca="false">IF($E951="","",IF($E951=IFERROR(INDEX(项目档案!$D$6:$D$255,MATCH($C951,项目档案!$A$6:$A$255,0)),""),"一级",IF($E951=IFERROR(INDEX(项目档案!$F$6:$F$255,MATCH($C951,项目档案!$A$6:$A$255,0)),""),"二级",IF($E951=IFERROR(INDEX(项目档案!$H$6:$H$255,MATCH($C951,项目档案!$A$6:$A$255,0)),""),"我方","—"))))</f>
        <v/>
      </c>
      <c r="O951" s="36" t="n">
        <f aca="false">IF($D951&lt;&gt;"销项开票",0,ROUND(N($H951)*N($I951),2))</f>
        <v>0</v>
      </c>
      <c r="P951" s="36" t="n">
        <f aca="false">IF($D951&lt;&gt;"销项开票",0,ROUND(N($H951)-$O951,2))</f>
        <v>0</v>
      </c>
      <c r="Q951" s="37" t="str">
        <f aca="false">IF($E951="","",N(IFERROR(INDEX(单位档案!$E$6:$E$35,MATCH($E951,单位档案!$A$6:$A$35,0)),"")))</f>
        <v/>
      </c>
      <c r="R951" s="37" t="str">
        <f aca="false">IF($E951="","",N(IFERROR(INDEX(单位档案!$F$6:$F$35,MATCH($E951,单位档案!$A$6:$A$35,0)),"")))</f>
        <v/>
      </c>
      <c r="S951" s="36" t="n">
        <f aca="false">IF(OR($D951&lt;&gt;"销项开票",IFERROR(INDEX(单位档案!$G$6:$G$35,MATCH($E951,单位档案!$A$6:$A$35,0)),"")&lt;&gt;"是",N($Q951)=0),0,IF(IFERROR(INDEX(单位档案!$H$6:$H$35,MATCH($E951,单位档案!$A$6:$A$35,0)),"")="税差法",ROUND(N($H951)/(1+$Q951)*$Q951-IF(N($R951)=0,0,$P951/(1+$R951)*$R951),2),ROUND(N($H951)/(1+$Q951)*$Q951,2)))</f>
        <v>0</v>
      </c>
      <c r="T951" s="36" t="n">
        <f aca="false">ROUND($S951*N(IFERROR(INDEX(单位档案!$J$6:$J$35,MATCH($E951,单位档案!$A$6:$A$35,0)),"")),2)</f>
        <v>0</v>
      </c>
      <c r="U951" s="36" t="n">
        <f aca="false">IF($D951&lt;&gt;"销项开票",0,ROUND(N($H951)*N(IFERROR(INDEX(单位档案!$K$6:$K$35,MATCH($E951,单位档案!$A$6:$A$35,0)),"")),2))</f>
        <v>0</v>
      </c>
      <c r="V951" s="36" t="n">
        <f aca="false">IF(OR($D951&lt;&gt;"销项开票",N($Q951)=0),0,ROUND(N($H951)/(1+$Q951)*N(IFERROR(INDEX(单位档案!$L$6:$L$35,MATCH($E951,单位档案!$A$6:$A$35,0)),"")),2))</f>
        <v>0</v>
      </c>
      <c r="W951" s="36" t="n">
        <f aca="false">ROUND($S951+$T951+$U951+$V951,2)</f>
        <v>0</v>
      </c>
      <c r="X951" s="35" t="str">
        <f aca="false">IF(OR($D951="挂靠代收",$D951="我方收款"),COUNTIFS($D$5:$D951,"挂靠代收")+COUNTIFS($D$5:$D951,"我方收款"),"")</f>
        <v/>
      </c>
      <c r="Y951" s="35"/>
      <c r="Z951" s="21" t="s">
        <v>111</v>
      </c>
    </row>
    <row r="952" customFormat="false" ht="15.75" hidden="false" customHeight="true" outlineLevel="0" collapsed="false">
      <c r="A952" s="32" t="str">
        <f aca="false">IF($B952="","",ROW()-4)</f>
        <v/>
      </c>
      <c r="B952" s="26"/>
      <c r="C952" s="24"/>
      <c r="D952" s="21"/>
      <c r="E952" s="21"/>
      <c r="F952" s="21"/>
      <c r="G952" s="21"/>
      <c r="H952" s="27"/>
      <c r="I952" s="23" t="str">
        <f aca="false">IF($D952&lt;&gt;"销项开票","",IF($N952="一级",IF(IFERROR(INDEX(项目档案!$E$6:$E$255,MATCH($C952,项目档案!$A$6:$A$255,0)),"")="",N(IFERROR(INDEX(单位档案!$D$6:$D$35,MATCH($E952,单位档案!$A$6:$A$35,0)),"")),IFERROR(INDEX(项目档案!$E$6:$E$255,MATCH($C952,项目档案!$A$6:$A$255,0)),"")),IF($N952="二级",IF(IFERROR(INDEX(项目档案!$G$6:$G$255,MATCH($C952,项目档案!$A$6:$A$255,0)),"")="",N(IFERROR(INDEX(单位档案!$D$6:$D$35,MATCH($E952,单位档案!$A$6:$A$35,0)),"")),IFERROR(INDEX(项目档案!$G$6:$G$255,MATCH($C952,项目档案!$A$6:$A$255,0)),"")),N(IFERROR(INDEX(单位档案!$D$6:$D$35,MATCH($E952,单位档案!$A$6:$A$35,0)),"")))))</f>
        <v/>
      </c>
      <c r="J952" s="22"/>
      <c r="K952" s="22"/>
      <c r="L952" s="33" t="str">
        <f aca="false">IF($B952="","",IF(NOT(ISNUMBER($B952)),"日期格式不对",IF($C952="","未选项目编号",IF(LEFT($M952,1)="⚠","项目编号不存在",IF($D952="","未选业务类型",IF($E952="","未选开票/付款方",IF(ISNA(MATCH($E952,单位档案!$A$6:$A$35,0)),"开票方不在单位档案",IF($F952="","未选收票/收款方",IF(ISNA(MATCH($F952,单位档案!$A$6:$A$35,0)),"收款方不在单位档案",IF(NOT(ISNUMBER($H952)),"金额须为数字",IF(AND($D952="销项开票",$N952="—"),"链条待确认","√")))))))))))</f>
        <v/>
      </c>
      <c r="M952" s="34" t="str">
        <f aca="false">IF($C952="","",IFERROR(INDEX(项目档案!$B$6:$B$255,MATCH($C952,项目档案!$A$6:$A$255,0)),"⚠项目编号不存在"))</f>
        <v/>
      </c>
      <c r="N952" s="35" t="str">
        <f aca="false">IF($E952="","",IF($E952=IFERROR(INDEX(项目档案!$D$6:$D$255,MATCH($C952,项目档案!$A$6:$A$255,0)),""),"一级",IF($E952=IFERROR(INDEX(项目档案!$F$6:$F$255,MATCH($C952,项目档案!$A$6:$A$255,0)),""),"二级",IF($E952=IFERROR(INDEX(项目档案!$H$6:$H$255,MATCH($C952,项目档案!$A$6:$A$255,0)),""),"我方","—"))))</f>
        <v/>
      </c>
      <c r="O952" s="36" t="n">
        <f aca="false">IF($D952&lt;&gt;"销项开票",0,ROUND(N($H952)*N($I952),2))</f>
        <v>0</v>
      </c>
      <c r="P952" s="36" t="n">
        <f aca="false">IF($D952&lt;&gt;"销项开票",0,ROUND(N($H952)-$O952,2))</f>
        <v>0</v>
      </c>
      <c r="Q952" s="37" t="str">
        <f aca="false">IF($E952="","",N(IFERROR(INDEX(单位档案!$E$6:$E$35,MATCH($E952,单位档案!$A$6:$A$35,0)),"")))</f>
        <v/>
      </c>
      <c r="R952" s="37" t="str">
        <f aca="false">IF($E952="","",N(IFERROR(INDEX(单位档案!$F$6:$F$35,MATCH($E952,单位档案!$A$6:$A$35,0)),"")))</f>
        <v/>
      </c>
      <c r="S952" s="36" t="n">
        <f aca="false">IF(OR($D952&lt;&gt;"销项开票",IFERROR(INDEX(单位档案!$G$6:$G$35,MATCH($E952,单位档案!$A$6:$A$35,0)),"")&lt;&gt;"是",N($Q952)=0),0,IF(IFERROR(INDEX(单位档案!$H$6:$H$35,MATCH($E952,单位档案!$A$6:$A$35,0)),"")="税差法",ROUND(N($H952)/(1+$Q952)*$Q952-IF(N($R952)=0,0,$P952/(1+$R952)*$R952),2),ROUND(N($H952)/(1+$Q952)*$Q952,2)))</f>
        <v>0</v>
      </c>
      <c r="T952" s="36" t="n">
        <f aca="false">ROUND($S952*N(IFERROR(INDEX(单位档案!$J$6:$J$35,MATCH($E952,单位档案!$A$6:$A$35,0)),"")),2)</f>
        <v>0</v>
      </c>
      <c r="U952" s="36" t="n">
        <f aca="false">IF($D952&lt;&gt;"销项开票",0,ROUND(N($H952)*N(IFERROR(INDEX(单位档案!$K$6:$K$35,MATCH($E952,单位档案!$A$6:$A$35,0)),"")),2))</f>
        <v>0</v>
      </c>
      <c r="V952" s="36" t="n">
        <f aca="false">IF(OR($D952&lt;&gt;"销项开票",N($Q952)=0),0,ROUND(N($H952)/(1+$Q952)*N(IFERROR(INDEX(单位档案!$L$6:$L$35,MATCH($E952,单位档案!$A$6:$A$35,0)),"")),2))</f>
        <v>0</v>
      </c>
      <c r="W952" s="36" t="n">
        <f aca="false">ROUND($S952+$T952+$U952+$V952,2)</f>
        <v>0</v>
      </c>
      <c r="X952" s="35" t="str">
        <f aca="false">IF(OR($D952="挂靠代收",$D952="我方收款"),COUNTIFS($D$5:$D952,"挂靠代收")+COUNTIFS($D$5:$D952,"我方收款"),"")</f>
        <v/>
      </c>
      <c r="Y952" s="35"/>
      <c r="Z952" s="21" t="s">
        <v>111</v>
      </c>
    </row>
    <row r="953" customFormat="false" ht="15.75" hidden="false" customHeight="true" outlineLevel="0" collapsed="false">
      <c r="A953" s="32" t="str">
        <f aca="false">IF($B953="","",ROW()-4)</f>
        <v/>
      </c>
      <c r="B953" s="26"/>
      <c r="C953" s="24"/>
      <c r="D953" s="21"/>
      <c r="E953" s="21"/>
      <c r="F953" s="21"/>
      <c r="G953" s="21"/>
      <c r="H953" s="27"/>
      <c r="I953" s="23" t="str">
        <f aca="false">IF($D953&lt;&gt;"销项开票","",IF($N953="一级",IF(IFERROR(INDEX(项目档案!$E$6:$E$255,MATCH($C953,项目档案!$A$6:$A$255,0)),"")="",N(IFERROR(INDEX(单位档案!$D$6:$D$35,MATCH($E953,单位档案!$A$6:$A$35,0)),"")),IFERROR(INDEX(项目档案!$E$6:$E$255,MATCH($C953,项目档案!$A$6:$A$255,0)),"")),IF($N953="二级",IF(IFERROR(INDEX(项目档案!$G$6:$G$255,MATCH($C953,项目档案!$A$6:$A$255,0)),"")="",N(IFERROR(INDEX(单位档案!$D$6:$D$35,MATCH($E953,单位档案!$A$6:$A$35,0)),"")),IFERROR(INDEX(项目档案!$G$6:$G$255,MATCH($C953,项目档案!$A$6:$A$255,0)),"")),N(IFERROR(INDEX(单位档案!$D$6:$D$35,MATCH($E953,单位档案!$A$6:$A$35,0)),"")))))</f>
        <v/>
      </c>
      <c r="J953" s="22"/>
      <c r="K953" s="22"/>
      <c r="L953" s="33" t="str">
        <f aca="false">IF($B953="","",IF(NOT(ISNUMBER($B953)),"日期格式不对",IF($C953="","未选项目编号",IF(LEFT($M953,1)="⚠","项目编号不存在",IF($D953="","未选业务类型",IF($E953="","未选开票/付款方",IF(ISNA(MATCH($E953,单位档案!$A$6:$A$35,0)),"开票方不在单位档案",IF($F953="","未选收票/收款方",IF(ISNA(MATCH($F953,单位档案!$A$6:$A$35,0)),"收款方不在单位档案",IF(NOT(ISNUMBER($H953)),"金额须为数字",IF(AND($D953="销项开票",$N953="—"),"链条待确认","√")))))))))))</f>
        <v/>
      </c>
      <c r="M953" s="34" t="str">
        <f aca="false">IF($C953="","",IFERROR(INDEX(项目档案!$B$6:$B$255,MATCH($C953,项目档案!$A$6:$A$255,0)),"⚠项目编号不存在"))</f>
        <v/>
      </c>
      <c r="N953" s="35" t="str">
        <f aca="false">IF($E953="","",IF($E953=IFERROR(INDEX(项目档案!$D$6:$D$255,MATCH($C953,项目档案!$A$6:$A$255,0)),""),"一级",IF($E953=IFERROR(INDEX(项目档案!$F$6:$F$255,MATCH($C953,项目档案!$A$6:$A$255,0)),""),"二级",IF($E953=IFERROR(INDEX(项目档案!$H$6:$H$255,MATCH($C953,项目档案!$A$6:$A$255,0)),""),"我方","—"))))</f>
        <v/>
      </c>
      <c r="O953" s="36" t="n">
        <f aca="false">IF($D953&lt;&gt;"销项开票",0,ROUND(N($H953)*N($I953),2))</f>
        <v>0</v>
      </c>
      <c r="P953" s="36" t="n">
        <f aca="false">IF($D953&lt;&gt;"销项开票",0,ROUND(N($H953)-$O953,2))</f>
        <v>0</v>
      </c>
      <c r="Q953" s="37" t="str">
        <f aca="false">IF($E953="","",N(IFERROR(INDEX(单位档案!$E$6:$E$35,MATCH($E953,单位档案!$A$6:$A$35,0)),"")))</f>
        <v/>
      </c>
      <c r="R953" s="37" t="str">
        <f aca="false">IF($E953="","",N(IFERROR(INDEX(单位档案!$F$6:$F$35,MATCH($E953,单位档案!$A$6:$A$35,0)),"")))</f>
        <v/>
      </c>
      <c r="S953" s="36" t="n">
        <f aca="false">IF(OR($D953&lt;&gt;"销项开票",IFERROR(INDEX(单位档案!$G$6:$G$35,MATCH($E953,单位档案!$A$6:$A$35,0)),"")&lt;&gt;"是",N($Q953)=0),0,IF(IFERROR(INDEX(单位档案!$H$6:$H$35,MATCH($E953,单位档案!$A$6:$A$35,0)),"")="税差法",ROUND(N($H953)/(1+$Q953)*$Q953-IF(N($R953)=0,0,$P953/(1+$R953)*$R953),2),ROUND(N($H953)/(1+$Q953)*$Q953,2)))</f>
        <v>0</v>
      </c>
      <c r="T953" s="36" t="n">
        <f aca="false">ROUND($S953*N(IFERROR(INDEX(单位档案!$J$6:$J$35,MATCH($E953,单位档案!$A$6:$A$35,0)),"")),2)</f>
        <v>0</v>
      </c>
      <c r="U953" s="36" t="n">
        <f aca="false">IF($D953&lt;&gt;"销项开票",0,ROUND(N($H953)*N(IFERROR(INDEX(单位档案!$K$6:$K$35,MATCH($E953,单位档案!$A$6:$A$35,0)),"")),2))</f>
        <v>0</v>
      </c>
      <c r="V953" s="36" t="n">
        <f aca="false">IF(OR($D953&lt;&gt;"销项开票",N($Q953)=0),0,ROUND(N($H953)/(1+$Q953)*N(IFERROR(INDEX(单位档案!$L$6:$L$35,MATCH($E953,单位档案!$A$6:$A$35,0)),"")),2))</f>
        <v>0</v>
      </c>
      <c r="W953" s="36" t="n">
        <f aca="false">ROUND($S953+$T953+$U953+$V953,2)</f>
        <v>0</v>
      </c>
      <c r="X953" s="35" t="str">
        <f aca="false">IF(OR($D953="挂靠代收",$D953="我方收款"),COUNTIFS($D$5:$D953,"挂靠代收")+COUNTIFS($D$5:$D953,"我方收款"),"")</f>
        <v/>
      </c>
      <c r="Y953" s="35"/>
      <c r="Z953" s="21" t="s">
        <v>111</v>
      </c>
    </row>
    <row r="954" customFormat="false" ht="15.75" hidden="false" customHeight="true" outlineLevel="0" collapsed="false">
      <c r="A954" s="32" t="str">
        <f aca="false">IF($B954="","",ROW()-4)</f>
        <v/>
      </c>
      <c r="B954" s="26"/>
      <c r="C954" s="24"/>
      <c r="D954" s="21"/>
      <c r="E954" s="21"/>
      <c r="F954" s="21"/>
      <c r="G954" s="21"/>
      <c r="H954" s="27"/>
      <c r="I954" s="23" t="str">
        <f aca="false">IF($D954&lt;&gt;"销项开票","",IF($N954="一级",IF(IFERROR(INDEX(项目档案!$E$6:$E$255,MATCH($C954,项目档案!$A$6:$A$255,0)),"")="",N(IFERROR(INDEX(单位档案!$D$6:$D$35,MATCH($E954,单位档案!$A$6:$A$35,0)),"")),IFERROR(INDEX(项目档案!$E$6:$E$255,MATCH($C954,项目档案!$A$6:$A$255,0)),"")),IF($N954="二级",IF(IFERROR(INDEX(项目档案!$G$6:$G$255,MATCH($C954,项目档案!$A$6:$A$255,0)),"")="",N(IFERROR(INDEX(单位档案!$D$6:$D$35,MATCH($E954,单位档案!$A$6:$A$35,0)),"")),IFERROR(INDEX(项目档案!$G$6:$G$255,MATCH($C954,项目档案!$A$6:$A$255,0)),"")),N(IFERROR(INDEX(单位档案!$D$6:$D$35,MATCH($E954,单位档案!$A$6:$A$35,0)),"")))))</f>
        <v/>
      </c>
      <c r="J954" s="22"/>
      <c r="K954" s="22"/>
      <c r="L954" s="33" t="str">
        <f aca="false">IF($B954="","",IF(NOT(ISNUMBER($B954)),"日期格式不对",IF($C954="","未选项目编号",IF(LEFT($M954,1)="⚠","项目编号不存在",IF($D954="","未选业务类型",IF($E954="","未选开票/付款方",IF(ISNA(MATCH($E954,单位档案!$A$6:$A$35,0)),"开票方不在单位档案",IF($F954="","未选收票/收款方",IF(ISNA(MATCH($F954,单位档案!$A$6:$A$35,0)),"收款方不在单位档案",IF(NOT(ISNUMBER($H954)),"金额须为数字",IF(AND($D954="销项开票",$N954="—"),"链条待确认","√")))))))))))</f>
        <v/>
      </c>
      <c r="M954" s="34" t="str">
        <f aca="false">IF($C954="","",IFERROR(INDEX(项目档案!$B$6:$B$255,MATCH($C954,项目档案!$A$6:$A$255,0)),"⚠项目编号不存在"))</f>
        <v/>
      </c>
      <c r="N954" s="35" t="str">
        <f aca="false">IF($E954="","",IF($E954=IFERROR(INDEX(项目档案!$D$6:$D$255,MATCH($C954,项目档案!$A$6:$A$255,0)),""),"一级",IF($E954=IFERROR(INDEX(项目档案!$F$6:$F$255,MATCH($C954,项目档案!$A$6:$A$255,0)),""),"二级",IF($E954=IFERROR(INDEX(项目档案!$H$6:$H$255,MATCH($C954,项目档案!$A$6:$A$255,0)),""),"我方","—"))))</f>
        <v/>
      </c>
      <c r="O954" s="36" t="n">
        <f aca="false">IF($D954&lt;&gt;"销项开票",0,ROUND(N($H954)*N($I954),2))</f>
        <v>0</v>
      </c>
      <c r="P954" s="36" t="n">
        <f aca="false">IF($D954&lt;&gt;"销项开票",0,ROUND(N($H954)-$O954,2))</f>
        <v>0</v>
      </c>
      <c r="Q954" s="37" t="str">
        <f aca="false">IF($E954="","",N(IFERROR(INDEX(单位档案!$E$6:$E$35,MATCH($E954,单位档案!$A$6:$A$35,0)),"")))</f>
        <v/>
      </c>
      <c r="R954" s="37" t="str">
        <f aca="false">IF($E954="","",N(IFERROR(INDEX(单位档案!$F$6:$F$35,MATCH($E954,单位档案!$A$6:$A$35,0)),"")))</f>
        <v/>
      </c>
      <c r="S954" s="36" t="n">
        <f aca="false">IF(OR($D954&lt;&gt;"销项开票",IFERROR(INDEX(单位档案!$G$6:$G$35,MATCH($E954,单位档案!$A$6:$A$35,0)),"")&lt;&gt;"是",N($Q954)=0),0,IF(IFERROR(INDEX(单位档案!$H$6:$H$35,MATCH($E954,单位档案!$A$6:$A$35,0)),"")="税差法",ROUND(N($H954)/(1+$Q954)*$Q954-IF(N($R954)=0,0,$P954/(1+$R954)*$R954),2),ROUND(N($H954)/(1+$Q954)*$Q954,2)))</f>
        <v>0</v>
      </c>
      <c r="T954" s="36" t="n">
        <f aca="false">ROUND($S954*N(IFERROR(INDEX(单位档案!$J$6:$J$35,MATCH($E954,单位档案!$A$6:$A$35,0)),"")),2)</f>
        <v>0</v>
      </c>
      <c r="U954" s="36" t="n">
        <f aca="false">IF($D954&lt;&gt;"销项开票",0,ROUND(N($H954)*N(IFERROR(INDEX(单位档案!$K$6:$K$35,MATCH($E954,单位档案!$A$6:$A$35,0)),"")),2))</f>
        <v>0</v>
      </c>
      <c r="V954" s="36" t="n">
        <f aca="false">IF(OR($D954&lt;&gt;"销项开票",N($Q954)=0),0,ROUND(N($H954)/(1+$Q954)*N(IFERROR(INDEX(单位档案!$L$6:$L$35,MATCH($E954,单位档案!$A$6:$A$35,0)),"")),2))</f>
        <v>0</v>
      </c>
      <c r="W954" s="36" t="n">
        <f aca="false">ROUND($S954+$T954+$U954+$V954,2)</f>
        <v>0</v>
      </c>
      <c r="X954" s="35" t="str">
        <f aca="false">IF(OR($D954="挂靠代收",$D954="我方收款"),COUNTIFS($D$5:$D954,"挂靠代收")+COUNTIFS($D$5:$D954,"我方收款"),"")</f>
        <v/>
      </c>
      <c r="Y954" s="35"/>
      <c r="Z954" s="21" t="s">
        <v>111</v>
      </c>
    </row>
    <row r="955" customFormat="false" ht="15.75" hidden="false" customHeight="true" outlineLevel="0" collapsed="false">
      <c r="A955" s="32" t="str">
        <f aca="false">IF($B955="","",ROW()-4)</f>
        <v/>
      </c>
      <c r="B955" s="26"/>
      <c r="C955" s="24"/>
      <c r="D955" s="21"/>
      <c r="E955" s="21"/>
      <c r="F955" s="21"/>
      <c r="G955" s="21"/>
      <c r="H955" s="27"/>
      <c r="I955" s="23" t="str">
        <f aca="false">IF($D955&lt;&gt;"销项开票","",IF($N955="一级",IF(IFERROR(INDEX(项目档案!$E$6:$E$255,MATCH($C955,项目档案!$A$6:$A$255,0)),"")="",N(IFERROR(INDEX(单位档案!$D$6:$D$35,MATCH($E955,单位档案!$A$6:$A$35,0)),"")),IFERROR(INDEX(项目档案!$E$6:$E$255,MATCH($C955,项目档案!$A$6:$A$255,0)),"")),IF($N955="二级",IF(IFERROR(INDEX(项目档案!$G$6:$G$255,MATCH($C955,项目档案!$A$6:$A$255,0)),"")="",N(IFERROR(INDEX(单位档案!$D$6:$D$35,MATCH($E955,单位档案!$A$6:$A$35,0)),"")),IFERROR(INDEX(项目档案!$G$6:$G$255,MATCH($C955,项目档案!$A$6:$A$255,0)),"")),N(IFERROR(INDEX(单位档案!$D$6:$D$35,MATCH($E955,单位档案!$A$6:$A$35,0)),"")))))</f>
        <v/>
      </c>
      <c r="J955" s="22"/>
      <c r="K955" s="22"/>
      <c r="L955" s="33" t="str">
        <f aca="false">IF($B955="","",IF(NOT(ISNUMBER($B955)),"日期格式不对",IF($C955="","未选项目编号",IF(LEFT($M955,1)="⚠","项目编号不存在",IF($D955="","未选业务类型",IF($E955="","未选开票/付款方",IF(ISNA(MATCH($E955,单位档案!$A$6:$A$35,0)),"开票方不在单位档案",IF($F955="","未选收票/收款方",IF(ISNA(MATCH($F955,单位档案!$A$6:$A$35,0)),"收款方不在单位档案",IF(NOT(ISNUMBER($H955)),"金额须为数字",IF(AND($D955="销项开票",$N955="—"),"链条待确认","√")))))))))))</f>
        <v/>
      </c>
      <c r="M955" s="34" t="str">
        <f aca="false">IF($C955="","",IFERROR(INDEX(项目档案!$B$6:$B$255,MATCH($C955,项目档案!$A$6:$A$255,0)),"⚠项目编号不存在"))</f>
        <v/>
      </c>
      <c r="N955" s="35" t="str">
        <f aca="false">IF($E955="","",IF($E955=IFERROR(INDEX(项目档案!$D$6:$D$255,MATCH($C955,项目档案!$A$6:$A$255,0)),""),"一级",IF($E955=IFERROR(INDEX(项目档案!$F$6:$F$255,MATCH($C955,项目档案!$A$6:$A$255,0)),""),"二级",IF($E955=IFERROR(INDEX(项目档案!$H$6:$H$255,MATCH($C955,项目档案!$A$6:$A$255,0)),""),"我方","—"))))</f>
        <v/>
      </c>
      <c r="O955" s="36" t="n">
        <f aca="false">IF($D955&lt;&gt;"销项开票",0,ROUND(N($H955)*N($I955),2))</f>
        <v>0</v>
      </c>
      <c r="P955" s="36" t="n">
        <f aca="false">IF($D955&lt;&gt;"销项开票",0,ROUND(N($H955)-$O955,2))</f>
        <v>0</v>
      </c>
      <c r="Q955" s="37" t="str">
        <f aca="false">IF($E955="","",N(IFERROR(INDEX(单位档案!$E$6:$E$35,MATCH($E955,单位档案!$A$6:$A$35,0)),"")))</f>
        <v/>
      </c>
      <c r="R955" s="37" t="str">
        <f aca="false">IF($E955="","",N(IFERROR(INDEX(单位档案!$F$6:$F$35,MATCH($E955,单位档案!$A$6:$A$35,0)),"")))</f>
        <v/>
      </c>
      <c r="S955" s="36" t="n">
        <f aca="false">IF(OR($D955&lt;&gt;"销项开票",IFERROR(INDEX(单位档案!$G$6:$G$35,MATCH($E955,单位档案!$A$6:$A$35,0)),"")&lt;&gt;"是",N($Q955)=0),0,IF(IFERROR(INDEX(单位档案!$H$6:$H$35,MATCH($E955,单位档案!$A$6:$A$35,0)),"")="税差法",ROUND(N($H955)/(1+$Q955)*$Q955-IF(N($R955)=0,0,$P955/(1+$R955)*$R955),2),ROUND(N($H955)/(1+$Q955)*$Q955,2)))</f>
        <v>0</v>
      </c>
      <c r="T955" s="36" t="n">
        <f aca="false">ROUND($S955*N(IFERROR(INDEX(单位档案!$J$6:$J$35,MATCH($E955,单位档案!$A$6:$A$35,0)),"")),2)</f>
        <v>0</v>
      </c>
      <c r="U955" s="36" t="n">
        <f aca="false">IF($D955&lt;&gt;"销项开票",0,ROUND(N($H955)*N(IFERROR(INDEX(单位档案!$K$6:$K$35,MATCH($E955,单位档案!$A$6:$A$35,0)),"")),2))</f>
        <v>0</v>
      </c>
      <c r="V955" s="36" t="n">
        <f aca="false">IF(OR($D955&lt;&gt;"销项开票",N($Q955)=0),0,ROUND(N($H955)/(1+$Q955)*N(IFERROR(INDEX(单位档案!$L$6:$L$35,MATCH($E955,单位档案!$A$6:$A$35,0)),"")),2))</f>
        <v>0</v>
      </c>
      <c r="W955" s="36" t="n">
        <f aca="false">ROUND($S955+$T955+$U955+$V955,2)</f>
        <v>0</v>
      </c>
      <c r="X955" s="35" t="str">
        <f aca="false">IF(OR($D955="挂靠代收",$D955="我方收款"),COUNTIFS($D$5:$D955,"挂靠代收")+COUNTIFS($D$5:$D955,"我方收款"),"")</f>
        <v/>
      </c>
      <c r="Y955" s="35"/>
      <c r="Z955" s="21" t="s">
        <v>111</v>
      </c>
    </row>
    <row r="956" customFormat="false" ht="15.75" hidden="false" customHeight="true" outlineLevel="0" collapsed="false">
      <c r="A956" s="32" t="str">
        <f aca="false">IF($B956="","",ROW()-4)</f>
        <v/>
      </c>
      <c r="B956" s="26"/>
      <c r="C956" s="24"/>
      <c r="D956" s="21"/>
      <c r="E956" s="21"/>
      <c r="F956" s="21"/>
      <c r="G956" s="21"/>
      <c r="H956" s="27"/>
      <c r="I956" s="23" t="str">
        <f aca="false">IF($D956&lt;&gt;"销项开票","",IF($N956="一级",IF(IFERROR(INDEX(项目档案!$E$6:$E$255,MATCH($C956,项目档案!$A$6:$A$255,0)),"")="",N(IFERROR(INDEX(单位档案!$D$6:$D$35,MATCH($E956,单位档案!$A$6:$A$35,0)),"")),IFERROR(INDEX(项目档案!$E$6:$E$255,MATCH($C956,项目档案!$A$6:$A$255,0)),"")),IF($N956="二级",IF(IFERROR(INDEX(项目档案!$G$6:$G$255,MATCH($C956,项目档案!$A$6:$A$255,0)),"")="",N(IFERROR(INDEX(单位档案!$D$6:$D$35,MATCH($E956,单位档案!$A$6:$A$35,0)),"")),IFERROR(INDEX(项目档案!$G$6:$G$255,MATCH($C956,项目档案!$A$6:$A$255,0)),"")),N(IFERROR(INDEX(单位档案!$D$6:$D$35,MATCH($E956,单位档案!$A$6:$A$35,0)),"")))))</f>
        <v/>
      </c>
      <c r="J956" s="22"/>
      <c r="K956" s="22"/>
      <c r="L956" s="33" t="str">
        <f aca="false">IF($B956="","",IF(NOT(ISNUMBER($B956)),"日期格式不对",IF($C956="","未选项目编号",IF(LEFT($M956,1)="⚠","项目编号不存在",IF($D956="","未选业务类型",IF($E956="","未选开票/付款方",IF(ISNA(MATCH($E956,单位档案!$A$6:$A$35,0)),"开票方不在单位档案",IF($F956="","未选收票/收款方",IF(ISNA(MATCH($F956,单位档案!$A$6:$A$35,0)),"收款方不在单位档案",IF(NOT(ISNUMBER($H956)),"金额须为数字",IF(AND($D956="销项开票",$N956="—"),"链条待确认","√")))))))))))</f>
        <v/>
      </c>
      <c r="M956" s="34" t="str">
        <f aca="false">IF($C956="","",IFERROR(INDEX(项目档案!$B$6:$B$255,MATCH($C956,项目档案!$A$6:$A$255,0)),"⚠项目编号不存在"))</f>
        <v/>
      </c>
      <c r="N956" s="35" t="str">
        <f aca="false">IF($E956="","",IF($E956=IFERROR(INDEX(项目档案!$D$6:$D$255,MATCH($C956,项目档案!$A$6:$A$255,0)),""),"一级",IF($E956=IFERROR(INDEX(项目档案!$F$6:$F$255,MATCH($C956,项目档案!$A$6:$A$255,0)),""),"二级",IF($E956=IFERROR(INDEX(项目档案!$H$6:$H$255,MATCH($C956,项目档案!$A$6:$A$255,0)),""),"我方","—"))))</f>
        <v/>
      </c>
      <c r="O956" s="36" t="n">
        <f aca="false">IF($D956&lt;&gt;"销项开票",0,ROUND(N($H956)*N($I956),2))</f>
        <v>0</v>
      </c>
      <c r="P956" s="36" t="n">
        <f aca="false">IF($D956&lt;&gt;"销项开票",0,ROUND(N($H956)-$O956,2))</f>
        <v>0</v>
      </c>
      <c r="Q956" s="37" t="str">
        <f aca="false">IF($E956="","",N(IFERROR(INDEX(单位档案!$E$6:$E$35,MATCH($E956,单位档案!$A$6:$A$35,0)),"")))</f>
        <v/>
      </c>
      <c r="R956" s="37" t="str">
        <f aca="false">IF($E956="","",N(IFERROR(INDEX(单位档案!$F$6:$F$35,MATCH($E956,单位档案!$A$6:$A$35,0)),"")))</f>
        <v/>
      </c>
      <c r="S956" s="36" t="n">
        <f aca="false">IF(OR($D956&lt;&gt;"销项开票",IFERROR(INDEX(单位档案!$G$6:$G$35,MATCH($E956,单位档案!$A$6:$A$35,0)),"")&lt;&gt;"是",N($Q956)=0),0,IF(IFERROR(INDEX(单位档案!$H$6:$H$35,MATCH($E956,单位档案!$A$6:$A$35,0)),"")="税差法",ROUND(N($H956)/(1+$Q956)*$Q956-IF(N($R956)=0,0,$P956/(1+$R956)*$R956),2),ROUND(N($H956)/(1+$Q956)*$Q956,2)))</f>
        <v>0</v>
      </c>
      <c r="T956" s="36" t="n">
        <f aca="false">ROUND($S956*N(IFERROR(INDEX(单位档案!$J$6:$J$35,MATCH($E956,单位档案!$A$6:$A$35,0)),"")),2)</f>
        <v>0</v>
      </c>
      <c r="U956" s="36" t="n">
        <f aca="false">IF($D956&lt;&gt;"销项开票",0,ROUND(N($H956)*N(IFERROR(INDEX(单位档案!$K$6:$K$35,MATCH($E956,单位档案!$A$6:$A$35,0)),"")),2))</f>
        <v>0</v>
      </c>
      <c r="V956" s="36" t="n">
        <f aca="false">IF(OR($D956&lt;&gt;"销项开票",N($Q956)=0),0,ROUND(N($H956)/(1+$Q956)*N(IFERROR(INDEX(单位档案!$L$6:$L$35,MATCH($E956,单位档案!$A$6:$A$35,0)),"")),2))</f>
        <v>0</v>
      </c>
      <c r="W956" s="36" t="n">
        <f aca="false">ROUND($S956+$T956+$U956+$V956,2)</f>
        <v>0</v>
      </c>
      <c r="X956" s="35" t="str">
        <f aca="false">IF(OR($D956="挂靠代收",$D956="我方收款"),COUNTIFS($D$5:$D956,"挂靠代收")+COUNTIFS($D$5:$D956,"我方收款"),"")</f>
        <v/>
      </c>
      <c r="Y956" s="35"/>
      <c r="Z956" s="21" t="s">
        <v>111</v>
      </c>
    </row>
    <row r="957" customFormat="false" ht="15.75" hidden="false" customHeight="true" outlineLevel="0" collapsed="false">
      <c r="A957" s="32" t="str">
        <f aca="false">IF($B957="","",ROW()-4)</f>
        <v/>
      </c>
      <c r="B957" s="26"/>
      <c r="C957" s="24"/>
      <c r="D957" s="21"/>
      <c r="E957" s="21"/>
      <c r="F957" s="21"/>
      <c r="G957" s="21"/>
      <c r="H957" s="27"/>
      <c r="I957" s="23" t="str">
        <f aca="false">IF($D957&lt;&gt;"销项开票","",IF($N957="一级",IF(IFERROR(INDEX(项目档案!$E$6:$E$255,MATCH($C957,项目档案!$A$6:$A$255,0)),"")="",N(IFERROR(INDEX(单位档案!$D$6:$D$35,MATCH($E957,单位档案!$A$6:$A$35,0)),"")),IFERROR(INDEX(项目档案!$E$6:$E$255,MATCH($C957,项目档案!$A$6:$A$255,0)),"")),IF($N957="二级",IF(IFERROR(INDEX(项目档案!$G$6:$G$255,MATCH($C957,项目档案!$A$6:$A$255,0)),"")="",N(IFERROR(INDEX(单位档案!$D$6:$D$35,MATCH($E957,单位档案!$A$6:$A$35,0)),"")),IFERROR(INDEX(项目档案!$G$6:$G$255,MATCH($C957,项目档案!$A$6:$A$255,0)),"")),N(IFERROR(INDEX(单位档案!$D$6:$D$35,MATCH($E957,单位档案!$A$6:$A$35,0)),"")))))</f>
        <v/>
      </c>
      <c r="J957" s="22"/>
      <c r="K957" s="22"/>
      <c r="L957" s="33" t="str">
        <f aca="false">IF($B957="","",IF(NOT(ISNUMBER($B957)),"日期格式不对",IF($C957="","未选项目编号",IF(LEFT($M957,1)="⚠","项目编号不存在",IF($D957="","未选业务类型",IF($E957="","未选开票/付款方",IF(ISNA(MATCH($E957,单位档案!$A$6:$A$35,0)),"开票方不在单位档案",IF($F957="","未选收票/收款方",IF(ISNA(MATCH($F957,单位档案!$A$6:$A$35,0)),"收款方不在单位档案",IF(NOT(ISNUMBER($H957)),"金额须为数字",IF(AND($D957="销项开票",$N957="—"),"链条待确认","√")))))))))))</f>
        <v/>
      </c>
      <c r="M957" s="34" t="str">
        <f aca="false">IF($C957="","",IFERROR(INDEX(项目档案!$B$6:$B$255,MATCH($C957,项目档案!$A$6:$A$255,0)),"⚠项目编号不存在"))</f>
        <v/>
      </c>
      <c r="N957" s="35" t="str">
        <f aca="false">IF($E957="","",IF($E957=IFERROR(INDEX(项目档案!$D$6:$D$255,MATCH($C957,项目档案!$A$6:$A$255,0)),""),"一级",IF($E957=IFERROR(INDEX(项目档案!$F$6:$F$255,MATCH($C957,项目档案!$A$6:$A$255,0)),""),"二级",IF($E957=IFERROR(INDEX(项目档案!$H$6:$H$255,MATCH($C957,项目档案!$A$6:$A$255,0)),""),"我方","—"))))</f>
        <v/>
      </c>
      <c r="O957" s="36" t="n">
        <f aca="false">IF($D957&lt;&gt;"销项开票",0,ROUND(N($H957)*N($I957),2))</f>
        <v>0</v>
      </c>
      <c r="P957" s="36" t="n">
        <f aca="false">IF($D957&lt;&gt;"销项开票",0,ROUND(N($H957)-$O957,2))</f>
        <v>0</v>
      </c>
      <c r="Q957" s="37" t="str">
        <f aca="false">IF($E957="","",N(IFERROR(INDEX(单位档案!$E$6:$E$35,MATCH($E957,单位档案!$A$6:$A$35,0)),"")))</f>
        <v/>
      </c>
      <c r="R957" s="37" t="str">
        <f aca="false">IF($E957="","",N(IFERROR(INDEX(单位档案!$F$6:$F$35,MATCH($E957,单位档案!$A$6:$A$35,0)),"")))</f>
        <v/>
      </c>
      <c r="S957" s="36" t="n">
        <f aca="false">IF(OR($D957&lt;&gt;"销项开票",IFERROR(INDEX(单位档案!$G$6:$G$35,MATCH($E957,单位档案!$A$6:$A$35,0)),"")&lt;&gt;"是",N($Q957)=0),0,IF(IFERROR(INDEX(单位档案!$H$6:$H$35,MATCH($E957,单位档案!$A$6:$A$35,0)),"")="税差法",ROUND(N($H957)/(1+$Q957)*$Q957-IF(N($R957)=0,0,$P957/(1+$R957)*$R957),2),ROUND(N($H957)/(1+$Q957)*$Q957,2)))</f>
        <v>0</v>
      </c>
      <c r="T957" s="36" t="n">
        <f aca="false">ROUND($S957*N(IFERROR(INDEX(单位档案!$J$6:$J$35,MATCH($E957,单位档案!$A$6:$A$35,0)),"")),2)</f>
        <v>0</v>
      </c>
      <c r="U957" s="36" t="n">
        <f aca="false">IF($D957&lt;&gt;"销项开票",0,ROUND(N($H957)*N(IFERROR(INDEX(单位档案!$K$6:$K$35,MATCH($E957,单位档案!$A$6:$A$35,0)),"")),2))</f>
        <v>0</v>
      </c>
      <c r="V957" s="36" t="n">
        <f aca="false">IF(OR($D957&lt;&gt;"销项开票",N($Q957)=0),0,ROUND(N($H957)/(1+$Q957)*N(IFERROR(INDEX(单位档案!$L$6:$L$35,MATCH($E957,单位档案!$A$6:$A$35,0)),"")),2))</f>
        <v>0</v>
      </c>
      <c r="W957" s="36" t="n">
        <f aca="false">ROUND($S957+$T957+$U957+$V957,2)</f>
        <v>0</v>
      </c>
      <c r="X957" s="35" t="str">
        <f aca="false">IF(OR($D957="挂靠代收",$D957="我方收款"),COUNTIFS($D$5:$D957,"挂靠代收")+COUNTIFS($D$5:$D957,"我方收款"),"")</f>
        <v/>
      </c>
      <c r="Y957" s="35"/>
      <c r="Z957" s="21" t="s">
        <v>111</v>
      </c>
    </row>
    <row r="958" customFormat="false" ht="15.75" hidden="false" customHeight="true" outlineLevel="0" collapsed="false">
      <c r="A958" s="32" t="str">
        <f aca="false">IF($B958="","",ROW()-4)</f>
        <v/>
      </c>
      <c r="B958" s="26"/>
      <c r="C958" s="24"/>
      <c r="D958" s="21"/>
      <c r="E958" s="21"/>
      <c r="F958" s="21"/>
      <c r="G958" s="21"/>
      <c r="H958" s="27"/>
      <c r="I958" s="23" t="str">
        <f aca="false">IF($D958&lt;&gt;"销项开票","",IF($N958="一级",IF(IFERROR(INDEX(项目档案!$E$6:$E$255,MATCH($C958,项目档案!$A$6:$A$255,0)),"")="",N(IFERROR(INDEX(单位档案!$D$6:$D$35,MATCH($E958,单位档案!$A$6:$A$35,0)),"")),IFERROR(INDEX(项目档案!$E$6:$E$255,MATCH($C958,项目档案!$A$6:$A$255,0)),"")),IF($N958="二级",IF(IFERROR(INDEX(项目档案!$G$6:$G$255,MATCH($C958,项目档案!$A$6:$A$255,0)),"")="",N(IFERROR(INDEX(单位档案!$D$6:$D$35,MATCH($E958,单位档案!$A$6:$A$35,0)),"")),IFERROR(INDEX(项目档案!$G$6:$G$255,MATCH($C958,项目档案!$A$6:$A$255,0)),"")),N(IFERROR(INDEX(单位档案!$D$6:$D$35,MATCH($E958,单位档案!$A$6:$A$35,0)),"")))))</f>
        <v/>
      </c>
      <c r="J958" s="22"/>
      <c r="K958" s="22"/>
      <c r="L958" s="33" t="str">
        <f aca="false">IF($B958="","",IF(NOT(ISNUMBER($B958)),"日期格式不对",IF($C958="","未选项目编号",IF(LEFT($M958,1)="⚠","项目编号不存在",IF($D958="","未选业务类型",IF($E958="","未选开票/付款方",IF(ISNA(MATCH($E958,单位档案!$A$6:$A$35,0)),"开票方不在单位档案",IF($F958="","未选收票/收款方",IF(ISNA(MATCH($F958,单位档案!$A$6:$A$35,0)),"收款方不在单位档案",IF(NOT(ISNUMBER($H958)),"金额须为数字",IF(AND($D958="销项开票",$N958="—"),"链条待确认","√")))))))))))</f>
        <v/>
      </c>
      <c r="M958" s="34" t="str">
        <f aca="false">IF($C958="","",IFERROR(INDEX(项目档案!$B$6:$B$255,MATCH($C958,项目档案!$A$6:$A$255,0)),"⚠项目编号不存在"))</f>
        <v/>
      </c>
      <c r="N958" s="35" t="str">
        <f aca="false">IF($E958="","",IF($E958=IFERROR(INDEX(项目档案!$D$6:$D$255,MATCH($C958,项目档案!$A$6:$A$255,0)),""),"一级",IF($E958=IFERROR(INDEX(项目档案!$F$6:$F$255,MATCH($C958,项目档案!$A$6:$A$255,0)),""),"二级",IF($E958=IFERROR(INDEX(项目档案!$H$6:$H$255,MATCH($C958,项目档案!$A$6:$A$255,0)),""),"我方","—"))))</f>
        <v/>
      </c>
      <c r="O958" s="36" t="n">
        <f aca="false">IF($D958&lt;&gt;"销项开票",0,ROUND(N($H958)*N($I958),2))</f>
        <v>0</v>
      </c>
      <c r="P958" s="36" t="n">
        <f aca="false">IF($D958&lt;&gt;"销项开票",0,ROUND(N($H958)-$O958,2))</f>
        <v>0</v>
      </c>
      <c r="Q958" s="37" t="str">
        <f aca="false">IF($E958="","",N(IFERROR(INDEX(单位档案!$E$6:$E$35,MATCH($E958,单位档案!$A$6:$A$35,0)),"")))</f>
        <v/>
      </c>
      <c r="R958" s="37" t="str">
        <f aca="false">IF($E958="","",N(IFERROR(INDEX(单位档案!$F$6:$F$35,MATCH($E958,单位档案!$A$6:$A$35,0)),"")))</f>
        <v/>
      </c>
      <c r="S958" s="36" t="n">
        <f aca="false">IF(OR($D958&lt;&gt;"销项开票",IFERROR(INDEX(单位档案!$G$6:$G$35,MATCH($E958,单位档案!$A$6:$A$35,0)),"")&lt;&gt;"是",N($Q958)=0),0,IF(IFERROR(INDEX(单位档案!$H$6:$H$35,MATCH($E958,单位档案!$A$6:$A$35,0)),"")="税差法",ROUND(N($H958)/(1+$Q958)*$Q958-IF(N($R958)=0,0,$P958/(1+$R958)*$R958),2),ROUND(N($H958)/(1+$Q958)*$Q958,2)))</f>
        <v>0</v>
      </c>
      <c r="T958" s="36" t="n">
        <f aca="false">ROUND($S958*N(IFERROR(INDEX(单位档案!$J$6:$J$35,MATCH($E958,单位档案!$A$6:$A$35,0)),"")),2)</f>
        <v>0</v>
      </c>
      <c r="U958" s="36" t="n">
        <f aca="false">IF($D958&lt;&gt;"销项开票",0,ROUND(N($H958)*N(IFERROR(INDEX(单位档案!$K$6:$K$35,MATCH($E958,单位档案!$A$6:$A$35,0)),"")),2))</f>
        <v>0</v>
      </c>
      <c r="V958" s="36" t="n">
        <f aca="false">IF(OR($D958&lt;&gt;"销项开票",N($Q958)=0),0,ROUND(N($H958)/(1+$Q958)*N(IFERROR(INDEX(单位档案!$L$6:$L$35,MATCH($E958,单位档案!$A$6:$A$35,0)),"")),2))</f>
        <v>0</v>
      </c>
      <c r="W958" s="36" t="n">
        <f aca="false">ROUND($S958+$T958+$U958+$V958,2)</f>
        <v>0</v>
      </c>
      <c r="X958" s="35" t="str">
        <f aca="false">IF(OR($D958="挂靠代收",$D958="我方收款"),COUNTIFS($D$5:$D958,"挂靠代收")+COUNTIFS($D$5:$D958,"我方收款"),"")</f>
        <v/>
      </c>
      <c r="Y958" s="35"/>
      <c r="Z958" s="21" t="s">
        <v>111</v>
      </c>
    </row>
    <row r="959" customFormat="false" ht="15.75" hidden="false" customHeight="true" outlineLevel="0" collapsed="false">
      <c r="A959" s="32" t="str">
        <f aca="false">IF($B959="","",ROW()-4)</f>
        <v/>
      </c>
      <c r="B959" s="26"/>
      <c r="C959" s="24"/>
      <c r="D959" s="21"/>
      <c r="E959" s="21"/>
      <c r="F959" s="21"/>
      <c r="G959" s="21"/>
      <c r="H959" s="27"/>
      <c r="I959" s="23" t="str">
        <f aca="false">IF($D959&lt;&gt;"销项开票","",IF($N959="一级",IF(IFERROR(INDEX(项目档案!$E$6:$E$255,MATCH($C959,项目档案!$A$6:$A$255,0)),"")="",N(IFERROR(INDEX(单位档案!$D$6:$D$35,MATCH($E959,单位档案!$A$6:$A$35,0)),"")),IFERROR(INDEX(项目档案!$E$6:$E$255,MATCH($C959,项目档案!$A$6:$A$255,0)),"")),IF($N959="二级",IF(IFERROR(INDEX(项目档案!$G$6:$G$255,MATCH($C959,项目档案!$A$6:$A$255,0)),"")="",N(IFERROR(INDEX(单位档案!$D$6:$D$35,MATCH($E959,单位档案!$A$6:$A$35,0)),"")),IFERROR(INDEX(项目档案!$G$6:$G$255,MATCH($C959,项目档案!$A$6:$A$255,0)),"")),N(IFERROR(INDEX(单位档案!$D$6:$D$35,MATCH($E959,单位档案!$A$6:$A$35,0)),"")))))</f>
        <v/>
      </c>
      <c r="J959" s="22"/>
      <c r="K959" s="22"/>
      <c r="L959" s="33" t="str">
        <f aca="false">IF($B959="","",IF(NOT(ISNUMBER($B959)),"日期格式不对",IF($C959="","未选项目编号",IF(LEFT($M959,1)="⚠","项目编号不存在",IF($D959="","未选业务类型",IF($E959="","未选开票/付款方",IF(ISNA(MATCH($E959,单位档案!$A$6:$A$35,0)),"开票方不在单位档案",IF($F959="","未选收票/收款方",IF(ISNA(MATCH($F959,单位档案!$A$6:$A$35,0)),"收款方不在单位档案",IF(NOT(ISNUMBER($H959)),"金额须为数字",IF(AND($D959="销项开票",$N959="—"),"链条待确认","√")))))))))))</f>
        <v/>
      </c>
      <c r="M959" s="34" t="str">
        <f aca="false">IF($C959="","",IFERROR(INDEX(项目档案!$B$6:$B$255,MATCH($C959,项目档案!$A$6:$A$255,0)),"⚠项目编号不存在"))</f>
        <v/>
      </c>
      <c r="N959" s="35" t="str">
        <f aca="false">IF($E959="","",IF($E959=IFERROR(INDEX(项目档案!$D$6:$D$255,MATCH($C959,项目档案!$A$6:$A$255,0)),""),"一级",IF($E959=IFERROR(INDEX(项目档案!$F$6:$F$255,MATCH($C959,项目档案!$A$6:$A$255,0)),""),"二级",IF($E959=IFERROR(INDEX(项目档案!$H$6:$H$255,MATCH($C959,项目档案!$A$6:$A$255,0)),""),"我方","—"))))</f>
        <v/>
      </c>
      <c r="O959" s="36" t="n">
        <f aca="false">IF($D959&lt;&gt;"销项开票",0,ROUND(N($H959)*N($I959),2))</f>
        <v>0</v>
      </c>
      <c r="P959" s="36" t="n">
        <f aca="false">IF($D959&lt;&gt;"销项开票",0,ROUND(N($H959)-$O959,2))</f>
        <v>0</v>
      </c>
      <c r="Q959" s="37" t="str">
        <f aca="false">IF($E959="","",N(IFERROR(INDEX(单位档案!$E$6:$E$35,MATCH($E959,单位档案!$A$6:$A$35,0)),"")))</f>
        <v/>
      </c>
      <c r="R959" s="37" t="str">
        <f aca="false">IF($E959="","",N(IFERROR(INDEX(单位档案!$F$6:$F$35,MATCH($E959,单位档案!$A$6:$A$35,0)),"")))</f>
        <v/>
      </c>
      <c r="S959" s="36" t="n">
        <f aca="false">IF(OR($D959&lt;&gt;"销项开票",IFERROR(INDEX(单位档案!$G$6:$G$35,MATCH($E959,单位档案!$A$6:$A$35,0)),"")&lt;&gt;"是",N($Q959)=0),0,IF(IFERROR(INDEX(单位档案!$H$6:$H$35,MATCH($E959,单位档案!$A$6:$A$35,0)),"")="税差法",ROUND(N($H959)/(1+$Q959)*$Q959-IF(N($R959)=0,0,$P959/(1+$R959)*$R959),2),ROUND(N($H959)/(1+$Q959)*$Q959,2)))</f>
        <v>0</v>
      </c>
      <c r="T959" s="36" t="n">
        <f aca="false">ROUND($S959*N(IFERROR(INDEX(单位档案!$J$6:$J$35,MATCH($E959,单位档案!$A$6:$A$35,0)),"")),2)</f>
        <v>0</v>
      </c>
      <c r="U959" s="36" t="n">
        <f aca="false">IF($D959&lt;&gt;"销项开票",0,ROUND(N($H959)*N(IFERROR(INDEX(单位档案!$K$6:$K$35,MATCH($E959,单位档案!$A$6:$A$35,0)),"")),2))</f>
        <v>0</v>
      </c>
      <c r="V959" s="36" t="n">
        <f aca="false">IF(OR($D959&lt;&gt;"销项开票",N($Q959)=0),0,ROUND(N($H959)/(1+$Q959)*N(IFERROR(INDEX(单位档案!$L$6:$L$35,MATCH($E959,单位档案!$A$6:$A$35,0)),"")),2))</f>
        <v>0</v>
      </c>
      <c r="W959" s="36" t="n">
        <f aca="false">ROUND($S959+$T959+$U959+$V959,2)</f>
        <v>0</v>
      </c>
      <c r="X959" s="35" t="str">
        <f aca="false">IF(OR($D959="挂靠代收",$D959="我方收款"),COUNTIFS($D$5:$D959,"挂靠代收")+COUNTIFS($D$5:$D959,"我方收款"),"")</f>
        <v/>
      </c>
      <c r="Y959" s="35"/>
      <c r="Z959" s="21" t="s">
        <v>111</v>
      </c>
    </row>
    <row r="960" customFormat="false" ht="15.75" hidden="false" customHeight="true" outlineLevel="0" collapsed="false">
      <c r="A960" s="32" t="str">
        <f aca="false">IF($B960="","",ROW()-4)</f>
        <v/>
      </c>
      <c r="B960" s="26"/>
      <c r="C960" s="24"/>
      <c r="D960" s="21"/>
      <c r="E960" s="21"/>
      <c r="F960" s="21"/>
      <c r="G960" s="21"/>
      <c r="H960" s="27"/>
      <c r="I960" s="23" t="str">
        <f aca="false">IF($D960&lt;&gt;"销项开票","",IF($N960="一级",IF(IFERROR(INDEX(项目档案!$E$6:$E$255,MATCH($C960,项目档案!$A$6:$A$255,0)),"")="",N(IFERROR(INDEX(单位档案!$D$6:$D$35,MATCH($E960,单位档案!$A$6:$A$35,0)),"")),IFERROR(INDEX(项目档案!$E$6:$E$255,MATCH($C960,项目档案!$A$6:$A$255,0)),"")),IF($N960="二级",IF(IFERROR(INDEX(项目档案!$G$6:$G$255,MATCH($C960,项目档案!$A$6:$A$255,0)),"")="",N(IFERROR(INDEX(单位档案!$D$6:$D$35,MATCH($E960,单位档案!$A$6:$A$35,0)),"")),IFERROR(INDEX(项目档案!$G$6:$G$255,MATCH($C960,项目档案!$A$6:$A$255,0)),"")),N(IFERROR(INDEX(单位档案!$D$6:$D$35,MATCH($E960,单位档案!$A$6:$A$35,0)),"")))))</f>
        <v/>
      </c>
      <c r="J960" s="22"/>
      <c r="K960" s="22"/>
      <c r="L960" s="33" t="str">
        <f aca="false">IF($B960="","",IF(NOT(ISNUMBER($B960)),"日期格式不对",IF($C960="","未选项目编号",IF(LEFT($M960,1)="⚠","项目编号不存在",IF($D960="","未选业务类型",IF($E960="","未选开票/付款方",IF(ISNA(MATCH($E960,单位档案!$A$6:$A$35,0)),"开票方不在单位档案",IF($F960="","未选收票/收款方",IF(ISNA(MATCH($F960,单位档案!$A$6:$A$35,0)),"收款方不在单位档案",IF(NOT(ISNUMBER($H960)),"金额须为数字",IF(AND($D960="销项开票",$N960="—"),"链条待确认","√")))))))))))</f>
        <v/>
      </c>
      <c r="M960" s="34" t="str">
        <f aca="false">IF($C960="","",IFERROR(INDEX(项目档案!$B$6:$B$255,MATCH($C960,项目档案!$A$6:$A$255,0)),"⚠项目编号不存在"))</f>
        <v/>
      </c>
      <c r="N960" s="35" t="str">
        <f aca="false">IF($E960="","",IF($E960=IFERROR(INDEX(项目档案!$D$6:$D$255,MATCH($C960,项目档案!$A$6:$A$255,0)),""),"一级",IF($E960=IFERROR(INDEX(项目档案!$F$6:$F$255,MATCH($C960,项目档案!$A$6:$A$255,0)),""),"二级",IF($E960=IFERROR(INDEX(项目档案!$H$6:$H$255,MATCH($C960,项目档案!$A$6:$A$255,0)),""),"我方","—"))))</f>
        <v/>
      </c>
      <c r="O960" s="36" t="n">
        <f aca="false">IF($D960&lt;&gt;"销项开票",0,ROUND(N($H960)*N($I960),2))</f>
        <v>0</v>
      </c>
      <c r="P960" s="36" t="n">
        <f aca="false">IF($D960&lt;&gt;"销项开票",0,ROUND(N($H960)-$O960,2))</f>
        <v>0</v>
      </c>
      <c r="Q960" s="37" t="str">
        <f aca="false">IF($E960="","",N(IFERROR(INDEX(单位档案!$E$6:$E$35,MATCH($E960,单位档案!$A$6:$A$35,0)),"")))</f>
        <v/>
      </c>
      <c r="R960" s="37" t="str">
        <f aca="false">IF($E960="","",N(IFERROR(INDEX(单位档案!$F$6:$F$35,MATCH($E960,单位档案!$A$6:$A$35,0)),"")))</f>
        <v/>
      </c>
      <c r="S960" s="36" t="n">
        <f aca="false">IF(OR($D960&lt;&gt;"销项开票",IFERROR(INDEX(单位档案!$G$6:$G$35,MATCH($E960,单位档案!$A$6:$A$35,0)),"")&lt;&gt;"是",N($Q960)=0),0,IF(IFERROR(INDEX(单位档案!$H$6:$H$35,MATCH($E960,单位档案!$A$6:$A$35,0)),"")="税差法",ROUND(N($H960)/(1+$Q960)*$Q960-IF(N($R960)=0,0,$P960/(1+$R960)*$R960),2),ROUND(N($H960)/(1+$Q960)*$Q960,2)))</f>
        <v>0</v>
      </c>
      <c r="T960" s="36" t="n">
        <f aca="false">ROUND($S960*N(IFERROR(INDEX(单位档案!$J$6:$J$35,MATCH($E960,单位档案!$A$6:$A$35,0)),"")),2)</f>
        <v>0</v>
      </c>
      <c r="U960" s="36" t="n">
        <f aca="false">IF($D960&lt;&gt;"销项开票",0,ROUND(N($H960)*N(IFERROR(INDEX(单位档案!$K$6:$K$35,MATCH($E960,单位档案!$A$6:$A$35,0)),"")),2))</f>
        <v>0</v>
      </c>
      <c r="V960" s="36" t="n">
        <f aca="false">IF(OR($D960&lt;&gt;"销项开票",N($Q960)=0),0,ROUND(N($H960)/(1+$Q960)*N(IFERROR(INDEX(单位档案!$L$6:$L$35,MATCH($E960,单位档案!$A$6:$A$35,0)),"")),2))</f>
        <v>0</v>
      </c>
      <c r="W960" s="36" t="n">
        <f aca="false">ROUND($S960+$T960+$U960+$V960,2)</f>
        <v>0</v>
      </c>
      <c r="X960" s="35" t="str">
        <f aca="false">IF(OR($D960="挂靠代收",$D960="我方收款"),COUNTIFS($D$5:$D960,"挂靠代收")+COUNTIFS($D$5:$D960,"我方收款"),"")</f>
        <v/>
      </c>
      <c r="Y960" s="35"/>
      <c r="Z960" s="21" t="s">
        <v>111</v>
      </c>
    </row>
    <row r="961" customFormat="false" ht="15.75" hidden="false" customHeight="true" outlineLevel="0" collapsed="false">
      <c r="A961" s="32" t="str">
        <f aca="false">IF($B961="","",ROW()-4)</f>
        <v/>
      </c>
      <c r="B961" s="26"/>
      <c r="C961" s="24"/>
      <c r="D961" s="21"/>
      <c r="E961" s="21"/>
      <c r="F961" s="21"/>
      <c r="G961" s="21"/>
      <c r="H961" s="27"/>
      <c r="I961" s="23" t="str">
        <f aca="false">IF($D961&lt;&gt;"销项开票","",IF($N961="一级",IF(IFERROR(INDEX(项目档案!$E$6:$E$255,MATCH($C961,项目档案!$A$6:$A$255,0)),"")="",N(IFERROR(INDEX(单位档案!$D$6:$D$35,MATCH($E961,单位档案!$A$6:$A$35,0)),"")),IFERROR(INDEX(项目档案!$E$6:$E$255,MATCH($C961,项目档案!$A$6:$A$255,0)),"")),IF($N961="二级",IF(IFERROR(INDEX(项目档案!$G$6:$G$255,MATCH($C961,项目档案!$A$6:$A$255,0)),"")="",N(IFERROR(INDEX(单位档案!$D$6:$D$35,MATCH($E961,单位档案!$A$6:$A$35,0)),"")),IFERROR(INDEX(项目档案!$G$6:$G$255,MATCH($C961,项目档案!$A$6:$A$255,0)),"")),N(IFERROR(INDEX(单位档案!$D$6:$D$35,MATCH($E961,单位档案!$A$6:$A$35,0)),"")))))</f>
        <v/>
      </c>
      <c r="J961" s="22"/>
      <c r="K961" s="22"/>
      <c r="L961" s="33" t="str">
        <f aca="false">IF($B961="","",IF(NOT(ISNUMBER($B961)),"日期格式不对",IF($C961="","未选项目编号",IF(LEFT($M961,1)="⚠","项目编号不存在",IF($D961="","未选业务类型",IF($E961="","未选开票/付款方",IF(ISNA(MATCH($E961,单位档案!$A$6:$A$35,0)),"开票方不在单位档案",IF($F961="","未选收票/收款方",IF(ISNA(MATCH($F961,单位档案!$A$6:$A$35,0)),"收款方不在单位档案",IF(NOT(ISNUMBER($H961)),"金额须为数字",IF(AND($D961="销项开票",$N961="—"),"链条待确认","√")))))))))))</f>
        <v/>
      </c>
      <c r="M961" s="34" t="str">
        <f aca="false">IF($C961="","",IFERROR(INDEX(项目档案!$B$6:$B$255,MATCH($C961,项目档案!$A$6:$A$255,0)),"⚠项目编号不存在"))</f>
        <v/>
      </c>
      <c r="N961" s="35" t="str">
        <f aca="false">IF($E961="","",IF($E961=IFERROR(INDEX(项目档案!$D$6:$D$255,MATCH($C961,项目档案!$A$6:$A$255,0)),""),"一级",IF($E961=IFERROR(INDEX(项目档案!$F$6:$F$255,MATCH($C961,项目档案!$A$6:$A$255,0)),""),"二级",IF($E961=IFERROR(INDEX(项目档案!$H$6:$H$255,MATCH($C961,项目档案!$A$6:$A$255,0)),""),"我方","—"))))</f>
        <v/>
      </c>
      <c r="O961" s="36" t="n">
        <f aca="false">IF($D961&lt;&gt;"销项开票",0,ROUND(N($H961)*N($I961),2))</f>
        <v>0</v>
      </c>
      <c r="P961" s="36" t="n">
        <f aca="false">IF($D961&lt;&gt;"销项开票",0,ROUND(N($H961)-$O961,2))</f>
        <v>0</v>
      </c>
      <c r="Q961" s="37" t="str">
        <f aca="false">IF($E961="","",N(IFERROR(INDEX(单位档案!$E$6:$E$35,MATCH($E961,单位档案!$A$6:$A$35,0)),"")))</f>
        <v/>
      </c>
      <c r="R961" s="37" t="str">
        <f aca="false">IF($E961="","",N(IFERROR(INDEX(单位档案!$F$6:$F$35,MATCH($E961,单位档案!$A$6:$A$35,0)),"")))</f>
        <v/>
      </c>
      <c r="S961" s="36" t="n">
        <f aca="false">IF(OR($D961&lt;&gt;"销项开票",IFERROR(INDEX(单位档案!$G$6:$G$35,MATCH($E961,单位档案!$A$6:$A$35,0)),"")&lt;&gt;"是",N($Q961)=0),0,IF(IFERROR(INDEX(单位档案!$H$6:$H$35,MATCH($E961,单位档案!$A$6:$A$35,0)),"")="税差法",ROUND(N($H961)/(1+$Q961)*$Q961-IF(N($R961)=0,0,$P961/(1+$R961)*$R961),2),ROUND(N($H961)/(1+$Q961)*$Q961,2)))</f>
        <v>0</v>
      </c>
      <c r="T961" s="36" t="n">
        <f aca="false">ROUND($S961*N(IFERROR(INDEX(单位档案!$J$6:$J$35,MATCH($E961,单位档案!$A$6:$A$35,0)),"")),2)</f>
        <v>0</v>
      </c>
      <c r="U961" s="36" t="n">
        <f aca="false">IF($D961&lt;&gt;"销项开票",0,ROUND(N($H961)*N(IFERROR(INDEX(单位档案!$K$6:$K$35,MATCH($E961,单位档案!$A$6:$A$35,0)),"")),2))</f>
        <v>0</v>
      </c>
      <c r="V961" s="36" t="n">
        <f aca="false">IF(OR($D961&lt;&gt;"销项开票",N($Q961)=0),0,ROUND(N($H961)/(1+$Q961)*N(IFERROR(INDEX(单位档案!$L$6:$L$35,MATCH($E961,单位档案!$A$6:$A$35,0)),"")),2))</f>
        <v>0</v>
      </c>
      <c r="W961" s="36" t="n">
        <f aca="false">ROUND($S961+$T961+$U961+$V961,2)</f>
        <v>0</v>
      </c>
      <c r="X961" s="35" t="str">
        <f aca="false">IF(OR($D961="挂靠代收",$D961="我方收款"),COUNTIFS($D$5:$D961,"挂靠代收")+COUNTIFS($D$5:$D961,"我方收款"),"")</f>
        <v/>
      </c>
      <c r="Y961" s="35"/>
      <c r="Z961" s="21" t="s">
        <v>111</v>
      </c>
    </row>
    <row r="962" customFormat="false" ht="15.75" hidden="false" customHeight="true" outlineLevel="0" collapsed="false">
      <c r="A962" s="32" t="str">
        <f aca="false">IF($B962="","",ROW()-4)</f>
        <v/>
      </c>
      <c r="B962" s="26"/>
      <c r="C962" s="24"/>
      <c r="D962" s="21"/>
      <c r="E962" s="21"/>
      <c r="F962" s="21"/>
      <c r="G962" s="21"/>
      <c r="H962" s="27"/>
      <c r="I962" s="23" t="str">
        <f aca="false">IF($D962&lt;&gt;"销项开票","",IF($N962="一级",IF(IFERROR(INDEX(项目档案!$E$6:$E$255,MATCH($C962,项目档案!$A$6:$A$255,0)),"")="",N(IFERROR(INDEX(单位档案!$D$6:$D$35,MATCH($E962,单位档案!$A$6:$A$35,0)),"")),IFERROR(INDEX(项目档案!$E$6:$E$255,MATCH($C962,项目档案!$A$6:$A$255,0)),"")),IF($N962="二级",IF(IFERROR(INDEX(项目档案!$G$6:$G$255,MATCH($C962,项目档案!$A$6:$A$255,0)),"")="",N(IFERROR(INDEX(单位档案!$D$6:$D$35,MATCH($E962,单位档案!$A$6:$A$35,0)),"")),IFERROR(INDEX(项目档案!$G$6:$G$255,MATCH($C962,项目档案!$A$6:$A$255,0)),"")),N(IFERROR(INDEX(单位档案!$D$6:$D$35,MATCH($E962,单位档案!$A$6:$A$35,0)),"")))))</f>
        <v/>
      </c>
      <c r="J962" s="22"/>
      <c r="K962" s="22"/>
      <c r="L962" s="33" t="str">
        <f aca="false">IF($B962="","",IF(NOT(ISNUMBER($B962)),"日期格式不对",IF($C962="","未选项目编号",IF(LEFT($M962,1)="⚠","项目编号不存在",IF($D962="","未选业务类型",IF($E962="","未选开票/付款方",IF(ISNA(MATCH($E962,单位档案!$A$6:$A$35,0)),"开票方不在单位档案",IF($F962="","未选收票/收款方",IF(ISNA(MATCH($F962,单位档案!$A$6:$A$35,0)),"收款方不在单位档案",IF(NOT(ISNUMBER($H962)),"金额须为数字",IF(AND($D962="销项开票",$N962="—"),"链条待确认","√")))))))))))</f>
        <v/>
      </c>
      <c r="M962" s="34" t="str">
        <f aca="false">IF($C962="","",IFERROR(INDEX(项目档案!$B$6:$B$255,MATCH($C962,项目档案!$A$6:$A$255,0)),"⚠项目编号不存在"))</f>
        <v/>
      </c>
      <c r="N962" s="35" t="str">
        <f aca="false">IF($E962="","",IF($E962=IFERROR(INDEX(项目档案!$D$6:$D$255,MATCH($C962,项目档案!$A$6:$A$255,0)),""),"一级",IF($E962=IFERROR(INDEX(项目档案!$F$6:$F$255,MATCH($C962,项目档案!$A$6:$A$255,0)),""),"二级",IF($E962=IFERROR(INDEX(项目档案!$H$6:$H$255,MATCH($C962,项目档案!$A$6:$A$255,0)),""),"我方","—"))))</f>
        <v/>
      </c>
      <c r="O962" s="36" t="n">
        <f aca="false">IF($D962&lt;&gt;"销项开票",0,ROUND(N($H962)*N($I962),2))</f>
        <v>0</v>
      </c>
      <c r="P962" s="36" t="n">
        <f aca="false">IF($D962&lt;&gt;"销项开票",0,ROUND(N($H962)-$O962,2))</f>
        <v>0</v>
      </c>
      <c r="Q962" s="37" t="str">
        <f aca="false">IF($E962="","",N(IFERROR(INDEX(单位档案!$E$6:$E$35,MATCH($E962,单位档案!$A$6:$A$35,0)),"")))</f>
        <v/>
      </c>
      <c r="R962" s="37" t="str">
        <f aca="false">IF($E962="","",N(IFERROR(INDEX(单位档案!$F$6:$F$35,MATCH($E962,单位档案!$A$6:$A$35,0)),"")))</f>
        <v/>
      </c>
      <c r="S962" s="36" t="n">
        <f aca="false">IF(OR($D962&lt;&gt;"销项开票",IFERROR(INDEX(单位档案!$G$6:$G$35,MATCH($E962,单位档案!$A$6:$A$35,0)),"")&lt;&gt;"是",N($Q962)=0),0,IF(IFERROR(INDEX(单位档案!$H$6:$H$35,MATCH($E962,单位档案!$A$6:$A$35,0)),"")="税差法",ROUND(N($H962)/(1+$Q962)*$Q962-IF(N($R962)=0,0,$P962/(1+$R962)*$R962),2),ROUND(N($H962)/(1+$Q962)*$Q962,2)))</f>
        <v>0</v>
      </c>
      <c r="T962" s="36" t="n">
        <f aca="false">ROUND($S962*N(IFERROR(INDEX(单位档案!$J$6:$J$35,MATCH($E962,单位档案!$A$6:$A$35,0)),"")),2)</f>
        <v>0</v>
      </c>
      <c r="U962" s="36" t="n">
        <f aca="false">IF($D962&lt;&gt;"销项开票",0,ROUND(N($H962)*N(IFERROR(INDEX(单位档案!$K$6:$K$35,MATCH($E962,单位档案!$A$6:$A$35,0)),"")),2))</f>
        <v>0</v>
      </c>
      <c r="V962" s="36" t="n">
        <f aca="false">IF(OR($D962&lt;&gt;"销项开票",N($Q962)=0),0,ROUND(N($H962)/(1+$Q962)*N(IFERROR(INDEX(单位档案!$L$6:$L$35,MATCH($E962,单位档案!$A$6:$A$35,0)),"")),2))</f>
        <v>0</v>
      </c>
      <c r="W962" s="36" t="n">
        <f aca="false">ROUND($S962+$T962+$U962+$V962,2)</f>
        <v>0</v>
      </c>
      <c r="X962" s="35" t="str">
        <f aca="false">IF(OR($D962="挂靠代收",$D962="我方收款"),COUNTIFS($D$5:$D962,"挂靠代收")+COUNTIFS($D$5:$D962,"我方收款"),"")</f>
        <v/>
      </c>
      <c r="Y962" s="35"/>
      <c r="Z962" s="21" t="s">
        <v>111</v>
      </c>
    </row>
    <row r="963" customFormat="false" ht="15.75" hidden="false" customHeight="true" outlineLevel="0" collapsed="false">
      <c r="A963" s="32" t="str">
        <f aca="false">IF($B963="","",ROW()-4)</f>
        <v/>
      </c>
      <c r="B963" s="26"/>
      <c r="C963" s="24"/>
      <c r="D963" s="21"/>
      <c r="E963" s="21"/>
      <c r="F963" s="21"/>
      <c r="G963" s="21"/>
      <c r="H963" s="27"/>
      <c r="I963" s="23" t="str">
        <f aca="false">IF($D963&lt;&gt;"销项开票","",IF($N963="一级",IF(IFERROR(INDEX(项目档案!$E$6:$E$255,MATCH($C963,项目档案!$A$6:$A$255,0)),"")="",N(IFERROR(INDEX(单位档案!$D$6:$D$35,MATCH($E963,单位档案!$A$6:$A$35,0)),"")),IFERROR(INDEX(项目档案!$E$6:$E$255,MATCH($C963,项目档案!$A$6:$A$255,0)),"")),IF($N963="二级",IF(IFERROR(INDEX(项目档案!$G$6:$G$255,MATCH($C963,项目档案!$A$6:$A$255,0)),"")="",N(IFERROR(INDEX(单位档案!$D$6:$D$35,MATCH($E963,单位档案!$A$6:$A$35,0)),"")),IFERROR(INDEX(项目档案!$G$6:$G$255,MATCH($C963,项目档案!$A$6:$A$255,0)),"")),N(IFERROR(INDEX(单位档案!$D$6:$D$35,MATCH($E963,单位档案!$A$6:$A$35,0)),"")))))</f>
        <v/>
      </c>
      <c r="J963" s="22"/>
      <c r="K963" s="22"/>
      <c r="L963" s="33" t="str">
        <f aca="false">IF($B963="","",IF(NOT(ISNUMBER($B963)),"日期格式不对",IF($C963="","未选项目编号",IF(LEFT($M963,1)="⚠","项目编号不存在",IF($D963="","未选业务类型",IF($E963="","未选开票/付款方",IF(ISNA(MATCH($E963,单位档案!$A$6:$A$35,0)),"开票方不在单位档案",IF($F963="","未选收票/收款方",IF(ISNA(MATCH($F963,单位档案!$A$6:$A$35,0)),"收款方不在单位档案",IF(NOT(ISNUMBER($H963)),"金额须为数字",IF(AND($D963="销项开票",$N963="—"),"链条待确认","√")))))))))))</f>
        <v/>
      </c>
      <c r="M963" s="34" t="str">
        <f aca="false">IF($C963="","",IFERROR(INDEX(项目档案!$B$6:$B$255,MATCH($C963,项目档案!$A$6:$A$255,0)),"⚠项目编号不存在"))</f>
        <v/>
      </c>
      <c r="N963" s="35" t="str">
        <f aca="false">IF($E963="","",IF($E963=IFERROR(INDEX(项目档案!$D$6:$D$255,MATCH($C963,项目档案!$A$6:$A$255,0)),""),"一级",IF($E963=IFERROR(INDEX(项目档案!$F$6:$F$255,MATCH($C963,项目档案!$A$6:$A$255,0)),""),"二级",IF($E963=IFERROR(INDEX(项目档案!$H$6:$H$255,MATCH($C963,项目档案!$A$6:$A$255,0)),""),"我方","—"))))</f>
        <v/>
      </c>
      <c r="O963" s="36" t="n">
        <f aca="false">IF($D963&lt;&gt;"销项开票",0,ROUND(N($H963)*N($I963),2))</f>
        <v>0</v>
      </c>
      <c r="P963" s="36" t="n">
        <f aca="false">IF($D963&lt;&gt;"销项开票",0,ROUND(N($H963)-$O963,2))</f>
        <v>0</v>
      </c>
      <c r="Q963" s="37" t="str">
        <f aca="false">IF($E963="","",N(IFERROR(INDEX(单位档案!$E$6:$E$35,MATCH($E963,单位档案!$A$6:$A$35,0)),"")))</f>
        <v/>
      </c>
      <c r="R963" s="37" t="str">
        <f aca="false">IF($E963="","",N(IFERROR(INDEX(单位档案!$F$6:$F$35,MATCH($E963,单位档案!$A$6:$A$35,0)),"")))</f>
        <v/>
      </c>
      <c r="S963" s="36" t="n">
        <f aca="false">IF(OR($D963&lt;&gt;"销项开票",IFERROR(INDEX(单位档案!$G$6:$G$35,MATCH($E963,单位档案!$A$6:$A$35,0)),"")&lt;&gt;"是",N($Q963)=0),0,IF(IFERROR(INDEX(单位档案!$H$6:$H$35,MATCH($E963,单位档案!$A$6:$A$35,0)),"")="税差法",ROUND(N($H963)/(1+$Q963)*$Q963-IF(N($R963)=0,0,$P963/(1+$R963)*$R963),2),ROUND(N($H963)/(1+$Q963)*$Q963,2)))</f>
        <v>0</v>
      </c>
      <c r="T963" s="36" t="n">
        <f aca="false">ROUND($S963*N(IFERROR(INDEX(单位档案!$J$6:$J$35,MATCH($E963,单位档案!$A$6:$A$35,0)),"")),2)</f>
        <v>0</v>
      </c>
      <c r="U963" s="36" t="n">
        <f aca="false">IF($D963&lt;&gt;"销项开票",0,ROUND(N($H963)*N(IFERROR(INDEX(单位档案!$K$6:$K$35,MATCH($E963,单位档案!$A$6:$A$35,0)),"")),2))</f>
        <v>0</v>
      </c>
      <c r="V963" s="36" t="n">
        <f aca="false">IF(OR($D963&lt;&gt;"销项开票",N($Q963)=0),0,ROUND(N($H963)/(1+$Q963)*N(IFERROR(INDEX(单位档案!$L$6:$L$35,MATCH($E963,单位档案!$A$6:$A$35,0)),"")),2))</f>
        <v>0</v>
      </c>
      <c r="W963" s="36" t="n">
        <f aca="false">ROUND($S963+$T963+$U963+$V963,2)</f>
        <v>0</v>
      </c>
      <c r="X963" s="35" t="str">
        <f aca="false">IF(OR($D963="挂靠代收",$D963="我方收款"),COUNTIFS($D$5:$D963,"挂靠代收")+COUNTIFS($D$5:$D963,"我方收款"),"")</f>
        <v/>
      </c>
      <c r="Y963" s="35"/>
      <c r="Z963" s="21" t="s">
        <v>111</v>
      </c>
    </row>
    <row r="964" customFormat="false" ht="15.75" hidden="false" customHeight="true" outlineLevel="0" collapsed="false">
      <c r="A964" s="32" t="str">
        <f aca="false">IF($B964="","",ROW()-4)</f>
        <v/>
      </c>
      <c r="B964" s="26"/>
      <c r="C964" s="24"/>
      <c r="D964" s="21"/>
      <c r="E964" s="21"/>
      <c r="F964" s="21"/>
      <c r="G964" s="21"/>
      <c r="H964" s="27"/>
      <c r="I964" s="23" t="str">
        <f aca="false">IF($D964&lt;&gt;"销项开票","",IF($N964="一级",IF(IFERROR(INDEX(项目档案!$E$6:$E$255,MATCH($C964,项目档案!$A$6:$A$255,0)),"")="",N(IFERROR(INDEX(单位档案!$D$6:$D$35,MATCH($E964,单位档案!$A$6:$A$35,0)),"")),IFERROR(INDEX(项目档案!$E$6:$E$255,MATCH($C964,项目档案!$A$6:$A$255,0)),"")),IF($N964="二级",IF(IFERROR(INDEX(项目档案!$G$6:$G$255,MATCH($C964,项目档案!$A$6:$A$255,0)),"")="",N(IFERROR(INDEX(单位档案!$D$6:$D$35,MATCH($E964,单位档案!$A$6:$A$35,0)),"")),IFERROR(INDEX(项目档案!$G$6:$G$255,MATCH($C964,项目档案!$A$6:$A$255,0)),"")),N(IFERROR(INDEX(单位档案!$D$6:$D$35,MATCH($E964,单位档案!$A$6:$A$35,0)),"")))))</f>
        <v/>
      </c>
      <c r="J964" s="22"/>
      <c r="K964" s="22"/>
      <c r="L964" s="33" t="str">
        <f aca="false">IF($B964="","",IF(NOT(ISNUMBER($B964)),"日期格式不对",IF($C964="","未选项目编号",IF(LEFT($M964,1)="⚠","项目编号不存在",IF($D964="","未选业务类型",IF($E964="","未选开票/付款方",IF(ISNA(MATCH($E964,单位档案!$A$6:$A$35,0)),"开票方不在单位档案",IF($F964="","未选收票/收款方",IF(ISNA(MATCH($F964,单位档案!$A$6:$A$35,0)),"收款方不在单位档案",IF(NOT(ISNUMBER($H964)),"金额须为数字",IF(AND($D964="销项开票",$N964="—"),"链条待确认","√")))))))))))</f>
        <v/>
      </c>
      <c r="M964" s="34" t="str">
        <f aca="false">IF($C964="","",IFERROR(INDEX(项目档案!$B$6:$B$255,MATCH($C964,项目档案!$A$6:$A$255,0)),"⚠项目编号不存在"))</f>
        <v/>
      </c>
      <c r="N964" s="35" t="str">
        <f aca="false">IF($E964="","",IF($E964=IFERROR(INDEX(项目档案!$D$6:$D$255,MATCH($C964,项目档案!$A$6:$A$255,0)),""),"一级",IF($E964=IFERROR(INDEX(项目档案!$F$6:$F$255,MATCH($C964,项目档案!$A$6:$A$255,0)),""),"二级",IF($E964=IFERROR(INDEX(项目档案!$H$6:$H$255,MATCH($C964,项目档案!$A$6:$A$255,0)),""),"我方","—"))))</f>
        <v/>
      </c>
      <c r="O964" s="36" t="n">
        <f aca="false">IF($D964&lt;&gt;"销项开票",0,ROUND(N($H964)*N($I964),2))</f>
        <v>0</v>
      </c>
      <c r="P964" s="36" t="n">
        <f aca="false">IF($D964&lt;&gt;"销项开票",0,ROUND(N($H964)-$O964,2))</f>
        <v>0</v>
      </c>
      <c r="Q964" s="37" t="str">
        <f aca="false">IF($E964="","",N(IFERROR(INDEX(单位档案!$E$6:$E$35,MATCH($E964,单位档案!$A$6:$A$35,0)),"")))</f>
        <v/>
      </c>
      <c r="R964" s="37" t="str">
        <f aca="false">IF($E964="","",N(IFERROR(INDEX(单位档案!$F$6:$F$35,MATCH($E964,单位档案!$A$6:$A$35,0)),"")))</f>
        <v/>
      </c>
      <c r="S964" s="36" t="n">
        <f aca="false">IF(OR($D964&lt;&gt;"销项开票",IFERROR(INDEX(单位档案!$G$6:$G$35,MATCH($E964,单位档案!$A$6:$A$35,0)),"")&lt;&gt;"是",N($Q964)=0),0,IF(IFERROR(INDEX(单位档案!$H$6:$H$35,MATCH($E964,单位档案!$A$6:$A$35,0)),"")="税差法",ROUND(N($H964)/(1+$Q964)*$Q964-IF(N($R964)=0,0,$P964/(1+$R964)*$R964),2),ROUND(N($H964)/(1+$Q964)*$Q964,2)))</f>
        <v>0</v>
      </c>
      <c r="T964" s="36" t="n">
        <f aca="false">ROUND($S964*N(IFERROR(INDEX(单位档案!$J$6:$J$35,MATCH($E964,单位档案!$A$6:$A$35,0)),"")),2)</f>
        <v>0</v>
      </c>
      <c r="U964" s="36" t="n">
        <f aca="false">IF($D964&lt;&gt;"销项开票",0,ROUND(N($H964)*N(IFERROR(INDEX(单位档案!$K$6:$K$35,MATCH($E964,单位档案!$A$6:$A$35,0)),"")),2))</f>
        <v>0</v>
      </c>
      <c r="V964" s="36" t="n">
        <f aca="false">IF(OR($D964&lt;&gt;"销项开票",N($Q964)=0),0,ROUND(N($H964)/(1+$Q964)*N(IFERROR(INDEX(单位档案!$L$6:$L$35,MATCH($E964,单位档案!$A$6:$A$35,0)),"")),2))</f>
        <v>0</v>
      </c>
      <c r="W964" s="36" t="n">
        <f aca="false">ROUND($S964+$T964+$U964+$V964,2)</f>
        <v>0</v>
      </c>
      <c r="X964" s="35" t="str">
        <f aca="false">IF(OR($D964="挂靠代收",$D964="我方收款"),COUNTIFS($D$5:$D964,"挂靠代收")+COUNTIFS($D$5:$D964,"我方收款"),"")</f>
        <v/>
      </c>
      <c r="Y964" s="35"/>
      <c r="Z964" s="21" t="s">
        <v>111</v>
      </c>
    </row>
    <row r="965" customFormat="false" ht="15.75" hidden="false" customHeight="true" outlineLevel="0" collapsed="false">
      <c r="A965" s="32" t="str">
        <f aca="false">IF($B965="","",ROW()-4)</f>
        <v/>
      </c>
      <c r="B965" s="26"/>
      <c r="C965" s="24"/>
      <c r="D965" s="21"/>
      <c r="E965" s="21"/>
      <c r="F965" s="21"/>
      <c r="G965" s="21"/>
      <c r="H965" s="27"/>
      <c r="I965" s="23" t="str">
        <f aca="false">IF($D965&lt;&gt;"销项开票","",IF($N965="一级",IF(IFERROR(INDEX(项目档案!$E$6:$E$255,MATCH($C965,项目档案!$A$6:$A$255,0)),"")="",N(IFERROR(INDEX(单位档案!$D$6:$D$35,MATCH($E965,单位档案!$A$6:$A$35,0)),"")),IFERROR(INDEX(项目档案!$E$6:$E$255,MATCH($C965,项目档案!$A$6:$A$255,0)),"")),IF($N965="二级",IF(IFERROR(INDEX(项目档案!$G$6:$G$255,MATCH($C965,项目档案!$A$6:$A$255,0)),"")="",N(IFERROR(INDEX(单位档案!$D$6:$D$35,MATCH($E965,单位档案!$A$6:$A$35,0)),"")),IFERROR(INDEX(项目档案!$G$6:$G$255,MATCH($C965,项目档案!$A$6:$A$255,0)),"")),N(IFERROR(INDEX(单位档案!$D$6:$D$35,MATCH($E965,单位档案!$A$6:$A$35,0)),"")))))</f>
        <v/>
      </c>
      <c r="J965" s="22"/>
      <c r="K965" s="22"/>
      <c r="L965" s="33" t="str">
        <f aca="false">IF($B965="","",IF(NOT(ISNUMBER($B965)),"日期格式不对",IF($C965="","未选项目编号",IF(LEFT($M965,1)="⚠","项目编号不存在",IF($D965="","未选业务类型",IF($E965="","未选开票/付款方",IF(ISNA(MATCH($E965,单位档案!$A$6:$A$35,0)),"开票方不在单位档案",IF($F965="","未选收票/收款方",IF(ISNA(MATCH($F965,单位档案!$A$6:$A$35,0)),"收款方不在单位档案",IF(NOT(ISNUMBER($H965)),"金额须为数字",IF(AND($D965="销项开票",$N965="—"),"链条待确认","√")))))))))))</f>
        <v/>
      </c>
      <c r="M965" s="34" t="str">
        <f aca="false">IF($C965="","",IFERROR(INDEX(项目档案!$B$6:$B$255,MATCH($C965,项目档案!$A$6:$A$255,0)),"⚠项目编号不存在"))</f>
        <v/>
      </c>
      <c r="N965" s="35" t="str">
        <f aca="false">IF($E965="","",IF($E965=IFERROR(INDEX(项目档案!$D$6:$D$255,MATCH($C965,项目档案!$A$6:$A$255,0)),""),"一级",IF($E965=IFERROR(INDEX(项目档案!$F$6:$F$255,MATCH($C965,项目档案!$A$6:$A$255,0)),""),"二级",IF($E965=IFERROR(INDEX(项目档案!$H$6:$H$255,MATCH($C965,项目档案!$A$6:$A$255,0)),""),"我方","—"))))</f>
        <v/>
      </c>
      <c r="O965" s="36" t="n">
        <f aca="false">IF($D965&lt;&gt;"销项开票",0,ROUND(N($H965)*N($I965),2))</f>
        <v>0</v>
      </c>
      <c r="P965" s="36" t="n">
        <f aca="false">IF($D965&lt;&gt;"销项开票",0,ROUND(N($H965)-$O965,2))</f>
        <v>0</v>
      </c>
      <c r="Q965" s="37" t="str">
        <f aca="false">IF($E965="","",N(IFERROR(INDEX(单位档案!$E$6:$E$35,MATCH($E965,单位档案!$A$6:$A$35,0)),"")))</f>
        <v/>
      </c>
      <c r="R965" s="37" t="str">
        <f aca="false">IF($E965="","",N(IFERROR(INDEX(单位档案!$F$6:$F$35,MATCH($E965,单位档案!$A$6:$A$35,0)),"")))</f>
        <v/>
      </c>
      <c r="S965" s="36" t="n">
        <f aca="false">IF(OR($D965&lt;&gt;"销项开票",IFERROR(INDEX(单位档案!$G$6:$G$35,MATCH($E965,单位档案!$A$6:$A$35,0)),"")&lt;&gt;"是",N($Q965)=0),0,IF(IFERROR(INDEX(单位档案!$H$6:$H$35,MATCH($E965,单位档案!$A$6:$A$35,0)),"")="税差法",ROUND(N($H965)/(1+$Q965)*$Q965-IF(N($R965)=0,0,$P965/(1+$R965)*$R965),2),ROUND(N($H965)/(1+$Q965)*$Q965,2)))</f>
        <v>0</v>
      </c>
      <c r="T965" s="36" t="n">
        <f aca="false">ROUND($S965*N(IFERROR(INDEX(单位档案!$J$6:$J$35,MATCH($E965,单位档案!$A$6:$A$35,0)),"")),2)</f>
        <v>0</v>
      </c>
      <c r="U965" s="36" t="n">
        <f aca="false">IF($D965&lt;&gt;"销项开票",0,ROUND(N($H965)*N(IFERROR(INDEX(单位档案!$K$6:$K$35,MATCH($E965,单位档案!$A$6:$A$35,0)),"")),2))</f>
        <v>0</v>
      </c>
      <c r="V965" s="36" t="n">
        <f aca="false">IF(OR($D965&lt;&gt;"销项开票",N($Q965)=0),0,ROUND(N($H965)/(1+$Q965)*N(IFERROR(INDEX(单位档案!$L$6:$L$35,MATCH($E965,单位档案!$A$6:$A$35,0)),"")),2))</f>
        <v>0</v>
      </c>
      <c r="W965" s="36" t="n">
        <f aca="false">ROUND($S965+$T965+$U965+$V965,2)</f>
        <v>0</v>
      </c>
      <c r="X965" s="35" t="str">
        <f aca="false">IF(OR($D965="挂靠代收",$D965="我方收款"),COUNTIFS($D$5:$D965,"挂靠代收")+COUNTIFS($D$5:$D965,"我方收款"),"")</f>
        <v/>
      </c>
      <c r="Y965" s="35"/>
      <c r="Z965" s="21" t="s">
        <v>111</v>
      </c>
    </row>
    <row r="966" customFormat="false" ht="15.75" hidden="false" customHeight="true" outlineLevel="0" collapsed="false">
      <c r="A966" s="32" t="str">
        <f aca="false">IF($B966="","",ROW()-4)</f>
        <v/>
      </c>
      <c r="B966" s="26"/>
      <c r="C966" s="24"/>
      <c r="D966" s="21"/>
      <c r="E966" s="21"/>
      <c r="F966" s="21"/>
      <c r="G966" s="21"/>
      <c r="H966" s="27"/>
      <c r="I966" s="23" t="str">
        <f aca="false">IF($D966&lt;&gt;"销项开票","",IF($N966="一级",IF(IFERROR(INDEX(项目档案!$E$6:$E$255,MATCH($C966,项目档案!$A$6:$A$255,0)),"")="",N(IFERROR(INDEX(单位档案!$D$6:$D$35,MATCH($E966,单位档案!$A$6:$A$35,0)),"")),IFERROR(INDEX(项目档案!$E$6:$E$255,MATCH($C966,项目档案!$A$6:$A$255,0)),"")),IF($N966="二级",IF(IFERROR(INDEX(项目档案!$G$6:$G$255,MATCH($C966,项目档案!$A$6:$A$255,0)),"")="",N(IFERROR(INDEX(单位档案!$D$6:$D$35,MATCH($E966,单位档案!$A$6:$A$35,0)),"")),IFERROR(INDEX(项目档案!$G$6:$G$255,MATCH($C966,项目档案!$A$6:$A$255,0)),"")),N(IFERROR(INDEX(单位档案!$D$6:$D$35,MATCH($E966,单位档案!$A$6:$A$35,0)),"")))))</f>
        <v/>
      </c>
      <c r="J966" s="22"/>
      <c r="K966" s="22"/>
      <c r="L966" s="33" t="str">
        <f aca="false">IF($B966="","",IF(NOT(ISNUMBER($B966)),"日期格式不对",IF($C966="","未选项目编号",IF(LEFT($M966,1)="⚠","项目编号不存在",IF($D966="","未选业务类型",IF($E966="","未选开票/付款方",IF(ISNA(MATCH($E966,单位档案!$A$6:$A$35,0)),"开票方不在单位档案",IF($F966="","未选收票/收款方",IF(ISNA(MATCH($F966,单位档案!$A$6:$A$35,0)),"收款方不在单位档案",IF(NOT(ISNUMBER($H966)),"金额须为数字",IF(AND($D966="销项开票",$N966="—"),"链条待确认","√")))))))))))</f>
        <v/>
      </c>
      <c r="M966" s="34" t="str">
        <f aca="false">IF($C966="","",IFERROR(INDEX(项目档案!$B$6:$B$255,MATCH($C966,项目档案!$A$6:$A$255,0)),"⚠项目编号不存在"))</f>
        <v/>
      </c>
      <c r="N966" s="35" t="str">
        <f aca="false">IF($E966="","",IF($E966=IFERROR(INDEX(项目档案!$D$6:$D$255,MATCH($C966,项目档案!$A$6:$A$255,0)),""),"一级",IF($E966=IFERROR(INDEX(项目档案!$F$6:$F$255,MATCH($C966,项目档案!$A$6:$A$255,0)),""),"二级",IF($E966=IFERROR(INDEX(项目档案!$H$6:$H$255,MATCH($C966,项目档案!$A$6:$A$255,0)),""),"我方","—"))))</f>
        <v/>
      </c>
      <c r="O966" s="36" t="n">
        <f aca="false">IF($D966&lt;&gt;"销项开票",0,ROUND(N($H966)*N($I966),2))</f>
        <v>0</v>
      </c>
      <c r="P966" s="36" t="n">
        <f aca="false">IF($D966&lt;&gt;"销项开票",0,ROUND(N($H966)-$O966,2))</f>
        <v>0</v>
      </c>
      <c r="Q966" s="37" t="str">
        <f aca="false">IF($E966="","",N(IFERROR(INDEX(单位档案!$E$6:$E$35,MATCH($E966,单位档案!$A$6:$A$35,0)),"")))</f>
        <v/>
      </c>
      <c r="R966" s="37" t="str">
        <f aca="false">IF($E966="","",N(IFERROR(INDEX(单位档案!$F$6:$F$35,MATCH($E966,单位档案!$A$6:$A$35,0)),"")))</f>
        <v/>
      </c>
      <c r="S966" s="36" t="n">
        <f aca="false">IF(OR($D966&lt;&gt;"销项开票",IFERROR(INDEX(单位档案!$G$6:$G$35,MATCH($E966,单位档案!$A$6:$A$35,0)),"")&lt;&gt;"是",N($Q966)=0),0,IF(IFERROR(INDEX(单位档案!$H$6:$H$35,MATCH($E966,单位档案!$A$6:$A$35,0)),"")="税差法",ROUND(N($H966)/(1+$Q966)*$Q966-IF(N($R966)=0,0,$P966/(1+$R966)*$R966),2),ROUND(N($H966)/(1+$Q966)*$Q966,2)))</f>
        <v>0</v>
      </c>
      <c r="T966" s="36" t="n">
        <f aca="false">ROUND($S966*N(IFERROR(INDEX(单位档案!$J$6:$J$35,MATCH($E966,单位档案!$A$6:$A$35,0)),"")),2)</f>
        <v>0</v>
      </c>
      <c r="U966" s="36" t="n">
        <f aca="false">IF($D966&lt;&gt;"销项开票",0,ROUND(N($H966)*N(IFERROR(INDEX(单位档案!$K$6:$K$35,MATCH($E966,单位档案!$A$6:$A$35,0)),"")),2))</f>
        <v>0</v>
      </c>
      <c r="V966" s="36" t="n">
        <f aca="false">IF(OR($D966&lt;&gt;"销项开票",N($Q966)=0),0,ROUND(N($H966)/(1+$Q966)*N(IFERROR(INDEX(单位档案!$L$6:$L$35,MATCH($E966,单位档案!$A$6:$A$35,0)),"")),2))</f>
        <v>0</v>
      </c>
      <c r="W966" s="36" t="n">
        <f aca="false">ROUND($S966+$T966+$U966+$V966,2)</f>
        <v>0</v>
      </c>
      <c r="X966" s="35" t="str">
        <f aca="false">IF(OR($D966="挂靠代收",$D966="我方收款"),COUNTIFS($D$5:$D966,"挂靠代收")+COUNTIFS($D$5:$D966,"我方收款"),"")</f>
        <v/>
      </c>
      <c r="Y966" s="35"/>
      <c r="Z966" s="21" t="s">
        <v>111</v>
      </c>
    </row>
    <row r="967" customFormat="false" ht="15.75" hidden="false" customHeight="true" outlineLevel="0" collapsed="false">
      <c r="A967" s="32" t="str">
        <f aca="false">IF($B967="","",ROW()-4)</f>
        <v/>
      </c>
      <c r="B967" s="26"/>
      <c r="C967" s="24"/>
      <c r="D967" s="21"/>
      <c r="E967" s="21"/>
      <c r="F967" s="21"/>
      <c r="G967" s="21"/>
      <c r="H967" s="27"/>
      <c r="I967" s="23" t="str">
        <f aca="false">IF($D967&lt;&gt;"销项开票","",IF($N967="一级",IF(IFERROR(INDEX(项目档案!$E$6:$E$255,MATCH($C967,项目档案!$A$6:$A$255,0)),"")="",N(IFERROR(INDEX(单位档案!$D$6:$D$35,MATCH($E967,单位档案!$A$6:$A$35,0)),"")),IFERROR(INDEX(项目档案!$E$6:$E$255,MATCH($C967,项目档案!$A$6:$A$255,0)),"")),IF($N967="二级",IF(IFERROR(INDEX(项目档案!$G$6:$G$255,MATCH($C967,项目档案!$A$6:$A$255,0)),"")="",N(IFERROR(INDEX(单位档案!$D$6:$D$35,MATCH($E967,单位档案!$A$6:$A$35,0)),"")),IFERROR(INDEX(项目档案!$G$6:$G$255,MATCH($C967,项目档案!$A$6:$A$255,0)),"")),N(IFERROR(INDEX(单位档案!$D$6:$D$35,MATCH($E967,单位档案!$A$6:$A$35,0)),"")))))</f>
        <v/>
      </c>
      <c r="J967" s="22"/>
      <c r="K967" s="22"/>
      <c r="L967" s="33" t="str">
        <f aca="false">IF($B967="","",IF(NOT(ISNUMBER($B967)),"日期格式不对",IF($C967="","未选项目编号",IF(LEFT($M967,1)="⚠","项目编号不存在",IF($D967="","未选业务类型",IF($E967="","未选开票/付款方",IF(ISNA(MATCH($E967,单位档案!$A$6:$A$35,0)),"开票方不在单位档案",IF($F967="","未选收票/收款方",IF(ISNA(MATCH($F967,单位档案!$A$6:$A$35,0)),"收款方不在单位档案",IF(NOT(ISNUMBER($H967)),"金额须为数字",IF(AND($D967="销项开票",$N967="—"),"链条待确认","√")))))))))))</f>
        <v/>
      </c>
      <c r="M967" s="34" t="str">
        <f aca="false">IF($C967="","",IFERROR(INDEX(项目档案!$B$6:$B$255,MATCH($C967,项目档案!$A$6:$A$255,0)),"⚠项目编号不存在"))</f>
        <v/>
      </c>
      <c r="N967" s="35" t="str">
        <f aca="false">IF($E967="","",IF($E967=IFERROR(INDEX(项目档案!$D$6:$D$255,MATCH($C967,项目档案!$A$6:$A$255,0)),""),"一级",IF($E967=IFERROR(INDEX(项目档案!$F$6:$F$255,MATCH($C967,项目档案!$A$6:$A$255,0)),""),"二级",IF($E967=IFERROR(INDEX(项目档案!$H$6:$H$255,MATCH($C967,项目档案!$A$6:$A$255,0)),""),"我方","—"))))</f>
        <v/>
      </c>
      <c r="O967" s="36" t="n">
        <f aca="false">IF($D967&lt;&gt;"销项开票",0,ROUND(N($H967)*N($I967),2))</f>
        <v>0</v>
      </c>
      <c r="P967" s="36" t="n">
        <f aca="false">IF($D967&lt;&gt;"销项开票",0,ROUND(N($H967)-$O967,2))</f>
        <v>0</v>
      </c>
      <c r="Q967" s="37" t="str">
        <f aca="false">IF($E967="","",N(IFERROR(INDEX(单位档案!$E$6:$E$35,MATCH($E967,单位档案!$A$6:$A$35,0)),"")))</f>
        <v/>
      </c>
      <c r="R967" s="37" t="str">
        <f aca="false">IF($E967="","",N(IFERROR(INDEX(单位档案!$F$6:$F$35,MATCH($E967,单位档案!$A$6:$A$35,0)),"")))</f>
        <v/>
      </c>
      <c r="S967" s="36" t="n">
        <f aca="false">IF(OR($D967&lt;&gt;"销项开票",IFERROR(INDEX(单位档案!$G$6:$G$35,MATCH($E967,单位档案!$A$6:$A$35,0)),"")&lt;&gt;"是",N($Q967)=0),0,IF(IFERROR(INDEX(单位档案!$H$6:$H$35,MATCH($E967,单位档案!$A$6:$A$35,0)),"")="税差法",ROUND(N($H967)/(1+$Q967)*$Q967-IF(N($R967)=0,0,$P967/(1+$R967)*$R967),2),ROUND(N($H967)/(1+$Q967)*$Q967,2)))</f>
        <v>0</v>
      </c>
      <c r="T967" s="36" t="n">
        <f aca="false">ROUND($S967*N(IFERROR(INDEX(单位档案!$J$6:$J$35,MATCH($E967,单位档案!$A$6:$A$35,0)),"")),2)</f>
        <v>0</v>
      </c>
      <c r="U967" s="36" t="n">
        <f aca="false">IF($D967&lt;&gt;"销项开票",0,ROUND(N($H967)*N(IFERROR(INDEX(单位档案!$K$6:$K$35,MATCH($E967,单位档案!$A$6:$A$35,0)),"")),2))</f>
        <v>0</v>
      </c>
      <c r="V967" s="36" t="n">
        <f aca="false">IF(OR($D967&lt;&gt;"销项开票",N($Q967)=0),0,ROUND(N($H967)/(1+$Q967)*N(IFERROR(INDEX(单位档案!$L$6:$L$35,MATCH($E967,单位档案!$A$6:$A$35,0)),"")),2))</f>
        <v>0</v>
      </c>
      <c r="W967" s="36" t="n">
        <f aca="false">ROUND($S967+$T967+$U967+$V967,2)</f>
        <v>0</v>
      </c>
      <c r="X967" s="35" t="str">
        <f aca="false">IF(OR($D967="挂靠代收",$D967="我方收款"),COUNTIFS($D$5:$D967,"挂靠代收")+COUNTIFS($D$5:$D967,"我方收款"),"")</f>
        <v/>
      </c>
      <c r="Y967" s="35"/>
      <c r="Z967" s="21" t="s">
        <v>111</v>
      </c>
    </row>
    <row r="968" customFormat="false" ht="15.75" hidden="false" customHeight="true" outlineLevel="0" collapsed="false">
      <c r="A968" s="32" t="str">
        <f aca="false">IF($B968="","",ROW()-4)</f>
        <v/>
      </c>
      <c r="B968" s="26"/>
      <c r="C968" s="24"/>
      <c r="D968" s="21"/>
      <c r="E968" s="21"/>
      <c r="F968" s="21"/>
      <c r="G968" s="21"/>
      <c r="H968" s="27"/>
      <c r="I968" s="23" t="str">
        <f aca="false">IF($D968&lt;&gt;"销项开票","",IF($N968="一级",IF(IFERROR(INDEX(项目档案!$E$6:$E$255,MATCH($C968,项目档案!$A$6:$A$255,0)),"")="",N(IFERROR(INDEX(单位档案!$D$6:$D$35,MATCH($E968,单位档案!$A$6:$A$35,0)),"")),IFERROR(INDEX(项目档案!$E$6:$E$255,MATCH($C968,项目档案!$A$6:$A$255,0)),"")),IF($N968="二级",IF(IFERROR(INDEX(项目档案!$G$6:$G$255,MATCH($C968,项目档案!$A$6:$A$255,0)),"")="",N(IFERROR(INDEX(单位档案!$D$6:$D$35,MATCH($E968,单位档案!$A$6:$A$35,0)),"")),IFERROR(INDEX(项目档案!$G$6:$G$255,MATCH($C968,项目档案!$A$6:$A$255,0)),"")),N(IFERROR(INDEX(单位档案!$D$6:$D$35,MATCH($E968,单位档案!$A$6:$A$35,0)),"")))))</f>
        <v/>
      </c>
      <c r="J968" s="22"/>
      <c r="K968" s="22"/>
      <c r="L968" s="33" t="str">
        <f aca="false">IF($B968="","",IF(NOT(ISNUMBER($B968)),"日期格式不对",IF($C968="","未选项目编号",IF(LEFT($M968,1)="⚠","项目编号不存在",IF($D968="","未选业务类型",IF($E968="","未选开票/付款方",IF(ISNA(MATCH($E968,单位档案!$A$6:$A$35,0)),"开票方不在单位档案",IF($F968="","未选收票/收款方",IF(ISNA(MATCH($F968,单位档案!$A$6:$A$35,0)),"收款方不在单位档案",IF(NOT(ISNUMBER($H968)),"金额须为数字",IF(AND($D968="销项开票",$N968="—"),"链条待确认","√")))))))))))</f>
        <v/>
      </c>
      <c r="M968" s="34" t="str">
        <f aca="false">IF($C968="","",IFERROR(INDEX(项目档案!$B$6:$B$255,MATCH($C968,项目档案!$A$6:$A$255,0)),"⚠项目编号不存在"))</f>
        <v/>
      </c>
      <c r="N968" s="35" t="str">
        <f aca="false">IF($E968="","",IF($E968=IFERROR(INDEX(项目档案!$D$6:$D$255,MATCH($C968,项目档案!$A$6:$A$255,0)),""),"一级",IF($E968=IFERROR(INDEX(项目档案!$F$6:$F$255,MATCH($C968,项目档案!$A$6:$A$255,0)),""),"二级",IF($E968=IFERROR(INDEX(项目档案!$H$6:$H$255,MATCH($C968,项目档案!$A$6:$A$255,0)),""),"我方","—"))))</f>
        <v/>
      </c>
      <c r="O968" s="36" t="n">
        <f aca="false">IF($D968&lt;&gt;"销项开票",0,ROUND(N($H968)*N($I968),2))</f>
        <v>0</v>
      </c>
      <c r="P968" s="36" t="n">
        <f aca="false">IF($D968&lt;&gt;"销项开票",0,ROUND(N($H968)-$O968,2))</f>
        <v>0</v>
      </c>
      <c r="Q968" s="37" t="str">
        <f aca="false">IF($E968="","",N(IFERROR(INDEX(单位档案!$E$6:$E$35,MATCH($E968,单位档案!$A$6:$A$35,0)),"")))</f>
        <v/>
      </c>
      <c r="R968" s="37" t="str">
        <f aca="false">IF($E968="","",N(IFERROR(INDEX(单位档案!$F$6:$F$35,MATCH($E968,单位档案!$A$6:$A$35,0)),"")))</f>
        <v/>
      </c>
      <c r="S968" s="36" t="n">
        <f aca="false">IF(OR($D968&lt;&gt;"销项开票",IFERROR(INDEX(单位档案!$G$6:$G$35,MATCH($E968,单位档案!$A$6:$A$35,0)),"")&lt;&gt;"是",N($Q968)=0),0,IF(IFERROR(INDEX(单位档案!$H$6:$H$35,MATCH($E968,单位档案!$A$6:$A$35,0)),"")="税差法",ROUND(N($H968)/(1+$Q968)*$Q968-IF(N($R968)=0,0,$P968/(1+$R968)*$R968),2),ROUND(N($H968)/(1+$Q968)*$Q968,2)))</f>
        <v>0</v>
      </c>
      <c r="T968" s="36" t="n">
        <f aca="false">ROUND($S968*N(IFERROR(INDEX(单位档案!$J$6:$J$35,MATCH($E968,单位档案!$A$6:$A$35,0)),"")),2)</f>
        <v>0</v>
      </c>
      <c r="U968" s="36" t="n">
        <f aca="false">IF($D968&lt;&gt;"销项开票",0,ROUND(N($H968)*N(IFERROR(INDEX(单位档案!$K$6:$K$35,MATCH($E968,单位档案!$A$6:$A$35,0)),"")),2))</f>
        <v>0</v>
      </c>
      <c r="V968" s="36" t="n">
        <f aca="false">IF(OR($D968&lt;&gt;"销项开票",N($Q968)=0),0,ROUND(N($H968)/(1+$Q968)*N(IFERROR(INDEX(单位档案!$L$6:$L$35,MATCH($E968,单位档案!$A$6:$A$35,0)),"")),2))</f>
        <v>0</v>
      </c>
      <c r="W968" s="36" t="n">
        <f aca="false">ROUND($S968+$T968+$U968+$V968,2)</f>
        <v>0</v>
      </c>
      <c r="X968" s="35" t="str">
        <f aca="false">IF(OR($D968="挂靠代收",$D968="我方收款"),COUNTIFS($D$5:$D968,"挂靠代收")+COUNTIFS($D$5:$D968,"我方收款"),"")</f>
        <v/>
      </c>
      <c r="Y968" s="35"/>
      <c r="Z968" s="21" t="s">
        <v>111</v>
      </c>
    </row>
    <row r="969" customFormat="false" ht="15.75" hidden="false" customHeight="true" outlineLevel="0" collapsed="false">
      <c r="A969" s="32" t="str">
        <f aca="false">IF($B969="","",ROW()-4)</f>
        <v/>
      </c>
      <c r="B969" s="26"/>
      <c r="C969" s="24"/>
      <c r="D969" s="21"/>
      <c r="E969" s="21"/>
      <c r="F969" s="21"/>
      <c r="G969" s="21"/>
      <c r="H969" s="27"/>
      <c r="I969" s="23" t="str">
        <f aca="false">IF($D969&lt;&gt;"销项开票","",IF($N969="一级",IF(IFERROR(INDEX(项目档案!$E$6:$E$255,MATCH($C969,项目档案!$A$6:$A$255,0)),"")="",N(IFERROR(INDEX(单位档案!$D$6:$D$35,MATCH($E969,单位档案!$A$6:$A$35,0)),"")),IFERROR(INDEX(项目档案!$E$6:$E$255,MATCH($C969,项目档案!$A$6:$A$255,0)),"")),IF($N969="二级",IF(IFERROR(INDEX(项目档案!$G$6:$G$255,MATCH($C969,项目档案!$A$6:$A$255,0)),"")="",N(IFERROR(INDEX(单位档案!$D$6:$D$35,MATCH($E969,单位档案!$A$6:$A$35,0)),"")),IFERROR(INDEX(项目档案!$G$6:$G$255,MATCH($C969,项目档案!$A$6:$A$255,0)),"")),N(IFERROR(INDEX(单位档案!$D$6:$D$35,MATCH($E969,单位档案!$A$6:$A$35,0)),"")))))</f>
        <v/>
      </c>
      <c r="J969" s="22"/>
      <c r="K969" s="22"/>
      <c r="L969" s="33" t="str">
        <f aca="false">IF($B969="","",IF(NOT(ISNUMBER($B969)),"日期格式不对",IF($C969="","未选项目编号",IF(LEFT($M969,1)="⚠","项目编号不存在",IF($D969="","未选业务类型",IF($E969="","未选开票/付款方",IF(ISNA(MATCH($E969,单位档案!$A$6:$A$35,0)),"开票方不在单位档案",IF($F969="","未选收票/收款方",IF(ISNA(MATCH($F969,单位档案!$A$6:$A$35,0)),"收款方不在单位档案",IF(NOT(ISNUMBER($H969)),"金额须为数字",IF(AND($D969="销项开票",$N969="—"),"链条待确认","√")))))))))))</f>
        <v/>
      </c>
      <c r="M969" s="34" t="str">
        <f aca="false">IF($C969="","",IFERROR(INDEX(项目档案!$B$6:$B$255,MATCH($C969,项目档案!$A$6:$A$255,0)),"⚠项目编号不存在"))</f>
        <v/>
      </c>
      <c r="N969" s="35" t="str">
        <f aca="false">IF($E969="","",IF($E969=IFERROR(INDEX(项目档案!$D$6:$D$255,MATCH($C969,项目档案!$A$6:$A$255,0)),""),"一级",IF($E969=IFERROR(INDEX(项目档案!$F$6:$F$255,MATCH($C969,项目档案!$A$6:$A$255,0)),""),"二级",IF($E969=IFERROR(INDEX(项目档案!$H$6:$H$255,MATCH($C969,项目档案!$A$6:$A$255,0)),""),"我方","—"))))</f>
        <v/>
      </c>
      <c r="O969" s="36" t="n">
        <f aca="false">IF($D969&lt;&gt;"销项开票",0,ROUND(N($H969)*N($I969),2))</f>
        <v>0</v>
      </c>
      <c r="P969" s="36" t="n">
        <f aca="false">IF($D969&lt;&gt;"销项开票",0,ROUND(N($H969)-$O969,2))</f>
        <v>0</v>
      </c>
      <c r="Q969" s="37" t="str">
        <f aca="false">IF($E969="","",N(IFERROR(INDEX(单位档案!$E$6:$E$35,MATCH($E969,单位档案!$A$6:$A$35,0)),"")))</f>
        <v/>
      </c>
      <c r="R969" s="37" t="str">
        <f aca="false">IF($E969="","",N(IFERROR(INDEX(单位档案!$F$6:$F$35,MATCH($E969,单位档案!$A$6:$A$35,0)),"")))</f>
        <v/>
      </c>
      <c r="S969" s="36" t="n">
        <f aca="false">IF(OR($D969&lt;&gt;"销项开票",IFERROR(INDEX(单位档案!$G$6:$G$35,MATCH($E969,单位档案!$A$6:$A$35,0)),"")&lt;&gt;"是",N($Q969)=0),0,IF(IFERROR(INDEX(单位档案!$H$6:$H$35,MATCH($E969,单位档案!$A$6:$A$35,0)),"")="税差法",ROUND(N($H969)/(1+$Q969)*$Q969-IF(N($R969)=0,0,$P969/(1+$R969)*$R969),2),ROUND(N($H969)/(1+$Q969)*$Q969,2)))</f>
        <v>0</v>
      </c>
      <c r="T969" s="36" t="n">
        <f aca="false">ROUND($S969*N(IFERROR(INDEX(单位档案!$J$6:$J$35,MATCH($E969,单位档案!$A$6:$A$35,0)),"")),2)</f>
        <v>0</v>
      </c>
      <c r="U969" s="36" t="n">
        <f aca="false">IF($D969&lt;&gt;"销项开票",0,ROUND(N($H969)*N(IFERROR(INDEX(单位档案!$K$6:$K$35,MATCH($E969,单位档案!$A$6:$A$35,0)),"")),2))</f>
        <v>0</v>
      </c>
      <c r="V969" s="36" t="n">
        <f aca="false">IF(OR($D969&lt;&gt;"销项开票",N($Q969)=0),0,ROUND(N($H969)/(1+$Q969)*N(IFERROR(INDEX(单位档案!$L$6:$L$35,MATCH($E969,单位档案!$A$6:$A$35,0)),"")),2))</f>
        <v>0</v>
      </c>
      <c r="W969" s="36" t="n">
        <f aca="false">ROUND($S969+$T969+$U969+$V969,2)</f>
        <v>0</v>
      </c>
      <c r="X969" s="35" t="str">
        <f aca="false">IF(OR($D969="挂靠代收",$D969="我方收款"),COUNTIFS($D$5:$D969,"挂靠代收")+COUNTIFS($D$5:$D969,"我方收款"),"")</f>
        <v/>
      </c>
      <c r="Y969" s="35"/>
      <c r="Z969" s="21" t="s">
        <v>111</v>
      </c>
    </row>
    <row r="970" customFormat="false" ht="15.75" hidden="false" customHeight="true" outlineLevel="0" collapsed="false">
      <c r="A970" s="32" t="str">
        <f aca="false">IF($B970="","",ROW()-4)</f>
        <v/>
      </c>
      <c r="B970" s="26"/>
      <c r="C970" s="24"/>
      <c r="D970" s="21"/>
      <c r="E970" s="21"/>
      <c r="F970" s="21"/>
      <c r="G970" s="21"/>
      <c r="H970" s="27"/>
      <c r="I970" s="23" t="str">
        <f aca="false">IF($D970&lt;&gt;"销项开票","",IF($N970="一级",IF(IFERROR(INDEX(项目档案!$E$6:$E$255,MATCH($C970,项目档案!$A$6:$A$255,0)),"")="",N(IFERROR(INDEX(单位档案!$D$6:$D$35,MATCH($E970,单位档案!$A$6:$A$35,0)),"")),IFERROR(INDEX(项目档案!$E$6:$E$255,MATCH($C970,项目档案!$A$6:$A$255,0)),"")),IF($N970="二级",IF(IFERROR(INDEX(项目档案!$G$6:$G$255,MATCH($C970,项目档案!$A$6:$A$255,0)),"")="",N(IFERROR(INDEX(单位档案!$D$6:$D$35,MATCH($E970,单位档案!$A$6:$A$35,0)),"")),IFERROR(INDEX(项目档案!$G$6:$G$255,MATCH($C970,项目档案!$A$6:$A$255,0)),"")),N(IFERROR(INDEX(单位档案!$D$6:$D$35,MATCH($E970,单位档案!$A$6:$A$35,0)),"")))))</f>
        <v/>
      </c>
      <c r="J970" s="22"/>
      <c r="K970" s="22"/>
      <c r="L970" s="33" t="str">
        <f aca="false">IF($B970="","",IF(NOT(ISNUMBER($B970)),"日期格式不对",IF($C970="","未选项目编号",IF(LEFT($M970,1)="⚠","项目编号不存在",IF($D970="","未选业务类型",IF($E970="","未选开票/付款方",IF(ISNA(MATCH($E970,单位档案!$A$6:$A$35,0)),"开票方不在单位档案",IF($F970="","未选收票/收款方",IF(ISNA(MATCH($F970,单位档案!$A$6:$A$35,0)),"收款方不在单位档案",IF(NOT(ISNUMBER($H970)),"金额须为数字",IF(AND($D970="销项开票",$N970="—"),"链条待确认","√")))))))))))</f>
        <v/>
      </c>
      <c r="M970" s="34" t="str">
        <f aca="false">IF($C970="","",IFERROR(INDEX(项目档案!$B$6:$B$255,MATCH($C970,项目档案!$A$6:$A$255,0)),"⚠项目编号不存在"))</f>
        <v/>
      </c>
      <c r="N970" s="35" t="str">
        <f aca="false">IF($E970="","",IF($E970=IFERROR(INDEX(项目档案!$D$6:$D$255,MATCH($C970,项目档案!$A$6:$A$255,0)),""),"一级",IF($E970=IFERROR(INDEX(项目档案!$F$6:$F$255,MATCH($C970,项目档案!$A$6:$A$255,0)),""),"二级",IF($E970=IFERROR(INDEX(项目档案!$H$6:$H$255,MATCH($C970,项目档案!$A$6:$A$255,0)),""),"我方","—"))))</f>
        <v/>
      </c>
      <c r="O970" s="36" t="n">
        <f aca="false">IF($D970&lt;&gt;"销项开票",0,ROUND(N($H970)*N($I970),2))</f>
        <v>0</v>
      </c>
      <c r="P970" s="36" t="n">
        <f aca="false">IF($D970&lt;&gt;"销项开票",0,ROUND(N($H970)-$O970,2))</f>
        <v>0</v>
      </c>
      <c r="Q970" s="37" t="str">
        <f aca="false">IF($E970="","",N(IFERROR(INDEX(单位档案!$E$6:$E$35,MATCH($E970,单位档案!$A$6:$A$35,0)),"")))</f>
        <v/>
      </c>
      <c r="R970" s="37" t="str">
        <f aca="false">IF($E970="","",N(IFERROR(INDEX(单位档案!$F$6:$F$35,MATCH($E970,单位档案!$A$6:$A$35,0)),"")))</f>
        <v/>
      </c>
      <c r="S970" s="36" t="n">
        <f aca="false">IF(OR($D970&lt;&gt;"销项开票",IFERROR(INDEX(单位档案!$G$6:$G$35,MATCH($E970,单位档案!$A$6:$A$35,0)),"")&lt;&gt;"是",N($Q970)=0),0,IF(IFERROR(INDEX(单位档案!$H$6:$H$35,MATCH($E970,单位档案!$A$6:$A$35,0)),"")="税差法",ROUND(N($H970)/(1+$Q970)*$Q970-IF(N($R970)=0,0,$P970/(1+$R970)*$R970),2),ROUND(N($H970)/(1+$Q970)*$Q970,2)))</f>
        <v>0</v>
      </c>
      <c r="T970" s="36" t="n">
        <f aca="false">ROUND($S970*N(IFERROR(INDEX(单位档案!$J$6:$J$35,MATCH($E970,单位档案!$A$6:$A$35,0)),"")),2)</f>
        <v>0</v>
      </c>
      <c r="U970" s="36" t="n">
        <f aca="false">IF($D970&lt;&gt;"销项开票",0,ROUND(N($H970)*N(IFERROR(INDEX(单位档案!$K$6:$K$35,MATCH($E970,单位档案!$A$6:$A$35,0)),"")),2))</f>
        <v>0</v>
      </c>
      <c r="V970" s="36" t="n">
        <f aca="false">IF(OR($D970&lt;&gt;"销项开票",N($Q970)=0),0,ROUND(N($H970)/(1+$Q970)*N(IFERROR(INDEX(单位档案!$L$6:$L$35,MATCH($E970,单位档案!$A$6:$A$35,0)),"")),2))</f>
        <v>0</v>
      </c>
      <c r="W970" s="36" t="n">
        <f aca="false">ROUND($S970+$T970+$U970+$V970,2)</f>
        <v>0</v>
      </c>
      <c r="X970" s="35" t="str">
        <f aca="false">IF(OR($D970="挂靠代收",$D970="我方收款"),COUNTIFS($D$5:$D970,"挂靠代收")+COUNTIFS($D$5:$D970,"我方收款"),"")</f>
        <v/>
      </c>
      <c r="Y970" s="35"/>
      <c r="Z970" s="21" t="s">
        <v>111</v>
      </c>
    </row>
    <row r="971" customFormat="false" ht="15.75" hidden="false" customHeight="true" outlineLevel="0" collapsed="false">
      <c r="A971" s="32" t="str">
        <f aca="false">IF($B971="","",ROW()-4)</f>
        <v/>
      </c>
      <c r="B971" s="26"/>
      <c r="C971" s="24"/>
      <c r="D971" s="21"/>
      <c r="E971" s="21"/>
      <c r="F971" s="21"/>
      <c r="G971" s="21"/>
      <c r="H971" s="27"/>
      <c r="I971" s="23" t="str">
        <f aca="false">IF($D971&lt;&gt;"销项开票","",IF($N971="一级",IF(IFERROR(INDEX(项目档案!$E$6:$E$255,MATCH($C971,项目档案!$A$6:$A$255,0)),"")="",N(IFERROR(INDEX(单位档案!$D$6:$D$35,MATCH($E971,单位档案!$A$6:$A$35,0)),"")),IFERROR(INDEX(项目档案!$E$6:$E$255,MATCH($C971,项目档案!$A$6:$A$255,0)),"")),IF($N971="二级",IF(IFERROR(INDEX(项目档案!$G$6:$G$255,MATCH($C971,项目档案!$A$6:$A$255,0)),"")="",N(IFERROR(INDEX(单位档案!$D$6:$D$35,MATCH($E971,单位档案!$A$6:$A$35,0)),"")),IFERROR(INDEX(项目档案!$G$6:$G$255,MATCH($C971,项目档案!$A$6:$A$255,0)),"")),N(IFERROR(INDEX(单位档案!$D$6:$D$35,MATCH($E971,单位档案!$A$6:$A$35,0)),"")))))</f>
        <v/>
      </c>
      <c r="J971" s="22"/>
      <c r="K971" s="22"/>
      <c r="L971" s="33" t="str">
        <f aca="false">IF($B971="","",IF(NOT(ISNUMBER($B971)),"日期格式不对",IF($C971="","未选项目编号",IF(LEFT($M971,1)="⚠","项目编号不存在",IF($D971="","未选业务类型",IF($E971="","未选开票/付款方",IF(ISNA(MATCH($E971,单位档案!$A$6:$A$35,0)),"开票方不在单位档案",IF($F971="","未选收票/收款方",IF(ISNA(MATCH($F971,单位档案!$A$6:$A$35,0)),"收款方不在单位档案",IF(NOT(ISNUMBER($H971)),"金额须为数字",IF(AND($D971="销项开票",$N971="—"),"链条待确认","√")))))))))))</f>
        <v/>
      </c>
      <c r="M971" s="34" t="str">
        <f aca="false">IF($C971="","",IFERROR(INDEX(项目档案!$B$6:$B$255,MATCH($C971,项目档案!$A$6:$A$255,0)),"⚠项目编号不存在"))</f>
        <v/>
      </c>
      <c r="N971" s="35" t="str">
        <f aca="false">IF($E971="","",IF($E971=IFERROR(INDEX(项目档案!$D$6:$D$255,MATCH($C971,项目档案!$A$6:$A$255,0)),""),"一级",IF($E971=IFERROR(INDEX(项目档案!$F$6:$F$255,MATCH($C971,项目档案!$A$6:$A$255,0)),""),"二级",IF($E971=IFERROR(INDEX(项目档案!$H$6:$H$255,MATCH($C971,项目档案!$A$6:$A$255,0)),""),"我方","—"))))</f>
        <v/>
      </c>
      <c r="O971" s="36" t="n">
        <f aca="false">IF($D971&lt;&gt;"销项开票",0,ROUND(N($H971)*N($I971),2))</f>
        <v>0</v>
      </c>
      <c r="P971" s="36" t="n">
        <f aca="false">IF($D971&lt;&gt;"销项开票",0,ROUND(N($H971)-$O971,2))</f>
        <v>0</v>
      </c>
      <c r="Q971" s="37" t="str">
        <f aca="false">IF($E971="","",N(IFERROR(INDEX(单位档案!$E$6:$E$35,MATCH($E971,单位档案!$A$6:$A$35,0)),"")))</f>
        <v/>
      </c>
      <c r="R971" s="37" t="str">
        <f aca="false">IF($E971="","",N(IFERROR(INDEX(单位档案!$F$6:$F$35,MATCH($E971,单位档案!$A$6:$A$35,0)),"")))</f>
        <v/>
      </c>
      <c r="S971" s="36" t="n">
        <f aca="false">IF(OR($D971&lt;&gt;"销项开票",IFERROR(INDEX(单位档案!$G$6:$G$35,MATCH($E971,单位档案!$A$6:$A$35,0)),"")&lt;&gt;"是",N($Q971)=0),0,IF(IFERROR(INDEX(单位档案!$H$6:$H$35,MATCH($E971,单位档案!$A$6:$A$35,0)),"")="税差法",ROUND(N($H971)/(1+$Q971)*$Q971-IF(N($R971)=0,0,$P971/(1+$R971)*$R971),2),ROUND(N($H971)/(1+$Q971)*$Q971,2)))</f>
        <v>0</v>
      </c>
      <c r="T971" s="36" t="n">
        <f aca="false">ROUND($S971*N(IFERROR(INDEX(单位档案!$J$6:$J$35,MATCH($E971,单位档案!$A$6:$A$35,0)),"")),2)</f>
        <v>0</v>
      </c>
      <c r="U971" s="36" t="n">
        <f aca="false">IF($D971&lt;&gt;"销项开票",0,ROUND(N($H971)*N(IFERROR(INDEX(单位档案!$K$6:$K$35,MATCH($E971,单位档案!$A$6:$A$35,0)),"")),2))</f>
        <v>0</v>
      </c>
      <c r="V971" s="36" t="n">
        <f aca="false">IF(OR($D971&lt;&gt;"销项开票",N($Q971)=0),0,ROUND(N($H971)/(1+$Q971)*N(IFERROR(INDEX(单位档案!$L$6:$L$35,MATCH($E971,单位档案!$A$6:$A$35,0)),"")),2))</f>
        <v>0</v>
      </c>
      <c r="W971" s="36" t="n">
        <f aca="false">ROUND($S971+$T971+$U971+$V971,2)</f>
        <v>0</v>
      </c>
      <c r="X971" s="35" t="str">
        <f aca="false">IF(OR($D971="挂靠代收",$D971="我方收款"),COUNTIFS($D$5:$D971,"挂靠代收")+COUNTIFS($D$5:$D971,"我方收款"),"")</f>
        <v/>
      </c>
      <c r="Y971" s="35"/>
      <c r="Z971" s="21" t="s">
        <v>111</v>
      </c>
    </row>
    <row r="972" customFormat="false" ht="15.75" hidden="false" customHeight="true" outlineLevel="0" collapsed="false">
      <c r="A972" s="32" t="str">
        <f aca="false">IF($B972="","",ROW()-4)</f>
        <v/>
      </c>
      <c r="B972" s="26"/>
      <c r="C972" s="24"/>
      <c r="D972" s="21"/>
      <c r="E972" s="21"/>
      <c r="F972" s="21"/>
      <c r="G972" s="21"/>
      <c r="H972" s="27"/>
      <c r="I972" s="23" t="str">
        <f aca="false">IF($D972&lt;&gt;"销项开票","",IF($N972="一级",IF(IFERROR(INDEX(项目档案!$E$6:$E$255,MATCH($C972,项目档案!$A$6:$A$255,0)),"")="",N(IFERROR(INDEX(单位档案!$D$6:$D$35,MATCH($E972,单位档案!$A$6:$A$35,0)),"")),IFERROR(INDEX(项目档案!$E$6:$E$255,MATCH($C972,项目档案!$A$6:$A$255,0)),"")),IF($N972="二级",IF(IFERROR(INDEX(项目档案!$G$6:$G$255,MATCH($C972,项目档案!$A$6:$A$255,0)),"")="",N(IFERROR(INDEX(单位档案!$D$6:$D$35,MATCH($E972,单位档案!$A$6:$A$35,0)),"")),IFERROR(INDEX(项目档案!$G$6:$G$255,MATCH($C972,项目档案!$A$6:$A$255,0)),"")),N(IFERROR(INDEX(单位档案!$D$6:$D$35,MATCH($E972,单位档案!$A$6:$A$35,0)),"")))))</f>
        <v/>
      </c>
      <c r="J972" s="22"/>
      <c r="K972" s="22"/>
      <c r="L972" s="33" t="str">
        <f aca="false">IF($B972="","",IF(NOT(ISNUMBER($B972)),"日期格式不对",IF($C972="","未选项目编号",IF(LEFT($M972,1)="⚠","项目编号不存在",IF($D972="","未选业务类型",IF($E972="","未选开票/付款方",IF(ISNA(MATCH($E972,单位档案!$A$6:$A$35,0)),"开票方不在单位档案",IF($F972="","未选收票/收款方",IF(ISNA(MATCH($F972,单位档案!$A$6:$A$35,0)),"收款方不在单位档案",IF(NOT(ISNUMBER($H972)),"金额须为数字",IF(AND($D972="销项开票",$N972="—"),"链条待确认","√")))))))))))</f>
        <v/>
      </c>
      <c r="M972" s="34" t="str">
        <f aca="false">IF($C972="","",IFERROR(INDEX(项目档案!$B$6:$B$255,MATCH($C972,项目档案!$A$6:$A$255,0)),"⚠项目编号不存在"))</f>
        <v/>
      </c>
      <c r="N972" s="35" t="str">
        <f aca="false">IF($E972="","",IF($E972=IFERROR(INDEX(项目档案!$D$6:$D$255,MATCH($C972,项目档案!$A$6:$A$255,0)),""),"一级",IF($E972=IFERROR(INDEX(项目档案!$F$6:$F$255,MATCH($C972,项目档案!$A$6:$A$255,0)),""),"二级",IF($E972=IFERROR(INDEX(项目档案!$H$6:$H$255,MATCH($C972,项目档案!$A$6:$A$255,0)),""),"我方","—"))))</f>
        <v/>
      </c>
      <c r="O972" s="36" t="n">
        <f aca="false">IF($D972&lt;&gt;"销项开票",0,ROUND(N($H972)*N($I972),2))</f>
        <v>0</v>
      </c>
      <c r="P972" s="36" t="n">
        <f aca="false">IF($D972&lt;&gt;"销项开票",0,ROUND(N($H972)-$O972,2))</f>
        <v>0</v>
      </c>
      <c r="Q972" s="37" t="str">
        <f aca="false">IF($E972="","",N(IFERROR(INDEX(单位档案!$E$6:$E$35,MATCH($E972,单位档案!$A$6:$A$35,0)),"")))</f>
        <v/>
      </c>
      <c r="R972" s="37" t="str">
        <f aca="false">IF($E972="","",N(IFERROR(INDEX(单位档案!$F$6:$F$35,MATCH($E972,单位档案!$A$6:$A$35,0)),"")))</f>
        <v/>
      </c>
      <c r="S972" s="36" t="n">
        <f aca="false">IF(OR($D972&lt;&gt;"销项开票",IFERROR(INDEX(单位档案!$G$6:$G$35,MATCH($E972,单位档案!$A$6:$A$35,0)),"")&lt;&gt;"是",N($Q972)=0),0,IF(IFERROR(INDEX(单位档案!$H$6:$H$35,MATCH($E972,单位档案!$A$6:$A$35,0)),"")="税差法",ROUND(N($H972)/(1+$Q972)*$Q972-IF(N($R972)=0,0,$P972/(1+$R972)*$R972),2),ROUND(N($H972)/(1+$Q972)*$Q972,2)))</f>
        <v>0</v>
      </c>
      <c r="T972" s="36" t="n">
        <f aca="false">ROUND($S972*N(IFERROR(INDEX(单位档案!$J$6:$J$35,MATCH($E972,单位档案!$A$6:$A$35,0)),"")),2)</f>
        <v>0</v>
      </c>
      <c r="U972" s="36" t="n">
        <f aca="false">IF($D972&lt;&gt;"销项开票",0,ROUND(N($H972)*N(IFERROR(INDEX(单位档案!$K$6:$K$35,MATCH($E972,单位档案!$A$6:$A$35,0)),"")),2))</f>
        <v>0</v>
      </c>
      <c r="V972" s="36" t="n">
        <f aca="false">IF(OR($D972&lt;&gt;"销项开票",N($Q972)=0),0,ROUND(N($H972)/(1+$Q972)*N(IFERROR(INDEX(单位档案!$L$6:$L$35,MATCH($E972,单位档案!$A$6:$A$35,0)),"")),2))</f>
        <v>0</v>
      </c>
      <c r="W972" s="36" t="n">
        <f aca="false">ROUND($S972+$T972+$U972+$V972,2)</f>
        <v>0</v>
      </c>
      <c r="X972" s="35" t="str">
        <f aca="false">IF(OR($D972="挂靠代收",$D972="我方收款"),COUNTIFS($D$5:$D972,"挂靠代收")+COUNTIFS($D$5:$D972,"我方收款"),"")</f>
        <v/>
      </c>
      <c r="Y972" s="35"/>
      <c r="Z972" s="21" t="s">
        <v>111</v>
      </c>
    </row>
    <row r="973" customFormat="false" ht="15.75" hidden="false" customHeight="true" outlineLevel="0" collapsed="false">
      <c r="A973" s="32" t="str">
        <f aca="false">IF($B973="","",ROW()-4)</f>
        <v/>
      </c>
      <c r="B973" s="26"/>
      <c r="C973" s="24"/>
      <c r="D973" s="21"/>
      <c r="E973" s="21"/>
      <c r="F973" s="21"/>
      <c r="G973" s="21"/>
      <c r="H973" s="27"/>
      <c r="I973" s="23" t="str">
        <f aca="false">IF($D973&lt;&gt;"销项开票","",IF($N973="一级",IF(IFERROR(INDEX(项目档案!$E$6:$E$255,MATCH($C973,项目档案!$A$6:$A$255,0)),"")="",N(IFERROR(INDEX(单位档案!$D$6:$D$35,MATCH($E973,单位档案!$A$6:$A$35,0)),"")),IFERROR(INDEX(项目档案!$E$6:$E$255,MATCH($C973,项目档案!$A$6:$A$255,0)),"")),IF($N973="二级",IF(IFERROR(INDEX(项目档案!$G$6:$G$255,MATCH($C973,项目档案!$A$6:$A$255,0)),"")="",N(IFERROR(INDEX(单位档案!$D$6:$D$35,MATCH($E973,单位档案!$A$6:$A$35,0)),"")),IFERROR(INDEX(项目档案!$G$6:$G$255,MATCH($C973,项目档案!$A$6:$A$255,0)),"")),N(IFERROR(INDEX(单位档案!$D$6:$D$35,MATCH($E973,单位档案!$A$6:$A$35,0)),"")))))</f>
        <v/>
      </c>
      <c r="J973" s="22"/>
      <c r="K973" s="22"/>
      <c r="L973" s="33" t="str">
        <f aca="false">IF($B973="","",IF(NOT(ISNUMBER($B973)),"日期格式不对",IF($C973="","未选项目编号",IF(LEFT($M973,1)="⚠","项目编号不存在",IF($D973="","未选业务类型",IF($E973="","未选开票/付款方",IF(ISNA(MATCH($E973,单位档案!$A$6:$A$35,0)),"开票方不在单位档案",IF($F973="","未选收票/收款方",IF(ISNA(MATCH($F973,单位档案!$A$6:$A$35,0)),"收款方不在单位档案",IF(NOT(ISNUMBER($H973)),"金额须为数字",IF(AND($D973="销项开票",$N973="—"),"链条待确认","√")))))))))))</f>
        <v/>
      </c>
      <c r="M973" s="34" t="str">
        <f aca="false">IF($C973="","",IFERROR(INDEX(项目档案!$B$6:$B$255,MATCH($C973,项目档案!$A$6:$A$255,0)),"⚠项目编号不存在"))</f>
        <v/>
      </c>
      <c r="N973" s="35" t="str">
        <f aca="false">IF($E973="","",IF($E973=IFERROR(INDEX(项目档案!$D$6:$D$255,MATCH($C973,项目档案!$A$6:$A$255,0)),""),"一级",IF($E973=IFERROR(INDEX(项目档案!$F$6:$F$255,MATCH($C973,项目档案!$A$6:$A$255,0)),""),"二级",IF($E973=IFERROR(INDEX(项目档案!$H$6:$H$255,MATCH($C973,项目档案!$A$6:$A$255,0)),""),"我方","—"))))</f>
        <v/>
      </c>
      <c r="O973" s="36" t="n">
        <f aca="false">IF($D973&lt;&gt;"销项开票",0,ROUND(N($H973)*N($I973),2))</f>
        <v>0</v>
      </c>
      <c r="P973" s="36" t="n">
        <f aca="false">IF($D973&lt;&gt;"销项开票",0,ROUND(N($H973)-$O973,2))</f>
        <v>0</v>
      </c>
      <c r="Q973" s="37" t="str">
        <f aca="false">IF($E973="","",N(IFERROR(INDEX(单位档案!$E$6:$E$35,MATCH($E973,单位档案!$A$6:$A$35,0)),"")))</f>
        <v/>
      </c>
      <c r="R973" s="37" t="str">
        <f aca="false">IF($E973="","",N(IFERROR(INDEX(单位档案!$F$6:$F$35,MATCH($E973,单位档案!$A$6:$A$35,0)),"")))</f>
        <v/>
      </c>
      <c r="S973" s="36" t="n">
        <f aca="false">IF(OR($D973&lt;&gt;"销项开票",IFERROR(INDEX(单位档案!$G$6:$G$35,MATCH($E973,单位档案!$A$6:$A$35,0)),"")&lt;&gt;"是",N($Q973)=0),0,IF(IFERROR(INDEX(单位档案!$H$6:$H$35,MATCH($E973,单位档案!$A$6:$A$35,0)),"")="税差法",ROUND(N($H973)/(1+$Q973)*$Q973-IF(N($R973)=0,0,$P973/(1+$R973)*$R973),2),ROUND(N($H973)/(1+$Q973)*$Q973,2)))</f>
        <v>0</v>
      </c>
      <c r="T973" s="36" t="n">
        <f aca="false">ROUND($S973*N(IFERROR(INDEX(单位档案!$J$6:$J$35,MATCH($E973,单位档案!$A$6:$A$35,0)),"")),2)</f>
        <v>0</v>
      </c>
      <c r="U973" s="36" t="n">
        <f aca="false">IF($D973&lt;&gt;"销项开票",0,ROUND(N($H973)*N(IFERROR(INDEX(单位档案!$K$6:$K$35,MATCH($E973,单位档案!$A$6:$A$35,0)),"")),2))</f>
        <v>0</v>
      </c>
      <c r="V973" s="36" t="n">
        <f aca="false">IF(OR($D973&lt;&gt;"销项开票",N($Q973)=0),0,ROUND(N($H973)/(1+$Q973)*N(IFERROR(INDEX(单位档案!$L$6:$L$35,MATCH($E973,单位档案!$A$6:$A$35,0)),"")),2))</f>
        <v>0</v>
      </c>
      <c r="W973" s="36" t="n">
        <f aca="false">ROUND($S973+$T973+$U973+$V973,2)</f>
        <v>0</v>
      </c>
      <c r="X973" s="35" t="str">
        <f aca="false">IF(OR($D973="挂靠代收",$D973="我方收款"),COUNTIFS($D$5:$D973,"挂靠代收")+COUNTIFS($D$5:$D973,"我方收款"),"")</f>
        <v/>
      </c>
      <c r="Y973" s="35"/>
      <c r="Z973" s="21" t="s">
        <v>111</v>
      </c>
    </row>
    <row r="974" customFormat="false" ht="15.75" hidden="false" customHeight="true" outlineLevel="0" collapsed="false">
      <c r="A974" s="32" t="str">
        <f aca="false">IF($B974="","",ROW()-4)</f>
        <v/>
      </c>
      <c r="B974" s="26"/>
      <c r="C974" s="24"/>
      <c r="D974" s="21"/>
      <c r="E974" s="21"/>
      <c r="F974" s="21"/>
      <c r="G974" s="21"/>
      <c r="H974" s="27"/>
      <c r="I974" s="23" t="str">
        <f aca="false">IF($D974&lt;&gt;"销项开票","",IF($N974="一级",IF(IFERROR(INDEX(项目档案!$E$6:$E$255,MATCH($C974,项目档案!$A$6:$A$255,0)),"")="",N(IFERROR(INDEX(单位档案!$D$6:$D$35,MATCH($E974,单位档案!$A$6:$A$35,0)),"")),IFERROR(INDEX(项目档案!$E$6:$E$255,MATCH($C974,项目档案!$A$6:$A$255,0)),"")),IF($N974="二级",IF(IFERROR(INDEX(项目档案!$G$6:$G$255,MATCH($C974,项目档案!$A$6:$A$255,0)),"")="",N(IFERROR(INDEX(单位档案!$D$6:$D$35,MATCH($E974,单位档案!$A$6:$A$35,0)),"")),IFERROR(INDEX(项目档案!$G$6:$G$255,MATCH($C974,项目档案!$A$6:$A$255,0)),"")),N(IFERROR(INDEX(单位档案!$D$6:$D$35,MATCH($E974,单位档案!$A$6:$A$35,0)),"")))))</f>
        <v/>
      </c>
      <c r="J974" s="22"/>
      <c r="K974" s="22"/>
      <c r="L974" s="33" t="str">
        <f aca="false">IF($B974="","",IF(NOT(ISNUMBER($B974)),"日期格式不对",IF($C974="","未选项目编号",IF(LEFT($M974,1)="⚠","项目编号不存在",IF($D974="","未选业务类型",IF($E974="","未选开票/付款方",IF(ISNA(MATCH($E974,单位档案!$A$6:$A$35,0)),"开票方不在单位档案",IF($F974="","未选收票/收款方",IF(ISNA(MATCH($F974,单位档案!$A$6:$A$35,0)),"收款方不在单位档案",IF(NOT(ISNUMBER($H974)),"金额须为数字",IF(AND($D974="销项开票",$N974="—"),"链条待确认","√")))))))))))</f>
        <v/>
      </c>
      <c r="M974" s="34" t="str">
        <f aca="false">IF($C974="","",IFERROR(INDEX(项目档案!$B$6:$B$255,MATCH($C974,项目档案!$A$6:$A$255,0)),"⚠项目编号不存在"))</f>
        <v/>
      </c>
      <c r="N974" s="35" t="str">
        <f aca="false">IF($E974="","",IF($E974=IFERROR(INDEX(项目档案!$D$6:$D$255,MATCH($C974,项目档案!$A$6:$A$255,0)),""),"一级",IF($E974=IFERROR(INDEX(项目档案!$F$6:$F$255,MATCH($C974,项目档案!$A$6:$A$255,0)),""),"二级",IF($E974=IFERROR(INDEX(项目档案!$H$6:$H$255,MATCH($C974,项目档案!$A$6:$A$255,0)),""),"我方","—"))))</f>
        <v/>
      </c>
      <c r="O974" s="36" t="n">
        <f aca="false">IF($D974&lt;&gt;"销项开票",0,ROUND(N($H974)*N($I974),2))</f>
        <v>0</v>
      </c>
      <c r="P974" s="36" t="n">
        <f aca="false">IF($D974&lt;&gt;"销项开票",0,ROUND(N($H974)-$O974,2))</f>
        <v>0</v>
      </c>
      <c r="Q974" s="37" t="str">
        <f aca="false">IF($E974="","",N(IFERROR(INDEX(单位档案!$E$6:$E$35,MATCH($E974,单位档案!$A$6:$A$35,0)),"")))</f>
        <v/>
      </c>
      <c r="R974" s="37" t="str">
        <f aca="false">IF($E974="","",N(IFERROR(INDEX(单位档案!$F$6:$F$35,MATCH($E974,单位档案!$A$6:$A$35,0)),"")))</f>
        <v/>
      </c>
      <c r="S974" s="36" t="n">
        <f aca="false">IF(OR($D974&lt;&gt;"销项开票",IFERROR(INDEX(单位档案!$G$6:$G$35,MATCH($E974,单位档案!$A$6:$A$35,0)),"")&lt;&gt;"是",N($Q974)=0),0,IF(IFERROR(INDEX(单位档案!$H$6:$H$35,MATCH($E974,单位档案!$A$6:$A$35,0)),"")="税差法",ROUND(N($H974)/(1+$Q974)*$Q974-IF(N($R974)=0,0,$P974/(1+$R974)*$R974),2),ROUND(N($H974)/(1+$Q974)*$Q974,2)))</f>
        <v>0</v>
      </c>
      <c r="T974" s="36" t="n">
        <f aca="false">ROUND($S974*N(IFERROR(INDEX(单位档案!$J$6:$J$35,MATCH($E974,单位档案!$A$6:$A$35,0)),"")),2)</f>
        <v>0</v>
      </c>
      <c r="U974" s="36" t="n">
        <f aca="false">IF($D974&lt;&gt;"销项开票",0,ROUND(N($H974)*N(IFERROR(INDEX(单位档案!$K$6:$K$35,MATCH($E974,单位档案!$A$6:$A$35,0)),"")),2))</f>
        <v>0</v>
      </c>
      <c r="V974" s="36" t="n">
        <f aca="false">IF(OR($D974&lt;&gt;"销项开票",N($Q974)=0),0,ROUND(N($H974)/(1+$Q974)*N(IFERROR(INDEX(单位档案!$L$6:$L$35,MATCH($E974,单位档案!$A$6:$A$35,0)),"")),2))</f>
        <v>0</v>
      </c>
      <c r="W974" s="36" t="n">
        <f aca="false">ROUND($S974+$T974+$U974+$V974,2)</f>
        <v>0</v>
      </c>
      <c r="X974" s="35" t="str">
        <f aca="false">IF(OR($D974="挂靠代收",$D974="我方收款"),COUNTIFS($D$5:$D974,"挂靠代收")+COUNTIFS($D$5:$D974,"我方收款"),"")</f>
        <v/>
      </c>
      <c r="Y974" s="35"/>
      <c r="Z974" s="21" t="s">
        <v>111</v>
      </c>
    </row>
    <row r="975" customFormat="false" ht="15.75" hidden="false" customHeight="true" outlineLevel="0" collapsed="false">
      <c r="A975" s="32" t="str">
        <f aca="false">IF($B975="","",ROW()-4)</f>
        <v/>
      </c>
      <c r="B975" s="26"/>
      <c r="C975" s="24"/>
      <c r="D975" s="21"/>
      <c r="E975" s="21"/>
      <c r="F975" s="21"/>
      <c r="G975" s="21"/>
      <c r="H975" s="27"/>
      <c r="I975" s="23" t="str">
        <f aca="false">IF($D975&lt;&gt;"销项开票","",IF($N975="一级",IF(IFERROR(INDEX(项目档案!$E$6:$E$255,MATCH($C975,项目档案!$A$6:$A$255,0)),"")="",N(IFERROR(INDEX(单位档案!$D$6:$D$35,MATCH($E975,单位档案!$A$6:$A$35,0)),"")),IFERROR(INDEX(项目档案!$E$6:$E$255,MATCH($C975,项目档案!$A$6:$A$255,0)),"")),IF($N975="二级",IF(IFERROR(INDEX(项目档案!$G$6:$G$255,MATCH($C975,项目档案!$A$6:$A$255,0)),"")="",N(IFERROR(INDEX(单位档案!$D$6:$D$35,MATCH($E975,单位档案!$A$6:$A$35,0)),"")),IFERROR(INDEX(项目档案!$G$6:$G$255,MATCH($C975,项目档案!$A$6:$A$255,0)),"")),N(IFERROR(INDEX(单位档案!$D$6:$D$35,MATCH($E975,单位档案!$A$6:$A$35,0)),"")))))</f>
        <v/>
      </c>
      <c r="J975" s="22"/>
      <c r="K975" s="22"/>
      <c r="L975" s="33" t="str">
        <f aca="false">IF($B975="","",IF(NOT(ISNUMBER($B975)),"日期格式不对",IF($C975="","未选项目编号",IF(LEFT($M975,1)="⚠","项目编号不存在",IF($D975="","未选业务类型",IF($E975="","未选开票/付款方",IF(ISNA(MATCH($E975,单位档案!$A$6:$A$35,0)),"开票方不在单位档案",IF($F975="","未选收票/收款方",IF(ISNA(MATCH($F975,单位档案!$A$6:$A$35,0)),"收款方不在单位档案",IF(NOT(ISNUMBER($H975)),"金额须为数字",IF(AND($D975="销项开票",$N975="—"),"链条待确认","√")))))))))))</f>
        <v/>
      </c>
      <c r="M975" s="34" t="str">
        <f aca="false">IF($C975="","",IFERROR(INDEX(项目档案!$B$6:$B$255,MATCH($C975,项目档案!$A$6:$A$255,0)),"⚠项目编号不存在"))</f>
        <v/>
      </c>
      <c r="N975" s="35" t="str">
        <f aca="false">IF($E975="","",IF($E975=IFERROR(INDEX(项目档案!$D$6:$D$255,MATCH($C975,项目档案!$A$6:$A$255,0)),""),"一级",IF($E975=IFERROR(INDEX(项目档案!$F$6:$F$255,MATCH($C975,项目档案!$A$6:$A$255,0)),""),"二级",IF($E975=IFERROR(INDEX(项目档案!$H$6:$H$255,MATCH($C975,项目档案!$A$6:$A$255,0)),""),"我方","—"))))</f>
        <v/>
      </c>
      <c r="O975" s="36" t="n">
        <f aca="false">IF($D975&lt;&gt;"销项开票",0,ROUND(N($H975)*N($I975),2))</f>
        <v>0</v>
      </c>
      <c r="P975" s="36" t="n">
        <f aca="false">IF($D975&lt;&gt;"销项开票",0,ROUND(N($H975)-$O975,2))</f>
        <v>0</v>
      </c>
      <c r="Q975" s="37" t="str">
        <f aca="false">IF($E975="","",N(IFERROR(INDEX(单位档案!$E$6:$E$35,MATCH($E975,单位档案!$A$6:$A$35,0)),"")))</f>
        <v/>
      </c>
      <c r="R975" s="37" t="str">
        <f aca="false">IF($E975="","",N(IFERROR(INDEX(单位档案!$F$6:$F$35,MATCH($E975,单位档案!$A$6:$A$35,0)),"")))</f>
        <v/>
      </c>
      <c r="S975" s="36" t="n">
        <f aca="false">IF(OR($D975&lt;&gt;"销项开票",IFERROR(INDEX(单位档案!$G$6:$G$35,MATCH($E975,单位档案!$A$6:$A$35,0)),"")&lt;&gt;"是",N($Q975)=0),0,IF(IFERROR(INDEX(单位档案!$H$6:$H$35,MATCH($E975,单位档案!$A$6:$A$35,0)),"")="税差法",ROUND(N($H975)/(1+$Q975)*$Q975-IF(N($R975)=0,0,$P975/(1+$R975)*$R975),2),ROUND(N($H975)/(1+$Q975)*$Q975,2)))</f>
        <v>0</v>
      </c>
      <c r="T975" s="36" t="n">
        <f aca="false">ROUND($S975*N(IFERROR(INDEX(单位档案!$J$6:$J$35,MATCH($E975,单位档案!$A$6:$A$35,0)),"")),2)</f>
        <v>0</v>
      </c>
      <c r="U975" s="36" t="n">
        <f aca="false">IF($D975&lt;&gt;"销项开票",0,ROUND(N($H975)*N(IFERROR(INDEX(单位档案!$K$6:$K$35,MATCH($E975,单位档案!$A$6:$A$35,0)),"")),2))</f>
        <v>0</v>
      </c>
      <c r="V975" s="36" t="n">
        <f aca="false">IF(OR($D975&lt;&gt;"销项开票",N($Q975)=0),0,ROUND(N($H975)/(1+$Q975)*N(IFERROR(INDEX(单位档案!$L$6:$L$35,MATCH($E975,单位档案!$A$6:$A$35,0)),"")),2))</f>
        <v>0</v>
      </c>
      <c r="W975" s="36" t="n">
        <f aca="false">ROUND($S975+$T975+$U975+$V975,2)</f>
        <v>0</v>
      </c>
      <c r="X975" s="35" t="str">
        <f aca="false">IF(OR($D975="挂靠代收",$D975="我方收款"),COUNTIFS($D$5:$D975,"挂靠代收")+COUNTIFS($D$5:$D975,"我方收款"),"")</f>
        <v/>
      </c>
      <c r="Y975" s="35"/>
      <c r="Z975" s="21" t="s">
        <v>111</v>
      </c>
    </row>
    <row r="976" customFormat="false" ht="15.75" hidden="false" customHeight="true" outlineLevel="0" collapsed="false">
      <c r="A976" s="32" t="str">
        <f aca="false">IF($B976="","",ROW()-4)</f>
        <v/>
      </c>
      <c r="B976" s="26"/>
      <c r="C976" s="24"/>
      <c r="D976" s="21"/>
      <c r="E976" s="21"/>
      <c r="F976" s="21"/>
      <c r="G976" s="21"/>
      <c r="H976" s="27"/>
      <c r="I976" s="23" t="str">
        <f aca="false">IF($D976&lt;&gt;"销项开票","",IF($N976="一级",IF(IFERROR(INDEX(项目档案!$E$6:$E$255,MATCH($C976,项目档案!$A$6:$A$255,0)),"")="",N(IFERROR(INDEX(单位档案!$D$6:$D$35,MATCH($E976,单位档案!$A$6:$A$35,0)),"")),IFERROR(INDEX(项目档案!$E$6:$E$255,MATCH($C976,项目档案!$A$6:$A$255,0)),"")),IF($N976="二级",IF(IFERROR(INDEX(项目档案!$G$6:$G$255,MATCH($C976,项目档案!$A$6:$A$255,0)),"")="",N(IFERROR(INDEX(单位档案!$D$6:$D$35,MATCH($E976,单位档案!$A$6:$A$35,0)),"")),IFERROR(INDEX(项目档案!$G$6:$G$255,MATCH($C976,项目档案!$A$6:$A$255,0)),"")),N(IFERROR(INDEX(单位档案!$D$6:$D$35,MATCH($E976,单位档案!$A$6:$A$35,0)),"")))))</f>
        <v/>
      </c>
      <c r="J976" s="22"/>
      <c r="K976" s="22"/>
      <c r="L976" s="33" t="str">
        <f aca="false">IF($B976="","",IF(NOT(ISNUMBER($B976)),"日期格式不对",IF($C976="","未选项目编号",IF(LEFT($M976,1)="⚠","项目编号不存在",IF($D976="","未选业务类型",IF($E976="","未选开票/付款方",IF(ISNA(MATCH($E976,单位档案!$A$6:$A$35,0)),"开票方不在单位档案",IF($F976="","未选收票/收款方",IF(ISNA(MATCH($F976,单位档案!$A$6:$A$35,0)),"收款方不在单位档案",IF(NOT(ISNUMBER($H976)),"金额须为数字",IF(AND($D976="销项开票",$N976="—"),"链条待确认","√")))))))))))</f>
        <v/>
      </c>
      <c r="M976" s="34" t="str">
        <f aca="false">IF($C976="","",IFERROR(INDEX(项目档案!$B$6:$B$255,MATCH($C976,项目档案!$A$6:$A$255,0)),"⚠项目编号不存在"))</f>
        <v/>
      </c>
      <c r="N976" s="35" t="str">
        <f aca="false">IF($E976="","",IF($E976=IFERROR(INDEX(项目档案!$D$6:$D$255,MATCH($C976,项目档案!$A$6:$A$255,0)),""),"一级",IF($E976=IFERROR(INDEX(项目档案!$F$6:$F$255,MATCH($C976,项目档案!$A$6:$A$255,0)),""),"二级",IF($E976=IFERROR(INDEX(项目档案!$H$6:$H$255,MATCH($C976,项目档案!$A$6:$A$255,0)),""),"我方","—"))))</f>
        <v/>
      </c>
      <c r="O976" s="36" t="n">
        <f aca="false">IF($D976&lt;&gt;"销项开票",0,ROUND(N($H976)*N($I976),2))</f>
        <v>0</v>
      </c>
      <c r="P976" s="36" t="n">
        <f aca="false">IF($D976&lt;&gt;"销项开票",0,ROUND(N($H976)-$O976,2))</f>
        <v>0</v>
      </c>
      <c r="Q976" s="37" t="str">
        <f aca="false">IF($E976="","",N(IFERROR(INDEX(单位档案!$E$6:$E$35,MATCH($E976,单位档案!$A$6:$A$35,0)),"")))</f>
        <v/>
      </c>
      <c r="R976" s="37" t="str">
        <f aca="false">IF($E976="","",N(IFERROR(INDEX(单位档案!$F$6:$F$35,MATCH($E976,单位档案!$A$6:$A$35,0)),"")))</f>
        <v/>
      </c>
      <c r="S976" s="36" t="n">
        <f aca="false">IF(OR($D976&lt;&gt;"销项开票",IFERROR(INDEX(单位档案!$G$6:$G$35,MATCH($E976,单位档案!$A$6:$A$35,0)),"")&lt;&gt;"是",N($Q976)=0),0,IF(IFERROR(INDEX(单位档案!$H$6:$H$35,MATCH($E976,单位档案!$A$6:$A$35,0)),"")="税差法",ROUND(N($H976)/(1+$Q976)*$Q976-IF(N($R976)=0,0,$P976/(1+$R976)*$R976),2),ROUND(N($H976)/(1+$Q976)*$Q976,2)))</f>
        <v>0</v>
      </c>
      <c r="T976" s="36" t="n">
        <f aca="false">ROUND($S976*N(IFERROR(INDEX(单位档案!$J$6:$J$35,MATCH($E976,单位档案!$A$6:$A$35,0)),"")),2)</f>
        <v>0</v>
      </c>
      <c r="U976" s="36" t="n">
        <f aca="false">IF($D976&lt;&gt;"销项开票",0,ROUND(N($H976)*N(IFERROR(INDEX(单位档案!$K$6:$K$35,MATCH($E976,单位档案!$A$6:$A$35,0)),"")),2))</f>
        <v>0</v>
      </c>
      <c r="V976" s="36" t="n">
        <f aca="false">IF(OR($D976&lt;&gt;"销项开票",N($Q976)=0),0,ROUND(N($H976)/(1+$Q976)*N(IFERROR(INDEX(单位档案!$L$6:$L$35,MATCH($E976,单位档案!$A$6:$A$35,0)),"")),2))</f>
        <v>0</v>
      </c>
      <c r="W976" s="36" t="n">
        <f aca="false">ROUND($S976+$T976+$U976+$V976,2)</f>
        <v>0</v>
      </c>
      <c r="X976" s="35" t="str">
        <f aca="false">IF(OR($D976="挂靠代收",$D976="我方收款"),COUNTIFS($D$5:$D976,"挂靠代收")+COUNTIFS($D$5:$D976,"我方收款"),"")</f>
        <v/>
      </c>
      <c r="Y976" s="35"/>
      <c r="Z976" s="21" t="s">
        <v>111</v>
      </c>
    </row>
    <row r="977" customFormat="false" ht="15.75" hidden="false" customHeight="true" outlineLevel="0" collapsed="false">
      <c r="A977" s="32" t="str">
        <f aca="false">IF($B977="","",ROW()-4)</f>
        <v/>
      </c>
      <c r="B977" s="26"/>
      <c r="C977" s="24"/>
      <c r="D977" s="21"/>
      <c r="E977" s="21"/>
      <c r="F977" s="21"/>
      <c r="G977" s="21"/>
      <c r="H977" s="27"/>
      <c r="I977" s="23" t="str">
        <f aca="false">IF($D977&lt;&gt;"销项开票","",IF($N977="一级",IF(IFERROR(INDEX(项目档案!$E$6:$E$255,MATCH($C977,项目档案!$A$6:$A$255,0)),"")="",N(IFERROR(INDEX(单位档案!$D$6:$D$35,MATCH($E977,单位档案!$A$6:$A$35,0)),"")),IFERROR(INDEX(项目档案!$E$6:$E$255,MATCH($C977,项目档案!$A$6:$A$255,0)),"")),IF($N977="二级",IF(IFERROR(INDEX(项目档案!$G$6:$G$255,MATCH($C977,项目档案!$A$6:$A$255,0)),"")="",N(IFERROR(INDEX(单位档案!$D$6:$D$35,MATCH($E977,单位档案!$A$6:$A$35,0)),"")),IFERROR(INDEX(项目档案!$G$6:$G$255,MATCH($C977,项目档案!$A$6:$A$255,0)),"")),N(IFERROR(INDEX(单位档案!$D$6:$D$35,MATCH($E977,单位档案!$A$6:$A$35,0)),"")))))</f>
        <v/>
      </c>
      <c r="J977" s="22"/>
      <c r="K977" s="22"/>
      <c r="L977" s="33" t="str">
        <f aca="false">IF($B977="","",IF(NOT(ISNUMBER($B977)),"日期格式不对",IF($C977="","未选项目编号",IF(LEFT($M977,1)="⚠","项目编号不存在",IF($D977="","未选业务类型",IF($E977="","未选开票/付款方",IF(ISNA(MATCH($E977,单位档案!$A$6:$A$35,0)),"开票方不在单位档案",IF($F977="","未选收票/收款方",IF(ISNA(MATCH($F977,单位档案!$A$6:$A$35,0)),"收款方不在单位档案",IF(NOT(ISNUMBER($H977)),"金额须为数字",IF(AND($D977="销项开票",$N977="—"),"链条待确认","√")))))))))))</f>
        <v/>
      </c>
      <c r="M977" s="34" t="str">
        <f aca="false">IF($C977="","",IFERROR(INDEX(项目档案!$B$6:$B$255,MATCH($C977,项目档案!$A$6:$A$255,0)),"⚠项目编号不存在"))</f>
        <v/>
      </c>
      <c r="N977" s="35" t="str">
        <f aca="false">IF($E977="","",IF($E977=IFERROR(INDEX(项目档案!$D$6:$D$255,MATCH($C977,项目档案!$A$6:$A$255,0)),""),"一级",IF($E977=IFERROR(INDEX(项目档案!$F$6:$F$255,MATCH($C977,项目档案!$A$6:$A$255,0)),""),"二级",IF($E977=IFERROR(INDEX(项目档案!$H$6:$H$255,MATCH($C977,项目档案!$A$6:$A$255,0)),""),"我方","—"))))</f>
        <v/>
      </c>
      <c r="O977" s="36" t="n">
        <f aca="false">IF($D977&lt;&gt;"销项开票",0,ROUND(N($H977)*N($I977),2))</f>
        <v>0</v>
      </c>
      <c r="P977" s="36" t="n">
        <f aca="false">IF($D977&lt;&gt;"销项开票",0,ROUND(N($H977)-$O977,2))</f>
        <v>0</v>
      </c>
      <c r="Q977" s="37" t="str">
        <f aca="false">IF($E977="","",N(IFERROR(INDEX(单位档案!$E$6:$E$35,MATCH($E977,单位档案!$A$6:$A$35,0)),"")))</f>
        <v/>
      </c>
      <c r="R977" s="37" t="str">
        <f aca="false">IF($E977="","",N(IFERROR(INDEX(单位档案!$F$6:$F$35,MATCH($E977,单位档案!$A$6:$A$35,0)),"")))</f>
        <v/>
      </c>
      <c r="S977" s="36" t="n">
        <f aca="false">IF(OR($D977&lt;&gt;"销项开票",IFERROR(INDEX(单位档案!$G$6:$G$35,MATCH($E977,单位档案!$A$6:$A$35,0)),"")&lt;&gt;"是",N($Q977)=0),0,IF(IFERROR(INDEX(单位档案!$H$6:$H$35,MATCH($E977,单位档案!$A$6:$A$35,0)),"")="税差法",ROUND(N($H977)/(1+$Q977)*$Q977-IF(N($R977)=0,0,$P977/(1+$R977)*$R977),2),ROUND(N($H977)/(1+$Q977)*$Q977,2)))</f>
        <v>0</v>
      </c>
      <c r="T977" s="36" t="n">
        <f aca="false">ROUND($S977*N(IFERROR(INDEX(单位档案!$J$6:$J$35,MATCH($E977,单位档案!$A$6:$A$35,0)),"")),2)</f>
        <v>0</v>
      </c>
      <c r="U977" s="36" t="n">
        <f aca="false">IF($D977&lt;&gt;"销项开票",0,ROUND(N($H977)*N(IFERROR(INDEX(单位档案!$K$6:$K$35,MATCH($E977,单位档案!$A$6:$A$35,0)),"")),2))</f>
        <v>0</v>
      </c>
      <c r="V977" s="36" t="n">
        <f aca="false">IF(OR($D977&lt;&gt;"销项开票",N($Q977)=0),0,ROUND(N($H977)/(1+$Q977)*N(IFERROR(INDEX(单位档案!$L$6:$L$35,MATCH($E977,单位档案!$A$6:$A$35,0)),"")),2))</f>
        <v>0</v>
      </c>
      <c r="W977" s="36" t="n">
        <f aca="false">ROUND($S977+$T977+$U977+$V977,2)</f>
        <v>0</v>
      </c>
      <c r="X977" s="35" t="str">
        <f aca="false">IF(OR($D977="挂靠代收",$D977="我方收款"),COUNTIFS($D$5:$D977,"挂靠代收")+COUNTIFS($D$5:$D977,"我方收款"),"")</f>
        <v/>
      </c>
      <c r="Y977" s="35"/>
      <c r="Z977" s="21" t="s">
        <v>111</v>
      </c>
    </row>
    <row r="978" customFormat="false" ht="15.75" hidden="false" customHeight="true" outlineLevel="0" collapsed="false">
      <c r="A978" s="32" t="str">
        <f aca="false">IF($B978="","",ROW()-4)</f>
        <v/>
      </c>
      <c r="B978" s="26"/>
      <c r="C978" s="24"/>
      <c r="D978" s="21"/>
      <c r="E978" s="21"/>
      <c r="F978" s="21"/>
      <c r="G978" s="21"/>
      <c r="H978" s="27"/>
      <c r="I978" s="23" t="str">
        <f aca="false">IF($D978&lt;&gt;"销项开票","",IF($N978="一级",IF(IFERROR(INDEX(项目档案!$E$6:$E$255,MATCH($C978,项目档案!$A$6:$A$255,0)),"")="",N(IFERROR(INDEX(单位档案!$D$6:$D$35,MATCH($E978,单位档案!$A$6:$A$35,0)),"")),IFERROR(INDEX(项目档案!$E$6:$E$255,MATCH($C978,项目档案!$A$6:$A$255,0)),"")),IF($N978="二级",IF(IFERROR(INDEX(项目档案!$G$6:$G$255,MATCH($C978,项目档案!$A$6:$A$255,0)),"")="",N(IFERROR(INDEX(单位档案!$D$6:$D$35,MATCH($E978,单位档案!$A$6:$A$35,0)),"")),IFERROR(INDEX(项目档案!$G$6:$G$255,MATCH($C978,项目档案!$A$6:$A$255,0)),"")),N(IFERROR(INDEX(单位档案!$D$6:$D$35,MATCH($E978,单位档案!$A$6:$A$35,0)),"")))))</f>
        <v/>
      </c>
      <c r="J978" s="22"/>
      <c r="K978" s="22"/>
      <c r="L978" s="33" t="str">
        <f aca="false">IF($B978="","",IF(NOT(ISNUMBER($B978)),"日期格式不对",IF($C978="","未选项目编号",IF(LEFT($M978,1)="⚠","项目编号不存在",IF($D978="","未选业务类型",IF($E978="","未选开票/付款方",IF(ISNA(MATCH($E978,单位档案!$A$6:$A$35,0)),"开票方不在单位档案",IF($F978="","未选收票/收款方",IF(ISNA(MATCH($F978,单位档案!$A$6:$A$35,0)),"收款方不在单位档案",IF(NOT(ISNUMBER($H978)),"金额须为数字",IF(AND($D978="销项开票",$N978="—"),"链条待确认","√")))))))))))</f>
        <v/>
      </c>
      <c r="M978" s="34" t="str">
        <f aca="false">IF($C978="","",IFERROR(INDEX(项目档案!$B$6:$B$255,MATCH($C978,项目档案!$A$6:$A$255,0)),"⚠项目编号不存在"))</f>
        <v/>
      </c>
      <c r="N978" s="35" t="str">
        <f aca="false">IF($E978="","",IF($E978=IFERROR(INDEX(项目档案!$D$6:$D$255,MATCH($C978,项目档案!$A$6:$A$255,0)),""),"一级",IF($E978=IFERROR(INDEX(项目档案!$F$6:$F$255,MATCH($C978,项目档案!$A$6:$A$255,0)),""),"二级",IF($E978=IFERROR(INDEX(项目档案!$H$6:$H$255,MATCH($C978,项目档案!$A$6:$A$255,0)),""),"我方","—"))))</f>
        <v/>
      </c>
      <c r="O978" s="36" t="n">
        <f aca="false">IF($D978&lt;&gt;"销项开票",0,ROUND(N($H978)*N($I978),2))</f>
        <v>0</v>
      </c>
      <c r="P978" s="36" t="n">
        <f aca="false">IF($D978&lt;&gt;"销项开票",0,ROUND(N($H978)-$O978,2))</f>
        <v>0</v>
      </c>
      <c r="Q978" s="37" t="str">
        <f aca="false">IF($E978="","",N(IFERROR(INDEX(单位档案!$E$6:$E$35,MATCH($E978,单位档案!$A$6:$A$35,0)),"")))</f>
        <v/>
      </c>
      <c r="R978" s="37" t="str">
        <f aca="false">IF($E978="","",N(IFERROR(INDEX(单位档案!$F$6:$F$35,MATCH($E978,单位档案!$A$6:$A$35,0)),"")))</f>
        <v/>
      </c>
      <c r="S978" s="36" t="n">
        <f aca="false">IF(OR($D978&lt;&gt;"销项开票",IFERROR(INDEX(单位档案!$G$6:$G$35,MATCH($E978,单位档案!$A$6:$A$35,0)),"")&lt;&gt;"是",N($Q978)=0),0,IF(IFERROR(INDEX(单位档案!$H$6:$H$35,MATCH($E978,单位档案!$A$6:$A$35,0)),"")="税差法",ROUND(N($H978)/(1+$Q978)*$Q978-IF(N($R978)=0,0,$P978/(1+$R978)*$R978),2),ROUND(N($H978)/(1+$Q978)*$Q978,2)))</f>
        <v>0</v>
      </c>
      <c r="T978" s="36" t="n">
        <f aca="false">ROUND($S978*N(IFERROR(INDEX(单位档案!$J$6:$J$35,MATCH($E978,单位档案!$A$6:$A$35,0)),"")),2)</f>
        <v>0</v>
      </c>
      <c r="U978" s="36" t="n">
        <f aca="false">IF($D978&lt;&gt;"销项开票",0,ROUND(N($H978)*N(IFERROR(INDEX(单位档案!$K$6:$K$35,MATCH($E978,单位档案!$A$6:$A$35,0)),"")),2))</f>
        <v>0</v>
      </c>
      <c r="V978" s="36" t="n">
        <f aca="false">IF(OR($D978&lt;&gt;"销项开票",N($Q978)=0),0,ROUND(N($H978)/(1+$Q978)*N(IFERROR(INDEX(单位档案!$L$6:$L$35,MATCH($E978,单位档案!$A$6:$A$35,0)),"")),2))</f>
        <v>0</v>
      </c>
      <c r="W978" s="36" t="n">
        <f aca="false">ROUND($S978+$T978+$U978+$V978,2)</f>
        <v>0</v>
      </c>
      <c r="X978" s="35" t="str">
        <f aca="false">IF(OR($D978="挂靠代收",$D978="我方收款"),COUNTIFS($D$5:$D978,"挂靠代收")+COUNTIFS($D$5:$D978,"我方收款"),"")</f>
        <v/>
      </c>
      <c r="Y978" s="35"/>
      <c r="Z978" s="21" t="s">
        <v>111</v>
      </c>
    </row>
    <row r="979" customFormat="false" ht="15.75" hidden="false" customHeight="true" outlineLevel="0" collapsed="false">
      <c r="A979" s="32" t="str">
        <f aca="false">IF($B979="","",ROW()-4)</f>
        <v/>
      </c>
      <c r="B979" s="26"/>
      <c r="C979" s="24"/>
      <c r="D979" s="21"/>
      <c r="E979" s="21"/>
      <c r="F979" s="21"/>
      <c r="G979" s="21"/>
      <c r="H979" s="27"/>
      <c r="I979" s="23" t="str">
        <f aca="false">IF($D979&lt;&gt;"销项开票","",IF($N979="一级",IF(IFERROR(INDEX(项目档案!$E$6:$E$255,MATCH($C979,项目档案!$A$6:$A$255,0)),"")="",N(IFERROR(INDEX(单位档案!$D$6:$D$35,MATCH($E979,单位档案!$A$6:$A$35,0)),"")),IFERROR(INDEX(项目档案!$E$6:$E$255,MATCH($C979,项目档案!$A$6:$A$255,0)),"")),IF($N979="二级",IF(IFERROR(INDEX(项目档案!$G$6:$G$255,MATCH($C979,项目档案!$A$6:$A$255,0)),"")="",N(IFERROR(INDEX(单位档案!$D$6:$D$35,MATCH($E979,单位档案!$A$6:$A$35,0)),"")),IFERROR(INDEX(项目档案!$G$6:$G$255,MATCH($C979,项目档案!$A$6:$A$255,0)),"")),N(IFERROR(INDEX(单位档案!$D$6:$D$35,MATCH($E979,单位档案!$A$6:$A$35,0)),"")))))</f>
        <v/>
      </c>
      <c r="J979" s="22"/>
      <c r="K979" s="22"/>
      <c r="L979" s="33" t="str">
        <f aca="false">IF($B979="","",IF(NOT(ISNUMBER($B979)),"日期格式不对",IF($C979="","未选项目编号",IF(LEFT($M979,1)="⚠","项目编号不存在",IF($D979="","未选业务类型",IF($E979="","未选开票/付款方",IF(ISNA(MATCH($E979,单位档案!$A$6:$A$35,0)),"开票方不在单位档案",IF($F979="","未选收票/收款方",IF(ISNA(MATCH($F979,单位档案!$A$6:$A$35,0)),"收款方不在单位档案",IF(NOT(ISNUMBER($H979)),"金额须为数字",IF(AND($D979="销项开票",$N979="—"),"链条待确认","√")))))))))))</f>
        <v/>
      </c>
      <c r="M979" s="34" t="str">
        <f aca="false">IF($C979="","",IFERROR(INDEX(项目档案!$B$6:$B$255,MATCH($C979,项目档案!$A$6:$A$255,0)),"⚠项目编号不存在"))</f>
        <v/>
      </c>
      <c r="N979" s="35" t="str">
        <f aca="false">IF($E979="","",IF($E979=IFERROR(INDEX(项目档案!$D$6:$D$255,MATCH($C979,项目档案!$A$6:$A$255,0)),""),"一级",IF($E979=IFERROR(INDEX(项目档案!$F$6:$F$255,MATCH($C979,项目档案!$A$6:$A$255,0)),""),"二级",IF($E979=IFERROR(INDEX(项目档案!$H$6:$H$255,MATCH($C979,项目档案!$A$6:$A$255,0)),""),"我方","—"))))</f>
        <v/>
      </c>
      <c r="O979" s="36" t="n">
        <f aca="false">IF($D979&lt;&gt;"销项开票",0,ROUND(N($H979)*N($I979),2))</f>
        <v>0</v>
      </c>
      <c r="P979" s="36" t="n">
        <f aca="false">IF($D979&lt;&gt;"销项开票",0,ROUND(N($H979)-$O979,2))</f>
        <v>0</v>
      </c>
      <c r="Q979" s="37" t="str">
        <f aca="false">IF($E979="","",N(IFERROR(INDEX(单位档案!$E$6:$E$35,MATCH($E979,单位档案!$A$6:$A$35,0)),"")))</f>
        <v/>
      </c>
      <c r="R979" s="37" t="str">
        <f aca="false">IF($E979="","",N(IFERROR(INDEX(单位档案!$F$6:$F$35,MATCH($E979,单位档案!$A$6:$A$35,0)),"")))</f>
        <v/>
      </c>
      <c r="S979" s="36" t="n">
        <f aca="false">IF(OR($D979&lt;&gt;"销项开票",IFERROR(INDEX(单位档案!$G$6:$G$35,MATCH($E979,单位档案!$A$6:$A$35,0)),"")&lt;&gt;"是",N($Q979)=0),0,IF(IFERROR(INDEX(单位档案!$H$6:$H$35,MATCH($E979,单位档案!$A$6:$A$35,0)),"")="税差法",ROUND(N($H979)/(1+$Q979)*$Q979-IF(N($R979)=0,0,$P979/(1+$R979)*$R979),2),ROUND(N($H979)/(1+$Q979)*$Q979,2)))</f>
        <v>0</v>
      </c>
      <c r="T979" s="36" t="n">
        <f aca="false">ROUND($S979*N(IFERROR(INDEX(单位档案!$J$6:$J$35,MATCH($E979,单位档案!$A$6:$A$35,0)),"")),2)</f>
        <v>0</v>
      </c>
      <c r="U979" s="36" t="n">
        <f aca="false">IF($D979&lt;&gt;"销项开票",0,ROUND(N($H979)*N(IFERROR(INDEX(单位档案!$K$6:$K$35,MATCH($E979,单位档案!$A$6:$A$35,0)),"")),2))</f>
        <v>0</v>
      </c>
      <c r="V979" s="36" t="n">
        <f aca="false">IF(OR($D979&lt;&gt;"销项开票",N($Q979)=0),0,ROUND(N($H979)/(1+$Q979)*N(IFERROR(INDEX(单位档案!$L$6:$L$35,MATCH($E979,单位档案!$A$6:$A$35,0)),"")),2))</f>
        <v>0</v>
      </c>
      <c r="W979" s="36" t="n">
        <f aca="false">ROUND($S979+$T979+$U979+$V979,2)</f>
        <v>0</v>
      </c>
      <c r="X979" s="35" t="str">
        <f aca="false">IF(OR($D979="挂靠代收",$D979="我方收款"),COUNTIFS($D$5:$D979,"挂靠代收")+COUNTIFS($D$5:$D979,"我方收款"),"")</f>
        <v/>
      </c>
      <c r="Y979" s="35"/>
      <c r="Z979" s="21" t="s">
        <v>111</v>
      </c>
    </row>
    <row r="980" customFormat="false" ht="15.75" hidden="false" customHeight="true" outlineLevel="0" collapsed="false">
      <c r="A980" s="32" t="str">
        <f aca="false">IF($B980="","",ROW()-4)</f>
        <v/>
      </c>
      <c r="B980" s="26"/>
      <c r="C980" s="24"/>
      <c r="D980" s="21"/>
      <c r="E980" s="21"/>
      <c r="F980" s="21"/>
      <c r="G980" s="21"/>
      <c r="H980" s="27"/>
      <c r="I980" s="23" t="str">
        <f aca="false">IF($D980&lt;&gt;"销项开票","",IF($N980="一级",IF(IFERROR(INDEX(项目档案!$E$6:$E$255,MATCH($C980,项目档案!$A$6:$A$255,0)),"")="",N(IFERROR(INDEX(单位档案!$D$6:$D$35,MATCH($E980,单位档案!$A$6:$A$35,0)),"")),IFERROR(INDEX(项目档案!$E$6:$E$255,MATCH($C980,项目档案!$A$6:$A$255,0)),"")),IF($N980="二级",IF(IFERROR(INDEX(项目档案!$G$6:$G$255,MATCH($C980,项目档案!$A$6:$A$255,0)),"")="",N(IFERROR(INDEX(单位档案!$D$6:$D$35,MATCH($E980,单位档案!$A$6:$A$35,0)),"")),IFERROR(INDEX(项目档案!$G$6:$G$255,MATCH($C980,项目档案!$A$6:$A$255,0)),"")),N(IFERROR(INDEX(单位档案!$D$6:$D$35,MATCH($E980,单位档案!$A$6:$A$35,0)),"")))))</f>
        <v/>
      </c>
      <c r="J980" s="22"/>
      <c r="K980" s="22"/>
      <c r="L980" s="33" t="str">
        <f aca="false">IF($B980="","",IF(NOT(ISNUMBER($B980)),"日期格式不对",IF($C980="","未选项目编号",IF(LEFT($M980,1)="⚠","项目编号不存在",IF($D980="","未选业务类型",IF($E980="","未选开票/付款方",IF(ISNA(MATCH($E980,单位档案!$A$6:$A$35,0)),"开票方不在单位档案",IF($F980="","未选收票/收款方",IF(ISNA(MATCH($F980,单位档案!$A$6:$A$35,0)),"收款方不在单位档案",IF(NOT(ISNUMBER($H980)),"金额须为数字",IF(AND($D980="销项开票",$N980="—"),"链条待确认","√")))))))))))</f>
        <v/>
      </c>
      <c r="M980" s="34" t="str">
        <f aca="false">IF($C980="","",IFERROR(INDEX(项目档案!$B$6:$B$255,MATCH($C980,项目档案!$A$6:$A$255,0)),"⚠项目编号不存在"))</f>
        <v/>
      </c>
      <c r="N980" s="35" t="str">
        <f aca="false">IF($E980="","",IF($E980=IFERROR(INDEX(项目档案!$D$6:$D$255,MATCH($C980,项目档案!$A$6:$A$255,0)),""),"一级",IF($E980=IFERROR(INDEX(项目档案!$F$6:$F$255,MATCH($C980,项目档案!$A$6:$A$255,0)),""),"二级",IF($E980=IFERROR(INDEX(项目档案!$H$6:$H$255,MATCH($C980,项目档案!$A$6:$A$255,0)),""),"我方","—"))))</f>
        <v/>
      </c>
      <c r="O980" s="36" t="n">
        <f aca="false">IF($D980&lt;&gt;"销项开票",0,ROUND(N($H980)*N($I980),2))</f>
        <v>0</v>
      </c>
      <c r="P980" s="36" t="n">
        <f aca="false">IF($D980&lt;&gt;"销项开票",0,ROUND(N($H980)-$O980,2))</f>
        <v>0</v>
      </c>
      <c r="Q980" s="37" t="str">
        <f aca="false">IF($E980="","",N(IFERROR(INDEX(单位档案!$E$6:$E$35,MATCH($E980,单位档案!$A$6:$A$35,0)),"")))</f>
        <v/>
      </c>
      <c r="R980" s="37" t="str">
        <f aca="false">IF($E980="","",N(IFERROR(INDEX(单位档案!$F$6:$F$35,MATCH($E980,单位档案!$A$6:$A$35,0)),"")))</f>
        <v/>
      </c>
      <c r="S980" s="36" t="n">
        <f aca="false">IF(OR($D980&lt;&gt;"销项开票",IFERROR(INDEX(单位档案!$G$6:$G$35,MATCH($E980,单位档案!$A$6:$A$35,0)),"")&lt;&gt;"是",N($Q980)=0),0,IF(IFERROR(INDEX(单位档案!$H$6:$H$35,MATCH($E980,单位档案!$A$6:$A$35,0)),"")="税差法",ROUND(N($H980)/(1+$Q980)*$Q980-IF(N($R980)=0,0,$P980/(1+$R980)*$R980),2),ROUND(N($H980)/(1+$Q980)*$Q980,2)))</f>
        <v>0</v>
      </c>
      <c r="T980" s="36" t="n">
        <f aca="false">ROUND($S980*N(IFERROR(INDEX(单位档案!$J$6:$J$35,MATCH($E980,单位档案!$A$6:$A$35,0)),"")),2)</f>
        <v>0</v>
      </c>
      <c r="U980" s="36" t="n">
        <f aca="false">IF($D980&lt;&gt;"销项开票",0,ROUND(N($H980)*N(IFERROR(INDEX(单位档案!$K$6:$K$35,MATCH($E980,单位档案!$A$6:$A$35,0)),"")),2))</f>
        <v>0</v>
      </c>
      <c r="V980" s="36" t="n">
        <f aca="false">IF(OR($D980&lt;&gt;"销项开票",N($Q980)=0),0,ROUND(N($H980)/(1+$Q980)*N(IFERROR(INDEX(单位档案!$L$6:$L$35,MATCH($E980,单位档案!$A$6:$A$35,0)),"")),2))</f>
        <v>0</v>
      </c>
      <c r="W980" s="36" t="n">
        <f aca="false">ROUND($S980+$T980+$U980+$V980,2)</f>
        <v>0</v>
      </c>
      <c r="X980" s="35" t="str">
        <f aca="false">IF(OR($D980="挂靠代收",$D980="我方收款"),COUNTIFS($D$5:$D980,"挂靠代收")+COUNTIFS($D$5:$D980,"我方收款"),"")</f>
        <v/>
      </c>
      <c r="Y980" s="35"/>
      <c r="Z980" s="21" t="s">
        <v>111</v>
      </c>
    </row>
    <row r="981" customFormat="false" ht="15.75" hidden="false" customHeight="true" outlineLevel="0" collapsed="false">
      <c r="A981" s="32" t="str">
        <f aca="false">IF($B981="","",ROW()-4)</f>
        <v/>
      </c>
      <c r="B981" s="26"/>
      <c r="C981" s="24"/>
      <c r="D981" s="21"/>
      <c r="E981" s="21"/>
      <c r="F981" s="21"/>
      <c r="G981" s="21"/>
      <c r="H981" s="27"/>
      <c r="I981" s="23" t="str">
        <f aca="false">IF($D981&lt;&gt;"销项开票","",IF($N981="一级",IF(IFERROR(INDEX(项目档案!$E$6:$E$255,MATCH($C981,项目档案!$A$6:$A$255,0)),"")="",N(IFERROR(INDEX(单位档案!$D$6:$D$35,MATCH($E981,单位档案!$A$6:$A$35,0)),"")),IFERROR(INDEX(项目档案!$E$6:$E$255,MATCH($C981,项目档案!$A$6:$A$255,0)),"")),IF($N981="二级",IF(IFERROR(INDEX(项目档案!$G$6:$G$255,MATCH($C981,项目档案!$A$6:$A$255,0)),"")="",N(IFERROR(INDEX(单位档案!$D$6:$D$35,MATCH($E981,单位档案!$A$6:$A$35,0)),"")),IFERROR(INDEX(项目档案!$G$6:$G$255,MATCH($C981,项目档案!$A$6:$A$255,0)),"")),N(IFERROR(INDEX(单位档案!$D$6:$D$35,MATCH($E981,单位档案!$A$6:$A$35,0)),"")))))</f>
        <v/>
      </c>
      <c r="J981" s="22"/>
      <c r="K981" s="22"/>
      <c r="L981" s="33" t="str">
        <f aca="false">IF($B981="","",IF(NOT(ISNUMBER($B981)),"日期格式不对",IF($C981="","未选项目编号",IF(LEFT($M981,1)="⚠","项目编号不存在",IF($D981="","未选业务类型",IF($E981="","未选开票/付款方",IF(ISNA(MATCH($E981,单位档案!$A$6:$A$35,0)),"开票方不在单位档案",IF($F981="","未选收票/收款方",IF(ISNA(MATCH($F981,单位档案!$A$6:$A$35,0)),"收款方不在单位档案",IF(NOT(ISNUMBER($H981)),"金额须为数字",IF(AND($D981="销项开票",$N981="—"),"链条待确认","√")))))))))))</f>
        <v/>
      </c>
      <c r="M981" s="34" t="str">
        <f aca="false">IF($C981="","",IFERROR(INDEX(项目档案!$B$6:$B$255,MATCH($C981,项目档案!$A$6:$A$255,0)),"⚠项目编号不存在"))</f>
        <v/>
      </c>
      <c r="N981" s="35" t="str">
        <f aca="false">IF($E981="","",IF($E981=IFERROR(INDEX(项目档案!$D$6:$D$255,MATCH($C981,项目档案!$A$6:$A$255,0)),""),"一级",IF($E981=IFERROR(INDEX(项目档案!$F$6:$F$255,MATCH($C981,项目档案!$A$6:$A$255,0)),""),"二级",IF($E981=IFERROR(INDEX(项目档案!$H$6:$H$255,MATCH($C981,项目档案!$A$6:$A$255,0)),""),"我方","—"))))</f>
        <v/>
      </c>
      <c r="O981" s="36" t="n">
        <f aca="false">IF($D981&lt;&gt;"销项开票",0,ROUND(N($H981)*N($I981),2))</f>
        <v>0</v>
      </c>
      <c r="P981" s="36" t="n">
        <f aca="false">IF($D981&lt;&gt;"销项开票",0,ROUND(N($H981)-$O981,2))</f>
        <v>0</v>
      </c>
      <c r="Q981" s="37" t="str">
        <f aca="false">IF($E981="","",N(IFERROR(INDEX(单位档案!$E$6:$E$35,MATCH($E981,单位档案!$A$6:$A$35,0)),"")))</f>
        <v/>
      </c>
      <c r="R981" s="37" t="str">
        <f aca="false">IF($E981="","",N(IFERROR(INDEX(单位档案!$F$6:$F$35,MATCH($E981,单位档案!$A$6:$A$35,0)),"")))</f>
        <v/>
      </c>
      <c r="S981" s="36" t="n">
        <f aca="false">IF(OR($D981&lt;&gt;"销项开票",IFERROR(INDEX(单位档案!$G$6:$G$35,MATCH($E981,单位档案!$A$6:$A$35,0)),"")&lt;&gt;"是",N($Q981)=0),0,IF(IFERROR(INDEX(单位档案!$H$6:$H$35,MATCH($E981,单位档案!$A$6:$A$35,0)),"")="税差法",ROUND(N($H981)/(1+$Q981)*$Q981-IF(N($R981)=0,0,$P981/(1+$R981)*$R981),2),ROUND(N($H981)/(1+$Q981)*$Q981,2)))</f>
        <v>0</v>
      </c>
      <c r="T981" s="36" t="n">
        <f aca="false">ROUND($S981*N(IFERROR(INDEX(单位档案!$J$6:$J$35,MATCH($E981,单位档案!$A$6:$A$35,0)),"")),2)</f>
        <v>0</v>
      </c>
      <c r="U981" s="36" t="n">
        <f aca="false">IF($D981&lt;&gt;"销项开票",0,ROUND(N($H981)*N(IFERROR(INDEX(单位档案!$K$6:$K$35,MATCH($E981,单位档案!$A$6:$A$35,0)),"")),2))</f>
        <v>0</v>
      </c>
      <c r="V981" s="36" t="n">
        <f aca="false">IF(OR($D981&lt;&gt;"销项开票",N($Q981)=0),0,ROUND(N($H981)/(1+$Q981)*N(IFERROR(INDEX(单位档案!$L$6:$L$35,MATCH($E981,单位档案!$A$6:$A$35,0)),"")),2))</f>
        <v>0</v>
      </c>
      <c r="W981" s="36" t="n">
        <f aca="false">ROUND($S981+$T981+$U981+$V981,2)</f>
        <v>0</v>
      </c>
      <c r="X981" s="35" t="str">
        <f aca="false">IF(OR($D981="挂靠代收",$D981="我方收款"),COUNTIFS($D$5:$D981,"挂靠代收")+COUNTIFS($D$5:$D981,"我方收款"),"")</f>
        <v/>
      </c>
      <c r="Y981" s="35"/>
      <c r="Z981" s="21" t="s">
        <v>111</v>
      </c>
    </row>
    <row r="982" customFormat="false" ht="15.75" hidden="false" customHeight="true" outlineLevel="0" collapsed="false">
      <c r="A982" s="32" t="str">
        <f aca="false">IF($B982="","",ROW()-4)</f>
        <v/>
      </c>
      <c r="B982" s="26"/>
      <c r="C982" s="24"/>
      <c r="D982" s="21"/>
      <c r="E982" s="21"/>
      <c r="F982" s="21"/>
      <c r="G982" s="21"/>
      <c r="H982" s="27"/>
      <c r="I982" s="23" t="str">
        <f aca="false">IF($D982&lt;&gt;"销项开票","",IF($N982="一级",IF(IFERROR(INDEX(项目档案!$E$6:$E$255,MATCH($C982,项目档案!$A$6:$A$255,0)),"")="",N(IFERROR(INDEX(单位档案!$D$6:$D$35,MATCH($E982,单位档案!$A$6:$A$35,0)),"")),IFERROR(INDEX(项目档案!$E$6:$E$255,MATCH($C982,项目档案!$A$6:$A$255,0)),"")),IF($N982="二级",IF(IFERROR(INDEX(项目档案!$G$6:$G$255,MATCH($C982,项目档案!$A$6:$A$255,0)),"")="",N(IFERROR(INDEX(单位档案!$D$6:$D$35,MATCH($E982,单位档案!$A$6:$A$35,0)),"")),IFERROR(INDEX(项目档案!$G$6:$G$255,MATCH($C982,项目档案!$A$6:$A$255,0)),"")),N(IFERROR(INDEX(单位档案!$D$6:$D$35,MATCH($E982,单位档案!$A$6:$A$35,0)),"")))))</f>
        <v/>
      </c>
      <c r="J982" s="22"/>
      <c r="K982" s="22"/>
      <c r="L982" s="33" t="str">
        <f aca="false">IF($B982="","",IF(NOT(ISNUMBER($B982)),"日期格式不对",IF($C982="","未选项目编号",IF(LEFT($M982,1)="⚠","项目编号不存在",IF($D982="","未选业务类型",IF($E982="","未选开票/付款方",IF(ISNA(MATCH($E982,单位档案!$A$6:$A$35,0)),"开票方不在单位档案",IF($F982="","未选收票/收款方",IF(ISNA(MATCH($F982,单位档案!$A$6:$A$35,0)),"收款方不在单位档案",IF(NOT(ISNUMBER($H982)),"金额须为数字",IF(AND($D982="销项开票",$N982="—"),"链条待确认","√")))))))))))</f>
        <v/>
      </c>
      <c r="M982" s="34" t="str">
        <f aca="false">IF($C982="","",IFERROR(INDEX(项目档案!$B$6:$B$255,MATCH($C982,项目档案!$A$6:$A$255,0)),"⚠项目编号不存在"))</f>
        <v/>
      </c>
      <c r="N982" s="35" t="str">
        <f aca="false">IF($E982="","",IF($E982=IFERROR(INDEX(项目档案!$D$6:$D$255,MATCH($C982,项目档案!$A$6:$A$255,0)),""),"一级",IF($E982=IFERROR(INDEX(项目档案!$F$6:$F$255,MATCH($C982,项目档案!$A$6:$A$255,0)),""),"二级",IF($E982=IFERROR(INDEX(项目档案!$H$6:$H$255,MATCH($C982,项目档案!$A$6:$A$255,0)),""),"我方","—"))))</f>
        <v/>
      </c>
      <c r="O982" s="36" t="n">
        <f aca="false">IF($D982&lt;&gt;"销项开票",0,ROUND(N($H982)*N($I982),2))</f>
        <v>0</v>
      </c>
      <c r="P982" s="36" t="n">
        <f aca="false">IF($D982&lt;&gt;"销项开票",0,ROUND(N($H982)-$O982,2))</f>
        <v>0</v>
      </c>
      <c r="Q982" s="37" t="str">
        <f aca="false">IF($E982="","",N(IFERROR(INDEX(单位档案!$E$6:$E$35,MATCH($E982,单位档案!$A$6:$A$35,0)),"")))</f>
        <v/>
      </c>
      <c r="R982" s="37" t="str">
        <f aca="false">IF($E982="","",N(IFERROR(INDEX(单位档案!$F$6:$F$35,MATCH($E982,单位档案!$A$6:$A$35,0)),"")))</f>
        <v/>
      </c>
      <c r="S982" s="36" t="n">
        <f aca="false">IF(OR($D982&lt;&gt;"销项开票",IFERROR(INDEX(单位档案!$G$6:$G$35,MATCH($E982,单位档案!$A$6:$A$35,0)),"")&lt;&gt;"是",N($Q982)=0),0,IF(IFERROR(INDEX(单位档案!$H$6:$H$35,MATCH($E982,单位档案!$A$6:$A$35,0)),"")="税差法",ROUND(N($H982)/(1+$Q982)*$Q982-IF(N($R982)=0,0,$P982/(1+$R982)*$R982),2),ROUND(N($H982)/(1+$Q982)*$Q982,2)))</f>
        <v>0</v>
      </c>
      <c r="T982" s="36" t="n">
        <f aca="false">ROUND($S982*N(IFERROR(INDEX(单位档案!$J$6:$J$35,MATCH($E982,单位档案!$A$6:$A$35,0)),"")),2)</f>
        <v>0</v>
      </c>
      <c r="U982" s="36" t="n">
        <f aca="false">IF($D982&lt;&gt;"销项开票",0,ROUND(N($H982)*N(IFERROR(INDEX(单位档案!$K$6:$K$35,MATCH($E982,单位档案!$A$6:$A$35,0)),"")),2))</f>
        <v>0</v>
      </c>
      <c r="V982" s="36" t="n">
        <f aca="false">IF(OR($D982&lt;&gt;"销项开票",N($Q982)=0),0,ROUND(N($H982)/(1+$Q982)*N(IFERROR(INDEX(单位档案!$L$6:$L$35,MATCH($E982,单位档案!$A$6:$A$35,0)),"")),2))</f>
        <v>0</v>
      </c>
      <c r="W982" s="36" t="n">
        <f aca="false">ROUND($S982+$T982+$U982+$V982,2)</f>
        <v>0</v>
      </c>
      <c r="X982" s="35" t="str">
        <f aca="false">IF(OR($D982="挂靠代收",$D982="我方收款"),COUNTIFS($D$5:$D982,"挂靠代收")+COUNTIFS($D$5:$D982,"我方收款"),"")</f>
        <v/>
      </c>
      <c r="Y982" s="35"/>
      <c r="Z982" s="21" t="s">
        <v>111</v>
      </c>
    </row>
    <row r="983" customFormat="false" ht="15.75" hidden="false" customHeight="true" outlineLevel="0" collapsed="false">
      <c r="A983" s="32" t="str">
        <f aca="false">IF($B983="","",ROW()-4)</f>
        <v/>
      </c>
      <c r="B983" s="26"/>
      <c r="C983" s="24"/>
      <c r="D983" s="21"/>
      <c r="E983" s="21"/>
      <c r="F983" s="21"/>
      <c r="G983" s="21"/>
      <c r="H983" s="27"/>
      <c r="I983" s="23" t="str">
        <f aca="false">IF($D983&lt;&gt;"销项开票","",IF($N983="一级",IF(IFERROR(INDEX(项目档案!$E$6:$E$255,MATCH($C983,项目档案!$A$6:$A$255,0)),"")="",N(IFERROR(INDEX(单位档案!$D$6:$D$35,MATCH($E983,单位档案!$A$6:$A$35,0)),"")),IFERROR(INDEX(项目档案!$E$6:$E$255,MATCH($C983,项目档案!$A$6:$A$255,0)),"")),IF($N983="二级",IF(IFERROR(INDEX(项目档案!$G$6:$G$255,MATCH($C983,项目档案!$A$6:$A$255,0)),"")="",N(IFERROR(INDEX(单位档案!$D$6:$D$35,MATCH($E983,单位档案!$A$6:$A$35,0)),"")),IFERROR(INDEX(项目档案!$G$6:$G$255,MATCH($C983,项目档案!$A$6:$A$255,0)),"")),N(IFERROR(INDEX(单位档案!$D$6:$D$35,MATCH($E983,单位档案!$A$6:$A$35,0)),"")))))</f>
        <v/>
      </c>
      <c r="J983" s="22"/>
      <c r="K983" s="22"/>
      <c r="L983" s="33" t="str">
        <f aca="false">IF($B983="","",IF(NOT(ISNUMBER($B983)),"日期格式不对",IF($C983="","未选项目编号",IF(LEFT($M983,1)="⚠","项目编号不存在",IF($D983="","未选业务类型",IF($E983="","未选开票/付款方",IF(ISNA(MATCH($E983,单位档案!$A$6:$A$35,0)),"开票方不在单位档案",IF($F983="","未选收票/收款方",IF(ISNA(MATCH($F983,单位档案!$A$6:$A$35,0)),"收款方不在单位档案",IF(NOT(ISNUMBER($H983)),"金额须为数字",IF(AND($D983="销项开票",$N983="—"),"链条待确认","√")))))))))))</f>
        <v/>
      </c>
      <c r="M983" s="34" t="str">
        <f aca="false">IF($C983="","",IFERROR(INDEX(项目档案!$B$6:$B$255,MATCH($C983,项目档案!$A$6:$A$255,0)),"⚠项目编号不存在"))</f>
        <v/>
      </c>
      <c r="N983" s="35" t="str">
        <f aca="false">IF($E983="","",IF($E983=IFERROR(INDEX(项目档案!$D$6:$D$255,MATCH($C983,项目档案!$A$6:$A$255,0)),""),"一级",IF($E983=IFERROR(INDEX(项目档案!$F$6:$F$255,MATCH($C983,项目档案!$A$6:$A$255,0)),""),"二级",IF($E983=IFERROR(INDEX(项目档案!$H$6:$H$255,MATCH($C983,项目档案!$A$6:$A$255,0)),""),"我方","—"))))</f>
        <v/>
      </c>
      <c r="O983" s="36" t="n">
        <f aca="false">IF($D983&lt;&gt;"销项开票",0,ROUND(N($H983)*N($I983),2))</f>
        <v>0</v>
      </c>
      <c r="P983" s="36" t="n">
        <f aca="false">IF($D983&lt;&gt;"销项开票",0,ROUND(N($H983)-$O983,2))</f>
        <v>0</v>
      </c>
      <c r="Q983" s="37" t="str">
        <f aca="false">IF($E983="","",N(IFERROR(INDEX(单位档案!$E$6:$E$35,MATCH($E983,单位档案!$A$6:$A$35,0)),"")))</f>
        <v/>
      </c>
      <c r="R983" s="37" t="str">
        <f aca="false">IF($E983="","",N(IFERROR(INDEX(单位档案!$F$6:$F$35,MATCH($E983,单位档案!$A$6:$A$35,0)),"")))</f>
        <v/>
      </c>
      <c r="S983" s="36" t="n">
        <f aca="false">IF(OR($D983&lt;&gt;"销项开票",IFERROR(INDEX(单位档案!$G$6:$G$35,MATCH($E983,单位档案!$A$6:$A$35,0)),"")&lt;&gt;"是",N($Q983)=0),0,IF(IFERROR(INDEX(单位档案!$H$6:$H$35,MATCH($E983,单位档案!$A$6:$A$35,0)),"")="税差法",ROUND(N($H983)/(1+$Q983)*$Q983-IF(N($R983)=0,0,$P983/(1+$R983)*$R983),2),ROUND(N($H983)/(1+$Q983)*$Q983,2)))</f>
        <v>0</v>
      </c>
      <c r="T983" s="36" t="n">
        <f aca="false">ROUND($S983*N(IFERROR(INDEX(单位档案!$J$6:$J$35,MATCH($E983,单位档案!$A$6:$A$35,0)),"")),2)</f>
        <v>0</v>
      </c>
      <c r="U983" s="36" t="n">
        <f aca="false">IF($D983&lt;&gt;"销项开票",0,ROUND(N($H983)*N(IFERROR(INDEX(单位档案!$K$6:$K$35,MATCH($E983,单位档案!$A$6:$A$35,0)),"")),2))</f>
        <v>0</v>
      </c>
      <c r="V983" s="36" t="n">
        <f aca="false">IF(OR($D983&lt;&gt;"销项开票",N($Q983)=0),0,ROUND(N($H983)/(1+$Q983)*N(IFERROR(INDEX(单位档案!$L$6:$L$35,MATCH($E983,单位档案!$A$6:$A$35,0)),"")),2))</f>
        <v>0</v>
      </c>
      <c r="W983" s="36" t="n">
        <f aca="false">ROUND($S983+$T983+$U983+$V983,2)</f>
        <v>0</v>
      </c>
      <c r="X983" s="35" t="str">
        <f aca="false">IF(OR($D983="挂靠代收",$D983="我方收款"),COUNTIFS($D$5:$D983,"挂靠代收")+COUNTIFS($D$5:$D983,"我方收款"),"")</f>
        <v/>
      </c>
      <c r="Y983" s="35"/>
      <c r="Z983" s="21" t="s">
        <v>111</v>
      </c>
    </row>
    <row r="984" customFormat="false" ht="15.75" hidden="false" customHeight="true" outlineLevel="0" collapsed="false">
      <c r="A984" s="32" t="str">
        <f aca="false">IF($B984="","",ROW()-4)</f>
        <v/>
      </c>
      <c r="B984" s="26"/>
      <c r="C984" s="24"/>
      <c r="D984" s="21"/>
      <c r="E984" s="21"/>
      <c r="F984" s="21"/>
      <c r="G984" s="21"/>
      <c r="H984" s="27"/>
      <c r="I984" s="23" t="str">
        <f aca="false">IF($D984&lt;&gt;"销项开票","",IF($N984="一级",IF(IFERROR(INDEX(项目档案!$E$6:$E$255,MATCH($C984,项目档案!$A$6:$A$255,0)),"")="",N(IFERROR(INDEX(单位档案!$D$6:$D$35,MATCH($E984,单位档案!$A$6:$A$35,0)),"")),IFERROR(INDEX(项目档案!$E$6:$E$255,MATCH($C984,项目档案!$A$6:$A$255,0)),"")),IF($N984="二级",IF(IFERROR(INDEX(项目档案!$G$6:$G$255,MATCH($C984,项目档案!$A$6:$A$255,0)),"")="",N(IFERROR(INDEX(单位档案!$D$6:$D$35,MATCH($E984,单位档案!$A$6:$A$35,0)),"")),IFERROR(INDEX(项目档案!$G$6:$G$255,MATCH($C984,项目档案!$A$6:$A$255,0)),"")),N(IFERROR(INDEX(单位档案!$D$6:$D$35,MATCH($E984,单位档案!$A$6:$A$35,0)),"")))))</f>
        <v/>
      </c>
      <c r="J984" s="22"/>
      <c r="K984" s="22"/>
      <c r="L984" s="33" t="str">
        <f aca="false">IF($B984="","",IF(NOT(ISNUMBER($B984)),"日期格式不对",IF($C984="","未选项目编号",IF(LEFT($M984,1)="⚠","项目编号不存在",IF($D984="","未选业务类型",IF($E984="","未选开票/付款方",IF(ISNA(MATCH($E984,单位档案!$A$6:$A$35,0)),"开票方不在单位档案",IF($F984="","未选收票/收款方",IF(ISNA(MATCH($F984,单位档案!$A$6:$A$35,0)),"收款方不在单位档案",IF(NOT(ISNUMBER($H984)),"金额须为数字",IF(AND($D984="销项开票",$N984="—"),"链条待确认","√")))))))))))</f>
        <v/>
      </c>
      <c r="M984" s="34" t="str">
        <f aca="false">IF($C984="","",IFERROR(INDEX(项目档案!$B$6:$B$255,MATCH($C984,项目档案!$A$6:$A$255,0)),"⚠项目编号不存在"))</f>
        <v/>
      </c>
      <c r="N984" s="35" t="str">
        <f aca="false">IF($E984="","",IF($E984=IFERROR(INDEX(项目档案!$D$6:$D$255,MATCH($C984,项目档案!$A$6:$A$255,0)),""),"一级",IF($E984=IFERROR(INDEX(项目档案!$F$6:$F$255,MATCH($C984,项目档案!$A$6:$A$255,0)),""),"二级",IF($E984=IFERROR(INDEX(项目档案!$H$6:$H$255,MATCH($C984,项目档案!$A$6:$A$255,0)),""),"我方","—"))))</f>
        <v/>
      </c>
      <c r="O984" s="36" t="n">
        <f aca="false">IF($D984&lt;&gt;"销项开票",0,ROUND(N($H984)*N($I984),2))</f>
        <v>0</v>
      </c>
      <c r="P984" s="36" t="n">
        <f aca="false">IF($D984&lt;&gt;"销项开票",0,ROUND(N($H984)-$O984,2))</f>
        <v>0</v>
      </c>
      <c r="Q984" s="37" t="str">
        <f aca="false">IF($E984="","",N(IFERROR(INDEX(单位档案!$E$6:$E$35,MATCH($E984,单位档案!$A$6:$A$35,0)),"")))</f>
        <v/>
      </c>
      <c r="R984" s="37" t="str">
        <f aca="false">IF($E984="","",N(IFERROR(INDEX(单位档案!$F$6:$F$35,MATCH($E984,单位档案!$A$6:$A$35,0)),"")))</f>
        <v/>
      </c>
      <c r="S984" s="36" t="n">
        <f aca="false">IF(OR($D984&lt;&gt;"销项开票",IFERROR(INDEX(单位档案!$G$6:$G$35,MATCH($E984,单位档案!$A$6:$A$35,0)),"")&lt;&gt;"是",N($Q984)=0),0,IF(IFERROR(INDEX(单位档案!$H$6:$H$35,MATCH($E984,单位档案!$A$6:$A$35,0)),"")="税差法",ROUND(N($H984)/(1+$Q984)*$Q984-IF(N($R984)=0,0,$P984/(1+$R984)*$R984),2),ROUND(N($H984)/(1+$Q984)*$Q984,2)))</f>
        <v>0</v>
      </c>
      <c r="T984" s="36" t="n">
        <f aca="false">ROUND($S984*N(IFERROR(INDEX(单位档案!$J$6:$J$35,MATCH($E984,单位档案!$A$6:$A$35,0)),"")),2)</f>
        <v>0</v>
      </c>
      <c r="U984" s="36" t="n">
        <f aca="false">IF($D984&lt;&gt;"销项开票",0,ROUND(N($H984)*N(IFERROR(INDEX(单位档案!$K$6:$K$35,MATCH($E984,单位档案!$A$6:$A$35,0)),"")),2))</f>
        <v>0</v>
      </c>
      <c r="V984" s="36" t="n">
        <f aca="false">IF(OR($D984&lt;&gt;"销项开票",N($Q984)=0),0,ROUND(N($H984)/(1+$Q984)*N(IFERROR(INDEX(单位档案!$L$6:$L$35,MATCH($E984,单位档案!$A$6:$A$35,0)),"")),2))</f>
        <v>0</v>
      </c>
      <c r="W984" s="36" t="n">
        <f aca="false">ROUND($S984+$T984+$U984+$V984,2)</f>
        <v>0</v>
      </c>
      <c r="X984" s="35" t="str">
        <f aca="false">IF(OR($D984="挂靠代收",$D984="我方收款"),COUNTIFS($D$5:$D984,"挂靠代收")+COUNTIFS($D$5:$D984,"我方收款"),"")</f>
        <v/>
      </c>
      <c r="Y984" s="35"/>
      <c r="Z984" s="21" t="s">
        <v>111</v>
      </c>
    </row>
    <row r="985" customFormat="false" ht="15.75" hidden="false" customHeight="true" outlineLevel="0" collapsed="false">
      <c r="A985" s="32" t="str">
        <f aca="false">IF($B985="","",ROW()-4)</f>
        <v/>
      </c>
      <c r="B985" s="26"/>
      <c r="C985" s="24"/>
      <c r="D985" s="21"/>
      <c r="E985" s="21"/>
      <c r="F985" s="21"/>
      <c r="G985" s="21"/>
      <c r="H985" s="27"/>
      <c r="I985" s="23" t="str">
        <f aca="false">IF($D985&lt;&gt;"销项开票","",IF($N985="一级",IF(IFERROR(INDEX(项目档案!$E$6:$E$255,MATCH($C985,项目档案!$A$6:$A$255,0)),"")="",N(IFERROR(INDEX(单位档案!$D$6:$D$35,MATCH($E985,单位档案!$A$6:$A$35,0)),"")),IFERROR(INDEX(项目档案!$E$6:$E$255,MATCH($C985,项目档案!$A$6:$A$255,0)),"")),IF($N985="二级",IF(IFERROR(INDEX(项目档案!$G$6:$G$255,MATCH($C985,项目档案!$A$6:$A$255,0)),"")="",N(IFERROR(INDEX(单位档案!$D$6:$D$35,MATCH($E985,单位档案!$A$6:$A$35,0)),"")),IFERROR(INDEX(项目档案!$G$6:$G$255,MATCH($C985,项目档案!$A$6:$A$255,0)),"")),N(IFERROR(INDEX(单位档案!$D$6:$D$35,MATCH($E985,单位档案!$A$6:$A$35,0)),"")))))</f>
        <v/>
      </c>
      <c r="J985" s="22"/>
      <c r="K985" s="22"/>
      <c r="L985" s="33" t="str">
        <f aca="false">IF($B985="","",IF(NOT(ISNUMBER($B985)),"日期格式不对",IF($C985="","未选项目编号",IF(LEFT($M985,1)="⚠","项目编号不存在",IF($D985="","未选业务类型",IF($E985="","未选开票/付款方",IF(ISNA(MATCH($E985,单位档案!$A$6:$A$35,0)),"开票方不在单位档案",IF($F985="","未选收票/收款方",IF(ISNA(MATCH($F985,单位档案!$A$6:$A$35,0)),"收款方不在单位档案",IF(NOT(ISNUMBER($H985)),"金额须为数字",IF(AND($D985="销项开票",$N985="—"),"链条待确认","√")))))))))))</f>
        <v/>
      </c>
      <c r="M985" s="34" t="str">
        <f aca="false">IF($C985="","",IFERROR(INDEX(项目档案!$B$6:$B$255,MATCH($C985,项目档案!$A$6:$A$255,0)),"⚠项目编号不存在"))</f>
        <v/>
      </c>
      <c r="N985" s="35" t="str">
        <f aca="false">IF($E985="","",IF($E985=IFERROR(INDEX(项目档案!$D$6:$D$255,MATCH($C985,项目档案!$A$6:$A$255,0)),""),"一级",IF($E985=IFERROR(INDEX(项目档案!$F$6:$F$255,MATCH($C985,项目档案!$A$6:$A$255,0)),""),"二级",IF($E985=IFERROR(INDEX(项目档案!$H$6:$H$255,MATCH($C985,项目档案!$A$6:$A$255,0)),""),"我方","—"))))</f>
        <v/>
      </c>
      <c r="O985" s="36" t="n">
        <f aca="false">IF($D985&lt;&gt;"销项开票",0,ROUND(N($H985)*N($I985),2))</f>
        <v>0</v>
      </c>
      <c r="P985" s="36" t="n">
        <f aca="false">IF($D985&lt;&gt;"销项开票",0,ROUND(N($H985)-$O985,2))</f>
        <v>0</v>
      </c>
      <c r="Q985" s="37" t="str">
        <f aca="false">IF($E985="","",N(IFERROR(INDEX(单位档案!$E$6:$E$35,MATCH($E985,单位档案!$A$6:$A$35,0)),"")))</f>
        <v/>
      </c>
      <c r="R985" s="37" t="str">
        <f aca="false">IF($E985="","",N(IFERROR(INDEX(单位档案!$F$6:$F$35,MATCH($E985,单位档案!$A$6:$A$35,0)),"")))</f>
        <v/>
      </c>
      <c r="S985" s="36" t="n">
        <f aca="false">IF(OR($D985&lt;&gt;"销项开票",IFERROR(INDEX(单位档案!$G$6:$G$35,MATCH($E985,单位档案!$A$6:$A$35,0)),"")&lt;&gt;"是",N($Q985)=0),0,IF(IFERROR(INDEX(单位档案!$H$6:$H$35,MATCH($E985,单位档案!$A$6:$A$35,0)),"")="税差法",ROUND(N($H985)/(1+$Q985)*$Q985-IF(N($R985)=0,0,$P985/(1+$R985)*$R985),2),ROUND(N($H985)/(1+$Q985)*$Q985,2)))</f>
        <v>0</v>
      </c>
      <c r="T985" s="36" t="n">
        <f aca="false">ROUND($S985*N(IFERROR(INDEX(单位档案!$J$6:$J$35,MATCH($E985,单位档案!$A$6:$A$35,0)),"")),2)</f>
        <v>0</v>
      </c>
      <c r="U985" s="36" t="n">
        <f aca="false">IF($D985&lt;&gt;"销项开票",0,ROUND(N($H985)*N(IFERROR(INDEX(单位档案!$K$6:$K$35,MATCH($E985,单位档案!$A$6:$A$35,0)),"")),2))</f>
        <v>0</v>
      </c>
      <c r="V985" s="36" t="n">
        <f aca="false">IF(OR($D985&lt;&gt;"销项开票",N($Q985)=0),0,ROUND(N($H985)/(1+$Q985)*N(IFERROR(INDEX(单位档案!$L$6:$L$35,MATCH($E985,单位档案!$A$6:$A$35,0)),"")),2))</f>
        <v>0</v>
      </c>
      <c r="W985" s="36" t="n">
        <f aca="false">ROUND($S985+$T985+$U985+$V985,2)</f>
        <v>0</v>
      </c>
      <c r="X985" s="35" t="str">
        <f aca="false">IF(OR($D985="挂靠代收",$D985="我方收款"),COUNTIFS($D$5:$D985,"挂靠代收")+COUNTIFS($D$5:$D985,"我方收款"),"")</f>
        <v/>
      </c>
      <c r="Y985" s="35"/>
      <c r="Z985" s="21" t="s">
        <v>111</v>
      </c>
    </row>
    <row r="986" customFormat="false" ht="15.75" hidden="false" customHeight="true" outlineLevel="0" collapsed="false">
      <c r="A986" s="32" t="str">
        <f aca="false">IF($B986="","",ROW()-4)</f>
        <v/>
      </c>
      <c r="B986" s="26"/>
      <c r="C986" s="24"/>
      <c r="D986" s="21"/>
      <c r="E986" s="21"/>
      <c r="F986" s="21"/>
      <c r="G986" s="21"/>
      <c r="H986" s="27"/>
      <c r="I986" s="23" t="str">
        <f aca="false">IF($D986&lt;&gt;"销项开票","",IF($N986="一级",IF(IFERROR(INDEX(项目档案!$E$6:$E$255,MATCH($C986,项目档案!$A$6:$A$255,0)),"")="",N(IFERROR(INDEX(单位档案!$D$6:$D$35,MATCH($E986,单位档案!$A$6:$A$35,0)),"")),IFERROR(INDEX(项目档案!$E$6:$E$255,MATCH($C986,项目档案!$A$6:$A$255,0)),"")),IF($N986="二级",IF(IFERROR(INDEX(项目档案!$G$6:$G$255,MATCH($C986,项目档案!$A$6:$A$255,0)),"")="",N(IFERROR(INDEX(单位档案!$D$6:$D$35,MATCH($E986,单位档案!$A$6:$A$35,0)),"")),IFERROR(INDEX(项目档案!$G$6:$G$255,MATCH($C986,项目档案!$A$6:$A$255,0)),"")),N(IFERROR(INDEX(单位档案!$D$6:$D$35,MATCH($E986,单位档案!$A$6:$A$35,0)),"")))))</f>
        <v/>
      </c>
      <c r="J986" s="22"/>
      <c r="K986" s="22"/>
      <c r="L986" s="33" t="str">
        <f aca="false">IF($B986="","",IF(NOT(ISNUMBER($B986)),"日期格式不对",IF($C986="","未选项目编号",IF(LEFT($M986,1)="⚠","项目编号不存在",IF($D986="","未选业务类型",IF($E986="","未选开票/付款方",IF(ISNA(MATCH($E986,单位档案!$A$6:$A$35,0)),"开票方不在单位档案",IF($F986="","未选收票/收款方",IF(ISNA(MATCH($F986,单位档案!$A$6:$A$35,0)),"收款方不在单位档案",IF(NOT(ISNUMBER($H986)),"金额须为数字",IF(AND($D986="销项开票",$N986="—"),"链条待确认","√")))))))))))</f>
        <v/>
      </c>
      <c r="M986" s="34" t="str">
        <f aca="false">IF($C986="","",IFERROR(INDEX(项目档案!$B$6:$B$255,MATCH($C986,项目档案!$A$6:$A$255,0)),"⚠项目编号不存在"))</f>
        <v/>
      </c>
      <c r="N986" s="35" t="str">
        <f aca="false">IF($E986="","",IF($E986=IFERROR(INDEX(项目档案!$D$6:$D$255,MATCH($C986,项目档案!$A$6:$A$255,0)),""),"一级",IF($E986=IFERROR(INDEX(项目档案!$F$6:$F$255,MATCH($C986,项目档案!$A$6:$A$255,0)),""),"二级",IF($E986=IFERROR(INDEX(项目档案!$H$6:$H$255,MATCH($C986,项目档案!$A$6:$A$255,0)),""),"我方","—"))))</f>
        <v/>
      </c>
      <c r="O986" s="36" t="n">
        <f aca="false">IF($D986&lt;&gt;"销项开票",0,ROUND(N($H986)*N($I986),2))</f>
        <v>0</v>
      </c>
      <c r="P986" s="36" t="n">
        <f aca="false">IF($D986&lt;&gt;"销项开票",0,ROUND(N($H986)-$O986,2))</f>
        <v>0</v>
      </c>
      <c r="Q986" s="37" t="str">
        <f aca="false">IF($E986="","",N(IFERROR(INDEX(单位档案!$E$6:$E$35,MATCH($E986,单位档案!$A$6:$A$35,0)),"")))</f>
        <v/>
      </c>
      <c r="R986" s="37" t="str">
        <f aca="false">IF($E986="","",N(IFERROR(INDEX(单位档案!$F$6:$F$35,MATCH($E986,单位档案!$A$6:$A$35,0)),"")))</f>
        <v/>
      </c>
      <c r="S986" s="36" t="n">
        <f aca="false">IF(OR($D986&lt;&gt;"销项开票",IFERROR(INDEX(单位档案!$G$6:$G$35,MATCH($E986,单位档案!$A$6:$A$35,0)),"")&lt;&gt;"是",N($Q986)=0),0,IF(IFERROR(INDEX(单位档案!$H$6:$H$35,MATCH($E986,单位档案!$A$6:$A$35,0)),"")="税差法",ROUND(N($H986)/(1+$Q986)*$Q986-IF(N($R986)=0,0,$P986/(1+$R986)*$R986),2),ROUND(N($H986)/(1+$Q986)*$Q986,2)))</f>
        <v>0</v>
      </c>
      <c r="T986" s="36" t="n">
        <f aca="false">ROUND($S986*N(IFERROR(INDEX(单位档案!$J$6:$J$35,MATCH($E986,单位档案!$A$6:$A$35,0)),"")),2)</f>
        <v>0</v>
      </c>
      <c r="U986" s="36" t="n">
        <f aca="false">IF($D986&lt;&gt;"销项开票",0,ROUND(N($H986)*N(IFERROR(INDEX(单位档案!$K$6:$K$35,MATCH($E986,单位档案!$A$6:$A$35,0)),"")),2))</f>
        <v>0</v>
      </c>
      <c r="V986" s="36" t="n">
        <f aca="false">IF(OR($D986&lt;&gt;"销项开票",N($Q986)=0),0,ROUND(N($H986)/(1+$Q986)*N(IFERROR(INDEX(单位档案!$L$6:$L$35,MATCH($E986,单位档案!$A$6:$A$35,0)),"")),2))</f>
        <v>0</v>
      </c>
      <c r="W986" s="36" t="n">
        <f aca="false">ROUND($S986+$T986+$U986+$V986,2)</f>
        <v>0</v>
      </c>
      <c r="X986" s="35" t="str">
        <f aca="false">IF(OR($D986="挂靠代收",$D986="我方收款"),COUNTIFS($D$5:$D986,"挂靠代收")+COUNTIFS($D$5:$D986,"我方收款"),"")</f>
        <v/>
      </c>
      <c r="Y986" s="35"/>
      <c r="Z986" s="21" t="s">
        <v>111</v>
      </c>
    </row>
    <row r="987" customFormat="false" ht="15.75" hidden="false" customHeight="true" outlineLevel="0" collapsed="false">
      <c r="A987" s="32" t="str">
        <f aca="false">IF($B987="","",ROW()-4)</f>
        <v/>
      </c>
      <c r="B987" s="26"/>
      <c r="C987" s="24"/>
      <c r="D987" s="21"/>
      <c r="E987" s="21"/>
      <c r="F987" s="21"/>
      <c r="G987" s="21"/>
      <c r="H987" s="27"/>
      <c r="I987" s="23" t="str">
        <f aca="false">IF($D987&lt;&gt;"销项开票","",IF($N987="一级",IF(IFERROR(INDEX(项目档案!$E$6:$E$255,MATCH($C987,项目档案!$A$6:$A$255,0)),"")="",N(IFERROR(INDEX(单位档案!$D$6:$D$35,MATCH($E987,单位档案!$A$6:$A$35,0)),"")),IFERROR(INDEX(项目档案!$E$6:$E$255,MATCH($C987,项目档案!$A$6:$A$255,0)),"")),IF($N987="二级",IF(IFERROR(INDEX(项目档案!$G$6:$G$255,MATCH($C987,项目档案!$A$6:$A$255,0)),"")="",N(IFERROR(INDEX(单位档案!$D$6:$D$35,MATCH($E987,单位档案!$A$6:$A$35,0)),"")),IFERROR(INDEX(项目档案!$G$6:$G$255,MATCH($C987,项目档案!$A$6:$A$255,0)),"")),N(IFERROR(INDEX(单位档案!$D$6:$D$35,MATCH($E987,单位档案!$A$6:$A$35,0)),"")))))</f>
        <v/>
      </c>
      <c r="J987" s="22"/>
      <c r="K987" s="22"/>
      <c r="L987" s="33" t="str">
        <f aca="false">IF($B987="","",IF(NOT(ISNUMBER($B987)),"日期格式不对",IF($C987="","未选项目编号",IF(LEFT($M987,1)="⚠","项目编号不存在",IF($D987="","未选业务类型",IF($E987="","未选开票/付款方",IF(ISNA(MATCH($E987,单位档案!$A$6:$A$35,0)),"开票方不在单位档案",IF($F987="","未选收票/收款方",IF(ISNA(MATCH($F987,单位档案!$A$6:$A$35,0)),"收款方不在单位档案",IF(NOT(ISNUMBER($H987)),"金额须为数字",IF(AND($D987="销项开票",$N987="—"),"链条待确认","√")))))))))))</f>
        <v/>
      </c>
      <c r="M987" s="34" t="str">
        <f aca="false">IF($C987="","",IFERROR(INDEX(项目档案!$B$6:$B$255,MATCH($C987,项目档案!$A$6:$A$255,0)),"⚠项目编号不存在"))</f>
        <v/>
      </c>
      <c r="N987" s="35" t="str">
        <f aca="false">IF($E987="","",IF($E987=IFERROR(INDEX(项目档案!$D$6:$D$255,MATCH($C987,项目档案!$A$6:$A$255,0)),""),"一级",IF($E987=IFERROR(INDEX(项目档案!$F$6:$F$255,MATCH($C987,项目档案!$A$6:$A$255,0)),""),"二级",IF($E987=IFERROR(INDEX(项目档案!$H$6:$H$255,MATCH($C987,项目档案!$A$6:$A$255,0)),""),"我方","—"))))</f>
        <v/>
      </c>
      <c r="O987" s="36" t="n">
        <f aca="false">IF($D987&lt;&gt;"销项开票",0,ROUND(N($H987)*N($I987),2))</f>
        <v>0</v>
      </c>
      <c r="P987" s="36" t="n">
        <f aca="false">IF($D987&lt;&gt;"销项开票",0,ROUND(N($H987)-$O987,2))</f>
        <v>0</v>
      </c>
      <c r="Q987" s="37" t="str">
        <f aca="false">IF($E987="","",N(IFERROR(INDEX(单位档案!$E$6:$E$35,MATCH($E987,单位档案!$A$6:$A$35,0)),"")))</f>
        <v/>
      </c>
      <c r="R987" s="37" t="str">
        <f aca="false">IF($E987="","",N(IFERROR(INDEX(单位档案!$F$6:$F$35,MATCH($E987,单位档案!$A$6:$A$35,0)),"")))</f>
        <v/>
      </c>
      <c r="S987" s="36" t="n">
        <f aca="false">IF(OR($D987&lt;&gt;"销项开票",IFERROR(INDEX(单位档案!$G$6:$G$35,MATCH($E987,单位档案!$A$6:$A$35,0)),"")&lt;&gt;"是",N($Q987)=0),0,IF(IFERROR(INDEX(单位档案!$H$6:$H$35,MATCH($E987,单位档案!$A$6:$A$35,0)),"")="税差法",ROUND(N($H987)/(1+$Q987)*$Q987-IF(N($R987)=0,0,$P987/(1+$R987)*$R987),2),ROUND(N($H987)/(1+$Q987)*$Q987,2)))</f>
        <v>0</v>
      </c>
      <c r="T987" s="36" t="n">
        <f aca="false">ROUND($S987*N(IFERROR(INDEX(单位档案!$J$6:$J$35,MATCH($E987,单位档案!$A$6:$A$35,0)),"")),2)</f>
        <v>0</v>
      </c>
      <c r="U987" s="36" t="n">
        <f aca="false">IF($D987&lt;&gt;"销项开票",0,ROUND(N($H987)*N(IFERROR(INDEX(单位档案!$K$6:$K$35,MATCH($E987,单位档案!$A$6:$A$35,0)),"")),2))</f>
        <v>0</v>
      </c>
      <c r="V987" s="36" t="n">
        <f aca="false">IF(OR($D987&lt;&gt;"销项开票",N($Q987)=0),0,ROUND(N($H987)/(1+$Q987)*N(IFERROR(INDEX(单位档案!$L$6:$L$35,MATCH($E987,单位档案!$A$6:$A$35,0)),"")),2))</f>
        <v>0</v>
      </c>
      <c r="W987" s="36" t="n">
        <f aca="false">ROUND($S987+$T987+$U987+$V987,2)</f>
        <v>0</v>
      </c>
      <c r="X987" s="35" t="str">
        <f aca="false">IF(OR($D987="挂靠代收",$D987="我方收款"),COUNTIFS($D$5:$D987,"挂靠代收")+COUNTIFS($D$5:$D987,"我方收款"),"")</f>
        <v/>
      </c>
      <c r="Y987" s="35"/>
      <c r="Z987" s="21" t="s">
        <v>111</v>
      </c>
    </row>
    <row r="988" customFormat="false" ht="15.75" hidden="false" customHeight="true" outlineLevel="0" collapsed="false">
      <c r="A988" s="32" t="str">
        <f aca="false">IF($B988="","",ROW()-4)</f>
        <v/>
      </c>
      <c r="B988" s="26"/>
      <c r="C988" s="24"/>
      <c r="D988" s="21"/>
      <c r="E988" s="21"/>
      <c r="F988" s="21"/>
      <c r="G988" s="21"/>
      <c r="H988" s="27"/>
      <c r="I988" s="23" t="str">
        <f aca="false">IF($D988&lt;&gt;"销项开票","",IF($N988="一级",IF(IFERROR(INDEX(项目档案!$E$6:$E$255,MATCH($C988,项目档案!$A$6:$A$255,0)),"")="",N(IFERROR(INDEX(单位档案!$D$6:$D$35,MATCH($E988,单位档案!$A$6:$A$35,0)),"")),IFERROR(INDEX(项目档案!$E$6:$E$255,MATCH($C988,项目档案!$A$6:$A$255,0)),"")),IF($N988="二级",IF(IFERROR(INDEX(项目档案!$G$6:$G$255,MATCH($C988,项目档案!$A$6:$A$255,0)),"")="",N(IFERROR(INDEX(单位档案!$D$6:$D$35,MATCH($E988,单位档案!$A$6:$A$35,0)),"")),IFERROR(INDEX(项目档案!$G$6:$G$255,MATCH($C988,项目档案!$A$6:$A$255,0)),"")),N(IFERROR(INDEX(单位档案!$D$6:$D$35,MATCH($E988,单位档案!$A$6:$A$35,0)),"")))))</f>
        <v/>
      </c>
      <c r="J988" s="22"/>
      <c r="K988" s="22"/>
      <c r="L988" s="33" t="str">
        <f aca="false">IF($B988="","",IF(NOT(ISNUMBER($B988)),"日期格式不对",IF($C988="","未选项目编号",IF(LEFT($M988,1)="⚠","项目编号不存在",IF($D988="","未选业务类型",IF($E988="","未选开票/付款方",IF(ISNA(MATCH($E988,单位档案!$A$6:$A$35,0)),"开票方不在单位档案",IF($F988="","未选收票/收款方",IF(ISNA(MATCH($F988,单位档案!$A$6:$A$35,0)),"收款方不在单位档案",IF(NOT(ISNUMBER($H988)),"金额须为数字",IF(AND($D988="销项开票",$N988="—"),"链条待确认","√")))))))))))</f>
        <v/>
      </c>
      <c r="M988" s="34" t="str">
        <f aca="false">IF($C988="","",IFERROR(INDEX(项目档案!$B$6:$B$255,MATCH($C988,项目档案!$A$6:$A$255,0)),"⚠项目编号不存在"))</f>
        <v/>
      </c>
      <c r="N988" s="35" t="str">
        <f aca="false">IF($E988="","",IF($E988=IFERROR(INDEX(项目档案!$D$6:$D$255,MATCH($C988,项目档案!$A$6:$A$255,0)),""),"一级",IF($E988=IFERROR(INDEX(项目档案!$F$6:$F$255,MATCH($C988,项目档案!$A$6:$A$255,0)),""),"二级",IF($E988=IFERROR(INDEX(项目档案!$H$6:$H$255,MATCH($C988,项目档案!$A$6:$A$255,0)),""),"我方","—"))))</f>
        <v/>
      </c>
      <c r="O988" s="36" t="n">
        <f aca="false">IF($D988&lt;&gt;"销项开票",0,ROUND(N($H988)*N($I988),2))</f>
        <v>0</v>
      </c>
      <c r="P988" s="36" t="n">
        <f aca="false">IF($D988&lt;&gt;"销项开票",0,ROUND(N($H988)-$O988,2))</f>
        <v>0</v>
      </c>
      <c r="Q988" s="37" t="str">
        <f aca="false">IF($E988="","",N(IFERROR(INDEX(单位档案!$E$6:$E$35,MATCH($E988,单位档案!$A$6:$A$35,0)),"")))</f>
        <v/>
      </c>
      <c r="R988" s="37" t="str">
        <f aca="false">IF($E988="","",N(IFERROR(INDEX(单位档案!$F$6:$F$35,MATCH($E988,单位档案!$A$6:$A$35,0)),"")))</f>
        <v/>
      </c>
      <c r="S988" s="36" t="n">
        <f aca="false">IF(OR($D988&lt;&gt;"销项开票",IFERROR(INDEX(单位档案!$G$6:$G$35,MATCH($E988,单位档案!$A$6:$A$35,0)),"")&lt;&gt;"是",N($Q988)=0),0,IF(IFERROR(INDEX(单位档案!$H$6:$H$35,MATCH($E988,单位档案!$A$6:$A$35,0)),"")="税差法",ROUND(N($H988)/(1+$Q988)*$Q988-IF(N($R988)=0,0,$P988/(1+$R988)*$R988),2),ROUND(N($H988)/(1+$Q988)*$Q988,2)))</f>
        <v>0</v>
      </c>
      <c r="T988" s="36" t="n">
        <f aca="false">ROUND($S988*N(IFERROR(INDEX(单位档案!$J$6:$J$35,MATCH($E988,单位档案!$A$6:$A$35,0)),"")),2)</f>
        <v>0</v>
      </c>
      <c r="U988" s="36" t="n">
        <f aca="false">IF($D988&lt;&gt;"销项开票",0,ROUND(N($H988)*N(IFERROR(INDEX(单位档案!$K$6:$K$35,MATCH($E988,单位档案!$A$6:$A$35,0)),"")),2))</f>
        <v>0</v>
      </c>
      <c r="V988" s="36" t="n">
        <f aca="false">IF(OR($D988&lt;&gt;"销项开票",N($Q988)=0),0,ROUND(N($H988)/(1+$Q988)*N(IFERROR(INDEX(单位档案!$L$6:$L$35,MATCH($E988,单位档案!$A$6:$A$35,0)),"")),2))</f>
        <v>0</v>
      </c>
      <c r="W988" s="36" t="n">
        <f aca="false">ROUND($S988+$T988+$U988+$V988,2)</f>
        <v>0</v>
      </c>
      <c r="X988" s="35" t="str">
        <f aca="false">IF(OR($D988="挂靠代收",$D988="我方收款"),COUNTIFS($D$5:$D988,"挂靠代收")+COUNTIFS($D$5:$D988,"我方收款"),"")</f>
        <v/>
      </c>
      <c r="Y988" s="35"/>
      <c r="Z988" s="21" t="s">
        <v>111</v>
      </c>
    </row>
    <row r="989" customFormat="false" ht="15.75" hidden="false" customHeight="true" outlineLevel="0" collapsed="false">
      <c r="A989" s="32" t="str">
        <f aca="false">IF($B989="","",ROW()-4)</f>
        <v/>
      </c>
      <c r="B989" s="26"/>
      <c r="C989" s="24"/>
      <c r="D989" s="21"/>
      <c r="E989" s="21"/>
      <c r="F989" s="21"/>
      <c r="G989" s="21"/>
      <c r="H989" s="27"/>
      <c r="I989" s="23" t="str">
        <f aca="false">IF($D989&lt;&gt;"销项开票","",IF($N989="一级",IF(IFERROR(INDEX(项目档案!$E$6:$E$255,MATCH($C989,项目档案!$A$6:$A$255,0)),"")="",N(IFERROR(INDEX(单位档案!$D$6:$D$35,MATCH($E989,单位档案!$A$6:$A$35,0)),"")),IFERROR(INDEX(项目档案!$E$6:$E$255,MATCH($C989,项目档案!$A$6:$A$255,0)),"")),IF($N989="二级",IF(IFERROR(INDEX(项目档案!$G$6:$G$255,MATCH($C989,项目档案!$A$6:$A$255,0)),"")="",N(IFERROR(INDEX(单位档案!$D$6:$D$35,MATCH($E989,单位档案!$A$6:$A$35,0)),"")),IFERROR(INDEX(项目档案!$G$6:$G$255,MATCH($C989,项目档案!$A$6:$A$255,0)),"")),N(IFERROR(INDEX(单位档案!$D$6:$D$35,MATCH($E989,单位档案!$A$6:$A$35,0)),"")))))</f>
        <v/>
      </c>
      <c r="J989" s="22"/>
      <c r="K989" s="22"/>
      <c r="L989" s="33" t="str">
        <f aca="false">IF($B989="","",IF(NOT(ISNUMBER($B989)),"日期格式不对",IF($C989="","未选项目编号",IF(LEFT($M989,1)="⚠","项目编号不存在",IF($D989="","未选业务类型",IF($E989="","未选开票/付款方",IF(ISNA(MATCH($E989,单位档案!$A$6:$A$35,0)),"开票方不在单位档案",IF($F989="","未选收票/收款方",IF(ISNA(MATCH($F989,单位档案!$A$6:$A$35,0)),"收款方不在单位档案",IF(NOT(ISNUMBER($H989)),"金额须为数字",IF(AND($D989="销项开票",$N989="—"),"链条待确认","√")))))))))))</f>
        <v/>
      </c>
      <c r="M989" s="34" t="str">
        <f aca="false">IF($C989="","",IFERROR(INDEX(项目档案!$B$6:$B$255,MATCH($C989,项目档案!$A$6:$A$255,0)),"⚠项目编号不存在"))</f>
        <v/>
      </c>
      <c r="N989" s="35" t="str">
        <f aca="false">IF($E989="","",IF($E989=IFERROR(INDEX(项目档案!$D$6:$D$255,MATCH($C989,项目档案!$A$6:$A$255,0)),""),"一级",IF($E989=IFERROR(INDEX(项目档案!$F$6:$F$255,MATCH($C989,项目档案!$A$6:$A$255,0)),""),"二级",IF($E989=IFERROR(INDEX(项目档案!$H$6:$H$255,MATCH($C989,项目档案!$A$6:$A$255,0)),""),"我方","—"))))</f>
        <v/>
      </c>
      <c r="O989" s="36" t="n">
        <f aca="false">IF($D989&lt;&gt;"销项开票",0,ROUND(N($H989)*N($I989),2))</f>
        <v>0</v>
      </c>
      <c r="P989" s="36" t="n">
        <f aca="false">IF($D989&lt;&gt;"销项开票",0,ROUND(N($H989)-$O989,2))</f>
        <v>0</v>
      </c>
      <c r="Q989" s="37" t="str">
        <f aca="false">IF($E989="","",N(IFERROR(INDEX(单位档案!$E$6:$E$35,MATCH($E989,单位档案!$A$6:$A$35,0)),"")))</f>
        <v/>
      </c>
      <c r="R989" s="37" t="str">
        <f aca="false">IF($E989="","",N(IFERROR(INDEX(单位档案!$F$6:$F$35,MATCH($E989,单位档案!$A$6:$A$35,0)),"")))</f>
        <v/>
      </c>
      <c r="S989" s="36" t="n">
        <f aca="false">IF(OR($D989&lt;&gt;"销项开票",IFERROR(INDEX(单位档案!$G$6:$G$35,MATCH($E989,单位档案!$A$6:$A$35,0)),"")&lt;&gt;"是",N($Q989)=0),0,IF(IFERROR(INDEX(单位档案!$H$6:$H$35,MATCH($E989,单位档案!$A$6:$A$35,0)),"")="税差法",ROUND(N($H989)/(1+$Q989)*$Q989-IF(N($R989)=0,0,$P989/(1+$R989)*$R989),2),ROUND(N($H989)/(1+$Q989)*$Q989,2)))</f>
        <v>0</v>
      </c>
      <c r="T989" s="36" t="n">
        <f aca="false">ROUND($S989*N(IFERROR(INDEX(单位档案!$J$6:$J$35,MATCH($E989,单位档案!$A$6:$A$35,0)),"")),2)</f>
        <v>0</v>
      </c>
      <c r="U989" s="36" t="n">
        <f aca="false">IF($D989&lt;&gt;"销项开票",0,ROUND(N($H989)*N(IFERROR(INDEX(单位档案!$K$6:$K$35,MATCH($E989,单位档案!$A$6:$A$35,0)),"")),2))</f>
        <v>0</v>
      </c>
      <c r="V989" s="36" t="n">
        <f aca="false">IF(OR($D989&lt;&gt;"销项开票",N($Q989)=0),0,ROUND(N($H989)/(1+$Q989)*N(IFERROR(INDEX(单位档案!$L$6:$L$35,MATCH($E989,单位档案!$A$6:$A$35,0)),"")),2))</f>
        <v>0</v>
      </c>
      <c r="W989" s="36" t="n">
        <f aca="false">ROUND($S989+$T989+$U989+$V989,2)</f>
        <v>0</v>
      </c>
      <c r="X989" s="35" t="str">
        <f aca="false">IF(OR($D989="挂靠代收",$D989="我方收款"),COUNTIFS($D$5:$D989,"挂靠代收")+COUNTIFS($D$5:$D989,"我方收款"),"")</f>
        <v/>
      </c>
      <c r="Y989" s="35"/>
      <c r="Z989" s="21" t="s">
        <v>111</v>
      </c>
    </row>
    <row r="990" customFormat="false" ht="15.75" hidden="false" customHeight="true" outlineLevel="0" collapsed="false">
      <c r="A990" s="32" t="str">
        <f aca="false">IF($B990="","",ROW()-4)</f>
        <v/>
      </c>
      <c r="B990" s="26"/>
      <c r="C990" s="24"/>
      <c r="D990" s="21"/>
      <c r="E990" s="21"/>
      <c r="F990" s="21"/>
      <c r="G990" s="21"/>
      <c r="H990" s="27"/>
      <c r="I990" s="23" t="str">
        <f aca="false">IF($D990&lt;&gt;"销项开票","",IF($N990="一级",IF(IFERROR(INDEX(项目档案!$E$6:$E$255,MATCH($C990,项目档案!$A$6:$A$255,0)),"")="",N(IFERROR(INDEX(单位档案!$D$6:$D$35,MATCH($E990,单位档案!$A$6:$A$35,0)),"")),IFERROR(INDEX(项目档案!$E$6:$E$255,MATCH($C990,项目档案!$A$6:$A$255,0)),"")),IF($N990="二级",IF(IFERROR(INDEX(项目档案!$G$6:$G$255,MATCH($C990,项目档案!$A$6:$A$255,0)),"")="",N(IFERROR(INDEX(单位档案!$D$6:$D$35,MATCH($E990,单位档案!$A$6:$A$35,0)),"")),IFERROR(INDEX(项目档案!$G$6:$G$255,MATCH($C990,项目档案!$A$6:$A$255,0)),"")),N(IFERROR(INDEX(单位档案!$D$6:$D$35,MATCH($E990,单位档案!$A$6:$A$35,0)),"")))))</f>
        <v/>
      </c>
      <c r="J990" s="22"/>
      <c r="K990" s="22"/>
      <c r="L990" s="33" t="str">
        <f aca="false">IF($B990="","",IF(NOT(ISNUMBER($B990)),"日期格式不对",IF($C990="","未选项目编号",IF(LEFT($M990,1)="⚠","项目编号不存在",IF($D990="","未选业务类型",IF($E990="","未选开票/付款方",IF(ISNA(MATCH($E990,单位档案!$A$6:$A$35,0)),"开票方不在单位档案",IF($F990="","未选收票/收款方",IF(ISNA(MATCH($F990,单位档案!$A$6:$A$35,0)),"收款方不在单位档案",IF(NOT(ISNUMBER($H990)),"金额须为数字",IF(AND($D990="销项开票",$N990="—"),"链条待确认","√")))))))))))</f>
        <v/>
      </c>
      <c r="M990" s="34" t="str">
        <f aca="false">IF($C990="","",IFERROR(INDEX(项目档案!$B$6:$B$255,MATCH($C990,项目档案!$A$6:$A$255,0)),"⚠项目编号不存在"))</f>
        <v/>
      </c>
      <c r="N990" s="35" t="str">
        <f aca="false">IF($E990="","",IF($E990=IFERROR(INDEX(项目档案!$D$6:$D$255,MATCH($C990,项目档案!$A$6:$A$255,0)),""),"一级",IF($E990=IFERROR(INDEX(项目档案!$F$6:$F$255,MATCH($C990,项目档案!$A$6:$A$255,0)),""),"二级",IF($E990=IFERROR(INDEX(项目档案!$H$6:$H$255,MATCH($C990,项目档案!$A$6:$A$255,0)),""),"我方","—"))))</f>
        <v/>
      </c>
      <c r="O990" s="36" t="n">
        <f aca="false">IF($D990&lt;&gt;"销项开票",0,ROUND(N($H990)*N($I990),2))</f>
        <v>0</v>
      </c>
      <c r="P990" s="36" t="n">
        <f aca="false">IF($D990&lt;&gt;"销项开票",0,ROUND(N($H990)-$O990,2))</f>
        <v>0</v>
      </c>
      <c r="Q990" s="37" t="str">
        <f aca="false">IF($E990="","",N(IFERROR(INDEX(单位档案!$E$6:$E$35,MATCH($E990,单位档案!$A$6:$A$35,0)),"")))</f>
        <v/>
      </c>
      <c r="R990" s="37" t="str">
        <f aca="false">IF($E990="","",N(IFERROR(INDEX(单位档案!$F$6:$F$35,MATCH($E990,单位档案!$A$6:$A$35,0)),"")))</f>
        <v/>
      </c>
      <c r="S990" s="36" t="n">
        <f aca="false">IF(OR($D990&lt;&gt;"销项开票",IFERROR(INDEX(单位档案!$G$6:$G$35,MATCH($E990,单位档案!$A$6:$A$35,0)),"")&lt;&gt;"是",N($Q990)=0),0,IF(IFERROR(INDEX(单位档案!$H$6:$H$35,MATCH($E990,单位档案!$A$6:$A$35,0)),"")="税差法",ROUND(N($H990)/(1+$Q990)*$Q990-IF(N($R990)=0,0,$P990/(1+$R990)*$R990),2),ROUND(N($H990)/(1+$Q990)*$Q990,2)))</f>
        <v>0</v>
      </c>
      <c r="T990" s="36" t="n">
        <f aca="false">ROUND($S990*N(IFERROR(INDEX(单位档案!$J$6:$J$35,MATCH($E990,单位档案!$A$6:$A$35,0)),"")),2)</f>
        <v>0</v>
      </c>
      <c r="U990" s="36" t="n">
        <f aca="false">IF($D990&lt;&gt;"销项开票",0,ROUND(N($H990)*N(IFERROR(INDEX(单位档案!$K$6:$K$35,MATCH($E990,单位档案!$A$6:$A$35,0)),"")),2))</f>
        <v>0</v>
      </c>
      <c r="V990" s="36" t="n">
        <f aca="false">IF(OR($D990&lt;&gt;"销项开票",N($Q990)=0),0,ROUND(N($H990)/(1+$Q990)*N(IFERROR(INDEX(单位档案!$L$6:$L$35,MATCH($E990,单位档案!$A$6:$A$35,0)),"")),2))</f>
        <v>0</v>
      </c>
      <c r="W990" s="36" t="n">
        <f aca="false">ROUND($S990+$T990+$U990+$V990,2)</f>
        <v>0</v>
      </c>
      <c r="X990" s="35" t="str">
        <f aca="false">IF(OR($D990="挂靠代收",$D990="我方收款"),COUNTIFS($D$5:$D990,"挂靠代收")+COUNTIFS($D$5:$D990,"我方收款"),"")</f>
        <v/>
      </c>
      <c r="Y990" s="35"/>
      <c r="Z990" s="21" t="s">
        <v>111</v>
      </c>
    </row>
    <row r="991" customFormat="false" ht="15.75" hidden="false" customHeight="true" outlineLevel="0" collapsed="false">
      <c r="A991" s="32" t="str">
        <f aca="false">IF($B991="","",ROW()-4)</f>
        <v/>
      </c>
      <c r="B991" s="26"/>
      <c r="C991" s="24"/>
      <c r="D991" s="21"/>
      <c r="E991" s="21"/>
      <c r="F991" s="21"/>
      <c r="G991" s="21"/>
      <c r="H991" s="27"/>
      <c r="I991" s="23" t="str">
        <f aca="false">IF($D991&lt;&gt;"销项开票","",IF($N991="一级",IF(IFERROR(INDEX(项目档案!$E$6:$E$255,MATCH($C991,项目档案!$A$6:$A$255,0)),"")="",N(IFERROR(INDEX(单位档案!$D$6:$D$35,MATCH($E991,单位档案!$A$6:$A$35,0)),"")),IFERROR(INDEX(项目档案!$E$6:$E$255,MATCH($C991,项目档案!$A$6:$A$255,0)),"")),IF($N991="二级",IF(IFERROR(INDEX(项目档案!$G$6:$G$255,MATCH($C991,项目档案!$A$6:$A$255,0)),"")="",N(IFERROR(INDEX(单位档案!$D$6:$D$35,MATCH($E991,单位档案!$A$6:$A$35,0)),"")),IFERROR(INDEX(项目档案!$G$6:$G$255,MATCH($C991,项目档案!$A$6:$A$255,0)),"")),N(IFERROR(INDEX(单位档案!$D$6:$D$35,MATCH($E991,单位档案!$A$6:$A$35,0)),"")))))</f>
        <v/>
      </c>
      <c r="J991" s="22"/>
      <c r="K991" s="22"/>
      <c r="L991" s="33" t="str">
        <f aca="false">IF($B991="","",IF(NOT(ISNUMBER($B991)),"日期格式不对",IF($C991="","未选项目编号",IF(LEFT($M991,1)="⚠","项目编号不存在",IF($D991="","未选业务类型",IF($E991="","未选开票/付款方",IF(ISNA(MATCH($E991,单位档案!$A$6:$A$35,0)),"开票方不在单位档案",IF($F991="","未选收票/收款方",IF(ISNA(MATCH($F991,单位档案!$A$6:$A$35,0)),"收款方不在单位档案",IF(NOT(ISNUMBER($H991)),"金额须为数字",IF(AND($D991="销项开票",$N991="—"),"链条待确认","√")))))))))))</f>
        <v/>
      </c>
      <c r="M991" s="34" t="str">
        <f aca="false">IF($C991="","",IFERROR(INDEX(项目档案!$B$6:$B$255,MATCH($C991,项目档案!$A$6:$A$255,0)),"⚠项目编号不存在"))</f>
        <v/>
      </c>
      <c r="N991" s="35" t="str">
        <f aca="false">IF($E991="","",IF($E991=IFERROR(INDEX(项目档案!$D$6:$D$255,MATCH($C991,项目档案!$A$6:$A$255,0)),""),"一级",IF($E991=IFERROR(INDEX(项目档案!$F$6:$F$255,MATCH($C991,项目档案!$A$6:$A$255,0)),""),"二级",IF($E991=IFERROR(INDEX(项目档案!$H$6:$H$255,MATCH($C991,项目档案!$A$6:$A$255,0)),""),"我方","—"))))</f>
        <v/>
      </c>
      <c r="O991" s="36" t="n">
        <f aca="false">IF($D991&lt;&gt;"销项开票",0,ROUND(N($H991)*N($I991),2))</f>
        <v>0</v>
      </c>
      <c r="P991" s="36" t="n">
        <f aca="false">IF($D991&lt;&gt;"销项开票",0,ROUND(N($H991)-$O991,2))</f>
        <v>0</v>
      </c>
      <c r="Q991" s="37" t="str">
        <f aca="false">IF($E991="","",N(IFERROR(INDEX(单位档案!$E$6:$E$35,MATCH($E991,单位档案!$A$6:$A$35,0)),"")))</f>
        <v/>
      </c>
      <c r="R991" s="37" t="str">
        <f aca="false">IF($E991="","",N(IFERROR(INDEX(单位档案!$F$6:$F$35,MATCH($E991,单位档案!$A$6:$A$35,0)),"")))</f>
        <v/>
      </c>
      <c r="S991" s="36" t="n">
        <f aca="false">IF(OR($D991&lt;&gt;"销项开票",IFERROR(INDEX(单位档案!$G$6:$G$35,MATCH($E991,单位档案!$A$6:$A$35,0)),"")&lt;&gt;"是",N($Q991)=0),0,IF(IFERROR(INDEX(单位档案!$H$6:$H$35,MATCH($E991,单位档案!$A$6:$A$35,0)),"")="税差法",ROUND(N($H991)/(1+$Q991)*$Q991-IF(N($R991)=0,0,$P991/(1+$R991)*$R991),2),ROUND(N($H991)/(1+$Q991)*$Q991,2)))</f>
        <v>0</v>
      </c>
      <c r="T991" s="36" t="n">
        <f aca="false">ROUND($S991*N(IFERROR(INDEX(单位档案!$J$6:$J$35,MATCH($E991,单位档案!$A$6:$A$35,0)),"")),2)</f>
        <v>0</v>
      </c>
      <c r="U991" s="36" t="n">
        <f aca="false">IF($D991&lt;&gt;"销项开票",0,ROUND(N($H991)*N(IFERROR(INDEX(单位档案!$K$6:$K$35,MATCH($E991,单位档案!$A$6:$A$35,0)),"")),2))</f>
        <v>0</v>
      </c>
      <c r="V991" s="36" t="n">
        <f aca="false">IF(OR($D991&lt;&gt;"销项开票",N($Q991)=0),0,ROUND(N($H991)/(1+$Q991)*N(IFERROR(INDEX(单位档案!$L$6:$L$35,MATCH($E991,单位档案!$A$6:$A$35,0)),"")),2))</f>
        <v>0</v>
      </c>
      <c r="W991" s="36" t="n">
        <f aca="false">ROUND($S991+$T991+$U991+$V991,2)</f>
        <v>0</v>
      </c>
      <c r="X991" s="35" t="str">
        <f aca="false">IF(OR($D991="挂靠代收",$D991="我方收款"),COUNTIFS($D$5:$D991,"挂靠代收")+COUNTIFS($D$5:$D991,"我方收款"),"")</f>
        <v/>
      </c>
      <c r="Y991" s="35"/>
      <c r="Z991" s="21" t="s">
        <v>111</v>
      </c>
    </row>
    <row r="992" customFormat="false" ht="15.75" hidden="false" customHeight="true" outlineLevel="0" collapsed="false">
      <c r="A992" s="32" t="str">
        <f aca="false">IF($B992="","",ROW()-4)</f>
        <v/>
      </c>
      <c r="B992" s="26"/>
      <c r="C992" s="24"/>
      <c r="D992" s="21"/>
      <c r="E992" s="21"/>
      <c r="F992" s="21"/>
      <c r="G992" s="21"/>
      <c r="H992" s="27"/>
      <c r="I992" s="23" t="str">
        <f aca="false">IF($D992&lt;&gt;"销项开票","",IF($N992="一级",IF(IFERROR(INDEX(项目档案!$E$6:$E$255,MATCH($C992,项目档案!$A$6:$A$255,0)),"")="",N(IFERROR(INDEX(单位档案!$D$6:$D$35,MATCH($E992,单位档案!$A$6:$A$35,0)),"")),IFERROR(INDEX(项目档案!$E$6:$E$255,MATCH($C992,项目档案!$A$6:$A$255,0)),"")),IF($N992="二级",IF(IFERROR(INDEX(项目档案!$G$6:$G$255,MATCH($C992,项目档案!$A$6:$A$255,0)),"")="",N(IFERROR(INDEX(单位档案!$D$6:$D$35,MATCH($E992,单位档案!$A$6:$A$35,0)),"")),IFERROR(INDEX(项目档案!$G$6:$G$255,MATCH($C992,项目档案!$A$6:$A$255,0)),"")),N(IFERROR(INDEX(单位档案!$D$6:$D$35,MATCH($E992,单位档案!$A$6:$A$35,0)),"")))))</f>
        <v/>
      </c>
      <c r="J992" s="22"/>
      <c r="K992" s="22"/>
      <c r="L992" s="33" t="str">
        <f aca="false">IF($B992="","",IF(NOT(ISNUMBER($B992)),"日期格式不对",IF($C992="","未选项目编号",IF(LEFT($M992,1)="⚠","项目编号不存在",IF($D992="","未选业务类型",IF($E992="","未选开票/付款方",IF(ISNA(MATCH($E992,单位档案!$A$6:$A$35,0)),"开票方不在单位档案",IF($F992="","未选收票/收款方",IF(ISNA(MATCH($F992,单位档案!$A$6:$A$35,0)),"收款方不在单位档案",IF(NOT(ISNUMBER($H992)),"金额须为数字",IF(AND($D992="销项开票",$N992="—"),"链条待确认","√")))))))))))</f>
        <v/>
      </c>
      <c r="M992" s="34" t="str">
        <f aca="false">IF($C992="","",IFERROR(INDEX(项目档案!$B$6:$B$255,MATCH($C992,项目档案!$A$6:$A$255,0)),"⚠项目编号不存在"))</f>
        <v/>
      </c>
      <c r="N992" s="35" t="str">
        <f aca="false">IF($E992="","",IF($E992=IFERROR(INDEX(项目档案!$D$6:$D$255,MATCH($C992,项目档案!$A$6:$A$255,0)),""),"一级",IF($E992=IFERROR(INDEX(项目档案!$F$6:$F$255,MATCH($C992,项目档案!$A$6:$A$255,0)),""),"二级",IF($E992=IFERROR(INDEX(项目档案!$H$6:$H$255,MATCH($C992,项目档案!$A$6:$A$255,0)),""),"我方","—"))))</f>
        <v/>
      </c>
      <c r="O992" s="36" t="n">
        <f aca="false">IF($D992&lt;&gt;"销项开票",0,ROUND(N($H992)*N($I992),2))</f>
        <v>0</v>
      </c>
      <c r="P992" s="36" t="n">
        <f aca="false">IF($D992&lt;&gt;"销项开票",0,ROUND(N($H992)-$O992,2))</f>
        <v>0</v>
      </c>
      <c r="Q992" s="37" t="str">
        <f aca="false">IF($E992="","",N(IFERROR(INDEX(单位档案!$E$6:$E$35,MATCH($E992,单位档案!$A$6:$A$35,0)),"")))</f>
        <v/>
      </c>
      <c r="R992" s="37" t="str">
        <f aca="false">IF($E992="","",N(IFERROR(INDEX(单位档案!$F$6:$F$35,MATCH($E992,单位档案!$A$6:$A$35,0)),"")))</f>
        <v/>
      </c>
      <c r="S992" s="36" t="n">
        <f aca="false">IF(OR($D992&lt;&gt;"销项开票",IFERROR(INDEX(单位档案!$G$6:$G$35,MATCH($E992,单位档案!$A$6:$A$35,0)),"")&lt;&gt;"是",N($Q992)=0),0,IF(IFERROR(INDEX(单位档案!$H$6:$H$35,MATCH($E992,单位档案!$A$6:$A$35,0)),"")="税差法",ROUND(N($H992)/(1+$Q992)*$Q992-IF(N($R992)=0,0,$P992/(1+$R992)*$R992),2),ROUND(N($H992)/(1+$Q992)*$Q992,2)))</f>
        <v>0</v>
      </c>
      <c r="T992" s="36" t="n">
        <f aca="false">ROUND($S992*N(IFERROR(INDEX(单位档案!$J$6:$J$35,MATCH($E992,单位档案!$A$6:$A$35,0)),"")),2)</f>
        <v>0</v>
      </c>
      <c r="U992" s="36" t="n">
        <f aca="false">IF($D992&lt;&gt;"销项开票",0,ROUND(N($H992)*N(IFERROR(INDEX(单位档案!$K$6:$K$35,MATCH($E992,单位档案!$A$6:$A$35,0)),"")),2))</f>
        <v>0</v>
      </c>
      <c r="V992" s="36" t="n">
        <f aca="false">IF(OR($D992&lt;&gt;"销项开票",N($Q992)=0),0,ROUND(N($H992)/(1+$Q992)*N(IFERROR(INDEX(单位档案!$L$6:$L$35,MATCH($E992,单位档案!$A$6:$A$35,0)),"")),2))</f>
        <v>0</v>
      </c>
      <c r="W992" s="36" t="n">
        <f aca="false">ROUND($S992+$T992+$U992+$V992,2)</f>
        <v>0</v>
      </c>
      <c r="X992" s="35" t="str">
        <f aca="false">IF(OR($D992="挂靠代收",$D992="我方收款"),COUNTIFS($D$5:$D992,"挂靠代收")+COUNTIFS($D$5:$D992,"我方收款"),"")</f>
        <v/>
      </c>
      <c r="Y992" s="35"/>
      <c r="Z992" s="21" t="s">
        <v>111</v>
      </c>
    </row>
    <row r="993" customFormat="false" ht="15.75" hidden="false" customHeight="true" outlineLevel="0" collapsed="false">
      <c r="A993" s="32" t="str">
        <f aca="false">IF($B993="","",ROW()-4)</f>
        <v/>
      </c>
      <c r="B993" s="26"/>
      <c r="C993" s="24"/>
      <c r="D993" s="21"/>
      <c r="E993" s="21"/>
      <c r="F993" s="21"/>
      <c r="G993" s="21"/>
      <c r="H993" s="27"/>
      <c r="I993" s="23" t="str">
        <f aca="false">IF($D993&lt;&gt;"销项开票","",IF($N993="一级",IF(IFERROR(INDEX(项目档案!$E$6:$E$255,MATCH($C993,项目档案!$A$6:$A$255,0)),"")="",N(IFERROR(INDEX(单位档案!$D$6:$D$35,MATCH($E993,单位档案!$A$6:$A$35,0)),"")),IFERROR(INDEX(项目档案!$E$6:$E$255,MATCH($C993,项目档案!$A$6:$A$255,0)),"")),IF($N993="二级",IF(IFERROR(INDEX(项目档案!$G$6:$G$255,MATCH($C993,项目档案!$A$6:$A$255,0)),"")="",N(IFERROR(INDEX(单位档案!$D$6:$D$35,MATCH($E993,单位档案!$A$6:$A$35,0)),"")),IFERROR(INDEX(项目档案!$G$6:$G$255,MATCH($C993,项目档案!$A$6:$A$255,0)),"")),N(IFERROR(INDEX(单位档案!$D$6:$D$35,MATCH($E993,单位档案!$A$6:$A$35,0)),"")))))</f>
        <v/>
      </c>
      <c r="J993" s="22"/>
      <c r="K993" s="22"/>
      <c r="L993" s="33" t="str">
        <f aca="false">IF($B993="","",IF(NOT(ISNUMBER($B993)),"日期格式不对",IF($C993="","未选项目编号",IF(LEFT($M993,1)="⚠","项目编号不存在",IF($D993="","未选业务类型",IF($E993="","未选开票/付款方",IF(ISNA(MATCH($E993,单位档案!$A$6:$A$35,0)),"开票方不在单位档案",IF($F993="","未选收票/收款方",IF(ISNA(MATCH($F993,单位档案!$A$6:$A$35,0)),"收款方不在单位档案",IF(NOT(ISNUMBER($H993)),"金额须为数字",IF(AND($D993="销项开票",$N993="—"),"链条待确认","√")))))))))))</f>
        <v/>
      </c>
      <c r="M993" s="34" t="str">
        <f aca="false">IF($C993="","",IFERROR(INDEX(项目档案!$B$6:$B$255,MATCH($C993,项目档案!$A$6:$A$255,0)),"⚠项目编号不存在"))</f>
        <v/>
      </c>
      <c r="N993" s="35" t="str">
        <f aca="false">IF($E993="","",IF($E993=IFERROR(INDEX(项目档案!$D$6:$D$255,MATCH($C993,项目档案!$A$6:$A$255,0)),""),"一级",IF($E993=IFERROR(INDEX(项目档案!$F$6:$F$255,MATCH($C993,项目档案!$A$6:$A$255,0)),""),"二级",IF($E993=IFERROR(INDEX(项目档案!$H$6:$H$255,MATCH($C993,项目档案!$A$6:$A$255,0)),""),"我方","—"))))</f>
        <v/>
      </c>
      <c r="O993" s="36" t="n">
        <f aca="false">IF($D993&lt;&gt;"销项开票",0,ROUND(N($H993)*N($I993),2))</f>
        <v>0</v>
      </c>
      <c r="P993" s="36" t="n">
        <f aca="false">IF($D993&lt;&gt;"销项开票",0,ROUND(N($H993)-$O993,2))</f>
        <v>0</v>
      </c>
      <c r="Q993" s="37" t="str">
        <f aca="false">IF($E993="","",N(IFERROR(INDEX(单位档案!$E$6:$E$35,MATCH($E993,单位档案!$A$6:$A$35,0)),"")))</f>
        <v/>
      </c>
      <c r="R993" s="37" t="str">
        <f aca="false">IF($E993="","",N(IFERROR(INDEX(单位档案!$F$6:$F$35,MATCH($E993,单位档案!$A$6:$A$35,0)),"")))</f>
        <v/>
      </c>
      <c r="S993" s="36" t="n">
        <f aca="false">IF(OR($D993&lt;&gt;"销项开票",IFERROR(INDEX(单位档案!$G$6:$G$35,MATCH($E993,单位档案!$A$6:$A$35,0)),"")&lt;&gt;"是",N($Q993)=0),0,IF(IFERROR(INDEX(单位档案!$H$6:$H$35,MATCH($E993,单位档案!$A$6:$A$35,0)),"")="税差法",ROUND(N($H993)/(1+$Q993)*$Q993-IF(N($R993)=0,0,$P993/(1+$R993)*$R993),2),ROUND(N($H993)/(1+$Q993)*$Q993,2)))</f>
        <v>0</v>
      </c>
      <c r="T993" s="36" t="n">
        <f aca="false">ROUND($S993*N(IFERROR(INDEX(单位档案!$J$6:$J$35,MATCH($E993,单位档案!$A$6:$A$35,0)),"")),2)</f>
        <v>0</v>
      </c>
      <c r="U993" s="36" t="n">
        <f aca="false">IF($D993&lt;&gt;"销项开票",0,ROUND(N($H993)*N(IFERROR(INDEX(单位档案!$K$6:$K$35,MATCH($E993,单位档案!$A$6:$A$35,0)),"")),2))</f>
        <v>0</v>
      </c>
      <c r="V993" s="36" t="n">
        <f aca="false">IF(OR($D993&lt;&gt;"销项开票",N($Q993)=0),0,ROUND(N($H993)/(1+$Q993)*N(IFERROR(INDEX(单位档案!$L$6:$L$35,MATCH($E993,单位档案!$A$6:$A$35,0)),"")),2))</f>
        <v>0</v>
      </c>
      <c r="W993" s="36" t="n">
        <f aca="false">ROUND($S993+$T993+$U993+$V993,2)</f>
        <v>0</v>
      </c>
      <c r="X993" s="35" t="str">
        <f aca="false">IF(OR($D993="挂靠代收",$D993="我方收款"),COUNTIFS($D$5:$D993,"挂靠代收")+COUNTIFS($D$5:$D993,"我方收款"),"")</f>
        <v/>
      </c>
      <c r="Y993" s="35"/>
      <c r="Z993" s="21" t="s">
        <v>111</v>
      </c>
    </row>
    <row r="994" customFormat="false" ht="15.75" hidden="false" customHeight="true" outlineLevel="0" collapsed="false">
      <c r="A994" s="32" t="str">
        <f aca="false">IF($B994="","",ROW()-4)</f>
        <v/>
      </c>
      <c r="B994" s="26"/>
      <c r="C994" s="24"/>
      <c r="D994" s="21"/>
      <c r="E994" s="21"/>
      <c r="F994" s="21"/>
      <c r="G994" s="21"/>
      <c r="H994" s="27"/>
      <c r="I994" s="23" t="str">
        <f aca="false">IF($D994&lt;&gt;"销项开票","",IF($N994="一级",IF(IFERROR(INDEX(项目档案!$E$6:$E$255,MATCH($C994,项目档案!$A$6:$A$255,0)),"")="",N(IFERROR(INDEX(单位档案!$D$6:$D$35,MATCH($E994,单位档案!$A$6:$A$35,0)),"")),IFERROR(INDEX(项目档案!$E$6:$E$255,MATCH($C994,项目档案!$A$6:$A$255,0)),"")),IF($N994="二级",IF(IFERROR(INDEX(项目档案!$G$6:$G$255,MATCH($C994,项目档案!$A$6:$A$255,0)),"")="",N(IFERROR(INDEX(单位档案!$D$6:$D$35,MATCH($E994,单位档案!$A$6:$A$35,0)),"")),IFERROR(INDEX(项目档案!$G$6:$G$255,MATCH($C994,项目档案!$A$6:$A$255,0)),"")),N(IFERROR(INDEX(单位档案!$D$6:$D$35,MATCH($E994,单位档案!$A$6:$A$35,0)),"")))))</f>
        <v/>
      </c>
      <c r="J994" s="22"/>
      <c r="K994" s="22"/>
      <c r="L994" s="33" t="str">
        <f aca="false">IF($B994="","",IF(NOT(ISNUMBER($B994)),"日期格式不对",IF($C994="","未选项目编号",IF(LEFT($M994,1)="⚠","项目编号不存在",IF($D994="","未选业务类型",IF($E994="","未选开票/付款方",IF(ISNA(MATCH($E994,单位档案!$A$6:$A$35,0)),"开票方不在单位档案",IF($F994="","未选收票/收款方",IF(ISNA(MATCH($F994,单位档案!$A$6:$A$35,0)),"收款方不在单位档案",IF(NOT(ISNUMBER($H994)),"金额须为数字",IF(AND($D994="销项开票",$N994="—"),"链条待确认","√")))))))))))</f>
        <v/>
      </c>
      <c r="M994" s="34" t="str">
        <f aca="false">IF($C994="","",IFERROR(INDEX(项目档案!$B$6:$B$255,MATCH($C994,项目档案!$A$6:$A$255,0)),"⚠项目编号不存在"))</f>
        <v/>
      </c>
      <c r="N994" s="35" t="str">
        <f aca="false">IF($E994="","",IF($E994=IFERROR(INDEX(项目档案!$D$6:$D$255,MATCH($C994,项目档案!$A$6:$A$255,0)),""),"一级",IF($E994=IFERROR(INDEX(项目档案!$F$6:$F$255,MATCH($C994,项目档案!$A$6:$A$255,0)),""),"二级",IF($E994=IFERROR(INDEX(项目档案!$H$6:$H$255,MATCH($C994,项目档案!$A$6:$A$255,0)),""),"我方","—"))))</f>
        <v/>
      </c>
      <c r="O994" s="36" t="n">
        <f aca="false">IF($D994&lt;&gt;"销项开票",0,ROUND(N($H994)*N($I994),2))</f>
        <v>0</v>
      </c>
      <c r="P994" s="36" t="n">
        <f aca="false">IF($D994&lt;&gt;"销项开票",0,ROUND(N($H994)-$O994,2))</f>
        <v>0</v>
      </c>
      <c r="Q994" s="37" t="str">
        <f aca="false">IF($E994="","",N(IFERROR(INDEX(单位档案!$E$6:$E$35,MATCH($E994,单位档案!$A$6:$A$35,0)),"")))</f>
        <v/>
      </c>
      <c r="R994" s="37" t="str">
        <f aca="false">IF($E994="","",N(IFERROR(INDEX(单位档案!$F$6:$F$35,MATCH($E994,单位档案!$A$6:$A$35,0)),"")))</f>
        <v/>
      </c>
      <c r="S994" s="36" t="n">
        <f aca="false">IF(OR($D994&lt;&gt;"销项开票",IFERROR(INDEX(单位档案!$G$6:$G$35,MATCH($E994,单位档案!$A$6:$A$35,0)),"")&lt;&gt;"是",N($Q994)=0),0,IF(IFERROR(INDEX(单位档案!$H$6:$H$35,MATCH($E994,单位档案!$A$6:$A$35,0)),"")="税差法",ROUND(N($H994)/(1+$Q994)*$Q994-IF(N($R994)=0,0,$P994/(1+$R994)*$R994),2),ROUND(N($H994)/(1+$Q994)*$Q994,2)))</f>
        <v>0</v>
      </c>
      <c r="T994" s="36" t="n">
        <f aca="false">ROUND($S994*N(IFERROR(INDEX(单位档案!$J$6:$J$35,MATCH($E994,单位档案!$A$6:$A$35,0)),"")),2)</f>
        <v>0</v>
      </c>
      <c r="U994" s="36" t="n">
        <f aca="false">IF($D994&lt;&gt;"销项开票",0,ROUND(N($H994)*N(IFERROR(INDEX(单位档案!$K$6:$K$35,MATCH($E994,单位档案!$A$6:$A$35,0)),"")),2))</f>
        <v>0</v>
      </c>
      <c r="V994" s="36" t="n">
        <f aca="false">IF(OR($D994&lt;&gt;"销项开票",N($Q994)=0),0,ROUND(N($H994)/(1+$Q994)*N(IFERROR(INDEX(单位档案!$L$6:$L$35,MATCH($E994,单位档案!$A$6:$A$35,0)),"")),2))</f>
        <v>0</v>
      </c>
      <c r="W994" s="36" t="n">
        <f aca="false">ROUND($S994+$T994+$U994+$V994,2)</f>
        <v>0</v>
      </c>
      <c r="X994" s="35" t="str">
        <f aca="false">IF(OR($D994="挂靠代收",$D994="我方收款"),COUNTIFS($D$5:$D994,"挂靠代收")+COUNTIFS($D$5:$D994,"我方收款"),"")</f>
        <v/>
      </c>
      <c r="Y994" s="35"/>
      <c r="Z994" s="21" t="s">
        <v>111</v>
      </c>
    </row>
    <row r="995" customFormat="false" ht="15.75" hidden="false" customHeight="true" outlineLevel="0" collapsed="false">
      <c r="A995" s="32" t="str">
        <f aca="false">IF($B995="","",ROW()-4)</f>
        <v/>
      </c>
      <c r="B995" s="26"/>
      <c r="C995" s="24"/>
      <c r="D995" s="21"/>
      <c r="E995" s="21"/>
      <c r="F995" s="21"/>
      <c r="G995" s="21"/>
      <c r="H995" s="27"/>
      <c r="I995" s="23" t="str">
        <f aca="false">IF($D995&lt;&gt;"销项开票","",IF($N995="一级",IF(IFERROR(INDEX(项目档案!$E$6:$E$255,MATCH($C995,项目档案!$A$6:$A$255,0)),"")="",N(IFERROR(INDEX(单位档案!$D$6:$D$35,MATCH($E995,单位档案!$A$6:$A$35,0)),"")),IFERROR(INDEX(项目档案!$E$6:$E$255,MATCH($C995,项目档案!$A$6:$A$255,0)),"")),IF($N995="二级",IF(IFERROR(INDEX(项目档案!$G$6:$G$255,MATCH($C995,项目档案!$A$6:$A$255,0)),"")="",N(IFERROR(INDEX(单位档案!$D$6:$D$35,MATCH($E995,单位档案!$A$6:$A$35,0)),"")),IFERROR(INDEX(项目档案!$G$6:$G$255,MATCH($C995,项目档案!$A$6:$A$255,0)),"")),N(IFERROR(INDEX(单位档案!$D$6:$D$35,MATCH($E995,单位档案!$A$6:$A$35,0)),"")))))</f>
        <v/>
      </c>
      <c r="J995" s="22"/>
      <c r="K995" s="22"/>
      <c r="L995" s="33" t="str">
        <f aca="false">IF($B995="","",IF(NOT(ISNUMBER($B995)),"日期格式不对",IF($C995="","未选项目编号",IF(LEFT($M995,1)="⚠","项目编号不存在",IF($D995="","未选业务类型",IF($E995="","未选开票/付款方",IF(ISNA(MATCH($E995,单位档案!$A$6:$A$35,0)),"开票方不在单位档案",IF($F995="","未选收票/收款方",IF(ISNA(MATCH($F995,单位档案!$A$6:$A$35,0)),"收款方不在单位档案",IF(NOT(ISNUMBER($H995)),"金额须为数字",IF(AND($D995="销项开票",$N995="—"),"链条待确认","√")))))))))))</f>
        <v/>
      </c>
      <c r="M995" s="34" t="str">
        <f aca="false">IF($C995="","",IFERROR(INDEX(项目档案!$B$6:$B$255,MATCH($C995,项目档案!$A$6:$A$255,0)),"⚠项目编号不存在"))</f>
        <v/>
      </c>
      <c r="N995" s="35" t="str">
        <f aca="false">IF($E995="","",IF($E995=IFERROR(INDEX(项目档案!$D$6:$D$255,MATCH($C995,项目档案!$A$6:$A$255,0)),""),"一级",IF($E995=IFERROR(INDEX(项目档案!$F$6:$F$255,MATCH($C995,项目档案!$A$6:$A$255,0)),""),"二级",IF($E995=IFERROR(INDEX(项目档案!$H$6:$H$255,MATCH($C995,项目档案!$A$6:$A$255,0)),""),"我方","—"))))</f>
        <v/>
      </c>
      <c r="O995" s="36" t="n">
        <f aca="false">IF($D995&lt;&gt;"销项开票",0,ROUND(N($H995)*N($I995),2))</f>
        <v>0</v>
      </c>
      <c r="P995" s="36" t="n">
        <f aca="false">IF($D995&lt;&gt;"销项开票",0,ROUND(N($H995)-$O995,2))</f>
        <v>0</v>
      </c>
      <c r="Q995" s="37" t="str">
        <f aca="false">IF($E995="","",N(IFERROR(INDEX(单位档案!$E$6:$E$35,MATCH($E995,单位档案!$A$6:$A$35,0)),"")))</f>
        <v/>
      </c>
      <c r="R995" s="37" t="str">
        <f aca="false">IF($E995="","",N(IFERROR(INDEX(单位档案!$F$6:$F$35,MATCH($E995,单位档案!$A$6:$A$35,0)),"")))</f>
        <v/>
      </c>
      <c r="S995" s="36" t="n">
        <f aca="false">IF(OR($D995&lt;&gt;"销项开票",IFERROR(INDEX(单位档案!$G$6:$G$35,MATCH($E995,单位档案!$A$6:$A$35,0)),"")&lt;&gt;"是",N($Q995)=0),0,IF(IFERROR(INDEX(单位档案!$H$6:$H$35,MATCH($E995,单位档案!$A$6:$A$35,0)),"")="税差法",ROUND(N($H995)/(1+$Q995)*$Q995-IF(N($R995)=0,0,$P995/(1+$R995)*$R995),2),ROUND(N($H995)/(1+$Q995)*$Q995,2)))</f>
        <v>0</v>
      </c>
      <c r="T995" s="36" t="n">
        <f aca="false">ROUND($S995*N(IFERROR(INDEX(单位档案!$J$6:$J$35,MATCH($E995,单位档案!$A$6:$A$35,0)),"")),2)</f>
        <v>0</v>
      </c>
      <c r="U995" s="36" t="n">
        <f aca="false">IF($D995&lt;&gt;"销项开票",0,ROUND(N($H995)*N(IFERROR(INDEX(单位档案!$K$6:$K$35,MATCH($E995,单位档案!$A$6:$A$35,0)),"")),2))</f>
        <v>0</v>
      </c>
      <c r="V995" s="36" t="n">
        <f aca="false">IF(OR($D995&lt;&gt;"销项开票",N($Q995)=0),0,ROUND(N($H995)/(1+$Q995)*N(IFERROR(INDEX(单位档案!$L$6:$L$35,MATCH($E995,单位档案!$A$6:$A$35,0)),"")),2))</f>
        <v>0</v>
      </c>
      <c r="W995" s="36" t="n">
        <f aca="false">ROUND($S995+$T995+$U995+$V995,2)</f>
        <v>0</v>
      </c>
      <c r="X995" s="35" t="str">
        <f aca="false">IF(OR($D995="挂靠代收",$D995="我方收款"),COUNTIFS($D$5:$D995,"挂靠代收")+COUNTIFS($D$5:$D995,"我方收款"),"")</f>
        <v/>
      </c>
      <c r="Y995" s="35"/>
      <c r="Z995" s="21" t="s">
        <v>111</v>
      </c>
    </row>
    <row r="996" customFormat="false" ht="15.75" hidden="false" customHeight="true" outlineLevel="0" collapsed="false">
      <c r="A996" s="32" t="str">
        <f aca="false">IF($B996="","",ROW()-4)</f>
        <v/>
      </c>
      <c r="B996" s="26"/>
      <c r="C996" s="24"/>
      <c r="D996" s="21"/>
      <c r="E996" s="21"/>
      <c r="F996" s="21"/>
      <c r="G996" s="21"/>
      <c r="H996" s="27"/>
      <c r="I996" s="23" t="str">
        <f aca="false">IF($D996&lt;&gt;"销项开票","",IF($N996="一级",IF(IFERROR(INDEX(项目档案!$E$6:$E$255,MATCH($C996,项目档案!$A$6:$A$255,0)),"")="",N(IFERROR(INDEX(单位档案!$D$6:$D$35,MATCH($E996,单位档案!$A$6:$A$35,0)),"")),IFERROR(INDEX(项目档案!$E$6:$E$255,MATCH($C996,项目档案!$A$6:$A$255,0)),"")),IF($N996="二级",IF(IFERROR(INDEX(项目档案!$G$6:$G$255,MATCH($C996,项目档案!$A$6:$A$255,0)),"")="",N(IFERROR(INDEX(单位档案!$D$6:$D$35,MATCH($E996,单位档案!$A$6:$A$35,0)),"")),IFERROR(INDEX(项目档案!$G$6:$G$255,MATCH($C996,项目档案!$A$6:$A$255,0)),"")),N(IFERROR(INDEX(单位档案!$D$6:$D$35,MATCH($E996,单位档案!$A$6:$A$35,0)),"")))))</f>
        <v/>
      </c>
      <c r="J996" s="22"/>
      <c r="K996" s="22"/>
      <c r="L996" s="33" t="str">
        <f aca="false">IF($B996="","",IF(NOT(ISNUMBER($B996)),"日期格式不对",IF($C996="","未选项目编号",IF(LEFT($M996,1)="⚠","项目编号不存在",IF($D996="","未选业务类型",IF($E996="","未选开票/付款方",IF(ISNA(MATCH($E996,单位档案!$A$6:$A$35,0)),"开票方不在单位档案",IF($F996="","未选收票/收款方",IF(ISNA(MATCH($F996,单位档案!$A$6:$A$35,0)),"收款方不在单位档案",IF(NOT(ISNUMBER($H996)),"金额须为数字",IF(AND($D996="销项开票",$N996="—"),"链条待确认","√")))))))))))</f>
        <v/>
      </c>
      <c r="M996" s="34" t="str">
        <f aca="false">IF($C996="","",IFERROR(INDEX(项目档案!$B$6:$B$255,MATCH($C996,项目档案!$A$6:$A$255,0)),"⚠项目编号不存在"))</f>
        <v/>
      </c>
      <c r="N996" s="35" t="str">
        <f aca="false">IF($E996="","",IF($E996=IFERROR(INDEX(项目档案!$D$6:$D$255,MATCH($C996,项目档案!$A$6:$A$255,0)),""),"一级",IF($E996=IFERROR(INDEX(项目档案!$F$6:$F$255,MATCH($C996,项目档案!$A$6:$A$255,0)),""),"二级",IF($E996=IFERROR(INDEX(项目档案!$H$6:$H$255,MATCH($C996,项目档案!$A$6:$A$255,0)),""),"我方","—"))))</f>
        <v/>
      </c>
      <c r="O996" s="36" t="n">
        <f aca="false">IF($D996&lt;&gt;"销项开票",0,ROUND(N($H996)*N($I996),2))</f>
        <v>0</v>
      </c>
      <c r="P996" s="36" t="n">
        <f aca="false">IF($D996&lt;&gt;"销项开票",0,ROUND(N($H996)-$O996,2))</f>
        <v>0</v>
      </c>
      <c r="Q996" s="37" t="str">
        <f aca="false">IF($E996="","",N(IFERROR(INDEX(单位档案!$E$6:$E$35,MATCH($E996,单位档案!$A$6:$A$35,0)),"")))</f>
        <v/>
      </c>
      <c r="R996" s="37" t="str">
        <f aca="false">IF($E996="","",N(IFERROR(INDEX(单位档案!$F$6:$F$35,MATCH($E996,单位档案!$A$6:$A$35,0)),"")))</f>
        <v/>
      </c>
      <c r="S996" s="36" t="n">
        <f aca="false">IF(OR($D996&lt;&gt;"销项开票",IFERROR(INDEX(单位档案!$G$6:$G$35,MATCH($E996,单位档案!$A$6:$A$35,0)),"")&lt;&gt;"是",N($Q996)=0),0,IF(IFERROR(INDEX(单位档案!$H$6:$H$35,MATCH($E996,单位档案!$A$6:$A$35,0)),"")="税差法",ROUND(N($H996)/(1+$Q996)*$Q996-IF(N($R996)=0,0,$P996/(1+$R996)*$R996),2),ROUND(N($H996)/(1+$Q996)*$Q996,2)))</f>
        <v>0</v>
      </c>
      <c r="T996" s="36" t="n">
        <f aca="false">ROUND($S996*N(IFERROR(INDEX(单位档案!$J$6:$J$35,MATCH($E996,单位档案!$A$6:$A$35,0)),"")),2)</f>
        <v>0</v>
      </c>
      <c r="U996" s="36" t="n">
        <f aca="false">IF($D996&lt;&gt;"销项开票",0,ROUND(N($H996)*N(IFERROR(INDEX(单位档案!$K$6:$K$35,MATCH($E996,单位档案!$A$6:$A$35,0)),"")),2))</f>
        <v>0</v>
      </c>
      <c r="V996" s="36" t="n">
        <f aca="false">IF(OR($D996&lt;&gt;"销项开票",N($Q996)=0),0,ROUND(N($H996)/(1+$Q996)*N(IFERROR(INDEX(单位档案!$L$6:$L$35,MATCH($E996,单位档案!$A$6:$A$35,0)),"")),2))</f>
        <v>0</v>
      </c>
      <c r="W996" s="36" t="n">
        <f aca="false">ROUND($S996+$T996+$U996+$V996,2)</f>
        <v>0</v>
      </c>
      <c r="X996" s="35" t="str">
        <f aca="false">IF(OR($D996="挂靠代收",$D996="我方收款"),COUNTIFS($D$5:$D996,"挂靠代收")+COUNTIFS($D$5:$D996,"我方收款"),"")</f>
        <v/>
      </c>
      <c r="Y996" s="35"/>
      <c r="Z996" s="21" t="s">
        <v>111</v>
      </c>
    </row>
    <row r="997" customFormat="false" ht="15.75" hidden="false" customHeight="true" outlineLevel="0" collapsed="false">
      <c r="A997" s="32" t="str">
        <f aca="false">IF($B997="","",ROW()-4)</f>
        <v/>
      </c>
      <c r="B997" s="26"/>
      <c r="C997" s="24"/>
      <c r="D997" s="21"/>
      <c r="E997" s="21"/>
      <c r="F997" s="21"/>
      <c r="G997" s="21"/>
      <c r="H997" s="27"/>
      <c r="I997" s="23" t="str">
        <f aca="false">IF($D997&lt;&gt;"销项开票","",IF($N997="一级",IF(IFERROR(INDEX(项目档案!$E$6:$E$255,MATCH($C997,项目档案!$A$6:$A$255,0)),"")="",N(IFERROR(INDEX(单位档案!$D$6:$D$35,MATCH($E997,单位档案!$A$6:$A$35,0)),"")),IFERROR(INDEX(项目档案!$E$6:$E$255,MATCH($C997,项目档案!$A$6:$A$255,0)),"")),IF($N997="二级",IF(IFERROR(INDEX(项目档案!$G$6:$G$255,MATCH($C997,项目档案!$A$6:$A$255,0)),"")="",N(IFERROR(INDEX(单位档案!$D$6:$D$35,MATCH($E997,单位档案!$A$6:$A$35,0)),"")),IFERROR(INDEX(项目档案!$G$6:$G$255,MATCH($C997,项目档案!$A$6:$A$255,0)),"")),N(IFERROR(INDEX(单位档案!$D$6:$D$35,MATCH($E997,单位档案!$A$6:$A$35,0)),"")))))</f>
        <v/>
      </c>
      <c r="J997" s="22"/>
      <c r="K997" s="22"/>
      <c r="L997" s="33" t="str">
        <f aca="false">IF($B997="","",IF(NOT(ISNUMBER($B997)),"日期格式不对",IF($C997="","未选项目编号",IF(LEFT($M997,1)="⚠","项目编号不存在",IF($D997="","未选业务类型",IF($E997="","未选开票/付款方",IF(ISNA(MATCH($E997,单位档案!$A$6:$A$35,0)),"开票方不在单位档案",IF($F997="","未选收票/收款方",IF(ISNA(MATCH($F997,单位档案!$A$6:$A$35,0)),"收款方不在单位档案",IF(NOT(ISNUMBER($H997)),"金额须为数字",IF(AND($D997="销项开票",$N997="—"),"链条待确认","√")))))))))))</f>
        <v/>
      </c>
      <c r="M997" s="34" t="str">
        <f aca="false">IF($C997="","",IFERROR(INDEX(项目档案!$B$6:$B$255,MATCH($C997,项目档案!$A$6:$A$255,0)),"⚠项目编号不存在"))</f>
        <v/>
      </c>
      <c r="N997" s="35" t="str">
        <f aca="false">IF($E997="","",IF($E997=IFERROR(INDEX(项目档案!$D$6:$D$255,MATCH($C997,项目档案!$A$6:$A$255,0)),""),"一级",IF($E997=IFERROR(INDEX(项目档案!$F$6:$F$255,MATCH($C997,项目档案!$A$6:$A$255,0)),""),"二级",IF($E997=IFERROR(INDEX(项目档案!$H$6:$H$255,MATCH($C997,项目档案!$A$6:$A$255,0)),""),"我方","—"))))</f>
        <v/>
      </c>
      <c r="O997" s="36" t="n">
        <f aca="false">IF($D997&lt;&gt;"销项开票",0,ROUND(N($H997)*N($I997),2))</f>
        <v>0</v>
      </c>
      <c r="P997" s="36" t="n">
        <f aca="false">IF($D997&lt;&gt;"销项开票",0,ROUND(N($H997)-$O997,2))</f>
        <v>0</v>
      </c>
      <c r="Q997" s="37" t="str">
        <f aca="false">IF($E997="","",N(IFERROR(INDEX(单位档案!$E$6:$E$35,MATCH($E997,单位档案!$A$6:$A$35,0)),"")))</f>
        <v/>
      </c>
      <c r="R997" s="37" t="str">
        <f aca="false">IF($E997="","",N(IFERROR(INDEX(单位档案!$F$6:$F$35,MATCH($E997,单位档案!$A$6:$A$35,0)),"")))</f>
        <v/>
      </c>
      <c r="S997" s="36" t="n">
        <f aca="false">IF(OR($D997&lt;&gt;"销项开票",IFERROR(INDEX(单位档案!$G$6:$G$35,MATCH($E997,单位档案!$A$6:$A$35,0)),"")&lt;&gt;"是",N($Q997)=0),0,IF(IFERROR(INDEX(单位档案!$H$6:$H$35,MATCH($E997,单位档案!$A$6:$A$35,0)),"")="税差法",ROUND(N($H997)/(1+$Q997)*$Q997-IF(N($R997)=0,0,$P997/(1+$R997)*$R997),2),ROUND(N($H997)/(1+$Q997)*$Q997,2)))</f>
        <v>0</v>
      </c>
      <c r="T997" s="36" t="n">
        <f aca="false">ROUND($S997*N(IFERROR(INDEX(单位档案!$J$6:$J$35,MATCH($E997,单位档案!$A$6:$A$35,0)),"")),2)</f>
        <v>0</v>
      </c>
      <c r="U997" s="36" t="n">
        <f aca="false">IF($D997&lt;&gt;"销项开票",0,ROUND(N($H997)*N(IFERROR(INDEX(单位档案!$K$6:$K$35,MATCH($E997,单位档案!$A$6:$A$35,0)),"")),2))</f>
        <v>0</v>
      </c>
      <c r="V997" s="36" t="n">
        <f aca="false">IF(OR($D997&lt;&gt;"销项开票",N($Q997)=0),0,ROUND(N($H997)/(1+$Q997)*N(IFERROR(INDEX(单位档案!$L$6:$L$35,MATCH($E997,单位档案!$A$6:$A$35,0)),"")),2))</f>
        <v>0</v>
      </c>
      <c r="W997" s="36" t="n">
        <f aca="false">ROUND($S997+$T997+$U997+$V997,2)</f>
        <v>0</v>
      </c>
      <c r="X997" s="35" t="str">
        <f aca="false">IF(OR($D997="挂靠代收",$D997="我方收款"),COUNTIFS($D$5:$D997,"挂靠代收")+COUNTIFS($D$5:$D997,"我方收款"),"")</f>
        <v/>
      </c>
      <c r="Y997" s="35"/>
      <c r="Z997" s="21" t="s">
        <v>111</v>
      </c>
    </row>
    <row r="998" customFormat="false" ht="15.75" hidden="false" customHeight="true" outlineLevel="0" collapsed="false">
      <c r="A998" s="32" t="str">
        <f aca="false">IF($B998="","",ROW()-4)</f>
        <v/>
      </c>
      <c r="B998" s="26"/>
      <c r="C998" s="24"/>
      <c r="D998" s="21"/>
      <c r="E998" s="21"/>
      <c r="F998" s="21"/>
      <c r="G998" s="21"/>
      <c r="H998" s="27"/>
      <c r="I998" s="23" t="str">
        <f aca="false">IF($D998&lt;&gt;"销项开票","",IF($N998="一级",IF(IFERROR(INDEX(项目档案!$E$6:$E$255,MATCH($C998,项目档案!$A$6:$A$255,0)),"")="",N(IFERROR(INDEX(单位档案!$D$6:$D$35,MATCH($E998,单位档案!$A$6:$A$35,0)),"")),IFERROR(INDEX(项目档案!$E$6:$E$255,MATCH($C998,项目档案!$A$6:$A$255,0)),"")),IF($N998="二级",IF(IFERROR(INDEX(项目档案!$G$6:$G$255,MATCH($C998,项目档案!$A$6:$A$255,0)),"")="",N(IFERROR(INDEX(单位档案!$D$6:$D$35,MATCH($E998,单位档案!$A$6:$A$35,0)),"")),IFERROR(INDEX(项目档案!$G$6:$G$255,MATCH($C998,项目档案!$A$6:$A$255,0)),"")),N(IFERROR(INDEX(单位档案!$D$6:$D$35,MATCH($E998,单位档案!$A$6:$A$35,0)),"")))))</f>
        <v/>
      </c>
      <c r="J998" s="22"/>
      <c r="K998" s="22"/>
      <c r="L998" s="33" t="str">
        <f aca="false">IF($B998="","",IF(NOT(ISNUMBER($B998)),"日期格式不对",IF($C998="","未选项目编号",IF(LEFT($M998,1)="⚠","项目编号不存在",IF($D998="","未选业务类型",IF($E998="","未选开票/付款方",IF(ISNA(MATCH($E998,单位档案!$A$6:$A$35,0)),"开票方不在单位档案",IF($F998="","未选收票/收款方",IF(ISNA(MATCH($F998,单位档案!$A$6:$A$35,0)),"收款方不在单位档案",IF(NOT(ISNUMBER($H998)),"金额须为数字",IF(AND($D998="销项开票",$N998="—"),"链条待确认","√")))))))))))</f>
        <v/>
      </c>
      <c r="M998" s="34" t="str">
        <f aca="false">IF($C998="","",IFERROR(INDEX(项目档案!$B$6:$B$255,MATCH($C998,项目档案!$A$6:$A$255,0)),"⚠项目编号不存在"))</f>
        <v/>
      </c>
      <c r="N998" s="35" t="str">
        <f aca="false">IF($E998="","",IF($E998=IFERROR(INDEX(项目档案!$D$6:$D$255,MATCH($C998,项目档案!$A$6:$A$255,0)),""),"一级",IF($E998=IFERROR(INDEX(项目档案!$F$6:$F$255,MATCH($C998,项目档案!$A$6:$A$255,0)),""),"二级",IF($E998=IFERROR(INDEX(项目档案!$H$6:$H$255,MATCH($C998,项目档案!$A$6:$A$255,0)),""),"我方","—"))))</f>
        <v/>
      </c>
      <c r="O998" s="36" t="n">
        <f aca="false">IF($D998&lt;&gt;"销项开票",0,ROUND(N($H998)*N($I998),2))</f>
        <v>0</v>
      </c>
      <c r="P998" s="36" t="n">
        <f aca="false">IF($D998&lt;&gt;"销项开票",0,ROUND(N($H998)-$O998,2))</f>
        <v>0</v>
      </c>
      <c r="Q998" s="37" t="str">
        <f aca="false">IF($E998="","",N(IFERROR(INDEX(单位档案!$E$6:$E$35,MATCH($E998,单位档案!$A$6:$A$35,0)),"")))</f>
        <v/>
      </c>
      <c r="R998" s="37" t="str">
        <f aca="false">IF($E998="","",N(IFERROR(INDEX(单位档案!$F$6:$F$35,MATCH($E998,单位档案!$A$6:$A$35,0)),"")))</f>
        <v/>
      </c>
      <c r="S998" s="36" t="n">
        <f aca="false">IF(OR($D998&lt;&gt;"销项开票",IFERROR(INDEX(单位档案!$G$6:$G$35,MATCH($E998,单位档案!$A$6:$A$35,0)),"")&lt;&gt;"是",N($Q998)=0),0,IF(IFERROR(INDEX(单位档案!$H$6:$H$35,MATCH($E998,单位档案!$A$6:$A$35,0)),"")="税差法",ROUND(N($H998)/(1+$Q998)*$Q998-IF(N($R998)=0,0,$P998/(1+$R998)*$R998),2),ROUND(N($H998)/(1+$Q998)*$Q998,2)))</f>
        <v>0</v>
      </c>
      <c r="T998" s="36" t="n">
        <f aca="false">ROUND($S998*N(IFERROR(INDEX(单位档案!$J$6:$J$35,MATCH($E998,单位档案!$A$6:$A$35,0)),"")),2)</f>
        <v>0</v>
      </c>
      <c r="U998" s="36" t="n">
        <f aca="false">IF($D998&lt;&gt;"销项开票",0,ROUND(N($H998)*N(IFERROR(INDEX(单位档案!$K$6:$K$35,MATCH($E998,单位档案!$A$6:$A$35,0)),"")),2))</f>
        <v>0</v>
      </c>
      <c r="V998" s="36" t="n">
        <f aca="false">IF(OR($D998&lt;&gt;"销项开票",N($Q998)=0),0,ROUND(N($H998)/(1+$Q998)*N(IFERROR(INDEX(单位档案!$L$6:$L$35,MATCH($E998,单位档案!$A$6:$A$35,0)),"")),2))</f>
        <v>0</v>
      </c>
      <c r="W998" s="36" t="n">
        <f aca="false">ROUND($S998+$T998+$U998+$V998,2)</f>
        <v>0</v>
      </c>
      <c r="X998" s="35" t="str">
        <f aca="false">IF(OR($D998="挂靠代收",$D998="我方收款"),COUNTIFS($D$5:$D998,"挂靠代收")+COUNTIFS($D$5:$D998,"我方收款"),"")</f>
        <v/>
      </c>
      <c r="Y998" s="35"/>
      <c r="Z998" s="21" t="s">
        <v>111</v>
      </c>
    </row>
    <row r="999" customFormat="false" ht="15.75" hidden="false" customHeight="true" outlineLevel="0" collapsed="false">
      <c r="A999" s="32" t="str">
        <f aca="false">IF($B999="","",ROW()-4)</f>
        <v/>
      </c>
      <c r="B999" s="26"/>
      <c r="C999" s="24"/>
      <c r="D999" s="21"/>
      <c r="E999" s="21"/>
      <c r="F999" s="21"/>
      <c r="G999" s="21"/>
      <c r="H999" s="27"/>
      <c r="I999" s="23" t="str">
        <f aca="false">IF($D999&lt;&gt;"销项开票","",IF($N999="一级",IF(IFERROR(INDEX(项目档案!$E$6:$E$255,MATCH($C999,项目档案!$A$6:$A$255,0)),"")="",N(IFERROR(INDEX(单位档案!$D$6:$D$35,MATCH($E999,单位档案!$A$6:$A$35,0)),"")),IFERROR(INDEX(项目档案!$E$6:$E$255,MATCH($C999,项目档案!$A$6:$A$255,0)),"")),IF($N999="二级",IF(IFERROR(INDEX(项目档案!$G$6:$G$255,MATCH($C999,项目档案!$A$6:$A$255,0)),"")="",N(IFERROR(INDEX(单位档案!$D$6:$D$35,MATCH($E999,单位档案!$A$6:$A$35,0)),"")),IFERROR(INDEX(项目档案!$G$6:$G$255,MATCH($C999,项目档案!$A$6:$A$255,0)),"")),N(IFERROR(INDEX(单位档案!$D$6:$D$35,MATCH($E999,单位档案!$A$6:$A$35,0)),"")))))</f>
        <v/>
      </c>
      <c r="J999" s="22"/>
      <c r="K999" s="22"/>
      <c r="L999" s="33" t="str">
        <f aca="false">IF($B999="","",IF(NOT(ISNUMBER($B999)),"日期格式不对",IF($C999="","未选项目编号",IF(LEFT($M999,1)="⚠","项目编号不存在",IF($D999="","未选业务类型",IF($E999="","未选开票/付款方",IF(ISNA(MATCH($E999,单位档案!$A$6:$A$35,0)),"开票方不在单位档案",IF($F999="","未选收票/收款方",IF(ISNA(MATCH($F999,单位档案!$A$6:$A$35,0)),"收款方不在单位档案",IF(NOT(ISNUMBER($H999)),"金额须为数字",IF(AND($D999="销项开票",$N999="—"),"链条待确认","√")))))))))))</f>
        <v/>
      </c>
      <c r="M999" s="34" t="str">
        <f aca="false">IF($C999="","",IFERROR(INDEX(项目档案!$B$6:$B$255,MATCH($C999,项目档案!$A$6:$A$255,0)),"⚠项目编号不存在"))</f>
        <v/>
      </c>
      <c r="N999" s="35" t="str">
        <f aca="false">IF($E999="","",IF($E999=IFERROR(INDEX(项目档案!$D$6:$D$255,MATCH($C999,项目档案!$A$6:$A$255,0)),""),"一级",IF($E999=IFERROR(INDEX(项目档案!$F$6:$F$255,MATCH($C999,项目档案!$A$6:$A$255,0)),""),"二级",IF($E999=IFERROR(INDEX(项目档案!$H$6:$H$255,MATCH($C999,项目档案!$A$6:$A$255,0)),""),"我方","—"))))</f>
        <v/>
      </c>
      <c r="O999" s="36" t="n">
        <f aca="false">IF($D999&lt;&gt;"销项开票",0,ROUND(N($H999)*N($I999),2))</f>
        <v>0</v>
      </c>
      <c r="P999" s="36" t="n">
        <f aca="false">IF($D999&lt;&gt;"销项开票",0,ROUND(N($H999)-$O999,2))</f>
        <v>0</v>
      </c>
      <c r="Q999" s="37" t="str">
        <f aca="false">IF($E999="","",N(IFERROR(INDEX(单位档案!$E$6:$E$35,MATCH($E999,单位档案!$A$6:$A$35,0)),"")))</f>
        <v/>
      </c>
      <c r="R999" s="37" t="str">
        <f aca="false">IF($E999="","",N(IFERROR(INDEX(单位档案!$F$6:$F$35,MATCH($E999,单位档案!$A$6:$A$35,0)),"")))</f>
        <v/>
      </c>
      <c r="S999" s="36" t="n">
        <f aca="false">IF(OR($D999&lt;&gt;"销项开票",IFERROR(INDEX(单位档案!$G$6:$G$35,MATCH($E999,单位档案!$A$6:$A$35,0)),"")&lt;&gt;"是",N($Q999)=0),0,IF(IFERROR(INDEX(单位档案!$H$6:$H$35,MATCH($E999,单位档案!$A$6:$A$35,0)),"")="税差法",ROUND(N($H999)/(1+$Q999)*$Q999-IF(N($R999)=0,0,$P999/(1+$R999)*$R999),2),ROUND(N($H999)/(1+$Q999)*$Q999,2)))</f>
        <v>0</v>
      </c>
      <c r="T999" s="36" t="n">
        <f aca="false">ROUND($S999*N(IFERROR(INDEX(单位档案!$J$6:$J$35,MATCH($E999,单位档案!$A$6:$A$35,0)),"")),2)</f>
        <v>0</v>
      </c>
      <c r="U999" s="36" t="n">
        <f aca="false">IF($D999&lt;&gt;"销项开票",0,ROUND(N($H999)*N(IFERROR(INDEX(单位档案!$K$6:$K$35,MATCH($E999,单位档案!$A$6:$A$35,0)),"")),2))</f>
        <v>0</v>
      </c>
      <c r="V999" s="36" t="n">
        <f aca="false">IF(OR($D999&lt;&gt;"销项开票",N($Q999)=0),0,ROUND(N($H999)/(1+$Q999)*N(IFERROR(INDEX(单位档案!$L$6:$L$35,MATCH($E999,单位档案!$A$6:$A$35,0)),"")),2))</f>
        <v>0</v>
      </c>
      <c r="W999" s="36" t="n">
        <f aca="false">ROUND($S999+$T999+$U999+$V999,2)</f>
        <v>0</v>
      </c>
      <c r="X999" s="35" t="str">
        <f aca="false">IF(OR($D999="挂靠代收",$D999="我方收款"),COUNTIFS($D$5:$D999,"挂靠代收")+COUNTIFS($D$5:$D999,"我方收款"),"")</f>
        <v/>
      </c>
      <c r="Y999" s="35"/>
      <c r="Z999" s="21" t="s">
        <v>111</v>
      </c>
    </row>
    <row r="1000" customFormat="false" ht="15.75" hidden="false" customHeight="true" outlineLevel="0" collapsed="false">
      <c r="A1000" s="32" t="str">
        <f aca="false">IF($B1000="","",ROW()-4)</f>
        <v/>
      </c>
      <c r="B1000" s="26"/>
      <c r="C1000" s="24"/>
      <c r="D1000" s="21"/>
      <c r="E1000" s="21"/>
      <c r="F1000" s="21"/>
      <c r="G1000" s="21"/>
      <c r="H1000" s="27"/>
      <c r="I1000" s="23" t="str">
        <f aca="false">IF($D1000&lt;&gt;"销项开票","",IF($N1000="一级",IF(IFERROR(INDEX(项目档案!$E$6:$E$255,MATCH($C1000,项目档案!$A$6:$A$255,0)),"")="",N(IFERROR(INDEX(单位档案!$D$6:$D$35,MATCH($E1000,单位档案!$A$6:$A$35,0)),"")),IFERROR(INDEX(项目档案!$E$6:$E$255,MATCH($C1000,项目档案!$A$6:$A$255,0)),"")),IF($N1000="二级",IF(IFERROR(INDEX(项目档案!$G$6:$G$255,MATCH($C1000,项目档案!$A$6:$A$255,0)),"")="",N(IFERROR(INDEX(单位档案!$D$6:$D$35,MATCH($E1000,单位档案!$A$6:$A$35,0)),"")),IFERROR(INDEX(项目档案!$G$6:$G$255,MATCH($C1000,项目档案!$A$6:$A$255,0)),"")),N(IFERROR(INDEX(单位档案!$D$6:$D$35,MATCH($E1000,单位档案!$A$6:$A$35,0)),"")))))</f>
        <v/>
      </c>
      <c r="J1000" s="22"/>
      <c r="K1000" s="22"/>
      <c r="L1000" s="33" t="str">
        <f aca="false">IF($B1000="","",IF(NOT(ISNUMBER($B1000)),"日期格式不对",IF($C1000="","未选项目编号",IF(LEFT($M1000,1)="⚠","项目编号不存在",IF($D1000="","未选业务类型",IF($E1000="","未选开票/付款方",IF(ISNA(MATCH($E1000,单位档案!$A$6:$A$35,0)),"开票方不在单位档案",IF($F1000="","未选收票/收款方",IF(ISNA(MATCH($F1000,单位档案!$A$6:$A$35,0)),"收款方不在单位档案",IF(NOT(ISNUMBER($H1000)),"金额须为数字",IF(AND($D1000="销项开票",$N1000="—"),"链条待确认","√")))))))))))</f>
        <v/>
      </c>
      <c r="M1000" s="34" t="str">
        <f aca="false">IF($C1000="","",IFERROR(INDEX(项目档案!$B$6:$B$255,MATCH($C1000,项目档案!$A$6:$A$255,0)),"⚠项目编号不存在"))</f>
        <v/>
      </c>
      <c r="N1000" s="35" t="str">
        <f aca="false">IF($E1000="","",IF($E1000=IFERROR(INDEX(项目档案!$D$6:$D$255,MATCH($C1000,项目档案!$A$6:$A$255,0)),""),"一级",IF($E1000=IFERROR(INDEX(项目档案!$F$6:$F$255,MATCH($C1000,项目档案!$A$6:$A$255,0)),""),"二级",IF($E1000=IFERROR(INDEX(项目档案!$H$6:$H$255,MATCH($C1000,项目档案!$A$6:$A$255,0)),""),"我方","—"))))</f>
        <v/>
      </c>
      <c r="O1000" s="36" t="n">
        <f aca="false">IF($D1000&lt;&gt;"销项开票",0,ROUND(N($H1000)*N($I1000),2))</f>
        <v>0</v>
      </c>
      <c r="P1000" s="36" t="n">
        <f aca="false">IF($D1000&lt;&gt;"销项开票",0,ROUND(N($H1000)-$O1000,2))</f>
        <v>0</v>
      </c>
      <c r="Q1000" s="37" t="str">
        <f aca="false">IF($E1000="","",N(IFERROR(INDEX(单位档案!$E$6:$E$35,MATCH($E1000,单位档案!$A$6:$A$35,0)),"")))</f>
        <v/>
      </c>
      <c r="R1000" s="37" t="str">
        <f aca="false">IF($E1000="","",N(IFERROR(INDEX(单位档案!$F$6:$F$35,MATCH($E1000,单位档案!$A$6:$A$35,0)),"")))</f>
        <v/>
      </c>
      <c r="S1000" s="36" t="n">
        <f aca="false">IF(OR($D1000&lt;&gt;"销项开票",IFERROR(INDEX(单位档案!$G$6:$G$35,MATCH($E1000,单位档案!$A$6:$A$35,0)),"")&lt;&gt;"是",N($Q1000)=0),0,IF(IFERROR(INDEX(单位档案!$H$6:$H$35,MATCH($E1000,单位档案!$A$6:$A$35,0)),"")="税差法",ROUND(N($H1000)/(1+$Q1000)*$Q1000-IF(N($R1000)=0,0,$P1000/(1+$R1000)*$R1000),2),ROUND(N($H1000)/(1+$Q1000)*$Q1000,2)))</f>
        <v>0</v>
      </c>
      <c r="T1000" s="36" t="n">
        <f aca="false">ROUND($S1000*N(IFERROR(INDEX(单位档案!$J$6:$J$35,MATCH($E1000,单位档案!$A$6:$A$35,0)),"")),2)</f>
        <v>0</v>
      </c>
      <c r="U1000" s="36" t="n">
        <f aca="false">IF($D1000&lt;&gt;"销项开票",0,ROUND(N($H1000)*N(IFERROR(INDEX(单位档案!$K$6:$K$35,MATCH($E1000,单位档案!$A$6:$A$35,0)),"")),2))</f>
        <v>0</v>
      </c>
      <c r="V1000" s="36" t="n">
        <f aca="false">IF(OR($D1000&lt;&gt;"销项开票",N($Q1000)=0),0,ROUND(N($H1000)/(1+$Q1000)*N(IFERROR(INDEX(单位档案!$L$6:$L$35,MATCH($E1000,单位档案!$A$6:$A$35,0)),"")),2))</f>
        <v>0</v>
      </c>
      <c r="W1000" s="36" t="n">
        <f aca="false">ROUND($S1000+$T1000+$U1000+$V1000,2)</f>
        <v>0</v>
      </c>
      <c r="X1000" s="35" t="str">
        <f aca="false">IF(OR($D1000="挂靠代收",$D1000="我方收款"),COUNTIFS($D$5:$D1000,"挂靠代收")+COUNTIFS($D$5:$D1000,"我方收款"),"")</f>
        <v/>
      </c>
      <c r="Y1000" s="35"/>
      <c r="Z1000" s="21" t="s">
        <v>111</v>
      </c>
    </row>
    <row r="1001" customFormat="false" ht="15.75" hidden="false" customHeight="true" outlineLevel="0" collapsed="false">
      <c r="A1001" s="32" t="str">
        <f aca="false">IF($B1001="","",ROW()-4)</f>
        <v/>
      </c>
      <c r="B1001" s="26"/>
      <c r="C1001" s="24"/>
      <c r="D1001" s="21"/>
      <c r="E1001" s="21"/>
      <c r="F1001" s="21"/>
      <c r="G1001" s="21"/>
      <c r="H1001" s="27"/>
      <c r="I1001" s="23" t="str">
        <f aca="false">IF($D1001&lt;&gt;"销项开票","",IF($N1001="一级",IF(IFERROR(INDEX(项目档案!$E$6:$E$255,MATCH($C1001,项目档案!$A$6:$A$255,0)),"")="",N(IFERROR(INDEX(单位档案!$D$6:$D$35,MATCH($E1001,单位档案!$A$6:$A$35,0)),"")),IFERROR(INDEX(项目档案!$E$6:$E$255,MATCH($C1001,项目档案!$A$6:$A$255,0)),"")),IF($N1001="二级",IF(IFERROR(INDEX(项目档案!$G$6:$G$255,MATCH($C1001,项目档案!$A$6:$A$255,0)),"")="",N(IFERROR(INDEX(单位档案!$D$6:$D$35,MATCH($E1001,单位档案!$A$6:$A$35,0)),"")),IFERROR(INDEX(项目档案!$G$6:$G$255,MATCH($C1001,项目档案!$A$6:$A$255,0)),"")),N(IFERROR(INDEX(单位档案!$D$6:$D$35,MATCH($E1001,单位档案!$A$6:$A$35,0)),"")))))</f>
        <v/>
      </c>
      <c r="J1001" s="22"/>
      <c r="K1001" s="22"/>
      <c r="L1001" s="33" t="str">
        <f aca="false">IF($B1001="","",IF(NOT(ISNUMBER($B1001)),"日期格式不对",IF($C1001="","未选项目编号",IF(LEFT($M1001,1)="⚠","项目编号不存在",IF($D1001="","未选业务类型",IF($E1001="","未选开票/付款方",IF(ISNA(MATCH($E1001,单位档案!$A$6:$A$35,0)),"开票方不在单位档案",IF($F1001="","未选收票/收款方",IF(ISNA(MATCH($F1001,单位档案!$A$6:$A$35,0)),"收款方不在单位档案",IF(NOT(ISNUMBER($H1001)),"金额须为数字",IF(AND($D1001="销项开票",$N1001="—"),"链条待确认","√")))))))))))</f>
        <v/>
      </c>
      <c r="M1001" s="34" t="str">
        <f aca="false">IF($C1001="","",IFERROR(INDEX(项目档案!$B$6:$B$255,MATCH($C1001,项目档案!$A$6:$A$255,0)),"⚠项目编号不存在"))</f>
        <v/>
      </c>
      <c r="N1001" s="35" t="str">
        <f aca="false">IF($E1001="","",IF($E1001=IFERROR(INDEX(项目档案!$D$6:$D$255,MATCH($C1001,项目档案!$A$6:$A$255,0)),""),"一级",IF($E1001=IFERROR(INDEX(项目档案!$F$6:$F$255,MATCH($C1001,项目档案!$A$6:$A$255,0)),""),"二级",IF($E1001=IFERROR(INDEX(项目档案!$H$6:$H$255,MATCH($C1001,项目档案!$A$6:$A$255,0)),""),"我方","—"))))</f>
        <v/>
      </c>
      <c r="O1001" s="36" t="n">
        <f aca="false">IF($D1001&lt;&gt;"销项开票",0,ROUND(N($H1001)*N($I1001),2))</f>
        <v>0</v>
      </c>
      <c r="P1001" s="36" t="n">
        <f aca="false">IF($D1001&lt;&gt;"销项开票",0,ROUND(N($H1001)-$O1001,2))</f>
        <v>0</v>
      </c>
      <c r="Q1001" s="37" t="str">
        <f aca="false">IF($E1001="","",N(IFERROR(INDEX(单位档案!$E$6:$E$35,MATCH($E1001,单位档案!$A$6:$A$35,0)),"")))</f>
        <v/>
      </c>
      <c r="R1001" s="37" t="str">
        <f aca="false">IF($E1001="","",N(IFERROR(INDEX(单位档案!$F$6:$F$35,MATCH($E1001,单位档案!$A$6:$A$35,0)),"")))</f>
        <v/>
      </c>
      <c r="S1001" s="36" t="n">
        <f aca="false">IF(OR($D1001&lt;&gt;"销项开票",IFERROR(INDEX(单位档案!$G$6:$G$35,MATCH($E1001,单位档案!$A$6:$A$35,0)),"")&lt;&gt;"是",N($Q1001)=0),0,IF(IFERROR(INDEX(单位档案!$H$6:$H$35,MATCH($E1001,单位档案!$A$6:$A$35,0)),"")="税差法",ROUND(N($H1001)/(1+$Q1001)*$Q1001-IF(N($R1001)=0,0,$P1001/(1+$R1001)*$R1001),2),ROUND(N($H1001)/(1+$Q1001)*$Q1001,2)))</f>
        <v>0</v>
      </c>
      <c r="T1001" s="36" t="n">
        <f aca="false">ROUND($S1001*N(IFERROR(INDEX(单位档案!$J$6:$J$35,MATCH($E1001,单位档案!$A$6:$A$35,0)),"")),2)</f>
        <v>0</v>
      </c>
      <c r="U1001" s="36" t="n">
        <f aca="false">IF($D1001&lt;&gt;"销项开票",0,ROUND(N($H1001)*N(IFERROR(INDEX(单位档案!$K$6:$K$35,MATCH($E1001,单位档案!$A$6:$A$35,0)),"")),2))</f>
        <v>0</v>
      </c>
      <c r="V1001" s="36" t="n">
        <f aca="false">IF(OR($D1001&lt;&gt;"销项开票",N($Q1001)=0),0,ROUND(N($H1001)/(1+$Q1001)*N(IFERROR(INDEX(单位档案!$L$6:$L$35,MATCH($E1001,单位档案!$A$6:$A$35,0)),"")),2))</f>
        <v>0</v>
      </c>
      <c r="W1001" s="36" t="n">
        <f aca="false">ROUND($S1001+$T1001+$U1001+$V1001,2)</f>
        <v>0</v>
      </c>
      <c r="X1001" s="35" t="str">
        <f aca="false">IF(OR($D1001="挂靠代收",$D1001="我方收款"),COUNTIFS($D$5:$D1001,"挂靠代收")+COUNTIFS($D$5:$D1001,"我方收款"),"")</f>
        <v/>
      </c>
      <c r="Y1001" s="35"/>
      <c r="Z1001" s="21" t="s">
        <v>111</v>
      </c>
    </row>
    <row r="1002" customFormat="false" ht="15.75" hidden="false" customHeight="true" outlineLevel="0" collapsed="false">
      <c r="A1002" s="32" t="str">
        <f aca="false">IF($B1002="","",ROW()-4)</f>
        <v/>
      </c>
      <c r="B1002" s="26"/>
      <c r="C1002" s="24"/>
      <c r="D1002" s="21"/>
      <c r="E1002" s="21"/>
      <c r="F1002" s="21"/>
      <c r="G1002" s="21"/>
      <c r="H1002" s="27"/>
      <c r="I1002" s="23" t="str">
        <f aca="false">IF($D1002&lt;&gt;"销项开票","",IF($N1002="一级",IF(IFERROR(INDEX(项目档案!$E$6:$E$255,MATCH($C1002,项目档案!$A$6:$A$255,0)),"")="",N(IFERROR(INDEX(单位档案!$D$6:$D$35,MATCH($E1002,单位档案!$A$6:$A$35,0)),"")),IFERROR(INDEX(项目档案!$E$6:$E$255,MATCH($C1002,项目档案!$A$6:$A$255,0)),"")),IF($N1002="二级",IF(IFERROR(INDEX(项目档案!$G$6:$G$255,MATCH($C1002,项目档案!$A$6:$A$255,0)),"")="",N(IFERROR(INDEX(单位档案!$D$6:$D$35,MATCH($E1002,单位档案!$A$6:$A$35,0)),"")),IFERROR(INDEX(项目档案!$G$6:$G$255,MATCH($C1002,项目档案!$A$6:$A$255,0)),"")),N(IFERROR(INDEX(单位档案!$D$6:$D$35,MATCH($E1002,单位档案!$A$6:$A$35,0)),"")))))</f>
        <v/>
      </c>
      <c r="J1002" s="22"/>
      <c r="K1002" s="22"/>
      <c r="L1002" s="33" t="str">
        <f aca="false">IF($B1002="","",IF(NOT(ISNUMBER($B1002)),"日期格式不对",IF($C1002="","未选项目编号",IF(LEFT($M1002,1)="⚠","项目编号不存在",IF($D1002="","未选业务类型",IF($E1002="","未选开票/付款方",IF(ISNA(MATCH($E1002,单位档案!$A$6:$A$35,0)),"开票方不在单位档案",IF($F1002="","未选收票/收款方",IF(ISNA(MATCH($F1002,单位档案!$A$6:$A$35,0)),"收款方不在单位档案",IF(NOT(ISNUMBER($H1002)),"金额须为数字",IF(AND($D1002="销项开票",$N1002="—"),"链条待确认","√")))))))))))</f>
        <v/>
      </c>
      <c r="M1002" s="34" t="str">
        <f aca="false">IF($C1002="","",IFERROR(INDEX(项目档案!$B$6:$B$255,MATCH($C1002,项目档案!$A$6:$A$255,0)),"⚠项目编号不存在"))</f>
        <v/>
      </c>
      <c r="N1002" s="35" t="str">
        <f aca="false">IF($E1002="","",IF($E1002=IFERROR(INDEX(项目档案!$D$6:$D$255,MATCH($C1002,项目档案!$A$6:$A$255,0)),""),"一级",IF($E1002=IFERROR(INDEX(项目档案!$F$6:$F$255,MATCH($C1002,项目档案!$A$6:$A$255,0)),""),"二级",IF($E1002=IFERROR(INDEX(项目档案!$H$6:$H$255,MATCH($C1002,项目档案!$A$6:$A$255,0)),""),"我方","—"))))</f>
        <v/>
      </c>
      <c r="O1002" s="36" t="n">
        <f aca="false">IF($D1002&lt;&gt;"销项开票",0,ROUND(N($H1002)*N($I1002),2))</f>
        <v>0</v>
      </c>
      <c r="P1002" s="36" t="n">
        <f aca="false">IF($D1002&lt;&gt;"销项开票",0,ROUND(N($H1002)-$O1002,2))</f>
        <v>0</v>
      </c>
      <c r="Q1002" s="37" t="str">
        <f aca="false">IF($E1002="","",N(IFERROR(INDEX(单位档案!$E$6:$E$35,MATCH($E1002,单位档案!$A$6:$A$35,0)),"")))</f>
        <v/>
      </c>
      <c r="R1002" s="37" t="str">
        <f aca="false">IF($E1002="","",N(IFERROR(INDEX(单位档案!$F$6:$F$35,MATCH($E1002,单位档案!$A$6:$A$35,0)),"")))</f>
        <v/>
      </c>
      <c r="S1002" s="36" t="n">
        <f aca="false">IF(OR($D1002&lt;&gt;"销项开票",IFERROR(INDEX(单位档案!$G$6:$G$35,MATCH($E1002,单位档案!$A$6:$A$35,0)),"")&lt;&gt;"是",N($Q1002)=0),0,IF(IFERROR(INDEX(单位档案!$H$6:$H$35,MATCH($E1002,单位档案!$A$6:$A$35,0)),"")="税差法",ROUND(N($H1002)/(1+$Q1002)*$Q1002-IF(N($R1002)=0,0,$P1002/(1+$R1002)*$R1002),2),ROUND(N($H1002)/(1+$Q1002)*$Q1002,2)))</f>
        <v>0</v>
      </c>
      <c r="T1002" s="36" t="n">
        <f aca="false">ROUND($S1002*N(IFERROR(INDEX(单位档案!$J$6:$J$35,MATCH($E1002,单位档案!$A$6:$A$35,0)),"")),2)</f>
        <v>0</v>
      </c>
      <c r="U1002" s="36" t="n">
        <f aca="false">IF($D1002&lt;&gt;"销项开票",0,ROUND(N($H1002)*N(IFERROR(INDEX(单位档案!$K$6:$K$35,MATCH($E1002,单位档案!$A$6:$A$35,0)),"")),2))</f>
        <v>0</v>
      </c>
      <c r="V1002" s="36" t="n">
        <f aca="false">IF(OR($D1002&lt;&gt;"销项开票",N($Q1002)=0),0,ROUND(N($H1002)/(1+$Q1002)*N(IFERROR(INDEX(单位档案!$L$6:$L$35,MATCH($E1002,单位档案!$A$6:$A$35,0)),"")),2))</f>
        <v>0</v>
      </c>
      <c r="W1002" s="36" t="n">
        <f aca="false">ROUND($S1002+$T1002+$U1002+$V1002,2)</f>
        <v>0</v>
      </c>
      <c r="X1002" s="35" t="str">
        <f aca="false">IF(OR($D1002="挂靠代收",$D1002="我方收款"),COUNTIFS($D$5:$D1002,"挂靠代收")+COUNTIFS($D$5:$D1002,"我方收款"),"")</f>
        <v/>
      </c>
      <c r="Y1002" s="35"/>
      <c r="Z1002" s="21" t="s">
        <v>111</v>
      </c>
    </row>
    <row r="1003" customFormat="false" ht="15.75" hidden="false" customHeight="true" outlineLevel="0" collapsed="false">
      <c r="A1003" s="32" t="str">
        <f aca="false">IF($B1003="","",ROW()-4)</f>
        <v/>
      </c>
      <c r="B1003" s="26"/>
      <c r="C1003" s="24"/>
      <c r="D1003" s="21"/>
      <c r="E1003" s="21"/>
      <c r="F1003" s="21"/>
      <c r="G1003" s="21"/>
      <c r="H1003" s="27"/>
      <c r="I1003" s="23" t="str">
        <f aca="false">IF($D1003&lt;&gt;"销项开票","",IF($N1003="一级",IF(IFERROR(INDEX(项目档案!$E$6:$E$255,MATCH($C1003,项目档案!$A$6:$A$255,0)),"")="",N(IFERROR(INDEX(单位档案!$D$6:$D$35,MATCH($E1003,单位档案!$A$6:$A$35,0)),"")),IFERROR(INDEX(项目档案!$E$6:$E$255,MATCH($C1003,项目档案!$A$6:$A$255,0)),"")),IF($N1003="二级",IF(IFERROR(INDEX(项目档案!$G$6:$G$255,MATCH($C1003,项目档案!$A$6:$A$255,0)),"")="",N(IFERROR(INDEX(单位档案!$D$6:$D$35,MATCH($E1003,单位档案!$A$6:$A$35,0)),"")),IFERROR(INDEX(项目档案!$G$6:$G$255,MATCH($C1003,项目档案!$A$6:$A$255,0)),"")),N(IFERROR(INDEX(单位档案!$D$6:$D$35,MATCH($E1003,单位档案!$A$6:$A$35,0)),"")))))</f>
        <v/>
      </c>
      <c r="J1003" s="22"/>
      <c r="K1003" s="22"/>
      <c r="L1003" s="33" t="str">
        <f aca="false">IF($B1003="","",IF(NOT(ISNUMBER($B1003)),"日期格式不对",IF($C1003="","未选项目编号",IF(LEFT($M1003,1)="⚠","项目编号不存在",IF($D1003="","未选业务类型",IF($E1003="","未选开票/付款方",IF(ISNA(MATCH($E1003,单位档案!$A$6:$A$35,0)),"开票方不在单位档案",IF($F1003="","未选收票/收款方",IF(ISNA(MATCH($F1003,单位档案!$A$6:$A$35,0)),"收款方不在单位档案",IF(NOT(ISNUMBER($H1003)),"金额须为数字",IF(AND($D1003="销项开票",$N1003="—"),"链条待确认","√")))))))))))</f>
        <v/>
      </c>
      <c r="M1003" s="34" t="str">
        <f aca="false">IF($C1003="","",IFERROR(INDEX(项目档案!$B$6:$B$255,MATCH($C1003,项目档案!$A$6:$A$255,0)),"⚠项目编号不存在"))</f>
        <v/>
      </c>
      <c r="N1003" s="35" t="str">
        <f aca="false">IF($E1003="","",IF($E1003=IFERROR(INDEX(项目档案!$D$6:$D$255,MATCH($C1003,项目档案!$A$6:$A$255,0)),""),"一级",IF($E1003=IFERROR(INDEX(项目档案!$F$6:$F$255,MATCH($C1003,项目档案!$A$6:$A$255,0)),""),"二级",IF($E1003=IFERROR(INDEX(项目档案!$H$6:$H$255,MATCH($C1003,项目档案!$A$6:$A$255,0)),""),"我方","—"))))</f>
        <v/>
      </c>
      <c r="O1003" s="36" t="n">
        <f aca="false">IF($D1003&lt;&gt;"销项开票",0,ROUND(N($H1003)*N($I1003),2))</f>
        <v>0</v>
      </c>
      <c r="P1003" s="36" t="n">
        <f aca="false">IF($D1003&lt;&gt;"销项开票",0,ROUND(N($H1003)-$O1003,2))</f>
        <v>0</v>
      </c>
      <c r="Q1003" s="37" t="str">
        <f aca="false">IF($E1003="","",N(IFERROR(INDEX(单位档案!$E$6:$E$35,MATCH($E1003,单位档案!$A$6:$A$35,0)),"")))</f>
        <v/>
      </c>
      <c r="R1003" s="37" t="str">
        <f aca="false">IF($E1003="","",N(IFERROR(INDEX(单位档案!$F$6:$F$35,MATCH($E1003,单位档案!$A$6:$A$35,0)),"")))</f>
        <v/>
      </c>
      <c r="S1003" s="36" t="n">
        <f aca="false">IF(OR($D1003&lt;&gt;"销项开票",IFERROR(INDEX(单位档案!$G$6:$G$35,MATCH($E1003,单位档案!$A$6:$A$35,0)),"")&lt;&gt;"是",N($Q1003)=0),0,IF(IFERROR(INDEX(单位档案!$H$6:$H$35,MATCH($E1003,单位档案!$A$6:$A$35,0)),"")="税差法",ROUND(N($H1003)/(1+$Q1003)*$Q1003-IF(N($R1003)=0,0,$P1003/(1+$R1003)*$R1003),2),ROUND(N($H1003)/(1+$Q1003)*$Q1003,2)))</f>
        <v>0</v>
      </c>
      <c r="T1003" s="36" t="n">
        <f aca="false">ROUND($S1003*N(IFERROR(INDEX(单位档案!$J$6:$J$35,MATCH($E1003,单位档案!$A$6:$A$35,0)),"")),2)</f>
        <v>0</v>
      </c>
      <c r="U1003" s="36" t="n">
        <f aca="false">IF($D1003&lt;&gt;"销项开票",0,ROUND(N($H1003)*N(IFERROR(INDEX(单位档案!$K$6:$K$35,MATCH($E1003,单位档案!$A$6:$A$35,0)),"")),2))</f>
        <v>0</v>
      </c>
      <c r="V1003" s="36" t="n">
        <f aca="false">IF(OR($D1003&lt;&gt;"销项开票",N($Q1003)=0),0,ROUND(N($H1003)/(1+$Q1003)*N(IFERROR(INDEX(单位档案!$L$6:$L$35,MATCH($E1003,单位档案!$A$6:$A$35,0)),"")),2))</f>
        <v>0</v>
      </c>
      <c r="W1003" s="36" t="n">
        <f aca="false">ROUND($S1003+$T1003+$U1003+$V1003,2)</f>
        <v>0</v>
      </c>
      <c r="X1003" s="35" t="str">
        <f aca="false">IF(OR($D1003="挂靠代收",$D1003="我方收款"),COUNTIFS($D$5:$D1003,"挂靠代收")+COUNTIFS($D$5:$D1003,"我方收款"),"")</f>
        <v/>
      </c>
      <c r="Y1003" s="35"/>
      <c r="Z1003" s="21" t="s">
        <v>111</v>
      </c>
    </row>
    <row r="1004" customFormat="false" ht="15.75" hidden="false" customHeight="true" outlineLevel="0" collapsed="false">
      <c r="A1004" s="32" t="str">
        <f aca="false">IF($B1004="","",ROW()-4)</f>
        <v/>
      </c>
      <c r="B1004" s="26"/>
      <c r="C1004" s="24"/>
      <c r="D1004" s="21"/>
      <c r="E1004" s="21"/>
      <c r="F1004" s="21"/>
      <c r="G1004" s="21"/>
      <c r="H1004" s="27"/>
      <c r="I1004" s="23" t="str">
        <f aca="false">IF($D1004&lt;&gt;"销项开票","",IF($N1004="一级",IF(IFERROR(INDEX(项目档案!$E$6:$E$255,MATCH($C1004,项目档案!$A$6:$A$255,0)),"")="",N(IFERROR(INDEX(单位档案!$D$6:$D$35,MATCH($E1004,单位档案!$A$6:$A$35,0)),"")),IFERROR(INDEX(项目档案!$E$6:$E$255,MATCH($C1004,项目档案!$A$6:$A$255,0)),"")),IF($N1004="二级",IF(IFERROR(INDEX(项目档案!$G$6:$G$255,MATCH($C1004,项目档案!$A$6:$A$255,0)),"")="",N(IFERROR(INDEX(单位档案!$D$6:$D$35,MATCH($E1004,单位档案!$A$6:$A$35,0)),"")),IFERROR(INDEX(项目档案!$G$6:$G$255,MATCH($C1004,项目档案!$A$6:$A$255,0)),"")),N(IFERROR(INDEX(单位档案!$D$6:$D$35,MATCH($E1004,单位档案!$A$6:$A$35,0)),"")))))</f>
        <v/>
      </c>
      <c r="J1004" s="22"/>
      <c r="K1004" s="22"/>
      <c r="L1004" s="33" t="str">
        <f aca="false">IF($B1004="","",IF(NOT(ISNUMBER($B1004)),"日期格式不对",IF($C1004="","未选项目编号",IF(LEFT($M1004,1)="⚠","项目编号不存在",IF($D1004="","未选业务类型",IF($E1004="","未选开票/付款方",IF(ISNA(MATCH($E1004,单位档案!$A$6:$A$35,0)),"开票方不在单位档案",IF($F1004="","未选收票/收款方",IF(ISNA(MATCH($F1004,单位档案!$A$6:$A$35,0)),"收款方不在单位档案",IF(NOT(ISNUMBER($H1004)),"金额须为数字",IF(AND($D1004="销项开票",$N1004="—"),"链条待确认","√")))))))))))</f>
        <v/>
      </c>
      <c r="M1004" s="34" t="str">
        <f aca="false">IF($C1004="","",IFERROR(INDEX(项目档案!$B$6:$B$255,MATCH($C1004,项目档案!$A$6:$A$255,0)),"⚠项目编号不存在"))</f>
        <v/>
      </c>
      <c r="N1004" s="35" t="str">
        <f aca="false">IF($E1004="","",IF($E1004=IFERROR(INDEX(项目档案!$D$6:$D$255,MATCH($C1004,项目档案!$A$6:$A$255,0)),""),"一级",IF($E1004=IFERROR(INDEX(项目档案!$F$6:$F$255,MATCH($C1004,项目档案!$A$6:$A$255,0)),""),"二级",IF($E1004=IFERROR(INDEX(项目档案!$H$6:$H$255,MATCH($C1004,项目档案!$A$6:$A$255,0)),""),"我方","—"))))</f>
        <v/>
      </c>
      <c r="O1004" s="36" t="n">
        <f aca="false">IF($D1004&lt;&gt;"销项开票",0,ROUND(N($H1004)*N($I1004),2))</f>
        <v>0</v>
      </c>
      <c r="P1004" s="36" t="n">
        <f aca="false">IF($D1004&lt;&gt;"销项开票",0,ROUND(N($H1004)-$O1004,2))</f>
        <v>0</v>
      </c>
      <c r="Q1004" s="37" t="str">
        <f aca="false">IF($E1004="","",N(IFERROR(INDEX(单位档案!$E$6:$E$35,MATCH($E1004,单位档案!$A$6:$A$35,0)),"")))</f>
        <v/>
      </c>
      <c r="R1004" s="37" t="str">
        <f aca="false">IF($E1004="","",N(IFERROR(INDEX(单位档案!$F$6:$F$35,MATCH($E1004,单位档案!$A$6:$A$35,0)),"")))</f>
        <v/>
      </c>
      <c r="S1004" s="36" t="n">
        <f aca="false">IF(OR($D1004&lt;&gt;"销项开票",IFERROR(INDEX(单位档案!$G$6:$G$35,MATCH($E1004,单位档案!$A$6:$A$35,0)),"")&lt;&gt;"是",N($Q1004)=0),0,IF(IFERROR(INDEX(单位档案!$H$6:$H$35,MATCH($E1004,单位档案!$A$6:$A$35,0)),"")="税差法",ROUND(N($H1004)/(1+$Q1004)*$Q1004-IF(N($R1004)=0,0,$P1004/(1+$R1004)*$R1004),2),ROUND(N($H1004)/(1+$Q1004)*$Q1004,2)))</f>
        <v>0</v>
      </c>
      <c r="T1004" s="36" t="n">
        <f aca="false">ROUND($S1004*N(IFERROR(INDEX(单位档案!$J$6:$J$35,MATCH($E1004,单位档案!$A$6:$A$35,0)),"")),2)</f>
        <v>0</v>
      </c>
      <c r="U1004" s="36" t="n">
        <f aca="false">IF($D1004&lt;&gt;"销项开票",0,ROUND(N($H1004)*N(IFERROR(INDEX(单位档案!$K$6:$K$35,MATCH($E1004,单位档案!$A$6:$A$35,0)),"")),2))</f>
        <v>0</v>
      </c>
      <c r="V1004" s="36" t="n">
        <f aca="false">IF(OR($D1004&lt;&gt;"销项开票",N($Q1004)=0),0,ROUND(N($H1004)/(1+$Q1004)*N(IFERROR(INDEX(单位档案!$L$6:$L$35,MATCH($E1004,单位档案!$A$6:$A$35,0)),"")),2))</f>
        <v>0</v>
      </c>
      <c r="W1004" s="36" t="n">
        <f aca="false">ROUND($S1004+$T1004+$U1004+$V1004,2)</f>
        <v>0</v>
      </c>
      <c r="X1004" s="35" t="str">
        <f aca="false">IF(OR($D1004="挂靠代收",$D1004="我方收款"),COUNTIFS($D$5:$D1004,"挂靠代收")+COUNTIFS($D$5:$D1004,"我方收款"),"")</f>
        <v/>
      </c>
      <c r="Y1004" s="35"/>
      <c r="Z1004" s="21" t="s">
        <v>111</v>
      </c>
    </row>
    <row r="1005" customFormat="false" ht="15.75" hidden="false" customHeight="true" outlineLevel="0" collapsed="false">
      <c r="A1005" s="32" t="str">
        <f aca="false">IF($B1005="","",ROW()-4)</f>
        <v/>
      </c>
      <c r="B1005" s="26"/>
      <c r="C1005" s="24"/>
      <c r="D1005" s="21"/>
      <c r="E1005" s="21"/>
      <c r="F1005" s="21"/>
      <c r="G1005" s="21"/>
      <c r="H1005" s="27"/>
      <c r="I1005" s="23" t="str">
        <f aca="false">IF($D1005&lt;&gt;"销项开票","",IF($N1005="一级",IF(IFERROR(INDEX(项目档案!$E$6:$E$255,MATCH($C1005,项目档案!$A$6:$A$255,0)),"")="",N(IFERROR(INDEX(单位档案!$D$6:$D$35,MATCH($E1005,单位档案!$A$6:$A$35,0)),"")),IFERROR(INDEX(项目档案!$E$6:$E$255,MATCH($C1005,项目档案!$A$6:$A$255,0)),"")),IF($N1005="二级",IF(IFERROR(INDEX(项目档案!$G$6:$G$255,MATCH($C1005,项目档案!$A$6:$A$255,0)),"")="",N(IFERROR(INDEX(单位档案!$D$6:$D$35,MATCH($E1005,单位档案!$A$6:$A$35,0)),"")),IFERROR(INDEX(项目档案!$G$6:$G$255,MATCH($C1005,项目档案!$A$6:$A$255,0)),"")),N(IFERROR(INDEX(单位档案!$D$6:$D$35,MATCH($E1005,单位档案!$A$6:$A$35,0)),"")))))</f>
        <v/>
      </c>
      <c r="J1005" s="22"/>
      <c r="K1005" s="22"/>
      <c r="L1005" s="33" t="str">
        <f aca="false">IF($B1005="","",IF(NOT(ISNUMBER($B1005)),"日期格式不对",IF($C1005="","未选项目编号",IF(LEFT($M1005,1)="⚠","项目编号不存在",IF($D1005="","未选业务类型",IF($E1005="","未选开票/付款方",IF(ISNA(MATCH($E1005,单位档案!$A$6:$A$35,0)),"开票方不在单位档案",IF($F1005="","未选收票/收款方",IF(ISNA(MATCH($F1005,单位档案!$A$6:$A$35,0)),"收款方不在单位档案",IF(NOT(ISNUMBER($H1005)),"金额须为数字",IF(AND($D1005="销项开票",$N1005="—"),"链条待确认","√")))))))))))</f>
        <v/>
      </c>
      <c r="M1005" s="34" t="str">
        <f aca="false">IF($C1005="","",IFERROR(INDEX(项目档案!$B$6:$B$255,MATCH($C1005,项目档案!$A$6:$A$255,0)),"⚠项目编号不存在"))</f>
        <v/>
      </c>
      <c r="N1005" s="35" t="str">
        <f aca="false">IF($E1005="","",IF($E1005=IFERROR(INDEX(项目档案!$D$6:$D$255,MATCH($C1005,项目档案!$A$6:$A$255,0)),""),"一级",IF($E1005=IFERROR(INDEX(项目档案!$F$6:$F$255,MATCH($C1005,项目档案!$A$6:$A$255,0)),""),"二级",IF($E1005=IFERROR(INDEX(项目档案!$H$6:$H$255,MATCH($C1005,项目档案!$A$6:$A$255,0)),""),"我方","—"))))</f>
        <v/>
      </c>
      <c r="O1005" s="36" t="n">
        <f aca="false">IF($D1005&lt;&gt;"销项开票",0,ROUND(N($H1005)*N($I1005),2))</f>
        <v>0</v>
      </c>
      <c r="P1005" s="36" t="n">
        <f aca="false">IF($D1005&lt;&gt;"销项开票",0,ROUND(N($H1005)-$O1005,2))</f>
        <v>0</v>
      </c>
      <c r="Q1005" s="37" t="str">
        <f aca="false">IF($E1005="","",N(IFERROR(INDEX(单位档案!$E$6:$E$35,MATCH($E1005,单位档案!$A$6:$A$35,0)),"")))</f>
        <v/>
      </c>
      <c r="R1005" s="37" t="str">
        <f aca="false">IF($E1005="","",N(IFERROR(INDEX(单位档案!$F$6:$F$35,MATCH($E1005,单位档案!$A$6:$A$35,0)),"")))</f>
        <v/>
      </c>
      <c r="S1005" s="36" t="n">
        <f aca="false">IF(OR($D1005&lt;&gt;"销项开票",IFERROR(INDEX(单位档案!$G$6:$G$35,MATCH($E1005,单位档案!$A$6:$A$35,0)),"")&lt;&gt;"是",N($Q1005)=0),0,IF(IFERROR(INDEX(单位档案!$H$6:$H$35,MATCH($E1005,单位档案!$A$6:$A$35,0)),"")="税差法",ROUND(N($H1005)/(1+$Q1005)*$Q1005-IF(N($R1005)=0,0,$P1005/(1+$R1005)*$R1005),2),ROUND(N($H1005)/(1+$Q1005)*$Q1005,2)))</f>
        <v>0</v>
      </c>
      <c r="T1005" s="36" t="n">
        <f aca="false">ROUND($S1005*N(IFERROR(INDEX(单位档案!$J$6:$J$35,MATCH($E1005,单位档案!$A$6:$A$35,0)),"")),2)</f>
        <v>0</v>
      </c>
      <c r="U1005" s="36" t="n">
        <f aca="false">IF($D1005&lt;&gt;"销项开票",0,ROUND(N($H1005)*N(IFERROR(INDEX(单位档案!$K$6:$K$35,MATCH($E1005,单位档案!$A$6:$A$35,0)),"")),2))</f>
        <v>0</v>
      </c>
      <c r="V1005" s="36" t="n">
        <f aca="false">IF(OR($D1005&lt;&gt;"销项开票",N($Q1005)=0),0,ROUND(N($H1005)/(1+$Q1005)*N(IFERROR(INDEX(单位档案!$L$6:$L$35,MATCH($E1005,单位档案!$A$6:$A$35,0)),"")),2))</f>
        <v>0</v>
      </c>
      <c r="W1005" s="36" t="n">
        <f aca="false">ROUND($S1005+$T1005+$U1005+$V1005,2)</f>
        <v>0</v>
      </c>
      <c r="X1005" s="35" t="str">
        <f aca="false">IF(OR($D1005="挂靠代收",$D1005="我方收款"),COUNTIFS($D$5:$D1005,"挂靠代收")+COUNTIFS($D$5:$D1005,"我方收款"),"")</f>
        <v/>
      </c>
      <c r="Y1005" s="35"/>
      <c r="Z1005" s="21" t="s">
        <v>111</v>
      </c>
    </row>
    <row r="1006" customFormat="false" ht="15.75" hidden="false" customHeight="true" outlineLevel="0" collapsed="false">
      <c r="A1006" s="32" t="str">
        <f aca="false">IF($B1006="","",ROW()-4)</f>
        <v/>
      </c>
      <c r="B1006" s="26"/>
      <c r="C1006" s="24"/>
      <c r="D1006" s="21"/>
      <c r="E1006" s="21"/>
      <c r="F1006" s="21"/>
      <c r="G1006" s="21"/>
      <c r="H1006" s="27"/>
      <c r="I1006" s="23" t="str">
        <f aca="false">IF($D1006&lt;&gt;"销项开票","",IF($N1006="一级",IF(IFERROR(INDEX(项目档案!$E$6:$E$255,MATCH($C1006,项目档案!$A$6:$A$255,0)),"")="",N(IFERROR(INDEX(单位档案!$D$6:$D$35,MATCH($E1006,单位档案!$A$6:$A$35,0)),"")),IFERROR(INDEX(项目档案!$E$6:$E$255,MATCH($C1006,项目档案!$A$6:$A$255,0)),"")),IF($N1006="二级",IF(IFERROR(INDEX(项目档案!$G$6:$G$255,MATCH($C1006,项目档案!$A$6:$A$255,0)),"")="",N(IFERROR(INDEX(单位档案!$D$6:$D$35,MATCH($E1006,单位档案!$A$6:$A$35,0)),"")),IFERROR(INDEX(项目档案!$G$6:$G$255,MATCH($C1006,项目档案!$A$6:$A$255,0)),"")),N(IFERROR(INDEX(单位档案!$D$6:$D$35,MATCH($E1006,单位档案!$A$6:$A$35,0)),"")))))</f>
        <v/>
      </c>
      <c r="J1006" s="22"/>
      <c r="K1006" s="22"/>
      <c r="L1006" s="33" t="str">
        <f aca="false">IF($B1006="","",IF(NOT(ISNUMBER($B1006)),"日期格式不对",IF($C1006="","未选项目编号",IF(LEFT($M1006,1)="⚠","项目编号不存在",IF($D1006="","未选业务类型",IF($E1006="","未选开票/付款方",IF(ISNA(MATCH($E1006,单位档案!$A$6:$A$35,0)),"开票方不在单位档案",IF($F1006="","未选收票/收款方",IF(ISNA(MATCH($F1006,单位档案!$A$6:$A$35,0)),"收款方不在单位档案",IF(NOT(ISNUMBER($H1006)),"金额须为数字",IF(AND($D1006="销项开票",$N1006="—"),"链条待确认","√")))))))))))</f>
        <v/>
      </c>
      <c r="M1006" s="34" t="str">
        <f aca="false">IF($C1006="","",IFERROR(INDEX(项目档案!$B$6:$B$255,MATCH($C1006,项目档案!$A$6:$A$255,0)),"⚠项目编号不存在"))</f>
        <v/>
      </c>
      <c r="N1006" s="35" t="str">
        <f aca="false">IF($E1006="","",IF($E1006=IFERROR(INDEX(项目档案!$D$6:$D$255,MATCH($C1006,项目档案!$A$6:$A$255,0)),""),"一级",IF($E1006=IFERROR(INDEX(项目档案!$F$6:$F$255,MATCH($C1006,项目档案!$A$6:$A$255,0)),""),"二级",IF($E1006=IFERROR(INDEX(项目档案!$H$6:$H$255,MATCH($C1006,项目档案!$A$6:$A$255,0)),""),"我方","—"))))</f>
        <v/>
      </c>
      <c r="O1006" s="36" t="n">
        <f aca="false">IF($D1006&lt;&gt;"销项开票",0,ROUND(N($H1006)*N($I1006),2))</f>
        <v>0</v>
      </c>
      <c r="P1006" s="36" t="n">
        <f aca="false">IF($D1006&lt;&gt;"销项开票",0,ROUND(N($H1006)-$O1006,2))</f>
        <v>0</v>
      </c>
      <c r="Q1006" s="37" t="str">
        <f aca="false">IF($E1006="","",N(IFERROR(INDEX(单位档案!$E$6:$E$35,MATCH($E1006,单位档案!$A$6:$A$35,0)),"")))</f>
        <v/>
      </c>
      <c r="R1006" s="37" t="str">
        <f aca="false">IF($E1006="","",N(IFERROR(INDEX(单位档案!$F$6:$F$35,MATCH($E1006,单位档案!$A$6:$A$35,0)),"")))</f>
        <v/>
      </c>
      <c r="S1006" s="36" t="n">
        <f aca="false">IF(OR($D1006&lt;&gt;"销项开票",IFERROR(INDEX(单位档案!$G$6:$G$35,MATCH($E1006,单位档案!$A$6:$A$35,0)),"")&lt;&gt;"是",N($Q1006)=0),0,IF(IFERROR(INDEX(单位档案!$H$6:$H$35,MATCH($E1006,单位档案!$A$6:$A$35,0)),"")="税差法",ROUND(N($H1006)/(1+$Q1006)*$Q1006-IF(N($R1006)=0,0,$P1006/(1+$R1006)*$R1006),2),ROUND(N($H1006)/(1+$Q1006)*$Q1006,2)))</f>
        <v>0</v>
      </c>
      <c r="T1006" s="36" t="n">
        <f aca="false">ROUND($S1006*N(IFERROR(INDEX(单位档案!$J$6:$J$35,MATCH($E1006,单位档案!$A$6:$A$35,0)),"")),2)</f>
        <v>0</v>
      </c>
      <c r="U1006" s="36" t="n">
        <f aca="false">IF($D1006&lt;&gt;"销项开票",0,ROUND(N($H1006)*N(IFERROR(INDEX(单位档案!$K$6:$K$35,MATCH($E1006,单位档案!$A$6:$A$35,0)),"")),2))</f>
        <v>0</v>
      </c>
      <c r="V1006" s="36" t="n">
        <f aca="false">IF(OR($D1006&lt;&gt;"销项开票",N($Q1006)=0),0,ROUND(N($H1006)/(1+$Q1006)*N(IFERROR(INDEX(单位档案!$L$6:$L$35,MATCH($E1006,单位档案!$A$6:$A$35,0)),"")),2))</f>
        <v>0</v>
      </c>
      <c r="W1006" s="36" t="n">
        <f aca="false">ROUND($S1006+$T1006+$U1006+$V1006,2)</f>
        <v>0</v>
      </c>
      <c r="X1006" s="35" t="str">
        <f aca="false">IF(OR($D1006="挂靠代收",$D1006="我方收款"),COUNTIFS($D$5:$D1006,"挂靠代收")+COUNTIFS($D$5:$D1006,"我方收款"),"")</f>
        <v/>
      </c>
      <c r="Y1006" s="35"/>
      <c r="Z1006" s="21" t="s">
        <v>111</v>
      </c>
    </row>
    <row r="1007" customFormat="false" ht="15.75" hidden="false" customHeight="true" outlineLevel="0" collapsed="false">
      <c r="A1007" s="32" t="str">
        <f aca="false">IF($B1007="","",ROW()-4)</f>
        <v/>
      </c>
      <c r="B1007" s="26"/>
      <c r="C1007" s="24"/>
      <c r="D1007" s="21"/>
      <c r="E1007" s="21"/>
      <c r="F1007" s="21"/>
      <c r="G1007" s="21"/>
      <c r="H1007" s="27"/>
      <c r="I1007" s="23" t="str">
        <f aca="false">IF($D1007&lt;&gt;"销项开票","",IF($N1007="一级",IF(IFERROR(INDEX(项目档案!$E$6:$E$255,MATCH($C1007,项目档案!$A$6:$A$255,0)),"")="",N(IFERROR(INDEX(单位档案!$D$6:$D$35,MATCH($E1007,单位档案!$A$6:$A$35,0)),"")),IFERROR(INDEX(项目档案!$E$6:$E$255,MATCH($C1007,项目档案!$A$6:$A$255,0)),"")),IF($N1007="二级",IF(IFERROR(INDEX(项目档案!$G$6:$G$255,MATCH($C1007,项目档案!$A$6:$A$255,0)),"")="",N(IFERROR(INDEX(单位档案!$D$6:$D$35,MATCH($E1007,单位档案!$A$6:$A$35,0)),"")),IFERROR(INDEX(项目档案!$G$6:$G$255,MATCH($C1007,项目档案!$A$6:$A$255,0)),"")),N(IFERROR(INDEX(单位档案!$D$6:$D$35,MATCH($E1007,单位档案!$A$6:$A$35,0)),"")))))</f>
        <v/>
      </c>
      <c r="J1007" s="22"/>
      <c r="K1007" s="22"/>
      <c r="L1007" s="33" t="str">
        <f aca="false">IF($B1007="","",IF(NOT(ISNUMBER($B1007)),"日期格式不对",IF($C1007="","未选项目编号",IF(LEFT($M1007,1)="⚠","项目编号不存在",IF($D1007="","未选业务类型",IF($E1007="","未选开票/付款方",IF(ISNA(MATCH($E1007,单位档案!$A$6:$A$35,0)),"开票方不在单位档案",IF($F1007="","未选收票/收款方",IF(ISNA(MATCH($F1007,单位档案!$A$6:$A$35,0)),"收款方不在单位档案",IF(NOT(ISNUMBER($H1007)),"金额须为数字",IF(AND($D1007="销项开票",$N1007="—"),"链条待确认","√")))))))))))</f>
        <v/>
      </c>
      <c r="M1007" s="34" t="str">
        <f aca="false">IF($C1007="","",IFERROR(INDEX(项目档案!$B$6:$B$255,MATCH($C1007,项目档案!$A$6:$A$255,0)),"⚠项目编号不存在"))</f>
        <v/>
      </c>
      <c r="N1007" s="35" t="str">
        <f aca="false">IF($E1007="","",IF($E1007=IFERROR(INDEX(项目档案!$D$6:$D$255,MATCH($C1007,项目档案!$A$6:$A$255,0)),""),"一级",IF($E1007=IFERROR(INDEX(项目档案!$F$6:$F$255,MATCH($C1007,项目档案!$A$6:$A$255,0)),""),"二级",IF($E1007=IFERROR(INDEX(项目档案!$H$6:$H$255,MATCH($C1007,项目档案!$A$6:$A$255,0)),""),"我方","—"))))</f>
        <v/>
      </c>
      <c r="O1007" s="36" t="n">
        <f aca="false">IF($D1007&lt;&gt;"销项开票",0,ROUND(N($H1007)*N($I1007),2))</f>
        <v>0</v>
      </c>
      <c r="P1007" s="36" t="n">
        <f aca="false">IF($D1007&lt;&gt;"销项开票",0,ROUND(N($H1007)-$O1007,2))</f>
        <v>0</v>
      </c>
      <c r="Q1007" s="37" t="str">
        <f aca="false">IF($E1007="","",N(IFERROR(INDEX(单位档案!$E$6:$E$35,MATCH($E1007,单位档案!$A$6:$A$35,0)),"")))</f>
        <v/>
      </c>
      <c r="R1007" s="37" t="str">
        <f aca="false">IF($E1007="","",N(IFERROR(INDEX(单位档案!$F$6:$F$35,MATCH($E1007,单位档案!$A$6:$A$35,0)),"")))</f>
        <v/>
      </c>
      <c r="S1007" s="36" t="n">
        <f aca="false">IF(OR($D1007&lt;&gt;"销项开票",IFERROR(INDEX(单位档案!$G$6:$G$35,MATCH($E1007,单位档案!$A$6:$A$35,0)),"")&lt;&gt;"是",N($Q1007)=0),0,IF(IFERROR(INDEX(单位档案!$H$6:$H$35,MATCH($E1007,单位档案!$A$6:$A$35,0)),"")="税差法",ROUND(N($H1007)/(1+$Q1007)*$Q1007-IF(N($R1007)=0,0,$P1007/(1+$R1007)*$R1007),2),ROUND(N($H1007)/(1+$Q1007)*$Q1007,2)))</f>
        <v>0</v>
      </c>
      <c r="T1007" s="36" t="n">
        <f aca="false">ROUND($S1007*N(IFERROR(INDEX(单位档案!$J$6:$J$35,MATCH($E1007,单位档案!$A$6:$A$35,0)),"")),2)</f>
        <v>0</v>
      </c>
      <c r="U1007" s="36" t="n">
        <f aca="false">IF($D1007&lt;&gt;"销项开票",0,ROUND(N($H1007)*N(IFERROR(INDEX(单位档案!$K$6:$K$35,MATCH($E1007,单位档案!$A$6:$A$35,0)),"")),2))</f>
        <v>0</v>
      </c>
      <c r="V1007" s="36" t="n">
        <f aca="false">IF(OR($D1007&lt;&gt;"销项开票",N($Q1007)=0),0,ROUND(N($H1007)/(1+$Q1007)*N(IFERROR(INDEX(单位档案!$L$6:$L$35,MATCH($E1007,单位档案!$A$6:$A$35,0)),"")),2))</f>
        <v>0</v>
      </c>
      <c r="W1007" s="36" t="n">
        <f aca="false">ROUND($S1007+$T1007+$U1007+$V1007,2)</f>
        <v>0</v>
      </c>
      <c r="X1007" s="35" t="str">
        <f aca="false">IF(OR($D1007="挂靠代收",$D1007="我方收款"),COUNTIFS($D$5:$D1007,"挂靠代收")+COUNTIFS($D$5:$D1007,"我方收款"),"")</f>
        <v/>
      </c>
      <c r="Y1007" s="35"/>
      <c r="Z1007" s="21" t="s">
        <v>111</v>
      </c>
    </row>
    <row r="1008" customFormat="false" ht="15.75" hidden="false" customHeight="true" outlineLevel="0" collapsed="false">
      <c r="A1008" s="32" t="str">
        <f aca="false">IF($B1008="","",ROW()-4)</f>
        <v/>
      </c>
      <c r="B1008" s="26"/>
      <c r="C1008" s="24"/>
      <c r="D1008" s="21"/>
      <c r="E1008" s="21"/>
      <c r="F1008" s="21"/>
      <c r="G1008" s="21"/>
      <c r="H1008" s="27"/>
      <c r="I1008" s="23" t="str">
        <f aca="false">IF($D1008&lt;&gt;"销项开票","",IF($N1008="一级",IF(IFERROR(INDEX(项目档案!$E$6:$E$255,MATCH($C1008,项目档案!$A$6:$A$255,0)),"")="",N(IFERROR(INDEX(单位档案!$D$6:$D$35,MATCH($E1008,单位档案!$A$6:$A$35,0)),"")),IFERROR(INDEX(项目档案!$E$6:$E$255,MATCH($C1008,项目档案!$A$6:$A$255,0)),"")),IF($N1008="二级",IF(IFERROR(INDEX(项目档案!$G$6:$G$255,MATCH($C1008,项目档案!$A$6:$A$255,0)),"")="",N(IFERROR(INDEX(单位档案!$D$6:$D$35,MATCH($E1008,单位档案!$A$6:$A$35,0)),"")),IFERROR(INDEX(项目档案!$G$6:$G$255,MATCH($C1008,项目档案!$A$6:$A$255,0)),"")),N(IFERROR(INDEX(单位档案!$D$6:$D$35,MATCH($E1008,单位档案!$A$6:$A$35,0)),"")))))</f>
        <v/>
      </c>
      <c r="J1008" s="22"/>
      <c r="K1008" s="22"/>
      <c r="L1008" s="33" t="str">
        <f aca="false">IF($B1008="","",IF(NOT(ISNUMBER($B1008)),"日期格式不对",IF($C1008="","未选项目编号",IF(LEFT($M1008,1)="⚠","项目编号不存在",IF($D1008="","未选业务类型",IF($E1008="","未选开票/付款方",IF(ISNA(MATCH($E1008,单位档案!$A$6:$A$35,0)),"开票方不在单位档案",IF($F1008="","未选收票/收款方",IF(ISNA(MATCH($F1008,单位档案!$A$6:$A$35,0)),"收款方不在单位档案",IF(NOT(ISNUMBER($H1008)),"金额须为数字",IF(AND($D1008="销项开票",$N1008="—"),"链条待确认","√")))))))))))</f>
        <v/>
      </c>
      <c r="M1008" s="34" t="str">
        <f aca="false">IF($C1008="","",IFERROR(INDEX(项目档案!$B$6:$B$255,MATCH($C1008,项目档案!$A$6:$A$255,0)),"⚠项目编号不存在"))</f>
        <v/>
      </c>
      <c r="N1008" s="35" t="str">
        <f aca="false">IF($E1008="","",IF($E1008=IFERROR(INDEX(项目档案!$D$6:$D$255,MATCH($C1008,项目档案!$A$6:$A$255,0)),""),"一级",IF($E1008=IFERROR(INDEX(项目档案!$F$6:$F$255,MATCH($C1008,项目档案!$A$6:$A$255,0)),""),"二级",IF($E1008=IFERROR(INDEX(项目档案!$H$6:$H$255,MATCH($C1008,项目档案!$A$6:$A$255,0)),""),"我方","—"))))</f>
        <v/>
      </c>
      <c r="O1008" s="36" t="n">
        <f aca="false">IF($D1008&lt;&gt;"销项开票",0,ROUND(N($H1008)*N($I1008),2))</f>
        <v>0</v>
      </c>
      <c r="P1008" s="36" t="n">
        <f aca="false">IF($D1008&lt;&gt;"销项开票",0,ROUND(N($H1008)-$O1008,2))</f>
        <v>0</v>
      </c>
      <c r="Q1008" s="37" t="str">
        <f aca="false">IF($E1008="","",N(IFERROR(INDEX(单位档案!$E$6:$E$35,MATCH($E1008,单位档案!$A$6:$A$35,0)),"")))</f>
        <v/>
      </c>
      <c r="R1008" s="37" t="str">
        <f aca="false">IF($E1008="","",N(IFERROR(INDEX(单位档案!$F$6:$F$35,MATCH($E1008,单位档案!$A$6:$A$35,0)),"")))</f>
        <v/>
      </c>
      <c r="S1008" s="36" t="n">
        <f aca="false">IF(OR($D1008&lt;&gt;"销项开票",IFERROR(INDEX(单位档案!$G$6:$G$35,MATCH($E1008,单位档案!$A$6:$A$35,0)),"")&lt;&gt;"是",N($Q1008)=0),0,IF(IFERROR(INDEX(单位档案!$H$6:$H$35,MATCH($E1008,单位档案!$A$6:$A$35,0)),"")="税差法",ROUND(N($H1008)/(1+$Q1008)*$Q1008-IF(N($R1008)=0,0,$P1008/(1+$R1008)*$R1008),2),ROUND(N($H1008)/(1+$Q1008)*$Q1008,2)))</f>
        <v>0</v>
      </c>
      <c r="T1008" s="36" t="n">
        <f aca="false">ROUND($S1008*N(IFERROR(INDEX(单位档案!$J$6:$J$35,MATCH($E1008,单位档案!$A$6:$A$35,0)),"")),2)</f>
        <v>0</v>
      </c>
      <c r="U1008" s="36" t="n">
        <f aca="false">IF($D1008&lt;&gt;"销项开票",0,ROUND(N($H1008)*N(IFERROR(INDEX(单位档案!$K$6:$K$35,MATCH($E1008,单位档案!$A$6:$A$35,0)),"")),2))</f>
        <v>0</v>
      </c>
      <c r="V1008" s="36" t="n">
        <f aca="false">IF(OR($D1008&lt;&gt;"销项开票",N($Q1008)=0),0,ROUND(N($H1008)/(1+$Q1008)*N(IFERROR(INDEX(单位档案!$L$6:$L$35,MATCH($E1008,单位档案!$A$6:$A$35,0)),"")),2))</f>
        <v>0</v>
      </c>
      <c r="W1008" s="36" t="n">
        <f aca="false">ROUND($S1008+$T1008+$U1008+$V1008,2)</f>
        <v>0</v>
      </c>
      <c r="X1008" s="35" t="str">
        <f aca="false">IF(OR($D1008="挂靠代收",$D1008="我方收款"),COUNTIFS($D$5:$D1008,"挂靠代收")+COUNTIFS($D$5:$D1008,"我方收款"),"")</f>
        <v/>
      </c>
      <c r="Y1008" s="35"/>
      <c r="Z1008" s="21" t="s">
        <v>111</v>
      </c>
    </row>
    <row r="1009" customFormat="false" ht="15.75" hidden="false" customHeight="true" outlineLevel="0" collapsed="false">
      <c r="A1009" s="32" t="str">
        <f aca="false">IF($B1009="","",ROW()-4)</f>
        <v/>
      </c>
      <c r="B1009" s="26"/>
      <c r="C1009" s="24"/>
      <c r="D1009" s="21"/>
      <c r="E1009" s="21"/>
      <c r="F1009" s="21"/>
      <c r="G1009" s="21"/>
      <c r="H1009" s="27"/>
      <c r="I1009" s="23" t="str">
        <f aca="false">IF($D1009&lt;&gt;"销项开票","",IF($N1009="一级",IF(IFERROR(INDEX(项目档案!$E$6:$E$255,MATCH($C1009,项目档案!$A$6:$A$255,0)),"")="",N(IFERROR(INDEX(单位档案!$D$6:$D$35,MATCH($E1009,单位档案!$A$6:$A$35,0)),"")),IFERROR(INDEX(项目档案!$E$6:$E$255,MATCH($C1009,项目档案!$A$6:$A$255,0)),"")),IF($N1009="二级",IF(IFERROR(INDEX(项目档案!$G$6:$G$255,MATCH($C1009,项目档案!$A$6:$A$255,0)),"")="",N(IFERROR(INDEX(单位档案!$D$6:$D$35,MATCH($E1009,单位档案!$A$6:$A$35,0)),"")),IFERROR(INDEX(项目档案!$G$6:$G$255,MATCH($C1009,项目档案!$A$6:$A$255,0)),"")),N(IFERROR(INDEX(单位档案!$D$6:$D$35,MATCH($E1009,单位档案!$A$6:$A$35,0)),"")))))</f>
        <v/>
      </c>
      <c r="J1009" s="22"/>
      <c r="K1009" s="22"/>
      <c r="L1009" s="33" t="str">
        <f aca="false">IF($B1009="","",IF(NOT(ISNUMBER($B1009)),"日期格式不对",IF($C1009="","未选项目编号",IF(LEFT($M1009,1)="⚠","项目编号不存在",IF($D1009="","未选业务类型",IF($E1009="","未选开票/付款方",IF(ISNA(MATCH($E1009,单位档案!$A$6:$A$35,0)),"开票方不在单位档案",IF($F1009="","未选收票/收款方",IF(ISNA(MATCH($F1009,单位档案!$A$6:$A$35,0)),"收款方不在单位档案",IF(NOT(ISNUMBER($H1009)),"金额须为数字",IF(AND($D1009="销项开票",$N1009="—"),"链条待确认","√")))))))))))</f>
        <v/>
      </c>
      <c r="M1009" s="34" t="str">
        <f aca="false">IF($C1009="","",IFERROR(INDEX(项目档案!$B$6:$B$255,MATCH($C1009,项目档案!$A$6:$A$255,0)),"⚠项目编号不存在"))</f>
        <v/>
      </c>
      <c r="N1009" s="35" t="str">
        <f aca="false">IF($E1009="","",IF($E1009=IFERROR(INDEX(项目档案!$D$6:$D$255,MATCH($C1009,项目档案!$A$6:$A$255,0)),""),"一级",IF($E1009=IFERROR(INDEX(项目档案!$F$6:$F$255,MATCH($C1009,项目档案!$A$6:$A$255,0)),""),"二级",IF($E1009=IFERROR(INDEX(项目档案!$H$6:$H$255,MATCH($C1009,项目档案!$A$6:$A$255,0)),""),"我方","—"))))</f>
        <v/>
      </c>
      <c r="O1009" s="36" t="n">
        <f aca="false">IF($D1009&lt;&gt;"销项开票",0,ROUND(N($H1009)*N($I1009),2))</f>
        <v>0</v>
      </c>
      <c r="P1009" s="36" t="n">
        <f aca="false">IF($D1009&lt;&gt;"销项开票",0,ROUND(N($H1009)-$O1009,2))</f>
        <v>0</v>
      </c>
      <c r="Q1009" s="37" t="str">
        <f aca="false">IF($E1009="","",N(IFERROR(INDEX(单位档案!$E$6:$E$35,MATCH($E1009,单位档案!$A$6:$A$35,0)),"")))</f>
        <v/>
      </c>
      <c r="R1009" s="37" t="str">
        <f aca="false">IF($E1009="","",N(IFERROR(INDEX(单位档案!$F$6:$F$35,MATCH($E1009,单位档案!$A$6:$A$35,0)),"")))</f>
        <v/>
      </c>
      <c r="S1009" s="36" t="n">
        <f aca="false">IF(OR($D1009&lt;&gt;"销项开票",IFERROR(INDEX(单位档案!$G$6:$G$35,MATCH($E1009,单位档案!$A$6:$A$35,0)),"")&lt;&gt;"是",N($Q1009)=0),0,IF(IFERROR(INDEX(单位档案!$H$6:$H$35,MATCH($E1009,单位档案!$A$6:$A$35,0)),"")="税差法",ROUND(N($H1009)/(1+$Q1009)*$Q1009-IF(N($R1009)=0,0,$P1009/(1+$R1009)*$R1009),2),ROUND(N($H1009)/(1+$Q1009)*$Q1009,2)))</f>
        <v>0</v>
      </c>
      <c r="T1009" s="36" t="n">
        <f aca="false">ROUND($S1009*N(IFERROR(INDEX(单位档案!$J$6:$J$35,MATCH($E1009,单位档案!$A$6:$A$35,0)),"")),2)</f>
        <v>0</v>
      </c>
      <c r="U1009" s="36" t="n">
        <f aca="false">IF($D1009&lt;&gt;"销项开票",0,ROUND(N($H1009)*N(IFERROR(INDEX(单位档案!$K$6:$K$35,MATCH($E1009,单位档案!$A$6:$A$35,0)),"")),2))</f>
        <v>0</v>
      </c>
      <c r="V1009" s="36" t="n">
        <f aca="false">IF(OR($D1009&lt;&gt;"销项开票",N($Q1009)=0),0,ROUND(N($H1009)/(1+$Q1009)*N(IFERROR(INDEX(单位档案!$L$6:$L$35,MATCH($E1009,单位档案!$A$6:$A$35,0)),"")),2))</f>
        <v>0</v>
      </c>
      <c r="W1009" s="36" t="n">
        <f aca="false">ROUND($S1009+$T1009+$U1009+$V1009,2)</f>
        <v>0</v>
      </c>
      <c r="X1009" s="35" t="str">
        <f aca="false">IF(OR($D1009="挂靠代收",$D1009="我方收款"),COUNTIFS($D$5:$D1009,"挂靠代收")+COUNTIFS($D$5:$D1009,"我方收款"),"")</f>
        <v/>
      </c>
      <c r="Y1009" s="35"/>
      <c r="Z1009" s="21" t="s">
        <v>111</v>
      </c>
    </row>
    <row r="1010" customFormat="false" ht="15.75" hidden="false" customHeight="true" outlineLevel="0" collapsed="false">
      <c r="A1010" s="32" t="str">
        <f aca="false">IF($B1010="","",ROW()-4)</f>
        <v/>
      </c>
      <c r="B1010" s="26"/>
      <c r="C1010" s="24"/>
      <c r="D1010" s="21"/>
      <c r="E1010" s="21"/>
      <c r="F1010" s="21"/>
      <c r="G1010" s="21"/>
      <c r="H1010" s="27"/>
      <c r="I1010" s="23" t="str">
        <f aca="false">IF($D1010&lt;&gt;"销项开票","",IF($N1010="一级",IF(IFERROR(INDEX(项目档案!$E$6:$E$255,MATCH($C1010,项目档案!$A$6:$A$255,0)),"")="",N(IFERROR(INDEX(单位档案!$D$6:$D$35,MATCH($E1010,单位档案!$A$6:$A$35,0)),"")),IFERROR(INDEX(项目档案!$E$6:$E$255,MATCH($C1010,项目档案!$A$6:$A$255,0)),"")),IF($N1010="二级",IF(IFERROR(INDEX(项目档案!$G$6:$G$255,MATCH($C1010,项目档案!$A$6:$A$255,0)),"")="",N(IFERROR(INDEX(单位档案!$D$6:$D$35,MATCH($E1010,单位档案!$A$6:$A$35,0)),"")),IFERROR(INDEX(项目档案!$G$6:$G$255,MATCH($C1010,项目档案!$A$6:$A$255,0)),"")),N(IFERROR(INDEX(单位档案!$D$6:$D$35,MATCH($E1010,单位档案!$A$6:$A$35,0)),"")))))</f>
        <v/>
      </c>
      <c r="J1010" s="22"/>
      <c r="K1010" s="22"/>
      <c r="L1010" s="33" t="str">
        <f aca="false">IF($B1010="","",IF(NOT(ISNUMBER($B1010)),"日期格式不对",IF($C1010="","未选项目编号",IF(LEFT($M1010,1)="⚠","项目编号不存在",IF($D1010="","未选业务类型",IF($E1010="","未选开票/付款方",IF(ISNA(MATCH($E1010,单位档案!$A$6:$A$35,0)),"开票方不在单位档案",IF($F1010="","未选收票/收款方",IF(ISNA(MATCH($F1010,单位档案!$A$6:$A$35,0)),"收款方不在单位档案",IF(NOT(ISNUMBER($H1010)),"金额须为数字",IF(AND($D1010="销项开票",$N1010="—"),"链条待确认","√")))))))))))</f>
        <v/>
      </c>
      <c r="M1010" s="34" t="str">
        <f aca="false">IF($C1010="","",IFERROR(INDEX(项目档案!$B$6:$B$255,MATCH($C1010,项目档案!$A$6:$A$255,0)),"⚠项目编号不存在"))</f>
        <v/>
      </c>
      <c r="N1010" s="35" t="str">
        <f aca="false">IF($E1010="","",IF($E1010=IFERROR(INDEX(项目档案!$D$6:$D$255,MATCH($C1010,项目档案!$A$6:$A$255,0)),""),"一级",IF($E1010=IFERROR(INDEX(项目档案!$F$6:$F$255,MATCH($C1010,项目档案!$A$6:$A$255,0)),""),"二级",IF($E1010=IFERROR(INDEX(项目档案!$H$6:$H$255,MATCH($C1010,项目档案!$A$6:$A$255,0)),""),"我方","—"))))</f>
        <v/>
      </c>
      <c r="O1010" s="36" t="n">
        <f aca="false">IF($D1010&lt;&gt;"销项开票",0,ROUND(N($H1010)*N($I1010),2))</f>
        <v>0</v>
      </c>
      <c r="P1010" s="36" t="n">
        <f aca="false">IF($D1010&lt;&gt;"销项开票",0,ROUND(N($H1010)-$O1010,2))</f>
        <v>0</v>
      </c>
      <c r="Q1010" s="37" t="str">
        <f aca="false">IF($E1010="","",N(IFERROR(INDEX(单位档案!$E$6:$E$35,MATCH($E1010,单位档案!$A$6:$A$35,0)),"")))</f>
        <v/>
      </c>
      <c r="R1010" s="37" t="str">
        <f aca="false">IF($E1010="","",N(IFERROR(INDEX(单位档案!$F$6:$F$35,MATCH($E1010,单位档案!$A$6:$A$35,0)),"")))</f>
        <v/>
      </c>
      <c r="S1010" s="36" t="n">
        <f aca="false">IF(OR($D1010&lt;&gt;"销项开票",IFERROR(INDEX(单位档案!$G$6:$G$35,MATCH($E1010,单位档案!$A$6:$A$35,0)),"")&lt;&gt;"是",N($Q1010)=0),0,IF(IFERROR(INDEX(单位档案!$H$6:$H$35,MATCH($E1010,单位档案!$A$6:$A$35,0)),"")="税差法",ROUND(N($H1010)/(1+$Q1010)*$Q1010-IF(N($R1010)=0,0,$P1010/(1+$R1010)*$R1010),2),ROUND(N($H1010)/(1+$Q1010)*$Q1010,2)))</f>
        <v>0</v>
      </c>
      <c r="T1010" s="36" t="n">
        <f aca="false">ROUND($S1010*N(IFERROR(INDEX(单位档案!$J$6:$J$35,MATCH($E1010,单位档案!$A$6:$A$35,0)),"")),2)</f>
        <v>0</v>
      </c>
      <c r="U1010" s="36" t="n">
        <f aca="false">IF($D1010&lt;&gt;"销项开票",0,ROUND(N($H1010)*N(IFERROR(INDEX(单位档案!$K$6:$K$35,MATCH($E1010,单位档案!$A$6:$A$35,0)),"")),2))</f>
        <v>0</v>
      </c>
      <c r="V1010" s="36" t="n">
        <f aca="false">IF(OR($D1010&lt;&gt;"销项开票",N($Q1010)=0),0,ROUND(N($H1010)/(1+$Q1010)*N(IFERROR(INDEX(单位档案!$L$6:$L$35,MATCH($E1010,单位档案!$A$6:$A$35,0)),"")),2))</f>
        <v>0</v>
      </c>
      <c r="W1010" s="36" t="n">
        <f aca="false">ROUND($S1010+$T1010+$U1010+$V1010,2)</f>
        <v>0</v>
      </c>
      <c r="X1010" s="35" t="str">
        <f aca="false">IF(OR($D1010="挂靠代收",$D1010="我方收款"),COUNTIFS($D$5:$D1010,"挂靠代收")+COUNTIFS($D$5:$D1010,"我方收款"),"")</f>
        <v/>
      </c>
      <c r="Y1010" s="35"/>
      <c r="Z1010" s="21" t="s">
        <v>111</v>
      </c>
    </row>
    <row r="1011" customFormat="false" ht="15.75" hidden="false" customHeight="true" outlineLevel="0" collapsed="false">
      <c r="A1011" s="32" t="str">
        <f aca="false">IF($B1011="","",ROW()-4)</f>
        <v/>
      </c>
      <c r="B1011" s="26"/>
      <c r="C1011" s="24"/>
      <c r="D1011" s="21"/>
      <c r="E1011" s="21"/>
      <c r="F1011" s="21"/>
      <c r="G1011" s="21"/>
      <c r="H1011" s="27"/>
      <c r="I1011" s="23" t="str">
        <f aca="false">IF($D1011&lt;&gt;"销项开票","",IF($N1011="一级",IF(IFERROR(INDEX(项目档案!$E$6:$E$255,MATCH($C1011,项目档案!$A$6:$A$255,0)),"")="",N(IFERROR(INDEX(单位档案!$D$6:$D$35,MATCH($E1011,单位档案!$A$6:$A$35,0)),"")),IFERROR(INDEX(项目档案!$E$6:$E$255,MATCH($C1011,项目档案!$A$6:$A$255,0)),"")),IF($N1011="二级",IF(IFERROR(INDEX(项目档案!$G$6:$G$255,MATCH($C1011,项目档案!$A$6:$A$255,0)),"")="",N(IFERROR(INDEX(单位档案!$D$6:$D$35,MATCH($E1011,单位档案!$A$6:$A$35,0)),"")),IFERROR(INDEX(项目档案!$G$6:$G$255,MATCH($C1011,项目档案!$A$6:$A$255,0)),"")),N(IFERROR(INDEX(单位档案!$D$6:$D$35,MATCH($E1011,单位档案!$A$6:$A$35,0)),"")))))</f>
        <v/>
      </c>
      <c r="J1011" s="22"/>
      <c r="K1011" s="22"/>
      <c r="L1011" s="33" t="str">
        <f aca="false">IF($B1011="","",IF(NOT(ISNUMBER($B1011)),"日期格式不对",IF($C1011="","未选项目编号",IF(LEFT($M1011,1)="⚠","项目编号不存在",IF($D1011="","未选业务类型",IF($E1011="","未选开票/付款方",IF(ISNA(MATCH($E1011,单位档案!$A$6:$A$35,0)),"开票方不在单位档案",IF($F1011="","未选收票/收款方",IF(ISNA(MATCH($F1011,单位档案!$A$6:$A$35,0)),"收款方不在单位档案",IF(NOT(ISNUMBER($H1011)),"金额须为数字",IF(AND($D1011="销项开票",$N1011="—"),"链条待确认","√")))))))))))</f>
        <v/>
      </c>
      <c r="M1011" s="34" t="str">
        <f aca="false">IF($C1011="","",IFERROR(INDEX(项目档案!$B$6:$B$255,MATCH($C1011,项目档案!$A$6:$A$255,0)),"⚠项目编号不存在"))</f>
        <v/>
      </c>
      <c r="N1011" s="35" t="str">
        <f aca="false">IF($E1011="","",IF($E1011=IFERROR(INDEX(项目档案!$D$6:$D$255,MATCH($C1011,项目档案!$A$6:$A$255,0)),""),"一级",IF($E1011=IFERROR(INDEX(项目档案!$F$6:$F$255,MATCH($C1011,项目档案!$A$6:$A$255,0)),""),"二级",IF($E1011=IFERROR(INDEX(项目档案!$H$6:$H$255,MATCH($C1011,项目档案!$A$6:$A$255,0)),""),"我方","—"))))</f>
        <v/>
      </c>
      <c r="O1011" s="36" t="n">
        <f aca="false">IF($D1011&lt;&gt;"销项开票",0,ROUND(N($H1011)*N($I1011),2))</f>
        <v>0</v>
      </c>
      <c r="P1011" s="36" t="n">
        <f aca="false">IF($D1011&lt;&gt;"销项开票",0,ROUND(N($H1011)-$O1011,2))</f>
        <v>0</v>
      </c>
      <c r="Q1011" s="37" t="str">
        <f aca="false">IF($E1011="","",N(IFERROR(INDEX(单位档案!$E$6:$E$35,MATCH($E1011,单位档案!$A$6:$A$35,0)),"")))</f>
        <v/>
      </c>
      <c r="R1011" s="37" t="str">
        <f aca="false">IF($E1011="","",N(IFERROR(INDEX(单位档案!$F$6:$F$35,MATCH($E1011,单位档案!$A$6:$A$35,0)),"")))</f>
        <v/>
      </c>
      <c r="S1011" s="36" t="n">
        <f aca="false">IF(OR($D1011&lt;&gt;"销项开票",IFERROR(INDEX(单位档案!$G$6:$G$35,MATCH($E1011,单位档案!$A$6:$A$35,0)),"")&lt;&gt;"是",N($Q1011)=0),0,IF(IFERROR(INDEX(单位档案!$H$6:$H$35,MATCH($E1011,单位档案!$A$6:$A$35,0)),"")="税差法",ROUND(N($H1011)/(1+$Q1011)*$Q1011-IF(N($R1011)=0,0,$P1011/(1+$R1011)*$R1011),2),ROUND(N($H1011)/(1+$Q1011)*$Q1011,2)))</f>
        <v>0</v>
      </c>
      <c r="T1011" s="36" t="n">
        <f aca="false">ROUND($S1011*N(IFERROR(INDEX(单位档案!$J$6:$J$35,MATCH($E1011,单位档案!$A$6:$A$35,0)),"")),2)</f>
        <v>0</v>
      </c>
      <c r="U1011" s="36" t="n">
        <f aca="false">IF($D1011&lt;&gt;"销项开票",0,ROUND(N($H1011)*N(IFERROR(INDEX(单位档案!$K$6:$K$35,MATCH($E1011,单位档案!$A$6:$A$35,0)),"")),2))</f>
        <v>0</v>
      </c>
      <c r="V1011" s="36" t="n">
        <f aca="false">IF(OR($D1011&lt;&gt;"销项开票",N($Q1011)=0),0,ROUND(N($H1011)/(1+$Q1011)*N(IFERROR(INDEX(单位档案!$L$6:$L$35,MATCH($E1011,单位档案!$A$6:$A$35,0)),"")),2))</f>
        <v>0</v>
      </c>
      <c r="W1011" s="36" t="n">
        <f aca="false">ROUND($S1011+$T1011+$U1011+$V1011,2)</f>
        <v>0</v>
      </c>
      <c r="X1011" s="35" t="str">
        <f aca="false">IF(OR($D1011="挂靠代收",$D1011="我方收款"),COUNTIFS($D$5:$D1011,"挂靠代收")+COUNTIFS($D$5:$D1011,"我方收款"),"")</f>
        <v/>
      </c>
      <c r="Y1011" s="35"/>
      <c r="Z1011" s="21" t="s">
        <v>111</v>
      </c>
    </row>
    <row r="1012" customFormat="false" ht="15.75" hidden="false" customHeight="true" outlineLevel="0" collapsed="false">
      <c r="A1012" s="32" t="str">
        <f aca="false">IF($B1012="","",ROW()-4)</f>
        <v/>
      </c>
      <c r="B1012" s="26"/>
      <c r="C1012" s="24"/>
      <c r="D1012" s="21"/>
      <c r="E1012" s="21"/>
      <c r="F1012" s="21"/>
      <c r="G1012" s="21"/>
      <c r="H1012" s="27"/>
      <c r="I1012" s="23" t="str">
        <f aca="false">IF($D1012&lt;&gt;"销项开票","",IF($N1012="一级",IF(IFERROR(INDEX(项目档案!$E$6:$E$255,MATCH($C1012,项目档案!$A$6:$A$255,0)),"")="",N(IFERROR(INDEX(单位档案!$D$6:$D$35,MATCH($E1012,单位档案!$A$6:$A$35,0)),"")),IFERROR(INDEX(项目档案!$E$6:$E$255,MATCH($C1012,项目档案!$A$6:$A$255,0)),"")),IF($N1012="二级",IF(IFERROR(INDEX(项目档案!$G$6:$G$255,MATCH($C1012,项目档案!$A$6:$A$255,0)),"")="",N(IFERROR(INDEX(单位档案!$D$6:$D$35,MATCH($E1012,单位档案!$A$6:$A$35,0)),"")),IFERROR(INDEX(项目档案!$G$6:$G$255,MATCH($C1012,项目档案!$A$6:$A$255,0)),"")),N(IFERROR(INDEX(单位档案!$D$6:$D$35,MATCH($E1012,单位档案!$A$6:$A$35,0)),"")))))</f>
        <v/>
      </c>
      <c r="J1012" s="22"/>
      <c r="K1012" s="22"/>
      <c r="L1012" s="33" t="str">
        <f aca="false">IF($B1012="","",IF(NOT(ISNUMBER($B1012)),"日期格式不对",IF($C1012="","未选项目编号",IF(LEFT($M1012,1)="⚠","项目编号不存在",IF($D1012="","未选业务类型",IF($E1012="","未选开票/付款方",IF(ISNA(MATCH($E1012,单位档案!$A$6:$A$35,0)),"开票方不在单位档案",IF($F1012="","未选收票/收款方",IF(ISNA(MATCH($F1012,单位档案!$A$6:$A$35,0)),"收款方不在单位档案",IF(NOT(ISNUMBER($H1012)),"金额须为数字",IF(AND($D1012="销项开票",$N1012="—"),"链条待确认","√")))))))))))</f>
        <v/>
      </c>
      <c r="M1012" s="34" t="str">
        <f aca="false">IF($C1012="","",IFERROR(INDEX(项目档案!$B$6:$B$255,MATCH($C1012,项目档案!$A$6:$A$255,0)),"⚠项目编号不存在"))</f>
        <v/>
      </c>
      <c r="N1012" s="35" t="str">
        <f aca="false">IF($E1012="","",IF($E1012=IFERROR(INDEX(项目档案!$D$6:$D$255,MATCH($C1012,项目档案!$A$6:$A$255,0)),""),"一级",IF($E1012=IFERROR(INDEX(项目档案!$F$6:$F$255,MATCH($C1012,项目档案!$A$6:$A$255,0)),""),"二级",IF($E1012=IFERROR(INDEX(项目档案!$H$6:$H$255,MATCH($C1012,项目档案!$A$6:$A$255,0)),""),"我方","—"))))</f>
        <v/>
      </c>
      <c r="O1012" s="36" t="n">
        <f aca="false">IF($D1012&lt;&gt;"销项开票",0,ROUND(N($H1012)*N($I1012),2))</f>
        <v>0</v>
      </c>
      <c r="P1012" s="36" t="n">
        <f aca="false">IF($D1012&lt;&gt;"销项开票",0,ROUND(N($H1012)-$O1012,2))</f>
        <v>0</v>
      </c>
      <c r="Q1012" s="37" t="str">
        <f aca="false">IF($E1012="","",N(IFERROR(INDEX(单位档案!$E$6:$E$35,MATCH($E1012,单位档案!$A$6:$A$35,0)),"")))</f>
        <v/>
      </c>
      <c r="R1012" s="37" t="str">
        <f aca="false">IF($E1012="","",N(IFERROR(INDEX(单位档案!$F$6:$F$35,MATCH($E1012,单位档案!$A$6:$A$35,0)),"")))</f>
        <v/>
      </c>
      <c r="S1012" s="36" t="n">
        <f aca="false">IF(OR($D1012&lt;&gt;"销项开票",IFERROR(INDEX(单位档案!$G$6:$G$35,MATCH($E1012,单位档案!$A$6:$A$35,0)),"")&lt;&gt;"是",N($Q1012)=0),0,IF(IFERROR(INDEX(单位档案!$H$6:$H$35,MATCH($E1012,单位档案!$A$6:$A$35,0)),"")="税差法",ROUND(N($H1012)/(1+$Q1012)*$Q1012-IF(N($R1012)=0,0,$P1012/(1+$R1012)*$R1012),2),ROUND(N($H1012)/(1+$Q1012)*$Q1012,2)))</f>
        <v>0</v>
      </c>
      <c r="T1012" s="36" t="n">
        <f aca="false">ROUND($S1012*N(IFERROR(INDEX(单位档案!$J$6:$J$35,MATCH($E1012,单位档案!$A$6:$A$35,0)),"")),2)</f>
        <v>0</v>
      </c>
      <c r="U1012" s="36" t="n">
        <f aca="false">IF($D1012&lt;&gt;"销项开票",0,ROUND(N($H1012)*N(IFERROR(INDEX(单位档案!$K$6:$K$35,MATCH($E1012,单位档案!$A$6:$A$35,0)),"")),2))</f>
        <v>0</v>
      </c>
      <c r="V1012" s="36" t="n">
        <f aca="false">IF(OR($D1012&lt;&gt;"销项开票",N($Q1012)=0),0,ROUND(N($H1012)/(1+$Q1012)*N(IFERROR(INDEX(单位档案!$L$6:$L$35,MATCH($E1012,单位档案!$A$6:$A$35,0)),"")),2))</f>
        <v>0</v>
      </c>
      <c r="W1012" s="36" t="n">
        <f aca="false">ROUND($S1012+$T1012+$U1012+$V1012,2)</f>
        <v>0</v>
      </c>
      <c r="X1012" s="35" t="str">
        <f aca="false">IF(OR($D1012="挂靠代收",$D1012="我方收款"),COUNTIFS($D$5:$D1012,"挂靠代收")+COUNTIFS($D$5:$D1012,"我方收款"),"")</f>
        <v/>
      </c>
      <c r="Y1012" s="35"/>
      <c r="Z1012" s="21" t="s">
        <v>111</v>
      </c>
    </row>
    <row r="1013" customFormat="false" ht="15.75" hidden="false" customHeight="true" outlineLevel="0" collapsed="false">
      <c r="A1013" s="32" t="str">
        <f aca="false">IF($B1013="","",ROW()-4)</f>
        <v/>
      </c>
      <c r="B1013" s="26"/>
      <c r="C1013" s="24"/>
      <c r="D1013" s="21"/>
      <c r="E1013" s="21"/>
      <c r="F1013" s="21"/>
      <c r="G1013" s="21"/>
      <c r="H1013" s="27"/>
      <c r="I1013" s="23" t="str">
        <f aca="false">IF($D1013&lt;&gt;"销项开票","",IF($N1013="一级",IF(IFERROR(INDEX(项目档案!$E$6:$E$255,MATCH($C1013,项目档案!$A$6:$A$255,0)),"")="",N(IFERROR(INDEX(单位档案!$D$6:$D$35,MATCH($E1013,单位档案!$A$6:$A$35,0)),"")),IFERROR(INDEX(项目档案!$E$6:$E$255,MATCH($C1013,项目档案!$A$6:$A$255,0)),"")),IF($N1013="二级",IF(IFERROR(INDEX(项目档案!$G$6:$G$255,MATCH($C1013,项目档案!$A$6:$A$255,0)),"")="",N(IFERROR(INDEX(单位档案!$D$6:$D$35,MATCH($E1013,单位档案!$A$6:$A$35,0)),"")),IFERROR(INDEX(项目档案!$G$6:$G$255,MATCH($C1013,项目档案!$A$6:$A$255,0)),"")),N(IFERROR(INDEX(单位档案!$D$6:$D$35,MATCH($E1013,单位档案!$A$6:$A$35,0)),"")))))</f>
        <v/>
      </c>
      <c r="J1013" s="22"/>
      <c r="K1013" s="22"/>
      <c r="L1013" s="33" t="str">
        <f aca="false">IF($B1013="","",IF(NOT(ISNUMBER($B1013)),"日期格式不对",IF($C1013="","未选项目编号",IF(LEFT($M1013,1)="⚠","项目编号不存在",IF($D1013="","未选业务类型",IF($E1013="","未选开票/付款方",IF(ISNA(MATCH($E1013,单位档案!$A$6:$A$35,0)),"开票方不在单位档案",IF($F1013="","未选收票/收款方",IF(ISNA(MATCH($F1013,单位档案!$A$6:$A$35,0)),"收款方不在单位档案",IF(NOT(ISNUMBER($H1013)),"金额须为数字",IF(AND($D1013="销项开票",$N1013="—"),"链条待确认","√")))))))))))</f>
        <v/>
      </c>
      <c r="M1013" s="34" t="str">
        <f aca="false">IF($C1013="","",IFERROR(INDEX(项目档案!$B$6:$B$255,MATCH($C1013,项目档案!$A$6:$A$255,0)),"⚠项目编号不存在"))</f>
        <v/>
      </c>
      <c r="N1013" s="35" t="str">
        <f aca="false">IF($E1013="","",IF($E1013=IFERROR(INDEX(项目档案!$D$6:$D$255,MATCH($C1013,项目档案!$A$6:$A$255,0)),""),"一级",IF($E1013=IFERROR(INDEX(项目档案!$F$6:$F$255,MATCH($C1013,项目档案!$A$6:$A$255,0)),""),"二级",IF($E1013=IFERROR(INDEX(项目档案!$H$6:$H$255,MATCH($C1013,项目档案!$A$6:$A$255,0)),""),"我方","—"))))</f>
        <v/>
      </c>
      <c r="O1013" s="36" t="n">
        <f aca="false">IF($D1013&lt;&gt;"销项开票",0,ROUND(N($H1013)*N($I1013),2))</f>
        <v>0</v>
      </c>
      <c r="P1013" s="36" t="n">
        <f aca="false">IF($D1013&lt;&gt;"销项开票",0,ROUND(N($H1013)-$O1013,2))</f>
        <v>0</v>
      </c>
      <c r="Q1013" s="37" t="str">
        <f aca="false">IF($E1013="","",N(IFERROR(INDEX(单位档案!$E$6:$E$35,MATCH($E1013,单位档案!$A$6:$A$35,0)),"")))</f>
        <v/>
      </c>
      <c r="R1013" s="37" t="str">
        <f aca="false">IF($E1013="","",N(IFERROR(INDEX(单位档案!$F$6:$F$35,MATCH($E1013,单位档案!$A$6:$A$35,0)),"")))</f>
        <v/>
      </c>
      <c r="S1013" s="36" t="n">
        <f aca="false">IF(OR($D1013&lt;&gt;"销项开票",IFERROR(INDEX(单位档案!$G$6:$G$35,MATCH($E1013,单位档案!$A$6:$A$35,0)),"")&lt;&gt;"是",N($Q1013)=0),0,IF(IFERROR(INDEX(单位档案!$H$6:$H$35,MATCH($E1013,单位档案!$A$6:$A$35,0)),"")="税差法",ROUND(N($H1013)/(1+$Q1013)*$Q1013-IF(N($R1013)=0,0,$P1013/(1+$R1013)*$R1013),2),ROUND(N($H1013)/(1+$Q1013)*$Q1013,2)))</f>
        <v>0</v>
      </c>
      <c r="T1013" s="36" t="n">
        <f aca="false">ROUND($S1013*N(IFERROR(INDEX(单位档案!$J$6:$J$35,MATCH($E1013,单位档案!$A$6:$A$35,0)),"")),2)</f>
        <v>0</v>
      </c>
      <c r="U1013" s="36" t="n">
        <f aca="false">IF($D1013&lt;&gt;"销项开票",0,ROUND(N($H1013)*N(IFERROR(INDEX(单位档案!$K$6:$K$35,MATCH($E1013,单位档案!$A$6:$A$35,0)),"")),2))</f>
        <v>0</v>
      </c>
      <c r="V1013" s="36" t="n">
        <f aca="false">IF(OR($D1013&lt;&gt;"销项开票",N($Q1013)=0),0,ROUND(N($H1013)/(1+$Q1013)*N(IFERROR(INDEX(单位档案!$L$6:$L$35,MATCH($E1013,单位档案!$A$6:$A$35,0)),"")),2))</f>
        <v>0</v>
      </c>
      <c r="W1013" s="36" t="n">
        <f aca="false">ROUND($S1013+$T1013+$U1013+$V1013,2)</f>
        <v>0</v>
      </c>
      <c r="X1013" s="35" t="str">
        <f aca="false">IF(OR($D1013="挂靠代收",$D1013="我方收款"),COUNTIFS($D$5:$D1013,"挂靠代收")+COUNTIFS($D$5:$D1013,"我方收款"),"")</f>
        <v/>
      </c>
      <c r="Y1013" s="35"/>
      <c r="Z1013" s="21" t="s">
        <v>111</v>
      </c>
    </row>
    <row r="1014" customFormat="false" ht="15.75" hidden="false" customHeight="true" outlineLevel="0" collapsed="false">
      <c r="A1014" s="32" t="str">
        <f aca="false">IF($B1014="","",ROW()-4)</f>
        <v/>
      </c>
      <c r="B1014" s="26"/>
      <c r="C1014" s="24"/>
      <c r="D1014" s="21"/>
      <c r="E1014" s="21"/>
      <c r="F1014" s="21"/>
      <c r="G1014" s="21"/>
      <c r="H1014" s="27"/>
      <c r="I1014" s="23" t="str">
        <f aca="false">IF($D1014&lt;&gt;"销项开票","",IF($N1014="一级",IF(IFERROR(INDEX(项目档案!$E$6:$E$255,MATCH($C1014,项目档案!$A$6:$A$255,0)),"")="",N(IFERROR(INDEX(单位档案!$D$6:$D$35,MATCH($E1014,单位档案!$A$6:$A$35,0)),"")),IFERROR(INDEX(项目档案!$E$6:$E$255,MATCH($C1014,项目档案!$A$6:$A$255,0)),"")),IF($N1014="二级",IF(IFERROR(INDEX(项目档案!$G$6:$G$255,MATCH($C1014,项目档案!$A$6:$A$255,0)),"")="",N(IFERROR(INDEX(单位档案!$D$6:$D$35,MATCH($E1014,单位档案!$A$6:$A$35,0)),"")),IFERROR(INDEX(项目档案!$G$6:$G$255,MATCH($C1014,项目档案!$A$6:$A$255,0)),"")),N(IFERROR(INDEX(单位档案!$D$6:$D$35,MATCH($E1014,单位档案!$A$6:$A$35,0)),"")))))</f>
        <v/>
      </c>
      <c r="J1014" s="22"/>
      <c r="K1014" s="22"/>
      <c r="L1014" s="33" t="str">
        <f aca="false">IF($B1014="","",IF(NOT(ISNUMBER($B1014)),"日期格式不对",IF($C1014="","未选项目编号",IF(LEFT($M1014,1)="⚠","项目编号不存在",IF($D1014="","未选业务类型",IF($E1014="","未选开票/付款方",IF(ISNA(MATCH($E1014,单位档案!$A$6:$A$35,0)),"开票方不在单位档案",IF($F1014="","未选收票/收款方",IF(ISNA(MATCH($F1014,单位档案!$A$6:$A$35,0)),"收款方不在单位档案",IF(NOT(ISNUMBER($H1014)),"金额须为数字",IF(AND($D1014="销项开票",$N1014="—"),"链条待确认","√")))))))))))</f>
        <v/>
      </c>
      <c r="M1014" s="34" t="str">
        <f aca="false">IF($C1014="","",IFERROR(INDEX(项目档案!$B$6:$B$255,MATCH($C1014,项目档案!$A$6:$A$255,0)),"⚠项目编号不存在"))</f>
        <v/>
      </c>
      <c r="N1014" s="35" t="str">
        <f aca="false">IF($E1014="","",IF($E1014=IFERROR(INDEX(项目档案!$D$6:$D$255,MATCH($C1014,项目档案!$A$6:$A$255,0)),""),"一级",IF($E1014=IFERROR(INDEX(项目档案!$F$6:$F$255,MATCH($C1014,项目档案!$A$6:$A$255,0)),""),"二级",IF($E1014=IFERROR(INDEX(项目档案!$H$6:$H$255,MATCH($C1014,项目档案!$A$6:$A$255,0)),""),"我方","—"))))</f>
        <v/>
      </c>
      <c r="O1014" s="36" t="n">
        <f aca="false">IF($D1014&lt;&gt;"销项开票",0,ROUND(N($H1014)*N($I1014),2))</f>
        <v>0</v>
      </c>
      <c r="P1014" s="36" t="n">
        <f aca="false">IF($D1014&lt;&gt;"销项开票",0,ROUND(N($H1014)-$O1014,2))</f>
        <v>0</v>
      </c>
      <c r="Q1014" s="37" t="str">
        <f aca="false">IF($E1014="","",N(IFERROR(INDEX(单位档案!$E$6:$E$35,MATCH($E1014,单位档案!$A$6:$A$35,0)),"")))</f>
        <v/>
      </c>
      <c r="R1014" s="37" t="str">
        <f aca="false">IF($E1014="","",N(IFERROR(INDEX(单位档案!$F$6:$F$35,MATCH($E1014,单位档案!$A$6:$A$35,0)),"")))</f>
        <v/>
      </c>
      <c r="S1014" s="36" t="n">
        <f aca="false">IF(OR($D1014&lt;&gt;"销项开票",IFERROR(INDEX(单位档案!$G$6:$G$35,MATCH($E1014,单位档案!$A$6:$A$35,0)),"")&lt;&gt;"是",N($Q1014)=0),0,IF(IFERROR(INDEX(单位档案!$H$6:$H$35,MATCH($E1014,单位档案!$A$6:$A$35,0)),"")="税差法",ROUND(N($H1014)/(1+$Q1014)*$Q1014-IF(N($R1014)=0,0,$P1014/(1+$R1014)*$R1014),2),ROUND(N($H1014)/(1+$Q1014)*$Q1014,2)))</f>
        <v>0</v>
      </c>
      <c r="T1014" s="36" t="n">
        <f aca="false">ROUND($S1014*N(IFERROR(INDEX(单位档案!$J$6:$J$35,MATCH($E1014,单位档案!$A$6:$A$35,0)),"")),2)</f>
        <v>0</v>
      </c>
      <c r="U1014" s="36" t="n">
        <f aca="false">IF($D1014&lt;&gt;"销项开票",0,ROUND(N($H1014)*N(IFERROR(INDEX(单位档案!$K$6:$K$35,MATCH($E1014,单位档案!$A$6:$A$35,0)),"")),2))</f>
        <v>0</v>
      </c>
      <c r="V1014" s="36" t="n">
        <f aca="false">IF(OR($D1014&lt;&gt;"销项开票",N($Q1014)=0),0,ROUND(N($H1014)/(1+$Q1014)*N(IFERROR(INDEX(单位档案!$L$6:$L$35,MATCH($E1014,单位档案!$A$6:$A$35,0)),"")),2))</f>
        <v>0</v>
      </c>
      <c r="W1014" s="36" t="n">
        <f aca="false">ROUND($S1014+$T1014+$U1014+$V1014,2)</f>
        <v>0</v>
      </c>
      <c r="X1014" s="35" t="str">
        <f aca="false">IF(OR($D1014="挂靠代收",$D1014="我方收款"),COUNTIFS($D$5:$D1014,"挂靠代收")+COUNTIFS($D$5:$D1014,"我方收款"),"")</f>
        <v/>
      </c>
      <c r="Y1014" s="35"/>
      <c r="Z1014" s="21" t="s">
        <v>111</v>
      </c>
    </row>
    <row r="1015" customFormat="false" ht="15.75" hidden="false" customHeight="true" outlineLevel="0" collapsed="false">
      <c r="A1015" s="32" t="str">
        <f aca="false">IF($B1015="","",ROW()-4)</f>
        <v/>
      </c>
      <c r="B1015" s="26"/>
      <c r="C1015" s="24"/>
      <c r="D1015" s="21"/>
      <c r="E1015" s="21"/>
      <c r="F1015" s="21"/>
      <c r="G1015" s="21"/>
      <c r="H1015" s="27"/>
      <c r="I1015" s="23" t="str">
        <f aca="false">IF($D1015&lt;&gt;"销项开票","",IF($N1015="一级",IF(IFERROR(INDEX(项目档案!$E$6:$E$255,MATCH($C1015,项目档案!$A$6:$A$255,0)),"")="",N(IFERROR(INDEX(单位档案!$D$6:$D$35,MATCH($E1015,单位档案!$A$6:$A$35,0)),"")),IFERROR(INDEX(项目档案!$E$6:$E$255,MATCH($C1015,项目档案!$A$6:$A$255,0)),"")),IF($N1015="二级",IF(IFERROR(INDEX(项目档案!$G$6:$G$255,MATCH($C1015,项目档案!$A$6:$A$255,0)),"")="",N(IFERROR(INDEX(单位档案!$D$6:$D$35,MATCH($E1015,单位档案!$A$6:$A$35,0)),"")),IFERROR(INDEX(项目档案!$G$6:$G$255,MATCH($C1015,项目档案!$A$6:$A$255,0)),"")),N(IFERROR(INDEX(单位档案!$D$6:$D$35,MATCH($E1015,单位档案!$A$6:$A$35,0)),"")))))</f>
        <v/>
      </c>
      <c r="J1015" s="22"/>
      <c r="K1015" s="22"/>
      <c r="L1015" s="33" t="str">
        <f aca="false">IF($B1015="","",IF(NOT(ISNUMBER($B1015)),"日期格式不对",IF($C1015="","未选项目编号",IF(LEFT($M1015,1)="⚠","项目编号不存在",IF($D1015="","未选业务类型",IF($E1015="","未选开票/付款方",IF(ISNA(MATCH($E1015,单位档案!$A$6:$A$35,0)),"开票方不在单位档案",IF($F1015="","未选收票/收款方",IF(ISNA(MATCH($F1015,单位档案!$A$6:$A$35,0)),"收款方不在单位档案",IF(NOT(ISNUMBER($H1015)),"金额须为数字",IF(AND($D1015="销项开票",$N1015="—"),"链条待确认","√")))))))))))</f>
        <v/>
      </c>
      <c r="M1015" s="34" t="str">
        <f aca="false">IF($C1015="","",IFERROR(INDEX(项目档案!$B$6:$B$255,MATCH($C1015,项目档案!$A$6:$A$255,0)),"⚠项目编号不存在"))</f>
        <v/>
      </c>
      <c r="N1015" s="35" t="str">
        <f aca="false">IF($E1015="","",IF($E1015=IFERROR(INDEX(项目档案!$D$6:$D$255,MATCH($C1015,项目档案!$A$6:$A$255,0)),""),"一级",IF($E1015=IFERROR(INDEX(项目档案!$F$6:$F$255,MATCH($C1015,项目档案!$A$6:$A$255,0)),""),"二级",IF($E1015=IFERROR(INDEX(项目档案!$H$6:$H$255,MATCH($C1015,项目档案!$A$6:$A$255,0)),""),"我方","—"))))</f>
        <v/>
      </c>
      <c r="O1015" s="36" t="n">
        <f aca="false">IF($D1015&lt;&gt;"销项开票",0,ROUND(N($H1015)*N($I1015),2))</f>
        <v>0</v>
      </c>
      <c r="P1015" s="36" t="n">
        <f aca="false">IF($D1015&lt;&gt;"销项开票",0,ROUND(N($H1015)-$O1015,2))</f>
        <v>0</v>
      </c>
      <c r="Q1015" s="37" t="str">
        <f aca="false">IF($E1015="","",N(IFERROR(INDEX(单位档案!$E$6:$E$35,MATCH($E1015,单位档案!$A$6:$A$35,0)),"")))</f>
        <v/>
      </c>
      <c r="R1015" s="37" t="str">
        <f aca="false">IF($E1015="","",N(IFERROR(INDEX(单位档案!$F$6:$F$35,MATCH($E1015,单位档案!$A$6:$A$35,0)),"")))</f>
        <v/>
      </c>
      <c r="S1015" s="36" t="n">
        <f aca="false">IF(OR($D1015&lt;&gt;"销项开票",IFERROR(INDEX(单位档案!$G$6:$G$35,MATCH($E1015,单位档案!$A$6:$A$35,0)),"")&lt;&gt;"是",N($Q1015)=0),0,IF(IFERROR(INDEX(单位档案!$H$6:$H$35,MATCH($E1015,单位档案!$A$6:$A$35,0)),"")="税差法",ROUND(N($H1015)/(1+$Q1015)*$Q1015-IF(N($R1015)=0,0,$P1015/(1+$R1015)*$R1015),2),ROUND(N($H1015)/(1+$Q1015)*$Q1015,2)))</f>
        <v>0</v>
      </c>
      <c r="T1015" s="36" t="n">
        <f aca="false">ROUND($S1015*N(IFERROR(INDEX(单位档案!$J$6:$J$35,MATCH($E1015,单位档案!$A$6:$A$35,0)),"")),2)</f>
        <v>0</v>
      </c>
      <c r="U1015" s="36" t="n">
        <f aca="false">IF($D1015&lt;&gt;"销项开票",0,ROUND(N($H1015)*N(IFERROR(INDEX(单位档案!$K$6:$K$35,MATCH($E1015,单位档案!$A$6:$A$35,0)),"")),2))</f>
        <v>0</v>
      </c>
      <c r="V1015" s="36" t="n">
        <f aca="false">IF(OR($D1015&lt;&gt;"销项开票",N($Q1015)=0),0,ROUND(N($H1015)/(1+$Q1015)*N(IFERROR(INDEX(单位档案!$L$6:$L$35,MATCH($E1015,单位档案!$A$6:$A$35,0)),"")),2))</f>
        <v>0</v>
      </c>
      <c r="W1015" s="36" t="n">
        <f aca="false">ROUND($S1015+$T1015+$U1015+$V1015,2)</f>
        <v>0</v>
      </c>
      <c r="X1015" s="35" t="str">
        <f aca="false">IF(OR($D1015="挂靠代收",$D1015="我方收款"),COUNTIFS($D$5:$D1015,"挂靠代收")+COUNTIFS($D$5:$D1015,"我方收款"),"")</f>
        <v/>
      </c>
      <c r="Y1015" s="35"/>
      <c r="Z1015" s="21" t="s">
        <v>111</v>
      </c>
    </row>
    <row r="1016" customFormat="false" ht="15.75" hidden="false" customHeight="true" outlineLevel="0" collapsed="false">
      <c r="A1016" s="32" t="str">
        <f aca="false">IF($B1016="","",ROW()-4)</f>
        <v/>
      </c>
      <c r="B1016" s="26"/>
      <c r="C1016" s="24"/>
      <c r="D1016" s="21"/>
      <c r="E1016" s="21"/>
      <c r="F1016" s="21"/>
      <c r="G1016" s="21"/>
      <c r="H1016" s="27"/>
      <c r="I1016" s="23" t="str">
        <f aca="false">IF($D1016&lt;&gt;"销项开票","",IF($N1016="一级",IF(IFERROR(INDEX(项目档案!$E$6:$E$255,MATCH($C1016,项目档案!$A$6:$A$255,0)),"")="",N(IFERROR(INDEX(单位档案!$D$6:$D$35,MATCH($E1016,单位档案!$A$6:$A$35,0)),"")),IFERROR(INDEX(项目档案!$E$6:$E$255,MATCH($C1016,项目档案!$A$6:$A$255,0)),"")),IF($N1016="二级",IF(IFERROR(INDEX(项目档案!$G$6:$G$255,MATCH($C1016,项目档案!$A$6:$A$255,0)),"")="",N(IFERROR(INDEX(单位档案!$D$6:$D$35,MATCH($E1016,单位档案!$A$6:$A$35,0)),"")),IFERROR(INDEX(项目档案!$G$6:$G$255,MATCH($C1016,项目档案!$A$6:$A$255,0)),"")),N(IFERROR(INDEX(单位档案!$D$6:$D$35,MATCH($E1016,单位档案!$A$6:$A$35,0)),"")))))</f>
        <v/>
      </c>
      <c r="J1016" s="22"/>
      <c r="K1016" s="22"/>
      <c r="L1016" s="33" t="str">
        <f aca="false">IF($B1016="","",IF(NOT(ISNUMBER($B1016)),"日期格式不对",IF($C1016="","未选项目编号",IF(LEFT($M1016,1)="⚠","项目编号不存在",IF($D1016="","未选业务类型",IF($E1016="","未选开票/付款方",IF(ISNA(MATCH($E1016,单位档案!$A$6:$A$35,0)),"开票方不在单位档案",IF($F1016="","未选收票/收款方",IF(ISNA(MATCH($F1016,单位档案!$A$6:$A$35,0)),"收款方不在单位档案",IF(NOT(ISNUMBER($H1016)),"金额须为数字",IF(AND($D1016="销项开票",$N1016="—"),"链条待确认","√")))))))))))</f>
        <v/>
      </c>
      <c r="M1016" s="34" t="str">
        <f aca="false">IF($C1016="","",IFERROR(INDEX(项目档案!$B$6:$B$255,MATCH($C1016,项目档案!$A$6:$A$255,0)),"⚠项目编号不存在"))</f>
        <v/>
      </c>
      <c r="N1016" s="35" t="str">
        <f aca="false">IF($E1016="","",IF($E1016=IFERROR(INDEX(项目档案!$D$6:$D$255,MATCH($C1016,项目档案!$A$6:$A$255,0)),""),"一级",IF($E1016=IFERROR(INDEX(项目档案!$F$6:$F$255,MATCH($C1016,项目档案!$A$6:$A$255,0)),""),"二级",IF($E1016=IFERROR(INDEX(项目档案!$H$6:$H$255,MATCH($C1016,项目档案!$A$6:$A$255,0)),""),"我方","—"))))</f>
        <v/>
      </c>
      <c r="O1016" s="36" t="n">
        <f aca="false">IF($D1016&lt;&gt;"销项开票",0,ROUND(N($H1016)*N($I1016),2))</f>
        <v>0</v>
      </c>
      <c r="P1016" s="36" t="n">
        <f aca="false">IF($D1016&lt;&gt;"销项开票",0,ROUND(N($H1016)-$O1016,2))</f>
        <v>0</v>
      </c>
      <c r="Q1016" s="37" t="str">
        <f aca="false">IF($E1016="","",N(IFERROR(INDEX(单位档案!$E$6:$E$35,MATCH($E1016,单位档案!$A$6:$A$35,0)),"")))</f>
        <v/>
      </c>
      <c r="R1016" s="37" t="str">
        <f aca="false">IF($E1016="","",N(IFERROR(INDEX(单位档案!$F$6:$F$35,MATCH($E1016,单位档案!$A$6:$A$35,0)),"")))</f>
        <v/>
      </c>
      <c r="S1016" s="36" t="n">
        <f aca="false">IF(OR($D1016&lt;&gt;"销项开票",IFERROR(INDEX(单位档案!$G$6:$G$35,MATCH($E1016,单位档案!$A$6:$A$35,0)),"")&lt;&gt;"是",N($Q1016)=0),0,IF(IFERROR(INDEX(单位档案!$H$6:$H$35,MATCH($E1016,单位档案!$A$6:$A$35,0)),"")="税差法",ROUND(N($H1016)/(1+$Q1016)*$Q1016-IF(N($R1016)=0,0,$P1016/(1+$R1016)*$R1016),2),ROUND(N($H1016)/(1+$Q1016)*$Q1016,2)))</f>
        <v>0</v>
      </c>
      <c r="T1016" s="36" t="n">
        <f aca="false">ROUND($S1016*N(IFERROR(INDEX(单位档案!$J$6:$J$35,MATCH($E1016,单位档案!$A$6:$A$35,0)),"")),2)</f>
        <v>0</v>
      </c>
      <c r="U1016" s="36" t="n">
        <f aca="false">IF($D1016&lt;&gt;"销项开票",0,ROUND(N($H1016)*N(IFERROR(INDEX(单位档案!$K$6:$K$35,MATCH($E1016,单位档案!$A$6:$A$35,0)),"")),2))</f>
        <v>0</v>
      </c>
      <c r="V1016" s="36" t="n">
        <f aca="false">IF(OR($D1016&lt;&gt;"销项开票",N($Q1016)=0),0,ROUND(N($H1016)/(1+$Q1016)*N(IFERROR(INDEX(单位档案!$L$6:$L$35,MATCH($E1016,单位档案!$A$6:$A$35,0)),"")),2))</f>
        <v>0</v>
      </c>
      <c r="W1016" s="36" t="n">
        <f aca="false">ROUND($S1016+$T1016+$U1016+$V1016,2)</f>
        <v>0</v>
      </c>
      <c r="X1016" s="35" t="str">
        <f aca="false">IF(OR($D1016="挂靠代收",$D1016="我方收款"),COUNTIFS($D$5:$D1016,"挂靠代收")+COUNTIFS($D$5:$D1016,"我方收款"),"")</f>
        <v/>
      </c>
      <c r="Y1016" s="35"/>
      <c r="Z1016" s="21" t="s">
        <v>111</v>
      </c>
    </row>
    <row r="1017" customFormat="false" ht="15.75" hidden="false" customHeight="true" outlineLevel="0" collapsed="false">
      <c r="A1017" s="32" t="str">
        <f aca="false">IF($B1017="","",ROW()-4)</f>
        <v/>
      </c>
      <c r="B1017" s="26"/>
      <c r="C1017" s="24"/>
      <c r="D1017" s="21"/>
      <c r="E1017" s="21"/>
      <c r="F1017" s="21"/>
      <c r="G1017" s="21"/>
      <c r="H1017" s="27"/>
      <c r="I1017" s="23" t="str">
        <f aca="false">IF($D1017&lt;&gt;"销项开票","",IF($N1017="一级",IF(IFERROR(INDEX(项目档案!$E$6:$E$255,MATCH($C1017,项目档案!$A$6:$A$255,0)),"")="",N(IFERROR(INDEX(单位档案!$D$6:$D$35,MATCH($E1017,单位档案!$A$6:$A$35,0)),"")),IFERROR(INDEX(项目档案!$E$6:$E$255,MATCH($C1017,项目档案!$A$6:$A$255,0)),"")),IF($N1017="二级",IF(IFERROR(INDEX(项目档案!$G$6:$G$255,MATCH($C1017,项目档案!$A$6:$A$255,0)),"")="",N(IFERROR(INDEX(单位档案!$D$6:$D$35,MATCH($E1017,单位档案!$A$6:$A$35,0)),"")),IFERROR(INDEX(项目档案!$G$6:$G$255,MATCH($C1017,项目档案!$A$6:$A$255,0)),"")),N(IFERROR(INDEX(单位档案!$D$6:$D$35,MATCH($E1017,单位档案!$A$6:$A$35,0)),"")))))</f>
        <v/>
      </c>
      <c r="J1017" s="22"/>
      <c r="K1017" s="22"/>
      <c r="L1017" s="33" t="str">
        <f aca="false">IF($B1017="","",IF(NOT(ISNUMBER($B1017)),"日期格式不对",IF($C1017="","未选项目编号",IF(LEFT($M1017,1)="⚠","项目编号不存在",IF($D1017="","未选业务类型",IF($E1017="","未选开票/付款方",IF(ISNA(MATCH($E1017,单位档案!$A$6:$A$35,0)),"开票方不在单位档案",IF($F1017="","未选收票/收款方",IF(ISNA(MATCH($F1017,单位档案!$A$6:$A$35,0)),"收款方不在单位档案",IF(NOT(ISNUMBER($H1017)),"金额须为数字",IF(AND($D1017="销项开票",$N1017="—"),"链条待确认","√")))))))))))</f>
        <v/>
      </c>
      <c r="M1017" s="34" t="str">
        <f aca="false">IF($C1017="","",IFERROR(INDEX(项目档案!$B$6:$B$255,MATCH($C1017,项目档案!$A$6:$A$255,0)),"⚠项目编号不存在"))</f>
        <v/>
      </c>
      <c r="N1017" s="35" t="str">
        <f aca="false">IF($E1017="","",IF($E1017=IFERROR(INDEX(项目档案!$D$6:$D$255,MATCH($C1017,项目档案!$A$6:$A$255,0)),""),"一级",IF($E1017=IFERROR(INDEX(项目档案!$F$6:$F$255,MATCH($C1017,项目档案!$A$6:$A$255,0)),""),"二级",IF($E1017=IFERROR(INDEX(项目档案!$H$6:$H$255,MATCH($C1017,项目档案!$A$6:$A$255,0)),""),"我方","—"))))</f>
        <v/>
      </c>
      <c r="O1017" s="36" t="n">
        <f aca="false">IF($D1017&lt;&gt;"销项开票",0,ROUND(N($H1017)*N($I1017),2))</f>
        <v>0</v>
      </c>
      <c r="P1017" s="36" t="n">
        <f aca="false">IF($D1017&lt;&gt;"销项开票",0,ROUND(N($H1017)-$O1017,2))</f>
        <v>0</v>
      </c>
      <c r="Q1017" s="37" t="str">
        <f aca="false">IF($E1017="","",N(IFERROR(INDEX(单位档案!$E$6:$E$35,MATCH($E1017,单位档案!$A$6:$A$35,0)),"")))</f>
        <v/>
      </c>
      <c r="R1017" s="37" t="str">
        <f aca="false">IF($E1017="","",N(IFERROR(INDEX(单位档案!$F$6:$F$35,MATCH($E1017,单位档案!$A$6:$A$35,0)),"")))</f>
        <v/>
      </c>
      <c r="S1017" s="36" t="n">
        <f aca="false">IF(OR($D1017&lt;&gt;"销项开票",IFERROR(INDEX(单位档案!$G$6:$G$35,MATCH($E1017,单位档案!$A$6:$A$35,0)),"")&lt;&gt;"是",N($Q1017)=0),0,IF(IFERROR(INDEX(单位档案!$H$6:$H$35,MATCH($E1017,单位档案!$A$6:$A$35,0)),"")="税差法",ROUND(N($H1017)/(1+$Q1017)*$Q1017-IF(N($R1017)=0,0,$P1017/(1+$R1017)*$R1017),2),ROUND(N($H1017)/(1+$Q1017)*$Q1017,2)))</f>
        <v>0</v>
      </c>
      <c r="T1017" s="36" t="n">
        <f aca="false">ROUND($S1017*N(IFERROR(INDEX(单位档案!$J$6:$J$35,MATCH($E1017,单位档案!$A$6:$A$35,0)),"")),2)</f>
        <v>0</v>
      </c>
      <c r="U1017" s="36" t="n">
        <f aca="false">IF($D1017&lt;&gt;"销项开票",0,ROUND(N($H1017)*N(IFERROR(INDEX(单位档案!$K$6:$K$35,MATCH($E1017,单位档案!$A$6:$A$35,0)),"")),2))</f>
        <v>0</v>
      </c>
      <c r="V1017" s="36" t="n">
        <f aca="false">IF(OR($D1017&lt;&gt;"销项开票",N($Q1017)=0),0,ROUND(N($H1017)/(1+$Q1017)*N(IFERROR(INDEX(单位档案!$L$6:$L$35,MATCH($E1017,单位档案!$A$6:$A$35,0)),"")),2))</f>
        <v>0</v>
      </c>
      <c r="W1017" s="36" t="n">
        <f aca="false">ROUND($S1017+$T1017+$U1017+$V1017,2)</f>
        <v>0</v>
      </c>
      <c r="X1017" s="35" t="str">
        <f aca="false">IF(OR($D1017="挂靠代收",$D1017="我方收款"),COUNTIFS($D$5:$D1017,"挂靠代收")+COUNTIFS($D$5:$D1017,"我方收款"),"")</f>
        <v/>
      </c>
      <c r="Y1017" s="35"/>
      <c r="Z1017" s="21" t="s">
        <v>111</v>
      </c>
    </row>
    <row r="1018" customFormat="false" ht="15.75" hidden="false" customHeight="true" outlineLevel="0" collapsed="false">
      <c r="A1018" s="32" t="str">
        <f aca="false">IF($B1018="","",ROW()-4)</f>
        <v/>
      </c>
      <c r="B1018" s="26"/>
      <c r="C1018" s="24"/>
      <c r="D1018" s="21"/>
      <c r="E1018" s="21"/>
      <c r="F1018" s="21"/>
      <c r="G1018" s="21"/>
      <c r="H1018" s="27"/>
      <c r="I1018" s="23" t="str">
        <f aca="false">IF($D1018&lt;&gt;"销项开票","",IF($N1018="一级",IF(IFERROR(INDEX(项目档案!$E$6:$E$255,MATCH($C1018,项目档案!$A$6:$A$255,0)),"")="",N(IFERROR(INDEX(单位档案!$D$6:$D$35,MATCH($E1018,单位档案!$A$6:$A$35,0)),"")),IFERROR(INDEX(项目档案!$E$6:$E$255,MATCH($C1018,项目档案!$A$6:$A$255,0)),"")),IF($N1018="二级",IF(IFERROR(INDEX(项目档案!$G$6:$G$255,MATCH($C1018,项目档案!$A$6:$A$255,0)),"")="",N(IFERROR(INDEX(单位档案!$D$6:$D$35,MATCH($E1018,单位档案!$A$6:$A$35,0)),"")),IFERROR(INDEX(项目档案!$G$6:$G$255,MATCH($C1018,项目档案!$A$6:$A$255,0)),"")),N(IFERROR(INDEX(单位档案!$D$6:$D$35,MATCH($E1018,单位档案!$A$6:$A$35,0)),"")))))</f>
        <v/>
      </c>
      <c r="J1018" s="22"/>
      <c r="K1018" s="22"/>
      <c r="L1018" s="33" t="str">
        <f aca="false">IF($B1018="","",IF(NOT(ISNUMBER($B1018)),"日期格式不对",IF($C1018="","未选项目编号",IF(LEFT($M1018,1)="⚠","项目编号不存在",IF($D1018="","未选业务类型",IF($E1018="","未选开票/付款方",IF(ISNA(MATCH($E1018,单位档案!$A$6:$A$35,0)),"开票方不在单位档案",IF($F1018="","未选收票/收款方",IF(ISNA(MATCH($F1018,单位档案!$A$6:$A$35,0)),"收款方不在单位档案",IF(NOT(ISNUMBER($H1018)),"金额须为数字",IF(AND($D1018="销项开票",$N1018="—"),"链条待确认","√")))))))))))</f>
        <v/>
      </c>
      <c r="M1018" s="34" t="str">
        <f aca="false">IF($C1018="","",IFERROR(INDEX(项目档案!$B$6:$B$255,MATCH($C1018,项目档案!$A$6:$A$255,0)),"⚠项目编号不存在"))</f>
        <v/>
      </c>
      <c r="N1018" s="35" t="str">
        <f aca="false">IF($E1018="","",IF($E1018=IFERROR(INDEX(项目档案!$D$6:$D$255,MATCH($C1018,项目档案!$A$6:$A$255,0)),""),"一级",IF($E1018=IFERROR(INDEX(项目档案!$F$6:$F$255,MATCH($C1018,项目档案!$A$6:$A$255,0)),""),"二级",IF($E1018=IFERROR(INDEX(项目档案!$H$6:$H$255,MATCH($C1018,项目档案!$A$6:$A$255,0)),""),"我方","—"))))</f>
        <v/>
      </c>
      <c r="O1018" s="36" t="n">
        <f aca="false">IF($D1018&lt;&gt;"销项开票",0,ROUND(N($H1018)*N($I1018),2))</f>
        <v>0</v>
      </c>
      <c r="P1018" s="36" t="n">
        <f aca="false">IF($D1018&lt;&gt;"销项开票",0,ROUND(N($H1018)-$O1018,2))</f>
        <v>0</v>
      </c>
      <c r="Q1018" s="37" t="str">
        <f aca="false">IF($E1018="","",N(IFERROR(INDEX(单位档案!$E$6:$E$35,MATCH($E1018,单位档案!$A$6:$A$35,0)),"")))</f>
        <v/>
      </c>
      <c r="R1018" s="37" t="str">
        <f aca="false">IF($E1018="","",N(IFERROR(INDEX(单位档案!$F$6:$F$35,MATCH($E1018,单位档案!$A$6:$A$35,0)),"")))</f>
        <v/>
      </c>
      <c r="S1018" s="36" t="n">
        <f aca="false">IF(OR($D1018&lt;&gt;"销项开票",IFERROR(INDEX(单位档案!$G$6:$G$35,MATCH($E1018,单位档案!$A$6:$A$35,0)),"")&lt;&gt;"是",N($Q1018)=0),0,IF(IFERROR(INDEX(单位档案!$H$6:$H$35,MATCH($E1018,单位档案!$A$6:$A$35,0)),"")="税差法",ROUND(N($H1018)/(1+$Q1018)*$Q1018-IF(N($R1018)=0,0,$P1018/(1+$R1018)*$R1018),2),ROUND(N($H1018)/(1+$Q1018)*$Q1018,2)))</f>
        <v>0</v>
      </c>
      <c r="T1018" s="36" t="n">
        <f aca="false">ROUND($S1018*N(IFERROR(INDEX(单位档案!$J$6:$J$35,MATCH($E1018,单位档案!$A$6:$A$35,0)),"")),2)</f>
        <v>0</v>
      </c>
      <c r="U1018" s="36" t="n">
        <f aca="false">IF($D1018&lt;&gt;"销项开票",0,ROUND(N($H1018)*N(IFERROR(INDEX(单位档案!$K$6:$K$35,MATCH($E1018,单位档案!$A$6:$A$35,0)),"")),2))</f>
        <v>0</v>
      </c>
      <c r="V1018" s="36" t="n">
        <f aca="false">IF(OR($D1018&lt;&gt;"销项开票",N($Q1018)=0),0,ROUND(N($H1018)/(1+$Q1018)*N(IFERROR(INDEX(单位档案!$L$6:$L$35,MATCH($E1018,单位档案!$A$6:$A$35,0)),"")),2))</f>
        <v>0</v>
      </c>
      <c r="W1018" s="36" t="n">
        <f aca="false">ROUND($S1018+$T1018+$U1018+$V1018,2)</f>
        <v>0</v>
      </c>
      <c r="X1018" s="35" t="str">
        <f aca="false">IF(OR($D1018="挂靠代收",$D1018="我方收款"),COUNTIFS($D$5:$D1018,"挂靠代收")+COUNTIFS($D$5:$D1018,"我方收款"),"")</f>
        <v/>
      </c>
      <c r="Y1018" s="35"/>
      <c r="Z1018" s="21" t="s">
        <v>111</v>
      </c>
    </row>
    <row r="1019" customFormat="false" ht="15.75" hidden="false" customHeight="true" outlineLevel="0" collapsed="false">
      <c r="A1019" s="32" t="str">
        <f aca="false">IF($B1019="","",ROW()-4)</f>
        <v/>
      </c>
      <c r="B1019" s="26"/>
      <c r="C1019" s="24"/>
      <c r="D1019" s="21"/>
      <c r="E1019" s="21"/>
      <c r="F1019" s="21"/>
      <c r="G1019" s="21"/>
      <c r="H1019" s="27"/>
      <c r="I1019" s="23" t="str">
        <f aca="false">IF($D1019&lt;&gt;"销项开票","",IF($N1019="一级",IF(IFERROR(INDEX(项目档案!$E$6:$E$255,MATCH($C1019,项目档案!$A$6:$A$255,0)),"")="",N(IFERROR(INDEX(单位档案!$D$6:$D$35,MATCH($E1019,单位档案!$A$6:$A$35,0)),"")),IFERROR(INDEX(项目档案!$E$6:$E$255,MATCH($C1019,项目档案!$A$6:$A$255,0)),"")),IF($N1019="二级",IF(IFERROR(INDEX(项目档案!$G$6:$G$255,MATCH($C1019,项目档案!$A$6:$A$255,0)),"")="",N(IFERROR(INDEX(单位档案!$D$6:$D$35,MATCH($E1019,单位档案!$A$6:$A$35,0)),"")),IFERROR(INDEX(项目档案!$G$6:$G$255,MATCH($C1019,项目档案!$A$6:$A$255,0)),"")),N(IFERROR(INDEX(单位档案!$D$6:$D$35,MATCH($E1019,单位档案!$A$6:$A$35,0)),"")))))</f>
        <v/>
      </c>
      <c r="J1019" s="22"/>
      <c r="K1019" s="22"/>
      <c r="L1019" s="33" t="str">
        <f aca="false">IF($B1019="","",IF(NOT(ISNUMBER($B1019)),"日期格式不对",IF($C1019="","未选项目编号",IF(LEFT($M1019,1)="⚠","项目编号不存在",IF($D1019="","未选业务类型",IF($E1019="","未选开票/付款方",IF(ISNA(MATCH($E1019,单位档案!$A$6:$A$35,0)),"开票方不在单位档案",IF($F1019="","未选收票/收款方",IF(ISNA(MATCH($F1019,单位档案!$A$6:$A$35,0)),"收款方不在单位档案",IF(NOT(ISNUMBER($H1019)),"金额须为数字",IF(AND($D1019="销项开票",$N1019="—"),"链条待确认","√")))))))))))</f>
        <v/>
      </c>
      <c r="M1019" s="34" t="str">
        <f aca="false">IF($C1019="","",IFERROR(INDEX(项目档案!$B$6:$B$255,MATCH($C1019,项目档案!$A$6:$A$255,0)),"⚠项目编号不存在"))</f>
        <v/>
      </c>
      <c r="N1019" s="35" t="str">
        <f aca="false">IF($E1019="","",IF($E1019=IFERROR(INDEX(项目档案!$D$6:$D$255,MATCH($C1019,项目档案!$A$6:$A$255,0)),""),"一级",IF($E1019=IFERROR(INDEX(项目档案!$F$6:$F$255,MATCH($C1019,项目档案!$A$6:$A$255,0)),""),"二级",IF($E1019=IFERROR(INDEX(项目档案!$H$6:$H$255,MATCH($C1019,项目档案!$A$6:$A$255,0)),""),"我方","—"))))</f>
        <v/>
      </c>
      <c r="O1019" s="36" t="n">
        <f aca="false">IF($D1019&lt;&gt;"销项开票",0,ROUND(N($H1019)*N($I1019),2))</f>
        <v>0</v>
      </c>
      <c r="P1019" s="36" t="n">
        <f aca="false">IF($D1019&lt;&gt;"销项开票",0,ROUND(N($H1019)-$O1019,2))</f>
        <v>0</v>
      </c>
      <c r="Q1019" s="37" t="str">
        <f aca="false">IF($E1019="","",N(IFERROR(INDEX(单位档案!$E$6:$E$35,MATCH($E1019,单位档案!$A$6:$A$35,0)),"")))</f>
        <v/>
      </c>
      <c r="R1019" s="37" t="str">
        <f aca="false">IF($E1019="","",N(IFERROR(INDEX(单位档案!$F$6:$F$35,MATCH($E1019,单位档案!$A$6:$A$35,0)),"")))</f>
        <v/>
      </c>
      <c r="S1019" s="36" t="n">
        <f aca="false">IF(OR($D1019&lt;&gt;"销项开票",IFERROR(INDEX(单位档案!$G$6:$G$35,MATCH($E1019,单位档案!$A$6:$A$35,0)),"")&lt;&gt;"是",N($Q1019)=0),0,IF(IFERROR(INDEX(单位档案!$H$6:$H$35,MATCH($E1019,单位档案!$A$6:$A$35,0)),"")="税差法",ROUND(N($H1019)/(1+$Q1019)*$Q1019-IF(N($R1019)=0,0,$P1019/(1+$R1019)*$R1019),2),ROUND(N($H1019)/(1+$Q1019)*$Q1019,2)))</f>
        <v>0</v>
      </c>
      <c r="T1019" s="36" t="n">
        <f aca="false">ROUND($S1019*N(IFERROR(INDEX(单位档案!$J$6:$J$35,MATCH($E1019,单位档案!$A$6:$A$35,0)),"")),2)</f>
        <v>0</v>
      </c>
      <c r="U1019" s="36" t="n">
        <f aca="false">IF($D1019&lt;&gt;"销项开票",0,ROUND(N($H1019)*N(IFERROR(INDEX(单位档案!$K$6:$K$35,MATCH($E1019,单位档案!$A$6:$A$35,0)),"")),2))</f>
        <v>0</v>
      </c>
      <c r="V1019" s="36" t="n">
        <f aca="false">IF(OR($D1019&lt;&gt;"销项开票",N($Q1019)=0),0,ROUND(N($H1019)/(1+$Q1019)*N(IFERROR(INDEX(单位档案!$L$6:$L$35,MATCH($E1019,单位档案!$A$6:$A$35,0)),"")),2))</f>
        <v>0</v>
      </c>
      <c r="W1019" s="36" t="n">
        <f aca="false">ROUND($S1019+$T1019+$U1019+$V1019,2)</f>
        <v>0</v>
      </c>
      <c r="X1019" s="35" t="str">
        <f aca="false">IF(OR($D1019="挂靠代收",$D1019="我方收款"),COUNTIFS($D$5:$D1019,"挂靠代收")+COUNTIFS($D$5:$D1019,"我方收款"),"")</f>
        <v/>
      </c>
      <c r="Y1019" s="35"/>
      <c r="Z1019" s="21" t="s">
        <v>111</v>
      </c>
    </row>
    <row r="1020" customFormat="false" ht="15.75" hidden="false" customHeight="true" outlineLevel="0" collapsed="false">
      <c r="A1020" s="32" t="str">
        <f aca="false">IF($B1020="","",ROW()-4)</f>
        <v/>
      </c>
      <c r="B1020" s="26"/>
      <c r="C1020" s="24"/>
      <c r="D1020" s="21"/>
      <c r="E1020" s="21"/>
      <c r="F1020" s="21"/>
      <c r="G1020" s="21"/>
      <c r="H1020" s="27"/>
      <c r="I1020" s="23" t="str">
        <f aca="false">IF($D1020&lt;&gt;"销项开票","",IF($N1020="一级",IF(IFERROR(INDEX(项目档案!$E$6:$E$255,MATCH($C1020,项目档案!$A$6:$A$255,0)),"")="",N(IFERROR(INDEX(单位档案!$D$6:$D$35,MATCH($E1020,单位档案!$A$6:$A$35,0)),"")),IFERROR(INDEX(项目档案!$E$6:$E$255,MATCH($C1020,项目档案!$A$6:$A$255,0)),"")),IF($N1020="二级",IF(IFERROR(INDEX(项目档案!$G$6:$G$255,MATCH($C1020,项目档案!$A$6:$A$255,0)),"")="",N(IFERROR(INDEX(单位档案!$D$6:$D$35,MATCH($E1020,单位档案!$A$6:$A$35,0)),"")),IFERROR(INDEX(项目档案!$G$6:$G$255,MATCH($C1020,项目档案!$A$6:$A$255,0)),"")),N(IFERROR(INDEX(单位档案!$D$6:$D$35,MATCH($E1020,单位档案!$A$6:$A$35,0)),"")))))</f>
        <v/>
      </c>
      <c r="J1020" s="22"/>
      <c r="K1020" s="22"/>
      <c r="L1020" s="33" t="str">
        <f aca="false">IF($B1020="","",IF(NOT(ISNUMBER($B1020)),"日期格式不对",IF($C1020="","未选项目编号",IF(LEFT($M1020,1)="⚠","项目编号不存在",IF($D1020="","未选业务类型",IF($E1020="","未选开票/付款方",IF(ISNA(MATCH($E1020,单位档案!$A$6:$A$35,0)),"开票方不在单位档案",IF($F1020="","未选收票/收款方",IF(ISNA(MATCH($F1020,单位档案!$A$6:$A$35,0)),"收款方不在单位档案",IF(NOT(ISNUMBER($H1020)),"金额须为数字",IF(AND($D1020="销项开票",$N1020="—"),"链条待确认","√")))))))))))</f>
        <v/>
      </c>
      <c r="M1020" s="34" t="str">
        <f aca="false">IF($C1020="","",IFERROR(INDEX(项目档案!$B$6:$B$255,MATCH($C1020,项目档案!$A$6:$A$255,0)),"⚠项目编号不存在"))</f>
        <v/>
      </c>
      <c r="N1020" s="35" t="str">
        <f aca="false">IF($E1020="","",IF($E1020=IFERROR(INDEX(项目档案!$D$6:$D$255,MATCH($C1020,项目档案!$A$6:$A$255,0)),""),"一级",IF($E1020=IFERROR(INDEX(项目档案!$F$6:$F$255,MATCH($C1020,项目档案!$A$6:$A$255,0)),""),"二级",IF($E1020=IFERROR(INDEX(项目档案!$H$6:$H$255,MATCH($C1020,项目档案!$A$6:$A$255,0)),""),"我方","—"))))</f>
        <v/>
      </c>
      <c r="O1020" s="36" t="n">
        <f aca="false">IF($D1020&lt;&gt;"销项开票",0,ROUND(N($H1020)*N($I1020),2))</f>
        <v>0</v>
      </c>
      <c r="P1020" s="36" t="n">
        <f aca="false">IF($D1020&lt;&gt;"销项开票",0,ROUND(N($H1020)-$O1020,2))</f>
        <v>0</v>
      </c>
      <c r="Q1020" s="37" t="str">
        <f aca="false">IF($E1020="","",N(IFERROR(INDEX(单位档案!$E$6:$E$35,MATCH($E1020,单位档案!$A$6:$A$35,0)),"")))</f>
        <v/>
      </c>
      <c r="R1020" s="37" t="str">
        <f aca="false">IF($E1020="","",N(IFERROR(INDEX(单位档案!$F$6:$F$35,MATCH($E1020,单位档案!$A$6:$A$35,0)),"")))</f>
        <v/>
      </c>
      <c r="S1020" s="36" t="n">
        <f aca="false">IF(OR($D1020&lt;&gt;"销项开票",IFERROR(INDEX(单位档案!$G$6:$G$35,MATCH($E1020,单位档案!$A$6:$A$35,0)),"")&lt;&gt;"是",N($Q1020)=0),0,IF(IFERROR(INDEX(单位档案!$H$6:$H$35,MATCH($E1020,单位档案!$A$6:$A$35,0)),"")="税差法",ROUND(N($H1020)/(1+$Q1020)*$Q1020-IF(N($R1020)=0,0,$P1020/(1+$R1020)*$R1020),2),ROUND(N($H1020)/(1+$Q1020)*$Q1020,2)))</f>
        <v>0</v>
      </c>
      <c r="T1020" s="36" t="n">
        <f aca="false">ROUND($S1020*N(IFERROR(INDEX(单位档案!$J$6:$J$35,MATCH($E1020,单位档案!$A$6:$A$35,0)),"")),2)</f>
        <v>0</v>
      </c>
      <c r="U1020" s="36" t="n">
        <f aca="false">IF($D1020&lt;&gt;"销项开票",0,ROUND(N($H1020)*N(IFERROR(INDEX(单位档案!$K$6:$K$35,MATCH($E1020,单位档案!$A$6:$A$35,0)),"")),2))</f>
        <v>0</v>
      </c>
      <c r="V1020" s="36" t="n">
        <f aca="false">IF(OR($D1020&lt;&gt;"销项开票",N($Q1020)=0),0,ROUND(N($H1020)/(1+$Q1020)*N(IFERROR(INDEX(单位档案!$L$6:$L$35,MATCH($E1020,单位档案!$A$6:$A$35,0)),"")),2))</f>
        <v>0</v>
      </c>
      <c r="W1020" s="36" t="n">
        <f aca="false">ROUND($S1020+$T1020+$U1020+$V1020,2)</f>
        <v>0</v>
      </c>
      <c r="X1020" s="35" t="str">
        <f aca="false">IF(OR($D1020="挂靠代收",$D1020="我方收款"),COUNTIFS($D$5:$D1020,"挂靠代收")+COUNTIFS($D$5:$D1020,"我方收款"),"")</f>
        <v/>
      </c>
      <c r="Y1020" s="35"/>
      <c r="Z1020" s="21" t="s">
        <v>111</v>
      </c>
    </row>
    <row r="1021" customFormat="false" ht="15.75" hidden="false" customHeight="true" outlineLevel="0" collapsed="false">
      <c r="A1021" s="32" t="str">
        <f aca="false">IF($B1021="","",ROW()-4)</f>
        <v/>
      </c>
      <c r="B1021" s="26"/>
      <c r="C1021" s="24"/>
      <c r="D1021" s="21"/>
      <c r="E1021" s="21"/>
      <c r="F1021" s="21"/>
      <c r="G1021" s="21"/>
      <c r="H1021" s="27"/>
      <c r="I1021" s="23" t="str">
        <f aca="false">IF($D1021&lt;&gt;"销项开票","",IF($N1021="一级",IF(IFERROR(INDEX(项目档案!$E$6:$E$255,MATCH($C1021,项目档案!$A$6:$A$255,0)),"")="",N(IFERROR(INDEX(单位档案!$D$6:$D$35,MATCH($E1021,单位档案!$A$6:$A$35,0)),"")),IFERROR(INDEX(项目档案!$E$6:$E$255,MATCH($C1021,项目档案!$A$6:$A$255,0)),"")),IF($N1021="二级",IF(IFERROR(INDEX(项目档案!$G$6:$G$255,MATCH($C1021,项目档案!$A$6:$A$255,0)),"")="",N(IFERROR(INDEX(单位档案!$D$6:$D$35,MATCH($E1021,单位档案!$A$6:$A$35,0)),"")),IFERROR(INDEX(项目档案!$G$6:$G$255,MATCH($C1021,项目档案!$A$6:$A$255,0)),"")),N(IFERROR(INDEX(单位档案!$D$6:$D$35,MATCH($E1021,单位档案!$A$6:$A$35,0)),"")))))</f>
        <v/>
      </c>
      <c r="J1021" s="22"/>
      <c r="K1021" s="22"/>
      <c r="L1021" s="33" t="str">
        <f aca="false">IF($B1021="","",IF(NOT(ISNUMBER($B1021)),"日期格式不对",IF($C1021="","未选项目编号",IF(LEFT($M1021,1)="⚠","项目编号不存在",IF($D1021="","未选业务类型",IF($E1021="","未选开票/付款方",IF(ISNA(MATCH($E1021,单位档案!$A$6:$A$35,0)),"开票方不在单位档案",IF($F1021="","未选收票/收款方",IF(ISNA(MATCH($F1021,单位档案!$A$6:$A$35,0)),"收款方不在单位档案",IF(NOT(ISNUMBER($H1021)),"金额须为数字",IF(AND($D1021="销项开票",$N1021="—"),"链条待确认","√")))))))))))</f>
        <v/>
      </c>
      <c r="M1021" s="34" t="str">
        <f aca="false">IF($C1021="","",IFERROR(INDEX(项目档案!$B$6:$B$255,MATCH($C1021,项目档案!$A$6:$A$255,0)),"⚠项目编号不存在"))</f>
        <v/>
      </c>
      <c r="N1021" s="35" t="str">
        <f aca="false">IF($E1021="","",IF($E1021=IFERROR(INDEX(项目档案!$D$6:$D$255,MATCH($C1021,项目档案!$A$6:$A$255,0)),""),"一级",IF($E1021=IFERROR(INDEX(项目档案!$F$6:$F$255,MATCH($C1021,项目档案!$A$6:$A$255,0)),""),"二级",IF($E1021=IFERROR(INDEX(项目档案!$H$6:$H$255,MATCH($C1021,项目档案!$A$6:$A$255,0)),""),"我方","—"))))</f>
        <v/>
      </c>
      <c r="O1021" s="36" t="n">
        <f aca="false">IF($D1021&lt;&gt;"销项开票",0,ROUND(N($H1021)*N($I1021),2))</f>
        <v>0</v>
      </c>
      <c r="P1021" s="36" t="n">
        <f aca="false">IF($D1021&lt;&gt;"销项开票",0,ROUND(N($H1021)-$O1021,2))</f>
        <v>0</v>
      </c>
      <c r="Q1021" s="37" t="str">
        <f aca="false">IF($E1021="","",N(IFERROR(INDEX(单位档案!$E$6:$E$35,MATCH($E1021,单位档案!$A$6:$A$35,0)),"")))</f>
        <v/>
      </c>
      <c r="R1021" s="37" t="str">
        <f aca="false">IF($E1021="","",N(IFERROR(INDEX(单位档案!$F$6:$F$35,MATCH($E1021,单位档案!$A$6:$A$35,0)),"")))</f>
        <v/>
      </c>
      <c r="S1021" s="36" t="n">
        <f aca="false">IF(OR($D1021&lt;&gt;"销项开票",IFERROR(INDEX(单位档案!$G$6:$G$35,MATCH($E1021,单位档案!$A$6:$A$35,0)),"")&lt;&gt;"是",N($Q1021)=0),0,IF(IFERROR(INDEX(单位档案!$H$6:$H$35,MATCH($E1021,单位档案!$A$6:$A$35,0)),"")="税差法",ROUND(N($H1021)/(1+$Q1021)*$Q1021-IF(N($R1021)=0,0,$P1021/(1+$R1021)*$R1021),2),ROUND(N($H1021)/(1+$Q1021)*$Q1021,2)))</f>
        <v>0</v>
      </c>
      <c r="T1021" s="36" t="n">
        <f aca="false">ROUND($S1021*N(IFERROR(INDEX(单位档案!$J$6:$J$35,MATCH($E1021,单位档案!$A$6:$A$35,0)),"")),2)</f>
        <v>0</v>
      </c>
      <c r="U1021" s="36" t="n">
        <f aca="false">IF($D1021&lt;&gt;"销项开票",0,ROUND(N($H1021)*N(IFERROR(INDEX(单位档案!$K$6:$K$35,MATCH($E1021,单位档案!$A$6:$A$35,0)),"")),2))</f>
        <v>0</v>
      </c>
      <c r="V1021" s="36" t="n">
        <f aca="false">IF(OR($D1021&lt;&gt;"销项开票",N($Q1021)=0),0,ROUND(N($H1021)/(1+$Q1021)*N(IFERROR(INDEX(单位档案!$L$6:$L$35,MATCH($E1021,单位档案!$A$6:$A$35,0)),"")),2))</f>
        <v>0</v>
      </c>
      <c r="W1021" s="36" t="n">
        <f aca="false">ROUND($S1021+$T1021+$U1021+$V1021,2)</f>
        <v>0</v>
      </c>
      <c r="X1021" s="35" t="str">
        <f aca="false">IF(OR($D1021="挂靠代收",$D1021="我方收款"),COUNTIFS($D$5:$D1021,"挂靠代收")+COUNTIFS($D$5:$D1021,"我方收款"),"")</f>
        <v/>
      </c>
      <c r="Y1021" s="35"/>
      <c r="Z1021" s="21" t="s">
        <v>111</v>
      </c>
    </row>
    <row r="1022" customFormat="false" ht="15.75" hidden="false" customHeight="true" outlineLevel="0" collapsed="false">
      <c r="A1022" s="32" t="str">
        <f aca="false">IF($B1022="","",ROW()-4)</f>
        <v/>
      </c>
      <c r="B1022" s="26"/>
      <c r="C1022" s="24"/>
      <c r="D1022" s="21"/>
      <c r="E1022" s="21"/>
      <c r="F1022" s="21"/>
      <c r="G1022" s="21"/>
      <c r="H1022" s="27"/>
      <c r="I1022" s="23" t="str">
        <f aca="false">IF($D1022&lt;&gt;"销项开票","",IF($N1022="一级",IF(IFERROR(INDEX(项目档案!$E$6:$E$255,MATCH($C1022,项目档案!$A$6:$A$255,0)),"")="",N(IFERROR(INDEX(单位档案!$D$6:$D$35,MATCH($E1022,单位档案!$A$6:$A$35,0)),"")),IFERROR(INDEX(项目档案!$E$6:$E$255,MATCH($C1022,项目档案!$A$6:$A$255,0)),"")),IF($N1022="二级",IF(IFERROR(INDEX(项目档案!$G$6:$G$255,MATCH($C1022,项目档案!$A$6:$A$255,0)),"")="",N(IFERROR(INDEX(单位档案!$D$6:$D$35,MATCH($E1022,单位档案!$A$6:$A$35,0)),"")),IFERROR(INDEX(项目档案!$G$6:$G$255,MATCH($C1022,项目档案!$A$6:$A$255,0)),"")),N(IFERROR(INDEX(单位档案!$D$6:$D$35,MATCH($E1022,单位档案!$A$6:$A$35,0)),"")))))</f>
        <v/>
      </c>
      <c r="J1022" s="22"/>
      <c r="K1022" s="22"/>
      <c r="L1022" s="33" t="str">
        <f aca="false">IF($B1022="","",IF(NOT(ISNUMBER($B1022)),"日期格式不对",IF($C1022="","未选项目编号",IF(LEFT($M1022,1)="⚠","项目编号不存在",IF($D1022="","未选业务类型",IF($E1022="","未选开票/付款方",IF(ISNA(MATCH($E1022,单位档案!$A$6:$A$35,0)),"开票方不在单位档案",IF($F1022="","未选收票/收款方",IF(ISNA(MATCH($F1022,单位档案!$A$6:$A$35,0)),"收款方不在单位档案",IF(NOT(ISNUMBER($H1022)),"金额须为数字",IF(AND($D1022="销项开票",$N1022="—"),"链条待确认","√")))))))))))</f>
        <v/>
      </c>
      <c r="M1022" s="34" t="str">
        <f aca="false">IF($C1022="","",IFERROR(INDEX(项目档案!$B$6:$B$255,MATCH($C1022,项目档案!$A$6:$A$255,0)),"⚠项目编号不存在"))</f>
        <v/>
      </c>
      <c r="N1022" s="35" t="str">
        <f aca="false">IF($E1022="","",IF($E1022=IFERROR(INDEX(项目档案!$D$6:$D$255,MATCH($C1022,项目档案!$A$6:$A$255,0)),""),"一级",IF($E1022=IFERROR(INDEX(项目档案!$F$6:$F$255,MATCH($C1022,项目档案!$A$6:$A$255,0)),""),"二级",IF($E1022=IFERROR(INDEX(项目档案!$H$6:$H$255,MATCH($C1022,项目档案!$A$6:$A$255,0)),""),"我方","—"))))</f>
        <v/>
      </c>
      <c r="O1022" s="36" t="n">
        <f aca="false">IF($D1022&lt;&gt;"销项开票",0,ROUND(N($H1022)*N($I1022),2))</f>
        <v>0</v>
      </c>
      <c r="P1022" s="36" t="n">
        <f aca="false">IF($D1022&lt;&gt;"销项开票",0,ROUND(N($H1022)-$O1022,2))</f>
        <v>0</v>
      </c>
      <c r="Q1022" s="37" t="str">
        <f aca="false">IF($E1022="","",N(IFERROR(INDEX(单位档案!$E$6:$E$35,MATCH($E1022,单位档案!$A$6:$A$35,0)),"")))</f>
        <v/>
      </c>
      <c r="R1022" s="37" t="str">
        <f aca="false">IF($E1022="","",N(IFERROR(INDEX(单位档案!$F$6:$F$35,MATCH($E1022,单位档案!$A$6:$A$35,0)),"")))</f>
        <v/>
      </c>
      <c r="S1022" s="36" t="n">
        <f aca="false">IF(OR($D1022&lt;&gt;"销项开票",IFERROR(INDEX(单位档案!$G$6:$G$35,MATCH($E1022,单位档案!$A$6:$A$35,0)),"")&lt;&gt;"是",N($Q1022)=0),0,IF(IFERROR(INDEX(单位档案!$H$6:$H$35,MATCH($E1022,单位档案!$A$6:$A$35,0)),"")="税差法",ROUND(N($H1022)/(1+$Q1022)*$Q1022-IF(N($R1022)=0,0,$P1022/(1+$R1022)*$R1022),2),ROUND(N($H1022)/(1+$Q1022)*$Q1022,2)))</f>
        <v>0</v>
      </c>
      <c r="T1022" s="36" t="n">
        <f aca="false">ROUND($S1022*N(IFERROR(INDEX(单位档案!$J$6:$J$35,MATCH($E1022,单位档案!$A$6:$A$35,0)),"")),2)</f>
        <v>0</v>
      </c>
      <c r="U1022" s="36" t="n">
        <f aca="false">IF($D1022&lt;&gt;"销项开票",0,ROUND(N($H1022)*N(IFERROR(INDEX(单位档案!$K$6:$K$35,MATCH($E1022,单位档案!$A$6:$A$35,0)),"")),2))</f>
        <v>0</v>
      </c>
      <c r="V1022" s="36" t="n">
        <f aca="false">IF(OR($D1022&lt;&gt;"销项开票",N($Q1022)=0),0,ROUND(N($H1022)/(1+$Q1022)*N(IFERROR(INDEX(单位档案!$L$6:$L$35,MATCH($E1022,单位档案!$A$6:$A$35,0)),"")),2))</f>
        <v>0</v>
      </c>
      <c r="W1022" s="36" t="n">
        <f aca="false">ROUND($S1022+$T1022+$U1022+$V1022,2)</f>
        <v>0</v>
      </c>
      <c r="X1022" s="35" t="str">
        <f aca="false">IF(OR($D1022="挂靠代收",$D1022="我方收款"),COUNTIFS($D$5:$D1022,"挂靠代收")+COUNTIFS($D$5:$D1022,"我方收款"),"")</f>
        <v/>
      </c>
      <c r="Y1022" s="35"/>
      <c r="Z1022" s="21" t="s">
        <v>111</v>
      </c>
    </row>
    <row r="1023" customFormat="false" ht="15.75" hidden="false" customHeight="true" outlineLevel="0" collapsed="false">
      <c r="A1023" s="32" t="str">
        <f aca="false">IF($B1023="","",ROW()-4)</f>
        <v/>
      </c>
      <c r="B1023" s="26"/>
      <c r="C1023" s="24"/>
      <c r="D1023" s="21"/>
      <c r="E1023" s="21"/>
      <c r="F1023" s="21"/>
      <c r="G1023" s="21"/>
      <c r="H1023" s="27"/>
      <c r="I1023" s="23" t="str">
        <f aca="false">IF($D1023&lt;&gt;"销项开票","",IF($N1023="一级",IF(IFERROR(INDEX(项目档案!$E$6:$E$255,MATCH($C1023,项目档案!$A$6:$A$255,0)),"")="",N(IFERROR(INDEX(单位档案!$D$6:$D$35,MATCH($E1023,单位档案!$A$6:$A$35,0)),"")),IFERROR(INDEX(项目档案!$E$6:$E$255,MATCH($C1023,项目档案!$A$6:$A$255,0)),"")),IF($N1023="二级",IF(IFERROR(INDEX(项目档案!$G$6:$G$255,MATCH($C1023,项目档案!$A$6:$A$255,0)),"")="",N(IFERROR(INDEX(单位档案!$D$6:$D$35,MATCH($E1023,单位档案!$A$6:$A$35,0)),"")),IFERROR(INDEX(项目档案!$G$6:$G$255,MATCH($C1023,项目档案!$A$6:$A$255,0)),"")),N(IFERROR(INDEX(单位档案!$D$6:$D$35,MATCH($E1023,单位档案!$A$6:$A$35,0)),"")))))</f>
        <v/>
      </c>
      <c r="J1023" s="22"/>
      <c r="K1023" s="22"/>
      <c r="L1023" s="33" t="str">
        <f aca="false">IF($B1023="","",IF(NOT(ISNUMBER($B1023)),"日期格式不对",IF($C1023="","未选项目编号",IF(LEFT($M1023,1)="⚠","项目编号不存在",IF($D1023="","未选业务类型",IF($E1023="","未选开票/付款方",IF(ISNA(MATCH($E1023,单位档案!$A$6:$A$35,0)),"开票方不在单位档案",IF($F1023="","未选收票/收款方",IF(ISNA(MATCH($F1023,单位档案!$A$6:$A$35,0)),"收款方不在单位档案",IF(NOT(ISNUMBER($H1023)),"金额须为数字",IF(AND($D1023="销项开票",$N1023="—"),"链条待确认","√")))))))))))</f>
        <v/>
      </c>
      <c r="M1023" s="34" t="str">
        <f aca="false">IF($C1023="","",IFERROR(INDEX(项目档案!$B$6:$B$255,MATCH($C1023,项目档案!$A$6:$A$255,0)),"⚠项目编号不存在"))</f>
        <v/>
      </c>
      <c r="N1023" s="35" t="str">
        <f aca="false">IF($E1023="","",IF($E1023=IFERROR(INDEX(项目档案!$D$6:$D$255,MATCH($C1023,项目档案!$A$6:$A$255,0)),""),"一级",IF($E1023=IFERROR(INDEX(项目档案!$F$6:$F$255,MATCH($C1023,项目档案!$A$6:$A$255,0)),""),"二级",IF($E1023=IFERROR(INDEX(项目档案!$H$6:$H$255,MATCH($C1023,项目档案!$A$6:$A$255,0)),""),"我方","—"))))</f>
        <v/>
      </c>
      <c r="O1023" s="36" t="n">
        <f aca="false">IF($D1023&lt;&gt;"销项开票",0,ROUND(N($H1023)*N($I1023),2))</f>
        <v>0</v>
      </c>
      <c r="P1023" s="36" t="n">
        <f aca="false">IF($D1023&lt;&gt;"销项开票",0,ROUND(N($H1023)-$O1023,2))</f>
        <v>0</v>
      </c>
      <c r="Q1023" s="37" t="str">
        <f aca="false">IF($E1023="","",N(IFERROR(INDEX(单位档案!$E$6:$E$35,MATCH($E1023,单位档案!$A$6:$A$35,0)),"")))</f>
        <v/>
      </c>
      <c r="R1023" s="37" t="str">
        <f aca="false">IF($E1023="","",N(IFERROR(INDEX(单位档案!$F$6:$F$35,MATCH($E1023,单位档案!$A$6:$A$35,0)),"")))</f>
        <v/>
      </c>
      <c r="S1023" s="36" t="n">
        <f aca="false">IF(OR($D1023&lt;&gt;"销项开票",IFERROR(INDEX(单位档案!$G$6:$G$35,MATCH($E1023,单位档案!$A$6:$A$35,0)),"")&lt;&gt;"是",N($Q1023)=0),0,IF(IFERROR(INDEX(单位档案!$H$6:$H$35,MATCH($E1023,单位档案!$A$6:$A$35,0)),"")="税差法",ROUND(N($H1023)/(1+$Q1023)*$Q1023-IF(N($R1023)=0,0,$P1023/(1+$R1023)*$R1023),2),ROUND(N($H1023)/(1+$Q1023)*$Q1023,2)))</f>
        <v>0</v>
      </c>
      <c r="T1023" s="36" t="n">
        <f aca="false">ROUND($S1023*N(IFERROR(INDEX(单位档案!$J$6:$J$35,MATCH($E1023,单位档案!$A$6:$A$35,0)),"")),2)</f>
        <v>0</v>
      </c>
      <c r="U1023" s="36" t="n">
        <f aca="false">IF($D1023&lt;&gt;"销项开票",0,ROUND(N($H1023)*N(IFERROR(INDEX(单位档案!$K$6:$K$35,MATCH($E1023,单位档案!$A$6:$A$35,0)),"")),2))</f>
        <v>0</v>
      </c>
      <c r="V1023" s="36" t="n">
        <f aca="false">IF(OR($D1023&lt;&gt;"销项开票",N($Q1023)=0),0,ROUND(N($H1023)/(1+$Q1023)*N(IFERROR(INDEX(单位档案!$L$6:$L$35,MATCH($E1023,单位档案!$A$6:$A$35,0)),"")),2))</f>
        <v>0</v>
      </c>
      <c r="W1023" s="36" t="n">
        <f aca="false">ROUND($S1023+$T1023+$U1023+$V1023,2)</f>
        <v>0</v>
      </c>
      <c r="X1023" s="35" t="str">
        <f aca="false">IF(OR($D1023="挂靠代收",$D1023="我方收款"),COUNTIFS($D$5:$D1023,"挂靠代收")+COUNTIFS($D$5:$D1023,"我方收款"),"")</f>
        <v/>
      </c>
      <c r="Y1023" s="35"/>
      <c r="Z1023" s="21" t="s">
        <v>111</v>
      </c>
    </row>
    <row r="1024" customFormat="false" ht="15.75" hidden="false" customHeight="true" outlineLevel="0" collapsed="false">
      <c r="A1024" s="32" t="str">
        <f aca="false">IF($B1024="","",ROW()-4)</f>
        <v/>
      </c>
      <c r="B1024" s="26"/>
      <c r="C1024" s="24"/>
      <c r="D1024" s="21"/>
      <c r="E1024" s="21"/>
      <c r="F1024" s="21"/>
      <c r="G1024" s="21"/>
      <c r="H1024" s="27"/>
      <c r="I1024" s="23" t="str">
        <f aca="false">IF($D1024&lt;&gt;"销项开票","",IF($N1024="一级",IF(IFERROR(INDEX(项目档案!$E$6:$E$255,MATCH($C1024,项目档案!$A$6:$A$255,0)),"")="",N(IFERROR(INDEX(单位档案!$D$6:$D$35,MATCH($E1024,单位档案!$A$6:$A$35,0)),"")),IFERROR(INDEX(项目档案!$E$6:$E$255,MATCH($C1024,项目档案!$A$6:$A$255,0)),"")),IF($N1024="二级",IF(IFERROR(INDEX(项目档案!$G$6:$G$255,MATCH($C1024,项目档案!$A$6:$A$255,0)),"")="",N(IFERROR(INDEX(单位档案!$D$6:$D$35,MATCH($E1024,单位档案!$A$6:$A$35,0)),"")),IFERROR(INDEX(项目档案!$G$6:$G$255,MATCH($C1024,项目档案!$A$6:$A$255,0)),"")),N(IFERROR(INDEX(单位档案!$D$6:$D$35,MATCH($E1024,单位档案!$A$6:$A$35,0)),"")))))</f>
        <v/>
      </c>
      <c r="J1024" s="22"/>
      <c r="K1024" s="22"/>
      <c r="L1024" s="33" t="str">
        <f aca="false">IF($B1024="","",IF(NOT(ISNUMBER($B1024)),"日期格式不对",IF($C1024="","未选项目编号",IF(LEFT($M1024,1)="⚠","项目编号不存在",IF($D1024="","未选业务类型",IF($E1024="","未选开票/付款方",IF(ISNA(MATCH($E1024,单位档案!$A$6:$A$35,0)),"开票方不在单位档案",IF($F1024="","未选收票/收款方",IF(ISNA(MATCH($F1024,单位档案!$A$6:$A$35,0)),"收款方不在单位档案",IF(NOT(ISNUMBER($H1024)),"金额须为数字",IF(AND($D1024="销项开票",$N1024="—"),"链条待确认","√")))))))))))</f>
        <v/>
      </c>
      <c r="M1024" s="34" t="str">
        <f aca="false">IF($C1024="","",IFERROR(INDEX(项目档案!$B$6:$B$255,MATCH($C1024,项目档案!$A$6:$A$255,0)),"⚠项目编号不存在"))</f>
        <v/>
      </c>
      <c r="N1024" s="35" t="str">
        <f aca="false">IF($E1024="","",IF($E1024=IFERROR(INDEX(项目档案!$D$6:$D$255,MATCH($C1024,项目档案!$A$6:$A$255,0)),""),"一级",IF($E1024=IFERROR(INDEX(项目档案!$F$6:$F$255,MATCH($C1024,项目档案!$A$6:$A$255,0)),""),"二级",IF($E1024=IFERROR(INDEX(项目档案!$H$6:$H$255,MATCH($C1024,项目档案!$A$6:$A$255,0)),""),"我方","—"))))</f>
        <v/>
      </c>
      <c r="O1024" s="36" t="n">
        <f aca="false">IF($D1024&lt;&gt;"销项开票",0,ROUND(N($H1024)*N($I1024),2))</f>
        <v>0</v>
      </c>
      <c r="P1024" s="36" t="n">
        <f aca="false">IF($D1024&lt;&gt;"销项开票",0,ROUND(N($H1024)-$O1024,2))</f>
        <v>0</v>
      </c>
      <c r="Q1024" s="37" t="str">
        <f aca="false">IF($E1024="","",N(IFERROR(INDEX(单位档案!$E$6:$E$35,MATCH($E1024,单位档案!$A$6:$A$35,0)),"")))</f>
        <v/>
      </c>
      <c r="R1024" s="37" t="str">
        <f aca="false">IF($E1024="","",N(IFERROR(INDEX(单位档案!$F$6:$F$35,MATCH($E1024,单位档案!$A$6:$A$35,0)),"")))</f>
        <v/>
      </c>
      <c r="S1024" s="36" t="n">
        <f aca="false">IF(OR($D1024&lt;&gt;"销项开票",IFERROR(INDEX(单位档案!$G$6:$G$35,MATCH($E1024,单位档案!$A$6:$A$35,0)),"")&lt;&gt;"是",N($Q1024)=0),0,IF(IFERROR(INDEX(单位档案!$H$6:$H$35,MATCH($E1024,单位档案!$A$6:$A$35,0)),"")="税差法",ROUND(N($H1024)/(1+$Q1024)*$Q1024-IF(N($R1024)=0,0,$P1024/(1+$R1024)*$R1024),2),ROUND(N($H1024)/(1+$Q1024)*$Q1024,2)))</f>
        <v>0</v>
      </c>
      <c r="T1024" s="36" t="n">
        <f aca="false">ROUND($S1024*N(IFERROR(INDEX(单位档案!$J$6:$J$35,MATCH($E1024,单位档案!$A$6:$A$35,0)),"")),2)</f>
        <v>0</v>
      </c>
      <c r="U1024" s="36" t="n">
        <f aca="false">IF($D1024&lt;&gt;"销项开票",0,ROUND(N($H1024)*N(IFERROR(INDEX(单位档案!$K$6:$K$35,MATCH($E1024,单位档案!$A$6:$A$35,0)),"")),2))</f>
        <v>0</v>
      </c>
      <c r="V1024" s="36" t="n">
        <f aca="false">IF(OR($D1024&lt;&gt;"销项开票",N($Q1024)=0),0,ROUND(N($H1024)/(1+$Q1024)*N(IFERROR(INDEX(单位档案!$L$6:$L$35,MATCH($E1024,单位档案!$A$6:$A$35,0)),"")),2))</f>
        <v>0</v>
      </c>
      <c r="W1024" s="36" t="n">
        <f aca="false">ROUND($S1024+$T1024+$U1024+$V1024,2)</f>
        <v>0</v>
      </c>
      <c r="X1024" s="35" t="str">
        <f aca="false">IF(OR($D1024="挂靠代收",$D1024="我方收款"),COUNTIFS($D$5:$D1024,"挂靠代收")+COUNTIFS($D$5:$D1024,"我方收款"),"")</f>
        <v/>
      </c>
      <c r="Y1024" s="35"/>
      <c r="Z1024" s="21" t="s">
        <v>111</v>
      </c>
    </row>
    <row r="1025" customFormat="false" ht="15.75" hidden="false" customHeight="true" outlineLevel="0" collapsed="false">
      <c r="A1025" s="32" t="str">
        <f aca="false">IF($B1025="","",ROW()-4)</f>
        <v/>
      </c>
      <c r="B1025" s="26"/>
      <c r="C1025" s="24"/>
      <c r="D1025" s="21"/>
      <c r="E1025" s="21"/>
      <c r="F1025" s="21"/>
      <c r="G1025" s="21"/>
      <c r="H1025" s="27"/>
      <c r="I1025" s="23" t="str">
        <f aca="false">IF($D1025&lt;&gt;"销项开票","",IF($N1025="一级",IF(IFERROR(INDEX(项目档案!$E$6:$E$255,MATCH($C1025,项目档案!$A$6:$A$255,0)),"")="",N(IFERROR(INDEX(单位档案!$D$6:$D$35,MATCH($E1025,单位档案!$A$6:$A$35,0)),"")),IFERROR(INDEX(项目档案!$E$6:$E$255,MATCH($C1025,项目档案!$A$6:$A$255,0)),"")),IF($N1025="二级",IF(IFERROR(INDEX(项目档案!$G$6:$G$255,MATCH($C1025,项目档案!$A$6:$A$255,0)),"")="",N(IFERROR(INDEX(单位档案!$D$6:$D$35,MATCH($E1025,单位档案!$A$6:$A$35,0)),"")),IFERROR(INDEX(项目档案!$G$6:$G$255,MATCH($C1025,项目档案!$A$6:$A$255,0)),"")),N(IFERROR(INDEX(单位档案!$D$6:$D$35,MATCH($E1025,单位档案!$A$6:$A$35,0)),"")))))</f>
        <v/>
      </c>
      <c r="J1025" s="22"/>
      <c r="K1025" s="22"/>
      <c r="L1025" s="33" t="str">
        <f aca="false">IF($B1025="","",IF(NOT(ISNUMBER($B1025)),"日期格式不对",IF($C1025="","未选项目编号",IF(LEFT($M1025,1)="⚠","项目编号不存在",IF($D1025="","未选业务类型",IF($E1025="","未选开票/付款方",IF(ISNA(MATCH($E1025,单位档案!$A$6:$A$35,0)),"开票方不在单位档案",IF($F1025="","未选收票/收款方",IF(ISNA(MATCH($F1025,单位档案!$A$6:$A$35,0)),"收款方不在单位档案",IF(NOT(ISNUMBER($H1025)),"金额须为数字",IF(AND($D1025="销项开票",$N1025="—"),"链条待确认","√")))))))))))</f>
        <v/>
      </c>
      <c r="M1025" s="34" t="str">
        <f aca="false">IF($C1025="","",IFERROR(INDEX(项目档案!$B$6:$B$255,MATCH($C1025,项目档案!$A$6:$A$255,0)),"⚠项目编号不存在"))</f>
        <v/>
      </c>
      <c r="N1025" s="35" t="str">
        <f aca="false">IF($E1025="","",IF($E1025=IFERROR(INDEX(项目档案!$D$6:$D$255,MATCH($C1025,项目档案!$A$6:$A$255,0)),""),"一级",IF($E1025=IFERROR(INDEX(项目档案!$F$6:$F$255,MATCH($C1025,项目档案!$A$6:$A$255,0)),""),"二级",IF($E1025=IFERROR(INDEX(项目档案!$H$6:$H$255,MATCH($C1025,项目档案!$A$6:$A$255,0)),""),"我方","—"))))</f>
        <v/>
      </c>
      <c r="O1025" s="36" t="n">
        <f aca="false">IF($D1025&lt;&gt;"销项开票",0,ROUND(N($H1025)*N($I1025),2))</f>
        <v>0</v>
      </c>
      <c r="P1025" s="36" t="n">
        <f aca="false">IF($D1025&lt;&gt;"销项开票",0,ROUND(N($H1025)-$O1025,2))</f>
        <v>0</v>
      </c>
      <c r="Q1025" s="37" t="str">
        <f aca="false">IF($E1025="","",N(IFERROR(INDEX(单位档案!$E$6:$E$35,MATCH($E1025,单位档案!$A$6:$A$35,0)),"")))</f>
        <v/>
      </c>
      <c r="R1025" s="37" t="str">
        <f aca="false">IF($E1025="","",N(IFERROR(INDEX(单位档案!$F$6:$F$35,MATCH($E1025,单位档案!$A$6:$A$35,0)),"")))</f>
        <v/>
      </c>
      <c r="S1025" s="36" t="n">
        <f aca="false">IF(OR($D1025&lt;&gt;"销项开票",IFERROR(INDEX(单位档案!$G$6:$G$35,MATCH($E1025,单位档案!$A$6:$A$35,0)),"")&lt;&gt;"是",N($Q1025)=0),0,IF(IFERROR(INDEX(单位档案!$H$6:$H$35,MATCH($E1025,单位档案!$A$6:$A$35,0)),"")="税差法",ROUND(N($H1025)/(1+$Q1025)*$Q1025-IF(N($R1025)=0,0,$P1025/(1+$R1025)*$R1025),2),ROUND(N($H1025)/(1+$Q1025)*$Q1025,2)))</f>
        <v>0</v>
      </c>
      <c r="T1025" s="36" t="n">
        <f aca="false">ROUND($S1025*N(IFERROR(INDEX(单位档案!$J$6:$J$35,MATCH($E1025,单位档案!$A$6:$A$35,0)),"")),2)</f>
        <v>0</v>
      </c>
      <c r="U1025" s="36" t="n">
        <f aca="false">IF($D1025&lt;&gt;"销项开票",0,ROUND(N($H1025)*N(IFERROR(INDEX(单位档案!$K$6:$K$35,MATCH($E1025,单位档案!$A$6:$A$35,0)),"")),2))</f>
        <v>0</v>
      </c>
      <c r="V1025" s="36" t="n">
        <f aca="false">IF(OR($D1025&lt;&gt;"销项开票",N($Q1025)=0),0,ROUND(N($H1025)/(1+$Q1025)*N(IFERROR(INDEX(单位档案!$L$6:$L$35,MATCH($E1025,单位档案!$A$6:$A$35,0)),"")),2))</f>
        <v>0</v>
      </c>
      <c r="W1025" s="36" t="n">
        <f aca="false">ROUND($S1025+$T1025+$U1025+$V1025,2)</f>
        <v>0</v>
      </c>
      <c r="X1025" s="35" t="str">
        <f aca="false">IF(OR($D1025="挂靠代收",$D1025="我方收款"),COUNTIFS($D$5:$D1025,"挂靠代收")+COUNTIFS($D$5:$D1025,"我方收款"),"")</f>
        <v/>
      </c>
      <c r="Y1025" s="35"/>
      <c r="Z1025" s="21" t="s">
        <v>111</v>
      </c>
    </row>
    <row r="1026" customFormat="false" ht="15.75" hidden="false" customHeight="true" outlineLevel="0" collapsed="false">
      <c r="A1026" s="32" t="str">
        <f aca="false">IF($B1026="","",ROW()-4)</f>
        <v/>
      </c>
      <c r="B1026" s="26"/>
      <c r="C1026" s="24"/>
      <c r="D1026" s="21"/>
      <c r="E1026" s="21"/>
      <c r="F1026" s="21"/>
      <c r="G1026" s="21"/>
      <c r="H1026" s="27"/>
      <c r="I1026" s="23" t="str">
        <f aca="false">IF($D1026&lt;&gt;"销项开票","",IF($N1026="一级",IF(IFERROR(INDEX(项目档案!$E$6:$E$255,MATCH($C1026,项目档案!$A$6:$A$255,0)),"")="",N(IFERROR(INDEX(单位档案!$D$6:$D$35,MATCH($E1026,单位档案!$A$6:$A$35,0)),"")),IFERROR(INDEX(项目档案!$E$6:$E$255,MATCH($C1026,项目档案!$A$6:$A$255,0)),"")),IF($N1026="二级",IF(IFERROR(INDEX(项目档案!$G$6:$G$255,MATCH($C1026,项目档案!$A$6:$A$255,0)),"")="",N(IFERROR(INDEX(单位档案!$D$6:$D$35,MATCH($E1026,单位档案!$A$6:$A$35,0)),"")),IFERROR(INDEX(项目档案!$G$6:$G$255,MATCH($C1026,项目档案!$A$6:$A$255,0)),"")),N(IFERROR(INDEX(单位档案!$D$6:$D$35,MATCH($E1026,单位档案!$A$6:$A$35,0)),"")))))</f>
        <v/>
      </c>
      <c r="J1026" s="22"/>
      <c r="K1026" s="22"/>
      <c r="L1026" s="33" t="str">
        <f aca="false">IF($B1026="","",IF(NOT(ISNUMBER($B1026)),"日期格式不对",IF($C1026="","未选项目编号",IF(LEFT($M1026,1)="⚠","项目编号不存在",IF($D1026="","未选业务类型",IF($E1026="","未选开票/付款方",IF(ISNA(MATCH($E1026,单位档案!$A$6:$A$35,0)),"开票方不在单位档案",IF($F1026="","未选收票/收款方",IF(ISNA(MATCH($F1026,单位档案!$A$6:$A$35,0)),"收款方不在单位档案",IF(NOT(ISNUMBER($H1026)),"金额须为数字",IF(AND($D1026="销项开票",$N1026="—"),"链条待确认","√")))))))))))</f>
        <v/>
      </c>
      <c r="M1026" s="34" t="str">
        <f aca="false">IF($C1026="","",IFERROR(INDEX(项目档案!$B$6:$B$255,MATCH($C1026,项目档案!$A$6:$A$255,0)),"⚠项目编号不存在"))</f>
        <v/>
      </c>
      <c r="N1026" s="35" t="str">
        <f aca="false">IF($E1026="","",IF($E1026=IFERROR(INDEX(项目档案!$D$6:$D$255,MATCH($C1026,项目档案!$A$6:$A$255,0)),""),"一级",IF($E1026=IFERROR(INDEX(项目档案!$F$6:$F$255,MATCH($C1026,项目档案!$A$6:$A$255,0)),""),"二级",IF($E1026=IFERROR(INDEX(项目档案!$H$6:$H$255,MATCH($C1026,项目档案!$A$6:$A$255,0)),""),"我方","—"))))</f>
        <v/>
      </c>
      <c r="O1026" s="36" t="n">
        <f aca="false">IF($D1026&lt;&gt;"销项开票",0,ROUND(N($H1026)*N($I1026),2))</f>
        <v>0</v>
      </c>
      <c r="P1026" s="36" t="n">
        <f aca="false">IF($D1026&lt;&gt;"销项开票",0,ROUND(N($H1026)-$O1026,2))</f>
        <v>0</v>
      </c>
      <c r="Q1026" s="37" t="str">
        <f aca="false">IF($E1026="","",N(IFERROR(INDEX(单位档案!$E$6:$E$35,MATCH($E1026,单位档案!$A$6:$A$35,0)),"")))</f>
        <v/>
      </c>
      <c r="R1026" s="37" t="str">
        <f aca="false">IF($E1026="","",N(IFERROR(INDEX(单位档案!$F$6:$F$35,MATCH($E1026,单位档案!$A$6:$A$35,0)),"")))</f>
        <v/>
      </c>
      <c r="S1026" s="36" t="n">
        <f aca="false">IF(OR($D1026&lt;&gt;"销项开票",IFERROR(INDEX(单位档案!$G$6:$G$35,MATCH($E1026,单位档案!$A$6:$A$35,0)),"")&lt;&gt;"是",N($Q1026)=0),0,IF(IFERROR(INDEX(单位档案!$H$6:$H$35,MATCH($E1026,单位档案!$A$6:$A$35,0)),"")="税差法",ROUND(N($H1026)/(1+$Q1026)*$Q1026-IF(N($R1026)=0,0,$P1026/(1+$R1026)*$R1026),2),ROUND(N($H1026)/(1+$Q1026)*$Q1026,2)))</f>
        <v>0</v>
      </c>
      <c r="T1026" s="36" t="n">
        <f aca="false">ROUND($S1026*N(IFERROR(INDEX(单位档案!$J$6:$J$35,MATCH($E1026,单位档案!$A$6:$A$35,0)),"")),2)</f>
        <v>0</v>
      </c>
      <c r="U1026" s="36" t="n">
        <f aca="false">IF($D1026&lt;&gt;"销项开票",0,ROUND(N($H1026)*N(IFERROR(INDEX(单位档案!$K$6:$K$35,MATCH($E1026,单位档案!$A$6:$A$35,0)),"")),2))</f>
        <v>0</v>
      </c>
      <c r="V1026" s="36" t="n">
        <f aca="false">IF(OR($D1026&lt;&gt;"销项开票",N($Q1026)=0),0,ROUND(N($H1026)/(1+$Q1026)*N(IFERROR(INDEX(单位档案!$L$6:$L$35,MATCH($E1026,单位档案!$A$6:$A$35,0)),"")),2))</f>
        <v>0</v>
      </c>
      <c r="W1026" s="36" t="n">
        <f aca="false">ROUND($S1026+$T1026+$U1026+$V1026,2)</f>
        <v>0</v>
      </c>
      <c r="X1026" s="35" t="str">
        <f aca="false">IF(OR($D1026="挂靠代收",$D1026="我方收款"),COUNTIFS($D$5:$D1026,"挂靠代收")+COUNTIFS($D$5:$D1026,"我方收款"),"")</f>
        <v/>
      </c>
      <c r="Y1026" s="35"/>
      <c r="Z1026" s="21" t="s">
        <v>111</v>
      </c>
    </row>
    <row r="1027" customFormat="false" ht="15.75" hidden="false" customHeight="true" outlineLevel="0" collapsed="false">
      <c r="A1027" s="32" t="str">
        <f aca="false">IF($B1027="","",ROW()-4)</f>
        <v/>
      </c>
      <c r="B1027" s="26"/>
      <c r="C1027" s="24"/>
      <c r="D1027" s="21"/>
      <c r="E1027" s="21"/>
      <c r="F1027" s="21"/>
      <c r="G1027" s="21"/>
      <c r="H1027" s="27"/>
      <c r="I1027" s="23" t="str">
        <f aca="false">IF($D1027&lt;&gt;"销项开票","",IF($N1027="一级",IF(IFERROR(INDEX(项目档案!$E$6:$E$255,MATCH($C1027,项目档案!$A$6:$A$255,0)),"")="",N(IFERROR(INDEX(单位档案!$D$6:$D$35,MATCH($E1027,单位档案!$A$6:$A$35,0)),"")),IFERROR(INDEX(项目档案!$E$6:$E$255,MATCH($C1027,项目档案!$A$6:$A$255,0)),"")),IF($N1027="二级",IF(IFERROR(INDEX(项目档案!$G$6:$G$255,MATCH($C1027,项目档案!$A$6:$A$255,0)),"")="",N(IFERROR(INDEX(单位档案!$D$6:$D$35,MATCH($E1027,单位档案!$A$6:$A$35,0)),"")),IFERROR(INDEX(项目档案!$G$6:$G$255,MATCH($C1027,项目档案!$A$6:$A$255,0)),"")),N(IFERROR(INDEX(单位档案!$D$6:$D$35,MATCH($E1027,单位档案!$A$6:$A$35,0)),"")))))</f>
        <v/>
      </c>
      <c r="J1027" s="22"/>
      <c r="K1027" s="22"/>
      <c r="L1027" s="33" t="str">
        <f aca="false">IF($B1027="","",IF(NOT(ISNUMBER($B1027)),"日期格式不对",IF($C1027="","未选项目编号",IF(LEFT($M1027,1)="⚠","项目编号不存在",IF($D1027="","未选业务类型",IF($E1027="","未选开票/付款方",IF(ISNA(MATCH($E1027,单位档案!$A$6:$A$35,0)),"开票方不在单位档案",IF($F1027="","未选收票/收款方",IF(ISNA(MATCH($F1027,单位档案!$A$6:$A$35,0)),"收款方不在单位档案",IF(NOT(ISNUMBER($H1027)),"金额须为数字",IF(AND($D1027="销项开票",$N1027="—"),"链条待确认","√")))))))))))</f>
        <v/>
      </c>
      <c r="M1027" s="34" t="str">
        <f aca="false">IF($C1027="","",IFERROR(INDEX(项目档案!$B$6:$B$255,MATCH($C1027,项目档案!$A$6:$A$255,0)),"⚠项目编号不存在"))</f>
        <v/>
      </c>
      <c r="N1027" s="35" t="str">
        <f aca="false">IF($E1027="","",IF($E1027=IFERROR(INDEX(项目档案!$D$6:$D$255,MATCH($C1027,项目档案!$A$6:$A$255,0)),""),"一级",IF($E1027=IFERROR(INDEX(项目档案!$F$6:$F$255,MATCH($C1027,项目档案!$A$6:$A$255,0)),""),"二级",IF($E1027=IFERROR(INDEX(项目档案!$H$6:$H$255,MATCH($C1027,项目档案!$A$6:$A$255,0)),""),"我方","—"))))</f>
        <v/>
      </c>
      <c r="O1027" s="36" t="n">
        <f aca="false">IF($D1027&lt;&gt;"销项开票",0,ROUND(N($H1027)*N($I1027),2))</f>
        <v>0</v>
      </c>
      <c r="P1027" s="36" t="n">
        <f aca="false">IF($D1027&lt;&gt;"销项开票",0,ROUND(N($H1027)-$O1027,2))</f>
        <v>0</v>
      </c>
      <c r="Q1027" s="37" t="str">
        <f aca="false">IF($E1027="","",N(IFERROR(INDEX(单位档案!$E$6:$E$35,MATCH($E1027,单位档案!$A$6:$A$35,0)),"")))</f>
        <v/>
      </c>
      <c r="R1027" s="37" t="str">
        <f aca="false">IF($E1027="","",N(IFERROR(INDEX(单位档案!$F$6:$F$35,MATCH($E1027,单位档案!$A$6:$A$35,0)),"")))</f>
        <v/>
      </c>
      <c r="S1027" s="36" t="n">
        <f aca="false">IF(OR($D1027&lt;&gt;"销项开票",IFERROR(INDEX(单位档案!$G$6:$G$35,MATCH($E1027,单位档案!$A$6:$A$35,0)),"")&lt;&gt;"是",N($Q1027)=0),0,IF(IFERROR(INDEX(单位档案!$H$6:$H$35,MATCH($E1027,单位档案!$A$6:$A$35,0)),"")="税差法",ROUND(N($H1027)/(1+$Q1027)*$Q1027-IF(N($R1027)=0,0,$P1027/(1+$R1027)*$R1027),2),ROUND(N($H1027)/(1+$Q1027)*$Q1027,2)))</f>
        <v>0</v>
      </c>
      <c r="T1027" s="36" t="n">
        <f aca="false">ROUND($S1027*N(IFERROR(INDEX(单位档案!$J$6:$J$35,MATCH($E1027,单位档案!$A$6:$A$35,0)),"")),2)</f>
        <v>0</v>
      </c>
      <c r="U1027" s="36" t="n">
        <f aca="false">IF($D1027&lt;&gt;"销项开票",0,ROUND(N($H1027)*N(IFERROR(INDEX(单位档案!$K$6:$K$35,MATCH($E1027,单位档案!$A$6:$A$35,0)),"")),2))</f>
        <v>0</v>
      </c>
      <c r="V1027" s="36" t="n">
        <f aca="false">IF(OR($D1027&lt;&gt;"销项开票",N($Q1027)=0),0,ROUND(N($H1027)/(1+$Q1027)*N(IFERROR(INDEX(单位档案!$L$6:$L$35,MATCH($E1027,单位档案!$A$6:$A$35,0)),"")),2))</f>
        <v>0</v>
      </c>
      <c r="W1027" s="36" t="n">
        <f aca="false">ROUND($S1027+$T1027+$U1027+$V1027,2)</f>
        <v>0</v>
      </c>
      <c r="X1027" s="35" t="str">
        <f aca="false">IF(OR($D1027="挂靠代收",$D1027="我方收款"),COUNTIFS($D$5:$D1027,"挂靠代收")+COUNTIFS($D$5:$D1027,"我方收款"),"")</f>
        <v/>
      </c>
      <c r="Y1027" s="35"/>
      <c r="Z1027" s="21" t="s">
        <v>111</v>
      </c>
    </row>
    <row r="1028" customFormat="false" ht="15.75" hidden="false" customHeight="true" outlineLevel="0" collapsed="false">
      <c r="A1028" s="32" t="str">
        <f aca="false">IF($B1028="","",ROW()-4)</f>
        <v/>
      </c>
      <c r="B1028" s="26"/>
      <c r="C1028" s="24"/>
      <c r="D1028" s="21"/>
      <c r="E1028" s="21"/>
      <c r="F1028" s="21"/>
      <c r="G1028" s="21"/>
      <c r="H1028" s="27"/>
      <c r="I1028" s="23" t="str">
        <f aca="false">IF($D1028&lt;&gt;"销项开票","",IF($N1028="一级",IF(IFERROR(INDEX(项目档案!$E$6:$E$255,MATCH($C1028,项目档案!$A$6:$A$255,0)),"")="",N(IFERROR(INDEX(单位档案!$D$6:$D$35,MATCH($E1028,单位档案!$A$6:$A$35,0)),"")),IFERROR(INDEX(项目档案!$E$6:$E$255,MATCH($C1028,项目档案!$A$6:$A$255,0)),"")),IF($N1028="二级",IF(IFERROR(INDEX(项目档案!$G$6:$G$255,MATCH($C1028,项目档案!$A$6:$A$255,0)),"")="",N(IFERROR(INDEX(单位档案!$D$6:$D$35,MATCH($E1028,单位档案!$A$6:$A$35,0)),"")),IFERROR(INDEX(项目档案!$G$6:$G$255,MATCH($C1028,项目档案!$A$6:$A$255,0)),"")),N(IFERROR(INDEX(单位档案!$D$6:$D$35,MATCH($E1028,单位档案!$A$6:$A$35,0)),"")))))</f>
        <v/>
      </c>
      <c r="J1028" s="22"/>
      <c r="K1028" s="22"/>
      <c r="L1028" s="33" t="str">
        <f aca="false">IF($B1028="","",IF(NOT(ISNUMBER($B1028)),"日期格式不对",IF($C1028="","未选项目编号",IF(LEFT($M1028,1)="⚠","项目编号不存在",IF($D1028="","未选业务类型",IF($E1028="","未选开票/付款方",IF(ISNA(MATCH($E1028,单位档案!$A$6:$A$35,0)),"开票方不在单位档案",IF($F1028="","未选收票/收款方",IF(ISNA(MATCH($F1028,单位档案!$A$6:$A$35,0)),"收款方不在单位档案",IF(NOT(ISNUMBER($H1028)),"金额须为数字",IF(AND($D1028="销项开票",$N1028="—"),"链条待确认","√")))))))))))</f>
        <v/>
      </c>
      <c r="M1028" s="34" t="str">
        <f aca="false">IF($C1028="","",IFERROR(INDEX(项目档案!$B$6:$B$255,MATCH($C1028,项目档案!$A$6:$A$255,0)),"⚠项目编号不存在"))</f>
        <v/>
      </c>
      <c r="N1028" s="35" t="str">
        <f aca="false">IF($E1028="","",IF($E1028=IFERROR(INDEX(项目档案!$D$6:$D$255,MATCH($C1028,项目档案!$A$6:$A$255,0)),""),"一级",IF($E1028=IFERROR(INDEX(项目档案!$F$6:$F$255,MATCH($C1028,项目档案!$A$6:$A$255,0)),""),"二级",IF($E1028=IFERROR(INDEX(项目档案!$H$6:$H$255,MATCH($C1028,项目档案!$A$6:$A$255,0)),""),"我方","—"))))</f>
        <v/>
      </c>
      <c r="O1028" s="36" t="n">
        <f aca="false">IF($D1028&lt;&gt;"销项开票",0,ROUND(N($H1028)*N($I1028),2))</f>
        <v>0</v>
      </c>
      <c r="P1028" s="36" t="n">
        <f aca="false">IF($D1028&lt;&gt;"销项开票",0,ROUND(N($H1028)-$O1028,2))</f>
        <v>0</v>
      </c>
      <c r="Q1028" s="37" t="str">
        <f aca="false">IF($E1028="","",N(IFERROR(INDEX(单位档案!$E$6:$E$35,MATCH($E1028,单位档案!$A$6:$A$35,0)),"")))</f>
        <v/>
      </c>
      <c r="R1028" s="37" t="str">
        <f aca="false">IF($E1028="","",N(IFERROR(INDEX(单位档案!$F$6:$F$35,MATCH($E1028,单位档案!$A$6:$A$35,0)),"")))</f>
        <v/>
      </c>
      <c r="S1028" s="36" t="n">
        <f aca="false">IF(OR($D1028&lt;&gt;"销项开票",IFERROR(INDEX(单位档案!$G$6:$G$35,MATCH($E1028,单位档案!$A$6:$A$35,0)),"")&lt;&gt;"是",N($Q1028)=0),0,IF(IFERROR(INDEX(单位档案!$H$6:$H$35,MATCH($E1028,单位档案!$A$6:$A$35,0)),"")="税差法",ROUND(N($H1028)/(1+$Q1028)*$Q1028-IF(N($R1028)=0,0,$P1028/(1+$R1028)*$R1028),2),ROUND(N($H1028)/(1+$Q1028)*$Q1028,2)))</f>
        <v>0</v>
      </c>
      <c r="T1028" s="36" t="n">
        <f aca="false">ROUND($S1028*N(IFERROR(INDEX(单位档案!$J$6:$J$35,MATCH($E1028,单位档案!$A$6:$A$35,0)),"")),2)</f>
        <v>0</v>
      </c>
      <c r="U1028" s="36" t="n">
        <f aca="false">IF($D1028&lt;&gt;"销项开票",0,ROUND(N($H1028)*N(IFERROR(INDEX(单位档案!$K$6:$K$35,MATCH($E1028,单位档案!$A$6:$A$35,0)),"")),2))</f>
        <v>0</v>
      </c>
      <c r="V1028" s="36" t="n">
        <f aca="false">IF(OR($D1028&lt;&gt;"销项开票",N($Q1028)=0),0,ROUND(N($H1028)/(1+$Q1028)*N(IFERROR(INDEX(单位档案!$L$6:$L$35,MATCH($E1028,单位档案!$A$6:$A$35,0)),"")),2))</f>
        <v>0</v>
      </c>
      <c r="W1028" s="36" t="n">
        <f aca="false">ROUND($S1028+$T1028+$U1028+$V1028,2)</f>
        <v>0</v>
      </c>
      <c r="X1028" s="35" t="str">
        <f aca="false">IF(OR($D1028="挂靠代收",$D1028="我方收款"),COUNTIFS($D$5:$D1028,"挂靠代收")+COUNTIFS($D$5:$D1028,"我方收款"),"")</f>
        <v/>
      </c>
      <c r="Y1028" s="35"/>
      <c r="Z1028" s="21" t="s">
        <v>111</v>
      </c>
    </row>
    <row r="1029" customFormat="false" ht="15.75" hidden="false" customHeight="true" outlineLevel="0" collapsed="false">
      <c r="A1029" s="32" t="str">
        <f aca="false">IF($B1029="","",ROW()-4)</f>
        <v/>
      </c>
      <c r="B1029" s="26"/>
      <c r="C1029" s="24"/>
      <c r="D1029" s="21"/>
      <c r="E1029" s="21"/>
      <c r="F1029" s="21"/>
      <c r="G1029" s="21"/>
      <c r="H1029" s="27"/>
      <c r="I1029" s="23" t="str">
        <f aca="false">IF($D1029&lt;&gt;"销项开票","",IF($N1029="一级",IF(IFERROR(INDEX(项目档案!$E$6:$E$255,MATCH($C1029,项目档案!$A$6:$A$255,0)),"")="",N(IFERROR(INDEX(单位档案!$D$6:$D$35,MATCH($E1029,单位档案!$A$6:$A$35,0)),"")),IFERROR(INDEX(项目档案!$E$6:$E$255,MATCH($C1029,项目档案!$A$6:$A$255,0)),"")),IF($N1029="二级",IF(IFERROR(INDEX(项目档案!$G$6:$G$255,MATCH($C1029,项目档案!$A$6:$A$255,0)),"")="",N(IFERROR(INDEX(单位档案!$D$6:$D$35,MATCH($E1029,单位档案!$A$6:$A$35,0)),"")),IFERROR(INDEX(项目档案!$G$6:$G$255,MATCH($C1029,项目档案!$A$6:$A$255,0)),"")),N(IFERROR(INDEX(单位档案!$D$6:$D$35,MATCH($E1029,单位档案!$A$6:$A$35,0)),"")))))</f>
        <v/>
      </c>
      <c r="J1029" s="22"/>
      <c r="K1029" s="22"/>
      <c r="L1029" s="33" t="str">
        <f aca="false">IF($B1029="","",IF(NOT(ISNUMBER($B1029)),"日期格式不对",IF($C1029="","未选项目编号",IF(LEFT($M1029,1)="⚠","项目编号不存在",IF($D1029="","未选业务类型",IF($E1029="","未选开票/付款方",IF(ISNA(MATCH($E1029,单位档案!$A$6:$A$35,0)),"开票方不在单位档案",IF($F1029="","未选收票/收款方",IF(ISNA(MATCH($F1029,单位档案!$A$6:$A$35,0)),"收款方不在单位档案",IF(NOT(ISNUMBER($H1029)),"金额须为数字",IF(AND($D1029="销项开票",$N1029="—"),"链条待确认","√")))))))))))</f>
        <v/>
      </c>
      <c r="M1029" s="34" t="str">
        <f aca="false">IF($C1029="","",IFERROR(INDEX(项目档案!$B$6:$B$255,MATCH($C1029,项目档案!$A$6:$A$255,0)),"⚠项目编号不存在"))</f>
        <v/>
      </c>
      <c r="N1029" s="35" t="str">
        <f aca="false">IF($E1029="","",IF($E1029=IFERROR(INDEX(项目档案!$D$6:$D$255,MATCH($C1029,项目档案!$A$6:$A$255,0)),""),"一级",IF($E1029=IFERROR(INDEX(项目档案!$F$6:$F$255,MATCH($C1029,项目档案!$A$6:$A$255,0)),""),"二级",IF($E1029=IFERROR(INDEX(项目档案!$H$6:$H$255,MATCH($C1029,项目档案!$A$6:$A$255,0)),""),"我方","—"))))</f>
        <v/>
      </c>
      <c r="O1029" s="36" t="n">
        <f aca="false">IF($D1029&lt;&gt;"销项开票",0,ROUND(N($H1029)*N($I1029),2))</f>
        <v>0</v>
      </c>
      <c r="P1029" s="36" t="n">
        <f aca="false">IF($D1029&lt;&gt;"销项开票",0,ROUND(N($H1029)-$O1029,2))</f>
        <v>0</v>
      </c>
      <c r="Q1029" s="37" t="str">
        <f aca="false">IF($E1029="","",N(IFERROR(INDEX(单位档案!$E$6:$E$35,MATCH($E1029,单位档案!$A$6:$A$35,0)),"")))</f>
        <v/>
      </c>
      <c r="R1029" s="37" t="str">
        <f aca="false">IF($E1029="","",N(IFERROR(INDEX(单位档案!$F$6:$F$35,MATCH($E1029,单位档案!$A$6:$A$35,0)),"")))</f>
        <v/>
      </c>
      <c r="S1029" s="36" t="n">
        <f aca="false">IF(OR($D1029&lt;&gt;"销项开票",IFERROR(INDEX(单位档案!$G$6:$G$35,MATCH($E1029,单位档案!$A$6:$A$35,0)),"")&lt;&gt;"是",N($Q1029)=0),0,IF(IFERROR(INDEX(单位档案!$H$6:$H$35,MATCH($E1029,单位档案!$A$6:$A$35,0)),"")="税差法",ROUND(N($H1029)/(1+$Q1029)*$Q1029-IF(N($R1029)=0,0,$P1029/(1+$R1029)*$R1029),2),ROUND(N($H1029)/(1+$Q1029)*$Q1029,2)))</f>
        <v>0</v>
      </c>
      <c r="T1029" s="36" t="n">
        <f aca="false">ROUND($S1029*N(IFERROR(INDEX(单位档案!$J$6:$J$35,MATCH($E1029,单位档案!$A$6:$A$35,0)),"")),2)</f>
        <v>0</v>
      </c>
      <c r="U1029" s="36" t="n">
        <f aca="false">IF($D1029&lt;&gt;"销项开票",0,ROUND(N($H1029)*N(IFERROR(INDEX(单位档案!$K$6:$K$35,MATCH($E1029,单位档案!$A$6:$A$35,0)),"")),2))</f>
        <v>0</v>
      </c>
      <c r="V1029" s="36" t="n">
        <f aca="false">IF(OR($D1029&lt;&gt;"销项开票",N($Q1029)=0),0,ROUND(N($H1029)/(1+$Q1029)*N(IFERROR(INDEX(单位档案!$L$6:$L$35,MATCH($E1029,单位档案!$A$6:$A$35,0)),"")),2))</f>
        <v>0</v>
      </c>
      <c r="W1029" s="36" t="n">
        <f aca="false">ROUND($S1029+$T1029+$U1029+$V1029,2)</f>
        <v>0</v>
      </c>
      <c r="X1029" s="35" t="str">
        <f aca="false">IF(OR($D1029="挂靠代收",$D1029="我方收款"),COUNTIFS($D$5:$D1029,"挂靠代收")+COUNTIFS($D$5:$D1029,"我方收款"),"")</f>
        <v/>
      </c>
      <c r="Y1029" s="35"/>
      <c r="Z1029" s="21" t="s">
        <v>111</v>
      </c>
    </row>
    <row r="1030" customFormat="false" ht="15.75" hidden="false" customHeight="true" outlineLevel="0" collapsed="false">
      <c r="A1030" s="32" t="str">
        <f aca="false">IF($B1030="","",ROW()-4)</f>
        <v/>
      </c>
      <c r="B1030" s="26"/>
      <c r="C1030" s="24"/>
      <c r="D1030" s="21"/>
      <c r="E1030" s="21"/>
      <c r="F1030" s="21"/>
      <c r="G1030" s="21"/>
      <c r="H1030" s="27"/>
      <c r="I1030" s="23" t="str">
        <f aca="false">IF($D1030&lt;&gt;"销项开票","",IF($N1030="一级",IF(IFERROR(INDEX(项目档案!$E$6:$E$255,MATCH($C1030,项目档案!$A$6:$A$255,0)),"")="",N(IFERROR(INDEX(单位档案!$D$6:$D$35,MATCH($E1030,单位档案!$A$6:$A$35,0)),"")),IFERROR(INDEX(项目档案!$E$6:$E$255,MATCH($C1030,项目档案!$A$6:$A$255,0)),"")),IF($N1030="二级",IF(IFERROR(INDEX(项目档案!$G$6:$G$255,MATCH($C1030,项目档案!$A$6:$A$255,0)),"")="",N(IFERROR(INDEX(单位档案!$D$6:$D$35,MATCH($E1030,单位档案!$A$6:$A$35,0)),"")),IFERROR(INDEX(项目档案!$G$6:$G$255,MATCH($C1030,项目档案!$A$6:$A$255,0)),"")),N(IFERROR(INDEX(单位档案!$D$6:$D$35,MATCH($E1030,单位档案!$A$6:$A$35,0)),"")))))</f>
        <v/>
      </c>
      <c r="J1030" s="22"/>
      <c r="K1030" s="22"/>
      <c r="L1030" s="33" t="str">
        <f aca="false">IF($B1030="","",IF(NOT(ISNUMBER($B1030)),"日期格式不对",IF($C1030="","未选项目编号",IF(LEFT($M1030,1)="⚠","项目编号不存在",IF($D1030="","未选业务类型",IF($E1030="","未选开票/付款方",IF(ISNA(MATCH($E1030,单位档案!$A$6:$A$35,0)),"开票方不在单位档案",IF($F1030="","未选收票/收款方",IF(ISNA(MATCH($F1030,单位档案!$A$6:$A$35,0)),"收款方不在单位档案",IF(NOT(ISNUMBER($H1030)),"金额须为数字",IF(AND($D1030="销项开票",$N1030="—"),"链条待确认","√")))))))))))</f>
        <v/>
      </c>
      <c r="M1030" s="34" t="str">
        <f aca="false">IF($C1030="","",IFERROR(INDEX(项目档案!$B$6:$B$255,MATCH($C1030,项目档案!$A$6:$A$255,0)),"⚠项目编号不存在"))</f>
        <v/>
      </c>
      <c r="N1030" s="35" t="str">
        <f aca="false">IF($E1030="","",IF($E1030=IFERROR(INDEX(项目档案!$D$6:$D$255,MATCH($C1030,项目档案!$A$6:$A$255,0)),""),"一级",IF($E1030=IFERROR(INDEX(项目档案!$F$6:$F$255,MATCH($C1030,项目档案!$A$6:$A$255,0)),""),"二级",IF($E1030=IFERROR(INDEX(项目档案!$H$6:$H$255,MATCH($C1030,项目档案!$A$6:$A$255,0)),""),"我方","—"))))</f>
        <v/>
      </c>
      <c r="O1030" s="36" t="n">
        <f aca="false">IF($D1030&lt;&gt;"销项开票",0,ROUND(N($H1030)*N($I1030),2))</f>
        <v>0</v>
      </c>
      <c r="P1030" s="36" t="n">
        <f aca="false">IF($D1030&lt;&gt;"销项开票",0,ROUND(N($H1030)-$O1030,2))</f>
        <v>0</v>
      </c>
      <c r="Q1030" s="37" t="str">
        <f aca="false">IF($E1030="","",N(IFERROR(INDEX(单位档案!$E$6:$E$35,MATCH($E1030,单位档案!$A$6:$A$35,0)),"")))</f>
        <v/>
      </c>
      <c r="R1030" s="37" t="str">
        <f aca="false">IF($E1030="","",N(IFERROR(INDEX(单位档案!$F$6:$F$35,MATCH($E1030,单位档案!$A$6:$A$35,0)),"")))</f>
        <v/>
      </c>
      <c r="S1030" s="36" t="n">
        <f aca="false">IF(OR($D1030&lt;&gt;"销项开票",IFERROR(INDEX(单位档案!$G$6:$G$35,MATCH($E1030,单位档案!$A$6:$A$35,0)),"")&lt;&gt;"是",N($Q1030)=0),0,IF(IFERROR(INDEX(单位档案!$H$6:$H$35,MATCH($E1030,单位档案!$A$6:$A$35,0)),"")="税差法",ROUND(N($H1030)/(1+$Q1030)*$Q1030-IF(N($R1030)=0,0,$P1030/(1+$R1030)*$R1030),2),ROUND(N($H1030)/(1+$Q1030)*$Q1030,2)))</f>
        <v>0</v>
      </c>
      <c r="T1030" s="36" t="n">
        <f aca="false">ROUND($S1030*N(IFERROR(INDEX(单位档案!$J$6:$J$35,MATCH($E1030,单位档案!$A$6:$A$35,0)),"")),2)</f>
        <v>0</v>
      </c>
      <c r="U1030" s="36" t="n">
        <f aca="false">IF($D1030&lt;&gt;"销项开票",0,ROUND(N($H1030)*N(IFERROR(INDEX(单位档案!$K$6:$K$35,MATCH($E1030,单位档案!$A$6:$A$35,0)),"")),2))</f>
        <v>0</v>
      </c>
      <c r="V1030" s="36" t="n">
        <f aca="false">IF(OR($D1030&lt;&gt;"销项开票",N($Q1030)=0),0,ROUND(N($H1030)/(1+$Q1030)*N(IFERROR(INDEX(单位档案!$L$6:$L$35,MATCH($E1030,单位档案!$A$6:$A$35,0)),"")),2))</f>
        <v>0</v>
      </c>
      <c r="W1030" s="36" t="n">
        <f aca="false">ROUND($S1030+$T1030+$U1030+$V1030,2)</f>
        <v>0</v>
      </c>
      <c r="X1030" s="35" t="str">
        <f aca="false">IF(OR($D1030="挂靠代收",$D1030="我方收款"),COUNTIFS($D$5:$D1030,"挂靠代收")+COUNTIFS($D$5:$D1030,"我方收款"),"")</f>
        <v/>
      </c>
      <c r="Y1030" s="35"/>
      <c r="Z1030" s="21" t="s">
        <v>111</v>
      </c>
    </row>
    <row r="1031" customFormat="false" ht="15.75" hidden="false" customHeight="true" outlineLevel="0" collapsed="false">
      <c r="A1031" s="32" t="str">
        <f aca="false">IF($B1031="","",ROW()-4)</f>
        <v/>
      </c>
      <c r="B1031" s="26"/>
      <c r="C1031" s="24"/>
      <c r="D1031" s="21"/>
      <c r="E1031" s="21"/>
      <c r="F1031" s="21"/>
      <c r="G1031" s="21"/>
      <c r="H1031" s="27"/>
      <c r="I1031" s="23" t="str">
        <f aca="false">IF($D1031&lt;&gt;"销项开票","",IF($N1031="一级",IF(IFERROR(INDEX(项目档案!$E$6:$E$255,MATCH($C1031,项目档案!$A$6:$A$255,0)),"")="",N(IFERROR(INDEX(单位档案!$D$6:$D$35,MATCH($E1031,单位档案!$A$6:$A$35,0)),"")),IFERROR(INDEX(项目档案!$E$6:$E$255,MATCH($C1031,项目档案!$A$6:$A$255,0)),"")),IF($N1031="二级",IF(IFERROR(INDEX(项目档案!$G$6:$G$255,MATCH($C1031,项目档案!$A$6:$A$255,0)),"")="",N(IFERROR(INDEX(单位档案!$D$6:$D$35,MATCH($E1031,单位档案!$A$6:$A$35,0)),"")),IFERROR(INDEX(项目档案!$G$6:$G$255,MATCH($C1031,项目档案!$A$6:$A$255,0)),"")),N(IFERROR(INDEX(单位档案!$D$6:$D$35,MATCH($E1031,单位档案!$A$6:$A$35,0)),"")))))</f>
        <v/>
      </c>
      <c r="J1031" s="22"/>
      <c r="K1031" s="22"/>
      <c r="L1031" s="33" t="str">
        <f aca="false">IF($B1031="","",IF(NOT(ISNUMBER($B1031)),"日期格式不对",IF($C1031="","未选项目编号",IF(LEFT($M1031,1)="⚠","项目编号不存在",IF($D1031="","未选业务类型",IF($E1031="","未选开票/付款方",IF(ISNA(MATCH($E1031,单位档案!$A$6:$A$35,0)),"开票方不在单位档案",IF($F1031="","未选收票/收款方",IF(ISNA(MATCH($F1031,单位档案!$A$6:$A$35,0)),"收款方不在单位档案",IF(NOT(ISNUMBER($H1031)),"金额须为数字",IF(AND($D1031="销项开票",$N1031="—"),"链条待确认","√")))))))))))</f>
        <v/>
      </c>
      <c r="M1031" s="34" t="str">
        <f aca="false">IF($C1031="","",IFERROR(INDEX(项目档案!$B$6:$B$255,MATCH($C1031,项目档案!$A$6:$A$255,0)),"⚠项目编号不存在"))</f>
        <v/>
      </c>
      <c r="N1031" s="35" t="str">
        <f aca="false">IF($E1031="","",IF($E1031=IFERROR(INDEX(项目档案!$D$6:$D$255,MATCH($C1031,项目档案!$A$6:$A$255,0)),""),"一级",IF($E1031=IFERROR(INDEX(项目档案!$F$6:$F$255,MATCH($C1031,项目档案!$A$6:$A$255,0)),""),"二级",IF($E1031=IFERROR(INDEX(项目档案!$H$6:$H$255,MATCH($C1031,项目档案!$A$6:$A$255,0)),""),"我方","—"))))</f>
        <v/>
      </c>
      <c r="O1031" s="36" t="n">
        <f aca="false">IF($D1031&lt;&gt;"销项开票",0,ROUND(N($H1031)*N($I1031),2))</f>
        <v>0</v>
      </c>
      <c r="P1031" s="36" t="n">
        <f aca="false">IF($D1031&lt;&gt;"销项开票",0,ROUND(N($H1031)-$O1031,2))</f>
        <v>0</v>
      </c>
      <c r="Q1031" s="37" t="str">
        <f aca="false">IF($E1031="","",N(IFERROR(INDEX(单位档案!$E$6:$E$35,MATCH($E1031,单位档案!$A$6:$A$35,0)),"")))</f>
        <v/>
      </c>
      <c r="R1031" s="37" t="str">
        <f aca="false">IF($E1031="","",N(IFERROR(INDEX(单位档案!$F$6:$F$35,MATCH($E1031,单位档案!$A$6:$A$35,0)),"")))</f>
        <v/>
      </c>
      <c r="S1031" s="36" t="n">
        <f aca="false">IF(OR($D1031&lt;&gt;"销项开票",IFERROR(INDEX(单位档案!$G$6:$G$35,MATCH($E1031,单位档案!$A$6:$A$35,0)),"")&lt;&gt;"是",N($Q1031)=0),0,IF(IFERROR(INDEX(单位档案!$H$6:$H$35,MATCH($E1031,单位档案!$A$6:$A$35,0)),"")="税差法",ROUND(N($H1031)/(1+$Q1031)*$Q1031-IF(N($R1031)=0,0,$P1031/(1+$R1031)*$R1031),2),ROUND(N($H1031)/(1+$Q1031)*$Q1031,2)))</f>
        <v>0</v>
      </c>
      <c r="T1031" s="36" t="n">
        <f aca="false">ROUND($S1031*N(IFERROR(INDEX(单位档案!$J$6:$J$35,MATCH($E1031,单位档案!$A$6:$A$35,0)),"")),2)</f>
        <v>0</v>
      </c>
      <c r="U1031" s="36" t="n">
        <f aca="false">IF($D1031&lt;&gt;"销项开票",0,ROUND(N($H1031)*N(IFERROR(INDEX(单位档案!$K$6:$K$35,MATCH($E1031,单位档案!$A$6:$A$35,0)),"")),2))</f>
        <v>0</v>
      </c>
      <c r="V1031" s="36" t="n">
        <f aca="false">IF(OR($D1031&lt;&gt;"销项开票",N($Q1031)=0),0,ROUND(N($H1031)/(1+$Q1031)*N(IFERROR(INDEX(单位档案!$L$6:$L$35,MATCH($E1031,单位档案!$A$6:$A$35,0)),"")),2))</f>
        <v>0</v>
      </c>
      <c r="W1031" s="36" t="n">
        <f aca="false">ROUND($S1031+$T1031+$U1031+$V1031,2)</f>
        <v>0</v>
      </c>
      <c r="X1031" s="35" t="str">
        <f aca="false">IF(OR($D1031="挂靠代收",$D1031="我方收款"),COUNTIFS($D$5:$D1031,"挂靠代收")+COUNTIFS($D$5:$D1031,"我方收款"),"")</f>
        <v/>
      </c>
      <c r="Y1031" s="35"/>
      <c r="Z1031" s="21" t="s">
        <v>111</v>
      </c>
    </row>
    <row r="1032" customFormat="false" ht="15.75" hidden="false" customHeight="true" outlineLevel="0" collapsed="false">
      <c r="A1032" s="32" t="str">
        <f aca="false">IF($B1032="","",ROW()-4)</f>
        <v/>
      </c>
      <c r="B1032" s="26"/>
      <c r="C1032" s="24"/>
      <c r="D1032" s="21"/>
      <c r="E1032" s="21"/>
      <c r="F1032" s="21"/>
      <c r="G1032" s="21"/>
      <c r="H1032" s="27"/>
      <c r="I1032" s="23" t="str">
        <f aca="false">IF($D1032&lt;&gt;"销项开票","",IF($N1032="一级",IF(IFERROR(INDEX(项目档案!$E$6:$E$255,MATCH($C1032,项目档案!$A$6:$A$255,0)),"")="",N(IFERROR(INDEX(单位档案!$D$6:$D$35,MATCH($E1032,单位档案!$A$6:$A$35,0)),"")),IFERROR(INDEX(项目档案!$E$6:$E$255,MATCH($C1032,项目档案!$A$6:$A$255,0)),"")),IF($N1032="二级",IF(IFERROR(INDEX(项目档案!$G$6:$G$255,MATCH($C1032,项目档案!$A$6:$A$255,0)),"")="",N(IFERROR(INDEX(单位档案!$D$6:$D$35,MATCH($E1032,单位档案!$A$6:$A$35,0)),"")),IFERROR(INDEX(项目档案!$G$6:$G$255,MATCH($C1032,项目档案!$A$6:$A$255,0)),"")),N(IFERROR(INDEX(单位档案!$D$6:$D$35,MATCH($E1032,单位档案!$A$6:$A$35,0)),"")))))</f>
        <v/>
      </c>
      <c r="J1032" s="22"/>
      <c r="K1032" s="22"/>
      <c r="L1032" s="33" t="str">
        <f aca="false">IF($B1032="","",IF(NOT(ISNUMBER($B1032)),"日期格式不对",IF($C1032="","未选项目编号",IF(LEFT($M1032,1)="⚠","项目编号不存在",IF($D1032="","未选业务类型",IF($E1032="","未选开票/付款方",IF(ISNA(MATCH($E1032,单位档案!$A$6:$A$35,0)),"开票方不在单位档案",IF($F1032="","未选收票/收款方",IF(ISNA(MATCH($F1032,单位档案!$A$6:$A$35,0)),"收款方不在单位档案",IF(NOT(ISNUMBER($H1032)),"金额须为数字",IF(AND($D1032="销项开票",$N1032="—"),"链条待确认","√")))))))))))</f>
        <v/>
      </c>
      <c r="M1032" s="34" t="str">
        <f aca="false">IF($C1032="","",IFERROR(INDEX(项目档案!$B$6:$B$255,MATCH($C1032,项目档案!$A$6:$A$255,0)),"⚠项目编号不存在"))</f>
        <v/>
      </c>
      <c r="N1032" s="35" t="str">
        <f aca="false">IF($E1032="","",IF($E1032=IFERROR(INDEX(项目档案!$D$6:$D$255,MATCH($C1032,项目档案!$A$6:$A$255,0)),""),"一级",IF($E1032=IFERROR(INDEX(项目档案!$F$6:$F$255,MATCH($C1032,项目档案!$A$6:$A$255,0)),""),"二级",IF($E1032=IFERROR(INDEX(项目档案!$H$6:$H$255,MATCH($C1032,项目档案!$A$6:$A$255,0)),""),"我方","—"))))</f>
        <v/>
      </c>
      <c r="O1032" s="36" t="n">
        <f aca="false">IF($D1032&lt;&gt;"销项开票",0,ROUND(N($H1032)*N($I1032),2))</f>
        <v>0</v>
      </c>
      <c r="P1032" s="36" t="n">
        <f aca="false">IF($D1032&lt;&gt;"销项开票",0,ROUND(N($H1032)-$O1032,2))</f>
        <v>0</v>
      </c>
      <c r="Q1032" s="37" t="str">
        <f aca="false">IF($E1032="","",N(IFERROR(INDEX(单位档案!$E$6:$E$35,MATCH($E1032,单位档案!$A$6:$A$35,0)),"")))</f>
        <v/>
      </c>
      <c r="R1032" s="37" t="str">
        <f aca="false">IF($E1032="","",N(IFERROR(INDEX(单位档案!$F$6:$F$35,MATCH($E1032,单位档案!$A$6:$A$35,0)),"")))</f>
        <v/>
      </c>
      <c r="S1032" s="36" t="n">
        <f aca="false">IF(OR($D1032&lt;&gt;"销项开票",IFERROR(INDEX(单位档案!$G$6:$G$35,MATCH($E1032,单位档案!$A$6:$A$35,0)),"")&lt;&gt;"是",N($Q1032)=0),0,IF(IFERROR(INDEX(单位档案!$H$6:$H$35,MATCH($E1032,单位档案!$A$6:$A$35,0)),"")="税差法",ROUND(N($H1032)/(1+$Q1032)*$Q1032-IF(N($R1032)=0,0,$P1032/(1+$R1032)*$R1032),2),ROUND(N($H1032)/(1+$Q1032)*$Q1032,2)))</f>
        <v>0</v>
      </c>
      <c r="T1032" s="36" t="n">
        <f aca="false">ROUND($S1032*N(IFERROR(INDEX(单位档案!$J$6:$J$35,MATCH($E1032,单位档案!$A$6:$A$35,0)),"")),2)</f>
        <v>0</v>
      </c>
      <c r="U1032" s="36" t="n">
        <f aca="false">IF($D1032&lt;&gt;"销项开票",0,ROUND(N($H1032)*N(IFERROR(INDEX(单位档案!$K$6:$K$35,MATCH($E1032,单位档案!$A$6:$A$35,0)),"")),2))</f>
        <v>0</v>
      </c>
      <c r="V1032" s="36" t="n">
        <f aca="false">IF(OR($D1032&lt;&gt;"销项开票",N($Q1032)=0),0,ROUND(N($H1032)/(1+$Q1032)*N(IFERROR(INDEX(单位档案!$L$6:$L$35,MATCH($E1032,单位档案!$A$6:$A$35,0)),"")),2))</f>
        <v>0</v>
      </c>
      <c r="W1032" s="36" t="n">
        <f aca="false">ROUND($S1032+$T1032+$U1032+$V1032,2)</f>
        <v>0</v>
      </c>
      <c r="X1032" s="35" t="str">
        <f aca="false">IF(OR($D1032="挂靠代收",$D1032="我方收款"),COUNTIFS($D$5:$D1032,"挂靠代收")+COUNTIFS($D$5:$D1032,"我方收款"),"")</f>
        <v/>
      </c>
      <c r="Y1032" s="35"/>
      <c r="Z1032" s="21" t="s">
        <v>111</v>
      </c>
    </row>
    <row r="1033" customFormat="false" ht="15.75" hidden="false" customHeight="true" outlineLevel="0" collapsed="false">
      <c r="A1033" s="32" t="str">
        <f aca="false">IF($B1033="","",ROW()-4)</f>
        <v/>
      </c>
      <c r="B1033" s="26"/>
      <c r="C1033" s="24"/>
      <c r="D1033" s="21"/>
      <c r="E1033" s="21"/>
      <c r="F1033" s="21"/>
      <c r="G1033" s="21"/>
      <c r="H1033" s="27"/>
      <c r="I1033" s="23" t="str">
        <f aca="false">IF($D1033&lt;&gt;"销项开票","",IF($N1033="一级",IF(IFERROR(INDEX(项目档案!$E$6:$E$255,MATCH($C1033,项目档案!$A$6:$A$255,0)),"")="",N(IFERROR(INDEX(单位档案!$D$6:$D$35,MATCH($E1033,单位档案!$A$6:$A$35,0)),"")),IFERROR(INDEX(项目档案!$E$6:$E$255,MATCH($C1033,项目档案!$A$6:$A$255,0)),"")),IF($N1033="二级",IF(IFERROR(INDEX(项目档案!$G$6:$G$255,MATCH($C1033,项目档案!$A$6:$A$255,0)),"")="",N(IFERROR(INDEX(单位档案!$D$6:$D$35,MATCH($E1033,单位档案!$A$6:$A$35,0)),"")),IFERROR(INDEX(项目档案!$G$6:$G$255,MATCH($C1033,项目档案!$A$6:$A$255,0)),"")),N(IFERROR(INDEX(单位档案!$D$6:$D$35,MATCH($E1033,单位档案!$A$6:$A$35,0)),"")))))</f>
        <v/>
      </c>
      <c r="J1033" s="22"/>
      <c r="K1033" s="22"/>
      <c r="L1033" s="33" t="str">
        <f aca="false">IF($B1033="","",IF(NOT(ISNUMBER($B1033)),"日期格式不对",IF($C1033="","未选项目编号",IF(LEFT($M1033,1)="⚠","项目编号不存在",IF($D1033="","未选业务类型",IF($E1033="","未选开票/付款方",IF(ISNA(MATCH($E1033,单位档案!$A$6:$A$35,0)),"开票方不在单位档案",IF($F1033="","未选收票/收款方",IF(ISNA(MATCH($F1033,单位档案!$A$6:$A$35,0)),"收款方不在单位档案",IF(NOT(ISNUMBER($H1033)),"金额须为数字",IF(AND($D1033="销项开票",$N1033="—"),"链条待确认","√")))))))))))</f>
        <v/>
      </c>
      <c r="M1033" s="34" t="str">
        <f aca="false">IF($C1033="","",IFERROR(INDEX(项目档案!$B$6:$B$255,MATCH($C1033,项目档案!$A$6:$A$255,0)),"⚠项目编号不存在"))</f>
        <v/>
      </c>
      <c r="N1033" s="35" t="str">
        <f aca="false">IF($E1033="","",IF($E1033=IFERROR(INDEX(项目档案!$D$6:$D$255,MATCH($C1033,项目档案!$A$6:$A$255,0)),""),"一级",IF($E1033=IFERROR(INDEX(项目档案!$F$6:$F$255,MATCH($C1033,项目档案!$A$6:$A$255,0)),""),"二级",IF($E1033=IFERROR(INDEX(项目档案!$H$6:$H$255,MATCH($C1033,项目档案!$A$6:$A$255,0)),""),"我方","—"))))</f>
        <v/>
      </c>
      <c r="O1033" s="36" t="n">
        <f aca="false">IF($D1033&lt;&gt;"销项开票",0,ROUND(N($H1033)*N($I1033),2))</f>
        <v>0</v>
      </c>
      <c r="P1033" s="36" t="n">
        <f aca="false">IF($D1033&lt;&gt;"销项开票",0,ROUND(N($H1033)-$O1033,2))</f>
        <v>0</v>
      </c>
      <c r="Q1033" s="37" t="str">
        <f aca="false">IF($E1033="","",N(IFERROR(INDEX(单位档案!$E$6:$E$35,MATCH($E1033,单位档案!$A$6:$A$35,0)),"")))</f>
        <v/>
      </c>
      <c r="R1033" s="37" t="str">
        <f aca="false">IF($E1033="","",N(IFERROR(INDEX(单位档案!$F$6:$F$35,MATCH($E1033,单位档案!$A$6:$A$35,0)),"")))</f>
        <v/>
      </c>
      <c r="S1033" s="36" t="n">
        <f aca="false">IF(OR($D1033&lt;&gt;"销项开票",IFERROR(INDEX(单位档案!$G$6:$G$35,MATCH($E1033,单位档案!$A$6:$A$35,0)),"")&lt;&gt;"是",N($Q1033)=0),0,IF(IFERROR(INDEX(单位档案!$H$6:$H$35,MATCH($E1033,单位档案!$A$6:$A$35,0)),"")="税差法",ROUND(N($H1033)/(1+$Q1033)*$Q1033-IF(N($R1033)=0,0,$P1033/(1+$R1033)*$R1033),2),ROUND(N($H1033)/(1+$Q1033)*$Q1033,2)))</f>
        <v>0</v>
      </c>
      <c r="T1033" s="36" t="n">
        <f aca="false">ROUND($S1033*N(IFERROR(INDEX(单位档案!$J$6:$J$35,MATCH($E1033,单位档案!$A$6:$A$35,0)),"")),2)</f>
        <v>0</v>
      </c>
      <c r="U1033" s="36" t="n">
        <f aca="false">IF($D1033&lt;&gt;"销项开票",0,ROUND(N($H1033)*N(IFERROR(INDEX(单位档案!$K$6:$K$35,MATCH($E1033,单位档案!$A$6:$A$35,0)),"")),2))</f>
        <v>0</v>
      </c>
      <c r="V1033" s="36" t="n">
        <f aca="false">IF(OR($D1033&lt;&gt;"销项开票",N($Q1033)=0),0,ROUND(N($H1033)/(1+$Q1033)*N(IFERROR(INDEX(单位档案!$L$6:$L$35,MATCH($E1033,单位档案!$A$6:$A$35,0)),"")),2))</f>
        <v>0</v>
      </c>
      <c r="W1033" s="36" t="n">
        <f aca="false">ROUND($S1033+$T1033+$U1033+$V1033,2)</f>
        <v>0</v>
      </c>
      <c r="X1033" s="35" t="str">
        <f aca="false">IF(OR($D1033="挂靠代收",$D1033="我方收款"),COUNTIFS($D$5:$D1033,"挂靠代收")+COUNTIFS($D$5:$D1033,"我方收款"),"")</f>
        <v/>
      </c>
      <c r="Y1033" s="35"/>
      <c r="Z1033" s="21" t="s">
        <v>111</v>
      </c>
    </row>
    <row r="1034" customFormat="false" ht="15.75" hidden="false" customHeight="true" outlineLevel="0" collapsed="false">
      <c r="A1034" s="32" t="str">
        <f aca="false">IF($B1034="","",ROW()-4)</f>
        <v/>
      </c>
      <c r="B1034" s="26"/>
      <c r="C1034" s="24"/>
      <c r="D1034" s="21"/>
      <c r="E1034" s="21"/>
      <c r="F1034" s="21"/>
      <c r="G1034" s="21"/>
      <c r="H1034" s="27"/>
      <c r="I1034" s="23" t="str">
        <f aca="false">IF($D1034&lt;&gt;"销项开票","",IF($N1034="一级",IF(IFERROR(INDEX(项目档案!$E$6:$E$255,MATCH($C1034,项目档案!$A$6:$A$255,0)),"")="",N(IFERROR(INDEX(单位档案!$D$6:$D$35,MATCH($E1034,单位档案!$A$6:$A$35,0)),"")),IFERROR(INDEX(项目档案!$E$6:$E$255,MATCH($C1034,项目档案!$A$6:$A$255,0)),"")),IF($N1034="二级",IF(IFERROR(INDEX(项目档案!$G$6:$G$255,MATCH($C1034,项目档案!$A$6:$A$255,0)),"")="",N(IFERROR(INDEX(单位档案!$D$6:$D$35,MATCH($E1034,单位档案!$A$6:$A$35,0)),"")),IFERROR(INDEX(项目档案!$G$6:$G$255,MATCH($C1034,项目档案!$A$6:$A$255,0)),"")),N(IFERROR(INDEX(单位档案!$D$6:$D$35,MATCH($E1034,单位档案!$A$6:$A$35,0)),"")))))</f>
        <v/>
      </c>
      <c r="J1034" s="22"/>
      <c r="K1034" s="22"/>
      <c r="L1034" s="33" t="str">
        <f aca="false">IF($B1034="","",IF(NOT(ISNUMBER($B1034)),"日期格式不对",IF($C1034="","未选项目编号",IF(LEFT($M1034,1)="⚠","项目编号不存在",IF($D1034="","未选业务类型",IF($E1034="","未选开票/付款方",IF(ISNA(MATCH($E1034,单位档案!$A$6:$A$35,0)),"开票方不在单位档案",IF($F1034="","未选收票/收款方",IF(ISNA(MATCH($F1034,单位档案!$A$6:$A$35,0)),"收款方不在单位档案",IF(NOT(ISNUMBER($H1034)),"金额须为数字",IF(AND($D1034="销项开票",$N1034="—"),"链条待确认","√")))))))))))</f>
        <v/>
      </c>
      <c r="M1034" s="34" t="str">
        <f aca="false">IF($C1034="","",IFERROR(INDEX(项目档案!$B$6:$B$255,MATCH($C1034,项目档案!$A$6:$A$255,0)),"⚠项目编号不存在"))</f>
        <v/>
      </c>
      <c r="N1034" s="35" t="str">
        <f aca="false">IF($E1034="","",IF($E1034=IFERROR(INDEX(项目档案!$D$6:$D$255,MATCH($C1034,项目档案!$A$6:$A$255,0)),""),"一级",IF($E1034=IFERROR(INDEX(项目档案!$F$6:$F$255,MATCH($C1034,项目档案!$A$6:$A$255,0)),""),"二级",IF($E1034=IFERROR(INDEX(项目档案!$H$6:$H$255,MATCH($C1034,项目档案!$A$6:$A$255,0)),""),"我方","—"))))</f>
        <v/>
      </c>
      <c r="O1034" s="36" t="n">
        <f aca="false">IF($D1034&lt;&gt;"销项开票",0,ROUND(N($H1034)*N($I1034),2))</f>
        <v>0</v>
      </c>
      <c r="P1034" s="36" t="n">
        <f aca="false">IF($D1034&lt;&gt;"销项开票",0,ROUND(N($H1034)-$O1034,2))</f>
        <v>0</v>
      </c>
      <c r="Q1034" s="37" t="str">
        <f aca="false">IF($E1034="","",N(IFERROR(INDEX(单位档案!$E$6:$E$35,MATCH($E1034,单位档案!$A$6:$A$35,0)),"")))</f>
        <v/>
      </c>
      <c r="R1034" s="37" t="str">
        <f aca="false">IF($E1034="","",N(IFERROR(INDEX(单位档案!$F$6:$F$35,MATCH($E1034,单位档案!$A$6:$A$35,0)),"")))</f>
        <v/>
      </c>
      <c r="S1034" s="36" t="n">
        <f aca="false">IF(OR($D1034&lt;&gt;"销项开票",IFERROR(INDEX(单位档案!$G$6:$G$35,MATCH($E1034,单位档案!$A$6:$A$35,0)),"")&lt;&gt;"是",N($Q1034)=0),0,IF(IFERROR(INDEX(单位档案!$H$6:$H$35,MATCH($E1034,单位档案!$A$6:$A$35,0)),"")="税差法",ROUND(N($H1034)/(1+$Q1034)*$Q1034-IF(N($R1034)=0,0,$P1034/(1+$R1034)*$R1034),2),ROUND(N($H1034)/(1+$Q1034)*$Q1034,2)))</f>
        <v>0</v>
      </c>
      <c r="T1034" s="36" t="n">
        <f aca="false">ROUND($S1034*N(IFERROR(INDEX(单位档案!$J$6:$J$35,MATCH($E1034,单位档案!$A$6:$A$35,0)),"")),2)</f>
        <v>0</v>
      </c>
      <c r="U1034" s="36" t="n">
        <f aca="false">IF($D1034&lt;&gt;"销项开票",0,ROUND(N($H1034)*N(IFERROR(INDEX(单位档案!$K$6:$K$35,MATCH($E1034,单位档案!$A$6:$A$35,0)),"")),2))</f>
        <v>0</v>
      </c>
      <c r="V1034" s="36" t="n">
        <f aca="false">IF(OR($D1034&lt;&gt;"销项开票",N($Q1034)=0),0,ROUND(N($H1034)/(1+$Q1034)*N(IFERROR(INDEX(单位档案!$L$6:$L$35,MATCH($E1034,单位档案!$A$6:$A$35,0)),"")),2))</f>
        <v>0</v>
      </c>
      <c r="W1034" s="36" t="n">
        <f aca="false">ROUND($S1034+$T1034+$U1034+$V1034,2)</f>
        <v>0</v>
      </c>
      <c r="X1034" s="35" t="str">
        <f aca="false">IF(OR($D1034="挂靠代收",$D1034="我方收款"),COUNTIFS($D$5:$D1034,"挂靠代收")+COUNTIFS($D$5:$D1034,"我方收款"),"")</f>
        <v/>
      </c>
      <c r="Y1034" s="35"/>
      <c r="Z1034" s="21" t="s">
        <v>111</v>
      </c>
    </row>
    <row r="1035" customFormat="false" ht="15.75" hidden="false" customHeight="true" outlineLevel="0" collapsed="false">
      <c r="A1035" s="32" t="str">
        <f aca="false">IF($B1035="","",ROW()-4)</f>
        <v/>
      </c>
      <c r="B1035" s="26"/>
      <c r="C1035" s="24"/>
      <c r="D1035" s="21"/>
      <c r="E1035" s="21"/>
      <c r="F1035" s="21"/>
      <c r="G1035" s="21"/>
      <c r="H1035" s="27"/>
      <c r="I1035" s="23" t="str">
        <f aca="false">IF($D1035&lt;&gt;"销项开票","",IF($N1035="一级",IF(IFERROR(INDEX(项目档案!$E$6:$E$255,MATCH($C1035,项目档案!$A$6:$A$255,0)),"")="",N(IFERROR(INDEX(单位档案!$D$6:$D$35,MATCH($E1035,单位档案!$A$6:$A$35,0)),"")),IFERROR(INDEX(项目档案!$E$6:$E$255,MATCH($C1035,项目档案!$A$6:$A$255,0)),"")),IF($N1035="二级",IF(IFERROR(INDEX(项目档案!$G$6:$G$255,MATCH($C1035,项目档案!$A$6:$A$255,0)),"")="",N(IFERROR(INDEX(单位档案!$D$6:$D$35,MATCH($E1035,单位档案!$A$6:$A$35,0)),"")),IFERROR(INDEX(项目档案!$G$6:$G$255,MATCH($C1035,项目档案!$A$6:$A$255,0)),"")),N(IFERROR(INDEX(单位档案!$D$6:$D$35,MATCH($E1035,单位档案!$A$6:$A$35,0)),"")))))</f>
        <v/>
      </c>
      <c r="J1035" s="22"/>
      <c r="K1035" s="22"/>
      <c r="L1035" s="33" t="str">
        <f aca="false">IF($B1035="","",IF(NOT(ISNUMBER($B1035)),"日期格式不对",IF($C1035="","未选项目编号",IF(LEFT($M1035,1)="⚠","项目编号不存在",IF($D1035="","未选业务类型",IF($E1035="","未选开票/付款方",IF(ISNA(MATCH($E1035,单位档案!$A$6:$A$35,0)),"开票方不在单位档案",IF($F1035="","未选收票/收款方",IF(ISNA(MATCH($F1035,单位档案!$A$6:$A$35,0)),"收款方不在单位档案",IF(NOT(ISNUMBER($H1035)),"金额须为数字",IF(AND($D1035="销项开票",$N1035="—"),"链条待确认","√")))))))))))</f>
        <v/>
      </c>
      <c r="M1035" s="34" t="str">
        <f aca="false">IF($C1035="","",IFERROR(INDEX(项目档案!$B$6:$B$255,MATCH($C1035,项目档案!$A$6:$A$255,0)),"⚠项目编号不存在"))</f>
        <v/>
      </c>
      <c r="N1035" s="35" t="str">
        <f aca="false">IF($E1035="","",IF($E1035=IFERROR(INDEX(项目档案!$D$6:$D$255,MATCH($C1035,项目档案!$A$6:$A$255,0)),""),"一级",IF($E1035=IFERROR(INDEX(项目档案!$F$6:$F$255,MATCH($C1035,项目档案!$A$6:$A$255,0)),""),"二级",IF($E1035=IFERROR(INDEX(项目档案!$H$6:$H$255,MATCH($C1035,项目档案!$A$6:$A$255,0)),""),"我方","—"))))</f>
        <v/>
      </c>
      <c r="O1035" s="36" t="n">
        <f aca="false">IF($D1035&lt;&gt;"销项开票",0,ROUND(N($H1035)*N($I1035),2))</f>
        <v>0</v>
      </c>
      <c r="P1035" s="36" t="n">
        <f aca="false">IF($D1035&lt;&gt;"销项开票",0,ROUND(N($H1035)-$O1035,2))</f>
        <v>0</v>
      </c>
      <c r="Q1035" s="37" t="str">
        <f aca="false">IF($E1035="","",N(IFERROR(INDEX(单位档案!$E$6:$E$35,MATCH($E1035,单位档案!$A$6:$A$35,0)),"")))</f>
        <v/>
      </c>
      <c r="R1035" s="37" t="str">
        <f aca="false">IF($E1035="","",N(IFERROR(INDEX(单位档案!$F$6:$F$35,MATCH($E1035,单位档案!$A$6:$A$35,0)),"")))</f>
        <v/>
      </c>
      <c r="S1035" s="36" t="n">
        <f aca="false">IF(OR($D1035&lt;&gt;"销项开票",IFERROR(INDEX(单位档案!$G$6:$G$35,MATCH($E1035,单位档案!$A$6:$A$35,0)),"")&lt;&gt;"是",N($Q1035)=0),0,IF(IFERROR(INDEX(单位档案!$H$6:$H$35,MATCH($E1035,单位档案!$A$6:$A$35,0)),"")="税差法",ROUND(N($H1035)/(1+$Q1035)*$Q1035-IF(N($R1035)=0,0,$P1035/(1+$R1035)*$R1035),2),ROUND(N($H1035)/(1+$Q1035)*$Q1035,2)))</f>
        <v>0</v>
      </c>
      <c r="T1035" s="36" t="n">
        <f aca="false">ROUND($S1035*N(IFERROR(INDEX(单位档案!$J$6:$J$35,MATCH($E1035,单位档案!$A$6:$A$35,0)),"")),2)</f>
        <v>0</v>
      </c>
      <c r="U1035" s="36" t="n">
        <f aca="false">IF($D1035&lt;&gt;"销项开票",0,ROUND(N($H1035)*N(IFERROR(INDEX(单位档案!$K$6:$K$35,MATCH($E1035,单位档案!$A$6:$A$35,0)),"")),2))</f>
        <v>0</v>
      </c>
      <c r="V1035" s="36" t="n">
        <f aca="false">IF(OR($D1035&lt;&gt;"销项开票",N($Q1035)=0),0,ROUND(N($H1035)/(1+$Q1035)*N(IFERROR(INDEX(单位档案!$L$6:$L$35,MATCH($E1035,单位档案!$A$6:$A$35,0)),"")),2))</f>
        <v>0</v>
      </c>
      <c r="W1035" s="36" t="n">
        <f aca="false">ROUND($S1035+$T1035+$U1035+$V1035,2)</f>
        <v>0</v>
      </c>
      <c r="X1035" s="35" t="str">
        <f aca="false">IF(OR($D1035="挂靠代收",$D1035="我方收款"),COUNTIFS($D$5:$D1035,"挂靠代收")+COUNTIFS($D$5:$D1035,"我方收款"),"")</f>
        <v/>
      </c>
      <c r="Y1035" s="35"/>
      <c r="Z1035" s="21" t="s">
        <v>111</v>
      </c>
    </row>
    <row r="1036" customFormat="false" ht="15.75" hidden="false" customHeight="true" outlineLevel="0" collapsed="false">
      <c r="A1036" s="32" t="str">
        <f aca="false">IF($B1036="","",ROW()-4)</f>
        <v/>
      </c>
      <c r="B1036" s="26"/>
      <c r="C1036" s="24"/>
      <c r="D1036" s="21"/>
      <c r="E1036" s="21"/>
      <c r="F1036" s="21"/>
      <c r="G1036" s="21"/>
      <c r="H1036" s="27"/>
      <c r="I1036" s="23" t="str">
        <f aca="false">IF($D1036&lt;&gt;"销项开票","",IF($N1036="一级",IF(IFERROR(INDEX(项目档案!$E$6:$E$255,MATCH($C1036,项目档案!$A$6:$A$255,0)),"")="",N(IFERROR(INDEX(单位档案!$D$6:$D$35,MATCH($E1036,单位档案!$A$6:$A$35,0)),"")),IFERROR(INDEX(项目档案!$E$6:$E$255,MATCH($C1036,项目档案!$A$6:$A$255,0)),"")),IF($N1036="二级",IF(IFERROR(INDEX(项目档案!$G$6:$G$255,MATCH($C1036,项目档案!$A$6:$A$255,0)),"")="",N(IFERROR(INDEX(单位档案!$D$6:$D$35,MATCH($E1036,单位档案!$A$6:$A$35,0)),"")),IFERROR(INDEX(项目档案!$G$6:$G$255,MATCH($C1036,项目档案!$A$6:$A$255,0)),"")),N(IFERROR(INDEX(单位档案!$D$6:$D$35,MATCH($E1036,单位档案!$A$6:$A$35,0)),"")))))</f>
        <v/>
      </c>
      <c r="J1036" s="22"/>
      <c r="K1036" s="22"/>
      <c r="L1036" s="33" t="str">
        <f aca="false">IF($B1036="","",IF(NOT(ISNUMBER($B1036)),"日期格式不对",IF($C1036="","未选项目编号",IF(LEFT($M1036,1)="⚠","项目编号不存在",IF($D1036="","未选业务类型",IF($E1036="","未选开票/付款方",IF(ISNA(MATCH($E1036,单位档案!$A$6:$A$35,0)),"开票方不在单位档案",IF($F1036="","未选收票/收款方",IF(ISNA(MATCH($F1036,单位档案!$A$6:$A$35,0)),"收款方不在单位档案",IF(NOT(ISNUMBER($H1036)),"金额须为数字",IF(AND($D1036="销项开票",$N1036="—"),"链条待确认","√")))))))))))</f>
        <v/>
      </c>
      <c r="M1036" s="34" t="str">
        <f aca="false">IF($C1036="","",IFERROR(INDEX(项目档案!$B$6:$B$255,MATCH($C1036,项目档案!$A$6:$A$255,0)),"⚠项目编号不存在"))</f>
        <v/>
      </c>
      <c r="N1036" s="35" t="str">
        <f aca="false">IF($E1036="","",IF($E1036=IFERROR(INDEX(项目档案!$D$6:$D$255,MATCH($C1036,项目档案!$A$6:$A$255,0)),""),"一级",IF($E1036=IFERROR(INDEX(项目档案!$F$6:$F$255,MATCH($C1036,项目档案!$A$6:$A$255,0)),""),"二级",IF($E1036=IFERROR(INDEX(项目档案!$H$6:$H$255,MATCH($C1036,项目档案!$A$6:$A$255,0)),""),"我方","—"))))</f>
        <v/>
      </c>
      <c r="O1036" s="36" t="n">
        <f aca="false">IF($D1036&lt;&gt;"销项开票",0,ROUND(N($H1036)*N($I1036),2))</f>
        <v>0</v>
      </c>
      <c r="P1036" s="36" t="n">
        <f aca="false">IF($D1036&lt;&gt;"销项开票",0,ROUND(N($H1036)-$O1036,2))</f>
        <v>0</v>
      </c>
      <c r="Q1036" s="37" t="str">
        <f aca="false">IF($E1036="","",N(IFERROR(INDEX(单位档案!$E$6:$E$35,MATCH($E1036,单位档案!$A$6:$A$35,0)),"")))</f>
        <v/>
      </c>
      <c r="R1036" s="37" t="str">
        <f aca="false">IF($E1036="","",N(IFERROR(INDEX(单位档案!$F$6:$F$35,MATCH($E1036,单位档案!$A$6:$A$35,0)),"")))</f>
        <v/>
      </c>
      <c r="S1036" s="36" t="n">
        <f aca="false">IF(OR($D1036&lt;&gt;"销项开票",IFERROR(INDEX(单位档案!$G$6:$G$35,MATCH($E1036,单位档案!$A$6:$A$35,0)),"")&lt;&gt;"是",N($Q1036)=0),0,IF(IFERROR(INDEX(单位档案!$H$6:$H$35,MATCH($E1036,单位档案!$A$6:$A$35,0)),"")="税差法",ROUND(N($H1036)/(1+$Q1036)*$Q1036-IF(N($R1036)=0,0,$P1036/(1+$R1036)*$R1036),2),ROUND(N($H1036)/(1+$Q1036)*$Q1036,2)))</f>
        <v>0</v>
      </c>
      <c r="T1036" s="36" t="n">
        <f aca="false">ROUND($S1036*N(IFERROR(INDEX(单位档案!$J$6:$J$35,MATCH($E1036,单位档案!$A$6:$A$35,0)),"")),2)</f>
        <v>0</v>
      </c>
      <c r="U1036" s="36" t="n">
        <f aca="false">IF($D1036&lt;&gt;"销项开票",0,ROUND(N($H1036)*N(IFERROR(INDEX(单位档案!$K$6:$K$35,MATCH($E1036,单位档案!$A$6:$A$35,0)),"")),2))</f>
        <v>0</v>
      </c>
      <c r="V1036" s="36" t="n">
        <f aca="false">IF(OR($D1036&lt;&gt;"销项开票",N($Q1036)=0),0,ROUND(N($H1036)/(1+$Q1036)*N(IFERROR(INDEX(单位档案!$L$6:$L$35,MATCH($E1036,单位档案!$A$6:$A$35,0)),"")),2))</f>
        <v>0</v>
      </c>
      <c r="W1036" s="36" t="n">
        <f aca="false">ROUND($S1036+$T1036+$U1036+$V1036,2)</f>
        <v>0</v>
      </c>
      <c r="X1036" s="35" t="str">
        <f aca="false">IF(OR($D1036="挂靠代收",$D1036="我方收款"),COUNTIFS($D$5:$D1036,"挂靠代收")+COUNTIFS($D$5:$D1036,"我方收款"),"")</f>
        <v/>
      </c>
      <c r="Y1036" s="35"/>
      <c r="Z1036" s="21" t="s">
        <v>111</v>
      </c>
    </row>
    <row r="1037" customFormat="false" ht="15.75" hidden="false" customHeight="true" outlineLevel="0" collapsed="false">
      <c r="A1037" s="32" t="str">
        <f aca="false">IF($B1037="","",ROW()-4)</f>
        <v/>
      </c>
      <c r="B1037" s="26"/>
      <c r="C1037" s="24"/>
      <c r="D1037" s="21"/>
      <c r="E1037" s="21"/>
      <c r="F1037" s="21"/>
      <c r="G1037" s="21"/>
      <c r="H1037" s="27"/>
      <c r="I1037" s="23" t="str">
        <f aca="false">IF($D1037&lt;&gt;"销项开票","",IF($N1037="一级",IF(IFERROR(INDEX(项目档案!$E$6:$E$255,MATCH($C1037,项目档案!$A$6:$A$255,0)),"")="",N(IFERROR(INDEX(单位档案!$D$6:$D$35,MATCH($E1037,单位档案!$A$6:$A$35,0)),"")),IFERROR(INDEX(项目档案!$E$6:$E$255,MATCH($C1037,项目档案!$A$6:$A$255,0)),"")),IF($N1037="二级",IF(IFERROR(INDEX(项目档案!$G$6:$G$255,MATCH($C1037,项目档案!$A$6:$A$255,0)),"")="",N(IFERROR(INDEX(单位档案!$D$6:$D$35,MATCH($E1037,单位档案!$A$6:$A$35,0)),"")),IFERROR(INDEX(项目档案!$G$6:$G$255,MATCH($C1037,项目档案!$A$6:$A$255,0)),"")),N(IFERROR(INDEX(单位档案!$D$6:$D$35,MATCH($E1037,单位档案!$A$6:$A$35,0)),"")))))</f>
        <v/>
      </c>
      <c r="J1037" s="22"/>
      <c r="K1037" s="22"/>
      <c r="L1037" s="33" t="str">
        <f aca="false">IF($B1037="","",IF(NOT(ISNUMBER($B1037)),"日期格式不对",IF($C1037="","未选项目编号",IF(LEFT($M1037,1)="⚠","项目编号不存在",IF($D1037="","未选业务类型",IF($E1037="","未选开票/付款方",IF(ISNA(MATCH($E1037,单位档案!$A$6:$A$35,0)),"开票方不在单位档案",IF($F1037="","未选收票/收款方",IF(ISNA(MATCH($F1037,单位档案!$A$6:$A$35,0)),"收款方不在单位档案",IF(NOT(ISNUMBER($H1037)),"金额须为数字",IF(AND($D1037="销项开票",$N1037="—"),"链条待确认","√")))))))))))</f>
        <v/>
      </c>
      <c r="M1037" s="34" t="str">
        <f aca="false">IF($C1037="","",IFERROR(INDEX(项目档案!$B$6:$B$255,MATCH($C1037,项目档案!$A$6:$A$255,0)),"⚠项目编号不存在"))</f>
        <v/>
      </c>
      <c r="N1037" s="35" t="str">
        <f aca="false">IF($E1037="","",IF($E1037=IFERROR(INDEX(项目档案!$D$6:$D$255,MATCH($C1037,项目档案!$A$6:$A$255,0)),""),"一级",IF($E1037=IFERROR(INDEX(项目档案!$F$6:$F$255,MATCH($C1037,项目档案!$A$6:$A$255,0)),""),"二级",IF($E1037=IFERROR(INDEX(项目档案!$H$6:$H$255,MATCH($C1037,项目档案!$A$6:$A$255,0)),""),"我方","—"))))</f>
        <v/>
      </c>
      <c r="O1037" s="36" t="n">
        <f aca="false">IF($D1037&lt;&gt;"销项开票",0,ROUND(N($H1037)*N($I1037),2))</f>
        <v>0</v>
      </c>
      <c r="P1037" s="36" t="n">
        <f aca="false">IF($D1037&lt;&gt;"销项开票",0,ROUND(N($H1037)-$O1037,2))</f>
        <v>0</v>
      </c>
      <c r="Q1037" s="37" t="str">
        <f aca="false">IF($E1037="","",N(IFERROR(INDEX(单位档案!$E$6:$E$35,MATCH($E1037,单位档案!$A$6:$A$35,0)),"")))</f>
        <v/>
      </c>
      <c r="R1037" s="37" t="str">
        <f aca="false">IF($E1037="","",N(IFERROR(INDEX(单位档案!$F$6:$F$35,MATCH($E1037,单位档案!$A$6:$A$35,0)),"")))</f>
        <v/>
      </c>
      <c r="S1037" s="36" t="n">
        <f aca="false">IF(OR($D1037&lt;&gt;"销项开票",IFERROR(INDEX(单位档案!$G$6:$G$35,MATCH($E1037,单位档案!$A$6:$A$35,0)),"")&lt;&gt;"是",N($Q1037)=0),0,IF(IFERROR(INDEX(单位档案!$H$6:$H$35,MATCH($E1037,单位档案!$A$6:$A$35,0)),"")="税差法",ROUND(N($H1037)/(1+$Q1037)*$Q1037-IF(N($R1037)=0,0,$P1037/(1+$R1037)*$R1037),2),ROUND(N($H1037)/(1+$Q1037)*$Q1037,2)))</f>
        <v>0</v>
      </c>
      <c r="T1037" s="36" t="n">
        <f aca="false">ROUND($S1037*N(IFERROR(INDEX(单位档案!$J$6:$J$35,MATCH($E1037,单位档案!$A$6:$A$35,0)),"")),2)</f>
        <v>0</v>
      </c>
      <c r="U1037" s="36" t="n">
        <f aca="false">IF($D1037&lt;&gt;"销项开票",0,ROUND(N($H1037)*N(IFERROR(INDEX(单位档案!$K$6:$K$35,MATCH($E1037,单位档案!$A$6:$A$35,0)),"")),2))</f>
        <v>0</v>
      </c>
      <c r="V1037" s="36" t="n">
        <f aca="false">IF(OR($D1037&lt;&gt;"销项开票",N($Q1037)=0),0,ROUND(N($H1037)/(1+$Q1037)*N(IFERROR(INDEX(单位档案!$L$6:$L$35,MATCH($E1037,单位档案!$A$6:$A$35,0)),"")),2))</f>
        <v>0</v>
      </c>
      <c r="W1037" s="36" t="n">
        <f aca="false">ROUND($S1037+$T1037+$U1037+$V1037,2)</f>
        <v>0</v>
      </c>
      <c r="X1037" s="35" t="str">
        <f aca="false">IF(OR($D1037="挂靠代收",$D1037="我方收款"),COUNTIFS($D$5:$D1037,"挂靠代收")+COUNTIFS($D$5:$D1037,"我方收款"),"")</f>
        <v/>
      </c>
      <c r="Y1037" s="35"/>
      <c r="Z1037" s="21" t="s">
        <v>111</v>
      </c>
    </row>
    <row r="1038" customFormat="false" ht="15.75" hidden="false" customHeight="true" outlineLevel="0" collapsed="false">
      <c r="A1038" s="32" t="str">
        <f aca="false">IF($B1038="","",ROW()-4)</f>
        <v/>
      </c>
      <c r="B1038" s="26"/>
      <c r="C1038" s="24"/>
      <c r="D1038" s="21"/>
      <c r="E1038" s="21"/>
      <c r="F1038" s="21"/>
      <c r="G1038" s="21"/>
      <c r="H1038" s="27"/>
      <c r="I1038" s="23" t="str">
        <f aca="false">IF($D1038&lt;&gt;"销项开票","",IF($N1038="一级",IF(IFERROR(INDEX(项目档案!$E$6:$E$255,MATCH($C1038,项目档案!$A$6:$A$255,0)),"")="",N(IFERROR(INDEX(单位档案!$D$6:$D$35,MATCH($E1038,单位档案!$A$6:$A$35,0)),"")),IFERROR(INDEX(项目档案!$E$6:$E$255,MATCH($C1038,项目档案!$A$6:$A$255,0)),"")),IF($N1038="二级",IF(IFERROR(INDEX(项目档案!$G$6:$G$255,MATCH($C1038,项目档案!$A$6:$A$255,0)),"")="",N(IFERROR(INDEX(单位档案!$D$6:$D$35,MATCH($E1038,单位档案!$A$6:$A$35,0)),"")),IFERROR(INDEX(项目档案!$G$6:$G$255,MATCH($C1038,项目档案!$A$6:$A$255,0)),"")),N(IFERROR(INDEX(单位档案!$D$6:$D$35,MATCH($E1038,单位档案!$A$6:$A$35,0)),"")))))</f>
        <v/>
      </c>
      <c r="J1038" s="22"/>
      <c r="K1038" s="22"/>
      <c r="L1038" s="33" t="str">
        <f aca="false">IF($B1038="","",IF(NOT(ISNUMBER($B1038)),"日期格式不对",IF($C1038="","未选项目编号",IF(LEFT($M1038,1)="⚠","项目编号不存在",IF($D1038="","未选业务类型",IF($E1038="","未选开票/付款方",IF(ISNA(MATCH($E1038,单位档案!$A$6:$A$35,0)),"开票方不在单位档案",IF($F1038="","未选收票/收款方",IF(ISNA(MATCH($F1038,单位档案!$A$6:$A$35,0)),"收款方不在单位档案",IF(NOT(ISNUMBER($H1038)),"金额须为数字",IF(AND($D1038="销项开票",$N1038="—"),"链条待确认","√")))))))))))</f>
        <v/>
      </c>
      <c r="M1038" s="34" t="str">
        <f aca="false">IF($C1038="","",IFERROR(INDEX(项目档案!$B$6:$B$255,MATCH($C1038,项目档案!$A$6:$A$255,0)),"⚠项目编号不存在"))</f>
        <v/>
      </c>
      <c r="N1038" s="35" t="str">
        <f aca="false">IF($E1038="","",IF($E1038=IFERROR(INDEX(项目档案!$D$6:$D$255,MATCH($C1038,项目档案!$A$6:$A$255,0)),""),"一级",IF($E1038=IFERROR(INDEX(项目档案!$F$6:$F$255,MATCH($C1038,项目档案!$A$6:$A$255,0)),""),"二级",IF($E1038=IFERROR(INDEX(项目档案!$H$6:$H$255,MATCH($C1038,项目档案!$A$6:$A$255,0)),""),"我方","—"))))</f>
        <v/>
      </c>
      <c r="O1038" s="36" t="n">
        <f aca="false">IF($D1038&lt;&gt;"销项开票",0,ROUND(N($H1038)*N($I1038),2))</f>
        <v>0</v>
      </c>
      <c r="P1038" s="36" t="n">
        <f aca="false">IF($D1038&lt;&gt;"销项开票",0,ROUND(N($H1038)-$O1038,2))</f>
        <v>0</v>
      </c>
      <c r="Q1038" s="37" t="str">
        <f aca="false">IF($E1038="","",N(IFERROR(INDEX(单位档案!$E$6:$E$35,MATCH($E1038,单位档案!$A$6:$A$35,0)),"")))</f>
        <v/>
      </c>
      <c r="R1038" s="37" t="str">
        <f aca="false">IF($E1038="","",N(IFERROR(INDEX(单位档案!$F$6:$F$35,MATCH($E1038,单位档案!$A$6:$A$35,0)),"")))</f>
        <v/>
      </c>
      <c r="S1038" s="36" t="n">
        <f aca="false">IF(OR($D1038&lt;&gt;"销项开票",IFERROR(INDEX(单位档案!$G$6:$G$35,MATCH($E1038,单位档案!$A$6:$A$35,0)),"")&lt;&gt;"是",N($Q1038)=0),0,IF(IFERROR(INDEX(单位档案!$H$6:$H$35,MATCH($E1038,单位档案!$A$6:$A$35,0)),"")="税差法",ROUND(N($H1038)/(1+$Q1038)*$Q1038-IF(N($R1038)=0,0,$P1038/(1+$R1038)*$R1038),2),ROUND(N($H1038)/(1+$Q1038)*$Q1038,2)))</f>
        <v>0</v>
      </c>
      <c r="T1038" s="36" t="n">
        <f aca="false">ROUND($S1038*N(IFERROR(INDEX(单位档案!$J$6:$J$35,MATCH($E1038,单位档案!$A$6:$A$35,0)),"")),2)</f>
        <v>0</v>
      </c>
      <c r="U1038" s="36" t="n">
        <f aca="false">IF($D1038&lt;&gt;"销项开票",0,ROUND(N($H1038)*N(IFERROR(INDEX(单位档案!$K$6:$K$35,MATCH($E1038,单位档案!$A$6:$A$35,0)),"")),2))</f>
        <v>0</v>
      </c>
      <c r="V1038" s="36" t="n">
        <f aca="false">IF(OR($D1038&lt;&gt;"销项开票",N($Q1038)=0),0,ROUND(N($H1038)/(1+$Q1038)*N(IFERROR(INDEX(单位档案!$L$6:$L$35,MATCH($E1038,单位档案!$A$6:$A$35,0)),"")),2))</f>
        <v>0</v>
      </c>
      <c r="W1038" s="36" t="n">
        <f aca="false">ROUND($S1038+$T1038+$U1038+$V1038,2)</f>
        <v>0</v>
      </c>
      <c r="X1038" s="35" t="str">
        <f aca="false">IF(OR($D1038="挂靠代收",$D1038="我方收款"),COUNTIFS($D$5:$D1038,"挂靠代收")+COUNTIFS($D$5:$D1038,"我方收款"),"")</f>
        <v/>
      </c>
      <c r="Y1038" s="35"/>
      <c r="Z1038" s="21" t="s">
        <v>111</v>
      </c>
    </row>
    <row r="1039" customFormat="false" ht="15.75" hidden="false" customHeight="true" outlineLevel="0" collapsed="false">
      <c r="A1039" s="32" t="str">
        <f aca="false">IF($B1039="","",ROW()-4)</f>
        <v/>
      </c>
      <c r="B1039" s="26"/>
      <c r="C1039" s="24"/>
      <c r="D1039" s="21"/>
      <c r="E1039" s="21"/>
      <c r="F1039" s="21"/>
      <c r="G1039" s="21"/>
      <c r="H1039" s="27"/>
      <c r="I1039" s="23" t="str">
        <f aca="false">IF($D1039&lt;&gt;"销项开票","",IF($N1039="一级",IF(IFERROR(INDEX(项目档案!$E$6:$E$255,MATCH($C1039,项目档案!$A$6:$A$255,0)),"")="",N(IFERROR(INDEX(单位档案!$D$6:$D$35,MATCH($E1039,单位档案!$A$6:$A$35,0)),"")),IFERROR(INDEX(项目档案!$E$6:$E$255,MATCH($C1039,项目档案!$A$6:$A$255,0)),"")),IF($N1039="二级",IF(IFERROR(INDEX(项目档案!$G$6:$G$255,MATCH($C1039,项目档案!$A$6:$A$255,0)),"")="",N(IFERROR(INDEX(单位档案!$D$6:$D$35,MATCH($E1039,单位档案!$A$6:$A$35,0)),"")),IFERROR(INDEX(项目档案!$G$6:$G$255,MATCH($C1039,项目档案!$A$6:$A$255,0)),"")),N(IFERROR(INDEX(单位档案!$D$6:$D$35,MATCH($E1039,单位档案!$A$6:$A$35,0)),"")))))</f>
        <v/>
      </c>
      <c r="J1039" s="22"/>
      <c r="K1039" s="22"/>
      <c r="L1039" s="33" t="str">
        <f aca="false">IF($B1039="","",IF(NOT(ISNUMBER($B1039)),"日期格式不对",IF($C1039="","未选项目编号",IF(LEFT($M1039,1)="⚠","项目编号不存在",IF($D1039="","未选业务类型",IF($E1039="","未选开票/付款方",IF(ISNA(MATCH($E1039,单位档案!$A$6:$A$35,0)),"开票方不在单位档案",IF($F1039="","未选收票/收款方",IF(ISNA(MATCH($F1039,单位档案!$A$6:$A$35,0)),"收款方不在单位档案",IF(NOT(ISNUMBER($H1039)),"金额须为数字",IF(AND($D1039="销项开票",$N1039="—"),"链条待确认","√")))))))))))</f>
        <v/>
      </c>
      <c r="M1039" s="34" t="str">
        <f aca="false">IF($C1039="","",IFERROR(INDEX(项目档案!$B$6:$B$255,MATCH($C1039,项目档案!$A$6:$A$255,0)),"⚠项目编号不存在"))</f>
        <v/>
      </c>
      <c r="N1039" s="35" t="str">
        <f aca="false">IF($E1039="","",IF($E1039=IFERROR(INDEX(项目档案!$D$6:$D$255,MATCH($C1039,项目档案!$A$6:$A$255,0)),""),"一级",IF($E1039=IFERROR(INDEX(项目档案!$F$6:$F$255,MATCH($C1039,项目档案!$A$6:$A$255,0)),""),"二级",IF($E1039=IFERROR(INDEX(项目档案!$H$6:$H$255,MATCH($C1039,项目档案!$A$6:$A$255,0)),""),"我方","—"))))</f>
        <v/>
      </c>
      <c r="O1039" s="36" t="n">
        <f aca="false">IF($D1039&lt;&gt;"销项开票",0,ROUND(N($H1039)*N($I1039),2))</f>
        <v>0</v>
      </c>
      <c r="P1039" s="36" t="n">
        <f aca="false">IF($D1039&lt;&gt;"销项开票",0,ROUND(N($H1039)-$O1039,2))</f>
        <v>0</v>
      </c>
      <c r="Q1039" s="37" t="str">
        <f aca="false">IF($E1039="","",N(IFERROR(INDEX(单位档案!$E$6:$E$35,MATCH($E1039,单位档案!$A$6:$A$35,0)),"")))</f>
        <v/>
      </c>
      <c r="R1039" s="37" t="str">
        <f aca="false">IF($E1039="","",N(IFERROR(INDEX(单位档案!$F$6:$F$35,MATCH($E1039,单位档案!$A$6:$A$35,0)),"")))</f>
        <v/>
      </c>
      <c r="S1039" s="36" t="n">
        <f aca="false">IF(OR($D1039&lt;&gt;"销项开票",IFERROR(INDEX(单位档案!$G$6:$G$35,MATCH($E1039,单位档案!$A$6:$A$35,0)),"")&lt;&gt;"是",N($Q1039)=0),0,IF(IFERROR(INDEX(单位档案!$H$6:$H$35,MATCH($E1039,单位档案!$A$6:$A$35,0)),"")="税差法",ROUND(N($H1039)/(1+$Q1039)*$Q1039-IF(N($R1039)=0,0,$P1039/(1+$R1039)*$R1039),2),ROUND(N($H1039)/(1+$Q1039)*$Q1039,2)))</f>
        <v>0</v>
      </c>
      <c r="T1039" s="36" t="n">
        <f aca="false">ROUND($S1039*N(IFERROR(INDEX(单位档案!$J$6:$J$35,MATCH($E1039,单位档案!$A$6:$A$35,0)),"")),2)</f>
        <v>0</v>
      </c>
      <c r="U1039" s="36" t="n">
        <f aca="false">IF($D1039&lt;&gt;"销项开票",0,ROUND(N($H1039)*N(IFERROR(INDEX(单位档案!$K$6:$K$35,MATCH($E1039,单位档案!$A$6:$A$35,0)),"")),2))</f>
        <v>0</v>
      </c>
      <c r="V1039" s="36" t="n">
        <f aca="false">IF(OR($D1039&lt;&gt;"销项开票",N($Q1039)=0),0,ROUND(N($H1039)/(1+$Q1039)*N(IFERROR(INDEX(单位档案!$L$6:$L$35,MATCH($E1039,单位档案!$A$6:$A$35,0)),"")),2))</f>
        <v>0</v>
      </c>
      <c r="W1039" s="36" t="n">
        <f aca="false">ROUND($S1039+$T1039+$U1039+$V1039,2)</f>
        <v>0</v>
      </c>
      <c r="X1039" s="35" t="str">
        <f aca="false">IF(OR($D1039="挂靠代收",$D1039="我方收款"),COUNTIFS($D$5:$D1039,"挂靠代收")+COUNTIFS($D$5:$D1039,"我方收款"),"")</f>
        <v/>
      </c>
      <c r="Y1039" s="35"/>
      <c r="Z1039" s="21" t="s">
        <v>111</v>
      </c>
    </row>
    <row r="1040" customFormat="false" ht="15.75" hidden="false" customHeight="true" outlineLevel="0" collapsed="false">
      <c r="A1040" s="32" t="str">
        <f aca="false">IF($B1040="","",ROW()-4)</f>
        <v/>
      </c>
      <c r="B1040" s="26"/>
      <c r="C1040" s="24"/>
      <c r="D1040" s="21"/>
      <c r="E1040" s="21"/>
      <c r="F1040" s="21"/>
      <c r="G1040" s="21"/>
      <c r="H1040" s="27"/>
      <c r="I1040" s="23" t="str">
        <f aca="false">IF($D1040&lt;&gt;"销项开票","",IF($N1040="一级",IF(IFERROR(INDEX(项目档案!$E$6:$E$255,MATCH($C1040,项目档案!$A$6:$A$255,0)),"")="",N(IFERROR(INDEX(单位档案!$D$6:$D$35,MATCH($E1040,单位档案!$A$6:$A$35,0)),"")),IFERROR(INDEX(项目档案!$E$6:$E$255,MATCH($C1040,项目档案!$A$6:$A$255,0)),"")),IF($N1040="二级",IF(IFERROR(INDEX(项目档案!$G$6:$G$255,MATCH($C1040,项目档案!$A$6:$A$255,0)),"")="",N(IFERROR(INDEX(单位档案!$D$6:$D$35,MATCH($E1040,单位档案!$A$6:$A$35,0)),"")),IFERROR(INDEX(项目档案!$G$6:$G$255,MATCH($C1040,项目档案!$A$6:$A$255,0)),"")),N(IFERROR(INDEX(单位档案!$D$6:$D$35,MATCH($E1040,单位档案!$A$6:$A$35,0)),"")))))</f>
        <v/>
      </c>
      <c r="J1040" s="22"/>
      <c r="K1040" s="22"/>
      <c r="L1040" s="33" t="str">
        <f aca="false">IF($B1040="","",IF(NOT(ISNUMBER($B1040)),"日期格式不对",IF($C1040="","未选项目编号",IF(LEFT($M1040,1)="⚠","项目编号不存在",IF($D1040="","未选业务类型",IF($E1040="","未选开票/付款方",IF(ISNA(MATCH($E1040,单位档案!$A$6:$A$35,0)),"开票方不在单位档案",IF($F1040="","未选收票/收款方",IF(ISNA(MATCH($F1040,单位档案!$A$6:$A$35,0)),"收款方不在单位档案",IF(NOT(ISNUMBER($H1040)),"金额须为数字",IF(AND($D1040="销项开票",$N1040="—"),"链条待确认","√")))))))))))</f>
        <v/>
      </c>
      <c r="M1040" s="34" t="str">
        <f aca="false">IF($C1040="","",IFERROR(INDEX(项目档案!$B$6:$B$255,MATCH($C1040,项目档案!$A$6:$A$255,0)),"⚠项目编号不存在"))</f>
        <v/>
      </c>
      <c r="N1040" s="35" t="str">
        <f aca="false">IF($E1040="","",IF($E1040=IFERROR(INDEX(项目档案!$D$6:$D$255,MATCH($C1040,项目档案!$A$6:$A$255,0)),""),"一级",IF($E1040=IFERROR(INDEX(项目档案!$F$6:$F$255,MATCH($C1040,项目档案!$A$6:$A$255,0)),""),"二级",IF($E1040=IFERROR(INDEX(项目档案!$H$6:$H$255,MATCH($C1040,项目档案!$A$6:$A$255,0)),""),"我方","—"))))</f>
        <v/>
      </c>
      <c r="O1040" s="36" t="n">
        <f aca="false">IF($D1040&lt;&gt;"销项开票",0,ROUND(N($H1040)*N($I1040),2))</f>
        <v>0</v>
      </c>
      <c r="P1040" s="36" t="n">
        <f aca="false">IF($D1040&lt;&gt;"销项开票",0,ROUND(N($H1040)-$O1040,2))</f>
        <v>0</v>
      </c>
      <c r="Q1040" s="37" t="str">
        <f aca="false">IF($E1040="","",N(IFERROR(INDEX(单位档案!$E$6:$E$35,MATCH($E1040,单位档案!$A$6:$A$35,0)),"")))</f>
        <v/>
      </c>
      <c r="R1040" s="37" t="str">
        <f aca="false">IF($E1040="","",N(IFERROR(INDEX(单位档案!$F$6:$F$35,MATCH($E1040,单位档案!$A$6:$A$35,0)),"")))</f>
        <v/>
      </c>
      <c r="S1040" s="36" t="n">
        <f aca="false">IF(OR($D1040&lt;&gt;"销项开票",IFERROR(INDEX(单位档案!$G$6:$G$35,MATCH($E1040,单位档案!$A$6:$A$35,0)),"")&lt;&gt;"是",N($Q1040)=0),0,IF(IFERROR(INDEX(单位档案!$H$6:$H$35,MATCH($E1040,单位档案!$A$6:$A$35,0)),"")="税差法",ROUND(N($H1040)/(1+$Q1040)*$Q1040-IF(N($R1040)=0,0,$P1040/(1+$R1040)*$R1040),2),ROUND(N($H1040)/(1+$Q1040)*$Q1040,2)))</f>
        <v>0</v>
      </c>
      <c r="T1040" s="36" t="n">
        <f aca="false">ROUND($S1040*N(IFERROR(INDEX(单位档案!$J$6:$J$35,MATCH($E1040,单位档案!$A$6:$A$35,0)),"")),2)</f>
        <v>0</v>
      </c>
      <c r="U1040" s="36" t="n">
        <f aca="false">IF($D1040&lt;&gt;"销项开票",0,ROUND(N($H1040)*N(IFERROR(INDEX(单位档案!$K$6:$K$35,MATCH($E1040,单位档案!$A$6:$A$35,0)),"")),2))</f>
        <v>0</v>
      </c>
      <c r="V1040" s="36" t="n">
        <f aca="false">IF(OR($D1040&lt;&gt;"销项开票",N($Q1040)=0),0,ROUND(N($H1040)/(1+$Q1040)*N(IFERROR(INDEX(单位档案!$L$6:$L$35,MATCH($E1040,单位档案!$A$6:$A$35,0)),"")),2))</f>
        <v>0</v>
      </c>
      <c r="W1040" s="36" t="n">
        <f aca="false">ROUND($S1040+$T1040+$U1040+$V1040,2)</f>
        <v>0</v>
      </c>
      <c r="X1040" s="35" t="str">
        <f aca="false">IF(OR($D1040="挂靠代收",$D1040="我方收款"),COUNTIFS($D$5:$D1040,"挂靠代收")+COUNTIFS($D$5:$D1040,"我方收款"),"")</f>
        <v/>
      </c>
      <c r="Y1040" s="35"/>
      <c r="Z1040" s="21" t="s">
        <v>111</v>
      </c>
    </row>
    <row r="1041" customFormat="false" ht="15.75" hidden="false" customHeight="true" outlineLevel="0" collapsed="false">
      <c r="A1041" s="32" t="str">
        <f aca="false">IF($B1041="","",ROW()-4)</f>
        <v/>
      </c>
      <c r="B1041" s="26"/>
      <c r="C1041" s="24"/>
      <c r="D1041" s="21"/>
      <c r="E1041" s="21"/>
      <c r="F1041" s="21"/>
      <c r="G1041" s="21"/>
      <c r="H1041" s="27"/>
      <c r="I1041" s="23" t="str">
        <f aca="false">IF($D1041&lt;&gt;"销项开票","",IF($N1041="一级",IF(IFERROR(INDEX(项目档案!$E$6:$E$255,MATCH($C1041,项目档案!$A$6:$A$255,0)),"")="",N(IFERROR(INDEX(单位档案!$D$6:$D$35,MATCH($E1041,单位档案!$A$6:$A$35,0)),"")),IFERROR(INDEX(项目档案!$E$6:$E$255,MATCH($C1041,项目档案!$A$6:$A$255,0)),"")),IF($N1041="二级",IF(IFERROR(INDEX(项目档案!$G$6:$G$255,MATCH($C1041,项目档案!$A$6:$A$255,0)),"")="",N(IFERROR(INDEX(单位档案!$D$6:$D$35,MATCH($E1041,单位档案!$A$6:$A$35,0)),"")),IFERROR(INDEX(项目档案!$G$6:$G$255,MATCH($C1041,项目档案!$A$6:$A$255,0)),"")),N(IFERROR(INDEX(单位档案!$D$6:$D$35,MATCH($E1041,单位档案!$A$6:$A$35,0)),"")))))</f>
        <v/>
      </c>
      <c r="J1041" s="22"/>
      <c r="K1041" s="22"/>
      <c r="L1041" s="33" t="str">
        <f aca="false">IF($B1041="","",IF(NOT(ISNUMBER($B1041)),"日期格式不对",IF($C1041="","未选项目编号",IF(LEFT($M1041,1)="⚠","项目编号不存在",IF($D1041="","未选业务类型",IF($E1041="","未选开票/付款方",IF(ISNA(MATCH($E1041,单位档案!$A$6:$A$35,0)),"开票方不在单位档案",IF($F1041="","未选收票/收款方",IF(ISNA(MATCH($F1041,单位档案!$A$6:$A$35,0)),"收款方不在单位档案",IF(NOT(ISNUMBER($H1041)),"金额须为数字",IF(AND($D1041="销项开票",$N1041="—"),"链条待确认","√")))))))))))</f>
        <v/>
      </c>
      <c r="M1041" s="34" t="str">
        <f aca="false">IF($C1041="","",IFERROR(INDEX(项目档案!$B$6:$B$255,MATCH($C1041,项目档案!$A$6:$A$255,0)),"⚠项目编号不存在"))</f>
        <v/>
      </c>
      <c r="N1041" s="35" t="str">
        <f aca="false">IF($E1041="","",IF($E1041=IFERROR(INDEX(项目档案!$D$6:$D$255,MATCH($C1041,项目档案!$A$6:$A$255,0)),""),"一级",IF($E1041=IFERROR(INDEX(项目档案!$F$6:$F$255,MATCH($C1041,项目档案!$A$6:$A$255,0)),""),"二级",IF($E1041=IFERROR(INDEX(项目档案!$H$6:$H$255,MATCH($C1041,项目档案!$A$6:$A$255,0)),""),"我方","—"))))</f>
        <v/>
      </c>
      <c r="O1041" s="36" t="n">
        <f aca="false">IF($D1041&lt;&gt;"销项开票",0,ROUND(N($H1041)*N($I1041),2))</f>
        <v>0</v>
      </c>
      <c r="P1041" s="36" t="n">
        <f aca="false">IF($D1041&lt;&gt;"销项开票",0,ROUND(N($H1041)-$O1041,2))</f>
        <v>0</v>
      </c>
      <c r="Q1041" s="37" t="str">
        <f aca="false">IF($E1041="","",N(IFERROR(INDEX(单位档案!$E$6:$E$35,MATCH($E1041,单位档案!$A$6:$A$35,0)),"")))</f>
        <v/>
      </c>
      <c r="R1041" s="37" t="str">
        <f aca="false">IF($E1041="","",N(IFERROR(INDEX(单位档案!$F$6:$F$35,MATCH($E1041,单位档案!$A$6:$A$35,0)),"")))</f>
        <v/>
      </c>
      <c r="S1041" s="36" t="n">
        <f aca="false">IF(OR($D1041&lt;&gt;"销项开票",IFERROR(INDEX(单位档案!$G$6:$G$35,MATCH($E1041,单位档案!$A$6:$A$35,0)),"")&lt;&gt;"是",N($Q1041)=0),0,IF(IFERROR(INDEX(单位档案!$H$6:$H$35,MATCH($E1041,单位档案!$A$6:$A$35,0)),"")="税差法",ROUND(N($H1041)/(1+$Q1041)*$Q1041-IF(N($R1041)=0,0,$P1041/(1+$R1041)*$R1041),2),ROUND(N($H1041)/(1+$Q1041)*$Q1041,2)))</f>
        <v>0</v>
      </c>
      <c r="T1041" s="36" t="n">
        <f aca="false">ROUND($S1041*N(IFERROR(INDEX(单位档案!$J$6:$J$35,MATCH($E1041,单位档案!$A$6:$A$35,0)),"")),2)</f>
        <v>0</v>
      </c>
      <c r="U1041" s="36" t="n">
        <f aca="false">IF($D1041&lt;&gt;"销项开票",0,ROUND(N($H1041)*N(IFERROR(INDEX(单位档案!$K$6:$K$35,MATCH($E1041,单位档案!$A$6:$A$35,0)),"")),2))</f>
        <v>0</v>
      </c>
      <c r="V1041" s="36" t="n">
        <f aca="false">IF(OR($D1041&lt;&gt;"销项开票",N($Q1041)=0),0,ROUND(N($H1041)/(1+$Q1041)*N(IFERROR(INDEX(单位档案!$L$6:$L$35,MATCH($E1041,单位档案!$A$6:$A$35,0)),"")),2))</f>
        <v>0</v>
      </c>
      <c r="W1041" s="36" t="n">
        <f aca="false">ROUND($S1041+$T1041+$U1041+$V1041,2)</f>
        <v>0</v>
      </c>
      <c r="X1041" s="35" t="str">
        <f aca="false">IF(OR($D1041="挂靠代收",$D1041="我方收款"),COUNTIFS($D$5:$D1041,"挂靠代收")+COUNTIFS($D$5:$D1041,"我方收款"),"")</f>
        <v/>
      </c>
      <c r="Y1041" s="35"/>
      <c r="Z1041" s="21" t="s">
        <v>111</v>
      </c>
    </row>
    <row r="1042" customFormat="false" ht="15.75" hidden="false" customHeight="true" outlineLevel="0" collapsed="false">
      <c r="A1042" s="32" t="str">
        <f aca="false">IF($B1042="","",ROW()-4)</f>
        <v/>
      </c>
      <c r="B1042" s="26"/>
      <c r="C1042" s="24"/>
      <c r="D1042" s="21"/>
      <c r="E1042" s="21"/>
      <c r="F1042" s="21"/>
      <c r="G1042" s="21"/>
      <c r="H1042" s="27"/>
      <c r="I1042" s="23" t="str">
        <f aca="false">IF($D1042&lt;&gt;"销项开票","",IF($N1042="一级",IF(IFERROR(INDEX(项目档案!$E$6:$E$255,MATCH($C1042,项目档案!$A$6:$A$255,0)),"")="",N(IFERROR(INDEX(单位档案!$D$6:$D$35,MATCH($E1042,单位档案!$A$6:$A$35,0)),"")),IFERROR(INDEX(项目档案!$E$6:$E$255,MATCH($C1042,项目档案!$A$6:$A$255,0)),"")),IF($N1042="二级",IF(IFERROR(INDEX(项目档案!$G$6:$G$255,MATCH($C1042,项目档案!$A$6:$A$255,0)),"")="",N(IFERROR(INDEX(单位档案!$D$6:$D$35,MATCH($E1042,单位档案!$A$6:$A$35,0)),"")),IFERROR(INDEX(项目档案!$G$6:$G$255,MATCH($C1042,项目档案!$A$6:$A$255,0)),"")),N(IFERROR(INDEX(单位档案!$D$6:$D$35,MATCH($E1042,单位档案!$A$6:$A$35,0)),"")))))</f>
        <v/>
      </c>
      <c r="J1042" s="22"/>
      <c r="K1042" s="22"/>
      <c r="L1042" s="33" t="str">
        <f aca="false">IF($B1042="","",IF(NOT(ISNUMBER($B1042)),"日期格式不对",IF($C1042="","未选项目编号",IF(LEFT($M1042,1)="⚠","项目编号不存在",IF($D1042="","未选业务类型",IF($E1042="","未选开票/付款方",IF(ISNA(MATCH($E1042,单位档案!$A$6:$A$35,0)),"开票方不在单位档案",IF($F1042="","未选收票/收款方",IF(ISNA(MATCH($F1042,单位档案!$A$6:$A$35,0)),"收款方不在单位档案",IF(NOT(ISNUMBER($H1042)),"金额须为数字",IF(AND($D1042="销项开票",$N1042="—"),"链条待确认","√")))))))))))</f>
        <v/>
      </c>
      <c r="M1042" s="34" t="str">
        <f aca="false">IF($C1042="","",IFERROR(INDEX(项目档案!$B$6:$B$255,MATCH($C1042,项目档案!$A$6:$A$255,0)),"⚠项目编号不存在"))</f>
        <v/>
      </c>
      <c r="N1042" s="35" t="str">
        <f aca="false">IF($E1042="","",IF($E1042=IFERROR(INDEX(项目档案!$D$6:$D$255,MATCH($C1042,项目档案!$A$6:$A$255,0)),""),"一级",IF($E1042=IFERROR(INDEX(项目档案!$F$6:$F$255,MATCH($C1042,项目档案!$A$6:$A$255,0)),""),"二级",IF($E1042=IFERROR(INDEX(项目档案!$H$6:$H$255,MATCH($C1042,项目档案!$A$6:$A$255,0)),""),"我方","—"))))</f>
        <v/>
      </c>
      <c r="O1042" s="36" t="n">
        <f aca="false">IF($D1042&lt;&gt;"销项开票",0,ROUND(N($H1042)*N($I1042),2))</f>
        <v>0</v>
      </c>
      <c r="P1042" s="36" t="n">
        <f aca="false">IF($D1042&lt;&gt;"销项开票",0,ROUND(N($H1042)-$O1042,2))</f>
        <v>0</v>
      </c>
      <c r="Q1042" s="37" t="str">
        <f aca="false">IF($E1042="","",N(IFERROR(INDEX(单位档案!$E$6:$E$35,MATCH($E1042,单位档案!$A$6:$A$35,0)),"")))</f>
        <v/>
      </c>
      <c r="R1042" s="37" t="str">
        <f aca="false">IF($E1042="","",N(IFERROR(INDEX(单位档案!$F$6:$F$35,MATCH($E1042,单位档案!$A$6:$A$35,0)),"")))</f>
        <v/>
      </c>
      <c r="S1042" s="36" t="n">
        <f aca="false">IF(OR($D1042&lt;&gt;"销项开票",IFERROR(INDEX(单位档案!$G$6:$G$35,MATCH($E1042,单位档案!$A$6:$A$35,0)),"")&lt;&gt;"是",N($Q1042)=0),0,IF(IFERROR(INDEX(单位档案!$H$6:$H$35,MATCH($E1042,单位档案!$A$6:$A$35,0)),"")="税差法",ROUND(N($H1042)/(1+$Q1042)*$Q1042-IF(N($R1042)=0,0,$P1042/(1+$R1042)*$R1042),2),ROUND(N($H1042)/(1+$Q1042)*$Q1042,2)))</f>
        <v>0</v>
      </c>
      <c r="T1042" s="36" t="n">
        <f aca="false">ROUND($S1042*N(IFERROR(INDEX(单位档案!$J$6:$J$35,MATCH($E1042,单位档案!$A$6:$A$35,0)),"")),2)</f>
        <v>0</v>
      </c>
      <c r="U1042" s="36" t="n">
        <f aca="false">IF($D1042&lt;&gt;"销项开票",0,ROUND(N($H1042)*N(IFERROR(INDEX(单位档案!$K$6:$K$35,MATCH($E1042,单位档案!$A$6:$A$35,0)),"")),2))</f>
        <v>0</v>
      </c>
      <c r="V1042" s="36" t="n">
        <f aca="false">IF(OR($D1042&lt;&gt;"销项开票",N($Q1042)=0),0,ROUND(N($H1042)/(1+$Q1042)*N(IFERROR(INDEX(单位档案!$L$6:$L$35,MATCH($E1042,单位档案!$A$6:$A$35,0)),"")),2))</f>
        <v>0</v>
      </c>
      <c r="W1042" s="36" t="n">
        <f aca="false">ROUND($S1042+$T1042+$U1042+$V1042,2)</f>
        <v>0</v>
      </c>
      <c r="X1042" s="35" t="str">
        <f aca="false">IF(OR($D1042="挂靠代收",$D1042="我方收款"),COUNTIFS($D$5:$D1042,"挂靠代收")+COUNTIFS($D$5:$D1042,"我方收款"),"")</f>
        <v/>
      </c>
      <c r="Y1042" s="35"/>
      <c r="Z1042" s="21" t="s">
        <v>111</v>
      </c>
    </row>
    <row r="1043" customFormat="false" ht="15.75" hidden="false" customHeight="true" outlineLevel="0" collapsed="false">
      <c r="A1043" s="32" t="str">
        <f aca="false">IF($B1043="","",ROW()-4)</f>
        <v/>
      </c>
      <c r="B1043" s="26"/>
      <c r="C1043" s="24"/>
      <c r="D1043" s="21"/>
      <c r="E1043" s="21"/>
      <c r="F1043" s="21"/>
      <c r="G1043" s="21"/>
      <c r="H1043" s="27"/>
      <c r="I1043" s="23" t="str">
        <f aca="false">IF($D1043&lt;&gt;"销项开票","",IF($N1043="一级",IF(IFERROR(INDEX(项目档案!$E$6:$E$255,MATCH($C1043,项目档案!$A$6:$A$255,0)),"")="",N(IFERROR(INDEX(单位档案!$D$6:$D$35,MATCH($E1043,单位档案!$A$6:$A$35,0)),"")),IFERROR(INDEX(项目档案!$E$6:$E$255,MATCH($C1043,项目档案!$A$6:$A$255,0)),"")),IF($N1043="二级",IF(IFERROR(INDEX(项目档案!$G$6:$G$255,MATCH($C1043,项目档案!$A$6:$A$255,0)),"")="",N(IFERROR(INDEX(单位档案!$D$6:$D$35,MATCH($E1043,单位档案!$A$6:$A$35,0)),"")),IFERROR(INDEX(项目档案!$G$6:$G$255,MATCH($C1043,项目档案!$A$6:$A$255,0)),"")),N(IFERROR(INDEX(单位档案!$D$6:$D$35,MATCH($E1043,单位档案!$A$6:$A$35,0)),"")))))</f>
        <v/>
      </c>
      <c r="J1043" s="22"/>
      <c r="K1043" s="22"/>
      <c r="L1043" s="33" t="str">
        <f aca="false">IF($B1043="","",IF(NOT(ISNUMBER($B1043)),"日期格式不对",IF($C1043="","未选项目编号",IF(LEFT($M1043,1)="⚠","项目编号不存在",IF($D1043="","未选业务类型",IF($E1043="","未选开票/付款方",IF(ISNA(MATCH($E1043,单位档案!$A$6:$A$35,0)),"开票方不在单位档案",IF($F1043="","未选收票/收款方",IF(ISNA(MATCH($F1043,单位档案!$A$6:$A$35,0)),"收款方不在单位档案",IF(NOT(ISNUMBER($H1043)),"金额须为数字",IF(AND($D1043="销项开票",$N1043="—"),"链条待确认","√")))))))))))</f>
        <v/>
      </c>
      <c r="M1043" s="34" t="str">
        <f aca="false">IF($C1043="","",IFERROR(INDEX(项目档案!$B$6:$B$255,MATCH($C1043,项目档案!$A$6:$A$255,0)),"⚠项目编号不存在"))</f>
        <v/>
      </c>
      <c r="N1043" s="35" t="str">
        <f aca="false">IF($E1043="","",IF($E1043=IFERROR(INDEX(项目档案!$D$6:$D$255,MATCH($C1043,项目档案!$A$6:$A$255,0)),""),"一级",IF($E1043=IFERROR(INDEX(项目档案!$F$6:$F$255,MATCH($C1043,项目档案!$A$6:$A$255,0)),""),"二级",IF($E1043=IFERROR(INDEX(项目档案!$H$6:$H$255,MATCH($C1043,项目档案!$A$6:$A$255,0)),""),"我方","—"))))</f>
        <v/>
      </c>
      <c r="O1043" s="36" t="n">
        <f aca="false">IF($D1043&lt;&gt;"销项开票",0,ROUND(N($H1043)*N($I1043),2))</f>
        <v>0</v>
      </c>
      <c r="P1043" s="36" t="n">
        <f aca="false">IF($D1043&lt;&gt;"销项开票",0,ROUND(N($H1043)-$O1043,2))</f>
        <v>0</v>
      </c>
      <c r="Q1043" s="37" t="str">
        <f aca="false">IF($E1043="","",N(IFERROR(INDEX(单位档案!$E$6:$E$35,MATCH($E1043,单位档案!$A$6:$A$35,0)),"")))</f>
        <v/>
      </c>
      <c r="R1043" s="37" t="str">
        <f aca="false">IF($E1043="","",N(IFERROR(INDEX(单位档案!$F$6:$F$35,MATCH($E1043,单位档案!$A$6:$A$35,0)),"")))</f>
        <v/>
      </c>
      <c r="S1043" s="36" t="n">
        <f aca="false">IF(OR($D1043&lt;&gt;"销项开票",IFERROR(INDEX(单位档案!$G$6:$G$35,MATCH($E1043,单位档案!$A$6:$A$35,0)),"")&lt;&gt;"是",N($Q1043)=0),0,IF(IFERROR(INDEX(单位档案!$H$6:$H$35,MATCH($E1043,单位档案!$A$6:$A$35,0)),"")="税差法",ROUND(N($H1043)/(1+$Q1043)*$Q1043-IF(N($R1043)=0,0,$P1043/(1+$R1043)*$R1043),2),ROUND(N($H1043)/(1+$Q1043)*$Q1043,2)))</f>
        <v>0</v>
      </c>
      <c r="T1043" s="36" t="n">
        <f aca="false">ROUND($S1043*N(IFERROR(INDEX(单位档案!$J$6:$J$35,MATCH($E1043,单位档案!$A$6:$A$35,0)),"")),2)</f>
        <v>0</v>
      </c>
      <c r="U1043" s="36" t="n">
        <f aca="false">IF($D1043&lt;&gt;"销项开票",0,ROUND(N($H1043)*N(IFERROR(INDEX(单位档案!$K$6:$K$35,MATCH($E1043,单位档案!$A$6:$A$35,0)),"")),2))</f>
        <v>0</v>
      </c>
      <c r="V1043" s="36" t="n">
        <f aca="false">IF(OR($D1043&lt;&gt;"销项开票",N($Q1043)=0),0,ROUND(N($H1043)/(1+$Q1043)*N(IFERROR(INDEX(单位档案!$L$6:$L$35,MATCH($E1043,单位档案!$A$6:$A$35,0)),"")),2))</f>
        <v>0</v>
      </c>
      <c r="W1043" s="36" t="n">
        <f aca="false">ROUND($S1043+$T1043+$U1043+$V1043,2)</f>
        <v>0</v>
      </c>
      <c r="X1043" s="35" t="str">
        <f aca="false">IF(OR($D1043="挂靠代收",$D1043="我方收款"),COUNTIFS($D$5:$D1043,"挂靠代收")+COUNTIFS($D$5:$D1043,"我方收款"),"")</f>
        <v/>
      </c>
      <c r="Y1043" s="35"/>
      <c r="Z1043" s="21" t="s">
        <v>111</v>
      </c>
    </row>
    <row r="1044" customFormat="false" ht="15.75" hidden="false" customHeight="true" outlineLevel="0" collapsed="false">
      <c r="A1044" s="32" t="str">
        <f aca="false">IF($B1044="","",ROW()-4)</f>
        <v/>
      </c>
      <c r="B1044" s="26"/>
      <c r="C1044" s="24"/>
      <c r="D1044" s="21"/>
      <c r="E1044" s="21"/>
      <c r="F1044" s="21"/>
      <c r="G1044" s="21"/>
      <c r="H1044" s="27"/>
      <c r="I1044" s="23" t="str">
        <f aca="false">IF($D1044&lt;&gt;"销项开票","",IF($N1044="一级",IF(IFERROR(INDEX(项目档案!$E$6:$E$255,MATCH($C1044,项目档案!$A$6:$A$255,0)),"")="",N(IFERROR(INDEX(单位档案!$D$6:$D$35,MATCH($E1044,单位档案!$A$6:$A$35,0)),"")),IFERROR(INDEX(项目档案!$E$6:$E$255,MATCH($C1044,项目档案!$A$6:$A$255,0)),"")),IF($N1044="二级",IF(IFERROR(INDEX(项目档案!$G$6:$G$255,MATCH($C1044,项目档案!$A$6:$A$255,0)),"")="",N(IFERROR(INDEX(单位档案!$D$6:$D$35,MATCH($E1044,单位档案!$A$6:$A$35,0)),"")),IFERROR(INDEX(项目档案!$G$6:$G$255,MATCH($C1044,项目档案!$A$6:$A$255,0)),"")),N(IFERROR(INDEX(单位档案!$D$6:$D$35,MATCH($E1044,单位档案!$A$6:$A$35,0)),"")))))</f>
        <v/>
      </c>
      <c r="J1044" s="22"/>
      <c r="K1044" s="22"/>
      <c r="L1044" s="33" t="str">
        <f aca="false">IF($B1044="","",IF(NOT(ISNUMBER($B1044)),"日期格式不对",IF($C1044="","未选项目编号",IF(LEFT($M1044,1)="⚠","项目编号不存在",IF($D1044="","未选业务类型",IF($E1044="","未选开票/付款方",IF(ISNA(MATCH($E1044,单位档案!$A$6:$A$35,0)),"开票方不在单位档案",IF($F1044="","未选收票/收款方",IF(ISNA(MATCH($F1044,单位档案!$A$6:$A$35,0)),"收款方不在单位档案",IF(NOT(ISNUMBER($H1044)),"金额须为数字",IF(AND($D1044="销项开票",$N1044="—"),"链条待确认","√")))))))))))</f>
        <v/>
      </c>
      <c r="M1044" s="34" t="str">
        <f aca="false">IF($C1044="","",IFERROR(INDEX(项目档案!$B$6:$B$255,MATCH($C1044,项目档案!$A$6:$A$255,0)),"⚠项目编号不存在"))</f>
        <v/>
      </c>
      <c r="N1044" s="35" t="str">
        <f aca="false">IF($E1044="","",IF($E1044=IFERROR(INDEX(项目档案!$D$6:$D$255,MATCH($C1044,项目档案!$A$6:$A$255,0)),""),"一级",IF($E1044=IFERROR(INDEX(项目档案!$F$6:$F$255,MATCH($C1044,项目档案!$A$6:$A$255,0)),""),"二级",IF($E1044=IFERROR(INDEX(项目档案!$H$6:$H$255,MATCH($C1044,项目档案!$A$6:$A$255,0)),""),"我方","—"))))</f>
        <v/>
      </c>
      <c r="O1044" s="36" t="n">
        <f aca="false">IF($D1044&lt;&gt;"销项开票",0,ROUND(N($H1044)*N($I1044),2))</f>
        <v>0</v>
      </c>
      <c r="P1044" s="36" t="n">
        <f aca="false">IF($D1044&lt;&gt;"销项开票",0,ROUND(N($H1044)-$O1044,2))</f>
        <v>0</v>
      </c>
      <c r="Q1044" s="37" t="str">
        <f aca="false">IF($E1044="","",N(IFERROR(INDEX(单位档案!$E$6:$E$35,MATCH($E1044,单位档案!$A$6:$A$35,0)),"")))</f>
        <v/>
      </c>
      <c r="R1044" s="37" t="str">
        <f aca="false">IF($E1044="","",N(IFERROR(INDEX(单位档案!$F$6:$F$35,MATCH($E1044,单位档案!$A$6:$A$35,0)),"")))</f>
        <v/>
      </c>
      <c r="S1044" s="36" t="n">
        <f aca="false">IF(OR($D1044&lt;&gt;"销项开票",IFERROR(INDEX(单位档案!$G$6:$G$35,MATCH($E1044,单位档案!$A$6:$A$35,0)),"")&lt;&gt;"是",N($Q1044)=0),0,IF(IFERROR(INDEX(单位档案!$H$6:$H$35,MATCH($E1044,单位档案!$A$6:$A$35,0)),"")="税差法",ROUND(N($H1044)/(1+$Q1044)*$Q1044-IF(N($R1044)=0,0,$P1044/(1+$R1044)*$R1044),2),ROUND(N($H1044)/(1+$Q1044)*$Q1044,2)))</f>
        <v>0</v>
      </c>
      <c r="T1044" s="36" t="n">
        <f aca="false">ROUND($S1044*N(IFERROR(INDEX(单位档案!$J$6:$J$35,MATCH($E1044,单位档案!$A$6:$A$35,0)),"")),2)</f>
        <v>0</v>
      </c>
      <c r="U1044" s="36" t="n">
        <f aca="false">IF($D1044&lt;&gt;"销项开票",0,ROUND(N($H1044)*N(IFERROR(INDEX(单位档案!$K$6:$K$35,MATCH($E1044,单位档案!$A$6:$A$35,0)),"")),2))</f>
        <v>0</v>
      </c>
      <c r="V1044" s="36" t="n">
        <f aca="false">IF(OR($D1044&lt;&gt;"销项开票",N($Q1044)=0),0,ROUND(N($H1044)/(1+$Q1044)*N(IFERROR(INDEX(单位档案!$L$6:$L$35,MATCH($E1044,单位档案!$A$6:$A$35,0)),"")),2))</f>
        <v>0</v>
      </c>
      <c r="W1044" s="36" t="n">
        <f aca="false">ROUND($S1044+$T1044+$U1044+$V1044,2)</f>
        <v>0</v>
      </c>
      <c r="X1044" s="35" t="str">
        <f aca="false">IF(OR($D1044="挂靠代收",$D1044="我方收款"),COUNTIFS($D$5:$D1044,"挂靠代收")+COUNTIFS($D$5:$D1044,"我方收款"),"")</f>
        <v/>
      </c>
      <c r="Y1044" s="35"/>
      <c r="Z1044" s="21" t="s">
        <v>111</v>
      </c>
    </row>
    <row r="1045" customFormat="false" ht="15.75" hidden="false" customHeight="true" outlineLevel="0" collapsed="false">
      <c r="A1045" s="32" t="str">
        <f aca="false">IF($B1045="","",ROW()-4)</f>
        <v/>
      </c>
      <c r="B1045" s="26"/>
      <c r="C1045" s="24"/>
      <c r="D1045" s="21"/>
      <c r="E1045" s="21"/>
      <c r="F1045" s="21"/>
      <c r="G1045" s="21"/>
      <c r="H1045" s="27"/>
      <c r="I1045" s="23" t="str">
        <f aca="false">IF($D1045&lt;&gt;"销项开票","",IF($N1045="一级",IF(IFERROR(INDEX(项目档案!$E$6:$E$255,MATCH($C1045,项目档案!$A$6:$A$255,0)),"")="",N(IFERROR(INDEX(单位档案!$D$6:$D$35,MATCH($E1045,单位档案!$A$6:$A$35,0)),"")),IFERROR(INDEX(项目档案!$E$6:$E$255,MATCH($C1045,项目档案!$A$6:$A$255,0)),"")),IF($N1045="二级",IF(IFERROR(INDEX(项目档案!$G$6:$G$255,MATCH($C1045,项目档案!$A$6:$A$255,0)),"")="",N(IFERROR(INDEX(单位档案!$D$6:$D$35,MATCH($E1045,单位档案!$A$6:$A$35,0)),"")),IFERROR(INDEX(项目档案!$G$6:$G$255,MATCH($C1045,项目档案!$A$6:$A$255,0)),"")),N(IFERROR(INDEX(单位档案!$D$6:$D$35,MATCH($E1045,单位档案!$A$6:$A$35,0)),"")))))</f>
        <v/>
      </c>
      <c r="J1045" s="22"/>
      <c r="K1045" s="22"/>
      <c r="L1045" s="33" t="str">
        <f aca="false">IF($B1045="","",IF(NOT(ISNUMBER($B1045)),"日期格式不对",IF($C1045="","未选项目编号",IF(LEFT($M1045,1)="⚠","项目编号不存在",IF($D1045="","未选业务类型",IF($E1045="","未选开票/付款方",IF(ISNA(MATCH($E1045,单位档案!$A$6:$A$35,0)),"开票方不在单位档案",IF($F1045="","未选收票/收款方",IF(ISNA(MATCH($F1045,单位档案!$A$6:$A$35,0)),"收款方不在单位档案",IF(NOT(ISNUMBER($H1045)),"金额须为数字",IF(AND($D1045="销项开票",$N1045="—"),"链条待确认","√")))))))))))</f>
        <v/>
      </c>
      <c r="M1045" s="34" t="str">
        <f aca="false">IF($C1045="","",IFERROR(INDEX(项目档案!$B$6:$B$255,MATCH($C1045,项目档案!$A$6:$A$255,0)),"⚠项目编号不存在"))</f>
        <v/>
      </c>
      <c r="N1045" s="35" t="str">
        <f aca="false">IF($E1045="","",IF($E1045=IFERROR(INDEX(项目档案!$D$6:$D$255,MATCH($C1045,项目档案!$A$6:$A$255,0)),""),"一级",IF($E1045=IFERROR(INDEX(项目档案!$F$6:$F$255,MATCH($C1045,项目档案!$A$6:$A$255,0)),""),"二级",IF($E1045=IFERROR(INDEX(项目档案!$H$6:$H$255,MATCH($C1045,项目档案!$A$6:$A$255,0)),""),"我方","—"))))</f>
        <v/>
      </c>
      <c r="O1045" s="36" t="n">
        <f aca="false">IF($D1045&lt;&gt;"销项开票",0,ROUND(N($H1045)*N($I1045),2))</f>
        <v>0</v>
      </c>
      <c r="P1045" s="36" t="n">
        <f aca="false">IF($D1045&lt;&gt;"销项开票",0,ROUND(N($H1045)-$O1045,2))</f>
        <v>0</v>
      </c>
      <c r="Q1045" s="37" t="str">
        <f aca="false">IF($E1045="","",N(IFERROR(INDEX(单位档案!$E$6:$E$35,MATCH($E1045,单位档案!$A$6:$A$35,0)),"")))</f>
        <v/>
      </c>
      <c r="R1045" s="37" t="str">
        <f aca="false">IF($E1045="","",N(IFERROR(INDEX(单位档案!$F$6:$F$35,MATCH($E1045,单位档案!$A$6:$A$35,0)),"")))</f>
        <v/>
      </c>
      <c r="S1045" s="36" t="n">
        <f aca="false">IF(OR($D1045&lt;&gt;"销项开票",IFERROR(INDEX(单位档案!$G$6:$G$35,MATCH($E1045,单位档案!$A$6:$A$35,0)),"")&lt;&gt;"是",N($Q1045)=0),0,IF(IFERROR(INDEX(单位档案!$H$6:$H$35,MATCH($E1045,单位档案!$A$6:$A$35,0)),"")="税差法",ROUND(N($H1045)/(1+$Q1045)*$Q1045-IF(N($R1045)=0,0,$P1045/(1+$R1045)*$R1045),2),ROUND(N($H1045)/(1+$Q1045)*$Q1045,2)))</f>
        <v>0</v>
      </c>
      <c r="T1045" s="36" t="n">
        <f aca="false">ROUND($S1045*N(IFERROR(INDEX(单位档案!$J$6:$J$35,MATCH($E1045,单位档案!$A$6:$A$35,0)),"")),2)</f>
        <v>0</v>
      </c>
      <c r="U1045" s="36" t="n">
        <f aca="false">IF($D1045&lt;&gt;"销项开票",0,ROUND(N($H1045)*N(IFERROR(INDEX(单位档案!$K$6:$K$35,MATCH($E1045,单位档案!$A$6:$A$35,0)),"")),2))</f>
        <v>0</v>
      </c>
      <c r="V1045" s="36" t="n">
        <f aca="false">IF(OR($D1045&lt;&gt;"销项开票",N($Q1045)=0),0,ROUND(N($H1045)/(1+$Q1045)*N(IFERROR(INDEX(单位档案!$L$6:$L$35,MATCH($E1045,单位档案!$A$6:$A$35,0)),"")),2))</f>
        <v>0</v>
      </c>
      <c r="W1045" s="36" t="n">
        <f aca="false">ROUND($S1045+$T1045+$U1045+$V1045,2)</f>
        <v>0</v>
      </c>
      <c r="X1045" s="35" t="str">
        <f aca="false">IF(OR($D1045="挂靠代收",$D1045="我方收款"),COUNTIFS($D$5:$D1045,"挂靠代收")+COUNTIFS($D$5:$D1045,"我方收款"),"")</f>
        <v/>
      </c>
      <c r="Y1045" s="35"/>
      <c r="Z1045" s="21" t="s">
        <v>111</v>
      </c>
    </row>
    <row r="1046" customFormat="false" ht="15.75" hidden="false" customHeight="true" outlineLevel="0" collapsed="false">
      <c r="A1046" s="32" t="str">
        <f aca="false">IF($B1046="","",ROW()-4)</f>
        <v/>
      </c>
      <c r="B1046" s="26"/>
      <c r="C1046" s="24"/>
      <c r="D1046" s="21"/>
      <c r="E1046" s="21"/>
      <c r="F1046" s="21"/>
      <c r="G1046" s="21"/>
      <c r="H1046" s="27"/>
      <c r="I1046" s="23" t="str">
        <f aca="false">IF($D1046&lt;&gt;"销项开票","",IF($N1046="一级",IF(IFERROR(INDEX(项目档案!$E$6:$E$255,MATCH($C1046,项目档案!$A$6:$A$255,0)),"")="",N(IFERROR(INDEX(单位档案!$D$6:$D$35,MATCH($E1046,单位档案!$A$6:$A$35,0)),"")),IFERROR(INDEX(项目档案!$E$6:$E$255,MATCH($C1046,项目档案!$A$6:$A$255,0)),"")),IF($N1046="二级",IF(IFERROR(INDEX(项目档案!$G$6:$G$255,MATCH($C1046,项目档案!$A$6:$A$255,0)),"")="",N(IFERROR(INDEX(单位档案!$D$6:$D$35,MATCH($E1046,单位档案!$A$6:$A$35,0)),"")),IFERROR(INDEX(项目档案!$G$6:$G$255,MATCH($C1046,项目档案!$A$6:$A$255,0)),"")),N(IFERROR(INDEX(单位档案!$D$6:$D$35,MATCH($E1046,单位档案!$A$6:$A$35,0)),"")))))</f>
        <v/>
      </c>
      <c r="J1046" s="22"/>
      <c r="K1046" s="22"/>
      <c r="L1046" s="33" t="str">
        <f aca="false">IF($B1046="","",IF(NOT(ISNUMBER($B1046)),"日期格式不对",IF($C1046="","未选项目编号",IF(LEFT($M1046,1)="⚠","项目编号不存在",IF($D1046="","未选业务类型",IF($E1046="","未选开票/付款方",IF(ISNA(MATCH($E1046,单位档案!$A$6:$A$35,0)),"开票方不在单位档案",IF($F1046="","未选收票/收款方",IF(ISNA(MATCH($F1046,单位档案!$A$6:$A$35,0)),"收款方不在单位档案",IF(NOT(ISNUMBER($H1046)),"金额须为数字",IF(AND($D1046="销项开票",$N1046="—"),"链条待确认","√")))))))))))</f>
        <v/>
      </c>
      <c r="M1046" s="34" t="str">
        <f aca="false">IF($C1046="","",IFERROR(INDEX(项目档案!$B$6:$B$255,MATCH($C1046,项目档案!$A$6:$A$255,0)),"⚠项目编号不存在"))</f>
        <v/>
      </c>
      <c r="N1046" s="35" t="str">
        <f aca="false">IF($E1046="","",IF($E1046=IFERROR(INDEX(项目档案!$D$6:$D$255,MATCH($C1046,项目档案!$A$6:$A$255,0)),""),"一级",IF($E1046=IFERROR(INDEX(项目档案!$F$6:$F$255,MATCH($C1046,项目档案!$A$6:$A$255,0)),""),"二级",IF($E1046=IFERROR(INDEX(项目档案!$H$6:$H$255,MATCH($C1046,项目档案!$A$6:$A$255,0)),""),"我方","—"))))</f>
        <v/>
      </c>
      <c r="O1046" s="36" t="n">
        <f aca="false">IF($D1046&lt;&gt;"销项开票",0,ROUND(N($H1046)*N($I1046),2))</f>
        <v>0</v>
      </c>
      <c r="P1046" s="36" t="n">
        <f aca="false">IF($D1046&lt;&gt;"销项开票",0,ROUND(N($H1046)-$O1046,2))</f>
        <v>0</v>
      </c>
      <c r="Q1046" s="37" t="str">
        <f aca="false">IF($E1046="","",N(IFERROR(INDEX(单位档案!$E$6:$E$35,MATCH($E1046,单位档案!$A$6:$A$35,0)),"")))</f>
        <v/>
      </c>
      <c r="R1046" s="37" t="str">
        <f aca="false">IF($E1046="","",N(IFERROR(INDEX(单位档案!$F$6:$F$35,MATCH($E1046,单位档案!$A$6:$A$35,0)),"")))</f>
        <v/>
      </c>
      <c r="S1046" s="36" t="n">
        <f aca="false">IF(OR($D1046&lt;&gt;"销项开票",IFERROR(INDEX(单位档案!$G$6:$G$35,MATCH($E1046,单位档案!$A$6:$A$35,0)),"")&lt;&gt;"是",N($Q1046)=0),0,IF(IFERROR(INDEX(单位档案!$H$6:$H$35,MATCH($E1046,单位档案!$A$6:$A$35,0)),"")="税差法",ROUND(N($H1046)/(1+$Q1046)*$Q1046-IF(N($R1046)=0,0,$P1046/(1+$R1046)*$R1046),2),ROUND(N($H1046)/(1+$Q1046)*$Q1046,2)))</f>
        <v>0</v>
      </c>
      <c r="T1046" s="36" t="n">
        <f aca="false">ROUND($S1046*N(IFERROR(INDEX(单位档案!$J$6:$J$35,MATCH($E1046,单位档案!$A$6:$A$35,0)),"")),2)</f>
        <v>0</v>
      </c>
      <c r="U1046" s="36" t="n">
        <f aca="false">IF($D1046&lt;&gt;"销项开票",0,ROUND(N($H1046)*N(IFERROR(INDEX(单位档案!$K$6:$K$35,MATCH($E1046,单位档案!$A$6:$A$35,0)),"")),2))</f>
        <v>0</v>
      </c>
      <c r="V1046" s="36" t="n">
        <f aca="false">IF(OR($D1046&lt;&gt;"销项开票",N($Q1046)=0),0,ROUND(N($H1046)/(1+$Q1046)*N(IFERROR(INDEX(单位档案!$L$6:$L$35,MATCH($E1046,单位档案!$A$6:$A$35,0)),"")),2))</f>
        <v>0</v>
      </c>
      <c r="W1046" s="36" t="n">
        <f aca="false">ROUND($S1046+$T1046+$U1046+$V1046,2)</f>
        <v>0</v>
      </c>
      <c r="X1046" s="35" t="str">
        <f aca="false">IF(OR($D1046="挂靠代收",$D1046="我方收款"),COUNTIFS($D$5:$D1046,"挂靠代收")+COUNTIFS($D$5:$D1046,"我方收款"),"")</f>
        <v/>
      </c>
      <c r="Y1046" s="35"/>
      <c r="Z1046" s="21" t="s">
        <v>111</v>
      </c>
    </row>
    <row r="1047" customFormat="false" ht="15.75" hidden="false" customHeight="true" outlineLevel="0" collapsed="false">
      <c r="A1047" s="32" t="str">
        <f aca="false">IF($B1047="","",ROW()-4)</f>
        <v/>
      </c>
      <c r="B1047" s="26"/>
      <c r="C1047" s="24"/>
      <c r="D1047" s="21"/>
      <c r="E1047" s="21"/>
      <c r="F1047" s="21"/>
      <c r="G1047" s="21"/>
      <c r="H1047" s="27"/>
      <c r="I1047" s="23" t="str">
        <f aca="false">IF($D1047&lt;&gt;"销项开票","",IF($N1047="一级",IF(IFERROR(INDEX(项目档案!$E$6:$E$255,MATCH($C1047,项目档案!$A$6:$A$255,0)),"")="",N(IFERROR(INDEX(单位档案!$D$6:$D$35,MATCH($E1047,单位档案!$A$6:$A$35,0)),"")),IFERROR(INDEX(项目档案!$E$6:$E$255,MATCH($C1047,项目档案!$A$6:$A$255,0)),"")),IF($N1047="二级",IF(IFERROR(INDEX(项目档案!$G$6:$G$255,MATCH($C1047,项目档案!$A$6:$A$255,0)),"")="",N(IFERROR(INDEX(单位档案!$D$6:$D$35,MATCH($E1047,单位档案!$A$6:$A$35,0)),"")),IFERROR(INDEX(项目档案!$G$6:$G$255,MATCH($C1047,项目档案!$A$6:$A$255,0)),"")),N(IFERROR(INDEX(单位档案!$D$6:$D$35,MATCH($E1047,单位档案!$A$6:$A$35,0)),"")))))</f>
        <v/>
      </c>
      <c r="J1047" s="22"/>
      <c r="K1047" s="22"/>
      <c r="L1047" s="33" t="str">
        <f aca="false">IF($B1047="","",IF(NOT(ISNUMBER($B1047)),"日期格式不对",IF($C1047="","未选项目编号",IF(LEFT($M1047,1)="⚠","项目编号不存在",IF($D1047="","未选业务类型",IF($E1047="","未选开票/付款方",IF(ISNA(MATCH($E1047,单位档案!$A$6:$A$35,0)),"开票方不在单位档案",IF($F1047="","未选收票/收款方",IF(ISNA(MATCH($F1047,单位档案!$A$6:$A$35,0)),"收款方不在单位档案",IF(NOT(ISNUMBER($H1047)),"金额须为数字",IF(AND($D1047="销项开票",$N1047="—"),"链条待确认","√")))))))))))</f>
        <v/>
      </c>
      <c r="M1047" s="34" t="str">
        <f aca="false">IF($C1047="","",IFERROR(INDEX(项目档案!$B$6:$B$255,MATCH($C1047,项目档案!$A$6:$A$255,0)),"⚠项目编号不存在"))</f>
        <v/>
      </c>
      <c r="N1047" s="35" t="str">
        <f aca="false">IF($E1047="","",IF($E1047=IFERROR(INDEX(项目档案!$D$6:$D$255,MATCH($C1047,项目档案!$A$6:$A$255,0)),""),"一级",IF($E1047=IFERROR(INDEX(项目档案!$F$6:$F$255,MATCH($C1047,项目档案!$A$6:$A$255,0)),""),"二级",IF($E1047=IFERROR(INDEX(项目档案!$H$6:$H$255,MATCH($C1047,项目档案!$A$6:$A$255,0)),""),"我方","—"))))</f>
        <v/>
      </c>
      <c r="O1047" s="36" t="n">
        <f aca="false">IF($D1047&lt;&gt;"销项开票",0,ROUND(N($H1047)*N($I1047),2))</f>
        <v>0</v>
      </c>
      <c r="P1047" s="36" t="n">
        <f aca="false">IF($D1047&lt;&gt;"销项开票",0,ROUND(N($H1047)-$O1047,2))</f>
        <v>0</v>
      </c>
      <c r="Q1047" s="37" t="str">
        <f aca="false">IF($E1047="","",N(IFERROR(INDEX(单位档案!$E$6:$E$35,MATCH($E1047,单位档案!$A$6:$A$35,0)),"")))</f>
        <v/>
      </c>
      <c r="R1047" s="37" t="str">
        <f aca="false">IF($E1047="","",N(IFERROR(INDEX(单位档案!$F$6:$F$35,MATCH($E1047,单位档案!$A$6:$A$35,0)),"")))</f>
        <v/>
      </c>
      <c r="S1047" s="36" t="n">
        <f aca="false">IF(OR($D1047&lt;&gt;"销项开票",IFERROR(INDEX(单位档案!$G$6:$G$35,MATCH($E1047,单位档案!$A$6:$A$35,0)),"")&lt;&gt;"是",N($Q1047)=0),0,IF(IFERROR(INDEX(单位档案!$H$6:$H$35,MATCH($E1047,单位档案!$A$6:$A$35,0)),"")="税差法",ROUND(N($H1047)/(1+$Q1047)*$Q1047-IF(N($R1047)=0,0,$P1047/(1+$R1047)*$R1047),2),ROUND(N($H1047)/(1+$Q1047)*$Q1047,2)))</f>
        <v>0</v>
      </c>
      <c r="T1047" s="36" t="n">
        <f aca="false">ROUND($S1047*N(IFERROR(INDEX(单位档案!$J$6:$J$35,MATCH($E1047,单位档案!$A$6:$A$35,0)),"")),2)</f>
        <v>0</v>
      </c>
      <c r="U1047" s="36" t="n">
        <f aca="false">IF($D1047&lt;&gt;"销项开票",0,ROUND(N($H1047)*N(IFERROR(INDEX(单位档案!$K$6:$K$35,MATCH($E1047,单位档案!$A$6:$A$35,0)),"")),2))</f>
        <v>0</v>
      </c>
      <c r="V1047" s="36" t="n">
        <f aca="false">IF(OR($D1047&lt;&gt;"销项开票",N($Q1047)=0),0,ROUND(N($H1047)/(1+$Q1047)*N(IFERROR(INDEX(单位档案!$L$6:$L$35,MATCH($E1047,单位档案!$A$6:$A$35,0)),"")),2))</f>
        <v>0</v>
      </c>
      <c r="W1047" s="36" t="n">
        <f aca="false">ROUND($S1047+$T1047+$U1047+$V1047,2)</f>
        <v>0</v>
      </c>
      <c r="X1047" s="35" t="str">
        <f aca="false">IF(OR($D1047="挂靠代收",$D1047="我方收款"),COUNTIFS($D$5:$D1047,"挂靠代收")+COUNTIFS($D$5:$D1047,"我方收款"),"")</f>
        <v/>
      </c>
      <c r="Y1047" s="35"/>
      <c r="Z1047" s="21" t="s">
        <v>111</v>
      </c>
    </row>
    <row r="1048" customFormat="false" ht="15.75" hidden="false" customHeight="true" outlineLevel="0" collapsed="false">
      <c r="A1048" s="32" t="str">
        <f aca="false">IF($B1048="","",ROW()-4)</f>
        <v/>
      </c>
      <c r="B1048" s="26"/>
      <c r="C1048" s="24"/>
      <c r="D1048" s="21"/>
      <c r="E1048" s="21"/>
      <c r="F1048" s="21"/>
      <c r="G1048" s="21"/>
      <c r="H1048" s="27"/>
      <c r="I1048" s="23" t="str">
        <f aca="false">IF($D1048&lt;&gt;"销项开票","",IF($N1048="一级",IF(IFERROR(INDEX(项目档案!$E$6:$E$255,MATCH($C1048,项目档案!$A$6:$A$255,0)),"")="",N(IFERROR(INDEX(单位档案!$D$6:$D$35,MATCH($E1048,单位档案!$A$6:$A$35,0)),"")),IFERROR(INDEX(项目档案!$E$6:$E$255,MATCH($C1048,项目档案!$A$6:$A$255,0)),"")),IF($N1048="二级",IF(IFERROR(INDEX(项目档案!$G$6:$G$255,MATCH($C1048,项目档案!$A$6:$A$255,0)),"")="",N(IFERROR(INDEX(单位档案!$D$6:$D$35,MATCH($E1048,单位档案!$A$6:$A$35,0)),"")),IFERROR(INDEX(项目档案!$G$6:$G$255,MATCH($C1048,项目档案!$A$6:$A$255,0)),"")),N(IFERROR(INDEX(单位档案!$D$6:$D$35,MATCH($E1048,单位档案!$A$6:$A$35,0)),"")))))</f>
        <v/>
      </c>
      <c r="J1048" s="22"/>
      <c r="K1048" s="22"/>
      <c r="L1048" s="33" t="str">
        <f aca="false">IF($B1048="","",IF(NOT(ISNUMBER($B1048)),"日期格式不对",IF($C1048="","未选项目编号",IF(LEFT($M1048,1)="⚠","项目编号不存在",IF($D1048="","未选业务类型",IF($E1048="","未选开票/付款方",IF(ISNA(MATCH($E1048,单位档案!$A$6:$A$35,0)),"开票方不在单位档案",IF($F1048="","未选收票/收款方",IF(ISNA(MATCH($F1048,单位档案!$A$6:$A$35,0)),"收款方不在单位档案",IF(NOT(ISNUMBER($H1048)),"金额须为数字",IF(AND($D1048="销项开票",$N1048="—"),"链条待确认","√")))))))))))</f>
        <v/>
      </c>
      <c r="M1048" s="34" t="str">
        <f aca="false">IF($C1048="","",IFERROR(INDEX(项目档案!$B$6:$B$255,MATCH($C1048,项目档案!$A$6:$A$255,0)),"⚠项目编号不存在"))</f>
        <v/>
      </c>
      <c r="N1048" s="35" t="str">
        <f aca="false">IF($E1048="","",IF($E1048=IFERROR(INDEX(项目档案!$D$6:$D$255,MATCH($C1048,项目档案!$A$6:$A$255,0)),""),"一级",IF($E1048=IFERROR(INDEX(项目档案!$F$6:$F$255,MATCH($C1048,项目档案!$A$6:$A$255,0)),""),"二级",IF($E1048=IFERROR(INDEX(项目档案!$H$6:$H$255,MATCH($C1048,项目档案!$A$6:$A$255,0)),""),"我方","—"))))</f>
        <v/>
      </c>
      <c r="O1048" s="36" t="n">
        <f aca="false">IF($D1048&lt;&gt;"销项开票",0,ROUND(N($H1048)*N($I1048),2))</f>
        <v>0</v>
      </c>
      <c r="P1048" s="36" t="n">
        <f aca="false">IF($D1048&lt;&gt;"销项开票",0,ROUND(N($H1048)-$O1048,2))</f>
        <v>0</v>
      </c>
      <c r="Q1048" s="37" t="str">
        <f aca="false">IF($E1048="","",N(IFERROR(INDEX(单位档案!$E$6:$E$35,MATCH($E1048,单位档案!$A$6:$A$35,0)),"")))</f>
        <v/>
      </c>
      <c r="R1048" s="37" t="str">
        <f aca="false">IF($E1048="","",N(IFERROR(INDEX(单位档案!$F$6:$F$35,MATCH($E1048,单位档案!$A$6:$A$35,0)),"")))</f>
        <v/>
      </c>
      <c r="S1048" s="36" t="n">
        <f aca="false">IF(OR($D1048&lt;&gt;"销项开票",IFERROR(INDEX(单位档案!$G$6:$G$35,MATCH($E1048,单位档案!$A$6:$A$35,0)),"")&lt;&gt;"是",N($Q1048)=0),0,IF(IFERROR(INDEX(单位档案!$H$6:$H$35,MATCH($E1048,单位档案!$A$6:$A$35,0)),"")="税差法",ROUND(N($H1048)/(1+$Q1048)*$Q1048-IF(N($R1048)=0,0,$P1048/(1+$R1048)*$R1048),2),ROUND(N($H1048)/(1+$Q1048)*$Q1048,2)))</f>
        <v>0</v>
      </c>
      <c r="T1048" s="36" t="n">
        <f aca="false">ROUND($S1048*N(IFERROR(INDEX(单位档案!$J$6:$J$35,MATCH($E1048,单位档案!$A$6:$A$35,0)),"")),2)</f>
        <v>0</v>
      </c>
      <c r="U1048" s="36" t="n">
        <f aca="false">IF($D1048&lt;&gt;"销项开票",0,ROUND(N($H1048)*N(IFERROR(INDEX(单位档案!$K$6:$K$35,MATCH($E1048,单位档案!$A$6:$A$35,0)),"")),2))</f>
        <v>0</v>
      </c>
      <c r="V1048" s="36" t="n">
        <f aca="false">IF(OR($D1048&lt;&gt;"销项开票",N($Q1048)=0),0,ROUND(N($H1048)/(1+$Q1048)*N(IFERROR(INDEX(单位档案!$L$6:$L$35,MATCH($E1048,单位档案!$A$6:$A$35,0)),"")),2))</f>
        <v>0</v>
      </c>
      <c r="W1048" s="36" t="n">
        <f aca="false">ROUND($S1048+$T1048+$U1048+$V1048,2)</f>
        <v>0</v>
      </c>
      <c r="X1048" s="35" t="str">
        <f aca="false">IF(OR($D1048="挂靠代收",$D1048="我方收款"),COUNTIFS($D$5:$D1048,"挂靠代收")+COUNTIFS($D$5:$D1048,"我方收款"),"")</f>
        <v/>
      </c>
      <c r="Y1048" s="35"/>
      <c r="Z1048" s="21" t="s">
        <v>111</v>
      </c>
    </row>
    <row r="1049" customFormat="false" ht="15.75" hidden="false" customHeight="true" outlineLevel="0" collapsed="false">
      <c r="A1049" s="32" t="str">
        <f aca="false">IF($B1049="","",ROW()-4)</f>
        <v/>
      </c>
      <c r="B1049" s="26"/>
      <c r="C1049" s="24"/>
      <c r="D1049" s="21"/>
      <c r="E1049" s="21"/>
      <c r="F1049" s="21"/>
      <c r="G1049" s="21"/>
      <c r="H1049" s="27"/>
      <c r="I1049" s="23" t="str">
        <f aca="false">IF($D1049&lt;&gt;"销项开票","",IF($N1049="一级",IF(IFERROR(INDEX(项目档案!$E$6:$E$255,MATCH($C1049,项目档案!$A$6:$A$255,0)),"")="",N(IFERROR(INDEX(单位档案!$D$6:$D$35,MATCH($E1049,单位档案!$A$6:$A$35,0)),"")),IFERROR(INDEX(项目档案!$E$6:$E$255,MATCH($C1049,项目档案!$A$6:$A$255,0)),"")),IF($N1049="二级",IF(IFERROR(INDEX(项目档案!$G$6:$G$255,MATCH($C1049,项目档案!$A$6:$A$255,0)),"")="",N(IFERROR(INDEX(单位档案!$D$6:$D$35,MATCH($E1049,单位档案!$A$6:$A$35,0)),"")),IFERROR(INDEX(项目档案!$G$6:$G$255,MATCH($C1049,项目档案!$A$6:$A$255,0)),"")),N(IFERROR(INDEX(单位档案!$D$6:$D$35,MATCH($E1049,单位档案!$A$6:$A$35,0)),"")))))</f>
        <v/>
      </c>
      <c r="J1049" s="22"/>
      <c r="K1049" s="22"/>
      <c r="L1049" s="33" t="str">
        <f aca="false">IF($B1049="","",IF(NOT(ISNUMBER($B1049)),"日期格式不对",IF($C1049="","未选项目编号",IF(LEFT($M1049,1)="⚠","项目编号不存在",IF($D1049="","未选业务类型",IF($E1049="","未选开票/付款方",IF(ISNA(MATCH($E1049,单位档案!$A$6:$A$35,0)),"开票方不在单位档案",IF($F1049="","未选收票/收款方",IF(ISNA(MATCH($F1049,单位档案!$A$6:$A$35,0)),"收款方不在单位档案",IF(NOT(ISNUMBER($H1049)),"金额须为数字",IF(AND($D1049="销项开票",$N1049="—"),"链条待确认","√")))))))))))</f>
        <v/>
      </c>
      <c r="M1049" s="34" t="str">
        <f aca="false">IF($C1049="","",IFERROR(INDEX(项目档案!$B$6:$B$255,MATCH($C1049,项目档案!$A$6:$A$255,0)),"⚠项目编号不存在"))</f>
        <v/>
      </c>
      <c r="N1049" s="35" t="str">
        <f aca="false">IF($E1049="","",IF($E1049=IFERROR(INDEX(项目档案!$D$6:$D$255,MATCH($C1049,项目档案!$A$6:$A$255,0)),""),"一级",IF($E1049=IFERROR(INDEX(项目档案!$F$6:$F$255,MATCH($C1049,项目档案!$A$6:$A$255,0)),""),"二级",IF($E1049=IFERROR(INDEX(项目档案!$H$6:$H$255,MATCH($C1049,项目档案!$A$6:$A$255,0)),""),"我方","—"))))</f>
        <v/>
      </c>
      <c r="O1049" s="36" t="n">
        <f aca="false">IF($D1049&lt;&gt;"销项开票",0,ROUND(N($H1049)*N($I1049),2))</f>
        <v>0</v>
      </c>
      <c r="P1049" s="36" t="n">
        <f aca="false">IF($D1049&lt;&gt;"销项开票",0,ROUND(N($H1049)-$O1049,2))</f>
        <v>0</v>
      </c>
      <c r="Q1049" s="37" t="str">
        <f aca="false">IF($E1049="","",N(IFERROR(INDEX(单位档案!$E$6:$E$35,MATCH($E1049,单位档案!$A$6:$A$35,0)),"")))</f>
        <v/>
      </c>
      <c r="R1049" s="37" t="str">
        <f aca="false">IF($E1049="","",N(IFERROR(INDEX(单位档案!$F$6:$F$35,MATCH($E1049,单位档案!$A$6:$A$35,0)),"")))</f>
        <v/>
      </c>
      <c r="S1049" s="36" t="n">
        <f aca="false">IF(OR($D1049&lt;&gt;"销项开票",IFERROR(INDEX(单位档案!$G$6:$G$35,MATCH($E1049,单位档案!$A$6:$A$35,0)),"")&lt;&gt;"是",N($Q1049)=0),0,IF(IFERROR(INDEX(单位档案!$H$6:$H$35,MATCH($E1049,单位档案!$A$6:$A$35,0)),"")="税差法",ROUND(N($H1049)/(1+$Q1049)*$Q1049-IF(N($R1049)=0,0,$P1049/(1+$R1049)*$R1049),2),ROUND(N($H1049)/(1+$Q1049)*$Q1049,2)))</f>
        <v>0</v>
      </c>
      <c r="T1049" s="36" t="n">
        <f aca="false">ROUND($S1049*N(IFERROR(INDEX(单位档案!$J$6:$J$35,MATCH($E1049,单位档案!$A$6:$A$35,0)),"")),2)</f>
        <v>0</v>
      </c>
      <c r="U1049" s="36" t="n">
        <f aca="false">IF($D1049&lt;&gt;"销项开票",0,ROUND(N($H1049)*N(IFERROR(INDEX(单位档案!$K$6:$K$35,MATCH($E1049,单位档案!$A$6:$A$35,0)),"")),2))</f>
        <v>0</v>
      </c>
      <c r="V1049" s="36" t="n">
        <f aca="false">IF(OR($D1049&lt;&gt;"销项开票",N($Q1049)=0),0,ROUND(N($H1049)/(1+$Q1049)*N(IFERROR(INDEX(单位档案!$L$6:$L$35,MATCH($E1049,单位档案!$A$6:$A$35,0)),"")),2))</f>
        <v>0</v>
      </c>
      <c r="W1049" s="36" t="n">
        <f aca="false">ROUND($S1049+$T1049+$U1049+$V1049,2)</f>
        <v>0</v>
      </c>
      <c r="X1049" s="35" t="str">
        <f aca="false">IF(OR($D1049="挂靠代收",$D1049="我方收款"),COUNTIFS($D$5:$D1049,"挂靠代收")+COUNTIFS($D$5:$D1049,"我方收款"),"")</f>
        <v/>
      </c>
      <c r="Y1049" s="35"/>
      <c r="Z1049" s="21" t="s">
        <v>111</v>
      </c>
    </row>
    <row r="1050" customFormat="false" ht="15.75" hidden="false" customHeight="true" outlineLevel="0" collapsed="false">
      <c r="A1050" s="32" t="str">
        <f aca="false">IF($B1050="","",ROW()-4)</f>
        <v/>
      </c>
      <c r="B1050" s="26"/>
      <c r="C1050" s="24"/>
      <c r="D1050" s="21"/>
      <c r="E1050" s="21"/>
      <c r="F1050" s="21"/>
      <c r="G1050" s="21"/>
      <c r="H1050" s="27"/>
      <c r="I1050" s="23" t="str">
        <f aca="false">IF($D1050&lt;&gt;"销项开票","",IF($N1050="一级",IF(IFERROR(INDEX(项目档案!$E$6:$E$255,MATCH($C1050,项目档案!$A$6:$A$255,0)),"")="",N(IFERROR(INDEX(单位档案!$D$6:$D$35,MATCH($E1050,单位档案!$A$6:$A$35,0)),"")),IFERROR(INDEX(项目档案!$E$6:$E$255,MATCH($C1050,项目档案!$A$6:$A$255,0)),"")),IF($N1050="二级",IF(IFERROR(INDEX(项目档案!$G$6:$G$255,MATCH($C1050,项目档案!$A$6:$A$255,0)),"")="",N(IFERROR(INDEX(单位档案!$D$6:$D$35,MATCH($E1050,单位档案!$A$6:$A$35,0)),"")),IFERROR(INDEX(项目档案!$G$6:$G$255,MATCH($C1050,项目档案!$A$6:$A$255,0)),"")),N(IFERROR(INDEX(单位档案!$D$6:$D$35,MATCH($E1050,单位档案!$A$6:$A$35,0)),"")))))</f>
        <v/>
      </c>
      <c r="J1050" s="22"/>
      <c r="K1050" s="22"/>
      <c r="L1050" s="33" t="str">
        <f aca="false">IF($B1050="","",IF(NOT(ISNUMBER($B1050)),"日期格式不对",IF($C1050="","未选项目编号",IF(LEFT($M1050,1)="⚠","项目编号不存在",IF($D1050="","未选业务类型",IF($E1050="","未选开票/付款方",IF(ISNA(MATCH($E1050,单位档案!$A$6:$A$35,0)),"开票方不在单位档案",IF($F1050="","未选收票/收款方",IF(ISNA(MATCH($F1050,单位档案!$A$6:$A$35,0)),"收款方不在单位档案",IF(NOT(ISNUMBER($H1050)),"金额须为数字",IF(AND($D1050="销项开票",$N1050="—"),"链条待确认","√")))))))))))</f>
        <v/>
      </c>
      <c r="M1050" s="34" t="str">
        <f aca="false">IF($C1050="","",IFERROR(INDEX(项目档案!$B$6:$B$255,MATCH($C1050,项目档案!$A$6:$A$255,0)),"⚠项目编号不存在"))</f>
        <v/>
      </c>
      <c r="N1050" s="35" t="str">
        <f aca="false">IF($E1050="","",IF($E1050=IFERROR(INDEX(项目档案!$D$6:$D$255,MATCH($C1050,项目档案!$A$6:$A$255,0)),""),"一级",IF($E1050=IFERROR(INDEX(项目档案!$F$6:$F$255,MATCH($C1050,项目档案!$A$6:$A$255,0)),""),"二级",IF($E1050=IFERROR(INDEX(项目档案!$H$6:$H$255,MATCH($C1050,项目档案!$A$6:$A$255,0)),""),"我方","—"))))</f>
        <v/>
      </c>
      <c r="O1050" s="36" t="n">
        <f aca="false">IF($D1050&lt;&gt;"销项开票",0,ROUND(N($H1050)*N($I1050),2))</f>
        <v>0</v>
      </c>
      <c r="P1050" s="36" t="n">
        <f aca="false">IF($D1050&lt;&gt;"销项开票",0,ROUND(N($H1050)-$O1050,2))</f>
        <v>0</v>
      </c>
      <c r="Q1050" s="37" t="str">
        <f aca="false">IF($E1050="","",N(IFERROR(INDEX(单位档案!$E$6:$E$35,MATCH($E1050,单位档案!$A$6:$A$35,0)),"")))</f>
        <v/>
      </c>
      <c r="R1050" s="37" t="str">
        <f aca="false">IF($E1050="","",N(IFERROR(INDEX(单位档案!$F$6:$F$35,MATCH($E1050,单位档案!$A$6:$A$35,0)),"")))</f>
        <v/>
      </c>
      <c r="S1050" s="36" t="n">
        <f aca="false">IF(OR($D1050&lt;&gt;"销项开票",IFERROR(INDEX(单位档案!$G$6:$G$35,MATCH($E1050,单位档案!$A$6:$A$35,0)),"")&lt;&gt;"是",N($Q1050)=0),0,IF(IFERROR(INDEX(单位档案!$H$6:$H$35,MATCH($E1050,单位档案!$A$6:$A$35,0)),"")="税差法",ROUND(N($H1050)/(1+$Q1050)*$Q1050-IF(N($R1050)=0,0,$P1050/(1+$R1050)*$R1050),2),ROUND(N($H1050)/(1+$Q1050)*$Q1050,2)))</f>
        <v>0</v>
      </c>
      <c r="T1050" s="36" t="n">
        <f aca="false">ROUND($S1050*N(IFERROR(INDEX(单位档案!$J$6:$J$35,MATCH($E1050,单位档案!$A$6:$A$35,0)),"")),2)</f>
        <v>0</v>
      </c>
      <c r="U1050" s="36" t="n">
        <f aca="false">IF($D1050&lt;&gt;"销项开票",0,ROUND(N($H1050)*N(IFERROR(INDEX(单位档案!$K$6:$K$35,MATCH($E1050,单位档案!$A$6:$A$35,0)),"")),2))</f>
        <v>0</v>
      </c>
      <c r="V1050" s="36" t="n">
        <f aca="false">IF(OR($D1050&lt;&gt;"销项开票",N($Q1050)=0),0,ROUND(N($H1050)/(1+$Q1050)*N(IFERROR(INDEX(单位档案!$L$6:$L$35,MATCH($E1050,单位档案!$A$6:$A$35,0)),"")),2))</f>
        <v>0</v>
      </c>
      <c r="W1050" s="36" t="n">
        <f aca="false">ROUND($S1050+$T1050+$U1050+$V1050,2)</f>
        <v>0</v>
      </c>
      <c r="X1050" s="35" t="str">
        <f aca="false">IF(OR($D1050="挂靠代收",$D1050="我方收款"),COUNTIFS($D$5:$D1050,"挂靠代收")+COUNTIFS($D$5:$D1050,"我方收款"),"")</f>
        <v/>
      </c>
      <c r="Y1050" s="35"/>
      <c r="Z1050" s="21" t="s">
        <v>111</v>
      </c>
    </row>
    <row r="1051" customFormat="false" ht="15.75" hidden="false" customHeight="true" outlineLevel="0" collapsed="false">
      <c r="A1051" s="32" t="str">
        <f aca="false">IF($B1051="","",ROW()-4)</f>
        <v/>
      </c>
      <c r="B1051" s="26"/>
      <c r="C1051" s="24"/>
      <c r="D1051" s="21"/>
      <c r="E1051" s="21"/>
      <c r="F1051" s="21"/>
      <c r="G1051" s="21"/>
      <c r="H1051" s="27"/>
      <c r="I1051" s="23" t="str">
        <f aca="false">IF($D1051&lt;&gt;"销项开票","",IF($N1051="一级",IF(IFERROR(INDEX(项目档案!$E$6:$E$255,MATCH($C1051,项目档案!$A$6:$A$255,0)),"")="",N(IFERROR(INDEX(单位档案!$D$6:$D$35,MATCH($E1051,单位档案!$A$6:$A$35,0)),"")),IFERROR(INDEX(项目档案!$E$6:$E$255,MATCH($C1051,项目档案!$A$6:$A$255,0)),"")),IF($N1051="二级",IF(IFERROR(INDEX(项目档案!$G$6:$G$255,MATCH($C1051,项目档案!$A$6:$A$255,0)),"")="",N(IFERROR(INDEX(单位档案!$D$6:$D$35,MATCH($E1051,单位档案!$A$6:$A$35,0)),"")),IFERROR(INDEX(项目档案!$G$6:$G$255,MATCH($C1051,项目档案!$A$6:$A$255,0)),"")),N(IFERROR(INDEX(单位档案!$D$6:$D$35,MATCH($E1051,单位档案!$A$6:$A$35,0)),"")))))</f>
        <v/>
      </c>
      <c r="J1051" s="22"/>
      <c r="K1051" s="22"/>
      <c r="L1051" s="33" t="str">
        <f aca="false">IF($B1051="","",IF(NOT(ISNUMBER($B1051)),"日期格式不对",IF($C1051="","未选项目编号",IF(LEFT($M1051,1)="⚠","项目编号不存在",IF($D1051="","未选业务类型",IF($E1051="","未选开票/付款方",IF(ISNA(MATCH($E1051,单位档案!$A$6:$A$35,0)),"开票方不在单位档案",IF($F1051="","未选收票/收款方",IF(ISNA(MATCH($F1051,单位档案!$A$6:$A$35,0)),"收款方不在单位档案",IF(NOT(ISNUMBER($H1051)),"金额须为数字",IF(AND($D1051="销项开票",$N1051="—"),"链条待确认","√")))))))))))</f>
        <v/>
      </c>
      <c r="M1051" s="34" t="str">
        <f aca="false">IF($C1051="","",IFERROR(INDEX(项目档案!$B$6:$B$255,MATCH($C1051,项目档案!$A$6:$A$255,0)),"⚠项目编号不存在"))</f>
        <v/>
      </c>
      <c r="N1051" s="35" t="str">
        <f aca="false">IF($E1051="","",IF($E1051=IFERROR(INDEX(项目档案!$D$6:$D$255,MATCH($C1051,项目档案!$A$6:$A$255,0)),""),"一级",IF($E1051=IFERROR(INDEX(项目档案!$F$6:$F$255,MATCH($C1051,项目档案!$A$6:$A$255,0)),""),"二级",IF($E1051=IFERROR(INDEX(项目档案!$H$6:$H$255,MATCH($C1051,项目档案!$A$6:$A$255,0)),""),"我方","—"))))</f>
        <v/>
      </c>
      <c r="O1051" s="36" t="n">
        <f aca="false">IF($D1051&lt;&gt;"销项开票",0,ROUND(N($H1051)*N($I1051),2))</f>
        <v>0</v>
      </c>
      <c r="P1051" s="36" t="n">
        <f aca="false">IF($D1051&lt;&gt;"销项开票",0,ROUND(N($H1051)-$O1051,2))</f>
        <v>0</v>
      </c>
      <c r="Q1051" s="37" t="str">
        <f aca="false">IF($E1051="","",N(IFERROR(INDEX(单位档案!$E$6:$E$35,MATCH($E1051,单位档案!$A$6:$A$35,0)),"")))</f>
        <v/>
      </c>
      <c r="R1051" s="37" t="str">
        <f aca="false">IF($E1051="","",N(IFERROR(INDEX(单位档案!$F$6:$F$35,MATCH($E1051,单位档案!$A$6:$A$35,0)),"")))</f>
        <v/>
      </c>
      <c r="S1051" s="36" t="n">
        <f aca="false">IF(OR($D1051&lt;&gt;"销项开票",IFERROR(INDEX(单位档案!$G$6:$G$35,MATCH($E1051,单位档案!$A$6:$A$35,0)),"")&lt;&gt;"是",N($Q1051)=0),0,IF(IFERROR(INDEX(单位档案!$H$6:$H$35,MATCH($E1051,单位档案!$A$6:$A$35,0)),"")="税差法",ROUND(N($H1051)/(1+$Q1051)*$Q1051-IF(N($R1051)=0,0,$P1051/(1+$R1051)*$R1051),2),ROUND(N($H1051)/(1+$Q1051)*$Q1051,2)))</f>
        <v>0</v>
      </c>
      <c r="T1051" s="36" t="n">
        <f aca="false">ROUND($S1051*N(IFERROR(INDEX(单位档案!$J$6:$J$35,MATCH($E1051,单位档案!$A$6:$A$35,0)),"")),2)</f>
        <v>0</v>
      </c>
      <c r="U1051" s="36" t="n">
        <f aca="false">IF($D1051&lt;&gt;"销项开票",0,ROUND(N($H1051)*N(IFERROR(INDEX(单位档案!$K$6:$K$35,MATCH($E1051,单位档案!$A$6:$A$35,0)),"")),2))</f>
        <v>0</v>
      </c>
      <c r="V1051" s="36" t="n">
        <f aca="false">IF(OR($D1051&lt;&gt;"销项开票",N($Q1051)=0),0,ROUND(N($H1051)/(1+$Q1051)*N(IFERROR(INDEX(单位档案!$L$6:$L$35,MATCH($E1051,单位档案!$A$6:$A$35,0)),"")),2))</f>
        <v>0</v>
      </c>
      <c r="W1051" s="36" t="n">
        <f aca="false">ROUND($S1051+$T1051+$U1051+$V1051,2)</f>
        <v>0</v>
      </c>
      <c r="X1051" s="35" t="str">
        <f aca="false">IF(OR($D1051="挂靠代收",$D1051="我方收款"),COUNTIFS($D$5:$D1051,"挂靠代收")+COUNTIFS($D$5:$D1051,"我方收款"),"")</f>
        <v/>
      </c>
      <c r="Y1051" s="35"/>
      <c r="Z1051" s="21" t="s">
        <v>111</v>
      </c>
    </row>
    <row r="1052" customFormat="false" ht="15.75" hidden="false" customHeight="true" outlineLevel="0" collapsed="false">
      <c r="A1052" s="32" t="str">
        <f aca="false">IF($B1052="","",ROW()-4)</f>
        <v/>
      </c>
      <c r="B1052" s="26"/>
      <c r="C1052" s="24"/>
      <c r="D1052" s="21"/>
      <c r="E1052" s="21"/>
      <c r="F1052" s="21"/>
      <c r="G1052" s="21"/>
      <c r="H1052" s="27"/>
      <c r="I1052" s="23" t="str">
        <f aca="false">IF($D1052&lt;&gt;"销项开票","",IF($N1052="一级",IF(IFERROR(INDEX(项目档案!$E$6:$E$255,MATCH($C1052,项目档案!$A$6:$A$255,0)),"")="",N(IFERROR(INDEX(单位档案!$D$6:$D$35,MATCH($E1052,单位档案!$A$6:$A$35,0)),"")),IFERROR(INDEX(项目档案!$E$6:$E$255,MATCH($C1052,项目档案!$A$6:$A$255,0)),"")),IF($N1052="二级",IF(IFERROR(INDEX(项目档案!$G$6:$G$255,MATCH($C1052,项目档案!$A$6:$A$255,0)),"")="",N(IFERROR(INDEX(单位档案!$D$6:$D$35,MATCH($E1052,单位档案!$A$6:$A$35,0)),"")),IFERROR(INDEX(项目档案!$G$6:$G$255,MATCH($C1052,项目档案!$A$6:$A$255,0)),"")),N(IFERROR(INDEX(单位档案!$D$6:$D$35,MATCH($E1052,单位档案!$A$6:$A$35,0)),"")))))</f>
        <v/>
      </c>
      <c r="J1052" s="22"/>
      <c r="K1052" s="22"/>
      <c r="L1052" s="33" t="str">
        <f aca="false">IF($B1052="","",IF(NOT(ISNUMBER($B1052)),"日期格式不对",IF($C1052="","未选项目编号",IF(LEFT($M1052,1)="⚠","项目编号不存在",IF($D1052="","未选业务类型",IF($E1052="","未选开票/付款方",IF(ISNA(MATCH($E1052,单位档案!$A$6:$A$35,0)),"开票方不在单位档案",IF($F1052="","未选收票/收款方",IF(ISNA(MATCH($F1052,单位档案!$A$6:$A$35,0)),"收款方不在单位档案",IF(NOT(ISNUMBER($H1052)),"金额须为数字",IF(AND($D1052="销项开票",$N1052="—"),"链条待确认","√")))))))))))</f>
        <v/>
      </c>
      <c r="M1052" s="34" t="str">
        <f aca="false">IF($C1052="","",IFERROR(INDEX(项目档案!$B$6:$B$255,MATCH($C1052,项目档案!$A$6:$A$255,0)),"⚠项目编号不存在"))</f>
        <v/>
      </c>
      <c r="N1052" s="35" t="str">
        <f aca="false">IF($E1052="","",IF($E1052=IFERROR(INDEX(项目档案!$D$6:$D$255,MATCH($C1052,项目档案!$A$6:$A$255,0)),""),"一级",IF($E1052=IFERROR(INDEX(项目档案!$F$6:$F$255,MATCH($C1052,项目档案!$A$6:$A$255,0)),""),"二级",IF($E1052=IFERROR(INDEX(项目档案!$H$6:$H$255,MATCH($C1052,项目档案!$A$6:$A$255,0)),""),"我方","—"))))</f>
        <v/>
      </c>
      <c r="O1052" s="36" t="n">
        <f aca="false">IF($D1052&lt;&gt;"销项开票",0,ROUND(N($H1052)*N($I1052),2))</f>
        <v>0</v>
      </c>
      <c r="P1052" s="36" t="n">
        <f aca="false">IF($D1052&lt;&gt;"销项开票",0,ROUND(N($H1052)-$O1052,2))</f>
        <v>0</v>
      </c>
      <c r="Q1052" s="37" t="str">
        <f aca="false">IF($E1052="","",N(IFERROR(INDEX(单位档案!$E$6:$E$35,MATCH($E1052,单位档案!$A$6:$A$35,0)),"")))</f>
        <v/>
      </c>
      <c r="R1052" s="37" t="str">
        <f aca="false">IF($E1052="","",N(IFERROR(INDEX(单位档案!$F$6:$F$35,MATCH($E1052,单位档案!$A$6:$A$35,0)),"")))</f>
        <v/>
      </c>
      <c r="S1052" s="36" t="n">
        <f aca="false">IF(OR($D1052&lt;&gt;"销项开票",IFERROR(INDEX(单位档案!$G$6:$G$35,MATCH($E1052,单位档案!$A$6:$A$35,0)),"")&lt;&gt;"是",N($Q1052)=0),0,IF(IFERROR(INDEX(单位档案!$H$6:$H$35,MATCH($E1052,单位档案!$A$6:$A$35,0)),"")="税差法",ROUND(N($H1052)/(1+$Q1052)*$Q1052-IF(N($R1052)=0,0,$P1052/(1+$R1052)*$R1052),2),ROUND(N($H1052)/(1+$Q1052)*$Q1052,2)))</f>
        <v>0</v>
      </c>
      <c r="T1052" s="36" t="n">
        <f aca="false">ROUND($S1052*N(IFERROR(INDEX(单位档案!$J$6:$J$35,MATCH($E1052,单位档案!$A$6:$A$35,0)),"")),2)</f>
        <v>0</v>
      </c>
      <c r="U1052" s="36" t="n">
        <f aca="false">IF($D1052&lt;&gt;"销项开票",0,ROUND(N($H1052)*N(IFERROR(INDEX(单位档案!$K$6:$K$35,MATCH($E1052,单位档案!$A$6:$A$35,0)),"")),2))</f>
        <v>0</v>
      </c>
      <c r="V1052" s="36" t="n">
        <f aca="false">IF(OR($D1052&lt;&gt;"销项开票",N($Q1052)=0),0,ROUND(N($H1052)/(1+$Q1052)*N(IFERROR(INDEX(单位档案!$L$6:$L$35,MATCH($E1052,单位档案!$A$6:$A$35,0)),"")),2))</f>
        <v>0</v>
      </c>
      <c r="W1052" s="36" t="n">
        <f aca="false">ROUND($S1052+$T1052+$U1052+$V1052,2)</f>
        <v>0</v>
      </c>
      <c r="X1052" s="35" t="str">
        <f aca="false">IF(OR($D1052="挂靠代收",$D1052="我方收款"),COUNTIFS($D$5:$D1052,"挂靠代收")+COUNTIFS($D$5:$D1052,"我方收款"),"")</f>
        <v/>
      </c>
      <c r="Y1052" s="35"/>
      <c r="Z1052" s="21" t="s">
        <v>111</v>
      </c>
    </row>
    <row r="1053" customFormat="false" ht="15.75" hidden="false" customHeight="true" outlineLevel="0" collapsed="false">
      <c r="A1053" s="32" t="str">
        <f aca="false">IF($B1053="","",ROW()-4)</f>
        <v/>
      </c>
      <c r="B1053" s="26"/>
      <c r="C1053" s="24"/>
      <c r="D1053" s="21"/>
      <c r="E1053" s="21"/>
      <c r="F1053" s="21"/>
      <c r="G1053" s="21"/>
      <c r="H1053" s="27"/>
      <c r="I1053" s="23" t="str">
        <f aca="false">IF($D1053&lt;&gt;"销项开票","",IF($N1053="一级",IF(IFERROR(INDEX(项目档案!$E$6:$E$255,MATCH($C1053,项目档案!$A$6:$A$255,0)),"")="",N(IFERROR(INDEX(单位档案!$D$6:$D$35,MATCH($E1053,单位档案!$A$6:$A$35,0)),"")),IFERROR(INDEX(项目档案!$E$6:$E$255,MATCH($C1053,项目档案!$A$6:$A$255,0)),"")),IF($N1053="二级",IF(IFERROR(INDEX(项目档案!$G$6:$G$255,MATCH($C1053,项目档案!$A$6:$A$255,0)),"")="",N(IFERROR(INDEX(单位档案!$D$6:$D$35,MATCH($E1053,单位档案!$A$6:$A$35,0)),"")),IFERROR(INDEX(项目档案!$G$6:$G$255,MATCH($C1053,项目档案!$A$6:$A$255,0)),"")),N(IFERROR(INDEX(单位档案!$D$6:$D$35,MATCH($E1053,单位档案!$A$6:$A$35,0)),"")))))</f>
        <v/>
      </c>
      <c r="J1053" s="22"/>
      <c r="K1053" s="22"/>
      <c r="L1053" s="33" t="str">
        <f aca="false">IF($B1053="","",IF(NOT(ISNUMBER($B1053)),"日期格式不对",IF($C1053="","未选项目编号",IF(LEFT($M1053,1)="⚠","项目编号不存在",IF($D1053="","未选业务类型",IF($E1053="","未选开票/付款方",IF(ISNA(MATCH($E1053,单位档案!$A$6:$A$35,0)),"开票方不在单位档案",IF($F1053="","未选收票/收款方",IF(ISNA(MATCH($F1053,单位档案!$A$6:$A$35,0)),"收款方不在单位档案",IF(NOT(ISNUMBER($H1053)),"金额须为数字",IF(AND($D1053="销项开票",$N1053="—"),"链条待确认","√")))))))))))</f>
        <v/>
      </c>
      <c r="M1053" s="34" t="str">
        <f aca="false">IF($C1053="","",IFERROR(INDEX(项目档案!$B$6:$B$255,MATCH($C1053,项目档案!$A$6:$A$255,0)),"⚠项目编号不存在"))</f>
        <v/>
      </c>
      <c r="N1053" s="35" t="str">
        <f aca="false">IF($E1053="","",IF($E1053=IFERROR(INDEX(项目档案!$D$6:$D$255,MATCH($C1053,项目档案!$A$6:$A$255,0)),""),"一级",IF($E1053=IFERROR(INDEX(项目档案!$F$6:$F$255,MATCH($C1053,项目档案!$A$6:$A$255,0)),""),"二级",IF($E1053=IFERROR(INDEX(项目档案!$H$6:$H$255,MATCH($C1053,项目档案!$A$6:$A$255,0)),""),"我方","—"))))</f>
        <v/>
      </c>
      <c r="O1053" s="36" t="n">
        <f aca="false">IF($D1053&lt;&gt;"销项开票",0,ROUND(N($H1053)*N($I1053),2))</f>
        <v>0</v>
      </c>
      <c r="P1053" s="36" t="n">
        <f aca="false">IF($D1053&lt;&gt;"销项开票",0,ROUND(N($H1053)-$O1053,2))</f>
        <v>0</v>
      </c>
      <c r="Q1053" s="37" t="str">
        <f aca="false">IF($E1053="","",N(IFERROR(INDEX(单位档案!$E$6:$E$35,MATCH($E1053,单位档案!$A$6:$A$35,0)),"")))</f>
        <v/>
      </c>
      <c r="R1053" s="37" t="str">
        <f aca="false">IF($E1053="","",N(IFERROR(INDEX(单位档案!$F$6:$F$35,MATCH($E1053,单位档案!$A$6:$A$35,0)),"")))</f>
        <v/>
      </c>
      <c r="S1053" s="36" t="n">
        <f aca="false">IF(OR($D1053&lt;&gt;"销项开票",IFERROR(INDEX(单位档案!$G$6:$G$35,MATCH($E1053,单位档案!$A$6:$A$35,0)),"")&lt;&gt;"是",N($Q1053)=0),0,IF(IFERROR(INDEX(单位档案!$H$6:$H$35,MATCH($E1053,单位档案!$A$6:$A$35,0)),"")="税差法",ROUND(N($H1053)/(1+$Q1053)*$Q1053-IF(N($R1053)=0,0,$P1053/(1+$R1053)*$R1053),2),ROUND(N($H1053)/(1+$Q1053)*$Q1053,2)))</f>
        <v>0</v>
      </c>
      <c r="T1053" s="36" t="n">
        <f aca="false">ROUND($S1053*N(IFERROR(INDEX(单位档案!$J$6:$J$35,MATCH($E1053,单位档案!$A$6:$A$35,0)),"")),2)</f>
        <v>0</v>
      </c>
      <c r="U1053" s="36" t="n">
        <f aca="false">IF($D1053&lt;&gt;"销项开票",0,ROUND(N($H1053)*N(IFERROR(INDEX(单位档案!$K$6:$K$35,MATCH($E1053,单位档案!$A$6:$A$35,0)),"")),2))</f>
        <v>0</v>
      </c>
      <c r="V1053" s="36" t="n">
        <f aca="false">IF(OR($D1053&lt;&gt;"销项开票",N($Q1053)=0),0,ROUND(N($H1053)/(1+$Q1053)*N(IFERROR(INDEX(单位档案!$L$6:$L$35,MATCH($E1053,单位档案!$A$6:$A$35,0)),"")),2))</f>
        <v>0</v>
      </c>
      <c r="W1053" s="36" t="n">
        <f aca="false">ROUND($S1053+$T1053+$U1053+$V1053,2)</f>
        <v>0</v>
      </c>
      <c r="X1053" s="35" t="str">
        <f aca="false">IF(OR($D1053="挂靠代收",$D1053="我方收款"),COUNTIFS($D$5:$D1053,"挂靠代收")+COUNTIFS($D$5:$D1053,"我方收款"),"")</f>
        <v/>
      </c>
      <c r="Y1053" s="35"/>
      <c r="Z1053" s="21" t="s">
        <v>111</v>
      </c>
    </row>
    <row r="1054" customFormat="false" ht="15.75" hidden="false" customHeight="true" outlineLevel="0" collapsed="false">
      <c r="A1054" s="32" t="str">
        <f aca="false">IF($B1054="","",ROW()-4)</f>
        <v/>
      </c>
      <c r="B1054" s="26"/>
      <c r="C1054" s="24"/>
      <c r="D1054" s="21"/>
      <c r="E1054" s="21"/>
      <c r="F1054" s="21"/>
      <c r="G1054" s="21"/>
      <c r="H1054" s="27"/>
      <c r="I1054" s="23" t="str">
        <f aca="false">IF($D1054&lt;&gt;"销项开票","",IF($N1054="一级",IF(IFERROR(INDEX(项目档案!$E$6:$E$255,MATCH($C1054,项目档案!$A$6:$A$255,0)),"")="",N(IFERROR(INDEX(单位档案!$D$6:$D$35,MATCH($E1054,单位档案!$A$6:$A$35,0)),"")),IFERROR(INDEX(项目档案!$E$6:$E$255,MATCH($C1054,项目档案!$A$6:$A$255,0)),"")),IF($N1054="二级",IF(IFERROR(INDEX(项目档案!$G$6:$G$255,MATCH($C1054,项目档案!$A$6:$A$255,0)),"")="",N(IFERROR(INDEX(单位档案!$D$6:$D$35,MATCH($E1054,单位档案!$A$6:$A$35,0)),"")),IFERROR(INDEX(项目档案!$G$6:$G$255,MATCH($C1054,项目档案!$A$6:$A$255,0)),"")),N(IFERROR(INDEX(单位档案!$D$6:$D$35,MATCH($E1054,单位档案!$A$6:$A$35,0)),"")))))</f>
        <v/>
      </c>
      <c r="J1054" s="22"/>
      <c r="K1054" s="22"/>
      <c r="L1054" s="33" t="str">
        <f aca="false">IF($B1054="","",IF(NOT(ISNUMBER($B1054)),"日期格式不对",IF($C1054="","未选项目编号",IF(LEFT($M1054,1)="⚠","项目编号不存在",IF($D1054="","未选业务类型",IF($E1054="","未选开票/付款方",IF(ISNA(MATCH($E1054,单位档案!$A$6:$A$35,0)),"开票方不在单位档案",IF($F1054="","未选收票/收款方",IF(ISNA(MATCH($F1054,单位档案!$A$6:$A$35,0)),"收款方不在单位档案",IF(NOT(ISNUMBER($H1054)),"金额须为数字",IF(AND($D1054="销项开票",$N1054="—"),"链条待确认","√")))))))))))</f>
        <v/>
      </c>
      <c r="M1054" s="34" t="str">
        <f aca="false">IF($C1054="","",IFERROR(INDEX(项目档案!$B$6:$B$255,MATCH($C1054,项目档案!$A$6:$A$255,0)),"⚠项目编号不存在"))</f>
        <v/>
      </c>
      <c r="N1054" s="35" t="str">
        <f aca="false">IF($E1054="","",IF($E1054=IFERROR(INDEX(项目档案!$D$6:$D$255,MATCH($C1054,项目档案!$A$6:$A$255,0)),""),"一级",IF($E1054=IFERROR(INDEX(项目档案!$F$6:$F$255,MATCH($C1054,项目档案!$A$6:$A$255,0)),""),"二级",IF($E1054=IFERROR(INDEX(项目档案!$H$6:$H$255,MATCH($C1054,项目档案!$A$6:$A$255,0)),""),"我方","—"))))</f>
        <v/>
      </c>
      <c r="O1054" s="36" t="n">
        <f aca="false">IF($D1054&lt;&gt;"销项开票",0,ROUND(N($H1054)*N($I1054),2))</f>
        <v>0</v>
      </c>
      <c r="P1054" s="36" t="n">
        <f aca="false">IF($D1054&lt;&gt;"销项开票",0,ROUND(N($H1054)-$O1054,2))</f>
        <v>0</v>
      </c>
      <c r="Q1054" s="37" t="str">
        <f aca="false">IF($E1054="","",N(IFERROR(INDEX(单位档案!$E$6:$E$35,MATCH($E1054,单位档案!$A$6:$A$35,0)),"")))</f>
        <v/>
      </c>
      <c r="R1054" s="37" t="str">
        <f aca="false">IF($E1054="","",N(IFERROR(INDEX(单位档案!$F$6:$F$35,MATCH($E1054,单位档案!$A$6:$A$35,0)),"")))</f>
        <v/>
      </c>
      <c r="S1054" s="36" t="n">
        <f aca="false">IF(OR($D1054&lt;&gt;"销项开票",IFERROR(INDEX(单位档案!$G$6:$G$35,MATCH($E1054,单位档案!$A$6:$A$35,0)),"")&lt;&gt;"是",N($Q1054)=0),0,IF(IFERROR(INDEX(单位档案!$H$6:$H$35,MATCH($E1054,单位档案!$A$6:$A$35,0)),"")="税差法",ROUND(N($H1054)/(1+$Q1054)*$Q1054-IF(N($R1054)=0,0,$P1054/(1+$R1054)*$R1054),2),ROUND(N($H1054)/(1+$Q1054)*$Q1054,2)))</f>
        <v>0</v>
      </c>
      <c r="T1054" s="36" t="n">
        <f aca="false">ROUND($S1054*N(IFERROR(INDEX(单位档案!$J$6:$J$35,MATCH($E1054,单位档案!$A$6:$A$35,0)),"")),2)</f>
        <v>0</v>
      </c>
      <c r="U1054" s="36" t="n">
        <f aca="false">IF($D1054&lt;&gt;"销项开票",0,ROUND(N($H1054)*N(IFERROR(INDEX(单位档案!$K$6:$K$35,MATCH($E1054,单位档案!$A$6:$A$35,0)),"")),2))</f>
        <v>0</v>
      </c>
      <c r="V1054" s="36" t="n">
        <f aca="false">IF(OR($D1054&lt;&gt;"销项开票",N($Q1054)=0),0,ROUND(N($H1054)/(1+$Q1054)*N(IFERROR(INDEX(单位档案!$L$6:$L$35,MATCH($E1054,单位档案!$A$6:$A$35,0)),"")),2))</f>
        <v>0</v>
      </c>
      <c r="W1054" s="36" t="n">
        <f aca="false">ROUND($S1054+$T1054+$U1054+$V1054,2)</f>
        <v>0</v>
      </c>
      <c r="X1054" s="35" t="str">
        <f aca="false">IF(OR($D1054="挂靠代收",$D1054="我方收款"),COUNTIFS($D$5:$D1054,"挂靠代收")+COUNTIFS($D$5:$D1054,"我方收款"),"")</f>
        <v/>
      </c>
      <c r="Y1054" s="35"/>
      <c r="Z1054" s="21" t="s">
        <v>111</v>
      </c>
    </row>
    <row r="1055" customFormat="false" ht="15.75" hidden="false" customHeight="true" outlineLevel="0" collapsed="false">
      <c r="A1055" s="32" t="str">
        <f aca="false">IF($B1055="","",ROW()-4)</f>
        <v/>
      </c>
      <c r="B1055" s="26"/>
      <c r="C1055" s="24"/>
      <c r="D1055" s="21"/>
      <c r="E1055" s="21"/>
      <c r="F1055" s="21"/>
      <c r="G1055" s="21"/>
      <c r="H1055" s="27"/>
      <c r="I1055" s="23" t="str">
        <f aca="false">IF($D1055&lt;&gt;"销项开票","",IF($N1055="一级",IF(IFERROR(INDEX(项目档案!$E$6:$E$255,MATCH($C1055,项目档案!$A$6:$A$255,0)),"")="",N(IFERROR(INDEX(单位档案!$D$6:$D$35,MATCH($E1055,单位档案!$A$6:$A$35,0)),"")),IFERROR(INDEX(项目档案!$E$6:$E$255,MATCH($C1055,项目档案!$A$6:$A$255,0)),"")),IF($N1055="二级",IF(IFERROR(INDEX(项目档案!$G$6:$G$255,MATCH($C1055,项目档案!$A$6:$A$255,0)),"")="",N(IFERROR(INDEX(单位档案!$D$6:$D$35,MATCH($E1055,单位档案!$A$6:$A$35,0)),"")),IFERROR(INDEX(项目档案!$G$6:$G$255,MATCH($C1055,项目档案!$A$6:$A$255,0)),"")),N(IFERROR(INDEX(单位档案!$D$6:$D$35,MATCH($E1055,单位档案!$A$6:$A$35,0)),"")))))</f>
        <v/>
      </c>
      <c r="J1055" s="22"/>
      <c r="K1055" s="22"/>
      <c r="L1055" s="33" t="str">
        <f aca="false">IF($B1055="","",IF(NOT(ISNUMBER($B1055)),"日期格式不对",IF($C1055="","未选项目编号",IF(LEFT($M1055,1)="⚠","项目编号不存在",IF($D1055="","未选业务类型",IF($E1055="","未选开票/付款方",IF(ISNA(MATCH($E1055,单位档案!$A$6:$A$35,0)),"开票方不在单位档案",IF($F1055="","未选收票/收款方",IF(ISNA(MATCH($F1055,单位档案!$A$6:$A$35,0)),"收款方不在单位档案",IF(NOT(ISNUMBER($H1055)),"金额须为数字",IF(AND($D1055="销项开票",$N1055="—"),"链条待确认","√")))))))))))</f>
        <v/>
      </c>
      <c r="M1055" s="34" t="str">
        <f aca="false">IF($C1055="","",IFERROR(INDEX(项目档案!$B$6:$B$255,MATCH($C1055,项目档案!$A$6:$A$255,0)),"⚠项目编号不存在"))</f>
        <v/>
      </c>
      <c r="N1055" s="35" t="str">
        <f aca="false">IF($E1055="","",IF($E1055=IFERROR(INDEX(项目档案!$D$6:$D$255,MATCH($C1055,项目档案!$A$6:$A$255,0)),""),"一级",IF($E1055=IFERROR(INDEX(项目档案!$F$6:$F$255,MATCH($C1055,项目档案!$A$6:$A$255,0)),""),"二级",IF($E1055=IFERROR(INDEX(项目档案!$H$6:$H$255,MATCH($C1055,项目档案!$A$6:$A$255,0)),""),"我方","—"))))</f>
        <v/>
      </c>
      <c r="O1055" s="36" t="n">
        <f aca="false">IF($D1055&lt;&gt;"销项开票",0,ROUND(N($H1055)*N($I1055),2))</f>
        <v>0</v>
      </c>
      <c r="P1055" s="36" t="n">
        <f aca="false">IF($D1055&lt;&gt;"销项开票",0,ROUND(N($H1055)-$O1055,2))</f>
        <v>0</v>
      </c>
      <c r="Q1055" s="37" t="str">
        <f aca="false">IF($E1055="","",N(IFERROR(INDEX(单位档案!$E$6:$E$35,MATCH($E1055,单位档案!$A$6:$A$35,0)),"")))</f>
        <v/>
      </c>
      <c r="R1055" s="37" t="str">
        <f aca="false">IF($E1055="","",N(IFERROR(INDEX(单位档案!$F$6:$F$35,MATCH($E1055,单位档案!$A$6:$A$35,0)),"")))</f>
        <v/>
      </c>
      <c r="S1055" s="36" t="n">
        <f aca="false">IF(OR($D1055&lt;&gt;"销项开票",IFERROR(INDEX(单位档案!$G$6:$G$35,MATCH($E1055,单位档案!$A$6:$A$35,0)),"")&lt;&gt;"是",N($Q1055)=0),0,IF(IFERROR(INDEX(单位档案!$H$6:$H$35,MATCH($E1055,单位档案!$A$6:$A$35,0)),"")="税差法",ROUND(N($H1055)/(1+$Q1055)*$Q1055-IF(N($R1055)=0,0,$P1055/(1+$R1055)*$R1055),2),ROUND(N($H1055)/(1+$Q1055)*$Q1055,2)))</f>
        <v>0</v>
      </c>
      <c r="T1055" s="36" t="n">
        <f aca="false">ROUND($S1055*N(IFERROR(INDEX(单位档案!$J$6:$J$35,MATCH($E1055,单位档案!$A$6:$A$35,0)),"")),2)</f>
        <v>0</v>
      </c>
      <c r="U1055" s="36" t="n">
        <f aca="false">IF($D1055&lt;&gt;"销项开票",0,ROUND(N($H1055)*N(IFERROR(INDEX(单位档案!$K$6:$K$35,MATCH($E1055,单位档案!$A$6:$A$35,0)),"")),2))</f>
        <v>0</v>
      </c>
      <c r="V1055" s="36" t="n">
        <f aca="false">IF(OR($D1055&lt;&gt;"销项开票",N($Q1055)=0),0,ROUND(N($H1055)/(1+$Q1055)*N(IFERROR(INDEX(单位档案!$L$6:$L$35,MATCH($E1055,单位档案!$A$6:$A$35,0)),"")),2))</f>
        <v>0</v>
      </c>
      <c r="W1055" s="36" t="n">
        <f aca="false">ROUND($S1055+$T1055+$U1055+$V1055,2)</f>
        <v>0</v>
      </c>
      <c r="X1055" s="35" t="str">
        <f aca="false">IF(OR($D1055="挂靠代收",$D1055="我方收款"),COUNTIFS($D$5:$D1055,"挂靠代收")+COUNTIFS($D$5:$D1055,"我方收款"),"")</f>
        <v/>
      </c>
      <c r="Y1055" s="35"/>
      <c r="Z1055" s="21" t="s">
        <v>111</v>
      </c>
    </row>
    <row r="1056" customFormat="false" ht="15.75" hidden="false" customHeight="true" outlineLevel="0" collapsed="false">
      <c r="A1056" s="32" t="str">
        <f aca="false">IF($B1056="","",ROW()-4)</f>
        <v/>
      </c>
      <c r="B1056" s="26"/>
      <c r="C1056" s="24"/>
      <c r="D1056" s="21"/>
      <c r="E1056" s="21"/>
      <c r="F1056" s="21"/>
      <c r="G1056" s="21"/>
      <c r="H1056" s="27"/>
      <c r="I1056" s="23" t="str">
        <f aca="false">IF($D1056&lt;&gt;"销项开票","",IF($N1056="一级",IF(IFERROR(INDEX(项目档案!$E$6:$E$255,MATCH($C1056,项目档案!$A$6:$A$255,0)),"")="",N(IFERROR(INDEX(单位档案!$D$6:$D$35,MATCH($E1056,单位档案!$A$6:$A$35,0)),"")),IFERROR(INDEX(项目档案!$E$6:$E$255,MATCH($C1056,项目档案!$A$6:$A$255,0)),"")),IF($N1056="二级",IF(IFERROR(INDEX(项目档案!$G$6:$G$255,MATCH($C1056,项目档案!$A$6:$A$255,0)),"")="",N(IFERROR(INDEX(单位档案!$D$6:$D$35,MATCH($E1056,单位档案!$A$6:$A$35,0)),"")),IFERROR(INDEX(项目档案!$G$6:$G$255,MATCH($C1056,项目档案!$A$6:$A$255,0)),"")),N(IFERROR(INDEX(单位档案!$D$6:$D$35,MATCH($E1056,单位档案!$A$6:$A$35,0)),"")))))</f>
        <v/>
      </c>
      <c r="J1056" s="22"/>
      <c r="K1056" s="22"/>
      <c r="L1056" s="33" t="str">
        <f aca="false">IF($B1056="","",IF(NOT(ISNUMBER($B1056)),"日期格式不对",IF($C1056="","未选项目编号",IF(LEFT($M1056,1)="⚠","项目编号不存在",IF($D1056="","未选业务类型",IF($E1056="","未选开票/付款方",IF(ISNA(MATCH($E1056,单位档案!$A$6:$A$35,0)),"开票方不在单位档案",IF($F1056="","未选收票/收款方",IF(ISNA(MATCH($F1056,单位档案!$A$6:$A$35,0)),"收款方不在单位档案",IF(NOT(ISNUMBER($H1056)),"金额须为数字",IF(AND($D1056="销项开票",$N1056="—"),"链条待确认","√")))))))))))</f>
        <v/>
      </c>
      <c r="M1056" s="34" t="str">
        <f aca="false">IF($C1056="","",IFERROR(INDEX(项目档案!$B$6:$B$255,MATCH($C1056,项目档案!$A$6:$A$255,0)),"⚠项目编号不存在"))</f>
        <v/>
      </c>
      <c r="N1056" s="35" t="str">
        <f aca="false">IF($E1056="","",IF($E1056=IFERROR(INDEX(项目档案!$D$6:$D$255,MATCH($C1056,项目档案!$A$6:$A$255,0)),""),"一级",IF($E1056=IFERROR(INDEX(项目档案!$F$6:$F$255,MATCH($C1056,项目档案!$A$6:$A$255,0)),""),"二级",IF($E1056=IFERROR(INDEX(项目档案!$H$6:$H$255,MATCH($C1056,项目档案!$A$6:$A$255,0)),""),"我方","—"))))</f>
        <v/>
      </c>
      <c r="O1056" s="36" t="n">
        <f aca="false">IF($D1056&lt;&gt;"销项开票",0,ROUND(N($H1056)*N($I1056),2))</f>
        <v>0</v>
      </c>
      <c r="P1056" s="36" t="n">
        <f aca="false">IF($D1056&lt;&gt;"销项开票",0,ROUND(N($H1056)-$O1056,2))</f>
        <v>0</v>
      </c>
      <c r="Q1056" s="37" t="str">
        <f aca="false">IF($E1056="","",N(IFERROR(INDEX(单位档案!$E$6:$E$35,MATCH($E1056,单位档案!$A$6:$A$35,0)),"")))</f>
        <v/>
      </c>
      <c r="R1056" s="37" t="str">
        <f aca="false">IF($E1056="","",N(IFERROR(INDEX(单位档案!$F$6:$F$35,MATCH($E1056,单位档案!$A$6:$A$35,0)),"")))</f>
        <v/>
      </c>
      <c r="S1056" s="36" t="n">
        <f aca="false">IF(OR($D1056&lt;&gt;"销项开票",IFERROR(INDEX(单位档案!$G$6:$G$35,MATCH($E1056,单位档案!$A$6:$A$35,0)),"")&lt;&gt;"是",N($Q1056)=0),0,IF(IFERROR(INDEX(单位档案!$H$6:$H$35,MATCH($E1056,单位档案!$A$6:$A$35,0)),"")="税差法",ROUND(N($H1056)/(1+$Q1056)*$Q1056-IF(N($R1056)=0,0,$P1056/(1+$R1056)*$R1056),2),ROUND(N($H1056)/(1+$Q1056)*$Q1056,2)))</f>
        <v>0</v>
      </c>
      <c r="T1056" s="36" t="n">
        <f aca="false">ROUND($S1056*N(IFERROR(INDEX(单位档案!$J$6:$J$35,MATCH($E1056,单位档案!$A$6:$A$35,0)),"")),2)</f>
        <v>0</v>
      </c>
      <c r="U1056" s="36" t="n">
        <f aca="false">IF($D1056&lt;&gt;"销项开票",0,ROUND(N($H1056)*N(IFERROR(INDEX(单位档案!$K$6:$K$35,MATCH($E1056,单位档案!$A$6:$A$35,0)),"")),2))</f>
        <v>0</v>
      </c>
      <c r="V1056" s="36" t="n">
        <f aca="false">IF(OR($D1056&lt;&gt;"销项开票",N($Q1056)=0),0,ROUND(N($H1056)/(1+$Q1056)*N(IFERROR(INDEX(单位档案!$L$6:$L$35,MATCH($E1056,单位档案!$A$6:$A$35,0)),"")),2))</f>
        <v>0</v>
      </c>
      <c r="W1056" s="36" t="n">
        <f aca="false">ROUND($S1056+$T1056+$U1056+$V1056,2)</f>
        <v>0</v>
      </c>
      <c r="X1056" s="35" t="str">
        <f aca="false">IF(OR($D1056="挂靠代收",$D1056="我方收款"),COUNTIFS($D$5:$D1056,"挂靠代收")+COUNTIFS($D$5:$D1056,"我方收款"),"")</f>
        <v/>
      </c>
      <c r="Y1056" s="35"/>
      <c r="Z1056" s="21" t="s">
        <v>111</v>
      </c>
    </row>
    <row r="1057" customFormat="false" ht="15.75" hidden="false" customHeight="true" outlineLevel="0" collapsed="false">
      <c r="A1057" s="32" t="str">
        <f aca="false">IF($B1057="","",ROW()-4)</f>
        <v/>
      </c>
      <c r="B1057" s="26"/>
      <c r="C1057" s="24"/>
      <c r="D1057" s="21"/>
      <c r="E1057" s="21"/>
      <c r="F1057" s="21"/>
      <c r="G1057" s="21"/>
      <c r="H1057" s="27"/>
      <c r="I1057" s="23" t="str">
        <f aca="false">IF($D1057&lt;&gt;"销项开票","",IF($N1057="一级",IF(IFERROR(INDEX(项目档案!$E$6:$E$255,MATCH($C1057,项目档案!$A$6:$A$255,0)),"")="",N(IFERROR(INDEX(单位档案!$D$6:$D$35,MATCH($E1057,单位档案!$A$6:$A$35,0)),"")),IFERROR(INDEX(项目档案!$E$6:$E$255,MATCH($C1057,项目档案!$A$6:$A$255,0)),"")),IF($N1057="二级",IF(IFERROR(INDEX(项目档案!$G$6:$G$255,MATCH($C1057,项目档案!$A$6:$A$255,0)),"")="",N(IFERROR(INDEX(单位档案!$D$6:$D$35,MATCH($E1057,单位档案!$A$6:$A$35,0)),"")),IFERROR(INDEX(项目档案!$G$6:$G$255,MATCH($C1057,项目档案!$A$6:$A$255,0)),"")),N(IFERROR(INDEX(单位档案!$D$6:$D$35,MATCH($E1057,单位档案!$A$6:$A$35,0)),"")))))</f>
        <v/>
      </c>
      <c r="J1057" s="22"/>
      <c r="K1057" s="22"/>
      <c r="L1057" s="33" t="str">
        <f aca="false">IF($B1057="","",IF(NOT(ISNUMBER($B1057)),"日期格式不对",IF($C1057="","未选项目编号",IF(LEFT($M1057,1)="⚠","项目编号不存在",IF($D1057="","未选业务类型",IF($E1057="","未选开票/付款方",IF(ISNA(MATCH($E1057,单位档案!$A$6:$A$35,0)),"开票方不在单位档案",IF($F1057="","未选收票/收款方",IF(ISNA(MATCH($F1057,单位档案!$A$6:$A$35,0)),"收款方不在单位档案",IF(NOT(ISNUMBER($H1057)),"金额须为数字",IF(AND($D1057="销项开票",$N1057="—"),"链条待确认","√")))))))))))</f>
        <v/>
      </c>
      <c r="M1057" s="34" t="str">
        <f aca="false">IF($C1057="","",IFERROR(INDEX(项目档案!$B$6:$B$255,MATCH($C1057,项目档案!$A$6:$A$255,0)),"⚠项目编号不存在"))</f>
        <v/>
      </c>
      <c r="N1057" s="35" t="str">
        <f aca="false">IF($E1057="","",IF($E1057=IFERROR(INDEX(项目档案!$D$6:$D$255,MATCH($C1057,项目档案!$A$6:$A$255,0)),""),"一级",IF($E1057=IFERROR(INDEX(项目档案!$F$6:$F$255,MATCH($C1057,项目档案!$A$6:$A$255,0)),""),"二级",IF($E1057=IFERROR(INDEX(项目档案!$H$6:$H$255,MATCH($C1057,项目档案!$A$6:$A$255,0)),""),"我方","—"))))</f>
        <v/>
      </c>
      <c r="O1057" s="36" t="n">
        <f aca="false">IF($D1057&lt;&gt;"销项开票",0,ROUND(N($H1057)*N($I1057),2))</f>
        <v>0</v>
      </c>
      <c r="P1057" s="36" t="n">
        <f aca="false">IF($D1057&lt;&gt;"销项开票",0,ROUND(N($H1057)-$O1057,2))</f>
        <v>0</v>
      </c>
      <c r="Q1057" s="37" t="str">
        <f aca="false">IF($E1057="","",N(IFERROR(INDEX(单位档案!$E$6:$E$35,MATCH($E1057,单位档案!$A$6:$A$35,0)),"")))</f>
        <v/>
      </c>
      <c r="R1057" s="37" t="str">
        <f aca="false">IF($E1057="","",N(IFERROR(INDEX(单位档案!$F$6:$F$35,MATCH($E1057,单位档案!$A$6:$A$35,0)),"")))</f>
        <v/>
      </c>
      <c r="S1057" s="36" t="n">
        <f aca="false">IF(OR($D1057&lt;&gt;"销项开票",IFERROR(INDEX(单位档案!$G$6:$G$35,MATCH($E1057,单位档案!$A$6:$A$35,0)),"")&lt;&gt;"是",N($Q1057)=0),0,IF(IFERROR(INDEX(单位档案!$H$6:$H$35,MATCH($E1057,单位档案!$A$6:$A$35,0)),"")="税差法",ROUND(N($H1057)/(1+$Q1057)*$Q1057-IF(N($R1057)=0,0,$P1057/(1+$R1057)*$R1057),2),ROUND(N($H1057)/(1+$Q1057)*$Q1057,2)))</f>
        <v>0</v>
      </c>
      <c r="T1057" s="36" t="n">
        <f aca="false">ROUND($S1057*N(IFERROR(INDEX(单位档案!$J$6:$J$35,MATCH($E1057,单位档案!$A$6:$A$35,0)),"")),2)</f>
        <v>0</v>
      </c>
      <c r="U1057" s="36" t="n">
        <f aca="false">IF($D1057&lt;&gt;"销项开票",0,ROUND(N($H1057)*N(IFERROR(INDEX(单位档案!$K$6:$K$35,MATCH($E1057,单位档案!$A$6:$A$35,0)),"")),2))</f>
        <v>0</v>
      </c>
      <c r="V1057" s="36" t="n">
        <f aca="false">IF(OR($D1057&lt;&gt;"销项开票",N($Q1057)=0),0,ROUND(N($H1057)/(1+$Q1057)*N(IFERROR(INDEX(单位档案!$L$6:$L$35,MATCH($E1057,单位档案!$A$6:$A$35,0)),"")),2))</f>
        <v>0</v>
      </c>
      <c r="W1057" s="36" t="n">
        <f aca="false">ROUND($S1057+$T1057+$U1057+$V1057,2)</f>
        <v>0</v>
      </c>
      <c r="X1057" s="35" t="str">
        <f aca="false">IF(OR($D1057="挂靠代收",$D1057="我方收款"),COUNTIFS($D$5:$D1057,"挂靠代收")+COUNTIFS($D$5:$D1057,"我方收款"),"")</f>
        <v/>
      </c>
      <c r="Y1057" s="35"/>
      <c r="Z1057" s="21" t="s">
        <v>111</v>
      </c>
    </row>
    <row r="1058" customFormat="false" ht="15.75" hidden="false" customHeight="true" outlineLevel="0" collapsed="false">
      <c r="A1058" s="32" t="str">
        <f aca="false">IF($B1058="","",ROW()-4)</f>
        <v/>
      </c>
      <c r="B1058" s="26"/>
      <c r="C1058" s="24"/>
      <c r="D1058" s="21"/>
      <c r="E1058" s="21"/>
      <c r="F1058" s="21"/>
      <c r="G1058" s="21"/>
      <c r="H1058" s="27"/>
      <c r="I1058" s="23" t="str">
        <f aca="false">IF($D1058&lt;&gt;"销项开票","",IF($N1058="一级",IF(IFERROR(INDEX(项目档案!$E$6:$E$255,MATCH($C1058,项目档案!$A$6:$A$255,0)),"")="",N(IFERROR(INDEX(单位档案!$D$6:$D$35,MATCH($E1058,单位档案!$A$6:$A$35,0)),"")),IFERROR(INDEX(项目档案!$E$6:$E$255,MATCH($C1058,项目档案!$A$6:$A$255,0)),"")),IF($N1058="二级",IF(IFERROR(INDEX(项目档案!$G$6:$G$255,MATCH($C1058,项目档案!$A$6:$A$255,0)),"")="",N(IFERROR(INDEX(单位档案!$D$6:$D$35,MATCH($E1058,单位档案!$A$6:$A$35,0)),"")),IFERROR(INDEX(项目档案!$G$6:$G$255,MATCH($C1058,项目档案!$A$6:$A$255,0)),"")),N(IFERROR(INDEX(单位档案!$D$6:$D$35,MATCH($E1058,单位档案!$A$6:$A$35,0)),"")))))</f>
        <v/>
      </c>
      <c r="J1058" s="22"/>
      <c r="K1058" s="22"/>
      <c r="L1058" s="33" t="str">
        <f aca="false">IF($B1058="","",IF(NOT(ISNUMBER($B1058)),"日期格式不对",IF($C1058="","未选项目编号",IF(LEFT($M1058,1)="⚠","项目编号不存在",IF($D1058="","未选业务类型",IF($E1058="","未选开票/付款方",IF(ISNA(MATCH($E1058,单位档案!$A$6:$A$35,0)),"开票方不在单位档案",IF($F1058="","未选收票/收款方",IF(ISNA(MATCH($F1058,单位档案!$A$6:$A$35,0)),"收款方不在单位档案",IF(NOT(ISNUMBER($H1058)),"金额须为数字",IF(AND($D1058="销项开票",$N1058="—"),"链条待确认","√")))))))))))</f>
        <v/>
      </c>
      <c r="M1058" s="34" t="str">
        <f aca="false">IF($C1058="","",IFERROR(INDEX(项目档案!$B$6:$B$255,MATCH($C1058,项目档案!$A$6:$A$255,0)),"⚠项目编号不存在"))</f>
        <v/>
      </c>
      <c r="N1058" s="35" t="str">
        <f aca="false">IF($E1058="","",IF($E1058=IFERROR(INDEX(项目档案!$D$6:$D$255,MATCH($C1058,项目档案!$A$6:$A$255,0)),""),"一级",IF($E1058=IFERROR(INDEX(项目档案!$F$6:$F$255,MATCH($C1058,项目档案!$A$6:$A$255,0)),""),"二级",IF($E1058=IFERROR(INDEX(项目档案!$H$6:$H$255,MATCH($C1058,项目档案!$A$6:$A$255,0)),""),"我方","—"))))</f>
        <v/>
      </c>
      <c r="O1058" s="36" t="n">
        <f aca="false">IF($D1058&lt;&gt;"销项开票",0,ROUND(N($H1058)*N($I1058),2))</f>
        <v>0</v>
      </c>
      <c r="P1058" s="36" t="n">
        <f aca="false">IF($D1058&lt;&gt;"销项开票",0,ROUND(N($H1058)-$O1058,2))</f>
        <v>0</v>
      </c>
      <c r="Q1058" s="37" t="str">
        <f aca="false">IF($E1058="","",N(IFERROR(INDEX(单位档案!$E$6:$E$35,MATCH($E1058,单位档案!$A$6:$A$35,0)),"")))</f>
        <v/>
      </c>
      <c r="R1058" s="37" t="str">
        <f aca="false">IF($E1058="","",N(IFERROR(INDEX(单位档案!$F$6:$F$35,MATCH($E1058,单位档案!$A$6:$A$35,0)),"")))</f>
        <v/>
      </c>
      <c r="S1058" s="36" t="n">
        <f aca="false">IF(OR($D1058&lt;&gt;"销项开票",IFERROR(INDEX(单位档案!$G$6:$G$35,MATCH($E1058,单位档案!$A$6:$A$35,0)),"")&lt;&gt;"是",N($Q1058)=0),0,IF(IFERROR(INDEX(单位档案!$H$6:$H$35,MATCH($E1058,单位档案!$A$6:$A$35,0)),"")="税差法",ROUND(N($H1058)/(1+$Q1058)*$Q1058-IF(N($R1058)=0,0,$P1058/(1+$R1058)*$R1058),2),ROUND(N($H1058)/(1+$Q1058)*$Q1058,2)))</f>
        <v>0</v>
      </c>
      <c r="T1058" s="36" t="n">
        <f aca="false">ROUND($S1058*N(IFERROR(INDEX(单位档案!$J$6:$J$35,MATCH($E1058,单位档案!$A$6:$A$35,0)),"")),2)</f>
        <v>0</v>
      </c>
      <c r="U1058" s="36" t="n">
        <f aca="false">IF($D1058&lt;&gt;"销项开票",0,ROUND(N($H1058)*N(IFERROR(INDEX(单位档案!$K$6:$K$35,MATCH($E1058,单位档案!$A$6:$A$35,0)),"")),2))</f>
        <v>0</v>
      </c>
      <c r="V1058" s="36" t="n">
        <f aca="false">IF(OR($D1058&lt;&gt;"销项开票",N($Q1058)=0),0,ROUND(N($H1058)/(1+$Q1058)*N(IFERROR(INDEX(单位档案!$L$6:$L$35,MATCH($E1058,单位档案!$A$6:$A$35,0)),"")),2))</f>
        <v>0</v>
      </c>
      <c r="W1058" s="36" t="n">
        <f aca="false">ROUND($S1058+$T1058+$U1058+$V1058,2)</f>
        <v>0</v>
      </c>
      <c r="X1058" s="35" t="str">
        <f aca="false">IF(OR($D1058="挂靠代收",$D1058="我方收款"),COUNTIFS($D$5:$D1058,"挂靠代收")+COUNTIFS($D$5:$D1058,"我方收款"),"")</f>
        <v/>
      </c>
      <c r="Y1058" s="35"/>
      <c r="Z1058" s="21" t="s">
        <v>111</v>
      </c>
    </row>
    <row r="1059" customFormat="false" ht="15.75" hidden="false" customHeight="true" outlineLevel="0" collapsed="false">
      <c r="A1059" s="32" t="str">
        <f aca="false">IF($B1059="","",ROW()-4)</f>
        <v/>
      </c>
      <c r="B1059" s="26"/>
      <c r="C1059" s="24"/>
      <c r="D1059" s="21"/>
      <c r="E1059" s="21"/>
      <c r="F1059" s="21"/>
      <c r="G1059" s="21"/>
      <c r="H1059" s="27"/>
      <c r="I1059" s="23" t="str">
        <f aca="false">IF($D1059&lt;&gt;"销项开票","",IF($N1059="一级",IF(IFERROR(INDEX(项目档案!$E$6:$E$255,MATCH($C1059,项目档案!$A$6:$A$255,0)),"")="",N(IFERROR(INDEX(单位档案!$D$6:$D$35,MATCH($E1059,单位档案!$A$6:$A$35,0)),"")),IFERROR(INDEX(项目档案!$E$6:$E$255,MATCH($C1059,项目档案!$A$6:$A$255,0)),"")),IF($N1059="二级",IF(IFERROR(INDEX(项目档案!$G$6:$G$255,MATCH($C1059,项目档案!$A$6:$A$255,0)),"")="",N(IFERROR(INDEX(单位档案!$D$6:$D$35,MATCH($E1059,单位档案!$A$6:$A$35,0)),"")),IFERROR(INDEX(项目档案!$G$6:$G$255,MATCH($C1059,项目档案!$A$6:$A$255,0)),"")),N(IFERROR(INDEX(单位档案!$D$6:$D$35,MATCH($E1059,单位档案!$A$6:$A$35,0)),"")))))</f>
        <v/>
      </c>
      <c r="J1059" s="22"/>
      <c r="K1059" s="22"/>
      <c r="L1059" s="33" t="str">
        <f aca="false">IF($B1059="","",IF(NOT(ISNUMBER($B1059)),"日期格式不对",IF($C1059="","未选项目编号",IF(LEFT($M1059,1)="⚠","项目编号不存在",IF($D1059="","未选业务类型",IF($E1059="","未选开票/付款方",IF(ISNA(MATCH($E1059,单位档案!$A$6:$A$35,0)),"开票方不在单位档案",IF($F1059="","未选收票/收款方",IF(ISNA(MATCH($F1059,单位档案!$A$6:$A$35,0)),"收款方不在单位档案",IF(NOT(ISNUMBER($H1059)),"金额须为数字",IF(AND($D1059="销项开票",$N1059="—"),"链条待确认","√")))))))))))</f>
        <v/>
      </c>
      <c r="M1059" s="34" t="str">
        <f aca="false">IF($C1059="","",IFERROR(INDEX(项目档案!$B$6:$B$255,MATCH($C1059,项目档案!$A$6:$A$255,0)),"⚠项目编号不存在"))</f>
        <v/>
      </c>
      <c r="N1059" s="35" t="str">
        <f aca="false">IF($E1059="","",IF($E1059=IFERROR(INDEX(项目档案!$D$6:$D$255,MATCH($C1059,项目档案!$A$6:$A$255,0)),""),"一级",IF($E1059=IFERROR(INDEX(项目档案!$F$6:$F$255,MATCH($C1059,项目档案!$A$6:$A$255,0)),""),"二级",IF($E1059=IFERROR(INDEX(项目档案!$H$6:$H$255,MATCH($C1059,项目档案!$A$6:$A$255,0)),""),"我方","—"))))</f>
        <v/>
      </c>
      <c r="O1059" s="36" t="n">
        <f aca="false">IF($D1059&lt;&gt;"销项开票",0,ROUND(N($H1059)*N($I1059),2))</f>
        <v>0</v>
      </c>
      <c r="P1059" s="36" t="n">
        <f aca="false">IF($D1059&lt;&gt;"销项开票",0,ROUND(N($H1059)-$O1059,2))</f>
        <v>0</v>
      </c>
      <c r="Q1059" s="37" t="str">
        <f aca="false">IF($E1059="","",N(IFERROR(INDEX(单位档案!$E$6:$E$35,MATCH($E1059,单位档案!$A$6:$A$35,0)),"")))</f>
        <v/>
      </c>
      <c r="R1059" s="37" t="str">
        <f aca="false">IF($E1059="","",N(IFERROR(INDEX(单位档案!$F$6:$F$35,MATCH($E1059,单位档案!$A$6:$A$35,0)),"")))</f>
        <v/>
      </c>
      <c r="S1059" s="36" t="n">
        <f aca="false">IF(OR($D1059&lt;&gt;"销项开票",IFERROR(INDEX(单位档案!$G$6:$G$35,MATCH($E1059,单位档案!$A$6:$A$35,0)),"")&lt;&gt;"是",N($Q1059)=0),0,IF(IFERROR(INDEX(单位档案!$H$6:$H$35,MATCH($E1059,单位档案!$A$6:$A$35,0)),"")="税差法",ROUND(N($H1059)/(1+$Q1059)*$Q1059-IF(N($R1059)=0,0,$P1059/(1+$R1059)*$R1059),2),ROUND(N($H1059)/(1+$Q1059)*$Q1059,2)))</f>
        <v>0</v>
      </c>
      <c r="T1059" s="36" t="n">
        <f aca="false">ROUND($S1059*N(IFERROR(INDEX(单位档案!$J$6:$J$35,MATCH($E1059,单位档案!$A$6:$A$35,0)),"")),2)</f>
        <v>0</v>
      </c>
      <c r="U1059" s="36" t="n">
        <f aca="false">IF($D1059&lt;&gt;"销项开票",0,ROUND(N($H1059)*N(IFERROR(INDEX(单位档案!$K$6:$K$35,MATCH($E1059,单位档案!$A$6:$A$35,0)),"")),2))</f>
        <v>0</v>
      </c>
      <c r="V1059" s="36" t="n">
        <f aca="false">IF(OR($D1059&lt;&gt;"销项开票",N($Q1059)=0),0,ROUND(N($H1059)/(1+$Q1059)*N(IFERROR(INDEX(单位档案!$L$6:$L$35,MATCH($E1059,单位档案!$A$6:$A$35,0)),"")),2))</f>
        <v>0</v>
      </c>
      <c r="W1059" s="36" t="n">
        <f aca="false">ROUND($S1059+$T1059+$U1059+$V1059,2)</f>
        <v>0</v>
      </c>
      <c r="X1059" s="35" t="str">
        <f aca="false">IF(OR($D1059="挂靠代收",$D1059="我方收款"),COUNTIFS($D$5:$D1059,"挂靠代收")+COUNTIFS($D$5:$D1059,"我方收款"),"")</f>
        <v/>
      </c>
      <c r="Y1059" s="35"/>
      <c r="Z1059" s="21" t="s">
        <v>111</v>
      </c>
    </row>
    <row r="1060" customFormat="false" ht="15.75" hidden="false" customHeight="true" outlineLevel="0" collapsed="false">
      <c r="A1060" s="32" t="str">
        <f aca="false">IF($B1060="","",ROW()-4)</f>
        <v/>
      </c>
      <c r="B1060" s="26"/>
      <c r="C1060" s="24"/>
      <c r="D1060" s="21"/>
      <c r="E1060" s="21"/>
      <c r="F1060" s="21"/>
      <c r="G1060" s="21"/>
      <c r="H1060" s="27"/>
      <c r="I1060" s="23" t="str">
        <f aca="false">IF($D1060&lt;&gt;"销项开票","",IF($N1060="一级",IF(IFERROR(INDEX(项目档案!$E$6:$E$255,MATCH($C1060,项目档案!$A$6:$A$255,0)),"")="",N(IFERROR(INDEX(单位档案!$D$6:$D$35,MATCH($E1060,单位档案!$A$6:$A$35,0)),"")),IFERROR(INDEX(项目档案!$E$6:$E$255,MATCH($C1060,项目档案!$A$6:$A$255,0)),"")),IF($N1060="二级",IF(IFERROR(INDEX(项目档案!$G$6:$G$255,MATCH($C1060,项目档案!$A$6:$A$255,0)),"")="",N(IFERROR(INDEX(单位档案!$D$6:$D$35,MATCH($E1060,单位档案!$A$6:$A$35,0)),"")),IFERROR(INDEX(项目档案!$G$6:$G$255,MATCH($C1060,项目档案!$A$6:$A$255,0)),"")),N(IFERROR(INDEX(单位档案!$D$6:$D$35,MATCH($E1060,单位档案!$A$6:$A$35,0)),"")))))</f>
        <v/>
      </c>
      <c r="J1060" s="22"/>
      <c r="K1060" s="22"/>
      <c r="L1060" s="33" t="str">
        <f aca="false">IF($B1060="","",IF(NOT(ISNUMBER($B1060)),"日期格式不对",IF($C1060="","未选项目编号",IF(LEFT($M1060,1)="⚠","项目编号不存在",IF($D1060="","未选业务类型",IF($E1060="","未选开票/付款方",IF(ISNA(MATCH($E1060,单位档案!$A$6:$A$35,0)),"开票方不在单位档案",IF($F1060="","未选收票/收款方",IF(ISNA(MATCH($F1060,单位档案!$A$6:$A$35,0)),"收款方不在单位档案",IF(NOT(ISNUMBER($H1060)),"金额须为数字",IF(AND($D1060="销项开票",$N1060="—"),"链条待确认","√")))))))))))</f>
        <v/>
      </c>
      <c r="M1060" s="34" t="str">
        <f aca="false">IF($C1060="","",IFERROR(INDEX(项目档案!$B$6:$B$255,MATCH($C1060,项目档案!$A$6:$A$255,0)),"⚠项目编号不存在"))</f>
        <v/>
      </c>
      <c r="N1060" s="35" t="str">
        <f aca="false">IF($E1060="","",IF($E1060=IFERROR(INDEX(项目档案!$D$6:$D$255,MATCH($C1060,项目档案!$A$6:$A$255,0)),""),"一级",IF($E1060=IFERROR(INDEX(项目档案!$F$6:$F$255,MATCH($C1060,项目档案!$A$6:$A$255,0)),""),"二级",IF($E1060=IFERROR(INDEX(项目档案!$H$6:$H$255,MATCH($C1060,项目档案!$A$6:$A$255,0)),""),"我方","—"))))</f>
        <v/>
      </c>
      <c r="O1060" s="36" t="n">
        <f aca="false">IF($D1060&lt;&gt;"销项开票",0,ROUND(N($H1060)*N($I1060),2))</f>
        <v>0</v>
      </c>
      <c r="P1060" s="36" t="n">
        <f aca="false">IF($D1060&lt;&gt;"销项开票",0,ROUND(N($H1060)-$O1060,2))</f>
        <v>0</v>
      </c>
      <c r="Q1060" s="37" t="str">
        <f aca="false">IF($E1060="","",N(IFERROR(INDEX(单位档案!$E$6:$E$35,MATCH($E1060,单位档案!$A$6:$A$35,0)),"")))</f>
        <v/>
      </c>
      <c r="R1060" s="37" t="str">
        <f aca="false">IF($E1060="","",N(IFERROR(INDEX(单位档案!$F$6:$F$35,MATCH($E1060,单位档案!$A$6:$A$35,0)),"")))</f>
        <v/>
      </c>
      <c r="S1060" s="36" t="n">
        <f aca="false">IF(OR($D1060&lt;&gt;"销项开票",IFERROR(INDEX(单位档案!$G$6:$G$35,MATCH($E1060,单位档案!$A$6:$A$35,0)),"")&lt;&gt;"是",N($Q1060)=0),0,IF(IFERROR(INDEX(单位档案!$H$6:$H$35,MATCH($E1060,单位档案!$A$6:$A$35,0)),"")="税差法",ROUND(N($H1060)/(1+$Q1060)*$Q1060-IF(N($R1060)=0,0,$P1060/(1+$R1060)*$R1060),2),ROUND(N($H1060)/(1+$Q1060)*$Q1060,2)))</f>
        <v>0</v>
      </c>
      <c r="T1060" s="36" t="n">
        <f aca="false">ROUND($S1060*N(IFERROR(INDEX(单位档案!$J$6:$J$35,MATCH($E1060,单位档案!$A$6:$A$35,0)),"")),2)</f>
        <v>0</v>
      </c>
      <c r="U1060" s="36" t="n">
        <f aca="false">IF($D1060&lt;&gt;"销项开票",0,ROUND(N($H1060)*N(IFERROR(INDEX(单位档案!$K$6:$K$35,MATCH($E1060,单位档案!$A$6:$A$35,0)),"")),2))</f>
        <v>0</v>
      </c>
      <c r="V1060" s="36" t="n">
        <f aca="false">IF(OR($D1060&lt;&gt;"销项开票",N($Q1060)=0),0,ROUND(N($H1060)/(1+$Q1060)*N(IFERROR(INDEX(单位档案!$L$6:$L$35,MATCH($E1060,单位档案!$A$6:$A$35,0)),"")),2))</f>
        <v>0</v>
      </c>
      <c r="W1060" s="36" t="n">
        <f aca="false">ROUND($S1060+$T1060+$U1060+$V1060,2)</f>
        <v>0</v>
      </c>
      <c r="X1060" s="35" t="str">
        <f aca="false">IF(OR($D1060="挂靠代收",$D1060="我方收款"),COUNTIFS($D$5:$D1060,"挂靠代收")+COUNTIFS($D$5:$D1060,"我方收款"),"")</f>
        <v/>
      </c>
      <c r="Y1060" s="35"/>
      <c r="Z1060" s="21" t="s">
        <v>111</v>
      </c>
    </row>
    <row r="1061" customFormat="false" ht="15.75" hidden="false" customHeight="true" outlineLevel="0" collapsed="false">
      <c r="A1061" s="32" t="str">
        <f aca="false">IF($B1061="","",ROW()-4)</f>
        <v/>
      </c>
      <c r="B1061" s="26"/>
      <c r="C1061" s="24"/>
      <c r="D1061" s="21"/>
      <c r="E1061" s="21"/>
      <c r="F1061" s="21"/>
      <c r="G1061" s="21"/>
      <c r="H1061" s="27"/>
      <c r="I1061" s="23" t="str">
        <f aca="false">IF($D1061&lt;&gt;"销项开票","",IF($N1061="一级",IF(IFERROR(INDEX(项目档案!$E$6:$E$255,MATCH($C1061,项目档案!$A$6:$A$255,0)),"")="",N(IFERROR(INDEX(单位档案!$D$6:$D$35,MATCH($E1061,单位档案!$A$6:$A$35,0)),"")),IFERROR(INDEX(项目档案!$E$6:$E$255,MATCH($C1061,项目档案!$A$6:$A$255,0)),"")),IF($N1061="二级",IF(IFERROR(INDEX(项目档案!$G$6:$G$255,MATCH($C1061,项目档案!$A$6:$A$255,0)),"")="",N(IFERROR(INDEX(单位档案!$D$6:$D$35,MATCH($E1061,单位档案!$A$6:$A$35,0)),"")),IFERROR(INDEX(项目档案!$G$6:$G$255,MATCH($C1061,项目档案!$A$6:$A$255,0)),"")),N(IFERROR(INDEX(单位档案!$D$6:$D$35,MATCH($E1061,单位档案!$A$6:$A$35,0)),"")))))</f>
        <v/>
      </c>
      <c r="J1061" s="22"/>
      <c r="K1061" s="22"/>
      <c r="L1061" s="33" t="str">
        <f aca="false">IF($B1061="","",IF(NOT(ISNUMBER($B1061)),"日期格式不对",IF($C1061="","未选项目编号",IF(LEFT($M1061,1)="⚠","项目编号不存在",IF($D1061="","未选业务类型",IF($E1061="","未选开票/付款方",IF(ISNA(MATCH($E1061,单位档案!$A$6:$A$35,0)),"开票方不在单位档案",IF($F1061="","未选收票/收款方",IF(ISNA(MATCH($F1061,单位档案!$A$6:$A$35,0)),"收款方不在单位档案",IF(NOT(ISNUMBER($H1061)),"金额须为数字",IF(AND($D1061="销项开票",$N1061="—"),"链条待确认","√")))))))))))</f>
        <v/>
      </c>
      <c r="M1061" s="34" t="str">
        <f aca="false">IF($C1061="","",IFERROR(INDEX(项目档案!$B$6:$B$255,MATCH($C1061,项目档案!$A$6:$A$255,0)),"⚠项目编号不存在"))</f>
        <v/>
      </c>
      <c r="N1061" s="35" t="str">
        <f aca="false">IF($E1061="","",IF($E1061=IFERROR(INDEX(项目档案!$D$6:$D$255,MATCH($C1061,项目档案!$A$6:$A$255,0)),""),"一级",IF($E1061=IFERROR(INDEX(项目档案!$F$6:$F$255,MATCH($C1061,项目档案!$A$6:$A$255,0)),""),"二级",IF($E1061=IFERROR(INDEX(项目档案!$H$6:$H$255,MATCH($C1061,项目档案!$A$6:$A$255,0)),""),"我方","—"))))</f>
        <v/>
      </c>
      <c r="O1061" s="36" t="n">
        <f aca="false">IF($D1061&lt;&gt;"销项开票",0,ROUND(N($H1061)*N($I1061),2))</f>
        <v>0</v>
      </c>
      <c r="P1061" s="36" t="n">
        <f aca="false">IF($D1061&lt;&gt;"销项开票",0,ROUND(N($H1061)-$O1061,2))</f>
        <v>0</v>
      </c>
      <c r="Q1061" s="37" t="str">
        <f aca="false">IF($E1061="","",N(IFERROR(INDEX(单位档案!$E$6:$E$35,MATCH($E1061,单位档案!$A$6:$A$35,0)),"")))</f>
        <v/>
      </c>
      <c r="R1061" s="37" t="str">
        <f aca="false">IF($E1061="","",N(IFERROR(INDEX(单位档案!$F$6:$F$35,MATCH($E1061,单位档案!$A$6:$A$35,0)),"")))</f>
        <v/>
      </c>
      <c r="S1061" s="36" t="n">
        <f aca="false">IF(OR($D1061&lt;&gt;"销项开票",IFERROR(INDEX(单位档案!$G$6:$G$35,MATCH($E1061,单位档案!$A$6:$A$35,0)),"")&lt;&gt;"是",N($Q1061)=0),0,IF(IFERROR(INDEX(单位档案!$H$6:$H$35,MATCH($E1061,单位档案!$A$6:$A$35,0)),"")="税差法",ROUND(N($H1061)/(1+$Q1061)*$Q1061-IF(N($R1061)=0,0,$P1061/(1+$R1061)*$R1061),2),ROUND(N($H1061)/(1+$Q1061)*$Q1061,2)))</f>
        <v>0</v>
      </c>
      <c r="T1061" s="36" t="n">
        <f aca="false">ROUND($S1061*N(IFERROR(INDEX(单位档案!$J$6:$J$35,MATCH($E1061,单位档案!$A$6:$A$35,0)),"")),2)</f>
        <v>0</v>
      </c>
      <c r="U1061" s="36" t="n">
        <f aca="false">IF($D1061&lt;&gt;"销项开票",0,ROUND(N($H1061)*N(IFERROR(INDEX(单位档案!$K$6:$K$35,MATCH($E1061,单位档案!$A$6:$A$35,0)),"")),2))</f>
        <v>0</v>
      </c>
      <c r="V1061" s="36" t="n">
        <f aca="false">IF(OR($D1061&lt;&gt;"销项开票",N($Q1061)=0),0,ROUND(N($H1061)/(1+$Q1061)*N(IFERROR(INDEX(单位档案!$L$6:$L$35,MATCH($E1061,单位档案!$A$6:$A$35,0)),"")),2))</f>
        <v>0</v>
      </c>
      <c r="W1061" s="36" t="n">
        <f aca="false">ROUND($S1061+$T1061+$U1061+$V1061,2)</f>
        <v>0</v>
      </c>
      <c r="X1061" s="35" t="str">
        <f aca="false">IF(OR($D1061="挂靠代收",$D1061="我方收款"),COUNTIFS($D$5:$D1061,"挂靠代收")+COUNTIFS($D$5:$D1061,"我方收款"),"")</f>
        <v/>
      </c>
      <c r="Y1061" s="35"/>
      <c r="Z1061" s="21" t="s">
        <v>111</v>
      </c>
    </row>
    <row r="1062" customFormat="false" ht="15.75" hidden="false" customHeight="true" outlineLevel="0" collapsed="false">
      <c r="A1062" s="32" t="str">
        <f aca="false">IF($B1062="","",ROW()-4)</f>
        <v/>
      </c>
      <c r="B1062" s="26"/>
      <c r="C1062" s="24"/>
      <c r="D1062" s="21"/>
      <c r="E1062" s="21"/>
      <c r="F1062" s="21"/>
      <c r="G1062" s="21"/>
      <c r="H1062" s="27"/>
      <c r="I1062" s="23" t="str">
        <f aca="false">IF($D1062&lt;&gt;"销项开票","",IF($N1062="一级",IF(IFERROR(INDEX(项目档案!$E$6:$E$255,MATCH($C1062,项目档案!$A$6:$A$255,0)),"")="",N(IFERROR(INDEX(单位档案!$D$6:$D$35,MATCH($E1062,单位档案!$A$6:$A$35,0)),"")),IFERROR(INDEX(项目档案!$E$6:$E$255,MATCH($C1062,项目档案!$A$6:$A$255,0)),"")),IF($N1062="二级",IF(IFERROR(INDEX(项目档案!$G$6:$G$255,MATCH($C1062,项目档案!$A$6:$A$255,0)),"")="",N(IFERROR(INDEX(单位档案!$D$6:$D$35,MATCH($E1062,单位档案!$A$6:$A$35,0)),"")),IFERROR(INDEX(项目档案!$G$6:$G$255,MATCH($C1062,项目档案!$A$6:$A$255,0)),"")),N(IFERROR(INDEX(单位档案!$D$6:$D$35,MATCH($E1062,单位档案!$A$6:$A$35,0)),"")))))</f>
        <v/>
      </c>
      <c r="J1062" s="22"/>
      <c r="K1062" s="22"/>
      <c r="L1062" s="33" t="str">
        <f aca="false">IF($B1062="","",IF(NOT(ISNUMBER($B1062)),"日期格式不对",IF($C1062="","未选项目编号",IF(LEFT($M1062,1)="⚠","项目编号不存在",IF($D1062="","未选业务类型",IF($E1062="","未选开票/付款方",IF(ISNA(MATCH($E1062,单位档案!$A$6:$A$35,0)),"开票方不在单位档案",IF($F1062="","未选收票/收款方",IF(ISNA(MATCH($F1062,单位档案!$A$6:$A$35,0)),"收款方不在单位档案",IF(NOT(ISNUMBER($H1062)),"金额须为数字",IF(AND($D1062="销项开票",$N1062="—"),"链条待确认","√")))))))))))</f>
        <v/>
      </c>
      <c r="M1062" s="34" t="str">
        <f aca="false">IF($C1062="","",IFERROR(INDEX(项目档案!$B$6:$B$255,MATCH($C1062,项目档案!$A$6:$A$255,0)),"⚠项目编号不存在"))</f>
        <v/>
      </c>
      <c r="N1062" s="35" t="str">
        <f aca="false">IF($E1062="","",IF($E1062=IFERROR(INDEX(项目档案!$D$6:$D$255,MATCH($C1062,项目档案!$A$6:$A$255,0)),""),"一级",IF($E1062=IFERROR(INDEX(项目档案!$F$6:$F$255,MATCH($C1062,项目档案!$A$6:$A$255,0)),""),"二级",IF($E1062=IFERROR(INDEX(项目档案!$H$6:$H$255,MATCH($C1062,项目档案!$A$6:$A$255,0)),""),"我方","—"))))</f>
        <v/>
      </c>
      <c r="O1062" s="36" t="n">
        <f aca="false">IF($D1062&lt;&gt;"销项开票",0,ROUND(N($H1062)*N($I1062),2))</f>
        <v>0</v>
      </c>
      <c r="P1062" s="36" t="n">
        <f aca="false">IF($D1062&lt;&gt;"销项开票",0,ROUND(N($H1062)-$O1062,2))</f>
        <v>0</v>
      </c>
      <c r="Q1062" s="37" t="str">
        <f aca="false">IF($E1062="","",N(IFERROR(INDEX(单位档案!$E$6:$E$35,MATCH($E1062,单位档案!$A$6:$A$35,0)),"")))</f>
        <v/>
      </c>
      <c r="R1062" s="37" t="str">
        <f aca="false">IF($E1062="","",N(IFERROR(INDEX(单位档案!$F$6:$F$35,MATCH($E1062,单位档案!$A$6:$A$35,0)),"")))</f>
        <v/>
      </c>
      <c r="S1062" s="36" t="n">
        <f aca="false">IF(OR($D1062&lt;&gt;"销项开票",IFERROR(INDEX(单位档案!$G$6:$G$35,MATCH($E1062,单位档案!$A$6:$A$35,0)),"")&lt;&gt;"是",N($Q1062)=0),0,IF(IFERROR(INDEX(单位档案!$H$6:$H$35,MATCH($E1062,单位档案!$A$6:$A$35,0)),"")="税差法",ROUND(N($H1062)/(1+$Q1062)*$Q1062-IF(N($R1062)=0,0,$P1062/(1+$R1062)*$R1062),2),ROUND(N($H1062)/(1+$Q1062)*$Q1062,2)))</f>
        <v>0</v>
      </c>
      <c r="T1062" s="36" t="n">
        <f aca="false">ROUND($S1062*N(IFERROR(INDEX(单位档案!$J$6:$J$35,MATCH($E1062,单位档案!$A$6:$A$35,0)),"")),2)</f>
        <v>0</v>
      </c>
      <c r="U1062" s="36" t="n">
        <f aca="false">IF($D1062&lt;&gt;"销项开票",0,ROUND(N($H1062)*N(IFERROR(INDEX(单位档案!$K$6:$K$35,MATCH($E1062,单位档案!$A$6:$A$35,0)),"")),2))</f>
        <v>0</v>
      </c>
      <c r="V1062" s="36" t="n">
        <f aca="false">IF(OR($D1062&lt;&gt;"销项开票",N($Q1062)=0),0,ROUND(N($H1062)/(1+$Q1062)*N(IFERROR(INDEX(单位档案!$L$6:$L$35,MATCH($E1062,单位档案!$A$6:$A$35,0)),"")),2))</f>
        <v>0</v>
      </c>
      <c r="W1062" s="36" t="n">
        <f aca="false">ROUND($S1062+$T1062+$U1062+$V1062,2)</f>
        <v>0</v>
      </c>
      <c r="X1062" s="35" t="str">
        <f aca="false">IF(OR($D1062="挂靠代收",$D1062="我方收款"),COUNTIFS($D$5:$D1062,"挂靠代收")+COUNTIFS($D$5:$D1062,"我方收款"),"")</f>
        <v/>
      </c>
      <c r="Y1062" s="35"/>
      <c r="Z1062" s="21" t="s">
        <v>111</v>
      </c>
    </row>
    <row r="1063" customFormat="false" ht="15.75" hidden="false" customHeight="true" outlineLevel="0" collapsed="false">
      <c r="A1063" s="32" t="str">
        <f aca="false">IF($B1063="","",ROW()-4)</f>
        <v/>
      </c>
      <c r="B1063" s="26"/>
      <c r="C1063" s="24"/>
      <c r="D1063" s="21"/>
      <c r="E1063" s="21"/>
      <c r="F1063" s="21"/>
      <c r="G1063" s="21"/>
      <c r="H1063" s="27"/>
      <c r="I1063" s="23" t="str">
        <f aca="false">IF($D1063&lt;&gt;"销项开票","",IF($N1063="一级",IF(IFERROR(INDEX(项目档案!$E$6:$E$255,MATCH($C1063,项目档案!$A$6:$A$255,0)),"")="",N(IFERROR(INDEX(单位档案!$D$6:$D$35,MATCH($E1063,单位档案!$A$6:$A$35,0)),"")),IFERROR(INDEX(项目档案!$E$6:$E$255,MATCH($C1063,项目档案!$A$6:$A$255,0)),"")),IF($N1063="二级",IF(IFERROR(INDEX(项目档案!$G$6:$G$255,MATCH($C1063,项目档案!$A$6:$A$255,0)),"")="",N(IFERROR(INDEX(单位档案!$D$6:$D$35,MATCH($E1063,单位档案!$A$6:$A$35,0)),"")),IFERROR(INDEX(项目档案!$G$6:$G$255,MATCH($C1063,项目档案!$A$6:$A$255,0)),"")),N(IFERROR(INDEX(单位档案!$D$6:$D$35,MATCH($E1063,单位档案!$A$6:$A$35,0)),"")))))</f>
        <v/>
      </c>
      <c r="J1063" s="22"/>
      <c r="K1063" s="22"/>
      <c r="L1063" s="33" t="str">
        <f aca="false">IF($B1063="","",IF(NOT(ISNUMBER($B1063)),"日期格式不对",IF($C1063="","未选项目编号",IF(LEFT($M1063,1)="⚠","项目编号不存在",IF($D1063="","未选业务类型",IF($E1063="","未选开票/付款方",IF(ISNA(MATCH($E1063,单位档案!$A$6:$A$35,0)),"开票方不在单位档案",IF($F1063="","未选收票/收款方",IF(ISNA(MATCH($F1063,单位档案!$A$6:$A$35,0)),"收款方不在单位档案",IF(NOT(ISNUMBER($H1063)),"金额须为数字",IF(AND($D1063="销项开票",$N1063="—"),"链条待确认","√")))))))))))</f>
        <v/>
      </c>
      <c r="M1063" s="34" t="str">
        <f aca="false">IF($C1063="","",IFERROR(INDEX(项目档案!$B$6:$B$255,MATCH($C1063,项目档案!$A$6:$A$255,0)),"⚠项目编号不存在"))</f>
        <v/>
      </c>
      <c r="N1063" s="35" t="str">
        <f aca="false">IF($E1063="","",IF($E1063=IFERROR(INDEX(项目档案!$D$6:$D$255,MATCH($C1063,项目档案!$A$6:$A$255,0)),""),"一级",IF($E1063=IFERROR(INDEX(项目档案!$F$6:$F$255,MATCH($C1063,项目档案!$A$6:$A$255,0)),""),"二级",IF($E1063=IFERROR(INDEX(项目档案!$H$6:$H$255,MATCH($C1063,项目档案!$A$6:$A$255,0)),""),"我方","—"))))</f>
        <v/>
      </c>
      <c r="O1063" s="36" t="n">
        <f aca="false">IF($D1063&lt;&gt;"销项开票",0,ROUND(N($H1063)*N($I1063),2))</f>
        <v>0</v>
      </c>
      <c r="P1063" s="36" t="n">
        <f aca="false">IF($D1063&lt;&gt;"销项开票",0,ROUND(N($H1063)-$O1063,2))</f>
        <v>0</v>
      </c>
      <c r="Q1063" s="37" t="str">
        <f aca="false">IF($E1063="","",N(IFERROR(INDEX(单位档案!$E$6:$E$35,MATCH($E1063,单位档案!$A$6:$A$35,0)),"")))</f>
        <v/>
      </c>
      <c r="R1063" s="37" t="str">
        <f aca="false">IF($E1063="","",N(IFERROR(INDEX(单位档案!$F$6:$F$35,MATCH($E1063,单位档案!$A$6:$A$35,0)),"")))</f>
        <v/>
      </c>
      <c r="S1063" s="36" t="n">
        <f aca="false">IF(OR($D1063&lt;&gt;"销项开票",IFERROR(INDEX(单位档案!$G$6:$G$35,MATCH($E1063,单位档案!$A$6:$A$35,0)),"")&lt;&gt;"是",N($Q1063)=0),0,IF(IFERROR(INDEX(单位档案!$H$6:$H$35,MATCH($E1063,单位档案!$A$6:$A$35,0)),"")="税差法",ROUND(N($H1063)/(1+$Q1063)*$Q1063-IF(N($R1063)=0,0,$P1063/(1+$R1063)*$R1063),2),ROUND(N($H1063)/(1+$Q1063)*$Q1063,2)))</f>
        <v>0</v>
      </c>
      <c r="T1063" s="36" t="n">
        <f aca="false">ROUND($S1063*N(IFERROR(INDEX(单位档案!$J$6:$J$35,MATCH($E1063,单位档案!$A$6:$A$35,0)),"")),2)</f>
        <v>0</v>
      </c>
      <c r="U1063" s="36" t="n">
        <f aca="false">IF($D1063&lt;&gt;"销项开票",0,ROUND(N($H1063)*N(IFERROR(INDEX(单位档案!$K$6:$K$35,MATCH($E1063,单位档案!$A$6:$A$35,0)),"")),2))</f>
        <v>0</v>
      </c>
      <c r="V1063" s="36" t="n">
        <f aca="false">IF(OR($D1063&lt;&gt;"销项开票",N($Q1063)=0),0,ROUND(N($H1063)/(1+$Q1063)*N(IFERROR(INDEX(单位档案!$L$6:$L$35,MATCH($E1063,单位档案!$A$6:$A$35,0)),"")),2))</f>
        <v>0</v>
      </c>
      <c r="W1063" s="36" t="n">
        <f aca="false">ROUND($S1063+$T1063+$U1063+$V1063,2)</f>
        <v>0</v>
      </c>
      <c r="X1063" s="35" t="str">
        <f aca="false">IF(OR($D1063="挂靠代收",$D1063="我方收款"),COUNTIFS($D$5:$D1063,"挂靠代收")+COUNTIFS($D$5:$D1063,"我方收款"),"")</f>
        <v/>
      </c>
      <c r="Y1063" s="35"/>
      <c r="Z1063" s="21" t="s">
        <v>111</v>
      </c>
    </row>
    <row r="1064" customFormat="false" ht="15.75" hidden="false" customHeight="true" outlineLevel="0" collapsed="false">
      <c r="A1064" s="32" t="str">
        <f aca="false">IF($B1064="","",ROW()-4)</f>
        <v/>
      </c>
      <c r="B1064" s="26"/>
      <c r="C1064" s="24"/>
      <c r="D1064" s="21"/>
      <c r="E1064" s="21"/>
      <c r="F1064" s="21"/>
      <c r="G1064" s="21"/>
      <c r="H1064" s="27"/>
      <c r="I1064" s="23" t="str">
        <f aca="false">IF($D1064&lt;&gt;"销项开票","",IF($N1064="一级",IF(IFERROR(INDEX(项目档案!$E$6:$E$255,MATCH($C1064,项目档案!$A$6:$A$255,0)),"")="",N(IFERROR(INDEX(单位档案!$D$6:$D$35,MATCH($E1064,单位档案!$A$6:$A$35,0)),"")),IFERROR(INDEX(项目档案!$E$6:$E$255,MATCH($C1064,项目档案!$A$6:$A$255,0)),"")),IF($N1064="二级",IF(IFERROR(INDEX(项目档案!$G$6:$G$255,MATCH($C1064,项目档案!$A$6:$A$255,0)),"")="",N(IFERROR(INDEX(单位档案!$D$6:$D$35,MATCH($E1064,单位档案!$A$6:$A$35,0)),"")),IFERROR(INDEX(项目档案!$G$6:$G$255,MATCH($C1064,项目档案!$A$6:$A$255,0)),"")),N(IFERROR(INDEX(单位档案!$D$6:$D$35,MATCH($E1064,单位档案!$A$6:$A$35,0)),"")))))</f>
        <v/>
      </c>
      <c r="J1064" s="22"/>
      <c r="K1064" s="22"/>
      <c r="L1064" s="33" t="str">
        <f aca="false">IF($B1064="","",IF(NOT(ISNUMBER($B1064)),"日期格式不对",IF($C1064="","未选项目编号",IF(LEFT($M1064,1)="⚠","项目编号不存在",IF($D1064="","未选业务类型",IF($E1064="","未选开票/付款方",IF(ISNA(MATCH($E1064,单位档案!$A$6:$A$35,0)),"开票方不在单位档案",IF($F1064="","未选收票/收款方",IF(ISNA(MATCH($F1064,单位档案!$A$6:$A$35,0)),"收款方不在单位档案",IF(NOT(ISNUMBER($H1064)),"金额须为数字",IF(AND($D1064="销项开票",$N1064="—"),"链条待确认","√")))))))))))</f>
        <v/>
      </c>
      <c r="M1064" s="34" t="str">
        <f aca="false">IF($C1064="","",IFERROR(INDEX(项目档案!$B$6:$B$255,MATCH($C1064,项目档案!$A$6:$A$255,0)),"⚠项目编号不存在"))</f>
        <v/>
      </c>
      <c r="N1064" s="35" t="str">
        <f aca="false">IF($E1064="","",IF($E1064=IFERROR(INDEX(项目档案!$D$6:$D$255,MATCH($C1064,项目档案!$A$6:$A$255,0)),""),"一级",IF($E1064=IFERROR(INDEX(项目档案!$F$6:$F$255,MATCH($C1064,项目档案!$A$6:$A$255,0)),""),"二级",IF($E1064=IFERROR(INDEX(项目档案!$H$6:$H$255,MATCH($C1064,项目档案!$A$6:$A$255,0)),""),"我方","—"))))</f>
        <v/>
      </c>
      <c r="O1064" s="36" t="n">
        <f aca="false">IF($D1064&lt;&gt;"销项开票",0,ROUND(N($H1064)*N($I1064),2))</f>
        <v>0</v>
      </c>
      <c r="P1064" s="36" t="n">
        <f aca="false">IF($D1064&lt;&gt;"销项开票",0,ROUND(N($H1064)-$O1064,2))</f>
        <v>0</v>
      </c>
      <c r="Q1064" s="37" t="str">
        <f aca="false">IF($E1064="","",N(IFERROR(INDEX(单位档案!$E$6:$E$35,MATCH($E1064,单位档案!$A$6:$A$35,0)),"")))</f>
        <v/>
      </c>
      <c r="R1064" s="37" t="str">
        <f aca="false">IF($E1064="","",N(IFERROR(INDEX(单位档案!$F$6:$F$35,MATCH($E1064,单位档案!$A$6:$A$35,0)),"")))</f>
        <v/>
      </c>
      <c r="S1064" s="36" t="n">
        <f aca="false">IF(OR($D1064&lt;&gt;"销项开票",IFERROR(INDEX(单位档案!$G$6:$G$35,MATCH($E1064,单位档案!$A$6:$A$35,0)),"")&lt;&gt;"是",N($Q1064)=0),0,IF(IFERROR(INDEX(单位档案!$H$6:$H$35,MATCH($E1064,单位档案!$A$6:$A$35,0)),"")="税差法",ROUND(N($H1064)/(1+$Q1064)*$Q1064-IF(N($R1064)=0,0,$P1064/(1+$R1064)*$R1064),2),ROUND(N($H1064)/(1+$Q1064)*$Q1064,2)))</f>
        <v>0</v>
      </c>
      <c r="T1064" s="36" t="n">
        <f aca="false">ROUND($S1064*N(IFERROR(INDEX(单位档案!$J$6:$J$35,MATCH($E1064,单位档案!$A$6:$A$35,0)),"")),2)</f>
        <v>0</v>
      </c>
      <c r="U1064" s="36" t="n">
        <f aca="false">IF($D1064&lt;&gt;"销项开票",0,ROUND(N($H1064)*N(IFERROR(INDEX(单位档案!$K$6:$K$35,MATCH($E1064,单位档案!$A$6:$A$35,0)),"")),2))</f>
        <v>0</v>
      </c>
      <c r="V1064" s="36" t="n">
        <f aca="false">IF(OR($D1064&lt;&gt;"销项开票",N($Q1064)=0),0,ROUND(N($H1064)/(1+$Q1064)*N(IFERROR(INDEX(单位档案!$L$6:$L$35,MATCH($E1064,单位档案!$A$6:$A$35,0)),"")),2))</f>
        <v>0</v>
      </c>
      <c r="W1064" s="36" t="n">
        <f aca="false">ROUND($S1064+$T1064+$U1064+$V1064,2)</f>
        <v>0</v>
      </c>
      <c r="X1064" s="35" t="str">
        <f aca="false">IF(OR($D1064="挂靠代收",$D1064="我方收款"),COUNTIFS($D$5:$D1064,"挂靠代收")+COUNTIFS($D$5:$D1064,"我方收款"),"")</f>
        <v/>
      </c>
      <c r="Y1064" s="35"/>
      <c r="Z1064" s="21" t="s">
        <v>111</v>
      </c>
    </row>
    <row r="1065" customFormat="false" ht="15.75" hidden="false" customHeight="true" outlineLevel="0" collapsed="false">
      <c r="A1065" s="32" t="str">
        <f aca="false">IF($B1065="","",ROW()-4)</f>
        <v/>
      </c>
      <c r="B1065" s="26"/>
      <c r="C1065" s="24"/>
      <c r="D1065" s="21"/>
      <c r="E1065" s="21"/>
      <c r="F1065" s="21"/>
      <c r="G1065" s="21"/>
      <c r="H1065" s="27"/>
      <c r="I1065" s="23" t="str">
        <f aca="false">IF($D1065&lt;&gt;"销项开票","",IF($N1065="一级",IF(IFERROR(INDEX(项目档案!$E$6:$E$255,MATCH($C1065,项目档案!$A$6:$A$255,0)),"")="",N(IFERROR(INDEX(单位档案!$D$6:$D$35,MATCH($E1065,单位档案!$A$6:$A$35,0)),"")),IFERROR(INDEX(项目档案!$E$6:$E$255,MATCH($C1065,项目档案!$A$6:$A$255,0)),"")),IF($N1065="二级",IF(IFERROR(INDEX(项目档案!$G$6:$G$255,MATCH($C1065,项目档案!$A$6:$A$255,0)),"")="",N(IFERROR(INDEX(单位档案!$D$6:$D$35,MATCH($E1065,单位档案!$A$6:$A$35,0)),"")),IFERROR(INDEX(项目档案!$G$6:$G$255,MATCH($C1065,项目档案!$A$6:$A$255,0)),"")),N(IFERROR(INDEX(单位档案!$D$6:$D$35,MATCH($E1065,单位档案!$A$6:$A$35,0)),"")))))</f>
        <v/>
      </c>
      <c r="J1065" s="22"/>
      <c r="K1065" s="22"/>
      <c r="L1065" s="33" t="str">
        <f aca="false">IF($B1065="","",IF(NOT(ISNUMBER($B1065)),"日期格式不对",IF($C1065="","未选项目编号",IF(LEFT($M1065,1)="⚠","项目编号不存在",IF($D1065="","未选业务类型",IF($E1065="","未选开票/付款方",IF(ISNA(MATCH($E1065,单位档案!$A$6:$A$35,0)),"开票方不在单位档案",IF($F1065="","未选收票/收款方",IF(ISNA(MATCH($F1065,单位档案!$A$6:$A$35,0)),"收款方不在单位档案",IF(NOT(ISNUMBER($H1065)),"金额须为数字",IF(AND($D1065="销项开票",$N1065="—"),"链条待确认","√")))))))))))</f>
        <v/>
      </c>
      <c r="M1065" s="34" t="str">
        <f aca="false">IF($C1065="","",IFERROR(INDEX(项目档案!$B$6:$B$255,MATCH($C1065,项目档案!$A$6:$A$255,0)),"⚠项目编号不存在"))</f>
        <v/>
      </c>
      <c r="N1065" s="35" t="str">
        <f aca="false">IF($E1065="","",IF($E1065=IFERROR(INDEX(项目档案!$D$6:$D$255,MATCH($C1065,项目档案!$A$6:$A$255,0)),""),"一级",IF($E1065=IFERROR(INDEX(项目档案!$F$6:$F$255,MATCH($C1065,项目档案!$A$6:$A$255,0)),""),"二级",IF($E1065=IFERROR(INDEX(项目档案!$H$6:$H$255,MATCH($C1065,项目档案!$A$6:$A$255,0)),""),"我方","—"))))</f>
        <v/>
      </c>
      <c r="O1065" s="36" t="n">
        <f aca="false">IF($D1065&lt;&gt;"销项开票",0,ROUND(N($H1065)*N($I1065),2))</f>
        <v>0</v>
      </c>
      <c r="P1065" s="36" t="n">
        <f aca="false">IF($D1065&lt;&gt;"销项开票",0,ROUND(N($H1065)-$O1065,2))</f>
        <v>0</v>
      </c>
      <c r="Q1065" s="37" t="str">
        <f aca="false">IF($E1065="","",N(IFERROR(INDEX(单位档案!$E$6:$E$35,MATCH($E1065,单位档案!$A$6:$A$35,0)),"")))</f>
        <v/>
      </c>
      <c r="R1065" s="37" t="str">
        <f aca="false">IF($E1065="","",N(IFERROR(INDEX(单位档案!$F$6:$F$35,MATCH($E1065,单位档案!$A$6:$A$35,0)),"")))</f>
        <v/>
      </c>
      <c r="S1065" s="36" t="n">
        <f aca="false">IF(OR($D1065&lt;&gt;"销项开票",IFERROR(INDEX(单位档案!$G$6:$G$35,MATCH($E1065,单位档案!$A$6:$A$35,0)),"")&lt;&gt;"是",N($Q1065)=0),0,IF(IFERROR(INDEX(单位档案!$H$6:$H$35,MATCH($E1065,单位档案!$A$6:$A$35,0)),"")="税差法",ROUND(N($H1065)/(1+$Q1065)*$Q1065-IF(N($R1065)=0,0,$P1065/(1+$R1065)*$R1065),2),ROUND(N($H1065)/(1+$Q1065)*$Q1065,2)))</f>
        <v>0</v>
      </c>
      <c r="T1065" s="36" t="n">
        <f aca="false">ROUND($S1065*N(IFERROR(INDEX(单位档案!$J$6:$J$35,MATCH($E1065,单位档案!$A$6:$A$35,0)),"")),2)</f>
        <v>0</v>
      </c>
      <c r="U1065" s="36" t="n">
        <f aca="false">IF($D1065&lt;&gt;"销项开票",0,ROUND(N($H1065)*N(IFERROR(INDEX(单位档案!$K$6:$K$35,MATCH($E1065,单位档案!$A$6:$A$35,0)),"")),2))</f>
        <v>0</v>
      </c>
      <c r="V1065" s="36" t="n">
        <f aca="false">IF(OR($D1065&lt;&gt;"销项开票",N($Q1065)=0),0,ROUND(N($H1065)/(1+$Q1065)*N(IFERROR(INDEX(单位档案!$L$6:$L$35,MATCH($E1065,单位档案!$A$6:$A$35,0)),"")),2))</f>
        <v>0</v>
      </c>
      <c r="W1065" s="36" t="n">
        <f aca="false">ROUND($S1065+$T1065+$U1065+$V1065,2)</f>
        <v>0</v>
      </c>
      <c r="X1065" s="35" t="str">
        <f aca="false">IF(OR($D1065="挂靠代收",$D1065="我方收款"),COUNTIFS($D$5:$D1065,"挂靠代收")+COUNTIFS($D$5:$D1065,"我方收款"),"")</f>
        <v/>
      </c>
      <c r="Y1065" s="35"/>
      <c r="Z1065" s="21" t="s">
        <v>111</v>
      </c>
    </row>
    <row r="1066" customFormat="false" ht="15.75" hidden="false" customHeight="true" outlineLevel="0" collapsed="false">
      <c r="A1066" s="32" t="str">
        <f aca="false">IF($B1066="","",ROW()-4)</f>
        <v/>
      </c>
      <c r="B1066" s="26"/>
      <c r="C1066" s="24"/>
      <c r="D1066" s="21"/>
      <c r="E1066" s="21"/>
      <c r="F1066" s="21"/>
      <c r="G1066" s="21"/>
      <c r="H1066" s="27"/>
      <c r="I1066" s="23" t="str">
        <f aca="false">IF($D1066&lt;&gt;"销项开票","",IF($N1066="一级",IF(IFERROR(INDEX(项目档案!$E$6:$E$255,MATCH($C1066,项目档案!$A$6:$A$255,0)),"")="",N(IFERROR(INDEX(单位档案!$D$6:$D$35,MATCH($E1066,单位档案!$A$6:$A$35,0)),"")),IFERROR(INDEX(项目档案!$E$6:$E$255,MATCH($C1066,项目档案!$A$6:$A$255,0)),"")),IF($N1066="二级",IF(IFERROR(INDEX(项目档案!$G$6:$G$255,MATCH($C1066,项目档案!$A$6:$A$255,0)),"")="",N(IFERROR(INDEX(单位档案!$D$6:$D$35,MATCH($E1066,单位档案!$A$6:$A$35,0)),"")),IFERROR(INDEX(项目档案!$G$6:$G$255,MATCH($C1066,项目档案!$A$6:$A$255,0)),"")),N(IFERROR(INDEX(单位档案!$D$6:$D$35,MATCH($E1066,单位档案!$A$6:$A$35,0)),"")))))</f>
        <v/>
      </c>
      <c r="J1066" s="22"/>
      <c r="K1066" s="22"/>
      <c r="L1066" s="33" t="str">
        <f aca="false">IF($B1066="","",IF(NOT(ISNUMBER($B1066)),"日期格式不对",IF($C1066="","未选项目编号",IF(LEFT($M1066,1)="⚠","项目编号不存在",IF($D1066="","未选业务类型",IF($E1066="","未选开票/付款方",IF(ISNA(MATCH($E1066,单位档案!$A$6:$A$35,0)),"开票方不在单位档案",IF($F1066="","未选收票/收款方",IF(ISNA(MATCH($F1066,单位档案!$A$6:$A$35,0)),"收款方不在单位档案",IF(NOT(ISNUMBER($H1066)),"金额须为数字",IF(AND($D1066="销项开票",$N1066="—"),"链条待确认","√")))))))))))</f>
        <v/>
      </c>
      <c r="M1066" s="34" t="str">
        <f aca="false">IF($C1066="","",IFERROR(INDEX(项目档案!$B$6:$B$255,MATCH($C1066,项目档案!$A$6:$A$255,0)),"⚠项目编号不存在"))</f>
        <v/>
      </c>
      <c r="N1066" s="35" t="str">
        <f aca="false">IF($E1066="","",IF($E1066=IFERROR(INDEX(项目档案!$D$6:$D$255,MATCH($C1066,项目档案!$A$6:$A$255,0)),""),"一级",IF($E1066=IFERROR(INDEX(项目档案!$F$6:$F$255,MATCH($C1066,项目档案!$A$6:$A$255,0)),""),"二级",IF($E1066=IFERROR(INDEX(项目档案!$H$6:$H$255,MATCH($C1066,项目档案!$A$6:$A$255,0)),""),"我方","—"))))</f>
        <v/>
      </c>
      <c r="O1066" s="36" t="n">
        <f aca="false">IF($D1066&lt;&gt;"销项开票",0,ROUND(N($H1066)*N($I1066),2))</f>
        <v>0</v>
      </c>
      <c r="P1066" s="36" t="n">
        <f aca="false">IF($D1066&lt;&gt;"销项开票",0,ROUND(N($H1066)-$O1066,2))</f>
        <v>0</v>
      </c>
      <c r="Q1066" s="37" t="str">
        <f aca="false">IF($E1066="","",N(IFERROR(INDEX(单位档案!$E$6:$E$35,MATCH($E1066,单位档案!$A$6:$A$35,0)),"")))</f>
        <v/>
      </c>
      <c r="R1066" s="37" t="str">
        <f aca="false">IF($E1066="","",N(IFERROR(INDEX(单位档案!$F$6:$F$35,MATCH($E1066,单位档案!$A$6:$A$35,0)),"")))</f>
        <v/>
      </c>
      <c r="S1066" s="36" t="n">
        <f aca="false">IF(OR($D1066&lt;&gt;"销项开票",IFERROR(INDEX(单位档案!$G$6:$G$35,MATCH($E1066,单位档案!$A$6:$A$35,0)),"")&lt;&gt;"是",N($Q1066)=0),0,IF(IFERROR(INDEX(单位档案!$H$6:$H$35,MATCH($E1066,单位档案!$A$6:$A$35,0)),"")="税差法",ROUND(N($H1066)/(1+$Q1066)*$Q1066-IF(N($R1066)=0,0,$P1066/(1+$R1066)*$R1066),2),ROUND(N($H1066)/(1+$Q1066)*$Q1066,2)))</f>
        <v>0</v>
      </c>
      <c r="T1066" s="36" t="n">
        <f aca="false">ROUND($S1066*N(IFERROR(INDEX(单位档案!$J$6:$J$35,MATCH($E1066,单位档案!$A$6:$A$35,0)),"")),2)</f>
        <v>0</v>
      </c>
      <c r="U1066" s="36" t="n">
        <f aca="false">IF($D1066&lt;&gt;"销项开票",0,ROUND(N($H1066)*N(IFERROR(INDEX(单位档案!$K$6:$K$35,MATCH($E1066,单位档案!$A$6:$A$35,0)),"")),2))</f>
        <v>0</v>
      </c>
      <c r="V1066" s="36" t="n">
        <f aca="false">IF(OR($D1066&lt;&gt;"销项开票",N($Q1066)=0),0,ROUND(N($H1066)/(1+$Q1066)*N(IFERROR(INDEX(单位档案!$L$6:$L$35,MATCH($E1066,单位档案!$A$6:$A$35,0)),"")),2))</f>
        <v>0</v>
      </c>
      <c r="W1066" s="36" t="n">
        <f aca="false">ROUND($S1066+$T1066+$U1066+$V1066,2)</f>
        <v>0</v>
      </c>
      <c r="X1066" s="35" t="str">
        <f aca="false">IF(OR($D1066="挂靠代收",$D1066="我方收款"),COUNTIFS($D$5:$D1066,"挂靠代收")+COUNTIFS($D$5:$D1066,"我方收款"),"")</f>
        <v/>
      </c>
      <c r="Y1066" s="35"/>
      <c r="Z1066" s="21" t="s">
        <v>111</v>
      </c>
    </row>
    <row r="1067" customFormat="false" ht="15.75" hidden="false" customHeight="true" outlineLevel="0" collapsed="false">
      <c r="A1067" s="32" t="str">
        <f aca="false">IF($B1067="","",ROW()-4)</f>
        <v/>
      </c>
      <c r="B1067" s="26"/>
      <c r="C1067" s="24"/>
      <c r="D1067" s="21"/>
      <c r="E1067" s="21"/>
      <c r="F1067" s="21"/>
      <c r="G1067" s="21"/>
      <c r="H1067" s="27"/>
      <c r="I1067" s="23" t="str">
        <f aca="false">IF($D1067&lt;&gt;"销项开票","",IF($N1067="一级",IF(IFERROR(INDEX(项目档案!$E$6:$E$255,MATCH($C1067,项目档案!$A$6:$A$255,0)),"")="",N(IFERROR(INDEX(单位档案!$D$6:$D$35,MATCH($E1067,单位档案!$A$6:$A$35,0)),"")),IFERROR(INDEX(项目档案!$E$6:$E$255,MATCH($C1067,项目档案!$A$6:$A$255,0)),"")),IF($N1067="二级",IF(IFERROR(INDEX(项目档案!$G$6:$G$255,MATCH($C1067,项目档案!$A$6:$A$255,0)),"")="",N(IFERROR(INDEX(单位档案!$D$6:$D$35,MATCH($E1067,单位档案!$A$6:$A$35,0)),"")),IFERROR(INDEX(项目档案!$G$6:$G$255,MATCH($C1067,项目档案!$A$6:$A$255,0)),"")),N(IFERROR(INDEX(单位档案!$D$6:$D$35,MATCH($E1067,单位档案!$A$6:$A$35,0)),"")))))</f>
        <v/>
      </c>
      <c r="J1067" s="22"/>
      <c r="K1067" s="22"/>
      <c r="L1067" s="33" t="str">
        <f aca="false">IF($B1067="","",IF(NOT(ISNUMBER($B1067)),"日期格式不对",IF($C1067="","未选项目编号",IF(LEFT($M1067,1)="⚠","项目编号不存在",IF($D1067="","未选业务类型",IF($E1067="","未选开票/付款方",IF(ISNA(MATCH($E1067,单位档案!$A$6:$A$35,0)),"开票方不在单位档案",IF($F1067="","未选收票/收款方",IF(ISNA(MATCH($F1067,单位档案!$A$6:$A$35,0)),"收款方不在单位档案",IF(NOT(ISNUMBER($H1067)),"金额须为数字",IF(AND($D1067="销项开票",$N1067="—"),"链条待确认","√")))))))))))</f>
        <v/>
      </c>
      <c r="M1067" s="34" t="str">
        <f aca="false">IF($C1067="","",IFERROR(INDEX(项目档案!$B$6:$B$255,MATCH($C1067,项目档案!$A$6:$A$255,0)),"⚠项目编号不存在"))</f>
        <v/>
      </c>
      <c r="N1067" s="35" t="str">
        <f aca="false">IF($E1067="","",IF($E1067=IFERROR(INDEX(项目档案!$D$6:$D$255,MATCH($C1067,项目档案!$A$6:$A$255,0)),""),"一级",IF($E1067=IFERROR(INDEX(项目档案!$F$6:$F$255,MATCH($C1067,项目档案!$A$6:$A$255,0)),""),"二级",IF($E1067=IFERROR(INDEX(项目档案!$H$6:$H$255,MATCH($C1067,项目档案!$A$6:$A$255,0)),""),"我方","—"))))</f>
        <v/>
      </c>
      <c r="O1067" s="36" t="n">
        <f aca="false">IF($D1067&lt;&gt;"销项开票",0,ROUND(N($H1067)*N($I1067),2))</f>
        <v>0</v>
      </c>
      <c r="P1067" s="36" t="n">
        <f aca="false">IF($D1067&lt;&gt;"销项开票",0,ROUND(N($H1067)-$O1067,2))</f>
        <v>0</v>
      </c>
      <c r="Q1067" s="37" t="str">
        <f aca="false">IF($E1067="","",N(IFERROR(INDEX(单位档案!$E$6:$E$35,MATCH($E1067,单位档案!$A$6:$A$35,0)),"")))</f>
        <v/>
      </c>
      <c r="R1067" s="37" t="str">
        <f aca="false">IF($E1067="","",N(IFERROR(INDEX(单位档案!$F$6:$F$35,MATCH($E1067,单位档案!$A$6:$A$35,0)),"")))</f>
        <v/>
      </c>
      <c r="S1067" s="36" t="n">
        <f aca="false">IF(OR($D1067&lt;&gt;"销项开票",IFERROR(INDEX(单位档案!$G$6:$G$35,MATCH($E1067,单位档案!$A$6:$A$35,0)),"")&lt;&gt;"是",N($Q1067)=0),0,IF(IFERROR(INDEX(单位档案!$H$6:$H$35,MATCH($E1067,单位档案!$A$6:$A$35,0)),"")="税差法",ROUND(N($H1067)/(1+$Q1067)*$Q1067-IF(N($R1067)=0,0,$P1067/(1+$R1067)*$R1067),2),ROUND(N($H1067)/(1+$Q1067)*$Q1067,2)))</f>
        <v>0</v>
      </c>
      <c r="T1067" s="36" t="n">
        <f aca="false">ROUND($S1067*N(IFERROR(INDEX(单位档案!$J$6:$J$35,MATCH($E1067,单位档案!$A$6:$A$35,0)),"")),2)</f>
        <v>0</v>
      </c>
      <c r="U1067" s="36" t="n">
        <f aca="false">IF($D1067&lt;&gt;"销项开票",0,ROUND(N($H1067)*N(IFERROR(INDEX(单位档案!$K$6:$K$35,MATCH($E1067,单位档案!$A$6:$A$35,0)),"")),2))</f>
        <v>0</v>
      </c>
      <c r="V1067" s="36" t="n">
        <f aca="false">IF(OR($D1067&lt;&gt;"销项开票",N($Q1067)=0),0,ROUND(N($H1067)/(1+$Q1067)*N(IFERROR(INDEX(单位档案!$L$6:$L$35,MATCH($E1067,单位档案!$A$6:$A$35,0)),"")),2))</f>
        <v>0</v>
      </c>
      <c r="W1067" s="36" t="n">
        <f aca="false">ROUND($S1067+$T1067+$U1067+$V1067,2)</f>
        <v>0</v>
      </c>
      <c r="X1067" s="35" t="str">
        <f aca="false">IF(OR($D1067="挂靠代收",$D1067="我方收款"),COUNTIFS($D$5:$D1067,"挂靠代收")+COUNTIFS($D$5:$D1067,"我方收款"),"")</f>
        <v/>
      </c>
      <c r="Y1067" s="35"/>
      <c r="Z1067" s="21" t="s">
        <v>111</v>
      </c>
    </row>
    <row r="1068" customFormat="false" ht="15.75" hidden="false" customHeight="true" outlineLevel="0" collapsed="false">
      <c r="A1068" s="32" t="str">
        <f aca="false">IF($B1068="","",ROW()-4)</f>
        <v/>
      </c>
      <c r="B1068" s="26"/>
      <c r="C1068" s="24"/>
      <c r="D1068" s="21"/>
      <c r="E1068" s="21"/>
      <c r="F1068" s="21"/>
      <c r="G1068" s="21"/>
      <c r="H1068" s="27"/>
      <c r="I1068" s="23" t="str">
        <f aca="false">IF($D1068&lt;&gt;"销项开票","",IF($N1068="一级",IF(IFERROR(INDEX(项目档案!$E$6:$E$255,MATCH($C1068,项目档案!$A$6:$A$255,0)),"")="",N(IFERROR(INDEX(单位档案!$D$6:$D$35,MATCH($E1068,单位档案!$A$6:$A$35,0)),"")),IFERROR(INDEX(项目档案!$E$6:$E$255,MATCH($C1068,项目档案!$A$6:$A$255,0)),"")),IF($N1068="二级",IF(IFERROR(INDEX(项目档案!$G$6:$G$255,MATCH($C1068,项目档案!$A$6:$A$255,0)),"")="",N(IFERROR(INDEX(单位档案!$D$6:$D$35,MATCH($E1068,单位档案!$A$6:$A$35,0)),"")),IFERROR(INDEX(项目档案!$G$6:$G$255,MATCH($C1068,项目档案!$A$6:$A$255,0)),"")),N(IFERROR(INDEX(单位档案!$D$6:$D$35,MATCH($E1068,单位档案!$A$6:$A$35,0)),"")))))</f>
        <v/>
      </c>
      <c r="J1068" s="22"/>
      <c r="K1068" s="22"/>
      <c r="L1068" s="33" t="str">
        <f aca="false">IF($B1068="","",IF(NOT(ISNUMBER($B1068)),"日期格式不对",IF($C1068="","未选项目编号",IF(LEFT($M1068,1)="⚠","项目编号不存在",IF($D1068="","未选业务类型",IF($E1068="","未选开票/付款方",IF(ISNA(MATCH($E1068,单位档案!$A$6:$A$35,0)),"开票方不在单位档案",IF($F1068="","未选收票/收款方",IF(ISNA(MATCH($F1068,单位档案!$A$6:$A$35,0)),"收款方不在单位档案",IF(NOT(ISNUMBER($H1068)),"金额须为数字",IF(AND($D1068="销项开票",$N1068="—"),"链条待确认","√")))))))))))</f>
        <v/>
      </c>
      <c r="M1068" s="34" t="str">
        <f aca="false">IF($C1068="","",IFERROR(INDEX(项目档案!$B$6:$B$255,MATCH($C1068,项目档案!$A$6:$A$255,0)),"⚠项目编号不存在"))</f>
        <v/>
      </c>
      <c r="N1068" s="35" t="str">
        <f aca="false">IF($E1068="","",IF($E1068=IFERROR(INDEX(项目档案!$D$6:$D$255,MATCH($C1068,项目档案!$A$6:$A$255,0)),""),"一级",IF($E1068=IFERROR(INDEX(项目档案!$F$6:$F$255,MATCH($C1068,项目档案!$A$6:$A$255,0)),""),"二级",IF($E1068=IFERROR(INDEX(项目档案!$H$6:$H$255,MATCH($C1068,项目档案!$A$6:$A$255,0)),""),"我方","—"))))</f>
        <v/>
      </c>
      <c r="O1068" s="36" t="n">
        <f aca="false">IF($D1068&lt;&gt;"销项开票",0,ROUND(N($H1068)*N($I1068),2))</f>
        <v>0</v>
      </c>
      <c r="P1068" s="36" t="n">
        <f aca="false">IF($D1068&lt;&gt;"销项开票",0,ROUND(N($H1068)-$O1068,2))</f>
        <v>0</v>
      </c>
      <c r="Q1068" s="37" t="str">
        <f aca="false">IF($E1068="","",N(IFERROR(INDEX(单位档案!$E$6:$E$35,MATCH($E1068,单位档案!$A$6:$A$35,0)),"")))</f>
        <v/>
      </c>
      <c r="R1068" s="37" t="str">
        <f aca="false">IF($E1068="","",N(IFERROR(INDEX(单位档案!$F$6:$F$35,MATCH($E1068,单位档案!$A$6:$A$35,0)),"")))</f>
        <v/>
      </c>
      <c r="S1068" s="36" t="n">
        <f aca="false">IF(OR($D1068&lt;&gt;"销项开票",IFERROR(INDEX(单位档案!$G$6:$G$35,MATCH($E1068,单位档案!$A$6:$A$35,0)),"")&lt;&gt;"是",N($Q1068)=0),0,IF(IFERROR(INDEX(单位档案!$H$6:$H$35,MATCH($E1068,单位档案!$A$6:$A$35,0)),"")="税差法",ROUND(N($H1068)/(1+$Q1068)*$Q1068-IF(N($R1068)=0,0,$P1068/(1+$R1068)*$R1068),2),ROUND(N($H1068)/(1+$Q1068)*$Q1068,2)))</f>
        <v>0</v>
      </c>
      <c r="T1068" s="36" t="n">
        <f aca="false">ROUND($S1068*N(IFERROR(INDEX(单位档案!$J$6:$J$35,MATCH($E1068,单位档案!$A$6:$A$35,0)),"")),2)</f>
        <v>0</v>
      </c>
      <c r="U1068" s="36" t="n">
        <f aca="false">IF($D1068&lt;&gt;"销项开票",0,ROUND(N($H1068)*N(IFERROR(INDEX(单位档案!$K$6:$K$35,MATCH($E1068,单位档案!$A$6:$A$35,0)),"")),2))</f>
        <v>0</v>
      </c>
      <c r="V1068" s="36" t="n">
        <f aca="false">IF(OR($D1068&lt;&gt;"销项开票",N($Q1068)=0),0,ROUND(N($H1068)/(1+$Q1068)*N(IFERROR(INDEX(单位档案!$L$6:$L$35,MATCH($E1068,单位档案!$A$6:$A$35,0)),"")),2))</f>
        <v>0</v>
      </c>
      <c r="W1068" s="36" t="n">
        <f aca="false">ROUND($S1068+$T1068+$U1068+$V1068,2)</f>
        <v>0</v>
      </c>
      <c r="X1068" s="35" t="str">
        <f aca="false">IF(OR($D1068="挂靠代收",$D1068="我方收款"),COUNTIFS($D$5:$D1068,"挂靠代收")+COUNTIFS($D$5:$D1068,"我方收款"),"")</f>
        <v/>
      </c>
      <c r="Y1068" s="35"/>
      <c r="Z1068" s="21" t="s">
        <v>111</v>
      </c>
    </row>
    <row r="1069" customFormat="false" ht="15.75" hidden="false" customHeight="true" outlineLevel="0" collapsed="false">
      <c r="A1069" s="32" t="str">
        <f aca="false">IF($B1069="","",ROW()-4)</f>
        <v/>
      </c>
      <c r="B1069" s="26"/>
      <c r="C1069" s="24"/>
      <c r="D1069" s="21"/>
      <c r="E1069" s="21"/>
      <c r="F1069" s="21"/>
      <c r="G1069" s="21"/>
      <c r="H1069" s="27"/>
      <c r="I1069" s="23" t="str">
        <f aca="false">IF($D1069&lt;&gt;"销项开票","",IF($N1069="一级",IF(IFERROR(INDEX(项目档案!$E$6:$E$255,MATCH($C1069,项目档案!$A$6:$A$255,0)),"")="",N(IFERROR(INDEX(单位档案!$D$6:$D$35,MATCH($E1069,单位档案!$A$6:$A$35,0)),"")),IFERROR(INDEX(项目档案!$E$6:$E$255,MATCH($C1069,项目档案!$A$6:$A$255,0)),"")),IF($N1069="二级",IF(IFERROR(INDEX(项目档案!$G$6:$G$255,MATCH($C1069,项目档案!$A$6:$A$255,0)),"")="",N(IFERROR(INDEX(单位档案!$D$6:$D$35,MATCH($E1069,单位档案!$A$6:$A$35,0)),"")),IFERROR(INDEX(项目档案!$G$6:$G$255,MATCH($C1069,项目档案!$A$6:$A$255,0)),"")),N(IFERROR(INDEX(单位档案!$D$6:$D$35,MATCH($E1069,单位档案!$A$6:$A$35,0)),"")))))</f>
        <v/>
      </c>
      <c r="J1069" s="22"/>
      <c r="K1069" s="22"/>
      <c r="L1069" s="33" t="str">
        <f aca="false">IF($B1069="","",IF(NOT(ISNUMBER($B1069)),"日期格式不对",IF($C1069="","未选项目编号",IF(LEFT($M1069,1)="⚠","项目编号不存在",IF($D1069="","未选业务类型",IF($E1069="","未选开票/付款方",IF(ISNA(MATCH($E1069,单位档案!$A$6:$A$35,0)),"开票方不在单位档案",IF($F1069="","未选收票/收款方",IF(ISNA(MATCH($F1069,单位档案!$A$6:$A$35,0)),"收款方不在单位档案",IF(NOT(ISNUMBER($H1069)),"金额须为数字",IF(AND($D1069="销项开票",$N1069="—"),"链条待确认","√")))))))))))</f>
        <v/>
      </c>
      <c r="M1069" s="34" t="str">
        <f aca="false">IF($C1069="","",IFERROR(INDEX(项目档案!$B$6:$B$255,MATCH($C1069,项目档案!$A$6:$A$255,0)),"⚠项目编号不存在"))</f>
        <v/>
      </c>
      <c r="N1069" s="35" t="str">
        <f aca="false">IF($E1069="","",IF($E1069=IFERROR(INDEX(项目档案!$D$6:$D$255,MATCH($C1069,项目档案!$A$6:$A$255,0)),""),"一级",IF($E1069=IFERROR(INDEX(项目档案!$F$6:$F$255,MATCH($C1069,项目档案!$A$6:$A$255,0)),""),"二级",IF($E1069=IFERROR(INDEX(项目档案!$H$6:$H$255,MATCH($C1069,项目档案!$A$6:$A$255,0)),""),"我方","—"))))</f>
        <v/>
      </c>
      <c r="O1069" s="36" t="n">
        <f aca="false">IF($D1069&lt;&gt;"销项开票",0,ROUND(N($H1069)*N($I1069),2))</f>
        <v>0</v>
      </c>
      <c r="P1069" s="36" t="n">
        <f aca="false">IF($D1069&lt;&gt;"销项开票",0,ROUND(N($H1069)-$O1069,2))</f>
        <v>0</v>
      </c>
      <c r="Q1069" s="37" t="str">
        <f aca="false">IF($E1069="","",N(IFERROR(INDEX(单位档案!$E$6:$E$35,MATCH($E1069,单位档案!$A$6:$A$35,0)),"")))</f>
        <v/>
      </c>
      <c r="R1069" s="37" t="str">
        <f aca="false">IF($E1069="","",N(IFERROR(INDEX(单位档案!$F$6:$F$35,MATCH($E1069,单位档案!$A$6:$A$35,0)),"")))</f>
        <v/>
      </c>
      <c r="S1069" s="36" t="n">
        <f aca="false">IF(OR($D1069&lt;&gt;"销项开票",IFERROR(INDEX(单位档案!$G$6:$G$35,MATCH($E1069,单位档案!$A$6:$A$35,0)),"")&lt;&gt;"是",N($Q1069)=0),0,IF(IFERROR(INDEX(单位档案!$H$6:$H$35,MATCH($E1069,单位档案!$A$6:$A$35,0)),"")="税差法",ROUND(N($H1069)/(1+$Q1069)*$Q1069-IF(N($R1069)=0,0,$P1069/(1+$R1069)*$R1069),2),ROUND(N($H1069)/(1+$Q1069)*$Q1069,2)))</f>
        <v>0</v>
      </c>
      <c r="T1069" s="36" t="n">
        <f aca="false">ROUND($S1069*N(IFERROR(INDEX(单位档案!$J$6:$J$35,MATCH($E1069,单位档案!$A$6:$A$35,0)),"")),2)</f>
        <v>0</v>
      </c>
      <c r="U1069" s="36" t="n">
        <f aca="false">IF($D1069&lt;&gt;"销项开票",0,ROUND(N($H1069)*N(IFERROR(INDEX(单位档案!$K$6:$K$35,MATCH($E1069,单位档案!$A$6:$A$35,0)),"")),2))</f>
        <v>0</v>
      </c>
      <c r="V1069" s="36" t="n">
        <f aca="false">IF(OR($D1069&lt;&gt;"销项开票",N($Q1069)=0),0,ROUND(N($H1069)/(1+$Q1069)*N(IFERROR(INDEX(单位档案!$L$6:$L$35,MATCH($E1069,单位档案!$A$6:$A$35,0)),"")),2))</f>
        <v>0</v>
      </c>
      <c r="W1069" s="36" t="n">
        <f aca="false">ROUND($S1069+$T1069+$U1069+$V1069,2)</f>
        <v>0</v>
      </c>
      <c r="X1069" s="35" t="str">
        <f aca="false">IF(OR($D1069="挂靠代收",$D1069="我方收款"),COUNTIFS($D$5:$D1069,"挂靠代收")+COUNTIFS($D$5:$D1069,"我方收款"),"")</f>
        <v/>
      </c>
      <c r="Y1069" s="35"/>
      <c r="Z1069" s="21" t="s">
        <v>111</v>
      </c>
    </row>
    <row r="1070" customFormat="false" ht="15.75" hidden="false" customHeight="true" outlineLevel="0" collapsed="false">
      <c r="A1070" s="32" t="str">
        <f aca="false">IF($B1070="","",ROW()-4)</f>
        <v/>
      </c>
      <c r="B1070" s="26"/>
      <c r="C1070" s="24"/>
      <c r="D1070" s="21"/>
      <c r="E1070" s="21"/>
      <c r="F1070" s="21"/>
      <c r="G1070" s="21"/>
      <c r="H1070" s="27"/>
      <c r="I1070" s="23" t="str">
        <f aca="false">IF($D1070&lt;&gt;"销项开票","",IF($N1070="一级",IF(IFERROR(INDEX(项目档案!$E$6:$E$255,MATCH($C1070,项目档案!$A$6:$A$255,0)),"")="",N(IFERROR(INDEX(单位档案!$D$6:$D$35,MATCH($E1070,单位档案!$A$6:$A$35,0)),"")),IFERROR(INDEX(项目档案!$E$6:$E$255,MATCH($C1070,项目档案!$A$6:$A$255,0)),"")),IF($N1070="二级",IF(IFERROR(INDEX(项目档案!$G$6:$G$255,MATCH($C1070,项目档案!$A$6:$A$255,0)),"")="",N(IFERROR(INDEX(单位档案!$D$6:$D$35,MATCH($E1070,单位档案!$A$6:$A$35,0)),"")),IFERROR(INDEX(项目档案!$G$6:$G$255,MATCH($C1070,项目档案!$A$6:$A$255,0)),"")),N(IFERROR(INDEX(单位档案!$D$6:$D$35,MATCH($E1070,单位档案!$A$6:$A$35,0)),"")))))</f>
        <v/>
      </c>
      <c r="J1070" s="22"/>
      <c r="K1070" s="22"/>
      <c r="L1070" s="33" t="str">
        <f aca="false">IF($B1070="","",IF(NOT(ISNUMBER($B1070)),"日期格式不对",IF($C1070="","未选项目编号",IF(LEFT($M1070,1)="⚠","项目编号不存在",IF($D1070="","未选业务类型",IF($E1070="","未选开票/付款方",IF(ISNA(MATCH($E1070,单位档案!$A$6:$A$35,0)),"开票方不在单位档案",IF($F1070="","未选收票/收款方",IF(ISNA(MATCH($F1070,单位档案!$A$6:$A$35,0)),"收款方不在单位档案",IF(NOT(ISNUMBER($H1070)),"金额须为数字",IF(AND($D1070="销项开票",$N1070="—"),"链条待确认","√")))))))))))</f>
        <v/>
      </c>
      <c r="M1070" s="34" t="str">
        <f aca="false">IF($C1070="","",IFERROR(INDEX(项目档案!$B$6:$B$255,MATCH($C1070,项目档案!$A$6:$A$255,0)),"⚠项目编号不存在"))</f>
        <v/>
      </c>
      <c r="N1070" s="35" t="str">
        <f aca="false">IF($E1070="","",IF($E1070=IFERROR(INDEX(项目档案!$D$6:$D$255,MATCH($C1070,项目档案!$A$6:$A$255,0)),""),"一级",IF($E1070=IFERROR(INDEX(项目档案!$F$6:$F$255,MATCH($C1070,项目档案!$A$6:$A$255,0)),""),"二级",IF($E1070=IFERROR(INDEX(项目档案!$H$6:$H$255,MATCH($C1070,项目档案!$A$6:$A$255,0)),""),"我方","—"))))</f>
        <v/>
      </c>
      <c r="O1070" s="36" t="n">
        <f aca="false">IF($D1070&lt;&gt;"销项开票",0,ROUND(N($H1070)*N($I1070),2))</f>
        <v>0</v>
      </c>
      <c r="P1070" s="36" t="n">
        <f aca="false">IF($D1070&lt;&gt;"销项开票",0,ROUND(N($H1070)-$O1070,2))</f>
        <v>0</v>
      </c>
      <c r="Q1070" s="37" t="str">
        <f aca="false">IF($E1070="","",N(IFERROR(INDEX(单位档案!$E$6:$E$35,MATCH($E1070,单位档案!$A$6:$A$35,0)),"")))</f>
        <v/>
      </c>
      <c r="R1070" s="37" t="str">
        <f aca="false">IF($E1070="","",N(IFERROR(INDEX(单位档案!$F$6:$F$35,MATCH($E1070,单位档案!$A$6:$A$35,0)),"")))</f>
        <v/>
      </c>
      <c r="S1070" s="36" t="n">
        <f aca="false">IF(OR($D1070&lt;&gt;"销项开票",IFERROR(INDEX(单位档案!$G$6:$G$35,MATCH($E1070,单位档案!$A$6:$A$35,0)),"")&lt;&gt;"是",N($Q1070)=0),0,IF(IFERROR(INDEX(单位档案!$H$6:$H$35,MATCH($E1070,单位档案!$A$6:$A$35,0)),"")="税差法",ROUND(N($H1070)/(1+$Q1070)*$Q1070-IF(N($R1070)=0,0,$P1070/(1+$R1070)*$R1070),2),ROUND(N($H1070)/(1+$Q1070)*$Q1070,2)))</f>
        <v>0</v>
      </c>
      <c r="T1070" s="36" t="n">
        <f aca="false">ROUND($S1070*N(IFERROR(INDEX(单位档案!$J$6:$J$35,MATCH($E1070,单位档案!$A$6:$A$35,0)),"")),2)</f>
        <v>0</v>
      </c>
      <c r="U1070" s="36" t="n">
        <f aca="false">IF($D1070&lt;&gt;"销项开票",0,ROUND(N($H1070)*N(IFERROR(INDEX(单位档案!$K$6:$K$35,MATCH($E1070,单位档案!$A$6:$A$35,0)),"")),2))</f>
        <v>0</v>
      </c>
      <c r="V1070" s="36" t="n">
        <f aca="false">IF(OR($D1070&lt;&gt;"销项开票",N($Q1070)=0),0,ROUND(N($H1070)/(1+$Q1070)*N(IFERROR(INDEX(单位档案!$L$6:$L$35,MATCH($E1070,单位档案!$A$6:$A$35,0)),"")),2))</f>
        <v>0</v>
      </c>
      <c r="W1070" s="36" t="n">
        <f aca="false">ROUND($S1070+$T1070+$U1070+$V1070,2)</f>
        <v>0</v>
      </c>
      <c r="X1070" s="35" t="str">
        <f aca="false">IF(OR($D1070="挂靠代收",$D1070="我方收款"),COUNTIFS($D$5:$D1070,"挂靠代收")+COUNTIFS($D$5:$D1070,"我方收款"),"")</f>
        <v/>
      </c>
      <c r="Y1070" s="35"/>
      <c r="Z1070" s="21" t="s">
        <v>111</v>
      </c>
    </row>
    <row r="1071" customFormat="false" ht="15.75" hidden="false" customHeight="true" outlineLevel="0" collapsed="false">
      <c r="A1071" s="32" t="str">
        <f aca="false">IF($B1071="","",ROW()-4)</f>
        <v/>
      </c>
      <c r="B1071" s="26"/>
      <c r="C1071" s="24"/>
      <c r="D1071" s="21"/>
      <c r="E1071" s="21"/>
      <c r="F1071" s="21"/>
      <c r="G1071" s="21"/>
      <c r="H1071" s="27"/>
      <c r="I1071" s="23" t="str">
        <f aca="false">IF($D1071&lt;&gt;"销项开票","",IF($N1071="一级",IF(IFERROR(INDEX(项目档案!$E$6:$E$255,MATCH($C1071,项目档案!$A$6:$A$255,0)),"")="",N(IFERROR(INDEX(单位档案!$D$6:$D$35,MATCH($E1071,单位档案!$A$6:$A$35,0)),"")),IFERROR(INDEX(项目档案!$E$6:$E$255,MATCH($C1071,项目档案!$A$6:$A$255,0)),"")),IF($N1071="二级",IF(IFERROR(INDEX(项目档案!$G$6:$G$255,MATCH($C1071,项目档案!$A$6:$A$255,0)),"")="",N(IFERROR(INDEX(单位档案!$D$6:$D$35,MATCH($E1071,单位档案!$A$6:$A$35,0)),"")),IFERROR(INDEX(项目档案!$G$6:$G$255,MATCH($C1071,项目档案!$A$6:$A$255,0)),"")),N(IFERROR(INDEX(单位档案!$D$6:$D$35,MATCH($E1071,单位档案!$A$6:$A$35,0)),"")))))</f>
        <v/>
      </c>
      <c r="J1071" s="22"/>
      <c r="K1071" s="22"/>
      <c r="L1071" s="33" t="str">
        <f aca="false">IF($B1071="","",IF(NOT(ISNUMBER($B1071)),"日期格式不对",IF($C1071="","未选项目编号",IF(LEFT($M1071,1)="⚠","项目编号不存在",IF($D1071="","未选业务类型",IF($E1071="","未选开票/付款方",IF(ISNA(MATCH($E1071,单位档案!$A$6:$A$35,0)),"开票方不在单位档案",IF($F1071="","未选收票/收款方",IF(ISNA(MATCH($F1071,单位档案!$A$6:$A$35,0)),"收款方不在单位档案",IF(NOT(ISNUMBER($H1071)),"金额须为数字",IF(AND($D1071="销项开票",$N1071="—"),"链条待确认","√")))))))))))</f>
        <v/>
      </c>
      <c r="M1071" s="34" t="str">
        <f aca="false">IF($C1071="","",IFERROR(INDEX(项目档案!$B$6:$B$255,MATCH($C1071,项目档案!$A$6:$A$255,0)),"⚠项目编号不存在"))</f>
        <v/>
      </c>
      <c r="N1071" s="35" t="str">
        <f aca="false">IF($E1071="","",IF($E1071=IFERROR(INDEX(项目档案!$D$6:$D$255,MATCH($C1071,项目档案!$A$6:$A$255,0)),""),"一级",IF($E1071=IFERROR(INDEX(项目档案!$F$6:$F$255,MATCH($C1071,项目档案!$A$6:$A$255,0)),""),"二级",IF($E1071=IFERROR(INDEX(项目档案!$H$6:$H$255,MATCH($C1071,项目档案!$A$6:$A$255,0)),""),"我方","—"))))</f>
        <v/>
      </c>
      <c r="O1071" s="36" t="n">
        <f aca="false">IF($D1071&lt;&gt;"销项开票",0,ROUND(N($H1071)*N($I1071),2))</f>
        <v>0</v>
      </c>
      <c r="P1071" s="36" t="n">
        <f aca="false">IF($D1071&lt;&gt;"销项开票",0,ROUND(N($H1071)-$O1071,2))</f>
        <v>0</v>
      </c>
      <c r="Q1071" s="37" t="str">
        <f aca="false">IF($E1071="","",N(IFERROR(INDEX(单位档案!$E$6:$E$35,MATCH($E1071,单位档案!$A$6:$A$35,0)),"")))</f>
        <v/>
      </c>
      <c r="R1071" s="37" t="str">
        <f aca="false">IF($E1071="","",N(IFERROR(INDEX(单位档案!$F$6:$F$35,MATCH($E1071,单位档案!$A$6:$A$35,0)),"")))</f>
        <v/>
      </c>
      <c r="S1071" s="36" t="n">
        <f aca="false">IF(OR($D1071&lt;&gt;"销项开票",IFERROR(INDEX(单位档案!$G$6:$G$35,MATCH($E1071,单位档案!$A$6:$A$35,0)),"")&lt;&gt;"是",N($Q1071)=0),0,IF(IFERROR(INDEX(单位档案!$H$6:$H$35,MATCH($E1071,单位档案!$A$6:$A$35,0)),"")="税差法",ROUND(N($H1071)/(1+$Q1071)*$Q1071-IF(N($R1071)=0,0,$P1071/(1+$R1071)*$R1071),2),ROUND(N($H1071)/(1+$Q1071)*$Q1071,2)))</f>
        <v>0</v>
      </c>
      <c r="T1071" s="36" t="n">
        <f aca="false">ROUND($S1071*N(IFERROR(INDEX(单位档案!$J$6:$J$35,MATCH($E1071,单位档案!$A$6:$A$35,0)),"")),2)</f>
        <v>0</v>
      </c>
      <c r="U1071" s="36" t="n">
        <f aca="false">IF($D1071&lt;&gt;"销项开票",0,ROUND(N($H1071)*N(IFERROR(INDEX(单位档案!$K$6:$K$35,MATCH($E1071,单位档案!$A$6:$A$35,0)),"")),2))</f>
        <v>0</v>
      </c>
      <c r="V1071" s="36" t="n">
        <f aca="false">IF(OR($D1071&lt;&gt;"销项开票",N($Q1071)=0),0,ROUND(N($H1071)/(1+$Q1071)*N(IFERROR(INDEX(单位档案!$L$6:$L$35,MATCH($E1071,单位档案!$A$6:$A$35,0)),"")),2))</f>
        <v>0</v>
      </c>
      <c r="W1071" s="36" t="n">
        <f aca="false">ROUND($S1071+$T1071+$U1071+$V1071,2)</f>
        <v>0</v>
      </c>
      <c r="X1071" s="35" t="str">
        <f aca="false">IF(OR($D1071="挂靠代收",$D1071="我方收款"),COUNTIFS($D$5:$D1071,"挂靠代收")+COUNTIFS($D$5:$D1071,"我方收款"),"")</f>
        <v/>
      </c>
      <c r="Y1071" s="35"/>
      <c r="Z1071" s="21" t="s">
        <v>111</v>
      </c>
    </row>
    <row r="1072" customFormat="false" ht="15.75" hidden="false" customHeight="true" outlineLevel="0" collapsed="false">
      <c r="A1072" s="32" t="str">
        <f aca="false">IF($B1072="","",ROW()-4)</f>
        <v/>
      </c>
      <c r="B1072" s="26"/>
      <c r="C1072" s="24"/>
      <c r="D1072" s="21"/>
      <c r="E1072" s="21"/>
      <c r="F1072" s="21"/>
      <c r="G1072" s="21"/>
      <c r="H1072" s="27"/>
      <c r="I1072" s="23" t="str">
        <f aca="false">IF($D1072&lt;&gt;"销项开票","",IF($N1072="一级",IF(IFERROR(INDEX(项目档案!$E$6:$E$255,MATCH($C1072,项目档案!$A$6:$A$255,0)),"")="",N(IFERROR(INDEX(单位档案!$D$6:$D$35,MATCH($E1072,单位档案!$A$6:$A$35,0)),"")),IFERROR(INDEX(项目档案!$E$6:$E$255,MATCH($C1072,项目档案!$A$6:$A$255,0)),"")),IF($N1072="二级",IF(IFERROR(INDEX(项目档案!$G$6:$G$255,MATCH($C1072,项目档案!$A$6:$A$255,0)),"")="",N(IFERROR(INDEX(单位档案!$D$6:$D$35,MATCH($E1072,单位档案!$A$6:$A$35,0)),"")),IFERROR(INDEX(项目档案!$G$6:$G$255,MATCH($C1072,项目档案!$A$6:$A$255,0)),"")),N(IFERROR(INDEX(单位档案!$D$6:$D$35,MATCH($E1072,单位档案!$A$6:$A$35,0)),"")))))</f>
        <v/>
      </c>
      <c r="J1072" s="22"/>
      <c r="K1072" s="22"/>
      <c r="L1072" s="33" t="str">
        <f aca="false">IF($B1072="","",IF(NOT(ISNUMBER($B1072)),"日期格式不对",IF($C1072="","未选项目编号",IF(LEFT($M1072,1)="⚠","项目编号不存在",IF($D1072="","未选业务类型",IF($E1072="","未选开票/付款方",IF(ISNA(MATCH($E1072,单位档案!$A$6:$A$35,0)),"开票方不在单位档案",IF($F1072="","未选收票/收款方",IF(ISNA(MATCH($F1072,单位档案!$A$6:$A$35,0)),"收款方不在单位档案",IF(NOT(ISNUMBER($H1072)),"金额须为数字",IF(AND($D1072="销项开票",$N1072="—"),"链条待确认","√")))))))))))</f>
        <v/>
      </c>
      <c r="M1072" s="34" t="str">
        <f aca="false">IF($C1072="","",IFERROR(INDEX(项目档案!$B$6:$B$255,MATCH($C1072,项目档案!$A$6:$A$255,0)),"⚠项目编号不存在"))</f>
        <v/>
      </c>
      <c r="N1072" s="35" t="str">
        <f aca="false">IF($E1072="","",IF($E1072=IFERROR(INDEX(项目档案!$D$6:$D$255,MATCH($C1072,项目档案!$A$6:$A$255,0)),""),"一级",IF($E1072=IFERROR(INDEX(项目档案!$F$6:$F$255,MATCH($C1072,项目档案!$A$6:$A$255,0)),""),"二级",IF($E1072=IFERROR(INDEX(项目档案!$H$6:$H$255,MATCH($C1072,项目档案!$A$6:$A$255,0)),""),"我方","—"))))</f>
        <v/>
      </c>
      <c r="O1072" s="36" t="n">
        <f aca="false">IF($D1072&lt;&gt;"销项开票",0,ROUND(N($H1072)*N($I1072),2))</f>
        <v>0</v>
      </c>
      <c r="P1072" s="36" t="n">
        <f aca="false">IF($D1072&lt;&gt;"销项开票",0,ROUND(N($H1072)-$O1072,2))</f>
        <v>0</v>
      </c>
      <c r="Q1072" s="37" t="str">
        <f aca="false">IF($E1072="","",N(IFERROR(INDEX(单位档案!$E$6:$E$35,MATCH($E1072,单位档案!$A$6:$A$35,0)),"")))</f>
        <v/>
      </c>
      <c r="R1072" s="37" t="str">
        <f aca="false">IF($E1072="","",N(IFERROR(INDEX(单位档案!$F$6:$F$35,MATCH($E1072,单位档案!$A$6:$A$35,0)),"")))</f>
        <v/>
      </c>
      <c r="S1072" s="36" t="n">
        <f aca="false">IF(OR($D1072&lt;&gt;"销项开票",IFERROR(INDEX(单位档案!$G$6:$G$35,MATCH($E1072,单位档案!$A$6:$A$35,0)),"")&lt;&gt;"是",N($Q1072)=0),0,IF(IFERROR(INDEX(单位档案!$H$6:$H$35,MATCH($E1072,单位档案!$A$6:$A$35,0)),"")="税差法",ROUND(N($H1072)/(1+$Q1072)*$Q1072-IF(N($R1072)=0,0,$P1072/(1+$R1072)*$R1072),2),ROUND(N($H1072)/(1+$Q1072)*$Q1072,2)))</f>
        <v>0</v>
      </c>
      <c r="T1072" s="36" t="n">
        <f aca="false">ROUND($S1072*N(IFERROR(INDEX(单位档案!$J$6:$J$35,MATCH($E1072,单位档案!$A$6:$A$35,0)),"")),2)</f>
        <v>0</v>
      </c>
      <c r="U1072" s="36" t="n">
        <f aca="false">IF($D1072&lt;&gt;"销项开票",0,ROUND(N($H1072)*N(IFERROR(INDEX(单位档案!$K$6:$K$35,MATCH($E1072,单位档案!$A$6:$A$35,0)),"")),2))</f>
        <v>0</v>
      </c>
      <c r="V1072" s="36" t="n">
        <f aca="false">IF(OR($D1072&lt;&gt;"销项开票",N($Q1072)=0),0,ROUND(N($H1072)/(1+$Q1072)*N(IFERROR(INDEX(单位档案!$L$6:$L$35,MATCH($E1072,单位档案!$A$6:$A$35,0)),"")),2))</f>
        <v>0</v>
      </c>
      <c r="W1072" s="36" t="n">
        <f aca="false">ROUND($S1072+$T1072+$U1072+$V1072,2)</f>
        <v>0</v>
      </c>
      <c r="X1072" s="35" t="str">
        <f aca="false">IF(OR($D1072="挂靠代收",$D1072="我方收款"),COUNTIFS($D$5:$D1072,"挂靠代收")+COUNTIFS($D$5:$D1072,"我方收款"),"")</f>
        <v/>
      </c>
      <c r="Y1072" s="35"/>
      <c r="Z1072" s="21" t="s">
        <v>111</v>
      </c>
    </row>
    <row r="1073" customFormat="false" ht="15.75" hidden="false" customHeight="true" outlineLevel="0" collapsed="false">
      <c r="A1073" s="32" t="str">
        <f aca="false">IF($B1073="","",ROW()-4)</f>
        <v/>
      </c>
      <c r="B1073" s="26"/>
      <c r="C1073" s="24"/>
      <c r="D1073" s="21"/>
      <c r="E1073" s="21"/>
      <c r="F1073" s="21"/>
      <c r="G1073" s="21"/>
      <c r="H1073" s="27"/>
      <c r="I1073" s="23" t="str">
        <f aca="false">IF($D1073&lt;&gt;"销项开票","",IF($N1073="一级",IF(IFERROR(INDEX(项目档案!$E$6:$E$255,MATCH($C1073,项目档案!$A$6:$A$255,0)),"")="",N(IFERROR(INDEX(单位档案!$D$6:$D$35,MATCH($E1073,单位档案!$A$6:$A$35,0)),"")),IFERROR(INDEX(项目档案!$E$6:$E$255,MATCH($C1073,项目档案!$A$6:$A$255,0)),"")),IF($N1073="二级",IF(IFERROR(INDEX(项目档案!$G$6:$G$255,MATCH($C1073,项目档案!$A$6:$A$255,0)),"")="",N(IFERROR(INDEX(单位档案!$D$6:$D$35,MATCH($E1073,单位档案!$A$6:$A$35,0)),"")),IFERROR(INDEX(项目档案!$G$6:$G$255,MATCH($C1073,项目档案!$A$6:$A$255,0)),"")),N(IFERROR(INDEX(单位档案!$D$6:$D$35,MATCH($E1073,单位档案!$A$6:$A$35,0)),"")))))</f>
        <v/>
      </c>
      <c r="J1073" s="22"/>
      <c r="K1073" s="22"/>
      <c r="L1073" s="33" t="str">
        <f aca="false">IF($B1073="","",IF(NOT(ISNUMBER($B1073)),"日期格式不对",IF($C1073="","未选项目编号",IF(LEFT($M1073,1)="⚠","项目编号不存在",IF($D1073="","未选业务类型",IF($E1073="","未选开票/付款方",IF(ISNA(MATCH($E1073,单位档案!$A$6:$A$35,0)),"开票方不在单位档案",IF($F1073="","未选收票/收款方",IF(ISNA(MATCH($F1073,单位档案!$A$6:$A$35,0)),"收款方不在单位档案",IF(NOT(ISNUMBER($H1073)),"金额须为数字",IF(AND($D1073="销项开票",$N1073="—"),"链条待确认","√")))))))))))</f>
        <v/>
      </c>
      <c r="M1073" s="34" t="str">
        <f aca="false">IF($C1073="","",IFERROR(INDEX(项目档案!$B$6:$B$255,MATCH($C1073,项目档案!$A$6:$A$255,0)),"⚠项目编号不存在"))</f>
        <v/>
      </c>
      <c r="N1073" s="35" t="str">
        <f aca="false">IF($E1073="","",IF($E1073=IFERROR(INDEX(项目档案!$D$6:$D$255,MATCH($C1073,项目档案!$A$6:$A$255,0)),""),"一级",IF($E1073=IFERROR(INDEX(项目档案!$F$6:$F$255,MATCH($C1073,项目档案!$A$6:$A$255,0)),""),"二级",IF($E1073=IFERROR(INDEX(项目档案!$H$6:$H$255,MATCH($C1073,项目档案!$A$6:$A$255,0)),""),"我方","—"))))</f>
        <v/>
      </c>
      <c r="O1073" s="36" t="n">
        <f aca="false">IF($D1073&lt;&gt;"销项开票",0,ROUND(N($H1073)*N($I1073),2))</f>
        <v>0</v>
      </c>
      <c r="P1073" s="36" t="n">
        <f aca="false">IF($D1073&lt;&gt;"销项开票",0,ROUND(N($H1073)-$O1073,2))</f>
        <v>0</v>
      </c>
      <c r="Q1073" s="37" t="str">
        <f aca="false">IF($E1073="","",N(IFERROR(INDEX(单位档案!$E$6:$E$35,MATCH($E1073,单位档案!$A$6:$A$35,0)),"")))</f>
        <v/>
      </c>
      <c r="R1073" s="37" t="str">
        <f aca="false">IF($E1073="","",N(IFERROR(INDEX(单位档案!$F$6:$F$35,MATCH($E1073,单位档案!$A$6:$A$35,0)),"")))</f>
        <v/>
      </c>
      <c r="S1073" s="36" t="n">
        <f aca="false">IF(OR($D1073&lt;&gt;"销项开票",IFERROR(INDEX(单位档案!$G$6:$G$35,MATCH($E1073,单位档案!$A$6:$A$35,0)),"")&lt;&gt;"是",N($Q1073)=0),0,IF(IFERROR(INDEX(单位档案!$H$6:$H$35,MATCH($E1073,单位档案!$A$6:$A$35,0)),"")="税差法",ROUND(N($H1073)/(1+$Q1073)*$Q1073-IF(N($R1073)=0,0,$P1073/(1+$R1073)*$R1073),2),ROUND(N($H1073)/(1+$Q1073)*$Q1073,2)))</f>
        <v>0</v>
      </c>
      <c r="T1073" s="36" t="n">
        <f aca="false">ROUND($S1073*N(IFERROR(INDEX(单位档案!$J$6:$J$35,MATCH($E1073,单位档案!$A$6:$A$35,0)),"")),2)</f>
        <v>0</v>
      </c>
      <c r="U1073" s="36" t="n">
        <f aca="false">IF($D1073&lt;&gt;"销项开票",0,ROUND(N($H1073)*N(IFERROR(INDEX(单位档案!$K$6:$K$35,MATCH($E1073,单位档案!$A$6:$A$35,0)),"")),2))</f>
        <v>0</v>
      </c>
      <c r="V1073" s="36" t="n">
        <f aca="false">IF(OR($D1073&lt;&gt;"销项开票",N($Q1073)=0),0,ROUND(N($H1073)/(1+$Q1073)*N(IFERROR(INDEX(单位档案!$L$6:$L$35,MATCH($E1073,单位档案!$A$6:$A$35,0)),"")),2))</f>
        <v>0</v>
      </c>
      <c r="W1073" s="36" t="n">
        <f aca="false">ROUND($S1073+$T1073+$U1073+$V1073,2)</f>
        <v>0</v>
      </c>
      <c r="X1073" s="35" t="str">
        <f aca="false">IF(OR($D1073="挂靠代收",$D1073="我方收款"),COUNTIFS($D$5:$D1073,"挂靠代收")+COUNTIFS($D$5:$D1073,"我方收款"),"")</f>
        <v/>
      </c>
      <c r="Y1073" s="35"/>
      <c r="Z1073" s="21" t="s">
        <v>111</v>
      </c>
    </row>
    <row r="1074" customFormat="false" ht="15.75" hidden="false" customHeight="true" outlineLevel="0" collapsed="false">
      <c r="A1074" s="32" t="str">
        <f aca="false">IF($B1074="","",ROW()-4)</f>
        <v/>
      </c>
      <c r="B1074" s="26"/>
      <c r="C1074" s="24"/>
      <c r="D1074" s="21"/>
      <c r="E1074" s="21"/>
      <c r="F1074" s="21"/>
      <c r="G1074" s="21"/>
      <c r="H1074" s="27"/>
      <c r="I1074" s="23" t="str">
        <f aca="false">IF($D1074&lt;&gt;"销项开票","",IF($N1074="一级",IF(IFERROR(INDEX(项目档案!$E$6:$E$255,MATCH($C1074,项目档案!$A$6:$A$255,0)),"")="",N(IFERROR(INDEX(单位档案!$D$6:$D$35,MATCH($E1074,单位档案!$A$6:$A$35,0)),"")),IFERROR(INDEX(项目档案!$E$6:$E$255,MATCH($C1074,项目档案!$A$6:$A$255,0)),"")),IF($N1074="二级",IF(IFERROR(INDEX(项目档案!$G$6:$G$255,MATCH($C1074,项目档案!$A$6:$A$255,0)),"")="",N(IFERROR(INDEX(单位档案!$D$6:$D$35,MATCH($E1074,单位档案!$A$6:$A$35,0)),"")),IFERROR(INDEX(项目档案!$G$6:$G$255,MATCH($C1074,项目档案!$A$6:$A$255,0)),"")),N(IFERROR(INDEX(单位档案!$D$6:$D$35,MATCH($E1074,单位档案!$A$6:$A$35,0)),"")))))</f>
        <v/>
      </c>
      <c r="J1074" s="22"/>
      <c r="K1074" s="22"/>
      <c r="L1074" s="33" t="str">
        <f aca="false">IF($B1074="","",IF(NOT(ISNUMBER($B1074)),"日期格式不对",IF($C1074="","未选项目编号",IF(LEFT($M1074,1)="⚠","项目编号不存在",IF($D1074="","未选业务类型",IF($E1074="","未选开票/付款方",IF(ISNA(MATCH($E1074,单位档案!$A$6:$A$35,0)),"开票方不在单位档案",IF($F1074="","未选收票/收款方",IF(ISNA(MATCH($F1074,单位档案!$A$6:$A$35,0)),"收款方不在单位档案",IF(NOT(ISNUMBER($H1074)),"金额须为数字",IF(AND($D1074="销项开票",$N1074="—"),"链条待确认","√")))))))))))</f>
        <v/>
      </c>
      <c r="M1074" s="34" t="str">
        <f aca="false">IF($C1074="","",IFERROR(INDEX(项目档案!$B$6:$B$255,MATCH($C1074,项目档案!$A$6:$A$255,0)),"⚠项目编号不存在"))</f>
        <v/>
      </c>
      <c r="N1074" s="35" t="str">
        <f aca="false">IF($E1074="","",IF($E1074=IFERROR(INDEX(项目档案!$D$6:$D$255,MATCH($C1074,项目档案!$A$6:$A$255,0)),""),"一级",IF($E1074=IFERROR(INDEX(项目档案!$F$6:$F$255,MATCH($C1074,项目档案!$A$6:$A$255,0)),""),"二级",IF($E1074=IFERROR(INDEX(项目档案!$H$6:$H$255,MATCH($C1074,项目档案!$A$6:$A$255,0)),""),"我方","—"))))</f>
        <v/>
      </c>
      <c r="O1074" s="36" t="n">
        <f aca="false">IF($D1074&lt;&gt;"销项开票",0,ROUND(N($H1074)*N($I1074),2))</f>
        <v>0</v>
      </c>
      <c r="P1074" s="36" t="n">
        <f aca="false">IF($D1074&lt;&gt;"销项开票",0,ROUND(N($H1074)-$O1074,2))</f>
        <v>0</v>
      </c>
      <c r="Q1074" s="37" t="str">
        <f aca="false">IF($E1074="","",N(IFERROR(INDEX(单位档案!$E$6:$E$35,MATCH($E1074,单位档案!$A$6:$A$35,0)),"")))</f>
        <v/>
      </c>
      <c r="R1074" s="37" t="str">
        <f aca="false">IF($E1074="","",N(IFERROR(INDEX(单位档案!$F$6:$F$35,MATCH($E1074,单位档案!$A$6:$A$35,0)),"")))</f>
        <v/>
      </c>
      <c r="S1074" s="36" t="n">
        <f aca="false">IF(OR($D1074&lt;&gt;"销项开票",IFERROR(INDEX(单位档案!$G$6:$G$35,MATCH($E1074,单位档案!$A$6:$A$35,0)),"")&lt;&gt;"是",N($Q1074)=0),0,IF(IFERROR(INDEX(单位档案!$H$6:$H$35,MATCH($E1074,单位档案!$A$6:$A$35,0)),"")="税差法",ROUND(N($H1074)/(1+$Q1074)*$Q1074-IF(N($R1074)=0,0,$P1074/(1+$R1074)*$R1074),2),ROUND(N($H1074)/(1+$Q1074)*$Q1074,2)))</f>
        <v>0</v>
      </c>
      <c r="T1074" s="36" t="n">
        <f aca="false">ROUND($S1074*N(IFERROR(INDEX(单位档案!$J$6:$J$35,MATCH($E1074,单位档案!$A$6:$A$35,0)),"")),2)</f>
        <v>0</v>
      </c>
      <c r="U1074" s="36" t="n">
        <f aca="false">IF($D1074&lt;&gt;"销项开票",0,ROUND(N($H1074)*N(IFERROR(INDEX(单位档案!$K$6:$K$35,MATCH($E1074,单位档案!$A$6:$A$35,0)),"")),2))</f>
        <v>0</v>
      </c>
      <c r="V1074" s="36" t="n">
        <f aca="false">IF(OR($D1074&lt;&gt;"销项开票",N($Q1074)=0),0,ROUND(N($H1074)/(1+$Q1074)*N(IFERROR(INDEX(单位档案!$L$6:$L$35,MATCH($E1074,单位档案!$A$6:$A$35,0)),"")),2))</f>
        <v>0</v>
      </c>
      <c r="W1074" s="36" t="n">
        <f aca="false">ROUND($S1074+$T1074+$U1074+$V1074,2)</f>
        <v>0</v>
      </c>
      <c r="X1074" s="35" t="str">
        <f aca="false">IF(OR($D1074="挂靠代收",$D1074="我方收款"),COUNTIFS($D$5:$D1074,"挂靠代收")+COUNTIFS($D$5:$D1074,"我方收款"),"")</f>
        <v/>
      </c>
      <c r="Y1074" s="35"/>
      <c r="Z1074" s="21" t="s">
        <v>111</v>
      </c>
    </row>
    <row r="1075" customFormat="false" ht="15.75" hidden="false" customHeight="true" outlineLevel="0" collapsed="false">
      <c r="A1075" s="32" t="str">
        <f aca="false">IF($B1075="","",ROW()-4)</f>
        <v/>
      </c>
      <c r="B1075" s="26"/>
      <c r="C1075" s="24"/>
      <c r="D1075" s="21"/>
      <c r="E1075" s="21"/>
      <c r="F1075" s="21"/>
      <c r="G1075" s="21"/>
      <c r="H1075" s="27"/>
      <c r="I1075" s="23" t="str">
        <f aca="false">IF($D1075&lt;&gt;"销项开票","",IF($N1075="一级",IF(IFERROR(INDEX(项目档案!$E$6:$E$255,MATCH($C1075,项目档案!$A$6:$A$255,0)),"")="",N(IFERROR(INDEX(单位档案!$D$6:$D$35,MATCH($E1075,单位档案!$A$6:$A$35,0)),"")),IFERROR(INDEX(项目档案!$E$6:$E$255,MATCH($C1075,项目档案!$A$6:$A$255,0)),"")),IF($N1075="二级",IF(IFERROR(INDEX(项目档案!$G$6:$G$255,MATCH($C1075,项目档案!$A$6:$A$255,0)),"")="",N(IFERROR(INDEX(单位档案!$D$6:$D$35,MATCH($E1075,单位档案!$A$6:$A$35,0)),"")),IFERROR(INDEX(项目档案!$G$6:$G$255,MATCH($C1075,项目档案!$A$6:$A$255,0)),"")),N(IFERROR(INDEX(单位档案!$D$6:$D$35,MATCH($E1075,单位档案!$A$6:$A$35,0)),"")))))</f>
        <v/>
      </c>
      <c r="J1075" s="22"/>
      <c r="K1075" s="22"/>
      <c r="L1075" s="33" t="str">
        <f aca="false">IF($B1075="","",IF(NOT(ISNUMBER($B1075)),"日期格式不对",IF($C1075="","未选项目编号",IF(LEFT($M1075,1)="⚠","项目编号不存在",IF($D1075="","未选业务类型",IF($E1075="","未选开票/付款方",IF(ISNA(MATCH($E1075,单位档案!$A$6:$A$35,0)),"开票方不在单位档案",IF($F1075="","未选收票/收款方",IF(ISNA(MATCH($F1075,单位档案!$A$6:$A$35,0)),"收款方不在单位档案",IF(NOT(ISNUMBER($H1075)),"金额须为数字",IF(AND($D1075="销项开票",$N1075="—"),"链条待确认","√")))))))))))</f>
        <v/>
      </c>
      <c r="M1075" s="34" t="str">
        <f aca="false">IF($C1075="","",IFERROR(INDEX(项目档案!$B$6:$B$255,MATCH($C1075,项目档案!$A$6:$A$255,0)),"⚠项目编号不存在"))</f>
        <v/>
      </c>
      <c r="N1075" s="35" t="str">
        <f aca="false">IF($E1075="","",IF($E1075=IFERROR(INDEX(项目档案!$D$6:$D$255,MATCH($C1075,项目档案!$A$6:$A$255,0)),""),"一级",IF($E1075=IFERROR(INDEX(项目档案!$F$6:$F$255,MATCH($C1075,项目档案!$A$6:$A$255,0)),""),"二级",IF($E1075=IFERROR(INDEX(项目档案!$H$6:$H$255,MATCH($C1075,项目档案!$A$6:$A$255,0)),""),"我方","—"))))</f>
        <v/>
      </c>
      <c r="O1075" s="36" t="n">
        <f aca="false">IF($D1075&lt;&gt;"销项开票",0,ROUND(N($H1075)*N($I1075),2))</f>
        <v>0</v>
      </c>
      <c r="P1075" s="36" t="n">
        <f aca="false">IF($D1075&lt;&gt;"销项开票",0,ROUND(N($H1075)-$O1075,2))</f>
        <v>0</v>
      </c>
      <c r="Q1075" s="37" t="str">
        <f aca="false">IF($E1075="","",N(IFERROR(INDEX(单位档案!$E$6:$E$35,MATCH($E1075,单位档案!$A$6:$A$35,0)),"")))</f>
        <v/>
      </c>
      <c r="R1075" s="37" t="str">
        <f aca="false">IF($E1075="","",N(IFERROR(INDEX(单位档案!$F$6:$F$35,MATCH($E1075,单位档案!$A$6:$A$35,0)),"")))</f>
        <v/>
      </c>
      <c r="S1075" s="36" t="n">
        <f aca="false">IF(OR($D1075&lt;&gt;"销项开票",IFERROR(INDEX(单位档案!$G$6:$G$35,MATCH($E1075,单位档案!$A$6:$A$35,0)),"")&lt;&gt;"是",N($Q1075)=0),0,IF(IFERROR(INDEX(单位档案!$H$6:$H$35,MATCH($E1075,单位档案!$A$6:$A$35,0)),"")="税差法",ROUND(N($H1075)/(1+$Q1075)*$Q1075-IF(N($R1075)=0,0,$P1075/(1+$R1075)*$R1075),2),ROUND(N($H1075)/(1+$Q1075)*$Q1075,2)))</f>
        <v>0</v>
      </c>
      <c r="T1075" s="36" t="n">
        <f aca="false">ROUND($S1075*N(IFERROR(INDEX(单位档案!$J$6:$J$35,MATCH($E1075,单位档案!$A$6:$A$35,0)),"")),2)</f>
        <v>0</v>
      </c>
      <c r="U1075" s="36" t="n">
        <f aca="false">IF($D1075&lt;&gt;"销项开票",0,ROUND(N($H1075)*N(IFERROR(INDEX(单位档案!$K$6:$K$35,MATCH($E1075,单位档案!$A$6:$A$35,0)),"")),2))</f>
        <v>0</v>
      </c>
      <c r="V1075" s="36" t="n">
        <f aca="false">IF(OR($D1075&lt;&gt;"销项开票",N($Q1075)=0),0,ROUND(N($H1075)/(1+$Q1075)*N(IFERROR(INDEX(单位档案!$L$6:$L$35,MATCH($E1075,单位档案!$A$6:$A$35,0)),"")),2))</f>
        <v>0</v>
      </c>
      <c r="W1075" s="36" t="n">
        <f aca="false">ROUND($S1075+$T1075+$U1075+$V1075,2)</f>
        <v>0</v>
      </c>
      <c r="X1075" s="35" t="str">
        <f aca="false">IF(OR($D1075="挂靠代收",$D1075="我方收款"),COUNTIFS($D$5:$D1075,"挂靠代收")+COUNTIFS($D$5:$D1075,"我方收款"),"")</f>
        <v/>
      </c>
      <c r="Y1075" s="35"/>
      <c r="Z1075" s="21" t="s">
        <v>111</v>
      </c>
    </row>
    <row r="1076" customFormat="false" ht="15.75" hidden="false" customHeight="true" outlineLevel="0" collapsed="false">
      <c r="A1076" s="32" t="str">
        <f aca="false">IF($B1076="","",ROW()-4)</f>
        <v/>
      </c>
      <c r="B1076" s="26"/>
      <c r="C1076" s="24"/>
      <c r="D1076" s="21"/>
      <c r="E1076" s="21"/>
      <c r="F1076" s="21"/>
      <c r="G1076" s="21"/>
      <c r="H1076" s="27"/>
      <c r="I1076" s="23" t="str">
        <f aca="false">IF($D1076&lt;&gt;"销项开票","",IF($N1076="一级",IF(IFERROR(INDEX(项目档案!$E$6:$E$255,MATCH($C1076,项目档案!$A$6:$A$255,0)),"")="",N(IFERROR(INDEX(单位档案!$D$6:$D$35,MATCH($E1076,单位档案!$A$6:$A$35,0)),"")),IFERROR(INDEX(项目档案!$E$6:$E$255,MATCH($C1076,项目档案!$A$6:$A$255,0)),"")),IF($N1076="二级",IF(IFERROR(INDEX(项目档案!$G$6:$G$255,MATCH($C1076,项目档案!$A$6:$A$255,0)),"")="",N(IFERROR(INDEX(单位档案!$D$6:$D$35,MATCH($E1076,单位档案!$A$6:$A$35,0)),"")),IFERROR(INDEX(项目档案!$G$6:$G$255,MATCH($C1076,项目档案!$A$6:$A$255,0)),"")),N(IFERROR(INDEX(单位档案!$D$6:$D$35,MATCH($E1076,单位档案!$A$6:$A$35,0)),"")))))</f>
        <v/>
      </c>
      <c r="J1076" s="22"/>
      <c r="K1076" s="22"/>
      <c r="L1076" s="33" t="str">
        <f aca="false">IF($B1076="","",IF(NOT(ISNUMBER($B1076)),"日期格式不对",IF($C1076="","未选项目编号",IF(LEFT($M1076,1)="⚠","项目编号不存在",IF($D1076="","未选业务类型",IF($E1076="","未选开票/付款方",IF(ISNA(MATCH($E1076,单位档案!$A$6:$A$35,0)),"开票方不在单位档案",IF($F1076="","未选收票/收款方",IF(ISNA(MATCH($F1076,单位档案!$A$6:$A$35,0)),"收款方不在单位档案",IF(NOT(ISNUMBER($H1076)),"金额须为数字",IF(AND($D1076="销项开票",$N1076="—"),"链条待确认","√")))))))))))</f>
        <v/>
      </c>
      <c r="M1076" s="34" t="str">
        <f aca="false">IF($C1076="","",IFERROR(INDEX(项目档案!$B$6:$B$255,MATCH($C1076,项目档案!$A$6:$A$255,0)),"⚠项目编号不存在"))</f>
        <v/>
      </c>
      <c r="N1076" s="35" t="str">
        <f aca="false">IF($E1076="","",IF($E1076=IFERROR(INDEX(项目档案!$D$6:$D$255,MATCH($C1076,项目档案!$A$6:$A$255,0)),""),"一级",IF($E1076=IFERROR(INDEX(项目档案!$F$6:$F$255,MATCH($C1076,项目档案!$A$6:$A$255,0)),""),"二级",IF($E1076=IFERROR(INDEX(项目档案!$H$6:$H$255,MATCH($C1076,项目档案!$A$6:$A$255,0)),""),"我方","—"))))</f>
        <v/>
      </c>
      <c r="O1076" s="36" t="n">
        <f aca="false">IF($D1076&lt;&gt;"销项开票",0,ROUND(N($H1076)*N($I1076),2))</f>
        <v>0</v>
      </c>
      <c r="P1076" s="36" t="n">
        <f aca="false">IF($D1076&lt;&gt;"销项开票",0,ROUND(N($H1076)-$O1076,2))</f>
        <v>0</v>
      </c>
      <c r="Q1076" s="37" t="str">
        <f aca="false">IF($E1076="","",N(IFERROR(INDEX(单位档案!$E$6:$E$35,MATCH($E1076,单位档案!$A$6:$A$35,0)),"")))</f>
        <v/>
      </c>
      <c r="R1076" s="37" t="str">
        <f aca="false">IF($E1076="","",N(IFERROR(INDEX(单位档案!$F$6:$F$35,MATCH($E1076,单位档案!$A$6:$A$35,0)),"")))</f>
        <v/>
      </c>
      <c r="S1076" s="36" t="n">
        <f aca="false">IF(OR($D1076&lt;&gt;"销项开票",IFERROR(INDEX(单位档案!$G$6:$G$35,MATCH($E1076,单位档案!$A$6:$A$35,0)),"")&lt;&gt;"是",N($Q1076)=0),0,IF(IFERROR(INDEX(单位档案!$H$6:$H$35,MATCH($E1076,单位档案!$A$6:$A$35,0)),"")="税差法",ROUND(N($H1076)/(1+$Q1076)*$Q1076-IF(N($R1076)=0,0,$P1076/(1+$R1076)*$R1076),2),ROUND(N($H1076)/(1+$Q1076)*$Q1076,2)))</f>
        <v>0</v>
      </c>
      <c r="T1076" s="36" t="n">
        <f aca="false">ROUND($S1076*N(IFERROR(INDEX(单位档案!$J$6:$J$35,MATCH($E1076,单位档案!$A$6:$A$35,0)),"")),2)</f>
        <v>0</v>
      </c>
      <c r="U1076" s="36" t="n">
        <f aca="false">IF($D1076&lt;&gt;"销项开票",0,ROUND(N($H1076)*N(IFERROR(INDEX(单位档案!$K$6:$K$35,MATCH($E1076,单位档案!$A$6:$A$35,0)),"")),2))</f>
        <v>0</v>
      </c>
      <c r="V1076" s="36" t="n">
        <f aca="false">IF(OR($D1076&lt;&gt;"销项开票",N($Q1076)=0),0,ROUND(N($H1076)/(1+$Q1076)*N(IFERROR(INDEX(单位档案!$L$6:$L$35,MATCH($E1076,单位档案!$A$6:$A$35,0)),"")),2))</f>
        <v>0</v>
      </c>
      <c r="W1076" s="36" t="n">
        <f aca="false">ROUND($S1076+$T1076+$U1076+$V1076,2)</f>
        <v>0</v>
      </c>
      <c r="X1076" s="35" t="str">
        <f aca="false">IF(OR($D1076="挂靠代收",$D1076="我方收款"),COUNTIFS($D$5:$D1076,"挂靠代收")+COUNTIFS($D$5:$D1076,"我方收款"),"")</f>
        <v/>
      </c>
      <c r="Y1076" s="35"/>
      <c r="Z1076" s="21" t="s">
        <v>111</v>
      </c>
    </row>
    <row r="1077" customFormat="false" ht="15.75" hidden="false" customHeight="true" outlineLevel="0" collapsed="false">
      <c r="A1077" s="32" t="str">
        <f aca="false">IF($B1077="","",ROW()-4)</f>
        <v/>
      </c>
      <c r="B1077" s="26"/>
      <c r="C1077" s="24"/>
      <c r="D1077" s="21"/>
      <c r="E1077" s="21"/>
      <c r="F1077" s="21"/>
      <c r="G1077" s="21"/>
      <c r="H1077" s="27"/>
      <c r="I1077" s="23" t="str">
        <f aca="false">IF($D1077&lt;&gt;"销项开票","",IF($N1077="一级",IF(IFERROR(INDEX(项目档案!$E$6:$E$255,MATCH($C1077,项目档案!$A$6:$A$255,0)),"")="",N(IFERROR(INDEX(单位档案!$D$6:$D$35,MATCH($E1077,单位档案!$A$6:$A$35,0)),"")),IFERROR(INDEX(项目档案!$E$6:$E$255,MATCH($C1077,项目档案!$A$6:$A$255,0)),"")),IF($N1077="二级",IF(IFERROR(INDEX(项目档案!$G$6:$G$255,MATCH($C1077,项目档案!$A$6:$A$255,0)),"")="",N(IFERROR(INDEX(单位档案!$D$6:$D$35,MATCH($E1077,单位档案!$A$6:$A$35,0)),"")),IFERROR(INDEX(项目档案!$G$6:$G$255,MATCH($C1077,项目档案!$A$6:$A$255,0)),"")),N(IFERROR(INDEX(单位档案!$D$6:$D$35,MATCH($E1077,单位档案!$A$6:$A$35,0)),"")))))</f>
        <v/>
      </c>
      <c r="J1077" s="22"/>
      <c r="K1077" s="22"/>
      <c r="L1077" s="33" t="str">
        <f aca="false">IF($B1077="","",IF(NOT(ISNUMBER($B1077)),"日期格式不对",IF($C1077="","未选项目编号",IF(LEFT($M1077,1)="⚠","项目编号不存在",IF($D1077="","未选业务类型",IF($E1077="","未选开票/付款方",IF(ISNA(MATCH($E1077,单位档案!$A$6:$A$35,0)),"开票方不在单位档案",IF($F1077="","未选收票/收款方",IF(ISNA(MATCH($F1077,单位档案!$A$6:$A$35,0)),"收款方不在单位档案",IF(NOT(ISNUMBER($H1077)),"金额须为数字",IF(AND($D1077="销项开票",$N1077="—"),"链条待确认","√")))))))))))</f>
        <v/>
      </c>
      <c r="M1077" s="34" t="str">
        <f aca="false">IF($C1077="","",IFERROR(INDEX(项目档案!$B$6:$B$255,MATCH($C1077,项目档案!$A$6:$A$255,0)),"⚠项目编号不存在"))</f>
        <v/>
      </c>
      <c r="N1077" s="35" t="str">
        <f aca="false">IF($E1077="","",IF($E1077=IFERROR(INDEX(项目档案!$D$6:$D$255,MATCH($C1077,项目档案!$A$6:$A$255,0)),""),"一级",IF($E1077=IFERROR(INDEX(项目档案!$F$6:$F$255,MATCH($C1077,项目档案!$A$6:$A$255,0)),""),"二级",IF($E1077=IFERROR(INDEX(项目档案!$H$6:$H$255,MATCH($C1077,项目档案!$A$6:$A$255,0)),""),"我方","—"))))</f>
        <v/>
      </c>
      <c r="O1077" s="36" t="n">
        <f aca="false">IF($D1077&lt;&gt;"销项开票",0,ROUND(N($H1077)*N($I1077),2))</f>
        <v>0</v>
      </c>
      <c r="P1077" s="36" t="n">
        <f aca="false">IF($D1077&lt;&gt;"销项开票",0,ROUND(N($H1077)-$O1077,2))</f>
        <v>0</v>
      </c>
      <c r="Q1077" s="37" t="str">
        <f aca="false">IF($E1077="","",N(IFERROR(INDEX(单位档案!$E$6:$E$35,MATCH($E1077,单位档案!$A$6:$A$35,0)),"")))</f>
        <v/>
      </c>
      <c r="R1077" s="37" t="str">
        <f aca="false">IF($E1077="","",N(IFERROR(INDEX(单位档案!$F$6:$F$35,MATCH($E1077,单位档案!$A$6:$A$35,0)),"")))</f>
        <v/>
      </c>
      <c r="S1077" s="36" t="n">
        <f aca="false">IF(OR($D1077&lt;&gt;"销项开票",IFERROR(INDEX(单位档案!$G$6:$G$35,MATCH($E1077,单位档案!$A$6:$A$35,0)),"")&lt;&gt;"是",N($Q1077)=0),0,IF(IFERROR(INDEX(单位档案!$H$6:$H$35,MATCH($E1077,单位档案!$A$6:$A$35,0)),"")="税差法",ROUND(N($H1077)/(1+$Q1077)*$Q1077-IF(N($R1077)=0,0,$P1077/(1+$R1077)*$R1077),2),ROUND(N($H1077)/(1+$Q1077)*$Q1077,2)))</f>
        <v>0</v>
      </c>
      <c r="T1077" s="36" t="n">
        <f aca="false">ROUND($S1077*N(IFERROR(INDEX(单位档案!$J$6:$J$35,MATCH($E1077,单位档案!$A$6:$A$35,0)),"")),2)</f>
        <v>0</v>
      </c>
      <c r="U1077" s="36" t="n">
        <f aca="false">IF($D1077&lt;&gt;"销项开票",0,ROUND(N($H1077)*N(IFERROR(INDEX(单位档案!$K$6:$K$35,MATCH($E1077,单位档案!$A$6:$A$35,0)),"")),2))</f>
        <v>0</v>
      </c>
      <c r="V1077" s="36" t="n">
        <f aca="false">IF(OR($D1077&lt;&gt;"销项开票",N($Q1077)=0),0,ROUND(N($H1077)/(1+$Q1077)*N(IFERROR(INDEX(单位档案!$L$6:$L$35,MATCH($E1077,单位档案!$A$6:$A$35,0)),"")),2))</f>
        <v>0</v>
      </c>
      <c r="W1077" s="36" t="n">
        <f aca="false">ROUND($S1077+$T1077+$U1077+$V1077,2)</f>
        <v>0</v>
      </c>
      <c r="X1077" s="35" t="str">
        <f aca="false">IF(OR($D1077="挂靠代收",$D1077="我方收款"),COUNTIFS($D$5:$D1077,"挂靠代收")+COUNTIFS($D$5:$D1077,"我方收款"),"")</f>
        <v/>
      </c>
      <c r="Y1077" s="35"/>
      <c r="Z1077" s="21" t="s">
        <v>111</v>
      </c>
    </row>
    <row r="1078" customFormat="false" ht="15.75" hidden="false" customHeight="true" outlineLevel="0" collapsed="false">
      <c r="A1078" s="32" t="str">
        <f aca="false">IF($B1078="","",ROW()-4)</f>
        <v/>
      </c>
      <c r="B1078" s="26"/>
      <c r="C1078" s="24"/>
      <c r="D1078" s="21"/>
      <c r="E1078" s="21"/>
      <c r="F1078" s="21"/>
      <c r="G1078" s="21"/>
      <c r="H1078" s="27"/>
      <c r="I1078" s="23" t="str">
        <f aca="false">IF($D1078&lt;&gt;"销项开票","",IF($N1078="一级",IF(IFERROR(INDEX(项目档案!$E$6:$E$255,MATCH($C1078,项目档案!$A$6:$A$255,0)),"")="",N(IFERROR(INDEX(单位档案!$D$6:$D$35,MATCH($E1078,单位档案!$A$6:$A$35,0)),"")),IFERROR(INDEX(项目档案!$E$6:$E$255,MATCH($C1078,项目档案!$A$6:$A$255,0)),"")),IF($N1078="二级",IF(IFERROR(INDEX(项目档案!$G$6:$G$255,MATCH($C1078,项目档案!$A$6:$A$255,0)),"")="",N(IFERROR(INDEX(单位档案!$D$6:$D$35,MATCH($E1078,单位档案!$A$6:$A$35,0)),"")),IFERROR(INDEX(项目档案!$G$6:$G$255,MATCH($C1078,项目档案!$A$6:$A$255,0)),"")),N(IFERROR(INDEX(单位档案!$D$6:$D$35,MATCH($E1078,单位档案!$A$6:$A$35,0)),"")))))</f>
        <v/>
      </c>
      <c r="J1078" s="22"/>
      <c r="K1078" s="22"/>
      <c r="L1078" s="33" t="str">
        <f aca="false">IF($B1078="","",IF(NOT(ISNUMBER($B1078)),"日期格式不对",IF($C1078="","未选项目编号",IF(LEFT($M1078,1)="⚠","项目编号不存在",IF($D1078="","未选业务类型",IF($E1078="","未选开票/付款方",IF(ISNA(MATCH($E1078,单位档案!$A$6:$A$35,0)),"开票方不在单位档案",IF($F1078="","未选收票/收款方",IF(ISNA(MATCH($F1078,单位档案!$A$6:$A$35,0)),"收款方不在单位档案",IF(NOT(ISNUMBER($H1078)),"金额须为数字",IF(AND($D1078="销项开票",$N1078="—"),"链条待确认","√")))))))))))</f>
        <v/>
      </c>
      <c r="M1078" s="34" t="str">
        <f aca="false">IF($C1078="","",IFERROR(INDEX(项目档案!$B$6:$B$255,MATCH($C1078,项目档案!$A$6:$A$255,0)),"⚠项目编号不存在"))</f>
        <v/>
      </c>
      <c r="N1078" s="35" t="str">
        <f aca="false">IF($E1078="","",IF($E1078=IFERROR(INDEX(项目档案!$D$6:$D$255,MATCH($C1078,项目档案!$A$6:$A$255,0)),""),"一级",IF($E1078=IFERROR(INDEX(项目档案!$F$6:$F$255,MATCH($C1078,项目档案!$A$6:$A$255,0)),""),"二级",IF($E1078=IFERROR(INDEX(项目档案!$H$6:$H$255,MATCH($C1078,项目档案!$A$6:$A$255,0)),""),"我方","—"))))</f>
        <v/>
      </c>
      <c r="O1078" s="36" t="n">
        <f aca="false">IF($D1078&lt;&gt;"销项开票",0,ROUND(N($H1078)*N($I1078),2))</f>
        <v>0</v>
      </c>
      <c r="P1078" s="36" t="n">
        <f aca="false">IF($D1078&lt;&gt;"销项开票",0,ROUND(N($H1078)-$O1078,2))</f>
        <v>0</v>
      </c>
      <c r="Q1078" s="37" t="str">
        <f aca="false">IF($E1078="","",N(IFERROR(INDEX(单位档案!$E$6:$E$35,MATCH($E1078,单位档案!$A$6:$A$35,0)),"")))</f>
        <v/>
      </c>
      <c r="R1078" s="37" t="str">
        <f aca="false">IF($E1078="","",N(IFERROR(INDEX(单位档案!$F$6:$F$35,MATCH($E1078,单位档案!$A$6:$A$35,0)),"")))</f>
        <v/>
      </c>
      <c r="S1078" s="36" t="n">
        <f aca="false">IF(OR($D1078&lt;&gt;"销项开票",IFERROR(INDEX(单位档案!$G$6:$G$35,MATCH($E1078,单位档案!$A$6:$A$35,0)),"")&lt;&gt;"是",N($Q1078)=0),0,IF(IFERROR(INDEX(单位档案!$H$6:$H$35,MATCH($E1078,单位档案!$A$6:$A$35,0)),"")="税差法",ROUND(N($H1078)/(1+$Q1078)*$Q1078-IF(N($R1078)=0,0,$P1078/(1+$R1078)*$R1078),2),ROUND(N($H1078)/(1+$Q1078)*$Q1078,2)))</f>
        <v>0</v>
      </c>
      <c r="T1078" s="36" t="n">
        <f aca="false">ROUND($S1078*N(IFERROR(INDEX(单位档案!$J$6:$J$35,MATCH($E1078,单位档案!$A$6:$A$35,0)),"")),2)</f>
        <v>0</v>
      </c>
      <c r="U1078" s="36" t="n">
        <f aca="false">IF($D1078&lt;&gt;"销项开票",0,ROUND(N($H1078)*N(IFERROR(INDEX(单位档案!$K$6:$K$35,MATCH($E1078,单位档案!$A$6:$A$35,0)),"")),2))</f>
        <v>0</v>
      </c>
      <c r="V1078" s="36" t="n">
        <f aca="false">IF(OR($D1078&lt;&gt;"销项开票",N($Q1078)=0),0,ROUND(N($H1078)/(1+$Q1078)*N(IFERROR(INDEX(单位档案!$L$6:$L$35,MATCH($E1078,单位档案!$A$6:$A$35,0)),"")),2))</f>
        <v>0</v>
      </c>
      <c r="W1078" s="36" t="n">
        <f aca="false">ROUND($S1078+$T1078+$U1078+$V1078,2)</f>
        <v>0</v>
      </c>
      <c r="X1078" s="35" t="str">
        <f aca="false">IF(OR($D1078="挂靠代收",$D1078="我方收款"),COUNTIFS($D$5:$D1078,"挂靠代收")+COUNTIFS($D$5:$D1078,"我方收款"),"")</f>
        <v/>
      </c>
      <c r="Y1078" s="35"/>
      <c r="Z1078" s="21" t="s">
        <v>111</v>
      </c>
    </row>
    <row r="1079" customFormat="false" ht="15.75" hidden="false" customHeight="true" outlineLevel="0" collapsed="false">
      <c r="A1079" s="32" t="str">
        <f aca="false">IF($B1079="","",ROW()-4)</f>
        <v/>
      </c>
      <c r="B1079" s="26"/>
      <c r="C1079" s="24"/>
      <c r="D1079" s="21"/>
      <c r="E1079" s="21"/>
      <c r="F1079" s="21"/>
      <c r="G1079" s="21"/>
      <c r="H1079" s="27"/>
      <c r="I1079" s="23" t="str">
        <f aca="false">IF($D1079&lt;&gt;"销项开票","",IF($N1079="一级",IF(IFERROR(INDEX(项目档案!$E$6:$E$255,MATCH($C1079,项目档案!$A$6:$A$255,0)),"")="",N(IFERROR(INDEX(单位档案!$D$6:$D$35,MATCH($E1079,单位档案!$A$6:$A$35,0)),"")),IFERROR(INDEX(项目档案!$E$6:$E$255,MATCH($C1079,项目档案!$A$6:$A$255,0)),"")),IF($N1079="二级",IF(IFERROR(INDEX(项目档案!$G$6:$G$255,MATCH($C1079,项目档案!$A$6:$A$255,0)),"")="",N(IFERROR(INDEX(单位档案!$D$6:$D$35,MATCH($E1079,单位档案!$A$6:$A$35,0)),"")),IFERROR(INDEX(项目档案!$G$6:$G$255,MATCH($C1079,项目档案!$A$6:$A$255,0)),"")),N(IFERROR(INDEX(单位档案!$D$6:$D$35,MATCH($E1079,单位档案!$A$6:$A$35,0)),"")))))</f>
        <v/>
      </c>
      <c r="J1079" s="22"/>
      <c r="K1079" s="22"/>
      <c r="L1079" s="33" t="str">
        <f aca="false">IF($B1079="","",IF(NOT(ISNUMBER($B1079)),"日期格式不对",IF($C1079="","未选项目编号",IF(LEFT($M1079,1)="⚠","项目编号不存在",IF($D1079="","未选业务类型",IF($E1079="","未选开票/付款方",IF(ISNA(MATCH($E1079,单位档案!$A$6:$A$35,0)),"开票方不在单位档案",IF($F1079="","未选收票/收款方",IF(ISNA(MATCH($F1079,单位档案!$A$6:$A$35,0)),"收款方不在单位档案",IF(NOT(ISNUMBER($H1079)),"金额须为数字",IF(AND($D1079="销项开票",$N1079="—"),"链条待确认","√")))))))))))</f>
        <v/>
      </c>
      <c r="M1079" s="34" t="str">
        <f aca="false">IF($C1079="","",IFERROR(INDEX(项目档案!$B$6:$B$255,MATCH($C1079,项目档案!$A$6:$A$255,0)),"⚠项目编号不存在"))</f>
        <v/>
      </c>
      <c r="N1079" s="35" t="str">
        <f aca="false">IF($E1079="","",IF($E1079=IFERROR(INDEX(项目档案!$D$6:$D$255,MATCH($C1079,项目档案!$A$6:$A$255,0)),""),"一级",IF($E1079=IFERROR(INDEX(项目档案!$F$6:$F$255,MATCH($C1079,项目档案!$A$6:$A$255,0)),""),"二级",IF($E1079=IFERROR(INDEX(项目档案!$H$6:$H$255,MATCH($C1079,项目档案!$A$6:$A$255,0)),""),"我方","—"))))</f>
        <v/>
      </c>
      <c r="O1079" s="36" t="n">
        <f aca="false">IF($D1079&lt;&gt;"销项开票",0,ROUND(N($H1079)*N($I1079),2))</f>
        <v>0</v>
      </c>
      <c r="P1079" s="36" t="n">
        <f aca="false">IF($D1079&lt;&gt;"销项开票",0,ROUND(N($H1079)-$O1079,2))</f>
        <v>0</v>
      </c>
      <c r="Q1079" s="37" t="str">
        <f aca="false">IF($E1079="","",N(IFERROR(INDEX(单位档案!$E$6:$E$35,MATCH($E1079,单位档案!$A$6:$A$35,0)),"")))</f>
        <v/>
      </c>
      <c r="R1079" s="37" t="str">
        <f aca="false">IF($E1079="","",N(IFERROR(INDEX(单位档案!$F$6:$F$35,MATCH($E1079,单位档案!$A$6:$A$35,0)),"")))</f>
        <v/>
      </c>
      <c r="S1079" s="36" t="n">
        <f aca="false">IF(OR($D1079&lt;&gt;"销项开票",IFERROR(INDEX(单位档案!$G$6:$G$35,MATCH($E1079,单位档案!$A$6:$A$35,0)),"")&lt;&gt;"是",N($Q1079)=0),0,IF(IFERROR(INDEX(单位档案!$H$6:$H$35,MATCH($E1079,单位档案!$A$6:$A$35,0)),"")="税差法",ROUND(N($H1079)/(1+$Q1079)*$Q1079-IF(N($R1079)=0,0,$P1079/(1+$R1079)*$R1079),2),ROUND(N($H1079)/(1+$Q1079)*$Q1079,2)))</f>
        <v>0</v>
      </c>
      <c r="T1079" s="36" t="n">
        <f aca="false">ROUND($S1079*N(IFERROR(INDEX(单位档案!$J$6:$J$35,MATCH($E1079,单位档案!$A$6:$A$35,0)),"")),2)</f>
        <v>0</v>
      </c>
      <c r="U1079" s="36" t="n">
        <f aca="false">IF($D1079&lt;&gt;"销项开票",0,ROUND(N($H1079)*N(IFERROR(INDEX(单位档案!$K$6:$K$35,MATCH($E1079,单位档案!$A$6:$A$35,0)),"")),2))</f>
        <v>0</v>
      </c>
      <c r="V1079" s="36" t="n">
        <f aca="false">IF(OR($D1079&lt;&gt;"销项开票",N($Q1079)=0),0,ROUND(N($H1079)/(1+$Q1079)*N(IFERROR(INDEX(单位档案!$L$6:$L$35,MATCH($E1079,单位档案!$A$6:$A$35,0)),"")),2))</f>
        <v>0</v>
      </c>
      <c r="W1079" s="36" t="n">
        <f aca="false">ROUND($S1079+$T1079+$U1079+$V1079,2)</f>
        <v>0</v>
      </c>
      <c r="X1079" s="35" t="str">
        <f aca="false">IF(OR($D1079="挂靠代收",$D1079="我方收款"),COUNTIFS($D$5:$D1079,"挂靠代收")+COUNTIFS($D$5:$D1079,"我方收款"),"")</f>
        <v/>
      </c>
      <c r="Y1079" s="35"/>
      <c r="Z1079" s="21" t="s">
        <v>111</v>
      </c>
    </row>
    <row r="1080" customFormat="false" ht="15.75" hidden="false" customHeight="true" outlineLevel="0" collapsed="false">
      <c r="A1080" s="32" t="str">
        <f aca="false">IF($B1080="","",ROW()-4)</f>
        <v/>
      </c>
      <c r="B1080" s="26"/>
      <c r="C1080" s="24"/>
      <c r="D1080" s="21"/>
      <c r="E1080" s="21"/>
      <c r="F1080" s="21"/>
      <c r="G1080" s="21"/>
      <c r="H1080" s="27"/>
      <c r="I1080" s="23" t="str">
        <f aca="false">IF($D1080&lt;&gt;"销项开票","",IF($N1080="一级",IF(IFERROR(INDEX(项目档案!$E$6:$E$255,MATCH($C1080,项目档案!$A$6:$A$255,0)),"")="",N(IFERROR(INDEX(单位档案!$D$6:$D$35,MATCH($E1080,单位档案!$A$6:$A$35,0)),"")),IFERROR(INDEX(项目档案!$E$6:$E$255,MATCH($C1080,项目档案!$A$6:$A$255,0)),"")),IF($N1080="二级",IF(IFERROR(INDEX(项目档案!$G$6:$G$255,MATCH($C1080,项目档案!$A$6:$A$255,0)),"")="",N(IFERROR(INDEX(单位档案!$D$6:$D$35,MATCH($E1080,单位档案!$A$6:$A$35,0)),"")),IFERROR(INDEX(项目档案!$G$6:$G$255,MATCH($C1080,项目档案!$A$6:$A$255,0)),"")),N(IFERROR(INDEX(单位档案!$D$6:$D$35,MATCH($E1080,单位档案!$A$6:$A$35,0)),"")))))</f>
        <v/>
      </c>
      <c r="J1080" s="22"/>
      <c r="K1080" s="22"/>
      <c r="L1080" s="33" t="str">
        <f aca="false">IF($B1080="","",IF(NOT(ISNUMBER($B1080)),"日期格式不对",IF($C1080="","未选项目编号",IF(LEFT($M1080,1)="⚠","项目编号不存在",IF($D1080="","未选业务类型",IF($E1080="","未选开票/付款方",IF(ISNA(MATCH($E1080,单位档案!$A$6:$A$35,0)),"开票方不在单位档案",IF($F1080="","未选收票/收款方",IF(ISNA(MATCH($F1080,单位档案!$A$6:$A$35,0)),"收款方不在单位档案",IF(NOT(ISNUMBER($H1080)),"金额须为数字",IF(AND($D1080="销项开票",$N1080="—"),"链条待确认","√")))))))))))</f>
        <v/>
      </c>
      <c r="M1080" s="34" t="str">
        <f aca="false">IF($C1080="","",IFERROR(INDEX(项目档案!$B$6:$B$255,MATCH($C1080,项目档案!$A$6:$A$255,0)),"⚠项目编号不存在"))</f>
        <v/>
      </c>
      <c r="N1080" s="35" t="str">
        <f aca="false">IF($E1080="","",IF($E1080=IFERROR(INDEX(项目档案!$D$6:$D$255,MATCH($C1080,项目档案!$A$6:$A$255,0)),""),"一级",IF($E1080=IFERROR(INDEX(项目档案!$F$6:$F$255,MATCH($C1080,项目档案!$A$6:$A$255,0)),""),"二级",IF($E1080=IFERROR(INDEX(项目档案!$H$6:$H$255,MATCH($C1080,项目档案!$A$6:$A$255,0)),""),"我方","—"))))</f>
        <v/>
      </c>
      <c r="O1080" s="36" t="n">
        <f aca="false">IF($D1080&lt;&gt;"销项开票",0,ROUND(N($H1080)*N($I1080),2))</f>
        <v>0</v>
      </c>
      <c r="P1080" s="36" t="n">
        <f aca="false">IF($D1080&lt;&gt;"销项开票",0,ROUND(N($H1080)-$O1080,2))</f>
        <v>0</v>
      </c>
      <c r="Q1080" s="37" t="str">
        <f aca="false">IF($E1080="","",N(IFERROR(INDEX(单位档案!$E$6:$E$35,MATCH($E1080,单位档案!$A$6:$A$35,0)),"")))</f>
        <v/>
      </c>
      <c r="R1080" s="37" t="str">
        <f aca="false">IF($E1080="","",N(IFERROR(INDEX(单位档案!$F$6:$F$35,MATCH($E1080,单位档案!$A$6:$A$35,0)),"")))</f>
        <v/>
      </c>
      <c r="S1080" s="36" t="n">
        <f aca="false">IF(OR($D1080&lt;&gt;"销项开票",IFERROR(INDEX(单位档案!$G$6:$G$35,MATCH($E1080,单位档案!$A$6:$A$35,0)),"")&lt;&gt;"是",N($Q1080)=0),0,IF(IFERROR(INDEX(单位档案!$H$6:$H$35,MATCH($E1080,单位档案!$A$6:$A$35,0)),"")="税差法",ROUND(N($H1080)/(1+$Q1080)*$Q1080-IF(N($R1080)=0,0,$P1080/(1+$R1080)*$R1080),2),ROUND(N($H1080)/(1+$Q1080)*$Q1080,2)))</f>
        <v>0</v>
      </c>
      <c r="T1080" s="36" t="n">
        <f aca="false">ROUND($S1080*N(IFERROR(INDEX(单位档案!$J$6:$J$35,MATCH($E1080,单位档案!$A$6:$A$35,0)),"")),2)</f>
        <v>0</v>
      </c>
      <c r="U1080" s="36" t="n">
        <f aca="false">IF($D1080&lt;&gt;"销项开票",0,ROUND(N($H1080)*N(IFERROR(INDEX(单位档案!$K$6:$K$35,MATCH($E1080,单位档案!$A$6:$A$35,0)),"")),2))</f>
        <v>0</v>
      </c>
      <c r="V1080" s="36" t="n">
        <f aca="false">IF(OR($D1080&lt;&gt;"销项开票",N($Q1080)=0),0,ROUND(N($H1080)/(1+$Q1080)*N(IFERROR(INDEX(单位档案!$L$6:$L$35,MATCH($E1080,单位档案!$A$6:$A$35,0)),"")),2))</f>
        <v>0</v>
      </c>
      <c r="W1080" s="36" t="n">
        <f aca="false">ROUND($S1080+$T1080+$U1080+$V1080,2)</f>
        <v>0</v>
      </c>
      <c r="X1080" s="35" t="str">
        <f aca="false">IF(OR($D1080="挂靠代收",$D1080="我方收款"),COUNTIFS($D$5:$D1080,"挂靠代收")+COUNTIFS($D$5:$D1080,"我方收款"),"")</f>
        <v/>
      </c>
      <c r="Y1080" s="35"/>
      <c r="Z1080" s="21" t="s">
        <v>111</v>
      </c>
    </row>
    <row r="1081" customFormat="false" ht="15.75" hidden="false" customHeight="true" outlineLevel="0" collapsed="false">
      <c r="A1081" s="32" t="str">
        <f aca="false">IF($B1081="","",ROW()-4)</f>
        <v/>
      </c>
      <c r="B1081" s="26"/>
      <c r="C1081" s="24"/>
      <c r="D1081" s="21"/>
      <c r="E1081" s="21"/>
      <c r="F1081" s="21"/>
      <c r="G1081" s="21"/>
      <c r="H1081" s="27"/>
      <c r="I1081" s="23" t="str">
        <f aca="false">IF($D1081&lt;&gt;"销项开票","",IF($N1081="一级",IF(IFERROR(INDEX(项目档案!$E$6:$E$255,MATCH($C1081,项目档案!$A$6:$A$255,0)),"")="",N(IFERROR(INDEX(单位档案!$D$6:$D$35,MATCH($E1081,单位档案!$A$6:$A$35,0)),"")),IFERROR(INDEX(项目档案!$E$6:$E$255,MATCH($C1081,项目档案!$A$6:$A$255,0)),"")),IF($N1081="二级",IF(IFERROR(INDEX(项目档案!$G$6:$G$255,MATCH($C1081,项目档案!$A$6:$A$255,0)),"")="",N(IFERROR(INDEX(单位档案!$D$6:$D$35,MATCH($E1081,单位档案!$A$6:$A$35,0)),"")),IFERROR(INDEX(项目档案!$G$6:$G$255,MATCH($C1081,项目档案!$A$6:$A$255,0)),"")),N(IFERROR(INDEX(单位档案!$D$6:$D$35,MATCH($E1081,单位档案!$A$6:$A$35,0)),"")))))</f>
        <v/>
      </c>
      <c r="J1081" s="22"/>
      <c r="K1081" s="22"/>
      <c r="L1081" s="33" t="str">
        <f aca="false">IF($B1081="","",IF(NOT(ISNUMBER($B1081)),"日期格式不对",IF($C1081="","未选项目编号",IF(LEFT($M1081,1)="⚠","项目编号不存在",IF($D1081="","未选业务类型",IF($E1081="","未选开票/付款方",IF(ISNA(MATCH($E1081,单位档案!$A$6:$A$35,0)),"开票方不在单位档案",IF($F1081="","未选收票/收款方",IF(ISNA(MATCH($F1081,单位档案!$A$6:$A$35,0)),"收款方不在单位档案",IF(NOT(ISNUMBER($H1081)),"金额须为数字",IF(AND($D1081="销项开票",$N1081="—"),"链条待确认","√")))))))))))</f>
        <v/>
      </c>
      <c r="M1081" s="34" t="str">
        <f aca="false">IF($C1081="","",IFERROR(INDEX(项目档案!$B$6:$B$255,MATCH($C1081,项目档案!$A$6:$A$255,0)),"⚠项目编号不存在"))</f>
        <v/>
      </c>
      <c r="N1081" s="35" t="str">
        <f aca="false">IF($E1081="","",IF($E1081=IFERROR(INDEX(项目档案!$D$6:$D$255,MATCH($C1081,项目档案!$A$6:$A$255,0)),""),"一级",IF($E1081=IFERROR(INDEX(项目档案!$F$6:$F$255,MATCH($C1081,项目档案!$A$6:$A$255,0)),""),"二级",IF($E1081=IFERROR(INDEX(项目档案!$H$6:$H$255,MATCH($C1081,项目档案!$A$6:$A$255,0)),""),"我方","—"))))</f>
        <v/>
      </c>
      <c r="O1081" s="36" t="n">
        <f aca="false">IF($D1081&lt;&gt;"销项开票",0,ROUND(N($H1081)*N($I1081),2))</f>
        <v>0</v>
      </c>
      <c r="P1081" s="36" t="n">
        <f aca="false">IF($D1081&lt;&gt;"销项开票",0,ROUND(N($H1081)-$O1081,2))</f>
        <v>0</v>
      </c>
      <c r="Q1081" s="37" t="str">
        <f aca="false">IF($E1081="","",N(IFERROR(INDEX(单位档案!$E$6:$E$35,MATCH($E1081,单位档案!$A$6:$A$35,0)),"")))</f>
        <v/>
      </c>
      <c r="R1081" s="37" t="str">
        <f aca="false">IF($E1081="","",N(IFERROR(INDEX(单位档案!$F$6:$F$35,MATCH($E1081,单位档案!$A$6:$A$35,0)),"")))</f>
        <v/>
      </c>
      <c r="S1081" s="36" t="n">
        <f aca="false">IF(OR($D1081&lt;&gt;"销项开票",IFERROR(INDEX(单位档案!$G$6:$G$35,MATCH($E1081,单位档案!$A$6:$A$35,0)),"")&lt;&gt;"是",N($Q1081)=0),0,IF(IFERROR(INDEX(单位档案!$H$6:$H$35,MATCH($E1081,单位档案!$A$6:$A$35,0)),"")="税差法",ROUND(N($H1081)/(1+$Q1081)*$Q1081-IF(N($R1081)=0,0,$P1081/(1+$R1081)*$R1081),2),ROUND(N($H1081)/(1+$Q1081)*$Q1081,2)))</f>
        <v>0</v>
      </c>
      <c r="T1081" s="36" t="n">
        <f aca="false">ROUND($S1081*N(IFERROR(INDEX(单位档案!$J$6:$J$35,MATCH($E1081,单位档案!$A$6:$A$35,0)),"")),2)</f>
        <v>0</v>
      </c>
      <c r="U1081" s="36" t="n">
        <f aca="false">IF($D1081&lt;&gt;"销项开票",0,ROUND(N($H1081)*N(IFERROR(INDEX(单位档案!$K$6:$K$35,MATCH($E1081,单位档案!$A$6:$A$35,0)),"")),2))</f>
        <v>0</v>
      </c>
      <c r="V1081" s="36" t="n">
        <f aca="false">IF(OR($D1081&lt;&gt;"销项开票",N($Q1081)=0),0,ROUND(N($H1081)/(1+$Q1081)*N(IFERROR(INDEX(单位档案!$L$6:$L$35,MATCH($E1081,单位档案!$A$6:$A$35,0)),"")),2))</f>
        <v>0</v>
      </c>
      <c r="W1081" s="36" t="n">
        <f aca="false">ROUND($S1081+$T1081+$U1081+$V1081,2)</f>
        <v>0</v>
      </c>
      <c r="X1081" s="35" t="str">
        <f aca="false">IF(OR($D1081="挂靠代收",$D1081="我方收款"),COUNTIFS($D$5:$D1081,"挂靠代收")+COUNTIFS($D$5:$D1081,"我方收款"),"")</f>
        <v/>
      </c>
      <c r="Y1081" s="35"/>
      <c r="Z1081" s="21" t="s">
        <v>111</v>
      </c>
    </row>
    <row r="1082" customFormat="false" ht="15.75" hidden="false" customHeight="true" outlineLevel="0" collapsed="false">
      <c r="A1082" s="32" t="str">
        <f aca="false">IF($B1082="","",ROW()-4)</f>
        <v/>
      </c>
      <c r="B1082" s="26"/>
      <c r="C1082" s="24"/>
      <c r="D1082" s="21"/>
      <c r="E1082" s="21"/>
      <c r="F1082" s="21"/>
      <c r="G1082" s="21"/>
      <c r="H1082" s="27"/>
      <c r="I1082" s="23" t="str">
        <f aca="false">IF($D1082&lt;&gt;"销项开票","",IF($N1082="一级",IF(IFERROR(INDEX(项目档案!$E$6:$E$255,MATCH($C1082,项目档案!$A$6:$A$255,0)),"")="",N(IFERROR(INDEX(单位档案!$D$6:$D$35,MATCH($E1082,单位档案!$A$6:$A$35,0)),"")),IFERROR(INDEX(项目档案!$E$6:$E$255,MATCH($C1082,项目档案!$A$6:$A$255,0)),"")),IF($N1082="二级",IF(IFERROR(INDEX(项目档案!$G$6:$G$255,MATCH($C1082,项目档案!$A$6:$A$255,0)),"")="",N(IFERROR(INDEX(单位档案!$D$6:$D$35,MATCH($E1082,单位档案!$A$6:$A$35,0)),"")),IFERROR(INDEX(项目档案!$G$6:$G$255,MATCH($C1082,项目档案!$A$6:$A$255,0)),"")),N(IFERROR(INDEX(单位档案!$D$6:$D$35,MATCH($E1082,单位档案!$A$6:$A$35,0)),"")))))</f>
        <v/>
      </c>
      <c r="J1082" s="22"/>
      <c r="K1082" s="22"/>
      <c r="L1082" s="33" t="str">
        <f aca="false">IF($B1082="","",IF(NOT(ISNUMBER($B1082)),"日期格式不对",IF($C1082="","未选项目编号",IF(LEFT($M1082,1)="⚠","项目编号不存在",IF($D1082="","未选业务类型",IF($E1082="","未选开票/付款方",IF(ISNA(MATCH($E1082,单位档案!$A$6:$A$35,0)),"开票方不在单位档案",IF($F1082="","未选收票/收款方",IF(ISNA(MATCH($F1082,单位档案!$A$6:$A$35,0)),"收款方不在单位档案",IF(NOT(ISNUMBER($H1082)),"金额须为数字",IF(AND($D1082="销项开票",$N1082="—"),"链条待确认","√")))))))))))</f>
        <v/>
      </c>
      <c r="M1082" s="34" t="str">
        <f aca="false">IF($C1082="","",IFERROR(INDEX(项目档案!$B$6:$B$255,MATCH($C1082,项目档案!$A$6:$A$255,0)),"⚠项目编号不存在"))</f>
        <v/>
      </c>
      <c r="N1082" s="35" t="str">
        <f aca="false">IF($E1082="","",IF($E1082=IFERROR(INDEX(项目档案!$D$6:$D$255,MATCH($C1082,项目档案!$A$6:$A$255,0)),""),"一级",IF($E1082=IFERROR(INDEX(项目档案!$F$6:$F$255,MATCH($C1082,项目档案!$A$6:$A$255,0)),""),"二级",IF($E1082=IFERROR(INDEX(项目档案!$H$6:$H$255,MATCH($C1082,项目档案!$A$6:$A$255,0)),""),"我方","—"))))</f>
        <v/>
      </c>
      <c r="O1082" s="36" t="n">
        <f aca="false">IF($D1082&lt;&gt;"销项开票",0,ROUND(N($H1082)*N($I1082),2))</f>
        <v>0</v>
      </c>
      <c r="P1082" s="36" t="n">
        <f aca="false">IF($D1082&lt;&gt;"销项开票",0,ROUND(N($H1082)-$O1082,2))</f>
        <v>0</v>
      </c>
      <c r="Q1082" s="37" t="str">
        <f aca="false">IF($E1082="","",N(IFERROR(INDEX(单位档案!$E$6:$E$35,MATCH($E1082,单位档案!$A$6:$A$35,0)),"")))</f>
        <v/>
      </c>
      <c r="R1082" s="37" t="str">
        <f aca="false">IF($E1082="","",N(IFERROR(INDEX(单位档案!$F$6:$F$35,MATCH($E1082,单位档案!$A$6:$A$35,0)),"")))</f>
        <v/>
      </c>
      <c r="S1082" s="36" t="n">
        <f aca="false">IF(OR($D1082&lt;&gt;"销项开票",IFERROR(INDEX(单位档案!$G$6:$G$35,MATCH($E1082,单位档案!$A$6:$A$35,0)),"")&lt;&gt;"是",N($Q1082)=0),0,IF(IFERROR(INDEX(单位档案!$H$6:$H$35,MATCH($E1082,单位档案!$A$6:$A$35,0)),"")="税差法",ROUND(N($H1082)/(1+$Q1082)*$Q1082-IF(N($R1082)=0,0,$P1082/(1+$R1082)*$R1082),2),ROUND(N($H1082)/(1+$Q1082)*$Q1082,2)))</f>
        <v>0</v>
      </c>
      <c r="T1082" s="36" t="n">
        <f aca="false">ROUND($S1082*N(IFERROR(INDEX(单位档案!$J$6:$J$35,MATCH($E1082,单位档案!$A$6:$A$35,0)),"")),2)</f>
        <v>0</v>
      </c>
      <c r="U1082" s="36" t="n">
        <f aca="false">IF($D1082&lt;&gt;"销项开票",0,ROUND(N($H1082)*N(IFERROR(INDEX(单位档案!$K$6:$K$35,MATCH($E1082,单位档案!$A$6:$A$35,0)),"")),2))</f>
        <v>0</v>
      </c>
      <c r="V1082" s="36" t="n">
        <f aca="false">IF(OR($D1082&lt;&gt;"销项开票",N($Q1082)=0),0,ROUND(N($H1082)/(1+$Q1082)*N(IFERROR(INDEX(单位档案!$L$6:$L$35,MATCH($E1082,单位档案!$A$6:$A$35,0)),"")),2))</f>
        <v>0</v>
      </c>
      <c r="W1082" s="36" t="n">
        <f aca="false">ROUND($S1082+$T1082+$U1082+$V1082,2)</f>
        <v>0</v>
      </c>
      <c r="X1082" s="35" t="str">
        <f aca="false">IF(OR($D1082="挂靠代收",$D1082="我方收款"),COUNTIFS($D$5:$D1082,"挂靠代收")+COUNTIFS($D$5:$D1082,"我方收款"),"")</f>
        <v/>
      </c>
      <c r="Y1082" s="35"/>
      <c r="Z1082" s="21" t="s">
        <v>111</v>
      </c>
    </row>
    <row r="1083" customFormat="false" ht="15.75" hidden="false" customHeight="true" outlineLevel="0" collapsed="false">
      <c r="A1083" s="32" t="str">
        <f aca="false">IF($B1083="","",ROW()-4)</f>
        <v/>
      </c>
      <c r="B1083" s="26"/>
      <c r="C1083" s="24"/>
      <c r="D1083" s="21"/>
      <c r="E1083" s="21"/>
      <c r="F1083" s="21"/>
      <c r="G1083" s="21"/>
      <c r="H1083" s="27"/>
      <c r="I1083" s="23" t="str">
        <f aca="false">IF($D1083&lt;&gt;"销项开票","",IF($N1083="一级",IF(IFERROR(INDEX(项目档案!$E$6:$E$255,MATCH($C1083,项目档案!$A$6:$A$255,0)),"")="",N(IFERROR(INDEX(单位档案!$D$6:$D$35,MATCH($E1083,单位档案!$A$6:$A$35,0)),"")),IFERROR(INDEX(项目档案!$E$6:$E$255,MATCH($C1083,项目档案!$A$6:$A$255,0)),"")),IF($N1083="二级",IF(IFERROR(INDEX(项目档案!$G$6:$G$255,MATCH($C1083,项目档案!$A$6:$A$255,0)),"")="",N(IFERROR(INDEX(单位档案!$D$6:$D$35,MATCH($E1083,单位档案!$A$6:$A$35,0)),"")),IFERROR(INDEX(项目档案!$G$6:$G$255,MATCH($C1083,项目档案!$A$6:$A$255,0)),"")),N(IFERROR(INDEX(单位档案!$D$6:$D$35,MATCH($E1083,单位档案!$A$6:$A$35,0)),"")))))</f>
        <v/>
      </c>
      <c r="J1083" s="22"/>
      <c r="K1083" s="22"/>
      <c r="L1083" s="33" t="str">
        <f aca="false">IF($B1083="","",IF(NOT(ISNUMBER($B1083)),"日期格式不对",IF($C1083="","未选项目编号",IF(LEFT($M1083,1)="⚠","项目编号不存在",IF($D1083="","未选业务类型",IF($E1083="","未选开票/付款方",IF(ISNA(MATCH($E1083,单位档案!$A$6:$A$35,0)),"开票方不在单位档案",IF($F1083="","未选收票/收款方",IF(ISNA(MATCH($F1083,单位档案!$A$6:$A$35,0)),"收款方不在单位档案",IF(NOT(ISNUMBER($H1083)),"金额须为数字",IF(AND($D1083="销项开票",$N1083="—"),"链条待确认","√")))))))))))</f>
        <v/>
      </c>
      <c r="M1083" s="34" t="str">
        <f aca="false">IF($C1083="","",IFERROR(INDEX(项目档案!$B$6:$B$255,MATCH($C1083,项目档案!$A$6:$A$255,0)),"⚠项目编号不存在"))</f>
        <v/>
      </c>
      <c r="N1083" s="35" t="str">
        <f aca="false">IF($E1083="","",IF($E1083=IFERROR(INDEX(项目档案!$D$6:$D$255,MATCH($C1083,项目档案!$A$6:$A$255,0)),""),"一级",IF($E1083=IFERROR(INDEX(项目档案!$F$6:$F$255,MATCH($C1083,项目档案!$A$6:$A$255,0)),""),"二级",IF($E1083=IFERROR(INDEX(项目档案!$H$6:$H$255,MATCH($C1083,项目档案!$A$6:$A$255,0)),""),"我方","—"))))</f>
        <v/>
      </c>
      <c r="O1083" s="36" t="n">
        <f aca="false">IF($D1083&lt;&gt;"销项开票",0,ROUND(N($H1083)*N($I1083),2))</f>
        <v>0</v>
      </c>
      <c r="P1083" s="36" t="n">
        <f aca="false">IF($D1083&lt;&gt;"销项开票",0,ROUND(N($H1083)-$O1083,2))</f>
        <v>0</v>
      </c>
      <c r="Q1083" s="37" t="str">
        <f aca="false">IF($E1083="","",N(IFERROR(INDEX(单位档案!$E$6:$E$35,MATCH($E1083,单位档案!$A$6:$A$35,0)),"")))</f>
        <v/>
      </c>
      <c r="R1083" s="37" t="str">
        <f aca="false">IF($E1083="","",N(IFERROR(INDEX(单位档案!$F$6:$F$35,MATCH($E1083,单位档案!$A$6:$A$35,0)),"")))</f>
        <v/>
      </c>
      <c r="S1083" s="36" t="n">
        <f aca="false">IF(OR($D1083&lt;&gt;"销项开票",IFERROR(INDEX(单位档案!$G$6:$G$35,MATCH($E1083,单位档案!$A$6:$A$35,0)),"")&lt;&gt;"是",N($Q1083)=0),0,IF(IFERROR(INDEX(单位档案!$H$6:$H$35,MATCH($E1083,单位档案!$A$6:$A$35,0)),"")="税差法",ROUND(N($H1083)/(1+$Q1083)*$Q1083-IF(N($R1083)=0,0,$P1083/(1+$R1083)*$R1083),2),ROUND(N($H1083)/(1+$Q1083)*$Q1083,2)))</f>
        <v>0</v>
      </c>
      <c r="T1083" s="36" t="n">
        <f aca="false">ROUND($S1083*N(IFERROR(INDEX(单位档案!$J$6:$J$35,MATCH($E1083,单位档案!$A$6:$A$35,0)),"")),2)</f>
        <v>0</v>
      </c>
      <c r="U1083" s="36" t="n">
        <f aca="false">IF($D1083&lt;&gt;"销项开票",0,ROUND(N($H1083)*N(IFERROR(INDEX(单位档案!$K$6:$K$35,MATCH($E1083,单位档案!$A$6:$A$35,0)),"")),2))</f>
        <v>0</v>
      </c>
      <c r="V1083" s="36" t="n">
        <f aca="false">IF(OR($D1083&lt;&gt;"销项开票",N($Q1083)=0),0,ROUND(N($H1083)/(1+$Q1083)*N(IFERROR(INDEX(单位档案!$L$6:$L$35,MATCH($E1083,单位档案!$A$6:$A$35,0)),"")),2))</f>
        <v>0</v>
      </c>
      <c r="W1083" s="36" t="n">
        <f aca="false">ROUND($S1083+$T1083+$U1083+$V1083,2)</f>
        <v>0</v>
      </c>
      <c r="X1083" s="35" t="str">
        <f aca="false">IF(OR($D1083="挂靠代收",$D1083="我方收款"),COUNTIFS($D$5:$D1083,"挂靠代收")+COUNTIFS($D$5:$D1083,"我方收款"),"")</f>
        <v/>
      </c>
      <c r="Y1083" s="35"/>
      <c r="Z1083" s="21" t="s">
        <v>111</v>
      </c>
    </row>
    <row r="1084" customFormat="false" ht="15.75" hidden="false" customHeight="true" outlineLevel="0" collapsed="false">
      <c r="A1084" s="32" t="str">
        <f aca="false">IF($B1084="","",ROW()-4)</f>
        <v/>
      </c>
      <c r="B1084" s="26"/>
      <c r="C1084" s="24"/>
      <c r="D1084" s="21"/>
      <c r="E1084" s="21"/>
      <c r="F1084" s="21"/>
      <c r="G1084" s="21"/>
      <c r="H1084" s="27"/>
      <c r="I1084" s="23" t="str">
        <f aca="false">IF($D1084&lt;&gt;"销项开票","",IF($N1084="一级",IF(IFERROR(INDEX(项目档案!$E$6:$E$255,MATCH($C1084,项目档案!$A$6:$A$255,0)),"")="",N(IFERROR(INDEX(单位档案!$D$6:$D$35,MATCH($E1084,单位档案!$A$6:$A$35,0)),"")),IFERROR(INDEX(项目档案!$E$6:$E$255,MATCH($C1084,项目档案!$A$6:$A$255,0)),"")),IF($N1084="二级",IF(IFERROR(INDEX(项目档案!$G$6:$G$255,MATCH($C1084,项目档案!$A$6:$A$255,0)),"")="",N(IFERROR(INDEX(单位档案!$D$6:$D$35,MATCH($E1084,单位档案!$A$6:$A$35,0)),"")),IFERROR(INDEX(项目档案!$G$6:$G$255,MATCH($C1084,项目档案!$A$6:$A$255,0)),"")),N(IFERROR(INDEX(单位档案!$D$6:$D$35,MATCH($E1084,单位档案!$A$6:$A$35,0)),"")))))</f>
        <v/>
      </c>
      <c r="J1084" s="22"/>
      <c r="K1084" s="22"/>
      <c r="L1084" s="33" t="str">
        <f aca="false">IF($B1084="","",IF(NOT(ISNUMBER($B1084)),"日期格式不对",IF($C1084="","未选项目编号",IF(LEFT($M1084,1)="⚠","项目编号不存在",IF($D1084="","未选业务类型",IF($E1084="","未选开票/付款方",IF(ISNA(MATCH($E1084,单位档案!$A$6:$A$35,0)),"开票方不在单位档案",IF($F1084="","未选收票/收款方",IF(ISNA(MATCH($F1084,单位档案!$A$6:$A$35,0)),"收款方不在单位档案",IF(NOT(ISNUMBER($H1084)),"金额须为数字",IF(AND($D1084="销项开票",$N1084="—"),"链条待确认","√")))))))))))</f>
        <v/>
      </c>
      <c r="M1084" s="34" t="str">
        <f aca="false">IF($C1084="","",IFERROR(INDEX(项目档案!$B$6:$B$255,MATCH($C1084,项目档案!$A$6:$A$255,0)),"⚠项目编号不存在"))</f>
        <v/>
      </c>
      <c r="N1084" s="35" t="str">
        <f aca="false">IF($E1084="","",IF($E1084=IFERROR(INDEX(项目档案!$D$6:$D$255,MATCH($C1084,项目档案!$A$6:$A$255,0)),""),"一级",IF($E1084=IFERROR(INDEX(项目档案!$F$6:$F$255,MATCH($C1084,项目档案!$A$6:$A$255,0)),""),"二级",IF($E1084=IFERROR(INDEX(项目档案!$H$6:$H$255,MATCH($C1084,项目档案!$A$6:$A$255,0)),""),"我方","—"))))</f>
        <v/>
      </c>
      <c r="O1084" s="36" t="n">
        <f aca="false">IF($D1084&lt;&gt;"销项开票",0,ROUND(N($H1084)*N($I1084),2))</f>
        <v>0</v>
      </c>
      <c r="P1084" s="36" t="n">
        <f aca="false">IF($D1084&lt;&gt;"销项开票",0,ROUND(N($H1084)-$O1084,2))</f>
        <v>0</v>
      </c>
      <c r="Q1084" s="37" t="str">
        <f aca="false">IF($E1084="","",N(IFERROR(INDEX(单位档案!$E$6:$E$35,MATCH($E1084,单位档案!$A$6:$A$35,0)),"")))</f>
        <v/>
      </c>
      <c r="R1084" s="37" t="str">
        <f aca="false">IF($E1084="","",N(IFERROR(INDEX(单位档案!$F$6:$F$35,MATCH($E1084,单位档案!$A$6:$A$35,0)),"")))</f>
        <v/>
      </c>
      <c r="S1084" s="36" t="n">
        <f aca="false">IF(OR($D1084&lt;&gt;"销项开票",IFERROR(INDEX(单位档案!$G$6:$G$35,MATCH($E1084,单位档案!$A$6:$A$35,0)),"")&lt;&gt;"是",N($Q1084)=0),0,IF(IFERROR(INDEX(单位档案!$H$6:$H$35,MATCH($E1084,单位档案!$A$6:$A$35,0)),"")="税差法",ROUND(N($H1084)/(1+$Q1084)*$Q1084-IF(N($R1084)=0,0,$P1084/(1+$R1084)*$R1084),2),ROUND(N($H1084)/(1+$Q1084)*$Q1084,2)))</f>
        <v>0</v>
      </c>
      <c r="T1084" s="36" t="n">
        <f aca="false">ROUND($S1084*N(IFERROR(INDEX(单位档案!$J$6:$J$35,MATCH($E1084,单位档案!$A$6:$A$35,0)),"")),2)</f>
        <v>0</v>
      </c>
      <c r="U1084" s="36" t="n">
        <f aca="false">IF($D1084&lt;&gt;"销项开票",0,ROUND(N($H1084)*N(IFERROR(INDEX(单位档案!$K$6:$K$35,MATCH($E1084,单位档案!$A$6:$A$35,0)),"")),2))</f>
        <v>0</v>
      </c>
      <c r="V1084" s="36" t="n">
        <f aca="false">IF(OR($D1084&lt;&gt;"销项开票",N($Q1084)=0),0,ROUND(N($H1084)/(1+$Q1084)*N(IFERROR(INDEX(单位档案!$L$6:$L$35,MATCH($E1084,单位档案!$A$6:$A$35,0)),"")),2))</f>
        <v>0</v>
      </c>
      <c r="W1084" s="36" t="n">
        <f aca="false">ROUND($S1084+$T1084+$U1084+$V1084,2)</f>
        <v>0</v>
      </c>
      <c r="X1084" s="35" t="str">
        <f aca="false">IF(OR($D1084="挂靠代收",$D1084="我方收款"),COUNTIFS($D$5:$D1084,"挂靠代收")+COUNTIFS($D$5:$D1084,"我方收款"),"")</f>
        <v/>
      </c>
      <c r="Y1084" s="35"/>
      <c r="Z1084" s="21" t="s">
        <v>111</v>
      </c>
    </row>
    <row r="1085" customFormat="false" ht="15.75" hidden="false" customHeight="true" outlineLevel="0" collapsed="false">
      <c r="A1085" s="32" t="str">
        <f aca="false">IF($B1085="","",ROW()-4)</f>
        <v/>
      </c>
      <c r="B1085" s="26"/>
      <c r="C1085" s="24"/>
      <c r="D1085" s="21"/>
      <c r="E1085" s="21"/>
      <c r="F1085" s="21"/>
      <c r="G1085" s="21"/>
      <c r="H1085" s="27"/>
      <c r="I1085" s="23" t="str">
        <f aca="false">IF($D1085&lt;&gt;"销项开票","",IF($N1085="一级",IF(IFERROR(INDEX(项目档案!$E$6:$E$255,MATCH($C1085,项目档案!$A$6:$A$255,0)),"")="",N(IFERROR(INDEX(单位档案!$D$6:$D$35,MATCH($E1085,单位档案!$A$6:$A$35,0)),"")),IFERROR(INDEX(项目档案!$E$6:$E$255,MATCH($C1085,项目档案!$A$6:$A$255,0)),"")),IF($N1085="二级",IF(IFERROR(INDEX(项目档案!$G$6:$G$255,MATCH($C1085,项目档案!$A$6:$A$255,0)),"")="",N(IFERROR(INDEX(单位档案!$D$6:$D$35,MATCH($E1085,单位档案!$A$6:$A$35,0)),"")),IFERROR(INDEX(项目档案!$G$6:$G$255,MATCH($C1085,项目档案!$A$6:$A$255,0)),"")),N(IFERROR(INDEX(单位档案!$D$6:$D$35,MATCH($E1085,单位档案!$A$6:$A$35,0)),"")))))</f>
        <v/>
      </c>
      <c r="J1085" s="22"/>
      <c r="K1085" s="22"/>
      <c r="L1085" s="33" t="str">
        <f aca="false">IF($B1085="","",IF(NOT(ISNUMBER($B1085)),"日期格式不对",IF($C1085="","未选项目编号",IF(LEFT($M1085,1)="⚠","项目编号不存在",IF($D1085="","未选业务类型",IF($E1085="","未选开票/付款方",IF(ISNA(MATCH($E1085,单位档案!$A$6:$A$35,0)),"开票方不在单位档案",IF($F1085="","未选收票/收款方",IF(ISNA(MATCH($F1085,单位档案!$A$6:$A$35,0)),"收款方不在单位档案",IF(NOT(ISNUMBER($H1085)),"金额须为数字",IF(AND($D1085="销项开票",$N1085="—"),"链条待确认","√")))))))))))</f>
        <v/>
      </c>
      <c r="M1085" s="34" t="str">
        <f aca="false">IF($C1085="","",IFERROR(INDEX(项目档案!$B$6:$B$255,MATCH($C1085,项目档案!$A$6:$A$255,0)),"⚠项目编号不存在"))</f>
        <v/>
      </c>
      <c r="N1085" s="35" t="str">
        <f aca="false">IF($E1085="","",IF($E1085=IFERROR(INDEX(项目档案!$D$6:$D$255,MATCH($C1085,项目档案!$A$6:$A$255,0)),""),"一级",IF($E1085=IFERROR(INDEX(项目档案!$F$6:$F$255,MATCH($C1085,项目档案!$A$6:$A$255,0)),""),"二级",IF($E1085=IFERROR(INDEX(项目档案!$H$6:$H$255,MATCH($C1085,项目档案!$A$6:$A$255,0)),""),"我方","—"))))</f>
        <v/>
      </c>
      <c r="O1085" s="36" t="n">
        <f aca="false">IF($D1085&lt;&gt;"销项开票",0,ROUND(N($H1085)*N($I1085),2))</f>
        <v>0</v>
      </c>
      <c r="P1085" s="36" t="n">
        <f aca="false">IF($D1085&lt;&gt;"销项开票",0,ROUND(N($H1085)-$O1085,2))</f>
        <v>0</v>
      </c>
      <c r="Q1085" s="37" t="str">
        <f aca="false">IF($E1085="","",N(IFERROR(INDEX(单位档案!$E$6:$E$35,MATCH($E1085,单位档案!$A$6:$A$35,0)),"")))</f>
        <v/>
      </c>
      <c r="R1085" s="37" t="str">
        <f aca="false">IF($E1085="","",N(IFERROR(INDEX(单位档案!$F$6:$F$35,MATCH($E1085,单位档案!$A$6:$A$35,0)),"")))</f>
        <v/>
      </c>
      <c r="S1085" s="36" t="n">
        <f aca="false">IF(OR($D1085&lt;&gt;"销项开票",IFERROR(INDEX(单位档案!$G$6:$G$35,MATCH($E1085,单位档案!$A$6:$A$35,0)),"")&lt;&gt;"是",N($Q1085)=0),0,IF(IFERROR(INDEX(单位档案!$H$6:$H$35,MATCH($E1085,单位档案!$A$6:$A$35,0)),"")="税差法",ROUND(N($H1085)/(1+$Q1085)*$Q1085-IF(N($R1085)=0,0,$P1085/(1+$R1085)*$R1085),2),ROUND(N($H1085)/(1+$Q1085)*$Q1085,2)))</f>
        <v>0</v>
      </c>
      <c r="T1085" s="36" t="n">
        <f aca="false">ROUND($S1085*N(IFERROR(INDEX(单位档案!$J$6:$J$35,MATCH($E1085,单位档案!$A$6:$A$35,0)),"")),2)</f>
        <v>0</v>
      </c>
      <c r="U1085" s="36" t="n">
        <f aca="false">IF($D1085&lt;&gt;"销项开票",0,ROUND(N($H1085)*N(IFERROR(INDEX(单位档案!$K$6:$K$35,MATCH($E1085,单位档案!$A$6:$A$35,0)),"")),2))</f>
        <v>0</v>
      </c>
      <c r="V1085" s="36" t="n">
        <f aca="false">IF(OR($D1085&lt;&gt;"销项开票",N($Q1085)=0),0,ROUND(N($H1085)/(1+$Q1085)*N(IFERROR(INDEX(单位档案!$L$6:$L$35,MATCH($E1085,单位档案!$A$6:$A$35,0)),"")),2))</f>
        <v>0</v>
      </c>
      <c r="W1085" s="36" t="n">
        <f aca="false">ROUND($S1085+$T1085+$U1085+$V1085,2)</f>
        <v>0</v>
      </c>
      <c r="X1085" s="35" t="str">
        <f aca="false">IF(OR($D1085="挂靠代收",$D1085="我方收款"),COUNTIFS($D$5:$D1085,"挂靠代收")+COUNTIFS($D$5:$D1085,"我方收款"),"")</f>
        <v/>
      </c>
      <c r="Y1085" s="35"/>
      <c r="Z1085" s="21" t="s">
        <v>111</v>
      </c>
    </row>
    <row r="1086" customFormat="false" ht="15.75" hidden="false" customHeight="true" outlineLevel="0" collapsed="false">
      <c r="A1086" s="32" t="str">
        <f aca="false">IF($B1086="","",ROW()-4)</f>
        <v/>
      </c>
      <c r="B1086" s="26"/>
      <c r="C1086" s="24"/>
      <c r="D1086" s="21"/>
      <c r="E1086" s="21"/>
      <c r="F1086" s="21"/>
      <c r="G1086" s="21"/>
      <c r="H1086" s="27"/>
      <c r="I1086" s="23" t="str">
        <f aca="false">IF($D1086&lt;&gt;"销项开票","",IF($N1086="一级",IF(IFERROR(INDEX(项目档案!$E$6:$E$255,MATCH($C1086,项目档案!$A$6:$A$255,0)),"")="",N(IFERROR(INDEX(单位档案!$D$6:$D$35,MATCH($E1086,单位档案!$A$6:$A$35,0)),"")),IFERROR(INDEX(项目档案!$E$6:$E$255,MATCH($C1086,项目档案!$A$6:$A$255,0)),"")),IF($N1086="二级",IF(IFERROR(INDEX(项目档案!$G$6:$G$255,MATCH($C1086,项目档案!$A$6:$A$255,0)),"")="",N(IFERROR(INDEX(单位档案!$D$6:$D$35,MATCH($E1086,单位档案!$A$6:$A$35,0)),"")),IFERROR(INDEX(项目档案!$G$6:$G$255,MATCH($C1086,项目档案!$A$6:$A$255,0)),"")),N(IFERROR(INDEX(单位档案!$D$6:$D$35,MATCH($E1086,单位档案!$A$6:$A$35,0)),"")))))</f>
        <v/>
      </c>
      <c r="J1086" s="22"/>
      <c r="K1086" s="22"/>
      <c r="L1086" s="33" t="str">
        <f aca="false">IF($B1086="","",IF(NOT(ISNUMBER($B1086)),"日期格式不对",IF($C1086="","未选项目编号",IF(LEFT($M1086,1)="⚠","项目编号不存在",IF($D1086="","未选业务类型",IF($E1086="","未选开票/付款方",IF(ISNA(MATCH($E1086,单位档案!$A$6:$A$35,0)),"开票方不在单位档案",IF($F1086="","未选收票/收款方",IF(ISNA(MATCH($F1086,单位档案!$A$6:$A$35,0)),"收款方不在单位档案",IF(NOT(ISNUMBER($H1086)),"金额须为数字",IF(AND($D1086="销项开票",$N1086="—"),"链条待确认","√")))))))))))</f>
        <v/>
      </c>
      <c r="M1086" s="34" t="str">
        <f aca="false">IF($C1086="","",IFERROR(INDEX(项目档案!$B$6:$B$255,MATCH($C1086,项目档案!$A$6:$A$255,0)),"⚠项目编号不存在"))</f>
        <v/>
      </c>
      <c r="N1086" s="35" t="str">
        <f aca="false">IF($E1086="","",IF($E1086=IFERROR(INDEX(项目档案!$D$6:$D$255,MATCH($C1086,项目档案!$A$6:$A$255,0)),""),"一级",IF($E1086=IFERROR(INDEX(项目档案!$F$6:$F$255,MATCH($C1086,项目档案!$A$6:$A$255,0)),""),"二级",IF($E1086=IFERROR(INDEX(项目档案!$H$6:$H$255,MATCH($C1086,项目档案!$A$6:$A$255,0)),""),"我方","—"))))</f>
        <v/>
      </c>
      <c r="O1086" s="36" t="n">
        <f aca="false">IF($D1086&lt;&gt;"销项开票",0,ROUND(N($H1086)*N($I1086),2))</f>
        <v>0</v>
      </c>
      <c r="P1086" s="36" t="n">
        <f aca="false">IF($D1086&lt;&gt;"销项开票",0,ROUND(N($H1086)-$O1086,2))</f>
        <v>0</v>
      </c>
      <c r="Q1086" s="37" t="str">
        <f aca="false">IF($E1086="","",N(IFERROR(INDEX(单位档案!$E$6:$E$35,MATCH($E1086,单位档案!$A$6:$A$35,0)),"")))</f>
        <v/>
      </c>
      <c r="R1086" s="37" t="str">
        <f aca="false">IF($E1086="","",N(IFERROR(INDEX(单位档案!$F$6:$F$35,MATCH($E1086,单位档案!$A$6:$A$35,0)),"")))</f>
        <v/>
      </c>
      <c r="S1086" s="36" t="n">
        <f aca="false">IF(OR($D1086&lt;&gt;"销项开票",IFERROR(INDEX(单位档案!$G$6:$G$35,MATCH($E1086,单位档案!$A$6:$A$35,0)),"")&lt;&gt;"是",N($Q1086)=0),0,IF(IFERROR(INDEX(单位档案!$H$6:$H$35,MATCH($E1086,单位档案!$A$6:$A$35,0)),"")="税差法",ROUND(N($H1086)/(1+$Q1086)*$Q1086-IF(N($R1086)=0,0,$P1086/(1+$R1086)*$R1086),2),ROUND(N($H1086)/(1+$Q1086)*$Q1086,2)))</f>
        <v>0</v>
      </c>
      <c r="T1086" s="36" t="n">
        <f aca="false">ROUND($S1086*N(IFERROR(INDEX(单位档案!$J$6:$J$35,MATCH($E1086,单位档案!$A$6:$A$35,0)),"")),2)</f>
        <v>0</v>
      </c>
      <c r="U1086" s="36" t="n">
        <f aca="false">IF($D1086&lt;&gt;"销项开票",0,ROUND(N($H1086)*N(IFERROR(INDEX(单位档案!$K$6:$K$35,MATCH($E1086,单位档案!$A$6:$A$35,0)),"")),2))</f>
        <v>0</v>
      </c>
      <c r="V1086" s="36" t="n">
        <f aca="false">IF(OR($D1086&lt;&gt;"销项开票",N($Q1086)=0),0,ROUND(N($H1086)/(1+$Q1086)*N(IFERROR(INDEX(单位档案!$L$6:$L$35,MATCH($E1086,单位档案!$A$6:$A$35,0)),"")),2))</f>
        <v>0</v>
      </c>
      <c r="W1086" s="36" t="n">
        <f aca="false">ROUND($S1086+$T1086+$U1086+$V1086,2)</f>
        <v>0</v>
      </c>
      <c r="X1086" s="35" t="str">
        <f aca="false">IF(OR($D1086="挂靠代收",$D1086="我方收款"),COUNTIFS($D$5:$D1086,"挂靠代收")+COUNTIFS($D$5:$D1086,"我方收款"),"")</f>
        <v/>
      </c>
      <c r="Y1086" s="35"/>
      <c r="Z1086" s="21" t="s">
        <v>111</v>
      </c>
    </row>
    <row r="1087" customFormat="false" ht="15.75" hidden="false" customHeight="true" outlineLevel="0" collapsed="false">
      <c r="A1087" s="32" t="str">
        <f aca="false">IF($B1087="","",ROW()-4)</f>
        <v/>
      </c>
      <c r="B1087" s="26"/>
      <c r="C1087" s="24"/>
      <c r="D1087" s="21"/>
      <c r="E1087" s="21"/>
      <c r="F1087" s="21"/>
      <c r="G1087" s="21"/>
      <c r="H1087" s="27"/>
      <c r="I1087" s="23" t="str">
        <f aca="false">IF($D1087&lt;&gt;"销项开票","",IF($N1087="一级",IF(IFERROR(INDEX(项目档案!$E$6:$E$255,MATCH($C1087,项目档案!$A$6:$A$255,0)),"")="",N(IFERROR(INDEX(单位档案!$D$6:$D$35,MATCH($E1087,单位档案!$A$6:$A$35,0)),"")),IFERROR(INDEX(项目档案!$E$6:$E$255,MATCH($C1087,项目档案!$A$6:$A$255,0)),"")),IF($N1087="二级",IF(IFERROR(INDEX(项目档案!$G$6:$G$255,MATCH($C1087,项目档案!$A$6:$A$255,0)),"")="",N(IFERROR(INDEX(单位档案!$D$6:$D$35,MATCH($E1087,单位档案!$A$6:$A$35,0)),"")),IFERROR(INDEX(项目档案!$G$6:$G$255,MATCH($C1087,项目档案!$A$6:$A$255,0)),"")),N(IFERROR(INDEX(单位档案!$D$6:$D$35,MATCH($E1087,单位档案!$A$6:$A$35,0)),"")))))</f>
        <v/>
      </c>
      <c r="J1087" s="22"/>
      <c r="K1087" s="22"/>
      <c r="L1087" s="33" t="str">
        <f aca="false">IF($B1087="","",IF(NOT(ISNUMBER($B1087)),"日期格式不对",IF($C1087="","未选项目编号",IF(LEFT($M1087,1)="⚠","项目编号不存在",IF($D1087="","未选业务类型",IF($E1087="","未选开票/付款方",IF(ISNA(MATCH($E1087,单位档案!$A$6:$A$35,0)),"开票方不在单位档案",IF($F1087="","未选收票/收款方",IF(ISNA(MATCH($F1087,单位档案!$A$6:$A$35,0)),"收款方不在单位档案",IF(NOT(ISNUMBER($H1087)),"金额须为数字",IF(AND($D1087="销项开票",$N1087="—"),"链条待确认","√")))))))))))</f>
        <v/>
      </c>
      <c r="M1087" s="34" t="str">
        <f aca="false">IF($C1087="","",IFERROR(INDEX(项目档案!$B$6:$B$255,MATCH($C1087,项目档案!$A$6:$A$255,0)),"⚠项目编号不存在"))</f>
        <v/>
      </c>
      <c r="N1087" s="35" t="str">
        <f aca="false">IF($E1087="","",IF($E1087=IFERROR(INDEX(项目档案!$D$6:$D$255,MATCH($C1087,项目档案!$A$6:$A$255,0)),""),"一级",IF($E1087=IFERROR(INDEX(项目档案!$F$6:$F$255,MATCH($C1087,项目档案!$A$6:$A$255,0)),""),"二级",IF($E1087=IFERROR(INDEX(项目档案!$H$6:$H$255,MATCH($C1087,项目档案!$A$6:$A$255,0)),""),"我方","—"))))</f>
        <v/>
      </c>
      <c r="O1087" s="36" t="n">
        <f aca="false">IF($D1087&lt;&gt;"销项开票",0,ROUND(N($H1087)*N($I1087),2))</f>
        <v>0</v>
      </c>
      <c r="P1087" s="36" t="n">
        <f aca="false">IF($D1087&lt;&gt;"销项开票",0,ROUND(N($H1087)-$O1087,2))</f>
        <v>0</v>
      </c>
      <c r="Q1087" s="37" t="str">
        <f aca="false">IF($E1087="","",N(IFERROR(INDEX(单位档案!$E$6:$E$35,MATCH($E1087,单位档案!$A$6:$A$35,0)),"")))</f>
        <v/>
      </c>
      <c r="R1087" s="37" t="str">
        <f aca="false">IF($E1087="","",N(IFERROR(INDEX(单位档案!$F$6:$F$35,MATCH($E1087,单位档案!$A$6:$A$35,0)),"")))</f>
        <v/>
      </c>
      <c r="S1087" s="36" t="n">
        <f aca="false">IF(OR($D1087&lt;&gt;"销项开票",IFERROR(INDEX(单位档案!$G$6:$G$35,MATCH($E1087,单位档案!$A$6:$A$35,0)),"")&lt;&gt;"是",N($Q1087)=0),0,IF(IFERROR(INDEX(单位档案!$H$6:$H$35,MATCH($E1087,单位档案!$A$6:$A$35,0)),"")="税差法",ROUND(N($H1087)/(1+$Q1087)*$Q1087-IF(N($R1087)=0,0,$P1087/(1+$R1087)*$R1087),2),ROUND(N($H1087)/(1+$Q1087)*$Q1087,2)))</f>
        <v>0</v>
      </c>
      <c r="T1087" s="36" t="n">
        <f aca="false">ROUND($S1087*N(IFERROR(INDEX(单位档案!$J$6:$J$35,MATCH($E1087,单位档案!$A$6:$A$35,0)),"")),2)</f>
        <v>0</v>
      </c>
      <c r="U1087" s="36" t="n">
        <f aca="false">IF($D1087&lt;&gt;"销项开票",0,ROUND(N($H1087)*N(IFERROR(INDEX(单位档案!$K$6:$K$35,MATCH($E1087,单位档案!$A$6:$A$35,0)),"")),2))</f>
        <v>0</v>
      </c>
      <c r="V1087" s="36" t="n">
        <f aca="false">IF(OR($D1087&lt;&gt;"销项开票",N($Q1087)=0),0,ROUND(N($H1087)/(1+$Q1087)*N(IFERROR(INDEX(单位档案!$L$6:$L$35,MATCH($E1087,单位档案!$A$6:$A$35,0)),"")),2))</f>
        <v>0</v>
      </c>
      <c r="W1087" s="36" t="n">
        <f aca="false">ROUND($S1087+$T1087+$U1087+$V1087,2)</f>
        <v>0</v>
      </c>
      <c r="X1087" s="35" t="str">
        <f aca="false">IF(OR($D1087="挂靠代收",$D1087="我方收款"),COUNTIFS($D$5:$D1087,"挂靠代收")+COUNTIFS($D$5:$D1087,"我方收款"),"")</f>
        <v/>
      </c>
      <c r="Y1087" s="35"/>
      <c r="Z1087" s="21" t="s">
        <v>111</v>
      </c>
    </row>
    <row r="1088" customFormat="false" ht="15.75" hidden="false" customHeight="true" outlineLevel="0" collapsed="false">
      <c r="A1088" s="32" t="str">
        <f aca="false">IF($B1088="","",ROW()-4)</f>
        <v/>
      </c>
      <c r="B1088" s="26"/>
      <c r="C1088" s="24"/>
      <c r="D1088" s="21"/>
      <c r="E1088" s="21"/>
      <c r="F1088" s="21"/>
      <c r="G1088" s="21"/>
      <c r="H1088" s="27"/>
      <c r="I1088" s="23" t="str">
        <f aca="false">IF($D1088&lt;&gt;"销项开票","",IF($N1088="一级",IF(IFERROR(INDEX(项目档案!$E$6:$E$255,MATCH($C1088,项目档案!$A$6:$A$255,0)),"")="",N(IFERROR(INDEX(单位档案!$D$6:$D$35,MATCH($E1088,单位档案!$A$6:$A$35,0)),"")),IFERROR(INDEX(项目档案!$E$6:$E$255,MATCH($C1088,项目档案!$A$6:$A$255,0)),"")),IF($N1088="二级",IF(IFERROR(INDEX(项目档案!$G$6:$G$255,MATCH($C1088,项目档案!$A$6:$A$255,0)),"")="",N(IFERROR(INDEX(单位档案!$D$6:$D$35,MATCH($E1088,单位档案!$A$6:$A$35,0)),"")),IFERROR(INDEX(项目档案!$G$6:$G$255,MATCH($C1088,项目档案!$A$6:$A$255,0)),"")),N(IFERROR(INDEX(单位档案!$D$6:$D$35,MATCH($E1088,单位档案!$A$6:$A$35,0)),"")))))</f>
        <v/>
      </c>
      <c r="J1088" s="22"/>
      <c r="K1088" s="22"/>
      <c r="L1088" s="33" t="str">
        <f aca="false">IF($B1088="","",IF(NOT(ISNUMBER($B1088)),"日期格式不对",IF($C1088="","未选项目编号",IF(LEFT($M1088,1)="⚠","项目编号不存在",IF($D1088="","未选业务类型",IF($E1088="","未选开票/付款方",IF(ISNA(MATCH($E1088,单位档案!$A$6:$A$35,0)),"开票方不在单位档案",IF($F1088="","未选收票/收款方",IF(ISNA(MATCH($F1088,单位档案!$A$6:$A$35,0)),"收款方不在单位档案",IF(NOT(ISNUMBER($H1088)),"金额须为数字",IF(AND($D1088="销项开票",$N1088="—"),"链条待确认","√")))))))))))</f>
        <v/>
      </c>
      <c r="M1088" s="34" t="str">
        <f aca="false">IF($C1088="","",IFERROR(INDEX(项目档案!$B$6:$B$255,MATCH($C1088,项目档案!$A$6:$A$255,0)),"⚠项目编号不存在"))</f>
        <v/>
      </c>
      <c r="N1088" s="35" t="str">
        <f aca="false">IF($E1088="","",IF($E1088=IFERROR(INDEX(项目档案!$D$6:$D$255,MATCH($C1088,项目档案!$A$6:$A$255,0)),""),"一级",IF($E1088=IFERROR(INDEX(项目档案!$F$6:$F$255,MATCH($C1088,项目档案!$A$6:$A$255,0)),""),"二级",IF($E1088=IFERROR(INDEX(项目档案!$H$6:$H$255,MATCH($C1088,项目档案!$A$6:$A$255,0)),""),"我方","—"))))</f>
        <v/>
      </c>
      <c r="O1088" s="36" t="n">
        <f aca="false">IF($D1088&lt;&gt;"销项开票",0,ROUND(N($H1088)*N($I1088),2))</f>
        <v>0</v>
      </c>
      <c r="P1088" s="36" t="n">
        <f aca="false">IF($D1088&lt;&gt;"销项开票",0,ROUND(N($H1088)-$O1088,2))</f>
        <v>0</v>
      </c>
      <c r="Q1088" s="37" t="str">
        <f aca="false">IF($E1088="","",N(IFERROR(INDEX(单位档案!$E$6:$E$35,MATCH($E1088,单位档案!$A$6:$A$35,0)),"")))</f>
        <v/>
      </c>
      <c r="R1088" s="37" t="str">
        <f aca="false">IF($E1088="","",N(IFERROR(INDEX(单位档案!$F$6:$F$35,MATCH($E1088,单位档案!$A$6:$A$35,0)),"")))</f>
        <v/>
      </c>
      <c r="S1088" s="36" t="n">
        <f aca="false">IF(OR($D1088&lt;&gt;"销项开票",IFERROR(INDEX(单位档案!$G$6:$G$35,MATCH($E1088,单位档案!$A$6:$A$35,0)),"")&lt;&gt;"是",N($Q1088)=0),0,IF(IFERROR(INDEX(单位档案!$H$6:$H$35,MATCH($E1088,单位档案!$A$6:$A$35,0)),"")="税差法",ROUND(N($H1088)/(1+$Q1088)*$Q1088-IF(N($R1088)=0,0,$P1088/(1+$R1088)*$R1088),2),ROUND(N($H1088)/(1+$Q1088)*$Q1088,2)))</f>
        <v>0</v>
      </c>
      <c r="T1088" s="36" t="n">
        <f aca="false">ROUND($S1088*N(IFERROR(INDEX(单位档案!$J$6:$J$35,MATCH($E1088,单位档案!$A$6:$A$35,0)),"")),2)</f>
        <v>0</v>
      </c>
      <c r="U1088" s="36" t="n">
        <f aca="false">IF($D1088&lt;&gt;"销项开票",0,ROUND(N($H1088)*N(IFERROR(INDEX(单位档案!$K$6:$K$35,MATCH($E1088,单位档案!$A$6:$A$35,0)),"")),2))</f>
        <v>0</v>
      </c>
      <c r="V1088" s="36" t="n">
        <f aca="false">IF(OR($D1088&lt;&gt;"销项开票",N($Q1088)=0),0,ROUND(N($H1088)/(1+$Q1088)*N(IFERROR(INDEX(单位档案!$L$6:$L$35,MATCH($E1088,单位档案!$A$6:$A$35,0)),"")),2))</f>
        <v>0</v>
      </c>
      <c r="W1088" s="36" t="n">
        <f aca="false">ROUND($S1088+$T1088+$U1088+$V1088,2)</f>
        <v>0</v>
      </c>
      <c r="X1088" s="35" t="str">
        <f aca="false">IF(OR($D1088="挂靠代收",$D1088="我方收款"),COUNTIFS($D$5:$D1088,"挂靠代收")+COUNTIFS($D$5:$D1088,"我方收款"),"")</f>
        <v/>
      </c>
      <c r="Y1088" s="35"/>
      <c r="Z1088" s="21" t="s">
        <v>111</v>
      </c>
    </row>
    <row r="1089" customFormat="false" ht="15.75" hidden="false" customHeight="true" outlineLevel="0" collapsed="false">
      <c r="A1089" s="32" t="str">
        <f aca="false">IF($B1089="","",ROW()-4)</f>
        <v/>
      </c>
      <c r="B1089" s="26"/>
      <c r="C1089" s="24"/>
      <c r="D1089" s="21"/>
      <c r="E1089" s="21"/>
      <c r="F1089" s="21"/>
      <c r="G1089" s="21"/>
      <c r="H1089" s="27"/>
      <c r="I1089" s="23" t="str">
        <f aca="false">IF($D1089&lt;&gt;"销项开票","",IF($N1089="一级",IF(IFERROR(INDEX(项目档案!$E$6:$E$255,MATCH($C1089,项目档案!$A$6:$A$255,0)),"")="",N(IFERROR(INDEX(单位档案!$D$6:$D$35,MATCH($E1089,单位档案!$A$6:$A$35,0)),"")),IFERROR(INDEX(项目档案!$E$6:$E$255,MATCH($C1089,项目档案!$A$6:$A$255,0)),"")),IF($N1089="二级",IF(IFERROR(INDEX(项目档案!$G$6:$G$255,MATCH($C1089,项目档案!$A$6:$A$255,0)),"")="",N(IFERROR(INDEX(单位档案!$D$6:$D$35,MATCH($E1089,单位档案!$A$6:$A$35,0)),"")),IFERROR(INDEX(项目档案!$G$6:$G$255,MATCH($C1089,项目档案!$A$6:$A$255,0)),"")),N(IFERROR(INDEX(单位档案!$D$6:$D$35,MATCH($E1089,单位档案!$A$6:$A$35,0)),"")))))</f>
        <v/>
      </c>
      <c r="J1089" s="22"/>
      <c r="K1089" s="22"/>
      <c r="L1089" s="33" t="str">
        <f aca="false">IF($B1089="","",IF(NOT(ISNUMBER($B1089)),"日期格式不对",IF($C1089="","未选项目编号",IF(LEFT($M1089,1)="⚠","项目编号不存在",IF($D1089="","未选业务类型",IF($E1089="","未选开票/付款方",IF(ISNA(MATCH($E1089,单位档案!$A$6:$A$35,0)),"开票方不在单位档案",IF($F1089="","未选收票/收款方",IF(ISNA(MATCH($F1089,单位档案!$A$6:$A$35,0)),"收款方不在单位档案",IF(NOT(ISNUMBER($H1089)),"金额须为数字",IF(AND($D1089="销项开票",$N1089="—"),"链条待确认","√")))))))))))</f>
        <v/>
      </c>
      <c r="M1089" s="34" t="str">
        <f aca="false">IF($C1089="","",IFERROR(INDEX(项目档案!$B$6:$B$255,MATCH($C1089,项目档案!$A$6:$A$255,0)),"⚠项目编号不存在"))</f>
        <v/>
      </c>
      <c r="N1089" s="35" t="str">
        <f aca="false">IF($E1089="","",IF($E1089=IFERROR(INDEX(项目档案!$D$6:$D$255,MATCH($C1089,项目档案!$A$6:$A$255,0)),""),"一级",IF($E1089=IFERROR(INDEX(项目档案!$F$6:$F$255,MATCH($C1089,项目档案!$A$6:$A$255,0)),""),"二级",IF($E1089=IFERROR(INDEX(项目档案!$H$6:$H$255,MATCH($C1089,项目档案!$A$6:$A$255,0)),""),"我方","—"))))</f>
        <v/>
      </c>
      <c r="O1089" s="36" t="n">
        <f aca="false">IF($D1089&lt;&gt;"销项开票",0,ROUND(N($H1089)*N($I1089),2))</f>
        <v>0</v>
      </c>
      <c r="P1089" s="36" t="n">
        <f aca="false">IF($D1089&lt;&gt;"销项开票",0,ROUND(N($H1089)-$O1089,2))</f>
        <v>0</v>
      </c>
      <c r="Q1089" s="37" t="str">
        <f aca="false">IF($E1089="","",N(IFERROR(INDEX(单位档案!$E$6:$E$35,MATCH($E1089,单位档案!$A$6:$A$35,0)),"")))</f>
        <v/>
      </c>
      <c r="R1089" s="37" t="str">
        <f aca="false">IF($E1089="","",N(IFERROR(INDEX(单位档案!$F$6:$F$35,MATCH($E1089,单位档案!$A$6:$A$35,0)),"")))</f>
        <v/>
      </c>
      <c r="S1089" s="36" t="n">
        <f aca="false">IF(OR($D1089&lt;&gt;"销项开票",IFERROR(INDEX(单位档案!$G$6:$G$35,MATCH($E1089,单位档案!$A$6:$A$35,0)),"")&lt;&gt;"是",N($Q1089)=0),0,IF(IFERROR(INDEX(单位档案!$H$6:$H$35,MATCH($E1089,单位档案!$A$6:$A$35,0)),"")="税差法",ROUND(N($H1089)/(1+$Q1089)*$Q1089-IF(N($R1089)=0,0,$P1089/(1+$R1089)*$R1089),2),ROUND(N($H1089)/(1+$Q1089)*$Q1089,2)))</f>
        <v>0</v>
      </c>
      <c r="T1089" s="36" t="n">
        <f aca="false">ROUND($S1089*N(IFERROR(INDEX(单位档案!$J$6:$J$35,MATCH($E1089,单位档案!$A$6:$A$35,0)),"")),2)</f>
        <v>0</v>
      </c>
      <c r="U1089" s="36" t="n">
        <f aca="false">IF($D1089&lt;&gt;"销项开票",0,ROUND(N($H1089)*N(IFERROR(INDEX(单位档案!$K$6:$K$35,MATCH($E1089,单位档案!$A$6:$A$35,0)),"")),2))</f>
        <v>0</v>
      </c>
      <c r="V1089" s="36" t="n">
        <f aca="false">IF(OR($D1089&lt;&gt;"销项开票",N($Q1089)=0),0,ROUND(N($H1089)/(1+$Q1089)*N(IFERROR(INDEX(单位档案!$L$6:$L$35,MATCH($E1089,单位档案!$A$6:$A$35,0)),"")),2))</f>
        <v>0</v>
      </c>
      <c r="W1089" s="36" t="n">
        <f aca="false">ROUND($S1089+$T1089+$U1089+$V1089,2)</f>
        <v>0</v>
      </c>
      <c r="X1089" s="35" t="str">
        <f aca="false">IF(OR($D1089="挂靠代收",$D1089="我方收款"),COUNTIFS($D$5:$D1089,"挂靠代收")+COUNTIFS($D$5:$D1089,"我方收款"),"")</f>
        <v/>
      </c>
      <c r="Y1089" s="35"/>
      <c r="Z1089" s="21" t="s">
        <v>111</v>
      </c>
    </row>
    <row r="1090" customFormat="false" ht="15.75" hidden="false" customHeight="true" outlineLevel="0" collapsed="false">
      <c r="A1090" s="32" t="str">
        <f aca="false">IF($B1090="","",ROW()-4)</f>
        <v/>
      </c>
      <c r="B1090" s="26"/>
      <c r="C1090" s="24"/>
      <c r="D1090" s="21"/>
      <c r="E1090" s="21"/>
      <c r="F1090" s="21"/>
      <c r="G1090" s="21"/>
      <c r="H1090" s="27"/>
      <c r="I1090" s="23" t="str">
        <f aca="false">IF($D1090&lt;&gt;"销项开票","",IF($N1090="一级",IF(IFERROR(INDEX(项目档案!$E$6:$E$255,MATCH($C1090,项目档案!$A$6:$A$255,0)),"")="",N(IFERROR(INDEX(单位档案!$D$6:$D$35,MATCH($E1090,单位档案!$A$6:$A$35,0)),"")),IFERROR(INDEX(项目档案!$E$6:$E$255,MATCH($C1090,项目档案!$A$6:$A$255,0)),"")),IF($N1090="二级",IF(IFERROR(INDEX(项目档案!$G$6:$G$255,MATCH($C1090,项目档案!$A$6:$A$255,0)),"")="",N(IFERROR(INDEX(单位档案!$D$6:$D$35,MATCH($E1090,单位档案!$A$6:$A$35,0)),"")),IFERROR(INDEX(项目档案!$G$6:$G$255,MATCH($C1090,项目档案!$A$6:$A$255,0)),"")),N(IFERROR(INDEX(单位档案!$D$6:$D$35,MATCH($E1090,单位档案!$A$6:$A$35,0)),"")))))</f>
        <v/>
      </c>
      <c r="J1090" s="22"/>
      <c r="K1090" s="22"/>
      <c r="L1090" s="33" t="str">
        <f aca="false">IF($B1090="","",IF(NOT(ISNUMBER($B1090)),"日期格式不对",IF($C1090="","未选项目编号",IF(LEFT($M1090,1)="⚠","项目编号不存在",IF($D1090="","未选业务类型",IF($E1090="","未选开票/付款方",IF(ISNA(MATCH($E1090,单位档案!$A$6:$A$35,0)),"开票方不在单位档案",IF($F1090="","未选收票/收款方",IF(ISNA(MATCH($F1090,单位档案!$A$6:$A$35,0)),"收款方不在单位档案",IF(NOT(ISNUMBER($H1090)),"金额须为数字",IF(AND($D1090="销项开票",$N1090="—"),"链条待确认","√")))))))))))</f>
        <v/>
      </c>
      <c r="M1090" s="34" t="str">
        <f aca="false">IF($C1090="","",IFERROR(INDEX(项目档案!$B$6:$B$255,MATCH($C1090,项目档案!$A$6:$A$255,0)),"⚠项目编号不存在"))</f>
        <v/>
      </c>
      <c r="N1090" s="35" t="str">
        <f aca="false">IF($E1090="","",IF($E1090=IFERROR(INDEX(项目档案!$D$6:$D$255,MATCH($C1090,项目档案!$A$6:$A$255,0)),""),"一级",IF($E1090=IFERROR(INDEX(项目档案!$F$6:$F$255,MATCH($C1090,项目档案!$A$6:$A$255,0)),""),"二级",IF($E1090=IFERROR(INDEX(项目档案!$H$6:$H$255,MATCH($C1090,项目档案!$A$6:$A$255,0)),""),"我方","—"))))</f>
        <v/>
      </c>
      <c r="O1090" s="36" t="n">
        <f aca="false">IF($D1090&lt;&gt;"销项开票",0,ROUND(N($H1090)*N($I1090),2))</f>
        <v>0</v>
      </c>
      <c r="P1090" s="36" t="n">
        <f aca="false">IF($D1090&lt;&gt;"销项开票",0,ROUND(N($H1090)-$O1090,2))</f>
        <v>0</v>
      </c>
      <c r="Q1090" s="37" t="str">
        <f aca="false">IF($E1090="","",N(IFERROR(INDEX(单位档案!$E$6:$E$35,MATCH($E1090,单位档案!$A$6:$A$35,0)),"")))</f>
        <v/>
      </c>
      <c r="R1090" s="37" t="str">
        <f aca="false">IF($E1090="","",N(IFERROR(INDEX(单位档案!$F$6:$F$35,MATCH($E1090,单位档案!$A$6:$A$35,0)),"")))</f>
        <v/>
      </c>
      <c r="S1090" s="36" t="n">
        <f aca="false">IF(OR($D1090&lt;&gt;"销项开票",IFERROR(INDEX(单位档案!$G$6:$G$35,MATCH($E1090,单位档案!$A$6:$A$35,0)),"")&lt;&gt;"是",N($Q1090)=0),0,IF(IFERROR(INDEX(单位档案!$H$6:$H$35,MATCH($E1090,单位档案!$A$6:$A$35,0)),"")="税差法",ROUND(N($H1090)/(1+$Q1090)*$Q1090-IF(N($R1090)=0,0,$P1090/(1+$R1090)*$R1090),2),ROUND(N($H1090)/(1+$Q1090)*$Q1090,2)))</f>
        <v>0</v>
      </c>
      <c r="T1090" s="36" t="n">
        <f aca="false">ROUND($S1090*N(IFERROR(INDEX(单位档案!$J$6:$J$35,MATCH($E1090,单位档案!$A$6:$A$35,0)),"")),2)</f>
        <v>0</v>
      </c>
      <c r="U1090" s="36" t="n">
        <f aca="false">IF($D1090&lt;&gt;"销项开票",0,ROUND(N($H1090)*N(IFERROR(INDEX(单位档案!$K$6:$K$35,MATCH($E1090,单位档案!$A$6:$A$35,0)),"")),2))</f>
        <v>0</v>
      </c>
      <c r="V1090" s="36" t="n">
        <f aca="false">IF(OR($D1090&lt;&gt;"销项开票",N($Q1090)=0),0,ROUND(N($H1090)/(1+$Q1090)*N(IFERROR(INDEX(单位档案!$L$6:$L$35,MATCH($E1090,单位档案!$A$6:$A$35,0)),"")),2))</f>
        <v>0</v>
      </c>
      <c r="W1090" s="36" t="n">
        <f aca="false">ROUND($S1090+$T1090+$U1090+$V1090,2)</f>
        <v>0</v>
      </c>
      <c r="X1090" s="35" t="str">
        <f aca="false">IF(OR($D1090="挂靠代收",$D1090="我方收款"),COUNTIFS($D$5:$D1090,"挂靠代收")+COUNTIFS($D$5:$D1090,"我方收款"),"")</f>
        <v/>
      </c>
      <c r="Y1090" s="35"/>
      <c r="Z1090" s="21" t="s">
        <v>111</v>
      </c>
    </row>
    <row r="1091" customFormat="false" ht="15.75" hidden="false" customHeight="true" outlineLevel="0" collapsed="false">
      <c r="A1091" s="32" t="str">
        <f aca="false">IF($B1091="","",ROW()-4)</f>
        <v/>
      </c>
      <c r="B1091" s="26"/>
      <c r="C1091" s="24"/>
      <c r="D1091" s="21"/>
      <c r="E1091" s="21"/>
      <c r="F1091" s="21"/>
      <c r="G1091" s="21"/>
      <c r="H1091" s="27"/>
      <c r="I1091" s="23" t="str">
        <f aca="false">IF($D1091&lt;&gt;"销项开票","",IF($N1091="一级",IF(IFERROR(INDEX(项目档案!$E$6:$E$255,MATCH($C1091,项目档案!$A$6:$A$255,0)),"")="",N(IFERROR(INDEX(单位档案!$D$6:$D$35,MATCH($E1091,单位档案!$A$6:$A$35,0)),"")),IFERROR(INDEX(项目档案!$E$6:$E$255,MATCH($C1091,项目档案!$A$6:$A$255,0)),"")),IF($N1091="二级",IF(IFERROR(INDEX(项目档案!$G$6:$G$255,MATCH($C1091,项目档案!$A$6:$A$255,0)),"")="",N(IFERROR(INDEX(单位档案!$D$6:$D$35,MATCH($E1091,单位档案!$A$6:$A$35,0)),"")),IFERROR(INDEX(项目档案!$G$6:$G$255,MATCH($C1091,项目档案!$A$6:$A$255,0)),"")),N(IFERROR(INDEX(单位档案!$D$6:$D$35,MATCH($E1091,单位档案!$A$6:$A$35,0)),"")))))</f>
        <v/>
      </c>
      <c r="J1091" s="22"/>
      <c r="K1091" s="22"/>
      <c r="L1091" s="33" t="str">
        <f aca="false">IF($B1091="","",IF(NOT(ISNUMBER($B1091)),"日期格式不对",IF($C1091="","未选项目编号",IF(LEFT($M1091,1)="⚠","项目编号不存在",IF($D1091="","未选业务类型",IF($E1091="","未选开票/付款方",IF(ISNA(MATCH($E1091,单位档案!$A$6:$A$35,0)),"开票方不在单位档案",IF($F1091="","未选收票/收款方",IF(ISNA(MATCH($F1091,单位档案!$A$6:$A$35,0)),"收款方不在单位档案",IF(NOT(ISNUMBER($H1091)),"金额须为数字",IF(AND($D1091="销项开票",$N1091="—"),"链条待确认","√")))))))))))</f>
        <v/>
      </c>
      <c r="M1091" s="34" t="str">
        <f aca="false">IF($C1091="","",IFERROR(INDEX(项目档案!$B$6:$B$255,MATCH($C1091,项目档案!$A$6:$A$255,0)),"⚠项目编号不存在"))</f>
        <v/>
      </c>
      <c r="N1091" s="35" t="str">
        <f aca="false">IF($E1091="","",IF($E1091=IFERROR(INDEX(项目档案!$D$6:$D$255,MATCH($C1091,项目档案!$A$6:$A$255,0)),""),"一级",IF($E1091=IFERROR(INDEX(项目档案!$F$6:$F$255,MATCH($C1091,项目档案!$A$6:$A$255,0)),""),"二级",IF($E1091=IFERROR(INDEX(项目档案!$H$6:$H$255,MATCH($C1091,项目档案!$A$6:$A$255,0)),""),"我方","—"))))</f>
        <v/>
      </c>
      <c r="O1091" s="36" t="n">
        <f aca="false">IF($D1091&lt;&gt;"销项开票",0,ROUND(N($H1091)*N($I1091),2))</f>
        <v>0</v>
      </c>
      <c r="P1091" s="36" t="n">
        <f aca="false">IF($D1091&lt;&gt;"销项开票",0,ROUND(N($H1091)-$O1091,2))</f>
        <v>0</v>
      </c>
      <c r="Q1091" s="37" t="str">
        <f aca="false">IF($E1091="","",N(IFERROR(INDEX(单位档案!$E$6:$E$35,MATCH($E1091,单位档案!$A$6:$A$35,0)),"")))</f>
        <v/>
      </c>
      <c r="R1091" s="37" t="str">
        <f aca="false">IF($E1091="","",N(IFERROR(INDEX(单位档案!$F$6:$F$35,MATCH($E1091,单位档案!$A$6:$A$35,0)),"")))</f>
        <v/>
      </c>
      <c r="S1091" s="36" t="n">
        <f aca="false">IF(OR($D1091&lt;&gt;"销项开票",IFERROR(INDEX(单位档案!$G$6:$G$35,MATCH($E1091,单位档案!$A$6:$A$35,0)),"")&lt;&gt;"是",N($Q1091)=0),0,IF(IFERROR(INDEX(单位档案!$H$6:$H$35,MATCH($E1091,单位档案!$A$6:$A$35,0)),"")="税差法",ROUND(N($H1091)/(1+$Q1091)*$Q1091-IF(N($R1091)=0,0,$P1091/(1+$R1091)*$R1091),2),ROUND(N($H1091)/(1+$Q1091)*$Q1091,2)))</f>
        <v>0</v>
      </c>
      <c r="T1091" s="36" t="n">
        <f aca="false">ROUND($S1091*N(IFERROR(INDEX(单位档案!$J$6:$J$35,MATCH($E1091,单位档案!$A$6:$A$35,0)),"")),2)</f>
        <v>0</v>
      </c>
      <c r="U1091" s="36" t="n">
        <f aca="false">IF($D1091&lt;&gt;"销项开票",0,ROUND(N($H1091)*N(IFERROR(INDEX(单位档案!$K$6:$K$35,MATCH($E1091,单位档案!$A$6:$A$35,0)),"")),2))</f>
        <v>0</v>
      </c>
      <c r="V1091" s="36" t="n">
        <f aca="false">IF(OR($D1091&lt;&gt;"销项开票",N($Q1091)=0),0,ROUND(N($H1091)/(1+$Q1091)*N(IFERROR(INDEX(单位档案!$L$6:$L$35,MATCH($E1091,单位档案!$A$6:$A$35,0)),"")),2))</f>
        <v>0</v>
      </c>
      <c r="W1091" s="36" t="n">
        <f aca="false">ROUND($S1091+$T1091+$U1091+$V1091,2)</f>
        <v>0</v>
      </c>
      <c r="X1091" s="35" t="str">
        <f aca="false">IF(OR($D1091="挂靠代收",$D1091="我方收款"),COUNTIFS($D$5:$D1091,"挂靠代收")+COUNTIFS($D$5:$D1091,"我方收款"),"")</f>
        <v/>
      </c>
      <c r="Y1091" s="35"/>
      <c r="Z1091" s="21" t="s">
        <v>111</v>
      </c>
    </row>
    <row r="1092" customFormat="false" ht="15.75" hidden="false" customHeight="true" outlineLevel="0" collapsed="false">
      <c r="A1092" s="32" t="str">
        <f aca="false">IF($B1092="","",ROW()-4)</f>
        <v/>
      </c>
      <c r="B1092" s="26"/>
      <c r="C1092" s="24"/>
      <c r="D1092" s="21"/>
      <c r="E1092" s="21"/>
      <c r="F1092" s="21"/>
      <c r="G1092" s="21"/>
      <c r="H1092" s="27"/>
      <c r="I1092" s="23" t="str">
        <f aca="false">IF($D1092&lt;&gt;"销项开票","",IF($N1092="一级",IF(IFERROR(INDEX(项目档案!$E$6:$E$255,MATCH($C1092,项目档案!$A$6:$A$255,0)),"")="",N(IFERROR(INDEX(单位档案!$D$6:$D$35,MATCH($E1092,单位档案!$A$6:$A$35,0)),"")),IFERROR(INDEX(项目档案!$E$6:$E$255,MATCH($C1092,项目档案!$A$6:$A$255,0)),"")),IF($N1092="二级",IF(IFERROR(INDEX(项目档案!$G$6:$G$255,MATCH($C1092,项目档案!$A$6:$A$255,0)),"")="",N(IFERROR(INDEX(单位档案!$D$6:$D$35,MATCH($E1092,单位档案!$A$6:$A$35,0)),"")),IFERROR(INDEX(项目档案!$G$6:$G$255,MATCH($C1092,项目档案!$A$6:$A$255,0)),"")),N(IFERROR(INDEX(单位档案!$D$6:$D$35,MATCH($E1092,单位档案!$A$6:$A$35,0)),"")))))</f>
        <v/>
      </c>
      <c r="J1092" s="22"/>
      <c r="K1092" s="22"/>
      <c r="L1092" s="33" t="str">
        <f aca="false">IF($B1092="","",IF(NOT(ISNUMBER($B1092)),"日期格式不对",IF($C1092="","未选项目编号",IF(LEFT($M1092,1)="⚠","项目编号不存在",IF($D1092="","未选业务类型",IF($E1092="","未选开票/付款方",IF(ISNA(MATCH($E1092,单位档案!$A$6:$A$35,0)),"开票方不在单位档案",IF($F1092="","未选收票/收款方",IF(ISNA(MATCH($F1092,单位档案!$A$6:$A$35,0)),"收款方不在单位档案",IF(NOT(ISNUMBER($H1092)),"金额须为数字",IF(AND($D1092="销项开票",$N1092="—"),"链条待确认","√")))))))))))</f>
        <v/>
      </c>
      <c r="M1092" s="34" t="str">
        <f aca="false">IF($C1092="","",IFERROR(INDEX(项目档案!$B$6:$B$255,MATCH($C1092,项目档案!$A$6:$A$255,0)),"⚠项目编号不存在"))</f>
        <v/>
      </c>
      <c r="N1092" s="35" t="str">
        <f aca="false">IF($E1092="","",IF($E1092=IFERROR(INDEX(项目档案!$D$6:$D$255,MATCH($C1092,项目档案!$A$6:$A$255,0)),""),"一级",IF($E1092=IFERROR(INDEX(项目档案!$F$6:$F$255,MATCH($C1092,项目档案!$A$6:$A$255,0)),""),"二级",IF($E1092=IFERROR(INDEX(项目档案!$H$6:$H$255,MATCH($C1092,项目档案!$A$6:$A$255,0)),""),"我方","—"))))</f>
        <v/>
      </c>
      <c r="O1092" s="36" t="n">
        <f aca="false">IF($D1092&lt;&gt;"销项开票",0,ROUND(N($H1092)*N($I1092),2))</f>
        <v>0</v>
      </c>
      <c r="P1092" s="36" t="n">
        <f aca="false">IF($D1092&lt;&gt;"销项开票",0,ROUND(N($H1092)-$O1092,2))</f>
        <v>0</v>
      </c>
      <c r="Q1092" s="37" t="str">
        <f aca="false">IF($E1092="","",N(IFERROR(INDEX(单位档案!$E$6:$E$35,MATCH($E1092,单位档案!$A$6:$A$35,0)),"")))</f>
        <v/>
      </c>
      <c r="R1092" s="37" t="str">
        <f aca="false">IF($E1092="","",N(IFERROR(INDEX(单位档案!$F$6:$F$35,MATCH($E1092,单位档案!$A$6:$A$35,0)),"")))</f>
        <v/>
      </c>
      <c r="S1092" s="36" t="n">
        <f aca="false">IF(OR($D1092&lt;&gt;"销项开票",IFERROR(INDEX(单位档案!$G$6:$G$35,MATCH($E1092,单位档案!$A$6:$A$35,0)),"")&lt;&gt;"是",N($Q1092)=0),0,IF(IFERROR(INDEX(单位档案!$H$6:$H$35,MATCH($E1092,单位档案!$A$6:$A$35,0)),"")="税差法",ROUND(N($H1092)/(1+$Q1092)*$Q1092-IF(N($R1092)=0,0,$P1092/(1+$R1092)*$R1092),2),ROUND(N($H1092)/(1+$Q1092)*$Q1092,2)))</f>
        <v>0</v>
      </c>
      <c r="T1092" s="36" t="n">
        <f aca="false">ROUND($S1092*N(IFERROR(INDEX(单位档案!$J$6:$J$35,MATCH($E1092,单位档案!$A$6:$A$35,0)),"")),2)</f>
        <v>0</v>
      </c>
      <c r="U1092" s="36" t="n">
        <f aca="false">IF($D1092&lt;&gt;"销项开票",0,ROUND(N($H1092)*N(IFERROR(INDEX(单位档案!$K$6:$K$35,MATCH($E1092,单位档案!$A$6:$A$35,0)),"")),2))</f>
        <v>0</v>
      </c>
      <c r="V1092" s="36" t="n">
        <f aca="false">IF(OR($D1092&lt;&gt;"销项开票",N($Q1092)=0),0,ROUND(N($H1092)/(1+$Q1092)*N(IFERROR(INDEX(单位档案!$L$6:$L$35,MATCH($E1092,单位档案!$A$6:$A$35,0)),"")),2))</f>
        <v>0</v>
      </c>
      <c r="W1092" s="36" t="n">
        <f aca="false">ROUND($S1092+$T1092+$U1092+$V1092,2)</f>
        <v>0</v>
      </c>
      <c r="X1092" s="35" t="str">
        <f aca="false">IF(OR($D1092="挂靠代收",$D1092="我方收款"),COUNTIFS($D$5:$D1092,"挂靠代收")+COUNTIFS($D$5:$D1092,"我方收款"),"")</f>
        <v/>
      </c>
      <c r="Y1092" s="35"/>
      <c r="Z1092" s="21" t="s">
        <v>111</v>
      </c>
    </row>
    <row r="1093" customFormat="false" ht="15.75" hidden="false" customHeight="true" outlineLevel="0" collapsed="false">
      <c r="A1093" s="32" t="str">
        <f aca="false">IF($B1093="","",ROW()-4)</f>
        <v/>
      </c>
      <c r="B1093" s="26"/>
      <c r="C1093" s="24"/>
      <c r="D1093" s="21"/>
      <c r="E1093" s="21"/>
      <c r="F1093" s="21"/>
      <c r="G1093" s="21"/>
      <c r="H1093" s="27"/>
      <c r="I1093" s="23" t="str">
        <f aca="false">IF($D1093&lt;&gt;"销项开票","",IF($N1093="一级",IF(IFERROR(INDEX(项目档案!$E$6:$E$255,MATCH($C1093,项目档案!$A$6:$A$255,0)),"")="",N(IFERROR(INDEX(单位档案!$D$6:$D$35,MATCH($E1093,单位档案!$A$6:$A$35,0)),"")),IFERROR(INDEX(项目档案!$E$6:$E$255,MATCH($C1093,项目档案!$A$6:$A$255,0)),"")),IF($N1093="二级",IF(IFERROR(INDEX(项目档案!$G$6:$G$255,MATCH($C1093,项目档案!$A$6:$A$255,0)),"")="",N(IFERROR(INDEX(单位档案!$D$6:$D$35,MATCH($E1093,单位档案!$A$6:$A$35,0)),"")),IFERROR(INDEX(项目档案!$G$6:$G$255,MATCH($C1093,项目档案!$A$6:$A$255,0)),"")),N(IFERROR(INDEX(单位档案!$D$6:$D$35,MATCH($E1093,单位档案!$A$6:$A$35,0)),"")))))</f>
        <v/>
      </c>
      <c r="J1093" s="22"/>
      <c r="K1093" s="22"/>
      <c r="L1093" s="33" t="str">
        <f aca="false">IF($B1093="","",IF(NOT(ISNUMBER($B1093)),"日期格式不对",IF($C1093="","未选项目编号",IF(LEFT($M1093,1)="⚠","项目编号不存在",IF($D1093="","未选业务类型",IF($E1093="","未选开票/付款方",IF(ISNA(MATCH($E1093,单位档案!$A$6:$A$35,0)),"开票方不在单位档案",IF($F1093="","未选收票/收款方",IF(ISNA(MATCH($F1093,单位档案!$A$6:$A$35,0)),"收款方不在单位档案",IF(NOT(ISNUMBER($H1093)),"金额须为数字",IF(AND($D1093="销项开票",$N1093="—"),"链条待确认","√")))))))))))</f>
        <v/>
      </c>
      <c r="M1093" s="34" t="str">
        <f aca="false">IF($C1093="","",IFERROR(INDEX(项目档案!$B$6:$B$255,MATCH($C1093,项目档案!$A$6:$A$255,0)),"⚠项目编号不存在"))</f>
        <v/>
      </c>
      <c r="N1093" s="35" t="str">
        <f aca="false">IF($E1093="","",IF($E1093=IFERROR(INDEX(项目档案!$D$6:$D$255,MATCH($C1093,项目档案!$A$6:$A$255,0)),""),"一级",IF($E1093=IFERROR(INDEX(项目档案!$F$6:$F$255,MATCH($C1093,项目档案!$A$6:$A$255,0)),""),"二级",IF($E1093=IFERROR(INDEX(项目档案!$H$6:$H$255,MATCH($C1093,项目档案!$A$6:$A$255,0)),""),"我方","—"))))</f>
        <v/>
      </c>
      <c r="O1093" s="36" t="n">
        <f aca="false">IF($D1093&lt;&gt;"销项开票",0,ROUND(N($H1093)*N($I1093),2))</f>
        <v>0</v>
      </c>
      <c r="P1093" s="36" t="n">
        <f aca="false">IF($D1093&lt;&gt;"销项开票",0,ROUND(N($H1093)-$O1093,2))</f>
        <v>0</v>
      </c>
      <c r="Q1093" s="37" t="str">
        <f aca="false">IF($E1093="","",N(IFERROR(INDEX(单位档案!$E$6:$E$35,MATCH($E1093,单位档案!$A$6:$A$35,0)),"")))</f>
        <v/>
      </c>
      <c r="R1093" s="37" t="str">
        <f aca="false">IF($E1093="","",N(IFERROR(INDEX(单位档案!$F$6:$F$35,MATCH($E1093,单位档案!$A$6:$A$35,0)),"")))</f>
        <v/>
      </c>
      <c r="S1093" s="36" t="n">
        <f aca="false">IF(OR($D1093&lt;&gt;"销项开票",IFERROR(INDEX(单位档案!$G$6:$G$35,MATCH($E1093,单位档案!$A$6:$A$35,0)),"")&lt;&gt;"是",N($Q1093)=0),0,IF(IFERROR(INDEX(单位档案!$H$6:$H$35,MATCH($E1093,单位档案!$A$6:$A$35,0)),"")="税差法",ROUND(N($H1093)/(1+$Q1093)*$Q1093-IF(N($R1093)=0,0,$P1093/(1+$R1093)*$R1093),2),ROUND(N($H1093)/(1+$Q1093)*$Q1093,2)))</f>
        <v>0</v>
      </c>
      <c r="T1093" s="36" t="n">
        <f aca="false">ROUND($S1093*N(IFERROR(INDEX(单位档案!$J$6:$J$35,MATCH($E1093,单位档案!$A$6:$A$35,0)),"")),2)</f>
        <v>0</v>
      </c>
      <c r="U1093" s="36" t="n">
        <f aca="false">IF($D1093&lt;&gt;"销项开票",0,ROUND(N($H1093)*N(IFERROR(INDEX(单位档案!$K$6:$K$35,MATCH($E1093,单位档案!$A$6:$A$35,0)),"")),2))</f>
        <v>0</v>
      </c>
      <c r="V1093" s="36" t="n">
        <f aca="false">IF(OR($D1093&lt;&gt;"销项开票",N($Q1093)=0),0,ROUND(N($H1093)/(1+$Q1093)*N(IFERROR(INDEX(单位档案!$L$6:$L$35,MATCH($E1093,单位档案!$A$6:$A$35,0)),"")),2))</f>
        <v>0</v>
      </c>
      <c r="W1093" s="36" t="n">
        <f aca="false">ROUND($S1093+$T1093+$U1093+$V1093,2)</f>
        <v>0</v>
      </c>
      <c r="X1093" s="35" t="str">
        <f aca="false">IF(OR($D1093="挂靠代收",$D1093="我方收款"),COUNTIFS($D$5:$D1093,"挂靠代收")+COUNTIFS($D$5:$D1093,"我方收款"),"")</f>
        <v/>
      </c>
      <c r="Y1093" s="35"/>
      <c r="Z1093" s="21" t="s">
        <v>111</v>
      </c>
    </row>
    <row r="1094" customFormat="false" ht="15.75" hidden="false" customHeight="true" outlineLevel="0" collapsed="false">
      <c r="A1094" s="32" t="str">
        <f aca="false">IF($B1094="","",ROW()-4)</f>
        <v/>
      </c>
      <c r="B1094" s="26"/>
      <c r="C1094" s="24"/>
      <c r="D1094" s="21"/>
      <c r="E1094" s="21"/>
      <c r="F1094" s="21"/>
      <c r="G1094" s="21"/>
      <c r="H1094" s="27"/>
      <c r="I1094" s="23" t="str">
        <f aca="false">IF($D1094&lt;&gt;"销项开票","",IF($N1094="一级",IF(IFERROR(INDEX(项目档案!$E$6:$E$255,MATCH($C1094,项目档案!$A$6:$A$255,0)),"")="",N(IFERROR(INDEX(单位档案!$D$6:$D$35,MATCH($E1094,单位档案!$A$6:$A$35,0)),"")),IFERROR(INDEX(项目档案!$E$6:$E$255,MATCH($C1094,项目档案!$A$6:$A$255,0)),"")),IF($N1094="二级",IF(IFERROR(INDEX(项目档案!$G$6:$G$255,MATCH($C1094,项目档案!$A$6:$A$255,0)),"")="",N(IFERROR(INDEX(单位档案!$D$6:$D$35,MATCH($E1094,单位档案!$A$6:$A$35,0)),"")),IFERROR(INDEX(项目档案!$G$6:$G$255,MATCH($C1094,项目档案!$A$6:$A$255,0)),"")),N(IFERROR(INDEX(单位档案!$D$6:$D$35,MATCH($E1094,单位档案!$A$6:$A$35,0)),"")))))</f>
        <v/>
      </c>
      <c r="J1094" s="22"/>
      <c r="K1094" s="22"/>
      <c r="L1094" s="33" t="str">
        <f aca="false">IF($B1094="","",IF(NOT(ISNUMBER($B1094)),"日期格式不对",IF($C1094="","未选项目编号",IF(LEFT($M1094,1)="⚠","项目编号不存在",IF($D1094="","未选业务类型",IF($E1094="","未选开票/付款方",IF(ISNA(MATCH($E1094,单位档案!$A$6:$A$35,0)),"开票方不在单位档案",IF($F1094="","未选收票/收款方",IF(ISNA(MATCH($F1094,单位档案!$A$6:$A$35,0)),"收款方不在单位档案",IF(NOT(ISNUMBER($H1094)),"金额须为数字",IF(AND($D1094="销项开票",$N1094="—"),"链条待确认","√")))))))))))</f>
        <v/>
      </c>
      <c r="M1094" s="34" t="str">
        <f aca="false">IF($C1094="","",IFERROR(INDEX(项目档案!$B$6:$B$255,MATCH($C1094,项目档案!$A$6:$A$255,0)),"⚠项目编号不存在"))</f>
        <v/>
      </c>
      <c r="N1094" s="35" t="str">
        <f aca="false">IF($E1094="","",IF($E1094=IFERROR(INDEX(项目档案!$D$6:$D$255,MATCH($C1094,项目档案!$A$6:$A$255,0)),""),"一级",IF($E1094=IFERROR(INDEX(项目档案!$F$6:$F$255,MATCH($C1094,项目档案!$A$6:$A$255,0)),""),"二级",IF($E1094=IFERROR(INDEX(项目档案!$H$6:$H$255,MATCH($C1094,项目档案!$A$6:$A$255,0)),""),"我方","—"))))</f>
        <v/>
      </c>
      <c r="O1094" s="36" t="n">
        <f aca="false">IF($D1094&lt;&gt;"销项开票",0,ROUND(N($H1094)*N($I1094),2))</f>
        <v>0</v>
      </c>
      <c r="P1094" s="36" t="n">
        <f aca="false">IF($D1094&lt;&gt;"销项开票",0,ROUND(N($H1094)-$O1094,2))</f>
        <v>0</v>
      </c>
      <c r="Q1094" s="37" t="str">
        <f aca="false">IF($E1094="","",N(IFERROR(INDEX(单位档案!$E$6:$E$35,MATCH($E1094,单位档案!$A$6:$A$35,0)),"")))</f>
        <v/>
      </c>
      <c r="R1094" s="37" t="str">
        <f aca="false">IF($E1094="","",N(IFERROR(INDEX(单位档案!$F$6:$F$35,MATCH($E1094,单位档案!$A$6:$A$35,0)),"")))</f>
        <v/>
      </c>
      <c r="S1094" s="36" t="n">
        <f aca="false">IF(OR($D1094&lt;&gt;"销项开票",IFERROR(INDEX(单位档案!$G$6:$G$35,MATCH($E1094,单位档案!$A$6:$A$35,0)),"")&lt;&gt;"是",N($Q1094)=0),0,IF(IFERROR(INDEX(单位档案!$H$6:$H$35,MATCH($E1094,单位档案!$A$6:$A$35,0)),"")="税差法",ROUND(N($H1094)/(1+$Q1094)*$Q1094-IF(N($R1094)=0,0,$P1094/(1+$R1094)*$R1094),2),ROUND(N($H1094)/(1+$Q1094)*$Q1094,2)))</f>
        <v>0</v>
      </c>
      <c r="T1094" s="36" t="n">
        <f aca="false">ROUND($S1094*N(IFERROR(INDEX(单位档案!$J$6:$J$35,MATCH($E1094,单位档案!$A$6:$A$35,0)),"")),2)</f>
        <v>0</v>
      </c>
      <c r="U1094" s="36" t="n">
        <f aca="false">IF($D1094&lt;&gt;"销项开票",0,ROUND(N($H1094)*N(IFERROR(INDEX(单位档案!$K$6:$K$35,MATCH($E1094,单位档案!$A$6:$A$35,0)),"")),2))</f>
        <v>0</v>
      </c>
      <c r="V1094" s="36" t="n">
        <f aca="false">IF(OR($D1094&lt;&gt;"销项开票",N($Q1094)=0),0,ROUND(N($H1094)/(1+$Q1094)*N(IFERROR(INDEX(单位档案!$L$6:$L$35,MATCH($E1094,单位档案!$A$6:$A$35,0)),"")),2))</f>
        <v>0</v>
      </c>
      <c r="W1094" s="36" t="n">
        <f aca="false">ROUND($S1094+$T1094+$U1094+$V1094,2)</f>
        <v>0</v>
      </c>
      <c r="X1094" s="35" t="str">
        <f aca="false">IF(OR($D1094="挂靠代收",$D1094="我方收款"),COUNTIFS($D$5:$D1094,"挂靠代收")+COUNTIFS($D$5:$D1094,"我方收款"),"")</f>
        <v/>
      </c>
      <c r="Y1094" s="35"/>
      <c r="Z1094" s="21" t="s">
        <v>111</v>
      </c>
    </row>
    <row r="1095" customFormat="false" ht="15.75" hidden="false" customHeight="true" outlineLevel="0" collapsed="false">
      <c r="A1095" s="32" t="str">
        <f aca="false">IF($B1095="","",ROW()-4)</f>
        <v/>
      </c>
      <c r="B1095" s="26"/>
      <c r="C1095" s="24"/>
      <c r="D1095" s="21"/>
      <c r="E1095" s="21"/>
      <c r="F1095" s="21"/>
      <c r="G1095" s="21"/>
      <c r="H1095" s="27"/>
      <c r="I1095" s="23" t="str">
        <f aca="false">IF($D1095&lt;&gt;"销项开票","",IF($N1095="一级",IF(IFERROR(INDEX(项目档案!$E$6:$E$255,MATCH($C1095,项目档案!$A$6:$A$255,0)),"")="",N(IFERROR(INDEX(单位档案!$D$6:$D$35,MATCH($E1095,单位档案!$A$6:$A$35,0)),"")),IFERROR(INDEX(项目档案!$E$6:$E$255,MATCH($C1095,项目档案!$A$6:$A$255,0)),"")),IF($N1095="二级",IF(IFERROR(INDEX(项目档案!$G$6:$G$255,MATCH($C1095,项目档案!$A$6:$A$255,0)),"")="",N(IFERROR(INDEX(单位档案!$D$6:$D$35,MATCH($E1095,单位档案!$A$6:$A$35,0)),"")),IFERROR(INDEX(项目档案!$G$6:$G$255,MATCH($C1095,项目档案!$A$6:$A$255,0)),"")),N(IFERROR(INDEX(单位档案!$D$6:$D$35,MATCH($E1095,单位档案!$A$6:$A$35,0)),"")))))</f>
        <v/>
      </c>
      <c r="J1095" s="22"/>
      <c r="K1095" s="22"/>
      <c r="L1095" s="33" t="str">
        <f aca="false">IF($B1095="","",IF(NOT(ISNUMBER($B1095)),"日期格式不对",IF($C1095="","未选项目编号",IF(LEFT($M1095,1)="⚠","项目编号不存在",IF($D1095="","未选业务类型",IF($E1095="","未选开票/付款方",IF(ISNA(MATCH($E1095,单位档案!$A$6:$A$35,0)),"开票方不在单位档案",IF($F1095="","未选收票/收款方",IF(ISNA(MATCH($F1095,单位档案!$A$6:$A$35,0)),"收款方不在单位档案",IF(NOT(ISNUMBER($H1095)),"金额须为数字",IF(AND($D1095="销项开票",$N1095="—"),"链条待确认","√")))))))))))</f>
        <v/>
      </c>
      <c r="M1095" s="34" t="str">
        <f aca="false">IF($C1095="","",IFERROR(INDEX(项目档案!$B$6:$B$255,MATCH($C1095,项目档案!$A$6:$A$255,0)),"⚠项目编号不存在"))</f>
        <v/>
      </c>
      <c r="N1095" s="35" t="str">
        <f aca="false">IF($E1095="","",IF($E1095=IFERROR(INDEX(项目档案!$D$6:$D$255,MATCH($C1095,项目档案!$A$6:$A$255,0)),""),"一级",IF($E1095=IFERROR(INDEX(项目档案!$F$6:$F$255,MATCH($C1095,项目档案!$A$6:$A$255,0)),""),"二级",IF($E1095=IFERROR(INDEX(项目档案!$H$6:$H$255,MATCH($C1095,项目档案!$A$6:$A$255,0)),""),"我方","—"))))</f>
        <v/>
      </c>
      <c r="O1095" s="36" t="n">
        <f aca="false">IF($D1095&lt;&gt;"销项开票",0,ROUND(N($H1095)*N($I1095),2))</f>
        <v>0</v>
      </c>
      <c r="P1095" s="36" t="n">
        <f aca="false">IF($D1095&lt;&gt;"销项开票",0,ROUND(N($H1095)-$O1095,2))</f>
        <v>0</v>
      </c>
      <c r="Q1095" s="37" t="str">
        <f aca="false">IF($E1095="","",N(IFERROR(INDEX(单位档案!$E$6:$E$35,MATCH($E1095,单位档案!$A$6:$A$35,0)),"")))</f>
        <v/>
      </c>
      <c r="R1095" s="37" t="str">
        <f aca="false">IF($E1095="","",N(IFERROR(INDEX(单位档案!$F$6:$F$35,MATCH($E1095,单位档案!$A$6:$A$35,0)),"")))</f>
        <v/>
      </c>
      <c r="S1095" s="36" t="n">
        <f aca="false">IF(OR($D1095&lt;&gt;"销项开票",IFERROR(INDEX(单位档案!$G$6:$G$35,MATCH($E1095,单位档案!$A$6:$A$35,0)),"")&lt;&gt;"是",N($Q1095)=0),0,IF(IFERROR(INDEX(单位档案!$H$6:$H$35,MATCH($E1095,单位档案!$A$6:$A$35,0)),"")="税差法",ROUND(N($H1095)/(1+$Q1095)*$Q1095-IF(N($R1095)=0,0,$P1095/(1+$R1095)*$R1095),2),ROUND(N($H1095)/(1+$Q1095)*$Q1095,2)))</f>
        <v>0</v>
      </c>
      <c r="T1095" s="36" t="n">
        <f aca="false">ROUND($S1095*N(IFERROR(INDEX(单位档案!$J$6:$J$35,MATCH($E1095,单位档案!$A$6:$A$35,0)),"")),2)</f>
        <v>0</v>
      </c>
      <c r="U1095" s="36" t="n">
        <f aca="false">IF($D1095&lt;&gt;"销项开票",0,ROUND(N($H1095)*N(IFERROR(INDEX(单位档案!$K$6:$K$35,MATCH($E1095,单位档案!$A$6:$A$35,0)),"")),2))</f>
        <v>0</v>
      </c>
      <c r="V1095" s="36" t="n">
        <f aca="false">IF(OR($D1095&lt;&gt;"销项开票",N($Q1095)=0),0,ROUND(N($H1095)/(1+$Q1095)*N(IFERROR(INDEX(单位档案!$L$6:$L$35,MATCH($E1095,单位档案!$A$6:$A$35,0)),"")),2))</f>
        <v>0</v>
      </c>
      <c r="W1095" s="36" t="n">
        <f aca="false">ROUND($S1095+$T1095+$U1095+$V1095,2)</f>
        <v>0</v>
      </c>
      <c r="X1095" s="35" t="str">
        <f aca="false">IF(OR($D1095="挂靠代收",$D1095="我方收款"),COUNTIFS($D$5:$D1095,"挂靠代收")+COUNTIFS($D$5:$D1095,"我方收款"),"")</f>
        <v/>
      </c>
      <c r="Y1095" s="35"/>
      <c r="Z1095" s="21" t="s">
        <v>111</v>
      </c>
    </row>
    <row r="1096" customFormat="false" ht="15.75" hidden="false" customHeight="true" outlineLevel="0" collapsed="false">
      <c r="A1096" s="32" t="str">
        <f aca="false">IF($B1096="","",ROW()-4)</f>
        <v/>
      </c>
      <c r="B1096" s="26"/>
      <c r="C1096" s="24"/>
      <c r="D1096" s="21"/>
      <c r="E1096" s="21"/>
      <c r="F1096" s="21"/>
      <c r="G1096" s="21"/>
      <c r="H1096" s="27"/>
      <c r="I1096" s="23" t="str">
        <f aca="false">IF($D1096&lt;&gt;"销项开票","",IF($N1096="一级",IF(IFERROR(INDEX(项目档案!$E$6:$E$255,MATCH($C1096,项目档案!$A$6:$A$255,0)),"")="",N(IFERROR(INDEX(单位档案!$D$6:$D$35,MATCH($E1096,单位档案!$A$6:$A$35,0)),"")),IFERROR(INDEX(项目档案!$E$6:$E$255,MATCH($C1096,项目档案!$A$6:$A$255,0)),"")),IF($N1096="二级",IF(IFERROR(INDEX(项目档案!$G$6:$G$255,MATCH($C1096,项目档案!$A$6:$A$255,0)),"")="",N(IFERROR(INDEX(单位档案!$D$6:$D$35,MATCH($E1096,单位档案!$A$6:$A$35,0)),"")),IFERROR(INDEX(项目档案!$G$6:$G$255,MATCH($C1096,项目档案!$A$6:$A$255,0)),"")),N(IFERROR(INDEX(单位档案!$D$6:$D$35,MATCH($E1096,单位档案!$A$6:$A$35,0)),"")))))</f>
        <v/>
      </c>
      <c r="J1096" s="22"/>
      <c r="K1096" s="22"/>
      <c r="L1096" s="33" t="str">
        <f aca="false">IF($B1096="","",IF(NOT(ISNUMBER($B1096)),"日期格式不对",IF($C1096="","未选项目编号",IF(LEFT($M1096,1)="⚠","项目编号不存在",IF($D1096="","未选业务类型",IF($E1096="","未选开票/付款方",IF(ISNA(MATCH($E1096,单位档案!$A$6:$A$35,0)),"开票方不在单位档案",IF($F1096="","未选收票/收款方",IF(ISNA(MATCH($F1096,单位档案!$A$6:$A$35,0)),"收款方不在单位档案",IF(NOT(ISNUMBER($H1096)),"金额须为数字",IF(AND($D1096="销项开票",$N1096="—"),"链条待确认","√")))))))))))</f>
        <v/>
      </c>
      <c r="M1096" s="34" t="str">
        <f aca="false">IF($C1096="","",IFERROR(INDEX(项目档案!$B$6:$B$255,MATCH($C1096,项目档案!$A$6:$A$255,0)),"⚠项目编号不存在"))</f>
        <v/>
      </c>
      <c r="N1096" s="35" t="str">
        <f aca="false">IF($E1096="","",IF($E1096=IFERROR(INDEX(项目档案!$D$6:$D$255,MATCH($C1096,项目档案!$A$6:$A$255,0)),""),"一级",IF($E1096=IFERROR(INDEX(项目档案!$F$6:$F$255,MATCH($C1096,项目档案!$A$6:$A$255,0)),""),"二级",IF($E1096=IFERROR(INDEX(项目档案!$H$6:$H$255,MATCH($C1096,项目档案!$A$6:$A$255,0)),""),"我方","—"))))</f>
        <v/>
      </c>
      <c r="O1096" s="36" t="n">
        <f aca="false">IF($D1096&lt;&gt;"销项开票",0,ROUND(N($H1096)*N($I1096),2))</f>
        <v>0</v>
      </c>
      <c r="P1096" s="36" t="n">
        <f aca="false">IF($D1096&lt;&gt;"销项开票",0,ROUND(N($H1096)-$O1096,2))</f>
        <v>0</v>
      </c>
      <c r="Q1096" s="37" t="str">
        <f aca="false">IF($E1096="","",N(IFERROR(INDEX(单位档案!$E$6:$E$35,MATCH($E1096,单位档案!$A$6:$A$35,0)),"")))</f>
        <v/>
      </c>
      <c r="R1096" s="37" t="str">
        <f aca="false">IF($E1096="","",N(IFERROR(INDEX(单位档案!$F$6:$F$35,MATCH($E1096,单位档案!$A$6:$A$35,0)),"")))</f>
        <v/>
      </c>
      <c r="S1096" s="36" t="n">
        <f aca="false">IF(OR($D1096&lt;&gt;"销项开票",IFERROR(INDEX(单位档案!$G$6:$G$35,MATCH($E1096,单位档案!$A$6:$A$35,0)),"")&lt;&gt;"是",N($Q1096)=0),0,IF(IFERROR(INDEX(单位档案!$H$6:$H$35,MATCH($E1096,单位档案!$A$6:$A$35,0)),"")="税差法",ROUND(N($H1096)/(1+$Q1096)*$Q1096-IF(N($R1096)=0,0,$P1096/(1+$R1096)*$R1096),2),ROUND(N($H1096)/(1+$Q1096)*$Q1096,2)))</f>
        <v>0</v>
      </c>
      <c r="T1096" s="36" t="n">
        <f aca="false">ROUND($S1096*N(IFERROR(INDEX(单位档案!$J$6:$J$35,MATCH($E1096,单位档案!$A$6:$A$35,0)),"")),2)</f>
        <v>0</v>
      </c>
      <c r="U1096" s="36" t="n">
        <f aca="false">IF($D1096&lt;&gt;"销项开票",0,ROUND(N($H1096)*N(IFERROR(INDEX(单位档案!$K$6:$K$35,MATCH($E1096,单位档案!$A$6:$A$35,0)),"")),2))</f>
        <v>0</v>
      </c>
      <c r="V1096" s="36" t="n">
        <f aca="false">IF(OR($D1096&lt;&gt;"销项开票",N($Q1096)=0),0,ROUND(N($H1096)/(1+$Q1096)*N(IFERROR(INDEX(单位档案!$L$6:$L$35,MATCH($E1096,单位档案!$A$6:$A$35,0)),"")),2))</f>
        <v>0</v>
      </c>
      <c r="W1096" s="36" t="n">
        <f aca="false">ROUND($S1096+$T1096+$U1096+$V1096,2)</f>
        <v>0</v>
      </c>
      <c r="X1096" s="35" t="str">
        <f aca="false">IF(OR($D1096="挂靠代收",$D1096="我方收款"),COUNTIFS($D$5:$D1096,"挂靠代收")+COUNTIFS($D$5:$D1096,"我方收款"),"")</f>
        <v/>
      </c>
      <c r="Y1096" s="35"/>
      <c r="Z1096" s="21" t="s">
        <v>111</v>
      </c>
    </row>
    <row r="1097" customFormat="false" ht="15.75" hidden="false" customHeight="true" outlineLevel="0" collapsed="false">
      <c r="A1097" s="32" t="str">
        <f aca="false">IF($B1097="","",ROW()-4)</f>
        <v/>
      </c>
      <c r="B1097" s="26"/>
      <c r="C1097" s="24"/>
      <c r="D1097" s="21"/>
      <c r="E1097" s="21"/>
      <c r="F1097" s="21"/>
      <c r="G1097" s="21"/>
      <c r="H1097" s="27"/>
      <c r="I1097" s="23" t="str">
        <f aca="false">IF($D1097&lt;&gt;"销项开票","",IF($N1097="一级",IF(IFERROR(INDEX(项目档案!$E$6:$E$255,MATCH($C1097,项目档案!$A$6:$A$255,0)),"")="",N(IFERROR(INDEX(单位档案!$D$6:$D$35,MATCH($E1097,单位档案!$A$6:$A$35,0)),"")),IFERROR(INDEX(项目档案!$E$6:$E$255,MATCH($C1097,项目档案!$A$6:$A$255,0)),"")),IF($N1097="二级",IF(IFERROR(INDEX(项目档案!$G$6:$G$255,MATCH($C1097,项目档案!$A$6:$A$255,0)),"")="",N(IFERROR(INDEX(单位档案!$D$6:$D$35,MATCH($E1097,单位档案!$A$6:$A$35,0)),"")),IFERROR(INDEX(项目档案!$G$6:$G$255,MATCH($C1097,项目档案!$A$6:$A$255,0)),"")),N(IFERROR(INDEX(单位档案!$D$6:$D$35,MATCH($E1097,单位档案!$A$6:$A$35,0)),"")))))</f>
        <v/>
      </c>
      <c r="J1097" s="22"/>
      <c r="K1097" s="22"/>
      <c r="L1097" s="33" t="str">
        <f aca="false">IF($B1097="","",IF(NOT(ISNUMBER($B1097)),"日期格式不对",IF($C1097="","未选项目编号",IF(LEFT($M1097,1)="⚠","项目编号不存在",IF($D1097="","未选业务类型",IF($E1097="","未选开票/付款方",IF(ISNA(MATCH($E1097,单位档案!$A$6:$A$35,0)),"开票方不在单位档案",IF($F1097="","未选收票/收款方",IF(ISNA(MATCH($F1097,单位档案!$A$6:$A$35,0)),"收款方不在单位档案",IF(NOT(ISNUMBER($H1097)),"金额须为数字",IF(AND($D1097="销项开票",$N1097="—"),"链条待确认","√")))))))))))</f>
        <v/>
      </c>
      <c r="M1097" s="34" t="str">
        <f aca="false">IF($C1097="","",IFERROR(INDEX(项目档案!$B$6:$B$255,MATCH($C1097,项目档案!$A$6:$A$255,0)),"⚠项目编号不存在"))</f>
        <v/>
      </c>
      <c r="N1097" s="35" t="str">
        <f aca="false">IF($E1097="","",IF($E1097=IFERROR(INDEX(项目档案!$D$6:$D$255,MATCH($C1097,项目档案!$A$6:$A$255,0)),""),"一级",IF($E1097=IFERROR(INDEX(项目档案!$F$6:$F$255,MATCH($C1097,项目档案!$A$6:$A$255,0)),""),"二级",IF($E1097=IFERROR(INDEX(项目档案!$H$6:$H$255,MATCH($C1097,项目档案!$A$6:$A$255,0)),""),"我方","—"))))</f>
        <v/>
      </c>
      <c r="O1097" s="36" t="n">
        <f aca="false">IF($D1097&lt;&gt;"销项开票",0,ROUND(N($H1097)*N($I1097),2))</f>
        <v>0</v>
      </c>
      <c r="P1097" s="36" t="n">
        <f aca="false">IF($D1097&lt;&gt;"销项开票",0,ROUND(N($H1097)-$O1097,2))</f>
        <v>0</v>
      </c>
      <c r="Q1097" s="37" t="str">
        <f aca="false">IF($E1097="","",N(IFERROR(INDEX(单位档案!$E$6:$E$35,MATCH($E1097,单位档案!$A$6:$A$35,0)),"")))</f>
        <v/>
      </c>
      <c r="R1097" s="37" t="str">
        <f aca="false">IF($E1097="","",N(IFERROR(INDEX(单位档案!$F$6:$F$35,MATCH($E1097,单位档案!$A$6:$A$35,0)),"")))</f>
        <v/>
      </c>
      <c r="S1097" s="36" t="n">
        <f aca="false">IF(OR($D1097&lt;&gt;"销项开票",IFERROR(INDEX(单位档案!$G$6:$G$35,MATCH($E1097,单位档案!$A$6:$A$35,0)),"")&lt;&gt;"是",N($Q1097)=0),0,IF(IFERROR(INDEX(单位档案!$H$6:$H$35,MATCH($E1097,单位档案!$A$6:$A$35,0)),"")="税差法",ROUND(N($H1097)/(1+$Q1097)*$Q1097-IF(N($R1097)=0,0,$P1097/(1+$R1097)*$R1097),2),ROUND(N($H1097)/(1+$Q1097)*$Q1097,2)))</f>
        <v>0</v>
      </c>
      <c r="T1097" s="36" t="n">
        <f aca="false">ROUND($S1097*N(IFERROR(INDEX(单位档案!$J$6:$J$35,MATCH($E1097,单位档案!$A$6:$A$35,0)),"")),2)</f>
        <v>0</v>
      </c>
      <c r="U1097" s="36" t="n">
        <f aca="false">IF($D1097&lt;&gt;"销项开票",0,ROUND(N($H1097)*N(IFERROR(INDEX(单位档案!$K$6:$K$35,MATCH($E1097,单位档案!$A$6:$A$35,0)),"")),2))</f>
        <v>0</v>
      </c>
      <c r="V1097" s="36" t="n">
        <f aca="false">IF(OR($D1097&lt;&gt;"销项开票",N($Q1097)=0),0,ROUND(N($H1097)/(1+$Q1097)*N(IFERROR(INDEX(单位档案!$L$6:$L$35,MATCH($E1097,单位档案!$A$6:$A$35,0)),"")),2))</f>
        <v>0</v>
      </c>
      <c r="W1097" s="36" t="n">
        <f aca="false">ROUND($S1097+$T1097+$U1097+$V1097,2)</f>
        <v>0</v>
      </c>
      <c r="X1097" s="35" t="str">
        <f aca="false">IF(OR($D1097="挂靠代收",$D1097="我方收款"),COUNTIFS($D$5:$D1097,"挂靠代收")+COUNTIFS($D$5:$D1097,"我方收款"),"")</f>
        <v/>
      </c>
      <c r="Y1097" s="35"/>
      <c r="Z1097" s="21" t="s">
        <v>111</v>
      </c>
    </row>
    <row r="1098" customFormat="false" ht="15.75" hidden="false" customHeight="true" outlineLevel="0" collapsed="false">
      <c r="A1098" s="32" t="str">
        <f aca="false">IF($B1098="","",ROW()-4)</f>
        <v/>
      </c>
      <c r="B1098" s="26"/>
      <c r="C1098" s="24"/>
      <c r="D1098" s="21"/>
      <c r="E1098" s="21"/>
      <c r="F1098" s="21"/>
      <c r="G1098" s="21"/>
      <c r="H1098" s="27"/>
      <c r="I1098" s="23" t="str">
        <f aca="false">IF($D1098&lt;&gt;"销项开票","",IF($N1098="一级",IF(IFERROR(INDEX(项目档案!$E$6:$E$255,MATCH($C1098,项目档案!$A$6:$A$255,0)),"")="",N(IFERROR(INDEX(单位档案!$D$6:$D$35,MATCH($E1098,单位档案!$A$6:$A$35,0)),"")),IFERROR(INDEX(项目档案!$E$6:$E$255,MATCH($C1098,项目档案!$A$6:$A$255,0)),"")),IF($N1098="二级",IF(IFERROR(INDEX(项目档案!$G$6:$G$255,MATCH($C1098,项目档案!$A$6:$A$255,0)),"")="",N(IFERROR(INDEX(单位档案!$D$6:$D$35,MATCH($E1098,单位档案!$A$6:$A$35,0)),"")),IFERROR(INDEX(项目档案!$G$6:$G$255,MATCH($C1098,项目档案!$A$6:$A$255,0)),"")),N(IFERROR(INDEX(单位档案!$D$6:$D$35,MATCH($E1098,单位档案!$A$6:$A$35,0)),"")))))</f>
        <v/>
      </c>
      <c r="J1098" s="22"/>
      <c r="K1098" s="22"/>
      <c r="L1098" s="33" t="str">
        <f aca="false">IF($B1098="","",IF(NOT(ISNUMBER($B1098)),"日期格式不对",IF($C1098="","未选项目编号",IF(LEFT($M1098,1)="⚠","项目编号不存在",IF($D1098="","未选业务类型",IF($E1098="","未选开票/付款方",IF(ISNA(MATCH($E1098,单位档案!$A$6:$A$35,0)),"开票方不在单位档案",IF($F1098="","未选收票/收款方",IF(ISNA(MATCH($F1098,单位档案!$A$6:$A$35,0)),"收款方不在单位档案",IF(NOT(ISNUMBER($H1098)),"金额须为数字",IF(AND($D1098="销项开票",$N1098="—"),"链条待确认","√")))))))))))</f>
        <v/>
      </c>
      <c r="M1098" s="34" t="str">
        <f aca="false">IF($C1098="","",IFERROR(INDEX(项目档案!$B$6:$B$255,MATCH($C1098,项目档案!$A$6:$A$255,0)),"⚠项目编号不存在"))</f>
        <v/>
      </c>
      <c r="N1098" s="35" t="str">
        <f aca="false">IF($E1098="","",IF($E1098=IFERROR(INDEX(项目档案!$D$6:$D$255,MATCH($C1098,项目档案!$A$6:$A$255,0)),""),"一级",IF($E1098=IFERROR(INDEX(项目档案!$F$6:$F$255,MATCH($C1098,项目档案!$A$6:$A$255,0)),""),"二级",IF($E1098=IFERROR(INDEX(项目档案!$H$6:$H$255,MATCH($C1098,项目档案!$A$6:$A$255,0)),""),"我方","—"))))</f>
        <v/>
      </c>
      <c r="O1098" s="36" t="n">
        <f aca="false">IF($D1098&lt;&gt;"销项开票",0,ROUND(N($H1098)*N($I1098),2))</f>
        <v>0</v>
      </c>
      <c r="P1098" s="36" t="n">
        <f aca="false">IF($D1098&lt;&gt;"销项开票",0,ROUND(N($H1098)-$O1098,2))</f>
        <v>0</v>
      </c>
      <c r="Q1098" s="37" t="str">
        <f aca="false">IF($E1098="","",N(IFERROR(INDEX(单位档案!$E$6:$E$35,MATCH($E1098,单位档案!$A$6:$A$35,0)),"")))</f>
        <v/>
      </c>
      <c r="R1098" s="37" t="str">
        <f aca="false">IF($E1098="","",N(IFERROR(INDEX(单位档案!$F$6:$F$35,MATCH($E1098,单位档案!$A$6:$A$35,0)),"")))</f>
        <v/>
      </c>
      <c r="S1098" s="36" t="n">
        <f aca="false">IF(OR($D1098&lt;&gt;"销项开票",IFERROR(INDEX(单位档案!$G$6:$G$35,MATCH($E1098,单位档案!$A$6:$A$35,0)),"")&lt;&gt;"是",N($Q1098)=0),0,IF(IFERROR(INDEX(单位档案!$H$6:$H$35,MATCH($E1098,单位档案!$A$6:$A$35,0)),"")="税差法",ROUND(N($H1098)/(1+$Q1098)*$Q1098-IF(N($R1098)=0,0,$P1098/(1+$R1098)*$R1098),2),ROUND(N($H1098)/(1+$Q1098)*$Q1098,2)))</f>
        <v>0</v>
      </c>
      <c r="T1098" s="36" t="n">
        <f aca="false">ROUND($S1098*N(IFERROR(INDEX(单位档案!$J$6:$J$35,MATCH($E1098,单位档案!$A$6:$A$35,0)),"")),2)</f>
        <v>0</v>
      </c>
      <c r="U1098" s="36" t="n">
        <f aca="false">IF($D1098&lt;&gt;"销项开票",0,ROUND(N($H1098)*N(IFERROR(INDEX(单位档案!$K$6:$K$35,MATCH($E1098,单位档案!$A$6:$A$35,0)),"")),2))</f>
        <v>0</v>
      </c>
      <c r="V1098" s="36" t="n">
        <f aca="false">IF(OR($D1098&lt;&gt;"销项开票",N($Q1098)=0),0,ROUND(N($H1098)/(1+$Q1098)*N(IFERROR(INDEX(单位档案!$L$6:$L$35,MATCH($E1098,单位档案!$A$6:$A$35,0)),"")),2))</f>
        <v>0</v>
      </c>
      <c r="W1098" s="36" t="n">
        <f aca="false">ROUND($S1098+$T1098+$U1098+$V1098,2)</f>
        <v>0</v>
      </c>
      <c r="X1098" s="35" t="str">
        <f aca="false">IF(OR($D1098="挂靠代收",$D1098="我方收款"),COUNTIFS($D$5:$D1098,"挂靠代收")+COUNTIFS($D$5:$D1098,"我方收款"),"")</f>
        <v/>
      </c>
      <c r="Y1098" s="35"/>
      <c r="Z1098" s="21" t="s">
        <v>111</v>
      </c>
    </row>
    <row r="1099" customFormat="false" ht="15.75" hidden="false" customHeight="true" outlineLevel="0" collapsed="false">
      <c r="A1099" s="32" t="str">
        <f aca="false">IF($B1099="","",ROW()-4)</f>
        <v/>
      </c>
      <c r="B1099" s="26"/>
      <c r="C1099" s="24"/>
      <c r="D1099" s="21"/>
      <c r="E1099" s="21"/>
      <c r="F1099" s="21"/>
      <c r="G1099" s="21"/>
      <c r="H1099" s="27"/>
      <c r="I1099" s="23" t="str">
        <f aca="false">IF($D1099&lt;&gt;"销项开票","",IF($N1099="一级",IF(IFERROR(INDEX(项目档案!$E$6:$E$255,MATCH($C1099,项目档案!$A$6:$A$255,0)),"")="",N(IFERROR(INDEX(单位档案!$D$6:$D$35,MATCH($E1099,单位档案!$A$6:$A$35,0)),"")),IFERROR(INDEX(项目档案!$E$6:$E$255,MATCH($C1099,项目档案!$A$6:$A$255,0)),"")),IF($N1099="二级",IF(IFERROR(INDEX(项目档案!$G$6:$G$255,MATCH($C1099,项目档案!$A$6:$A$255,0)),"")="",N(IFERROR(INDEX(单位档案!$D$6:$D$35,MATCH($E1099,单位档案!$A$6:$A$35,0)),"")),IFERROR(INDEX(项目档案!$G$6:$G$255,MATCH($C1099,项目档案!$A$6:$A$255,0)),"")),N(IFERROR(INDEX(单位档案!$D$6:$D$35,MATCH($E1099,单位档案!$A$6:$A$35,0)),"")))))</f>
        <v/>
      </c>
      <c r="J1099" s="22"/>
      <c r="K1099" s="22"/>
      <c r="L1099" s="33" t="str">
        <f aca="false">IF($B1099="","",IF(NOT(ISNUMBER($B1099)),"日期格式不对",IF($C1099="","未选项目编号",IF(LEFT($M1099,1)="⚠","项目编号不存在",IF($D1099="","未选业务类型",IF($E1099="","未选开票/付款方",IF(ISNA(MATCH($E1099,单位档案!$A$6:$A$35,0)),"开票方不在单位档案",IF($F1099="","未选收票/收款方",IF(ISNA(MATCH($F1099,单位档案!$A$6:$A$35,0)),"收款方不在单位档案",IF(NOT(ISNUMBER($H1099)),"金额须为数字",IF(AND($D1099="销项开票",$N1099="—"),"链条待确认","√")))))))))))</f>
        <v/>
      </c>
      <c r="M1099" s="34" t="str">
        <f aca="false">IF($C1099="","",IFERROR(INDEX(项目档案!$B$6:$B$255,MATCH($C1099,项目档案!$A$6:$A$255,0)),"⚠项目编号不存在"))</f>
        <v/>
      </c>
      <c r="N1099" s="35" t="str">
        <f aca="false">IF($E1099="","",IF($E1099=IFERROR(INDEX(项目档案!$D$6:$D$255,MATCH($C1099,项目档案!$A$6:$A$255,0)),""),"一级",IF($E1099=IFERROR(INDEX(项目档案!$F$6:$F$255,MATCH($C1099,项目档案!$A$6:$A$255,0)),""),"二级",IF($E1099=IFERROR(INDEX(项目档案!$H$6:$H$255,MATCH($C1099,项目档案!$A$6:$A$255,0)),""),"我方","—"))))</f>
        <v/>
      </c>
      <c r="O1099" s="36" t="n">
        <f aca="false">IF($D1099&lt;&gt;"销项开票",0,ROUND(N($H1099)*N($I1099),2))</f>
        <v>0</v>
      </c>
      <c r="P1099" s="36" t="n">
        <f aca="false">IF($D1099&lt;&gt;"销项开票",0,ROUND(N($H1099)-$O1099,2))</f>
        <v>0</v>
      </c>
      <c r="Q1099" s="37" t="str">
        <f aca="false">IF($E1099="","",N(IFERROR(INDEX(单位档案!$E$6:$E$35,MATCH($E1099,单位档案!$A$6:$A$35,0)),"")))</f>
        <v/>
      </c>
      <c r="R1099" s="37" t="str">
        <f aca="false">IF($E1099="","",N(IFERROR(INDEX(单位档案!$F$6:$F$35,MATCH($E1099,单位档案!$A$6:$A$35,0)),"")))</f>
        <v/>
      </c>
      <c r="S1099" s="36" t="n">
        <f aca="false">IF(OR($D1099&lt;&gt;"销项开票",IFERROR(INDEX(单位档案!$G$6:$G$35,MATCH($E1099,单位档案!$A$6:$A$35,0)),"")&lt;&gt;"是",N($Q1099)=0),0,IF(IFERROR(INDEX(单位档案!$H$6:$H$35,MATCH($E1099,单位档案!$A$6:$A$35,0)),"")="税差法",ROUND(N($H1099)/(1+$Q1099)*$Q1099-IF(N($R1099)=0,0,$P1099/(1+$R1099)*$R1099),2),ROUND(N($H1099)/(1+$Q1099)*$Q1099,2)))</f>
        <v>0</v>
      </c>
      <c r="T1099" s="36" t="n">
        <f aca="false">ROUND($S1099*N(IFERROR(INDEX(单位档案!$J$6:$J$35,MATCH($E1099,单位档案!$A$6:$A$35,0)),"")),2)</f>
        <v>0</v>
      </c>
      <c r="U1099" s="36" t="n">
        <f aca="false">IF($D1099&lt;&gt;"销项开票",0,ROUND(N($H1099)*N(IFERROR(INDEX(单位档案!$K$6:$K$35,MATCH($E1099,单位档案!$A$6:$A$35,0)),"")),2))</f>
        <v>0</v>
      </c>
      <c r="V1099" s="36" t="n">
        <f aca="false">IF(OR($D1099&lt;&gt;"销项开票",N($Q1099)=0),0,ROUND(N($H1099)/(1+$Q1099)*N(IFERROR(INDEX(单位档案!$L$6:$L$35,MATCH($E1099,单位档案!$A$6:$A$35,0)),"")),2))</f>
        <v>0</v>
      </c>
      <c r="W1099" s="36" t="n">
        <f aca="false">ROUND($S1099+$T1099+$U1099+$V1099,2)</f>
        <v>0</v>
      </c>
      <c r="X1099" s="35" t="str">
        <f aca="false">IF(OR($D1099="挂靠代收",$D1099="我方收款"),COUNTIFS($D$5:$D1099,"挂靠代收")+COUNTIFS($D$5:$D1099,"我方收款"),"")</f>
        <v/>
      </c>
      <c r="Y1099" s="35"/>
      <c r="Z1099" s="21" t="s">
        <v>111</v>
      </c>
    </row>
    <row r="1100" customFormat="false" ht="15.75" hidden="false" customHeight="true" outlineLevel="0" collapsed="false">
      <c r="A1100" s="32" t="str">
        <f aca="false">IF($B1100="","",ROW()-4)</f>
        <v/>
      </c>
      <c r="B1100" s="26"/>
      <c r="C1100" s="24"/>
      <c r="D1100" s="21"/>
      <c r="E1100" s="21"/>
      <c r="F1100" s="21"/>
      <c r="G1100" s="21"/>
      <c r="H1100" s="27"/>
      <c r="I1100" s="23" t="str">
        <f aca="false">IF($D1100&lt;&gt;"销项开票","",IF($N1100="一级",IF(IFERROR(INDEX(项目档案!$E$6:$E$255,MATCH($C1100,项目档案!$A$6:$A$255,0)),"")="",N(IFERROR(INDEX(单位档案!$D$6:$D$35,MATCH($E1100,单位档案!$A$6:$A$35,0)),"")),IFERROR(INDEX(项目档案!$E$6:$E$255,MATCH($C1100,项目档案!$A$6:$A$255,0)),"")),IF($N1100="二级",IF(IFERROR(INDEX(项目档案!$G$6:$G$255,MATCH($C1100,项目档案!$A$6:$A$255,0)),"")="",N(IFERROR(INDEX(单位档案!$D$6:$D$35,MATCH($E1100,单位档案!$A$6:$A$35,0)),"")),IFERROR(INDEX(项目档案!$G$6:$G$255,MATCH($C1100,项目档案!$A$6:$A$255,0)),"")),N(IFERROR(INDEX(单位档案!$D$6:$D$35,MATCH($E1100,单位档案!$A$6:$A$35,0)),"")))))</f>
        <v/>
      </c>
      <c r="J1100" s="22"/>
      <c r="K1100" s="22"/>
      <c r="L1100" s="33" t="str">
        <f aca="false">IF($B1100="","",IF(NOT(ISNUMBER($B1100)),"日期格式不对",IF($C1100="","未选项目编号",IF(LEFT($M1100,1)="⚠","项目编号不存在",IF($D1100="","未选业务类型",IF($E1100="","未选开票/付款方",IF(ISNA(MATCH($E1100,单位档案!$A$6:$A$35,0)),"开票方不在单位档案",IF($F1100="","未选收票/收款方",IF(ISNA(MATCH($F1100,单位档案!$A$6:$A$35,0)),"收款方不在单位档案",IF(NOT(ISNUMBER($H1100)),"金额须为数字",IF(AND($D1100="销项开票",$N1100="—"),"链条待确认","√")))))))))))</f>
        <v/>
      </c>
      <c r="M1100" s="34" t="str">
        <f aca="false">IF($C1100="","",IFERROR(INDEX(项目档案!$B$6:$B$255,MATCH($C1100,项目档案!$A$6:$A$255,0)),"⚠项目编号不存在"))</f>
        <v/>
      </c>
      <c r="N1100" s="35" t="str">
        <f aca="false">IF($E1100="","",IF($E1100=IFERROR(INDEX(项目档案!$D$6:$D$255,MATCH($C1100,项目档案!$A$6:$A$255,0)),""),"一级",IF($E1100=IFERROR(INDEX(项目档案!$F$6:$F$255,MATCH($C1100,项目档案!$A$6:$A$255,0)),""),"二级",IF($E1100=IFERROR(INDEX(项目档案!$H$6:$H$255,MATCH($C1100,项目档案!$A$6:$A$255,0)),""),"我方","—"))))</f>
        <v/>
      </c>
      <c r="O1100" s="36" t="n">
        <f aca="false">IF($D1100&lt;&gt;"销项开票",0,ROUND(N($H1100)*N($I1100),2))</f>
        <v>0</v>
      </c>
      <c r="P1100" s="36" t="n">
        <f aca="false">IF($D1100&lt;&gt;"销项开票",0,ROUND(N($H1100)-$O1100,2))</f>
        <v>0</v>
      </c>
      <c r="Q1100" s="37" t="str">
        <f aca="false">IF($E1100="","",N(IFERROR(INDEX(单位档案!$E$6:$E$35,MATCH($E1100,单位档案!$A$6:$A$35,0)),"")))</f>
        <v/>
      </c>
      <c r="R1100" s="37" t="str">
        <f aca="false">IF($E1100="","",N(IFERROR(INDEX(单位档案!$F$6:$F$35,MATCH($E1100,单位档案!$A$6:$A$35,0)),"")))</f>
        <v/>
      </c>
      <c r="S1100" s="36" t="n">
        <f aca="false">IF(OR($D1100&lt;&gt;"销项开票",IFERROR(INDEX(单位档案!$G$6:$G$35,MATCH($E1100,单位档案!$A$6:$A$35,0)),"")&lt;&gt;"是",N($Q1100)=0),0,IF(IFERROR(INDEX(单位档案!$H$6:$H$35,MATCH($E1100,单位档案!$A$6:$A$35,0)),"")="税差法",ROUND(N($H1100)/(1+$Q1100)*$Q1100-IF(N($R1100)=0,0,$P1100/(1+$R1100)*$R1100),2),ROUND(N($H1100)/(1+$Q1100)*$Q1100,2)))</f>
        <v>0</v>
      </c>
      <c r="T1100" s="36" t="n">
        <f aca="false">ROUND($S1100*N(IFERROR(INDEX(单位档案!$J$6:$J$35,MATCH($E1100,单位档案!$A$6:$A$35,0)),"")),2)</f>
        <v>0</v>
      </c>
      <c r="U1100" s="36" t="n">
        <f aca="false">IF($D1100&lt;&gt;"销项开票",0,ROUND(N($H1100)*N(IFERROR(INDEX(单位档案!$K$6:$K$35,MATCH($E1100,单位档案!$A$6:$A$35,0)),"")),2))</f>
        <v>0</v>
      </c>
      <c r="V1100" s="36" t="n">
        <f aca="false">IF(OR($D1100&lt;&gt;"销项开票",N($Q1100)=0),0,ROUND(N($H1100)/(1+$Q1100)*N(IFERROR(INDEX(单位档案!$L$6:$L$35,MATCH($E1100,单位档案!$A$6:$A$35,0)),"")),2))</f>
        <v>0</v>
      </c>
      <c r="W1100" s="36" t="n">
        <f aca="false">ROUND($S1100+$T1100+$U1100+$V1100,2)</f>
        <v>0</v>
      </c>
      <c r="X1100" s="35" t="str">
        <f aca="false">IF(OR($D1100="挂靠代收",$D1100="我方收款"),COUNTIFS($D$5:$D1100,"挂靠代收")+COUNTIFS($D$5:$D1100,"我方收款"),"")</f>
        <v/>
      </c>
      <c r="Y1100" s="35"/>
      <c r="Z1100" s="21" t="s">
        <v>111</v>
      </c>
    </row>
    <row r="1101" customFormat="false" ht="15.75" hidden="false" customHeight="true" outlineLevel="0" collapsed="false">
      <c r="A1101" s="32" t="str">
        <f aca="false">IF($B1101="","",ROW()-4)</f>
        <v/>
      </c>
      <c r="B1101" s="26"/>
      <c r="C1101" s="24"/>
      <c r="D1101" s="21"/>
      <c r="E1101" s="21"/>
      <c r="F1101" s="21"/>
      <c r="G1101" s="21"/>
      <c r="H1101" s="27"/>
      <c r="I1101" s="23" t="str">
        <f aca="false">IF($D1101&lt;&gt;"销项开票","",IF($N1101="一级",IF(IFERROR(INDEX(项目档案!$E$6:$E$255,MATCH($C1101,项目档案!$A$6:$A$255,0)),"")="",N(IFERROR(INDEX(单位档案!$D$6:$D$35,MATCH($E1101,单位档案!$A$6:$A$35,0)),"")),IFERROR(INDEX(项目档案!$E$6:$E$255,MATCH($C1101,项目档案!$A$6:$A$255,0)),"")),IF($N1101="二级",IF(IFERROR(INDEX(项目档案!$G$6:$G$255,MATCH($C1101,项目档案!$A$6:$A$255,0)),"")="",N(IFERROR(INDEX(单位档案!$D$6:$D$35,MATCH($E1101,单位档案!$A$6:$A$35,0)),"")),IFERROR(INDEX(项目档案!$G$6:$G$255,MATCH($C1101,项目档案!$A$6:$A$255,0)),"")),N(IFERROR(INDEX(单位档案!$D$6:$D$35,MATCH($E1101,单位档案!$A$6:$A$35,0)),"")))))</f>
        <v/>
      </c>
      <c r="J1101" s="22"/>
      <c r="K1101" s="22"/>
      <c r="L1101" s="33" t="str">
        <f aca="false">IF($B1101="","",IF(NOT(ISNUMBER($B1101)),"日期格式不对",IF($C1101="","未选项目编号",IF(LEFT($M1101,1)="⚠","项目编号不存在",IF($D1101="","未选业务类型",IF($E1101="","未选开票/付款方",IF(ISNA(MATCH($E1101,单位档案!$A$6:$A$35,0)),"开票方不在单位档案",IF($F1101="","未选收票/收款方",IF(ISNA(MATCH($F1101,单位档案!$A$6:$A$35,0)),"收款方不在单位档案",IF(NOT(ISNUMBER($H1101)),"金额须为数字",IF(AND($D1101="销项开票",$N1101="—"),"链条待确认","√")))))))))))</f>
        <v/>
      </c>
      <c r="M1101" s="34" t="str">
        <f aca="false">IF($C1101="","",IFERROR(INDEX(项目档案!$B$6:$B$255,MATCH($C1101,项目档案!$A$6:$A$255,0)),"⚠项目编号不存在"))</f>
        <v/>
      </c>
      <c r="N1101" s="35" t="str">
        <f aca="false">IF($E1101="","",IF($E1101=IFERROR(INDEX(项目档案!$D$6:$D$255,MATCH($C1101,项目档案!$A$6:$A$255,0)),""),"一级",IF($E1101=IFERROR(INDEX(项目档案!$F$6:$F$255,MATCH($C1101,项目档案!$A$6:$A$255,0)),""),"二级",IF($E1101=IFERROR(INDEX(项目档案!$H$6:$H$255,MATCH($C1101,项目档案!$A$6:$A$255,0)),""),"我方","—"))))</f>
        <v/>
      </c>
      <c r="O1101" s="36" t="n">
        <f aca="false">IF($D1101&lt;&gt;"销项开票",0,ROUND(N($H1101)*N($I1101),2))</f>
        <v>0</v>
      </c>
      <c r="P1101" s="36" t="n">
        <f aca="false">IF($D1101&lt;&gt;"销项开票",0,ROUND(N($H1101)-$O1101,2))</f>
        <v>0</v>
      </c>
      <c r="Q1101" s="37" t="str">
        <f aca="false">IF($E1101="","",N(IFERROR(INDEX(单位档案!$E$6:$E$35,MATCH($E1101,单位档案!$A$6:$A$35,0)),"")))</f>
        <v/>
      </c>
      <c r="R1101" s="37" t="str">
        <f aca="false">IF($E1101="","",N(IFERROR(INDEX(单位档案!$F$6:$F$35,MATCH($E1101,单位档案!$A$6:$A$35,0)),"")))</f>
        <v/>
      </c>
      <c r="S1101" s="36" t="n">
        <f aca="false">IF(OR($D1101&lt;&gt;"销项开票",IFERROR(INDEX(单位档案!$G$6:$G$35,MATCH($E1101,单位档案!$A$6:$A$35,0)),"")&lt;&gt;"是",N($Q1101)=0),0,IF(IFERROR(INDEX(单位档案!$H$6:$H$35,MATCH($E1101,单位档案!$A$6:$A$35,0)),"")="税差法",ROUND(N($H1101)/(1+$Q1101)*$Q1101-IF(N($R1101)=0,0,$P1101/(1+$R1101)*$R1101),2),ROUND(N($H1101)/(1+$Q1101)*$Q1101,2)))</f>
        <v>0</v>
      </c>
      <c r="T1101" s="36" t="n">
        <f aca="false">ROUND($S1101*N(IFERROR(INDEX(单位档案!$J$6:$J$35,MATCH($E1101,单位档案!$A$6:$A$35,0)),"")),2)</f>
        <v>0</v>
      </c>
      <c r="U1101" s="36" t="n">
        <f aca="false">IF($D1101&lt;&gt;"销项开票",0,ROUND(N($H1101)*N(IFERROR(INDEX(单位档案!$K$6:$K$35,MATCH($E1101,单位档案!$A$6:$A$35,0)),"")),2))</f>
        <v>0</v>
      </c>
      <c r="V1101" s="36" t="n">
        <f aca="false">IF(OR($D1101&lt;&gt;"销项开票",N($Q1101)=0),0,ROUND(N($H1101)/(1+$Q1101)*N(IFERROR(INDEX(单位档案!$L$6:$L$35,MATCH($E1101,单位档案!$A$6:$A$35,0)),"")),2))</f>
        <v>0</v>
      </c>
      <c r="W1101" s="36" t="n">
        <f aca="false">ROUND($S1101+$T1101+$U1101+$V1101,2)</f>
        <v>0</v>
      </c>
      <c r="X1101" s="35" t="str">
        <f aca="false">IF(OR($D1101="挂靠代收",$D1101="我方收款"),COUNTIFS($D$5:$D1101,"挂靠代收")+COUNTIFS($D$5:$D1101,"我方收款"),"")</f>
        <v/>
      </c>
      <c r="Y1101" s="35"/>
      <c r="Z1101" s="21" t="s">
        <v>111</v>
      </c>
    </row>
    <row r="1102" customFormat="false" ht="15.75" hidden="false" customHeight="true" outlineLevel="0" collapsed="false">
      <c r="A1102" s="32" t="str">
        <f aca="false">IF($B1102="","",ROW()-4)</f>
        <v/>
      </c>
      <c r="B1102" s="26"/>
      <c r="C1102" s="24"/>
      <c r="D1102" s="21"/>
      <c r="E1102" s="21"/>
      <c r="F1102" s="21"/>
      <c r="G1102" s="21"/>
      <c r="H1102" s="27"/>
      <c r="I1102" s="23" t="str">
        <f aca="false">IF($D1102&lt;&gt;"销项开票","",IF($N1102="一级",IF(IFERROR(INDEX(项目档案!$E$6:$E$255,MATCH($C1102,项目档案!$A$6:$A$255,0)),"")="",N(IFERROR(INDEX(单位档案!$D$6:$D$35,MATCH($E1102,单位档案!$A$6:$A$35,0)),"")),IFERROR(INDEX(项目档案!$E$6:$E$255,MATCH($C1102,项目档案!$A$6:$A$255,0)),"")),IF($N1102="二级",IF(IFERROR(INDEX(项目档案!$G$6:$G$255,MATCH($C1102,项目档案!$A$6:$A$255,0)),"")="",N(IFERROR(INDEX(单位档案!$D$6:$D$35,MATCH($E1102,单位档案!$A$6:$A$35,0)),"")),IFERROR(INDEX(项目档案!$G$6:$G$255,MATCH($C1102,项目档案!$A$6:$A$255,0)),"")),N(IFERROR(INDEX(单位档案!$D$6:$D$35,MATCH($E1102,单位档案!$A$6:$A$35,0)),"")))))</f>
        <v/>
      </c>
      <c r="J1102" s="22"/>
      <c r="K1102" s="22"/>
      <c r="L1102" s="33" t="str">
        <f aca="false">IF($B1102="","",IF(NOT(ISNUMBER($B1102)),"日期格式不对",IF($C1102="","未选项目编号",IF(LEFT($M1102,1)="⚠","项目编号不存在",IF($D1102="","未选业务类型",IF($E1102="","未选开票/付款方",IF(ISNA(MATCH($E1102,单位档案!$A$6:$A$35,0)),"开票方不在单位档案",IF($F1102="","未选收票/收款方",IF(ISNA(MATCH($F1102,单位档案!$A$6:$A$35,0)),"收款方不在单位档案",IF(NOT(ISNUMBER($H1102)),"金额须为数字",IF(AND($D1102="销项开票",$N1102="—"),"链条待确认","√")))))))))))</f>
        <v/>
      </c>
      <c r="M1102" s="34" t="str">
        <f aca="false">IF($C1102="","",IFERROR(INDEX(项目档案!$B$6:$B$255,MATCH($C1102,项目档案!$A$6:$A$255,0)),"⚠项目编号不存在"))</f>
        <v/>
      </c>
      <c r="N1102" s="35" t="str">
        <f aca="false">IF($E1102="","",IF($E1102=IFERROR(INDEX(项目档案!$D$6:$D$255,MATCH($C1102,项目档案!$A$6:$A$255,0)),""),"一级",IF($E1102=IFERROR(INDEX(项目档案!$F$6:$F$255,MATCH($C1102,项目档案!$A$6:$A$255,0)),""),"二级",IF($E1102=IFERROR(INDEX(项目档案!$H$6:$H$255,MATCH($C1102,项目档案!$A$6:$A$255,0)),""),"我方","—"))))</f>
        <v/>
      </c>
      <c r="O1102" s="36" t="n">
        <f aca="false">IF($D1102&lt;&gt;"销项开票",0,ROUND(N($H1102)*N($I1102),2))</f>
        <v>0</v>
      </c>
      <c r="P1102" s="36" t="n">
        <f aca="false">IF($D1102&lt;&gt;"销项开票",0,ROUND(N($H1102)-$O1102,2))</f>
        <v>0</v>
      </c>
      <c r="Q1102" s="37" t="str">
        <f aca="false">IF($E1102="","",N(IFERROR(INDEX(单位档案!$E$6:$E$35,MATCH($E1102,单位档案!$A$6:$A$35,0)),"")))</f>
        <v/>
      </c>
      <c r="R1102" s="37" t="str">
        <f aca="false">IF($E1102="","",N(IFERROR(INDEX(单位档案!$F$6:$F$35,MATCH($E1102,单位档案!$A$6:$A$35,0)),"")))</f>
        <v/>
      </c>
      <c r="S1102" s="36" t="n">
        <f aca="false">IF(OR($D1102&lt;&gt;"销项开票",IFERROR(INDEX(单位档案!$G$6:$G$35,MATCH($E1102,单位档案!$A$6:$A$35,0)),"")&lt;&gt;"是",N($Q1102)=0),0,IF(IFERROR(INDEX(单位档案!$H$6:$H$35,MATCH($E1102,单位档案!$A$6:$A$35,0)),"")="税差法",ROUND(N($H1102)/(1+$Q1102)*$Q1102-IF(N($R1102)=0,0,$P1102/(1+$R1102)*$R1102),2),ROUND(N($H1102)/(1+$Q1102)*$Q1102,2)))</f>
        <v>0</v>
      </c>
      <c r="T1102" s="36" t="n">
        <f aca="false">ROUND($S1102*N(IFERROR(INDEX(单位档案!$J$6:$J$35,MATCH($E1102,单位档案!$A$6:$A$35,0)),"")),2)</f>
        <v>0</v>
      </c>
      <c r="U1102" s="36" t="n">
        <f aca="false">IF($D1102&lt;&gt;"销项开票",0,ROUND(N($H1102)*N(IFERROR(INDEX(单位档案!$K$6:$K$35,MATCH($E1102,单位档案!$A$6:$A$35,0)),"")),2))</f>
        <v>0</v>
      </c>
      <c r="V1102" s="36" t="n">
        <f aca="false">IF(OR($D1102&lt;&gt;"销项开票",N($Q1102)=0),0,ROUND(N($H1102)/(1+$Q1102)*N(IFERROR(INDEX(单位档案!$L$6:$L$35,MATCH($E1102,单位档案!$A$6:$A$35,0)),"")),2))</f>
        <v>0</v>
      </c>
      <c r="W1102" s="36" t="n">
        <f aca="false">ROUND($S1102+$T1102+$U1102+$V1102,2)</f>
        <v>0</v>
      </c>
      <c r="X1102" s="35" t="str">
        <f aca="false">IF(OR($D1102="挂靠代收",$D1102="我方收款"),COUNTIFS($D$5:$D1102,"挂靠代收")+COUNTIFS($D$5:$D1102,"我方收款"),"")</f>
        <v/>
      </c>
      <c r="Y1102" s="35"/>
      <c r="Z1102" s="21" t="s">
        <v>111</v>
      </c>
    </row>
    <row r="1103" customFormat="false" ht="15.75" hidden="false" customHeight="true" outlineLevel="0" collapsed="false">
      <c r="A1103" s="32" t="str">
        <f aca="false">IF($B1103="","",ROW()-4)</f>
        <v/>
      </c>
      <c r="B1103" s="26"/>
      <c r="C1103" s="24"/>
      <c r="D1103" s="21"/>
      <c r="E1103" s="21"/>
      <c r="F1103" s="21"/>
      <c r="G1103" s="21"/>
      <c r="H1103" s="27"/>
      <c r="I1103" s="23" t="str">
        <f aca="false">IF($D1103&lt;&gt;"销项开票","",IF($N1103="一级",IF(IFERROR(INDEX(项目档案!$E$6:$E$255,MATCH($C1103,项目档案!$A$6:$A$255,0)),"")="",N(IFERROR(INDEX(单位档案!$D$6:$D$35,MATCH($E1103,单位档案!$A$6:$A$35,0)),"")),IFERROR(INDEX(项目档案!$E$6:$E$255,MATCH($C1103,项目档案!$A$6:$A$255,0)),"")),IF($N1103="二级",IF(IFERROR(INDEX(项目档案!$G$6:$G$255,MATCH($C1103,项目档案!$A$6:$A$255,0)),"")="",N(IFERROR(INDEX(单位档案!$D$6:$D$35,MATCH($E1103,单位档案!$A$6:$A$35,0)),"")),IFERROR(INDEX(项目档案!$G$6:$G$255,MATCH($C1103,项目档案!$A$6:$A$255,0)),"")),N(IFERROR(INDEX(单位档案!$D$6:$D$35,MATCH($E1103,单位档案!$A$6:$A$35,0)),"")))))</f>
        <v/>
      </c>
      <c r="J1103" s="22"/>
      <c r="K1103" s="22"/>
      <c r="L1103" s="33" t="str">
        <f aca="false">IF($B1103="","",IF(NOT(ISNUMBER($B1103)),"日期格式不对",IF($C1103="","未选项目编号",IF(LEFT($M1103,1)="⚠","项目编号不存在",IF($D1103="","未选业务类型",IF($E1103="","未选开票/付款方",IF(ISNA(MATCH($E1103,单位档案!$A$6:$A$35,0)),"开票方不在单位档案",IF($F1103="","未选收票/收款方",IF(ISNA(MATCH($F1103,单位档案!$A$6:$A$35,0)),"收款方不在单位档案",IF(NOT(ISNUMBER($H1103)),"金额须为数字",IF(AND($D1103="销项开票",$N1103="—"),"链条待确认","√")))))))))))</f>
        <v/>
      </c>
      <c r="M1103" s="34" t="str">
        <f aca="false">IF($C1103="","",IFERROR(INDEX(项目档案!$B$6:$B$255,MATCH($C1103,项目档案!$A$6:$A$255,0)),"⚠项目编号不存在"))</f>
        <v/>
      </c>
      <c r="N1103" s="35" t="str">
        <f aca="false">IF($E1103="","",IF($E1103=IFERROR(INDEX(项目档案!$D$6:$D$255,MATCH($C1103,项目档案!$A$6:$A$255,0)),""),"一级",IF($E1103=IFERROR(INDEX(项目档案!$F$6:$F$255,MATCH($C1103,项目档案!$A$6:$A$255,0)),""),"二级",IF($E1103=IFERROR(INDEX(项目档案!$H$6:$H$255,MATCH($C1103,项目档案!$A$6:$A$255,0)),""),"我方","—"))))</f>
        <v/>
      </c>
      <c r="O1103" s="36" t="n">
        <f aca="false">IF($D1103&lt;&gt;"销项开票",0,ROUND(N($H1103)*N($I1103),2))</f>
        <v>0</v>
      </c>
      <c r="P1103" s="36" t="n">
        <f aca="false">IF($D1103&lt;&gt;"销项开票",0,ROUND(N($H1103)-$O1103,2))</f>
        <v>0</v>
      </c>
      <c r="Q1103" s="37" t="str">
        <f aca="false">IF($E1103="","",N(IFERROR(INDEX(单位档案!$E$6:$E$35,MATCH($E1103,单位档案!$A$6:$A$35,0)),"")))</f>
        <v/>
      </c>
      <c r="R1103" s="37" t="str">
        <f aca="false">IF($E1103="","",N(IFERROR(INDEX(单位档案!$F$6:$F$35,MATCH($E1103,单位档案!$A$6:$A$35,0)),"")))</f>
        <v/>
      </c>
      <c r="S1103" s="36" t="n">
        <f aca="false">IF(OR($D1103&lt;&gt;"销项开票",IFERROR(INDEX(单位档案!$G$6:$G$35,MATCH($E1103,单位档案!$A$6:$A$35,0)),"")&lt;&gt;"是",N($Q1103)=0),0,IF(IFERROR(INDEX(单位档案!$H$6:$H$35,MATCH($E1103,单位档案!$A$6:$A$35,0)),"")="税差法",ROUND(N($H1103)/(1+$Q1103)*$Q1103-IF(N($R1103)=0,0,$P1103/(1+$R1103)*$R1103),2),ROUND(N($H1103)/(1+$Q1103)*$Q1103,2)))</f>
        <v>0</v>
      </c>
      <c r="T1103" s="36" t="n">
        <f aca="false">ROUND($S1103*N(IFERROR(INDEX(单位档案!$J$6:$J$35,MATCH($E1103,单位档案!$A$6:$A$35,0)),"")),2)</f>
        <v>0</v>
      </c>
      <c r="U1103" s="36" t="n">
        <f aca="false">IF($D1103&lt;&gt;"销项开票",0,ROUND(N($H1103)*N(IFERROR(INDEX(单位档案!$K$6:$K$35,MATCH($E1103,单位档案!$A$6:$A$35,0)),"")),2))</f>
        <v>0</v>
      </c>
      <c r="V1103" s="36" t="n">
        <f aca="false">IF(OR($D1103&lt;&gt;"销项开票",N($Q1103)=0),0,ROUND(N($H1103)/(1+$Q1103)*N(IFERROR(INDEX(单位档案!$L$6:$L$35,MATCH($E1103,单位档案!$A$6:$A$35,0)),"")),2))</f>
        <v>0</v>
      </c>
      <c r="W1103" s="36" t="n">
        <f aca="false">ROUND($S1103+$T1103+$U1103+$V1103,2)</f>
        <v>0</v>
      </c>
      <c r="X1103" s="35" t="str">
        <f aca="false">IF(OR($D1103="挂靠代收",$D1103="我方收款"),COUNTIFS($D$5:$D1103,"挂靠代收")+COUNTIFS($D$5:$D1103,"我方收款"),"")</f>
        <v/>
      </c>
      <c r="Y1103" s="35"/>
      <c r="Z1103" s="21" t="s">
        <v>111</v>
      </c>
    </row>
    <row r="1104" customFormat="false" ht="15.75" hidden="false" customHeight="true" outlineLevel="0" collapsed="false">
      <c r="A1104" s="32" t="str">
        <f aca="false">IF($B1104="","",ROW()-4)</f>
        <v/>
      </c>
      <c r="B1104" s="26"/>
      <c r="C1104" s="24"/>
      <c r="D1104" s="21"/>
      <c r="E1104" s="21"/>
      <c r="F1104" s="21"/>
      <c r="G1104" s="21"/>
      <c r="H1104" s="27"/>
      <c r="I1104" s="23" t="str">
        <f aca="false">IF($D1104&lt;&gt;"销项开票","",IF($N1104="一级",IF(IFERROR(INDEX(项目档案!$E$6:$E$255,MATCH($C1104,项目档案!$A$6:$A$255,0)),"")="",N(IFERROR(INDEX(单位档案!$D$6:$D$35,MATCH($E1104,单位档案!$A$6:$A$35,0)),"")),IFERROR(INDEX(项目档案!$E$6:$E$255,MATCH($C1104,项目档案!$A$6:$A$255,0)),"")),IF($N1104="二级",IF(IFERROR(INDEX(项目档案!$G$6:$G$255,MATCH($C1104,项目档案!$A$6:$A$255,0)),"")="",N(IFERROR(INDEX(单位档案!$D$6:$D$35,MATCH($E1104,单位档案!$A$6:$A$35,0)),"")),IFERROR(INDEX(项目档案!$G$6:$G$255,MATCH($C1104,项目档案!$A$6:$A$255,0)),"")),N(IFERROR(INDEX(单位档案!$D$6:$D$35,MATCH($E1104,单位档案!$A$6:$A$35,0)),"")))))</f>
        <v/>
      </c>
      <c r="J1104" s="22"/>
      <c r="K1104" s="22"/>
      <c r="L1104" s="33" t="str">
        <f aca="false">IF($B1104="","",IF(NOT(ISNUMBER($B1104)),"日期格式不对",IF($C1104="","未选项目编号",IF(LEFT($M1104,1)="⚠","项目编号不存在",IF($D1104="","未选业务类型",IF($E1104="","未选开票/付款方",IF(ISNA(MATCH($E1104,单位档案!$A$6:$A$35,0)),"开票方不在单位档案",IF($F1104="","未选收票/收款方",IF(ISNA(MATCH($F1104,单位档案!$A$6:$A$35,0)),"收款方不在单位档案",IF(NOT(ISNUMBER($H1104)),"金额须为数字",IF(AND($D1104="销项开票",$N1104="—"),"链条待确认","√")))))))))))</f>
        <v/>
      </c>
      <c r="M1104" s="34" t="str">
        <f aca="false">IF($C1104="","",IFERROR(INDEX(项目档案!$B$6:$B$255,MATCH($C1104,项目档案!$A$6:$A$255,0)),"⚠项目编号不存在"))</f>
        <v/>
      </c>
      <c r="N1104" s="35" t="str">
        <f aca="false">IF($E1104="","",IF($E1104=IFERROR(INDEX(项目档案!$D$6:$D$255,MATCH($C1104,项目档案!$A$6:$A$255,0)),""),"一级",IF($E1104=IFERROR(INDEX(项目档案!$F$6:$F$255,MATCH($C1104,项目档案!$A$6:$A$255,0)),""),"二级",IF($E1104=IFERROR(INDEX(项目档案!$H$6:$H$255,MATCH($C1104,项目档案!$A$6:$A$255,0)),""),"我方","—"))))</f>
        <v/>
      </c>
      <c r="O1104" s="36" t="n">
        <f aca="false">IF($D1104&lt;&gt;"销项开票",0,ROUND(N($H1104)*N($I1104),2))</f>
        <v>0</v>
      </c>
      <c r="P1104" s="36" t="n">
        <f aca="false">IF($D1104&lt;&gt;"销项开票",0,ROUND(N($H1104)-$O1104,2))</f>
        <v>0</v>
      </c>
      <c r="Q1104" s="37" t="str">
        <f aca="false">IF($E1104="","",N(IFERROR(INDEX(单位档案!$E$6:$E$35,MATCH($E1104,单位档案!$A$6:$A$35,0)),"")))</f>
        <v/>
      </c>
      <c r="R1104" s="37" t="str">
        <f aca="false">IF($E1104="","",N(IFERROR(INDEX(单位档案!$F$6:$F$35,MATCH($E1104,单位档案!$A$6:$A$35,0)),"")))</f>
        <v/>
      </c>
      <c r="S1104" s="36" t="n">
        <f aca="false">IF(OR($D1104&lt;&gt;"销项开票",IFERROR(INDEX(单位档案!$G$6:$G$35,MATCH($E1104,单位档案!$A$6:$A$35,0)),"")&lt;&gt;"是",N($Q1104)=0),0,IF(IFERROR(INDEX(单位档案!$H$6:$H$35,MATCH($E1104,单位档案!$A$6:$A$35,0)),"")="税差法",ROUND(N($H1104)/(1+$Q1104)*$Q1104-IF(N($R1104)=0,0,$P1104/(1+$R1104)*$R1104),2),ROUND(N($H1104)/(1+$Q1104)*$Q1104,2)))</f>
        <v>0</v>
      </c>
      <c r="T1104" s="36" t="n">
        <f aca="false">ROUND($S1104*N(IFERROR(INDEX(单位档案!$J$6:$J$35,MATCH($E1104,单位档案!$A$6:$A$35,0)),"")),2)</f>
        <v>0</v>
      </c>
      <c r="U1104" s="36" t="n">
        <f aca="false">IF($D1104&lt;&gt;"销项开票",0,ROUND(N($H1104)*N(IFERROR(INDEX(单位档案!$K$6:$K$35,MATCH($E1104,单位档案!$A$6:$A$35,0)),"")),2))</f>
        <v>0</v>
      </c>
      <c r="V1104" s="36" t="n">
        <f aca="false">IF(OR($D1104&lt;&gt;"销项开票",N($Q1104)=0),0,ROUND(N($H1104)/(1+$Q1104)*N(IFERROR(INDEX(单位档案!$L$6:$L$35,MATCH($E1104,单位档案!$A$6:$A$35,0)),"")),2))</f>
        <v>0</v>
      </c>
      <c r="W1104" s="36" t="n">
        <f aca="false">ROUND($S1104+$T1104+$U1104+$V1104,2)</f>
        <v>0</v>
      </c>
      <c r="X1104" s="35" t="str">
        <f aca="false">IF(OR($D1104="挂靠代收",$D1104="我方收款"),COUNTIFS($D$5:$D1104,"挂靠代收")+COUNTIFS($D$5:$D1104,"我方收款"),"")</f>
        <v/>
      </c>
      <c r="Y1104" s="35"/>
      <c r="Z1104" s="21" t="s">
        <v>111</v>
      </c>
    </row>
    <row r="1105" customFormat="false" ht="15.75" hidden="false" customHeight="true" outlineLevel="0" collapsed="false">
      <c r="A1105" s="32" t="str">
        <f aca="false">IF($B1105="","",ROW()-4)</f>
        <v/>
      </c>
      <c r="B1105" s="26"/>
      <c r="C1105" s="24"/>
      <c r="D1105" s="21"/>
      <c r="E1105" s="21"/>
      <c r="F1105" s="21"/>
      <c r="G1105" s="21"/>
      <c r="H1105" s="27"/>
      <c r="I1105" s="23" t="str">
        <f aca="false">IF($D1105&lt;&gt;"销项开票","",IF($N1105="一级",IF(IFERROR(INDEX(项目档案!$E$6:$E$255,MATCH($C1105,项目档案!$A$6:$A$255,0)),"")="",N(IFERROR(INDEX(单位档案!$D$6:$D$35,MATCH($E1105,单位档案!$A$6:$A$35,0)),"")),IFERROR(INDEX(项目档案!$E$6:$E$255,MATCH($C1105,项目档案!$A$6:$A$255,0)),"")),IF($N1105="二级",IF(IFERROR(INDEX(项目档案!$G$6:$G$255,MATCH($C1105,项目档案!$A$6:$A$255,0)),"")="",N(IFERROR(INDEX(单位档案!$D$6:$D$35,MATCH($E1105,单位档案!$A$6:$A$35,0)),"")),IFERROR(INDEX(项目档案!$G$6:$G$255,MATCH($C1105,项目档案!$A$6:$A$255,0)),"")),N(IFERROR(INDEX(单位档案!$D$6:$D$35,MATCH($E1105,单位档案!$A$6:$A$35,0)),"")))))</f>
        <v/>
      </c>
      <c r="J1105" s="22"/>
      <c r="K1105" s="22"/>
      <c r="L1105" s="33" t="str">
        <f aca="false">IF($B1105="","",IF(NOT(ISNUMBER($B1105)),"日期格式不对",IF($C1105="","未选项目编号",IF(LEFT($M1105,1)="⚠","项目编号不存在",IF($D1105="","未选业务类型",IF($E1105="","未选开票/付款方",IF(ISNA(MATCH($E1105,单位档案!$A$6:$A$35,0)),"开票方不在单位档案",IF($F1105="","未选收票/收款方",IF(ISNA(MATCH($F1105,单位档案!$A$6:$A$35,0)),"收款方不在单位档案",IF(NOT(ISNUMBER($H1105)),"金额须为数字",IF(AND($D1105="销项开票",$N1105="—"),"链条待确认","√")))))))))))</f>
        <v/>
      </c>
      <c r="M1105" s="34" t="str">
        <f aca="false">IF($C1105="","",IFERROR(INDEX(项目档案!$B$6:$B$255,MATCH($C1105,项目档案!$A$6:$A$255,0)),"⚠项目编号不存在"))</f>
        <v/>
      </c>
      <c r="N1105" s="35" t="str">
        <f aca="false">IF($E1105="","",IF($E1105=IFERROR(INDEX(项目档案!$D$6:$D$255,MATCH($C1105,项目档案!$A$6:$A$255,0)),""),"一级",IF($E1105=IFERROR(INDEX(项目档案!$F$6:$F$255,MATCH($C1105,项目档案!$A$6:$A$255,0)),""),"二级",IF($E1105=IFERROR(INDEX(项目档案!$H$6:$H$255,MATCH($C1105,项目档案!$A$6:$A$255,0)),""),"我方","—"))))</f>
        <v/>
      </c>
      <c r="O1105" s="36" t="n">
        <f aca="false">IF($D1105&lt;&gt;"销项开票",0,ROUND(N($H1105)*N($I1105),2))</f>
        <v>0</v>
      </c>
      <c r="P1105" s="36" t="n">
        <f aca="false">IF($D1105&lt;&gt;"销项开票",0,ROUND(N($H1105)-$O1105,2))</f>
        <v>0</v>
      </c>
      <c r="Q1105" s="37" t="str">
        <f aca="false">IF($E1105="","",N(IFERROR(INDEX(单位档案!$E$6:$E$35,MATCH($E1105,单位档案!$A$6:$A$35,0)),"")))</f>
        <v/>
      </c>
      <c r="R1105" s="37" t="str">
        <f aca="false">IF($E1105="","",N(IFERROR(INDEX(单位档案!$F$6:$F$35,MATCH($E1105,单位档案!$A$6:$A$35,0)),"")))</f>
        <v/>
      </c>
      <c r="S1105" s="36" t="n">
        <f aca="false">IF(OR($D1105&lt;&gt;"销项开票",IFERROR(INDEX(单位档案!$G$6:$G$35,MATCH($E1105,单位档案!$A$6:$A$35,0)),"")&lt;&gt;"是",N($Q1105)=0),0,IF(IFERROR(INDEX(单位档案!$H$6:$H$35,MATCH($E1105,单位档案!$A$6:$A$35,0)),"")="税差法",ROUND(N($H1105)/(1+$Q1105)*$Q1105-IF(N($R1105)=0,0,$P1105/(1+$R1105)*$R1105),2),ROUND(N($H1105)/(1+$Q1105)*$Q1105,2)))</f>
        <v>0</v>
      </c>
      <c r="T1105" s="36" t="n">
        <f aca="false">ROUND($S1105*N(IFERROR(INDEX(单位档案!$J$6:$J$35,MATCH($E1105,单位档案!$A$6:$A$35,0)),"")),2)</f>
        <v>0</v>
      </c>
      <c r="U1105" s="36" t="n">
        <f aca="false">IF($D1105&lt;&gt;"销项开票",0,ROUND(N($H1105)*N(IFERROR(INDEX(单位档案!$K$6:$K$35,MATCH($E1105,单位档案!$A$6:$A$35,0)),"")),2))</f>
        <v>0</v>
      </c>
      <c r="V1105" s="36" t="n">
        <f aca="false">IF(OR($D1105&lt;&gt;"销项开票",N($Q1105)=0),0,ROUND(N($H1105)/(1+$Q1105)*N(IFERROR(INDEX(单位档案!$L$6:$L$35,MATCH($E1105,单位档案!$A$6:$A$35,0)),"")),2))</f>
        <v>0</v>
      </c>
      <c r="W1105" s="36" t="n">
        <f aca="false">ROUND($S1105+$T1105+$U1105+$V1105,2)</f>
        <v>0</v>
      </c>
      <c r="X1105" s="35" t="str">
        <f aca="false">IF(OR($D1105="挂靠代收",$D1105="我方收款"),COUNTIFS($D$5:$D1105,"挂靠代收")+COUNTIFS($D$5:$D1105,"我方收款"),"")</f>
        <v/>
      </c>
      <c r="Y1105" s="35"/>
      <c r="Z1105" s="21" t="s">
        <v>111</v>
      </c>
    </row>
    <row r="1106" customFormat="false" ht="15.75" hidden="false" customHeight="true" outlineLevel="0" collapsed="false">
      <c r="A1106" s="32" t="str">
        <f aca="false">IF($B1106="","",ROW()-4)</f>
        <v/>
      </c>
      <c r="B1106" s="26"/>
      <c r="C1106" s="24"/>
      <c r="D1106" s="21"/>
      <c r="E1106" s="21"/>
      <c r="F1106" s="21"/>
      <c r="G1106" s="21"/>
      <c r="H1106" s="27"/>
      <c r="I1106" s="23" t="str">
        <f aca="false">IF($D1106&lt;&gt;"销项开票","",IF($N1106="一级",IF(IFERROR(INDEX(项目档案!$E$6:$E$255,MATCH($C1106,项目档案!$A$6:$A$255,0)),"")="",N(IFERROR(INDEX(单位档案!$D$6:$D$35,MATCH($E1106,单位档案!$A$6:$A$35,0)),"")),IFERROR(INDEX(项目档案!$E$6:$E$255,MATCH($C1106,项目档案!$A$6:$A$255,0)),"")),IF($N1106="二级",IF(IFERROR(INDEX(项目档案!$G$6:$G$255,MATCH($C1106,项目档案!$A$6:$A$255,0)),"")="",N(IFERROR(INDEX(单位档案!$D$6:$D$35,MATCH($E1106,单位档案!$A$6:$A$35,0)),"")),IFERROR(INDEX(项目档案!$G$6:$G$255,MATCH($C1106,项目档案!$A$6:$A$255,0)),"")),N(IFERROR(INDEX(单位档案!$D$6:$D$35,MATCH($E1106,单位档案!$A$6:$A$35,0)),"")))))</f>
        <v/>
      </c>
      <c r="J1106" s="22"/>
      <c r="K1106" s="22"/>
      <c r="L1106" s="33" t="str">
        <f aca="false">IF($B1106="","",IF(NOT(ISNUMBER($B1106)),"日期格式不对",IF($C1106="","未选项目编号",IF(LEFT($M1106,1)="⚠","项目编号不存在",IF($D1106="","未选业务类型",IF($E1106="","未选开票/付款方",IF(ISNA(MATCH($E1106,单位档案!$A$6:$A$35,0)),"开票方不在单位档案",IF($F1106="","未选收票/收款方",IF(ISNA(MATCH($F1106,单位档案!$A$6:$A$35,0)),"收款方不在单位档案",IF(NOT(ISNUMBER($H1106)),"金额须为数字",IF(AND($D1106="销项开票",$N1106="—"),"链条待确认","√")))))))))))</f>
        <v/>
      </c>
      <c r="M1106" s="34" t="str">
        <f aca="false">IF($C1106="","",IFERROR(INDEX(项目档案!$B$6:$B$255,MATCH($C1106,项目档案!$A$6:$A$255,0)),"⚠项目编号不存在"))</f>
        <v/>
      </c>
      <c r="N1106" s="35" t="str">
        <f aca="false">IF($E1106="","",IF($E1106=IFERROR(INDEX(项目档案!$D$6:$D$255,MATCH($C1106,项目档案!$A$6:$A$255,0)),""),"一级",IF($E1106=IFERROR(INDEX(项目档案!$F$6:$F$255,MATCH($C1106,项目档案!$A$6:$A$255,0)),""),"二级",IF($E1106=IFERROR(INDEX(项目档案!$H$6:$H$255,MATCH($C1106,项目档案!$A$6:$A$255,0)),""),"我方","—"))))</f>
        <v/>
      </c>
      <c r="O1106" s="36" t="n">
        <f aca="false">IF($D1106&lt;&gt;"销项开票",0,ROUND(N($H1106)*N($I1106),2))</f>
        <v>0</v>
      </c>
      <c r="P1106" s="36" t="n">
        <f aca="false">IF($D1106&lt;&gt;"销项开票",0,ROUND(N($H1106)-$O1106,2))</f>
        <v>0</v>
      </c>
      <c r="Q1106" s="37" t="str">
        <f aca="false">IF($E1106="","",N(IFERROR(INDEX(单位档案!$E$6:$E$35,MATCH($E1106,单位档案!$A$6:$A$35,0)),"")))</f>
        <v/>
      </c>
      <c r="R1106" s="37" t="str">
        <f aca="false">IF($E1106="","",N(IFERROR(INDEX(单位档案!$F$6:$F$35,MATCH($E1106,单位档案!$A$6:$A$35,0)),"")))</f>
        <v/>
      </c>
      <c r="S1106" s="36" t="n">
        <f aca="false">IF(OR($D1106&lt;&gt;"销项开票",IFERROR(INDEX(单位档案!$G$6:$G$35,MATCH($E1106,单位档案!$A$6:$A$35,0)),"")&lt;&gt;"是",N($Q1106)=0),0,IF(IFERROR(INDEX(单位档案!$H$6:$H$35,MATCH($E1106,单位档案!$A$6:$A$35,0)),"")="税差法",ROUND(N($H1106)/(1+$Q1106)*$Q1106-IF(N($R1106)=0,0,$P1106/(1+$R1106)*$R1106),2),ROUND(N($H1106)/(1+$Q1106)*$Q1106,2)))</f>
        <v>0</v>
      </c>
      <c r="T1106" s="36" t="n">
        <f aca="false">ROUND($S1106*N(IFERROR(INDEX(单位档案!$J$6:$J$35,MATCH($E1106,单位档案!$A$6:$A$35,0)),"")),2)</f>
        <v>0</v>
      </c>
      <c r="U1106" s="36" t="n">
        <f aca="false">IF($D1106&lt;&gt;"销项开票",0,ROUND(N($H1106)*N(IFERROR(INDEX(单位档案!$K$6:$K$35,MATCH($E1106,单位档案!$A$6:$A$35,0)),"")),2))</f>
        <v>0</v>
      </c>
      <c r="V1106" s="36" t="n">
        <f aca="false">IF(OR($D1106&lt;&gt;"销项开票",N($Q1106)=0),0,ROUND(N($H1106)/(1+$Q1106)*N(IFERROR(INDEX(单位档案!$L$6:$L$35,MATCH($E1106,单位档案!$A$6:$A$35,0)),"")),2))</f>
        <v>0</v>
      </c>
      <c r="W1106" s="36" t="n">
        <f aca="false">ROUND($S1106+$T1106+$U1106+$V1106,2)</f>
        <v>0</v>
      </c>
      <c r="X1106" s="35" t="str">
        <f aca="false">IF(OR($D1106="挂靠代收",$D1106="我方收款"),COUNTIFS($D$5:$D1106,"挂靠代收")+COUNTIFS($D$5:$D1106,"我方收款"),"")</f>
        <v/>
      </c>
      <c r="Y1106" s="35"/>
      <c r="Z1106" s="21" t="s">
        <v>111</v>
      </c>
    </row>
    <row r="1107" customFormat="false" ht="15.75" hidden="false" customHeight="true" outlineLevel="0" collapsed="false">
      <c r="A1107" s="32" t="str">
        <f aca="false">IF($B1107="","",ROW()-4)</f>
        <v/>
      </c>
      <c r="B1107" s="26"/>
      <c r="C1107" s="24"/>
      <c r="D1107" s="21"/>
      <c r="E1107" s="21"/>
      <c r="F1107" s="21"/>
      <c r="G1107" s="21"/>
      <c r="H1107" s="27"/>
      <c r="I1107" s="23" t="str">
        <f aca="false">IF($D1107&lt;&gt;"销项开票","",IF($N1107="一级",IF(IFERROR(INDEX(项目档案!$E$6:$E$255,MATCH($C1107,项目档案!$A$6:$A$255,0)),"")="",N(IFERROR(INDEX(单位档案!$D$6:$D$35,MATCH($E1107,单位档案!$A$6:$A$35,0)),"")),IFERROR(INDEX(项目档案!$E$6:$E$255,MATCH($C1107,项目档案!$A$6:$A$255,0)),"")),IF($N1107="二级",IF(IFERROR(INDEX(项目档案!$G$6:$G$255,MATCH($C1107,项目档案!$A$6:$A$255,0)),"")="",N(IFERROR(INDEX(单位档案!$D$6:$D$35,MATCH($E1107,单位档案!$A$6:$A$35,0)),"")),IFERROR(INDEX(项目档案!$G$6:$G$255,MATCH($C1107,项目档案!$A$6:$A$255,0)),"")),N(IFERROR(INDEX(单位档案!$D$6:$D$35,MATCH($E1107,单位档案!$A$6:$A$35,0)),"")))))</f>
        <v/>
      </c>
      <c r="J1107" s="22"/>
      <c r="K1107" s="22"/>
      <c r="L1107" s="33" t="str">
        <f aca="false">IF($B1107="","",IF(NOT(ISNUMBER($B1107)),"日期格式不对",IF($C1107="","未选项目编号",IF(LEFT($M1107,1)="⚠","项目编号不存在",IF($D1107="","未选业务类型",IF($E1107="","未选开票/付款方",IF(ISNA(MATCH($E1107,单位档案!$A$6:$A$35,0)),"开票方不在单位档案",IF($F1107="","未选收票/收款方",IF(ISNA(MATCH($F1107,单位档案!$A$6:$A$35,0)),"收款方不在单位档案",IF(NOT(ISNUMBER($H1107)),"金额须为数字",IF(AND($D1107="销项开票",$N1107="—"),"链条待确认","√")))))))))))</f>
        <v/>
      </c>
      <c r="M1107" s="34" t="str">
        <f aca="false">IF($C1107="","",IFERROR(INDEX(项目档案!$B$6:$B$255,MATCH($C1107,项目档案!$A$6:$A$255,0)),"⚠项目编号不存在"))</f>
        <v/>
      </c>
      <c r="N1107" s="35" t="str">
        <f aca="false">IF($E1107="","",IF($E1107=IFERROR(INDEX(项目档案!$D$6:$D$255,MATCH($C1107,项目档案!$A$6:$A$255,0)),""),"一级",IF($E1107=IFERROR(INDEX(项目档案!$F$6:$F$255,MATCH($C1107,项目档案!$A$6:$A$255,0)),""),"二级",IF($E1107=IFERROR(INDEX(项目档案!$H$6:$H$255,MATCH($C1107,项目档案!$A$6:$A$255,0)),""),"我方","—"))))</f>
        <v/>
      </c>
      <c r="O1107" s="36" t="n">
        <f aca="false">IF($D1107&lt;&gt;"销项开票",0,ROUND(N($H1107)*N($I1107),2))</f>
        <v>0</v>
      </c>
      <c r="P1107" s="36" t="n">
        <f aca="false">IF($D1107&lt;&gt;"销项开票",0,ROUND(N($H1107)-$O1107,2))</f>
        <v>0</v>
      </c>
      <c r="Q1107" s="37" t="str">
        <f aca="false">IF($E1107="","",N(IFERROR(INDEX(单位档案!$E$6:$E$35,MATCH($E1107,单位档案!$A$6:$A$35,0)),"")))</f>
        <v/>
      </c>
      <c r="R1107" s="37" t="str">
        <f aca="false">IF($E1107="","",N(IFERROR(INDEX(单位档案!$F$6:$F$35,MATCH($E1107,单位档案!$A$6:$A$35,0)),"")))</f>
        <v/>
      </c>
      <c r="S1107" s="36" t="n">
        <f aca="false">IF(OR($D1107&lt;&gt;"销项开票",IFERROR(INDEX(单位档案!$G$6:$G$35,MATCH($E1107,单位档案!$A$6:$A$35,0)),"")&lt;&gt;"是",N($Q1107)=0),0,IF(IFERROR(INDEX(单位档案!$H$6:$H$35,MATCH($E1107,单位档案!$A$6:$A$35,0)),"")="税差法",ROUND(N($H1107)/(1+$Q1107)*$Q1107-IF(N($R1107)=0,0,$P1107/(1+$R1107)*$R1107),2),ROUND(N($H1107)/(1+$Q1107)*$Q1107,2)))</f>
        <v>0</v>
      </c>
      <c r="T1107" s="36" t="n">
        <f aca="false">ROUND($S1107*N(IFERROR(INDEX(单位档案!$J$6:$J$35,MATCH($E1107,单位档案!$A$6:$A$35,0)),"")),2)</f>
        <v>0</v>
      </c>
      <c r="U1107" s="36" t="n">
        <f aca="false">IF($D1107&lt;&gt;"销项开票",0,ROUND(N($H1107)*N(IFERROR(INDEX(单位档案!$K$6:$K$35,MATCH($E1107,单位档案!$A$6:$A$35,0)),"")),2))</f>
        <v>0</v>
      </c>
      <c r="V1107" s="36" t="n">
        <f aca="false">IF(OR($D1107&lt;&gt;"销项开票",N($Q1107)=0),0,ROUND(N($H1107)/(1+$Q1107)*N(IFERROR(INDEX(单位档案!$L$6:$L$35,MATCH($E1107,单位档案!$A$6:$A$35,0)),"")),2))</f>
        <v>0</v>
      </c>
      <c r="W1107" s="36" t="n">
        <f aca="false">ROUND($S1107+$T1107+$U1107+$V1107,2)</f>
        <v>0</v>
      </c>
      <c r="X1107" s="35" t="str">
        <f aca="false">IF(OR($D1107="挂靠代收",$D1107="我方收款"),COUNTIFS($D$5:$D1107,"挂靠代收")+COUNTIFS($D$5:$D1107,"我方收款"),"")</f>
        <v/>
      </c>
      <c r="Y1107" s="35"/>
      <c r="Z1107" s="21" t="s">
        <v>111</v>
      </c>
    </row>
    <row r="1108" customFormat="false" ht="15.75" hidden="false" customHeight="true" outlineLevel="0" collapsed="false">
      <c r="A1108" s="32" t="str">
        <f aca="false">IF($B1108="","",ROW()-4)</f>
        <v/>
      </c>
      <c r="B1108" s="26"/>
      <c r="C1108" s="24"/>
      <c r="D1108" s="21"/>
      <c r="E1108" s="21"/>
      <c r="F1108" s="21"/>
      <c r="G1108" s="21"/>
      <c r="H1108" s="27"/>
      <c r="I1108" s="23" t="str">
        <f aca="false">IF($D1108&lt;&gt;"销项开票","",IF($N1108="一级",IF(IFERROR(INDEX(项目档案!$E$6:$E$255,MATCH($C1108,项目档案!$A$6:$A$255,0)),"")="",N(IFERROR(INDEX(单位档案!$D$6:$D$35,MATCH($E1108,单位档案!$A$6:$A$35,0)),"")),IFERROR(INDEX(项目档案!$E$6:$E$255,MATCH($C1108,项目档案!$A$6:$A$255,0)),"")),IF($N1108="二级",IF(IFERROR(INDEX(项目档案!$G$6:$G$255,MATCH($C1108,项目档案!$A$6:$A$255,0)),"")="",N(IFERROR(INDEX(单位档案!$D$6:$D$35,MATCH($E1108,单位档案!$A$6:$A$35,0)),"")),IFERROR(INDEX(项目档案!$G$6:$G$255,MATCH($C1108,项目档案!$A$6:$A$255,0)),"")),N(IFERROR(INDEX(单位档案!$D$6:$D$35,MATCH($E1108,单位档案!$A$6:$A$35,0)),"")))))</f>
        <v/>
      </c>
      <c r="J1108" s="22"/>
      <c r="K1108" s="22"/>
      <c r="L1108" s="33" t="str">
        <f aca="false">IF($B1108="","",IF(NOT(ISNUMBER($B1108)),"日期格式不对",IF($C1108="","未选项目编号",IF(LEFT($M1108,1)="⚠","项目编号不存在",IF($D1108="","未选业务类型",IF($E1108="","未选开票/付款方",IF(ISNA(MATCH($E1108,单位档案!$A$6:$A$35,0)),"开票方不在单位档案",IF($F1108="","未选收票/收款方",IF(ISNA(MATCH($F1108,单位档案!$A$6:$A$35,0)),"收款方不在单位档案",IF(NOT(ISNUMBER($H1108)),"金额须为数字",IF(AND($D1108="销项开票",$N1108="—"),"链条待确认","√")))))))))))</f>
        <v/>
      </c>
      <c r="M1108" s="34" t="str">
        <f aca="false">IF($C1108="","",IFERROR(INDEX(项目档案!$B$6:$B$255,MATCH($C1108,项目档案!$A$6:$A$255,0)),"⚠项目编号不存在"))</f>
        <v/>
      </c>
      <c r="N1108" s="35" t="str">
        <f aca="false">IF($E1108="","",IF($E1108=IFERROR(INDEX(项目档案!$D$6:$D$255,MATCH($C1108,项目档案!$A$6:$A$255,0)),""),"一级",IF($E1108=IFERROR(INDEX(项目档案!$F$6:$F$255,MATCH($C1108,项目档案!$A$6:$A$255,0)),""),"二级",IF($E1108=IFERROR(INDEX(项目档案!$H$6:$H$255,MATCH($C1108,项目档案!$A$6:$A$255,0)),""),"我方","—"))))</f>
        <v/>
      </c>
      <c r="O1108" s="36" t="n">
        <f aca="false">IF($D1108&lt;&gt;"销项开票",0,ROUND(N($H1108)*N($I1108),2))</f>
        <v>0</v>
      </c>
      <c r="P1108" s="36" t="n">
        <f aca="false">IF($D1108&lt;&gt;"销项开票",0,ROUND(N($H1108)-$O1108,2))</f>
        <v>0</v>
      </c>
      <c r="Q1108" s="37" t="str">
        <f aca="false">IF($E1108="","",N(IFERROR(INDEX(单位档案!$E$6:$E$35,MATCH($E1108,单位档案!$A$6:$A$35,0)),"")))</f>
        <v/>
      </c>
      <c r="R1108" s="37" t="str">
        <f aca="false">IF($E1108="","",N(IFERROR(INDEX(单位档案!$F$6:$F$35,MATCH($E1108,单位档案!$A$6:$A$35,0)),"")))</f>
        <v/>
      </c>
      <c r="S1108" s="36" t="n">
        <f aca="false">IF(OR($D1108&lt;&gt;"销项开票",IFERROR(INDEX(单位档案!$G$6:$G$35,MATCH($E1108,单位档案!$A$6:$A$35,0)),"")&lt;&gt;"是",N($Q1108)=0),0,IF(IFERROR(INDEX(单位档案!$H$6:$H$35,MATCH($E1108,单位档案!$A$6:$A$35,0)),"")="税差法",ROUND(N($H1108)/(1+$Q1108)*$Q1108-IF(N($R1108)=0,0,$P1108/(1+$R1108)*$R1108),2),ROUND(N($H1108)/(1+$Q1108)*$Q1108,2)))</f>
        <v>0</v>
      </c>
      <c r="T1108" s="36" t="n">
        <f aca="false">ROUND($S1108*N(IFERROR(INDEX(单位档案!$J$6:$J$35,MATCH($E1108,单位档案!$A$6:$A$35,0)),"")),2)</f>
        <v>0</v>
      </c>
      <c r="U1108" s="36" t="n">
        <f aca="false">IF($D1108&lt;&gt;"销项开票",0,ROUND(N($H1108)*N(IFERROR(INDEX(单位档案!$K$6:$K$35,MATCH($E1108,单位档案!$A$6:$A$35,0)),"")),2))</f>
        <v>0</v>
      </c>
      <c r="V1108" s="36" t="n">
        <f aca="false">IF(OR($D1108&lt;&gt;"销项开票",N($Q1108)=0),0,ROUND(N($H1108)/(1+$Q1108)*N(IFERROR(INDEX(单位档案!$L$6:$L$35,MATCH($E1108,单位档案!$A$6:$A$35,0)),"")),2))</f>
        <v>0</v>
      </c>
      <c r="W1108" s="36" t="n">
        <f aca="false">ROUND($S1108+$T1108+$U1108+$V1108,2)</f>
        <v>0</v>
      </c>
      <c r="X1108" s="35" t="str">
        <f aca="false">IF(OR($D1108="挂靠代收",$D1108="我方收款"),COUNTIFS($D$5:$D1108,"挂靠代收")+COUNTIFS($D$5:$D1108,"我方收款"),"")</f>
        <v/>
      </c>
      <c r="Y1108" s="35"/>
      <c r="Z1108" s="21" t="s">
        <v>111</v>
      </c>
    </row>
    <row r="1109" customFormat="false" ht="15.75" hidden="false" customHeight="true" outlineLevel="0" collapsed="false">
      <c r="A1109" s="32" t="str">
        <f aca="false">IF($B1109="","",ROW()-4)</f>
        <v/>
      </c>
      <c r="B1109" s="26"/>
      <c r="C1109" s="24"/>
      <c r="D1109" s="21"/>
      <c r="E1109" s="21"/>
      <c r="F1109" s="21"/>
      <c r="G1109" s="21"/>
      <c r="H1109" s="27"/>
      <c r="I1109" s="23" t="str">
        <f aca="false">IF($D1109&lt;&gt;"销项开票","",IF($N1109="一级",IF(IFERROR(INDEX(项目档案!$E$6:$E$255,MATCH($C1109,项目档案!$A$6:$A$255,0)),"")="",N(IFERROR(INDEX(单位档案!$D$6:$D$35,MATCH($E1109,单位档案!$A$6:$A$35,0)),"")),IFERROR(INDEX(项目档案!$E$6:$E$255,MATCH($C1109,项目档案!$A$6:$A$255,0)),"")),IF($N1109="二级",IF(IFERROR(INDEX(项目档案!$G$6:$G$255,MATCH($C1109,项目档案!$A$6:$A$255,0)),"")="",N(IFERROR(INDEX(单位档案!$D$6:$D$35,MATCH($E1109,单位档案!$A$6:$A$35,0)),"")),IFERROR(INDEX(项目档案!$G$6:$G$255,MATCH($C1109,项目档案!$A$6:$A$255,0)),"")),N(IFERROR(INDEX(单位档案!$D$6:$D$35,MATCH($E1109,单位档案!$A$6:$A$35,0)),"")))))</f>
        <v/>
      </c>
      <c r="J1109" s="22"/>
      <c r="K1109" s="22"/>
      <c r="L1109" s="33" t="str">
        <f aca="false">IF($B1109="","",IF(NOT(ISNUMBER($B1109)),"日期格式不对",IF($C1109="","未选项目编号",IF(LEFT($M1109,1)="⚠","项目编号不存在",IF($D1109="","未选业务类型",IF($E1109="","未选开票/付款方",IF(ISNA(MATCH($E1109,单位档案!$A$6:$A$35,0)),"开票方不在单位档案",IF($F1109="","未选收票/收款方",IF(ISNA(MATCH($F1109,单位档案!$A$6:$A$35,0)),"收款方不在单位档案",IF(NOT(ISNUMBER($H1109)),"金额须为数字",IF(AND($D1109="销项开票",$N1109="—"),"链条待确认","√")))))))))))</f>
        <v/>
      </c>
      <c r="M1109" s="34" t="str">
        <f aca="false">IF($C1109="","",IFERROR(INDEX(项目档案!$B$6:$B$255,MATCH($C1109,项目档案!$A$6:$A$255,0)),"⚠项目编号不存在"))</f>
        <v/>
      </c>
      <c r="N1109" s="35" t="str">
        <f aca="false">IF($E1109="","",IF($E1109=IFERROR(INDEX(项目档案!$D$6:$D$255,MATCH($C1109,项目档案!$A$6:$A$255,0)),""),"一级",IF($E1109=IFERROR(INDEX(项目档案!$F$6:$F$255,MATCH($C1109,项目档案!$A$6:$A$255,0)),""),"二级",IF($E1109=IFERROR(INDEX(项目档案!$H$6:$H$255,MATCH($C1109,项目档案!$A$6:$A$255,0)),""),"我方","—"))))</f>
        <v/>
      </c>
      <c r="O1109" s="36" t="n">
        <f aca="false">IF($D1109&lt;&gt;"销项开票",0,ROUND(N($H1109)*N($I1109),2))</f>
        <v>0</v>
      </c>
      <c r="P1109" s="36" t="n">
        <f aca="false">IF($D1109&lt;&gt;"销项开票",0,ROUND(N($H1109)-$O1109,2))</f>
        <v>0</v>
      </c>
      <c r="Q1109" s="37" t="str">
        <f aca="false">IF($E1109="","",N(IFERROR(INDEX(单位档案!$E$6:$E$35,MATCH($E1109,单位档案!$A$6:$A$35,0)),"")))</f>
        <v/>
      </c>
      <c r="R1109" s="37" t="str">
        <f aca="false">IF($E1109="","",N(IFERROR(INDEX(单位档案!$F$6:$F$35,MATCH($E1109,单位档案!$A$6:$A$35,0)),"")))</f>
        <v/>
      </c>
      <c r="S1109" s="36" t="n">
        <f aca="false">IF(OR($D1109&lt;&gt;"销项开票",IFERROR(INDEX(单位档案!$G$6:$G$35,MATCH($E1109,单位档案!$A$6:$A$35,0)),"")&lt;&gt;"是",N($Q1109)=0),0,IF(IFERROR(INDEX(单位档案!$H$6:$H$35,MATCH($E1109,单位档案!$A$6:$A$35,0)),"")="税差法",ROUND(N($H1109)/(1+$Q1109)*$Q1109-IF(N($R1109)=0,0,$P1109/(1+$R1109)*$R1109),2),ROUND(N($H1109)/(1+$Q1109)*$Q1109,2)))</f>
        <v>0</v>
      </c>
      <c r="T1109" s="36" t="n">
        <f aca="false">ROUND($S1109*N(IFERROR(INDEX(单位档案!$J$6:$J$35,MATCH($E1109,单位档案!$A$6:$A$35,0)),"")),2)</f>
        <v>0</v>
      </c>
      <c r="U1109" s="36" t="n">
        <f aca="false">IF($D1109&lt;&gt;"销项开票",0,ROUND(N($H1109)*N(IFERROR(INDEX(单位档案!$K$6:$K$35,MATCH($E1109,单位档案!$A$6:$A$35,0)),"")),2))</f>
        <v>0</v>
      </c>
      <c r="V1109" s="36" t="n">
        <f aca="false">IF(OR($D1109&lt;&gt;"销项开票",N($Q1109)=0),0,ROUND(N($H1109)/(1+$Q1109)*N(IFERROR(INDEX(单位档案!$L$6:$L$35,MATCH($E1109,单位档案!$A$6:$A$35,0)),"")),2))</f>
        <v>0</v>
      </c>
      <c r="W1109" s="36" t="n">
        <f aca="false">ROUND($S1109+$T1109+$U1109+$V1109,2)</f>
        <v>0</v>
      </c>
      <c r="X1109" s="35" t="str">
        <f aca="false">IF(OR($D1109="挂靠代收",$D1109="我方收款"),COUNTIFS($D$5:$D1109,"挂靠代收")+COUNTIFS($D$5:$D1109,"我方收款"),"")</f>
        <v/>
      </c>
      <c r="Y1109" s="35"/>
      <c r="Z1109" s="21" t="s">
        <v>111</v>
      </c>
    </row>
    <row r="1110" customFormat="false" ht="15.75" hidden="false" customHeight="true" outlineLevel="0" collapsed="false">
      <c r="A1110" s="32" t="str">
        <f aca="false">IF($B1110="","",ROW()-4)</f>
        <v/>
      </c>
      <c r="B1110" s="26"/>
      <c r="C1110" s="24"/>
      <c r="D1110" s="21"/>
      <c r="E1110" s="21"/>
      <c r="F1110" s="21"/>
      <c r="G1110" s="21"/>
      <c r="H1110" s="27"/>
      <c r="I1110" s="23" t="str">
        <f aca="false">IF($D1110&lt;&gt;"销项开票","",IF($N1110="一级",IF(IFERROR(INDEX(项目档案!$E$6:$E$255,MATCH($C1110,项目档案!$A$6:$A$255,0)),"")="",N(IFERROR(INDEX(单位档案!$D$6:$D$35,MATCH($E1110,单位档案!$A$6:$A$35,0)),"")),IFERROR(INDEX(项目档案!$E$6:$E$255,MATCH($C1110,项目档案!$A$6:$A$255,0)),"")),IF($N1110="二级",IF(IFERROR(INDEX(项目档案!$G$6:$G$255,MATCH($C1110,项目档案!$A$6:$A$255,0)),"")="",N(IFERROR(INDEX(单位档案!$D$6:$D$35,MATCH($E1110,单位档案!$A$6:$A$35,0)),"")),IFERROR(INDEX(项目档案!$G$6:$G$255,MATCH($C1110,项目档案!$A$6:$A$255,0)),"")),N(IFERROR(INDEX(单位档案!$D$6:$D$35,MATCH($E1110,单位档案!$A$6:$A$35,0)),"")))))</f>
        <v/>
      </c>
      <c r="J1110" s="22"/>
      <c r="K1110" s="22"/>
      <c r="L1110" s="33" t="str">
        <f aca="false">IF($B1110="","",IF(NOT(ISNUMBER($B1110)),"日期格式不对",IF($C1110="","未选项目编号",IF(LEFT($M1110,1)="⚠","项目编号不存在",IF($D1110="","未选业务类型",IF($E1110="","未选开票/付款方",IF(ISNA(MATCH($E1110,单位档案!$A$6:$A$35,0)),"开票方不在单位档案",IF($F1110="","未选收票/收款方",IF(ISNA(MATCH($F1110,单位档案!$A$6:$A$35,0)),"收款方不在单位档案",IF(NOT(ISNUMBER($H1110)),"金额须为数字",IF(AND($D1110="销项开票",$N1110="—"),"链条待确认","√")))))))))))</f>
        <v/>
      </c>
      <c r="M1110" s="34" t="str">
        <f aca="false">IF($C1110="","",IFERROR(INDEX(项目档案!$B$6:$B$255,MATCH($C1110,项目档案!$A$6:$A$255,0)),"⚠项目编号不存在"))</f>
        <v/>
      </c>
      <c r="N1110" s="35" t="str">
        <f aca="false">IF($E1110="","",IF($E1110=IFERROR(INDEX(项目档案!$D$6:$D$255,MATCH($C1110,项目档案!$A$6:$A$255,0)),""),"一级",IF($E1110=IFERROR(INDEX(项目档案!$F$6:$F$255,MATCH($C1110,项目档案!$A$6:$A$255,0)),""),"二级",IF($E1110=IFERROR(INDEX(项目档案!$H$6:$H$255,MATCH($C1110,项目档案!$A$6:$A$255,0)),""),"我方","—"))))</f>
        <v/>
      </c>
      <c r="O1110" s="36" t="n">
        <f aca="false">IF($D1110&lt;&gt;"销项开票",0,ROUND(N($H1110)*N($I1110),2))</f>
        <v>0</v>
      </c>
      <c r="P1110" s="36" t="n">
        <f aca="false">IF($D1110&lt;&gt;"销项开票",0,ROUND(N($H1110)-$O1110,2))</f>
        <v>0</v>
      </c>
      <c r="Q1110" s="37" t="str">
        <f aca="false">IF($E1110="","",N(IFERROR(INDEX(单位档案!$E$6:$E$35,MATCH($E1110,单位档案!$A$6:$A$35,0)),"")))</f>
        <v/>
      </c>
      <c r="R1110" s="37" t="str">
        <f aca="false">IF($E1110="","",N(IFERROR(INDEX(单位档案!$F$6:$F$35,MATCH($E1110,单位档案!$A$6:$A$35,0)),"")))</f>
        <v/>
      </c>
      <c r="S1110" s="36" t="n">
        <f aca="false">IF(OR($D1110&lt;&gt;"销项开票",IFERROR(INDEX(单位档案!$G$6:$G$35,MATCH($E1110,单位档案!$A$6:$A$35,0)),"")&lt;&gt;"是",N($Q1110)=0),0,IF(IFERROR(INDEX(单位档案!$H$6:$H$35,MATCH($E1110,单位档案!$A$6:$A$35,0)),"")="税差法",ROUND(N($H1110)/(1+$Q1110)*$Q1110-IF(N($R1110)=0,0,$P1110/(1+$R1110)*$R1110),2),ROUND(N($H1110)/(1+$Q1110)*$Q1110,2)))</f>
        <v>0</v>
      </c>
      <c r="T1110" s="36" t="n">
        <f aca="false">ROUND($S1110*N(IFERROR(INDEX(单位档案!$J$6:$J$35,MATCH($E1110,单位档案!$A$6:$A$35,0)),"")),2)</f>
        <v>0</v>
      </c>
      <c r="U1110" s="36" t="n">
        <f aca="false">IF($D1110&lt;&gt;"销项开票",0,ROUND(N($H1110)*N(IFERROR(INDEX(单位档案!$K$6:$K$35,MATCH($E1110,单位档案!$A$6:$A$35,0)),"")),2))</f>
        <v>0</v>
      </c>
      <c r="V1110" s="36" t="n">
        <f aca="false">IF(OR($D1110&lt;&gt;"销项开票",N($Q1110)=0),0,ROUND(N($H1110)/(1+$Q1110)*N(IFERROR(INDEX(单位档案!$L$6:$L$35,MATCH($E1110,单位档案!$A$6:$A$35,0)),"")),2))</f>
        <v>0</v>
      </c>
      <c r="W1110" s="36" t="n">
        <f aca="false">ROUND($S1110+$T1110+$U1110+$V1110,2)</f>
        <v>0</v>
      </c>
      <c r="X1110" s="35" t="str">
        <f aca="false">IF(OR($D1110="挂靠代收",$D1110="我方收款"),COUNTIFS($D$5:$D1110,"挂靠代收")+COUNTIFS($D$5:$D1110,"我方收款"),"")</f>
        <v/>
      </c>
      <c r="Y1110" s="35"/>
      <c r="Z1110" s="21" t="s">
        <v>111</v>
      </c>
    </row>
    <row r="1111" customFormat="false" ht="15.75" hidden="false" customHeight="true" outlineLevel="0" collapsed="false">
      <c r="A1111" s="32" t="str">
        <f aca="false">IF($B1111="","",ROW()-4)</f>
        <v/>
      </c>
      <c r="B1111" s="26"/>
      <c r="C1111" s="24"/>
      <c r="D1111" s="21"/>
      <c r="E1111" s="21"/>
      <c r="F1111" s="21"/>
      <c r="G1111" s="21"/>
      <c r="H1111" s="27"/>
      <c r="I1111" s="23" t="str">
        <f aca="false">IF($D1111&lt;&gt;"销项开票","",IF($N1111="一级",IF(IFERROR(INDEX(项目档案!$E$6:$E$255,MATCH($C1111,项目档案!$A$6:$A$255,0)),"")="",N(IFERROR(INDEX(单位档案!$D$6:$D$35,MATCH($E1111,单位档案!$A$6:$A$35,0)),"")),IFERROR(INDEX(项目档案!$E$6:$E$255,MATCH($C1111,项目档案!$A$6:$A$255,0)),"")),IF($N1111="二级",IF(IFERROR(INDEX(项目档案!$G$6:$G$255,MATCH($C1111,项目档案!$A$6:$A$255,0)),"")="",N(IFERROR(INDEX(单位档案!$D$6:$D$35,MATCH($E1111,单位档案!$A$6:$A$35,0)),"")),IFERROR(INDEX(项目档案!$G$6:$G$255,MATCH($C1111,项目档案!$A$6:$A$255,0)),"")),N(IFERROR(INDEX(单位档案!$D$6:$D$35,MATCH($E1111,单位档案!$A$6:$A$35,0)),"")))))</f>
        <v/>
      </c>
      <c r="J1111" s="22"/>
      <c r="K1111" s="22"/>
      <c r="L1111" s="33" t="str">
        <f aca="false">IF($B1111="","",IF(NOT(ISNUMBER($B1111)),"日期格式不对",IF($C1111="","未选项目编号",IF(LEFT($M1111,1)="⚠","项目编号不存在",IF($D1111="","未选业务类型",IF($E1111="","未选开票/付款方",IF(ISNA(MATCH($E1111,单位档案!$A$6:$A$35,0)),"开票方不在单位档案",IF($F1111="","未选收票/收款方",IF(ISNA(MATCH($F1111,单位档案!$A$6:$A$35,0)),"收款方不在单位档案",IF(NOT(ISNUMBER($H1111)),"金额须为数字",IF(AND($D1111="销项开票",$N1111="—"),"链条待确认","√")))))))))))</f>
        <v/>
      </c>
      <c r="M1111" s="34" t="str">
        <f aca="false">IF($C1111="","",IFERROR(INDEX(项目档案!$B$6:$B$255,MATCH($C1111,项目档案!$A$6:$A$255,0)),"⚠项目编号不存在"))</f>
        <v/>
      </c>
      <c r="N1111" s="35" t="str">
        <f aca="false">IF($E1111="","",IF($E1111=IFERROR(INDEX(项目档案!$D$6:$D$255,MATCH($C1111,项目档案!$A$6:$A$255,0)),""),"一级",IF($E1111=IFERROR(INDEX(项目档案!$F$6:$F$255,MATCH($C1111,项目档案!$A$6:$A$255,0)),""),"二级",IF($E1111=IFERROR(INDEX(项目档案!$H$6:$H$255,MATCH($C1111,项目档案!$A$6:$A$255,0)),""),"我方","—"))))</f>
        <v/>
      </c>
      <c r="O1111" s="36" t="n">
        <f aca="false">IF($D1111&lt;&gt;"销项开票",0,ROUND(N($H1111)*N($I1111),2))</f>
        <v>0</v>
      </c>
      <c r="P1111" s="36" t="n">
        <f aca="false">IF($D1111&lt;&gt;"销项开票",0,ROUND(N($H1111)-$O1111,2))</f>
        <v>0</v>
      </c>
      <c r="Q1111" s="37" t="str">
        <f aca="false">IF($E1111="","",N(IFERROR(INDEX(单位档案!$E$6:$E$35,MATCH($E1111,单位档案!$A$6:$A$35,0)),"")))</f>
        <v/>
      </c>
      <c r="R1111" s="37" t="str">
        <f aca="false">IF($E1111="","",N(IFERROR(INDEX(单位档案!$F$6:$F$35,MATCH($E1111,单位档案!$A$6:$A$35,0)),"")))</f>
        <v/>
      </c>
      <c r="S1111" s="36" t="n">
        <f aca="false">IF(OR($D1111&lt;&gt;"销项开票",IFERROR(INDEX(单位档案!$G$6:$G$35,MATCH($E1111,单位档案!$A$6:$A$35,0)),"")&lt;&gt;"是",N($Q1111)=0),0,IF(IFERROR(INDEX(单位档案!$H$6:$H$35,MATCH($E1111,单位档案!$A$6:$A$35,0)),"")="税差法",ROUND(N($H1111)/(1+$Q1111)*$Q1111-IF(N($R1111)=0,0,$P1111/(1+$R1111)*$R1111),2),ROUND(N($H1111)/(1+$Q1111)*$Q1111,2)))</f>
        <v>0</v>
      </c>
      <c r="T1111" s="36" t="n">
        <f aca="false">ROUND($S1111*N(IFERROR(INDEX(单位档案!$J$6:$J$35,MATCH($E1111,单位档案!$A$6:$A$35,0)),"")),2)</f>
        <v>0</v>
      </c>
      <c r="U1111" s="36" t="n">
        <f aca="false">IF($D1111&lt;&gt;"销项开票",0,ROUND(N($H1111)*N(IFERROR(INDEX(单位档案!$K$6:$K$35,MATCH($E1111,单位档案!$A$6:$A$35,0)),"")),2))</f>
        <v>0</v>
      </c>
      <c r="V1111" s="36" t="n">
        <f aca="false">IF(OR($D1111&lt;&gt;"销项开票",N($Q1111)=0),0,ROUND(N($H1111)/(1+$Q1111)*N(IFERROR(INDEX(单位档案!$L$6:$L$35,MATCH($E1111,单位档案!$A$6:$A$35,0)),"")),2))</f>
        <v>0</v>
      </c>
      <c r="W1111" s="36" t="n">
        <f aca="false">ROUND($S1111+$T1111+$U1111+$V1111,2)</f>
        <v>0</v>
      </c>
      <c r="X1111" s="35" t="str">
        <f aca="false">IF(OR($D1111="挂靠代收",$D1111="我方收款"),COUNTIFS($D$5:$D1111,"挂靠代收")+COUNTIFS($D$5:$D1111,"我方收款"),"")</f>
        <v/>
      </c>
      <c r="Y1111" s="35"/>
      <c r="Z1111" s="21" t="s">
        <v>111</v>
      </c>
    </row>
    <row r="1112" customFormat="false" ht="15.75" hidden="false" customHeight="true" outlineLevel="0" collapsed="false">
      <c r="A1112" s="32" t="str">
        <f aca="false">IF($B1112="","",ROW()-4)</f>
        <v/>
      </c>
      <c r="B1112" s="26"/>
      <c r="C1112" s="24"/>
      <c r="D1112" s="21"/>
      <c r="E1112" s="21"/>
      <c r="F1112" s="21"/>
      <c r="G1112" s="21"/>
      <c r="H1112" s="27"/>
      <c r="I1112" s="23" t="str">
        <f aca="false">IF($D1112&lt;&gt;"销项开票","",IF($N1112="一级",IF(IFERROR(INDEX(项目档案!$E$6:$E$255,MATCH($C1112,项目档案!$A$6:$A$255,0)),"")="",N(IFERROR(INDEX(单位档案!$D$6:$D$35,MATCH($E1112,单位档案!$A$6:$A$35,0)),"")),IFERROR(INDEX(项目档案!$E$6:$E$255,MATCH($C1112,项目档案!$A$6:$A$255,0)),"")),IF($N1112="二级",IF(IFERROR(INDEX(项目档案!$G$6:$G$255,MATCH($C1112,项目档案!$A$6:$A$255,0)),"")="",N(IFERROR(INDEX(单位档案!$D$6:$D$35,MATCH($E1112,单位档案!$A$6:$A$35,0)),"")),IFERROR(INDEX(项目档案!$G$6:$G$255,MATCH($C1112,项目档案!$A$6:$A$255,0)),"")),N(IFERROR(INDEX(单位档案!$D$6:$D$35,MATCH($E1112,单位档案!$A$6:$A$35,0)),"")))))</f>
        <v/>
      </c>
      <c r="J1112" s="22"/>
      <c r="K1112" s="22"/>
      <c r="L1112" s="33" t="str">
        <f aca="false">IF($B1112="","",IF(NOT(ISNUMBER($B1112)),"日期格式不对",IF($C1112="","未选项目编号",IF(LEFT($M1112,1)="⚠","项目编号不存在",IF($D1112="","未选业务类型",IF($E1112="","未选开票/付款方",IF(ISNA(MATCH($E1112,单位档案!$A$6:$A$35,0)),"开票方不在单位档案",IF($F1112="","未选收票/收款方",IF(ISNA(MATCH($F1112,单位档案!$A$6:$A$35,0)),"收款方不在单位档案",IF(NOT(ISNUMBER($H1112)),"金额须为数字",IF(AND($D1112="销项开票",$N1112="—"),"链条待确认","√")))))))))))</f>
        <v/>
      </c>
      <c r="M1112" s="34" t="str">
        <f aca="false">IF($C1112="","",IFERROR(INDEX(项目档案!$B$6:$B$255,MATCH($C1112,项目档案!$A$6:$A$255,0)),"⚠项目编号不存在"))</f>
        <v/>
      </c>
      <c r="N1112" s="35" t="str">
        <f aca="false">IF($E1112="","",IF($E1112=IFERROR(INDEX(项目档案!$D$6:$D$255,MATCH($C1112,项目档案!$A$6:$A$255,0)),""),"一级",IF($E1112=IFERROR(INDEX(项目档案!$F$6:$F$255,MATCH($C1112,项目档案!$A$6:$A$255,0)),""),"二级",IF($E1112=IFERROR(INDEX(项目档案!$H$6:$H$255,MATCH($C1112,项目档案!$A$6:$A$255,0)),""),"我方","—"))))</f>
        <v/>
      </c>
      <c r="O1112" s="36" t="n">
        <f aca="false">IF($D1112&lt;&gt;"销项开票",0,ROUND(N($H1112)*N($I1112),2))</f>
        <v>0</v>
      </c>
      <c r="P1112" s="36" t="n">
        <f aca="false">IF($D1112&lt;&gt;"销项开票",0,ROUND(N($H1112)-$O1112,2))</f>
        <v>0</v>
      </c>
      <c r="Q1112" s="37" t="str">
        <f aca="false">IF($E1112="","",N(IFERROR(INDEX(单位档案!$E$6:$E$35,MATCH($E1112,单位档案!$A$6:$A$35,0)),"")))</f>
        <v/>
      </c>
      <c r="R1112" s="37" t="str">
        <f aca="false">IF($E1112="","",N(IFERROR(INDEX(单位档案!$F$6:$F$35,MATCH($E1112,单位档案!$A$6:$A$35,0)),"")))</f>
        <v/>
      </c>
      <c r="S1112" s="36" t="n">
        <f aca="false">IF(OR($D1112&lt;&gt;"销项开票",IFERROR(INDEX(单位档案!$G$6:$G$35,MATCH($E1112,单位档案!$A$6:$A$35,0)),"")&lt;&gt;"是",N($Q1112)=0),0,IF(IFERROR(INDEX(单位档案!$H$6:$H$35,MATCH($E1112,单位档案!$A$6:$A$35,0)),"")="税差法",ROUND(N($H1112)/(1+$Q1112)*$Q1112-IF(N($R1112)=0,0,$P1112/(1+$R1112)*$R1112),2),ROUND(N($H1112)/(1+$Q1112)*$Q1112,2)))</f>
        <v>0</v>
      </c>
      <c r="T1112" s="36" t="n">
        <f aca="false">ROUND($S1112*N(IFERROR(INDEX(单位档案!$J$6:$J$35,MATCH($E1112,单位档案!$A$6:$A$35,0)),"")),2)</f>
        <v>0</v>
      </c>
      <c r="U1112" s="36" t="n">
        <f aca="false">IF($D1112&lt;&gt;"销项开票",0,ROUND(N($H1112)*N(IFERROR(INDEX(单位档案!$K$6:$K$35,MATCH($E1112,单位档案!$A$6:$A$35,0)),"")),2))</f>
        <v>0</v>
      </c>
      <c r="V1112" s="36" t="n">
        <f aca="false">IF(OR($D1112&lt;&gt;"销项开票",N($Q1112)=0),0,ROUND(N($H1112)/(1+$Q1112)*N(IFERROR(INDEX(单位档案!$L$6:$L$35,MATCH($E1112,单位档案!$A$6:$A$35,0)),"")),2))</f>
        <v>0</v>
      </c>
      <c r="W1112" s="36" t="n">
        <f aca="false">ROUND($S1112+$T1112+$U1112+$V1112,2)</f>
        <v>0</v>
      </c>
      <c r="X1112" s="35" t="str">
        <f aca="false">IF(OR($D1112="挂靠代收",$D1112="我方收款"),COUNTIFS($D$5:$D1112,"挂靠代收")+COUNTIFS($D$5:$D1112,"我方收款"),"")</f>
        <v/>
      </c>
      <c r="Y1112" s="35"/>
      <c r="Z1112" s="21" t="s">
        <v>111</v>
      </c>
    </row>
    <row r="1113" customFormat="false" ht="15.75" hidden="false" customHeight="true" outlineLevel="0" collapsed="false">
      <c r="A1113" s="32" t="str">
        <f aca="false">IF($B1113="","",ROW()-4)</f>
        <v/>
      </c>
      <c r="B1113" s="26"/>
      <c r="C1113" s="24"/>
      <c r="D1113" s="21"/>
      <c r="E1113" s="21"/>
      <c r="F1113" s="21"/>
      <c r="G1113" s="21"/>
      <c r="H1113" s="27"/>
      <c r="I1113" s="23" t="str">
        <f aca="false">IF($D1113&lt;&gt;"销项开票","",IF($N1113="一级",IF(IFERROR(INDEX(项目档案!$E$6:$E$255,MATCH($C1113,项目档案!$A$6:$A$255,0)),"")="",N(IFERROR(INDEX(单位档案!$D$6:$D$35,MATCH($E1113,单位档案!$A$6:$A$35,0)),"")),IFERROR(INDEX(项目档案!$E$6:$E$255,MATCH($C1113,项目档案!$A$6:$A$255,0)),"")),IF($N1113="二级",IF(IFERROR(INDEX(项目档案!$G$6:$G$255,MATCH($C1113,项目档案!$A$6:$A$255,0)),"")="",N(IFERROR(INDEX(单位档案!$D$6:$D$35,MATCH($E1113,单位档案!$A$6:$A$35,0)),"")),IFERROR(INDEX(项目档案!$G$6:$G$255,MATCH($C1113,项目档案!$A$6:$A$255,0)),"")),N(IFERROR(INDEX(单位档案!$D$6:$D$35,MATCH($E1113,单位档案!$A$6:$A$35,0)),"")))))</f>
        <v/>
      </c>
      <c r="J1113" s="22"/>
      <c r="K1113" s="22"/>
      <c r="L1113" s="33" t="str">
        <f aca="false">IF($B1113="","",IF(NOT(ISNUMBER($B1113)),"日期格式不对",IF($C1113="","未选项目编号",IF(LEFT($M1113,1)="⚠","项目编号不存在",IF($D1113="","未选业务类型",IF($E1113="","未选开票/付款方",IF(ISNA(MATCH($E1113,单位档案!$A$6:$A$35,0)),"开票方不在单位档案",IF($F1113="","未选收票/收款方",IF(ISNA(MATCH($F1113,单位档案!$A$6:$A$35,0)),"收款方不在单位档案",IF(NOT(ISNUMBER($H1113)),"金额须为数字",IF(AND($D1113="销项开票",$N1113="—"),"链条待确认","√")))))))))))</f>
        <v/>
      </c>
      <c r="M1113" s="34" t="str">
        <f aca="false">IF($C1113="","",IFERROR(INDEX(项目档案!$B$6:$B$255,MATCH($C1113,项目档案!$A$6:$A$255,0)),"⚠项目编号不存在"))</f>
        <v/>
      </c>
      <c r="N1113" s="35" t="str">
        <f aca="false">IF($E1113="","",IF($E1113=IFERROR(INDEX(项目档案!$D$6:$D$255,MATCH($C1113,项目档案!$A$6:$A$255,0)),""),"一级",IF($E1113=IFERROR(INDEX(项目档案!$F$6:$F$255,MATCH($C1113,项目档案!$A$6:$A$255,0)),""),"二级",IF($E1113=IFERROR(INDEX(项目档案!$H$6:$H$255,MATCH($C1113,项目档案!$A$6:$A$255,0)),""),"我方","—"))))</f>
        <v/>
      </c>
      <c r="O1113" s="36" t="n">
        <f aca="false">IF($D1113&lt;&gt;"销项开票",0,ROUND(N($H1113)*N($I1113),2))</f>
        <v>0</v>
      </c>
      <c r="P1113" s="36" t="n">
        <f aca="false">IF($D1113&lt;&gt;"销项开票",0,ROUND(N($H1113)-$O1113,2))</f>
        <v>0</v>
      </c>
      <c r="Q1113" s="37" t="str">
        <f aca="false">IF($E1113="","",N(IFERROR(INDEX(单位档案!$E$6:$E$35,MATCH($E1113,单位档案!$A$6:$A$35,0)),"")))</f>
        <v/>
      </c>
      <c r="R1113" s="37" t="str">
        <f aca="false">IF($E1113="","",N(IFERROR(INDEX(单位档案!$F$6:$F$35,MATCH($E1113,单位档案!$A$6:$A$35,0)),"")))</f>
        <v/>
      </c>
      <c r="S1113" s="36" t="n">
        <f aca="false">IF(OR($D1113&lt;&gt;"销项开票",IFERROR(INDEX(单位档案!$G$6:$G$35,MATCH($E1113,单位档案!$A$6:$A$35,0)),"")&lt;&gt;"是",N($Q1113)=0),0,IF(IFERROR(INDEX(单位档案!$H$6:$H$35,MATCH($E1113,单位档案!$A$6:$A$35,0)),"")="税差法",ROUND(N($H1113)/(1+$Q1113)*$Q1113-IF(N($R1113)=0,0,$P1113/(1+$R1113)*$R1113),2),ROUND(N($H1113)/(1+$Q1113)*$Q1113,2)))</f>
        <v>0</v>
      </c>
      <c r="T1113" s="36" t="n">
        <f aca="false">ROUND($S1113*N(IFERROR(INDEX(单位档案!$J$6:$J$35,MATCH($E1113,单位档案!$A$6:$A$35,0)),"")),2)</f>
        <v>0</v>
      </c>
      <c r="U1113" s="36" t="n">
        <f aca="false">IF($D1113&lt;&gt;"销项开票",0,ROUND(N($H1113)*N(IFERROR(INDEX(单位档案!$K$6:$K$35,MATCH($E1113,单位档案!$A$6:$A$35,0)),"")),2))</f>
        <v>0</v>
      </c>
      <c r="V1113" s="36" t="n">
        <f aca="false">IF(OR($D1113&lt;&gt;"销项开票",N($Q1113)=0),0,ROUND(N($H1113)/(1+$Q1113)*N(IFERROR(INDEX(单位档案!$L$6:$L$35,MATCH($E1113,单位档案!$A$6:$A$35,0)),"")),2))</f>
        <v>0</v>
      </c>
      <c r="W1113" s="36" t="n">
        <f aca="false">ROUND($S1113+$T1113+$U1113+$V1113,2)</f>
        <v>0</v>
      </c>
      <c r="X1113" s="35" t="str">
        <f aca="false">IF(OR($D1113="挂靠代收",$D1113="我方收款"),COUNTIFS($D$5:$D1113,"挂靠代收")+COUNTIFS($D$5:$D1113,"我方收款"),"")</f>
        <v/>
      </c>
      <c r="Y1113" s="35"/>
      <c r="Z1113" s="21" t="s">
        <v>111</v>
      </c>
    </row>
    <row r="1114" customFormat="false" ht="15.75" hidden="false" customHeight="true" outlineLevel="0" collapsed="false">
      <c r="A1114" s="32" t="str">
        <f aca="false">IF($B1114="","",ROW()-4)</f>
        <v/>
      </c>
      <c r="B1114" s="26"/>
      <c r="C1114" s="24"/>
      <c r="D1114" s="21"/>
      <c r="E1114" s="21"/>
      <c r="F1114" s="21"/>
      <c r="G1114" s="21"/>
      <c r="H1114" s="27"/>
      <c r="I1114" s="23" t="str">
        <f aca="false">IF($D1114&lt;&gt;"销项开票","",IF($N1114="一级",IF(IFERROR(INDEX(项目档案!$E$6:$E$255,MATCH($C1114,项目档案!$A$6:$A$255,0)),"")="",N(IFERROR(INDEX(单位档案!$D$6:$D$35,MATCH($E1114,单位档案!$A$6:$A$35,0)),"")),IFERROR(INDEX(项目档案!$E$6:$E$255,MATCH($C1114,项目档案!$A$6:$A$255,0)),"")),IF($N1114="二级",IF(IFERROR(INDEX(项目档案!$G$6:$G$255,MATCH($C1114,项目档案!$A$6:$A$255,0)),"")="",N(IFERROR(INDEX(单位档案!$D$6:$D$35,MATCH($E1114,单位档案!$A$6:$A$35,0)),"")),IFERROR(INDEX(项目档案!$G$6:$G$255,MATCH($C1114,项目档案!$A$6:$A$255,0)),"")),N(IFERROR(INDEX(单位档案!$D$6:$D$35,MATCH($E1114,单位档案!$A$6:$A$35,0)),"")))))</f>
        <v/>
      </c>
      <c r="J1114" s="22"/>
      <c r="K1114" s="22"/>
      <c r="L1114" s="33" t="str">
        <f aca="false">IF($B1114="","",IF(NOT(ISNUMBER($B1114)),"日期格式不对",IF($C1114="","未选项目编号",IF(LEFT($M1114,1)="⚠","项目编号不存在",IF($D1114="","未选业务类型",IF($E1114="","未选开票/付款方",IF(ISNA(MATCH($E1114,单位档案!$A$6:$A$35,0)),"开票方不在单位档案",IF($F1114="","未选收票/收款方",IF(ISNA(MATCH($F1114,单位档案!$A$6:$A$35,0)),"收款方不在单位档案",IF(NOT(ISNUMBER($H1114)),"金额须为数字",IF(AND($D1114="销项开票",$N1114="—"),"链条待确认","√")))))))))))</f>
        <v/>
      </c>
      <c r="M1114" s="34" t="str">
        <f aca="false">IF($C1114="","",IFERROR(INDEX(项目档案!$B$6:$B$255,MATCH($C1114,项目档案!$A$6:$A$255,0)),"⚠项目编号不存在"))</f>
        <v/>
      </c>
      <c r="N1114" s="35" t="str">
        <f aca="false">IF($E1114="","",IF($E1114=IFERROR(INDEX(项目档案!$D$6:$D$255,MATCH($C1114,项目档案!$A$6:$A$255,0)),""),"一级",IF($E1114=IFERROR(INDEX(项目档案!$F$6:$F$255,MATCH($C1114,项目档案!$A$6:$A$255,0)),""),"二级",IF($E1114=IFERROR(INDEX(项目档案!$H$6:$H$255,MATCH($C1114,项目档案!$A$6:$A$255,0)),""),"我方","—"))))</f>
        <v/>
      </c>
      <c r="O1114" s="36" t="n">
        <f aca="false">IF($D1114&lt;&gt;"销项开票",0,ROUND(N($H1114)*N($I1114),2))</f>
        <v>0</v>
      </c>
      <c r="P1114" s="36" t="n">
        <f aca="false">IF($D1114&lt;&gt;"销项开票",0,ROUND(N($H1114)-$O1114,2))</f>
        <v>0</v>
      </c>
      <c r="Q1114" s="37" t="str">
        <f aca="false">IF($E1114="","",N(IFERROR(INDEX(单位档案!$E$6:$E$35,MATCH($E1114,单位档案!$A$6:$A$35,0)),"")))</f>
        <v/>
      </c>
      <c r="R1114" s="37" t="str">
        <f aca="false">IF($E1114="","",N(IFERROR(INDEX(单位档案!$F$6:$F$35,MATCH($E1114,单位档案!$A$6:$A$35,0)),"")))</f>
        <v/>
      </c>
      <c r="S1114" s="36" t="n">
        <f aca="false">IF(OR($D1114&lt;&gt;"销项开票",IFERROR(INDEX(单位档案!$G$6:$G$35,MATCH($E1114,单位档案!$A$6:$A$35,0)),"")&lt;&gt;"是",N($Q1114)=0),0,IF(IFERROR(INDEX(单位档案!$H$6:$H$35,MATCH($E1114,单位档案!$A$6:$A$35,0)),"")="税差法",ROUND(N($H1114)/(1+$Q1114)*$Q1114-IF(N($R1114)=0,0,$P1114/(1+$R1114)*$R1114),2),ROUND(N($H1114)/(1+$Q1114)*$Q1114,2)))</f>
        <v>0</v>
      </c>
      <c r="T1114" s="36" t="n">
        <f aca="false">ROUND($S1114*N(IFERROR(INDEX(单位档案!$J$6:$J$35,MATCH($E1114,单位档案!$A$6:$A$35,0)),"")),2)</f>
        <v>0</v>
      </c>
      <c r="U1114" s="36" t="n">
        <f aca="false">IF($D1114&lt;&gt;"销项开票",0,ROUND(N($H1114)*N(IFERROR(INDEX(单位档案!$K$6:$K$35,MATCH($E1114,单位档案!$A$6:$A$35,0)),"")),2))</f>
        <v>0</v>
      </c>
      <c r="V1114" s="36" t="n">
        <f aca="false">IF(OR($D1114&lt;&gt;"销项开票",N($Q1114)=0),0,ROUND(N($H1114)/(1+$Q1114)*N(IFERROR(INDEX(单位档案!$L$6:$L$35,MATCH($E1114,单位档案!$A$6:$A$35,0)),"")),2))</f>
        <v>0</v>
      </c>
      <c r="W1114" s="36" t="n">
        <f aca="false">ROUND($S1114+$T1114+$U1114+$V1114,2)</f>
        <v>0</v>
      </c>
      <c r="X1114" s="35" t="str">
        <f aca="false">IF(OR($D1114="挂靠代收",$D1114="我方收款"),COUNTIFS($D$5:$D1114,"挂靠代收")+COUNTIFS($D$5:$D1114,"我方收款"),"")</f>
        <v/>
      </c>
      <c r="Y1114" s="35"/>
      <c r="Z1114" s="21" t="s">
        <v>111</v>
      </c>
    </row>
    <row r="1115" customFormat="false" ht="15.75" hidden="false" customHeight="true" outlineLevel="0" collapsed="false">
      <c r="A1115" s="32" t="str">
        <f aca="false">IF($B1115="","",ROW()-4)</f>
        <v/>
      </c>
      <c r="B1115" s="26"/>
      <c r="C1115" s="24"/>
      <c r="D1115" s="21"/>
      <c r="E1115" s="21"/>
      <c r="F1115" s="21"/>
      <c r="G1115" s="21"/>
      <c r="H1115" s="27"/>
      <c r="I1115" s="23" t="str">
        <f aca="false">IF($D1115&lt;&gt;"销项开票","",IF($N1115="一级",IF(IFERROR(INDEX(项目档案!$E$6:$E$255,MATCH($C1115,项目档案!$A$6:$A$255,0)),"")="",N(IFERROR(INDEX(单位档案!$D$6:$D$35,MATCH($E1115,单位档案!$A$6:$A$35,0)),"")),IFERROR(INDEX(项目档案!$E$6:$E$255,MATCH($C1115,项目档案!$A$6:$A$255,0)),"")),IF($N1115="二级",IF(IFERROR(INDEX(项目档案!$G$6:$G$255,MATCH($C1115,项目档案!$A$6:$A$255,0)),"")="",N(IFERROR(INDEX(单位档案!$D$6:$D$35,MATCH($E1115,单位档案!$A$6:$A$35,0)),"")),IFERROR(INDEX(项目档案!$G$6:$G$255,MATCH($C1115,项目档案!$A$6:$A$255,0)),"")),N(IFERROR(INDEX(单位档案!$D$6:$D$35,MATCH($E1115,单位档案!$A$6:$A$35,0)),"")))))</f>
        <v/>
      </c>
      <c r="J1115" s="22"/>
      <c r="K1115" s="22"/>
      <c r="L1115" s="33" t="str">
        <f aca="false">IF($B1115="","",IF(NOT(ISNUMBER($B1115)),"日期格式不对",IF($C1115="","未选项目编号",IF(LEFT($M1115,1)="⚠","项目编号不存在",IF($D1115="","未选业务类型",IF($E1115="","未选开票/付款方",IF(ISNA(MATCH($E1115,单位档案!$A$6:$A$35,0)),"开票方不在单位档案",IF($F1115="","未选收票/收款方",IF(ISNA(MATCH($F1115,单位档案!$A$6:$A$35,0)),"收款方不在单位档案",IF(NOT(ISNUMBER($H1115)),"金额须为数字",IF(AND($D1115="销项开票",$N1115="—"),"链条待确认","√")))))))))))</f>
        <v/>
      </c>
      <c r="M1115" s="34" t="str">
        <f aca="false">IF($C1115="","",IFERROR(INDEX(项目档案!$B$6:$B$255,MATCH($C1115,项目档案!$A$6:$A$255,0)),"⚠项目编号不存在"))</f>
        <v/>
      </c>
      <c r="N1115" s="35" t="str">
        <f aca="false">IF($E1115="","",IF($E1115=IFERROR(INDEX(项目档案!$D$6:$D$255,MATCH($C1115,项目档案!$A$6:$A$255,0)),""),"一级",IF($E1115=IFERROR(INDEX(项目档案!$F$6:$F$255,MATCH($C1115,项目档案!$A$6:$A$255,0)),""),"二级",IF($E1115=IFERROR(INDEX(项目档案!$H$6:$H$255,MATCH($C1115,项目档案!$A$6:$A$255,0)),""),"我方","—"))))</f>
        <v/>
      </c>
      <c r="O1115" s="36" t="n">
        <f aca="false">IF($D1115&lt;&gt;"销项开票",0,ROUND(N($H1115)*N($I1115),2))</f>
        <v>0</v>
      </c>
      <c r="P1115" s="36" t="n">
        <f aca="false">IF($D1115&lt;&gt;"销项开票",0,ROUND(N($H1115)-$O1115,2))</f>
        <v>0</v>
      </c>
      <c r="Q1115" s="37" t="str">
        <f aca="false">IF($E1115="","",N(IFERROR(INDEX(单位档案!$E$6:$E$35,MATCH($E1115,单位档案!$A$6:$A$35,0)),"")))</f>
        <v/>
      </c>
      <c r="R1115" s="37" t="str">
        <f aca="false">IF($E1115="","",N(IFERROR(INDEX(单位档案!$F$6:$F$35,MATCH($E1115,单位档案!$A$6:$A$35,0)),"")))</f>
        <v/>
      </c>
      <c r="S1115" s="36" t="n">
        <f aca="false">IF(OR($D1115&lt;&gt;"销项开票",IFERROR(INDEX(单位档案!$G$6:$G$35,MATCH($E1115,单位档案!$A$6:$A$35,0)),"")&lt;&gt;"是",N($Q1115)=0),0,IF(IFERROR(INDEX(单位档案!$H$6:$H$35,MATCH($E1115,单位档案!$A$6:$A$35,0)),"")="税差法",ROUND(N($H1115)/(1+$Q1115)*$Q1115-IF(N($R1115)=0,0,$P1115/(1+$R1115)*$R1115),2),ROUND(N($H1115)/(1+$Q1115)*$Q1115,2)))</f>
        <v>0</v>
      </c>
      <c r="T1115" s="36" t="n">
        <f aca="false">ROUND($S1115*N(IFERROR(INDEX(单位档案!$J$6:$J$35,MATCH($E1115,单位档案!$A$6:$A$35,0)),"")),2)</f>
        <v>0</v>
      </c>
      <c r="U1115" s="36" t="n">
        <f aca="false">IF($D1115&lt;&gt;"销项开票",0,ROUND(N($H1115)*N(IFERROR(INDEX(单位档案!$K$6:$K$35,MATCH($E1115,单位档案!$A$6:$A$35,0)),"")),2))</f>
        <v>0</v>
      </c>
      <c r="V1115" s="36" t="n">
        <f aca="false">IF(OR($D1115&lt;&gt;"销项开票",N($Q1115)=0),0,ROUND(N($H1115)/(1+$Q1115)*N(IFERROR(INDEX(单位档案!$L$6:$L$35,MATCH($E1115,单位档案!$A$6:$A$35,0)),"")),2))</f>
        <v>0</v>
      </c>
      <c r="W1115" s="36" t="n">
        <f aca="false">ROUND($S1115+$T1115+$U1115+$V1115,2)</f>
        <v>0</v>
      </c>
      <c r="X1115" s="35" t="str">
        <f aca="false">IF(OR($D1115="挂靠代收",$D1115="我方收款"),COUNTIFS($D$5:$D1115,"挂靠代收")+COUNTIFS($D$5:$D1115,"我方收款"),"")</f>
        <v/>
      </c>
      <c r="Y1115" s="35"/>
      <c r="Z1115" s="21" t="s">
        <v>111</v>
      </c>
    </row>
    <row r="1116" customFormat="false" ht="15.75" hidden="false" customHeight="true" outlineLevel="0" collapsed="false">
      <c r="A1116" s="32" t="str">
        <f aca="false">IF($B1116="","",ROW()-4)</f>
        <v/>
      </c>
      <c r="B1116" s="26"/>
      <c r="C1116" s="24"/>
      <c r="D1116" s="21"/>
      <c r="E1116" s="21"/>
      <c r="F1116" s="21"/>
      <c r="G1116" s="21"/>
      <c r="H1116" s="27"/>
      <c r="I1116" s="23" t="str">
        <f aca="false">IF($D1116&lt;&gt;"销项开票","",IF($N1116="一级",IF(IFERROR(INDEX(项目档案!$E$6:$E$255,MATCH($C1116,项目档案!$A$6:$A$255,0)),"")="",N(IFERROR(INDEX(单位档案!$D$6:$D$35,MATCH($E1116,单位档案!$A$6:$A$35,0)),"")),IFERROR(INDEX(项目档案!$E$6:$E$255,MATCH($C1116,项目档案!$A$6:$A$255,0)),"")),IF($N1116="二级",IF(IFERROR(INDEX(项目档案!$G$6:$G$255,MATCH($C1116,项目档案!$A$6:$A$255,0)),"")="",N(IFERROR(INDEX(单位档案!$D$6:$D$35,MATCH($E1116,单位档案!$A$6:$A$35,0)),"")),IFERROR(INDEX(项目档案!$G$6:$G$255,MATCH($C1116,项目档案!$A$6:$A$255,0)),"")),N(IFERROR(INDEX(单位档案!$D$6:$D$35,MATCH($E1116,单位档案!$A$6:$A$35,0)),"")))))</f>
        <v/>
      </c>
      <c r="J1116" s="22"/>
      <c r="K1116" s="22"/>
      <c r="L1116" s="33" t="str">
        <f aca="false">IF($B1116="","",IF(NOT(ISNUMBER($B1116)),"日期格式不对",IF($C1116="","未选项目编号",IF(LEFT($M1116,1)="⚠","项目编号不存在",IF($D1116="","未选业务类型",IF($E1116="","未选开票/付款方",IF(ISNA(MATCH($E1116,单位档案!$A$6:$A$35,0)),"开票方不在单位档案",IF($F1116="","未选收票/收款方",IF(ISNA(MATCH($F1116,单位档案!$A$6:$A$35,0)),"收款方不在单位档案",IF(NOT(ISNUMBER($H1116)),"金额须为数字",IF(AND($D1116="销项开票",$N1116="—"),"链条待确认","√")))))))))))</f>
        <v/>
      </c>
      <c r="M1116" s="34" t="str">
        <f aca="false">IF($C1116="","",IFERROR(INDEX(项目档案!$B$6:$B$255,MATCH($C1116,项目档案!$A$6:$A$255,0)),"⚠项目编号不存在"))</f>
        <v/>
      </c>
      <c r="N1116" s="35" t="str">
        <f aca="false">IF($E1116="","",IF($E1116=IFERROR(INDEX(项目档案!$D$6:$D$255,MATCH($C1116,项目档案!$A$6:$A$255,0)),""),"一级",IF($E1116=IFERROR(INDEX(项目档案!$F$6:$F$255,MATCH($C1116,项目档案!$A$6:$A$255,0)),""),"二级",IF($E1116=IFERROR(INDEX(项目档案!$H$6:$H$255,MATCH($C1116,项目档案!$A$6:$A$255,0)),""),"我方","—"))))</f>
        <v/>
      </c>
      <c r="O1116" s="36" t="n">
        <f aca="false">IF($D1116&lt;&gt;"销项开票",0,ROUND(N($H1116)*N($I1116),2))</f>
        <v>0</v>
      </c>
      <c r="P1116" s="36" t="n">
        <f aca="false">IF($D1116&lt;&gt;"销项开票",0,ROUND(N($H1116)-$O1116,2))</f>
        <v>0</v>
      </c>
      <c r="Q1116" s="37" t="str">
        <f aca="false">IF($E1116="","",N(IFERROR(INDEX(单位档案!$E$6:$E$35,MATCH($E1116,单位档案!$A$6:$A$35,0)),"")))</f>
        <v/>
      </c>
      <c r="R1116" s="37" t="str">
        <f aca="false">IF($E1116="","",N(IFERROR(INDEX(单位档案!$F$6:$F$35,MATCH($E1116,单位档案!$A$6:$A$35,0)),"")))</f>
        <v/>
      </c>
      <c r="S1116" s="36" t="n">
        <f aca="false">IF(OR($D1116&lt;&gt;"销项开票",IFERROR(INDEX(单位档案!$G$6:$G$35,MATCH($E1116,单位档案!$A$6:$A$35,0)),"")&lt;&gt;"是",N($Q1116)=0),0,IF(IFERROR(INDEX(单位档案!$H$6:$H$35,MATCH($E1116,单位档案!$A$6:$A$35,0)),"")="税差法",ROUND(N($H1116)/(1+$Q1116)*$Q1116-IF(N($R1116)=0,0,$P1116/(1+$R1116)*$R1116),2),ROUND(N($H1116)/(1+$Q1116)*$Q1116,2)))</f>
        <v>0</v>
      </c>
      <c r="T1116" s="36" t="n">
        <f aca="false">ROUND($S1116*N(IFERROR(INDEX(单位档案!$J$6:$J$35,MATCH($E1116,单位档案!$A$6:$A$35,0)),"")),2)</f>
        <v>0</v>
      </c>
      <c r="U1116" s="36" t="n">
        <f aca="false">IF($D1116&lt;&gt;"销项开票",0,ROUND(N($H1116)*N(IFERROR(INDEX(单位档案!$K$6:$K$35,MATCH($E1116,单位档案!$A$6:$A$35,0)),"")),2))</f>
        <v>0</v>
      </c>
      <c r="V1116" s="36" t="n">
        <f aca="false">IF(OR($D1116&lt;&gt;"销项开票",N($Q1116)=0),0,ROUND(N($H1116)/(1+$Q1116)*N(IFERROR(INDEX(单位档案!$L$6:$L$35,MATCH($E1116,单位档案!$A$6:$A$35,0)),"")),2))</f>
        <v>0</v>
      </c>
      <c r="W1116" s="36" t="n">
        <f aca="false">ROUND($S1116+$T1116+$U1116+$V1116,2)</f>
        <v>0</v>
      </c>
      <c r="X1116" s="35" t="str">
        <f aca="false">IF(OR($D1116="挂靠代收",$D1116="我方收款"),COUNTIFS($D$5:$D1116,"挂靠代收")+COUNTIFS($D$5:$D1116,"我方收款"),"")</f>
        <v/>
      </c>
      <c r="Y1116" s="35"/>
      <c r="Z1116" s="21" t="s">
        <v>111</v>
      </c>
    </row>
    <row r="1117" customFormat="false" ht="15.75" hidden="false" customHeight="true" outlineLevel="0" collapsed="false">
      <c r="A1117" s="32" t="str">
        <f aca="false">IF($B1117="","",ROW()-4)</f>
        <v/>
      </c>
      <c r="B1117" s="26"/>
      <c r="C1117" s="24"/>
      <c r="D1117" s="21"/>
      <c r="E1117" s="21"/>
      <c r="F1117" s="21"/>
      <c r="G1117" s="21"/>
      <c r="H1117" s="27"/>
      <c r="I1117" s="23" t="str">
        <f aca="false">IF($D1117&lt;&gt;"销项开票","",IF($N1117="一级",IF(IFERROR(INDEX(项目档案!$E$6:$E$255,MATCH($C1117,项目档案!$A$6:$A$255,0)),"")="",N(IFERROR(INDEX(单位档案!$D$6:$D$35,MATCH($E1117,单位档案!$A$6:$A$35,0)),"")),IFERROR(INDEX(项目档案!$E$6:$E$255,MATCH($C1117,项目档案!$A$6:$A$255,0)),"")),IF($N1117="二级",IF(IFERROR(INDEX(项目档案!$G$6:$G$255,MATCH($C1117,项目档案!$A$6:$A$255,0)),"")="",N(IFERROR(INDEX(单位档案!$D$6:$D$35,MATCH($E1117,单位档案!$A$6:$A$35,0)),"")),IFERROR(INDEX(项目档案!$G$6:$G$255,MATCH($C1117,项目档案!$A$6:$A$255,0)),"")),N(IFERROR(INDEX(单位档案!$D$6:$D$35,MATCH($E1117,单位档案!$A$6:$A$35,0)),"")))))</f>
        <v/>
      </c>
      <c r="J1117" s="22"/>
      <c r="K1117" s="22"/>
      <c r="L1117" s="33" t="str">
        <f aca="false">IF($B1117="","",IF(NOT(ISNUMBER($B1117)),"日期格式不对",IF($C1117="","未选项目编号",IF(LEFT($M1117,1)="⚠","项目编号不存在",IF($D1117="","未选业务类型",IF($E1117="","未选开票/付款方",IF(ISNA(MATCH($E1117,单位档案!$A$6:$A$35,0)),"开票方不在单位档案",IF($F1117="","未选收票/收款方",IF(ISNA(MATCH($F1117,单位档案!$A$6:$A$35,0)),"收款方不在单位档案",IF(NOT(ISNUMBER($H1117)),"金额须为数字",IF(AND($D1117="销项开票",$N1117="—"),"链条待确认","√")))))))))))</f>
        <v/>
      </c>
      <c r="M1117" s="34" t="str">
        <f aca="false">IF($C1117="","",IFERROR(INDEX(项目档案!$B$6:$B$255,MATCH($C1117,项目档案!$A$6:$A$255,0)),"⚠项目编号不存在"))</f>
        <v/>
      </c>
      <c r="N1117" s="35" t="str">
        <f aca="false">IF($E1117="","",IF($E1117=IFERROR(INDEX(项目档案!$D$6:$D$255,MATCH($C1117,项目档案!$A$6:$A$255,0)),""),"一级",IF($E1117=IFERROR(INDEX(项目档案!$F$6:$F$255,MATCH($C1117,项目档案!$A$6:$A$255,0)),""),"二级",IF($E1117=IFERROR(INDEX(项目档案!$H$6:$H$255,MATCH($C1117,项目档案!$A$6:$A$255,0)),""),"我方","—"))))</f>
        <v/>
      </c>
      <c r="O1117" s="36" t="n">
        <f aca="false">IF($D1117&lt;&gt;"销项开票",0,ROUND(N($H1117)*N($I1117),2))</f>
        <v>0</v>
      </c>
      <c r="P1117" s="36" t="n">
        <f aca="false">IF($D1117&lt;&gt;"销项开票",0,ROUND(N($H1117)-$O1117,2))</f>
        <v>0</v>
      </c>
      <c r="Q1117" s="37" t="str">
        <f aca="false">IF($E1117="","",N(IFERROR(INDEX(单位档案!$E$6:$E$35,MATCH($E1117,单位档案!$A$6:$A$35,0)),"")))</f>
        <v/>
      </c>
      <c r="R1117" s="37" t="str">
        <f aca="false">IF($E1117="","",N(IFERROR(INDEX(单位档案!$F$6:$F$35,MATCH($E1117,单位档案!$A$6:$A$35,0)),"")))</f>
        <v/>
      </c>
      <c r="S1117" s="36" t="n">
        <f aca="false">IF(OR($D1117&lt;&gt;"销项开票",IFERROR(INDEX(单位档案!$G$6:$G$35,MATCH($E1117,单位档案!$A$6:$A$35,0)),"")&lt;&gt;"是",N($Q1117)=0),0,IF(IFERROR(INDEX(单位档案!$H$6:$H$35,MATCH($E1117,单位档案!$A$6:$A$35,0)),"")="税差法",ROUND(N($H1117)/(1+$Q1117)*$Q1117-IF(N($R1117)=0,0,$P1117/(1+$R1117)*$R1117),2),ROUND(N($H1117)/(1+$Q1117)*$Q1117,2)))</f>
        <v>0</v>
      </c>
      <c r="T1117" s="36" t="n">
        <f aca="false">ROUND($S1117*N(IFERROR(INDEX(单位档案!$J$6:$J$35,MATCH($E1117,单位档案!$A$6:$A$35,0)),"")),2)</f>
        <v>0</v>
      </c>
      <c r="U1117" s="36" t="n">
        <f aca="false">IF($D1117&lt;&gt;"销项开票",0,ROUND(N($H1117)*N(IFERROR(INDEX(单位档案!$K$6:$K$35,MATCH($E1117,单位档案!$A$6:$A$35,0)),"")),2))</f>
        <v>0</v>
      </c>
      <c r="V1117" s="36" t="n">
        <f aca="false">IF(OR($D1117&lt;&gt;"销项开票",N($Q1117)=0),0,ROUND(N($H1117)/(1+$Q1117)*N(IFERROR(INDEX(单位档案!$L$6:$L$35,MATCH($E1117,单位档案!$A$6:$A$35,0)),"")),2))</f>
        <v>0</v>
      </c>
      <c r="W1117" s="36" t="n">
        <f aca="false">ROUND($S1117+$T1117+$U1117+$V1117,2)</f>
        <v>0</v>
      </c>
      <c r="X1117" s="35" t="str">
        <f aca="false">IF(OR($D1117="挂靠代收",$D1117="我方收款"),COUNTIFS($D$5:$D1117,"挂靠代收")+COUNTIFS($D$5:$D1117,"我方收款"),"")</f>
        <v/>
      </c>
      <c r="Y1117" s="35"/>
      <c r="Z1117" s="21" t="s">
        <v>111</v>
      </c>
    </row>
    <row r="1118" customFormat="false" ht="15.75" hidden="false" customHeight="true" outlineLevel="0" collapsed="false">
      <c r="A1118" s="32" t="str">
        <f aca="false">IF($B1118="","",ROW()-4)</f>
        <v/>
      </c>
      <c r="B1118" s="26"/>
      <c r="C1118" s="24"/>
      <c r="D1118" s="21"/>
      <c r="E1118" s="21"/>
      <c r="F1118" s="21"/>
      <c r="G1118" s="21"/>
      <c r="H1118" s="27"/>
      <c r="I1118" s="23" t="str">
        <f aca="false">IF($D1118&lt;&gt;"销项开票","",IF($N1118="一级",IF(IFERROR(INDEX(项目档案!$E$6:$E$255,MATCH($C1118,项目档案!$A$6:$A$255,0)),"")="",N(IFERROR(INDEX(单位档案!$D$6:$D$35,MATCH($E1118,单位档案!$A$6:$A$35,0)),"")),IFERROR(INDEX(项目档案!$E$6:$E$255,MATCH($C1118,项目档案!$A$6:$A$255,0)),"")),IF($N1118="二级",IF(IFERROR(INDEX(项目档案!$G$6:$G$255,MATCH($C1118,项目档案!$A$6:$A$255,0)),"")="",N(IFERROR(INDEX(单位档案!$D$6:$D$35,MATCH($E1118,单位档案!$A$6:$A$35,0)),"")),IFERROR(INDEX(项目档案!$G$6:$G$255,MATCH($C1118,项目档案!$A$6:$A$255,0)),"")),N(IFERROR(INDEX(单位档案!$D$6:$D$35,MATCH($E1118,单位档案!$A$6:$A$35,0)),"")))))</f>
        <v/>
      </c>
      <c r="J1118" s="22"/>
      <c r="K1118" s="22"/>
      <c r="L1118" s="33" t="str">
        <f aca="false">IF($B1118="","",IF(NOT(ISNUMBER($B1118)),"日期格式不对",IF($C1118="","未选项目编号",IF(LEFT($M1118,1)="⚠","项目编号不存在",IF($D1118="","未选业务类型",IF($E1118="","未选开票/付款方",IF(ISNA(MATCH($E1118,单位档案!$A$6:$A$35,0)),"开票方不在单位档案",IF($F1118="","未选收票/收款方",IF(ISNA(MATCH($F1118,单位档案!$A$6:$A$35,0)),"收款方不在单位档案",IF(NOT(ISNUMBER($H1118)),"金额须为数字",IF(AND($D1118="销项开票",$N1118="—"),"链条待确认","√")))))))))))</f>
        <v/>
      </c>
      <c r="M1118" s="34" t="str">
        <f aca="false">IF($C1118="","",IFERROR(INDEX(项目档案!$B$6:$B$255,MATCH($C1118,项目档案!$A$6:$A$255,0)),"⚠项目编号不存在"))</f>
        <v/>
      </c>
      <c r="N1118" s="35" t="str">
        <f aca="false">IF($E1118="","",IF($E1118=IFERROR(INDEX(项目档案!$D$6:$D$255,MATCH($C1118,项目档案!$A$6:$A$255,0)),""),"一级",IF($E1118=IFERROR(INDEX(项目档案!$F$6:$F$255,MATCH($C1118,项目档案!$A$6:$A$255,0)),""),"二级",IF($E1118=IFERROR(INDEX(项目档案!$H$6:$H$255,MATCH($C1118,项目档案!$A$6:$A$255,0)),""),"我方","—"))))</f>
        <v/>
      </c>
      <c r="O1118" s="36" t="n">
        <f aca="false">IF($D1118&lt;&gt;"销项开票",0,ROUND(N($H1118)*N($I1118),2))</f>
        <v>0</v>
      </c>
      <c r="P1118" s="36" t="n">
        <f aca="false">IF($D1118&lt;&gt;"销项开票",0,ROUND(N($H1118)-$O1118,2))</f>
        <v>0</v>
      </c>
      <c r="Q1118" s="37" t="str">
        <f aca="false">IF($E1118="","",N(IFERROR(INDEX(单位档案!$E$6:$E$35,MATCH($E1118,单位档案!$A$6:$A$35,0)),"")))</f>
        <v/>
      </c>
      <c r="R1118" s="37" t="str">
        <f aca="false">IF($E1118="","",N(IFERROR(INDEX(单位档案!$F$6:$F$35,MATCH($E1118,单位档案!$A$6:$A$35,0)),"")))</f>
        <v/>
      </c>
      <c r="S1118" s="36" t="n">
        <f aca="false">IF(OR($D1118&lt;&gt;"销项开票",IFERROR(INDEX(单位档案!$G$6:$G$35,MATCH($E1118,单位档案!$A$6:$A$35,0)),"")&lt;&gt;"是",N($Q1118)=0),0,IF(IFERROR(INDEX(单位档案!$H$6:$H$35,MATCH($E1118,单位档案!$A$6:$A$35,0)),"")="税差法",ROUND(N($H1118)/(1+$Q1118)*$Q1118-IF(N($R1118)=0,0,$P1118/(1+$R1118)*$R1118),2),ROUND(N($H1118)/(1+$Q1118)*$Q1118,2)))</f>
        <v>0</v>
      </c>
      <c r="T1118" s="36" t="n">
        <f aca="false">ROUND($S1118*N(IFERROR(INDEX(单位档案!$J$6:$J$35,MATCH($E1118,单位档案!$A$6:$A$35,0)),"")),2)</f>
        <v>0</v>
      </c>
      <c r="U1118" s="36" t="n">
        <f aca="false">IF($D1118&lt;&gt;"销项开票",0,ROUND(N($H1118)*N(IFERROR(INDEX(单位档案!$K$6:$K$35,MATCH($E1118,单位档案!$A$6:$A$35,0)),"")),2))</f>
        <v>0</v>
      </c>
      <c r="V1118" s="36" t="n">
        <f aca="false">IF(OR($D1118&lt;&gt;"销项开票",N($Q1118)=0),0,ROUND(N($H1118)/(1+$Q1118)*N(IFERROR(INDEX(单位档案!$L$6:$L$35,MATCH($E1118,单位档案!$A$6:$A$35,0)),"")),2))</f>
        <v>0</v>
      </c>
      <c r="W1118" s="36" t="n">
        <f aca="false">ROUND($S1118+$T1118+$U1118+$V1118,2)</f>
        <v>0</v>
      </c>
      <c r="X1118" s="35" t="str">
        <f aca="false">IF(OR($D1118="挂靠代收",$D1118="我方收款"),COUNTIFS($D$5:$D1118,"挂靠代收")+COUNTIFS($D$5:$D1118,"我方收款"),"")</f>
        <v/>
      </c>
      <c r="Y1118" s="35"/>
      <c r="Z1118" s="21" t="s">
        <v>111</v>
      </c>
    </row>
    <row r="1119" customFormat="false" ht="15.75" hidden="false" customHeight="true" outlineLevel="0" collapsed="false">
      <c r="A1119" s="32" t="str">
        <f aca="false">IF($B1119="","",ROW()-4)</f>
        <v/>
      </c>
      <c r="B1119" s="26"/>
      <c r="C1119" s="24"/>
      <c r="D1119" s="21"/>
      <c r="E1119" s="21"/>
      <c r="F1119" s="21"/>
      <c r="G1119" s="21"/>
      <c r="H1119" s="27"/>
      <c r="I1119" s="23" t="str">
        <f aca="false">IF($D1119&lt;&gt;"销项开票","",IF($N1119="一级",IF(IFERROR(INDEX(项目档案!$E$6:$E$255,MATCH($C1119,项目档案!$A$6:$A$255,0)),"")="",N(IFERROR(INDEX(单位档案!$D$6:$D$35,MATCH($E1119,单位档案!$A$6:$A$35,0)),"")),IFERROR(INDEX(项目档案!$E$6:$E$255,MATCH($C1119,项目档案!$A$6:$A$255,0)),"")),IF($N1119="二级",IF(IFERROR(INDEX(项目档案!$G$6:$G$255,MATCH($C1119,项目档案!$A$6:$A$255,0)),"")="",N(IFERROR(INDEX(单位档案!$D$6:$D$35,MATCH($E1119,单位档案!$A$6:$A$35,0)),"")),IFERROR(INDEX(项目档案!$G$6:$G$255,MATCH($C1119,项目档案!$A$6:$A$255,0)),"")),N(IFERROR(INDEX(单位档案!$D$6:$D$35,MATCH($E1119,单位档案!$A$6:$A$35,0)),"")))))</f>
        <v/>
      </c>
      <c r="J1119" s="22"/>
      <c r="K1119" s="22"/>
      <c r="L1119" s="33" t="str">
        <f aca="false">IF($B1119="","",IF(NOT(ISNUMBER($B1119)),"日期格式不对",IF($C1119="","未选项目编号",IF(LEFT($M1119,1)="⚠","项目编号不存在",IF($D1119="","未选业务类型",IF($E1119="","未选开票/付款方",IF(ISNA(MATCH($E1119,单位档案!$A$6:$A$35,0)),"开票方不在单位档案",IF($F1119="","未选收票/收款方",IF(ISNA(MATCH($F1119,单位档案!$A$6:$A$35,0)),"收款方不在单位档案",IF(NOT(ISNUMBER($H1119)),"金额须为数字",IF(AND($D1119="销项开票",$N1119="—"),"链条待确认","√")))))))))))</f>
        <v/>
      </c>
      <c r="M1119" s="34" t="str">
        <f aca="false">IF($C1119="","",IFERROR(INDEX(项目档案!$B$6:$B$255,MATCH($C1119,项目档案!$A$6:$A$255,0)),"⚠项目编号不存在"))</f>
        <v/>
      </c>
      <c r="N1119" s="35" t="str">
        <f aca="false">IF($E1119="","",IF($E1119=IFERROR(INDEX(项目档案!$D$6:$D$255,MATCH($C1119,项目档案!$A$6:$A$255,0)),""),"一级",IF($E1119=IFERROR(INDEX(项目档案!$F$6:$F$255,MATCH($C1119,项目档案!$A$6:$A$255,0)),""),"二级",IF($E1119=IFERROR(INDEX(项目档案!$H$6:$H$255,MATCH($C1119,项目档案!$A$6:$A$255,0)),""),"我方","—"))))</f>
        <v/>
      </c>
      <c r="O1119" s="36" t="n">
        <f aca="false">IF($D1119&lt;&gt;"销项开票",0,ROUND(N($H1119)*N($I1119),2))</f>
        <v>0</v>
      </c>
      <c r="P1119" s="36" t="n">
        <f aca="false">IF($D1119&lt;&gt;"销项开票",0,ROUND(N($H1119)-$O1119,2))</f>
        <v>0</v>
      </c>
      <c r="Q1119" s="37" t="str">
        <f aca="false">IF($E1119="","",N(IFERROR(INDEX(单位档案!$E$6:$E$35,MATCH($E1119,单位档案!$A$6:$A$35,0)),"")))</f>
        <v/>
      </c>
      <c r="R1119" s="37" t="str">
        <f aca="false">IF($E1119="","",N(IFERROR(INDEX(单位档案!$F$6:$F$35,MATCH($E1119,单位档案!$A$6:$A$35,0)),"")))</f>
        <v/>
      </c>
      <c r="S1119" s="36" t="n">
        <f aca="false">IF(OR($D1119&lt;&gt;"销项开票",IFERROR(INDEX(单位档案!$G$6:$G$35,MATCH($E1119,单位档案!$A$6:$A$35,0)),"")&lt;&gt;"是",N($Q1119)=0),0,IF(IFERROR(INDEX(单位档案!$H$6:$H$35,MATCH($E1119,单位档案!$A$6:$A$35,0)),"")="税差法",ROUND(N($H1119)/(1+$Q1119)*$Q1119-IF(N($R1119)=0,0,$P1119/(1+$R1119)*$R1119),2),ROUND(N($H1119)/(1+$Q1119)*$Q1119,2)))</f>
        <v>0</v>
      </c>
      <c r="T1119" s="36" t="n">
        <f aca="false">ROUND($S1119*N(IFERROR(INDEX(单位档案!$J$6:$J$35,MATCH($E1119,单位档案!$A$6:$A$35,0)),"")),2)</f>
        <v>0</v>
      </c>
      <c r="U1119" s="36" t="n">
        <f aca="false">IF($D1119&lt;&gt;"销项开票",0,ROUND(N($H1119)*N(IFERROR(INDEX(单位档案!$K$6:$K$35,MATCH($E1119,单位档案!$A$6:$A$35,0)),"")),2))</f>
        <v>0</v>
      </c>
      <c r="V1119" s="36" t="n">
        <f aca="false">IF(OR($D1119&lt;&gt;"销项开票",N($Q1119)=0),0,ROUND(N($H1119)/(1+$Q1119)*N(IFERROR(INDEX(单位档案!$L$6:$L$35,MATCH($E1119,单位档案!$A$6:$A$35,0)),"")),2))</f>
        <v>0</v>
      </c>
      <c r="W1119" s="36" t="n">
        <f aca="false">ROUND($S1119+$T1119+$U1119+$V1119,2)</f>
        <v>0</v>
      </c>
      <c r="X1119" s="35" t="str">
        <f aca="false">IF(OR($D1119="挂靠代收",$D1119="我方收款"),COUNTIFS($D$5:$D1119,"挂靠代收")+COUNTIFS($D$5:$D1119,"我方收款"),"")</f>
        <v/>
      </c>
      <c r="Y1119" s="35"/>
      <c r="Z1119" s="21" t="s">
        <v>111</v>
      </c>
    </row>
    <row r="1120" customFormat="false" ht="15.75" hidden="false" customHeight="true" outlineLevel="0" collapsed="false">
      <c r="A1120" s="32" t="str">
        <f aca="false">IF($B1120="","",ROW()-4)</f>
        <v/>
      </c>
      <c r="B1120" s="26"/>
      <c r="C1120" s="24"/>
      <c r="D1120" s="21"/>
      <c r="E1120" s="21"/>
      <c r="F1120" s="21"/>
      <c r="G1120" s="21"/>
      <c r="H1120" s="27"/>
      <c r="I1120" s="23" t="str">
        <f aca="false">IF($D1120&lt;&gt;"销项开票","",IF($N1120="一级",IF(IFERROR(INDEX(项目档案!$E$6:$E$255,MATCH($C1120,项目档案!$A$6:$A$255,0)),"")="",N(IFERROR(INDEX(单位档案!$D$6:$D$35,MATCH($E1120,单位档案!$A$6:$A$35,0)),"")),IFERROR(INDEX(项目档案!$E$6:$E$255,MATCH($C1120,项目档案!$A$6:$A$255,0)),"")),IF($N1120="二级",IF(IFERROR(INDEX(项目档案!$G$6:$G$255,MATCH($C1120,项目档案!$A$6:$A$255,0)),"")="",N(IFERROR(INDEX(单位档案!$D$6:$D$35,MATCH($E1120,单位档案!$A$6:$A$35,0)),"")),IFERROR(INDEX(项目档案!$G$6:$G$255,MATCH($C1120,项目档案!$A$6:$A$255,0)),"")),N(IFERROR(INDEX(单位档案!$D$6:$D$35,MATCH($E1120,单位档案!$A$6:$A$35,0)),"")))))</f>
        <v/>
      </c>
      <c r="J1120" s="22"/>
      <c r="K1120" s="22"/>
      <c r="L1120" s="33" t="str">
        <f aca="false">IF($B1120="","",IF(NOT(ISNUMBER($B1120)),"日期格式不对",IF($C1120="","未选项目编号",IF(LEFT($M1120,1)="⚠","项目编号不存在",IF($D1120="","未选业务类型",IF($E1120="","未选开票/付款方",IF(ISNA(MATCH($E1120,单位档案!$A$6:$A$35,0)),"开票方不在单位档案",IF($F1120="","未选收票/收款方",IF(ISNA(MATCH($F1120,单位档案!$A$6:$A$35,0)),"收款方不在单位档案",IF(NOT(ISNUMBER($H1120)),"金额须为数字",IF(AND($D1120="销项开票",$N1120="—"),"链条待确认","√")))))))))))</f>
        <v/>
      </c>
      <c r="M1120" s="34" t="str">
        <f aca="false">IF($C1120="","",IFERROR(INDEX(项目档案!$B$6:$B$255,MATCH($C1120,项目档案!$A$6:$A$255,0)),"⚠项目编号不存在"))</f>
        <v/>
      </c>
      <c r="N1120" s="35" t="str">
        <f aca="false">IF($E1120="","",IF($E1120=IFERROR(INDEX(项目档案!$D$6:$D$255,MATCH($C1120,项目档案!$A$6:$A$255,0)),""),"一级",IF($E1120=IFERROR(INDEX(项目档案!$F$6:$F$255,MATCH($C1120,项目档案!$A$6:$A$255,0)),""),"二级",IF($E1120=IFERROR(INDEX(项目档案!$H$6:$H$255,MATCH($C1120,项目档案!$A$6:$A$255,0)),""),"我方","—"))))</f>
        <v/>
      </c>
      <c r="O1120" s="36" t="n">
        <f aca="false">IF($D1120&lt;&gt;"销项开票",0,ROUND(N($H1120)*N($I1120),2))</f>
        <v>0</v>
      </c>
      <c r="P1120" s="36" t="n">
        <f aca="false">IF($D1120&lt;&gt;"销项开票",0,ROUND(N($H1120)-$O1120,2))</f>
        <v>0</v>
      </c>
      <c r="Q1120" s="37" t="str">
        <f aca="false">IF($E1120="","",N(IFERROR(INDEX(单位档案!$E$6:$E$35,MATCH($E1120,单位档案!$A$6:$A$35,0)),"")))</f>
        <v/>
      </c>
      <c r="R1120" s="37" t="str">
        <f aca="false">IF($E1120="","",N(IFERROR(INDEX(单位档案!$F$6:$F$35,MATCH($E1120,单位档案!$A$6:$A$35,0)),"")))</f>
        <v/>
      </c>
      <c r="S1120" s="36" t="n">
        <f aca="false">IF(OR($D1120&lt;&gt;"销项开票",IFERROR(INDEX(单位档案!$G$6:$G$35,MATCH($E1120,单位档案!$A$6:$A$35,0)),"")&lt;&gt;"是",N($Q1120)=0),0,IF(IFERROR(INDEX(单位档案!$H$6:$H$35,MATCH($E1120,单位档案!$A$6:$A$35,0)),"")="税差法",ROUND(N($H1120)/(1+$Q1120)*$Q1120-IF(N($R1120)=0,0,$P1120/(1+$R1120)*$R1120),2),ROUND(N($H1120)/(1+$Q1120)*$Q1120,2)))</f>
        <v>0</v>
      </c>
      <c r="T1120" s="36" t="n">
        <f aca="false">ROUND($S1120*N(IFERROR(INDEX(单位档案!$J$6:$J$35,MATCH($E1120,单位档案!$A$6:$A$35,0)),"")),2)</f>
        <v>0</v>
      </c>
      <c r="U1120" s="36" t="n">
        <f aca="false">IF($D1120&lt;&gt;"销项开票",0,ROUND(N($H1120)*N(IFERROR(INDEX(单位档案!$K$6:$K$35,MATCH($E1120,单位档案!$A$6:$A$35,0)),"")),2))</f>
        <v>0</v>
      </c>
      <c r="V1120" s="36" t="n">
        <f aca="false">IF(OR($D1120&lt;&gt;"销项开票",N($Q1120)=0),0,ROUND(N($H1120)/(1+$Q1120)*N(IFERROR(INDEX(单位档案!$L$6:$L$35,MATCH($E1120,单位档案!$A$6:$A$35,0)),"")),2))</f>
        <v>0</v>
      </c>
      <c r="W1120" s="36" t="n">
        <f aca="false">ROUND($S1120+$T1120+$U1120+$V1120,2)</f>
        <v>0</v>
      </c>
      <c r="X1120" s="35" t="str">
        <f aca="false">IF(OR($D1120="挂靠代收",$D1120="我方收款"),COUNTIFS($D$5:$D1120,"挂靠代收")+COUNTIFS($D$5:$D1120,"我方收款"),"")</f>
        <v/>
      </c>
      <c r="Y1120" s="35"/>
      <c r="Z1120" s="21" t="s">
        <v>111</v>
      </c>
    </row>
    <row r="1121" customFormat="false" ht="15.75" hidden="false" customHeight="true" outlineLevel="0" collapsed="false">
      <c r="A1121" s="32" t="str">
        <f aca="false">IF($B1121="","",ROW()-4)</f>
        <v/>
      </c>
      <c r="B1121" s="26"/>
      <c r="C1121" s="24"/>
      <c r="D1121" s="21"/>
      <c r="E1121" s="21"/>
      <c r="F1121" s="21"/>
      <c r="G1121" s="21"/>
      <c r="H1121" s="27"/>
      <c r="I1121" s="23" t="str">
        <f aca="false">IF($D1121&lt;&gt;"销项开票","",IF($N1121="一级",IF(IFERROR(INDEX(项目档案!$E$6:$E$255,MATCH($C1121,项目档案!$A$6:$A$255,0)),"")="",N(IFERROR(INDEX(单位档案!$D$6:$D$35,MATCH($E1121,单位档案!$A$6:$A$35,0)),"")),IFERROR(INDEX(项目档案!$E$6:$E$255,MATCH($C1121,项目档案!$A$6:$A$255,0)),"")),IF($N1121="二级",IF(IFERROR(INDEX(项目档案!$G$6:$G$255,MATCH($C1121,项目档案!$A$6:$A$255,0)),"")="",N(IFERROR(INDEX(单位档案!$D$6:$D$35,MATCH($E1121,单位档案!$A$6:$A$35,0)),"")),IFERROR(INDEX(项目档案!$G$6:$G$255,MATCH($C1121,项目档案!$A$6:$A$255,0)),"")),N(IFERROR(INDEX(单位档案!$D$6:$D$35,MATCH($E1121,单位档案!$A$6:$A$35,0)),"")))))</f>
        <v/>
      </c>
      <c r="J1121" s="22"/>
      <c r="K1121" s="22"/>
      <c r="L1121" s="33" t="str">
        <f aca="false">IF($B1121="","",IF(NOT(ISNUMBER($B1121)),"日期格式不对",IF($C1121="","未选项目编号",IF(LEFT($M1121,1)="⚠","项目编号不存在",IF($D1121="","未选业务类型",IF($E1121="","未选开票/付款方",IF(ISNA(MATCH($E1121,单位档案!$A$6:$A$35,0)),"开票方不在单位档案",IF($F1121="","未选收票/收款方",IF(ISNA(MATCH($F1121,单位档案!$A$6:$A$35,0)),"收款方不在单位档案",IF(NOT(ISNUMBER($H1121)),"金额须为数字",IF(AND($D1121="销项开票",$N1121="—"),"链条待确认","√")))))))))))</f>
        <v/>
      </c>
      <c r="M1121" s="34" t="str">
        <f aca="false">IF($C1121="","",IFERROR(INDEX(项目档案!$B$6:$B$255,MATCH($C1121,项目档案!$A$6:$A$255,0)),"⚠项目编号不存在"))</f>
        <v/>
      </c>
      <c r="N1121" s="35" t="str">
        <f aca="false">IF($E1121="","",IF($E1121=IFERROR(INDEX(项目档案!$D$6:$D$255,MATCH($C1121,项目档案!$A$6:$A$255,0)),""),"一级",IF($E1121=IFERROR(INDEX(项目档案!$F$6:$F$255,MATCH($C1121,项目档案!$A$6:$A$255,0)),""),"二级",IF($E1121=IFERROR(INDEX(项目档案!$H$6:$H$255,MATCH($C1121,项目档案!$A$6:$A$255,0)),""),"我方","—"))))</f>
        <v/>
      </c>
      <c r="O1121" s="36" t="n">
        <f aca="false">IF($D1121&lt;&gt;"销项开票",0,ROUND(N($H1121)*N($I1121),2))</f>
        <v>0</v>
      </c>
      <c r="P1121" s="36" t="n">
        <f aca="false">IF($D1121&lt;&gt;"销项开票",0,ROUND(N($H1121)-$O1121,2))</f>
        <v>0</v>
      </c>
      <c r="Q1121" s="37" t="str">
        <f aca="false">IF($E1121="","",N(IFERROR(INDEX(单位档案!$E$6:$E$35,MATCH($E1121,单位档案!$A$6:$A$35,0)),"")))</f>
        <v/>
      </c>
      <c r="R1121" s="37" t="str">
        <f aca="false">IF($E1121="","",N(IFERROR(INDEX(单位档案!$F$6:$F$35,MATCH($E1121,单位档案!$A$6:$A$35,0)),"")))</f>
        <v/>
      </c>
      <c r="S1121" s="36" t="n">
        <f aca="false">IF(OR($D1121&lt;&gt;"销项开票",IFERROR(INDEX(单位档案!$G$6:$G$35,MATCH($E1121,单位档案!$A$6:$A$35,0)),"")&lt;&gt;"是",N($Q1121)=0),0,IF(IFERROR(INDEX(单位档案!$H$6:$H$35,MATCH($E1121,单位档案!$A$6:$A$35,0)),"")="税差法",ROUND(N($H1121)/(1+$Q1121)*$Q1121-IF(N($R1121)=0,0,$P1121/(1+$R1121)*$R1121),2),ROUND(N($H1121)/(1+$Q1121)*$Q1121,2)))</f>
        <v>0</v>
      </c>
      <c r="T1121" s="36" t="n">
        <f aca="false">ROUND($S1121*N(IFERROR(INDEX(单位档案!$J$6:$J$35,MATCH($E1121,单位档案!$A$6:$A$35,0)),"")),2)</f>
        <v>0</v>
      </c>
      <c r="U1121" s="36" t="n">
        <f aca="false">IF($D1121&lt;&gt;"销项开票",0,ROUND(N($H1121)*N(IFERROR(INDEX(单位档案!$K$6:$K$35,MATCH($E1121,单位档案!$A$6:$A$35,0)),"")),2))</f>
        <v>0</v>
      </c>
      <c r="V1121" s="36" t="n">
        <f aca="false">IF(OR($D1121&lt;&gt;"销项开票",N($Q1121)=0),0,ROUND(N($H1121)/(1+$Q1121)*N(IFERROR(INDEX(单位档案!$L$6:$L$35,MATCH($E1121,单位档案!$A$6:$A$35,0)),"")),2))</f>
        <v>0</v>
      </c>
      <c r="W1121" s="36" t="n">
        <f aca="false">ROUND($S1121+$T1121+$U1121+$V1121,2)</f>
        <v>0</v>
      </c>
      <c r="X1121" s="35" t="str">
        <f aca="false">IF(OR($D1121="挂靠代收",$D1121="我方收款"),COUNTIFS($D$5:$D1121,"挂靠代收")+COUNTIFS($D$5:$D1121,"我方收款"),"")</f>
        <v/>
      </c>
      <c r="Y1121" s="35"/>
      <c r="Z1121" s="21" t="s">
        <v>111</v>
      </c>
    </row>
    <row r="1122" customFormat="false" ht="15.75" hidden="false" customHeight="true" outlineLevel="0" collapsed="false">
      <c r="A1122" s="32" t="str">
        <f aca="false">IF($B1122="","",ROW()-4)</f>
        <v/>
      </c>
      <c r="B1122" s="26"/>
      <c r="C1122" s="24"/>
      <c r="D1122" s="21"/>
      <c r="E1122" s="21"/>
      <c r="F1122" s="21"/>
      <c r="G1122" s="21"/>
      <c r="H1122" s="27"/>
      <c r="I1122" s="23" t="str">
        <f aca="false">IF($D1122&lt;&gt;"销项开票","",IF($N1122="一级",IF(IFERROR(INDEX(项目档案!$E$6:$E$255,MATCH($C1122,项目档案!$A$6:$A$255,0)),"")="",N(IFERROR(INDEX(单位档案!$D$6:$D$35,MATCH($E1122,单位档案!$A$6:$A$35,0)),"")),IFERROR(INDEX(项目档案!$E$6:$E$255,MATCH($C1122,项目档案!$A$6:$A$255,0)),"")),IF($N1122="二级",IF(IFERROR(INDEX(项目档案!$G$6:$G$255,MATCH($C1122,项目档案!$A$6:$A$255,0)),"")="",N(IFERROR(INDEX(单位档案!$D$6:$D$35,MATCH($E1122,单位档案!$A$6:$A$35,0)),"")),IFERROR(INDEX(项目档案!$G$6:$G$255,MATCH($C1122,项目档案!$A$6:$A$255,0)),"")),N(IFERROR(INDEX(单位档案!$D$6:$D$35,MATCH($E1122,单位档案!$A$6:$A$35,0)),"")))))</f>
        <v/>
      </c>
      <c r="J1122" s="22"/>
      <c r="K1122" s="22"/>
      <c r="L1122" s="33" t="str">
        <f aca="false">IF($B1122="","",IF(NOT(ISNUMBER($B1122)),"日期格式不对",IF($C1122="","未选项目编号",IF(LEFT($M1122,1)="⚠","项目编号不存在",IF($D1122="","未选业务类型",IF($E1122="","未选开票/付款方",IF(ISNA(MATCH($E1122,单位档案!$A$6:$A$35,0)),"开票方不在单位档案",IF($F1122="","未选收票/收款方",IF(ISNA(MATCH($F1122,单位档案!$A$6:$A$35,0)),"收款方不在单位档案",IF(NOT(ISNUMBER($H1122)),"金额须为数字",IF(AND($D1122="销项开票",$N1122="—"),"链条待确认","√")))))))))))</f>
        <v/>
      </c>
      <c r="M1122" s="34" t="str">
        <f aca="false">IF($C1122="","",IFERROR(INDEX(项目档案!$B$6:$B$255,MATCH($C1122,项目档案!$A$6:$A$255,0)),"⚠项目编号不存在"))</f>
        <v/>
      </c>
      <c r="N1122" s="35" t="str">
        <f aca="false">IF($E1122="","",IF($E1122=IFERROR(INDEX(项目档案!$D$6:$D$255,MATCH($C1122,项目档案!$A$6:$A$255,0)),""),"一级",IF($E1122=IFERROR(INDEX(项目档案!$F$6:$F$255,MATCH($C1122,项目档案!$A$6:$A$255,0)),""),"二级",IF($E1122=IFERROR(INDEX(项目档案!$H$6:$H$255,MATCH($C1122,项目档案!$A$6:$A$255,0)),""),"我方","—"))))</f>
        <v/>
      </c>
      <c r="O1122" s="36" t="n">
        <f aca="false">IF($D1122&lt;&gt;"销项开票",0,ROUND(N($H1122)*N($I1122),2))</f>
        <v>0</v>
      </c>
      <c r="P1122" s="36" t="n">
        <f aca="false">IF($D1122&lt;&gt;"销项开票",0,ROUND(N($H1122)-$O1122,2))</f>
        <v>0</v>
      </c>
      <c r="Q1122" s="37" t="str">
        <f aca="false">IF($E1122="","",N(IFERROR(INDEX(单位档案!$E$6:$E$35,MATCH($E1122,单位档案!$A$6:$A$35,0)),"")))</f>
        <v/>
      </c>
      <c r="R1122" s="37" t="str">
        <f aca="false">IF($E1122="","",N(IFERROR(INDEX(单位档案!$F$6:$F$35,MATCH($E1122,单位档案!$A$6:$A$35,0)),"")))</f>
        <v/>
      </c>
      <c r="S1122" s="36" t="n">
        <f aca="false">IF(OR($D1122&lt;&gt;"销项开票",IFERROR(INDEX(单位档案!$G$6:$G$35,MATCH($E1122,单位档案!$A$6:$A$35,0)),"")&lt;&gt;"是",N($Q1122)=0),0,IF(IFERROR(INDEX(单位档案!$H$6:$H$35,MATCH($E1122,单位档案!$A$6:$A$35,0)),"")="税差法",ROUND(N($H1122)/(1+$Q1122)*$Q1122-IF(N($R1122)=0,0,$P1122/(1+$R1122)*$R1122),2),ROUND(N($H1122)/(1+$Q1122)*$Q1122,2)))</f>
        <v>0</v>
      </c>
      <c r="T1122" s="36" t="n">
        <f aca="false">ROUND($S1122*N(IFERROR(INDEX(单位档案!$J$6:$J$35,MATCH($E1122,单位档案!$A$6:$A$35,0)),"")),2)</f>
        <v>0</v>
      </c>
      <c r="U1122" s="36" t="n">
        <f aca="false">IF($D1122&lt;&gt;"销项开票",0,ROUND(N($H1122)*N(IFERROR(INDEX(单位档案!$K$6:$K$35,MATCH($E1122,单位档案!$A$6:$A$35,0)),"")),2))</f>
        <v>0</v>
      </c>
      <c r="V1122" s="36" t="n">
        <f aca="false">IF(OR($D1122&lt;&gt;"销项开票",N($Q1122)=0),0,ROUND(N($H1122)/(1+$Q1122)*N(IFERROR(INDEX(单位档案!$L$6:$L$35,MATCH($E1122,单位档案!$A$6:$A$35,0)),"")),2))</f>
        <v>0</v>
      </c>
      <c r="W1122" s="36" t="n">
        <f aca="false">ROUND($S1122+$T1122+$U1122+$V1122,2)</f>
        <v>0</v>
      </c>
      <c r="X1122" s="35" t="str">
        <f aca="false">IF(OR($D1122="挂靠代收",$D1122="我方收款"),COUNTIFS($D$5:$D1122,"挂靠代收")+COUNTIFS($D$5:$D1122,"我方收款"),"")</f>
        <v/>
      </c>
      <c r="Y1122" s="35"/>
      <c r="Z1122" s="21" t="s">
        <v>111</v>
      </c>
    </row>
    <row r="1123" customFormat="false" ht="15.75" hidden="false" customHeight="true" outlineLevel="0" collapsed="false">
      <c r="A1123" s="32" t="str">
        <f aca="false">IF($B1123="","",ROW()-4)</f>
        <v/>
      </c>
      <c r="B1123" s="26"/>
      <c r="C1123" s="24"/>
      <c r="D1123" s="21"/>
      <c r="E1123" s="21"/>
      <c r="F1123" s="21"/>
      <c r="G1123" s="21"/>
      <c r="H1123" s="27"/>
      <c r="I1123" s="23" t="str">
        <f aca="false">IF($D1123&lt;&gt;"销项开票","",IF($N1123="一级",IF(IFERROR(INDEX(项目档案!$E$6:$E$255,MATCH($C1123,项目档案!$A$6:$A$255,0)),"")="",N(IFERROR(INDEX(单位档案!$D$6:$D$35,MATCH($E1123,单位档案!$A$6:$A$35,0)),"")),IFERROR(INDEX(项目档案!$E$6:$E$255,MATCH($C1123,项目档案!$A$6:$A$255,0)),"")),IF($N1123="二级",IF(IFERROR(INDEX(项目档案!$G$6:$G$255,MATCH($C1123,项目档案!$A$6:$A$255,0)),"")="",N(IFERROR(INDEX(单位档案!$D$6:$D$35,MATCH($E1123,单位档案!$A$6:$A$35,0)),"")),IFERROR(INDEX(项目档案!$G$6:$G$255,MATCH($C1123,项目档案!$A$6:$A$255,0)),"")),N(IFERROR(INDEX(单位档案!$D$6:$D$35,MATCH($E1123,单位档案!$A$6:$A$35,0)),"")))))</f>
        <v/>
      </c>
      <c r="J1123" s="22"/>
      <c r="K1123" s="22"/>
      <c r="L1123" s="33" t="str">
        <f aca="false">IF($B1123="","",IF(NOT(ISNUMBER($B1123)),"日期格式不对",IF($C1123="","未选项目编号",IF(LEFT($M1123,1)="⚠","项目编号不存在",IF($D1123="","未选业务类型",IF($E1123="","未选开票/付款方",IF(ISNA(MATCH($E1123,单位档案!$A$6:$A$35,0)),"开票方不在单位档案",IF($F1123="","未选收票/收款方",IF(ISNA(MATCH($F1123,单位档案!$A$6:$A$35,0)),"收款方不在单位档案",IF(NOT(ISNUMBER($H1123)),"金额须为数字",IF(AND($D1123="销项开票",$N1123="—"),"链条待确认","√")))))))))))</f>
        <v/>
      </c>
      <c r="M1123" s="34" t="str">
        <f aca="false">IF($C1123="","",IFERROR(INDEX(项目档案!$B$6:$B$255,MATCH($C1123,项目档案!$A$6:$A$255,0)),"⚠项目编号不存在"))</f>
        <v/>
      </c>
      <c r="N1123" s="35" t="str">
        <f aca="false">IF($E1123="","",IF($E1123=IFERROR(INDEX(项目档案!$D$6:$D$255,MATCH($C1123,项目档案!$A$6:$A$255,0)),""),"一级",IF($E1123=IFERROR(INDEX(项目档案!$F$6:$F$255,MATCH($C1123,项目档案!$A$6:$A$255,0)),""),"二级",IF($E1123=IFERROR(INDEX(项目档案!$H$6:$H$255,MATCH($C1123,项目档案!$A$6:$A$255,0)),""),"我方","—"))))</f>
        <v/>
      </c>
      <c r="O1123" s="36" t="n">
        <f aca="false">IF($D1123&lt;&gt;"销项开票",0,ROUND(N($H1123)*N($I1123),2))</f>
        <v>0</v>
      </c>
      <c r="P1123" s="36" t="n">
        <f aca="false">IF($D1123&lt;&gt;"销项开票",0,ROUND(N($H1123)-$O1123,2))</f>
        <v>0</v>
      </c>
      <c r="Q1123" s="37" t="str">
        <f aca="false">IF($E1123="","",N(IFERROR(INDEX(单位档案!$E$6:$E$35,MATCH($E1123,单位档案!$A$6:$A$35,0)),"")))</f>
        <v/>
      </c>
      <c r="R1123" s="37" t="str">
        <f aca="false">IF($E1123="","",N(IFERROR(INDEX(单位档案!$F$6:$F$35,MATCH($E1123,单位档案!$A$6:$A$35,0)),"")))</f>
        <v/>
      </c>
      <c r="S1123" s="36" t="n">
        <f aca="false">IF(OR($D1123&lt;&gt;"销项开票",IFERROR(INDEX(单位档案!$G$6:$G$35,MATCH($E1123,单位档案!$A$6:$A$35,0)),"")&lt;&gt;"是",N($Q1123)=0),0,IF(IFERROR(INDEX(单位档案!$H$6:$H$35,MATCH($E1123,单位档案!$A$6:$A$35,0)),"")="税差法",ROUND(N($H1123)/(1+$Q1123)*$Q1123-IF(N($R1123)=0,0,$P1123/(1+$R1123)*$R1123),2),ROUND(N($H1123)/(1+$Q1123)*$Q1123,2)))</f>
        <v>0</v>
      </c>
      <c r="T1123" s="36" t="n">
        <f aca="false">ROUND($S1123*N(IFERROR(INDEX(单位档案!$J$6:$J$35,MATCH($E1123,单位档案!$A$6:$A$35,0)),"")),2)</f>
        <v>0</v>
      </c>
      <c r="U1123" s="36" t="n">
        <f aca="false">IF($D1123&lt;&gt;"销项开票",0,ROUND(N($H1123)*N(IFERROR(INDEX(单位档案!$K$6:$K$35,MATCH($E1123,单位档案!$A$6:$A$35,0)),"")),2))</f>
        <v>0</v>
      </c>
      <c r="V1123" s="36" t="n">
        <f aca="false">IF(OR($D1123&lt;&gt;"销项开票",N($Q1123)=0),0,ROUND(N($H1123)/(1+$Q1123)*N(IFERROR(INDEX(单位档案!$L$6:$L$35,MATCH($E1123,单位档案!$A$6:$A$35,0)),"")),2))</f>
        <v>0</v>
      </c>
      <c r="W1123" s="36" t="n">
        <f aca="false">ROUND($S1123+$T1123+$U1123+$V1123,2)</f>
        <v>0</v>
      </c>
      <c r="X1123" s="35" t="str">
        <f aca="false">IF(OR($D1123="挂靠代收",$D1123="我方收款"),COUNTIFS($D$5:$D1123,"挂靠代收")+COUNTIFS($D$5:$D1123,"我方收款"),"")</f>
        <v/>
      </c>
      <c r="Y1123" s="35"/>
      <c r="Z1123" s="21" t="s">
        <v>111</v>
      </c>
    </row>
    <row r="1124" customFormat="false" ht="15.75" hidden="false" customHeight="true" outlineLevel="0" collapsed="false">
      <c r="A1124" s="32" t="str">
        <f aca="false">IF($B1124="","",ROW()-4)</f>
        <v/>
      </c>
      <c r="B1124" s="26"/>
      <c r="C1124" s="24"/>
      <c r="D1124" s="21"/>
      <c r="E1124" s="21"/>
      <c r="F1124" s="21"/>
      <c r="G1124" s="21"/>
      <c r="H1124" s="27"/>
      <c r="I1124" s="23" t="str">
        <f aca="false">IF($D1124&lt;&gt;"销项开票","",IF($N1124="一级",IF(IFERROR(INDEX(项目档案!$E$6:$E$255,MATCH($C1124,项目档案!$A$6:$A$255,0)),"")="",N(IFERROR(INDEX(单位档案!$D$6:$D$35,MATCH($E1124,单位档案!$A$6:$A$35,0)),"")),IFERROR(INDEX(项目档案!$E$6:$E$255,MATCH($C1124,项目档案!$A$6:$A$255,0)),"")),IF($N1124="二级",IF(IFERROR(INDEX(项目档案!$G$6:$G$255,MATCH($C1124,项目档案!$A$6:$A$255,0)),"")="",N(IFERROR(INDEX(单位档案!$D$6:$D$35,MATCH($E1124,单位档案!$A$6:$A$35,0)),"")),IFERROR(INDEX(项目档案!$G$6:$G$255,MATCH($C1124,项目档案!$A$6:$A$255,0)),"")),N(IFERROR(INDEX(单位档案!$D$6:$D$35,MATCH($E1124,单位档案!$A$6:$A$35,0)),"")))))</f>
        <v/>
      </c>
      <c r="J1124" s="22"/>
      <c r="K1124" s="22"/>
      <c r="L1124" s="33" t="str">
        <f aca="false">IF($B1124="","",IF(NOT(ISNUMBER($B1124)),"日期格式不对",IF($C1124="","未选项目编号",IF(LEFT($M1124,1)="⚠","项目编号不存在",IF($D1124="","未选业务类型",IF($E1124="","未选开票/付款方",IF(ISNA(MATCH($E1124,单位档案!$A$6:$A$35,0)),"开票方不在单位档案",IF($F1124="","未选收票/收款方",IF(ISNA(MATCH($F1124,单位档案!$A$6:$A$35,0)),"收款方不在单位档案",IF(NOT(ISNUMBER($H1124)),"金额须为数字",IF(AND($D1124="销项开票",$N1124="—"),"链条待确认","√")))))))))))</f>
        <v/>
      </c>
      <c r="M1124" s="34" t="str">
        <f aca="false">IF($C1124="","",IFERROR(INDEX(项目档案!$B$6:$B$255,MATCH($C1124,项目档案!$A$6:$A$255,0)),"⚠项目编号不存在"))</f>
        <v/>
      </c>
      <c r="N1124" s="35" t="str">
        <f aca="false">IF($E1124="","",IF($E1124=IFERROR(INDEX(项目档案!$D$6:$D$255,MATCH($C1124,项目档案!$A$6:$A$255,0)),""),"一级",IF($E1124=IFERROR(INDEX(项目档案!$F$6:$F$255,MATCH($C1124,项目档案!$A$6:$A$255,0)),""),"二级",IF($E1124=IFERROR(INDEX(项目档案!$H$6:$H$255,MATCH($C1124,项目档案!$A$6:$A$255,0)),""),"我方","—"))))</f>
        <v/>
      </c>
      <c r="O1124" s="36" t="n">
        <f aca="false">IF($D1124&lt;&gt;"销项开票",0,ROUND(N($H1124)*N($I1124),2))</f>
        <v>0</v>
      </c>
      <c r="P1124" s="36" t="n">
        <f aca="false">IF($D1124&lt;&gt;"销项开票",0,ROUND(N($H1124)-$O1124,2))</f>
        <v>0</v>
      </c>
      <c r="Q1124" s="37" t="str">
        <f aca="false">IF($E1124="","",N(IFERROR(INDEX(单位档案!$E$6:$E$35,MATCH($E1124,单位档案!$A$6:$A$35,0)),"")))</f>
        <v/>
      </c>
      <c r="R1124" s="37" t="str">
        <f aca="false">IF($E1124="","",N(IFERROR(INDEX(单位档案!$F$6:$F$35,MATCH($E1124,单位档案!$A$6:$A$35,0)),"")))</f>
        <v/>
      </c>
      <c r="S1124" s="36" t="n">
        <f aca="false">IF(OR($D1124&lt;&gt;"销项开票",IFERROR(INDEX(单位档案!$G$6:$G$35,MATCH($E1124,单位档案!$A$6:$A$35,0)),"")&lt;&gt;"是",N($Q1124)=0),0,IF(IFERROR(INDEX(单位档案!$H$6:$H$35,MATCH($E1124,单位档案!$A$6:$A$35,0)),"")="税差法",ROUND(N($H1124)/(1+$Q1124)*$Q1124-IF(N($R1124)=0,0,$P1124/(1+$R1124)*$R1124),2),ROUND(N($H1124)/(1+$Q1124)*$Q1124,2)))</f>
        <v>0</v>
      </c>
      <c r="T1124" s="36" t="n">
        <f aca="false">ROUND($S1124*N(IFERROR(INDEX(单位档案!$J$6:$J$35,MATCH($E1124,单位档案!$A$6:$A$35,0)),"")),2)</f>
        <v>0</v>
      </c>
      <c r="U1124" s="36" t="n">
        <f aca="false">IF($D1124&lt;&gt;"销项开票",0,ROUND(N($H1124)*N(IFERROR(INDEX(单位档案!$K$6:$K$35,MATCH($E1124,单位档案!$A$6:$A$35,0)),"")),2))</f>
        <v>0</v>
      </c>
      <c r="V1124" s="36" t="n">
        <f aca="false">IF(OR($D1124&lt;&gt;"销项开票",N($Q1124)=0),0,ROUND(N($H1124)/(1+$Q1124)*N(IFERROR(INDEX(单位档案!$L$6:$L$35,MATCH($E1124,单位档案!$A$6:$A$35,0)),"")),2))</f>
        <v>0</v>
      </c>
      <c r="W1124" s="36" t="n">
        <f aca="false">ROUND($S1124+$T1124+$U1124+$V1124,2)</f>
        <v>0</v>
      </c>
      <c r="X1124" s="35" t="str">
        <f aca="false">IF(OR($D1124="挂靠代收",$D1124="我方收款"),COUNTIFS($D$5:$D1124,"挂靠代收")+COUNTIFS($D$5:$D1124,"我方收款"),"")</f>
        <v/>
      </c>
      <c r="Y1124" s="35"/>
      <c r="Z1124" s="21" t="s">
        <v>111</v>
      </c>
    </row>
    <row r="1125" customFormat="false" ht="15.75" hidden="false" customHeight="true" outlineLevel="0" collapsed="false">
      <c r="A1125" s="32" t="str">
        <f aca="false">IF($B1125="","",ROW()-4)</f>
        <v/>
      </c>
      <c r="B1125" s="26"/>
      <c r="C1125" s="24"/>
      <c r="D1125" s="21"/>
      <c r="E1125" s="21"/>
      <c r="F1125" s="21"/>
      <c r="G1125" s="21"/>
      <c r="H1125" s="27"/>
      <c r="I1125" s="23" t="str">
        <f aca="false">IF($D1125&lt;&gt;"销项开票","",IF($N1125="一级",IF(IFERROR(INDEX(项目档案!$E$6:$E$255,MATCH($C1125,项目档案!$A$6:$A$255,0)),"")="",N(IFERROR(INDEX(单位档案!$D$6:$D$35,MATCH($E1125,单位档案!$A$6:$A$35,0)),"")),IFERROR(INDEX(项目档案!$E$6:$E$255,MATCH($C1125,项目档案!$A$6:$A$255,0)),"")),IF($N1125="二级",IF(IFERROR(INDEX(项目档案!$G$6:$G$255,MATCH($C1125,项目档案!$A$6:$A$255,0)),"")="",N(IFERROR(INDEX(单位档案!$D$6:$D$35,MATCH($E1125,单位档案!$A$6:$A$35,0)),"")),IFERROR(INDEX(项目档案!$G$6:$G$255,MATCH($C1125,项目档案!$A$6:$A$255,0)),"")),N(IFERROR(INDEX(单位档案!$D$6:$D$35,MATCH($E1125,单位档案!$A$6:$A$35,0)),"")))))</f>
        <v/>
      </c>
      <c r="J1125" s="22"/>
      <c r="K1125" s="22"/>
      <c r="L1125" s="33" t="str">
        <f aca="false">IF($B1125="","",IF(NOT(ISNUMBER($B1125)),"日期格式不对",IF($C1125="","未选项目编号",IF(LEFT($M1125,1)="⚠","项目编号不存在",IF($D1125="","未选业务类型",IF($E1125="","未选开票/付款方",IF(ISNA(MATCH($E1125,单位档案!$A$6:$A$35,0)),"开票方不在单位档案",IF($F1125="","未选收票/收款方",IF(ISNA(MATCH($F1125,单位档案!$A$6:$A$35,0)),"收款方不在单位档案",IF(NOT(ISNUMBER($H1125)),"金额须为数字",IF(AND($D1125="销项开票",$N1125="—"),"链条待确认","√")))))))))))</f>
        <v/>
      </c>
      <c r="M1125" s="34" t="str">
        <f aca="false">IF($C1125="","",IFERROR(INDEX(项目档案!$B$6:$B$255,MATCH($C1125,项目档案!$A$6:$A$255,0)),"⚠项目编号不存在"))</f>
        <v/>
      </c>
      <c r="N1125" s="35" t="str">
        <f aca="false">IF($E1125="","",IF($E1125=IFERROR(INDEX(项目档案!$D$6:$D$255,MATCH($C1125,项目档案!$A$6:$A$255,0)),""),"一级",IF($E1125=IFERROR(INDEX(项目档案!$F$6:$F$255,MATCH($C1125,项目档案!$A$6:$A$255,0)),""),"二级",IF($E1125=IFERROR(INDEX(项目档案!$H$6:$H$255,MATCH($C1125,项目档案!$A$6:$A$255,0)),""),"我方","—"))))</f>
        <v/>
      </c>
      <c r="O1125" s="36" t="n">
        <f aca="false">IF($D1125&lt;&gt;"销项开票",0,ROUND(N($H1125)*N($I1125),2))</f>
        <v>0</v>
      </c>
      <c r="P1125" s="36" t="n">
        <f aca="false">IF($D1125&lt;&gt;"销项开票",0,ROUND(N($H1125)-$O1125,2))</f>
        <v>0</v>
      </c>
      <c r="Q1125" s="37" t="str">
        <f aca="false">IF($E1125="","",N(IFERROR(INDEX(单位档案!$E$6:$E$35,MATCH($E1125,单位档案!$A$6:$A$35,0)),"")))</f>
        <v/>
      </c>
      <c r="R1125" s="37" t="str">
        <f aca="false">IF($E1125="","",N(IFERROR(INDEX(单位档案!$F$6:$F$35,MATCH($E1125,单位档案!$A$6:$A$35,0)),"")))</f>
        <v/>
      </c>
      <c r="S1125" s="36" t="n">
        <f aca="false">IF(OR($D1125&lt;&gt;"销项开票",IFERROR(INDEX(单位档案!$G$6:$G$35,MATCH($E1125,单位档案!$A$6:$A$35,0)),"")&lt;&gt;"是",N($Q1125)=0),0,IF(IFERROR(INDEX(单位档案!$H$6:$H$35,MATCH($E1125,单位档案!$A$6:$A$35,0)),"")="税差法",ROUND(N($H1125)/(1+$Q1125)*$Q1125-IF(N($R1125)=0,0,$P1125/(1+$R1125)*$R1125),2),ROUND(N($H1125)/(1+$Q1125)*$Q1125,2)))</f>
        <v>0</v>
      </c>
      <c r="T1125" s="36" t="n">
        <f aca="false">ROUND($S1125*N(IFERROR(INDEX(单位档案!$J$6:$J$35,MATCH($E1125,单位档案!$A$6:$A$35,0)),"")),2)</f>
        <v>0</v>
      </c>
      <c r="U1125" s="36" t="n">
        <f aca="false">IF($D1125&lt;&gt;"销项开票",0,ROUND(N($H1125)*N(IFERROR(INDEX(单位档案!$K$6:$K$35,MATCH($E1125,单位档案!$A$6:$A$35,0)),"")),2))</f>
        <v>0</v>
      </c>
      <c r="V1125" s="36" t="n">
        <f aca="false">IF(OR($D1125&lt;&gt;"销项开票",N($Q1125)=0),0,ROUND(N($H1125)/(1+$Q1125)*N(IFERROR(INDEX(单位档案!$L$6:$L$35,MATCH($E1125,单位档案!$A$6:$A$35,0)),"")),2))</f>
        <v>0</v>
      </c>
      <c r="W1125" s="36" t="n">
        <f aca="false">ROUND($S1125+$T1125+$U1125+$V1125,2)</f>
        <v>0</v>
      </c>
      <c r="X1125" s="35" t="str">
        <f aca="false">IF(OR($D1125="挂靠代收",$D1125="我方收款"),COUNTIFS($D$5:$D1125,"挂靠代收")+COUNTIFS($D$5:$D1125,"我方收款"),"")</f>
        <v/>
      </c>
      <c r="Y1125" s="35"/>
      <c r="Z1125" s="21" t="s">
        <v>111</v>
      </c>
    </row>
    <row r="1126" customFormat="false" ht="15.75" hidden="false" customHeight="true" outlineLevel="0" collapsed="false">
      <c r="A1126" s="32" t="str">
        <f aca="false">IF($B1126="","",ROW()-4)</f>
        <v/>
      </c>
      <c r="B1126" s="26"/>
      <c r="C1126" s="24"/>
      <c r="D1126" s="21"/>
      <c r="E1126" s="21"/>
      <c r="F1126" s="21"/>
      <c r="G1126" s="21"/>
      <c r="H1126" s="27"/>
      <c r="I1126" s="23" t="str">
        <f aca="false">IF($D1126&lt;&gt;"销项开票","",IF($N1126="一级",IF(IFERROR(INDEX(项目档案!$E$6:$E$255,MATCH($C1126,项目档案!$A$6:$A$255,0)),"")="",N(IFERROR(INDEX(单位档案!$D$6:$D$35,MATCH($E1126,单位档案!$A$6:$A$35,0)),"")),IFERROR(INDEX(项目档案!$E$6:$E$255,MATCH($C1126,项目档案!$A$6:$A$255,0)),"")),IF($N1126="二级",IF(IFERROR(INDEX(项目档案!$G$6:$G$255,MATCH($C1126,项目档案!$A$6:$A$255,0)),"")="",N(IFERROR(INDEX(单位档案!$D$6:$D$35,MATCH($E1126,单位档案!$A$6:$A$35,0)),"")),IFERROR(INDEX(项目档案!$G$6:$G$255,MATCH($C1126,项目档案!$A$6:$A$255,0)),"")),N(IFERROR(INDEX(单位档案!$D$6:$D$35,MATCH($E1126,单位档案!$A$6:$A$35,0)),"")))))</f>
        <v/>
      </c>
      <c r="J1126" s="22"/>
      <c r="K1126" s="22"/>
      <c r="L1126" s="33" t="str">
        <f aca="false">IF($B1126="","",IF(NOT(ISNUMBER($B1126)),"日期格式不对",IF($C1126="","未选项目编号",IF(LEFT($M1126,1)="⚠","项目编号不存在",IF($D1126="","未选业务类型",IF($E1126="","未选开票/付款方",IF(ISNA(MATCH($E1126,单位档案!$A$6:$A$35,0)),"开票方不在单位档案",IF($F1126="","未选收票/收款方",IF(ISNA(MATCH($F1126,单位档案!$A$6:$A$35,0)),"收款方不在单位档案",IF(NOT(ISNUMBER($H1126)),"金额须为数字",IF(AND($D1126="销项开票",$N1126="—"),"链条待确认","√")))))))))))</f>
        <v/>
      </c>
      <c r="M1126" s="34" t="str">
        <f aca="false">IF($C1126="","",IFERROR(INDEX(项目档案!$B$6:$B$255,MATCH($C1126,项目档案!$A$6:$A$255,0)),"⚠项目编号不存在"))</f>
        <v/>
      </c>
      <c r="N1126" s="35" t="str">
        <f aca="false">IF($E1126="","",IF($E1126=IFERROR(INDEX(项目档案!$D$6:$D$255,MATCH($C1126,项目档案!$A$6:$A$255,0)),""),"一级",IF($E1126=IFERROR(INDEX(项目档案!$F$6:$F$255,MATCH($C1126,项目档案!$A$6:$A$255,0)),""),"二级",IF($E1126=IFERROR(INDEX(项目档案!$H$6:$H$255,MATCH($C1126,项目档案!$A$6:$A$255,0)),""),"我方","—"))))</f>
        <v/>
      </c>
      <c r="O1126" s="36" t="n">
        <f aca="false">IF($D1126&lt;&gt;"销项开票",0,ROUND(N($H1126)*N($I1126),2))</f>
        <v>0</v>
      </c>
      <c r="P1126" s="36" t="n">
        <f aca="false">IF($D1126&lt;&gt;"销项开票",0,ROUND(N($H1126)-$O1126,2))</f>
        <v>0</v>
      </c>
      <c r="Q1126" s="37" t="str">
        <f aca="false">IF($E1126="","",N(IFERROR(INDEX(单位档案!$E$6:$E$35,MATCH($E1126,单位档案!$A$6:$A$35,0)),"")))</f>
        <v/>
      </c>
      <c r="R1126" s="37" t="str">
        <f aca="false">IF($E1126="","",N(IFERROR(INDEX(单位档案!$F$6:$F$35,MATCH($E1126,单位档案!$A$6:$A$35,0)),"")))</f>
        <v/>
      </c>
      <c r="S1126" s="36" t="n">
        <f aca="false">IF(OR($D1126&lt;&gt;"销项开票",IFERROR(INDEX(单位档案!$G$6:$G$35,MATCH($E1126,单位档案!$A$6:$A$35,0)),"")&lt;&gt;"是",N($Q1126)=0),0,IF(IFERROR(INDEX(单位档案!$H$6:$H$35,MATCH($E1126,单位档案!$A$6:$A$35,0)),"")="税差法",ROUND(N($H1126)/(1+$Q1126)*$Q1126-IF(N($R1126)=0,0,$P1126/(1+$R1126)*$R1126),2),ROUND(N($H1126)/(1+$Q1126)*$Q1126,2)))</f>
        <v>0</v>
      </c>
      <c r="T1126" s="36" t="n">
        <f aca="false">ROUND($S1126*N(IFERROR(INDEX(单位档案!$J$6:$J$35,MATCH($E1126,单位档案!$A$6:$A$35,0)),"")),2)</f>
        <v>0</v>
      </c>
      <c r="U1126" s="36" t="n">
        <f aca="false">IF($D1126&lt;&gt;"销项开票",0,ROUND(N($H1126)*N(IFERROR(INDEX(单位档案!$K$6:$K$35,MATCH($E1126,单位档案!$A$6:$A$35,0)),"")),2))</f>
        <v>0</v>
      </c>
      <c r="V1126" s="36" t="n">
        <f aca="false">IF(OR($D1126&lt;&gt;"销项开票",N($Q1126)=0),0,ROUND(N($H1126)/(1+$Q1126)*N(IFERROR(INDEX(单位档案!$L$6:$L$35,MATCH($E1126,单位档案!$A$6:$A$35,0)),"")),2))</f>
        <v>0</v>
      </c>
      <c r="W1126" s="36" t="n">
        <f aca="false">ROUND($S1126+$T1126+$U1126+$V1126,2)</f>
        <v>0</v>
      </c>
      <c r="X1126" s="35" t="str">
        <f aca="false">IF(OR($D1126="挂靠代收",$D1126="我方收款"),COUNTIFS($D$5:$D1126,"挂靠代收")+COUNTIFS($D$5:$D1126,"我方收款"),"")</f>
        <v/>
      </c>
      <c r="Y1126" s="35"/>
      <c r="Z1126" s="21" t="s">
        <v>111</v>
      </c>
    </row>
    <row r="1127" customFormat="false" ht="15.75" hidden="false" customHeight="true" outlineLevel="0" collapsed="false">
      <c r="A1127" s="32" t="str">
        <f aca="false">IF($B1127="","",ROW()-4)</f>
        <v/>
      </c>
      <c r="B1127" s="26"/>
      <c r="C1127" s="24"/>
      <c r="D1127" s="21"/>
      <c r="E1127" s="21"/>
      <c r="F1127" s="21"/>
      <c r="G1127" s="21"/>
      <c r="H1127" s="27"/>
      <c r="I1127" s="23" t="str">
        <f aca="false">IF($D1127&lt;&gt;"销项开票","",IF($N1127="一级",IF(IFERROR(INDEX(项目档案!$E$6:$E$255,MATCH($C1127,项目档案!$A$6:$A$255,0)),"")="",N(IFERROR(INDEX(单位档案!$D$6:$D$35,MATCH($E1127,单位档案!$A$6:$A$35,0)),"")),IFERROR(INDEX(项目档案!$E$6:$E$255,MATCH($C1127,项目档案!$A$6:$A$255,0)),"")),IF($N1127="二级",IF(IFERROR(INDEX(项目档案!$G$6:$G$255,MATCH($C1127,项目档案!$A$6:$A$255,0)),"")="",N(IFERROR(INDEX(单位档案!$D$6:$D$35,MATCH($E1127,单位档案!$A$6:$A$35,0)),"")),IFERROR(INDEX(项目档案!$G$6:$G$255,MATCH($C1127,项目档案!$A$6:$A$255,0)),"")),N(IFERROR(INDEX(单位档案!$D$6:$D$35,MATCH($E1127,单位档案!$A$6:$A$35,0)),"")))))</f>
        <v/>
      </c>
      <c r="J1127" s="22"/>
      <c r="K1127" s="22"/>
      <c r="L1127" s="33" t="str">
        <f aca="false">IF($B1127="","",IF(NOT(ISNUMBER($B1127)),"日期格式不对",IF($C1127="","未选项目编号",IF(LEFT($M1127,1)="⚠","项目编号不存在",IF($D1127="","未选业务类型",IF($E1127="","未选开票/付款方",IF(ISNA(MATCH($E1127,单位档案!$A$6:$A$35,0)),"开票方不在单位档案",IF($F1127="","未选收票/收款方",IF(ISNA(MATCH($F1127,单位档案!$A$6:$A$35,0)),"收款方不在单位档案",IF(NOT(ISNUMBER($H1127)),"金额须为数字",IF(AND($D1127="销项开票",$N1127="—"),"链条待确认","√")))))))))))</f>
        <v/>
      </c>
      <c r="M1127" s="34" t="str">
        <f aca="false">IF($C1127="","",IFERROR(INDEX(项目档案!$B$6:$B$255,MATCH($C1127,项目档案!$A$6:$A$255,0)),"⚠项目编号不存在"))</f>
        <v/>
      </c>
      <c r="N1127" s="35" t="str">
        <f aca="false">IF($E1127="","",IF($E1127=IFERROR(INDEX(项目档案!$D$6:$D$255,MATCH($C1127,项目档案!$A$6:$A$255,0)),""),"一级",IF($E1127=IFERROR(INDEX(项目档案!$F$6:$F$255,MATCH($C1127,项目档案!$A$6:$A$255,0)),""),"二级",IF($E1127=IFERROR(INDEX(项目档案!$H$6:$H$255,MATCH($C1127,项目档案!$A$6:$A$255,0)),""),"我方","—"))))</f>
        <v/>
      </c>
      <c r="O1127" s="36" t="n">
        <f aca="false">IF($D1127&lt;&gt;"销项开票",0,ROUND(N($H1127)*N($I1127),2))</f>
        <v>0</v>
      </c>
      <c r="P1127" s="36" t="n">
        <f aca="false">IF($D1127&lt;&gt;"销项开票",0,ROUND(N($H1127)-$O1127,2))</f>
        <v>0</v>
      </c>
      <c r="Q1127" s="37" t="str">
        <f aca="false">IF($E1127="","",N(IFERROR(INDEX(单位档案!$E$6:$E$35,MATCH($E1127,单位档案!$A$6:$A$35,0)),"")))</f>
        <v/>
      </c>
      <c r="R1127" s="37" t="str">
        <f aca="false">IF($E1127="","",N(IFERROR(INDEX(单位档案!$F$6:$F$35,MATCH($E1127,单位档案!$A$6:$A$35,0)),"")))</f>
        <v/>
      </c>
      <c r="S1127" s="36" t="n">
        <f aca="false">IF(OR($D1127&lt;&gt;"销项开票",IFERROR(INDEX(单位档案!$G$6:$G$35,MATCH($E1127,单位档案!$A$6:$A$35,0)),"")&lt;&gt;"是",N($Q1127)=0),0,IF(IFERROR(INDEX(单位档案!$H$6:$H$35,MATCH($E1127,单位档案!$A$6:$A$35,0)),"")="税差法",ROUND(N($H1127)/(1+$Q1127)*$Q1127-IF(N($R1127)=0,0,$P1127/(1+$R1127)*$R1127),2),ROUND(N($H1127)/(1+$Q1127)*$Q1127,2)))</f>
        <v>0</v>
      </c>
      <c r="T1127" s="36" t="n">
        <f aca="false">ROUND($S1127*N(IFERROR(INDEX(单位档案!$J$6:$J$35,MATCH($E1127,单位档案!$A$6:$A$35,0)),"")),2)</f>
        <v>0</v>
      </c>
      <c r="U1127" s="36" t="n">
        <f aca="false">IF($D1127&lt;&gt;"销项开票",0,ROUND(N($H1127)*N(IFERROR(INDEX(单位档案!$K$6:$K$35,MATCH($E1127,单位档案!$A$6:$A$35,0)),"")),2))</f>
        <v>0</v>
      </c>
      <c r="V1127" s="36" t="n">
        <f aca="false">IF(OR($D1127&lt;&gt;"销项开票",N($Q1127)=0),0,ROUND(N($H1127)/(1+$Q1127)*N(IFERROR(INDEX(单位档案!$L$6:$L$35,MATCH($E1127,单位档案!$A$6:$A$35,0)),"")),2))</f>
        <v>0</v>
      </c>
      <c r="W1127" s="36" t="n">
        <f aca="false">ROUND($S1127+$T1127+$U1127+$V1127,2)</f>
        <v>0</v>
      </c>
      <c r="X1127" s="35" t="str">
        <f aca="false">IF(OR($D1127="挂靠代收",$D1127="我方收款"),COUNTIFS($D$5:$D1127,"挂靠代收")+COUNTIFS($D$5:$D1127,"我方收款"),"")</f>
        <v/>
      </c>
      <c r="Y1127" s="35"/>
      <c r="Z1127" s="21" t="s">
        <v>111</v>
      </c>
    </row>
    <row r="1128" customFormat="false" ht="15.75" hidden="false" customHeight="true" outlineLevel="0" collapsed="false">
      <c r="A1128" s="32" t="str">
        <f aca="false">IF($B1128="","",ROW()-4)</f>
        <v/>
      </c>
      <c r="B1128" s="26"/>
      <c r="C1128" s="24"/>
      <c r="D1128" s="21"/>
      <c r="E1128" s="21"/>
      <c r="F1128" s="21"/>
      <c r="G1128" s="21"/>
      <c r="H1128" s="27"/>
      <c r="I1128" s="23" t="str">
        <f aca="false">IF($D1128&lt;&gt;"销项开票","",IF($N1128="一级",IF(IFERROR(INDEX(项目档案!$E$6:$E$255,MATCH($C1128,项目档案!$A$6:$A$255,0)),"")="",N(IFERROR(INDEX(单位档案!$D$6:$D$35,MATCH($E1128,单位档案!$A$6:$A$35,0)),"")),IFERROR(INDEX(项目档案!$E$6:$E$255,MATCH($C1128,项目档案!$A$6:$A$255,0)),"")),IF($N1128="二级",IF(IFERROR(INDEX(项目档案!$G$6:$G$255,MATCH($C1128,项目档案!$A$6:$A$255,0)),"")="",N(IFERROR(INDEX(单位档案!$D$6:$D$35,MATCH($E1128,单位档案!$A$6:$A$35,0)),"")),IFERROR(INDEX(项目档案!$G$6:$G$255,MATCH($C1128,项目档案!$A$6:$A$255,0)),"")),N(IFERROR(INDEX(单位档案!$D$6:$D$35,MATCH($E1128,单位档案!$A$6:$A$35,0)),"")))))</f>
        <v/>
      </c>
      <c r="J1128" s="22"/>
      <c r="K1128" s="22"/>
      <c r="L1128" s="33" t="str">
        <f aca="false">IF($B1128="","",IF(NOT(ISNUMBER($B1128)),"日期格式不对",IF($C1128="","未选项目编号",IF(LEFT($M1128,1)="⚠","项目编号不存在",IF($D1128="","未选业务类型",IF($E1128="","未选开票/付款方",IF(ISNA(MATCH($E1128,单位档案!$A$6:$A$35,0)),"开票方不在单位档案",IF($F1128="","未选收票/收款方",IF(ISNA(MATCH($F1128,单位档案!$A$6:$A$35,0)),"收款方不在单位档案",IF(NOT(ISNUMBER($H1128)),"金额须为数字",IF(AND($D1128="销项开票",$N1128="—"),"链条待确认","√")))))))))))</f>
        <v/>
      </c>
      <c r="M1128" s="34" t="str">
        <f aca="false">IF($C1128="","",IFERROR(INDEX(项目档案!$B$6:$B$255,MATCH($C1128,项目档案!$A$6:$A$255,0)),"⚠项目编号不存在"))</f>
        <v/>
      </c>
      <c r="N1128" s="35" t="str">
        <f aca="false">IF($E1128="","",IF($E1128=IFERROR(INDEX(项目档案!$D$6:$D$255,MATCH($C1128,项目档案!$A$6:$A$255,0)),""),"一级",IF($E1128=IFERROR(INDEX(项目档案!$F$6:$F$255,MATCH($C1128,项目档案!$A$6:$A$255,0)),""),"二级",IF($E1128=IFERROR(INDEX(项目档案!$H$6:$H$255,MATCH($C1128,项目档案!$A$6:$A$255,0)),""),"我方","—"))))</f>
        <v/>
      </c>
      <c r="O1128" s="36" t="n">
        <f aca="false">IF($D1128&lt;&gt;"销项开票",0,ROUND(N($H1128)*N($I1128),2))</f>
        <v>0</v>
      </c>
      <c r="P1128" s="36" t="n">
        <f aca="false">IF($D1128&lt;&gt;"销项开票",0,ROUND(N($H1128)-$O1128,2))</f>
        <v>0</v>
      </c>
      <c r="Q1128" s="37" t="str">
        <f aca="false">IF($E1128="","",N(IFERROR(INDEX(单位档案!$E$6:$E$35,MATCH($E1128,单位档案!$A$6:$A$35,0)),"")))</f>
        <v/>
      </c>
      <c r="R1128" s="37" t="str">
        <f aca="false">IF($E1128="","",N(IFERROR(INDEX(单位档案!$F$6:$F$35,MATCH($E1128,单位档案!$A$6:$A$35,0)),"")))</f>
        <v/>
      </c>
      <c r="S1128" s="36" t="n">
        <f aca="false">IF(OR($D1128&lt;&gt;"销项开票",IFERROR(INDEX(单位档案!$G$6:$G$35,MATCH($E1128,单位档案!$A$6:$A$35,0)),"")&lt;&gt;"是",N($Q1128)=0),0,IF(IFERROR(INDEX(单位档案!$H$6:$H$35,MATCH($E1128,单位档案!$A$6:$A$35,0)),"")="税差法",ROUND(N($H1128)/(1+$Q1128)*$Q1128-IF(N($R1128)=0,0,$P1128/(1+$R1128)*$R1128),2),ROUND(N($H1128)/(1+$Q1128)*$Q1128,2)))</f>
        <v>0</v>
      </c>
      <c r="T1128" s="36" t="n">
        <f aca="false">ROUND($S1128*N(IFERROR(INDEX(单位档案!$J$6:$J$35,MATCH($E1128,单位档案!$A$6:$A$35,0)),"")),2)</f>
        <v>0</v>
      </c>
      <c r="U1128" s="36" t="n">
        <f aca="false">IF($D1128&lt;&gt;"销项开票",0,ROUND(N($H1128)*N(IFERROR(INDEX(单位档案!$K$6:$K$35,MATCH($E1128,单位档案!$A$6:$A$35,0)),"")),2))</f>
        <v>0</v>
      </c>
      <c r="V1128" s="36" t="n">
        <f aca="false">IF(OR($D1128&lt;&gt;"销项开票",N($Q1128)=0),0,ROUND(N($H1128)/(1+$Q1128)*N(IFERROR(INDEX(单位档案!$L$6:$L$35,MATCH($E1128,单位档案!$A$6:$A$35,0)),"")),2))</f>
        <v>0</v>
      </c>
      <c r="W1128" s="36" t="n">
        <f aca="false">ROUND($S1128+$T1128+$U1128+$V1128,2)</f>
        <v>0</v>
      </c>
      <c r="X1128" s="35" t="str">
        <f aca="false">IF(OR($D1128="挂靠代收",$D1128="我方收款"),COUNTIFS($D$5:$D1128,"挂靠代收")+COUNTIFS($D$5:$D1128,"我方收款"),"")</f>
        <v/>
      </c>
      <c r="Y1128" s="35"/>
      <c r="Z1128" s="21" t="s">
        <v>111</v>
      </c>
    </row>
    <row r="1129" customFormat="false" ht="15.75" hidden="false" customHeight="true" outlineLevel="0" collapsed="false">
      <c r="A1129" s="32" t="str">
        <f aca="false">IF($B1129="","",ROW()-4)</f>
        <v/>
      </c>
      <c r="B1129" s="26"/>
      <c r="C1129" s="24"/>
      <c r="D1129" s="21"/>
      <c r="E1129" s="21"/>
      <c r="F1129" s="21"/>
      <c r="G1129" s="21"/>
      <c r="H1129" s="27"/>
      <c r="I1129" s="23" t="str">
        <f aca="false">IF($D1129&lt;&gt;"销项开票","",IF($N1129="一级",IF(IFERROR(INDEX(项目档案!$E$6:$E$255,MATCH($C1129,项目档案!$A$6:$A$255,0)),"")="",N(IFERROR(INDEX(单位档案!$D$6:$D$35,MATCH($E1129,单位档案!$A$6:$A$35,0)),"")),IFERROR(INDEX(项目档案!$E$6:$E$255,MATCH($C1129,项目档案!$A$6:$A$255,0)),"")),IF($N1129="二级",IF(IFERROR(INDEX(项目档案!$G$6:$G$255,MATCH($C1129,项目档案!$A$6:$A$255,0)),"")="",N(IFERROR(INDEX(单位档案!$D$6:$D$35,MATCH($E1129,单位档案!$A$6:$A$35,0)),"")),IFERROR(INDEX(项目档案!$G$6:$G$255,MATCH($C1129,项目档案!$A$6:$A$255,0)),"")),N(IFERROR(INDEX(单位档案!$D$6:$D$35,MATCH($E1129,单位档案!$A$6:$A$35,0)),"")))))</f>
        <v/>
      </c>
      <c r="J1129" s="22"/>
      <c r="K1129" s="22"/>
      <c r="L1129" s="33" t="str">
        <f aca="false">IF($B1129="","",IF(NOT(ISNUMBER($B1129)),"日期格式不对",IF($C1129="","未选项目编号",IF(LEFT($M1129,1)="⚠","项目编号不存在",IF($D1129="","未选业务类型",IF($E1129="","未选开票/付款方",IF(ISNA(MATCH($E1129,单位档案!$A$6:$A$35,0)),"开票方不在单位档案",IF($F1129="","未选收票/收款方",IF(ISNA(MATCH($F1129,单位档案!$A$6:$A$35,0)),"收款方不在单位档案",IF(NOT(ISNUMBER($H1129)),"金额须为数字",IF(AND($D1129="销项开票",$N1129="—"),"链条待确认","√")))))))))))</f>
        <v/>
      </c>
      <c r="M1129" s="34" t="str">
        <f aca="false">IF($C1129="","",IFERROR(INDEX(项目档案!$B$6:$B$255,MATCH($C1129,项目档案!$A$6:$A$255,0)),"⚠项目编号不存在"))</f>
        <v/>
      </c>
      <c r="N1129" s="35" t="str">
        <f aca="false">IF($E1129="","",IF($E1129=IFERROR(INDEX(项目档案!$D$6:$D$255,MATCH($C1129,项目档案!$A$6:$A$255,0)),""),"一级",IF($E1129=IFERROR(INDEX(项目档案!$F$6:$F$255,MATCH($C1129,项目档案!$A$6:$A$255,0)),""),"二级",IF($E1129=IFERROR(INDEX(项目档案!$H$6:$H$255,MATCH($C1129,项目档案!$A$6:$A$255,0)),""),"我方","—"))))</f>
        <v/>
      </c>
      <c r="O1129" s="36" t="n">
        <f aca="false">IF($D1129&lt;&gt;"销项开票",0,ROUND(N($H1129)*N($I1129),2))</f>
        <v>0</v>
      </c>
      <c r="P1129" s="36" t="n">
        <f aca="false">IF($D1129&lt;&gt;"销项开票",0,ROUND(N($H1129)-$O1129,2))</f>
        <v>0</v>
      </c>
      <c r="Q1129" s="37" t="str">
        <f aca="false">IF($E1129="","",N(IFERROR(INDEX(单位档案!$E$6:$E$35,MATCH($E1129,单位档案!$A$6:$A$35,0)),"")))</f>
        <v/>
      </c>
      <c r="R1129" s="37" t="str">
        <f aca="false">IF($E1129="","",N(IFERROR(INDEX(单位档案!$F$6:$F$35,MATCH($E1129,单位档案!$A$6:$A$35,0)),"")))</f>
        <v/>
      </c>
      <c r="S1129" s="36" t="n">
        <f aca="false">IF(OR($D1129&lt;&gt;"销项开票",IFERROR(INDEX(单位档案!$G$6:$G$35,MATCH($E1129,单位档案!$A$6:$A$35,0)),"")&lt;&gt;"是",N($Q1129)=0),0,IF(IFERROR(INDEX(单位档案!$H$6:$H$35,MATCH($E1129,单位档案!$A$6:$A$35,0)),"")="税差法",ROUND(N($H1129)/(1+$Q1129)*$Q1129-IF(N($R1129)=0,0,$P1129/(1+$R1129)*$R1129),2),ROUND(N($H1129)/(1+$Q1129)*$Q1129,2)))</f>
        <v>0</v>
      </c>
      <c r="T1129" s="36" t="n">
        <f aca="false">ROUND($S1129*N(IFERROR(INDEX(单位档案!$J$6:$J$35,MATCH($E1129,单位档案!$A$6:$A$35,0)),"")),2)</f>
        <v>0</v>
      </c>
      <c r="U1129" s="36" t="n">
        <f aca="false">IF($D1129&lt;&gt;"销项开票",0,ROUND(N($H1129)*N(IFERROR(INDEX(单位档案!$K$6:$K$35,MATCH($E1129,单位档案!$A$6:$A$35,0)),"")),2))</f>
        <v>0</v>
      </c>
      <c r="V1129" s="36" t="n">
        <f aca="false">IF(OR($D1129&lt;&gt;"销项开票",N($Q1129)=0),0,ROUND(N($H1129)/(1+$Q1129)*N(IFERROR(INDEX(单位档案!$L$6:$L$35,MATCH($E1129,单位档案!$A$6:$A$35,0)),"")),2))</f>
        <v>0</v>
      </c>
      <c r="W1129" s="36" t="n">
        <f aca="false">ROUND($S1129+$T1129+$U1129+$V1129,2)</f>
        <v>0</v>
      </c>
      <c r="X1129" s="35" t="str">
        <f aca="false">IF(OR($D1129="挂靠代收",$D1129="我方收款"),COUNTIFS($D$5:$D1129,"挂靠代收")+COUNTIFS($D$5:$D1129,"我方收款"),"")</f>
        <v/>
      </c>
      <c r="Y1129" s="35"/>
      <c r="Z1129" s="21" t="s">
        <v>111</v>
      </c>
    </row>
    <row r="1130" customFormat="false" ht="15.75" hidden="false" customHeight="true" outlineLevel="0" collapsed="false">
      <c r="A1130" s="32" t="str">
        <f aca="false">IF($B1130="","",ROW()-4)</f>
        <v/>
      </c>
      <c r="B1130" s="26"/>
      <c r="C1130" s="24"/>
      <c r="D1130" s="21"/>
      <c r="E1130" s="21"/>
      <c r="F1130" s="21"/>
      <c r="G1130" s="21"/>
      <c r="H1130" s="27"/>
      <c r="I1130" s="23" t="str">
        <f aca="false">IF($D1130&lt;&gt;"销项开票","",IF($N1130="一级",IF(IFERROR(INDEX(项目档案!$E$6:$E$255,MATCH($C1130,项目档案!$A$6:$A$255,0)),"")="",N(IFERROR(INDEX(单位档案!$D$6:$D$35,MATCH($E1130,单位档案!$A$6:$A$35,0)),"")),IFERROR(INDEX(项目档案!$E$6:$E$255,MATCH($C1130,项目档案!$A$6:$A$255,0)),"")),IF($N1130="二级",IF(IFERROR(INDEX(项目档案!$G$6:$G$255,MATCH($C1130,项目档案!$A$6:$A$255,0)),"")="",N(IFERROR(INDEX(单位档案!$D$6:$D$35,MATCH($E1130,单位档案!$A$6:$A$35,0)),"")),IFERROR(INDEX(项目档案!$G$6:$G$255,MATCH($C1130,项目档案!$A$6:$A$255,0)),"")),N(IFERROR(INDEX(单位档案!$D$6:$D$35,MATCH($E1130,单位档案!$A$6:$A$35,0)),"")))))</f>
        <v/>
      </c>
      <c r="J1130" s="22"/>
      <c r="K1130" s="22"/>
      <c r="L1130" s="33" t="str">
        <f aca="false">IF($B1130="","",IF(NOT(ISNUMBER($B1130)),"日期格式不对",IF($C1130="","未选项目编号",IF(LEFT($M1130,1)="⚠","项目编号不存在",IF($D1130="","未选业务类型",IF($E1130="","未选开票/付款方",IF(ISNA(MATCH($E1130,单位档案!$A$6:$A$35,0)),"开票方不在单位档案",IF($F1130="","未选收票/收款方",IF(ISNA(MATCH($F1130,单位档案!$A$6:$A$35,0)),"收款方不在单位档案",IF(NOT(ISNUMBER($H1130)),"金额须为数字",IF(AND($D1130="销项开票",$N1130="—"),"链条待确认","√")))))))))))</f>
        <v/>
      </c>
      <c r="M1130" s="34" t="str">
        <f aca="false">IF($C1130="","",IFERROR(INDEX(项目档案!$B$6:$B$255,MATCH($C1130,项目档案!$A$6:$A$255,0)),"⚠项目编号不存在"))</f>
        <v/>
      </c>
      <c r="N1130" s="35" t="str">
        <f aca="false">IF($E1130="","",IF($E1130=IFERROR(INDEX(项目档案!$D$6:$D$255,MATCH($C1130,项目档案!$A$6:$A$255,0)),""),"一级",IF($E1130=IFERROR(INDEX(项目档案!$F$6:$F$255,MATCH($C1130,项目档案!$A$6:$A$255,0)),""),"二级",IF($E1130=IFERROR(INDEX(项目档案!$H$6:$H$255,MATCH($C1130,项目档案!$A$6:$A$255,0)),""),"我方","—"))))</f>
        <v/>
      </c>
      <c r="O1130" s="36" t="n">
        <f aca="false">IF($D1130&lt;&gt;"销项开票",0,ROUND(N($H1130)*N($I1130),2))</f>
        <v>0</v>
      </c>
      <c r="P1130" s="36" t="n">
        <f aca="false">IF($D1130&lt;&gt;"销项开票",0,ROUND(N($H1130)-$O1130,2))</f>
        <v>0</v>
      </c>
      <c r="Q1130" s="37" t="str">
        <f aca="false">IF($E1130="","",N(IFERROR(INDEX(单位档案!$E$6:$E$35,MATCH($E1130,单位档案!$A$6:$A$35,0)),"")))</f>
        <v/>
      </c>
      <c r="R1130" s="37" t="str">
        <f aca="false">IF($E1130="","",N(IFERROR(INDEX(单位档案!$F$6:$F$35,MATCH($E1130,单位档案!$A$6:$A$35,0)),"")))</f>
        <v/>
      </c>
      <c r="S1130" s="36" t="n">
        <f aca="false">IF(OR($D1130&lt;&gt;"销项开票",IFERROR(INDEX(单位档案!$G$6:$G$35,MATCH($E1130,单位档案!$A$6:$A$35,0)),"")&lt;&gt;"是",N($Q1130)=0),0,IF(IFERROR(INDEX(单位档案!$H$6:$H$35,MATCH($E1130,单位档案!$A$6:$A$35,0)),"")="税差法",ROUND(N($H1130)/(1+$Q1130)*$Q1130-IF(N($R1130)=0,0,$P1130/(1+$R1130)*$R1130),2),ROUND(N($H1130)/(1+$Q1130)*$Q1130,2)))</f>
        <v>0</v>
      </c>
      <c r="T1130" s="36" t="n">
        <f aca="false">ROUND($S1130*N(IFERROR(INDEX(单位档案!$J$6:$J$35,MATCH($E1130,单位档案!$A$6:$A$35,0)),"")),2)</f>
        <v>0</v>
      </c>
      <c r="U1130" s="36" t="n">
        <f aca="false">IF($D1130&lt;&gt;"销项开票",0,ROUND(N($H1130)*N(IFERROR(INDEX(单位档案!$K$6:$K$35,MATCH($E1130,单位档案!$A$6:$A$35,0)),"")),2))</f>
        <v>0</v>
      </c>
      <c r="V1130" s="36" t="n">
        <f aca="false">IF(OR($D1130&lt;&gt;"销项开票",N($Q1130)=0),0,ROUND(N($H1130)/(1+$Q1130)*N(IFERROR(INDEX(单位档案!$L$6:$L$35,MATCH($E1130,单位档案!$A$6:$A$35,0)),"")),2))</f>
        <v>0</v>
      </c>
      <c r="W1130" s="36" t="n">
        <f aca="false">ROUND($S1130+$T1130+$U1130+$V1130,2)</f>
        <v>0</v>
      </c>
      <c r="X1130" s="35" t="str">
        <f aca="false">IF(OR($D1130="挂靠代收",$D1130="我方收款"),COUNTIFS($D$5:$D1130,"挂靠代收")+COUNTIFS($D$5:$D1130,"我方收款"),"")</f>
        <v/>
      </c>
      <c r="Y1130" s="35"/>
      <c r="Z1130" s="21" t="s">
        <v>111</v>
      </c>
    </row>
    <row r="1131" customFormat="false" ht="15.75" hidden="false" customHeight="true" outlineLevel="0" collapsed="false">
      <c r="A1131" s="32" t="str">
        <f aca="false">IF($B1131="","",ROW()-4)</f>
        <v/>
      </c>
      <c r="B1131" s="26"/>
      <c r="C1131" s="24"/>
      <c r="D1131" s="21"/>
      <c r="E1131" s="21"/>
      <c r="F1131" s="21"/>
      <c r="G1131" s="21"/>
      <c r="H1131" s="27"/>
      <c r="I1131" s="23" t="str">
        <f aca="false">IF($D1131&lt;&gt;"销项开票","",IF($N1131="一级",IF(IFERROR(INDEX(项目档案!$E$6:$E$255,MATCH($C1131,项目档案!$A$6:$A$255,0)),"")="",N(IFERROR(INDEX(单位档案!$D$6:$D$35,MATCH($E1131,单位档案!$A$6:$A$35,0)),"")),IFERROR(INDEX(项目档案!$E$6:$E$255,MATCH($C1131,项目档案!$A$6:$A$255,0)),"")),IF($N1131="二级",IF(IFERROR(INDEX(项目档案!$G$6:$G$255,MATCH($C1131,项目档案!$A$6:$A$255,0)),"")="",N(IFERROR(INDEX(单位档案!$D$6:$D$35,MATCH($E1131,单位档案!$A$6:$A$35,0)),"")),IFERROR(INDEX(项目档案!$G$6:$G$255,MATCH($C1131,项目档案!$A$6:$A$255,0)),"")),N(IFERROR(INDEX(单位档案!$D$6:$D$35,MATCH($E1131,单位档案!$A$6:$A$35,0)),"")))))</f>
        <v/>
      </c>
      <c r="J1131" s="22"/>
      <c r="K1131" s="22"/>
      <c r="L1131" s="33" t="str">
        <f aca="false">IF($B1131="","",IF(NOT(ISNUMBER($B1131)),"日期格式不对",IF($C1131="","未选项目编号",IF(LEFT($M1131,1)="⚠","项目编号不存在",IF($D1131="","未选业务类型",IF($E1131="","未选开票/付款方",IF(ISNA(MATCH($E1131,单位档案!$A$6:$A$35,0)),"开票方不在单位档案",IF($F1131="","未选收票/收款方",IF(ISNA(MATCH($F1131,单位档案!$A$6:$A$35,0)),"收款方不在单位档案",IF(NOT(ISNUMBER($H1131)),"金额须为数字",IF(AND($D1131="销项开票",$N1131="—"),"链条待确认","√")))))))))))</f>
        <v/>
      </c>
      <c r="M1131" s="34" t="str">
        <f aca="false">IF($C1131="","",IFERROR(INDEX(项目档案!$B$6:$B$255,MATCH($C1131,项目档案!$A$6:$A$255,0)),"⚠项目编号不存在"))</f>
        <v/>
      </c>
      <c r="N1131" s="35" t="str">
        <f aca="false">IF($E1131="","",IF($E1131=IFERROR(INDEX(项目档案!$D$6:$D$255,MATCH($C1131,项目档案!$A$6:$A$255,0)),""),"一级",IF($E1131=IFERROR(INDEX(项目档案!$F$6:$F$255,MATCH($C1131,项目档案!$A$6:$A$255,0)),""),"二级",IF($E1131=IFERROR(INDEX(项目档案!$H$6:$H$255,MATCH($C1131,项目档案!$A$6:$A$255,0)),""),"我方","—"))))</f>
        <v/>
      </c>
      <c r="O1131" s="36" t="n">
        <f aca="false">IF($D1131&lt;&gt;"销项开票",0,ROUND(N($H1131)*N($I1131),2))</f>
        <v>0</v>
      </c>
      <c r="P1131" s="36" t="n">
        <f aca="false">IF($D1131&lt;&gt;"销项开票",0,ROUND(N($H1131)-$O1131,2))</f>
        <v>0</v>
      </c>
      <c r="Q1131" s="37" t="str">
        <f aca="false">IF($E1131="","",N(IFERROR(INDEX(单位档案!$E$6:$E$35,MATCH($E1131,单位档案!$A$6:$A$35,0)),"")))</f>
        <v/>
      </c>
      <c r="R1131" s="37" t="str">
        <f aca="false">IF($E1131="","",N(IFERROR(INDEX(单位档案!$F$6:$F$35,MATCH($E1131,单位档案!$A$6:$A$35,0)),"")))</f>
        <v/>
      </c>
      <c r="S1131" s="36" t="n">
        <f aca="false">IF(OR($D1131&lt;&gt;"销项开票",IFERROR(INDEX(单位档案!$G$6:$G$35,MATCH($E1131,单位档案!$A$6:$A$35,0)),"")&lt;&gt;"是",N($Q1131)=0),0,IF(IFERROR(INDEX(单位档案!$H$6:$H$35,MATCH($E1131,单位档案!$A$6:$A$35,0)),"")="税差法",ROUND(N($H1131)/(1+$Q1131)*$Q1131-IF(N($R1131)=0,0,$P1131/(1+$R1131)*$R1131),2),ROUND(N($H1131)/(1+$Q1131)*$Q1131,2)))</f>
        <v>0</v>
      </c>
      <c r="T1131" s="36" t="n">
        <f aca="false">ROUND($S1131*N(IFERROR(INDEX(单位档案!$J$6:$J$35,MATCH($E1131,单位档案!$A$6:$A$35,0)),"")),2)</f>
        <v>0</v>
      </c>
      <c r="U1131" s="36" t="n">
        <f aca="false">IF($D1131&lt;&gt;"销项开票",0,ROUND(N($H1131)*N(IFERROR(INDEX(单位档案!$K$6:$K$35,MATCH($E1131,单位档案!$A$6:$A$35,0)),"")),2))</f>
        <v>0</v>
      </c>
      <c r="V1131" s="36" t="n">
        <f aca="false">IF(OR($D1131&lt;&gt;"销项开票",N($Q1131)=0),0,ROUND(N($H1131)/(1+$Q1131)*N(IFERROR(INDEX(单位档案!$L$6:$L$35,MATCH($E1131,单位档案!$A$6:$A$35,0)),"")),2))</f>
        <v>0</v>
      </c>
      <c r="W1131" s="36" t="n">
        <f aca="false">ROUND($S1131+$T1131+$U1131+$V1131,2)</f>
        <v>0</v>
      </c>
      <c r="X1131" s="35" t="str">
        <f aca="false">IF(OR($D1131="挂靠代收",$D1131="我方收款"),COUNTIFS($D$5:$D1131,"挂靠代收")+COUNTIFS($D$5:$D1131,"我方收款"),"")</f>
        <v/>
      </c>
      <c r="Y1131" s="35"/>
      <c r="Z1131" s="21" t="s">
        <v>111</v>
      </c>
    </row>
    <row r="1132" customFormat="false" ht="15.75" hidden="false" customHeight="true" outlineLevel="0" collapsed="false">
      <c r="A1132" s="32" t="str">
        <f aca="false">IF($B1132="","",ROW()-4)</f>
        <v/>
      </c>
      <c r="B1132" s="26"/>
      <c r="C1132" s="24"/>
      <c r="D1132" s="21"/>
      <c r="E1132" s="21"/>
      <c r="F1132" s="21"/>
      <c r="G1132" s="21"/>
      <c r="H1132" s="27"/>
      <c r="I1132" s="23" t="str">
        <f aca="false">IF($D1132&lt;&gt;"销项开票","",IF($N1132="一级",IF(IFERROR(INDEX(项目档案!$E$6:$E$255,MATCH($C1132,项目档案!$A$6:$A$255,0)),"")="",N(IFERROR(INDEX(单位档案!$D$6:$D$35,MATCH($E1132,单位档案!$A$6:$A$35,0)),"")),IFERROR(INDEX(项目档案!$E$6:$E$255,MATCH($C1132,项目档案!$A$6:$A$255,0)),"")),IF($N1132="二级",IF(IFERROR(INDEX(项目档案!$G$6:$G$255,MATCH($C1132,项目档案!$A$6:$A$255,0)),"")="",N(IFERROR(INDEX(单位档案!$D$6:$D$35,MATCH($E1132,单位档案!$A$6:$A$35,0)),"")),IFERROR(INDEX(项目档案!$G$6:$G$255,MATCH($C1132,项目档案!$A$6:$A$255,0)),"")),N(IFERROR(INDEX(单位档案!$D$6:$D$35,MATCH($E1132,单位档案!$A$6:$A$35,0)),"")))))</f>
        <v/>
      </c>
      <c r="J1132" s="22"/>
      <c r="K1132" s="22"/>
      <c r="L1132" s="33" t="str">
        <f aca="false">IF($B1132="","",IF(NOT(ISNUMBER($B1132)),"日期格式不对",IF($C1132="","未选项目编号",IF(LEFT($M1132,1)="⚠","项目编号不存在",IF($D1132="","未选业务类型",IF($E1132="","未选开票/付款方",IF(ISNA(MATCH($E1132,单位档案!$A$6:$A$35,0)),"开票方不在单位档案",IF($F1132="","未选收票/收款方",IF(ISNA(MATCH($F1132,单位档案!$A$6:$A$35,0)),"收款方不在单位档案",IF(NOT(ISNUMBER($H1132)),"金额须为数字",IF(AND($D1132="销项开票",$N1132="—"),"链条待确认","√")))))))))))</f>
        <v/>
      </c>
      <c r="M1132" s="34" t="str">
        <f aca="false">IF($C1132="","",IFERROR(INDEX(项目档案!$B$6:$B$255,MATCH($C1132,项目档案!$A$6:$A$255,0)),"⚠项目编号不存在"))</f>
        <v/>
      </c>
      <c r="N1132" s="35" t="str">
        <f aca="false">IF($E1132="","",IF($E1132=IFERROR(INDEX(项目档案!$D$6:$D$255,MATCH($C1132,项目档案!$A$6:$A$255,0)),""),"一级",IF($E1132=IFERROR(INDEX(项目档案!$F$6:$F$255,MATCH($C1132,项目档案!$A$6:$A$255,0)),""),"二级",IF($E1132=IFERROR(INDEX(项目档案!$H$6:$H$255,MATCH($C1132,项目档案!$A$6:$A$255,0)),""),"我方","—"))))</f>
        <v/>
      </c>
      <c r="O1132" s="36" t="n">
        <f aca="false">IF($D1132&lt;&gt;"销项开票",0,ROUND(N($H1132)*N($I1132),2))</f>
        <v>0</v>
      </c>
      <c r="P1132" s="36" t="n">
        <f aca="false">IF($D1132&lt;&gt;"销项开票",0,ROUND(N($H1132)-$O1132,2))</f>
        <v>0</v>
      </c>
      <c r="Q1132" s="37" t="str">
        <f aca="false">IF($E1132="","",N(IFERROR(INDEX(单位档案!$E$6:$E$35,MATCH($E1132,单位档案!$A$6:$A$35,0)),"")))</f>
        <v/>
      </c>
      <c r="R1132" s="37" t="str">
        <f aca="false">IF($E1132="","",N(IFERROR(INDEX(单位档案!$F$6:$F$35,MATCH($E1132,单位档案!$A$6:$A$35,0)),"")))</f>
        <v/>
      </c>
      <c r="S1132" s="36" t="n">
        <f aca="false">IF(OR($D1132&lt;&gt;"销项开票",IFERROR(INDEX(单位档案!$G$6:$G$35,MATCH($E1132,单位档案!$A$6:$A$35,0)),"")&lt;&gt;"是",N($Q1132)=0),0,IF(IFERROR(INDEX(单位档案!$H$6:$H$35,MATCH($E1132,单位档案!$A$6:$A$35,0)),"")="税差法",ROUND(N($H1132)/(1+$Q1132)*$Q1132-IF(N($R1132)=0,0,$P1132/(1+$R1132)*$R1132),2),ROUND(N($H1132)/(1+$Q1132)*$Q1132,2)))</f>
        <v>0</v>
      </c>
      <c r="T1132" s="36" t="n">
        <f aca="false">ROUND($S1132*N(IFERROR(INDEX(单位档案!$J$6:$J$35,MATCH($E1132,单位档案!$A$6:$A$35,0)),"")),2)</f>
        <v>0</v>
      </c>
      <c r="U1132" s="36" t="n">
        <f aca="false">IF($D1132&lt;&gt;"销项开票",0,ROUND(N($H1132)*N(IFERROR(INDEX(单位档案!$K$6:$K$35,MATCH($E1132,单位档案!$A$6:$A$35,0)),"")),2))</f>
        <v>0</v>
      </c>
      <c r="V1132" s="36" t="n">
        <f aca="false">IF(OR($D1132&lt;&gt;"销项开票",N($Q1132)=0),0,ROUND(N($H1132)/(1+$Q1132)*N(IFERROR(INDEX(单位档案!$L$6:$L$35,MATCH($E1132,单位档案!$A$6:$A$35,0)),"")),2))</f>
        <v>0</v>
      </c>
      <c r="W1132" s="36" t="n">
        <f aca="false">ROUND($S1132+$T1132+$U1132+$V1132,2)</f>
        <v>0</v>
      </c>
      <c r="X1132" s="35" t="str">
        <f aca="false">IF(OR($D1132="挂靠代收",$D1132="我方收款"),COUNTIFS($D$5:$D1132,"挂靠代收")+COUNTIFS($D$5:$D1132,"我方收款"),"")</f>
        <v/>
      </c>
      <c r="Y1132" s="35"/>
      <c r="Z1132" s="21" t="s">
        <v>111</v>
      </c>
    </row>
    <row r="1133" customFormat="false" ht="15.75" hidden="false" customHeight="true" outlineLevel="0" collapsed="false">
      <c r="A1133" s="32" t="str">
        <f aca="false">IF($B1133="","",ROW()-4)</f>
        <v/>
      </c>
      <c r="B1133" s="26"/>
      <c r="C1133" s="24"/>
      <c r="D1133" s="21"/>
      <c r="E1133" s="21"/>
      <c r="F1133" s="21"/>
      <c r="G1133" s="21"/>
      <c r="H1133" s="27"/>
      <c r="I1133" s="23" t="str">
        <f aca="false">IF($D1133&lt;&gt;"销项开票","",IF($N1133="一级",IF(IFERROR(INDEX(项目档案!$E$6:$E$255,MATCH($C1133,项目档案!$A$6:$A$255,0)),"")="",N(IFERROR(INDEX(单位档案!$D$6:$D$35,MATCH($E1133,单位档案!$A$6:$A$35,0)),"")),IFERROR(INDEX(项目档案!$E$6:$E$255,MATCH($C1133,项目档案!$A$6:$A$255,0)),"")),IF($N1133="二级",IF(IFERROR(INDEX(项目档案!$G$6:$G$255,MATCH($C1133,项目档案!$A$6:$A$255,0)),"")="",N(IFERROR(INDEX(单位档案!$D$6:$D$35,MATCH($E1133,单位档案!$A$6:$A$35,0)),"")),IFERROR(INDEX(项目档案!$G$6:$G$255,MATCH($C1133,项目档案!$A$6:$A$255,0)),"")),N(IFERROR(INDEX(单位档案!$D$6:$D$35,MATCH($E1133,单位档案!$A$6:$A$35,0)),"")))))</f>
        <v/>
      </c>
      <c r="J1133" s="22"/>
      <c r="K1133" s="22"/>
      <c r="L1133" s="33" t="str">
        <f aca="false">IF($B1133="","",IF(NOT(ISNUMBER($B1133)),"日期格式不对",IF($C1133="","未选项目编号",IF(LEFT($M1133,1)="⚠","项目编号不存在",IF($D1133="","未选业务类型",IF($E1133="","未选开票/付款方",IF(ISNA(MATCH($E1133,单位档案!$A$6:$A$35,0)),"开票方不在单位档案",IF($F1133="","未选收票/收款方",IF(ISNA(MATCH($F1133,单位档案!$A$6:$A$35,0)),"收款方不在单位档案",IF(NOT(ISNUMBER($H1133)),"金额须为数字",IF(AND($D1133="销项开票",$N1133="—"),"链条待确认","√")))))))))))</f>
        <v/>
      </c>
      <c r="M1133" s="34" t="str">
        <f aca="false">IF($C1133="","",IFERROR(INDEX(项目档案!$B$6:$B$255,MATCH($C1133,项目档案!$A$6:$A$255,0)),"⚠项目编号不存在"))</f>
        <v/>
      </c>
      <c r="N1133" s="35" t="str">
        <f aca="false">IF($E1133="","",IF($E1133=IFERROR(INDEX(项目档案!$D$6:$D$255,MATCH($C1133,项目档案!$A$6:$A$255,0)),""),"一级",IF($E1133=IFERROR(INDEX(项目档案!$F$6:$F$255,MATCH($C1133,项目档案!$A$6:$A$255,0)),""),"二级",IF($E1133=IFERROR(INDEX(项目档案!$H$6:$H$255,MATCH($C1133,项目档案!$A$6:$A$255,0)),""),"我方","—"))))</f>
        <v/>
      </c>
      <c r="O1133" s="36" t="n">
        <f aca="false">IF($D1133&lt;&gt;"销项开票",0,ROUND(N($H1133)*N($I1133),2))</f>
        <v>0</v>
      </c>
      <c r="P1133" s="36" t="n">
        <f aca="false">IF($D1133&lt;&gt;"销项开票",0,ROUND(N($H1133)-$O1133,2))</f>
        <v>0</v>
      </c>
      <c r="Q1133" s="37" t="str">
        <f aca="false">IF($E1133="","",N(IFERROR(INDEX(单位档案!$E$6:$E$35,MATCH($E1133,单位档案!$A$6:$A$35,0)),"")))</f>
        <v/>
      </c>
      <c r="R1133" s="37" t="str">
        <f aca="false">IF($E1133="","",N(IFERROR(INDEX(单位档案!$F$6:$F$35,MATCH($E1133,单位档案!$A$6:$A$35,0)),"")))</f>
        <v/>
      </c>
      <c r="S1133" s="36" t="n">
        <f aca="false">IF(OR($D1133&lt;&gt;"销项开票",IFERROR(INDEX(单位档案!$G$6:$G$35,MATCH($E1133,单位档案!$A$6:$A$35,0)),"")&lt;&gt;"是",N($Q1133)=0),0,IF(IFERROR(INDEX(单位档案!$H$6:$H$35,MATCH($E1133,单位档案!$A$6:$A$35,0)),"")="税差法",ROUND(N($H1133)/(1+$Q1133)*$Q1133-IF(N($R1133)=0,0,$P1133/(1+$R1133)*$R1133),2),ROUND(N($H1133)/(1+$Q1133)*$Q1133,2)))</f>
        <v>0</v>
      </c>
      <c r="T1133" s="36" t="n">
        <f aca="false">ROUND($S1133*N(IFERROR(INDEX(单位档案!$J$6:$J$35,MATCH($E1133,单位档案!$A$6:$A$35,0)),"")),2)</f>
        <v>0</v>
      </c>
      <c r="U1133" s="36" t="n">
        <f aca="false">IF($D1133&lt;&gt;"销项开票",0,ROUND(N($H1133)*N(IFERROR(INDEX(单位档案!$K$6:$K$35,MATCH($E1133,单位档案!$A$6:$A$35,0)),"")),2))</f>
        <v>0</v>
      </c>
      <c r="V1133" s="36" t="n">
        <f aca="false">IF(OR($D1133&lt;&gt;"销项开票",N($Q1133)=0),0,ROUND(N($H1133)/(1+$Q1133)*N(IFERROR(INDEX(单位档案!$L$6:$L$35,MATCH($E1133,单位档案!$A$6:$A$35,0)),"")),2))</f>
        <v>0</v>
      </c>
      <c r="W1133" s="36" t="n">
        <f aca="false">ROUND($S1133+$T1133+$U1133+$V1133,2)</f>
        <v>0</v>
      </c>
      <c r="X1133" s="35" t="str">
        <f aca="false">IF(OR($D1133="挂靠代收",$D1133="我方收款"),COUNTIFS($D$5:$D1133,"挂靠代收")+COUNTIFS($D$5:$D1133,"我方收款"),"")</f>
        <v/>
      </c>
      <c r="Y1133" s="35"/>
      <c r="Z1133" s="21" t="s">
        <v>111</v>
      </c>
    </row>
    <row r="1134" customFormat="false" ht="15.75" hidden="false" customHeight="true" outlineLevel="0" collapsed="false">
      <c r="A1134" s="32" t="str">
        <f aca="false">IF($B1134="","",ROW()-4)</f>
        <v/>
      </c>
      <c r="B1134" s="26"/>
      <c r="C1134" s="24"/>
      <c r="D1134" s="21"/>
      <c r="E1134" s="21"/>
      <c r="F1134" s="21"/>
      <c r="G1134" s="21"/>
      <c r="H1134" s="27"/>
      <c r="I1134" s="23" t="str">
        <f aca="false">IF($D1134&lt;&gt;"销项开票","",IF($N1134="一级",IF(IFERROR(INDEX(项目档案!$E$6:$E$255,MATCH($C1134,项目档案!$A$6:$A$255,0)),"")="",N(IFERROR(INDEX(单位档案!$D$6:$D$35,MATCH($E1134,单位档案!$A$6:$A$35,0)),"")),IFERROR(INDEX(项目档案!$E$6:$E$255,MATCH($C1134,项目档案!$A$6:$A$255,0)),"")),IF($N1134="二级",IF(IFERROR(INDEX(项目档案!$G$6:$G$255,MATCH($C1134,项目档案!$A$6:$A$255,0)),"")="",N(IFERROR(INDEX(单位档案!$D$6:$D$35,MATCH($E1134,单位档案!$A$6:$A$35,0)),"")),IFERROR(INDEX(项目档案!$G$6:$G$255,MATCH($C1134,项目档案!$A$6:$A$255,0)),"")),N(IFERROR(INDEX(单位档案!$D$6:$D$35,MATCH($E1134,单位档案!$A$6:$A$35,0)),"")))))</f>
        <v/>
      </c>
      <c r="J1134" s="22"/>
      <c r="K1134" s="22"/>
      <c r="L1134" s="33" t="str">
        <f aca="false">IF($B1134="","",IF(NOT(ISNUMBER($B1134)),"日期格式不对",IF($C1134="","未选项目编号",IF(LEFT($M1134,1)="⚠","项目编号不存在",IF($D1134="","未选业务类型",IF($E1134="","未选开票/付款方",IF(ISNA(MATCH($E1134,单位档案!$A$6:$A$35,0)),"开票方不在单位档案",IF($F1134="","未选收票/收款方",IF(ISNA(MATCH($F1134,单位档案!$A$6:$A$35,0)),"收款方不在单位档案",IF(NOT(ISNUMBER($H1134)),"金额须为数字",IF(AND($D1134="销项开票",$N1134="—"),"链条待确认","√")))))))))))</f>
        <v/>
      </c>
      <c r="M1134" s="34" t="str">
        <f aca="false">IF($C1134="","",IFERROR(INDEX(项目档案!$B$6:$B$255,MATCH($C1134,项目档案!$A$6:$A$255,0)),"⚠项目编号不存在"))</f>
        <v/>
      </c>
      <c r="N1134" s="35" t="str">
        <f aca="false">IF($E1134="","",IF($E1134=IFERROR(INDEX(项目档案!$D$6:$D$255,MATCH($C1134,项目档案!$A$6:$A$255,0)),""),"一级",IF($E1134=IFERROR(INDEX(项目档案!$F$6:$F$255,MATCH($C1134,项目档案!$A$6:$A$255,0)),""),"二级",IF($E1134=IFERROR(INDEX(项目档案!$H$6:$H$255,MATCH($C1134,项目档案!$A$6:$A$255,0)),""),"我方","—"))))</f>
        <v/>
      </c>
      <c r="O1134" s="36" t="n">
        <f aca="false">IF($D1134&lt;&gt;"销项开票",0,ROUND(N($H1134)*N($I1134),2))</f>
        <v>0</v>
      </c>
      <c r="P1134" s="36" t="n">
        <f aca="false">IF($D1134&lt;&gt;"销项开票",0,ROUND(N($H1134)-$O1134,2))</f>
        <v>0</v>
      </c>
      <c r="Q1134" s="37" t="str">
        <f aca="false">IF($E1134="","",N(IFERROR(INDEX(单位档案!$E$6:$E$35,MATCH($E1134,单位档案!$A$6:$A$35,0)),"")))</f>
        <v/>
      </c>
      <c r="R1134" s="37" t="str">
        <f aca="false">IF($E1134="","",N(IFERROR(INDEX(单位档案!$F$6:$F$35,MATCH($E1134,单位档案!$A$6:$A$35,0)),"")))</f>
        <v/>
      </c>
      <c r="S1134" s="36" t="n">
        <f aca="false">IF(OR($D1134&lt;&gt;"销项开票",IFERROR(INDEX(单位档案!$G$6:$G$35,MATCH($E1134,单位档案!$A$6:$A$35,0)),"")&lt;&gt;"是",N($Q1134)=0),0,IF(IFERROR(INDEX(单位档案!$H$6:$H$35,MATCH($E1134,单位档案!$A$6:$A$35,0)),"")="税差法",ROUND(N($H1134)/(1+$Q1134)*$Q1134-IF(N($R1134)=0,0,$P1134/(1+$R1134)*$R1134),2),ROUND(N($H1134)/(1+$Q1134)*$Q1134,2)))</f>
        <v>0</v>
      </c>
      <c r="T1134" s="36" t="n">
        <f aca="false">ROUND($S1134*N(IFERROR(INDEX(单位档案!$J$6:$J$35,MATCH($E1134,单位档案!$A$6:$A$35,0)),"")),2)</f>
        <v>0</v>
      </c>
      <c r="U1134" s="36" t="n">
        <f aca="false">IF($D1134&lt;&gt;"销项开票",0,ROUND(N($H1134)*N(IFERROR(INDEX(单位档案!$K$6:$K$35,MATCH($E1134,单位档案!$A$6:$A$35,0)),"")),2))</f>
        <v>0</v>
      </c>
      <c r="V1134" s="36" t="n">
        <f aca="false">IF(OR($D1134&lt;&gt;"销项开票",N($Q1134)=0),0,ROUND(N($H1134)/(1+$Q1134)*N(IFERROR(INDEX(单位档案!$L$6:$L$35,MATCH($E1134,单位档案!$A$6:$A$35,0)),"")),2))</f>
        <v>0</v>
      </c>
      <c r="W1134" s="36" t="n">
        <f aca="false">ROUND($S1134+$T1134+$U1134+$V1134,2)</f>
        <v>0</v>
      </c>
      <c r="X1134" s="35" t="str">
        <f aca="false">IF(OR($D1134="挂靠代收",$D1134="我方收款"),COUNTIFS($D$5:$D1134,"挂靠代收")+COUNTIFS($D$5:$D1134,"我方收款"),"")</f>
        <v/>
      </c>
      <c r="Y1134" s="35"/>
      <c r="Z1134" s="21" t="s">
        <v>111</v>
      </c>
    </row>
    <row r="1135" customFormat="false" ht="15.75" hidden="false" customHeight="true" outlineLevel="0" collapsed="false">
      <c r="A1135" s="32" t="str">
        <f aca="false">IF($B1135="","",ROW()-4)</f>
        <v/>
      </c>
      <c r="B1135" s="26"/>
      <c r="C1135" s="24"/>
      <c r="D1135" s="21"/>
      <c r="E1135" s="21"/>
      <c r="F1135" s="21"/>
      <c r="G1135" s="21"/>
      <c r="H1135" s="27"/>
      <c r="I1135" s="23" t="str">
        <f aca="false">IF($D1135&lt;&gt;"销项开票","",IF($N1135="一级",IF(IFERROR(INDEX(项目档案!$E$6:$E$255,MATCH($C1135,项目档案!$A$6:$A$255,0)),"")="",N(IFERROR(INDEX(单位档案!$D$6:$D$35,MATCH($E1135,单位档案!$A$6:$A$35,0)),"")),IFERROR(INDEX(项目档案!$E$6:$E$255,MATCH($C1135,项目档案!$A$6:$A$255,0)),"")),IF($N1135="二级",IF(IFERROR(INDEX(项目档案!$G$6:$G$255,MATCH($C1135,项目档案!$A$6:$A$255,0)),"")="",N(IFERROR(INDEX(单位档案!$D$6:$D$35,MATCH($E1135,单位档案!$A$6:$A$35,0)),"")),IFERROR(INDEX(项目档案!$G$6:$G$255,MATCH($C1135,项目档案!$A$6:$A$255,0)),"")),N(IFERROR(INDEX(单位档案!$D$6:$D$35,MATCH($E1135,单位档案!$A$6:$A$35,0)),"")))))</f>
        <v/>
      </c>
      <c r="J1135" s="22"/>
      <c r="K1135" s="22"/>
      <c r="L1135" s="33" t="str">
        <f aca="false">IF($B1135="","",IF(NOT(ISNUMBER($B1135)),"日期格式不对",IF($C1135="","未选项目编号",IF(LEFT($M1135,1)="⚠","项目编号不存在",IF($D1135="","未选业务类型",IF($E1135="","未选开票/付款方",IF(ISNA(MATCH($E1135,单位档案!$A$6:$A$35,0)),"开票方不在单位档案",IF($F1135="","未选收票/收款方",IF(ISNA(MATCH($F1135,单位档案!$A$6:$A$35,0)),"收款方不在单位档案",IF(NOT(ISNUMBER($H1135)),"金额须为数字",IF(AND($D1135="销项开票",$N1135="—"),"链条待确认","√")))))))))))</f>
        <v/>
      </c>
      <c r="M1135" s="34" t="str">
        <f aca="false">IF($C1135="","",IFERROR(INDEX(项目档案!$B$6:$B$255,MATCH($C1135,项目档案!$A$6:$A$255,0)),"⚠项目编号不存在"))</f>
        <v/>
      </c>
      <c r="N1135" s="35" t="str">
        <f aca="false">IF($E1135="","",IF($E1135=IFERROR(INDEX(项目档案!$D$6:$D$255,MATCH($C1135,项目档案!$A$6:$A$255,0)),""),"一级",IF($E1135=IFERROR(INDEX(项目档案!$F$6:$F$255,MATCH($C1135,项目档案!$A$6:$A$255,0)),""),"二级",IF($E1135=IFERROR(INDEX(项目档案!$H$6:$H$255,MATCH($C1135,项目档案!$A$6:$A$255,0)),""),"我方","—"))))</f>
        <v/>
      </c>
      <c r="O1135" s="36" t="n">
        <f aca="false">IF($D1135&lt;&gt;"销项开票",0,ROUND(N($H1135)*N($I1135),2))</f>
        <v>0</v>
      </c>
      <c r="P1135" s="36" t="n">
        <f aca="false">IF($D1135&lt;&gt;"销项开票",0,ROUND(N($H1135)-$O1135,2))</f>
        <v>0</v>
      </c>
      <c r="Q1135" s="37" t="str">
        <f aca="false">IF($E1135="","",N(IFERROR(INDEX(单位档案!$E$6:$E$35,MATCH($E1135,单位档案!$A$6:$A$35,0)),"")))</f>
        <v/>
      </c>
      <c r="R1135" s="37" t="str">
        <f aca="false">IF($E1135="","",N(IFERROR(INDEX(单位档案!$F$6:$F$35,MATCH($E1135,单位档案!$A$6:$A$35,0)),"")))</f>
        <v/>
      </c>
      <c r="S1135" s="36" t="n">
        <f aca="false">IF(OR($D1135&lt;&gt;"销项开票",IFERROR(INDEX(单位档案!$G$6:$G$35,MATCH($E1135,单位档案!$A$6:$A$35,0)),"")&lt;&gt;"是",N($Q1135)=0),0,IF(IFERROR(INDEX(单位档案!$H$6:$H$35,MATCH($E1135,单位档案!$A$6:$A$35,0)),"")="税差法",ROUND(N($H1135)/(1+$Q1135)*$Q1135-IF(N($R1135)=0,0,$P1135/(1+$R1135)*$R1135),2),ROUND(N($H1135)/(1+$Q1135)*$Q1135,2)))</f>
        <v>0</v>
      </c>
      <c r="T1135" s="36" t="n">
        <f aca="false">ROUND($S1135*N(IFERROR(INDEX(单位档案!$J$6:$J$35,MATCH($E1135,单位档案!$A$6:$A$35,0)),"")),2)</f>
        <v>0</v>
      </c>
      <c r="U1135" s="36" t="n">
        <f aca="false">IF($D1135&lt;&gt;"销项开票",0,ROUND(N($H1135)*N(IFERROR(INDEX(单位档案!$K$6:$K$35,MATCH($E1135,单位档案!$A$6:$A$35,0)),"")),2))</f>
        <v>0</v>
      </c>
      <c r="V1135" s="36" t="n">
        <f aca="false">IF(OR($D1135&lt;&gt;"销项开票",N($Q1135)=0),0,ROUND(N($H1135)/(1+$Q1135)*N(IFERROR(INDEX(单位档案!$L$6:$L$35,MATCH($E1135,单位档案!$A$6:$A$35,0)),"")),2))</f>
        <v>0</v>
      </c>
      <c r="W1135" s="36" t="n">
        <f aca="false">ROUND($S1135+$T1135+$U1135+$V1135,2)</f>
        <v>0</v>
      </c>
      <c r="X1135" s="35" t="str">
        <f aca="false">IF(OR($D1135="挂靠代收",$D1135="我方收款"),COUNTIFS($D$5:$D1135,"挂靠代收")+COUNTIFS($D$5:$D1135,"我方收款"),"")</f>
        <v/>
      </c>
      <c r="Y1135" s="35"/>
      <c r="Z1135" s="21" t="s">
        <v>111</v>
      </c>
    </row>
    <row r="1136" customFormat="false" ht="15.75" hidden="false" customHeight="true" outlineLevel="0" collapsed="false">
      <c r="A1136" s="32" t="str">
        <f aca="false">IF($B1136="","",ROW()-4)</f>
        <v/>
      </c>
      <c r="B1136" s="26"/>
      <c r="C1136" s="24"/>
      <c r="D1136" s="21"/>
      <c r="E1136" s="21"/>
      <c r="F1136" s="21"/>
      <c r="G1136" s="21"/>
      <c r="H1136" s="27"/>
      <c r="I1136" s="23" t="str">
        <f aca="false">IF($D1136&lt;&gt;"销项开票","",IF($N1136="一级",IF(IFERROR(INDEX(项目档案!$E$6:$E$255,MATCH($C1136,项目档案!$A$6:$A$255,0)),"")="",N(IFERROR(INDEX(单位档案!$D$6:$D$35,MATCH($E1136,单位档案!$A$6:$A$35,0)),"")),IFERROR(INDEX(项目档案!$E$6:$E$255,MATCH($C1136,项目档案!$A$6:$A$255,0)),"")),IF($N1136="二级",IF(IFERROR(INDEX(项目档案!$G$6:$G$255,MATCH($C1136,项目档案!$A$6:$A$255,0)),"")="",N(IFERROR(INDEX(单位档案!$D$6:$D$35,MATCH($E1136,单位档案!$A$6:$A$35,0)),"")),IFERROR(INDEX(项目档案!$G$6:$G$255,MATCH($C1136,项目档案!$A$6:$A$255,0)),"")),N(IFERROR(INDEX(单位档案!$D$6:$D$35,MATCH($E1136,单位档案!$A$6:$A$35,0)),"")))))</f>
        <v/>
      </c>
      <c r="J1136" s="22"/>
      <c r="K1136" s="22"/>
      <c r="L1136" s="33" t="str">
        <f aca="false">IF($B1136="","",IF(NOT(ISNUMBER($B1136)),"日期格式不对",IF($C1136="","未选项目编号",IF(LEFT($M1136,1)="⚠","项目编号不存在",IF($D1136="","未选业务类型",IF($E1136="","未选开票/付款方",IF(ISNA(MATCH($E1136,单位档案!$A$6:$A$35,0)),"开票方不在单位档案",IF($F1136="","未选收票/收款方",IF(ISNA(MATCH($F1136,单位档案!$A$6:$A$35,0)),"收款方不在单位档案",IF(NOT(ISNUMBER($H1136)),"金额须为数字",IF(AND($D1136="销项开票",$N1136="—"),"链条待确认","√")))))))))))</f>
        <v/>
      </c>
      <c r="M1136" s="34" t="str">
        <f aca="false">IF($C1136="","",IFERROR(INDEX(项目档案!$B$6:$B$255,MATCH($C1136,项目档案!$A$6:$A$255,0)),"⚠项目编号不存在"))</f>
        <v/>
      </c>
      <c r="N1136" s="35" t="str">
        <f aca="false">IF($E1136="","",IF($E1136=IFERROR(INDEX(项目档案!$D$6:$D$255,MATCH($C1136,项目档案!$A$6:$A$255,0)),""),"一级",IF($E1136=IFERROR(INDEX(项目档案!$F$6:$F$255,MATCH($C1136,项目档案!$A$6:$A$255,0)),""),"二级",IF($E1136=IFERROR(INDEX(项目档案!$H$6:$H$255,MATCH($C1136,项目档案!$A$6:$A$255,0)),""),"我方","—"))))</f>
        <v/>
      </c>
      <c r="O1136" s="36" t="n">
        <f aca="false">IF($D1136&lt;&gt;"销项开票",0,ROUND(N($H1136)*N($I1136),2))</f>
        <v>0</v>
      </c>
      <c r="P1136" s="36" t="n">
        <f aca="false">IF($D1136&lt;&gt;"销项开票",0,ROUND(N($H1136)-$O1136,2))</f>
        <v>0</v>
      </c>
      <c r="Q1136" s="37" t="str">
        <f aca="false">IF($E1136="","",N(IFERROR(INDEX(单位档案!$E$6:$E$35,MATCH($E1136,单位档案!$A$6:$A$35,0)),"")))</f>
        <v/>
      </c>
      <c r="R1136" s="37" t="str">
        <f aca="false">IF($E1136="","",N(IFERROR(INDEX(单位档案!$F$6:$F$35,MATCH($E1136,单位档案!$A$6:$A$35,0)),"")))</f>
        <v/>
      </c>
      <c r="S1136" s="36" t="n">
        <f aca="false">IF(OR($D1136&lt;&gt;"销项开票",IFERROR(INDEX(单位档案!$G$6:$G$35,MATCH($E1136,单位档案!$A$6:$A$35,0)),"")&lt;&gt;"是",N($Q1136)=0),0,IF(IFERROR(INDEX(单位档案!$H$6:$H$35,MATCH($E1136,单位档案!$A$6:$A$35,0)),"")="税差法",ROUND(N($H1136)/(1+$Q1136)*$Q1136-IF(N($R1136)=0,0,$P1136/(1+$R1136)*$R1136),2),ROUND(N($H1136)/(1+$Q1136)*$Q1136,2)))</f>
        <v>0</v>
      </c>
      <c r="T1136" s="36" t="n">
        <f aca="false">ROUND($S1136*N(IFERROR(INDEX(单位档案!$J$6:$J$35,MATCH($E1136,单位档案!$A$6:$A$35,0)),"")),2)</f>
        <v>0</v>
      </c>
      <c r="U1136" s="36" t="n">
        <f aca="false">IF($D1136&lt;&gt;"销项开票",0,ROUND(N($H1136)*N(IFERROR(INDEX(单位档案!$K$6:$K$35,MATCH($E1136,单位档案!$A$6:$A$35,0)),"")),2))</f>
        <v>0</v>
      </c>
      <c r="V1136" s="36" t="n">
        <f aca="false">IF(OR($D1136&lt;&gt;"销项开票",N($Q1136)=0),0,ROUND(N($H1136)/(1+$Q1136)*N(IFERROR(INDEX(单位档案!$L$6:$L$35,MATCH($E1136,单位档案!$A$6:$A$35,0)),"")),2))</f>
        <v>0</v>
      </c>
      <c r="W1136" s="36" t="n">
        <f aca="false">ROUND($S1136+$T1136+$U1136+$V1136,2)</f>
        <v>0</v>
      </c>
      <c r="X1136" s="35" t="str">
        <f aca="false">IF(OR($D1136="挂靠代收",$D1136="我方收款"),COUNTIFS($D$5:$D1136,"挂靠代收")+COUNTIFS($D$5:$D1136,"我方收款"),"")</f>
        <v/>
      </c>
      <c r="Y1136" s="35"/>
      <c r="Z1136" s="21" t="s">
        <v>111</v>
      </c>
    </row>
    <row r="1137" customFormat="false" ht="15.75" hidden="false" customHeight="true" outlineLevel="0" collapsed="false">
      <c r="A1137" s="32" t="str">
        <f aca="false">IF($B1137="","",ROW()-4)</f>
        <v/>
      </c>
      <c r="B1137" s="26"/>
      <c r="C1137" s="24"/>
      <c r="D1137" s="21"/>
      <c r="E1137" s="21"/>
      <c r="F1137" s="21"/>
      <c r="G1137" s="21"/>
      <c r="H1137" s="27"/>
      <c r="I1137" s="23" t="str">
        <f aca="false">IF($D1137&lt;&gt;"销项开票","",IF($N1137="一级",IF(IFERROR(INDEX(项目档案!$E$6:$E$255,MATCH($C1137,项目档案!$A$6:$A$255,0)),"")="",N(IFERROR(INDEX(单位档案!$D$6:$D$35,MATCH($E1137,单位档案!$A$6:$A$35,0)),"")),IFERROR(INDEX(项目档案!$E$6:$E$255,MATCH($C1137,项目档案!$A$6:$A$255,0)),"")),IF($N1137="二级",IF(IFERROR(INDEX(项目档案!$G$6:$G$255,MATCH($C1137,项目档案!$A$6:$A$255,0)),"")="",N(IFERROR(INDEX(单位档案!$D$6:$D$35,MATCH($E1137,单位档案!$A$6:$A$35,0)),"")),IFERROR(INDEX(项目档案!$G$6:$G$255,MATCH($C1137,项目档案!$A$6:$A$255,0)),"")),N(IFERROR(INDEX(单位档案!$D$6:$D$35,MATCH($E1137,单位档案!$A$6:$A$35,0)),"")))))</f>
        <v/>
      </c>
      <c r="J1137" s="22"/>
      <c r="K1137" s="22"/>
      <c r="L1137" s="33" t="str">
        <f aca="false">IF($B1137="","",IF(NOT(ISNUMBER($B1137)),"日期格式不对",IF($C1137="","未选项目编号",IF(LEFT($M1137,1)="⚠","项目编号不存在",IF($D1137="","未选业务类型",IF($E1137="","未选开票/付款方",IF(ISNA(MATCH($E1137,单位档案!$A$6:$A$35,0)),"开票方不在单位档案",IF($F1137="","未选收票/收款方",IF(ISNA(MATCH($F1137,单位档案!$A$6:$A$35,0)),"收款方不在单位档案",IF(NOT(ISNUMBER($H1137)),"金额须为数字",IF(AND($D1137="销项开票",$N1137="—"),"链条待确认","√")))))))))))</f>
        <v/>
      </c>
      <c r="M1137" s="34" t="str">
        <f aca="false">IF($C1137="","",IFERROR(INDEX(项目档案!$B$6:$B$255,MATCH($C1137,项目档案!$A$6:$A$255,0)),"⚠项目编号不存在"))</f>
        <v/>
      </c>
      <c r="N1137" s="35" t="str">
        <f aca="false">IF($E1137="","",IF($E1137=IFERROR(INDEX(项目档案!$D$6:$D$255,MATCH($C1137,项目档案!$A$6:$A$255,0)),""),"一级",IF($E1137=IFERROR(INDEX(项目档案!$F$6:$F$255,MATCH($C1137,项目档案!$A$6:$A$255,0)),""),"二级",IF($E1137=IFERROR(INDEX(项目档案!$H$6:$H$255,MATCH($C1137,项目档案!$A$6:$A$255,0)),""),"我方","—"))))</f>
        <v/>
      </c>
      <c r="O1137" s="36" t="n">
        <f aca="false">IF($D1137&lt;&gt;"销项开票",0,ROUND(N($H1137)*N($I1137),2))</f>
        <v>0</v>
      </c>
      <c r="P1137" s="36" t="n">
        <f aca="false">IF($D1137&lt;&gt;"销项开票",0,ROUND(N($H1137)-$O1137,2))</f>
        <v>0</v>
      </c>
      <c r="Q1137" s="37" t="str">
        <f aca="false">IF($E1137="","",N(IFERROR(INDEX(单位档案!$E$6:$E$35,MATCH($E1137,单位档案!$A$6:$A$35,0)),"")))</f>
        <v/>
      </c>
      <c r="R1137" s="37" t="str">
        <f aca="false">IF($E1137="","",N(IFERROR(INDEX(单位档案!$F$6:$F$35,MATCH($E1137,单位档案!$A$6:$A$35,0)),"")))</f>
        <v/>
      </c>
      <c r="S1137" s="36" t="n">
        <f aca="false">IF(OR($D1137&lt;&gt;"销项开票",IFERROR(INDEX(单位档案!$G$6:$G$35,MATCH($E1137,单位档案!$A$6:$A$35,0)),"")&lt;&gt;"是",N($Q1137)=0),0,IF(IFERROR(INDEX(单位档案!$H$6:$H$35,MATCH($E1137,单位档案!$A$6:$A$35,0)),"")="税差法",ROUND(N($H1137)/(1+$Q1137)*$Q1137-IF(N($R1137)=0,0,$P1137/(1+$R1137)*$R1137),2),ROUND(N($H1137)/(1+$Q1137)*$Q1137,2)))</f>
        <v>0</v>
      </c>
      <c r="T1137" s="36" t="n">
        <f aca="false">ROUND($S1137*N(IFERROR(INDEX(单位档案!$J$6:$J$35,MATCH($E1137,单位档案!$A$6:$A$35,0)),"")),2)</f>
        <v>0</v>
      </c>
      <c r="U1137" s="36" t="n">
        <f aca="false">IF($D1137&lt;&gt;"销项开票",0,ROUND(N($H1137)*N(IFERROR(INDEX(单位档案!$K$6:$K$35,MATCH($E1137,单位档案!$A$6:$A$35,0)),"")),2))</f>
        <v>0</v>
      </c>
      <c r="V1137" s="36" t="n">
        <f aca="false">IF(OR($D1137&lt;&gt;"销项开票",N($Q1137)=0),0,ROUND(N($H1137)/(1+$Q1137)*N(IFERROR(INDEX(单位档案!$L$6:$L$35,MATCH($E1137,单位档案!$A$6:$A$35,0)),"")),2))</f>
        <v>0</v>
      </c>
      <c r="W1137" s="36" t="n">
        <f aca="false">ROUND($S1137+$T1137+$U1137+$V1137,2)</f>
        <v>0</v>
      </c>
      <c r="X1137" s="35" t="str">
        <f aca="false">IF(OR($D1137="挂靠代收",$D1137="我方收款"),COUNTIFS($D$5:$D1137,"挂靠代收")+COUNTIFS($D$5:$D1137,"我方收款"),"")</f>
        <v/>
      </c>
      <c r="Y1137" s="35"/>
      <c r="Z1137" s="21" t="s">
        <v>111</v>
      </c>
    </row>
    <row r="1138" customFormat="false" ht="15.75" hidden="false" customHeight="true" outlineLevel="0" collapsed="false">
      <c r="A1138" s="32" t="str">
        <f aca="false">IF($B1138="","",ROW()-4)</f>
        <v/>
      </c>
      <c r="B1138" s="26"/>
      <c r="C1138" s="24"/>
      <c r="D1138" s="21"/>
      <c r="E1138" s="21"/>
      <c r="F1138" s="21"/>
      <c r="G1138" s="21"/>
      <c r="H1138" s="27"/>
      <c r="I1138" s="23" t="str">
        <f aca="false">IF($D1138&lt;&gt;"销项开票","",IF($N1138="一级",IF(IFERROR(INDEX(项目档案!$E$6:$E$255,MATCH($C1138,项目档案!$A$6:$A$255,0)),"")="",N(IFERROR(INDEX(单位档案!$D$6:$D$35,MATCH($E1138,单位档案!$A$6:$A$35,0)),"")),IFERROR(INDEX(项目档案!$E$6:$E$255,MATCH($C1138,项目档案!$A$6:$A$255,0)),"")),IF($N1138="二级",IF(IFERROR(INDEX(项目档案!$G$6:$G$255,MATCH($C1138,项目档案!$A$6:$A$255,0)),"")="",N(IFERROR(INDEX(单位档案!$D$6:$D$35,MATCH($E1138,单位档案!$A$6:$A$35,0)),"")),IFERROR(INDEX(项目档案!$G$6:$G$255,MATCH($C1138,项目档案!$A$6:$A$255,0)),"")),N(IFERROR(INDEX(单位档案!$D$6:$D$35,MATCH($E1138,单位档案!$A$6:$A$35,0)),"")))))</f>
        <v/>
      </c>
      <c r="J1138" s="22"/>
      <c r="K1138" s="22"/>
      <c r="L1138" s="33" t="str">
        <f aca="false">IF($B1138="","",IF(NOT(ISNUMBER($B1138)),"日期格式不对",IF($C1138="","未选项目编号",IF(LEFT($M1138,1)="⚠","项目编号不存在",IF($D1138="","未选业务类型",IF($E1138="","未选开票/付款方",IF(ISNA(MATCH($E1138,单位档案!$A$6:$A$35,0)),"开票方不在单位档案",IF($F1138="","未选收票/收款方",IF(ISNA(MATCH($F1138,单位档案!$A$6:$A$35,0)),"收款方不在单位档案",IF(NOT(ISNUMBER($H1138)),"金额须为数字",IF(AND($D1138="销项开票",$N1138="—"),"链条待确认","√")))))))))))</f>
        <v/>
      </c>
      <c r="M1138" s="34" t="str">
        <f aca="false">IF($C1138="","",IFERROR(INDEX(项目档案!$B$6:$B$255,MATCH($C1138,项目档案!$A$6:$A$255,0)),"⚠项目编号不存在"))</f>
        <v/>
      </c>
      <c r="N1138" s="35" t="str">
        <f aca="false">IF($E1138="","",IF($E1138=IFERROR(INDEX(项目档案!$D$6:$D$255,MATCH($C1138,项目档案!$A$6:$A$255,0)),""),"一级",IF($E1138=IFERROR(INDEX(项目档案!$F$6:$F$255,MATCH($C1138,项目档案!$A$6:$A$255,0)),""),"二级",IF($E1138=IFERROR(INDEX(项目档案!$H$6:$H$255,MATCH($C1138,项目档案!$A$6:$A$255,0)),""),"我方","—"))))</f>
        <v/>
      </c>
      <c r="O1138" s="36" t="n">
        <f aca="false">IF($D1138&lt;&gt;"销项开票",0,ROUND(N($H1138)*N($I1138),2))</f>
        <v>0</v>
      </c>
      <c r="P1138" s="36" t="n">
        <f aca="false">IF($D1138&lt;&gt;"销项开票",0,ROUND(N($H1138)-$O1138,2))</f>
        <v>0</v>
      </c>
      <c r="Q1138" s="37" t="str">
        <f aca="false">IF($E1138="","",N(IFERROR(INDEX(单位档案!$E$6:$E$35,MATCH($E1138,单位档案!$A$6:$A$35,0)),"")))</f>
        <v/>
      </c>
      <c r="R1138" s="37" t="str">
        <f aca="false">IF($E1138="","",N(IFERROR(INDEX(单位档案!$F$6:$F$35,MATCH($E1138,单位档案!$A$6:$A$35,0)),"")))</f>
        <v/>
      </c>
      <c r="S1138" s="36" t="n">
        <f aca="false">IF(OR($D1138&lt;&gt;"销项开票",IFERROR(INDEX(单位档案!$G$6:$G$35,MATCH($E1138,单位档案!$A$6:$A$35,0)),"")&lt;&gt;"是",N($Q1138)=0),0,IF(IFERROR(INDEX(单位档案!$H$6:$H$35,MATCH($E1138,单位档案!$A$6:$A$35,0)),"")="税差法",ROUND(N($H1138)/(1+$Q1138)*$Q1138-IF(N($R1138)=0,0,$P1138/(1+$R1138)*$R1138),2),ROUND(N($H1138)/(1+$Q1138)*$Q1138,2)))</f>
        <v>0</v>
      </c>
      <c r="T1138" s="36" t="n">
        <f aca="false">ROUND($S1138*N(IFERROR(INDEX(单位档案!$J$6:$J$35,MATCH($E1138,单位档案!$A$6:$A$35,0)),"")),2)</f>
        <v>0</v>
      </c>
      <c r="U1138" s="36" t="n">
        <f aca="false">IF($D1138&lt;&gt;"销项开票",0,ROUND(N($H1138)*N(IFERROR(INDEX(单位档案!$K$6:$K$35,MATCH($E1138,单位档案!$A$6:$A$35,0)),"")),2))</f>
        <v>0</v>
      </c>
      <c r="V1138" s="36" t="n">
        <f aca="false">IF(OR($D1138&lt;&gt;"销项开票",N($Q1138)=0),0,ROUND(N($H1138)/(1+$Q1138)*N(IFERROR(INDEX(单位档案!$L$6:$L$35,MATCH($E1138,单位档案!$A$6:$A$35,0)),"")),2))</f>
        <v>0</v>
      </c>
      <c r="W1138" s="36" t="n">
        <f aca="false">ROUND($S1138+$T1138+$U1138+$V1138,2)</f>
        <v>0</v>
      </c>
      <c r="X1138" s="35" t="str">
        <f aca="false">IF(OR($D1138="挂靠代收",$D1138="我方收款"),COUNTIFS($D$5:$D1138,"挂靠代收")+COUNTIFS($D$5:$D1138,"我方收款"),"")</f>
        <v/>
      </c>
      <c r="Y1138" s="35"/>
      <c r="Z1138" s="21" t="s">
        <v>111</v>
      </c>
    </row>
    <row r="1139" customFormat="false" ht="15.75" hidden="false" customHeight="true" outlineLevel="0" collapsed="false">
      <c r="A1139" s="32" t="str">
        <f aca="false">IF($B1139="","",ROW()-4)</f>
        <v/>
      </c>
      <c r="B1139" s="26"/>
      <c r="C1139" s="24"/>
      <c r="D1139" s="21"/>
      <c r="E1139" s="21"/>
      <c r="F1139" s="21"/>
      <c r="G1139" s="21"/>
      <c r="H1139" s="27"/>
      <c r="I1139" s="23" t="str">
        <f aca="false">IF($D1139&lt;&gt;"销项开票","",IF($N1139="一级",IF(IFERROR(INDEX(项目档案!$E$6:$E$255,MATCH($C1139,项目档案!$A$6:$A$255,0)),"")="",N(IFERROR(INDEX(单位档案!$D$6:$D$35,MATCH($E1139,单位档案!$A$6:$A$35,0)),"")),IFERROR(INDEX(项目档案!$E$6:$E$255,MATCH($C1139,项目档案!$A$6:$A$255,0)),"")),IF($N1139="二级",IF(IFERROR(INDEX(项目档案!$G$6:$G$255,MATCH($C1139,项目档案!$A$6:$A$255,0)),"")="",N(IFERROR(INDEX(单位档案!$D$6:$D$35,MATCH($E1139,单位档案!$A$6:$A$35,0)),"")),IFERROR(INDEX(项目档案!$G$6:$G$255,MATCH($C1139,项目档案!$A$6:$A$255,0)),"")),N(IFERROR(INDEX(单位档案!$D$6:$D$35,MATCH($E1139,单位档案!$A$6:$A$35,0)),"")))))</f>
        <v/>
      </c>
      <c r="J1139" s="22"/>
      <c r="K1139" s="22"/>
      <c r="L1139" s="33" t="str">
        <f aca="false">IF($B1139="","",IF(NOT(ISNUMBER($B1139)),"日期格式不对",IF($C1139="","未选项目编号",IF(LEFT($M1139,1)="⚠","项目编号不存在",IF($D1139="","未选业务类型",IF($E1139="","未选开票/付款方",IF(ISNA(MATCH($E1139,单位档案!$A$6:$A$35,0)),"开票方不在单位档案",IF($F1139="","未选收票/收款方",IF(ISNA(MATCH($F1139,单位档案!$A$6:$A$35,0)),"收款方不在单位档案",IF(NOT(ISNUMBER($H1139)),"金额须为数字",IF(AND($D1139="销项开票",$N1139="—"),"链条待确认","√")))))))))))</f>
        <v/>
      </c>
      <c r="M1139" s="34" t="str">
        <f aca="false">IF($C1139="","",IFERROR(INDEX(项目档案!$B$6:$B$255,MATCH($C1139,项目档案!$A$6:$A$255,0)),"⚠项目编号不存在"))</f>
        <v/>
      </c>
      <c r="N1139" s="35" t="str">
        <f aca="false">IF($E1139="","",IF($E1139=IFERROR(INDEX(项目档案!$D$6:$D$255,MATCH($C1139,项目档案!$A$6:$A$255,0)),""),"一级",IF($E1139=IFERROR(INDEX(项目档案!$F$6:$F$255,MATCH($C1139,项目档案!$A$6:$A$255,0)),""),"二级",IF($E1139=IFERROR(INDEX(项目档案!$H$6:$H$255,MATCH($C1139,项目档案!$A$6:$A$255,0)),""),"我方","—"))))</f>
        <v/>
      </c>
      <c r="O1139" s="36" t="n">
        <f aca="false">IF($D1139&lt;&gt;"销项开票",0,ROUND(N($H1139)*N($I1139),2))</f>
        <v>0</v>
      </c>
      <c r="P1139" s="36" t="n">
        <f aca="false">IF($D1139&lt;&gt;"销项开票",0,ROUND(N($H1139)-$O1139,2))</f>
        <v>0</v>
      </c>
      <c r="Q1139" s="37" t="str">
        <f aca="false">IF($E1139="","",N(IFERROR(INDEX(单位档案!$E$6:$E$35,MATCH($E1139,单位档案!$A$6:$A$35,0)),"")))</f>
        <v/>
      </c>
      <c r="R1139" s="37" t="str">
        <f aca="false">IF($E1139="","",N(IFERROR(INDEX(单位档案!$F$6:$F$35,MATCH($E1139,单位档案!$A$6:$A$35,0)),"")))</f>
        <v/>
      </c>
      <c r="S1139" s="36" t="n">
        <f aca="false">IF(OR($D1139&lt;&gt;"销项开票",IFERROR(INDEX(单位档案!$G$6:$G$35,MATCH($E1139,单位档案!$A$6:$A$35,0)),"")&lt;&gt;"是",N($Q1139)=0),0,IF(IFERROR(INDEX(单位档案!$H$6:$H$35,MATCH($E1139,单位档案!$A$6:$A$35,0)),"")="税差法",ROUND(N($H1139)/(1+$Q1139)*$Q1139-IF(N($R1139)=0,0,$P1139/(1+$R1139)*$R1139),2),ROUND(N($H1139)/(1+$Q1139)*$Q1139,2)))</f>
        <v>0</v>
      </c>
      <c r="T1139" s="36" t="n">
        <f aca="false">ROUND($S1139*N(IFERROR(INDEX(单位档案!$J$6:$J$35,MATCH($E1139,单位档案!$A$6:$A$35,0)),"")),2)</f>
        <v>0</v>
      </c>
      <c r="U1139" s="36" t="n">
        <f aca="false">IF($D1139&lt;&gt;"销项开票",0,ROUND(N($H1139)*N(IFERROR(INDEX(单位档案!$K$6:$K$35,MATCH($E1139,单位档案!$A$6:$A$35,0)),"")),2))</f>
        <v>0</v>
      </c>
      <c r="V1139" s="36" t="n">
        <f aca="false">IF(OR($D1139&lt;&gt;"销项开票",N($Q1139)=0),0,ROUND(N($H1139)/(1+$Q1139)*N(IFERROR(INDEX(单位档案!$L$6:$L$35,MATCH($E1139,单位档案!$A$6:$A$35,0)),"")),2))</f>
        <v>0</v>
      </c>
      <c r="W1139" s="36" t="n">
        <f aca="false">ROUND($S1139+$T1139+$U1139+$V1139,2)</f>
        <v>0</v>
      </c>
      <c r="X1139" s="35" t="str">
        <f aca="false">IF(OR($D1139="挂靠代收",$D1139="我方收款"),COUNTIFS($D$5:$D1139,"挂靠代收")+COUNTIFS($D$5:$D1139,"我方收款"),"")</f>
        <v/>
      </c>
      <c r="Y1139" s="35"/>
      <c r="Z1139" s="21" t="s">
        <v>111</v>
      </c>
    </row>
    <row r="1140" customFormat="false" ht="15.75" hidden="false" customHeight="true" outlineLevel="0" collapsed="false">
      <c r="A1140" s="32" t="str">
        <f aca="false">IF($B1140="","",ROW()-4)</f>
        <v/>
      </c>
      <c r="B1140" s="26"/>
      <c r="C1140" s="24"/>
      <c r="D1140" s="21"/>
      <c r="E1140" s="21"/>
      <c r="F1140" s="21"/>
      <c r="G1140" s="21"/>
      <c r="H1140" s="27"/>
      <c r="I1140" s="23" t="str">
        <f aca="false">IF($D1140&lt;&gt;"销项开票","",IF($N1140="一级",IF(IFERROR(INDEX(项目档案!$E$6:$E$255,MATCH($C1140,项目档案!$A$6:$A$255,0)),"")="",N(IFERROR(INDEX(单位档案!$D$6:$D$35,MATCH($E1140,单位档案!$A$6:$A$35,0)),"")),IFERROR(INDEX(项目档案!$E$6:$E$255,MATCH($C1140,项目档案!$A$6:$A$255,0)),"")),IF($N1140="二级",IF(IFERROR(INDEX(项目档案!$G$6:$G$255,MATCH($C1140,项目档案!$A$6:$A$255,0)),"")="",N(IFERROR(INDEX(单位档案!$D$6:$D$35,MATCH($E1140,单位档案!$A$6:$A$35,0)),"")),IFERROR(INDEX(项目档案!$G$6:$G$255,MATCH($C1140,项目档案!$A$6:$A$255,0)),"")),N(IFERROR(INDEX(单位档案!$D$6:$D$35,MATCH($E1140,单位档案!$A$6:$A$35,0)),"")))))</f>
        <v/>
      </c>
      <c r="J1140" s="22"/>
      <c r="K1140" s="22"/>
      <c r="L1140" s="33" t="str">
        <f aca="false">IF($B1140="","",IF(NOT(ISNUMBER($B1140)),"日期格式不对",IF($C1140="","未选项目编号",IF(LEFT($M1140,1)="⚠","项目编号不存在",IF($D1140="","未选业务类型",IF($E1140="","未选开票/付款方",IF(ISNA(MATCH($E1140,单位档案!$A$6:$A$35,0)),"开票方不在单位档案",IF($F1140="","未选收票/收款方",IF(ISNA(MATCH($F1140,单位档案!$A$6:$A$35,0)),"收款方不在单位档案",IF(NOT(ISNUMBER($H1140)),"金额须为数字",IF(AND($D1140="销项开票",$N1140="—"),"链条待确认","√")))))))))))</f>
        <v/>
      </c>
      <c r="M1140" s="34" t="str">
        <f aca="false">IF($C1140="","",IFERROR(INDEX(项目档案!$B$6:$B$255,MATCH($C1140,项目档案!$A$6:$A$255,0)),"⚠项目编号不存在"))</f>
        <v/>
      </c>
      <c r="N1140" s="35" t="str">
        <f aca="false">IF($E1140="","",IF($E1140=IFERROR(INDEX(项目档案!$D$6:$D$255,MATCH($C1140,项目档案!$A$6:$A$255,0)),""),"一级",IF($E1140=IFERROR(INDEX(项目档案!$F$6:$F$255,MATCH($C1140,项目档案!$A$6:$A$255,0)),""),"二级",IF($E1140=IFERROR(INDEX(项目档案!$H$6:$H$255,MATCH($C1140,项目档案!$A$6:$A$255,0)),""),"我方","—"))))</f>
        <v/>
      </c>
      <c r="O1140" s="36" t="n">
        <f aca="false">IF($D1140&lt;&gt;"销项开票",0,ROUND(N($H1140)*N($I1140),2))</f>
        <v>0</v>
      </c>
      <c r="P1140" s="36" t="n">
        <f aca="false">IF($D1140&lt;&gt;"销项开票",0,ROUND(N($H1140)-$O1140,2))</f>
        <v>0</v>
      </c>
      <c r="Q1140" s="37" t="str">
        <f aca="false">IF($E1140="","",N(IFERROR(INDEX(单位档案!$E$6:$E$35,MATCH($E1140,单位档案!$A$6:$A$35,0)),"")))</f>
        <v/>
      </c>
      <c r="R1140" s="37" t="str">
        <f aca="false">IF($E1140="","",N(IFERROR(INDEX(单位档案!$F$6:$F$35,MATCH($E1140,单位档案!$A$6:$A$35,0)),"")))</f>
        <v/>
      </c>
      <c r="S1140" s="36" t="n">
        <f aca="false">IF(OR($D1140&lt;&gt;"销项开票",IFERROR(INDEX(单位档案!$G$6:$G$35,MATCH($E1140,单位档案!$A$6:$A$35,0)),"")&lt;&gt;"是",N($Q1140)=0),0,IF(IFERROR(INDEX(单位档案!$H$6:$H$35,MATCH($E1140,单位档案!$A$6:$A$35,0)),"")="税差法",ROUND(N($H1140)/(1+$Q1140)*$Q1140-IF(N($R1140)=0,0,$P1140/(1+$R1140)*$R1140),2),ROUND(N($H1140)/(1+$Q1140)*$Q1140,2)))</f>
        <v>0</v>
      </c>
      <c r="T1140" s="36" t="n">
        <f aca="false">ROUND($S1140*N(IFERROR(INDEX(单位档案!$J$6:$J$35,MATCH($E1140,单位档案!$A$6:$A$35,0)),"")),2)</f>
        <v>0</v>
      </c>
      <c r="U1140" s="36" t="n">
        <f aca="false">IF($D1140&lt;&gt;"销项开票",0,ROUND(N($H1140)*N(IFERROR(INDEX(单位档案!$K$6:$K$35,MATCH($E1140,单位档案!$A$6:$A$35,0)),"")),2))</f>
        <v>0</v>
      </c>
      <c r="V1140" s="36" t="n">
        <f aca="false">IF(OR($D1140&lt;&gt;"销项开票",N($Q1140)=0),0,ROUND(N($H1140)/(1+$Q1140)*N(IFERROR(INDEX(单位档案!$L$6:$L$35,MATCH($E1140,单位档案!$A$6:$A$35,0)),"")),2))</f>
        <v>0</v>
      </c>
      <c r="W1140" s="36" t="n">
        <f aca="false">ROUND($S1140+$T1140+$U1140+$V1140,2)</f>
        <v>0</v>
      </c>
      <c r="X1140" s="35" t="str">
        <f aca="false">IF(OR($D1140="挂靠代收",$D1140="我方收款"),COUNTIFS($D$5:$D1140,"挂靠代收")+COUNTIFS($D$5:$D1140,"我方收款"),"")</f>
        <v/>
      </c>
      <c r="Y1140" s="35"/>
      <c r="Z1140" s="21" t="s">
        <v>111</v>
      </c>
    </row>
    <row r="1141" customFormat="false" ht="15.75" hidden="false" customHeight="true" outlineLevel="0" collapsed="false">
      <c r="A1141" s="32" t="str">
        <f aca="false">IF($B1141="","",ROW()-4)</f>
        <v/>
      </c>
      <c r="B1141" s="26"/>
      <c r="C1141" s="24"/>
      <c r="D1141" s="21"/>
      <c r="E1141" s="21"/>
      <c r="F1141" s="21"/>
      <c r="G1141" s="21"/>
      <c r="H1141" s="27"/>
      <c r="I1141" s="23" t="str">
        <f aca="false">IF($D1141&lt;&gt;"销项开票","",IF($N1141="一级",IF(IFERROR(INDEX(项目档案!$E$6:$E$255,MATCH($C1141,项目档案!$A$6:$A$255,0)),"")="",N(IFERROR(INDEX(单位档案!$D$6:$D$35,MATCH($E1141,单位档案!$A$6:$A$35,0)),"")),IFERROR(INDEX(项目档案!$E$6:$E$255,MATCH($C1141,项目档案!$A$6:$A$255,0)),"")),IF($N1141="二级",IF(IFERROR(INDEX(项目档案!$G$6:$G$255,MATCH($C1141,项目档案!$A$6:$A$255,0)),"")="",N(IFERROR(INDEX(单位档案!$D$6:$D$35,MATCH($E1141,单位档案!$A$6:$A$35,0)),"")),IFERROR(INDEX(项目档案!$G$6:$G$255,MATCH($C1141,项目档案!$A$6:$A$255,0)),"")),N(IFERROR(INDEX(单位档案!$D$6:$D$35,MATCH($E1141,单位档案!$A$6:$A$35,0)),"")))))</f>
        <v/>
      </c>
      <c r="J1141" s="22"/>
      <c r="K1141" s="22"/>
      <c r="L1141" s="33" t="str">
        <f aca="false">IF($B1141="","",IF(NOT(ISNUMBER($B1141)),"日期格式不对",IF($C1141="","未选项目编号",IF(LEFT($M1141,1)="⚠","项目编号不存在",IF($D1141="","未选业务类型",IF($E1141="","未选开票/付款方",IF(ISNA(MATCH($E1141,单位档案!$A$6:$A$35,0)),"开票方不在单位档案",IF($F1141="","未选收票/收款方",IF(ISNA(MATCH($F1141,单位档案!$A$6:$A$35,0)),"收款方不在单位档案",IF(NOT(ISNUMBER($H1141)),"金额须为数字",IF(AND($D1141="销项开票",$N1141="—"),"链条待确认","√")))))))))))</f>
        <v/>
      </c>
      <c r="M1141" s="34" t="str">
        <f aca="false">IF($C1141="","",IFERROR(INDEX(项目档案!$B$6:$B$255,MATCH($C1141,项目档案!$A$6:$A$255,0)),"⚠项目编号不存在"))</f>
        <v/>
      </c>
      <c r="N1141" s="35" t="str">
        <f aca="false">IF($E1141="","",IF($E1141=IFERROR(INDEX(项目档案!$D$6:$D$255,MATCH($C1141,项目档案!$A$6:$A$255,0)),""),"一级",IF($E1141=IFERROR(INDEX(项目档案!$F$6:$F$255,MATCH($C1141,项目档案!$A$6:$A$255,0)),""),"二级",IF($E1141=IFERROR(INDEX(项目档案!$H$6:$H$255,MATCH($C1141,项目档案!$A$6:$A$255,0)),""),"我方","—"))))</f>
        <v/>
      </c>
      <c r="O1141" s="36" t="n">
        <f aca="false">IF($D1141&lt;&gt;"销项开票",0,ROUND(N($H1141)*N($I1141),2))</f>
        <v>0</v>
      </c>
      <c r="P1141" s="36" t="n">
        <f aca="false">IF($D1141&lt;&gt;"销项开票",0,ROUND(N($H1141)-$O1141,2))</f>
        <v>0</v>
      </c>
      <c r="Q1141" s="37" t="str">
        <f aca="false">IF($E1141="","",N(IFERROR(INDEX(单位档案!$E$6:$E$35,MATCH($E1141,单位档案!$A$6:$A$35,0)),"")))</f>
        <v/>
      </c>
      <c r="R1141" s="37" t="str">
        <f aca="false">IF($E1141="","",N(IFERROR(INDEX(单位档案!$F$6:$F$35,MATCH($E1141,单位档案!$A$6:$A$35,0)),"")))</f>
        <v/>
      </c>
      <c r="S1141" s="36" t="n">
        <f aca="false">IF(OR($D1141&lt;&gt;"销项开票",IFERROR(INDEX(单位档案!$G$6:$G$35,MATCH($E1141,单位档案!$A$6:$A$35,0)),"")&lt;&gt;"是",N($Q1141)=0),0,IF(IFERROR(INDEX(单位档案!$H$6:$H$35,MATCH($E1141,单位档案!$A$6:$A$35,0)),"")="税差法",ROUND(N($H1141)/(1+$Q1141)*$Q1141-IF(N($R1141)=0,0,$P1141/(1+$R1141)*$R1141),2),ROUND(N($H1141)/(1+$Q1141)*$Q1141,2)))</f>
        <v>0</v>
      </c>
      <c r="T1141" s="36" t="n">
        <f aca="false">ROUND($S1141*N(IFERROR(INDEX(单位档案!$J$6:$J$35,MATCH($E1141,单位档案!$A$6:$A$35,0)),"")),2)</f>
        <v>0</v>
      </c>
      <c r="U1141" s="36" t="n">
        <f aca="false">IF($D1141&lt;&gt;"销项开票",0,ROUND(N($H1141)*N(IFERROR(INDEX(单位档案!$K$6:$K$35,MATCH($E1141,单位档案!$A$6:$A$35,0)),"")),2))</f>
        <v>0</v>
      </c>
      <c r="V1141" s="36" t="n">
        <f aca="false">IF(OR($D1141&lt;&gt;"销项开票",N($Q1141)=0),0,ROUND(N($H1141)/(1+$Q1141)*N(IFERROR(INDEX(单位档案!$L$6:$L$35,MATCH($E1141,单位档案!$A$6:$A$35,0)),"")),2))</f>
        <v>0</v>
      </c>
      <c r="W1141" s="36" t="n">
        <f aca="false">ROUND($S1141+$T1141+$U1141+$V1141,2)</f>
        <v>0</v>
      </c>
      <c r="X1141" s="35" t="str">
        <f aca="false">IF(OR($D1141="挂靠代收",$D1141="我方收款"),COUNTIFS($D$5:$D1141,"挂靠代收")+COUNTIFS($D$5:$D1141,"我方收款"),"")</f>
        <v/>
      </c>
      <c r="Y1141" s="35"/>
      <c r="Z1141" s="21" t="s">
        <v>111</v>
      </c>
    </row>
    <row r="1142" customFormat="false" ht="15.75" hidden="false" customHeight="true" outlineLevel="0" collapsed="false">
      <c r="A1142" s="32" t="str">
        <f aca="false">IF($B1142="","",ROW()-4)</f>
        <v/>
      </c>
      <c r="B1142" s="26"/>
      <c r="C1142" s="24"/>
      <c r="D1142" s="21"/>
      <c r="E1142" s="21"/>
      <c r="F1142" s="21"/>
      <c r="G1142" s="21"/>
      <c r="H1142" s="27"/>
      <c r="I1142" s="23" t="str">
        <f aca="false">IF($D1142&lt;&gt;"销项开票","",IF($N1142="一级",IF(IFERROR(INDEX(项目档案!$E$6:$E$255,MATCH($C1142,项目档案!$A$6:$A$255,0)),"")="",N(IFERROR(INDEX(单位档案!$D$6:$D$35,MATCH($E1142,单位档案!$A$6:$A$35,0)),"")),IFERROR(INDEX(项目档案!$E$6:$E$255,MATCH($C1142,项目档案!$A$6:$A$255,0)),"")),IF($N1142="二级",IF(IFERROR(INDEX(项目档案!$G$6:$G$255,MATCH($C1142,项目档案!$A$6:$A$255,0)),"")="",N(IFERROR(INDEX(单位档案!$D$6:$D$35,MATCH($E1142,单位档案!$A$6:$A$35,0)),"")),IFERROR(INDEX(项目档案!$G$6:$G$255,MATCH($C1142,项目档案!$A$6:$A$255,0)),"")),N(IFERROR(INDEX(单位档案!$D$6:$D$35,MATCH($E1142,单位档案!$A$6:$A$35,0)),"")))))</f>
        <v/>
      </c>
      <c r="J1142" s="22"/>
      <c r="K1142" s="22"/>
      <c r="L1142" s="33" t="str">
        <f aca="false">IF($B1142="","",IF(NOT(ISNUMBER($B1142)),"日期格式不对",IF($C1142="","未选项目编号",IF(LEFT($M1142,1)="⚠","项目编号不存在",IF($D1142="","未选业务类型",IF($E1142="","未选开票/付款方",IF(ISNA(MATCH($E1142,单位档案!$A$6:$A$35,0)),"开票方不在单位档案",IF($F1142="","未选收票/收款方",IF(ISNA(MATCH($F1142,单位档案!$A$6:$A$35,0)),"收款方不在单位档案",IF(NOT(ISNUMBER($H1142)),"金额须为数字",IF(AND($D1142="销项开票",$N1142="—"),"链条待确认","√")))))))))))</f>
        <v/>
      </c>
      <c r="M1142" s="34" t="str">
        <f aca="false">IF($C1142="","",IFERROR(INDEX(项目档案!$B$6:$B$255,MATCH($C1142,项目档案!$A$6:$A$255,0)),"⚠项目编号不存在"))</f>
        <v/>
      </c>
      <c r="N1142" s="35" t="str">
        <f aca="false">IF($E1142="","",IF($E1142=IFERROR(INDEX(项目档案!$D$6:$D$255,MATCH($C1142,项目档案!$A$6:$A$255,0)),""),"一级",IF($E1142=IFERROR(INDEX(项目档案!$F$6:$F$255,MATCH($C1142,项目档案!$A$6:$A$255,0)),""),"二级",IF($E1142=IFERROR(INDEX(项目档案!$H$6:$H$255,MATCH($C1142,项目档案!$A$6:$A$255,0)),""),"我方","—"))))</f>
        <v/>
      </c>
      <c r="O1142" s="36" t="n">
        <f aca="false">IF($D1142&lt;&gt;"销项开票",0,ROUND(N($H1142)*N($I1142),2))</f>
        <v>0</v>
      </c>
      <c r="P1142" s="36" t="n">
        <f aca="false">IF($D1142&lt;&gt;"销项开票",0,ROUND(N($H1142)-$O1142,2))</f>
        <v>0</v>
      </c>
      <c r="Q1142" s="37" t="str">
        <f aca="false">IF($E1142="","",N(IFERROR(INDEX(单位档案!$E$6:$E$35,MATCH($E1142,单位档案!$A$6:$A$35,0)),"")))</f>
        <v/>
      </c>
      <c r="R1142" s="37" t="str">
        <f aca="false">IF($E1142="","",N(IFERROR(INDEX(单位档案!$F$6:$F$35,MATCH($E1142,单位档案!$A$6:$A$35,0)),"")))</f>
        <v/>
      </c>
      <c r="S1142" s="36" t="n">
        <f aca="false">IF(OR($D1142&lt;&gt;"销项开票",IFERROR(INDEX(单位档案!$G$6:$G$35,MATCH($E1142,单位档案!$A$6:$A$35,0)),"")&lt;&gt;"是",N($Q1142)=0),0,IF(IFERROR(INDEX(单位档案!$H$6:$H$35,MATCH($E1142,单位档案!$A$6:$A$35,0)),"")="税差法",ROUND(N($H1142)/(1+$Q1142)*$Q1142-IF(N($R1142)=0,0,$P1142/(1+$R1142)*$R1142),2),ROUND(N($H1142)/(1+$Q1142)*$Q1142,2)))</f>
        <v>0</v>
      </c>
      <c r="T1142" s="36" t="n">
        <f aca="false">ROUND($S1142*N(IFERROR(INDEX(单位档案!$J$6:$J$35,MATCH($E1142,单位档案!$A$6:$A$35,0)),"")),2)</f>
        <v>0</v>
      </c>
      <c r="U1142" s="36" t="n">
        <f aca="false">IF($D1142&lt;&gt;"销项开票",0,ROUND(N($H1142)*N(IFERROR(INDEX(单位档案!$K$6:$K$35,MATCH($E1142,单位档案!$A$6:$A$35,0)),"")),2))</f>
        <v>0</v>
      </c>
      <c r="V1142" s="36" t="n">
        <f aca="false">IF(OR($D1142&lt;&gt;"销项开票",N($Q1142)=0),0,ROUND(N($H1142)/(1+$Q1142)*N(IFERROR(INDEX(单位档案!$L$6:$L$35,MATCH($E1142,单位档案!$A$6:$A$35,0)),"")),2))</f>
        <v>0</v>
      </c>
      <c r="W1142" s="36" t="n">
        <f aca="false">ROUND($S1142+$T1142+$U1142+$V1142,2)</f>
        <v>0</v>
      </c>
      <c r="X1142" s="35" t="str">
        <f aca="false">IF(OR($D1142="挂靠代收",$D1142="我方收款"),COUNTIFS($D$5:$D1142,"挂靠代收")+COUNTIFS($D$5:$D1142,"我方收款"),"")</f>
        <v/>
      </c>
      <c r="Y1142" s="35"/>
      <c r="Z1142" s="21" t="s">
        <v>111</v>
      </c>
    </row>
    <row r="1143" customFormat="false" ht="15.75" hidden="false" customHeight="true" outlineLevel="0" collapsed="false">
      <c r="A1143" s="32" t="str">
        <f aca="false">IF($B1143="","",ROW()-4)</f>
        <v/>
      </c>
      <c r="B1143" s="26"/>
      <c r="C1143" s="24"/>
      <c r="D1143" s="21"/>
      <c r="E1143" s="21"/>
      <c r="F1143" s="21"/>
      <c r="G1143" s="21"/>
      <c r="H1143" s="27"/>
      <c r="I1143" s="23" t="str">
        <f aca="false">IF($D1143&lt;&gt;"销项开票","",IF($N1143="一级",IF(IFERROR(INDEX(项目档案!$E$6:$E$255,MATCH($C1143,项目档案!$A$6:$A$255,0)),"")="",N(IFERROR(INDEX(单位档案!$D$6:$D$35,MATCH($E1143,单位档案!$A$6:$A$35,0)),"")),IFERROR(INDEX(项目档案!$E$6:$E$255,MATCH($C1143,项目档案!$A$6:$A$255,0)),"")),IF($N1143="二级",IF(IFERROR(INDEX(项目档案!$G$6:$G$255,MATCH($C1143,项目档案!$A$6:$A$255,0)),"")="",N(IFERROR(INDEX(单位档案!$D$6:$D$35,MATCH($E1143,单位档案!$A$6:$A$35,0)),"")),IFERROR(INDEX(项目档案!$G$6:$G$255,MATCH($C1143,项目档案!$A$6:$A$255,0)),"")),N(IFERROR(INDEX(单位档案!$D$6:$D$35,MATCH($E1143,单位档案!$A$6:$A$35,0)),"")))))</f>
        <v/>
      </c>
      <c r="J1143" s="22"/>
      <c r="K1143" s="22"/>
      <c r="L1143" s="33" t="str">
        <f aca="false">IF($B1143="","",IF(NOT(ISNUMBER($B1143)),"日期格式不对",IF($C1143="","未选项目编号",IF(LEFT($M1143,1)="⚠","项目编号不存在",IF($D1143="","未选业务类型",IF($E1143="","未选开票/付款方",IF(ISNA(MATCH($E1143,单位档案!$A$6:$A$35,0)),"开票方不在单位档案",IF($F1143="","未选收票/收款方",IF(ISNA(MATCH($F1143,单位档案!$A$6:$A$35,0)),"收款方不在单位档案",IF(NOT(ISNUMBER($H1143)),"金额须为数字",IF(AND($D1143="销项开票",$N1143="—"),"链条待确认","√")))))))))))</f>
        <v/>
      </c>
      <c r="M1143" s="34" t="str">
        <f aca="false">IF($C1143="","",IFERROR(INDEX(项目档案!$B$6:$B$255,MATCH($C1143,项目档案!$A$6:$A$255,0)),"⚠项目编号不存在"))</f>
        <v/>
      </c>
      <c r="N1143" s="35" t="str">
        <f aca="false">IF($E1143="","",IF($E1143=IFERROR(INDEX(项目档案!$D$6:$D$255,MATCH($C1143,项目档案!$A$6:$A$255,0)),""),"一级",IF($E1143=IFERROR(INDEX(项目档案!$F$6:$F$255,MATCH($C1143,项目档案!$A$6:$A$255,0)),""),"二级",IF($E1143=IFERROR(INDEX(项目档案!$H$6:$H$255,MATCH($C1143,项目档案!$A$6:$A$255,0)),""),"我方","—"))))</f>
        <v/>
      </c>
      <c r="O1143" s="36" t="n">
        <f aca="false">IF($D1143&lt;&gt;"销项开票",0,ROUND(N($H1143)*N($I1143),2))</f>
        <v>0</v>
      </c>
      <c r="P1143" s="36" t="n">
        <f aca="false">IF($D1143&lt;&gt;"销项开票",0,ROUND(N($H1143)-$O1143,2))</f>
        <v>0</v>
      </c>
      <c r="Q1143" s="37" t="str">
        <f aca="false">IF($E1143="","",N(IFERROR(INDEX(单位档案!$E$6:$E$35,MATCH($E1143,单位档案!$A$6:$A$35,0)),"")))</f>
        <v/>
      </c>
      <c r="R1143" s="37" t="str">
        <f aca="false">IF($E1143="","",N(IFERROR(INDEX(单位档案!$F$6:$F$35,MATCH($E1143,单位档案!$A$6:$A$35,0)),"")))</f>
        <v/>
      </c>
      <c r="S1143" s="36" t="n">
        <f aca="false">IF(OR($D1143&lt;&gt;"销项开票",IFERROR(INDEX(单位档案!$G$6:$G$35,MATCH($E1143,单位档案!$A$6:$A$35,0)),"")&lt;&gt;"是",N($Q1143)=0),0,IF(IFERROR(INDEX(单位档案!$H$6:$H$35,MATCH($E1143,单位档案!$A$6:$A$35,0)),"")="税差法",ROUND(N($H1143)/(1+$Q1143)*$Q1143-IF(N($R1143)=0,0,$P1143/(1+$R1143)*$R1143),2),ROUND(N($H1143)/(1+$Q1143)*$Q1143,2)))</f>
        <v>0</v>
      </c>
      <c r="T1143" s="36" t="n">
        <f aca="false">ROUND($S1143*N(IFERROR(INDEX(单位档案!$J$6:$J$35,MATCH($E1143,单位档案!$A$6:$A$35,0)),"")),2)</f>
        <v>0</v>
      </c>
      <c r="U1143" s="36" t="n">
        <f aca="false">IF($D1143&lt;&gt;"销项开票",0,ROUND(N($H1143)*N(IFERROR(INDEX(单位档案!$K$6:$K$35,MATCH($E1143,单位档案!$A$6:$A$35,0)),"")),2))</f>
        <v>0</v>
      </c>
      <c r="V1143" s="36" t="n">
        <f aca="false">IF(OR($D1143&lt;&gt;"销项开票",N($Q1143)=0),0,ROUND(N($H1143)/(1+$Q1143)*N(IFERROR(INDEX(单位档案!$L$6:$L$35,MATCH($E1143,单位档案!$A$6:$A$35,0)),"")),2))</f>
        <v>0</v>
      </c>
      <c r="W1143" s="36" t="n">
        <f aca="false">ROUND($S1143+$T1143+$U1143+$V1143,2)</f>
        <v>0</v>
      </c>
      <c r="X1143" s="35" t="str">
        <f aca="false">IF(OR($D1143="挂靠代收",$D1143="我方收款"),COUNTIFS($D$5:$D1143,"挂靠代收")+COUNTIFS($D$5:$D1143,"我方收款"),"")</f>
        <v/>
      </c>
      <c r="Y1143" s="35"/>
      <c r="Z1143" s="21" t="s">
        <v>111</v>
      </c>
    </row>
    <row r="1144" customFormat="false" ht="15.75" hidden="false" customHeight="true" outlineLevel="0" collapsed="false">
      <c r="A1144" s="32" t="str">
        <f aca="false">IF($B1144="","",ROW()-4)</f>
        <v/>
      </c>
      <c r="B1144" s="26"/>
      <c r="C1144" s="24"/>
      <c r="D1144" s="21"/>
      <c r="E1144" s="21"/>
      <c r="F1144" s="21"/>
      <c r="G1144" s="21"/>
      <c r="H1144" s="27"/>
      <c r="I1144" s="23" t="str">
        <f aca="false">IF($D1144&lt;&gt;"销项开票","",IF($N1144="一级",IF(IFERROR(INDEX(项目档案!$E$6:$E$255,MATCH($C1144,项目档案!$A$6:$A$255,0)),"")="",N(IFERROR(INDEX(单位档案!$D$6:$D$35,MATCH($E1144,单位档案!$A$6:$A$35,0)),"")),IFERROR(INDEX(项目档案!$E$6:$E$255,MATCH($C1144,项目档案!$A$6:$A$255,0)),"")),IF($N1144="二级",IF(IFERROR(INDEX(项目档案!$G$6:$G$255,MATCH($C1144,项目档案!$A$6:$A$255,0)),"")="",N(IFERROR(INDEX(单位档案!$D$6:$D$35,MATCH($E1144,单位档案!$A$6:$A$35,0)),"")),IFERROR(INDEX(项目档案!$G$6:$G$255,MATCH($C1144,项目档案!$A$6:$A$255,0)),"")),N(IFERROR(INDEX(单位档案!$D$6:$D$35,MATCH($E1144,单位档案!$A$6:$A$35,0)),"")))))</f>
        <v/>
      </c>
      <c r="J1144" s="22"/>
      <c r="K1144" s="22"/>
      <c r="L1144" s="33" t="str">
        <f aca="false">IF($B1144="","",IF(NOT(ISNUMBER($B1144)),"日期格式不对",IF($C1144="","未选项目编号",IF(LEFT($M1144,1)="⚠","项目编号不存在",IF($D1144="","未选业务类型",IF($E1144="","未选开票/付款方",IF(ISNA(MATCH($E1144,单位档案!$A$6:$A$35,0)),"开票方不在单位档案",IF($F1144="","未选收票/收款方",IF(ISNA(MATCH($F1144,单位档案!$A$6:$A$35,0)),"收款方不在单位档案",IF(NOT(ISNUMBER($H1144)),"金额须为数字",IF(AND($D1144="销项开票",$N1144="—"),"链条待确认","√")))))))))))</f>
        <v/>
      </c>
      <c r="M1144" s="34" t="str">
        <f aca="false">IF($C1144="","",IFERROR(INDEX(项目档案!$B$6:$B$255,MATCH($C1144,项目档案!$A$6:$A$255,0)),"⚠项目编号不存在"))</f>
        <v/>
      </c>
      <c r="N1144" s="35" t="str">
        <f aca="false">IF($E1144="","",IF($E1144=IFERROR(INDEX(项目档案!$D$6:$D$255,MATCH($C1144,项目档案!$A$6:$A$255,0)),""),"一级",IF($E1144=IFERROR(INDEX(项目档案!$F$6:$F$255,MATCH($C1144,项目档案!$A$6:$A$255,0)),""),"二级",IF($E1144=IFERROR(INDEX(项目档案!$H$6:$H$255,MATCH($C1144,项目档案!$A$6:$A$255,0)),""),"我方","—"))))</f>
        <v/>
      </c>
      <c r="O1144" s="36" t="n">
        <f aca="false">IF($D1144&lt;&gt;"销项开票",0,ROUND(N($H1144)*N($I1144),2))</f>
        <v>0</v>
      </c>
      <c r="P1144" s="36" t="n">
        <f aca="false">IF($D1144&lt;&gt;"销项开票",0,ROUND(N($H1144)-$O1144,2))</f>
        <v>0</v>
      </c>
      <c r="Q1144" s="37" t="str">
        <f aca="false">IF($E1144="","",N(IFERROR(INDEX(单位档案!$E$6:$E$35,MATCH($E1144,单位档案!$A$6:$A$35,0)),"")))</f>
        <v/>
      </c>
      <c r="R1144" s="37" t="str">
        <f aca="false">IF($E1144="","",N(IFERROR(INDEX(单位档案!$F$6:$F$35,MATCH($E1144,单位档案!$A$6:$A$35,0)),"")))</f>
        <v/>
      </c>
      <c r="S1144" s="36" t="n">
        <f aca="false">IF(OR($D1144&lt;&gt;"销项开票",IFERROR(INDEX(单位档案!$G$6:$G$35,MATCH($E1144,单位档案!$A$6:$A$35,0)),"")&lt;&gt;"是",N($Q1144)=0),0,IF(IFERROR(INDEX(单位档案!$H$6:$H$35,MATCH($E1144,单位档案!$A$6:$A$35,0)),"")="税差法",ROUND(N($H1144)/(1+$Q1144)*$Q1144-IF(N($R1144)=0,0,$P1144/(1+$R1144)*$R1144),2),ROUND(N($H1144)/(1+$Q1144)*$Q1144,2)))</f>
        <v>0</v>
      </c>
      <c r="T1144" s="36" t="n">
        <f aca="false">ROUND($S1144*N(IFERROR(INDEX(单位档案!$J$6:$J$35,MATCH($E1144,单位档案!$A$6:$A$35,0)),"")),2)</f>
        <v>0</v>
      </c>
      <c r="U1144" s="36" t="n">
        <f aca="false">IF($D1144&lt;&gt;"销项开票",0,ROUND(N($H1144)*N(IFERROR(INDEX(单位档案!$K$6:$K$35,MATCH($E1144,单位档案!$A$6:$A$35,0)),"")),2))</f>
        <v>0</v>
      </c>
      <c r="V1144" s="36" t="n">
        <f aca="false">IF(OR($D1144&lt;&gt;"销项开票",N($Q1144)=0),0,ROUND(N($H1144)/(1+$Q1144)*N(IFERROR(INDEX(单位档案!$L$6:$L$35,MATCH($E1144,单位档案!$A$6:$A$35,0)),"")),2))</f>
        <v>0</v>
      </c>
      <c r="W1144" s="36" t="n">
        <f aca="false">ROUND($S1144+$T1144+$U1144+$V1144,2)</f>
        <v>0</v>
      </c>
      <c r="X1144" s="35" t="str">
        <f aca="false">IF(OR($D1144="挂靠代收",$D1144="我方收款"),COUNTIFS($D$5:$D1144,"挂靠代收")+COUNTIFS($D$5:$D1144,"我方收款"),"")</f>
        <v/>
      </c>
      <c r="Y1144" s="35"/>
      <c r="Z1144" s="21" t="s">
        <v>111</v>
      </c>
    </row>
    <row r="1145" customFormat="false" ht="15.75" hidden="false" customHeight="true" outlineLevel="0" collapsed="false">
      <c r="A1145" s="32" t="str">
        <f aca="false">IF($B1145="","",ROW()-4)</f>
        <v/>
      </c>
      <c r="B1145" s="26"/>
      <c r="C1145" s="24"/>
      <c r="D1145" s="21"/>
      <c r="E1145" s="21"/>
      <c r="F1145" s="21"/>
      <c r="G1145" s="21"/>
      <c r="H1145" s="27"/>
      <c r="I1145" s="23" t="str">
        <f aca="false">IF($D1145&lt;&gt;"销项开票","",IF($N1145="一级",IF(IFERROR(INDEX(项目档案!$E$6:$E$255,MATCH($C1145,项目档案!$A$6:$A$255,0)),"")="",N(IFERROR(INDEX(单位档案!$D$6:$D$35,MATCH($E1145,单位档案!$A$6:$A$35,0)),"")),IFERROR(INDEX(项目档案!$E$6:$E$255,MATCH($C1145,项目档案!$A$6:$A$255,0)),"")),IF($N1145="二级",IF(IFERROR(INDEX(项目档案!$G$6:$G$255,MATCH($C1145,项目档案!$A$6:$A$255,0)),"")="",N(IFERROR(INDEX(单位档案!$D$6:$D$35,MATCH($E1145,单位档案!$A$6:$A$35,0)),"")),IFERROR(INDEX(项目档案!$G$6:$G$255,MATCH($C1145,项目档案!$A$6:$A$255,0)),"")),N(IFERROR(INDEX(单位档案!$D$6:$D$35,MATCH($E1145,单位档案!$A$6:$A$35,0)),"")))))</f>
        <v/>
      </c>
      <c r="J1145" s="22"/>
      <c r="K1145" s="22"/>
      <c r="L1145" s="33" t="str">
        <f aca="false">IF($B1145="","",IF(NOT(ISNUMBER($B1145)),"日期格式不对",IF($C1145="","未选项目编号",IF(LEFT($M1145,1)="⚠","项目编号不存在",IF($D1145="","未选业务类型",IF($E1145="","未选开票/付款方",IF(ISNA(MATCH($E1145,单位档案!$A$6:$A$35,0)),"开票方不在单位档案",IF($F1145="","未选收票/收款方",IF(ISNA(MATCH($F1145,单位档案!$A$6:$A$35,0)),"收款方不在单位档案",IF(NOT(ISNUMBER($H1145)),"金额须为数字",IF(AND($D1145="销项开票",$N1145="—"),"链条待确认","√")))))))))))</f>
        <v/>
      </c>
      <c r="M1145" s="34" t="str">
        <f aca="false">IF($C1145="","",IFERROR(INDEX(项目档案!$B$6:$B$255,MATCH($C1145,项目档案!$A$6:$A$255,0)),"⚠项目编号不存在"))</f>
        <v/>
      </c>
      <c r="N1145" s="35" t="str">
        <f aca="false">IF($E1145="","",IF($E1145=IFERROR(INDEX(项目档案!$D$6:$D$255,MATCH($C1145,项目档案!$A$6:$A$255,0)),""),"一级",IF($E1145=IFERROR(INDEX(项目档案!$F$6:$F$255,MATCH($C1145,项目档案!$A$6:$A$255,0)),""),"二级",IF($E1145=IFERROR(INDEX(项目档案!$H$6:$H$255,MATCH($C1145,项目档案!$A$6:$A$255,0)),""),"我方","—"))))</f>
        <v/>
      </c>
      <c r="O1145" s="36" t="n">
        <f aca="false">IF($D1145&lt;&gt;"销项开票",0,ROUND(N($H1145)*N($I1145),2))</f>
        <v>0</v>
      </c>
      <c r="P1145" s="36" t="n">
        <f aca="false">IF($D1145&lt;&gt;"销项开票",0,ROUND(N($H1145)-$O1145,2))</f>
        <v>0</v>
      </c>
      <c r="Q1145" s="37" t="str">
        <f aca="false">IF($E1145="","",N(IFERROR(INDEX(单位档案!$E$6:$E$35,MATCH($E1145,单位档案!$A$6:$A$35,0)),"")))</f>
        <v/>
      </c>
      <c r="R1145" s="37" t="str">
        <f aca="false">IF($E1145="","",N(IFERROR(INDEX(单位档案!$F$6:$F$35,MATCH($E1145,单位档案!$A$6:$A$35,0)),"")))</f>
        <v/>
      </c>
      <c r="S1145" s="36" t="n">
        <f aca="false">IF(OR($D1145&lt;&gt;"销项开票",IFERROR(INDEX(单位档案!$G$6:$G$35,MATCH($E1145,单位档案!$A$6:$A$35,0)),"")&lt;&gt;"是",N($Q1145)=0),0,IF(IFERROR(INDEX(单位档案!$H$6:$H$35,MATCH($E1145,单位档案!$A$6:$A$35,0)),"")="税差法",ROUND(N($H1145)/(1+$Q1145)*$Q1145-IF(N($R1145)=0,0,$P1145/(1+$R1145)*$R1145),2),ROUND(N($H1145)/(1+$Q1145)*$Q1145,2)))</f>
        <v>0</v>
      </c>
      <c r="T1145" s="36" t="n">
        <f aca="false">ROUND($S1145*N(IFERROR(INDEX(单位档案!$J$6:$J$35,MATCH($E1145,单位档案!$A$6:$A$35,0)),"")),2)</f>
        <v>0</v>
      </c>
      <c r="U1145" s="36" t="n">
        <f aca="false">IF($D1145&lt;&gt;"销项开票",0,ROUND(N($H1145)*N(IFERROR(INDEX(单位档案!$K$6:$K$35,MATCH($E1145,单位档案!$A$6:$A$35,0)),"")),2))</f>
        <v>0</v>
      </c>
      <c r="V1145" s="36" t="n">
        <f aca="false">IF(OR($D1145&lt;&gt;"销项开票",N($Q1145)=0),0,ROUND(N($H1145)/(1+$Q1145)*N(IFERROR(INDEX(单位档案!$L$6:$L$35,MATCH($E1145,单位档案!$A$6:$A$35,0)),"")),2))</f>
        <v>0</v>
      </c>
      <c r="W1145" s="36" t="n">
        <f aca="false">ROUND($S1145+$T1145+$U1145+$V1145,2)</f>
        <v>0</v>
      </c>
      <c r="X1145" s="35" t="str">
        <f aca="false">IF(OR($D1145="挂靠代收",$D1145="我方收款"),COUNTIFS($D$5:$D1145,"挂靠代收")+COUNTIFS($D$5:$D1145,"我方收款"),"")</f>
        <v/>
      </c>
      <c r="Y1145" s="35"/>
      <c r="Z1145" s="21" t="s">
        <v>111</v>
      </c>
    </row>
    <row r="1146" customFormat="false" ht="15.75" hidden="false" customHeight="true" outlineLevel="0" collapsed="false">
      <c r="A1146" s="32" t="str">
        <f aca="false">IF($B1146="","",ROW()-4)</f>
        <v/>
      </c>
      <c r="B1146" s="26"/>
      <c r="C1146" s="24"/>
      <c r="D1146" s="21"/>
      <c r="E1146" s="21"/>
      <c r="F1146" s="21"/>
      <c r="G1146" s="21"/>
      <c r="H1146" s="27"/>
      <c r="I1146" s="23" t="str">
        <f aca="false">IF($D1146&lt;&gt;"销项开票","",IF($N1146="一级",IF(IFERROR(INDEX(项目档案!$E$6:$E$255,MATCH($C1146,项目档案!$A$6:$A$255,0)),"")="",N(IFERROR(INDEX(单位档案!$D$6:$D$35,MATCH($E1146,单位档案!$A$6:$A$35,0)),"")),IFERROR(INDEX(项目档案!$E$6:$E$255,MATCH($C1146,项目档案!$A$6:$A$255,0)),"")),IF($N1146="二级",IF(IFERROR(INDEX(项目档案!$G$6:$G$255,MATCH($C1146,项目档案!$A$6:$A$255,0)),"")="",N(IFERROR(INDEX(单位档案!$D$6:$D$35,MATCH($E1146,单位档案!$A$6:$A$35,0)),"")),IFERROR(INDEX(项目档案!$G$6:$G$255,MATCH($C1146,项目档案!$A$6:$A$255,0)),"")),N(IFERROR(INDEX(单位档案!$D$6:$D$35,MATCH($E1146,单位档案!$A$6:$A$35,0)),"")))))</f>
        <v/>
      </c>
      <c r="J1146" s="22"/>
      <c r="K1146" s="22"/>
      <c r="L1146" s="33" t="str">
        <f aca="false">IF($B1146="","",IF(NOT(ISNUMBER($B1146)),"日期格式不对",IF($C1146="","未选项目编号",IF(LEFT($M1146,1)="⚠","项目编号不存在",IF($D1146="","未选业务类型",IF($E1146="","未选开票/付款方",IF(ISNA(MATCH($E1146,单位档案!$A$6:$A$35,0)),"开票方不在单位档案",IF($F1146="","未选收票/收款方",IF(ISNA(MATCH($F1146,单位档案!$A$6:$A$35,0)),"收款方不在单位档案",IF(NOT(ISNUMBER($H1146)),"金额须为数字",IF(AND($D1146="销项开票",$N1146="—"),"链条待确认","√")))))))))))</f>
        <v/>
      </c>
      <c r="M1146" s="34" t="str">
        <f aca="false">IF($C1146="","",IFERROR(INDEX(项目档案!$B$6:$B$255,MATCH($C1146,项目档案!$A$6:$A$255,0)),"⚠项目编号不存在"))</f>
        <v/>
      </c>
      <c r="N1146" s="35" t="str">
        <f aca="false">IF($E1146="","",IF($E1146=IFERROR(INDEX(项目档案!$D$6:$D$255,MATCH($C1146,项目档案!$A$6:$A$255,0)),""),"一级",IF($E1146=IFERROR(INDEX(项目档案!$F$6:$F$255,MATCH($C1146,项目档案!$A$6:$A$255,0)),""),"二级",IF($E1146=IFERROR(INDEX(项目档案!$H$6:$H$255,MATCH($C1146,项目档案!$A$6:$A$255,0)),""),"我方","—"))))</f>
        <v/>
      </c>
      <c r="O1146" s="36" t="n">
        <f aca="false">IF($D1146&lt;&gt;"销项开票",0,ROUND(N($H1146)*N($I1146),2))</f>
        <v>0</v>
      </c>
      <c r="P1146" s="36" t="n">
        <f aca="false">IF($D1146&lt;&gt;"销项开票",0,ROUND(N($H1146)-$O1146,2))</f>
        <v>0</v>
      </c>
      <c r="Q1146" s="37" t="str">
        <f aca="false">IF($E1146="","",N(IFERROR(INDEX(单位档案!$E$6:$E$35,MATCH($E1146,单位档案!$A$6:$A$35,0)),"")))</f>
        <v/>
      </c>
      <c r="R1146" s="37" t="str">
        <f aca="false">IF($E1146="","",N(IFERROR(INDEX(单位档案!$F$6:$F$35,MATCH($E1146,单位档案!$A$6:$A$35,0)),"")))</f>
        <v/>
      </c>
      <c r="S1146" s="36" t="n">
        <f aca="false">IF(OR($D1146&lt;&gt;"销项开票",IFERROR(INDEX(单位档案!$G$6:$G$35,MATCH($E1146,单位档案!$A$6:$A$35,0)),"")&lt;&gt;"是",N($Q1146)=0),0,IF(IFERROR(INDEX(单位档案!$H$6:$H$35,MATCH($E1146,单位档案!$A$6:$A$35,0)),"")="税差法",ROUND(N($H1146)/(1+$Q1146)*$Q1146-IF(N($R1146)=0,0,$P1146/(1+$R1146)*$R1146),2),ROUND(N($H1146)/(1+$Q1146)*$Q1146,2)))</f>
        <v>0</v>
      </c>
      <c r="T1146" s="36" t="n">
        <f aca="false">ROUND($S1146*N(IFERROR(INDEX(单位档案!$J$6:$J$35,MATCH($E1146,单位档案!$A$6:$A$35,0)),"")),2)</f>
        <v>0</v>
      </c>
      <c r="U1146" s="36" t="n">
        <f aca="false">IF($D1146&lt;&gt;"销项开票",0,ROUND(N($H1146)*N(IFERROR(INDEX(单位档案!$K$6:$K$35,MATCH($E1146,单位档案!$A$6:$A$35,0)),"")),2))</f>
        <v>0</v>
      </c>
      <c r="V1146" s="36" t="n">
        <f aca="false">IF(OR($D1146&lt;&gt;"销项开票",N($Q1146)=0),0,ROUND(N($H1146)/(1+$Q1146)*N(IFERROR(INDEX(单位档案!$L$6:$L$35,MATCH($E1146,单位档案!$A$6:$A$35,0)),"")),2))</f>
        <v>0</v>
      </c>
      <c r="W1146" s="36" t="n">
        <f aca="false">ROUND($S1146+$T1146+$U1146+$V1146,2)</f>
        <v>0</v>
      </c>
      <c r="X1146" s="35" t="str">
        <f aca="false">IF(OR($D1146="挂靠代收",$D1146="我方收款"),COUNTIFS($D$5:$D1146,"挂靠代收")+COUNTIFS($D$5:$D1146,"我方收款"),"")</f>
        <v/>
      </c>
      <c r="Y1146" s="35"/>
      <c r="Z1146" s="21" t="s">
        <v>111</v>
      </c>
    </row>
    <row r="1147" customFormat="false" ht="15.75" hidden="false" customHeight="true" outlineLevel="0" collapsed="false">
      <c r="A1147" s="32" t="str">
        <f aca="false">IF($B1147="","",ROW()-4)</f>
        <v/>
      </c>
      <c r="B1147" s="26"/>
      <c r="C1147" s="24"/>
      <c r="D1147" s="21"/>
      <c r="E1147" s="21"/>
      <c r="F1147" s="21"/>
      <c r="G1147" s="21"/>
      <c r="H1147" s="27"/>
      <c r="I1147" s="23" t="str">
        <f aca="false">IF($D1147&lt;&gt;"销项开票","",IF($N1147="一级",IF(IFERROR(INDEX(项目档案!$E$6:$E$255,MATCH($C1147,项目档案!$A$6:$A$255,0)),"")="",N(IFERROR(INDEX(单位档案!$D$6:$D$35,MATCH($E1147,单位档案!$A$6:$A$35,0)),"")),IFERROR(INDEX(项目档案!$E$6:$E$255,MATCH($C1147,项目档案!$A$6:$A$255,0)),"")),IF($N1147="二级",IF(IFERROR(INDEX(项目档案!$G$6:$G$255,MATCH($C1147,项目档案!$A$6:$A$255,0)),"")="",N(IFERROR(INDEX(单位档案!$D$6:$D$35,MATCH($E1147,单位档案!$A$6:$A$35,0)),"")),IFERROR(INDEX(项目档案!$G$6:$G$255,MATCH($C1147,项目档案!$A$6:$A$255,0)),"")),N(IFERROR(INDEX(单位档案!$D$6:$D$35,MATCH($E1147,单位档案!$A$6:$A$35,0)),"")))))</f>
        <v/>
      </c>
      <c r="J1147" s="22"/>
      <c r="K1147" s="22"/>
      <c r="L1147" s="33" t="str">
        <f aca="false">IF($B1147="","",IF(NOT(ISNUMBER($B1147)),"日期格式不对",IF($C1147="","未选项目编号",IF(LEFT($M1147,1)="⚠","项目编号不存在",IF($D1147="","未选业务类型",IF($E1147="","未选开票/付款方",IF(ISNA(MATCH($E1147,单位档案!$A$6:$A$35,0)),"开票方不在单位档案",IF($F1147="","未选收票/收款方",IF(ISNA(MATCH($F1147,单位档案!$A$6:$A$35,0)),"收款方不在单位档案",IF(NOT(ISNUMBER($H1147)),"金额须为数字",IF(AND($D1147="销项开票",$N1147="—"),"链条待确认","√")))))))))))</f>
        <v/>
      </c>
      <c r="M1147" s="34" t="str">
        <f aca="false">IF($C1147="","",IFERROR(INDEX(项目档案!$B$6:$B$255,MATCH($C1147,项目档案!$A$6:$A$255,0)),"⚠项目编号不存在"))</f>
        <v/>
      </c>
      <c r="N1147" s="35" t="str">
        <f aca="false">IF($E1147="","",IF($E1147=IFERROR(INDEX(项目档案!$D$6:$D$255,MATCH($C1147,项目档案!$A$6:$A$255,0)),""),"一级",IF($E1147=IFERROR(INDEX(项目档案!$F$6:$F$255,MATCH($C1147,项目档案!$A$6:$A$255,0)),""),"二级",IF($E1147=IFERROR(INDEX(项目档案!$H$6:$H$255,MATCH($C1147,项目档案!$A$6:$A$255,0)),""),"我方","—"))))</f>
        <v/>
      </c>
      <c r="O1147" s="36" t="n">
        <f aca="false">IF($D1147&lt;&gt;"销项开票",0,ROUND(N($H1147)*N($I1147),2))</f>
        <v>0</v>
      </c>
      <c r="P1147" s="36" t="n">
        <f aca="false">IF($D1147&lt;&gt;"销项开票",0,ROUND(N($H1147)-$O1147,2))</f>
        <v>0</v>
      </c>
      <c r="Q1147" s="37" t="str">
        <f aca="false">IF($E1147="","",N(IFERROR(INDEX(单位档案!$E$6:$E$35,MATCH($E1147,单位档案!$A$6:$A$35,0)),"")))</f>
        <v/>
      </c>
      <c r="R1147" s="37" t="str">
        <f aca="false">IF($E1147="","",N(IFERROR(INDEX(单位档案!$F$6:$F$35,MATCH($E1147,单位档案!$A$6:$A$35,0)),"")))</f>
        <v/>
      </c>
      <c r="S1147" s="36" t="n">
        <f aca="false">IF(OR($D1147&lt;&gt;"销项开票",IFERROR(INDEX(单位档案!$G$6:$G$35,MATCH($E1147,单位档案!$A$6:$A$35,0)),"")&lt;&gt;"是",N($Q1147)=0),0,IF(IFERROR(INDEX(单位档案!$H$6:$H$35,MATCH($E1147,单位档案!$A$6:$A$35,0)),"")="税差法",ROUND(N($H1147)/(1+$Q1147)*$Q1147-IF(N($R1147)=0,0,$P1147/(1+$R1147)*$R1147),2),ROUND(N($H1147)/(1+$Q1147)*$Q1147,2)))</f>
        <v>0</v>
      </c>
      <c r="T1147" s="36" t="n">
        <f aca="false">ROUND($S1147*N(IFERROR(INDEX(单位档案!$J$6:$J$35,MATCH($E1147,单位档案!$A$6:$A$35,0)),"")),2)</f>
        <v>0</v>
      </c>
      <c r="U1147" s="36" t="n">
        <f aca="false">IF($D1147&lt;&gt;"销项开票",0,ROUND(N($H1147)*N(IFERROR(INDEX(单位档案!$K$6:$K$35,MATCH($E1147,单位档案!$A$6:$A$35,0)),"")),2))</f>
        <v>0</v>
      </c>
      <c r="V1147" s="36" t="n">
        <f aca="false">IF(OR($D1147&lt;&gt;"销项开票",N($Q1147)=0),0,ROUND(N($H1147)/(1+$Q1147)*N(IFERROR(INDEX(单位档案!$L$6:$L$35,MATCH($E1147,单位档案!$A$6:$A$35,0)),"")),2))</f>
        <v>0</v>
      </c>
      <c r="W1147" s="36" t="n">
        <f aca="false">ROUND($S1147+$T1147+$U1147+$V1147,2)</f>
        <v>0</v>
      </c>
      <c r="X1147" s="35" t="str">
        <f aca="false">IF(OR($D1147="挂靠代收",$D1147="我方收款"),COUNTIFS($D$5:$D1147,"挂靠代收")+COUNTIFS($D$5:$D1147,"我方收款"),"")</f>
        <v/>
      </c>
      <c r="Y1147" s="35"/>
      <c r="Z1147" s="21" t="s">
        <v>111</v>
      </c>
    </row>
    <row r="1148" customFormat="false" ht="15.75" hidden="false" customHeight="true" outlineLevel="0" collapsed="false">
      <c r="A1148" s="32" t="str">
        <f aca="false">IF($B1148="","",ROW()-4)</f>
        <v/>
      </c>
      <c r="B1148" s="26"/>
      <c r="C1148" s="24"/>
      <c r="D1148" s="21"/>
      <c r="E1148" s="21"/>
      <c r="F1148" s="21"/>
      <c r="G1148" s="21"/>
      <c r="H1148" s="27"/>
      <c r="I1148" s="23" t="str">
        <f aca="false">IF($D1148&lt;&gt;"销项开票","",IF($N1148="一级",IF(IFERROR(INDEX(项目档案!$E$6:$E$255,MATCH($C1148,项目档案!$A$6:$A$255,0)),"")="",N(IFERROR(INDEX(单位档案!$D$6:$D$35,MATCH($E1148,单位档案!$A$6:$A$35,0)),"")),IFERROR(INDEX(项目档案!$E$6:$E$255,MATCH($C1148,项目档案!$A$6:$A$255,0)),"")),IF($N1148="二级",IF(IFERROR(INDEX(项目档案!$G$6:$G$255,MATCH($C1148,项目档案!$A$6:$A$255,0)),"")="",N(IFERROR(INDEX(单位档案!$D$6:$D$35,MATCH($E1148,单位档案!$A$6:$A$35,0)),"")),IFERROR(INDEX(项目档案!$G$6:$G$255,MATCH($C1148,项目档案!$A$6:$A$255,0)),"")),N(IFERROR(INDEX(单位档案!$D$6:$D$35,MATCH($E1148,单位档案!$A$6:$A$35,0)),"")))))</f>
        <v/>
      </c>
      <c r="J1148" s="22"/>
      <c r="K1148" s="22"/>
      <c r="L1148" s="33" t="str">
        <f aca="false">IF($B1148="","",IF(NOT(ISNUMBER($B1148)),"日期格式不对",IF($C1148="","未选项目编号",IF(LEFT($M1148,1)="⚠","项目编号不存在",IF($D1148="","未选业务类型",IF($E1148="","未选开票/付款方",IF(ISNA(MATCH($E1148,单位档案!$A$6:$A$35,0)),"开票方不在单位档案",IF($F1148="","未选收票/收款方",IF(ISNA(MATCH($F1148,单位档案!$A$6:$A$35,0)),"收款方不在单位档案",IF(NOT(ISNUMBER($H1148)),"金额须为数字",IF(AND($D1148="销项开票",$N1148="—"),"链条待确认","√")))))))))))</f>
        <v/>
      </c>
      <c r="M1148" s="34" t="str">
        <f aca="false">IF($C1148="","",IFERROR(INDEX(项目档案!$B$6:$B$255,MATCH($C1148,项目档案!$A$6:$A$255,0)),"⚠项目编号不存在"))</f>
        <v/>
      </c>
      <c r="N1148" s="35" t="str">
        <f aca="false">IF($E1148="","",IF($E1148=IFERROR(INDEX(项目档案!$D$6:$D$255,MATCH($C1148,项目档案!$A$6:$A$255,0)),""),"一级",IF($E1148=IFERROR(INDEX(项目档案!$F$6:$F$255,MATCH($C1148,项目档案!$A$6:$A$255,0)),""),"二级",IF($E1148=IFERROR(INDEX(项目档案!$H$6:$H$255,MATCH($C1148,项目档案!$A$6:$A$255,0)),""),"我方","—"))))</f>
        <v/>
      </c>
      <c r="O1148" s="36" t="n">
        <f aca="false">IF($D1148&lt;&gt;"销项开票",0,ROUND(N($H1148)*N($I1148),2))</f>
        <v>0</v>
      </c>
      <c r="P1148" s="36" t="n">
        <f aca="false">IF($D1148&lt;&gt;"销项开票",0,ROUND(N($H1148)-$O1148,2))</f>
        <v>0</v>
      </c>
      <c r="Q1148" s="37" t="str">
        <f aca="false">IF($E1148="","",N(IFERROR(INDEX(单位档案!$E$6:$E$35,MATCH($E1148,单位档案!$A$6:$A$35,0)),"")))</f>
        <v/>
      </c>
      <c r="R1148" s="37" t="str">
        <f aca="false">IF($E1148="","",N(IFERROR(INDEX(单位档案!$F$6:$F$35,MATCH($E1148,单位档案!$A$6:$A$35,0)),"")))</f>
        <v/>
      </c>
      <c r="S1148" s="36" t="n">
        <f aca="false">IF(OR($D1148&lt;&gt;"销项开票",IFERROR(INDEX(单位档案!$G$6:$G$35,MATCH($E1148,单位档案!$A$6:$A$35,0)),"")&lt;&gt;"是",N($Q1148)=0),0,IF(IFERROR(INDEX(单位档案!$H$6:$H$35,MATCH($E1148,单位档案!$A$6:$A$35,0)),"")="税差法",ROUND(N($H1148)/(1+$Q1148)*$Q1148-IF(N($R1148)=0,0,$P1148/(1+$R1148)*$R1148),2),ROUND(N($H1148)/(1+$Q1148)*$Q1148,2)))</f>
        <v>0</v>
      </c>
      <c r="T1148" s="36" t="n">
        <f aca="false">ROUND($S1148*N(IFERROR(INDEX(单位档案!$J$6:$J$35,MATCH($E1148,单位档案!$A$6:$A$35,0)),"")),2)</f>
        <v>0</v>
      </c>
      <c r="U1148" s="36" t="n">
        <f aca="false">IF($D1148&lt;&gt;"销项开票",0,ROUND(N($H1148)*N(IFERROR(INDEX(单位档案!$K$6:$K$35,MATCH($E1148,单位档案!$A$6:$A$35,0)),"")),2))</f>
        <v>0</v>
      </c>
      <c r="V1148" s="36" t="n">
        <f aca="false">IF(OR($D1148&lt;&gt;"销项开票",N($Q1148)=0),0,ROUND(N($H1148)/(1+$Q1148)*N(IFERROR(INDEX(单位档案!$L$6:$L$35,MATCH($E1148,单位档案!$A$6:$A$35,0)),"")),2))</f>
        <v>0</v>
      </c>
      <c r="W1148" s="36" t="n">
        <f aca="false">ROUND($S1148+$T1148+$U1148+$V1148,2)</f>
        <v>0</v>
      </c>
      <c r="X1148" s="35" t="str">
        <f aca="false">IF(OR($D1148="挂靠代收",$D1148="我方收款"),COUNTIFS($D$5:$D1148,"挂靠代收")+COUNTIFS($D$5:$D1148,"我方收款"),"")</f>
        <v/>
      </c>
      <c r="Y1148" s="35"/>
      <c r="Z1148" s="21" t="s">
        <v>111</v>
      </c>
    </row>
    <row r="1149" customFormat="false" ht="15.75" hidden="false" customHeight="true" outlineLevel="0" collapsed="false">
      <c r="A1149" s="32" t="str">
        <f aca="false">IF($B1149="","",ROW()-4)</f>
        <v/>
      </c>
      <c r="B1149" s="26"/>
      <c r="C1149" s="24"/>
      <c r="D1149" s="21"/>
      <c r="E1149" s="21"/>
      <c r="F1149" s="21"/>
      <c r="G1149" s="21"/>
      <c r="H1149" s="27"/>
      <c r="I1149" s="23" t="str">
        <f aca="false">IF($D1149&lt;&gt;"销项开票","",IF($N1149="一级",IF(IFERROR(INDEX(项目档案!$E$6:$E$255,MATCH($C1149,项目档案!$A$6:$A$255,0)),"")="",N(IFERROR(INDEX(单位档案!$D$6:$D$35,MATCH($E1149,单位档案!$A$6:$A$35,0)),"")),IFERROR(INDEX(项目档案!$E$6:$E$255,MATCH($C1149,项目档案!$A$6:$A$255,0)),"")),IF($N1149="二级",IF(IFERROR(INDEX(项目档案!$G$6:$G$255,MATCH($C1149,项目档案!$A$6:$A$255,0)),"")="",N(IFERROR(INDEX(单位档案!$D$6:$D$35,MATCH($E1149,单位档案!$A$6:$A$35,0)),"")),IFERROR(INDEX(项目档案!$G$6:$G$255,MATCH($C1149,项目档案!$A$6:$A$255,0)),"")),N(IFERROR(INDEX(单位档案!$D$6:$D$35,MATCH($E1149,单位档案!$A$6:$A$35,0)),"")))))</f>
        <v/>
      </c>
      <c r="J1149" s="22"/>
      <c r="K1149" s="22"/>
      <c r="L1149" s="33" t="str">
        <f aca="false">IF($B1149="","",IF(NOT(ISNUMBER($B1149)),"日期格式不对",IF($C1149="","未选项目编号",IF(LEFT($M1149,1)="⚠","项目编号不存在",IF($D1149="","未选业务类型",IF($E1149="","未选开票/付款方",IF(ISNA(MATCH($E1149,单位档案!$A$6:$A$35,0)),"开票方不在单位档案",IF($F1149="","未选收票/收款方",IF(ISNA(MATCH($F1149,单位档案!$A$6:$A$35,0)),"收款方不在单位档案",IF(NOT(ISNUMBER($H1149)),"金额须为数字",IF(AND($D1149="销项开票",$N1149="—"),"链条待确认","√")))))))))))</f>
        <v/>
      </c>
      <c r="M1149" s="34" t="str">
        <f aca="false">IF($C1149="","",IFERROR(INDEX(项目档案!$B$6:$B$255,MATCH($C1149,项目档案!$A$6:$A$255,0)),"⚠项目编号不存在"))</f>
        <v/>
      </c>
      <c r="N1149" s="35" t="str">
        <f aca="false">IF($E1149="","",IF($E1149=IFERROR(INDEX(项目档案!$D$6:$D$255,MATCH($C1149,项目档案!$A$6:$A$255,0)),""),"一级",IF($E1149=IFERROR(INDEX(项目档案!$F$6:$F$255,MATCH($C1149,项目档案!$A$6:$A$255,0)),""),"二级",IF($E1149=IFERROR(INDEX(项目档案!$H$6:$H$255,MATCH($C1149,项目档案!$A$6:$A$255,0)),""),"我方","—"))))</f>
        <v/>
      </c>
      <c r="O1149" s="36" t="n">
        <f aca="false">IF($D1149&lt;&gt;"销项开票",0,ROUND(N($H1149)*N($I1149),2))</f>
        <v>0</v>
      </c>
      <c r="P1149" s="36" t="n">
        <f aca="false">IF($D1149&lt;&gt;"销项开票",0,ROUND(N($H1149)-$O1149,2))</f>
        <v>0</v>
      </c>
      <c r="Q1149" s="37" t="str">
        <f aca="false">IF($E1149="","",N(IFERROR(INDEX(单位档案!$E$6:$E$35,MATCH($E1149,单位档案!$A$6:$A$35,0)),"")))</f>
        <v/>
      </c>
      <c r="R1149" s="37" t="str">
        <f aca="false">IF($E1149="","",N(IFERROR(INDEX(单位档案!$F$6:$F$35,MATCH($E1149,单位档案!$A$6:$A$35,0)),"")))</f>
        <v/>
      </c>
      <c r="S1149" s="36" t="n">
        <f aca="false">IF(OR($D1149&lt;&gt;"销项开票",IFERROR(INDEX(单位档案!$G$6:$G$35,MATCH($E1149,单位档案!$A$6:$A$35,0)),"")&lt;&gt;"是",N($Q1149)=0),0,IF(IFERROR(INDEX(单位档案!$H$6:$H$35,MATCH($E1149,单位档案!$A$6:$A$35,0)),"")="税差法",ROUND(N($H1149)/(1+$Q1149)*$Q1149-IF(N($R1149)=0,0,$P1149/(1+$R1149)*$R1149),2),ROUND(N($H1149)/(1+$Q1149)*$Q1149,2)))</f>
        <v>0</v>
      </c>
      <c r="T1149" s="36" t="n">
        <f aca="false">ROUND($S1149*N(IFERROR(INDEX(单位档案!$J$6:$J$35,MATCH($E1149,单位档案!$A$6:$A$35,0)),"")),2)</f>
        <v>0</v>
      </c>
      <c r="U1149" s="36" t="n">
        <f aca="false">IF($D1149&lt;&gt;"销项开票",0,ROUND(N($H1149)*N(IFERROR(INDEX(单位档案!$K$6:$K$35,MATCH($E1149,单位档案!$A$6:$A$35,0)),"")),2))</f>
        <v>0</v>
      </c>
      <c r="V1149" s="36" t="n">
        <f aca="false">IF(OR($D1149&lt;&gt;"销项开票",N($Q1149)=0),0,ROUND(N($H1149)/(1+$Q1149)*N(IFERROR(INDEX(单位档案!$L$6:$L$35,MATCH($E1149,单位档案!$A$6:$A$35,0)),"")),2))</f>
        <v>0</v>
      </c>
      <c r="W1149" s="36" t="n">
        <f aca="false">ROUND($S1149+$T1149+$U1149+$V1149,2)</f>
        <v>0</v>
      </c>
      <c r="X1149" s="35" t="str">
        <f aca="false">IF(OR($D1149="挂靠代收",$D1149="我方收款"),COUNTIFS($D$5:$D1149,"挂靠代收")+COUNTIFS($D$5:$D1149,"我方收款"),"")</f>
        <v/>
      </c>
      <c r="Y1149" s="35"/>
      <c r="Z1149" s="21" t="s">
        <v>111</v>
      </c>
    </row>
    <row r="1150" customFormat="false" ht="15.75" hidden="false" customHeight="true" outlineLevel="0" collapsed="false">
      <c r="A1150" s="32" t="str">
        <f aca="false">IF($B1150="","",ROW()-4)</f>
        <v/>
      </c>
      <c r="B1150" s="26"/>
      <c r="C1150" s="24"/>
      <c r="D1150" s="21"/>
      <c r="E1150" s="21"/>
      <c r="F1150" s="21"/>
      <c r="G1150" s="21"/>
      <c r="H1150" s="27"/>
      <c r="I1150" s="23" t="str">
        <f aca="false">IF($D1150&lt;&gt;"销项开票","",IF($N1150="一级",IF(IFERROR(INDEX(项目档案!$E$6:$E$255,MATCH($C1150,项目档案!$A$6:$A$255,0)),"")="",N(IFERROR(INDEX(单位档案!$D$6:$D$35,MATCH($E1150,单位档案!$A$6:$A$35,0)),"")),IFERROR(INDEX(项目档案!$E$6:$E$255,MATCH($C1150,项目档案!$A$6:$A$255,0)),"")),IF($N1150="二级",IF(IFERROR(INDEX(项目档案!$G$6:$G$255,MATCH($C1150,项目档案!$A$6:$A$255,0)),"")="",N(IFERROR(INDEX(单位档案!$D$6:$D$35,MATCH($E1150,单位档案!$A$6:$A$35,0)),"")),IFERROR(INDEX(项目档案!$G$6:$G$255,MATCH($C1150,项目档案!$A$6:$A$255,0)),"")),N(IFERROR(INDEX(单位档案!$D$6:$D$35,MATCH($E1150,单位档案!$A$6:$A$35,0)),"")))))</f>
        <v/>
      </c>
      <c r="J1150" s="22"/>
      <c r="K1150" s="22"/>
      <c r="L1150" s="33" t="str">
        <f aca="false">IF($B1150="","",IF(NOT(ISNUMBER($B1150)),"日期格式不对",IF($C1150="","未选项目编号",IF(LEFT($M1150,1)="⚠","项目编号不存在",IF($D1150="","未选业务类型",IF($E1150="","未选开票/付款方",IF(ISNA(MATCH($E1150,单位档案!$A$6:$A$35,0)),"开票方不在单位档案",IF($F1150="","未选收票/收款方",IF(ISNA(MATCH($F1150,单位档案!$A$6:$A$35,0)),"收款方不在单位档案",IF(NOT(ISNUMBER($H1150)),"金额须为数字",IF(AND($D1150="销项开票",$N1150="—"),"链条待确认","√")))))))))))</f>
        <v/>
      </c>
      <c r="M1150" s="34" t="str">
        <f aca="false">IF($C1150="","",IFERROR(INDEX(项目档案!$B$6:$B$255,MATCH($C1150,项目档案!$A$6:$A$255,0)),"⚠项目编号不存在"))</f>
        <v/>
      </c>
      <c r="N1150" s="35" t="str">
        <f aca="false">IF($E1150="","",IF($E1150=IFERROR(INDEX(项目档案!$D$6:$D$255,MATCH($C1150,项目档案!$A$6:$A$255,0)),""),"一级",IF($E1150=IFERROR(INDEX(项目档案!$F$6:$F$255,MATCH($C1150,项目档案!$A$6:$A$255,0)),""),"二级",IF($E1150=IFERROR(INDEX(项目档案!$H$6:$H$255,MATCH($C1150,项目档案!$A$6:$A$255,0)),""),"我方","—"))))</f>
        <v/>
      </c>
      <c r="O1150" s="36" t="n">
        <f aca="false">IF($D1150&lt;&gt;"销项开票",0,ROUND(N($H1150)*N($I1150),2))</f>
        <v>0</v>
      </c>
      <c r="P1150" s="36" t="n">
        <f aca="false">IF($D1150&lt;&gt;"销项开票",0,ROUND(N($H1150)-$O1150,2))</f>
        <v>0</v>
      </c>
      <c r="Q1150" s="37" t="str">
        <f aca="false">IF($E1150="","",N(IFERROR(INDEX(单位档案!$E$6:$E$35,MATCH($E1150,单位档案!$A$6:$A$35,0)),"")))</f>
        <v/>
      </c>
      <c r="R1150" s="37" t="str">
        <f aca="false">IF($E1150="","",N(IFERROR(INDEX(单位档案!$F$6:$F$35,MATCH($E1150,单位档案!$A$6:$A$35,0)),"")))</f>
        <v/>
      </c>
      <c r="S1150" s="36" t="n">
        <f aca="false">IF(OR($D1150&lt;&gt;"销项开票",IFERROR(INDEX(单位档案!$G$6:$G$35,MATCH($E1150,单位档案!$A$6:$A$35,0)),"")&lt;&gt;"是",N($Q1150)=0),0,IF(IFERROR(INDEX(单位档案!$H$6:$H$35,MATCH($E1150,单位档案!$A$6:$A$35,0)),"")="税差法",ROUND(N($H1150)/(1+$Q1150)*$Q1150-IF(N($R1150)=0,0,$P1150/(1+$R1150)*$R1150),2),ROUND(N($H1150)/(1+$Q1150)*$Q1150,2)))</f>
        <v>0</v>
      </c>
      <c r="T1150" s="36" t="n">
        <f aca="false">ROUND($S1150*N(IFERROR(INDEX(单位档案!$J$6:$J$35,MATCH($E1150,单位档案!$A$6:$A$35,0)),"")),2)</f>
        <v>0</v>
      </c>
      <c r="U1150" s="36" t="n">
        <f aca="false">IF($D1150&lt;&gt;"销项开票",0,ROUND(N($H1150)*N(IFERROR(INDEX(单位档案!$K$6:$K$35,MATCH($E1150,单位档案!$A$6:$A$35,0)),"")),2))</f>
        <v>0</v>
      </c>
      <c r="V1150" s="36" t="n">
        <f aca="false">IF(OR($D1150&lt;&gt;"销项开票",N($Q1150)=0),0,ROUND(N($H1150)/(1+$Q1150)*N(IFERROR(INDEX(单位档案!$L$6:$L$35,MATCH($E1150,单位档案!$A$6:$A$35,0)),"")),2))</f>
        <v>0</v>
      </c>
      <c r="W1150" s="36" t="n">
        <f aca="false">ROUND($S1150+$T1150+$U1150+$V1150,2)</f>
        <v>0</v>
      </c>
      <c r="X1150" s="35" t="str">
        <f aca="false">IF(OR($D1150="挂靠代收",$D1150="我方收款"),COUNTIFS($D$5:$D1150,"挂靠代收")+COUNTIFS($D$5:$D1150,"我方收款"),"")</f>
        <v/>
      </c>
      <c r="Y1150" s="35"/>
      <c r="Z1150" s="21" t="s">
        <v>111</v>
      </c>
    </row>
    <row r="1151" customFormat="false" ht="15.75" hidden="false" customHeight="true" outlineLevel="0" collapsed="false">
      <c r="A1151" s="32" t="str">
        <f aca="false">IF($B1151="","",ROW()-4)</f>
        <v/>
      </c>
      <c r="B1151" s="26"/>
      <c r="C1151" s="24"/>
      <c r="D1151" s="21"/>
      <c r="E1151" s="21"/>
      <c r="F1151" s="21"/>
      <c r="G1151" s="21"/>
      <c r="H1151" s="27"/>
      <c r="I1151" s="23" t="str">
        <f aca="false">IF($D1151&lt;&gt;"销项开票","",IF($N1151="一级",IF(IFERROR(INDEX(项目档案!$E$6:$E$255,MATCH($C1151,项目档案!$A$6:$A$255,0)),"")="",N(IFERROR(INDEX(单位档案!$D$6:$D$35,MATCH($E1151,单位档案!$A$6:$A$35,0)),"")),IFERROR(INDEX(项目档案!$E$6:$E$255,MATCH($C1151,项目档案!$A$6:$A$255,0)),"")),IF($N1151="二级",IF(IFERROR(INDEX(项目档案!$G$6:$G$255,MATCH($C1151,项目档案!$A$6:$A$255,0)),"")="",N(IFERROR(INDEX(单位档案!$D$6:$D$35,MATCH($E1151,单位档案!$A$6:$A$35,0)),"")),IFERROR(INDEX(项目档案!$G$6:$G$255,MATCH($C1151,项目档案!$A$6:$A$255,0)),"")),N(IFERROR(INDEX(单位档案!$D$6:$D$35,MATCH($E1151,单位档案!$A$6:$A$35,0)),"")))))</f>
        <v/>
      </c>
      <c r="J1151" s="22"/>
      <c r="K1151" s="22"/>
      <c r="L1151" s="33" t="str">
        <f aca="false">IF($B1151="","",IF(NOT(ISNUMBER($B1151)),"日期格式不对",IF($C1151="","未选项目编号",IF(LEFT($M1151,1)="⚠","项目编号不存在",IF($D1151="","未选业务类型",IF($E1151="","未选开票/付款方",IF(ISNA(MATCH($E1151,单位档案!$A$6:$A$35,0)),"开票方不在单位档案",IF($F1151="","未选收票/收款方",IF(ISNA(MATCH($F1151,单位档案!$A$6:$A$35,0)),"收款方不在单位档案",IF(NOT(ISNUMBER($H1151)),"金额须为数字",IF(AND($D1151="销项开票",$N1151="—"),"链条待确认","√")))))))))))</f>
        <v/>
      </c>
      <c r="M1151" s="34" t="str">
        <f aca="false">IF($C1151="","",IFERROR(INDEX(项目档案!$B$6:$B$255,MATCH($C1151,项目档案!$A$6:$A$255,0)),"⚠项目编号不存在"))</f>
        <v/>
      </c>
      <c r="N1151" s="35" t="str">
        <f aca="false">IF($E1151="","",IF($E1151=IFERROR(INDEX(项目档案!$D$6:$D$255,MATCH($C1151,项目档案!$A$6:$A$255,0)),""),"一级",IF($E1151=IFERROR(INDEX(项目档案!$F$6:$F$255,MATCH($C1151,项目档案!$A$6:$A$255,0)),""),"二级",IF($E1151=IFERROR(INDEX(项目档案!$H$6:$H$255,MATCH($C1151,项目档案!$A$6:$A$255,0)),""),"我方","—"))))</f>
        <v/>
      </c>
      <c r="O1151" s="36" t="n">
        <f aca="false">IF($D1151&lt;&gt;"销项开票",0,ROUND(N($H1151)*N($I1151),2))</f>
        <v>0</v>
      </c>
      <c r="P1151" s="36" t="n">
        <f aca="false">IF($D1151&lt;&gt;"销项开票",0,ROUND(N($H1151)-$O1151,2))</f>
        <v>0</v>
      </c>
      <c r="Q1151" s="37" t="str">
        <f aca="false">IF($E1151="","",N(IFERROR(INDEX(单位档案!$E$6:$E$35,MATCH($E1151,单位档案!$A$6:$A$35,0)),"")))</f>
        <v/>
      </c>
      <c r="R1151" s="37" t="str">
        <f aca="false">IF($E1151="","",N(IFERROR(INDEX(单位档案!$F$6:$F$35,MATCH($E1151,单位档案!$A$6:$A$35,0)),"")))</f>
        <v/>
      </c>
      <c r="S1151" s="36" t="n">
        <f aca="false">IF(OR($D1151&lt;&gt;"销项开票",IFERROR(INDEX(单位档案!$G$6:$G$35,MATCH($E1151,单位档案!$A$6:$A$35,0)),"")&lt;&gt;"是",N($Q1151)=0),0,IF(IFERROR(INDEX(单位档案!$H$6:$H$35,MATCH($E1151,单位档案!$A$6:$A$35,0)),"")="税差法",ROUND(N($H1151)/(1+$Q1151)*$Q1151-IF(N($R1151)=0,0,$P1151/(1+$R1151)*$R1151),2),ROUND(N($H1151)/(1+$Q1151)*$Q1151,2)))</f>
        <v>0</v>
      </c>
      <c r="T1151" s="36" t="n">
        <f aca="false">ROUND($S1151*N(IFERROR(INDEX(单位档案!$J$6:$J$35,MATCH($E1151,单位档案!$A$6:$A$35,0)),"")),2)</f>
        <v>0</v>
      </c>
      <c r="U1151" s="36" t="n">
        <f aca="false">IF($D1151&lt;&gt;"销项开票",0,ROUND(N($H1151)*N(IFERROR(INDEX(单位档案!$K$6:$K$35,MATCH($E1151,单位档案!$A$6:$A$35,0)),"")),2))</f>
        <v>0</v>
      </c>
      <c r="V1151" s="36" t="n">
        <f aca="false">IF(OR($D1151&lt;&gt;"销项开票",N($Q1151)=0),0,ROUND(N($H1151)/(1+$Q1151)*N(IFERROR(INDEX(单位档案!$L$6:$L$35,MATCH($E1151,单位档案!$A$6:$A$35,0)),"")),2))</f>
        <v>0</v>
      </c>
      <c r="W1151" s="36" t="n">
        <f aca="false">ROUND($S1151+$T1151+$U1151+$V1151,2)</f>
        <v>0</v>
      </c>
      <c r="X1151" s="35" t="str">
        <f aca="false">IF(OR($D1151="挂靠代收",$D1151="我方收款"),COUNTIFS($D$5:$D1151,"挂靠代收")+COUNTIFS($D$5:$D1151,"我方收款"),"")</f>
        <v/>
      </c>
      <c r="Y1151" s="35"/>
      <c r="Z1151" s="21" t="s">
        <v>111</v>
      </c>
    </row>
    <row r="1152" customFormat="false" ht="15.75" hidden="false" customHeight="true" outlineLevel="0" collapsed="false">
      <c r="A1152" s="32" t="str">
        <f aca="false">IF($B1152="","",ROW()-4)</f>
        <v/>
      </c>
      <c r="B1152" s="26"/>
      <c r="C1152" s="24"/>
      <c r="D1152" s="21"/>
      <c r="E1152" s="21"/>
      <c r="F1152" s="21"/>
      <c r="G1152" s="21"/>
      <c r="H1152" s="27"/>
      <c r="I1152" s="23" t="str">
        <f aca="false">IF($D1152&lt;&gt;"销项开票","",IF($N1152="一级",IF(IFERROR(INDEX(项目档案!$E$6:$E$255,MATCH($C1152,项目档案!$A$6:$A$255,0)),"")="",N(IFERROR(INDEX(单位档案!$D$6:$D$35,MATCH($E1152,单位档案!$A$6:$A$35,0)),"")),IFERROR(INDEX(项目档案!$E$6:$E$255,MATCH($C1152,项目档案!$A$6:$A$255,0)),"")),IF($N1152="二级",IF(IFERROR(INDEX(项目档案!$G$6:$G$255,MATCH($C1152,项目档案!$A$6:$A$255,0)),"")="",N(IFERROR(INDEX(单位档案!$D$6:$D$35,MATCH($E1152,单位档案!$A$6:$A$35,0)),"")),IFERROR(INDEX(项目档案!$G$6:$G$255,MATCH($C1152,项目档案!$A$6:$A$255,0)),"")),N(IFERROR(INDEX(单位档案!$D$6:$D$35,MATCH($E1152,单位档案!$A$6:$A$35,0)),"")))))</f>
        <v/>
      </c>
      <c r="J1152" s="22"/>
      <c r="K1152" s="22"/>
      <c r="L1152" s="33" t="str">
        <f aca="false">IF($B1152="","",IF(NOT(ISNUMBER($B1152)),"日期格式不对",IF($C1152="","未选项目编号",IF(LEFT($M1152,1)="⚠","项目编号不存在",IF($D1152="","未选业务类型",IF($E1152="","未选开票/付款方",IF(ISNA(MATCH($E1152,单位档案!$A$6:$A$35,0)),"开票方不在单位档案",IF($F1152="","未选收票/收款方",IF(ISNA(MATCH($F1152,单位档案!$A$6:$A$35,0)),"收款方不在单位档案",IF(NOT(ISNUMBER($H1152)),"金额须为数字",IF(AND($D1152="销项开票",$N1152="—"),"链条待确认","√")))))))))))</f>
        <v/>
      </c>
      <c r="M1152" s="34" t="str">
        <f aca="false">IF($C1152="","",IFERROR(INDEX(项目档案!$B$6:$B$255,MATCH($C1152,项目档案!$A$6:$A$255,0)),"⚠项目编号不存在"))</f>
        <v/>
      </c>
      <c r="N1152" s="35" t="str">
        <f aca="false">IF($E1152="","",IF($E1152=IFERROR(INDEX(项目档案!$D$6:$D$255,MATCH($C1152,项目档案!$A$6:$A$255,0)),""),"一级",IF($E1152=IFERROR(INDEX(项目档案!$F$6:$F$255,MATCH($C1152,项目档案!$A$6:$A$255,0)),""),"二级",IF($E1152=IFERROR(INDEX(项目档案!$H$6:$H$255,MATCH($C1152,项目档案!$A$6:$A$255,0)),""),"我方","—"))))</f>
        <v/>
      </c>
      <c r="O1152" s="36" t="n">
        <f aca="false">IF($D1152&lt;&gt;"销项开票",0,ROUND(N($H1152)*N($I1152),2))</f>
        <v>0</v>
      </c>
      <c r="P1152" s="36" t="n">
        <f aca="false">IF($D1152&lt;&gt;"销项开票",0,ROUND(N($H1152)-$O1152,2))</f>
        <v>0</v>
      </c>
      <c r="Q1152" s="37" t="str">
        <f aca="false">IF($E1152="","",N(IFERROR(INDEX(单位档案!$E$6:$E$35,MATCH($E1152,单位档案!$A$6:$A$35,0)),"")))</f>
        <v/>
      </c>
      <c r="R1152" s="37" t="str">
        <f aca="false">IF($E1152="","",N(IFERROR(INDEX(单位档案!$F$6:$F$35,MATCH($E1152,单位档案!$A$6:$A$35,0)),"")))</f>
        <v/>
      </c>
      <c r="S1152" s="36" t="n">
        <f aca="false">IF(OR($D1152&lt;&gt;"销项开票",IFERROR(INDEX(单位档案!$G$6:$G$35,MATCH($E1152,单位档案!$A$6:$A$35,0)),"")&lt;&gt;"是",N($Q1152)=0),0,IF(IFERROR(INDEX(单位档案!$H$6:$H$35,MATCH($E1152,单位档案!$A$6:$A$35,0)),"")="税差法",ROUND(N($H1152)/(1+$Q1152)*$Q1152-IF(N($R1152)=0,0,$P1152/(1+$R1152)*$R1152),2),ROUND(N($H1152)/(1+$Q1152)*$Q1152,2)))</f>
        <v>0</v>
      </c>
      <c r="T1152" s="36" t="n">
        <f aca="false">ROUND($S1152*N(IFERROR(INDEX(单位档案!$J$6:$J$35,MATCH($E1152,单位档案!$A$6:$A$35,0)),"")),2)</f>
        <v>0</v>
      </c>
      <c r="U1152" s="36" t="n">
        <f aca="false">IF($D1152&lt;&gt;"销项开票",0,ROUND(N($H1152)*N(IFERROR(INDEX(单位档案!$K$6:$K$35,MATCH($E1152,单位档案!$A$6:$A$35,0)),"")),2))</f>
        <v>0</v>
      </c>
      <c r="V1152" s="36" t="n">
        <f aca="false">IF(OR($D1152&lt;&gt;"销项开票",N($Q1152)=0),0,ROUND(N($H1152)/(1+$Q1152)*N(IFERROR(INDEX(单位档案!$L$6:$L$35,MATCH($E1152,单位档案!$A$6:$A$35,0)),"")),2))</f>
        <v>0</v>
      </c>
      <c r="W1152" s="36" t="n">
        <f aca="false">ROUND($S1152+$T1152+$U1152+$V1152,2)</f>
        <v>0</v>
      </c>
      <c r="X1152" s="35" t="str">
        <f aca="false">IF(OR($D1152="挂靠代收",$D1152="我方收款"),COUNTIFS($D$5:$D1152,"挂靠代收")+COUNTIFS($D$5:$D1152,"我方收款"),"")</f>
        <v/>
      </c>
      <c r="Y1152" s="35"/>
      <c r="Z1152" s="21" t="s">
        <v>111</v>
      </c>
    </row>
    <row r="1153" customFormat="false" ht="15.75" hidden="false" customHeight="true" outlineLevel="0" collapsed="false">
      <c r="A1153" s="32" t="str">
        <f aca="false">IF($B1153="","",ROW()-4)</f>
        <v/>
      </c>
      <c r="B1153" s="26"/>
      <c r="C1153" s="24"/>
      <c r="D1153" s="21"/>
      <c r="E1153" s="21"/>
      <c r="F1153" s="21"/>
      <c r="G1153" s="21"/>
      <c r="H1153" s="27"/>
      <c r="I1153" s="23" t="str">
        <f aca="false">IF($D1153&lt;&gt;"销项开票","",IF($N1153="一级",IF(IFERROR(INDEX(项目档案!$E$6:$E$255,MATCH($C1153,项目档案!$A$6:$A$255,0)),"")="",N(IFERROR(INDEX(单位档案!$D$6:$D$35,MATCH($E1153,单位档案!$A$6:$A$35,0)),"")),IFERROR(INDEX(项目档案!$E$6:$E$255,MATCH($C1153,项目档案!$A$6:$A$255,0)),"")),IF($N1153="二级",IF(IFERROR(INDEX(项目档案!$G$6:$G$255,MATCH($C1153,项目档案!$A$6:$A$255,0)),"")="",N(IFERROR(INDEX(单位档案!$D$6:$D$35,MATCH($E1153,单位档案!$A$6:$A$35,0)),"")),IFERROR(INDEX(项目档案!$G$6:$G$255,MATCH($C1153,项目档案!$A$6:$A$255,0)),"")),N(IFERROR(INDEX(单位档案!$D$6:$D$35,MATCH($E1153,单位档案!$A$6:$A$35,0)),"")))))</f>
        <v/>
      </c>
      <c r="J1153" s="22"/>
      <c r="K1153" s="22"/>
      <c r="L1153" s="33" t="str">
        <f aca="false">IF($B1153="","",IF(NOT(ISNUMBER($B1153)),"日期格式不对",IF($C1153="","未选项目编号",IF(LEFT($M1153,1)="⚠","项目编号不存在",IF($D1153="","未选业务类型",IF($E1153="","未选开票/付款方",IF(ISNA(MATCH($E1153,单位档案!$A$6:$A$35,0)),"开票方不在单位档案",IF($F1153="","未选收票/收款方",IF(ISNA(MATCH($F1153,单位档案!$A$6:$A$35,0)),"收款方不在单位档案",IF(NOT(ISNUMBER($H1153)),"金额须为数字",IF(AND($D1153="销项开票",$N1153="—"),"链条待确认","√")))))))))))</f>
        <v/>
      </c>
      <c r="M1153" s="34" t="str">
        <f aca="false">IF($C1153="","",IFERROR(INDEX(项目档案!$B$6:$B$255,MATCH($C1153,项目档案!$A$6:$A$255,0)),"⚠项目编号不存在"))</f>
        <v/>
      </c>
      <c r="N1153" s="35" t="str">
        <f aca="false">IF($E1153="","",IF($E1153=IFERROR(INDEX(项目档案!$D$6:$D$255,MATCH($C1153,项目档案!$A$6:$A$255,0)),""),"一级",IF($E1153=IFERROR(INDEX(项目档案!$F$6:$F$255,MATCH($C1153,项目档案!$A$6:$A$255,0)),""),"二级",IF($E1153=IFERROR(INDEX(项目档案!$H$6:$H$255,MATCH($C1153,项目档案!$A$6:$A$255,0)),""),"我方","—"))))</f>
        <v/>
      </c>
      <c r="O1153" s="36" t="n">
        <f aca="false">IF($D1153&lt;&gt;"销项开票",0,ROUND(N($H1153)*N($I1153),2))</f>
        <v>0</v>
      </c>
      <c r="P1153" s="36" t="n">
        <f aca="false">IF($D1153&lt;&gt;"销项开票",0,ROUND(N($H1153)-$O1153,2))</f>
        <v>0</v>
      </c>
      <c r="Q1153" s="37" t="str">
        <f aca="false">IF($E1153="","",N(IFERROR(INDEX(单位档案!$E$6:$E$35,MATCH($E1153,单位档案!$A$6:$A$35,0)),"")))</f>
        <v/>
      </c>
      <c r="R1153" s="37" t="str">
        <f aca="false">IF($E1153="","",N(IFERROR(INDEX(单位档案!$F$6:$F$35,MATCH($E1153,单位档案!$A$6:$A$35,0)),"")))</f>
        <v/>
      </c>
      <c r="S1153" s="36" t="n">
        <f aca="false">IF(OR($D1153&lt;&gt;"销项开票",IFERROR(INDEX(单位档案!$G$6:$G$35,MATCH($E1153,单位档案!$A$6:$A$35,0)),"")&lt;&gt;"是",N($Q1153)=0),0,IF(IFERROR(INDEX(单位档案!$H$6:$H$35,MATCH($E1153,单位档案!$A$6:$A$35,0)),"")="税差法",ROUND(N($H1153)/(1+$Q1153)*$Q1153-IF(N($R1153)=0,0,$P1153/(1+$R1153)*$R1153),2),ROUND(N($H1153)/(1+$Q1153)*$Q1153,2)))</f>
        <v>0</v>
      </c>
      <c r="T1153" s="36" t="n">
        <f aca="false">ROUND($S1153*N(IFERROR(INDEX(单位档案!$J$6:$J$35,MATCH($E1153,单位档案!$A$6:$A$35,0)),"")),2)</f>
        <v>0</v>
      </c>
      <c r="U1153" s="36" t="n">
        <f aca="false">IF($D1153&lt;&gt;"销项开票",0,ROUND(N($H1153)*N(IFERROR(INDEX(单位档案!$K$6:$K$35,MATCH($E1153,单位档案!$A$6:$A$35,0)),"")),2))</f>
        <v>0</v>
      </c>
      <c r="V1153" s="36" t="n">
        <f aca="false">IF(OR($D1153&lt;&gt;"销项开票",N($Q1153)=0),0,ROUND(N($H1153)/(1+$Q1153)*N(IFERROR(INDEX(单位档案!$L$6:$L$35,MATCH($E1153,单位档案!$A$6:$A$35,0)),"")),2))</f>
        <v>0</v>
      </c>
      <c r="W1153" s="36" t="n">
        <f aca="false">ROUND($S1153+$T1153+$U1153+$V1153,2)</f>
        <v>0</v>
      </c>
      <c r="X1153" s="35" t="str">
        <f aca="false">IF(OR($D1153="挂靠代收",$D1153="我方收款"),COUNTIFS($D$5:$D1153,"挂靠代收")+COUNTIFS($D$5:$D1153,"我方收款"),"")</f>
        <v/>
      </c>
      <c r="Y1153" s="35"/>
      <c r="Z1153" s="21" t="s">
        <v>111</v>
      </c>
    </row>
    <row r="1154" customFormat="false" ht="15.75" hidden="false" customHeight="true" outlineLevel="0" collapsed="false">
      <c r="A1154" s="32" t="str">
        <f aca="false">IF($B1154="","",ROW()-4)</f>
        <v/>
      </c>
      <c r="B1154" s="26"/>
      <c r="C1154" s="24"/>
      <c r="D1154" s="21"/>
      <c r="E1154" s="21"/>
      <c r="F1154" s="21"/>
      <c r="G1154" s="21"/>
      <c r="H1154" s="27"/>
      <c r="I1154" s="23" t="str">
        <f aca="false">IF($D1154&lt;&gt;"销项开票","",IF($N1154="一级",IF(IFERROR(INDEX(项目档案!$E$6:$E$255,MATCH($C1154,项目档案!$A$6:$A$255,0)),"")="",N(IFERROR(INDEX(单位档案!$D$6:$D$35,MATCH($E1154,单位档案!$A$6:$A$35,0)),"")),IFERROR(INDEX(项目档案!$E$6:$E$255,MATCH($C1154,项目档案!$A$6:$A$255,0)),"")),IF($N1154="二级",IF(IFERROR(INDEX(项目档案!$G$6:$G$255,MATCH($C1154,项目档案!$A$6:$A$255,0)),"")="",N(IFERROR(INDEX(单位档案!$D$6:$D$35,MATCH($E1154,单位档案!$A$6:$A$35,0)),"")),IFERROR(INDEX(项目档案!$G$6:$G$255,MATCH($C1154,项目档案!$A$6:$A$255,0)),"")),N(IFERROR(INDEX(单位档案!$D$6:$D$35,MATCH($E1154,单位档案!$A$6:$A$35,0)),"")))))</f>
        <v/>
      </c>
      <c r="J1154" s="22"/>
      <c r="K1154" s="22"/>
      <c r="L1154" s="33" t="str">
        <f aca="false">IF($B1154="","",IF(NOT(ISNUMBER($B1154)),"日期格式不对",IF($C1154="","未选项目编号",IF(LEFT($M1154,1)="⚠","项目编号不存在",IF($D1154="","未选业务类型",IF($E1154="","未选开票/付款方",IF(ISNA(MATCH($E1154,单位档案!$A$6:$A$35,0)),"开票方不在单位档案",IF($F1154="","未选收票/收款方",IF(ISNA(MATCH($F1154,单位档案!$A$6:$A$35,0)),"收款方不在单位档案",IF(NOT(ISNUMBER($H1154)),"金额须为数字",IF(AND($D1154="销项开票",$N1154="—"),"链条待确认","√")))))))))))</f>
        <v/>
      </c>
      <c r="M1154" s="34" t="str">
        <f aca="false">IF($C1154="","",IFERROR(INDEX(项目档案!$B$6:$B$255,MATCH($C1154,项目档案!$A$6:$A$255,0)),"⚠项目编号不存在"))</f>
        <v/>
      </c>
      <c r="N1154" s="35" t="str">
        <f aca="false">IF($E1154="","",IF($E1154=IFERROR(INDEX(项目档案!$D$6:$D$255,MATCH($C1154,项目档案!$A$6:$A$255,0)),""),"一级",IF($E1154=IFERROR(INDEX(项目档案!$F$6:$F$255,MATCH($C1154,项目档案!$A$6:$A$255,0)),""),"二级",IF($E1154=IFERROR(INDEX(项目档案!$H$6:$H$255,MATCH($C1154,项目档案!$A$6:$A$255,0)),""),"我方","—"))))</f>
        <v/>
      </c>
      <c r="O1154" s="36" t="n">
        <f aca="false">IF($D1154&lt;&gt;"销项开票",0,ROUND(N($H1154)*N($I1154),2))</f>
        <v>0</v>
      </c>
      <c r="P1154" s="36" t="n">
        <f aca="false">IF($D1154&lt;&gt;"销项开票",0,ROUND(N($H1154)-$O1154,2))</f>
        <v>0</v>
      </c>
      <c r="Q1154" s="37" t="str">
        <f aca="false">IF($E1154="","",N(IFERROR(INDEX(单位档案!$E$6:$E$35,MATCH($E1154,单位档案!$A$6:$A$35,0)),"")))</f>
        <v/>
      </c>
      <c r="R1154" s="37" t="str">
        <f aca="false">IF($E1154="","",N(IFERROR(INDEX(单位档案!$F$6:$F$35,MATCH($E1154,单位档案!$A$6:$A$35,0)),"")))</f>
        <v/>
      </c>
      <c r="S1154" s="36" t="n">
        <f aca="false">IF(OR($D1154&lt;&gt;"销项开票",IFERROR(INDEX(单位档案!$G$6:$G$35,MATCH($E1154,单位档案!$A$6:$A$35,0)),"")&lt;&gt;"是",N($Q1154)=0),0,IF(IFERROR(INDEX(单位档案!$H$6:$H$35,MATCH($E1154,单位档案!$A$6:$A$35,0)),"")="税差法",ROUND(N($H1154)/(1+$Q1154)*$Q1154-IF(N($R1154)=0,0,$P1154/(1+$R1154)*$R1154),2),ROUND(N($H1154)/(1+$Q1154)*$Q1154,2)))</f>
        <v>0</v>
      </c>
      <c r="T1154" s="36" t="n">
        <f aca="false">ROUND($S1154*N(IFERROR(INDEX(单位档案!$J$6:$J$35,MATCH($E1154,单位档案!$A$6:$A$35,0)),"")),2)</f>
        <v>0</v>
      </c>
      <c r="U1154" s="36" t="n">
        <f aca="false">IF($D1154&lt;&gt;"销项开票",0,ROUND(N($H1154)*N(IFERROR(INDEX(单位档案!$K$6:$K$35,MATCH($E1154,单位档案!$A$6:$A$35,0)),"")),2))</f>
        <v>0</v>
      </c>
      <c r="V1154" s="36" t="n">
        <f aca="false">IF(OR($D1154&lt;&gt;"销项开票",N($Q1154)=0),0,ROUND(N($H1154)/(1+$Q1154)*N(IFERROR(INDEX(单位档案!$L$6:$L$35,MATCH($E1154,单位档案!$A$6:$A$35,0)),"")),2))</f>
        <v>0</v>
      </c>
      <c r="W1154" s="36" t="n">
        <f aca="false">ROUND($S1154+$T1154+$U1154+$V1154,2)</f>
        <v>0</v>
      </c>
      <c r="X1154" s="35" t="str">
        <f aca="false">IF(OR($D1154="挂靠代收",$D1154="我方收款"),COUNTIFS($D$5:$D1154,"挂靠代收")+COUNTIFS($D$5:$D1154,"我方收款"),"")</f>
        <v/>
      </c>
      <c r="Y1154" s="35"/>
      <c r="Z1154" s="21" t="s">
        <v>111</v>
      </c>
    </row>
    <row r="1155" customFormat="false" ht="15.75" hidden="false" customHeight="true" outlineLevel="0" collapsed="false">
      <c r="A1155" s="32" t="str">
        <f aca="false">IF($B1155="","",ROW()-4)</f>
        <v/>
      </c>
      <c r="B1155" s="26"/>
      <c r="C1155" s="24"/>
      <c r="D1155" s="21"/>
      <c r="E1155" s="21"/>
      <c r="F1155" s="21"/>
      <c r="G1155" s="21"/>
      <c r="H1155" s="27"/>
      <c r="I1155" s="23" t="str">
        <f aca="false">IF($D1155&lt;&gt;"销项开票","",IF($N1155="一级",IF(IFERROR(INDEX(项目档案!$E$6:$E$255,MATCH($C1155,项目档案!$A$6:$A$255,0)),"")="",N(IFERROR(INDEX(单位档案!$D$6:$D$35,MATCH($E1155,单位档案!$A$6:$A$35,0)),"")),IFERROR(INDEX(项目档案!$E$6:$E$255,MATCH($C1155,项目档案!$A$6:$A$255,0)),"")),IF($N1155="二级",IF(IFERROR(INDEX(项目档案!$G$6:$G$255,MATCH($C1155,项目档案!$A$6:$A$255,0)),"")="",N(IFERROR(INDEX(单位档案!$D$6:$D$35,MATCH($E1155,单位档案!$A$6:$A$35,0)),"")),IFERROR(INDEX(项目档案!$G$6:$G$255,MATCH($C1155,项目档案!$A$6:$A$255,0)),"")),N(IFERROR(INDEX(单位档案!$D$6:$D$35,MATCH($E1155,单位档案!$A$6:$A$35,0)),"")))))</f>
        <v/>
      </c>
      <c r="J1155" s="22"/>
      <c r="K1155" s="22"/>
      <c r="L1155" s="33" t="str">
        <f aca="false">IF($B1155="","",IF(NOT(ISNUMBER($B1155)),"日期格式不对",IF($C1155="","未选项目编号",IF(LEFT($M1155,1)="⚠","项目编号不存在",IF($D1155="","未选业务类型",IF($E1155="","未选开票/付款方",IF(ISNA(MATCH($E1155,单位档案!$A$6:$A$35,0)),"开票方不在单位档案",IF($F1155="","未选收票/收款方",IF(ISNA(MATCH($F1155,单位档案!$A$6:$A$35,0)),"收款方不在单位档案",IF(NOT(ISNUMBER($H1155)),"金额须为数字",IF(AND($D1155="销项开票",$N1155="—"),"链条待确认","√")))))))))))</f>
        <v/>
      </c>
      <c r="M1155" s="34" t="str">
        <f aca="false">IF($C1155="","",IFERROR(INDEX(项目档案!$B$6:$B$255,MATCH($C1155,项目档案!$A$6:$A$255,0)),"⚠项目编号不存在"))</f>
        <v/>
      </c>
      <c r="N1155" s="35" t="str">
        <f aca="false">IF($E1155="","",IF($E1155=IFERROR(INDEX(项目档案!$D$6:$D$255,MATCH($C1155,项目档案!$A$6:$A$255,0)),""),"一级",IF($E1155=IFERROR(INDEX(项目档案!$F$6:$F$255,MATCH($C1155,项目档案!$A$6:$A$255,0)),""),"二级",IF($E1155=IFERROR(INDEX(项目档案!$H$6:$H$255,MATCH($C1155,项目档案!$A$6:$A$255,0)),""),"我方","—"))))</f>
        <v/>
      </c>
      <c r="O1155" s="36" t="n">
        <f aca="false">IF($D1155&lt;&gt;"销项开票",0,ROUND(N($H1155)*N($I1155),2))</f>
        <v>0</v>
      </c>
      <c r="P1155" s="36" t="n">
        <f aca="false">IF($D1155&lt;&gt;"销项开票",0,ROUND(N($H1155)-$O1155,2))</f>
        <v>0</v>
      </c>
      <c r="Q1155" s="37" t="str">
        <f aca="false">IF($E1155="","",N(IFERROR(INDEX(单位档案!$E$6:$E$35,MATCH($E1155,单位档案!$A$6:$A$35,0)),"")))</f>
        <v/>
      </c>
      <c r="R1155" s="37" t="str">
        <f aca="false">IF($E1155="","",N(IFERROR(INDEX(单位档案!$F$6:$F$35,MATCH($E1155,单位档案!$A$6:$A$35,0)),"")))</f>
        <v/>
      </c>
      <c r="S1155" s="36" t="n">
        <f aca="false">IF(OR($D1155&lt;&gt;"销项开票",IFERROR(INDEX(单位档案!$G$6:$G$35,MATCH($E1155,单位档案!$A$6:$A$35,0)),"")&lt;&gt;"是",N($Q1155)=0),0,IF(IFERROR(INDEX(单位档案!$H$6:$H$35,MATCH($E1155,单位档案!$A$6:$A$35,0)),"")="税差法",ROUND(N($H1155)/(1+$Q1155)*$Q1155-IF(N($R1155)=0,0,$P1155/(1+$R1155)*$R1155),2),ROUND(N($H1155)/(1+$Q1155)*$Q1155,2)))</f>
        <v>0</v>
      </c>
      <c r="T1155" s="36" t="n">
        <f aca="false">ROUND($S1155*N(IFERROR(INDEX(单位档案!$J$6:$J$35,MATCH($E1155,单位档案!$A$6:$A$35,0)),"")),2)</f>
        <v>0</v>
      </c>
      <c r="U1155" s="36" t="n">
        <f aca="false">IF($D1155&lt;&gt;"销项开票",0,ROUND(N($H1155)*N(IFERROR(INDEX(单位档案!$K$6:$K$35,MATCH($E1155,单位档案!$A$6:$A$35,0)),"")),2))</f>
        <v>0</v>
      </c>
      <c r="V1155" s="36" t="n">
        <f aca="false">IF(OR($D1155&lt;&gt;"销项开票",N($Q1155)=0),0,ROUND(N($H1155)/(1+$Q1155)*N(IFERROR(INDEX(单位档案!$L$6:$L$35,MATCH($E1155,单位档案!$A$6:$A$35,0)),"")),2))</f>
        <v>0</v>
      </c>
      <c r="W1155" s="36" t="n">
        <f aca="false">ROUND($S1155+$T1155+$U1155+$V1155,2)</f>
        <v>0</v>
      </c>
      <c r="X1155" s="35" t="str">
        <f aca="false">IF(OR($D1155="挂靠代收",$D1155="我方收款"),COUNTIFS($D$5:$D1155,"挂靠代收")+COUNTIFS($D$5:$D1155,"我方收款"),"")</f>
        <v/>
      </c>
      <c r="Y1155" s="35"/>
      <c r="Z1155" s="21" t="s">
        <v>111</v>
      </c>
    </row>
    <row r="1156" customFormat="false" ht="15.75" hidden="false" customHeight="true" outlineLevel="0" collapsed="false">
      <c r="A1156" s="32" t="str">
        <f aca="false">IF($B1156="","",ROW()-4)</f>
        <v/>
      </c>
      <c r="B1156" s="26"/>
      <c r="C1156" s="24"/>
      <c r="D1156" s="21"/>
      <c r="E1156" s="21"/>
      <c r="F1156" s="21"/>
      <c r="G1156" s="21"/>
      <c r="H1156" s="27"/>
      <c r="I1156" s="23" t="str">
        <f aca="false">IF($D1156&lt;&gt;"销项开票","",IF($N1156="一级",IF(IFERROR(INDEX(项目档案!$E$6:$E$255,MATCH($C1156,项目档案!$A$6:$A$255,0)),"")="",N(IFERROR(INDEX(单位档案!$D$6:$D$35,MATCH($E1156,单位档案!$A$6:$A$35,0)),"")),IFERROR(INDEX(项目档案!$E$6:$E$255,MATCH($C1156,项目档案!$A$6:$A$255,0)),"")),IF($N1156="二级",IF(IFERROR(INDEX(项目档案!$G$6:$G$255,MATCH($C1156,项目档案!$A$6:$A$255,0)),"")="",N(IFERROR(INDEX(单位档案!$D$6:$D$35,MATCH($E1156,单位档案!$A$6:$A$35,0)),"")),IFERROR(INDEX(项目档案!$G$6:$G$255,MATCH($C1156,项目档案!$A$6:$A$255,0)),"")),N(IFERROR(INDEX(单位档案!$D$6:$D$35,MATCH($E1156,单位档案!$A$6:$A$35,0)),"")))))</f>
        <v/>
      </c>
      <c r="J1156" s="22"/>
      <c r="K1156" s="22"/>
      <c r="L1156" s="33" t="str">
        <f aca="false">IF($B1156="","",IF(NOT(ISNUMBER($B1156)),"日期格式不对",IF($C1156="","未选项目编号",IF(LEFT($M1156,1)="⚠","项目编号不存在",IF($D1156="","未选业务类型",IF($E1156="","未选开票/付款方",IF(ISNA(MATCH($E1156,单位档案!$A$6:$A$35,0)),"开票方不在单位档案",IF($F1156="","未选收票/收款方",IF(ISNA(MATCH($F1156,单位档案!$A$6:$A$35,0)),"收款方不在单位档案",IF(NOT(ISNUMBER($H1156)),"金额须为数字",IF(AND($D1156="销项开票",$N1156="—"),"链条待确认","√")))))))))))</f>
        <v/>
      </c>
      <c r="M1156" s="34" t="str">
        <f aca="false">IF($C1156="","",IFERROR(INDEX(项目档案!$B$6:$B$255,MATCH($C1156,项目档案!$A$6:$A$255,0)),"⚠项目编号不存在"))</f>
        <v/>
      </c>
      <c r="N1156" s="35" t="str">
        <f aca="false">IF($E1156="","",IF($E1156=IFERROR(INDEX(项目档案!$D$6:$D$255,MATCH($C1156,项目档案!$A$6:$A$255,0)),""),"一级",IF($E1156=IFERROR(INDEX(项目档案!$F$6:$F$255,MATCH($C1156,项目档案!$A$6:$A$255,0)),""),"二级",IF($E1156=IFERROR(INDEX(项目档案!$H$6:$H$255,MATCH($C1156,项目档案!$A$6:$A$255,0)),""),"我方","—"))))</f>
        <v/>
      </c>
      <c r="O1156" s="36" t="n">
        <f aca="false">IF($D1156&lt;&gt;"销项开票",0,ROUND(N($H1156)*N($I1156),2))</f>
        <v>0</v>
      </c>
      <c r="P1156" s="36" t="n">
        <f aca="false">IF($D1156&lt;&gt;"销项开票",0,ROUND(N($H1156)-$O1156,2))</f>
        <v>0</v>
      </c>
      <c r="Q1156" s="37" t="str">
        <f aca="false">IF($E1156="","",N(IFERROR(INDEX(单位档案!$E$6:$E$35,MATCH($E1156,单位档案!$A$6:$A$35,0)),"")))</f>
        <v/>
      </c>
      <c r="R1156" s="37" t="str">
        <f aca="false">IF($E1156="","",N(IFERROR(INDEX(单位档案!$F$6:$F$35,MATCH($E1156,单位档案!$A$6:$A$35,0)),"")))</f>
        <v/>
      </c>
      <c r="S1156" s="36" t="n">
        <f aca="false">IF(OR($D1156&lt;&gt;"销项开票",IFERROR(INDEX(单位档案!$G$6:$G$35,MATCH($E1156,单位档案!$A$6:$A$35,0)),"")&lt;&gt;"是",N($Q1156)=0),0,IF(IFERROR(INDEX(单位档案!$H$6:$H$35,MATCH($E1156,单位档案!$A$6:$A$35,0)),"")="税差法",ROUND(N($H1156)/(1+$Q1156)*$Q1156-IF(N($R1156)=0,0,$P1156/(1+$R1156)*$R1156),2),ROUND(N($H1156)/(1+$Q1156)*$Q1156,2)))</f>
        <v>0</v>
      </c>
      <c r="T1156" s="36" t="n">
        <f aca="false">ROUND($S1156*N(IFERROR(INDEX(单位档案!$J$6:$J$35,MATCH($E1156,单位档案!$A$6:$A$35,0)),"")),2)</f>
        <v>0</v>
      </c>
      <c r="U1156" s="36" t="n">
        <f aca="false">IF($D1156&lt;&gt;"销项开票",0,ROUND(N($H1156)*N(IFERROR(INDEX(单位档案!$K$6:$K$35,MATCH($E1156,单位档案!$A$6:$A$35,0)),"")),2))</f>
        <v>0</v>
      </c>
      <c r="V1156" s="36" t="n">
        <f aca="false">IF(OR($D1156&lt;&gt;"销项开票",N($Q1156)=0),0,ROUND(N($H1156)/(1+$Q1156)*N(IFERROR(INDEX(单位档案!$L$6:$L$35,MATCH($E1156,单位档案!$A$6:$A$35,0)),"")),2))</f>
        <v>0</v>
      </c>
      <c r="W1156" s="36" t="n">
        <f aca="false">ROUND($S1156+$T1156+$U1156+$V1156,2)</f>
        <v>0</v>
      </c>
      <c r="X1156" s="35" t="str">
        <f aca="false">IF(OR($D1156="挂靠代收",$D1156="我方收款"),COUNTIFS($D$5:$D1156,"挂靠代收")+COUNTIFS($D$5:$D1156,"我方收款"),"")</f>
        <v/>
      </c>
      <c r="Y1156" s="35"/>
      <c r="Z1156" s="21" t="s">
        <v>111</v>
      </c>
    </row>
    <row r="1157" customFormat="false" ht="15.75" hidden="false" customHeight="true" outlineLevel="0" collapsed="false">
      <c r="A1157" s="32" t="str">
        <f aca="false">IF($B1157="","",ROW()-4)</f>
        <v/>
      </c>
      <c r="B1157" s="26"/>
      <c r="C1157" s="24"/>
      <c r="D1157" s="21"/>
      <c r="E1157" s="21"/>
      <c r="F1157" s="21"/>
      <c r="G1157" s="21"/>
      <c r="H1157" s="27"/>
      <c r="I1157" s="23" t="str">
        <f aca="false">IF($D1157&lt;&gt;"销项开票","",IF($N1157="一级",IF(IFERROR(INDEX(项目档案!$E$6:$E$255,MATCH($C1157,项目档案!$A$6:$A$255,0)),"")="",N(IFERROR(INDEX(单位档案!$D$6:$D$35,MATCH($E1157,单位档案!$A$6:$A$35,0)),"")),IFERROR(INDEX(项目档案!$E$6:$E$255,MATCH($C1157,项目档案!$A$6:$A$255,0)),"")),IF($N1157="二级",IF(IFERROR(INDEX(项目档案!$G$6:$G$255,MATCH($C1157,项目档案!$A$6:$A$255,0)),"")="",N(IFERROR(INDEX(单位档案!$D$6:$D$35,MATCH($E1157,单位档案!$A$6:$A$35,0)),"")),IFERROR(INDEX(项目档案!$G$6:$G$255,MATCH($C1157,项目档案!$A$6:$A$255,0)),"")),N(IFERROR(INDEX(单位档案!$D$6:$D$35,MATCH($E1157,单位档案!$A$6:$A$35,0)),"")))))</f>
        <v/>
      </c>
      <c r="J1157" s="22"/>
      <c r="K1157" s="22"/>
      <c r="L1157" s="33" t="str">
        <f aca="false">IF($B1157="","",IF(NOT(ISNUMBER($B1157)),"日期格式不对",IF($C1157="","未选项目编号",IF(LEFT($M1157,1)="⚠","项目编号不存在",IF($D1157="","未选业务类型",IF($E1157="","未选开票/付款方",IF(ISNA(MATCH($E1157,单位档案!$A$6:$A$35,0)),"开票方不在单位档案",IF($F1157="","未选收票/收款方",IF(ISNA(MATCH($F1157,单位档案!$A$6:$A$35,0)),"收款方不在单位档案",IF(NOT(ISNUMBER($H1157)),"金额须为数字",IF(AND($D1157="销项开票",$N1157="—"),"链条待确认","√")))))))))))</f>
        <v/>
      </c>
      <c r="M1157" s="34" t="str">
        <f aca="false">IF($C1157="","",IFERROR(INDEX(项目档案!$B$6:$B$255,MATCH($C1157,项目档案!$A$6:$A$255,0)),"⚠项目编号不存在"))</f>
        <v/>
      </c>
      <c r="N1157" s="35" t="str">
        <f aca="false">IF($E1157="","",IF($E1157=IFERROR(INDEX(项目档案!$D$6:$D$255,MATCH($C1157,项目档案!$A$6:$A$255,0)),""),"一级",IF($E1157=IFERROR(INDEX(项目档案!$F$6:$F$255,MATCH($C1157,项目档案!$A$6:$A$255,0)),""),"二级",IF($E1157=IFERROR(INDEX(项目档案!$H$6:$H$255,MATCH($C1157,项目档案!$A$6:$A$255,0)),""),"我方","—"))))</f>
        <v/>
      </c>
      <c r="O1157" s="36" t="n">
        <f aca="false">IF($D1157&lt;&gt;"销项开票",0,ROUND(N($H1157)*N($I1157),2))</f>
        <v>0</v>
      </c>
      <c r="P1157" s="36" t="n">
        <f aca="false">IF($D1157&lt;&gt;"销项开票",0,ROUND(N($H1157)-$O1157,2))</f>
        <v>0</v>
      </c>
      <c r="Q1157" s="37" t="str">
        <f aca="false">IF($E1157="","",N(IFERROR(INDEX(单位档案!$E$6:$E$35,MATCH($E1157,单位档案!$A$6:$A$35,0)),"")))</f>
        <v/>
      </c>
      <c r="R1157" s="37" t="str">
        <f aca="false">IF($E1157="","",N(IFERROR(INDEX(单位档案!$F$6:$F$35,MATCH($E1157,单位档案!$A$6:$A$35,0)),"")))</f>
        <v/>
      </c>
      <c r="S1157" s="36" t="n">
        <f aca="false">IF(OR($D1157&lt;&gt;"销项开票",IFERROR(INDEX(单位档案!$G$6:$G$35,MATCH($E1157,单位档案!$A$6:$A$35,0)),"")&lt;&gt;"是",N($Q1157)=0),0,IF(IFERROR(INDEX(单位档案!$H$6:$H$35,MATCH($E1157,单位档案!$A$6:$A$35,0)),"")="税差法",ROUND(N($H1157)/(1+$Q1157)*$Q1157-IF(N($R1157)=0,0,$P1157/(1+$R1157)*$R1157),2),ROUND(N($H1157)/(1+$Q1157)*$Q1157,2)))</f>
        <v>0</v>
      </c>
      <c r="T1157" s="36" t="n">
        <f aca="false">ROUND($S1157*N(IFERROR(INDEX(单位档案!$J$6:$J$35,MATCH($E1157,单位档案!$A$6:$A$35,0)),"")),2)</f>
        <v>0</v>
      </c>
      <c r="U1157" s="36" t="n">
        <f aca="false">IF($D1157&lt;&gt;"销项开票",0,ROUND(N($H1157)*N(IFERROR(INDEX(单位档案!$K$6:$K$35,MATCH($E1157,单位档案!$A$6:$A$35,0)),"")),2))</f>
        <v>0</v>
      </c>
      <c r="V1157" s="36" t="n">
        <f aca="false">IF(OR($D1157&lt;&gt;"销项开票",N($Q1157)=0),0,ROUND(N($H1157)/(1+$Q1157)*N(IFERROR(INDEX(单位档案!$L$6:$L$35,MATCH($E1157,单位档案!$A$6:$A$35,0)),"")),2))</f>
        <v>0</v>
      </c>
      <c r="W1157" s="36" t="n">
        <f aca="false">ROUND($S1157+$T1157+$U1157+$V1157,2)</f>
        <v>0</v>
      </c>
      <c r="X1157" s="35" t="str">
        <f aca="false">IF(OR($D1157="挂靠代收",$D1157="我方收款"),COUNTIFS($D$5:$D1157,"挂靠代收")+COUNTIFS($D$5:$D1157,"我方收款"),"")</f>
        <v/>
      </c>
      <c r="Y1157" s="35"/>
      <c r="Z1157" s="21" t="s">
        <v>111</v>
      </c>
    </row>
    <row r="1158" customFormat="false" ht="15.75" hidden="false" customHeight="true" outlineLevel="0" collapsed="false">
      <c r="A1158" s="32" t="str">
        <f aca="false">IF($B1158="","",ROW()-4)</f>
        <v/>
      </c>
      <c r="B1158" s="26"/>
      <c r="C1158" s="24"/>
      <c r="D1158" s="21"/>
      <c r="E1158" s="21"/>
      <c r="F1158" s="21"/>
      <c r="G1158" s="21"/>
      <c r="H1158" s="27"/>
      <c r="I1158" s="23" t="str">
        <f aca="false">IF($D1158&lt;&gt;"销项开票","",IF($N1158="一级",IF(IFERROR(INDEX(项目档案!$E$6:$E$255,MATCH($C1158,项目档案!$A$6:$A$255,0)),"")="",N(IFERROR(INDEX(单位档案!$D$6:$D$35,MATCH($E1158,单位档案!$A$6:$A$35,0)),"")),IFERROR(INDEX(项目档案!$E$6:$E$255,MATCH($C1158,项目档案!$A$6:$A$255,0)),"")),IF($N1158="二级",IF(IFERROR(INDEX(项目档案!$G$6:$G$255,MATCH($C1158,项目档案!$A$6:$A$255,0)),"")="",N(IFERROR(INDEX(单位档案!$D$6:$D$35,MATCH($E1158,单位档案!$A$6:$A$35,0)),"")),IFERROR(INDEX(项目档案!$G$6:$G$255,MATCH($C1158,项目档案!$A$6:$A$255,0)),"")),N(IFERROR(INDEX(单位档案!$D$6:$D$35,MATCH($E1158,单位档案!$A$6:$A$35,0)),"")))))</f>
        <v/>
      </c>
      <c r="J1158" s="22"/>
      <c r="K1158" s="22"/>
      <c r="L1158" s="33" t="str">
        <f aca="false">IF($B1158="","",IF(NOT(ISNUMBER($B1158)),"日期格式不对",IF($C1158="","未选项目编号",IF(LEFT($M1158,1)="⚠","项目编号不存在",IF($D1158="","未选业务类型",IF($E1158="","未选开票/付款方",IF(ISNA(MATCH($E1158,单位档案!$A$6:$A$35,0)),"开票方不在单位档案",IF($F1158="","未选收票/收款方",IF(ISNA(MATCH($F1158,单位档案!$A$6:$A$35,0)),"收款方不在单位档案",IF(NOT(ISNUMBER($H1158)),"金额须为数字",IF(AND($D1158="销项开票",$N1158="—"),"链条待确认","√")))))))))))</f>
        <v/>
      </c>
      <c r="M1158" s="34" t="str">
        <f aca="false">IF($C1158="","",IFERROR(INDEX(项目档案!$B$6:$B$255,MATCH($C1158,项目档案!$A$6:$A$255,0)),"⚠项目编号不存在"))</f>
        <v/>
      </c>
      <c r="N1158" s="35" t="str">
        <f aca="false">IF($E1158="","",IF($E1158=IFERROR(INDEX(项目档案!$D$6:$D$255,MATCH($C1158,项目档案!$A$6:$A$255,0)),""),"一级",IF($E1158=IFERROR(INDEX(项目档案!$F$6:$F$255,MATCH($C1158,项目档案!$A$6:$A$255,0)),""),"二级",IF($E1158=IFERROR(INDEX(项目档案!$H$6:$H$255,MATCH($C1158,项目档案!$A$6:$A$255,0)),""),"我方","—"))))</f>
        <v/>
      </c>
      <c r="O1158" s="36" t="n">
        <f aca="false">IF($D1158&lt;&gt;"销项开票",0,ROUND(N($H1158)*N($I1158),2))</f>
        <v>0</v>
      </c>
      <c r="P1158" s="36" t="n">
        <f aca="false">IF($D1158&lt;&gt;"销项开票",0,ROUND(N($H1158)-$O1158,2))</f>
        <v>0</v>
      </c>
      <c r="Q1158" s="37" t="str">
        <f aca="false">IF($E1158="","",N(IFERROR(INDEX(单位档案!$E$6:$E$35,MATCH($E1158,单位档案!$A$6:$A$35,0)),"")))</f>
        <v/>
      </c>
      <c r="R1158" s="37" t="str">
        <f aca="false">IF($E1158="","",N(IFERROR(INDEX(单位档案!$F$6:$F$35,MATCH($E1158,单位档案!$A$6:$A$35,0)),"")))</f>
        <v/>
      </c>
      <c r="S1158" s="36" t="n">
        <f aca="false">IF(OR($D1158&lt;&gt;"销项开票",IFERROR(INDEX(单位档案!$G$6:$G$35,MATCH($E1158,单位档案!$A$6:$A$35,0)),"")&lt;&gt;"是",N($Q1158)=0),0,IF(IFERROR(INDEX(单位档案!$H$6:$H$35,MATCH($E1158,单位档案!$A$6:$A$35,0)),"")="税差法",ROUND(N($H1158)/(1+$Q1158)*$Q1158-IF(N($R1158)=0,0,$P1158/(1+$R1158)*$R1158),2),ROUND(N($H1158)/(1+$Q1158)*$Q1158,2)))</f>
        <v>0</v>
      </c>
      <c r="T1158" s="36" t="n">
        <f aca="false">ROUND($S1158*N(IFERROR(INDEX(单位档案!$J$6:$J$35,MATCH($E1158,单位档案!$A$6:$A$35,0)),"")),2)</f>
        <v>0</v>
      </c>
      <c r="U1158" s="36" t="n">
        <f aca="false">IF($D1158&lt;&gt;"销项开票",0,ROUND(N($H1158)*N(IFERROR(INDEX(单位档案!$K$6:$K$35,MATCH($E1158,单位档案!$A$6:$A$35,0)),"")),2))</f>
        <v>0</v>
      </c>
      <c r="V1158" s="36" t="n">
        <f aca="false">IF(OR($D1158&lt;&gt;"销项开票",N($Q1158)=0),0,ROUND(N($H1158)/(1+$Q1158)*N(IFERROR(INDEX(单位档案!$L$6:$L$35,MATCH($E1158,单位档案!$A$6:$A$35,0)),"")),2))</f>
        <v>0</v>
      </c>
      <c r="W1158" s="36" t="n">
        <f aca="false">ROUND($S1158+$T1158+$U1158+$V1158,2)</f>
        <v>0</v>
      </c>
      <c r="X1158" s="35" t="str">
        <f aca="false">IF(OR($D1158="挂靠代收",$D1158="我方收款"),COUNTIFS($D$5:$D1158,"挂靠代收")+COUNTIFS($D$5:$D1158,"我方收款"),"")</f>
        <v/>
      </c>
      <c r="Y1158" s="35"/>
      <c r="Z1158" s="21" t="s">
        <v>111</v>
      </c>
    </row>
    <row r="1159" customFormat="false" ht="15.75" hidden="false" customHeight="true" outlineLevel="0" collapsed="false">
      <c r="A1159" s="32" t="str">
        <f aca="false">IF($B1159="","",ROW()-4)</f>
        <v/>
      </c>
      <c r="B1159" s="26"/>
      <c r="C1159" s="24"/>
      <c r="D1159" s="21"/>
      <c r="E1159" s="21"/>
      <c r="F1159" s="21"/>
      <c r="G1159" s="21"/>
      <c r="H1159" s="27"/>
      <c r="I1159" s="23" t="str">
        <f aca="false">IF($D1159&lt;&gt;"销项开票","",IF($N1159="一级",IF(IFERROR(INDEX(项目档案!$E$6:$E$255,MATCH($C1159,项目档案!$A$6:$A$255,0)),"")="",N(IFERROR(INDEX(单位档案!$D$6:$D$35,MATCH($E1159,单位档案!$A$6:$A$35,0)),"")),IFERROR(INDEX(项目档案!$E$6:$E$255,MATCH($C1159,项目档案!$A$6:$A$255,0)),"")),IF($N1159="二级",IF(IFERROR(INDEX(项目档案!$G$6:$G$255,MATCH($C1159,项目档案!$A$6:$A$255,0)),"")="",N(IFERROR(INDEX(单位档案!$D$6:$D$35,MATCH($E1159,单位档案!$A$6:$A$35,0)),"")),IFERROR(INDEX(项目档案!$G$6:$G$255,MATCH($C1159,项目档案!$A$6:$A$255,0)),"")),N(IFERROR(INDEX(单位档案!$D$6:$D$35,MATCH($E1159,单位档案!$A$6:$A$35,0)),"")))))</f>
        <v/>
      </c>
      <c r="J1159" s="22"/>
      <c r="K1159" s="22"/>
      <c r="L1159" s="33" t="str">
        <f aca="false">IF($B1159="","",IF(NOT(ISNUMBER($B1159)),"日期格式不对",IF($C1159="","未选项目编号",IF(LEFT($M1159,1)="⚠","项目编号不存在",IF($D1159="","未选业务类型",IF($E1159="","未选开票/付款方",IF(ISNA(MATCH($E1159,单位档案!$A$6:$A$35,0)),"开票方不在单位档案",IF($F1159="","未选收票/收款方",IF(ISNA(MATCH($F1159,单位档案!$A$6:$A$35,0)),"收款方不在单位档案",IF(NOT(ISNUMBER($H1159)),"金额须为数字",IF(AND($D1159="销项开票",$N1159="—"),"链条待确认","√")))))))))))</f>
        <v/>
      </c>
      <c r="M1159" s="34" t="str">
        <f aca="false">IF($C1159="","",IFERROR(INDEX(项目档案!$B$6:$B$255,MATCH($C1159,项目档案!$A$6:$A$255,0)),"⚠项目编号不存在"))</f>
        <v/>
      </c>
      <c r="N1159" s="35" t="str">
        <f aca="false">IF($E1159="","",IF($E1159=IFERROR(INDEX(项目档案!$D$6:$D$255,MATCH($C1159,项目档案!$A$6:$A$255,0)),""),"一级",IF($E1159=IFERROR(INDEX(项目档案!$F$6:$F$255,MATCH($C1159,项目档案!$A$6:$A$255,0)),""),"二级",IF($E1159=IFERROR(INDEX(项目档案!$H$6:$H$255,MATCH($C1159,项目档案!$A$6:$A$255,0)),""),"我方","—"))))</f>
        <v/>
      </c>
      <c r="O1159" s="36" t="n">
        <f aca="false">IF($D1159&lt;&gt;"销项开票",0,ROUND(N($H1159)*N($I1159),2))</f>
        <v>0</v>
      </c>
      <c r="P1159" s="36" t="n">
        <f aca="false">IF($D1159&lt;&gt;"销项开票",0,ROUND(N($H1159)-$O1159,2))</f>
        <v>0</v>
      </c>
      <c r="Q1159" s="37" t="str">
        <f aca="false">IF($E1159="","",N(IFERROR(INDEX(单位档案!$E$6:$E$35,MATCH($E1159,单位档案!$A$6:$A$35,0)),"")))</f>
        <v/>
      </c>
      <c r="R1159" s="37" t="str">
        <f aca="false">IF($E1159="","",N(IFERROR(INDEX(单位档案!$F$6:$F$35,MATCH($E1159,单位档案!$A$6:$A$35,0)),"")))</f>
        <v/>
      </c>
      <c r="S1159" s="36" t="n">
        <f aca="false">IF(OR($D1159&lt;&gt;"销项开票",IFERROR(INDEX(单位档案!$G$6:$G$35,MATCH($E1159,单位档案!$A$6:$A$35,0)),"")&lt;&gt;"是",N($Q1159)=0),0,IF(IFERROR(INDEX(单位档案!$H$6:$H$35,MATCH($E1159,单位档案!$A$6:$A$35,0)),"")="税差法",ROUND(N($H1159)/(1+$Q1159)*$Q1159-IF(N($R1159)=0,0,$P1159/(1+$R1159)*$R1159),2),ROUND(N($H1159)/(1+$Q1159)*$Q1159,2)))</f>
        <v>0</v>
      </c>
      <c r="T1159" s="36" t="n">
        <f aca="false">ROUND($S1159*N(IFERROR(INDEX(单位档案!$J$6:$J$35,MATCH($E1159,单位档案!$A$6:$A$35,0)),"")),2)</f>
        <v>0</v>
      </c>
      <c r="U1159" s="36" t="n">
        <f aca="false">IF($D1159&lt;&gt;"销项开票",0,ROUND(N($H1159)*N(IFERROR(INDEX(单位档案!$K$6:$K$35,MATCH($E1159,单位档案!$A$6:$A$35,0)),"")),2))</f>
        <v>0</v>
      </c>
      <c r="V1159" s="36" t="n">
        <f aca="false">IF(OR($D1159&lt;&gt;"销项开票",N($Q1159)=0),0,ROUND(N($H1159)/(1+$Q1159)*N(IFERROR(INDEX(单位档案!$L$6:$L$35,MATCH($E1159,单位档案!$A$6:$A$35,0)),"")),2))</f>
        <v>0</v>
      </c>
      <c r="W1159" s="36" t="n">
        <f aca="false">ROUND($S1159+$T1159+$U1159+$V1159,2)</f>
        <v>0</v>
      </c>
      <c r="X1159" s="35" t="str">
        <f aca="false">IF(OR($D1159="挂靠代收",$D1159="我方收款"),COUNTIFS($D$5:$D1159,"挂靠代收")+COUNTIFS($D$5:$D1159,"我方收款"),"")</f>
        <v/>
      </c>
      <c r="Y1159" s="35"/>
      <c r="Z1159" s="21" t="s">
        <v>111</v>
      </c>
    </row>
    <row r="1160" customFormat="false" ht="15.75" hidden="false" customHeight="true" outlineLevel="0" collapsed="false">
      <c r="A1160" s="32" t="str">
        <f aca="false">IF($B1160="","",ROW()-4)</f>
        <v/>
      </c>
      <c r="B1160" s="26"/>
      <c r="C1160" s="24"/>
      <c r="D1160" s="21"/>
      <c r="E1160" s="21"/>
      <c r="F1160" s="21"/>
      <c r="G1160" s="21"/>
      <c r="H1160" s="27"/>
      <c r="I1160" s="23" t="str">
        <f aca="false">IF($D1160&lt;&gt;"销项开票","",IF($N1160="一级",IF(IFERROR(INDEX(项目档案!$E$6:$E$255,MATCH($C1160,项目档案!$A$6:$A$255,0)),"")="",N(IFERROR(INDEX(单位档案!$D$6:$D$35,MATCH($E1160,单位档案!$A$6:$A$35,0)),"")),IFERROR(INDEX(项目档案!$E$6:$E$255,MATCH($C1160,项目档案!$A$6:$A$255,0)),"")),IF($N1160="二级",IF(IFERROR(INDEX(项目档案!$G$6:$G$255,MATCH($C1160,项目档案!$A$6:$A$255,0)),"")="",N(IFERROR(INDEX(单位档案!$D$6:$D$35,MATCH($E1160,单位档案!$A$6:$A$35,0)),"")),IFERROR(INDEX(项目档案!$G$6:$G$255,MATCH($C1160,项目档案!$A$6:$A$255,0)),"")),N(IFERROR(INDEX(单位档案!$D$6:$D$35,MATCH($E1160,单位档案!$A$6:$A$35,0)),"")))))</f>
        <v/>
      </c>
      <c r="J1160" s="22"/>
      <c r="K1160" s="22"/>
      <c r="L1160" s="33" t="str">
        <f aca="false">IF($B1160="","",IF(NOT(ISNUMBER($B1160)),"日期格式不对",IF($C1160="","未选项目编号",IF(LEFT($M1160,1)="⚠","项目编号不存在",IF($D1160="","未选业务类型",IF($E1160="","未选开票/付款方",IF(ISNA(MATCH($E1160,单位档案!$A$6:$A$35,0)),"开票方不在单位档案",IF($F1160="","未选收票/收款方",IF(ISNA(MATCH($F1160,单位档案!$A$6:$A$35,0)),"收款方不在单位档案",IF(NOT(ISNUMBER($H1160)),"金额须为数字",IF(AND($D1160="销项开票",$N1160="—"),"链条待确认","√")))))))))))</f>
        <v/>
      </c>
      <c r="M1160" s="34" t="str">
        <f aca="false">IF($C1160="","",IFERROR(INDEX(项目档案!$B$6:$B$255,MATCH($C1160,项目档案!$A$6:$A$255,0)),"⚠项目编号不存在"))</f>
        <v/>
      </c>
      <c r="N1160" s="35" t="str">
        <f aca="false">IF($E1160="","",IF($E1160=IFERROR(INDEX(项目档案!$D$6:$D$255,MATCH($C1160,项目档案!$A$6:$A$255,0)),""),"一级",IF($E1160=IFERROR(INDEX(项目档案!$F$6:$F$255,MATCH($C1160,项目档案!$A$6:$A$255,0)),""),"二级",IF($E1160=IFERROR(INDEX(项目档案!$H$6:$H$255,MATCH($C1160,项目档案!$A$6:$A$255,0)),""),"我方","—"))))</f>
        <v/>
      </c>
      <c r="O1160" s="36" t="n">
        <f aca="false">IF($D1160&lt;&gt;"销项开票",0,ROUND(N($H1160)*N($I1160),2))</f>
        <v>0</v>
      </c>
      <c r="P1160" s="36" t="n">
        <f aca="false">IF($D1160&lt;&gt;"销项开票",0,ROUND(N($H1160)-$O1160,2))</f>
        <v>0</v>
      </c>
      <c r="Q1160" s="37" t="str">
        <f aca="false">IF($E1160="","",N(IFERROR(INDEX(单位档案!$E$6:$E$35,MATCH($E1160,单位档案!$A$6:$A$35,0)),"")))</f>
        <v/>
      </c>
      <c r="R1160" s="37" t="str">
        <f aca="false">IF($E1160="","",N(IFERROR(INDEX(单位档案!$F$6:$F$35,MATCH($E1160,单位档案!$A$6:$A$35,0)),"")))</f>
        <v/>
      </c>
      <c r="S1160" s="36" t="n">
        <f aca="false">IF(OR($D1160&lt;&gt;"销项开票",IFERROR(INDEX(单位档案!$G$6:$G$35,MATCH($E1160,单位档案!$A$6:$A$35,0)),"")&lt;&gt;"是",N($Q1160)=0),0,IF(IFERROR(INDEX(单位档案!$H$6:$H$35,MATCH($E1160,单位档案!$A$6:$A$35,0)),"")="税差法",ROUND(N($H1160)/(1+$Q1160)*$Q1160-IF(N($R1160)=0,0,$P1160/(1+$R1160)*$R1160),2),ROUND(N($H1160)/(1+$Q1160)*$Q1160,2)))</f>
        <v>0</v>
      </c>
      <c r="T1160" s="36" t="n">
        <f aca="false">ROUND($S1160*N(IFERROR(INDEX(单位档案!$J$6:$J$35,MATCH($E1160,单位档案!$A$6:$A$35,0)),"")),2)</f>
        <v>0</v>
      </c>
      <c r="U1160" s="36" t="n">
        <f aca="false">IF($D1160&lt;&gt;"销项开票",0,ROUND(N($H1160)*N(IFERROR(INDEX(单位档案!$K$6:$K$35,MATCH($E1160,单位档案!$A$6:$A$35,0)),"")),2))</f>
        <v>0</v>
      </c>
      <c r="V1160" s="36" t="n">
        <f aca="false">IF(OR($D1160&lt;&gt;"销项开票",N($Q1160)=0),0,ROUND(N($H1160)/(1+$Q1160)*N(IFERROR(INDEX(单位档案!$L$6:$L$35,MATCH($E1160,单位档案!$A$6:$A$35,0)),"")),2))</f>
        <v>0</v>
      </c>
      <c r="W1160" s="36" t="n">
        <f aca="false">ROUND($S1160+$T1160+$U1160+$V1160,2)</f>
        <v>0</v>
      </c>
      <c r="X1160" s="35" t="str">
        <f aca="false">IF(OR($D1160="挂靠代收",$D1160="我方收款"),COUNTIFS($D$5:$D1160,"挂靠代收")+COUNTIFS($D$5:$D1160,"我方收款"),"")</f>
        <v/>
      </c>
      <c r="Y1160" s="35"/>
      <c r="Z1160" s="21" t="s">
        <v>111</v>
      </c>
    </row>
    <row r="1161" customFormat="false" ht="15.75" hidden="false" customHeight="true" outlineLevel="0" collapsed="false">
      <c r="A1161" s="32" t="str">
        <f aca="false">IF($B1161="","",ROW()-4)</f>
        <v/>
      </c>
      <c r="B1161" s="26"/>
      <c r="C1161" s="24"/>
      <c r="D1161" s="21"/>
      <c r="E1161" s="21"/>
      <c r="F1161" s="21"/>
      <c r="G1161" s="21"/>
      <c r="H1161" s="27"/>
      <c r="I1161" s="23" t="str">
        <f aca="false">IF($D1161&lt;&gt;"销项开票","",IF($N1161="一级",IF(IFERROR(INDEX(项目档案!$E$6:$E$255,MATCH($C1161,项目档案!$A$6:$A$255,0)),"")="",N(IFERROR(INDEX(单位档案!$D$6:$D$35,MATCH($E1161,单位档案!$A$6:$A$35,0)),"")),IFERROR(INDEX(项目档案!$E$6:$E$255,MATCH($C1161,项目档案!$A$6:$A$255,0)),"")),IF($N1161="二级",IF(IFERROR(INDEX(项目档案!$G$6:$G$255,MATCH($C1161,项目档案!$A$6:$A$255,0)),"")="",N(IFERROR(INDEX(单位档案!$D$6:$D$35,MATCH($E1161,单位档案!$A$6:$A$35,0)),"")),IFERROR(INDEX(项目档案!$G$6:$G$255,MATCH($C1161,项目档案!$A$6:$A$255,0)),"")),N(IFERROR(INDEX(单位档案!$D$6:$D$35,MATCH($E1161,单位档案!$A$6:$A$35,0)),"")))))</f>
        <v/>
      </c>
      <c r="J1161" s="22"/>
      <c r="K1161" s="22"/>
      <c r="L1161" s="33" t="str">
        <f aca="false">IF($B1161="","",IF(NOT(ISNUMBER($B1161)),"日期格式不对",IF($C1161="","未选项目编号",IF(LEFT($M1161,1)="⚠","项目编号不存在",IF($D1161="","未选业务类型",IF($E1161="","未选开票/付款方",IF(ISNA(MATCH($E1161,单位档案!$A$6:$A$35,0)),"开票方不在单位档案",IF($F1161="","未选收票/收款方",IF(ISNA(MATCH($F1161,单位档案!$A$6:$A$35,0)),"收款方不在单位档案",IF(NOT(ISNUMBER($H1161)),"金额须为数字",IF(AND($D1161="销项开票",$N1161="—"),"链条待确认","√")))))))))))</f>
        <v/>
      </c>
      <c r="M1161" s="34" t="str">
        <f aca="false">IF($C1161="","",IFERROR(INDEX(项目档案!$B$6:$B$255,MATCH($C1161,项目档案!$A$6:$A$255,0)),"⚠项目编号不存在"))</f>
        <v/>
      </c>
      <c r="N1161" s="35" t="str">
        <f aca="false">IF($E1161="","",IF($E1161=IFERROR(INDEX(项目档案!$D$6:$D$255,MATCH($C1161,项目档案!$A$6:$A$255,0)),""),"一级",IF($E1161=IFERROR(INDEX(项目档案!$F$6:$F$255,MATCH($C1161,项目档案!$A$6:$A$255,0)),""),"二级",IF($E1161=IFERROR(INDEX(项目档案!$H$6:$H$255,MATCH($C1161,项目档案!$A$6:$A$255,0)),""),"我方","—"))))</f>
        <v/>
      </c>
      <c r="O1161" s="36" t="n">
        <f aca="false">IF($D1161&lt;&gt;"销项开票",0,ROUND(N($H1161)*N($I1161),2))</f>
        <v>0</v>
      </c>
      <c r="P1161" s="36" t="n">
        <f aca="false">IF($D1161&lt;&gt;"销项开票",0,ROUND(N($H1161)-$O1161,2))</f>
        <v>0</v>
      </c>
      <c r="Q1161" s="37" t="str">
        <f aca="false">IF($E1161="","",N(IFERROR(INDEX(单位档案!$E$6:$E$35,MATCH($E1161,单位档案!$A$6:$A$35,0)),"")))</f>
        <v/>
      </c>
      <c r="R1161" s="37" t="str">
        <f aca="false">IF($E1161="","",N(IFERROR(INDEX(单位档案!$F$6:$F$35,MATCH($E1161,单位档案!$A$6:$A$35,0)),"")))</f>
        <v/>
      </c>
      <c r="S1161" s="36" t="n">
        <f aca="false">IF(OR($D1161&lt;&gt;"销项开票",IFERROR(INDEX(单位档案!$G$6:$G$35,MATCH($E1161,单位档案!$A$6:$A$35,0)),"")&lt;&gt;"是",N($Q1161)=0),0,IF(IFERROR(INDEX(单位档案!$H$6:$H$35,MATCH($E1161,单位档案!$A$6:$A$35,0)),"")="税差法",ROUND(N($H1161)/(1+$Q1161)*$Q1161-IF(N($R1161)=0,0,$P1161/(1+$R1161)*$R1161),2),ROUND(N($H1161)/(1+$Q1161)*$Q1161,2)))</f>
        <v>0</v>
      </c>
      <c r="T1161" s="36" t="n">
        <f aca="false">ROUND($S1161*N(IFERROR(INDEX(单位档案!$J$6:$J$35,MATCH($E1161,单位档案!$A$6:$A$35,0)),"")),2)</f>
        <v>0</v>
      </c>
      <c r="U1161" s="36" t="n">
        <f aca="false">IF($D1161&lt;&gt;"销项开票",0,ROUND(N($H1161)*N(IFERROR(INDEX(单位档案!$K$6:$K$35,MATCH($E1161,单位档案!$A$6:$A$35,0)),"")),2))</f>
        <v>0</v>
      </c>
      <c r="V1161" s="36" t="n">
        <f aca="false">IF(OR($D1161&lt;&gt;"销项开票",N($Q1161)=0),0,ROUND(N($H1161)/(1+$Q1161)*N(IFERROR(INDEX(单位档案!$L$6:$L$35,MATCH($E1161,单位档案!$A$6:$A$35,0)),"")),2))</f>
        <v>0</v>
      </c>
      <c r="W1161" s="36" t="n">
        <f aca="false">ROUND($S1161+$T1161+$U1161+$V1161,2)</f>
        <v>0</v>
      </c>
      <c r="X1161" s="35" t="str">
        <f aca="false">IF(OR($D1161="挂靠代收",$D1161="我方收款"),COUNTIFS($D$5:$D1161,"挂靠代收")+COUNTIFS($D$5:$D1161,"我方收款"),"")</f>
        <v/>
      </c>
      <c r="Y1161" s="35"/>
      <c r="Z1161" s="21" t="s">
        <v>111</v>
      </c>
    </row>
    <row r="1162" customFormat="false" ht="15.75" hidden="false" customHeight="true" outlineLevel="0" collapsed="false">
      <c r="A1162" s="32" t="str">
        <f aca="false">IF($B1162="","",ROW()-4)</f>
        <v/>
      </c>
      <c r="B1162" s="26"/>
      <c r="C1162" s="24"/>
      <c r="D1162" s="21"/>
      <c r="E1162" s="21"/>
      <c r="F1162" s="21"/>
      <c r="G1162" s="21"/>
      <c r="H1162" s="27"/>
      <c r="I1162" s="23" t="str">
        <f aca="false">IF($D1162&lt;&gt;"销项开票","",IF($N1162="一级",IF(IFERROR(INDEX(项目档案!$E$6:$E$255,MATCH($C1162,项目档案!$A$6:$A$255,0)),"")="",N(IFERROR(INDEX(单位档案!$D$6:$D$35,MATCH($E1162,单位档案!$A$6:$A$35,0)),"")),IFERROR(INDEX(项目档案!$E$6:$E$255,MATCH($C1162,项目档案!$A$6:$A$255,0)),"")),IF($N1162="二级",IF(IFERROR(INDEX(项目档案!$G$6:$G$255,MATCH($C1162,项目档案!$A$6:$A$255,0)),"")="",N(IFERROR(INDEX(单位档案!$D$6:$D$35,MATCH($E1162,单位档案!$A$6:$A$35,0)),"")),IFERROR(INDEX(项目档案!$G$6:$G$255,MATCH($C1162,项目档案!$A$6:$A$255,0)),"")),N(IFERROR(INDEX(单位档案!$D$6:$D$35,MATCH($E1162,单位档案!$A$6:$A$35,0)),"")))))</f>
        <v/>
      </c>
      <c r="J1162" s="22"/>
      <c r="K1162" s="22"/>
      <c r="L1162" s="33" t="str">
        <f aca="false">IF($B1162="","",IF(NOT(ISNUMBER($B1162)),"日期格式不对",IF($C1162="","未选项目编号",IF(LEFT($M1162,1)="⚠","项目编号不存在",IF($D1162="","未选业务类型",IF($E1162="","未选开票/付款方",IF(ISNA(MATCH($E1162,单位档案!$A$6:$A$35,0)),"开票方不在单位档案",IF($F1162="","未选收票/收款方",IF(ISNA(MATCH($F1162,单位档案!$A$6:$A$35,0)),"收款方不在单位档案",IF(NOT(ISNUMBER($H1162)),"金额须为数字",IF(AND($D1162="销项开票",$N1162="—"),"链条待确认","√")))))))))))</f>
        <v/>
      </c>
      <c r="M1162" s="34" t="str">
        <f aca="false">IF($C1162="","",IFERROR(INDEX(项目档案!$B$6:$B$255,MATCH($C1162,项目档案!$A$6:$A$255,0)),"⚠项目编号不存在"))</f>
        <v/>
      </c>
      <c r="N1162" s="35" t="str">
        <f aca="false">IF($E1162="","",IF($E1162=IFERROR(INDEX(项目档案!$D$6:$D$255,MATCH($C1162,项目档案!$A$6:$A$255,0)),""),"一级",IF($E1162=IFERROR(INDEX(项目档案!$F$6:$F$255,MATCH($C1162,项目档案!$A$6:$A$255,0)),""),"二级",IF($E1162=IFERROR(INDEX(项目档案!$H$6:$H$255,MATCH($C1162,项目档案!$A$6:$A$255,0)),""),"我方","—"))))</f>
        <v/>
      </c>
      <c r="O1162" s="36" t="n">
        <f aca="false">IF($D1162&lt;&gt;"销项开票",0,ROUND(N($H1162)*N($I1162),2))</f>
        <v>0</v>
      </c>
      <c r="P1162" s="36" t="n">
        <f aca="false">IF($D1162&lt;&gt;"销项开票",0,ROUND(N($H1162)-$O1162,2))</f>
        <v>0</v>
      </c>
      <c r="Q1162" s="37" t="str">
        <f aca="false">IF($E1162="","",N(IFERROR(INDEX(单位档案!$E$6:$E$35,MATCH($E1162,单位档案!$A$6:$A$35,0)),"")))</f>
        <v/>
      </c>
      <c r="R1162" s="37" t="str">
        <f aca="false">IF($E1162="","",N(IFERROR(INDEX(单位档案!$F$6:$F$35,MATCH($E1162,单位档案!$A$6:$A$35,0)),"")))</f>
        <v/>
      </c>
      <c r="S1162" s="36" t="n">
        <f aca="false">IF(OR($D1162&lt;&gt;"销项开票",IFERROR(INDEX(单位档案!$G$6:$G$35,MATCH($E1162,单位档案!$A$6:$A$35,0)),"")&lt;&gt;"是",N($Q1162)=0),0,IF(IFERROR(INDEX(单位档案!$H$6:$H$35,MATCH($E1162,单位档案!$A$6:$A$35,0)),"")="税差法",ROUND(N($H1162)/(1+$Q1162)*$Q1162-IF(N($R1162)=0,0,$P1162/(1+$R1162)*$R1162),2),ROUND(N($H1162)/(1+$Q1162)*$Q1162,2)))</f>
        <v>0</v>
      </c>
      <c r="T1162" s="36" t="n">
        <f aca="false">ROUND($S1162*N(IFERROR(INDEX(单位档案!$J$6:$J$35,MATCH($E1162,单位档案!$A$6:$A$35,0)),"")),2)</f>
        <v>0</v>
      </c>
      <c r="U1162" s="36" t="n">
        <f aca="false">IF($D1162&lt;&gt;"销项开票",0,ROUND(N($H1162)*N(IFERROR(INDEX(单位档案!$K$6:$K$35,MATCH($E1162,单位档案!$A$6:$A$35,0)),"")),2))</f>
        <v>0</v>
      </c>
      <c r="V1162" s="36" t="n">
        <f aca="false">IF(OR($D1162&lt;&gt;"销项开票",N($Q1162)=0),0,ROUND(N($H1162)/(1+$Q1162)*N(IFERROR(INDEX(单位档案!$L$6:$L$35,MATCH($E1162,单位档案!$A$6:$A$35,0)),"")),2))</f>
        <v>0</v>
      </c>
      <c r="W1162" s="36" t="n">
        <f aca="false">ROUND($S1162+$T1162+$U1162+$V1162,2)</f>
        <v>0</v>
      </c>
      <c r="X1162" s="35" t="str">
        <f aca="false">IF(OR($D1162="挂靠代收",$D1162="我方收款"),COUNTIFS($D$5:$D1162,"挂靠代收")+COUNTIFS($D$5:$D1162,"我方收款"),"")</f>
        <v/>
      </c>
      <c r="Y1162" s="35"/>
      <c r="Z1162" s="21" t="s">
        <v>111</v>
      </c>
    </row>
    <row r="1163" customFormat="false" ht="15.75" hidden="false" customHeight="true" outlineLevel="0" collapsed="false">
      <c r="A1163" s="32" t="str">
        <f aca="false">IF($B1163="","",ROW()-4)</f>
        <v/>
      </c>
      <c r="B1163" s="26"/>
      <c r="C1163" s="24"/>
      <c r="D1163" s="21"/>
      <c r="E1163" s="21"/>
      <c r="F1163" s="21"/>
      <c r="G1163" s="21"/>
      <c r="H1163" s="27"/>
      <c r="I1163" s="23" t="str">
        <f aca="false">IF($D1163&lt;&gt;"销项开票","",IF($N1163="一级",IF(IFERROR(INDEX(项目档案!$E$6:$E$255,MATCH($C1163,项目档案!$A$6:$A$255,0)),"")="",N(IFERROR(INDEX(单位档案!$D$6:$D$35,MATCH($E1163,单位档案!$A$6:$A$35,0)),"")),IFERROR(INDEX(项目档案!$E$6:$E$255,MATCH($C1163,项目档案!$A$6:$A$255,0)),"")),IF($N1163="二级",IF(IFERROR(INDEX(项目档案!$G$6:$G$255,MATCH($C1163,项目档案!$A$6:$A$255,0)),"")="",N(IFERROR(INDEX(单位档案!$D$6:$D$35,MATCH($E1163,单位档案!$A$6:$A$35,0)),"")),IFERROR(INDEX(项目档案!$G$6:$G$255,MATCH($C1163,项目档案!$A$6:$A$255,0)),"")),N(IFERROR(INDEX(单位档案!$D$6:$D$35,MATCH($E1163,单位档案!$A$6:$A$35,0)),"")))))</f>
        <v/>
      </c>
      <c r="J1163" s="22"/>
      <c r="K1163" s="22"/>
      <c r="L1163" s="33" t="str">
        <f aca="false">IF($B1163="","",IF(NOT(ISNUMBER($B1163)),"日期格式不对",IF($C1163="","未选项目编号",IF(LEFT($M1163,1)="⚠","项目编号不存在",IF($D1163="","未选业务类型",IF($E1163="","未选开票/付款方",IF(ISNA(MATCH($E1163,单位档案!$A$6:$A$35,0)),"开票方不在单位档案",IF($F1163="","未选收票/收款方",IF(ISNA(MATCH($F1163,单位档案!$A$6:$A$35,0)),"收款方不在单位档案",IF(NOT(ISNUMBER($H1163)),"金额须为数字",IF(AND($D1163="销项开票",$N1163="—"),"链条待确认","√")))))))))))</f>
        <v/>
      </c>
      <c r="M1163" s="34" t="str">
        <f aca="false">IF($C1163="","",IFERROR(INDEX(项目档案!$B$6:$B$255,MATCH($C1163,项目档案!$A$6:$A$255,0)),"⚠项目编号不存在"))</f>
        <v/>
      </c>
      <c r="N1163" s="35" t="str">
        <f aca="false">IF($E1163="","",IF($E1163=IFERROR(INDEX(项目档案!$D$6:$D$255,MATCH($C1163,项目档案!$A$6:$A$255,0)),""),"一级",IF($E1163=IFERROR(INDEX(项目档案!$F$6:$F$255,MATCH($C1163,项目档案!$A$6:$A$255,0)),""),"二级",IF($E1163=IFERROR(INDEX(项目档案!$H$6:$H$255,MATCH($C1163,项目档案!$A$6:$A$255,0)),""),"我方","—"))))</f>
        <v/>
      </c>
      <c r="O1163" s="36" t="n">
        <f aca="false">IF($D1163&lt;&gt;"销项开票",0,ROUND(N($H1163)*N($I1163),2))</f>
        <v>0</v>
      </c>
      <c r="P1163" s="36" t="n">
        <f aca="false">IF($D1163&lt;&gt;"销项开票",0,ROUND(N($H1163)-$O1163,2))</f>
        <v>0</v>
      </c>
      <c r="Q1163" s="37" t="str">
        <f aca="false">IF($E1163="","",N(IFERROR(INDEX(单位档案!$E$6:$E$35,MATCH($E1163,单位档案!$A$6:$A$35,0)),"")))</f>
        <v/>
      </c>
      <c r="R1163" s="37" t="str">
        <f aca="false">IF($E1163="","",N(IFERROR(INDEX(单位档案!$F$6:$F$35,MATCH($E1163,单位档案!$A$6:$A$35,0)),"")))</f>
        <v/>
      </c>
      <c r="S1163" s="36" t="n">
        <f aca="false">IF(OR($D1163&lt;&gt;"销项开票",IFERROR(INDEX(单位档案!$G$6:$G$35,MATCH($E1163,单位档案!$A$6:$A$35,0)),"")&lt;&gt;"是",N($Q1163)=0),0,IF(IFERROR(INDEX(单位档案!$H$6:$H$35,MATCH($E1163,单位档案!$A$6:$A$35,0)),"")="税差法",ROUND(N($H1163)/(1+$Q1163)*$Q1163-IF(N($R1163)=0,0,$P1163/(1+$R1163)*$R1163),2),ROUND(N($H1163)/(1+$Q1163)*$Q1163,2)))</f>
        <v>0</v>
      </c>
      <c r="T1163" s="36" t="n">
        <f aca="false">ROUND($S1163*N(IFERROR(INDEX(单位档案!$J$6:$J$35,MATCH($E1163,单位档案!$A$6:$A$35,0)),"")),2)</f>
        <v>0</v>
      </c>
      <c r="U1163" s="36" t="n">
        <f aca="false">IF($D1163&lt;&gt;"销项开票",0,ROUND(N($H1163)*N(IFERROR(INDEX(单位档案!$K$6:$K$35,MATCH($E1163,单位档案!$A$6:$A$35,0)),"")),2))</f>
        <v>0</v>
      </c>
      <c r="V1163" s="36" t="n">
        <f aca="false">IF(OR($D1163&lt;&gt;"销项开票",N($Q1163)=0),0,ROUND(N($H1163)/(1+$Q1163)*N(IFERROR(INDEX(单位档案!$L$6:$L$35,MATCH($E1163,单位档案!$A$6:$A$35,0)),"")),2))</f>
        <v>0</v>
      </c>
      <c r="W1163" s="36" t="n">
        <f aca="false">ROUND($S1163+$T1163+$U1163+$V1163,2)</f>
        <v>0</v>
      </c>
      <c r="X1163" s="35" t="str">
        <f aca="false">IF(OR($D1163="挂靠代收",$D1163="我方收款"),COUNTIFS($D$5:$D1163,"挂靠代收")+COUNTIFS($D$5:$D1163,"我方收款"),"")</f>
        <v/>
      </c>
      <c r="Y1163" s="35"/>
      <c r="Z1163" s="21" t="s">
        <v>111</v>
      </c>
    </row>
    <row r="1164" customFormat="false" ht="15.75" hidden="false" customHeight="true" outlineLevel="0" collapsed="false">
      <c r="A1164" s="32" t="str">
        <f aca="false">IF($B1164="","",ROW()-4)</f>
        <v/>
      </c>
      <c r="B1164" s="26"/>
      <c r="C1164" s="24"/>
      <c r="D1164" s="21"/>
      <c r="E1164" s="21"/>
      <c r="F1164" s="21"/>
      <c r="G1164" s="21"/>
      <c r="H1164" s="27"/>
      <c r="I1164" s="23" t="str">
        <f aca="false">IF($D1164&lt;&gt;"销项开票","",IF($N1164="一级",IF(IFERROR(INDEX(项目档案!$E$6:$E$255,MATCH($C1164,项目档案!$A$6:$A$255,0)),"")="",N(IFERROR(INDEX(单位档案!$D$6:$D$35,MATCH($E1164,单位档案!$A$6:$A$35,0)),"")),IFERROR(INDEX(项目档案!$E$6:$E$255,MATCH($C1164,项目档案!$A$6:$A$255,0)),"")),IF($N1164="二级",IF(IFERROR(INDEX(项目档案!$G$6:$G$255,MATCH($C1164,项目档案!$A$6:$A$255,0)),"")="",N(IFERROR(INDEX(单位档案!$D$6:$D$35,MATCH($E1164,单位档案!$A$6:$A$35,0)),"")),IFERROR(INDEX(项目档案!$G$6:$G$255,MATCH($C1164,项目档案!$A$6:$A$255,0)),"")),N(IFERROR(INDEX(单位档案!$D$6:$D$35,MATCH($E1164,单位档案!$A$6:$A$35,0)),"")))))</f>
        <v/>
      </c>
      <c r="J1164" s="22"/>
      <c r="K1164" s="22"/>
      <c r="L1164" s="33" t="str">
        <f aca="false">IF($B1164="","",IF(NOT(ISNUMBER($B1164)),"日期格式不对",IF($C1164="","未选项目编号",IF(LEFT($M1164,1)="⚠","项目编号不存在",IF($D1164="","未选业务类型",IF($E1164="","未选开票/付款方",IF(ISNA(MATCH($E1164,单位档案!$A$6:$A$35,0)),"开票方不在单位档案",IF($F1164="","未选收票/收款方",IF(ISNA(MATCH($F1164,单位档案!$A$6:$A$35,0)),"收款方不在单位档案",IF(NOT(ISNUMBER($H1164)),"金额须为数字",IF(AND($D1164="销项开票",$N1164="—"),"链条待确认","√")))))))))))</f>
        <v/>
      </c>
      <c r="M1164" s="34" t="str">
        <f aca="false">IF($C1164="","",IFERROR(INDEX(项目档案!$B$6:$B$255,MATCH($C1164,项目档案!$A$6:$A$255,0)),"⚠项目编号不存在"))</f>
        <v/>
      </c>
      <c r="N1164" s="35" t="str">
        <f aca="false">IF($E1164="","",IF($E1164=IFERROR(INDEX(项目档案!$D$6:$D$255,MATCH($C1164,项目档案!$A$6:$A$255,0)),""),"一级",IF($E1164=IFERROR(INDEX(项目档案!$F$6:$F$255,MATCH($C1164,项目档案!$A$6:$A$255,0)),""),"二级",IF($E1164=IFERROR(INDEX(项目档案!$H$6:$H$255,MATCH($C1164,项目档案!$A$6:$A$255,0)),""),"我方","—"))))</f>
        <v/>
      </c>
      <c r="O1164" s="36" t="n">
        <f aca="false">IF($D1164&lt;&gt;"销项开票",0,ROUND(N($H1164)*N($I1164),2))</f>
        <v>0</v>
      </c>
      <c r="P1164" s="36" t="n">
        <f aca="false">IF($D1164&lt;&gt;"销项开票",0,ROUND(N($H1164)-$O1164,2))</f>
        <v>0</v>
      </c>
      <c r="Q1164" s="37" t="str">
        <f aca="false">IF($E1164="","",N(IFERROR(INDEX(单位档案!$E$6:$E$35,MATCH($E1164,单位档案!$A$6:$A$35,0)),"")))</f>
        <v/>
      </c>
      <c r="R1164" s="37" t="str">
        <f aca="false">IF($E1164="","",N(IFERROR(INDEX(单位档案!$F$6:$F$35,MATCH($E1164,单位档案!$A$6:$A$35,0)),"")))</f>
        <v/>
      </c>
      <c r="S1164" s="36" t="n">
        <f aca="false">IF(OR($D1164&lt;&gt;"销项开票",IFERROR(INDEX(单位档案!$G$6:$G$35,MATCH($E1164,单位档案!$A$6:$A$35,0)),"")&lt;&gt;"是",N($Q1164)=0),0,IF(IFERROR(INDEX(单位档案!$H$6:$H$35,MATCH($E1164,单位档案!$A$6:$A$35,0)),"")="税差法",ROUND(N($H1164)/(1+$Q1164)*$Q1164-IF(N($R1164)=0,0,$P1164/(1+$R1164)*$R1164),2),ROUND(N($H1164)/(1+$Q1164)*$Q1164,2)))</f>
        <v>0</v>
      </c>
      <c r="T1164" s="36" t="n">
        <f aca="false">ROUND($S1164*N(IFERROR(INDEX(单位档案!$J$6:$J$35,MATCH($E1164,单位档案!$A$6:$A$35,0)),"")),2)</f>
        <v>0</v>
      </c>
      <c r="U1164" s="36" t="n">
        <f aca="false">IF($D1164&lt;&gt;"销项开票",0,ROUND(N($H1164)*N(IFERROR(INDEX(单位档案!$K$6:$K$35,MATCH($E1164,单位档案!$A$6:$A$35,0)),"")),2))</f>
        <v>0</v>
      </c>
      <c r="V1164" s="36" t="n">
        <f aca="false">IF(OR($D1164&lt;&gt;"销项开票",N($Q1164)=0),0,ROUND(N($H1164)/(1+$Q1164)*N(IFERROR(INDEX(单位档案!$L$6:$L$35,MATCH($E1164,单位档案!$A$6:$A$35,0)),"")),2))</f>
        <v>0</v>
      </c>
      <c r="W1164" s="36" t="n">
        <f aca="false">ROUND($S1164+$T1164+$U1164+$V1164,2)</f>
        <v>0</v>
      </c>
      <c r="X1164" s="35" t="str">
        <f aca="false">IF(OR($D1164="挂靠代收",$D1164="我方收款"),COUNTIFS($D$5:$D1164,"挂靠代收")+COUNTIFS($D$5:$D1164,"我方收款"),"")</f>
        <v/>
      </c>
      <c r="Y1164" s="35"/>
      <c r="Z1164" s="21" t="s">
        <v>111</v>
      </c>
    </row>
    <row r="1165" customFormat="false" ht="15.75" hidden="false" customHeight="true" outlineLevel="0" collapsed="false">
      <c r="A1165" s="32" t="str">
        <f aca="false">IF($B1165="","",ROW()-4)</f>
        <v/>
      </c>
      <c r="B1165" s="26"/>
      <c r="C1165" s="24"/>
      <c r="D1165" s="21"/>
      <c r="E1165" s="21"/>
      <c r="F1165" s="21"/>
      <c r="G1165" s="21"/>
      <c r="H1165" s="27"/>
      <c r="I1165" s="23" t="str">
        <f aca="false">IF($D1165&lt;&gt;"销项开票","",IF($N1165="一级",IF(IFERROR(INDEX(项目档案!$E$6:$E$255,MATCH($C1165,项目档案!$A$6:$A$255,0)),"")="",N(IFERROR(INDEX(单位档案!$D$6:$D$35,MATCH($E1165,单位档案!$A$6:$A$35,0)),"")),IFERROR(INDEX(项目档案!$E$6:$E$255,MATCH($C1165,项目档案!$A$6:$A$255,0)),"")),IF($N1165="二级",IF(IFERROR(INDEX(项目档案!$G$6:$G$255,MATCH($C1165,项目档案!$A$6:$A$255,0)),"")="",N(IFERROR(INDEX(单位档案!$D$6:$D$35,MATCH($E1165,单位档案!$A$6:$A$35,0)),"")),IFERROR(INDEX(项目档案!$G$6:$G$255,MATCH($C1165,项目档案!$A$6:$A$255,0)),"")),N(IFERROR(INDEX(单位档案!$D$6:$D$35,MATCH($E1165,单位档案!$A$6:$A$35,0)),"")))))</f>
        <v/>
      </c>
      <c r="J1165" s="22"/>
      <c r="K1165" s="22"/>
      <c r="L1165" s="33" t="str">
        <f aca="false">IF($B1165="","",IF(NOT(ISNUMBER($B1165)),"日期格式不对",IF($C1165="","未选项目编号",IF(LEFT($M1165,1)="⚠","项目编号不存在",IF($D1165="","未选业务类型",IF($E1165="","未选开票/付款方",IF(ISNA(MATCH($E1165,单位档案!$A$6:$A$35,0)),"开票方不在单位档案",IF($F1165="","未选收票/收款方",IF(ISNA(MATCH($F1165,单位档案!$A$6:$A$35,0)),"收款方不在单位档案",IF(NOT(ISNUMBER($H1165)),"金额须为数字",IF(AND($D1165="销项开票",$N1165="—"),"链条待确认","√")))))))))))</f>
        <v/>
      </c>
      <c r="M1165" s="34" t="str">
        <f aca="false">IF($C1165="","",IFERROR(INDEX(项目档案!$B$6:$B$255,MATCH($C1165,项目档案!$A$6:$A$255,0)),"⚠项目编号不存在"))</f>
        <v/>
      </c>
      <c r="N1165" s="35" t="str">
        <f aca="false">IF($E1165="","",IF($E1165=IFERROR(INDEX(项目档案!$D$6:$D$255,MATCH($C1165,项目档案!$A$6:$A$255,0)),""),"一级",IF($E1165=IFERROR(INDEX(项目档案!$F$6:$F$255,MATCH($C1165,项目档案!$A$6:$A$255,0)),""),"二级",IF($E1165=IFERROR(INDEX(项目档案!$H$6:$H$255,MATCH($C1165,项目档案!$A$6:$A$255,0)),""),"我方","—"))))</f>
        <v/>
      </c>
      <c r="O1165" s="36" t="n">
        <f aca="false">IF($D1165&lt;&gt;"销项开票",0,ROUND(N($H1165)*N($I1165),2))</f>
        <v>0</v>
      </c>
      <c r="P1165" s="36" t="n">
        <f aca="false">IF($D1165&lt;&gt;"销项开票",0,ROUND(N($H1165)-$O1165,2))</f>
        <v>0</v>
      </c>
      <c r="Q1165" s="37" t="str">
        <f aca="false">IF($E1165="","",N(IFERROR(INDEX(单位档案!$E$6:$E$35,MATCH($E1165,单位档案!$A$6:$A$35,0)),"")))</f>
        <v/>
      </c>
      <c r="R1165" s="37" t="str">
        <f aca="false">IF($E1165="","",N(IFERROR(INDEX(单位档案!$F$6:$F$35,MATCH($E1165,单位档案!$A$6:$A$35,0)),"")))</f>
        <v/>
      </c>
      <c r="S1165" s="36" t="n">
        <f aca="false">IF(OR($D1165&lt;&gt;"销项开票",IFERROR(INDEX(单位档案!$G$6:$G$35,MATCH($E1165,单位档案!$A$6:$A$35,0)),"")&lt;&gt;"是",N($Q1165)=0),0,IF(IFERROR(INDEX(单位档案!$H$6:$H$35,MATCH($E1165,单位档案!$A$6:$A$35,0)),"")="税差法",ROUND(N($H1165)/(1+$Q1165)*$Q1165-IF(N($R1165)=0,0,$P1165/(1+$R1165)*$R1165),2),ROUND(N($H1165)/(1+$Q1165)*$Q1165,2)))</f>
        <v>0</v>
      </c>
      <c r="T1165" s="36" t="n">
        <f aca="false">ROUND($S1165*N(IFERROR(INDEX(单位档案!$J$6:$J$35,MATCH($E1165,单位档案!$A$6:$A$35,0)),"")),2)</f>
        <v>0</v>
      </c>
      <c r="U1165" s="36" t="n">
        <f aca="false">IF($D1165&lt;&gt;"销项开票",0,ROUND(N($H1165)*N(IFERROR(INDEX(单位档案!$K$6:$K$35,MATCH($E1165,单位档案!$A$6:$A$35,0)),"")),2))</f>
        <v>0</v>
      </c>
      <c r="V1165" s="36" t="n">
        <f aca="false">IF(OR($D1165&lt;&gt;"销项开票",N($Q1165)=0),0,ROUND(N($H1165)/(1+$Q1165)*N(IFERROR(INDEX(单位档案!$L$6:$L$35,MATCH($E1165,单位档案!$A$6:$A$35,0)),"")),2))</f>
        <v>0</v>
      </c>
      <c r="W1165" s="36" t="n">
        <f aca="false">ROUND($S1165+$T1165+$U1165+$V1165,2)</f>
        <v>0</v>
      </c>
      <c r="X1165" s="35" t="str">
        <f aca="false">IF(OR($D1165="挂靠代收",$D1165="我方收款"),COUNTIFS($D$5:$D1165,"挂靠代收")+COUNTIFS($D$5:$D1165,"我方收款"),"")</f>
        <v/>
      </c>
      <c r="Y1165" s="35"/>
      <c r="Z1165" s="21" t="s">
        <v>111</v>
      </c>
    </row>
    <row r="1166" customFormat="false" ht="15.75" hidden="false" customHeight="true" outlineLevel="0" collapsed="false">
      <c r="A1166" s="32" t="str">
        <f aca="false">IF($B1166="","",ROW()-4)</f>
        <v/>
      </c>
      <c r="B1166" s="26"/>
      <c r="C1166" s="24"/>
      <c r="D1166" s="21"/>
      <c r="E1166" s="21"/>
      <c r="F1166" s="21"/>
      <c r="G1166" s="21"/>
      <c r="H1166" s="27"/>
      <c r="I1166" s="23" t="str">
        <f aca="false">IF($D1166&lt;&gt;"销项开票","",IF($N1166="一级",IF(IFERROR(INDEX(项目档案!$E$6:$E$255,MATCH($C1166,项目档案!$A$6:$A$255,0)),"")="",N(IFERROR(INDEX(单位档案!$D$6:$D$35,MATCH($E1166,单位档案!$A$6:$A$35,0)),"")),IFERROR(INDEX(项目档案!$E$6:$E$255,MATCH($C1166,项目档案!$A$6:$A$255,0)),"")),IF($N1166="二级",IF(IFERROR(INDEX(项目档案!$G$6:$G$255,MATCH($C1166,项目档案!$A$6:$A$255,0)),"")="",N(IFERROR(INDEX(单位档案!$D$6:$D$35,MATCH($E1166,单位档案!$A$6:$A$35,0)),"")),IFERROR(INDEX(项目档案!$G$6:$G$255,MATCH($C1166,项目档案!$A$6:$A$255,0)),"")),N(IFERROR(INDEX(单位档案!$D$6:$D$35,MATCH($E1166,单位档案!$A$6:$A$35,0)),"")))))</f>
        <v/>
      </c>
      <c r="J1166" s="22"/>
      <c r="K1166" s="22"/>
      <c r="L1166" s="33" t="str">
        <f aca="false">IF($B1166="","",IF(NOT(ISNUMBER($B1166)),"日期格式不对",IF($C1166="","未选项目编号",IF(LEFT($M1166,1)="⚠","项目编号不存在",IF($D1166="","未选业务类型",IF($E1166="","未选开票/付款方",IF(ISNA(MATCH($E1166,单位档案!$A$6:$A$35,0)),"开票方不在单位档案",IF($F1166="","未选收票/收款方",IF(ISNA(MATCH($F1166,单位档案!$A$6:$A$35,0)),"收款方不在单位档案",IF(NOT(ISNUMBER($H1166)),"金额须为数字",IF(AND($D1166="销项开票",$N1166="—"),"链条待确认","√")))))))))))</f>
        <v/>
      </c>
      <c r="M1166" s="34" t="str">
        <f aca="false">IF($C1166="","",IFERROR(INDEX(项目档案!$B$6:$B$255,MATCH($C1166,项目档案!$A$6:$A$255,0)),"⚠项目编号不存在"))</f>
        <v/>
      </c>
      <c r="N1166" s="35" t="str">
        <f aca="false">IF($E1166="","",IF($E1166=IFERROR(INDEX(项目档案!$D$6:$D$255,MATCH($C1166,项目档案!$A$6:$A$255,0)),""),"一级",IF($E1166=IFERROR(INDEX(项目档案!$F$6:$F$255,MATCH($C1166,项目档案!$A$6:$A$255,0)),""),"二级",IF($E1166=IFERROR(INDEX(项目档案!$H$6:$H$255,MATCH($C1166,项目档案!$A$6:$A$255,0)),""),"我方","—"))))</f>
        <v/>
      </c>
      <c r="O1166" s="36" t="n">
        <f aca="false">IF($D1166&lt;&gt;"销项开票",0,ROUND(N($H1166)*N($I1166),2))</f>
        <v>0</v>
      </c>
      <c r="P1166" s="36" t="n">
        <f aca="false">IF($D1166&lt;&gt;"销项开票",0,ROUND(N($H1166)-$O1166,2))</f>
        <v>0</v>
      </c>
      <c r="Q1166" s="37" t="str">
        <f aca="false">IF($E1166="","",N(IFERROR(INDEX(单位档案!$E$6:$E$35,MATCH($E1166,单位档案!$A$6:$A$35,0)),"")))</f>
        <v/>
      </c>
      <c r="R1166" s="37" t="str">
        <f aca="false">IF($E1166="","",N(IFERROR(INDEX(单位档案!$F$6:$F$35,MATCH($E1166,单位档案!$A$6:$A$35,0)),"")))</f>
        <v/>
      </c>
      <c r="S1166" s="36" t="n">
        <f aca="false">IF(OR($D1166&lt;&gt;"销项开票",IFERROR(INDEX(单位档案!$G$6:$G$35,MATCH($E1166,单位档案!$A$6:$A$35,0)),"")&lt;&gt;"是",N($Q1166)=0),0,IF(IFERROR(INDEX(单位档案!$H$6:$H$35,MATCH($E1166,单位档案!$A$6:$A$35,0)),"")="税差法",ROUND(N($H1166)/(1+$Q1166)*$Q1166-IF(N($R1166)=0,0,$P1166/(1+$R1166)*$R1166),2),ROUND(N($H1166)/(1+$Q1166)*$Q1166,2)))</f>
        <v>0</v>
      </c>
      <c r="T1166" s="36" t="n">
        <f aca="false">ROUND($S1166*N(IFERROR(INDEX(单位档案!$J$6:$J$35,MATCH($E1166,单位档案!$A$6:$A$35,0)),"")),2)</f>
        <v>0</v>
      </c>
      <c r="U1166" s="36" t="n">
        <f aca="false">IF($D1166&lt;&gt;"销项开票",0,ROUND(N($H1166)*N(IFERROR(INDEX(单位档案!$K$6:$K$35,MATCH($E1166,单位档案!$A$6:$A$35,0)),"")),2))</f>
        <v>0</v>
      </c>
      <c r="V1166" s="36" t="n">
        <f aca="false">IF(OR($D1166&lt;&gt;"销项开票",N($Q1166)=0),0,ROUND(N($H1166)/(1+$Q1166)*N(IFERROR(INDEX(单位档案!$L$6:$L$35,MATCH($E1166,单位档案!$A$6:$A$35,0)),"")),2))</f>
        <v>0</v>
      </c>
      <c r="W1166" s="36" t="n">
        <f aca="false">ROUND($S1166+$T1166+$U1166+$V1166,2)</f>
        <v>0</v>
      </c>
      <c r="X1166" s="35" t="str">
        <f aca="false">IF(OR($D1166="挂靠代收",$D1166="我方收款"),COUNTIFS($D$5:$D1166,"挂靠代收")+COUNTIFS($D$5:$D1166,"我方收款"),"")</f>
        <v/>
      </c>
      <c r="Y1166" s="35"/>
      <c r="Z1166" s="21" t="s">
        <v>111</v>
      </c>
    </row>
    <row r="1167" customFormat="false" ht="15.75" hidden="false" customHeight="true" outlineLevel="0" collapsed="false">
      <c r="A1167" s="32" t="str">
        <f aca="false">IF($B1167="","",ROW()-4)</f>
        <v/>
      </c>
      <c r="B1167" s="26"/>
      <c r="C1167" s="24"/>
      <c r="D1167" s="21"/>
      <c r="E1167" s="21"/>
      <c r="F1167" s="21"/>
      <c r="G1167" s="21"/>
      <c r="H1167" s="27"/>
      <c r="I1167" s="23" t="str">
        <f aca="false">IF($D1167&lt;&gt;"销项开票","",IF($N1167="一级",IF(IFERROR(INDEX(项目档案!$E$6:$E$255,MATCH($C1167,项目档案!$A$6:$A$255,0)),"")="",N(IFERROR(INDEX(单位档案!$D$6:$D$35,MATCH($E1167,单位档案!$A$6:$A$35,0)),"")),IFERROR(INDEX(项目档案!$E$6:$E$255,MATCH($C1167,项目档案!$A$6:$A$255,0)),"")),IF($N1167="二级",IF(IFERROR(INDEX(项目档案!$G$6:$G$255,MATCH($C1167,项目档案!$A$6:$A$255,0)),"")="",N(IFERROR(INDEX(单位档案!$D$6:$D$35,MATCH($E1167,单位档案!$A$6:$A$35,0)),"")),IFERROR(INDEX(项目档案!$G$6:$G$255,MATCH($C1167,项目档案!$A$6:$A$255,0)),"")),N(IFERROR(INDEX(单位档案!$D$6:$D$35,MATCH($E1167,单位档案!$A$6:$A$35,0)),"")))))</f>
        <v/>
      </c>
      <c r="J1167" s="22"/>
      <c r="K1167" s="22"/>
      <c r="L1167" s="33" t="str">
        <f aca="false">IF($B1167="","",IF(NOT(ISNUMBER($B1167)),"日期格式不对",IF($C1167="","未选项目编号",IF(LEFT($M1167,1)="⚠","项目编号不存在",IF($D1167="","未选业务类型",IF($E1167="","未选开票/付款方",IF(ISNA(MATCH($E1167,单位档案!$A$6:$A$35,0)),"开票方不在单位档案",IF($F1167="","未选收票/收款方",IF(ISNA(MATCH($F1167,单位档案!$A$6:$A$35,0)),"收款方不在单位档案",IF(NOT(ISNUMBER($H1167)),"金额须为数字",IF(AND($D1167="销项开票",$N1167="—"),"链条待确认","√")))))))))))</f>
        <v/>
      </c>
      <c r="M1167" s="34" t="str">
        <f aca="false">IF($C1167="","",IFERROR(INDEX(项目档案!$B$6:$B$255,MATCH($C1167,项目档案!$A$6:$A$255,0)),"⚠项目编号不存在"))</f>
        <v/>
      </c>
      <c r="N1167" s="35" t="str">
        <f aca="false">IF($E1167="","",IF($E1167=IFERROR(INDEX(项目档案!$D$6:$D$255,MATCH($C1167,项目档案!$A$6:$A$255,0)),""),"一级",IF($E1167=IFERROR(INDEX(项目档案!$F$6:$F$255,MATCH($C1167,项目档案!$A$6:$A$255,0)),""),"二级",IF($E1167=IFERROR(INDEX(项目档案!$H$6:$H$255,MATCH($C1167,项目档案!$A$6:$A$255,0)),""),"我方","—"))))</f>
        <v/>
      </c>
      <c r="O1167" s="36" t="n">
        <f aca="false">IF($D1167&lt;&gt;"销项开票",0,ROUND(N($H1167)*N($I1167),2))</f>
        <v>0</v>
      </c>
      <c r="P1167" s="36" t="n">
        <f aca="false">IF($D1167&lt;&gt;"销项开票",0,ROUND(N($H1167)-$O1167,2))</f>
        <v>0</v>
      </c>
      <c r="Q1167" s="37" t="str">
        <f aca="false">IF($E1167="","",N(IFERROR(INDEX(单位档案!$E$6:$E$35,MATCH($E1167,单位档案!$A$6:$A$35,0)),"")))</f>
        <v/>
      </c>
      <c r="R1167" s="37" t="str">
        <f aca="false">IF($E1167="","",N(IFERROR(INDEX(单位档案!$F$6:$F$35,MATCH($E1167,单位档案!$A$6:$A$35,0)),"")))</f>
        <v/>
      </c>
      <c r="S1167" s="36" t="n">
        <f aca="false">IF(OR($D1167&lt;&gt;"销项开票",IFERROR(INDEX(单位档案!$G$6:$G$35,MATCH($E1167,单位档案!$A$6:$A$35,0)),"")&lt;&gt;"是",N($Q1167)=0),0,IF(IFERROR(INDEX(单位档案!$H$6:$H$35,MATCH($E1167,单位档案!$A$6:$A$35,0)),"")="税差法",ROUND(N($H1167)/(1+$Q1167)*$Q1167-IF(N($R1167)=0,0,$P1167/(1+$R1167)*$R1167),2),ROUND(N($H1167)/(1+$Q1167)*$Q1167,2)))</f>
        <v>0</v>
      </c>
      <c r="T1167" s="36" t="n">
        <f aca="false">ROUND($S1167*N(IFERROR(INDEX(单位档案!$J$6:$J$35,MATCH($E1167,单位档案!$A$6:$A$35,0)),"")),2)</f>
        <v>0</v>
      </c>
      <c r="U1167" s="36" t="n">
        <f aca="false">IF($D1167&lt;&gt;"销项开票",0,ROUND(N($H1167)*N(IFERROR(INDEX(单位档案!$K$6:$K$35,MATCH($E1167,单位档案!$A$6:$A$35,0)),"")),2))</f>
        <v>0</v>
      </c>
      <c r="V1167" s="36" t="n">
        <f aca="false">IF(OR($D1167&lt;&gt;"销项开票",N($Q1167)=0),0,ROUND(N($H1167)/(1+$Q1167)*N(IFERROR(INDEX(单位档案!$L$6:$L$35,MATCH($E1167,单位档案!$A$6:$A$35,0)),"")),2))</f>
        <v>0</v>
      </c>
      <c r="W1167" s="36" t="n">
        <f aca="false">ROUND($S1167+$T1167+$U1167+$V1167,2)</f>
        <v>0</v>
      </c>
      <c r="X1167" s="35" t="str">
        <f aca="false">IF(OR($D1167="挂靠代收",$D1167="我方收款"),COUNTIFS($D$5:$D1167,"挂靠代收")+COUNTIFS($D$5:$D1167,"我方收款"),"")</f>
        <v/>
      </c>
      <c r="Y1167" s="35"/>
      <c r="Z1167" s="21" t="s">
        <v>111</v>
      </c>
    </row>
    <row r="1168" customFormat="false" ht="15.75" hidden="false" customHeight="true" outlineLevel="0" collapsed="false">
      <c r="A1168" s="32" t="str">
        <f aca="false">IF($B1168="","",ROW()-4)</f>
        <v/>
      </c>
      <c r="B1168" s="26"/>
      <c r="C1168" s="24"/>
      <c r="D1168" s="21"/>
      <c r="E1168" s="21"/>
      <c r="F1168" s="21"/>
      <c r="G1168" s="21"/>
      <c r="H1168" s="27"/>
      <c r="I1168" s="23" t="str">
        <f aca="false">IF($D1168&lt;&gt;"销项开票","",IF($N1168="一级",IF(IFERROR(INDEX(项目档案!$E$6:$E$255,MATCH($C1168,项目档案!$A$6:$A$255,0)),"")="",N(IFERROR(INDEX(单位档案!$D$6:$D$35,MATCH($E1168,单位档案!$A$6:$A$35,0)),"")),IFERROR(INDEX(项目档案!$E$6:$E$255,MATCH($C1168,项目档案!$A$6:$A$255,0)),"")),IF($N1168="二级",IF(IFERROR(INDEX(项目档案!$G$6:$G$255,MATCH($C1168,项目档案!$A$6:$A$255,0)),"")="",N(IFERROR(INDEX(单位档案!$D$6:$D$35,MATCH($E1168,单位档案!$A$6:$A$35,0)),"")),IFERROR(INDEX(项目档案!$G$6:$G$255,MATCH($C1168,项目档案!$A$6:$A$255,0)),"")),N(IFERROR(INDEX(单位档案!$D$6:$D$35,MATCH($E1168,单位档案!$A$6:$A$35,0)),"")))))</f>
        <v/>
      </c>
      <c r="J1168" s="22"/>
      <c r="K1168" s="22"/>
      <c r="L1168" s="33" t="str">
        <f aca="false">IF($B1168="","",IF(NOT(ISNUMBER($B1168)),"日期格式不对",IF($C1168="","未选项目编号",IF(LEFT($M1168,1)="⚠","项目编号不存在",IF($D1168="","未选业务类型",IF($E1168="","未选开票/付款方",IF(ISNA(MATCH($E1168,单位档案!$A$6:$A$35,0)),"开票方不在单位档案",IF($F1168="","未选收票/收款方",IF(ISNA(MATCH($F1168,单位档案!$A$6:$A$35,0)),"收款方不在单位档案",IF(NOT(ISNUMBER($H1168)),"金额须为数字",IF(AND($D1168="销项开票",$N1168="—"),"链条待确认","√")))))))))))</f>
        <v/>
      </c>
      <c r="M1168" s="34" t="str">
        <f aca="false">IF($C1168="","",IFERROR(INDEX(项目档案!$B$6:$B$255,MATCH($C1168,项目档案!$A$6:$A$255,0)),"⚠项目编号不存在"))</f>
        <v/>
      </c>
      <c r="N1168" s="35" t="str">
        <f aca="false">IF($E1168="","",IF($E1168=IFERROR(INDEX(项目档案!$D$6:$D$255,MATCH($C1168,项目档案!$A$6:$A$255,0)),""),"一级",IF($E1168=IFERROR(INDEX(项目档案!$F$6:$F$255,MATCH($C1168,项目档案!$A$6:$A$255,0)),""),"二级",IF($E1168=IFERROR(INDEX(项目档案!$H$6:$H$255,MATCH($C1168,项目档案!$A$6:$A$255,0)),""),"我方","—"))))</f>
        <v/>
      </c>
      <c r="O1168" s="36" t="n">
        <f aca="false">IF($D1168&lt;&gt;"销项开票",0,ROUND(N($H1168)*N($I1168),2))</f>
        <v>0</v>
      </c>
      <c r="P1168" s="36" t="n">
        <f aca="false">IF($D1168&lt;&gt;"销项开票",0,ROUND(N($H1168)-$O1168,2))</f>
        <v>0</v>
      </c>
      <c r="Q1168" s="37" t="str">
        <f aca="false">IF($E1168="","",N(IFERROR(INDEX(单位档案!$E$6:$E$35,MATCH($E1168,单位档案!$A$6:$A$35,0)),"")))</f>
        <v/>
      </c>
      <c r="R1168" s="37" t="str">
        <f aca="false">IF($E1168="","",N(IFERROR(INDEX(单位档案!$F$6:$F$35,MATCH($E1168,单位档案!$A$6:$A$35,0)),"")))</f>
        <v/>
      </c>
      <c r="S1168" s="36" t="n">
        <f aca="false">IF(OR($D1168&lt;&gt;"销项开票",IFERROR(INDEX(单位档案!$G$6:$G$35,MATCH($E1168,单位档案!$A$6:$A$35,0)),"")&lt;&gt;"是",N($Q1168)=0),0,IF(IFERROR(INDEX(单位档案!$H$6:$H$35,MATCH($E1168,单位档案!$A$6:$A$35,0)),"")="税差法",ROUND(N($H1168)/(1+$Q1168)*$Q1168-IF(N($R1168)=0,0,$P1168/(1+$R1168)*$R1168),2),ROUND(N($H1168)/(1+$Q1168)*$Q1168,2)))</f>
        <v>0</v>
      </c>
      <c r="T1168" s="36" t="n">
        <f aca="false">ROUND($S1168*N(IFERROR(INDEX(单位档案!$J$6:$J$35,MATCH($E1168,单位档案!$A$6:$A$35,0)),"")),2)</f>
        <v>0</v>
      </c>
      <c r="U1168" s="36" t="n">
        <f aca="false">IF($D1168&lt;&gt;"销项开票",0,ROUND(N($H1168)*N(IFERROR(INDEX(单位档案!$K$6:$K$35,MATCH($E1168,单位档案!$A$6:$A$35,0)),"")),2))</f>
        <v>0</v>
      </c>
      <c r="V1168" s="36" t="n">
        <f aca="false">IF(OR($D1168&lt;&gt;"销项开票",N($Q1168)=0),0,ROUND(N($H1168)/(1+$Q1168)*N(IFERROR(INDEX(单位档案!$L$6:$L$35,MATCH($E1168,单位档案!$A$6:$A$35,0)),"")),2))</f>
        <v>0</v>
      </c>
      <c r="W1168" s="36" t="n">
        <f aca="false">ROUND($S1168+$T1168+$U1168+$V1168,2)</f>
        <v>0</v>
      </c>
      <c r="X1168" s="35" t="str">
        <f aca="false">IF(OR($D1168="挂靠代收",$D1168="我方收款"),COUNTIFS($D$5:$D1168,"挂靠代收")+COUNTIFS($D$5:$D1168,"我方收款"),"")</f>
        <v/>
      </c>
      <c r="Y1168" s="35"/>
      <c r="Z1168" s="21" t="s">
        <v>111</v>
      </c>
    </row>
    <row r="1169" customFormat="false" ht="15.75" hidden="false" customHeight="true" outlineLevel="0" collapsed="false">
      <c r="A1169" s="32" t="str">
        <f aca="false">IF($B1169="","",ROW()-4)</f>
        <v/>
      </c>
      <c r="B1169" s="26"/>
      <c r="C1169" s="24"/>
      <c r="D1169" s="21"/>
      <c r="E1169" s="21"/>
      <c r="F1169" s="21"/>
      <c r="G1169" s="21"/>
      <c r="H1169" s="27"/>
      <c r="I1169" s="23" t="str">
        <f aca="false">IF($D1169&lt;&gt;"销项开票","",IF($N1169="一级",IF(IFERROR(INDEX(项目档案!$E$6:$E$255,MATCH($C1169,项目档案!$A$6:$A$255,0)),"")="",N(IFERROR(INDEX(单位档案!$D$6:$D$35,MATCH($E1169,单位档案!$A$6:$A$35,0)),"")),IFERROR(INDEX(项目档案!$E$6:$E$255,MATCH($C1169,项目档案!$A$6:$A$255,0)),"")),IF($N1169="二级",IF(IFERROR(INDEX(项目档案!$G$6:$G$255,MATCH($C1169,项目档案!$A$6:$A$255,0)),"")="",N(IFERROR(INDEX(单位档案!$D$6:$D$35,MATCH($E1169,单位档案!$A$6:$A$35,0)),"")),IFERROR(INDEX(项目档案!$G$6:$G$255,MATCH($C1169,项目档案!$A$6:$A$255,0)),"")),N(IFERROR(INDEX(单位档案!$D$6:$D$35,MATCH($E1169,单位档案!$A$6:$A$35,0)),"")))))</f>
        <v/>
      </c>
      <c r="J1169" s="22"/>
      <c r="K1169" s="22"/>
      <c r="L1169" s="33" t="str">
        <f aca="false">IF($B1169="","",IF(NOT(ISNUMBER($B1169)),"日期格式不对",IF($C1169="","未选项目编号",IF(LEFT($M1169,1)="⚠","项目编号不存在",IF($D1169="","未选业务类型",IF($E1169="","未选开票/付款方",IF(ISNA(MATCH($E1169,单位档案!$A$6:$A$35,0)),"开票方不在单位档案",IF($F1169="","未选收票/收款方",IF(ISNA(MATCH($F1169,单位档案!$A$6:$A$35,0)),"收款方不在单位档案",IF(NOT(ISNUMBER($H1169)),"金额须为数字",IF(AND($D1169="销项开票",$N1169="—"),"链条待确认","√")))))))))))</f>
        <v/>
      </c>
      <c r="M1169" s="34" t="str">
        <f aca="false">IF($C1169="","",IFERROR(INDEX(项目档案!$B$6:$B$255,MATCH($C1169,项目档案!$A$6:$A$255,0)),"⚠项目编号不存在"))</f>
        <v/>
      </c>
      <c r="N1169" s="35" t="str">
        <f aca="false">IF($E1169="","",IF($E1169=IFERROR(INDEX(项目档案!$D$6:$D$255,MATCH($C1169,项目档案!$A$6:$A$255,0)),""),"一级",IF($E1169=IFERROR(INDEX(项目档案!$F$6:$F$255,MATCH($C1169,项目档案!$A$6:$A$255,0)),""),"二级",IF($E1169=IFERROR(INDEX(项目档案!$H$6:$H$255,MATCH($C1169,项目档案!$A$6:$A$255,0)),""),"我方","—"))))</f>
        <v/>
      </c>
      <c r="O1169" s="36" t="n">
        <f aca="false">IF($D1169&lt;&gt;"销项开票",0,ROUND(N($H1169)*N($I1169),2))</f>
        <v>0</v>
      </c>
      <c r="P1169" s="36" t="n">
        <f aca="false">IF($D1169&lt;&gt;"销项开票",0,ROUND(N($H1169)-$O1169,2))</f>
        <v>0</v>
      </c>
      <c r="Q1169" s="37" t="str">
        <f aca="false">IF($E1169="","",N(IFERROR(INDEX(单位档案!$E$6:$E$35,MATCH($E1169,单位档案!$A$6:$A$35,0)),"")))</f>
        <v/>
      </c>
      <c r="R1169" s="37" t="str">
        <f aca="false">IF($E1169="","",N(IFERROR(INDEX(单位档案!$F$6:$F$35,MATCH($E1169,单位档案!$A$6:$A$35,0)),"")))</f>
        <v/>
      </c>
      <c r="S1169" s="36" t="n">
        <f aca="false">IF(OR($D1169&lt;&gt;"销项开票",IFERROR(INDEX(单位档案!$G$6:$G$35,MATCH($E1169,单位档案!$A$6:$A$35,0)),"")&lt;&gt;"是",N($Q1169)=0),0,IF(IFERROR(INDEX(单位档案!$H$6:$H$35,MATCH($E1169,单位档案!$A$6:$A$35,0)),"")="税差法",ROUND(N($H1169)/(1+$Q1169)*$Q1169-IF(N($R1169)=0,0,$P1169/(1+$R1169)*$R1169),2),ROUND(N($H1169)/(1+$Q1169)*$Q1169,2)))</f>
        <v>0</v>
      </c>
      <c r="T1169" s="36" t="n">
        <f aca="false">ROUND($S1169*N(IFERROR(INDEX(单位档案!$J$6:$J$35,MATCH($E1169,单位档案!$A$6:$A$35,0)),"")),2)</f>
        <v>0</v>
      </c>
      <c r="U1169" s="36" t="n">
        <f aca="false">IF($D1169&lt;&gt;"销项开票",0,ROUND(N($H1169)*N(IFERROR(INDEX(单位档案!$K$6:$K$35,MATCH($E1169,单位档案!$A$6:$A$35,0)),"")),2))</f>
        <v>0</v>
      </c>
      <c r="V1169" s="36" t="n">
        <f aca="false">IF(OR($D1169&lt;&gt;"销项开票",N($Q1169)=0),0,ROUND(N($H1169)/(1+$Q1169)*N(IFERROR(INDEX(单位档案!$L$6:$L$35,MATCH($E1169,单位档案!$A$6:$A$35,0)),"")),2))</f>
        <v>0</v>
      </c>
      <c r="W1169" s="36" t="n">
        <f aca="false">ROUND($S1169+$T1169+$U1169+$V1169,2)</f>
        <v>0</v>
      </c>
      <c r="X1169" s="35" t="str">
        <f aca="false">IF(OR($D1169="挂靠代收",$D1169="我方收款"),COUNTIFS($D$5:$D1169,"挂靠代收")+COUNTIFS($D$5:$D1169,"我方收款"),"")</f>
        <v/>
      </c>
      <c r="Y1169" s="35"/>
      <c r="Z1169" s="21" t="s">
        <v>111</v>
      </c>
    </row>
    <row r="1170" customFormat="false" ht="15.75" hidden="false" customHeight="true" outlineLevel="0" collapsed="false">
      <c r="A1170" s="32" t="str">
        <f aca="false">IF($B1170="","",ROW()-4)</f>
        <v/>
      </c>
      <c r="B1170" s="26"/>
      <c r="C1170" s="24"/>
      <c r="D1170" s="21"/>
      <c r="E1170" s="21"/>
      <c r="F1170" s="21"/>
      <c r="G1170" s="21"/>
      <c r="H1170" s="27"/>
      <c r="I1170" s="23" t="str">
        <f aca="false">IF($D1170&lt;&gt;"销项开票","",IF($N1170="一级",IF(IFERROR(INDEX(项目档案!$E$6:$E$255,MATCH($C1170,项目档案!$A$6:$A$255,0)),"")="",N(IFERROR(INDEX(单位档案!$D$6:$D$35,MATCH($E1170,单位档案!$A$6:$A$35,0)),"")),IFERROR(INDEX(项目档案!$E$6:$E$255,MATCH($C1170,项目档案!$A$6:$A$255,0)),"")),IF($N1170="二级",IF(IFERROR(INDEX(项目档案!$G$6:$G$255,MATCH($C1170,项目档案!$A$6:$A$255,0)),"")="",N(IFERROR(INDEX(单位档案!$D$6:$D$35,MATCH($E1170,单位档案!$A$6:$A$35,0)),"")),IFERROR(INDEX(项目档案!$G$6:$G$255,MATCH($C1170,项目档案!$A$6:$A$255,0)),"")),N(IFERROR(INDEX(单位档案!$D$6:$D$35,MATCH($E1170,单位档案!$A$6:$A$35,0)),"")))))</f>
        <v/>
      </c>
      <c r="J1170" s="22"/>
      <c r="K1170" s="22"/>
      <c r="L1170" s="33" t="str">
        <f aca="false">IF($B1170="","",IF(NOT(ISNUMBER($B1170)),"日期格式不对",IF($C1170="","未选项目编号",IF(LEFT($M1170,1)="⚠","项目编号不存在",IF($D1170="","未选业务类型",IF($E1170="","未选开票/付款方",IF(ISNA(MATCH($E1170,单位档案!$A$6:$A$35,0)),"开票方不在单位档案",IF($F1170="","未选收票/收款方",IF(ISNA(MATCH($F1170,单位档案!$A$6:$A$35,0)),"收款方不在单位档案",IF(NOT(ISNUMBER($H1170)),"金额须为数字",IF(AND($D1170="销项开票",$N1170="—"),"链条待确认","√")))))))))))</f>
        <v/>
      </c>
      <c r="M1170" s="34" t="str">
        <f aca="false">IF($C1170="","",IFERROR(INDEX(项目档案!$B$6:$B$255,MATCH($C1170,项目档案!$A$6:$A$255,0)),"⚠项目编号不存在"))</f>
        <v/>
      </c>
      <c r="N1170" s="35" t="str">
        <f aca="false">IF($E1170="","",IF($E1170=IFERROR(INDEX(项目档案!$D$6:$D$255,MATCH($C1170,项目档案!$A$6:$A$255,0)),""),"一级",IF($E1170=IFERROR(INDEX(项目档案!$F$6:$F$255,MATCH($C1170,项目档案!$A$6:$A$255,0)),""),"二级",IF($E1170=IFERROR(INDEX(项目档案!$H$6:$H$255,MATCH($C1170,项目档案!$A$6:$A$255,0)),""),"我方","—"))))</f>
        <v/>
      </c>
      <c r="O1170" s="36" t="n">
        <f aca="false">IF($D1170&lt;&gt;"销项开票",0,ROUND(N($H1170)*N($I1170),2))</f>
        <v>0</v>
      </c>
      <c r="P1170" s="36" t="n">
        <f aca="false">IF($D1170&lt;&gt;"销项开票",0,ROUND(N($H1170)-$O1170,2))</f>
        <v>0</v>
      </c>
      <c r="Q1170" s="37" t="str">
        <f aca="false">IF($E1170="","",N(IFERROR(INDEX(单位档案!$E$6:$E$35,MATCH($E1170,单位档案!$A$6:$A$35,0)),"")))</f>
        <v/>
      </c>
      <c r="R1170" s="37" t="str">
        <f aca="false">IF($E1170="","",N(IFERROR(INDEX(单位档案!$F$6:$F$35,MATCH($E1170,单位档案!$A$6:$A$35,0)),"")))</f>
        <v/>
      </c>
      <c r="S1170" s="36" t="n">
        <f aca="false">IF(OR($D1170&lt;&gt;"销项开票",IFERROR(INDEX(单位档案!$G$6:$G$35,MATCH($E1170,单位档案!$A$6:$A$35,0)),"")&lt;&gt;"是",N($Q1170)=0),0,IF(IFERROR(INDEX(单位档案!$H$6:$H$35,MATCH($E1170,单位档案!$A$6:$A$35,0)),"")="税差法",ROUND(N($H1170)/(1+$Q1170)*$Q1170-IF(N($R1170)=0,0,$P1170/(1+$R1170)*$R1170),2),ROUND(N($H1170)/(1+$Q1170)*$Q1170,2)))</f>
        <v>0</v>
      </c>
      <c r="T1170" s="36" t="n">
        <f aca="false">ROUND($S1170*N(IFERROR(INDEX(单位档案!$J$6:$J$35,MATCH($E1170,单位档案!$A$6:$A$35,0)),"")),2)</f>
        <v>0</v>
      </c>
      <c r="U1170" s="36" t="n">
        <f aca="false">IF($D1170&lt;&gt;"销项开票",0,ROUND(N($H1170)*N(IFERROR(INDEX(单位档案!$K$6:$K$35,MATCH($E1170,单位档案!$A$6:$A$35,0)),"")),2))</f>
        <v>0</v>
      </c>
      <c r="V1170" s="36" t="n">
        <f aca="false">IF(OR($D1170&lt;&gt;"销项开票",N($Q1170)=0),0,ROUND(N($H1170)/(1+$Q1170)*N(IFERROR(INDEX(单位档案!$L$6:$L$35,MATCH($E1170,单位档案!$A$6:$A$35,0)),"")),2))</f>
        <v>0</v>
      </c>
      <c r="W1170" s="36" t="n">
        <f aca="false">ROUND($S1170+$T1170+$U1170+$V1170,2)</f>
        <v>0</v>
      </c>
      <c r="X1170" s="35" t="str">
        <f aca="false">IF(OR($D1170="挂靠代收",$D1170="我方收款"),COUNTIFS($D$5:$D1170,"挂靠代收")+COUNTIFS($D$5:$D1170,"我方收款"),"")</f>
        <v/>
      </c>
      <c r="Y1170" s="35"/>
      <c r="Z1170" s="21" t="s">
        <v>111</v>
      </c>
    </row>
    <row r="1171" customFormat="false" ht="15.75" hidden="false" customHeight="true" outlineLevel="0" collapsed="false">
      <c r="A1171" s="32" t="str">
        <f aca="false">IF($B1171="","",ROW()-4)</f>
        <v/>
      </c>
      <c r="B1171" s="26"/>
      <c r="C1171" s="24"/>
      <c r="D1171" s="21"/>
      <c r="E1171" s="21"/>
      <c r="F1171" s="21"/>
      <c r="G1171" s="21"/>
      <c r="H1171" s="27"/>
      <c r="I1171" s="23" t="str">
        <f aca="false">IF($D1171&lt;&gt;"销项开票","",IF($N1171="一级",IF(IFERROR(INDEX(项目档案!$E$6:$E$255,MATCH($C1171,项目档案!$A$6:$A$255,0)),"")="",N(IFERROR(INDEX(单位档案!$D$6:$D$35,MATCH($E1171,单位档案!$A$6:$A$35,0)),"")),IFERROR(INDEX(项目档案!$E$6:$E$255,MATCH($C1171,项目档案!$A$6:$A$255,0)),"")),IF($N1171="二级",IF(IFERROR(INDEX(项目档案!$G$6:$G$255,MATCH($C1171,项目档案!$A$6:$A$255,0)),"")="",N(IFERROR(INDEX(单位档案!$D$6:$D$35,MATCH($E1171,单位档案!$A$6:$A$35,0)),"")),IFERROR(INDEX(项目档案!$G$6:$G$255,MATCH($C1171,项目档案!$A$6:$A$255,0)),"")),N(IFERROR(INDEX(单位档案!$D$6:$D$35,MATCH($E1171,单位档案!$A$6:$A$35,0)),"")))))</f>
        <v/>
      </c>
      <c r="J1171" s="22"/>
      <c r="K1171" s="22"/>
      <c r="L1171" s="33" t="str">
        <f aca="false">IF($B1171="","",IF(NOT(ISNUMBER($B1171)),"日期格式不对",IF($C1171="","未选项目编号",IF(LEFT($M1171,1)="⚠","项目编号不存在",IF($D1171="","未选业务类型",IF($E1171="","未选开票/付款方",IF(ISNA(MATCH($E1171,单位档案!$A$6:$A$35,0)),"开票方不在单位档案",IF($F1171="","未选收票/收款方",IF(ISNA(MATCH($F1171,单位档案!$A$6:$A$35,0)),"收款方不在单位档案",IF(NOT(ISNUMBER($H1171)),"金额须为数字",IF(AND($D1171="销项开票",$N1171="—"),"链条待确认","√")))))))))))</f>
        <v/>
      </c>
      <c r="M1171" s="34" t="str">
        <f aca="false">IF($C1171="","",IFERROR(INDEX(项目档案!$B$6:$B$255,MATCH($C1171,项目档案!$A$6:$A$255,0)),"⚠项目编号不存在"))</f>
        <v/>
      </c>
      <c r="N1171" s="35" t="str">
        <f aca="false">IF($E1171="","",IF($E1171=IFERROR(INDEX(项目档案!$D$6:$D$255,MATCH($C1171,项目档案!$A$6:$A$255,0)),""),"一级",IF($E1171=IFERROR(INDEX(项目档案!$F$6:$F$255,MATCH($C1171,项目档案!$A$6:$A$255,0)),""),"二级",IF($E1171=IFERROR(INDEX(项目档案!$H$6:$H$255,MATCH($C1171,项目档案!$A$6:$A$255,0)),""),"我方","—"))))</f>
        <v/>
      </c>
      <c r="O1171" s="36" t="n">
        <f aca="false">IF($D1171&lt;&gt;"销项开票",0,ROUND(N($H1171)*N($I1171),2))</f>
        <v>0</v>
      </c>
      <c r="P1171" s="36" t="n">
        <f aca="false">IF($D1171&lt;&gt;"销项开票",0,ROUND(N($H1171)-$O1171,2))</f>
        <v>0</v>
      </c>
      <c r="Q1171" s="37" t="str">
        <f aca="false">IF($E1171="","",N(IFERROR(INDEX(单位档案!$E$6:$E$35,MATCH($E1171,单位档案!$A$6:$A$35,0)),"")))</f>
        <v/>
      </c>
      <c r="R1171" s="37" t="str">
        <f aca="false">IF($E1171="","",N(IFERROR(INDEX(单位档案!$F$6:$F$35,MATCH($E1171,单位档案!$A$6:$A$35,0)),"")))</f>
        <v/>
      </c>
      <c r="S1171" s="36" t="n">
        <f aca="false">IF(OR($D1171&lt;&gt;"销项开票",IFERROR(INDEX(单位档案!$G$6:$G$35,MATCH($E1171,单位档案!$A$6:$A$35,0)),"")&lt;&gt;"是",N($Q1171)=0),0,IF(IFERROR(INDEX(单位档案!$H$6:$H$35,MATCH($E1171,单位档案!$A$6:$A$35,0)),"")="税差法",ROUND(N($H1171)/(1+$Q1171)*$Q1171-IF(N($R1171)=0,0,$P1171/(1+$R1171)*$R1171),2),ROUND(N($H1171)/(1+$Q1171)*$Q1171,2)))</f>
        <v>0</v>
      </c>
      <c r="T1171" s="36" t="n">
        <f aca="false">ROUND($S1171*N(IFERROR(INDEX(单位档案!$J$6:$J$35,MATCH($E1171,单位档案!$A$6:$A$35,0)),"")),2)</f>
        <v>0</v>
      </c>
      <c r="U1171" s="36" t="n">
        <f aca="false">IF($D1171&lt;&gt;"销项开票",0,ROUND(N($H1171)*N(IFERROR(INDEX(单位档案!$K$6:$K$35,MATCH($E1171,单位档案!$A$6:$A$35,0)),"")),2))</f>
        <v>0</v>
      </c>
      <c r="V1171" s="36" t="n">
        <f aca="false">IF(OR($D1171&lt;&gt;"销项开票",N($Q1171)=0),0,ROUND(N($H1171)/(1+$Q1171)*N(IFERROR(INDEX(单位档案!$L$6:$L$35,MATCH($E1171,单位档案!$A$6:$A$35,0)),"")),2))</f>
        <v>0</v>
      </c>
      <c r="W1171" s="36" t="n">
        <f aca="false">ROUND($S1171+$T1171+$U1171+$V1171,2)</f>
        <v>0</v>
      </c>
      <c r="X1171" s="35" t="str">
        <f aca="false">IF(OR($D1171="挂靠代收",$D1171="我方收款"),COUNTIFS($D$5:$D1171,"挂靠代收")+COUNTIFS($D$5:$D1171,"我方收款"),"")</f>
        <v/>
      </c>
      <c r="Y1171" s="35"/>
      <c r="Z1171" s="21" t="s">
        <v>111</v>
      </c>
    </row>
    <row r="1172" customFormat="false" ht="15.75" hidden="false" customHeight="true" outlineLevel="0" collapsed="false">
      <c r="A1172" s="32" t="str">
        <f aca="false">IF($B1172="","",ROW()-4)</f>
        <v/>
      </c>
      <c r="B1172" s="26"/>
      <c r="C1172" s="24"/>
      <c r="D1172" s="21"/>
      <c r="E1172" s="21"/>
      <c r="F1172" s="21"/>
      <c r="G1172" s="21"/>
      <c r="H1172" s="27"/>
      <c r="I1172" s="23" t="str">
        <f aca="false">IF($D1172&lt;&gt;"销项开票","",IF($N1172="一级",IF(IFERROR(INDEX(项目档案!$E$6:$E$255,MATCH($C1172,项目档案!$A$6:$A$255,0)),"")="",N(IFERROR(INDEX(单位档案!$D$6:$D$35,MATCH($E1172,单位档案!$A$6:$A$35,0)),"")),IFERROR(INDEX(项目档案!$E$6:$E$255,MATCH($C1172,项目档案!$A$6:$A$255,0)),"")),IF($N1172="二级",IF(IFERROR(INDEX(项目档案!$G$6:$G$255,MATCH($C1172,项目档案!$A$6:$A$255,0)),"")="",N(IFERROR(INDEX(单位档案!$D$6:$D$35,MATCH($E1172,单位档案!$A$6:$A$35,0)),"")),IFERROR(INDEX(项目档案!$G$6:$G$255,MATCH($C1172,项目档案!$A$6:$A$255,0)),"")),N(IFERROR(INDEX(单位档案!$D$6:$D$35,MATCH($E1172,单位档案!$A$6:$A$35,0)),"")))))</f>
        <v/>
      </c>
      <c r="J1172" s="22"/>
      <c r="K1172" s="22"/>
      <c r="L1172" s="33" t="str">
        <f aca="false">IF($B1172="","",IF(NOT(ISNUMBER($B1172)),"日期格式不对",IF($C1172="","未选项目编号",IF(LEFT($M1172,1)="⚠","项目编号不存在",IF($D1172="","未选业务类型",IF($E1172="","未选开票/付款方",IF(ISNA(MATCH($E1172,单位档案!$A$6:$A$35,0)),"开票方不在单位档案",IF($F1172="","未选收票/收款方",IF(ISNA(MATCH($F1172,单位档案!$A$6:$A$35,0)),"收款方不在单位档案",IF(NOT(ISNUMBER($H1172)),"金额须为数字",IF(AND($D1172="销项开票",$N1172="—"),"链条待确认","√")))))))))))</f>
        <v/>
      </c>
      <c r="M1172" s="34" t="str">
        <f aca="false">IF($C1172="","",IFERROR(INDEX(项目档案!$B$6:$B$255,MATCH($C1172,项目档案!$A$6:$A$255,0)),"⚠项目编号不存在"))</f>
        <v/>
      </c>
      <c r="N1172" s="35" t="str">
        <f aca="false">IF($E1172="","",IF($E1172=IFERROR(INDEX(项目档案!$D$6:$D$255,MATCH($C1172,项目档案!$A$6:$A$255,0)),""),"一级",IF($E1172=IFERROR(INDEX(项目档案!$F$6:$F$255,MATCH($C1172,项目档案!$A$6:$A$255,0)),""),"二级",IF($E1172=IFERROR(INDEX(项目档案!$H$6:$H$255,MATCH($C1172,项目档案!$A$6:$A$255,0)),""),"我方","—"))))</f>
        <v/>
      </c>
      <c r="O1172" s="36" t="n">
        <f aca="false">IF($D1172&lt;&gt;"销项开票",0,ROUND(N($H1172)*N($I1172),2))</f>
        <v>0</v>
      </c>
      <c r="P1172" s="36" t="n">
        <f aca="false">IF($D1172&lt;&gt;"销项开票",0,ROUND(N($H1172)-$O1172,2))</f>
        <v>0</v>
      </c>
      <c r="Q1172" s="37" t="str">
        <f aca="false">IF($E1172="","",N(IFERROR(INDEX(单位档案!$E$6:$E$35,MATCH($E1172,单位档案!$A$6:$A$35,0)),"")))</f>
        <v/>
      </c>
      <c r="R1172" s="37" t="str">
        <f aca="false">IF($E1172="","",N(IFERROR(INDEX(单位档案!$F$6:$F$35,MATCH($E1172,单位档案!$A$6:$A$35,0)),"")))</f>
        <v/>
      </c>
      <c r="S1172" s="36" t="n">
        <f aca="false">IF(OR($D1172&lt;&gt;"销项开票",IFERROR(INDEX(单位档案!$G$6:$G$35,MATCH($E1172,单位档案!$A$6:$A$35,0)),"")&lt;&gt;"是",N($Q1172)=0),0,IF(IFERROR(INDEX(单位档案!$H$6:$H$35,MATCH($E1172,单位档案!$A$6:$A$35,0)),"")="税差法",ROUND(N($H1172)/(1+$Q1172)*$Q1172-IF(N($R1172)=0,0,$P1172/(1+$R1172)*$R1172),2),ROUND(N($H1172)/(1+$Q1172)*$Q1172,2)))</f>
        <v>0</v>
      </c>
      <c r="T1172" s="36" t="n">
        <f aca="false">ROUND($S1172*N(IFERROR(INDEX(单位档案!$J$6:$J$35,MATCH($E1172,单位档案!$A$6:$A$35,0)),"")),2)</f>
        <v>0</v>
      </c>
      <c r="U1172" s="36" t="n">
        <f aca="false">IF($D1172&lt;&gt;"销项开票",0,ROUND(N($H1172)*N(IFERROR(INDEX(单位档案!$K$6:$K$35,MATCH($E1172,单位档案!$A$6:$A$35,0)),"")),2))</f>
        <v>0</v>
      </c>
      <c r="V1172" s="36" t="n">
        <f aca="false">IF(OR($D1172&lt;&gt;"销项开票",N($Q1172)=0),0,ROUND(N($H1172)/(1+$Q1172)*N(IFERROR(INDEX(单位档案!$L$6:$L$35,MATCH($E1172,单位档案!$A$6:$A$35,0)),"")),2))</f>
        <v>0</v>
      </c>
      <c r="W1172" s="36" t="n">
        <f aca="false">ROUND($S1172+$T1172+$U1172+$V1172,2)</f>
        <v>0</v>
      </c>
      <c r="X1172" s="35" t="str">
        <f aca="false">IF(OR($D1172="挂靠代收",$D1172="我方收款"),COUNTIFS($D$5:$D1172,"挂靠代收")+COUNTIFS($D$5:$D1172,"我方收款"),"")</f>
        <v/>
      </c>
      <c r="Y1172" s="35"/>
      <c r="Z1172" s="21" t="s">
        <v>111</v>
      </c>
    </row>
    <row r="1173" customFormat="false" ht="15.75" hidden="false" customHeight="true" outlineLevel="0" collapsed="false">
      <c r="A1173" s="32" t="str">
        <f aca="false">IF($B1173="","",ROW()-4)</f>
        <v/>
      </c>
      <c r="B1173" s="26"/>
      <c r="C1173" s="24"/>
      <c r="D1173" s="21"/>
      <c r="E1173" s="21"/>
      <c r="F1173" s="21"/>
      <c r="G1173" s="21"/>
      <c r="H1173" s="27"/>
      <c r="I1173" s="23" t="str">
        <f aca="false">IF($D1173&lt;&gt;"销项开票","",IF($N1173="一级",IF(IFERROR(INDEX(项目档案!$E$6:$E$255,MATCH($C1173,项目档案!$A$6:$A$255,0)),"")="",N(IFERROR(INDEX(单位档案!$D$6:$D$35,MATCH($E1173,单位档案!$A$6:$A$35,0)),"")),IFERROR(INDEX(项目档案!$E$6:$E$255,MATCH($C1173,项目档案!$A$6:$A$255,0)),"")),IF($N1173="二级",IF(IFERROR(INDEX(项目档案!$G$6:$G$255,MATCH($C1173,项目档案!$A$6:$A$255,0)),"")="",N(IFERROR(INDEX(单位档案!$D$6:$D$35,MATCH($E1173,单位档案!$A$6:$A$35,0)),"")),IFERROR(INDEX(项目档案!$G$6:$G$255,MATCH($C1173,项目档案!$A$6:$A$255,0)),"")),N(IFERROR(INDEX(单位档案!$D$6:$D$35,MATCH($E1173,单位档案!$A$6:$A$35,0)),"")))))</f>
        <v/>
      </c>
      <c r="J1173" s="22"/>
      <c r="K1173" s="22"/>
      <c r="L1173" s="33" t="str">
        <f aca="false">IF($B1173="","",IF(NOT(ISNUMBER($B1173)),"日期格式不对",IF($C1173="","未选项目编号",IF(LEFT($M1173,1)="⚠","项目编号不存在",IF($D1173="","未选业务类型",IF($E1173="","未选开票/付款方",IF(ISNA(MATCH($E1173,单位档案!$A$6:$A$35,0)),"开票方不在单位档案",IF($F1173="","未选收票/收款方",IF(ISNA(MATCH($F1173,单位档案!$A$6:$A$35,0)),"收款方不在单位档案",IF(NOT(ISNUMBER($H1173)),"金额须为数字",IF(AND($D1173="销项开票",$N1173="—"),"链条待确认","√")))))))))))</f>
        <v/>
      </c>
      <c r="M1173" s="34" t="str">
        <f aca="false">IF($C1173="","",IFERROR(INDEX(项目档案!$B$6:$B$255,MATCH($C1173,项目档案!$A$6:$A$255,0)),"⚠项目编号不存在"))</f>
        <v/>
      </c>
      <c r="N1173" s="35" t="str">
        <f aca="false">IF($E1173="","",IF($E1173=IFERROR(INDEX(项目档案!$D$6:$D$255,MATCH($C1173,项目档案!$A$6:$A$255,0)),""),"一级",IF($E1173=IFERROR(INDEX(项目档案!$F$6:$F$255,MATCH($C1173,项目档案!$A$6:$A$255,0)),""),"二级",IF($E1173=IFERROR(INDEX(项目档案!$H$6:$H$255,MATCH($C1173,项目档案!$A$6:$A$255,0)),""),"我方","—"))))</f>
        <v/>
      </c>
      <c r="O1173" s="36" t="n">
        <f aca="false">IF($D1173&lt;&gt;"销项开票",0,ROUND(N($H1173)*N($I1173),2))</f>
        <v>0</v>
      </c>
      <c r="P1173" s="36" t="n">
        <f aca="false">IF($D1173&lt;&gt;"销项开票",0,ROUND(N($H1173)-$O1173,2))</f>
        <v>0</v>
      </c>
      <c r="Q1173" s="37" t="str">
        <f aca="false">IF($E1173="","",N(IFERROR(INDEX(单位档案!$E$6:$E$35,MATCH($E1173,单位档案!$A$6:$A$35,0)),"")))</f>
        <v/>
      </c>
      <c r="R1173" s="37" t="str">
        <f aca="false">IF($E1173="","",N(IFERROR(INDEX(单位档案!$F$6:$F$35,MATCH($E1173,单位档案!$A$6:$A$35,0)),"")))</f>
        <v/>
      </c>
      <c r="S1173" s="36" t="n">
        <f aca="false">IF(OR($D1173&lt;&gt;"销项开票",IFERROR(INDEX(单位档案!$G$6:$G$35,MATCH($E1173,单位档案!$A$6:$A$35,0)),"")&lt;&gt;"是",N($Q1173)=0),0,IF(IFERROR(INDEX(单位档案!$H$6:$H$35,MATCH($E1173,单位档案!$A$6:$A$35,0)),"")="税差法",ROUND(N($H1173)/(1+$Q1173)*$Q1173-IF(N($R1173)=0,0,$P1173/(1+$R1173)*$R1173),2),ROUND(N($H1173)/(1+$Q1173)*$Q1173,2)))</f>
        <v>0</v>
      </c>
      <c r="T1173" s="36" t="n">
        <f aca="false">ROUND($S1173*N(IFERROR(INDEX(单位档案!$J$6:$J$35,MATCH($E1173,单位档案!$A$6:$A$35,0)),"")),2)</f>
        <v>0</v>
      </c>
      <c r="U1173" s="36" t="n">
        <f aca="false">IF($D1173&lt;&gt;"销项开票",0,ROUND(N($H1173)*N(IFERROR(INDEX(单位档案!$K$6:$K$35,MATCH($E1173,单位档案!$A$6:$A$35,0)),"")),2))</f>
        <v>0</v>
      </c>
      <c r="V1173" s="36" t="n">
        <f aca="false">IF(OR($D1173&lt;&gt;"销项开票",N($Q1173)=0),0,ROUND(N($H1173)/(1+$Q1173)*N(IFERROR(INDEX(单位档案!$L$6:$L$35,MATCH($E1173,单位档案!$A$6:$A$35,0)),"")),2))</f>
        <v>0</v>
      </c>
      <c r="W1173" s="36" t="n">
        <f aca="false">ROUND($S1173+$T1173+$U1173+$V1173,2)</f>
        <v>0</v>
      </c>
      <c r="X1173" s="35" t="str">
        <f aca="false">IF(OR($D1173="挂靠代收",$D1173="我方收款"),COUNTIFS($D$5:$D1173,"挂靠代收")+COUNTIFS($D$5:$D1173,"我方收款"),"")</f>
        <v/>
      </c>
      <c r="Y1173" s="35"/>
      <c r="Z1173" s="21" t="s">
        <v>111</v>
      </c>
    </row>
    <row r="1174" customFormat="false" ht="15.75" hidden="false" customHeight="true" outlineLevel="0" collapsed="false">
      <c r="A1174" s="32" t="str">
        <f aca="false">IF($B1174="","",ROW()-4)</f>
        <v/>
      </c>
      <c r="B1174" s="26"/>
      <c r="C1174" s="24"/>
      <c r="D1174" s="21"/>
      <c r="E1174" s="21"/>
      <c r="F1174" s="21"/>
      <c r="G1174" s="21"/>
      <c r="H1174" s="27"/>
      <c r="I1174" s="23" t="str">
        <f aca="false">IF($D1174&lt;&gt;"销项开票","",IF($N1174="一级",IF(IFERROR(INDEX(项目档案!$E$6:$E$255,MATCH($C1174,项目档案!$A$6:$A$255,0)),"")="",N(IFERROR(INDEX(单位档案!$D$6:$D$35,MATCH($E1174,单位档案!$A$6:$A$35,0)),"")),IFERROR(INDEX(项目档案!$E$6:$E$255,MATCH($C1174,项目档案!$A$6:$A$255,0)),"")),IF($N1174="二级",IF(IFERROR(INDEX(项目档案!$G$6:$G$255,MATCH($C1174,项目档案!$A$6:$A$255,0)),"")="",N(IFERROR(INDEX(单位档案!$D$6:$D$35,MATCH($E1174,单位档案!$A$6:$A$35,0)),"")),IFERROR(INDEX(项目档案!$G$6:$G$255,MATCH($C1174,项目档案!$A$6:$A$255,0)),"")),N(IFERROR(INDEX(单位档案!$D$6:$D$35,MATCH($E1174,单位档案!$A$6:$A$35,0)),"")))))</f>
        <v/>
      </c>
      <c r="J1174" s="22"/>
      <c r="K1174" s="22"/>
      <c r="L1174" s="33" t="str">
        <f aca="false">IF($B1174="","",IF(NOT(ISNUMBER($B1174)),"日期格式不对",IF($C1174="","未选项目编号",IF(LEFT($M1174,1)="⚠","项目编号不存在",IF($D1174="","未选业务类型",IF($E1174="","未选开票/付款方",IF(ISNA(MATCH($E1174,单位档案!$A$6:$A$35,0)),"开票方不在单位档案",IF($F1174="","未选收票/收款方",IF(ISNA(MATCH($F1174,单位档案!$A$6:$A$35,0)),"收款方不在单位档案",IF(NOT(ISNUMBER($H1174)),"金额须为数字",IF(AND($D1174="销项开票",$N1174="—"),"链条待确认","√")))))))))))</f>
        <v/>
      </c>
      <c r="M1174" s="34" t="str">
        <f aca="false">IF($C1174="","",IFERROR(INDEX(项目档案!$B$6:$B$255,MATCH($C1174,项目档案!$A$6:$A$255,0)),"⚠项目编号不存在"))</f>
        <v/>
      </c>
      <c r="N1174" s="35" t="str">
        <f aca="false">IF($E1174="","",IF($E1174=IFERROR(INDEX(项目档案!$D$6:$D$255,MATCH($C1174,项目档案!$A$6:$A$255,0)),""),"一级",IF($E1174=IFERROR(INDEX(项目档案!$F$6:$F$255,MATCH($C1174,项目档案!$A$6:$A$255,0)),""),"二级",IF($E1174=IFERROR(INDEX(项目档案!$H$6:$H$255,MATCH($C1174,项目档案!$A$6:$A$255,0)),""),"我方","—"))))</f>
        <v/>
      </c>
      <c r="O1174" s="36" t="n">
        <f aca="false">IF($D1174&lt;&gt;"销项开票",0,ROUND(N($H1174)*N($I1174),2))</f>
        <v>0</v>
      </c>
      <c r="P1174" s="36" t="n">
        <f aca="false">IF($D1174&lt;&gt;"销项开票",0,ROUND(N($H1174)-$O1174,2))</f>
        <v>0</v>
      </c>
      <c r="Q1174" s="37" t="str">
        <f aca="false">IF($E1174="","",N(IFERROR(INDEX(单位档案!$E$6:$E$35,MATCH($E1174,单位档案!$A$6:$A$35,0)),"")))</f>
        <v/>
      </c>
      <c r="R1174" s="37" t="str">
        <f aca="false">IF($E1174="","",N(IFERROR(INDEX(单位档案!$F$6:$F$35,MATCH($E1174,单位档案!$A$6:$A$35,0)),"")))</f>
        <v/>
      </c>
      <c r="S1174" s="36" t="n">
        <f aca="false">IF(OR($D1174&lt;&gt;"销项开票",IFERROR(INDEX(单位档案!$G$6:$G$35,MATCH($E1174,单位档案!$A$6:$A$35,0)),"")&lt;&gt;"是",N($Q1174)=0),0,IF(IFERROR(INDEX(单位档案!$H$6:$H$35,MATCH($E1174,单位档案!$A$6:$A$35,0)),"")="税差法",ROUND(N($H1174)/(1+$Q1174)*$Q1174-IF(N($R1174)=0,0,$P1174/(1+$R1174)*$R1174),2),ROUND(N($H1174)/(1+$Q1174)*$Q1174,2)))</f>
        <v>0</v>
      </c>
      <c r="T1174" s="36" t="n">
        <f aca="false">ROUND($S1174*N(IFERROR(INDEX(单位档案!$J$6:$J$35,MATCH($E1174,单位档案!$A$6:$A$35,0)),"")),2)</f>
        <v>0</v>
      </c>
      <c r="U1174" s="36" t="n">
        <f aca="false">IF($D1174&lt;&gt;"销项开票",0,ROUND(N($H1174)*N(IFERROR(INDEX(单位档案!$K$6:$K$35,MATCH($E1174,单位档案!$A$6:$A$35,0)),"")),2))</f>
        <v>0</v>
      </c>
      <c r="V1174" s="36" t="n">
        <f aca="false">IF(OR($D1174&lt;&gt;"销项开票",N($Q1174)=0),0,ROUND(N($H1174)/(1+$Q1174)*N(IFERROR(INDEX(单位档案!$L$6:$L$35,MATCH($E1174,单位档案!$A$6:$A$35,0)),"")),2))</f>
        <v>0</v>
      </c>
      <c r="W1174" s="36" t="n">
        <f aca="false">ROUND($S1174+$T1174+$U1174+$V1174,2)</f>
        <v>0</v>
      </c>
      <c r="X1174" s="35" t="str">
        <f aca="false">IF(OR($D1174="挂靠代收",$D1174="我方收款"),COUNTIFS($D$5:$D1174,"挂靠代收")+COUNTIFS($D$5:$D1174,"我方收款"),"")</f>
        <v/>
      </c>
      <c r="Y1174" s="35"/>
      <c r="Z1174" s="21" t="s">
        <v>111</v>
      </c>
    </row>
    <row r="1175" customFormat="false" ht="15.75" hidden="false" customHeight="true" outlineLevel="0" collapsed="false">
      <c r="A1175" s="32" t="str">
        <f aca="false">IF($B1175="","",ROW()-4)</f>
        <v/>
      </c>
      <c r="B1175" s="26"/>
      <c r="C1175" s="24"/>
      <c r="D1175" s="21"/>
      <c r="E1175" s="21"/>
      <c r="F1175" s="21"/>
      <c r="G1175" s="21"/>
      <c r="H1175" s="27"/>
      <c r="I1175" s="23" t="str">
        <f aca="false">IF($D1175&lt;&gt;"销项开票","",IF($N1175="一级",IF(IFERROR(INDEX(项目档案!$E$6:$E$255,MATCH($C1175,项目档案!$A$6:$A$255,0)),"")="",N(IFERROR(INDEX(单位档案!$D$6:$D$35,MATCH($E1175,单位档案!$A$6:$A$35,0)),"")),IFERROR(INDEX(项目档案!$E$6:$E$255,MATCH($C1175,项目档案!$A$6:$A$255,0)),"")),IF($N1175="二级",IF(IFERROR(INDEX(项目档案!$G$6:$G$255,MATCH($C1175,项目档案!$A$6:$A$255,0)),"")="",N(IFERROR(INDEX(单位档案!$D$6:$D$35,MATCH($E1175,单位档案!$A$6:$A$35,0)),"")),IFERROR(INDEX(项目档案!$G$6:$G$255,MATCH($C1175,项目档案!$A$6:$A$255,0)),"")),N(IFERROR(INDEX(单位档案!$D$6:$D$35,MATCH($E1175,单位档案!$A$6:$A$35,0)),"")))))</f>
        <v/>
      </c>
      <c r="J1175" s="22"/>
      <c r="K1175" s="22"/>
      <c r="L1175" s="33" t="str">
        <f aca="false">IF($B1175="","",IF(NOT(ISNUMBER($B1175)),"日期格式不对",IF($C1175="","未选项目编号",IF(LEFT($M1175,1)="⚠","项目编号不存在",IF($D1175="","未选业务类型",IF($E1175="","未选开票/付款方",IF(ISNA(MATCH($E1175,单位档案!$A$6:$A$35,0)),"开票方不在单位档案",IF($F1175="","未选收票/收款方",IF(ISNA(MATCH($F1175,单位档案!$A$6:$A$35,0)),"收款方不在单位档案",IF(NOT(ISNUMBER($H1175)),"金额须为数字",IF(AND($D1175="销项开票",$N1175="—"),"链条待确认","√")))))))))))</f>
        <v/>
      </c>
      <c r="M1175" s="34" t="str">
        <f aca="false">IF($C1175="","",IFERROR(INDEX(项目档案!$B$6:$B$255,MATCH($C1175,项目档案!$A$6:$A$255,0)),"⚠项目编号不存在"))</f>
        <v/>
      </c>
      <c r="N1175" s="35" t="str">
        <f aca="false">IF($E1175="","",IF($E1175=IFERROR(INDEX(项目档案!$D$6:$D$255,MATCH($C1175,项目档案!$A$6:$A$255,0)),""),"一级",IF($E1175=IFERROR(INDEX(项目档案!$F$6:$F$255,MATCH($C1175,项目档案!$A$6:$A$255,0)),""),"二级",IF($E1175=IFERROR(INDEX(项目档案!$H$6:$H$255,MATCH($C1175,项目档案!$A$6:$A$255,0)),""),"我方","—"))))</f>
        <v/>
      </c>
      <c r="O1175" s="36" t="n">
        <f aca="false">IF($D1175&lt;&gt;"销项开票",0,ROUND(N($H1175)*N($I1175),2))</f>
        <v>0</v>
      </c>
      <c r="P1175" s="36" t="n">
        <f aca="false">IF($D1175&lt;&gt;"销项开票",0,ROUND(N($H1175)-$O1175,2))</f>
        <v>0</v>
      </c>
      <c r="Q1175" s="37" t="str">
        <f aca="false">IF($E1175="","",N(IFERROR(INDEX(单位档案!$E$6:$E$35,MATCH($E1175,单位档案!$A$6:$A$35,0)),"")))</f>
        <v/>
      </c>
      <c r="R1175" s="37" t="str">
        <f aca="false">IF($E1175="","",N(IFERROR(INDEX(单位档案!$F$6:$F$35,MATCH($E1175,单位档案!$A$6:$A$35,0)),"")))</f>
        <v/>
      </c>
      <c r="S1175" s="36" t="n">
        <f aca="false">IF(OR($D1175&lt;&gt;"销项开票",IFERROR(INDEX(单位档案!$G$6:$G$35,MATCH($E1175,单位档案!$A$6:$A$35,0)),"")&lt;&gt;"是",N($Q1175)=0),0,IF(IFERROR(INDEX(单位档案!$H$6:$H$35,MATCH($E1175,单位档案!$A$6:$A$35,0)),"")="税差法",ROUND(N($H1175)/(1+$Q1175)*$Q1175-IF(N($R1175)=0,0,$P1175/(1+$R1175)*$R1175),2),ROUND(N($H1175)/(1+$Q1175)*$Q1175,2)))</f>
        <v>0</v>
      </c>
      <c r="T1175" s="36" t="n">
        <f aca="false">ROUND($S1175*N(IFERROR(INDEX(单位档案!$J$6:$J$35,MATCH($E1175,单位档案!$A$6:$A$35,0)),"")),2)</f>
        <v>0</v>
      </c>
      <c r="U1175" s="36" t="n">
        <f aca="false">IF($D1175&lt;&gt;"销项开票",0,ROUND(N($H1175)*N(IFERROR(INDEX(单位档案!$K$6:$K$35,MATCH($E1175,单位档案!$A$6:$A$35,0)),"")),2))</f>
        <v>0</v>
      </c>
      <c r="V1175" s="36" t="n">
        <f aca="false">IF(OR($D1175&lt;&gt;"销项开票",N($Q1175)=0),0,ROUND(N($H1175)/(1+$Q1175)*N(IFERROR(INDEX(单位档案!$L$6:$L$35,MATCH($E1175,单位档案!$A$6:$A$35,0)),"")),2))</f>
        <v>0</v>
      </c>
      <c r="W1175" s="36" t="n">
        <f aca="false">ROUND($S1175+$T1175+$U1175+$V1175,2)</f>
        <v>0</v>
      </c>
      <c r="X1175" s="35" t="str">
        <f aca="false">IF(OR($D1175="挂靠代收",$D1175="我方收款"),COUNTIFS($D$5:$D1175,"挂靠代收")+COUNTIFS($D$5:$D1175,"我方收款"),"")</f>
        <v/>
      </c>
      <c r="Y1175" s="35"/>
      <c r="Z1175" s="21" t="s">
        <v>111</v>
      </c>
    </row>
    <row r="1176" customFormat="false" ht="15.75" hidden="false" customHeight="true" outlineLevel="0" collapsed="false">
      <c r="A1176" s="32" t="str">
        <f aca="false">IF($B1176="","",ROW()-4)</f>
        <v/>
      </c>
      <c r="B1176" s="26"/>
      <c r="C1176" s="24"/>
      <c r="D1176" s="21"/>
      <c r="E1176" s="21"/>
      <c r="F1176" s="21"/>
      <c r="G1176" s="21"/>
      <c r="H1176" s="27"/>
      <c r="I1176" s="23" t="str">
        <f aca="false">IF($D1176&lt;&gt;"销项开票","",IF($N1176="一级",IF(IFERROR(INDEX(项目档案!$E$6:$E$255,MATCH($C1176,项目档案!$A$6:$A$255,0)),"")="",N(IFERROR(INDEX(单位档案!$D$6:$D$35,MATCH($E1176,单位档案!$A$6:$A$35,0)),"")),IFERROR(INDEX(项目档案!$E$6:$E$255,MATCH($C1176,项目档案!$A$6:$A$255,0)),"")),IF($N1176="二级",IF(IFERROR(INDEX(项目档案!$G$6:$G$255,MATCH($C1176,项目档案!$A$6:$A$255,0)),"")="",N(IFERROR(INDEX(单位档案!$D$6:$D$35,MATCH($E1176,单位档案!$A$6:$A$35,0)),"")),IFERROR(INDEX(项目档案!$G$6:$G$255,MATCH($C1176,项目档案!$A$6:$A$255,0)),"")),N(IFERROR(INDEX(单位档案!$D$6:$D$35,MATCH($E1176,单位档案!$A$6:$A$35,0)),"")))))</f>
        <v/>
      </c>
      <c r="J1176" s="22"/>
      <c r="K1176" s="22"/>
      <c r="L1176" s="33" t="str">
        <f aca="false">IF($B1176="","",IF(NOT(ISNUMBER($B1176)),"日期格式不对",IF($C1176="","未选项目编号",IF(LEFT($M1176,1)="⚠","项目编号不存在",IF($D1176="","未选业务类型",IF($E1176="","未选开票/付款方",IF(ISNA(MATCH($E1176,单位档案!$A$6:$A$35,0)),"开票方不在单位档案",IF($F1176="","未选收票/收款方",IF(ISNA(MATCH($F1176,单位档案!$A$6:$A$35,0)),"收款方不在单位档案",IF(NOT(ISNUMBER($H1176)),"金额须为数字",IF(AND($D1176="销项开票",$N1176="—"),"链条待确认","√")))))))))))</f>
        <v/>
      </c>
      <c r="M1176" s="34" t="str">
        <f aca="false">IF($C1176="","",IFERROR(INDEX(项目档案!$B$6:$B$255,MATCH($C1176,项目档案!$A$6:$A$255,0)),"⚠项目编号不存在"))</f>
        <v/>
      </c>
      <c r="N1176" s="35" t="str">
        <f aca="false">IF($E1176="","",IF($E1176=IFERROR(INDEX(项目档案!$D$6:$D$255,MATCH($C1176,项目档案!$A$6:$A$255,0)),""),"一级",IF($E1176=IFERROR(INDEX(项目档案!$F$6:$F$255,MATCH($C1176,项目档案!$A$6:$A$255,0)),""),"二级",IF($E1176=IFERROR(INDEX(项目档案!$H$6:$H$255,MATCH($C1176,项目档案!$A$6:$A$255,0)),""),"我方","—"))))</f>
        <v/>
      </c>
      <c r="O1176" s="36" t="n">
        <f aca="false">IF($D1176&lt;&gt;"销项开票",0,ROUND(N($H1176)*N($I1176),2))</f>
        <v>0</v>
      </c>
      <c r="P1176" s="36" t="n">
        <f aca="false">IF($D1176&lt;&gt;"销项开票",0,ROUND(N($H1176)-$O1176,2))</f>
        <v>0</v>
      </c>
      <c r="Q1176" s="37" t="str">
        <f aca="false">IF($E1176="","",N(IFERROR(INDEX(单位档案!$E$6:$E$35,MATCH($E1176,单位档案!$A$6:$A$35,0)),"")))</f>
        <v/>
      </c>
      <c r="R1176" s="37" t="str">
        <f aca="false">IF($E1176="","",N(IFERROR(INDEX(单位档案!$F$6:$F$35,MATCH($E1176,单位档案!$A$6:$A$35,0)),"")))</f>
        <v/>
      </c>
      <c r="S1176" s="36" t="n">
        <f aca="false">IF(OR($D1176&lt;&gt;"销项开票",IFERROR(INDEX(单位档案!$G$6:$G$35,MATCH($E1176,单位档案!$A$6:$A$35,0)),"")&lt;&gt;"是",N($Q1176)=0),0,IF(IFERROR(INDEX(单位档案!$H$6:$H$35,MATCH($E1176,单位档案!$A$6:$A$35,0)),"")="税差法",ROUND(N($H1176)/(1+$Q1176)*$Q1176-IF(N($R1176)=0,0,$P1176/(1+$R1176)*$R1176),2),ROUND(N($H1176)/(1+$Q1176)*$Q1176,2)))</f>
        <v>0</v>
      </c>
      <c r="T1176" s="36" t="n">
        <f aca="false">ROUND($S1176*N(IFERROR(INDEX(单位档案!$J$6:$J$35,MATCH($E1176,单位档案!$A$6:$A$35,0)),"")),2)</f>
        <v>0</v>
      </c>
      <c r="U1176" s="36" t="n">
        <f aca="false">IF($D1176&lt;&gt;"销项开票",0,ROUND(N($H1176)*N(IFERROR(INDEX(单位档案!$K$6:$K$35,MATCH($E1176,单位档案!$A$6:$A$35,0)),"")),2))</f>
        <v>0</v>
      </c>
      <c r="V1176" s="36" t="n">
        <f aca="false">IF(OR($D1176&lt;&gt;"销项开票",N($Q1176)=0),0,ROUND(N($H1176)/(1+$Q1176)*N(IFERROR(INDEX(单位档案!$L$6:$L$35,MATCH($E1176,单位档案!$A$6:$A$35,0)),"")),2))</f>
        <v>0</v>
      </c>
      <c r="W1176" s="36" t="n">
        <f aca="false">ROUND($S1176+$T1176+$U1176+$V1176,2)</f>
        <v>0</v>
      </c>
      <c r="X1176" s="35" t="str">
        <f aca="false">IF(OR($D1176="挂靠代收",$D1176="我方收款"),COUNTIFS($D$5:$D1176,"挂靠代收")+COUNTIFS($D$5:$D1176,"我方收款"),"")</f>
        <v/>
      </c>
      <c r="Y1176" s="35"/>
      <c r="Z1176" s="21" t="s">
        <v>111</v>
      </c>
    </row>
    <row r="1177" customFormat="false" ht="15.75" hidden="false" customHeight="true" outlineLevel="0" collapsed="false">
      <c r="A1177" s="32" t="str">
        <f aca="false">IF($B1177="","",ROW()-4)</f>
        <v/>
      </c>
      <c r="B1177" s="26"/>
      <c r="C1177" s="24"/>
      <c r="D1177" s="21"/>
      <c r="E1177" s="21"/>
      <c r="F1177" s="21"/>
      <c r="G1177" s="21"/>
      <c r="H1177" s="27"/>
      <c r="I1177" s="23" t="str">
        <f aca="false">IF($D1177&lt;&gt;"销项开票","",IF($N1177="一级",IF(IFERROR(INDEX(项目档案!$E$6:$E$255,MATCH($C1177,项目档案!$A$6:$A$255,0)),"")="",N(IFERROR(INDEX(单位档案!$D$6:$D$35,MATCH($E1177,单位档案!$A$6:$A$35,0)),"")),IFERROR(INDEX(项目档案!$E$6:$E$255,MATCH($C1177,项目档案!$A$6:$A$255,0)),"")),IF($N1177="二级",IF(IFERROR(INDEX(项目档案!$G$6:$G$255,MATCH($C1177,项目档案!$A$6:$A$255,0)),"")="",N(IFERROR(INDEX(单位档案!$D$6:$D$35,MATCH($E1177,单位档案!$A$6:$A$35,0)),"")),IFERROR(INDEX(项目档案!$G$6:$G$255,MATCH($C1177,项目档案!$A$6:$A$255,0)),"")),N(IFERROR(INDEX(单位档案!$D$6:$D$35,MATCH($E1177,单位档案!$A$6:$A$35,0)),"")))))</f>
        <v/>
      </c>
      <c r="J1177" s="22"/>
      <c r="K1177" s="22"/>
      <c r="L1177" s="33" t="str">
        <f aca="false">IF($B1177="","",IF(NOT(ISNUMBER($B1177)),"日期格式不对",IF($C1177="","未选项目编号",IF(LEFT($M1177,1)="⚠","项目编号不存在",IF($D1177="","未选业务类型",IF($E1177="","未选开票/付款方",IF(ISNA(MATCH($E1177,单位档案!$A$6:$A$35,0)),"开票方不在单位档案",IF($F1177="","未选收票/收款方",IF(ISNA(MATCH($F1177,单位档案!$A$6:$A$35,0)),"收款方不在单位档案",IF(NOT(ISNUMBER($H1177)),"金额须为数字",IF(AND($D1177="销项开票",$N1177="—"),"链条待确认","√")))))))))))</f>
        <v/>
      </c>
      <c r="M1177" s="34" t="str">
        <f aca="false">IF($C1177="","",IFERROR(INDEX(项目档案!$B$6:$B$255,MATCH($C1177,项目档案!$A$6:$A$255,0)),"⚠项目编号不存在"))</f>
        <v/>
      </c>
      <c r="N1177" s="35" t="str">
        <f aca="false">IF($E1177="","",IF($E1177=IFERROR(INDEX(项目档案!$D$6:$D$255,MATCH($C1177,项目档案!$A$6:$A$255,0)),""),"一级",IF($E1177=IFERROR(INDEX(项目档案!$F$6:$F$255,MATCH($C1177,项目档案!$A$6:$A$255,0)),""),"二级",IF($E1177=IFERROR(INDEX(项目档案!$H$6:$H$255,MATCH($C1177,项目档案!$A$6:$A$255,0)),""),"我方","—"))))</f>
        <v/>
      </c>
      <c r="O1177" s="36" t="n">
        <f aca="false">IF($D1177&lt;&gt;"销项开票",0,ROUND(N($H1177)*N($I1177),2))</f>
        <v>0</v>
      </c>
      <c r="P1177" s="36" t="n">
        <f aca="false">IF($D1177&lt;&gt;"销项开票",0,ROUND(N($H1177)-$O1177,2))</f>
        <v>0</v>
      </c>
      <c r="Q1177" s="37" t="str">
        <f aca="false">IF($E1177="","",N(IFERROR(INDEX(单位档案!$E$6:$E$35,MATCH($E1177,单位档案!$A$6:$A$35,0)),"")))</f>
        <v/>
      </c>
      <c r="R1177" s="37" t="str">
        <f aca="false">IF($E1177="","",N(IFERROR(INDEX(单位档案!$F$6:$F$35,MATCH($E1177,单位档案!$A$6:$A$35,0)),"")))</f>
        <v/>
      </c>
      <c r="S1177" s="36" t="n">
        <f aca="false">IF(OR($D1177&lt;&gt;"销项开票",IFERROR(INDEX(单位档案!$G$6:$G$35,MATCH($E1177,单位档案!$A$6:$A$35,0)),"")&lt;&gt;"是",N($Q1177)=0),0,IF(IFERROR(INDEX(单位档案!$H$6:$H$35,MATCH($E1177,单位档案!$A$6:$A$35,0)),"")="税差法",ROUND(N($H1177)/(1+$Q1177)*$Q1177-IF(N($R1177)=0,0,$P1177/(1+$R1177)*$R1177),2),ROUND(N($H1177)/(1+$Q1177)*$Q1177,2)))</f>
        <v>0</v>
      </c>
      <c r="T1177" s="36" t="n">
        <f aca="false">ROUND($S1177*N(IFERROR(INDEX(单位档案!$J$6:$J$35,MATCH($E1177,单位档案!$A$6:$A$35,0)),"")),2)</f>
        <v>0</v>
      </c>
      <c r="U1177" s="36" t="n">
        <f aca="false">IF($D1177&lt;&gt;"销项开票",0,ROUND(N($H1177)*N(IFERROR(INDEX(单位档案!$K$6:$K$35,MATCH($E1177,单位档案!$A$6:$A$35,0)),"")),2))</f>
        <v>0</v>
      </c>
      <c r="V1177" s="36" t="n">
        <f aca="false">IF(OR($D1177&lt;&gt;"销项开票",N($Q1177)=0),0,ROUND(N($H1177)/(1+$Q1177)*N(IFERROR(INDEX(单位档案!$L$6:$L$35,MATCH($E1177,单位档案!$A$6:$A$35,0)),"")),2))</f>
        <v>0</v>
      </c>
      <c r="W1177" s="36" t="n">
        <f aca="false">ROUND($S1177+$T1177+$U1177+$V1177,2)</f>
        <v>0</v>
      </c>
      <c r="X1177" s="35" t="str">
        <f aca="false">IF(OR($D1177="挂靠代收",$D1177="我方收款"),COUNTIFS($D$5:$D1177,"挂靠代收")+COUNTIFS($D$5:$D1177,"我方收款"),"")</f>
        <v/>
      </c>
      <c r="Y1177" s="35"/>
      <c r="Z1177" s="21" t="s">
        <v>111</v>
      </c>
    </row>
    <row r="1178" customFormat="false" ht="15.75" hidden="false" customHeight="true" outlineLevel="0" collapsed="false">
      <c r="A1178" s="32" t="str">
        <f aca="false">IF($B1178="","",ROW()-4)</f>
        <v/>
      </c>
      <c r="B1178" s="26"/>
      <c r="C1178" s="24"/>
      <c r="D1178" s="21"/>
      <c r="E1178" s="21"/>
      <c r="F1178" s="21"/>
      <c r="G1178" s="21"/>
      <c r="H1178" s="27"/>
      <c r="I1178" s="23" t="str">
        <f aca="false">IF($D1178&lt;&gt;"销项开票","",IF($N1178="一级",IF(IFERROR(INDEX(项目档案!$E$6:$E$255,MATCH($C1178,项目档案!$A$6:$A$255,0)),"")="",N(IFERROR(INDEX(单位档案!$D$6:$D$35,MATCH($E1178,单位档案!$A$6:$A$35,0)),"")),IFERROR(INDEX(项目档案!$E$6:$E$255,MATCH($C1178,项目档案!$A$6:$A$255,0)),"")),IF($N1178="二级",IF(IFERROR(INDEX(项目档案!$G$6:$G$255,MATCH($C1178,项目档案!$A$6:$A$255,0)),"")="",N(IFERROR(INDEX(单位档案!$D$6:$D$35,MATCH($E1178,单位档案!$A$6:$A$35,0)),"")),IFERROR(INDEX(项目档案!$G$6:$G$255,MATCH($C1178,项目档案!$A$6:$A$255,0)),"")),N(IFERROR(INDEX(单位档案!$D$6:$D$35,MATCH($E1178,单位档案!$A$6:$A$35,0)),"")))))</f>
        <v/>
      </c>
      <c r="J1178" s="22"/>
      <c r="K1178" s="22"/>
      <c r="L1178" s="33" t="str">
        <f aca="false">IF($B1178="","",IF(NOT(ISNUMBER($B1178)),"日期格式不对",IF($C1178="","未选项目编号",IF(LEFT($M1178,1)="⚠","项目编号不存在",IF($D1178="","未选业务类型",IF($E1178="","未选开票/付款方",IF(ISNA(MATCH($E1178,单位档案!$A$6:$A$35,0)),"开票方不在单位档案",IF($F1178="","未选收票/收款方",IF(ISNA(MATCH($F1178,单位档案!$A$6:$A$35,0)),"收款方不在单位档案",IF(NOT(ISNUMBER($H1178)),"金额须为数字",IF(AND($D1178="销项开票",$N1178="—"),"链条待确认","√")))))))))))</f>
        <v/>
      </c>
      <c r="M1178" s="34" t="str">
        <f aca="false">IF($C1178="","",IFERROR(INDEX(项目档案!$B$6:$B$255,MATCH($C1178,项目档案!$A$6:$A$255,0)),"⚠项目编号不存在"))</f>
        <v/>
      </c>
      <c r="N1178" s="35" t="str">
        <f aca="false">IF($E1178="","",IF($E1178=IFERROR(INDEX(项目档案!$D$6:$D$255,MATCH($C1178,项目档案!$A$6:$A$255,0)),""),"一级",IF($E1178=IFERROR(INDEX(项目档案!$F$6:$F$255,MATCH($C1178,项目档案!$A$6:$A$255,0)),""),"二级",IF($E1178=IFERROR(INDEX(项目档案!$H$6:$H$255,MATCH($C1178,项目档案!$A$6:$A$255,0)),""),"我方","—"))))</f>
        <v/>
      </c>
      <c r="O1178" s="36" t="n">
        <f aca="false">IF($D1178&lt;&gt;"销项开票",0,ROUND(N($H1178)*N($I1178),2))</f>
        <v>0</v>
      </c>
      <c r="P1178" s="36" t="n">
        <f aca="false">IF($D1178&lt;&gt;"销项开票",0,ROUND(N($H1178)-$O1178,2))</f>
        <v>0</v>
      </c>
      <c r="Q1178" s="37" t="str">
        <f aca="false">IF($E1178="","",N(IFERROR(INDEX(单位档案!$E$6:$E$35,MATCH($E1178,单位档案!$A$6:$A$35,0)),"")))</f>
        <v/>
      </c>
      <c r="R1178" s="37" t="str">
        <f aca="false">IF($E1178="","",N(IFERROR(INDEX(单位档案!$F$6:$F$35,MATCH($E1178,单位档案!$A$6:$A$35,0)),"")))</f>
        <v/>
      </c>
      <c r="S1178" s="36" t="n">
        <f aca="false">IF(OR($D1178&lt;&gt;"销项开票",IFERROR(INDEX(单位档案!$G$6:$G$35,MATCH($E1178,单位档案!$A$6:$A$35,0)),"")&lt;&gt;"是",N($Q1178)=0),0,IF(IFERROR(INDEX(单位档案!$H$6:$H$35,MATCH($E1178,单位档案!$A$6:$A$35,0)),"")="税差法",ROUND(N($H1178)/(1+$Q1178)*$Q1178-IF(N($R1178)=0,0,$P1178/(1+$R1178)*$R1178),2),ROUND(N($H1178)/(1+$Q1178)*$Q1178,2)))</f>
        <v>0</v>
      </c>
      <c r="T1178" s="36" t="n">
        <f aca="false">ROUND($S1178*N(IFERROR(INDEX(单位档案!$J$6:$J$35,MATCH($E1178,单位档案!$A$6:$A$35,0)),"")),2)</f>
        <v>0</v>
      </c>
      <c r="U1178" s="36" t="n">
        <f aca="false">IF($D1178&lt;&gt;"销项开票",0,ROUND(N($H1178)*N(IFERROR(INDEX(单位档案!$K$6:$K$35,MATCH($E1178,单位档案!$A$6:$A$35,0)),"")),2))</f>
        <v>0</v>
      </c>
      <c r="V1178" s="36" t="n">
        <f aca="false">IF(OR($D1178&lt;&gt;"销项开票",N($Q1178)=0),0,ROUND(N($H1178)/(1+$Q1178)*N(IFERROR(INDEX(单位档案!$L$6:$L$35,MATCH($E1178,单位档案!$A$6:$A$35,0)),"")),2))</f>
        <v>0</v>
      </c>
      <c r="W1178" s="36" t="n">
        <f aca="false">ROUND($S1178+$T1178+$U1178+$V1178,2)</f>
        <v>0</v>
      </c>
      <c r="X1178" s="35" t="str">
        <f aca="false">IF(OR($D1178="挂靠代收",$D1178="我方收款"),COUNTIFS($D$5:$D1178,"挂靠代收")+COUNTIFS($D$5:$D1178,"我方收款"),"")</f>
        <v/>
      </c>
      <c r="Y1178" s="35"/>
      <c r="Z1178" s="21" t="s">
        <v>111</v>
      </c>
    </row>
    <row r="1179" customFormat="false" ht="15.75" hidden="false" customHeight="true" outlineLevel="0" collapsed="false">
      <c r="A1179" s="32" t="str">
        <f aca="false">IF($B1179="","",ROW()-4)</f>
        <v/>
      </c>
      <c r="B1179" s="26"/>
      <c r="C1179" s="24"/>
      <c r="D1179" s="21"/>
      <c r="E1179" s="21"/>
      <c r="F1179" s="21"/>
      <c r="G1179" s="21"/>
      <c r="H1179" s="27"/>
      <c r="I1179" s="23" t="str">
        <f aca="false">IF($D1179&lt;&gt;"销项开票","",IF($N1179="一级",IF(IFERROR(INDEX(项目档案!$E$6:$E$255,MATCH($C1179,项目档案!$A$6:$A$255,0)),"")="",N(IFERROR(INDEX(单位档案!$D$6:$D$35,MATCH($E1179,单位档案!$A$6:$A$35,0)),"")),IFERROR(INDEX(项目档案!$E$6:$E$255,MATCH($C1179,项目档案!$A$6:$A$255,0)),"")),IF($N1179="二级",IF(IFERROR(INDEX(项目档案!$G$6:$G$255,MATCH($C1179,项目档案!$A$6:$A$255,0)),"")="",N(IFERROR(INDEX(单位档案!$D$6:$D$35,MATCH($E1179,单位档案!$A$6:$A$35,0)),"")),IFERROR(INDEX(项目档案!$G$6:$G$255,MATCH($C1179,项目档案!$A$6:$A$255,0)),"")),N(IFERROR(INDEX(单位档案!$D$6:$D$35,MATCH($E1179,单位档案!$A$6:$A$35,0)),"")))))</f>
        <v/>
      </c>
      <c r="J1179" s="22"/>
      <c r="K1179" s="22"/>
      <c r="L1179" s="33" t="str">
        <f aca="false">IF($B1179="","",IF(NOT(ISNUMBER($B1179)),"日期格式不对",IF($C1179="","未选项目编号",IF(LEFT($M1179,1)="⚠","项目编号不存在",IF($D1179="","未选业务类型",IF($E1179="","未选开票/付款方",IF(ISNA(MATCH($E1179,单位档案!$A$6:$A$35,0)),"开票方不在单位档案",IF($F1179="","未选收票/收款方",IF(ISNA(MATCH($F1179,单位档案!$A$6:$A$35,0)),"收款方不在单位档案",IF(NOT(ISNUMBER($H1179)),"金额须为数字",IF(AND($D1179="销项开票",$N1179="—"),"链条待确认","√")))))))))))</f>
        <v/>
      </c>
      <c r="M1179" s="34" t="str">
        <f aca="false">IF($C1179="","",IFERROR(INDEX(项目档案!$B$6:$B$255,MATCH($C1179,项目档案!$A$6:$A$255,0)),"⚠项目编号不存在"))</f>
        <v/>
      </c>
      <c r="N1179" s="35" t="str">
        <f aca="false">IF($E1179="","",IF($E1179=IFERROR(INDEX(项目档案!$D$6:$D$255,MATCH($C1179,项目档案!$A$6:$A$255,0)),""),"一级",IF($E1179=IFERROR(INDEX(项目档案!$F$6:$F$255,MATCH($C1179,项目档案!$A$6:$A$255,0)),""),"二级",IF($E1179=IFERROR(INDEX(项目档案!$H$6:$H$255,MATCH($C1179,项目档案!$A$6:$A$255,0)),""),"我方","—"))))</f>
        <v/>
      </c>
      <c r="O1179" s="36" t="n">
        <f aca="false">IF($D1179&lt;&gt;"销项开票",0,ROUND(N($H1179)*N($I1179),2))</f>
        <v>0</v>
      </c>
      <c r="P1179" s="36" t="n">
        <f aca="false">IF($D1179&lt;&gt;"销项开票",0,ROUND(N($H1179)-$O1179,2))</f>
        <v>0</v>
      </c>
      <c r="Q1179" s="37" t="str">
        <f aca="false">IF($E1179="","",N(IFERROR(INDEX(单位档案!$E$6:$E$35,MATCH($E1179,单位档案!$A$6:$A$35,0)),"")))</f>
        <v/>
      </c>
      <c r="R1179" s="37" t="str">
        <f aca="false">IF($E1179="","",N(IFERROR(INDEX(单位档案!$F$6:$F$35,MATCH($E1179,单位档案!$A$6:$A$35,0)),"")))</f>
        <v/>
      </c>
      <c r="S1179" s="36" t="n">
        <f aca="false">IF(OR($D1179&lt;&gt;"销项开票",IFERROR(INDEX(单位档案!$G$6:$G$35,MATCH($E1179,单位档案!$A$6:$A$35,0)),"")&lt;&gt;"是",N($Q1179)=0),0,IF(IFERROR(INDEX(单位档案!$H$6:$H$35,MATCH($E1179,单位档案!$A$6:$A$35,0)),"")="税差法",ROUND(N($H1179)/(1+$Q1179)*$Q1179-IF(N($R1179)=0,0,$P1179/(1+$R1179)*$R1179),2),ROUND(N($H1179)/(1+$Q1179)*$Q1179,2)))</f>
        <v>0</v>
      </c>
      <c r="T1179" s="36" t="n">
        <f aca="false">ROUND($S1179*N(IFERROR(INDEX(单位档案!$J$6:$J$35,MATCH($E1179,单位档案!$A$6:$A$35,0)),"")),2)</f>
        <v>0</v>
      </c>
      <c r="U1179" s="36" t="n">
        <f aca="false">IF($D1179&lt;&gt;"销项开票",0,ROUND(N($H1179)*N(IFERROR(INDEX(单位档案!$K$6:$K$35,MATCH($E1179,单位档案!$A$6:$A$35,0)),"")),2))</f>
        <v>0</v>
      </c>
      <c r="V1179" s="36" t="n">
        <f aca="false">IF(OR($D1179&lt;&gt;"销项开票",N($Q1179)=0),0,ROUND(N($H1179)/(1+$Q1179)*N(IFERROR(INDEX(单位档案!$L$6:$L$35,MATCH($E1179,单位档案!$A$6:$A$35,0)),"")),2))</f>
        <v>0</v>
      </c>
      <c r="W1179" s="36" t="n">
        <f aca="false">ROUND($S1179+$T1179+$U1179+$V1179,2)</f>
        <v>0</v>
      </c>
      <c r="X1179" s="35" t="str">
        <f aca="false">IF(OR($D1179="挂靠代收",$D1179="我方收款"),COUNTIFS($D$5:$D1179,"挂靠代收")+COUNTIFS($D$5:$D1179,"我方收款"),"")</f>
        <v/>
      </c>
      <c r="Y1179" s="35"/>
      <c r="Z1179" s="21" t="s">
        <v>111</v>
      </c>
    </row>
    <row r="1180" customFormat="false" ht="15.75" hidden="false" customHeight="true" outlineLevel="0" collapsed="false">
      <c r="A1180" s="32" t="str">
        <f aca="false">IF($B1180="","",ROW()-4)</f>
        <v/>
      </c>
      <c r="B1180" s="26"/>
      <c r="C1180" s="24"/>
      <c r="D1180" s="21"/>
      <c r="E1180" s="21"/>
      <c r="F1180" s="21"/>
      <c r="G1180" s="21"/>
      <c r="H1180" s="27"/>
      <c r="I1180" s="23" t="str">
        <f aca="false">IF($D1180&lt;&gt;"销项开票","",IF($N1180="一级",IF(IFERROR(INDEX(项目档案!$E$6:$E$255,MATCH($C1180,项目档案!$A$6:$A$255,0)),"")="",N(IFERROR(INDEX(单位档案!$D$6:$D$35,MATCH($E1180,单位档案!$A$6:$A$35,0)),"")),IFERROR(INDEX(项目档案!$E$6:$E$255,MATCH($C1180,项目档案!$A$6:$A$255,0)),"")),IF($N1180="二级",IF(IFERROR(INDEX(项目档案!$G$6:$G$255,MATCH($C1180,项目档案!$A$6:$A$255,0)),"")="",N(IFERROR(INDEX(单位档案!$D$6:$D$35,MATCH($E1180,单位档案!$A$6:$A$35,0)),"")),IFERROR(INDEX(项目档案!$G$6:$G$255,MATCH($C1180,项目档案!$A$6:$A$255,0)),"")),N(IFERROR(INDEX(单位档案!$D$6:$D$35,MATCH($E1180,单位档案!$A$6:$A$35,0)),"")))))</f>
        <v/>
      </c>
      <c r="J1180" s="22"/>
      <c r="K1180" s="22"/>
      <c r="L1180" s="33" t="str">
        <f aca="false">IF($B1180="","",IF(NOT(ISNUMBER($B1180)),"日期格式不对",IF($C1180="","未选项目编号",IF(LEFT($M1180,1)="⚠","项目编号不存在",IF($D1180="","未选业务类型",IF($E1180="","未选开票/付款方",IF(ISNA(MATCH($E1180,单位档案!$A$6:$A$35,0)),"开票方不在单位档案",IF($F1180="","未选收票/收款方",IF(ISNA(MATCH($F1180,单位档案!$A$6:$A$35,0)),"收款方不在单位档案",IF(NOT(ISNUMBER($H1180)),"金额须为数字",IF(AND($D1180="销项开票",$N1180="—"),"链条待确认","√")))))))))))</f>
        <v/>
      </c>
      <c r="M1180" s="34" t="str">
        <f aca="false">IF($C1180="","",IFERROR(INDEX(项目档案!$B$6:$B$255,MATCH($C1180,项目档案!$A$6:$A$255,0)),"⚠项目编号不存在"))</f>
        <v/>
      </c>
      <c r="N1180" s="35" t="str">
        <f aca="false">IF($E1180="","",IF($E1180=IFERROR(INDEX(项目档案!$D$6:$D$255,MATCH($C1180,项目档案!$A$6:$A$255,0)),""),"一级",IF($E1180=IFERROR(INDEX(项目档案!$F$6:$F$255,MATCH($C1180,项目档案!$A$6:$A$255,0)),""),"二级",IF($E1180=IFERROR(INDEX(项目档案!$H$6:$H$255,MATCH($C1180,项目档案!$A$6:$A$255,0)),""),"我方","—"))))</f>
        <v/>
      </c>
      <c r="O1180" s="36" t="n">
        <f aca="false">IF($D1180&lt;&gt;"销项开票",0,ROUND(N($H1180)*N($I1180),2))</f>
        <v>0</v>
      </c>
      <c r="P1180" s="36" t="n">
        <f aca="false">IF($D1180&lt;&gt;"销项开票",0,ROUND(N($H1180)-$O1180,2))</f>
        <v>0</v>
      </c>
      <c r="Q1180" s="37" t="str">
        <f aca="false">IF($E1180="","",N(IFERROR(INDEX(单位档案!$E$6:$E$35,MATCH($E1180,单位档案!$A$6:$A$35,0)),"")))</f>
        <v/>
      </c>
      <c r="R1180" s="37" t="str">
        <f aca="false">IF($E1180="","",N(IFERROR(INDEX(单位档案!$F$6:$F$35,MATCH($E1180,单位档案!$A$6:$A$35,0)),"")))</f>
        <v/>
      </c>
      <c r="S1180" s="36" t="n">
        <f aca="false">IF(OR($D1180&lt;&gt;"销项开票",IFERROR(INDEX(单位档案!$G$6:$G$35,MATCH($E1180,单位档案!$A$6:$A$35,0)),"")&lt;&gt;"是",N($Q1180)=0),0,IF(IFERROR(INDEX(单位档案!$H$6:$H$35,MATCH($E1180,单位档案!$A$6:$A$35,0)),"")="税差法",ROUND(N($H1180)/(1+$Q1180)*$Q1180-IF(N($R1180)=0,0,$P1180/(1+$R1180)*$R1180),2),ROUND(N($H1180)/(1+$Q1180)*$Q1180,2)))</f>
        <v>0</v>
      </c>
      <c r="T1180" s="36" t="n">
        <f aca="false">ROUND($S1180*N(IFERROR(INDEX(单位档案!$J$6:$J$35,MATCH($E1180,单位档案!$A$6:$A$35,0)),"")),2)</f>
        <v>0</v>
      </c>
      <c r="U1180" s="36" t="n">
        <f aca="false">IF($D1180&lt;&gt;"销项开票",0,ROUND(N($H1180)*N(IFERROR(INDEX(单位档案!$K$6:$K$35,MATCH($E1180,单位档案!$A$6:$A$35,0)),"")),2))</f>
        <v>0</v>
      </c>
      <c r="V1180" s="36" t="n">
        <f aca="false">IF(OR($D1180&lt;&gt;"销项开票",N($Q1180)=0),0,ROUND(N($H1180)/(1+$Q1180)*N(IFERROR(INDEX(单位档案!$L$6:$L$35,MATCH($E1180,单位档案!$A$6:$A$35,0)),"")),2))</f>
        <v>0</v>
      </c>
      <c r="W1180" s="36" t="n">
        <f aca="false">ROUND($S1180+$T1180+$U1180+$V1180,2)</f>
        <v>0</v>
      </c>
      <c r="X1180" s="35" t="str">
        <f aca="false">IF(OR($D1180="挂靠代收",$D1180="我方收款"),COUNTIFS($D$5:$D1180,"挂靠代收")+COUNTIFS($D$5:$D1180,"我方收款"),"")</f>
        <v/>
      </c>
      <c r="Y1180" s="35"/>
      <c r="Z1180" s="21" t="s">
        <v>111</v>
      </c>
    </row>
    <row r="1181" customFormat="false" ht="15.75" hidden="false" customHeight="true" outlineLevel="0" collapsed="false">
      <c r="A1181" s="32" t="str">
        <f aca="false">IF($B1181="","",ROW()-4)</f>
        <v/>
      </c>
      <c r="B1181" s="26"/>
      <c r="C1181" s="24"/>
      <c r="D1181" s="21"/>
      <c r="E1181" s="21"/>
      <c r="F1181" s="21"/>
      <c r="G1181" s="21"/>
      <c r="H1181" s="27"/>
      <c r="I1181" s="23" t="str">
        <f aca="false">IF($D1181&lt;&gt;"销项开票","",IF($N1181="一级",IF(IFERROR(INDEX(项目档案!$E$6:$E$255,MATCH($C1181,项目档案!$A$6:$A$255,0)),"")="",N(IFERROR(INDEX(单位档案!$D$6:$D$35,MATCH($E1181,单位档案!$A$6:$A$35,0)),"")),IFERROR(INDEX(项目档案!$E$6:$E$255,MATCH($C1181,项目档案!$A$6:$A$255,0)),"")),IF($N1181="二级",IF(IFERROR(INDEX(项目档案!$G$6:$G$255,MATCH($C1181,项目档案!$A$6:$A$255,0)),"")="",N(IFERROR(INDEX(单位档案!$D$6:$D$35,MATCH($E1181,单位档案!$A$6:$A$35,0)),"")),IFERROR(INDEX(项目档案!$G$6:$G$255,MATCH($C1181,项目档案!$A$6:$A$255,0)),"")),N(IFERROR(INDEX(单位档案!$D$6:$D$35,MATCH($E1181,单位档案!$A$6:$A$35,0)),"")))))</f>
        <v/>
      </c>
      <c r="J1181" s="22"/>
      <c r="K1181" s="22"/>
      <c r="L1181" s="33" t="str">
        <f aca="false">IF($B1181="","",IF(NOT(ISNUMBER($B1181)),"日期格式不对",IF($C1181="","未选项目编号",IF(LEFT($M1181,1)="⚠","项目编号不存在",IF($D1181="","未选业务类型",IF($E1181="","未选开票/付款方",IF(ISNA(MATCH($E1181,单位档案!$A$6:$A$35,0)),"开票方不在单位档案",IF($F1181="","未选收票/收款方",IF(ISNA(MATCH($F1181,单位档案!$A$6:$A$35,0)),"收款方不在单位档案",IF(NOT(ISNUMBER($H1181)),"金额须为数字",IF(AND($D1181="销项开票",$N1181="—"),"链条待确认","√")))))))))))</f>
        <v/>
      </c>
      <c r="M1181" s="34" t="str">
        <f aca="false">IF($C1181="","",IFERROR(INDEX(项目档案!$B$6:$B$255,MATCH($C1181,项目档案!$A$6:$A$255,0)),"⚠项目编号不存在"))</f>
        <v/>
      </c>
      <c r="N1181" s="35" t="str">
        <f aca="false">IF($E1181="","",IF($E1181=IFERROR(INDEX(项目档案!$D$6:$D$255,MATCH($C1181,项目档案!$A$6:$A$255,0)),""),"一级",IF($E1181=IFERROR(INDEX(项目档案!$F$6:$F$255,MATCH($C1181,项目档案!$A$6:$A$255,0)),""),"二级",IF($E1181=IFERROR(INDEX(项目档案!$H$6:$H$255,MATCH($C1181,项目档案!$A$6:$A$255,0)),""),"我方","—"))))</f>
        <v/>
      </c>
      <c r="O1181" s="36" t="n">
        <f aca="false">IF($D1181&lt;&gt;"销项开票",0,ROUND(N($H1181)*N($I1181),2))</f>
        <v>0</v>
      </c>
      <c r="P1181" s="36" t="n">
        <f aca="false">IF($D1181&lt;&gt;"销项开票",0,ROUND(N($H1181)-$O1181,2))</f>
        <v>0</v>
      </c>
      <c r="Q1181" s="37" t="str">
        <f aca="false">IF($E1181="","",N(IFERROR(INDEX(单位档案!$E$6:$E$35,MATCH($E1181,单位档案!$A$6:$A$35,0)),"")))</f>
        <v/>
      </c>
      <c r="R1181" s="37" t="str">
        <f aca="false">IF($E1181="","",N(IFERROR(INDEX(单位档案!$F$6:$F$35,MATCH($E1181,单位档案!$A$6:$A$35,0)),"")))</f>
        <v/>
      </c>
      <c r="S1181" s="36" t="n">
        <f aca="false">IF(OR($D1181&lt;&gt;"销项开票",IFERROR(INDEX(单位档案!$G$6:$G$35,MATCH($E1181,单位档案!$A$6:$A$35,0)),"")&lt;&gt;"是",N($Q1181)=0),0,IF(IFERROR(INDEX(单位档案!$H$6:$H$35,MATCH($E1181,单位档案!$A$6:$A$35,0)),"")="税差法",ROUND(N($H1181)/(1+$Q1181)*$Q1181-IF(N($R1181)=0,0,$P1181/(1+$R1181)*$R1181),2),ROUND(N($H1181)/(1+$Q1181)*$Q1181,2)))</f>
        <v>0</v>
      </c>
      <c r="T1181" s="36" t="n">
        <f aca="false">ROUND($S1181*N(IFERROR(INDEX(单位档案!$J$6:$J$35,MATCH($E1181,单位档案!$A$6:$A$35,0)),"")),2)</f>
        <v>0</v>
      </c>
      <c r="U1181" s="36" t="n">
        <f aca="false">IF($D1181&lt;&gt;"销项开票",0,ROUND(N($H1181)*N(IFERROR(INDEX(单位档案!$K$6:$K$35,MATCH($E1181,单位档案!$A$6:$A$35,0)),"")),2))</f>
        <v>0</v>
      </c>
      <c r="V1181" s="36" t="n">
        <f aca="false">IF(OR($D1181&lt;&gt;"销项开票",N($Q1181)=0),0,ROUND(N($H1181)/(1+$Q1181)*N(IFERROR(INDEX(单位档案!$L$6:$L$35,MATCH($E1181,单位档案!$A$6:$A$35,0)),"")),2))</f>
        <v>0</v>
      </c>
      <c r="W1181" s="36" t="n">
        <f aca="false">ROUND($S1181+$T1181+$U1181+$V1181,2)</f>
        <v>0</v>
      </c>
      <c r="X1181" s="35" t="str">
        <f aca="false">IF(OR($D1181="挂靠代收",$D1181="我方收款"),COUNTIFS($D$5:$D1181,"挂靠代收")+COUNTIFS($D$5:$D1181,"我方收款"),"")</f>
        <v/>
      </c>
      <c r="Y1181" s="35"/>
      <c r="Z1181" s="21" t="s">
        <v>111</v>
      </c>
    </row>
    <row r="1182" customFormat="false" ht="15.75" hidden="false" customHeight="true" outlineLevel="0" collapsed="false">
      <c r="A1182" s="32" t="str">
        <f aca="false">IF($B1182="","",ROW()-4)</f>
        <v/>
      </c>
      <c r="B1182" s="26"/>
      <c r="C1182" s="24"/>
      <c r="D1182" s="21"/>
      <c r="E1182" s="21"/>
      <c r="F1182" s="21"/>
      <c r="G1182" s="21"/>
      <c r="H1182" s="27"/>
      <c r="I1182" s="23" t="str">
        <f aca="false">IF($D1182&lt;&gt;"销项开票","",IF($N1182="一级",IF(IFERROR(INDEX(项目档案!$E$6:$E$255,MATCH($C1182,项目档案!$A$6:$A$255,0)),"")="",N(IFERROR(INDEX(单位档案!$D$6:$D$35,MATCH($E1182,单位档案!$A$6:$A$35,0)),"")),IFERROR(INDEX(项目档案!$E$6:$E$255,MATCH($C1182,项目档案!$A$6:$A$255,0)),"")),IF($N1182="二级",IF(IFERROR(INDEX(项目档案!$G$6:$G$255,MATCH($C1182,项目档案!$A$6:$A$255,0)),"")="",N(IFERROR(INDEX(单位档案!$D$6:$D$35,MATCH($E1182,单位档案!$A$6:$A$35,0)),"")),IFERROR(INDEX(项目档案!$G$6:$G$255,MATCH($C1182,项目档案!$A$6:$A$255,0)),"")),N(IFERROR(INDEX(单位档案!$D$6:$D$35,MATCH($E1182,单位档案!$A$6:$A$35,0)),"")))))</f>
        <v/>
      </c>
      <c r="J1182" s="22"/>
      <c r="K1182" s="22"/>
      <c r="L1182" s="33" t="str">
        <f aca="false">IF($B1182="","",IF(NOT(ISNUMBER($B1182)),"日期格式不对",IF($C1182="","未选项目编号",IF(LEFT($M1182,1)="⚠","项目编号不存在",IF($D1182="","未选业务类型",IF($E1182="","未选开票/付款方",IF(ISNA(MATCH($E1182,单位档案!$A$6:$A$35,0)),"开票方不在单位档案",IF($F1182="","未选收票/收款方",IF(ISNA(MATCH($F1182,单位档案!$A$6:$A$35,0)),"收款方不在单位档案",IF(NOT(ISNUMBER($H1182)),"金额须为数字",IF(AND($D1182="销项开票",$N1182="—"),"链条待确认","√")))))))))))</f>
        <v/>
      </c>
      <c r="M1182" s="34" t="str">
        <f aca="false">IF($C1182="","",IFERROR(INDEX(项目档案!$B$6:$B$255,MATCH($C1182,项目档案!$A$6:$A$255,0)),"⚠项目编号不存在"))</f>
        <v/>
      </c>
      <c r="N1182" s="35" t="str">
        <f aca="false">IF($E1182="","",IF($E1182=IFERROR(INDEX(项目档案!$D$6:$D$255,MATCH($C1182,项目档案!$A$6:$A$255,0)),""),"一级",IF($E1182=IFERROR(INDEX(项目档案!$F$6:$F$255,MATCH($C1182,项目档案!$A$6:$A$255,0)),""),"二级",IF($E1182=IFERROR(INDEX(项目档案!$H$6:$H$255,MATCH($C1182,项目档案!$A$6:$A$255,0)),""),"我方","—"))))</f>
        <v/>
      </c>
      <c r="O1182" s="36" t="n">
        <f aca="false">IF($D1182&lt;&gt;"销项开票",0,ROUND(N($H1182)*N($I1182),2))</f>
        <v>0</v>
      </c>
      <c r="P1182" s="36" t="n">
        <f aca="false">IF($D1182&lt;&gt;"销项开票",0,ROUND(N($H1182)-$O1182,2))</f>
        <v>0</v>
      </c>
      <c r="Q1182" s="37" t="str">
        <f aca="false">IF($E1182="","",N(IFERROR(INDEX(单位档案!$E$6:$E$35,MATCH($E1182,单位档案!$A$6:$A$35,0)),"")))</f>
        <v/>
      </c>
      <c r="R1182" s="37" t="str">
        <f aca="false">IF($E1182="","",N(IFERROR(INDEX(单位档案!$F$6:$F$35,MATCH($E1182,单位档案!$A$6:$A$35,0)),"")))</f>
        <v/>
      </c>
      <c r="S1182" s="36" t="n">
        <f aca="false">IF(OR($D1182&lt;&gt;"销项开票",IFERROR(INDEX(单位档案!$G$6:$G$35,MATCH($E1182,单位档案!$A$6:$A$35,0)),"")&lt;&gt;"是",N($Q1182)=0),0,IF(IFERROR(INDEX(单位档案!$H$6:$H$35,MATCH($E1182,单位档案!$A$6:$A$35,0)),"")="税差法",ROUND(N($H1182)/(1+$Q1182)*$Q1182-IF(N($R1182)=0,0,$P1182/(1+$R1182)*$R1182),2),ROUND(N($H1182)/(1+$Q1182)*$Q1182,2)))</f>
        <v>0</v>
      </c>
      <c r="T1182" s="36" t="n">
        <f aca="false">ROUND($S1182*N(IFERROR(INDEX(单位档案!$J$6:$J$35,MATCH($E1182,单位档案!$A$6:$A$35,0)),"")),2)</f>
        <v>0</v>
      </c>
      <c r="U1182" s="36" t="n">
        <f aca="false">IF($D1182&lt;&gt;"销项开票",0,ROUND(N($H1182)*N(IFERROR(INDEX(单位档案!$K$6:$K$35,MATCH($E1182,单位档案!$A$6:$A$35,0)),"")),2))</f>
        <v>0</v>
      </c>
      <c r="V1182" s="36" t="n">
        <f aca="false">IF(OR($D1182&lt;&gt;"销项开票",N($Q1182)=0),0,ROUND(N($H1182)/(1+$Q1182)*N(IFERROR(INDEX(单位档案!$L$6:$L$35,MATCH($E1182,单位档案!$A$6:$A$35,0)),"")),2))</f>
        <v>0</v>
      </c>
      <c r="W1182" s="36" t="n">
        <f aca="false">ROUND($S1182+$T1182+$U1182+$V1182,2)</f>
        <v>0</v>
      </c>
      <c r="X1182" s="35" t="str">
        <f aca="false">IF(OR($D1182="挂靠代收",$D1182="我方收款"),COUNTIFS($D$5:$D1182,"挂靠代收")+COUNTIFS($D$5:$D1182,"我方收款"),"")</f>
        <v/>
      </c>
      <c r="Y1182" s="35"/>
      <c r="Z1182" s="21" t="s">
        <v>111</v>
      </c>
    </row>
    <row r="1183" customFormat="false" ht="15.75" hidden="false" customHeight="true" outlineLevel="0" collapsed="false">
      <c r="A1183" s="32" t="str">
        <f aca="false">IF($B1183="","",ROW()-4)</f>
        <v/>
      </c>
      <c r="B1183" s="26"/>
      <c r="C1183" s="24"/>
      <c r="D1183" s="21"/>
      <c r="E1183" s="21"/>
      <c r="F1183" s="21"/>
      <c r="G1183" s="21"/>
      <c r="H1183" s="27"/>
      <c r="I1183" s="23" t="str">
        <f aca="false">IF($D1183&lt;&gt;"销项开票","",IF($N1183="一级",IF(IFERROR(INDEX(项目档案!$E$6:$E$255,MATCH($C1183,项目档案!$A$6:$A$255,0)),"")="",N(IFERROR(INDEX(单位档案!$D$6:$D$35,MATCH($E1183,单位档案!$A$6:$A$35,0)),"")),IFERROR(INDEX(项目档案!$E$6:$E$255,MATCH($C1183,项目档案!$A$6:$A$255,0)),"")),IF($N1183="二级",IF(IFERROR(INDEX(项目档案!$G$6:$G$255,MATCH($C1183,项目档案!$A$6:$A$255,0)),"")="",N(IFERROR(INDEX(单位档案!$D$6:$D$35,MATCH($E1183,单位档案!$A$6:$A$35,0)),"")),IFERROR(INDEX(项目档案!$G$6:$G$255,MATCH($C1183,项目档案!$A$6:$A$255,0)),"")),N(IFERROR(INDEX(单位档案!$D$6:$D$35,MATCH($E1183,单位档案!$A$6:$A$35,0)),"")))))</f>
        <v/>
      </c>
      <c r="J1183" s="22"/>
      <c r="K1183" s="22"/>
      <c r="L1183" s="33" t="str">
        <f aca="false">IF($B1183="","",IF(NOT(ISNUMBER($B1183)),"日期格式不对",IF($C1183="","未选项目编号",IF(LEFT($M1183,1)="⚠","项目编号不存在",IF($D1183="","未选业务类型",IF($E1183="","未选开票/付款方",IF(ISNA(MATCH($E1183,单位档案!$A$6:$A$35,0)),"开票方不在单位档案",IF($F1183="","未选收票/收款方",IF(ISNA(MATCH($F1183,单位档案!$A$6:$A$35,0)),"收款方不在单位档案",IF(NOT(ISNUMBER($H1183)),"金额须为数字",IF(AND($D1183="销项开票",$N1183="—"),"链条待确认","√")))))))))))</f>
        <v/>
      </c>
      <c r="M1183" s="34" t="str">
        <f aca="false">IF($C1183="","",IFERROR(INDEX(项目档案!$B$6:$B$255,MATCH($C1183,项目档案!$A$6:$A$255,0)),"⚠项目编号不存在"))</f>
        <v/>
      </c>
      <c r="N1183" s="35" t="str">
        <f aca="false">IF($E1183="","",IF($E1183=IFERROR(INDEX(项目档案!$D$6:$D$255,MATCH($C1183,项目档案!$A$6:$A$255,0)),""),"一级",IF($E1183=IFERROR(INDEX(项目档案!$F$6:$F$255,MATCH($C1183,项目档案!$A$6:$A$255,0)),""),"二级",IF($E1183=IFERROR(INDEX(项目档案!$H$6:$H$255,MATCH($C1183,项目档案!$A$6:$A$255,0)),""),"我方","—"))))</f>
        <v/>
      </c>
      <c r="O1183" s="36" t="n">
        <f aca="false">IF($D1183&lt;&gt;"销项开票",0,ROUND(N($H1183)*N($I1183),2))</f>
        <v>0</v>
      </c>
      <c r="P1183" s="36" t="n">
        <f aca="false">IF($D1183&lt;&gt;"销项开票",0,ROUND(N($H1183)-$O1183,2))</f>
        <v>0</v>
      </c>
      <c r="Q1183" s="37" t="str">
        <f aca="false">IF($E1183="","",N(IFERROR(INDEX(单位档案!$E$6:$E$35,MATCH($E1183,单位档案!$A$6:$A$35,0)),"")))</f>
        <v/>
      </c>
      <c r="R1183" s="37" t="str">
        <f aca="false">IF($E1183="","",N(IFERROR(INDEX(单位档案!$F$6:$F$35,MATCH($E1183,单位档案!$A$6:$A$35,0)),"")))</f>
        <v/>
      </c>
      <c r="S1183" s="36" t="n">
        <f aca="false">IF(OR($D1183&lt;&gt;"销项开票",IFERROR(INDEX(单位档案!$G$6:$G$35,MATCH($E1183,单位档案!$A$6:$A$35,0)),"")&lt;&gt;"是",N($Q1183)=0),0,IF(IFERROR(INDEX(单位档案!$H$6:$H$35,MATCH($E1183,单位档案!$A$6:$A$35,0)),"")="税差法",ROUND(N($H1183)/(1+$Q1183)*$Q1183-IF(N($R1183)=0,0,$P1183/(1+$R1183)*$R1183),2),ROUND(N($H1183)/(1+$Q1183)*$Q1183,2)))</f>
        <v>0</v>
      </c>
      <c r="T1183" s="36" t="n">
        <f aca="false">ROUND($S1183*N(IFERROR(INDEX(单位档案!$J$6:$J$35,MATCH($E1183,单位档案!$A$6:$A$35,0)),"")),2)</f>
        <v>0</v>
      </c>
      <c r="U1183" s="36" t="n">
        <f aca="false">IF($D1183&lt;&gt;"销项开票",0,ROUND(N($H1183)*N(IFERROR(INDEX(单位档案!$K$6:$K$35,MATCH($E1183,单位档案!$A$6:$A$35,0)),"")),2))</f>
        <v>0</v>
      </c>
      <c r="V1183" s="36" t="n">
        <f aca="false">IF(OR($D1183&lt;&gt;"销项开票",N($Q1183)=0),0,ROUND(N($H1183)/(1+$Q1183)*N(IFERROR(INDEX(单位档案!$L$6:$L$35,MATCH($E1183,单位档案!$A$6:$A$35,0)),"")),2))</f>
        <v>0</v>
      </c>
      <c r="W1183" s="36" t="n">
        <f aca="false">ROUND($S1183+$T1183+$U1183+$V1183,2)</f>
        <v>0</v>
      </c>
      <c r="X1183" s="35" t="str">
        <f aca="false">IF(OR($D1183="挂靠代收",$D1183="我方收款"),COUNTIFS($D$5:$D1183,"挂靠代收")+COUNTIFS($D$5:$D1183,"我方收款"),"")</f>
        <v/>
      </c>
      <c r="Y1183" s="35"/>
      <c r="Z1183" s="21" t="s">
        <v>111</v>
      </c>
    </row>
    <row r="1184" customFormat="false" ht="15.75" hidden="false" customHeight="true" outlineLevel="0" collapsed="false">
      <c r="A1184" s="32" t="str">
        <f aca="false">IF($B1184="","",ROW()-4)</f>
        <v/>
      </c>
      <c r="B1184" s="26"/>
      <c r="C1184" s="24"/>
      <c r="D1184" s="21"/>
      <c r="E1184" s="21"/>
      <c r="F1184" s="21"/>
      <c r="G1184" s="21"/>
      <c r="H1184" s="27"/>
      <c r="I1184" s="23" t="str">
        <f aca="false">IF($D1184&lt;&gt;"销项开票","",IF($N1184="一级",IF(IFERROR(INDEX(项目档案!$E$6:$E$255,MATCH($C1184,项目档案!$A$6:$A$255,0)),"")="",N(IFERROR(INDEX(单位档案!$D$6:$D$35,MATCH($E1184,单位档案!$A$6:$A$35,0)),"")),IFERROR(INDEX(项目档案!$E$6:$E$255,MATCH($C1184,项目档案!$A$6:$A$255,0)),"")),IF($N1184="二级",IF(IFERROR(INDEX(项目档案!$G$6:$G$255,MATCH($C1184,项目档案!$A$6:$A$255,0)),"")="",N(IFERROR(INDEX(单位档案!$D$6:$D$35,MATCH($E1184,单位档案!$A$6:$A$35,0)),"")),IFERROR(INDEX(项目档案!$G$6:$G$255,MATCH($C1184,项目档案!$A$6:$A$255,0)),"")),N(IFERROR(INDEX(单位档案!$D$6:$D$35,MATCH($E1184,单位档案!$A$6:$A$35,0)),"")))))</f>
        <v/>
      </c>
      <c r="J1184" s="22"/>
      <c r="K1184" s="22"/>
      <c r="L1184" s="33" t="str">
        <f aca="false">IF($B1184="","",IF(NOT(ISNUMBER($B1184)),"日期格式不对",IF($C1184="","未选项目编号",IF(LEFT($M1184,1)="⚠","项目编号不存在",IF($D1184="","未选业务类型",IF($E1184="","未选开票/付款方",IF(ISNA(MATCH($E1184,单位档案!$A$6:$A$35,0)),"开票方不在单位档案",IF($F1184="","未选收票/收款方",IF(ISNA(MATCH($F1184,单位档案!$A$6:$A$35,0)),"收款方不在单位档案",IF(NOT(ISNUMBER($H1184)),"金额须为数字",IF(AND($D1184="销项开票",$N1184="—"),"链条待确认","√")))))))))))</f>
        <v/>
      </c>
      <c r="M1184" s="34" t="str">
        <f aca="false">IF($C1184="","",IFERROR(INDEX(项目档案!$B$6:$B$255,MATCH($C1184,项目档案!$A$6:$A$255,0)),"⚠项目编号不存在"))</f>
        <v/>
      </c>
      <c r="N1184" s="35" t="str">
        <f aca="false">IF($E1184="","",IF($E1184=IFERROR(INDEX(项目档案!$D$6:$D$255,MATCH($C1184,项目档案!$A$6:$A$255,0)),""),"一级",IF($E1184=IFERROR(INDEX(项目档案!$F$6:$F$255,MATCH($C1184,项目档案!$A$6:$A$255,0)),""),"二级",IF($E1184=IFERROR(INDEX(项目档案!$H$6:$H$255,MATCH($C1184,项目档案!$A$6:$A$255,0)),""),"我方","—"))))</f>
        <v/>
      </c>
      <c r="O1184" s="36" t="n">
        <f aca="false">IF($D1184&lt;&gt;"销项开票",0,ROUND(N($H1184)*N($I1184),2))</f>
        <v>0</v>
      </c>
      <c r="P1184" s="36" t="n">
        <f aca="false">IF($D1184&lt;&gt;"销项开票",0,ROUND(N($H1184)-$O1184,2))</f>
        <v>0</v>
      </c>
      <c r="Q1184" s="37" t="str">
        <f aca="false">IF($E1184="","",N(IFERROR(INDEX(单位档案!$E$6:$E$35,MATCH($E1184,单位档案!$A$6:$A$35,0)),"")))</f>
        <v/>
      </c>
      <c r="R1184" s="37" t="str">
        <f aca="false">IF($E1184="","",N(IFERROR(INDEX(单位档案!$F$6:$F$35,MATCH($E1184,单位档案!$A$6:$A$35,0)),"")))</f>
        <v/>
      </c>
      <c r="S1184" s="36" t="n">
        <f aca="false">IF(OR($D1184&lt;&gt;"销项开票",IFERROR(INDEX(单位档案!$G$6:$G$35,MATCH($E1184,单位档案!$A$6:$A$35,0)),"")&lt;&gt;"是",N($Q1184)=0),0,IF(IFERROR(INDEX(单位档案!$H$6:$H$35,MATCH($E1184,单位档案!$A$6:$A$35,0)),"")="税差法",ROUND(N($H1184)/(1+$Q1184)*$Q1184-IF(N($R1184)=0,0,$P1184/(1+$R1184)*$R1184),2),ROUND(N($H1184)/(1+$Q1184)*$Q1184,2)))</f>
        <v>0</v>
      </c>
      <c r="T1184" s="36" t="n">
        <f aca="false">ROUND($S1184*N(IFERROR(INDEX(单位档案!$J$6:$J$35,MATCH($E1184,单位档案!$A$6:$A$35,0)),"")),2)</f>
        <v>0</v>
      </c>
      <c r="U1184" s="36" t="n">
        <f aca="false">IF($D1184&lt;&gt;"销项开票",0,ROUND(N($H1184)*N(IFERROR(INDEX(单位档案!$K$6:$K$35,MATCH($E1184,单位档案!$A$6:$A$35,0)),"")),2))</f>
        <v>0</v>
      </c>
      <c r="V1184" s="36" t="n">
        <f aca="false">IF(OR($D1184&lt;&gt;"销项开票",N($Q1184)=0),0,ROUND(N($H1184)/(1+$Q1184)*N(IFERROR(INDEX(单位档案!$L$6:$L$35,MATCH($E1184,单位档案!$A$6:$A$35,0)),"")),2))</f>
        <v>0</v>
      </c>
      <c r="W1184" s="36" t="n">
        <f aca="false">ROUND($S1184+$T1184+$U1184+$V1184,2)</f>
        <v>0</v>
      </c>
      <c r="X1184" s="35" t="str">
        <f aca="false">IF(OR($D1184="挂靠代收",$D1184="我方收款"),COUNTIFS($D$5:$D1184,"挂靠代收")+COUNTIFS($D$5:$D1184,"我方收款"),"")</f>
        <v/>
      </c>
      <c r="Y1184" s="35"/>
      <c r="Z1184" s="21" t="s">
        <v>111</v>
      </c>
    </row>
    <row r="1185" customFormat="false" ht="15.75" hidden="false" customHeight="true" outlineLevel="0" collapsed="false">
      <c r="A1185" s="32" t="str">
        <f aca="false">IF($B1185="","",ROW()-4)</f>
        <v/>
      </c>
      <c r="B1185" s="26"/>
      <c r="C1185" s="24"/>
      <c r="D1185" s="21"/>
      <c r="E1185" s="21"/>
      <c r="F1185" s="21"/>
      <c r="G1185" s="21"/>
      <c r="H1185" s="27"/>
      <c r="I1185" s="23" t="str">
        <f aca="false">IF($D1185&lt;&gt;"销项开票","",IF($N1185="一级",IF(IFERROR(INDEX(项目档案!$E$6:$E$255,MATCH($C1185,项目档案!$A$6:$A$255,0)),"")="",N(IFERROR(INDEX(单位档案!$D$6:$D$35,MATCH($E1185,单位档案!$A$6:$A$35,0)),"")),IFERROR(INDEX(项目档案!$E$6:$E$255,MATCH($C1185,项目档案!$A$6:$A$255,0)),"")),IF($N1185="二级",IF(IFERROR(INDEX(项目档案!$G$6:$G$255,MATCH($C1185,项目档案!$A$6:$A$255,0)),"")="",N(IFERROR(INDEX(单位档案!$D$6:$D$35,MATCH($E1185,单位档案!$A$6:$A$35,0)),"")),IFERROR(INDEX(项目档案!$G$6:$G$255,MATCH($C1185,项目档案!$A$6:$A$255,0)),"")),N(IFERROR(INDEX(单位档案!$D$6:$D$35,MATCH($E1185,单位档案!$A$6:$A$35,0)),"")))))</f>
        <v/>
      </c>
      <c r="J1185" s="22"/>
      <c r="K1185" s="22"/>
      <c r="L1185" s="33" t="str">
        <f aca="false">IF($B1185="","",IF(NOT(ISNUMBER($B1185)),"日期格式不对",IF($C1185="","未选项目编号",IF(LEFT($M1185,1)="⚠","项目编号不存在",IF($D1185="","未选业务类型",IF($E1185="","未选开票/付款方",IF(ISNA(MATCH($E1185,单位档案!$A$6:$A$35,0)),"开票方不在单位档案",IF($F1185="","未选收票/收款方",IF(ISNA(MATCH($F1185,单位档案!$A$6:$A$35,0)),"收款方不在单位档案",IF(NOT(ISNUMBER($H1185)),"金额须为数字",IF(AND($D1185="销项开票",$N1185="—"),"链条待确认","√")))))))))))</f>
        <v/>
      </c>
      <c r="M1185" s="34" t="str">
        <f aca="false">IF($C1185="","",IFERROR(INDEX(项目档案!$B$6:$B$255,MATCH($C1185,项目档案!$A$6:$A$255,0)),"⚠项目编号不存在"))</f>
        <v/>
      </c>
      <c r="N1185" s="35" t="str">
        <f aca="false">IF($E1185="","",IF($E1185=IFERROR(INDEX(项目档案!$D$6:$D$255,MATCH($C1185,项目档案!$A$6:$A$255,0)),""),"一级",IF($E1185=IFERROR(INDEX(项目档案!$F$6:$F$255,MATCH($C1185,项目档案!$A$6:$A$255,0)),""),"二级",IF($E1185=IFERROR(INDEX(项目档案!$H$6:$H$255,MATCH($C1185,项目档案!$A$6:$A$255,0)),""),"我方","—"))))</f>
        <v/>
      </c>
      <c r="O1185" s="36" t="n">
        <f aca="false">IF($D1185&lt;&gt;"销项开票",0,ROUND(N($H1185)*N($I1185),2))</f>
        <v>0</v>
      </c>
      <c r="P1185" s="36" t="n">
        <f aca="false">IF($D1185&lt;&gt;"销项开票",0,ROUND(N($H1185)-$O1185,2))</f>
        <v>0</v>
      </c>
      <c r="Q1185" s="37" t="str">
        <f aca="false">IF($E1185="","",N(IFERROR(INDEX(单位档案!$E$6:$E$35,MATCH($E1185,单位档案!$A$6:$A$35,0)),"")))</f>
        <v/>
      </c>
      <c r="R1185" s="37" t="str">
        <f aca="false">IF($E1185="","",N(IFERROR(INDEX(单位档案!$F$6:$F$35,MATCH($E1185,单位档案!$A$6:$A$35,0)),"")))</f>
        <v/>
      </c>
      <c r="S1185" s="36" t="n">
        <f aca="false">IF(OR($D1185&lt;&gt;"销项开票",IFERROR(INDEX(单位档案!$G$6:$G$35,MATCH($E1185,单位档案!$A$6:$A$35,0)),"")&lt;&gt;"是",N($Q1185)=0),0,IF(IFERROR(INDEX(单位档案!$H$6:$H$35,MATCH($E1185,单位档案!$A$6:$A$35,0)),"")="税差法",ROUND(N($H1185)/(1+$Q1185)*$Q1185-IF(N($R1185)=0,0,$P1185/(1+$R1185)*$R1185),2),ROUND(N($H1185)/(1+$Q1185)*$Q1185,2)))</f>
        <v>0</v>
      </c>
      <c r="T1185" s="36" t="n">
        <f aca="false">ROUND($S1185*N(IFERROR(INDEX(单位档案!$J$6:$J$35,MATCH($E1185,单位档案!$A$6:$A$35,0)),"")),2)</f>
        <v>0</v>
      </c>
      <c r="U1185" s="36" t="n">
        <f aca="false">IF($D1185&lt;&gt;"销项开票",0,ROUND(N($H1185)*N(IFERROR(INDEX(单位档案!$K$6:$K$35,MATCH($E1185,单位档案!$A$6:$A$35,0)),"")),2))</f>
        <v>0</v>
      </c>
      <c r="V1185" s="36" t="n">
        <f aca="false">IF(OR($D1185&lt;&gt;"销项开票",N($Q1185)=0),0,ROUND(N($H1185)/(1+$Q1185)*N(IFERROR(INDEX(单位档案!$L$6:$L$35,MATCH($E1185,单位档案!$A$6:$A$35,0)),"")),2))</f>
        <v>0</v>
      </c>
      <c r="W1185" s="36" t="n">
        <f aca="false">ROUND($S1185+$T1185+$U1185+$V1185,2)</f>
        <v>0</v>
      </c>
      <c r="X1185" s="35" t="str">
        <f aca="false">IF(OR($D1185="挂靠代收",$D1185="我方收款"),COUNTIFS($D$5:$D1185,"挂靠代收")+COUNTIFS($D$5:$D1185,"我方收款"),"")</f>
        <v/>
      </c>
      <c r="Y1185" s="35"/>
      <c r="Z1185" s="21" t="s">
        <v>111</v>
      </c>
    </row>
    <row r="1186" customFormat="false" ht="15.75" hidden="false" customHeight="true" outlineLevel="0" collapsed="false">
      <c r="A1186" s="32" t="str">
        <f aca="false">IF($B1186="","",ROW()-4)</f>
        <v/>
      </c>
      <c r="B1186" s="26"/>
      <c r="C1186" s="24"/>
      <c r="D1186" s="21"/>
      <c r="E1186" s="21"/>
      <c r="F1186" s="21"/>
      <c r="G1186" s="21"/>
      <c r="H1186" s="27"/>
      <c r="I1186" s="23" t="str">
        <f aca="false">IF($D1186&lt;&gt;"销项开票","",IF($N1186="一级",IF(IFERROR(INDEX(项目档案!$E$6:$E$255,MATCH($C1186,项目档案!$A$6:$A$255,0)),"")="",N(IFERROR(INDEX(单位档案!$D$6:$D$35,MATCH($E1186,单位档案!$A$6:$A$35,0)),"")),IFERROR(INDEX(项目档案!$E$6:$E$255,MATCH($C1186,项目档案!$A$6:$A$255,0)),"")),IF($N1186="二级",IF(IFERROR(INDEX(项目档案!$G$6:$G$255,MATCH($C1186,项目档案!$A$6:$A$255,0)),"")="",N(IFERROR(INDEX(单位档案!$D$6:$D$35,MATCH($E1186,单位档案!$A$6:$A$35,0)),"")),IFERROR(INDEX(项目档案!$G$6:$G$255,MATCH($C1186,项目档案!$A$6:$A$255,0)),"")),N(IFERROR(INDEX(单位档案!$D$6:$D$35,MATCH($E1186,单位档案!$A$6:$A$35,0)),"")))))</f>
        <v/>
      </c>
      <c r="J1186" s="22"/>
      <c r="K1186" s="22"/>
      <c r="L1186" s="33" t="str">
        <f aca="false">IF($B1186="","",IF(NOT(ISNUMBER($B1186)),"日期格式不对",IF($C1186="","未选项目编号",IF(LEFT($M1186,1)="⚠","项目编号不存在",IF($D1186="","未选业务类型",IF($E1186="","未选开票/付款方",IF(ISNA(MATCH($E1186,单位档案!$A$6:$A$35,0)),"开票方不在单位档案",IF($F1186="","未选收票/收款方",IF(ISNA(MATCH($F1186,单位档案!$A$6:$A$35,0)),"收款方不在单位档案",IF(NOT(ISNUMBER($H1186)),"金额须为数字",IF(AND($D1186="销项开票",$N1186="—"),"链条待确认","√")))))))))))</f>
        <v/>
      </c>
      <c r="M1186" s="34" t="str">
        <f aca="false">IF($C1186="","",IFERROR(INDEX(项目档案!$B$6:$B$255,MATCH($C1186,项目档案!$A$6:$A$255,0)),"⚠项目编号不存在"))</f>
        <v/>
      </c>
      <c r="N1186" s="35" t="str">
        <f aca="false">IF($E1186="","",IF($E1186=IFERROR(INDEX(项目档案!$D$6:$D$255,MATCH($C1186,项目档案!$A$6:$A$255,0)),""),"一级",IF($E1186=IFERROR(INDEX(项目档案!$F$6:$F$255,MATCH($C1186,项目档案!$A$6:$A$255,0)),""),"二级",IF($E1186=IFERROR(INDEX(项目档案!$H$6:$H$255,MATCH($C1186,项目档案!$A$6:$A$255,0)),""),"我方","—"))))</f>
        <v/>
      </c>
      <c r="O1186" s="36" t="n">
        <f aca="false">IF($D1186&lt;&gt;"销项开票",0,ROUND(N($H1186)*N($I1186),2))</f>
        <v>0</v>
      </c>
      <c r="P1186" s="36" t="n">
        <f aca="false">IF($D1186&lt;&gt;"销项开票",0,ROUND(N($H1186)-$O1186,2))</f>
        <v>0</v>
      </c>
      <c r="Q1186" s="37" t="str">
        <f aca="false">IF($E1186="","",N(IFERROR(INDEX(单位档案!$E$6:$E$35,MATCH($E1186,单位档案!$A$6:$A$35,0)),"")))</f>
        <v/>
      </c>
      <c r="R1186" s="37" t="str">
        <f aca="false">IF($E1186="","",N(IFERROR(INDEX(单位档案!$F$6:$F$35,MATCH($E1186,单位档案!$A$6:$A$35,0)),"")))</f>
        <v/>
      </c>
      <c r="S1186" s="36" t="n">
        <f aca="false">IF(OR($D1186&lt;&gt;"销项开票",IFERROR(INDEX(单位档案!$G$6:$G$35,MATCH($E1186,单位档案!$A$6:$A$35,0)),"")&lt;&gt;"是",N($Q1186)=0),0,IF(IFERROR(INDEX(单位档案!$H$6:$H$35,MATCH($E1186,单位档案!$A$6:$A$35,0)),"")="税差法",ROUND(N($H1186)/(1+$Q1186)*$Q1186-IF(N($R1186)=0,0,$P1186/(1+$R1186)*$R1186),2),ROUND(N($H1186)/(1+$Q1186)*$Q1186,2)))</f>
        <v>0</v>
      </c>
      <c r="T1186" s="36" t="n">
        <f aca="false">ROUND($S1186*N(IFERROR(INDEX(单位档案!$J$6:$J$35,MATCH($E1186,单位档案!$A$6:$A$35,0)),"")),2)</f>
        <v>0</v>
      </c>
      <c r="U1186" s="36" t="n">
        <f aca="false">IF($D1186&lt;&gt;"销项开票",0,ROUND(N($H1186)*N(IFERROR(INDEX(单位档案!$K$6:$K$35,MATCH($E1186,单位档案!$A$6:$A$35,0)),"")),2))</f>
        <v>0</v>
      </c>
      <c r="V1186" s="36" t="n">
        <f aca="false">IF(OR($D1186&lt;&gt;"销项开票",N($Q1186)=0),0,ROUND(N($H1186)/(1+$Q1186)*N(IFERROR(INDEX(单位档案!$L$6:$L$35,MATCH($E1186,单位档案!$A$6:$A$35,0)),"")),2))</f>
        <v>0</v>
      </c>
      <c r="W1186" s="36" t="n">
        <f aca="false">ROUND($S1186+$T1186+$U1186+$V1186,2)</f>
        <v>0</v>
      </c>
      <c r="X1186" s="35" t="str">
        <f aca="false">IF(OR($D1186="挂靠代收",$D1186="我方收款"),COUNTIFS($D$5:$D1186,"挂靠代收")+COUNTIFS($D$5:$D1186,"我方收款"),"")</f>
        <v/>
      </c>
      <c r="Y1186" s="35"/>
      <c r="Z1186" s="21" t="s">
        <v>111</v>
      </c>
    </row>
    <row r="1187" customFormat="false" ht="15.75" hidden="false" customHeight="true" outlineLevel="0" collapsed="false">
      <c r="A1187" s="32" t="str">
        <f aca="false">IF($B1187="","",ROW()-4)</f>
        <v/>
      </c>
      <c r="B1187" s="26"/>
      <c r="C1187" s="24"/>
      <c r="D1187" s="21"/>
      <c r="E1187" s="21"/>
      <c r="F1187" s="21"/>
      <c r="G1187" s="21"/>
      <c r="H1187" s="27"/>
      <c r="I1187" s="23" t="str">
        <f aca="false">IF($D1187&lt;&gt;"销项开票","",IF($N1187="一级",IF(IFERROR(INDEX(项目档案!$E$6:$E$255,MATCH($C1187,项目档案!$A$6:$A$255,0)),"")="",N(IFERROR(INDEX(单位档案!$D$6:$D$35,MATCH($E1187,单位档案!$A$6:$A$35,0)),"")),IFERROR(INDEX(项目档案!$E$6:$E$255,MATCH($C1187,项目档案!$A$6:$A$255,0)),"")),IF($N1187="二级",IF(IFERROR(INDEX(项目档案!$G$6:$G$255,MATCH($C1187,项目档案!$A$6:$A$255,0)),"")="",N(IFERROR(INDEX(单位档案!$D$6:$D$35,MATCH($E1187,单位档案!$A$6:$A$35,0)),"")),IFERROR(INDEX(项目档案!$G$6:$G$255,MATCH($C1187,项目档案!$A$6:$A$255,0)),"")),N(IFERROR(INDEX(单位档案!$D$6:$D$35,MATCH($E1187,单位档案!$A$6:$A$35,0)),"")))))</f>
        <v/>
      </c>
      <c r="J1187" s="22"/>
      <c r="K1187" s="22"/>
      <c r="L1187" s="33" t="str">
        <f aca="false">IF($B1187="","",IF(NOT(ISNUMBER($B1187)),"日期格式不对",IF($C1187="","未选项目编号",IF(LEFT($M1187,1)="⚠","项目编号不存在",IF($D1187="","未选业务类型",IF($E1187="","未选开票/付款方",IF(ISNA(MATCH($E1187,单位档案!$A$6:$A$35,0)),"开票方不在单位档案",IF($F1187="","未选收票/收款方",IF(ISNA(MATCH($F1187,单位档案!$A$6:$A$35,0)),"收款方不在单位档案",IF(NOT(ISNUMBER($H1187)),"金额须为数字",IF(AND($D1187="销项开票",$N1187="—"),"链条待确认","√")))))))))))</f>
        <v/>
      </c>
      <c r="M1187" s="34" t="str">
        <f aca="false">IF($C1187="","",IFERROR(INDEX(项目档案!$B$6:$B$255,MATCH($C1187,项目档案!$A$6:$A$255,0)),"⚠项目编号不存在"))</f>
        <v/>
      </c>
      <c r="N1187" s="35" t="str">
        <f aca="false">IF($E1187="","",IF($E1187=IFERROR(INDEX(项目档案!$D$6:$D$255,MATCH($C1187,项目档案!$A$6:$A$255,0)),""),"一级",IF($E1187=IFERROR(INDEX(项目档案!$F$6:$F$255,MATCH($C1187,项目档案!$A$6:$A$255,0)),""),"二级",IF($E1187=IFERROR(INDEX(项目档案!$H$6:$H$255,MATCH($C1187,项目档案!$A$6:$A$255,0)),""),"我方","—"))))</f>
        <v/>
      </c>
      <c r="O1187" s="36" t="n">
        <f aca="false">IF($D1187&lt;&gt;"销项开票",0,ROUND(N($H1187)*N($I1187),2))</f>
        <v>0</v>
      </c>
      <c r="P1187" s="36" t="n">
        <f aca="false">IF($D1187&lt;&gt;"销项开票",0,ROUND(N($H1187)-$O1187,2))</f>
        <v>0</v>
      </c>
      <c r="Q1187" s="37" t="str">
        <f aca="false">IF($E1187="","",N(IFERROR(INDEX(单位档案!$E$6:$E$35,MATCH($E1187,单位档案!$A$6:$A$35,0)),"")))</f>
        <v/>
      </c>
      <c r="R1187" s="37" t="str">
        <f aca="false">IF($E1187="","",N(IFERROR(INDEX(单位档案!$F$6:$F$35,MATCH($E1187,单位档案!$A$6:$A$35,0)),"")))</f>
        <v/>
      </c>
      <c r="S1187" s="36" t="n">
        <f aca="false">IF(OR($D1187&lt;&gt;"销项开票",IFERROR(INDEX(单位档案!$G$6:$G$35,MATCH($E1187,单位档案!$A$6:$A$35,0)),"")&lt;&gt;"是",N($Q1187)=0),0,IF(IFERROR(INDEX(单位档案!$H$6:$H$35,MATCH($E1187,单位档案!$A$6:$A$35,0)),"")="税差法",ROUND(N($H1187)/(1+$Q1187)*$Q1187-IF(N($R1187)=0,0,$P1187/(1+$R1187)*$R1187),2),ROUND(N($H1187)/(1+$Q1187)*$Q1187,2)))</f>
        <v>0</v>
      </c>
      <c r="T1187" s="36" t="n">
        <f aca="false">ROUND($S1187*N(IFERROR(INDEX(单位档案!$J$6:$J$35,MATCH($E1187,单位档案!$A$6:$A$35,0)),"")),2)</f>
        <v>0</v>
      </c>
      <c r="U1187" s="36" t="n">
        <f aca="false">IF($D1187&lt;&gt;"销项开票",0,ROUND(N($H1187)*N(IFERROR(INDEX(单位档案!$K$6:$K$35,MATCH($E1187,单位档案!$A$6:$A$35,0)),"")),2))</f>
        <v>0</v>
      </c>
      <c r="V1187" s="36" t="n">
        <f aca="false">IF(OR($D1187&lt;&gt;"销项开票",N($Q1187)=0),0,ROUND(N($H1187)/(1+$Q1187)*N(IFERROR(INDEX(单位档案!$L$6:$L$35,MATCH($E1187,单位档案!$A$6:$A$35,0)),"")),2))</f>
        <v>0</v>
      </c>
      <c r="W1187" s="36" t="n">
        <f aca="false">ROUND($S1187+$T1187+$U1187+$V1187,2)</f>
        <v>0</v>
      </c>
      <c r="X1187" s="35" t="str">
        <f aca="false">IF(OR($D1187="挂靠代收",$D1187="我方收款"),COUNTIFS($D$5:$D1187,"挂靠代收")+COUNTIFS($D$5:$D1187,"我方收款"),"")</f>
        <v/>
      </c>
      <c r="Y1187" s="35"/>
      <c r="Z1187" s="21" t="s">
        <v>111</v>
      </c>
    </row>
    <row r="1188" customFormat="false" ht="15.75" hidden="false" customHeight="true" outlineLevel="0" collapsed="false">
      <c r="A1188" s="32" t="str">
        <f aca="false">IF($B1188="","",ROW()-4)</f>
        <v/>
      </c>
      <c r="B1188" s="26"/>
      <c r="C1188" s="24"/>
      <c r="D1188" s="21"/>
      <c r="E1188" s="21"/>
      <c r="F1188" s="21"/>
      <c r="G1188" s="21"/>
      <c r="H1188" s="27"/>
      <c r="I1188" s="23" t="str">
        <f aca="false">IF($D1188&lt;&gt;"销项开票","",IF($N1188="一级",IF(IFERROR(INDEX(项目档案!$E$6:$E$255,MATCH($C1188,项目档案!$A$6:$A$255,0)),"")="",N(IFERROR(INDEX(单位档案!$D$6:$D$35,MATCH($E1188,单位档案!$A$6:$A$35,0)),"")),IFERROR(INDEX(项目档案!$E$6:$E$255,MATCH($C1188,项目档案!$A$6:$A$255,0)),"")),IF($N1188="二级",IF(IFERROR(INDEX(项目档案!$G$6:$G$255,MATCH($C1188,项目档案!$A$6:$A$255,0)),"")="",N(IFERROR(INDEX(单位档案!$D$6:$D$35,MATCH($E1188,单位档案!$A$6:$A$35,0)),"")),IFERROR(INDEX(项目档案!$G$6:$G$255,MATCH($C1188,项目档案!$A$6:$A$255,0)),"")),N(IFERROR(INDEX(单位档案!$D$6:$D$35,MATCH($E1188,单位档案!$A$6:$A$35,0)),"")))))</f>
        <v/>
      </c>
      <c r="J1188" s="22"/>
      <c r="K1188" s="22"/>
      <c r="L1188" s="33" t="str">
        <f aca="false">IF($B1188="","",IF(NOT(ISNUMBER($B1188)),"日期格式不对",IF($C1188="","未选项目编号",IF(LEFT($M1188,1)="⚠","项目编号不存在",IF($D1188="","未选业务类型",IF($E1188="","未选开票/付款方",IF(ISNA(MATCH($E1188,单位档案!$A$6:$A$35,0)),"开票方不在单位档案",IF($F1188="","未选收票/收款方",IF(ISNA(MATCH($F1188,单位档案!$A$6:$A$35,0)),"收款方不在单位档案",IF(NOT(ISNUMBER($H1188)),"金额须为数字",IF(AND($D1188="销项开票",$N1188="—"),"链条待确认","√")))))))))))</f>
        <v/>
      </c>
      <c r="M1188" s="34" t="str">
        <f aca="false">IF($C1188="","",IFERROR(INDEX(项目档案!$B$6:$B$255,MATCH($C1188,项目档案!$A$6:$A$255,0)),"⚠项目编号不存在"))</f>
        <v/>
      </c>
      <c r="N1188" s="35" t="str">
        <f aca="false">IF($E1188="","",IF($E1188=IFERROR(INDEX(项目档案!$D$6:$D$255,MATCH($C1188,项目档案!$A$6:$A$255,0)),""),"一级",IF($E1188=IFERROR(INDEX(项目档案!$F$6:$F$255,MATCH($C1188,项目档案!$A$6:$A$255,0)),""),"二级",IF($E1188=IFERROR(INDEX(项目档案!$H$6:$H$255,MATCH($C1188,项目档案!$A$6:$A$255,0)),""),"我方","—"))))</f>
        <v/>
      </c>
      <c r="O1188" s="36" t="n">
        <f aca="false">IF($D1188&lt;&gt;"销项开票",0,ROUND(N($H1188)*N($I1188),2))</f>
        <v>0</v>
      </c>
      <c r="P1188" s="36" t="n">
        <f aca="false">IF($D1188&lt;&gt;"销项开票",0,ROUND(N($H1188)-$O1188,2))</f>
        <v>0</v>
      </c>
      <c r="Q1188" s="37" t="str">
        <f aca="false">IF($E1188="","",N(IFERROR(INDEX(单位档案!$E$6:$E$35,MATCH($E1188,单位档案!$A$6:$A$35,0)),"")))</f>
        <v/>
      </c>
      <c r="R1188" s="37" t="str">
        <f aca="false">IF($E1188="","",N(IFERROR(INDEX(单位档案!$F$6:$F$35,MATCH($E1188,单位档案!$A$6:$A$35,0)),"")))</f>
        <v/>
      </c>
      <c r="S1188" s="36" t="n">
        <f aca="false">IF(OR($D1188&lt;&gt;"销项开票",IFERROR(INDEX(单位档案!$G$6:$G$35,MATCH($E1188,单位档案!$A$6:$A$35,0)),"")&lt;&gt;"是",N($Q1188)=0),0,IF(IFERROR(INDEX(单位档案!$H$6:$H$35,MATCH($E1188,单位档案!$A$6:$A$35,0)),"")="税差法",ROUND(N($H1188)/(1+$Q1188)*$Q1188-IF(N($R1188)=0,0,$P1188/(1+$R1188)*$R1188),2),ROUND(N($H1188)/(1+$Q1188)*$Q1188,2)))</f>
        <v>0</v>
      </c>
      <c r="T1188" s="36" t="n">
        <f aca="false">ROUND($S1188*N(IFERROR(INDEX(单位档案!$J$6:$J$35,MATCH($E1188,单位档案!$A$6:$A$35,0)),"")),2)</f>
        <v>0</v>
      </c>
      <c r="U1188" s="36" t="n">
        <f aca="false">IF($D1188&lt;&gt;"销项开票",0,ROUND(N($H1188)*N(IFERROR(INDEX(单位档案!$K$6:$K$35,MATCH($E1188,单位档案!$A$6:$A$35,0)),"")),2))</f>
        <v>0</v>
      </c>
      <c r="V1188" s="36" t="n">
        <f aca="false">IF(OR($D1188&lt;&gt;"销项开票",N($Q1188)=0),0,ROUND(N($H1188)/(1+$Q1188)*N(IFERROR(INDEX(单位档案!$L$6:$L$35,MATCH($E1188,单位档案!$A$6:$A$35,0)),"")),2))</f>
        <v>0</v>
      </c>
      <c r="W1188" s="36" t="n">
        <f aca="false">ROUND($S1188+$T1188+$U1188+$V1188,2)</f>
        <v>0</v>
      </c>
      <c r="X1188" s="35" t="str">
        <f aca="false">IF(OR($D1188="挂靠代收",$D1188="我方收款"),COUNTIFS($D$5:$D1188,"挂靠代收")+COUNTIFS($D$5:$D1188,"我方收款"),"")</f>
        <v/>
      </c>
      <c r="Y1188" s="35"/>
      <c r="Z1188" s="21" t="s">
        <v>111</v>
      </c>
    </row>
    <row r="1189" customFormat="false" ht="15.75" hidden="false" customHeight="true" outlineLevel="0" collapsed="false">
      <c r="A1189" s="32" t="str">
        <f aca="false">IF($B1189="","",ROW()-4)</f>
        <v/>
      </c>
      <c r="B1189" s="26"/>
      <c r="C1189" s="24"/>
      <c r="D1189" s="21"/>
      <c r="E1189" s="21"/>
      <c r="F1189" s="21"/>
      <c r="G1189" s="21"/>
      <c r="H1189" s="27"/>
      <c r="I1189" s="23" t="str">
        <f aca="false">IF($D1189&lt;&gt;"销项开票","",IF($N1189="一级",IF(IFERROR(INDEX(项目档案!$E$6:$E$255,MATCH($C1189,项目档案!$A$6:$A$255,0)),"")="",N(IFERROR(INDEX(单位档案!$D$6:$D$35,MATCH($E1189,单位档案!$A$6:$A$35,0)),"")),IFERROR(INDEX(项目档案!$E$6:$E$255,MATCH($C1189,项目档案!$A$6:$A$255,0)),"")),IF($N1189="二级",IF(IFERROR(INDEX(项目档案!$G$6:$G$255,MATCH($C1189,项目档案!$A$6:$A$255,0)),"")="",N(IFERROR(INDEX(单位档案!$D$6:$D$35,MATCH($E1189,单位档案!$A$6:$A$35,0)),"")),IFERROR(INDEX(项目档案!$G$6:$G$255,MATCH($C1189,项目档案!$A$6:$A$255,0)),"")),N(IFERROR(INDEX(单位档案!$D$6:$D$35,MATCH($E1189,单位档案!$A$6:$A$35,0)),"")))))</f>
        <v/>
      </c>
      <c r="J1189" s="22"/>
      <c r="K1189" s="22"/>
      <c r="L1189" s="33" t="str">
        <f aca="false">IF($B1189="","",IF(NOT(ISNUMBER($B1189)),"日期格式不对",IF($C1189="","未选项目编号",IF(LEFT($M1189,1)="⚠","项目编号不存在",IF($D1189="","未选业务类型",IF($E1189="","未选开票/付款方",IF(ISNA(MATCH($E1189,单位档案!$A$6:$A$35,0)),"开票方不在单位档案",IF($F1189="","未选收票/收款方",IF(ISNA(MATCH($F1189,单位档案!$A$6:$A$35,0)),"收款方不在单位档案",IF(NOT(ISNUMBER($H1189)),"金额须为数字",IF(AND($D1189="销项开票",$N1189="—"),"链条待确认","√")))))))))))</f>
        <v/>
      </c>
      <c r="M1189" s="34" t="str">
        <f aca="false">IF($C1189="","",IFERROR(INDEX(项目档案!$B$6:$B$255,MATCH($C1189,项目档案!$A$6:$A$255,0)),"⚠项目编号不存在"))</f>
        <v/>
      </c>
      <c r="N1189" s="35" t="str">
        <f aca="false">IF($E1189="","",IF($E1189=IFERROR(INDEX(项目档案!$D$6:$D$255,MATCH($C1189,项目档案!$A$6:$A$255,0)),""),"一级",IF($E1189=IFERROR(INDEX(项目档案!$F$6:$F$255,MATCH($C1189,项目档案!$A$6:$A$255,0)),""),"二级",IF($E1189=IFERROR(INDEX(项目档案!$H$6:$H$255,MATCH($C1189,项目档案!$A$6:$A$255,0)),""),"我方","—"))))</f>
        <v/>
      </c>
      <c r="O1189" s="36" t="n">
        <f aca="false">IF($D1189&lt;&gt;"销项开票",0,ROUND(N($H1189)*N($I1189),2))</f>
        <v>0</v>
      </c>
      <c r="P1189" s="36" t="n">
        <f aca="false">IF($D1189&lt;&gt;"销项开票",0,ROUND(N($H1189)-$O1189,2))</f>
        <v>0</v>
      </c>
      <c r="Q1189" s="37" t="str">
        <f aca="false">IF($E1189="","",N(IFERROR(INDEX(单位档案!$E$6:$E$35,MATCH($E1189,单位档案!$A$6:$A$35,0)),"")))</f>
        <v/>
      </c>
      <c r="R1189" s="37" t="str">
        <f aca="false">IF($E1189="","",N(IFERROR(INDEX(单位档案!$F$6:$F$35,MATCH($E1189,单位档案!$A$6:$A$35,0)),"")))</f>
        <v/>
      </c>
      <c r="S1189" s="36" t="n">
        <f aca="false">IF(OR($D1189&lt;&gt;"销项开票",IFERROR(INDEX(单位档案!$G$6:$G$35,MATCH($E1189,单位档案!$A$6:$A$35,0)),"")&lt;&gt;"是",N($Q1189)=0),0,IF(IFERROR(INDEX(单位档案!$H$6:$H$35,MATCH($E1189,单位档案!$A$6:$A$35,0)),"")="税差法",ROUND(N($H1189)/(1+$Q1189)*$Q1189-IF(N($R1189)=0,0,$P1189/(1+$R1189)*$R1189),2),ROUND(N($H1189)/(1+$Q1189)*$Q1189,2)))</f>
        <v>0</v>
      </c>
      <c r="T1189" s="36" t="n">
        <f aca="false">ROUND($S1189*N(IFERROR(INDEX(单位档案!$J$6:$J$35,MATCH($E1189,单位档案!$A$6:$A$35,0)),"")),2)</f>
        <v>0</v>
      </c>
      <c r="U1189" s="36" t="n">
        <f aca="false">IF($D1189&lt;&gt;"销项开票",0,ROUND(N($H1189)*N(IFERROR(INDEX(单位档案!$K$6:$K$35,MATCH($E1189,单位档案!$A$6:$A$35,0)),"")),2))</f>
        <v>0</v>
      </c>
      <c r="V1189" s="36" t="n">
        <f aca="false">IF(OR($D1189&lt;&gt;"销项开票",N($Q1189)=0),0,ROUND(N($H1189)/(1+$Q1189)*N(IFERROR(INDEX(单位档案!$L$6:$L$35,MATCH($E1189,单位档案!$A$6:$A$35,0)),"")),2))</f>
        <v>0</v>
      </c>
      <c r="W1189" s="36" t="n">
        <f aca="false">ROUND($S1189+$T1189+$U1189+$V1189,2)</f>
        <v>0</v>
      </c>
      <c r="X1189" s="35" t="str">
        <f aca="false">IF(OR($D1189="挂靠代收",$D1189="我方收款"),COUNTIFS($D$5:$D1189,"挂靠代收")+COUNTIFS($D$5:$D1189,"我方收款"),"")</f>
        <v/>
      </c>
      <c r="Y1189" s="35"/>
      <c r="Z1189" s="21" t="s">
        <v>111</v>
      </c>
    </row>
    <row r="1190" customFormat="false" ht="15.75" hidden="false" customHeight="true" outlineLevel="0" collapsed="false">
      <c r="A1190" s="32" t="str">
        <f aca="false">IF($B1190="","",ROW()-4)</f>
        <v/>
      </c>
      <c r="B1190" s="26"/>
      <c r="C1190" s="24"/>
      <c r="D1190" s="21"/>
      <c r="E1190" s="21"/>
      <c r="F1190" s="21"/>
      <c r="G1190" s="21"/>
      <c r="H1190" s="27"/>
      <c r="I1190" s="23" t="str">
        <f aca="false">IF($D1190&lt;&gt;"销项开票","",IF($N1190="一级",IF(IFERROR(INDEX(项目档案!$E$6:$E$255,MATCH($C1190,项目档案!$A$6:$A$255,0)),"")="",N(IFERROR(INDEX(单位档案!$D$6:$D$35,MATCH($E1190,单位档案!$A$6:$A$35,0)),"")),IFERROR(INDEX(项目档案!$E$6:$E$255,MATCH($C1190,项目档案!$A$6:$A$255,0)),"")),IF($N1190="二级",IF(IFERROR(INDEX(项目档案!$G$6:$G$255,MATCH($C1190,项目档案!$A$6:$A$255,0)),"")="",N(IFERROR(INDEX(单位档案!$D$6:$D$35,MATCH($E1190,单位档案!$A$6:$A$35,0)),"")),IFERROR(INDEX(项目档案!$G$6:$G$255,MATCH($C1190,项目档案!$A$6:$A$255,0)),"")),N(IFERROR(INDEX(单位档案!$D$6:$D$35,MATCH($E1190,单位档案!$A$6:$A$35,0)),"")))))</f>
        <v/>
      </c>
      <c r="J1190" s="22"/>
      <c r="K1190" s="22"/>
      <c r="L1190" s="33" t="str">
        <f aca="false">IF($B1190="","",IF(NOT(ISNUMBER($B1190)),"日期格式不对",IF($C1190="","未选项目编号",IF(LEFT($M1190,1)="⚠","项目编号不存在",IF($D1190="","未选业务类型",IF($E1190="","未选开票/付款方",IF(ISNA(MATCH($E1190,单位档案!$A$6:$A$35,0)),"开票方不在单位档案",IF($F1190="","未选收票/收款方",IF(ISNA(MATCH($F1190,单位档案!$A$6:$A$35,0)),"收款方不在单位档案",IF(NOT(ISNUMBER($H1190)),"金额须为数字",IF(AND($D1190="销项开票",$N1190="—"),"链条待确认","√")))))))))))</f>
        <v/>
      </c>
      <c r="M1190" s="34" t="str">
        <f aca="false">IF($C1190="","",IFERROR(INDEX(项目档案!$B$6:$B$255,MATCH($C1190,项目档案!$A$6:$A$255,0)),"⚠项目编号不存在"))</f>
        <v/>
      </c>
      <c r="N1190" s="35" t="str">
        <f aca="false">IF($E1190="","",IF($E1190=IFERROR(INDEX(项目档案!$D$6:$D$255,MATCH($C1190,项目档案!$A$6:$A$255,0)),""),"一级",IF($E1190=IFERROR(INDEX(项目档案!$F$6:$F$255,MATCH($C1190,项目档案!$A$6:$A$255,0)),""),"二级",IF($E1190=IFERROR(INDEX(项目档案!$H$6:$H$255,MATCH($C1190,项目档案!$A$6:$A$255,0)),""),"我方","—"))))</f>
        <v/>
      </c>
      <c r="O1190" s="36" t="n">
        <f aca="false">IF($D1190&lt;&gt;"销项开票",0,ROUND(N($H1190)*N($I1190),2))</f>
        <v>0</v>
      </c>
      <c r="P1190" s="36" t="n">
        <f aca="false">IF($D1190&lt;&gt;"销项开票",0,ROUND(N($H1190)-$O1190,2))</f>
        <v>0</v>
      </c>
      <c r="Q1190" s="37" t="str">
        <f aca="false">IF($E1190="","",N(IFERROR(INDEX(单位档案!$E$6:$E$35,MATCH($E1190,单位档案!$A$6:$A$35,0)),"")))</f>
        <v/>
      </c>
      <c r="R1190" s="37" t="str">
        <f aca="false">IF($E1190="","",N(IFERROR(INDEX(单位档案!$F$6:$F$35,MATCH($E1190,单位档案!$A$6:$A$35,0)),"")))</f>
        <v/>
      </c>
      <c r="S1190" s="36" t="n">
        <f aca="false">IF(OR($D1190&lt;&gt;"销项开票",IFERROR(INDEX(单位档案!$G$6:$G$35,MATCH($E1190,单位档案!$A$6:$A$35,0)),"")&lt;&gt;"是",N($Q1190)=0),0,IF(IFERROR(INDEX(单位档案!$H$6:$H$35,MATCH($E1190,单位档案!$A$6:$A$35,0)),"")="税差法",ROUND(N($H1190)/(1+$Q1190)*$Q1190-IF(N($R1190)=0,0,$P1190/(1+$R1190)*$R1190),2),ROUND(N($H1190)/(1+$Q1190)*$Q1190,2)))</f>
        <v>0</v>
      </c>
      <c r="T1190" s="36" t="n">
        <f aca="false">ROUND($S1190*N(IFERROR(INDEX(单位档案!$J$6:$J$35,MATCH($E1190,单位档案!$A$6:$A$35,0)),"")),2)</f>
        <v>0</v>
      </c>
      <c r="U1190" s="36" t="n">
        <f aca="false">IF($D1190&lt;&gt;"销项开票",0,ROUND(N($H1190)*N(IFERROR(INDEX(单位档案!$K$6:$K$35,MATCH($E1190,单位档案!$A$6:$A$35,0)),"")),2))</f>
        <v>0</v>
      </c>
      <c r="V1190" s="36" t="n">
        <f aca="false">IF(OR($D1190&lt;&gt;"销项开票",N($Q1190)=0),0,ROUND(N($H1190)/(1+$Q1190)*N(IFERROR(INDEX(单位档案!$L$6:$L$35,MATCH($E1190,单位档案!$A$6:$A$35,0)),"")),2))</f>
        <v>0</v>
      </c>
      <c r="W1190" s="36" t="n">
        <f aca="false">ROUND($S1190+$T1190+$U1190+$V1190,2)</f>
        <v>0</v>
      </c>
      <c r="X1190" s="35" t="str">
        <f aca="false">IF(OR($D1190="挂靠代收",$D1190="我方收款"),COUNTIFS($D$5:$D1190,"挂靠代收")+COUNTIFS($D$5:$D1190,"我方收款"),"")</f>
        <v/>
      </c>
      <c r="Y1190" s="35"/>
      <c r="Z1190" s="21" t="s">
        <v>111</v>
      </c>
    </row>
    <row r="1191" customFormat="false" ht="15.75" hidden="false" customHeight="true" outlineLevel="0" collapsed="false">
      <c r="A1191" s="32" t="str">
        <f aca="false">IF($B1191="","",ROW()-4)</f>
        <v/>
      </c>
      <c r="B1191" s="26"/>
      <c r="C1191" s="24"/>
      <c r="D1191" s="21"/>
      <c r="E1191" s="21"/>
      <c r="F1191" s="21"/>
      <c r="G1191" s="21"/>
      <c r="H1191" s="27"/>
      <c r="I1191" s="23" t="str">
        <f aca="false">IF($D1191&lt;&gt;"销项开票","",IF($N1191="一级",IF(IFERROR(INDEX(项目档案!$E$6:$E$255,MATCH($C1191,项目档案!$A$6:$A$255,0)),"")="",N(IFERROR(INDEX(单位档案!$D$6:$D$35,MATCH($E1191,单位档案!$A$6:$A$35,0)),"")),IFERROR(INDEX(项目档案!$E$6:$E$255,MATCH($C1191,项目档案!$A$6:$A$255,0)),"")),IF($N1191="二级",IF(IFERROR(INDEX(项目档案!$G$6:$G$255,MATCH($C1191,项目档案!$A$6:$A$255,0)),"")="",N(IFERROR(INDEX(单位档案!$D$6:$D$35,MATCH($E1191,单位档案!$A$6:$A$35,0)),"")),IFERROR(INDEX(项目档案!$G$6:$G$255,MATCH($C1191,项目档案!$A$6:$A$255,0)),"")),N(IFERROR(INDEX(单位档案!$D$6:$D$35,MATCH($E1191,单位档案!$A$6:$A$35,0)),"")))))</f>
        <v/>
      </c>
      <c r="J1191" s="22"/>
      <c r="K1191" s="22"/>
      <c r="L1191" s="33" t="str">
        <f aca="false">IF($B1191="","",IF(NOT(ISNUMBER($B1191)),"日期格式不对",IF($C1191="","未选项目编号",IF(LEFT($M1191,1)="⚠","项目编号不存在",IF($D1191="","未选业务类型",IF($E1191="","未选开票/付款方",IF(ISNA(MATCH($E1191,单位档案!$A$6:$A$35,0)),"开票方不在单位档案",IF($F1191="","未选收票/收款方",IF(ISNA(MATCH($F1191,单位档案!$A$6:$A$35,0)),"收款方不在单位档案",IF(NOT(ISNUMBER($H1191)),"金额须为数字",IF(AND($D1191="销项开票",$N1191="—"),"链条待确认","√")))))))))))</f>
        <v/>
      </c>
      <c r="M1191" s="34" t="str">
        <f aca="false">IF($C1191="","",IFERROR(INDEX(项目档案!$B$6:$B$255,MATCH($C1191,项目档案!$A$6:$A$255,0)),"⚠项目编号不存在"))</f>
        <v/>
      </c>
      <c r="N1191" s="35" t="str">
        <f aca="false">IF($E1191="","",IF($E1191=IFERROR(INDEX(项目档案!$D$6:$D$255,MATCH($C1191,项目档案!$A$6:$A$255,0)),""),"一级",IF($E1191=IFERROR(INDEX(项目档案!$F$6:$F$255,MATCH($C1191,项目档案!$A$6:$A$255,0)),""),"二级",IF($E1191=IFERROR(INDEX(项目档案!$H$6:$H$255,MATCH($C1191,项目档案!$A$6:$A$255,0)),""),"我方","—"))))</f>
        <v/>
      </c>
      <c r="O1191" s="36" t="n">
        <f aca="false">IF($D1191&lt;&gt;"销项开票",0,ROUND(N($H1191)*N($I1191),2))</f>
        <v>0</v>
      </c>
      <c r="P1191" s="36" t="n">
        <f aca="false">IF($D1191&lt;&gt;"销项开票",0,ROUND(N($H1191)-$O1191,2))</f>
        <v>0</v>
      </c>
      <c r="Q1191" s="37" t="str">
        <f aca="false">IF($E1191="","",N(IFERROR(INDEX(单位档案!$E$6:$E$35,MATCH($E1191,单位档案!$A$6:$A$35,0)),"")))</f>
        <v/>
      </c>
      <c r="R1191" s="37" t="str">
        <f aca="false">IF($E1191="","",N(IFERROR(INDEX(单位档案!$F$6:$F$35,MATCH($E1191,单位档案!$A$6:$A$35,0)),"")))</f>
        <v/>
      </c>
      <c r="S1191" s="36" t="n">
        <f aca="false">IF(OR($D1191&lt;&gt;"销项开票",IFERROR(INDEX(单位档案!$G$6:$G$35,MATCH($E1191,单位档案!$A$6:$A$35,0)),"")&lt;&gt;"是",N($Q1191)=0),0,IF(IFERROR(INDEX(单位档案!$H$6:$H$35,MATCH($E1191,单位档案!$A$6:$A$35,0)),"")="税差法",ROUND(N($H1191)/(1+$Q1191)*$Q1191-IF(N($R1191)=0,0,$P1191/(1+$R1191)*$R1191),2),ROUND(N($H1191)/(1+$Q1191)*$Q1191,2)))</f>
        <v>0</v>
      </c>
      <c r="T1191" s="36" t="n">
        <f aca="false">ROUND($S1191*N(IFERROR(INDEX(单位档案!$J$6:$J$35,MATCH($E1191,单位档案!$A$6:$A$35,0)),"")),2)</f>
        <v>0</v>
      </c>
      <c r="U1191" s="36" t="n">
        <f aca="false">IF($D1191&lt;&gt;"销项开票",0,ROUND(N($H1191)*N(IFERROR(INDEX(单位档案!$K$6:$K$35,MATCH($E1191,单位档案!$A$6:$A$35,0)),"")),2))</f>
        <v>0</v>
      </c>
      <c r="V1191" s="36" t="n">
        <f aca="false">IF(OR($D1191&lt;&gt;"销项开票",N($Q1191)=0),0,ROUND(N($H1191)/(1+$Q1191)*N(IFERROR(INDEX(单位档案!$L$6:$L$35,MATCH($E1191,单位档案!$A$6:$A$35,0)),"")),2))</f>
        <v>0</v>
      </c>
      <c r="W1191" s="36" t="n">
        <f aca="false">ROUND($S1191+$T1191+$U1191+$V1191,2)</f>
        <v>0</v>
      </c>
      <c r="X1191" s="35" t="str">
        <f aca="false">IF(OR($D1191="挂靠代收",$D1191="我方收款"),COUNTIFS($D$5:$D1191,"挂靠代收")+COUNTIFS($D$5:$D1191,"我方收款"),"")</f>
        <v/>
      </c>
      <c r="Y1191" s="35"/>
      <c r="Z1191" s="21" t="s">
        <v>111</v>
      </c>
    </row>
    <row r="1192" customFormat="false" ht="15.75" hidden="false" customHeight="true" outlineLevel="0" collapsed="false">
      <c r="A1192" s="32" t="str">
        <f aca="false">IF($B1192="","",ROW()-4)</f>
        <v/>
      </c>
      <c r="B1192" s="26"/>
      <c r="C1192" s="24"/>
      <c r="D1192" s="21"/>
      <c r="E1192" s="21"/>
      <c r="F1192" s="21"/>
      <c r="G1192" s="21"/>
      <c r="H1192" s="27"/>
      <c r="I1192" s="23" t="str">
        <f aca="false">IF($D1192&lt;&gt;"销项开票","",IF($N1192="一级",IF(IFERROR(INDEX(项目档案!$E$6:$E$255,MATCH($C1192,项目档案!$A$6:$A$255,0)),"")="",N(IFERROR(INDEX(单位档案!$D$6:$D$35,MATCH($E1192,单位档案!$A$6:$A$35,0)),"")),IFERROR(INDEX(项目档案!$E$6:$E$255,MATCH($C1192,项目档案!$A$6:$A$255,0)),"")),IF($N1192="二级",IF(IFERROR(INDEX(项目档案!$G$6:$G$255,MATCH($C1192,项目档案!$A$6:$A$255,0)),"")="",N(IFERROR(INDEX(单位档案!$D$6:$D$35,MATCH($E1192,单位档案!$A$6:$A$35,0)),"")),IFERROR(INDEX(项目档案!$G$6:$G$255,MATCH($C1192,项目档案!$A$6:$A$255,0)),"")),N(IFERROR(INDEX(单位档案!$D$6:$D$35,MATCH($E1192,单位档案!$A$6:$A$35,0)),"")))))</f>
        <v/>
      </c>
      <c r="J1192" s="22"/>
      <c r="K1192" s="22"/>
      <c r="L1192" s="33" t="str">
        <f aca="false">IF($B1192="","",IF(NOT(ISNUMBER($B1192)),"日期格式不对",IF($C1192="","未选项目编号",IF(LEFT($M1192,1)="⚠","项目编号不存在",IF($D1192="","未选业务类型",IF($E1192="","未选开票/付款方",IF(ISNA(MATCH($E1192,单位档案!$A$6:$A$35,0)),"开票方不在单位档案",IF($F1192="","未选收票/收款方",IF(ISNA(MATCH($F1192,单位档案!$A$6:$A$35,0)),"收款方不在单位档案",IF(NOT(ISNUMBER($H1192)),"金额须为数字",IF(AND($D1192="销项开票",$N1192="—"),"链条待确认","√")))))))))))</f>
        <v/>
      </c>
      <c r="M1192" s="34" t="str">
        <f aca="false">IF($C1192="","",IFERROR(INDEX(项目档案!$B$6:$B$255,MATCH($C1192,项目档案!$A$6:$A$255,0)),"⚠项目编号不存在"))</f>
        <v/>
      </c>
      <c r="N1192" s="35" t="str">
        <f aca="false">IF($E1192="","",IF($E1192=IFERROR(INDEX(项目档案!$D$6:$D$255,MATCH($C1192,项目档案!$A$6:$A$255,0)),""),"一级",IF($E1192=IFERROR(INDEX(项目档案!$F$6:$F$255,MATCH($C1192,项目档案!$A$6:$A$255,0)),""),"二级",IF($E1192=IFERROR(INDEX(项目档案!$H$6:$H$255,MATCH($C1192,项目档案!$A$6:$A$255,0)),""),"我方","—"))))</f>
        <v/>
      </c>
      <c r="O1192" s="36" t="n">
        <f aca="false">IF($D1192&lt;&gt;"销项开票",0,ROUND(N($H1192)*N($I1192),2))</f>
        <v>0</v>
      </c>
      <c r="P1192" s="36" t="n">
        <f aca="false">IF($D1192&lt;&gt;"销项开票",0,ROUND(N($H1192)-$O1192,2))</f>
        <v>0</v>
      </c>
      <c r="Q1192" s="37" t="str">
        <f aca="false">IF($E1192="","",N(IFERROR(INDEX(单位档案!$E$6:$E$35,MATCH($E1192,单位档案!$A$6:$A$35,0)),"")))</f>
        <v/>
      </c>
      <c r="R1192" s="37" t="str">
        <f aca="false">IF($E1192="","",N(IFERROR(INDEX(单位档案!$F$6:$F$35,MATCH($E1192,单位档案!$A$6:$A$35,0)),"")))</f>
        <v/>
      </c>
      <c r="S1192" s="36" t="n">
        <f aca="false">IF(OR($D1192&lt;&gt;"销项开票",IFERROR(INDEX(单位档案!$G$6:$G$35,MATCH($E1192,单位档案!$A$6:$A$35,0)),"")&lt;&gt;"是",N($Q1192)=0),0,IF(IFERROR(INDEX(单位档案!$H$6:$H$35,MATCH($E1192,单位档案!$A$6:$A$35,0)),"")="税差法",ROUND(N($H1192)/(1+$Q1192)*$Q1192-IF(N($R1192)=0,0,$P1192/(1+$R1192)*$R1192),2),ROUND(N($H1192)/(1+$Q1192)*$Q1192,2)))</f>
        <v>0</v>
      </c>
      <c r="T1192" s="36" t="n">
        <f aca="false">ROUND($S1192*N(IFERROR(INDEX(单位档案!$J$6:$J$35,MATCH($E1192,单位档案!$A$6:$A$35,0)),"")),2)</f>
        <v>0</v>
      </c>
      <c r="U1192" s="36" t="n">
        <f aca="false">IF($D1192&lt;&gt;"销项开票",0,ROUND(N($H1192)*N(IFERROR(INDEX(单位档案!$K$6:$K$35,MATCH($E1192,单位档案!$A$6:$A$35,0)),"")),2))</f>
        <v>0</v>
      </c>
      <c r="V1192" s="36" t="n">
        <f aca="false">IF(OR($D1192&lt;&gt;"销项开票",N($Q1192)=0),0,ROUND(N($H1192)/(1+$Q1192)*N(IFERROR(INDEX(单位档案!$L$6:$L$35,MATCH($E1192,单位档案!$A$6:$A$35,0)),"")),2))</f>
        <v>0</v>
      </c>
      <c r="W1192" s="36" t="n">
        <f aca="false">ROUND($S1192+$T1192+$U1192+$V1192,2)</f>
        <v>0</v>
      </c>
      <c r="X1192" s="35" t="str">
        <f aca="false">IF(OR($D1192="挂靠代收",$D1192="我方收款"),COUNTIFS($D$5:$D1192,"挂靠代收")+COUNTIFS($D$5:$D1192,"我方收款"),"")</f>
        <v/>
      </c>
      <c r="Y1192" s="35"/>
      <c r="Z1192" s="21" t="s">
        <v>111</v>
      </c>
    </row>
    <row r="1193" customFormat="false" ht="15.75" hidden="false" customHeight="true" outlineLevel="0" collapsed="false">
      <c r="A1193" s="32" t="str">
        <f aca="false">IF($B1193="","",ROW()-4)</f>
        <v/>
      </c>
      <c r="B1193" s="26"/>
      <c r="C1193" s="24"/>
      <c r="D1193" s="21"/>
      <c r="E1193" s="21"/>
      <c r="F1193" s="21"/>
      <c r="G1193" s="21"/>
      <c r="H1193" s="27"/>
      <c r="I1193" s="23" t="str">
        <f aca="false">IF($D1193&lt;&gt;"销项开票","",IF($N1193="一级",IF(IFERROR(INDEX(项目档案!$E$6:$E$255,MATCH($C1193,项目档案!$A$6:$A$255,0)),"")="",N(IFERROR(INDEX(单位档案!$D$6:$D$35,MATCH($E1193,单位档案!$A$6:$A$35,0)),"")),IFERROR(INDEX(项目档案!$E$6:$E$255,MATCH($C1193,项目档案!$A$6:$A$255,0)),"")),IF($N1193="二级",IF(IFERROR(INDEX(项目档案!$G$6:$G$255,MATCH($C1193,项目档案!$A$6:$A$255,0)),"")="",N(IFERROR(INDEX(单位档案!$D$6:$D$35,MATCH($E1193,单位档案!$A$6:$A$35,0)),"")),IFERROR(INDEX(项目档案!$G$6:$G$255,MATCH($C1193,项目档案!$A$6:$A$255,0)),"")),N(IFERROR(INDEX(单位档案!$D$6:$D$35,MATCH($E1193,单位档案!$A$6:$A$35,0)),"")))))</f>
        <v/>
      </c>
      <c r="J1193" s="22"/>
      <c r="K1193" s="22"/>
      <c r="L1193" s="33" t="str">
        <f aca="false">IF($B1193="","",IF(NOT(ISNUMBER($B1193)),"日期格式不对",IF($C1193="","未选项目编号",IF(LEFT($M1193,1)="⚠","项目编号不存在",IF($D1193="","未选业务类型",IF($E1193="","未选开票/付款方",IF(ISNA(MATCH($E1193,单位档案!$A$6:$A$35,0)),"开票方不在单位档案",IF($F1193="","未选收票/收款方",IF(ISNA(MATCH($F1193,单位档案!$A$6:$A$35,0)),"收款方不在单位档案",IF(NOT(ISNUMBER($H1193)),"金额须为数字",IF(AND($D1193="销项开票",$N1193="—"),"链条待确认","√")))))))))))</f>
        <v/>
      </c>
      <c r="M1193" s="34" t="str">
        <f aca="false">IF($C1193="","",IFERROR(INDEX(项目档案!$B$6:$B$255,MATCH($C1193,项目档案!$A$6:$A$255,0)),"⚠项目编号不存在"))</f>
        <v/>
      </c>
      <c r="N1193" s="35" t="str">
        <f aca="false">IF($E1193="","",IF($E1193=IFERROR(INDEX(项目档案!$D$6:$D$255,MATCH($C1193,项目档案!$A$6:$A$255,0)),""),"一级",IF($E1193=IFERROR(INDEX(项目档案!$F$6:$F$255,MATCH($C1193,项目档案!$A$6:$A$255,0)),""),"二级",IF($E1193=IFERROR(INDEX(项目档案!$H$6:$H$255,MATCH($C1193,项目档案!$A$6:$A$255,0)),""),"我方","—"))))</f>
        <v/>
      </c>
      <c r="O1193" s="36" t="n">
        <f aca="false">IF($D1193&lt;&gt;"销项开票",0,ROUND(N($H1193)*N($I1193),2))</f>
        <v>0</v>
      </c>
      <c r="P1193" s="36" t="n">
        <f aca="false">IF($D1193&lt;&gt;"销项开票",0,ROUND(N($H1193)-$O1193,2))</f>
        <v>0</v>
      </c>
      <c r="Q1193" s="37" t="str">
        <f aca="false">IF($E1193="","",N(IFERROR(INDEX(单位档案!$E$6:$E$35,MATCH($E1193,单位档案!$A$6:$A$35,0)),"")))</f>
        <v/>
      </c>
      <c r="R1193" s="37" t="str">
        <f aca="false">IF($E1193="","",N(IFERROR(INDEX(单位档案!$F$6:$F$35,MATCH($E1193,单位档案!$A$6:$A$35,0)),"")))</f>
        <v/>
      </c>
      <c r="S1193" s="36" t="n">
        <f aca="false">IF(OR($D1193&lt;&gt;"销项开票",IFERROR(INDEX(单位档案!$G$6:$G$35,MATCH($E1193,单位档案!$A$6:$A$35,0)),"")&lt;&gt;"是",N($Q1193)=0),0,IF(IFERROR(INDEX(单位档案!$H$6:$H$35,MATCH($E1193,单位档案!$A$6:$A$35,0)),"")="税差法",ROUND(N($H1193)/(1+$Q1193)*$Q1193-IF(N($R1193)=0,0,$P1193/(1+$R1193)*$R1193),2),ROUND(N($H1193)/(1+$Q1193)*$Q1193,2)))</f>
        <v>0</v>
      </c>
      <c r="T1193" s="36" t="n">
        <f aca="false">ROUND($S1193*N(IFERROR(INDEX(单位档案!$J$6:$J$35,MATCH($E1193,单位档案!$A$6:$A$35,0)),"")),2)</f>
        <v>0</v>
      </c>
      <c r="U1193" s="36" t="n">
        <f aca="false">IF($D1193&lt;&gt;"销项开票",0,ROUND(N($H1193)*N(IFERROR(INDEX(单位档案!$K$6:$K$35,MATCH($E1193,单位档案!$A$6:$A$35,0)),"")),2))</f>
        <v>0</v>
      </c>
      <c r="V1193" s="36" t="n">
        <f aca="false">IF(OR($D1193&lt;&gt;"销项开票",N($Q1193)=0),0,ROUND(N($H1193)/(1+$Q1193)*N(IFERROR(INDEX(单位档案!$L$6:$L$35,MATCH($E1193,单位档案!$A$6:$A$35,0)),"")),2))</f>
        <v>0</v>
      </c>
      <c r="W1193" s="36" t="n">
        <f aca="false">ROUND($S1193+$T1193+$U1193+$V1193,2)</f>
        <v>0</v>
      </c>
      <c r="X1193" s="35" t="str">
        <f aca="false">IF(OR($D1193="挂靠代收",$D1193="我方收款"),COUNTIFS($D$5:$D1193,"挂靠代收")+COUNTIFS($D$5:$D1193,"我方收款"),"")</f>
        <v/>
      </c>
      <c r="Y1193" s="35"/>
      <c r="Z1193" s="21" t="s">
        <v>111</v>
      </c>
    </row>
    <row r="1194" customFormat="false" ht="15.75" hidden="false" customHeight="true" outlineLevel="0" collapsed="false">
      <c r="A1194" s="32" t="str">
        <f aca="false">IF($B1194="","",ROW()-4)</f>
        <v/>
      </c>
      <c r="B1194" s="26"/>
      <c r="C1194" s="24"/>
      <c r="D1194" s="21"/>
      <c r="E1194" s="21"/>
      <c r="F1194" s="21"/>
      <c r="G1194" s="21"/>
      <c r="H1194" s="27"/>
      <c r="I1194" s="23" t="str">
        <f aca="false">IF($D1194&lt;&gt;"销项开票","",IF($N1194="一级",IF(IFERROR(INDEX(项目档案!$E$6:$E$255,MATCH($C1194,项目档案!$A$6:$A$255,0)),"")="",N(IFERROR(INDEX(单位档案!$D$6:$D$35,MATCH($E1194,单位档案!$A$6:$A$35,0)),"")),IFERROR(INDEX(项目档案!$E$6:$E$255,MATCH($C1194,项目档案!$A$6:$A$255,0)),"")),IF($N1194="二级",IF(IFERROR(INDEX(项目档案!$G$6:$G$255,MATCH($C1194,项目档案!$A$6:$A$255,0)),"")="",N(IFERROR(INDEX(单位档案!$D$6:$D$35,MATCH($E1194,单位档案!$A$6:$A$35,0)),"")),IFERROR(INDEX(项目档案!$G$6:$G$255,MATCH($C1194,项目档案!$A$6:$A$255,0)),"")),N(IFERROR(INDEX(单位档案!$D$6:$D$35,MATCH($E1194,单位档案!$A$6:$A$35,0)),"")))))</f>
        <v/>
      </c>
      <c r="J1194" s="22"/>
      <c r="K1194" s="22"/>
      <c r="L1194" s="33" t="str">
        <f aca="false">IF($B1194="","",IF(NOT(ISNUMBER($B1194)),"日期格式不对",IF($C1194="","未选项目编号",IF(LEFT($M1194,1)="⚠","项目编号不存在",IF($D1194="","未选业务类型",IF($E1194="","未选开票/付款方",IF(ISNA(MATCH($E1194,单位档案!$A$6:$A$35,0)),"开票方不在单位档案",IF($F1194="","未选收票/收款方",IF(ISNA(MATCH($F1194,单位档案!$A$6:$A$35,0)),"收款方不在单位档案",IF(NOT(ISNUMBER($H1194)),"金额须为数字",IF(AND($D1194="销项开票",$N1194="—"),"链条待确认","√")))))))))))</f>
        <v/>
      </c>
      <c r="M1194" s="34" t="str">
        <f aca="false">IF($C1194="","",IFERROR(INDEX(项目档案!$B$6:$B$255,MATCH($C1194,项目档案!$A$6:$A$255,0)),"⚠项目编号不存在"))</f>
        <v/>
      </c>
      <c r="N1194" s="35" t="str">
        <f aca="false">IF($E1194="","",IF($E1194=IFERROR(INDEX(项目档案!$D$6:$D$255,MATCH($C1194,项目档案!$A$6:$A$255,0)),""),"一级",IF($E1194=IFERROR(INDEX(项目档案!$F$6:$F$255,MATCH($C1194,项目档案!$A$6:$A$255,0)),""),"二级",IF($E1194=IFERROR(INDEX(项目档案!$H$6:$H$255,MATCH($C1194,项目档案!$A$6:$A$255,0)),""),"我方","—"))))</f>
        <v/>
      </c>
      <c r="O1194" s="36" t="n">
        <f aca="false">IF($D1194&lt;&gt;"销项开票",0,ROUND(N($H1194)*N($I1194),2))</f>
        <v>0</v>
      </c>
      <c r="P1194" s="36" t="n">
        <f aca="false">IF($D1194&lt;&gt;"销项开票",0,ROUND(N($H1194)-$O1194,2))</f>
        <v>0</v>
      </c>
      <c r="Q1194" s="37" t="str">
        <f aca="false">IF($E1194="","",N(IFERROR(INDEX(单位档案!$E$6:$E$35,MATCH($E1194,单位档案!$A$6:$A$35,0)),"")))</f>
        <v/>
      </c>
      <c r="R1194" s="37" t="str">
        <f aca="false">IF($E1194="","",N(IFERROR(INDEX(单位档案!$F$6:$F$35,MATCH($E1194,单位档案!$A$6:$A$35,0)),"")))</f>
        <v/>
      </c>
      <c r="S1194" s="36" t="n">
        <f aca="false">IF(OR($D1194&lt;&gt;"销项开票",IFERROR(INDEX(单位档案!$G$6:$G$35,MATCH($E1194,单位档案!$A$6:$A$35,0)),"")&lt;&gt;"是",N($Q1194)=0),0,IF(IFERROR(INDEX(单位档案!$H$6:$H$35,MATCH($E1194,单位档案!$A$6:$A$35,0)),"")="税差法",ROUND(N($H1194)/(1+$Q1194)*$Q1194-IF(N($R1194)=0,0,$P1194/(1+$R1194)*$R1194),2),ROUND(N($H1194)/(1+$Q1194)*$Q1194,2)))</f>
        <v>0</v>
      </c>
      <c r="T1194" s="36" t="n">
        <f aca="false">ROUND($S1194*N(IFERROR(INDEX(单位档案!$J$6:$J$35,MATCH($E1194,单位档案!$A$6:$A$35,0)),"")),2)</f>
        <v>0</v>
      </c>
      <c r="U1194" s="36" t="n">
        <f aca="false">IF($D1194&lt;&gt;"销项开票",0,ROUND(N($H1194)*N(IFERROR(INDEX(单位档案!$K$6:$K$35,MATCH($E1194,单位档案!$A$6:$A$35,0)),"")),2))</f>
        <v>0</v>
      </c>
      <c r="V1194" s="36" t="n">
        <f aca="false">IF(OR($D1194&lt;&gt;"销项开票",N($Q1194)=0),0,ROUND(N($H1194)/(1+$Q1194)*N(IFERROR(INDEX(单位档案!$L$6:$L$35,MATCH($E1194,单位档案!$A$6:$A$35,0)),"")),2))</f>
        <v>0</v>
      </c>
      <c r="W1194" s="36" t="n">
        <f aca="false">ROUND($S1194+$T1194+$U1194+$V1194,2)</f>
        <v>0</v>
      </c>
      <c r="X1194" s="35" t="str">
        <f aca="false">IF(OR($D1194="挂靠代收",$D1194="我方收款"),COUNTIFS($D$5:$D1194,"挂靠代收")+COUNTIFS($D$5:$D1194,"我方收款"),"")</f>
        <v/>
      </c>
      <c r="Y1194" s="35"/>
      <c r="Z1194" s="21" t="s">
        <v>111</v>
      </c>
    </row>
    <row r="1195" customFormat="false" ht="15.75" hidden="false" customHeight="true" outlineLevel="0" collapsed="false">
      <c r="A1195" s="32" t="str">
        <f aca="false">IF($B1195="","",ROW()-4)</f>
        <v/>
      </c>
      <c r="B1195" s="26"/>
      <c r="C1195" s="24"/>
      <c r="D1195" s="21"/>
      <c r="E1195" s="21"/>
      <c r="F1195" s="21"/>
      <c r="G1195" s="21"/>
      <c r="H1195" s="27"/>
      <c r="I1195" s="23" t="str">
        <f aca="false">IF($D1195&lt;&gt;"销项开票","",IF($N1195="一级",IF(IFERROR(INDEX(项目档案!$E$6:$E$255,MATCH($C1195,项目档案!$A$6:$A$255,0)),"")="",N(IFERROR(INDEX(单位档案!$D$6:$D$35,MATCH($E1195,单位档案!$A$6:$A$35,0)),"")),IFERROR(INDEX(项目档案!$E$6:$E$255,MATCH($C1195,项目档案!$A$6:$A$255,0)),"")),IF($N1195="二级",IF(IFERROR(INDEX(项目档案!$G$6:$G$255,MATCH($C1195,项目档案!$A$6:$A$255,0)),"")="",N(IFERROR(INDEX(单位档案!$D$6:$D$35,MATCH($E1195,单位档案!$A$6:$A$35,0)),"")),IFERROR(INDEX(项目档案!$G$6:$G$255,MATCH($C1195,项目档案!$A$6:$A$255,0)),"")),N(IFERROR(INDEX(单位档案!$D$6:$D$35,MATCH($E1195,单位档案!$A$6:$A$35,0)),"")))))</f>
        <v/>
      </c>
      <c r="J1195" s="22"/>
      <c r="K1195" s="22"/>
      <c r="L1195" s="33" t="str">
        <f aca="false">IF($B1195="","",IF(NOT(ISNUMBER($B1195)),"日期格式不对",IF($C1195="","未选项目编号",IF(LEFT($M1195,1)="⚠","项目编号不存在",IF($D1195="","未选业务类型",IF($E1195="","未选开票/付款方",IF(ISNA(MATCH($E1195,单位档案!$A$6:$A$35,0)),"开票方不在单位档案",IF($F1195="","未选收票/收款方",IF(ISNA(MATCH($F1195,单位档案!$A$6:$A$35,0)),"收款方不在单位档案",IF(NOT(ISNUMBER($H1195)),"金额须为数字",IF(AND($D1195="销项开票",$N1195="—"),"链条待确认","√")))))))))))</f>
        <v/>
      </c>
      <c r="M1195" s="34" t="str">
        <f aca="false">IF($C1195="","",IFERROR(INDEX(项目档案!$B$6:$B$255,MATCH($C1195,项目档案!$A$6:$A$255,0)),"⚠项目编号不存在"))</f>
        <v/>
      </c>
      <c r="N1195" s="35" t="str">
        <f aca="false">IF($E1195="","",IF($E1195=IFERROR(INDEX(项目档案!$D$6:$D$255,MATCH($C1195,项目档案!$A$6:$A$255,0)),""),"一级",IF($E1195=IFERROR(INDEX(项目档案!$F$6:$F$255,MATCH($C1195,项目档案!$A$6:$A$255,0)),""),"二级",IF($E1195=IFERROR(INDEX(项目档案!$H$6:$H$255,MATCH($C1195,项目档案!$A$6:$A$255,0)),""),"我方","—"))))</f>
        <v/>
      </c>
      <c r="O1195" s="36" t="n">
        <f aca="false">IF($D1195&lt;&gt;"销项开票",0,ROUND(N($H1195)*N($I1195),2))</f>
        <v>0</v>
      </c>
      <c r="P1195" s="36" t="n">
        <f aca="false">IF($D1195&lt;&gt;"销项开票",0,ROUND(N($H1195)-$O1195,2))</f>
        <v>0</v>
      </c>
      <c r="Q1195" s="37" t="str">
        <f aca="false">IF($E1195="","",N(IFERROR(INDEX(单位档案!$E$6:$E$35,MATCH($E1195,单位档案!$A$6:$A$35,0)),"")))</f>
        <v/>
      </c>
      <c r="R1195" s="37" t="str">
        <f aca="false">IF($E1195="","",N(IFERROR(INDEX(单位档案!$F$6:$F$35,MATCH($E1195,单位档案!$A$6:$A$35,0)),"")))</f>
        <v/>
      </c>
      <c r="S1195" s="36" t="n">
        <f aca="false">IF(OR($D1195&lt;&gt;"销项开票",IFERROR(INDEX(单位档案!$G$6:$G$35,MATCH($E1195,单位档案!$A$6:$A$35,0)),"")&lt;&gt;"是",N($Q1195)=0),0,IF(IFERROR(INDEX(单位档案!$H$6:$H$35,MATCH($E1195,单位档案!$A$6:$A$35,0)),"")="税差法",ROUND(N($H1195)/(1+$Q1195)*$Q1195-IF(N($R1195)=0,0,$P1195/(1+$R1195)*$R1195),2),ROUND(N($H1195)/(1+$Q1195)*$Q1195,2)))</f>
        <v>0</v>
      </c>
      <c r="T1195" s="36" t="n">
        <f aca="false">ROUND($S1195*N(IFERROR(INDEX(单位档案!$J$6:$J$35,MATCH($E1195,单位档案!$A$6:$A$35,0)),"")),2)</f>
        <v>0</v>
      </c>
      <c r="U1195" s="36" t="n">
        <f aca="false">IF($D1195&lt;&gt;"销项开票",0,ROUND(N($H1195)*N(IFERROR(INDEX(单位档案!$K$6:$K$35,MATCH($E1195,单位档案!$A$6:$A$35,0)),"")),2))</f>
        <v>0</v>
      </c>
      <c r="V1195" s="36" t="n">
        <f aca="false">IF(OR($D1195&lt;&gt;"销项开票",N($Q1195)=0),0,ROUND(N($H1195)/(1+$Q1195)*N(IFERROR(INDEX(单位档案!$L$6:$L$35,MATCH($E1195,单位档案!$A$6:$A$35,0)),"")),2))</f>
        <v>0</v>
      </c>
      <c r="W1195" s="36" t="n">
        <f aca="false">ROUND($S1195+$T1195+$U1195+$V1195,2)</f>
        <v>0</v>
      </c>
      <c r="X1195" s="35" t="str">
        <f aca="false">IF(OR($D1195="挂靠代收",$D1195="我方收款"),COUNTIFS($D$5:$D1195,"挂靠代收")+COUNTIFS($D$5:$D1195,"我方收款"),"")</f>
        <v/>
      </c>
      <c r="Y1195" s="35"/>
      <c r="Z1195" s="21" t="s">
        <v>111</v>
      </c>
    </row>
    <row r="1196" customFormat="false" ht="15.75" hidden="false" customHeight="true" outlineLevel="0" collapsed="false">
      <c r="A1196" s="32" t="str">
        <f aca="false">IF($B1196="","",ROW()-4)</f>
        <v/>
      </c>
      <c r="B1196" s="26"/>
      <c r="C1196" s="24"/>
      <c r="D1196" s="21"/>
      <c r="E1196" s="21"/>
      <c r="F1196" s="21"/>
      <c r="G1196" s="21"/>
      <c r="H1196" s="27"/>
      <c r="I1196" s="23" t="str">
        <f aca="false">IF($D1196&lt;&gt;"销项开票","",IF($N1196="一级",IF(IFERROR(INDEX(项目档案!$E$6:$E$255,MATCH($C1196,项目档案!$A$6:$A$255,0)),"")="",N(IFERROR(INDEX(单位档案!$D$6:$D$35,MATCH($E1196,单位档案!$A$6:$A$35,0)),"")),IFERROR(INDEX(项目档案!$E$6:$E$255,MATCH($C1196,项目档案!$A$6:$A$255,0)),"")),IF($N1196="二级",IF(IFERROR(INDEX(项目档案!$G$6:$G$255,MATCH($C1196,项目档案!$A$6:$A$255,0)),"")="",N(IFERROR(INDEX(单位档案!$D$6:$D$35,MATCH($E1196,单位档案!$A$6:$A$35,0)),"")),IFERROR(INDEX(项目档案!$G$6:$G$255,MATCH($C1196,项目档案!$A$6:$A$255,0)),"")),N(IFERROR(INDEX(单位档案!$D$6:$D$35,MATCH($E1196,单位档案!$A$6:$A$35,0)),"")))))</f>
        <v/>
      </c>
      <c r="J1196" s="22"/>
      <c r="K1196" s="22"/>
      <c r="L1196" s="33" t="str">
        <f aca="false">IF($B1196="","",IF(NOT(ISNUMBER($B1196)),"日期格式不对",IF($C1196="","未选项目编号",IF(LEFT($M1196,1)="⚠","项目编号不存在",IF($D1196="","未选业务类型",IF($E1196="","未选开票/付款方",IF(ISNA(MATCH($E1196,单位档案!$A$6:$A$35,0)),"开票方不在单位档案",IF($F1196="","未选收票/收款方",IF(ISNA(MATCH($F1196,单位档案!$A$6:$A$35,0)),"收款方不在单位档案",IF(NOT(ISNUMBER($H1196)),"金额须为数字",IF(AND($D1196="销项开票",$N1196="—"),"链条待确认","√")))))))))))</f>
        <v/>
      </c>
      <c r="M1196" s="34" t="str">
        <f aca="false">IF($C1196="","",IFERROR(INDEX(项目档案!$B$6:$B$255,MATCH($C1196,项目档案!$A$6:$A$255,0)),"⚠项目编号不存在"))</f>
        <v/>
      </c>
      <c r="N1196" s="35" t="str">
        <f aca="false">IF($E1196="","",IF($E1196=IFERROR(INDEX(项目档案!$D$6:$D$255,MATCH($C1196,项目档案!$A$6:$A$255,0)),""),"一级",IF($E1196=IFERROR(INDEX(项目档案!$F$6:$F$255,MATCH($C1196,项目档案!$A$6:$A$255,0)),""),"二级",IF($E1196=IFERROR(INDEX(项目档案!$H$6:$H$255,MATCH($C1196,项目档案!$A$6:$A$255,0)),""),"我方","—"))))</f>
        <v/>
      </c>
      <c r="O1196" s="36" t="n">
        <f aca="false">IF($D1196&lt;&gt;"销项开票",0,ROUND(N($H1196)*N($I1196),2))</f>
        <v>0</v>
      </c>
      <c r="P1196" s="36" t="n">
        <f aca="false">IF($D1196&lt;&gt;"销项开票",0,ROUND(N($H1196)-$O1196,2))</f>
        <v>0</v>
      </c>
      <c r="Q1196" s="37" t="str">
        <f aca="false">IF($E1196="","",N(IFERROR(INDEX(单位档案!$E$6:$E$35,MATCH($E1196,单位档案!$A$6:$A$35,0)),"")))</f>
        <v/>
      </c>
      <c r="R1196" s="37" t="str">
        <f aca="false">IF($E1196="","",N(IFERROR(INDEX(单位档案!$F$6:$F$35,MATCH($E1196,单位档案!$A$6:$A$35,0)),"")))</f>
        <v/>
      </c>
      <c r="S1196" s="36" t="n">
        <f aca="false">IF(OR($D1196&lt;&gt;"销项开票",IFERROR(INDEX(单位档案!$G$6:$G$35,MATCH($E1196,单位档案!$A$6:$A$35,0)),"")&lt;&gt;"是",N($Q1196)=0),0,IF(IFERROR(INDEX(单位档案!$H$6:$H$35,MATCH($E1196,单位档案!$A$6:$A$35,0)),"")="税差法",ROUND(N($H1196)/(1+$Q1196)*$Q1196-IF(N($R1196)=0,0,$P1196/(1+$R1196)*$R1196),2),ROUND(N($H1196)/(1+$Q1196)*$Q1196,2)))</f>
        <v>0</v>
      </c>
      <c r="T1196" s="36" t="n">
        <f aca="false">ROUND($S1196*N(IFERROR(INDEX(单位档案!$J$6:$J$35,MATCH($E1196,单位档案!$A$6:$A$35,0)),"")),2)</f>
        <v>0</v>
      </c>
      <c r="U1196" s="36" t="n">
        <f aca="false">IF($D1196&lt;&gt;"销项开票",0,ROUND(N($H1196)*N(IFERROR(INDEX(单位档案!$K$6:$K$35,MATCH($E1196,单位档案!$A$6:$A$35,0)),"")),2))</f>
        <v>0</v>
      </c>
      <c r="V1196" s="36" t="n">
        <f aca="false">IF(OR($D1196&lt;&gt;"销项开票",N($Q1196)=0),0,ROUND(N($H1196)/(1+$Q1196)*N(IFERROR(INDEX(单位档案!$L$6:$L$35,MATCH($E1196,单位档案!$A$6:$A$35,0)),"")),2))</f>
        <v>0</v>
      </c>
      <c r="W1196" s="36" t="n">
        <f aca="false">ROUND($S1196+$T1196+$U1196+$V1196,2)</f>
        <v>0</v>
      </c>
      <c r="X1196" s="35" t="str">
        <f aca="false">IF(OR($D1196="挂靠代收",$D1196="我方收款"),COUNTIFS($D$5:$D1196,"挂靠代收")+COUNTIFS($D$5:$D1196,"我方收款"),"")</f>
        <v/>
      </c>
      <c r="Y1196" s="35"/>
      <c r="Z1196" s="21" t="s">
        <v>111</v>
      </c>
    </row>
    <row r="1197" customFormat="false" ht="15.75" hidden="false" customHeight="true" outlineLevel="0" collapsed="false">
      <c r="A1197" s="32" t="str">
        <f aca="false">IF($B1197="","",ROW()-4)</f>
        <v/>
      </c>
      <c r="B1197" s="26"/>
      <c r="C1197" s="24"/>
      <c r="D1197" s="21"/>
      <c r="E1197" s="21"/>
      <c r="F1197" s="21"/>
      <c r="G1197" s="21"/>
      <c r="H1197" s="27"/>
      <c r="I1197" s="23" t="str">
        <f aca="false">IF($D1197&lt;&gt;"销项开票","",IF($N1197="一级",IF(IFERROR(INDEX(项目档案!$E$6:$E$255,MATCH($C1197,项目档案!$A$6:$A$255,0)),"")="",N(IFERROR(INDEX(单位档案!$D$6:$D$35,MATCH($E1197,单位档案!$A$6:$A$35,0)),"")),IFERROR(INDEX(项目档案!$E$6:$E$255,MATCH($C1197,项目档案!$A$6:$A$255,0)),"")),IF($N1197="二级",IF(IFERROR(INDEX(项目档案!$G$6:$G$255,MATCH($C1197,项目档案!$A$6:$A$255,0)),"")="",N(IFERROR(INDEX(单位档案!$D$6:$D$35,MATCH($E1197,单位档案!$A$6:$A$35,0)),"")),IFERROR(INDEX(项目档案!$G$6:$G$255,MATCH($C1197,项目档案!$A$6:$A$255,0)),"")),N(IFERROR(INDEX(单位档案!$D$6:$D$35,MATCH($E1197,单位档案!$A$6:$A$35,0)),"")))))</f>
        <v/>
      </c>
      <c r="J1197" s="22"/>
      <c r="K1197" s="22"/>
      <c r="L1197" s="33" t="str">
        <f aca="false">IF($B1197="","",IF(NOT(ISNUMBER($B1197)),"日期格式不对",IF($C1197="","未选项目编号",IF(LEFT($M1197,1)="⚠","项目编号不存在",IF($D1197="","未选业务类型",IF($E1197="","未选开票/付款方",IF(ISNA(MATCH($E1197,单位档案!$A$6:$A$35,0)),"开票方不在单位档案",IF($F1197="","未选收票/收款方",IF(ISNA(MATCH($F1197,单位档案!$A$6:$A$35,0)),"收款方不在单位档案",IF(NOT(ISNUMBER($H1197)),"金额须为数字",IF(AND($D1197="销项开票",$N1197="—"),"链条待确认","√")))))))))))</f>
        <v/>
      </c>
      <c r="M1197" s="34" t="str">
        <f aca="false">IF($C1197="","",IFERROR(INDEX(项目档案!$B$6:$B$255,MATCH($C1197,项目档案!$A$6:$A$255,0)),"⚠项目编号不存在"))</f>
        <v/>
      </c>
      <c r="N1197" s="35" t="str">
        <f aca="false">IF($E1197="","",IF($E1197=IFERROR(INDEX(项目档案!$D$6:$D$255,MATCH($C1197,项目档案!$A$6:$A$255,0)),""),"一级",IF($E1197=IFERROR(INDEX(项目档案!$F$6:$F$255,MATCH($C1197,项目档案!$A$6:$A$255,0)),""),"二级",IF($E1197=IFERROR(INDEX(项目档案!$H$6:$H$255,MATCH($C1197,项目档案!$A$6:$A$255,0)),""),"我方","—"))))</f>
        <v/>
      </c>
      <c r="O1197" s="36" t="n">
        <f aca="false">IF($D1197&lt;&gt;"销项开票",0,ROUND(N($H1197)*N($I1197),2))</f>
        <v>0</v>
      </c>
      <c r="P1197" s="36" t="n">
        <f aca="false">IF($D1197&lt;&gt;"销项开票",0,ROUND(N($H1197)-$O1197,2))</f>
        <v>0</v>
      </c>
      <c r="Q1197" s="37" t="str">
        <f aca="false">IF($E1197="","",N(IFERROR(INDEX(单位档案!$E$6:$E$35,MATCH($E1197,单位档案!$A$6:$A$35,0)),"")))</f>
        <v/>
      </c>
      <c r="R1197" s="37" t="str">
        <f aca="false">IF($E1197="","",N(IFERROR(INDEX(单位档案!$F$6:$F$35,MATCH($E1197,单位档案!$A$6:$A$35,0)),"")))</f>
        <v/>
      </c>
      <c r="S1197" s="36" t="n">
        <f aca="false">IF(OR($D1197&lt;&gt;"销项开票",IFERROR(INDEX(单位档案!$G$6:$G$35,MATCH($E1197,单位档案!$A$6:$A$35,0)),"")&lt;&gt;"是",N($Q1197)=0),0,IF(IFERROR(INDEX(单位档案!$H$6:$H$35,MATCH($E1197,单位档案!$A$6:$A$35,0)),"")="税差法",ROUND(N($H1197)/(1+$Q1197)*$Q1197-IF(N($R1197)=0,0,$P1197/(1+$R1197)*$R1197),2),ROUND(N($H1197)/(1+$Q1197)*$Q1197,2)))</f>
        <v>0</v>
      </c>
      <c r="T1197" s="36" t="n">
        <f aca="false">ROUND($S1197*N(IFERROR(INDEX(单位档案!$J$6:$J$35,MATCH($E1197,单位档案!$A$6:$A$35,0)),"")),2)</f>
        <v>0</v>
      </c>
      <c r="U1197" s="36" t="n">
        <f aca="false">IF($D1197&lt;&gt;"销项开票",0,ROUND(N($H1197)*N(IFERROR(INDEX(单位档案!$K$6:$K$35,MATCH($E1197,单位档案!$A$6:$A$35,0)),"")),2))</f>
        <v>0</v>
      </c>
      <c r="V1197" s="36" t="n">
        <f aca="false">IF(OR($D1197&lt;&gt;"销项开票",N($Q1197)=0),0,ROUND(N($H1197)/(1+$Q1197)*N(IFERROR(INDEX(单位档案!$L$6:$L$35,MATCH($E1197,单位档案!$A$6:$A$35,0)),"")),2))</f>
        <v>0</v>
      </c>
      <c r="W1197" s="36" t="n">
        <f aca="false">ROUND($S1197+$T1197+$U1197+$V1197,2)</f>
        <v>0</v>
      </c>
      <c r="X1197" s="35" t="str">
        <f aca="false">IF(OR($D1197="挂靠代收",$D1197="我方收款"),COUNTIFS($D$5:$D1197,"挂靠代收")+COUNTIFS($D$5:$D1197,"我方收款"),"")</f>
        <v/>
      </c>
      <c r="Y1197" s="35"/>
      <c r="Z1197" s="21" t="s">
        <v>111</v>
      </c>
    </row>
    <row r="1198" customFormat="false" ht="15.75" hidden="false" customHeight="true" outlineLevel="0" collapsed="false">
      <c r="A1198" s="32" t="str">
        <f aca="false">IF($B1198="","",ROW()-4)</f>
        <v/>
      </c>
      <c r="B1198" s="26"/>
      <c r="C1198" s="24"/>
      <c r="D1198" s="21"/>
      <c r="E1198" s="21"/>
      <c r="F1198" s="21"/>
      <c r="G1198" s="21"/>
      <c r="H1198" s="27"/>
      <c r="I1198" s="23" t="str">
        <f aca="false">IF($D1198&lt;&gt;"销项开票","",IF($N1198="一级",IF(IFERROR(INDEX(项目档案!$E$6:$E$255,MATCH($C1198,项目档案!$A$6:$A$255,0)),"")="",N(IFERROR(INDEX(单位档案!$D$6:$D$35,MATCH($E1198,单位档案!$A$6:$A$35,0)),"")),IFERROR(INDEX(项目档案!$E$6:$E$255,MATCH($C1198,项目档案!$A$6:$A$255,0)),"")),IF($N1198="二级",IF(IFERROR(INDEX(项目档案!$G$6:$G$255,MATCH($C1198,项目档案!$A$6:$A$255,0)),"")="",N(IFERROR(INDEX(单位档案!$D$6:$D$35,MATCH($E1198,单位档案!$A$6:$A$35,0)),"")),IFERROR(INDEX(项目档案!$G$6:$G$255,MATCH($C1198,项目档案!$A$6:$A$255,0)),"")),N(IFERROR(INDEX(单位档案!$D$6:$D$35,MATCH($E1198,单位档案!$A$6:$A$35,0)),"")))))</f>
        <v/>
      </c>
      <c r="J1198" s="22"/>
      <c r="K1198" s="22"/>
      <c r="L1198" s="33" t="str">
        <f aca="false">IF($B1198="","",IF(NOT(ISNUMBER($B1198)),"日期格式不对",IF($C1198="","未选项目编号",IF(LEFT($M1198,1)="⚠","项目编号不存在",IF($D1198="","未选业务类型",IF($E1198="","未选开票/付款方",IF(ISNA(MATCH($E1198,单位档案!$A$6:$A$35,0)),"开票方不在单位档案",IF($F1198="","未选收票/收款方",IF(ISNA(MATCH($F1198,单位档案!$A$6:$A$35,0)),"收款方不在单位档案",IF(NOT(ISNUMBER($H1198)),"金额须为数字",IF(AND($D1198="销项开票",$N1198="—"),"链条待确认","√")))))))))))</f>
        <v/>
      </c>
      <c r="M1198" s="34" t="str">
        <f aca="false">IF($C1198="","",IFERROR(INDEX(项目档案!$B$6:$B$255,MATCH($C1198,项目档案!$A$6:$A$255,0)),"⚠项目编号不存在"))</f>
        <v/>
      </c>
      <c r="N1198" s="35" t="str">
        <f aca="false">IF($E1198="","",IF($E1198=IFERROR(INDEX(项目档案!$D$6:$D$255,MATCH($C1198,项目档案!$A$6:$A$255,0)),""),"一级",IF($E1198=IFERROR(INDEX(项目档案!$F$6:$F$255,MATCH($C1198,项目档案!$A$6:$A$255,0)),""),"二级",IF($E1198=IFERROR(INDEX(项目档案!$H$6:$H$255,MATCH($C1198,项目档案!$A$6:$A$255,0)),""),"我方","—"))))</f>
        <v/>
      </c>
      <c r="O1198" s="36" t="n">
        <f aca="false">IF($D1198&lt;&gt;"销项开票",0,ROUND(N($H1198)*N($I1198),2))</f>
        <v>0</v>
      </c>
      <c r="P1198" s="36" t="n">
        <f aca="false">IF($D1198&lt;&gt;"销项开票",0,ROUND(N($H1198)-$O1198,2))</f>
        <v>0</v>
      </c>
      <c r="Q1198" s="37" t="str">
        <f aca="false">IF($E1198="","",N(IFERROR(INDEX(单位档案!$E$6:$E$35,MATCH($E1198,单位档案!$A$6:$A$35,0)),"")))</f>
        <v/>
      </c>
      <c r="R1198" s="37" t="str">
        <f aca="false">IF($E1198="","",N(IFERROR(INDEX(单位档案!$F$6:$F$35,MATCH($E1198,单位档案!$A$6:$A$35,0)),"")))</f>
        <v/>
      </c>
      <c r="S1198" s="36" t="n">
        <f aca="false">IF(OR($D1198&lt;&gt;"销项开票",IFERROR(INDEX(单位档案!$G$6:$G$35,MATCH($E1198,单位档案!$A$6:$A$35,0)),"")&lt;&gt;"是",N($Q1198)=0),0,IF(IFERROR(INDEX(单位档案!$H$6:$H$35,MATCH($E1198,单位档案!$A$6:$A$35,0)),"")="税差法",ROUND(N($H1198)/(1+$Q1198)*$Q1198-IF(N($R1198)=0,0,$P1198/(1+$R1198)*$R1198),2),ROUND(N($H1198)/(1+$Q1198)*$Q1198,2)))</f>
        <v>0</v>
      </c>
      <c r="T1198" s="36" t="n">
        <f aca="false">ROUND($S1198*N(IFERROR(INDEX(单位档案!$J$6:$J$35,MATCH($E1198,单位档案!$A$6:$A$35,0)),"")),2)</f>
        <v>0</v>
      </c>
      <c r="U1198" s="36" t="n">
        <f aca="false">IF($D1198&lt;&gt;"销项开票",0,ROUND(N($H1198)*N(IFERROR(INDEX(单位档案!$K$6:$K$35,MATCH($E1198,单位档案!$A$6:$A$35,0)),"")),2))</f>
        <v>0</v>
      </c>
      <c r="V1198" s="36" t="n">
        <f aca="false">IF(OR($D1198&lt;&gt;"销项开票",N($Q1198)=0),0,ROUND(N($H1198)/(1+$Q1198)*N(IFERROR(INDEX(单位档案!$L$6:$L$35,MATCH($E1198,单位档案!$A$6:$A$35,0)),"")),2))</f>
        <v>0</v>
      </c>
      <c r="W1198" s="36" t="n">
        <f aca="false">ROUND($S1198+$T1198+$U1198+$V1198,2)</f>
        <v>0</v>
      </c>
      <c r="X1198" s="35" t="str">
        <f aca="false">IF(OR($D1198="挂靠代收",$D1198="我方收款"),COUNTIFS($D$5:$D1198,"挂靠代收")+COUNTIFS($D$5:$D1198,"我方收款"),"")</f>
        <v/>
      </c>
      <c r="Y1198" s="35"/>
      <c r="Z1198" s="21" t="s">
        <v>111</v>
      </c>
    </row>
    <row r="1199" customFormat="false" ht="15.75" hidden="false" customHeight="true" outlineLevel="0" collapsed="false">
      <c r="A1199" s="32" t="str">
        <f aca="false">IF($B1199="","",ROW()-4)</f>
        <v/>
      </c>
      <c r="B1199" s="26"/>
      <c r="C1199" s="24"/>
      <c r="D1199" s="21"/>
      <c r="E1199" s="21"/>
      <c r="F1199" s="21"/>
      <c r="G1199" s="21"/>
      <c r="H1199" s="27"/>
      <c r="I1199" s="23" t="str">
        <f aca="false">IF($D1199&lt;&gt;"销项开票","",IF($N1199="一级",IF(IFERROR(INDEX(项目档案!$E$6:$E$255,MATCH($C1199,项目档案!$A$6:$A$255,0)),"")="",N(IFERROR(INDEX(单位档案!$D$6:$D$35,MATCH($E1199,单位档案!$A$6:$A$35,0)),"")),IFERROR(INDEX(项目档案!$E$6:$E$255,MATCH($C1199,项目档案!$A$6:$A$255,0)),"")),IF($N1199="二级",IF(IFERROR(INDEX(项目档案!$G$6:$G$255,MATCH($C1199,项目档案!$A$6:$A$255,0)),"")="",N(IFERROR(INDEX(单位档案!$D$6:$D$35,MATCH($E1199,单位档案!$A$6:$A$35,0)),"")),IFERROR(INDEX(项目档案!$G$6:$G$255,MATCH($C1199,项目档案!$A$6:$A$255,0)),"")),N(IFERROR(INDEX(单位档案!$D$6:$D$35,MATCH($E1199,单位档案!$A$6:$A$35,0)),"")))))</f>
        <v/>
      </c>
      <c r="J1199" s="22"/>
      <c r="K1199" s="22"/>
      <c r="L1199" s="33" t="str">
        <f aca="false">IF($B1199="","",IF(NOT(ISNUMBER($B1199)),"日期格式不对",IF($C1199="","未选项目编号",IF(LEFT($M1199,1)="⚠","项目编号不存在",IF($D1199="","未选业务类型",IF($E1199="","未选开票/付款方",IF(ISNA(MATCH($E1199,单位档案!$A$6:$A$35,0)),"开票方不在单位档案",IF($F1199="","未选收票/收款方",IF(ISNA(MATCH($F1199,单位档案!$A$6:$A$35,0)),"收款方不在单位档案",IF(NOT(ISNUMBER($H1199)),"金额须为数字",IF(AND($D1199="销项开票",$N1199="—"),"链条待确认","√")))))))))))</f>
        <v/>
      </c>
      <c r="M1199" s="34" t="str">
        <f aca="false">IF($C1199="","",IFERROR(INDEX(项目档案!$B$6:$B$255,MATCH($C1199,项目档案!$A$6:$A$255,0)),"⚠项目编号不存在"))</f>
        <v/>
      </c>
      <c r="N1199" s="35" t="str">
        <f aca="false">IF($E1199="","",IF($E1199=IFERROR(INDEX(项目档案!$D$6:$D$255,MATCH($C1199,项目档案!$A$6:$A$255,0)),""),"一级",IF($E1199=IFERROR(INDEX(项目档案!$F$6:$F$255,MATCH($C1199,项目档案!$A$6:$A$255,0)),""),"二级",IF($E1199=IFERROR(INDEX(项目档案!$H$6:$H$255,MATCH($C1199,项目档案!$A$6:$A$255,0)),""),"我方","—"))))</f>
        <v/>
      </c>
      <c r="O1199" s="36" t="n">
        <f aca="false">IF($D1199&lt;&gt;"销项开票",0,ROUND(N($H1199)*N($I1199),2))</f>
        <v>0</v>
      </c>
      <c r="P1199" s="36" t="n">
        <f aca="false">IF($D1199&lt;&gt;"销项开票",0,ROUND(N($H1199)-$O1199,2))</f>
        <v>0</v>
      </c>
      <c r="Q1199" s="37" t="str">
        <f aca="false">IF($E1199="","",N(IFERROR(INDEX(单位档案!$E$6:$E$35,MATCH($E1199,单位档案!$A$6:$A$35,0)),"")))</f>
        <v/>
      </c>
      <c r="R1199" s="37" t="str">
        <f aca="false">IF($E1199="","",N(IFERROR(INDEX(单位档案!$F$6:$F$35,MATCH($E1199,单位档案!$A$6:$A$35,0)),"")))</f>
        <v/>
      </c>
      <c r="S1199" s="36" t="n">
        <f aca="false">IF(OR($D1199&lt;&gt;"销项开票",IFERROR(INDEX(单位档案!$G$6:$G$35,MATCH($E1199,单位档案!$A$6:$A$35,0)),"")&lt;&gt;"是",N($Q1199)=0),0,IF(IFERROR(INDEX(单位档案!$H$6:$H$35,MATCH($E1199,单位档案!$A$6:$A$35,0)),"")="税差法",ROUND(N($H1199)/(1+$Q1199)*$Q1199-IF(N($R1199)=0,0,$P1199/(1+$R1199)*$R1199),2),ROUND(N($H1199)/(1+$Q1199)*$Q1199,2)))</f>
        <v>0</v>
      </c>
      <c r="T1199" s="36" t="n">
        <f aca="false">ROUND($S1199*N(IFERROR(INDEX(单位档案!$J$6:$J$35,MATCH($E1199,单位档案!$A$6:$A$35,0)),"")),2)</f>
        <v>0</v>
      </c>
      <c r="U1199" s="36" t="n">
        <f aca="false">IF($D1199&lt;&gt;"销项开票",0,ROUND(N($H1199)*N(IFERROR(INDEX(单位档案!$K$6:$K$35,MATCH($E1199,单位档案!$A$6:$A$35,0)),"")),2))</f>
        <v>0</v>
      </c>
      <c r="V1199" s="36" t="n">
        <f aca="false">IF(OR($D1199&lt;&gt;"销项开票",N($Q1199)=0),0,ROUND(N($H1199)/(1+$Q1199)*N(IFERROR(INDEX(单位档案!$L$6:$L$35,MATCH($E1199,单位档案!$A$6:$A$35,0)),"")),2))</f>
        <v>0</v>
      </c>
      <c r="W1199" s="36" t="n">
        <f aca="false">ROUND($S1199+$T1199+$U1199+$V1199,2)</f>
        <v>0</v>
      </c>
      <c r="X1199" s="35" t="str">
        <f aca="false">IF(OR($D1199="挂靠代收",$D1199="我方收款"),COUNTIFS($D$5:$D1199,"挂靠代收")+COUNTIFS($D$5:$D1199,"我方收款"),"")</f>
        <v/>
      </c>
      <c r="Y1199" s="35"/>
      <c r="Z1199" s="21" t="s">
        <v>111</v>
      </c>
    </row>
    <row r="1200" customFormat="false" ht="15.75" hidden="false" customHeight="true" outlineLevel="0" collapsed="false">
      <c r="A1200" s="32" t="str">
        <f aca="false">IF($B1200="","",ROW()-4)</f>
        <v/>
      </c>
      <c r="B1200" s="26"/>
      <c r="C1200" s="24"/>
      <c r="D1200" s="21"/>
      <c r="E1200" s="21"/>
      <c r="F1200" s="21"/>
      <c r="G1200" s="21"/>
      <c r="H1200" s="27"/>
      <c r="I1200" s="23" t="str">
        <f aca="false">IF($D1200&lt;&gt;"销项开票","",IF($N1200="一级",IF(IFERROR(INDEX(项目档案!$E$6:$E$255,MATCH($C1200,项目档案!$A$6:$A$255,0)),"")="",N(IFERROR(INDEX(单位档案!$D$6:$D$35,MATCH($E1200,单位档案!$A$6:$A$35,0)),"")),IFERROR(INDEX(项目档案!$E$6:$E$255,MATCH($C1200,项目档案!$A$6:$A$255,0)),"")),IF($N1200="二级",IF(IFERROR(INDEX(项目档案!$G$6:$G$255,MATCH($C1200,项目档案!$A$6:$A$255,0)),"")="",N(IFERROR(INDEX(单位档案!$D$6:$D$35,MATCH($E1200,单位档案!$A$6:$A$35,0)),"")),IFERROR(INDEX(项目档案!$G$6:$G$255,MATCH($C1200,项目档案!$A$6:$A$255,0)),"")),N(IFERROR(INDEX(单位档案!$D$6:$D$35,MATCH($E1200,单位档案!$A$6:$A$35,0)),"")))))</f>
        <v/>
      </c>
      <c r="J1200" s="22"/>
      <c r="K1200" s="22"/>
      <c r="L1200" s="33" t="str">
        <f aca="false">IF($B1200="","",IF(NOT(ISNUMBER($B1200)),"日期格式不对",IF($C1200="","未选项目编号",IF(LEFT($M1200,1)="⚠","项目编号不存在",IF($D1200="","未选业务类型",IF($E1200="","未选开票/付款方",IF(ISNA(MATCH($E1200,单位档案!$A$6:$A$35,0)),"开票方不在单位档案",IF($F1200="","未选收票/收款方",IF(ISNA(MATCH($F1200,单位档案!$A$6:$A$35,0)),"收款方不在单位档案",IF(NOT(ISNUMBER($H1200)),"金额须为数字",IF(AND($D1200="销项开票",$N1200="—"),"链条待确认","√")))))))))))</f>
        <v/>
      </c>
      <c r="M1200" s="34" t="str">
        <f aca="false">IF($C1200="","",IFERROR(INDEX(项目档案!$B$6:$B$255,MATCH($C1200,项目档案!$A$6:$A$255,0)),"⚠项目编号不存在"))</f>
        <v/>
      </c>
      <c r="N1200" s="35" t="str">
        <f aca="false">IF($E1200="","",IF($E1200=IFERROR(INDEX(项目档案!$D$6:$D$255,MATCH($C1200,项目档案!$A$6:$A$255,0)),""),"一级",IF($E1200=IFERROR(INDEX(项目档案!$F$6:$F$255,MATCH($C1200,项目档案!$A$6:$A$255,0)),""),"二级",IF($E1200=IFERROR(INDEX(项目档案!$H$6:$H$255,MATCH($C1200,项目档案!$A$6:$A$255,0)),""),"我方","—"))))</f>
        <v/>
      </c>
      <c r="O1200" s="36" t="n">
        <f aca="false">IF($D1200&lt;&gt;"销项开票",0,ROUND(N($H1200)*N($I1200),2))</f>
        <v>0</v>
      </c>
      <c r="P1200" s="36" t="n">
        <f aca="false">IF($D1200&lt;&gt;"销项开票",0,ROUND(N($H1200)-$O1200,2))</f>
        <v>0</v>
      </c>
      <c r="Q1200" s="37" t="str">
        <f aca="false">IF($E1200="","",N(IFERROR(INDEX(单位档案!$E$6:$E$35,MATCH($E1200,单位档案!$A$6:$A$35,0)),"")))</f>
        <v/>
      </c>
      <c r="R1200" s="37" t="str">
        <f aca="false">IF($E1200="","",N(IFERROR(INDEX(单位档案!$F$6:$F$35,MATCH($E1200,单位档案!$A$6:$A$35,0)),"")))</f>
        <v/>
      </c>
      <c r="S1200" s="36" t="n">
        <f aca="false">IF(OR($D1200&lt;&gt;"销项开票",IFERROR(INDEX(单位档案!$G$6:$G$35,MATCH($E1200,单位档案!$A$6:$A$35,0)),"")&lt;&gt;"是",N($Q1200)=0),0,IF(IFERROR(INDEX(单位档案!$H$6:$H$35,MATCH($E1200,单位档案!$A$6:$A$35,0)),"")="税差法",ROUND(N($H1200)/(1+$Q1200)*$Q1200-IF(N($R1200)=0,0,$P1200/(1+$R1200)*$R1200),2),ROUND(N($H1200)/(1+$Q1200)*$Q1200,2)))</f>
        <v>0</v>
      </c>
      <c r="T1200" s="36" t="n">
        <f aca="false">ROUND($S1200*N(IFERROR(INDEX(单位档案!$J$6:$J$35,MATCH($E1200,单位档案!$A$6:$A$35,0)),"")),2)</f>
        <v>0</v>
      </c>
      <c r="U1200" s="36" t="n">
        <f aca="false">IF($D1200&lt;&gt;"销项开票",0,ROUND(N($H1200)*N(IFERROR(INDEX(单位档案!$K$6:$K$35,MATCH($E1200,单位档案!$A$6:$A$35,0)),"")),2))</f>
        <v>0</v>
      </c>
      <c r="V1200" s="36" t="n">
        <f aca="false">IF(OR($D1200&lt;&gt;"销项开票",N($Q1200)=0),0,ROUND(N($H1200)/(1+$Q1200)*N(IFERROR(INDEX(单位档案!$L$6:$L$35,MATCH($E1200,单位档案!$A$6:$A$35,0)),"")),2))</f>
        <v>0</v>
      </c>
      <c r="W1200" s="36" t="n">
        <f aca="false">ROUND($S1200+$T1200+$U1200+$V1200,2)</f>
        <v>0</v>
      </c>
      <c r="X1200" s="35" t="str">
        <f aca="false">IF(OR($D1200="挂靠代收",$D1200="我方收款"),COUNTIFS($D$5:$D1200,"挂靠代收")+COUNTIFS($D$5:$D1200,"我方收款"),"")</f>
        <v/>
      </c>
      <c r="Y1200" s="35"/>
      <c r="Z1200" s="21" t="s">
        <v>111</v>
      </c>
    </row>
    <row r="1201" customFormat="false" ht="15.75" hidden="false" customHeight="true" outlineLevel="0" collapsed="false">
      <c r="A1201" s="32" t="str">
        <f aca="false">IF($B1201="","",ROW()-4)</f>
        <v/>
      </c>
      <c r="B1201" s="26"/>
      <c r="C1201" s="24"/>
      <c r="D1201" s="21"/>
      <c r="E1201" s="21"/>
      <c r="F1201" s="21"/>
      <c r="G1201" s="21"/>
      <c r="H1201" s="27"/>
      <c r="I1201" s="23" t="str">
        <f aca="false">IF($D1201&lt;&gt;"销项开票","",IF($N1201="一级",IF(IFERROR(INDEX(项目档案!$E$6:$E$255,MATCH($C1201,项目档案!$A$6:$A$255,0)),"")="",N(IFERROR(INDEX(单位档案!$D$6:$D$35,MATCH($E1201,单位档案!$A$6:$A$35,0)),"")),IFERROR(INDEX(项目档案!$E$6:$E$255,MATCH($C1201,项目档案!$A$6:$A$255,0)),"")),IF($N1201="二级",IF(IFERROR(INDEX(项目档案!$G$6:$G$255,MATCH($C1201,项目档案!$A$6:$A$255,0)),"")="",N(IFERROR(INDEX(单位档案!$D$6:$D$35,MATCH($E1201,单位档案!$A$6:$A$35,0)),"")),IFERROR(INDEX(项目档案!$G$6:$G$255,MATCH($C1201,项目档案!$A$6:$A$255,0)),"")),N(IFERROR(INDEX(单位档案!$D$6:$D$35,MATCH($E1201,单位档案!$A$6:$A$35,0)),"")))))</f>
        <v/>
      </c>
      <c r="J1201" s="22"/>
      <c r="K1201" s="22"/>
      <c r="L1201" s="33" t="str">
        <f aca="false">IF($B1201="","",IF(NOT(ISNUMBER($B1201)),"日期格式不对",IF($C1201="","未选项目编号",IF(LEFT($M1201,1)="⚠","项目编号不存在",IF($D1201="","未选业务类型",IF($E1201="","未选开票/付款方",IF(ISNA(MATCH($E1201,单位档案!$A$6:$A$35,0)),"开票方不在单位档案",IF($F1201="","未选收票/收款方",IF(ISNA(MATCH($F1201,单位档案!$A$6:$A$35,0)),"收款方不在单位档案",IF(NOT(ISNUMBER($H1201)),"金额须为数字",IF(AND($D1201="销项开票",$N1201="—"),"链条待确认","√")))))))))))</f>
        <v/>
      </c>
      <c r="M1201" s="34" t="str">
        <f aca="false">IF($C1201="","",IFERROR(INDEX(项目档案!$B$6:$B$255,MATCH($C1201,项目档案!$A$6:$A$255,0)),"⚠项目编号不存在"))</f>
        <v/>
      </c>
      <c r="N1201" s="35" t="str">
        <f aca="false">IF($E1201="","",IF($E1201=IFERROR(INDEX(项目档案!$D$6:$D$255,MATCH($C1201,项目档案!$A$6:$A$255,0)),""),"一级",IF($E1201=IFERROR(INDEX(项目档案!$F$6:$F$255,MATCH($C1201,项目档案!$A$6:$A$255,0)),""),"二级",IF($E1201=IFERROR(INDEX(项目档案!$H$6:$H$255,MATCH($C1201,项目档案!$A$6:$A$255,0)),""),"我方","—"))))</f>
        <v/>
      </c>
      <c r="O1201" s="36" t="n">
        <f aca="false">IF($D1201&lt;&gt;"销项开票",0,ROUND(N($H1201)*N($I1201),2))</f>
        <v>0</v>
      </c>
      <c r="P1201" s="36" t="n">
        <f aca="false">IF($D1201&lt;&gt;"销项开票",0,ROUND(N($H1201)-$O1201,2))</f>
        <v>0</v>
      </c>
      <c r="Q1201" s="37" t="str">
        <f aca="false">IF($E1201="","",N(IFERROR(INDEX(单位档案!$E$6:$E$35,MATCH($E1201,单位档案!$A$6:$A$35,0)),"")))</f>
        <v/>
      </c>
      <c r="R1201" s="37" t="str">
        <f aca="false">IF($E1201="","",N(IFERROR(INDEX(单位档案!$F$6:$F$35,MATCH($E1201,单位档案!$A$6:$A$35,0)),"")))</f>
        <v/>
      </c>
      <c r="S1201" s="36" t="n">
        <f aca="false">IF(OR($D1201&lt;&gt;"销项开票",IFERROR(INDEX(单位档案!$G$6:$G$35,MATCH($E1201,单位档案!$A$6:$A$35,0)),"")&lt;&gt;"是",N($Q1201)=0),0,IF(IFERROR(INDEX(单位档案!$H$6:$H$35,MATCH($E1201,单位档案!$A$6:$A$35,0)),"")="税差法",ROUND(N($H1201)/(1+$Q1201)*$Q1201-IF(N($R1201)=0,0,$P1201/(1+$R1201)*$R1201),2),ROUND(N($H1201)/(1+$Q1201)*$Q1201,2)))</f>
        <v>0</v>
      </c>
      <c r="T1201" s="36" t="n">
        <f aca="false">ROUND($S1201*N(IFERROR(INDEX(单位档案!$J$6:$J$35,MATCH($E1201,单位档案!$A$6:$A$35,0)),"")),2)</f>
        <v>0</v>
      </c>
      <c r="U1201" s="36" t="n">
        <f aca="false">IF($D1201&lt;&gt;"销项开票",0,ROUND(N($H1201)*N(IFERROR(INDEX(单位档案!$K$6:$K$35,MATCH($E1201,单位档案!$A$6:$A$35,0)),"")),2))</f>
        <v>0</v>
      </c>
      <c r="V1201" s="36" t="n">
        <f aca="false">IF(OR($D1201&lt;&gt;"销项开票",N($Q1201)=0),0,ROUND(N($H1201)/(1+$Q1201)*N(IFERROR(INDEX(单位档案!$L$6:$L$35,MATCH($E1201,单位档案!$A$6:$A$35,0)),"")),2))</f>
        <v>0</v>
      </c>
      <c r="W1201" s="36" t="n">
        <f aca="false">ROUND($S1201+$T1201+$U1201+$V1201,2)</f>
        <v>0</v>
      </c>
      <c r="X1201" s="35" t="str">
        <f aca="false">IF(OR($D1201="挂靠代收",$D1201="我方收款"),COUNTIFS($D$5:$D1201,"挂靠代收")+COUNTIFS($D$5:$D1201,"我方收款"),"")</f>
        <v/>
      </c>
      <c r="Y1201" s="35"/>
      <c r="Z1201" s="21" t="s">
        <v>111</v>
      </c>
    </row>
    <row r="1202" customFormat="false" ht="15.75" hidden="false" customHeight="true" outlineLevel="0" collapsed="false">
      <c r="A1202" s="32" t="str">
        <f aca="false">IF($B1202="","",ROW()-4)</f>
        <v/>
      </c>
      <c r="B1202" s="26"/>
      <c r="C1202" s="24"/>
      <c r="D1202" s="21"/>
      <c r="E1202" s="21"/>
      <c r="F1202" s="21"/>
      <c r="G1202" s="21"/>
      <c r="H1202" s="27"/>
      <c r="I1202" s="23" t="str">
        <f aca="false">IF($D1202&lt;&gt;"销项开票","",IF($N1202="一级",IF(IFERROR(INDEX(项目档案!$E$6:$E$255,MATCH($C1202,项目档案!$A$6:$A$255,0)),"")="",N(IFERROR(INDEX(单位档案!$D$6:$D$35,MATCH($E1202,单位档案!$A$6:$A$35,0)),"")),IFERROR(INDEX(项目档案!$E$6:$E$255,MATCH($C1202,项目档案!$A$6:$A$255,0)),"")),IF($N1202="二级",IF(IFERROR(INDEX(项目档案!$G$6:$G$255,MATCH($C1202,项目档案!$A$6:$A$255,0)),"")="",N(IFERROR(INDEX(单位档案!$D$6:$D$35,MATCH($E1202,单位档案!$A$6:$A$35,0)),"")),IFERROR(INDEX(项目档案!$G$6:$G$255,MATCH($C1202,项目档案!$A$6:$A$255,0)),"")),N(IFERROR(INDEX(单位档案!$D$6:$D$35,MATCH($E1202,单位档案!$A$6:$A$35,0)),"")))))</f>
        <v/>
      </c>
      <c r="J1202" s="22"/>
      <c r="K1202" s="22"/>
      <c r="L1202" s="33" t="str">
        <f aca="false">IF($B1202="","",IF(NOT(ISNUMBER($B1202)),"日期格式不对",IF($C1202="","未选项目编号",IF(LEFT($M1202,1)="⚠","项目编号不存在",IF($D1202="","未选业务类型",IF($E1202="","未选开票/付款方",IF(ISNA(MATCH($E1202,单位档案!$A$6:$A$35,0)),"开票方不在单位档案",IF($F1202="","未选收票/收款方",IF(ISNA(MATCH($F1202,单位档案!$A$6:$A$35,0)),"收款方不在单位档案",IF(NOT(ISNUMBER($H1202)),"金额须为数字",IF(AND($D1202="销项开票",$N1202="—"),"链条待确认","√")))))))))))</f>
        <v/>
      </c>
      <c r="M1202" s="34" t="str">
        <f aca="false">IF($C1202="","",IFERROR(INDEX(项目档案!$B$6:$B$255,MATCH($C1202,项目档案!$A$6:$A$255,0)),"⚠项目编号不存在"))</f>
        <v/>
      </c>
      <c r="N1202" s="35" t="str">
        <f aca="false">IF($E1202="","",IF($E1202=IFERROR(INDEX(项目档案!$D$6:$D$255,MATCH($C1202,项目档案!$A$6:$A$255,0)),""),"一级",IF($E1202=IFERROR(INDEX(项目档案!$F$6:$F$255,MATCH($C1202,项目档案!$A$6:$A$255,0)),""),"二级",IF($E1202=IFERROR(INDEX(项目档案!$H$6:$H$255,MATCH($C1202,项目档案!$A$6:$A$255,0)),""),"我方","—"))))</f>
        <v/>
      </c>
      <c r="O1202" s="36" t="n">
        <f aca="false">IF($D1202&lt;&gt;"销项开票",0,ROUND(N($H1202)*N($I1202),2))</f>
        <v>0</v>
      </c>
      <c r="P1202" s="36" t="n">
        <f aca="false">IF($D1202&lt;&gt;"销项开票",0,ROUND(N($H1202)-$O1202,2))</f>
        <v>0</v>
      </c>
      <c r="Q1202" s="37" t="str">
        <f aca="false">IF($E1202="","",N(IFERROR(INDEX(单位档案!$E$6:$E$35,MATCH($E1202,单位档案!$A$6:$A$35,0)),"")))</f>
        <v/>
      </c>
      <c r="R1202" s="37" t="str">
        <f aca="false">IF($E1202="","",N(IFERROR(INDEX(单位档案!$F$6:$F$35,MATCH($E1202,单位档案!$A$6:$A$35,0)),"")))</f>
        <v/>
      </c>
      <c r="S1202" s="36" t="n">
        <f aca="false">IF(OR($D1202&lt;&gt;"销项开票",IFERROR(INDEX(单位档案!$G$6:$G$35,MATCH($E1202,单位档案!$A$6:$A$35,0)),"")&lt;&gt;"是",N($Q1202)=0),0,IF(IFERROR(INDEX(单位档案!$H$6:$H$35,MATCH($E1202,单位档案!$A$6:$A$35,0)),"")="税差法",ROUND(N($H1202)/(1+$Q1202)*$Q1202-IF(N($R1202)=0,0,$P1202/(1+$R1202)*$R1202),2),ROUND(N($H1202)/(1+$Q1202)*$Q1202,2)))</f>
        <v>0</v>
      </c>
      <c r="T1202" s="36" t="n">
        <f aca="false">ROUND($S1202*N(IFERROR(INDEX(单位档案!$J$6:$J$35,MATCH($E1202,单位档案!$A$6:$A$35,0)),"")),2)</f>
        <v>0</v>
      </c>
      <c r="U1202" s="36" t="n">
        <f aca="false">IF($D1202&lt;&gt;"销项开票",0,ROUND(N($H1202)*N(IFERROR(INDEX(单位档案!$K$6:$K$35,MATCH($E1202,单位档案!$A$6:$A$35,0)),"")),2))</f>
        <v>0</v>
      </c>
      <c r="V1202" s="36" t="n">
        <f aca="false">IF(OR($D1202&lt;&gt;"销项开票",N($Q1202)=0),0,ROUND(N($H1202)/(1+$Q1202)*N(IFERROR(INDEX(单位档案!$L$6:$L$35,MATCH($E1202,单位档案!$A$6:$A$35,0)),"")),2))</f>
        <v>0</v>
      </c>
      <c r="W1202" s="36" t="n">
        <f aca="false">ROUND($S1202+$T1202+$U1202+$V1202,2)</f>
        <v>0</v>
      </c>
      <c r="X1202" s="35" t="str">
        <f aca="false">IF(OR($D1202="挂靠代收",$D1202="我方收款"),COUNTIFS($D$5:$D1202,"挂靠代收")+COUNTIFS($D$5:$D1202,"我方收款"),"")</f>
        <v/>
      </c>
      <c r="Y1202" s="35"/>
      <c r="Z1202" s="21" t="s">
        <v>111</v>
      </c>
    </row>
    <row r="1203" customFormat="false" ht="15.75" hidden="false" customHeight="true" outlineLevel="0" collapsed="false">
      <c r="A1203" s="32" t="str">
        <f aca="false">IF($B1203="","",ROW()-4)</f>
        <v/>
      </c>
      <c r="B1203" s="26"/>
      <c r="C1203" s="24"/>
      <c r="D1203" s="21"/>
      <c r="E1203" s="21"/>
      <c r="F1203" s="21"/>
      <c r="G1203" s="21"/>
      <c r="H1203" s="27"/>
      <c r="I1203" s="23" t="str">
        <f aca="false">IF($D1203&lt;&gt;"销项开票","",IF($N1203="一级",IF(IFERROR(INDEX(项目档案!$E$6:$E$255,MATCH($C1203,项目档案!$A$6:$A$255,0)),"")="",N(IFERROR(INDEX(单位档案!$D$6:$D$35,MATCH($E1203,单位档案!$A$6:$A$35,0)),"")),IFERROR(INDEX(项目档案!$E$6:$E$255,MATCH($C1203,项目档案!$A$6:$A$255,0)),"")),IF($N1203="二级",IF(IFERROR(INDEX(项目档案!$G$6:$G$255,MATCH($C1203,项目档案!$A$6:$A$255,0)),"")="",N(IFERROR(INDEX(单位档案!$D$6:$D$35,MATCH($E1203,单位档案!$A$6:$A$35,0)),"")),IFERROR(INDEX(项目档案!$G$6:$G$255,MATCH($C1203,项目档案!$A$6:$A$255,0)),"")),N(IFERROR(INDEX(单位档案!$D$6:$D$35,MATCH($E1203,单位档案!$A$6:$A$35,0)),"")))))</f>
        <v/>
      </c>
      <c r="J1203" s="22"/>
      <c r="K1203" s="22"/>
      <c r="L1203" s="33" t="str">
        <f aca="false">IF($B1203="","",IF(NOT(ISNUMBER($B1203)),"日期格式不对",IF($C1203="","未选项目编号",IF(LEFT($M1203,1)="⚠","项目编号不存在",IF($D1203="","未选业务类型",IF($E1203="","未选开票/付款方",IF(ISNA(MATCH($E1203,单位档案!$A$6:$A$35,0)),"开票方不在单位档案",IF($F1203="","未选收票/收款方",IF(ISNA(MATCH($F1203,单位档案!$A$6:$A$35,0)),"收款方不在单位档案",IF(NOT(ISNUMBER($H1203)),"金额须为数字",IF(AND($D1203="销项开票",$N1203="—"),"链条待确认","√")))))))))))</f>
        <v/>
      </c>
      <c r="M1203" s="34" t="str">
        <f aca="false">IF($C1203="","",IFERROR(INDEX(项目档案!$B$6:$B$255,MATCH($C1203,项目档案!$A$6:$A$255,0)),"⚠项目编号不存在"))</f>
        <v/>
      </c>
      <c r="N1203" s="35" t="str">
        <f aca="false">IF($E1203="","",IF($E1203=IFERROR(INDEX(项目档案!$D$6:$D$255,MATCH($C1203,项目档案!$A$6:$A$255,0)),""),"一级",IF($E1203=IFERROR(INDEX(项目档案!$F$6:$F$255,MATCH($C1203,项目档案!$A$6:$A$255,0)),""),"二级",IF($E1203=IFERROR(INDEX(项目档案!$H$6:$H$255,MATCH($C1203,项目档案!$A$6:$A$255,0)),""),"我方","—"))))</f>
        <v/>
      </c>
      <c r="O1203" s="36" t="n">
        <f aca="false">IF($D1203&lt;&gt;"销项开票",0,ROUND(N($H1203)*N($I1203),2))</f>
        <v>0</v>
      </c>
      <c r="P1203" s="36" t="n">
        <f aca="false">IF($D1203&lt;&gt;"销项开票",0,ROUND(N($H1203)-$O1203,2))</f>
        <v>0</v>
      </c>
      <c r="Q1203" s="37" t="str">
        <f aca="false">IF($E1203="","",N(IFERROR(INDEX(单位档案!$E$6:$E$35,MATCH($E1203,单位档案!$A$6:$A$35,0)),"")))</f>
        <v/>
      </c>
      <c r="R1203" s="37" t="str">
        <f aca="false">IF($E1203="","",N(IFERROR(INDEX(单位档案!$F$6:$F$35,MATCH($E1203,单位档案!$A$6:$A$35,0)),"")))</f>
        <v/>
      </c>
      <c r="S1203" s="36" t="n">
        <f aca="false">IF(OR($D1203&lt;&gt;"销项开票",IFERROR(INDEX(单位档案!$G$6:$G$35,MATCH($E1203,单位档案!$A$6:$A$35,0)),"")&lt;&gt;"是",N($Q1203)=0),0,IF(IFERROR(INDEX(单位档案!$H$6:$H$35,MATCH($E1203,单位档案!$A$6:$A$35,0)),"")="税差法",ROUND(N($H1203)/(1+$Q1203)*$Q1203-IF(N($R1203)=0,0,$P1203/(1+$R1203)*$R1203),2),ROUND(N($H1203)/(1+$Q1203)*$Q1203,2)))</f>
        <v>0</v>
      </c>
      <c r="T1203" s="36" t="n">
        <f aca="false">ROUND($S1203*N(IFERROR(INDEX(单位档案!$J$6:$J$35,MATCH($E1203,单位档案!$A$6:$A$35,0)),"")),2)</f>
        <v>0</v>
      </c>
      <c r="U1203" s="36" t="n">
        <f aca="false">IF($D1203&lt;&gt;"销项开票",0,ROUND(N($H1203)*N(IFERROR(INDEX(单位档案!$K$6:$K$35,MATCH($E1203,单位档案!$A$6:$A$35,0)),"")),2))</f>
        <v>0</v>
      </c>
      <c r="V1203" s="36" t="n">
        <f aca="false">IF(OR($D1203&lt;&gt;"销项开票",N($Q1203)=0),0,ROUND(N($H1203)/(1+$Q1203)*N(IFERROR(INDEX(单位档案!$L$6:$L$35,MATCH($E1203,单位档案!$A$6:$A$35,0)),"")),2))</f>
        <v>0</v>
      </c>
      <c r="W1203" s="36" t="n">
        <f aca="false">ROUND($S1203+$T1203+$U1203+$V1203,2)</f>
        <v>0</v>
      </c>
      <c r="X1203" s="35" t="str">
        <f aca="false">IF(OR($D1203="挂靠代收",$D1203="我方收款"),COUNTIFS($D$5:$D1203,"挂靠代收")+COUNTIFS($D$5:$D1203,"我方收款"),"")</f>
        <v/>
      </c>
      <c r="Y1203" s="35"/>
      <c r="Z1203" s="21" t="s">
        <v>111</v>
      </c>
    </row>
    <row r="1204" customFormat="false" ht="15.75" hidden="false" customHeight="true" outlineLevel="0" collapsed="false">
      <c r="A1204" s="32" t="str">
        <f aca="false">IF($B1204="","",ROW()-4)</f>
        <v/>
      </c>
      <c r="B1204" s="26"/>
      <c r="C1204" s="24"/>
      <c r="D1204" s="21"/>
      <c r="E1204" s="21"/>
      <c r="F1204" s="21"/>
      <c r="G1204" s="21"/>
      <c r="H1204" s="27"/>
      <c r="I1204" s="23" t="str">
        <f aca="false">IF($D1204&lt;&gt;"销项开票","",IF($N1204="一级",IF(IFERROR(INDEX(项目档案!$E$6:$E$255,MATCH($C1204,项目档案!$A$6:$A$255,0)),"")="",N(IFERROR(INDEX(单位档案!$D$6:$D$35,MATCH($E1204,单位档案!$A$6:$A$35,0)),"")),IFERROR(INDEX(项目档案!$E$6:$E$255,MATCH($C1204,项目档案!$A$6:$A$255,0)),"")),IF($N1204="二级",IF(IFERROR(INDEX(项目档案!$G$6:$G$255,MATCH($C1204,项目档案!$A$6:$A$255,0)),"")="",N(IFERROR(INDEX(单位档案!$D$6:$D$35,MATCH($E1204,单位档案!$A$6:$A$35,0)),"")),IFERROR(INDEX(项目档案!$G$6:$G$255,MATCH($C1204,项目档案!$A$6:$A$255,0)),"")),N(IFERROR(INDEX(单位档案!$D$6:$D$35,MATCH($E1204,单位档案!$A$6:$A$35,0)),"")))))</f>
        <v/>
      </c>
      <c r="J1204" s="22"/>
      <c r="K1204" s="22"/>
      <c r="L1204" s="33" t="str">
        <f aca="false">IF($B1204="","",IF(NOT(ISNUMBER($B1204)),"日期格式不对",IF($C1204="","未选项目编号",IF(LEFT($M1204,1)="⚠","项目编号不存在",IF($D1204="","未选业务类型",IF($E1204="","未选开票/付款方",IF(ISNA(MATCH($E1204,单位档案!$A$6:$A$35,0)),"开票方不在单位档案",IF($F1204="","未选收票/收款方",IF(ISNA(MATCH($F1204,单位档案!$A$6:$A$35,0)),"收款方不在单位档案",IF(NOT(ISNUMBER($H1204)),"金额须为数字",IF(AND($D1204="销项开票",$N1204="—"),"链条待确认","√")))))))))))</f>
        <v/>
      </c>
      <c r="M1204" s="34" t="str">
        <f aca="false">IF($C1204="","",IFERROR(INDEX(项目档案!$B$6:$B$255,MATCH($C1204,项目档案!$A$6:$A$255,0)),"⚠项目编号不存在"))</f>
        <v/>
      </c>
      <c r="N1204" s="35" t="str">
        <f aca="false">IF($E1204="","",IF($E1204=IFERROR(INDEX(项目档案!$D$6:$D$255,MATCH($C1204,项目档案!$A$6:$A$255,0)),""),"一级",IF($E1204=IFERROR(INDEX(项目档案!$F$6:$F$255,MATCH($C1204,项目档案!$A$6:$A$255,0)),""),"二级",IF($E1204=IFERROR(INDEX(项目档案!$H$6:$H$255,MATCH($C1204,项目档案!$A$6:$A$255,0)),""),"我方","—"))))</f>
        <v/>
      </c>
      <c r="O1204" s="36" t="n">
        <f aca="false">IF($D1204&lt;&gt;"销项开票",0,ROUND(N($H1204)*N($I1204),2))</f>
        <v>0</v>
      </c>
      <c r="P1204" s="36" t="n">
        <f aca="false">IF($D1204&lt;&gt;"销项开票",0,ROUND(N($H1204)-$O1204,2))</f>
        <v>0</v>
      </c>
      <c r="Q1204" s="37" t="str">
        <f aca="false">IF($E1204="","",N(IFERROR(INDEX(单位档案!$E$6:$E$35,MATCH($E1204,单位档案!$A$6:$A$35,0)),"")))</f>
        <v/>
      </c>
      <c r="R1204" s="37" t="str">
        <f aca="false">IF($E1204="","",N(IFERROR(INDEX(单位档案!$F$6:$F$35,MATCH($E1204,单位档案!$A$6:$A$35,0)),"")))</f>
        <v/>
      </c>
      <c r="S1204" s="36" t="n">
        <f aca="false">IF(OR($D1204&lt;&gt;"销项开票",IFERROR(INDEX(单位档案!$G$6:$G$35,MATCH($E1204,单位档案!$A$6:$A$35,0)),"")&lt;&gt;"是",N($Q1204)=0),0,IF(IFERROR(INDEX(单位档案!$H$6:$H$35,MATCH($E1204,单位档案!$A$6:$A$35,0)),"")="税差法",ROUND(N($H1204)/(1+$Q1204)*$Q1204-IF(N($R1204)=0,0,$P1204/(1+$R1204)*$R1204),2),ROUND(N($H1204)/(1+$Q1204)*$Q1204,2)))</f>
        <v>0</v>
      </c>
      <c r="T1204" s="36" t="n">
        <f aca="false">ROUND($S1204*N(IFERROR(INDEX(单位档案!$J$6:$J$35,MATCH($E1204,单位档案!$A$6:$A$35,0)),"")),2)</f>
        <v>0</v>
      </c>
      <c r="U1204" s="36" t="n">
        <f aca="false">IF($D1204&lt;&gt;"销项开票",0,ROUND(N($H1204)*N(IFERROR(INDEX(单位档案!$K$6:$K$35,MATCH($E1204,单位档案!$A$6:$A$35,0)),"")),2))</f>
        <v>0</v>
      </c>
      <c r="V1204" s="36" t="n">
        <f aca="false">IF(OR($D1204&lt;&gt;"销项开票",N($Q1204)=0),0,ROUND(N($H1204)/(1+$Q1204)*N(IFERROR(INDEX(单位档案!$L$6:$L$35,MATCH($E1204,单位档案!$A$6:$A$35,0)),"")),2))</f>
        <v>0</v>
      </c>
      <c r="W1204" s="36" t="n">
        <f aca="false">ROUND($S1204+$T1204+$U1204+$V1204,2)</f>
        <v>0</v>
      </c>
      <c r="X1204" s="35" t="str">
        <f aca="false">IF(OR($D1204="挂靠代收",$D1204="我方收款"),COUNTIFS($D$5:$D1204,"挂靠代收")+COUNTIFS($D$5:$D1204,"我方收款"),"")</f>
        <v/>
      </c>
      <c r="Y1204" s="35"/>
      <c r="Z1204" s="21" t="s">
        <v>111</v>
      </c>
    </row>
    <row r="1205" customFormat="false" ht="15.75" hidden="false" customHeight="true" outlineLevel="0" collapsed="false">
      <c r="A1205" s="32" t="str">
        <f aca="false">IF($B1205="","",ROW()-4)</f>
        <v/>
      </c>
      <c r="B1205" s="26"/>
      <c r="C1205" s="24"/>
      <c r="D1205" s="21"/>
      <c r="E1205" s="21"/>
      <c r="F1205" s="21"/>
      <c r="G1205" s="21"/>
      <c r="H1205" s="27"/>
      <c r="I1205" s="23" t="str">
        <f aca="false">IF($D1205&lt;&gt;"销项开票","",IF($N1205="一级",IF(IFERROR(INDEX(项目档案!$E$6:$E$255,MATCH($C1205,项目档案!$A$6:$A$255,0)),"")="",N(IFERROR(INDEX(单位档案!$D$6:$D$35,MATCH($E1205,单位档案!$A$6:$A$35,0)),"")),IFERROR(INDEX(项目档案!$E$6:$E$255,MATCH($C1205,项目档案!$A$6:$A$255,0)),"")),IF($N1205="二级",IF(IFERROR(INDEX(项目档案!$G$6:$G$255,MATCH($C1205,项目档案!$A$6:$A$255,0)),"")="",N(IFERROR(INDEX(单位档案!$D$6:$D$35,MATCH($E1205,单位档案!$A$6:$A$35,0)),"")),IFERROR(INDEX(项目档案!$G$6:$G$255,MATCH($C1205,项目档案!$A$6:$A$255,0)),"")),N(IFERROR(INDEX(单位档案!$D$6:$D$35,MATCH($E1205,单位档案!$A$6:$A$35,0)),"")))))</f>
        <v/>
      </c>
      <c r="J1205" s="22"/>
      <c r="K1205" s="22"/>
      <c r="L1205" s="33" t="str">
        <f aca="false">IF($B1205="","",IF(NOT(ISNUMBER($B1205)),"日期格式不对",IF($C1205="","未选项目编号",IF(LEFT($M1205,1)="⚠","项目编号不存在",IF($D1205="","未选业务类型",IF($E1205="","未选开票/付款方",IF(ISNA(MATCH($E1205,单位档案!$A$6:$A$35,0)),"开票方不在单位档案",IF($F1205="","未选收票/收款方",IF(ISNA(MATCH($F1205,单位档案!$A$6:$A$35,0)),"收款方不在单位档案",IF(NOT(ISNUMBER($H1205)),"金额须为数字",IF(AND($D1205="销项开票",$N1205="—"),"链条待确认","√")))))))))))</f>
        <v/>
      </c>
      <c r="M1205" s="34" t="str">
        <f aca="false">IF($C1205="","",IFERROR(INDEX(项目档案!$B$6:$B$255,MATCH($C1205,项目档案!$A$6:$A$255,0)),"⚠项目编号不存在"))</f>
        <v/>
      </c>
      <c r="N1205" s="35" t="str">
        <f aca="false">IF($E1205="","",IF($E1205=IFERROR(INDEX(项目档案!$D$6:$D$255,MATCH($C1205,项目档案!$A$6:$A$255,0)),""),"一级",IF($E1205=IFERROR(INDEX(项目档案!$F$6:$F$255,MATCH($C1205,项目档案!$A$6:$A$255,0)),""),"二级",IF($E1205=IFERROR(INDEX(项目档案!$H$6:$H$255,MATCH($C1205,项目档案!$A$6:$A$255,0)),""),"我方","—"))))</f>
        <v/>
      </c>
      <c r="O1205" s="36" t="n">
        <f aca="false">IF($D1205&lt;&gt;"销项开票",0,ROUND(N($H1205)*N($I1205),2))</f>
        <v>0</v>
      </c>
      <c r="P1205" s="36" t="n">
        <f aca="false">IF($D1205&lt;&gt;"销项开票",0,ROUND(N($H1205)-$O1205,2))</f>
        <v>0</v>
      </c>
      <c r="Q1205" s="37" t="str">
        <f aca="false">IF($E1205="","",N(IFERROR(INDEX(单位档案!$E$6:$E$35,MATCH($E1205,单位档案!$A$6:$A$35,0)),"")))</f>
        <v/>
      </c>
      <c r="R1205" s="37" t="str">
        <f aca="false">IF($E1205="","",N(IFERROR(INDEX(单位档案!$F$6:$F$35,MATCH($E1205,单位档案!$A$6:$A$35,0)),"")))</f>
        <v/>
      </c>
      <c r="S1205" s="36" t="n">
        <f aca="false">IF(OR($D1205&lt;&gt;"销项开票",IFERROR(INDEX(单位档案!$G$6:$G$35,MATCH($E1205,单位档案!$A$6:$A$35,0)),"")&lt;&gt;"是",N($Q1205)=0),0,IF(IFERROR(INDEX(单位档案!$H$6:$H$35,MATCH($E1205,单位档案!$A$6:$A$35,0)),"")="税差法",ROUND(N($H1205)/(1+$Q1205)*$Q1205-IF(N($R1205)=0,0,$P1205/(1+$R1205)*$R1205),2),ROUND(N($H1205)/(1+$Q1205)*$Q1205,2)))</f>
        <v>0</v>
      </c>
      <c r="T1205" s="36" t="n">
        <f aca="false">ROUND($S1205*N(IFERROR(INDEX(单位档案!$J$6:$J$35,MATCH($E1205,单位档案!$A$6:$A$35,0)),"")),2)</f>
        <v>0</v>
      </c>
      <c r="U1205" s="36" t="n">
        <f aca="false">IF($D1205&lt;&gt;"销项开票",0,ROUND(N($H1205)*N(IFERROR(INDEX(单位档案!$K$6:$K$35,MATCH($E1205,单位档案!$A$6:$A$35,0)),"")),2))</f>
        <v>0</v>
      </c>
      <c r="V1205" s="36" t="n">
        <f aca="false">IF(OR($D1205&lt;&gt;"销项开票",N($Q1205)=0),0,ROUND(N($H1205)/(1+$Q1205)*N(IFERROR(INDEX(单位档案!$L$6:$L$35,MATCH($E1205,单位档案!$A$6:$A$35,0)),"")),2))</f>
        <v>0</v>
      </c>
      <c r="W1205" s="36" t="n">
        <f aca="false">ROUND($S1205+$T1205+$U1205+$V1205,2)</f>
        <v>0</v>
      </c>
      <c r="X1205" s="35" t="str">
        <f aca="false">IF(OR($D1205="挂靠代收",$D1205="我方收款"),COUNTIFS($D$5:$D1205,"挂靠代收")+COUNTIFS($D$5:$D1205,"我方收款"),"")</f>
        <v/>
      </c>
      <c r="Y1205" s="35"/>
      <c r="Z1205" s="21" t="s">
        <v>111</v>
      </c>
    </row>
    <row r="1206" customFormat="false" ht="15.75" hidden="false" customHeight="true" outlineLevel="0" collapsed="false">
      <c r="A1206" s="32" t="str">
        <f aca="false">IF($B1206="","",ROW()-4)</f>
        <v/>
      </c>
      <c r="B1206" s="26"/>
      <c r="C1206" s="24"/>
      <c r="D1206" s="21"/>
      <c r="E1206" s="21"/>
      <c r="F1206" s="21"/>
      <c r="G1206" s="21"/>
      <c r="H1206" s="27"/>
      <c r="I1206" s="23" t="str">
        <f aca="false">IF($D1206&lt;&gt;"销项开票","",IF($N1206="一级",IF(IFERROR(INDEX(项目档案!$E$6:$E$255,MATCH($C1206,项目档案!$A$6:$A$255,0)),"")="",N(IFERROR(INDEX(单位档案!$D$6:$D$35,MATCH($E1206,单位档案!$A$6:$A$35,0)),"")),IFERROR(INDEX(项目档案!$E$6:$E$255,MATCH($C1206,项目档案!$A$6:$A$255,0)),"")),IF($N1206="二级",IF(IFERROR(INDEX(项目档案!$G$6:$G$255,MATCH($C1206,项目档案!$A$6:$A$255,0)),"")="",N(IFERROR(INDEX(单位档案!$D$6:$D$35,MATCH($E1206,单位档案!$A$6:$A$35,0)),"")),IFERROR(INDEX(项目档案!$G$6:$G$255,MATCH($C1206,项目档案!$A$6:$A$255,0)),"")),N(IFERROR(INDEX(单位档案!$D$6:$D$35,MATCH($E1206,单位档案!$A$6:$A$35,0)),"")))))</f>
        <v/>
      </c>
      <c r="J1206" s="22"/>
      <c r="K1206" s="22"/>
      <c r="L1206" s="33" t="str">
        <f aca="false">IF($B1206="","",IF(NOT(ISNUMBER($B1206)),"日期格式不对",IF($C1206="","未选项目编号",IF(LEFT($M1206,1)="⚠","项目编号不存在",IF($D1206="","未选业务类型",IF($E1206="","未选开票/付款方",IF(ISNA(MATCH($E1206,单位档案!$A$6:$A$35,0)),"开票方不在单位档案",IF($F1206="","未选收票/收款方",IF(ISNA(MATCH($F1206,单位档案!$A$6:$A$35,0)),"收款方不在单位档案",IF(NOT(ISNUMBER($H1206)),"金额须为数字",IF(AND($D1206="销项开票",$N1206="—"),"链条待确认","√")))))))))))</f>
        <v/>
      </c>
      <c r="M1206" s="34" t="str">
        <f aca="false">IF($C1206="","",IFERROR(INDEX(项目档案!$B$6:$B$255,MATCH($C1206,项目档案!$A$6:$A$255,0)),"⚠项目编号不存在"))</f>
        <v/>
      </c>
      <c r="N1206" s="35" t="str">
        <f aca="false">IF($E1206="","",IF($E1206=IFERROR(INDEX(项目档案!$D$6:$D$255,MATCH($C1206,项目档案!$A$6:$A$255,0)),""),"一级",IF($E1206=IFERROR(INDEX(项目档案!$F$6:$F$255,MATCH($C1206,项目档案!$A$6:$A$255,0)),""),"二级",IF($E1206=IFERROR(INDEX(项目档案!$H$6:$H$255,MATCH($C1206,项目档案!$A$6:$A$255,0)),""),"我方","—"))))</f>
        <v/>
      </c>
      <c r="O1206" s="36" t="n">
        <f aca="false">IF($D1206&lt;&gt;"销项开票",0,ROUND(N($H1206)*N($I1206),2))</f>
        <v>0</v>
      </c>
      <c r="P1206" s="36" t="n">
        <f aca="false">IF($D1206&lt;&gt;"销项开票",0,ROUND(N($H1206)-$O1206,2))</f>
        <v>0</v>
      </c>
      <c r="Q1206" s="37" t="str">
        <f aca="false">IF($E1206="","",N(IFERROR(INDEX(单位档案!$E$6:$E$35,MATCH($E1206,单位档案!$A$6:$A$35,0)),"")))</f>
        <v/>
      </c>
      <c r="R1206" s="37" t="str">
        <f aca="false">IF($E1206="","",N(IFERROR(INDEX(单位档案!$F$6:$F$35,MATCH($E1206,单位档案!$A$6:$A$35,0)),"")))</f>
        <v/>
      </c>
      <c r="S1206" s="36" t="n">
        <f aca="false">IF(OR($D1206&lt;&gt;"销项开票",IFERROR(INDEX(单位档案!$G$6:$G$35,MATCH($E1206,单位档案!$A$6:$A$35,0)),"")&lt;&gt;"是",N($Q1206)=0),0,IF(IFERROR(INDEX(单位档案!$H$6:$H$35,MATCH($E1206,单位档案!$A$6:$A$35,0)),"")="税差法",ROUND(N($H1206)/(1+$Q1206)*$Q1206-IF(N($R1206)=0,0,$P1206/(1+$R1206)*$R1206),2),ROUND(N($H1206)/(1+$Q1206)*$Q1206,2)))</f>
        <v>0</v>
      </c>
      <c r="T1206" s="36" t="n">
        <f aca="false">ROUND($S1206*N(IFERROR(INDEX(单位档案!$J$6:$J$35,MATCH($E1206,单位档案!$A$6:$A$35,0)),"")),2)</f>
        <v>0</v>
      </c>
      <c r="U1206" s="36" t="n">
        <f aca="false">IF($D1206&lt;&gt;"销项开票",0,ROUND(N($H1206)*N(IFERROR(INDEX(单位档案!$K$6:$K$35,MATCH($E1206,单位档案!$A$6:$A$35,0)),"")),2))</f>
        <v>0</v>
      </c>
      <c r="V1206" s="36" t="n">
        <f aca="false">IF(OR($D1206&lt;&gt;"销项开票",N($Q1206)=0),0,ROUND(N($H1206)/(1+$Q1206)*N(IFERROR(INDEX(单位档案!$L$6:$L$35,MATCH($E1206,单位档案!$A$6:$A$35,0)),"")),2))</f>
        <v>0</v>
      </c>
      <c r="W1206" s="36" t="n">
        <f aca="false">ROUND($S1206+$T1206+$U1206+$V1206,2)</f>
        <v>0</v>
      </c>
      <c r="X1206" s="35" t="str">
        <f aca="false">IF(OR($D1206="挂靠代收",$D1206="我方收款"),COUNTIFS($D$5:$D1206,"挂靠代收")+COUNTIFS($D$5:$D1206,"我方收款"),"")</f>
        <v/>
      </c>
      <c r="Y1206" s="35"/>
      <c r="Z1206" s="21" t="s">
        <v>111</v>
      </c>
    </row>
    <row r="1207" customFormat="false" ht="15.75" hidden="false" customHeight="true" outlineLevel="0" collapsed="false">
      <c r="A1207" s="32" t="str">
        <f aca="false">IF($B1207="","",ROW()-4)</f>
        <v/>
      </c>
      <c r="B1207" s="26"/>
      <c r="C1207" s="24"/>
      <c r="D1207" s="21"/>
      <c r="E1207" s="21"/>
      <c r="F1207" s="21"/>
      <c r="G1207" s="21"/>
      <c r="H1207" s="27"/>
      <c r="I1207" s="23" t="str">
        <f aca="false">IF($D1207&lt;&gt;"销项开票","",IF($N1207="一级",IF(IFERROR(INDEX(项目档案!$E$6:$E$255,MATCH($C1207,项目档案!$A$6:$A$255,0)),"")="",N(IFERROR(INDEX(单位档案!$D$6:$D$35,MATCH($E1207,单位档案!$A$6:$A$35,0)),"")),IFERROR(INDEX(项目档案!$E$6:$E$255,MATCH($C1207,项目档案!$A$6:$A$255,0)),"")),IF($N1207="二级",IF(IFERROR(INDEX(项目档案!$G$6:$G$255,MATCH($C1207,项目档案!$A$6:$A$255,0)),"")="",N(IFERROR(INDEX(单位档案!$D$6:$D$35,MATCH($E1207,单位档案!$A$6:$A$35,0)),"")),IFERROR(INDEX(项目档案!$G$6:$G$255,MATCH($C1207,项目档案!$A$6:$A$255,0)),"")),N(IFERROR(INDEX(单位档案!$D$6:$D$35,MATCH($E1207,单位档案!$A$6:$A$35,0)),"")))))</f>
        <v/>
      </c>
      <c r="J1207" s="22"/>
      <c r="K1207" s="22"/>
      <c r="L1207" s="33" t="str">
        <f aca="false">IF($B1207="","",IF(NOT(ISNUMBER($B1207)),"日期格式不对",IF($C1207="","未选项目编号",IF(LEFT($M1207,1)="⚠","项目编号不存在",IF($D1207="","未选业务类型",IF($E1207="","未选开票/付款方",IF(ISNA(MATCH($E1207,单位档案!$A$6:$A$35,0)),"开票方不在单位档案",IF($F1207="","未选收票/收款方",IF(ISNA(MATCH($F1207,单位档案!$A$6:$A$35,0)),"收款方不在单位档案",IF(NOT(ISNUMBER($H1207)),"金额须为数字",IF(AND($D1207="销项开票",$N1207="—"),"链条待确认","√")))))))))))</f>
        <v/>
      </c>
      <c r="M1207" s="34" t="str">
        <f aca="false">IF($C1207="","",IFERROR(INDEX(项目档案!$B$6:$B$255,MATCH($C1207,项目档案!$A$6:$A$255,0)),"⚠项目编号不存在"))</f>
        <v/>
      </c>
      <c r="N1207" s="35" t="str">
        <f aca="false">IF($E1207="","",IF($E1207=IFERROR(INDEX(项目档案!$D$6:$D$255,MATCH($C1207,项目档案!$A$6:$A$255,0)),""),"一级",IF($E1207=IFERROR(INDEX(项目档案!$F$6:$F$255,MATCH($C1207,项目档案!$A$6:$A$255,0)),""),"二级",IF($E1207=IFERROR(INDEX(项目档案!$H$6:$H$255,MATCH($C1207,项目档案!$A$6:$A$255,0)),""),"我方","—"))))</f>
        <v/>
      </c>
      <c r="O1207" s="36" t="n">
        <f aca="false">IF($D1207&lt;&gt;"销项开票",0,ROUND(N($H1207)*N($I1207),2))</f>
        <v>0</v>
      </c>
      <c r="P1207" s="36" t="n">
        <f aca="false">IF($D1207&lt;&gt;"销项开票",0,ROUND(N($H1207)-$O1207,2))</f>
        <v>0</v>
      </c>
      <c r="Q1207" s="37" t="str">
        <f aca="false">IF($E1207="","",N(IFERROR(INDEX(单位档案!$E$6:$E$35,MATCH($E1207,单位档案!$A$6:$A$35,0)),"")))</f>
        <v/>
      </c>
      <c r="R1207" s="37" t="str">
        <f aca="false">IF($E1207="","",N(IFERROR(INDEX(单位档案!$F$6:$F$35,MATCH($E1207,单位档案!$A$6:$A$35,0)),"")))</f>
        <v/>
      </c>
      <c r="S1207" s="36" t="n">
        <f aca="false">IF(OR($D1207&lt;&gt;"销项开票",IFERROR(INDEX(单位档案!$G$6:$G$35,MATCH($E1207,单位档案!$A$6:$A$35,0)),"")&lt;&gt;"是",N($Q1207)=0),0,IF(IFERROR(INDEX(单位档案!$H$6:$H$35,MATCH($E1207,单位档案!$A$6:$A$35,0)),"")="税差法",ROUND(N($H1207)/(1+$Q1207)*$Q1207-IF(N($R1207)=0,0,$P1207/(1+$R1207)*$R1207),2),ROUND(N($H1207)/(1+$Q1207)*$Q1207,2)))</f>
        <v>0</v>
      </c>
      <c r="T1207" s="36" t="n">
        <f aca="false">ROUND($S1207*N(IFERROR(INDEX(单位档案!$J$6:$J$35,MATCH($E1207,单位档案!$A$6:$A$35,0)),"")),2)</f>
        <v>0</v>
      </c>
      <c r="U1207" s="36" t="n">
        <f aca="false">IF($D1207&lt;&gt;"销项开票",0,ROUND(N($H1207)*N(IFERROR(INDEX(单位档案!$K$6:$K$35,MATCH($E1207,单位档案!$A$6:$A$35,0)),"")),2))</f>
        <v>0</v>
      </c>
      <c r="V1207" s="36" t="n">
        <f aca="false">IF(OR($D1207&lt;&gt;"销项开票",N($Q1207)=0),0,ROUND(N($H1207)/(1+$Q1207)*N(IFERROR(INDEX(单位档案!$L$6:$L$35,MATCH($E1207,单位档案!$A$6:$A$35,0)),"")),2))</f>
        <v>0</v>
      </c>
      <c r="W1207" s="36" t="n">
        <f aca="false">ROUND($S1207+$T1207+$U1207+$V1207,2)</f>
        <v>0</v>
      </c>
      <c r="X1207" s="35" t="str">
        <f aca="false">IF(OR($D1207="挂靠代收",$D1207="我方收款"),COUNTIFS($D$5:$D1207,"挂靠代收")+COUNTIFS($D$5:$D1207,"我方收款"),"")</f>
        <v/>
      </c>
      <c r="Y1207" s="35"/>
      <c r="Z1207" s="21" t="s">
        <v>111</v>
      </c>
    </row>
    <row r="1208" customFormat="false" ht="15.75" hidden="false" customHeight="true" outlineLevel="0" collapsed="false">
      <c r="A1208" s="32" t="str">
        <f aca="false">IF($B1208="","",ROW()-4)</f>
        <v/>
      </c>
      <c r="B1208" s="26"/>
      <c r="C1208" s="24"/>
      <c r="D1208" s="21"/>
      <c r="E1208" s="21"/>
      <c r="F1208" s="21"/>
      <c r="G1208" s="21"/>
      <c r="H1208" s="27"/>
      <c r="I1208" s="23" t="str">
        <f aca="false">IF($D1208&lt;&gt;"销项开票","",IF($N1208="一级",IF(IFERROR(INDEX(项目档案!$E$6:$E$255,MATCH($C1208,项目档案!$A$6:$A$255,0)),"")="",N(IFERROR(INDEX(单位档案!$D$6:$D$35,MATCH($E1208,单位档案!$A$6:$A$35,0)),"")),IFERROR(INDEX(项目档案!$E$6:$E$255,MATCH($C1208,项目档案!$A$6:$A$255,0)),"")),IF($N1208="二级",IF(IFERROR(INDEX(项目档案!$G$6:$G$255,MATCH($C1208,项目档案!$A$6:$A$255,0)),"")="",N(IFERROR(INDEX(单位档案!$D$6:$D$35,MATCH($E1208,单位档案!$A$6:$A$35,0)),"")),IFERROR(INDEX(项目档案!$G$6:$G$255,MATCH($C1208,项目档案!$A$6:$A$255,0)),"")),N(IFERROR(INDEX(单位档案!$D$6:$D$35,MATCH($E1208,单位档案!$A$6:$A$35,0)),"")))))</f>
        <v/>
      </c>
      <c r="J1208" s="22"/>
      <c r="K1208" s="22"/>
      <c r="L1208" s="33" t="str">
        <f aca="false">IF($B1208="","",IF(NOT(ISNUMBER($B1208)),"日期格式不对",IF($C1208="","未选项目编号",IF(LEFT($M1208,1)="⚠","项目编号不存在",IF($D1208="","未选业务类型",IF($E1208="","未选开票/付款方",IF(ISNA(MATCH($E1208,单位档案!$A$6:$A$35,0)),"开票方不在单位档案",IF($F1208="","未选收票/收款方",IF(ISNA(MATCH($F1208,单位档案!$A$6:$A$35,0)),"收款方不在单位档案",IF(NOT(ISNUMBER($H1208)),"金额须为数字",IF(AND($D1208="销项开票",$N1208="—"),"链条待确认","√")))))))))))</f>
        <v/>
      </c>
      <c r="M1208" s="34" t="str">
        <f aca="false">IF($C1208="","",IFERROR(INDEX(项目档案!$B$6:$B$255,MATCH($C1208,项目档案!$A$6:$A$255,0)),"⚠项目编号不存在"))</f>
        <v/>
      </c>
      <c r="N1208" s="35" t="str">
        <f aca="false">IF($E1208="","",IF($E1208=IFERROR(INDEX(项目档案!$D$6:$D$255,MATCH($C1208,项目档案!$A$6:$A$255,0)),""),"一级",IF($E1208=IFERROR(INDEX(项目档案!$F$6:$F$255,MATCH($C1208,项目档案!$A$6:$A$255,0)),""),"二级",IF($E1208=IFERROR(INDEX(项目档案!$H$6:$H$255,MATCH($C1208,项目档案!$A$6:$A$255,0)),""),"我方","—"))))</f>
        <v/>
      </c>
      <c r="O1208" s="36" t="n">
        <f aca="false">IF($D1208&lt;&gt;"销项开票",0,ROUND(N($H1208)*N($I1208),2))</f>
        <v>0</v>
      </c>
      <c r="P1208" s="36" t="n">
        <f aca="false">IF($D1208&lt;&gt;"销项开票",0,ROUND(N($H1208)-$O1208,2))</f>
        <v>0</v>
      </c>
      <c r="Q1208" s="37" t="str">
        <f aca="false">IF($E1208="","",N(IFERROR(INDEX(单位档案!$E$6:$E$35,MATCH($E1208,单位档案!$A$6:$A$35,0)),"")))</f>
        <v/>
      </c>
      <c r="R1208" s="37" t="str">
        <f aca="false">IF($E1208="","",N(IFERROR(INDEX(单位档案!$F$6:$F$35,MATCH($E1208,单位档案!$A$6:$A$35,0)),"")))</f>
        <v/>
      </c>
      <c r="S1208" s="36" t="n">
        <f aca="false">IF(OR($D1208&lt;&gt;"销项开票",IFERROR(INDEX(单位档案!$G$6:$G$35,MATCH($E1208,单位档案!$A$6:$A$35,0)),"")&lt;&gt;"是",N($Q1208)=0),0,IF(IFERROR(INDEX(单位档案!$H$6:$H$35,MATCH($E1208,单位档案!$A$6:$A$35,0)),"")="税差法",ROUND(N($H1208)/(1+$Q1208)*$Q1208-IF(N($R1208)=0,0,$P1208/(1+$R1208)*$R1208),2),ROUND(N($H1208)/(1+$Q1208)*$Q1208,2)))</f>
        <v>0</v>
      </c>
      <c r="T1208" s="36" t="n">
        <f aca="false">ROUND($S1208*N(IFERROR(INDEX(单位档案!$J$6:$J$35,MATCH($E1208,单位档案!$A$6:$A$35,0)),"")),2)</f>
        <v>0</v>
      </c>
      <c r="U1208" s="36" t="n">
        <f aca="false">IF($D1208&lt;&gt;"销项开票",0,ROUND(N($H1208)*N(IFERROR(INDEX(单位档案!$K$6:$K$35,MATCH($E1208,单位档案!$A$6:$A$35,0)),"")),2))</f>
        <v>0</v>
      </c>
      <c r="V1208" s="36" t="n">
        <f aca="false">IF(OR($D1208&lt;&gt;"销项开票",N($Q1208)=0),0,ROUND(N($H1208)/(1+$Q1208)*N(IFERROR(INDEX(单位档案!$L$6:$L$35,MATCH($E1208,单位档案!$A$6:$A$35,0)),"")),2))</f>
        <v>0</v>
      </c>
      <c r="W1208" s="36" t="n">
        <f aca="false">ROUND($S1208+$T1208+$U1208+$V1208,2)</f>
        <v>0</v>
      </c>
      <c r="X1208" s="35" t="str">
        <f aca="false">IF(OR($D1208="挂靠代收",$D1208="我方收款"),COUNTIFS($D$5:$D1208,"挂靠代收")+COUNTIFS($D$5:$D1208,"我方收款"),"")</f>
        <v/>
      </c>
      <c r="Y1208" s="35"/>
      <c r="Z1208" s="21" t="s">
        <v>111</v>
      </c>
    </row>
    <row r="1209" customFormat="false" ht="15.75" hidden="false" customHeight="true" outlineLevel="0" collapsed="false">
      <c r="A1209" s="32" t="str">
        <f aca="false">IF($B1209="","",ROW()-4)</f>
        <v/>
      </c>
      <c r="B1209" s="26"/>
      <c r="C1209" s="24"/>
      <c r="D1209" s="21"/>
      <c r="E1209" s="21"/>
      <c r="F1209" s="21"/>
      <c r="G1209" s="21"/>
      <c r="H1209" s="27"/>
      <c r="I1209" s="23" t="str">
        <f aca="false">IF($D1209&lt;&gt;"销项开票","",IF($N1209="一级",IF(IFERROR(INDEX(项目档案!$E$6:$E$255,MATCH($C1209,项目档案!$A$6:$A$255,0)),"")="",N(IFERROR(INDEX(单位档案!$D$6:$D$35,MATCH($E1209,单位档案!$A$6:$A$35,0)),"")),IFERROR(INDEX(项目档案!$E$6:$E$255,MATCH($C1209,项目档案!$A$6:$A$255,0)),"")),IF($N1209="二级",IF(IFERROR(INDEX(项目档案!$G$6:$G$255,MATCH($C1209,项目档案!$A$6:$A$255,0)),"")="",N(IFERROR(INDEX(单位档案!$D$6:$D$35,MATCH($E1209,单位档案!$A$6:$A$35,0)),"")),IFERROR(INDEX(项目档案!$G$6:$G$255,MATCH($C1209,项目档案!$A$6:$A$255,0)),"")),N(IFERROR(INDEX(单位档案!$D$6:$D$35,MATCH($E1209,单位档案!$A$6:$A$35,0)),"")))))</f>
        <v/>
      </c>
      <c r="J1209" s="22"/>
      <c r="K1209" s="22"/>
      <c r="L1209" s="33" t="str">
        <f aca="false">IF($B1209="","",IF(NOT(ISNUMBER($B1209)),"日期格式不对",IF($C1209="","未选项目编号",IF(LEFT($M1209,1)="⚠","项目编号不存在",IF($D1209="","未选业务类型",IF($E1209="","未选开票/付款方",IF(ISNA(MATCH($E1209,单位档案!$A$6:$A$35,0)),"开票方不在单位档案",IF($F1209="","未选收票/收款方",IF(ISNA(MATCH($F1209,单位档案!$A$6:$A$35,0)),"收款方不在单位档案",IF(NOT(ISNUMBER($H1209)),"金额须为数字",IF(AND($D1209="销项开票",$N1209="—"),"链条待确认","√")))))))))))</f>
        <v/>
      </c>
      <c r="M1209" s="34" t="str">
        <f aca="false">IF($C1209="","",IFERROR(INDEX(项目档案!$B$6:$B$255,MATCH($C1209,项目档案!$A$6:$A$255,0)),"⚠项目编号不存在"))</f>
        <v/>
      </c>
      <c r="N1209" s="35" t="str">
        <f aca="false">IF($E1209="","",IF($E1209=IFERROR(INDEX(项目档案!$D$6:$D$255,MATCH($C1209,项目档案!$A$6:$A$255,0)),""),"一级",IF($E1209=IFERROR(INDEX(项目档案!$F$6:$F$255,MATCH($C1209,项目档案!$A$6:$A$255,0)),""),"二级",IF($E1209=IFERROR(INDEX(项目档案!$H$6:$H$255,MATCH($C1209,项目档案!$A$6:$A$255,0)),""),"我方","—"))))</f>
        <v/>
      </c>
      <c r="O1209" s="36" t="n">
        <f aca="false">IF($D1209&lt;&gt;"销项开票",0,ROUND(N($H1209)*N($I1209),2))</f>
        <v>0</v>
      </c>
      <c r="P1209" s="36" t="n">
        <f aca="false">IF($D1209&lt;&gt;"销项开票",0,ROUND(N($H1209)-$O1209,2))</f>
        <v>0</v>
      </c>
      <c r="Q1209" s="37" t="str">
        <f aca="false">IF($E1209="","",N(IFERROR(INDEX(单位档案!$E$6:$E$35,MATCH($E1209,单位档案!$A$6:$A$35,0)),"")))</f>
        <v/>
      </c>
      <c r="R1209" s="37" t="str">
        <f aca="false">IF($E1209="","",N(IFERROR(INDEX(单位档案!$F$6:$F$35,MATCH($E1209,单位档案!$A$6:$A$35,0)),"")))</f>
        <v/>
      </c>
      <c r="S1209" s="36" t="n">
        <f aca="false">IF(OR($D1209&lt;&gt;"销项开票",IFERROR(INDEX(单位档案!$G$6:$G$35,MATCH($E1209,单位档案!$A$6:$A$35,0)),"")&lt;&gt;"是",N($Q1209)=0),0,IF(IFERROR(INDEX(单位档案!$H$6:$H$35,MATCH($E1209,单位档案!$A$6:$A$35,0)),"")="税差法",ROUND(N($H1209)/(1+$Q1209)*$Q1209-IF(N($R1209)=0,0,$P1209/(1+$R1209)*$R1209),2),ROUND(N($H1209)/(1+$Q1209)*$Q1209,2)))</f>
        <v>0</v>
      </c>
      <c r="T1209" s="36" t="n">
        <f aca="false">ROUND($S1209*N(IFERROR(INDEX(单位档案!$J$6:$J$35,MATCH($E1209,单位档案!$A$6:$A$35,0)),"")),2)</f>
        <v>0</v>
      </c>
      <c r="U1209" s="36" t="n">
        <f aca="false">IF($D1209&lt;&gt;"销项开票",0,ROUND(N($H1209)*N(IFERROR(INDEX(单位档案!$K$6:$K$35,MATCH($E1209,单位档案!$A$6:$A$35,0)),"")),2))</f>
        <v>0</v>
      </c>
      <c r="V1209" s="36" t="n">
        <f aca="false">IF(OR($D1209&lt;&gt;"销项开票",N($Q1209)=0),0,ROUND(N($H1209)/(1+$Q1209)*N(IFERROR(INDEX(单位档案!$L$6:$L$35,MATCH($E1209,单位档案!$A$6:$A$35,0)),"")),2))</f>
        <v>0</v>
      </c>
      <c r="W1209" s="36" t="n">
        <f aca="false">ROUND($S1209+$T1209+$U1209+$V1209,2)</f>
        <v>0</v>
      </c>
      <c r="X1209" s="35" t="str">
        <f aca="false">IF(OR($D1209="挂靠代收",$D1209="我方收款"),COUNTIFS($D$5:$D1209,"挂靠代收")+COUNTIFS($D$5:$D1209,"我方收款"),"")</f>
        <v/>
      </c>
      <c r="Y1209" s="35"/>
      <c r="Z1209" s="21" t="s">
        <v>111</v>
      </c>
    </row>
    <row r="1210" customFormat="false" ht="15.75" hidden="false" customHeight="true" outlineLevel="0" collapsed="false">
      <c r="A1210" s="32" t="str">
        <f aca="false">IF($B1210="","",ROW()-4)</f>
        <v/>
      </c>
      <c r="B1210" s="26"/>
      <c r="C1210" s="24"/>
      <c r="D1210" s="21"/>
      <c r="E1210" s="21"/>
      <c r="F1210" s="21"/>
      <c r="G1210" s="21"/>
      <c r="H1210" s="27"/>
      <c r="I1210" s="23" t="str">
        <f aca="false">IF($D1210&lt;&gt;"销项开票","",IF($N1210="一级",IF(IFERROR(INDEX(项目档案!$E$6:$E$255,MATCH($C1210,项目档案!$A$6:$A$255,0)),"")="",N(IFERROR(INDEX(单位档案!$D$6:$D$35,MATCH($E1210,单位档案!$A$6:$A$35,0)),"")),IFERROR(INDEX(项目档案!$E$6:$E$255,MATCH($C1210,项目档案!$A$6:$A$255,0)),"")),IF($N1210="二级",IF(IFERROR(INDEX(项目档案!$G$6:$G$255,MATCH($C1210,项目档案!$A$6:$A$255,0)),"")="",N(IFERROR(INDEX(单位档案!$D$6:$D$35,MATCH($E1210,单位档案!$A$6:$A$35,0)),"")),IFERROR(INDEX(项目档案!$G$6:$G$255,MATCH($C1210,项目档案!$A$6:$A$255,0)),"")),N(IFERROR(INDEX(单位档案!$D$6:$D$35,MATCH($E1210,单位档案!$A$6:$A$35,0)),"")))))</f>
        <v/>
      </c>
      <c r="J1210" s="22"/>
      <c r="K1210" s="22"/>
      <c r="L1210" s="33" t="str">
        <f aca="false">IF($B1210="","",IF(NOT(ISNUMBER($B1210)),"日期格式不对",IF($C1210="","未选项目编号",IF(LEFT($M1210,1)="⚠","项目编号不存在",IF($D1210="","未选业务类型",IF($E1210="","未选开票/付款方",IF(ISNA(MATCH($E1210,单位档案!$A$6:$A$35,0)),"开票方不在单位档案",IF($F1210="","未选收票/收款方",IF(ISNA(MATCH($F1210,单位档案!$A$6:$A$35,0)),"收款方不在单位档案",IF(NOT(ISNUMBER($H1210)),"金额须为数字",IF(AND($D1210="销项开票",$N1210="—"),"链条待确认","√")))))))))))</f>
        <v/>
      </c>
      <c r="M1210" s="34" t="str">
        <f aca="false">IF($C1210="","",IFERROR(INDEX(项目档案!$B$6:$B$255,MATCH($C1210,项目档案!$A$6:$A$255,0)),"⚠项目编号不存在"))</f>
        <v/>
      </c>
      <c r="N1210" s="35" t="str">
        <f aca="false">IF($E1210="","",IF($E1210=IFERROR(INDEX(项目档案!$D$6:$D$255,MATCH($C1210,项目档案!$A$6:$A$255,0)),""),"一级",IF($E1210=IFERROR(INDEX(项目档案!$F$6:$F$255,MATCH($C1210,项目档案!$A$6:$A$255,0)),""),"二级",IF($E1210=IFERROR(INDEX(项目档案!$H$6:$H$255,MATCH($C1210,项目档案!$A$6:$A$255,0)),""),"我方","—"))))</f>
        <v/>
      </c>
      <c r="O1210" s="36" t="n">
        <f aca="false">IF($D1210&lt;&gt;"销项开票",0,ROUND(N($H1210)*N($I1210),2))</f>
        <v>0</v>
      </c>
      <c r="P1210" s="36" t="n">
        <f aca="false">IF($D1210&lt;&gt;"销项开票",0,ROUND(N($H1210)-$O1210,2))</f>
        <v>0</v>
      </c>
      <c r="Q1210" s="37" t="str">
        <f aca="false">IF($E1210="","",N(IFERROR(INDEX(单位档案!$E$6:$E$35,MATCH($E1210,单位档案!$A$6:$A$35,0)),"")))</f>
        <v/>
      </c>
      <c r="R1210" s="37" t="str">
        <f aca="false">IF($E1210="","",N(IFERROR(INDEX(单位档案!$F$6:$F$35,MATCH($E1210,单位档案!$A$6:$A$35,0)),"")))</f>
        <v/>
      </c>
      <c r="S1210" s="36" t="n">
        <f aca="false">IF(OR($D1210&lt;&gt;"销项开票",IFERROR(INDEX(单位档案!$G$6:$G$35,MATCH($E1210,单位档案!$A$6:$A$35,0)),"")&lt;&gt;"是",N($Q1210)=0),0,IF(IFERROR(INDEX(单位档案!$H$6:$H$35,MATCH($E1210,单位档案!$A$6:$A$35,0)),"")="税差法",ROUND(N($H1210)/(1+$Q1210)*$Q1210-IF(N($R1210)=0,0,$P1210/(1+$R1210)*$R1210),2),ROUND(N($H1210)/(1+$Q1210)*$Q1210,2)))</f>
        <v>0</v>
      </c>
      <c r="T1210" s="36" t="n">
        <f aca="false">ROUND($S1210*N(IFERROR(INDEX(单位档案!$J$6:$J$35,MATCH($E1210,单位档案!$A$6:$A$35,0)),"")),2)</f>
        <v>0</v>
      </c>
      <c r="U1210" s="36" t="n">
        <f aca="false">IF($D1210&lt;&gt;"销项开票",0,ROUND(N($H1210)*N(IFERROR(INDEX(单位档案!$K$6:$K$35,MATCH($E1210,单位档案!$A$6:$A$35,0)),"")),2))</f>
        <v>0</v>
      </c>
      <c r="V1210" s="36" t="n">
        <f aca="false">IF(OR($D1210&lt;&gt;"销项开票",N($Q1210)=0),0,ROUND(N($H1210)/(1+$Q1210)*N(IFERROR(INDEX(单位档案!$L$6:$L$35,MATCH($E1210,单位档案!$A$6:$A$35,0)),"")),2))</f>
        <v>0</v>
      </c>
      <c r="W1210" s="36" t="n">
        <f aca="false">ROUND($S1210+$T1210+$U1210+$V1210,2)</f>
        <v>0</v>
      </c>
      <c r="X1210" s="35" t="str">
        <f aca="false">IF(OR($D1210="挂靠代收",$D1210="我方收款"),COUNTIFS($D$5:$D1210,"挂靠代收")+COUNTIFS($D$5:$D1210,"我方收款"),"")</f>
        <v/>
      </c>
      <c r="Y1210" s="35"/>
      <c r="Z1210" s="21" t="s">
        <v>111</v>
      </c>
    </row>
    <row r="1211" customFormat="false" ht="15.75" hidden="false" customHeight="true" outlineLevel="0" collapsed="false">
      <c r="A1211" s="32" t="str">
        <f aca="false">IF($B1211="","",ROW()-4)</f>
        <v/>
      </c>
      <c r="B1211" s="26"/>
      <c r="C1211" s="24"/>
      <c r="D1211" s="21"/>
      <c r="E1211" s="21"/>
      <c r="F1211" s="21"/>
      <c r="G1211" s="21"/>
      <c r="H1211" s="27"/>
      <c r="I1211" s="23" t="str">
        <f aca="false">IF($D1211&lt;&gt;"销项开票","",IF($N1211="一级",IF(IFERROR(INDEX(项目档案!$E$6:$E$255,MATCH($C1211,项目档案!$A$6:$A$255,0)),"")="",N(IFERROR(INDEX(单位档案!$D$6:$D$35,MATCH($E1211,单位档案!$A$6:$A$35,0)),"")),IFERROR(INDEX(项目档案!$E$6:$E$255,MATCH($C1211,项目档案!$A$6:$A$255,0)),"")),IF($N1211="二级",IF(IFERROR(INDEX(项目档案!$G$6:$G$255,MATCH($C1211,项目档案!$A$6:$A$255,0)),"")="",N(IFERROR(INDEX(单位档案!$D$6:$D$35,MATCH($E1211,单位档案!$A$6:$A$35,0)),"")),IFERROR(INDEX(项目档案!$G$6:$G$255,MATCH($C1211,项目档案!$A$6:$A$255,0)),"")),N(IFERROR(INDEX(单位档案!$D$6:$D$35,MATCH($E1211,单位档案!$A$6:$A$35,0)),"")))))</f>
        <v/>
      </c>
      <c r="J1211" s="22"/>
      <c r="K1211" s="22"/>
      <c r="L1211" s="33" t="str">
        <f aca="false">IF($B1211="","",IF(NOT(ISNUMBER($B1211)),"日期格式不对",IF($C1211="","未选项目编号",IF(LEFT($M1211,1)="⚠","项目编号不存在",IF($D1211="","未选业务类型",IF($E1211="","未选开票/付款方",IF(ISNA(MATCH($E1211,单位档案!$A$6:$A$35,0)),"开票方不在单位档案",IF($F1211="","未选收票/收款方",IF(ISNA(MATCH($F1211,单位档案!$A$6:$A$35,0)),"收款方不在单位档案",IF(NOT(ISNUMBER($H1211)),"金额须为数字",IF(AND($D1211="销项开票",$N1211="—"),"链条待确认","√")))))))))))</f>
        <v/>
      </c>
      <c r="M1211" s="34" t="str">
        <f aca="false">IF($C1211="","",IFERROR(INDEX(项目档案!$B$6:$B$255,MATCH($C1211,项目档案!$A$6:$A$255,0)),"⚠项目编号不存在"))</f>
        <v/>
      </c>
      <c r="N1211" s="35" t="str">
        <f aca="false">IF($E1211="","",IF($E1211=IFERROR(INDEX(项目档案!$D$6:$D$255,MATCH($C1211,项目档案!$A$6:$A$255,0)),""),"一级",IF($E1211=IFERROR(INDEX(项目档案!$F$6:$F$255,MATCH($C1211,项目档案!$A$6:$A$255,0)),""),"二级",IF($E1211=IFERROR(INDEX(项目档案!$H$6:$H$255,MATCH($C1211,项目档案!$A$6:$A$255,0)),""),"我方","—"))))</f>
        <v/>
      </c>
      <c r="O1211" s="36" t="n">
        <f aca="false">IF($D1211&lt;&gt;"销项开票",0,ROUND(N($H1211)*N($I1211),2))</f>
        <v>0</v>
      </c>
      <c r="P1211" s="36" t="n">
        <f aca="false">IF($D1211&lt;&gt;"销项开票",0,ROUND(N($H1211)-$O1211,2))</f>
        <v>0</v>
      </c>
      <c r="Q1211" s="37" t="str">
        <f aca="false">IF($E1211="","",N(IFERROR(INDEX(单位档案!$E$6:$E$35,MATCH($E1211,单位档案!$A$6:$A$35,0)),"")))</f>
        <v/>
      </c>
      <c r="R1211" s="37" t="str">
        <f aca="false">IF($E1211="","",N(IFERROR(INDEX(单位档案!$F$6:$F$35,MATCH($E1211,单位档案!$A$6:$A$35,0)),"")))</f>
        <v/>
      </c>
      <c r="S1211" s="36" t="n">
        <f aca="false">IF(OR($D1211&lt;&gt;"销项开票",IFERROR(INDEX(单位档案!$G$6:$G$35,MATCH($E1211,单位档案!$A$6:$A$35,0)),"")&lt;&gt;"是",N($Q1211)=0),0,IF(IFERROR(INDEX(单位档案!$H$6:$H$35,MATCH($E1211,单位档案!$A$6:$A$35,0)),"")="税差法",ROUND(N($H1211)/(1+$Q1211)*$Q1211-IF(N($R1211)=0,0,$P1211/(1+$R1211)*$R1211),2),ROUND(N($H1211)/(1+$Q1211)*$Q1211,2)))</f>
        <v>0</v>
      </c>
      <c r="T1211" s="36" t="n">
        <f aca="false">ROUND($S1211*N(IFERROR(INDEX(单位档案!$J$6:$J$35,MATCH($E1211,单位档案!$A$6:$A$35,0)),"")),2)</f>
        <v>0</v>
      </c>
      <c r="U1211" s="36" t="n">
        <f aca="false">IF($D1211&lt;&gt;"销项开票",0,ROUND(N($H1211)*N(IFERROR(INDEX(单位档案!$K$6:$K$35,MATCH($E1211,单位档案!$A$6:$A$35,0)),"")),2))</f>
        <v>0</v>
      </c>
      <c r="V1211" s="36" t="n">
        <f aca="false">IF(OR($D1211&lt;&gt;"销项开票",N($Q1211)=0),0,ROUND(N($H1211)/(1+$Q1211)*N(IFERROR(INDEX(单位档案!$L$6:$L$35,MATCH($E1211,单位档案!$A$6:$A$35,0)),"")),2))</f>
        <v>0</v>
      </c>
      <c r="W1211" s="36" t="n">
        <f aca="false">ROUND($S1211+$T1211+$U1211+$V1211,2)</f>
        <v>0</v>
      </c>
      <c r="X1211" s="35" t="str">
        <f aca="false">IF(OR($D1211="挂靠代收",$D1211="我方收款"),COUNTIFS($D$5:$D1211,"挂靠代收")+COUNTIFS($D$5:$D1211,"我方收款"),"")</f>
        <v/>
      </c>
      <c r="Y1211" s="35"/>
      <c r="Z1211" s="21" t="s">
        <v>111</v>
      </c>
    </row>
    <row r="1212" customFormat="false" ht="15.75" hidden="false" customHeight="true" outlineLevel="0" collapsed="false">
      <c r="A1212" s="32" t="str">
        <f aca="false">IF($B1212="","",ROW()-4)</f>
        <v/>
      </c>
      <c r="B1212" s="26"/>
      <c r="C1212" s="24"/>
      <c r="D1212" s="21"/>
      <c r="E1212" s="21"/>
      <c r="F1212" s="21"/>
      <c r="G1212" s="21"/>
      <c r="H1212" s="27"/>
      <c r="I1212" s="23" t="str">
        <f aca="false">IF($D1212&lt;&gt;"销项开票","",IF($N1212="一级",IF(IFERROR(INDEX(项目档案!$E$6:$E$255,MATCH($C1212,项目档案!$A$6:$A$255,0)),"")="",N(IFERROR(INDEX(单位档案!$D$6:$D$35,MATCH($E1212,单位档案!$A$6:$A$35,0)),"")),IFERROR(INDEX(项目档案!$E$6:$E$255,MATCH($C1212,项目档案!$A$6:$A$255,0)),"")),IF($N1212="二级",IF(IFERROR(INDEX(项目档案!$G$6:$G$255,MATCH($C1212,项目档案!$A$6:$A$255,0)),"")="",N(IFERROR(INDEX(单位档案!$D$6:$D$35,MATCH($E1212,单位档案!$A$6:$A$35,0)),"")),IFERROR(INDEX(项目档案!$G$6:$G$255,MATCH($C1212,项目档案!$A$6:$A$255,0)),"")),N(IFERROR(INDEX(单位档案!$D$6:$D$35,MATCH($E1212,单位档案!$A$6:$A$35,0)),"")))))</f>
        <v/>
      </c>
      <c r="J1212" s="22"/>
      <c r="K1212" s="22"/>
      <c r="L1212" s="33" t="str">
        <f aca="false">IF($B1212="","",IF(NOT(ISNUMBER($B1212)),"日期格式不对",IF($C1212="","未选项目编号",IF(LEFT($M1212,1)="⚠","项目编号不存在",IF($D1212="","未选业务类型",IF($E1212="","未选开票/付款方",IF(ISNA(MATCH($E1212,单位档案!$A$6:$A$35,0)),"开票方不在单位档案",IF($F1212="","未选收票/收款方",IF(ISNA(MATCH($F1212,单位档案!$A$6:$A$35,0)),"收款方不在单位档案",IF(NOT(ISNUMBER($H1212)),"金额须为数字",IF(AND($D1212="销项开票",$N1212="—"),"链条待确认","√")))))))))))</f>
        <v/>
      </c>
      <c r="M1212" s="34" t="str">
        <f aca="false">IF($C1212="","",IFERROR(INDEX(项目档案!$B$6:$B$255,MATCH($C1212,项目档案!$A$6:$A$255,0)),"⚠项目编号不存在"))</f>
        <v/>
      </c>
      <c r="N1212" s="35" t="str">
        <f aca="false">IF($E1212="","",IF($E1212=IFERROR(INDEX(项目档案!$D$6:$D$255,MATCH($C1212,项目档案!$A$6:$A$255,0)),""),"一级",IF($E1212=IFERROR(INDEX(项目档案!$F$6:$F$255,MATCH($C1212,项目档案!$A$6:$A$255,0)),""),"二级",IF($E1212=IFERROR(INDEX(项目档案!$H$6:$H$255,MATCH($C1212,项目档案!$A$6:$A$255,0)),""),"我方","—"))))</f>
        <v/>
      </c>
      <c r="O1212" s="36" t="n">
        <f aca="false">IF($D1212&lt;&gt;"销项开票",0,ROUND(N($H1212)*N($I1212),2))</f>
        <v>0</v>
      </c>
      <c r="P1212" s="36" t="n">
        <f aca="false">IF($D1212&lt;&gt;"销项开票",0,ROUND(N($H1212)-$O1212,2))</f>
        <v>0</v>
      </c>
      <c r="Q1212" s="37" t="str">
        <f aca="false">IF($E1212="","",N(IFERROR(INDEX(单位档案!$E$6:$E$35,MATCH($E1212,单位档案!$A$6:$A$35,0)),"")))</f>
        <v/>
      </c>
      <c r="R1212" s="37" t="str">
        <f aca="false">IF($E1212="","",N(IFERROR(INDEX(单位档案!$F$6:$F$35,MATCH($E1212,单位档案!$A$6:$A$35,0)),"")))</f>
        <v/>
      </c>
      <c r="S1212" s="36" t="n">
        <f aca="false">IF(OR($D1212&lt;&gt;"销项开票",IFERROR(INDEX(单位档案!$G$6:$G$35,MATCH($E1212,单位档案!$A$6:$A$35,0)),"")&lt;&gt;"是",N($Q1212)=0),0,IF(IFERROR(INDEX(单位档案!$H$6:$H$35,MATCH($E1212,单位档案!$A$6:$A$35,0)),"")="税差法",ROUND(N($H1212)/(1+$Q1212)*$Q1212-IF(N($R1212)=0,0,$P1212/(1+$R1212)*$R1212),2),ROUND(N($H1212)/(1+$Q1212)*$Q1212,2)))</f>
        <v>0</v>
      </c>
      <c r="T1212" s="36" t="n">
        <f aca="false">ROUND($S1212*N(IFERROR(INDEX(单位档案!$J$6:$J$35,MATCH($E1212,单位档案!$A$6:$A$35,0)),"")),2)</f>
        <v>0</v>
      </c>
      <c r="U1212" s="36" t="n">
        <f aca="false">IF($D1212&lt;&gt;"销项开票",0,ROUND(N($H1212)*N(IFERROR(INDEX(单位档案!$K$6:$K$35,MATCH($E1212,单位档案!$A$6:$A$35,0)),"")),2))</f>
        <v>0</v>
      </c>
      <c r="V1212" s="36" t="n">
        <f aca="false">IF(OR($D1212&lt;&gt;"销项开票",N($Q1212)=0),0,ROUND(N($H1212)/(1+$Q1212)*N(IFERROR(INDEX(单位档案!$L$6:$L$35,MATCH($E1212,单位档案!$A$6:$A$35,0)),"")),2))</f>
        <v>0</v>
      </c>
      <c r="W1212" s="36" t="n">
        <f aca="false">ROUND($S1212+$T1212+$U1212+$V1212,2)</f>
        <v>0</v>
      </c>
      <c r="X1212" s="35" t="str">
        <f aca="false">IF(OR($D1212="挂靠代收",$D1212="我方收款"),COUNTIFS($D$5:$D1212,"挂靠代收")+COUNTIFS($D$5:$D1212,"我方收款"),"")</f>
        <v/>
      </c>
      <c r="Y1212" s="35"/>
      <c r="Z1212" s="21" t="s">
        <v>111</v>
      </c>
    </row>
    <row r="1213" customFormat="false" ht="15.75" hidden="false" customHeight="true" outlineLevel="0" collapsed="false">
      <c r="A1213" s="32" t="str">
        <f aca="false">IF($B1213="","",ROW()-4)</f>
        <v/>
      </c>
      <c r="B1213" s="26"/>
      <c r="C1213" s="24"/>
      <c r="D1213" s="21"/>
      <c r="E1213" s="21"/>
      <c r="F1213" s="21"/>
      <c r="G1213" s="21"/>
      <c r="H1213" s="27"/>
      <c r="I1213" s="23" t="str">
        <f aca="false">IF($D1213&lt;&gt;"销项开票","",IF($N1213="一级",IF(IFERROR(INDEX(项目档案!$E$6:$E$255,MATCH($C1213,项目档案!$A$6:$A$255,0)),"")="",N(IFERROR(INDEX(单位档案!$D$6:$D$35,MATCH($E1213,单位档案!$A$6:$A$35,0)),"")),IFERROR(INDEX(项目档案!$E$6:$E$255,MATCH($C1213,项目档案!$A$6:$A$255,0)),"")),IF($N1213="二级",IF(IFERROR(INDEX(项目档案!$G$6:$G$255,MATCH($C1213,项目档案!$A$6:$A$255,0)),"")="",N(IFERROR(INDEX(单位档案!$D$6:$D$35,MATCH($E1213,单位档案!$A$6:$A$35,0)),"")),IFERROR(INDEX(项目档案!$G$6:$G$255,MATCH($C1213,项目档案!$A$6:$A$255,0)),"")),N(IFERROR(INDEX(单位档案!$D$6:$D$35,MATCH($E1213,单位档案!$A$6:$A$35,0)),"")))))</f>
        <v/>
      </c>
      <c r="J1213" s="22"/>
      <c r="K1213" s="22"/>
      <c r="L1213" s="33" t="str">
        <f aca="false">IF($B1213="","",IF(NOT(ISNUMBER($B1213)),"日期格式不对",IF($C1213="","未选项目编号",IF(LEFT($M1213,1)="⚠","项目编号不存在",IF($D1213="","未选业务类型",IF($E1213="","未选开票/付款方",IF(ISNA(MATCH($E1213,单位档案!$A$6:$A$35,0)),"开票方不在单位档案",IF($F1213="","未选收票/收款方",IF(ISNA(MATCH($F1213,单位档案!$A$6:$A$35,0)),"收款方不在单位档案",IF(NOT(ISNUMBER($H1213)),"金额须为数字",IF(AND($D1213="销项开票",$N1213="—"),"链条待确认","√")))))))))))</f>
        <v/>
      </c>
      <c r="M1213" s="34" t="str">
        <f aca="false">IF($C1213="","",IFERROR(INDEX(项目档案!$B$6:$B$255,MATCH($C1213,项目档案!$A$6:$A$255,0)),"⚠项目编号不存在"))</f>
        <v/>
      </c>
      <c r="N1213" s="35" t="str">
        <f aca="false">IF($E1213="","",IF($E1213=IFERROR(INDEX(项目档案!$D$6:$D$255,MATCH($C1213,项目档案!$A$6:$A$255,0)),""),"一级",IF($E1213=IFERROR(INDEX(项目档案!$F$6:$F$255,MATCH($C1213,项目档案!$A$6:$A$255,0)),""),"二级",IF($E1213=IFERROR(INDEX(项目档案!$H$6:$H$255,MATCH($C1213,项目档案!$A$6:$A$255,0)),""),"我方","—"))))</f>
        <v/>
      </c>
      <c r="O1213" s="36" t="n">
        <f aca="false">IF($D1213&lt;&gt;"销项开票",0,ROUND(N($H1213)*N($I1213),2))</f>
        <v>0</v>
      </c>
      <c r="P1213" s="36" t="n">
        <f aca="false">IF($D1213&lt;&gt;"销项开票",0,ROUND(N($H1213)-$O1213,2))</f>
        <v>0</v>
      </c>
      <c r="Q1213" s="37" t="str">
        <f aca="false">IF($E1213="","",N(IFERROR(INDEX(单位档案!$E$6:$E$35,MATCH($E1213,单位档案!$A$6:$A$35,0)),"")))</f>
        <v/>
      </c>
      <c r="R1213" s="37" t="str">
        <f aca="false">IF($E1213="","",N(IFERROR(INDEX(单位档案!$F$6:$F$35,MATCH($E1213,单位档案!$A$6:$A$35,0)),"")))</f>
        <v/>
      </c>
      <c r="S1213" s="36" t="n">
        <f aca="false">IF(OR($D1213&lt;&gt;"销项开票",IFERROR(INDEX(单位档案!$G$6:$G$35,MATCH($E1213,单位档案!$A$6:$A$35,0)),"")&lt;&gt;"是",N($Q1213)=0),0,IF(IFERROR(INDEX(单位档案!$H$6:$H$35,MATCH($E1213,单位档案!$A$6:$A$35,0)),"")="税差法",ROUND(N($H1213)/(1+$Q1213)*$Q1213-IF(N($R1213)=0,0,$P1213/(1+$R1213)*$R1213),2),ROUND(N($H1213)/(1+$Q1213)*$Q1213,2)))</f>
        <v>0</v>
      </c>
      <c r="T1213" s="36" t="n">
        <f aca="false">ROUND($S1213*N(IFERROR(INDEX(单位档案!$J$6:$J$35,MATCH($E1213,单位档案!$A$6:$A$35,0)),"")),2)</f>
        <v>0</v>
      </c>
      <c r="U1213" s="36" t="n">
        <f aca="false">IF($D1213&lt;&gt;"销项开票",0,ROUND(N($H1213)*N(IFERROR(INDEX(单位档案!$K$6:$K$35,MATCH($E1213,单位档案!$A$6:$A$35,0)),"")),2))</f>
        <v>0</v>
      </c>
      <c r="V1213" s="36" t="n">
        <f aca="false">IF(OR($D1213&lt;&gt;"销项开票",N($Q1213)=0),0,ROUND(N($H1213)/(1+$Q1213)*N(IFERROR(INDEX(单位档案!$L$6:$L$35,MATCH($E1213,单位档案!$A$6:$A$35,0)),"")),2))</f>
        <v>0</v>
      </c>
      <c r="W1213" s="36" t="n">
        <f aca="false">ROUND($S1213+$T1213+$U1213+$V1213,2)</f>
        <v>0</v>
      </c>
      <c r="X1213" s="35" t="str">
        <f aca="false">IF(OR($D1213="挂靠代收",$D1213="我方收款"),COUNTIFS($D$5:$D1213,"挂靠代收")+COUNTIFS($D$5:$D1213,"我方收款"),"")</f>
        <v/>
      </c>
      <c r="Y1213" s="35"/>
      <c r="Z1213" s="21" t="s">
        <v>111</v>
      </c>
    </row>
    <row r="1214" customFormat="false" ht="15.75" hidden="false" customHeight="true" outlineLevel="0" collapsed="false">
      <c r="A1214" s="32" t="str">
        <f aca="false">IF($B1214="","",ROW()-4)</f>
        <v/>
      </c>
      <c r="B1214" s="26"/>
      <c r="C1214" s="24"/>
      <c r="D1214" s="21"/>
      <c r="E1214" s="21"/>
      <c r="F1214" s="21"/>
      <c r="G1214" s="21"/>
      <c r="H1214" s="27"/>
      <c r="I1214" s="23" t="str">
        <f aca="false">IF($D1214&lt;&gt;"销项开票","",IF($N1214="一级",IF(IFERROR(INDEX(项目档案!$E$6:$E$255,MATCH($C1214,项目档案!$A$6:$A$255,0)),"")="",N(IFERROR(INDEX(单位档案!$D$6:$D$35,MATCH($E1214,单位档案!$A$6:$A$35,0)),"")),IFERROR(INDEX(项目档案!$E$6:$E$255,MATCH($C1214,项目档案!$A$6:$A$255,0)),"")),IF($N1214="二级",IF(IFERROR(INDEX(项目档案!$G$6:$G$255,MATCH($C1214,项目档案!$A$6:$A$255,0)),"")="",N(IFERROR(INDEX(单位档案!$D$6:$D$35,MATCH($E1214,单位档案!$A$6:$A$35,0)),"")),IFERROR(INDEX(项目档案!$G$6:$G$255,MATCH($C1214,项目档案!$A$6:$A$255,0)),"")),N(IFERROR(INDEX(单位档案!$D$6:$D$35,MATCH($E1214,单位档案!$A$6:$A$35,0)),"")))))</f>
        <v/>
      </c>
      <c r="J1214" s="22"/>
      <c r="K1214" s="22"/>
      <c r="L1214" s="33" t="str">
        <f aca="false">IF($B1214="","",IF(NOT(ISNUMBER($B1214)),"日期格式不对",IF($C1214="","未选项目编号",IF(LEFT($M1214,1)="⚠","项目编号不存在",IF($D1214="","未选业务类型",IF($E1214="","未选开票/付款方",IF(ISNA(MATCH($E1214,单位档案!$A$6:$A$35,0)),"开票方不在单位档案",IF($F1214="","未选收票/收款方",IF(ISNA(MATCH($F1214,单位档案!$A$6:$A$35,0)),"收款方不在单位档案",IF(NOT(ISNUMBER($H1214)),"金额须为数字",IF(AND($D1214="销项开票",$N1214="—"),"链条待确认","√")))))))))))</f>
        <v/>
      </c>
      <c r="M1214" s="34" t="str">
        <f aca="false">IF($C1214="","",IFERROR(INDEX(项目档案!$B$6:$B$255,MATCH($C1214,项目档案!$A$6:$A$255,0)),"⚠项目编号不存在"))</f>
        <v/>
      </c>
      <c r="N1214" s="35" t="str">
        <f aca="false">IF($E1214="","",IF($E1214=IFERROR(INDEX(项目档案!$D$6:$D$255,MATCH($C1214,项目档案!$A$6:$A$255,0)),""),"一级",IF($E1214=IFERROR(INDEX(项目档案!$F$6:$F$255,MATCH($C1214,项目档案!$A$6:$A$255,0)),""),"二级",IF($E1214=IFERROR(INDEX(项目档案!$H$6:$H$255,MATCH($C1214,项目档案!$A$6:$A$255,0)),""),"我方","—"))))</f>
        <v/>
      </c>
      <c r="O1214" s="36" t="n">
        <f aca="false">IF($D1214&lt;&gt;"销项开票",0,ROUND(N($H1214)*N($I1214),2))</f>
        <v>0</v>
      </c>
      <c r="P1214" s="36" t="n">
        <f aca="false">IF($D1214&lt;&gt;"销项开票",0,ROUND(N($H1214)-$O1214,2))</f>
        <v>0</v>
      </c>
      <c r="Q1214" s="37" t="str">
        <f aca="false">IF($E1214="","",N(IFERROR(INDEX(单位档案!$E$6:$E$35,MATCH($E1214,单位档案!$A$6:$A$35,0)),"")))</f>
        <v/>
      </c>
      <c r="R1214" s="37" t="str">
        <f aca="false">IF($E1214="","",N(IFERROR(INDEX(单位档案!$F$6:$F$35,MATCH($E1214,单位档案!$A$6:$A$35,0)),"")))</f>
        <v/>
      </c>
      <c r="S1214" s="36" t="n">
        <f aca="false">IF(OR($D1214&lt;&gt;"销项开票",IFERROR(INDEX(单位档案!$G$6:$G$35,MATCH($E1214,单位档案!$A$6:$A$35,0)),"")&lt;&gt;"是",N($Q1214)=0),0,IF(IFERROR(INDEX(单位档案!$H$6:$H$35,MATCH($E1214,单位档案!$A$6:$A$35,0)),"")="税差法",ROUND(N($H1214)/(1+$Q1214)*$Q1214-IF(N($R1214)=0,0,$P1214/(1+$R1214)*$R1214),2),ROUND(N($H1214)/(1+$Q1214)*$Q1214,2)))</f>
        <v>0</v>
      </c>
      <c r="T1214" s="36" t="n">
        <f aca="false">ROUND($S1214*N(IFERROR(INDEX(单位档案!$J$6:$J$35,MATCH($E1214,单位档案!$A$6:$A$35,0)),"")),2)</f>
        <v>0</v>
      </c>
      <c r="U1214" s="36" t="n">
        <f aca="false">IF($D1214&lt;&gt;"销项开票",0,ROUND(N($H1214)*N(IFERROR(INDEX(单位档案!$K$6:$K$35,MATCH($E1214,单位档案!$A$6:$A$35,0)),"")),2))</f>
        <v>0</v>
      </c>
      <c r="V1214" s="36" t="n">
        <f aca="false">IF(OR($D1214&lt;&gt;"销项开票",N($Q1214)=0),0,ROUND(N($H1214)/(1+$Q1214)*N(IFERROR(INDEX(单位档案!$L$6:$L$35,MATCH($E1214,单位档案!$A$6:$A$35,0)),"")),2))</f>
        <v>0</v>
      </c>
      <c r="W1214" s="36" t="n">
        <f aca="false">ROUND($S1214+$T1214+$U1214+$V1214,2)</f>
        <v>0</v>
      </c>
      <c r="X1214" s="35" t="str">
        <f aca="false">IF(OR($D1214="挂靠代收",$D1214="我方收款"),COUNTIFS($D$5:$D1214,"挂靠代收")+COUNTIFS($D$5:$D1214,"我方收款"),"")</f>
        <v/>
      </c>
      <c r="Y1214" s="35"/>
      <c r="Z1214" s="21" t="s">
        <v>111</v>
      </c>
    </row>
    <row r="1215" customFormat="false" ht="15.75" hidden="false" customHeight="true" outlineLevel="0" collapsed="false">
      <c r="A1215" s="32" t="str">
        <f aca="false">IF($B1215="","",ROW()-4)</f>
        <v/>
      </c>
      <c r="B1215" s="26"/>
      <c r="C1215" s="24"/>
      <c r="D1215" s="21"/>
      <c r="E1215" s="21"/>
      <c r="F1215" s="21"/>
      <c r="G1215" s="21"/>
      <c r="H1215" s="27"/>
      <c r="I1215" s="23" t="str">
        <f aca="false">IF($D1215&lt;&gt;"销项开票","",IF($N1215="一级",IF(IFERROR(INDEX(项目档案!$E$6:$E$255,MATCH($C1215,项目档案!$A$6:$A$255,0)),"")="",N(IFERROR(INDEX(单位档案!$D$6:$D$35,MATCH($E1215,单位档案!$A$6:$A$35,0)),"")),IFERROR(INDEX(项目档案!$E$6:$E$255,MATCH($C1215,项目档案!$A$6:$A$255,0)),"")),IF($N1215="二级",IF(IFERROR(INDEX(项目档案!$G$6:$G$255,MATCH($C1215,项目档案!$A$6:$A$255,0)),"")="",N(IFERROR(INDEX(单位档案!$D$6:$D$35,MATCH($E1215,单位档案!$A$6:$A$35,0)),"")),IFERROR(INDEX(项目档案!$G$6:$G$255,MATCH($C1215,项目档案!$A$6:$A$255,0)),"")),N(IFERROR(INDEX(单位档案!$D$6:$D$35,MATCH($E1215,单位档案!$A$6:$A$35,0)),"")))))</f>
        <v/>
      </c>
      <c r="J1215" s="22"/>
      <c r="K1215" s="22"/>
      <c r="L1215" s="33" t="str">
        <f aca="false">IF($B1215="","",IF(NOT(ISNUMBER($B1215)),"日期格式不对",IF($C1215="","未选项目编号",IF(LEFT($M1215,1)="⚠","项目编号不存在",IF($D1215="","未选业务类型",IF($E1215="","未选开票/付款方",IF(ISNA(MATCH($E1215,单位档案!$A$6:$A$35,0)),"开票方不在单位档案",IF($F1215="","未选收票/收款方",IF(ISNA(MATCH($F1215,单位档案!$A$6:$A$35,0)),"收款方不在单位档案",IF(NOT(ISNUMBER($H1215)),"金额须为数字",IF(AND($D1215="销项开票",$N1215="—"),"链条待确认","√")))))))))))</f>
        <v/>
      </c>
      <c r="M1215" s="34" t="str">
        <f aca="false">IF($C1215="","",IFERROR(INDEX(项目档案!$B$6:$B$255,MATCH($C1215,项目档案!$A$6:$A$255,0)),"⚠项目编号不存在"))</f>
        <v/>
      </c>
      <c r="N1215" s="35" t="str">
        <f aca="false">IF($E1215="","",IF($E1215=IFERROR(INDEX(项目档案!$D$6:$D$255,MATCH($C1215,项目档案!$A$6:$A$255,0)),""),"一级",IF($E1215=IFERROR(INDEX(项目档案!$F$6:$F$255,MATCH($C1215,项目档案!$A$6:$A$255,0)),""),"二级",IF($E1215=IFERROR(INDEX(项目档案!$H$6:$H$255,MATCH($C1215,项目档案!$A$6:$A$255,0)),""),"我方","—"))))</f>
        <v/>
      </c>
      <c r="O1215" s="36" t="n">
        <f aca="false">IF($D1215&lt;&gt;"销项开票",0,ROUND(N($H1215)*N($I1215),2))</f>
        <v>0</v>
      </c>
      <c r="P1215" s="36" t="n">
        <f aca="false">IF($D1215&lt;&gt;"销项开票",0,ROUND(N($H1215)-$O1215,2))</f>
        <v>0</v>
      </c>
      <c r="Q1215" s="37" t="str">
        <f aca="false">IF($E1215="","",N(IFERROR(INDEX(单位档案!$E$6:$E$35,MATCH($E1215,单位档案!$A$6:$A$35,0)),"")))</f>
        <v/>
      </c>
      <c r="R1215" s="37" t="str">
        <f aca="false">IF($E1215="","",N(IFERROR(INDEX(单位档案!$F$6:$F$35,MATCH($E1215,单位档案!$A$6:$A$35,0)),"")))</f>
        <v/>
      </c>
      <c r="S1215" s="36" t="n">
        <f aca="false">IF(OR($D1215&lt;&gt;"销项开票",IFERROR(INDEX(单位档案!$G$6:$G$35,MATCH($E1215,单位档案!$A$6:$A$35,0)),"")&lt;&gt;"是",N($Q1215)=0),0,IF(IFERROR(INDEX(单位档案!$H$6:$H$35,MATCH($E1215,单位档案!$A$6:$A$35,0)),"")="税差法",ROUND(N($H1215)/(1+$Q1215)*$Q1215-IF(N($R1215)=0,0,$P1215/(1+$R1215)*$R1215),2),ROUND(N($H1215)/(1+$Q1215)*$Q1215,2)))</f>
        <v>0</v>
      </c>
      <c r="T1215" s="36" t="n">
        <f aca="false">ROUND($S1215*N(IFERROR(INDEX(单位档案!$J$6:$J$35,MATCH($E1215,单位档案!$A$6:$A$35,0)),"")),2)</f>
        <v>0</v>
      </c>
      <c r="U1215" s="36" t="n">
        <f aca="false">IF($D1215&lt;&gt;"销项开票",0,ROUND(N($H1215)*N(IFERROR(INDEX(单位档案!$K$6:$K$35,MATCH($E1215,单位档案!$A$6:$A$35,0)),"")),2))</f>
        <v>0</v>
      </c>
      <c r="V1215" s="36" t="n">
        <f aca="false">IF(OR($D1215&lt;&gt;"销项开票",N($Q1215)=0),0,ROUND(N($H1215)/(1+$Q1215)*N(IFERROR(INDEX(单位档案!$L$6:$L$35,MATCH($E1215,单位档案!$A$6:$A$35,0)),"")),2))</f>
        <v>0</v>
      </c>
      <c r="W1215" s="36" t="n">
        <f aca="false">ROUND($S1215+$T1215+$U1215+$V1215,2)</f>
        <v>0</v>
      </c>
      <c r="X1215" s="35" t="str">
        <f aca="false">IF(OR($D1215="挂靠代收",$D1215="我方收款"),COUNTIFS($D$5:$D1215,"挂靠代收")+COUNTIFS($D$5:$D1215,"我方收款"),"")</f>
        <v/>
      </c>
      <c r="Y1215" s="35"/>
      <c r="Z1215" s="21" t="s">
        <v>111</v>
      </c>
    </row>
    <row r="1216" customFormat="false" ht="15.75" hidden="false" customHeight="true" outlineLevel="0" collapsed="false">
      <c r="A1216" s="32" t="str">
        <f aca="false">IF($B1216="","",ROW()-4)</f>
        <v/>
      </c>
      <c r="B1216" s="26"/>
      <c r="C1216" s="24"/>
      <c r="D1216" s="21"/>
      <c r="E1216" s="21"/>
      <c r="F1216" s="21"/>
      <c r="G1216" s="21"/>
      <c r="H1216" s="27"/>
      <c r="I1216" s="23" t="str">
        <f aca="false">IF($D1216&lt;&gt;"销项开票","",IF($N1216="一级",IF(IFERROR(INDEX(项目档案!$E$6:$E$255,MATCH($C1216,项目档案!$A$6:$A$255,0)),"")="",N(IFERROR(INDEX(单位档案!$D$6:$D$35,MATCH($E1216,单位档案!$A$6:$A$35,0)),"")),IFERROR(INDEX(项目档案!$E$6:$E$255,MATCH($C1216,项目档案!$A$6:$A$255,0)),"")),IF($N1216="二级",IF(IFERROR(INDEX(项目档案!$G$6:$G$255,MATCH($C1216,项目档案!$A$6:$A$255,0)),"")="",N(IFERROR(INDEX(单位档案!$D$6:$D$35,MATCH($E1216,单位档案!$A$6:$A$35,0)),"")),IFERROR(INDEX(项目档案!$G$6:$G$255,MATCH($C1216,项目档案!$A$6:$A$255,0)),"")),N(IFERROR(INDEX(单位档案!$D$6:$D$35,MATCH($E1216,单位档案!$A$6:$A$35,0)),"")))))</f>
        <v/>
      </c>
      <c r="J1216" s="22"/>
      <c r="K1216" s="22"/>
      <c r="L1216" s="33" t="str">
        <f aca="false">IF($B1216="","",IF(NOT(ISNUMBER($B1216)),"日期格式不对",IF($C1216="","未选项目编号",IF(LEFT($M1216,1)="⚠","项目编号不存在",IF($D1216="","未选业务类型",IF($E1216="","未选开票/付款方",IF(ISNA(MATCH($E1216,单位档案!$A$6:$A$35,0)),"开票方不在单位档案",IF($F1216="","未选收票/收款方",IF(ISNA(MATCH($F1216,单位档案!$A$6:$A$35,0)),"收款方不在单位档案",IF(NOT(ISNUMBER($H1216)),"金额须为数字",IF(AND($D1216="销项开票",$N1216="—"),"链条待确认","√")))))))))))</f>
        <v/>
      </c>
      <c r="M1216" s="34" t="str">
        <f aca="false">IF($C1216="","",IFERROR(INDEX(项目档案!$B$6:$B$255,MATCH($C1216,项目档案!$A$6:$A$255,0)),"⚠项目编号不存在"))</f>
        <v/>
      </c>
      <c r="N1216" s="35" t="str">
        <f aca="false">IF($E1216="","",IF($E1216=IFERROR(INDEX(项目档案!$D$6:$D$255,MATCH($C1216,项目档案!$A$6:$A$255,0)),""),"一级",IF($E1216=IFERROR(INDEX(项目档案!$F$6:$F$255,MATCH($C1216,项目档案!$A$6:$A$255,0)),""),"二级",IF($E1216=IFERROR(INDEX(项目档案!$H$6:$H$255,MATCH($C1216,项目档案!$A$6:$A$255,0)),""),"我方","—"))))</f>
        <v/>
      </c>
      <c r="O1216" s="36" t="n">
        <f aca="false">IF($D1216&lt;&gt;"销项开票",0,ROUND(N($H1216)*N($I1216),2))</f>
        <v>0</v>
      </c>
      <c r="P1216" s="36" t="n">
        <f aca="false">IF($D1216&lt;&gt;"销项开票",0,ROUND(N($H1216)-$O1216,2))</f>
        <v>0</v>
      </c>
      <c r="Q1216" s="37" t="str">
        <f aca="false">IF($E1216="","",N(IFERROR(INDEX(单位档案!$E$6:$E$35,MATCH($E1216,单位档案!$A$6:$A$35,0)),"")))</f>
        <v/>
      </c>
      <c r="R1216" s="37" t="str">
        <f aca="false">IF($E1216="","",N(IFERROR(INDEX(单位档案!$F$6:$F$35,MATCH($E1216,单位档案!$A$6:$A$35,0)),"")))</f>
        <v/>
      </c>
      <c r="S1216" s="36" t="n">
        <f aca="false">IF(OR($D1216&lt;&gt;"销项开票",IFERROR(INDEX(单位档案!$G$6:$G$35,MATCH($E1216,单位档案!$A$6:$A$35,0)),"")&lt;&gt;"是",N($Q1216)=0),0,IF(IFERROR(INDEX(单位档案!$H$6:$H$35,MATCH($E1216,单位档案!$A$6:$A$35,0)),"")="税差法",ROUND(N($H1216)/(1+$Q1216)*$Q1216-IF(N($R1216)=0,0,$P1216/(1+$R1216)*$R1216),2),ROUND(N($H1216)/(1+$Q1216)*$Q1216,2)))</f>
        <v>0</v>
      </c>
      <c r="T1216" s="36" t="n">
        <f aca="false">ROUND($S1216*N(IFERROR(INDEX(单位档案!$J$6:$J$35,MATCH($E1216,单位档案!$A$6:$A$35,0)),"")),2)</f>
        <v>0</v>
      </c>
      <c r="U1216" s="36" t="n">
        <f aca="false">IF($D1216&lt;&gt;"销项开票",0,ROUND(N($H1216)*N(IFERROR(INDEX(单位档案!$K$6:$K$35,MATCH($E1216,单位档案!$A$6:$A$35,0)),"")),2))</f>
        <v>0</v>
      </c>
      <c r="V1216" s="36" t="n">
        <f aca="false">IF(OR($D1216&lt;&gt;"销项开票",N($Q1216)=0),0,ROUND(N($H1216)/(1+$Q1216)*N(IFERROR(INDEX(单位档案!$L$6:$L$35,MATCH($E1216,单位档案!$A$6:$A$35,0)),"")),2))</f>
        <v>0</v>
      </c>
      <c r="W1216" s="36" t="n">
        <f aca="false">ROUND($S1216+$T1216+$U1216+$V1216,2)</f>
        <v>0</v>
      </c>
      <c r="X1216" s="35" t="str">
        <f aca="false">IF(OR($D1216="挂靠代收",$D1216="我方收款"),COUNTIFS($D$5:$D1216,"挂靠代收")+COUNTIFS($D$5:$D1216,"我方收款"),"")</f>
        <v/>
      </c>
      <c r="Y1216" s="35"/>
      <c r="Z1216" s="21" t="s">
        <v>111</v>
      </c>
    </row>
    <row r="1217" customFormat="false" ht="15.75" hidden="false" customHeight="true" outlineLevel="0" collapsed="false">
      <c r="A1217" s="32" t="str">
        <f aca="false">IF($B1217="","",ROW()-4)</f>
        <v/>
      </c>
      <c r="B1217" s="26"/>
      <c r="C1217" s="24"/>
      <c r="D1217" s="21"/>
      <c r="E1217" s="21"/>
      <c r="F1217" s="21"/>
      <c r="G1217" s="21"/>
      <c r="H1217" s="27"/>
      <c r="I1217" s="23" t="str">
        <f aca="false">IF($D1217&lt;&gt;"销项开票","",IF($N1217="一级",IF(IFERROR(INDEX(项目档案!$E$6:$E$255,MATCH($C1217,项目档案!$A$6:$A$255,0)),"")="",N(IFERROR(INDEX(单位档案!$D$6:$D$35,MATCH($E1217,单位档案!$A$6:$A$35,0)),"")),IFERROR(INDEX(项目档案!$E$6:$E$255,MATCH($C1217,项目档案!$A$6:$A$255,0)),"")),IF($N1217="二级",IF(IFERROR(INDEX(项目档案!$G$6:$G$255,MATCH($C1217,项目档案!$A$6:$A$255,0)),"")="",N(IFERROR(INDEX(单位档案!$D$6:$D$35,MATCH($E1217,单位档案!$A$6:$A$35,0)),"")),IFERROR(INDEX(项目档案!$G$6:$G$255,MATCH($C1217,项目档案!$A$6:$A$255,0)),"")),N(IFERROR(INDEX(单位档案!$D$6:$D$35,MATCH($E1217,单位档案!$A$6:$A$35,0)),"")))))</f>
        <v/>
      </c>
      <c r="J1217" s="22"/>
      <c r="K1217" s="22"/>
      <c r="L1217" s="33" t="str">
        <f aca="false">IF($B1217="","",IF(NOT(ISNUMBER($B1217)),"日期格式不对",IF($C1217="","未选项目编号",IF(LEFT($M1217,1)="⚠","项目编号不存在",IF($D1217="","未选业务类型",IF($E1217="","未选开票/付款方",IF(ISNA(MATCH($E1217,单位档案!$A$6:$A$35,0)),"开票方不在单位档案",IF($F1217="","未选收票/收款方",IF(ISNA(MATCH($F1217,单位档案!$A$6:$A$35,0)),"收款方不在单位档案",IF(NOT(ISNUMBER($H1217)),"金额须为数字",IF(AND($D1217="销项开票",$N1217="—"),"链条待确认","√")))))))))))</f>
        <v/>
      </c>
      <c r="M1217" s="34" t="str">
        <f aca="false">IF($C1217="","",IFERROR(INDEX(项目档案!$B$6:$B$255,MATCH($C1217,项目档案!$A$6:$A$255,0)),"⚠项目编号不存在"))</f>
        <v/>
      </c>
      <c r="N1217" s="35" t="str">
        <f aca="false">IF($E1217="","",IF($E1217=IFERROR(INDEX(项目档案!$D$6:$D$255,MATCH($C1217,项目档案!$A$6:$A$255,0)),""),"一级",IF($E1217=IFERROR(INDEX(项目档案!$F$6:$F$255,MATCH($C1217,项目档案!$A$6:$A$255,0)),""),"二级",IF($E1217=IFERROR(INDEX(项目档案!$H$6:$H$255,MATCH($C1217,项目档案!$A$6:$A$255,0)),""),"我方","—"))))</f>
        <v/>
      </c>
      <c r="O1217" s="36" t="n">
        <f aca="false">IF($D1217&lt;&gt;"销项开票",0,ROUND(N($H1217)*N($I1217),2))</f>
        <v>0</v>
      </c>
      <c r="P1217" s="36" t="n">
        <f aca="false">IF($D1217&lt;&gt;"销项开票",0,ROUND(N($H1217)-$O1217,2))</f>
        <v>0</v>
      </c>
      <c r="Q1217" s="37" t="str">
        <f aca="false">IF($E1217="","",N(IFERROR(INDEX(单位档案!$E$6:$E$35,MATCH($E1217,单位档案!$A$6:$A$35,0)),"")))</f>
        <v/>
      </c>
      <c r="R1217" s="37" t="str">
        <f aca="false">IF($E1217="","",N(IFERROR(INDEX(单位档案!$F$6:$F$35,MATCH($E1217,单位档案!$A$6:$A$35,0)),"")))</f>
        <v/>
      </c>
      <c r="S1217" s="36" t="n">
        <f aca="false">IF(OR($D1217&lt;&gt;"销项开票",IFERROR(INDEX(单位档案!$G$6:$G$35,MATCH($E1217,单位档案!$A$6:$A$35,0)),"")&lt;&gt;"是",N($Q1217)=0),0,IF(IFERROR(INDEX(单位档案!$H$6:$H$35,MATCH($E1217,单位档案!$A$6:$A$35,0)),"")="税差法",ROUND(N($H1217)/(1+$Q1217)*$Q1217-IF(N($R1217)=0,0,$P1217/(1+$R1217)*$R1217),2),ROUND(N($H1217)/(1+$Q1217)*$Q1217,2)))</f>
        <v>0</v>
      </c>
      <c r="T1217" s="36" t="n">
        <f aca="false">ROUND($S1217*N(IFERROR(INDEX(单位档案!$J$6:$J$35,MATCH($E1217,单位档案!$A$6:$A$35,0)),"")),2)</f>
        <v>0</v>
      </c>
      <c r="U1217" s="36" t="n">
        <f aca="false">IF($D1217&lt;&gt;"销项开票",0,ROUND(N($H1217)*N(IFERROR(INDEX(单位档案!$K$6:$K$35,MATCH($E1217,单位档案!$A$6:$A$35,0)),"")),2))</f>
        <v>0</v>
      </c>
      <c r="V1217" s="36" t="n">
        <f aca="false">IF(OR($D1217&lt;&gt;"销项开票",N($Q1217)=0),0,ROUND(N($H1217)/(1+$Q1217)*N(IFERROR(INDEX(单位档案!$L$6:$L$35,MATCH($E1217,单位档案!$A$6:$A$35,0)),"")),2))</f>
        <v>0</v>
      </c>
      <c r="W1217" s="36" t="n">
        <f aca="false">ROUND($S1217+$T1217+$U1217+$V1217,2)</f>
        <v>0</v>
      </c>
      <c r="X1217" s="35" t="str">
        <f aca="false">IF(OR($D1217="挂靠代收",$D1217="我方收款"),COUNTIFS($D$5:$D1217,"挂靠代收")+COUNTIFS($D$5:$D1217,"我方收款"),"")</f>
        <v/>
      </c>
      <c r="Y1217" s="35"/>
      <c r="Z1217" s="21" t="s">
        <v>111</v>
      </c>
    </row>
    <row r="1218" customFormat="false" ht="15.75" hidden="false" customHeight="true" outlineLevel="0" collapsed="false">
      <c r="A1218" s="32" t="str">
        <f aca="false">IF($B1218="","",ROW()-4)</f>
        <v/>
      </c>
      <c r="B1218" s="26"/>
      <c r="C1218" s="24"/>
      <c r="D1218" s="21"/>
      <c r="E1218" s="21"/>
      <c r="F1218" s="21"/>
      <c r="G1218" s="21"/>
      <c r="H1218" s="27"/>
      <c r="I1218" s="23" t="str">
        <f aca="false">IF($D1218&lt;&gt;"销项开票","",IF($N1218="一级",IF(IFERROR(INDEX(项目档案!$E$6:$E$255,MATCH($C1218,项目档案!$A$6:$A$255,0)),"")="",N(IFERROR(INDEX(单位档案!$D$6:$D$35,MATCH($E1218,单位档案!$A$6:$A$35,0)),"")),IFERROR(INDEX(项目档案!$E$6:$E$255,MATCH($C1218,项目档案!$A$6:$A$255,0)),"")),IF($N1218="二级",IF(IFERROR(INDEX(项目档案!$G$6:$G$255,MATCH($C1218,项目档案!$A$6:$A$255,0)),"")="",N(IFERROR(INDEX(单位档案!$D$6:$D$35,MATCH($E1218,单位档案!$A$6:$A$35,0)),"")),IFERROR(INDEX(项目档案!$G$6:$G$255,MATCH($C1218,项目档案!$A$6:$A$255,0)),"")),N(IFERROR(INDEX(单位档案!$D$6:$D$35,MATCH($E1218,单位档案!$A$6:$A$35,0)),"")))))</f>
        <v/>
      </c>
      <c r="J1218" s="22"/>
      <c r="K1218" s="22"/>
      <c r="L1218" s="33" t="str">
        <f aca="false">IF($B1218="","",IF(NOT(ISNUMBER($B1218)),"日期格式不对",IF($C1218="","未选项目编号",IF(LEFT($M1218,1)="⚠","项目编号不存在",IF($D1218="","未选业务类型",IF($E1218="","未选开票/付款方",IF(ISNA(MATCH($E1218,单位档案!$A$6:$A$35,0)),"开票方不在单位档案",IF($F1218="","未选收票/收款方",IF(ISNA(MATCH($F1218,单位档案!$A$6:$A$35,0)),"收款方不在单位档案",IF(NOT(ISNUMBER($H1218)),"金额须为数字",IF(AND($D1218="销项开票",$N1218="—"),"链条待确认","√")))))))))))</f>
        <v/>
      </c>
      <c r="M1218" s="34" t="str">
        <f aca="false">IF($C1218="","",IFERROR(INDEX(项目档案!$B$6:$B$255,MATCH($C1218,项目档案!$A$6:$A$255,0)),"⚠项目编号不存在"))</f>
        <v/>
      </c>
      <c r="N1218" s="35" t="str">
        <f aca="false">IF($E1218="","",IF($E1218=IFERROR(INDEX(项目档案!$D$6:$D$255,MATCH($C1218,项目档案!$A$6:$A$255,0)),""),"一级",IF($E1218=IFERROR(INDEX(项目档案!$F$6:$F$255,MATCH($C1218,项目档案!$A$6:$A$255,0)),""),"二级",IF($E1218=IFERROR(INDEX(项目档案!$H$6:$H$255,MATCH($C1218,项目档案!$A$6:$A$255,0)),""),"我方","—"))))</f>
        <v/>
      </c>
      <c r="O1218" s="36" t="n">
        <f aca="false">IF($D1218&lt;&gt;"销项开票",0,ROUND(N($H1218)*N($I1218),2))</f>
        <v>0</v>
      </c>
      <c r="P1218" s="36" t="n">
        <f aca="false">IF($D1218&lt;&gt;"销项开票",0,ROUND(N($H1218)-$O1218,2))</f>
        <v>0</v>
      </c>
      <c r="Q1218" s="37" t="str">
        <f aca="false">IF($E1218="","",N(IFERROR(INDEX(单位档案!$E$6:$E$35,MATCH($E1218,单位档案!$A$6:$A$35,0)),"")))</f>
        <v/>
      </c>
      <c r="R1218" s="37" t="str">
        <f aca="false">IF($E1218="","",N(IFERROR(INDEX(单位档案!$F$6:$F$35,MATCH($E1218,单位档案!$A$6:$A$35,0)),"")))</f>
        <v/>
      </c>
      <c r="S1218" s="36" t="n">
        <f aca="false">IF(OR($D1218&lt;&gt;"销项开票",IFERROR(INDEX(单位档案!$G$6:$G$35,MATCH($E1218,单位档案!$A$6:$A$35,0)),"")&lt;&gt;"是",N($Q1218)=0),0,IF(IFERROR(INDEX(单位档案!$H$6:$H$35,MATCH($E1218,单位档案!$A$6:$A$35,0)),"")="税差法",ROUND(N($H1218)/(1+$Q1218)*$Q1218-IF(N($R1218)=0,0,$P1218/(1+$R1218)*$R1218),2),ROUND(N($H1218)/(1+$Q1218)*$Q1218,2)))</f>
        <v>0</v>
      </c>
      <c r="T1218" s="36" t="n">
        <f aca="false">ROUND($S1218*N(IFERROR(INDEX(单位档案!$J$6:$J$35,MATCH($E1218,单位档案!$A$6:$A$35,0)),"")),2)</f>
        <v>0</v>
      </c>
      <c r="U1218" s="36" t="n">
        <f aca="false">IF($D1218&lt;&gt;"销项开票",0,ROUND(N($H1218)*N(IFERROR(INDEX(单位档案!$K$6:$K$35,MATCH($E1218,单位档案!$A$6:$A$35,0)),"")),2))</f>
        <v>0</v>
      </c>
      <c r="V1218" s="36" t="n">
        <f aca="false">IF(OR($D1218&lt;&gt;"销项开票",N($Q1218)=0),0,ROUND(N($H1218)/(1+$Q1218)*N(IFERROR(INDEX(单位档案!$L$6:$L$35,MATCH($E1218,单位档案!$A$6:$A$35,0)),"")),2))</f>
        <v>0</v>
      </c>
      <c r="W1218" s="36" t="n">
        <f aca="false">ROUND($S1218+$T1218+$U1218+$V1218,2)</f>
        <v>0</v>
      </c>
      <c r="X1218" s="35" t="str">
        <f aca="false">IF(OR($D1218="挂靠代收",$D1218="我方收款"),COUNTIFS($D$5:$D1218,"挂靠代收")+COUNTIFS($D$5:$D1218,"我方收款"),"")</f>
        <v/>
      </c>
      <c r="Y1218" s="35"/>
      <c r="Z1218" s="21" t="s">
        <v>111</v>
      </c>
    </row>
    <row r="1219" customFormat="false" ht="15.75" hidden="false" customHeight="true" outlineLevel="0" collapsed="false">
      <c r="A1219" s="32" t="str">
        <f aca="false">IF($B1219="","",ROW()-4)</f>
        <v/>
      </c>
      <c r="B1219" s="26"/>
      <c r="C1219" s="24"/>
      <c r="D1219" s="21"/>
      <c r="E1219" s="21"/>
      <c r="F1219" s="21"/>
      <c r="G1219" s="21"/>
      <c r="H1219" s="27"/>
      <c r="I1219" s="23" t="str">
        <f aca="false">IF($D1219&lt;&gt;"销项开票","",IF($N1219="一级",IF(IFERROR(INDEX(项目档案!$E$6:$E$255,MATCH($C1219,项目档案!$A$6:$A$255,0)),"")="",N(IFERROR(INDEX(单位档案!$D$6:$D$35,MATCH($E1219,单位档案!$A$6:$A$35,0)),"")),IFERROR(INDEX(项目档案!$E$6:$E$255,MATCH($C1219,项目档案!$A$6:$A$255,0)),"")),IF($N1219="二级",IF(IFERROR(INDEX(项目档案!$G$6:$G$255,MATCH($C1219,项目档案!$A$6:$A$255,0)),"")="",N(IFERROR(INDEX(单位档案!$D$6:$D$35,MATCH($E1219,单位档案!$A$6:$A$35,0)),"")),IFERROR(INDEX(项目档案!$G$6:$G$255,MATCH($C1219,项目档案!$A$6:$A$255,0)),"")),N(IFERROR(INDEX(单位档案!$D$6:$D$35,MATCH($E1219,单位档案!$A$6:$A$35,0)),"")))))</f>
        <v/>
      </c>
      <c r="J1219" s="22"/>
      <c r="K1219" s="22"/>
      <c r="L1219" s="33" t="str">
        <f aca="false">IF($B1219="","",IF(NOT(ISNUMBER($B1219)),"日期格式不对",IF($C1219="","未选项目编号",IF(LEFT($M1219,1)="⚠","项目编号不存在",IF($D1219="","未选业务类型",IF($E1219="","未选开票/付款方",IF(ISNA(MATCH($E1219,单位档案!$A$6:$A$35,0)),"开票方不在单位档案",IF($F1219="","未选收票/收款方",IF(ISNA(MATCH($F1219,单位档案!$A$6:$A$35,0)),"收款方不在单位档案",IF(NOT(ISNUMBER($H1219)),"金额须为数字",IF(AND($D1219="销项开票",$N1219="—"),"链条待确认","√")))))))))))</f>
        <v/>
      </c>
      <c r="M1219" s="34" t="str">
        <f aca="false">IF($C1219="","",IFERROR(INDEX(项目档案!$B$6:$B$255,MATCH($C1219,项目档案!$A$6:$A$255,0)),"⚠项目编号不存在"))</f>
        <v/>
      </c>
      <c r="N1219" s="35" t="str">
        <f aca="false">IF($E1219="","",IF($E1219=IFERROR(INDEX(项目档案!$D$6:$D$255,MATCH($C1219,项目档案!$A$6:$A$255,0)),""),"一级",IF($E1219=IFERROR(INDEX(项目档案!$F$6:$F$255,MATCH($C1219,项目档案!$A$6:$A$255,0)),""),"二级",IF($E1219=IFERROR(INDEX(项目档案!$H$6:$H$255,MATCH($C1219,项目档案!$A$6:$A$255,0)),""),"我方","—"))))</f>
        <v/>
      </c>
      <c r="O1219" s="36" t="n">
        <f aca="false">IF($D1219&lt;&gt;"销项开票",0,ROUND(N($H1219)*N($I1219),2))</f>
        <v>0</v>
      </c>
      <c r="P1219" s="36" t="n">
        <f aca="false">IF($D1219&lt;&gt;"销项开票",0,ROUND(N($H1219)-$O1219,2))</f>
        <v>0</v>
      </c>
      <c r="Q1219" s="37" t="str">
        <f aca="false">IF($E1219="","",N(IFERROR(INDEX(单位档案!$E$6:$E$35,MATCH($E1219,单位档案!$A$6:$A$35,0)),"")))</f>
        <v/>
      </c>
      <c r="R1219" s="37" t="str">
        <f aca="false">IF($E1219="","",N(IFERROR(INDEX(单位档案!$F$6:$F$35,MATCH($E1219,单位档案!$A$6:$A$35,0)),"")))</f>
        <v/>
      </c>
      <c r="S1219" s="36" t="n">
        <f aca="false">IF(OR($D1219&lt;&gt;"销项开票",IFERROR(INDEX(单位档案!$G$6:$G$35,MATCH($E1219,单位档案!$A$6:$A$35,0)),"")&lt;&gt;"是",N($Q1219)=0),0,IF(IFERROR(INDEX(单位档案!$H$6:$H$35,MATCH($E1219,单位档案!$A$6:$A$35,0)),"")="税差法",ROUND(N($H1219)/(1+$Q1219)*$Q1219-IF(N($R1219)=0,0,$P1219/(1+$R1219)*$R1219),2),ROUND(N($H1219)/(1+$Q1219)*$Q1219,2)))</f>
        <v>0</v>
      </c>
      <c r="T1219" s="36" t="n">
        <f aca="false">ROUND($S1219*N(IFERROR(INDEX(单位档案!$J$6:$J$35,MATCH($E1219,单位档案!$A$6:$A$35,0)),"")),2)</f>
        <v>0</v>
      </c>
      <c r="U1219" s="36" t="n">
        <f aca="false">IF($D1219&lt;&gt;"销项开票",0,ROUND(N($H1219)*N(IFERROR(INDEX(单位档案!$K$6:$K$35,MATCH($E1219,单位档案!$A$6:$A$35,0)),"")),2))</f>
        <v>0</v>
      </c>
      <c r="V1219" s="36" t="n">
        <f aca="false">IF(OR($D1219&lt;&gt;"销项开票",N($Q1219)=0),0,ROUND(N($H1219)/(1+$Q1219)*N(IFERROR(INDEX(单位档案!$L$6:$L$35,MATCH($E1219,单位档案!$A$6:$A$35,0)),"")),2))</f>
        <v>0</v>
      </c>
      <c r="W1219" s="36" t="n">
        <f aca="false">ROUND($S1219+$T1219+$U1219+$V1219,2)</f>
        <v>0</v>
      </c>
      <c r="X1219" s="35" t="str">
        <f aca="false">IF(OR($D1219="挂靠代收",$D1219="我方收款"),COUNTIFS($D$5:$D1219,"挂靠代收")+COUNTIFS($D$5:$D1219,"我方收款"),"")</f>
        <v/>
      </c>
      <c r="Y1219" s="35"/>
      <c r="Z1219" s="21" t="s">
        <v>111</v>
      </c>
    </row>
    <row r="1220" customFormat="false" ht="15.75" hidden="false" customHeight="true" outlineLevel="0" collapsed="false">
      <c r="A1220" s="32" t="str">
        <f aca="false">IF($B1220="","",ROW()-4)</f>
        <v/>
      </c>
      <c r="B1220" s="26"/>
      <c r="C1220" s="24"/>
      <c r="D1220" s="21"/>
      <c r="E1220" s="21"/>
      <c r="F1220" s="21"/>
      <c r="G1220" s="21"/>
      <c r="H1220" s="27"/>
      <c r="I1220" s="23" t="str">
        <f aca="false">IF($D1220&lt;&gt;"销项开票","",IF($N1220="一级",IF(IFERROR(INDEX(项目档案!$E$6:$E$255,MATCH($C1220,项目档案!$A$6:$A$255,0)),"")="",N(IFERROR(INDEX(单位档案!$D$6:$D$35,MATCH($E1220,单位档案!$A$6:$A$35,0)),"")),IFERROR(INDEX(项目档案!$E$6:$E$255,MATCH($C1220,项目档案!$A$6:$A$255,0)),"")),IF($N1220="二级",IF(IFERROR(INDEX(项目档案!$G$6:$G$255,MATCH($C1220,项目档案!$A$6:$A$255,0)),"")="",N(IFERROR(INDEX(单位档案!$D$6:$D$35,MATCH($E1220,单位档案!$A$6:$A$35,0)),"")),IFERROR(INDEX(项目档案!$G$6:$G$255,MATCH($C1220,项目档案!$A$6:$A$255,0)),"")),N(IFERROR(INDEX(单位档案!$D$6:$D$35,MATCH($E1220,单位档案!$A$6:$A$35,0)),"")))))</f>
        <v/>
      </c>
      <c r="J1220" s="22"/>
      <c r="K1220" s="22"/>
      <c r="L1220" s="33" t="str">
        <f aca="false">IF($B1220="","",IF(NOT(ISNUMBER($B1220)),"日期格式不对",IF($C1220="","未选项目编号",IF(LEFT($M1220,1)="⚠","项目编号不存在",IF($D1220="","未选业务类型",IF($E1220="","未选开票/付款方",IF(ISNA(MATCH($E1220,单位档案!$A$6:$A$35,0)),"开票方不在单位档案",IF($F1220="","未选收票/收款方",IF(ISNA(MATCH($F1220,单位档案!$A$6:$A$35,0)),"收款方不在单位档案",IF(NOT(ISNUMBER($H1220)),"金额须为数字",IF(AND($D1220="销项开票",$N1220="—"),"链条待确认","√")))))))))))</f>
        <v/>
      </c>
      <c r="M1220" s="34" t="str">
        <f aca="false">IF($C1220="","",IFERROR(INDEX(项目档案!$B$6:$B$255,MATCH($C1220,项目档案!$A$6:$A$255,0)),"⚠项目编号不存在"))</f>
        <v/>
      </c>
      <c r="N1220" s="35" t="str">
        <f aca="false">IF($E1220="","",IF($E1220=IFERROR(INDEX(项目档案!$D$6:$D$255,MATCH($C1220,项目档案!$A$6:$A$255,0)),""),"一级",IF($E1220=IFERROR(INDEX(项目档案!$F$6:$F$255,MATCH($C1220,项目档案!$A$6:$A$255,0)),""),"二级",IF($E1220=IFERROR(INDEX(项目档案!$H$6:$H$255,MATCH($C1220,项目档案!$A$6:$A$255,0)),""),"我方","—"))))</f>
        <v/>
      </c>
      <c r="O1220" s="36" t="n">
        <f aca="false">IF($D1220&lt;&gt;"销项开票",0,ROUND(N($H1220)*N($I1220),2))</f>
        <v>0</v>
      </c>
      <c r="P1220" s="36" t="n">
        <f aca="false">IF($D1220&lt;&gt;"销项开票",0,ROUND(N($H1220)-$O1220,2))</f>
        <v>0</v>
      </c>
      <c r="Q1220" s="37" t="str">
        <f aca="false">IF($E1220="","",N(IFERROR(INDEX(单位档案!$E$6:$E$35,MATCH($E1220,单位档案!$A$6:$A$35,0)),"")))</f>
        <v/>
      </c>
      <c r="R1220" s="37" t="str">
        <f aca="false">IF($E1220="","",N(IFERROR(INDEX(单位档案!$F$6:$F$35,MATCH($E1220,单位档案!$A$6:$A$35,0)),"")))</f>
        <v/>
      </c>
      <c r="S1220" s="36" t="n">
        <f aca="false">IF(OR($D1220&lt;&gt;"销项开票",IFERROR(INDEX(单位档案!$G$6:$G$35,MATCH($E1220,单位档案!$A$6:$A$35,0)),"")&lt;&gt;"是",N($Q1220)=0),0,IF(IFERROR(INDEX(单位档案!$H$6:$H$35,MATCH($E1220,单位档案!$A$6:$A$35,0)),"")="税差法",ROUND(N($H1220)/(1+$Q1220)*$Q1220-IF(N($R1220)=0,0,$P1220/(1+$R1220)*$R1220),2),ROUND(N($H1220)/(1+$Q1220)*$Q1220,2)))</f>
        <v>0</v>
      </c>
      <c r="T1220" s="36" t="n">
        <f aca="false">ROUND($S1220*N(IFERROR(INDEX(单位档案!$J$6:$J$35,MATCH($E1220,单位档案!$A$6:$A$35,0)),"")),2)</f>
        <v>0</v>
      </c>
      <c r="U1220" s="36" t="n">
        <f aca="false">IF($D1220&lt;&gt;"销项开票",0,ROUND(N($H1220)*N(IFERROR(INDEX(单位档案!$K$6:$K$35,MATCH($E1220,单位档案!$A$6:$A$35,0)),"")),2))</f>
        <v>0</v>
      </c>
      <c r="V1220" s="36" t="n">
        <f aca="false">IF(OR($D1220&lt;&gt;"销项开票",N($Q1220)=0),0,ROUND(N($H1220)/(1+$Q1220)*N(IFERROR(INDEX(单位档案!$L$6:$L$35,MATCH($E1220,单位档案!$A$6:$A$35,0)),"")),2))</f>
        <v>0</v>
      </c>
      <c r="W1220" s="36" t="n">
        <f aca="false">ROUND($S1220+$T1220+$U1220+$V1220,2)</f>
        <v>0</v>
      </c>
      <c r="X1220" s="35" t="str">
        <f aca="false">IF(OR($D1220="挂靠代收",$D1220="我方收款"),COUNTIFS($D$5:$D1220,"挂靠代收")+COUNTIFS($D$5:$D1220,"我方收款"),"")</f>
        <v/>
      </c>
      <c r="Y1220" s="35"/>
      <c r="Z1220" s="21" t="s">
        <v>111</v>
      </c>
    </row>
    <row r="1221" customFormat="false" ht="15.75" hidden="false" customHeight="true" outlineLevel="0" collapsed="false">
      <c r="A1221" s="32" t="str">
        <f aca="false">IF($B1221="","",ROW()-4)</f>
        <v/>
      </c>
      <c r="B1221" s="26"/>
      <c r="C1221" s="24"/>
      <c r="D1221" s="21"/>
      <c r="E1221" s="21"/>
      <c r="F1221" s="21"/>
      <c r="G1221" s="21"/>
      <c r="H1221" s="27"/>
      <c r="I1221" s="23" t="str">
        <f aca="false">IF($D1221&lt;&gt;"销项开票","",IF($N1221="一级",IF(IFERROR(INDEX(项目档案!$E$6:$E$255,MATCH($C1221,项目档案!$A$6:$A$255,0)),"")="",N(IFERROR(INDEX(单位档案!$D$6:$D$35,MATCH($E1221,单位档案!$A$6:$A$35,0)),"")),IFERROR(INDEX(项目档案!$E$6:$E$255,MATCH($C1221,项目档案!$A$6:$A$255,0)),"")),IF($N1221="二级",IF(IFERROR(INDEX(项目档案!$G$6:$G$255,MATCH($C1221,项目档案!$A$6:$A$255,0)),"")="",N(IFERROR(INDEX(单位档案!$D$6:$D$35,MATCH($E1221,单位档案!$A$6:$A$35,0)),"")),IFERROR(INDEX(项目档案!$G$6:$G$255,MATCH($C1221,项目档案!$A$6:$A$255,0)),"")),N(IFERROR(INDEX(单位档案!$D$6:$D$35,MATCH($E1221,单位档案!$A$6:$A$35,0)),"")))))</f>
        <v/>
      </c>
      <c r="J1221" s="22"/>
      <c r="K1221" s="22"/>
      <c r="L1221" s="33" t="str">
        <f aca="false">IF($B1221="","",IF(NOT(ISNUMBER($B1221)),"日期格式不对",IF($C1221="","未选项目编号",IF(LEFT($M1221,1)="⚠","项目编号不存在",IF($D1221="","未选业务类型",IF($E1221="","未选开票/付款方",IF(ISNA(MATCH($E1221,单位档案!$A$6:$A$35,0)),"开票方不在单位档案",IF($F1221="","未选收票/收款方",IF(ISNA(MATCH($F1221,单位档案!$A$6:$A$35,0)),"收款方不在单位档案",IF(NOT(ISNUMBER($H1221)),"金额须为数字",IF(AND($D1221="销项开票",$N1221="—"),"链条待确认","√")))))))))))</f>
        <v/>
      </c>
      <c r="M1221" s="34" t="str">
        <f aca="false">IF($C1221="","",IFERROR(INDEX(项目档案!$B$6:$B$255,MATCH($C1221,项目档案!$A$6:$A$255,0)),"⚠项目编号不存在"))</f>
        <v/>
      </c>
      <c r="N1221" s="35" t="str">
        <f aca="false">IF($E1221="","",IF($E1221=IFERROR(INDEX(项目档案!$D$6:$D$255,MATCH($C1221,项目档案!$A$6:$A$255,0)),""),"一级",IF($E1221=IFERROR(INDEX(项目档案!$F$6:$F$255,MATCH($C1221,项目档案!$A$6:$A$255,0)),""),"二级",IF($E1221=IFERROR(INDEX(项目档案!$H$6:$H$255,MATCH($C1221,项目档案!$A$6:$A$255,0)),""),"我方","—"))))</f>
        <v/>
      </c>
      <c r="O1221" s="36" t="n">
        <f aca="false">IF($D1221&lt;&gt;"销项开票",0,ROUND(N($H1221)*N($I1221),2))</f>
        <v>0</v>
      </c>
      <c r="P1221" s="36" t="n">
        <f aca="false">IF($D1221&lt;&gt;"销项开票",0,ROUND(N($H1221)-$O1221,2))</f>
        <v>0</v>
      </c>
      <c r="Q1221" s="37" t="str">
        <f aca="false">IF($E1221="","",N(IFERROR(INDEX(单位档案!$E$6:$E$35,MATCH($E1221,单位档案!$A$6:$A$35,0)),"")))</f>
        <v/>
      </c>
      <c r="R1221" s="37" t="str">
        <f aca="false">IF($E1221="","",N(IFERROR(INDEX(单位档案!$F$6:$F$35,MATCH($E1221,单位档案!$A$6:$A$35,0)),"")))</f>
        <v/>
      </c>
      <c r="S1221" s="36" t="n">
        <f aca="false">IF(OR($D1221&lt;&gt;"销项开票",IFERROR(INDEX(单位档案!$G$6:$G$35,MATCH($E1221,单位档案!$A$6:$A$35,0)),"")&lt;&gt;"是",N($Q1221)=0),0,IF(IFERROR(INDEX(单位档案!$H$6:$H$35,MATCH($E1221,单位档案!$A$6:$A$35,0)),"")="税差法",ROUND(N($H1221)/(1+$Q1221)*$Q1221-IF(N($R1221)=0,0,$P1221/(1+$R1221)*$R1221),2),ROUND(N($H1221)/(1+$Q1221)*$Q1221,2)))</f>
        <v>0</v>
      </c>
      <c r="T1221" s="36" t="n">
        <f aca="false">ROUND($S1221*N(IFERROR(INDEX(单位档案!$J$6:$J$35,MATCH($E1221,单位档案!$A$6:$A$35,0)),"")),2)</f>
        <v>0</v>
      </c>
      <c r="U1221" s="36" t="n">
        <f aca="false">IF($D1221&lt;&gt;"销项开票",0,ROUND(N($H1221)*N(IFERROR(INDEX(单位档案!$K$6:$K$35,MATCH($E1221,单位档案!$A$6:$A$35,0)),"")),2))</f>
        <v>0</v>
      </c>
      <c r="V1221" s="36" t="n">
        <f aca="false">IF(OR($D1221&lt;&gt;"销项开票",N($Q1221)=0),0,ROUND(N($H1221)/(1+$Q1221)*N(IFERROR(INDEX(单位档案!$L$6:$L$35,MATCH($E1221,单位档案!$A$6:$A$35,0)),"")),2))</f>
        <v>0</v>
      </c>
      <c r="W1221" s="36" t="n">
        <f aca="false">ROUND($S1221+$T1221+$U1221+$V1221,2)</f>
        <v>0</v>
      </c>
      <c r="X1221" s="35" t="str">
        <f aca="false">IF(OR($D1221="挂靠代收",$D1221="我方收款"),COUNTIFS($D$5:$D1221,"挂靠代收")+COUNTIFS($D$5:$D1221,"我方收款"),"")</f>
        <v/>
      </c>
      <c r="Y1221" s="35"/>
      <c r="Z1221" s="21" t="s">
        <v>111</v>
      </c>
    </row>
    <row r="1222" customFormat="false" ht="15.75" hidden="false" customHeight="true" outlineLevel="0" collapsed="false">
      <c r="A1222" s="32" t="str">
        <f aca="false">IF($B1222="","",ROW()-4)</f>
        <v/>
      </c>
      <c r="B1222" s="26"/>
      <c r="C1222" s="24"/>
      <c r="D1222" s="21"/>
      <c r="E1222" s="21"/>
      <c r="F1222" s="21"/>
      <c r="G1222" s="21"/>
      <c r="H1222" s="27"/>
      <c r="I1222" s="23" t="str">
        <f aca="false">IF($D1222&lt;&gt;"销项开票","",IF($N1222="一级",IF(IFERROR(INDEX(项目档案!$E$6:$E$255,MATCH($C1222,项目档案!$A$6:$A$255,0)),"")="",N(IFERROR(INDEX(单位档案!$D$6:$D$35,MATCH($E1222,单位档案!$A$6:$A$35,0)),"")),IFERROR(INDEX(项目档案!$E$6:$E$255,MATCH($C1222,项目档案!$A$6:$A$255,0)),"")),IF($N1222="二级",IF(IFERROR(INDEX(项目档案!$G$6:$G$255,MATCH($C1222,项目档案!$A$6:$A$255,0)),"")="",N(IFERROR(INDEX(单位档案!$D$6:$D$35,MATCH($E1222,单位档案!$A$6:$A$35,0)),"")),IFERROR(INDEX(项目档案!$G$6:$G$255,MATCH($C1222,项目档案!$A$6:$A$255,0)),"")),N(IFERROR(INDEX(单位档案!$D$6:$D$35,MATCH($E1222,单位档案!$A$6:$A$35,0)),"")))))</f>
        <v/>
      </c>
      <c r="J1222" s="22"/>
      <c r="K1222" s="22"/>
      <c r="L1222" s="33" t="str">
        <f aca="false">IF($B1222="","",IF(NOT(ISNUMBER($B1222)),"日期格式不对",IF($C1222="","未选项目编号",IF(LEFT($M1222,1)="⚠","项目编号不存在",IF($D1222="","未选业务类型",IF($E1222="","未选开票/付款方",IF(ISNA(MATCH($E1222,单位档案!$A$6:$A$35,0)),"开票方不在单位档案",IF($F1222="","未选收票/收款方",IF(ISNA(MATCH($F1222,单位档案!$A$6:$A$35,0)),"收款方不在单位档案",IF(NOT(ISNUMBER($H1222)),"金额须为数字",IF(AND($D1222="销项开票",$N1222="—"),"链条待确认","√")))))))))))</f>
        <v/>
      </c>
      <c r="M1222" s="34" t="str">
        <f aca="false">IF($C1222="","",IFERROR(INDEX(项目档案!$B$6:$B$255,MATCH($C1222,项目档案!$A$6:$A$255,0)),"⚠项目编号不存在"))</f>
        <v/>
      </c>
      <c r="N1222" s="35" t="str">
        <f aca="false">IF($E1222="","",IF($E1222=IFERROR(INDEX(项目档案!$D$6:$D$255,MATCH($C1222,项目档案!$A$6:$A$255,0)),""),"一级",IF($E1222=IFERROR(INDEX(项目档案!$F$6:$F$255,MATCH($C1222,项目档案!$A$6:$A$255,0)),""),"二级",IF($E1222=IFERROR(INDEX(项目档案!$H$6:$H$255,MATCH($C1222,项目档案!$A$6:$A$255,0)),""),"我方","—"))))</f>
        <v/>
      </c>
      <c r="O1222" s="36" t="n">
        <f aca="false">IF($D1222&lt;&gt;"销项开票",0,ROUND(N($H1222)*N($I1222),2))</f>
        <v>0</v>
      </c>
      <c r="P1222" s="36" t="n">
        <f aca="false">IF($D1222&lt;&gt;"销项开票",0,ROUND(N($H1222)-$O1222,2))</f>
        <v>0</v>
      </c>
      <c r="Q1222" s="37" t="str">
        <f aca="false">IF($E1222="","",N(IFERROR(INDEX(单位档案!$E$6:$E$35,MATCH($E1222,单位档案!$A$6:$A$35,0)),"")))</f>
        <v/>
      </c>
      <c r="R1222" s="37" t="str">
        <f aca="false">IF($E1222="","",N(IFERROR(INDEX(单位档案!$F$6:$F$35,MATCH($E1222,单位档案!$A$6:$A$35,0)),"")))</f>
        <v/>
      </c>
      <c r="S1222" s="36" t="n">
        <f aca="false">IF(OR($D1222&lt;&gt;"销项开票",IFERROR(INDEX(单位档案!$G$6:$G$35,MATCH($E1222,单位档案!$A$6:$A$35,0)),"")&lt;&gt;"是",N($Q1222)=0),0,IF(IFERROR(INDEX(单位档案!$H$6:$H$35,MATCH($E1222,单位档案!$A$6:$A$35,0)),"")="税差法",ROUND(N($H1222)/(1+$Q1222)*$Q1222-IF(N($R1222)=0,0,$P1222/(1+$R1222)*$R1222),2),ROUND(N($H1222)/(1+$Q1222)*$Q1222,2)))</f>
        <v>0</v>
      </c>
      <c r="T1222" s="36" t="n">
        <f aca="false">ROUND($S1222*N(IFERROR(INDEX(单位档案!$J$6:$J$35,MATCH($E1222,单位档案!$A$6:$A$35,0)),"")),2)</f>
        <v>0</v>
      </c>
      <c r="U1222" s="36" t="n">
        <f aca="false">IF($D1222&lt;&gt;"销项开票",0,ROUND(N($H1222)*N(IFERROR(INDEX(单位档案!$K$6:$K$35,MATCH($E1222,单位档案!$A$6:$A$35,0)),"")),2))</f>
        <v>0</v>
      </c>
      <c r="V1222" s="36" t="n">
        <f aca="false">IF(OR($D1222&lt;&gt;"销项开票",N($Q1222)=0),0,ROUND(N($H1222)/(1+$Q1222)*N(IFERROR(INDEX(单位档案!$L$6:$L$35,MATCH($E1222,单位档案!$A$6:$A$35,0)),"")),2))</f>
        <v>0</v>
      </c>
      <c r="W1222" s="36" t="n">
        <f aca="false">ROUND($S1222+$T1222+$U1222+$V1222,2)</f>
        <v>0</v>
      </c>
      <c r="X1222" s="35" t="str">
        <f aca="false">IF(OR($D1222="挂靠代收",$D1222="我方收款"),COUNTIFS($D$5:$D1222,"挂靠代收")+COUNTIFS($D$5:$D1222,"我方收款"),"")</f>
        <v/>
      </c>
      <c r="Y1222" s="35"/>
      <c r="Z1222" s="21" t="s">
        <v>111</v>
      </c>
    </row>
    <row r="1223" customFormat="false" ht="15.75" hidden="false" customHeight="true" outlineLevel="0" collapsed="false">
      <c r="A1223" s="32" t="str">
        <f aca="false">IF($B1223="","",ROW()-4)</f>
        <v/>
      </c>
      <c r="B1223" s="26"/>
      <c r="C1223" s="24"/>
      <c r="D1223" s="21"/>
      <c r="E1223" s="21"/>
      <c r="F1223" s="21"/>
      <c r="G1223" s="21"/>
      <c r="H1223" s="27"/>
      <c r="I1223" s="23" t="str">
        <f aca="false">IF($D1223&lt;&gt;"销项开票","",IF($N1223="一级",IF(IFERROR(INDEX(项目档案!$E$6:$E$255,MATCH($C1223,项目档案!$A$6:$A$255,0)),"")="",N(IFERROR(INDEX(单位档案!$D$6:$D$35,MATCH($E1223,单位档案!$A$6:$A$35,0)),"")),IFERROR(INDEX(项目档案!$E$6:$E$255,MATCH($C1223,项目档案!$A$6:$A$255,0)),"")),IF($N1223="二级",IF(IFERROR(INDEX(项目档案!$G$6:$G$255,MATCH($C1223,项目档案!$A$6:$A$255,0)),"")="",N(IFERROR(INDEX(单位档案!$D$6:$D$35,MATCH($E1223,单位档案!$A$6:$A$35,0)),"")),IFERROR(INDEX(项目档案!$G$6:$G$255,MATCH($C1223,项目档案!$A$6:$A$255,0)),"")),N(IFERROR(INDEX(单位档案!$D$6:$D$35,MATCH($E1223,单位档案!$A$6:$A$35,0)),"")))))</f>
        <v/>
      </c>
      <c r="J1223" s="22"/>
      <c r="K1223" s="22"/>
      <c r="L1223" s="33" t="str">
        <f aca="false">IF($B1223="","",IF(NOT(ISNUMBER($B1223)),"日期格式不对",IF($C1223="","未选项目编号",IF(LEFT($M1223,1)="⚠","项目编号不存在",IF($D1223="","未选业务类型",IF($E1223="","未选开票/付款方",IF(ISNA(MATCH($E1223,单位档案!$A$6:$A$35,0)),"开票方不在单位档案",IF($F1223="","未选收票/收款方",IF(ISNA(MATCH($F1223,单位档案!$A$6:$A$35,0)),"收款方不在单位档案",IF(NOT(ISNUMBER($H1223)),"金额须为数字",IF(AND($D1223="销项开票",$N1223="—"),"链条待确认","√")))))))))))</f>
        <v/>
      </c>
      <c r="M1223" s="34" t="str">
        <f aca="false">IF($C1223="","",IFERROR(INDEX(项目档案!$B$6:$B$255,MATCH($C1223,项目档案!$A$6:$A$255,0)),"⚠项目编号不存在"))</f>
        <v/>
      </c>
      <c r="N1223" s="35" t="str">
        <f aca="false">IF($E1223="","",IF($E1223=IFERROR(INDEX(项目档案!$D$6:$D$255,MATCH($C1223,项目档案!$A$6:$A$255,0)),""),"一级",IF($E1223=IFERROR(INDEX(项目档案!$F$6:$F$255,MATCH($C1223,项目档案!$A$6:$A$255,0)),""),"二级",IF($E1223=IFERROR(INDEX(项目档案!$H$6:$H$255,MATCH($C1223,项目档案!$A$6:$A$255,0)),""),"我方","—"))))</f>
        <v/>
      </c>
      <c r="O1223" s="36" t="n">
        <f aca="false">IF($D1223&lt;&gt;"销项开票",0,ROUND(N($H1223)*N($I1223),2))</f>
        <v>0</v>
      </c>
      <c r="P1223" s="36" t="n">
        <f aca="false">IF($D1223&lt;&gt;"销项开票",0,ROUND(N($H1223)-$O1223,2))</f>
        <v>0</v>
      </c>
      <c r="Q1223" s="37" t="str">
        <f aca="false">IF($E1223="","",N(IFERROR(INDEX(单位档案!$E$6:$E$35,MATCH($E1223,单位档案!$A$6:$A$35,0)),"")))</f>
        <v/>
      </c>
      <c r="R1223" s="37" t="str">
        <f aca="false">IF($E1223="","",N(IFERROR(INDEX(单位档案!$F$6:$F$35,MATCH($E1223,单位档案!$A$6:$A$35,0)),"")))</f>
        <v/>
      </c>
      <c r="S1223" s="36" t="n">
        <f aca="false">IF(OR($D1223&lt;&gt;"销项开票",IFERROR(INDEX(单位档案!$G$6:$G$35,MATCH($E1223,单位档案!$A$6:$A$35,0)),"")&lt;&gt;"是",N($Q1223)=0),0,IF(IFERROR(INDEX(单位档案!$H$6:$H$35,MATCH($E1223,单位档案!$A$6:$A$35,0)),"")="税差法",ROUND(N($H1223)/(1+$Q1223)*$Q1223-IF(N($R1223)=0,0,$P1223/(1+$R1223)*$R1223),2),ROUND(N($H1223)/(1+$Q1223)*$Q1223,2)))</f>
        <v>0</v>
      </c>
      <c r="T1223" s="36" t="n">
        <f aca="false">ROUND($S1223*N(IFERROR(INDEX(单位档案!$J$6:$J$35,MATCH($E1223,单位档案!$A$6:$A$35,0)),"")),2)</f>
        <v>0</v>
      </c>
      <c r="U1223" s="36" t="n">
        <f aca="false">IF($D1223&lt;&gt;"销项开票",0,ROUND(N($H1223)*N(IFERROR(INDEX(单位档案!$K$6:$K$35,MATCH($E1223,单位档案!$A$6:$A$35,0)),"")),2))</f>
        <v>0</v>
      </c>
      <c r="V1223" s="36" t="n">
        <f aca="false">IF(OR($D1223&lt;&gt;"销项开票",N($Q1223)=0),0,ROUND(N($H1223)/(1+$Q1223)*N(IFERROR(INDEX(单位档案!$L$6:$L$35,MATCH($E1223,单位档案!$A$6:$A$35,0)),"")),2))</f>
        <v>0</v>
      </c>
      <c r="W1223" s="36" t="n">
        <f aca="false">ROUND($S1223+$T1223+$U1223+$V1223,2)</f>
        <v>0</v>
      </c>
      <c r="X1223" s="35" t="str">
        <f aca="false">IF(OR($D1223="挂靠代收",$D1223="我方收款"),COUNTIFS($D$5:$D1223,"挂靠代收")+COUNTIFS($D$5:$D1223,"我方收款"),"")</f>
        <v/>
      </c>
      <c r="Y1223" s="35"/>
      <c r="Z1223" s="21" t="s">
        <v>111</v>
      </c>
    </row>
    <row r="1224" customFormat="false" ht="15.75" hidden="false" customHeight="true" outlineLevel="0" collapsed="false">
      <c r="A1224" s="32" t="str">
        <f aca="false">IF($B1224="","",ROW()-4)</f>
        <v/>
      </c>
      <c r="B1224" s="26"/>
      <c r="C1224" s="24"/>
      <c r="D1224" s="21"/>
      <c r="E1224" s="21"/>
      <c r="F1224" s="21"/>
      <c r="G1224" s="21"/>
      <c r="H1224" s="27"/>
      <c r="I1224" s="23" t="str">
        <f aca="false">IF($D1224&lt;&gt;"销项开票","",IF($N1224="一级",IF(IFERROR(INDEX(项目档案!$E$6:$E$255,MATCH($C1224,项目档案!$A$6:$A$255,0)),"")="",N(IFERROR(INDEX(单位档案!$D$6:$D$35,MATCH($E1224,单位档案!$A$6:$A$35,0)),"")),IFERROR(INDEX(项目档案!$E$6:$E$255,MATCH($C1224,项目档案!$A$6:$A$255,0)),"")),IF($N1224="二级",IF(IFERROR(INDEX(项目档案!$G$6:$G$255,MATCH($C1224,项目档案!$A$6:$A$255,0)),"")="",N(IFERROR(INDEX(单位档案!$D$6:$D$35,MATCH($E1224,单位档案!$A$6:$A$35,0)),"")),IFERROR(INDEX(项目档案!$G$6:$G$255,MATCH($C1224,项目档案!$A$6:$A$255,0)),"")),N(IFERROR(INDEX(单位档案!$D$6:$D$35,MATCH($E1224,单位档案!$A$6:$A$35,0)),"")))))</f>
        <v/>
      </c>
      <c r="J1224" s="22"/>
      <c r="K1224" s="22"/>
      <c r="L1224" s="33" t="str">
        <f aca="false">IF($B1224="","",IF(NOT(ISNUMBER($B1224)),"日期格式不对",IF($C1224="","未选项目编号",IF(LEFT($M1224,1)="⚠","项目编号不存在",IF($D1224="","未选业务类型",IF($E1224="","未选开票/付款方",IF(ISNA(MATCH($E1224,单位档案!$A$6:$A$35,0)),"开票方不在单位档案",IF($F1224="","未选收票/收款方",IF(ISNA(MATCH($F1224,单位档案!$A$6:$A$35,0)),"收款方不在单位档案",IF(NOT(ISNUMBER($H1224)),"金额须为数字",IF(AND($D1224="销项开票",$N1224="—"),"链条待确认","√")))))))))))</f>
        <v/>
      </c>
      <c r="M1224" s="34" t="str">
        <f aca="false">IF($C1224="","",IFERROR(INDEX(项目档案!$B$6:$B$255,MATCH($C1224,项目档案!$A$6:$A$255,0)),"⚠项目编号不存在"))</f>
        <v/>
      </c>
      <c r="N1224" s="35" t="str">
        <f aca="false">IF($E1224="","",IF($E1224=IFERROR(INDEX(项目档案!$D$6:$D$255,MATCH($C1224,项目档案!$A$6:$A$255,0)),""),"一级",IF($E1224=IFERROR(INDEX(项目档案!$F$6:$F$255,MATCH($C1224,项目档案!$A$6:$A$255,0)),""),"二级",IF($E1224=IFERROR(INDEX(项目档案!$H$6:$H$255,MATCH($C1224,项目档案!$A$6:$A$255,0)),""),"我方","—"))))</f>
        <v/>
      </c>
      <c r="O1224" s="36" t="n">
        <f aca="false">IF($D1224&lt;&gt;"销项开票",0,ROUND(N($H1224)*N($I1224),2))</f>
        <v>0</v>
      </c>
      <c r="P1224" s="36" t="n">
        <f aca="false">IF($D1224&lt;&gt;"销项开票",0,ROUND(N($H1224)-$O1224,2))</f>
        <v>0</v>
      </c>
      <c r="Q1224" s="37" t="str">
        <f aca="false">IF($E1224="","",N(IFERROR(INDEX(单位档案!$E$6:$E$35,MATCH($E1224,单位档案!$A$6:$A$35,0)),"")))</f>
        <v/>
      </c>
      <c r="R1224" s="37" t="str">
        <f aca="false">IF($E1224="","",N(IFERROR(INDEX(单位档案!$F$6:$F$35,MATCH($E1224,单位档案!$A$6:$A$35,0)),"")))</f>
        <v/>
      </c>
      <c r="S1224" s="36" t="n">
        <f aca="false">IF(OR($D1224&lt;&gt;"销项开票",IFERROR(INDEX(单位档案!$G$6:$G$35,MATCH($E1224,单位档案!$A$6:$A$35,0)),"")&lt;&gt;"是",N($Q1224)=0),0,IF(IFERROR(INDEX(单位档案!$H$6:$H$35,MATCH($E1224,单位档案!$A$6:$A$35,0)),"")="税差法",ROUND(N($H1224)/(1+$Q1224)*$Q1224-IF(N($R1224)=0,0,$P1224/(1+$R1224)*$R1224),2),ROUND(N($H1224)/(1+$Q1224)*$Q1224,2)))</f>
        <v>0</v>
      </c>
      <c r="T1224" s="36" t="n">
        <f aca="false">ROUND($S1224*N(IFERROR(INDEX(单位档案!$J$6:$J$35,MATCH($E1224,单位档案!$A$6:$A$35,0)),"")),2)</f>
        <v>0</v>
      </c>
      <c r="U1224" s="36" t="n">
        <f aca="false">IF($D1224&lt;&gt;"销项开票",0,ROUND(N($H1224)*N(IFERROR(INDEX(单位档案!$K$6:$K$35,MATCH($E1224,单位档案!$A$6:$A$35,0)),"")),2))</f>
        <v>0</v>
      </c>
      <c r="V1224" s="36" t="n">
        <f aca="false">IF(OR($D1224&lt;&gt;"销项开票",N($Q1224)=0),0,ROUND(N($H1224)/(1+$Q1224)*N(IFERROR(INDEX(单位档案!$L$6:$L$35,MATCH($E1224,单位档案!$A$6:$A$35,0)),"")),2))</f>
        <v>0</v>
      </c>
      <c r="W1224" s="36" t="n">
        <f aca="false">ROUND($S1224+$T1224+$U1224+$V1224,2)</f>
        <v>0</v>
      </c>
      <c r="X1224" s="35" t="str">
        <f aca="false">IF(OR($D1224="挂靠代收",$D1224="我方收款"),COUNTIFS($D$5:$D1224,"挂靠代收")+COUNTIFS($D$5:$D1224,"我方收款"),"")</f>
        <v/>
      </c>
      <c r="Y1224" s="35"/>
      <c r="Z1224" s="21" t="s">
        <v>111</v>
      </c>
    </row>
    <row r="1225" customFormat="false" ht="15.75" hidden="false" customHeight="true" outlineLevel="0" collapsed="false">
      <c r="A1225" s="32" t="str">
        <f aca="false">IF($B1225="","",ROW()-4)</f>
        <v/>
      </c>
      <c r="B1225" s="26"/>
      <c r="C1225" s="24"/>
      <c r="D1225" s="21"/>
      <c r="E1225" s="21"/>
      <c r="F1225" s="21"/>
      <c r="G1225" s="21"/>
      <c r="H1225" s="27"/>
      <c r="I1225" s="23" t="str">
        <f aca="false">IF($D1225&lt;&gt;"销项开票","",IF($N1225="一级",IF(IFERROR(INDEX(项目档案!$E$6:$E$255,MATCH($C1225,项目档案!$A$6:$A$255,0)),"")="",N(IFERROR(INDEX(单位档案!$D$6:$D$35,MATCH($E1225,单位档案!$A$6:$A$35,0)),"")),IFERROR(INDEX(项目档案!$E$6:$E$255,MATCH($C1225,项目档案!$A$6:$A$255,0)),"")),IF($N1225="二级",IF(IFERROR(INDEX(项目档案!$G$6:$G$255,MATCH($C1225,项目档案!$A$6:$A$255,0)),"")="",N(IFERROR(INDEX(单位档案!$D$6:$D$35,MATCH($E1225,单位档案!$A$6:$A$35,0)),"")),IFERROR(INDEX(项目档案!$G$6:$G$255,MATCH($C1225,项目档案!$A$6:$A$255,0)),"")),N(IFERROR(INDEX(单位档案!$D$6:$D$35,MATCH($E1225,单位档案!$A$6:$A$35,0)),"")))))</f>
        <v/>
      </c>
      <c r="J1225" s="22"/>
      <c r="K1225" s="22"/>
      <c r="L1225" s="33" t="str">
        <f aca="false">IF($B1225="","",IF(NOT(ISNUMBER($B1225)),"日期格式不对",IF($C1225="","未选项目编号",IF(LEFT($M1225,1)="⚠","项目编号不存在",IF($D1225="","未选业务类型",IF($E1225="","未选开票/付款方",IF(ISNA(MATCH($E1225,单位档案!$A$6:$A$35,0)),"开票方不在单位档案",IF($F1225="","未选收票/收款方",IF(ISNA(MATCH($F1225,单位档案!$A$6:$A$35,0)),"收款方不在单位档案",IF(NOT(ISNUMBER($H1225)),"金额须为数字",IF(AND($D1225="销项开票",$N1225="—"),"链条待确认","√")))))))))))</f>
        <v/>
      </c>
      <c r="M1225" s="34" t="str">
        <f aca="false">IF($C1225="","",IFERROR(INDEX(项目档案!$B$6:$B$255,MATCH($C1225,项目档案!$A$6:$A$255,0)),"⚠项目编号不存在"))</f>
        <v/>
      </c>
      <c r="N1225" s="35" t="str">
        <f aca="false">IF($E1225="","",IF($E1225=IFERROR(INDEX(项目档案!$D$6:$D$255,MATCH($C1225,项目档案!$A$6:$A$255,0)),""),"一级",IF($E1225=IFERROR(INDEX(项目档案!$F$6:$F$255,MATCH($C1225,项目档案!$A$6:$A$255,0)),""),"二级",IF($E1225=IFERROR(INDEX(项目档案!$H$6:$H$255,MATCH($C1225,项目档案!$A$6:$A$255,0)),""),"我方","—"))))</f>
        <v/>
      </c>
      <c r="O1225" s="36" t="n">
        <f aca="false">IF($D1225&lt;&gt;"销项开票",0,ROUND(N($H1225)*N($I1225),2))</f>
        <v>0</v>
      </c>
      <c r="P1225" s="36" t="n">
        <f aca="false">IF($D1225&lt;&gt;"销项开票",0,ROUND(N($H1225)-$O1225,2))</f>
        <v>0</v>
      </c>
      <c r="Q1225" s="37" t="str">
        <f aca="false">IF($E1225="","",N(IFERROR(INDEX(单位档案!$E$6:$E$35,MATCH($E1225,单位档案!$A$6:$A$35,0)),"")))</f>
        <v/>
      </c>
      <c r="R1225" s="37" t="str">
        <f aca="false">IF($E1225="","",N(IFERROR(INDEX(单位档案!$F$6:$F$35,MATCH($E1225,单位档案!$A$6:$A$35,0)),"")))</f>
        <v/>
      </c>
      <c r="S1225" s="36" t="n">
        <f aca="false">IF(OR($D1225&lt;&gt;"销项开票",IFERROR(INDEX(单位档案!$G$6:$G$35,MATCH($E1225,单位档案!$A$6:$A$35,0)),"")&lt;&gt;"是",N($Q1225)=0),0,IF(IFERROR(INDEX(单位档案!$H$6:$H$35,MATCH($E1225,单位档案!$A$6:$A$35,0)),"")="税差法",ROUND(N($H1225)/(1+$Q1225)*$Q1225-IF(N($R1225)=0,0,$P1225/(1+$R1225)*$R1225),2),ROUND(N($H1225)/(1+$Q1225)*$Q1225,2)))</f>
        <v>0</v>
      </c>
      <c r="T1225" s="36" t="n">
        <f aca="false">ROUND($S1225*N(IFERROR(INDEX(单位档案!$J$6:$J$35,MATCH($E1225,单位档案!$A$6:$A$35,0)),"")),2)</f>
        <v>0</v>
      </c>
      <c r="U1225" s="36" t="n">
        <f aca="false">IF($D1225&lt;&gt;"销项开票",0,ROUND(N($H1225)*N(IFERROR(INDEX(单位档案!$K$6:$K$35,MATCH($E1225,单位档案!$A$6:$A$35,0)),"")),2))</f>
        <v>0</v>
      </c>
      <c r="V1225" s="36" t="n">
        <f aca="false">IF(OR($D1225&lt;&gt;"销项开票",N($Q1225)=0),0,ROUND(N($H1225)/(1+$Q1225)*N(IFERROR(INDEX(单位档案!$L$6:$L$35,MATCH($E1225,单位档案!$A$6:$A$35,0)),"")),2))</f>
        <v>0</v>
      </c>
      <c r="W1225" s="36" t="n">
        <f aca="false">ROUND($S1225+$T1225+$U1225+$V1225,2)</f>
        <v>0</v>
      </c>
      <c r="X1225" s="35" t="str">
        <f aca="false">IF(OR($D1225="挂靠代收",$D1225="我方收款"),COUNTIFS($D$5:$D1225,"挂靠代收")+COUNTIFS($D$5:$D1225,"我方收款"),"")</f>
        <v/>
      </c>
      <c r="Y1225" s="35"/>
      <c r="Z1225" s="21" t="s">
        <v>111</v>
      </c>
    </row>
    <row r="1226" customFormat="false" ht="15.75" hidden="false" customHeight="true" outlineLevel="0" collapsed="false">
      <c r="A1226" s="32" t="str">
        <f aca="false">IF($B1226="","",ROW()-4)</f>
        <v/>
      </c>
      <c r="B1226" s="26"/>
      <c r="C1226" s="24"/>
      <c r="D1226" s="21"/>
      <c r="E1226" s="21"/>
      <c r="F1226" s="21"/>
      <c r="G1226" s="21"/>
      <c r="H1226" s="27"/>
      <c r="I1226" s="23" t="str">
        <f aca="false">IF($D1226&lt;&gt;"销项开票","",IF($N1226="一级",IF(IFERROR(INDEX(项目档案!$E$6:$E$255,MATCH($C1226,项目档案!$A$6:$A$255,0)),"")="",N(IFERROR(INDEX(单位档案!$D$6:$D$35,MATCH($E1226,单位档案!$A$6:$A$35,0)),"")),IFERROR(INDEX(项目档案!$E$6:$E$255,MATCH($C1226,项目档案!$A$6:$A$255,0)),"")),IF($N1226="二级",IF(IFERROR(INDEX(项目档案!$G$6:$G$255,MATCH($C1226,项目档案!$A$6:$A$255,0)),"")="",N(IFERROR(INDEX(单位档案!$D$6:$D$35,MATCH($E1226,单位档案!$A$6:$A$35,0)),"")),IFERROR(INDEX(项目档案!$G$6:$G$255,MATCH($C1226,项目档案!$A$6:$A$255,0)),"")),N(IFERROR(INDEX(单位档案!$D$6:$D$35,MATCH($E1226,单位档案!$A$6:$A$35,0)),"")))))</f>
        <v/>
      </c>
      <c r="J1226" s="22"/>
      <c r="K1226" s="22"/>
      <c r="L1226" s="33" t="str">
        <f aca="false">IF($B1226="","",IF(NOT(ISNUMBER($B1226)),"日期格式不对",IF($C1226="","未选项目编号",IF(LEFT($M1226,1)="⚠","项目编号不存在",IF($D1226="","未选业务类型",IF($E1226="","未选开票/付款方",IF(ISNA(MATCH($E1226,单位档案!$A$6:$A$35,0)),"开票方不在单位档案",IF($F1226="","未选收票/收款方",IF(ISNA(MATCH($F1226,单位档案!$A$6:$A$35,0)),"收款方不在单位档案",IF(NOT(ISNUMBER($H1226)),"金额须为数字",IF(AND($D1226="销项开票",$N1226="—"),"链条待确认","√")))))))))))</f>
        <v/>
      </c>
      <c r="M1226" s="34" t="str">
        <f aca="false">IF($C1226="","",IFERROR(INDEX(项目档案!$B$6:$B$255,MATCH($C1226,项目档案!$A$6:$A$255,0)),"⚠项目编号不存在"))</f>
        <v/>
      </c>
      <c r="N1226" s="35" t="str">
        <f aca="false">IF($E1226="","",IF($E1226=IFERROR(INDEX(项目档案!$D$6:$D$255,MATCH($C1226,项目档案!$A$6:$A$255,0)),""),"一级",IF($E1226=IFERROR(INDEX(项目档案!$F$6:$F$255,MATCH($C1226,项目档案!$A$6:$A$255,0)),""),"二级",IF($E1226=IFERROR(INDEX(项目档案!$H$6:$H$255,MATCH($C1226,项目档案!$A$6:$A$255,0)),""),"我方","—"))))</f>
        <v/>
      </c>
      <c r="O1226" s="36" t="n">
        <f aca="false">IF($D1226&lt;&gt;"销项开票",0,ROUND(N($H1226)*N($I1226),2))</f>
        <v>0</v>
      </c>
      <c r="P1226" s="36" t="n">
        <f aca="false">IF($D1226&lt;&gt;"销项开票",0,ROUND(N($H1226)-$O1226,2))</f>
        <v>0</v>
      </c>
      <c r="Q1226" s="37" t="str">
        <f aca="false">IF($E1226="","",N(IFERROR(INDEX(单位档案!$E$6:$E$35,MATCH($E1226,单位档案!$A$6:$A$35,0)),"")))</f>
        <v/>
      </c>
      <c r="R1226" s="37" t="str">
        <f aca="false">IF($E1226="","",N(IFERROR(INDEX(单位档案!$F$6:$F$35,MATCH($E1226,单位档案!$A$6:$A$35,0)),"")))</f>
        <v/>
      </c>
      <c r="S1226" s="36" t="n">
        <f aca="false">IF(OR($D1226&lt;&gt;"销项开票",IFERROR(INDEX(单位档案!$G$6:$G$35,MATCH($E1226,单位档案!$A$6:$A$35,0)),"")&lt;&gt;"是",N($Q1226)=0),0,IF(IFERROR(INDEX(单位档案!$H$6:$H$35,MATCH($E1226,单位档案!$A$6:$A$35,0)),"")="税差法",ROUND(N($H1226)/(1+$Q1226)*$Q1226-IF(N($R1226)=0,0,$P1226/(1+$R1226)*$R1226),2),ROUND(N($H1226)/(1+$Q1226)*$Q1226,2)))</f>
        <v>0</v>
      </c>
      <c r="T1226" s="36" t="n">
        <f aca="false">ROUND($S1226*N(IFERROR(INDEX(单位档案!$J$6:$J$35,MATCH($E1226,单位档案!$A$6:$A$35,0)),"")),2)</f>
        <v>0</v>
      </c>
      <c r="U1226" s="36" t="n">
        <f aca="false">IF($D1226&lt;&gt;"销项开票",0,ROUND(N($H1226)*N(IFERROR(INDEX(单位档案!$K$6:$K$35,MATCH($E1226,单位档案!$A$6:$A$35,0)),"")),2))</f>
        <v>0</v>
      </c>
      <c r="V1226" s="36" t="n">
        <f aca="false">IF(OR($D1226&lt;&gt;"销项开票",N($Q1226)=0),0,ROUND(N($H1226)/(1+$Q1226)*N(IFERROR(INDEX(单位档案!$L$6:$L$35,MATCH($E1226,单位档案!$A$6:$A$35,0)),"")),2))</f>
        <v>0</v>
      </c>
      <c r="W1226" s="36" t="n">
        <f aca="false">ROUND($S1226+$T1226+$U1226+$V1226,2)</f>
        <v>0</v>
      </c>
      <c r="X1226" s="35" t="str">
        <f aca="false">IF(OR($D1226="挂靠代收",$D1226="我方收款"),COUNTIFS($D$5:$D1226,"挂靠代收")+COUNTIFS($D$5:$D1226,"我方收款"),"")</f>
        <v/>
      </c>
      <c r="Y1226" s="35"/>
      <c r="Z1226" s="21" t="s">
        <v>111</v>
      </c>
    </row>
    <row r="1227" customFormat="false" ht="15.75" hidden="false" customHeight="true" outlineLevel="0" collapsed="false">
      <c r="A1227" s="32" t="str">
        <f aca="false">IF($B1227="","",ROW()-4)</f>
        <v/>
      </c>
      <c r="B1227" s="26"/>
      <c r="C1227" s="24"/>
      <c r="D1227" s="21"/>
      <c r="E1227" s="21"/>
      <c r="F1227" s="21"/>
      <c r="G1227" s="21"/>
      <c r="H1227" s="27"/>
      <c r="I1227" s="23" t="str">
        <f aca="false">IF($D1227&lt;&gt;"销项开票","",IF($N1227="一级",IF(IFERROR(INDEX(项目档案!$E$6:$E$255,MATCH($C1227,项目档案!$A$6:$A$255,0)),"")="",N(IFERROR(INDEX(单位档案!$D$6:$D$35,MATCH($E1227,单位档案!$A$6:$A$35,0)),"")),IFERROR(INDEX(项目档案!$E$6:$E$255,MATCH($C1227,项目档案!$A$6:$A$255,0)),"")),IF($N1227="二级",IF(IFERROR(INDEX(项目档案!$G$6:$G$255,MATCH($C1227,项目档案!$A$6:$A$255,0)),"")="",N(IFERROR(INDEX(单位档案!$D$6:$D$35,MATCH($E1227,单位档案!$A$6:$A$35,0)),"")),IFERROR(INDEX(项目档案!$G$6:$G$255,MATCH($C1227,项目档案!$A$6:$A$255,0)),"")),N(IFERROR(INDEX(单位档案!$D$6:$D$35,MATCH($E1227,单位档案!$A$6:$A$35,0)),"")))))</f>
        <v/>
      </c>
      <c r="J1227" s="22"/>
      <c r="K1227" s="22"/>
      <c r="L1227" s="33" t="str">
        <f aca="false">IF($B1227="","",IF(NOT(ISNUMBER($B1227)),"日期格式不对",IF($C1227="","未选项目编号",IF(LEFT($M1227,1)="⚠","项目编号不存在",IF($D1227="","未选业务类型",IF($E1227="","未选开票/付款方",IF(ISNA(MATCH($E1227,单位档案!$A$6:$A$35,0)),"开票方不在单位档案",IF($F1227="","未选收票/收款方",IF(ISNA(MATCH($F1227,单位档案!$A$6:$A$35,0)),"收款方不在单位档案",IF(NOT(ISNUMBER($H1227)),"金额须为数字",IF(AND($D1227="销项开票",$N1227="—"),"链条待确认","√")))))))))))</f>
        <v/>
      </c>
      <c r="M1227" s="34" t="str">
        <f aca="false">IF($C1227="","",IFERROR(INDEX(项目档案!$B$6:$B$255,MATCH($C1227,项目档案!$A$6:$A$255,0)),"⚠项目编号不存在"))</f>
        <v/>
      </c>
      <c r="N1227" s="35" t="str">
        <f aca="false">IF($E1227="","",IF($E1227=IFERROR(INDEX(项目档案!$D$6:$D$255,MATCH($C1227,项目档案!$A$6:$A$255,0)),""),"一级",IF($E1227=IFERROR(INDEX(项目档案!$F$6:$F$255,MATCH($C1227,项目档案!$A$6:$A$255,0)),""),"二级",IF($E1227=IFERROR(INDEX(项目档案!$H$6:$H$255,MATCH($C1227,项目档案!$A$6:$A$255,0)),""),"我方","—"))))</f>
        <v/>
      </c>
      <c r="O1227" s="36" t="n">
        <f aca="false">IF($D1227&lt;&gt;"销项开票",0,ROUND(N($H1227)*N($I1227),2))</f>
        <v>0</v>
      </c>
      <c r="P1227" s="36" t="n">
        <f aca="false">IF($D1227&lt;&gt;"销项开票",0,ROUND(N($H1227)-$O1227,2))</f>
        <v>0</v>
      </c>
      <c r="Q1227" s="37" t="str">
        <f aca="false">IF($E1227="","",N(IFERROR(INDEX(单位档案!$E$6:$E$35,MATCH($E1227,单位档案!$A$6:$A$35,0)),"")))</f>
        <v/>
      </c>
      <c r="R1227" s="37" t="str">
        <f aca="false">IF($E1227="","",N(IFERROR(INDEX(单位档案!$F$6:$F$35,MATCH($E1227,单位档案!$A$6:$A$35,0)),"")))</f>
        <v/>
      </c>
      <c r="S1227" s="36" t="n">
        <f aca="false">IF(OR($D1227&lt;&gt;"销项开票",IFERROR(INDEX(单位档案!$G$6:$G$35,MATCH($E1227,单位档案!$A$6:$A$35,0)),"")&lt;&gt;"是",N($Q1227)=0),0,IF(IFERROR(INDEX(单位档案!$H$6:$H$35,MATCH($E1227,单位档案!$A$6:$A$35,0)),"")="税差法",ROUND(N($H1227)/(1+$Q1227)*$Q1227-IF(N($R1227)=0,0,$P1227/(1+$R1227)*$R1227),2),ROUND(N($H1227)/(1+$Q1227)*$Q1227,2)))</f>
        <v>0</v>
      </c>
      <c r="T1227" s="36" t="n">
        <f aca="false">ROUND($S1227*N(IFERROR(INDEX(单位档案!$J$6:$J$35,MATCH($E1227,单位档案!$A$6:$A$35,0)),"")),2)</f>
        <v>0</v>
      </c>
      <c r="U1227" s="36" t="n">
        <f aca="false">IF($D1227&lt;&gt;"销项开票",0,ROUND(N($H1227)*N(IFERROR(INDEX(单位档案!$K$6:$K$35,MATCH($E1227,单位档案!$A$6:$A$35,0)),"")),2))</f>
        <v>0</v>
      </c>
      <c r="V1227" s="36" t="n">
        <f aca="false">IF(OR($D1227&lt;&gt;"销项开票",N($Q1227)=0),0,ROUND(N($H1227)/(1+$Q1227)*N(IFERROR(INDEX(单位档案!$L$6:$L$35,MATCH($E1227,单位档案!$A$6:$A$35,0)),"")),2))</f>
        <v>0</v>
      </c>
      <c r="W1227" s="36" t="n">
        <f aca="false">ROUND($S1227+$T1227+$U1227+$V1227,2)</f>
        <v>0</v>
      </c>
      <c r="X1227" s="35" t="str">
        <f aca="false">IF(OR($D1227="挂靠代收",$D1227="我方收款"),COUNTIFS($D$5:$D1227,"挂靠代收")+COUNTIFS($D$5:$D1227,"我方收款"),"")</f>
        <v/>
      </c>
      <c r="Y1227" s="35"/>
      <c r="Z1227" s="21" t="s">
        <v>111</v>
      </c>
    </row>
    <row r="1228" customFormat="false" ht="15.75" hidden="false" customHeight="true" outlineLevel="0" collapsed="false">
      <c r="A1228" s="32" t="str">
        <f aca="false">IF($B1228="","",ROW()-4)</f>
        <v/>
      </c>
      <c r="B1228" s="26"/>
      <c r="C1228" s="24"/>
      <c r="D1228" s="21"/>
      <c r="E1228" s="21"/>
      <c r="F1228" s="21"/>
      <c r="G1228" s="21"/>
      <c r="H1228" s="27"/>
      <c r="I1228" s="23" t="str">
        <f aca="false">IF($D1228&lt;&gt;"销项开票","",IF($N1228="一级",IF(IFERROR(INDEX(项目档案!$E$6:$E$255,MATCH($C1228,项目档案!$A$6:$A$255,0)),"")="",N(IFERROR(INDEX(单位档案!$D$6:$D$35,MATCH($E1228,单位档案!$A$6:$A$35,0)),"")),IFERROR(INDEX(项目档案!$E$6:$E$255,MATCH($C1228,项目档案!$A$6:$A$255,0)),"")),IF($N1228="二级",IF(IFERROR(INDEX(项目档案!$G$6:$G$255,MATCH($C1228,项目档案!$A$6:$A$255,0)),"")="",N(IFERROR(INDEX(单位档案!$D$6:$D$35,MATCH($E1228,单位档案!$A$6:$A$35,0)),"")),IFERROR(INDEX(项目档案!$G$6:$G$255,MATCH($C1228,项目档案!$A$6:$A$255,0)),"")),N(IFERROR(INDEX(单位档案!$D$6:$D$35,MATCH($E1228,单位档案!$A$6:$A$35,0)),"")))))</f>
        <v/>
      </c>
      <c r="J1228" s="22"/>
      <c r="K1228" s="22"/>
      <c r="L1228" s="33" t="str">
        <f aca="false">IF($B1228="","",IF(NOT(ISNUMBER($B1228)),"日期格式不对",IF($C1228="","未选项目编号",IF(LEFT($M1228,1)="⚠","项目编号不存在",IF($D1228="","未选业务类型",IF($E1228="","未选开票/付款方",IF(ISNA(MATCH($E1228,单位档案!$A$6:$A$35,0)),"开票方不在单位档案",IF($F1228="","未选收票/收款方",IF(ISNA(MATCH($F1228,单位档案!$A$6:$A$35,0)),"收款方不在单位档案",IF(NOT(ISNUMBER($H1228)),"金额须为数字",IF(AND($D1228="销项开票",$N1228="—"),"链条待确认","√")))))))))))</f>
        <v/>
      </c>
      <c r="M1228" s="34" t="str">
        <f aca="false">IF($C1228="","",IFERROR(INDEX(项目档案!$B$6:$B$255,MATCH($C1228,项目档案!$A$6:$A$255,0)),"⚠项目编号不存在"))</f>
        <v/>
      </c>
      <c r="N1228" s="35" t="str">
        <f aca="false">IF($E1228="","",IF($E1228=IFERROR(INDEX(项目档案!$D$6:$D$255,MATCH($C1228,项目档案!$A$6:$A$255,0)),""),"一级",IF($E1228=IFERROR(INDEX(项目档案!$F$6:$F$255,MATCH($C1228,项目档案!$A$6:$A$255,0)),""),"二级",IF($E1228=IFERROR(INDEX(项目档案!$H$6:$H$255,MATCH($C1228,项目档案!$A$6:$A$255,0)),""),"我方","—"))))</f>
        <v/>
      </c>
      <c r="O1228" s="36" t="n">
        <f aca="false">IF($D1228&lt;&gt;"销项开票",0,ROUND(N($H1228)*N($I1228),2))</f>
        <v>0</v>
      </c>
      <c r="P1228" s="36" t="n">
        <f aca="false">IF($D1228&lt;&gt;"销项开票",0,ROUND(N($H1228)-$O1228,2))</f>
        <v>0</v>
      </c>
      <c r="Q1228" s="37" t="str">
        <f aca="false">IF($E1228="","",N(IFERROR(INDEX(单位档案!$E$6:$E$35,MATCH($E1228,单位档案!$A$6:$A$35,0)),"")))</f>
        <v/>
      </c>
      <c r="R1228" s="37" t="str">
        <f aca="false">IF($E1228="","",N(IFERROR(INDEX(单位档案!$F$6:$F$35,MATCH($E1228,单位档案!$A$6:$A$35,0)),"")))</f>
        <v/>
      </c>
      <c r="S1228" s="36" t="n">
        <f aca="false">IF(OR($D1228&lt;&gt;"销项开票",IFERROR(INDEX(单位档案!$G$6:$G$35,MATCH($E1228,单位档案!$A$6:$A$35,0)),"")&lt;&gt;"是",N($Q1228)=0),0,IF(IFERROR(INDEX(单位档案!$H$6:$H$35,MATCH($E1228,单位档案!$A$6:$A$35,0)),"")="税差法",ROUND(N($H1228)/(1+$Q1228)*$Q1228-IF(N($R1228)=0,0,$P1228/(1+$R1228)*$R1228),2),ROUND(N($H1228)/(1+$Q1228)*$Q1228,2)))</f>
        <v>0</v>
      </c>
      <c r="T1228" s="36" t="n">
        <f aca="false">ROUND($S1228*N(IFERROR(INDEX(单位档案!$J$6:$J$35,MATCH($E1228,单位档案!$A$6:$A$35,0)),"")),2)</f>
        <v>0</v>
      </c>
      <c r="U1228" s="36" t="n">
        <f aca="false">IF($D1228&lt;&gt;"销项开票",0,ROUND(N($H1228)*N(IFERROR(INDEX(单位档案!$K$6:$K$35,MATCH($E1228,单位档案!$A$6:$A$35,0)),"")),2))</f>
        <v>0</v>
      </c>
      <c r="V1228" s="36" t="n">
        <f aca="false">IF(OR($D1228&lt;&gt;"销项开票",N($Q1228)=0),0,ROUND(N($H1228)/(1+$Q1228)*N(IFERROR(INDEX(单位档案!$L$6:$L$35,MATCH($E1228,单位档案!$A$6:$A$35,0)),"")),2))</f>
        <v>0</v>
      </c>
      <c r="W1228" s="36" t="n">
        <f aca="false">ROUND($S1228+$T1228+$U1228+$V1228,2)</f>
        <v>0</v>
      </c>
      <c r="X1228" s="35" t="str">
        <f aca="false">IF(OR($D1228="挂靠代收",$D1228="我方收款"),COUNTIFS($D$5:$D1228,"挂靠代收")+COUNTIFS($D$5:$D1228,"我方收款"),"")</f>
        <v/>
      </c>
      <c r="Y1228" s="35"/>
      <c r="Z1228" s="21" t="s">
        <v>111</v>
      </c>
    </row>
    <row r="1229" customFormat="false" ht="15.75" hidden="false" customHeight="true" outlineLevel="0" collapsed="false">
      <c r="A1229" s="32" t="str">
        <f aca="false">IF($B1229="","",ROW()-4)</f>
        <v/>
      </c>
      <c r="B1229" s="26"/>
      <c r="C1229" s="24"/>
      <c r="D1229" s="21"/>
      <c r="E1229" s="21"/>
      <c r="F1229" s="21"/>
      <c r="G1229" s="21"/>
      <c r="H1229" s="27"/>
      <c r="I1229" s="23" t="str">
        <f aca="false">IF($D1229&lt;&gt;"销项开票","",IF($N1229="一级",IF(IFERROR(INDEX(项目档案!$E$6:$E$255,MATCH($C1229,项目档案!$A$6:$A$255,0)),"")="",N(IFERROR(INDEX(单位档案!$D$6:$D$35,MATCH($E1229,单位档案!$A$6:$A$35,0)),"")),IFERROR(INDEX(项目档案!$E$6:$E$255,MATCH($C1229,项目档案!$A$6:$A$255,0)),"")),IF($N1229="二级",IF(IFERROR(INDEX(项目档案!$G$6:$G$255,MATCH($C1229,项目档案!$A$6:$A$255,0)),"")="",N(IFERROR(INDEX(单位档案!$D$6:$D$35,MATCH($E1229,单位档案!$A$6:$A$35,0)),"")),IFERROR(INDEX(项目档案!$G$6:$G$255,MATCH($C1229,项目档案!$A$6:$A$255,0)),"")),N(IFERROR(INDEX(单位档案!$D$6:$D$35,MATCH($E1229,单位档案!$A$6:$A$35,0)),"")))))</f>
        <v/>
      </c>
      <c r="J1229" s="22"/>
      <c r="K1229" s="22"/>
      <c r="L1229" s="33" t="str">
        <f aca="false">IF($B1229="","",IF(NOT(ISNUMBER($B1229)),"日期格式不对",IF($C1229="","未选项目编号",IF(LEFT($M1229,1)="⚠","项目编号不存在",IF($D1229="","未选业务类型",IF($E1229="","未选开票/付款方",IF(ISNA(MATCH($E1229,单位档案!$A$6:$A$35,0)),"开票方不在单位档案",IF($F1229="","未选收票/收款方",IF(ISNA(MATCH($F1229,单位档案!$A$6:$A$35,0)),"收款方不在单位档案",IF(NOT(ISNUMBER($H1229)),"金额须为数字",IF(AND($D1229="销项开票",$N1229="—"),"链条待确认","√")))))))))))</f>
        <v/>
      </c>
      <c r="M1229" s="34" t="str">
        <f aca="false">IF($C1229="","",IFERROR(INDEX(项目档案!$B$6:$B$255,MATCH($C1229,项目档案!$A$6:$A$255,0)),"⚠项目编号不存在"))</f>
        <v/>
      </c>
      <c r="N1229" s="35" t="str">
        <f aca="false">IF($E1229="","",IF($E1229=IFERROR(INDEX(项目档案!$D$6:$D$255,MATCH($C1229,项目档案!$A$6:$A$255,0)),""),"一级",IF($E1229=IFERROR(INDEX(项目档案!$F$6:$F$255,MATCH($C1229,项目档案!$A$6:$A$255,0)),""),"二级",IF($E1229=IFERROR(INDEX(项目档案!$H$6:$H$255,MATCH($C1229,项目档案!$A$6:$A$255,0)),""),"我方","—"))))</f>
        <v/>
      </c>
      <c r="O1229" s="36" t="n">
        <f aca="false">IF($D1229&lt;&gt;"销项开票",0,ROUND(N($H1229)*N($I1229),2))</f>
        <v>0</v>
      </c>
      <c r="P1229" s="36" t="n">
        <f aca="false">IF($D1229&lt;&gt;"销项开票",0,ROUND(N($H1229)-$O1229,2))</f>
        <v>0</v>
      </c>
      <c r="Q1229" s="37" t="str">
        <f aca="false">IF($E1229="","",N(IFERROR(INDEX(单位档案!$E$6:$E$35,MATCH($E1229,单位档案!$A$6:$A$35,0)),"")))</f>
        <v/>
      </c>
      <c r="R1229" s="37" t="str">
        <f aca="false">IF($E1229="","",N(IFERROR(INDEX(单位档案!$F$6:$F$35,MATCH($E1229,单位档案!$A$6:$A$35,0)),"")))</f>
        <v/>
      </c>
      <c r="S1229" s="36" t="n">
        <f aca="false">IF(OR($D1229&lt;&gt;"销项开票",IFERROR(INDEX(单位档案!$G$6:$G$35,MATCH($E1229,单位档案!$A$6:$A$35,0)),"")&lt;&gt;"是",N($Q1229)=0),0,IF(IFERROR(INDEX(单位档案!$H$6:$H$35,MATCH($E1229,单位档案!$A$6:$A$35,0)),"")="税差法",ROUND(N($H1229)/(1+$Q1229)*$Q1229-IF(N($R1229)=0,0,$P1229/(1+$R1229)*$R1229),2),ROUND(N($H1229)/(1+$Q1229)*$Q1229,2)))</f>
        <v>0</v>
      </c>
      <c r="T1229" s="36" t="n">
        <f aca="false">ROUND($S1229*N(IFERROR(INDEX(单位档案!$J$6:$J$35,MATCH($E1229,单位档案!$A$6:$A$35,0)),"")),2)</f>
        <v>0</v>
      </c>
      <c r="U1229" s="36" t="n">
        <f aca="false">IF($D1229&lt;&gt;"销项开票",0,ROUND(N($H1229)*N(IFERROR(INDEX(单位档案!$K$6:$K$35,MATCH($E1229,单位档案!$A$6:$A$35,0)),"")),2))</f>
        <v>0</v>
      </c>
      <c r="V1229" s="36" t="n">
        <f aca="false">IF(OR($D1229&lt;&gt;"销项开票",N($Q1229)=0),0,ROUND(N($H1229)/(1+$Q1229)*N(IFERROR(INDEX(单位档案!$L$6:$L$35,MATCH($E1229,单位档案!$A$6:$A$35,0)),"")),2))</f>
        <v>0</v>
      </c>
      <c r="W1229" s="36" t="n">
        <f aca="false">ROUND($S1229+$T1229+$U1229+$V1229,2)</f>
        <v>0</v>
      </c>
      <c r="X1229" s="35" t="str">
        <f aca="false">IF(OR($D1229="挂靠代收",$D1229="我方收款"),COUNTIFS($D$5:$D1229,"挂靠代收")+COUNTIFS($D$5:$D1229,"我方收款"),"")</f>
        <v/>
      </c>
      <c r="Y1229" s="35"/>
      <c r="Z1229" s="21" t="s">
        <v>111</v>
      </c>
    </row>
    <row r="1230" customFormat="false" ht="15.75" hidden="false" customHeight="true" outlineLevel="0" collapsed="false">
      <c r="A1230" s="32" t="str">
        <f aca="false">IF($B1230="","",ROW()-4)</f>
        <v/>
      </c>
      <c r="B1230" s="26"/>
      <c r="C1230" s="24"/>
      <c r="D1230" s="21"/>
      <c r="E1230" s="21"/>
      <c r="F1230" s="21"/>
      <c r="G1230" s="21"/>
      <c r="H1230" s="27"/>
      <c r="I1230" s="23" t="str">
        <f aca="false">IF($D1230&lt;&gt;"销项开票","",IF($N1230="一级",IF(IFERROR(INDEX(项目档案!$E$6:$E$255,MATCH($C1230,项目档案!$A$6:$A$255,0)),"")="",N(IFERROR(INDEX(单位档案!$D$6:$D$35,MATCH($E1230,单位档案!$A$6:$A$35,0)),"")),IFERROR(INDEX(项目档案!$E$6:$E$255,MATCH($C1230,项目档案!$A$6:$A$255,0)),"")),IF($N1230="二级",IF(IFERROR(INDEX(项目档案!$G$6:$G$255,MATCH($C1230,项目档案!$A$6:$A$255,0)),"")="",N(IFERROR(INDEX(单位档案!$D$6:$D$35,MATCH($E1230,单位档案!$A$6:$A$35,0)),"")),IFERROR(INDEX(项目档案!$G$6:$G$255,MATCH($C1230,项目档案!$A$6:$A$255,0)),"")),N(IFERROR(INDEX(单位档案!$D$6:$D$35,MATCH($E1230,单位档案!$A$6:$A$35,0)),"")))))</f>
        <v/>
      </c>
      <c r="J1230" s="22"/>
      <c r="K1230" s="22"/>
      <c r="L1230" s="33" t="str">
        <f aca="false">IF($B1230="","",IF(NOT(ISNUMBER($B1230)),"日期格式不对",IF($C1230="","未选项目编号",IF(LEFT($M1230,1)="⚠","项目编号不存在",IF($D1230="","未选业务类型",IF($E1230="","未选开票/付款方",IF(ISNA(MATCH($E1230,单位档案!$A$6:$A$35,0)),"开票方不在单位档案",IF($F1230="","未选收票/收款方",IF(ISNA(MATCH($F1230,单位档案!$A$6:$A$35,0)),"收款方不在单位档案",IF(NOT(ISNUMBER($H1230)),"金额须为数字",IF(AND($D1230="销项开票",$N1230="—"),"链条待确认","√")))))))))))</f>
        <v/>
      </c>
      <c r="M1230" s="34" t="str">
        <f aca="false">IF($C1230="","",IFERROR(INDEX(项目档案!$B$6:$B$255,MATCH($C1230,项目档案!$A$6:$A$255,0)),"⚠项目编号不存在"))</f>
        <v/>
      </c>
      <c r="N1230" s="35" t="str">
        <f aca="false">IF($E1230="","",IF($E1230=IFERROR(INDEX(项目档案!$D$6:$D$255,MATCH($C1230,项目档案!$A$6:$A$255,0)),""),"一级",IF($E1230=IFERROR(INDEX(项目档案!$F$6:$F$255,MATCH($C1230,项目档案!$A$6:$A$255,0)),""),"二级",IF($E1230=IFERROR(INDEX(项目档案!$H$6:$H$255,MATCH($C1230,项目档案!$A$6:$A$255,0)),""),"我方","—"))))</f>
        <v/>
      </c>
      <c r="O1230" s="36" t="n">
        <f aca="false">IF($D1230&lt;&gt;"销项开票",0,ROUND(N($H1230)*N($I1230),2))</f>
        <v>0</v>
      </c>
      <c r="P1230" s="36" t="n">
        <f aca="false">IF($D1230&lt;&gt;"销项开票",0,ROUND(N($H1230)-$O1230,2))</f>
        <v>0</v>
      </c>
      <c r="Q1230" s="37" t="str">
        <f aca="false">IF($E1230="","",N(IFERROR(INDEX(单位档案!$E$6:$E$35,MATCH($E1230,单位档案!$A$6:$A$35,0)),"")))</f>
        <v/>
      </c>
      <c r="R1230" s="37" t="str">
        <f aca="false">IF($E1230="","",N(IFERROR(INDEX(单位档案!$F$6:$F$35,MATCH($E1230,单位档案!$A$6:$A$35,0)),"")))</f>
        <v/>
      </c>
      <c r="S1230" s="36" t="n">
        <f aca="false">IF(OR($D1230&lt;&gt;"销项开票",IFERROR(INDEX(单位档案!$G$6:$G$35,MATCH($E1230,单位档案!$A$6:$A$35,0)),"")&lt;&gt;"是",N($Q1230)=0),0,IF(IFERROR(INDEX(单位档案!$H$6:$H$35,MATCH($E1230,单位档案!$A$6:$A$35,0)),"")="税差法",ROUND(N($H1230)/(1+$Q1230)*$Q1230-IF(N($R1230)=0,0,$P1230/(1+$R1230)*$R1230),2),ROUND(N($H1230)/(1+$Q1230)*$Q1230,2)))</f>
        <v>0</v>
      </c>
      <c r="T1230" s="36" t="n">
        <f aca="false">ROUND($S1230*N(IFERROR(INDEX(单位档案!$J$6:$J$35,MATCH($E1230,单位档案!$A$6:$A$35,0)),"")),2)</f>
        <v>0</v>
      </c>
      <c r="U1230" s="36" t="n">
        <f aca="false">IF($D1230&lt;&gt;"销项开票",0,ROUND(N($H1230)*N(IFERROR(INDEX(单位档案!$K$6:$K$35,MATCH($E1230,单位档案!$A$6:$A$35,0)),"")),2))</f>
        <v>0</v>
      </c>
      <c r="V1230" s="36" t="n">
        <f aca="false">IF(OR($D1230&lt;&gt;"销项开票",N($Q1230)=0),0,ROUND(N($H1230)/(1+$Q1230)*N(IFERROR(INDEX(单位档案!$L$6:$L$35,MATCH($E1230,单位档案!$A$6:$A$35,0)),"")),2))</f>
        <v>0</v>
      </c>
      <c r="W1230" s="36" t="n">
        <f aca="false">ROUND($S1230+$T1230+$U1230+$V1230,2)</f>
        <v>0</v>
      </c>
      <c r="X1230" s="35" t="str">
        <f aca="false">IF(OR($D1230="挂靠代收",$D1230="我方收款"),COUNTIFS($D$5:$D1230,"挂靠代收")+COUNTIFS($D$5:$D1230,"我方收款"),"")</f>
        <v/>
      </c>
      <c r="Y1230" s="35"/>
      <c r="Z1230" s="21" t="s">
        <v>111</v>
      </c>
    </row>
    <row r="1231" customFormat="false" ht="15.75" hidden="false" customHeight="true" outlineLevel="0" collapsed="false">
      <c r="A1231" s="32" t="str">
        <f aca="false">IF($B1231="","",ROW()-4)</f>
        <v/>
      </c>
      <c r="B1231" s="26"/>
      <c r="C1231" s="24"/>
      <c r="D1231" s="21"/>
      <c r="E1231" s="21"/>
      <c r="F1231" s="21"/>
      <c r="G1231" s="21"/>
      <c r="H1231" s="27"/>
      <c r="I1231" s="23" t="str">
        <f aca="false">IF($D1231&lt;&gt;"销项开票","",IF($N1231="一级",IF(IFERROR(INDEX(项目档案!$E$6:$E$255,MATCH($C1231,项目档案!$A$6:$A$255,0)),"")="",N(IFERROR(INDEX(单位档案!$D$6:$D$35,MATCH($E1231,单位档案!$A$6:$A$35,0)),"")),IFERROR(INDEX(项目档案!$E$6:$E$255,MATCH($C1231,项目档案!$A$6:$A$255,0)),"")),IF($N1231="二级",IF(IFERROR(INDEX(项目档案!$G$6:$G$255,MATCH($C1231,项目档案!$A$6:$A$255,0)),"")="",N(IFERROR(INDEX(单位档案!$D$6:$D$35,MATCH($E1231,单位档案!$A$6:$A$35,0)),"")),IFERROR(INDEX(项目档案!$G$6:$G$255,MATCH($C1231,项目档案!$A$6:$A$255,0)),"")),N(IFERROR(INDEX(单位档案!$D$6:$D$35,MATCH($E1231,单位档案!$A$6:$A$35,0)),"")))))</f>
        <v/>
      </c>
      <c r="J1231" s="22"/>
      <c r="K1231" s="22"/>
      <c r="L1231" s="33" t="str">
        <f aca="false">IF($B1231="","",IF(NOT(ISNUMBER($B1231)),"日期格式不对",IF($C1231="","未选项目编号",IF(LEFT($M1231,1)="⚠","项目编号不存在",IF($D1231="","未选业务类型",IF($E1231="","未选开票/付款方",IF(ISNA(MATCH($E1231,单位档案!$A$6:$A$35,0)),"开票方不在单位档案",IF($F1231="","未选收票/收款方",IF(ISNA(MATCH($F1231,单位档案!$A$6:$A$35,0)),"收款方不在单位档案",IF(NOT(ISNUMBER($H1231)),"金额须为数字",IF(AND($D1231="销项开票",$N1231="—"),"链条待确认","√")))))))))))</f>
        <v/>
      </c>
      <c r="M1231" s="34" t="str">
        <f aca="false">IF($C1231="","",IFERROR(INDEX(项目档案!$B$6:$B$255,MATCH($C1231,项目档案!$A$6:$A$255,0)),"⚠项目编号不存在"))</f>
        <v/>
      </c>
      <c r="N1231" s="35" t="str">
        <f aca="false">IF($E1231="","",IF($E1231=IFERROR(INDEX(项目档案!$D$6:$D$255,MATCH($C1231,项目档案!$A$6:$A$255,0)),""),"一级",IF($E1231=IFERROR(INDEX(项目档案!$F$6:$F$255,MATCH($C1231,项目档案!$A$6:$A$255,0)),""),"二级",IF($E1231=IFERROR(INDEX(项目档案!$H$6:$H$255,MATCH($C1231,项目档案!$A$6:$A$255,0)),""),"我方","—"))))</f>
        <v/>
      </c>
      <c r="O1231" s="36" t="n">
        <f aca="false">IF($D1231&lt;&gt;"销项开票",0,ROUND(N($H1231)*N($I1231),2))</f>
        <v>0</v>
      </c>
      <c r="P1231" s="36" t="n">
        <f aca="false">IF($D1231&lt;&gt;"销项开票",0,ROUND(N($H1231)-$O1231,2))</f>
        <v>0</v>
      </c>
      <c r="Q1231" s="37" t="str">
        <f aca="false">IF($E1231="","",N(IFERROR(INDEX(单位档案!$E$6:$E$35,MATCH($E1231,单位档案!$A$6:$A$35,0)),"")))</f>
        <v/>
      </c>
      <c r="R1231" s="37" t="str">
        <f aca="false">IF($E1231="","",N(IFERROR(INDEX(单位档案!$F$6:$F$35,MATCH($E1231,单位档案!$A$6:$A$35,0)),"")))</f>
        <v/>
      </c>
      <c r="S1231" s="36" t="n">
        <f aca="false">IF(OR($D1231&lt;&gt;"销项开票",IFERROR(INDEX(单位档案!$G$6:$G$35,MATCH($E1231,单位档案!$A$6:$A$35,0)),"")&lt;&gt;"是",N($Q1231)=0),0,IF(IFERROR(INDEX(单位档案!$H$6:$H$35,MATCH($E1231,单位档案!$A$6:$A$35,0)),"")="税差法",ROUND(N($H1231)/(1+$Q1231)*$Q1231-IF(N($R1231)=0,0,$P1231/(1+$R1231)*$R1231),2),ROUND(N($H1231)/(1+$Q1231)*$Q1231,2)))</f>
        <v>0</v>
      </c>
      <c r="T1231" s="36" t="n">
        <f aca="false">ROUND($S1231*N(IFERROR(INDEX(单位档案!$J$6:$J$35,MATCH($E1231,单位档案!$A$6:$A$35,0)),"")),2)</f>
        <v>0</v>
      </c>
      <c r="U1231" s="36" t="n">
        <f aca="false">IF($D1231&lt;&gt;"销项开票",0,ROUND(N($H1231)*N(IFERROR(INDEX(单位档案!$K$6:$K$35,MATCH($E1231,单位档案!$A$6:$A$35,0)),"")),2))</f>
        <v>0</v>
      </c>
      <c r="V1231" s="36" t="n">
        <f aca="false">IF(OR($D1231&lt;&gt;"销项开票",N($Q1231)=0),0,ROUND(N($H1231)/(1+$Q1231)*N(IFERROR(INDEX(单位档案!$L$6:$L$35,MATCH($E1231,单位档案!$A$6:$A$35,0)),"")),2))</f>
        <v>0</v>
      </c>
      <c r="W1231" s="36" t="n">
        <f aca="false">ROUND($S1231+$T1231+$U1231+$V1231,2)</f>
        <v>0</v>
      </c>
      <c r="X1231" s="35" t="str">
        <f aca="false">IF(OR($D1231="挂靠代收",$D1231="我方收款"),COUNTIFS($D$5:$D1231,"挂靠代收")+COUNTIFS($D$5:$D1231,"我方收款"),"")</f>
        <v/>
      </c>
      <c r="Y1231" s="35"/>
      <c r="Z1231" s="21" t="s">
        <v>111</v>
      </c>
    </row>
    <row r="1232" customFormat="false" ht="15.75" hidden="false" customHeight="true" outlineLevel="0" collapsed="false">
      <c r="A1232" s="32" t="str">
        <f aca="false">IF($B1232="","",ROW()-4)</f>
        <v/>
      </c>
      <c r="B1232" s="26"/>
      <c r="C1232" s="24"/>
      <c r="D1232" s="21"/>
      <c r="E1232" s="21"/>
      <c r="F1232" s="21"/>
      <c r="G1232" s="21"/>
      <c r="H1232" s="27"/>
      <c r="I1232" s="23" t="str">
        <f aca="false">IF($D1232&lt;&gt;"销项开票","",IF($N1232="一级",IF(IFERROR(INDEX(项目档案!$E$6:$E$255,MATCH($C1232,项目档案!$A$6:$A$255,0)),"")="",N(IFERROR(INDEX(单位档案!$D$6:$D$35,MATCH($E1232,单位档案!$A$6:$A$35,0)),"")),IFERROR(INDEX(项目档案!$E$6:$E$255,MATCH($C1232,项目档案!$A$6:$A$255,0)),"")),IF($N1232="二级",IF(IFERROR(INDEX(项目档案!$G$6:$G$255,MATCH($C1232,项目档案!$A$6:$A$255,0)),"")="",N(IFERROR(INDEX(单位档案!$D$6:$D$35,MATCH($E1232,单位档案!$A$6:$A$35,0)),"")),IFERROR(INDEX(项目档案!$G$6:$G$255,MATCH($C1232,项目档案!$A$6:$A$255,0)),"")),N(IFERROR(INDEX(单位档案!$D$6:$D$35,MATCH($E1232,单位档案!$A$6:$A$35,0)),"")))))</f>
        <v/>
      </c>
      <c r="J1232" s="22"/>
      <c r="K1232" s="22"/>
      <c r="L1232" s="33" t="str">
        <f aca="false">IF($B1232="","",IF(NOT(ISNUMBER($B1232)),"日期格式不对",IF($C1232="","未选项目编号",IF(LEFT($M1232,1)="⚠","项目编号不存在",IF($D1232="","未选业务类型",IF($E1232="","未选开票/付款方",IF(ISNA(MATCH($E1232,单位档案!$A$6:$A$35,0)),"开票方不在单位档案",IF($F1232="","未选收票/收款方",IF(ISNA(MATCH($F1232,单位档案!$A$6:$A$35,0)),"收款方不在单位档案",IF(NOT(ISNUMBER($H1232)),"金额须为数字",IF(AND($D1232="销项开票",$N1232="—"),"链条待确认","√")))))))))))</f>
        <v/>
      </c>
      <c r="M1232" s="34" t="str">
        <f aca="false">IF($C1232="","",IFERROR(INDEX(项目档案!$B$6:$B$255,MATCH($C1232,项目档案!$A$6:$A$255,0)),"⚠项目编号不存在"))</f>
        <v/>
      </c>
      <c r="N1232" s="35" t="str">
        <f aca="false">IF($E1232="","",IF($E1232=IFERROR(INDEX(项目档案!$D$6:$D$255,MATCH($C1232,项目档案!$A$6:$A$255,0)),""),"一级",IF($E1232=IFERROR(INDEX(项目档案!$F$6:$F$255,MATCH($C1232,项目档案!$A$6:$A$255,0)),""),"二级",IF($E1232=IFERROR(INDEX(项目档案!$H$6:$H$255,MATCH($C1232,项目档案!$A$6:$A$255,0)),""),"我方","—"))))</f>
        <v/>
      </c>
      <c r="O1232" s="36" t="n">
        <f aca="false">IF($D1232&lt;&gt;"销项开票",0,ROUND(N($H1232)*N($I1232),2))</f>
        <v>0</v>
      </c>
      <c r="P1232" s="36" t="n">
        <f aca="false">IF($D1232&lt;&gt;"销项开票",0,ROUND(N($H1232)-$O1232,2))</f>
        <v>0</v>
      </c>
      <c r="Q1232" s="37" t="str">
        <f aca="false">IF($E1232="","",N(IFERROR(INDEX(单位档案!$E$6:$E$35,MATCH($E1232,单位档案!$A$6:$A$35,0)),"")))</f>
        <v/>
      </c>
      <c r="R1232" s="37" t="str">
        <f aca="false">IF($E1232="","",N(IFERROR(INDEX(单位档案!$F$6:$F$35,MATCH($E1232,单位档案!$A$6:$A$35,0)),"")))</f>
        <v/>
      </c>
      <c r="S1232" s="36" t="n">
        <f aca="false">IF(OR($D1232&lt;&gt;"销项开票",IFERROR(INDEX(单位档案!$G$6:$G$35,MATCH($E1232,单位档案!$A$6:$A$35,0)),"")&lt;&gt;"是",N($Q1232)=0),0,IF(IFERROR(INDEX(单位档案!$H$6:$H$35,MATCH($E1232,单位档案!$A$6:$A$35,0)),"")="税差法",ROUND(N($H1232)/(1+$Q1232)*$Q1232-IF(N($R1232)=0,0,$P1232/(1+$R1232)*$R1232),2),ROUND(N($H1232)/(1+$Q1232)*$Q1232,2)))</f>
        <v>0</v>
      </c>
      <c r="T1232" s="36" t="n">
        <f aca="false">ROUND($S1232*N(IFERROR(INDEX(单位档案!$J$6:$J$35,MATCH($E1232,单位档案!$A$6:$A$35,0)),"")),2)</f>
        <v>0</v>
      </c>
      <c r="U1232" s="36" t="n">
        <f aca="false">IF($D1232&lt;&gt;"销项开票",0,ROUND(N($H1232)*N(IFERROR(INDEX(单位档案!$K$6:$K$35,MATCH($E1232,单位档案!$A$6:$A$35,0)),"")),2))</f>
        <v>0</v>
      </c>
      <c r="V1232" s="36" t="n">
        <f aca="false">IF(OR($D1232&lt;&gt;"销项开票",N($Q1232)=0),0,ROUND(N($H1232)/(1+$Q1232)*N(IFERROR(INDEX(单位档案!$L$6:$L$35,MATCH($E1232,单位档案!$A$6:$A$35,0)),"")),2))</f>
        <v>0</v>
      </c>
      <c r="W1232" s="36" t="n">
        <f aca="false">ROUND($S1232+$T1232+$U1232+$V1232,2)</f>
        <v>0</v>
      </c>
      <c r="X1232" s="35" t="str">
        <f aca="false">IF(OR($D1232="挂靠代收",$D1232="我方收款"),COUNTIFS($D$5:$D1232,"挂靠代收")+COUNTIFS($D$5:$D1232,"我方收款"),"")</f>
        <v/>
      </c>
      <c r="Y1232" s="35"/>
      <c r="Z1232" s="21" t="s">
        <v>111</v>
      </c>
    </row>
    <row r="1233" customFormat="false" ht="15.75" hidden="false" customHeight="true" outlineLevel="0" collapsed="false">
      <c r="A1233" s="32" t="str">
        <f aca="false">IF($B1233="","",ROW()-4)</f>
        <v/>
      </c>
      <c r="B1233" s="26"/>
      <c r="C1233" s="24"/>
      <c r="D1233" s="21"/>
      <c r="E1233" s="21"/>
      <c r="F1233" s="21"/>
      <c r="G1233" s="21"/>
      <c r="H1233" s="27"/>
      <c r="I1233" s="23" t="str">
        <f aca="false">IF($D1233&lt;&gt;"销项开票","",IF($N1233="一级",IF(IFERROR(INDEX(项目档案!$E$6:$E$255,MATCH($C1233,项目档案!$A$6:$A$255,0)),"")="",N(IFERROR(INDEX(单位档案!$D$6:$D$35,MATCH($E1233,单位档案!$A$6:$A$35,0)),"")),IFERROR(INDEX(项目档案!$E$6:$E$255,MATCH($C1233,项目档案!$A$6:$A$255,0)),"")),IF($N1233="二级",IF(IFERROR(INDEX(项目档案!$G$6:$G$255,MATCH($C1233,项目档案!$A$6:$A$255,0)),"")="",N(IFERROR(INDEX(单位档案!$D$6:$D$35,MATCH($E1233,单位档案!$A$6:$A$35,0)),"")),IFERROR(INDEX(项目档案!$G$6:$G$255,MATCH($C1233,项目档案!$A$6:$A$255,0)),"")),N(IFERROR(INDEX(单位档案!$D$6:$D$35,MATCH($E1233,单位档案!$A$6:$A$35,0)),"")))))</f>
        <v/>
      </c>
      <c r="J1233" s="22"/>
      <c r="K1233" s="22"/>
      <c r="L1233" s="33" t="str">
        <f aca="false">IF($B1233="","",IF(NOT(ISNUMBER($B1233)),"日期格式不对",IF($C1233="","未选项目编号",IF(LEFT($M1233,1)="⚠","项目编号不存在",IF($D1233="","未选业务类型",IF($E1233="","未选开票/付款方",IF(ISNA(MATCH($E1233,单位档案!$A$6:$A$35,0)),"开票方不在单位档案",IF($F1233="","未选收票/收款方",IF(ISNA(MATCH($F1233,单位档案!$A$6:$A$35,0)),"收款方不在单位档案",IF(NOT(ISNUMBER($H1233)),"金额须为数字",IF(AND($D1233="销项开票",$N1233="—"),"链条待确认","√")))))))))))</f>
        <v/>
      </c>
      <c r="M1233" s="34" t="str">
        <f aca="false">IF($C1233="","",IFERROR(INDEX(项目档案!$B$6:$B$255,MATCH($C1233,项目档案!$A$6:$A$255,0)),"⚠项目编号不存在"))</f>
        <v/>
      </c>
      <c r="N1233" s="35" t="str">
        <f aca="false">IF($E1233="","",IF($E1233=IFERROR(INDEX(项目档案!$D$6:$D$255,MATCH($C1233,项目档案!$A$6:$A$255,0)),""),"一级",IF($E1233=IFERROR(INDEX(项目档案!$F$6:$F$255,MATCH($C1233,项目档案!$A$6:$A$255,0)),""),"二级",IF($E1233=IFERROR(INDEX(项目档案!$H$6:$H$255,MATCH($C1233,项目档案!$A$6:$A$255,0)),""),"我方","—"))))</f>
        <v/>
      </c>
      <c r="O1233" s="36" t="n">
        <f aca="false">IF($D1233&lt;&gt;"销项开票",0,ROUND(N($H1233)*N($I1233),2))</f>
        <v>0</v>
      </c>
      <c r="P1233" s="36" t="n">
        <f aca="false">IF($D1233&lt;&gt;"销项开票",0,ROUND(N($H1233)-$O1233,2))</f>
        <v>0</v>
      </c>
      <c r="Q1233" s="37" t="str">
        <f aca="false">IF($E1233="","",N(IFERROR(INDEX(单位档案!$E$6:$E$35,MATCH($E1233,单位档案!$A$6:$A$35,0)),"")))</f>
        <v/>
      </c>
      <c r="R1233" s="37" t="str">
        <f aca="false">IF($E1233="","",N(IFERROR(INDEX(单位档案!$F$6:$F$35,MATCH($E1233,单位档案!$A$6:$A$35,0)),"")))</f>
        <v/>
      </c>
      <c r="S1233" s="36" t="n">
        <f aca="false">IF(OR($D1233&lt;&gt;"销项开票",IFERROR(INDEX(单位档案!$G$6:$G$35,MATCH($E1233,单位档案!$A$6:$A$35,0)),"")&lt;&gt;"是",N($Q1233)=0),0,IF(IFERROR(INDEX(单位档案!$H$6:$H$35,MATCH($E1233,单位档案!$A$6:$A$35,0)),"")="税差法",ROUND(N($H1233)/(1+$Q1233)*$Q1233-IF(N($R1233)=0,0,$P1233/(1+$R1233)*$R1233),2),ROUND(N($H1233)/(1+$Q1233)*$Q1233,2)))</f>
        <v>0</v>
      </c>
      <c r="T1233" s="36" t="n">
        <f aca="false">ROUND($S1233*N(IFERROR(INDEX(单位档案!$J$6:$J$35,MATCH($E1233,单位档案!$A$6:$A$35,0)),"")),2)</f>
        <v>0</v>
      </c>
      <c r="U1233" s="36" t="n">
        <f aca="false">IF($D1233&lt;&gt;"销项开票",0,ROUND(N($H1233)*N(IFERROR(INDEX(单位档案!$K$6:$K$35,MATCH($E1233,单位档案!$A$6:$A$35,0)),"")),2))</f>
        <v>0</v>
      </c>
      <c r="V1233" s="36" t="n">
        <f aca="false">IF(OR($D1233&lt;&gt;"销项开票",N($Q1233)=0),0,ROUND(N($H1233)/(1+$Q1233)*N(IFERROR(INDEX(单位档案!$L$6:$L$35,MATCH($E1233,单位档案!$A$6:$A$35,0)),"")),2))</f>
        <v>0</v>
      </c>
      <c r="W1233" s="36" t="n">
        <f aca="false">ROUND($S1233+$T1233+$U1233+$V1233,2)</f>
        <v>0</v>
      </c>
      <c r="X1233" s="35" t="str">
        <f aca="false">IF(OR($D1233="挂靠代收",$D1233="我方收款"),COUNTIFS($D$5:$D1233,"挂靠代收")+COUNTIFS($D$5:$D1233,"我方收款"),"")</f>
        <v/>
      </c>
      <c r="Y1233" s="35"/>
      <c r="Z1233" s="21" t="s">
        <v>111</v>
      </c>
    </row>
    <row r="1234" customFormat="false" ht="15.75" hidden="false" customHeight="true" outlineLevel="0" collapsed="false">
      <c r="A1234" s="32" t="str">
        <f aca="false">IF($B1234="","",ROW()-4)</f>
        <v/>
      </c>
      <c r="B1234" s="26"/>
      <c r="C1234" s="24"/>
      <c r="D1234" s="21"/>
      <c r="E1234" s="21"/>
      <c r="F1234" s="21"/>
      <c r="G1234" s="21"/>
      <c r="H1234" s="27"/>
      <c r="I1234" s="23" t="str">
        <f aca="false">IF($D1234&lt;&gt;"销项开票","",IF($N1234="一级",IF(IFERROR(INDEX(项目档案!$E$6:$E$255,MATCH($C1234,项目档案!$A$6:$A$255,0)),"")="",N(IFERROR(INDEX(单位档案!$D$6:$D$35,MATCH($E1234,单位档案!$A$6:$A$35,0)),"")),IFERROR(INDEX(项目档案!$E$6:$E$255,MATCH($C1234,项目档案!$A$6:$A$255,0)),"")),IF($N1234="二级",IF(IFERROR(INDEX(项目档案!$G$6:$G$255,MATCH($C1234,项目档案!$A$6:$A$255,0)),"")="",N(IFERROR(INDEX(单位档案!$D$6:$D$35,MATCH($E1234,单位档案!$A$6:$A$35,0)),"")),IFERROR(INDEX(项目档案!$G$6:$G$255,MATCH($C1234,项目档案!$A$6:$A$255,0)),"")),N(IFERROR(INDEX(单位档案!$D$6:$D$35,MATCH($E1234,单位档案!$A$6:$A$35,0)),"")))))</f>
        <v/>
      </c>
      <c r="J1234" s="22"/>
      <c r="K1234" s="22"/>
      <c r="L1234" s="33" t="str">
        <f aca="false">IF($B1234="","",IF(NOT(ISNUMBER($B1234)),"日期格式不对",IF($C1234="","未选项目编号",IF(LEFT($M1234,1)="⚠","项目编号不存在",IF($D1234="","未选业务类型",IF($E1234="","未选开票/付款方",IF(ISNA(MATCH($E1234,单位档案!$A$6:$A$35,0)),"开票方不在单位档案",IF($F1234="","未选收票/收款方",IF(ISNA(MATCH($F1234,单位档案!$A$6:$A$35,0)),"收款方不在单位档案",IF(NOT(ISNUMBER($H1234)),"金额须为数字",IF(AND($D1234="销项开票",$N1234="—"),"链条待确认","√")))))))))))</f>
        <v/>
      </c>
      <c r="M1234" s="34" t="str">
        <f aca="false">IF($C1234="","",IFERROR(INDEX(项目档案!$B$6:$B$255,MATCH($C1234,项目档案!$A$6:$A$255,0)),"⚠项目编号不存在"))</f>
        <v/>
      </c>
      <c r="N1234" s="35" t="str">
        <f aca="false">IF($E1234="","",IF($E1234=IFERROR(INDEX(项目档案!$D$6:$D$255,MATCH($C1234,项目档案!$A$6:$A$255,0)),""),"一级",IF($E1234=IFERROR(INDEX(项目档案!$F$6:$F$255,MATCH($C1234,项目档案!$A$6:$A$255,0)),""),"二级",IF($E1234=IFERROR(INDEX(项目档案!$H$6:$H$255,MATCH($C1234,项目档案!$A$6:$A$255,0)),""),"我方","—"))))</f>
        <v/>
      </c>
      <c r="O1234" s="36" t="n">
        <f aca="false">IF($D1234&lt;&gt;"销项开票",0,ROUND(N($H1234)*N($I1234),2))</f>
        <v>0</v>
      </c>
      <c r="P1234" s="36" t="n">
        <f aca="false">IF($D1234&lt;&gt;"销项开票",0,ROUND(N($H1234)-$O1234,2))</f>
        <v>0</v>
      </c>
      <c r="Q1234" s="37" t="str">
        <f aca="false">IF($E1234="","",N(IFERROR(INDEX(单位档案!$E$6:$E$35,MATCH($E1234,单位档案!$A$6:$A$35,0)),"")))</f>
        <v/>
      </c>
      <c r="R1234" s="37" t="str">
        <f aca="false">IF($E1234="","",N(IFERROR(INDEX(单位档案!$F$6:$F$35,MATCH($E1234,单位档案!$A$6:$A$35,0)),"")))</f>
        <v/>
      </c>
      <c r="S1234" s="36" t="n">
        <f aca="false">IF(OR($D1234&lt;&gt;"销项开票",IFERROR(INDEX(单位档案!$G$6:$G$35,MATCH($E1234,单位档案!$A$6:$A$35,0)),"")&lt;&gt;"是",N($Q1234)=0),0,IF(IFERROR(INDEX(单位档案!$H$6:$H$35,MATCH($E1234,单位档案!$A$6:$A$35,0)),"")="税差法",ROUND(N($H1234)/(1+$Q1234)*$Q1234-IF(N($R1234)=0,0,$P1234/(1+$R1234)*$R1234),2),ROUND(N($H1234)/(1+$Q1234)*$Q1234,2)))</f>
        <v>0</v>
      </c>
      <c r="T1234" s="36" t="n">
        <f aca="false">ROUND($S1234*N(IFERROR(INDEX(单位档案!$J$6:$J$35,MATCH($E1234,单位档案!$A$6:$A$35,0)),"")),2)</f>
        <v>0</v>
      </c>
      <c r="U1234" s="36" t="n">
        <f aca="false">IF($D1234&lt;&gt;"销项开票",0,ROUND(N($H1234)*N(IFERROR(INDEX(单位档案!$K$6:$K$35,MATCH($E1234,单位档案!$A$6:$A$35,0)),"")),2))</f>
        <v>0</v>
      </c>
      <c r="V1234" s="36" t="n">
        <f aca="false">IF(OR($D1234&lt;&gt;"销项开票",N($Q1234)=0),0,ROUND(N($H1234)/(1+$Q1234)*N(IFERROR(INDEX(单位档案!$L$6:$L$35,MATCH($E1234,单位档案!$A$6:$A$35,0)),"")),2))</f>
        <v>0</v>
      </c>
      <c r="W1234" s="36" t="n">
        <f aca="false">ROUND($S1234+$T1234+$U1234+$V1234,2)</f>
        <v>0</v>
      </c>
      <c r="X1234" s="35" t="str">
        <f aca="false">IF(OR($D1234="挂靠代收",$D1234="我方收款"),COUNTIFS($D$5:$D1234,"挂靠代收")+COUNTIFS($D$5:$D1234,"我方收款"),"")</f>
        <v/>
      </c>
      <c r="Y1234" s="35"/>
      <c r="Z1234" s="21" t="s">
        <v>111</v>
      </c>
    </row>
    <row r="1235" customFormat="false" ht="15.75" hidden="false" customHeight="true" outlineLevel="0" collapsed="false">
      <c r="A1235" s="32" t="str">
        <f aca="false">IF($B1235="","",ROW()-4)</f>
        <v/>
      </c>
      <c r="B1235" s="26"/>
      <c r="C1235" s="24"/>
      <c r="D1235" s="21"/>
      <c r="E1235" s="21"/>
      <c r="F1235" s="21"/>
      <c r="G1235" s="21"/>
      <c r="H1235" s="27"/>
      <c r="I1235" s="23" t="str">
        <f aca="false">IF($D1235&lt;&gt;"销项开票","",IF($N1235="一级",IF(IFERROR(INDEX(项目档案!$E$6:$E$255,MATCH($C1235,项目档案!$A$6:$A$255,0)),"")="",N(IFERROR(INDEX(单位档案!$D$6:$D$35,MATCH($E1235,单位档案!$A$6:$A$35,0)),"")),IFERROR(INDEX(项目档案!$E$6:$E$255,MATCH($C1235,项目档案!$A$6:$A$255,0)),"")),IF($N1235="二级",IF(IFERROR(INDEX(项目档案!$G$6:$G$255,MATCH($C1235,项目档案!$A$6:$A$255,0)),"")="",N(IFERROR(INDEX(单位档案!$D$6:$D$35,MATCH($E1235,单位档案!$A$6:$A$35,0)),"")),IFERROR(INDEX(项目档案!$G$6:$G$255,MATCH($C1235,项目档案!$A$6:$A$255,0)),"")),N(IFERROR(INDEX(单位档案!$D$6:$D$35,MATCH($E1235,单位档案!$A$6:$A$35,0)),"")))))</f>
        <v/>
      </c>
      <c r="J1235" s="22"/>
      <c r="K1235" s="22"/>
      <c r="L1235" s="33" t="str">
        <f aca="false">IF($B1235="","",IF(NOT(ISNUMBER($B1235)),"日期格式不对",IF($C1235="","未选项目编号",IF(LEFT($M1235,1)="⚠","项目编号不存在",IF($D1235="","未选业务类型",IF($E1235="","未选开票/付款方",IF(ISNA(MATCH($E1235,单位档案!$A$6:$A$35,0)),"开票方不在单位档案",IF($F1235="","未选收票/收款方",IF(ISNA(MATCH($F1235,单位档案!$A$6:$A$35,0)),"收款方不在单位档案",IF(NOT(ISNUMBER($H1235)),"金额须为数字",IF(AND($D1235="销项开票",$N1235="—"),"链条待确认","√")))))))))))</f>
        <v/>
      </c>
      <c r="M1235" s="34" t="str">
        <f aca="false">IF($C1235="","",IFERROR(INDEX(项目档案!$B$6:$B$255,MATCH($C1235,项目档案!$A$6:$A$255,0)),"⚠项目编号不存在"))</f>
        <v/>
      </c>
      <c r="N1235" s="35" t="str">
        <f aca="false">IF($E1235="","",IF($E1235=IFERROR(INDEX(项目档案!$D$6:$D$255,MATCH($C1235,项目档案!$A$6:$A$255,0)),""),"一级",IF($E1235=IFERROR(INDEX(项目档案!$F$6:$F$255,MATCH($C1235,项目档案!$A$6:$A$255,0)),""),"二级",IF($E1235=IFERROR(INDEX(项目档案!$H$6:$H$255,MATCH($C1235,项目档案!$A$6:$A$255,0)),""),"我方","—"))))</f>
        <v/>
      </c>
      <c r="O1235" s="36" t="n">
        <f aca="false">IF($D1235&lt;&gt;"销项开票",0,ROUND(N($H1235)*N($I1235),2))</f>
        <v>0</v>
      </c>
      <c r="P1235" s="36" t="n">
        <f aca="false">IF($D1235&lt;&gt;"销项开票",0,ROUND(N($H1235)-$O1235,2))</f>
        <v>0</v>
      </c>
      <c r="Q1235" s="37" t="str">
        <f aca="false">IF($E1235="","",N(IFERROR(INDEX(单位档案!$E$6:$E$35,MATCH($E1235,单位档案!$A$6:$A$35,0)),"")))</f>
        <v/>
      </c>
      <c r="R1235" s="37" t="str">
        <f aca="false">IF($E1235="","",N(IFERROR(INDEX(单位档案!$F$6:$F$35,MATCH($E1235,单位档案!$A$6:$A$35,0)),"")))</f>
        <v/>
      </c>
      <c r="S1235" s="36" t="n">
        <f aca="false">IF(OR($D1235&lt;&gt;"销项开票",IFERROR(INDEX(单位档案!$G$6:$G$35,MATCH($E1235,单位档案!$A$6:$A$35,0)),"")&lt;&gt;"是",N($Q1235)=0),0,IF(IFERROR(INDEX(单位档案!$H$6:$H$35,MATCH($E1235,单位档案!$A$6:$A$35,0)),"")="税差法",ROUND(N($H1235)/(1+$Q1235)*$Q1235-IF(N($R1235)=0,0,$P1235/(1+$R1235)*$R1235),2),ROUND(N($H1235)/(1+$Q1235)*$Q1235,2)))</f>
        <v>0</v>
      </c>
      <c r="T1235" s="36" t="n">
        <f aca="false">ROUND($S1235*N(IFERROR(INDEX(单位档案!$J$6:$J$35,MATCH($E1235,单位档案!$A$6:$A$35,0)),"")),2)</f>
        <v>0</v>
      </c>
      <c r="U1235" s="36" t="n">
        <f aca="false">IF($D1235&lt;&gt;"销项开票",0,ROUND(N($H1235)*N(IFERROR(INDEX(单位档案!$K$6:$K$35,MATCH($E1235,单位档案!$A$6:$A$35,0)),"")),2))</f>
        <v>0</v>
      </c>
      <c r="V1235" s="36" t="n">
        <f aca="false">IF(OR($D1235&lt;&gt;"销项开票",N($Q1235)=0),0,ROUND(N($H1235)/(1+$Q1235)*N(IFERROR(INDEX(单位档案!$L$6:$L$35,MATCH($E1235,单位档案!$A$6:$A$35,0)),"")),2))</f>
        <v>0</v>
      </c>
      <c r="W1235" s="36" t="n">
        <f aca="false">ROUND($S1235+$T1235+$U1235+$V1235,2)</f>
        <v>0</v>
      </c>
      <c r="X1235" s="35" t="str">
        <f aca="false">IF(OR($D1235="挂靠代收",$D1235="我方收款"),COUNTIFS($D$5:$D1235,"挂靠代收")+COUNTIFS($D$5:$D1235,"我方收款"),"")</f>
        <v/>
      </c>
      <c r="Y1235" s="35"/>
      <c r="Z1235" s="21" t="s">
        <v>111</v>
      </c>
    </row>
    <row r="1236" customFormat="false" ht="15.75" hidden="false" customHeight="true" outlineLevel="0" collapsed="false">
      <c r="A1236" s="32" t="str">
        <f aca="false">IF($B1236="","",ROW()-4)</f>
        <v/>
      </c>
      <c r="B1236" s="26"/>
      <c r="C1236" s="24"/>
      <c r="D1236" s="21"/>
      <c r="E1236" s="21"/>
      <c r="F1236" s="21"/>
      <c r="G1236" s="21"/>
      <c r="H1236" s="27"/>
      <c r="I1236" s="23" t="str">
        <f aca="false">IF($D1236&lt;&gt;"销项开票","",IF($N1236="一级",IF(IFERROR(INDEX(项目档案!$E$6:$E$255,MATCH($C1236,项目档案!$A$6:$A$255,0)),"")="",N(IFERROR(INDEX(单位档案!$D$6:$D$35,MATCH($E1236,单位档案!$A$6:$A$35,0)),"")),IFERROR(INDEX(项目档案!$E$6:$E$255,MATCH($C1236,项目档案!$A$6:$A$255,0)),"")),IF($N1236="二级",IF(IFERROR(INDEX(项目档案!$G$6:$G$255,MATCH($C1236,项目档案!$A$6:$A$255,0)),"")="",N(IFERROR(INDEX(单位档案!$D$6:$D$35,MATCH($E1236,单位档案!$A$6:$A$35,0)),"")),IFERROR(INDEX(项目档案!$G$6:$G$255,MATCH($C1236,项目档案!$A$6:$A$255,0)),"")),N(IFERROR(INDEX(单位档案!$D$6:$D$35,MATCH($E1236,单位档案!$A$6:$A$35,0)),"")))))</f>
        <v/>
      </c>
      <c r="J1236" s="22"/>
      <c r="K1236" s="22"/>
      <c r="L1236" s="33" t="str">
        <f aca="false">IF($B1236="","",IF(NOT(ISNUMBER($B1236)),"日期格式不对",IF($C1236="","未选项目编号",IF(LEFT($M1236,1)="⚠","项目编号不存在",IF($D1236="","未选业务类型",IF($E1236="","未选开票/付款方",IF(ISNA(MATCH($E1236,单位档案!$A$6:$A$35,0)),"开票方不在单位档案",IF($F1236="","未选收票/收款方",IF(ISNA(MATCH($F1236,单位档案!$A$6:$A$35,0)),"收款方不在单位档案",IF(NOT(ISNUMBER($H1236)),"金额须为数字",IF(AND($D1236="销项开票",$N1236="—"),"链条待确认","√")))))))))))</f>
        <v/>
      </c>
      <c r="M1236" s="34" t="str">
        <f aca="false">IF($C1236="","",IFERROR(INDEX(项目档案!$B$6:$B$255,MATCH($C1236,项目档案!$A$6:$A$255,0)),"⚠项目编号不存在"))</f>
        <v/>
      </c>
      <c r="N1236" s="35" t="str">
        <f aca="false">IF($E1236="","",IF($E1236=IFERROR(INDEX(项目档案!$D$6:$D$255,MATCH($C1236,项目档案!$A$6:$A$255,0)),""),"一级",IF($E1236=IFERROR(INDEX(项目档案!$F$6:$F$255,MATCH($C1236,项目档案!$A$6:$A$255,0)),""),"二级",IF($E1236=IFERROR(INDEX(项目档案!$H$6:$H$255,MATCH($C1236,项目档案!$A$6:$A$255,0)),""),"我方","—"))))</f>
        <v/>
      </c>
      <c r="O1236" s="36" t="n">
        <f aca="false">IF($D1236&lt;&gt;"销项开票",0,ROUND(N($H1236)*N($I1236),2))</f>
        <v>0</v>
      </c>
      <c r="P1236" s="36" t="n">
        <f aca="false">IF($D1236&lt;&gt;"销项开票",0,ROUND(N($H1236)-$O1236,2))</f>
        <v>0</v>
      </c>
      <c r="Q1236" s="37" t="str">
        <f aca="false">IF($E1236="","",N(IFERROR(INDEX(单位档案!$E$6:$E$35,MATCH($E1236,单位档案!$A$6:$A$35,0)),"")))</f>
        <v/>
      </c>
      <c r="R1236" s="37" t="str">
        <f aca="false">IF($E1236="","",N(IFERROR(INDEX(单位档案!$F$6:$F$35,MATCH($E1236,单位档案!$A$6:$A$35,0)),"")))</f>
        <v/>
      </c>
      <c r="S1236" s="36" t="n">
        <f aca="false">IF(OR($D1236&lt;&gt;"销项开票",IFERROR(INDEX(单位档案!$G$6:$G$35,MATCH($E1236,单位档案!$A$6:$A$35,0)),"")&lt;&gt;"是",N($Q1236)=0),0,IF(IFERROR(INDEX(单位档案!$H$6:$H$35,MATCH($E1236,单位档案!$A$6:$A$35,0)),"")="税差法",ROUND(N($H1236)/(1+$Q1236)*$Q1236-IF(N($R1236)=0,0,$P1236/(1+$R1236)*$R1236),2),ROUND(N($H1236)/(1+$Q1236)*$Q1236,2)))</f>
        <v>0</v>
      </c>
      <c r="T1236" s="36" t="n">
        <f aca="false">ROUND($S1236*N(IFERROR(INDEX(单位档案!$J$6:$J$35,MATCH($E1236,单位档案!$A$6:$A$35,0)),"")),2)</f>
        <v>0</v>
      </c>
      <c r="U1236" s="36" t="n">
        <f aca="false">IF($D1236&lt;&gt;"销项开票",0,ROUND(N($H1236)*N(IFERROR(INDEX(单位档案!$K$6:$K$35,MATCH($E1236,单位档案!$A$6:$A$35,0)),"")),2))</f>
        <v>0</v>
      </c>
      <c r="V1236" s="36" t="n">
        <f aca="false">IF(OR($D1236&lt;&gt;"销项开票",N($Q1236)=0),0,ROUND(N($H1236)/(1+$Q1236)*N(IFERROR(INDEX(单位档案!$L$6:$L$35,MATCH($E1236,单位档案!$A$6:$A$35,0)),"")),2))</f>
        <v>0</v>
      </c>
      <c r="W1236" s="36" t="n">
        <f aca="false">ROUND($S1236+$T1236+$U1236+$V1236,2)</f>
        <v>0</v>
      </c>
      <c r="X1236" s="35" t="str">
        <f aca="false">IF(OR($D1236="挂靠代收",$D1236="我方收款"),COUNTIFS($D$5:$D1236,"挂靠代收")+COUNTIFS($D$5:$D1236,"我方收款"),"")</f>
        <v/>
      </c>
      <c r="Y1236" s="35"/>
      <c r="Z1236" s="21" t="s">
        <v>111</v>
      </c>
    </row>
    <row r="1237" customFormat="false" ht="15.75" hidden="false" customHeight="true" outlineLevel="0" collapsed="false">
      <c r="A1237" s="32" t="str">
        <f aca="false">IF($B1237="","",ROW()-4)</f>
        <v/>
      </c>
      <c r="B1237" s="26"/>
      <c r="C1237" s="24"/>
      <c r="D1237" s="21"/>
      <c r="E1237" s="21"/>
      <c r="F1237" s="21"/>
      <c r="G1237" s="21"/>
      <c r="H1237" s="27"/>
      <c r="I1237" s="23" t="str">
        <f aca="false">IF($D1237&lt;&gt;"销项开票","",IF($N1237="一级",IF(IFERROR(INDEX(项目档案!$E$6:$E$255,MATCH($C1237,项目档案!$A$6:$A$255,0)),"")="",N(IFERROR(INDEX(单位档案!$D$6:$D$35,MATCH($E1237,单位档案!$A$6:$A$35,0)),"")),IFERROR(INDEX(项目档案!$E$6:$E$255,MATCH($C1237,项目档案!$A$6:$A$255,0)),"")),IF($N1237="二级",IF(IFERROR(INDEX(项目档案!$G$6:$G$255,MATCH($C1237,项目档案!$A$6:$A$255,0)),"")="",N(IFERROR(INDEX(单位档案!$D$6:$D$35,MATCH($E1237,单位档案!$A$6:$A$35,0)),"")),IFERROR(INDEX(项目档案!$G$6:$G$255,MATCH($C1237,项目档案!$A$6:$A$255,0)),"")),N(IFERROR(INDEX(单位档案!$D$6:$D$35,MATCH($E1237,单位档案!$A$6:$A$35,0)),"")))))</f>
        <v/>
      </c>
      <c r="J1237" s="22"/>
      <c r="K1237" s="22"/>
      <c r="L1237" s="33" t="str">
        <f aca="false">IF($B1237="","",IF(NOT(ISNUMBER($B1237)),"日期格式不对",IF($C1237="","未选项目编号",IF(LEFT($M1237,1)="⚠","项目编号不存在",IF($D1237="","未选业务类型",IF($E1237="","未选开票/付款方",IF(ISNA(MATCH($E1237,单位档案!$A$6:$A$35,0)),"开票方不在单位档案",IF($F1237="","未选收票/收款方",IF(ISNA(MATCH($F1237,单位档案!$A$6:$A$35,0)),"收款方不在单位档案",IF(NOT(ISNUMBER($H1237)),"金额须为数字",IF(AND($D1237="销项开票",$N1237="—"),"链条待确认","√")))))))))))</f>
        <v/>
      </c>
      <c r="M1237" s="34" t="str">
        <f aca="false">IF($C1237="","",IFERROR(INDEX(项目档案!$B$6:$B$255,MATCH($C1237,项目档案!$A$6:$A$255,0)),"⚠项目编号不存在"))</f>
        <v/>
      </c>
      <c r="N1237" s="35" t="str">
        <f aca="false">IF($E1237="","",IF($E1237=IFERROR(INDEX(项目档案!$D$6:$D$255,MATCH($C1237,项目档案!$A$6:$A$255,0)),""),"一级",IF($E1237=IFERROR(INDEX(项目档案!$F$6:$F$255,MATCH($C1237,项目档案!$A$6:$A$255,0)),""),"二级",IF($E1237=IFERROR(INDEX(项目档案!$H$6:$H$255,MATCH($C1237,项目档案!$A$6:$A$255,0)),""),"我方","—"))))</f>
        <v/>
      </c>
      <c r="O1237" s="36" t="n">
        <f aca="false">IF($D1237&lt;&gt;"销项开票",0,ROUND(N($H1237)*N($I1237),2))</f>
        <v>0</v>
      </c>
      <c r="P1237" s="36" t="n">
        <f aca="false">IF($D1237&lt;&gt;"销项开票",0,ROUND(N($H1237)-$O1237,2))</f>
        <v>0</v>
      </c>
      <c r="Q1237" s="37" t="str">
        <f aca="false">IF($E1237="","",N(IFERROR(INDEX(单位档案!$E$6:$E$35,MATCH($E1237,单位档案!$A$6:$A$35,0)),"")))</f>
        <v/>
      </c>
      <c r="R1237" s="37" t="str">
        <f aca="false">IF($E1237="","",N(IFERROR(INDEX(单位档案!$F$6:$F$35,MATCH($E1237,单位档案!$A$6:$A$35,0)),"")))</f>
        <v/>
      </c>
      <c r="S1237" s="36" t="n">
        <f aca="false">IF(OR($D1237&lt;&gt;"销项开票",IFERROR(INDEX(单位档案!$G$6:$G$35,MATCH($E1237,单位档案!$A$6:$A$35,0)),"")&lt;&gt;"是",N($Q1237)=0),0,IF(IFERROR(INDEX(单位档案!$H$6:$H$35,MATCH($E1237,单位档案!$A$6:$A$35,0)),"")="税差法",ROUND(N($H1237)/(1+$Q1237)*$Q1237-IF(N($R1237)=0,0,$P1237/(1+$R1237)*$R1237),2),ROUND(N($H1237)/(1+$Q1237)*$Q1237,2)))</f>
        <v>0</v>
      </c>
      <c r="T1237" s="36" t="n">
        <f aca="false">ROUND($S1237*N(IFERROR(INDEX(单位档案!$J$6:$J$35,MATCH($E1237,单位档案!$A$6:$A$35,0)),"")),2)</f>
        <v>0</v>
      </c>
      <c r="U1237" s="36" t="n">
        <f aca="false">IF($D1237&lt;&gt;"销项开票",0,ROUND(N($H1237)*N(IFERROR(INDEX(单位档案!$K$6:$K$35,MATCH($E1237,单位档案!$A$6:$A$35,0)),"")),2))</f>
        <v>0</v>
      </c>
      <c r="V1237" s="36" t="n">
        <f aca="false">IF(OR($D1237&lt;&gt;"销项开票",N($Q1237)=0),0,ROUND(N($H1237)/(1+$Q1237)*N(IFERROR(INDEX(单位档案!$L$6:$L$35,MATCH($E1237,单位档案!$A$6:$A$35,0)),"")),2))</f>
        <v>0</v>
      </c>
      <c r="W1237" s="36" t="n">
        <f aca="false">ROUND($S1237+$T1237+$U1237+$V1237,2)</f>
        <v>0</v>
      </c>
      <c r="X1237" s="35" t="str">
        <f aca="false">IF(OR($D1237="挂靠代收",$D1237="我方收款"),COUNTIFS($D$5:$D1237,"挂靠代收")+COUNTIFS($D$5:$D1237,"我方收款"),"")</f>
        <v/>
      </c>
      <c r="Y1237" s="35"/>
      <c r="Z1237" s="21" t="s">
        <v>111</v>
      </c>
    </row>
    <row r="1238" customFormat="false" ht="15.75" hidden="false" customHeight="true" outlineLevel="0" collapsed="false">
      <c r="A1238" s="32" t="str">
        <f aca="false">IF($B1238="","",ROW()-4)</f>
        <v/>
      </c>
      <c r="B1238" s="26"/>
      <c r="C1238" s="24"/>
      <c r="D1238" s="21"/>
      <c r="E1238" s="21"/>
      <c r="F1238" s="21"/>
      <c r="G1238" s="21"/>
      <c r="H1238" s="27"/>
      <c r="I1238" s="23" t="str">
        <f aca="false">IF($D1238&lt;&gt;"销项开票","",IF($N1238="一级",IF(IFERROR(INDEX(项目档案!$E$6:$E$255,MATCH($C1238,项目档案!$A$6:$A$255,0)),"")="",N(IFERROR(INDEX(单位档案!$D$6:$D$35,MATCH($E1238,单位档案!$A$6:$A$35,0)),"")),IFERROR(INDEX(项目档案!$E$6:$E$255,MATCH($C1238,项目档案!$A$6:$A$255,0)),"")),IF($N1238="二级",IF(IFERROR(INDEX(项目档案!$G$6:$G$255,MATCH($C1238,项目档案!$A$6:$A$255,0)),"")="",N(IFERROR(INDEX(单位档案!$D$6:$D$35,MATCH($E1238,单位档案!$A$6:$A$35,0)),"")),IFERROR(INDEX(项目档案!$G$6:$G$255,MATCH($C1238,项目档案!$A$6:$A$255,0)),"")),N(IFERROR(INDEX(单位档案!$D$6:$D$35,MATCH($E1238,单位档案!$A$6:$A$35,0)),"")))))</f>
        <v/>
      </c>
      <c r="J1238" s="22"/>
      <c r="K1238" s="22"/>
      <c r="L1238" s="33" t="str">
        <f aca="false">IF($B1238="","",IF(NOT(ISNUMBER($B1238)),"日期格式不对",IF($C1238="","未选项目编号",IF(LEFT($M1238,1)="⚠","项目编号不存在",IF($D1238="","未选业务类型",IF($E1238="","未选开票/付款方",IF(ISNA(MATCH($E1238,单位档案!$A$6:$A$35,0)),"开票方不在单位档案",IF($F1238="","未选收票/收款方",IF(ISNA(MATCH($F1238,单位档案!$A$6:$A$35,0)),"收款方不在单位档案",IF(NOT(ISNUMBER($H1238)),"金额须为数字",IF(AND($D1238="销项开票",$N1238="—"),"链条待确认","√")))))))))))</f>
        <v/>
      </c>
      <c r="M1238" s="34" t="str">
        <f aca="false">IF($C1238="","",IFERROR(INDEX(项目档案!$B$6:$B$255,MATCH($C1238,项目档案!$A$6:$A$255,0)),"⚠项目编号不存在"))</f>
        <v/>
      </c>
      <c r="N1238" s="35" t="str">
        <f aca="false">IF($E1238="","",IF($E1238=IFERROR(INDEX(项目档案!$D$6:$D$255,MATCH($C1238,项目档案!$A$6:$A$255,0)),""),"一级",IF($E1238=IFERROR(INDEX(项目档案!$F$6:$F$255,MATCH($C1238,项目档案!$A$6:$A$255,0)),""),"二级",IF($E1238=IFERROR(INDEX(项目档案!$H$6:$H$255,MATCH($C1238,项目档案!$A$6:$A$255,0)),""),"我方","—"))))</f>
        <v/>
      </c>
      <c r="O1238" s="36" t="n">
        <f aca="false">IF($D1238&lt;&gt;"销项开票",0,ROUND(N($H1238)*N($I1238),2))</f>
        <v>0</v>
      </c>
      <c r="P1238" s="36" t="n">
        <f aca="false">IF($D1238&lt;&gt;"销项开票",0,ROUND(N($H1238)-$O1238,2))</f>
        <v>0</v>
      </c>
      <c r="Q1238" s="37" t="str">
        <f aca="false">IF($E1238="","",N(IFERROR(INDEX(单位档案!$E$6:$E$35,MATCH($E1238,单位档案!$A$6:$A$35,0)),"")))</f>
        <v/>
      </c>
      <c r="R1238" s="37" t="str">
        <f aca="false">IF($E1238="","",N(IFERROR(INDEX(单位档案!$F$6:$F$35,MATCH($E1238,单位档案!$A$6:$A$35,0)),"")))</f>
        <v/>
      </c>
      <c r="S1238" s="36" t="n">
        <f aca="false">IF(OR($D1238&lt;&gt;"销项开票",IFERROR(INDEX(单位档案!$G$6:$G$35,MATCH($E1238,单位档案!$A$6:$A$35,0)),"")&lt;&gt;"是",N($Q1238)=0),0,IF(IFERROR(INDEX(单位档案!$H$6:$H$35,MATCH($E1238,单位档案!$A$6:$A$35,0)),"")="税差法",ROUND(N($H1238)/(1+$Q1238)*$Q1238-IF(N($R1238)=0,0,$P1238/(1+$R1238)*$R1238),2),ROUND(N($H1238)/(1+$Q1238)*$Q1238,2)))</f>
        <v>0</v>
      </c>
      <c r="T1238" s="36" t="n">
        <f aca="false">ROUND($S1238*N(IFERROR(INDEX(单位档案!$J$6:$J$35,MATCH($E1238,单位档案!$A$6:$A$35,0)),"")),2)</f>
        <v>0</v>
      </c>
      <c r="U1238" s="36" t="n">
        <f aca="false">IF($D1238&lt;&gt;"销项开票",0,ROUND(N($H1238)*N(IFERROR(INDEX(单位档案!$K$6:$K$35,MATCH($E1238,单位档案!$A$6:$A$35,0)),"")),2))</f>
        <v>0</v>
      </c>
      <c r="V1238" s="36" t="n">
        <f aca="false">IF(OR($D1238&lt;&gt;"销项开票",N($Q1238)=0),0,ROUND(N($H1238)/(1+$Q1238)*N(IFERROR(INDEX(单位档案!$L$6:$L$35,MATCH($E1238,单位档案!$A$6:$A$35,0)),"")),2))</f>
        <v>0</v>
      </c>
      <c r="W1238" s="36" t="n">
        <f aca="false">ROUND($S1238+$T1238+$U1238+$V1238,2)</f>
        <v>0</v>
      </c>
      <c r="X1238" s="35" t="str">
        <f aca="false">IF(OR($D1238="挂靠代收",$D1238="我方收款"),COUNTIFS($D$5:$D1238,"挂靠代收")+COUNTIFS($D$5:$D1238,"我方收款"),"")</f>
        <v/>
      </c>
      <c r="Y1238" s="35"/>
      <c r="Z1238" s="21" t="s">
        <v>111</v>
      </c>
    </row>
    <row r="1239" customFormat="false" ht="15.75" hidden="false" customHeight="true" outlineLevel="0" collapsed="false">
      <c r="A1239" s="32" t="str">
        <f aca="false">IF($B1239="","",ROW()-4)</f>
        <v/>
      </c>
      <c r="B1239" s="26"/>
      <c r="C1239" s="24"/>
      <c r="D1239" s="21"/>
      <c r="E1239" s="21"/>
      <c r="F1239" s="21"/>
      <c r="G1239" s="21"/>
      <c r="H1239" s="27"/>
      <c r="I1239" s="23" t="str">
        <f aca="false">IF($D1239&lt;&gt;"销项开票","",IF($N1239="一级",IF(IFERROR(INDEX(项目档案!$E$6:$E$255,MATCH($C1239,项目档案!$A$6:$A$255,0)),"")="",N(IFERROR(INDEX(单位档案!$D$6:$D$35,MATCH($E1239,单位档案!$A$6:$A$35,0)),"")),IFERROR(INDEX(项目档案!$E$6:$E$255,MATCH($C1239,项目档案!$A$6:$A$255,0)),"")),IF($N1239="二级",IF(IFERROR(INDEX(项目档案!$G$6:$G$255,MATCH($C1239,项目档案!$A$6:$A$255,0)),"")="",N(IFERROR(INDEX(单位档案!$D$6:$D$35,MATCH($E1239,单位档案!$A$6:$A$35,0)),"")),IFERROR(INDEX(项目档案!$G$6:$G$255,MATCH($C1239,项目档案!$A$6:$A$255,0)),"")),N(IFERROR(INDEX(单位档案!$D$6:$D$35,MATCH($E1239,单位档案!$A$6:$A$35,0)),"")))))</f>
        <v/>
      </c>
      <c r="J1239" s="22"/>
      <c r="K1239" s="22"/>
      <c r="L1239" s="33" t="str">
        <f aca="false">IF($B1239="","",IF(NOT(ISNUMBER($B1239)),"日期格式不对",IF($C1239="","未选项目编号",IF(LEFT($M1239,1)="⚠","项目编号不存在",IF($D1239="","未选业务类型",IF($E1239="","未选开票/付款方",IF(ISNA(MATCH($E1239,单位档案!$A$6:$A$35,0)),"开票方不在单位档案",IF($F1239="","未选收票/收款方",IF(ISNA(MATCH($F1239,单位档案!$A$6:$A$35,0)),"收款方不在单位档案",IF(NOT(ISNUMBER($H1239)),"金额须为数字",IF(AND($D1239="销项开票",$N1239="—"),"链条待确认","√")))))))))))</f>
        <v/>
      </c>
      <c r="M1239" s="34" t="str">
        <f aca="false">IF($C1239="","",IFERROR(INDEX(项目档案!$B$6:$B$255,MATCH($C1239,项目档案!$A$6:$A$255,0)),"⚠项目编号不存在"))</f>
        <v/>
      </c>
      <c r="N1239" s="35" t="str">
        <f aca="false">IF($E1239="","",IF($E1239=IFERROR(INDEX(项目档案!$D$6:$D$255,MATCH($C1239,项目档案!$A$6:$A$255,0)),""),"一级",IF($E1239=IFERROR(INDEX(项目档案!$F$6:$F$255,MATCH($C1239,项目档案!$A$6:$A$255,0)),""),"二级",IF($E1239=IFERROR(INDEX(项目档案!$H$6:$H$255,MATCH($C1239,项目档案!$A$6:$A$255,0)),""),"我方","—"))))</f>
        <v/>
      </c>
      <c r="O1239" s="36" t="n">
        <f aca="false">IF($D1239&lt;&gt;"销项开票",0,ROUND(N($H1239)*N($I1239),2))</f>
        <v>0</v>
      </c>
      <c r="P1239" s="36" t="n">
        <f aca="false">IF($D1239&lt;&gt;"销项开票",0,ROUND(N($H1239)-$O1239,2))</f>
        <v>0</v>
      </c>
      <c r="Q1239" s="37" t="str">
        <f aca="false">IF($E1239="","",N(IFERROR(INDEX(单位档案!$E$6:$E$35,MATCH($E1239,单位档案!$A$6:$A$35,0)),"")))</f>
        <v/>
      </c>
      <c r="R1239" s="37" t="str">
        <f aca="false">IF($E1239="","",N(IFERROR(INDEX(单位档案!$F$6:$F$35,MATCH($E1239,单位档案!$A$6:$A$35,0)),"")))</f>
        <v/>
      </c>
      <c r="S1239" s="36" t="n">
        <f aca="false">IF(OR($D1239&lt;&gt;"销项开票",IFERROR(INDEX(单位档案!$G$6:$G$35,MATCH($E1239,单位档案!$A$6:$A$35,0)),"")&lt;&gt;"是",N($Q1239)=0),0,IF(IFERROR(INDEX(单位档案!$H$6:$H$35,MATCH($E1239,单位档案!$A$6:$A$35,0)),"")="税差法",ROUND(N($H1239)/(1+$Q1239)*$Q1239-IF(N($R1239)=0,0,$P1239/(1+$R1239)*$R1239),2),ROUND(N($H1239)/(1+$Q1239)*$Q1239,2)))</f>
        <v>0</v>
      </c>
      <c r="T1239" s="36" t="n">
        <f aca="false">ROUND($S1239*N(IFERROR(INDEX(单位档案!$J$6:$J$35,MATCH($E1239,单位档案!$A$6:$A$35,0)),"")),2)</f>
        <v>0</v>
      </c>
      <c r="U1239" s="36" t="n">
        <f aca="false">IF($D1239&lt;&gt;"销项开票",0,ROUND(N($H1239)*N(IFERROR(INDEX(单位档案!$K$6:$K$35,MATCH($E1239,单位档案!$A$6:$A$35,0)),"")),2))</f>
        <v>0</v>
      </c>
      <c r="V1239" s="36" t="n">
        <f aca="false">IF(OR($D1239&lt;&gt;"销项开票",N($Q1239)=0),0,ROUND(N($H1239)/(1+$Q1239)*N(IFERROR(INDEX(单位档案!$L$6:$L$35,MATCH($E1239,单位档案!$A$6:$A$35,0)),"")),2))</f>
        <v>0</v>
      </c>
      <c r="W1239" s="36" t="n">
        <f aca="false">ROUND($S1239+$T1239+$U1239+$V1239,2)</f>
        <v>0</v>
      </c>
      <c r="X1239" s="35" t="str">
        <f aca="false">IF(OR($D1239="挂靠代收",$D1239="我方收款"),COUNTIFS($D$5:$D1239,"挂靠代收")+COUNTIFS($D$5:$D1239,"我方收款"),"")</f>
        <v/>
      </c>
      <c r="Y1239" s="35"/>
      <c r="Z1239" s="21" t="s">
        <v>111</v>
      </c>
    </row>
    <row r="1240" customFormat="false" ht="15.75" hidden="false" customHeight="true" outlineLevel="0" collapsed="false">
      <c r="A1240" s="32" t="str">
        <f aca="false">IF($B1240="","",ROW()-4)</f>
        <v/>
      </c>
      <c r="B1240" s="26"/>
      <c r="C1240" s="24"/>
      <c r="D1240" s="21"/>
      <c r="E1240" s="21"/>
      <c r="F1240" s="21"/>
      <c r="G1240" s="21"/>
      <c r="H1240" s="27"/>
      <c r="I1240" s="23" t="str">
        <f aca="false">IF($D1240&lt;&gt;"销项开票","",IF($N1240="一级",IF(IFERROR(INDEX(项目档案!$E$6:$E$255,MATCH($C1240,项目档案!$A$6:$A$255,0)),"")="",N(IFERROR(INDEX(单位档案!$D$6:$D$35,MATCH($E1240,单位档案!$A$6:$A$35,0)),"")),IFERROR(INDEX(项目档案!$E$6:$E$255,MATCH($C1240,项目档案!$A$6:$A$255,0)),"")),IF($N1240="二级",IF(IFERROR(INDEX(项目档案!$G$6:$G$255,MATCH($C1240,项目档案!$A$6:$A$255,0)),"")="",N(IFERROR(INDEX(单位档案!$D$6:$D$35,MATCH($E1240,单位档案!$A$6:$A$35,0)),"")),IFERROR(INDEX(项目档案!$G$6:$G$255,MATCH($C1240,项目档案!$A$6:$A$255,0)),"")),N(IFERROR(INDEX(单位档案!$D$6:$D$35,MATCH($E1240,单位档案!$A$6:$A$35,0)),"")))))</f>
        <v/>
      </c>
      <c r="J1240" s="22"/>
      <c r="K1240" s="22"/>
      <c r="L1240" s="33" t="str">
        <f aca="false">IF($B1240="","",IF(NOT(ISNUMBER($B1240)),"日期格式不对",IF($C1240="","未选项目编号",IF(LEFT($M1240,1)="⚠","项目编号不存在",IF($D1240="","未选业务类型",IF($E1240="","未选开票/付款方",IF(ISNA(MATCH($E1240,单位档案!$A$6:$A$35,0)),"开票方不在单位档案",IF($F1240="","未选收票/收款方",IF(ISNA(MATCH($F1240,单位档案!$A$6:$A$35,0)),"收款方不在单位档案",IF(NOT(ISNUMBER($H1240)),"金额须为数字",IF(AND($D1240="销项开票",$N1240="—"),"链条待确认","√")))))))))))</f>
        <v/>
      </c>
      <c r="M1240" s="34" t="str">
        <f aca="false">IF($C1240="","",IFERROR(INDEX(项目档案!$B$6:$B$255,MATCH($C1240,项目档案!$A$6:$A$255,0)),"⚠项目编号不存在"))</f>
        <v/>
      </c>
      <c r="N1240" s="35" t="str">
        <f aca="false">IF($E1240="","",IF($E1240=IFERROR(INDEX(项目档案!$D$6:$D$255,MATCH($C1240,项目档案!$A$6:$A$255,0)),""),"一级",IF($E1240=IFERROR(INDEX(项目档案!$F$6:$F$255,MATCH($C1240,项目档案!$A$6:$A$255,0)),""),"二级",IF($E1240=IFERROR(INDEX(项目档案!$H$6:$H$255,MATCH($C1240,项目档案!$A$6:$A$255,0)),""),"我方","—"))))</f>
        <v/>
      </c>
      <c r="O1240" s="36" t="n">
        <f aca="false">IF($D1240&lt;&gt;"销项开票",0,ROUND(N($H1240)*N($I1240),2))</f>
        <v>0</v>
      </c>
      <c r="P1240" s="36" t="n">
        <f aca="false">IF($D1240&lt;&gt;"销项开票",0,ROUND(N($H1240)-$O1240,2))</f>
        <v>0</v>
      </c>
      <c r="Q1240" s="37" t="str">
        <f aca="false">IF($E1240="","",N(IFERROR(INDEX(单位档案!$E$6:$E$35,MATCH($E1240,单位档案!$A$6:$A$35,0)),"")))</f>
        <v/>
      </c>
      <c r="R1240" s="37" t="str">
        <f aca="false">IF($E1240="","",N(IFERROR(INDEX(单位档案!$F$6:$F$35,MATCH($E1240,单位档案!$A$6:$A$35,0)),"")))</f>
        <v/>
      </c>
      <c r="S1240" s="36" t="n">
        <f aca="false">IF(OR($D1240&lt;&gt;"销项开票",IFERROR(INDEX(单位档案!$G$6:$G$35,MATCH($E1240,单位档案!$A$6:$A$35,0)),"")&lt;&gt;"是",N($Q1240)=0),0,IF(IFERROR(INDEX(单位档案!$H$6:$H$35,MATCH($E1240,单位档案!$A$6:$A$35,0)),"")="税差法",ROUND(N($H1240)/(1+$Q1240)*$Q1240-IF(N($R1240)=0,0,$P1240/(1+$R1240)*$R1240),2),ROUND(N($H1240)/(1+$Q1240)*$Q1240,2)))</f>
        <v>0</v>
      </c>
      <c r="T1240" s="36" t="n">
        <f aca="false">ROUND($S1240*N(IFERROR(INDEX(单位档案!$J$6:$J$35,MATCH($E1240,单位档案!$A$6:$A$35,0)),"")),2)</f>
        <v>0</v>
      </c>
      <c r="U1240" s="36" t="n">
        <f aca="false">IF($D1240&lt;&gt;"销项开票",0,ROUND(N($H1240)*N(IFERROR(INDEX(单位档案!$K$6:$K$35,MATCH($E1240,单位档案!$A$6:$A$35,0)),"")),2))</f>
        <v>0</v>
      </c>
      <c r="V1240" s="36" t="n">
        <f aca="false">IF(OR($D1240&lt;&gt;"销项开票",N($Q1240)=0),0,ROUND(N($H1240)/(1+$Q1240)*N(IFERROR(INDEX(单位档案!$L$6:$L$35,MATCH($E1240,单位档案!$A$6:$A$35,0)),"")),2))</f>
        <v>0</v>
      </c>
      <c r="W1240" s="36" t="n">
        <f aca="false">ROUND($S1240+$T1240+$U1240+$V1240,2)</f>
        <v>0</v>
      </c>
      <c r="X1240" s="35" t="str">
        <f aca="false">IF(OR($D1240="挂靠代收",$D1240="我方收款"),COUNTIFS($D$5:$D1240,"挂靠代收")+COUNTIFS($D$5:$D1240,"我方收款"),"")</f>
        <v/>
      </c>
      <c r="Y1240" s="35"/>
      <c r="Z1240" s="21" t="s">
        <v>111</v>
      </c>
    </row>
    <row r="1241" customFormat="false" ht="15.75" hidden="false" customHeight="true" outlineLevel="0" collapsed="false">
      <c r="A1241" s="32" t="str">
        <f aca="false">IF($B1241="","",ROW()-4)</f>
        <v/>
      </c>
      <c r="B1241" s="26"/>
      <c r="C1241" s="24"/>
      <c r="D1241" s="21"/>
      <c r="E1241" s="21"/>
      <c r="F1241" s="21"/>
      <c r="G1241" s="21"/>
      <c r="H1241" s="27"/>
      <c r="I1241" s="23" t="str">
        <f aca="false">IF($D1241&lt;&gt;"销项开票","",IF($N1241="一级",IF(IFERROR(INDEX(项目档案!$E$6:$E$255,MATCH($C1241,项目档案!$A$6:$A$255,0)),"")="",N(IFERROR(INDEX(单位档案!$D$6:$D$35,MATCH($E1241,单位档案!$A$6:$A$35,0)),"")),IFERROR(INDEX(项目档案!$E$6:$E$255,MATCH($C1241,项目档案!$A$6:$A$255,0)),"")),IF($N1241="二级",IF(IFERROR(INDEX(项目档案!$G$6:$G$255,MATCH($C1241,项目档案!$A$6:$A$255,0)),"")="",N(IFERROR(INDEX(单位档案!$D$6:$D$35,MATCH($E1241,单位档案!$A$6:$A$35,0)),"")),IFERROR(INDEX(项目档案!$G$6:$G$255,MATCH($C1241,项目档案!$A$6:$A$255,0)),"")),N(IFERROR(INDEX(单位档案!$D$6:$D$35,MATCH($E1241,单位档案!$A$6:$A$35,0)),"")))))</f>
        <v/>
      </c>
      <c r="J1241" s="22"/>
      <c r="K1241" s="22"/>
      <c r="L1241" s="33" t="str">
        <f aca="false">IF($B1241="","",IF(NOT(ISNUMBER($B1241)),"日期格式不对",IF($C1241="","未选项目编号",IF(LEFT($M1241,1)="⚠","项目编号不存在",IF($D1241="","未选业务类型",IF($E1241="","未选开票/付款方",IF(ISNA(MATCH($E1241,单位档案!$A$6:$A$35,0)),"开票方不在单位档案",IF($F1241="","未选收票/收款方",IF(ISNA(MATCH($F1241,单位档案!$A$6:$A$35,0)),"收款方不在单位档案",IF(NOT(ISNUMBER($H1241)),"金额须为数字",IF(AND($D1241="销项开票",$N1241="—"),"链条待确认","√")))))))))))</f>
        <v/>
      </c>
      <c r="M1241" s="34" t="str">
        <f aca="false">IF($C1241="","",IFERROR(INDEX(项目档案!$B$6:$B$255,MATCH($C1241,项目档案!$A$6:$A$255,0)),"⚠项目编号不存在"))</f>
        <v/>
      </c>
      <c r="N1241" s="35" t="str">
        <f aca="false">IF($E1241="","",IF($E1241=IFERROR(INDEX(项目档案!$D$6:$D$255,MATCH($C1241,项目档案!$A$6:$A$255,0)),""),"一级",IF($E1241=IFERROR(INDEX(项目档案!$F$6:$F$255,MATCH($C1241,项目档案!$A$6:$A$255,0)),""),"二级",IF($E1241=IFERROR(INDEX(项目档案!$H$6:$H$255,MATCH($C1241,项目档案!$A$6:$A$255,0)),""),"我方","—"))))</f>
        <v/>
      </c>
      <c r="O1241" s="36" t="n">
        <f aca="false">IF($D1241&lt;&gt;"销项开票",0,ROUND(N($H1241)*N($I1241),2))</f>
        <v>0</v>
      </c>
      <c r="P1241" s="36" t="n">
        <f aca="false">IF($D1241&lt;&gt;"销项开票",0,ROUND(N($H1241)-$O1241,2))</f>
        <v>0</v>
      </c>
      <c r="Q1241" s="37" t="str">
        <f aca="false">IF($E1241="","",N(IFERROR(INDEX(单位档案!$E$6:$E$35,MATCH($E1241,单位档案!$A$6:$A$35,0)),"")))</f>
        <v/>
      </c>
      <c r="R1241" s="37" t="str">
        <f aca="false">IF($E1241="","",N(IFERROR(INDEX(单位档案!$F$6:$F$35,MATCH($E1241,单位档案!$A$6:$A$35,0)),"")))</f>
        <v/>
      </c>
      <c r="S1241" s="36" t="n">
        <f aca="false">IF(OR($D1241&lt;&gt;"销项开票",IFERROR(INDEX(单位档案!$G$6:$G$35,MATCH($E1241,单位档案!$A$6:$A$35,0)),"")&lt;&gt;"是",N($Q1241)=0),0,IF(IFERROR(INDEX(单位档案!$H$6:$H$35,MATCH($E1241,单位档案!$A$6:$A$35,0)),"")="税差法",ROUND(N($H1241)/(1+$Q1241)*$Q1241-IF(N($R1241)=0,0,$P1241/(1+$R1241)*$R1241),2),ROUND(N($H1241)/(1+$Q1241)*$Q1241,2)))</f>
        <v>0</v>
      </c>
      <c r="T1241" s="36" t="n">
        <f aca="false">ROUND($S1241*N(IFERROR(INDEX(单位档案!$J$6:$J$35,MATCH($E1241,单位档案!$A$6:$A$35,0)),"")),2)</f>
        <v>0</v>
      </c>
      <c r="U1241" s="36" t="n">
        <f aca="false">IF($D1241&lt;&gt;"销项开票",0,ROUND(N($H1241)*N(IFERROR(INDEX(单位档案!$K$6:$K$35,MATCH($E1241,单位档案!$A$6:$A$35,0)),"")),2))</f>
        <v>0</v>
      </c>
      <c r="V1241" s="36" t="n">
        <f aca="false">IF(OR($D1241&lt;&gt;"销项开票",N($Q1241)=0),0,ROUND(N($H1241)/(1+$Q1241)*N(IFERROR(INDEX(单位档案!$L$6:$L$35,MATCH($E1241,单位档案!$A$6:$A$35,0)),"")),2))</f>
        <v>0</v>
      </c>
      <c r="W1241" s="36" t="n">
        <f aca="false">ROUND($S1241+$T1241+$U1241+$V1241,2)</f>
        <v>0</v>
      </c>
      <c r="X1241" s="35" t="str">
        <f aca="false">IF(OR($D1241="挂靠代收",$D1241="我方收款"),COUNTIFS($D$5:$D1241,"挂靠代收")+COUNTIFS($D$5:$D1241,"我方收款"),"")</f>
        <v/>
      </c>
      <c r="Y1241" s="35"/>
      <c r="Z1241" s="21" t="s">
        <v>111</v>
      </c>
    </row>
    <row r="1242" customFormat="false" ht="15.75" hidden="false" customHeight="true" outlineLevel="0" collapsed="false">
      <c r="A1242" s="32" t="str">
        <f aca="false">IF($B1242="","",ROW()-4)</f>
        <v/>
      </c>
      <c r="B1242" s="26"/>
      <c r="C1242" s="24"/>
      <c r="D1242" s="21"/>
      <c r="E1242" s="21"/>
      <c r="F1242" s="21"/>
      <c r="G1242" s="21"/>
      <c r="H1242" s="27"/>
      <c r="I1242" s="23" t="str">
        <f aca="false">IF($D1242&lt;&gt;"销项开票","",IF($N1242="一级",IF(IFERROR(INDEX(项目档案!$E$6:$E$255,MATCH($C1242,项目档案!$A$6:$A$255,0)),"")="",N(IFERROR(INDEX(单位档案!$D$6:$D$35,MATCH($E1242,单位档案!$A$6:$A$35,0)),"")),IFERROR(INDEX(项目档案!$E$6:$E$255,MATCH($C1242,项目档案!$A$6:$A$255,0)),"")),IF($N1242="二级",IF(IFERROR(INDEX(项目档案!$G$6:$G$255,MATCH($C1242,项目档案!$A$6:$A$255,0)),"")="",N(IFERROR(INDEX(单位档案!$D$6:$D$35,MATCH($E1242,单位档案!$A$6:$A$35,0)),"")),IFERROR(INDEX(项目档案!$G$6:$G$255,MATCH($C1242,项目档案!$A$6:$A$255,0)),"")),N(IFERROR(INDEX(单位档案!$D$6:$D$35,MATCH($E1242,单位档案!$A$6:$A$35,0)),"")))))</f>
        <v/>
      </c>
      <c r="J1242" s="22"/>
      <c r="K1242" s="22"/>
      <c r="L1242" s="33" t="str">
        <f aca="false">IF($B1242="","",IF(NOT(ISNUMBER($B1242)),"日期格式不对",IF($C1242="","未选项目编号",IF(LEFT($M1242,1)="⚠","项目编号不存在",IF($D1242="","未选业务类型",IF($E1242="","未选开票/付款方",IF(ISNA(MATCH($E1242,单位档案!$A$6:$A$35,0)),"开票方不在单位档案",IF($F1242="","未选收票/收款方",IF(ISNA(MATCH($F1242,单位档案!$A$6:$A$35,0)),"收款方不在单位档案",IF(NOT(ISNUMBER($H1242)),"金额须为数字",IF(AND($D1242="销项开票",$N1242="—"),"链条待确认","√")))))))))))</f>
        <v/>
      </c>
      <c r="M1242" s="34" t="str">
        <f aca="false">IF($C1242="","",IFERROR(INDEX(项目档案!$B$6:$B$255,MATCH($C1242,项目档案!$A$6:$A$255,0)),"⚠项目编号不存在"))</f>
        <v/>
      </c>
      <c r="N1242" s="35" t="str">
        <f aca="false">IF($E1242="","",IF($E1242=IFERROR(INDEX(项目档案!$D$6:$D$255,MATCH($C1242,项目档案!$A$6:$A$255,0)),""),"一级",IF($E1242=IFERROR(INDEX(项目档案!$F$6:$F$255,MATCH($C1242,项目档案!$A$6:$A$255,0)),""),"二级",IF($E1242=IFERROR(INDEX(项目档案!$H$6:$H$255,MATCH($C1242,项目档案!$A$6:$A$255,0)),""),"我方","—"))))</f>
        <v/>
      </c>
      <c r="O1242" s="36" t="n">
        <f aca="false">IF($D1242&lt;&gt;"销项开票",0,ROUND(N($H1242)*N($I1242),2))</f>
        <v>0</v>
      </c>
      <c r="P1242" s="36" t="n">
        <f aca="false">IF($D1242&lt;&gt;"销项开票",0,ROUND(N($H1242)-$O1242,2))</f>
        <v>0</v>
      </c>
      <c r="Q1242" s="37" t="str">
        <f aca="false">IF($E1242="","",N(IFERROR(INDEX(单位档案!$E$6:$E$35,MATCH($E1242,单位档案!$A$6:$A$35,0)),"")))</f>
        <v/>
      </c>
      <c r="R1242" s="37" t="str">
        <f aca="false">IF($E1242="","",N(IFERROR(INDEX(单位档案!$F$6:$F$35,MATCH($E1242,单位档案!$A$6:$A$35,0)),"")))</f>
        <v/>
      </c>
      <c r="S1242" s="36" t="n">
        <f aca="false">IF(OR($D1242&lt;&gt;"销项开票",IFERROR(INDEX(单位档案!$G$6:$G$35,MATCH($E1242,单位档案!$A$6:$A$35,0)),"")&lt;&gt;"是",N($Q1242)=0),0,IF(IFERROR(INDEX(单位档案!$H$6:$H$35,MATCH($E1242,单位档案!$A$6:$A$35,0)),"")="税差法",ROUND(N($H1242)/(1+$Q1242)*$Q1242-IF(N($R1242)=0,0,$P1242/(1+$R1242)*$R1242),2),ROUND(N($H1242)/(1+$Q1242)*$Q1242,2)))</f>
        <v>0</v>
      </c>
      <c r="T1242" s="36" t="n">
        <f aca="false">ROUND($S1242*N(IFERROR(INDEX(单位档案!$J$6:$J$35,MATCH($E1242,单位档案!$A$6:$A$35,0)),"")),2)</f>
        <v>0</v>
      </c>
      <c r="U1242" s="36" t="n">
        <f aca="false">IF($D1242&lt;&gt;"销项开票",0,ROUND(N($H1242)*N(IFERROR(INDEX(单位档案!$K$6:$K$35,MATCH($E1242,单位档案!$A$6:$A$35,0)),"")),2))</f>
        <v>0</v>
      </c>
      <c r="V1242" s="36" t="n">
        <f aca="false">IF(OR($D1242&lt;&gt;"销项开票",N($Q1242)=0),0,ROUND(N($H1242)/(1+$Q1242)*N(IFERROR(INDEX(单位档案!$L$6:$L$35,MATCH($E1242,单位档案!$A$6:$A$35,0)),"")),2))</f>
        <v>0</v>
      </c>
      <c r="W1242" s="36" t="n">
        <f aca="false">ROUND($S1242+$T1242+$U1242+$V1242,2)</f>
        <v>0</v>
      </c>
      <c r="X1242" s="35" t="str">
        <f aca="false">IF(OR($D1242="挂靠代收",$D1242="我方收款"),COUNTIFS($D$5:$D1242,"挂靠代收")+COUNTIFS($D$5:$D1242,"我方收款"),"")</f>
        <v/>
      </c>
      <c r="Y1242" s="35"/>
      <c r="Z1242" s="21" t="s">
        <v>111</v>
      </c>
    </row>
    <row r="1243" customFormat="false" ht="15.75" hidden="false" customHeight="true" outlineLevel="0" collapsed="false">
      <c r="A1243" s="32" t="str">
        <f aca="false">IF($B1243="","",ROW()-4)</f>
        <v/>
      </c>
      <c r="B1243" s="26"/>
      <c r="C1243" s="24"/>
      <c r="D1243" s="21"/>
      <c r="E1243" s="21"/>
      <c r="F1243" s="21"/>
      <c r="G1243" s="21"/>
      <c r="H1243" s="27"/>
      <c r="I1243" s="23" t="str">
        <f aca="false">IF($D1243&lt;&gt;"销项开票","",IF($N1243="一级",IF(IFERROR(INDEX(项目档案!$E$6:$E$255,MATCH($C1243,项目档案!$A$6:$A$255,0)),"")="",N(IFERROR(INDEX(单位档案!$D$6:$D$35,MATCH($E1243,单位档案!$A$6:$A$35,0)),"")),IFERROR(INDEX(项目档案!$E$6:$E$255,MATCH($C1243,项目档案!$A$6:$A$255,0)),"")),IF($N1243="二级",IF(IFERROR(INDEX(项目档案!$G$6:$G$255,MATCH($C1243,项目档案!$A$6:$A$255,0)),"")="",N(IFERROR(INDEX(单位档案!$D$6:$D$35,MATCH($E1243,单位档案!$A$6:$A$35,0)),"")),IFERROR(INDEX(项目档案!$G$6:$G$255,MATCH($C1243,项目档案!$A$6:$A$255,0)),"")),N(IFERROR(INDEX(单位档案!$D$6:$D$35,MATCH($E1243,单位档案!$A$6:$A$35,0)),"")))))</f>
        <v/>
      </c>
      <c r="J1243" s="22"/>
      <c r="K1243" s="22"/>
      <c r="L1243" s="33" t="str">
        <f aca="false">IF($B1243="","",IF(NOT(ISNUMBER($B1243)),"日期格式不对",IF($C1243="","未选项目编号",IF(LEFT($M1243,1)="⚠","项目编号不存在",IF($D1243="","未选业务类型",IF($E1243="","未选开票/付款方",IF(ISNA(MATCH($E1243,单位档案!$A$6:$A$35,0)),"开票方不在单位档案",IF($F1243="","未选收票/收款方",IF(ISNA(MATCH($F1243,单位档案!$A$6:$A$35,0)),"收款方不在单位档案",IF(NOT(ISNUMBER($H1243)),"金额须为数字",IF(AND($D1243="销项开票",$N1243="—"),"链条待确认","√")))))))))))</f>
        <v/>
      </c>
      <c r="M1243" s="34" t="str">
        <f aca="false">IF($C1243="","",IFERROR(INDEX(项目档案!$B$6:$B$255,MATCH($C1243,项目档案!$A$6:$A$255,0)),"⚠项目编号不存在"))</f>
        <v/>
      </c>
      <c r="N1243" s="35" t="str">
        <f aca="false">IF($E1243="","",IF($E1243=IFERROR(INDEX(项目档案!$D$6:$D$255,MATCH($C1243,项目档案!$A$6:$A$255,0)),""),"一级",IF($E1243=IFERROR(INDEX(项目档案!$F$6:$F$255,MATCH($C1243,项目档案!$A$6:$A$255,0)),""),"二级",IF($E1243=IFERROR(INDEX(项目档案!$H$6:$H$255,MATCH($C1243,项目档案!$A$6:$A$255,0)),""),"我方","—"))))</f>
        <v/>
      </c>
      <c r="O1243" s="36" t="n">
        <f aca="false">IF($D1243&lt;&gt;"销项开票",0,ROUND(N($H1243)*N($I1243),2))</f>
        <v>0</v>
      </c>
      <c r="P1243" s="36" t="n">
        <f aca="false">IF($D1243&lt;&gt;"销项开票",0,ROUND(N($H1243)-$O1243,2))</f>
        <v>0</v>
      </c>
      <c r="Q1243" s="37" t="str">
        <f aca="false">IF($E1243="","",N(IFERROR(INDEX(单位档案!$E$6:$E$35,MATCH($E1243,单位档案!$A$6:$A$35,0)),"")))</f>
        <v/>
      </c>
      <c r="R1243" s="37" t="str">
        <f aca="false">IF($E1243="","",N(IFERROR(INDEX(单位档案!$F$6:$F$35,MATCH($E1243,单位档案!$A$6:$A$35,0)),"")))</f>
        <v/>
      </c>
      <c r="S1243" s="36" t="n">
        <f aca="false">IF(OR($D1243&lt;&gt;"销项开票",IFERROR(INDEX(单位档案!$G$6:$G$35,MATCH($E1243,单位档案!$A$6:$A$35,0)),"")&lt;&gt;"是",N($Q1243)=0),0,IF(IFERROR(INDEX(单位档案!$H$6:$H$35,MATCH($E1243,单位档案!$A$6:$A$35,0)),"")="税差法",ROUND(N($H1243)/(1+$Q1243)*$Q1243-IF(N($R1243)=0,0,$P1243/(1+$R1243)*$R1243),2),ROUND(N($H1243)/(1+$Q1243)*$Q1243,2)))</f>
        <v>0</v>
      </c>
      <c r="T1243" s="36" t="n">
        <f aca="false">ROUND($S1243*N(IFERROR(INDEX(单位档案!$J$6:$J$35,MATCH($E1243,单位档案!$A$6:$A$35,0)),"")),2)</f>
        <v>0</v>
      </c>
      <c r="U1243" s="36" t="n">
        <f aca="false">IF($D1243&lt;&gt;"销项开票",0,ROUND(N($H1243)*N(IFERROR(INDEX(单位档案!$K$6:$K$35,MATCH($E1243,单位档案!$A$6:$A$35,0)),"")),2))</f>
        <v>0</v>
      </c>
      <c r="V1243" s="36" t="n">
        <f aca="false">IF(OR($D1243&lt;&gt;"销项开票",N($Q1243)=0),0,ROUND(N($H1243)/(1+$Q1243)*N(IFERROR(INDEX(单位档案!$L$6:$L$35,MATCH($E1243,单位档案!$A$6:$A$35,0)),"")),2))</f>
        <v>0</v>
      </c>
      <c r="W1243" s="36" t="n">
        <f aca="false">ROUND($S1243+$T1243+$U1243+$V1243,2)</f>
        <v>0</v>
      </c>
      <c r="X1243" s="35" t="str">
        <f aca="false">IF(OR($D1243="挂靠代收",$D1243="我方收款"),COUNTIFS($D$5:$D1243,"挂靠代收")+COUNTIFS($D$5:$D1243,"我方收款"),"")</f>
        <v/>
      </c>
      <c r="Y1243" s="35"/>
      <c r="Z1243" s="21" t="s">
        <v>111</v>
      </c>
    </row>
    <row r="1244" customFormat="false" ht="15.75" hidden="false" customHeight="true" outlineLevel="0" collapsed="false">
      <c r="A1244" s="32" t="str">
        <f aca="false">IF($B1244="","",ROW()-4)</f>
        <v/>
      </c>
      <c r="B1244" s="26"/>
      <c r="C1244" s="24"/>
      <c r="D1244" s="21"/>
      <c r="E1244" s="21"/>
      <c r="F1244" s="21"/>
      <c r="G1244" s="21"/>
      <c r="H1244" s="27"/>
      <c r="I1244" s="23" t="str">
        <f aca="false">IF($D1244&lt;&gt;"销项开票","",IF($N1244="一级",IF(IFERROR(INDEX(项目档案!$E$6:$E$255,MATCH($C1244,项目档案!$A$6:$A$255,0)),"")="",N(IFERROR(INDEX(单位档案!$D$6:$D$35,MATCH($E1244,单位档案!$A$6:$A$35,0)),"")),IFERROR(INDEX(项目档案!$E$6:$E$255,MATCH($C1244,项目档案!$A$6:$A$255,0)),"")),IF($N1244="二级",IF(IFERROR(INDEX(项目档案!$G$6:$G$255,MATCH($C1244,项目档案!$A$6:$A$255,0)),"")="",N(IFERROR(INDEX(单位档案!$D$6:$D$35,MATCH($E1244,单位档案!$A$6:$A$35,0)),"")),IFERROR(INDEX(项目档案!$G$6:$G$255,MATCH($C1244,项目档案!$A$6:$A$255,0)),"")),N(IFERROR(INDEX(单位档案!$D$6:$D$35,MATCH($E1244,单位档案!$A$6:$A$35,0)),"")))))</f>
        <v/>
      </c>
      <c r="J1244" s="22"/>
      <c r="K1244" s="22"/>
      <c r="L1244" s="33" t="str">
        <f aca="false">IF($B1244="","",IF(NOT(ISNUMBER($B1244)),"日期格式不对",IF($C1244="","未选项目编号",IF(LEFT($M1244,1)="⚠","项目编号不存在",IF($D1244="","未选业务类型",IF($E1244="","未选开票/付款方",IF(ISNA(MATCH($E1244,单位档案!$A$6:$A$35,0)),"开票方不在单位档案",IF($F1244="","未选收票/收款方",IF(ISNA(MATCH($F1244,单位档案!$A$6:$A$35,0)),"收款方不在单位档案",IF(NOT(ISNUMBER($H1244)),"金额须为数字",IF(AND($D1244="销项开票",$N1244="—"),"链条待确认","√")))))))))))</f>
        <v/>
      </c>
      <c r="M1244" s="34" t="str">
        <f aca="false">IF($C1244="","",IFERROR(INDEX(项目档案!$B$6:$B$255,MATCH($C1244,项目档案!$A$6:$A$255,0)),"⚠项目编号不存在"))</f>
        <v/>
      </c>
      <c r="N1244" s="35" t="str">
        <f aca="false">IF($E1244="","",IF($E1244=IFERROR(INDEX(项目档案!$D$6:$D$255,MATCH($C1244,项目档案!$A$6:$A$255,0)),""),"一级",IF($E1244=IFERROR(INDEX(项目档案!$F$6:$F$255,MATCH($C1244,项目档案!$A$6:$A$255,0)),""),"二级",IF($E1244=IFERROR(INDEX(项目档案!$H$6:$H$255,MATCH($C1244,项目档案!$A$6:$A$255,0)),""),"我方","—"))))</f>
        <v/>
      </c>
      <c r="O1244" s="36" t="n">
        <f aca="false">IF($D1244&lt;&gt;"销项开票",0,ROUND(N($H1244)*N($I1244),2))</f>
        <v>0</v>
      </c>
      <c r="P1244" s="36" t="n">
        <f aca="false">IF($D1244&lt;&gt;"销项开票",0,ROUND(N($H1244)-$O1244,2))</f>
        <v>0</v>
      </c>
      <c r="Q1244" s="37" t="str">
        <f aca="false">IF($E1244="","",N(IFERROR(INDEX(单位档案!$E$6:$E$35,MATCH($E1244,单位档案!$A$6:$A$35,0)),"")))</f>
        <v/>
      </c>
      <c r="R1244" s="37" t="str">
        <f aca="false">IF($E1244="","",N(IFERROR(INDEX(单位档案!$F$6:$F$35,MATCH($E1244,单位档案!$A$6:$A$35,0)),"")))</f>
        <v/>
      </c>
      <c r="S1244" s="36" t="n">
        <f aca="false">IF(OR($D1244&lt;&gt;"销项开票",IFERROR(INDEX(单位档案!$G$6:$G$35,MATCH($E1244,单位档案!$A$6:$A$35,0)),"")&lt;&gt;"是",N($Q1244)=0),0,IF(IFERROR(INDEX(单位档案!$H$6:$H$35,MATCH($E1244,单位档案!$A$6:$A$35,0)),"")="税差法",ROUND(N($H1244)/(1+$Q1244)*$Q1244-IF(N($R1244)=0,0,$P1244/(1+$R1244)*$R1244),2),ROUND(N($H1244)/(1+$Q1244)*$Q1244,2)))</f>
        <v>0</v>
      </c>
      <c r="T1244" s="36" t="n">
        <f aca="false">ROUND($S1244*N(IFERROR(INDEX(单位档案!$J$6:$J$35,MATCH($E1244,单位档案!$A$6:$A$35,0)),"")),2)</f>
        <v>0</v>
      </c>
      <c r="U1244" s="36" t="n">
        <f aca="false">IF($D1244&lt;&gt;"销项开票",0,ROUND(N($H1244)*N(IFERROR(INDEX(单位档案!$K$6:$K$35,MATCH($E1244,单位档案!$A$6:$A$35,0)),"")),2))</f>
        <v>0</v>
      </c>
      <c r="V1244" s="36" t="n">
        <f aca="false">IF(OR($D1244&lt;&gt;"销项开票",N($Q1244)=0),0,ROUND(N($H1244)/(1+$Q1244)*N(IFERROR(INDEX(单位档案!$L$6:$L$35,MATCH($E1244,单位档案!$A$6:$A$35,0)),"")),2))</f>
        <v>0</v>
      </c>
      <c r="W1244" s="36" t="n">
        <f aca="false">ROUND($S1244+$T1244+$U1244+$V1244,2)</f>
        <v>0</v>
      </c>
      <c r="X1244" s="35" t="str">
        <f aca="false">IF(OR($D1244="挂靠代收",$D1244="我方收款"),COUNTIFS($D$5:$D1244,"挂靠代收")+COUNTIFS($D$5:$D1244,"我方收款"),"")</f>
        <v/>
      </c>
      <c r="Y1244" s="35"/>
      <c r="Z1244" s="21" t="s">
        <v>111</v>
      </c>
    </row>
    <row r="1245" customFormat="false" ht="15.75" hidden="false" customHeight="true" outlineLevel="0" collapsed="false">
      <c r="A1245" s="32" t="str">
        <f aca="false">IF($B1245="","",ROW()-4)</f>
        <v/>
      </c>
      <c r="B1245" s="26"/>
      <c r="C1245" s="24"/>
      <c r="D1245" s="21"/>
      <c r="E1245" s="21"/>
      <c r="F1245" s="21"/>
      <c r="G1245" s="21"/>
      <c r="H1245" s="27"/>
      <c r="I1245" s="23" t="str">
        <f aca="false">IF($D1245&lt;&gt;"销项开票","",IF($N1245="一级",IF(IFERROR(INDEX(项目档案!$E$6:$E$255,MATCH($C1245,项目档案!$A$6:$A$255,0)),"")="",N(IFERROR(INDEX(单位档案!$D$6:$D$35,MATCH($E1245,单位档案!$A$6:$A$35,0)),"")),IFERROR(INDEX(项目档案!$E$6:$E$255,MATCH($C1245,项目档案!$A$6:$A$255,0)),"")),IF($N1245="二级",IF(IFERROR(INDEX(项目档案!$G$6:$G$255,MATCH($C1245,项目档案!$A$6:$A$255,0)),"")="",N(IFERROR(INDEX(单位档案!$D$6:$D$35,MATCH($E1245,单位档案!$A$6:$A$35,0)),"")),IFERROR(INDEX(项目档案!$G$6:$G$255,MATCH($C1245,项目档案!$A$6:$A$255,0)),"")),N(IFERROR(INDEX(单位档案!$D$6:$D$35,MATCH($E1245,单位档案!$A$6:$A$35,0)),"")))))</f>
        <v/>
      </c>
      <c r="J1245" s="22"/>
      <c r="K1245" s="22"/>
      <c r="L1245" s="33" t="str">
        <f aca="false">IF($B1245="","",IF(NOT(ISNUMBER($B1245)),"日期格式不对",IF($C1245="","未选项目编号",IF(LEFT($M1245,1)="⚠","项目编号不存在",IF($D1245="","未选业务类型",IF($E1245="","未选开票/付款方",IF(ISNA(MATCH($E1245,单位档案!$A$6:$A$35,0)),"开票方不在单位档案",IF($F1245="","未选收票/收款方",IF(ISNA(MATCH($F1245,单位档案!$A$6:$A$35,0)),"收款方不在单位档案",IF(NOT(ISNUMBER($H1245)),"金额须为数字",IF(AND($D1245="销项开票",$N1245="—"),"链条待确认","√")))))))))))</f>
        <v/>
      </c>
      <c r="M1245" s="34" t="str">
        <f aca="false">IF($C1245="","",IFERROR(INDEX(项目档案!$B$6:$B$255,MATCH($C1245,项目档案!$A$6:$A$255,0)),"⚠项目编号不存在"))</f>
        <v/>
      </c>
      <c r="N1245" s="35" t="str">
        <f aca="false">IF($E1245="","",IF($E1245=IFERROR(INDEX(项目档案!$D$6:$D$255,MATCH($C1245,项目档案!$A$6:$A$255,0)),""),"一级",IF($E1245=IFERROR(INDEX(项目档案!$F$6:$F$255,MATCH($C1245,项目档案!$A$6:$A$255,0)),""),"二级",IF($E1245=IFERROR(INDEX(项目档案!$H$6:$H$255,MATCH($C1245,项目档案!$A$6:$A$255,0)),""),"我方","—"))))</f>
        <v/>
      </c>
      <c r="O1245" s="36" t="n">
        <f aca="false">IF($D1245&lt;&gt;"销项开票",0,ROUND(N($H1245)*N($I1245),2))</f>
        <v>0</v>
      </c>
      <c r="P1245" s="36" t="n">
        <f aca="false">IF($D1245&lt;&gt;"销项开票",0,ROUND(N($H1245)-$O1245,2))</f>
        <v>0</v>
      </c>
      <c r="Q1245" s="37" t="str">
        <f aca="false">IF($E1245="","",N(IFERROR(INDEX(单位档案!$E$6:$E$35,MATCH($E1245,单位档案!$A$6:$A$35,0)),"")))</f>
        <v/>
      </c>
      <c r="R1245" s="37" t="str">
        <f aca="false">IF($E1245="","",N(IFERROR(INDEX(单位档案!$F$6:$F$35,MATCH($E1245,单位档案!$A$6:$A$35,0)),"")))</f>
        <v/>
      </c>
      <c r="S1245" s="36" t="n">
        <f aca="false">IF(OR($D1245&lt;&gt;"销项开票",IFERROR(INDEX(单位档案!$G$6:$G$35,MATCH($E1245,单位档案!$A$6:$A$35,0)),"")&lt;&gt;"是",N($Q1245)=0),0,IF(IFERROR(INDEX(单位档案!$H$6:$H$35,MATCH($E1245,单位档案!$A$6:$A$35,0)),"")="税差法",ROUND(N($H1245)/(1+$Q1245)*$Q1245-IF(N($R1245)=0,0,$P1245/(1+$R1245)*$R1245),2),ROUND(N($H1245)/(1+$Q1245)*$Q1245,2)))</f>
        <v>0</v>
      </c>
      <c r="T1245" s="36" t="n">
        <f aca="false">ROUND($S1245*N(IFERROR(INDEX(单位档案!$J$6:$J$35,MATCH($E1245,单位档案!$A$6:$A$35,0)),"")),2)</f>
        <v>0</v>
      </c>
      <c r="U1245" s="36" t="n">
        <f aca="false">IF($D1245&lt;&gt;"销项开票",0,ROUND(N($H1245)*N(IFERROR(INDEX(单位档案!$K$6:$K$35,MATCH($E1245,单位档案!$A$6:$A$35,0)),"")),2))</f>
        <v>0</v>
      </c>
      <c r="V1245" s="36" t="n">
        <f aca="false">IF(OR($D1245&lt;&gt;"销项开票",N($Q1245)=0),0,ROUND(N($H1245)/(1+$Q1245)*N(IFERROR(INDEX(单位档案!$L$6:$L$35,MATCH($E1245,单位档案!$A$6:$A$35,0)),"")),2))</f>
        <v>0</v>
      </c>
      <c r="W1245" s="36" t="n">
        <f aca="false">ROUND($S1245+$T1245+$U1245+$V1245,2)</f>
        <v>0</v>
      </c>
      <c r="X1245" s="35" t="str">
        <f aca="false">IF(OR($D1245="挂靠代收",$D1245="我方收款"),COUNTIFS($D$5:$D1245,"挂靠代收")+COUNTIFS($D$5:$D1245,"我方收款"),"")</f>
        <v/>
      </c>
      <c r="Y1245" s="35"/>
      <c r="Z1245" s="21" t="s">
        <v>111</v>
      </c>
    </row>
    <row r="1246" customFormat="false" ht="15.75" hidden="false" customHeight="true" outlineLevel="0" collapsed="false">
      <c r="A1246" s="32" t="str">
        <f aca="false">IF($B1246="","",ROW()-4)</f>
        <v/>
      </c>
      <c r="B1246" s="26"/>
      <c r="C1246" s="24"/>
      <c r="D1246" s="21"/>
      <c r="E1246" s="21"/>
      <c r="F1246" s="21"/>
      <c r="G1246" s="21"/>
      <c r="H1246" s="27"/>
      <c r="I1246" s="23" t="str">
        <f aca="false">IF($D1246&lt;&gt;"销项开票","",IF($N1246="一级",IF(IFERROR(INDEX(项目档案!$E$6:$E$255,MATCH($C1246,项目档案!$A$6:$A$255,0)),"")="",N(IFERROR(INDEX(单位档案!$D$6:$D$35,MATCH($E1246,单位档案!$A$6:$A$35,0)),"")),IFERROR(INDEX(项目档案!$E$6:$E$255,MATCH($C1246,项目档案!$A$6:$A$255,0)),"")),IF($N1246="二级",IF(IFERROR(INDEX(项目档案!$G$6:$G$255,MATCH($C1246,项目档案!$A$6:$A$255,0)),"")="",N(IFERROR(INDEX(单位档案!$D$6:$D$35,MATCH($E1246,单位档案!$A$6:$A$35,0)),"")),IFERROR(INDEX(项目档案!$G$6:$G$255,MATCH($C1246,项目档案!$A$6:$A$255,0)),"")),N(IFERROR(INDEX(单位档案!$D$6:$D$35,MATCH($E1246,单位档案!$A$6:$A$35,0)),"")))))</f>
        <v/>
      </c>
      <c r="J1246" s="22"/>
      <c r="K1246" s="22"/>
      <c r="L1246" s="33" t="str">
        <f aca="false">IF($B1246="","",IF(NOT(ISNUMBER($B1246)),"日期格式不对",IF($C1246="","未选项目编号",IF(LEFT($M1246,1)="⚠","项目编号不存在",IF($D1246="","未选业务类型",IF($E1246="","未选开票/付款方",IF(ISNA(MATCH($E1246,单位档案!$A$6:$A$35,0)),"开票方不在单位档案",IF($F1246="","未选收票/收款方",IF(ISNA(MATCH($F1246,单位档案!$A$6:$A$35,0)),"收款方不在单位档案",IF(NOT(ISNUMBER($H1246)),"金额须为数字",IF(AND($D1246="销项开票",$N1246="—"),"链条待确认","√")))))))))))</f>
        <v/>
      </c>
      <c r="M1246" s="34" t="str">
        <f aca="false">IF($C1246="","",IFERROR(INDEX(项目档案!$B$6:$B$255,MATCH($C1246,项目档案!$A$6:$A$255,0)),"⚠项目编号不存在"))</f>
        <v/>
      </c>
      <c r="N1246" s="35" t="str">
        <f aca="false">IF($E1246="","",IF($E1246=IFERROR(INDEX(项目档案!$D$6:$D$255,MATCH($C1246,项目档案!$A$6:$A$255,0)),""),"一级",IF($E1246=IFERROR(INDEX(项目档案!$F$6:$F$255,MATCH($C1246,项目档案!$A$6:$A$255,0)),""),"二级",IF($E1246=IFERROR(INDEX(项目档案!$H$6:$H$255,MATCH($C1246,项目档案!$A$6:$A$255,0)),""),"我方","—"))))</f>
        <v/>
      </c>
      <c r="O1246" s="36" t="n">
        <f aca="false">IF($D1246&lt;&gt;"销项开票",0,ROUND(N($H1246)*N($I1246),2))</f>
        <v>0</v>
      </c>
      <c r="P1246" s="36" t="n">
        <f aca="false">IF($D1246&lt;&gt;"销项开票",0,ROUND(N($H1246)-$O1246,2))</f>
        <v>0</v>
      </c>
      <c r="Q1246" s="37" t="str">
        <f aca="false">IF($E1246="","",N(IFERROR(INDEX(单位档案!$E$6:$E$35,MATCH($E1246,单位档案!$A$6:$A$35,0)),"")))</f>
        <v/>
      </c>
      <c r="R1246" s="37" t="str">
        <f aca="false">IF($E1246="","",N(IFERROR(INDEX(单位档案!$F$6:$F$35,MATCH($E1246,单位档案!$A$6:$A$35,0)),"")))</f>
        <v/>
      </c>
      <c r="S1246" s="36" t="n">
        <f aca="false">IF(OR($D1246&lt;&gt;"销项开票",IFERROR(INDEX(单位档案!$G$6:$G$35,MATCH($E1246,单位档案!$A$6:$A$35,0)),"")&lt;&gt;"是",N($Q1246)=0),0,IF(IFERROR(INDEX(单位档案!$H$6:$H$35,MATCH($E1246,单位档案!$A$6:$A$35,0)),"")="税差法",ROUND(N($H1246)/(1+$Q1246)*$Q1246-IF(N($R1246)=0,0,$P1246/(1+$R1246)*$R1246),2),ROUND(N($H1246)/(1+$Q1246)*$Q1246,2)))</f>
        <v>0</v>
      </c>
      <c r="T1246" s="36" t="n">
        <f aca="false">ROUND($S1246*N(IFERROR(INDEX(单位档案!$J$6:$J$35,MATCH($E1246,单位档案!$A$6:$A$35,0)),"")),2)</f>
        <v>0</v>
      </c>
      <c r="U1246" s="36" t="n">
        <f aca="false">IF($D1246&lt;&gt;"销项开票",0,ROUND(N($H1246)*N(IFERROR(INDEX(单位档案!$K$6:$K$35,MATCH($E1246,单位档案!$A$6:$A$35,0)),"")),2))</f>
        <v>0</v>
      </c>
      <c r="V1246" s="36" t="n">
        <f aca="false">IF(OR($D1246&lt;&gt;"销项开票",N($Q1246)=0),0,ROUND(N($H1246)/(1+$Q1246)*N(IFERROR(INDEX(单位档案!$L$6:$L$35,MATCH($E1246,单位档案!$A$6:$A$35,0)),"")),2))</f>
        <v>0</v>
      </c>
      <c r="W1246" s="36" t="n">
        <f aca="false">ROUND($S1246+$T1246+$U1246+$V1246,2)</f>
        <v>0</v>
      </c>
      <c r="X1246" s="35" t="str">
        <f aca="false">IF(OR($D1246="挂靠代收",$D1246="我方收款"),COUNTIFS($D$5:$D1246,"挂靠代收")+COUNTIFS($D$5:$D1246,"我方收款"),"")</f>
        <v/>
      </c>
      <c r="Y1246" s="35"/>
      <c r="Z1246" s="21" t="s">
        <v>111</v>
      </c>
    </row>
    <row r="1247" customFormat="false" ht="15.75" hidden="false" customHeight="true" outlineLevel="0" collapsed="false">
      <c r="A1247" s="32" t="str">
        <f aca="false">IF($B1247="","",ROW()-4)</f>
        <v/>
      </c>
      <c r="B1247" s="26"/>
      <c r="C1247" s="24"/>
      <c r="D1247" s="21"/>
      <c r="E1247" s="21"/>
      <c r="F1247" s="21"/>
      <c r="G1247" s="21"/>
      <c r="H1247" s="27"/>
      <c r="I1247" s="23" t="str">
        <f aca="false">IF($D1247&lt;&gt;"销项开票","",IF($N1247="一级",IF(IFERROR(INDEX(项目档案!$E$6:$E$255,MATCH($C1247,项目档案!$A$6:$A$255,0)),"")="",N(IFERROR(INDEX(单位档案!$D$6:$D$35,MATCH($E1247,单位档案!$A$6:$A$35,0)),"")),IFERROR(INDEX(项目档案!$E$6:$E$255,MATCH($C1247,项目档案!$A$6:$A$255,0)),"")),IF($N1247="二级",IF(IFERROR(INDEX(项目档案!$G$6:$G$255,MATCH($C1247,项目档案!$A$6:$A$255,0)),"")="",N(IFERROR(INDEX(单位档案!$D$6:$D$35,MATCH($E1247,单位档案!$A$6:$A$35,0)),"")),IFERROR(INDEX(项目档案!$G$6:$G$255,MATCH($C1247,项目档案!$A$6:$A$255,0)),"")),N(IFERROR(INDEX(单位档案!$D$6:$D$35,MATCH($E1247,单位档案!$A$6:$A$35,0)),"")))))</f>
        <v/>
      </c>
      <c r="J1247" s="22"/>
      <c r="K1247" s="22"/>
      <c r="L1247" s="33" t="str">
        <f aca="false">IF($B1247="","",IF(NOT(ISNUMBER($B1247)),"日期格式不对",IF($C1247="","未选项目编号",IF(LEFT($M1247,1)="⚠","项目编号不存在",IF($D1247="","未选业务类型",IF($E1247="","未选开票/付款方",IF(ISNA(MATCH($E1247,单位档案!$A$6:$A$35,0)),"开票方不在单位档案",IF($F1247="","未选收票/收款方",IF(ISNA(MATCH($F1247,单位档案!$A$6:$A$35,0)),"收款方不在单位档案",IF(NOT(ISNUMBER($H1247)),"金额须为数字",IF(AND($D1247="销项开票",$N1247="—"),"链条待确认","√")))))))))))</f>
        <v/>
      </c>
      <c r="M1247" s="34" t="str">
        <f aca="false">IF($C1247="","",IFERROR(INDEX(项目档案!$B$6:$B$255,MATCH($C1247,项目档案!$A$6:$A$255,0)),"⚠项目编号不存在"))</f>
        <v/>
      </c>
      <c r="N1247" s="35" t="str">
        <f aca="false">IF($E1247="","",IF($E1247=IFERROR(INDEX(项目档案!$D$6:$D$255,MATCH($C1247,项目档案!$A$6:$A$255,0)),""),"一级",IF($E1247=IFERROR(INDEX(项目档案!$F$6:$F$255,MATCH($C1247,项目档案!$A$6:$A$255,0)),""),"二级",IF($E1247=IFERROR(INDEX(项目档案!$H$6:$H$255,MATCH($C1247,项目档案!$A$6:$A$255,0)),""),"我方","—"))))</f>
        <v/>
      </c>
      <c r="O1247" s="36" t="n">
        <f aca="false">IF($D1247&lt;&gt;"销项开票",0,ROUND(N($H1247)*N($I1247),2))</f>
        <v>0</v>
      </c>
      <c r="P1247" s="36" t="n">
        <f aca="false">IF($D1247&lt;&gt;"销项开票",0,ROUND(N($H1247)-$O1247,2))</f>
        <v>0</v>
      </c>
      <c r="Q1247" s="37" t="str">
        <f aca="false">IF($E1247="","",N(IFERROR(INDEX(单位档案!$E$6:$E$35,MATCH($E1247,单位档案!$A$6:$A$35,0)),"")))</f>
        <v/>
      </c>
      <c r="R1247" s="37" t="str">
        <f aca="false">IF($E1247="","",N(IFERROR(INDEX(单位档案!$F$6:$F$35,MATCH($E1247,单位档案!$A$6:$A$35,0)),"")))</f>
        <v/>
      </c>
      <c r="S1247" s="36" t="n">
        <f aca="false">IF(OR($D1247&lt;&gt;"销项开票",IFERROR(INDEX(单位档案!$G$6:$G$35,MATCH($E1247,单位档案!$A$6:$A$35,0)),"")&lt;&gt;"是",N($Q1247)=0),0,IF(IFERROR(INDEX(单位档案!$H$6:$H$35,MATCH($E1247,单位档案!$A$6:$A$35,0)),"")="税差法",ROUND(N($H1247)/(1+$Q1247)*$Q1247-IF(N($R1247)=0,0,$P1247/(1+$R1247)*$R1247),2),ROUND(N($H1247)/(1+$Q1247)*$Q1247,2)))</f>
        <v>0</v>
      </c>
      <c r="T1247" s="36" t="n">
        <f aca="false">ROUND($S1247*N(IFERROR(INDEX(单位档案!$J$6:$J$35,MATCH($E1247,单位档案!$A$6:$A$35,0)),"")),2)</f>
        <v>0</v>
      </c>
      <c r="U1247" s="36" t="n">
        <f aca="false">IF($D1247&lt;&gt;"销项开票",0,ROUND(N($H1247)*N(IFERROR(INDEX(单位档案!$K$6:$K$35,MATCH($E1247,单位档案!$A$6:$A$35,0)),"")),2))</f>
        <v>0</v>
      </c>
      <c r="V1247" s="36" t="n">
        <f aca="false">IF(OR($D1247&lt;&gt;"销项开票",N($Q1247)=0),0,ROUND(N($H1247)/(1+$Q1247)*N(IFERROR(INDEX(单位档案!$L$6:$L$35,MATCH($E1247,单位档案!$A$6:$A$35,0)),"")),2))</f>
        <v>0</v>
      </c>
      <c r="W1247" s="36" t="n">
        <f aca="false">ROUND($S1247+$T1247+$U1247+$V1247,2)</f>
        <v>0</v>
      </c>
      <c r="X1247" s="35" t="str">
        <f aca="false">IF(OR($D1247="挂靠代收",$D1247="我方收款"),COUNTIFS($D$5:$D1247,"挂靠代收")+COUNTIFS($D$5:$D1247,"我方收款"),"")</f>
        <v/>
      </c>
      <c r="Y1247" s="35"/>
      <c r="Z1247" s="21" t="s">
        <v>111</v>
      </c>
    </row>
    <row r="1248" customFormat="false" ht="15.75" hidden="false" customHeight="true" outlineLevel="0" collapsed="false">
      <c r="A1248" s="32" t="str">
        <f aca="false">IF($B1248="","",ROW()-4)</f>
        <v/>
      </c>
      <c r="B1248" s="26"/>
      <c r="C1248" s="24"/>
      <c r="D1248" s="21"/>
      <c r="E1248" s="21"/>
      <c r="F1248" s="21"/>
      <c r="G1248" s="21"/>
      <c r="H1248" s="27"/>
      <c r="I1248" s="23" t="str">
        <f aca="false">IF($D1248&lt;&gt;"销项开票","",IF($N1248="一级",IF(IFERROR(INDEX(项目档案!$E$6:$E$255,MATCH($C1248,项目档案!$A$6:$A$255,0)),"")="",N(IFERROR(INDEX(单位档案!$D$6:$D$35,MATCH($E1248,单位档案!$A$6:$A$35,0)),"")),IFERROR(INDEX(项目档案!$E$6:$E$255,MATCH($C1248,项目档案!$A$6:$A$255,0)),"")),IF($N1248="二级",IF(IFERROR(INDEX(项目档案!$G$6:$G$255,MATCH($C1248,项目档案!$A$6:$A$255,0)),"")="",N(IFERROR(INDEX(单位档案!$D$6:$D$35,MATCH($E1248,单位档案!$A$6:$A$35,0)),"")),IFERROR(INDEX(项目档案!$G$6:$G$255,MATCH($C1248,项目档案!$A$6:$A$255,0)),"")),N(IFERROR(INDEX(单位档案!$D$6:$D$35,MATCH($E1248,单位档案!$A$6:$A$35,0)),"")))))</f>
        <v/>
      </c>
      <c r="J1248" s="22"/>
      <c r="K1248" s="22"/>
      <c r="L1248" s="33" t="str">
        <f aca="false">IF($B1248="","",IF(NOT(ISNUMBER($B1248)),"日期格式不对",IF($C1248="","未选项目编号",IF(LEFT($M1248,1)="⚠","项目编号不存在",IF($D1248="","未选业务类型",IF($E1248="","未选开票/付款方",IF(ISNA(MATCH($E1248,单位档案!$A$6:$A$35,0)),"开票方不在单位档案",IF($F1248="","未选收票/收款方",IF(ISNA(MATCH($F1248,单位档案!$A$6:$A$35,0)),"收款方不在单位档案",IF(NOT(ISNUMBER($H1248)),"金额须为数字",IF(AND($D1248="销项开票",$N1248="—"),"链条待确认","√")))))))))))</f>
        <v/>
      </c>
      <c r="M1248" s="34" t="str">
        <f aca="false">IF($C1248="","",IFERROR(INDEX(项目档案!$B$6:$B$255,MATCH($C1248,项目档案!$A$6:$A$255,0)),"⚠项目编号不存在"))</f>
        <v/>
      </c>
      <c r="N1248" s="35" t="str">
        <f aca="false">IF($E1248="","",IF($E1248=IFERROR(INDEX(项目档案!$D$6:$D$255,MATCH($C1248,项目档案!$A$6:$A$255,0)),""),"一级",IF($E1248=IFERROR(INDEX(项目档案!$F$6:$F$255,MATCH($C1248,项目档案!$A$6:$A$255,0)),""),"二级",IF($E1248=IFERROR(INDEX(项目档案!$H$6:$H$255,MATCH($C1248,项目档案!$A$6:$A$255,0)),""),"我方","—"))))</f>
        <v/>
      </c>
      <c r="O1248" s="36" t="n">
        <f aca="false">IF($D1248&lt;&gt;"销项开票",0,ROUND(N($H1248)*N($I1248),2))</f>
        <v>0</v>
      </c>
      <c r="P1248" s="36" t="n">
        <f aca="false">IF($D1248&lt;&gt;"销项开票",0,ROUND(N($H1248)-$O1248,2))</f>
        <v>0</v>
      </c>
      <c r="Q1248" s="37" t="str">
        <f aca="false">IF($E1248="","",N(IFERROR(INDEX(单位档案!$E$6:$E$35,MATCH($E1248,单位档案!$A$6:$A$35,0)),"")))</f>
        <v/>
      </c>
      <c r="R1248" s="37" t="str">
        <f aca="false">IF($E1248="","",N(IFERROR(INDEX(单位档案!$F$6:$F$35,MATCH($E1248,单位档案!$A$6:$A$35,0)),"")))</f>
        <v/>
      </c>
      <c r="S1248" s="36" t="n">
        <f aca="false">IF(OR($D1248&lt;&gt;"销项开票",IFERROR(INDEX(单位档案!$G$6:$G$35,MATCH($E1248,单位档案!$A$6:$A$35,0)),"")&lt;&gt;"是",N($Q1248)=0),0,IF(IFERROR(INDEX(单位档案!$H$6:$H$35,MATCH($E1248,单位档案!$A$6:$A$35,0)),"")="税差法",ROUND(N($H1248)/(1+$Q1248)*$Q1248-IF(N($R1248)=0,0,$P1248/(1+$R1248)*$R1248),2),ROUND(N($H1248)/(1+$Q1248)*$Q1248,2)))</f>
        <v>0</v>
      </c>
      <c r="T1248" s="36" t="n">
        <f aca="false">ROUND($S1248*N(IFERROR(INDEX(单位档案!$J$6:$J$35,MATCH($E1248,单位档案!$A$6:$A$35,0)),"")),2)</f>
        <v>0</v>
      </c>
      <c r="U1248" s="36" t="n">
        <f aca="false">IF($D1248&lt;&gt;"销项开票",0,ROUND(N($H1248)*N(IFERROR(INDEX(单位档案!$K$6:$K$35,MATCH($E1248,单位档案!$A$6:$A$35,0)),"")),2))</f>
        <v>0</v>
      </c>
      <c r="V1248" s="36" t="n">
        <f aca="false">IF(OR($D1248&lt;&gt;"销项开票",N($Q1248)=0),0,ROUND(N($H1248)/(1+$Q1248)*N(IFERROR(INDEX(单位档案!$L$6:$L$35,MATCH($E1248,单位档案!$A$6:$A$35,0)),"")),2))</f>
        <v>0</v>
      </c>
      <c r="W1248" s="36" t="n">
        <f aca="false">ROUND($S1248+$T1248+$U1248+$V1248,2)</f>
        <v>0</v>
      </c>
      <c r="X1248" s="35" t="str">
        <f aca="false">IF(OR($D1248="挂靠代收",$D1248="我方收款"),COUNTIFS($D$5:$D1248,"挂靠代收")+COUNTIFS($D$5:$D1248,"我方收款"),"")</f>
        <v/>
      </c>
      <c r="Y1248" s="35"/>
      <c r="Z1248" s="21" t="s">
        <v>111</v>
      </c>
    </row>
    <row r="1249" customFormat="false" ht="15.75" hidden="false" customHeight="true" outlineLevel="0" collapsed="false">
      <c r="A1249" s="32" t="str">
        <f aca="false">IF($B1249="","",ROW()-4)</f>
        <v/>
      </c>
      <c r="B1249" s="26"/>
      <c r="C1249" s="24"/>
      <c r="D1249" s="21"/>
      <c r="E1249" s="21"/>
      <c r="F1249" s="21"/>
      <c r="G1249" s="21"/>
      <c r="H1249" s="27"/>
      <c r="I1249" s="23" t="str">
        <f aca="false">IF($D1249&lt;&gt;"销项开票","",IF($N1249="一级",IF(IFERROR(INDEX(项目档案!$E$6:$E$255,MATCH($C1249,项目档案!$A$6:$A$255,0)),"")="",N(IFERROR(INDEX(单位档案!$D$6:$D$35,MATCH($E1249,单位档案!$A$6:$A$35,0)),"")),IFERROR(INDEX(项目档案!$E$6:$E$255,MATCH($C1249,项目档案!$A$6:$A$255,0)),"")),IF($N1249="二级",IF(IFERROR(INDEX(项目档案!$G$6:$G$255,MATCH($C1249,项目档案!$A$6:$A$255,0)),"")="",N(IFERROR(INDEX(单位档案!$D$6:$D$35,MATCH($E1249,单位档案!$A$6:$A$35,0)),"")),IFERROR(INDEX(项目档案!$G$6:$G$255,MATCH($C1249,项目档案!$A$6:$A$255,0)),"")),N(IFERROR(INDEX(单位档案!$D$6:$D$35,MATCH($E1249,单位档案!$A$6:$A$35,0)),"")))))</f>
        <v/>
      </c>
      <c r="J1249" s="22"/>
      <c r="K1249" s="22"/>
      <c r="L1249" s="33" t="str">
        <f aca="false">IF($B1249="","",IF(NOT(ISNUMBER($B1249)),"日期格式不对",IF($C1249="","未选项目编号",IF(LEFT($M1249,1)="⚠","项目编号不存在",IF($D1249="","未选业务类型",IF($E1249="","未选开票/付款方",IF(ISNA(MATCH($E1249,单位档案!$A$6:$A$35,0)),"开票方不在单位档案",IF($F1249="","未选收票/收款方",IF(ISNA(MATCH($F1249,单位档案!$A$6:$A$35,0)),"收款方不在单位档案",IF(NOT(ISNUMBER($H1249)),"金额须为数字",IF(AND($D1249="销项开票",$N1249="—"),"链条待确认","√")))))))))))</f>
        <v/>
      </c>
      <c r="M1249" s="34" t="str">
        <f aca="false">IF($C1249="","",IFERROR(INDEX(项目档案!$B$6:$B$255,MATCH($C1249,项目档案!$A$6:$A$255,0)),"⚠项目编号不存在"))</f>
        <v/>
      </c>
      <c r="N1249" s="35" t="str">
        <f aca="false">IF($E1249="","",IF($E1249=IFERROR(INDEX(项目档案!$D$6:$D$255,MATCH($C1249,项目档案!$A$6:$A$255,0)),""),"一级",IF($E1249=IFERROR(INDEX(项目档案!$F$6:$F$255,MATCH($C1249,项目档案!$A$6:$A$255,0)),""),"二级",IF($E1249=IFERROR(INDEX(项目档案!$H$6:$H$255,MATCH($C1249,项目档案!$A$6:$A$255,0)),""),"我方","—"))))</f>
        <v/>
      </c>
      <c r="O1249" s="36" t="n">
        <f aca="false">IF($D1249&lt;&gt;"销项开票",0,ROUND(N($H1249)*N($I1249),2))</f>
        <v>0</v>
      </c>
      <c r="P1249" s="36" t="n">
        <f aca="false">IF($D1249&lt;&gt;"销项开票",0,ROUND(N($H1249)-$O1249,2))</f>
        <v>0</v>
      </c>
      <c r="Q1249" s="37" t="str">
        <f aca="false">IF($E1249="","",N(IFERROR(INDEX(单位档案!$E$6:$E$35,MATCH($E1249,单位档案!$A$6:$A$35,0)),"")))</f>
        <v/>
      </c>
      <c r="R1249" s="37" t="str">
        <f aca="false">IF($E1249="","",N(IFERROR(INDEX(单位档案!$F$6:$F$35,MATCH($E1249,单位档案!$A$6:$A$35,0)),"")))</f>
        <v/>
      </c>
      <c r="S1249" s="36" t="n">
        <f aca="false">IF(OR($D1249&lt;&gt;"销项开票",IFERROR(INDEX(单位档案!$G$6:$G$35,MATCH($E1249,单位档案!$A$6:$A$35,0)),"")&lt;&gt;"是",N($Q1249)=0),0,IF(IFERROR(INDEX(单位档案!$H$6:$H$35,MATCH($E1249,单位档案!$A$6:$A$35,0)),"")="税差法",ROUND(N($H1249)/(1+$Q1249)*$Q1249-IF(N($R1249)=0,0,$P1249/(1+$R1249)*$R1249),2),ROUND(N($H1249)/(1+$Q1249)*$Q1249,2)))</f>
        <v>0</v>
      </c>
      <c r="T1249" s="36" t="n">
        <f aca="false">ROUND($S1249*N(IFERROR(INDEX(单位档案!$J$6:$J$35,MATCH($E1249,单位档案!$A$6:$A$35,0)),"")),2)</f>
        <v>0</v>
      </c>
      <c r="U1249" s="36" t="n">
        <f aca="false">IF($D1249&lt;&gt;"销项开票",0,ROUND(N($H1249)*N(IFERROR(INDEX(单位档案!$K$6:$K$35,MATCH($E1249,单位档案!$A$6:$A$35,0)),"")),2))</f>
        <v>0</v>
      </c>
      <c r="V1249" s="36" t="n">
        <f aca="false">IF(OR($D1249&lt;&gt;"销项开票",N($Q1249)=0),0,ROUND(N($H1249)/(1+$Q1249)*N(IFERROR(INDEX(单位档案!$L$6:$L$35,MATCH($E1249,单位档案!$A$6:$A$35,0)),"")),2))</f>
        <v>0</v>
      </c>
      <c r="W1249" s="36" t="n">
        <f aca="false">ROUND($S1249+$T1249+$U1249+$V1249,2)</f>
        <v>0</v>
      </c>
      <c r="X1249" s="35" t="str">
        <f aca="false">IF(OR($D1249="挂靠代收",$D1249="我方收款"),COUNTIFS($D$5:$D1249,"挂靠代收")+COUNTIFS($D$5:$D1249,"我方收款"),"")</f>
        <v/>
      </c>
      <c r="Y1249" s="35"/>
      <c r="Z1249" s="21" t="s">
        <v>111</v>
      </c>
    </row>
    <row r="1250" customFormat="false" ht="15.75" hidden="false" customHeight="true" outlineLevel="0" collapsed="false">
      <c r="A1250" s="32" t="str">
        <f aca="false">IF($B1250="","",ROW()-4)</f>
        <v/>
      </c>
      <c r="B1250" s="26"/>
      <c r="C1250" s="24"/>
      <c r="D1250" s="21"/>
      <c r="E1250" s="21"/>
      <c r="F1250" s="21"/>
      <c r="G1250" s="21"/>
      <c r="H1250" s="27"/>
      <c r="I1250" s="23" t="str">
        <f aca="false">IF($D1250&lt;&gt;"销项开票","",IF($N1250="一级",IF(IFERROR(INDEX(项目档案!$E$6:$E$255,MATCH($C1250,项目档案!$A$6:$A$255,0)),"")="",N(IFERROR(INDEX(单位档案!$D$6:$D$35,MATCH($E1250,单位档案!$A$6:$A$35,0)),"")),IFERROR(INDEX(项目档案!$E$6:$E$255,MATCH($C1250,项目档案!$A$6:$A$255,0)),"")),IF($N1250="二级",IF(IFERROR(INDEX(项目档案!$G$6:$G$255,MATCH($C1250,项目档案!$A$6:$A$255,0)),"")="",N(IFERROR(INDEX(单位档案!$D$6:$D$35,MATCH($E1250,单位档案!$A$6:$A$35,0)),"")),IFERROR(INDEX(项目档案!$G$6:$G$255,MATCH($C1250,项目档案!$A$6:$A$255,0)),"")),N(IFERROR(INDEX(单位档案!$D$6:$D$35,MATCH($E1250,单位档案!$A$6:$A$35,0)),"")))))</f>
        <v/>
      </c>
      <c r="J1250" s="22"/>
      <c r="K1250" s="22"/>
      <c r="L1250" s="33" t="str">
        <f aca="false">IF($B1250="","",IF(NOT(ISNUMBER($B1250)),"日期格式不对",IF($C1250="","未选项目编号",IF(LEFT($M1250,1)="⚠","项目编号不存在",IF($D1250="","未选业务类型",IF($E1250="","未选开票/付款方",IF(ISNA(MATCH($E1250,单位档案!$A$6:$A$35,0)),"开票方不在单位档案",IF($F1250="","未选收票/收款方",IF(ISNA(MATCH($F1250,单位档案!$A$6:$A$35,0)),"收款方不在单位档案",IF(NOT(ISNUMBER($H1250)),"金额须为数字",IF(AND($D1250="销项开票",$N1250="—"),"链条待确认","√")))))))))))</f>
        <v/>
      </c>
      <c r="M1250" s="34" t="str">
        <f aca="false">IF($C1250="","",IFERROR(INDEX(项目档案!$B$6:$B$255,MATCH($C1250,项目档案!$A$6:$A$255,0)),"⚠项目编号不存在"))</f>
        <v/>
      </c>
      <c r="N1250" s="35" t="str">
        <f aca="false">IF($E1250="","",IF($E1250=IFERROR(INDEX(项目档案!$D$6:$D$255,MATCH($C1250,项目档案!$A$6:$A$255,0)),""),"一级",IF($E1250=IFERROR(INDEX(项目档案!$F$6:$F$255,MATCH($C1250,项目档案!$A$6:$A$255,0)),""),"二级",IF($E1250=IFERROR(INDEX(项目档案!$H$6:$H$255,MATCH($C1250,项目档案!$A$6:$A$255,0)),""),"我方","—"))))</f>
        <v/>
      </c>
      <c r="O1250" s="36" t="n">
        <f aca="false">IF($D1250&lt;&gt;"销项开票",0,ROUND(N($H1250)*N($I1250),2))</f>
        <v>0</v>
      </c>
      <c r="P1250" s="36" t="n">
        <f aca="false">IF($D1250&lt;&gt;"销项开票",0,ROUND(N($H1250)-$O1250,2))</f>
        <v>0</v>
      </c>
      <c r="Q1250" s="37" t="str">
        <f aca="false">IF($E1250="","",N(IFERROR(INDEX(单位档案!$E$6:$E$35,MATCH($E1250,单位档案!$A$6:$A$35,0)),"")))</f>
        <v/>
      </c>
      <c r="R1250" s="37" t="str">
        <f aca="false">IF($E1250="","",N(IFERROR(INDEX(单位档案!$F$6:$F$35,MATCH($E1250,单位档案!$A$6:$A$35,0)),"")))</f>
        <v/>
      </c>
      <c r="S1250" s="36" t="n">
        <f aca="false">IF(OR($D1250&lt;&gt;"销项开票",IFERROR(INDEX(单位档案!$G$6:$G$35,MATCH($E1250,单位档案!$A$6:$A$35,0)),"")&lt;&gt;"是",N($Q1250)=0),0,IF(IFERROR(INDEX(单位档案!$H$6:$H$35,MATCH($E1250,单位档案!$A$6:$A$35,0)),"")="税差法",ROUND(N($H1250)/(1+$Q1250)*$Q1250-IF(N($R1250)=0,0,$P1250/(1+$R1250)*$R1250),2),ROUND(N($H1250)/(1+$Q1250)*$Q1250,2)))</f>
        <v>0</v>
      </c>
      <c r="T1250" s="36" t="n">
        <f aca="false">ROUND($S1250*N(IFERROR(INDEX(单位档案!$J$6:$J$35,MATCH($E1250,单位档案!$A$6:$A$35,0)),"")),2)</f>
        <v>0</v>
      </c>
      <c r="U1250" s="36" t="n">
        <f aca="false">IF($D1250&lt;&gt;"销项开票",0,ROUND(N($H1250)*N(IFERROR(INDEX(单位档案!$K$6:$K$35,MATCH($E1250,单位档案!$A$6:$A$35,0)),"")),2))</f>
        <v>0</v>
      </c>
      <c r="V1250" s="36" t="n">
        <f aca="false">IF(OR($D1250&lt;&gt;"销项开票",N($Q1250)=0),0,ROUND(N($H1250)/(1+$Q1250)*N(IFERROR(INDEX(单位档案!$L$6:$L$35,MATCH($E1250,单位档案!$A$6:$A$35,0)),"")),2))</f>
        <v>0</v>
      </c>
      <c r="W1250" s="36" t="n">
        <f aca="false">ROUND($S1250+$T1250+$U1250+$V1250,2)</f>
        <v>0</v>
      </c>
      <c r="X1250" s="35" t="str">
        <f aca="false">IF(OR($D1250="挂靠代收",$D1250="我方收款"),COUNTIFS($D$5:$D1250,"挂靠代收")+COUNTIFS($D$5:$D1250,"我方收款"),"")</f>
        <v/>
      </c>
      <c r="Y1250" s="35"/>
      <c r="Z1250" s="21" t="s">
        <v>111</v>
      </c>
    </row>
    <row r="1251" customFormat="false" ht="15.75" hidden="false" customHeight="true" outlineLevel="0" collapsed="false">
      <c r="A1251" s="32" t="str">
        <f aca="false">IF($B1251="","",ROW()-4)</f>
        <v/>
      </c>
      <c r="B1251" s="26"/>
      <c r="C1251" s="24"/>
      <c r="D1251" s="21"/>
      <c r="E1251" s="21"/>
      <c r="F1251" s="21"/>
      <c r="G1251" s="21"/>
      <c r="H1251" s="27"/>
      <c r="I1251" s="23" t="str">
        <f aca="false">IF($D1251&lt;&gt;"销项开票","",IF($N1251="一级",IF(IFERROR(INDEX(项目档案!$E$6:$E$255,MATCH($C1251,项目档案!$A$6:$A$255,0)),"")="",N(IFERROR(INDEX(单位档案!$D$6:$D$35,MATCH($E1251,单位档案!$A$6:$A$35,0)),"")),IFERROR(INDEX(项目档案!$E$6:$E$255,MATCH($C1251,项目档案!$A$6:$A$255,0)),"")),IF($N1251="二级",IF(IFERROR(INDEX(项目档案!$G$6:$G$255,MATCH($C1251,项目档案!$A$6:$A$255,0)),"")="",N(IFERROR(INDEX(单位档案!$D$6:$D$35,MATCH($E1251,单位档案!$A$6:$A$35,0)),"")),IFERROR(INDEX(项目档案!$G$6:$G$255,MATCH($C1251,项目档案!$A$6:$A$255,0)),"")),N(IFERROR(INDEX(单位档案!$D$6:$D$35,MATCH($E1251,单位档案!$A$6:$A$35,0)),"")))))</f>
        <v/>
      </c>
      <c r="J1251" s="22"/>
      <c r="K1251" s="22"/>
      <c r="L1251" s="33" t="str">
        <f aca="false">IF($B1251="","",IF(NOT(ISNUMBER($B1251)),"日期格式不对",IF($C1251="","未选项目编号",IF(LEFT($M1251,1)="⚠","项目编号不存在",IF($D1251="","未选业务类型",IF($E1251="","未选开票/付款方",IF(ISNA(MATCH($E1251,单位档案!$A$6:$A$35,0)),"开票方不在单位档案",IF($F1251="","未选收票/收款方",IF(ISNA(MATCH($F1251,单位档案!$A$6:$A$35,0)),"收款方不在单位档案",IF(NOT(ISNUMBER($H1251)),"金额须为数字",IF(AND($D1251="销项开票",$N1251="—"),"链条待确认","√")))))))))))</f>
        <v/>
      </c>
      <c r="M1251" s="34" t="str">
        <f aca="false">IF($C1251="","",IFERROR(INDEX(项目档案!$B$6:$B$255,MATCH($C1251,项目档案!$A$6:$A$255,0)),"⚠项目编号不存在"))</f>
        <v/>
      </c>
      <c r="N1251" s="35" t="str">
        <f aca="false">IF($E1251="","",IF($E1251=IFERROR(INDEX(项目档案!$D$6:$D$255,MATCH($C1251,项目档案!$A$6:$A$255,0)),""),"一级",IF($E1251=IFERROR(INDEX(项目档案!$F$6:$F$255,MATCH($C1251,项目档案!$A$6:$A$255,0)),""),"二级",IF($E1251=IFERROR(INDEX(项目档案!$H$6:$H$255,MATCH($C1251,项目档案!$A$6:$A$255,0)),""),"我方","—"))))</f>
        <v/>
      </c>
      <c r="O1251" s="36" t="n">
        <f aca="false">IF($D1251&lt;&gt;"销项开票",0,ROUND(N($H1251)*N($I1251),2))</f>
        <v>0</v>
      </c>
      <c r="P1251" s="36" t="n">
        <f aca="false">IF($D1251&lt;&gt;"销项开票",0,ROUND(N($H1251)-$O1251,2))</f>
        <v>0</v>
      </c>
      <c r="Q1251" s="37" t="str">
        <f aca="false">IF($E1251="","",N(IFERROR(INDEX(单位档案!$E$6:$E$35,MATCH($E1251,单位档案!$A$6:$A$35,0)),"")))</f>
        <v/>
      </c>
      <c r="R1251" s="37" t="str">
        <f aca="false">IF($E1251="","",N(IFERROR(INDEX(单位档案!$F$6:$F$35,MATCH($E1251,单位档案!$A$6:$A$35,0)),"")))</f>
        <v/>
      </c>
      <c r="S1251" s="36" t="n">
        <f aca="false">IF(OR($D1251&lt;&gt;"销项开票",IFERROR(INDEX(单位档案!$G$6:$G$35,MATCH($E1251,单位档案!$A$6:$A$35,0)),"")&lt;&gt;"是",N($Q1251)=0),0,IF(IFERROR(INDEX(单位档案!$H$6:$H$35,MATCH($E1251,单位档案!$A$6:$A$35,0)),"")="税差法",ROUND(N($H1251)/(1+$Q1251)*$Q1251-IF(N($R1251)=0,0,$P1251/(1+$R1251)*$R1251),2),ROUND(N($H1251)/(1+$Q1251)*$Q1251,2)))</f>
        <v>0</v>
      </c>
      <c r="T1251" s="36" t="n">
        <f aca="false">ROUND($S1251*N(IFERROR(INDEX(单位档案!$J$6:$J$35,MATCH($E1251,单位档案!$A$6:$A$35,0)),"")),2)</f>
        <v>0</v>
      </c>
      <c r="U1251" s="36" t="n">
        <f aca="false">IF($D1251&lt;&gt;"销项开票",0,ROUND(N($H1251)*N(IFERROR(INDEX(单位档案!$K$6:$K$35,MATCH($E1251,单位档案!$A$6:$A$35,0)),"")),2))</f>
        <v>0</v>
      </c>
      <c r="V1251" s="36" t="n">
        <f aca="false">IF(OR($D1251&lt;&gt;"销项开票",N($Q1251)=0),0,ROUND(N($H1251)/(1+$Q1251)*N(IFERROR(INDEX(单位档案!$L$6:$L$35,MATCH($E1251,单位档案!$A$6:$A$35,0)),"")),2))</f>
        <v>0</v>
      </c>
      <c r="W1251" s="36" t="n">
        <f aca="false">ROUND($S1251+$T1251+$U1251+$V1251,2)</f>
        <v>0</v>
      </c>
      <c r="X1251" s="35" t="str">
        <f aca="false">IF(OR($D1251="挂靠代收",$D1251="我方收款"),COUNTIFS($D$5:$D1251,"挂靠代收")+COUNTIFS($D$5:$D1251,"我方收款"),"")</f>
        <v/>
      </c>
      <c r="Y1251" s="35"/>
      <c r="Z1251" s="21" t="s">
        <v>111</v>
      </c>
    </row>
    <row r="1252" customFormat="false" ht="15.75" hidden="false" customHeight="true" outlineLevel="0" collapsed="false">
      <c r="A1252" s="32" t="str">
        <f aca="false">IF($B1252="","",ROW()-4)</f>
        <v/>
      </c>
      <c r="B1252" s="26"/>
      <c r="C1252" s="24"/>
      <c r="D1252" s="21"/>
      <c r="E1252" s="21"/>
      <c r="F1252" s="21"/>
      <c r="G1252" s="21"/>
      <c r="H1252" s="27"/>
      <c r="I1252" s="23" t="str">
        <f aca="false">IF($D1252&lt;&gt;"销项开票","",IF($N1252="一级",IF(IFERROR(INDEX(项目档案!$E$6:$E$255,MATCH($C1252,项目档案!$A$6:$A$255,0)),"")="",N(IFERROR(INDEX(单位档案!$D$6:$D$35,MATCH($E1252,单位档案!$A$6:$A$35,0)),"")),IFERROR(INDEX(项目档案!$E$6:$E$255,MATCH($C1252,项目档案!$A$6:$A$255,0)),"")),IF($N1252="二级",IF(IFERROR(INDEX(项目档案!$G$6:$G$255,MATCH($C1252,项目档案!$A$6:$A$255,0)),"")="",N(IFERROR(INDEX(单位档案!$D$6:$D$35,MATCH($E1252,单位档案!$A$6:$A$35,0)),"")),IFERROR(INDEX(项目档案!$G$6:$G$255,MATCH($C1252,项目档案!$A$6:$A$255,0)),"")),N(IFERROR(INDEX(单位档案!$D$6:$D$35,MATCH($E1252,单位档案!$A$6:$A$35,0)),"")))))</f>
        <v/>
      </c>
      <c r="J1252" s="22"/>
      <c r="K1252" s="22"/>
      <c r="L1252" s="33" t="str">
        <f aca="false">IF($B1252="","",IF(NOT(ISNUMBER($B1252)),"日期格式不对",IF($C1252="","未选项目编号",IF(LEFT($M1252,1)="⚠","项目编号不存在",IF($D1252="","未选业务类型",IF($E1252="","未选开票/付款方",IF(ISNA(MATCH($E1252,单位档案!$A$6:$A$35,0)),"开票方不在单位档案",IF($F1252="","未选收票/收款方",IF(ISNA(MATCH($F1252,单位档案!$A$6:$A$35,0)),"收款方不在单位档案",IF(NOT(ISNUMBER($H1252)),"金额须为数字",IF(AND($D1252="销项开票",$N1252="—"),"链条待确认","√")))))))))))</f>
        <v/>
      </c>
      <c r="M1252" s="34" t="str">
        <f aca="false">IF($C1252="","",IFERROR(INDEX(项目档案!$B$6:$B$255,MATCH($C1252,项目档案!$A$6:$A$255,0)),"⚠项目编号不存在"))</f>
        <v/>
      </c>
      <c r="N1252" s="35" t="str">
        <f aca="false">IF($E1252="","",IF($E1252=IFERROR(INDEX(项目档案!$D$6:$D$255,MATCH($C1252,项目档案!$A$6:$A$255,0)),""),"一级",IF($E1252=IFERROR(INDEX(项目档案!$F$6:$F$255,MATCH($C1252,项目档案!$A$6:$A$255,0)),""),"二级",IF($E1252=IFERROR(INDEX(项目档案!$H$6:$H$255,MATCH($C1252,项目档案!$A$6:$A$255,0)),""),"我方","—"))))</f>
        <v/>
      </c>
      <c r="O1252" s="36" t="n">
        <f aca="false">IF($D1252&lt;&gt;"销项开票",0,ROUND(N($H1252)*N($I1252),2))</f>
        <v>0</v>
      </c>
      <c r="P1252" s="36" t="n">
        <f aca="false">IF($D1252&lt;&gt;"销项开票",0,ROUND(N($H1252)-$O1252,2))</f>
        <v>0</v>
      </c>
      <c r="Q1252" s="37" t="str">
        <f aca="false">IF($E1252="","",N(IFERROR(INDEX(单位档案!$E$6:$E$35,MATCH($E1252,单位档案!$A$6:$A$35,0)),"")))</f>
        <v/>
      </c>
      <c r="R1252" s="37" t="str">
        <f aca="false">IF($E1252="","",N(IFERROR(INDEX(单位档案!$F$6:$F$35,MATCH($E1252,单位档案!$A$6:$A$35,0)),"")))</f>
        <v/>
      </c>
      <c r="S1252" s="36" t="n">
        <f aca="false">IF(OR($D1252&lt;&gt;"销项开票",IFERROR(INDEX(单位档案!$G$6:$G$35,MATCH($E1252,单位档案!$A$6:$A$35,0)),"")&lt;&gt;"是",N($Q1252)=0),0,IF(IFERROR(INDEX(单位档案!$H$6:$H$35,MATCH($E1252,单位档案!$A$6:$A$35,0)),"")="税差法",ROUND(N($H1252)/(1+$Q1252)*$Q1252-IF(N($R1252)=0,0,$P1252/(1+$R1252)*$R1252),2),ROUND(N($H1252)/(1+$Q1252)*$Q1252,2)))</f>
        <v>0</v>
      </c>
      <c r="T1252" s="36" t="n">
        <f aca="false">ROUND($S1252*N(IFERROR(INDEX(单位档案!$J$6:$J$35,MATCH($E1252,单位档案!$A$6:$A$35,0)),"")),2)</f>
        <v>0</v>
      </c>
      <c r="U1252" s="36" t="n">
        <f aca="false">IF($D1252&lt;&gt;"销项开票",0,ROUND(N($H1252)*N(IFERROR(INDEX(单位档案!$K$6:$K$35,MATCH($E1252,单位档案!$A$6:$A$35,0)),"")),2))</f>
        <v>0</v>
      </c>
      <c r="V1252" s="36" t="n">
        <f aca="false">IF(OR($D1252&lt;&gt;"销项开票",N($Q1252)=0),0,ROUND(N($H1252)/(1+$Q1252)*N(IFERROR(INDEX(单位档案!$L$6:$L$35,MATCH($E1252,单位档案!$A$6:$A$35,0)),"")),2))</f>
        <v>0</v>
      </c>
      <c r="W1252" s="36" t="n">
        <f aca="false">ROUND($S1252+$T1252+$U1252+$V1252,2)</f>
        <v>0</v>
      </c>
      <c r="X1252" s="35" t="str">
        <f aca="false">IF(OR($D1252="挂靠代收",$D1252="我方收款"),COUNTIFS($D$5:$D1252,"挂靠代收")+COUNTIFS($D$5:$D1252,"我方收款"),"")</f>
        <v/>
      </c>
      <c r="Y1252" s="35"/>
      <c r="Z1252" s="21" t="s">
        <v>111</v>
      </c>
    </row>
    <row r="1253" customFormat="false" ht="15.75" hidden="false" customHeight="true" outlineLevel="0" collapsed="false">
      <c r="A1253" s="32" t="str">
        <f aca="false">IF($B1253="","",ROW()-4)</f>
        <v/>
      </c>
      <c r="B1253" s="26"/>
      <c r="C1253" s="24"/>
      <c r="D1253" s="21"/>
      <c r="E1253" s="21"/>
      <c r="F1253" s="21"/>
      <c r="G1253" s="21"/>
      <c r="H1253" s="27"/>
      <c r="I1253" s="23" t="str">
        <f aca="false">IF($D1253&lt;&gt;"销项开票","",IF($N1253="一级",IF(IFERROR(INDEX(项目档案!$E$6:$E$255,MATCH($C1253,项目档案!$A$6:$A$255,0)),"")="",N(IFERROR(INDEX(单位档案!$D$6:$D$35,MATCH($E1253,单位档案!$A$6:$A$35,0)),"")),IFERROR(INDEX(项目档案!$E$6:$E$255,MATCH($C1253,项目档案!$A$6:$A$255,0)),"")),IF($N1253="二级",IF(IFERROR(INDEX(项目档案!$G$6:$G$255,MATCH($C1253,项目档案!$A$6:$A$255,0)),"")="",N(IFERROR(INDEX(单位档案!$D$6:$D$35,MATCH($E1253,单位档案!$A$6:$A$35,0)),"")),IFERROR(INDEX(项目档案!$G$6:$G$255,MATCH($C1253,项目档案!$A$6:$A$255,0)),"")),N(IFERROR(INDEX(单位档案!$D$6:$D$35,MATCH($E1253,单位档案!$A$6:$A$35,0)),"")))))</f>
        <v/>
      </c>
      <c r="J1253" s="22"/>
      <c r="K1253" s="22"/>
      <c r="L1253" s="33" t="str">
        <f aca="false">IF($B1253="","",IF(NOT(ISNUMBER($B1253)),"日期格式不对",IF($C1253="","未选项目编号",IF(LEFT($M1253,1)="⚠","项目编号不存在",IF($D1253="","未选业务类型",IF($E1253="","未选开票/付款方",IF(ISNA(MATCH($E1253,单位档案!$A$6:$A$35,0)),"开票方不在单位档案",IF($F1253="","未选收票/收款方",IF(ISNA(MATCH($F1253,单位档案!$A$6:$A$35,0)),"收款方不在单位档案",IF(NOT(ISNUMBER($H1253)),"金额须为数字",IF(AND($D1253="销项开票",$N1253="—"),"链条待确认","√")))))))))))</f>
        <v/>
      </c>
      <c r="M1253" s="34" t="str">
        <f aca="false">IF($C1253="","",IFERROR(INDEX(项目档案!$B$6:$B$255,MATCH($C1253,项目档案!$A$6:$A$255,0)),"⚠项目编号不存在"))</f>
        <v/>
      </c>
      <c r="N1253" s="35" t="str">
        <f aca="false">IF($E1253="","",IF($E1253=IFERROR(INDEX(项目档案!$D$6:$D$255,MATCH($C1253,项目档案!$A$6:$A$255,0)),""),"一级",IF($E1253=IFERROR(INDEX(项目档案!$F$6:$F$255,MATCH($C1253,项目档案!$A$6:$A$255,0)),""),"二级",IF($E1253=IFERROR(INDEX(项目档案!$H$6:$H$255,MATCH($C1253,项目档案!$A$6:$A$255,0)),""),"我方","—"))))</f>
        <v/>
      </c>
      <c r="O1253" s="36" t="n">
        <f aca="false">IF($D1253&lt;&gt;"销项开票",0,ROUND(N($H1253)*N($I1253),2))</f>
        <v>0</v>
      </c>
      <c r="P1253" s="36" t="n">
        <f aca="false">IF($D1253&lt;&gt;"销项开票",0,ROUND(N($H1253)-$O1253,2))</f>
        <v>0</v>
      </c>
      <c r="Q1253" s="37" t="str">
        <f aca="false">IF($E1253="","",N(IFERROR(INDEX(单位档案!$E$6:$E$35,MATCH($E1253,单位档案!$A$6:$A$35,0)),"")))</f>
        <v/>
      </c>
      <c r="R1253" s="37" t="str">
        <f aca="false">IF($E1253="","",N(IFERROR(INDEX(单位档案!$F$6:$F$35,MATCH($E1253,单位档案!$A$6:$A$35,0)),"")))</f>
        <v/>
      </c>
      <c r="S1253" s="36" t="n">
        <f aca="false">IF(OR($D1253&lt;&gt;"销项开票",IFERROR(INDEX(单位档案!$G$6:$G$35,MATCH($E1253,单位档案!$A$6:$A$35,0)),"")&lt;&gt;"是",N($Q1253)=0),0,IF(IFERROR(INDEX(单位档案!$H$6:$H$35,MATCH($E1253,单位档案!$A$6:$A$35,0)),"")="税差法",ROUND(N($H1253)/(1+$Q1253)*$Q1253-IF(N($R1253)=0,0,$P1253/(1+$R1253)*$R1253),2),ROUND(N($H1253)/(1+$Q1253)*$Q1253,2)))</f>
        <v>0</v>
      </c>
      <c r="T1253" s="36" t="n">
        <f aca="false">ROUND($S1253*N(IFERROR(INDEX(单位档案!$J$6:$J$35,MATCH($E1253,单位档案!$A$6:$A$35,0)),"")),2)</f>
        <v>0</v>
      </c>
      <c r="U1253" s="36" t="n">
        <f aca="false">IF($D1253&lt;&gt;"销项开票",0,ROUND(N($H1253)*N(IFERROR(INDEX(单位档案!$K$6:$K$35,MATCH($E1253,单位档案!$A$6:$A$35,0)),"")),2))</f>
        <v>0</v>
      </c>
      <c r="V1253" s="36" t="n">
        <f aca="false">IF(OR($D1253&lt;&gt;"销项开票",N($Q1253)=0),0,ROUND(N($H1253)/(1+$Q1253)*N(IFERROR(INDEX(单位档案!$L$6:$L$35,MATCH($E1253,单位档案!$A$6:$A$35,0)),"")),2))</f>
        <v>0</v>
      </c>
      <c r="W1253" s="36" t="n">
        <f aca="false">ROUND($S1253+$T1253+$U1253+$V1253,2)</f>
        <v>0</v>
      </c>
      <c r="X1253" s="35" t="str">
        <f aca="false">IF(OR($D1253="挂靠代收",$D1253="我方收款"),COUNTIFS($D$5:$D1253,"挂靠代收")+COUNTIFS($D$5:$D1253,"我方收款"),"")</f>
        <v/>
      </c>
      <c r="Y1253" s="35"/>
      <c r="Z1253" s="21" t="s">
        <v>111</v>
      </c>
    </row>
    <row r="1254" customFormat="false" ht="15.75" hidden="false" customHeight="true" outlineLevel="0" collapsed="false">
      <c r="A1254" s="32" t="str">
        <f aca="false">IF($B1254="","",ROW()-4)</f>
        <v/>
      </c>
      <c r="B1254" s="26"/>
      <c r="C1254" s="24"/>
      <c r="D1254" s="21"/>
      <c r="E1254" s="21"/>
      <c r="F1254" s="21"/>
      <c r="G1254" s="21"/>
      <c r="H1254" s="27"/>
      <c r="I1254" s="23" t="str">
        <f aca="false">IF($D1254&lt;&gt;"销项开票","",IF($N1254="一级",IF(IFERROR(INDEX(项目档案!$E$6:$E$255,MATCH($C1254,项目档案!$A$6:$A$255,0)),"")="",N(IFERROR(INDEX(单位档案!$D$6:$D$35,MATCH($E1254,单位档案!$A$6:$A$35,0)),"")),IFERROR(INDEX(项目档案!$E$6:$E$255,MATCH($C1254,项目档案!$A$6:$A$255,0)),"")),IF($N1254="二级",IF(IFERROR(INDEX(项目档案!$G$6:$G$255,MATCH($C1254,项目档案!$A$6:$A$255,0)),"")="",N(IFERROR(INDEX(单位档案!$D$6:$D$35,MATCH($E1254,单位档案!$A$6:$A$35,0)),"")),IFERROR(INDEX(项目档案!$G$6:$G$255,MATCH($C1254,项目档案!$A$6:$A$255,0)),"")),N(IFERROR(INDEX(单位档案!$D$6:$D$35,MATCH($E1254,单位档案!$A$6:$A$35,0)),"")))))</f>
        <v/>
      </c>
      <c r="J1254" s="22"/>
      <c r="K1254" s="22"/>
      <c r="L1254" s="33" t="str">
        <f aca="false">IF($B1254="","",IF(NOT(ISNUMBER($B1254)),"日期格式不对",IF($C1254="","未选项目编号",IF(LEFT($M1254,1)="⚠","项目编号不存在",IF($D1254="","未选业务类型",IF($E1254="","未选开票/付款方",IF(ISNA(MATCH($E1254,单位档案!$A$6:$A$35,0)),"开票方不在单位档案",IF($F1254="","未选收票/收款方",IF(ISNA(MATCH($F1254,单位档案!$A$6:$A$35,0)),"收款方不在单位档案",IF(NOT(ISNUMBER($H1254)),"金额须为数字",IF(AND($D1254="销项开票",$N1254="—"),"链条待确认","√")))))))))))</f>
        <v/>
      </c>
      <c r="M1254" s="34" t="str">
        <f aca="false">IF($C1254="","",IFERROR(INDEX(项目档案!$B$6:$B$255,MATCH($C1254,项目档案!$A$6:$A$255,0)),"⚠项目编号不存在"))</f>
        <v/>
      </c>
      <c r="N1254" s="35" t="str">
        <f aca="false">IF($E1254="","",IF($E1254=IFERROR(INDEX(项目档案!$D$6:$D$255,MATCH($C1254,项目档案!$A$6:$A$255,0)),""),"一级",IF($E1254=IFERROR(INDEX(项目档案!$F$6:$F$255,MATCH($C1254,项目档案!$A$6:$A$255,0)),""),"二级",IF($E1254=IFERROR(INDEX(项目档案!$H$6:$H$255,MATCH($C1254,项目档案!$A$6:$A$255,0)),""),"我方","—"))))</f>
        <v/>
      </c>
      <c r="O1254" s="36" t="n">
        <f aca="false">IF($D1254&lt;&gt;"销项开票",0,ROUND(N($H1254)*N($I1254),2))</f>
        <v>0</v>
      </c>
      <c r="P1254" s="36" t="n">
        <f aca="false">IF($D1254&lt;&gt;"销项开票",0,ROUND(N($H1254)-$O1254,2))</f>
        <v>0</v>
      </c>
      <c r="Q1254" s="37" t="str">
        <f aca="false">IF($E1254="","",N(IFERROR(INDEX(单位档案!$E$6:$E$35,MATCH($E1254,单位档案!$A$6:$A$35,0)),"")))</f>
        <v/>
      </c>
      <c r="R1254" s="37" t="str">
        <f aca="false">IF($E1254="","",N(IFERROR(INDEX(单位档案!$F$6:$F$35,MATCH($E1254,单位档案!$A$6:$A$35,0)),"")))</f>
        <v/>
      </c>
      <c r="S1254" s="36" t="n">
        <f aca="false">IF(OR($D1254&lt;&gt;"销项开票",IFERROR(INDEX(单位档案!$G$6:$G$35,MATCH($E1254,单位档案!$A$6:$A$35,0)),"")&lt;&gt;"是",N($Q1254)=0),0,IF(IFERROR(INDEX(单位档案!$H$6:$H$35,MATCH($E1254,单位档案!$A$6:$A$35,0)),"")="税差法",ROUND(N($H1254)/(1+$Q1254)*$Q1254-IF(N($R1254)=0,0,$P1254/(1+$R1254)*$R1254),2),ROUND(N($H1254)/(1+$Q1254)*$Q1254,2)))</f>
        <v>0</v>
      </c>
      <c r="T1254" s="36" t="n">
        <f aca="false">ROUND($S1254*N(IFERROR(INDEX(单位档案!$J$6:$J$35,MATCH($E1254,单位档案!$A$6:$A$35,0)),"")),2)</f>
        <v>0</v>
      </c>
      <c r="U1254" s="36" t="n">
        <f aca="false">IF($D1254&lt;&gt;"销项开票",0,ROUND(N($H1254)*N(IFERROR(INDEX(单位档案!$K$6:$K$35,MATCH($E1254,单位档案!$A$6:$A$35,0)),"")),2))</f>
        <v>0</v>
      </c>
      <c r="V1254" s="36" t="n">
        <f aca="false">IF(OR($D1254&lt;&gt;"销项开票",N($Q1254)=0),0,ROUND(N($H1254)/(1+$Q1254)*N(IFERROR(INDEX(单位档案!$L$6:$L$35,MATCH($E1254,单位档案!$A$6:$A$35,0)),"")),2))</f>
        <v>0</v>
      </c>
      <c r="W1254" s="36" t="n">
        <f aca="false">ROUND($S1254+$T1254+$U1254+$V1254,2)</f>
        <v>0</v>
      </c>
      <c r="X1254" s="35" t="str">
        <f aca="false">IF(OR($D1254="挂靠代收",$D1254="我方收款"),COUNTIFS($D$5:$D1254,"挂靠代收")+COUNTIFS($D$5:$D1254,"我方收款"),"")</f>
        <v/>
      </c>
      <c r="Y1254" s="35"/>
      <c r="Z1254" s="21" t="s">
        <v>111</v>
      </c>
    </row>
    <row r="1255" customFormat="false" ht="15.75" hidden="false" customHeight="true" outlineLevel="0" collapsed="false">
      <c r="A1255" s="32" t="str">
        <f aca="false">IF($B1255="","",ROW()-4)</f>
        <v/>
      </c>
      <c r="B1255" s="26"/>
      <c r="C1255" s="24"/>
      <c r="D1255" s="21"/>
      <c r="E1255" s="21"/>
      <c r="F1255" s="21"/>
      <c r="G1255" s="21"/>
      <c r="H1255" s="27"/>
      <c r="I1255" s="23" t="str">
        <f aca="false">IF($D1255&lt;&gt;"销项开票","",IF($N1255="一级",IF(IFERROR(INDEX(项目档案!$E$6:$E$255,MATCH($C1255,项目档案!$A$6:$A$255,0)),"")="",N(IFERROR(INDEX(单位档案!$D$6:$D$35,MATCH($E1255,单位档案!$A$6:$A$35,0)),"")),IFERROR(INDEX(项目档案!$E$6:$E$255,MATCH($C1255,项目档案!$A$6:$A$255,0)),"")),IF($N1255="二级",IF(IFERROR(INDEX(项目档案!$G$6:$G$255,MATCH($C1255,项目档案!$A$6:$A$255,0)),"")="",N(IFERROR(INDEX(单位档案!$D$6:$D$35,MATCH($E1255,单位档案!$A$6:$A$35,0)),"")),IFERROR(INDEX(项目档案!$G$6:$G$255,MATCH($C1255,项目档案!$A$6:$A$255,0)),"")),N(IFERROR(INDEX(单位档案!$D$6:$D$35,MATCH($E1255,单位档案!$A$6:$A$35,0)),"")))))</f>
        <v/>
      </c>
      <c r="J1255" s="22"/>
      <c r="K1255" s="22"/>
      <c r="L1255" s="33" t="str">
        <f aca="false">IF($B1255="","",IF(NOT(ISNUMBER($B1255)),"日期格式不对",IF($C1255="","未选项目编号",IF(LEFT($M1255,1)="⚠","项目编号不存在",IF($D1255="","未选业务类型",IF($E1255="","未选开票/付款方",IF(ISNA(MATCH($E1255,单位档案!$A$6:$A$35,0)),"开票方不在单位档案",IF($F1255="","未选收票/收款方",IF(ISNA(MATCH($F1255,单位档案!$A$6:$A$35,0)),"收款方不在单位档案",IF(NOT(ISNUMBER($H1255)),"金额须为数字",IF(AND($D1255="销项开票",$N1255="—"),"链条待确认","√")))))))))))</f>
        <v/>
      </c>
      <c r="M1255" s="34" t="str">
        <f aca="false">IF($C1255="","",IFERROR(INDEX(项目档案!$B$6:$B$255,MATCH($C1255,项目档案!$A$6:$A$255,0)),"⚠项目编号不存在"))</f>
        <v/>
      </c>
      <c r="N1255" s="35" t="str">
        <f aca="false">IF($E1255="","",IF($E1255=IFERROR(INDEX(项目档案!$D$6:$D$255,MATCH($C1255,项目档案!$A$6:$A$255,0)),""),"一级",IF($E1255=IFERROR(INDEX(项目档案!$F$6:$F$255,MATCH($C1255,项目档案!$A$6:$A$255,0)),""),"二级",IF($E1255=IFERROR(INDEX(项目档案!$H$6:$H$255,MATCH($C1255,项目档案!$A$6:$A$255,0)),""),"我方","—"))))</f>
        <v/>
      </c>
      <c r="O1255" s="36" t="n">
        <f aca="false">IF($D1255&lt;&gt;"销项开票",0,ROUND(N($H1255)*N($I1255),2))</f>
        <v>0</v>
      </c>
      <c r="P1255" s="36" t="n">
        <f aca="false">IF($D1255&lt;&gt;"销项开票",0,ROUND(N($H1255)-$O1255,2))</f>
        <v>0</v>
      </c>
      <c r="Q1255" s="37" t="str">
        <f aca="false">IF($E1255="","",N(IFERROR(INDEX(单位档案!$E$6:$E$35,MATCH($E1255,单位档案!$A$6:$A$35,0)),"")))</f>
        <v/>
      </c>
      <c r="R1255" s="37" t="str">
        <f aca="false">IF($E1255="","",N(IFERROR(INDEX(单位档案!$F$6:$F$35,MATCH($E1255,单位档案!$A$6:$A$35,0)),"")))</f>
        <v/>
      </c>
      <c r="S1255" s="36" t="n">
        <f aca="false">IF(OR($D1255&lt;&gt;"销项开票",IFERROR(INDEX(单位档案!$G$6:$G$35,MATCH($E1255,单位档案!$A$6:$A$35,0)),"")&lt;&gt;"是",N($Q1255)=0),0,IF(IFERROR(INDEX(单位档案!$H$6:$H$35,MATCH($E1255,单位档案!$A$6:$A$35,0)),"")="税差法",ROUND(N($H1255)/(1+$Q1255)*$Q1255-IF(N($R1255)=0,0,$P1255/(1+$R1255)*$R1255),2),ROUND(N($H1255)/(1+$Q1255)*$Q1255,2)))</f>
        <v>0</v>
      </c>
      <c r="T1255" s="36" t="n">
        <f aca="false">ROUND($S1255*N(IFERROR(INDEX(单位档案!$J$6:$J$35,MATCH($E1255,单位档案!$A$6:$A$35,0)),"")),2)</f>
        <v>0</v>
      </c>
      <c r="U1255" s="36" t="n">
        <f aca="false">IF($D1255&lt;&gt;"销项开票",0,ROUND(N($H1255)*N(IFERROR(INDEX(单位档案!$K$6:$K$35,MATCH($E1255,单位档案!$A$6:$A$35,0)),"")),2))</f>
        <v>0</v>
      </c>
      <c r="V1255" s="36" t="n">
        <f aca="false">IF(OR($D1255&lt;&gt;"销项开票",N($Q1255)=0),0,ROUND(N($H1255)/(1+$Q1255)*N(IFERROR(INDEX(单位档案!$L$6:$L$35,MATCH($E1255,单位档案!$A$6:$A$35,0)),"")),2))</f>
        <v>0</v>
      </c>
      <c r="W1255" s="36" t="n">
        <f aca="false">ROUND($S1255+$T1255+$U1255+$V1255,2)</f>
        <v>0</v>
      </c>
      <c r="X1255" s="35" t="str">
        <f aca="false">IF(OR($D1255="挂靠代收",$D1255="我方收款"),COUNTIFS($D$5:$D1255,"挂靠代收")+COUNTIFS($D$5:$D1255,"我方收款"),"")</f>
        <v/>
      </c>
      <c r="Y1255" s="35"/>
      <c r="Z1255" s="21" t="s">
        <v>111</v>
      </c>
    </row>
    <row r="1256" customFormat="false" ht="15.75" hidden="false" customHeight="true" outlineLevel="0" collapsed="false">
      <c r="A1256" s="32" t="str">
        <f aca="false">IF($B1256="","",ROW()-4)</f>
        <v/>
      </c>
      <c r="B1256" s="26"/>
      <c r="C1256" s="24"/>
      <c r="D1256" s="21"/>
      <c r="E1256" s="21"/>
      <c r="F1256" s="21"/>
      <c r="G1256" s="21"/>
      <c r="H1256" s="27"/>
      <c r="I1256" s="23" t="str">
        <f aca="false">IF($D1256&lt;&gt;"销项开票","",IF($N1256="一级",IF(IFERROR(INDEX(项目档案!$E$6:$E$255,MATCH($C1256,项目档案!$A$6:$A$255,0)),"")="",N(IFERROR(INDEX(单位档案!$D$6:$D$35,MATCH($E1256,单位档案!$A$6:$A$35,0)),"")),IFERROR(INDEX(项目档案!$E$6:$E$255,MATCH($C1256,项目档案!$A$6:$A$255,0)),"")),IF($N1256="二级",IF(IFERROR(INDEX(项目档案!$G$6:$G$255,MATCH($C1256,项目档案!$A$6:$A$255,0)),"")="",N(IFERROR(INDEX(单位档案!$D$6:$D$35,MATCH($E1256,单位档案!$A$6:$A$35,0)),"")),IFERROR(INDEX(项目档案!$G$6:$G$255,MATCH($C1256,项目档案!$A$6:$A$255,0)),"")),N(IFERROR(INDEX(单位档案!$D$6:$D$35,MATCH($E1256,单位档案!$A$6:$A$35,0)),"")))))</f>
        <v/>
      </c>
      <c r="J1256" s="22"/>
      <c r="K1256" s="22"/>
      <c r="L1256" s="33" t="str">
        <f aca="false">IF($B1256="","",IF(NOT(ISNUMBER($B1256)),"日期格式不对",IF($C1256="","未选项目编号",IF(LEFT($M1256,1)="⚠","项目编号不存在",IF($D1256="","未选业务类型",IF($E1256="","未选开票/付款方",IF(ISNA(MATCH($E1256,单位档案!$A$6:$A$35,0)),"开票方不在单位档案",IF($F1256="","未选收票/收款方",IF(ISNA(MATCH($F1256,单位档案!$A$6:$A$35,0)),"收款方不在单位档案",IF(NOT(ISNUMBER($H1256)),"金额须为数字",IF(AND($D1256="销项开票",$N1256="—"),"链条待确认","√")))))))))))</f>
        <v/>
      </c>
      <c r="M1256" s="34" t="str">
        <f aca="false">IF($C1256="","",IFERROR(INDEX(项目档案!$B$6:$B$255,MATCH($C1256,项目档案!$A$6:$A$255,0)),"⚠项目编号不存在"))</f>
        <v/>
      </c>
      <c r="N1256" s="35" t="str">
        <f aca="false">IF($E1256="","",IF($E1256=IFERROR(INDEX(项目档案!$D$6:$D$255,MATCH($C1256,项目档案!$A$6:$A$255,0)),""),"一级",IF($E1256=IFERROR(INDEX(项目档案!$F$6:$F$255,MATCH($C1256,项目档案!$A$6:$A$255,0)),""),"二级",IF($E1256=IFERROR(INDEX(项目档案!$H$6:$H$255,MATCH($C1256,项目档案!$A$6:$A$255,0)),""),"我方","—"))))</f>
        <v/>
      </c>
      <c r="O1256" s="36" t="n">
        <f aca="false">IF($D1256&lt;&gt;"销项开票",0,ROUND(N($H1256)*N($I1256),2))</f>
        <v>0</v>
      </c>
      <c r="P1256" s="36" t="n">
        <f aca="false">IF($D1256&lt;&gt;"销项开票",0,ROUND(N($H1256)-$O1256,2))</f>
        <v>0</v>
      </c>
      <c r="Q1256" s="37" t="str">
        <f aca="false">IF($E1256="","",N(IFERROR(INDEX(单位档案!$E$6:$E$35,MATCH($E1256,单位档案!$A$6:$A$35,0)),"")))</f>
        <v/>
      </c>
      <c r="R1256" s="37" t="str">
        <f aca="false">IF($E1256="","",N(IFERROR(INDEX(单位档案!$F$6:$F$35,MATCH($E1256,单位档案!$A$6:$A$35,0)),"")))</f>
        <v/>
      </c>
      <c r="S1256" s="36" t="n">
        <f aca="false">IF(OR($D1256&lt;&gt;"销项开票",IFERROR(INDEX(单位档案!$G$6:$G$35,MATCH($E1256,单位档案!$A$6:$A$35,0)),"")&lt;&gt;"是",N($Q1256)=0),0,IF(IFERROR(INDEX(单位档案!$H$6:$H$35,MATCH($E1256,单位档案!$A$6:$A$35,0)),"")="税差法",ROUND(N($H1256)/(1+$Q1256)*$Q1256-IF(N($R1256)=0,0,$P1256/(1+$R1256)*$R1256),2),ROUND(N($H1256)/(1+$Q1256)*$Q1256,2)))</f>
        <v>0</v>
      </c>
      <c r="T1256" s="36" t="n">
        <f aca="false">ROUND($S1256*N(IFERROR(INDEX(单位档案!$J$6:$J$35,MATCH($E1256,单位档案!$A$6:$A$35,0)),"")),2)</f>
        <v>0</v>
      </c>
      <c r="U1256" s="36" t="n">
        <f aca="false">IF($D1256&lt;&gt;"销项开票",0,ROUND(N($H1256)*N(IFERROR(INDEX(单位档案!$K$6:$K$35,MATCH($E1256,单位档案!$A$6:$A$35,0)),"")),2))</f>
        <v>0</v>
      </c>
      <c r="V1256" s="36" t="n">
        <f aca="false">IF(OR($D1256&lt;&gt;"销项开票",N($Q1256)=0),0,ROUND(N($H1256)/(1+$Q1256)*N(IFERROR(INDEX(单位档案!$L$6:$L$35,MATCH($E1256,单位档案!$A$6:$A$35,0)),"")),2))</f>
        <v>0</v>
      </c>
      <c r="W1256" s="36" t="n">
        <f aca="false">ROUND($S1256+$T1256+$U1256+$V1256,2)</f>
        <v>0</v>
      </c>
      <c r="X1256" s="35" t="str">
        <f aca="false">IF(OR($D1256="挂靠代收",$D1256="我方收款"),COUNTIFS($D$5:$D1256,"挂靠代收")+COUNTIFS($D$5:$D1256,"我方收款"),"")</f>
        <v/>
      </c>
      <c r="Y1256" s="35"/>
      <c r="Z1256" s="21" t="s">
        <v>111</v>
      </c>
    </row>
    <row r="1257" customFormat="false" ht="15.75" hidden="false" customHeight="true" outlineLevel="0" collapsed="false">
      <c r="A1257" s="32" t="str">
        <f aca="false">IF($B1257="","",ROW()-4)</f>
        <v/>
      </c>
      <c r="B1257" s="26"/>
      <c r="C1257" s="24"/>
      <c r="D1257" s="21"/>
      <c r="E1257" s="21"/>
      <c r="F1257" s="21"/>
      <c r="G1257" s="21"/>
      <c r="H1257" s="27"/>
      <c r="I1257" s="23" t="str">
        <f aca="false">IF($D1257&lt;&gt;"销项开票","",IF($N1257="一级",IF(IFERROR(INDEX(项目档案!$E$6:$E$255,MATCH($C1257,项目档案!$A$6:$A$255,0)),"")="",N(IFERROR(INDEX(单位档案!$D$6:$D$35,MATCH($E1257,单位档案!$A$6:$A$35,0)),"")),IFERROR(INDEX(项目档案!$E$6:$E$255,MATCH($C1257,项目档案!$A$6:$A$255,0)),"")),IF($N1257="二级",IF(IFERROR(INDEX(项目档案!$G$6:$G$255,MATCH($C1257,项目档案!$A$6:$A$255,0)),"")="",N(IFERROR(INDEX(单位档案!$D$6:$D$35,MATCH($E1257,单位档案!$A$6:$A$35,0)),"")),IFERROR(INDEX(项目档案!$G$6:$G$255,MATCH($C1257,项目档案!$A$6:$A$255,0)),"")),N(IFERROR(INDEX(单位档案!$D$6:$D$35,MATCH($E1257,单位档案!$A$6:$A$35,0)),"")))))</f>
        <v/>
      </c>
      <c r="J1257" s="22"/>
      <c r="K1257" s="22"/>
      <c r="L1257" s="33" t="str">
        <f aca="false">IF($B1257="","",IF(NOT(ISNUMBER($B1257)),"日期格式不对",IF($C1257="","未选项目编号",IF(LEFT($M1257,1)="⚠","项目编号不存在",IF($D1257="","未选业务类型",IF($E1257="","未选开票/付款方",IF(ISNA(MATCH($E1257,单位档案!$A$6:$A$35,0)),"开票方不在单位档案",IF($F1257="","未选收票/收款方",IF(ISNA(MATCH($F1257,单位档案!$A$6:$A$35,0)),"收款方不在单位档案",IF(NOT(ISNUMBER($H1257)),"金额须为数字",IF(AND($D1257="销项开票",$N1257="—"),"链条待确认","√")))))))))))</f>
        <v/>
      </c>
      <c r="M1257" s="34" t="str">
        <f aca="false">IF($C1257="","",IFERROR(INDEX(项目档案!$B$6:$B$255,MATCH($C1257,项目档案!$A$6:$A$255,0)),"⚠项目编号不存在"))</f>
        <v/>
      </c>
      <c r="N1257" s="35" t="str">
        <f aca="false">IF($E1257="","",IF($E1257=IFERROR(INDEX(项目档案!$D$6:$D$255,MATCH($C1257,项目档案!$A$6:$A$255,0)),""),"一级",IF($E1257=IFERROR(INDEX(项目档案!$F$6:$F$255,MATCH($C1257,项目档案!$A$6:$A$255,0)),""),"二级",IF($E1257=IFERROR(INDEX(项目档案!$H$6:$H$255,MATCH($C1257,项目档案!$A$6:$A$255,0)),""),"我方","—"))))</f>
        <v/>
      </c>
      <c r="O1257" s="36" t="n">
        <f aca="false">IF($D1257&lt;&gt;"销项开票",0,ROUND(N($H1257)*N($I1257),2))</f>
        <v>0</v>
      </c>
      <c r="P1257" s="36" t="n">
        <f aca="false">IF($D1257&lt;&gt;"销项开票",0,ROUND(N($H1257)-$O1257,2))</f>
        <v>0</v>
      </c>
      <c r="Q1257" s="37" t="str">
        <f aca="false">IF($E1257="","",N(IFERROR(INDEX(单位档案!$E$6:$E$35,MATCH($E1257,单位档案!$A$6:$A$35,0)),"")))</f>
        <v/>
      </c>
      <c r="R1257" s="37" t="str">
        <f aca="false">IF($E1257="","",N(IFERROR(INDEX(单位档案!$F$6:$F$35,MATCH($E1257,单位档案!$A$6:$A$35,0)),"")))</f>
        <v/>
      </c>
      <c r="S1257" s="36" t="n">
        <f aca="false">IF(OR($D1257&lt;&gt;"销项开票",IFERROR(INDEX(单位档案!$G$6:$G$35,MATCH($E1257,单位档案!$A$6:$A$35,0)),"")&lt;&gt;"是",N($Q1257)=0),0,IF(IFERROR(INDEX(单位档案!$H$6:$H$35,MATCH($E1257,单位档案!$A$6:$A$35,0)),"")="税差法",ROUND(N($H1257)/(1+$Q1257)*$Q1257-IF(N($R1257)=0,0,$P1257/(1+$R1257)*$R1257),2),ROUND(N($H1257)/(1+$Q1257)*$Q1257,2)))</f>
        <v>0</v>
      </c>
      <c r="T1257" s="36" t="n">
        <f aca="false">ROUND($S1257*N(IFERROR(INDEX(单位档案!$J$6:$J$35,MATCH($E1257,单位档案!$A$6:$A$35,0)),"")),2)</f>
        <v>0</v>
      </c>
      <c r="U1257" s="36" t="n">
        <f aca="false">IF($D1257&lt;&gt;"销项开票",0,ROUND(N($H1257)*N(IFERROR(INDEX(单位档案!$K$6:$K$35,MATCH($E1257,单位档案!$A$6:$A$35,0)),"")),2))</f>
        <v>0</v>
      </c>
      <c r="V1257" s="36" t="n">
        <f aca="false">IF(OR($D1257&lt;&gt;"销项开票",N($Q1257)=0),0,ROUND(N($H1257)/(1+$Q1257)*N(IFERROR(INDEX(单位档案!$L$6:$L$35,MATCH($E1257,单位档案!$A$6:$A$35,0)),"")),2))</f>
        <v>0</v>
      </c>
      <c r="W1257" s="36" t="n">
        <f aca="false">ROUND($S1257+$T1257+$U1257+$V1257,2)</f>
        <v>0</v>
      </c>
      <c r="X1257" s="35" t="str">
        <f aca="false">IF(OR($D1257="挂靠代收",$D1257="我方收款"),COUNTIFS($D$5:$D1257,"挂靠代收")+COUNTIFS($D$5:$D1257,"我方收款"),"")</f>
        <v/>
      </c>
      <c r="Y1257" s="35"/>
      <c r="Z1257" s="21" t="s">
        <v>111</v>
      </c>
    </row>
    <row r="1258" customFormat="false" ht="15.75" hidden="false" customHeight="true" outlineLevel="0" collapsed="false">
      <c r="A1258" s="32" t="str">
        <f aca="false">IF($B1258="","",ROW()-4)</f>
        <v/>
      </c>
      <c r="B1258" s="26"/>
      <c r="C1258" s="24"/>
      <c r="D1258" s="21"/>
      <c r="E1258" s="21"/>
      <c r="F1258" s="21"/>
      <c r="G1258" s="21"/>
      <c r="H1258" s="27"/>
      <c r="I1258" s="23" t="str">
        <f aca="false">IF($D1258&lt;&gt;"销项开票","",IF($N1258="一级",IF(IFERROR(INDEX(项目档案!$E$6:$E$255,MATCH($C1258,项目档案!$A$6:$A$255,0)),"")="",N(IFERROR(INDEX(单位档案!$D$6:$D$35,MATCH($E1258,单位档案!$A$6:$A$35,0)),"")),IFERROR(INDEX(项目档案!$E$6:$E$255,MATCH($C1258,项目档案!$A$6:$A$255,0)),"")),IF($N1258="二级",IF(IFERROR(INDEX(项目档案!$G$6:$G$255,MATCH($C1258,项目档案!$A$6:$A$255,0)),"")="",N(IFERROR(INDEX(单位档案!$D$6:$D$35,MATCH($E1258,单位档案!$A$6:$A$35,0)),"")),IFERROR(INDEX(项目档案!$G$6:$G$255,MATCH($C1258,项目档案!$A$6:$A$255,0)),"")),N(IFERROR(INDEX(单位档案!$D$6:$D$35,MATCH($E1258,单位档案!$A$6:$A$35,0)),"")))))</f>
        <v/>
      </c>
      <c r="J1258" s="22"/>
      <c r="K1258" s="22"/>
      <c r="L1258" s="33" t="str">
        <f aca="false">IF($B1258="","",IF(NOT(ISNUMBER($B1258)),"日期格式不对",IF($C1258="","未选项目编号",IF(LEFT($M1258,1)="⚠","项目编号不存在",IF($D1258="","未选业务类型",IF($E1258="","未选开票/付款方",IF(ISNA(MATCH($E1258,单位档案!$A$6:$A$35,0)),"开票方不在单位档案",IF($F1258="","未选收票/收款方",IF(ISNA(MATCH($F1258,单位档案!$A$6:$A$35,0)),"收款方不在单位档案",IF(NOT(ISNUMBER($H1258)),"金额须为数字",IF(AND($D1258="销项开票",$N1258="—"),"链条待确认","√")))))))))))</f>
        <v/>
      </c>
      <c r="M1258" s="34" t="str">
        <f aca="false">IF($C1258="","",IFERROR(INDEX(项目档案!$B$6:$B$255,MATCH($C1258,项目档案!$A$6:$A$255,0)),"⚠项目编号不存在"))</f>
        <v/>
      </c>
      <c r="N1258" s="35" t="str">
        <f aca="false">IF($E1258="","",IF($E1258=IFERROR(INDEX(项目档案!$D$6:$D$255,MATCH($C1258,项目档案!$A$6:$A$255,0)),""),"一级",IF($E1258=IFERROR(INDEX(项目档案!$F$6:$F$255,MATCH($C1258,项目档案!$A$6:$A$255,0)),""),"二级",IF($E1258=IFERROR(INDEX(项目档案!$H$6:$H$255,MATCH($C1258,项目档案!$A$6:$A$255,0)),""),"我方","—"))))</f>
        <v/>
      </c>
      <c r="O1258" s="36" t="n">
        <f aca="false">IF($D1258&lt;&gt;"销项开票",0,ROUND(N($H1258)*N($I1258),2))</f>
        <v>0</v>
      </c>
      <c r="P1258" s="36" t="n">
        <f aca="false">IF($D1258&lt;&gt;"销项开票",0,ROUND(N($H1258)-$O1258,2))</f>
        <v>0</v>
      </c>
      <c r="Q1258" s="37" t="str">
        <f aca="false">IF($E1258="","",N(IFERROR(INDEX(单位档案!$E$6:$E$35,MATCH($E1258,单位档案!$A$6:$A$35,0)),"")))</f>
        <v/>
      </c>
      <c r="R1258" s="37" t="str">
        <f aca="false">IF($E1258="","",N(IFERROR(INDEX(单位档案!$F$6:$F$35,MATCH($E1258,单位档案!$A$6:$A$35,0)),"")))</f>
        <v/>
      </c>
      <c r="S1258" s="36" t="n">
        <f aca="false">IF(OR($D1258&lt;&gt;"销项开票",IFERROR(INDEX(单位档案!$G$6:$G$35,MATCH($E1258,单位档案!$A$6:$A$35,0)),"")&lt;&gt;"是",N($Q1258)=0),0,IF(IFERROR(INDEX(单位档案!$H$6:$H$35,MATCH($E1258,单位档案!$A$6:$A$35,0)),"")="税差法",ROUND(N($H1258)/(1+$Q1258)*$Q1258-IF(N($R1258)=0,0,$P1258/(1+$R1258)*$R1258),2),ROUND(N($H1258)/(1+$Q1258)*$Q1258,2)))</f>
        <v>0</v>
      </c>
      <c r="T1258" s="36" t="n">
        <f aca="false">ROUND($S1258*N(IFERROR(INDEX(单位档案!$J$6:$J$35,MATCH($E1258,单位档案!$A$6:$A$35,0)),"")),2)</f>
        <v>0</v>
      </c>
      <c r="U1258" s="36" t="n">
        <f aca="false">IF($D1258&lt;&gt;"销项开票",0,ROUND(N($H1258)*N(IFERROR(INDEX(单位档案!$K$6:$K$35,MATCH($E1258,单位档案!$A$6:$A$35,0)),"")),2))</f>
        <v>0</v>
      </c>
      <c r="V1258" s="36" t="n">
        <f aca="false">IF(OR($D1258&lt;&gt;"销项开票",N($Q1258)=0),0,ROUND(N($H1258)/(1+$Q1258)*N(IFERROR(INDEX(单位档案!$L$6:$L$35,MATCH($E1258,单位档案!$A$6:$A$35,0)),"")),2))</f>
        <v>0</v>
      </c>
      <c r="W1258" s="36" t="n">
        <f aca="false">ROUND($S1258+$T1258+$U1258+$V1258,2)</f>
        <v>0</v>
      </c>
      <c r="X1258" s="35" t="str">
        <f aca="false">IF(OR($D1258="挂靠代收",$D1258="我方收款"),COUNTIFS($D$5:$D1258,"挂靠代收")+COUNTIFS($D$5:$D1258,"我方收款"),"")</f>
        <v/>
      </c>
      <c r="Y1258" s="35"/>
      <c r="Z1258" s="21" t="s">
        <v>111</v>
      </c>
    </row>
    <row r="1259" customFormat="false" ht="15.75" hidden="false" customHeight="true" outlineLevel="0" collapsed="false">
      <c r="A1259" s="32" t="str">
        <f aca="false">IF($B1259="","",ROW()-4)</f>
        <v/>
      </c>
      <c r="B1259" s="26"/>
      <c r="C1259" s="24"/>
      <c r="D1259" s="21"/>
      <c r="E1259" s="21"/>
      <c r="F1259" s="21"/>
      <c r="G1259" s="21"/>
      <c r="H1259" s="27"/>
      <c r="I1259" s="23" t="str">
        <f aca="false">IF($D1259&lt;&gt;"销项开票","",IF($N1259="一级",IF(IFERROR(INDEX(项目档案!$E$6:$E$255,MATCH($C1259,项目档案!$A$6:$A$255,0)),"")="",N(IFERROR(INDEX(单位档案!$D$6:$D$35,MATCH($E1259,单位档案!$A$6:$A$35,0)),"")),IFERROR(INDEX(项目档案!$E$6:$E$255,MATCH($C1259,项目档案!$A$6:$A$255,0)),"")),IF($N1259="二级",IF(IFERROR(INDEX(项目档案!$G$6:$G$255,MATCH($C1259,项目档案!$A$6:$A$255,0)),"")="",N(IFERROR(INDEX(单位档案!$D$6:$D$35,MATCH($E1259,单位档案!$A$6:$A$35,0)),"")),IFERROR(INDEX(项目档案!$G$6:$G$255,MATCH($C1259,项目档案!$A$6:$A$255,0)),"")),N(IFERROR(INDEX(单位档案!$D$6:$D$35,MATCH($E1259,单位档案!$A$6:$A$35,0)),"")))))</f>
        <v/>
      </c>
      <c r="J1259" s="22"/>
      <c r="K1259" s="22"/>
      <c r="L1259" s="33" t="str">
        <f aca="false">IF($B1259="","",IF(NOT(ISNUMBER($B1259)),"日期格式不对",IF($C1259="","未选项目编号",IF(LEFT($M1259,1)="⚠","项目编号不存在",IF($D1259="","未选业务类型",IF($E1259="","未选开票/付款方",IF(ISNA(MATCH($E1259,单位档案!$A$6:$A$35,0)),"开票方不在单位档案",IF($F1259="","未选收票/收款方",IF(ISNA(MATCH($F1259,单位档案!$A$6:$A$35,0)),"收款方不在单位档案",IF(NOT(ISNUMBER($H1259)),"金额须为数字",IF(AND($D1259="销项开票",$N1259="—"),"链条待确认","√")))))))))))</f>
        <v/>
      </c>
      <c r="M1259" s="34" t="str">
        <f aca="false">IF($C1259="","",IFERROR(INDEX(项目档案!$B$6:$B$255,MATCH($C1259,项目档案!$A$6:$A$255,0)),"⚠项目编号不存在"))</f>
        <v/>
      </c>
      <c r="N1259" s="35" t="str">
        <f aca="false">IF($E1259="","",IF($E1259=IFERROR(INDEX(项目档案!$D$6:$D$255,MATCH($C1259,项目档案!$A$6:$A$255,0)),""),"一级",IF($E1259=IFERROR(INDEX(项目档案!$F$6:$F$255,MATCH($C1259,项目档案!$A$6:$A$255,0)),""),"二级",IF($E1259=IFERROR(INDEX(项目档案!$H$6:$H$255,MATCH($C1259,项目档案!$A$6:$A$255,0)),""),"我方","—"))))</f>
        <v/>
      </c>
      <c r="O1259" s="36" t="n">
        <f aca="false">IF($D1259&lt;&gt;"销项开票",0,ROUND(N($H1259)*N($I1259),2))</f>
        <v>0</v>
      </c>
      <c r="P1259" s="36" t="n">
        <f aca="false">IF($D1259&lt;&gt;"销项开票",0,ROUND(N($H1259)-$O1259,2))</f>
        <v>0</v>
      </c>
      <c r="Q1259" s="37" t="str">
        <f aca="false">IF($E1259="","",N(IFERROR(INDEX(单位档案!$E$6:$E$35,MATCH($E1259,单位档案!$A$6:$A$35,0)),"")))</f>
        <v/>
      </c>
      <c r="R1259" s="37" t="str">
        <f aca="false">IF($E1259="","",N(IFERROR(INDEX(单位档案!$F$6:$F$35,MATCH($E1259,单位档案!$A$6:$A$35,0)),"")))</f>
        <v/>
      </c>
      <c r="S1259" s="36" t="n">
        <f aca="false">IF(OR($D1259&lt;&gt;"销项开票",IFERROR(INDEX(单位档案!$G$6:$G$35,MATCH($E1259,单位档案!$A$6:$A$35,0)),"")&lt;&gt;"是",N($Q1259)=0),0,IF(IFERROR(INDEX(单位档案!$H$6:$H$35,MATCH($E1259,单位档案!$A$6:$A$35,0)),"")="税差法",ROUND(N($H1259)/(1+$Q1259)*$Q1259-IF(N($R1259)=0,0,$P1259/(1+$R1259)*$R1259),2),ROUND(N($H1259)/(1+$Q1259)*$Q1259,2)))</f>
        <v>0</v>
      </c>
      <c r="T1259" s="36" t="n">
        <f aca="false">ROUND($S1259*N(IFERROR(INDEX(单位档案!$J$6:$J$35,MATCH($E1259,单位档案!$A$6:$A$35,0)),"")),2)</f>
        <v>0</v>
      </c>
      <c r="U1259" s="36" t="n">
        <f aca="false">IF($D1259&lt;&gt;"销项开票",0,ROUND(N($H1259)*N(IFERROR(INDEX(单位档案!$K$6:$K$35,MATCH($E1259,单位档案!$A$6:$A$35,0)),"")),2))</f>
        <v>0</v>
      </c>
      <c r="V1259" s="36" t="n">
        <f aca="false">IF(OR($D1259&lt;&gt;"销项开票",N($Q1259)=0),0,ROUND(N($H1259)/(1+$Q1259)*N(IFERROR(INDEX(单位档案!$L$6:$L$35,MATCH($E1259,单位档案!$A$6:$A$35,0)),"")),2))</f>
        <v>0</v>
      </c>
      <c r="W1259" s="36" t="n">
        <f aca="false">ROUND($S1259+$T1259+$U1259+$V1259,2)</f>
        <v>0</v>
      </c>
      <c r="X1259" s="35" t="str">
        <f aca="false">IF(OR($D1259="挂靠代收",$D1259="我方收款"),COUNTIFS($D$5:$D1259,"挂靠代收")+COUNTIFS($D$5:$D1259,"我方收款"),"")</f>
        <v/>
      </c>
      <c r="Y1259" s="35"/>
      <c r="Z1259" s="21" t="s">
        <v>111</v>
      </c>
    </row>
    <row r="1260" customFormat="false" ht="15.75" hidden="false" customHeight="true" outlineLevel="0" collapsed="false">
      <c r="A1260" s="32" t="str">
        <f aca="false">IF($B1260="","",ROW()-4)</f>
        <v/>
      </c>
      <c r="B1260" s="26"/>
      <c r="C1260" s="24"/>
      <c r="D1260" s="21"/>
      <c r="E1260" s="21"/>
      <c r="F1260" s="21"/>
      <c r="G1260" s="21"/>
      <c r="H1260" s="27"/>
      <c r="I1260" s="23" t="str">
        <f aca="false">IF($D1260&lt;&gt;"销项开票","",IF($N1260="一级",IF(IFERROR(INDEX(项目档案!$E$6:$E$255,MATCH($C1260,项目档案!$A$6:$A$255,0)),"")="",N(IFERROR(INDEX(单位档案!$D$6:$D$35,MATCH($E1260,单位档案!$A$6:$A$35,0)),"")),IFERROR(INDEX(项目档案!$E$6:$E$255,MATCH($C1260,项目档案!$A$6:$A$255,0)),"")),IF($N1260="二级",IF(IFERROR(INDEX(项目档案!$G$6:$G$255,MATCH($C1260,项目档案!$A$6:$A$255,0)),"")="",N(IFERROR(INDEX(单位档案!$D$6:$D$35,MATCH($E1260,单位档案!$A$6:$A$35,0)),"")),IFERROR(INDEX(项目档案!$G$6:$G$255,MATCH($C1260,项目档案!$A$6:$A$255,0)),"")),N(IFERROR(INDEX(单位档案!$D$6:$D$35,MATCH($E1260,单位档案!$A$6:$A$35,0)),"")))))</f>
        <v/>
      </c>
      <c r="J1260" s="22"/>
      <c r="K1260" s="22"/>
      <c r="L1260" s="33" t="str">
        <f aca="false">IF($B1260="","",IF(NOT(ISNUMBER($B1260)),"日期格式不对",IF($C1260="","未选项目编号",IF(LEFT($M1260,1)="⚠","项目编号不存在",IF($D1260="","未选业务类型",IF($E1260="","未选开票/付款方",IF(ISNA(MATCH($E1260,单位档案!$A$6:$A$35,0)),"开票方不在单位档案",IF($F1260="","未选收票/收款方",IF(ISNA(MATCH($F1260,单位档案!$A$6:$A$35,0)),"收款方不在单位档案",IF(NOT(ISNUMBER($H1260)),"金额须为数字",IF(AND($D1260="销项开票",$N1260="—"),"链条待确认","√")))))))))))</f>
        <v/>
      </c>
      <c r="M1260" s="34" t="str">
        <f aca="false">IF($C1260="","",IFERROR(INDEX(项目档案!$B$6:$B$255,MATCH($C1260,项目档案!$A$6:$A$255,0)),"⚠项目编号不存在"))</f>
        <v/>
      </c>
      <c r="N1260" s="35" t="str">
        <f aca="false">IF($E1260="","",IF($E1260=IFERROR(INDEX(项目档案!$D$6:$D$255,MATCH($C1260,项目档案!$A$6:$A$255,0)),""),"一级",IF($E1260=IFERROR(INDEX(项目档案!$F$6:$F$255,MATCH($C1260,项目档案!$A$6:$A$255,0)),""),"二级",IF($E1260=IFERROR(INDEX(项目档案!$H$6:$H$255,MATCH($C1260,项目档案!$A$6:$A$255,0)),""),"我方","—"))))</f>
        <v/>
      </c>
      <c r="O1260" s="36" t="n">
        <f aca="false">IF($D1260&lt;&gt;"销项开票",0,ROUND(N($H1260)*N($I1260),2))</f>
        <v>0</v>
      </c>
      <c r="P1260" s="36" t="n">
        <f aca="false">IF($D1260&lt;&gt;"销项开票",0,ROUND(N($H1260)-$O1260,2))</f>
        <v>0</v>
      </c>
      <c r="Q1260" s="37" t="str">
        <f aca="false">IF($E1260="","",N(IFERROR(INDEX(单位档案!$E$6:$E$35,MATCH($E1260,单位档案!$A$6:$A$35,0)),"")))</f>
        <v/>
      </c>
      <c r="R1260" s="37" t="str">
        <f aca="false">IF($E1260="","",N(IFERROR(INDEX(单位档案!$F$6:$F$35,MATCH($E1260,单位档案!$A$6:$A$35,0)),"")))</f>
        <v/>
      </c>
      <c r="S1260" s="36" t="n">
        <f aca="false">IF(OR($D1260&lt;&gt;"销项开票",IFERROR(INDEX(单位档案!$G$6:$G$35,MATCH($E1260,单位档案!$A$6:$A$35,0)),"")&lt;&gt;"是",N($Q1260)=0),0,IF(IFERROR(INDEX(单位档案!$H$6:$H$35,MATCH($E1260,单位档案!$A$6:$A$35,0)),"")="税差法",ROUND(N($H1260)/(1+$Q1260)*$Q1260-IF(N($R1260)=0,0,$P1260/(1+$R1260)*$R1260),2),ROUND(N($H1260)/(1+$Q1260)*$Q1260,2)))</f>
        <v>0</v>
      </c>
      <c r="T1260" s="36" t="n">
        <f aca="false">ROUND($S1260*N(IFERROR(INDEX(单位档案!$J$6:$J$35,MATCH($E1260,单位档案!$A$6:$A$35,0)),"")),2)</f>
        <v>0</v>
      </c>
      <c r="U1260" s="36" t="n">
        <f aca="false">IF($D1260&lt;&gt;"销项开票",0,ROUND(N($H1260)*N(IFERROR(INDEX(单位档案!$K$6:$K$35,MATCH($E1260,单位档案!$A$6:$A$35,0)),"")),2))</f>
        <v>0</v>
      </c>
      <c r="V1260" s="36" t="n">
        <f aca="false">IF(OR($D1260&lt;&gt;"销项开票",N($Q1260)=0),0,ROUND(N($H1260)/(1+$Q1260)*N(IFERROR(INDEX(单位档案!$L$6:$L$35,MATCH($E1260,单位档案!$A$6:$A$35,0)),"")),2))</f>
        <v>0</v>
      </c>
      <c r="W1260" s="36" t="n">
        <f aca="false">ROUND($S1260+$T1260+$U1260+$V1260,2)</f>
        <v>0</v>
      </c>
      <c r="X1260" s="35" t="str">
        <f aca="false">IF(OR($D1260="挂靠代收",$D1260="我方收款"),COUNTIFS($D$5:$D1260,"挂靠代收")+COUNTIFS($D$5:$D1260,"我方收款"),"")</f>
        <v/>
      </c>
      <c r="Y1260" s="35"/>
      <c r="Z1260" s="21" t="s">
        <v>111</v>
      </c>
    </row>
    <row r="1261" customFormat="false" ht="15.75" hidden="false" customHeight="true" outlineLevel="0" collapsed="false">
      <c r="A1261" s="32" t="str">
        <f aca="false">IF($B1261="","",ROW()-4)</f>
        <v/>
      </c>
      <c r="B1261" s="26"/>
      <c r="C1261" s="24"/>
      <c r="D1261" s="21"/>
      <c r="E1261" s="21"/>
      <c r="F1261" s="21"/>
      <c r="G1261" s="21"/>
      <c r="H1261" s="27"/>
      <c r="I1261" s="23" t="str">
        <f aca="false">IF($D1261&lt;&gt;"销项开票","",IF($N1261="一级",IF(IFERROR(INDEX(项目档案!$E$6:$E$255,MATCH($C1261,项目档案!$A$6:$A$255,0)),"")="",N(IFERROR(INDEX(单位档案!$D$6:$D$35,MATCH($E1261,单位档案!$A$6:$A$35,0)),"")),IFERROR(INDEX(项目档案!$E$6:$E$255,MATCH($C1261,项目档案!$A$6:$A$255,0)),"")),IF($N1261="二级",IF(IFERROR(INDEX(项目档案!$G$6:$G$255,MATCH($C1261,项目档案!$A$6:$A$255,0)),"")="",N(IFERROR(INDEX(单位档案!$D$6:$D$35,MATCH($E1261,单位档案!$A$6:$A$35,0)),"")),IFERROR(INDEX(项目档案!$G$6:$G$255,MATCH($C1261,项目档案!$A$6:$A$255,0)),"")),N(IFERROR(INDEX(单位档案!$D$6:$D$35,MATCH($E1261,单位档案!$A$6:$A$35,0)),"")))))</f>
        <v/>
      </c>
      <c r="J1261" s="22"/>
      <c r="K1261" s="22"/>
      <c r="L1261" s="33" t="str">
        <f aca="false">IF($B1261="","",IF(NOT(ISNUMBER($B1261)),"日期格式不对",IF($C1261="","未选项目编号",IF(LEFT($M1261,1)="⚠","项目编号不存在",IF($D1261="","未选业务类型",IF($E1261="","未选开票/付款方",IF(ISNA(MATCH($E1261,单位档案!$A$6:$A$35,0)),"开票方不在单位档案",IF($F1261="","未选收票/收款方",IF(ISNA(MATCH($F1261,单位档案!$A$6:$A$35,0)),"收款方不在单位档案",IF(NOT(ISNUMBER($H1261)),"金额须为数字",IF(AND($D1261="销项开票",$N1261="—"),"链条待确认","√")))))))))))</f>
        <v/>
      </c>
      <c r="M1261" s="34" t="str">
        <f aca="false">IF($C1261="","",IFERROR(INDEX(项目档案!$B$6:$B$255,MATCH($C1261,项目档案!$A$6:$A$255,0)),"⚠项目编号不存在"))</f>
        <v/>
      </c>
      <c r="N1261" s="35" t="str">
        <f aca="false">IF($E1261="","",IF($E1261=IFERROR(INDEX(项目档案!$D$6:$D$255,MATCH($C1261,项目档案!$A$6:$A$255,0)),""),"一级",IF($E1261=IFERROR(INDEX(项目档案!$F$6:$F$255,MATCH($C1261,项目档案!$A$6:$A$255,0)),""),"二级",IF($E1261=IFERROR(INDEX(项目档案!$H$6:$H$255,MATCH($C1261,项目档案!$A$6:$A$255,0)),""),"我方","—"))))</f>
        <v/>
      </c>
      <c r="O1261" s="36" t="n">
        <f aca="false">IF($D1261&lt;&gt;"销项开票",0,ROUND(N($H1261)*N($I1261),2))</f>
        <v>0</v>
      </c>
      <c r="P1261" s="36" t="n">
        <f aca="false">IF($D1261&lt;&gt;"销项开票",0,ROUND(N($H1261)-$O1261,2))</f>
        <v>0</v>
      </c>
      <c r="Q1261" s="37" t="str">
        <f aca="false">IF($E1261="","",N(IFERROR(INDEX(单位档案!$E$6:$E$35,MATCH($E1261,单位档案!$A$6:$A$35,0)),"")))</f>
        <v/>
      </c>
      <c r="R1261" s="37" t="str">
        <f aca="false">IF($E1261="","",N(IFERROR(INDEX(单位档案!$F$6:$F$35,MATCH($E1261,单位档案!$A$6:$A$35,0)),"")))</f>
        <v/>
      </c>
      <c r="S1261" s="36" t="n">
        <f aca="false">IF(OR($D1261&lt;&gt;"销项开票",IFERROR(INDEX(单位档案!$G$6:$G$35,MATCH($E1261,单位档案!$A$6:$A$35,0)),"")&lt;&gt;"是",N($Q1261)=0),0,IF(IFERROR(INDEX(单位档案!$H$6:$H$35,MATCH($E1261,单位档案!$A$6:$A$35,0)),"")="税差法",ROUND(N($H1261)/(1+$Q1261)*$Q1261-IF(N($R1261)=0,0,$P1261/(1+$R1261)*$R1261),2),ROUND(N($H1261)/(1+$Q1261)*$Q1261,2)))</f>
        <v>0</v>
      </c>
      <c r="T1261" s="36" t="n">
        <f aca="false">ROUND($S1261*N(IFERROR(INDEX(单位档案!$J$6:$J$35,MATCH($E1261,单位档案!$A$6:$A$35,0)),"")),2)</f>
        <v>0</v>
      </c>
      <c r="U1261" s="36" t="n">
        <f aca="false">IF($D1261&lt;&gt;"销项开票",0,ROUND(N($H1261)*N(IFERROR(INDEX(单位档案!$K$6:$K$35,MATCH($E1261,单位档案!$A$6:$A$35,0)),"")),2))</f>
        <v>0</v>
      </c>
      <c r="V1261" s="36" t="n">
        <f aca="false">IF(OR($D1261&lt;&gt;"销项开票",N($Q1261)=0),0,ROUND(N($H1261)/(1+$Q1261)*N(IFERROR(INDEX(单位档案!$L$6:$L$35,MATCH($E1261,单位档案!$A$6:$A$35,0)),"")),2))</f>
        <v>0</v>
      </c>
      <c r="W1261" s="36" t="n">
        <f aca="false">ROUND($S1261+$T1261+$U1261+$V1261,2)</f>
        <v>0</v>
      </c>
      <c r="X1261" s="35" t="str">
        <f aca="false">IF(OR($D1261="挂靠代收",$D1261="我方收款"),COUNTIFS($D$5:$D1261,"挂靠代收")+COUNTIFS($D$5:$D1261,"我方收款"),"")</f>
        <v/>
      </c>
      <c r="Y1261" s="35"/>
      <c r="Z1261" s="21" t="s">
        <v>111</v>
      </c>
    </row>
    <row r="1262" customFormat="false" ht="15.75" hidden="false" customHeight="true" outlineLevel="0" collapsed="false">
      <c r="A1262" s="32" t="str">
        <f aca="false">IF($B1262="","",ROW()-4)</f>
        <v/>
      </c>
      <c r="B1262" s="26"/>
      <c r="C1262" s="24"/>
      <c r="D1262" s="21"/>
      <c r="E1262" s="21"/>
      <c r="F1262" s="21"/>
      <c r="G1262" s="21"/>
      <c r="H1262" s="27"/>
      <c r="I1262" s="23" t="str">
        <f aca="false">IF($D1262&lt;&gt;"销项开票","",IF($N1262="一级",IF(IFERROR(INDEX(项目档案!$E$6:$E$255,MATCH($C1262,项目档案!$A$6:$A$255,0)),"")="",N(IFERROR(INDEX(单位档案!$D$6:$D$35,MATCH($E1262,单位档案!$A$6:$A$35,0)),"")),IFERROR(INDEX(项目档案!$E$6:$E$255,MATCH($C1262,项目档案!$A$6:$A$255,0)),"")),IF($N1262="二级",IF(IFERROR(INDEX(项目档案!$G$6:$G$255,MATCH($C1262,项目档案!$A$6:$A$255,0)),"")="",N(IFERROR(INDEX(单位档案!$D$6:$D$35,MATCH($E1262,单位档案!$A$6:$A$35,0)),"")),IFERROR(INDEX(项目档案!$G$6:$G$255,MATCH($C1262,项目档案!$A$6:$A$255,0)),"")),N(IFERROR(INDEX(单位档案!$D$6:$D$35,MATCH($E1262,单位档案!$A$6:$A$35,0)),"")))))</f>
        <v/>
      </c>
      <c r="J1262" s="22"/>
      <c r="K1262" s="22"/>
      <c r="L1262" s="33" t="str">
        <f aca="false">IF($B1262="","",IF(NOT(ISNUMBER($B1262)),"日期格式不对",IF($C1262="","未选项目编号",IF(LEFT($M1262,1)="⚠","项目编号不存在",IF($D1262="","未选业务类型",IF($E1262="","未选开票/付款方",IF(ISNA(MATCH($E1262,单位档案!$A$6:$A$35,0)),"开票方不在单位档案",IF($F1262="","未选收票/收款方",IF(ISNA(MATCH($F1262,单位档案!$A$6:$A$35,0)),"收款方不在单位档案",IF(NOT(ISNUMBER($H1262)),"金额须为数字",IF(AND($D1262="销项开票",$N1262="—"),"链条待确认","√")))))))))))</f>
        <v/>
      </c>
      <c r="M1262" s="34" t="str">
        <f aca="false">IF($C1262="","",IFERROR(INDEX(项目档案!$B$6:$B$255,MATCH($C1262,项目档案!$A$6:$A$255,0)),"⚠项目编号不存在"))</f>
        <v/>
      </c>
      <c r="N1262" s="35" t="str">
        <f aca="false">IF($E1262="","",IF($E1262=IFERROR(INDEX(项目档案!$D$6:$D$255,MATCH($C1262,项目档案!$A$6:$A$255,0)),""),"一级",IF($E1262=IFERROR(INDEX(项目档案!$F$6:$F$255,MATCH($C1262,项目档案!$A$6:$A$255,0)),""),"二级",IF($E1262=IFERROR(INDEX(项目档案!$H$6:$H$255,MATCH($C1262,项目档案!$A$6:$A$255,0)),""),"我方","—"))))</f>
        <v/>
      </c>
      <c r="O1262" s="36" t="n">
        <f aca="false">IF($D1262&lt;&gt;"销项开票",0,ROUND(N($H1262)*N($I1262),2))</f>
        <v>0</v>
      </c>
      <c r="P1262" s="36" t="n">
        <f aca="false">IF($D1262&lt;&gt;"销项开票",0,ROUND(N($H1262)-$O1262,2))</f>
        <v>0</v>
      </c>
      <c r="Q1262" s="37" t="str">
        <f aca="false">IF($E1262="","",N(IFERROR(INDEX(单位档案!$E$6:$E$35,MATCH($E1262,单位档案!$A$6:$A$35,0)),"")))</f>
        <v/>
      </c>
      <c r="R1262" s="37" t="str">
        <f aca="false">IF($E1262="","",N(IFERROR(INDEX(单位档案!$F$6:$F$35,MATCH($E1262,单位档案!$A$6:$A$35,0)),"")))</f>
        <v/>
      </c>
      <c r="S1262" s="36" t="n">
        <f aca="false">IF(OR($D1262&lt;&gt;"销项开票",IFERROR(INDEX(单位档案!$G$6:$G$35,MATCH($E1262,单位档案!$A$6:$A$35,0)),"")&lt;&gt;"是",N($Q1262)=0),0,IF(IFERROR(INDEX(单位档案!$H$6:$H$35,MATCH($E1262,单位档案!$A$6:$A$35,0)),"")="税差法",ROUND(N($H1262)/(1+$Q1262)*$Q1262-IF(N($R1262)=0,0,$P1262/(1+$R1262)*$R1262),2),ROUND(N($H1262)/(1+$Q1262)*$Q1262,2)))</f>
        <v>0</v>
      </c>
      <c r="T1262" s="36" t="n">
        <f aca="false">ROUND($S1262*N(IFERROR(INDEX(单位档案!$J$6:$J$35,MATCH($E1262,单位档案!$A$6:$A$35,0)),"")),2)</f>
        <v>0</v>
      </c>
      <c r="U1262" s="36" t="n">
        <f aca="false">IF($D1262&lt;&gt;"销项开票",0,ROUND(N($H1262)*N(IFERROR(INDEX(单位档案!$K$6:$K$35,MATCH($E1262,单位档案!$A$6:$A$35,0)),"")),2))</f>
        <v>0</v>
      </c>
      <c r="V1262" s="36" t="n">
        <f aca="false">IF(OR($D1262&lt;&gt;"销项开票",N($Q1262)=0),0,ROUND(N($H1262)/(1+$Q1262)*N(IFERROR(INDEX(单位档案!$L$6:$L$35,MATCH($E1262,单位档案!$A$6:$A$35,0)),"")),2))</f>
        <v>0</v>
      </c>
      <c r="W1262" s="36" t="n">
        <f aca="false">ROUND($S1262+$T1262+$U1262+$V1262,2)</f>
        <v>0</v>
      </c>
      <c r="X1262" s="35" t="str">
        <f aca="false">IF(OR($D1262="挂靠代收",$D1262="我方收款"),COUNTIFS($D$5:$D1262,"挂靠代收")+COUNTIFS($D$5:$D1262,"我方收款"),"")</f>
        <v/>
      </c>
      <c r="Y1262" s="35"/>
      <c r="Z1262" s="21" t="s">
        <v>111</v>
      </c>
    </row>
    <row r="1263" customFormat="false" ht="15.75" hidden="false" customHeight="true" outlineLevel="0" collapsed="false">
      <c r="A1263" s="32" t="str">
        <f aca="false">IF($B1263="","",ROW()-4)</f>
        <v/>
      </c>
      <c r="B1263" s="26"/>
      <c r="C1263" s="24"/>
      <c r="D1263" s="21"/>
      <c r="E1263" s="21"/>
      <c r="F1263" s="21"/>
      <c r="G1263" s="21"/>
      <c r="H1263" s="27"/>
      <c r="I1263" s="23" t="str">
        <f aca="false">IF($D1263&lt;&gt;"销项开票","",IF($N1263="一级",IF(IFERROR(INDEX(项目档案!$E$6:$E$255,MATCH($C1263,项目档案!$A$6:$A$255,0)),"")="",N(IFERROR(INDEX(单位档案!$D$6:$D$35,MATCH($E1263,单位档案!$A$6:$A$35,0)),"")),IFERROR(INDEX(项目档案!$E$6:$E$255,MATCH($C1263,项目档案!$A$6:$A$255,0)),"")),IF($N1263="二级",IF(IFERROR(INDEX(项目档案!$G$6:$G$255,MATCH($C1263,项目档案!$A$6:$A$255,0)),"")="",N(IFERROR(INDEX(单位档案!$D$6:$D$35,MATCH($E1263,单位档案!$A$6:$A$35,0)),"")),IFERROR(INDEX(项目档案!$G$6:$G$255,MATCH($C1263,项目档案!$A$6:$A$255,0)),"")),N(IFERROR(INDEX(单位档案!$D$6:$D$35,MATCH($E1263,单位档案!$A$6:$A$35,0)),"")))))</f>
        <v/>
      </c>
      <c r="J1263" s="22"/>
      <c r="K1263" s="22"/>
      <c r="L1263" s="33" t="str">
        <f aca="false">IF($B1263="","",IF(NOT(ISNUMBER($B1263)),"日期格式不对",IF($C1263="","未选项目编号",IF(LEFT($M1263,1)="⚠","项目编号不存在",IF($D1263="","未选业务类型",IF($E1263="","未选开票/付款方",IF(ISNA(MATCH($E1263,单位档案!$A$6:$A$35,0)),"开票方不在单位档案",IF($F1263="","未选收票/收款方",IF(ISNA(MATCH($F1263,单位档案!$A$6:$A$35,0)),"收款方不在单位档案",IF(NOT(ISNUMBER($H1263)),"金额须为数字",IF(AND($D1263="销项开票",$N1263="—"),"链条待确认","√")))))))))))</f>
        <v/>
      </c>
      <c r="M1263" s="34" t="str">
        <f aca="false">IF($C1263="","",IFERROR(INDEX(项目档案!$B$6:$B$255,MATCH($C1263,项目档案!$A$6:$A$255,0)),"⚠项目编号不存在"))</f>
        <v/>
      </c>
      <c r="N1263" s="35" t="str">
        <f aca="false">IF($E1263="","",IF($E1263=IFERROR(INDEX(项目档案!$D$6:$D$255,MATCH($C1263,项目档案!$A$6:$A$255,0)),""),"一级",IF($E1263=IFERROR(INDEX(项目档案!$F$6:$F$255,MATCH($C1263,项目档案!$A$6:$A$255,0)),""),"二级",IF($E1263=IFERROR(INDEX(项目档案!$H$6:$H$255,MATCH($C1263,项目档案!$A$6:$A$255,0)),""),"我方","—"))))</f>
        <v/>
      </c>
      <c r="O1263" s="36" t="n">
        <f aca="false">IF($D1263&lt;&gt;"销项开票",0,ROUND(N($H1263)*N($I1263),2))</f>
        <v>0</v>
      </c>
      <c r="P1263" s="36" t="n">
        <f aca="false">IF($D1263&lt;&gt;"销项开票",0,ROUND(N($H1263)-$O1263,2))</f>
        <v>0</v>
      </c>
      <c r="Q1263" s="37" t="str">
        <f aca="false">IF($E1263="","",N(IFERROR(INDEX(单位档案!$E$6:$E$35,MATCH($E1263,单位档案!$A$6:$A$35,0)),"")))</f>
        <v/>
      </c>
      <c r="R1263" s="37" t="str">
        <f aca="false">IF($E1263="","",N(IFERROR(INDEX(单位档案!$F$6:$F$35,MATCH($E1263,单位档案!$A$6:$A$35,0)),"")))</f>
        <v/>
      </c>
      <c r="S1263" s="36" t="n">
        <f aca="false">IF(OR($D1263&lt;&gt;"销项开票",IFERROR(INDEX(单位档案!$G$6:$G$35,MATCH($E1263,单位档案!$A$6:$A$35,0)),"")&lt;&gt;"是",N($Q1263)=0),0,IF(IFERROR(INDEX(单位档案!$H$6:$H$35,MATCH($E1263,单位档案!$A$6:$A$35,0)),"")="税差法",ROUND(N($H1263)/(1+$Q1263)*$Q1263-IF(N($R1263)=0,0,$P1263/(1+$R1263)*$R1263),2),ROUND(N($H1263)/(1+$Q1263)*$Q1263,2)))</f>
        <v>0</v>
      </c>
      <c r="T1263" s="36" t="n">
        <f aca="false">ROUND($S1263*N(IFERROR(INDEX(单位档案!$J$6:$J$35,MATCH($E1263,单位档案!$A$6:$A$35,0)),"")),2)</f>
        <v>0</v>
      </c>
      <c r="U1263" s="36" t="n">
        <f aca="false">IF($D1263&lt;&gt;"销项开票",0,ROUND(N($H1263)*N(IFERROR(INDEX(单位档案!$K$6:$K$35,MATCH($E1263,单位档案!$A$6:$A$35,0)),"")),2))</f>
        <v>0</v>
      </c>
      <c r="V1263" s="36" t="n">
        <f aca="false">IF(OR($D1263&lt;&gt;"销项开票",N($Q1263)=0),0,ROUND(N($H1263)/(1+$Q1263)*N(IFERROR(INDEX(单位档案!$L$6:$L$35,MATCH($E1263,单位档案!$A$6:$A$35,0)),"")),2))</f>
        <v>0</v>
      </c>
      <c r="W1263" s="36" t="n">
        <f aca="false">ROUND($S1263+$T1263+$U1263+$V1263,2)</f>
        <v>0</v>
      </c>
      <c r="X1263" s="35" t="str">
        <f aca="false">IF(OR($D1263="挂靠代收",$D1263="我方收款"),COUNTIFS($D$5:$D1263,"挂靠代收")+COUNTIFS($D$5:$D1263,"我方收款"),"")</f>
        <v/>
      </c>
      <c r="Y1263" s="35"/>
      <c r="Z1263" s="21" t="s">
        <v>111</v>
      </c>
    </row>
    <row r="1264" customFormat="false" ht="15.75" hidden="false" customHeight="true" outlineLevel="0" collapsed="false">
      <c r="A1264" s="32" t="str">
        <f aca="false">IF($B1264="","",ROW()-4)</f>
        <v/>
      </c>
      <c r="B1264" s="26"/>
      <c r="C1264" s="24"/>
      <c r="D1264" s="21"/>
      <c r="E1264" s="21"/>
      <c r="F1264" s="21"/>
      <c r="G1264" s="21"/>
      <c r="H1264" s="27"/>
      <c r="I1264" s="23" t="str">
        <f aca="false">IF($D1264&lt;&gt;"销项开票","",IF($N1264="一级",IF(IFERROR(INDEX(项目档案!$E$6:$E$255,MATCH($C1264,项目档案!$A$6:$A$255,0)),"")="",N(IFERROR(INDEX(单位档案!$D$6:$D$35,MATCH($E1264,单位档案!$A$6:$A$35,0)),"")),IFERROR(INDEX(项目档案!$E$6:$E$255,MATCH($C1264,项目档案!$A$6:$A$255,0)),"")),IF($N1264="二级",IF(IFERROR(INDEX(项目档案!$G$6:$G$255,MATCH($C1264,项目档案!$A$6:$A$255,0)),"")="",N(IFERROR(INDEX(单位档案!$D$6:$D$35,MATCH($E1264,单位档案!$A$6:$A$35,0)),"")),IFERROR(INDEX(项目档案!$G$6:$G$255,MATCH($C1264,项目档案!$A$6:$A$255,0)),"")),N(IFERROR(INDEX(单位档案!$D$6:$D$35,MATCH($E1264,单位档案!$A$6:$A$35,0)),"")))))</f>
        <v/>
      </c>
      <c r="J1264" s="22"/>
      <c r="K1264" s="22"/>
      <c r="L1264" s="33" t="str">
        <f aca="false">IF($B1264="","",IF(NOT(ISNUMBER($B1264)),"日期格式不对",IF($C1264="","未选项目编号",IF(LEFT($M1264,1)="⚠","项目编号不存在",IF($D1264="","未选业务类型",IF($E1264="","未选开票/付款方",IF(ISNA(MATCH($E1264,单位档案!$A$6:$A$35,0)),"开票方不在单位档案",IF($F1264="","未选收票/收款方",IF(ISNA(MATCH($F1264,单位档案!$A$6:$A$35,0)),"收款方不在单位档案",IF(NOT(ISNUMBER($H1264)),"金额须为数字",IF(AND($D1264="销项开票",$N1264="—"),"链条待确认","√")))))))))))</f>
        <v/>
      </c>
      <c r="M1264" s="34" t="str">
        <f aca="false">IF($C1264="","",IFERROR(INDEX(项目档案!$B$6:$B$255,MATCH($C1264,项目档案!$A$6:$A$255,0)),"⚠项目编号不存在"))</f>
        <v/>
      </c>
      <c r="N1264" s="35" t="str">
        <f aca="false">IF($E1264="","",IF($E1264=IFERROR(INDEX(项目档案!$D$6:$D$255,MATCH($C1264,项目档案!$A$6:$A$255,0)),""),"一级",IF($E1264=IFERROR(INDEX(项目档案!$F$6:$F$255,MATCH($C1264,项目档案!$A$6:$A$255,0)),""),"二级",IF($E1264=IFERROR(INDEX(项目档案!$H$6:$H$255,MATCH($C1264,项目档案!$A$6:$A$255,0)),""),"我方","—"))))</f>
        <v/>
      </c>
      <c r="O1264" s="36" t="n">
        <f aca="false">IF($D1264&lt;&gt;"销项开票",0,ROUND(N($H1264)*N($I1264),2))</f>
        <v>0</v>
      </c>
      <c r="P1264" s="36" t="n">
        <f aca="false">IF($D1264&lt;&gt;"销项开票",0,ROUND(N($H1264)-$O1264,2))</f>
        <v>0</v>
      </c>
      <c r="Q1264" s="37" t="str">
        <f aca="false">IF($E1264="","",N(IFERROR(INDEX(单位档案!$E$6:$E$35,MATCH($E1264,单位档案!$A$6:$A$35,0)),"")))</f>
        <v/>
      </c>
      <c r="R1264" s="37" t="str">
        <f aca="false">IF($E1264="","",N(IFERROR(INDEX(单位档案!$F$6:$F$35,MATCH($E1264,单位档案!$A$6:$A$35,0)),"")))</f>
        <v/>
      </c>
      <c r="S1264" s="36" t="n">
        <f aca="false">IF(OR($D1264&lt;&gt;"销项开票",IFERROR(INDEX(单位档案!$G$6:$G$35,MATCH($E1264,单位档案!$A$6:$A$35,0)),"")&lt;&gt;"是",N($Q1264)=0),0,IF(IFERROR(INDEX(单位档案!$H$6:$H$35,MATCH($E1264,单位档案!$A$6:$A$35,0)),"")="税差法",ROUND(N($H1264)/(1+$Q1264)*$Q1264-IF(N($R1264)=0,0,$P1264/(1+$R1264)*$R1264),2),ROUND(N($H1264)/(1+$Q1264)*$Q1264,2)))</f>
        <v>0</v>
      </c>
      <c r="T1264" s="36" t="n">
        <f aca="false">ROUND($S1264*N(IFERROR(INDEX(单位档案!$J$6:$J$35,MATCH($E1264,单位档案!$A$6:$A$35,0)),"")),2)</f>
        <v>0</v>
      </c>
      <c r="U1264" s="36" t="n">
        <f aca="false">IF($D1264&lt;&gt;"销项开票",0,ROUND(N($H1264)*N(IFERROR(INDEX(单位档案!$K$6:$K$35,MATCH($E1264,单位档案!$A$6:$A$35,0)),"")),2))</f>
        <v>0</v>
      </c>
      <c r="V1264" s="36" t="n">
        <f aca="false">IF(OR($D1264&lt;&gt;"销项开票",N($Q1264)=0),0,ROUND(N($H1264)/(1+$Q1264)*N(IFERROR(INDEX(单位档案!$L$6:$L$35,MATCH($E1264,单位档案!$A$6:$A$35,0)),"")),2))</f>
        <v>0</v>
      </c>
      <c r="W1264" s="36" t="n">
        <f aca="false">ROUND($S1264+$T1264+$U1264+$V1264,2)</f>
        <v>0</v>
      </c>
      <c r="X1264" s="35" t="str">
        <f aca="false">IF(OR($D1264="挂靠代收",$D1264="我方收款"),COUNTIFS($D$5:$D1264,"挂靠代收")+COUNTIFS($D$5:$D1264,"我方收款"),"")</f>
        <v/>
      </c>
      <c r="Y1264" s="35"/>
      <c r="Z1264" s="21" t="s">
        <v>111</v>
      </c>
    </row>
    <row r="1265" customFormat="false" ht="15.75" hidden="false" customHeight="true" outlineLevel="0" collapsed="false">
      <c r="A1265" s="32" t="str">
        <f aca="false">IF($B1265="","",ROW()-4)</f>
        <v/>
      </c>
      <c r="B1265" s="26"/>
      <c r="C1265" s="24"/>
      <c r="D1265" s="21"/>
      <c r="E1265" s="21"/>
      <c r="F1265" s="21"/>
      <c r="G1265" s="21"/>
      <c r="H1265" s="27"/>
      <c r="I1265" s="23" t="str">
        <f aca="false">IF($D1265&lt;&gt;"销项开票","",IF($N1265="一级",IF(IFERROR(INDEX(项目档案!$E$6:$E$255,MATCH($C1265,项目档案!$A$6:$A$255,0)),"")="",N(IFERROR(INDEX(单位档案!$D$6:$D$35,MATCH($E1265,单位档案!$A$6:$A$35,0)),"")),IFERROR(INDEX(项目档案!$E$6:$E$255,MATCH($C1265,项目档案!$A$6:$A$255,0)),"")),IF($N1265="二级",IF(IFERROR(INDEX(项目档案!$G$6:$G$255,MATCH($C1265,项目档案!$A$6:$A$255,0)),"")="",N(IFERROR(INDEX(单位档案!$D$6:$D$35,MATCH($E1265,单位档案!$A$6:$A$35,0)),"")),IFERROR(INDEX(项目档案!$G$6:$G$255,MATCH($C1265,项目档案!$A$6:$A$255,0)),"")),N(IFERROR(INDEX(单位档案!$D$6:$D$35,MATCH($E1265,单位档案!$A$6:$A$35,0)),"")))))</f>
        <v/>
      </c>
      <c r="J1265" s="22"/>
      <c r="K1265" s="22"/>
      <c r="L1265" s="33" t="str">
        <f aca="false">IF($B1265="","",IF(NOT(ISNUMBER($B1265)),"日期格式不对",IF($C1265="","未选项目编号",IF(LEFT($M1265,1)="⚠","项目编号不存在",IF($D1265="","未选业务类型",IF($E1265="","未选开票/付款方",IF(ISNA(MATCH($E1265,单位档案!$A$6:$A$35,0)),"开票方不在单位档案",IF($F1265="","未选收票/收款方",IF(ISNA(MATCH($F1265,单位档案!$A$6:$A$35,0)),"收款方不在单位档案",IF(NOT(ISNUMBER($H1265)),"金额须为数字",IF(AND($D1265="销项开票",$N1265="—"),"链条待确认","√")))))))))))</f>
        <v/>
      </c>
      <c r="M1265" s="34" t="str">
        <f aca="false">IF($C1265="","",IFERROR(INDEX(项目档案!$B$6:$B$255,MATCH($C1265,项目档案!$A$6:$A$255,0)),"⚠项目编号不存在"))</f>
        <v/>
      </c>
      <c r="N1265" s="35" t="str">
        <f aca="false">IF($E1265="","",IF($E1265=IFERROR(INDEX(项目档案!$D$6:$D$255,MATCH($C1265,项目档案!$A$6:$A$255,0)),""),"一级",IF($E1265=IFERROR(INDEX(项目档案!$F$6:$F$255,MATCH($C1265,项目档案!$A$6:$A$255,0)),""),"二级",IF($E1265=IFERROR(INDEX(项目档案!$H$6:$H$255,MATCH($C1265,项目档案!$A$6:$A$255,0)),""),"我方","—"))))</f>
        <v/>
      </c>
      <c r="O1265" s="36" t="n">
        <f aca="false">IF($D1265&lt;&gt;"销项开票",0,ROUND(N($H1265)*N($I1265),2))</f>
        <v>0</v>
      </c>
      <c r="P1265" s="36" t="n">
        <f aca="false">IF($D1265&lt;&gt;"销项开票",0,ROUND(N($H1265)-$O1265,2))</f>
        <v>0</v>
      </c>
      <c r="Q1265" s="37" t="str">
        <f aca="false">IF($E1265="","",N(IFERROR(INDEX(单位档案!$E$6:$E$35,MATCH($E1265,单位档案!$A$6:$A$35,0)),"")))</f>
        <v/>
      </c>
      <c r="R1265" s="37" t="str">
        <f aca="false">IF($E1265="","",N(IFERROR(INDEX(单位档案!$F$6:$F$35,MATCH($E1265,单位档案!$A$6:$A$35,0)),"")))</f>
        <v/>
      </c>
      <c r="S1265" s="36" t="n">
        <f aca="false">IF(OR($D1265&lt;&gt;"销项开票",IFERROR(INDEX(单位档案!$G$6:$G$35,MATCH($E1265,单位档案!$A$6:$A$35,0)),"")&lt;&gt;"是",N($Q1265)=0),0,IF(IFERROR(INDEX(单位档案!$H$6:$H$35,MATCH($E1265,单位档案!$A$6:$A$35,0)),"")="税差法",ROUND(N($H1265)/(1+$Q1265)*$Q1265-IF(N($R1265)=0,0,$P1265/(1+$R1265)*$R1265),2),ROUND(N($H1265)/(1+$Q1265)*$Q1265,2)))</f>
        <v>0</v>
      </c>
      <c r="T1265" s="36" t="n">
        <f aca="false">ROUND($S1265*N(IFERROR(INDEX(单位档案!$J$6:$J$35,MATCH($E1265,单位档案!$A$6:$A$35,0)),"")),2)</f>
        <v>0</v>
      </c>
      <c r="U1265" s="36" t="n">
        <f aca="false">IF($D1265&lt;&gt;"销项开票",0,ROUND(N($H1265)*N(IFERROR(INDEX(单位档案!$K$6:$K$35,MATCH($E1265,单位档案!$A$6:$A$35,0)),"")),2))</f>
        <v>0</v>
      </c>
      <c r="V1265" s="36" t="n">
        <f aca="false">IF(OR($D1265&lt;&gt;"销项开票",N($Q1265)=0),0,ROUND(N($H1265)/(1+$Q1265)*N(IFERROR(INDEX(单位档案!$L$6:$L$35,MATCH($E1265,单位档案!$A$6:$A$35,0)),"")),2))</f>
        <v>0</v>
      </c>
      <c r="W1265" s="36" t="n">
        <f aca="false">ROUND($S1265+$T1265+$U1265+$V1265,2)</f>
        <v>0</v>
      </c>
      <c r="X1265" s="35" t="str">
        <f aca="false">IF(OR($D1265="挂靠代收",$D1265="我方收款"),COUNTIFS($D$5:$D1265,"挂靠代收")+COUNTIFS($D$5:$D1265,"我方收款"),"")</f>
        <v/>
      </c>
      <c r="Y1265" s="35"/>
      <c r="Z1265" s="21" t="s">
        <v>111</v>
      </c>
    </row>
    <row r="1266" customFormat="false" ht="15.75" hidden="false" customHeight="true" outlineLevel="0" collapsed="false">
      <c r="A1266" s="32" t="str">
        <f aca="false">IF($B1266="","",ROW()-4)</f>
        <v/>
      </c>
      <c r="B1266" s="26"/>
      <c r="C1266" s="24"/>
      <c r="D1266" s="21"/>
      <c r="E1266" s="21"/>
      <c r="F1266" s="21"/>
      <c r="G1266" s="21"/>
      <c r="H1266" s="27"/>
      <c r="I1266" s="23" t="str">
        <f aca="false">IF($D1266&lt;&gt;"销项开票","",IF($N1266="一级",IF(IFERROR(INDEX(项目档案!$E$6:$E$255,MATCH($C1266,项目档案!$A$6:$A$255,0)),"")="",N(IFERROR(INDEX(单位档案!$D$6:$D$35,MATCH($E1266,单位档案!$A$6:$A$35,0)),"")),IFERROR(INDEX(项目档案!$E$6:$E$255,MATCH($C1266,项目档案!$A$6:$A$255,0)),"")),IF($N1266="二级",IF(IFERROR(INDEX(项目档案!$G$6:$G$255,MATCH($C1266,项目档案!$A$6:$A$255,0)),"")="",N(IFERROR(INDEX(单位档案!$D$6:$D$35,MATCH($E1266,单位档案!$A$6:$A$35,0)),"")),IFERROR(INDEX(项目档案!$G$6:$G$255,MATCH($C1266,项目档案!$A$6:$A$255,0)),"")),N(IFERROR(INDEX(单位档案!$D$6:$D$35,MATCH($E1266,单位档案!$A$6:$A$35,0)),"")))))</f>
        <v/>
      </c>
      <c r="J1266" s="22"/>
      <c r="K1266" s="22"/>
      <c r="L1266" s="33" t="str">
        <f aca="false">IF($B1266="","",IF(NOT(ISNUMBER($B1266)),"日期格式不对",IF($C1266="","未选项目编号",IF(LEFT($M1266,1)="⚠","项目编号不存在",IF($D1266="","未选业务类型",IF($E1266="","未选开票/付款方",IF(ISNA(MATCH($E1266,单位档案!$A$6:$A$35,0)),"开票方不在单位档案",IF($F1266="","未选收票/收款方",IF(ISNA(MATCH($F1266,单位档案!$A$6:$A$35,0)),"收款方不在单位档案",IF(NOT(ISNUMBER($H1266)),"金额须为数字",IF(AND($D1266="销项开票",$N1266="—"),"链条待确认","√")))))))))))</f>
        <v/>
      </c>
      <c r="M1266" s="34" t="str">
        <f aca="false">IF($C1266="","",IFERROR(INDEX(项目档案!$B$6:$B$255,MATCH($C1266,项目档案!$A$6:$A$255,0)),"⚠项目编号不存在"))</f>
        <v/>
      </c>
      <c r="N1266" s="35" t="str">
        <f aca="false">IF($E1266="","",IF($E1266=IFERROR(INDEX(项目档案!$D$6:$D$255,MATCH($C1266,项目档案!$A$6:$A$255,0)),""),"一级",IF($E1266=IFERROR(INDEX(项目档案!$F$6:$F$255,MATCH($C1266,项目档案!$A$6:$A$255,0)),""),"二级",IF($E1266=IFERROR(INDEX(项目档案!$H$6:$H$255,MATCH($C1266,项目档案!$A$6:$A$255,0)),""),"我方","—"))))</f>
        <v/>
      </c>
      <c r="O1266" s="36" t="n">
        <f aca="false">IF($D1266&lt;&gt;"销项开票",0,ROUND(N($H1266)*N($I1266),2))</f>
        <v>0</v>
      </c>
      <c r="P1266" s="36" t="n">
        <f aca="false">IF($D1266&lt;&gt;"销项开票",0,ROUND(N($H1266)-$O1266,2))</f>
        <v>0</v>
      </c>
      <c r="Q1266" s="37" t="str">
        <f aca="false">IF($E1266="","",N(IFERROR(INDEX(单位档案!$E$6:$E$35,MATCH($E1266,单位档案!$A$6:$A$35,0)),"")))</f>
        <v/>
      </c>
      <c r="R1266" s="37" t="str">
        <f aca="false">IF($E1266="","",N(IFERROR(INDEX(单位档案!$F$6:$F$35,MATCH($E1266,单位档案!$A$6:$A$35,0)),"")))</f>
        <v/>
      </c>
      <c r="S1266" s="36" t="n">
        <f aca="false">IF(OR($D1266&lt;&gt;"销项开票",IFERROR(INDEX(单位档案!$G$6:$G$35,MATCH($E1266,单位档案!$A$6:$A$35,0)),"")&lt;&gt;"是",N($Q1266)=0),0,IF(IFERROR(INDEX(单位档案!$H$6:$H$35,MATCH($E1266,单位档案!$A$6:$A$35,0)),"")="税差法",ROUND(N($H1266)/(1+$Q1266)*$Q1266-IF(N($R1266)=0,0,$P1266/(1+$R1266)*$R1266),2),ROUND(N($H1266)/(1+$Q1266)*$Q1266,2)))</f>
        <v>0</v>
      </c>
      <c r="T1266" s="36" t="n">
        <f aca="false">ROUND($S1266*N(IFERROR(INDEX(单位档案!$J$6:$J$35,MATCH($E1266,单位档案!$A$6:$A$35,0)),"")),2)</f>
        <v>0</v>
      </c>
      <c r="U1266" s="36" t="n">
        <f aca="false">IF($D1266&lt;&gt;"销项开票",0,ROUND(N($H1266)*N(IFERROR(INDEX(单位档案!$K$6:$K$35,MATCH($E1266,单位档案!$A$6:$A$35,0)),"")),2))</f>
        <v>0</v>
      </c>
      <c r="V1266" s="36" t="n">
        <f aca="false">IF(OR($D1266&lt;&gt;"销项开票",N($Q1266)=0),0,ROUND(N($H1266)/(1+$Q1266)*N(IFERROR(INDEX(单位档案!$L$6:$L$35,MATCH($E1266,单位档案!$A$6:$A$35,0)),"")),2))</f>
        <v>0</v>
      </c>
      <c r="W1266" s="36" t="n">
        <f aca="false">ROUND($S1266+$T1266+$U1266+$V1266,2)</f>
        <v>0</v>
      </c>
      <c r="X1266" s="35" t="str">
        <f aca="false">IF(OR($D1266="挂靠代收",$D1266="我方收款"),COUNTIFS($D$5:$D1266,"挂靠代收")+COUNTIFS($D$5:$D1266,"我方收款"),"")</f>
        <v/>
      </c>
      <c r="Y1266" s="35"/>
      <c r="Z1266" s="21" t="s">
        <v>111</v>
      </c>
    </row>
    <row r="1267" customFormat="false" ht="15.75" hidden="false" customHeight="true" outlineLevel="0" collapsed="false">
      <c r="A1267" s="32" t="str">
        <f aca="false">IF($B1267="","",ROW()-4)</f>
        <v/>
      </c>
      <c r="B1267" s="26"/>
      <c r="C1267" s="24"/>
      <c r="D1267" s="21"/>
      <c r="E1267" s="21"/>
      <c r="F1267" s="21"/>
      <c r="G1267" s="21"/>
      <c r="H1267" s="27"/>
      <c r="I1267" s="23" t="str">
        <f aca="false">IF($D1267&lt;&gt;"销项开票","",IF($N1267="一级",IF(IFERROR(INDEX(项目档案!$E$6:$E$255,MATCH($C1267,项目档案!$A$6:$A$255,0)),"")="",N(IFERROR(INDEX(单位档案!$D$6:$D$35,MATCH($E1267,单位档案!$A$6:$A$35,0)),"")),IFERROR(INDEX(项目档案!$E$6:$E$255,MATCH($C1267,项目档案!$A$6:$A$255,0)),"")),IF($N1267="二级",IF(IFERROR(INDEX(项目档案!$G$6:$G$255,MATCH($C1267,项目档案!$A$6:$A$255,0)),"")="",N(IFERROR(INDEX(单位档案!$D$6:$D$35,MATCH($E1267,单位档案!$A$6:$A$35,0)),"")),IFERROR(INDEX(项目档案!$G$6:$G$255,MATCH($C1267,项目档案!$A$6:$A$255,0)),"")),N(IFERROR(INDEX(单位档案!$D$6:$D$35,MATCH($E1267,单位档案!$A$6:$A$35,0)),"")))))</f>
        <v/>
      </c>
      <c r="J1267" s="22"/>
      <c r="K1267" s="22"/>
      <c r="L1267" s="33" t="str">
        <f aca="false">IF($B1267="","",IF(NOT(ISNUMBER($B1267)),"日期格式不对",IF($C1267="","未选项目编号",IF(LEFT($M1267,1)="⚠","项目编号不存在",IF($D1267="","未选业务类型",IF($E1267="","未选开票/付款方",IF(ISNA(MATCH($E1267,单位档案!$A$6:$A$35,0)),"开票方不在单位档案",IF($F1267="","未选收票/收款方",IF(ISNA(MATCH($F1267,单位档案!$A$6:$A$35,0)),"收款方不在单位档案",IF(NOT(ISNUMBER($H1267)),"金额须为数字",IF(AND($D1267="销项开票",$N1267="—"),"链条待确认","√")))))))))))</f>
        <v/>
      </c>
      <c r="M1267" s="34" t="str">
        <f aca="false">IF($C1267="","",IFERROR(INDEX(项目档案!$B$6:$B$255,MATCH($C1267,项目档案!$A$6:$A$255,0)),"⚠项目编号不存在"))</f>
        <v/>
      </c>
      <c r="N1267" s="35" t="str">
        <f aca="false">IF($E1267="","",IF($E1267=IFERROR(INDEX(项目档案!$D$6:$D$255,MATCH($C1267,项目档案!$A$6:$A$255,0)),""),"一级",IF($E1267=IFERROR(INDEX(项目档案!$F$6:$F$255,MATCH($C1267,项目档案!$A$6:$A$255,0)),""),"二级",IF($E1267=IFERROR(INDEX(项目档案!$H$6:$H$255,MATCH($C1267,项目档案!$A$6:$A$255,0)),""),"我方","—"))))</f>
        <v/>
      </c>
      <c r="O1267" s="36" t="n">
        <f aca="false">IF($D1267&lt;&gt;"销项开票",0,ROUND(N($H1267)*N($I1267),2))</f>
        <v>0</v>
      </c>
      <c r="P1267" s="36" t="n">
        <f aca="false">IF($D1267&lt;&gt;"销项开票",0,ROUND(N($H1267)-$O1267,2))</f>
        <v>0</v>
      </c>
      <c r="Q1267" s="37" t="str">
        <f aca="false">IF($E1267="","",N(IFERROR(INDEX(单位档案!$E$6:$E$35,MATCH($E1267,单位档案!$A$6:$A$35,0)),"")))</f>
        <v/>
      </c>
      <c r="R1267" s="37" t="str">
        <f aca="false">IF($E1267="","",N(IFERROR(INDEX(单位档案!$F$6:$F$35,MATCH($E1267,单位档案!$A$6:$A$35,0)),"")))</f>
        <v/>
      </c>
      <c r="S1267" s="36" t="n">
        <f aca="false">IF(OR($D1267&lt;&gt;"销项开票",IFERROR(INDEX(单位档案!$G$6:$G$35,MATCH($E1267,单位档案!$A$6:$A$35,0)),"")&lt;&gt;"是",N($Q1267)=0),0,IF(IFERROR(INDEX(单位档案!$H$6:$H$35,MATCH($E1267,单位档案!$A$6:$A$35,0)),"")="税差法",ROUND(N($H1267)/(1+$Q1267)*$Q1267-IF(N($R1267)=0,0,$P1267/(1+$R1267)*$R1267),2),ROUND(N($H1267)/(1+$Q1267)*$Q1267,2)))</f>
        <v>0</v>
      </c>
      <c r="T1267" s="36" t="n">
        <f aca="false">ROUND($S1267*N(IFERROR(INDEX(单位档案!$J$6:$J$35,MATCH($E1267,单位档案!$A$6:$A$35,0)),"")),2)</f>
        <v>0</v>
      </c>
      <c r="U1267" s="36" t="n">
        <f aca="false">IF($D1267&lt;&gt;"销项开票",0,ROUND(N($H1267)*N(IFERROR(INDEX(单位档案!$K$6:$K$35,MATCH($E1267,单位档案!$A$6:$A$35,0)),"")),2))</f>
        <v>0</v>
      </c>
      <c r="V1267" s="36" t="n">
        <f aca="false">IF(OR($D1267&lt;&gt;"销项开票",N($Q1267)=0),0,ROUND(N($H1267)/(1+$Q1267)*N(IFERROR(INDEX(单位档案!$L$6:$L$35,MATCH($E1267,单位档案!$A$6:$A$35,0)),"")),2))</f>
        <v>0</v>
      </c>
      <c r="W1267" s="36" t="n">
        <f aca="false">ROUND($S1267+$T1267+$U1267+$V1267,2)</f>
        <v>0</v>
      </c>
      <c r="X1267" s="35" t="str">
        <f aca="false">IF(OR($D1267="挂靠代收",$D1267="我方收款"),COUNTIFS($D$5:$D1267,"挂靠代收")+COUNTIFS($D$5:$D1267,"我方收款"),"")</f>
        <v/>
      </c>
      <c r="Y1267" s="35"/>
      <c r="Z1267" s="21" t="s">
        <v>111</v>
      </c>
    </row>
    <row r="1268" customFormat="false" ht="15.75" hidden="false" customHeight="true" outlineLevel="0" collapsed="false">
      <c r="A1268" s="32" t="str">
        <f aca="false">IF($B1268="","",ROW()-4)</f>
        <v/>
      </c>
      <c r="B1268" s="26"/>
      <c r="C1268" s="24"/>
      <c r="D1268" s="21"/>
      <c r="E1268" s="21"/>
      <c r="F1268" s="21"/>
      <c r="G1268" s="21"/>
      <c r="H1268" s="27"/>
      <c r="I1268" s="23" t="str">
        <f aca="false">IF($D1268&lt;&gt;"销项开票","",IF($N1268="一级",IF(IFERROR(INDEX(项目档案!$E$6:$E$255,MATCH($C1268,项目档案!$A$6:$A$255,0)),"")="",N(IFERROR(INDEX(单位档案!$D$6:$D$35,MATCH($E1268,单位档案!$A$6:$A$35,0)),"")),IFERROR(INDEX(项目档案!$E$6:$E$255,MATCH($C1268,项目档案!$A$6:$A$255,0)),"")),IF($N1268="二级",IF(IFERROR(INDEX(项目档案!$G$6:$G$255,MATCH($C1268,项目档案!$A$6:$A$255,0)),"")="",N(IFERROR(INDEX(单位档案!$D$6:$D$35,MATCH($E1268,单位档案!$A$6:$A$35,0)),"")),IFERROR(INDEX(项目档案!$G$6:$G$255,MATCH($C1268,项目档案!$A$6:$A$255,0)),"")),N(IFERROR(INDEX(单位档案!$D$6:$D$35,MATCH($E1268,单位档案!$A$6:$A$35,0)),"")))))</f>
        <v/>
      </c>
      <c r="J1268" s="22"/>
      <c r="K1268" s="22"/>
      <c r="L1268" s="33" t="str">
        <f aca="false">IF($B1268="","",IF(NOT(ISNUMBER($B1268)),"日期格式不对",IF($C1268="","未选项目编号",IF(LEFT($M1268,1)="⚠","项目编号不存在",IF($D1268="","未选业务类型",IF($E1268="","未选开票/付款方",IF(ISNA(MATCH($E1268,单位档案!$A$6:$A$35,0)),"开票方不在单位档案",IF($F1268="","未选收票/收款方",IF(ISNA(MATCH($F1268,单位档案!$A$6:$A$35,0)),"收款方不在单位档案",IF(NOT(ISNUMBER($H1268)),"金额须为数字",IF(AND($D1268="销项开票",$N1268="—"),"链条待确认","√")))))))))))</f>
        <v/>
      </c>
      <c r="M1268" s="34" t="str">
        <f aca="false">IF($C1268="","",IFERROR(INDEX(项目档案!$B$6:$B$255,MATCH($C1268,项目档案!$A$6:$A$255,0)),"⚠项目编号不存在"))</f>
        <v/>
      </c>
      <c r="N1268" s="35" t="str">
        <f aca="false">IF($E1268="","",IF($E1268=IFERROR(INDEX(项目档案!$D$6:$D$255,MATCH($C1268,项目档案!$A$6:$A$255,0)),""),"一级",IF($E1268=IFERROR(INDEX(项目档案!$F$6:$F$255,MATCH($C1268,项目档案!$A$6:$A$255,0)),""),"二级",IF($E1268=IFERROR(INDEX(项目档案!$H$6:$H$255,MATCH($C1268,项目档案!$A$6:$A$255,0)),""),"我方","—"))))</f>
        <v/>
      </c>
      <c r="O1268" s="36" t="n">
        <f aca="false">IF($D1268&lt;&gt;"销项开票",0,ROUND(N($H1268)*N($I1268),2))</f>
        <v>0</v>
      </c>
      <c r="P1268" s="36" t="n">
        <f aca="false">IF($D1268&lt;&gt;"销项开票",0,ROUND(N($H1268)-$O1268,2))</f>
        <v>0</v>
      </c>
      <c r="Q1268" s="37" t="str">
        <f aca="false">IF($E1268="","",N(IFERROR(INDEX(单位档案!$E$6:$E$35,MATCH($E1268,单位档案!$A$6:$A$35,0)),"")))</f>
        <v/>
      </c>
      <c r="R1268" s="37" t="str">
        <f aca="false">IF($E1268="","",N(IFERROR(INDEX(单位档案!$F$6:$F$35,MATCH($E1268,单位档案!$A$6:$A$35,0)),"")))</f>
        <v/>
      </c>
      <c r="S1268" s="36" t="n">
        <f aca="false">IF(OR($D1268&lt;&gt;"销项开票",IFERROR(INDEX(单位档案!$G$6:$G$35,MATCH($E1268,单位档案!$A$6:$A$35,0)),"")&lt;&gt;"是",N($Q1268)=0),0,IF(IFERROR(INDEX(单位档案!$H$6:$H$35,MATCH($E1268,单位档案!$A$6:$A$35,0)),"")="税差法",ROUND(N($H1268)/(1+$Q1268)*$Q1268-IF(N($R1268)=0,0,$P1268/(1+$R1268)*$R1268),2),ROUND(N($H1268)/(1+$Q1268)*$Q1268,2)))</f>
        <v>0</v>
      </c>
      <c r="T1268" s="36" t="n">
        <f aca="false">ROUND($S1268*N(IFERROR(INDEX(单位档案!$J$6:$J$35,MATCH($E1268,单位档案!$A$6:$A$35,0)),"")),2)</f>
        <v>0</v>
      </c>
      <c r="U1268" s="36" t="n">
        <f aca="false">IF($D1268&lt;&gt;"销项开票",0,ROUND(N($H1268)*N(IFERROR(INDEX(单位档案!$K$6:$K$35,MATCH($E1268,单位档案!$A$6:$A$35,0)),"")),2))</f>
        <v>0</v>
      </c>
      <c r="V1268" s="36" t="n">
        <f aca="false">IF(OR($D1268&lt;&gt;"销项开票",N($Q1268)=0),0,ROUND(N($H1268)/(1+$Q1268)*N(IFERROR(INDEX(单位档案!$L$6:$L$35,MATCH($E1268,单位档案!$A$6:$A$35,0)),"")),2))</f>
        <v>0</v>
      </c>
      <c r="W1268" s="36" t="n">
        <f aca="false">ROUND($S1268+$T1268+$U1268+$V1268,2)</f>
        <v>0</v>
      </c>
      <c r="X1268" s="35" t="str">
        <f aca="false">IF(OR($D1268="挂靠代收",$D1268="我方收款"),COUNTIFS($D$5:$D1268,"挂靠代收")+COUNTIFS($D$5:$D1268,"我方收款"),"")</f>
        <v/>
      </c>
      <c r="Y1268" s="35"/>
      <c r="Z1268" s="21" t="s">
        <v>111</v>
      </c>
    </row>
    <row r="1269" customFormat="false" ht="15.75" hidden="false" customHeight="true" outlineLevel="0" collapsed="false">
      <c r="A1269" s="32" t="str">
        <f aca="false">IF($B1269="","",ROW()-4)</f>
        <v/>
      </c>
      <c r="B1269" s="26"/>
      <c r="C1269" s="24"/>
      <c r="D1269" s="21"/>
      <c r="E1269" s="21"/>
      <c r="F1269" s="21"/>
      <c r="G1269" s="21"/>
      <c r="H1269" s="27"/>
      <c r="I1269" s="23" t="str">
        <f aca="false">IF($D1269&lt;&gt;"销项开票","",IF($N1269="一级",IF(IFERROR(INDEX(项目档案!$E$6:$E$255,MATCH($C1269,项目档案!$A$6:$A$255,0)),"")="",N(IFERROR(INDEX(单位档案!$D$6:$D$35,MATCH($E1269,单位档案!$A$6:$A$35,0)),"")),IFERROR(INDEX(项目档案!$E$6:$E$255,MATCH($C1269,项目档案!$A$6:$A$255,0)),"")),IF($N1269="二级",IF(IFERROR(INDEX(项目档案!$G$6:$G$255,MATCH($C1269,项目档案!$A$6:$A$255,0)),"")="",N(IFERROR(INDEX(单位档案!$D$6:$D$35,MATCH($E1269,单位档案!$A$6:$A$35,0)),"")),IFERROR(INDEX(项目档案!$G$6:$G$255,MATCH($C1269,项目档案!$A$6:$A$255,0)),"")),N(IFERROR(INDEX(单位档案!$D$6:$D$35,MATCH($E1269,单位档案!$A$6:$A$35,0)),"")))))</f>
        <v/>
      </c>
      <c r="J1269" s="22"/>
      <c r="K1269" s="22"/>
      <c r="L1269" s="33" t="str">
        <f aca="false">IF($B1269="","",IF(NOT(ISNUMBER($B1269)),"日期格式不对",IF($C1269="","未选项目编号",IF(LEFT($M1269,1)="⚠","项目编号不存在",IF($D1269="","未选业务类型",IF($E1269="","未选开票/付款方",IF(ISNA(MATCH($E1269,单位档案!$A$6:$A$35,0)),"开票方不在单位档案",IF($F1269="","未选收票/收款方",IF(ISNA(MATCH($F1269,单位档案!$A$6:$A$35,0)),"收款方不在单位档案",IF(NOT(ISNUMBER($H1269)),"金额须为数字",IF(AND($D1269="销项开票",$N1269="—"),"链条待确认","√")))))))))))</f>
        <v/>
      </c>
      <c r="M1269" s="34" t="str">
        <f aca="false">IF($C1269="","",IFERROR(INDEX(项目档案!$B$6:$B$255,MATCH($C1269,项目档案!$A$6:$A$255,0)),"⚠项目编号不存在"))</f>
        <v/>
      </c>
      <c r="N1269" s="35" t="str">
        <f aca="false">IF($E1269="","",IF($E1269=IFERROR(INDEX(项目档案!$D$6:$D$255,MATCH($C1269,项目档案!$A$6:$A$255,0)),""),"一级",IF($E1269=IFERROR(INDEX(项目档案!$F$6:$F$255,MATCH($C1269,项目档案!$A$6:$A$255,0)),""),"二级",IF($E1269=IFERROR(INDEX(项目档案!$H$6:$H$255,MATCH($C1269,项目档案!$A$6:$A$255,0)),""),"我方","—"))))</f>
        <v/>
      </c>
      <c r="O1269" s="36" t="n">
        <f aca="false">IF($D1269&lt;&gt;"销项开票",0,ROUND(N($H1269)*N($I1269),2))</f>
        <v>0</v>
      </c>
      <c r="P1269" s="36" t="n">
        <f aca="false">IF($D1269&lt;&gt;"销项开票",0,ROUND(N($H1269)-$O1269,2))</f>
        <v>0</v>
      </c>
      <c r="Q1269" s="37" t="str">
        <f aca="false">IF($E1269="","",N(IFERROR(INDEX(单位档案!$E$6:$E$35,MATCH($E1269,单位档案!$A$6:$A$35,0)),"")))</f>
        <v/>
      </c>
      <c r="R1269" s="37" t="str">
        <f aca="false">IF($E1269="","",N(IFERROR(INDEX(单位档案!$F$6:$F$35,MATCH($E1269,单位档案!$A$6:$A$35,0)),"")))</f>
        <v/>
      </c>
      <c r="S1269" s="36" t="n">
        <f aca="false">IF(OR($D1269&lt;&gt;"销项开票",IFERROR(INDEX(单位档案!$G$6:$G$35,MATCH($E1269,单位档案!$A$6:$A$35,0)),"")&lt;&gt;"是",N($Q1269)=0),0,IF(IFERROR(INDEX(单位档案!$H$6:$H$35,MATCH($E1269,单位档案!$A$6:$A$35,0)),"")="税差法",ROUND(N($H1269)/(1+$Q1269)*$Q1269-IF(N($R1269)=0,0,$P1269/(1+$R1269)*$R1269),2),ROUND(N($H1269)/(1+$Q1269)*$Q1269,2)))</f>
        <v>0</v>
      </c>
      <c r="T1269" s="36" t="n">
        <f aca="false">ROUND($S1269*N(IFERROR(INDEX(单位档案!$J$6:$J$35,MATCH($E1269,单位档案!$A$6:$A$35,0)),"")),2)</f>
        <v>0</v>
      </c>
      <c r="U1269" s="36" t="n">
        <f aca="false">IF($D1269&lt;&gt;"销项开票",0,ROUND(N($H1269)*N(IFERROR(INDEX(单位档案!$K$6:$K$35,MATCH($E1269,单位档案!$A$6:$A$35,0)),"")),2))</f>
        <v>0</v>
      </c>
      <c r="V1269" s="36" t="n">
        <f aca="false">IF(OR($D1269&lt;&gt;"销项开票",N($Q1269)=0),0,ROUND(N($H1269)/(1+$Q1269)*N(IFERROR(INDEX(单位档案!$L$6:$L$35,MATCH($E1269,单位档案!$A$6:$A$35,0)),"")),2))</f>
        <v>0</v>
      </c>
      <c r="W1269" s="36" t="n">
        <f aca="false">ROUND($S1269+$T1269+$U1269+$V1269,2)</f>
        <v>0</v>
      </c>
      <c r="X1269" s="35" t="str">
        <f aca="false">IF(OR($D1269="挂靠代收",$D1269="我方收款"),COUNTIFS($D$5:$D1269,"挂靠代收")+COUNTIFS($D$5:$D1269,"我方收款"),"")</f>
        <v/>
      </c>
      <c r="Y1269" s="35"/>
      <c r="Z1269" s="21" t="s">
        <v>111</v>
      </c>
    </row>
    <row r="1270" customFormat="false" ht="15.75" hidden="false" customHeight="true" outlineLevel="0" collapsed="false">
      <c r="A1270" s="32" t="str">
        <f aca="false">IF($B1270="","",ROW()-4)</f>
        <v/>
      </c>
      <c r="B1270" s="26"/>
      <c r="C1270" s="24"/>
      <c r="D1270" s="21"/>
      <c r="E1270" s="21"/>
      <c r="F1270" s="21"/>
      <c r="G1270" s="21"/>
      <c r="H1270" s="27"/>
      <c r="I1270" s="23" t="str">
        <f aca="false">IF($D1270&lt;&gt;"销项开票","",IF($N1270="一级",IF(IFERROR(INDEX(项目档案!$E$6:$E$255,MATCH($C1270,项目档案!$A$6:$A$255,0)),"")="",N(IFERROR(INDEX(单位档案!$D$6:$D$35,MATCH($E1270,单位档案!$A$6:$A$35,0)),"")),IFERROR(INDEX(项目档案!$E$6:$E$255,MATCH($C1270,项目档案!$A$6:$A$255,0)),"")),IF($N1270="二级",IF(IFERROR(INDEX(项目档案!$G$6:$G$255,MATCH($C1270,项目档案!$A$6:$A$255,0)),"")="",N(IFERROR(INDEX(单位档案!$D$6:$D$35,MATCH($E1270,单位档案!$A$6:$A$35,0)),"")),IFERROR(INDEX(项目档案!$G$6:$G$255,MATCH($C1270,项目档案!$A$6:$A$255,0)),"")),N(IFERROR(INDEX(单位档案!$D$6:$D$35,MATCH($E1270,单位档案!$A$6:$A$35,0)),"")))))</f>
        <v/>
      </c>
      <c r="J1270" s="22"/>
      <c r="K1270" s="22"/>
      <c r="L1270" s="33" t="str">
        <f aca="false">IF($B1270="","",IF(NOT(ISNUMBER($B1270)),"日期格式不对",IF($C1270="","未选项目编号",IF(LEFT($M1270,1)="⚠","项目编号不存在",IF($D1270="","未选业务类型",IF($E1270="","未选开票/付款方",IF(ISNA(MATCH($E1270,单位档案!$A$6:$A$35,0)),"开票方不在单位档案",IF($F1270="","未选收票/收款方",IF(ISNA(MATCH($F1270,单位档案!$A$6:$A$35,0)),"收款方不在单位档案",IF(NOT(ISNUMBER($H1270)),"金额须为数字",IF(AND($D1270="销项开票",$N1270="—"),"链条待确认","√")))))))))))</f>
        <v/>
      </c>
      <c r="M1270" s="34" t="str">
        <f aca="false">IF($C1270="","",IFERROR(INDEX(项目档案!$B$6:$B$255,MATCH($C1270,项目档案!$A$6:$A$255,0)),"⚠项目编号不存在"))</f>
        <v/>
      </c>
      <c r="N1270" s="35" t="str">
        <f aca="false">IF($E1270="","",IF($E1270=IFERROR(INDEX(项目档案!$D$6:$D$255,MATCH($C1270,项目档案!$A$6:$A$255,0)),""),"一级",IF($E1270=IFERROR(INDEX(项目档案!$F$6:$F$255,MATCH($C1270,项目档案!$A$6:$A$255,0)),""),"二级",IF($E1270=IFERROR(INDEX(项目档案!$H$6:$H$255,MATCH($C1270,项目档案!$A$6:$A$255,0)),""),"我方","—"))))</f>
        <v/>
      </c>
      <c r="O1270" s="36" t="n">
        <f aca="false">IF($D1270&lt;&gt;"销项开票",0,ROUND(N($H1270)*N($I1270),2))</f>
        <v>0</v>
      </c>
      <c r="P1270" s="36" t="n">
        <f aca="false">IF($D1270&lt;&gt;"销项开票",0,ROUND(N($H1270)-$O1270,2))</f>
        <v>0</v>
      </c>
      <c r="Q1270" s="37" t="str">
        <f aca="false">IF($E1270="","",N(IFERROR(INDEX(单位档案!$E$6:$E$35,MATCH($E1270,单位档案!$A$6:$A$35,0)),"")))</f>
        <v/>
      </c>
      <c r="R1270" s="37" t="str">
        <f aca="false">IF($E1270="","",N(IFERROR(INDEX(单位档案!$F$6:$F$35,MATCH($E1270,单位档案!$A$6:$A$35,0)),"")))</f>
        <v/>
      </c>
      <c r="S1270" s="36" t="n">
        <f aca="false">IF(OR($D1270&lt;&gt;"销项开票",IFERROR(INDEX(单位档案!$G$6:$G$35,MATCH($E1270,单位档案!$A$6:$A$35,0)),"")&lt;&gt;"是",N($Q1270)=0),0,IF(IFERROR(INDEX(单位档案!$H$6:$H$35,MATCH($E1270,单位档案!$A$6:$A$35,0)),"")="税差法",ROUND(N($H1270)/(1+$Q1270)*$Q1270-IF(N($R1270)=0,0,$P1270/(1+$R1270)*$R1270),2),ROUND(N($H1270)/(1+$Q1270)*$Q1270,2)))</f>
        <v>0</v>
      </c>
      <c r="T1270" s="36" t="n">
        <f aca="false">ROUND($S1270*N(IFERROR(INDEX(单位档案!$J$6:$J$35,MATCH($E1270,单位档案!$A$6:$A$35,0)),"")),2)</f>
        <v>0</v>
      </c>
      <c r="U1270" s="36" t="n">
        <f aca="false">IF($D1270&lt;&gt;"销项开票",0,ROUND(N($H1270)*N(IFERROR(INDEX(单位档案!$K$6:$K$35,MATCH($E1270,单位档案!$A$6:$A$35,0)),"")),2))</f>
        <v>0</v>
      </c>
      <c r="V1270" s="36" t="n">
        <f aca="false">IF(OR($D1270&lt;&gt;"销项开票",N($Q1270)=0),0,ROUND(N($H1270)/(1+$Q1270)*N(IFERROR(INDEX(单位档案!$L$6:$L$35,MATCH($E1270,单位档案!$A$6:$A$35,0)),"")),2))</f>
        <v>0</v>
      </c>
      <c r="W1270" s="36" t="n">
        <f aca="false">ROUND($S1270+$T1270+$U1270+$V1270,2)</f>
        <v>0</v>
      </c>
      <c r="X1270" s="35" t="str">
        <f aca="false">IF(OR($D1270="挂靠代收",$D1270="我方收款"),COUNTIFS($D$5:$D1270,"挂靠代收")+COUNTIFS($D$5:$D1270,"我方收款"),"")</f>
        <v/>
      </c>
      <c r="Y1270" s="35"/>
      <c r="Z1270" s="21" t="s">
        <v>111</v>
      </c>
    </row>
    <row r="1271" customFormat="false" ht="15.75" hidden="false" customHeight="true" outlineLevel="0" collapsed="false">
      <c r="A1271" s="32" t="str">
        <f aca="false">IF($B1271="","",ROW()-4)</f>
        <v/>
      </c>
      <c r="B1271" s="26"/>
      <c r="C1271" s="24"/>
      <c r="D1271" s="21"/>
      <c r="E1271" s="21"/>
      <c r="F1271" s="21"/>
      <c r="G1271" s="21"/>
      <c r="H1271" s="27"/>
      <c r="I1271" s="23" t="str">
        <f aca="false">IF($D1271&lt;&gt;"销项开票","",IF($N1271="一级",IF(IFERROR(INDEX(项目档案!$E$6:$E$255,MATCH($C1271,项目档案!$A$6:$A$255,0)),"")="",N(IFERROR(INDEX(单位档案!$D$6:$D$35,MATCH($E1271,单位档案!$A$6:$A$35,0)),"")),IFERROR(INDEX(项目档案!$E$6:$E$255,MATCH($C1271,项目档案!$A$6:$A$255,0)),"")),IF($N1271="二级",IF(IFERROR(INDEX(项目档案!$G$6:$G$255,MATCH($C1271,项目档案!$A$6:$A$255,0)),"")="",N(IFERROR(INDEX(单位档案!$D$6:$D$35,MATCH($E1271,单位档案!$A$6:$A$35,0)),"")),IFERROR(INDEX(项目档案!$G$6:$G$255,MATCH($C1271,项目档案!$A$6:$A$255,0)),"")),N(IFERROR(INDEX(单位档案!$D$6:$D$35,MATCH($E1271,单位档案!$A$6:$A$35,0)),"")))))</f>
        <v/>
      </c>
      <c r="J1271" s="22"/>
      <c r="K1271" s="22"/>
      <c r="L1271" s="33" t="str">
        <f aca="false">IF($B1271="","",IF(NOT(ISNUMBER($B1271)),"日期格式不对",IF($C1271="","未选项目编号",IF(LEFT($M1271,1)="⚠","项目编号不存在",IF($D1271="","未选业务类型",IF($E1271="","未选开票/付款方",IF(ISNA(MATCH($E1271,单位档案!$A$6:$A$35,0)),"开票方不在单位档案",IF($F1271="","未选收票/收款方",IF(ISNA(MATCH($F1271,单位档案!$A$6:$A$35,0)),"收款方不在单位档案",IF(NOT(ISNUMBER($H1271)),"金额须为数字",IF(AND($D1271="销项开票",$N1271="—"),"链条待确认","√")))))))))))</f>
        <v/>
      </c>
      <c r="M1271" s="34" t="str">
        <f aca="false">IF($C1271="","",IFERROR(INDEX(项目档案!$B$6:$B$255,MATCH($C1271,项目档案!$A$6:$A$255,0)),"⚠项目编号不存在"))</f>
        <v/>
      </c>
      <c r="N1271" s="35" t="str">
        <f aca="false">IF($E1271="","",IF($E1271=IFERROR(INDEX(项目档案!$D$6:$D$255,MATCH($C1271,项目档案!$A$6:$A$255,0)),""),"一级",IF($E1271=IFERROR(INDEX(项目档案!$F$6:$F$255,MATCH($C1271,项目档案!$A$6:$A$255,0)),""),"二级",IF($E1271=IFERROR(INDEX(项目档案!$H$6:$H$255,MATCH($C1271,项目档案!$A$6:$A$255,0)),""),"我方","—"))))</f>
        <v/>
      </c>
      <c r="O1271" s="36" t="n">
        <f aca="false">IF($D1271&lt;&gt;"销项开票",0,ROUND(N($H1271)*N($I1271),2))</f>
        <v>0</v>
      </c>
      <c r="P1271" s="36" t="n">
        <f aca="false">IF($D1271&lt;&gt;"销项开票",0,ROUND(N($H1271)-$O1271,2))</f>
        <v>0</v>
      </c>
      <c r="Q1271" s="37" t="str">
        <f aca="false">IF($E1271="","",N(IFERROR(INDEX(单位档案!$E$6:$E$35,MATCH($E1271,单位档案!$A$6:$A$35,0)),"")))</f>
        <v/>
      </c>
      <c r="R1271" s="37" t="str">
        <f aca="false">IF($E1271="","",N(IFERROR(INDEX(单位档案!$F$6:$F$35,MATCH($E1271,单位档案!$A$6:$A$35,0)),"")))</f>
        <v/>
      </c>
      <c r="S1271" s="36" t="n">
        <f aca="false">IF(OR($D1271&lt;&gt;"销项开票",IFERROR(INDEX(单位档案!$G$6:$G$35,MATCH($E1271,单位档案!$A$6:$A$35,0)),"")&lt;&gt;"是",N($Q1271)=0),0,IF(IFERROR(INDEX(单位档案!$H$6:$H$35,MATCH($E1271,单位档案!$A$6:$A$35,0)),"")="税差法",ROUND(N($H1271)/(1+$Q1271)*$Q1271-IF(N($R1271)=0,0,$P1271/(1+$R1271)*$R1271),2),ROUND(N($H1271)/(1+$Q1271)*$Q1271,2)))</f>
        <v>0</v>
      </c>
      <c r="T1271" s="36" t="n">
        <f aca="false">ROUND($S1271*N(IFERROR(INDEX(单位档案!$J$6:$J$35,MATCH($E1271,单位档案!$A$6:$A$35,0)),"")),2)</f>
        <v>0</v>
      </c>
      <c r="U1271" s="36" t="n">
        <f aca="false">IF($D1271&lt;&gt;"销项开票",0,ROUND(N($H1271)*N(IFERROR(INDEX(单位档案!$K$6:$K$35,MATCH($E1271,单位档案!$A$6:$A$35,0)),"")),2))</f>
        <v>0</v>
      </c>
      <c r="V1271" s="36" t="n">
        <f aca="false">IF(OR($D1271&lt;&gt;"销项开票",N($Q1271)=0),0,ROUND(N($H1271)/(1+$Q1271)*N(IFERROR(INDEX(单位档案!$L$6:$L$35,MATCH($E1271,单位档案!$A$6:$A$35,0)),"")),2))</f>
        <v>0</v>
      </c>
      <c r="W1271" s="36" t="n">
        <f aca="false">ROUND($S1271+$T1271+$U1271+$V1271,2)</f>
        <v>0</v>
      </c>
      <c r="X1271" s="35" t="str">
        <f aca="false">IF(OR($D1271="挂靠代收",$D1271="我方收款"),COUNTIFS($D$5:$D1271,"挂靠代收")+COUNTIFS($D$5:$D1271,"我方收款"),"")</f>
        <v/>
      </c>
      <c r="Y1271" s="35"/>
      <c r="Z1271" s="21" t="s">
        <v>111</v>
      </c>
    </row>
    <row r="1272" customFormat="false" ht="15.75" hidden="false" customHeight="true" outlineLevel="0" collapsed="false">
      <c r="A1272" s="32" t="str">
        <f aca="false">IF($B1272="","",ROW()-4)</f>
        <v/>
      </c>
      <c r="B1272" s="26"/>
      <c r="C1272" s="24"/>
      <c r="D1272" s="21"/>
      <c r="E1272" s="21"/>
      <c r="F1272" s="21"/>
      <c r="G1272" s="21"/>
      <c r="H1272" s="27"/>
      <c r="I1272" s="23" t="str">
        <f aca="false">IF($D1272&lt;&gt;"销项开票","",IF($N1272="一级",IF(IFERROR(INDEX(项目档案!$E$6:$E$255,MATCH($C1272,项目档案!$A$6:$A$255,0)),"")="",N(IFERROR(INDEX(单位档案!$D$6:$D$35,MATCH($E1272,单位档案!$A$6:$A$35,0)),"")),IFERROR(INDEX(项目档案!$E$6:$E$255,MATCH($C1272,项目档案!$A$6:$A$255,0)),"")),IF($N1272="二级",IF(IFERROR(INDEX(项目档案!$G$6:$G$255,MATCH($C1272,项目档案!$A$6:$A$255,0)),"")="",N(IFERROR(INDEX(单位档案!$D$6:$D$35,MATCH($E1272,单位档案!$A$6:$A$35,0)),"")),IFERROR(INDEX(项目档案!$G$6:$G$255,MATCH($C1272,项目档案!$A$6:$A$255,0)),"")),N(IFERROR(INDEX(单位档案!$D$6:$D$35,MATCH($E1272,单位档案!$A$6:$A$35,0)),"")))))</f>
        <v/>
      </c>
      <c r="J1272" s="22"/>
      <c r="K1272" s="22"/>
      <c r="L1272" s="33" t="str">
        <f aca="false">IF($B1272="","",IF(NOT(ISNUMBER($B1272)),"日期格式不对",IF($C1272="","未选项目编号",IF(LEFT($M1272,1)="⚠","项目编号不存在",IF($D1272="","未选业务类型",IF($E1272="","未选开票/付款方",IF(ISNA(MATCH($E1272,单位档案!$A$6:$A$35,0)),"开票方不在单位档案",IF($F1272="","未选收票/收款方",IF(ISNA(MATCH($F1272,单位档案!$A$6:$A$35,0)),"收款方不在单位档案",IF(NOT(ISNUMBER($H1272)),"金额须为数字",IF(AND($D1272="销项开票",$N1272="—"),"链条待确认","√")))))))))))</f>
        <v/>
      </c>
      <c r="M1272" s="34" t="str">
        <f aca="false">IF($C1272="","",IFERROR(INDEX(项目档案!$B$6:$B$255,MATCH($C1272,项目档案!$A$6:$A$255,0)),"⚠项目编号不存在"))</f>
        <v/>
      </c>
      <c r="N1272" s="35" t="str">
        <f aca="false">IF($E1272="","",IF($E1272=IFERROR(INDEX(项目档案!$D$6:$D$255,MATCH($C1272,项目档案!$A$6:$A$255,0)),""),"一级",IF($E1272=IFERROR(INDEX(项目档案!$F$6:$F$255,MATCH($C1272,项目档案!$A$6:$A$255,0)),""),"二级",IF($E1272=IFERROR(INDEX(项目档案!$H$6:$H$255,MATCH($C1272,项目档案!$A$6:$A$255,0)),""),"我方","—"))))</f>
        <v/>
      </c>
      <c r="O1272" s="36" t="n">
        <f aca="false">IF($D1272&lt;&gt;"销项开票",0,ROUND(N($H1272)*N($I1272),2))</f>
        <v>0</v>
      </c>
      <c r="P1272" s="36" t="n">
        <f aca="false">IF($D1272&lt;&gt;"销项开票",0,ROUND(N($H1272)-$O1272,2))</f>
        <v>0</v>
      </c>
      <c r="Q1272" s="37" t="str">
        <f aca="false">IF($E1272="","",N(IFERROR(INDEX(单位档案!$E$6:$E$35,MATCH($E1272,单位档案!$A$6:$A$35,0)),"")))</f>
        <v/>
      </c>
      <c r="R1272" s="37" t="str">
        <f aca="false">IF($E1272="","",N(IFERROR(INDEX(单位档案!$F$6:$F$35,MATCH($E1272,单位档案!$A$6:$A$35,0)),"")))</f>
        <v/>
      </c>
      <c r="S1272" s="36" t="n">
        <f aca="false">IF(OR($D1272&lt;&gt;"销项开票",IFERROR(INDEX(单位档案!$G$6:$G$35,MATCH($E1272,单位档案!$A$6:$A$35,0)),"")&lt;&gt;"是",N($Q1272)=0),0,IF(IFERROR(INDEX(单位档案!$H$6:$H$35,MATCH($E1272,单位档案!$A$6:$A$35,0)),"")="税差法",ROUND(N($H1272)/(1+$Q1272)*$Q1272-IF(N($R1272)=0,0,$P1272/(1+$R1272)*$R1272),2),ROUND(N($H1272)/(1+$Q1272)*$Q1272,2)))</f>
        <v>0</v>
      </c>
      <c r="T1272" s="36" t="n">
        <f aca="false">ROUND($S1272*N(IFERROR(INDEX(单位档案!$J$6:$J$35,MATCH($E1272,单位档案!$A$6:$A$35,0)),"")),2)</f>
        <v>0</v>
      </c>
      <c r="U1272" s="36" t="n">
        <f aca="false">IF($D1272&lt;&gt;"销项开票",0,ROUND(N($H1272)*N(IFERROR(INDEX(单位档案!$K$6:$K$35,MATCH($E1272,单位档案!$A$6:$A$35,0)),"")),2))</f>
        <v>0</v>
      </c>
      <c r="V1272" s="36" t="n">
        <f aca="false">IF(OR($D1272&lt;&gt;"销项开票",N($Q1272)=0),0,ROUND(N($H1272)/(1+$Q1272)*N(IFERROR(INDEX(单位档案!$L$6:$L$35,MATCH($E1272,单位档案!$A$6:$A$35,0)),"")),2))</f>
        <v>0</v>
      </c>
      <c r="W1272" s="36" t="n">
        <f aca="false">ROUND($S1272+$T1272+$U1272+$V1272,2)</f>
        <v>0</v>
      </c>
      <c r="X1272" s="35" t="str">
        <f aca="false">IF(OR($D1272="挂靠代收",$D1272="我方收款"),COUNTIFS($D$5:$D1272,"挂靠代收")+COUNTIFS($D$5:$D1272,"我方收款"),"")</f>
        <v/>
      </c>
      <c r="Y1272" s="35"/>
      <c r="Z1272" s="21" t="s">
        <v>111</v>
      </c>
    </row>
    <row r="1273" customFormat="false" ht="15.75" hidden="false" customHeight="true" outlineLevel="0" collapsed="false">
      <c r="A1273" s="32" t="str">
        <f aca="false">IF($B1273="","",ROW()-4)</f>
        <v/>
      </c>
      <c r="B1273" s="26"/>
      <c r="C1273" s="24"/>
      <c r="D1273" s="21"/>
      <c r="E1273" s="21"/>
      <c r="F1273" s="21"/>
      <c r="G1273" s="21"/>
      <c r="H1273" s="27"/>
      <c r="I1273" s="23" t="str">
        <f aca="false">IF($D1273&lt;&gt;"销项开票","",IF($N1273="一级",IF(IFERROR(INDEX(项目档案!$E$6:$E$255,MATCH($C1273,项目档案!$A$6:$A$255,0)),"")="",N(IFERROR(INDEX(单位档案!$D$6:$D$35,MATCH($E1273,单位档案!$A$6:$A$35,0)),"")),IFERROR(INDEX(项目档案!$E$6:$E$255,MATCH($C1273,项目档案!$A$6:$A$255,0)),"")),IF($N1273="二级",IF(IFERROR(INDEX(项目档案!$G$6:$G$255,MATCH($C1273,项目档案!$A$6:$A$255,0)),"")="",N(IFERROR(INDEX(单位档案!$D$6:$D$35,MATCH($E1273,单位档案!$A$6:$A$35,0)),"")),IFERROR(INDEX(项目档案!$G$6:$G$255,MATCH($C1273,项目档案!$A$6:$A$255,0)),"")),N(IFERROR(INDEX(单位档案!$D$6:$D$35,MATCH($E1273,单位档案!$A$6:$A$35,0)),"")))))</f>
        <v/>
      </c>
      <c r="J1273" s="22"/>
      <c r="K1273" s="22"/>
      <c r="L1273" s="33" t="str">
        <f aca="false">IF($B1273="","",IF(NOT(ISNUMBER($B1273)),"日期格式不对",IF($C1273="","未选项目编号",IF(LEFT($M1273,1)="⚠","项目编号不存在",IF($D1273="","未选业务类型",IF($E1273="","未选开票/付款方",IF(ISNA(MATCH($E1273,单位档案!$A$6:$A$35,0)),"开票方不在单位档案",IF($F1273="","未选收票/收款方",IF(ISNA(MATCH($F1273,单位档案!$A$6:$A$35,0)),"收款方不在单位档案",IF(NOT(ISNUMBER($H1273)),"金额须为数字",IF(AND($D1273="销项开票",$N1273="—"),"链条待确认","√")))))))))))</f>
        <v/>
      </c>
      <c r="M1273" s="34" t="str">
        <f aca="false">IF($C1273="","",IFERROR(INDEX(项目档案!$B$6:$B$255,MATCH($C1273,项目档案!$A$6:$A$255,0)),"⚠项目编号不存在"))</f>
        <v/>
      </c>
      <c r="N1273" s="35" t="str">
        <f aca="false">IF($E1273="","",IF($E1273=IFERROR(INDEX(项目档案!$D$6:$D$255,MATCH($C1273,项目档案!$A$6:$A$255,0)),""),"一级",IF($E1273=IFERROR(INDEX(项目档案!$F$6:$F$255,MATCH($C1273,项目档案!$A$6:$A$255,0)),""),"二级",IF($E1273=IFERROR(INDEX(项目档案!$H$6:$H$255,MATCH($C1273,项目档案!$A$6:$A$255,0)),""),"我方","—"))))</f>
        <v/>
      </c>
      <c r="O1273" s="36" t="n">
        <f aca="false">IF($D1273&lt;&gt;"销项开票",0,ROUND(N($H1273)*N($I1273),2))</f>
        <v>0</v>
      </c>
      <c r="P1273" s="36" t="n">
        <f aca="false">IF($D1273&lt;&gt;"销项开票",0,ROUND(N($H1273)-$O1273,2))</f>
        <v>0</v>
      </c>
      <c r="Q1273" s="37" t="str">
        <f aca="false">IF($E1273="","",N(IFERROR(INDEX(单位档案!$E$6:$E$35,MATCH($E1273,单位档案!$A$6:$A$35,0)),"")))</f>
        <v/>
      </c>
      <c r="R1273" s="37" t="str">
        <f aca="false">IF($E1273="","",N(IFERROR(INDEX(单位档案!$F$6:$F$35,MATCH($E1273,单位档案!$A$6:$A$35,0)),"")))</f>
        <v/>
      </c>
      <c r="S1273" s="36" t="n">
        <f aca="false">IF(OR($D1273&lt;&gt;"销项开票",IFERROR(INDEX(单位档案!$G$6:$G$35,MATCH($E1273,单位档案!$A$6:$A$35,0)),"")&lt;&gt;"是",N($Q1273)=0),0,IF(IFERROR(INDEX(单位档案!$H$6:$H$35,MATCH($E1273,单位档案!$A$6:$A$35,0)),"")="税差法",ROUND(N($H1273)/(1+$Q1273)*$Q1273-IF(N($R1273)=0,0,$P1273/(1+$R1273)*$R1273),2),ROUND(N($H1273)/(1+$Q1273)*$Q1273,2)))</f>
        <v>0</v>
      </c>
      <c r="T1273" s="36" t="n">
        <f aca="false">ROUND($S1273*N(IFERROR(INDEX(单位档案!$J$6:$J$35,MATCH($E1273,单位档案!$A$6:$A$35,0)),"")),2)</f>
        <v>0</v>
      </c>
      <c r="U1273" s="36" t="n">
        <f aca="false">IF($D1273&lt;&gt;"销项开票",0,ROUND(N($H1273)*N(IFERROR(INDEX(单位档案!$K$6:$K$35,MATCH($E1273,单位档案!$A$6:$A$35,0)),"")),2))</f>
        <v>0</v>
      </c>
      <c r="V1273" s="36" t="n">
        <f aca="false">IF(OR($D1273&lt;&gt;"销项开票",N($Q1273)=0),0,ROUND(N($H1273)/(1+$Q1273)*N(IFERROR(INDEX(单位档案!$L$6:$L$35,MATCH($E1273,单位档案!$A$6:$A$35,0)),"")),2))</f>
        <v>0</v>
      </c>
      <c r="W1273" s="36" t="n">
        <f aca="false">ROUND($S1273+$T1273+$U1273+$V1273,2)</f>
        <v>0</v>
      </c>
      <c r="X1273" s="35" t="str">
        <f aca="false">IF(OR($D1273="挂靠代收",$D1273="我方收款"),COUNTIFS($D$5:$D1273,"挂靠代收")+COUNTIFS($D$5:$D1273,"我方收款"),"")</f>
        <v/>
      </c>
      <c r="Y1273" s="35"/>
      <c r="Z1273" s="21" t="s">
        <v>111</v>
      </c>
    </row>
    <row r="1274" customFormat="false" ht="15.75" hidden="false" customHeight="true" outlineLevel="0" collapsed="false">
      <c r="A1274" s="32" t="str">
        <f aca="false">IF($B1274="","",ROW()-4)</f>
        <v/>
      </c>
      <c r="B1274" s="26"/>
      <c r="C1274" s="24"/>
      <c r="D1274" s="21"/>
      <c r="E1274" s="21"/>
      <c r="F1274" s="21"/>
      <c r="G1274" s="21"/>
      <c r="H1274" s="27"/>
      <c r="I1274" s="23" t="str">
        <f aca="false">IF($D1274&lt;&gt;"销项开票","",IF($N1274="一级",IF(IFERROR(INDEX(项目档案!$E$6:$E$255,MATCH($C1274,项目档案!$A$6:$A$255,0)),"")="",N(IFERROR(INDEX(单位档案!$D$6:$D$35,MATCH($E1274,单位档案!$A$6:$A$35,0)),"")),IFERROR(INDEX(项目档案!$E$6:$E$255,MATCH($C1274,项目档案!$A$6:$A$255,0)),"")),IF($N1274="二级",IF(IFERROR(INDEX(项目档案!$G$6:$G$255,MATCH($C1274,项目档案!$A$6:$A$255,0)),"")="",N(IFERROR(INDEX(单位档案!$D$6:$D$35,MATCH($E1274,单位档案!$A$6:$A$35,0)),"")),IFERROR(INDEX(项目档案!$G$6:$G$255,MATCH($C1274,项目档案!$A$6:$A$255,0)),"")),N(IFERROR(INDEX(单位档案!$D$6:$D$35,MATCH($E1274,单位档案!$A$6:$A$35,0)),"")))))</f>
        <v/>
      </c>
      <c r="J1274" s="22"/>
      <c r="K1274" s="22"/>
      <c r="L1274" s="33" t="str">
        <f aca="false">IF($B1274="","",IF(NOT(ISNUMBER($B1274)),"日期格式不对",IF($C1274="","未选项目编号",IF(LEFT($M1274,1)="⚠","项目编号不存在",IF($D1274="","未选业务类型",IF($E1274="","未选开票/付款方",IF(ISNA(MATCH($E1274,单位档案!$A$6:$A$35,0)),"开票方不在单位档案",IF($F1274="","未选收票/收款方",IF(ISNA(MATCH($F1274,单位档案!$A$6:$A$35,0)),"收款方不在单位档案",IF(NOT(ISNUMBER($H1274)),"金额须为数字",IF(AND($D1274="销项开票",$N1274="—"),"链条待确认","√")))))))))))</f>
        <v/>
      </c>
      <c r="M1274" s="34" t="str">
        <f aca="false">IF($C1274="","",IFERROR(INDEX(项目档案!$B$6:$B$255,MATCH($C1274,项目档案!$A$6:$A$255,0)),"⚠项目编号不存在"))</f>
        <v/>
      </c>
      <c r="N1274" s="35" t="str">
        <f aca="false">IF($E1274="","",IF($E1274=IFERROR(INDEX(项目档案!$D$6:$D$255,MATCH($C1274,项目档案!$A$6:$A$255,0)),""),"一级",IF($E1274=IFERROR(INDEX(项目档案!$F$6:$F$255,MATCH($C1274,项目档案!$A$6:$A$255,0)),""),"二级",IF($E1274=IFERROR(INDEX(项目档案!$H$6:$H$255,MATCH($C1274,项目档案!$A$6:$A$255,0)),""),"我方","—"))))</f>
        <v/>
      </c>
      <c r="O1274" s="36" t="n">
        <f aca="false">IF($D1274&lt;&gt;"销项开票",0,ROUND(N($H1274)*N($I1274),2))</f>
        <v>0</v>
      </c>
      <c r="P1274" s="36" t="n">
        <f aca="false">IF($D1274&lt;&gt;"销项开票",0,ROUND(N($H1274)-$O1274,2))</f>
        <v>0</v>
      </c>
      <c r="Q1274" s="37" t="str">
        <f aca="false">IF($E1274="","",N(IFERROR(INDEX(单位档案!$E$6:$E$35,MATCH($E1274,单位档案!$A$6:$A$35,0)),"")))</f>
        <v/>
      </c>
      <c r="R1274" s="37" t="str">
        <f aca="false">IF($E1274="","",N(IFERROR(INDEX(单位档案!$F$6:$F$35,MATCH($E1274,单位档案!$A$6:$A$35,0)),"")))</f>
        <v/>
      </c>
      <c r="S1274" s="36" t="n">
        <f aca="false">IF(OR($D1274&lt;&gt;"销项开票",IFERROR(INDEX(单位档案!$G$6:$G$35,MATCH($E1274,单位档案!$A$6:$A$35,0)),"")&lt;&gt;"是",N($Q1274)=0),0,IF(IFERROR(INDEX(单位档案!$H$6:$H$35,MATCH($E1274,单位档案!$A$6:$A$35,0)),"")="税差法",ROUND(N($H1274)/(1+$Q1274)*$Q1274-IF(N($R1274)=0,0,$P1274/(1+$R1274)*$R1274),2),ROUND(N($H1274)/(1+$Q1274)*$Q1274,2)))</f>
        <v>0</v>
      </c>
      <c r="T1274" s="36" t="n">
        <f aca="false">ROUND($S1274*N(IFERROR(INDEX(单位档案!$J$6:$J$35,MATCH($E1274,单位档案!$A$6:$A$35,0)),"")),2)</f>
        <v>0</v>
      </c>
      <c r="U1274" s="36" t="n">
        <f aca="false">IF($D1274&lt;&gt;"销项开票",0,ROUND(N($H1274)*N(IFERROR(INDEX(单位档案!$K$6:$K$35,MATCH($E1274,单位档案!$A$6:$A$35,0)),"")),2))</f>
        <v>0</v>
      </c>
      <c r="V1274" s="36" t="n">
        <f aca="false">IF(OR($D1274&lt;&gt;"销项开票",N($Q1274)=0),0,ROUND(N($H1274)/(1+$Q1274)*N(IFERROR(INDEX(单位档案!$L$6:$L$35,MATCH($E1274,单位档案!$A$6:$A$35,0)),"")),2))</f>
        <v>0</v>
      </c>
      <c r="W1274" s="36" t="n">
        <f aca="false">ROUND($S1274+$T1274+$U1274+$V1274,2)</f>
        <v>0</v>
      </c>
      <c r="X1274" s="35" t="str">
        <f aca="false">IF(OR($D1274="挂靠代收",$D1274="我方收款"),COUNTIFS($D$5:$D1274,"挂靠代收")+COUNTIFS($D$5:$D1274,"我方收款"),"")</f>
        <v/>
      </c>
      <c r="Y1274" s="35"/>
      <c r="Z1274" s="21" t="s">
        <v>111</v>
      </c>
    </row>
    <row r="1275" customFormat="false" ht="15.75" hidden="false" customHeight="true" outlineLevel="0" collapsed="false">
      <c r="A1275" s="32" t="str">
        <f aca="false">IF($B1275="","",ROW()-4)</f>
        <v/>
      </c>
      <c r="B1275" s="26"/>
      <c r="C1275" s="24"/>
      <c r="D1275" s="21"/>
      <c r="E1275" s="21"/>
      <c r="F1275" s="21"/>
      <c r="G1275" s="21"/>
      <c r="H1275" s="27"/>
      <c r="I1275" s="23" t="str">
        <f aca="false">IF($D1275&lt;&gt;"销项开票","",IF($N1275="一级",IF(IFERROR(INDEX(项目档案!$E$6:$E$255,MATCH($C1275,项目档案!$A$6:$A$255,0)),"")="",N(IFERROR(INDEX(单位档案!$D$6:$D$35,MATCH($E1275,单位档案!$A$6:$A$35,0)),"")),IFERROR(INDEX(项目档案!$E$6:$E$255,MATCH($C1275,项目档案!$A$6:$A$255,0)),"")),IF($N1275="二级",IF(IFERROR(INDEX(项目档案!$G$6:$G$255,MATCH($C1275,项目档案!$A$6:$A$255,0)),"")="",N(IFERROR(INDEX(单位档案!$D$6:$D$35,MATCH($E1275,单位档案!$A$6:$A$35,0)),"")),IFERROR(INDEX(项目档案!$G$6:$G$255,MATCH($C1275,项目档案!$A$6:$A$255,0)),"")),N(IFERROR(INDEX(单位档案!$D$6:$D$35,MATCH($E1275,单位档案!$A$6:$A$35,0)),"")))))</f>
        <v/>
      </c>
      <c r="J1275" s="22"/>
      <c r="K1275" s="22"/>
      <c r="L1275" s="33" t="str">
        <f aca="false">IF($B1275="","",IF(NOT(ISNUMBER($B1275)),"日期格式不对",IF($C1275="","未选项目编号",IF(LEFT($M1275,1)="⚠","项目编号不存在",IF($D1275="","未选业务类型",IF($E1275="","未选开票/付款方",IF(ISNA(MATCH($E1275,单位档案!$A$6:$A$35,0)),"开票方不在单位档案",IF($F1275="","未选收票/收款方",IF(ISNA(MATCH($F1275,单位档案!$A$6:$A$35,0)),"收款方不在单位档案",IF(NOT(ISNUMBER($H1275)),"金额须为数字",IF(AND($D1275="销项开票",$N1275="—"),"链条待确认","√")))))))))))</f>
        <v/>
      </c>
      <c r="M1275" s="34" t="str">
        <f aca="false">IF($C1275="","",IFERROR(INDEX(项目档案!$B$6:$B$255,MATCH($C1275,项目档案!$A$6:$A$255,0)),"⚠项目编号不存在"))</f>
        <v/>
      </c>
      <c r="N1275" s="35" t="str">
        <f aca="false">IF($E1275="","",IF($E1275=IFERROR(INDEX(项目档案!$D$6:$D$255,MATCH($C1275,项目档案!$A$6:$A$255,0)),""),"一级",IF($E1275=IFERROR(INDEX(项目档案!$F$6:$F$255,MATCH($C1275,项目档案!$A$6:$A$255,0)),""),"二级",IF($E1275=IFERROR(INDEX(项目档案!$H$6:$H$255,MATCH($C1275,项目档案!$A$6:$A$255,0)),""),"我方","—"))))</f>
        <v/>
      </c>
      <c r="O1275" s="36" t="n">
        <f aca="false">IF($D1275&lt;&gt;"销项开票",0,ROUND(N($H1275)*N($I1275),2))</f>
        <v>0</v>
      </c>
      <c r="P1275" s="36" t="n">
        <f aca="false">IF($D1275&lt;&gt;"销项开票",0,ROUND(N($H1275)-$O1275,2))</f>
        <v>0</v>
      </c>
      <c r="Q1275" s="37" t="str">
        <f aca="false">IF($E1275="","",N(IFERROR(INDEX(单位档案!$E$6:$E$35,MATCH($E1275,单位档案!$A$6:$A$35,0)),"")))</f>
        <v/>
      </c>
      <c r="R1275" s="37" t="str">
        <f aca="false">IF($E1275="","",N(IFERROR(INDEX(单位档案!$F$6:$F$35,MATCH($E1275,单位档案!$A$6:$A$35,0)),"")))</f>
        <v/>
      </c>
      <c r="S1275" s="36" t="n">
        <f aca="false">IF(OR($D1275&lt;&gt;"销项开票",IFERROR(INDEX(单位档案!$G$6:$G$35,MATCH($E1275,单位档案!$A$6:$A$35,0)),"")&lt;&gt;"是",N($Q1275)=0),0,IF(IFERROR(INDEX(单位档案!$H$6:$H$35,MATCH($E1275,单位档案!$A$6:$A$35,0)),"")="税差法",ROUND(N($H1275)/(1+$Q1275)*$Q1275-IF(N($R1275)=0,0,$P1275/(1+$R1275)*$R1275),2),ROUND(N($H1275)/(1+$Q1275)*$Q1275,2)))</f>
        <v>0</v>
      </c>
      <c r="T1275" s="36" t="n">
        <f aca="false">ROUND($S1275*N(IFERROR(INDEX(单位档案!$J$6:$J$35,MATCH($E1275,单位档案!$A$6:$A$35,0)),"")),2)</f>
        <v>0</v>
      </c>
      <c r="U1275" s="36" t="n">
        <f aca="false">IF($D1275&lt;&gt;"销项开票",0,ROUND(N($H1275)*N(IFERROR(INDEX(单位档案!$K$6:$K$35,MATCH($E1275,单位档案!$A$6:$A$35,0)),"")),2))</f>
        <v>0</v>
      </c>
      <c r="V1275" s="36" t="n">
        <f aca="false">IF(OR($D1275&lt;&gt;"销项开票",N($Q1275)=0),0,ROUND(N($H1275)/(1+$Q1275)*N(IFERROR(INDEX(单位档案!$L$6:$L$35,MATCH($E1275,单位档案!$A$6:$A$35,0)),"")),2))</f>
        <v>0</v>
      </c>
      <c r="W1275" s="36" t="n">
        <f aca="false">ROUND($S1275+$T1275+$U1275+$V1275,2)</f>
        <v>0</v>
      </c>
      <c r="X1275" s="35" t="str">
        <f aca="false">IF(OR($D1275="挂靠代收",$D1275="我方收款"),COUNTIFS($D$5:$D1275,"挂靠代收")+COUNTIFS($D$5:$D1275,"我方收款"),"")</f>
        <v/>
      </c>
      <c r="Y1275" s="35"/>
      <c r="Z1275" s="21" t="s">
        <v>111</v>
      </c>
    </row>
    <row r="1276" customFormat="false" ht="15.75" hidden="false" customHeight="true" outlineLevel="0" collapsed="false">
      <c r="A1276" s="32" t="str">
        <f aca="false">IF($B1276="","",ROW()-4)</f>
        <v/>
      </c>
      <c r="B1276" s="26"/>
      <c r="C1276" s="24"/>
      <c r="D1276" s="21"/>
      <c r="E1276" s="21"/>
      <c r="F1276" s="21"/>
      <c r="G1276" s="21"/>
      <c r="H1276" s="27"/>
      <c r="I1276" s="23" t="str">
        <f aca="false">IF($D1276&lt;&gt;"销项开票","",IF($N1276="一级",IF(IFERROR(INDEX(项目档案!$E$6:$E$255,MATCH($C1276,项目档案!$A$6:$A$255,0)),"")="",N(IFERROR(INDEX(单位档案!$D$6:$D$35,MATCH($E1276,单位档案!$A$6:$A$35,0)),"")),IFERROR(INDEX(项目档案!$E$6:$E$255,MATCH($C1276,项目档案!$A$6:$A$255,0)),"")),IF($N1276="二级",IF(IFERROR(INDEX(项目档案!$G$6:$G$255,MATCH($C1276,项目档案!$A$6:$A$255,0)),"")="",N(IFERROR(INDEX(单位档案!$D$6:$D$35,MATCH($E1276,单位档案!$A$6:$A$35,0)),"")),IFERROR(INDEX(项目档案!$G$6:$G$255,MATCH($C1276,项目档案!$A$6:$A$255,0)),"")),N(IFERROR(INDEX(单位档案!$D$6:$D$35,MATCH($E1276,单位档案!$A$6:$A$35,0)),"")))))</f>
        <v/>
      </c>
      <c r="J1276" s="22"/>
      <c r="K1276" s="22"/>
      <c r="L1276" s="33" t="str">
        <f aca="false">IF($B1276="","",IF(NOT(ISNUMBER($B1276)),"日期格式不对",IF($C1276="","未选项目编号",IF(LEFT($M1276,1)="⚠","项目编号不存在",IF($D1276="","未选业务类型",IF($E1276="","未选开票/付款方",IF(ISNA(MATCH($E1276,单位档案!$A$6:$A$35,0)),"开票方不在单位档案",IF($F1276="","未选收票/收款方",IF(ISNA(MATCH($F1276,单位档案!$A$6:$A$35,0)),"收款方不在单位档案",IF(NOT(ISNUMBER($H1276)),"金额须为数字",IF(AND($D1276="销项开票",$N1276="—"),"链条待确认","√")))))))))))</f>
        <v/>
      </c>
      <c r="M1276" s="34" t="str">
        <f aca="false">IF($C1276="","",IFERROR(INDEX(项目档案!$B$6:$B$255,MATCH($C1276,项目档案!$A$6:$A$255,0)),"⚠项目编号不存在"))</f>
        <v/>
      </c>
      <c r="N1276" s="35" t="str">
        <f aca="false">IF($E1276="","",IF($E1276=IFERROR(INDEX(项目档案!$D$6:$D$255,MATCH($C1276,项目档案!$A$6:$A$255,0)),""),"一级",IF($E1276=IFERROR(INDEX(项目档案!$F$6:$F$255,MATCH($C1276,项目档案!$A$6:$A$255,0)),""),"二级",IF($E1276=IFERROR(INDEX(项目档案!$H$6:$H$255,MATCH($C1276,项目档案!$A$6:$A$255,0)),""),"我方","—"))))</f>
        <v/>
      </c>
      <c r="O1276" s="36" t="n">
        <f aca="false">IF($D1276&lt;&gt;"销项开票",0,ROUND(N($H1276)*N($I1276),2))</f>
        <v>0</v>
      </c>
      <c r="P1276" s="36" t="n">
        <f aca="false">IF($D1276&lt;&gt;"销项开票",0,ROUND(N($H1276)-$O1276,2))</f>
        <v>0</v>
      </c>
      <c r="Q1276" s="37" t="str">
        <f aca="false">IF($E1276="","",N(IFERROR(INDEX(单位档案!$E$6:$E$35,MATCH($E1276,单位档案!$A$6:$A$35,0)),"")))</f>
        <v/>
      </c>
      <c r="R1276" s="37" t="str">
        <f aca="false">IF($E1276="","",N(IFERROR(INDEX(单位档案!$F$6:$F$35,MATCH($E1276,单位档案!$A$6:$A$35,0)),"")))</f>
        <v/>
      </c>
      <c r="S1276" s="36" t="n">
        <f aca="false">IF(OR($D1276&lt;&gt;"销项开票",IFERROR(INDEX(单位档案!$G$6:$G$35,MATCH($E1276,单位档案!$A$6:$A$35,0)),"")&lt;&gt;"是",N($Q1276)=0),0,IF(IFERROR(INDEX(单位档案!$H$6:$H$35,MATCH($E1276,单位档案!$A$6:$A$35,0)),"")="税差法",ROUND(N($H1276)/(1+$Q1276)*$Q1276-IF(N($R1276)=0,0,$P1276/(1+$R1276)*$R1276),2),ROUND(N($H1276)/(1+$Q1276)*$Q1276,2)))</f>
        <v>0</v>
      </c>
      <c r="T1276" s="36" t="n">
        <f aca="false">ROUND($S1276*N(IFERROR(INDEX(单位档案!$J$6:$J$35,MATCH($E1276,单位档案!$A$6:$A$35,0)),"")),2)</f>
        <v>0</v>
      </c>
      <c r="U1276" s="36" t="n">
        <f aca="false">IF($D1276&lt;&gt;"销项开票",0,ROUND(N($H1276)*N(IFERROR(INDEX(单位档案!$K$6:$K$35,MATCH($E1276,单位档案!$A$6:$A$35,0)),"")),2))</f>
        <v>0</v>
      </c>
      <c r="V1276" s="36" t="n">
        <f aca="false">IF(OR($D1276&lt;&gt;"销项开票",N($Q1276)=0),0,ROUND(N($H1276)/(1+$Q1276)*N(IFERROR(INDEX(单位档案!$L$6:$L$35,MATCH($E1276,单位档案!$A$6:$A$35,0)),"")),2))</f>
        <v>0</v>
      </c>
      <c r="W1276" s="36" t="n">
        <f aca="false">ROUND($S1276+$T1276+$U1276+$V1276,2)</f>
        <v>0</v>
      </c>
      <c r="X1276" s="35" t="str">
        <f aca="false">IF(OR($D1276="挂靠代收",$D1276="我方收款"),COUNTIFS($D$5:$D1276,"挂靠代收")+COUNTIFS($D$5:$D1276,"我方收款"),"")</f>
        <v/>
      </c>
      <c r="Y1276" s="35"/>
      <c r="Z1276" s="21" t="s">
        <v>111</v>
      </c>
    </row>
    <row r="1277" customFormat="false" ht="15.75" hidden="false" customHeight="true" outlineLevel="0" collapsed="false">
      <c r="A1277" s="32" t="str">
        <f aca="false">IF($B1277="","",ROW()-4)</f>
        <v/>
      </c>
      <c r="B1277" s="26"/>
      <c r="C1277" s="24"/>
      <c r="D1277" s="21"/>
      <c r="E1277" s="21"/>
      <c r="F1277" s="21"/>
      <c r="G1277" s="21"/>
      <c r="H1277" s="27"/>
      <c r="I1277" s="23" t="str">
        <f aca="false">IF($D1277&lt;&gt;"销项开票","",IF($N1277="一级",IF(IFERROR(INDEX(项目档案!$E$6:$E$255,MATCH($C1277,项目档案!$A$6:$A$255,0)),"")="",N(IFERROR(INDEX(单位档案!$D$6:$D$35,MATCH($E1277,单位档案!$A$6:$A$35,0)),"")),IFERROR(INDEX(项目档案!$E$6:$E$255,MATCH($C1277,项目档案!$A$6:$A$255,0)),"")),IF($N1277="二级",IF(IFERROR(INDEX(项目档案!$G$6:$G$255,MATCH($C1277,项目档案!$A$6:$A$255,0)),"")="",N(IFERROR(INDEX(单位档案!$D$6:$D$35,MATCH($E1277,单位档案!$A$6:$A$35,0)),"")),IFERROR(INDEX(项目档案!$G$6:$G$255,MATCH($C1277,项目档案!$A$6:$A$255,0)),"")),N(IFERROR(INDEX(单位档案!$D$6:$D$35,MATCH($E1277,单位档案!$A$6:$A$35,0)),"")))))</f>
        <v/>
      </c>
      <c r="J1277" s="22"/>
      <c r="K1277" s="22"/>
      <c r="L1277" s="33" t="str">
        <f aca="false">IF($B1277="","",IF(NOT(ISNUMBER($B1277)),"日期格式不对",IF($C1277="","未选项目编号",IF(LEFT($M1277,1)="⚠","项目编号不存在",IF($D1277="","未选业务类型",IF($E1277="","未选开票/付款方",IF(ISNA(MATCH($E1277,单位档案!$A$6:$A$35,0)),"开票方不在单位档案",IF($F1277="","未选收票/收款方",IF(ISNA(MATCH($F1277,单位档案!$A$6:$A$35,0)),"收款方不在单位档案",IF(NOT(ISNUMBER($H1277)),"金额须为数字",IF(AND($D1277="销项开票",$N1277="—"),"链条待确认","√")))))))))))</f>
        <v/>
      </c>
      <c r="M1277" s="34" t="str">
        <f aca="false">IF($C1277="","",IFERROR(INDEX(项目档案!$B$6:$B$255,MATCH($C1277,项目档案!$A$6:$A$255,0)),"⚠项目编号不存在"))</f>
        <v/>
      </c>
      <c r="N1277" s="35" t="str">
        <f aca="false">IF($E1277="","",IF($E1277=IFERROR(INDEX(项目档案!$D$6:$D$255,MATCH($C1277,项目档案!$A$6:$A$255,0)),""),"一级",IF($E1277=IFERROR(INDEX(项目档案!$F$6:$F$255,MATCH($C1277,项目档案!$A$6:$A$255,0)),""),"二级",IF($E1277=IFERROR(INDEX(项目档案!$H$6:$H$255,MATCH($C1277,项目档案!$A$6:$A$255,0)),""),"我方","—"))))</f>
        <v/>
      </c>
      <c r="O1277" s="36" t="n">
        <f aca="false">IF($D1277&lt;&gt;"销项开票",0,ROUND(N($H1277)*N($I1277),2))</f>
        <v>0</v>
      </c>
      <c r="P1277" s="36" t="n">
        <f aca="false">IF($D1277&lt;&gt;"销项开票",0,ROUND(N($H1277)-$O1277,2))</f>
        <v>0</v>
      </c>
      <c r="Q1277" s="37" t="str">
        <f aca="false">IF($E1277="","",N(IFERROR(INDEX(单位档案!$E$6:$E$35,MATCH($E1277,单位档案!$A$6:$A$35,0)),"")))</f>
        <v/>
      </c>
      <c r="R1277" s="37" t="str">
        <f aca="false">IF($E1277="","",N(IFERROR(INDEX(单位档案!$F$6:$F$35,MATCH($E1277,单位档案!$A$6:$A$35,0)),"")))</f>
        <v/>
      </c>
      <c r="S1277" s="36" t="n">
        <f aca="false">IF(OR($D1277&lt;&gt;"销项开票",IFERROR(INDEX(单位档案!$G$6:$G$35,MATCH($E1277,单位档案!$A$6:$A$35,0)),"")&lt;&gt;"是",N($Q1277)=0),0,IF(IFERROR(INDEX(单位档案!$H$6:$H$35,MATCH($E1277,单位档案!$A$6:$A$35,0)),"")="税差法",ROUND(N($H1277)/(1+$Q1277)*$Q1277-IF(N($R1277)=0,0,$P1277/(1+$R1277)*$R1277),2),ROUND(N($H1277)/(1+$Q1277)*$Q1277,2)))</f>
        <v>0</v>
      </c>
      <c r="T1277" s="36" t="n">
        <f aca="false">ROUND($S1277*N(IFERROR(INDEX(单位档案!$J$6:$J$35,MATCH($E1277,单位档案!$A$6:$A$35,0)),"")),2)</f>
        <v>0</v>
      </c>
      <c r="U1277" s="36" t="n">
        <f aca="false">IF($D1277&lt;&gt;"销项开票",0,ROUND(N($H1277)*N(IFERROR(INDEX(单位档案!$K$6:$K$35,MATCH($E1277,单位档案!$A$6:$A$35,0)),"")),2))</f>
        <v>0</v>
      </c>
      <c r="V1277" s="36" t="n">
        <f aca="false">IF(OR($D1277&lt;&gt;"销项开票",N($Q1277)=0),0,ROUND(N($H1277)/(1+$Q1277)*N(IFERROR(INDEX(单位档案!$L$6:$L$35,MATCH($E1277,单位档案!$A$6:$A$35,0)),"")),2))</f>
        <v>0</v>
      </c>
      <c r="W1277" s="36" t="n">
        <f aca="false">ROUND($S1277+$T1277+$U1277+$V1277,2)</f>
        <v>0</v>
      </c>
      <c r="X1277" s="35" t="str">
        <f aca="false">IF(OR($D1277="挂靠代收",$D1277="我方收款"),COUNTIFS($D$5:$D1277,"挂靠代收")+COUNTIFS($D$5:$D1277,"我方收款"),"")</f>
        <v/>
      </c>
      <c r="Y1277" s="35"/>
      <c r="Z1277" s="21" t="s">
        <v>111</v>
      </c>
    </row>
    <row r="1278" customFormat="false" ht="15.75" hidden="false" customHeight="true" outlineLevel="0" collapsed="false">
      <c r="A1278" s="32" t="str">
        <f aca="false">IF($B1278="","",ROW()-4)</f>
        <v/>
      </c>
      <c r="B1278" s="26"/>
      <c r="C1278" s="24"/>
      <c r="D1278" s="21"/>
      <c r="E1278" s="21"/>
      <c r="F1278" s="21"/>
      <c r="G1278" s="21"/>
      <c r="H1278" s="27"/>
      <c r="I1278" s="23" t="str">
        <f aca="false">IF($D1278&lt;&gt;"销项开票","",IF($N1278="一级",IF(IFERROR(INDEX(项目档案!$E$6:$E$255,MATCH($C1278,项目档案!$A$6:$A$255,0)),"")="",N(IFERROR(INDEX(单位档案!$D$6:$D$35,MATCH($E1278,单位档案!$A$6:$A$35,0)),"")),IFERROR(INDEX(项目档案!$E$6:$E$255,MATCH($C1278,项目档案!$A$6:$A$255,0)),"")),IF($N1278="二级",IF(IFERROR(INDEX(项目档案!$G$6:$G$255,MATCH($C1278,项目档案!$A$6:$A$255,0)),"")="",N(IFERROR(INDEX(单位档案!$D$6:$D$35,MATCH($E1278,单位档案!$A$6:$A$35,0)),"")),IFERROR(INDEX(项目档案!$G$6:$G$255,MATCH($C1278,项目档案!$A$6:$A$255,0)),"")),N(IFERROR(INDEX(单位档案!$D$6:$D$35,MATCH($E1278,单位档案!$A$6:$A$35,0)),"")))))</f>
        <v/>
      </c>
      <c r="J1278" s="22"/>
      <c r="K1278" s="22"/>
      <c r="L1278" s="33" t="str">
        <f aca="false">IF($B1278="","",IF(NOT(ISNUMBER($B1278)),"日期格式不对",IF($C1278="","未选项目编号",IF(LEFT($M1278,1)="⚠","项目编号不存在",IF($D1278="","未选业务类型",IF($E1278="","未选开票/付款方",IF(ISNA(MATCH($E1278,单位档案!$A$6:$A$35,0)),"开票方不在单位档案",IF($F1278="","未选收票/收款方",IF(ISNA(MATCH($F1278,单位档案!$A$6:$A$35,0)),"收款方不在单位档案",IF(NOT(ISNUMBER($H1278)),"金额须为数字",IF(AND($D1278="销项开票",$N1278="—"),"链条待确认","√")))))))))))</f>
        <v/>
      </c>
      <c r="M1278" s="34" t="str">
        <f aca="false">IF($C1278="","",IFERROR(INDEX(项目档案!$B$6:$B$255,MATCH($C1278,项目档案!$A$6:$A$255,0)),"⚠项目编号不存在"))</f>
        <v/>
      </c>
      <c r="N1278" s="35" t="str">
        <f aca="false">IF($E1278="","",IF($E1278=IFERROR(INDEX(项目档案!$D$6:$D$255,MATCH($C1278,项目档案!$A$6:$A$255,0)),""),"一级",IF($E1278=IFERROR(INDEX(项目档案!$F$6:$F$255,MATCH($C1278,项目档案!$A$6:$A$255,0)),""),"二级",IF($E1278=IFERROR(INDEX(项目档案!$H$6:$H$255,MATCH($C1278,项目档案!$A$6:$A$255,0)),""),"我方","—"))))</f>
        <v/>
      </c>
      <c r="O1278" s="36" t="n">
        <f aca="false">IF($D1278&lt;&gt;"销项开票",0,ROUND(N($H1278)*N($I1278),2))</f>
        <v>0</v>
      </c>
      <c r="P1278" s="36" t="n">
        <f aca="false">IF($D1278&lt;&gt;"销项开票",0,ROUND(N($H1278)-$O1278,2))</f>
        <v>0</v>
      </c>
      <c r="Q1278" s="37" t="str">
        <f aca="false">IF($E1278="","",N(IFERROR(INDEX(单位档案!$E$6:$E$35,MATCH($E1278,单位档案!$A$6:$A$35,0)),"")))</f>
        <v/>
      </c>
      <c r="R1278" s="37" t="str">
        <f aca="false">IF($E1278="","",N(IFERROR(INDEX(单位档案!$F$6:$F$35,MATCH($E1278,单位档案!$A$6:$A$35,0)),"")))</f>
        <v/>
      </c>
      <c r="S1278" s="36" t="n">
        <f aca="false">IF(OR($D1278&lt;&gt;"销项开票",IFERROR(INDEX(单位档案!$G$6:$G$35,MATCH($E1278,单位档案!$A$6:$A$35,0)),"")&lt;&gt;"是",N($Q1278)=0),0,IF(IFERROR(INDEX(单位档案!$H$6:$H$35,MATCH($E1278,单位档案!$A$6:$A$35,0)),"")="税差法",ROUND(N($H1278)/(1+$Q1278)*$Q1278-IF(N($R1278)=0,0,$P1278/(1+$R1278)*$R1278),2),ROUND(N($H1278)/(1+$Q1278)*$Q1278,2)))</f>
        <v>0</v>
      </c>
      <c r="T1278" s="36" t="n">
        <f aca="false">ROUND($S1278*N(IFERROR(INDEX(单位档案!$J$6:$J$35,MATCH($E1278,单位档案!$A$6:$A$35,0)),"")),2)</f>
        <v>0</v>
      </c>
      <c r="U1278" s="36" t="n">
        <f aca="false">IF($D1278&lt;&gt;"销项开票",0,ROUND(N($H1278)*N(IFERROR(INDEX(单位档案!$K$6:$K$35,MATCH($E1278,单位档案!$A$6:$A$35,0)),"")),2))</f>
        <v>0</v>
      </c>
      <c r="V1278" s="36" t="n">
        <f aca="false">IF(OR($D1278&lt;&gt;"销项开票",N($Q1278)=0),0,ROUND(N($H1278)/(1+$Q1278)*N(IFERROR(INDEX(单位档案!$L$6:$L$35,MATCH($E1278,单位档案!$A$6:$A$35,0)),"")),2))</f>
        <v>0</v>
      </c>
      <c r="W1278" s="36" t="n">
        <f aca="false">ROUND($S1278+$T1278+$U1278+$V1278,2)</f>
        <v>0</v>
      </c>
      <c r="X1278" s="35" t="str">
        <f aca="false">IF(OR($D1278="挂靠代收",$D1278="我方收款"),COUNTIFS($D$5:$D1278,"挂靠代收")+COUNTIFS($D$5:$D1278,"我方收款"),"")</f>
        <v/>
      </c>
      <c r="Y1278" s="35"/>
      <c r="Z1278" s="21" t="s">
        <v>111</v>
      </c>
    </row>
    <row r="1279" customFormat="false" ht="15.75" hidden="false" customHeight="true" outlineLevel="0" collapsed="false">
      <c r="A1279" s="32" t="str">
        <f aca="false">IF($B1279="","",ROW()-4)</f>
        <v/>
      </c>
      <c r="B1279" s="26"/>
      <c r="C1279" s="24"/>
      <c r="D1279" s="21"/>
      <c r="E1279" s="21"/>
      <c r="F1279" s="21"/>
      <c r="G1279" s="21"/>
      <c r="H1279" s="27"/>
      <c r="I1279" s="23" t="str">
        <f aca="false">IF($D1279&lt;&gt;"销项开票","",IF($N1279="一级",IF(IFERROR(INDEX(项目档案!$E$6:$E$255,MATCH($C1279,项目档案!$A$6:$A$255,0)),"")="",N(IFERROR(INDEX(单位档案!$D$6:$D$35,MATCH($E1279,单位档案!$A$6:$A$35,0)),"")),IFERROR(INDEX(项目档案!$E$6:$E$255,MATCH($C1279,项目档案!$A$6:$A$255,0)),"")),IF($N1279="二级",IF(IFERROR(INDEX(项目档案!$G$6:$G$255,MATCH($C1279,项目档案!$A$6:$A$255,0)),"")="",N(IFERROR(INDEX(单位档案!$D$6:$D$35,MATCH($E1279,单位档案!$A$6:$A$35,0)),"")),IFERROR(INDEX(项目档案!$G$6:$G$255,MATCH($C1279,项目档案!$A$6:$A$255,0)),"")),N(IFERROR(INDEX(单位档案!$D$6:$D$35,MATCH($E1279,单位档案!$A$6:$A$35,0)),"")))))</f>
        <v/>
      </c>
      <c r="J1279" s="22"/>
      <c r="K1279" s="22"/>
      <c r="L1279" s="33" t="str">
        <f aca="false">IF($B1279="","",IF(NOT(ISNUMBER($B1279)),"日期格式不对",IF($C1279="","未选项目编号",IF(LEFT($M1279,1)="⚠","项目编号不存在",IF($D1279="","未选业务类型",IF($E1279="","未选开票/付款方",IF(ISNA(MATCH($E1279,单位档案!$A$6:$A$35,0)),"开票方不在单位档案",IF($F1279="","未选收票/收款方",IF(ISNA(MATCH($F1279,单位档案!$A$6:$A$35,0)),"收款方不在单位档案",IF(NOT(ISNUMBER($H1279)),"金额须为数字",IF(AND($D1279="销项开票",$N1279="—"),"链条待确认","√")))))))))))</f>
        <v/>
      </c>
      <c r="M1279" s="34" t="str">
        <f aca="false">IF($C1279="","",IFERROR(INDEX(项目档案!$B$6:$B$255,MATCH($C1279,项目档案!$A$6:$A$255,0)),"⚠项目编号不存在"))</f>
        <v/>
      </c>
      <c r="N1279" s="35" t="str">
        <f aca="false">IF($E1279="","",IF($E1279=IFERROR(INDEX(项目档案!$D$6:$D$255,MATCH($C1279,项目档案!$A$6:$A$255,0)),""),"一级",IF($E1279=IFERROR(INDEX(项目档案!$F$6:$F$255,MATCH($C1279,项目档案!$A$6:$A$255,0)),""),"二级",IF($E1279=IFERROR(INDEX(项目档案!$H$6:$H$255,MATCH($C1279,项目档案!$A$6:$A$255,0)),""),"我方","—"))))</f>
        <v/>
      </c>
      <c r="O1279" s="36" t="n">
        <f aca="false">IF($D1279&lt;&gt;"销项开票",0,ROUND(N($H1279)*N($I1279),2))</f>
        <v>0</v>
      </c>
      <c r="P1279" s="36" t="n">
        <f aca="false">IF($D1279&lt;&gt;"销项开票",0,ROUND(N($H1279)-$O1279,2))</f>
        <v>0</v>
      </c>
      <c r="Q1279" s="37" t="str">
        <f aca="false">IF($E1279="","",N(IFERROR(INDEX(单位档案!$E$6:$E$35,MATCH($E1279,单位档案!$A$6:$A$35,0)),"")))</f>
        <v/>
      </c>
      <c r="R1279" s="37" t="str">
        <f aca="false">IF($E1279="","",N(IFERROR(INDEX(单位档案!$F$6:$F$35,MATCH($E1279,单位档案!$A$6:$A$35,0)),"")))</f>
        <v/>
      </c>
      <c r="S1279" s="36" t="n">
        <f aca="false">IF(OR($D1279&lt;&gt;"销项开票",IFERROR(INDEX(单位档案!$G$6:$G$35,MATCH($E1279,单位档案!$A$6:$A$35,0)),"")&lt;&gt;"是",N($Q1279)=0),0,IF(IFERROR(INDEX(单位档案!$H$6:$H$35,MATCH($E1279,单位档案!$A$6:$A$35,0)),"")="税差法",ROUND(N($H1279)/(1+$Q1279)*$Q1279-IF(N($R1279)=0,0,$P1279/(1+$R1279)*$R1279),2),ROUND(N($H1279)/(1+$Q1279)*$Q1279,2)))</f>
        <v>0</v>
      </c>
      <c r="T1279" s="36" t="n">
        <f aca="false">ROUND($S1279*N(IFERROR(INDEX(单位档案!$J$6:$J$35,MATCH($E1279,单位档案!$A$6:$A$35,0)),"")),2)</f>
        <v>0</v>
      </c>
      <c r="U1279" s="36" t="n">
        <f aca="false">IF($D1279&lt;&gt;"销项开票",0,ROUND(N($H1279)*N(IFERROR(INDEX(单位档案!$K$6:$K$35,MATCH($E1279,单位档案!$A$6:$A$35,0)),"")),2))</f>
        <v>0</v>
      </c>
      <c r="V1279" s="36" t="n">
        <f aca="false">IF(OR($D1279&lt;&gt;"销项开票",N($Q1279)=0),0,ROUND(N($H1279)/(1+$Q1279)*N(IFERROR(INDEX(单位档案!$L$6:$L$35,MATCH($E1279,单位档案!$A$6:$A$35,0)),"")),2))</f>
        <v>0</v>
      </c>
      <c r="W1279" s="36" t="n">
        <f aca="false">ROUND($S1279+$T1279+$U1279+$V1279,2)</f>
        <v>0</v>
      </c>
      <c r="X1279" s="35" t="str">
        <f aca="false">IF(OR($D1279="挂靠代收",$D1279="我方收款"),COUNTIFS($D$5:$D1279,"挂靠代收")+COUNTIFS($D$5:$D1279,"我方收款"),"")</f>
        <v/>
      </c>
      <c r="Y1279" s="35"/>
      <c r="Z1279" s="21" t="s">
        <v>111</v>
      </c>
    </row>
    <row r="1280" customFormat="false" ht="15.75" hidden="false" customHeight="true" outlineLevel="0" collapsed="false">
      <c r="A1280" s="32" t="str">
        <f aca="false">IF($B1280="","",ROW()-4)</f>
        <v/>
      </c>
      <c r="B1280" s="26"/>
      <c r="C1280" s="24"/>
      <c r="D1280" s="21"/>
      <c r="E1280" s="21"/>
      <c r="F1280" s="21"/>
      <c r="G1280" s="21"/>
      <c r="H1280" s="27"/>
      <c r="I1280" s="23" t="str">
        <f aca="false">IF($D1280&lt;&gt;"销项开票","",IF($N1280="一级",IF(IFERROR(INDEX(项目档案!$E$6:$E$255,MATCH($C1280,项目档案!$A$6:$A$255,0)),"")="",N(IFERROR(INDEX(单位档案!$D$6:$D$35,MATCH($E1280,单位档案!$A$6:$A$35,0)),"")),IFERROR(INDEX(项目档案!$E$6:$E$255,MATCH($C1280,项目档案!$A$6:$A$255,0)),"")),IF($N1280="二级",IF(IFERROR(INDEX(项目档案!$G$6:$G$255,MATCH($C1280,项目档案!$A$6:$A$255,0)),"")="",N(IFERROR(INDEX(单位档案!$D$6:$D$35,MATCH($E1280,单位档案!$A$6:$A$35,0)),"")),IFERROR(INDEX(项目档案!$G$6:$G$255,MATCH($C1280,项目档案!$A$6:$A$255,0)),"")),N(IFERROR(INDEX(单位档案!$D$6:$D$35,MATCH($E1280,单位档案!$A$6:$A$35,0)),"")))))</f>
        <v/>
      </c>
      <c r="J1280" s="22"/>
      <c r="K1280" s="22"/>
      <c r="L1280" s="33" t="str">
        <f aca="false">IF($B1280="","",IF(NOT(ISNUMBER($B1280)),"日期格式不对",IF($C1280="","未选项目编号",IF(LEFT($M1280,1)="⚠","项目编号不存在",IF($D1280="","未选业务类型",IF($E1280="","未选开票/付款方",IF(ISNA(MATCH($E1280,单位档案!$A$6:$A$35,0)),"开票方不在单位档案",IF($F1280="","未选收票/收款方",IF(ISNA(MATCH($F1280,单位档案!$A$6:$A$35,0)),"收款方不在单位档案",IF(NOT(ISNUMBER($H1280)),"金额须为数字",IF(AND($D1280="销项开票",$N1280="—"),"链条待确认","√")))))))))))</f>
        <v/>
      </c>
      <c r="M1280" s="34" t="str">
        <f aca="false">IF($C1280="","",IFERROR(INDEX(项目档案!$B$6:$B$255,MATCH($C1280,项目档案!$A$6:$A$255,0)),"⚠项目编号不存在"))</f>
        <v/>
      </c>
      <c r="N1280" s="35" t="str">
        <f aca="false">IF($E1280="","",IF($E1280=IFERROR(INDEX(项目档案!$D$6:$D$255,MATCH($C1280,项目档案!$A$6:$A$255,0)),""),"一级",IF($E1280=IFERROR(INDEX(项目档案!$F$6:$F$255,MATCH($C1280,项目档案!$A$6:$A$255,0)),""),"二级",IF($E1280=IFERROR(INDEX(项目档案!$H$6:$H$255,MATCH($C1280,项目档案!$A$6:$A$255,0)),""),"我方","—"))))</f>
        <v/>
      </c>
      <c r="O1280" s="36" t="n">
        <f aca="false">IF($D1280&lt;&gt;"销项开票",0,ROUND(N($H1280)*N($I1280),2))</f>
        <v>0</v>
      </c>
      <c r="P1280" s="36" t="n">
        <f aca="false">IF($D1280&lt;&gt;"销项开票",0,ROUND(N($H1280)-$O1280,2))</f>
        <v>0</v>
      </c>
      <c r="Q1280" s="37" t="str">
        <f aca="false">IF($E1280="","",N(IFERROR(INDEX(单位档案!$E$6:$E$35,MATCH($E1280,单位档案!$A$6:$A$35,0)),"")))</f>
        <v/>
      </c>
      <c r="R1280" s="37" t="str">
        <f aca="false">IF($E1280="","",N(IFERROR(INDEX(单位档案!$F$6:$F$35,MATCH($E1280,单位档案!$A$6:$A$35,0)),"")))</f>
        <v/>
      </c>
      <c r="S1280" s="36" t="n">
        <f aca="false">IF(OR($D1280&lt;&gt;"销项开票",IFERROR(INDEX(单位档案!$G$6:$G$35,MATCH($E1280,单位档案!$A$6:$A$35,0)),"")&lt;&gt;"是",N($Q1280)=0),0,IF(IFERROR(INDEX(单位档案!$H$6:$H$35,MATCH($E1280,单位档案!$A$6:$A$35,0)),"")="税差法",ROUND(N($H1280)/(1+$Q1280)*$Q1280-IF(N($R1280)=0,0,$P1280/(1+$R1280)*$R1280),2),ROUND(N($H1280)/(1+$Q1280)*$Q1280,2)))</f>
        <v>0</v>
      </c>
      <c r="T1280" s="36" t="n">
        <f aca="false">ROUND($S1280*N(IFERROR(INDEX(单位档案!$J$6:$J$35,MATCH($E1280,单位档案!$A$6:$A$35,0)),"")),2)</f>
        <v>0</v>
      </c>
      <c r="U1280" s="36" t="n">
        <f aca="false">IF($D1280&lt;&gt;"销项开票",0,ROUND(N($H1280)*N(IFERROR(INDEX(单位档案!$K$6:$K$35,MATCH($E1280,单位档案!$A$6:$A$35,0)),"")),2))</f>
        <v>0</v>
      </c>
      <c r="V1280" s="36" t="n">
        <f aca="false">IF(OR($D1280&lt;&gt;"销项开票",N($Q1280)=0),0,ROUND(N($H1280)/(1+$Q1280)*N(IFERROR(INDEX(单位档案!$L$6:$L$35,MATCH($E1280,单位档案!$A$6:$A$35,0)),"")),2))</f>
        <v>0</v>
      </c>
      <c r="W1280" s="36" t="n">
        <f aca="false">ROUND($S1280+$T1280+$U1280+$V1280,2)</f>
        <v>0</v>
      </c>
      <c r="X1280" s="35" t="str">
        <f aca="false">IF(OR($D1280="挂靠代收",$D1280="我方收款"),COUNTIFS($D$5:$D1280,"挂靠代收")+COUNTIFS($D$5:$D1280,"我方收款"),"")</f>
        <v/>
      </c>
      <c r="Y1280" s="35"/>
      <c r="Z1280" s="21" t="s">
        <v>111</v>
      </c>
    </row>
    <row r="1281" customFormat="false" ht="15.75" hidden="false" customHeight="true" outlineLevel="0" collapsed="false">
      <c r="A1281" s="32" t="str">
        <f aca="false">IF($B1281="","",ROW()-4)</f>
        <v/>
      </c>
      <c r="B1281" s="26"/>
      <c r="C1281" s="24"/>
      <c r="D1281" s="21"/>
      <c r="E1281" s="21"/>
      <c r="F1281" s="21"/>
      <c r="G1281" s="21"/>
      <c r="H1281" s="27"/>
      <c r="I1281" s="23" t="str">
        <f aca="false">IF($D1281&lt;&gt;"销项开票","",IF($N1281="一级",IF(IFERROR(INDEX(项目档案!$E$6:$E$255,MATCH($C1281,项目档案!$A$6:$A$255,0)),"")="",N(IFERROR(INDEX(单位档案!$D$6:$D$35,MATCH($E1281,单位档案!$A$6:$A$35,0)),"")),IFERROR(INDEX(项目档案!$E$6:$E$255,MATCH($C1281,项目档案!$A$6:$A$255,0)),"")),IF($N1281="二级",IF(IFERROR(INDEX(项目档案!$G$6:$G$255,MATCH($C1281,项目档案!$A$6:$A$255,0)),"")="",N(IFERROR(INDEX(单位档案!$D$6:$D$35,MATCH($E1281,单位档案!$A$6:$A$35,0)),"")),IFERROR(INDEX(项目档案!$G$6:$G$255,MATCH($C1281,项目档案!$A$6:$A$255,0)),"")),N(IFERROR(INDEX(单位档案!$D$6:$D$35,MATCH($E1281,单位档案!$A$6:$A$35,0)),"")))))</f>
        <v/>
      </c>
      <c r="J1281" s="22"/>
      <c r="K1281" s="22"/>
      <c r="L1281" s="33" t="str">
        <f aca="false">IF($B1281="","",IF(NOT(ISNUMBER($B1281)),"日期格式不对",IF($C1281="","未选项目编号",IF(LEFT($M1281,1)="⚠","项目编号不存在",IF($D1281="","未选业务类型",IF($E1281="","未选开票/付款方",IF(ISNA(MATCH($E1281,单位档案!$A$6:$A$35,0)),"开票方不在单位档案",IF($F1281="","未选收票/收款方",IF(ISNA(MATCH($F1281,单位档案!$A$6:$A$35,0)),"收款方不在单位档案",IF(NOT(ISNUMBER($H1281)),"金额须为数字",IF(AND($D1281="销项开票",$N1281="—"),"链条待确认","√")))))))))))</f>
        <v/>
      </c>
      <c r="M1281" s="34" t="str">
        <f aca="false">IF($C1281="","",IFERROR(INDEX(项目档案!$B$6:$B$255,MATCH($C1281,项目档案!$A$6:$A$255,0)),"⚠项目编号不存在"))</f>
        <v/>
      </c>
      <c r="N1281" s="35" t="str">
        <f aca="false">IF($E1281="","",IF($E1281=IFERROR(INDEX(项目档案!$D$6:$D$255,MATCH($C1281,项目档案!$A$6:$A$255,0)),""),"一级",IF($E1281=IFERROR(INDEX(项目档案!$F$6:$F$255,MATCH($C1281,项目档案!$A$6:$A$255,0)),""),"二级",IF($E1281=IFERROR(INDEX(项目档案!$H$6:$H$255,MATCH($C1281,项目档案!$A$6:$A$255,0)),""),"我方","—"))))</f>
        <v/>
      </c>
      <c r="O1281" s="36" t="n">
        <f aca="false">IF($D1281&lt;&gt;"销项开票",0,ROUND(N($H1281)*N($I1281),2))</f>
        <v>0</v>
      </c>
      <c r="P1281" s="36" t="n">
        <f aca="false">IF($D1281&lt;&gt;"销项开票",0,ROUND(N($H1281)-$O1281,2))</f>
        <v>0</v>
      </c>
      <c r="Q1281" s="37" t="str">
        <f aca="false">IF($E1281="","",N(IFERROR(INDEX(单位档案!$E$6:$E$35,MATCH($E1281,单位档案!$A$6:$A$35,0)),"")))</f>
        <v/>
      </c>
      <c r="R1281" s="37" t="str">
        <f aca="false">IF($E1281="","",N(IFERROR(INDEX(单位档案!$F$6:$F$35,MATCH($E1281,单位档案!$A$6:$A$35,0)),"")))</f>
        <v/>
      </c>
      <c r="S1281" s="36" t="n">
        <f aca="false">IF(OR($D1281&lt;&gt;"销项开票",IFERROR(INDEX(单位档案!$G$6:$G$35,MATCH($E1281,单位档案!$A$6:$A$35,0)),"")&lt;&gt;"是",N($Q1281)=0),0,IF(IFERROR(INDEX(单位档案!$H$6:$H$35,MATCH($E1281,单位档案!$A$6:$A$35,0)),"")="税差法",ROUND(N($H1281)/(1+$Q1281)*$Q1281-IF(N($R1281)=0,0,$P1281/(1+$R1281)*$R1281),2),ROUND(N($H1281)/(1+$Q1281)*$Q1281,2)))</f>
        <v>0</v>
      </c>
      <c r="T1281" s="36" t="n">
        <f aca="false">ROUND($S1281*N(IFERROR(INDEX(单位档案!$J$6:$J$35,MATCH($E1281,单位档案!$A$6:$A$35,0)),"")),2)</f>
        <v>0</v>
      </c>
      <c r="U1281" s="36" t="n">
        <f aca="false">IF($D1281&lt;&gt;"销项开票",0,ROUND(N($H1281)*N(IFERROR(INDEX(单位档案!$K$6:$K$35,MATCH($E1281,单位档案!$A$6:$A$35,0)),"")),2))</f>
        <v>0</v>
      </c>
      <c r="V1281" s="36" t="n">
        <f aca="false">IF(OR($D1281&lt;&gt;"销项开票",N($Q1281)=0),0,ROUND(N($H1281)/(1+$Q1281)*N(IFERROR(INDEX(单位档案!$L$6:$L$35,MATCH($E1281,单位档案!$A$6:$A$35,0)),"")),2))</f>
        <v>0</v>
      </c>
      <c r="W1281" s="36" t="n">
        <f aca="false">ROUND($S1281+$T1281+$U1281+$V1281,2)</f>
        <v>0</v>
      </c>
      <c r="X1281" s="35" t="str">
        <f aca="false">IF(OR($D1281="挂靠代收",$D1281="我方收款"),COUNTIFS($D$5:$D1281,"挂靠代收")+COUNTIFS($D$5:$D1281,"我方收款"),"")</f>
        <v/>
      </c>
      <c r="Y1281" s="35"/>
      <c r="Z1281" s="21" t="s">
        <v>111</v>
      </c>
    </row>
    <row r="1282" customFormat="false" ht="15.75" hidden="false" customHeight="true" outlineLevel="0" collapsed="false">
      <c r="A1282" s="32" t="str">
        <f aca="false">IF($B1282="","",ROW()-4)</f>
        <v/>
      </c>
      <c r="B1282" s="26"/>
      <c r="C1282" s="24"/>
      <c r="D1282" s="21"/>
      <c r="E1282" s="21"/>
      <c r="F1282" s="21"/>
      <c r="G1282" s="21"/>
      <c r="H1282" s="27"/>
      <c r="I1282" s="23" t="str">
        <f aca="false">IF($D1282&lt;&gt;"销项开票","",IF($N1282="一级",IF(IFERROR(INDEX(项目档案!$E$6:$E$255,MATCH($C1282,项目档案!$A$6:$A$255,0)),"")="",N(IFERROR(INDEX(单位档案!$D$6:$D$35,MATCH($E1282,单位档案!$A$6:$A$35,0)),"")),IFERROR(INDEX(项目档案!$E$6:$E$255,MATCH($C1282,项目档案!$A$6:$A$255,0)),"")),IF($N1282="二级",IF(IFERROR(INDEX(项目档案!$G$6:$G$255,MATCH($C1282,项目档案!$A$6:$A$255,0)),"")="",N(IFERROR(INDEX(单位档案!$D$6:$D$35,MATCH($E1282,单位档案!$A$6:$A$35,0)),"")),IFERROR(INDEX(项目档案!$G$6:$G$255,MATCH($C1282,项目档案!$A$6:$A$255,0)),"")),N(IFERROR(INDEX(单位档案!$D$6:$D$35,MATCH($E1282,单位档案!$A$6:$A$35,0)),"")))))</f>
        <v/>
      </c>
      <c r="J1282" s="22"/>
      <c r="K1282" s="22"/>
      <c r="L1282" s="33" t="str">
        <f aca="false">IF($B1282="","",IF(NOT(ISNUMBER($B1282)),"日期格式不对",IF($C1282="","未选项目编号",IF(LEFT($M1282,1)="⚠","项目编号不存在",IF($D1282="","未选业务类型",IF($E1282="","未选开票/付款方",IF(ISNA(MATCH($E1282,单位档案!$A$6:$A$35,0)),"开票方不在单位档案",IF($F1282="","未选收票/收款方",IF(ISNA(MATCH($F1282,单位档案!$A$6:$A$35,0)),"收款方不在单位档案",IF(NOT(ISNUMBER($H1282)),"金额须为数字",IF(AND($D1282="销项开票",$N1282="—"),"链条待确认","√")))))))))))</f>
        <v/>
      </c>
      <c r="M1282" s="34" t="str">
        <f aca="false">IF($C1282="","",IFERROR(INDEX(项目档案!$B$6:$B$255,MATCH($C1282,项目档案!$A$6:$A$255,0)),"⚠项目编号不存在"))</f>
        <v/>
      </c>
      <c r="N1282" s="35" t="str">
        <f aca="false">IF($E1282="","",IF($E1282=IFERROR(INDEX(项目档案!$D$6:$D$255,MATCH($C1282,项目档案!$A$6:$A$255,0)),""),"一级",IF($E1282=IFERROR(INDEX(项目档案!$F$6:$F$255,MATCH($C1282,项目档案!$A$6:$A$255,0)),""),"二级",IF($E1282=IFERROR(INDEX(项目档案!$H$6:$H$255,MATCH($C1282,项目档案!$A$6:$A$255,0)),""),"我方","—"))))</f>
        <v/>
      </c>
      <c r="O1282" s="36" t="n">
        <f aca="false">IF($D1282&lt;&gt;"销项开票",0,ROUND(N($H1282)*N($I1282),2))</f>
        <v>0</v>
      </c>
      <c r="P1282" s="36" t="n">
        <f aca="false">IF($D1282&lt;&gt;"销项开票",0,ROUND(N($H1282)-$O1282,2))</f>
        <v>0</v>
      </c>
      <c r="Q1282" s="37" t="str">
        <f aca="false">IF($E1282="","",N(IFERROR(INDEX(单位档案!$E$6:$E$35,MATCH($E1282,单位档案!$A$6:$A$35,0)),"")))</f>
        <v/>
      </c>
      <c r="R1282" s="37" t="str">
        <f aca="false">IF($E1282="","",N(IFERROR(INDEX(单位档案!$F$6:$F$35,MATCH($E1282,单位档案!$A$6:$A$35,0)),"")))</f>
        <v/>
      </c>
      <c r="S1282" s="36" t="n">
        <f aca="false">IF(OR($D1282&lt;&gt;"销项开票",IFERROR(INDEX(单位档案!$G$6:$G$35,MATCH($E1282,单位档案!$A$6:$A$35,0)),"")&lt;&gt;"是",N($Q1282)=0),0,IF(IFERROR(INDEX(单位档案!$H$6:$H$35,MATCH($E1282,单位档案!$A$6:$A$35,0)),"")="税差法",ROUND(N($H1282)/(1+$Q1282)*$Q1282-IF(N($R1282)=0,0,$P1282/(1+$R1282)*$R1282),2),ROUND(N($H1282)/(1+$Q1282)*$Q1282,2)))</f>
        <v>0</v>
      </c>
      <c r="T1282" s="36" t="n">
        <f aca="false">ROUND($S1282*N(IFERROR(INDEX(单位档案!$J$6:$J$35,MATCH($E1282,单位档案!$A$6:$A$35,0)),"")),2)</f>
        <v>0</v>
      </c>
      <c r="U1282" s="36" t="n">
        <f aca="false">IF($D1282&lt;&gt;"销项开票",0,ROUND(N($H1282)*N(IFERROR(INDEX(单位档案!$K$6:$K$35,MATCH($E1282,单位档案!$A$6:$A$35,0)),"")),2))</f>
        <v>0</v>
      </c>
      <c r="V1282" s="36" t="n">
        <f aca="false">IF(OR($D1282&lt;&gt;"销项开票",N($Q1282)=0),0,ROUND(N($H1282)/(1+$Q1282)*N(IFERROR(INDEX(单位档案!$L$6:$L$35,MATCH($E1282,单位档案!$A$6:$A$35,0)),"")),2))</f>
        <v>0</v>
      </c>
      <c r="W1282" s="36" t="n">
        <f aca="false">ROUND($S1282+$T1282+$U1282+$V1282,2)</f>
        <v>0</v>
      </c>
      <c r="X1282" s="35" t="str">
        <f aca="false">IF(OR($D1282="挂靠代收",$D1282="我方收款"),COUNTIFS($D$5:$D1282,"挂靠代收")+COUNTIFS($D$5:$D1282,"我方收款"),"")</f>
        <v/>
      </c>
      <c r="Y1282" s="35"/>
      <c r="Z1282" s="21" t="s">
        <v>111</v>
      </c>
    </row>
    <row r="1283" customFormat="false" ht="15.75" hidden="false" customHeight="true" outlineLevel="0" collapsed="false">
      <c r="A1283" s="32" t="str">
        <f aca="false">IF($B1283="","",ROW()-4)</f>
        <v/>
      </c>
      <c r="B1283" s="26"/>
      <c r="C1283" s="24"/>
      <c r="D1283" s="21"/>
      <c r="E1283" s="21"/>
      <c r="F1283" s="21"/>
      <c r="G1283" s="21"/>
      <c r="H1283" s="27"/>
      <c r="I1283" s="23" t="str">
        <f aca="false">IF($D1283&lt;&gt;"销项开票","",IF($N1283="一级",IF(IFERROR(INDEX(项目档案!$E$6:$E$255,MATCH($C1283,项目档案!$A$6:$A$255,0)),"")="",N(IFERROR(INDEX(单位档案!$D$6:$D$35,MATCH($E1283,单位档案!$A$6:$A$35,0)),"")),IFERROR(INDEX(项目档案!$E$6:$E$255,MATCH($C1283,项目档案!$A$6:$A$255,0)),"")),IF($N1283="二级",IF(IFERROR(INDEX(项目档案!$G$6:$G$255,MATCH($C1283,项目档案!$A$6:$A$255,0)),"")="",N(IFERROR(INDEX(单位档案!$D$6:$D$35,MATCH($E1283,单位档案!$A$6:$A$35,0)),"")),IFERROR(INDEX(项目档案!$G$6:$G$255,MATCH($C1283,项目档案!$A$6:$A$255,0)),"")),N(IFERROR(INDEX(单位档案!$D$6:$D$35,MATCH($E1283,单位档案!$A$6:$A$35,0)),"")))))</f>
        <v/>
      </c>
      <c r="J1283" s="22"/>
      <c r="K1283" s="22"/>
      <c r="L1283" s="33" t="str">
        <f aca="false">IF($B1283="","",IF(NOT(ISNUMBER($B1283)),"日期格式不对",IF($C1283="","未选项目编号",IF(LEFT($M1283,1)="⚠","项目编号不存在",IF($D1283="","未选业务类型",IF($E1283="","未选开票/付款方",IF(ISNA(MATCH($E1283,单位档案!$A$6:$A$35,0)),"开票方不在单位档案",IF($F1283="","未选收票/收款方",IF(ISNA(MATCH($F1283,单位档案!$A$6:$A$35,0)),"收款方不在单位档案",IF(NOT(ISNUMBER($H1283)),"金额须为数字",IF(AND($D1283="销项开票",$N1283="—"),"链条待确认","√")))))))))))</f>
        <v/>
      </c>
      <c r="M1283" s="34" t="str">
        <f aca="false">IF($C1283="","",IFERROR(INDEX(项目档案!$B$6:$B$255,MATCH($C1283,项目档案!$A$6:$A$255,0)),"⚠项目编号不存在"))</f>
        <v/>
      </c>
      <c r="N1283" s="35" t="str">
        <f aca="false">IF($E1283="","",IF($E1283=IFERROR(INDEX(项目档案!$D$6:$D$255,MATCH($C1283,项目档案!$A$6:$A$255,0)),""),"一级",IF($E1283=IFERROR(INDEX(项目档案!$F$6:$F$255,MATCH($C1283,项目档案!$A$6:$A$255,0)),""),"二级",IF($E1283=IFERROR(INDEX(项目档案!$H$6:$H$255,MATCH($C1283,项目档案!$A$6:$A$255,0)),""),"我方","—"))))</f>
        <v/>
      </c>
      <c r="O1283" s="36" t="n">
        <f aca="false">IF($D1283&lt;&gt;"销项开票",0,ROUND(N($H1283)*N($I1283),2))</f>
        <v>0</v>
      </c>
      <c r="P1283" s="36" t="n">
        <f aca="false">IF($D1283&lt;&gt;"销项开票",0,ROUND(N($H1283)-$O1283,2))</f>
        <v>0</v>
      </c>
      <c r="Q1283" s="37" t="str">
        <f aca="false">IF($E1283="","",N(IFERROR(INDEX(单位档案!$E$6:$E$35,MATCH($E1283,单位档案!$A$6:$A$35,0)),"")))</f>
        <v/>
      </c>
      <c r="R1283" s="37" t="str">
        <f aca="false">IF($E1283="","",N(IFERROR(INDEX(单位档案!$F$6:$F$35,MATCH($E1283,单位档案!$A$6:$A$35,0)),"")))</f>
        <v/>
      </c>
      <c r="S1283" s="36" t="n">
        <f aca="false">IF(OR($D1283&lt;&gt;"销项开票",IFERROR(INDEX(单位档案!$G$6:$G$35,MATCH($E1283,单位档案!$A$6:$A$35,0)),"")&lt;&gt;"是",N($Q1283)=0),0,IF(IFERROR(INDEX(单位档案!$H$6:$H$35,MATCH($E1283,单位档案!$A$6:$A$35,0)),"")="税差法",ROUND(N($H1283)/(1+$Q1283)*$Q1283-IF(N($R1283)=0,0,$P1283/(1+$R1283)*$R1283),2),ROUND(N($H1283)/(1+$Q1283)*$Q1283,2)))</f>
        <v>0</v>
      </c>
      <c r="T1283" s="36" t="n">
        <f aca="false">ROUND($S1283*N(IFERROR(INDEX(单位档案!$J$6:$J$35,MATCH($E1283,单位档案!$A$6:$A$35,0)),"")),2)</f>
        <v>0</v>
      </c>
      <c r="U1283" s="36" t="n">
        <f aca="false">IF($D1283&lt;&gt;"销项开票",0,ROUND(N($H1283)*N(IFERROR(INDEX(单位档案!$K$6:$K$35,MATCH($E1283,单位档案!$A$6:$A$35,0)),"")),2))</f>
        <v>0</v>
      </c>
      <c r="V1283" s="36" t="n">
        <f aca="false">IF(OR($D1283&lt;&gt;"销项开票",N($Q1283)=0),0,ROUND(N($H1283)/(1+$Q1283)*N(IFERROR(INDEX(单位档案!$L$6:$L$35,MATCH($E1283,单位档案!$A$6:$A$35,0)),"")),2))</f>
        <v>0</v>
      </c>
      <c r="W1283" s="36" t="n">
        <f aca="false">ROUND($S1283+$T1283+$U1283+$V1283,2)</f>
        <v>0</v>
      </c>
      <c r="X1283" s="35" t="str">
        <f aca="false">IF(OR($D1283="挂靠代收",$D1283="我方收款"),COUNTIFS($D$5:$D1283,"挂靠代收")+COUNTIFS($D$5:$D1283,"我方收款"),"")</f>
        <v/>
      </c>
      <c r="Y1283" s="35"/>
      <c r="Z1283" s="21" t="s">
        <v>111</v>
      </c>
    </row>
    <row r="1284" customFormat="false" ht="15.75" hidden="false" customHeight="true" outlineLevel="0" collapsed="false">
      <c r="A1284" s="32" t="str">
        <f aca="false">IF($B1284="","",ROW()-4)</f>
        <v/>
      </c>
      <c r="B1284" s="26"/>
      <c r="C1284" s="24"/>
      <c r="D1284" s="21"/>
      <c r="E1284" s="21"/>
      <c r="F1284" s="21"/>
      <c r="G1284" s="21"/>
      <c r="H1284" s="27"/>
      <c r="I1284" s="23" t="str">
        <f aca="false">IF($D1284&lt;&gt;"销项开票","",IF($N1284="一级",IF(IFERROR(INDEX(项目档案!$E$6:$E$255,MATCH($C1284,项目档案!$A$6:$A$255,0)),"")="",N(IFERROR(INDEX(单位档案!$D$6:$D$35,MATCH($E1284,单位档案!$A$6:$A$35,0)),"")),IFERROR(INDEX(项目档案!$E$6:$E$255,MATCH($C1284,项目档案!$A$6:$A$255,0)),"")),IF($N1284="二级",IF(IFERROR(INDEX(项目档案!$G$6:$G$255,MATCH($C1284,项目档案!$A$6:$A$255,0)),"")="",N(IFERROR(INDEX(单位档案!$D$6:$D$35,MATCH($E1284,单位档案!$A$6:$A$35,0)),"")),IFERROR(INDEX(项目档案!$G$6:$G$255,MATCH($C1284,项目档案!$A$6:$A$255,0)),"")),N(IFERROR(INDEX(单位档案!$D$6:$D$35,MATCH($E1284,单位档案!$A$6:$A$35,0)),"")))))</f>
        <v/>
      </c>
      <c r="J1284" s="22"/>
      <c r="K1284" s="22"/>
      <c r="L1284" s="33" t="str">
        <f aca="false">IF($B1284="","",IF(NOT(ISNUMBER($B1284)),"日期格式不对",IF($C1284="","未选项目编号",IF(LEFT($M1284,1)="⚠","项目编号不存在",IF($D1284="","未选业务类型",IF($E1284="","未选开票/付款方",IF(ISNA(MATCH($E1284,单位档案!$A$6:$A$35,0)),"开票方不在单位档案",IF($F1284="","未选收票/收款方",IF(ISNA(MATCH($F1284,单位档案!$A$6:$A$35,0)),"收款方不在单位档案",IF(NOT(ISNUMBER($H1284)),"金额须为数字",IF(AND($D1284="销项开票",$N1284="—"),"链条待确认","√")))))))))))</f>
        <v/>
      </c>
      <c r="M1284" s="34" t="str">
        <f aca="false">IF($C1284="","",IFERROR(INDEX(项目档案!$B$6:$B$255,MATCH($C1284,项目档案!$A$6:$A$255,0)),"⚠项目编号不存在"))</f>
        <v/>
      </c>
      <c r="N1284" s="35" t="str">
        <f aca="false">IF($E1284="","",IF($E1284=IFERROR(INDEX(项目档案!$D$6:$D$255,MATCH($C1284,项目档案!$A$6:$A$255,0)),""),"一级",IF($E1284=IFERROR(INDEX(项目档案!$F$6:$F$255,MATCH($C1284,项目档案!$A$6:$A$255,0)),""),"二级",IF($E1284=IFERROR(INDEX(项目档案!$H$6:$H$255,MATCH($C1284,项目档案!$A$6:$A$255,0)),""),"我方","—"))))</f>
        <v/>
      </c>
      <c r="O1284" s="36" t="n">
        <f aca="false">IF($D1284&lt;&gt;"销项开票",0,ROUND(N($H1284)*N($I1284),2))</f>
        <v>0</v>
      </c>
      <c r="P1284" s="36" t="n">
        <f aca="false">IF($D1284&lt;&gt;"销项开票",0,ROUND(N($H1284)-$O1284,2))</f>
        <v>0</v>
      </c>
      <c r="Q1284" s="37" t="str">
        <f aca="false">IF($E1284="","",N(IFERROR(INDEX(单位档案!$E$6:$E$35,MATCH($E1284,单位档案!$A$6:$A$35,0)),"")))</f>
        <v/>
      </c>
      <c r="R1284" s="37" t="str">
        <f aca="false">IF($E1284="","",N(IFERROR(INDEX(单位档案!$F$6:$F$35,MATCH($E1284,单位档案!$A$6:$A$35,0)),"")))</f>
        <v/>
      </c>
      <c r="S1284" s="36" t="n">
        <f aca="false">IF(OR($D1284&lt;&gt;"销项开票",IFERROR(INDEX(单位档案!$G$6:$G$35,MATCH($E1284,单位档案!$A$6:$A$35,0)),"")&lt;&gt;"是",N($Q1284)=0),0,IF(IFERROR(INDEX(单位档案!$H$6:$H$35,MATCH($E1284,单位档案!$A$6:$A$35,0)),"")="税差法",ROUND(N($H1284)/(1+$Q1284)*$Q1284-IF(N($R1284)=0,0,$P1284/(1+$R1284)*$R1284),2),ROUND(N($H1284)/(1+$Q1284)*$Q1284,2)))</f>
        <v>0</v>
      </c>
      <c r="T1284" s="36" t="n">
        <f aca="false">ROUND($S1284*N(IFERROR(INDEX(单位档案!$J$6:$J$35,MATCH($E1284,单位档案!$A$6:$A$35,0)),"")),2)</f>
        <v>0</v>
      </c>
      <c r="U1284" s="36" t="n">
        <f aca="false">IF($D1284&lt;&gt;"销项开票",0,ROUND(N($H1284)*N(IFERROR(INDEX(单位档案!$K$6:$K$35,MATCH($E1284,单位档案!$A$6:$A$35,0)),"")),2))</f>
        <v>0</v>
      </c>
      <c r="V1284" s="36" t="n">
        <f aca="false">IF(OR($D1284&lt;&gt;"销项开票",N($Q1284)=0),0,ROUND(N($H1284)/(1+$Q1284)*N(IFERROR(INDEX(单位档案!$L$6:$L$35,MATCH($E1284,单位档案!$A$6:$A$35,0)),"")),2))</f>
        <v>0</v>
      </c>
      <c r="W1284" s="36" t="n">
        <f aca="false">ROUND($S1284+$T1284+$U1284+$V1284,2)</f>
        <v>0</v>
      </c>
      <c r="X1284" s="35" t="str">
        <f aca="false">IF(OR($D1284="挂靠代收",$D1284="我方收款"),COUNTIFS($D$5:$D1284,"挂靠代收")+COUNTIFS($D$5:$D1284,"我方收款"),"")</f>
        <v/>
      </c>
      <c r="Y1284" s="35"/>
      <c r="Z1284" s="21" t="s">
        <v>111</v>
      </c>
    </row>
    <row r="1285" customFormat="false" ht="15.75" hidden="false" customHeight="true" outlineLevel="0" collapsed="false">
      <c r="A1285" s="32" t="str">
        <f aca="false">IF($B1285="","",ROW()-4)</f>
        <v/>
      </c>
      <c r="B1285" s="26"/>
      <c r="C1285" s="24"/>
      <c r="D1285" s="21"/>
      <c r="E1285" s="21"/>
      <c r="F1285" s="21"/>
      <c r="G1285" s="21"/>
      <c r="H1285" s="27"/>
      <c r="I1285" s="23" t="str">
        <f aca="false">IF($D1285&lt;&gt;"销项开票","",IF($N1285="一级",IF(IFERROR(INDEX(项目档案!$E$6:$E$255,MATCH($C1285,项目档案!$A$6:$A$255,0)),"")="",N(IFERROR(INDEX(单位档案!$D$6:$D$35,MATCH($E1285,单位档案!$A$6:$A$35,0)),"")),IFERROR(INDEX(项目档案!$E$6:$E$255,MATCH($C1285,项目档案!$A$6:$A$255,0)),"")),IF($N1285="二级",IF(IFERROR(INDEX(项目档案!$G$6:$G$255,MATCH($C1285,项目档案!$A$6:$A$255,0)),"")="",N(IFERROR(INDEX(单位档案!$D$6:$D$35,MATCH($E1285,单位档案!$A$6:$A$35,0)),"")),IFERROR(INDEX(项目档案!$G$6:$G$255,MATCH($C1285,项目档案!$A$6:$A$255,0)),"")),N(IFERROR(INDEX(单位档案!$D$6:$D$35,MATCH($E1285,单位档案!$A$6:$A$35,0)),"")))))</f>
        <v/>
      </c>
      <c r="J1285" s="22"/>
      <c r="K1285" s="22"/>
      <c r="L1285" s="33" t="str">
        <f aca="false">IF($B1285="","",IF(NOT(ISNUMBER($B1285)),"日期格式不对",IF($C1285="","未选项目编号",IF(LEFT($M1285,1)="⚠","项目编号不存在",IF($D1285="","未选业务类型",IF($E1285="","未选开票/付款方",IF(ISNA(MATCH($E1285,单位档案!$A$6:$A$35,0)),"开票方不在单位档案",IF($F1285="","未选收票/收款方",IF(ISNA(MATCH($F1285,单位档案!$A$6:$A$35,0)),"收款方不在单位档案",IF(NOT(ISNUMBER($H1285)),"金额须为数字",IF(AND($D1285="销项开票",$N1285="—"),"链条待确认","√")))))))))))</f>
        <v/>
      </c>
      <c r="M1285" s="34" t="str">
        <f aca="false">IF($C1285="","",IFERROR(INDEX(项目档案!$B$6:$B$255,MATCH($C1285,项目档案!$A$6:$A$255,0)),"⚠项目编号不存在"))</f>
        <v/>
      </c>
      <c r="N1285" s="35" t="str">
        <f aca="false">IF($E1285="","",IF($E1285=IFERROR(INDEX(项目档案!$D$6:$D$255,MATCH($C1285,项目档案!$A$6:$A$255,0)),""),"一级",IF($E1285=IFERROR(INDEX(项目档案!$F$6:$F$255,MATCH($C1285,项目档案!$A$6:$A$255,0)),""),"二级",IF($E1285=IFERROR(INDEX(项目档案!$H$6:$H$255,MATCH($C1285,项目档案!$A$6:$A$255,0)),""),"我方","—"))))</f>
        <v/>
      </c>
      <c r="O1285" s="36" t="n">
        <f aca="false">IF($D1285&lt;&gt;"销项开票",0,ROUND(N($H1285)*N($I1285),2))</f>
        <v>0</v>
      </c>
      <c r="P1285" s="36" t="n">
        <f aca="false">IF($D1285&lt;&gt;"销项开票",0,ROUND(N($H1285)-$O1285,2))</f>
        <v>0</v>
      </c>
      <c r="Q1285" s="37" t="str">
        <f aca="false">IF($E1285="","",N(IFERROR(INDEX(单位档案!$E$6:$E$35,MATCH($E1285,单位档案!$A$6:$A$35,0)),"")))</f>
        <v/>
      </c>
      <c r="R1285" s="37" t="str">
        <f aca="false">IF($E1285="","",N(IFERROR(INDEX(单位档案!$F$6:$F$35,MATCH($E1285,单位档案!$A$6:$A$35,0)),"")))</f>
        <v/>
      </c>
      <c r="S1285" s="36" t="n">
        <f aca="false">IF(OR($D1285&lt;&gt;"销项开票",IFERROR(INDEX(单位档案!$G$6:$G$35,MATCH($E1285,单位档案!$A$6:$A$35,0)),"")&lt;&gt;"是",N($Q1285)=0),0,IF(IFERROR(INDEX(单位档案!$H$6:$H$35,MATCH($E1285,单位档案!$A$6:$A$35,0)),"")="税差法",ROUND(N($H1285)/(1+$Q1285)*$Q1285-IF(N($R1285)=0,0,$P1285/(1+$R1285)*$R1285),2),ROUND(N($H1285)/(1+$Q1285)*$Q1285,2)))</f>
        <v>0</v>
      </c>
      <c r="T1285" s="36" t="n">
        <f aca="false">ROUND($S1285*N(IFERROR(INDEX(单位档案!$J$6:$J$35,MATCH($E1285,单位档案!$A$6:$A$35,0)),"")),2)</f>
        <v>0</v>
      </c>
      <c r="U1285" s="36" t="n">
        <f aca="false">IF($D1285&lt;&gt;"销项开票",0,ROUND(N($H1285)*N(IFERROR(INDEX(单位档案!$K$6:$K$35,MATCH($E1285,单位档案!$A$6:$A$35,0)),"")),2))</f>
        <v>0</v>
      </c>
      <c r="V1285" s="36" t="n">
        <f aca="false">IF(OR($D1285&lt;&gt;"销项开票",N($Q1285)=0),0,ROUND(N($H1285)/(1+$Q1285)*N(IFERROR(INDEX(单位档案!$L$6:$L$35,MATCH($E1285,单位档案!$A$6:$A$35,0)),"")),2))</f>
        <v>0</v>
      </c>
      <c r="W1285" s="36" t="n">
        <f aca="false">ROUND($S1285+$T1285+$U1285+$V1285,2)</f>
        <v>0</v>
      </c>
      <c r="X1285" s="35" t="str">
        <f aca="false">IF(OR($D1285="挂靠代收",$D1285="我方收款"),COUNTIFS($D$5:$D1285,"挂靠代收")+COUNTIFS($D$5:$D1285,"我方收款"),"")</f>
        <v/>
      </c>
      <c r="Y1285" s="35"/>
      <c r="Z1285" s="21" t="s">
        <v>111</v>
      </c>
    </row>
    <row r="1286" customFormat="false" ht="15.75" hidden="false" customHeight="true" outlineLevel="0" collapsed="false">
      <c r="A1286" s="32" t="str">
        <f aca="false">IF($B1286="","",ROW()-4)</f>
        <v/>
      </c>
      <c r="B1286" s="26"/>
      <c r="C1286" s="24"/>
      <c r="D1286" s="21"/>
      <c r="E1286" s="21"/>
      <c r="F1286" s="21"/>
      <c r="G1286" s="21"/>
      <c r="H1286" s="27"/>
      <c r="I1286" s="23" t="str">
        <f aca="false">IF($D1286&lt;&gt;"销项开票","",IF($N1286="一级",IF(IFERROR(INDEX(项目档案!$E$6:$E$255,MATCH($C1286,项目档案!$A$6:$A$255,0)),"")="",N(IFERROR(INDEX(单位档案!$D$6:$D$35,MATCH($E1286,单位档案!$A$6:$A$35,0)),"")),IFERROR(INDEX(项目档案!$E$6:$E$255,MATCH($C1286,项目档案!$A$6:$A$255,0)),"")),IF($N1286="二级",IF(IFERROR(INDEX(项目档案!$G$6:$G$255,MATCH($C1286,项目档案!$A$6:$A$255,0)),"")="",N(IFERROR(INDEX(单位档案!$D$6:$D$35,MATCH($E1286,单位档案!$A$6:$A$35,0)),"")),IFERROR(INDEX(项目档案!$G$6:$G$255,MATCH($C1286,项目档案!$A$6:$A$255,0)),"")),N(IFERROR(INDEX(单位档案!$D$6:$D$35,MATCH($E1286,单位档案!$A$6:$A$35,0)),"")))))</f>
        <v/>
      </c>
      <c r="J1286" s="22"/>
      <c r="K1286" s="22"/>
      <c r="L1286" s="33" t="str">
        <f aca="false">IF($B1286="","",IF(NOT(ISNUMBER($B1286)),"日期格式不对",IF($C1286="","未选项目编号",IF(LEFT($M1286,1)="⚠","项目编号不存在",IF($D1286="","未选业务类型",IF($E1286="","未选开票/付款方",IF(ISNA(MATCH($E1286,单位档案!$A$6:$A$35,0)),"开票方不在单位档案",IF($F1286="","未选收票/收款方",IF(ISNA(MATCH($F1286,单位档案!$A$6:$A$35,0)),"收款方不在单位档案",IF(NOT(ISNUMBER($H1286)),"金额须为数字",IF(AND($D1286="销项开票",$N1286="—"),"链条待确认","√")))))))))))</f>
        <v/>
      </c>
      <c r="M1286" s="34" t="str">
        <f aca="false">IF($C1286="","",IFERROR(INDEX(项目档案!$B$6:$B$255,MATCH($C1286,项目档案!$A$6:$A$255,0)),"⚠项目编号不存在"))</f>
        <v/>
      </c>
      <c r="N1286" s="35" t="str">
        <f aca="false">IF($E1286="","",IF($E1286=IFERROR(INDEX(项目档案!$D$6:$D$255,MATCH($C1286,项目档案!$A$6:$A$255,0)),""),"一级",IF($E1286=IFERROR(INDEX(项目档案!$F$6:$F$255,MATCH($C1286,项目档案!$A$6:$A$255,0)),""),"二级",IF($E1286=IFERROR(INDEX(项目档案!$H$6:$H$255,MATCH($C1286,项目档案!$A$6:$A$255,0)),""),"我方","—"))))</f>
        <v/>
      </c>
      <c r="O1286" s="36" t="n">
        <f aca="false">IF($D1286&lt;&gt;"销项开票",0,ROUND(N($H1286)*N($I1286),2))</f>
        <v>0</v>
      </c>
      <c r="P1286" s="36" t="n">
        <f aca="false">IF($D1286&lt;&gt;"销项开票",0,ROUND(N($H1286)-$O1286,2))</f>
        <v>0</v>
      </c>
      <c r="Q1286" s="37" t="str">
        <f aca="false">IF($E1286="","",N(IFERROR(INDEX(单位档案!$E$6:$E$35,MATCH($E1286,单位档案!$A$6:$A$35,0)),"")))</f>
        <v/>
      </c>
      <c r="R1286" s="37" t="str">
        <f aca="false">IF($E1286="","",N(IFERROR(INDEX(单位档案!$F$6:$F$35,MATCH($E1286,单位档案!$A$6:$A$35,0)),"")))</f>
        <v/>
      </c>
      <c r="S1286" s="36" t="n">
        <f aca="false">IF(OR($D1286&lt;&gt;"销项开票",IFERROR(INDEX(单位档案!$G$6:$G$35,MATCH($E1286,单位档案!$A$6:$A$35,0)),"")&lt;&gt;"是",N($Q1286)=0),0,IF(IFERROR(INDEX(单位档案!$H$6:$H$35,MATCH($E1286,单位档案!$A$6:$A$35,0)),"")="税差法",ROUND(N($H1286)/(1+$Q1286)*$Q1286-IF(N($R1286)=0,0,$P1286/(1+$R1286)*$R1286),2),ROUND(N($H1286)/(1+$Q1286)*$Q1286,2)))</f>
        <v>0</v>
      </c>
      <c r="T1286" s="36" t="n">
        <f aca="false">ROUND($S1286*N(IFERROR(INDEX(单位档案!$J$6:$J$35,MATCH($E1286,单位档案!$A$6:$A$35,0)),"")),2)</f>
        <v>0</v>
      </c>
      <c r="U1286" s="36" t="n">
        <f aca="false">IF($D1286&lt;&gt;"销项开票",0,ROUND(N($H1286)*N(IFERROR(INDEX(单位档案!$K$6:$K$35,MATCH($E1286,单位档案!$A$6:$A$35,0)),"")),2))</f>
        <v>0</v>
      </c>
      <c r="V1286" s="36" t="n">
        <f aca="false">IF(OR($D1286&lt;&gt;"销项开票",N($Q1286)=0),0,ROUND(N($H1286)/(1+$Q1286)*N(IFERROR(INDEX(单位档案!$L$6:$L$35,MATCH($E1286,单位档案!$A$6:$A$35,0)),"")),2))</f>
        <v>0</v>
      </c>
      <c r="W1286" s="36" t="n">
        <f aca="false">ROUND($S1286+$T1286+$U1286+$V1286,2)</f>
        <v>0</v>
      </c>
      <c r="X1286" s="35" t="str">
        <f aca="false">IF(OR($D1286="挂靠代收",$D1286="我方收款"),COUNTIFS($D$5:$D1286,"挂靠代收")+COUNTIFS($D$5:$D1286,"我方收款"),"")</f>
        <v/>
      </c>
      <c r="Y1286" s="35"/>
      <c r="Z1286" s="21" t="s">
        <v>111</v>
      </c>
    </row>
    <row r="1287" customFormat="false" ht="15.75" hidden="false" customHeight="true" outlineLevel="0" collapsed="false">
      <c r="A1287" s="32" t="str">
        <f aca="false">IF($B1287="","",ROW()-4)</f>
        <v/>
      </c>
      <c r="B1287" s="26"/>
      <c r="C1287" s="24"/>
      <c r="D1287" s="21"/>
      <c r="E1287" s="21"/>
      <c r="F1287" s="21"/>
      <c r="G1287" s="21"/>
      <c r="H1287" s="27"/>
      <c r="I1287" s="23" t="str">
        <f aca="false">IF($D1287&lt;&gt;"销项开票","",IF($N1287="一级",IF(IFERROR(INDEX(项目档案!$E$6:$E$255,MATCH($C1287,项目档案!$A$6:$A$255,0)),"")="",N(IFERROR(INDEX(单位档案!$D$6:$D$35,MATCH($E1287,单位档案!$A$6:$A$35,0)),"")),IFERROR(INDEX(项目档案!$E$6:$E$255,MATCH($C1287,项目档案!$A$6:$A$255,0)),"")),IF($N1287="二级",IF(IFERROR(INDEX(项目档案!$G$6:$G$255,MATCH($C1287,项目档案!$A$6:$A$255,0)),"")="",N(IFERROR(INDEX(单位档案!$D$6:$D$35,MATCH($E1287,单位档案!$A$6:$A$35,0)),"")),IFERROR(INDEX(项目档案!$G$6:$G$255,MATCH($C1287,项目档案!$A$6:$A$255,0)),"")),N(IFERROR(INDEX(单位档案!$D$6:$D$35,MATCH($E1287,单位档案!$A$6:$A$35,0)),"")))))</f>
        <v/>
      </c>
      <c r="J1287" s="22"/>
      <c r="K1287" s="22"/>
      <c r="L1287" s="33" t="str">
        <f aca="false">IF($B1287="","",IF(NOT(ISNUMBER($B1287)),"日期格式不对",IF($C1287="","未选项目编号",IF(LEFT($M1287,1)="⚠","项目编号不存在",IF($D1287="","未选业务类型",IF($E1287="","未选开票/付款方",IF(ISNA(MATCH($E1287,单位档案!$A$6:$A$35,0)),"开票方不在单位档案",IF($F1287="","未选收票/收款方",IF(ISNA(MATCH($F1287,单位档案!$A$6:$A$35,0)),"收款方不在单位档案",IF(NOT(ISNUMBER($H1287)),"金额须为数字",IF(AND($D1287="销项开票",$N1287="—"),"链条待确认","√")))))))))))</f>
        <v/>
      </c>
      <c r="M1287" s="34" t="str">
        <f aca="false">IF($C1287="","",IFERROR(INDEX(项目档案!$B$6:$B$255,MATCH($C1287,项目档案!$A$6:$A$255,0)),"⚠项目编号不存在"))</f>
        <v/>
      </c>
      <c r="N1287" s="35" t="str">
        <f aca="false">IF($E1287="","",IF($E1287=IFERROR(INDEX(项目档案!$D$6:$D$255,MATCH($C1287,项目档案!$A$6:$A$255,0)),""),"一级",IF($E1287=IFERROR(INDEX(项目档案!$F$6:$F$255,MATCH($C1287,项目档案!$A$6:$A$255,0)),""),"二级",IF($E1287=IFERROR(INDEX(项目档案!$H$6:$H$255,MATCH($C1287,项目档案!$A$6:$A$255,0)),""),"我方","—"))))</f>
        <v/>
      </c>
      <c r="O1287" s="36" t="n">
        <f aca="false">IF($D1287&lt;&gt;"销项开票",0,ROUND(N($H1287)*N($I1287),2))</f>
        <v>0</v>
      </c>
      <c r="P1287" s="36" t="n">
        <f aca="false">IF($D1287&lt;&gt;"销项开票",0,ROUND(N($H1287)-$O1287,2))</f>
        <v>0</v>
      </c>
      <c r="Q1287" s="37" t="str">
        <f aca="false">IF($E1287="","",N(IFERROR(INDEX(单位档案!$E$6:$E$35,MATCH($E1287,单位档案!$A$6:$A$35,0)),"")))</f>
        <v/>
      </c>
      <c r="R1287" s="37" t="str">
        <f aca="false">IF($E1287="","",N(IFERROR(INDEX(单位档案!$F$6:$F$35,MATCH($E1287,单位档案!$A$6:$A$35,0)),"")))</f>
        <v/>
      </c>
      <c r="S1287" s="36" t="n">
        <f aca="false">IF(OR($D1287&lt;&gt;"销项开票",IFERROR(INDEX(单位档案!$G$6:$G$35,MATCH($E1287,单位档案!$A$6:$A$35,0)),"")&lt;&gt;"是",N($Q1287)=0),0,IF(IFERROR(INDEX(单位档案!$H$6:$H$35,MATCH($E1287,单位档案!$A$6:$A$35,0)),"")="税差法",ROUND(N($H1287)/(1+$Q1287)*$Q1287-IF(N($R1287)=0,0,$P1287/(1+$R1287)*$R1287),2),ROUND(N($H1287)/(1+$Q1287)*$Q1287,2)))</f>
        <v>0</v>
      </c>
      <c r="T1287" s="36" t="n">
        <f aca="false">ROUND($S1287*N(IFERROR(INDEX(单位档案!$J$6:$J$35,MATCH($E1287,单位档案!$A$6:$A$35,0)),"")),2)</f>
        <v>0</v>
      </c>
      <c r="U1287" s="36" t="n">
        <f aca="false">IF($D1287&lt;&gt;"销项开票",0,ROUND(N($H1287)*N(IFERROR(INDEX(单位档案!$K$6:$K$35,MATCH($E1287,单位档案!$A$6:$A$35,0)),"")),2))</f>
        <v>0</v>
      </c>
      <c r="V1287" s="36" t="n">
        <f aca="false">IF(OR($D1287&lt;&gt;"销项开票",N($Q1287)=0),0,ROUND(N($H1287)/(1+$Q1287)*N(IFERROR(INDEX(单位档案!$L$6:$L$35,MATCH($E1287,单位档案!$A$6:$A$35,0)),"")),2))</f>
        <v>0</v>
      </c>
      <c r="W1287" s="36" t="n">
        <f aca="false">ROUND($S1287+$T1287+$U1287+$V1287,2)</f>
        <v>0</v>
      </c>
      <c r="X1287" s="35" t="str">
        <f aca="false">IF(OR($D1287="挂靠代收",$D1287="我方收款"),COUNTIFS($D$5:$D1287,"挂靠代收")+COUNTIFS($D$5:$D1287,"我方收款"),"")</f>
        <v/>
      </c>
      <c r="Y1287" s="35"/>
      <c r="Z1287" s="21" t="s">
        <v>111</v>
      </c>
    </row>
    <row r="1288" customFormat="false" ht="15.75" hidden="false" customHeight="true" outlineLevel="0" collapsed="false">
      <c r="A1288" s="32" t="str">
        <f aca="false">IF($B1288="","",ROW()-4)</f>
        <v/>
      </c>
      <c r="B1288" s="26"/>
      <c r="C1288" s="24"/>
      <c r="D1288" s="21"/>
      <c r="E1288" s="21"/>
      <c r="F1288" s="21"/>
      <c r="G1288" s="21"/>
      <c r="H1288" s="27"/>
      <c r="I1288" s="23" t="str">
        <f aca="false">IF($D1288&lt;&gt;"销项开票","",IF($N1288="一级",IF(IFERROR(INDEX(项目档案!$E$6:$E$255,MATCH($C1288,项目档案!$A$6:$A$255,0)),"")="",N(IFERROR(INDEX(单位档案!$D$6:$D$35,MATCH($E1288,单位档案!$A$6:$A$35,0)),"")),IFERROR(INDEX(项目档案!$E$6:$E$255,MATCH($C1288,项目档案!$A$6:$A$255,0)),"")),IF($N1288="二级",IF(IFERROR(INDEX(项目档案!$G$6:$G$255,MATCH($C1288,项目档案!$A$6:$A$255,0)),"")="",N(IFERROR(INDEX(单位档案!$D$6:$D$35,MATCH($E1288,单位档案!$A$6:$A$35,0)),"")),IFERROR(INDEX(项目档案!$G$6:$G$255,MATCH($C1288,项目档案!$A$6:$A$255,0)),"")),N(IFERROR(INDEX(单位档案!$D$6:$D$35,MATCH($E1288,单位档案!$A$6:$A$35,0)),"")))))</f>
        <v/>
      </c>
      <c r="J1288" s="22"/>
      <c r="K1288" s="22"/>
      <c r="L1288" s="33" t="str">
        <f aca="false">IF($B1288="","",IF(NOT(ISNUMBER($B1288)),"日期格式不对",IF($C1288="","未选项目编号",IF(LEFT($M1288,1)="⚠","项目编号不存在",IF($D1288="","未选业务类型",IF($E1288="","未选开票/付款方",IF(ISNA(MATCH($E1288,单位档案!$A$6:$A$35,0)),"开票方不在单位档案",IF($F1288="","未选收票/收款方",IF(ISNA(MATCH($F1288,单位档案!$A$6:$A$35,0)),"收款方不在单位档案",IF(NOT(ISNUMBER($H1288)),"金额须为数字",IF(AND($D1288="销项开票",$N1288="—"),"链条待确认","√")))))))))))</f>
        <v/>
      </c>
      <c r="M1288" s="34" t="str">
        <f aca="false">IF($C1288="","",IFERROR(INDEX(项目档案!$B$6:$B$255,MATCH($C1288,项目档案!$A$6:$A$255,0)),"⚠项目编号不存在"))</f>
        <v/>
      </c>
      <c r="N1288" s="35" t="str">
        <f aca="false">IF($E1288="","",IF($E1288=IFERROR(INDEX(项目档案!$D$6:$D$255,MATCH($C1288,项目档案!$A$6:$A$255,0)),""),"一级",IF($E1288=IFERROR(INDEX(项目档案!$F$6:$F$255,MATCH($C1288,项目档案!$A$6:$A$255,0)),""),"二级",IF($E1288=IFERROR(INDEX(项目档案!$H$6:$H$255,MATCH($C1288,项目档案!$A$6:$A$255,0)),""),"我方","—"))))</f>
        <v/>
      </c>
      <c r="O1288" s="36" t="n">
        <f aca="false">IF($D1288&lt;&gt;"销项开票",0,ROUND(N($H1288)*N($I1288),2))</f>
        <v>0</v>
      </c>
      <c r="P1288" s="36" t="n">
        <f aca="false">IF($D1288&lt;&gt;"销项开票",0,ROUND(N($H1288)-$O1288,2))</f>
        <v>0</v>
      </c>
      <c r="Q1288" s="37" t="str">
        <f aca="false">IF($E1288="","",N(IFERROR(INDEX(单位档案!$E$6:$E$35,MATCH($E1288,单位档案!$A$6:$A$35,0)),"")))</f>
        <v/>
      </c>
      <c r="R1288" s="37" t="str">
        <f aca="false">IF($E1288="","",N(IFERROR(INDEX(单位档案!$F$6:$F$35,MATCH($E1288,单位档案!$A$6:$A$35,0)),"")))</f>
        <v/>
      </c>
      <c r="S1288" s="36" t="n">
        <f aca="false">IF(OR($D1288&lt;&gt;"销项开票",IFERROR(INDEX(单位档案!$G$6:$G$35,MATCH($E1288,单位档案!$A$6:$A$35,0)),"")&lt;&gt;"是",N($Q1288)=0),0,IF(IFERROR(INDEX(单位档案!$H$6:$H$35,MATCH($E1288,单位档案!$A$6:$A$35,0)),"")="税差法",ROUND(N($H1288)/(1+$Q1288)*$Q1288-IF(N($R1288)=0,0,$P1288/(1+$R1288)*$R1288),2),ROUND(N($H1288)/(1+$Q1288)*$Q1288,2)))</f>
        <v>0</v>
      </c>
      <c r="T1288" s="36" t="n">
        <f aca="false">ROUND($S1288*N(IFERROR(INDEX(单位档案!$J$6:$J$35,MATCH($E1288,单位档案!$A$6:$A$35,0)),"")),2)</f>
        <v>0</v>
      </c>
      <c r="U1288" s="36" t="n">
        <f aca="false">IF($D1288&lt;&gt;"销项开票",0,ROUND(N($H1288)*N(IFERROR(INDEX(单位档案!$K$6:$K$35,MATCH($E1288,单位档案!$A$6:$A$35,0)),"")),2))</f>
        <v>0</v>
      </c>
      <c r="V1288" s="36" t="n">
        <f aca="false">IF(OR($D1288&lt;&gt;"销项开票",N($Q1288)=0),0,ROUND(N($H1288)/(1+$Q1288)*N(IFERROR(INDEX(单位档案!$L$6:$L$35,MATCH($E1288,单位档案!$A$6:$A$35,0)),"")),2))</f>
        <v>0</v>
      </c>
      <c r="W1288" s="36" t="n">
        <f aca="false">ROUND($S1288+$T1288+$U1288+$V1288,2)</f>
        <v>0</v>
      </c>
      <c r="X1288" s="35" t="str">
        <f aca="false">IF(OR($D1288="挂靠代收",$D1288="我方收款"),COUNTIFS($D$5:$D1288,"挂靠代收")+COUNTIFS($D$5:$D1288,"我方收款"),"")</f>
        <v/>
      </c>
      <c r="Y1288" s="35"/>
      <c r="Z1288" s="21" t="s">
        <v>111</v>
      </c>
    </row>
    <row r="1289" customFormat="false" ht="15.75" hidden="false" customHeight="true" outlineLevel="0" collapsed="false">
      <c r="A1289" s="32" t="str">
        <f aca="false">IF($B1289="","",ROW()-4)</f>
        <v/>
      </c>
      <c r="B1289" s="26"/>
      <c r="C1289" s="24"/>
      <c r="D1289" s="21"/>
      <c r="E1289" s="21"/>
      <c r="F1289" s="21"/>
      <c r="G1289" s="21"/>
      <c r="H1289" s="27"/>
      <c r="I1289" s="23" t="str">
        <f aca="false">IF($D1289&lt;&gt;"销项开票","",IF($N1289="一级",IF(IFERROR(INDEX(项目档案!$E$6:$E$255,MATCH($C1289,项目档案!$A$6:$A$255,0)),"")="",N(IFERROR(INDEX(单位档案!$D$6:$D$35,MATCH($E1289,单位档案!$A$6:$A$35,0)),"")),IFERROR(INDEX(项目档案!$E$6:$E$255,MATCH($C1289,项目档案!$A$6:$A$255,0)),"")),IF($N1289="二级",IF(IFERROR(INDEX(项目档案!$G$6:$G$255,MATCH($C1289,项目档案!$A$6:$A$255,0)),"")="",N(IFERROR(INDEX(单位档案!$D$6:$D$35,MATCH($E1289,单位档案!$A$6:$A$35,0)),"")),IFERROR(INDEX(项目档案!$G$6:$G$255,MATCH($C1289,项目档案!$A$6:$A$255,0)),"")),N(IFERROR(INDEX(单位档案!$D$6:$D$35,MATCH($E1289,单位档案!$A$6:$A$35,0)),"")))))</f>
        <v/>
      </c>
      <c r="J1289" s="22"/>
      <c r="K1289" s="22"/>
      <c r="L1289" s="33" t="str">
        <f aca="false">IF($B1289="","",IF(NOT(ISNUMBER($B1289)),"日期格式不对",IF($C1289="","未选项目编号",IF(LEFT($M1289,1)="⚠","项目编号不存在",IF($D1289="","未选业务类型",IF($E1289="","未选开票/付款方",IF(ISNA(MATCH($E1289,单位档案!$A$6:$A$35,0)),"开票方不在单位档案",IF($F1289="","未选收票/收款方",IF(ISNA(MATCH($F1289,单位档案!$A$6:$A$35,0)),"收款方不在单位档案",IF(NOT(ISNUMBER($H1289)),"金额须为数字",IF(AND($D1289="销项开票",$N1289="—"),"链条待确认","√")))))))))))</f>
        <v/>
      </c>
      <c r="M1289" s="34" t="str">
        <f aca="false">IF($C1289="","",IFERROR(INDEX(项目档案!$B$6:$B$255,MATCH($C1289,项目档案!$A$6:$A$255,0)),"⚠项目编号不存在"))</f>
        <v/>
      </c>
      <c r="N1289" s="35" t="str">
        <f aca="false">IF($E1289="","",IF($E1289=IFERROR(INDEX(项目档案!$D$6:$D$255,MATCH($C1289,项目档案!$A$6:$A$255,0)),""),"一级",IF($E1289=IFERROR(INDEX(项目档案!$F$6:$F$255,MATCH($C1289,项目档案!$A$6:$A$255,0)),""),"二级",IF($E1289=IFERROR(INDEX(项目档案!$H$6:$H$255,MATCH($C1289,项目档案!$A$6:$A$255,0)),""),"我方","—"))))</f>
        <v/>
      </c>
      <c r="O1289" s="36" t="n">
        <f aca="false">IF($D1289&lt;&gt;"销项开票",0,ROUND(N($H1289)*N($I1289),2))</f>
        <v>0</v>
      </c>
      <c r="P1289" s="36" t="n">
        <f aca="false">IF($D1289&lt;&gt;"销项开票",0,ROUND(N($H1289)-$O1289,2))</f>
        <v>0</v>
      </c>
      <c r="Q1289" s="37" t="str">
        <f aca="false">IF($E1289="","",N(IFERROR(INDEX(单位档案!$E$6:$E$35,MATCH($E1289,单位档案!$A$6:$A$35,0)),"")))</f>
        <v/>
      </c>
      <c r="R1289" s="37" t="str">
        <f aca="false">IF($E1289="","",N(IFERROR(INDEX(单位档案!$F$6:$F$35,MATCH($E1289,单位档案!$A$6:$A$35,0)),"")))</f>
        <v/>
      </c>
      <c r="S1289" s="36" t="n">
        <f aca="false">IF(OR($D1289&lt;&gt;"销项开票",IFERROR(INDEX(单位档案!$G$6:$G$35,MATCH($E1289,单位档案!$A$6:$A$35,0)),"")&lt;&gt;"是",N($Q1289)=0),0,IF(IFERROR(INDEX(单位档案!$H$6:$H$35,MATCH($E1289,单位档案!$A$6:$A$35,0)),"")="税差法",ROUND(N($H1289)/(1+$Q1289)*$Q1289-IF(N($R1289)=0,0,$P1289/(1+$R1289)*$R1289),2),ROUND(N($H1289)/(1+$Q1289)*$Q1289,2)))</f>
        <v>0</v>
      </c>
      <c r="T1289" s="36" t="n">
        <f aca="false">ROUND($S1289*N(IFERROR(INDEX(单位档案!$J$6:$J$35,MATCH($E1289,单位档案!$A$6:$A$35,0)),"")),2)</f>
        <v>0</v>
      </c>
      <c r="U1289" s="36" t="n">
        <f aca="false">IF($D1289&lt;&gt;"销项开票",0,ROUND(N($H1289)*N(IFERROR(INDEX(单位档案!$K$6:$K$35,MATCH($E1289,单位档案!$A$6:$A$35,0)),"")),2))</f>
        <v>0</v>
      </c>
      <c r="V1289" s="36" t="n">
        <f aca="false">IF(OR($D1289&lt;&gt;"销项开票",N($Q1289)=0),0,ROUND(N($H1289)/(1+$Q1289)*N(IFERROR(INDEX(单位档案!$L$6:$L$35,MATCH($E1289,单位档案!$A$6:$A$35,0)),"")),2))</f>
        <v>0</v>
      </c>
      <c r="W1289" s="36" t="n">
        <f aca="false">ROUND($S1289+$T1289+$U1289+$V1289,2)</f>
        <v>0</v>
      </c>
      <c r="X1289" s="35" t="str">
        <f aca="false">IF(OR($D1289="挂靠代收",$D1289="我方收款"),COUNTIFS($D$5:$D1289,"挂靠代收")+COUNTIFS($D$5:$D1289,"我方收款"),"")</f>
        <v/>
      </c>
      <c r="Y1289" s="35"/>
      <c r="Z1289" s="21" t="s">
        <v>111</v>
      </c>
    </row>
    <row r="1290" customFormat="false" ht="15.75" hidden="false" customHeight="true" outlineLevel="0" collapsed="false">
      <c r="A1290" s="32" t="str">
        <f aca="false">IF($B1290="","",ROW()-4)</f>
        <v/>
      </c>
      <c r="B1290" s="26"/>
      <c r="C1290" s="24"/>
      <c r="D1290" s="21"/>
      <c r="E1290" s="21"/>
      <c r="F1290" s="21"/>
      <c r="G1290" s="21"/>
      <c r="H1290" s="27"/>
      <c r="I1290" s="23" t="str">
        <f aca="false">IF($D1290&lt;&gt;"销项开票","",IF($N1290="一级",IF(IFERROR(INDEX(项目档案!$E$6:$E$255,MATCH($C1290,项目档案!$A$6:$A$255,0)),"")="",N(IFERROR(INDEX(单位档案!$D$6:$D$35,MATCH($E1290,单位档案!$A$6:$A$35,0)),"")),IFERROR(INDEX(项目档案!$E$6:$E$255,MATCH($C1290,项目档案!$A$6:$A$255,0)),"")),IF($N1290="二级",IF(IFERROR(INDEX(项目档案!$G$6:$G$255,MATCH($C1290,项目档案!$A$6:$A$255,0)),"")="",N(IFERROR(INDEX(单位档案!$D$6:$D$35,MATCH($E1290,单位档案!$A$6:$A$35,0)),"")),IFERROR(INDEX(项目档案!$G$6:$G$255,MATCH($C1290,项目档案!$A$6:$A$255,0)),"")),N(IFERROR(INDEX(单位档案!$D$6:$D$35,MATCH($E1290,单位档案!$A$6:$A$35,0)),"")))))</f>
        <v/>
      </c>
      <c r="J1290" s="22"/>
      <c r="K1290" s="22"/>
      <c r="L1290" s="33" t="str">
        <f aca="false">IF($B1290="","",IF(NOT(ISNUMBER($B1290)),"日期格式不对",IF($C1290="","未选项目编号",IF(LEFT($M1290,1)="⚠","项目编号不存在",IF($D1290="","未选业务类型",IF($E1290="","未选开票/付款方",IF(ISNA(MATCH($E1290,单位档案!$A$6:$A$35,0)),"开票方不在单位档案",IF($F1290="","未选收票/收款方",IF(ISNA(MATCH($F1290,单位档案!$A$6:$A$35,0)),"收款方不在单位档案",IF(NOT(ISNUMBER($H1290)),"金额须为数字",IF(AND($D1290="销项开票",$N1290="—"),"链条待确认","√")))))))))))</f>
        <v/>
      </c>
      <c r="M1290" s="34" t="str">
        <f aca="false">IF($C1290="","",IFERROR(INDEX(项目档案!$B$6:$B$255,MATCH($C1290,项目档案!$A$6:$A$255,0)),"⚠项目编号不存在"))</f>
        <v/>
      </c>
      <c r="N1290" s="35" t="str">
        <f aca="false">IF($E1290="","",IF($E1290=IFERROR(INDEX(项目档案!$D$6:$D$255,MATCH($C1290,项目档案!$A$6:$A$255,0)),""),"一级",IF($E1290=IFERROR(INDEX(项目档案!$F$6:$F$255,MATCH($C1290,项目档案!$A$6:$A$255,0)),""),"二级",IF($E1290=IFERROR(INDEX(项目档案!$H$6:$H$255,MATCH($C1290,项目档案!$A$6:$A$255,0)),""),"我方","—"))))</f>
        <v/>
      </c>
      <c r="O1290" s="36" t="n">
        <f aca="false">IF($D1290&lt;&gt;"销项开票",0,ROUND(N($H1290)*N($I1290),2))</f>
        <v>0</v>
      </c>
      <c r="P1290" s="36" t="n">
        <f aca="false">IF($D1290&lt;&gt;"销项开票",0,ROUND(N($H1290)-$O1290,2))</f>
        <v>0</v>
      </c>
      <c r="Q1290" s="37" t="str">
        <f aca="false">IF($E1290="","",N(IFERROR(INDEX(单位档案!$E$6:$E$35,MATCH($E1290,单位档案!$A$6:$A$35,0)),"")))</f>
        <v/>
      </c>
      <c r="R1290" s="37" t="str">
        <f aca="false">IF($E1290="","",N(IFERROR(INDEX(单位档案!$F$6:$F$35,MATCH($E1290,单位档案!$A$6:$A$35,0)),"")))</f>
        <v/>
      </c>
      <c r="S1290" s="36" t="n">
        <f aca="false">IF(OR($D1290&lt;&gt;"销项开票",IFERROR(INDEX(单位档案!$G$6:$G$35,MATCH($E1290,单位档案!$A$6:$A$35,0)),"")&lt;&gt;"是",N($Q1290)=0),0,IF(IFERROR(INDEX(单位档案!$H$6:$H$35,MATCH($E1290,单位档案!$A$6:$A$35,0)),"")="税差法",ROUND(N($H1290)/(1+$Q1290)*$Q1290-IF(N($R1290)=0,0,$P1290/(1+$R1290)*$R1290),2),ROUND(N($H1290)/(1+$Q1290)*$Q1290,2)))</f>
        <v>0</v>
      </c>
      <c r="T1290" s="36" t="n">
        <f aca="false">ROUND($S1290*N(IFERROR(INDEX(单位档案!$J$6:$J$35,MATCH($E1290,单位档案!$A$6:$A$35,0)),"")),2)</f>
        <v>0</v>
      </c>
      <c r="U1290" s="36" t="n">
        <f aca="false">IF($D1290&lt;&gt;"销项开票",0,ROUND(N($H1290)*N(IFERROR(INDEX(单位档案!$K$6:$K$35,MATCH($E1290,单位档案!$A$6:$A$35,0)),"")),2))</f>
        <v>0</v>
      </c>
      <c r="V1290" s="36" t="n">
        <f aca="false">IF(OR($D1290&lt;&gt;"销项开票",N($Q1290)=0),0,ROUND(N($H1290)/(1+$Q1290)*N(IFERROR(INDEX(单位档案!$L$6:$L$35,MATCH($E1290,单位档案!$A$6:$A$35,0)),"")),2))</f>
        <v>0</v>
      </c>
      <c r="W1290" s="36" t="n">
        <f aca="false">ROUND($S1290+$T1290+$U1290+$V1290,2)</f>
        <v>0</v>
      </c>
      <c r="X1290" s="35" t="str">
        <f aca="false">IF(OR($D1290="挂靠代收",$D1290="我方收款"),COUNTIFS($D$5:$D1290,"挂靠代收")+COUNTIFS($D$5:$D1290,"我方收款"),"")</f>
        <v/>
      </c>
      <c r="Y1290" s="35"/>
      <c r="Z1290" s="21" t="s">
        <v>111</v>
      </c>
    </row>
    <row r="1291" customFormat="false" ht="15.75" hidden="false" customHeight="true" outlineLevel="0" collapsed="false">
      <c r="A1291" s="32" t="str">
        <f aca="false">IF($B1291="","",ROW()-4)</f>
        <v/>
      </c>
      <c r="B1291" s="26"/>
      <c r="C1291" s="24"/>
      <c r="D1291" s="21"/>
      <c r="E1291" s="21"/>
      <c r="F1291" s="21"/>
      <c r="G1291" s="21"/>
      <c r="H1291" s="27"/>
      <c r="I1291" s="23" t="str">
        <f aca="false">IF($D1291&lt;&gt;"销项开票","",IF($N1291="一级",IF(IFERROR(INDEX(项目档案!$E$6:$E$255,MATCH($C1291,项目档案!$A$6:$A$255,0)),"")="",N(IFERROR(INDEX(单位档案!$D$6:$D$35,MATCH($E1291,单位档案!$A$6:$A$35,0)),"")),IFERROR(INDEX(项目档案!$E$6:$E$255,MATCH($C1291,项目档案!$A$6:$A$255,0)),"")),IF($N1291="二级",IF(IFERROR(INDEX(项目档案!$G$6:$G$255,MATCH($C1291,项目档案!$A$6:$A$255,0)),"")="",N(IFERROR(INDEX(单位档案!$D$6:$D$35,MATCH($E1291,单位档案!$A$6:$A$35,0)),"")),IFERROR(INDEX(项目档案!$G$6:$G$255,MATCH($C1291,项目档案!$A$6:$A$255,0)),"")),N(IFERROR(INDEX(单位档案!$D$6:$D$35,MATCH($E1291,单位档案!$A$6:$A$35,0)),"")))))</f>
        <v/>
      </c>
      <c r="J1291" s="22"/>
      <c r="K1291" s="22"/>
      <c r="L1291" s="33" t="str">
        <f aca="false">IF($B1291="","",IF(NOT(ISNUMBER($B1291)),"日期格式不对",IF($C1291="","未选项目编号",IF(LEFT($M1291,1)="⚠","项目编号不存在",IF($D1291="","未选业务类型",IF($E1291="","未选开票/付款方",IF(ISNA(MATCH($E1291,单位档案!$A$6:$A$35,0)),"开票方不在单位档案",IF($F1291="","未选收票/收款方",IF(ISNA(MATCH($F1291,单位档案!$A$6:$A$35,0)),"收款方不在单位档案",IF(NOT(ISNUMBER($H1291)),"金额须为数字",IF(AND($D1291="销项开票",$N1291="—"),"链条待确认","√")))))))))))</f>
        <v/>
      </c>
      <c r="M1291" s="34" t="str">
        <f aca="false">IF($C1291="","",IFERROR(INDEX(项目档案!$B$6:$B$255,MATCH($C1291,项目档案!$A$6:$A$255,0)),"⚠项目编号不存在"))</f>
        <v/>
      </c>
      <c r="N1291" s="35" t="str">
        <f aca="false">IF($E1291="","",IF($E1291=IFERROR(INDEX(项目档案!$D$6:$D$255,MATCH($C1291,项目档案!$A$6:$A$255,0)),""),"一级",IF($E1291=IFERROR(INDEX(项目档案!$F$6:$F$255,MATCH($C1291,项目档案!$A$6:$A$255,0)),""),"二级",IF($E1291=IFERROR(INDEX(项目档案!$H$6:$H$255,MATCH($C1291,项目档案!$A$6:$A$255,0)),""),"我方","—"))))</f>
        <v/>
      </c>
      <c r="O1291" s="36" t="n">
        <f aca="false">IF($D1291&lt;&gt;"销项开票",0,ROUND(N($H1291)*N($I1291),2))</f>
        <v>0</v>
      </c>
      <c r="P1291" s="36" t="n">
        <f aca="false">IF($D1291&lt;&gt;"销项开票",0,ROUND(N($H1291)-$O1291,2))</f>
        <v>0</v>
      </c>
      <c r="Q1291" s="37" t="str">
        <f aca="false">IF($E1291="","",N(IFERROR(INDEX(单位档案!$E$6:$E$35,MATCH($E1291,单位档案!$A$6:$A$35,0)),"")))</f>
        <v/>
      </c>
      <c r="R1291" s="37" t="str">
        <f aca="false">IF($E1291="","",N(IFERROR(INDEX(单位档案!$F$6:$F$35,MATCH($E1291,单位档案!$A$6:$A$35,0)),"")))</f>
        <v/>
      </c>
      <c r="S1291" s="36" t="n">
        <f aca="false">IF(OR($D1291&lt;&gt;"销项开票",IFERROR(INDEX(单位档案!$G$6:$G$35,MATCH($E1291,单位档案!$A$6:$A$35,0)),"")&lt;&gt;"是",N($Q1291)=0),0,IF(IFERROR(INDEX(单位档案!$H$6:$H$35,MATCH($E1291,单位档案!$A$6:$A$35,0)),"")="税差法",ROUND(N($H1291)/(1+$Q1291)*$Q1291-IF(N($R1291)=0,0,$P1291/(1+$R1291)*$R1291),2),ROUND(N($H1291)/(1+$Q1291)*$Q1291,2)))</f>
        <v>0</v>
      </c>
      <c r="T1291" s="36" t="n">
        <f aca="false">ROUND($S1291*N(IFERROR(INDEX(单位档案!$J$6:$J$35,MATCH($E1291,单位档案!$A$6:$A$35,0)),"")),2)</f>
        <v>0</v>
      </c>
      <c r="U1291" s="36" t="n">
        <f aca="false">IF($D1291&lt;&gt;"销项开票",0,ROUND(N($H1291)*N(IFERROR(INDEX(单位档案!$K$6:$K$35,MATCH($E1291,单位档案!$A$6:$A$35,0)),"")),2))</f>
        <v>0</v>
      </c>
      <c r="V1291" s="36" t="n">
        <f aca="false">IF(OR($D1291&lt;&gt;"销项开票",N($Q1291)=0),0,ROUND(N($H1291)/(1+$Q1291)*N(IFERROR(INDEX(单位档案!$L$6:$L$35,MATCH($E1291,单位档案!$A$6:$A$35,0)),"")),2))</f>
        <v>0</v>
      </c>
      <c r="W1291" s="36" t="n">
        <f aca="false">ROUND($S1291+$T1291+$U1291+$V1291,2)</f>
        <v>0</v>
      </c>
      <c r="X1291" s="35" t="str">
        <f aca="false">IF(OR($D1291="挂靠代收",$D1291="我方收款"),COUNTIFS($D$5:$D1291,"挂靠代收")+COUNTIFS($D$5:$D1291,"我方收款"),"")</f>
        <v/>
      </c>
      <c r="Y1291" s="35"/>
      <c r="Z1291" s="21" t="s">
        <v>111</v>
      </c>
    </row>
    <row r="1292" customFormat="false" ht="15.75" hidden="false" customHeight="true" outlineLevel="0" collapsed="false">
      <c r="A1292" s="32" t="str">
        <f aca="false">IF($B1292="","",ROW()-4)</f>
        <v/>
      </c>
      <c r="B1292" s="26"/>
      <c r="C1292" s="24"/>
      <c r="D1292" s="21"/>
      <c r="E1292" s="21"/>
      <c r="F1292" s="21"/>
      <c r="G1292" s="21"/>
      <c r="H1292" s="27"/>
      <c r="I1292" s="23" t="str">
        <f aca="false">IF($D1292&lt;&gt;"销项开票","",IF($N1292="一级",IF(IFERROR(INDEX(项目档案!$E$6:$E$255,MATCH($C1292,项目档案!$A$6:$A$255,0)),"")="",N(IFERROR(INDEX(单位档案!$D$6:$D$35,MATCH($E1292,单位档案!$A$6:$A$35,0)),"")),IFERROR(INDEX(项目档案!$E$6:$E$255,MATCH($C1292,项目档案!$A$6:$A$255,0)),"")),IF($N1292="二级",IF(IFERROR(INDEX(项目档案!$G$6:$G$255,MATCH($C1292,项目档案!$A$6:$A$255,0)),"")="",N(IFERROR(INDEX(单位档案!$D$6:$D$35,MATCH($E1292,单位档案!$A$6:$A$35,0)),"")),IFERROR(INDEX(项目档案!$G$6:$G$255,MATCH($C1292,项目档案!$A$6:$A$255,0)),"")),N(IFERROR(INDEX(单位档案!$D$6:$D$35,MATCH($E1292,单位档案!$A$6:$A$35,0)),"")))))</f>
        <v/>
      </c>
      <c r="J1292" s="22"/>
      <c r="K1292" s="22"/>
      <c r="L1292" s="33" t="str">
        <f aca="false">IF($B1292="","",IF(NOT(ISNUMBER($B1292)),"日期格式不对",IF($C1292="","未选项目编号",IF(LEFT($M1292,1)="⚠","项目编号不存在",IF($D1292="","未选业务类型",IF($E1292="","未选开票/付款方",IF(ISNA(MATCH($E1292,单位档案!$A$6:$A$35,0)),"开票方不在单位档案",IF($F1292="","未选收票/收款方",IF(ISNA(MATCH($F1292,单位档案!$A$6:$A$35,0)),"收款方不在单位档案",IF(NOT(ISNUMBER($H1292)),"金额须为数字",IF(AND($D1292="销项开票",$N1292="—"),"链条待确认","√")))))))))))</f>
        <v/>
      </c>
      <c r="M1292" s="34" t="str">
        <f aca="false">IF($C1292="","",IFERROR(INDEX(项目档案!$B$6:$B$255,MATCH($C1292,项目档案!$A$6:$A$255,0)),"⚠项目编号不存在"))</f>
        <v/>
      </c>
      <c r="N1292" s="35" t="str">
        <f aca="false">IF($E1292="","",IF($E1292=IFERROR(INDEX(项目档案!$D$6:$D$255,MATCH($C1292,项目档案!$A$6:$A$255,0)),""),"一级",IF($E1292=IFERROR(INDEX(项目档案!$F$6:$F$255,MATCH($C1292,项目档案!$A$6:$A$255,0)),""),"二级",IF($E1292=IFERROR(INDEX(项目档案!$H$6:$H$255,MATCH($C1292,项目档案!$A$6:$A$255,0)),""),"我方","—"))))</f>
        <v/>
      </c>
      <c r="O1292" s="36" t="n">
        <f aca="false">IF($D1292&lt;&gt;"销项开票",0,ROUND(N($H1292)*N($I1292),2))</f>
        <v>0</v>
      </c>
      <c r="P1292" s="36" t="n">
        <f aca="false">IF($D1292&lt;&gt;"销项开票",0,ROUND(N($H1292)-$O1292,2))</f>
        <v>0</v>
      </c>
      <c r="Q1292" s="37" t="str">
        <f aca="false">IF($E1292="","",N(IFERROR(INDEX(单位档案!$E$6:$E$35,MATCH($E1292,单位档案!$A$6:$A$35,0)),"")))</f>
        <v/>
      </c>
      <c r="R1292" s="37" t="str">
        <f aca="false">IF($E1292="","",N(IFERROR(INDEX(单位档案!$F$6:$F$35,MATCH($E1292,单位档案!$A$6:$A$35,0)),"")))</f>
        <v/>
      </c>
      <c r="S1292" s="36" t="n">
        <f aca="false">IF(OR($D1292&lt;&gt;"销项开票",IFERROR(INDEX(单位档案!$G$6:$G$35,MATCH($E1292,单位档案!$A$6:$A$35,0)),"")&lt;&gt;"是",N($Q1292)=0),0,IF(IFERROR(INDEX(单位档案!$H$6:$H$35,MATCH($E1292,单位档案!$A$6:$A$35,0)),"")="税差法",ROUND(N($H1292)/(1+$Q1292)*$Q1292-IF(N($R1292)=0,0,$P1292/(1+$R1292)*$R1292),2),ROUND(N($H1292)/(1+$Q1292)*$Q1292,2)))</f>
        <v>0</v>
      </c>
      <c r="T1292" s="36" t="n">
        <f aca="false">ROUND($S1292*N(IFERROR(INDEX(单位档案!$J$6:$J$35,MATCH($E1292,单位档案!$A$6:$A$35,0)),"")),2)</f>
        <v>0</v>
      </c>
      <c r="U1292" s="36" t="n">
        <f aca="false">IF($D1292&lt;&gt;"销项开票",0,ROUND(N($H1292)*N(IFERROR(INDEX(单位档案!$K$6:$K$35,MATCH($E1292,单位档案!$A$6:$A$35,0)),"")),2))</f>
        <v>0</v>
      </c>
      <c r="V1292" s="36" t="n">
        <f aca="false">IF(OR($D1292&lt;&gt;"销项开票",N($Q1292)=0),0,ROUND(N($H1292)/(1+$Q1292)*N(IFERROR(INDEX(单位档案!$L$6:$L$35,MATCH($E1292,单位档案!$A$6:$A$35,0)),"")),2))</f>
        <v>0</v>
      </c>
      <c r="W1292" s="36" t="n">
        <f aca="false">ROUND($S1292+$T1292+$U1292+$V1292,2)</f>
        <v>0</v>
      </c>
      <c r="X1292" s="35" t="str">
        <f aca="false">IF(OR($D1292="挂靠代收",$D1292="我方收款"),COUNTIFS($D$5:$D1292,"挂靠代收")+COUNTIFS($D$5:$D1292,"我方收款"),"")</f>
        <v/>
      </c>
      <c r="Y1292" s="35"/>
      <c r="Z1292" s="21" t="s">
        <v>111</v>
      </c>
    </row>
    <row r="1293" customFormat="false" ht="15.75" hidden="false" customHeight="true" outlineLevel="0" collapsed="false">
      <c r="A1293" s="32" t="str">
        <f aca="false">IF($B1293="","",ROW()-4)</f>
        <v/>
      </c>
      <c r="B1293" s="26"/>
      <c r="C1293" s="24"/>
      <c r="D1293" s="21"/>
      <c r="E1293" s="21"/>
      <c r="F1293" s="21"/>
      <c r="G1293" s="21"/>
      <c r="H1293" s="27"/>
      <c r="I1293" s="23" t="str">
        <f aca="false">IF($D1293&lt;&gt;"销项开票","",IF($N1293="一级",IF(IFERROR(INDEX(项目档案!$E$6:$E$255,MATCH($C1293,项目档案!$A$6:$A$255,0)),"")="",N(IFERROR(INDEX(单位档案!$D$6:$D$35,MATCH($E1293,单位档案!$A$6:$A$35,0)),"")),IFERROR(INDEX(项目档案!$E$6:$E$255,MATCH($C1293,项目档案!$A$6:$A$255,0)),"")),IF($N1293="二级",IF(IFERROR(INDEX(项目档案!$G$6:$G$255,MATCH($C1293,项目档案!$A$6:$A$255,0)),"")="",N(IFERROR(INDEX(单位档案!$D$6:$D$35,MATCH($E1293,单位档案!$A$6:$A$35,0)),"")),IFERROR(INDEX(项目档案!$G$6:$G$255,MATCH($C1293,项目档案!$A$6:$A$255,0)),"")),N(IFERROR(INDEX(单位档案!$D$6:$D$35,MATCH($E1293,单位档案!$A$6:$A$35,0)),"")))))</f>
        <v/>
      </c>
      <c r="J1293" s="22"/>
      <c r="K1293" s="22"/>
      <c r="L1293" s="33" t="str">
        <f aca="false">IF($B1293="","",IF(NOT(ISNUMBER($B1293)),"日期格式不对",IF($C1293="","未选项目编号",IF(LEFT($M1293,1)="⚠","项目编号不存在",IF($D1293="","未选业务类型",IF($E1293="","未选开票/付款方",IF(ISNA(MATCH($E1293,单位档案!$A$6:$A$35,0)),"开票方不在单位档案",IF($F1293="","未选收票/收款方",IF(ISNA(MATCH($F1293,单位档案!$A$6:$A$35,0)),"收款方不在单位档案",IF(NOT(ISNUMBER($H1293)),"金额须为数字",IF(AND($D1293="销项开票",$N1293="—"),"链条待确认","√")))))))))))</f>
        <v/>
      </c>
      <c r="M1293" s="34" t="str">
        <f aca="false">IF($C1293="","",IFERROR(INDEX(项目档案!$B$6:$B$255,MATCH($C1293,项目档案!$A$6:$A$255,0)),"⚠项目编号不存在"))</f>
        <v/>
      </c>
      <c r="N1293" s="35" t="str">
        <f aca="false">IF($E1293="","",IF($E1293=IFERROR(INDEX(项目档案!$D$6:$D$255,MATCH($C1293,项目档案!$A$6:$A$255,0)),""),"一级",IF($E1293=IFERROR(INDEX(项目档案!$F$6:$F$255,MATCH($C1293,项目档案!$A$6:$A$255,0)),""),"二级",IF($E1293=IFERROR(INDEX(项目档案!$H$6:$H$255,MATCH($C1293,项目档案!$A$6:$A$255,0)),""),"我方","—"))))</f>
        <v/>
      </c>
      <c r="O1293" s="36" t="n">
        <f aca="false">IF($D1293&lt;&gt;"销项开票",0,ROUND(N($H1293)*N($I1293),2))</f>
        <v>0</v>
      </c>
      <c r="P1293" s="36" t="n">
        <f aca="false">IF($D1293&lt;&gt;"销项开票",0,ROUND(N($H1293)-$O1293,2))</f>
        <v>0</v>
      </c>
      <c r="Q1293" s="37" t="str">
        <f aca="false">IF($E1293="","",N(IFERROR(INDEX(单位档案!$E$6:$E$35,MATCH($E1293,单位档案!$A$6:$A$35,0)),"")))</f>
        <v/>
      </c>
      <c r="R1293" s="37" t="str">
        <f aca="false">IF($E1293="","",N(IFERROR(INDEX(单位档案!$F$6:$F$35,MATCH($E1293,单位档案!$A$6:$A$35,0)),"")))</f>
        <v/>
      </c>
      <c r="S1293" s="36" t="n">
        <f aca="false">IF(OR($D1293&lt;&gt;"销项开票",IFERROR(INDEX(单位档案!$G$6:$G$35,MATCH($E1293,单位档案!$A$6:$A$35,0)),"")&lt;&gt;"是",N($Q1293)=0),0,IF(IFERROR(INDEX(单位档案!$H$6:$H$35,MATCH($E1293,单位档案!$A$6:$A$35,0)),"")="税差法",ROUND(N($H1293)/(1+$Q1293)*$Q1293-IF(N($R1293)=0,0,$P1293/(1+$R1293)*$R1293),2),ROUND(N($H1293)/(1+$Q1293)*$Q1293,2)))</f>
        <v>0</v>
      </c>
      <c r="T1293" s="36" t="n">
        <f aca="false">ROUND($S1293*N(IFERROR(INDEX(单位档案!$J$6:$J$35,MATCH($E1293,单位档案!$A$6:$A$35,0)),"")),2)</f>
        <v>0</v>
      </c>
      <c r="U1293" s="36" t="n">
        <f aca="false">IF($D1293&lt;&gt;"销项开票",0,ROUND(N($H1293)*N(IFERROR(INDEX(单位档案!$K$6:$K$35,MATCH($E1293,单位档案!$A$6:$A$35,0)),"")),2))</f>
        <v>0</v>
      </c>
      <c r="V1293" s="36" t="n">
        <f aca="false">IF(OR($D1293&lt;&gt;"销项开票",N($Q1293)=0),0,ROUND(N($H1293)/(1+$Q1293)*N(IFERROR(INDEX(单位档案!$L$6:$L$35,MATCH($E1293,单位档案!$A$6:$A$35,0)),"")),2))</f>
        <v>0</v>
      </c>
      <c r="W1293" s="36" t="n">
        <f aca="false">ROUND($S1293+$T1293+$U1293+$V1293,2)</f>
        <v>0</v>
      </c>
      <c r="X1293" s="35" t="str">
        <f aca="false">IF(OR($D1293="挂靠代收",$D1293="我方收款"),COUNTIFS($D$5:$D1293,"挂靠代收")+COUNTIFS($D$5:$D1293,"我方收款"),"")</f>
        <v/>
      </c>
      <c r="Y1293" s="35"/>
      <c r="Z1293" s="21" t="s">
        <v>111</v>
      </c>
    </row>
    <row r="1294" customFormat="false" ht="15.75" hidden="false" customHeight="true" outlineLevel="0" collapsed="false">
      <c r="A1294" s="32" t="str">
        <f aca="false">IF($B1294="","",ROW()-4)</f>
        <v/>
      </c>
      <c r="B1294" s="26"/>
      <c r="C1294" s="24"/>
      <c r="D1294" s="21"/>
      <c r="E1294" s="21"/>
      <c r="F1294" s="21"/>
      <c r="G1294" s="21"/>
      <c r="H1294" s="27"/>
      <c r="I1294" s="23" t="str">
        <f aca="false">IF($D1294&lt;&gt;"销项开票","",IF($N1294="一级",IF(IFERROR(INDEX(项目档案!$E$6:$E$255,MATCH($C1294,项目档案!$A$6:$A$255,0)),"")="",N(IFERROR(INDEX(单位档案!$D$6:$D$35,MATCH($E1294,单位档案!$A$6:$A$35,0)),"")),IFERROR(INDEX(项目档案!$E$6:$E$255,MATCH($C1294,项目档案!$A$6:$A$255,0)),"")),IF($N1294="二级",IF(IFERROR(INDEX(项目档案!$G$6:$G$255,MATCH($C1294,项目档案!$A$6:$A$255,0)),"")="",N(IFERROR(INDEX(单位档案!$D$6:$D$35,MATCH($E1294,单位档案!$A$6:$A$35,0)),"")),IFERROR(INDEX(项目档案!$G$6:$G$255,MATCH($C1294,项目档案!$A$6:$A$255,0)),"")),N(IFERROR(INDEX(单位档案!$D$6:$D$35,MATCH($E1294,单位档案!$A$6:$A$35,0)),"")))))</f>
        <v/>
      </c>
      <c r="J1294" s="22"/>
      <c r="K1294" s="22"/>
      <c r="L1294" s="33" t="str">
        <f aca="false">IF($B1294="","",IF(NOT(ISNUMBER($B1294)),"日期格式不对",IF($C1294="","未选项目编号",IF(LEFT($M1294,1)="⚠","项目编号不存在",IF($D1294="","未选业务类型",IF($E1294="","未选开票/付款方",IF(ISNA(MATCH($E1294,单位档案!$A$6:$A$35,0)),"开票方不在单位档案",IF($F1294="","未选收票/收款方",IF(ISNA(MATCH($F1294,单位档案!$A$6:$A$35,0)),"收款方不在单位档案",IF(NOT(ISNUMBER($H1294)),"金额须为数字",IF(AND($D1294="销项开票",$N1294="—"),"链条待确认","√")))))))))))</f>
        <v/>
      </c>
      <c r="M1294" s="34" t="str">
        <f aca="false">IF($C1294="","",IFERROR(INDEX(项目档案!$B$6:$B$255,MATCH($C1294,项目档案!$A$6:$A$255,0)),"⚠项目编号不存在"))</f>
        <v/>
      </c>
      <c r="N1294" s="35" t="str">
        <f aca="false">IF($E1294="","",IF($E1294=IFERROR(INDEX(项目档案!$D$6:$D$255,MATCH($C1294,项目档案!$A$6:$A$255,0)),""),"一级",IF($E1294=IFERROR(INDEX(项目档案!$F$6:$F$255,MATCH($C1294,项目档案!$A$6:$A$255,0)),""),"二级",IF($E1294=IFERROR(INDEX(项目档案!$H$6:$H$255,MATCH($C1294,项目档案!$A$6:$A$255,0)),""),"我方","—"))))</f>
        <v/>
      </c>
      <c r="O1294" s="36" t="n">
        <f aca="false">IF($D1294&lt;&gt;"销项开票",0,ROUND(N($H1294)*N($I1294),2))</f>
        <v>0</v>
      </c>
      <c r="P1294" s="36" t="n">
        <f aca="false">IF($D1294&lt;&gt;"销项开票",0,ROUND(N($H1294)-$O1294,2))</f>
        <v>0</v>
      </c>
      <c r="Q1294" s="37" t="str">
        <f aca="false">IF($E1294="","",N(IFERROR(INDEX(单位档案!$E$6:$E$35,MATCH($E1294,单位档案!$A$6:$A$35,0)),"")))</f>
        <v/>
      </c>
      <c r="R1294" s="37" t="str">
        <f aca="false">IF($E1294="","",N(IFERROR(INDEX(单位档案!$F$6:$F$35,MATCH($E1294,单位档案!$A$6:$A$35,0)),"")))</f>
        <v/>
      </c>
      <c r="S1294" s="36" t="n">
        <f aca="false">IF(OR($D1294&lt;&gt;"销项开票",IFERROR(INDEX(单位档案!$G$6:$G$35,MATCH($E1294,单位档案!$A$6:$A$35,0)),"")&lt;&gt;"是",N($Q1294)=0),0,IF(IFERROR(INDEX(单位档案!$H$6:$H$35,MATCH($E1294,单位档案!$A$6:$A$35,0)),"")="税差法",ROUND(N($H1294)/(1+$Q1294)*$Q1294-IF(N($R1294)=0,0,$P1294/(1+$R1294)*$R1294),2),ROUND(N($H1294)/(1+$Q1294)*$Q1294,2)))</f>
        <v>0</v>
      </c>
      <c r="T1294" s="36" t="n">
        <f aca="false">ROUND($S1294*N(IFERROR(INDEX(单位档案!$J$6:$J$35,MATCH($E1294,单位档案!$A$6:$A$35,0)),"")),2)</f>
        <v>0</v>
      </c>
      <c r="U1294" s="36" t="n">
        <f aca="false">IF($D1294&lt;&gt;"销项开票",0,ROUND(N($H1294)*N(IFERROR(INDEX(单位档案!$K$6:$K$35,MATCH($E1294,单位档案!$A$6:$A$35,0)),"")),2))</f>
        <v>0</v>
      </c>
      <c r="V1294" s="36" t="n">
        <f aca="false">IF(OR($D1294&lt;&gt;"销项开票",N($Q1294)=0),0,ROUND(N($H1294)/(1+$Q1294)*N(IFERROR(INDEX(单位档案!$L$6:$L$35,MATCH($E1294,单位档案!$A$6:$A$35,0)),"")),2))</f>
        <v>0</v>
      </c>
      <c r="W1294" s="36" t="n">
        <f aca="false">ROUND($S1294+$T1294+$U1294+$V1294,2)</f>
        <v>0</v>
      </c>
      <c r="X1294" s="35" t="str">
        <f aca="false">IF(OR($D1294="挂靠代收",$D1294="我方收款"),COUNTIFS($D$5:$D1294,"挂靠代收")+COUNTIFS($D$5:$D1294,"我方收款"),"")</f>
        <v/>
      </c>
      <c r="Y1294" s="35"/>
      <c r="Z1294" s="21" t="s">
        <v>111</v>
      </c>
    </row>
    <row r="1295" customFormat="false" ht="15.75" hidden="false" customHeight="true" outlineLevel="0" collapsed="false">
      <c r="A1295" s="32" t="str">
        <f aca="false">IF($B1295="","",ROW()-4)</f>
        <v/>
      </c>
      <c r="B1295" s="26"/>
      <c r="C1295" s="24"/>
      <c r="D1295" s="21"/>
      <c r="E1295" s="21"/>
      <c r="F1295" s="21"/>
      <c r="G1295" s="21"/>
      <c r="H1295" s="27"/>
      <c r="I1295" s="23" t="str">
        <f aca="false">IF($D1295&lt;&gt;"销项开票","",IF($N1295="一级",IF(IFERROR(INDEX(项目档案!$E$6:$E$255,MATCH($C1295,项目档案!$A$6:$A$255,0)),"")="",N(IFERROR(INDEX(单位档案!$D$6:$D$35,MATCH($E1295,单位档案!$A$6:$A$35,0)),"")),IFERROR(INDEX(项目档案!$E$6:$E$255,MATCH($C1295,项目档案!$A$6:$A$255,0)),"")),IF($N1295="二级",IF(IFERROR(INDEX(项目档案!$G$6:$G$255,MATCH($C1295,项目档案!$A$6:$A$255,0)),"")="",N(IFERROR(INDEX(单位档案!$D$6:$D$35,MATCH($E1295,单位档案!$A$6:$A$35,0)),"")),IFERROR(INDEX(项目档案!$G$6:$G$255,MATCH($C1295,项目档案!$A$6:$A$255,0)),"")),N(IFERROR(INDEX(单位档案!$D$6:$D$35,MATCH($E1295,单位档案!$A$6:$A$35,0)),"")))))</f>
        <v/>
      </c>
      <c r="J1295" s="22"/>
      <c r="K1295" s="22"/>
      <c r="L1295" s="33" t="str">
        <f aca="false">IF($B1295="","",IF(NOT(ISNUMBER($B1295)),"日期格式不对",IF($C1295="","未选项目编号",IF(LEFT($M1295,1)="⚠","项目编号不存在",IF($D1295="","未选业务类型",IF($E1295="","未选开票/付款方",IF(ISNA(MATCH($E1295,单位档案!$A$6:$A$35,0)),"开票方不在单位档案",IF($F1295="","未选收票/收款方",IF(ISNA(MATCH($F1295,单位档案!$A$6:$A$35,0)),"收款方不在单位档案",IF(NOT(ISNUMBER($H1295)),"金额须为数字",IF(AND($D1295="销项开票",$N1295="—"),"链条待确认","√")))))))))))</f>
        <v/>
      </c>
      <c r="M1295" s="34" t="str">
        <f aca="false">IF($C1295="","",IFERROR(INDEX(项目档案!$B$6:$B$255,MATCH($C1295,项目档案!$A$6:$A$255,0)),"⚠项目编号不存在"))</f>
        <v/>
      </c>
      <c r="N1295" s="35" t="str">
        <f aca="false">IF($E1295="","",IF($E1295=IFERROR(INDEX(项目档案!$D$6:$D$255,MATCH($C1295,项目档案!$A$6:$A$255,0)),""),"一级",IF($E1295=IFERROR(INDEX(项目档案!$F$6:$F$255,MATCH($C1295,项目档案!$A$6:$A$255,0)),""),"二级",IF($E1295=IFERROR(INDEX(项目档案!$H$6:$H$255,MATCH($C1295,项目档案!$A$6:$A$255,0)),""),"我方","—"))))</f>
        <v/>
      </c>
      <c r="O1295" s="36" t="n">
        <f aca="false">IF($D1295&lt;&gt;"销项开票",0,ROUND(N($H1295)*N($I1295),2))</f>
        <v>0</v>
      </c>
      <c r="P1295" s="36" t="n">
        <f aca="false">IF($D1295&lt;&gt;"销项开票",0,ROUND(N($H1295)-$O1295,2))</f>
        <v>0</v>
      </c>
      <c r="Q1295" s="37" t="str">
        <f aca="false">IF($E1295="","",N(IFERROR(INDEX(单位档案!$E$6:$E$35,MATCH($E1295,单位档案!$A$6:$A$35,0)),"")))</f>
        <v/>
      </c>
      <c r="R1295" s="37" t="str">
        <f aca="false">IF($E1295="","",N(IFERROR(INDEX(单位档案!$F$6:$F$35,MATCH($E1295,单位档案!$A$6:$A$35,0)),"")))</f>
        <v/>
      </c>
      <c r="S1295" s="36" t="n">
        <f aca="false">IF(OR($D1295&lt;&gt;"销项开票",IFERROR(INDEX(单位档案!$G$6:$G$35,MATCH($E1295,单位档案!$A$6:$A$35,0)),"")&lt;&gt;"是",N($Q1295)=0),0,IF(IFERROR(INDEX(单位档案!$H$6:$H$35,MATCH($E1295,单位档案!$A$6:$A$35,0)),"")="税差法",ROUND(N($H1295)/(1+$Q1295)*$Q1295-IF(N($R1295)=0,0,$P1295/(1+$R1295)*$R1295),2),ROUND(N($H1295)/(1+$Q1295)*$Q1295,2)))</f>
        <v>0</v>
      </c>
      <c r="T1295" s="36" t="n">
        <f aca="false">ROUND($S1295*N(IFERROR(INDEX(单位档案!$J$6:$J$35,MATCH($E1295,单位档案!$A$6:$A$35,0)),"")),2)</f>
        <v>0</v>
      </c>
      <c r="U1295" s="36" t="n">
        <f aca="false">IF($D1295&lt;&gt;"销项开票",0,ROUND(N($H1295)*N(IFERROR(INDEX(单位档案!$K$6:$K$35,MATCH($E1295,单位档案!$A$6:$A$35,0)),"")),2))</f>
        <v>0</v>
      </c>
      <c r="V1295" s="36" t="n">
        <f aca="false">IF(OR($D1295&lt;&gt;"销项开票",N($Q1295)=0),0,ROUND(N($H1295)/(1+$Q1295)*N(IFERROR(INDEX(单位档案!$L$6:$L$35,MATCH($E1295,单位档案!$A$6:$A$35,0)),"")),2))</f>
        <v>0</v>
      </c>
      <c r="W1295" s="36" t="n">
        <f aca="false">ROUND($S1295+$T1295+$U1295+$V1295,2)</f>
        <v>0</v>
      </c>
      <c r="X1295" s="35" t="str">
        <f aca="false">IF(OR($D1295="挂靠代收",$D1295="我方收款"),COUNTIFS($D$5:$D1295,"挂靠代收")+COUNTIFS($D$5:$D1295,"我方收款"),"")</f>
        <v/>
      </c>
      <c r="Y1295" s="35"/>
      <c r="Z1295" s="21" t="s">
        <v>111</v>
      </c>
    </row>
    <row r="1296" customFormat="false" ht="15.75" hidden="false" customHeight="true" outlineLevel="0" collapsed="false">
      <c r="A1296" s="32" t="str">
        <f aca="false">IF($B1296="","",ROW()-4)</f>
        <v/>
      </c>
      <c r="B1296" s="26"/>
      <c r="C1296" s="24"/>
      <c r="D1296" s="21"/>
      <c r="E1296" s="21"/>
      <c r="F1296" s="21"/>
      <c r="G1296" s="21"/>
      <c r="H1296" s="27"/>
      <c r="I1296" s="23" t="str">
        <f aca="false">IF($D1296&lt;&gt;"销项开票","",IF($N1296="一级",IF(IFERROR(INDEX(项目档案!$E$6:$E$255,MATCH($C1296,项目档案!$A$6:$A$255,0)),"")="",N(IFERROR(INDEX(单位档案!$D$6:$D$35,MATCH($E1296,单位档案!$A$6:$A$35,0)),"")),IFERROR(INDEX(项目档案!$E$6:$E$255,MATCH($C1296,项目档案!$A$6:$A$255,0)),"")),IF($N1296="二级",IF(IFERROR(INDEX(项目档案!$G$6:$G$255,MATCH($C1296,项目档案!$A$6:$A$255,0)),"")="",N(IFERROR(INDEX(单位档案!$D$6:$D$35,MATCH($E1296,单位档案!$A$6:$A$35,0)),"")),IFERROR(INDEX(项目档案!$G$6:$G$255,MATCH($C1296,项目档案!$A$6:$A$255,0)),"")),N(IFERROR(INDEX(单位档案!$D$6:$D$35,MATCH($E1296,单位档案!$A$6:$A$35,0)),"")))))</f>
        <v/>
      </c>
      <c r="J1296" s="22"/>
      <c r="K1296" s="22"/>
      <c r="L1296" s="33" t="str">
        <f aca="false">IF($B1296="","",IF(NOT(ISNUMBER($B1296)),"日期格式不对",IF($C1296="","未选项目编号",IF(LEFT($M1296,1)="⚠","项目编号不存在",IF($D1296="","未选业务类型",IF($E1296="","未选开票/付款方",IF(ISNA(MATCH($E1296,单位档案!$A$6:$A$35,0)),"开票方不在单位档案",IF($F1296="","未选收票/收款方",IF(ISNA(MATCH($F1296,单位档案!$A$6:$A$35,0)),"收款方不在单位档案",IF(NOT(ISNUMBER($H1296)),"金额须为数字",IF(AND($D1296="销项开票",$N1296="—"),"链条待确认","√")))))))))))</f>
        <v/>
      </c>
      <c r="M1296" s="34" t="str">
        <f aca="false">IF($C1296="","",IFERROR(INDEX(项目档案!$B$6:$B$255,MATCH($C1296,项目档案!$A$6:$A$255,0)),"⚠项目编号不存在"))</f>
        <v/>
      </c>
      <c r="N1296" s="35" t="str">
        <f aca="false">IF($E1296="","",IF($E1296=IFERROR(INDEX(项目档案!$D$6:$D$255,MATCH($C1296,项目档案!$A$6:$A$255,0)),""),"一级",IF($E1296=IFERROR(INDEX(项目档案!$F$6:$F$255,MATCH($C1296,项目档案!$A$6:$A$255,0)),""),"二级",IF($E1296=IFERROR(INDEX(项目档案!$H$6:$H$255,MATCH($C1296,项目档案!$A$6:$A$255,0)),""),"我方","—"))))</f>
        <v/>
      </c>
      <c r="O1296" s="36" t="n">
        <f aca="false">IF($D1296&lt;&gt;"销项开票",0,ROUND(N($H1296)*N($I1296),2))</f>
        <v>0</v>
      </c>
      <c r="P1296" s="36" t="n">
        <f aca="false">IF($D1296&lt;&gt;"销项开票",0,ROUND(N($H1296)-$O1296,2))</f>
        <v>0</v>
      </c>
      <c r="Q1296" s="37" t="str">
        <f aca="false">IF($E1296="","",N(IFERROR(INDEX(单位档案!$E$6:$E$35,MATCH($E1296,单位档案!$A$6:$A$35,0)),"")))</f>
        <v/>
      </c>
      <c r="R1296" s="37" t="str">
        <f aca="false">IF($E1296="","",N(IFERROR(INDEX(单位档案!$F$6:$F$35,MATCH($E1296,单位档案!$A$6:$A$35,0)),"")))</f>
        <v/>
      </c>
      <c r="S1296" s="36" t="n">
        <f aca="false">IF(OR($D1296&lt;&gt;"销项开票",IFERROR(INDEX(单位档案!$G$6:$G$35,MATCH($E1296,单位档案!$A$6:$A$35,0)),"")&lt;&gt;"是",N($Q1296)=0),0,IF(IFERROR(INDEX(单位档案!$H$6:$H$35,MATCH($E1296,单位档案!$A$6:$A$35,0)),"")="税差法",ROUND(N($H1296)/(1+$Q1296)*$Q1296-IF(N($R1296)=0,0,$P1296/(1+$R1296)*$R1296),2),ROUND(N($H1296)/(1+$Q1296)*$Q1296,2)))</f>
        <v>0</v>
      </c>
      <c r="T1296" s="36" t="n">
        <f aca="false">ROUND($S1296*N(IFERROR(INDEX(单位档案!$J$6:$J$35,MATCH($E1296,单位档案!$A$6:$A$35,0)),"")),2)</f>
        <v>0</v>
      </c>
      <c r="U1296" s="36" t="n">
        <f aca="false">IF($D1296&lt;&gt;"销项开票",0,ROUND(N($H1296)*N(IFERROR(INDEX(单位档案!$K$6:$K$35,MATCH($E1296,单位档案!$A$6:$A$35,0)),"")),2))</f>
        <v>0</v>
      </c>
      <c r="V1296" s="36" t="n">
        <f aca="false">IF(OR($D1296&lt;&gt;"销项开票",N($Q1296)=0),0,ROUND(N($H1296)/(1+$Q1296)*N(IFERROR(INDEX(单位档案!$L$6:$L$35,MATCH($E1296,单位档案!$A$6:$A$35,0)),"")),2))</f>
        <v>0</v>
      </c>
      <c r="W1296" s="36" t="n">
        <f aca="false">ROUND($S1296+$T1296+$U1296+$V1296,2)</f>
        <v>0</v>
      </c>
      <c r="X1296" s="35" t="str">
        <f aca="false">IF(OR($D1296="挂靠代收",$D1296="我方收款"),COUNTIFS($D$5:$D1296,"挂靠代收")+COUNTIFS($D$5:$D1296,"我方收款"),"")</f>
        <v/>
      </c>
      <c r="Y1296" s="35"/>
      <c r="Z1296" s="21" t="s">
        <v>111</v>
      </c>
    </row>
    <row r="1297" customFormat="false" ht="15.75" hidden="false" customHeight="true" outlineLevel="0" collapsed="false">
      <c r="A1297" s="32" t="str">
        <f aca="false">IF($B1297="","",ROW()-4)</f>
        <v/>
      </c>
      <c r="B1297" s="26"/>
      <c r="C1297" s="24"/>
      <c r="D1297" s="21"/>
      <c r="E1297" s="21"/>
      <c r="F1297" s="21"/>
      <c r="G1297" s="21"/>
      <c r="H1297" s="27"/>
      <c r="I1297" s="23" t="str">
        <f aca="false">IF($D1297&lt;&gt;"销项开票","",IF($N1297="一级",IF(IFERROR(INDEX(项目档案!$E$6:$E$255,MATCH($C1297,项目档案!$A$6:$A$255,0)),"")="",N(IFERROR(INDEX(单位档案!$D$6:$D$35,MATCH($E1297,单位档案!$A$6:$A$35,0)),"")),IFERROR(INDEX(项目档案!$E$6:$E$255,MATCH($C1297,项目档案!$A$6:$A$255,0)),"")),IF($N1297="二级",IF(IFERROR(INDEX(项目档案!$G$6:$G$255,MATCH($C1297,项目档案!$A$6:$A$255,0)),"")="",N(IFERROR(INDEX(单位档案!$D$6:$D$35,MATCH($E1297,单位档案!$A$6:$A$35,0)),"")),IFERROR(INDEX(项目档案!$G$6:$G$255,MATCH($C1297,项目档案!$A$6:$A$255,0)),"")),N(IFERROR(INDEX(单位档案!$D$6:$D$35,MATCH($E1297,单位档案!$A$6:$A$35,0)),"")))))</f>
        <v/>
      </c>
      <c r="J1297" s="22"/>
      <c r="K1297" s="22"/>
      <c r="L1297" s="33" t="str">
        <f aca="false">IF($B1297="","",IF(NOT(ISNUMBER($B1297)),"日期格式不对",IF($C1297="","未选项目编号",IF(LEFT($M1297,1)="⚠","项目编号不存在",IF($D1297="","未选业务类型",IF($E1297="","未选开票/付款方",IF(ISNA(MATCH($E1297,单位档案!$A$6:$A$35,0)),"开票方不在单位档案",IF($F1297="","未选收票/收款方",IF(ISNA(MATCH($F1297,单位档案!$A$6:$A$35,0)),"收款方不在单位档案",IF(NOT(ISNUMBER($H1297)),"金额须为数字",IF(AND($D1297="销项开票",$N1297="—"),"链条待确认","√")))))))))))</f>
        <v/>
      </c>
      <c r="M1297" s="34" t="str">
        <f aca="false">IF($C1297="","",IFERROR(INDEX(项目档案!$B$6:$B$255,MATCH($C1297,项目档案!$A$6:$A$255,0)),"⚠项目编号不存在"))</f>
        <v/>
      </c>
      <c r="N1297" s="35" t="str">
        <f aca="false">IF($E1297="","",IF($E1297=IFERROR(INDEX(项目档案!$D$6:$D$255,MATCH($C1297,项目档案!$A$6:$A$255,0)),""),"一级",IF($E1297=IFERROR(INDEX(项目档案!$F$6:$F$255,MATCH($C1297,项目档案!$A$6:$A$255,0)),""),"二级",IF($E1297=IFERROR(INDEX(项目档案!$H$6:$H$255,MATCH($C1297,项目档案!$A$6:$A$255,0)),""),"我方","—"))))</f>
        <v/>
      </c>
      <c r="O1297" s="36" t="n">
        <f aca="false">IF($D1297&lt;&gt;"销项开票",0,ROUND(N($H1297)*N($I1297),2))</f>
        <v>0</v>
      </c>
      <c r="P1297" s="36" t="n">
        <f aca="false">IF($D1297&lt;&gt;"销项开票",0,ROUND(N($H1297)-$O1297,2))</f>
        <v>0</v>
      </c>
      <c r="Q1297" s="37" t="str">
        <f aca="false">IF($E1297="","",N(IFERROR(INDEX(单位档案!$E$6:$E$35,MATCH($E1297,单位档案!$A$6:$A$35,0)),"")))</f>
        <v/>
      </c>
      <c r="R1297" s="37" t="str">
        <f aca="false">IF($E1297="","",N(IFERROR(INDEX(单位档案!$F$6:$F$35,MATCH($E1297,单位档案!$A$6:$A$35,0)),"")))</f>
        <v/>
      </c>
      <c r="S1297" s="36" t="n">
        <f aca="false">IF(OR($D1297&lt;&gt;"销项开票",IFERROR(INDEX(单位档案!$G$6:$G$35,MATCH($E1297,单位档案!$A$6:$A$35,0)),"")&lt;&gt;"是",N($Q1297)=0),0,IF(IFERROR(INDEX(单位档案!$H$6:$H$35,MATCH($E1297,单位档案!$A$6:$A$35,0)),"")="税差法",ROUND(N($H1297)/(1+$Q1297)*$Q1297-IF(N($R1297)=0,0,$P1297/(1+$R1297)*$R1297),2),ROUND(N($H1297)/(1+$Q1297)*$Q1297,2)))</f>
        <v>0</v>
      </c>
      <c r="T1297" s="36" t="n">
        <f aca="false">ROUND($S1297*N(IFERROR(INDEX(单位档案!$J$6:$J$35,MATCH($E1297,单位档案!$A$6:$A$35,0)),"")),2)</f>
        <v>0</v>
      </c>
      <c r="U1297" s="36" t="n">
        <f aca="false">IF($D1297&lt;&gt;"销项开票",0,ROUND(N($H1297)*N(IFERROR(INDEX(单位档案!$K$6:$K$35,MATCH($E1297,单位档案!$A$6:$A$35,0)),"")),2))</f>
        <v>0</v>
      </c>
      <c r="V1297" s="36" t="n">
        <f aca="false">IF(OR($D1297&lt;&gt;"销项开票",N($Q1297)=0),0,ROUND(N($H1297)/(1+$Q1297)*N(IFERROR(INDEX(单位档案!$L$6:$L$35,MATCH($E1297,单位档案!$A$6:$A$35,0)),"")),2))</f>
        <v>0</v>
      </c>
      <c r="W1297" s="36" t="n">
        <f aca="false">ROUND($S1297+$T1297+$U1297+$V1297,2)</f>
        <v>0</v>
      </c>
      <c r="X1297" s="35" t="str">
        <f aca="false">IF(OR($D1297="挂靠代收",$D1297="我方收款"),COUNTIFS($D$5:$D1297,"挂靠代收")+COUNTIFS($D$5:$D1297,"我方收款"),"")</f>
        <v/>
      </c>
      <c r="Y1297" s="35"/>
      <c r="Z1297" s="21" t="s">
        <v>111</v>
      </c>
    </row>
    <row r="1298" customFormat="false" ht="15.75" hidden="false" customHeight="true" outlineLevel="0" collapsed="false">
      <c r="A1298" s="32" t="str">
        <f aca="false">IF($B1298="","",ROW()-4)</f>
        <v/>
      </c>
      <c r="B1298" s="26"/>
      <c r="C1298" s="24"/>
      <c r="D1298" s="21"/>
      <c r="E1298" s="21"/>
      <c r="F1298" s="21"/>
      <c r="G1298" s="21"/>
      <c r="H1298" s="27"/>
      <c r="I1298" s="23" t="str">
        <f aca="false">IF($D1298&lt;&gt;"销项开票","",IF($N1298="一级",IF(IFERROR(INDEX(项目档案!$E$6:$E$255,MATCH($C1298,项目档案!$A$6:$A$255,0)),"")="",N(IFERROR(INDEX(单位档案!$D$6:$D$35,MATCH($E1298,单位档案!$A$6:$A$35,0)),"")),IFERROR(INDEX(项目档案!$E$6:$E$255,MATCH($C1298,项目档案!$A$6:$A$255,0)),"")),IF($N1298="二级",IF(IFERROR(INDEX(项目档案!$G$6:$G$255,MATCH($C1298,项目档案!$A$6:$A$255,0)),"")="",N(IFERROR(INDEX(单位档案!$D$6:$D$35,MATCH($E1298,单位档案!$A$6:$A$35,0)),"")),IFERROR(INDEX(项目档案!$G$6:$G$255,MATCH($C1298,项目档案!$A$6:$A$255,0)),"")),N(IFERROR(INDEX(单位档案!$D$6:$D$35,MATCH($E1298,单位档案!$A$6:$A$35,0)),"")))))</f>
        <v/>
      </c>
      <c r="J1298" s="22"/>
      <c r="K1298" s="22"/>
      <c r="L1298" s="33" t="str">
        <f aca="false">IF($B1298="","",IF(NOT(ISNUMBER($B1298)),"日期格式不对",IF($C1298="","未选项目编号",IF(LEFT($M1298,1)="⚠","项目编号不存在",IF($D1298="","未选业务类型",IF($E1298="","未选开票/付款方",IF(ISNA(MATCH($E1298,单位档案!$A$6:$A$35,0)),"开票方不在单位档案",IF($F1298="","未选收票/收款方",IF(ISNA(MATCH($F1298,单位档案!$A$6:$A$35,0)),"收款方不在单位档案",IF(NOT(ISNUMBER($H1298)),"金额须为数字",IF(AND($D1298="销项开票",$N1298="—"),"链条待确认","√")))))))))))</f>
        <v/>
      </c>
      <c r="M1298" s="34" t="str">
        <f aca="false">IF($C1298="","",IFERROR(INDEX(项目档案!$B$6:$B$255,MATCH($C1298,项目档案!$A$6:$A$255,0)),"⚠项目编号不存在"))</f>
        <v/>
      </c>
      <c r="N1298" s="35" t="str">
        <f aca="false">IF($E1298="","",IF($E1298=IFERROR(INDEX(项目档案!$D$6:$D$255,MATCH($C1298,项目档案!$A$6:$A$255,0)),""),"一级",IF($E1298=IFERROR(INDEX(项目档案!$F$6:$F$255,MATCH($C1298,项目档案!$A$6:$A$255,0)),""),"二级",IF($E1298=IFERROR(INDEX(项目档案!$H$6:$H$255,MATCH($C1298,项目档案!$A$6:$A$255,0)),""),"我方","—"))))</f>
        <v/>
      </c>
      <c r="O1298" s="36" t="n">
        <f aca="false">IF($D1298&lt;&gt;"销项开票",0,ROUND(N($H1298)*N($I1298),2))</f>
        <v>0</v>
      </c>
      <c r="P1298" s="36" t="n">
        <f aca="false">IF($D1298&lt;&gt;"销项开票",0,ROUND(N($H1298)-$O1298,2))</f>
        <v>0</v>
      </c>
      <c r="Q1298" s="37" t="str">
        <f aca="false">IF($E1298="","",N(IFERROR(INDEX(单位档案!$E$6:$E$35,MATCH($E1298,单位档案!$A$6:$A$35,0)),"")))</f>
        <v/>
      </c>
      <c r="R1298" s="37" t="str">
        <f aca="false">IF($E1298="","",N(IFERROR(INDEX(单位档案!$F$6:$F$35,MATCH($E1298,单位档案!$A$6:$A$35,0)),"")))</f>
        <v/>
      </c>
      <c r="S1298" s="36" t="n">
        <f aca="false">IF(OR($D1298&lt;&gt;"销项开票",IFERROR(INDEX(单位档案!$G$6:$G$35,MATCH($E1298,单位档案!$A$6:$A$35,0)),"")&lt;&gt;"是",N($Q1298)=0),0,IF(IFERROR(INDEX(单位档案!$H$6:$H$35,MATCH($E1298,单位档案!$A$6:$A$35,0)),"")="税差法",ROUND(N($H1298)/(1+$Q1298)*$Q1298-IF(N($R1298)=0,0,$P1298/(1+$R1298)*$R1298),2),ROUND(N($H1298)/(1+$Q1298)*$Q1298,2)))</f>
        <v>0</v>
      </c>
      <c r="T1298" s="36" t="n">
        <f aca="false">ROUND($S1298*N(IFERROR(INDEX(单位档案!$J$6:$J$35,MATCH($E1298,单位档案!$A$6:$A$35,0)),"")),2)</f>
        <v>0</v>
      </c>
      <c r="U1298" s="36" t="n">
        <f aca="false">IF($D1298&lt;&gt;"销项开票",0,ROUND(N($H1298)*N(IFERROR(INDEX(单位档案!$K$6:$K$35,MATCH($E1298,单位档案!$A$6:$A$35,0)),"")),2))</f>
        <v>0</v>
      </c>
      <c r="V1298" s="36" t="n">
        <f aca="false">IF(OR($D1298&lt;&gt;"销项开票",N($Q1298)=0),0,ROUND(N($H1298)/(1+$Q1298)*N(IFERROR(INDEX(单位档案!$L$6:$L$35,MATCH($E1298,单位档案!$A$6:$A$35,0)),"")),2))</f>
        <v>0</v>
      </c>
      <c r="W1298" s="36" t="n">
        <f aca="false">ROUND($S1298+$T1298+$U1298+$V1298,2)</f>
        <v>0</v>
      </c>
      <c r="X1298" s="35" t="str">
        <f aca="false">IF(OR($D1298="挂靠代收",$D1298="我方收款"),COUNTIFS($D$5:$D1298,"挂靠代收")+COUNTIFS($D$5:$D1298,"我方收款"),"")</f>
        <v/>
      </c>
      <c r="Y1298" s="35"/>
      <c r="Z1298" s="21" t="s">
        <v>111</v>
      </c>
    </row>
    <row r="1299" customFormat="false" ht="15.75" hidden="false" customHeight="true" outlineLevel="0" collapsed="false">
      <c r="A1299" s="32" t="str">
        <f aca="false">IF($B1299="","",ROW()-4)</f>
        <v/>
      </c>
      <c r="B1299" s="26"/>
      <c r="C1299" s="24"/>
      <c r="D1299" s="21"/>
      <c r="E1299" s="21"/>
      <c r="F1299" s="21"/>
      <c r="G1299" s="21"/>
      <c r="H1299" s="27"/>
      <c r="I1299" s="23" t="str">
        <f aca="false">IF($D1299&lt;&gt;"销项开票","",IF($N1299="一级",IF(IFERROR(INDEX(项目档案!$E$6:$E$255,MATCH($C1299,项目档案!$A$6:$A$255,0)),"")="",N(IFERROR(INDEX(单位档案!$D$6:$D$35,MATCH($E1299,单位档案!$A$6:$A$35,0)),"")),IFERROR(INDEX(项目档案!$E$6:$E$255,MATCH($C1299,项目档案!$A$6:$A$255,0)),"")),IF($N1299="二级",IF(IFERROR(INDEX(项目档案!$G$6:$G$255,MATCH($C1299,项目档案!$A$6:$A$255,0)),"")="",N(IFERROR(INDEX(单位档案!$D$6:$D$35,MATCH($E1299,单位档案!$A$6:$A$35,0)),"")),IFERROR(INDEX(项目档案!$G$6:$G$255,MATCH($C1299,项目档案!$A$6:$A$255,0)),"")),N(IFERROR(INDEX(单位档案!$D$6:$D$35,MATCH($E1299,单位档案!$A$6:$A$35,0)),"")))))</f>
        <v/>
      </c>
      <c r="J1299" s="22"/>
      <c r="K1299" s="22"/>
      <c r="L1299" s="33" t="str">
        <f aca="false">IF($B1299="","",IF(NOT(ISNUMBER($B1299)),"日期格式不对",IF($C1299="","未选项目编号",IF(LEFT($M1299,1)="⚠","项目编号不存在",IF($D1299="","未选业务类型",IF($E1299="","未选开票/付款方",IF(ISNA(MATCH($E1299,单位档案!$A$6:$A$35,0)),"开票方不在单位档案",IF($F1299="","未选收票/收款方",IF(ISNA(MATCH($F1299,单位档案!$A$6:$A$35,0)),"收款方不在单位档案",IF(NOT(ISNUMBER($H1299)),"金额须为数字",IF(AND($D1299="销项开票",$N1299="—"),"链条待确认","√")))))))))))</f>
        <v/>
      </c>
      <c r="M1299" s="34" t="str">
        <f aca="false">IF($C1299="","",IFERROR(INDEX(项目档案!$B$6:$B$255,MATCH($C1299,项目档案!$A$6:$A$255,0)),"⚠项目编号不存在"))</f>
        <v/>
      </c>
      <c r="N1299" s="35" t="str">
        <f aca="false">IF($E1299="","",IF($E1299=IFERROR(INDEX(项目档案!$D$6:$D$255,MATCH($C1299,项目档案!$A$6:$A$255,0)),""),"一级",IF($E1299=IFERROR(INDEX(项目档案!$F$6:$F$255,MATCH($C1299,项目档案!$A$6:$A$255,0)),""),"二级",IF($E1299=IFERROR(INDEX(项目档案!$H$6:$H$255,MATCH($C1299,项目档案!$A$6:$A$255,0)),""),"我方","—"))))</f>
        <v/>
      </c>
      <c r="O1299" s="36" t="n">
        <f aca="false">IF($D1299&lt;&gt;"销项开票",0,ROUND(N($H1299)*N($I1299),2))</f>
        <v>0</v>
      </c>
      <c r="P1299" s="36" t="n">
        <f aca="false">IF($D1299&lt;&gt;"销项开票",0,ROUND(N($H1299)-$O1299,2))</f>
        <v>0</v>
      </c>
      <c r="Q1299" s="37" t="str">
        <f aca="false">IF($E1299="","",N(IFERROR(INDEX(单位档案!$E$6:$E$35,MATCH($E1299,单位档案!$A$6:$A$35,0)),"")))</f>
        <v/>
      </c>
      <c r="R1299" s="37" t="str">
        <f aca="false">IF($E1299="","",N(IFERROR(INDEX(单位档案!$F$6:$F$35,MATCH($E1299,单位档案!$A$6:$A$35,0)),"")))</f>
        <v/>
      </c>
      <c r="S1299" s="36" t="n">
        <f aca="false">IF(OR($D1299&lt;&gt;"销项开票",IFERROR(INDEX(单位档案!$G$6:$G$35,MATCH($E1299,单位档案!$A$6:$A$35,0)),"")&lt;&gt;"是",N($Q1299)=0),0,IF(IFERROR(INDEX(单位档案!$H$6:$H$35,MATCH($E1299,单位档案!$A$6:$A$35,0)),"")="税差法",ROUND(N($H1299)/(1+$Q1299)*$Q1299-IF(N($R1299)=0,0,$P1299/(1+$R1299)*$R1299),2),ROUND(N($H1299)/(1+$Q1299)*$Q1299,2)))</f>
        <v>0</v>
      </c>
      <c r="T1299" s="36" t="n">
        <f aca="false">ROUND($S1299*N(IFERROR(INDEX(单位档案!$J$6:$J$35,MATCH($E1299,单位档案!$A$6:$A$35,0)),"")),2)</f>
        <v>0</v>
      </c>
      <c r="U1299" s="36" t="n">
        <f aca="false">IF($D1299&lt;&gt;"销项开票",0,ROUND(N($H1299)*N(IFERROR(INDEX(单位档案!$K$6:$K$35,MATCH($E1299,单位档案!$A$6:$A$35,0)),"")),2))</f>
        <v>0</v>
      </c>
      <c r="V1299" s="36" t="n">
        <f aca="false">IF(OR($D1299&lt;&gt;"销项开票",N($Q1299)=0),0,ROUND(N($H1299)/(1+$Q1299)*N(IFERROR(INDEX(单位档案!$L$6:$L$35,MATCH($E1299,单位档案!$A$6:$A$35,0)),"")),2))</f>
        <v>0</v>
      </c>
      <c r="W1299" s="36" t="n">
        <f aca="false">ROUND($S1299+$T1299+$U1299+$V1299,2)</f>
        <v>0</v>
      </c>
      <c r="X1299" s="35" t="str">
        <f aca="false">IF(OR($D1299="挂靠代收",$D1299="我方收款"),COUNTIFS($D$5:$D1299,"挂靠代收")+COUNTIFS($D$5:$D1299,"我方收款"),"")</f>
        <v/>
      </c>
      <c r="Y1299" s="35"/>
      <c r="Z1299" s="21" t="s">
        <v>111</v>
      </c>
    </row>
    <row r="1300" customFormat="false" ht="15.75" hidden="false" customHeight="true" outlineLevel="0" collapsed="false">
      <c r="A1300" s="32" t="str">
        <f aca="false">IF($B1300="","",ROW()-4)</f>
        <v/>
      </c>
      <c r="B1300" s="26"/>
      <c r="C1300" s="24"/>
      <c r="D1300" s="21"/>
      <c r="E1300" s="21"/>
      <c r="F1300" s="21"/>
      <c r="G1300" s="21"/>
      <c r="H1300" s="27"/>
      <c r="I1300" s="23" t="str">
        <f aca="false">IF($D1300&lt;&gt;"销项开票","",IF($N1300="一级",IF(IFERROR(INDEX(项目档案!$E$6:$E$255,MATCH($C1300,项目档案!$A$6:$A$255,0)),"")="",N(IFERROR(INDEX(单位档案!$D$6:$D$35,MATCH($E1300,单位档案!$A$6:$A$35,0)),"")),IFERROR(INDEX(项目档案!$E$6:$E$255,MATCH($C1300,项目档案!$A$6:$A$255,0)),"")),IF($N1300="二级",IF(IFERROR(INDEX(项目档案!$G$6:$G$255,MATCH($C1300,项目档案!$A$6:$A$255,0)),"")="",N(IFERROR(INDEX(单位档案!$D$6:$D$35,MATCH($E1300,单位档案!$A$6:$A$35,0)),"")),IFERROR(INDEX(项目档案!$G$6:$G$255,MATCH($C1300,项目档案!$A$6:$A$255,0)),"")),N(IFERROR(INDEX(单位档案!$D$6:$D$35,MATCH($E1300,单位档案!$A$6:$A$35,0)),"")))))</f>
        <v/>
      </c>
      <c r="J1300" s="22"/>
      <c r="K1300" s="22"/>
      <c r="L1300" s="33" t="str">
        <f aca="false">IF($B1300="","",IF(NOT(ISNUMBER($B1300)),"日期格式不对",IF($C1300="","未选项目编号",IF(LEFT($M1300,1)="⚠","项目编号不存在",IF($D1300="","未选业务类型",IF($E1300="","未选开票/付款方",IF(ISNA(MATCH($E1300,单位档案!$A$6:$A$35,0)),"开票方不在单位档案",IF($F1300="","未选收票/收款方",IF(ISNA(MATCH($F1300,单位档案!$A$6:$A$35,0)),"收款方不在单位档案",IF(NOT(ISNUMBER($H1300)),"金额须为数字",IF(AND($D1300="销项开票",$N1300="—"),"链条待确认","√")))))))))))</f>
        <v/>
      </c>
      <c r="M1300" s="34" t="str">
        <f aca="false">IF($C1300="","",IFERROR(INDEX(项目档案!$B$6:$B$255,MATCH($C1300,项目档案!$A$6:$A$255,0)),"⚠项目编号不存在"))</f>
        <v/>
      </c>
      <c r="N1300" s="35" t="str">
        <f aca="false">IF($E1300="","",IF($E1300=IFERROR(INDEX(项目档案!$D$6:$D$255,MATCH($C1300,项目档案!$A$6:$A$255,0)),""),"一级",IF($E1300=IFERROR(INDEX(项目档案!$F$6:$F$255,MATCH($C1300,项目档案!$A$6:$A$255,0)),""),"二级",IF($E1300=IFERROR(INDEX(项目档案!$H$6:$H$255,MATCH($C1300,项目档案!$A$6:$A$255,0)),""),"我方","—"))))</f>
        <v/>
      </c>
      <c r="O1300" s="36" t="n">
        <f aca="false">IF($D1300&lt;&gt;"销项开票",0,ROUND(N($H1300)*N($I1300),2))</f>
        <v>0</v>
      </c>
      <c r="P1300" s="36" t="n">
        <f aca="false">IF($D1300&lt;&gt;"销项开票",0,ROUND(N($H1300)-$O1300,2))</f>
        <v>0</v>
      </c>
      <c r="Q1300" s="37" t="str">
        <f aca="false">IF($E1300="","",N(IFERROR(INDEX(单位档案!$E$6:$E$35,MATCH($E1300,单位档案!$A$6:$A$35,0)),"")))</f>
        <v/>
      </c>
      <c r="R1300" s="37" t="str">
        <f aca="false">IF($E1300="","",N(IFERROR(INDEX(单位档案!$F$6:$F$35,MATCH($E1300,单位档案!$A$6:$A$35,0)),"")))</f>
        <v/>
      </c>
      <c r="S1300" s="36" t="n">
        <f aca="false">IF(OR($D1300&lt;&gt;"销项开票",IFERROR(INDEX(单位档案!$G$6:$G$35,MATCH($E1300,单位档案!$A$6:$A$35,0)),"")&lt;&gt;"是",N($Q1300)=0),0,IF(IFERROR(INDEX(单位档案!$H$6:$H$35,MATCH($E1300,单位档案!$A$6:$A$35,0)),"")="税差法",ROUND(N($H1300)/(1+$Q1300)*$Q1300-IF(N($R1300)=0,0,$P1300/(1+$R1300)*$R1300),2),ROUND(N($H1300)/(1+$Q1300)*$Q1300,2)))</f>
        <v>0</v>
      </c>
      <c r="T1300" s="36" t="n">
        <f aca="false">ROUND($S1300*N(IFERROR(INDEX(单位档案!$J$6:$J$35,MATCH($E1300,单位档案!$A$6:$A$35,0)),"")),2)</f>
        <v>0</v>
      </c>
      <c r="U1300" s="36" t="n">
        <f aca="false">IF($D1300&lt;&gt;"销项开票",0,ROUND(N($H1300)*N(IFERROR(INDEX(单位档案!$K$6:$K$35,MATCH($E1300,单位档案!$A$6:$A$35,0)),"")),2))</f>
        <v>0</v>
      </c>
      <c r="V1300" s="36" t="n">
        <f aca="false">IF(OR($D1300&lt;&gt;"销项开票",N($Q1300)=0),0,ROUND(N($H1300)/(1+$Q1300)*N(IFERROR(INDEX(单位档案!$L$6:$L$35,MATCH($E1300,单位档案!$A$6:$A$35,0)),"")),2))</f>
        <v>0</v>
      </c>
      <c r="W1300" s="36" t="n">
        <f aca="false">ROUND($S1300+$T1300+$U1300+$V1300,2)</f>
        <v>0</v>
      </c>
      <c r="X1300" s="35" t="str">
        <f aca="false">IF(OR($D1300="挂靠代收",$D1300="我方收款"),COUNTIFS($D$5:$D1300,"挂靠代收")+COUNTIFS($D$5:$D1300,"我方收款"),"")</f>
        <v/>
      </c>
      <c r="Y1300" s="35"/>
      <c r="Z1300" s="21" t="s">
        <v>111</v>
      </c>
    </row>
    <row r="1301" customFormat="false" ht="15.75" hidden="false" customHeight="true" outlineLevel="0" collapsed="false">
      <c r="A1301" s="32" t="str">
        <f aca="false">IF($B1301="","",ROW()-4)</f>
        <v/>
      </c>
      <c r="B1301" s="26"/>
      <c r="C1301" s="24"/>
      <c r="D1301" s="21"/>
      <c r="E1301" s="21"/>
      <c r="F1301" s="21"/>
      <c r="G1301" s="21"/>
      <c r="H1301" s="27"/>
      <c r="I1301" s="23" t="str">
        <f aca="false">IF($D1301&lt;&gt;"销项开票","",IF($N1301="一级",IF(IFERROR(INDEX(项目档案!$E$6:$E$255,MATCH($C1301,项目档案!$A$6:$A$255,0)),"")="",N(IFERROR(INDEX(单位档案!$D$6:$D$35,MATCH($E1301,单位档案!$A$6:$A$35,0)),"")),IFERROR(INDEX(项目档案!$E$6:$E$255,MATCH($C1301,项目档案!$A$6:$A$255,0)),"")),IF($N1301="二级",IF(IFERROR(INDEX(项目档案!$G$6:$G$255,MATCH($C1301,项目档案!$A$6:$A$255,0)),"")="",N(IFERROR(INDEX(单位档案!$D$6:$D$35,MATCH($E1301,单位档案!$A$6:$A$35,0)),"")),IFERROR(INDEX(项目档案!$G$6:$G$255,MATCH($C1301,项目档案!$A$6:$A$255,0)),"")),N(IFERROR(INDEX(单位档案!$D$6:$D$35,MATCH($E1301,单位档案!$A$6:$A$35,0)),"")))))</f>
        <v/>
      </c>
      <c r="J1301" s="22"/>
      <c r="K1301" s="22"/>
      <c r="L1301" s="33" t="str">
        <f aca="false">IF($B1301="","",IF(NOT(ISNUMBER($B1301)),"日期格式不对",IF($C1301="","未选项目编号",IF(LEFT($M1301,1)="⚠","项目编号不存在",IF($D1301="","未选业务类型",IF($E1301="","未选开票/付款方",IF(ISNA(MATCH($E1301,单位档案!$A$6:$A$35,0)),"开票方不在单位档案",IF($F1301="","未选收票/收款方",IF(ISNA(MATCH($F1301,单位档案!$A$6:$A$35,0)),"收款方不在单位档案",IF(NOT(ISNUMBER($H1301)),"金额须为数字",IF(AND($D1301="销项开票",$N1301="—"),"链条待确认","√")))))))))))</f>
        <v/>
      </c>
      <c r="M1301" s="34" t="str">
        <f aca="false">IF($C1301="","",IFERROR(INDEX(项目档案!$B$6:$B$255,MATCH($C1301,项目档案!$A$6:$A$255,0)),"⚠项目编号不存在"))</f>
        <v/>
      </c>
      <c r="N1301" s="35" t="str">
        <f aca="false">IF($E1301="","",IF($E1301=IFERROR(INDEX(项目档案!$D$6:$D$255,MATCH($C1301,项目档案!$A$6:$A$255,0)),""),"一级",IF($E1301=IFERROR(INDEX(项目档案!$F$6:$F$255,MATCH($C1301,项目档案!$A$6:$A$255,0)),""),"二级",IF($E1301=IFERROR(INDEX(项目档案!$H$6:$H$255,MATCH($C1301,项目档案!$A$6:$A$255,0)),""),"我方","—"))))</f>
        <v/>
      </c>
      <c r="O1301" s="36" t="n">
        <f aca="false">IF($D1301&lt;&gt;"销项开票",0,ROUND(N($H1301)*N($I1301),2))</f>
        <v>0</v>
      </c>
      <c r="P1301" s="36" t="n">
        <f aca="false">IF($D1301&lt;&gt;"销项开票",0,ROUND(N($H1301)-$O1301,2))</f>
        <v>0</v>
      </c>
      <c r="Q1301" s="37" t="str">
        <f aca="false">IF($E1301="","",N(IFERROR(INDEX(单位档案!$E$6:$E$35,MATCH($E1301,单位档案!$A$6:$A$35,0)),"")))</f>
        <v/>
      </c>
      <c r="R1301" s="37" t="str">
        <f aca="false">IF($E1301="","",N(IFERROR(INDEX(单位档案!$F$6:$F$35,MATCH($E1301,单位档案!$A$6:$A$35,0)),"")))</f>
        <v/>
      </c>
      <c r="S1301" s="36" t="n">
        <f aca="false">IF(OR($D1301&lt;&gt;"销项开票",IFERROR(INDEX(单位档案!$G$6:$G$35,MATCH($E1301,单位档案!$A$6:$A$35,0)),"")&lt;&gt;"是",N($Q1301)=0),0,IF(IFERROR(INDEX(单位档案!$H$6:$H$35,MATCH($E1301,单位档案!$A$6:$A$35,0)),"")="税差法",ROUND(N($H1301)/(1+$Q1301)*$Q1301-IF(N($R1301)=0,0,$P1301/(1+$R1301)*$R1301),2),ROUND(N($H1301)/(1+$Q1301)*$Q1301,2)))</f>
        <v>0</v>
      </c>
      <c r="T1301" s="36" t="n">
        <f aca="false">ROUND($S1301*N(IFERROR(INDEX(单位档案!$J$6:$J$35,MATCH($E1301,单位档案!$A$6:$A$35,0)),"")),2)</f>
        <v>0</v>
      </c>
      <c r="U1301" s="36" t="n">
        <f aca="false">IF($D1301&lt;&gt;"销项开票",0,ROUND(N($H1301)*N(IFERROR(INDEX(单位档案!$K$6:$K$35,MATCH($E1301,单位档案!$A$6:$A$35,0)),"")),2))</f>
        <v>0</v>
      </c>
      <c r="V1301" s="36" t="n">
        <f aca="false">IF(OR($D1301&lt;&gt;"销项开票",N($Q1301)=0),0,ROUND(N($H1301)/(1+$Q1301)*N(IFERROR(INDEX(单位档案!$L$6:$L$35,MATCH($E1301,单位档案!$A$6:$A$35,0)),"")),2))</f>
        <v>0</v>
      </c>
      <c r="W1301" s="36" t="n">
        <f aca="false">ROUND($S1301+$T1301+$U1301+$V1301,2)</f>
        <v>0</v>
      </c>
      <c r="X1301" s="35" t="str">
        <f aca="false">IF(OR($D1301="挂靠代收",$D1301="我方收款"),COUNTIFS($D$5:$D1301,"挂靠代收")+COUNTIFS($D$5:$D1301,"我方收款"),"")</f>
        <v/>
      </c>
      <c r="Y1301" s="35"/>
      <c r="Z1301" s="21" t="s">
        <v>111</v>
      </c>
    </row>
    <row r="1302" customFormat="false" ht="15.75" hidden="false" customHeight="true" outlineLevel="0" collapsed="false">
      <c r="A1302" s="32" t="str">
        <f aca="false">IF($B1302="","",ROW()-4)</f>
        <v/>
      </c>
      <c r="B1302" s="26"/>
      <c r="C1302" s="24"/>
      <c r="D1302" s="21"/>
      <c r="E1302" s="21"/>
      <c r="F1302" s="21"/>
      <c r="G1302" s="21"/>
      <c r="H1302" s="27"/>
      <c r="I1302" s="23" t="str">
        <f aca="false">IF($D1302&lt;&gt;"销项开票","",IF($N1302="一级",IF(IFERROR(INDEX(项目档案!$E$6:$E$255,MATCH($C1302,项目档案!$A$6:$A$255,0)),"")="",N(IFERROR(INDEX(单位档案!$D$6:$D$35,MATCH($E1302,单位档案!$A$6:$A$35,0)),"")),IFERROR(INDEX(项目档案!$E$6:$E$255,MATCH($C1302,项目档案!$A$6:$A$255,0)),"")),IF($N1302="二级",IF(IFERROR(INDEX(项目档案!$G$6:$G$255,MATCH($C1302,项目档案!$A$6:$A$255,0)),"")="",N(IFERROR(INDEX(单位档案!$D$6:$D$35,MATCH($E1302,单位档案!$A$6:$A$35,0)),"")),IFERROR(INDEX(项目档案!$G$6:$G$255,MATCH($C1302,项目档案!$A$6:$A$255,0)),"")),N(IFERROR(INDEX(单位档案!$D$6:$D$35,MATCH($E1302,单位档案!$A$6:$A$35,0)),"")))))</f>
        <v/>
      </c>
      <c r="J1302" s="22"/>
      <c r="K1302" s="22"/>
      <c r="L1302" s="33" t="str">
        <f aca="false">IF($B1302="","",IF(NOT(ISNUMBER($B1302)),"日期格式不对",IF($C1302="","未选项目编号",IF(LEFT($M1302,1)="⚠","项目编号不存在",IF($D1302="","未选业务类型",IF($E1302="","未选开票/付款方",IF(ISNA(MATCH($E1302,单位档案!$A$6:$A$35,0)),"开票方不在单位档案",IF($F1302="","未选收票/收款方",IF(ISNA(MATCH($F1302,单位档案!$A$6:$A$35,0)),"收款方不在单位档案",IF(NOT(ISNUMBER($H1302)),"金额须为数字",IF(AND($D1302="销项开票",$N1302="—"),"链条待确认","√")))))))))))</f>
        <v/>
      </c>
      <c r="M1302" s="34" t="str">
        <f aca="false">IF($C1302="","",IFERROR(INDEX(项目档案!$B$6:$B$255,MATCH($C1302,项目档案!$A$6:$A$255,0)),"⚠项目编号不存在"))</f>
        <v/>
      </c>
      <c r="N1302" s="35" t="str">
        <f aca="false">IF($E1302="","",IF($E1302=IFERROR(INDEX(项目档案!$D$6:$D$255,MATCH($C1302,项目档案!$A$6:$A$255,0)),""),"一级",IF($E1302=IFERROR(INDEX(项目档案!$F$6:$F$255,MATCH($C1302,项目档案!$A$6:$A$255,0)),""),"二级",IF($E1302=IFERROR(INDEX(项目档案!$H$6:$H$255,MATCH($C1302,项目档案!$A$6:$A$255,0)),""),"我方","—"))))</f>
        <v/>
      </c>
      <c r="O1302" s="36" t="n">
        <f aca="false">IF($D1302&lt;&gt;"销项开票",0,ROUND(N($H1302)*N($I1302),2))</f>
        <v>0</v>
      </c>
      <c r="P1302" s="36" t="n">
        <f aca="false">IF($D1302&lt;&gt;"销项开票",0,ROUND(N($H1302)-$O1302,2))</f>
        <v>0</v>
      </c>
      <c r="Q1302" s="37" t="str">
        <f aca="false">IF($E1302="","",N(IFERROR(INDEX(单位档案!$E$6:$E$35,MATCH($E1302,单位档案!$A$6:$A$35,0)),"")))</f>
        <v/>
      </c>
      <c r="R1302" s="37" t="str">
        <f aca="false">IF($E1302="","",N(IFERROR(INDEX(单位档案!$F$6:$F$35,MATCH($E1302,单位档案!$A$6:$A$35,0)),"")))</f>
        <v/>
      </c>
      <c r="S1302" s="36" t="n">
        <f aca="false">IF(OR($D1302&lt;&gt;"销项开票",IFERROR(INDEX(单位档案!$G$6:$G$35,MATCH($E1302,单位档案!$A$6:$A$35,0)),"")&lt;&gt;"是",N($Q1302)=0),0,IF(IFERROR(INDEX(单位档案!$H$6:$H$35,MATCH($E1302,单位档案!$A$6:$A$35,0)),"")="税差法",ROUND(N($H1302)/(1+$Q1302)*$Q1302-IF(N($R1302)=0,0,$P1302/(1+$R1302)*$R1302),2),ROUND(N($H1302)/(1+$Q1302)*$Q1302,2)))</f>
        <v>0</v>
      </c>
      <c r="T1302" s="36" t="n">
        <f aca="false">ROUND($S1302*N(IFERROR(INDEX(单位档案!$J$6:$J$35,MATCH($E1302,单位档案!$A$6:$A$35,0)),"")),2)</f>
        <v>0</v>
      </c>
      <c r="U1302" s="36" t="n">
        <f aca="false">IF($D1302&lt;&gt;"销项开票",0,ROUND(N($H1302)*N(IFERROR(INDEX(单位档案!$K$6:$K$35,MATCH($E1302,单位档案!$A$6:$A$35,0)),"")),2))</f>
        <v>0</v>
      </c>
      <c r="V1302" s="36" t="n">
        <f aca="false">IF(OR($D1302&lt;&gt;"销项开票",N($Q1302)=0),0,ROUND(N($H1302)/(1+$Q1302)*N(IFERROR(INDEX(单位档案!$L$6:$L$35,MATCH($E1302,单位档案!$A$6:$A$35,0)),"")),2))</f>
        <v>0</v>
      </c>
      <c r="W1302" s="36" t="n">
        <f aca="false">ROUND($S1302+$T1302+$U1302+$V1302,2)</f>
        <v>0</v>
      </c>
      <c r="X1302" s="35" t="str">
        <f aca="false">IF(OR($D1302="挂靠代收",$D1302="我方收款"),COUNTIFS($D$5:$D1302,"挂靠代收")+COUNTIFS($D$5:$D1302,"我方收款"),"")</f>
        <v/>
      </c>
      <c r="Y1302" s="35"/>
      <c r="Z1302" s="21" t="s">
        <v>111</v>
      </c>
    </row>
    <row r="1303" customFormat="false" ht="15.75" hidden="false" customHeight="true" outlineLevel="0" collapsed="false">
      <c r="A1303" s="32" t="str">
        <f aca="false">IF($B1303="","",ROW()-4)</f>
        <v/>
      </c>
      <c r="B1303" s="26"/>
      <c r="C1303" s="24"/>
      <c r="D1303" s="21"/>
      <c r="E1303" s="21"/>
      <c r="F1303" s="21"/>
      <c r="G1303" s="21"/>
      <c r="H1303" s="27"/>
      <c r="I1303" s="23" t="str">
        <f aca="false">IF($D1303&lt;&gt;"销项开票","",IF($N1303="一级",IF(IFERROR(INDEX(项目档案!$E$6:$E$255,MATCH($C1303,项目档案!$A$6:$A$255,0)),"")="",N(IFERROR(INDEX(单位档案!$D$6:$D$35,MATCH($E1303,单位档案!$A$6:$A$35,0)),"")),IFERROR(INDEX(项目档案!$E$6:$E$255,MATCH($C1303,项目档案!$A$6:$A$255,0)),"")),IF($N1303="二级",IF(IFERROR(INDEX(项目档案!$G$6:$G$255,MATCH($C1303,项目档案!$A$6:$A$255,0)),"")="",N(IFERROR(INDEX(单位档案!$D$6:$D$35,MATCH($E1303,单位档案!$A$6:$A$35,0)),"")),IFERROR(INDEX(项目档案!$G$6:$G$255,MATCH($C1303,项目档案!$A$6:$A$255,0)),"")),N(IFERROR(INDEX(单位档案!$D$6:$D$35,MATCH($E1303,单位档案!$A$6:$A$35,0)),"")))))</f>
        <v/>
      </c>
      <c r="J1303" s="22"/>
      <c r="K1303" s="22"/>
      <c r="L1303" s="33" t="str">
        <f aca="false">IF($B1303="","",IF(NOT(ISNUMBER($B1303)),"日期格式不对",IF($C1303="","未选项目编号",IF(LEFT($M1303,1)="⚠","项目编号不存在",IF($D1303="","未选业务类型",IF($E1303="","未选开票/付款方",IF(ISNA(MATCH($E1303,单位档案!$A$6:$A$35,0)),"开票方不在单位档案",IF($F1303="","未选收票/收款方",IF(ISNA(MATCH($F1303,单位档案!$A$6:$A$35,0)),"收款方不在单位档案",IF(NOT(ISNUMBER($H1303)),"金额须为数字",IF(AND($D1303="销项开票",$N1303="—"),"链条待确认","√")))))))))))</f>
        <v/>
      </c>
      <c r="M1303" s="34" t="str">
        <f aca="false">IF($C1303="","",IFERROR(INDEX(项目档案!$B$6:$B$255,MATCH($C1303,项目档案!$A$6:$A$255,0)),"⚠项目编号不存在"))</f>
        <v/>
      </c>
      <c r="N1303" s="35" t="str">
        <f aca="false">IF($E1303="","",IF($E1303=IFERROR(INDEX(项目档案!$D$6:$D$255,MATCH($C1303,项目档案!$A$6:$A$255,0)),""),"一级",IF($E1303=IFERROR(INDEX(项目档案!$F$6:$F$255,MATCH($C1303,项目档案!$A$6:$A$255,0)),""),"二级",IF($E1303=IFERROR(INDEX(项目档案!$H$6:$H$255,MATCH($C1303,项目档案!$A$6:$A$255,0)),""),"我方","—"))))</f>
        <v/>
      </c>
      <c r="O1303" s="36" t="n">
        <f aca="false">IF($D1303&lt;&gt;"销项开票",0,ROUND(N($H1303)*N($I1303),2))</f>
        <v>0</v>
      </c>
      <c r="P1303" s="36" t="n">
        <f aca="false">IF($D1303&lt;&gt;"销项开票",0,ROUND(N($H1303)-$O1303,2))</f>
        <v>0</v>
      </c>
      <c r="Q1303" s="37" t="str">
        <f aca="false">IF($E1303="","",N(IFERROR(INDEX(单位档案!$E$6:$E$35,MATCH($E1303,单位档案!$A$6:$A$35,0)),"")))</f>
        <v/>
      </c>
      <c r="R1303" s="37" t="str">
        <f aca="false">IF($E1303="","",N(IFERROR(INDEX(单位档案!$F$6:$F$35,MATCH($E1303,单位档案!$A$6:$A$35,0)),"")))</f>
        <v/>
      </c>
      <c r="S1303" s="36" t="n">
        <f aca="false">IF(OR($D1303&lt;&gt;"销项开票",IFERROR(INDEX(单位档案!$G$6:$G$35,MATCH($E1303,单位档案!$A$6:$A$35,0)),"")&lt;&gt;"是",N($Q1303)=0),0,IF(IFERROR(INDEX(单位档案!$H$6:$H$35,MATCH($E1303,单位档案!$A$6:$A$35,0)),"")="税差法",ROUND(N($H1303)/(1+$Q1303)*$Q1303-IF(N($R1303)=0,0,$P1303/(1+$R1303)*$R1303),2),ROUND(N($H1303)/(1+$Q1303)*$Q1303,2)))</f>
        <v>0</v>
      </c>
      <c r="T1303" s="36" t="n">
        <f aca="false">ROUND($S1303*N(IFERROR(INDEX(单位档案!$J$6:$J$35,MATCH($E1303,单位档案!$A$6:$A$35,0)),"")),2)</f>
        <v>0</v>
      </c>
      <c r="U1303" s="36" t="n">
        <f aca="false">IF($D1303&lt;&gt;"销项开票",0,ROUND(N($H1303)*N(IFERROR(INDEX(单位档案!$K$6:$K$35,MATCH($E1303,单位档案!$A$6:$A$35,0)),"")),2))</f>
        <v>0</v>
      </c>
      <c r="V1303" s="36" t="n">
        <f aca="false">IF(OR($D1303&lt;&gt;"销项开票",N($Q1303)=0),0,ROUND(N($H1303)/(1+$Q1303)*N(IFERROR(INDEX(单位档案!$L$6:$L$35,MATCH($E1303,单位档案!$A$6:$A$35,0)),"")),2))</f>
        <v>0</v>
      </c>
      <c r="W1303" s="36" t="n">
        <f aca="false">ROUND($S1303+$T1303+$U1303+$V1303,2)</f>
        <v>0</v>
      </c>
      <c r="X1303" s="35" t="str">
        <f aca="false">IF(OR($D1303="挂靠代收",$D1303="我方收款"),COUNTIFS($D$5:$D1303,"挂靠代收")+COUNTIFS($D$5:$D1303,"我方收款"),"")</f>
        <v/>
      </c>
      <c r="Y1303" s="35"/>
      <c r="Z1303" s="21" t="s">
        <v>111</v>
      </c>
    </row>
    <row r="1304" customFormat="false" ht="15.75" hidden="false" customHeight="true" outlineLevel="0" collapsed="false">
      <c r="A1304" s="32" t="str">
        <f aca="false">IF($B1304="","",ROW()-4)</f>
        <v/>
      </c>
      <c r="B1304" s="26"/>
      <c r="C1304" s="24"/>
      <c r="D1304" s="21"/>
      <c r="E1304" s="21"/>
      <c r="F1304" s="21"/>
      <c r="G1304" s="21"/>
      <c r="H1304" s="27"/>
      <c r="I1304" s="23" t="str">
        <f aca="false">IF($D1304&lt;&gt;"销项开票","",IF($N1304="一级",IF(IFERROR(INDEX(项目档案!$E$6:$E$255,MATCH($C1304,项目档案!$A$6:$A$255,0)),"")="",N(IFERROR(INDEX(单位档案!$D$6:$D$35,MATCH($E1304,单位档案!$A$6:$A$35,0)),"")),IFERROR(INDEX(项目档案!$E$6:$E$255,MATCH($C1304,项目档案!$A$6:$A$255,0)),"")),IF($N1304="二级",IF(IFERROR(INDEX(项目档案!$G$6:$G$255,MATCH($C1304,项目档案!$A$6:$A$255,0)),"")="",N(IFERROR(INDEX(单位档案!$D$6:$D$35,MATCH($E1304,单位档案!$A$6:$A$35,0)),"")),IFERROR(INDEX(项目档案!$G$6:$G$255,MATCH($C1304,项目档案!$A$6:$A$255,0)),"")),N(IFERROR(INDEX(单位档案!$D$6:$D$35,MATCH($E1304,单位档案!$A$6:$A$35,0)),"")))))</f>
        <v/>
      </c>
      <c r="J1304" s="22"/>
      <c r="K1304" s="22"/>
      <c r="L1304" s="33" t="str">
        <f aca="false">IF($B1304="","",IF(NOT(ISNUMBER($B1304)),"日期格式不对",IF($C1304="","未选项目编号",IF(LEFT($M1304,1)="⚠","项目编号不存在",IF($D1304="","未选业务类型",IF($E1304="","未选开票/付款方",IF(ISNA(MATCH($E1304,单位档案!$A$6:$A$35,0)),"开票方不在单位档案",IF($F1304="","未选收票/收款方",IF(ISNA(MATCH($F1304,单位档案!$A$6:$A$35,0)),"收款方不在单位档案",IF(NOT(ISNUMBER($H1304)),"金额须为数字",IF(AND($D1304="销项开票",$N1304="—"),"链条待确认","√")))))))))))</f>
        <v/>
      </c>
      <c r="M1304" s="34" t="str">
        <f aca="false">IF($C1304="","",IFERROR(INDEX(项目档案!$B$6:$B$255,MATCH($C1304,项目档案!$A$6:$A$255,0)),"⚠项目编号不存在"))</f>
        <v/>
      </c>
      <c r="N1304" s="35" t="str">
        <f aca="false">IF($E1304="","",IF($E1304=IFERROR(INDEX(项目档案!$D$6:$D$255,MATCH($C1304,项目档案!$A$6:$A$255,0)),""),"一级",IF($E1304=IFERROR(INDEX(项目档案!$F$6:$F$255,MATCH($C1304,项目档案!$A$6:$A$255,0)),""),"二级",IF($E1304=IFERROR(INDEX(项目档案!$H$6:$H$255,MATCH($C1304,项目档案!$A$6:$A$255,0)),""),"我方","—"))))</f>
        <v/>
      </c>
      <c r="O1304" s="36" t="n">
        <f aca="false">IF($D1304&lt;&gt;"销项开票",0,ROUND(N($H1304)*N($I1304),2))</f>
        <v>0</v>
      </c>
      <c r="P1304" s="36" t="n">
        <f aca="false">IF($D1304&lt;&gt;"销项开票",0,ROUND(N($H1304)-$O1304,2))</f>
        <v>0</v>
      </c>
      <c r="Q1304" s="37" t="str">
        <f aca="false">IF($E1304="","",N(IFERROR(INDEX(单位档案!$E$6:$E$35,MATCH($E1304,单位档案!$A$6:$A$35,0)),"")))</f>
        <v/>
      </c>
      <c r="R1304" s="37" t="str">
        <f aca="false">IF($E1304="","",N(IFERROR(INDEX(单位档案!$F$6:$F$35,MATCH($E1304,单位档案!$A$6:$A$35,0)),"")))</f>
        <v/>
      </c>
      <c r="S1304" s="36" t="n">
        <f aca="false">IF(OR($D1304&lt;&gt;"销项开票",IFERROR(INDEX(单位档案!$G$6:$G$35,MATCH($E1304,单位档案!$A$6:$A$35,0)),"")&lt;&gt;"是",N($Q1304)=0),0,IF(IFERROR(INDEX(单位档案!$H$6:$H$35,MATCH($E1304,单位档案!$A$6:$A$35,0)),"")="税差法",ROUND(N($H1304)/(1+$Q1304)*$Q1304-IF(N($R1304)=0,0,$P1304/(1+$R1304)*$R1304),2),ROUND(N($H1304)/(1+$Q1304)*$Q1304,2)))</f>
        <v>0</v>
      </c>
      <c r="T1304" s="36" t="n">
        <f aca="false">ROUND($S1304*N(IFERROR(INDEX(单位档案!$J$6:$J$35,MATCH($E1304,单位档案!$A$6:$A$35,0)),"")),2)</f>
        <v>0</v>
      </c>
      <c r="U1304" s="36" t="n">
        <f aca="false">IF($D1304&lt;&gt;"销项开票",0,ROUND(N($H1304)*N(IFERROR(INDEX(单位档案!$K$6:$K$35,MATCH($E1304,单位档案!$A$6:$A$35,0)),"")),2))</f>
        <v>0</v>
      </c>
      <c r="V1304" s="36" t="n">
        <f aca="false">IF(OR($D1304&lt;&gt;"销项开票",N($Q1304)=0),0,ROUND(N($H1304)/(1+$Q1304)*N(IFERROR(INDEX(单位档案!$L$6:$L$35,MATCH($E1304,单位档案!$A$6:$A$35,0)),"")),2))</f>
        <v>0</v>
      </c>
      <c r="W1304" s="36" t="n">
        <f aca="false">ROUND($S1304+$T1304+$U1304+$V1304,2)</f>
        <v>0</v>
      </c>
      <c r="X1304" s="35" t="str">
        <f aca="false">IF(OR($D1304="挂靠代收",$D1304="我方收款"),COUNTIFS($D$5:$D1304,"挂靠代收")+COUNTIFS($D$5:$D1304,"我方收款"),"")</f>
        <v/>
      </c>
      <c r="Y1304" s="35"/>
      <c r="Z1304" s="21" t="s">
        <v>111</v>
      </c>
    </row>
    <row r="1305" customFormat="false" ht="15.75" hidden="false" customHeight="true" outlineLevel="0" collapsed="false">
      <c r="A1305" s="32" t="str">
        <f aca="false">IF($B1305="","",ROW()-4)</f>
        <v/>
      </c>
      <c r="B1305" s="26"/>
      <c r="C1305" s="24"/>
      <c r="D1305" s="21"/>
      <c r="E1305" s="21"/>
      <c r="F1305" s="21"/>
      <c r="G1305" s="21"/>
      <c r="H1305" s="27"/>
      <c r="I1305" s="23" t="str">
        <f aca="false">IF($D1305&lt;&gt;"销项开票","",IF($N1305="一级",IF(IFERROR(INDEX(项目档案!$E$6:$E$255,MATCH($C1305,项目档案!$A$6:$A$255,0)),"")="",N(IFERROR(INDEX(单位档案!$D$6:$D$35,MATCH($E1305,单位档案!$A$6:$A$35,0)),"")),IFERROR(INDEX(项目档案!$E$6:$E$255,MATCH($C1305,项目档案!$A$6:$A$255,0)),"")),IF($N1305="二级",IF(IFERROR(INDEX(项目档案!$G$6:$G$255,MATCH($C1305,项目档案!$A$6:$A$255,0)),"")="",N(IFERROR(INDEX(单位档案!$D$6:$D$35,MATCH($E1305,单位档案!$A$6:$A$35,0)),"")),IFERROR(INDEX(项目档案!$G$6:$G$255,MATCH($C1305,项目档案!$A$6:$A$255,0)),"")),N(IFERROR(INDEX(单位档案!$D$6:$D$35,MATCH($E1305,单位档案!$A$6:$A$35,0)),"")))))</f>
        <v/>
      </c>
      <c r="J1305" s="22"/>
      <c r="K1305" s="22"/>
      <c r="L1305" s="33" t="str">
        <f aca="false">IF($B1305="","",IF(NOT(ISNUMBER($B1305)),"日期格式不对",IF($C1305="","未选项目编号",IF(LEFT($M1305,1)="⚠","项目编号不存在",IF($D1305="","未选业务类型",IF($E1305="","未选开票/付款方",IF(ISNA(MATCH($E1305,单位档案!$A$6:$A$35,0)),"开票方不在单位档案",IF($F1305="","未选收票/收款方",IF(ISNA(MATCH($F1305,单位档案!$A$6:$A$35,0)),"收款方不在单位档案",IF(NOT(ISNUMBER($H1305)),"金额须为数字",IF(AND($D1305="销项开票",$N1305="—"),"链条待确认","√")))))))))))</f>
        <v/>
      </c>
      <c r="M1305" s="34" t="str">
        <f aca="false">IF($C1305="","",IFERROR(INDEX(项目档案!$B$6:$B$255,MATCH($C1305,项目档案!$A$6:$A$255,0)),"⚠项目编号不存在"))</f>
        <v/>
      </c>
      <c r="N1305" s="35" t="str">
        <f aca="false">IF($E1305="","",IF($E1305=IFERROR(INDEX(项目档案!$D$6:$D$255,MATCH($C1305,项目档案!$A$6:$A$255,0)),""),"一级",IF($E1305=IFERROR(INDEX(项目档案!$F$6:$F$255,MATCH($C1305,项目档案!$A$6:$A$255,0)),""),"二级",IF($E1305=IFERROR(INDEX(项目档案!$H$6:$H$255,MATCH($C1305,项目档案!$A$6:$A$255,0)),""),"我方","—"))))</f>
        <v/>
      </c>
      <c r="O1305" s="36" t="n">
        <f aca="false">IF($D1305&lt;&gt;"销项开票",0,ROUND(N($H1305)*N($I1305),2))</f>
        <v>0</v>
      </c>
      <c r="P1305" s="36" t="n">
        <f aca="false">IF($D1305&lt;&gt;"销项开票",0,ROUND(N($H1305)-$O1305,2))</f>
        <v>0</v>
      </c>
      <c r="Q1305" s="37" t="str">
        <f aca="false">IF($E1305="","",N(IFERROR(INDEX(单位档案!$E$6:$E$35,MATCH($E1305,单位档案!$A$6:$A$35,0)),"")))</f>
        <v/>
      </c>
      <c r="R1305" s="37" t="str">
        <f aca="false">IF($E1305="","",N(IFERROR(INDEX(单位档案!$F$6:$F$35,MATCH($E1305,单位档案!$A$6:$A$35,0)),"")))</f>
        <v/>
      </c>
      <c r="S1305" s="36" t="n">
        <f aca="false">IF(OR($D1305&lt;&gt;"销项开票",IFERROR(INDEX(单位档案!$G$6:$G$35,MATCH($E1305,单位档案!$A$6:$A$35,0)),"")&lt;&gt;"是",N($Q1305)=0),0,IF(IFERROR(INDEX(单位档案!$H$6:$H$35,MATCH($E1305,单位档案!$A$6:$A$35,0)),"")="税差法",ROUND(N($H1305)/(1+$Q1305)*$Q1305-IF(N($R1305)=0,0,$P1305/(1+$R1305)*$R1305),2),ROUND(N($H1305)/(1+$Q1305)*$Q1305,2)))</f>
        <v>0</v>
      </c>
      <c r="T1305" s="36" t="n">
        <f aca="false">ROUND($S1305*N(IFERROR(INDEX(单位档案!$J$6:$J$35,MATCH($E1305,单位档案!$A$6:$A$35,0)),"")),2)</f>
        <v>0</v>
      </c>
      <c r="U1305" s="36" t="n">
        <f aca="false">IF($D1305&lt;&gt;"销项开票",0,ROUND(N($H1305)*N(IFERROR(INDEX(单位档案!$K$6:$K$35,MATCH($E1305,单位档案!$A$6:$A$35,0)),"")),2))</f>
        <v>0</v>
      </c>
      <c r="V1305" s="36" t="n">
        <f aca="false">IF(OR($D1305&lt;&gt;"销项开票",N($Q1305)=0),0,ROUND(N($H1305)/(1+$Q1305)*N(IFERROR(INDEX(单位档案!$L$6:$L$35,MATCH($E1305,单位档案!$A$6:$A$35,0)),"")),2))</f>
        <v>0</v>
      </c>
      <c r="W1305" s="36" t="n">
        <f aca="false">ROUND($S1305+$T1305+$U1305+$V1305,2)</f>
        <v>0</v>
      </c>
      <c r="X1305" s="35" t="str">
        <f aca="false">IF(OR($D1305="挂靠代收",$D1305="我方收款"),COUNTIFS($D$5:$D1305,"挂靠代收")+COUNTIFS($D$5:$D1305,"我方收款"),"")</f>
        <v/>
      </c>
      <c r="Y1305" s="35"/>
      <c r="Z1305" s="21" t="s">
        <v>111</v>
      </c>
    </row>
    <row r="1306" customFormat="false" ht="15.75" hidden="false" customHeight="true" outlineLevel="0" collapsed="false">
      <c r="A1306" s="32" t="str">
        <f aca="false">IF($B1306="","",ROW()-4)</f>
        <v/>
      </c>
      <c r="B1306" s="26"/>
      <c r="C1306" s="24"/>
      <c r="D1306" s="21"/>
      <c r="E1306" s="21"/>
      <c r="F1306" s="21"/>
      <c r="G1306" s="21"/>
      <c r="H1306" s="27"/>
      <c r="I1306" s="23" t="str">
        <f aca="false">IF($D1306&lt;&gt;"销项开票","",IF($N1306="一级",IF(IFERROR(INDEX(项目档案!$E$6:$E$255,MATCH($C1306,项目档案!$A$6:$A$255,0)),"")="",N(IFERROR(INDEX(单位档案!$D$6:$D$35,MATCH($E1306,单位档案!$A$6:$A$35,0)),"")),IFERROR(INDEX(项目档案!$E$6:$E$255,MATCH($C1306,项目档案!$A$6:$A$255,0)),"")),IF($N1306="二级",IF(IFERROR(INDEX(项目档案!$G$6:$G$255,MATCH($C1306,项目档案!$A$6:$A$255,0)),"")="",N(IFERROR(INDEX(单位档案!$D$6:$D$35,MATCH($E1306,单位档案!$A$6:$A$35,0)),"")),IFERROR(INDEX(项目档案!$G$6:$G$255,MATCH($C1306,项目档案!$A$6:$A$255,0)),"")),N(IFERROR(INDEX(单位档案!$D$6:$D$35,MATCH($E1306,单位档案!$A$6:$A$35,0)),"")))))</f>
        <v/>
      </c>
      <c r="J1306" s="22"/>
      <c r="K1306" s="22"/>
      <c r="L1306" s="33" t="str">
        <f aca="false">IF($B1306="","",IF(NOT(ISNUMBER($B1306)),"日期格式不对",IF($C1306="","未选项目编号",IF(LEFT($M1306,1)="⚠","项目编号不存在",IF($D1306="","未选业务类型",IF($E1306="","未选开票/付款方",IF(ISNA(MATCH($E1306,单位档案!$A$6:$A$35,0)),"开票方不在单位档案",IF($F1306="","未选收票/收款方",IF(ISNA(MATCH($F1306,单位档案!$A$6:$A$35,0)),"收款方不在单位档案",IF(NOT(ISNUMBER($H1306)),"金额须为数字",IF(AND($D1306="销项开票",$N1306="—"),"链条待确认","√")))))))))))</f>
        <v/>
      </c>
      <c r="M1306" s="34" t="str">
        <f aca="false">IF($C1306="","",IFERROR(INDEX(项目档案!$B$6:$B$255,MATCH($C1306,项目档案!$A$6:$A$255,0)),"⚠项目编号不存在"))</f>
        <v/>
      </c>
      <c r="N1306" s="35" t="str">
        <f aca="false">IF($E1306="","",IF($E1306=IFERROR(INDEX(项目档案!$D$6:$D$255,MATCH($C1306,项目档案!$A$6:$A$255,0)),""),"一级",IF($E1306=IFERROR(INDEX(项目档案!$F$6:$F$255,MATCH($C1306,项目档案!$A$6:$A$255,0)),""),"二级",IF($E1306=IFERROR(INDEX(项目档案!$H$6:$H$255,MATCH($C1306,项目档案!$A$6:$A$255,0)),""),"我方","—"))))</f>
        <v/>
      </c>
      <c r="O1306" s="36" t="n">
        <f aca="false">IF($D1306&lt;&gt;"销项开票",0,ROUND(N($H1306)*N($I1306),2))</f>
        <v>0</v>
      </c>
      <c r="P1306" s="36" t="n">
        <f aca="false">IF($D1306&lt;&gt;"销项开票",0,ROUND(N($H1306)-$O1306,2))</f>
        <v>0</v>
      </c>
      <c r="Q1306" s="37" t="str">
        <f aca="false">IF($E1306="","",N(IFERROR(INDEX(单位档案!$E$6:$E$35,MATCH($E1306,单位档案!$A$6:$A$35,0)),"")))</f>
        <v/>
      </c>
      <c r="R1306" s="37" t="str">
        <f aca="false">IF($E1306="","",N(IFERROR(INDEX(单位档案!$F$6:$F$35,MATCH($E1306,单位档案!$A$6:$A$35,0)),"")))</f>
        <v/>
      </c>
      <c r="S1306" s="36" t="n">
        <f aca="false">IF(OR($D1306&lt;&gt;"销项开票",IFERROR(INDEX(单位档案!$G$6:$G$35,MATCH($E1306,单位档案!$A$6:$A$35,0)),"")&lt;&gt;"是",N($Q1306)=0),0,IF(IFERROR(INDEX(单位档案!$H$6:$H$35,MATCH($E1306,单位档案!$A$6:$A$35,0)),"")="税差法",ROUND(N($H1306)/(1+$Q1306)*$Q1306-IF(N($R1306)=0,0,$P1306/(1+$R1306)*$R1306),2),ROUND(N($H1306)/(1+$Q1306)*$Q1306,2)))</f>
        <v>0</v>
      </c>
      <c r="T1306" s="36" t="n">
        <f aca="false">ROUND($S1306*N(IFERROR(INDEX(单位档案!$J$6:$J$35,MATCH($E1306,单位档案!$A$6:$A$35,0)),"")),2)</f>
        <v>0</v>
      </c>
      <c r="U1306" s="36" t="n">
        <f aca="false">IF($D1306&lt;&gt;"销项开票",0,ROUND(N($H1306)*N(IFERROR(INDEX(单位档案!$K$6:$K$35,MATCH($E1306,单位档案!$A$6:$A$35,0)),"")),2))</f>
        <v>0</v>
      </c>
      <c r="V1306" s="36" t="n">
        <f aca="false">IF(OR($D1306&lt;&gt;"销项开票",N($Q1306)=0),0,ROUND(N($H1306)/(1+$Q1306)*N(IFERROR(INDEX(单位档案!$L$6:$L$35,MATCH($E1306,单位档案!$A$6:$A$35,0)),"")),2))</f>
        <v>0</v>
      </c>
      <c r="W1306" s="36" t="n">
        <f aca="false">ROUND($S1306+$T1306+$U1306+$V1306,2)</f>
        <v>0</v>
      </c>
      <c r="X1306" s="35" t="str">
        <f aca="false">IF(OR($D1306="挂靠代收",$D1306="我方收款"),COUNTIFS($D$5:$D1306,"挂靠代收")+COUNTIFS($D$5:$D1306,"我方收款"),"")</f>
        <v/>
      </c>
      <c r="Y1306" s="35"/>
      <c r="Z1306" s="21" t="s">
        <v>111</v>
      </c>
    </row>
    <row r="1307" customFormat="false" ht="15.75" hidden="false" customHeight="true" outlineLevel="0" collapsed="false">
      <c r="A1307" s="32" t="str">
        <f aca="false">IF($B1307="","",ROW()-4)</f>
        <v/>
      </c>
      <c r="B1307" s="26"/>
      <c r="C1307" s="24"/>
      <c r="D1307" s="21"/>
      <c r="E1307" s="21"/>
      <c r="F1307" s="21"/>
      <c r="G1307" s="21"/>
      <c r="H1307" s="27"/>
      <c r="I1307" s="23" t="str">
        <f aca="false">IF($D1307&lt;&gt;"销项开票","",IF($N1307="一级",IF(IFERROR(INDEX(项目档案!$E$6:$E$255,MATCH($C1307,项目档案!$A$6:$A$255,0)),"")="",N(IFERROR(INDEX(单位档案!$D$6:$D$35,MATCH($E1307,单位档案!$A$6:$A$35,0)),"")),IFERROR(INDEX(项目档案!$E$6:$E$255,MATCH($C1307,项目档案!$A$6:$A$255,0)),"")),IF($N1307="二级",IF(IFERROR(INDEX(项目档案!$G$6:$G$255,MATCH($C1307,项目档案!$A$6:$A$255,0)),"")="",N(IFERROR(INDEX(单位档案!$D$6:$D$35,MATCH($E1307,单位档案!$A$6:$A$35,0)),"")),IFERROR(INDEX(项目档案!$G$6:$G$255,MATCH($C1307,项目档案!$A$6:$A$255,0)),"")),N(IFERROR(INDEX(单位档案!$D$6:$D$35,MATCH($E1307,单位档案!$A$6:$A$35,0)),"")))))</f>
        <v/>
      </c>
      <c r="J1307" s="22"/>
      <c r="K1307" s="22"/>
      <c r="L1307" s="33" t="str">
        <f aca="false">IF($B1307="","",IF(NOT(ISNUMBER($B1307)),"日期格式不对",IF($C1307="","未选项目编号",IF(LEFT($M1307,1)="⚠","项目编号不存在",IF($D1307="","未选业务类型",IF($E1307="","未选开票/付款方",IF(ISNA(MATCH($E1307,单位档案!$A$6:$A$35,0)),"开票方不在单位档案",IF($F1307="","未选收票/收款方",IF(ISNA(MATCH($F1307,单位档案!$A$6:$A$35,0)),"收款方不在单位档案",IF(NOT(ISNUMBER($H1307)),"金额须为数字",IF(AND($D1307="销项开票",$N1307="—"),"链条待确认","√")))))))))))</f>
        <v/>
      </c>
      <c r="M1307" s="34" t="str">
        <f aca="false">IF($C1307="","",IFERROR(INDEX(项目档案!$B$6:$B$255,MATCH($C1307,项目档案!$A$6:$A$255,0)),"⚠项目编号不存在"))</f>
        <v/>
      </c>
      <c r="N1307" s="35" t="str">
        <f aca="false">IF($E1307="","",IF($E1307=IFERROR(INDEX(项目档案!$D$6:$D$255,MATCH($C1307,项目档案!$A$6:$A$255,0)),""),"一级",IF($E1307=IFERROR(INDEX(项目档案!$F$6:$F$255,MATCH($C1307,项目档案!$A$6:$A$255,0)),""),"二级",IF($E1307=IFERROR(INDEX(项目档案!$H$6:$H$255,MATCH($C1307,项目档案!$A$6:$A$255,0)),""),"我方","—"))))</f>
        <v/>
      </c>
      <c r="O1307" s="36" t="n">
        <f aca="false">IF($D1307&lt;&gt;"销项开票",0,ROUND(N($H1307)*N($I1307),2))</f>
        <v>0</v>
      </c>
      <c r="P1307" s="36" t="n">
        <f aca="false">IF($D1307&lt;&gt;"销项开票",0,ROUND(N($H1307)-$O1307,2))</f>
        <v>0</v>
      </c>
      <c r="Q1307" s="37" t="str">
        <f aca="false">IF($E1307="","",N(IFERROR(INDEX(单位档案!$E$6:$E$35,MATCH($E1307,单位档案!$A$6:$A$35,0)),"")))</f>
        <v/>
      </c>
      <c r="R1307" s="37" t="str">
        <f aca="false">IF($E1307="","",N(IFERROR(INDEX(单位档案!$F$6:$F$35,MATCH($E1307,单位档案!$A$6:$A$35,0)),"")))</f>
        <v/>
      </c>
      <c r="S1307" s="36" t="n">
        <f aca="false">IF(OR($D1307&lt;&gt;"销项开票",IFERROR(INDEX(单位档案!$G$6:$G$35,MATCH($E1307,单位档案!$A$6:$A$35,0)),"")&lt;&gt;"是",N($Q1307)=0),0,IF(IFERROR(INDEX(单位档案!$H$6:$H$35,MATCH($E1307,单位档案!$A$6:$A$35,0)),"")="税差法",ROUND(N($H1307)/(1+$Q1307)*$Q1307-IF(N($R1307)=0,0,$P1307/(1+$R1307)*$R1307),2),ROUND(N($H1307)/(1+$Q1307)*$Q1307,2)))</f>
        <v>0</v>
      </c>
      <c r="T1307" s="36" t="n">
        <f aca="false">ROUND($S1307*N(IFERROR(INDEX(单位档案!$J$6:$J$35,MATCH($E1307,单位档案!$A$6:$A$35,0)),"")),2)</f>
        <v>0</v>
      </c>
      <c r="U1307" s="36" t="n">
        <f aca="false">IF($D1307&lt;&gt;"销项开票",0,ROUND(N($H1307)*N(IFERROR(INDEX(单位档案!$K$6:$K$35,MATCH($E1307,单位档案!$A$6:$A$35,0)),"")),2))</f>
        <v>0</v>
      </c>
      <c r="V1307" s="36" t="n">
        <f aca="false">IF(OR($D1307&lt;&gt;"销项开票",N($Q1307)=0),0,ROUND(N($H1307)/(1+$Q1307)*N(IFERROR(INDEX(单位档案!$L$6:$L$35,MATCH($E1307,单位档案!$A$6:$A$35,0)),"")),2))</f>
        <v>0</v>
      </c>
      <c r="W1307" s="36" t="n">
        <f aca="false">ROUND($S1307+$T1307+$U1307+$V1307,2)</f>
        <v>0</v>
      </c>
      <c r="X1307" s="35" t="str">
        <f aca="false">IF(OR($D1307="挂靠代收",$D1307="我方收款"),COUNTIFS($D$5:$D1307,"挂靠代收")+COUNTIFS($D$5:$D1307,"我方收款"),"")</f>
        <v/>
      </c>
      <c r="Y1307" s="35"/>
      <c r="Z1307" s="21" t="s">
        <v>111</v>
      </c>
    </row>
    <row r="1308" customFormat="false" ht="15.75" hidden="false" customHeight="true" outlineLevel="0" collapsed="false">
      <c r="A1308" s="32" t="str">
        <f aca="false">IF($B1308="","",ROW()-4)</f>
        <v/>
      </c>
      <c r="B1308" s="26"/>
      <c r="C1308" s="24"/>
      <c r="D1308" s="21"/>
      <c r="E1308" s="21"/>
      <c r="F1308" s="21"/>
      <c r="G1308" s="21"/>
      <c r="H1308" s="27"/>
      <c r="I1308" s="23" t="str">
        <f aca="false">IF($D1308&lt;&gt;"销项开票","",IF($N1308="一级",IF(IFERROR(INDEX(项目档案!$E$6:$E$255,MATCH($C1308,项目档案!$A$6:$A$255,0)),"")="",N(IFERROR(INDEX(单位档案!$D$6:$D$35,MATCH($E1308,单位档案!$A$6:$A$35,0)),"")),IFERROR(INDEX(项目档案!$E$6:$E$255,MATCH($C1308,项目档案!$A$6:$A$255,0)),"")),IF($N1308="二级",IF(IFERROR(INDEX(项目档案!$G$6:$G$255,MATCH($C1308,项目档案!$A$6:$A$255,0)),"")="",N(IFERROR(INDEX(单位档案!$D$6:$D$35,MATCH($E1308,单位档案!$A$6:$A$35,0)),"")),IFERROR(INDEX(项目档案!$G$6:$G$255,MATCH($C1308,项目档案!$A$6:$A$255,0)),"")),N(IFERROR(INDEX(单位档案!$D$6:$D$35,MATCH($E1308,单位档案!$A$6:$A$35,0)),"")))))</f>
        <v/>
      </c>
      <c r="J1308" s="22"/>
      <c r="K1308" s="22"/>
      <c r="L1308" s="33" t="str">
        <f aca="false">IF($B1308="","",IF(NOT(ISNUMBER($B1308)),"日期格式不对",IF($C1308="","未选项目编号",IF(LEFT($M1308,1)="⚠","项目编号不存在",IF($D1308="","未选业务类型",IF($E1308="","未选开票/付款方",IF(ISNA(MATCH($E1308,单位档案!$A$6:$A$35,0)),"开票方不在单位档案",IF($F1308="","未选收票/收款方",IF(ISNA(MATCH($F1308,单位档案!$A$6:$A$35,0)),"收款方不在单位档案",IF(NOT(ISNUMBER($H1308)),"金额须为数字",IF(AND($D1308="销项开票",$N1308="—"),"链条待确认","√")))))))))))</f>
        <v/>
      </c>
      <c r="M1308" s="34" t="str">
        <f aca="false">IF($C1308="","",IFERROR(INDEX(项目档案!$B$6:$B$255,MATCH($C1308,项目档案!$A$6:$A$255,0)),"⚠项目编号不存在"))</f>
        <v/>
      </c>
      <c r="N1308" s="35" t="str">
        <f aca="false">IF($E1308="","",IF($E1308=IFERROR(INDEX(项目档案!$D$6:$D$255,MATCH($C1308,项目档案!$A$6:$A$255,0)),""),"一级",IF($E1308=IFERROR(INDEX(项目档案!$F$6:$F$255,MATCH($C1308,项目档案!$A$6:$A$255,0)),""),"二级",IF($E1308=IFERROR(INDEX(项目档案!$H$6:$H$255,MATCH($C1308,项目档案!$A$6:$A$255,0)),""),"我方","—"))))</f>
        <v/>
      </c>
      <c r="O1308" s="36" t="n">
        <f aca="false">IF($D1308&lt;&gt;"销项开票",0,ROUND(N($H1308)*N($I1308),2))</f>
        <v>0</v>
      </c>
      <c r="P1308" s="36" t="n">
        <f aca="false">IF($D1308&lt;&gt;"销项开票",0,ROUND(N($H1308)-$O1308,2))</f>
        <v>0</v>
      </c>
      <c r="Q1308" s="37" t="str">
        <f aca="false">IF($E1308="","",N(IFERROR(INDEX(单位档案!$E$6:$E$35,MATCH($E1308,单位档案!$A$6:$A$35,0)),"")))</f>
        <v/>
      </c>
      <c r="R1308" s="37" t="str">
        <f aca="false">IF($E1308="","",N(IFERROR(INDEX(单位档案!$F$6:$F$35,MATCH($E1308,单位档案!$A$6:$A$35,0)),"")))</f>
        <v/>
      </c>
      <c r="S1308" s="36" t="n">
        <f aca="false">IF(OR($D1308&lt;&gt;"销项开票",IFERROR(INDEX(单位档案!$G$6:$G$35,MATCH($E1308,单位档案!$A$6:$A$35,0)),"")&lt;&gt;"是",N($Q1308)=0),0,IF(IFERROR(INDEX(单位档案!$H$6:$H$35,MATCH($E1308,单位档案!$A$6:$A$35,0)),"")="税差法",ROUND(N($H1308)/(1+$Q1308)*$Q1308-IF(N($R1308)=0,0,$P1308/(1+$R1308)*$R1308),2),ROUND(N($H1308)/(1+$Q1308)*$Q1308,2)))</f>
        <v>0</v>
      </c>
      <c r="T1308" s="36" t="n">
        <f aca="false">ROUND($S1308*N(IFERROR(INDEX(单位档案!$J$6:$J$35,MATCH($E1308,单位档案!$A$6:$A$35,0)),"")),2)</f>
        <v>0</v>
      </c>
      <c r="U1308" s="36" t="n">
        <f aca="false">IF($D1308&lt;&gt;"销项开票",0,ROUND(N($H1308)*N(IFERROR(INDEX(单位档案!$K$6:$K$35,MATCH($E1308,单位档案!$A$6:$A$35,0)),"")),2))</f>
        <v>0</v>
      </c>
      <c r="V1308" s="36" t="n">
        <f aca="false">IF(OR($D1308&lt;&gt;"销项开票",N($Q1308)=0),0,ROUND(N($H1308)/(1+$Q1308)*N(IFERROR(INDEX(单位档案!$L$6:$L$35,MATCH($E1308,单位档案!$A$6:$A$35,0)),"")),2))</f>
        <v>0</v>
      </c>
      <c r="W1308" s="36" t="n">
        <f aca="false">ROUND($S1308+$T1308+$U1308+$V1308,2)</f>
        <v>0</v>
      </c>
      <c r="X1308" s="35" t="str">
        <f aca="false">IF(OR($D1308="挂靠代收",$D1308="我方收款"),COUNTIFS($D$5:$D1308,"挂靠代收")+COUNTIFS($D$5:$D1308,"我方收款"),"")</f>
        <v/>
      </c>
      <c r="Y1308" s="35"/>
      <c r="Z1308" s="21" t="s">
        <v>111</v>
      </c>
    </row>
    <row r="1309" customFormat="false" ht="15.75" hidden="false" customHeight="true" outlineLevel="0" collapsed="false">
      <c r="A1309" s="32" t="str">
        <f aca="false">IF($B1309="","",ROW()-4)</f>
        <v/>
      </c>
      <c r="B1309" s="26"/>
      <c r="C1309" s="24"/>
      <c r="D1309" s="21"/>
      <c r="E1309" s="21"/>
      <c r="F1309" s="21"/>
      <c r="G1309" s="21"/>
      <c r="H1309" s="27"/>
      <c r="I1309" s="23" t="str">
        <f aca="false">IF($D1309&lt;&gt;"销项开票","",IF($N1309="一级",IF(IFERROR(INDEX(项目档案!$E$6:$E$255,MATCH($C1309,项目档案!$A$6:$A$255,0)),"")="",N(IFERROR(INDEX(单位档案!$D$6:$D$35,MATCH($E1309,单位档案!$A$6:$A$35,0)),"")),IFERROR(INDEX(项目档案!$E$6:$E$255,MATCH($C1309,项目档案!$A$6:$A$255,0)),"")),IF($N1309="二级",IF(IFERROR(INDEX(项目档案!$G$6:$G$255,MATCH($C1309,项目档案!$A$6:$A$255,0)),"")="",N(IFERROR(INDEX(单位档案!$D$6:$D$35,MATCH($E1309,单位档案!$A$6:$A$35,0)),"")),IFERROR(INDEX(项目档案!$G$6:$G$255,MATCH($C1309,项目档案!$A$6:$A$255,0)),"")),N(IFERROR(INDEX(单位档案!$D$6:$D$35,MATCH($E1309,单位档案!$A$6:$A$35,0)),"")))))</f>
        <v/>
      </c>
      <c r="J1309" s="22"/>
      <c r="K1309" s="22"/>
      <c r="L1309" s="33" t="str">
        <f aca="false">IF($B1309="","",IF(NOT(ISNUMBER($B1309)),"日期格式不对",IF($C1309="","未选项目编号",IF(LEFT($M1309,1)="⚠","项目编号不存在",IF($D1309="","未选业务类型",IF($E1309="","未选开票/付款方",IF(ISNA(MATCH($E1309,单位档案!$A$6:$A$35,0)),"开票方不在单位档案",IF($F1309="","未选收票/收款方",IF(ISNA(MATCH($F1309,单位档案!$A$6:$A$35,0)),"收款方不在单位档案",IF(NOT(ISNUMBER($H1309)),"金额须为数字",IF(AND($D1309="销项开票",$N1309="—"),"链条待确认","√")))))))))))</f>
        <v/>
      </c>
      <c r="M1309" s="34" t="str">
        <f aca="false">IF($C1309="","",IFERROR(INDEX(项目档案!$B$6:$B$255,MATCH($C1309,项目档案!$A$6:$A$255,0)),"⚠项目编号不存在"))</f>
        <v/>
      </c>
      <c r="N1309" s="35" t="str">
        <f aca="false">IF($E1309="","",IF($E1309=IFERROR(INDEX(项目档案!$D$6:$D$255,MATCH($C1309,项目档案!$A$6:$A$255,0)),""),"一级",IF($E1309=IFERROR(INDEX(项目档案!$F$6:$F$255,MATCH($C1309,项目档案!$A$6:$A$255,0)),""),"二级",IF($E1309=IFERROR(INDEX(项目档案!$H$6:$H$255,MATCH($C1309,项目档案!$A$6:$A$255,0)),""),"我方","—"))))</f>
        <v/>
      </c>
      <c r="O1309" s="36" t="n">
        <f aca="false">IF($D1309&lt;&gt;"销项开票",0,ROUND(N($H1309)*N($I1309),2))</f>
        <v>0</v>
      </c>
      <c r="P1309" s="36" t="n">
        <f aca="false">IF($D1309&lt;&gt;"销项开票",0,ROUND(N($H1309)-$O1309,2))</f>
        <v>0</v>
      </c>
      <c r="Q1309" s="37" t="str">
        <f aca="false">IF($E1309="","",N(IFERROR(INDEX(单位档案!$E$6:$E$35,MATCH($E1309,单位档案!$A$6:$A$35,0)),"")))</f>
        <v/>
      </c>
      <c r="R1309" s="37" t="str">
        <f aca="false">IF($E1309="","",N(IFERROR(INDEX(单位档案!$F$6:$F$35,MATCH($E1309,单位档案!$A$6:$A$35,0)),"")))</f>
        <v/>
      </c>
      <c r="S1309" s="36" t="n">
        <f aca="false">IF(OR($D1309&lt;&gt;"销项开票",IFERROR(INDEX(单位档案!$G$6:$G$35,MATCH($E1309,单位档案!$A$6:$A$35,0)),"")&lt;&gt;"是",N($Q1309)=0),0,IF(IFERROR(INDEX(单位档案!$H$6:$H$35,MATCH($E1309,单位档案!$A$6:$A$35,0)),"")="税差法",ROUND(N($H1309)/(1+$Q1309)*$Q1309-IF(N($R1309)=0,0,$P1309/(1+$R1309)*$R1309),2),ROUND(N($H1309)/(1+$Q1309)*$Q1309,2)))</f>
        <v>0</v>
      </c>
      <c r="T1309" s="36" t="n">
        <f aca="false">ROUND($S1309*N(IFERROR(INDEX(单位档案!$J$6:$J$35,MATCH($E1309,单位档案!$A$6:$A$35,0)),"")),2)</f>
        <v>0</v>
      </c>
      <c r="U1309" s="36" t="n">
        <f aca="false">IF($D1309&lt;&gt;"销项开票",0,ROUND(N($H1309)*N(IFERROR(INDEX(单位档案!$K$6:$K$35,MATCH($E1309,单位档案!$A$6:$A$35,0)),"")),2))</f>
        <v>0</v>
      </c>
      <c r="V1309" s="36" t="n">
        <f aca="false">IF(OR($D1309&lt;&gt;"销项开票",N($Q1309)=0),0,ROUND(N($H1309)/(1+$Q1309)*N(IFERROR(INDEX(单位档案!$L$6:$L$35,MATCH($E1309,单位档案!$A$6:$A$35,0)),"")),2))</f>
        <v>0</v>
      </c>
      <c r="W1309" s="36" t="n">
        <f aca="false">ROUND($S1309+$T1309+$U1309+$V1309,2)</f>
        <v>0</v>
      </c>
      <c r="X1309" s="35" t="str">
        <f aca="false">IF(OR($D1309="挂靠代收",$D1309="我方收款"),COUNTIFS($D$5:$D1309,"挂靠代收")+COUNTIFS($D$5:$D1309,"我方收款"),"")</f>
        <v/>
      </c>
      <c r="Y1309" s="35"/>
      <c r="Z1309" s="21" t="s">
        <v>111</v>
      </c>
    </row>
    <row r="1310" customFormat="false" ht="15.75" hidden="false" customHeight="true" outlineLevel="0" collapsed="false">
      <c r="A1310" s="32" t="str">
        <f aca="false">IF($B1310="","",ROW()-4)</f>
        <v/>
      </c>
      <c r="B1310" s="26"/>
      <c r="C1310" s="24"/>
      <c r="D1310" s="21"/>
      <c r="E1310" s="21"/>
      <c r="F1310" s="21"/>
      <c r="G1310" s="21"/>
      <c r="H1310" s="27"/>
      <c r="I1310" s="23" t="str">
        <f aca="false">IF($D1310&lt;&gt;"销项开票","",IF($N1310="一级",IF(IFERROR(INDEX(项目档案!$E$6:$E$255,MATCH($C1310,项目档案!$A$6:$A$255,0)),"")="",N(IFERROR(INDEX(单位档案!$D$6:$D$35,MATCH($E1310,单位档案!$A$6:$A$35,0)),"")),IFERROR(INDEX(项目档案!$E$6:$E$255,MATCH($C1310,项目档案!$A$6:$A$255,0)),"")),IF($N1310="二级",IF(IFERROR(INDEX(项目档案!$G$6:$G$255,MATCH($C1310,项目档案!$A$6:$A$255,0)),"")="",N(IFERROR(INDEX(单位档案!$D$6:$D$35,MATCH($E1310,单位档案!$A$6:$A$35,0)),"")),IFERROR(INDEX(项目档案!$G$6:$G$255,MATCH($C1310,项目档案!$A$6:$A$255,0)),"")),N(IFERROR(INDEX(单位档案!$D$6:$D$35,MATCH($E1310,单位档案!$A$6:$A$35,0)),"")))))</f>
        <v/>
      </c>
      <c r="J1310" s="22"/>
      <c r="K1310" s="22"/>
      <c r="L1310" s="33" t="str">
        <f aca="false">IF($B1310="","",IF(NOT(ISNUMBER($B1310)),"日期格式不对",IF($C1310="","未选项目编号",IF(LEFT($M1310,1)="⚠","项目编号不存在",IF($D1310="","未选业务类型",IF($E1310="","未选开票/付款方",IF(ISNA(MATCH($E1310,单位档案!$A$6:$A$35,0)),"开票方不在单位档案",IF($F1310="","未选收票/收款方",IF(ISNA(MATCH($F1310,单位档案!$A$6:$A$35,0)),"收款方不在单位档案",IF(NOT(ISNUMBER($H1310)),"金额须为数字",IF(AND($D1310="销项开票",$N1310="—"),"链条待确认","√")))))))))))</f>
        <v/>
      </c>
      <c r="M1310" s="34" t="str">
        <f aca="false">IF($C1310="","",IFERROR(INDEX(项目档案!$B$6:$B$255,MATCH($C1310,项目档案!$A$6:$A$255,0)),"⚠项目编号不存在"))</f>
        <v/>
      </c>
      <c r="N1310" s="35" t="str">
        <f aca="false">IF($E1310="","",IF($E1310=IFERROR(INDEX(项目档案!$D$6:$D$255,MATCH($C1310,项目档案!$A$6:$A$255,0)),""),"一级",IF($E1310=IFERROR(INDEX(项目档案!$F$6:$F$255,MATCH($C1310,项目档案!$A$6:$A$255,0)),""),"二级",IF($E1310=IFERROR(INDEX(项目档案!$H$6:$H$255,MATCH($C1310,项目档案!$A$6:$A$255,0)),""),"我方","—"))))</f>
        <v/>
      </c>
      <c r="O1310" s="36" t="n">
        <f aca="false">IF($D1310&lt;&gt;"销项开票",0,ROUND(N($H1310)*N($I1310),2))</f>
        <v>0</v>
      </c>
      <c r="P1310" s="36" t="n">
        <f aca="false">IF($D1310&lt;&gt;"销项开票",0,ROUND(N($H1310)-$O1310,2))</f>
        <v>0</v>
      </c>
      <c r="Q1310" s="37" t="str">
        <f aca="false">IF($E1310="","",N(IFERROR(INDEX(单位档案!$E$6:$E$35,MATCH($E1310,单位档案!$A$6:$A$35,0)),"")))</f>
        <v/>
      </c>
      <c r="R1310" s="37" t="str">
        <f aca="false">IF($E1310="","",N(IFERROR(INDEX(单位档案!$F$6:$F$35,MATCH($E1310,单位档案!$A$6:$A$35,0)),"")))</f>
        <v/>
      </c>
      <c r="S1310" s="36" t="n">
        <f aca="false">IF(OR($D1310&lt;&gt;"销项开票",IFERROR(INDEX(单位档案!$G$6:$G$35,MATCH($E1310,单位档案!$A$6:$A$35,0)),"")&lt;&gt;"是",N($Q1310)=0),0,IF(IFERROR(INDEX(单位档案!$H$6:$H$35,MATCH($E1310,单位档案!$A$6:$A$35,0)),"")="税差法",ROUND(N($H1310)/(1+$Q1310)*$Q1310-IF(N($R1310)=0,0,$P1310/(1+$R1310)*$R1310),2),ROUND(N($H1310)/(1+$Q1310)*$Q1310,2)))</f>
        <v>0</v>
      </c>
      <c r="T1310" s="36" t="n">
        <f aca="false">ROUND($S1310*N(IFERROR(INDEX(单位档案!$J$6:$J$35,MATCH($E1310,单位档案!$A$6:$A$35,0)),"")),2)</f>
        <v>0</v>
      </c>
      <c r="U1310" s="36" t="n">
        <f aca="false">IF($D1310&lt;&gt;"销项开票",0,ROUND(N($H1310)*N(IFERROR(INDEX(单位档案!$K$6:$K$35,MATCH($E1310,单位档案!$A$6:$A$35,0)),"")),2))</f>
        <v>0</v>
      </c>
      <c r="V1310" s="36" t="n">
        <f aca="false">IF(OR($D1310&lt;&gt;"销项开票",N($Q1310)=0),0,ROUND(N($H1310)/(1+$Q1310)*N(IFERROR(INDEX(单位档案!$L$6:$L$35,MATCH($E1310,单位档案!$A$6:$A$35,0)),"")),2))</f>
        <v>0</v>
      </c>
      <c r="W1310" s="36" t="n">
        <f aca="false">ROUND($S1310+$T1310+$U1310+$V1310,2)</f>
        <v>0</v>
      </c>
      <c r="X1310" s="35" t="str">
        <f aca="false">IF(OR($D1310="挂靠代收",$D1310="我方收款"),COUNTIFS($D$5:$D1310,"挂靠代收")+COUNTIFS($D$5:$D1310,"我方收款"),"")</f>
        <v/>
      </c>
      <c r="Y1310" s="35"/>
      <c r="Z1310" s="21" t="s">
        <v>111</v>
      </c>
    </row>
    <row r="1311" customFormat="false" ht="15.75" hidden="false" customHeight="true" outlineLevel="0" collapsed="false">
      <c r="A1311" s="32" t="str">
        <f aca="false">IF($B1311="","",ROW()-4)</f>
        <v/>
      </c>
      <c r="B1311" s="26"/>
      <c r="C1311" s="24"/>
      <c r="D1311" s="21"/>
      <c r="E1311" s="21"/>
      <c r="F1311" s="21"/>
      <c r="G1311" s="21"/>
      <c r="H1311" s="27"/>
      <c r="I1311" s="23" t="str">
        <f aca="false">IF($D1311&lt;&gt;"销项开票","",IF($N1311="一级",IF(IFERROR(INDEX(项目档案!$E$6:$E$255,MATCH($C1311,项目档案!$A$6:$A$255,0)),"")="",N(IFERROR(INDEX(单位档案!$D$6:$D$35,MATCH($E1311,单位档案!$A$6:$A$35,0)),"")),IFERROR(INDEX(项目档案!$E$6:$E$255,MATCH($C1311,项目档案!$A$6:$A$255,0)),"")),IF($N1311="二级",IF(IFERROR(INDEX(项目档案!$G$6:$G$255,MATCH($C1311,项目档案!$A$6:$A$255,0)),"")="",N(IFERROR(INDEX(单位档案!$D$6:$D$35,MATCH($E1311,单位档案!$A$6:$A$35,0)),"")),IFERROR(INDEX(项目档案!$G$6:$G$255,MATCH($C1311,项目档案!$A$6:$A$255,0)),"")),N(IFERROR(INDEX(单位档案!$D$6:$D$35,MATCH($E1311,单位档案!$A$6:$A$35,0)),"")))))</f>
        <v/>
      </c>
      <c r="J1311" s="22"/>
      <c r="K1311" s="22"/>
      <c r="L1311" s="33" t="str">
        <f aca="false">IF($B1311="","",IF(NOT(ISNUMBER($B1311)),"日期格式不对",IF($C1311="","未选项目编号",IF(LEFT($M1311,1)="⚠","项目编号不存在",IF($D1311="","未选业务类型",IF($E1311="","未选开票/付款方",IF(ISNA(MATCH($E1311,单位档案!$A$6:$A$35,0)),"开票方不在单位档案",IF($F1311="","未选收票/收款方",IF(ISNA(MATCH($F1311,单位档案!$A$6:$A$35,0)),"收款方不在单位档案",IF(NOT(ISNUMBER($H1311)),"金额须为数字",IF(AND($D1311="销项开票",$N1311="—"),"链条待确认","√")))))))))))</f>
        <v/>
      </c>
      <c r="M1311" s="34" t="str">
        <f aca="false">IF($C1311="","",IFERROR(INDEX(项目档案!$B$6:$B$255,MATCH($C1311,项目档案!$A$6:$A$255,0)),"⚠项目编号不存在"))</f>
        <v/>
      </c>
      <c r="N1311" s="35" t="str">
        <f aca="false">IF($E1311="","",IF($E1311=IFERROR(INDEX(项目档案!$D$6:$D$255,MATCH($C1311,项目档案!$A$6:$A$255,0)),""),"一级",IF($E1311=IFERROR(INDEX(项目档案!$F$6:$F$255,MATCH($C1311,项目档案!$A$6:$A$255,0)),""),"二级",IF($E1311=IFERROR(INDEX(项目档案!$H$6:$H$255,MATCH($C1311,项目档案!$A$6:$A$255,0)),""),"我方","—"))))</f>
        <v/>
      </c>
      <c r="O1311" s="36" t="n">
        <f aca="false">IF($D1311&lt;&gt;"销项开票",0,ROUND(N($H1311)*N($I1311),2))</f>
        <v>0</v>
      </c>
      <c r="P1311" s="36" t="n">
        <f aca="false">IF($D1311&lt;&gt;"销项开票",0,ROUND(N($H1311)-$O1311,2))</f>
        <v>0</v>
      </c>
      <c r="Q1311" s="37" t="str">
        <f aca="false">IF($E1311="","",N(IFERROR(INDEX(单位档案!$E$6:$E$35,MATCH($E1311,单位档案!$A$6:$A$35,0)),"")))</f>
        <v/>
      </c>
      <c r="R1311" s="37" t="str">
        <f aca="false">IF($E1311="","",N(IFERROR(INDEX(单位档案!$F$6:$F$35,MATCH($E1311,单位档案!$A$6:$A$35,0)),"")))</f>
        <v/>
      </c>
      <c r="S1311" s="36" t="n">
        <f aca="false">IF(OR($D1311&lt;&gt;"销项开票",IFERROR(INDEX(单位档案!$G$6:$G$35,MATCH($E1311,单位档案!$A$6:$A$35,0)),"")&lt;&gt;"是",N($Q1311)=0),0,IF(IFERROR(INDEX(单位档案!$H$6:$H$35,MATCH($E1311,单位档案!$A$6:$A$35,0)),"")="税差法",ROUND(N($H1311)/(1+$Q1311)*$Q1311-IF(N($R1311)=0,0,$P1311/(1+$R1311)*$R1311),2),ROUND(N($H1311)/(1+$Q1311)*$Q1311,2)))</f>
        <v>0</v>
      </c>
      <c r="T1311" s="36" t="n">
        <f aca="false">ROUND($S1311*N(IFERROR(INDEX(单位档案!$J$6:$J$35,MATCH($E1311,单位档案!$A$6:$A$35,0)),"")),2)</f>
        <v>0</v>
      </c>
      <c r="U1311" s="36" t="n">
        <f aca="false">IF($D1311&lt;&gt;"销项开票",0,ROUND(N($H1311)*N(IFERROR(INDEX(单位档案!$K$6:$K$35,MATCH($E1311,单位档案!$A$6:$A$35,0)),"")),2))</f>
        <v>0</v>
      </c>
      <c r="V1311" s="36" t="n">
        <f aca="false">IF(OR($D1311&lt;&gt;"销项开票",N($Q1311)=0),0,ROUND(N($H1311)/(1+$Q1311)*N(IFERROR(INDEX(单位档案!$L$6:$L$35,MATCH($E1311,单位档案!$A$6:$A$35,0)),"")),2))</f>
        <v>0</v>
      </c>
      <c r="W1311" s="36" t="n">
        <f aca="false">ROUND($S1311+$T1311+$U1311+$V1311,2)</f>
        <v>0</v>
      </c>
      <c r="X1311" s="35" t="str">
        <f aca="false">IF(OR($D1311="挂靠代收",$D1311="我方收款"),COUNTIFS($D$5:$D1311,"挂靠代收")+COUNTIFS($D$5:$D1311,"我方收款"),"")</f>
        <v/>
      </c>
      <c r="Y1311" s="35"/>
      <c r="Z1311" s="21" t="s">
        <v>111</v>
      </c>
    </row>
    <row r="1312" customFormat="false" ht="15.75" hidden="false" customHeight="true" outlineLevel="0" collapsed="false">
      <c r="A1312" s="32" t="str">
        <f aca="false">IF($B1312="","",ROW()-4)</f>
        <v/>
      </c>
      <c r="B1312" s="26"/>
      <c r="C1312" s="24"/>
      <c r="D1312" s="21"/>
      <c r="E1312" s="21"/>
      <c r="F1312" s="21"/>
      <c r="G1312" s="21"/>
      <c r="H1312" s="27"/>
      <c r="I1312" s="23" t="str">
        <f aca="false">IF($D1312&lt;&gt;"销项开票","",IF($N1312="一级",IF(IFERROR(INDEX(项目档案!$E$6:$E$255,MATCH($C1312,项目档案!$A$6:$A$255,0)),"")="",N(IFERROR(INDEX(单位档案!$D$6:$D$35,MATCH($E1312,单位档案!$A$6:$A$35,0)),"")),IFERROR(INDEX(项目档案!$E$6:$E$255,MATCH($C1312,项目档案!$A$6:$A$255,0)),"")),IF($N1312="二级",IF(IFERROR(INDEX(项目档案!$G$6:$G$255,MATCH($C1312,项目档案!$A$6:$A$255,0)),"")="",N(IFERROR(INDEX(单位档案!$D$6:$D$35,MATCH($E1312,单位档案!$A$6:$A$35,0)),"")),IFERROR(INDEX(项目档案!$G$6:$G$255,MATCH($C1312,项目档案!$A$6:$A$255,0)),"")),N(IFERROR(INDEX(单位档案!$D$6:$D$35,MATCH($E1312,单位档案!$A$6:$A$35,0)),"")))))</f>
        <v/>
      </c>
      <c r="J1312" s="22"/>
      <c r="K1312" s="22"/>
      <c r="L1312" s="33" t="str">
        <f aca="false">IF($B1312="","",IF(NOT(ISNUMBER($B1312)),"日期格式不对",IF($C1312="","未选项目编号",IF(LEFT($M1312,1)="⚠","项目编号不存在",IF($D1312="","未选业务类型",IF($E1312="","未选开票/付款方",IF(ISNA(MATCH($E1312,单位档案!$A$6:$A$35,0)),"开票方不在单位档案",IF($F1312="","未选收票/收款方",IF(ISNA(MATCH($F1312,单位档案!$A$6:$A$35,0)),"收款方不在单位档案",IF(NOT(ISNUMBER($H1312)),"金额须为数字",IF(AND($D1312="销项开票",$N1312="—"),"链条待确认","√")))))))))))</f>
        <v/>
      </c>
      <c r="M1312" s="34" t="str">
        <f aca="false">IF($C1312="","",IFERROR(INDEX(项目档案!$B$6:$B$255,MATCH($C1312,项目档案!$A$6:$A$255,0)),"⚠项目编号不存在"))</f>
        <v/>
      </c>
      <c r="N1312" s="35" t="str">
        <f aca="false">IF($E1312="","",IF($E1312=IFERROR(INDEX(项目档案!$D$6:$D$255,MATCH($C1312,项目档案!$A$6:$A$255,0)),""),"一级",IF($E1312=IFERROR(INDEX(项目档案!$F$6:$F$255,MATCH($C1312,项目档案!$A$6:$A$255,0)),""),"二级",IF($E1312=IFERROR(INDEX(项目档案!$H$6:$H$255,MATCH($C1312,项目档案!$A$6:$A$255,0)),""),"我方","—"))))</f>
        <v/>
      </c>
      <c r="O1312" s="36" t="n">
        <f aca="false">IF($D1312&lt;&gt;"销项开票",0,ROUND(N($H1312)*N($I1312),2))</f>
        <v>0</v>
      </c>
      <c r="P1312" s="36" t="n">
        <f aca="false">IF($D1312&lt;&gt;"销项开票",0,ROUND(N($H1312)-$O1312,2))</f>
        <v>0</v>
      </c>
      <c r="Q1312" s="37" t="str">
        <f aca="false">IF($E1312="","",N(IFERROR(INDEX(单位档案!$E$6:$E$35,MATCH($E1312,单位档案!$A$6:$A$35,0)),"")))</f>
        <v/>
      </c>
      <c r="R1312" s="37" t="str">
        <f aca="false">IF($E1312="","",N(IFERROR(INDEX(单位档案!$F$6:$F$35,MATCH($E1312,单位档案!$A$6:$A$35,0)),"")))</f>
        <v/>
      </c>
      <c r="S1312" s="36" t="n">
        <f aca="false">IF(OR($D1312&lt;&gt;"销项开票",IFERROR(INDEX(单位档案!$G$6:$G$35,MATCH($E1312,单位档案!$A$6:$A$35,0)),"")&lt;&gt;"是",N($Q1312)=0),0,IF(IFERROR(INDEX(单位档案!$H$6:$H$35,MATCH($E1312,单位档案!$A$6:$A$35,0)),"")="税差法",ROUND(N($H1312)/(1+$Q1312)*$Q1312-IF(N($R1312)=0,0,$P1312/(1+$R1312)*$R1312),2),ROUND(N($H1312)/(1+$Q1312)*$Q1312,2)))</f>
        <v>0</v>
      </c>
      <c r="T1312" s="36" t="n">
        <f aca="false">ROUND($S1312*N(IFERROR(INDEX(单位档案!$J$6:$J$35,MATCH($E1312,单位档案!$A$6:$A$35,0)),"")),2)</f>
        <v>0</v>
      </c>
      <c r="U1312" s="36" t="n">
        <f aca="false">IF($D1312&lt;&gt;"销项开票",0,ROUND(N($H1312)*N(IFERROR(INDEX(单位档案!$K$6:$K$35,MATCH($E1312,单位档案!$A$6:$A$35,0)),"")),2))</f>
        <v>0</v>
      </c>
      <c r="V1312" s="36" t="n">
        <f aca="false">IF(OR($D1312&lt;&gt;"销项开票",N($Q1312)=0),0,ROUND(N($H1312)/(1+$Q1312)*N(IFERROR(INDEX(单位档案!$L$6:$L$35,MATCH($E1312,单位档案!$A$6:$A$35,0)),"")),2))</f>
        <v>0</v>
      </c>
      <c r="W1312" s="36" t="n">
        <f aca="false">ROUND($S1312+$T1312+$U1312+$V1312,2)</f>
        <v>0</v>
      </c>
      <c r="X1312" s="35" t="str">
        <f aca="false">IF(OR($D1312="挂靠代收",$D1312="我方收款"),COUNTIFS($D$5:$D1312,"挂靠代收")+COUNTIFS($D$5:$D1312,"我方收款"),"")</f>
        <v/>
      </c>
      <c r="Y1312" s="35"/>
      <c r="Z1312" s="21" t="s">
        <v>111</v>
      </c>
    </row>
    <row r="1313" customFormat="false" ht="15.75" hidden="false" customHeight="true" outlineLevel="0" collapsed="false">
      <c r="A1313" s="32" t="str">
        <f aca="false">IF($B1313="","",ROW()-4)</f>
        <v/>
      </c>
      <c r="B1313" s="26"/>
      <c r="C1313" s="24"/>
      <c r="D1313" s="21"/>
      <c r="E1313" s="21"/>
      <c r="F1313" s="21"/>
      <c r="G1313" s="21"/>
      <c r="H1313" s="27"/>
      <c r="I1313" s="23" t="str">
        <f aca="false">IF($D1313&lt;&gt;"销项开票","",IF($N1313="一级",IF(IFERROR(INDEX(项目档案!$E$6:$E$255,MATCH($C1313,项目档案!$A$6:$A$255,0)),"")="",N(IFERROR(INDEX(单位档案!$D$6:$D$35,MATCH($E1313,单位档案!$A$6:$A$35,0)),"")),IFERROR(INDEX(项目档案!$E$6:$E$255,MATCH($C1313,项目档案!$A$6:$A$255,0)),"")),IF($N1313="二级",IF(IFERROR(INDEX(项目档案!$G$6:$G$255,MATCH($C1313,项目档案!$A$6:$A$255,0)),"")="",N(IFERROR(INDEX(单位档案!$D$6:$D$35,MATCH($E1313,单位档案!$A$6:$A$35,0)),"")),IFERROR(INDEX(项目档案!$G$6:$G$255,MATCH($C1313,项目档案!$A$6:$A$255,0)),"")),N(IFERROR(INDEX(单位档案!$D$6:$D$35,MATCH($E1313,单位档案!$A$6:$A$35,0)),"")))))</f>
        <v/>
      </c>
      <c r="J1313" s="22"/>
      <c r="K1313" s="22"/>
      <c r="L1313" s="33" t="str">
        <f aca="false">IF($B1313="","",IF(NOT(ISNUMBER($B1313)),"日期格式不对",IF($C1313="","未选项目编号",IF(LEFT($M1313,1)="⚠","项目编号不存在",IF($D1313="","未选业务类型",IF($E1313="","未选开票/付款方",IF(ISNA(MATCH($E1313,单位档案!$A$6:$A$35,0)),"开票方不在单位档案",IF($F1313="","未选收票/收款方",IF(ISNA(MATCH($F1313,单位档案!$A$6:$A$35,0)),"收款方不在单位档案",IF(NOT(ISNUMBER($H1313)),"金额须为数字",IF(AND($D1313="销项开票",$N1313="—"),"链条待确认","√")))))))))))</f>
        <v/>
      </c>
      <c r="M1313" s="34" t="str">
        <f aca="false">IF($C1313="","",IFERROR(INDEX(项目档案!$B$6:$B$255,MATCH($C1313,项目档案!$A$6:$A$255,0)),"⚠项目编号不存在"))</f>
        <v/>
      </c>
      <c r="N1313" s="35" t="str">
        <f aca="false">IF($E1313="","",IF($E1313=IFERROR(INDEX(项目档案!$D$6:$D$255,MATCH($C1313,项目档案!$A$6:$A$255,0)),""),"一级",IF($E1313=IFERROR(INDEX(项目档案!$F$6:$F$255,MATCH($C1313,项目档案!$A$6:$A$255,0)),""),"二级",IF($E1313=IFERROR(INDEX(项目档案!$H$6:$H$255,MATCH($C1313,项目档案!$A$6:$A$255,0)),""),"我方","—"))))</f>
        <v/>
      </c>
      <c r="O1313" s="36" t="n">
        <f aca="false">IF($D1313&lt;&gt;"销项开票",0,ROUND(N($H1313)*N($I1313),2))</f>
        <v>0</v>
      </c>
      <c r="P1313" s="36" t="n">
        <f aca="false">IF($D1313&lt;&gt;"销项开票",0,ROUND(N($H1313)-$O1313,2))</f>
        <v>0</v>
      </c>
      <c r="Q1313" s="37" t="str">
        <f aca="false">IF($E1313="","",N(IFERROR(INDEX(单位档案!$E$6:$E$35,MATCH($E1313,单位档案!$A$6:$A$35,0)),"")))</f>
        <v/>
      </c>
      <c r="R1313" s="37" t="str">
        <f aca="false">IF($E1313="","",N(IFERROR(INDEX(单位档案!$F$6:$F$35,MATCH($E1313,单位档案!$A$6:$A$35,0)),"")))</f>
        <v/>
      </c>
      <c r="S1313" s="36" t="n">
        <f aca="false">IF(OR($D1313&lt;&gt;"销项开票",IFERROR(INDEX(单位档案!$G$6:$G$35,MATCH($E1313,单位档案!$A$6:$A$35,0)),"")&lt;&gt;"是",N($Q1313)=0),0,IF(IFERROR(INDEX(单位档案!$H$6:$H$35,MATCH($E1313,单位档案!$A$6:$A$35,0)),"")="税差法",ROUND(N($H1313)/(1+$Q1313)*$Q1313-IF(N($R1313)=0,0,$P1313/(1+$R1313)*$R1313),2),ROUND(N($H1313)/(1+$Q1313)*$Q1313,2)))</f>
        <v>0</v>
      </c>
      <c r="T1313" s="36" t="n">
        <f aca="false">ROUND($S1313*N(IFERROR(INDEX(单位档案!$J$6:$J$35,MATCH($E1313,单位档案!$A$6:$A$35,0)),"")),2)</f>
        <v>0</v>
      </c>
      <c r="U1313" s="36" t="n">
        <f aca="false">IF($D1313&lt;&gt;"销项开票",0,ROUND(N($H1313)*N(IFERROR(INDEX(单位档案!$K$6:$K$35,MATCH($E1313,单位档案!$A$6:$A$35,0)),"")),2))</f>
        <v>0</v>
      </c>
      <c r="V1313" s="36" t="n">
        <f aca="false">IF(OR($D1313&lt;&gt;"销项开票",N($Q1313)=0),0,ROUND(N($H1313)/(1+$Q1313)*N(IFERROR(INDEX(单位档案!$L$6:$L$35,MATCH($E1313,单位档案!$A$6:$A$35,0)),"")),2))</f>
        <v>0</v>
      </c>
      <c r="W1313" s="36" t="n">
        <f aca="false">ROUND($S1313+$T1313+$U1313+$V1313,2)</f>
        <v>0</v>
      </c>
      <c r="X1313" s="35" t="str">
        <f aca="false">IF(OR($D1313="挂靠代收",$D1313="我方收款"),COUNTIFS($D$5:$D1313,"挂靠代收")+COUNTIFS($D$5:$D1313,"我方收款"),"")</f>
        <v/>
      </c>
      <c r="Y1313" s="35"/>
      <c r="Z1313" s="21" t="s">
        <v>111</v>
      </c>
    </row>
    <row r="1314" customFormat="false" ht="15.75" hidden="false" customHeight="true" outlineLevel="0" collapsed="false">
      <c r="A1314" s="32" t="str">
        <f aca="false">IF($B1314="","",ROW()-4)</f>
        <v/>
      </c>
      <c r="B1314" s="26"/>
      <c r="C1314" s="24"/>
      <c r="D1314" s="21"/>
      <c r="E1314" s="21"/>
      <c r="F1314" s="21"/>
      <c r="G1314" s="21"/>
      <c r="H1314" s="27"/>
      <c r="I1314" s="23" t="str">
        <f aca="false">IF($D1314&lt;&gt;"销项开票","",IF($N1314="一级",IF(IFERROR(INDEX(项目档案!$E$6:$E$255,MATCH($C1314,项目档案!$A$6:$A$255,0)),"")="",N(IFERROR(INDEX(单位档案!$D$6:$D$35,MATCH($E1314,单位档案!$A$6:$A$35,0)),"")),IFERROR(INDEX(项目档案!$E$6:$E$255,MATCH($C1314,项目档案!$A$6:$A$255,0)),"")),IF($N1314="二级",IF(IFERROR(INDEX(项目档案!$G$6:$G$255,MATCH($C1314,项目档案!$A$6:$A$255,0)),"")="",N(IFERROR(INDEX(单位档案!$D$6:$D$35,MATCH($E1314,单位档案!$A$6:$A$35,0)),"")),IFERROR(INDEX(项目档案!$G$6:$G$255,MATCH($C1314,项目档案!$A$6:$A$255,0)),"")),N(IFERROR(INDEX(单位档案!$D$6:$D$35,MATCH($E1314,单位档案!$A$6:$A$35,0)),"")))))</f>
        <v/>
      </c>
      <c r="J1314" s="22"/>
      <c r="K1314" s="22"/>
      <c r="L1314" s="33" t="str">
        <f aca="false">IF($B1314="","",IF(NOT(ISNUMBER($B1314)),"日期格式不对",IF($C1314="","未选项目编号",IF(LEFT($M1314,1)="⚠","项目编号不存在",IF($D1314="","未选业务类型",IF($E1314="","未选开票/付款方",IF(ISNA(MATCH($E1314,单位档案!$A$6:$A$35,0)),"开票方不在单位档案",IF($F1314="","未选收票/收款方",IF(ISNA(MATCH($F1314,单位档案!$A$6:$A$35,0)),"收款方不在单位档案",IF(NOT(ISNUMBER($H1314)),"金额须为数字",IF(AND($D1314="销项开票",$N1314="—"),"链条待确认","√")))))))))))</f>
        <v/>
      </c>
      <c r="M1314" s="34" t="str">
        <f aca="false">IF($C1314="","",IFERROR(INDEX(项目档案!$B$6:$B$255,MATCH($C1314,项目档案!$A$6:$A$255,0)),"⚠项目编号不存在"))</f>
        <v/>
      </c>
      <c r="N1314" s="35" t="str">
        <f aca="false">IF($E1314="","",IF($E1314=IFERROR(INDEX(项目档案!$D$6:$D$255,MATCH($C1314,项目档案!$A$6:$A$255,0)),""),"一级",IF($E1314=IFERROR(INDEX(项目档案!$F$6:$F$255,MATCH($C1314,项目档案!$A$6:$A$255,0)),""),"二级",IF($E1314=IFERROR(INDEX(项目档案!$H$6:$H$255,MATCH($C1314,项目档案!$A$6:$A$255,0)),""),"我方","—"))))</f>
        <v/>
      </c>
      <c r="O1314" s="36" t="n">
        <f aca="false">IF($D1314&lt;&gt;"销项开票",0,ROUND(N($H1314)*N($I1314),2))</f>
        <v>0</v>
      </c>
      <c r="P1314" s="36" t="n">
        <f aca="false">IF($D1314&lt;&gt;"销项开票",0,ROUND(N($H1314)-$O1314,2))</f>
        <v>0</v>
      </c>
      <c r="Q1314" s="37" t="str">
        <f aca="false">IF($E1314="","",N(IFERROR(INDEX(单位档案!$E$6:$E$35,MATCH($E1314,单位档案!$A$6:$A$35,0)),"")))</f>
        <v/>
      </c>
      <c r="R1314" s="37" t="str">
        <f aca="false">IF($E1314="","",N(IFERROR(INDEX(单位档案!$F$6:$F$35,MATCH($E1314,单位档案!$A$6:$A$35,0)),"")))</f>
        <v/>
      </c>
      <c r="S1314" s="36" t="n">
        <f aca="false">IF(OR($D1314&lt;&gt;"销项开票",IFERROR(INDEX(单位档案!$G$6:$G$35,MATCH($E1314,单位档案!$A$6:$A$35,0)),"")&lt;&gt;"是",N($Q1314)=0),0,IF(IFERROR(INDEX(单位档案!$H$6:$H$35,MATCH($E1314,单位档案!$A$6:$A$35,0)),"")="税差法",ROUND(N($H1314)/(1+$Q1314)*$Q1314-IF(N($R1314)=0,0,$P1314/(1+$R1314)*$R1314),2),ROUND(N($H1314)/(1+$Q1314)*$Q1314,2)))</f>
        <v>0</v>
      </c>
      <c r="T1314" s="36" t="n">
        <f aca="false">ROUND($S1314*N(IFERROR(INDEX(单位档案!$J$6:$J$35,MATCH($E1314,单位档案!$A$6:$A$35,0)),"")),2)</f>
        <v>0</v>
      </c>
      <c r="U1314" s="36" t="n">
        <f aca="false">IF($D1314&lt;&gt;"销项开票",0,ROUND(N($H1314)*N(IFERROR(INDEX(单位档案!$K$6:$K$35,MATCH($E1314,单位档案!$A$6:$A$35,0)),"")),2))</f>
        <v>0</v>
      </c>
      <c r="V1314" s="36" t="n">
        <f aca="false">IF(OR($D1314&lt;&gt;"销项开票",N($Q1314)=0),0,ROUND(N($H1314)/(1+$Q1314)*N(IFERROR(INDEX(单位档案!$L$6:$L$35,MATCH($E1314,单位档案!$A$6:$A$35,0)),"")),2))</f>
        <v>0</v>
      </c>
      <c r="W1314" s="36" t="n">
        <f aca="false">ROUND($S1314+$T1314+$U1314+$V1314,2)</f>
        <v>0</v>
      </c>
      <c r="X1314" s="35" t="str">
        <f aca="false">IF(OR($D1314="挂靠代收",$D1314="我方收款"),COUNTIFS($D$5:$D1314,"挂靠代收")+COUNTIFS($D$5:$D1314,"我方收款"),"")</f>
        <v/>
      </c>
      <c r="Y1314" s="35"/>
      <c r="Z1314" s="21" t="s">
        <v>111</v>
      </c>
    </row>
    <row r="1315" customFormat="false" ht="15.75" hidden="false" customHeight="true" outlineLevel="0" collapsed="false">
      <c r="A1315" s="32" t="str">
        <f aca="false">IF($B1315="","",ROW()-4)</f>
        <v/>
      </c>
      <c r="B1315" s="26"/>
      <c r="C1315" s="24"/>
      <c r="D1315" s="21"/>
      <c r="E1315" s="21"/>
      <c r="F1315" s="21"/>
      <c r="G1315" s="21"/>
      <c r="H1315" s="27"/>
      <c r="I1315" s="23" t="str">
        <f aca="false">IF($D1315&lt;&gt;"销项开票","",IF($N1315="一级",IF(IFERROR(INDEX(项目档案!$E$6:$E$255,MATCH($C1315,项目档案!$A$6:$A$255,0)),"")="",N(IFERROR(INDEX(单位档案!$D$6:$D$35,MATCH($E1315,单位档案!$A$6:$A$35,0)),"")),IFERROR(INDEX(项目档案!$E$6:$E$255,MATCH($C1315,项目档案!$A$6:$A$255,0)),"")),IF($N1315="二级",IF(IFERROR(INDEX(项目档案!$G$6:$G$255,MATCH($C1315,项目档案!$A$6:$A$255,0)),"")="",N(IFERROR(INDEX(单位档案!$D$6:$D$35,MATCH($E1315,单位档案!$A$6:$A$35,0)),"")),IFERROR(INDEX(项目档案!$G$6:$G$255,MATCH($C1315,项目档案!$A$6:$A$255,0)),"")),N(IFERROR(INDEX(单位档案!$D$6:$D$35,MATCH($E1315,单位档案!$A$6:$A$35,0)),"")))))</f>
        <v/>
      </c>
      <c r="J1315" s="22"/>
      <c r="K1315" s="22"/>
      <c r="L1315" s="33" t="str">
        <f aca="false">IF($B1315="","",IF(NOT(ISNUMBER($B1315)),"日期格式不对",IF($C1315="","未选项目编号",IF(LEFT($M1315,1)="⚠","项目编号不存在",IF($D1315="","未选业务类型",IF($E1315="","未选开票/付款方",IF(ISNA(MATCH($E1315,单位档案!$A$6:$A$35,0)),"开票方不在单位档案",IF($F1315="","未选收票/收款方",IF(ISNA(MATCH($F1315,单位档案!$A$6:$A$35,0)),"收款方不在单位档案",IF(NOT(ISNUMBER($H1315)),"金额须为数字",IF(AND($D1315="销项开票",$N1315="—"),"链条待确认","√")))))))))))</f>
        <v/>
      </c>
      <c r="M1315" s="34" t="str">
        <f aca="false">IF($C1315="","",IFERROR(INDEX(项目档案!$B$6:$B$255,MATCH($C1315,项目档案!$A$6:$A$255,0)),"⚠项目编号不存在"))</f>
        <v/>
      </c>
      <c r="N1315" s="35" t="str">
        <f aca="false">IF($E1315="","",IF($E1315=IFERROR(INDEX(项目档案!$D$6:$D$255,MATCH($C1315,项目档案!$A$6:$A$255,0)),""),"一级",IF($E1315=IFERROR(INDEX(项目档案!$F$6:$F$255,MATCH($C1315,项目档案!$A$6:$A$255,0)),""),"二级",IF($E1315=IFERROR(INDEX(项目档案!$H$6:$H$255,MATCH($C1315,项目档案!$A$6:$A$255,0)),""),"我方","—"))))</f>
        <v/>
      </c>
      <c r="O1315" s="36" t="n">
        <f aca="false">IF($D1315&lt;&gt;"销项开票",0,ROUND(N($H1315)*N($I1315),2))</f>
        <v>0</v>
      </c>
      <c r="P1315" s="36" t="n">
        <f aca="false">IF($D1315&lt;&gt;"销项开票",0,ROUND(N($H1315)-$O1315,2))</f>
        <v>0</v>
      </c>
      <c r="Q1315" s="37" t="str">
        <f aca="false">IF($E1315="","",N(IFERROR(INDEX(单位档案!$E$6:$E$35,MATCH($E1315,单位档案!$A$6:$A$35,0)),"")))</f>
        <v/>
      </c>
      <c r="R1315" s="37" t="str">
        <f aca="false">IF($E1315="","",N(IFERROR(INDEX(单位档案!$F$6:$F$35,MATCH($E1315,单位档案!$A$6:$A$35,0)),"")))</f>
        <v/>
      </c>
      <c r="S1315" s="36" t="n">
        <f aca="false">IF(OR($D1315&lt;&gt;"销项开票",IFERROR(INDEX(单位档案!$G$6:$G$35,MATCH($E1315,单位档案!$A$6:$A$35,0)),"")&lt;&gt;"是",N($Q1315)=0),0,IF(IFERROR(INDEX(单位档案!$H$6:$H$35,MATCH($E1315,单位档案!$A$6:$A$35,0)),"")="税差法",ROUND(N($H1315)/(1+$Q1315)*$Q1315-IF(N($R1315)=0,0,$P1315/(1+$R1315)*$R1315),2),ROUND(N($H1315)/(1+$Q1315)*$Q1315,2)))</f>
        <v>0</v>
      </c>
      <c r="T1315" s="36" t="n">
        <f aca="false">ROUND($S1315*N(IFERROR(INDEX(单位档案!$J$6:$J$35,MATCH($E1315,单位档案!$A$6:$A$35,0)),"")),2)</f>
        <v>0</v>
      </c>
      <c r="U1315" s="36" t="n">
        <f aca="false">IF($D1315&lt;&gt;"销项开票",0,ROUND(N($H1315)*N(IFERROR(INDEX(单位档案!$K$6:$K$35,MATCH($E1315,单位档案!$A$6:$A$35,0)),"")),2))</f>
        <v>0</v>
      </c>
      <c r="V1315" s="36" t="n">
        <f aca="false">IF(OR($D1315&lt;&gt;"销项开票",N($Q1315)=0),0,ROUND(N($H1315)/(1+$Q1315)*N(IFERROR(INDEX(单位档案!$L$6:$L$35,MATCH($E1315,单位档案!$A$6:$A$35,0)),"")),2))</f>
        <v>0</v>
      </c>
      <c r="W1315" s="36" t="n">
        <f aca="false">ROUND($S1315+$T1315+$U1315+$V1315,2)</f>
        <v>0</v>
      </c>
      <c r="X1315" s="35" t="str">
        <f aca="false">IF(OR($D1315="挂靠代收",$D1315="我方收款"),COUNTIFS($D$5:$D1315,"挂靠代收")+COUNTIFS($D$5:$D1315,"我方收款"),"")</f>
        <v/>
      </c>
      <c r="Y1315" s="35"/>
      <c r="Z1315" s="21" t="s">
        <v>111</v>
      </c>
    </row>
    <row r="1316" customFormat="false" ht="15.75" hidden="false" customHeight="true" outlineLevel="0" collapsed="false">
      <c r="A1316" s="32" t="str">
        <f aca="false">IF($B1316="","",ROW()-4)</f>
        <v/>
      </c>
      <c r="B1316" s="26"/>
      <c r="C1316" s="24"/>
      <c r="D1316" s="21"/>
      <c r="E1316" s="21"/>
      <c r="F1316" s="21"/>
      <c r="G1316" s="21"/>
      <c r="H1316" s="27"/>
      <c r="I1316" s="23" t="str">
        <f aca="false">IF($D1316&lt;&gt;"销项开票","",IF($N1316="一级",IF(IFERROR(INDEX(项目档案!$E$6:$E$255,MATCH($C1316,项目档案!$A$6:$A$255,0)),"")="",N(IFERROR(INDEX(单位档案!$D$6:$D$35,MATCH($E1316,单位档案!$A$6:$A$35,0)),"")),IFERROR(INDEX(项目档案!$E$6:$E$255,MATCH($C1316,项目档案!$A$6:$A$255,0)),"")),IF($N1316="二级",IF(IFERROR(INDEX(项目档案!$G$6:$G$255,MATCH($C1316,项目档案!$A$6:$A$255,0)),"")="",N(IFERROR(INDEX(单位档案!$D$6:$D$35,MATCH($E1316,单位档案!$A$6:$A$35,0)),"")),IFERROR(INDEX(项目档案!$G$6:$G$255,MATCH($C1316,项目档案!$A$6:$A$255,0)),"")),N(IFERROR(INDEX(单位档案!$D$6:$D$35,MATCH($E1316,单位档案!$A$6:$A$35,0)),"")))))</f>
        <v/>
      </c>
      <c r="J1316" s="22"/>
      <c r="K1316" s="22"/>
      <c r="L1316" s="33" t="str">
        <f aca="false">IF($B1316="","",IF(NOT(ISNUMBER($B1316)),"日期格式不对",IF($C1316="","未选项目编号",IF(LEFT($M1316,1)="⚠","项目编号不存在",IF($D1316="","未选业务类型",IF($E1316="","未选开票/付款方",IF(ISNA(MATCH($E1316,单位档案!$A$6:$A$35,0)),"开票方不在单位档案",IF($F1316="","未选收票/收款方",IF(ISNA(MATCH($F1316,单位档案!$A$6:$A$35,0)),"收款方不在单位档案",IF(NOT(ISNUMBER($H1316)),"金额须为数字",IF(AND($D1316="销项开票",$N1316="—"),"链条待确认","√")))))))))))</f>
        <v/>
      </c>
      <c r="M1316" s="34" t="str">
        <f aca="false">IF($C1316="","",IFERROR(INDEX(项目档案!$B$6:$B$255,MATCH($C1316,项目档案!$A$6:$A$255,0)),"⚠项目编号不存在"))</f>
        <v/>
      </c>
      <c r="N1316" s="35" t="str">
        <f aca="false">IF($E1316="","",IF($E1316=IFERROR(INDEX(项目档案!$D$6:$D$255,MATCH($C1316,项目档案!$A$6:$A$255,0)),""),"一级",IF($E1316=IFERROR(INDEX(项目档案!$F$6:$F$255,MATCH($C1316,项目档案!$A$6:$A$255,0)),""),"二级",IF($E1316=IFERROR(INDEX(项目档案!$H$6:$H$255,MATCH($C1316,项目档案!$A$6:$A$255,0)),""),"我方","—"))))</f>
        <v/>
      </c>
      <c r="O1316" s="36" t="n">
        <f aca="false">IF($D1316&lt;&gt;"销项开票",0,ROUND(N($H1316)*N($I1316),2))</f>
        <v>0</v>
      </c>
      <c r="P1316" s="36" t="n">
        <f aca="false">IF($D1316&lt;&gt;"销项开票",0,ROUND(N($H1316)-$O1316,2))</f>
        <v>0</v>
      </c>
      <c r="Q1316" s="37" t="str">
        <f aca="false">IF($E1316="","",N(IFERROR(INDEX(单位档案!$E$6:$E$35,MATCH($E1316,单位档案!$A$6:$A$35,0)),"")))</f>
        <v/>
      </c>
      <c r="R1316" s="37" t="str">
        <f aca="false">IF($E1316="","",N(IFERROR(INDEX(单位档案!$F$6:$F$35,MATCH($E1316,单位档案!$A$6:$A$35,0)),"")))</f>
        <v/>
      </c>
      <c r="S1316" s="36" t="n">
        <f aca="false">IF(OR($D1316&lt;&gt;"销项开票",IFERROR(INDEX(单位档案!$G$6:$G$35,MATCH($E1316,单位档案!$A$6:$A$35,0)),"")&lt;&gt;"是",N($Q1316)=0),0,IF(IFERROR(INDEX(单位档案!$H$6:$H$35,MATCH($E1316,单位档案!$A$6:$A$35,0)),"")="税差法",ROUND(N($H1316)/(1+$Q1316)*$Q1316-IF(N($R1316)=0,0,$P1316/(1+$R1316)*$R1316),2),ROUND(N($H1316)/(1+$Q1316)*$Q1316,2)))</f>
        <v>0</v>
      </c>
      <c r="T1316" s="36" t="n">
        <f aca="false">ROUND($S1316*N(IFERROR(INDEX(单位档案!$J$6:$J$35,MATCH($E1316,单位档案!$A$6:$A$35,0)),"")),2)</f>
        <v>0</v>
      </c>
      <c r="U1316" s="36" t="n">
        <f aca="false">IF($D1316&lt;&gt;"销项开票",0,ROUND(N($H1316)*N(IFERROR(INDEX(单位档案!$K$6:$K$35,MATCH($E1316,单位档案!$A$6:$A$35,0)),"")),2))</f>
        <v>0</v>
      </c>
      <c r="V1316" s="36" t="n">
        <f aca="false">IF(OR($D1316&lt;&gt;"销项开票",N($Q1316)=0),0,ROUND(N($H1316)/(1+$Q1316)*N(IFERROR(INDEX(单位档案!$L$6:$L$35,MATCH($E1316,单位档案!$A$6:$A$35,0)),"")),2))</f>
        <v>0</v>
      </c>
      <c r="W1316" s="36" t="n">
        <f aca="false">ROUND($S1316+$T1316+$U1316+$V1316,2)</f>
        <v>0</v>
      </c>
      <c r="X1316" s="35" t="str">
        <f aca="false">IF(OR($D1316="挂靠代收",$D1316="我方收款"),COUNTIFS($D$5:$D1316,"挂靠代收")+COUNTIFS($D$5:$D1316,"我方收款"),"")</f>
        <v/>
      </c>
      <c r="Y1316" s="35"/>
      <c r="Z1316" s="21" t="s">
        <v>111</v>
      </c>
    </row>
    <row r="1317" customFormat="false" ht="15.75" hidden="false" customHeight="true" outlineLevel="0" collapsed="false">
      <c r="A1317" s="32" t="str">
        <f aca="false">IF($B1317="","",ROW()-4)</f>
        <v/>
      </c>
      <c r="B1317" s="26"/>
      <c r="C1317" s="24"/>
      <c r="D1317" s="21"/>
      <c r="E1317" s="21"/>
      <c r="F1317" s="21"/>
      <c r="G1317" s="21"/>
      <c r="H1317" s="27"/>
      <c r="I1317" s="23" t="str">
        <f aca="false">IF($D1317&lt;&gt;"销项开票","",IF($N1317="一级",IF(IFERROR(INDEX(项目档案!$E$6:$E$255,MATCH($C1317,项目档案!$A$6:$A$255,0)),"")="",N(IFERROR(INDEX(单位档案!$D$6:$D$35,MATCH($E1317,单位档案!$A$6:$A$35,0)),"")),IFERROR(INDEX(项目档案!$E$6:$E$255,MATCH($C1317,项目档案!$A$6:$A$255,0)),"")),IF($N1317="二级",IF(IFERROR(INDEX(项目档案!$G$6:$G$255,MATCH($C1317,项目档案!$A$6:$A$255,0)),"")="",N(IFERROR(INDEX(单位档案!$D$6:$D$35,MATCH($E1317,单位档案!$A$6:$A$35,0)),"")),IFERROR(INDEX(项目档案!$G$6:$G$255,MATCH($C1317,项目档案!$A$6:$A$255,0)),"")),N(IFERROR(INDEX(单位档案!$D$6:$D$35,MATCH($E1317,单位档案!$A$6:$A$35,0)),"")))))</f>
        <v/>
      </c>
      <c r="J1317" s="22"/>
      <c r="K1317" s="22"/>
      <c r="L1317" s="33" t="str">
        <f aca="false">IF($B1317="","",IF(NOT(ISNUMBER($B1317)),"日期格式不对",IF($C1317="","未选项目编号",IF(LEFT($M1317,1)="⚠","项目编号不存在",IF($D1317="","未选业务类型",IF($E1317="","未选开票/付款方",IF(ISNA(MATCH($E1317,单位档案!$A$6:$A$35,0)),"开票方不在单位档案",IF($F1317="","未选收票/收款方",IF(ISNA(MATCH($F1317,单位档案!$A$6:$A$35,0)),"收款方不在单位档案",IF(NOT(ISNUMBER($H1317)),"金额须为数字",IF(AND($D1317="销项开票",$N1317="—"),"链条待确认","√")))))))))))</f>
        <v/>
      </c>
      <c r="M1317" s="34" t="str">
        <f aca="false">IF($C1317="","",IFERROR(INDEX(项目档案!$B$6:$B$255,MATCH($C1317,项目档案!$A$6:$A$255,0)),"⚠项目编号不存在"))</f>
        <v/>
      </c>
      <c r="N1317" s="35" t="str">
        <f aca="false">IF($E1317="","",IF($E1317=IFERROR(INDEX(项目档案!$D$6:$D$255,MATCH($C1317,项目档案!$A$6:$A$255,0)),""),"一级",IF($E1317=IFERROR(INDEX(项目档案!$F$6:$F$255,MATCH($C1317,项目档案!$A$6:$A$255,0)),""),"二级",IF($E1317=IFERROR(INDEX(项目档案!$H$6:$H$255,MATCH($C1317,项目档案!$A$6:$A$255,0)),""),"我方","—"))))</f>
        <v/>
      </c>
      <c r="O1317" s="36" t="n">
        <f aca="false">IF($D1317&lt;&gt;"销项开票",0,ROUND(N($H1317)*N($I1317),2))</f>
        <v>0</v>
      </c>
      <c r="P1317" s="36" t="n">
        <f aca="false">IF($D1317&lt;&gt;"销项开票",0,ROUND(N($H1317)-$O1317,2))</f>
        <v>0</v>
      </c>
      <c r="Q1317" s="37" t="str">
        <f aca="false">IF($E1317="","",N(IFERROR(INDEX(单位档案!$E$6:$E$35,MATCH($E1317,单位档案!$A$6:$A$35,0)),"")))</f>
        <v/>
      </c>
      <c r="R1317" s="37" t="str">
        <f aca="false">IF($E1317="","",N(IFERROR(INDEX(单位档案!$F$6:$F$35,MATCH($E1317,单位档案!$A$6:$A$35,0)),"")))</f>
        <v/>
      </c>
      <c r="S1317" s="36" t="n">
        <f aca="false">IF(OR($D1317&lt;&gt;"销项开票",IFERROR(INDEX(单位档案!$G$6:$G$35,MATCH($E1317,单位档案!$A$6:$A$35,0)),"")&lt;&gt;"是",N($Q1317)=0),0,IF(IFERROR(INDEX(单位档案!$H$6:$H$35,MATCH($E1317,单位档案!$A$6:$A$35,0)),"")="税差法",ROUND(N($H1317)/(1+$Q1317)*$Q1317-IF(N($R1317)=0,0,$P1317/(1+$R1317)*$R1317),2),ROUND(N($H1317)/(1+$Q1317)*$Q1317,2)))</f>
        <v>0</v>
      </c>
      <c r="T1317" s="36" t="n">
        <f aca="false">ROUND($S1317*N(IFERROR(INDEX(单位档案!$J$6:$J$35,MATCH($E1317,单位档案!$A$6:$A$35,0)),"")),2)</f>
        <v>0</v>
      </c>
      <c r="U1317" s="36" t="n">
        <f aca="false">IF($D1317&lt;&gt;"销项开票",0,ROUND(N($H1317)*N(IFERROR(INDEX(单位档案!$K$6:$K$35,MATCH($E1317,单位档案!$A$6:$A$35,0)),"")),2))</f>
        <v>0</v>
      </c>
      <c r="V1317" s="36" t="n">
        <f aca="false">IF(OR($D1317&lt;&gt;"销项开票",N($Q1317)=0),0,ROUND(N($H1317)/(1+$Q1317)*N(IFERROR(INDEX(单位档案!$L$6:$L$35,MATCH($E1317,单位档案!$A$6:$A$35,0)),"")),2))</f>
        <v>0</v>
      </c>
      <c r="W1317" s="36" t="n">
        <f aca="false">ROUND($S1317+$T1317+$U1317+$V1317,2)</f>
        <v>0</v>
      </c>
      <c r="X1317" s="35" t="str">
        <f aca="false">IF(OR($D1317="挂靠代收",$D1317="我方收款"),COUNTIFS($D$5:$D1317,"挂靠代收")+COUNTIFS($D$5:$D1317,"我方收款"),"")</f>
        <v/>
      </c>
      <c r="Y1317" s="35"/>
      <c r="Z1317" s="21" t="s">
        <v>111</v>
      </c>
    </row>
    <row r="1318" customFormat="false" ht="15.75" hidden="false" customHeight="true" outlineLevel="0" collapsed="false">
      <c r="A1318" s="32" t="str">
        <f aca="false">IF($B1318="","",ROW()-4)</f>
        <v/>
      </c>
      <c r="B1318" s="26"/>
      <c r="C1318" s="24"/>
      <c r="D1318" s="21"/>
      <c r="E1318" s="21"/>
      <c r="F1318" s="21"/>
      <c r="G1318" s="21"/>
      <c r="H1318" s="27"/>
      <c r="I1318" s="23" t="str">
        <f aca="false">IF($D1318&lt;&gt;"销项开票","",IF($N1318="一级",IF(IFERROR(INDEX(项目档案!$E$6:$E$255,MATCH($C1318,项目档案!$A$6:$A$255,0)),"")="",N(IFERROR(INDEX(单位档案!$D$6:$D$35,MATCH($E1318,单位档案!$A$6:$A$35,0)),"")),IFERROR(INDEX(项目档案!$E$6:$E$255,MATCH($C1318,项目档案!$A$6:$A$255,0)),"")),IF($N1318="二级",IF(IFERROR(INDEX(项目档案!$G$6:$G$255,MATCH($C1318,项目档案!$A$6:$A$255,0)),"")="",N(IFERROR(INDEX(单位档案!$D$6:$D$35,MATCH($E1318,单位档案!$A$6:$A$35,0)),"")),IFERROR(INDEX(项目档案!$G$6:$G$255,MATCH($C1318,项目档案!$A$6:$A$255,0)),"")),N(IFERROR(INDEX(单位档案!$D$6:$D$35,MATCH($E1318,单位档案!$A$6:$A$35,0)),"")))))</f>
        <v/>
      </c>
      <c r="J1318" s="22"/>
      <c r="K1318" s="22"/>
      <c r="L1318" s="33" t="str">
        <f aca="false">IF($B1318="","",IF(NOT(ISNUMBER($B1318)),"日期格式不对",IF($C1318="","未选项目编号",IF(LEFT($M1318,1)="⚠","项目编号不存在",IF($D1318="","未选业务类型",IF($E1318="","未选开票/付款方",IF(ISNA(MATCH($E1318,单位档案!$A$6:$A$35,0)),"开票方不在单位档案",IF($F1318="","未选收票/收款方",IF(ISNA(MATCH($F1318,单位档案!$A$6:$A$35,0)),"收款方不在单位档案",IF(NOT(ISNUMBER($H1318)),"金额须为数字",IF(AND($D1318="销项开票",$N1318="—"),"链条待确认","√")))))))))))</f>
        <v/>
      </c>
      <c r="M1318" s="34" t="str">
        <f aca="false">IF($C1318="","",IFERROR(INDEX(项目档案!$B$6:$B$255,MATCH($C1318,项目档案!$A$6:$A$255,0)),"⚠项目编号不存在"))</f>
        <v/>
      </c>
      <c r="N1318" s="35" t="str">
        <f aca="false">IF($E1318="","",IF($E1318=IFERROR(INDEX(项目档案!$D$6:$D$255,MATCH($C1318,项目档案!$A$6:$A$255,0)),""),"一级",IF($E1318=IFERROR(INDEX(项目档案!$F$6:$F$255,MATCH($C1318,项目档案!$A$6:$A$255,0)),""),"二级",IF($E1318=IFERROR(INDEX(项目档案!$H$6:$H$255,MATCH($C1318,项目档案!$A$6:$A$255,0)),""),"我方","—"))))</f>
        <v/>
      </c>
      <c r="O1318" s="36" t="n">
        <f aca="false">IF($D1318&lt;&gt;"销项开票",0,ROUND(N($H1318)*N($I1318),2))</f>
        <v>0</v>
      </c>
      <c r="P1318" s="36" t="n">
        <f aca="false">IF($D1318&lt;&gt;"销项开票",0,ROUND(N($H1318)-$O1318,2))</f>
        <v>0</v>
      </c>
      <c r="Q1318" s="37" t="str">
        <f aca="false">IF($E1318="","",N(IFERROR(INDEX(单位档案!$E$6:$E$35,MATCH($E1318,单位档案!$A$6:$A$35,0)),"")))</f>
        <v/>
      </c>
      <c r="R1318" s="37" t="str">
        <f aca="false">IF($E1318="","",N(IFERROR(INDEX(单位档案!$F$6:$F$35,MATCH($E1318,单位档案!$A$6:$A$35,0)),"")))</f>
        <v/>
      </c>
      <c r="S1318" s="36" t="n">
        <f aca="false">IF(OR($D1318&lt;&gt;"销项开票",IFERROR(INDEX(单位档案!$G$6:$G$35,MATCH($E1318,单位档案!$A$6:$A$35,0)),"")&lt;&gt;"是",N($Q1318)=0),0,IF(IFERROR(INDEX(单位档案!$H$6:$H$35,MATCH($E1318,单位档案!$A$6:$A$35,0)),"")="税差法",ROUND(N($H1318)/(1+$Q1318)*$Q1318-IF(N($R1318)=0,0,$P1318/(1+$R1318)*$R1318),2),ROUND(N($H1318)/(1+$Q1318)*$Q1318,2)))</f>
        <v>0</v>
      </c>
      <c r="T1318" s="36" t="n">
        <f aca="false">ROUND($S1318*N(IFERROR(INDEX(单位档案!$J$6:$J$35,MATCH($E1318,单位档案!$A$6:$A$35,0)),"")),2)</f>
        <v>0</v>
      </c>
      <c r="U1318" s="36" t="n">
        <f aca="false">IF($D1318&lt;&gt;"销项开票",0,ROUND(N($H1318)*N(IFERROR(INDEX(单位档案!$K$6:$K$35,MATCH($E1318,单位档案!$A$6:$A$35,0)),"")),2))</f>
        <v>0</v>
      </c>
      <c r="V1318" s="36" t="n">
        <f aca="false">IF(OR($D1318&lt;&gt;"销项开票",N($Q1318)=0),0,ROUND(N($H1318)/(1+$Q1318)*N(IFERROR(INDEX(单位档案!$L$6:$L$35,MATCH($E1318,单位档案!$A$6:$A$35,0)),"")),2))</f>
        <v>0</v>
      </c>
      <c r="W1318" s="36" t="n">
        <f aca="false">ROUND($S1318+$T1318+$U1318+$V1318,2)</f>
        <v>0</v>
      </c>
      <c r="X1318" s="35" t="str">
        <f aca="false">IF(OR($D1318="挂靠代收",$D1318="我方收款"),COUNTIFS($D$5:$D1318,"挂靠代收")+COUNTIFS($D$5:$D1318,"我方收款"),"")</f>
        <v/>
      </c>
      <c r="Y1318" s="35"/>
      <c r="Z1318" s="21" t="s">
        <v>111</v>
      </c>
    </row>
    <row r="1319" customFormat="false" ht="15.75" hidden="false" customHeight="true" outlineLevel="0" collapsed="false">
      <c r="A1319" s="32" t="str">
        <f aca="false">IF($B1319="","",ROW()-4)</f>
        <v/>
      </c>
      <c r="B1319" s="26"/>
      <c r="C1319" s="24"/>
      <c r="D1319" s="21"/>
      <c r="E1319" s="21"/>
      <c r="F1319" s="21"/>
      <c r="G1319" s="21"/>
      <c r="H1319" s="27"/>
      <c r="I1319" s="23" t="str">
        <f aca="false">IF($D1319&lt;&gt;"销项开票","",IF($N1319="一级",IF(IFERROR(INDEX(项目档案!$E$6:$E$255,MATCH($C1319,项目档案!$A$6:$A$255,0)),"")="",N(IFERROR(INDEX(单位档案!$D$6:$D$35,MATCH($E1319,单位档案!$A$6:$A$35,0)),"")),IFERROR(INDEX(项目档案!$E$6:$E$255,MATCH($C1319,项目档案!$A$6:$A$255,0)),"")),IF($N1319="二级",IF(IFERROR(INDEX(项目档案!$G$6:$G$255,MATCH($C1319,项目档案!$A$6:$A$255,0)),"")="",N(IFERROR(INDEX(单位档案!$D$6:$D$35,MATCH($E1319,单位档案!$A$6:$A$35,0)),"")),IFERROR(INDEX(项目档案!$G$6:$G$255,MATCH($C1319,项目档案!$A$6:$A$255,0)),"")),N(IFERROR(INDEX(单位档案!$D$6:$D$35,MATCH($E1319,单位档案!$A$6:$A$35,0)),"")))))</f>
        <v/>
      </c>
      <c r="J1319" s="22"/>
      <c r="K1319" s="22"/>
      <c r="L1319" s="33" t="str">
        <f aca="false">IF($B1319="","",IF(NOT(ISNUMBER($B1319)),"日期格式不对",IF($C1319="","未选项目编号",IF(LEFT($M1319,1)="⚠","项目编号不存在",IF($D1319="","未选业务类型",IF($E1319="","未选开票/付款方",IF(ISNA(MATCH($E1319,单位档案!$A$6:$A$35,0)),"开票方不在单位档案",IF($F1319="","未选收票/收款方",IF(ISNA(MATCH($F1319,单位档案!$A$6:$A$35,0)),"收款方不在单位档案",IF(NOT(ISNUMBER($H1319)),"金额须为数字",IF(AND($D1319="销项开票",$N1319="—"),"链条待确认","√")))))))))))</f>
        <v/>
      </c>
      <c r="M1319" s="34" t="str">
        <f aca="false">IF($C1319="","",IFERROR(INDEX(项目档案!$B$6:$B$255,MATCH($C1319,项目档案!$A$6:$A$255,0)),"⚠项目编号不存在"))</f>
        <v/>
      </c>
      <c r="N1319" s="35" t="str">
        <f aca="false">IF($E1319="","",IF($E1319=IFERROR(INDEX(项目档案!$D$6:$D$255,MATCH($C1319,项目档案!$A$6:$A$255,0)),""),"一级",IF($E1319=IFERROR(INDEX(项目档案!$F$6:$F$255,MATCH($C1319,项目档案!$A$6:$A$255,0)),""),"二级",IF($E1319=IFERROR(INDEX(项目档案!$H$6:$H$255,MATCH($C1319,项目档案!$A$6:$A$255,0)),""),"我方","—"))))</f>
        <v/>
      </c>
      <c r="O1319" s="36" t="n">
        <f aca="false">IF($D1319&lt;&gt;"销项开票",0,ROUND(N($H1319)*N($I1319),2))</f>
        <v>0</v>
      </c>
      <c r="P1319" s="36" t="n">
        <f aca="false">IF($D1319&lt;&gt;"销项开票",0,ROUND(N($H1319)-$O1319,2))</f>
        <v>0</v>
      </c>
      <c r="Q1319" s="37" t="str">
        <f aca="false">IF($E1319="","",N(IFERROR(INDEX(单位档案!$E$6:$E$35,MATCH($E1319,单位档案!$A$6:$A$35,0)),"")))</f>
        <v/>
      </c>
      <c r="R1319" s="37" t="str">
        <f aca="false">IF($E1319="","",N(IFERROR(INDEX(单位档案!$F$6:$F$35,MATCH($E1319,单位档案!$A$6:$A$35,0)),"")))</f>
        <v/>
      </c>
      <c r="S1319" s="36" t="n">
        <f aca="false">IF(OR($D1319&lt;&gt;"销项开票",IFERROR(INDEX(单位档案!$G$6:$G$35,MATCH($E1319,单位档案!$A$6:$A$35,0)),"")&lt;&gt;"是",N($Q1319)=0),0,IF(IFERROR(INDEX(单位档案!$H$6:$H$35,MATCH($E1319,单位档案!$A$6:$A$35,0)),"")="税差法",ROUND(N($H1319)/(1+$Q1319)*$Q1319-IF(N($R1319)=0,0,$P1319/(1+$R1319)*$R1319),2),ROUND(N($H1319)/(1+$Q1319)*$Q1319,2)))</f>
        <v>0</v>
      </c>
      <c r="T1319" s="36" t="n">
        <f aca="false">ROUND($S1319*N(IFERROR(INDEX(单位档案!$J$6:$J$35,MATCH($E1319,单位档案!$A$6:$A$35,0)),"")),2)</f>
        <v>0</v>
      </c>
      <c r="U1319" s="36" t="n">
        <f aca="false">IF($D1319&lt;&gt;"销项开票",0,ROUND(N($H1319)*N(IFERROR(INDEX(单位档案!$K$6:$K$35,MATCH($E1319,单位档案!$A$6:$A$35,0)),"")),2))</f>
        <v>0</v>
      </c>
      <c r="V1319" s="36" t="n">
        <f aca="false">IF(OR($D1319&lt;&gt;"销项开票",N($Q1319)=0),0,ROUND(N($H1319)/(1+$Q1319)*N(IFERROR(INDEX(单位档案!$L$6:$L$35,MATCH($E1319,单位档案!$A$6:$A$35,0)),"")),2))</f>
        <v>0</v>
      </c>
      <c r="W1319" s="36" t="n">
        <f aca="false">ROUND($S1319+$T1319+$U1319+$V1319,2)</f>
        <v>0</v>
      </c>
      <c r="X1319" s="35" t="str">
        <f aca="false">IF(OR($D1319="挂靠代收",$D1319="我方收款"),COUNTIFS($D$5:$D1319,"挂靠代收")+COUNTIFS($D$5:$D1319,"我方收款"),"")</f>
        <v/>
      </c>
      <c r="Y1319" s="35"/>
      <c r="Z1319" s="21" t="s">
        <v>111</v>
      </c>
    </row>
    <row r="1320" customFormat="false" ht="15.75" hidden="false" customHeight="true" outlineLevel="0" collapsed="false">
      <c r="A1320" s="32" t="str">
        <f aca="false">IF($B1320="","",ROW()-4)</f>
        <v/>
      </c>
      <c r="B1320" s="26"/>
      <c r="C1320" s="24"/>
      <c r="D1320" s="21"/>
      <c r="E1320" s="21"/>
      <c r="F1320" s="21"/>
      <c r="G1320" s="21"/>
      <c r="H1320" s="27"/>
      <c r="I1320" s="23" t="str">
        <f aca="false">IF($D1320&lt;&gt;"销项开票","",IF($N1320="一级",IF(IFERROR(INDEX(项目档案!$E$6:$E$255,MATCH($C1320,项目档案!$A$6:$A$255,0)),"")="",N(IFERROR(INDEX(单位档案!$D$6:$D$35,MATCH($E1320,单位档案!$A$6:$A$35,0)),"")),IFERROR(INDEX(项目档案!$E$6:$E$255,MATCH($C1320,项目档案!$A$6:$A$255,0)),"")),IF($N1320="二级",IF(IFERROR(INDEX(项目档案!$G$6:$G$255,MATCH($C1320,项目档案!$A$6:$A$255,0)),"")="",N(IFERROR(INDEX(单位档案!$D$6:$D$35,MATCH($E1320,单位档案!$A$6:$A$35,0)),"")),IFERROR(INDEX(项目档案!$G$6:$G$255,MATCH($C1320,项目档案!$A$6:$A$255,0)),"")),N(IFERROR(INDEX(单位档案!$D$6:$D$35,MATCH($E1320,单位档案!$A$6:$A$35,0)),"")))))</f>
        <v/>
      </c>
      <c r="J1320" s="22"/>
      <c r="K1320" s="22"/>
      <c r="L1320" s="33" t="str">
        <f aca="false">IF($B1320="","",IF(NOT(ISNUMBER($B1320)),"日期格式不对",IF($C1320="","未选项目编号",IF(LEFT($M1320,1)="⚠","项目编号不存在",IF($D1320="","未选业务类型",IF($E1320="","未选开票/付款方",IF(ISNA(MATCH($E1320,单位档案!$A$6:$A$35,0)),"开票方不在单位档案",IF($F1320="","未选收票/收款方",IF(ISNA(MATCH($F1320,单位档案!$A$6:$A$35,0)),"收款方不在单位档案",IF(NOT(ISNUMBER($H1320)),"金额须为数字",IF(AND($D1320="销项开票",$N1320="—"),"链条待确认","√")))))))))))</f>
        <v/>
      </c>
      <c r="M1320" s="34" t="str">
        <f aca="false">IF($C1320="","",IFERROR(INDEX(项目档案!$B$6:$B$255,MATCH($C1320,项目档案!$A$6:$A$255,0)),"⚠项目编号不存在"))</f>
        <v/>
      </c>
      <c r="N1320" s="35" t="str">
        <f aca="false">IF($E1320="","",IF($E1320=IFERROR(INDEX(项目档案!$D$6:$D$255,MATCH($C1320,项目档案!$A$6:$A$255,0)),""),"一级",IF($E1320=IFERROR(INDEX(项目档案!$F$6:$F$255,MATCH($C1320,项目档案!$A$6:$A$255,0)),""),"二级",IF($E1320=IFERROR(INDEX(项目档案!$H$6:$H$255,MATCH($C1320,项目档案!$A$6:$A$255,0)),""),"我方","—"))))</f>
        <v/>
      </c>
      <c r="O1320" s="36" t="n">
        <f aca="false">IF($D1320&lt;&gt;"销项开票",0,ROUND(N($H1320)*N($I1320),2))</f>
        <v>0</v>
      </c>
      <c r="P1320" s="36" t="n">
        <f aca="false">IF($D1320&lt;&gt;"销项开票",0,ROUND(N($H1320)-$O1320,2))</f>
        <v>0</v>
      </c>
      <c r="Q1320" s="37" t="str">
        <f aca="false">IF($E1320="","",N(IFERROR(INDEX(单位档案!$E$6:$E$35,MATCH($E1320,单位档案!$A$6:$A$35,0)),"")))</f>
        <v/>
      </c>
      <c r="R1320" s="37" t="str">
        <f aca="false">IF($E1320="","",N(IFERROR(INDEX(单位档案!$F$6:$F$35,MATCH($E1320,单位档案!$A$6:$A$35,0)),"")))</f>
        <v/>
      </c>
      <c r="S1320" s="36" t="n">
        <f aca="false">IF(OR($D1320&lt;&gt;"销项开票",IFERROR(INDEX(单位档案!$G$6:$G$35,MATCH($E1320,单位档案!$A$6:$A$35,0)),"")&lt;&gt;"是",N($Q1320)=0),0,IF(IFERROR(INDEX(单位档案!$H$6:$H$35,MATCH($E1320,单位档案!$A$6:$A$35,0)),"")="税差法",ROUND(N($H1320)/(1+$Q1320)*$Q1320-IF(N($R1320)=0,0,$P1320/(1+$R1320)*$R1320),2),ROUND(N($H1320)/(1+$Q1320)*$Q1320,2)))</f>
        <v>0</v>
      </c>
      <c r="T1320" s="36" t="n">
        <f aca="false">ROUND($S1320*N(IFERROR(INDEX(单位档案!$J$6:$J$35,MATCH($E1320,单位档案!$A$6:$A$35,0)),"")),2)</f>
        <v>0</v>
      </c>
      <c r="U1320" s="36" t="n">
        <f aca="false">IF($D1320&lt;&gt;"销项开票",0,ROUND(N($H1320)*N(IFERROR(INDEX(单位档案!$K$6:$K$35,MATCH($E1320,单位档案!$A$6:$A$35,0)),"")),2))</f>
        <v>0</v>
      </c>
      <c r="V1320" s="36" t="n">
        <f aca="false">IF(OR($D1320&lt;&gt;"销项开票",N($Q1320)=0),0,ROUND(N($H1320)/(1+$Q1320)*N(IFERROR(INDEX(单位档案!$L$6:$L$35,MATCH($E1320,单位档案!$A$6:$A$35,0)),"")),2))</f>
        <v>0</v>
      </c>
      <c r="W1320" s="36" t="n">
        <f aca="false">ROUND($S1320+$T1320+$U1320+$V1320,2)</f>
        <v>0</v>
      </c>
      <c r="X1320" s="35" t="str">
        <f aca="false">IF(OR($D1320="挂靠代收",$D1320="我方收款"),COUNTIFS($D$5:$D1320,"挂靠代收")+COUNTIFS($D$5:$D1320,"我方收款"),"")</f>
        <v/>
      </c>
      <c r="Y1320" s="35"/>
      <c r="Z1320" s="21" t="s">
        <v>111</v>
      </c>
    </row>
    <row r="1321" customFormat="false" ht="15.75" hidden="false" customHeight="true" outlineLevel="0" collapsed="false">
      <c r="A1321" s="32" t="str">
        <f aca="false">IF($B1321="","",ROW()-4)</f>
        <v/>
      </c>
      <c r="B1321" s="26"/>
      <c r="C1321" s="24"/>
      <c r="D1321" s="21"/>
      <c r="E1321" s="21"/>
      <c r="F1321" s="21"/>
      <c r="G1321" s="21"/>
      <c r="H1321" s="27"/>
      <c r="I1321" s="23" t="str">
        <f aca="false">IF($D1321&lt;&gt;"销项开票","",IF($N1321="一级",IF(IFERROR(INDEX(项目档案!$E$6:$E$255,MATCH($C1321,项目档案!$A$6:$A$255,0)),"")="",N(IFERROR(INDEX(单位档案!$D$6:$D$35,MATCH($E1321,单位档案!$A$6:$A$35,0)),"")),IFERROR(INDEX(项目档案!$E$6:$E$255,MATCH($C1321,项目档案!$A$6:$A$255,0)),"")),IF($N1321="二级",IF(IFERROR(INDEX(项目档案!$G$6:$G$255,MATCH($C1321,项目档案!$A$6:$A$255,0)),"")="",N(IFERROR(INDEX(单位档案!$D$6:$D$35,MATCH($E1321,单位档案!$A$6:$A$35,0)),"")),IFERROR(INDEX(项目档案!$G$6:$G$255,MATCH($C1321,项目档案!$A$6:$A$255,0)),"")),N(IFERROR(INDEX(单位档案!$D$6:$D$35,MATCH($E1321,单位档案!$A$6:$A$35,0)),"")))))</f>
        <v/>
      </c>
      <c r="J1321" s="22"/>
      <c r="K1321" s="22"/>
      <c r="L1321" s="33" t="str">
        <f aca="false">IF($B1321="","",IF(NOT(ISNUMBER($B1321)),"日期格式不对",IF($C1321="","未选项目编号",IF(LEFT($M1321,1)="⚠","项目编号不存在",IF($D1321="","未选业务类型",IF($E1321="","未选开票/付款方",IF(ISNA(MATCH($E1321,单位档案!$A$6:$A$35,0)),"开票方不在单位档案",IF($F1321="","未选收票/收款方",IF(ISNA(MATCH($F1321,单位档案!$A$6:$A$35,0)),"收款方不在单位档案",IF(NOT(ISNUMBER($H1321)),"金额须为数字",IF(AND($D1321="销项开票",$N1321="—"),"链条待确认","√")))))))))))</f>
        <v/>
      </c>
      <c r="M1321" s="34" t="str">
        <f aca="false">IF($C1321="","",IFERROR(INDEX(项目档案!$B$6:$B$255,MATCH($C1321,项目档案!$A$6:$A$255,0)),"⚠项目编号不存在"))</f>
        <v/>
      </c>
      <c r="N1321" s="35" t="str">
        <f aca="false">IF($E1321="","",IF($E1321=IFERROR(INDEX(项目档案!$D$6:$D$255,MATCH($C1321,项目档案!$A$6:$A$255,0)),""),"一级",IF($E1321=IFERROR(INDEX(项目档案!$F$6:$F$255,MATCH($C1321,项目档案!$A$6:$A$255,0)),""),"二级",IF($E1321=IFERROR(INDEX(项目档案!$H$6:$H$255,MATCH($C1321,项目档案!$A$6:$A$255,0)),""),"我方","—"))))</f>
        <v/>
      </c>
      <c r="O1321" s="36" t="n">
        <f aca="false">IF($D1321&lt;&gt;"销项开票",0,ROUND(N($H1321)*N($I1321),2))</f>
        <v>0</v>
      </c>
      <c r="P1321" s="36" t="n">
        <f aca="false">IF($D1321&lt;&gt;"销项开票",0,ROUND(N($H1321)-$O1321,2))</f>
        <v>0</v>
      </c>
      <c r="Q1321" s="37" t="str">
        <f aca="false">IF($E1321="","",N(IFERROR(INDEX(单位档案!$E$6:$E$35,MATCH($E1321,单位档案!$A$6:$A$35,0)),"")))</f>
        <v/>
      </c>
      <c r="R1321" s="37" t="str">
        <f aca="false">IF($E1321="","",N(IFERROR(INDEX(单位档案!$F$6:$F$35,MATCH($E1321,单位档案!$A$6:$A$35,0)),"")))</f>
        <v/>
      </c>
      <c r="S1321" s="36" t="n">
        <f aca="false">IF(OR($D1321&lt;&gt;"销项开票",IFERROR(INDEX(单位档案!$G$6:$G$35,MATCH($E1321,单位档案!$A$6:$A$35,0)),"")&lt;&gt;"是",N($Q1321)=0),0,IF(IFERROR(INDEX(单位档案!$H$6:$H$35,MATCH($E1321,单位档案!$A$6:$A$35,0)),"")="税差法",ROUND(N($H1321)/(1+$Q1321)*$Q1321-IF(N($R1321)=0,0,$P1321/(1+$R1321)*$R1321),2),ROUND(N($H1321)/(1+$Q1321)*$Q1321,2)))</f>
        <v>0</v>
      </c>
      <c r="T1321" s="36" t="n">
        <f aca="false">ROUND($S1321*N(IFERROR(INDEX(单位档案!$J$6:$J$35,MATCH($E1321,单位档案!$A$6:$A$35,0)),"")),2)</f>
        <v>0</v>
      </c>
      <c r="U1321" s="36" t="n">
        <f aca="false">IF($D1321&lt;&gt;"销项开票",0,ROUND(N($H1321)*N(IFERROR(INDEX(单位档案!$K$6:$K$35,MATCH($E1321,单位档案!$A$6:$A$35,0)),"")),2))</f>
        <v>0</v>
      </c>
      <c r="V1321" s="36" t="n">
        <f aca="false">IF(OR($D1321&lt;&gt;"销项开票",N($Q1321)=0),0,ROUND(N($H1321)/(1+$Q1321)*N(IFERROR(INDEX(单位档案!$L$6:$L$35,MATCH($E1321,单位档案!$A$6:$A$35,0)),"")),2))</f>
        <v>0</v>
      </c>
      <c r="W1321" s="36" t="n">
        <f aca="false">ROUND($S1321+$T1321+$U1321+$V1321,2)</f>
        <v>0</v>
      </c>
      <c r="X1321" s="35" t="str">
        <f aca="false">IF(OR($D1321="挂靠代收",$D1321="我方收款"),COUNTIFS($D$5:$D1321,"挂靠代收")+COUNTIFS($D$5:$D1321,"我方收款"),"")</f>
        <v/>
      </c>
      <c r="Y1321" s="35"/>
      <c r="Z1321" s="21" t="s">
        <v>111</v>
      </c>
    </row>
    <row r="1322" customFormat="false" ht="15.75" hidden="false" customHeight="true" outlineLevel="0" collapsed="false">
      <c r="A1322" s="32" t="str">
        <f aca="false">IF($B1322="","",ROW()-4)</f>
        <v/>
      </c>
      <c r="B1322" s="26"/>
      <c r="C1322" s="24"/>
      <c r="D1322" s="21"/>
      <c r="E1322" s="21"/>
      <c r="F1322" s="21"/>
      <c r="G1322" s="21"/>
      <c r="H1322" s="27"/>
      <c r="I1322" s="23" t="str">
        <f aca="false">IF($D1322&lt;&gt;"销项开票","",IF($N1322="一级",IF(IFERROR(INDEX(项目档案!$E$6:$E$255,MATCH($C1322,项目档案!$A$6:$A$255,0)),"")="",N(IFERROR(INDEX(单位档案!$D$6:$D$35,MATCH($E1322,单位档案!$A$6:$A$35,0)),"")),IFERROR(INDEX(项目档案!$E$6:$E$255,MATCH($C1322,项目档案!$A$6:$A$255,0)),"")),IF($N1322="二级",IF(IFERROR(INDEX(项目档案!$G$6:$G$255,MATCH($C1322,项目档案!$A$6:$A$255,0)),"")="",N(IFERROR(INDEX(单位档案!$D$6:$D$35,MATCH($E1322,单位档案!$A$6:$A$35,0)),"")),IFERROR(INDEX(项目档案!$G$6:$G$255,MATCH($C1322,项目档案!$A$6:$A$255,0)),"")),N(IFERROR(INDEX(单位档案!$D$6:$D$35,MATCH($E1322,单位档案!$A$6:$A$35,0)),"")))))</f>
        <v/>
      </c>
      <c r="J1322" s="22"/>
      <c r="K1322" s="22"/>
      <c r="L1322" s="33" t="str">
        <f aca="false">IF($B1322="","",IF(NOT(ISNUMBER($B1322)),"日期格式不对",IF($C1322="","未选项目编号",IF(LEFT($M1322,1)="⚠","项目编号不存在",IF($D1322="","未选业务类型",IF($E1322="","未选开票/付款方",IF(ISNA(MATCH($E1322,单位档案!$A$6:$A$35,0)),"开票方不在单位档案",IF($F1322="","未选收票/收款方",IF(ISNA(MATCH($F1322,单位档案!$A$6:$A$35,0)),"收款方不在单位档案",IF(NOT(ISNUMBER($H1322)),"金额须为数字",IF(AND($D1322="销项开票",$N1322="—"),"链条待确认","√")))))))))))</f>
        <v/>
      </c>
      <c r="M1322" s="34" t="str">
        <f aca="false">IF($C1322="","",IFERROR(INDEX(项目档案!$B$6:$B$255,MATCH($C1322,项目档案!$A$6:$A$255,0)),"⚠项目编号不存在"))</f>
        <v/>
      </c>
      <c r="N1322" s="35" t="str">
        <f aca="false">IF($E1322="","",IF($E1322=IFERROR(INDEX(项目档案!$D$6:$D$255,MATCH($C1322,项目档案!$A$6:$A$255,0)),""),"一级",IF($E1322=IFERROR(INDEX(项目档案!$F$6:$F$255,MATCH($C1322,项目档案!$A$6:$A$255,0)),""),"二级",IF($E1322=IFERROR(INDEX(项目档案!$H$6:$H$255,MATCH($C1322,项目档案!$A$6:$A$255,0)),""),"我方","—"))))</f>
        <v/>
      </c>
      <c r="O1322" s="36" t="n">
        <f aca="false">IF($D1322&lt;&gt;"销项开票",0,ROUND(N($H1322)*N($I1322),2))</f>
        <v>0</v>
      </c>
      <c r="P1322" s="36" t="n">
        <f aca="false">IF($D1322&lt;&gt;"销项开票",0,ROUND(N($H1322)-$O1322,2))</f>
        <v>0</v>
      </c>
      <c r="Q1322" s="37" t="str">
        <f aca="false">IF($E1322="","",N(IFERROR(INDEX(单位档案!$E$6:$E$35,MATCH($E1322,单位档案!$A$6:$A$35,0)),"")))</f>
        <v/>
      </c>
      <c r="R1322" s="37" t="str">
        <f aca="false">IF($E1322="","",N(IFERROR(INDEX(单位档案!$F$6:$F$35,MATCH($E1322,单位档案!$A$6:$A$35,0)),"")))</f>
        <v/>
      </c>
      <c r="S1322" s="36" t="n">
        <f aca="false">IF(OR($D1322&lt;&gt;"销项开票",IFERROR(INDEX(单位档案!$G$6:$G$35,MATCH($E1322,单位档案!$A$6:$A$35,0)),"")&lt;&gt;"是",N($Q1322)=0),0,IF(IFERROR(INDEX(单位档案!$H$6:$H$35,MATCH($E1322,单位档案!$A$6:$A$35,0)),"")="税差法",ROUND(N($H1322)/(1+$Q1322)*$Q1322-IF(N($R1322)=0,0,$P1322/(1+$R1322)*$R1322),2),ROUND(N($H1322)/(1+$Q1322)*$Q1322,2)))</f>
        <v>0</v>
      </c>
      <c r="T1322" s="36" t="n">
        <f aca="false">ROUND($S1322*N(IFERROR(INDEX(单位档案!$J$6:$J$35,MATCH($E1322,单位档案!$A$6:$A$35,0)),"")),2)</f>
        <v>0</v>
      </c>
      <c r="U1322" s="36" t="n">
        <f aca="false">IF($D1322&lt;&gt;"销项开票",0,ROUND(N($H1322)*N(IFERROR(INDEX(单位档案!$K$6:$K$35,MATCH($E1322,单位档案!$A$6:$A$35,0)),"")),2))</f>
        <v>0</v>
      </c>
      <c r="V1322" s="36" t="n">
        <f aca="false">IF(OR($D1322&lt;&gt;"销项开票",N($Q1322)=0),0,ROUND(N($H1322)/(1+$Q1322)*N(IFERROR(INDEX(单位档案!$L$6:$L$35,MATCH($E1322,单位档案!$A$6:$A$35,0)),"")),2))</f>
        <v>0</v>
      </c>
      <c r="W1322" s="36" t="n">
        <f aca="false">ROUND($S1322+$T1322+$U1322+$V1322,2)</f>
        <v>0</v>
      </c>
      <c r="X1322" s="35" t="str">
        <f aca="false">IF(OR($D1322="挂靠代收",$D1322="我方收款"),COUNTIFS($D$5:$D1322,"挂靠代收")+COUNTIFS($D$5:$D1322,"我方收款"),"")</f>
        <v/>
      </c>
      <c r="Y1322" s="35"/>
      <c r="Z1322" s="21" t="s">
        <v>111</v>
      </c>
    </row>
    <row r="1323" customFormat="false" ht="15.75" hidden="false" customHeight="true" outlineLevel="0" collapsed="false">
      <c r="A1323" s="32" t="str">
        <f aca="false">IF($B1323="","",ROW()-4)</f>
        <v/>
      </c>
      <c r="B1323" s="26"/>
      <c r="C1323" s="24"/>
      <c r="D1323" s="21"/>
      <c r="E1323" s="21"/>
      <c r="F1323" s="21"/>
      <c r="G1323" s="21"/>
      <c r="H1323" s="27"/>
      <c r="I1323" s="23" t="str">
        <f aca="false">IF($D1323&lt;&gt;"销项开票","",IF($N1323="一级",IF(IFERROR(INDEX(项目档案!$E$6:$E$255,MATCH($C1323,项目档案!$A$6:$A$255,0)),"")="",N(IFERROR(INDEX(单位档案!$D$6:$D$35,MATCH($E1323,单位档案!$A$6:$A$35,0)),"")),IFERROR(INDEX(项目档案!$E$6:$E$255,MATCH($C1323,项目档案!$A$6:$A$255,0)),"")),IF($N1323="二级",IF(IFERROR(INDEX(项目档案!$G$6:$G$255,MATCH($C1323,项目档案!$A$6:$A$255,0)),"")="",N(IFERROR(INDEX(单位档案!$D$6:$D$35,MATCH($E1323,单位档案!$A$6:$A$35,0)),"")),IFERROR(INDEX(项目档案!$G$6:$G$255,MATCH($C1323,项目档案!$A$6:$A$255,0)),"")),N(IFERROR(INDEX(单位档案!$D$6:$D$35,MATCH($E1323,单位档案!$A$6:$A$35,0)),"")))))</f>
        <v/>
      </c>
      <c r="J1323" s="22"/>
      <c r="K1323" s="22"/>
      <c r="L1323" s="33" t="str">
        <f aca="false">IF($B1323="","",IF(NOT(ISNUMBER($B1323)),"日期格式不对",IF($C1323="","未选项目编号",IF(LEFT($M1323,1)="⚠","项目编号不存在",IF($D1323="","未选业务类型",IF($E1323="","未选开票/付款方",IF(ISNA(MATCH($E1323,单位档案!$A$6:$A$35,0)),"开票方不在单位档案",IF($F1323="","未选收票/收款方",IF(ISNA(MATCH($F1323,单位档案!$A$6:$A$35,0)),"收款方不在单位档案",IF(NOT(ISNUMBER($H1323)),"金额须为数字",IF(AND($D1323="销项开票",$N1323="—"),"链条待确认","√")))))))))))</f>
        <v/>
      </c>
      <c r="M1323" s="34" t="str">
        <f aca="false">IF($C1323="","",IFERROR(INDEX(项目档案!$B$6:$B$255,MATCH($C1323,项目档案!$A$6:$A$255,0)),"⚠项目编号不存在"))</f>
        <v/>
      </c>
      <c r="N1323" s="35" t="str">
        <f aca="false">IF($E1323="","",IF($E1323=IFERROR(INDEX(项目档案!$D$6:$D$255,MATCH($C1323,项目档案!$A$6:$A$255,0)),""),"一级",IF($E1323=IFERROR(INDEX(项目档案!$F$6:$F$255,MATCH($C1323,项目档案!$A$6:$A$255,0)),""),"二级",IF($E1323=IFERROR(INDEX(项目档案!$H$6:$H$255,MATCH($C1323,项目档案!$A$6:$A$255,0)),""),"我方","—"))))</f>
        <v/>
      </c>
      <c r="O1323" s="36" t="n">
        <f aca="false">IF($D1323&lt;&gt;"销项开票",0,ROUND(N($H1323)*N($I1323),2))</f>
        <v>0</v>
      </c>
      <c r="P1323" s="36" t="n">
        <f aca="false">IF($D1323&lt;&gt;"销项开票",0,ROUND(N($H1323)-$O1323,2))</f>
        <v>0</v>
      </c>
      <c r="Q1323" s="37" t="str">
        <f aca="false">IF($E1323="","",N(IFERROR(INDEX(单位档案!$E$6:$E$35,MATCH($E1323,单位档案!$A$6:$A$35,0)),"")))</f>
        <v/>
      </c>
      <c r="R1323" s="37" t="str">
        <f aca="false">IF($E1323="","",N(IFERROR(INDEX(单位档案!$F$6:$F$35,MATCH($E1323,单位档案!$A$6:$A$35,0)),"")))</f>
        <v/>
      </c>
      <c r="S1323" s="36" t="n">
        <f aca="false">IF(OR($D1323&lt;&gt;"销项开票",IFERROR(INDEX(单位档案!$G$6:$G$35,MATCH($E1323,单位档案!$A$6:$A$35,0)),"")&lt;&gt;"是",N($Q1323)=0),0,IF(IFERROR(INDEX(单位档案!$H$6:$H$35,MATCH($E1323,单位档案!$A$6:$A$35,0)),"")="税差法",ROUND(N($H1323)/(1+$Q1323)*$Q1323-IF(N($R1323)=0,0,$P1323/(1+$R1323)*$R1323),2),ROUND(N($H1323)/(1+$Q1323)*$Q1323,2)))</f>
        <v>0</v>
      </c>
      <c r="T1323" s="36" t="n">
        <f aca="false">ROUND($S1323*N(IFERROR(INDEX(单位档案!$J$6:$J$35,MATCH($E1323,单位档案!$A$6:$A$35,0)),"")),2)</f>
        <v>0</v>
      </c>
      <c r="U1323" s="36" t="n">
        <f aca="false">IF($D1323&lt;&gt;"销项开票",0,ROUND(N($H1323)*N(IFERROR(INDEX(单位档案!$K$6:$K$35,MATCH($E1323,单位档案!$A$6:$A$35,0)),"")),2))</f>
        <v>0</v>
      </c>
      <c r="V1323" s="36" t="n">
        <f aca="false">IF(OR($D1323&lt;&gt;"销项开票",N($Q1323)=0),0,ROUND(N($H1323)/(1+$Q1323)*N(IFERROR(INDEX(单位档案!$L$6:$L$35,MATCH($E1323,单位档案!$A$6:$A$35,0)),"")),2))</f>
        <v>0</v>
      </c>
      <c r="W1323" s="36" t="n">
        <f aca="false">ROUND($S1323+$T1323+$U1323+$V1323,2)</f>
        <v>0</v>
      </c>
      <c r="X1323" s="35" t="str">
        <f aca="false">IF(OR($D1323="挂靠代收",$D1323="我方收款"),COUNTIFS($D$5:$D1323,"挂靠代收")+COUNTIFS($D$5:$D1323,"我方收款"),"")</f>
        <v/>
      </c>
      <c r="Y1323" s="35"/>
      <c r="Z1323" s="21" t="s">
        <v>111</v>
      </c>
    </row>
    <row r="1324" customFormat="false" ht="15.75" hidden="false" customHeight="true" outlineLevel="0" collapsed="false">
      <c r="A1324" s="32" t="str">
        <f aca="false">IF($B1324="","",ROW()-4)</f>
        <v/>
      </c>
      <c r="B1324" s="26"/>
      <c r="C1324" s="24"/>
      <c r="D1324" s="21"/>
      <c r="E1324" s="21"/>
      <c r="F1324" s="21"/>
      <c r="G1324" s="21"/>
      <c r="H1324" s="27"/>
      <c r="I1324" s="23" t="str">
        <f aca="false">IF($D1324&lt;&gt;"销项开票","",IF($N1324="一级",IF(IFERROR(INDEX(项目档案!$E$6:$E$255,MATCH($C1324,项目档案!$A$6:$A$255,0)),"")="",N(IFERROR(INDEX(单位档案!$D$6:$D$35,MATCH($E1324,单位档案!$A$6:$A$35,0)),"")),IFERROR(INDEX(项目档案!$E$6:$E$255,MATCH($C1324,项目档案!$A$6:$A$255,0)),"")),IF($N1324="二级",IF(IFERROR(INDEX(项目档案!$G$6:$G$255,MATCH($C1324,项目档案!$A$6:$A$255,0)),"")="",N(IFERROR(INDEX(单位档案!$D$6:$D$35,MATCH($E1324,单位档案!$A$6:$A$35,0)),"")),IFERROR(INDEX(项目档案!$G$6:$G$255,MATCH($C1324,项目档案!$A$6:$A$255,0)),"")),N(IFERROR(INDEX(单位档案!$D$6:$D$35,MATCH($E1324,单位档案!$A$6:$A$35,0)),"")))))</f>
        <v/>
      </c>
      <c r="J1324" s="22"/>
      <c r="K1324" s="22"/>
      <c r="L1324" s="33" t="str">
        <f aca="false">IF($B1324="","",IF(NOT(ISNUMBER($B1324)),"日期格式不对",IF($C1324="","未选项目编号",IF(LEFT($M1324,1)="⚠","项目编号不存在",IF($D1324="","未选业务类型",IF($E1324="","未选开票/付款方",IF(ISNA(MATCH($E1324,单位档案!$A$6:$A$35,0)),"开票方不在单位档案",IF($F1324="","未选收票/收款方",IF(ISNA(MATCH($F1324,单位档案!$A$6:$A$35,0)),"收款方不在单位档案",IF(NOT(ISNUMBER($H1324)),"金额须为数字",IF(AND($D1324="销项开票",$N1324="—"),"链条待确认","√")))))))))))</f>
        <v/>
      </c>
      <c r="M1324" s="34" t="str">
        <f aca="false">IF($C1324="","",IFERROR(INDEX(项目档案!$B$6:$B$255,MATCH($C1324,项目档案!$A$6:$A$255,0)),"⚠项目编号不存在"))</f>
        <v/>
      </c>
      <c r="N1324" s="35" t="str">
        <f aca="false">IF($E1324="","",IF($E1324=IFERROR(INDEX(项目档案!$D$6:$D$255,MATCH($C1324,项目档案!$A$6:$A$255,0)),""),"一级",IF($E1324=IFERROR(INDEX(项目档案!$F$6:$F$255,MATCH($C1324,项目档案!$A$6:$A$255,0)),""),"二级",IF($E1324=IFERROR(INDEX(项目档案!$H$6:$H$255,MATCH($C1324,项目档案!$A$6:$A$255,0)),""),"我方","—"))))</f>
        <v/>
      </c>
      <c r="O1324" s="36" t="n">
        <f aca="false">IF($D1324&lt;&gt;"销项开票",0,ROUND(N($H1324)*N($I1324),2))</f>
        <v>0</v>
      </c>
      <c r="P1324" s="36" t="n">
        <f aca="false">IF($D1324&lt;&gt;"销项开票",0,ROUND(N($H1324)-$O1324,2))</f>
        <v>0</v>
      </c>
      <c r="Q1324" s="37" t="str">
        <f aca="false">IF($E1324="","",N(IFERROR(INDEX(单位档案!$E$6:$E$35,MATCH($E1324,单位档案!$A$6:$A$35,0)),"")))</f>
        <v/>
      </c>
      <c r="R1324" s="37" t="str">
        <f aca="false">IF($E1324="","",N(IFERROR(INDEX(单位档案!$F$6:$F$35,MATCH($E1324,单位档案!$A$6:$A$35,0)),"")))</f>
        <v/>
      </c>
      <c r="S1324" s="36" t="n">
        <f aca="false">IF(OR($D1324&lt;&gt;"销项开票",IFERROR(INDEX(单位档案!$G$6:$G$35,MATCH($E1324,单位档案!$A$6:$A$35,0)),"")&lt;&gt;"是",N($Q1324)=0),0,IF(IFERROR(INDEX(单位档案!$H$6:$H$35,MATCH($E1324,单位档案!$A$6:$A$35,0)),"")="税差法",ROUND(N($H1324)/(1+$Q1324)*$Q1324-IF(N($R1324)=0,0,$P1324/(1+$R1324)*$R1324),2),ROUND(N($H1324)/(1+$Q1324)*$Q1324,2)))</f>
        <v>0</v>
      </c>
      <c r="T1324" s="36" t="n">
        <f aca="false">ROUND($S1324*N(IFERROR(INDEX(单位档案!$J$6:$J$35,MATCH($E1324,单位档案!$A$6:$A$35,0)),"")),2)</f>
        <v>0</v>
      </c>
      <c r="U1324" s="36" t="n">
        <f aca="false">IF($D1324&lt;&gt;"销项开票",0,ROUND(N($H1324)*N(IFERROR(INDEX(单位档案!$K$6:$K$35,MATCH($E1324,单位档案!$A$6:$A$35,0)),"")),2))</f>
        <v>0</v>
      </c>
      <c r="V1324" s="36" t="n">
        <f aca="false">IF(OR($D1324&lt;&gt;"销项开票",N($Q1324)=0),0,ROUND(N($H1324)/(1+$Q1324)*N(IFERROR(INDEX(单位档案!$L$6:$L$35,MATCH($E1324,单位档案!$A$6:$A$35,0)),"")),2))</f>
        <v>0</v>
      </c>
      <c r="W1324" s="36" t="n">
        <f aca="false">ROUND($S1324+$T1324+$U1324+$V1324,2)</f>
        <v>0</v>
      </c>
      <c r="X1324" s="35" t="str">
        <f aca="false">IF(OR($D1324="挂靠代收",$D1324="我方收款"),COUNTIFS($D$5:$D1324,"挂靠代收")+COUNTIFS($D$5:$D1324,"我方收款"),"")</f>
        <v/>
      </c>
      <c r="Y1324" s="35"/>
      <c r="Z1324" s="21" t="s">
        <v>111</v>
      </c>
    </row>
    <row r="1325" customFormat="false" ht="15.75" hidden="false" customHeight="true" outlineLevel="0" collapsed="false">
      <c r="A1325" s="32" t="str">
        <f aca="false">IF($B1325="","",ROW()-4)</f>
        <v/>
      </c>
      <c r="B1325" s="26"/>
      <c r="C1325" s="24"/>
      <c r="D1325" s="21"/>
      <c r="E1325" s="21"/>
      <c r="F1325" s="21"/>
      <c r="G1325" s="21"/>
      <c r="H1325" s="27"/>
      <c r="I1325" s="23" t="str">
        <f aca="false">IF($D1325&lt;&gt;"销项开票","",IF($N1325="一级",IF(IFERROR(INDEX(项目档案!$E$6:$E$255,MATCH($C1325,项目档案!$A$6:$A$255,0)),"")="",N(IFERROR(INDEX(单位档案!$D$6:$D$35,MATCH($E1325,单位档案!$A$6:$A$35,0)),"")),IFERROR(INDEX(项目档案!$E$6:$E$255,MATCH($C1325,项目档案!$A$6:$A$255,0)),"")),IF($N1325="二级",IF(IFERROR(INDEX(项目档案!$G$6:$G$255,MATCH($C1325,项目档案!$A$6:$A$255,0)),"")="",N(IFERROR(INDEX(单位档案!$D$6:$D$35,MATCH($E1325,单位档案!$A$6:$A$35,0)),"")),IFERROR(INDEX(项目档案!$G$6:$G$255,MATCH($C1325,项目档案!$A$6:$A$255,0)),"")),N(IFERROR(INDEX(单位档案!$D$6:$D$35,MATCH($E1325,单位档案!$A$6:$A$35,0)),"")))))</f>
        <v/>
      </c>
      <c r="J1325" s="22"/>
      <c r="K1325" s="22"/>
      <c r="L1325" s="33" t="str">
        <f aca="false">IF($B1325="","",IF(NOT(ISNUMBER($B1325)),"日期格式不对",IF($C1325="","未选项目编号",IF(LEFT($M1325,1)="⚠","项目编号不存在",IF($D1325="","未选业务类型",IF($E1325="","未选开票/付款方",IF(ISNA(MATCH($E1325,单位档案!$A$6:$A$35,0)),"开票方不在单位档案",IF($F1325="","未选收票/收款方",IF(ISNA(MATCH($F1325,单位档案!$A$6:$A$35,0)),"收款方不在单位档案",IF(NOT(ISNUMBER($H1325)),"金额须为数字",IF(AND($D1325="销项开票",$N1325="—"),"链条待确认","√")))))))))))</f>
        <v/>
      </c>
      <c r="M1325" s="34" t="str">
        <f aca="false">IF($C1325="","",IFERROR(INDEX(项目档案!$B$6:$B$255,MATCH($C1325,项目档案!$A$6:$A$255,0)),"⚠项目编号不存在"))</f>
        <v/>
      </c>
      <c r="N1325" s="35" t="str">
        <f aca="false">IF($E1325="","",IF($E1325=IFERROR(INDEX(项目档案!$D$6:$D$255,MATCH($C1325,项目档案!$A$6:$A$255,0)),""),"一级",IF($E1325=IFERROR(INDEX(项目档案!$F$6:$F$255,MATCH($C1325,项目档案!$A$6:$A$255,0)),""),"二级",IF($E1325=IFERROR(INDEX(项目档案!$H$6:$H$255,MATCH($C1325,项目档案!$A$6:$A$255,0)),""),"我方","—"))))</f>
        <v/>
      </c>
      <c r="O1325" s="36" t="n">
        <f aca="false">IF($D1325&lt;&gt;"销项开票",0,ROUND(N($H1325)*N($I1325),2))</f>
        <v>0</v>
      </c>
      <c r="P1325" s="36" t="n">
        <f aca="false">IF($D1325&lt;&gt;"销项开票",0,ROUND(N($H1325)-$O1325,2))</f>
        <v>0</v>
      </c>
      <c r="Q1325" s="37" t="str">
        <f aca="false">IF($E1325="","",N(IFERROR(INDEX(单位档案!$E$6:$E$35,MATCH($E1325,单位档案!$A$6:$A$35,0)),"")))</f>
        <v/>
      </c>
      <c r="R1325" s="37" t="str">
        <f aca="false">IF($E1325="","",N(IFERROR(INDEX(单位档案!$F$6:$F$35,MATCH($E1325,单位档案!$A$6:$A$35,0)),"")))</f>
        <v/>
      </c>
      <c r="S1325" s="36" t="n">
        <f aca="false">IF(OR($D1325&lt;&gt;"销项开票",IFERROR(INDEX(单位档案!$G$6:$G$35,MATCH($E1325,单位档案!$A$6:$A$35,0)),"")&lt;&gt;"是",N($Q1325)=0),0,IF(IFERROR(INDEX(单位档案!$H$6:$H$35,MATCH($E1325,单位档案!$A$6:$A$35,0)),"")="税差法",ROUND(N($H1325)/(1+$Q1325)*$Q1325-IF(N($R1325)=0,0,$P1325/(1+$R1325)*$R1325),2),ROUND(N($H1325)/(1+$Q1325)*$Q1325,2)))</f>
        <v>0</v>
      </c>
      <c r="T1325" s="36" t="n">
        <f aca="false">ROUND($S1325*N(IFERROR(INDEX(单位档案!$J$6:$J$35,MATCH($E1325,单位档案!$A$6:$A$35,0)),"")),2)</f>
        <v>0</v>
      </c>
      <c r="U1325" s="36" t="n">
        <f aca="false">IF($D1325&lt;&gt;"销项开票",0,ROUND(N($H1325)*N(IFERROR(INDEX(单位档案!$K$6:$K$35,MATCH($E1325,单位档案!$A$6:$A$35,0)),"")),2))</f>
        <v>0</v>
      </c>
      <c r="V1325" s="36" t="n">
        <f aca="false">IF(OR($D1325&lt;&gt;"销项开票",N($Q1325)=0),0,ROUND(N($H1325)/(1+$Q1325)*N(IFERROR(INDEX(单位档案!$L$6:$L$35,MATCH($E1325,单位档案!$A$6:$A$35,0)),"")),2))</f>
        <v>0</v>
      </c>
      <c r="W1325" s="36" t="n">
        <f aca="false">ROUND($S1325+$T1325+$U1325+$V1325,2)</f>
        <v>0</v>
      </c>
      <c r="X1325" s="35" t="str">
        <f aca="false">IF(OR($D1325="挂靠代收",$D1325="我方收款"),COUNTIFS($D$5:$D1325,"挂靠代收")+COUNTIFS($D$5:$D1325,"我方收款"),"")</f>
        <v/>
      </c>
      <c r="Y1325" s="35"/>
      <c r="Z1325" s="21" t="s">
        <v>111</v>
      </c>
    </row>
    <row r="1326" customFormat="false" ht="15.75" hidden="false" customHeight="true" outlineLevel="0" collapsed="false">
      <c r="A1326" s="32" t="str">
        <f aca="false">IF($B1326="","",ROW()-4)</f>
        <v/>
      </c>
      <c r="B1326" s="26"/>
      <c r="C1326" s="24"/>
      <c r="D1326" s="21"/>
      <c r="E1326" s="21"/>
      <c r="F1326" s="21"/>
      <c r="G1326" s="21"/>
      <c r="H1326" s="27"/>
      <c r="I1326" s="23" t="str">
        <f aca="false">IF($D1326&lt;&gt;"销项开票","",IF($N1326="一级",IF(IFERROR(INDEX(项目档案!$E$6:$E$255,MATCH($C1326,项目档案!$A$6:$A$255,0)),"")="",N(IFERROR(INDEX(单位档案!$D$6:$D$35,MATCH($E1326,单位档案!$A$6:$A$35,0)),"")),IFERROR(INDEX(项目档案!$E$6:$E$255,MATCH($C1326,项目档案!$A$6:$A$255,0)),"")),IF($N1326="二级",IF(IFERROR(INDEX(项目档案!$G$6:$G$255,MATCH($C1326,项目档案!$A$6:$A$255,0)),"")="",N(IFERROR(INDEX(单位档案!$D$6:$D$35,MATCH($E1326,单位档案!$A$6:$A$35,0)),"")),IFERROR(INDEX(项目档案!$G$6:$G$255,MATCH($C1326,项目档案!$A$6:$A$255,0)),"")),N(IFERROR(INDEX(单位档案!$D$6:$D$35,MATCH($E1326,单位档案!$A$6:$A$35,0)),"")))))</f>
        <v/>
      </c>
      <c r="J1326" s="22"/>
      <c r="K1326" s="22"/>
      <c r="L1326" s="33" t="str">
        <f aca="false">IF($B1326="","",IF(NOT(ISNUMBER($B1326)),"日期格式不对",IF($C1326="","未选项目编号",IF(LEFT($M1326,1)="⚠","项目编号不存在",IF($D1326="","未选业务类型",IF($E1326="","未选开票/付款方",IF(ISNA(MATCH($E1326,单位档案!$A$6:$A$35,0)),"开票方不在单位档案",IF($F1326="","未选收票/收款方",IF(ISNA(MATCH($F1326,单位档案!$A$6:$A$35,0)),"收款方不在单位档案",IF(NOT(ISNUMBER($H1326)),"金额须为数字",IF(AND($D1326="销项开票",$N1326="—"),"链条待确认","√")))))))))))</f>
        <v/>
      </c>
      <c r="M1326" s="34" t="str">
        <f aca="false">IF($C1326="","",IFERROR(INDEX(项目档案!$B$6:$B$255,MATCH($C1326,项目档案!$A$6:$A$255,0)),"⚠项目编号不存在"))</f>
        <v/>
      </c>
      <c r="N1326" s="35" t="str">
        <f aca="false">IF($E1326="","",IF($E1326=IFERROR(INDEX(项目档案!$D$6:$D$255,MATCH($C1326,项目档案!$A$6:$A$255,0)),""),"一级",IF($E1326=IFERROR(INDEX(项目档案!$F$6:$F$255,MATCH($C1326,项目档案!$A$6:$A$255,0)),""),"二级",IF($E1326=IFERROR(INDEX(项目档案!$H$6:$H$255,MATCH($C1326,项目档案!$A$6:$A$255,0)),""),"我方","—"))))</f>
        <v/>
      </c>
      <c r="O1326" s="36" t="n">
        <f aca="false">IF($D1326&lt;&gt;"销项开票",0,ROUND(N($H1326)*N($I1326),2))</f>
        <v>0</v>
      </c>
      <c r="P1326" s="36" t="n">
        <f aca="false">IF($D1326&lt;&gt;"销项开票",0,ROUND(N($H1326)-$O1326,2))</f>
        <v>0</v>
      </c>
      <c r="Q1326" s="37" t="str">
        <f aca="false">IF($E1326="","",N(IFERROR(INDEX(单位档案!$E$6:$E$35,MATCH($E1326,单位档案!$A$6:$A$35,0)),"")))</f>
        <v/>
      </c>
      <c r="R1326" s="37" t="str">
        <f aca="false">IF($E1326="","",N(IFERROR(INDEX(单位档案!$F$6:$F$35,MATCH($E1326,单位档案!$A$6:$A$35,0)),"")))</f>
        <v/>
      </c>
      <c r="S1326" s="36" t="n">
        <f aca="false">IF(OR($D1326&lt;&gt;"销项开票",IFERROR(INDEX(单位档案!$G$6:$G$35,MATCH($E1326,单位档案!$A$6:$A$35,0)),"")&lt;&gt;"是",N($Q1326)=0),0,IF(IFERROR(INDEX(单位档案!$H$6:$H$35,MATCH($E1326,单位档案!$A$6:$A$35,0)),"")="税差法",ROUND(N($H1326)/(1+$Q1326)*$Q1326-IF(N($R1326)=0,0,$P1326/(1+$R1326)*$R1326),2),ROUND(N($H1326)/(1+$Q1326)*$Q1326,2)))</f>
        <v>0</v>
      </c>
      <c r="T1326" s="36" t="n">
        <f aca="false">ROUND($S1326*N(IFERROR(INDEX(单位档案!$J$6:$J$35,MATCH($E1326,单位档案!$A$6:$A$35,0)),"")),2)</f>
        <v>0</v>
      </c>
      <c r="U1326" s="36" t="n">
        <f aca="false">IF($D1326&lt;&gt;"销项开票",0,ROUND(N($H1326)*N(IFERROR(INDEX(单位档案!$K$6:$K$35,MATCH($E1326,单位档案!$A$6:$A$35,0)),"")),2))</f>
        <v>0</v>
      </c>
      <c r="V1326" s="36" t="n">
        <f aca="false">IF(OR($D1326&lt;&gt;"销项开票",N($Q1326)=0),0,ROUND(N($H1326)/(1+$Q1326)*N(IFERROR(INDEX(单位档案!$L$6:$L$35,MATCH($E1326,单位档案!$A$6:$A$35,0)),"")),2))</f>
        <v>0</v>
      </c>
      <c r="W1326" s="36" t="n">
        <f aca="false">ROUND($S1326+$T1326+$U1326+$V1326,2)</f>
        <v>0</v>
      </c>
      <c r="X1326" s="35" t="str">
        <f aca="false">IF(OR($D1326="挂靠代收",$D1326="我方收款"),COUNTIFS($D$5:$D1326,"挂靠代收")+COUNTIFS($D$5:$D1326,"我方收款"),"")</f>
        <v/>
      </c>
      <c r="Y1326" s="35"/>
      <c r="Z1326" s="21" t="s">
        <v>111</v>
      </c>
    </row>
    <row r="1327" customFormat="false" ht="15.75" hidden="false" customHeight="true" outlineLevel="0" collapsed="false">
      <c r="A1327" s="32" t="str">
        <f aca="false">IF($B1327="","",ROW()-4)</f>
        <v/>
      </c>
      <c r="B1327" s="26"/>
      <c r="C1327" s="24"/>
      <c r="D1327" s="21"/>
      <c r="E1327" s="21"/>
      <c r="F1327" s="21"/>
      <c r="G1327" s="21"/>
      <c r="H1327" s="27"/>
      <c r="I1327" s="23" t="str">
        <f aca="false">IF($D1327&lt;&gt;"销项开票","",IF($N1327="一级",IF(IFERROR(INDEX(项目档案!$E$6:$E$255,MATCH($C1327,项目档案!$A$6:$A$255,0)),"")="",N(IFERROR(INDEX(单位档案!$D$6:$D$35,MATCH($E1327,单位档案!$A$6:$A$35,0)),"")),IFERROR(INDEX(项目档案!$E$6:$E$255,MATCH($C1327,项目档案!$A$6:$A$255,0)),"")),IF($N1327="二级",IF(IFERROR(INDEX(项目档案!$G$6:$G$255,MATCH($C1327,项目档案!$A$6:$A$255,0)),"")="",N(IFERROR(INDEX(单位档案!$D$6:$D$35,MATCH($E1327,单位档案!$A$6:$A$35,0)),"")),IFERROR(INDEX(项目档案!$G$6:$G$255,MATCH($C1327,项目档案!$A$6:$A$255,0)),"")),N(IFERROR(INDEX(单位档案!$D$6:$D$35,MATCH($E1327,单位档案!$A$6:$A$35,0)),"")))))</f>
        <v/>
      </c>
      <c r="J1327" s="22"/>
      <c r="K1327" s="22"/>
      <c r="L1327" s="33" t="str">
        <f aca="false">IF($B1327="","",IF(NOT(ISNUMBER($B1327)),"日期格式不对",IF($C1327="","未选项目编号",IF(LEFT($M1327,1)="⚠","项目编号不存在",IF($D1327="","未选业务类型",IF($E1327="","未选开票/付款方",IF(ISNA(MATCH($E1327,单位档案!$A$6:$A$35,0)),"开票方不在单位档案",IF($F1327="","未选收票/收款方",IF(ISNA(MATCH($F1327,单位档案!$A$6:$A$35,0)),"收款方不在单位档案",IF(NOT(ISNUMBER($H1327)),"金额须为数字",IF(AND($D1327="销项开票",$N1327="—"),"链条待确认","√")))))))))))</f>
        <v/>
      </c>
      <c r="M1327" s="34" t="str">
        <f aca="false">IF($C1327="","",IFERROR(INDEX(项目档案!$B$6:$B$255,MATCH($C1327,项目档案!$A$6:$A$255,0)),"⚠项目编号不存在"))</f>
        <v/>
      </c>
      <c r="N1327" s="35" t="str">
        <f aca="false">IF($E1327="","",IF($E1327=IFERROR(INDEX(项目档案!$D$6:$D$255,MATCH($C1327,项目档案!$A$6:$A$255,0)),""),"一级",IF($E1327=IFERROR(INDEX(项目档案!$F$6:$F$255,MATCH($C1327,项目档案!$A$6:$A$255,0)),""),"二级",IF($E1327=IFERROR(INDEX(项目档案!$H$6:$H$255,MATCH($C1327,项目档案!$A$6:$A$255,0)),""),"我方","—"))))</f>
        <v/>
      </c>
      <c r="O1327" s="36" t="n">
        <f aca="false">IF($D1327&lt;&gt;"销项开票",0,ROUND(N($H1327)*N($I1327),2))</f>
        <v>0</v>
      </c>
      <c r="P1327" s="36" t="n">
        <f aca="false">IF($D1327&lt;&gt;"销项开票",0,ROUND(N($H1327)-$O1327,2))</f>
        <v>0</v>
      </c>
      <c r="Q1327" s="37" t="str">
        <f aca="false">IF($E1327="","",N(IFERROR(INDEX(单位档案!$E$6:$E$35,MATCH($E1327,单位档案!$A$6:$A$35,0)),"")))</f>
        <v/>
      </c>
      <c r="R1327" s="37" t="str">
        <f aca="false">IF($E1327="","",N(IFERROR(INDEX(单位档案!$F$6:$F$35,MATCH($E1327,单位档案!$A$6:$A$35,0)),"")))</f>
        <v/>
      </c>
      <c r="S1327" s="36" t="n">
        <f aca="false">IF(OR($D1327&lt;&gt;"销项开票",IFERROR(INDEX(单位档案!$G$6:$G$35,MATCH($E1327,单位档案!$A$6:$A$35,0)),"")&lt;&gt;"是",N($Q1327)=0),0,IF(IFERROR(INDEX(单位档案!$H$6:$H$35,MATCH($E1327,单位档案!$A$6:$A$35,0)),"")="税差法",ROUND(N($H1327)/(1+$Q1327)*$Q1327-IF(N($R1327)=0,0,$P1327/(1+$R1327)*$R1327),2),ROUND(N($H1327)/(1+$Q1327)*$Q1327,2)))</f>
        <v>0</v>
      </c>
      <c r="T1327" s="36" t="n">
        <f aca="false">ROUND($S1327*N(IFERROR(INDEX(单位档案!$J$6:$J$35,MATCH($E1327,单位档案!$A$6:$A$35,0)),"")),2)</f>
        <v>0</v>
      </c>
      <c r="U1327" s="36" t="n">
        <f aca="false">IF($D1327&lt;&gt;"销项开票",0,ROUND(N($H1327)*N(IFERROR(INDEX(单位档案!$K$6:$K$35,MATCH($E1327,单位档案!$A$6:$A$35,0)),"")),2))</f>
        <v>0</v>
      </c>
      <c r="V1327" s="36" t="n">
        <f aca="false">IF(OR($D1327&lt;&gt;"销项开票",N($Q1327)=0),0,ROUND(N($H1327)/(1+$Q1327)*N(IFERROR(INDEX(单位档案!$L$6:$L$35,MATCH($E1327,单位档案!$A$6:$A$35,0)),"")),2))</f>
        <v>0</v>
      </c>
      <c r="W1327" s="36" t="n">
        <f aca="false">ROUND($S1327+$T1327+$U1327+$V1327,2)</f>
        <v>0</v>
      </c>
      <c r="X1327" s="35" t="str">
        <f aca="false">IF(OR($D1327="挂靠代收",$D1327="我方收款"),COUNTIFS($D$5:$D1327,"挂靠代收")+COUNTIFS($D$5:$D1327,"我方收款"),"")</f>
        <v/>
      </c>
      <c r="Y1327" s="35"/>
      <c r="Z1327" s="21" t="s">
        <v>111</v>
      </c>
    </row>
    <row r="1328" customFormat="false" ht="15.75" hidden="false" customHeight="true" outlineLevel="0" collapsed="false">
      <c r="A1328" s="32" t="str">
        <f aca="false">IF($B1328="","",ROW()-4)</f>
        <v/>
      </c>
      <c r="B1328" s="26"/>
      <c r="C1328" s="24"/>
      <c r="D1328" s="21"/>
      <c r="E1328" s="21"/>
      <c r="F1328" s="21"/>
      <c r="G1328" s="21"/>
      <c r="H1328" s="27"/>
      <c r="I1328" s="23" t="str">
        <f aca="false">IF($D1328&lt;&gt;"销项开票","",IF($N1328="一级",IF(IFERROR(INDEX(项目档案!$E$6:$E$255,MATCH($C1328,项目档案!$A$6:$A$255,0)),"")="",N(IFERROR(INDEX(单位档案!$D$6:$D$35,MATCH($E1328,单位档案!$A$6:$A$35,0)),"")),IFERROR(INDEX(项目档案!$E$6:$E$255,MATCH($C1328,项目档案!$A$6:$A$255,0)),"")),IF($N1328="二级",IF(IFERROR(INDEX(项目档案!$G$6:$G$255,MATCH($C1328,项目档案!$A$6:$A$255,0)),"")="",N(IFERROR(INDEX(单位档案!$D$6:$D$35,MATCH($E1328,单位档案!$A$6:$A$35,0)),"")),IFERROR(INDEX(项目档案!$G$6:$G$255,MATCH($C1328,项目档案!$A$6:$A$255,0)),"")),N(IFERROR(INDEX(单位档案!$D$6:$D$35,MATCH($E1328,单位档案!$A$6:$A$35,0)),"")))))</f>
        <v/>
      </c>
      <c r="J1328" s="22"/>
      <c r="K1328" s="22"/>
      <c r="L1328" s="33" t="str">
        <f aca="false">IF($B1328="","",IF(NOT(ISNUMBER($B1328)),"日期格式不对",IF($C1328="","未选项目编号",IF(LEFT($M1328,1)="⚠","项目编号不存在",IF($D1328="","未选业务类型",IF($E1328="","未选开票/付款方",IF(ISNA(MATCH($E1328,单位档案!$A$6:$A$35,0)),"开票方不在单位档案",IF($F1328="","未选收票/收款方",IF(ISNA(MATCH($F1328,单位档案!$A$6:$A$35,0)),"收款方不在单位档案",IF(NOT(ISNUMBER($H1328)),"金额须为数字",IF(AND($D1328="销项开票",$N1328="—"),"链条待确认","√")))))))))))</f>
        <v/>
      </c>
      <c r="M1328" s="34" t="str">
        <f aca="false">IF($C1328="","",IFERROR(INDEX(项目档案!$B$6:$B$255,MATCH($C1328,项目档案!$A$6:$A$255,0)),"⚠项目编号不存在"))</f>
        <v/>
      </c>
      <c r="N1328" s="35" t="str">
        <f aca="false">IF($E1328="","",IF($E1328=IFERROR(INDEX(项目档案!$D$6:$D$255,MATCH($C1328,项目档案!$A$6:$A$255,0)),""),"一级",IF($E1328=IFERROR(INDEX(项目档案!$F$6:$F$255,MATCH($C1328,项目档案!$A$6:$A$255,0)),""),"二级",IF($E1328=IFERROR(INDEX(项目档案!$H$6:$H$255,MATCH($C1328,项目档案!$A$6:$A$255,0)),""),"我方","—"))))</f>
        <v/>
      </c>
      <c r="O1328" s="36" t="n">
        <f aca="false">IF($D1328&lt;&gt;"销项开票",0,ROUND(N($H1328)*N($I1328),2))</f>
        <v>0</v>
      </c>
      <c r="P1328" s="36" t="n">
        <f aca="false">IF($D1328&lt;&gt;"销项开票",0,ROUND(N($H1328)-$O1328,2))</f>
        <v>0</v>
      </c>
      <c r="Q1328" s="37" t="str">
        <f aca="false">IF($E1328="","",N(IFERROR(INDEX(单位档案!$E$6:$E$35,MATCH($E1328,单位档案!$A$6:$A$35,0)),"")))</f>
        <v/>
      </c>
      <c r="R1328" s="37" t="str">
        <f aca="false">IF($E1328="","",N(IFERROR(INDEX(单位档案!$F$6:$F$35,MATCH($E1328,单位档案!$A$6:$A$35,0)),"")))</f>
        <v/>
      </c>
      <c r="S1328" s="36" t="n">
        <f aca="false">IF(OR($D1328&lt;&gt;"销项开票",IFERROR(INDEX(单位档案!$G$6:$G$35,MATCH($E1328,单位档案!$A$6:$A$35,0)),"")&lt;&gt;"是",N($Q1328)=0),0,IF(IFERROR(INDEX(单位档案!$H$6:$H$35,MATCH($E1328,单位档案!$A$6:$A$35,0)),"")="税差法",ROUND(N($H1328)/(1+$Q1328)*$Q1328-IF(N($R1328)=0,0,$P1328/(1+$R1328)*$R1328),2),ROUND(N($H1328)/(1+$Q1328)*$Q1328,2)))</f>
        <v>0</v>
      </c>
      <c r="T1328" s="36" t="n">
        <f aca="false">ROUND($S1328*N(IFERROR(INDEX(单位档案!$J$6:$J$35,MATCH($E1328,单位档案!$A$6:$A$35,0)),"")),2)</f>
        <v>0</v>
      </c>
      <c r="U1328" s="36" t="n">
        <f aca="false">IF($D1328&lt;&gt;"销项开票",0,ROUND(N($H1328)*N(IFERROR(INDEX(单位档案!$K$6:$K$35,MATCH($E1328,单位档案!$A$6:$A$35,0)),"")),2))</f>
        <v>0</v>
      </c>
      <c r="V1328" s="36" t="n">
        <f aca="false">IF(OR($D1328&lt;&gt;"销项开票",N($Q1328)=0),0,ROUND(N($H1328)/(1+$Q1328)*N(IFERROR(INDEX(单位档案!$L$6:$L$35,MATCH($E1328,单位档案!$A$6:$A$35,0)),"")),2))</f>
        <v>0</v>
      </c>
      <c r="W1328" s="36" t="n">
        <f aca="false">ROUND($S1328+$T1328+$U1328+$V1328,2)</f>
        <v>0</v>
      </c>
      <c r="X1328" s="35" t="str">
        <f aca="false">IF(OR($D1328="挂靠代收",$D1328="我方收款"),COUNTIFS($D$5:$D1328,"挂靠代收")+COUNTIFS($D$5:$D1328,"我方收款"),"")</f>
        <v/>
      </c>
      <c r="Y1328" s="35"/>
      <c r="Z1328" s="21" t="s">
        <v>111</v>
      </c>
    </row>
    <row r="1329" customFormat="false" ht="15.75" hidden="false" customHeight="true" outlineLevel="0" collapsed="false">
      <c r="A1329" s="32" t="str">
        <f aca="false">IF($B1329="","",ROW()-4)</f>
        <v/>
      </c>
      <c r="B1329" s="26"/>
      <c r="C1329" s="24"/>
      <c r="D1329" s="21"/>
      <c r="E1329" s="21"/>
      <c r="F1329" s="21"/>
      <c r="G1329" s="21"/>
      <c r="H1329" s="27"/>
      <c r="I1329" s="23" t="str">
        <f aca="false">IF($D1329&lt;&gt;"销项开票","",IF($N1329="一级",IF(IFERROR(INDEX(项目档案!$E$6:$E$255,MATCH($C1329,项目档案!$A$6:$A$255,0)),"")="",N(IFERROR(INDEX(单位档案!$D$6:$D$35,MATCH($E1329,单位档案!$A$6:$A$35,0)),"")),IFERROR(INDEX(项目档案!$E$6:$E$255,MATCH($C1329,项目档案!$A$6:$A$255,0)),"")),IF($N1329="二级",IF(IFERROR(INDEX(项目档案!$G$6:$G$255,MATCH($C1329,项目档案!$A$6:$A$255,0)),"")="",N(IFERROR(INDEX(单位档案!$D$6:$D$35,MATCH($E1329,单位档案!$A$6:$A$35,0)),"")),IFERROR(INDEX(项目档案!$G$6:$G$255,MATCH($C1329,项目档案!$A$6:$A$255,0)),"")),N(IFERROR(INDEX(单位档案!$D$6:$D$35,MATCH($E1329,单位档案!$A$6:$A$35,0)),"")))))</f>
        <v/>
      </c>
      <c r="J1329" s="22"/>
      <c r="K1329" s="22"/>
      <c r="L1329" s="33" t="str">
        <f aca="false">IF($B1329="","",IF(NOT(ISNUMBER($B1329)),"日期格式不对",IF($C1329="","未选项目编号",IF(LEFT($M1329,1)="⚠","项目编号不存在",IF($D1329="","未选业务类型",IF($E1329="","未选开票/付款方",IF(ISNA(MATCH($E1329,单位档案!$A$6:$A$35,0)),"开票方不在单位档案",IF($F1329="","未选收票/收款方",IF(ISNA(MATCH($F1329,单位档案!$A$6:$A$35,0)),"收款方不在单位档案",IF(NOT(ISNUMBER($H1329)),"金额须为数字",IF(AND($D1329="销项开票",$N1329="—"),"链条待确认","√")))))))))))</f>
        <v/>
      </c>
      <c r="M1329" s="34" t="str">
        <f aca="false">IF($C1329="","",IFERROR(INDEX(项目档案!$B$6:$B$255,MATCH($C1329,项目档案!$A$6:$A$255,0)),"⚠项目编号不存在"))</f>
        <v/>
      </c>
      <c r="N1329" s="35" t="str">
        <f aca="false">IF($E1329="","",IF($E1329=IFERROR(INDEX(项目档案!$D$6:$D$255,MATCH($C1329,项目档案!$A$6:$A$255,0)),""),"一级",IF($E1329=IFERROR(INDEX(项目档案!$F$6:$F$255,MATCH($C1329,项目档案!$A$6:$A$255,0)),""),"二级",IF($E1329=IFERROR(INDEX(项目档案!$H$6:$H$255,MATCH($C1329,项目档案!$A$6:$A$255,0)),""),"我方","—"))))</f>
        <v/>
      </c>
      <c r="O1329" s="36" t="n">
        <f aca="false">IF($D1329&lt;&gt;"销项开票",0,ROUND(N($H1329)*N($I1329),2))</f>
        <v>0</v>
      </c>
      <c r="P1329" s="36" t="n">
        <f aca="false">IF($D1329&lt;&gt;"销项开票",0,ROUND(N($H1329)-$O1329,2))</f>
        <v>0</v>
      </c>
      <c r="Q1329" s="37" t="str">
        <f aca="false">IF($E1329="","",N(IFERROR(INDEX(单位档案!$E$6:$E$35,MATCH($E1329,单位档案!$A$6:$A$35,0)),"")))</f>
        <v/>
      </c>
      <c r="R1329" s="37" t="str">
        <f aca="false">IF($E1329="","",N(IFERROR(INDEX(单位档案!$F$6:$F$35,MATCH($E1329,单位档案!$A$6:$A$35,0)),"")))</f>
        <v/>
      </c>
      <c r="S1329" s="36" t="n">
        <f aca="false">IF(OR($D1329&lt;&gt;"销项开票",IFERROR(INDEX(单位档案!$G$6:$G$35,MATCH($E1329,单位档案!$A$6:$A$35,0)),"")&lt;&gt;"是",N($Q1329)=0),0,IF(IFERROR(INDEX(单位档案!$H$6:$H$35,MATCH($E1329,单位档案!$A$6:$A$35,0)),"")="税差法",ROUND(N($H1329)/(1+$Q1329)*$Q1329-IF(N($R1329)=0,0,$P1329/(1+$R1329)*$R1329),2),ROUND(N($H1329)/(1+$Q1329)*$Q1329,2)))</f>
        <v>0</v>
      </c>
      <c r="T1329" s="36" t="n">
        <f aca="false">ROUND($S1329*N(IFERROR(INDEX(单位档案!$J$6:$J$35,MATCH($E1329,单位档案!$A$6:$A$35,0)),"")),2)</f>
        <v>0</v>
      </c>
      <c r="U1329" s="36" t="n">
        <f aca="false">IF($D1329&lt;&gt;"销项开票",0,ROUND(N($H1329)*N(IFERROR(INDEX(单位档案!$K$6:$K$35,MATCH($E1329,单位档案!$A$6:$A$35,0)),"")),2))</f>
        <v>0</v>
      </c>
      <c r="V1329" s="36" t="n">
        <f aca="false">IF(OR($D1329&lt;&gt;"销项开票",N($Q1329)=0),0,ROUND(N($H1329)/(1+$Q1329)*N(IFERROR(INDEX(单位档案!$L$6:$L$35,MATCH($E1329,单位档案!$A$6:$A$35,0)),"")),2))</f>
        <v>0</v>
      </c>
      <c r="W1329" s="36" t="n">
        <f aca="false">ROUND($S1329+$T1329+$U1329+$V1329,2)</f>
        <v>0</v>
      </c>
      <c r="X1329" s="35" t="str">
        <f aca="false">IF(OR($D1329="挂靠代收",$D1329="我方收款"),COUNTIFS($D$5:$D1329,"挂靠代收")+COUNTIFS($D$5:$D1329,"我方收款"),"")</f>
        <v/>
      </c>
      <c r="Y1329" s="35"/>
      <c r="Z1329" s="21" t="s">
        <v>111</v>
      </c>
    </row>
    <row r="1330" customFormat="false" ht="15.75" hidden="false" customHeight="true" outlineLevel="0" collapsed="false">
      <c r="A1330" s="32" t="str">
        <f aca="false">IF($B1330="","",ROW()-4)</f>
        <v/>
      </c>
      <c r="B1330" s="26"/>
      <c r="C1330" s="24"/>
      <c r="D1330" s="21"/>
      <c r="E1330" s="21"/>
      <c r="F1330" s="21"/>
      <c r="G1330" s="21"/>
      <c r="H1330" s="27"/>
      <c r="I1330" s="23" t="str">
        <f aca="false">IF($D1330&lt;&gt;"销项开票","",IF($N1330="一级",IF(IFERROR(INDEX(项目档案!$E$6:$E$255,MATCH($C1330,项目档案!$A$6:$A$255,0)),"")="",N(IFERROR(INDEX(单位档案!$D$6:$D$35,MATCH($E1330,单位档案!$A$6:$A$35,0)),"")),IFERROR(INDEX(项目档案!$E$6:$E$255,MATCH($C1330,项目档案!$A$6:$A$255,0)),"")),IF($N1330="二级",IF(IFERROR(INDEX(项目档案!$G$6:$G$255,MATCH($C1330,项目档案!$A$6:$A$255,0)),"")="",N(IFERROR(INDEX(单位档案!$D$6:$D$35,MATCH($E1330,单位档案!$A$6:$A$35,0)),"")),IFERROR(INDEX(项目档案!$G$6:$G$255,MATCH($C1330,项目档案!$A$6:$A$255,0)),"")),N(IFERROR(INDEX(单位档案!$D$6:$D$35,MATCH($E1330,单位档案!$A$6:$A$35,0)),"")))))</f>
        <v/>
      </c>
      <c r="J1330" s="22"/>
      <c r="K1330" s="22"/>
      <c r="L1330" s="33" t="str">
        <f aca="false">IF($B1330="","",IF(NOT(ISNUMBER($B1330)),"日期格式不对",IF($C1330="","未选项目编号",IF(LEFT($M1330,1)="⚠","项目编号不存在",IF($D1330="","未选业务类型",IF($E1330="","未选开票/付款方",IF(ISNA(MATCH($E1330,单位档案!$A$6:$A$35,0)),"开票方不在单位档案",IF($F1330="","未选收票/收款方",IF(ISNA(MATCH($F1330,单位档案!$A$6:$A$35,0)),"收款方不在单位档案",IF(NOT(ISNUMBER($H1330)),"金额须为数字",IF(AND($D1330="销项开票",$N1330="—"),"链条待确认","√")))))))))))</f>
        <v/>
      </c>
      <c r="M1330" s="34" t="str">
        <f aca="false">IF($C1330="","",IFERROR(INDEX(项目档案!$B$6:$B$255,MATCH($C1330,项目档案!$A$6:$A$255,0)),"⚠项目编号不存在"))</f>
        <v/>
      </c>
      <c r="N1330" s="35" t="str">
        <f aca="false">IF($E1330="","",IF($E1330=IFERROR(INDEX(项目档案!$D$6:$D$255,MATCH($C1330,项目档案!$A$6:$A$255,0)),""),"一级",IF($E1330=IFERROR(INDEX(项目档案!$F$6:$F$255,MATCH($C1330,项目档案!$A$6:$A$255,0)),""),"二级",IF($E1330=IFERROR(INDEX(项目档案!$H$6:$H$255,MATCH($C1330,项目档案!$A$6:$A$255,0)),""),"我方","—"))))</f>
        <v/>
      </c>
      <c r="O1330" s="36" t="n">
        <f aca="false">IF($D1330&lt;&gt;"销项开票",0,ROUND(N($H1330)*N($I1330),2))</f>
        <v>0</v>
      </c>
      <c r="P1330" s="36" t="n">
        <f aca="false">IF($D1330&lt;&gt;"销项开票",0,ROUND(N($H1330)-$O1330,2))</f>
        <v>0</v>
      </c>
      <c r="Q1330" s="37" t="str">
        <f aca="false">IF($E1330="","",N(IFERROR(INDEX(单位档案!$E$6:$E$35,MATCH($E1330,单位档案!$A$6:$A$35,0)),"")))</f>
        <v/>
      </c>
      <c r="R1330" s="37" t="str">
        <f aca="false">IF($E1330="","",N(IFERROR(INDEX(单位档案!$F$6:$F$35,MATCH($E1330,单位档案!$A$6:$A$35,0)),"")))</f>
        <v/>
      </c>
      <c r="S1330" s="36" t="n">
        <f aca="false">IF(OR($D1330&lt;&gt;"销项开票",IFERROR(INDEX(单位档案!$G$6:$G$35,MATCH($E1330,单位档案!$A$6:$A$35,0)),"")&lt;&gt;"是",N($Q1330)=0),0,IF(IFERROR(INDEX(单位档案!$H$6:$H$35,MATCH($E1330,单位档案!$A$6:$A$35,0)),"")="税差法",ROUND(N($H1330)/(1+$Q1330)*$Q1330-IF(N($R1330)=0,0,$P1330/(1+$R1330)*$R1330),2),ROUND(N($H1330)/(1+$Q1330)*$Q1330,2)))</f>
        <v>0</v>
      </c>
      <c r="T1330" s="36" t="n">
        <f aca="false">ROUND($S1330*N(IFERROR(INDEX(单位档案!$J$6:$J$35,MATCH($E1330,单位档案!$A$6:$A$35,0)),"")),2)</f>
        <v>0</v>
      </c>
      <c r="U1330" s="36" t="n">
        <f aca="false">IF($D1330&lt;&gt;"销项开票",0,ROUND(N($H1330)*N(IFERROR(INDEX(单位档案!$K$6:$K$35,MATCH($E1330,单位档案!$A$6:$A$35,0)),"")),2))</f>
        <v>0</v>
      </c>
      <c r="V1330" s="36" t="n">
        <f aca="false">IF(OR($D1330&lt;&gt;"销项开票",N($Q1330)=0),0,ROUND(N($H1330)/(1+$Q1330)*N(IFERROR(INDEX(单位档案!$L$6:$L$35,MATCH($E1330,单位档案!$A$6:$A$35,0)),"")),2))</f>
        <v>0</v>
      </c>
      <c r="W1330" s="36" t="n">
        <f aca="false">ROUND($S1330+$T1330+$U1330+$V1330,2)</f>
        <v>0</v>
      </c>
      <c r="X1330" s="35" t="str">
        <f aca="false">IF(OR($D1330="挂靠代收",$D1330="我方收款"),COUNTIFS($D$5:$D1330,"挂靠代收")+COUNTIFS($D$5:$D1330,"我方收款"),"")</f>
        <v/>
      </c>
      <c r="Y1330" s="35"/>
      <c r="Z1330" s="21" t="s">
        <v>111</v>
      </c>
    </row>
    <row r="1331" customFormat="false" ht="15.75" hidden="false" customHeight="true" outlineLevel="0" collapsed="false">
      <c r="A1331" s="32" t="str">
        <f aca="false">IF($B1331="","",ROW()-4)</f>
        <v/>
      </c>
      <c r="B1331" s="26"/>
      <c r="C1331" s="24"/>
      <c r="D1331" s="21"/>
      <c r="E1331" s="21"/>
      <c r="F1331" s="21"/>
      <c r="G1331" s="21"/>
      <c r="H1331" s="27"/>
      <c r="I1331" s="23" t="str">
        <f aca="false">IF($D1331&lt;&gt;"销项开票","",IF($N1331="一级",IF(IFERROR(INDEX(项目档案!$E$6:$E$255,MATCH($C1331,项目档案!$A$6:$A$255,0)),"")="",N(IFERROR(INDEX(单位档案!$D$6:$D$35,MATCH($E1331,单位档案!$A$6:$A$35,0)),"")),IFERROR(INDEX(项目档案!$E$6:$E$255,MATCH($C1331,项目档案!$A$6:$A$255,0)),"")),IF($N1331="二级",IF(IFERROR(INDEX(项目档案!$G$6:$G$255,MATCH($C1331,项目档案!$A$6:$A$255,0)),"")="",N(IFERROR(INDEX(单位档案!$D$6:$D$35,MATCH($E1331,单位档案!$A$6:$A$35,0)),"")),IFERROR(INDEX(项目档案!$G$6:$G$255,MATCH($C1331,项目档案!$A$6:$A$255,0)),"")),N(IFERROR(INDEX(单位档案!$D$6:$D$35,MATCH($E1331,单位档案!$A$6:$A$35,0)),"")))))</f>
        <v/>
      </c>
      <c r="J1331" s="22"/>
      <c r="K1331" s="22"/>
      <c r="L1331" s="33" t="str">
        <f aca="false">IF($B1331="","",IF(NOT(ISNUMBER($B1331)),"日期格式不对",IF($C1331="","未选项目编号",IF(LEFT($M1331,1)="⚠","项目编号不存在",IF($D1331="","未选业务类型",IF($E1331="","未选开票/付款方",IF(ISNA(MATCH($E1331,单位档案!$A$6:$A$35,0)),"开票方不在单位档案",IF($F1331="","未选收票/收款方",IF(ISNA(MATCH($F1331,单位档案!$A$6:$A$35,0)),"收款方不在单位档案",IF(NOT(ISNUMBER($H1331)),"金额须为数字",IF(AND($D1331="销项开票",$N1331="—"),"链条待确认","√")))))))))))</f>
        <v/>
      </c>
      <c r="M1331" s="34" t="str">
        <f aca="false">IF($C1331="","",IFERROR(INDEX(项目档案!$B$6:$B$255,MATCH($C1331,项目档案!$A$6:$A$255,0)),"⚠项目编号不存在"))</f>
        <v/>
      </c>
      <c r="N1331" s="35" t="str">
        <f aca="false">IF($E1331="","",IF($E1331=IFERROR(INDEX(项目档案!$D$6:$D$255,MATCH($C1331,项目档案!$A$6:$A$255,0)),""),"一级",IF($E1331=IFERROR(INDEX(项目档案!$F$6:$F$255,MATCH($C1331,项目档案!$A$6:$A$255,0)),""),"二级",IF($E1331=IFERROR(INDEX(项目档案!$H$6:$H$255,MATCH($C1331,项目档案!$A$6:$A$255,0)),""),"我方","—"))))</f>
        <v/>
      </c>
      <c r="O1331" s="36" t="n">
        <f aca="false">IF($D1331&lt;&gt;"销项开票",0,ROUND(N($H1331)*N($I1331),2))</f>
        <v>0</v>
      </c>
      <c r="P1331" s="36" t="n">
        <f aca="false">IF($D1331&lt;&gt;"销项开票",0,ROUND(N($H1331)-$O1331,2))</f>
        <v>0</v>
      </c>
      <c r="Q1331" s="37" t="str">
        <f aca="false">IF($E1331="","",N(IFERROR(INDEX(单位档案!$E$6:$E$35,MATCH($E1331,单位档案!$A$6:$A$35,0)),"")))</f>
        <v/>
      </c>
      <c r="R1331" s="37" t="str">
        <f aca="false">IF($E1331="","",N(IFERROR(INDEX(单位档案!$F$6:$F$35,MATCH($E1331,单位档案!$A$6:$A$35,0)),"")))</f>
        <v/>
      </c>
      <c r="S1331" s="36" t="n">
        <f aca="false">IF(OR($D1331&lt;&gt;"销项开票",IFERROR(INDEX(单位档案!$G$6:$G$35,MATCH($E1331,单位档案!$A$6:$A$35,0)),"")&lt;&gt;"是",N($Q1331)=0),0,IF(IFERROR(INDEX(单位档案!$H$6:$H$35,MATCH($E1331,单位档案!$A$6:$A$35,0)),"")="税差法",ROUND(N($H1331)/(1+$Q1331)*$Q1331-IF(N($R1331)=0,0,$P1331/(1+$R1331)*$R1331),2),ROUND(N($H1331)/(1+$Q1331)*$Q1331,2)))</f>
        <v>0</v>
      </c>
      <c r="T1331" s="36" t="n">
        <f aca="false">ROUND($S1331*N(IFERROR(INDEX(单位档案!$J$6:$J$35,MATCH($E1331,单位档案!$A$6:$A$35,0)),"")),2)</f>
        <v>0</v>
      </c>
      <c r="U1331" s="36" t="n">
        <f aca="false">IF($D1331&lt;&gt;"销项开票",0,ROUND(N($H1331)*N(IFERROR(INDEX(单位档案!$K$6:$K$35,MATCH($E1331,单位档案!$A$6:$A$35,0)),"")),2))</f>
        <v>0</v>
      </c>
      <c r="V1331" s="36" t="n">
        <f aca="false">IF(OR($D1331&lt;&gt;"销项开票",N($Q1331)=0),0,ROUND(N($H1331)/(1+$Q1331)*N(IFERROR(INDEX(单位档案!$L$6:$L$35,MATCH($E1331,单位档案!$A$6:$A$35,0)),"")),2))</f>
        <v>0</v>
      </c>
      <c r="W1331" s="36" t="n">
        <f aca="false">ROUND($S1331+$T1331+$U1331+$V1331,2)</f>
        <v>0</v>
      </c>
      <c r="X1331" s="35" t="str">
        <f aca="false">IF(OR($D1331="挂靠代收",$D1331="我方收款"),COUNTIFS($D$5:$D1331,"挂靠代收")+COUNTIFS($D$5:$D1331,"我方收款"),"")</f>
        <v/>
      </c>
      <c r="Y1331" s="35"/>
      <c r="Z1331" s="21" t="s">
        <v>111</v>
      </c>
    </row>
    <row r="1332" customFormat="false" ht="15.75" hidden="false" customHeight="true" outlineLevel="0" collapsed="false">
      <c r="A1332" s="32" t="str">
        <f aca="false">IF($B1332="","",ROW()-4)</f>
        <v/>
      </c>
      <c r="B1332" s="26"/>
      <c r="C1332" s="24"/>
      <c r="D1332" s="21"/>
      <c r="E1332" s="21"/>
      <c r="F1332" s="21"/>
      <c r="G1332" s="21"/>
      <c r="H1332" s="27"/>
      <c r="I1332" s="23" t="str">
        <f aca="false">IF($D1332&lt;&gt;"销项开票","",IF($N1332="一级",IF(IFERROR(INDEX(项目档案!$E$6:$E$255,MATCH($C1332,项目档案!$A$6:$A$255,0)),"")="",N(IFERROR(INDEX(单位档案!$D$6:$D$35,MATCH($E1332,单位档案!$A$6:$A$35,0)),"")),IFERROR(INDEX(项目档案!$E$6:$E$255,MATCH($C1332,项目档案!$A$6:$A$255,0)),"")),IF($N1332="二级",IF(IFERROR(INDEX(项目档案!$G$6:$G$255,MATCH($C1332,项目档案!$A$6:$A$255,0)),"")="",N(IFERROR(INDEX(单位档案!$D$6:$D$35,MATCH($E1332,单位档案!$A$6:$A$35,0)),"")),IFERROR(INDEX(项目档案!$G$6:$G$255,MATCH($C1332,项目档案!$A$6:$A$255,0)),"")),N(IFERROR(INDEX(单位档案!$D$6:$D$35,MATCH($E1332,单位档案!$A$6:$A$35,0)),"")))))</f>
        <v/>
      </c>
      <c r="J1332" s="22"/>
      <c r="K1332" s="22"/>
      <c r="L1332" s="33" t="str">
        <f aca="false">IF($B1332="","",IF(NOT(ISNUMBER($B1332)),"日期格式不对",IF($C1332="","未选项目编号",IF(LEFT($M1332,1)="⚠","项目编号不存在",IF($D1332="","未选业务类型",IF($E1332="","未选开票/付款方",IF(ISNA(MATCH($E1332,单位档案!$A$6:$A$35,0)),"开票方不在单位档案",IF($F1332="","未选收票/收款方",IF(ISNA(MATCH($F1332,单位档案!$A$6:$A$35,0)),"收款方不在单位档案",IF(NOT(ISNUMBER($H1332)),"金额须为数字",IF(AND($D1332="销项开票",$N1332="—"),"链条待确认","√")))))))))))</f>
        <v/>
      </c>
      <c r="M1332" s="34" t="str">
        <f aca="false">IF($C1332="","",IFERROR(INDEX(项目档案!$B$6:$B$255,MATCH($C1332,项目档案!$A$6:$A$255,0)),"⚠项目编号不存在"))</f>
        <v/>
      </c>
      <c r="N1332" s="35" t="str">
        <f aca="false">IF($E1332="","",IF($E1332=IFERROR(INDEX(项目档案!$D$6:$D$255,MATCH($C1332,项目档案!$A$6:$A$255,0)),""),"一级",IF($E1332=IFERROR(INDEX(项目档案!$F$6:$F$255,MATCH($C1332,项目档案!$A$6:$A$255,0)),""),"二级",IF($E1332=IFERROR(INDEX(项目档案!$H$6:$H$255,MATCH($C1332,项目档案!$A$6:$A$255,0)),""),"我方","—"))))</f>
        <v/>
      </c>
      <c r="O1332" s="36" t="n">
        <f aca="false">IF($D1332&lt;&gt;"销项开票",0,ROUND(N($H1332)*N($I1332),2))</f>
        <v>0</v>
      </c>
      <c r="P1332" s="36" t="n">
        <f aca="false">IF($D1332&lt;&gt;"销项开票",0,ROUND(N($H1332)-$O1332,2))</f>
        <v>0</v>
      </c>
      <c r="Q1332" s="37" t="str">
        <f aca="false">IF($E1332="","",N(IFERROR(INDEX(单位档案!$E$6:$E$35,MATCH($E1332,单位档案!$A$6:$A$35,0)),"")))</f>
        <v/>
      </c>
      <c r="R1332" s="37" t="str">
        <f aca="false">IF($E1332="","",N(IFERROR(INDEX(单位档案!$F$6:$F$35,MATCH($E1332,单位档案!$A$6:$A$35,0)),"")))</f>
        <v/>
      </c>
      <c r="S1332" s="36" t="n">
        <f aca="false">IF(OR($D1332&lt;&gt;"销项开票",IFERROR(INDEX(单位档案!$G$6:$G$35,MATCH($E1332,单位档案!$A$6:$A$35,0)),"")&lt;&gt;"是",N($Q1332)=0),0,IF(IFERROR(INDEX(单位档案!$H$6:$H$35,MATCH($E1332,单位档案!$A$6:$A$35,0)),"")="税差法",ROUND(N($H1332)/(1+$Q1332)*$Q1332-IF(N($R1332)=0,0,$P1332/(1+$R1332)*$R1332),2),ROUND(N($H1332)/(1+$Q1332)*$Q1332,2)))</f>
        <v>0</v>
      </c>
      <c r="T1332" s="36" t="n">
        <f aca="false">ROUND($S1332*N(IFERROR(INDEX(单位档案!$J$6:$J$35,MATCH($E1332,单位档案!$A$6:$A$35,0)),"")),2)</f>
        <v>0</v>
      </c>
      <c r="U1332" s="36" t="n">
        <f aca="false">IF($D1332&lt;&gt;"销项开票",0,ROUND(N($H1332)*N(IFERROR(INDEX(单位档案!$K$6:$K$35,MATCH($E1332,单位档案!$A$6:$A$35,0)),"")),2))</f>
        <v>0</v>
      </c>
      <c r="V1332" s="36" t="n">
        <f aca="false">IF(OR($D1332&lt;&gt;"销项开票",N($Q1332)=0),0,ROUND(N($H1332)/(1+$Q1332)*N(IFERROR(INDEX(单位档案!$L$6:$L$35,MATCH($E1332,单位档案!$A$6:$A$35,0)),"")),2))</f>
        <v>0</v>
      </c>
      <c r="W1332" s="36" t="n">
        <f aca="false">ROUND($S1332+$T1332+$U1332+$V1332,2)</f>
        <v>0</v>
      </c>
      <c r="X1332" s="35" t="str">
        <f aca="false">IF(OR($D1332="挂靠代收",$D1332="我方收款"),COUNTIFS($D$5:$D1332,"挂靠代收")+COUNTIFS($D$5:$D1332,"我方收款"),"")</f>
        <v/>
      </c>
      <c r="Y1332" s="35"/>
      <c r="Z1332" s="21" t="s">
        <v>111</v>
      </c>
    </row>
    <row r="1333" customFormat="false" ht="15.75" hidden="false" customHeight="true" outlineLevel="0" collapsed="false">
      <c r="A1333" s="32" t="str">
        <f aca="false">IF($B1333="","",ROW()-4)</f>
        <v/>
      </c>
      <c r="B1333" s="26"/>
      <c r="C1333" s="24"/>
      <c r="D1333" s="21"/>
      <c r="E1333" s="21"/>
      <c r="F1333" s="21"/>
      <c r="G1333" s="21"/>
      <c r="H1333" s="27"/>
      <c r="I1333" s="23" t="str">
        <f aca="false">IF($D1333&lt;&gt;"销项开票","",IF($N1333="一级",IF(IFERROR(INDEX(项目档案!$E$6:$E$255,MATCH($C1333,项目档案!$A$6:$A$255,0)),"")="",N(IFERROR(INDEX(单位档案!$D$6:$D$35,MATCH($E1333,单位档案!$A$6:$A$35,0)),"")),IFERROR(INDEX(项目档案!$E$6:$E$255,MATCH($C1333,项目档案!$A$6:$A$255,0)),"")),IF($N1333="二级",IF(IFERROR(INDEX(项目档案!$G$6:$G$255,MATCH($C1333,项目档案!$A$6:$A$255,0)),"")="",N(IFERROR(INDEX(单位档案!$D$6:$D$35,MATCH($E1333,单位档案!$A$6:$A$35,0)),"")),IFERROR(INDEX(项目档案!$G$6:$G$255,MATCH($C1333,项目档案!$A$6:$A$255,0)),"")),N(IFERROR(INDEX(单位档案!$D$6:$D$35,MATCH($E1333,单位档案!$A$6:$A$35,0)),"")))))</f>
        <v/>
      </c>
      <c r="J1333" s="22"/>
      <c r="K1333" s="22"/>
      <c r="L1333" s="33" t="str">
        <f aca="false">IF($B1333="","",IF(NOT(ISNUMBER($B1333)),"日期格式不对",IF($C1333="","未选项目编号",IF(LEFT($M1333,1)="⚠","项目编号不存在",IF($D1333="","未选业务类型",IF($E1333="","未选开票/付款方",IF(ISNA(MATCH($E1333,单位档案!$A$6:$A$35,0)),"开票方不在单位档案",IF($F1333="","未选收票/收款方",IF(ISNA(MATCH($F1333,单位档案!$A$6:$A$35,0)),"收款方不在单位档案",IF(NOT(ISNUMBER($H1333)),"金额须为数字",IF(AND($D1333="销项开票",$N1333="—"),"链条待确认","√")))))))))))</f>
        <v/>
      </c>
      <c r="M1333" s="34" t="str">
        <f aca="false">IF($C1333="","",IFERROR(INDEX(项目档案!$B$6:$B$255,MATCH($C1333,项目档案!$A$6:$A$255,0)),"⚠项目编号不存在"))</f>
        <v/>
      </c>
      <c r="N1333" s="35" t="str">
        <f aca="false">IF($E1333="","",IF($E1333=IFERROR(INDEX(项目档案!$D$6:$D$255,MATCH($C1333,项目档案!$A$6:$A$255,0)),""),"一级",IF($E1333=IFERROR(INDEX(项目档案!$F$6:$F$255,MATCH($C1333,项目档案!$A$6:$A$255,0)),""),"二级",IF($E1333=IFERROR(INDEX(项目档案!$H$6:$H$255,MATCH($C1333,项目档案!$A$6:$A$255,0)),""),"我方","—"))))</f>
        <v/>
      </c>
      <c r="O1333" s="36" t="n">
        <f aca="false">IF($D1333&lt;&gt;"销项开票",0,ROUND(N($H1333)*N($I1333),2))</f>
        <v>0</v>
      </c>
      <c r="P1333" s="36" t="n">
        <f aca="false">IF($D1333&lt;&gt;"销项开票",0,ROUND(N($H1333)-$O1333,2))</f>
        <v>0</v>
      </c>
      <c r="Q1333" s="37" t="str">
        <f aca="false">IF($E1333="","",N(IFERROR(INDEX(单位档案!$E$6:$E$35,MATCH($E1333,单位档案!$A$6:$A$35,0)),"")))</f>
        <v/>
      </c>
      <c r="R1333" s="37" t="str">
        <f aca="false">IF($E1333="","",N(IFERROR(INDEX(单位档案!$F$6:$F$35,MATCH($E1333,单位档案!$A$6:$A$35,0)),"")))</f>
        <v/>
      </c>
      <c r="S1333" s="36" t="n">
        <f aca="false">IF(OR($D1333&lt;&gt;"销项开票",IFERROR(INDEX(单位档案!$G$6:$G$35,MATCH($E1333,单位档案!$A$6:$A$35,0)),"")&lt;&gt;"是",N($Q1333)=0),0,IF(IFERROR(INDEX(单位档案!$H$6:$H$35,MATCH($E1333,单位档案!$A$6:$A$35,0)),"")="税差法",ROUND(N($H1333)/(1+$Q1333)*$Q1333-IF(N($R1333)=0,0,$P1333/(1+$R1333)*$R1333),2),ROUND(N($H1333)/(1+$Q1333)*$Q1333,2)))</f>
        <v>0</v>
      </c>
      <c r="T1333" s="36" t="n">
        <f aca="false">ROUND($S1333*N(IFERROR(INDEX(单位档案!$J$6:$J$35,MATCH($E1333,单位档案!$A$6:$A$35,0)),"")),2)</f>
        <v>0</v>
      </c>
      <c r="U1333" s="36" t="n">
        <f aca="false">IF($D1333&lt;&gt;"销项开票",0,ROUND(N($H1333)*N(IFERROR(INDEX(单位档案!$K$6:$K$35,MATCH($E1333,单位档案!$A$6:$A$35,0)),"")),2))</f>
        <v>0</v>
      </c>
      <c r="V1333" s="36" t="n">
        <f aca="false">IF(OR($D1333&lt;&gt;"销项开票",N($Q1333)=0),0,ROUND(N($H1333)/(1+$Q1333)*N(IFERROR(INDEX(单位档案!$L$6:$L$35,MATCH($E1333,单位档案!$A$6:$A$35,0)),"")),2))</f>
        <v>0</v>
      </c>
      <c r="W1333" s="36" t="n">
        <f aca="false">ROUND($S1333+$T1333+$U1333+$V1333,2)</f>
        <v>0</v>
      </c>
      <c r="X1333" s="35" t="str">
        <f aca="false">IF(OR($D1333="挂靠代收",$D1333="我方收款"),COUNTIFS($D$5:$D1333,"挂靠代收")+COUNTIFS($D$5:$D1333,"我方收款"),"")</f>
        <v/>
      </c>
      <c r="Y1333" s="35"/>
      <c r="Z1333" s="21" t="s">
        <v>111</v>
      </c>
    </row>
    <row r="1334" customFormat="false" ht="15.75" hidden="false" customHeight="true" outlineLevel="0" collapsed="false">
      <c r="A1334" s="32" t="str">
        <f aca="false">IF($B1334="","",ROW()-4)</f>
        <v/>
      </c>
      <c r="B1334" s="26"/>
      <c r="C1334" s="24"/>
      <c r="D1334" s="21"/>
      <c r="E1334" s="21"/>
      <c r="F1334" s="21"/>
      <c r="G1334" s="21"/>
      <c r="H1334" s="27"/>
      <c r="I1334" s="23" t="str">
        <f aca="false">IF($D1334&lt;&gt;"销项开票","",IF($N1334="一级",IF(IFERROR(INDEX(项目档案!$E$6:$E$255,MATCH($C1334,项目档案!$A$6:$A$255,0)),"")="",N(IFERROR(INDEX(单位档案!$D$6:$D$35,MATCH($E1334,单位档案!$A$6:$A$35,0)),"")),IFERROR(INDEX(项目档案!$E$6:$E$255,MATCH($C1334,项目档案!$A$6:$A$255,0)),"")),IF($N1334="二级",IF(IFERROR(INDEX(项目档案!$G$6:$G$255,MATCH($C1334,项目档案!$A$6:$A$255,0)),"")="",N(IFERROR(INDEX(单位档案!$D$6:$D$35,MATCH($E1334,单位档案!$A$6:$A$35,0)),"")),IFERROR(INDEX(项目档案!$G$6:$G$255,MATCH($C1334,项目档案!$A$6:$A$255,0)),"")),N(IFERROR(INDEX(单位档案!$D$6:$D$35,MATCH($E1334,单位档案!$A$6:$A$35,0)),"")))))</f>
        <v/>
      </c>
      <c r="J1334" s="22"/>
      <c r="K1334" s="22"/>
      <c r="L1334" s="33" t="str">
        <f aca="false">IF($B1334="","",IF(NOT(ISNUMBER($B1334)),"日期格式不对",IF($C1334="","未选项目编号",IF(LEFT($M1334,1)="⚠","项目编号不存在",IF($D1334="","未选业务类型",IF($E1334="","未选开票/付款方",IF(ISNA(MATCH($E1334,单位档案!$A$6:$A$35,0)),"开票方不在单位档案",IF($F1334="","未选收票/收款方",IF(ISNA(MATCH($F1334,单位档案!$A$6:$A$35,0)),"收款方不在单位档案",IF(NOT(ISNUMBER($H1334)),"金额须为数字",IF(AND($D1334="销项开票",$N1334="—"),"链条待确认","√")))))))))))</f>
        <v/>
      </c>
      <c r="M1334" s="34" t="str">
        <f aca="false">IF($C1334="","",IFERROR(INDEX(项目档案!$B$6:$B$255,MATCH($C1334,项目档案!$A$6:$A$255,0)),"⚠项目编号不存在"))</f>
        <v/>
      </c>
      <c r="N1334" s="35" t="str">
        <f aca="false">IF($E1334="","",IF($E1334=IFERROR(INDEX(项目档案!$D$6:$D$255,MATCH($C1334,项目档案!$A$6:$A$255,0)),""),"一级",IF($E1334=IFERROR(INDEX(项目档案!$F$6:$F$255,MATCH($C1334,项目档案!$A$6:$A$255,0)),""),"二级",IF($E1334=IFERROR(INDEX(项目档案!$H$6:$H$255,MATCH($C1334,项目档案!$A$6:$A$255,0)),""),"我方","—"))))</f>
        <v/>
      </c>
      <c r="O1334" s="36" t="n">
        <f aca="false">IF($D1334&lt;&gt;"销项开票",0,ROUND(N($H1334)*N($I1334),2))</f>
        <v>0</v>
      </c>
      <c r="P1334" s="36" t="n">
        <f aca="false">IF($D1334&lt;&gt;"销项开票",0,ROUND(N($H1334)-$O1334,2))</f>
        <v>0</v>
      </c>
      <c r="Q1334" s="37" t="str">
        <f aca="false">IF($E1334="","",N(IFERROR(INDEX(单位档案!$E$6:$E$35,MATCH($E1334,单位档案!$A$6:$A$35,0)),"")))</f>
        <v/>
      </c>
      <c r="R1334" s="37" t="str">
        <f aca="false">IF($E1334="","",N(IFERROR(INDEX(单位档案!$F$6:$F$35,MATCH($E1334,单位档案!$A$6:$A$35,0)),"")))</f>
        <v/>
      </c>
      <c r="S1334" s="36" t="n">
        <f aca="false">IF(OR($D1334&lt;&gt;"销项开票",IFERROR(INDEX(单位档案!$G$6:$G$35,MATCH($E1334,单位档案!$A$6:$A$35,0)),"")&lt;&gt;"是",N($Q1334)=0),0,IF(IFERROR(INDEX(单位档案!$H$6:$H$35,MATCH($E1334,单位档案!$A$6:$A$35,0)),"")="税差法",ROUND(N($H1334)/(1+$Q1334)*$Q1334-IF(N($R1334)=0,0,$P1334/(1+$R1334)*$R1334),2),ROUND(N($H1334)/(1+$Q1334)*$Q1334,2)))</f>
        <v>0</v>
      </c>
      <c r="T1334" s="36" t="n">
        <f aca="false">ROUND($S1334*N(IFERROR(INDEX(单位档案!$J$6:$J$35,MATCH($E1334,单位档案!$A$6:$A$35,0)),"")),2)</f>
        <v>0</v>
      </c>
      <c r="U1334" s="36" t="n">
        <f aca="false">IF($D1334&lt;&gt;"销项开票",0,ROUND(N($H1334)*N(IFERROR(INDEX(单位档案!$K$6:$K$35,MATCH($E1334,单位档案!$A$6:$A$35,0)),"")),2))</f>
        <v>0</v>
      </c>
      <c r="V1334" s="36" t="n">
        <f aca="false">IF(OR($D1334&lt;&gt;"销项开票",N($Q1334)=0),0,ROUND(N($H1334)/(1+$Q1334)*N(IFERROR(INDEX(单位档案!$L$6:$L$35,MATCH($E1334,单位档案!$A$6:$A$35,0)),"")),2))</f>
        <v>0</v>
      </c>
      <c r="W1334" s="36" t="n">
        <f aca="false">ROUND($S1334+$T1334+$U1334+$V1334,2)</f>
        <v>0</v>
      </c>
      <c r="X1334" s="35" t="str">
        <f aca="false">IF(OR($D1334="挂靠代收",$D1334="我方收款"),COUNTIFS($D$5:$D1334,"挂靠代收")+COUNTIFS($D$5:$D1334,"我方收款"),"")</f>
        <v/>
      </c>
      <c r="Y1334" s="35"/>
      <c r="Z1334" s="21" t="s">
        <v>111</v>
      </c>
    </row>
    <row r="1335" customFormat="false" ht="15.75" hidden="false" customHeight="true" outlineLevel="0" collapsed="false">
      <c r="A1335" s="32" t="str">
        <f aca="false">IF($B1335="","",ROW()-4)</f>
        <v/>
      </c>
      <c r="B1335" s="26"/>
      <c r="C1335" s="24"/>
      <c r="D1335" s="21"/>
      <c r="E1335" s="21"/>
      <c r="F1335" s="21"/>
      <c r="G1335" s="21"/>
      <c r="H1335" s="27"/>
      <c r="I1335" s="23" t="str">
        <f aca="false">IF($D1335&lt;&gt;"销项开票","",IF($N1335="一级",IF(IFERROR(INDEX(项目档案!$E$6:$E$255,MATCH($C1335,项目档案!$A$6:$A$255,0)),"")="",N(IFERROR(INDEX(单位档案!$D$6:$D$35,MATCH($E1335,单位档案!$A$6:$A$35,0)),"")),IFERROR(INDEX(项目档案!$E$6:$E$255,MATCH($C1335,项目档案!$A$6:$A$255,0)),"")),IF($N1335="二级",IF(IFERROR(INDEX(项目档案!$G$6:$G$255,MATCH($C1335,项目档案!$A$6:$A$255,0)),"")="",N(IFERROR(INDEX(单位档案!$D$6:$D$35,MATCH($E1335,单位档案!$A$6:$A$35,0)),"")),IFERROR(INDEX(项目档案!$G$6:$G$255,MATCH($C1335,项目档案!$A$6:$A$255,0)),"")),N(IFERROR(INDEX(单位档案!$D$6:$D$35,MATCH($E1335,单位档案!$A$6:$A$35,0)),"")))))</f>
        <v/>
      </c>
      <c r="J1335" s="22"/>
      <c r="K1335" s="22"/>
      <c r="L1335" s="33" t="str">
        <f aca="false">IF($B1335="","",IF(NOT(ISNUMBER($B1335)),"日期格式不对",IF($C1335="","未选项目编号",IF(LEFT($M1335,1)="⚠","项目编号不存在",IF($D1335="","未选业务类型",IF($E1335="","未选开票/付款方",IF(ISNA(MATCH($E1335,单位档案!$A$6:$A$35,0)),"开票方不在单位档案",IF($F1335="","未选收票/收款方",IF(ISNA(MATCH($F1335,单位档案!$A$6:$A$35,0)),"收款方不在单位档案",IF(NOT(ISNUMBER($H1335)),"金额须为数字",IF(AND($D1335="销项开票",$N1335="—"),"链条待确认","√")))))))))))</f>
        <v/>
      </c>
      <c r="M1335" s="34" t="str">
        <f aca="false">IF($C1335="","",IFERROR(INDEX(项目档案!$B$6:$B$255,MATCH($C1335,项目档案!$A$6:$A$255,0)),"⚠项目编号不存在"))</f>
        <v/>
      </c>
      <c r="N1335" s="35" t="str">
        <f aca="false">IF($E1335="","",IF($E1335=IFERROR(INDEX(项目档案!$D$6:$D$255,MATCH($C1335,项目档案!$A$6:$A$255,0)),""),"一级",IF($E1335=IFERROR(INDEX(项目档案!$F$6:$F$255,MATCH($C1335,项目档案!$A$6:$A$255,0)),""),"二级",IF($E1335=IFERROR(INDEX(项目档案!$H$6:$H$255,MATCH($C1335,项目档案!$A$6:$A$255,0)),""),"我方","—"))))</f>
        <v/>
      </c>
      <c r="O1335" s="36" t="n">
        <f aca="false">IF($D1335&lt;&gt;"销项开票",0,ROUND(N($H1335)*N($I1335),2))</f>
        <v>0</v>
      </c>
      <c r="P1335" s="36" t="n">
        <f aca="false">IF($D1335&lt;&gt;"销项开票",0,ROUND(N($H1335)-$O1335,2))</f>
        <v>0</v>
      </c>
      <c r="Q1335" s="37" t="str">
        <f aca="false">IF($E1335="","",N(IFERROR(INDEX(单位档案!$E$6:$E$35,MATCH($E1335,单位档案!$A$6:$A$35,0)),"")))</f>
        <v/>
      </c>
      <c r="R1335" s="37" t="str">
        <f aca="false">IF($E1335="","",N(IFERROR(INDEX(单位档案!$F$6:$F$35,MATCH($E1335,单位档案!$A$6:$A$35,0)),"")))</f>
        <v/>
      </c>
      <c r="S1335" s="36" t="n">
        <f aca="false">IF(OR($D1335&lt;&gt;"销项开票",IFERROR(INDEX(单位档案!$G$6:$G$35,MATCH($E1335,单位档案!$A$6:$A$35,0)),"")&lt;&gt;"是",N($Q1335)=0),0,IF(IFERROR(INDEX(单位档案!$H$6:$H$35,MATCH($E1335,单位档案!$A$6:$A$35,0)),"")="税差法",ROUND(N($H1335)/(1+$Q1335)*$Q1335-IF(N($R1335)=0,0,$P1335/(1+$R1335)*$R1335),2),ROUND(N($H1335)/(1+$Q1335)*$Q1335,2)))</f>
        <v>0</v>
      </c>
      <c r="T1335" s="36" t="n">
        <f aca="false">ROUND($S1335*N(IFERROR(INDEX(单位档案!$J$6:$J$35,MATCH($E1335,单位档案!$A$6:$A$35,0)),"")),2)</f>
        <v>0</v>
      </c>
      <c r="U1335" s="36" t="n">
        <f aca="false">IF($D1335&lt;&gt;"销项开票",0,ROUND(N($H1335)*N(IFERROR(INDEX(单位档案!$K$6:$K$35,MATCH($E1335,单位档案!$A$6:$A$35,0)),"")),2))</f>
        <v>0</v>
      </c>
      <c r="V1335" s="36" t="n">
        <f aca="false">IF(OR($D1335&lt;&gt;"销项开票",N($Q1335)=0),0,ROUND(N($H1335)/(1+$Q1335)*N(IFERROR(INDEX(单位档案!$L$6:$L$35,MATCH($E1335,单位档案!$A$6:$A$35,0)),"")),2))</f>
        <v>0</v>
      </c>
      <c r="W1335" s="36" t="n">
        <f aca="false">ROUND($S1335+$T1335+$U1335+$V1335,2)</f>
        <v>0</v>
      </c>
      <c r="X1335" s="35" t="str">
        <f aca="false">IF(OR($D1335="挂靠代收",$D1335="我方收款"),COUNTIFS($D$5:$D1335,"挂靠代收")+COUNTIFS($D$5:$D1335,"我方收款"),"")</f>
        <v/>
      </c>
      <c r="Y1335" s="35"/>
      <c r="Z1335" s="21" t="s">
        <v>111</v>
      </c>
    </row>
    <row r="1336" customFormat="false" ht="15.75" hidden="false" customHeight="true" outlineLevel="0" collapsed="false">
      <c r="A1336" s="32" t="str">
        <f aca="false">IF($B1336="","",ROW()-4)</f>
        <v/>
      </c>
      <c r="B1336" s="26"/>
      <c r="C1336" s="24"/>
      <c r="D1336" s="21"/>
      <c r="E1336" s="21"/>
      <c r="F1336" s="21"/>
      <c r="G1336" s="21"/>
      <c r="H1336" s="27"/>
      <c r="I1336" s="23" t="str">
        <f aca="false">IF($D1336&lt;&gt;"销项开票","",IF($N1336="一级",IF(IFERROR(INDEX(项目档案!$E$6:$E$255,MATCH($C1336,项目档案!$A$6:$A$255,0)),"")="",N(IFERROR(INDEX(单位档案!$D$6:$D$35,MATCH($E1336,单位档案!$A$6:$A$35,0)),"")),IFERROR(INDEX(项目档案!$E$6:$E$255,MATCH($C1336,项目档案!$A$6:$A$255,0)),"")),IF($N1336="二级",IF(IFERROR(INDEX(项目档案!$G$6:$G$255,MATCH($C1336,项目档案!$A$6:$A$255,0)),"")="",N(IFERROR(INDEX(单位档案!$D$6:$D$35,MATCH($E1336,单位档案!$A$6:$A$35,0)),"")),IFERROR(INDEX(项目档案!$G$6:$G$255,MATCH($C1336,项目档案!$A$6:$A$255,0)),"")),N(IFERROR(INDEX(单位档案!$D$6:$D$35,MATCH($E1336,单位档案!$A$6:$A$35,0)),"")))))</f>
        <v/>
      </c>
      <c r="J1336" s="22"/>
      <c r="K1336" s="22"/>
      <c r="L1336" s="33" t="str">
        <f aca="false">IF($B1336="","",IF(NOT(ISNUMBER($B1336)),"日期格式不对",IF($C1336="","未选项目编号",IF(LEFT($M1336,1)="⚠","项目编号不存在",IF($D1336="","未选业务类型",IF($E1336="","未选开票/付款方",IF(ISNA(MATCH($E1336,单位档案!$A$6:$A$35,0)),"开票方不在单位档案",IF($F1336="","未选收票/收款方",IF(ISNA(MATCH($F1336,单位档案!$A$6:$A$35,0)),"收款方不在单位档案",IF(NOT(ISNUMBER($H1336)),"金额须为数字",IF(AND($D1336="销项开票",$N1336="—"),"链条待确认","√")))))))))))</f>
        <v/>
      </c>
      <c r="M1336" s="34" t="str">
        <f aca="false">IF($C1336="","",IFERROR(INDEX(项目档案!$B$6:$B$255,MATCH($C1336,项目档案!$A$6:$A$255,0)),"⚠项目编号不存在"))</f>
        <v/>
      </c>
      <c r="N1336" s="35" t="str">
        <f aca="false">IF($E1336="","",IF($E1336=IFERROR(INDEX(项目档案!$D$6:$D$255,MATCH($C1336,项目档案!$A$6:$A$255,0)),""),"一级",IF($E1336=IFERROR(INDEX(项目档案!$F$6:$F$255,MATCH($C1336,项目档案!$A$6:$A$255,0)),""),"二级",IF($E1336=IFERROR(INDEX(项目档案!$H$6:$H$255,MATCH($C1336,项目档案!$A$6:$A$255,0)),""),"我方","—"))))</f>
        <v/>
      </c>
      <c r="O1336" s="36" t="n">
        <f aca="false">IF($D1336&lt;&gt;"销项开票",0,ROUND(N($H1336)*N($I1336),2))</f>
        <v>0</v>
      </c>
      <c r="P1336" s="36" t="n">
        <f aca="false">IF($D1336&lt;&gt;"销项开票",0,ROUND(N($H1336)-$O1336,2))</f>
        <v>0</v>
      </c>
      <c r="Q1336" s="37" t="str">
        <f aca="false">IF($E1336="","",N(IFERROR(INDEX(单位档案!$E$6:$E$35,MATCH($E1336,单位档案!$A$6:$A$35,0)),"")))</f>
        <v/>
      </c>
      <c r="R1336" s="37" t="str">
        <f aca="false">IF($E1336="","",N(IFERROR(INDEX(单位档案!$F$6:$F$35,MATCH($E1336,单位档案!$A$6:$A$35,0)),"")))</f>
        <v/>
      </c>
      <c r="S1336" s="36" t="n">
        <f aca="false">IF(OR($D1336&lt;&gt;"销项开票",IFERROR(INDEX(单位档案!$G$6:$G$35,MATCH($E1336,单位档案!$A$6:$A$35,0)),"")&lt;&gt;"是",N($Q1336)=0),0,IF(IFERROR(INDEX(单位档案!$H$6:$H$35,MATCH($E1336,单位档案!$A$6:$A$35,0)),"")="税差法",ROUND(N($H1336)/(1+$Q1336)*$Q1336-IF(N($R1336)=0,0,$P1336/(1+$R1336)*$R1336),2),ROUND(N($H1336)/(1+$Q1336)*$Q1336,2)))</f>
        <v>0</v>
      </c>
      <c r="T1336" s="36" t="n">
        <f aca="false">ROUND($S1336*N(IFERROR(INDEX(单位档案!$J$6:$J$35,MATCH($E1336,单位档案!$A$6:$A$35,0)),"")),2)</f>
        <v>0</v>
      </c>
      <c r="U1336" s="36" t="n">
        <f aca="false">IF($D1336&lt;&gt;"销项开票",0,ROUND(N($H1336)*N(IFERROR(INDEX(单位档案!$K$6:$K$35,MATCH($E1336,单位档案!$A$6:$A$35,0)),"")),2))</f>
        <v>0</v>
      </c>
      <c r="V1336" s="36" t="n">
        <f aca="false">IF(OR($D1336&lt;&gt;"销项开票",N($Q1336)=0),0,ROUND(N($H1336)/(1+$Q1336)*N(IFERROR(INDEX(单位档案!$L$6:$L$35,MATCH($E1336,单位档案!$A$6:$A$35,0)),"")),2))</f>
        <v>0</v>
      </c>
      <c r="W1336" s="36" t="n">
        <f aca="false">ROUND($S1336+$T1336+$U1336+$V1336,2)</f>
        <v>0</v>
      </c>
      <c r="X1336" s="35" t="str">
        <f aca="false">IF(OR($D1336="挂靠代收",$D1336="我方收款"),COUNTIFS($D$5:$D1336,"挂靠代收")+COUNTIFS($D$5:$D1336,"我方收款"),"")</f>
        <v/>
      </c>
      <c r="Y1336" s="35"/>
      <c r="Z1336" s="21" t="s">
        <v>111</v>
      </c>
    </row>
    <row r="1337" customFormat="false" ht="15.75" hidden="false" customHeight="true" outlineLevel="0" collapsed="false">
      <c r="A1337" s="32" t="str">
        <f aca="false">IF($B1337="","",ROW()-4)</f>
        <v/>
      </c>
      <c r="B1337" s="26"/>
      <c r="C1337" s="24"/>
      <c r="D1337" s="21"/>
      <c r="E1337" s="21"/>
      <c r="F1337" s="21"/>
      <c r="G1337" s="21"/>
      <c r="H1337" s="27"/>
      <c r="I1337" s="23" t="str">
        <f aca="false">IF($D1337&lt;&gt;"销项开票","",IF($N1337="一级",IF(IFERROR(INDEX(项目档案!$E$6:$E$255,MATCH($C1337,项目档案!$A$6:$A$255,0)),"")="",N(IFERROR(INDEX(单位档案!$D$6:$D$35,MATCH($E1337,单位档案!$A$6:$A$35,0)),"")),IFERROR(INDEX(项目档案!$E$6:$E$255,MATCH($C1337,项目档案!$A$6:$A$255,0)),"")),IF($N1337="二级",IF(IFERROR(INDEX(项目档案!$G$6:$G$255,MATCH($C1337,项目档案!$A$6:$A$255,0)),"")="",N(IFERROR(INDEX(单位档案!$D$6:$D$35,MATCH($E1337,单位档案!$A$6:$A$35,0)),"")),IFERROR(INDEX(项目档案!$G$6:$G$255,MATCH($C1337,项目档案!$A$6:$A$255,0)),"")),N(IFERROR(INDEX(单位档案!$D$6:$D$35,MATCH($E1337,单位档案!$A$6:$A$35,0)),"")))))</f>
        <v/>
      </c>
      <c r="J1337" s="22"/>
      <c r="K1337" s="22"/>
      <c r="L1337" s="33" t="str">
        <f aca="false">IF($B1337="","",IF(NOT(ISNUMBER($B1337)),"日期格式不对",IF($C1337="","未选项目编号",IF(LEFT($M1337,1)="⚠","项目编号不存在",IF($D1337="","未选业务类型",IF($E1337="","未选开票/付款方",IF(ISNA(MATCH($E1337,单位档案!$A$6:$A$35,0)),"开票方不在单位档案",IF($F1337="","未选收票/收款方",IF(ISNA(MATCH($F1337,单位档案!$A$6:$A$35,0)),"收款方不在单位档案",IF(NOT(ISNUMBER($H1337)),"金额须为数字",IF(AND($D1337="销项开票",$N1337="—"),"链条待确认","√")))))))))))</f>
        <v/>
      </c>
      <c r="M1337" s="34" t="str">
        <f aca="false">IF($C1337="","",IFERROR(INDEX(项目档案!$B$6:$B$255,MATCH($C1337,项目档案!$A$6:$A$255,0)),"⚠项目编号不存在"))</f>
        <v/>
      </c>
      <c r="N1337" s="35" t="str">
        <f aca="false">IF($E1337="","",IF($E1337=IFERROR(INDEX(项目档案!$D$6:$D$255,MATCH($C1337,项目档案!$A$6:$A$255,0)),""),"一级",IF($E1337=IFERROR(INDEX(项目档案!$F$6:$F$255,MATCH($C1337,项目档案!$A$6:$A$255,0)),""),"二级",IF($E1337=IFERROR(INDEX(项目档案!$H$6:$H$255,MATCH($C1337,项目档案!$A$6:$A$255,0)),""),"我方","—"))))</f>
        <v/>
      </c>
      <c r="O1337" s="36" t="n">
        <f aca="false">IF($D1337&lt;&gt;"销项开票",0,ROUND(N($H1337)*N($I1337),2))</f>
        <v>0</v>
      </c>
      <c r="P1337" s="36" t="n">
        <f aca="false">IF($D1337&lt;&gt;"销项开票",0,ROUND(N($H1337)-$O1337,2))</f>
        <v>0</v>
      </c>
      <c r="Q1337" s="37" t="str">
        <f aca="false">IF($E1337="","",N(IFERROR(INDEX(单位档案!$E$6:$E$35,MATCH($E1337,单位档案!$A$6:$A$35,0)),"")))</f>
        <v/>
      </c>
      <c r="R1337" s="37" t="str">
        <f aca="false">IF($E1337="","",N(IFERROR(INDEX(单位档案!$F$6:$F$35,MATCH($E1337,单位档案!$A$6:$A$35,0)),"")))</f>
        <v/>
      </c>
      <c r="S1337" s="36" t="n">
        <f aca="false">IF(OR($D1337&lt;&gt;"销项开票",IFERROR(INDEX(单位档案!$G$6:$G$35,MATCH($E1337,单位档案!$A$6:$A$35,0)),"")&lt;&gt;"是",N($Q1337)=0),0,IF(IFERROR(INDEX(单位档案!$H$6:$H$35,MATCH($E1337,单位档案!$A$6:$A$35,0)),"")="税差法",ROUND(N($H1337)/(1+$Q1337)*$Q1337-IF(N($R1337)=0,0,$P1337/(1+$R1337)*$R1337),2),ROUND(N($H1337)/(1+$Q1337)*$Q1337,2)))</f>
        <v>0</v>
      </c>
      <c r="T1337" s="36" t="n">
        <f aca="false">ROUND($S1337*N(IFERROR(INDEX(单位档案!$J$6:$J$35,MATCH($E1337,单位档案!$A$6:$A$35,0)),"")),2)</f>
        <v>0</v>
      </c>
      <c r="U1337" s="36" t="n">
        <f aca="false">IF($D1337&lt;&gt;"销项开票",0,ROUND(N($H1337)*N(IFERROR(INDEX(单位档案!$K$6:$K$35,MATCH($E1337,单位档案!$A$6:$A$35,0)),"")),2))</f>
        <v>0</v>
      </c>
      <c r="V1337" s="36" t="n">
        <f aca="false">IF(OR($D1337&lt;&gt;"销项开票",N($Q1337)=0),0,ROUND(N($H1337)/(1+$Q1337)*N(IFERROR(INDEX(单位档案!$L$6:$L$35,MATCH($E1337,单位档案!$A$6:$A$35,0)),"")),2))</f>
        <v>0</v>
      </c>
      <c r="W1337" s="36" t="n">
        <f aca="false">ROUND($S1337+$T1337+$U1337+$V1337,2)</f>
        <v>0</v>
      </c>
      <c r="X1337" s="35" t="str">
        <f aca="false">IF(OR($D1337="挂靠代收",$D1337="我方收款"),COUNTIFS($D$5:$D1337,"挂靠代收")+COUNTIFS($D$5:$D1337,"我方收款"),"")</f>
        <v/>
      </c>
      <c r="Y1337" s="35"/>
      <c r="Z1337" s="21" t="s">
        <v>111</v>
      </c>
    </row>
    <row r="1338" customFormat="false" ht="15.75" hidden="false" customHeight="true" outlineLevel="0" collapsed="false">
      <c r="A1338" s="32" t="str">
        <f aca="false">IF($B1338="","",ROW()-4)</f>
        <v/>
      </c>
      <c r="B1338" s="26"/>
      <c r="C1338" s="24"/>
      <c r="D1338" s="21"/>
      <c r="E1338" s="21"/>
      <c r="F1338" s="21"/>
      <c r="G1338" s="21"/>
      <c r="H1338" s="27"/>
      <c r="I1338" s="23" t="str">
        <f aca="false">IF($D1338&lt;&gt;"销项开票","",IF($N1338="一级",IF(IFERROR(INDEX(项目档案!$E$6:$E$255,MATCH($C1338,项目档案!$A$6:$A$255,0)),"")="",N(IFERROR(INDEX(单位档案!$D$6:$D$35,MATCH($E1338,单位档案!$A$6:$A$35,0)),"")),IFERROR(INDEX(项目档案!$E$6:$E$255,MATCH($C1338,项目档案!$A$6:$A$255,0)),"")),IF($N1338="二级",IF(IFERROR(INDEX(项目档案!$G$6:$G$255,MATCH($C1338,项目档案!$A$6:$A$255,0)),"")="",N(IFERROR(INDEX(单位档案!$D$6:$D$35,MATCH($E1338,单位档案!$A$6:$A$35,0)),"")),IFERROR(INDEX(项目档案!$G$6:$G$255,MATCH($C1338,项目档案!$A$6:$A$255,0)),"")),N(IFERROR(INDEX(单位档案!$D$6:$D$35,MATCH($E1338,单位档案!$A$6:$A$35,0)),"")))))</f>
        <v/>
      </c>
      <c r="J1338" s="22"/>
      <c r="K1338" s="22"/>
      <c r="L1338" s="33" t="str">
        <f aca="false">IF($B1338="","",IF(NOT(ISNUMBER($B1338)),"日期格式不对",IF($C1338="","未选项目编号",IF(LEFT($M1338,1)="⚠","项目编号不存在",IF($D1338="","未选业务类型",IF($E1338="","未选开票/付款方",IF(ISNA(MATCH($E1338,单位档案!$A$6:$A$35,0)),"开票方不在单位档案",IF($F1338="","未选收票/收款方",IF(ISNA(MATCH($F1338,单位档案!$A$6:$A$35,0)),"收款方不在单位档案",IF(NOT(ISNUMBER($H1338)),"金额须为数字",IF(AND($D1338="销项开票",$N1338="—"),"链条待确认","√")))))))))))</f>
        <v/>
      </c>
      <c r="M1338" s="34" t="str">
        <f aca="false">IF($C1338="","",IFERROR(INDEX(项目档案!$B$6:$B$255,MATCH($C1338,项目档案!$A$6:$A$255,0)),"⚠项目编号不存在"))</f>
        <v/>
      </c>
      <c r="N1338" s="35" t="str">
        <f aca="false">IF($E1338="","",IF($E1338=IFERROR(INDEX(项目档案!$D$6:$D$255,MATCH($C1338,项目档案!$A$6:$A$255,0)),""),"一级",IF($E1338=IFERROR(INDEX(项目档案!$F$6:$F$255,MATCH($C1338,项目档案!$A$6:$A$255,0)),""),"二级",IF($E1338=IFERROR(INDEX(项目档案!$H$6:$H$255,MATCH($C1338,项目档案!$A$6:$A$255,0)),""),"我方","—"))))</f>
        <v/>
      </c>
      <c r="O1338" s="36" t="n">
        <f aca="false">IF($D1338&lt;&gt;"销项开票",0,ROUND(N($H1338)*N($I1338),2))</f>
        <v>0</v>
      </c>
      <c r="P1338" s="36" t="n">
        <f aca="false">IF($D1338&lt;&gt;"销项开票",0,ROUND(N($H1338)-$O1338,2))</f>
        <v>0</v>
      </c>
      <c r="Q1338" s="37" t="str">
        <f aca="false">IF($E1338="","",N(IFERROR(INDEX(单位档案!$E$6:$E$35,MATCH($E1338,单位档案!$A$6:$A$35,0)),"")))</f>
        <v/>
      </c>
      <c r="R1338" s="37" t="str">
        <f aca="false">IF($E1338="","",N(IFERROR(INDEX(单位档案!$F$6:$F$35,MATCH($E1338,单位档案!$A$6:$A$35,0)),"")))</f>
        <v/>
      </c>
      <c r="S1338" s="36" t="n">
        <f aca="false">IF(OR($D1338&lt;&gt;"销项开票",IFERROR(INDEX(单位档案!$G$6:$G$35,MATCH($E1338,单位档案!$A$6:$A$35,0)),"")&lt;&gt;"是",N($Q1338)=0),0,IF(IFERROR(INDEX(单位档案!$H$6:$H$35,MATCH($E1338,单位档案!$A$6:$A$35,0)),"")="税差法",ROUND(N($H1338)/(1+$Q1338)*$Q1338-IF(N($R1338)=0,0,$P1338/(1+$R1338)*$R1338),2),ROUND(N($H1338)/(1+$Q1338)*$Q1338,2)))</f>
        <v>0</v>
      </c>
      <c r="T1338" s="36" t="n">
        <f aca="false">ROUND($S1338*N(IFERROR(INDEX(单位档案!$J$6:$J$35,MATCH($E1338,单位档案!$A$6:$A$35,0)),"")),2)</f>
        <v>0</v>
      </c>
      <c r="U1338" s="36" t="n">
        <f aca="false">IF($D1338&lt;&gt;"销项开票",0,ROUND(N($H1338)*N(IFERROR(INDEX(单位档案!$K$6:$K$35,MATCH($E1338,单位档案!$A$6:$A$35,0)),"")),2))</f>
        <v>0</v>
      </c>
      <c r="V1338" s="36" t="n">
        <f aca="false">IF(OR($D1338&lt;&gt;"销项开票",N($Q1338)=0),0,ROUND(N($H1338)/(1+$Q1338)*N(IFERROR(INDEX(单位档案!$L$6:$L$35,MATCH($E1338,单位档案!$A$6:$A$35,0)),"")),2))</f>
        <v>0</v>
      </c>
      <c r="W1338" s="36" t="n">
        <f aca="false">ROUND($S1338+$T1338+$U1338+$V1338,2)</f>
        <v>0</v>
      </c>
      <c r="X1338" s="35" t="str">
        <f aca="false">IF(OR($D1338="挂靠代收",$D1338="我方收款"),COUNTIFS($D$5:$D1338,"挂靠代收")+COUNTIFS($D$5:$D1338,"我方收款"),"")</f>
        <v/>
      </c>
      <c r="Y1338" s="35"/>
      <c r="Z1338" s="21" t="s">
        <v>111</v>
      </c>
    </row>
    <row r="1339" customFormat="false" ht="15.75" hidden="false" customHeight="true" outlineLevel="0" collapsed="false">
      <c r="A1339" s="32" t="str">
        <f aca="false">IF($B1339="","",ROW()-4)</f>
        <v/>
      </c>
      <c r="B1339" s="26"/>
      <c r="C1339" s="24"/>
      <c r="D1339" s="21"/>
      <c r="E1339" s="21"/>
      <c r="F1339" s="21"/>
      <c r="G1339" s="21"/>
      <c r="H1339" s="27"/>
      <c r="I1339" s="23" t="str">
        <f aca="false">IF($D1339&lt;&gt;"销项开票","",IF($N1339="一级",IF(IFERROR(INDEX(项目档案!$E$6:$E$255,MATCH($C1339,项目档案!$A$6:$A$255,0)),"")="",N(IFERROR(INDEX(单位档案!$D$6:$D$35,MATCH($E1339,单位档案!$A$6:$A$35,0)),"")),IFERROR(INDEX(项目档案!$E$6:$E$255,MATCH($C1339,项目档案!$A$6:$A$255,0)),"")),IF($N1339="二级",IF(IFERROR(INDEX(项目档案!$G$6:$G$255,MATCH($C1339,项目档案!$A$6:$A$255,0)),"")="",N(IFERROR(INDEX(单位档案!$D$6:$D$35,MATCH($E1339,单位档案!$A$6:$A$35,0)),"")),IFERROR(INDEX(项目档案!$G$6:$G$255,MATCH($C1339,项目档案!$A$6:$A$255,0)),"")),N(IFERROR(INDEX(单位档案!$D$6:$D$35,MATCH($E1339,单位档案!$A$6:$A$35,0)),"")))))</f>
        <v/>
      </c>
      <c r="J1339" s="22"/>
      <c r="K1339" s="22"/>
      <c r="L1339" s="33" t="str">
        <f aca="false">IF($B1339="","",IF(NOT(ISNUMBER($B1339)),"日期格式不对",IF($C1339="","未选项目编号",IF(LEFT($M1339,1)="⚠","项目编号不存在",IF($D1339="","未选业务类型",IF($E1339="","未选开票/付款方",IF(ISNA(MATCH($E1339,单位档案!$A$6:$A$35,0)),"开票方不在单位档案",IF($F1339="","未选收票/收款方",IF(ISNA(MATCH($F1339,单位档案!$A$6:$A$35,0)),"收款方不在单位档案",IF(NOT(ISNUMBER($H1339)),"金额须为数字",IF(AND($D1339="销项开票",$N1339="—"),"链条待确认","√")))))))))))</f>
        <v/>
      </c>
      <c r="M1339" s="34" t="str">
        <f aca="false">IF($C1339="","",IFERROR(INDEX(项目档案!$B$6:$B$255,MATCH($C1339,项目档案!$A$6:$A$255,0)),"⚠项目编号不存在"))</f>
        <v/>
      </c>
      <c r="N1339" s="35" t="str">
        <f aca="false">IF($E1339="","",IF($E1339=IFERROR(INDEX(项目档案!$D$6:$D$255,MATCH($C1339,项目档案!$A$6:$A$255,0)),""),"一级",IF($E1339=IFERROR(INDEX(项目档案!$F$6:$F$255,MATCH($C1339,项目档案!$A$6:$A$255,0)),""),"二级",IF($E1339=IFERROR(INDEX(项目档案!$H$6:$H$255,MATCH($C1339,项目档案!$A$6:$A$255,0)),""),"我方","—"))))</f>
        <v/>
      </c>
      <c r="O1339" s="36" t="n">
        <f aca="false">IF($D1339&lt;&gt;"销项开票",0,ROUND(N($H1339)*N($I1339),2))</f>
        <v>0</v>
      </c>
      <c r="P1339" s="36" t="n">
        <f aca="false">IF($D1339&lt;&gt;"销项开票",0,ROUND(N($H1339)-$O1339,2))</f>
        <v>0</v>
      </c>
      <c r="Q1339" s="37" t="str">
        <f aca="false">IF($E1339="","",N(IFERROR(INDEX(单位档案!$E$6:$E$35,MATCH($E1339,单位档案!$A$6:$A$35,0)),"")))</f>
        <v/>
      </c>
      <c r="R1339" s="37" t="str">
        <f aca="false">IF($E1339="","",N(IFERROR(INDEX(单位档案!$F$6:$F$35,MATCH($E1339,单位档案!$A$6:$A$35,0)),"")))</f>
        <v/>
      </c>
      <c r="S1339" s="36" t="n">
        <f aca="false">IF(OR($D1339&lt;&gt;"销项开票",IFERROR(INDEX(单位档案!$G$6:$G$35,MATCH($E1339,单位档案!$A$6:$A$35,0)),"")&lt;&gt;"是",N($Q1339)=0),0,IF(IFERROR(INDEX(单位档案!$H$6:$H$35,MATCH($E1339,单位档案!$A$6:$A$35,0)),"")="税差法",ROUND(N($H1339)/(1+$Q1339)*$Q1339-IF(N($R1339)=0,0,$P1339/(1+$R1339)*$R1339),2),ROUND(N($H1339)/(1+$Q1339)*$Q1339,2)))</f>
        <v>0</v>
      </c>
      <c r="T1339" s="36" t="n">
        <f aca="false">ROUND($S1339*N(IFERROR(INDEX(单位档案!$J$6:$J$35,MATCH($E1339,单位档案!$A$6:$A$35,0)),"")),2)</f>
        <v>0</v>
      </c>
      <c r="U1339" s="36" t="n">
        <f aca="false">IF($D1339&lt;&gt;"销项开票",0,ROUND(N($H1339)*N(IFERROR(INDEX(单位档案!$K$6:$K$35,MATCH($E1339,单位档案!$A$6:$A$35,0)),"")),2))</f>
        <v>0</v>
      </c>
      <c r="V1339" s="36" t="n">
        <f aca="false">IF(OR($D1339&lt;&gt;"销项开票",N($Q1339)=0),0,ROUND(N($H1339)/(1+$Q1339)*N(IFERROR(INDEX(单位档案!$L$6:$L$35,MATCH($E1339,单位档案!$A$6:$A$35,0)),"")),2))</f>
        <v>0</v>
      </c>
      <c r="W1339" s="36" t="n">
        <f aca="false">ROUND($S1339+$T1339+$U1339+$V1339,2)</f>
        <v>0</v>
      </c>
      <c r="X1339" s="35" t="str">
        <f aca="false">IF(OR($D1339="挂靠代收",$D1339="我方收款"),COUNTIFS($D$5:$D1339,"挂靠代收")+COUNTIFS($D$5:$D1339,"我方收款"),"")</f>
        <v/>
      </c>
      <c r="Y1339" s="35"/>
      <c r="Z1339" s="21" t="s">
        <v>111</v>
      </c>
    </row>
    <row r="1340" customFormat="false" ht="15.75" hidden="false" customHeight="true" outlineLevel="0" collapsed="false">
      <c r="A1340" s="32" t="str">
        <f aca="false">IF($B1340="","",ROW()-4)</f>
        <v/>
      </c>
      <c r="B1340" s="26"/>
      <c r="C1340" s="24"/>
      <c r="D1340" s="21"/>
      <c r="E1340" s="21"/>
      <c r="F1340" s="21"/>
      <c r="G1340" s="21"/>
      <c r="H1340" s="27"/>
      <c r="I1340" s="23" t="str">
        <f aca="false">IF($D1340&lt;&gt;"销项开票","",IF($N1340="一级",IF(IFERROR(INDEX(项目档案!$E$6:$E$255,MATCH($C1340,项目档案!$A$6:$A$255,0)),"")="",N(IFERROR(INDEX(单位档案!$D$6:$D$35,MATCH($E1340,单位档案!$A$6:$A$35,0)),"")),IFERROR(INDEX(项目档案!$E$6:$E$255,MATCH($C1340,项目档案!$A$6:$A$255,0)),"")),IF($N1340="二级",IF(IFERROR(INDEX(项目档案!$G$6:$G$255,MATCH($C1340,项目档案!$A$6:$A$255,0)),"")="",N(IFERROR(INDEX(单位档案!$D$6:$D$35,MATCH($E1340,单位档案!$A$6:$A$35,0)),"")),IFERROR(INDEX(项目档案!$G$6:$G$255,MATCH($C1340,项目档案!$A$6:$A$255,0)),"")),N(IFERROR(INDEX(单位档案!$D$6:$D$35,MATCH($E1340,单位档案!$A$6:$A$35,0)),"")))))</f>
        <v/>
      </c>
      <c r="J1340" s="22"/>
      <c r="K1340" s="22"/>
      <c r="L1340" s="33" t="str">
        <f aca="false">IF($B1340="","",IF(NOT(ISNUMBER($B1340)),"日期格式不对",IF($C1340="","未选项目编号",IF(LEFT($M1340,1)="⚠","项目编号不存在",IF($D1340="","未选业务类型",IF($E1340="","未选开票/付款方",IF(ISNA(MATCH($E1340,单位档案!$A$6:$A$35,0)),"开票方不在单位档案",IF($F1340="","未选收票/收款方",IF(ISNA(MATCH($F1340,单位档案!$A$6:$A$35,0)),"收款方不在单位档案",IF(NOT(ISNUMBER($H1340)),"金额须为数字",IF(AND($D1340="销项开票",$N1340="—"),"链条待确认","√")))))))))))</f>
        <v/>
      </c>
      <c r="M1340" s="34" t="str">
        <f aca="false">IF($C1340="","",IFERROR(INDEX(项目档案!$B$6:$B$255,MATCH($C1340,项目档案!$A$6:$A$255,0)),"⚠项目编号不存在"))</f>
        <v/>
      </c>
      <c r="N1340" s="35" t="str">
        <f aca="false">IF($E1340="","",IF($E1340=IFERROR(INDEX(项目档案!$D$6:$D$255,MATCH($C1340,项目档案!$A$6:$A$255,0)),""),"一级",IF($E1340=IFERROR(INDEX(项目档案!$F$6:$F$255,MATCH($C1340,项目档案!$A$6:$A$255,0)),""),"二级",IF($E1340=IFERROR(INDEX(项目档案!$H$6:$H$255,MATCH($C1340,项目档案!$A$6:$A$255,0)),""),"我方","—"))))</f>
        <v/>
      </c>
      <c r="O1340" s="36" t="n">
        <f aca="false">IF($D1340&lt;&gt;"销项开票",0,ROUND(N($H1340)*N($I1340),2))</f>
        <v>0</v>
      </c>
      <c r="P1340" s="36" t="n">
        <f aca="false">IF($D1340&lt;&gt;"销项开票",0,ROUND(N($H1340)-$O1340,2))</f>
        <v>0</v>
      </c>
      <c r="Q1340" s="37" t="str">
        <f aca="false">IF($E1340="","",N(IFERROR(INDEX(单位档案!$E$6:$E$35,MATCH($E1340,单位档案!$A$6:$A$35,0)),"")))</f>
        <v/>
      </c>
      <c r="R1340" s="37" t="str">
        <f aca="false">IF($E1340="","",N(IFERROR(INDEX(单位档案!$F$6:$F$35,MATCH($E1340,单位档案!$A$6:$A$35,0)),"")))</f>
        <v/>
      </c>
      <c r="S1340" s="36" t="n">
        <f aca="false">IF(OR($D1340&lt;&gt;"销项开票",IFERROR(INDEX(单位档案!$G$6:$G$35,MATCH($E1340,单位档案!$A$6:$A$35,0)),"")&lt;&gt;"是",N($Q1340)=0),0,IF(IFERROR(INDEX(单位档案!$H$6:$H$35,MATCH($E1340,单位档案!$A$6:$A$35,0)),"")="税差法",ROUND(N($H1340)/(1+$Q1340)*$Q1340-IF(N($R1340)=0,0,$P1340/(1+$R1340)*$R1340),2),ROUND(N($H1340)/(1+$Q1340)*$Q1340,2)))</f>
        <v>0</v>
      </c>
      <c r="T1340" s="36" t="n">
        <f aca="false">ROUND($S1340*N(IFERROR(INDEX(单位档案!$J$6:$J$35,MATCH($E1340,单位档案!$A$6:$A$35,0)),"")),2)</f>
        <v>0</v>
      </c>
      <c r="U1340" s="36" t="n">
        <f aca="false">IF($D1340&lt;&gt;"销项开票",0,ROUND(N($H1340)*N(IFERROR(INDEX(单位档案!$K$6:$K$35,MATCH($E1340,单位档案!$A$6:$A$35,0)),"")),2))</f>
        <v>0</v>
      </c>
      <c r="V1340" s="36" t="n">
        <f aca="false">IF(OR($D1340&lt;&gt;"销项开票",N($Q1340)=0),0,ROUND(N($H1340)/(1+$Q1340)*N(IFERROR(INDEX(单位档案!$L$6:$L$35,MATCH($E1340,单位档案!$A$6:$A$35,0)),"")),2))</f>
        <v>0</v>
      </c>
      <c r="W1340" s="36" t="n">
        <f aca="false">ROUND($S1340+$T1340+$U1340+$V1340,2)</f>
        <v>0</v>
      </c>
      <c r="X1340" s="35" t="str">
        <f aca="false">IF(OR($D1340="挂靠代收",$D1340="我方收款"),COUNTIFS($D$5:$D1340,"挂靠代收")+COUNTIFS($D$5:$D1340,"我方收款"),"")</f>
        <v/>
      </c>
      <c r="Y1340" s="35"/>
      <c r="Z1340" s="21" t="s">
        <v>111</v>
      </c>
    </row>
    <row r="1341" customFormat="false" ht="15.75" hidden="false" customHeight="true" outlineLevel="0" collapsed="false">
      <c r="A1341" s="32" t="str">
        <f aca="false">IF($B1341="","",ROW()-4)</f>
        <v/>
      </c>
      <c r="B1341" s="26"/>
      <c r="C1341" s="24"/>
      <c r="D1341" s="21"/>
      <c r="E1341" s="21"/>
      <c r="F1341" s="21"/>
      <c r="G1341" s="21"/>
      <c r="H1341" s="27"/>
      <c r="I1341" s="23" t="str">
        <f aca="false">IF($D1341&lt;&gt;"销项开票","",IF($N1341="一级",IF(IFERROR(INDEX(项目档案!$E$6:$E$255,MATCH($C1341,项目档案!$A$6:$A$255,0)),"")="",N(IFERROR(INDEX(单位档案!$D$6:$D$35,MATCH($E1341,单位档案!$A$6:$A$35,0)),"")),IFERROR(INDEX(项目档案!$E$6:$E$255,MATCH($C1341,项目档案!$A$6:$A$255,0)),"")),IF($N1341="二级",IF(IFERROR(INDEX(项目档案!$G$6:$G$255,MATCH($C1341,项目档案!$A$6:$A$255,0)),"")="",N(IFERROR(INDEX(单位档案!$D$6:$D$35,MATCH($E1341,单位档案!$A$6:$A$35,0)),"")),IFERROR(INDEX(项目档案!$G$6:$G$255,MATCH($C1341,项目档案!$A$6:$A$255,0)),"")),N(IFERROR(INDEX(单位档案!$D$6:$D$35,MATCH($E1341,单位档案!$A$6:$A$35,0)),"")))))</f>
        <v/>
      </c>
      <c r="J1341" s="22"/>
      <c r="K1341" s="22"/>
      <c r="L1341" s="33" t="str">
        <f aca="false">IF($B1341="","",IF(NOT(ISNUMBER($B1341)),"日期格式不对",IF($C1341="","未选项目编号",IF(LEFT($M1341,1)="⚠","项目编号不存在",IF($D1341="","未选业务类型",IF($E1341="","未选开票/付款方",IF(ISNA(MATCH($E1341,单位档案!$A$6:$A$35,0)),"开票方不在单位档案",IF($F1341="","未选收票/收款方",IF(ISNA(MATCH($F1341,单位档案!$A$6:$A$35,0)),"收款方不在单位档案",IF(NOT(ISNUMBER($H1341)),"金额须为数字",IF(AND($D1341="销项开票",$N1341="—"),"链条待确认","√")))))))))))</f>
        <v/>
      </c>
      <c r="M1341" s="34" t="str">
        <f aca="false">IF($C1341="","",IFERROR(INDEX(项目档案!$B$6:$B$255,MATCH($C1341,项目档案!$A$6:$A$255,0)),"⚠项目编号不存在"))</f>
        <v/>
      </c>
      <c r="N1341" s="35" t="str">
        <f aca="false">IF($E1341="","",IF($E1341=IFERROR(INDEX(项目档案!$D$6:$D$255,MATCH($C1341,项目档案!$A$6:$A$255,0)),""),"一级",IF($E1341=IFERROR(INDEX(项目档案!$F$6:$F$255,MATCH($C1341,项目档案!$A$6:$A$255,0)),""),"二级",IF($E1341=IFERROR(INDEX(项目档案!$H$6:$H$255,MATCH($C1341,项目档案!$A$6:$A$255,0)),""),"我方","—"))))</f>
        <v/>
      </c>
      <c r="O1341" s="36" t="n">
        <f aca="false">IF($D1341&lt;&gt;"销项开票",0,ROUND(N($H1341)*N($I1341),2))</f>
        <v>0</v>
      </c>
      <c r="P1341" s="36" t="n">
        <f aca="false">IF($D1341&lt;&gt;"销项开票",0,ROUND(N($H1341)-$O1341,2))</f>
        <v>0</v>
      </c>
      <c r="Q1341" s="37" t="str">
        <f aca="false">IF($E1341="","",N(IFERROR(INDEX(单位档案!$E$6:$E$35,MATCH($E1341,单位档案!$A$6:$A$35,0)),"")))</f>
        <v/>
      </c>
      <c r="R1341" s="37" t="str">
        <f aca="false">IF($E1341="","",N(IFERROR(INDEX(单位档案!$F$6:$F$35,MATCH($E1341,单位档案!$A$6:$A$35,0)),"")))</f>
        <v/>
      </c>
      <c r="S1341" s="36" t="n">
        <f aca="false">IF(OR($D1341&lt;&gt;"销项开票",IFERROR(INDEX(单位档案!$G$6:$G$35,MATCH($E1341,单位档案!$A$6:$A$35,0)),"")&lt;&gt;"是",N($Q1341)=0),0,IF(IFERROR(INDEX(单位档案!$H$6:$H$35,MATCH($E1341,单位档案!$A$6:$A$35,0)),"")="税差法",ROUND(N($H1341)/(1+$Q1341)*$Q1341-IF(N($R1341)=0,0,$P1341/(1+$R1341)*$R1341),2),ROUND(N($H1341)/(1+$Q1341)*$Q1341,2)))</f>
        <v>0</v>
      </c>
      <c r="T1341" s="36" t="n">
        <f aca="false">ROUND($S1341*N(IFERROR(INDEX(单位档案!$J$6:$J$35,MATCH($E1341,单位档案!$A$6:$A$35,0)),"")),2)</f>
        <v>0</v>
      </c>
      <c r="U1341" s="36" t="n">
        <f aca="false">IF($D1341&lt;&gt;"销项开票",0,ROUND(N($H1341)*N(IFERROR(INDEX(单位档案!$K$6:$K$35,MATCH($E1341,单位档案!$A$6:$A$35,0)),"")),2))</f>
        <v>0</v>
      </c>
      <c r="V1341" s="36" t="n">
        <f aca="false">IF(OR($D1341&lt;&gt;"销项开票",N($Q1341)=0),0,ROUND(N($H1341)/(1+$Q1341)*N(IFERROR(INDEX(单位档案!$L$6:$L$35,MATCH($E1341,单位档案!$A$6:$A$35,0)),"")),2))</f>
        <v>0</v>
      </c>
      <c r="W1341" s="36" t="n">
        <f aca="false">ROUND($S1341+$T1341+$U1341+$V1341,2)</f>
        <v>0</v>
      </c>
      <c r="X1341" s="35" t="str">
        <f aca="false">IF(OR($D1341="挂靠代收",$D1341="我方收款"),COUNTIFS($D$5:$D1341,"挂靠代收")+COUNTIFS($D$5:$D1341,"我方收款"),"")</f>
        <v/>
      </c>
      <c r="Y1341" s="35"/>
      <c r="Z1341" s="21" t="s">
        <v>111</v>
      </c>
    </row>
    <row r="1342" customFormat="false" ht="15.75" hidden="false" customHeight="true" outlineLevel="0" collapsed="false">
      <c r="A1342" s="32" t="str">
        <f aca="false">IF($B1342="","",ROW()-4)</f>
        <v/>
      </c>
      <c r="B1342" s="26"/>
      <c r="C1342" s="24"/>
      <c r="D1342" s="21"/>
      <c r="E1342" s="21"/>
      <c r="F1342" s="21"/>
      <c r="G1342" s="21"/>
      <c r="H1342" s="27"/>
      <c r="I1342" s="23" t="str">
        <f aca="false">IF($D1342&lt;&gt;"销项开票","",IF($N1342="一级",IF(IFERROR(INDEX(项目档案!$E$6:$E$255,MATCH($C1342,项目档案!$A$6:$A$255,0)),"")="",N(IFERROR(INDEX(单位档案!$D$6:$D$35,MATCH($E1342,单位档案!$A$6:$A$35,0)),"")),IFERROR(INDEX(项目档案!$E$6:$E$255,MATCH($C1342,项目档案!$A$6:$A$255,0)),"")),IF($N1342="二级",IF(IFERROR(INDEX(项目档案!$G$6:$G$255,MATCH($C1342,项目档案!$A$6:$A$255,0)),"")="",N(IFERROR(INDEX(单位档案!$D$6:$D$35,MATCH($E1342,单位档案!$A$6:$A$35,0)),"")),IFERROR(INDEX(项目档案!$G$6:$G$255,MATCH($C1342,项目档案!$A$6:$A$255,0)),"")),N(IFERROR(INDEX(单位档案!$D$6:$D$35,MATCH($E1342,单位档案!$A$6:$A$35,0)),"")))))</f>
        <v/>
      </c>
      <c r="J1342" s="22"/>
      <c r="K1342" s="22"/>
      <c r="L1342" s="33" t="str">
        <f aca="false">IF($B1342="","",IF(NOT(ISNUMBER($B1342)),"日期格式不对",IF($C1342="","未选项目编号",IF(LEFT($M1342,1)="⚠","项目编号不存在",IF($D1342="","未选业务类型",IF($E1342="","未选开票/付款方",IF(ISNA(MATCH($E1342,单位档案!$A$6:$A$35,0)),"开票方不在单位档案",IF($F1342="","未选收票/收款方",IF(ISNA(MATCH($F1342,单位档案!$A$6:$A$35,0)),"收款方不在单位档案",IF(NOT(ISNUMBER($H1342)),"金额须为数字",IF(AND($D1342="销项开票",$N1342="—"),"链条待确认","√")))))))))))</f>
        <v/>
      </c>
      <c r="M1342" s="34" t="str">
        <f aca="false">IF($C1342="","",IFERROR(INDEX(项目档案!$B$6:$B$255,MATCH($C1342,项目档案!$A$6:$A$255,0)),"⚠项目编号不存在"))</f>
        <v/>
      </c>
      <c r="N1342" s="35" t="str">
        <f aca="false">IF($E1342="","",IF($E1342=IFERROR(INDEX(项目档案!$D$6:$D$255,MATCH($C1342,项目档案!$A$6:$A$255,0)),""),"一级",IF($E1342=IFERROR(INDEX(项目档案!$F$6:$F$255,MATCH($C1342,项目档案!$A$6:$A$255,0)),""),"二级",IF($E1342=IFERROR(INDEX(项目档案!$H$6:$H$255,MATCH($C1342,项目档案!$A$6:$A$255,0)),""),"我方","—"))))</f>
        <v/>
      </c>
      <c r="O1342" s="36" t="n">
        <f aca="false">IF($D1342&lt;&gt;"销项开票",0,ROUND(N($H1342)*N($I1342),2))</f>
        <v>0</v>
      </c>
      <c r="P1342" s="36" t="n">
        <f aca="false">IF($D1342&lt;&gt;"销项开票",0,ROUND(N($H1342)-$O1342,2))</f>
        <v>0</v>
      </c>
      <c r="Q1342" s="37" t="str">
        <f aca="false">IF($E1342="","",N(IFERROR(INDEX(单位档案!$E$6:$E$35,MATCH($E1342,单位档案!$A$6:$A$35,0)),"")))</f>
        <v/>
      </c>
      <c r="R1342" s="37" t="str">
        <f aca="false">IF($E1342="","",N(IFERROR(INDEX(单位档案!$F$6:$F$35,MATCH($E1342,单位档案!$A$6:$A$35,0)),"")))</f>
        <v/>
      </c>
      <c r="S1342" s="36" t="n">
        <f aca="false">IF(OR($D1342&lt;&gt;"销项开票",IFERROR(INDEX(单位档案!$G$6:$G$35,MATCH($E1342,单位档案!$A$6:$A$35,0)),"")&lt;&gt;"是",N($Q1342)=0),0,IF(IFERROR(INDEX(单位档案!$H$6:$H$35,MATCH($E1342,单位档案!$A$6:$A$35,0)),"")="税差法",ROUND(N($H1342)/(1+$Q1342)*$Q1342-IF(N($R1342)=0,0,$P1342/(1+$R1342)*$R1342),2),ROUND(N($H1342)/(1+$Q1342)*$Q1342,2)))</f>
        <v>0</v>
      </c>
      <c r="T1342" s="36" t="n">
        <f aca="false">ROUND($S1342*N(IFERROR(INDEX(单位档案!$J$6:$J$35,MATCH($E1342,单位档案!$A$6:$A$35,0)),"")),2)</f>
        <v>0</v>
      </c>
      <c r="U1342" s="36" t="n">
        <f aca="false">IF($D1342&lt;&gt;"销项开票",0,ROUND(N($H1342)*N(IFERROR(INDEX(单位档案!$K$6:$K$35,MATCH($E1342,单位档案!$A$6:$A$35,0)),"")),2))</f>
        <v>0</v>
      </c>
      <c r="V1342" s="36" t="n">
        <f aca="false">IF(OR($D1342&lt;&gt;"销项开票",N($Q1342)=0),0,ROUND(N($H1342)/(1+$Q1342)*N(IFERROR(INDEX(单位档案!$L$6:$L$35,MATCH($E1342,单位档案!$A$6:$A$35,0)),"")),2))</f>
        <v>0</v>
      </c>
      <c r="W1342" s="36" t="n">
        <f aca="false">ROUND($S1342+$T1342+$U1342+$V1342,2)</f>
        <v>0</v>
      </c>
      <c r="X1342" s="35" t="str">
        <f aca="false">IF(OR($D1342="挂靠代收",$D1342="我方收款"),COUNTIFS($D$5:$D1342,"挂靠代收")+COUNTIFS($D$5:$D1342,"我方收款"),"")</f>
        <v/>
      </c>
      <c r="Y1342" s="35"/>
      <c r="Z1342" s="21" t="s">
        <v>111</v>
      </c>
    </row>
    <row r="1343" customFormat="false" ht="15.75" hidden="false" customHeight="true" outlineLevel="0" collapsed="false">
      <c r="A1343" s="32" t="str">
        <f aca="false">IF($B1343="","",ROW()-4)</f>
        <v/>
      </c>
      <c r="B1343" s="26"/>
      <c r="C1343" s="24"/>
      <c r="D1343" s="21"/>
      <c r="E1343" s="21"/>
      <c r="F1343" s="21"/>
      <c r="G1343" s="21"/>
      <c r="H1343" s="27"/>
      <c r="I1343" s="23" t="str">
        <f aca="false">IF($D1343&lt;&gt;"销项开票","",IF($N1343="一级",IF(IFERROR(INDEX(项目档案!$E$6:$E$255,MATCH($C1343,项目档案!$A$6:$A$255,0)),"")="",N(IFERROR(INDEX(单位档案!$D$6:$D$35,MATCH($E1343,单位档案!$A$6:$A$35,0)),"")),IFERROR(INDEX(项目档案!$E$6:$E$255,MATCH($C1343,项目档案!$A$6:$A$255,0)),"")),IF($N1343="二级",IF(IFERROR(INDEX(项目档案!$G$6:$G$255,MATCH($C1343,项目档案!$A$6:$A$255,0)),"")="",N(IFERROR(INDEX(单位档案!$D$6:$D$35,MATCH($E1343,单位档案!$A$6:$A$35,0)),"")),IFERROR(INDEX(项目档案!$G$6:$G$255,MATCH($C1343,项目档案!$A$6:$A$255,0)),"")),N(IFERROR(INDEX(单位档案!$D$6:$D$35,MATCH($E1343,单位档案!$A$6:$A$35,0)),"")))))</f>
        <v/>
      </c>
      <c r="J1343" s="22"/>
      <c r="K1343" s="22"/>
      <c r="L1343" s="33" t="str">
        <f aca="false">IF($B1343="","",IF(NOT(ISNUMBER($B1343)),"日期格式不对",IF($C1343="","未选项目编号",IF(LEFT($M1343,1)="⚠","项目编号不存在",IF($D1343="","未选业务类型",IF($E1343="","未选开票/付款方",IF(ISNA(MATCH($E1343,单位档案!$A$6:$A$35,0)),"开票方不在单位档案",IF($F1343="","未选收票/收款方",IF(ISNA(MATCH($F1343,单位档案!$A$6:$A$35,0)),"收款方不在单位档案",IF(NOT(ISNUMBER($H1343)),"金额须为数字",IF(AND($D1343="销项开票",$N1343="—"),"链条待确认","√")))))))))))</f>
        <v/>
      </c>
      <c r="M1343" s="34" t="str">
        <f aca="false">IF($C1343="","",IFERROR(INDEX(项目档案!$B$6:$B$255,MATCH($C1343,项目档案!$A$6:$A$255,0)),"⚠项目编号不存在"))</f>
        <v/>
      </c>
      <c r="N1343" s="35" t="str">
        <f aca="false">IF($E1343="","",IF($E1343=IFERROR(INDEX(项目档案!$D$6:$D$255,MATCH($C1343,项目档案!$A$6:$A$255,0)),""),"一级",IF($E1343=IFERROR(INDEX(项目档案!$F$6:$F$255,MATCH($C1343,项目档案!$A$6:$A$255,0)),""),"二级",IF($E1343=IFERROR(INDEX(项目档案!$H$6:$H$255,MATCH($C1343,项目档案!$A$6:$A$255,0)),""),"我方","—"))))</f>
        <v/>
      </c>
      <c r="O1343" s="36" t="n">
        <f aca="false">IF($D1343&lt;&gt;"销项开票",0,ROUND(N($H1343)*N($I1343),2))</f>
        <v>0</v>
      </c>
      <c r="P1343" s="36" t="n">
        <f aca="false">IF($D1343&lt;&gt;"销项开票",0,ROUND(N($H1343)-$O1343,2))</f>
        <v>0</v>
      </c>
      <c r="Q1343" s="37" t="str">
        <f aca="false">IF($E1343="","",N(IFERROR(INDEX(单位档案!$E$6:$E$35,MATCH($E1343,单位档案!$A$6:$A$35,0)),"")))</f>
        <v/>
      </c>
      <c r="R1343" s="37" t="str">
        <f aca="false">IF($E1343="","",N(IFERROR(INDEX(单位档案!$F$6:$F$35,MATCH($E1343,单位档案!$A$6:$A$35,0)),"")))</f>
        <v/>
      </c>
      <c r="S1343" s="36" t="n">
        <f aca="false">IF(OR($D1343&lt;&gt;"销项开票",IFERROR(INDEX(单位档案!$G$6:$G$35,MATCH($E1343,单位档案!$A$6:$A$35,0)),"")&lt;&gt;"是",N($Q1343)=0),0,IF(IFERROR(INDEX(单位档案!$H$6:$H$35,MATCH($E1343,单位档案!$A$6:$A$35,0)),"")="税差法",ROUND(N($H1343)/(1+$Q1343)*$Q1343-IF(N($R1343)=0,0,$P1343/(1+$R1343)*$R1343),2),ROUND(N($H1343)/(1+$Q1343)*$Q1343,2)))</f>
        <v>0</v>
      </c>
      <c r="T1343" s="36" t="n">
        <f aca="false">ROUND($S1343*N(IFERROR(INDEX(单位档案!$J$6:$J$35,MATCH($E1343,单位档案!$A$6:$A$35,0)),"")),2)</f>
        <v>0</v>
      </c>
      <c r="U1343" s="36" t="n">
        <f aca="false">IF($D1343&lt;&gt;"销项开票",0,ROUND(N($H1343)*N(IFERROR(INDEX(单位档案!$K$6:$K$35,MATCH($E1343,单位档案!$A$6:$A$35,0)),"")),2))</f>
        <v>0</v>
      </c>
      <c r="V1343" s="36" t="n">
        <f aca="false">IF(OR($D1343&lt;&gt;"销项开票",N($Q1343)=0),0,ROUND(N($H1343)/(1+$Q1343)*N(IFERROR(INDEX(单位档案!$L$6:$L$35,MATCH($E1343,单位档案!$A$6:$A$35,0)),"")),2))</f>
        <v>0</v>
      </c>
      <c r="W1343" s="36" t="n">
        <f aca="false">ROUND($S1343+$T1343+$U1343+$V1343,2)</f>
        <v>0</v>
      </c>
      <c r="X1343" s="35" t="str">
        <f aca="false">IF(OR($D1343="挂靠代收",$D1343="我方收款"),COUNTIFS($D$5:$D1343,"挂靠代收")+COUNTIFS($D$5:$D1343,"我方收款"),"")</f>
        <v/>
      </c>
      <c r="Y1343" s="35"/>
      <c r="Z1343" s="21" t="s">
        <v>111</v>
      </c>
    </row>
    <row r="1344" customFormat="false" ht="15.75" hidden="false" customHeight="true" outlineLevel="0" collapsed="false">
      <c r="A1344" s="32" t="str">
        <f aca="false">IF($B1344="","",ROW()-4)</f>
        <v/>
      </c>
      <c r="B1344" s="26"/>
      <c r="C1344" s="24"/>
      <c r="D1344" s="21"/>
      <c r="E1344" s="21"/>
      <c r="F1344" s="21"/>
      <c r="G1344" s="21"/>
      <c r="H1344" s="27"/>
      <c r="I1344" s="23" t="str">
        <f aca="false">IF($D1344&lt;&gt;"销项开票","",IF($N1344="一级",IF(IFERROR(INDEX(项目档案!$E$6:$E$255,MATCH($C1344,项目档案!$A$6:$A$255,0)),"")="",N(IFERROR(INDEX(单位档案!$D$6:$D$35,MATCH($E1344,单位档案!$A$6:$A$35,0)),"")),IFERROR(INDEX(项目档案!$E$6:$E$255,MATCH($C1344,项目档案!$A$6:$A$255,0)),"")),IF($N1344="二级",IF(IFERROR(INDEX(项目档案!$G$6:$G$255,MATCH($C1344,项目档案!$A$6:$A$255,0)),"")="",N(IFERROR(INDEX(单位档案!$D$6:$D$35,MATCH($E1344,单位档案!$A$6:$A$35,0)),"")),IFERROR(INDEX(项目档案!$G$6:$G$255,MATCH($C1344,项目档案!$A$6:$A$255,0)),"")),N(IFERROR(INDEX(单位档案!$D$6:$D$35,MATCH($E1344,单位档案!$A$6:$A$35,0)),"")))))</f>
        <v/>
      </c>
      <c r="J1344" s="22"/>
      <c r="K1344" s="22"/>
      <c r="L1344" s="33" t="str">
        <f aca="false">IF($B1344="","",IF(NOT(ISNUMBER($B1344)),"日期格式不对",IF($C1344="","未选项目编号",IF(LEFT($M1344,1)="⚠","项目编号不存在",IF($D1344="","未选业务类型",IF($E1344="","未选开票/付款方",IF(ISNA(MATCH($E1344,单位档案!$A$6:$A$35,0)),"开票方不在单位档案",IF($F1344="","未选收票/收款方",IF(ISNA(MATCH($F1344,单位档案!$A$6:$A$35,0)),"收款方不在单位档案",IF(NOT(ISNUMBER($H1344)),"金额须为数字",IF(AND($D1344="销项开票",$N1344="—"),"链条待确认","√")))))))))))</f>
        <v/>
      </c>
      <c r="M1344" s="34" t="str">
        <f aca="false">IF($C1344="","",IFERROR(INDEX(项目档案!$B$6:$B$255,MATCH($C1344,项目档案!$A$6:$A$255,0)),"⚠项目编号不存在"))</f>
        <v/>
      </c>
      <c r="N1344" s="35" t="str">
        <f aca="false">IF($E1344="","",IF($E1344=IFERROR(INDEX(项目档案!$D$6:$D$255,MATCH($C1344,项目档案!$A$6:$A$255,0)),""),"一级",IF($E1344=IFERROR(INDEX(项目档案!$F$6:$F$255,MATCH($C1344,项目档案!$A$6:$A$255,0)),""),"二级",IF($E1344=IFERROR(INDEX(项目档案!$H$6:$H$255,MATCH($C1344,项目档案!$A$6:$A$255,0)),""),"我方","—"))))</f>
        <v/>
      </c>
      <c r="O1344" s="36" t="n">
        <f aca="false">IF($D1344&lt;&gt;"销项开票",0,ROUND(N($H1344)*N($I1344),2))</f>
        <v>0</v>
      </c>
      <c r="P1344" s="36" t="n">
        <f aca="false">IF($D1344&lt;&gt;"销项开票",0,ROUND(N($H1344)-$O1344,2))</f>
        <v>0</v>
      </c>
      <c r="Q1344" s="37" t="str">
        <f aca="false">IF($E1344="","",N(IFERROR(INDEX(单位档案!$E$6:$E$35,MATCH($E1344,单位档案!$A$6:$A$35,0)),"")))</f>
        <v/>
      </c>
      <c r="R1344" s="37" t="str">
        <f aca="false">IF($E1344="","",N(IFERROR(INDEX(单位档案!$F$6:$F$35,MATCH($E1344,单位档案!$A$6:$A$35,0)),"")))</f>
        <v/>
      </c>
      <c r="S1344" s="36" t="n">
        <f aca="false">IF(OR($D1344&lt;&gt;"销项开票",IFERROR(INDEX(单位档案!$G$6:$G$35,MATCH($E1344,单位档案!$A$6:$A$35,0)),"")&lt;&gt;"是",N($Q1344)=0),0,IF(IFERROR(INDEX(单位档案!$H$6:$H$35,MATCH($E1344,单位档案!$A$6:$A$35,0)),"")="税差法",ROUND(N($H1344)/(1+$Q1344)*$Q1344-IF(N($R1344)=0,0,$P1344/(1+$R1344)*$R1344),2),ROUND(N($H1344)/(1+$Q1344)*$Q1344,2)))</f>
        <v>0</v>
      </c>
      <c r="T1344" s="36" t="n">
        <f aca="false">ROUND($S1344*N(IFERROR(INDEX(单位档案!$J$6:$J$35,MATCH($E1344,单位档案!$A$6:$A$35,0)),"")),2)</f>
        <v>0</v>
      </c>
      <c r="U1344" s="36" t="n">
        <f aca="false">IF($D1344&lt;&gt;"销项开票",0,ROUND(N($H1344)*N(IFERROR(INDEX(单位档案!$K$6:$K$35,MATCH($E1344,单位档案!$A$6:$A$35,0)),"")),2))</f>
        <v>0</v>
      </c>
      <c r="V1344" s="36" t="n">
        <f aca="false">IF(OR($D1344&lt;&gt;"销项开票",N($Q1344)=0),0,ROUND(N($H1344)/(1+$Q1344)*N(IFERROR(INDEX(单位档案!$L$6:$L$35,MATCH($E1344,单位档案!$A$6:$A$35,0)),"")),2))</f>
        <v>0</v>
      </c>
      <c r="W1344" s="36" t="n">
        <f aca="false">ROUND($S1344+$T1344+$U1344+$V1344,2)</f>
        <v>0</v>
      </c>
      <c r="X1344" s="35" t="str">
        <f aca="false">IF(OR($D1344="挂靠代收",$D1344="我方收款"),COUNTIFS($D$5:$D1344,"挂靠代收")+COUNTIFS($D$5:$D1344,"我方收款"),"")</f>
        <v/>
      </c>
      <c r="Y1344" s="35"/>
      <c r="Z1344" s="21" t="s">
        <v>111</v>
      </c>
    </row>
    <row r="1345" customFormat="false" ht="15.75" hidden="false" customHeight="true" outlineLevel="0" collapsed="false">
      <c r="A1345" s="32" t="str">
        <f aca="false">IF($B1345="","",ROW()-4)</f>
        <v/>
      </c>
      <c r="B1345" s="26"/>
      <c r="C1345" s="24"/>
      <c r="D1345" s="21"/>
      <c r="E1345" s="21"/>
      <c r="F1345" s="21"/>
      <c r="G1345" s="21"/>
      <c r="H1345" s="27"/>
      <c r="I1345" s="23" t="str">
        <f aca="false">IF($D1345&lt;&gt;"销项开票","",IF($N1345="一级",IF(IFERROR(INDEX(项目档案!$E$6:$E$255,MATCH($C1345,项目档案!$A$6:$A$255,0)),"")="",N(IFERROR(INDEX(单位档案!$D$6:$D$35,MATCH($E1345,单位档案!$A$6:$A$35,0)),"")),IFERROR(INDEX(项目档案!$E$6:$E$255,MATCH($C1345,项目档案!$A$6:$A$255,0)),"")),IF($N1345="二级",IF(IFERROR(INDEX(项目档案!$G$6:$G$255,MATCH($C1345,项目档案!$A$6:$A$255,0)),"")="",N(IFERROR(INDEX(单位档案!$D$6:$D$35,MATCH($E1345,单位档案!$A$6:$A$35,0)),"")),IFERROR(INDEX(项目档案!$G$6:$G$255,MATCH($C1345,项目档案!$A$6:$A$255,0)),"")),N(IFERROR(INDEX(单位档案!$D$6:$D$35,MATCH($E1345,单位档案!$A$6:$A$35,0)),"")))))</f>
        <v/>
      </c>
      <c r="J1345" s="22"/>
      <c r="K1345" s="22"/>
      <c r="L1345" s="33" t="str">
        <f aca="false">IF($B1345="","",IF(NOT(ISNUMBER($B1345)),"日期格式不对",IF($C1345="","未选项目编号",IF(LEFT($M1345,1)="⚠","项目编号不存在",IF($D1345="","未选业务类型",IF($E1345="","未选开票/付款方",IF(ISNA(MATCH($E1345,单位档案!$A$6:$A$35,0)),"开票方不在单位档案",IF($F1345="","未选收票/收款方",IF(ISNA(MATCH($F1345,单位档案!$A$6:$A$35,0)),"收款方不在单位档案",IF(NOT(ISNUMBER($H1345)),"金额须为数字",IF(AND($D1345="销项开票",$N1345="—"),"链条待确认","√")))))))))))</f>
        <v/>
      </c>
      <c r="M1345" s="34" t="str">
        <f aca="false">IF($C1345="","",IFERROR(INDEX(项目档案!$B$6:$B$255,MATCH($C1345,项目档案!$A$6:$A$255,0)),"⚠项目编号不存在"))</f>
        <v/>
      </c>
      <c r="N1345" s="35" t="str">
        <f aca="false">IF($E1345="","",IF($E1345=IFERROR(INDEX(项目档案!$D$6:$D$255,MATCH($C1345,项目档案!$A$6:$A$255,0)),""),"一级",IF($E1345=IFERROR(INDEX(项目档案!$F$6:$F$255,MATCH($C1345,项目档案!$A$6:$A$255,0)),""),"二级",IF($E1345=IFERROR(INDEX(项目档案!$H$6:$H$255,MATCH($C1345,项目档案!$A$6:$A$255,0)),""),"我方","—"))))</f>
        <v/>
      </c>
      <c r="O1345" s="36" t="n">
        <f aca="false">IF($D1345&lt;&gt;"销项开票",0,ROUND(N($H1345)*N($I1345),2))</f>
        <v>0</v>
      </c>
      <c r="P1345" s="36" t="n">
        <f aca="false">IF($D1345&lt;&gt;"销项开票",0,ROUND(N($H1345)-$O1345,2))</f>
        <v>0</v>
      </c>
      <c r="Q1345" s="37" t="str">
        <f aca="false">IF($E1345="","",N(IFERROR(INDEX(单位档案!$E$6:$E$35,MATCH($E1345,单位档案!$A$6:$A$35,0)),"")))</f>
        <v/>
      </c>
      <c r="R1345" s="37" t="str">
        <f aca="false">IF($E1345="","",N(IFERROR(INDEX(单位档案!$F$6:$F$35,MATCH($E1345,单位档案!$A$6:$A$35,0)),"")))</f>
        <v/>
      </c>
      <c r="S1345" s="36" t="n">
        <f aca="false">IF(OR($D1345&lt;&gt;"销项开票",IFERROR(INDEX(单位档案!$G$6:$G$35,MATCH($E1345,单位档案!$A$6:$A$35,0)),"")&lt;&gt;"是",N($Q1345)=0),0,IF(IFERROR(INDEX(单位档案!$H$6:$H$35,MATCH($E1345,单位档案!$A$6:$A$35,0)),"")="税差法",ROUND(N($H1345)/(1+$Q1345)*$Q1345-IF(N($R1345)=0,0,$P1345/(1+$R1345)*$R1345),2),ROUND(N($H1345)/(1+$Q1345)*$Q1345,2)))</f>
        <v>0</v>
      </c>
      <c r="T1345" s="36" t="n">
        <f aca="false">ROUND($S1345*N(IFERROR(INDEX(单位档案!$J$6:$J$35,MATCH($E1345,单位档案!$A$6:$A$35,0)),"")),2)</f>
        <v>0</v>
      </c>
      <c r="U1345" s="36" t="n">
        <f aca="false">IF($D1345&lt;&gt;"销项开票",0,ROUND(N($H1345)*N(IFERROR(INDEX(单位档案!$K$6:$K$35,MATCH($E1345,单位档案!$A$6:$A$35,0)),"")),2))</f>
        <v>0</v>
      </c>
      <c r="V1345" s="36" t="n">
        <f aca="false">IF(OR($D1345&lt;&gt;"销项开票",N($Q1345)=0),0,ROUND(N($H1345)/(1+$Q1345)*N(IFERROR(INDEX(单位档案!$L$6:$L$35,MATCH($E1345,单位档案!$A$6:$A$35,0)),"")),2))</f>
        <v>0</v>
      </c>
      <c r="W1345" s="36" t="n">
        <f aca="false">ROUND($S1345+$T1345+$U1345+$V1345,2)</f>
        <v>0</v>
      </c>
      <c r="X1345" s="35" t="str">
        <f aca="false">IF(OR($D1345="挂靠代收",$D1345="我方收款"),COUNTIFS($D$5:$D1345,"挂靠代收")+COUNTIFS($D$5:$D1345,"我方收款"),"")</f>
        <v/>
      </c>
      <c r="Y1345" s="35"/>
      <c r="Z1345" s="21" t="s">
        <v>111</v>
      </c>
    </row>
    <row r="1346" customFormat="false" ht="15.75" hidden="false" customHeight="true" outlineLevel="0" collapsed="false">
      <c r="A1346" s="32" t="str">
        <f aca="false">IF($B1346="","",ROW()-4)</f>
        <v/>
      </c>
      <c r="B1346" s="26"/>
      <c r="C1346" s="24"/>
      <c r="D1346" s="21"/>
      <c r="E1346" s="21"/>
      <c r="F1346" s="21"/>
      <c r="G1346" s="21"/>
      <c r="H1346" s="27"/>
      <c r="I1346" s="23" t="str">
        <f aca="false">IF($D1346&lt;&gt;"销项开票","",IF($N1346="一级",IF(IFERROR(INDEX(项目档案!$E$6:$E$255,MATCH($C1346,项目档案!$A$6:$A$255,0)),"")="",N(IFERROR(INDEX(单位档案!$D$6:$D$35,MATCH($E1346,单位档案!$A$6:$A$35,0)),"")),IFERROR(INDEX(项目档案!$E$6:$E$255,MATCH($C1346,项目档案!$A$6:$A$255,0)),"")),IF($N1346="二级",IF(IFERROR(INDEX(项目档案!$G$6:$G$255,MATCH($C1346,项目档案!$A$6:$A$255,0)),"")="",N(IFERROR(INDEX(单位档案!$D$6:$D$35,MATCH($E1346,单位档案!$A$6:$A$35,0)),"")),IFERROR(INDEX(项目档案!$G$6:$G$255,MATCH($C1346,项目档案!$A$6:$A$255,0)),"")),N(IFERROR(INDEX(单位档案!$D$6:$D$35,MATCH($E1346,单位档案!$A$6:$A$35,0)),"")))))</f>
        <v/>
      </c>
      <c r="J1346" s="22"/>
      <c r="K1346" s="22"/>
      <c r="L1346" s="33" t="str">
        <f aca="false">IF($B1346="","",IF(NOT(ISNUMBER($B1346)),"日期格式不对",IF($C1346="","未选项目编号",IF(LEFT($M1346,1)="⚠","项目编号不存在",IF($D1346="","未选业务类型",IF($E1346="","未选开票/付款方",IF(ISNA(MATCH($E1346,单位档案!$A$6:$A$35,0)),"开票方不在单位档案",IF($F1346="","未选收票/收款方",IF(ISNA(MATCH($F1346,单位档案!$A$6:$A$35,0)),"收款方不在单位档案",IF(NOT(ISNUMBER($H1346)),"金额须为数字",IF(AND($D1346="销项开票",$N1346="—"),"链条待确认","√")))))))))))</f>
        <v/>
      </c>
      <c r="M1346" s="34" t="str">
        <f aca="false">IF($C1346="","",IFERROR(INDEX(项目档案!$B$6:$B$255,MATCH($C1346,项目档案!$A$6:$A$255,0)),"⚠项目编号不存在"))</f>
        <v/>
      </c>
      <c r="N1346" s="35" t="str">
        <f aca="false">IF($E1346="","",IF($E1346=IFERROR(INDEX(项目档案!$D$6:$D$255,MATCH($C1346,项目档案!$A$6:$A$255,0)),""),"一级",IF($E1346=IFERROR(INDEX(项目档案!$F$6:$F$255,MATCH($C1346,项目档案!$A$6:$A$255,0)),""),"二级",IF($E1346=IFERROR(INDEX(项目档案!$H$6:$H$255,MATCH($C1346,项目档案!$A$6:$A$255,0)),""),"我方","—"))))</f>
        <v/>
      </c>
      <c r="O1346" s="36" t="n">
        <f aca="false">IF($D1346&lt;&gt;"销项开票",0,ROUND(N($H1346)*N($I1346),2))</f>
        <v>0</v>
      </c>
      <c r="P1346" s="36" t="n">
        <f aca="false">IF($D1346&lt;&gt;"销项开票",0,ROUND(N($H1346)-$O1346,2))</f>
        <v>0</v>
      </c>
      <c r="Q1346" s="37" t="str">
        <f aca="false">IF($E1346="","",N(IFERROR(INDEX(单位档案!$E$6:$E$35,MATCH($E1346,单位档案!$A$6:$A$35,0)),"")))</f>
        <v/>
      </c>
      <c r="R1346" s="37" t="str">
        <f aca="false">IF($E1346="","",N(IFERROR(INDEX(单位档案!$F$6:$F$35,MATCH($E1346,单位档案!$A$6:$A$35,0)),"")))</f>
        <v/>
      </c>
      <c r="S1346" s="36" t="n">
        <f aca="false">IF(OR($D1346&lt;&gt;"销项开票",IFERROR(INDEX(单位档案!$G$6:$G$35,MATCH($E1346,单位档案!$A$6:$A$35,0)),"")&lt;&gt;"是",N($Q1346)=0),0,IF(IFERROR(INDEX(单位档案!$H$6:$H$35,MATCH($E1346,单位档案!$A$6:$A$35,0)),"")="税差法",ROUND(N($H1346)/(1+$Q1346)*$Q1346-IF(N($R1346)=0,0,$P1346/(1+$R1346)*$R1346),2),ROUND(N($H1346)/(1+$Q1346)*$Q1346,2)))</f>
        <v>0</v>
      </c>
      <c r="T1346" s="36" t="n">
        <f aca="false">ROUND($S1346*N(IFERROR(INDEX(单位档案!$J$6:$J$35,MATCH($E1346,单位档案!$A$6:$A$35,0)),"")),2)</f>
        <v>0</v>
      </c>
      <c r="U1346" s="36" t="n">
        <f aca="false">IF($D1346&lt;&gt;"销项开票",0,ROUND(N($H1346)*N(IFERROR(INDEX(单位档案!$K$6:$K$35,MATCH($E1346,单位档案!$A$6:$A$35,0)),"")),2))</f>
        <v>0</v>
      </c>
      <c r="V1346" s="36" t="n">
        <f aca="false">IF(OR($D1346&lt;&gt;"销项开票",N($Q1346)=0),0,ROUND(N($H1346)/(1+$Q1346)*N(IFERROR(INDEX(单位档案!$L$6:$L$35,MATCH($E1346,单位档案!$A$6:$A$35,0)),"")),2))</f>
        <v>0</v>
      </c>
      <c r="W1346" s="36" t="n">
        <f aca="false">ROUND($S1346+$T1346+$U1346+$V1346,2)</f>
        <v>0</v>
      </c>
      <c r="X1346" s="35" t="str">
        <f aca="false">IF(OR($D1346="挂靠代收",$D1346="我方收款"),COUNTIFS($D$5:$D1346,"挂靠代收")+COUNTIFS($D$5:$D1346,"我方收款"),"")</f>
        <v/>
      </c>
      <c r="Y1346" s="35"/>
      <c r="Z1346" s="21" t="s">
        <v>111</v>
      </c>
    </row>
    <row r="1347" customFormat="false" ht="15.75" hidden="false" customHeight="true" outlineLevel="0" collapsed="false">
      <c r="A1347" s="32" t="str">
        <f aca="false">IF($B1347="","",ROW()-4)</f>
        <v/>
      </c>
      <c r="B1347" s="26"/>
      <c r="C1347" s="24"/>
      <c r="D1347" s="21"/>
      <c r="E1347" s="21"/>
      <c r="F1347" s="21"/>
      <c r="G1347" s="21"/>
      <c r="H1347" s="27"/>
      <c r="I1347" s="23" t="str">
        <f aca="false">IF($D1347&lt;&gt;"销项开票","",IF($N1347="一级",IF(IFERROR(INDEX(项目档案!$E$6:$E$255,MATCH($C1347,项目档案!$A$6:$A$255,0)),"")="",N(IFERROR(INDEX(单位档案!$D$6:$D$35,MATCH($E1347,单位档案!$A$6:$A$35,0)),"")),IFERROR(INDEX(项目档案!$E$6:$E$255,MATCH($C1347,项目档案!$A$6:$A$255,0)),"")),IF($N1347="二级",IF(IFERROR(INDEX(项目档案!$G$6:$G$255,MATCH($C1347,项目档案!$A$6:$A$255,0)),"")="",N(IFERROR(INDEX(单位档案!$D$6:$D$35,MATCH($E1347,单位档案!$A$6:$A$35,0)),"")),IFERROR(INDEX(项目档案!$G$6:$G$255,MATCH($C1347,项目档案!$A$6:$A$255,0)),"")),N(IFERROR(INDEX(单位档案!$D$6:$D$35,MATCH($E1347,单位档案!$A$6:$A$35,0)),"")))))</f>
        <v/>
      </c>
      <c r="J1347" s="22"/>
      <c r="K1347" s="22"/>
      <c r="L1347" s="33" t="str">
        <f aca="false">IF($B1347="","",IF(NOT(ISNUMBER($B1347)),"日期格式不对",IF($C1347="","未选项目编号",IF(LEFT($M1347,1)="⚠","项目编号不存在",IF($D1347="","未选业务类型",IF($E1347="","未选开票/付款方",IF(ISNA(MATCH($E1347,单位档案!$A$6:$A$35,0)),"开票方不在单位档案",IF($F1347="","未选收票/收款方",IF(ISNA(MATCH($F1347,单位档案!$A$6:$A$35,0)),"收款方不在单位档案",IF(NOT(ISNUMBER($H1347)),"金额须为数字",IF(AND($D1347="销项开票",$N1347="—"),"链条待确认","√")))))))))))</f>
        <v/>
      </c>
      <c r="M1347" s="34" t="str">
        <f aca="false">IF($C1347="","",IFERROR(INDEX(项目档案!$B$6:$B$255,MATCH($C1347,项目档案!$A$6:$A$255,0)),"⚠项目编号不存在"))</f>
        <v/>
      </c>
      <c r="N1347" s="35" t="str">
        <f aca="false">IF($E1347="","",IF($E1347=IFERROR(INDEX(项目档案!$D$6:$D$255,MATCH($C1347,项目档案!$A$6:$A$255,0)),""),"一级",IF($E1347=IFERROR(INDEX(项目档案!$F$6:$F$255,MATCH($C1347,项目档案!$A$6:$A$255,0)),""),"二级",IF($E1347=IFERROR(INDEX(项目档案!$H$6:$H$255,MATCH($C1347,项目档案!$A$6:$A$255,0)),""),"我方","—"))))</f>
        <v/>
      </c>
      <c r="O1347" s="36" t="n">
        <f aca="false">IF($D1347&lt;&gt;"销项开票",0,ROUND(N($H1347)*N($I1347),2))</f>
        <v>0</v>
      </c>
      <c r="P1347" s="36" t="n">
        <f aca="false">IF($D1347&lt;&gt;"销项开票",0,ROUND(N($H1347)-$O1347,2))</f>
        <v>0</v>
      </c>
      <c r="Q1347" s="37" t="str">
        <f aca="false">IF($E1347="","",N(IFERROR(INDEX(单位档案!$E$6:$E$35,MATCH($E1347,单位档案!$A$6:$A$35,0)),"")))</f>
        <v/>
      </c>
      <c r="R1347" s="37" t="str">
        <f aca="false">IF($E1347="","",N(IFERROR(INDEX(单位档案!$F$6:$F$35,MATCH($E1347,单位档案!$A$6:$A$35,0)),"")))</f>
        <v/>
      </c>
      <c r="S1347" s="36" t="n">
        <f aca="false">IF(OR($D1347&lt;&gt;"销项开票",IFERROR(INDEX(单位档案!$G$6:$G$35,MATCH($E1347,单位档案!$A$6:$A$35,0)),"")&lt;&gt;"是",N($Q1347)=0),0,IF(IFERROR(INDEX(单位档案!$H$6:$H$35,MATCH($E1347,单位档案!$A$6:$A$35,0)),"")="税差法",ROUND(N($H1347)/(1+$Q1347)*$Q1347-IF(N($R1347)=0,0,$P1347/(1+$R1347)*$R1347),2),ROUND(N($H1347)/(1+$Q1347)*$Q1347,2)))</f>
        <v>0</v>
      </c>
      <c r="T1347" s="36" t="n">
        <f aca="false">ROUND($S1347*N(IFERROR(INDEX(单位档案!$J$6:$J$35,MATCH($E1347,单位档案!$A$6:$A$35,0)),"")),2)</f>
        <v>0</v>
      </c>
      <c r="U1347" s="36" t="n">
        <f aca="false">IF($D1347&lt;&gt;"销项开票",0,ROUND(N($H1347)*N(IFERROR(INDEX(单位档案!$K$6:$K$35,MATCH($E1347,单位档案!$A$6:$A$35,0)),"")),2))</f>
        <v>0</v>
      </c>
      <c r="V1347" s="36" t="n">
        <f aca="false">IF(OR($D1347&lt;&gt;"销项开票",N($Q1347)=0),0,ROUND(N($H1347)/(1+$Q1347)*N(IFERROR(INDEX(单位档案!$L$6:$L$35,MATCH($E1347,单位档案!$A$6:$A$35,0)),"")),2))</f>
        <v>0</v>
      </c>
      <c r="W1347" s="36" t="n">
        <f aca="false">ROUND($S1347+$T1347+$U1347+$V1347,2)</f>
        <v>0</v>
      </c>
      <c r="X1347" s="35" t="str">
        <f aca="false">IF(OR($D1347="挂靠代收",$D1347="我方收款"),COUNTIFS($D$5:$D1347,"挂靠代收")+COUNTIFS($D$5:$D1347,"我方收款"),"")</f>
        <v/>
      </c>
      <c r="Y1347" s="35"/>
      <c r="Z1347" s="21" t="s">
        <v>111</v>
      </c>
    </row>
    <row r="1348" customFormat="false" ht="15.75" hidden="false" customHeight="true" outlineLevel="0" collapsed="false">
      <c r="A1348" s="32" t="str">
        <f aca="false">IF($B1348="","",ROW()-4)</f>
        <v/>
      </c>
      <c r="B1348" s="26"/>
      <c r="C1348" s="24"/>
      <c r="D1348" s="21"/>
      <c r="E1348" s="21"/>
      <c r="F1348" s="21"/>
      <c r="G1348" s="21"/>
      <c r="H1348" s="27"/>
      <c r="I1348" s="23" t="str">
        <f aca="false">IF($D1348&lt;&gt;"销项开票","",IF($N1348="一级",IF(IFERROR(INDEX(项目档案!$E$6:$E$255,MATCH($C1348,项目档案!$A$6:$A$255,0)),"")="",N(IFERROR(INDEX(单位档案!$D$6:$D$35,MATCH($E1348,单位档案!$A$6:$A$35,0)),"")),IFERROR(INDEX(项目档案!$E$6:$E$255,MATCH($C1348,项目档案!$A$6:$A$255,0)),"")),IF($N1348="二级",IF(IFERROR(INDEX(项目档案!$G$6:$G$255,MATCH($C1348,项目档案!$A$6:$A$255,0)),"")="",N(IFERROR(INDEX(单位档案!$D$6:$D$35,MATCH($E1348,单位档案!$A$6:$A$35,0)),"")),IFERROR(INDEX(项目档案!$G$6:$G$255,MATCH($C1348,项目档案!$A$6:$A$255,0)),"")),N(IFERROR(INDEX(单位档案!$D$6:$D$35,MATCH($E1348,单位档案!$A$6:$A$35,0)),"")))))</f>
        <v/>
      </c>
      <c r="J1348" s="22"/>
      <c r="K1348" s="22"/>
      <c r="L1348" s="33" t="str">
        <f aca="false">IF($B1348="","",IF(NOT(ISNUMBER($B1348)),"日期格式不对",IF($C1348="","未选项目编号",IF(LEFT($M1348,1)="⚠","项目编号不存在",IF($D1348="","未选业务类型",IF($E1348="","未选开票/付款方",IF(ISNA(MATCH($E1348,单位档案!$A$6:$A$35,0)),"开票方不在单位档案",IF($F1348="","未选收票/收款方",IF(ISNA(MATCH($F1348,单位档案!$A$6:$A$35,0)),"收款方不在单位档案",IF(NOT(ISNUMBER($H1348)),"金额须为数字",IF(AND($D1348="销项开票",$N1348="—"),"链条待确认","√")))))))))))</f>
        <v/>
      </c>
      <c r="M1348" s="34" t="str">
        <f aca="false">IF($C1348="","",IFERROR(INDEX(项目档案!$B$6:$B$255,MATCH($C1348,项目档案!$A$6:$A$255,0)),"⚠项目编号不存在"))</f>
        <v/>
      </c>
      <c r="N1348" s="35" t="str">
        <f aca="false">IF($E1348="","",IF($E1348=IFERROR(INDEX(项目档案!$D$6:$D$255,MATCH($C1348,项目档案!$A$6:$A$255,0)),""),"一级",IF($E1348=IFERROR(INDEX(项目档案!$F$6:$F$255,MATCH($C1348,项目档案!$A$6:$A$255,0)),""),"二级",IF($E1348=IFERROR(INDEX(项目档案!$H$6:$H$255,MATCH($C1348,项目档案!$A$6:$A$255,0)),""),"我方","—"))))</f>
        <v/>
      </c>
      <c r="O1348" s="36" t="n">
        <f aca="false">IF($D1348&lt;&gt;"销项开票",0,ROUND(N($H1348)*N($I1348),2))</f>
        <v>0</v>
      </c>
      <c r="P1348" s="36" t="n">
        <f aca="false">IF($D1348&lt;&gt;"销项开票",0,ROUND(N($H1348)-$O1348,2))</f>
        <v>0</v>
      </c>
      <c r="Q1348" s="37" t="str">
        <f aca="false">IF($E1348="","",N(IFERROR(INDEX(单位档案!$E$6:$E$35,MATCH($E1348,单位档案!$A$6:$A$35,0)),"")))</f>
        <v/>
      </c>
      <c r="R1348" s="37" t="str">
        <f aca="false">IF($E1348="","",N(IFERROR(INDEX(单位档案!$F$6:$F$35,MATCH($E1348,单位档案!$A$6:$A$35,0)),"")))</f>
        <v/>
      </c>
      <c r="S1348" s="36" t="n">
        <f aca="false">IF(OR($D1348&lt;&gt;"销项开票",IFERROR(INDEX(单位档案!$G$6:$G$35,MATCH($E1348,单位档案!$A$6:$A$35,0)),"")&lt;&gt;"是",N($Q1348)=0),0,IF(IFERROR(INDEX(单位档案!$H$6:$H$35,MATCH($E1348,单位档案!$A$6:$A$35,0)),"")="税差法",ROUND(N($H1348)/(1+$Q1348)*$Q1348-IF(N($R1348)=0,0,$P1348/(1+$R1348)*$R1348),2),ROUND(N($H1348)/(1+$Q1348)*$Q1348,2)))</f>
        <v>0</v>
      </c>
      <c r="T1348" s="36" t="n">
        <f aca="false">ROUND($S1348*N(IFERROR(INDEX(单位档案!$J$6:$J$35,MATCH($E1348,单位档案!$A$6:$A$35,0)),"")),2)</f>
        <v>0</v>
      </c>
      <c r="U1348" s="36" t="n">
        <f aca="false">IF($D1348&lt;&gt;"销项开票",0,ROUND(N($H1348)*N(IFERROR(INDEX(单位档案!$K$6:$K$35,MATCH($E1348,单位档案!$A$6:$A$35,0)),"")),2))</f>
        <v>0</v>
      </c>
      <c r="V1348" s="36" t="n">
        <f aca="false">IF(OR($D1348&lt;&gt;"销项开票",N($Q1348)=0),0,ROUND(N($H1348)/(1+$Q1348)*N(IFERROR(INDEX(单位档案!$L$6:$L$35,MATCH($E1348,单位档案!$A$6:$A$35,0)),"")),2))</f>
        <v>0</v>
      </c>
      <c r="W1348" s="36" t="n">
        <f aca="false">ROUND($S1348+$T1348+$U1348+$V1348,2)</f>
        <v>0</v>
      </c>
      <c r="X1348" s="35" t="str">
        <f aca="false">IF(OR($D1348="挂靠代收",$D1348="我方收款"),COUNTIFS($D$5:$D1348,"挂靠代收")+COUNTIFS($D$5:$D1348,"我方收款"),"")</f>
        <v/>
      </c>
      <c r="Y1348" s="35"/>
      <c r="Z1348" s="21" t="s">
        <v>111</v>
      </c>
    </row>
    <row r="1349" customFormat="false" ht="15.75" hidden="false" customHeight="true" outlineLevel="0" collapsed="false">
      <c r="A1349" s="32" t="str">
        <f aca="false">IF($B1349="","",ROW()-4)</f>
        <v/>
      </c>
      <c r="B1349" s="26"/>
      <c r="C1349" s="24"/>
      <c r="D1349" s="21"/>
      <c r="E1349" s="21"/>
      <c r="F1349" s="21"/>
      <c r="G1349" s="21"/>
      <c r="H1349" s="27"/>
      <c r="I1349" s="23" t="str">
        <f aca="false">IF($D1349&lt;&gt;"销项开票","",IF($N1349="一级",IF(IFERROR(INDEX(项目档案!$E$6:$E$255,MATCH($C1349,项目档案!$A$6:$A$255,0)),"")="",N(IFERROR(INDEX(单位档案!$D$6:$D$35,MATCH($E1349,单位档案!$A$6:$A$35,0)),"")),IFERROR(INDEX(项目档案!$E$6:$E$255,MATCH($C1349,项目档案!$A$6:$A$255,0)),"")),IF($N1349="二级",IF(IFERROR(INDEX(项目档案!$G$6:$G$255,MATCH($C1349,项目档案!$A$6:$A$255,0)),"")="",N(IFERROR(INDEX(单位档案!$D$6:$D$35,MATCH($E1349,单位档案!$A$6:$A$35,0)),"")),IFERROR(INDEX(项目档案!$G$6:$G$255,MATCH($C1349,项目档案!$A$6:$A$255,0)),"")),N(IFERROR(INDEX(单位档案!$D$6:$D$35,MATCH($E1349,单位档案!$A$6:$A$35,0)),"")))))</f>
        <v/>
      </c>
      <c r="J1349" s="22"/>
      <c r="K1349" s="22"/>
      <c r="L1349" s="33" t="str">
        <f aca="false">IF($B1349="","",IF(NOT(ISNUMBER($B1349)),"日期格式不对",IF($C1349="","未选项目编号",IF(LEFT($M1349,1)="⚠","项目编号不存在",IF($D1349="","未选业务类型",IF($E1349="","未选开票/付款方",IF(ISNA(MATCH($E1349,单位档案!$A$6:$A$35,0)),"开票方不在单位档案",IF($F1349="","未选收票/收款方",IF(ISNA(MATCH($F1349,单位档案!$A$6:$A$35,0)),"收款方不在单位档案",IF(NOT(ISNUMBER($H1349)),"金额须为数字",IF(AND($D1349="销项开票",$N1349="—"),"链条待确认","√")))))))))))</f>
        <v/>
      </c>
      <c r="M1349" s="34" t="str">
        <f aca="false">IF($C1349="","",IFERROR(INDEX(项目档案!$B$6:$B$255,MATCH($C1349,项目档案!$A$6:$A$255,0)),"⚠项目编号不存在"))</f>
        <v/>
      </c>
      <c r="N1349" s="35" t="str">
        <f aca="false">IF($E1349="","",IF($E1349=IFERROR(INDEX(项目档案!$D$6:$D$255,MATCH($C1349,项目档案!$A$6:$A$255,0)),""),"一级",IF($E1349=IFERROR(INDEX(项目档案!$F$6:$F$255,MATCH($C1349,项目档案!$A$6:$A$255,0)),""),"二级",IF($E1349=IFERROR(INDEX(项目档案!$H$6:$H$255,MATCH($C1349,项目档案!$A$6:$A$255,0)),""),"我方","—"))))</f>
        <v/>
      </c>
      <c r="O1349" s="36" t="n">
        <f aca="false">IF($D1349&lt;&gt;"销项开票",0,ROUND(N($H1349)*N($I1349),2))</f>
        <v>0</v>
      </c>
      <c r="P1349" s="36" t="n">
        <f aca="false">IF($D1349&lt;&gt;"销项开票",0,ROUND(N($H1349)-$O1349,2))</f>
        <v>0</v>
      </c>
      <c r="Q1349" s="37" t="str">
        <f aca="false">IF($E1349="","",N(IFERROR(INDEX(单位档案!$E$6:$E$35,MATCH($E1349,单位档案!$A$6:$A$35,0)),"")))</f>
        <v/>
      </c>
      <c r="R1349" s="37" t="str">
        <f aca="false">IF($E1349="","",N(IFERROR(INDEX(单位档案!$F$6:$F$35,MATCH($E1349,单位档案!$A$6:$A$35,0)),"")))</f>
        <v/>
      </c>
      <c r="S1349" s="36" t="n">
        <f aca="false">IF(OR($D1349&lt;&gt;"销项开票",IFERROR(INDEX(单位档案!$G$6:$G$35,MATCH($E1349,单位档案!$A$6:$A$35,0)),"")&lt;&gt;"是",N($Q1349)=0),0,IF(IFERROR(INDEX(单位档案!$H$6:$H$35,MATCH($E1349,单位档案!$A$6:$A$35,0)),"")="税差法",ROUND(N($H1349)/(1+$Q1349)*$Q1349-IF(N($R1349)=0,0,$P1349/(1+$R1349)*$R1349),2),ROUND(N($H1349)/(1+$Q1349)*$Q1349,2)))</f>
        <v>0</v>
      </c>
      <c r="T1349" s="36" t="n">
        <f aca="false">ROUND($S1349*N(IFERROR(INDEX(单位档案!$J$6:$J$35,MATCH($E1349,单位档案!$A$6:$A$35,0)),"")),2)</f>
        <v>0</v>
      </c>
      <c r="U1349" s="36" t="n">
        <f aca="false">IF($D1349&lt;&gt;"销项开票",0,ROUND(N($H1349)*N(IFERROR(INDEX(单位档案!$K$6:$K$35,MATCH($E1349,单位档案!$A$6:$A$35,0)),"")),2))</f>
        <v>0</v>
      </c>
      <c r="V1349" s="36" t="n">
        <f aca="false">IF(OR($D1349&lt;&gt;"销项开票",N($Q1349)=0),0,ROUND(N($H1349)/(1+$Q1349)*N(IFERROR(INDEX(单位档案!$L$6:$L$35,MATCH($E1349,单位档案!$A$6:$A$35,0)),"")),2))</f>
        <v>0</v>
      </c>
      <c r="W1349" s="36" t="n">
        <f aca="false">ROUND($S1349+$T1349+$U1349+$V1349,2)</f>
        <v>0</v>
      </c>
      <c r="X1349" s="35" t="str">
        <f aca="false">IF(OR($D1349="挂靠代收",$D1349="我方收款"),COUNTIFS($D$5:$D1349,"挂靠代收")+COUNTIFS($D$5:$D1349,"我方收款"),"")</f>
        <v/>
      </c>
      <c r="Y1349" s="35"/>
      <c r="Z1349" s="21" t="s">
        <v>111</v>
      </c>
    </row>
    <row r="1350" customFormat="false" ht="15.75" hidden="false" customHeight="true" outlineLevel="0" collapsed="false">
      <c r="A1350" s="32" t="str">
        <f aca="false">IF($B1350="","",ROW()-4)</f>
        <v/>
      </c>
      <c r="B1350" s="26"/>
      <c r="C1350" s="24"/>
      <c r="D1350" s="21"/>
      <c r="E1350" s="21"/>
      <c r="F1350" s="21"/>
      <c r="G1350" s="21"/>
      <c r="H1350" s="27"/>
      <c r="I1350" s="23" t="str">
        <f aca="false">IF($D1350&lt;&gt;"销项开票","",IF($N1350="一级",IF(IFERROR(INDEX(项目档案!$E$6:$E$255,MATCH($C1350,项目档案!$A$6:$A$255,0)),"")="",N(IFERROR(INDEX(单位档案!$D$6:$D$35,MATCH($E1350,单位档案!$A$6:$A$35,0)),"")),IFERROR(INDEX(项目档案!$E$6:$E$255,MATCH($C1350,项目档案!$A$6:$A$255,0)),"")),IF($N1350="二级",IF(IFERROR(INDEX(项目档案!$G$6:$G$255,MATCH($C1350,项目档案!$A$6:$A$255,0)),"")="",N(IFERROR(INDEX(单位档案!$D$6:$D$35,MATCH($E1350,单位档案!$A$6:$A$35,0)),"")),IFERROR(INDEX(项目档案!$G$6:$G$255,MATCH($C1350,项目档案!$A$6:$A$255,0)),"")),N(IFERROR(INDEX(单位档案!$D$6:$D$35,MATCH($E1350,单位档案!$A$6:$A$35,0)),"")))))</f>
        <v/>
      </c>
      <c r="J1350" s="22"/>
      <c r="K1350" s="22"/>
      <c r="L1350" s="33" t="str">
        <f aca="false">IF($B1350="","",IF(NOT(ISNUMBER($B1350)),"日期格式不对",IF($C1350="","未选项目编号",IF(LEFT($M1350,1)="⚠","项目编号不存在",IF($D1350="","未选业务类型",IF($E1350="","未选开票/付款方",IF(ISNA(MATCH($E1350,单位档案!$A$6:$A$35,0)),"开票方不在单位档案",IF($F1350="","未选收票/收款方",IF(ISNA(MATCH($F1350,单位档案!$A$6:$A$35,0)),"收款方不在单位档案",IF(NOT(ISNUMBER($H1350)),"金额须为数字",IF(AND($D1350="销项开票",$N1350="—"),"链条待确认","√")))))))))))</f>
        <v/>
      </c>
      <c r="M1350" s="34" t="str">
        <f aca="false">IF($C1350="","",IFERROR(INDEX(项目档案!$B$6:$B$255,MATCH($C1350,项目档案!$A$6:$A$255,0)),"⚠项目编号不存在"))</f>
        <v/>
      </c>
      <c r="N1350" s="35" t="str">
        <f aca="false">IF($E1350="","",IF($E1350=IFERROR(INDEX(项目档案!$D$6:$D$255,MATCH($C1350,项目档案!$A$6:$A$255,0)),""),"一级",IF($E1350=IFERROR(INDEX(项目档案!$F$6:$F$255,MATCH($C1350,项目档案!$A$6:$A$255,0)),""),"二级",IF($E1350=IFERROR(INDEX(项目档案!$H$6:$H$255,MATCH($C1350,项目档案!$A$6:$A$255,0)),""),"我方","—"))))</f>
        <v/>
      </c>
      <c r="O1350" s="36" t="n">
        <f aca="false">IF($D1350&lt;&gt;"销项开票",0,ROUND(N($H1350)*N($I1350),2))</f>
        <v>0</v>
      </c>
      <c r="P1350" s="36" t="n">
        <f aca="false">IF($D1350&lt;&gt;"销项开票",0,ROUND(N($H1350)-$O1350,2))</f>
        <v>0</v>
      </c>
      <c r="Q1350" s="37" t="str">
        <f aca="false">IF($E1350="","",N(IFERROR(INDEX(单位档案!$E$6:$E$35,MATCH($E1350,单位档案!$A$6:$A$35,0)),"")))</f>
        <v/>
      </c>
      <c r="R1350" s="37" t="str">
        <f aca="false">IF($E1350="","",N(IFERROR(INDEX(单位档案!$F$6:$F$35,MATCH($E1350,单位档案!$A$6:$A$35,0)),"")))</f>
        <v/>
      </c>
      <c r="S1350" s="36" t="n">
        <f aca="false">IF(OR($D1350&lt;&gt;"销项开票",IFERROR(INDEX(单位档案!$G$6:$G$35,MATCH($E1350,单位档案!$A$6:$A$35,0)),"")&lt;&gt;"是",N($Q1350)=0),0,IF(IFERROR(INDEX(单位档案!$H$6:$H$35,MATCH($E1350,单位档案!$A$6:$A$35,0)),"")="税差法",ROUND(N($H1350)/(1+$Q1350)*$Q1350-IF(N($R1350)=0,0,$P1350/(1+$R1350)*$R1350),2),ROUND(N($H1350)/(1+$Q1350)*$Q1350,2)))</f>
        <v>0</v>
      </c>
      <c r="T1350" s="36" t="n">
        <f aca="false">ROUND($S1350*N(IFERROR(INDEX(单位档案!$J$6:$J$35,MATCH($E1350,单位档案!$A$6:$A$35,0)),"")),2)</f>
        <v>0</v>
      </c>
      <c r="U1350" s="36" t="n">
        <f aca="false">IF($D1350&lt;&gt;"销项开票",0,ROUND(N($H1350)*N(IFERROR(INDEX(单位档案!$K$6:$K$35,MATCH($E1350,单位档案!$A$6:$A$35,0)),"")),2))</f>
        <v>0</v>
      </c>
      <c r="V1350" s="36" t="n">
        <f aca="false">IF(OR($D1350&lt;&gt;"销项开票",N($Q1350)=0),0,ROUND(N($H1350)/(1+$Q1350)*N(IFERROR(INDEX(单位档案!$L$6:$L$35,MATCH($E1350,单位档案!$A$6:$A$35,0)),"")),2))</f>
        <v>0</v>
      </c>
      <c r="W1350" s="36" t="n">
        <f aca="false">ROUND($S1350+$T1350+$U1350+$V1350,2)</f>
        <v>0</v>
      </c>
      <c r="X1350" s="35" t="str">
        <f aca="false">IF(OR($D1350="挂靠代收",$D1350="我方收款"),COUNTIFS($D$5:$D1350,"挂靠代收")+COUNTIFS($D$5:$D1350,"我方收款"),"")</f>
        <v/>
      </c>
      <c r="Y1350" s="35"/>
      <c r="Z1350" s="21" t="s">
        <v>111</v>
      </c>
    </row>
    <row r="1351" customFormat="false" ht="15.75" hidden="false" customHeight="true" outlineLevel="0" collapsed="false">
      <c r="A1351" s="32" t="str">
        <f aca="false">IF($B1351="","",ROW()-4)</f>
        <v/>
      </c>
      <c r="B1351" s="26"/>
      <c r="C1351" s="24"/>
      <c r="D1351" s="21"/>
      <c r="E1351" s="21"/>
      <c r="F1351" s="21"/>
      <c r="G1351" s="21"/>
      <c r="H1351" s="27"/>
      <c r="I1351" s="23" t="str">
        <f aca="false">IF($D1351&lt;&gt;"销项开票","",IF($N1351="一级",IF(IFERROR(INDEX(项目档案!$E$6:$E$255,MATCH($C1351,项目档案!$A$6:$A$255,0)),"")="",N(IFERROR(INDEX(单位档案!$D$6:$D$35,MATCH($E1351,单位档案!$A$6:$A$35,0)),"")),IFERROR(INDEX(项目档案!$E$6:$E$255,MATCH($C1351,项目档案!$A$6:$A$255,0)),"")),IF($N1351="二级",IF(IFERROR(INDEX(项目档案!$G$6:$G$255,MATCH($C1351,项目档案!$A$6:$A$255,0)),"")="",N(IFERROR(INDEX(单位档案!$D$6:$D$35,MATCH($E1351,单位档案!$A$6:$A$35,0)),"")),IFERROR(INDEX(项目档案!$G$6:$G$255,MATCH($C1351,项目档案!$A$6:$A$255,0)),"")),N(IFERROR(INDEX(单位档案!$D$6:$D$35,MATCH($E1351,单位档案!$A$6:$A$35,0)),"")))))</f>
        <v/>
      </c>
      <c r="J1351" s="22"/>
      <c r="K1351" s="22"/>
      <c r="L1351" s="33" t="str">
        <f aca="false">IF($B1351="","",IF(NOT(ISNUMBER($B1351)),"日期格式不对",IF($C1351="","未选项目编号",IF(LEFT($M1351,1)="⚠","项目编号不存在",IF($D1351="","未选业务类型",IF($E1351="","未选开票/付款方",IF(ISNA(MATCH($E1351,单位档案!$A$6:$A$35,0)),"开票方不在单位档案",IF($F1351="","未选收票/收款方",IF(ISNA(MATCH($F1351,单位档案!$A$6:$A$35,0)),"收款方不在单位档案",IF(NOT(ISNUMBER($H1351)),"金额须为数字",IF(AND($D1351="销项开票",$N1351="—"),"链条待确认","√")))))))))))</f>
        <v/>
      </c>
      <c r="M1351" s="34" t="str">
        <f aca="false">IF($C1351="","",IFERROR(INDEX(项目档案!$B$6:$B$255,MATCH($C1351,项目档案!$A$6:$A$255,0)),"⚠项目编号不存在"))</f>
        <v/>
      </c>
      <c r="N1351" s="35" t="str">
        <f aca="false">IF($E1351="","",IF($E1351=IFERROR(INDEX(项目档案!$D$6:$D$255,MATCH($C1351,项目档案!$A$6:$A$255,0)),""),"一级",IF($E1351=IFERROR(INDEX(项目档案!$F$6:$F$255,MATCH($C1351,项目档案!$A$6:$A$255,0)),""),"二级",IF($E1351=IFERROR(INDEX(项目档案!$H$6:$H$255,MATCH($C1351,项目档案!$A$6:$A$255,0)),""),"我方","—"))))</f>
        <v/>
      </c>
      <c r="O1351" s="36" t="n">
        <f aca="false">IF($D1351&lt;&gt;"销项开票",0,ROUND(N($H1351)*N($I1351),2))</f>
        <v>0</v>
      </c>
      <c r="P1351" s="36" t="n">
        <f aca="false">IF($D1351&lt;&gt;"销项开票",0,ROUND(N($H1351)-$O1351,2))</f>
        <v>0</v>
      </c>
      <c r="Q1351" s="37" t="str">
        <f aca="false">IF($E1351="","",N(IFERROR(INDEX(单位档案!$E$6:$E$35,MATCH($E1351,单位档案!$A$6:$A$35,0)),"")))</f>
        <v/>
      </c>
      <c r="R1351" s="37" t="str">
        <f aca="false">IF($E1351="","",N(IFERROR(INDEX(单位档案!$F$6:$F$35,MATCH($E1351,单位档案!$A$6:$A$35,0)),"")))</f>
        <v/>
      </c>
      <c r="S1351" s="36" t="n">
        <f aca="false">IF(OR($D1351&lt;&gt;"销项开票",IFERROR(INDEX(单位档案!$G$6:$G$35,MATCH($E1351,单位档案!$A$6:$A$35,0)),"")&lt;&gt;"是",N($Q1351)=0),0,IF(IFERROR(INDEX(单位档案!$H$6:$H$35,MATCH($E1351,单位档案!$A$6:$A$35,0)),"")="税差法",ROUND(N($H1351)/(1+$Q1351)*$Q1351-IF(N($R1351)=0,0,$P1351/(1+$R1351)*$R1351),2),ROUND(N($H1351)/(1+$Q1351)*$Q1351,2)))</f>
        <v>0</v>
      </c>
      <c r="T1351" s="36" t="n">
        <f aca="false">ROUND($S1351*N(IFERROR(INDEX(单位档案!$J$6:$J$35,MATCH($E1351,单位档案!$A$6:$A$35,0)),"")),2)</f>
        <v>0</v>
      </c>
      <c r="U1351" s="36" t="n">
        <f aca="false">IF($D1351&lt;&gt;"销项开票",0,ROUND(N($H1351)*N(IFERROR(INDEX(单位档案!$K$6:$K$35,MATCH($E1351,单位档案!$A$6:$A$35,0)),"")),2))</f>
        <v>0</v>
      </c>
      <c r="V1351" s="36" t="n">
        <f aca="false">IF(OR($D1351&lt;&gt;"销项开票",N($Q1351)=0),0,ROUND(N($H1351)/(1+$Q1351)*N(IFERROR(INDEX(单位档案!$L$6:$L$35,MATCH($E1351,单位档案!$A$6:$A$35,0)),"")),2))</f>
        <v>0</v>
      </c>
      <c r="W1351" s="36" t="n">
        <f aca="false">ROUND($S1351+$T1351+$U1351+$V1351,2)</f>
        <v>0</v>
      </c>
      <c r="X1351" s="35" t="str">
        <f aca="false">IF(OR($D1351="挂靠代收",$D1351="我方收款"),COUNTIFS($D$5:$D1351,"挂靠代收")+COUNTIFS($D$5:$D1351,"我方收款"),"")</f>
        <v/>
      </c>
      <c r="Y1351" s="35"/>
      <c r="Z1351" s="21" t="s">
        <v>111</v>
      </c>
    </row>
    <row r="1352" customFormat="false" ht="15.75" hidden="false" customHeight="true" outlineLevel="0" collapsed="false">
      <c r="A1352" s="32" t="str">
        <f aca="false">IF($B1352="","",ROW()-4)</f>
        <v/>
      </c>
      <c r="B1352" s="26"/>
      <c r="C1352" s="24"/>
      <c r="D1352" s="21"/>
      <c r="E1352" s="21"/>
      <c r="F1352" s="21"/>
      <c r="G1352" s="21"/>
      <c r="H1352" s="27"/>
      <c r="I1352" s="23" t="str">
        <f aca="false">IF($D1352&lt;&gt;"销项开票","",IF($N1352="一级",IF(IFERROR(INDEX(项目档案!$E$6:$E$255,MATCH($C1352,项目档案!$A$6:$A$255,0)),"")="",N(IFERROR(INDEX(单位档案!$D$6:$D$35,MATCH($E1352,单位档案!$A$6:$A$35,0)),"")),IFERROR(INDEX(项目档案!$E$6:$E$255,MATCH($C1352,项目档案!$A$6:$A$255,0)),"")),IF($N1352="二级",IF(IFERROR(INDEX(项目档案!$G$6:$G$255,MATCH($C1352,项目档案!$A$6:$A$255,0)),"")="",N(IFERROR(INDEX(单位档案!$D$6:$D$35,MATCH($E1352,单位档案!$A$6:$A$35,0)),"")),IFERROR(INDEX(项目档案!$G$6:$G$255,MATCH($C1352,项目档案!$A$6:$A$255,0)),"")),N(IFERROR(INDEX(单位档案!$D$6:$D$35,MATCH($E1352,单位档案!$A$6:$A$35,0)),"")))))</f>
        <v/>
      </c>
      <c r="J1352" s="22"/>
      <c r="K1352" s="22"/>
      <c r="L1352" s="33" t="str">
        <f aca="false">IF($B1352="","",IF(NOT(ISNUMBER($B1352)),"日期格式不对",IF($C1352="","未选项目编号",IF(LEFT($M1352,1)="⚠","项目编号不存在",IF($D1352="","未选业务类型",IF($E1352="","未选开票/付款方",IF(ISNA(MATCH($E1352,单位档案!$A$6:$A$35,0)),"开票方不在单位档案",IF($F1352="","未选收票/收款方",IF(ISNA(MATCH($F1352,单位档案!$A$6:$A$35,0)),"收款方不在单位档案",IF(NOT(ISNUMBER($H1352)),"金额须为数字",IF(AND($D1352="销项开票",$N1352="—"),"链条待确认","√")))))))))))</f>
        <v/>
      </c>
      <c r="M1352" s="34" t="str">
        <f aca="false">IF($C1352="","",IFERROR(INDEX(项目档案!$B$6:$B$255,MATCH($C1352,项目档案!$A$6:$A$255,0)),"⚠项目编号不存在"))</f>
        <v/>
      </c>
      <c r="N1352" s="35" t="str">
        <f aca="false">IF($E1352="","",IF($E1352=IFERROR(INDEX(项目档案!$D$6:$D$255,MATCH($C1352,项目档案!$A$6:$A$255,0)),""),"一级",IF($E1352=IFERROR(INDEX(项目档案!$F$6:$F$255,MATCH($C1352,项目档案!$A$6:$A$255,0)),""),"二级",IF($E1352=IFERROR(INDEX(项目档案!$H$6:$H$255,MATCH($C1352,项目档案!$A$6:$A$255,0)),""),"我方","—"))))</f>
        <v/>
      </c>
      <c r="O1352" s="36" t="n">
        <f aca="false">IF($D1352&lt;&gt;"销项开票",0,ROUND(N($H1352)*N($I1352),2))</f>
        <v>0</v>
      </c>
      <c r="P1352" s="36" t="n">
        <f aca="false">IF($D1352&lt;&gt;"销项开票",0,ROUND(N($H1352)-$O1352,2))</f>
        <v>0</v>
      </c>
      <c r="Q1352" s="37" t="str">
        <f aca="false">IF($E1352="","",N(IFERROR(INDEX(单位档案!$E$6:$E$35,MATCH($E1352,单位档案!$A$6:$A$35,0)),"")))</f>
        <v/>
      </c>
      <c r="R1352" s="37" t="str">
        <f aca="false">IF($E1352="","",N(IFERROR(INDEX(单位档案!$F$6:$F$35,MATCH($E1352,单位档案!$A$6:$A$35,0)),"")))</f>
        <v/>
      </c>
      <c r="S1352" s="36" t="n">
        <f aca="false">IF(OR($D1352&lt;&gt;"销项开票",IFERROR(INDEX(单位档案!$G$6:$G$35,MATCH($E1352,单位档案!$A$6:$A$35,0)),"")&lt;&gt;"是",N($Q1352)=0),0,IF(IFERROR(INDEX(单位档案!$H$6:$H$35,MATCH($E1352,单位档案!$A$6:$A$35,0)),"")="税差法",ROUND(N($H1352)/(1+$Q1352)*$Q1352-IF(N($R1352)=0,0,$P1352/(1+$R1352)*$R1352),2),ROUND(N($H1352)/(1+$Q1352)*$Q1352,2)))</f>
        <v>0</v>
      </c>
      <c r="T1352" s="36" t="n">
        <f aca="false">ROUND($S1352*N(IFERROR(INDEX(单位档案!$J$6:$J$35,MATCH($E1352,单位档案!$A$6:$A$35,0)),"")),2)</f>
        <v>0</v>
      </c>
      <c r="U1352" s="36" t="n">
        <f aca="false">IF($D1352&lt;&gt;"销项开票",0,ROUND(N($H1352)*N(IFERROR(INDEX(单位档案!$K$6:$K$35,MATCH($E1352,单位档案!$A$6:$A$35,0)),"")),2))</f>
        <v>0</v>
      </c>
      <c r="V1352" s="36" t="n">
        <f aca="false">IF(OR($D1352&lt;&gt;"销项开票",N($Q1352)=0),0,ROUND(N($H1352)/(1+$Q1352)*N(IFERROR(INDEX(单位档案!$L$6:$L$35,MATCH($E1352,单位档案!$A$6:$A$35,0)),"")),2))</f>
        <v>0</v>
      </c>
      <c r="W1352" s="36" t="n">
        <f aca="false">ROUND($S1352+$T1352+$U1352+$V1352,2)</f>
        <v>0</v>
      </c>
      <c r="X1352" s="35" t="str">
        <f aca="false">IF(OR($D1352="挂靠代收",$D1352="我方收款"),COUNTIFS($D$5:$D1352,"挂靠代收")+COUNTIFS($D$5:$D1352,"我方收款"),"")</f>
        <v/>
      </c>
      <c r="Y1352" s="35"/>
      <c r="Z1352" s="21" t="s">
        <v>111</v>
      </c>
    </row>
    <row r="1353" customFormat="false" ht="15.75" hidden="false" customHeight="true" outlineLevel="0" collapsed="false">
      <c r="A1353" s="32" t="str">
        <f aca="false">IF($B1353="","",ROW()-4)</f>
        <v/>
      </c>
      <c r="B1353" s="26"/>
      <c r="C1353" s="24"/>
      <c r="D1353" s="21"/>
      <c r="E1353" s="21"/>
      <c r="F1353" s="21"/>
      <c r="G1353" s="21"/>
      <c r="H1353" s="27"/>
      <c r="I1353" s="23" t="str">
        <f aca="false">IF($D1353&lt;&gt;"销项开票","",IF($N1353="一级",IF(IFERROR(INDEX(项目档案!$E$6:$E$255,MATCH($C1353,项目档案!$A$6:$A$255,0)),"")="",N(IFERROR(INDEX(单位档案!$D$6:$D$35,MATCH($E1353,单位档案!$A$6:$A$35,0)),"")),IFERROR(INDEX(项目档案!$E$6:$E$255,MATCH($C1353,项目档案!$A$6:$A$255,0)),"")),IF($N1353="二级",IF(IFERROR(INDEX(项目档案!$G$6:$G$255,MATCH($C1353,项目档案!$A$6:$A$255,0)),"")="",N(IFERROR(INDEX(单位档案!$D$6:$D$35,MATCH($E1353,单位档案!$A$6:$A$35,0)),"")),IFERROR(INDEX(项目档案!$G$6:$G$255,MATCH($C1353,项目档案!$A$6:$A$255,0)),"")),N(IFERROR(INDEX(单位档案!$D$6:$D$35,MATCH($E1353,单位档案!$A$6:$A$35,0)),"")))))</f>
        <v/>
      </c>
      <c r="J1353" s="22"/>
      <c r="K1353" s="22"/>
      <c r="L1353" s="33" t="str">
        <f aca="false">IF($B1353="","",IF(NOT(ISNUMBER($B1353)),"日期格式不对",IF($C1353="","未选项目编号",IF(LEFT($M1353,1)="⚠","项目编号不存在",IF($D1353="","未选业务类型",IF($E1353="","未选开票/付款方",IF(ISNA(MATCH($E1353,单位档案!$A$6:$A$35,0)),"开票方不在单位档案",IF($F1353="","未选收票/收款方",IF(ISNA(MATCH($F1353,单位档案!$A$6:$A$35,0)),"收款方不在单位档案",IF(NOT(ISNUMBER($H1353)),"金额须为数字",IF(AND($D1353="销项开票",$N1353="—"),"链条待确认","√")))))))))))</f>
        <v/>
      </c>
      <c r="M1353" s="34" t="str">
        <f aca="false">IF($C1353="","",IFERROR(INDEX(项目档案!$B$6:$B$255,MATCH($C1353,项目档案!$A$6:$A$255,0)),"⚠项目编号不存在"))</f>
        <v/>
      </c>
      <c r="N1353" s="35" t="str">
        <f aca="false">IF($E1353="","",IF($E1353=IFERROR(INDEX(项目档案!$D$6:$D$255,MATCH($C1353,项目档案!$A$6:$A$255,0)),""),"一级",IF($E1353=IFERROR(INDEX(项目档案!$F$6:$F$255,MATCH($C1353,项目档案!$A$6:$A$255,0)),""),"二级",IF($E1353=IFERROR(INDEX(项目档案!$H$6:$H$255,MATCH($C1353,项目档案!$A$6:$A$255,0)),""),"我方","—"))))</f>
        <v/>
      </c>
      <c r="O1353" s="36" t="n">
        <f aca="false">IF($D1353&lt;&gt;"销项开票",0,ROUND(N($H1353)*N($I1353),2))</f>
        <v>0</v>
      </c>
      <c r="P1353" s="36" t="n">
        <f aca="false">IF($D1353&lt;&gt;"销项开票",0,ROUND(N($H1353)-$O1353,2))</f>
        <v>0</v>
      </c>
      <c r="Q1353" s="37" t="str">
        <f aca="false">IF($E1353="","",N(IFERROR(INDEX(单位档案!$E$6:$E$35,MATCH($E1353,单位档案!$A$6:$A$35,0)),"")))</f>
        <v/>
      </c>
      <c r="R1353" s="37" t="str">
        <f aca="false">IF($E1353="","",N(IFERROR(INDEX(单位档案!$F$6:$F$35,MATCH($E1353,单位档案!$A$6:$A$35,0)),"")))</f>
        <v/>
      </c>
      <c r="S1353" s="36" t="n">
        <f aca="false">IF(OR($D1353&lt;&gt;"销项开票",IFERROR(INDEX(单位档案!$G$6:$G$35,MATCH($E1353,单位档案!$A$6:$A$35,0)),"")&lt;&gt;"是",N($Q1353)=0),0,IF(IFERROR(INDEX(单位档案!$H$6:$H$35,MATCH($E1353,单位档案!$A$6:$A$35,0)),"")="税差法",ROUND(N($H1353)/(1+$Q1353)*$Q1353-IF(N($R1353)=0,0,$P1353/(1+$R1353)*$R1353),2),ROUND(N($H1353)/(1+$Q1353)*$Q1353,2)))</f>
        <v>0</v>
      </c>
      <c r="T1353" s="36" t="n">
        <f aca="false">ROUND($S1353*N(IFERROR(INDEX(单位档案!$J$6:$J$35,MATCH($E1353,单位档案!$A$6:$A$35,0)),"")),2)</f>
        <v>0</v>
      </c>
      <c r="U1353" s="36" t="n">
        <f aca="false">IF($D1353&lt;&gt;"销项开票",0,ROUND(N($H1353)*N(IFERROR(INDEX(单位档案!$K$6:$K$35,MATCH($E1353,单位档案!$A$6:$A$35,0)),"")),2))</f>
        <v>0</v>
      </c>
      <c r="V1353" s="36" t="n">
        <f aca="false">IF(OR($D1353&lt;&gt;"销项开票",N($Q1353)=0),0,ROUND(N($H1353)/(1+$Q1353)*N(IFERROR(INDEX(单位档案!$L$6:$L$35,MATCH($E1353,单位档案!$A$6:$A$35,0)),"")),2))</f>
        <v>0</v>
      </c>
      <c r="W1353" s="36" t="n">
        <f aca="false">ROUND($S1353+$T1353+$U1353+$V1353,2)</f>
        <v>0</v>
      </c>
      <c r="X1353" s="35" t="str">
        <f aca="false">IF(OR($D1353="挂靠代收",$D1353="我方收款"),COUNTIFS($D$5:$D1353,"挂靠代收")+COUNTIFS($D$5:$D1353,"我方收款"),"")</f>
        <v/>
      </c>
      <c r="Y1353" s="35"/>
      <c r="Z1353" s="21" t="s">
        <v>111</v>
      </c>
    </row>
    <row r="1354" customFormat="false" ht="15.75" hidden="false" customHeight="true" outlineLevel="0" collapsed="false">
      <c r="A1354" s="32" t="str">
        <f aca="false">IF($B1354="","",ROW()-4)</f>
        <v/>
      </c>
      <c r="B1354" s="26"/>
      <c r="C1354" s="24"/>
      <c r="D1354" s="21"/>
      <c r="E1354" s="21"/>
      <c r="F1354" s="21"/>
      <c r="G1354" s="21"/>
      <c r="H1354" s="27"/>
      <c r="I1354" s="23" t="str">
        <f aca="false">IF($D1354&lt;&gt;"销项开票","",IF($N1354="一级",IF(IFERROR(INDEX(项目档案!$E$6:$E$255,MATCH($C1354,项目档案!$A$6:$A$255,0)),"")="",N(IFERROR(INDEX(单位档案!$D$6:$D$35,MATCH($E1354,单位档案!$A$6:$A$35,0)),"")),IFERROR(INDEX(项目档案!$E$6:$E$255,MATCH($C1354,项目档案!$A$6:$A$255,0)),"")),IF($N1354="二级",IF(IFERROR(INDEX(项目档案!$G$6:$G$255,MATCH($C1354,项目档案!$A$6:$A$255,0)),"")="",N(IFERROR(INDEX(单位档案!$D$6:$D$35,MATCH($E1354,单位档案!$A$6:$A$35,0)),"")),IFERROR(INDEX(项目档案!$G$6:$G$255,MATCH($C1354,项目档案!$A$6:$A$255,0)),"")),N(IFERROR(INDEX(单位档案!$D$6:$D$35,MATCH($E1354,单位档案!$A$6:$A$35,0)),"")))))</f>
        <v/>
      </c>
      <c r="J1354" s="22"/>
      <c r="K1354" s="22"/>
      <c r="L1354" s="33" t="str">
        <f aca="false">IF($B1354="","",IF(NOT(ISNUMBER($B1354)),"日期格式不对",IF($C1354="","未选项目编号",IF(LEFT($M1354,1)="⚠","项目编号不存在",IF($D1354="","未选业务类型",IF($E1354="","未选开票/付款方",IF(ISNA(MATCH($E1354,单位档案!$A$6:$A$35,0)),"开票方不在单位档案",IF($F1354="","未选收票/收款方",IF(ISNA(MATCH($F1354,单位档案!$A$6:$A$35,0)),"收款方不在单位档案",IF(NOT(ISNUMBER($H1354)),"金额须为数字",IF(AND($D1354="销项开票",$N1354="—"),"链条待确认","√")))))))))))</f>
        <v/>
      </c>
      <c r="M1354" s="34" t="str">
        <f aca="false">IF($C1354="","",IFERROR(INDEX(项目档案!$B$6:$B$255,MATCH($C1354,项目档案!$A$6:$A$255,0)),"⚠项目编号不存在"))</f>
        <v/>
      </c>
      <c r="N1354" s="35" t="str">
        <f aca="false">IF($E1354="","",IF($E1354=IFERROR(INDEX(项目档案!$D$6:$D$255,MATCH($C1354,项目档案!$A$6:$A$255,0)),""),"一级",IF($E1354=IFERROR(INDEX(项目档案!$F$6:$F$255,MATCH($C1354,项目档案!$A$6:$A$255,0)),""),"二级",IF($E1354=IFERROR(INDEX(项目档案!$H$6:$H$255,MATCH($C1354,项目档案!$A$6:$A$255,0)),""),"我方","—"))))</f>
        <v/>
      </c>
      <c r="O1354" s="36" t="n">
        <f aca="false">IF($D1354&lt;&gt;"销项开票",0,ROUND(N($H1354)*N($I1354),2))</f>
        <v>0</v>
      </c>
      <c r="P1354" s="36" t="n">
        <f aca="false">IF($D1354&lt;&gt;"销项开票",0,ROUND(N($H1354)-$O1354,2))</f>
        <v>0</v>
      </c>
      <c r="Q1354" s="37" t="str">
        <f aca="false">IF($E1354="","",N(IFERROR(INDEX(单位档案!$E$6:$E$35,MATCH($E1354,单位档案!$A$6:$A$35,0)),"")))</f>
        <v/>
      </c>
      <c r="R1354" s="37" t="str">
        <f aca="false">IF($E1354="","",N(IFERROR(INDEX(单位档案!$F$6:$F$35,MATCH($E1354,单位档案!$A$6:$A$35,0)),"")))</f>
        <v/>
      </c>
      <c r="S1354" s="36" t="n">
        <f aca="false">IF(OR($D1354&lt;&gt;"销项开票",IFERROR(INDEX(单位档案!$G$6:$G$35,MATCH($E1354,单位档案!$A$6:$A$35,0)),"")&lt;&gt;"是",N($Q1354)=0),0,IF(IFERROR(INDEX(单位档案!$H$6:$H$35,MATCH($E1354,单位档案!$A$6:$A$35,0)),"")="税差法",ROUND(N($H1354)/(1+$Q1354)*$Q1354-IF(N($R1354)=0,0,$P1354/(1+$R1354)*$R1354),2),ROUND(N($H1354)/(1+$Q1354)*$Q1354,2)))</f>
        <v>0</v>
      </c>
      <c r="T1354" s="36" t="n">
        <f aca="false">ROUND($S1354*N(IFERROR(INDEX(单位档案!$J$6:$J$35,MATCH($E1354,单位档案!$A$6:$A$35,0)),"")),2)</f>
        <v>0</v>
      </c>
      <c r="U1354" s="36" t="n">
        <f aca="false">IF($D1354&lt;&gt;"销项开票",0,ROUND(N($H1354)*N(IFERROR(INDEX(单位档案!$K$6:$K$35,MATCH($E1354,单位档案!$A$6:$A$35,0)),"")),2))</f>
        <v>0</v>
      </c>
      <c r="V1354" s="36" t="n">
        <f aca="false">IF(OR($D1354&lt;&gt;"销项开票",N($Q1354)=0),0,ROUND(N($H1354)/(1+$Q1354)*N(IFERROR(INDEX(单位档案!$L$6:$L$35,MATCH($E1354,单位档案!$A$6:$A$35,0)),"")),2))</f>
        <v>0</v>
      </c>
      <c r="W1354" s="36" t="n">
        <f aca="false">ROUND($S1354+$T1354+$U1354+$V1354,2)</f>
        <v>0</v>
      </c>
      <c r="X1354" s="35" t="str">
        <f aca="false">IF(OR($D1354="挂靠代收",$D1354="我方收款"),COUNTIFS($D$5:$D1354,"挂靠代收")+COUNTIFS($D$5:$D1354,"我方收款"),"")</f>
        <v/>
      </c>
      <c r="Y1354" s="35"/>
      <c r="Z1354" s="21" t="s">
        <v>111</v>
      </c>
    </row>
    <row r="1355" customFormat="false" ht="15.75" hidden="false" customHeight="true" outlineLevel="0" collapsed="false">
      <c r="A1355" s="32" t="str">
        <f aca="false">IF($B1355="","",ROW()-4)</f>
        <v/>
      </c>
      <c r="B1355" s="26"/>
      <c r="C1355" s="24"/>
      <c r="D1355" s="21"/>
      <c r="E1355" s="21"/>
      <c r="F1355" s="21"/>
      <c r="G1355" s="21"/>
      <c r="H1355" s="27"/>
      <c r="I1355" s="23" t="str">
        <f aca="false">IF($D1355&lt;&gt;"销项开票","",IF($N1355="一级",IF(IFERROR(INDEX(项目档案!$E$6:$E$255,MATCH($C1355,项目档案!$A$6:$A$255,0)),"")="",N(IFERROR(INDEX(单位档案!$D$6:$D$35,MATCH($E1355,单位档案!$A$6:$A$35,0)),"")),IFERROR(INDEX(项目档案!$E$6:$E$255,MATCH($C1355,项目档案!$A$6:$A$255,0)),"")),IF($N1355="二级",IF(IFERROR(INDEX(项目档案!$G$6:$G$255,MATCH($C1355,项目档案!$A$6:$A$255,0)),"")="",N(IFERROR(INDEX(单位档案!$D$6:$D$35,MATCH($E1355,单位档案!$A$6:$A$35,0)),"")),IFERROR(INDEX(项目档案!$G$6:$G$255,MATCH($C1355,项目档案!$A$6:$A$255,0)),"")),N(IFERROR(INDEX(单位档案!$D$6:$D$35,MATCH($E1355,单位档案!$A$6:$A$35,0)),"")))))</f>
        <v/>
      </c>
      <c r="J1355" s="22"/>
      <c r="K1355" s="22"/>
      <c r="L1355" s="33" t="str">
        <f aca="false">IF($B1355="","",IF(NOT(ISNUMBER($B1355)),"日期格式不对",IF($C1355="","未选项目编号",IF(LEFT($M1355,1)="⚠","项目编号不存在",IF($D1355="","未选业务类型",IF($E1355="","未选开票/付款方",IF(ISNA(MATCH($E1355,单位档案!$A$6:$A$35,0)),"开票方不在单位档案",IF($F1355="","未选收票/收款方",IF(ISNA(MATCH($F1355,单位档案!$A$6:$A$35,0)),"收款方不在单位档案",IF(NOT(ISNUMBER($H1355)),"金额须为数字",IF(AND($D1355="销项开票",$N1355="—"),"链条待确认","√")))))))))))</f>
        <v/>
      </c>
      <c r="M1355" s="34" t="str">
        <f aca="false">IF($C1355="","",IFERROR(INDEX(项目档案!$B$6:$B$255,MATCH($C1355,项目档案!$A$6:$A$255,0)),"⚠项目编号不存在"))</f>
        <v/>
      </c>
      <c r="N1355" s="35" t="str">
        <f aca="false">IF($E1355="","",IF($E1355=IFERROR(INDEX(项目档案!$D$6:$D$255,MATCH($C1355,项目档案!$A$6:$A$255,0)),""),"一级",IF($E1355=IFERROR(INDEX(项目档案!$F$6:$F$255,MATCH($C1355,项目档案!$A$6:$A$255,0)),""),"二级",IF($E1355=IFERROR(INDEX(项目档案!$H$6:$H$255,MATCH($C1355,项目档案!$A$6:$A$255,0)),""),"我方","—"))))</f>
        <v/>
      </c>
      <c r="O1355" s="36" t="n">
        <f aca="false">IF($D1355&lt;&gt;"销项开票",0,ROUND(N($H1355)*N($I1355),2))</f>
        <v>0</v>
      </c>
      <c r="P1355" s="36" t="n">
        <f aca="false">IF($D1355&lt;&gt;"销项开票",0,ROUND(N($H1355)-$O1355,2))</f>
        <v>0</v>
      </c>
      <c r="Q1355" s="37" t="str">
        <f aca="false">IF($E1355="","",N(IFERROR(INDEX(单位档案!$E$6:$E$35,MATCH($E1355,单位档案!$A$6:$A$35,0)),"")))</f>
        <v/>
      </c>
      <c r="R1355" s="37" t="str">
        <f aca="false">IF($E1355="","",N(IFERROR(INDEX(单位档案!$F$6:$F$35,MATCH($E1355,单位档案!$A$6:$A$35,0)),"")))</f>
        <v/>
      </c>
      <c r="S1355" s="36" t="n">
        <f aca="false">IF(OR($D1355&lt;&gt;"销项开票",IFERROR(INDEX(单位档案!$G$6:$G$35,MATCH($E1355,单位档案!$A$6:$A$35,0)),"")&lt;&gt;"是",N($Q1355)=0),0,IF(IFERROR(INDEX(单位档案!$H$6:$H$35,MATCH($E1355,单位档案!$A$6:$A$35,0)),"")="税差法",ROUND(N($H1355)/(1+$Q1355)*$Q1355-IF(N($R1355)=0,0,$P1355/(1+$R1355)*$R1355),2),ROUND(N($H1355)/(1+$Q1355)*$Q1355,2)))</f>
        <v>0</v>
      </c>
      <c r="T1355" s="36" t="n">
        <f aca="false">ROUND($S1355*N(IFERROR(INDEX(单位档案!$J$6:$J$35,MATCH($E1355,单位档案!$A$6:$A$35,0)),"")),2)</f>
        <v>0</v>
      </c>
      <c r="U1355" s="36" t="n">
        <f aca="false">IF($D1355&lt;&gt;"销项开票",0,ROUND(N($H1355)*N(IFERROR(INDEX(单位档案!$K$6:$K$35,MATCH($E1355,单位档案!$A$6:$A$35,0)),"")),2))</f>
        <v>0</v>
      </c>
      <c r="V1355" s="36" t="n">
        <f aca="false">IF(OR($D1355&lt;&gt;"销项开票",N($Q1355)=0),0,ROUND(N($H1355)/(1+$Q1355)*N(IFERROR(INDEX(单位档案!$L$6:$L$35,MATCH($E1355,单位档案!$A$6:$A$35,0)),"")),2))</f>
        <v>0</v>
      </c>
      <c r="W1355" s="36" t="n">
        <f aca="false">ROUND($S1355+$T1355+$U1355+$V1355,2)</f>
        <v>0</v>
      </c>
      <c r="X1355" s="35" t="str">
        <f aca="false">IF(OR($D1355="挂靠代收",$D1355="我方收款"),COUNTIFS($D$5:$D1355,"挂靠代收")+COUNTIFS($D$5:$D1355,"我方收款"),"")</f>
        <v/>
      </c>
      <c r="Y1355" s="35"/>
      <c r="Z1355" s="21" t="s">
        <v>111</v>
      </c>
    </row>
    <row r="1356" customFormat="false" ht="15.75" hidden="false" customHeight="true" outlineLevel="0" collapsed="false">
      <c r="A1356" s="32" t="str">
        <f aca="false">IF($B1356="","",ROW()-4)</f>
        <v/>
      </c>
      <c r="B1356" s="26"/>
      <c r="C1356" s="24"/>
      <c r="D1356" s="21"/>
      <c r="E1356" s="21"/>
      <c r="F1356" s="21"/>
      <c r="G1356" s="21"/>
      <c r="H1356" s="27"/>
      <c r="I1356" s="23" t="str">
        <f aca="false">IF($D1356&lt;&gt;"销项开票","",IF($N1356="一级",IF(IFERROR(INDEX(项目档案!$E$6:$E$255,MATCH($C1356,项目档案!$A$6:$A$255,0)),"")="",N(IFERROR(INDEX(单位档案!$D$6:$D$35,MATCH($E1356,单位档案!$A$6:$A$35,0)),"")),IFERROR(INDEX(项目档案!$E$6:$E$255,MATCH($C1356,项目档案!$A$6:$A$255,0)),"")),IF($N1356="二级",IF(IFERROR(INDEX(项目档案!$G$6:$G$255,MATCH($C1356,项目档案!$A$6:$A$255,0)),"")="",N(IFERROR(INDEX(单位档案!$D$6:$D$35,MATCH($E1356,单位档案!$A$6:$A$35,0)),"")),IFERROR(INDEX(项目档案!$G$6:$G$255,MATCH($C1356,项目档案!$A$6:$A$255,0)),"")),N(IFERROR(INDEX(单位档案!$D$6:$D$35,MATCH($E1356,单位档案!$A$6:$A$35,0)),"")))))</f>
        <v/>
      </c>
      <c r="J1356" s="22"/>
      <c r="K1356" s="22"/>
      <c r="L1356" s="33" t="str">
        <f aca="false">IF($B1356="","",IF(NOT(ISNUMBER($B1356)),"日期格式不对",IF($C1356="","未选项目编号",IF(LEFT($M1356,1)="⚠","项目编号不存在",IF($D1356="","未选业务类型",IF($E1356="","未选开票/付款方",IF(ISNA(MATCH($E1356,单位档案!$A$6:$A$35,0)),"开票方不在单位档案",IF($F1356="","未选收票/收款方",IF(ISNA(MATCH($F1356,单位档案!$A$6:$A$35,0)),"收款方不在单位档案",IF(NOT(ISNUMBER($H1356)),"金额须为数字",IF(AND($D1356="销项开票",$N1356="—"),"链条待确认","√")))))))))))</f>
        <v/>
      </c>
      <c r="M1356" s="34" t="str">
        <f aca="false">IF($C1356="","",IFERROR(INDEX(项目档案!$B$6:$B$255,MATCH($C1356,项目档案!$A$6:$A$255,0)),"⚠项目编号不存在"))</f>
        <v/>
      </c>
      <c r="N1356" s="35" t="str">
        <f aca="false">IF($E1356="","",IF($E1356=IFERROR(INDEX(项目档案!$D$6:$D$255,MATCH($C1356,项目档案!$A$6:$A$255,0)),""),"一级",IF($E1356=IFERROR(INDEX(项目档案!$F$6:$F$255,MATCH($C1356,项目档案!$A$6:$A$255,0)),""),"二级",IF($E1356=IFERROR(INDEX(项目档案!$H$6:$H$255,MATCH($C1356,项目档案!$A$6:$A$255,0)),""),"我方","—"))))</f>
        <v/>
      </c>
      <c r="O1356" s="36" t="n">
        <f aca="false">IF($D1356&lt;&gt;"销项开票",0,ROUND(N($H1356)*N($I1356),2))</f>
        <v>0</v>
      </c>
      <c r="P1356" s="36" t="n">
        <f aca="false">IF($D1356&lt;&gt;"销项开票",0,ROUND(N($H1356)-$O1356,2))</f>
        <v>0</v>
      </c>
      <c r="Q1356" s="37" t="str">
        <f aca="false">IF($E1356="","",N(IFERROR(INDEX(单位档案!$E$6:$E$35,MATCH($E1356,单位档案!$A$6:$A$35,0)),"")))</f>
        <v/>
      </c>
      <c r="R1356" s="37" t="str">
        <f aca="false">IF($E1356="","",N(IFERROR(INDEX(单位档案!$F$6:$F$35,MATCH($E1356,单位档案!$A$6:$A$35,0)),"")))</f>
        <v/>
      </c>
      <c r="S1356" s="36" t="n">
        <f aca="false">IF(OR($D1356&lt;&gt;"销项开票",IFERROR(INDEX(单位档案!$G$6:$G$35,MATCH($E1356,单位档案!$A$6:$A$35,0)),"")&lt;&gt;"是",N($Q1356)=0),0,IF(IFERROR(INDEX(单位档案!$H$6:$H$35,MATCH($E1356,单位档案!$A$6:$A$35,0)),"")="税差法",ROUND(N($H1356)/(1+$Q1356)*$Q1356-IF(N($R1356)=0,0,$P1356/(1+$R1356)*$R1356),2),ROUND(N($H1356)/(1+$Q1356)*$Q1356,2)))</f>
        <v>0</v>
      </c>
      <c r="T1356" s="36" t="n">
        <f aca="false">ROUND($S1356*N(IFERROR(INDEX(单位档案!$J$6:$J$35,MATCH($E1356,单位档案!$A$6:$A$35,0)),"")),2)</f>
        <v>0</v>
      </c>
      <c r="U1356" s="36" t="n">
        <f aca="false">IF($D1356&lt;&gt;"销项开票",0,ROUND(N($H1356)*N(IFERROR(INDEX(单位档案!$K$6:$K$35,MATCH($E1356,单位档案!$A$6:$A$35,0)),"")),2))</f>
        <v>0</v>
      </c>
      <c r="V1356" s="36" t="n">
        <f aca="false">IF(OR($D1356&lt;&gt;"销项开票",N($Q1356)=0),0,ROUND(N($H1356)/(1+$Q1356)*N(IFERROR(INDEX(单位档案!$L$6:$L$35,MATCH($E1356,单位档案!$A$6:$A$35,0)),"")),2))</f>
        <v>0</v>
      </c>
      <c r="W1356" s="36" t="n">
        <f aca="false">ROUND($S1356+$T1356+$U1356+$V1356,2)</f>
        <v>0</v>
      </c>
      <c r="X1356" s="35" t="str">
        <f aca="false">IF(OR($D1356="挂靠代收",$D1356="我方收款"),COUNTIFS($D$5:$D1356,"挂靠代收")+COUNTIFS($D$5:$D1356,"我方收款"),"")</f>
        <v/>
      </c>
      <c r="Y1356" s="35"/>
      <c r="Z1356" s="21" t="s">
        <v>111</v>
      </c>
    </row>
    <row r="1357" customFormat="false" ht="15.75" hidden="false" customHeight="true" outlineLevel="0" collapsed="false">
      <c r="A1357" s="32" t="str">
        <f aca="false">IF($B1357="","",ROW()-4)</f>
        <v/>
      </c>
      <c r="B1357" s="26"/>
      <c r="C1357" s="24"/>
      <c r="D1357" s="21"/>
      <c r="E1357" s="21"/>
      <c r="F1357" s="21"/>
      <c r="G1357" s="21"/>
      <c r="H1357" s="27"/>
      <c r="I1357" s="23" t="str">
        <f aca="false">IF($D1357&lt;&gt;"销项开票","",IF($N1357="一级",IF(IFERROR(INDEX(项目档案!$E$6:$E$255,MATCH($C1357,项目档案!$A$6:$A$255,0)),"")="",N(IFERROR(INDEX(单位档案!$D$6:$D$35,MATCH($E1357,单位档案!$A$6:$A$35,0)),"")),IFERROR(INDEX(项目档案!$E$6:$E$255,MATCH($C1357,项目档案!$A$6:$A$255,0)),"")),IF($N1357="二级",IF(IFERROR(INDEX(项目档案!$G$6:$G$255,MATCH($C1357,项目档案!$A$6:$A$255,0)),"")="",N(IFERROR(INDEX(单位档案!$D$6:$D$35,MATCH($E1357,单位档案!$A$6:$A$35,0)),"")),IFERROR(INDEX(项目档案!$G$6:$G$255,MATCH($C1357,项目档案!$A$6:$A$255,0)),"")),N(IFERROR(INDEX(单位档案!$D$6:$D$35,MATCH($E1357,单位档案!$A$6:$A$35,0)),"")))))</f>
        <v/>
      </c>
      <c r="J1357" s="22"/>
      <c r="K1357" s="22"/>
      <c r="L1357" s="33" t="str">
        <f aca="false">IF($B1357="","",IF(NOT(ISNUMBER($B1357)),"日期格式不对",IF($C1357="","未选项目编号",IF(LEFT($M1357,1)="⚠","项目编号不存在",IF($D1357="","未选业务类型",IF($E1357="","未选开票/付款方",IF(ISNA(MATCH($E1357,单位档案!$A$6:$A$35,0)),"开票方不在单位档案",IF($F1357="","未选收票/收款方",IF(ISNA(MATCH($F1357,单位档案!$A$6:$A$35,0)),"收款方不在单位档案",IF(NOT(ISNUMBER($H1357)),"金额须为数字",IF(AND($D1357="销项开票",$N1357="—"),"链条待确认","√")))))))))))</f>
        <v/>
      </c>
      <c r="M1357" s="34" t="str">
        <f aca="false">IF($C1357="","",IFERROR(INDEX(项目档案!$B$6:$B$255,MATCH($C1357,项目档案!$A$6:$A$255,0)),"⚠项目编号不存在"))</f>
        <v/>
      </c>
      <c r="N1357" s="35" t="str">
        <f aca="false">IF($E1357="","",IF($E1357=IFERROR(INDEX(项目档案!$D$6:$D$255,MATCH($C1357,项目档案!$A$6:$A$255,0)),""),"一级",IF($E1357=IFERROR(INDEX(项目档案!$F$6:$F$255,MATCH($C1357,项目档案!$A$6:$A$255,0)),""),"二级",IF($E1357=IFERROR(INDEX(项目档案!$H$6:$H$255,MATCH($C1357,项目档案!$A$6:$A$255,0)),""),"我方","—"))))</f>
        <v/>
      </c>
      <c r="O1357" s="36" t="n">
        <f aca="false">IF($D1357&lt;&gt;"销项开票",0,ROUND(N($H1357)*N($I1357),2))</f>
        <v>0</v>
      </c>
      <c r="P1357" s="36" t="n">
        <f aca="false">IF($D1357&lt;&gt;"销项开票",0,ROUND(N($H1357)-$O1357,2))</f>
        <v>0</v>
      </c>
      <c r="Q1357" s="37" t="str">
        <f aca="false">IF($E1357="","",N(IFERROR(INDEX(单位档案!$E$6:$E$35,MATCH($E1357,单位档案!$A$6:$A$35,0)),"")))</f>
        <v/>
      </c>
      <c r="R1357" s="37" t="str">
        <f aca="false">IF($E1357="","",N(IFERROR(INDEX(单位档案!$F$6:$F$35,MATCH($E1357,单位档案!$A$6:$A$35,0)),"")))</f>
        <v/>
      </c>
      <c r="S1357" s="36" t="n">
        <f aca="false">IF(OR($D1357&lt;&gt;"销项开票",IFERROR(INDEX(单位档案!$G$6:$G$35,MATCH($E1357,单位档案!$A$6:$A$35,0)),"")&lt;&gt;"是",N($Q1357)=0),0,IF(IFERROR(INDEX(单位档案!$H$6:$H$35,MATCH($E1357,单位档案!$A$6:$A$35,0)),"")="税差法",ROUND(N($H1357)/(1+$Q1357)*$Q1357-IF(N($R1357)=0,0,$P1357/(1+$R1357)*$R1357),2),ROUND(N($H1357)/(1+$Q1357)*$Q1357,2)))</f>
        <v>0</v>
      </c>
      <c r="T1357" s="36" t="n">
        <f aca="false">ROUND($S1357*N(IFERROR(INDEX(单位档案!$J$6:$J$35,MATCH($E1357,单位档案!$A$6:$A$35,0)),"")),2)</f>
        <v>0</v>
      </c>
      <c r="U1357" s="36" t="n">
        <f aca="false">IF($D1357&lt;&gt;"销项开票",0,ROUND(N($H1357)*N(IFERROR(INDEX(单位档案!$K$6:$K$35,MATCH($E1357,单位档案!$A$6:$A$35,0)),"")),2))</f>
        <v>0</v>
      </c>
      <c r="V1357" s="36" t="n">
        <f aca="false">IF(OR($D1357&lt;&gt;"销项开票",N($Q1357)=0),0,ROUND(N($H1357)/(1+$Q1357)*N(IFERROR(INDEX(单位档案!$L$6:$L$35,MATCH($E1357,单位档案!$A$6:$A$35,0)),"")),2))</f>
        <v>0</v>
      </c>
      <c r="W1357" s="36" t="n">
        <f aca="false">ROUND($S1357+$T1357+$U1357+$V1357,2)</f>
        <v>0</v>
      </c>
      <c r="X1357" s="35" t="str">
        <f aca="false">IF(OR($D1357="挂靠代收",$D1357="我方收款"),COUNTIFS($D$5:$D1357,"挂靠代收")+COUNTIFS($D$5:$D1357,"我方收款"),"")</f>
        <v/>
      </c>
      <c r="Y1357" s="35"/>
      <c r="Z1357" s="21" t="s">
        <v>111</v>
      </c>
    </row>
    <row r="1358" customFormat="false" ht="15.75" hidden="false" customHeight="true" outlineLevel="0" collapsed="false">
      <c r="A1358" s="32" t="str">
        <f aca="false">IF($B1358="","",ROW()-4)</f>
        <v/>
      </c>
      <c r="B1358" s="26"/>
      <c r="C1358" s="24"/>
      <c r="D1358" s="21"/>
      <c r="E1358" s="21"/>
      <c r="F1358" s="21"/>
      <c r="G1358" s="21"/>
      <c r="H1358" s="27"/>
      <c r="I1358" s="23" t="str">
        <f aca="false">IF($D1358&lt;&gt;"销项开票","",IF($N1358="一级",IF(IFERROR(INDEX(项目档案!$E$6:$E$255,MATCH($C1358,项目档案!$A$6:$A$255,0)),"")="",N(IFERROR(INDEX(单位档案!$D$6:$D$35,MATCH($E1358,单位档案!$A$6:$A$35,0)),"")),IFERROR(INDEX(项目档案!$E$6:$E$255,MATCH($C1358,项目档案!$A$6:$A$255,0)),"")),IF($N1358="二级",IF(IFERROR(INDEX(项目档案!$G$6:$G$255,MATCH($C1358,项目档案!$A$6:$A$255,0)),"")="",N(IFERROR(INDEX(单位档案!$D$6:$D$35,MATCH($E1358,单位档案!$A$6:$A$35,0)),"")),IFERROR(INDEX(项目档案!$G$6:$G$255,MATCH($C1358,项目档案!$A$6:$A$255,0)),"")),N(IFERROR(INDEX(单位档案!$D$6:$D$35,MATCH($E1358,单位档案!$A$6:$A$35,0)),"")))))</f>
        <v/>
      </c>
      <c r="J1358" s="22"/>
      <c r="K1358" s="22"/>
      <c r="L1358" s="33" t="str">
        <f aca="false">IF($B1358="","",IF(NOT(ISNUMBER($B1358)),"日期格式不对",IF($C1358="","未选项目编号",IF(LEFT($M1358,1)="⚠","项目编号不存在",IF($D1358="","未选业务类型",IF($E1358="","未选开票/付款方",IF(ISNA(MATCH($E1358,单位档案!$A$6:$A$35,0)),"开票方不在单位档案",IF($F1358="","未选收票/收款方",IF(ISNA(MATCH($F1358,单位档案!$A$6:$A$35,0)),"收款方不在单位档案",IF(NOT(ISNUMBER($H1358)),"金额须为数字",IF(AND($D1358="销项开票",$N1358="—"),"链条待确认","√")))))))))))</f>
        <v/>
      </c>
      <c r="M1358" s="34" t="str">
        <f aca="false">IF($C1358="","",IFERROR(INDEX(项目档案!$B$6:$B$255,MATCH($C1358,项目档案!$A$6:$A$255,0)),"⚠项目编号不存在"))</f>
        <v/>
      </c>
      <c r="N1358" s="35" t="str">
        <f aca="false">IF($E1358="","",IF($E1358=IFERROR(INDEX(项目档案!$D$6:$D$255,MATCH($C1358,项目档案!$A$6:$A$255,0)),""),"一级",IF($E1358=IFERROR(INDEX(项目档案!$F$6:$F$255,MATCH($C1358,项目档案!$A$6:$A$255,0)),""),"二级",IF($E1358=IFERROR(INDEX(项目档案!$H$6:$H$255,MATCH($C1358,项目档案!$A$6:$A$255,0)),""),"我方","—"))))</f>
        <v/>
      </c>
      <c r="O1358" s="36" t="n">
        <f aca="false">IF($D1358&lt;&gt;"销项开票",0,ROUND(N($H1358)*N($I1358),2))</f>
        <v>0</v>
      </c>
      <c r="P1358" s="36" t="n">
        <f aca="false">IF($D1358&lt;&gt;"销项开票",0,ROUND(N($H1358)-$O1358,2))</f>
        <v>0</v>
      </c>
      <c r="Q1358" s="37" t="str">
        <f aca="false">IF($E1358="","",N(IFERROR(INDEX(单位档案!$E$6:$E$35,MATCH($E1358,单位档案!$A$6:$A$35,0)),"")))</f>
        <v/>
      </c>
      <c r="R1358" s="37" t="str">
        <f aca="false">IF($E1358="","",N(IFERROR(INDEX(单位档案!$F$6:$F$35,MATCH($E1358,单位档案!$A$6:$A$35,0)),"")))</f>
        <v/>
      </c>
      <c r="S1358" s="36" t="n">
        <f aca="false">IF(OR($D1358&lt;&gt;"销项开票",IFERROR(INDEX(单位档案!$G$6:$G$35,MATCH($E1358,单位档案!$A$6:$A$35,0)),"")&lt;&gt;"是",N($Q1358)=0),0,IF(IFERROR(INDEX(单位档案!$H$6:$H$35,MATCH($E1358,单位档案!$A$6:$A$35,0)),"")="税差法",ROUND(N($H1358)/(1+$Q1358)*$Q1358-IF(N($R1358)=0,0,$P1358/(1+$R1358)*$R1358),2),ROUND(N($H1358)/(1+$Q1358)*$Q1358,2)))</f>
        <v>0</v>
      </c>
      <c r="T1358" s="36" t="n">
        <f aca="false">ROUND($S1358*N(IFERROR(INDEX(单位档案!$J$6:$J$35,MATCH($E1358,单位档案!$A$6:$A$35,0)),"")),2)</f>
        <v>0</v>
      </c>
      <c r="U1358" s="36" t="n">
        <f aca="false">IF($D1358&lt;&gt;"销项开票",0,ROUND(N($H1358)*N(IFERROR(INDEX(单位档案!$K$6:$K$35,MATCH($E1358,单位档案!$A$6:$A$35,0)),"")),2))</f>
        <v>0</v>
      </c>
      <c r="V1358" s="36" t="n">
        <f aca="false">IF(OR($D1358&lt;&gt;"销项开票",N($Q1358)=0),0,ROUND(N($H1358)/(1+$Q1358)*N(IFERROR(INDEX(单位档案!$L$6:$L$35,MATCH($E1358,单位档案!$A$6:$A$35,0)),"")),2))</f>
        <v>0</v>
      </c>
      <c r="W1358" s="36" t="n">
        <f aca="false">ROUND($S1358+$T1358+$U1358+$V1358,2)</f>
        <v>0</v>
      </c>
      <c r="X1358" s="35" t="str">
        <f aca="false">IF(OR($D1358="挂靠代收",$D1358="我方收款"),COUNTIFS($D$5:$D1358,"挂靠代收")+COUNTIFS($D$5:$D1358,"我方收款"),"")</f>
        <v/>
      </c>
      <c r="Y1358" s="35"/>
      <c r="Z1358" s="21" t="s">
        <v>111</v>
      </c>
    </row>
    <row r="1359" customFormat="false" ht="15.75" hidden="false" customHeight="true" outlineLevel="0" collapsed="false">
      <c r="A1359" s="32" t="str">
        <f aca="false">IF($B1359="","",ROW()-4)</f>
        <v/>
      </c>
      <c r="B1359" s="26"/>
      <c r="C1359" s="24"/>
      <c r="D1359" s="21"/>
      <c r="E1359" s="21"/>
      <c r="F1359" s="21"/>
      <c r="G1359" s="21"/>
      <c r="H1359" s="27"/>
      <c r="I1359" s="23" t="str">
        <f aca="false">IF($D1359&lt;&gt;"销项开票","",IF($N1359="一级",IF(IFERROR(INDEX(项目档案!$E$6:$E$255,MATCH($C1359,项目档案!$A$6:$A$255,0)),"")="",N(IFERROR(INDEX(单位档案!$D$6:$D$35,MATCH($E1359,单位档案!$A$6:$A$35,0)),"")),IFERROR(INDEX(项目档案!$E$6:$E$255,MATCH($C1359,项目档案!$A$6:$A$255,0)),"")),IF($N1359="二级",IF(IFERROR(INDEX(项目档案!$G$6:$G$255,MATCH($C1359,项目档案!$A$6:$A$255,0)),"")="",N(IFERROR(INDEX(单位档案!$D$6:$D$35,MATCH($E1359,单位档案!$A$6:$A$35,0)),"")),IFERROR(INDEX(项目档案!$G$6:$G$255,MATCH($C1359,项目档案!$A$6:$A$255,0)),"")),N(IFERROR(INDEX(单位档案!$D$6:$D$35,MATCH($E1359,单位档案!$A$6:$A$35,0)),"")))))</f>
        <v/>
      </c>
      <c r="J1359" s="22"/>
      <c r="K1359" s="22"/>
      <c r="L1359" s="33" t="str">
        <f aca="false">IF($B1359="","",IF(NOT(ISNUMBER($B1359)),"日期格式不对",IF($C1359="","未选项目编号",IF(LEFT($M1359,1)="⚠","项目编号不存在",IF($D1359="","未选业务类型",IF($E1359="","未选开票/付款方",IF(ISNA(MATCH($E1359,单位档案!$A$6:$A$35,0)),"开票方不在单位档案",IF($F1359="","未选收票/收款方",IF(ISNA(MATCH($F1359,单位档案!$A$6:$A$35,0)),"收款方不在单位档案",IF(NOT(ISNUMBER($H1359)),"金额须为数字",IF(AND($D1359="销项开票",$N1359="—"),"链条待确认","√")))))))))))</f>
        <v/>
      </c>
      <c r="M1359" s="34" t="str">
        <f aca="false">IF($C1359="","",IFERROR(INDEX(项目档案!$B$6:$B$255,MATCH($C1359,项目档案!$A$6:$A$255,0)),"⚠项目编号不存在"))</f>
        <v/>
      </c>
      <c r="N1359" s="35" t="str">
        <f aca="false">IF($E1359="","",IF($E1359=IFERROR(INDEX(项目档案!$D$6:$D$255,MATCH($C1359,项目档案!$A$6:$A$255,0)),""),"一级",IF($E1359=IFERROR(INDEX(项目档案!$F$6:$F$255,MATCH($C1359,项目档案!$A$6:$A$255,0)),""),"二级",IF($E1359=IFERROR(INDEX(项目档案!$H$6:$H$255,MATCH($C1359,项目档案!$A$6:$A$255,0)),""),"我方","—"))))</f>
        <v/>
      </c>
      <c r="O1359" s="36" t="n">
        <f aca="false">IF($D1359&lt;&gt;"销项开票",0,ROUND(N($H1359)*N($I1359),2))</f>
        <v>0</v>
      </c>
      <c r="P1359" s="36" t="n">
        <f aca="false">IF($D1359&lt;&gt;"销项开票",0,ROUND(N($H1359)-$O1359,2))</f>
        <v>0</v>
      </c>
      <c r="Q1359" s="37" t="str">
        <f aca="false">IF($E1359="","",N(IFERROR(INDEX(单位档案!$E$6:$E$35,MATCH($E1359,单位档案!$A$6:$A$35,0)),"")))</f>
        <v/>
      </c>
      <c r="R1359" s="37" t="str">
        <f aca="false">IF($E1359="","",N(IFERROR(INDEX(单位档案!$F$6:$F$35,MATCH($E1359,单位档案!$A$6:$A$35,0)),"")))</f>
        <v/>
      </c>
      <c r="S1359" s="36" t="n">
        <f aca="false">IF(OR($D1359&lt;&gt;"销项开票",IFERROR(INDEX(单位档案!$G$6:$G$35,MATCH($E1359,单位档案!$A$6:$A$35,0)),"")&lt;&gt;"是",N($Q1359)=0),0,IF(IFERROR(INDEX(单位档案!$H$6:$H$35,MATCH($E1359,单位档案!$A$6:$A$35,0)),"")="税差法",ROUND(N($H1359)/(1+$Q1359)*$Q1359-IF(N($R1359)=0,0,$P1359/(1+$R1359)*$R1359),2),ROUND(N($H1359)/(1+$Q1359)*$Q1359,2)))</f>
        <v>0</v>
      </c>
      <c r="T1359" s="36" t="n">
        <f aca="false">ROUND($S1359*N(IFERROR(INDEX(单位档案!$J$6:$J$35,MATCH($E1359,单位档案!$A$6:$A$35,0)),"")),2)</f>
        <v>0</v>
      </c>
      <c r="U1359" s="36" t="n">
        <f aca="false">IF($D1359&lt;&gt;"销项开票",0,ROUND(N($H1359)*N(IFERROR(INDEX(单位档案!$K$6:$K$35,MATCH($E1359,单位档案!$A$6:$A$35,0)),"")),2))</f>
        <v>0</v>
      </c>
      <c r="V1359" s="36" t="n">
        <f aca="false">IF(OR($D1359&lt;&gt;"销项开票",N($Q1359)=0),0,ROUND(N($H1359)/(1+$Q1359)*N(IFERROR(INDEX(单位档案!$L$6:$L$35,MATCH($E1359,单位档案!$A$6:$A$35,0)),"")),2))</f>
        <v>0</v>
      </c>
      <c r="W1359" s="36" t="n">
        <f aca="false">ROUND($S1359+$T1359+$U1359+$V1359,2)</f>
        <v>0</v>
      </c>
      <c r="X1359" s="35" t="str">
        <f aca="false">IF(OR($D1359="挂靠代收",$D1359="我方收款"),COUNTIFS($D$5:$D1359,"挂靠代收")+COUNTIFS($D$5:$D1359,"我方收款"),"")</f>
        <v/>
      </c>
      <c r="Y1359" s="35"/>
      <c r="Z1359" s="21" t="s">
        <v>111</v>
      </c>
    </row>
    <row r="1360" customFormat="false" ht="15.75" hidden="false" customHeight="true" outlineLevel="0" collapsed="false">
      <c r="A1360" s="32" t="str">
        <f aca="false">IF($B1360="","",ROW()-4)</f>
        <v/>
      </c>
      <c r="B1360" s="26"/>
      <c r="C1360" s="24"/>
      <c r="D1360" s="21"/>
      <c r="E1360" s="21"/>
      <c r="F1360" s="21"/>
      <c r="G1360" s="21"/>
      <c r="H1360" s="27"/>
      <c r="I1360" s="23" t="str">
        <f aca="false">IF($D1360&lt;&gt;"销项开票","",IF($N1360="一级",IF(IFERROR(INDEX(项目档案!$E$6:$E$255,MATCH($C1360,项目档案!$A$6:$A$255,0)),"")="",N(IFERROR(INDEX(单位档案!$D$6:$D$35,MATCH($E1360,单位档案!$A$6:$A$35,0)),"")),IFERROR(INDEX(项目档案!$E$6:$E$255,MATCH($C1360,项目档案!$A$6:$A$255,0)),"")),IF($N1360="二级",IF(IFERROR(INDEX(项目档案!$G$6:$G$255,MATCH($C1360,项目档案!$A$6:$A$255,0)),"")="",N(IFERROR(INDEX(单位档案!$D$6:$D$35,MATCH($E1360,单位档案!$A$6:$A$35,0)),"")),IFERROR(INDEX(项目档案!$G$6:$G$255,MATCH($C1360,项目档案!$A$6:$A$255,0)),"")),N(IFERROR(INDEX(单位档案!$D$6:$D$35,MATCH($E1360,单位档案!$A$6:$A$35,0)),"")))))</f>
        <v/>
      </c>
      <c r="J1360" s="22"/>
      <c r="K1360" s="22"/>
      <c r="L1360" s="33" t="str">
        <f aca="false">IF($B1360="","",IF(NOT(ISNUMBER($B1360)),"日期格式不对",IF($C1360="","未选项目编号",IF(LEFT($M1360,1)="⚠","项目编号不存在",IF($D1360="","未选业务类型",IF($E1360="","未选开票/付款方",IF(ISNA(MATCH($E1360,单位档案!$A$6:$A$35,0)),"开票方不在单位档案",IF($F1360="","未选收票/收款方",IF(ISNA(MATCH($F1360,单位档案!$A$6:$A$35,0)),"收款方不在单位档案",IF(NOT(ISNUMBER($H1360)),"金额须为数字",IF(AND($D1360="销项开票",$N1360="—"),"链条待确认","√")))))))))))</f>
        <v/>
      </c>
      <c r="M1360" s="34" t="str">
        <f aca="false">IF($C1360="","",IFERROR(INDEX(项目档案!$B$6:$B$255,MATCH($C1360,项目档案!$A$6:$A$255,0)),"⚠项目编号不存在"))</f>
        <v/>
      </c>
      <c r="N1360" s="35" t="str">
        <f aca="false">IF($E1360="","",IF($E1360=IFERROR(INDEX(项目档案!$D$6:$D$255,MATCH($C1360,项目档案!$A$6:$A$255,0)),""),"一级",IF($E1360=IFERROR(INDEX(项目档案!$F$6:$F$255,MATCH($C1360,项目档案!$A$6:$A$255,0)),""),"二级",IF($E1360=IFERROR(INDEX(项目档案!$H$6:$H$255,MATCH($C1360,项目档案!$A$6:$A$255,0)),""),"我方","—"))))</f>
        <v/>
      </c>
      <c r="O1360" s="36" t="n">
        <f aca="false">IF($D1360&lt;&gt;"销项开票",0,ROUND(N($H1360)*N($I1360),2))</f>
        <v>0</v>
      </c>
      <c r="P1360" s="36" t="n">
        <f aca="false">IF($D1360&lt;&gt;"销项开票",0,ROUND(N($H1360)-$O1360,2))</f>
        <v>0</v>
      </c>
      <c r="Q1360" s="37" t="str">
        <f aca="false">IF($E1360="","",N(IFERROR(INDEX(单位档案!$E$6:$E$35,MATCH($E1360,单位档案!$A$6:$A$35,0)),"")))</f>
        <v/>
      </c>
      <c r="R1360" s="37" t="str">
        <f aca="false">IF($E1360="","",N(IFERROR(INDEX(单位档案!$F$6:$F$35,MATCH($E1360,单位档案!$A$6:$A$35,0)),"")))</f>
        <v/>
      </c>
      <c r="S1360" s="36" t="n">
        <f aca="false">IF(OR($D1360&lt;&gt;"销项开票",IFERROR(INDEX(单位档案!$G$6:$G$35,MATCH($E1360,单位档案!$A$6:$A$35,0)),"")&lt;&gt;"是",N($Q1360)=0),0,IF(IFERROR(INDEX(单位档案!$H$6:$H$35,MATCH($E1360,单位档案!$A$6:$A$35,0)),"")="税差法",ROUND(N($H1360)/(1+$Q1360)*$Q1360-IF(N($R1360)=0,0,$P1360/(1+$R1360)*$R1360),2),ROUND(N($H1360)/(1+$Q1360)*$Q1360,2)))</f>
        <v>0</v>
      </c>
      <c r="T1360" s="36" t="n">
        <f aca="false">ROUND($S1360*N(IFERROR(INDEX(单位档案!$J$6:$J$35,MATCH($E1360,单位档案!$A$6:$A$35,0)),"")),2)</f>
        <v>0</v>
      </c>
      <c r="U1360" s="36" t="n">
        <f aca="false">IF($D1360&lt;&gt;"销项开票",0,ROUND(N($H1360)*N(IFERROR(INDEX(单位档案!$K$6:$K$35,MATCH($E1360,单位档案!$A$6:$A$35,0)),"")),2))</f>
        <v>0</v>
      </c>
      <c r="V1360" s="36" t="n">
        <f aca="false">IF(OR($D1360&lt;&gt;"销项开票",N($Q1360)=0),0,ROUND(N($H1360)/(1+$Q1360)*N(IFERROR(INDEX(单位档案!$L$6:$L$35,MATCH($E1360,单位档案!$A$6:$A$35,0)),"")),2))</f>
        <v>0</v>
      </c>
      <c r="W1360" s="36" t="n">
        <f aca="false">ROUND($S1360+$T1360+$U1360+$V1360,2)</f>
        <v>0</v>
      </c>
      <c r="X1360" s="35" t="str">
        <f aca="false">IF(OR($D1360="挂靠代收",$D1360="我方收款"),COUNTIFS($D$5:$D1360,"挂靠代收")+COUNTIFS($D$5:$D1360,"我方收款"),"")</f>
        <v/>
      </c>
      <c r="Y1360" s="35"/>
      <c r="Z1360" s="21" t="s">
        <v>111</v>
      </c>
    </row>
    <row r="1361" customFormat="false" ht="15.75" hidden="false" customHeight="true" outlineLevel="0" collapsed="false">
      <c r="A1361" s="32" t="str">
        <f aca="false">IF($B1361="","",ROW()-4)</f>
        <v/>
      </c>
      <c r="B1361" s="26"/>
      <c r="C1361" s="24"/>
      <c r="D1361" s="21"/>
      <c r="E1361" s="21"/>
      <c r="F1361" s="21"/>
      <c r="G1361" s="21"/>
      <c r="H1361" s="27"/>
      <c r="I1361" s="23" t="str">
        <f aca="false">IF($D1361&lt;&gt;"销项开票","",IF($N1361="一级",IF(IFERROR(INDEX(项目档案!$E$6:$E$255,MATCH($C1361,项目档案!$A$6:$A$255,0)),"")="",N(IFERROR(INDEX(单位档案!$D$6:$D$35,MATCH($E1361,单位档案!$A$6:$A$35,0)),"")),IFERROR(INDEX(项目档案!$E$6:$E$255,MATCH($C1361,项目档案!$A$6:$A$255,0)),"")),IF($N1361="二级",IF(IFERROR(INDEX(项目档案!$G$6:$G$255,MATCH($C1361,项目档案!$A$6:$A$255,0)),"")="",N(IFERROR(INDEX(单位档案!$D$6:$D$35,MATCH($E1361,单位档案!$A$6:$A$35,0)),"")),IFERROR(INDEX(项目档案!$G$6:$G$255,MATCH($C1361,项目档案!$A$6:$A$255,0)),"")),N(IFERROR(INDEX(单位档案!$D$6:$D$35,MATCH($E1361,单位档案!$A$6:$A$35,0)),"")))))</f>
        <v/>
      </c>
      <c r="J1361" s="22"/>
      <c r="K1361" s="22"/>
      <c r="L1361" s="33" t="str">
        <f aca="false">IF($B1361="","",IF(NOT(ISNUMBER($B1361)),"日期格式不对",IF($C1361="","未选项目编号",IF(LEFT($M1361,1)="⚠","项目编号不存在",IF($D1361="","未选业务类型",IF($E1361="","未选开票/付款方",IF(ISNA(MATCH($E1361,单位档案!$A$6:$A$35,0)),"开票方不在单位档案",IF($F1361="","未选收票/收款方",IF(ISNA(MATCH($F1361,单位档案!$A$6:$A$35,0)),"收款方不在单位档案",IF(NOT(ISNUMBER($H1361)),"金额须为数字",IF(AND($D1361="销项开票",$N1361="—"),"链条待确认","√")))))))))))</f>
        <v/>
      </c>
      <c r="M1361" s="34" t="str">
        <f aca="false">IF($C1361="","",IFERROR(INDEX(项目档案!$B$6:$B$255,MATCH($C1361,项目档案!$A$6:$A$255,0)),"⚠项目编号不存在"))</f>
        <v/>
      </c>
      <c r="N1361" s="35" t="str">
        <f aca="false">IF($E1361="","",IF($E1361=IFERROR(INDEX(项目档案!$D$6:$D$255,MATCH($C1361,项目档案!$A$6:$A$255,0)),""),"一级",IF($E1361=IFERROR(INDEX(项目档案!$F$6:$F$255,MATCH($C1361,项目档案!$A$6:$A$255,0)),""),"二级",IF($E1361=IFERROR(INDEX(项目档案!$H$6:$H$255,MATCH($C1361,项目档案!$A$6:$A$255,0)),""),"我方","—"))))</f>
        <v/>
      </c>
      <c r="O1361" s="36" t="n">
        <f aca="false">IF($D1361&lt;&gt;"销项开票",0,ROUND(N($H1361)*N($I1361),2))</f>
        <v>0</v>
      </c>
      <c r="P1361" s="36" t="n">
        <f aca="false">IF($D1361&lt;&gt;"销项开票",0,ROUND(N($H1361)-$O1361,2))</f>
        <v>0</v>
      </c>
      <c r="Q1361" s="37" t="str">
        <f aca="false">IF($E1361="","",N(IFERROR(INDEX(单位档案!$E$6:$E$35,MATCH($E1361,单位档案!$A$6:$A$35,0)),"")))</f>
        <v/>
      </c>
      <c r="R1361" s="37" t="str">
        <f aca="false">IF($E1361="","",N(IFERROR(INDEX(单位档案!$F$6:$F$35,MATCH($E1361,单位档案!$A$6:$A$35,0)),"")))</f>
        <v/>
      </c>
      <c r="S1361" s="36" t="n">
        <f aca="false">IF(OR($D1361&lt;&gt;"销项开票",IFERROR(INDEX(单位档案!$G$6:$G$35,MATCH($E1361,单位档案!$A$6:$A$35,0)),"")&lt;&gt;"是",N($Q1361)=0),0,IF(IFERROR(INDEX(单位档案!$H$6:$H$35,MATCH($E1361,单位档案!$A$6:$A$35,0)),"")="税差法",ROUND(N($H1361)/(1+$Q1361)*$Q1361-IF(N($R1361)=0,0,$P1361/(1+$R1361)*$R1361),2),ROUND(N($H1361)/(1+$Q1361)*$Q1361,2)))</f>
        <v>0</v>
      </c>
      <c r="T1361" s="36" t="n">
        <f aca="false">ROUND($S1361*N(IFERROR(INDEX(单位档案!$J$6:$J$35,MATCH($E1361,单位档案!$A$6:$A$35,0)),"")),2)</f>
        <v>0</v>
      </c>
      <c r="U1361" s="36" t="n">
        <f aca="false">IF($D1361&lt;&gt;"销项开票",0,ROUND(N($H1361)*N(IFERROR(INDEX(单位档案!$K$6:$K$35,MATCH($E1361,单位档案!$A$6:$A$35,0)),"")),2))</f>
        <v>0</v>
      </c>
      <c r="V1361" s="36" t="n">
        <f aca="false">IF(OR($D1361&lt;&gt;"销项开票",N($Q1361)=0),0,ROUND(N($H1361)/(1+$Q1361)*N(IFERROR(INDEX(单位档案!$L$6:$L$35,MATCH($E1361,单位档案!$A$6:$A$35,0)),"")),2))</f>
        <v>0</v>
      </c>
      <c r="W1361" s="36" t="n">
        <f aca="false">ROUND($S1361+$T1361+$U1361+$V1361,2)</f>
        <v>0</v>
      </c>
      <c r="X1361" s="35" t="str">
        <f aca="false">IF(OR($D1361="挂靠代收",$D1361="我方收款"),COUNTIFS($D$5:$D1361,"挂靠代收")+COUNTIFS($D$5:$D1361,"我方收款"),"")</f>
        <v/>
      </c>
      <c r="Y1361" s="35"/>
      <c r="Z1361" s="21" t="s">
        <v>111</v>
      </c>
    </row>
    <row r="1362" customFormat="false" ht="15.75" hidden="false" customHeight="true" outlineLevel="0" collapsed="false">
      <c r="A1362" s="32" t="str">
        <f aca="false">IF($B1362="","",ROW()-4)</f>
        <v/>
      </c>
      <c r="B1362" s="26"/>
      <c r="C1362" s="24"/>
      <c r="D1362" s="21"/>
      <c r="E1362" s="21"/>
      <c r="F1362" s="21"/>
      <c r="G1362" s="21"/>
      <c r="H1362" s="27"/>
      <c r="I1362" s="23" t="str">
        <f aca="false">IF($D1362&lt;&gt;"销项开票","",IF($N1362="一级",IF(IFERROR(INDEX(项目档案!$E$6:$E$255,MATCH($C1362,项目档案!$A$6:$A$255,0)),"")="",N(IFERROR(INDEX(单位档案!$D$6:$D$35,MATCH($E1362,单位档案!$A$6:$A$35,0)),"")),IFERROR(INDEX(项目档案!$E$6:$E$255,MATCH($C1362,项目档案!$A$6:$A$255,0)),"")),IF($N1362="二级",IF(IFERROR(INDEX(项目档案!$G$6:$G$255,MATCH($C1362,项目档案!$A$6:$A$255,0)),"")="",N(IFERROR(INDEX(单位档案!$D$6:$D$35,MATCH($E1362,单位档案!$A$6:$A$35,0)),"")),IFERROR(INDEX(项目档案!$G$6:$G$255,MATCH($C1362,项目档案!$A$6:$A$255,0)),"")),N(IFERROR(INDEX(单位档案!$D$6:$D$35,MATCH($E1362,单位档案!$A$6:$A$35,0)),"")))))</f>
        <v/>
      </c>
      <c r="J1362" s="22"/>
      <c r="K1362" s="22"/>
      <c r="L1362" s="33" t="str">
        <f aca="false">IF($B1362="","",IF(NOT(ISNUMBER($B1362)),"日期格式不对",IF($C1362="","未选项目编号",IF(LEFT($M1362,1)="⚠","项目编号不存在",IF($D1362="","未选业务类型",IF($E1362="","未选开票/付款方",IF(ISNA(MATCH($E1362,单位档案!$A$6:$A$35,0)),"开票方不在单位档案",IF($F1362="","未选收票/收款方",IF(ISNA(MATCH($F1362,单位档案!$A$6:$A$35,0)),"收款方不在单位档案",IF(NOT(ISNUMBER($H1362)),"金额须为数字",IF(AND($D1362="销项开票",$N1362="—"),"链条待确认","√")))))))))))</f>
        <v/>
      </c>
      <c r="M1362" s="34" t="str">
        <f aca="false">IF($C1362="","",IFERROR(INDEX(项目档案!$B$6:$B$255,MATCH($C1362,项目档案!$A$6:$A$255,0)),"⚠项目编号不存在"))</f>
        <v/>
      </c>
      <c r="N1362" s="35" t="str">
        <f aca="false">IF($E1362="","",IF($E1362=IFERROR(INDEX(项目档案!$D$6:$D$255,MATCH($C1362,项目档案!$A$6:$A$255,0)),""),"一级",IF($E1362=IFERROR(INDEX(项目档案!$F$6:$F$255,MATCH($C1362,项目档案!$A$6:$A$255,0)),""),"二级",IF($E1362=IFERROR(INDEX(项目档案!$H$6:$H$255,MATCH($C1362,项目档案!$A$6:$A$255,0)),""),"我方","—"))))</f>
        <v/>
      </c>
      <c r="O1362" s="36" t="n">
        <f aca="false">IF($D1362&lt;&gt;"销项开票",0,ROUND(N($H1362)*N($I1362),2))</f>
        <v>0</v>
      </c>
      <c r="P1362" s="36" t="n">
        <f aca="false">IF($D1362&lt;&gt;"销项开票",0,ROUND(N($H1362)-$O1362,2))</f>
        <v>0</v>
      </c>
      <c r="Q1362" s="37" t="str">
        <f aca="false">IF($E1362="","",N(IFERROR(INDEX(单位档案!$E$6:$E$35,MATCH($E1362,单位档案!$A$6:$A$35,0)),"")))</f>
        <v/>
      </c>
      <c r="R1362" s="37" t="str">
        <f aca="false">IF($E1362="","",N(IFERROR(INDEX(单位档案!$F$6:$F$35,MATCH($E1362,单位档案!$A$6:$A$35,0)),"")))</f>
        <v/>
      </c>
      <c r="S1362" s="36" t="n">
        <f aca="false">IF(OR($D1362&lt;&gt;"销项开票",IFERROR(INDEX(单位档案!$G$6:$G$35,MATCH($E1362,单位档案!$A$6:$A$35,0)),"")&lt;&gt;"是",N($Q1362)=0),0,IF(IFERROR(INDEX(单位档案!$H$6:$H$35,MATCH($E1362,单位档案!$A$6:$A$35,0)),"")="税差法",ROUND(N($H1362)/(1+$Q1362)*$Q1362-IF(N($R1362)=0,0,$P1362/(1+$R1362)*$R1362),2),ROUND(N($H1362)/(1+$Q1362)*$Q1362,2)))</f>
        <v>0</v>
      </c>
      <c r="T1362" s="36" t="n">
        <f aca="false">ROUND($S1362*N(IFERROR(INDEX(单位档案!$J$6:$J$35,MATCH($E1362,单位档案!$A$6:$A$35,0)),"")),2)</f>
        <v>0</v>
      </c>
      <c r="U1362" s="36" t="n">
        <f aca="false">IF($D1362&lt;&gt;"销项开票",0,ROUND(N($H1362)*N(IFERROR(INDEX(单位档案!$K$6:$K$35,MATCH($E1362,单位档案!$A$6:$A$35,0)),"")),2))</f>
        <v>0</v>
      </c>
      <c r="V1362" s="36" t="n">
        <f aca="false">IF(OR($D1362&lt;&gt;"销项开票",N($Q1362)=0),0,ROUND(N($H1362)/(1+$Q1362)*N(IFERROR(INDEX(单位档案!$L$6:$L$35,MATCH($E1362,单位档案!$A$6:$A$35,0)),"")),2))</f>
        <v>0</v>
      </c>
      <c r="W1362" s="36" t="n">
        <f aca="false">ROUND($S1362+$T1362+$U1362+$V1362,2)</f>
        <v>0</v>
      </c>
      <c r="X1362" s="35" t="str">
        <f aca="false">IF(OR($D1362="挂靠代收",$D1362="我方收款"),COUNTIFS($D$5:$D1362,"挂靠代收")+COUNTIFS($D$5:$D1362,"我方收款"),"")</f>
        <v/>
      </c>
      <c r="Y1362" s="35"/>
      <c r="Z1362" s="21" t="s">
        <v>111</v>
      </c>
    </row>
    <row r="1363" customFormat="false" ht="15.75" hidden="false" customHeight="true" outlineLevel="0" collapsed="false">
      <c r="A1363" s="32" t="str">
        <f aca="false">IF($B1363="","",ROW()-4)</f>
        <v/>
      </c>
      <c r="B1363" s="26"/>
      <c r="C1363" s="24"/>
      <c r="D1363" s="21"/>
      <c r="E1363" s="21"/>
      <c r="F1363" s="21"/>
      <c r="G1363" s="21"/>
      <c r="H1363" s="27"/>
      <c r="I1363" s="23" t="str">
        <f aca="false">IF($D1363&lt;&gt;"销项开票","",IF($N1363="一级",IF(IFERROR(INDEX(项目档案!$E$6:$E$255,MATCH($C1363,项目档案!$A$6:$A$255,0)),"")="",N(IFERROR(INDEX(单位档案!$D$6:$D$35,MATCH($E1363,单位档案!$A$6:$A$35,0)),"")),IFERROR(INDEX(项目档案!$E$6:$E$255,MATCH($C1363,项目档案!$A$6:$A$255,0)),"")),IF($N1363="二级",IF(IFERROR(INDEX(项目档案!$G$6:$G$255,MATCH($C1363,项目档案!$A$6:$A$255,0)),"")="",N(IFERROR(INDEX(单位档案!$D$6:$D$35,MATCH($E1363,单位档案!$A$6:$A$35,0)),"")),IFERROR(INDEX(项目档案!$G$6:$G$255,MATCH($C1363,项目档案!$A$6:$A$255,0)),"")),N(IFERROR(INDEX(单位档案!$D$6:$D$35,MATCH($E1363,单位档案!$A$6:$A$35,0)),"")))))</f>
        <v/>
      </c>
      <c r="J1363" s="22"/>
      <c r="K1363" s="22"/>
      <c r="L1363" s="33" t="str">
        <f aca="false">IF($B1363="","",IF(NOT(ISNUMBER($B1363)),"日期格式不对",IF($C1363="","未选项目编号",IF(LEFT($M1363,1)="⚠","项目编号不存在",IF($D1363="","未选业务类型",IF($E1363="","未选开票/付款方",IF(ISNA(MATCH($E1363,单位档案!$A$6:$A$35,0)),"开票方不在单位档案",IF($F1363="","未选收票/收款方",IF(ISNA(MATCH($F1363,单位档案!$A$6:$A$35,0)),"收款方不在单位档案",IF(NOT(ISNUMBER($H1363)),"金额须为数字",IF(AND($D1363="销项开票",$N1363="—"),"链条待确认","√")))))))))))</f>
        <v/>
      </c>
      <c r="M1363" s="34" t="str">
        <f aca="false">IF($C1363="","",IFERROR(INDEX(项目档案!$B$6:$B$255,MATCH($C1363,项目档案!$A$6:$A$255,0)),"⚠项目编号不存在"))</f>
        <v/>
      </c>
      <c r="N1363" s="35" t="str">
        <f aca="false">IF($E1363="","",IF($E1363=IFERROR(INDEX(项目档案!$D$6:$D$255,MATCH($C1363,项目档案!$A$6:$A$255,0)),""),"一级",IF($E1363=IFERROR(INDEX(项目档案!$F$6:$F$255,MATCH($C1363,项目档案!$A$6:$A$255,0)),""),"二级",IF($E1363=IFERROR(INDEX(项目档案!$H$6:$H$255,MATCH($C1363,项目档案!$A$6:$A$255,0)),""),"我方","—"))))</f>
        <v/>
      </c>
      <c r="O1363" s="36" t="n">
        <f aca="false">IF($D1363&lt;&gt;"销项开票",0,ROUND(N($H1363)*N($I1363),2))</f>
        <v>0</v>
      </c>
      <c r="P1363" s="36" t="n">
        <f aca="false">IF($D1363&lt;&gt;"销项开票",0,ROUND(N($H1363)-$O1363,2))</f>
        <v>0</v>
      </c>
      <c r="Q1363" s="37" t="str">
        <f aca="false">IF($E1363="","",N(IFERROR(INDEX(单位档案!$E$6:$E$35,MATCH($E1363,单位档案!$A$6:$A$35,0)),"")))</f>
        <v/>
      </c>
      <c r="R1363" s="37" t="str">
        <f aca="false">IF($E1363="","",N(IFERROR(INDEX(单位档案!$F$6:$F$35,MATCH($E1363,单位档案!$A$6:$A$35,0)),"")))</f>
        <v/>
      </c>
      <c r="S1363" s="36" t="n">
        <f aca="false">IF(OR($D1363&lt;&gt;"销项开票",IFERROR(INDEX(单位档案!$G$6:$G$35,MATCH($E1363,单位档案!$A$6:$A$35,0)),"")&lt;&gt;"是",N($Q1363)=0),0,IF(IFERROR(INDEX(单位档案!$H$6:$H$35,MATCH($E1363,单位档案!$A$6:$A$35,0)),"")="税差法",ROUND(N($H1363)/(1+$Q1363)*$Q1363-IF(N($R1363)=0,0,$P1363/(1+$R1363)*$R1363),2),ROUND(N($H1363)/(1+$Q1363)*$Q1363,2)))</f>
        <v>0</v>
      </c>
      <c r="T1363" s="36" t="n">
        <f aca="false">ROUND($S1363*N(IFERROR(INDEX(单位档案!$J$6:$J$35,MATCH($E1363,单位档案!$A$6:$A$35,0)),"")),2)</f>
        <v>0</v>
      </c>
      <c r="U1363" s="36" t="n">
        <f aca="false">IF($D1363&lt;&gt;"销项开票",0,ROUND(N($H1363)*N(IFERROR(INDEX(单位档案!$K$6:$K$35,MATCH($E1363,单位档案!$A$6:$A$35,0)),"")),2))</f>
        <v>0</v>
      </c>
      <c r="V1363" s="36" t="n">
        <f aca="false">IF(OR($D1363&lt;&gt;"销项开票",N($Q1363)=0),0,ROUND(N($H1363)/(1+$Q1363)*N(IFERROR(INDEX(单位档案!$L$6:$L$35,MATCH($E1363,单位档案!$A$6:$A$35,0)),"")),2))</f>
        <v>0</v>
      </c>
      <c r="W1363" s="36" t="n">
        <f aca="false">ROUND($S1363+$T1363+$U1363+$V1363,2)</f>
        <v>0</v>
      </c>
      <c r="X1363" s="35" t="str">
        <f aca="false">IF(OR($D1363="挂靠代收",$D1363="我方收款"),COUNTIFS($D$5:$D1363,"挂靠代收")+COUNTIFS($D$5:$D1363,"我方收款"),"")</f>
        <v/>
      </c>
      <c r="Y1363" s="35"/>
      <c r="Z1363" s="21" t="s">
        <v>111</v>
      </c>
    </row>
    <row r="1364" customFormat="false" ht="15.75" hidden="false" customHeight="true" outlineLevel="0" collapsed="false">
      <c r="A1364" s="32" t="str">
        <f aca="false">IF($B1364="","",ROW()-4)</f>
        <v/>
      </c>
      <c r="B1364" s="26"/>
      <c r="C1364" s="24"/>
      <c r="D1364" s="21"/>
      <c r="E1364" s="21"/>
      <c r="F1364" s="21"/>
      <c r="G1364" s="21"/>
      <c r="H1364" s="27"/>
      <c r="I1364" s="23" t="str">
        <f aca="false">IF($D1364&lt;&gt;"销项开票","",IF($N1364="一级",IF(IFERROR(INDEX(项目档案!$E$6:$E$255,MATCH($C1364,项目档案!$A$6:$A$255,0)),"")="",N(IFERROR(INDEX(单位档案!$D$6:$D$35,MATCH($E1364,单位档案!$A$6:$A$35,0)),"")),IFERROR(INDEX(项目档案!$E$6:$E$255,MATCH($C1364,项目档案!$A$6:$A$255,0)),"")),IF($N1364="二级",IF(IFERROR(INDEX(项目档案!$G$6:$G$255,MATCH($C1364,项目档案!$A$6:$A$255,0)),"")="",N(IFERROR(INDEX(单位档案!$D$6:$D$35,MATCH($E1364,单位档案!$A$6:$A$35,0)),"")),IFERROR(INDEX(项目档案!$G$6:$G$255,MATCH($C1364,项目档案!$A$6:$A$255,0)),"")),N(IFERROR(INDEX(单位档案!$D$6:$D$35,MATCH($E1364,单位档案!$A$6:$A$35,0)),"")))))</f>
        <v/>
      </c>
      <c r="J1364" s="22"/>
      <c r="K1364" s="22"/>
      <c r="L1364" s="33" t="str">
        <f aca="false">IF($B1364="","",IF(NOT(ISNUMBER($B1364)),"日期格式不对",IF($C1364="","未选项目编号",IF(LEFT($M1364,1)="⚠","项目编号不存在",IF($D1364="","未选业务类型",IF($E1364="","未选开票/付款方",IF(ISNA(MATCH($E1364,单位档案!$A$6:$A$35,0)),"开票方不在单位档案",IF($F1364="","未选收票/收款方",IF(ISNA(MATCH($F1364,单位档案!$A$6:$A$35,0)),"收款方不在单位档案",IF(NOT(ISNUMBER($H1364)),"金额须为数字",IF(AND($D1364="销项开票",$N1364="—"),"链条待确认","√")))))))))))</f>
        <v/>
      </c>
      <c r="M1364" s="34" t="str">
        <f aca="false">IF($C1364="","",IFERROR(INDEX(项目档案!$B$6:$B$255,MATCH($C1364,项目档案!$A$6:$A$255,0)),"⚠项目编号不存在"))</f>
        <v/>
      </c>
      <c r="N1364" s="35" t="str">
        <f aca="false">IF($E1364="","",IF($E1364=IFERROR(INDEX(项目档案!$D$6:$D$255,MATCH($C1364,项目档案!$A$6:$A$255,0)),""),"一级",IF($E1364=IFERROR(INDEX(项目档案!$F$6:$F$255,MATCH($C1364,项目档案!$A$6:$A$255,0)),""),"二级",IF($E1364=IFERROR(INDEX(项目档案!$H$6:$H$255,MATCH($C1364,项目档案!$A$6:$A$255,0)),""),"我方","—"))))</f>
        <v/>
      </c>
      <c r="O1364" s="36" t="n">
        <f aca="false">IF($D1364&lt;&gt;"销项开票",0,ROUND(N($H1364)*N($I1364),2))</f>
        <v>0</v>
      </c>
      <c r="P1364" s="36" t="n">
        <f aca="false">IF($D1364&lt;&gt;"销项开票",0,ROUND(N($H1364)-$O1364,2))</f>
        <v>0</v>
      </c>
      <c r="Q1364" s="37" t="str">
        <f aca="false">IF($E1364="","",N(IFERROR(INDEX(单位档案!$E$6:$E$35,MATCH($E1364,单位档案!$A$6:$A$35,0)),"")))</f>
        <v/>
      </c>
      <c r="R1364" s="37" t="str">
        <f aca="false">IF($E1364="","",N(IFERROR(INDEX(单位档案!$F$6:$F$35,MATCH($E1364,单位档案!$A$6:$A$35,0)),"")))</f>
        <v/>
      </c>
      <c r="S1364" s="36" t="n">
        <f aca="false">IF(OR($D1364&lt;&gt;"销项开票",IFERROR(INDEX(单位档案!$G$6:$G$35,MATCH($E1364,单位档案!$A$6:$A$35,0)),"")&lt;&gt;"是",N($Q1364)=0),0,IF(IFERROR(INDEX(单位档案!$H$6:$H$35,MATCH($E1364,单位档案!$A$6:$A$35,0)),"")="税差法",ROUND(N($H1364)/(1+$Q1364)*$Q1364-IF(N($R1364)=0,0,$P1364/(1+$R1364)*$R1364),2),ROUND(N($H1364)/(1+$Q1364)*$Q1364,2)))</f>
        <v>0</v>
      </c>
      <c r="T1364" s="36" t="n">
        <f aca="false">ROUND($S1364*N(IFERROR(INDEX(单位档案!$J$6:$J$35,MATCH($E1364,单位档案!$A$6:$A$35,0)),"")),2)</f>
        <v>0</v>
      </c>
      <c r="U1364" s="36" t="n">
        <f aca="false">IF($D1364&lt;&gt;"销项开票",0,ROUND(N($H1364)*N(IFERROR(INDEX(单位档案!$K$6:$K$35,MATCH($E1364,单位档案!$A$6:$A$35,0)),"")),2))</f>
        <v>0</v>
      </c>
      <c r="V1364" s="36" t="n">
        <f aca="false">IF(OR($D1364&lt;&gt;"销项开票",N($Q1364)=0),0,ROUND(N($H1364)/(1+$Q1364)*N(IFERROR(INDEX(单位档案!$L$6:$L$35,MATCH($E1364,单位档案!$A$6:$A$35,0)),"")),2))</f>
        <v>0</v>
      </c>
      <c r="W1364" s="36" t="n">
        <f aca="false">ROUND($S1364+$T1364+$U1364+$V1364,2)</f>
        <v>0</v>
      </c>
      <c r="X1364" s="35" t="str">
        <f aca="false">IF(OR($D1364="挂靠代收",$D1364="我方收款"),COUNTIFS($D$5:$D1364,"挂靠代收")+COUNTIFS($D$5:$D1364,"我方收款"),"")</f>
        <v/>
      </c>
      <c r="Y1364" s="35"/>
      <c r="Z1364" s="21" t="s">
        <v>111</v>
      </c>
    </row>
    <row r="1365" customFormat="false" ht="15.75" hidden="false" customHeight="true" outlineLevel="0" collapsed="false">
      <c r="A1365" s="32" t="str">
        <f aca="false">IF($B1365="","",ROW()-4)</f>
        <v/>
      </c>
      <c r="B1365" s="26"/>
      <c r="C1365" s="24"/>
      <c r="D1365" s="21"/>
      <c r="E1365" s="21"/>
      <c r="F1365" s="21"/>
      <c r="G1365" s="21"/>
      <c r="H1365" s="27"/>
      <c r="I1365" s="23" t="str">
        <f aca="false">IF($D1365&lt;&gt;"销项开票","",IF($N1365="一级",IF(IFERROR(INDEX(项目档案!$E$6:$E$255,MATCH($C1365,项目档案!$A$6:$A$255,0)),"")="",N(IFERROR(INDEX(单位档案!$D$6:$D$35,MATCH($E1365,单位档案!$A$6:$A$35,0)),"")),IFERROR(INDEX(项目档案!$E$6:$E$255,MATCH($C1365,项目档案!$A$6:$A$255,0)),"")),IF($N1365="二级",IF(IFERROR(INDEX(项目档案!$G$6:$G$255,MATCH($C1365,项目档案!$A$6:$A$255,0)),"")="",N(IFERROR(INDEX(单位档案!$D$6:$D$35,MATCH($E1365,单位档案!$A$6:$A$35,0)),"")),IFERROR(INDEX(项目档案!$G$6:$G$255,MATCH($C1365,项目档案!$A$6:$A$255,0)),"")),N(IFERROR(INDEX(单位档案!$D$6:$D$35,MATCH($E1365,单位档案!$A$6:$A$35,0)),"")))))</f>
        <v/>
      </c>
      <c r="J1365" s="22"/>
      <c r="K1365" s="22"/>
      <c r="L1365" s="33" t="str">
        <f aca="false">IF($B1365="","",IF(NOT(ISNUMBER($B1365)),"日期格式不对",IF($C1365="","未选项目编号",IF(LEFT($M1365,1)="⚠","项目编号不存在",IF($D1365="","未选业务类型",IF($E1365="","未选开票/付款方",IF(ISNA(MATCH($E1365,单位档案!$A$6:$A$35,0)),"开票方不在单位档案",IF($F1365="","未选收票/收款方",IF(ISNA(MATCH($F1365,单位档案!$A$6:$A$35,0)),"收款方不在单位档案",IF(NOT(ISNUMBER($H1365)),"金额须为数字",IF(AND($D1365="销项开票",$N1365="—"),"链条待确认","√")))))))))))</f>
        <v/>
      </c>
      <c r="M1365" s="34" t="str">
        <f aca="false">IF($C1365="","",IFERROR(INDEX(项目档案!$B$6:$B$255,MATCH($C1365,项目档案!$A$6:$A$255,0)),"⚠项目编号不存在"))</f>
        <v/>
      </c>
      <c r="N1365" s="35" t="str">
        <f aca="false">IF($E1365="","",IF($E1365=IFERROR(INDEX(项目档案!$D$6:$D$255,MATCH($C1365,项目档案!$A$6:$A$255,0)),""),"一级",IF($E1365=IFERROR(INDEX(项目档案!$F$6:$F$255,MATCH($C1365,项目档案!$A$6:$A$255,0)),""),"二级",IF($E1365=IFERROR(INDEX(项目档案!$H$6:$H$255,MATCH($C1365,项目档案!$A$6:$A$255,0)),""),"我方","—"))))</f>
        <v/>
      </c>
      <c r="O1365" s="36" t="n">
        <f aca="false">IF($D1365&lt;&gt;"销项开票",0,ROUND(N($H1365)*N($I1365),2))</f>
        <v>0</v>
      </c>
      <c r="P1365" s="36" t="n">
        <f aca="false">IF($D1365&lt;&gt;"销项开票",0,ROUND(N($H1365)-$O1365,2))</f>
        <v>0</v>
      </c>
      <c r="Q1365" s="37" t="str">
        <f aca="false">IF($E1365="","",N(IFERROR(INDEX(单位档案!$E$6:$E$35,MATCH($E1365,单位档案!$A$6:$A$35,0)),"")))</f>
        <v/>
      </c>
      <c r="R1365" s="37" t="str">
        <f aca="false">IF($E1365="","",N(IFERROR(INDEX(单位档案!$F$6:$F$35,MATCH($E1365,单位档案!$A$6:$A$35,0)),"")))</f>
        <v/>
      </c>
      <c r="S1365" s="36" t="n">
        <f aca="false">IF(OR($D1365&lt;&gt;"销项开票",IFERROR(INDEX(单位档案!$G$6:$G$35,MATCH($E1365,单位档案!$A$6:$A$35,0)),"")&lt;&gt;"是",N($Q1365)=0),0,IF(IFERROR(INDEX(单位档案!$H$6:$H$35,MATCH($E1365,单位档案!$A$6:$A$35,0)),"")="税差法",ROUND(N($H1365)/(1+$Q1365)*$Q1365-IF(N($R1365)=0,0,$P1365/(1+$R1365)*$R1365),2),ROUND(N($H1365)/(1+$Q1365)*$Q1365,2)))</f>
        <v>0</v>
      </c>
      <c r="T1365" s="36" t="n">
        <f aca="false">ROUND($S1365*N(IFERROR(INDEX(单位档案!$J$6:$J$35,MATCH($E1365,单位档案!$A$6:$A$35,0)),"")),2)</f>
        <v>0</v>
      </c>
      <c r="U1365" s="36" t="n">
        <f aca="false">IF($D1365&lt;&gt;"销项开票",0,ROUND(N($H1365)*N(IFERROR(INDEX(单位档案!$K$6:$K$35,MATCH($E1365,单位档案!$A$6:$A$35,0)),"")),2))</f>
        <v>0</v>
      </c>
      <c r="V1365" s="36" t="n">
        <f aca="false">IF(OR($D1365&lt;&gt;"销项开票",N($Q1365)=0),0,ROUND(N($H1365)/(1+$Q1365)*N(IFERROR(INDEX(单位档案!$L$6:$L$35,MATCH($E1365,单位档案!$A$6:$A$35,0)),"")),2))</f>
        <v>0</v>
      </c>
      <c r="W1365" s="36" t="n">
        <f aca="false">ROUND($S1365+$T1365+$U1365+$V1365,2)</f>
        <v>0</v>
      </c>
      <c r="X1365" s="35" t="str">
        <f aca="false">IF(OR($D1365="挂靠代收",$D1365="我方收款"),COUNTIFS($D$5:$D1365,"挂靠代收")+COUNTIFS($D$5:$D1365,"我方收款"),"")</f>
        <v/>
      </c>
      <c r="Y1365" s="35"/>
      <c r="Z1365" s="21" t="s">
        <v>111</v>
      </c>
    </row>
    <row r="1366" customFormat="false" ht="15.75" hidden="false" customHeight="true" outlineLevel="0" collapsed="false">
      <c r="A1366" s="32" t="str">
        <f aca="false">IF($B1366="","",ROW()-4)</f>
        <v/>
      </c>
      <c r="B1366" s="26"/>
      <c r="C1366" s="24"/>
      <c r="D1366" s="21"/>
      <c r="E1366" s="21"/>
      <c r="F1366" s="21"/>
      <c r="G1366" s="21"/>
      <c r="H1366" s="27"/>
      <c r="I1366" s="23" t="str">
        <f aca="false">IF($D1366&lt;&gt;"销项开票","",IF($N1366="一级",IF(IFERROR(INDEX(项目档案!$E$6:$E$255,MATCH($C1366,项目档案!$A$6:$A$255,0)),"")="",N(IFERROR(INDEX(单位档案!$D$6:$D$35,MATCH($E1366,单位档案!$A$6:$A$35,0)),"")),IFERROR(INDEX(项目档案!$E$6:$E$255,MATCH($C1366,项目档案!$A$6:$A$255,0)),"")),IF($N1366="二级",IF(IFERROR(INDEX(项目档案!$G$6:$G$255,MATCH($C1366,项目档案!$A$6:$A$255,0)),"")="",N(IFERROR(INDEX(单位档案!$D$6:$D$35,MATCH($E1366,单位档案!$A$6:$A$35,0)),"")),IFERROR(INDEX(项目档案!$G$6:$G$255,MATCH($C1366,项目档案!$A$6:$A$255,0)),"")),N(IFERROR(INDEX(单位档案!$D$6:$D$35,MATCH($E1366,单位档案!$A$6:$A$35,0)),"")))))</f>
        <v/>
      </c>
      <c r="J1366" s="22"/>
      <c r="K1366" s="22"/>
      <c r="L1366" s="33" t="str">
        <f aca="false">IF($B1366="","",IF(NOT(ISNUMBER($B1366)),"日期格式不对",IF($C1366="","未选项目编号",IF(LEFT($M1366,1)="⚠","项目编号不存在",IF($D1366="","未选业务类型",IF($E1366="","未选开票/付款方",IF(ISNA(MATCH($E1366,单位档案!$A$6:$A$35,0)),"开票方不在单位档案",IF($F1366="","未选收票/收款方",IF(ISNA(MATCH($F1366,单位档案!$A$6:$A$35,0)),"收款方不在单位档案",IF(NOT(ISNUMBER($H1366)),"金额须为数字",IF(AND($D1366="销项开票",$N1366="—"),"链条待确认","√")))))))))))</f>
        <v/>
      </c>
      <c r="M1366" s="34" t="str">
        <f aca="false">IF($C1366="","",IFERROR(INDEX(项目档案!$B$6:$B$255,MATCH($C1366,项目档案!$A$6:$A$255,0)),"⚠项目编号不存在"))</f>
        <v/>
      </c>
      <c r="N1366" s="35" t="str">
        <f aca="false">IF($E1366="","",IF($E1366=IFERROR(INDEX(项目档案!$D$6:$D$255,MATCH($C1366,项目档案!$A$6:$A$255,0)),""),"一级",IF($E1366=IFERROR(INDEX(项目档案!$F$6:$F$255,MATCH($C1366,项目档案!$A$6:$A$255,0)),""),"二级",IF($E1366=IFERROR(INDEX(项目档案!$H$6:$H$255,MATCH($C1366,项目档案!$A$6:$A$255,0)),""),"我方","—"))))</f>
        <v/>
      </c>
      <c r="O1366" s="36" t="n">
        <f aca="false">IF($D1366&lt;&gt;"销项开票",0,ROUND(N($H1366)*N($I1366),2))</f>
        <v>0</v>
      </c>
      <c r="P1366" s="36" t="n">
        <f aca="false">IF($D1366&lt;&gt;"销项开票",0,ROUND(N($H1366)-$O1366,2))</f>
        <v>0</v>
      </c>
      <c r="Q1366" s="37" t="str">
        <f aca="false">IF($E1366="","",N(IFERROR(INDEX(单位档案!$E$6:$E$35,MATCH($E1366,单位档案!$A$6:$A$35,0)),"")))</f>
        <v/>
      </c>
      <c r="R1366" s="37" t="str">
        <f aca="false">IF($E1366="","",N(IFERROR(INDEX(单位档案!$F$6:$F$35,MATCH($E1366,单位档案!$A$6:$A$35,0)),"")))</f>
        <v/>
      </c>
      <c r="S1366" s="36" t="n">
        <f aca="false">IF(OR($D1366&lt;&gt;"销项开票",IFERROR(INDEX(单位档案!$G$6:$G$35,MATCH($E1366,单位档案!$A$6:$A$35,0)),"")&lt;&gt;"是",N($Q1366)=0),0,IF(IFERROR(INDEX(单位档案!$H$6:$H$35,MATCH($E1366,单位档案!$A$6:$A$35,0)),"")="税差法",ROUND(N($H1366)/(1+$Q1366)*$Q1366-IF(N($R1366)=0,0,$P1366/(1+$R1366)*$R1366),2),ROUND(N($H1366)/(1+$Q1366)*$Q1366,2)))</f>
        <v>0</v>
      </c>
      <c r="T1366" s="36" t="n">
        <f aca="false">ROUND($S1366*N(IFERROR(INDEX(单位档案!$J$6:$J$35,MATCH($E1366,单位档案!$A$6:$A$35,0)),"")),2)</f>
        <v>0</v>
      </c>
      <c r="U1366" s="36" t="n">
        <f aca="false">IF($D1366&lt;&gt;"销项开票",0,ROUND(N($H1366)*N(IFERROR(INDEX(单位档案!$K$6:$K$35,MATCH($E1366,单位档案!$A$6:$A$35,0)),"")),2))</f>
        <v>0</v>
      </c>
      <c r="V1366" s="36" t="n">
        <f aca="false">IF(OR($D1366&lt;&gt;"销项开票",N($Q1366)=0),0,ROUND(N($H1366)/(1+$Q1366)*N(IFERROR(INDEX(单位档案!$L$6:$L$35,MATCH($E1366,单位档案!$A$6:$A$35,0)),"")),2))</f>
        <v>0</v>
      </c>
      <c r="W1366" s="36" t="n">
        <f aca="false">ROUND($S1366+$T1366+$U1366+$V1366,2)</f>
        <v>0</v>
      </c>
      <c r="X1366" s="35" t="str">
        <f aca="false">IF(OR($D1366="挂靠代收",$D1366="我方收款"),COUNTIFS($D$5:$D1366,"挂靠代收")+COUNTIFS($D$5:$D1366,"我方收款"),"")</f>
        <v/>
      </c>
      <c r="Y1366" s="35"/>
      <c r="Z1366" s="21" t="s">
        <v>111</v>
      </c>
    </row>
    <row r="1367" customFormat="false" ht="15.75" hidden="false" customHeight="true" outlineLevel="0" collapsed="false">
      <c r="A1367" s="32" t="str">
        <f aca="false">IF($B1367="","",ROW()-4)</f>
        <v/>
      </c>
      <c r="B1367" s="26"/>
      <c r="C1367" s="24"/>
      <c r="D1367" s="21"/>
      <c r="E1367" s="21"/>
      <c r="F1367" s="21"/>
      <c r="G1367" s="21"/>
      <c r="H1367" s="27"/>
      <c r="I1367" s="23" t="str">
        <f aca="false">IF($D1367&lt;&gt;"销项开票","",IF($N1367="一级",IF(IFERROR(INDEX(项目档案!$E$6:$E$255,MATCH($C1367,项目档案!$A$6:$A$255,0)),"")="",N(IFERROR(INDEX(单位档案!$D$6:$D$35,MATCH($E1367,单位档案!$A$6:$A$35,0)),"")),IFERROR(INDEX(项目档案!$E$6:$E$255,MATCH($C1367,项目档案!$A$6:$A$255,0)),"")),IF($N1367="二级",IF(IFERROR(INDEX(项目档案!$G$6:$G$255,MATCH($C1367,项目档案!$A$6:$A$255,0)),"")="",N(IFERROR(INDEX(单位档案!$D$6:$D$35,MATCH($E1367,单位档案!$A$6:$A$35,0)),"")),IFERROR(INDEX(项目档案!$G$6:$G$255,MATCH($C1367,项目档案!$A$6:$A$255,0)),"")),N(IFERROR(INDEX(单位档案!$D$6:$D$35,MATCH($E1367,单位档案!$A$6:$A$35,0)),"")))))</f>
        <v/>
      </c>
      <c r="J1367" s="22"/>
      <c r="K1367" s="22"/>
      <c r="L1367" s="33" t="str">
        <f aca="false">IF($B1367="","",IF(NOT(ISNUMBER($B1367)),"日期格式不对",IF($C1367="","未选项目编号",IF(LEFT($M1367,1)="⚠","项目编号不存在",IF($D1367="","未选业务类型",IF($E1367="","未选开票/付款方",IF(ISNA(MATCH($E1367,单位档案!$A$6:$A$35,0)),"开票方不在单位档案",IF($F1367="","未选收票/收款方",IF(ISNA(MATCH($F1367,单位档案!$A$6:$A$35,0)),"收款方不在单位档案",IF(NOT(ISNUMBER($H1367)),"金额须为数字",IF(AND($D1367="销项开票",$N1367="—"),"链条待确认","√")))))))))))</f>
        <v/>
      </c>
      <c r="M1367" s="34" t="str">
        <f aca="false">IF($C1367="","",IFERROR(INDEX(项目档案!$B$6:$B$255,MATCH($C1367,项目档案!$A$6:$A$255,0)),"⚠项目编号不存在"))</f>
        <v/>
      </c>
      <c r="N1367" s="35" t="str">
        <f aca="false">IF($E1367="","",IF($E1367=IFERROR(INDEX(项目档案!$D$6:$D$255,MATCH($C1367,项目档案!$A$6:$A$255,0)),""),"一级",IF($E1367=IFERROR(INDEX(项目档案!$F$6:$F$255,MATCH($C1367,项目档案!$A$6:$A$255,0)),""),"二级",IF($E1367=IFERROR(INDEX(项目档案!$H$6:$H$255,MATCH($C1367,项目档案!$A$6:$A$255,0)),""),"我方","—"))))</f>
        <v/>
      </c>
      <c r="O1367" s="36" t="n">
        <f aca="false">IF($D1367&lt;&gt;"销项开票",0,ROUND(N($H1367)*N($I1367),2))</f>
        <v>0</v>
      </c>
      <c r="P1367" s="36" t="n">
        <f aca="false">IF($D1367&lt;&gt;"销项开票",0,ROUND(N($H1367)-$O1367,2))</f>
        <v>0</v>
      </c>
      <c r="Q1367" s="37" t="str">
        <f aca="false">IF($E1367="","",N(IFERROR(INDEX(单位档案!$E$6:$E$35,MATCH($E1367,单位档案!$A$6:$A$35,0)),"")))</f>
        <v/>
      </c>
      <c r="R1367" s="37" t="str">
        <f aca="false">IF($E1367="","",N(IFERROR(INDEX(单位档案!$F$6:$F$35,MATCH($E1367,单位档案!$A$6:$A$35,0)),"")))</f>
        <v/>
      </c>
      <c r="S1367" s="36" t="n">
        <f aca="false">IF(OR($D1367&lt;&gt;"销项开票",IFERROR(INDEX(单位档案!$G$6:$G$35,MATCH($E1367,单位档案!$A$6:$A$35,0)),"")&lt;&gt;"是",N($Q1367)=0),0,IF(IFERROR(INDEX(单位档案!$H$6:$H$35,MATCH($E1367,单位档案!$A$6:$A$35,0)),"")="税差法",ROUND(N($H1367)/(1+$Q1367)*$Q1367-IF(N($R1367)=0,0,$P1367/(1+$R1367)*$R1367),2),ROUND(N($H1367)/(1+$Q1367)*$Q1367,2)))</f>
        <v>0</v>
      </c>
      <c r="T1367" s="36" t="n">
        <f aca="false">ROUND($S1367*N(IFERROR(INDEX(单位档案!$J$6:$J$35,MATCH($E1367,单位档案!$A$6:$A$35,0)),"")),2)</f>
        <v>0</v>
      </c>
      <c r="U1367" s="36" t="n">
        <f aca="false">IF($D1367&lt;&gt;"销项开票",0,ROUND(N($H1367)*N(IFERROR(INDEX(单位档案!$K$6:$K$35,MATCH($E1367,单位档案!$A$6:$A$35,0)),"")),2))</f>
        <v>0</v>
      </c>
      <c r="V1367" s="36" t="n">
        <f aca="false">IF(OR($D1367&lt;&gt;"销项开票",N($Q1367)=0),0,ROUND(N($H1367)/(1+$Q1367)*N(IFERROR(INDEX(单位档案!$L$6:$L$35,MATCH($E1367,单位档案!$A$6:$A$35,0)),"")),2))</f>
        <v>0</v>
      </c>
      <c r="W1367" s="36" t="n">
        <f aca="false">ROUND($S1367+$T1367+$U1367+$V1367,2)</f>
        <v>0</v>
      </c>
      <c r="X1367" s="35" t="str">
        <f aca="false">IF(OR($D1367="挂靠代收",$D1367="我方收款"),COUNTIFS($D$5:$D1367,"挂靠代收")+COUNTIFS($D$5:$D1367,"我方收款"),"")</f>
        <v/>
      </c>
      <c r="Y1367" s="35"/>
      <c r="Z1367" s="21" t="s">
        <v>111</v>
      </c>
    </row>
    <row r="1368" customFormat="false" ht="15.75" hidden="false" customHeight="true" outlineLevel="0" collapsed="false">
      <c r="A1368" s="32" t="str">
        <f aca="false">IF($B1368="","",ROW()-4)</f>
        <v/>
      </c>
      <c r="B1368" s="26"/>
      <c r="C1368" s="24"/>
      <c r="D1368" s="21"/>
      <c r="E1368" s="21"/>
      <c r="F1368" s="21"/>
      <c r="G1368" s="21"/>
      <c r="H1368" s="27"/>
      <c r="I1368" s="23" t="str">
        <f aca="false">IF($D1368&lt;&gt;"销项开票","",IF($N1368="一级",IF(IFERROR(INDEX(项目档案!$E$6:$E$255,MATCH($C1368,项目档案!$A$6:$A$255,0)),"")="",N(IFERROR(INDEX(单位档案!$D$6:$D$35,MATCH($E1368,单位档案!$A$6:$A$35,0)),"")),IFERROR(INDEX(项目档案!$E$6:$E$255,MATCH($C1368,项目档案!$A$6:$A$255,0)),"")),IF($N1368="二级",IF(IFERROR(INDEX(项目档案!$G$6:$G$255,MATCH($C1368,项目档案!$A$6:$A$255,0)),"")="",N(IFERROR(INDEX(单位档案!$D$6:$D$35,MATCH($E1368,单位档案!$A$6:$A$35,0)),"")),IFERROR(INDEX(项目档案!$G$6:$G$255,MATCH($C1368,项目档案!$A$6:$A$255,0)),"")),N(IFERROR(INDEX(单位档案!$D$6:$D$35,MATCH($E1368,单位档案!$A$6:$A$35,0)),"")))))</f>
        <v/>
      </c>
      <c r="J1368" s="22"/>
      <c r="K1368" s="22"/>
      <c r="L1368" s="33" t="str">
        <f aca="false">IF($B1368="","",IF(NOT(ISNUMBER($B1368)),"日期格式不对",IF($C1368="","未选项目编号",IF(LEFT($M1368,1)="⚠","项目编号不存在",IF($D1368="","未选业务类型",IF($E1368="","未选开票/付款方",IF(ISNA(MATCH($E1368,单位档案!$A$6:$A$35,0)),"开票方不在单位档案",IF($F1368="","未选收票/收款方",IF(ISNA(MATCH($F1368,单位档案!$A$6:$A$35,0)),"收款方不在单位档案",IF(NOT(ISNUMBER($H1368)),"金额须为数字",IF(AND($D1368="销项开票",$N1368="—"),"链条待确认","√")))))))))))</f>
        <v/>
      </c>
      <c r="M1368" s="34" t="str">
        <f aca="false">IF($C1368="","",IFERROR(INDEX(项目档案!$B$6:$B$255,MATCH($C1368,项目档案!$A$6:$A$255,0)),"⚠项目编号不存在"))</f>
        <v/>
      </c>
      <c r="N1368" s="35" t="str">
        <f aca="false">IF($E1368="","",IF($E1368=IFERROR(INDEX(项目档案!$D$6:$D$255,MATCH($C1368,项目档案!$A$6:$A$255,0)),""),"一级",IF($E1368=IFERROR(INDEX(项目档案!$F$6:$F$255,MATCH($C1368,项目档案!$A$6:$A$255,0)),""),"二级",IF($E1368=IFERROR(INDEX(项目档案!$H$6:$H$255,MATCH($C1368,项目档案!$A$6:$A$255,0)),""),"我方","—"))))</f>
        <v/>
      </c>
      <c r="O1368" s="36" t="n">
        <f aca="false">IF($D1368&lt;&gt;"销项开票",0,ROUND(N($H1368)*N($I1368),2))</f>
        <v>0</v>
      </c>
      <c r="P1368" s="36" t="n">
        <f aca="false">IF($D1368&lt;&gt;"销项开票",0,ROUND(N($H1368)-$O1368,2))</f>
        <v>0</v>
      </c>
      <c r="Q1368" s="37" t="str">
        <f aca="false">IF($E1368="","",N(IFERROR(INDEX(单位档案!$E$6:$E$35,MATCH($E1368,单位档案!$A$6:$A$35,0)),"")))</f>
        <v/>
      </c>
      <c r="R1368" s="37" t="str">
        <f aca="false">IF($E1368="","",N(IFERROR(INDEX(单位档案!$F$6:$F$35,MATCH($E1368,单位档案!$A$6:$A$35,0)),"")))</f>
        <v/>
      </c>
      <c r="S1368" s="36" t="n">
        <f aca="false">IF(OR($D1368&lt;&gt;"销项开票",IFERROR(INDEX(单位档案!$G$6:$G$35,MATCH($E1368,单位档案!$A$6:$A$35,0)),"")&lt;&gt;"是",N($Q1368)=0),0,IF(IFERROR(INDEX(单位档案!$H$6:$H$35,MATCH($E1368,单位档案!$A$6:$A$35,0)),"")="税差法",ROUND(N($H1368)/(1+$Q1368)*$Q1368-IF(N($R1368)=0,0,$P1368/(1+$R1368)*$R1368),2),ROUND(N($H1368)/(1+$Q1368)*$Q1368,2)))</f>
        <v>0</v>
      </c>
      <c r="T1368" s="36" t="n">
        <f aca="false">ROUND($S1368*N(IFERROR(INDEX(单位档案!$J$6:$J$35,MATCH($E1368,单位档案!$A$6:$A$35,0)),"")),2)</f>
        <v>0</v>
      </c>
      <c r="U1368" s="36" t="n">
        <f aca="false">IF($D1368&lt;&gt;"销项开票",0,ROUND(N($H1368)*N(IFERROR(INDEX(单位档案!$K$6:$K$35,MATCH($E1368,单位档案!$A$6:$A$35,0)),"")),2))</f>
        <v>0</v>
      </c>
      <c r="V1368" s="36" t="n">
        <f aca="false">IF(OR($D1368&lt;&gt;"销项开票",N($Q1368)=0),0,ROUND(N($H1368)/(1+$Q1368)*N(IFERROR(INDEX(单位档案!$L$6:$L$35,MATCH($E1368,单位档案!$A$6:$A$35,0)),"")),2))</f>
        <v>0</v>
      </c>
      <c r="W1368" s="36" t="n">
        <f aca="false">ROUND($S1368+$T1368+$U1368+$V1368,2)</f>
        <v>0</v>
      </c>
      <c r="X1368" s="35" t="str">
        <f aca="false">IF(OR($D1368="挂靠代收",$D1368="我方收款"),COUNTIFS($D$5:$D1368,"挂靠代收")+COUNTIFS($D$5:$D1368,"我方收款"),"")</f>
        <v/>
      </c>
      <c r="Y1368" s="35"/>
      <c r="Z1368" s="21" t="s">
        <v>111</v>
      </c>
    </row>
    <row r="1369" customFormat="false" ht="15.75" hidden="false" customHeight="true" outlineLevel="0" collapsed="false">
      <c r="A1369" s="32" t="str">
        <f aca="false">IF($B1369="","",ROW()-4)</f>
        <v/>
      </c>
      <c r="B1369" s="26"/>
      <c r="C1369" s="24"/>
      <c r="D1369" s="21"/>
      <c r="E1369" s="21"/>
      <c r="F1369" s="21"/>
      <c r="G1369" s="21"/>
      <c r="H1369" s="27"/>
      <c r="I1369" s="23" t="str">
        <f aca="false">IF($D1369&lt;&gt;"销项开票","",IF($N1369="一级",IF(IFERROR(INDEX(项目档案!$E$6:$E$255,MATCH($C1369,项目档案!$A$6:$A$255,0)),"")="",N(IFERROR(INDEX(单位档案!$D$6:$D$35,MATCH($E1369,单位档案!$A$6:$A$35,0)),"")),IFERROR(INDEX(项目档案!$E$6:$E$255,MATCH($C1369,项目档案!$A$6:$A$255,0)),"")),IF($N1369="二级",IF(IFERROR(INDEX(项目档案!$G$6:$G$255,MATCH($C1369,项目档案!$A$6:$A$255,0)),"")="",N(IFERROR(INDEX(单位档案!$D$6:$D$35,MATCH($E1369,单位档案!$A$6:$A$35,0)),"")),IFERROR(INDEX(项目档案!$G$6:$G$255,MATCH($C1369,项目档案!$A$6:$A$255,0)),"")),N(IFERROR(INDEX(单位档案!$D$6:$D$35,MATCH($E1369,单位档案!$A$6:$A$35,0)),"")))))</f>
        <v/>
      </c>
      <c r="J1369" s="22"/>
      <c r="K1369" s="22"/>
      <c r="L1369" s="33" t="str">
        <f aca="false">IF($B1369="","",IF(NOT(ISNUMBER($B1369)),"日期格式不对",IF($C1369="","未选项目编号",IF(LEFT($M1369,1)="⚠","项目编号不存在",IF($D1369="","未选业务类型",IF($E1369="","未选开票/付款方",IF(ISNA(MATCH($E1369,单位档案!$A$6:$A$35,0)),"开票方不在单位档案",IF($F1369="","未选收票/收款方",IF(ISNA(MATCH($F1369,单位档案!$A$6:$A$35,0)),"收款方不在单位档案",IF(NOT(ISNUMBER($H1369)),"金额须为数字",IF(AND($D1369="销项开票",$N1369="—"),"链条待确认","√")))))))))))</f>
        <v/>
      </c>
      <c r="M1369" s="34" t="str">
        <f aca="false">IF($C1369="","",IFERROR(INDEX(项目档案!$B$6:$B$255,MATCH($C1369,项目档案!$A$6:$A$255,0)),"⚠项目编号不存在"))</f>
        <v/>
      </c>
      <c r="N1369" s="35" t="str">
        <f aca="false">IF($E1369="","",IF($E1369=IFERROR(INDEX(项目档案!$D$6:$D$255,MATCH($C1369,项目档案!$A$6:$A$255,0)),""),"一级",IF($E1369=IFERROR(INDEX(项目档案!$F$6:$F$255,MATCH($C1369,项目档案!$A$6:$A$255,0)),""),"二级",IF($E1369=IFERROR(INDEX(项目档案!$H$6:$H$255,MATCH($C1369,项目档案!$A$6:$A$255,0)),""),"我方","—"))))</f>
        <v/>
      </c>
      <c r="O1369" s="36" t="n">
        <f aca="false">IF($D1369&lt;&gt;"销项开票",0,ROUND(N($H1369)*N($I1369),2))</f>
        <v>0</v>
      </c>
      <c r="P1369" s="36" t="n">
        <f aca="false">IF($D1369&lt;&gt;"销项开票",0,ROUND(N($H1369)-$O1369,2))</f>
        <v>0</v>
      </c>
      <c r="Q1369" s="37" t="str">
        <f aca="false">IF($E1369="","",N(IFERROR(INDEX(单位档案!$E$6:$E$35,MATCH($E1369,单位档案!$A$6:$A$35,0)),"")))</f>
        <v/>
      </c>
      <c r="R1369" s="37" t="str">
        <f aca="false">IF($E1369="","",N(IFERROR(INDEX(单位档案!$F$6:$F$35,MATCH($E1369,单位档案!$A$6:$A$35,0)),"")))</f>
        <v/>
      </c>
      <c r="S1369" s="36" t="n">
        <f aca="false">IF(OR($D1369&lt;&gt;"销项开票",IFERROR(INDEX(单位档案!$G$6:$G$35,MATCH($E1369,单位档案!$A$6:$A$35,0)),"")&lt;&gt;"是",N($Q1369)=0),0,IF(IFERROR(INDEX(单位档案!$H$6:$H$35,MATCH($E1369,单位档案!$A$6:$A$35,0)),"")="税差法",ROUND(N($H1369)/(1+$Q1369)*$Q1369-IF(N($R1369)=0,0,$P1369/(1+$R1369)*$R1369),2),ROUND(N($H1369)/(1+$Q1369)*$Q1369,2)))</f>
        <v>0</v>
      </c>
      <c r="T1369" s="36" t="n">
        <f aca="false">ROUND($S1369*N(IFERROR(INDEX(单位档案!$J$6:$J$35,MATCH($E1369,单位档案!$A$6:$A$35,0)),"")),2)</f>
        <v>0</v>
      </c>
      <c r="U1369" s="36" t="n">
        <f aca="false">IF($D1369&lt;&gt;"销项开票",0,ROUND(N($H1369)*N(IFERROR(INDEX(单位档案!$K$6:$K$35,MATCH($E1369,单位档案!$A$6:$A$35,0)),"")),2))</f>
        <v>0</v>
      </c>
      <c r="V1369" s="36" t="n">
        <f aca="false">IF(OR($D1369&lt;&gt;"销项开票",N($Q1369)=0),0,ROUND(N($H1369)/(1+$Q1369)*N(IFERROR(INDEX(单位档案!$L$6:$L$35,MATCH($E1369,单位档案!$A$6:$A$35,0)),"")),2))</f>
        <v>0</v>
      </c>
      <c r="W1369" s="36" t="n">
        <f aca="false">ROUND($S1369+$T1369+$U1369+$V1369,2)</f>
        <v>0</v>
      </c>
      <c r="X1369" s="35" t="str">
        <f aca="false">IF(OR($D1369="挂靠代收",$D1369="我方收款"),COUNTIFS($D$5:$D1369,"挂靠代收")+COUNTIFS($D$5:$D1369,"我方收款"),"")</f>
        <v/>
      </c>
      <c r="Y1369" s="35"/>
      <c r="Z1369" s="21" t="s">
        <v>111</v>
      </c>
    </row>
    <row r="1370" customFormat="false" ht="15.75" hidden="false" customHeight="true" outlineLevel="0" collapsed="false">
      <c r="A1370" s="32" t="str">
        <f aca="false">IF($B1370="","",ROW()-4)</f>
        <v/>
      </c>
      <c r="B1370" s="26"/>
      <c r="C1370" s="24"/>
      <c r="D1370" s="21"/>
      <c r="E1370" s="21"/>
      <c r="F1370" s="21"/>
      <c r="G1370" s="21"/>
      <c r="H1370" s="27"/>
      <c r="I1370" s="23" t="str">
        <f aca="false">IF($D1370&lt;&gt;"销项开票","",IF($N1370="一级",IF(IFERROR(INDEX(项目档案!$E$6:$E$255,MATCH($C1370,项目档案!$A$6:$A$255,0)),"")="",N(IFERROR(INDEX(单位档案!$D$6:$D$35,MATCH($E1370,单位档案!$A$6:$A$35,0)),"")),IFERROR(INDEX(项目档案!$E$6:$E$255,MATCH($C1370,项目档案!$A$6:$A$255,0)),"")),IF($N1370="二级",IF(IFERROR(INDEX(项目档案!$G$6:$G$255,MATCH($C1370,项目档案!$A$6:$A$255,0)),"")="",N(IFERROR(INDEX(单位档案!$D$6:$D$35,MATCH($E1370,单位档案!$A$6:$A$35,0)),"")),IFERROR(INDEX(项目档案!$G$6:$G$255,MATCH($C1370,项目档案!$A$6:$A$255,0)),"")),N(IFERROR(INDEX(单位档案!$D$6:$D$35,MATCH($E1370,单位档案!$A$6:$A$35,0)),"")))))</f>
        <v/>
      </c>
      <c r="J1370" s="22"/>
      <c r="K1370" s="22"/>
      <c r="L1370" s="33" t="str">
        <f aca="false">IF($B1370="","",IF(NOT(ISNUMBER($B1370)),"日期格式不对",IF($C1370="","未选项目编号",IF(LEFT($M1370,1)="⚠","项目编号不存在",IF($D1370="","未选业务类型",IF($E1370="","未选开票/付款方",IF(ISNA(MATCH($E1370,单位档案!$A$6:$A$35,0)),"开票方不在单位档案",IF($F1370="","未选收票/收款方",IF(ISNA(MATCH($F1370,单位档案!$A$6:$A$35,0)),"收款方不在单位档案",IF(NOT(ISNUMBER($H1370)),"金额须为数字",IF(AND($D1370="销项开票",$N1370="—"),"链条待确认","√")))))))))))</f>
        <v/>
      </c>
      <c r="M1370" s="34" t="str">
        <f aca="false">IF($C1370="","",IFERROR(INDEX(项目档案!$B$6:$B$255,MATCH($C1370,项目档案!$A$6:$A$255,0)),"⚠项目编号不存在"))</f>
        <v/>
      </c>
      <c r="N1370" s="35" t="str">
        <f aca="false">IF($E1370="","",IF($E1370=IFERROR(INDEX(项目档案!$D$6:$D$255,MATCH($C1370,项目档案!$A$6:$A$255,0)),""),"一级",IF($E1370=IFERROR(INDEX(项目档案!$F$6:$F$255,MATCH($C1370,项目档案!$A$6:$A$255,0)),""),"二级",IF($E1370=IFERROR(INDEX(项目档案!$H$6:$H$255,MATCH($C1370,项目档案!$A$6:$A$255,0)),""),"我方","—"))))</f>
        <v/>
      </c>
      <c r="O1370" s="36" t="n">
        <f aca="false">IF($D1370&lt;&gt;"销项开票",0,ROUND(N($H1370)*N($I1370),2))</f>
        <v>0</v>
      </c>
      <c r="P1370" s="36" t="n">
        <f aca="false">IF($D1370&lt;&gt;"销项开票",0,ROUND(N($H1370)-$O1370,2))</f>
        <v>0</v>
      </c>
      <c r="Q1370" s="37" t="str">
        <f aca="false">IF($E1370="","",N(IFERROR(INDEX(单位档案!$E$6:$E$35,MATCH($E1370,单位档案!$A$6:$A$35,0)),"")))</f>
        <v/>
      </c>
      <c r="R1370" s="37" t="str">
        <f aca="false">IF($E1370="","",N(IFERROR(INDEX(单位档案!$F$6:$F$35,MATCH($E1370,单位档案!$A$6:$A$35,0)),"")))</f>
        <v/>
      </c>
      <c r="S1370" s="36" t="n">
        <f aca="false">IF(OR($D1370&lt;&gt;"销项开票",IFERROR(INDEX(单位档案!$G$6:$G$35,MATCH($E1370,单位档案!$A$6:$A$35,0)),"")&lt;&gt;"是",N($Q1370)=0),0,IF(IFERROR(INDEX(单位档案!$H$6:$H$35,MATCH($E1370,单位档案!$A$6:$A$35,0)),"")="税差法",ROUND(N($H1370)/(1+$Q1370)*$Q1370-IF(N($R1370)=0,0,$P1370/(1+$R1370)*$R1370),2),ROUND(N($H1370)/(1+$Q1370)*$Q1370,2)))</f>
        <v>0</v>
      </c>
      <c r="T1370" s="36" t="n">
        <f aca="false">ROUND($S1370*N(IFERROR(INDEX(单位档案!$J$6:$J$35,MATCH($E1370,单位档案!$A$6:$A$35,0)),"")),2)</f>
        <v>0</v>
      </c>
      <c r="U1370" s="36" t="n">
        <f aca="false">IF($D1370&lt;&gt;"销项开票",0,ROUND(N($H1370)*N(IFERROR(INDEX(单位档案!$K$6:$K$35,MATCH($E1370,单位档案!$A$6:$A$35,0)),"")),2))</f>
        <v>0</v>
      </c>
      <c r="V1370" s="36" t="n">
        <f aca="false">IF(OR($D1370&lt;&gt;"销项开票",N($Q1370)=0),0,ROUND(N($H1370)/(1+$Q1370)*N(IFERROR(INDEX(单位档案!$L$6:$L$35,MATCH($E1370,单位档案!$A$6:$A$35,0)),"")),2))</f>
        <v>0</v>
      </c>
      <c r="W1370" s="36" t="n">
        <f aca="false">ROUND($S1370+$T1370+$U1370+$V1370,2)</f>
        <v>0</v>
      </c>
      <c r="X1370" s="35" t="str">
        <f aca="false">IF(OR($D1370="挂靠代收",$D1370="我方收款"),COUNTIFS($D$5:$D1370,"挂靠代收")+COUNTIFS($D$5:$D1370,"我方收款"),"")</f>
        <v/>
      </c>
      <c r="Y1370" s="35"/>
      <c r="Z1370" s="21" t="s">
        <v>111</v>
      </c>
    </row>
    <row r="1371" customFormat="false" ht="15.75" hidden="false" customHeight="true" outlineLevel="0" collapsed="false">
      <c r="A1371" s="32" t="str">
        <f aca="false">IF($B1371="","",ROW()-4)</f>
        <v/>
      </c>
      <c r="B1371" s="26"/>
      <c r="C1371" s="24"/>
      <c r="D1371" s="21"/>
      <c r="E1371" s="21"/>
      <c r="F1371" s="21"/>
      <c r="G1371" s="21"/>
      <c r="H1371" s="27"/>
      <c r="I1371" s="23" t="str">
        <f aca="false">IF($D1371&lt;&gt;"销项开票","",IF($N1371="一级",IF(IFERROR(INDEX(项目档案!$E$6:$E$255,MATCH($C1371,项目档案!$A$6:$A$255,0)),"")="",N(IFERROR(INDEX(单位档案!$D$6:$D$35,MATCH($E1371,单位档案!$A$6:$A$35,0)),"")),IFERROR(INDEX(项目档案!$E$6:$E$255,MATCH($C1371,项目档案!$A$6:$A$255,0)),"")),IF($N1371="二级",IF(IFERROR(INDEX(项目档案!$G$6:$G$255,MATCH($C1371,项目档案!$A$6:$A$255,0)),"")="",N(IFERROR(INDEX(单位档案!$D$6:$D$35,MATCH($E1371,单位档案!$A$6:$A$35,0)),"")),IFERROR(INDEX(项目档案!$G$6:$G$255,MATCH($C1371,项目档案!$A$6:$A$255,0)),"")),N(IFERROR(INDEX(单位档案!$D$6:$D$35,MATCH($E1371,单位档案!$A$6:$A$35,0)),"")))))</f>
        <v/>
      </c>
      <c r="J1371" s="22"/>
      <c r="K1371" s="22"/>
      <c r="L1371" s="33" t="str">
        <f aca="false">IF($B1371="","",IF(NOT(ISNUMBER($B1371)),"日期格式不对",IF($C1371="","未选项目编号",IF(LEFT($M1371,1)="⚠","项目编号不存在",IF($D1371="","未选业务类型",IF($E1371="","未选开票/付款方",IF(ISNA(MATCH($E1371,单位档案!$A$6:$A$35,0)),"开票方不在单位档案",IF($F1371="","未选收票/收款方",IF(ISNA(MATCH($F1371,单位档案!$A$6:$A$35,0)),"收款方不在单位档案",IF(NOT(ISNUMBER($H1371)),"金额须为数字",IF(AND($D1371="销项开票",$N1371="—"),"链条待确认","√")))))))))))</f>
        <v/>
      </c>
      <c r="M1371" s="34" t="str">
        <f aca="false">IF($C1371="","",IFERROR(INDEX(项目档案!$B$6:$B$255,MATCH($C1371,项目档案!$A$6:$A$255,0)),"⚠项目编号不存在"))</f>
        <v/>
      </c>
      <c r="N1371" s="35" t="str">
        <f aca="false">IF($E1371="","",IF($E1371=IFERROR(INDEX(项目档案!$D$6:$D$255,MATCH($C1371,项目档案!$A$6:$A$255,0)),""),"一级",IF($E1371=IFERROR(INDEX(项目档案!$F$6:$F$255,MATCH($C1371,项目档案!$A$6:$A$255,0)),""),"二级",IF($E1371=IFERROR(INDEX(项目档案!$H$6:$H$255,MATCH($C1371,项目档案!$A$6:$A$255,0)),""),"我方","—"))))</f>
        <v/>
      </c>
      <c r="O1371" s="36" t="n">
        <f aca="false">IF($D1371&lt;&gt;"销项开票",0,ROUND(N($H1371)*N($I1371),2))</f>
        <v>0</v>
      </c>
      <c r="P1371" s="36" t="n">
        <f aca="false">IF($D1371&lt;&gt;"销项开票",0,ROUND(N($H1371)-$O1371,2))</f>
        <v>0</v>
      </c>
      <c r="Q1371" s="37" t="str">
        <f aca="false">IF($E1371="","",N(IFERROR(INDEX(单位档案!$E$6:$E$35,MATCH($E1371,单位档案!$A$6:$A$35,0)),"")))</f>
        <v/>
      </c>
      <c r="R1371" s="37" t="str">
        <f aca="false">IF($E1371="","",N(IFERROR(INDEX(单位档案!$F$6:$F$35,MATCH($E1371,单位档案!$A$6:$A$35,0)),"")))</f>
        <v/>
      </c>
      <c r="S1371" s="36" t="n">
        <f aca="false">IF(OR($D1371&lt;&gt;"销项开票",IFERROR(INDEX(单位档案!$G$6:$G$35,MATCH($E1371,单位档案!$A$6:$A$35,0)),"")&lt;&gt;"是",N($Q1371)=0),0,IF(IFERROR(INDEX(单位档案!$H$6:$H$35,MATCH($E1371,单位档案!$A$6:$A$35,0)),"")="税差法",ROUND(N($H1371)/(1+$Q1371)*$Q1371-IF(N($R1371)=0,0,$P1371/(1+$R1371)*$R1371),2),ROUND(N($H1371)/(1+$Q1371)*$Q1371,2)))</f>
        <v>0</v>
      </c>
      <c r="T1371" s="36" t="n">
        <f aca="false">ROUND($S1371*N(IFERROR(INDEX(单位档案!$J$6:$J$35,MATCH($E1371,单位档案!$A$6:$A$35,0)),"")),2)</f>
        <v>0</v>
      </c>
      <c r="U1371" s="36" t="n">
        <f aca="false">IF($D1371&lt;&gt;"销项开票",0,ROUND(N($H1371)*N(IFERROR(INDEX(单位档案!$K$6:$K$35,MATCH($E1371,单位档案!$A$6:$A$35,0)),"")),2))</f>
        <v>0</v>
      </c>
      <c r="V1371" s="36" t="n">
        <f aca="false">IF(OR($D1371&lt;&gt;"销项开票",N($Q1371)=0),0,ROUND(N($H1371)/(1+$Q1371)*N(IFERROR(INDEX(单位档案!$L$6:$L$35,MATCH($E1371,单位档案!$A$6:$A$35,0)),"")),2))</f>
        <v>0</v>
      </c>
      <c r="W1371" s="36" t="n">
        <f aca="false">ROUND($S1371+$T1371+$U1371+$V1371,2)</f>
        <v>0</v>
      </c>
      <c r="X1371" s="35" t="str">
        <f aca="false">IF(OR($D1371="挂靠代收",$D1371="我方收款"),COUNTIFS($D$5:$D1371,"挂靠代收")+COUNTIFS($D$5:$D1371,"我方收款"),"")</f>
        <v/>
      </c>
      <c r="Y1371" s="35"/>
      <c r="Z1371" s="21" t="s">
        <v>111</v>
      </c>
    </row>
    <row r="1372" customFormat="false" ht="15.75" hidden="false" customHeight="true" outlineLevel="0" collapsed="false">
      <c r="A1372" s="32" t="str">
        <f aca="false">IF($B1372="","",ROW()-4)</f>
        <v/>
      </c>
      <c r="B1372" s="26"/>
      <c r="C1372" s="24"/>
      <c r="D1372" s="21"/>
      <c r="E1372" s="21"/>
      <c r="F1372" s="21"/>
      <c r="G1372" s="21"/>
      <c r="H1372" s="27"/>
      <c r="I1372" s="23" t="str">
        <f aca="false">IF($D1372&lt;&gt;"销项开票","",IF($N1372="一级",IF(IFERROR(INDEX(项目档案!$E$6:$E$255,MATCH($C1372,项目档案!$A$6:$A$255,0)),"")="",N(IFERROR(INDEX(单位档案!$D$6:$D$35,MATCH($E1372,单位档案!$A$6:$A$35,0)),"")),IFERROR(INDEX(项目档案!$E$6:$E$255,MATCH($C1372,项目档案!$A$6:$A$255,0)),"")),IF($N1372="二级",IF(IFERROR(INDEX(项目档案!$G$6:$G$255,MATCH($C1372,项目档案!$A$6:$A$255,0)),"")="",N(IFERROR(INDEX(单位档案!$D$6:$D$35,MATCH($E1372,单位档案!$A$6:$A$35,0)),"")),IFERROR(INDEX(项目档案!$G$6:$G$255,MATCH($C1372,项目档案!$A$6:$A$255,0)),"")),N(IFERROR(INDEX(单位档案!$D$6:$D$35,MATCH($E1372,单位档案!$A$6:$A$35,0)),"")))))</f>
        <v/>
      </c>
      <c r="J1372" s="22"/>
      <c r="K1372" s="22"/>
      <c r="L1372" s="33" t="str">
        <f aca="false">IF($B1372="","",IF(NOT(ISNUMBER($B1372)),"日期格式不对",IF($C1372="","未选项目编号",IF(LEFT($M1372,1)="⚠","项目编号不存在",IF($D1372="","未选业务类型",IF($E1372="","未选开票/付款方",IF(ISNA(MATCH($E1372,单位档案!$A$6:$A$35,0)),"开票方不在单位档案",IF($F1372="","未选收票/收款方",IF(ISNA(MATCH($F1372,单位档案!$A$6:$A$35,0)),"收款方不在单位档案",IF(NOT(ISNUMBER($H1372)),"金额须为数字",IF(AND($D1372="销项开票",$N1372="—"),"链条待确认","√")))))))))))</f>
        <v/>
      </c>
      <c r="M1372" s="34" t="str">
        <f aca="false">IF($C1372="","",IFERROR(INDEX(项目档案!$B$6:$B$255,MATCH($C1372,项目档案!$A$6:$A$255,0)),"⚠项目编号不存在"))</f>
        <v/>
      </c>
      <c r="N1372" s="35" t="str">
        <f aca="false">IF($E1372="","",IF($E1372=IFERROR(INDEX(项目档案!$D$6:$D$255,MATCH($C1372,项目档案!$A$6:$A$255,0)),""),"一级",IF($E1372=IFERROR(INDEX(项目档案!$F$6:$F$255,MATCH($C1372,项目档案!$A$6:$A$255,0)),""),"二级",IF($E1372=IFERROR(INDEX(项目档案!$H$6:$H$255,MATCH($C1372,项目档案!$A$6:$A$255,0)),""),"我方","—"))))</f>
        <v/>
      </c>
      <c r="O1372" s="36" t="n">
        <f aca="false">IF($D1372&lt;&gt;"销项开票",0,ROUND(N($H1372)*N($I1372),2))</f>
        <v>0</v>
      </c>
      <c r="P1372" s="36" t="n">
        <f aca="false">IF($D1372&lt;&gt;"销项开票",0,ROUND(N($H1372)-$O1372,2))</f>
        <v>0</v>
      </c>
      <c r="Q1372" s="37" t="str">
        <f aca="false">IF($E1372="","",N(IFERROR(INDEX(单位档案!$E$6:$E$35,MATCH($E1372,单位档案!$A$6:$A$35,0)),"")))</f>
        <v/>
      </c>
      <c r="R1372" s="37" t="str">
        <f aca="false">IF($E1372="","",N(IFERROR(INDEX(单位档案!$F$6:$F$35,MATCH($E1372,单位档案!$A$6:$A$35,0)),"")))</f>
        <v/>
      </c>
      <c r="S1372" s="36" t="n">
        <f aca="false">IF(OR($D1372&lt;&gt;"销项开票",IFERROR(INDEX(单位档案!$G$6:$G$35,MATCH($E1372,单位档案!$A$6:$A$35,0)),"")&lt;&gt;"是",N($Q1372)=0),0,IF(IFERROR(INDEX(单位档案!$H$6:$H$35,MATCH($E1372,单位档案!$A$6:$A$35,0)),"")="税差法",ROUND(N($H1372)/(1+$Q1372)*$Q1372-IF(N($R1372)=0,0,$P1372/(1+$R1372)*$R1372),2),ROUND(N($H1372)/(1+$Q1372)*$Q1372,2)))</f>
        <v>0</v>
      </c>
      <c r="T1372" s="36" t="n">
        <f aca="false">ROUND($S1372*N(IFERROR(INDEX(单位档案!$J$6:$J$35,MATCH($E1372,单位档案!$A$6:$A$35,0)),"")),2)</f>
        <v>0</v>
      </c>
      <c r="U1372" s="36" t="n">
        <f aca="false">IF($D1372&lt;&gt;"销项开票",0,ROUND(N($H1372)*N(IFERROR(INDEX(单位档案!$K$6:$K$35,MATCH($E1372,单位档案!$A$6:$A$35,0)),"")),2))</f>
        <v>0</v>
      </c>
      <c r="V1372" s="36" t="n">
        <f aca="false">IF(OR($D1372&lt;&gt;"销项开票",N($Q1372)=0),0,ROUND(N($H1372)/(1+$Q1372)*N(IFERROR(INDEX(单位档案!$L$6:$L$35,MATCH($E1372,单位档案!$A$6:$A$35,0)),"")),2))</f>
        <v>0</v>
      </c>
      <c r="W1372" s="36" t="n">
        <f aca="false">ROUND($S1372+$T1372+$U1372+$V1372,2)</f>
        <v>0</v>
      </c>
      <c r="X1372" s="35" t="str">
        <f aca="false">IF(OR($D1372="挂靠代收",$D1372="我方收款"),COUNTIFS($D$5:$D1372,"挂靠代收")+COUNTIFS($D$5:$D1372,"我方收款"),"")</f>
        <v/>
      </c>
      <c r="Y1372" s="35"/>
      <c r="Z1372" s="21" t="s">
        <v>111</v>
      </c>
    </row>
    <row r="1373" customFormat="false" ht="15.75" hidden="false" customHeight="true" outlineLevel="0" collapsed="false">
      <c r="A1373" s="32" t="str">
        <f aca="false">IF($B1373="","",ROW()-4)</f>
        <v/>
      </c>
      <c r="B1373" s="26"/>
      <c r="C1373" s="24"/>
      <c r="D1373" s="21"/>
      <c r="E1373" s="21"/>
      <c r="F1373" s="21"/>
      <c r="G1373" s="21"/>
      <c r="H1373" s="27"/>
      <c r="I1373" s="23" t="str">
        <f aca="false">IF($D1373&lt;&gt;"销项开票","",IF($N1373="一级",IF(IFERROR(INDEX(项目档案!$E$6:$E$255,MATCH($C1373,项目档案!$A$6:$A$255,0)),"")="",N(IFERROR(INDEX(单位档案!$D$6:$D$35,MATCH($E1373,单位档案!$A$6:$A$35,0)),"")),IFERROR(INDEX(项目档案!$E$6:$E$255,MATCH($C1373,项目档案!$A$6:$A$255,0)),"")),IF($N1373="二级",IF(IFERROR(INDEX(项目档案!$G$6:$G$255,MATCH($C1373,项目档案!$A$6:$A$255,0)),"")="",N(IFERROR(INDEX(单位档案!$D$6:$D$35,MATCH($E1373,单位档案!$A$6:$A$35,0)),"")),IFERROR(INDEX(项目档案!$G$6:$G$255,MATCH($C1373,项目档案!$A$6:$A$255,0)),"")),N(IFERROR(INDEX(单位档案!$D$6:$D$35,MATCH($E1373,单位档案!$A$6:$A$35,0)),"")))))</f>
        <v/>
      </c>
      <c r="J1373" s="22"/>
      <c r="K1373" s="22"/>
      <c r="L1373" s="33" t="str">
        <f aca="false">IF($B1373="","",IF(NOT(ISNUMBER($B1373)),"日期格式不对",IF($C1373="","未选项目编号",IF(LEFT($M1373,1)="⚠","项目编号不存在",IF($D1373="","未选业务类型",IF($E1373="","未选开票/付款方",IF(ISNA(MATCH($E1373,单位档案!$A$6:$A$35,0)),"开票方不在单位档案",IF($F1373="","未选收票/收款方",IF(ISNA(MATCH($F1373,单位档案!$A$6:$A$35,0)),"收款方不在单位档案",IF(NOT(ISNUMBER($H1373)),"金额须为数字",IF(AND($D1373="销项开票",$N1373="—"),"链条待确认","√")))))))))))</f>
        <v/>
      </c>
      <c r="M1373" s="34" t="str">
        <f aca="false">IF($C1373="","",IFERROR(INDEX(项目档案!$B$6:$B$255,MATCH($C1373,项目档案!$A$6:$A$255,0)),"⚠项目编号不存在"))</f>
        <v/>
      </c>
      <c r="N1373" s="35" t="str">
        <f aca="false">IF($E1373="","",IF($E1373=IFERROR(INDEX(项目档案!$D$6:$D$255,MATCH($C1373,项目档案!$A$6:$A$255,0)),""),"一级",IF($E1373=IFERROR(INDEX(项目档案!$F$6:$F$255,MATCH($C1373,项目档案!$A$6:$A$255,0)),""),"二级",IF($E1373=IFERROR(INDEX(项目档案!$H$6:$H$255,MATCH($C1373,项目档案!$A$6:$A$255,0)),""),"我方","—"))))</f>
        <v/>
      </c>
      <c r="O1373" s="36" t="n">
        <f aca="false">IF($D1373&lt;&gt;"销项开票",0,ROUND(N($H1373)*N($I1373),2))</f>
        <v>0</v>
      </c>
      <c r="P1373" s="36" t="n">
        <f aca="false">IF($D1373&lt;&gt;"销项开票",0,ROUND(N($H1373)-$O1373,2))</f>
        <v>0</v>
      </c>
      <c r="Q1373" s="37" t="str">
        <f aca="false">IF($E1373="","",N(IFERROR(INDEX(单位档案!$E$6:$E$35,MATCH($E1373,单位档案!$A$6:$A$35,0)),"")))</f>
        <v/>
      </c>
      <c r="R1373" s="37" t="str">
        <f aca="false">IF($E1373="","",N(IFERROR(INDEX(单位档案!$F$6:$F$35,MATCH($E1373,单位档案!$A$6:$A$35,0)),"")))</f>
        <v/>
      </c>
      <c r="S1373" s="36" t="n">
        <f aca="false">IF(OR($D1373&lt;&gt;"销项开票",IFERROR(INDEX(单位档案!$G$6:$G$35,MATCH($E1373,单位档案!$A$6:$A$35,0)),"")&lt;&gt;"是",N($Q1373)=0),0,IF(IFERROR(INDEX(单位档案!$H$6:$H$35,MATCH($E1373,单位档案!$A$6:$A$35,0)),"")="税差法",ROUND(N($H1373)/(1+$Q1373)*$Q1373-IF(N($R1373)=0,0,$P1373/(1+$R1373)*$R1373),2),ROUND(N($H1373)/(1+$Q1373)*$Q1373,2)))</f>
        <v>0</v>
      </c>
      <c r="T1373" s="36" t="n">
        <f aca="false">ROUND($S1373*N(IFERROR(INDEX(单位档案!$J$6:$J$35,MATCH($E1373,单位档案!$A$6:$A$35,0)),"")),2)</f>
        <v>0</v>
      </c>
      <c r="U1373" s="36" t="n">
        <f aca="false">IF($D1373&lt;&gt;"销项开票",0,ROUND(N($H1373)*N(IFERROR(INDEX(单位档案!$K$6:$K$35,MATCH($E1373,单位档案!$A$6:$A$35,0)),"")),2))</f>
        <v>0</v>
      </c>
      <c r="V1373" s="36" t="n">
        <f aca="false">IF(OR($D1373&lt;&gt;"销项开票",N($Q1373)=0),0,ROUND(N($H1373)/(1+$Q1373)*N(IFERROR(INDEX(单位档案!$L$6:$L$35,MATCH($E1373,单位档案!$A$6:$A$35,0)),"")),2))</f>
        <v>0</v>
      </c>
      <c r="W1373" s="36" t="n">
        <f aca="false">ROUND($S1373+$T1373+$U1373+$V1373,2)</f>
        <v>0</v>
      </c>
      <c r="X1373" s="35" t="str">
        <f aca="false">IF(OR($D1373="挂靠代收",$D1373="我方收款"),COUNTIFS($D$5:$D1373,"挂靠代收")+COUNTIFS($D$5:$D1373,"我方收款"),"")</f>
        <v/>
      </c>
      <c r="Y1373" s="35"/>
      <c r="Z1373" s="21" t="s">
        <v>111</v>
      </c>
    </row>
    <row r="1374" customFormat="false" ht="15.75" hidden="false" customHeight="true" outlineLevel="0" collapsed="false">
      <c r="A1374" s="32" t="str">
        <f aca="false">IF($B1374="","",ROW()-4)</f>
        <v/>
      </c>
      <c r="B1374" s="26"/>
      <c r="C1374" s="24"/>
      <c r="D1374" s="21"/>
      <c r="E1374" s="21"/>
      <c r="F1374" s="21"/>
      <c r="G1374" s="21"/>
      <c r="H1374" s="27"/>
      <c r="I1374" s="23" t="str">
        <f aca="false">IF($D1374&lt;&gt;"销项开票","",IF($N1374="一级",IF(IFERROR(INDEX(项目档案!$E$6:$E$255,MATCH($C1374,项目档案!$A$6:$A$255,0)),"")="",N(IFERROR(INDEX(单位档案!$D$6:$D$35,MATCH($E1374,单位档案!$A$6:$A$35,0)),"")),IFERROR(INDEX(项目档案!$E$6:$E$255,MATCH($C1374,项目档案!$A$6:$A$255,0)),"")),IF($N1374="二级",IF(IFERROR(INDEX(项目档案!$G$6:$G$255,MATCH($C1374,项目档案!$A$6:$A$255,0)),"")="",N(IFERROR(INDEX(单位档案!$D$6:$D$35,MATCH($E1374,单位档案!$A$6:$A$35,0)),"")),IFERROR(INDEX(项目档案!$G$6:$G$255,MATCH($C1374,项目档案!$A$6:$A$255,0)),"")),N(IFERROR(INDEX(单位档案!$D$6:$D$35,MATCH($E1374,单位档案!$A$6:$A$35,0)),"")))))</f>
        <v/>
      </c>
      <c r="J1374" s="22"/>
      <c r="K1374" s="22"/>
      <c r="L1374" s="33" t="str">
        <f aca="false">IF($B1374="","",IF(NOT(ISNUMBER($B1374)),"日期格式不对",IF($C1374="","未选项目编号",IF(LEFT($M1374,1)="⚠","项目编号不存在",IF($D1374="","未选业务类型",IF($E1374="","未选开票/付款方",IF(ISNA(MATCH($E1374,单位档案!$A$6:$A$35,0)),"开票方不在单位档案",IF($F1374="","未选收票/收款方",IF(ISNA(MATCH($F1374,单位档案!$A$6:$A$35,0)),"收款方不在单位档案",IF(NOT(ISNUMBER($H1374)),"金额须为数字",IF(AND($D1374="销项开票",$N1374="—"),"链条待确认","√")))))))))))</f>
        <v/>
      </c>
      <c r="M1374" s="34" t="str">
        <f aca="false">IF($C1374="","",IFERROR(INDEX(项目档案!$B$6:$B$255,MATCH($C1374,项目档案!$A$6:$A$255,0)),"⚠项目编号不存在"))</f>
        <v/>
      </c>
      <c r="N1374" s="35" t="str">
        <f aca="false">IF($E1374="","",IF($E1374=IFERROR(INDEX(项目档案!$D$6:$D$255,MATCH($C1374,项目档案!$A$6:$A$255,0)),""),"一级",IF($E1374=IFERROR(INDEX(项目档案!$F$6:$F$255,MATCH($C1374,项目档案!$A$6:$A$255,0)),""),"二级",IF($E1374=IFERROR(INDEX(项目档案!$H$6:$H$255,MATCH($C1374,项目档案!$A$6:$A$255,0)),""),"我方","—"))))</f>
        <v/>
      </c>
      <c r="O1374" s="36" t="n">
        <f aca="false">IF($D1374&lt;&gt;"销项开票",0,ROUND(N($H1374)*N($I1374),2))</f>
        <v>0</v>
      </c>
      <c r="P1374" s="36" t="n">
        <f aca="false">IF($D1374&lt;&gt;"销项开票",0,ROUND(N($H1374)-$O1374,2))</f>
        <v>0</v>
      </c>
      <c r="Q1374" s="37" t="str">
        <f aca="false">IF($E1374="","",N(IFERROR(INDEX(单位档案!$E$6:$E$35,MATCH($E1374,单位档案!$A$6:$A$35,0)),"")))</f>
        <v/>
      </c>
      <c r="R1374" s="37" t="str">
        <f aca="false">IF($E1374="","",N(IFERROR(INDEX(单位档案!$F$6:$F$35,MATCH($E1374,单位档案!$A$6:$A$35,0)),"")))</f>
        <v/>
      </c>
      <c r="S1374" s="36" t="n">
        <f aca="false">IF(OR($D1374&lt;&gt;"销项开票",IFERROR(INDEX(单位档案!$G$6:$G$35,MATCH($E1374,单位档案!$A$6:$A$35,0)),"")&lt;&gt;"是",N($Q1374)=0),0,IF(IFERROR(INDEX(单位档案!$H$6:$H$35,MATCH($E1374,单位档案!$A$6:$A$35,0)),"")="税差法",ROUND(N($H1374)/(1+$Q1374)*$Q1374-IF(N($R1374)=0,0,$P1374/(1+$R1374)*$R1374),2),ROUND(N($H1374)/(1+$Q1374)*$Q1374,2)))</f>
        <v>0</v>
      </c>
      <c r="T1374" s="36" t="n">
        <f aca="false">ROUND($S1374*N(IFERROR(INDEX(单位档案!$J$6:$J$35,MATCH($E1374,单位档案!$A$6:$A$35,0)),"")),2)</f>
        <v>0</v>
      </c>
      <c r="U1374" s="36" t="n">
        <f aca="false">IF($D1374&lt;&gt;"销项开票",0,ROUND(N($H1374)*N(IFERROR(INDEX(单位档案!$K$6:$K$35,MATCH($E1374,单位档案!$A$6:$A$35,0)),"")),2))</f>
        <v>0</v>
      </c>
      <c r="V1374" s="36" t="n">
        <f aca="false">IF(OR($D1374&lt;&gt;"销项开票",N($Q1374)=0),0,ROUND(N($H1374)/(1+$Q1374)*N(IFERROR(INDEX(单位档案!$L$6:$L$35,MATCH($E1374,单位档案!$A$6:$A$35,0)),"")),2))</f>
        <v>0</v>
      </c>
      <c r="W1374" s="36" t="n">
        <f aca="false">ROUND($S1374+$T1374+$U1374+$V1374,2)</f>
        <v>0</v>
      </c>
      <c r="X1374" s="35" t="str">
        <f aca="false">IF(OR($D1374="挂靠代收",$D1374="我方收款"),COUNTIFS($D$5:$D1374,"挂靠代收")+COUNTIFS($D$5:$D1374,"我方收款"),"")</f>
        <v/>
      </c>
      <c r="Y1374" s="35"/>
      <c r="Z1374" s="21" t="s">
        <v>111</v>
      </c>
    </row>
    <row r="1375" customFormat="false" ht="15.75" hidden="false" customHeight="true" outlineLevel="0" collapsed="false">
      <c r="A1375" s="32" t="str">
        <f aca="false">IF($B1375="","",ROW()-4)</f>
        <v/>
      </c>
      <c r="B1375" s="26"/>
      <c r="C1375" s="24"/>
      <c r="D1375" s="21"/>
      <c r="E1375" s="21"/>
      <c r="F1375" s="21"/>
      <c r="G1375" s="21"/>
      <c r="H1375" s="27"/>
      <c r="I1375" s="23" t="str">
        <f aca="false">IF($D1375&lt;&gt;"销项开票","",IF($N1375="一级",IF(IFERROR(INDEX(项目档案!$E$6:$E$255,MATCH($C1375,项目档案!$A$6:$A$255,0)),"")="",N(IFERROR(INDEX(单位档案!$D$6:$D$35,MATCH($E1375,单位档案!$A$6:$A$35,0)),"")),IFERROR(INDEX(项目档案!$E$6:$E$255,MATCH($C1375,项目档案!$A$6:$A$255,0)),"")),IF($N1375="二级",IF(IFERROR(INDEX(项目档案!$G$6:$G$255,MATCH($C1375,项目档案!$A$6:$A$255,0)),"")="",N(IFERROR(INDEX(单位档案!$D$6:$D$35,MATCH($E1375,单位档案!$A$6:$A$35,0)),"")),IFERROR(INDEX(项目档案!$G$6:$G$255,MATCH($C1375,项目档案!$A$6:$A$255,0)),"")),N(IFERROR(INDEX(单位档案!$D$6:$D$35,MATCH($E1375,单位档案!$A$6:$A$35,0)),"")))))</f>
        <v/>
      </c>
      <c r="J1375" s="22"/>
      <c r="K1375" s="22"/>
      <c r="L1375" s="33" t="str">
        <f aca="false">IF($B1375="","",IF(NOT(ISNUMBER($B1375)),"日期格式不对",IF($C1375="","未选项目编号",IF(LEFT($M1375,1)="⚠","项目编号不存在",IF($D1375="","未选业务类型",IF($E1375="","未选开票/付款方",IF(ISNA(MATCH($E1375,单位档案!$A$6:$A$35,0)),"开票方不在单位档案",IF($F1375="","未选收票/收款方",IF(ISNA(MATCH($F1375,单位档案!$A$6:$A$35,0)),"收款方不在单位档案",IF(NOT(ISNUMBER($H1375)),"金额须为数字",IF(AND($D1375="销项开票",$N1375="—"),"链条待确认","√")))))))))))</f>
        <v/>
      </c>
      <c r="M1375" s="34" t="str">
        <f aca="false">IF($C1375="","",IFERROR(INDEX(项目档案!$B$6:$B$255,MATCH($C1375,项目档案!$A$6:$A$255,0)),"⚠项目编号不存在"))</f>
        <v/>
      </c>
      <c r="N1375" s="35" t="str">
        <f aca="false">IF($E1375="","",IF($E1375=IFERROR(INDEX(项目档案!$D$6:$D$255,MATCH($C1375,项目档案!$A$6:$A$255,0)),""),"一级",IF($E1375=IFERROR(INDEX(项目档案!$F$6:$F$255,MATCH($C1375,项目档案!$A$6:$A$255,0)),""),"二级",IF($E1375=IFERROR(INDEX(项目档案!$H$6:$H$255,MATCH($C1375,项目档案!$A$6:$A$255,0)),""),"我方","—"))))</f>
        <v/>
      </c>
      <c r="O1375" s="36" t="n">
        <f aca="false">IF($D1375&lt;&gt;"销项开票",0,ROUND(N($H1375)*N($I1375),2))</f>
        <v>0</v>
      </c>
      <c r="P1375" s="36" t="n">
        <f aca="false">IF($D1375&lt;&gt;"销项开票",0,ROUND(N($H1375)-$O1375,2))</f>
        <v>0</v>
      </c>
      <c r="Q1375" s="37" t="str">
        <f aca="false">IF($E1375="","",N(IFERROR(INDEX(单位档案!$E$6:$E$35,MATCH($E1375,单位档案!$A$6:$A$35,0)),"")))</f>
        <v/>
      </c>
      <c r="R1375" s="37" t="str">
        <f aca="false">IF($E1375="","",N(IFERROR(INDEX(单位档案!$F$6:$F$35,MATCH($E1375,单位档案!$A$6:$A$35,0)),"")))</f>
        <v/>
      </c>
      <c r="S1375" s="36" t="n">
        <f aca="false">IF(OR($D1375&lt;&gt;"销项开票",IFERROR(INDEX(单位档案!$G$6:$G$35,MATCH($E1375,单位档案!$A$6:$A$35,0)),"")&lt;&gt;"是",N($Q1375)=0),0,IF(IFERROR(INDEX(单位档案!$H$6:$H$35,MATCH($E1375,单位档案!$A$6:$A$35,0)),"")="税差法",ROUND(N($H1375)/(1+$Q1375)*$Q1375-IF(N($R1375)=0,0,$P1375/(1+$R1375)*$R1375),2),ROUND(N($H1375)/(1+$Q1375)*$Q1375,2)))</f>
        <v>0</v>
      </c>
      <c r="T1375" s="36" t="n">
        <f aca="false">ROUND($S1375*N(IFERROR(INDEX(单位档案!$J$6:$J$35,MATCH($E1375,单位档案!$A$6:$A$35,0)),"")),2)</f>
        <v>0</v>
      </c>
      <c r="U1375" s="36" t="n">
        <f aca="false">IF($D1375&lt;&gt;"销项开票",0,ROUND(N($H1375)*N(IFERROR(INDEX(单位档案!$K$6:$K$35,MATCH($E1375,单位档案!$A$6:$A$35,0)),"")),2))</f>
        <v>0</v>
      </c>
      <c r="V1375" s="36" t="n">
        <f aca="false">IF(OR($D1375&lt;&gt;"销项开票",N($Q1375)=0),0,ROUND(N($H1375)/(1+$Q1375)*N(IFERROR(INDEX(单位档案!$L$6:$L$35,MATCH($E1375,单位档案!$A$6:$A$35,0)),"")),2))</f>
        <v>0</v>
      </c>
      <c r="W1375" s="36" t="n">
        <f aca="false">ROUND($S1375+$T1375+$U1375+$V1375,2)</f>
        <v>0</v>
      </c>
      <c r="X1375" s="35" t="str">
        <f aca="false">IF(OR($D1375="挂靠代收",$D1375="我方收款"),COUNTIFS($D$5:$D1375,"挂靠代收")+COUNTIFS($D$5:$D1375,"我方收款"),"")</f>
        <v/>
      </c>
      <c r="Y1375" s="35"/>
      <c r="Z1375" s="21" t="s">
        <v>111</v>
      </c>
    </row>
    <row r="1376" customFormat="false" ht="15.75" hidden="false" customHeight="true" outlineLevel="0" collapsed="false">
      <c r="A1376" s="32" t="str">
        <f aca="false">IF($B1376="","",ROW()-4)</f>
        <v/>
      </c>
      <c r="B1376" s="26"/>
      <c r="C1376" s="24"/>
      <c r="D1376" s="21"/>
      <c r="E1376" s="21"/>
      <c r="F1376" s="21"/>
      <c r="G1376" s="21"/>
      <c r="H1376" s="27"/>
      <c r="I1376" s="23" t="str">
        <f aca="false">IF($D1376&lt;&gt;"销项开票","",IF($N1376="一级",IF(IFERROR(INDEX(项目档案!$E$6:$E$255,MATCH($C1376,项目档案!$A$6:$A$255,0)),"")="",N(IFERROR(INDEX(单位档案!$D$6:$D$35,MATCH($E1376,单位档案!$A$6:$A$35,0)),"")),IFERROR(INDEX(项目档案!$E$6:$E$255,MATCH($C1376,项目档案!$A$6:$A$255,0)),"")),IF($N1376="二级",IF(IFERROR(INDEX(项目档案!$G$6:$G$255,MATCH($C1376,项目档案!$A$6:$A$255,0)),"")="",N(IFERROR(INDEX(单位档案!$D$6:$D$35,MATCH($E1376,单位档案!$A$6:$A$35,0)),"")),IFERROR(INDEX(项目档案!$G$6:$G$255,MATCH($C1376,项目档案!$A$6:$A$255,0)),"")),N(IFERROR(INDEX(单位档案!$D$6:$D$35,MATCH($E1376,单位档案!$A$6:$A$35,0)),"")))))</f>
        <v/>
      </c>
      <c r="J1376" s="22"/>
      <c r="K1376" s="22"/>
      <c r="L1376" s="33" t="str">
        <f aca="false">IF($B1376="","",IF(NOT(ISNUMBER($B1376)),"日期格式不对",IF($C1376="","未选项目编号",IF(LEFT($M1376,1)="⚠","项目编号不存在",IF($D1376="","未选业务类型",IF($E1376="","未选开票/付款方",IF(ISNA(MATCH($E1376,单位档案!$A$6:$A$35,0)),"开票方不在单位档案",IF($F1376="","未选收票/收款方",IF(ISNA(MATCH($F1376,单位档案!$A$6:$A$35,0)),"收款方不在单位档案",IF(NOT(ISNUMBER($H1376)),"金额须为数字",IF(AND($D1376="销项开票",$N1376="—"),"链条待确认","√")))))))))))</f>
        <v/>
      </c>
      <c r="M1376" s="34" t="str">
        <f aca="false">IF($C1376="","",IFERROR(INDEX(项目档案!$B$6:$B$255,MATCH($C1376,项目档案!$A$6:$A$255,0)),"⚠项目编号不存在"))</f>
        <v/>
      </c>
      <c r="N1376" s="35" t="str">
        <f aca="false">IF($E1376="","",IF($E1376=IFERROR(INDEX(项目档案!$D$6:$D$255,MATCH($C1376,项目档案!$A$6:$A$255,0)),""),"一级",IF($E1376=IFERROR(INDEX(项目档案!$F$6:$F$255,MATCH($C1376,项目档案!$A$6:$A$255,0)),""),"二级",IF($E1376=IFERROR(INDEX(项目档案!$H$6:$H$255,MATCH($C1376,项目档案!$A$6:$A$255,0)),""),"我方","—"))))</f>
        <v/>
      </c>
      <c r="O1376" s="36" t="n">
        <f aca="false">IF($D1376&lt;&gt;"销项开票",0,ROUND(N($H1376)*N($I1376),2))</f>
        <v>0</v>
      </c>
      <c r="P1376" s="36" t="n">
        <f aca="false">IF($D1376&lt;&gt;"销项开票",0,ROUND(N($H1376)-$O1376,2))</f>
        <v>0</v>
      </c>
      <c r="Q1376" s="37" t="str">
        <f aca="false">IF($E1376="","",N(IFERROR(INDEX(单位档案!$E$6:$E$35,MATCH($E1376,单位档案!$A$6:$A$35,0)),"")))</f>
        <v/>
      </c>
      <c r="R1376" s="37" t="str">
        <f aca="false">IF($E1376="","",N(IFERROR(INDEX(单位档案!$F$6:$F$35,MATCH($E1376,单位档案!$A$6:$A$35,0)),"")))</f>
        <v/>
      </c>
      <c r="S1376" s="36" t="n">
        <f aca="false">IF(OR($D1376&lt;&gt;"销项开票",IFERROR(INDEX(单位档案!$G$6:$G$35,MATCH($E1376,单位档案!$A$6:$A$35,0)),"")&lt;&gt;"是",N($Q1376)=0),0,IF(IFERROR(INDEX(单位档案!$H$6:$H$35,MATCH($E1376,单位档案!$A$6:$A$35,0)),"")="税差法",ROUND(N($H1376)/(1+$Q1376)*$Q1376-IF(N($R1376)=0,0,$P1376/(1+$R1376)*$R1376),2),ROUND(N($H1376)/(1+$Q1376)*$Q1376,2)))</f>
        <v>0</v>
      </c>
      <c r="T1376" s="36" t="n">
        <f aca="false">ROUND($S1376*N(IFERROR(INDEX(单位档案!$J$6:$J$35,MATCH($E1376,单位档案!$A$6:$A$35,0)),"")),2)</f>
        <v>0</v>
      </c>
      <c r="U1376" s="36" t="n">
        <f aca="false">IF($D1376&lt;&gt;"销项开票",0,ROUND(N($H1376)*N(IFERROR(INDEX(单位档案!$K$6:$K$35,MATCH($E1376,单位档案!$A$6:$A$35,0)),"")),2))</f>
        <v>0</v>
      </c>
      <c r="V1376" s="36" t="n">
        <f aca="false">IF(OR($D1376&lt;&gt;"销项开票",N($Q1376)=0),0,ROUND(N($H1376)/(1+$Q1376)*N(IFERROR(INDEX(单位档案!$L$6:$L$35,MATCH($E1376,单位档案!$A$6:$A$35,0)),"")),2))</f>
        <v>0</v>
      </c>
      <c r="W1376" s="36" t="n">
        <f aca="false">ROUND($S1376+$T1376+$U1376+$V1376,2)</f>
        <v>0</v>
      </c>
      <c r="X1376" s="35" t="str">
        <f aca="false">IF(OR($D1376="挂靠代收",$D1376="我方收款"),COUNTIFS($D$5:$D1376,"挂靠代收")+COUNTIFS($D$5:$D1376,"我方收款"),"")</f>
        <v/>
      </c>
      <c r="Y1376" s="35"/>
      <c r="Z1376" s="21" t="s">
        <v>111</v>
      </c>
    </row>
    <row r="1377" customFormat="false" ht="15.75" hidden="false" customHeight="true" outlineLevel="0" collapsed="false">
      <c r="A1377" s="32" t="str">
        <f aca="false">IF($B1377="","",ROW()-4)</f>
        <v/>
      </c>
      <c r="B1377" s="26"/>
      <c r="C1377" s="24"/>
      <c r="D1377" s="21"/>
      <c r="E1377" s="21"/>
      <c r="F1377" s="21"/>
      <c r="G1377" s="21"/>
      <c r="H1377" s="27"/>
      <c r="I1377" s="23" t="str">
        <f aca="false">IF($D1377&lt;&gt;"销项开票","",IF($N1377="一级",IF(IFERROR(INDEX(项目档案!$E$6:$E$255,MATCH($C1377,项目档案!$A$6:$A$255,0)),"")="",N(IFERROR(INDEX(单位档案!$D$6:$D$35,MATCH($E1377,单位档案!$A$6:$A$35,0)),"")),IFERROR(INDEX(项目档案!$E$6:$E$255,MATCH($C1377,项目档案!$A$6:$A$255,0)),"")),IF($N1377="二级",IF(IFERROR(INDEX(项目档案!$G$6:$G$255,MATCH($C1377,项目档案!$A$6:$A$255,0)),"")="",N(IFERROR(INDEX(单位档案!$D$6:$D$35,MATCH($E1377,单位档案!$A$6:$A$35,0)),"")),IFERROR(INDEX(项目档案!$G$6:$G$255,MATCH($C1377,项目档案!$A$6:$A$255,0)),"")),N(IFERROR(INDEX(单位档案!$D$6:$D$35,MATCH($E1377,单位档案!$A$6:$A$35,0)),"")))))</f>
        <v/>
      </c>
      <c r="J1377" s="22"/>
      <c r="K1377" s="22"/>
      <c r="L1377" s="33" t="str">
        <f aca="false">IF($B1377="","",IF(NOT(ISNUMBER($B1377)),"日期格式不对",IF($C1377="","未选项目编号",IF(LEFT($M1377,1)="⚠","项目编号不存在",IF($D1377="","未选业务类型",IF($E1377="","未选开票/付款方",IF(ISNA(MATCH($E1377,单位档案!$A$6:$A$35,0)),"开票方不在单位档案",IF($F1377="","未选收票/收款方",IF(ISNA(MATCH($F1377,单位档案!$A$6:$A$35,0)),"收款方不在单位档案",IF(NOT(ISNUMBER($H1377)),"金额须为数字",IF(AND($D1377="销项开票",$N1377="—"),"链条待确认","√")))))))))))</f>
        <v/>
      </c>
      <c r="M1377" s="34" t="str">
        <f aca="false">IF($C1377="","",IFERROR(INDEX(项目档案!$B$6:$B$255,MATCH($C1377,项目档案!$A$6:$A$255,0)),"⚠项目编号不存在"))</f>
        <v/>
      </c>
      <c r="N1377" s="35" t="str">
        <f aca="false">IF($E1377="","",IF($E1377=IFERROR(INDEX(项目档案!$D$6:$D$255,MATCH($C1377,项目档案!$A$6:$A$255,0)),""),"一级",IF($E1377=IFERROR(INDEX(项目档案!$F$6:$F$255,MATCH($C1377,项目档案!$A$6:$A$255,0)),""),"二级",IF($E1377=IFERROR(INDEX(项目档案!$H$6:$H$255,MATCH($C1377,项目档案!$A$6:$A$255,0)),""),"我方","—"))))</f>
        <v/>
      </c>
      <c r="O1377" s="36" t="n">
        <f aca="false">IF($D1377&lt;&gt;"销项开票",0,ROUND(N($H1377)*N($I1377),2))</f>
        <v>0</v>
      </c>
      <c r="P1377" s="36" t="n">
        <f aca="false">IF($D1377&lt;&gt;"销项开票",0,ROUND(N($H1377)-$O1377,2))</f>
        <v>0</v>
      </c>
      <c r="Q1377" s="37" t="str">
        <f aca="false">IF($E1377="","",N(IFERROR(INDEX(单位档案!$E$6:$E$35,MATCH($E1377,单位档案!$A$6:$A$35,0)),"")))</f>
        <v/>
      </c>
      <c r="R1377" s="37" t="str">
        <f aca="false">IF($E1377="","",N(IFERROR(INDEX(单位档案!$F$6:$F$35,MATCH($E1377,单位档案!$A$6:$A$35,0)),"")))</f>
        <v/>
      </c>
      <c r="S1377" s="36" t="n">
        <f aca="false">IF(OR($D1377&lt;&gt;"销项开票",IFERROR(INDEX(单位档案!$G$6:$G$35,MATCH($E1377,单位档案!$A$6:$A$35,0)),"")&lt;&gt;"是",N($Q1377)=0),0,IF(IFERROR(INDEX(单位档案!$H$6:$H$35,MATCH($E1377,单位档案!$A$6:$A$35,0)),"")="税差法",ROUND(N($H1377)/(1+$Q1377)*$Q1377-IF(N($R1377)=0,0,$P1377/(1+$R1377)*$R1377),2),ROUND(N($H1377)/(1+$Q1377)*$Q1377,2)))</f>
        <v>0</v>
      </c>
      <c r="T1377" s="36" t="n">
        <f aca="false">ROUND($S1377*N(IFERROR(INDEX(单位档案!$J$6:$J$35,MATCH($E1377,单位档案!$A$6:$A$35,0)),"")),2)</f>
        <v>0</v>
      </c>
      <c r="U1377" s="36" t="n">
        <f aca="false">IF($D1377&lt;&gt;"销项开票",0,ROUND(N($H1377)*N(IFERROR(INDEX(单位档案!$K$6:$K$35,MATCH($E1377,单位档案!$A$6:$A$35,0)),"")),2))</f>
        <v>0</v>
      </c>
      <c r="V1377" s="36" t="n">
        <f aca="false">IF(OR($D1377&lt;&gt;"销项开票",N($Q1377)=0),0,ROUND(N($H1377)/(1+$Q1377)*N(IFERROR(INDEX(单位档案!$L$6:$L$35,MATCH($E1377,单位档案!$A$6:$A$35,0)),"")),2))</f>
        <v>0</v>
      </c>
      <c r="W1377" s="36" t="n">
        <f aca="false">ROUND($S1377+$T1377+$U1377+$V1377,2)</f>
        <v>0</v>
      </c>
      <c r="X1377" s="35" t="str">
        <f aca="false">IF(OR($D1377="挂靠代收",$D1377="我方收款"),COUNTIFS($D$5:$D1377,"挂靠代收")+COUNTIFS($D$5:$D1377,"我方收款"),"")</f>
        <v/>
      </c>
      <c r="Y1377" s="35"/>
      <c r="Z1377" s="21" t="s">
        <v>111</v>
      </c>
    </row>
    <row r="1378" customFormat="false" ht="15.75" hidden="false" customHeight="true" outlineLevel="0" collapsed="false">
      <c r="A1378" s="32" t="str">
        <f aca="false">IF($B1378="","",ROW()-4)</f>
        <v/>
      </c>
      <c r="B1378" s="26"/>
      <c r="C1378" s="24"/>
      <c r="D1378" s="21"/>
      <c r="E1378" s="21"/>
      <c r="F1378" s="21"/>
      <c r="G1378" s="21"/>
      <c r="H1378" s="27"/>
      <c r="I1378" s="23" t="str">
        <f aca="false">IF($D1378&lt;&gt;"销项开票","",IF($N1378="一级",IF(IFERROR(INDEX(项目档案!$E$6:$E$255,MATCH($C1378,项目档案!$A$6:$A$255,0)),"")="",N(IFERROR(INDEX(单位档案!$D$6:$D$35,MATCH($E1378,单位档案!$A$6:$A$35,0)),"")),IFERROR(INDEX(项目档案!$E$6:$E$255,MATCH($C1378,项目档案!$A$6:$A$255,0)),"")),IF($N1378="二级",IF(IFERROR(INDEX(项目档案!$G$6:$G$255,MATCH($C1378,项目档案!$A$6:$A$255,0)),"")="",N(IFERROR(INDEX(单位档案!$D$6:$D$35,MATCH($E1378,单位档案!$A$6:$A$35,0)),"")),IFERROR(INDEX(项目档案!$G$6:$G$255,MATCH($C1378,项目档案!$A$6:$A$255,0)),"")),N(IFERROR(INDEX(单位档案!$D$6:$D$35,MATCH($E1378,单位档案!$A$6:$A$35,0)),"")))))</f>
        <v/>
      </c>
      <c r="J1378" s="22"/>
      <c r="K1378" s="22"/>
      <c r="L1378" s="33" t="str">
        <f aca="false">IF($B1378="","",IF(NOT(ISNUMBER($B1378)),"日期格式不对",IF($C1378="","未选项目编号",IF(LEFT($M1378,1)="⚠","项目编号不存在",IF($D1378="","未选业务类型",IF($E1378="","未选开票/付款方",IF(ISNA(MATCH($E1378,单位档案!$A$6:$A$35,0)),"开票方不在单位档案",IF($F1378="","未选收票/收款方",IF(ISNA(MATCH($F1378,单位档案!$A$6:$A$35,0)),"收款方不在单位档案",IF(NOT(ISNUMBER($H1378)),"金额须为数字",IF(AND($D1378="销项开票",$N1378="—"),"链条待确认","√")))))))))))</f>
        <v/>
      </c>
      <c r="M1378" s="34" t="str">
        <f aca="false">IF($C1378="","",IFERROR(INDEX(项目档案!$B$6:$B$255,MATCH($C1378,项目档案!$A$6:$A$255,0)),"⚠项目编号不存在"))</f>
        <v/>
      </c>
      <c r="N1378" s="35" t="str">
        <f aca="false">IF($E1378="","",IF($E1378=IFERROR(INDEX(项目档案!$D$6:$D$255,MATCH($C1378,项目档案!$A$6:$A$255,0)),""),"一级",IF($E1378=IFERROR(INDEX(项目档案!$F$6:$F$255,MATCH($C1378,项目档案!$A$6:$A$255,0)),""),"二级",IF($E1378=IFERROR(INDEX(项目档案!$H$6:$H$255,MATCH($C1378,项目档案!$A$6:$A$255,0)),""),"我方","—"))))</f>
        <v/>
      </c>
      <c r="O1378" s="36" t="n">
        <f aca="false">IF($D1378&lt;&gt;"销项开票",0,ROUND(N($H1378)*N($I1378),2))</f>
        <v>0</v>
      </c>
      <c r="P1378" s="36" t="n">
        <f aca="false">IF($D1378&lt;&gt;"销项开票",0,ROUND(N($H1378)-$O1378,2))</f>
        <v>0</v>
      </c>
      <c r="Q1378" s="37" t="str">
        <f aca="false">IF($E1378="","",N(IFERROR(INDEX(单位档案!$E$6:$E$35,MATCH($E1378,单位档案!$A$6:$A$35,0)),"")))</f>
        <v/>
      </c>
      <c r="R1378" s="37" t="str">
        <f aca="false">IF($E1378="","",N(IFERROR(INDEX(单位档案!$F$6:$F$35,MATCH($E1378,单位档案!$A$6:$A$35,0)),"")))</f>
        <v/>
      </c>
      <c r="S1378" s="36" t="n">
        <f aca="false">IF(OR($D1378&lt;&gt;"销项开票",IFERROR(INDEX(单位档案!$G$6:$G$35,MATCH($E1378,单位档案!$A$6:$A$35,0)),"")&lt;&gt;"是",N($Q1378)=0),0,IF(IFERROR(INDEX(单位档案!$H$6:$H$35,MATCH($E1378,单位档案!$A$6:$A$35,0)),"")="税差法",ROUND(N($H1378)/(1+$Q1378)*$Q1378-IF(N($R1378)=0,0,$P1378/(1+$R1378)*$R1378),2),ROUND(N($H1378)/(1+$Q1378)*$Q1378,2)))</f>
        <v>0</v>
      </c>
      <c r="T1378" s="36" t="n">
        <f aca="false">ROUND($S1378*N(IFERROR(INDEX(单位档案!$J$6:$J$35,MATCH($E1378,单位档案!$A$6:$A$35,0)),"")),2)</f>
        <v>0</v>
      </c>
      <c r="U1378" s="36" t="n">
        <f aca="false">IF($D1378&lt;&gt;"销项开票",0,ROUND(N($H1378)*N(IFERROR(INDEX(单位档案!$K$6:$K$35,MATCH($E1378,单位档案!$A$6:$A$35,0)),"")),2))</f>
        <v>0</v>
      </c>
      <c r="V1378" s="36" t="n">
        <f aca="false">IF(OR($D1378&lt;&gt;"销项开票",N($Q1378)=0),0,ROUND(N($H1378)/(1+$Q1378)*N(IFERROR(INDEX(单位档案!$L$6:$L$35,MATCH($E1378,单位档案!$A$6:$A$35,0)),"")),2))</f>
        <v>0</v>
      </c>
      <c r="W1378" s="36" t="n">
        <f aca="false">ROUND($S1378+$T1378+$U1378+$V1378,2)</f>
        <v>0</v>
      </c>
      <c r="X1378" s="35" t="str">
        <f aca="false">IF(OR($D1378="挂靠代收",$D1378="我方收款"),COUNTIFS($D$5:$D1378,"挂靠代收")+COUNTIFS($D$5:$D1378,"我方收款"),"")</f>
        <v/>
      </c>
      <c r="Y1378" s="35"/>
      <c r="Z1378" s="21" t="s">
        <v>111</v>
      </c>
    </row>
    <row r="1379" customFormat="false" ht="15.75" hidden="false" customHeight="true" outlineLevel="0" collapsed="false">
      <c r="A1379" s="32" t="str">
        <f aca="false">IF($B1379="","",ROW()-4)</f>
        <v/>
      </c>
      <c r="B1379" s="26"/>
      <c r="C1379" s="24"/>
      <c r="D1379" s="21"/>
      <c r="E1379" s="21"/>
      <c r="F1379" s="21"/>
      <c r="G1379" s="21"/>
      <c r="H1379" s="27"/>
      <c r="I1379" s="23" t="str">
        <f aca="false">IF($D1379&lt;&gt;"销项开票","",IF($N1379="一级",IF(IFERROR(INDEX(项目档案!$E$6:$E$255,MATCH($C1379,项目档案!$A$6:$A$255,0)),"")="",N(IFERROR(INDEX(单位档案!$D$6:$D$35,MATCH($E1379,单位档案!$A$6:$A$35,0)),"")),IFERROR(INDEX(项目档案!$E$6:$E$255,MATCH($C1379,项目档案!$A$6:$A$255,0)),"")),IF($N1379="二级",IF(IFERROR(INDEX(项目档案!$G$6:$G$255,MATCH($C1379,项目档案!$A$6:$A$255,0)),"")="",N(IFERROR(INDEX(单位档案!$D$6:$D$35,MATCH($E1379,单位档案!$A$6:$A$35,0)),"")),IFERROR(INDEX(项目档案!$G$6:$G$255,MATCH($C1379,项目档案!$A$6:$A$255,0)),"")),N(IFERROR(INDEX(单位档案!$D$6:$D$35,MATCH($E1379,单位档案!$A$6:$A$35,0)),"")))))</f>
        <v/>
      </c>
      <c r="J1379" s="22"/>
      <c r="K1379" s="22"/>
      <c r="L1379" s="33" t="str">
        <f aca="false">IF($B1379="","",IF(NOT(ISNUMBER($B1379)),"日期格式不对",IF($C1379="","未选项目编号",IF(LEFT($M1379,1)="⚠","项目编号不存在",IF($D1379="","未选业务类型",IF($E1379="","未选开票/付款方",IF(ISNA(MATCH($E1379,单位档案!$A$6:$A$35,0)),"开票方不在单位档案",IF($F1379="","未选收票/收款方",IF(ISNA(MATCH($F1379,单位档案!$A$6:$A$35,0)),"收款方不在单位档案",IF(NOT(ISNUMBER($H1379)),"金额须为数字",IF(AND($D1379="销项开票",$N1379="—"),"链条待确认","√")))))))))))</f>
        <v/>
      </c>
      <c r="M1379" s="34" t="str">
        <f aca="false">IF($C1379="","",IFERROR(INDEX(项目档案!$B$6:$B$255,MATCH($C1379,项目档案!$A$6:$A$255,0)),"⚠项目编号不存在"))</f>
        <v/>
      </c>
      <c r="N1379" s="35" t="str">
        <f aca="false">IF($E1379="","",IF($E1379=IFERROR(INDEX(项目档案!$D$6:$D$255,MATCH($C1379,项目档案!$A$6:$A$255,0)),""),"一级",IF($E1379=IFERROR(INDEX(项目档案!$F$6:$F$255,MATCH($C1379,项目档案!$A$6:$A$255,0)),""),"二级",IF($E1379=IFERROR(INDEX(项目档案!$H$6:$H$255,MATCH($C1379,项目档案!$A$6:$A$255,0)),""),"我方","—"))))</f>
        <v/>
      </c>
      <c r="O1379" s="36" t="n">
        <f aca="false">IF($D1379&lt;&gt;"销项开票",0,ROUND(N($H1379)*N($I1379),2))</f>
        <v>0</v>
      </c>
      <c r="P1379" s="36" t="n">
        <f aca="false">IF($D1379&lt;&gt;"销项开票",0,ROUND(N($H1379)-$O1379,2))</f>
        <v>0</v>
      </c>
      <c r="Q1379" s="37" t="str">
        <f aca="false">IF($E1379="","",N(IFERROR(INDEX(单位档案!$E$6:$E$35,MATCH($E1379,单位档案!$A$6:$A$35,0)),"")))</f>
        <v/>
      </c>
      <c r="R1379" s="37" t="str">
        <f aca="false">IF($E1379="","",N(IFERROR(INDEX(单位档案!$F$6:$F$35,MATCH($E1379,单位档案!$A$6:$A$35,0)),"")))</f>
        <v/>
      </c>
      <c r="S1379" s="36" t="n">
        <f aca="false">IF(OR($D1379&lt;&gt;"销项开票",IFERROR(INDEX(单位档案!$G$6:$G$35,MATCH($E1379,单位档案!$A$6:$A$35,0)),"")&lt;&gt;"是",N($Q1379)=0),0,IF(IFERROR(INDEX(单位档案!$H$6:$H$35,MATCH($E1379,单位档案!$A$6:$A$35,0)),"")="税差法",ROUND(N($H1379)/(1+$Q1379)*$Q1379-IF(N($R1379)=0,0,$P1379/(1+$R1379)*$R1379),2),ROUND(N($H1379)/(1+$Q1379)*$Q1379,2)))</f>
        <v>0</v>
      </c>
      <c r="T1379" s="36" t="n">
        <f aca="false">ROUND($S1379*N(IFERROR(INDEX(单位档案!$J$6:$J$35,MATCH($E1379,单位档案!$A$6:$A$35,0)),"")),2)</f>
        <v>0</v>
      </c>
      <c r="U1379" s="36" t="n">
        <f aca="false">IF($D1379&lt;&gt;"销项开票",0,ROUND(N($H1379)*N(IFERROR(INDEX(单位档案!$K$6:$K$35,MATCH($E1379,单位档案!$A$6:$A$35,0)),"")),2))</f>
        <v>0</v>
      </c>
      <c r="V1379" s="36" t="n">
        <f aca="false">IF(OR($D1379&lt;&gt;"销项开票",N($Q1379)=0),0,ROUND(N($H1379)/(1+$Q1379)*N(IFERROR(INDEX(单位档案!$L$6:$L$35,MATCH($E1379,单位档案!$A$6:$A$35,0)),"")),2))</f>
        <v>0</v>
      </c>
      <c r="W1379" s="36" t="n">
        <f aca="false">ROUND($S1379+$T1379+$U1379+$V1379,2)</f>
        <v>0</v>
      </c>
      <c r="X1379" s="35" t="str">
        <f aca="false">IF(OR($D1379="挂靠代收",$D1379="我方收款"),COUNTIFS($D$5:$D1379,"挂靠代收")+COUNTIFS($D$5:$D1379,"我方收款"),"")</f>
        <v/>
      </c>
      <c r="Y1379" s="35"/>
      <c r="Z1379" s="21" t="s">
        <v>111</v>
      </c>
    </row>
    <row r="1380" customFormat="false" ht="15.75" hidden="false" customHeight="true" outlineLevel="0" collapsed="false">
      <c r="A1380" s="32" t="str">
        <f aca="false">IF($B1380="","",ROW()-4)</f>
        <v/>
      </c>
      <c r="B1380" s="26"/>
      <c r="C1380" s="24"/>
      <c r="D1380" s="21"/>
      <c r="E1380" s="21"/>
      <c r="F1380" s="21"/>
      <c r="G1380" s="21"/>
      <c r="H1380" s="27"/>
      <c r="I1380" s="23" t="str">
        <f aca="false">IF($D1380&lt;&gt;"销项开票","",IF($N1380="一级",IF(IFERROR(INDEX(项目档案!$E$6:$E$255,MATCH($C1380,项目档案!$A$6:$A$255,0)),"")="",N(IFERROR(INDEX(单位档案!$D$6:$D$35,MATCH($E1380,单位档案!$A$6:$A$35,0)),"")),IFERROR(INDEX(项目档案!$E$6:$E$255,MATCH($C1380,项目档案!$A$6:$A$255,0)),"")),IF($N1380="二级",IF(IFERROR(INDEX(项目档案!$G$6:$G$255,MATCH($C1380,项目档案!$A$6:$A$255,0)),"")="",N(IFERROR(INDEX(单位档案!$D$6:$D$35,MATCH($E1380,单位档案!$A$6:$A$35,0)),"")),IFERROR(INDEX(项目档案!$G$6:$G$255,MATCH($C1380,项目档案!$A$6:$A$255,0)),"")),N(IFERROR(INDEX(单位档案!$D$6:$D$35,MATCH($E1380,单位档案!$A$6:$A$35,0)),"")))))</f>
        <v/>
      </c>
      <c r="J1380" s="22"/>
      <c r="K1380" s="22"/>
      <c r="L1380" s="33" t="str">
        <f aca="false">IF($B1380="","",IF(NOT(ISNUMBER($B1380)),"日期格式不对",IF($C1380="","未选项目编号",IF(LEFT($M1380,1)="⚠","项目编号不存在",IF($D1380="","未选业务类型",IF($E1380="","未选开票/付款方",IF(ISNA(MATCH($E1380,单位档案!$A$6:$A$35,0)),"开票方不在单位档案",IF($F1380="","未选收票/收款方",IF(ISNA(MATCH($F1380,单位档案!$A$6:$A$35,0)),"收款方不在单位档案",IF(NOT(ISNUMBER($H1380)),"金额须为数字",IF(AND($D1380="销项开票",$N1380="—"),"链条待确认","√")))))))))))</f>
        <v/>
      </c>
      <c r="M1380" s="34" t="str">
        <f aca="false">IF($C1380="","",IFERROR(INDEX(项目档案!$B$6:$B$255,MATCH($C1380,项目档案!$A$6:$A$255,0)),"⚠项目编号不存在"))</f>
        <v/>
      </c>
      <c r="N1380" s="35" t="str">
        <f aca="false">IF($E1380="","",IF($E1380=IFERROR(INDEX(项目档案!$D$6:$D$255,MATCH($C1380,项目档案!$A$6:$A$255,0)),""),"一级",IF($E1380=IFERROR(INDEX(项目档案!$F$6:$F$255,MATCH($C1380,项目档案!$A$6:$A$255,0)),""),"二级",IF($E1380=IFERROR(INDEX(项目档案!$H$6:$H$255,MATCH($C1380,项目档案!$A$6:$A$255,0)),""),"我方","—"))))</f>
        <v/>
      </c>
      <c r="O1380" s="36" t="n">
        <f aca="false">IF($D1380&lt;&gt;"销项开票",0,ROUND(N($H1380)*N($I1380),2))</f>
        <v>0</v>
      </c>
      <c r="P1380" s="36" t="n">
        <f aca="false">IF($D1380&lt;&gt;"销项开票",0,ROUND(N($H1380)-$O1380,2))</f>
        <v>0</v>
      </c>
      <c r="Q1380" s="37" t="str">
        <f aca="false">IF($E1380="","",N(IFERROR(INDEX(单位档案!$E$6:$E$35,MATCH($E1380,单位档案!$A$6:$A$35,0)),"")))</f>
        <v/>
      </c>
      <c r="R1380" s="37" t="str">
        <f aca="false">IF($E1380="","",N(IFERROR(INDEX(单位档案!$F$6:$F$35,MATCH($E1380,单位档案!$A$6:$A$35,0)),"")))</f>
        <v/>
      </c>
      <c r="S1380" s="36" t="n">
        <f aca="false">IF(OR($D1380&lt;&gt;"销项开票",IFERROR(INDEX(单位档案!$G$6:$G$35,MATCH($E1380,单位档案!$A$6:$A$35,0)),"")&lt;&gt;"是",N($Q1380)=0),0,IF(IFERROR(INDEX(单位档案!$H$6:$H$35,MATCH($E1380,单位档案!$A$6:$A$35,0)),"")="税差法",ROUND(N($H1380)/(1+$Q1380)*$Q1380-IF(N($R1380)=0,0,$P1380/(1+$R1380)*$R1380),2),ROUND(N($H1380)/(1+$Q1380)*$Q1380,2)))</f>
        <v>0</v>
      </c>
      <c r="T1380" s="36" t="n">
        <f aca="false">ROUND($S1380*N(IFERROR(INDEX(单位档案!$J$6:$J$35,MATCH($E1380,单位档案!$A$6:$A$35,0)),"")),2)</f>
        <v>0</v>
      </c>
      <c r="U1380" s="36" t="n">
        <f aca="false">IF($D1380&lt;&gt;"销项开票",0,ROUND(N($H1380)*N(IFERROR(INDEX(单位档案!$K$6:$K$35,MATCH($E1380,单位档案!$A$6:$A$35,0)),"")),2))</f>
        <v>0</v>
      </c>
      <c r="V1380" s="36" t="n">
        <f aca="false">IF(OR($D1380&lt;&gt;"销项开票",N($Q1380)=0),0,ROUND(N($H1380)/(1+$Q1380)*N(IFERROR(INDEX(单位档案!$L$6:$L$35,MATCH($E1380,单位档案!$A$6:$A$35,0)),"")),2))</f>
        <v>0</v>
      </c>
      <c r="W1380" s="36" t="n">
        <f aca="false">ROUND($S1380+$T1380+$U1380+$V1380,2)</f>
        <v>0</v>
      </c>
      <c r="X1380" s="35" t="str">
        <f aca="false">IF(OR($D1380="挂靠代收",$D1380="我方收款"),COUNTIFS($D$5:$D1380,"挂靠代收")+COUNTIFS($D$5:$D1380,"我方收款"),"")</f>
        <v/>
      </c>
      <c r="Y1380" s="35"/>
      <c r="Z1380" s="21" t="s">
        <v>111</v>
      </c>
    </row>
    <row r="1381" customFormat="false" ht="15.75" hidden="false" customHeight="true" outlineLevel="0" collapsed="false">
      <c r="A1381" s="32" t="str">
        <f aca="false">IF($B1381="","",ROW()-4)</f>
        <v/>
      </c>
      <c r="B1381" s="26"/>
      <c r="C1381" s="24"/>
      <c r="D1381" s="21"/>
      <c r="E1381" s="21"/>
      <c r="F1381" s="21"/>
      <c r="G1381" s="21"/>
      <c r="H1381" s="27"/>
      <c r="I1381" s="23" t="str">
        <f aca="false">IF($D1381&lt;&gt;"销项开票","",IF($N1381="一级",IF(IFERROR(INDEX(项目档案!$E$6:$E$255,MATCH($C1381,项目档案!$A$6:$A$255,0)),"")="",N(IFERROR(INDEX(单位档案!$D$6:$D$35,MATCH($E1381,单位档案!$A$6:$A$35,0)),"")),IFERROR(INDEX(项目档案!$E$6:$E$255,MATCH($C1381,项目档案!$A$6:$A$255,0)),"")),IF($N1381="二级",IF(IFERROR(INDEX(项目档案!$G$6:$G$255,MATCH($C1381,项目档案!$A$6:$A$255,0)),"")="",N(IFERROR(INDEX(单位档案!$D$6:$D$35,MATCH($E1381,单位档案!$A$6:$A$35,0)),"")),IFERROR(INDEX(项目档案!$G$6:$G$255,MATCH($C1381,项目档案!$A$6:$A$255,0)),"")),N(IFERROR(INDEX(单位档案!$D$6:$D$35,MATCH($E1381,单位档案!$A$6:$A$35,0)),"")))))</f>
        <v/>
      </c>
      <c r="J1381" s="22"/>
      <c r="K1381" s="22"/>
      <c r="L1381" s="33" t="str">
        <f aca="false">IF($B1381="","",IF(NOT(ISNUMBER($B1381)),"日期格式不对",IF($C1381="","未选项目编号",IF(LEFT($M1381,1)="⚠","项目编号不存在",IF($D1381="","未选业务类型",IF($E1381="","未选开票/付款方",IF(ISNA(MATCH($E1381,单位档案!$A$6:$A$35,0)),"开票方不在单位档案",IF($F1381="","未选收票/收款方",IF(ISNA(MATCH($F1381,单位档案!$A$6:$A$35,0)),"收款方不在单位档案",IF(NOT(ISNUMBER($H1381)),"金额须为数字",IF(AND($D1381="销项开票",$N1381="—"),"链条待确认","√")))))))))))</f>
        <v/>
      </c>
      <c r="M1381" s="34" t="str">
        <f aca="false">IF($C1381="","",IFERROR(INDEX(项目档案!$B$6:$B$255,MATCH($C1381,项目档案!$A$6:$A$255,0)),"⚠项目编号不存在"))</f>
        <v/>
      </c>
      <c r="N1381" s="35" t="str">
        <f aca="false">IF($E1381="","",IF($E1381=IFERROR(INDEX(项目档案!$D$6:$D$255,MATCH($C1381,项目档案!$A$6:$A$255,0)),""),"一级",IF($E1381=IFERROR(INDEX(项目档案!$F$6:$F$255,MATCH($C1381,项目档案!$A$6:$A$255,0)),""),"二级",IF($E1381=IFERROR(INDEX(项目档案!$H$6:$H$255,MATCH($C1381,项目档案!$A$6:$A$255,0)),""),"我方","—"))))</f>
        <v/>
      </c>
      <c r="O1381" s="36" t="n">
        <f aca="false">IF($D1381&lt;&gt;"销项开票",0,ROUND(N($H1381)*N($I1381),2))</f>
        <v>0</v>
      </c>
      <c r="P1381" s="36" t="n">
        <f aca="false">IF($D1381&lt;&gt;"销项开票",0,ROUND(N($H1381)-$O1381,2))</f>
        <v>0</v>
      </c>
      <c r="Q1381" s="37" t="str">
        <f aca="false">IF($E1381="","",N(IFERROR(INDEX(单位档案!$E$6:$E$35,MATCH($E1381,单位档案!$A$6:$A$35,0)),"")))</f>
        <v/>
      </c>
      <c r="R1381" s="37" t="str">
        <f aca="false">IF($E1381="","",N(IFERROR(INDEX(单位档案!$F$6:$F$35,MATCH($E1381,单位档案!$A$6:$A$35,0)),"")))</f>
        <v/>
      </c>
      <c r="S1381" s="36" t="n">
        <f aca="false">IF(OR($D1381&lt;&gt;"销项开票",IFERROR(INDEX(单位档案!$G$6:$G$35,MATCH($E1381,单位档案!$A$6:$A$35,0)),"")&lt;&gt;"是",N($Q1381)=0),0,IF(IFERROR(INDEX(单位档案!$H$6:$H$35,MATCH($E1381,单位档案!$A$6:$A$35,0)),"")="税差法",ROUND(N($H1381)/(1+$Q1381)*$Q1381-IF(N($R1381)=0,0,$P1381/(1+$R1381)*$R1381),2),ROUND(N($H1381)/(1+$Q1381)*$Q1381,2)))</f>
        <v>0</v>
      </c>
      <c r="T1381" s="36" t="n">
        <f aca="false">ROUND($S1381*N(IFERROR(INDEX(单位档案!$J$6:$J$35,MATCH($E1381,单位档案!$A$6:$A$35,0)),"")),2)</f>
        <v>0</v>
      </c>
      <c r="U1381" s="36" t="n">
        <f aca="false">IF($D1381&lt;&gt;"销项开票",0,ROUND(N($H1381)*N(IFERROR(INDEX(单位档案!$K$6:$K$35,MATCH($E1381,单位档案!$A$6:$A$35,0)),"")),2))</f>
        <v>0</v>
      </c>
      <c r="V1381" s="36" t="n">
        <f aca="false">IF(OR($D1381&lt;&gt;"销项开票",N($Q1381)=0),0,ROUND(N($H1381)/(1+$Q1381)*N(IFERROR(INDEX(单位档案!$L$6:$L$35,MATCH($E1381,单位档案!$A$6:$A$35,0)),"")),2))</f>
        <v>0</v>
      </c>
      <c r="W1381" s="36" t="n">
        <f aca="false">ROUND($S1381+$T1381+$U1381+$V1381,2)</f>
        <v>0</v>
      </c>
      <c r="X1381" s="35" t="str">
        <f aca="false">IF(OR($D1381="挂靠代收",$D1381="我方收款"),COUNTIFS($D$5:$D1381,"挂靠代收")+COUNTIFS($D$5:$D1381,"我方收款"),"")</f>
        <v/>
      </c>
      <c r="Y1381" s="35"/>
      <c r="Z1381" s="21" t="s">
        <v>111</v>
      </c>
    </row>
    <row r="1382" customFormat="false" ht="15.75" hidden="false" customHeight="true" outlineLevel="0" collapsed="false">
      <c r="A1382" s="32" t="str">
        <f aca="false">IF($B1382="","",ROW()-4)</f>
        <v/>
      </c>
      <c r="B1382" s="26"/>
      <c r="C1382" s="24"/>
      <c r="D1382" s="21"/>
      <c r="E1382" s="21"/>
      <c r="F1382" s="21"/>
      <c r="G1382" s="21"/>
      <c r="H1382" s="27"/>
      <c r="I1382" s="23" t="str">
        <f aca="false">IF($D1382&lt;&gt;"销项开票","",IF($N1382="一级",IF(IFERROR(INDEX(项目档案!$E$6:$E$255,MATCH($C1382,项目档案!$A$6:$A$255,0)),"")="",N(IFERROR(INDEX(单位档案!$D$6:$D$35,MATCH($E1382,单位档案!$A$6:$A$35,0)),"")),IFERROR(INDEX(项目档案!$E$6:$E$255,MATCH($C1382,项目档案!$A$6:$A$255,0)),"")),IF($N1382="二级",IF(IFERROR(INDEX(项目档案!$G$6:$G$255,MATCH($C1382,项目档案!$A$6:$A$255,0)),"")="",N(IFERROR(INDEX(单位档案!$D$6:$D$35,MATCH($E1382,单位档案!$A$6:$A$35,0)),"")),IFERROR(INDEX(项目档案!$G$6:$G$255,MATCH($C1382,项目档案!$A$6:$A$255,0)),"")),N(IFERROR(INDEX(单位档案!$D$6:$D$35,MATCH($E1382,单位档案!$A$6:$A$35,0)),"")))))</f>
        <v/>
      </c>
      <c r="J1382" s="22"/>
      <c r="K1382" s="22"/>
      <c r="L1382" s="33" t="str">
        <f aca="false">IF($B1382="","",IF(NOT(ISNUMBER($B1382)),"日期格式不对",IF($C1382="","未选项目编号",IF(LEFT($M1382,1)="⚠","项目编号不存在",IF($D1382="","未选业务类型",IF($E1382="","未选开票/付款方",IF(ISNA(MATCH($E1382,单位档案!$A$6:$A$35,0)),"开票方不在单位档案",IF($F1382="","未选收票/收款方",IF(ISNA(MATCH($F1382,单位档案!$A$6:$A$35,0)),"收款方不在单位档案",IF(NOT(ISNUMBER($H1382)),"金额须为数字",IF(AND($D1382="销项开票",$N1382="—"),"链条待确认","√")))))))))))</f>
        <v/>
      </c>
      <c r="M1382" s="34" t="str">
        <f aca="false">IF($C1382="","",IFERROR(INDEX(项目档案!$B$6:$B$255,MATCH($C1382,项目档案!$A$6:$A$255,0)),"⚠项目编号不存在"))</f>
        <v/>
      </c>
      <c r="N1382" s="35" t="str">
        <f aca="false">IF($E1382="","",IF($E1382=IFERROR(INDEX(项目档案!$D$6:$D$255,MATCH($C1382,项目档案!$A$6:$A$255,0)),""),"一级",IF($E1382=IFERROR(INDEX(项目档案!$F$6:$F$255,MATCH($C1382,项目档案!$A$6:$A$255,0)),""),"二级",IF($E1382=IFERROR(INDEX(项目档案!$H$6:$H$255,MATCH($C1382,项目档案!$A$6:$A$255,0)),""),"我方","—"))))</f>
        <v/>
      </c>
      <c r="O1382" s="36" t="n">
        <f aca="false">IF($D1382&lt;&gt;"销项开票",0,ROUND(N($H1382)*N($I1382),2))</f>
        <v>0</v>
      </c>
      <c r="P1382" s="36" t="n">
        <f aca="false">IF($D1382&lt;&gt;"销项开票",0,ROUND(N($H1382)-$O1382,2))</f>
        <v>0</v>
      </c>
      <c r="Q1382" s="37" t="str">
        <f aca="false">IF($E1382="","",N(IFERROR(INDEX(单位档案!$E$6:$E$35,MATCH($E1382,单位档案!$A$6:$A$35,0)),"")))</f>
        <v/>
      </c>
      <c r="R1382" s="37" t="str">
        <f aca="false">IF($E1382="","",N(IFERROR(INDEX(单位档案!$F$6:$F$35,MATCH($E1382,单位档案!$A$6:$A$35,0)),"")))</f>
        <v/>
      </c>
      <c r="S1382" s="36" t="n">
        <f aca="false">IF(OR($D1382&lt;&gt;"销项开票",IFERROR(INDEX(单位档案!$G$6:$G$35,MATCH($E1382,单位档案!$A$6:$A$35,0)),"")&lt;&gt;"是",N($Q1382)=0),0,IF(IFERROR(INDEX(单位档案!$H$6:$H$35,MATCH($E1382,单位档案!$A$6:$A$35,0)),"")="税差法",ROUND(N($H1382)/(1+$Q1382)*$Q1382-IF(N($R1382)=0,0,$P1382/(1+$R1382)*$R1382),2),ROUND(N($H1382)/(1+$Q1382)*$Q1382,2)))</f>
        <v>0</v>
      </c>
      <c r="T1382" s="36" t="n">
        <f aca="false">ROUND($S1382*N(IFERROR(INDEX(单位档案!$J$6:$J$35,MATCH($E1382,单位档案!$A$6:$A$35,0)),"")),2)</f>
        <v>0</v>
      </c>
      <c r="U1382" s="36" t="n">
        <f aca="false">IF($D1382&lt;&gt;"销项开票",0,ROUND(N($H1382)*N(IFERROR(INDEX(单位档案!$K$6:$K$35,MATCH($E1382,单位档案!$A$6:$A$35,0)),"")),2))</f>
        <v>0</v>
      </c>
      <c r="V1382" s="36" t="n">
        <f aca="false">IF(OR($D1382&lt;&gt;"销项开票",N($Q1382)=0),0,ROUND(N($H1382)/(1+$Q1382)*N(IFERROR(INDEX(单位档案!$L$6:$L$35,MATCH($E1382,单位档案!$A$6:$A$35,0)),"")),2))</f>
        <v>0</v>
      </c>
      <c r="W1382" s="36" t="n">
        <f aca="false">ROUND($S1382+$T1382+$U1382+$V1382,2)</f>
        <v>0</v>
      </c>
      <c r="X1382" s="35" t="str">
        <f aca="false">IF(OR($D1382="挂靠代收",$D1382="我方收款"),COUNTIFS($D$5:$D1382,"挂靠代收")+COUNTIFS($D$5:$D1382,"我方收款"),"")</f>
        <v/>
      </c>
      <c r="Y1382" s="35"/>
      <c r="Z1382" s="21" t="s">
        <v>111</v>
      </c>
    </row>
    <row r="1383" customFormat="false" ht="15.75" hidden="false" customHeight="true" outlineLevel="0" collapsed="false">
      <c r="A1383" s="32" t="str">
        <f aca="false">IF($B1383="","",ROW()-4)</f>
        <v/>
      </c>
      <c r="B1383" s="26"/>
      <c r="C1383" s="24"/>
      <c r="D1383" s="21"/>
      <c r="E1383" s="21"/>
      <c r="F1383" s="21"/>
      <c r="G1383" s="21"/>
      <c r="H1383" s="27"/>
      <c r="I1383" s="23" t="str">
        <f aca="false">IF($D1383&lt;&gt;"销项开票","",IF($N1383="一级",IF(IFERROR(INDEX(项目档案!$E$6:$E$255,MATCH($C1383,项目档案!$A$6:$A$255,0)),"")="",N(IFERROR(INDEX(单位档案!$D$6:$D$35,MATCH($E1383,单位档案!$A$6:$A$35,0)),"")),IFERROR(INDEX(项目档案!$E$6:$E$255,MATCH($C1383,项目档案!$A$6:$A$255,0)),"")),IF($N1383="二级",IF(IFERROR(INDEX(项目档案!$G$6:$G$255,MATCH($C1383,项目档案!$A$6:$A$255,0)),"")="",N(IFERROR(INDEX(单位档案!$D$6:$D$35,MATCH($E1383,单位档案!$A$6:$A$35,0)),"")),IFERROR(INDEX(项目档案!$G$6:$G$255,MATCH($C1383,项目档案!$A$6:$A$255,0)),"")),N(IFERROR(INDEX(单位档案!$D$6:$D$35,MATCH($E1383,单位档案!$A$6:$A$35,0)),"")))))</f>
        <v/>
      </c>
      <c r="J1383" s="22"/>
      <c r="K1383" s="22"/>
      <c r="L1383" s="33" t="str">
        <f aca="false">IF($B1383="","",IF(NOT(ISNUMBER($B1383)),"日期格式不对",IF($C1383="","未选项目编号",IF(LEFT($M1383,1)="⚠","项目编号不存在",IF($D1383="","未选业务类型",IF($E1383="","未选开票/付款方",IF(ISNA(MATCH($E1383,单位档案!$A$6:$A$35,0)),"开票方不在单位档案",IF($F1383="","未选收票/收款方",IF(ISNA(MATCH($F1383,单位档案!$A$6:$A$35,0)),"收款方不在单位档案",IF(NOT(ISNUMBER($H1383)),"金额须为数字",IF(AND($D1383="销项开票",$N1383="—"),"链条待确认","√")))))))))))</f>
        <v/>
      </c>
      <c r="M1383" s="34" t="str">
        <f aca="false">IF($C1383="","",IFERROR(INDEX(项目档案!$B$6:$B$255,MATCH($C1383,项目档案!$A$6:$A$255,0)),"⚠项目编号不存在"))</f>
        <v/>
      </c>
      <c r="N1383" s="35" t="str">
        <f aca="false">IF($E1383="","",IF($E1383=IFERROR(INDEX(项目档案!$D$6:$D$255,MATCH($C1383,项目档案!$A$6:$A$255,0)),""),"一级",IF($E1383=IFERROR(INDEX(项目档案!$F$6:$F$255,MATCH($C1383,项目档案!$A$6:$A$255,0)),""),"二级",IF($E1383=IFERROR(INDEX(项目档案!$H$6:$H$255,MATCH($C1383,项目档案!$A$6:$A$255,0)),""),"我方","—"))))</f>
        <v/>
      </c>
      <c r="O1383" s="36" t="n">
        <f aca="false">IF($D1383&lt;&gt;"销项开票",0,ROUND(N($H1383)*N($I1383),2))</f>
        <v>0</v>
      </c>
      <c r="P1383" s="36" t="n">
        <f aca="false">IF($D1383&lt;&gt;"销项开票",0,ROUND(N($H1383)-$O1383,2))</f>
        <v>0</v>
      </c>
      <c r="Q1383" s="37" t="str">
        <f aca="false">IF($E1383="","",N(IFERROR(INDEX(单位档案!$E$6:$E$35,MATCH($E1383,单位档案!$A$6:$A$35,0)),"")))</f>
        <v/>
      </c>
      <c r="R1383" s="37" t="str">
        <f aca="false">IF($E1383="","",N(IFERROR(INDEX(单位档案!$F$6:$F$35,MATCH($E1383,单位档案!$A$6:$A$35,0)),"")))</f>
        <v/>
      </c>
      <c r="S1383" s="36" t="n">
        <f aca="false">IF(OR($D1383&lt;&gt;"销项开票",IFERROR(INDEX(单位档案!$G$6:$G$35,MATCH($E1383,单位档案!$A$6:$A$35,0)),"")&lt;&gt;"是",N($Q1383)=0),0,IF(IFERROR(INDEX(单位档案!$H$6:$H$35,MATCH($E1383,单位档案!$A$6:$A$35,0)),"")="税差法",ROUND(N($H1383)/(1+$Q1383)*$Q1383-IF(N($R1383)=0,0,$P1383/(1+$R1383)*$R1383),2),ROUND(N($H1383)/(1+$Q1383)*$Q1383,2)))</f>
        <v>0</v>
      </c>
      <c r="T1383" s="36" t="n">
        <f aca="false">ROUND($S1383*N(IFERROR(INDEX(单位档案!$J$6:$J$35,MATCH($E1383,单位档案!$A$6:$A$35,0)),"")),2)</f>
        <v>0</v>
      </c>
      <c r="U1383" s="36" t="n">
        <f aca="false">IF($D1383&lt;&gt;"销项开票",0,ROUND(N($H1383)*N(IFERROR(INDEX(单位档案!$K$6:$K$35,MATCH($E1383,单位档案!$A$6:$A$35,0)),"")),2))</f>
        <v>0</v>
      </c>
      <c r="V1383" s="36" t="n">
        <f aca="false">IF(OR($D1383&lt;&gt;"销项开票",N($Q1383)=0),0,ROUND(N($H1383)/(1+$Q1383)*N(IFERROR(INDEX(单位档案!$L$6:$L$35,MATCH($E1383,单位档案!$A$6:$A$35,0)),"")),2))</f>
        <v>0</v>
      </c>
      <c r="W1383" s="36" t="n">
        <f aca="false">ROUND($S1383+$T1383+$U1383+$V1383,2)</f>
        <v>0</v>
      </c>
      <c r="X1383" s="35" t="str">
        <f aca="false">IF(OR($D1383="挂靠代收",$D1383="我方收款"),COUNTIFS($D$5:$D1383,"挂靠代收")+COUNTIFS($D$5:$D1383,"我方收款"),"")</f>
        <v/>
      </c>
      <c r="Y1383" s="35"/>
      <c r="Z1383" s="21" t="s">
        <v>111</v>
      </c>
    </row>
    <row r="1384" customFormat="false" ht="15.75" hidden="false" customHeight="true" outlineLevel="0" collapsed="false">
      <c r="A1384" s="32" t="str">
        <f aca="false">IF($B1384="","",ROW()-4)</f>
        <v/>
      </c>
      <c r="B1384" s="26"/>
      <c r="C1384" s="24"/>
      <c r="D1384" s="21"/>
      <c r="E1384" s="21"/>
      <c r="F1384" s="21"/>
      <c r="G1384" s="21"/>
      <c r="H1384" s="27"/>
      <c r="I1384" s="23" t="str">
        <f aca="false">IF($D1384&lt;&gt;"销项开票","",IF($N1384="一级",IF(IFERROR(INDEX(项目档案!$E$6:$E$255,MATCH($C1384,项目档案!$A$6:$A$255,0)),"")="",N(IFERROR(INDEX(单位档案!$D$6:$D$35,MATCH($E1384,单位档案!$A$6:$A$35,0)),"")),IFERROR(INDEX(项目档案!$E$6:$E$255,MATCH($C1384,项目档案!$A$6:$A$255,0)),"")),IF($N1384="二级",IF(IFERROR(INDEX(项目档案!$G$6:$G$255,MATCH($C1384,项目档案!$A$6:$A$255,0)),"")="",N(IFERROR(INDEX(单位档案!$D$6:$D$35,MATCH($E1384,单位档案!$A$6:$A$35,0)),"")),IFERROR(INDEX(项目档案!$G$6:$G$255,MATCH($C1384,项目档案!$A$6:$A$255,0)),"")),N(IFERROR(INDEX(单位档案!$D$6:$D$35,MATCH($E1384,单位档案!$A$6:$A$35,0)),"")))))</f>
        <v/>
      </c>
      <c r="J1384" s="22"/>
      <c r="K1384" s="22"/>
      <c r="L1384" s="33" t="str">
        <f aca="false">IF($B1384="","",IF(NOT(ISNUMBER($B1384)),"日期格式不对",IF($C1384="","未选项目编号",IF(LEFT($M1384,1)="⚠","项目编号不存在",IF($D1384="","未选业务类型",IF($E1384="","未选开票/付款方",IF(ISNA(MATCH($E1384,单位档案!$A$6:$A$35,0)),"开票方不在单位档案",IF($F1384="","未选收票/收款方",IF(ISNA(MATCH($F1384,单位档案!$A$6:$A$35,0)),"收款方不在单位档案",IF(NOT(ISNUMBER($H1384)),"金额须为数字",IF(AND($D1384="销项开票",$N1384="—"),"链条待确认","√")))))))))))</f>
        <v/>
      </c>
      <c r="M1384" s="34" t="str">
        <f aca="false">IF($C1384="","",IFERROR(INDEX(项目档案!$B$6:$B$255,MATCH($C1384,项目档案!$A$6:$A$255,0)),"⚠项目编号不存在"))</f>
        <v/>
      </c>
      <c r="N1384" s="35" t="str">
        <f aca="false">IF($E1384="","",IF($E1384=IFERROR(INDEX(项目档案!$D$6:$D$255,MATCH($C1384,项目档案!$A$6:$A$255,0)),""),"一级",IF($E1384=IFERROR(INDEX(项目档案!$F$6:$F$255,MATCH($C1384,项目档案!$A$6:$A$255,0)),""),"二级",IF($E1384=IFERROR(INDEX(项目档案!$H$6:$H$255,MATCH($C1384,项目档案!$A$6:$A$255,0)),""),"我方","—"))))</f>
        <v/>
      </c>
      <c r="O1384" s="36" t="n">
        <f aca="false">IF($D1384&lt;&gt;"销项开票",0,ROUND(N($H1384)*N($I1384),2))</f>
        <v>0</v>
      </c>
      <c r="P1384" s="36" t="n">
        <f aca="false">IF($D1384&lt;&gt;"销项开票",0,ROUND(N($H1384)-$O1384,2))</f>
        <v>0</v>
      </c>
      <c r="Q1384" s="37" t="str">
        <f aca="false">IF($E1384="","",N(IFERROR(INDEX(单位档案!$E$6:$E$35,MATCH($E1384,单位档案!$A$6:$A$35,0)),"")))</f>
        <v/>
      </c>
      <c r="R1384" s="37" t="str">
        <f aca="false">IF($E1384="","",N(IFERROR(INDEX(单位档案!$F$6:$F$35,MATCH($E1384,单位档案!$A$6:$A$35,0)),"")))</f>
        <v/>
      </c>
      <c r="S1384" s="36" t="n">
        <f aca="false">IF(OR($D1384&lt;&gt;"销项开票",IFERROR(INDEX(单位档案!$G$6:$G$35,MATCH($E1384,单位档案!$A$6:$A$35,0)),"")&lt;&gt;"是",N($Q1384)=0),0,IF(IFERROR(INDEX(单位档案!$H$6:$H$35,MATCH($E1384,单位档案!$A$6:$A$35,0)),"")="税差法",ROUND(N($H1384)/(1+$Q1384)*$Q1384-IF(N($R1384)=0,0,$P1384/(1+$R1384)*$R1384),2),ROUND(N($H1384)/(1+$Q1384)*$Q1384,2)))</f>
        <v>0</v>
      </c>
      <c r="T1384" s="36" t="n">
        <f aca="false">ROUND($S1384*N(IFERROR(INDEX(单位档案!$J$6:$J$35,MATCH($E1384,单位档案!$A$6:$A$35,0)),"")),2)</f>
        <v>0</v>
      </c>
      <c r="U1384" s="36" t="n">
        <f aca="false">IF($D1384&lt;&gt;"销项开票",0,ROUND(N($H1384)*N(IFERROR(INDEX(单位档案!$K$6:$K$35,MATCH($E1384,单位档案!$A$6:$A$35,0)),"")),2))</f>
        <v>0</v>
      </c>
      <c r="V1384" s="36" t="n">
        <f aca="false">IF(OR($D1384&lt;&gt;"销项开票",N($Q1384)=0),0,ROUND(N($H1384)/(1+$Q1384)*N(IFERROR(INDEX(单位档案!$L$6:$L$35,MATCH($E1384,单位档案!$A$6:$A$35,0)),"")),2))</f>
        <v>0</v>
      </c>
      <c r="W1384" s="36" t="n">
        <f aca="false">ROUND($S1384+$T1384+$U1384+$V1384,2)</f>
        <v>0</v>
      </c>
      <c r="X1384" s="35" t="str">
        <f aca="false">IF(OR($D1384="挂靠代收",$D1384="我方收款"),COUNTIFS($D$5:$D1384,"挂靠代收")+COUNTIFS($D$5:$D1384,"我方收款"),"")</f>
        <v/>
      </c>
      <c r="Y1384" s="35"/>
      <c r="Z1384" s="21" t="s">
        <v>111</v>
      </c>
    </row>
    <row r="1385" customFormat="false" ht="15.75" hidden="false" customHeight="true" outlineLevel="0" collapsed="false">
      <c r="A1385" s="32" t="str">
        <f aca="false">IF($B1385="","",ROW()-4)</f>
        <v/>
      </c>
      <c r="B1385" s="26"/>
      <c r="C1385" s="24"/>
      <c r="D1385" s="21"/>
      <c r="E1385" s="21"/>
      <c r="F1385" s="21"/>
      <c r="G1385" s="21"/>
      <c r="H1385" s="27"/>
      <c r="I1385" s="23" t="str">
        <f aca="false">IF($D1385&lt;&gt;"销项开票","",IF($N1385="一级",IF(IFERROR(INDEX(项目档案!$E$6:$E$255,MATCH($C1385,项目档案!$A$6:$A$255,0)),"")="",N(IFERROR(INDEX(单位档案!$D$6:$D$35,MATCH($E1385,单位档案!$A$6:$A$35,0)),"")),IFERROR(INDEX(项目档案!$E$6:$E$255,MATCH($C1385,项目档案!$A$6:$A$255,0)),"")),IF($N1385="二级",IF(IFERROR(INDEX(项目档案!$G$6:$G$255,MATCH($C1385,项目档案!$A$6:$A$255,0)),"")="",N(IFERROR(INDEX(单位档案!$D$6:$D$35,MATCH($E1385,单位档案!$A$6:$A$35,0)),"")),IFERROR(INDEX(项目档案!$G$6:$G$255,MATCH($C1385,项目档案!$A$6:$A$255,0)),"")),N(IFERROR(INDEX(单位档案!$D$6:$D$35,MATCH($E1385,单位档案!$A$6:$A$35,0)),"")))))</f>
        <v/>
      </c>
      <c r="J1385" s="22"/>
      <c r="K1385" s="22"/>
      <c r="L1385" s="33" t="str">
        <f aca="false">IF($B1385="","",IF(NOT(ISNUMBER($B1385)),"日期格式不对",IF($C1385="","未选项目编号",IF(LEFT($M1385,1)="⚠","项目编号不存在",IF($D1385="","未选业务类型",IF($E1385="","未选开票/付款方",IF(ISNA(MATCH($E1385,单位档案!$A$6:$A$35,0)),"开票方不在单位档案",IF($F1385="","未选收票/收款方",IF(ISNA(MATCH($F1385,单位档案!$A$6:$A$35,0)),"收款方不在单位档案",IF(NOT(ISNUMBER($H1385)),"金额须为数字",IF(AND($D1385="销项开票",$N1385="—"),"链条待确认","√")))))))))))</f>
        <v/>
      </c>
      <c r="M1385" s="34" t="str">
        <f aca="false">IF($C1385="","",IFERROR(INDEX(项目档案!$B$6:$B$255,MATCH($C1385,项目档案!$A$6:$A$255,0)),"⚠项目编号不存在"))</f>
        <v/>
      </c>
      <c r="N1385" s="35" t="str">
        <f aca="false">IF($E1385="","",IF($E1385=IFERROR(INDEX(项目档案!$D$6:$D$255,MATCH($C1385,项目档案!$A$6:$A$255,0)),""),"一级",IF($E1385=IFERROR(INDEX(项目档案!$F$6:$F$255,MATCH($C1385,项目档案!$A$6:$A$255,0)),""),"二级",IF($E1385=IFERROR(INDEX(项目档案!$H$6:$H$255,MATCH($C1385,项目档案!$A$6:$A$255,0)),""),"我方","—"))))</f>
        <v/>
      </c>
      <c r="O1385" s="36" t="n">
        <f aca="false">IF($D1385&lt;&gt;"销项开票",0,ROUND(N($H1385)*N($I1385),2))</f>
        <v>0</v>
      </c>
      <c r="P1385" s="36" t="n">
        <f aca="false">IF($D1385&lt;&gt;"销项开票",0,ROUND(N($H1385)-$O1385,2))</f>
        <v>0</v>
      </c>
      <c r="Q1385" s="37" t="str">
        <f aca="false">IF($E1385="","",N(IFERROR(INDEX(单位档案!$E$6:$E$35,MATCH($E1385,单位档案!$A$6:$A$35,0)),"")))</f>
        <v/>
      </c>
      <c r="R1385" s="37" t="str">
        <f aca="false">IF($E1385="","",N(IFERROR(INDEX(单位档案!$F$6:$F$35,MATCH($E1385,单位档案!$A$6:$A$35,0)),"")))</f>
        <v/>
      </c>
      <c r="S1385" s="36" t="n">
        <f aca="false">IF(OR($D1385&lt;&gt;"销项开票",IFERROR(INDEX(单位档案!$G$6:$G$35,MATCH($E1385,单位档案!$A$6:$A$35,0)),"")&lt;&gt;"是",N($Q1385)=0),0,IF(IFERROR(INDEX(单位档案!$H$6:$H$35,MATCH($E1385,单位档案!$A$6:$A$35,0)),"")="税差法",ROUND(N($H1385)/(1+$Q1385)*$Q1385-IF(N($R1385)=0,0,$P1385/(1+$R1385)*$R1385),2),ROUND(N($H1385)/(1+$Q1385)*$Q1385,2)))</f>
        <v>0</v>
      </c>
      <c r="T1385" s="36" t="n">
        <f aca="false">ROUND($S1385*N(IFERROR(INDEX(单位档案!$J$6:$J$35,MATCH($E1385,单位档案!$A$6:$A$35,0)),"")),2)</f>
        <v>0</v>
      </c>
      <c r="U1385" s="36" t="n">
        <f aca="false">IF($D1385&lt;&gt;"销项开票",0,ROUND(N($H1385)*N(IFERROR(INDEX(单位档案!$K$6:$K$35,MATCH($E1385,单位档案!$A$6:$A$35,0)),"")),2))</f>
        <v>0</v>
      </c>
      <c r="V1385" s="36" t="n">
        <f aca="false">IF(OR($D1385&lt;&gt;"销项开票",N($Q1385)=0),0,ROUND(N($H1385)/(1+$Q1385)*N(IFERROR(INDEX(单位档案!$L$6:$L$35,MATCH($E1385,单位档案!$A$6:$A$35,0)),"")),2))</f>
        <v>0</v>
      </c>
      <c r="W1385" s="36" t="n">
        <f aca="false">ROUND($S1385+$T1385+$U1385+$V1385,2)</f>
        <v>0</v>
      </c>
      <c r="X1385" s="35" t="str">
        <f aca="false">IF(OR($D1385="挂靠代收",$D1385="我方收款"),COUNTIFS($D$5:$D1385,"挂靠代收")+COUNTIFS($D$5:$D1385,"我方收款"),"")</f>
        <v/>
      </c>
      <c r="Y1385" s="35"/>
      <c r="Z1385" s="21" t="s">
        <v>111</v>
      </c>
    </row>
    <row r="1386" customFormat="false" ht="15.75" hidden="false" customHeight="true" outlineLevel="0" collapsed="false">
      <c r="A1386" s="32" t="str">
        <f aca="false">IF($B1386="","",ROW()-4)</f>
        <v/>
      </c>
      <c r="B1386" s="26"/>
      <c r="C1386" s="24"/>
      <c r="D1386" s="21"/>
      <c r="E1386" s="21"/>
      <c r="F1386" s="21"/>
      <c r="G1386" s="21"/>
      <c r="H1386" s="27"/>
      <c r="I1386" s="23" t="str">
        <f aca="false">IF($D1386&lt;&gt;"销项开票","",IF($N1386="一级",IF(IFERROR(INDEX(项目档案!$E$6:$E$255,MATCH($C1386,项目档案!$A$6:$A$255,0)),"")="",N(IFERROR(INDEX(单位档案!$D$6:$D$35,MATCH($E1386,单位档案!$A$6:$A$35,0)),"")),IFERROR(INDEX(项目档案!$E$6:$E$255,MATCH($C1386,项目档案!$A$6:$A$255,0)),"")),IF($N1386="二级",IF(IFERROR(INDEX(项目档案!$G$6:$G$255,MATCH($C1386,项目档案!$A$6:$A$255,0)),"")="",N(IFERROR(INDEX(单位档案!$D$6:$D$35,MATCH($E1386,单位档案!$A$6:$A$35,0)),"")),IFERROR(INDEX(项目档案!$G$6:$G$255,MATCH($C1386,项目档案!$A$6:$A$255,0)),"")),N(IFERROR(INDEX(单位档案!$D$6:$D$35,MATCH($E1386,单位档案!$A$6:$A$35,0)),"")))))</f>
        <v/>
      </c>
      <c r="J1386" s="22"/>
      <c r="K1386" s="22"/>
      <c r="L1386" s="33" t="str">
        <f aca="false">IF($B1386="","",IF(NOT(ISNUMBER($B1386)),"日期格式不对",IF($C1386="","未选项目编号",IF(LEFT($M1386,1)="⚠","项目编号不存在",IF($D1386="","未选业务类型",IF($E1386="","未选开票/付款方",IF(ISNA(MATCH($E1386,单位档案!$A$6:$A$35,0)),"开票方不在单位档案",IF($F1386="","未选收票/收款方",IF(ISNA(MATCH($F1386,单位档案!$A$6:$A$35,0)),"收款方不在单位档案",IF(NOT(ISNUMBER($H1386)),"金额须为数字",IF(AND($D1386="销项开票",$N1386="—"),"链条待确认","√")))))))))))</f>
        <v/>
      </c>
      <c r="M1386" s="34" t="str">
        <f aca="false">IF($C1386="","",IFERROR(INDEX(项目档案!$B$6:$B$255,MATCH($C1386,项目档案!$A$6:$A$255,0)),"⚠项目编号不存在"))</f>
        <v/>
      </c>
      <c r="N1386" s="35" t="str">
        <f aca="false">IF($E1386="","",IF($E1386=IFERROR(INDEX(项目档案!$D$6:$D$255,MATCH($C1386,项目档案!$A$6:$A$255,0)),""),"一级",IF($E1386=IFERROR(INDEX(项目档案!$F$6:$F$255,MATCH($C1386,项目档案!$A$6:$A$255,0)),""),"二级",IF($E1386=IFERROR(INDEX(项目档案!$H$6:$H$255,MATCH($C1386,项目档案!$A$6:$A$255,0)),""),"我方","—"))))</f>
        <v/>
      </c>
      <c r="O1386" s="36" t="n">
        <f aca="false">IF($D1386&lt;&gt;"销项开票",0,ROUND(N($H1386)*N($I1386),2))</f>
        <v>0</v>
      </c>
      <c r="P1386" s="36" t="n">
        <f aca="false">IF($D1386&lt;&gt;"销项开票",0,ROUND(N($H1386)-$O1386,2))</f>
        <v>0</v>
      </c>
      <c r="Q1386" s="37" t="str">
        <f aca="false">IF($E1386="","",N(IFERROR(INDEX(单位档案!$E$6:$E$35,MATCH($E1386,单位档案!$A$6:$A$35,0)),"")))</f>
        <v/>
      </c>
      <c r="R1386" s="37" t="str">
        <f aca="false">IF($E1386="","",N(IFERROR(INDEX(单位档案!$F$6:$F$35,MATCH($E1386,单位档案!$A$6:$A$35,0)),"")))</f>
        <v/>
      </c>
      <c r="S1386" s="36" t="n">
        <f aca="false">IF(OR($D1386&lt;&gt;"销项开票",IFERROR(INDEX(单位档案!$G$6:$G$35,MATCH($E1386,单位档案!$A$6:$A$35,0)),"")&lt;&gt;"是",N($Q1386)=0),0,IF(IFERROR(INDEX(单位档案!$H$6:$H$35,MATCH($E1386,单位档案!$A$6:$A$35,0)),"")="税差法",ROUND(N($H1386)/(1+$Q1386)*$Q1386-IF(N($R1386)=0,0,$P1386/(1+$R1386)*$R1386),2),ROUND(N($H1386)/(1+$Q1386)*$Q1386,2)))</f>
        <v>0</v>
      </c>
      <c r="T1386" s="36" t="n">
        <f aca="false">ROUND($S1386*N(IFERROR(INDEX(单位档案!$J$6:$J$35,MATCH($E1386,单位档案!$A$6:$A$35,0)),"")),2)</f>
        <v>0</v>
      </c>
      <c r="U1386" s="36" t="n">
        <f aca="false">IF($D1386&lt;&gt;"销项开票",0,ROUND(N($H1386)*N(IFERROR(INDEX(单位档案!$K$6:$K$35,MATCH($E1386,单位档案!$A$6:$A$35,0)),"")),2))</f>
        <v>0</v>
      </c>
      <c r="V1386" s="36" t="n">
        <f aca="false">IF(OR($D1386&lt;&gt;"销项开票",N($Q1386)=0),0,ROUND(N($H1386)/(1+$Q1386)*N(IFERROR(INDEX(单位档案!$L$6:$L$35,MATCH($E1386,单位档案!$A$6:$A$35,0)),"")),2))</f>
        <v>0</v>
      </c>
      <c r="W1386" s="36" t="n">
        <f aca="false">ROUND($S1386+$T1386+$U1386+$V1386,2)</f>
        <v>0</v>
      </c>
      <c r="X1386" s="35" t="str">
        <f aca="false">IF(OR($D1386="挂靠代收",$D1386="我方收款"),COUNTIFS($D$5:$D1386,"挂靠代收")+COUNTIFS($D$5:$D1386,"我方收款"),"")</f>
        <v/>
      </c>
      <c r="Y1386" s="35"/>
      <c r="Z1386" s="21" t="s">
        <v>111</v>
      </c>
    </row>
    <row r="1387" customFormat="false" ht="15.75" hidden="false" customHeight="true" outlineLevel="0" collapsed="false">
      <c r="A1387" s="32" t="str">
        <f aca="false">IF($B1387="","",ROW()-4)</f>
        <v/>
      </c>
      <c r="B1387" s="26"/>
      <c r="C1387" s="24"/>
      <c r="D1387" s="21"/>
      <c r="E1387" s="21"/>
      <c r="F1387" s="21"/>
      <c r="G1387" s="21"/>
      <c r="H1387" s="27"/>
      <c r="I1387" s="23" t="str">
        <f aca="false">IF($D1387&lt;&gt;"销项开票","",IF($N1387="一级",IF(IFERROR(INDEX(项目档案!$E$6:$E$255,MATCH($C1387,项目档案!$A$6:$A$255,0)),"")="",N(IFERROR(INDEX(单位档案!$D$6:$D$35,MATCH($E1387,单位档案!$A$6:$A$35,0)),"")),IFERROR(INDEX(项目档案!$E$6:$E$255,MATCH($C1387,项目档案!$A$6:$A$255,0)),"")),IF($N1387="二级",IF(IFERROR(INDEX(项目档案!$G$6:$G$255,MATCH($C1387,项目档案!$A$6:$A$255,0)),"")="",N(IFERROR(INDEX(单位档案!$D$6:$D$35,MATCH($E1387,单位档案!$A$6:$A$35,0)),"")),IFERROR(INDEX(项目档案!$G$6:$G$255,MATCH($C1387,项目档案!$A$6:$A$255,0)),"")),N(IFERROR(INDEX(单位档案!$D$6:$D$35,MATCH($E1387,单位档案!$A$6:$A$35,0)),"")))))</f>
        <v/>
      </c>
      <c r="J1387" s="22"/>
      <c r="K1387" s="22"/>
      <c r="L1387" s="33" t="str">
        <f aca="false">IF($B1387="","",IF(NOT(ISNUMBER($B1387)),"日期格式不对",IF($C1387="","未选项目编号",IF(LEFT($M1387,1)="⚠","项目编号不存在",IF($D1387="","未选业务类型",IF($E1387="","未选开票/付款方",IF(ISNA(MATCH($E1387,单位档案!$A$6:$A$35,0)),"开票方不在单位档案",IF($F1387="","未选收票/收款方",IF(ISNA(MATCH($F1387,单位档案!$A$6:$A$35,0)),"收款方不在单位档案",IF(NOT(ISNUMBER($H1387)),"金额须为数字",IF(AND($D1387="销项开票",$N1387="—"),"链条待确认","√")))))))))))</f>
        <v/>
      </c>
      <c r="M1387" s="34" t="str">
        <f aca="false">IF($C1387="","",IFERROR(INDEX(项目档案!$B$6:$B$255,MATCH($C1387,项目档案!$A$6:$A$255,0)),"⚠项目编号不存在"))</f>
        <v/>
      </c>
      <c r="N1387" s="35" t="str">
        <f aca="false">IF($E1387="","",IF($E1387=IFERROR(INDEX(项目档案!$D$6:$D$255,MATCH($C1387,项目档案!$A$6:$A$255,0)),""),"一级",IF($E1387=IFERROR(INDEX(项目档案!$F$6:$F$255,MATCH($C1387,项目档案!$A$6:$A$255,0)),""),"二级",IF($E1387=IFERROR(INDEX(项目档案!$H$6:$H$255,MATCH($C1387,项目档案!$A$6:$A$255,0)),""),"我方","—"))))</f>
        <v/>
      </c>
      <c r="O1387" s="36" t="n">
        <f aca="false">IF($D1387&lt;&gt;"销项开票",0,ROUND(N($H1387)*N($I1387),2))</f>
        <v>0</v>
      </c>
      <c r="P1387" s="36" t="n">
        <f aca="false">IF($D1387&lt;&gt;"销项开票",0,ROUND(N($H1387)-$O1387,2))</f>
        <v>0</v>
      </c>
      <c r="Q1387" s="37" t="str">
        <f aca="false">IF($E1387="","",N(IFERROR(INDEX(单位档案!$E$6:$E$35,MATCH($E1387,单位档案!$A$6:$A$35,0)),"")))</f>
        <v/>
      </c>
      <c r="R1387" s="37" t="str">
        <f aca="false">IF($E1387="","",N(IFERROR(INDEX(单位档案!$F$6:$F$35,MATCH($E1387,单位档案!$A$6:$A$35,0)),"")))</f>
        <v/>
      </c>
      <c r="S1387" s="36" t="n">
        <f aca="false">IF(OR($D1387&lt;&gt;"销项开票",IFERROR(INDEX(单位档案!$G$6:$G$35,MATCH($E1387,单位档案!$A$6:$A$35,0)),"")&lt;&gt;"是",N($Q1387)=0),0,IF(IFERROR(INDEX(单位档案!$H$6:$H$35,MATCH($E1387,单位档案!$A$6:$A$35,0)),"")="税差法",ROUND(N($H1387)/(1+$Q1387)*$Q1387-IF(N($R1387)=0,0,$P1387/(1+$R1387)*$R1387),2),ROUND(N($H1387)/(1+$Q1387)*$Q1387,2)))</f>
        <v>0</v>
      </c>
      <c r="T1387" s="36" t="n">
        <f aca="false">ROUND($S1387*N(IFERROR(INDEX(单位档案!$J$6:$J$35,MATCH($E1387,单位档案!$A$6:$A$35,0)),"")),2)</f>
        <v>0</v>
      </c>
      <c r="U1387" s="36" t="n">
        <f aca="false">IF($D1387&lt;&gt;"销项开票",0,ROUND(N($H1387)*N(IFERROR(INDEX(单位档案!$K$6:$K$35,MATCH($E1387,单位档案!$A$6:$A$35,0)),"")),2))</f>
        <v>0</v>
      </c>
      <c r="V1387" s="36" t="n">
        <f aca="false">IF(OR($D1387&lt;&gt;"销项开票",N($Q1387)=0),0,ROUND(N($H1387)/(1+$Q1387)*N(IFERROR(INDEX(单位档案!$L$6:$L$35,MATCH($E1387,单位档案!$A$6:$A$35,0)),"")),2))</f>
        <v>0</v>
      </c>
      <c r="W1387" s="36" t="n">
        <f aca="false">ROUND($S1387+$T1387+$U1387+$V1387,2)</f>
        <v>0</v>
      </c>
      <c r="X1387" s="35" t="str">
        <f aca="false">IF(OR($D1387="挂靠代收",$D1387="我方收款"),COUNTIFS($D$5:$D1387,"挂靠代收")+COUNTIFS($D$5:$D1387,"我方收款"),"")</f>
        <v/>
      </c>
      <c r="Y1387" s="35"/>
      <c r="Z1387" s="21" t="s">
        <v>111</v>
      </c>
    </row>
    <row r="1388" customFormat="false" ht="15.75" hidden="false" customHeight="true" outlineLevel="0" collapsed="false">
      <c r="A1388" s="32" t="str">
        <f aca="false">IF($B1388="","",ROW()-4)</f>
        <v/>
      </c>
      <c r="B1388" s="26"/>
      <c r="C1388" s="24"/>
      <c r="D1388" s="21"/>
      <c r="E1388" s="21"/>
      <c r="F1388" s="21"/>
      <c r="G1388" s="21"/>
      <c r="H1388" s="27"/>
      <c r="I1388" s="23" t="str">
        <f aca="false">IF($D1388&lt;&gt;"销项开票","",IF($N1388="一级",IF(IFERROR(INDEX(项目档案!$E$6:$E$255,MATCH($C1388,项目档案!$A$6:$A$255,0)),"")="",N(IFERROR(INDEX(单位档案!$D$6:$D$35,MATCH($E1388,单位档案!$A$6:$A$35,0)),"")),IFERROR(INDEX(项目档案!$E$6:$E$255,MATCH($C1388,项目档案!$A$6:$A$255,0)),"")),IF($N1388="二级",IF(IFERROR(INDEX(项目档案!$G$6:$G$255,MATCH($C1388,项目档案!$A$6:$A$255,0)),"")="",N(IFERROR(INDEX(单位档案!$D$6:$D$35,MATCH($E1388,单位档案!$A$6:$A$35,0)),"")),IFERROR(INDEX(项目档案!$G$6:$G$255,MATCH($C1388,项目档案!$A$6:$A$255,0)),"")),N(IFERROR(INDEX(单位档案!$D$6:$D$35,MATCH($E1388,单位档案!$A$6:$A$35,0)),"")))))</f>
        <v/>
      </c>
      <c r="J1388" s="22"/>
      <c r="K1388" s="22"/>
      <c r="L1388" s="33" t="str">
        <f aca="false">IF($B1388="","",IF(NOT(ISNUMBER($B1388)),"日期格式不对",IF($C1388="","未选项目编号",IF(LEFT($M1388,1)="⚠","项目编号不存在",IF($D1388="","未选业务类型",IF($E1388="","未选开票/付款方",IF(ISNA(MATCH($E1388,单位档案!$A$6:$A$35,0)),"开票方不在单位档案",IF($F1388="","未选收票/收款方",IF(ISNA(MATCH($F1388,单位档案!$A$6:$A$35,0)),"收款方不在单位档案",IF(NOT(ISNUMBER($H1388)),"金额须为数字",IF(AND($D1388="销项开票",$N1388="—"),"链条待确认","√")))))))))))</f>
        <v/>
      </c>
      <c r="M1388" s="34" t="str">
        <f aca="false">IF($C1388="","",IFERROR(INDEX(项目档案!$B$6:$B$255,MATCH($C1388,项目档案!$A$6:$A$255,0)),"⚠项目编号不存在"))</f>
        <v/>
      </c>
      <c r="N1388" s="35" t="str">
        <f aca="false">IF($E1388="","",IF($E1388=IFERROR(INDEX(项目档案!$D$6:$D$255,MATCH($C1388,项目档案!$A$6:$A$255,0)),""),"一级",IF($E1388=IFERROR(INDEX(项目档案!$F$6:$F$255,MATCH($C1388,项目档案!$A$6:$A$255,0)),""),"二级",IF($E1388=IFERROR(INDEX(项目档案!$H$6:$H$255,MATCH($C1388,项目档案!$A$6:$A$255,0)),""),"我方","—"))))</f>
        <v/>
      </c>
      <c r="O1388" s="36" t="n">
        <f aca="false">IF($D1388&lt;&gt;"销项开票",0,ROUND(N($H1388)*N($I1388),2))</f>
        <v>0</v>
      </c>
      <c r="P1388" s="36" t="n">
        <f aca="false">IF($D1388&lt;&gt;"销项开票",0,ROUND(N($H1388)-$O1388,2))</f>
        <v>0</v>
      </c>
      <c r="Q1388" s="37" t="str">
        <f aca="false">IF($E1388="","",N(IFERROR(INDEX(单位档案!$E$6:$E$35,MATCH($E1388,单位档案!$A$6:$A$35,0)),"")))</f>
        <v/>
      </c>
      <c r="R1388" s="37" t="str">
        <f aca="false">IF($E1388="","",N(IFERROR(INDEX(单位档案!$F$6:$F$35,MATCH($E1388,单位档案!$A$6:$A$35,0)),"")))</f>
        <v/>
      </c>
      <c r="S1388" s="36" t="n">
        <f aca="false">IF(OR($D1388&lt;&gt;"销项开票",IFERROR(INDEX(单位档案!$G$6:$G$35,MATCH($E1388,单位档案!$A$6:$A$35,0)),"")&lt;&gt;"是",N($Q1388)=0),0,IF(IFERROR(INDEX(单位档案!$H$6:$H$35,MATCH($E1388,单位档案!$A$6:$A$35,0)),"")="税差法",ROUND(N($H1388)/(1+$Q1388)*$Q1388-IF(N($R1388)=0,0,$P1388/(1+$R1388)*$R1388),2),ROUND(N($H1388)/(1+$Q1388)*$Q1388,2)))</f>
        <v>0</v>
      </c>
      <c r="T1388" s="36" t="n">
        <f aca="false">ROUND($S1388*N(IFERROR(INDEX(单位档案!$J$6:$J$35,MATCH($E1388,单位档案!$A$6:$A$35,0)),"")),2)</f>
        <v>0</v>
      </c>
      <c r="U1388" s="36" t="n">
        <f aca="false">IF($D1388&lt;&gt;"销项开票",0,ROUND(N($H1388)*N(IFERROR(INDEX(单位档案!$K$6:$K$35,MATCH($E1388,单位档案!$A$6:$A$35,0)),"")),2))</f>
        <v>0</v>
      </c>
      <c r="V1388" s="36" t="n">
        <f aca="false">IF(OR($D1388&lt;&gt;"销项开票",N($Q1388)=0),0,ROUND(N($H1388)/(1+$Q1388)*N(IFERROR(INDEX(单位档案!$L$6:$L$35,MATCH($E1388,单位档案!$A$6:$A$35,0)),"")),2))</f>
        <v>0</v>
      </c>
      <c r="W1388" s="36" t="n">
        <f aca="false">ROUND($S1388+$T1388+$U1388+$V1388,2)</f>
        <v>0</v>
      </c>
      <c r="X1388" s="35" t="str">
        <f aca="false">IF(OR($D1388="挂靠代收",$D1388="我方收款"),COUNTIFS($D$5:$D1388,"挂靠代收")+COUNTIFS($D$5:$D1388,"我方收款"),"")</f>
        <v/>
      </c>
      <c r="Y1388" s="35"/>
      <c r="Z1388" s="21" t="s">
        <v>111</v>
      </c>
    </row>
    <row r="1389" customFormat="false" ht="15.75" hidden="false" customHeight="true" outlineLevel="0" collapsed="false">
      <c r="A1389" s="32" t="str">
        <f aca="false">IF($B1389="","",ROW()-4)</f>
        <v/>
      </c>
      <c r="B1389" s="26"/>
      <c r="C1389" s="24"/>
      <c r="D1389" s="21"/>
      <c r="E1389" s="21"/>
      <c r="F1389" s="21"/>
      <c r="G1389" s="21"/>
      <c r="H1389" s="27"/>
      <c r="I1389" s="23" t="str">
        <f aca="false">IF($D1389&lt;&gt;"销项开票","",IF($N1389="一级",IF(IFERROR(INDEX(项目档案!$E$6:$E$255,MATCH($C1389,项目档案!$A$6:$A$255,0)),"")="",N(IFERROR(INDEX(单位档案!$D$6:$D$35,MATCH($E1389,单位档案!$A$6:$A$35,0)),"")),IFERROR(INDEX(项目档案!$E$6:$E$255,MATCH($C1389,项目档案!$A$6:$A$255,0)),"")),IF($N1389="二级",IF(IFERROR(INDEX(项目档案!$G$6:$G$255,MATCH($C1389,项目档案!$A$6:$A$255,0)),"")="",N(IFERROR(INDEX(单位档案!$D$6:$D$35,MATCH($E1389,单位档案!$A$6:$A$35,0)),"")),IFERROR(INDEX(项目档案!$G$6:$G$255,MATCH($C1389,项目档案!$A$6:$A$255,0)),"")),N(IFERROR(INDEX(单位档案!$D$6:$D$35,MATCH($E1389,单位档案!$A$6:$A$35,0)),"")))))</f>
        <v/>
      </c>
      <c r="J1389" s="22"/>
      <c r="K1389" s="22"/>
      <c r="L1389" s="33" t="str">
        <f aca="false">IF($B1389="","",IF(NOT(ISNUMBER($B1389)),"日期格式不对",IF($C1389="","未选项目编号",IF(LEFT($M1389,1)="⚠","项目编号不存在",IF($D1389="","未选业务类型",IF($E1389="","未选开票/付款方",IF(ISNA(MATCH($E1389,单位档案!$A$6:$A$35,0)),"开票方不在单位档案",IF($F1389="","未选收票/收款方",IF(ISNA(MATCH($F1389,单位档案!$A$6:$A$35,0)),"收款方不在单位档案",IF(NOT(ISNUMBER($H1389)),"金额须为数字",IF(AND($D1389="销项开票",$N1389="—"),"链条待确认","√")))))))))))</f>
        <v/>
      </c>
      <c r="M1389" s="34" t="str">
        <f aca="false">IF($C1389="","",IFERROR(INDEX(项目档案!$B$6:$B$255,MATCH($C1389,项目档案!$A$6:$A$255,0)),"⚠项目编号不存在"))</f>
        <v/>
      </c>
      <c r="N1389" s="35" t="str">
        <f aca="false">IF($E1389="","",IF($E1389=IFERROR(INDEX(项目档案!$D$6:$D$255,MATCH($C1389,项目档案!$A$6:$A$255,0)),""),"一级",IF($E1389=IFERROR(INDEX(项目档案!$F$6:$F$255,MATCH($C1389,项目档案!$A$6:$A$255,0)),""),"二级",IF($E1389=IFERROR(INDEX(项目档案!$H$6:$H$255,MATCH($C1389,项目档案!$A$6:$A$255,0)),""),"我方","—"))))</f>
        <v/>
      </c>
      <c r="O1389" s="36" t="n">
        <f aca="false">IF($D1389&lt;&gt;"销项开票",0,ROUND(N($H1389)*N($I1389),2))</f>
        <v>0</v>
      </c>
      <c r="P1389" s="36" t="n">
        <f aca="false">IF($D1389&lt;&gt;"销项开票",0,ROUND(N($H1389)-$O1389,2))</f>
        <v>0</v>
      </c>
      <c r="Q1389" s="37" t="str">
        <f aca="false">IF($E1389="","",N(IFERROR(INDEX(单位档案!$E$6:$E$35,MATCH($E1389,单位档案!$A$6:$A$35,0)),"")))</f>
        <v/>
      </c>
      <c r="R1389" s="37" t="str">
        <f aca="false">IF($E1389="","",N(IFERROR(INDEX(单位档案!$F$6:$F$35,MATCH($E1389,单位档案!$A$6:$A$35,0)),"")))</f>
        <v/>
      </c>
      <c r="S1389" s="36" t="n">
        <f aca="false">IF(OR($D1389&lt;&gt;"销项开票",IFERROR(INDEX(单位档案!$G$6:$G$35,MATCH($E1389,单位档案!$A$6:$A$35,0)),"")&lt;&gt;"是",N($Q1389)=0),0,IF(IFERROR(INDEX(单位档案!$H$6:$H$35,MATCH($E1389,单位档案!$A$6:$A$35,0)),"")="税差法",ROUND(N($H1389)/(1+$Q1389)*$Q1389-IF(N($R1389)=0,0,$P1389/(1+$R1389)*$R1389),2),ROUND(N($H1389)/(1+$Q1389)*$Q1389,2)))</f>
        <v>0</v>
      </c>
      <c r="T1389" s="36" t="n">
        <f aca="false">ROUND($S1389*N(IFERROR(INDEX(单位档案!$J$6:$J$35,MATCH($E1389,单位档案!$A$6:$A$35,0)),"")),2)</f>
        <v>0</v>
      </c>
      <c r="U1389" s="36" t="n">
        <f aca="false">IF($D1389&lt;&gt;"销项开票",0,ROUND(N($H1389)*N(IFERROR(INDEX(单位档案!$K$6:$K$35,MATCH($E1389,单位档案!$A$6:$A$35,0)),"")),2))</f>
        <v>0</v>
      </c>
      <c r="V1389" s="36" t="n">
        <f aca="false">IF(OR($D1389&lt;&gt;"销项开票",N($Q1389)=0),0,ROUND(N($H1389)/(1+$Q1389)*N(IFERROR(INDEX(单位档案!$L$6:$L$35,MATCH($E1389,单位档案!$A$6:$A$35,0)),"")),2))</f>
        <v>0</v>
      </c>
      <c r="W1389" s="36" t="n">
        <f aca="false">ROUND($S1389+$T1389+$U1389+$V1389,2)</f>
        <v>0</v>
      </c>
      <c r="X1389" s="35" t="str">
        <f aca="false">IF(OR($D1389="挂靠代收",$D1389="我方收款"),COUNTIFS($D$5:$D1389,"挂靠代收")+COUNTIFS($D$5:$D1389,"我方收款"),"")</f>
        <v/>
      </c>
      <c r="Y1389" s="35"/>
      <c r="Z1389" s="21" t="s">
        <v>111</v>
      </c>
    </row>
    <row r="1390" customFormat="false" ht="15.75" hidden="false" customHeight="true" outlineLevel="0" collapsed="false">
      <c r="A1390" s="32" t="str">
        <f aca="false">IF($B1390="","",ROW()-4)</f>
        <v/>
      </c>
      <c r="B1390" s="26"/>
      <c r="C1390" s="24"/>
      <c r="D1390" s="21"/>
      <c r="E1390" s="21"/>
      <c r="F1390" s="21"/>
      <c r="G1390" s="21"/>
      <c r="H1390" s="27"/>
      <c r="I1390" s="23" t="str">
        <f aca="false">IF($D1390&lt;&gt;"销项开票","",IF($N1390="一级",IF(IFERROR(INDEX(项目档案!$E$6:$E$255,MATCH($C1390,项目档案!$A$6:$A$255,0)),"")="",N(IFERROR(INDEX(单位档案!$D$6:$D$35,MATCH($E1390,单位档案!$A$6:$A$35,0)),"")),IFERROR(INDEX(项目档案!$E$6:$E$255,MATCH($C1390,项目档案!$A$6:$A$255,0)),"")),IF($N1390="二级",IF(IFERROR(INDEX(项目档案!$G$6:$G$255,MATCH($C1390,项目档案!$A$6:$A$255,0)),"")="",N(IFERROR(INDEX(单位档案!$D$6:$D$35,MATCH($E1390,单位档案!$A$6:$A$35,0)),"")),IFERROR(INDEX(项目档案!$G$6:$G$255,MATCH($C1390,项目档案!$A$6:$A$255,0)),"")),N(IFERROR(INDEX(单位档案!$D$6:$D$35,MATCH($E1390,单位档案!$A$6:$A$35,0)),"")))))</f>
        <v/>
      </c>
      <c r="J1390" s="22"/>
      <c r="K1390" s="22"/>
      <c r="L1390" s="33" t="str">
        <f aca="false">IF($B1390="","",IF(NOT(ISNUMBER($B1390)),"日期格式不对",IF($C1390="","未选项目编号",IF(LEFT($M1390,1)="⚠","项目编号不存在",IF($D1390="","未选业务类型",IF($E1390="","未选开票/付款方",IF(ISNA(MATCH($E1390,单位档案!$A$6:$A$35,0)),"开票方不在单位档案",IF($F1390="","未选收票/收款方",IF(ISNA(MATCH($F1390,单位档案!$A$6:$A$35,0)),"收款方不在单位档案",IF(NOT(ISNUMBER($H1390)),"金额须为数字",IF(AND($D1390="销项开票",$N1390="—"),"链条待确认","√")))))))))))</f>
        <v/>
      </c>
      <c r="M1390" s="34" t="str">
        <f aca="false">IF($C1390="","",IFERROR(INDEX(项目档案!$B$6:$B$255,MATCH($C1390,项目档案!$A$6:$A$255,0)),"⚠项目编号不存在"))</f>
        <v/>
      </c>
      <c r="N1390" s="35" t="str">
        <f aca="false">IF($E1390="","",IF($E1390=IFERROR(INDEX(项目档案!$D$6:$D$255,MATCH($C1390,项目档案!$A$6:$A$255,0)),""),"一级",IF($E1390=IFERROR(INDEX(项目档案!$F$6:$F$255,MATCH($C1390,项目档案!$A$6:$A$255,0)),""),"二级",IF($E1390=IFERROR(INDEX(项目档案!$H$6:$H$255,MATCH($C1390,项目档案!$A$6:$A$255,0)),""),"我方","—"))))</f>
        <v/>
      </c>
      <c r="O1390" s="36" t="n">
        <f aca="false">IF($D1390&lt;&gt;"销项开票",0,ROUND(N($H1390)*N($I1390),2))</f>
        <v>0</v>
      </c>
      <c r="P1390" s="36" t="n">
        <f aca="false">IF($D1390&lt;&gt;"销项开票",0,ROUND(N($H1390)-$O1390,2))</f>
        <v>0</v>
      </c>
      <c r="Q1390" s="37" t="str">
        <f aca="false">IF($E1390="","",N(IFERROR(INDEX(单位档案!$E$6:$E$35,MATCH($E1390,单位档案!$A$6:$A$35,0)),"")))</f>
        <v/>
      </c>
      <c r="R1390" s="37" t="str">
        <f aca="false">IF($E1390="","",N(IFERROR(INDEX(单位档案!$F$6:$F$35,MATCH($E1390,单位档案!$A$6:$A$35,0)),"")))</f>
        <v/>
      </c>
      <c r="S1390" s="36" t="n">
        <f aca="false">IF(OR($D1390&lt;&gt;"销项开票",IFERROR(INDEX(单位档案!$G$6:$G$35,MATCH($E1390,单位档案!$A$6:$A$35,0)),"")&lt;&gt;"是",N($Q1390)=0),0,IF(IFERROR(INDEX(单位档案!$H$6:$H$35,MATCH($E1390,单位档案!$A$6:$A$35,0)),"")="税差法",ROUND(N($H1390)/(1+$Q1390)*$Q1390-IF(N($R1390)=0,0,$P1390/(1+$R1390)*$R1390),2),ROUND(N($H1390)/(1+$Q1390)*$Q1390,2)))</f>
        <v>0</v>
      </c>
      <c r="T1390" s="36" t="n">
        <f aca="false">ROUND($S1390*N(IFERROR(INDEX(单位档案!$J$6:$J$35,MATCH($E1390,单位档案!$A$6:$A$35,0)),"")),2)</f>
        <v>0</v>
      </c>
      <c r="U1390" s="36" t="n">
        <f aca="false">IF($D1390&lt;&gt;"销项开票",0,ROUND(N($H1390)*N(IFERROR(INDEX(单位档案!$K$6:$K$35,MATCH($E1390,单位档案!$A$6:$A$35,0)),"")),2))</f>
        <v>0</v>
      </c>
      <c r="V1390" s="36" t="n">
        <f aca="false">IF(OR($D1390&lt;&gt;"销项开票",N($Q1390)=0),0,ROUND(N($H1390)/(1+$Q1390)*N(IFERROR(INDEX(单位档案!$L$6:$L$35,MATCH($E1390,单位档案!$A$6:$A$35,0)),"")),2))</f>
        <v>0</v>
      </c>
      <c r="W1390" s="36" t="n">
        <f aca="false">ROUND($S1390+$T1390+$U1390+$V1390,2)</f>
        <v>0</v>
      </c>
      <c r="X1390" s="35" t="str">
        <f aca="false">IF(OR($D1390="挂靠代收",$D1390="我方收款"),COUNTIFS($D$5:$D1390,"挂靠代收")+COUNTIFS($D$5:$D1390,"我方收款"),"")</f>
        <v/>
      </c>
      <c r="Y1390" s="35"/>
      <c r="Z1390" s="21" t="s">
        <v>111</v>
      </c>
    </row>
    <row r="1391" customFormat="false" ht="15.75" hidden="false" customHeight="true" outlineLevel="0" collapsed="false">
      <c r="A1391" s="32" t="str">
        <f aca="false">IF($B1391="","",ROW()-4)</f>
        <v/>
      </c>
      <c r="B1391" s="26"/>
      <c r="C1391" s="24"/>
      <c r="D1391" s="21"/>
      <c r="E1391" s="21"/>
      <c r="F1391" s="21"/>
      <c r="G1391" s="21"/>
      <c r="H1391" s="27"/>
      <c r="I1391" s="23" t="str">
        <f aca="false">IF($D1391&lt;&gt;"销项开票","",IF($N1391="一级",IF(IFERROR(INDEX(项目档案!$E$6:$E$255,MATCH($C1391,项目档案!$A$6:$A$255,0)),"")="",N(IFERROR(INDEX(单位档案!$D$6:$D$35,MATCH($E1391,单位档案!$A$6:$A$35,0)),"")),IFERROR(INDEX(项目档案!$E$6:$E$255,MATCH($C1391,项目档案!$A$6:$A$255,0)),"")),IF($N1391="二级",IF(IFERROR(INDEX(项目档案!$G$6:$G$255,MATCH($C1391,项目档案!$A$6:$A$255,0)),"")="",N(IFERROR(INDEX(单位档案!$D$6:$D$35,MATCH($E1391,单位档案!$A$6:$A$35,0)),"")),IFERROR(INDEX(项目档案!$G$6:$G$255,MATCH($C1391,项目档案!$A$6:$A$255,0)),"")),N(IFERROR(INDEX(单位档案!$D$6:$D$35,MATCH($E1391,单位档案!$A$6:$A$35,0)),"")))))</f>
        <v/>
      </c>
      <c r="J1391" s="22"/>
      <c r="K1391" s="22"/>
      <c r="L1391" s="33" t="str">
        <f aca="false">IF($B1391="","",IF(NOT(ISNUMBER($B1391)),"日期格式不对",IF($C1391="","未选项目编号",IF(LEFT($M1391,1)="⚠","项目编号不存在",IF($D1391="","未选业务类型",IF($E1391="","未选开票/付款方",IF(ISNA(MATCH($E1391,单位档案!$A$6:$A$35,0)),"开票方不在单位档案",IF($F1391="","未选收票/收款方",IF(ISNA(MATCH($F1391,单位档案!$A$6:$A$35,0)),"收款方不在单位档案",IF(NOT(ISNUMBER($H1391)),"金额须为数字",IF(AND($D1391="销项开票",$N1391="—"),"链条待确认","√")))))))))))</f>
        <v/>
      </c>
      <c r="M1391" s="34" t="str">
        <f aca="false">IF($C1391="","",IFERROR(INDEX(项目档案!$B$6:$B$255,MATCH($C1391,项目档案!$A$6:$A$255,0)),"⚠项目编号不存在"))</f>
        <v/>
      </c>
      <c r="N1391" s="35" t="str">
        <f aca="false">IF($E1391="","",IF($E1391=IFERROR(INDEX(项目档案!$D$6:$D$255,MATCH($C1391,项目档案!$A$6:$A$255,0)),""),"一级",IF($E1391=IFERROR(INDEX(项目档案!$F$6:$F$255,MATCH($C1391,项目档案!$A$6:$A$255,0)),""),"二级",IF($E1391=IFERROR(INDEX(项目档案!$H$6:$H$255,MATCH($C1391,项目档案!$A$6:$A$255,0)),""),"我方","—"))))</f>
        <v/>
      </c>
      <c r="O1391" s="36" t="n">
        <f aca="false">IF($D1391&lt;&gt;"销项开票",0,ROUND(N($H1391)*N($I1391),2))</f>
        <v>0</v>
      </c>
      <c r="P1391" s="36" t="n">
        <f aca="false">IF($D1391&lt;&gt;"销项开票",0,ROUND(N($H1391)-$O1391,2))</f>
        <v>0</v>
      </c>
      <c r="Q1391" s="37" t="str">
        <f aca="false">IF($E1391="","",N(IFERROR(INDEX(单位档案!$E$6:$E$35,MATCH($E1391,单位档案!$A$6:$A$35,0)),"")))</f>
        <v/>
      </c>
      <c r="R1391" s="37" t="str">
        <f aca="false">IF($E1391="","",N(IFERROR(INDEX(单位档案!$F$6:$F$35,MATCH($E1391,单位档案!$A$6:$A$35,0)),"")))</f>
        <v/>
      </c>
      <c r="S1391" s="36" t="n">
        <f aca="false">IF(OR($D1391&lt;&gt;"销项开票",IFERROR(INDEX(单位档案!$G$6:$G$35,MATCH($E1391,单位档案!$A$6:$A$35,0)),"")&lt;&gt;"是",N($Q1391)=0),0,IF(IFERROR(INDEX(单位档案!$H$6:$H$35,MATCH($E1391,单位档案!$A$6:$A$35,0)),"")="税差法",ROUND(N($H1391)/(1+$Q1391)*$Q1391-IF(N($R1391)=0,0,$P1391/(1+$R1391)*$R1391),2),ROUND(N($H1391)/(1+$Q1391)*$Q1391,2)))</f>
        <v>0</v>
      </c>
      <c r="T1391" s="36" t="n">
        <f aca="false">ROUND($S1391*N(IFERROR(INDEX(单位档案!$J$6:$J$35,MATCH($E1391,单位档案!$A$6:$A$35,0)),"")),2)</f>
        <v>0</v>
      </c>
      <c r="U1391" s="36" t="n">
        <f aca="false">IF($D1391&lt;&gt;"销项开票",0,ROUND(N($H1391)*N(IFERROR(INDEX(单位档案!$K$6:$K$35,MATCH($E1391,单位档案!$A$6:$A$35,0)),"")),2))</f>
        <v>0</v>
      </c>
      <c r="V1391" s="36" t="n">
        <f aca="false">IF(OR($D1391&lt;&gt;"销项开票",N($Q1391)=0),0,ROUND(N($H1391)/(1+$Q1391)*N(IFERROR(INDEX(单位档案!$L$6:$L$35,MATCH($E1391,单位档案!$A$6:$A$35,0)),"")),2))</f>
        <v>0</v>
      </c>
      <c r="W1391" s="36" t="n">
        <f aca="false">ROUND($S1391+$T1391+$U1391+$V1391,2)</f>
        <v>0</v>
      </c>
      <c r="X1391" s="35" t="str">
        <f aca="false">IF(OR($D1391="挂靠代收",$D1391="我方收款"),COUNTIFS($D$5:$D1391,"挂靠代收")+COUNTIFS($D$5:$D1391,"我方收款"),"")</f>
        <v/>
      </c>
      <c r="Y1391" s="35"/>
      <c r="Z1391" s="21" t="s">
        <v>111</v>
      </c>
    </row>
    <row r="1392" customFormat="false" ht="15.75" hidden="false" customHeight="true" outlineLevel="0" collapsed="false">
      <c r="A1392" s="32" t="str">
        <f aca="false">IF($B1392="","",ROW()-4)</f>
        <v/>
      </c>
      <c r="B1392" s="26"/>
      <c r="C1392" s="24"/>
      <c r="D1392" s="21"/>
      <c r="E1392" s="21"/>
      <c r="F1392" s="21"/>
      <c r="G1392" s="21"/>
      <c r="H1392" s="27"/>
      <c r="I1392" s="23" t="str">
        <f aca="false">IF($D1392&lt;&gt;"销项开票","",IF($N1392="一级",IF(IFERROR(INDEX(项目档案!$E$6:$E$255,MATCH($C1392,项目档案!$A$6:$A$255,0)),"")="",N(IFERROR(INDEX(单位档案!$D$6:$D$35,MATCH($E1392,单位档案!$A$6:$A$35,0)),"")),IFERROR(INDEX(项目档案!$E$6:$E$255,MATCH($C1392,项目档案!$A$6:$A$255,0)),"")),IF($N1392="二级",IF(IFERROR(INDEX(项目档案!$G$6:$G$255,MATCH($C1392,项目档案!$A$6:$A$255,0)),"")="",N(IFERROR(INDEX(单位档案!$D$6:$D$35,MATCH($E1392,单位档案!$A$6:$A$35,0)),"")),IFERROR(INDEX(项目档案!$G$6:$G$255,MATCH($C1392,项目档案!$A$6:$A$255,0)),"")),N(IFERROR(INDEX(单位档案!$D$6:$D$35,MATCH($E1392,单位档案!$A$6:$A$35,0)),"")))))</f>
        <v/>
      </c>
      <c r="J1392" s="22"/>
      <c r="K1392" s="22"/>
      <c r="L1392" s="33" t="str">
        <f aca="false">IF($B1392="","",IF(NOT(ISNUMBER($B1392)),"日期格式不对",IF($C1392="","未选项目编号",IF(LEFT($M1392,1)="⚠","项目编号不存在",IF($D1392="","未选业务类型",IF($E1392="","未选开票/付款方",IF(ISNA(MATCH($E1392,单位档案!$A$6:$A$35,0)),"开票方不在单位档案",IF($F1392="","未选收票/收款方",IF(ISNA(MATCH($F1392,单位档案!$A$6:$A$35,0)),"收款方不在单位档案",IF(NOT(ISNUMBER($H1392)),"金额须为数字",IF(AND($D1392="销项开票",$N1392="—"),"链条待确认","√")))))))))))</f>
        <v/>
      </c>
      <c r="M1392" s="34" t="str">
        <f aca="false">IF($C1392="","",IFERROR(INDEX(项目档案!$B$6:$B$255,MATCH($C1392,项目档案!$A$6:$A$255,0)),"⚠项目编号不存在"))</f>
        <v/>
      </c>
      <c r="N1392" s="35" t="str">
        <f aca="false">IF($E1392="","",IF($E1392=IFERROR(INDEX(项目档案!$D$6:$D$255,MATCH($C1392,项目档案!$A$6:$A$255,0)),""),"一级",IF($E1392=IFERROR(INDEX(项目档案!$F$6:$F$255,MATCH($C1392,项目档案!$A$6:$A$255,0)),""),"二级",IF($E1392=IFERROR(INDEX(项目档案!$H$6:$H$255,MATCH($C1392,项目档案!$A$6:$A$255,0)),""),"我方","—"))))</f>
        <v/>
      </c>
      <c r="O1392" s="36" t="n">
        <f aca="false">IF($D1392&lt;&gt;"销项开票",0,ROUND(N($H1392)*N($I1392),2))</f>
        <v>0</v>
      </c>
      <c r="P1392" s="36" t="n">
        <f aca="false">IF($D1392&lt;&gt;"销项开票",0,ROUND(N($H1392)-$O1392,2))</f>
        <v>0</v>
      </c>
      <c r="Q1392" s="37" t="str">
        <f aca="false">IF($E1392="","",N(IFERROR(INDEX(单位档案!$E$6:$E$35,MATCH($E1392,单位档案!$A$6:$A$35,0)),"")))</f>
        <v/>
      </c>
      <c r="R1392" s="37" t="str">
        <f aca="false">IF($E1392="","",N(IFERROR(INDEX(单位档案!$F$6:$F$35,MATCH($E1392,单位档案!$A$6:$A$35,0)),"")))</f>
        <v/>
      </c>
      <c r="S1392" s="36" t="n">
        <f aca="false">IF(OR($D1392&lt;&gt;"销项开票",IFERROR(INDEX(单位档案!$G$6:$G$35,MATCH($E1392,单位档案!$A$6:$A$35,0)),"")&lt;&gt;"是",N($Q1392)=0),0,IF(IFERROR(INDEX(单位档案!$H$6:$H$35,MATCH($E1392,单位档案!$A$6:$A$35,0)),"")="税差法",ROUND(N($H1392)/(1+$Q1392)*$Q1392-IF(N($R1392)=0,0,$P1392/(1+$R1392)*$R1392),2),ROUND(N($H1392)/(1+$Q1392)*$Q1392,2)))</f>
        <v>0</v>
      </c>
      <c r="T1392" s="36" t="n">
        <f aca="false">ROUND($S1392*N(IFERROR(INDEX(单位档案!$J$6:$J$35,MATCH($E1392,单位档案!$A$6:$A$35,0)),"")),2)</f>
        <v>0</v>
      </c>
      <c r="U1392" s="36" t="n">
        <f aca="false">IF($D1392&lt;&gt;"销项开票",0,ROUND(N($H1392)*N(IFERROR(INDEX(单位档案!$K$6:$K$35,MATCH($E1392,单位档案!$A$6:$A$35,0)),"")),2))</f>
        <v>0</v>
      </c>
      <c r="V1392" s="36" t="n">
        <f aca="false">IF(OR($D1392&lt;&gt;"销项开票",N($Q1392)=0),0,ROUND(N($H1392)/(1+$Q1392)*N(IFERROR(INDEX(单位档案!$L$6:$L$35,MATCH($E1392,单位档案!$A$6:$A$35,0)),"")),2))</f>
        <v>0</v>
      </c>
      <c r="W1392" s="36" t="n">
        <f aca="false">ROUND($S1392+$T1392+$U1392+$V1392,2)</f>
        <v>0</v>
      </c>
      <c r="X1392" s="35" t="str">
        <f aca="false">IF(OR($D1392="挂靠代收",$D1392="我方收款"),COUNTIFS($D$5:$D1392,"挂靠代收")+COUNTIFS($D$5:$D1392,"我方收款"),"")</f>
        <v/>
      </c>
      <c r="Y1392" s="35"/>
      <c r="Z1392" s="21" t="s">
        <v>111</v>
      </c>
    </row>
    <row r="1393" customFormat="false" ht="15.75" hidden="false" customHeight="true" outlineLevel="0" collapsed="false">
      <c r="A1393" s="32" t="str">
        <f aca="false">IF($B1393="","",ROW()-4)</f>
        <v/>
      </c>
      <c r="B1393" s="26"/>
      <c r="C1393" s="24"/>
      <c r="D1393" s="21"/>
      <c r="E1393" s="21"/>
      <c r="F1393" s="21"/>
      <c r="G1393" s="21"/>
      <c r="H1393" s="27"/>
      <c r="I1393" s="23" t="str">
        <f aca="false">IF($D1393&lt;&gt;"销项开票","",IF($N1393="一级",IF(IFERROR(INDEX(项目档案!$E$6:$E$255,MATCH($C1393,项目档案!$A$6:$A$255,0)),"")="",N(IFERROR(INDEX(单位档案!$D$6:$D$35,MATCH($E1393,单位档案!$A$6:$A$35,0)),"")),IFERROR(INDEX(项目档案!$E$6:$E$255,MATCH($C1393,项目档案!$A$6:$A$255,0)),"")),IF($N1393="二级",IF(IFERROR(INDEX(项目档案!$G$6:$G$255,MATCH($C1393,项目档案!$A$6:$A$255,0)),"")="",N(IFERROR(INDEX(单位档案!$D$6:$D$35,MATCH($E1393,单位档案!$A$6:$A$35,0)),"")),IFERROR(INDEX(项目档案!$G$6:$G$255,MATCH($C1393,项目档案!$A$6:$A$255,0)),"")),N(IFERROR(INDEX(单位档案!$D$6:$D$35,MATCH($E1393,单位档案!$A$6:$A$35,0)),"")))))</f>
        <v/>
      </c>
      <c r="J1393" s="22"/>
      <c r="K1393" s="22"/>
      <c r="L1393" s="33" t="str">
        <f aca="false">IF($B1393="","",IF(NOT(ISNUMBER($B1393)),"日期格式不对",IF($C1393="","未选项目编号",IF(LEFT($M1393,1)="⚠","项目编号不存在",IF($D1393="","未选业务类型",IF($E1393="","未选开票/付款方",IF(ISNA(MATCH($E1393,单位档案!$A$6:$A$35,0)),"开票方不在单位档案",IF($F1393="","未选收票/收款方",IF(ISNA(MATCH($F1393,单位档案!$A$6:$A$35,0)),"收款方不在单位档案",IF(NOT(ISNUMBER($H1393)),"金额须为数字",IF(AND($D1393="销项开票",$N1393="—"),"链条待确认","√")))))))))))</f>
        <v/>
      </c>
      <c r="M1393" s="34" t="str">
        <f aca="false">IF($C1393="","",IFERROR(INDEX(项目档案!$B$6:$B$255,MATCH($C1393,项目档案!$A$6:$A$255,0)),"⚠项目编号不存在"))</f>
        <v/>
      </c>
      <c r="N1393" s="35" t="str">
        <f aca="false">IF($E1393="","",IF($E1393=IFERROR(INDEX(项目档案!$D$6:$D$255,MATCH($C1393,项目档案!$A$6:$A$255,0)),""),"一级",IF($E1393=IFERROR(INDEX(项目档案!$F$6:$F$255,MATCH($C1393,项目档案!$A$6:$A$255,0)),""),"二级",IF($E1393=IFERROR(INDEX(项目档案!$H$6:$H$255,MATCH($C1393,项目档案!$A$6:$A$255,0)),""),"我方","—"))))</f>
        <v/>
      </c>
      <c r="O1393" s="36" t="n">
        <f aca="false">IF($D1393&lt;&gt;"销项开票",0,ROUND(N($H1393)*N($I1393),2))</f>
        <v>0</v>
      </c>
      <c r="P1393" s="36" t="n">
        <f aca="false">IF($D1393&lt;&gt;"销项开票",0,ROUND(N($H1393)-$O1393,2))</f>
        <v>0</v>
      </c>
      <c r="Q1393" s="37" t="str">
        <f aca="false">IF($E1393="","",N(IFERROR(INDEX(单位档案!$E$6:$E$35,MATCH($E1393,单位档案!$A$6:$A$35,0)),"")))</f>
        <v/>
      </c>
      <c r="R1393" s="37" t="str">
        <f aca="false">IF($E1393="","",N(IFERROR(INDEX(单位档案!$F$6:$F$35,MATCH($E1393,单位档案!$A$6:$A$35,0)),"")))</f>
        <v/>
      </c>
      <c r="S1393" s="36" t="n">
        <f aca="false">IF(OR($D1393&lt;&gt;"销项开票",IFERROR(INDEX(单位档案!$G$6:$G$35,MATCH($E1393,单位档案!$A$6:$A$35,0)),"")&lt;&gt;"是",N($Q1393)=0),0,IF(IFERROR(INDEX(单位档案!$H$6:$H$35,MATCH($E1393,单位档案!$A$6:$A$35,0)),"")="税差法",ROUND(N($H1393)/(1+$Q1393)*$Q1393-IF(N($R1393)=0,0,$P1393/(1+$R1393)*$R1393),2),ROUND(N($H1393)/(1+$Q1393)*$Q1393,2)))</f>
        <v>0</v>
      </c>
      <c r="T1393" s="36" t="n">
        <f aca="false">ROUND($S1393*N(IFERROR(INDEX(单位档案!$J$6:$J$35,MATCH($E1393,单位档案!$A$6:$A$35,0)),"")),2)</f>
        <v>0</v>
      </c>
      <c r="U1393" s="36" t="n">
        <f aca="false">IF($D1393&lt;&gt;"销项开票",0,ROUND(N($H1393)*N(IFERROR(INDEX(单位档案!$K$6:$K$35,MATCH($E1393,单位档案!$A$6:$A$35,0)),"")),2))</f>
        <v>0</v>
      </c>
      <c r="V1393" s="36" t="n">
        <f aca="false">IF(OR($D1393&lt;&gt;"销项开票",N($Q1393)=0),0,ROUND(N($H1393)/(1+$Q1393)*N(IFERROR(INDEX(单位档案!$L$6:$L$35,MATCH($E1393,单位档案!$A$6:$A$35,0)),"")),2))</f>
        <v>0</v>
      </c>
      <c r="W1393" s="36" t="n">
        <f aca="false">ROUND($S1393+$T1393+$U1393+$V1393,2)</f>
        <v>0</v>
      </c>
      <c r="X1393" s="35" t="str">
        <f aca="false">IF(OR($D1393="挂靠代收",$D1393="我方收款"),COUNTIFS($D$5:$D1393,"挂靠代收")+COUNTIFS($D$5:$D1393,"我方收款"),"")</f>
        <v/>
      </c>
      <c r="Y1393" s="35"/>
      <c r="Z1393" s="21" t="s">
        <v>111</v>
      </c>
    </row>
    <row r="1394" customFormat="false" ht="15.75" hidden="false" customHeight="true" outlineLevel="0" collapsed="false">
      <c r="A1394" s="32" t="str">
        <f aca="false">IF($B1394="","",ROW()-4)</f>
        <v/>
      </c>
      <c r="B1394" s="26"/>
      <c r="C1394" s="24"/>
      <c r="D1394" s="21"/>
      <c r="E1394" s="21"/>
      <c r="F1394" s="21"/>
      <c r="G1394" s="21"/>
      <c r="H1394" s="27"/>
      <c r="I1394" s="23" t="str">
        <f aca="false">IF($D1394&lt;&gt;"销项开票","",IF($N1394="一级",IF(IFERROR(INDEX(项目档案!$E$6:$E$255,MATCH($C1394,项目档案!$A$6:$A$255,0)),"")="",N(IFERROR(INDEX(单位档案!$D$6:$D$35,MATCH($E1394,单位档案!$A$6:$A$35,0)),"")),IFERROR(INDEX(项目档案!$E$6:$E$255,MATCH($C1394,项目档案!$A$6:$A$255,0)),"")),IF($N1394="二级",IF(IFERROR(INDEX(项目档案!$G$6:$G$255,MATCH($C1394,项目档案!$A$6:$A$255,0)),"")="",N(IFERROR(INDEX(单位档案!$D$6:$D$35,MATCH($E1394,单位档案!$A$6:$A$35,0)),"")),IFERROR(INDEX(项目档案!$G$6:$G$255,MATCH($C1394,项目档案!$A$6:$A$255,0)),"")),N(IFERROR(INDEX(单位档案!$D$6:$D$35,MATCH($E1394,单位档案!$A$6:$A$35,0)),"")))))</f>
        <v/>
      </c>
      <c r="J1394" s="22"/>
      <c r="K1394" s="22"/>
      <c r="L1394" s="33" t="str">
        <f aca="false">IF($B1394="","",IF(NOT(ISNUMBER($B1394)),"日期格式不对",IF($C1394="","未选项目编号",IF(LEFT($M1394,1)="⚠","项目编号不存在",IF($D1394="","未选业务类型",IF($E1394="","未选开票/付款方",IF(ISNA(MATCH($E1394,单位档案!$A$6:$A$35,0)),"开票方不在单位档案",IF($F1394="","未选收票/收款方",IF(ISNA(MATCH($F1394,单位档案!$A$6:$A$35,0)),"收款方不在单位档案",IF(NOT(ISNUMBER($H1394)),"金额须为数字",IF(AND($D1394="销项开票",$N1394="—"),"链条待确认","√")))))))))))</f>
        <v/>
      </c>
      <c r="M1394" s="34" t="str">
        <f aca="false">IF($C1394="","",IFERROR(INDEX(项目档案!$B$6:$B$255,MATCH($C1394,项目档案!$A$6:$A$255,0)),"⚠项目编号不存在"))</f>
        <v/>
      </c>
      <c r="N1394" s="35" t="str">
        <f aca="false">IF($E1394="","",IF($E1394=IFERROR(INDEX(项目档案!$D$6:$D$255,MATCH($C1394,项目档案!$A$6:$A$255,0)),""),"一级",IF($E1394=IFERROR(INDEX(项目档案!$F$6:$F$255,MATCH($C1394,项目档案!$A$6:$A$255,0)),""),"二级",IF($E1394=IFERROR(INDEX(项目档案!$H$6:$H$255,MATCH($C1394,项目档案!$A$6:$A$255,0)),""),"我方","—"))))</f>
        <v/>
      </c>
      <c r="O1394" s="36" t="n">
        <f aca="false">IF($D1394&lt;&gt;"销项开票",0,ROUND(N($H1394)*N($I1394),2))</f>
        <v>0</v>
      </c>
      <c r="P1394" s="36" t="n">
        <f aca="false">IF($D1394&lt;&gt;"销项开票",0,ROUND(N($H1394)-$O1394,2))</f>
        <v>0</v>
      </c>
      <c r="Q1394" s="37" t="str">
        <f aca="false">IF($E1394="","",N(IFERROR(INDEX(单位档案!$E$6:$E$35,MATCH($E1394,单位档案!$A$6:$A$35,0)),"")))</f>
        <v/>
      </c>
      <c r="R1394" s="37" t="str">
        <f aca="false">IF($E1394="","",N(IFERROR(INDEX(单位档案!$F$6:$F$35,MATCH($E1394,单位档案!$A$6:$A$35,0)),"")))</f>
        <v/>
      </c>
      <c r="S1394" s="36" t="n">
        <f aca="false">IF(OR($D1394&lt;&gt;"销项开票",IFERROR(INDEX(单位档案!$G$6:$G$35,MATCH($E1394,单位档案!$A$6:$A$35,0)),"")&lt;&gt;"是",N($Q1394)=0),0,IF(IFERROR(INDEX(单位档案!$H$6:$H$35,MATCH($E1394,单位档案!$A$6:$A$35,0)),"")="税差法",ROUND(N($H1394)/(1+$Q1394)*$Q1394-IF(N($R1394)=0,0,$P1394/(1+$R1394)*$R1394),2),ROUND(N($H1394)/(1+$Q1394)*$Q1394,2)))</f>
        <v>0</v>
      </c>
      <c r="T1394" s="36" t="n">
        <f aca="false">ROUND($S1394*N(IFERROR(INDEX(单位档案!$J$6:$J$35,MATCH($E1394,单位档案!$A$6:$A$35,0)),"")),2)</f>
        <v>0</v>
      </c>
      <c r="U1394" s="36" t="n">
        <f aca="false">IF($D1394&lt;&gt;"销项开票",0,ROUND(N($H1394)*N(IFERROR(INDEX(单位档案!$K$6:$K$35,MATCH($E1394,单位档案!$A$6:$A$35,0)),"")),2))</f>
        <v>0</v>
      </c>
      <c r="V1394" s="36" t="n">
        <f aca="false">IF(OR($D1394&lt;&gt;"销项开票",N($Q1394)=0),0,ROUND(N($H1394)/(1+$Q1394)*N(IFERROR(INDEX(单位档案!$L$6:$L$35,MATCH($E1394,单位档案!$A$6:$A$35,0)),"")),2))</f>
        <v>0</v>
      </c>
      <c r="W1394" s="36" t="n">
        <f aca="false">ROUND($S1394+$T1394+$U1394+$V1394,2)</f>
        <v>0</v>
      </c>
      <c r="X1394" s="35" t="str">
        <f aca="false">IF(OR($D1394="挂靠代收",$D1394="我方收款"),COUNTIFS($D$5:$D1394,"挂靠代收")+COUNTIFS($D$5:$D1394,"我方收款"),"")</f>
        <v/>
      </c>
      <c r="Y1394" s="35"/>
      <c r="Z1394" s="21" t="s">
        <v>111</v>
      </c>
    </row>
    <row r="1395" customFormat="false" ht="15.75" hidden="false" customHeight="true" outlineLevel="0" collapsed="false">
      <c r="A1395" s="32" t="str">
        <f aca="false">IF($B1395="","",ROW()-4)</f>
        <v/>
      </c>
      <c r="B1395" s="26"/>
      <c r="C1395" s="24"/>
      <c r="D1395" s="21"/>
      <c r="E1395" s="21"/>
      <c r="F1395" s="21"/>
      <c r="G1395" s="21"/>
      <c r="H1395" s="27"/>
      <c r="I1395" s="23" t="str">
        <f aca="false">IF($D1395&lt;&gt;"销项开票","",IF($N1395="一级",IF(IFERROR(INDEX(项目档案!$E$6:$E$255,MATCH($C1395,项目档案!$A$6:$A$255,0)),"")="",N(IFERROR(INDEX(单位档案!$D$6:$D$35,MATCH($E1395,单位档案!$A$6:$A$35,0)),"")),IFERROR(INDEX(项目档案!$E$6:$E$255,MATCH($C1395,项目档案!$A$6:$A$255,0)),"")),IF($N1395="二级",IF(IFERROR(INDEX(项目档案!$G$6:$G$255,MATCH($C1395,项目档案!$A$6:$A$255,0)),"")="",N(IFERROR(INDEX(单位档案!$D$6:$D$35,MATCH($E1395,单位档案!$A$6:$A$35,0)),"")),IFERROR(INDEX(项目档案!$G$6:$G$255,MATCH($C1395,项目档案!$A$6:$A$255,0)),"")),N(IFERROR(INDEX(单位档案!$D$6:$D$35,MATCH($E1395,单位档案!$A$6:$A$35,0)),"")))))</f>
        <v/>
      </c>
      <c r="J1395" s="22"/>
      <c r="K1395" s="22"/>
      <c r="L1395" s="33" t="str">
        <f aca="false">IF($B1395="","",IF(NOT(ISNUMBER($B1395)),"日期格式不对",IF($C1395="","未选项目编号",IF(LEFT($M1395,1)="⚠","项目编号不存在",IF($D1395="","未选业务类型",IF($E1395="","未选开票/付款方",IF(ISNA(MATCH($E1395,单位档案!$A$6:$A$35,0)),"开票方不在单位档案",IF($F1395="","未选收票/收款方",IF(ISNA(MATCH($F1395,单位档案!$A$6:$A$35,0)),"收款方不在单位档案",IF(NOT(ISNUMBER($H1395)),"金额须为数字",IF(AND($D1395="销项开票",$N1395="—"),"链条待确认","√")))))))))))</f>
        <v/>
      </c>
      <c r="M1395" s="34" t="str">
        <f aca="false">IF($C1395="","",IFERROR(INDEX(项目档案!$B$6:$B$255,MATCH($C1395,项目档案!$A$6:$A$255,0)),"⚠项目编号不存在"))</f>
        <v/>
      </c>
      <c r="N1395" s="35" t="str">
        <f aca="false">IF($E1395="","",IF($E1395=IFERROR(INDEX(项目档案!$D$6:$D$255,MATCH($C1395,项目档案!$A$6:$A$255,0)),""),"一级",IF($E1395=IFERROR(INDEX(项目档案!$F$6:$F$255,MATCH($C1395,项目档案!$A$6:$A$255,0)),""),"二级",IF($E1395=IFERROR(INDEX(项目档案!$H$6:$H$255,MATCH($C1395,项目档案!$A$6:$A$255,0)),""),"我方","—"))))</f>
        <v/>
      </c>
      <c r="O1395" s="36" t="n">
        <f aca="false">IF($D1395&lt;&gt;"销项开票",0,ROUND(N($H1395)*N($I1395),2))</f>
        <v>0</v>
      </c>
      <c r="P1395" s="36" t="n">
        <f aca="false">IF($D1395&lt;&gt;"销项开票",0,ROUND(N($H1395)-$O1395,2))</f>
        <v>0</v>
      </c>
      <c r="Q1395" s="37" t="str">
        <f aca="false">IF($E1395="","",N(IFERROR(INDEX(单位档案!$E$6:$E$35,MATCH($E1395,单位档案!$A$6:$A$35,0)),"")))</f>
        <v/>
      </c>
      <c r="R1395" s="37" t="str">
        <f aca="false">IF($E1395="","",N(IFERROR(INDEX(单位档案!$F$6:$F$35,MATCH($E1395,单位档案!$A$6:$A$35,0)),"")))</f>
        <v/>
      </c>
      <c r="S1395" s="36" t="n">
        <f aca="false">IF(OR($D1395&lt;&gt;"销项开票",IFERROR(INDEX(单位档案!$G$6:$G$35,MATCH($E1395,单位档案!$A$6:$A$35,0)),"")&lt;&gt;"是",N($Q1395)=0),0,IF(IFERROR(INDEX(单位档案!$H$6:$H$35,MATCH($E1395,单位档案!$A$6:$A$35,0)),"")="税差法",ROUND(N($H1395)/(1+$Q1395)*$Q1395-IF(N($R1395)=0,0,$P1395/(1+$R1395)*$R1395),2),ROUND(N($H1395)/(1+$Q1395)*$Q1395,2)))</f>
        <v>0</v>
      </c>
      <c r="T1395" s="36" t="n">
        <f aca="false">ROUND($S1395*N(IFERROR(INDEX(单位档案!$J$6:$J$35,MATCH($E1395,单位档案!$A$6:$A$35,0)),"")),2)</f>
        <v>0</v>
      </c>
      <c r="U1395" s="36" t="n">
        <f aca="false">IF($D1395&lt;&gt;"销项开票",0,ROUND(N($H1395)*N(IFERROR(INDEX(单位档案!$K$6:$K$35,MATCH($E1395,单位档案!$A$6:$A$35,0)),"")),2))</f>
        <v>0</v>
      </c>
      <c r="V1395" s="36" t="n">
        <f aca="false">IF(OR($D1395&lt;&gt;"销项开票",N($Q1395)=0),0,ROUND(N($H1395)/(1+$Q1395)*N(IFERROR(INDEX(单位档案!$L$6:$L$35,MATCH($E1395,单位档案!$A$6:$A$35,0)),"")),2))</f>
        <v>0</v>
      </c>
      <c r="W1395" s="36" t="n">
        <f aca="false">ROUND($S1395+$T1395+$U1395+$V1395,2)</f>
        <v>0</v>
      </c>
      <c r="X1395" s="35" t="str">
        <f aca="false">IF(OR($D1395="挂靠代收",$D1395="我方收款"),COUNTIFS($D$5:$D1395,"挂靠代收")+COUNTIFS($D$5:$D1395,"我方收款"),"")</f>
        <v/>
      </c>
      <c r="Y1395" s="35"/>
      <c r="Z1395" s="21" t="s">
        <v>111</v>
      </c>
    </row>
    <row r="1396" customFormat="false" ht="15.75" hidden="false" customHeight="true" outlineLevel="0" collapsed="false">
      <c r="A1396" s="32" t="str">
        <f aca="false">IF($B1396="","",ROW()-4)</f>
        <v/>
      </c>
      <c r="B1396" s="26"/>
      <c r="C1396" s="24"/>
      <c r="D1396" s="21"/>
      <c r="E1396" s="21"/>
      <c r="F1396" s="21"/>
      <c r="G1396" s="21"/>
      <c r="H1396" s="27"/>
      <c r="I1396" s="23" t="str">
        <f aca="false">IF($D1396&lt;&gt;"销项开票","",IF($N1396="一级",IF(IFERROR(INDEX(项目档案!$E$6:$E$255,MATCH($C1396,项目档案!$A$6:$A$255,0)),"")="",N(IFERROR(INDEX(单位档案!$D$6:$D$35,MATCH($E1396,单位档案!$A$6:$A$35,0)),"")),IFERROR(INDEX(项目档案!$E$6:$E$255,MATCH($C1396,项目档案!$A$6:$A$255,0)),"")),IF($N1396="二级",IF(IFERROR(INDEX(项目档案!$G$6:$G$255,MATCH($C1396,项目档案!$A$6:$A$255,0)),"")="",N(IFERROR(INDEX(单位档案!$D$6:$D$35,MATCH($E1396,单位档案!$A$6:$A$35,0)),"")),IFERROR(INDEX(项目档案!$G$6:$G$255,MATCH($C1396,项目档案!$A$6:$A$255,0)),"")),N(IFERROR(INDEX(单位档案!$D$6:$D$35,MATCH($E1396,单位档案!$A$6:$A$35,0)),"")))))</f>
        <v/>
      </c>
      <c r="J1396" s="22"/>
      <c r="K1396" s="22"/>
      <c r="L1396" s="33" t="str">
        <f aca="false">IF($B1396="","",IF(NOT(ISNUMBER($B1396)),"日期格式不对",IF($C1396="","未选项目编号",IF(LEFT($M1396,1)="⚠","项目编号不存在",IF($D1396="","未选业务类型",IF($E1396="","未选开票/付款方",IF(ISNA(MATCH($E1396,单位档案!$A$6:$A$35,0)),"开票方不在单位档案",IF($F1396="","未选收票/收款方",IF(ISNA(MATCH($F1396,单位档案!$A$6:$A$35,0)),"收款方不在单位档案",IF(NOT(ISNUMBER($H1396)),"金额须为数字",IF(AND($D1396="销项开票",$N1396="—"),"链条待确认","√")))))))))))</f>
        <v/>
      </c>
      <c r="M1396" s="34" t="str">
        <f aca="false">IF($C1396="","",IFERROR(INDEX(项目档案!$B$6:$B$255,MATCH($C1396,项目档案!$A$6:$A$255,0)),"⚠项目编号不存在"))</f>
        <v/>
      </c>
      <c r="N1396" s="35" t="str">
        <f aca="false">IF($E1396="","",IF($E1396=IFERROR(INDEX(项目档案!$D$6:$D$255,MATCH($C1396,项目档案!$A$6:$A$255,0)),""),"一级",IF($E1396=IFERROR(INDEX(项目档案!$F$6:$F$255,MATCH($C1396,项目档案!$A$6:$A$255,0)),""),"二级",IF($E1396=IFERROR(INDEX(项目档案!$H$6:$H$255,MATCH($C1396,项目档案!$A$6:$A$255,0)),""),"我方","—"))))</f>
        <v/>
      </c>
      <c r="O1396" s="36" t="n">
        <f aca="false">IF($D1396&lt;&gt;"销项开票",0,ROUND(N($H1396)*N($I1396),2))</f>
        <v>0</v>
      </c>
      <c r="P1396" s="36" t="n">
        <f aca="false">IF($D1396&lt;&gt;"销项开票",0,ROUND(N($H1396)-$O1396,2))</f>
        <v>0</v>
      </c>
      <c r="Q1396" s="37" t="str">
        <f aca="false">IF($E1396="","",N(IFERROR(INDEX(单位档案!$E$6:$E$35,MATCH($E1396,单位档案!$A$6:$A$35,0)),"")))</f>
        <v/>
      </c>
      <c r="R1396" s="37" t="str">
        <f aca="false">IF($E1396="","",N(IFERROR(INDEX(单位档案!$F$6:$F$35,MATCH($E1396,单位档案!$A$6:$A$35,0)),"")))</f>
        <v/>
      </c>
      <c r="S1396" s="36" t="n">
        <f aca="false">IF(OR($D1396&lt;&gt;"销项开票",IFERROR(INDEX(单位档案!$G$6:$G$35,MATCH($E1396,单位档案!$A$6:$A$35,0)),"")&lt;&gt;"是",N($Q1396)=0),0,IF(IFERROR(INDEX(单位档案!$H$6:$H$35,MATCH($E1396,单位档案!$A$6:$A$35,0)),"")="税差法",ROUND(N($H1396)/(1+$Q1396)*$Q1396-IF(N($R1396)=0,0,$P1396/(1+$R1396)*$R1396),2),ROUND(N($H1396)/(1+$Q1396)*$Q1396,2)))</f>
        <v>0</v>
      </c>
      <c r="T1396" s="36" t="n">
        <f aca="false">ROUND($S1396*N(IFERROR(INDEX(单位档案!$J$6:$J$35,MATCH($E1396,单位档案!$A$6:$A$35,0)),"")),2)</f>
        <v>0</v>
      </c>
      <c r="U1396" s="36" t="n">
        <f aca="false">IF($D1396&lt;&gt;"销项开票",0,ROUND(N($H1396)*N(IFERROR(INDEX(单位档案!$K$6:$K$35,MATCH($E1396,单位档案!$A$6:$A$35,0)),"")),2))</f>
        <v>0</v>
      </c>
      <c r="V1396" s="36" t="n">
        <f aca="false">IF(OR($D1396&lt;&gt;"销项开票",N($Q1396)=0),0,ROUND(N($H1396)/(1+$Q1396)*N(IFERROR(INDEX(单位档案!$L$6:$L$35,MATCH($E1396,单位档案!$A$6:$A$35,0)),"")),2))</f>
        <v>0</v>
      </c>
      <c r="W1396" s="36" t="n">
        <f aca="false">ROUND($S1396+$T1396+$U1396+$V1396,2)</f>
        <v>0</v>
      </c>
      <c r="X1396" s="35" t="str">
        <f aca="false">IF(OR($D1396="挂靠代收",$D1396="我方收款"),COUNTIFS($D$5:$D1396,"挂靠代收")+COUNTIFS($D$5:$D1396,"我方收款"),"")</f>
        <v/>
      </c>
      <c r="Y1396" s="35"/>
      <c r="Z1396" s="21" t="s">
        <v>111</v>
      </c>
    </row>
    <row r="1397" customFormat="false" ht="15.75" hidden="false" customHeight="true" outlineLevel="0" collapsed="false">
      <c r="A1397" s="32" t="str">
        <f aca="false">IF($B1397="","",ROW()-4)</f>
        <v/>
      </c>
      <c r="B1397" s="26"/>
      <c r="C1397" s="24"/>
      <c r="D1397" s="21"/>
      <c r="E1397" s="21"/>
      <c r="F1397" s="21"/>
      <c r="G1397" s="21"/>
      <c r="H1397" s="27"/>
      <c r="I1397" s="23" t="str">
        <f aca="false">IF($D1397&lt;&gt;"销项开票","",IF($N1397="一级",IF(IFERROR(INDEX(项目档案!$E$6:$E$255,MATCH($C1397,项目档案!$A$6:$A$255,0)),"")="",N(IFERROR(INDEX(单位档案!$D$6:$D$35,MATCH($E1397,单位档案!$A$6:$A$35,0)),"")),IFERROR(INDEX(项目档案!$E$6:$E$255,MATCH($C1397,项目档案!$A$6:$A$255,0)),"")),IF($N1397="二级",IF(IFERROR(INDEX(项目档案!$G$6:$G$255,MATCH($C1397,项目档案!$A$6:$A$255,0)),"")="",N(IFERROR(INDEX(单位档案!$D$6:$D$35,MATCH($E1397,单位档案!$A$6:$A$35,0)),"")),IFERROR(INDEX(项目档案!$G$6:$G$255,MATCH($C1397,项目档案!$A$6:$A$255,0)),"")),N(IFERROR(INDEX(单位档案!$D$6:$D$35,MATCH($E1397,单位档案!$A$6:$A$35,0)),"")))))</f>
        <v/>
      </c>
      <c r="J1397" s="22"/>
      <c r="K1397" s="22"/>
      <c r="L1397" s="33" t="str">
        <f aca="false">IF($B1397="","",IF(NOT(ISNUMBER($B1397)),"日期格式不对",IF($C1397="","未选项目编号",IF(LEFT($M1397,1)="⚠","项目编号不存在",IF($D1397="","未选业务类型",IF($E1397="","未选开票/付款方",IF(ISNA(MATCH($E1397,单位档案!$A$6:$A$35,0)),"开票方不在单位档案",IF($F1397="","未选收票/收款方",IF(ISNA(MATCH($F1397,单位档案!$A$6:$A$35,0)),"收款方不在单位档案",IF(NOT(ISNUMBER($H1397)),"金额须为数字",IF(AND($D1397="销项开票",$N1397="—"),"链条待确认","√")))))))))))</f>
        <v/>
      </c>
      <c r="M1397" s="34" t="str">
        <f aca="false">IF($C1397="","",IFERROR(INDEX(项目档案!$B$6:$B$255,MATCH($C1397,项目档案!$A$6:$A$255,0)),"⚠项目编号不存在"))</f>
        <v/>
      </c>
      <c r="N1397" s="35" t="str">
        <f aca="false">IF($E1397="","",IF($E1397=IFERROR(INDEX(项目档案!$D$6:$D$255,MATCH($C1397,项目档案!$A$6:$A$255,0)),""),"一级",IF($E1397=IFERROR(INDEX(项目档案!$F$6:$F$255,MATCH($C1397,项目档案!$A$6:$A$255,0)),""),"二级",IF($E1397=IFERROR(INDEX(项目档案!$H$6:$H$255,MATCH($C1397,项目档案!$A$6:$A$255,0)),""),"我方","—"))))</f>
        <v/>
      </c>
      <c r="O1397" s="36" t="n">
        <f aca="false">IF($D1397&lt;&gt;"销项开票",0,ROUND(N($H1397)*N($I1397),2))</f>
        <v>0</v>
      </c>
      <c r="P1397" s="36" t="n">
        <f aca="false">IF($D1397&lt;&gt;"销项开票",0,ROUND(N($H1397)-$O1397,2))</f>
        <v>0</v>
      </c>
      <c r="Q1397" s="37" t="str">
        <f aca="false">IF($E1397="","",N(IFERROR(INDEX(单位档案!$E$6:$E$35,MATCH($E1397,单位档案!$A$6:$A$35,0)),"")))</f>
        <v/>
      </c>
      <c r="R1397" s="37" t="str">
        <f aca="false">IF($E1397="","",N(IFERROR(INDEX(单位档案!$F$6:$F$35,MATCH($E1397,单位档案!$A$6:$A$35,0)),"")))</f>
        <v/>
      </c>
      <c r="S1397" s="36" t="n">
        <f aca="false">IF(OR($D1397&lt;&gt;"销项开票",IFERROR(INDEX(单位档案!$G$6:$G$35,MATCH($E1397,单位档案!$A$6:$A$35,0)),"")&lt;&gt;"是",N($Q1397)=0),0,IF(IFERROR(INDEX(单位档案!$H$6:$H$35,MATCH($E1397,单位档案!$A$6:$A$35,0)),"")="税差法",ROUND(N($H1397)/(1+$Q1397)*$Q1397-IF(N($R1397)=0,0,$P1397/(1+$R1397)*$R1397),2),ROUND(N($H1397)/(1+$Q1397)*$Q1397,2)))</f>
        <v>0</v>
      </c>
      <c r="T1397" s="36" t="n">
        <f aca="false">ROUND($S1397*N(IFERROR(INDEX(单位档案!$J$6:$J$35,MATCH($E1397,单位档案!$A$6:$A$35,0)),"")),2)</f>
        <v>0</v>
      </c>
      <c r="U1397" s="36" t="n">
        <f aca="false">IF($D1397&lt;&gt;"销项开票",0,ROUND(N($H1397)*N(IFERROR(INDEX(单位档案!$K$6:$K$35,MATCH($E1397,单位档案!$A$6:$A$35,0)),"")),2))</f>
        <v>0</v>
      </c>
      <c r="V1397" s="36" t="n">
        <f aca="false">IF(OR($D1397&lt;&gt;"销项开票",N($Q1397)=0),0,ROUND(N($H1397)/(1+$Q1397)*N(IFERROR(INDEX(单位档案!$L$6:$L$35,MATCH($E1397,单位档案!$A$6:$A$35,0)),"")),2))</f>
        <v>0</v>
      </c>
      <c r="W1397" s="36" t="n">
        <f aca="false">ROUND($S1397+$T1397+$U1397+$V1397,2)</f>
        <v>0</v>
      </c>
      <c r="X1397" s="35" t="str">
        <f aca="false">IF(OR($D1397="挂靠代收",$D1397="我方收款"),COUNTIFS($D$5:$D1397,"挂靠代收")+COUNTIFS($D$5:$D1397,"我方收款"),"")</f>
        <v/>
      </c>
      <c r="Y1397" s="35"/>
      <c r="Z1397" s="21" t="s">
        <v>111</v>
      </c>
    </row>
    <row r="1398" customFormat="false" ht="15.75" hidden="false" customHeight="true" outlineLevel="0" collapsed="false">
      <c r="A1398" s="32" t="str">
        <f aca="false">IF($B1398="","",ROW()-4)</f>
        <v/>
      </c>
      <c r="B1398" s="26"/>
      <c r="C1398" s="24"/>
      <c r="D1398" s="21"/>
      <c r="E1398" s="21"/>
      <c r="F1398" s="21"/>
      <c r="G1398" s="21"/>
      <c r="H1398" s="27"/>
      <c r="I1398" s="23" t="str">
        <f aca="false">IF($D1398&lt;&gt;"销项开票","",IF($N1398="一级",IF(IFERROR(INDEX(项目档案!$E$6:$E$255,MATCH($C1398,项目档案!$A$6:$A$255,0)),"")="",N(IFERROR(INDEX(单位档案!$D$6:$D$35,MATCH($E1398,单位档案!$A$6:$A$35,0)),"")),IFERROR(INDEX(项目档案!$E$6:$E$255,MATCH($C1398,项目档案!$A$6:$A$255,0)),"")),IF($N1398="二级",IF(IFERROR(INDEX(项目档案!$G$6:$G$255,MATCH($C1398,项目档案!$A$6:$A$255,0)),"")="",N(IFERROR(INDEX(单位档案!$D$6:$D$35,MATCH($E1398,单位档案!$A$6:$A$35,0)),"")),IFERROR(INDEX(项目档案!$G$6:$G$255,MATCH($C1398,项目档案!$A$6:$A$255,0)),"")),N(IFERROR(INDEX(单位档案!$D$6:$D$35,MATCH($E1398,单位档案!$A$6:$A$35,0)),"")))))</f>
        <v/>
      </c>
      <c r="J1398" s="22"/>
      <c r="K1398" s="22"/>
      <c r="L1398" s="33" t="str">
        <f aca="false">IF($B1398="","",IF(NOT(ISNUMBER($B1398)),"日期格式不对",IF($C1398="","未选项目编号",IF(LEFT($M1398,1)="⚠","项目编号不存在",IF($D1398="","未选业务类型",IF($E1398="","未选开票/付款方",IF(ISNA(MATCH($E1398,单位档案!$A$6:$A$35,0)),"开票方不在单位档案",IF($F1398="","未选收票/收款方",IF(ISNA(MATCH($F1398,单位档案!$A$6:$A$35,0)),"收款方不在单位档案",IF(NOT(ISNUMBER($H1398)),"金额须为数字",IF(AND($D1398="销项开票",$N1398="—"),"链条待确认","√")))))))))))</f>
        <v/>
      </c>
      <c r="M1398" s="34" t="str">
        <f aca="false">IF($C1398="","",IFERROR(INDEX(项目档案!$B$6:$B$255,MATCH($C1398,项目档案!$A$6:$A$255,0)),"⚠项目编号不存在"))</f>
        <v/>
      </c>
      <c r="N1398" s="35" t="str">
        <f aca="false">IF($E1398="","",IF($E1398=IFERROR(INDEX(项目档案!$D$6:$D$255,MATCH($C1398,项目档案!$A$6:$A$255,0)),""),"一级",IF($E1398=IFERROR(INDEX(项目档案!$F$6:$F$255,MATCH($C1398,项目档案!$A$6:$A$255,0)),""),"二级",IF($E1398=IFERROR(INDEX(项目档案!$H$6:$H$255,MATCH($C1398,项目档案!$A$6:$A$255,0)),""),"我方","—"))))</f>
        <v/>
      </c>
      <c r="O1398" s="36" t="n">
        <f aca="false">IF($D1398&lt;&gt;"销项开票",0,ROUND(N($H1398)*N($I1398),2))</f>
        <v>0</v>
      </c>
      <c r="P1398" s="36" t="n">
        <f aca="false">IF($D1398&lt;&gt;"销项开票",0,ROUND(N($H1398)-$O1398,2))</f>
        <v>0</v>
      </c>
      <c r="Q1398" s="37" t="str">
        <f aca="false">IF($E1398="","",N(IFERROR(INDEX(单位档案!$E$6:$E$35,MATCH($E1398,单位档案!$A$6:$A$35,0)),"")))</f>
        <v/>
      </c>
      <c r="R1398" s="37" t="str">
        <f aca="false">IF($E1398="","",N(IFERROR(INDEX(单位档案!$F$6:$F$35,MATCH($E1398,单位档案!$A$6:$A$35,0)),"")))</f>
        <v/>
      </c>
      <c r="S1398" s="36" t="n">
        <f aca="false">IF(OR($D1398&lt;&gt;"销项开票",IFERROR(INDEX(单位档案!$G$6:$G$35,MATCH($E1398,单位档案!$A$6:$A$35,0)),"")&lt;&gt;"是",N($Q1398)=0),0,IF(IFERROR(INDEX(单位档案!$H$6:$H$35,MATCH($E1398,单位档案!$A$6:$A$35,0)),"")="税差法",ROUND(N($H1398)/(1+$Q1398)*$Q1398-IF(N($R1398)=0,0,$P1398/(1+$R1398)*$R1398),2),ROUND(N($H1398)/(1+$Q1398)*$Q1398,2)))</f>
        <v>0</v>
      </c>
      <c r="T1398" s="36" t="n">
        <f aca="false">ROUND($S1398*N(IFERROR(INDEX(单位档案!$J$6:$J$35,MATCH($E1398,单位档案!$A$6:$A$35,0)),"")),2)</f>
        <v>0</v>
      </c>
      <c r="U1398" s="36" t="n">
        <f aca="false">IF($D1398&lt;&gt;"销项开票",0,ROUND(N($H1398)*N(IFERROR(INDEX(单位档案!$K$6:$K$35,MATCH($E1398,单位档案!$A$6:$A$35,0)),"")),2))</f>
        <v>0</v>
      </c>
      <c r="V1398" s="36" t="n">
        <f aca="false">IF(OR($D1398&lt;&gt;"销项开票",N($Q1398)=0),0,ROUND(N($H1398)/(1+$Q1398)*N(IFERROR(INDEX(单位档案!$L$6:$L$35,MATCH($E1398,单位档案!$A$6:$A$35,0)),"")),2))</f>
        <v>0</v>
      </c>
      <c r="W1398" s="36" t="n">
        <f aca="false">ROUND($S1398+$T1398+$U1398+$V1398,2)</f>
        <v>0</v>
      </c>
      <c r="X1398" s="35" t="str">
        <f aca="false">IF(OR($D1398="挂靠代收",$D1398="我方收款"),COUNTIFS($D$5:$D1398,"挂靠代收")+COUNTIFS($D$5:$D1398,"我方收款"),"")</f>
        <v/>
      </c>
      <c r="Y1398" s="35"/>
      <c r="Z1398" s="21" t="s">
        <v>111</v>
      </c>
    </row>
    <row r="1399" customFormat="false" ht="15.75" hidden="false" customHeight="true" outlineLevel="0" collapsed="false">
      <c r="A1399" s="32" t="str">
        <f aca="false">IF($B1399="","",ROW()-4)</f>
        <v/>
      </c>
      <c r="B1399" s="26"/>
      <c r="C1399" s="24"/>
      <c r="D1399" s="21"/>
      <c r="E1399" s="21"/>
      <c r="F1399" s="21"/>
      <c r="G1399" s="21"/>
      <c r="H1399" s="27"/>
      <c r="I1399" s="23" t="str">
        <f aca="false">IF($D1399&lt;&gt;"销项开票","",IF($N1399="一级",IF(IFERROR(INDEX(项目档案!$E$6:$E$255,MATCH($C1399,项目档案!$A$6:$A$255,0)),"")="",N(IFERROR(INDEX(单位档案!$D$6:$D$35,MATCH($E1399,单位档案!$A$6:$A$35,0)),"")),IFERROR(INDEX(项目档案!$E$6:$E$255,MATCH($C1399,项目档案!$A$6:$A$255,0)),"")),IF($N1399="二级",IF(IFERROR(INDEX(项目档案!$G$6:$G$255,MATCH($C1399,项目档案!$A$6:$A$255,0)),"")="",N(IFERROR(INDEX(单位档案!$D$6:$D$35,MATCH($E1399,单位档案!$A$6:$A$35,0)),"")),IFERROR(INDEX(项目档案!$G$6:$G$255,MATCH($C1399,项目档案!$A$6:$A$255,0)),"")),N(IFERROR(INDEX(单位档案!$D$6:$D$35,MATCH($E1399,单位档案!$A$6:$A$35,0)),"")))))</f>
        <v/>
      </c>
      <c r="J1399" s="22"/>
      <c r="K1399" s="22"/>
      <c r="L1399" s="33" t="str">
        <f aca="false">IF($B1399="","",IF(NOT(ISNUMBER($B1399)),"日期格式不对",IF($C1399="","未选项目编号",IF(LEFT($M1399,1)="⚠","项目编号不存在",IF($D1399="","未选业务类型",IF($E1399="","未选开票/付款方",IF(ISNA(MATCH($E1399,单位档案!$A$6:$A$35,0)),"开票方不在单位档案",IF($F1399="","未选收票/收款方",IF(ISNA(MATCH($F1399,单位档案!$A$6:$A$35,0)),"收款方不在单位档案",IF(NOT(ISNUMBER($H1399)),"金额须为数字",IF(AND($D1399="销项开票",$N1399="—"),"链条待确认","√")))))))))))</f>
        <v/>
      </c>
      <c r="M1399" s="34" t="str">
        <f aca="false">IF($C1399="","",IFERROR(INDEX(项目档案!$B$6:$B$255,MATCH($C1399,项目档案!$A$6:$A$255,0)),"⚠项目编号不存在"))</f>
        <v/>
      </c>
      <c r="N1399" s="35" t="str">
        <f aca="false">IF($E1399="","",IF($E1399=IFERROR(INDEX(项目档案!$D$6:$D$255,MATCH($C1399,项目档案!$A$6:$A$255,0)),""),"一级",IF($E1399=IFERROR(INDEX(项目档案!$F$6:$F$255,MATCH($C1399,项目档案!$A$6:$A$255,0)),""),"二级",IF($E1399=IFERROR(INDEX(项目档案!$H$6:$H$255,MATCH($C1399,项目档案!$A$6:$A$255,0)),""),"我方","—"))))</f>
        <v/>
      </c>
      <c r="O1399" s="36" t="n">
        <f aca="false">IF($D1399&lt;&gt;"销项开票",0,ROUND(N($H1399)*N($I1399),2))</f>
        <v>0</v>
      </c>
      <c r="P1399" s="36" t="n">
        <f aca="false">IF($D1399&lt;&gt;"销项开票",0,ROUND(N($H1399)-$O1399,2))</f>
        <v>0</v>
      </c>
      <c r="Q1399" s="37" t="str">
        <f aca="false">IF($E1399="","",N(IFERROR(INDEX(单位档案!$E$6:$E$35,MATCH($E1399,单位档案!$A$6:$A$35,0)),"")))</f>
        <v/>
      </c>
      <c r="R1399" s="37" t="str">
        <f aca="false">IF($E1399="","",N(IFERROR(INDEX(单位档案!$F$6:$F$35,MATCH($E1399,单位档案!$A$6:$A$35,0)),"")))</f>
        <v/>
      </c>
      <c r="S1399" s="36" t="n">
        <f aca="false">IF(OR($D1399&lt;&gt;"销项开票",IFERROR(INDEX(单位档案!$G$6:$G$35,MATCH($E1399,单位档案!$A$6:$A$35,0)),"")&lt;&gt;"是",N($Q1399)=0),0,IF(IFERROR(INDEX(单位档案!$H$6:$H$35,MATCH($E1399,单位档案!$A$6:$A$35,0)),"")="税差法",ROUND(N($H1399)/(1+$Q1399)*$Q1399-IF(N($R1399)=0,0,$P1399/(1+$R1399)*$R1399),2),ROUND(N($H1399)/(1+$Q1399)*$Q1399,2)))</f>
        <v>0</v>
      </c>
      <c r="T1399" s="36" t="n">
        <f aca="false">ROUND($S1399*N(IFERROR(INDEX(单位档案!$J$6:$J$35,MATCH($E1399,单位档案!$A$6:$A$35,0)),"")),2)</f>
        <v>0</v>
      </c>
      <c r="U1399" s="36" t="n">
        <f aca="false">IF($D1399&lt;&gt;"销项开票",0,ROUND(N($H1399)*N(IFERROR(INDEX(单位档案!$K$6:$K$35,MATCH($E1399,单位档案!$A$6:$A$35,0)),"")),2))</f>
        <v>0</v>
      </c>
      <c r="V1399" s="36" t="n">
        <f aca="false">IF(OR($D1399&lt;&gt;"销项开票",N($Q1399)=0),0,ROUND(N($H1399)/(1+$Q1399)*N(IFERROR(INDEX(单位档案!$L$6:$L$35,MATCH($E1399,单位档案!$A$6:$A$35,0)),"")),2))</f>
        <v>0</v>
      </c>
      <c r="W1399" s="36" t="n">
        <f aca="false">ROUND($S1399+$T1399+$U1399+$V1399,2)</f>
        <v>0</v>
      </c>
      <c r="X1399" s="35" t="str">
        <f aca="false">IF(OR($D1399="挂靠代收",$D1399="我方收款"),COUNTIFS($D$5:$D1399,"挂靠代收")+COUNTIFS($D$5:$D1399,"我方收款"),"")</f>
        <v/>
      </c>
      <c r="Y1399" s="35"/>
      <c r="Z1399" s="21" t="s">
        <v>111</v>
      </c>
    </row>
    <row r="1400" customFormat="false" ht="15.75" hidden="false" customHeight="true" outlineLevel="0" collapsed="false">
      <c r="A1400" s="32" t="str">
        <f aca="false">IF($B1400="","",ROW()-4)</f>
        <v/>
      </c>
      <c r="B1400" s="26"/>
      <c r="C1400" s="24"/>
      <c r="D1400" s="21"/>
      <c r="E1400" s="21"/>
      <c r="F1400" s="21"/>
      <c r="G1400" s="21"/>
      <c r="H1400" s="27"/>
      <c r="I1400" s="23" t="str">
        <f aca="false">IF($D1400&lt;&gt;"销项开票","",IF($N1400="一级",IF(IFERROR(INDEX(项目档案!$E$6:$E$255,MATCH($C1400,项目档案!$A$6:$A$255,0)),"")="",N(IFERROR(INDEX(单位档案!$D$6:$D$35,MATCH($E1400,单位档案!$A$6:$A$35,0)),"")),IFERROR(INDEX(项目档案!$E$6:$E$255,MATCH($C1400,项目档案!$A$6:$A$255,0)),"")),IF($N1400="二级",IF(IFERROR(INDEX(项目档案!$G$6:$G$255,MATCH($C1400,项目档案!$A$6:$A$255,0)),"")="",N(IFERROR(INDEX(单位档案!$D$6:$D$35,MATCH($E1400,单位档案!$A$6:$A$35,0)),"")),IFERROR(INDEX(项目档案!$G$6:$G$255,MATCH($C1400,项目档案!$A$6:$A$255,0)),"")),N(IFERROR(INDEX(单位档案!$D$6:$D$35,MATCH($E1400,单位档案!$A$6:$A$35,0)),"")))))</f>
        <v/>
      </c>
      <c r="J1400" s="22"/>
      <c r="K1400" s="22"/>
      <c r="L1400" s="33" t="str">
        <f aca="false">IF($B1400="","",IF(NOT(ISNUMBER($B1400)),"日期格式不对",IF($C1400="","未选项目编号",IF(LEFT($M1400,1)="⚠","项目编号不存在",IF($D1400="","未选业务类型",IF($E1400="","未选开票/付款方",IF(ISNA(MATCH($E1400,单位档案!$A$6:$A$35,0)),"开票方不在单位档案",IF($F1400="","未选收票/收款方",IF(ISNA(MATCH($F1400,单位档案!$A$6:$A$35,0)),"收款方不在单位档案",IF(NOT(ISNUMBER($H1400)),"金额须为数字",IF(AND($D1400="销项开票",$N1400="—"),"链条待确认","√")))))))))))</f>
        <v/>
      </c>
      <c r="M1400" s="34" t="str">
        <f aca="false">IF($C1400="","",IFERROR(INDEX(项目档案!$B$6:$B$255,MATCH($C1400,项目档案!$A$6:$A$255,0)),"⚠项目编号不存在"))</f>
        <v/>
      </c>
      <c r="N1400" s="35" t="str">
        <f aca="false">IF($E1400="","",IF($E1400=IFERROR(INDEX(项目档案!$D$6:$D$255,MATCH($C1400,项目档案!$A$6:$A$255,0)),""),"一级",IF($E1400=IFERROR(INDEX(项目档案!$F$6:$F$255,MATCH($C1400,项目档案!$A$6:$A$255,0)),""),"二级",IF($E1400=IFERROR(INDEX(项目档案!$H$6:$H$255,MATCH($C1400,项目档案!$A$6:$A$255,0)),""),"我方","—"))))</f>
        <v/>
      </c>
      <c r="O1400" s="36" t="n">
        <f aca="false">IF($D1400&lt;&gt;"销项开票",0,ROUND(N($H1400)*N($I1400),2))</f>
        <v>0</v>
      </c>
      <c r="P1400" s="36" t="n">
        <f aca="false">IF($D1400&lt;&gt;"销项开票",0,ROUND(N($H1400)-$O1400,2))</f>
        <v>0</v>
      </c>
      <c r="Q1400" s="37" t="str">
        <f aca="false">IF($E1400="","",N(IFERROR(INDEX(单位档案!$E$6:$E$35,MATCH($E1400,单位档案!$A$6:$A$35,0)),"")))</f>
        <v/>
      </c>
      <c r="R1400" s="37" t="str">
        <f aca="false">IF($E1400="","",N(IFERROR(INDEX(单位档案!$F$6:$F$35,MATCH($E1400,单位档案!$A$6:$A$35,0)),"")))</f>
        <v/>
      </c>
      <c r="S1400" s="36" t="n">
        <f aca="false">IF(OR($D1400&lt;&gt;"销项开票",IFERROR(INDEX(单位档案!$G$6:$G$35,MATCH($E1400,单位档案!$A$6:$A$35,0)),"")&lt;&gt;"是",N($Q1400)=0),0,IF(IFERROR(INDEX(单位档案!$H$6:$H$35,MATCH($E1400,单位档案!$A$6:$A$35,0)),"")="税差法",ROUND(N($H1400)/(1+$Q1400)*$Q1400-IF(N($R1400)=0,0,$P1400/(1+$R1400)*$R1400),2),ROUND(N($H1400)/(1+$Q1400)*$Q1400,2)))</f>
        <v>0</v>
      </c>
      <c r="T1400" s="36" t="n">
        <f aca="false">ROUND($S1400*N(IFERROR(INDEX(单位档案!$J$6:$J$35,MATCH($E1400,单位档案!$A$6:$A$35,0)),"")),2)</f>
        <v>0</v>
      </c>
      <c r="U1400" s="36" t="n">
        <f aca="false">IF($D1400&lt;&gt;"销项开票",0,ROUND(N($H1400)*N(IFERROR(INDEX(单位档案!$K$6:$K$35,MATCH($E1400,单位档案!$A$6:$A$35,0)),"")),2))</f>
        <v>0</v>
      </c>
      <c r="V1400" s="36" t="n">
        <f aca="false">IF(OR($D1400&lt;&gt;"销项开票",N($Q1400)=0),0,ROUND(N($H1400)/(1+$Q1400)*N(IFERROR(INDEX(单位档案!$L$6:$L$35,MATCH($E1400,单位档案!$A$6:$A$35,0)),"")),2))</f>
        <v>0</v>
      </c>
      <c r="W1400" s="36" t="n">
        <f aca="false">ROUND($S1400+$T1400+$U1400+$V1400,2)</f>
        <v>0</v>
      </c>
      <c r="X1400" s="35" t="str">
        <f aca="false">IF(OR($D1400="挂靠代收",$D1400="我方收款"),COUNTIFS($D$5:$D1400,"挂靠代收")+COUNTIFS($D$5:$D1400,"我方收款"),"")</f>
        <v/>
      </c>
      <c r="Y1400" s="35"/>
      <c r="Z1400" s="21" t="s">
        <v>111</v>
      </c>
    </row>
    <row r="1401" customFormat="false" ht="15.75" hidden="false" customHeight="true" outlineLevel="0" collapsed="false">
      <c r="A1401" s="32" t="str">
        <f aca="false">IF($B1401="","",ROW()-4)</f>
        <v/>
      </c>
      <c r="B1401" s="26"/>
      <c r="C1401" s="24"/>
      <c r="D1401" s="21"/>
      <c r="E1401" s="21"/>
      <c r="F1401" s="21"/>
      <c r="G1401" s="21"/>
      <c r="H1401" s="27"/>
      <c r="I1401" s="23" t="str">
        <f aca="false">IF($D1401&lt;&gt;"销项开票","",IF($N1401="一级",IF(IFERROR(INDEX(项目档案!$E$6:$E$255,MATCH($C1401,项目档案!$A$6:$A$255,0)),"")="",N(IFERROR(INDEX(单位档案!$D$6:$D$35,MATCH($E1401,单位档案!$A$6:$A$35,0)),"")),IFERROR(INDEX(项目档案!$E$6:$E$255,MATCH($C1401,项目档案!$A$6:$A$255,0)),"")),IF($N1401="二级",IF(IFERROR(INDEX(项目档案!$G$6:$G$255,MATCH($C1401,项目档案!$A$6:$A$255,0)),"")="",N(IFERROR(INDEX(单位档案!$D$6:$D$35,MATCH($E1401,单位档案!$A$6:$A$35,0)),"")),IFERROR(INDEX(项目档案!$G$6:$G$255,MATCH($C1401,项目档案!$A$6:$A$255,0)),"")),N(IFERROR(INDEX(单位档案!$D$6:$D$35,MATCH($E1401,单位档案!$A$6:$A$35,0)),"")))))</f>
        <v/>
      </c>
      <c r="J1401" s="22"/>
      <c r="K1401" s="22"/>
      <c r="L1401" s="33" t="str">
        <f aca="false">IF($B1401="","",IF(NOT(ISNUMBER($B1401)),"日期格式不对",IF($C1401="","未选项目编号",IF(LEFT($M1401,1)="⚠","项目编号不存在",IF($D1401="","未选业务类型",IF($E1401="","未选开票/付款方",IF(ISNA(MATCH($E1401,单位档案!$A$6:$A$35,0)),"开票方不在单位档案",IF($F1401="","未选收票/收款方",IF(ISNA(MATCH($F1401,单位档案!$A$6:$A$35,0)),"收款方不在单位档案",IF(NOT(ISNUMBER($H1401)),"金额须为数字",IF(AND($D1401="销项开票",$N1401="—"),"链条待确认","√")))))))))))</f>
        <v/>
      </c>
      <c r="M1401" s="34" t="str">
        <f aca="false">IF($C1401="","",IFERROR(INDEX(项目档案!$B$6:$B$255,MATCH($C1401,项目档案!$A$6:$A$255,0)),"⚠项目编号不存在"))</f>
        <v/>
      </c>
      <c r="N1401" s="35" t="str">
        <f aca="false">IF($E1401="","",IF($E1401=IFERROR(INDEX(项目档案!$D$6:$D$255,MATCH($C1401,项目档案!$A$6:$A$255,0)),""),"一级",IF($E1401=IFERROR(INDEX(项目档案!$F$6:$F$255,MATCH($C1401,项目档案!$A$6:$A$255,0)),""),"二级",IF($E1401=IFERROR(INDEX(项目档案!$H$6:$H$255,MATCH($C1401,项目档案!$A$6:$A$255,0)),""),"我方","—"))))</f>
        <v/>
      </c>
      <c r="O1401" s="36" t="n">
        <f aca="false">IF($D1401&lt;&gt;"销项开票",0,ROUND(N($H1401)*N($I1401),2))</f>
        <v>0</v>
      </c>
      <c r="P1401" s="36" t="n">
        <f aca="false">IF($D1401&lt;&gt;"销项开票",0,ROUND(N($H1401)-$O1401,2))</f>
        <v>0</v>
      </c>
      <c r="Q1401" s="37" t="str">
        <f aca="false">IF($E1401="","",N(IFERROR(INDEX(单位档案!$E$6:$E$35,MATCH($E1401,单位档案!$A$6:$A$35,0)),"")))</f>
        <v/>
      </c>
      <c r="R1401" s="37" t="str">
        <f aca="false">IF($E1401="","",N(IFERROR(INDEX(单位档案!$F$6:$F$35,MATCH($E1401,单位档案!$A$6:$A$35,0)),"")))</f>
        <v/>
      </c>
      <c r="S1401" s="36" t="n">
        <f aca="false">IF(OR($D1401&lt;&gt;"销项开票",IFERROR(INDEX(单位档案!$G$6:$G$35,MATCH($E1401,单位档案!$A$6:$A$35,0)),"")&lt;&gt;"是",N($Q1401)=0),0,IF(IFERROR(INDEX(单位档案!$H$6:$H$35,MATCH($E1401,单位档案!$A$6:$A$35,0)),"")="税差法",ROUND(N($H1401)/(1+$Q1401)*$Q1401-IF(N($R1401)=0,0,$P1401/(1+$R1401)*$R1401),2),ROUND(N($H1401)/(1+$Q1401)*$Q1401,2)))</f>
        <v>0</v>
      </c>
      <c r="T1401" s="36" t="n">
        <f aca="false">ROUND($S1401*N(IFERROR(INDEX(单位档案!$J$6:$J$35,MATCH($E1401,单位档案!$A$6:$A$35,0)),"")),2)</f>
        <v>0</v>
      </c>
      <c r="U1401" s="36" t="n">
        <f aca="false">IF($D1401&lt;&gt;"销项开票",0,ROUND(N($H1401)*N(IFERROR(INDEX(单位档案!$K$6:$K$35,MATCH($E1401,单位档案!$A$6:$A$35,0)),"")),2))</f>
        <v>0</v>
      </c>
      <c r="V1401" s="36" t="n">
        <f aca="false">IF(OR($D1401&lt;&gt;"销项开票",N($Q1401)=0),0,ROUND(N($H1401)/(1+$Q1401)*N(IFERROR(INDEX(单位档案!$L$6:$L$35,MATCH($E1401,单位档案!$A$6:$A$35,0)),"")),2))</f>
        <v>0</v>
      </c>
      <c r="W1401" s="36" t="n">
        <f aca="false">ROUND($S1401+$T1401+$U1401+$V1401,2)</f>
        <v>0</v>
      </c>
      <c r="X1401" s="35" t="str">
        <f aca="false">IF(OR($D1401="挂靠代收",$D1401="我方收款"),COUNTIFS($D$5:$D1401,"挂靠代收")+COUNTIFS($D$5:$D1401,"我方收款"),"")</f>
        <v/>
      </c>
      <c r="Y1401" s="35"/>
      <c r="Z1401" s="21" t="s">
        <v>111</v>
      </c>
    </row>
    <row r="1402" customFormat="false" ht="15.75" hidden="false" customHeight="true" outlineLevel="0" collapsed="false">
      <c r="A1402" s="32" t="str">
        <f aca="false">IF($B1402="","",ROW()-4)</f>
        <v/>
      </c>
      <c r="B1402" s="26"/>
      <c r="C1402" s="24"/>
      <c r="D1402" s="21"/>
      <c r="E1402" s="21"/>
      <c r="F1402" s="21"/>
      <c r="G1402" s="21"/>
      <c r="H1402" s="27"/>
      <c r="I1402" s="23" t="str">
        <f aca="false">IF($D1402&lt;&gt;"销项开票","",IF($N1402="一级",IF(IFERROR(INDEX(项目档案!$E$6:$E$255,MATCH($C1402,项目档案!$A$6:$A$255,0)),"")="",N(IFERROR(INDEX(单位档案!$D$6:$D$35,MATCH($E1402,单位档案!$A$6:$A$35,0)),"")),IFERROR(INDEX(项目档案!$E$6:$E$255,MATCH($C1402,项目档案!$A$6:$A$255,0)),"")),IF($N1402="二级",IF(IFERROR(INDEX(项目档案!$G$6:$G$255,MATCH($C1402,项目档案!$A$6:$A$255,0)),"")="",N(IFERROR(INDEX(单位档案!$D$6:$D$35,MATCH($E1402,单位档案!$A$6:$A$35,0)),"")),IFERROR(INDEX(项目档案!$G$6:$G$255,MATCH($C1402,项目档案!$A$6:$A$255,0)),"")),N(IFERROR(INDEX(单位档案!$D$6:$D$35,MATCH($E1402,单位档案!$A$6:$A$35,0)),"")))))</f>
        <v/>
      </c>
      <c r="J1402" s="22"/>
      <c r="K1402" s="22"/>
      <c r="L1402" s="33" t="str">
        <f aca="false">IF($B1402="","",IF(NOT(ISNUMBER($B1402)),"日期格式不对",IF($C1402="","未选项目编号",IF(LEFT($M1402,1)="⚠","项目编号不存在",IF($D1402="","未选业务类型",IF($E1402="","未选开票/付款方",IF(ISNA(MATCH($E1402,单位档案!$A$6:$A$35,0)),"开票方不在单位档案",IF($F1402="","未选收票/收款方",IF(ISNA(MATCH($F1402,单位档案!$A$6:$A$35,0)),"收款方不在单位档案",IF(NOT(ISNUMBER($H1402)),"金额须为数字",IF(AND($D1402="销项开票",$N1402="—"),"链条待确认","√")))))))))))</f>
        <v/>
      </c>
      <c r="M1402" s="34" t="str">
        <f aca="false">IF($C1402="","",IFERROR(INDEX(项目档案!$B$6:$B$255,MATCH($C1402,项目档案!$A$6:$A$255,0)),"⚠项目编号不存在"))</f>
        <v/>
      </c>
      <c r="N1402" s="35" t="str">
        <f aca="false">IF($E1402="","",IF($E1402=IFERROR(INDEX(项目档案!$D$6:$D$255,MATCH($C1402,项目档案!$A$6:$A$255,0)),""),"一级",IF($E1402=IFERROR(INDEX(项目档案!$F$6:$F$255,MATCH($C1402,项目档案!$A$6:$A$255,0)),""),"二级",IF($E1402=IFERROR(INDEX(项目档案!$H$6:$H$255,MATCH($C1402,项目档案!$A$6:$A$255,0)),""),"我方","—"))))</f>
        <v/>
      </c>
      <c r="O1402" s="36" t="n">
        <f aca="false">IF($D1402&lt;&gt;"销项开票",0,ROUND(N($H1402)*N($I1402),2))</f>
        <v>0</v>
      </c>
      <c r="P1402" s="36" t="n">
        <f aca="false">IF($D1402&lt;&gt;"销项开票",0,ROUND(N($H1402)-$O1402,2))</f>
        <v>0</v>
      </c>
      <c r="Q1402" s="37" t="str">
        <f aca="false">IF($E1402="","",N(IFERROR(INDEX(单位档案!$E$6:$E$35,MATCH($E1402,单位档案!$A$6:$A$35,0)),"")))</f>
        <v/>
      </c>
      <c r="R1402" s="37" t="str">
        <f aca="false">IF($E1402="","",N(IFERROR(INDEX(单位档案!$F$6:$F$35,MATCH($E1402,单位档案!$A$6:$A$35,0)),"")))</f>
        <v/>
      </c>
      <c r="S1402" s="36" t="n">
        <f aca="false">IF(OR($D1402&lt;&gt;"销项开票",IFERROR(INDEX(单位档案!$G$6:$G$35,MATCH($E1402,单位档案!$A$6:$A$35,0)),"")&lt;&gt;"是",N($Q1402)=0),0,IF(IFERROR(INDEX(单位档案!$H$6:$H$35,MATCH($E1402,单位档案!$A$6:$A$35,0)),"")="税差法",ROUND(N($H1402)/(1+$Q1402)*$Q1402-IF(N($R1402)=0,0,$P1402/(1+$R1402)*$R1402),2),ROUND(N($H1402)/(1+$Q1402)*$Q1402,2)))</f>
        <v>0</v>
      </c>
      <c r="T1402" s="36" t="n">
        <f aca="false">ROUND($S1402*N(IFERROR(INDEX(单位档案!$J$6:$J$35,MATCH($E1402,单位档案!$A$6:$A$35,0)),"")),2)</f>
        <v>0</v>
      </c>
      <c r="U1402" s="36" t="n">
        <f aca="false">IF($D1402&lt;&gt;"销项开票",0,ROUND(N($H1402)*N(IFERROR(INDEX(单位档案!$K$6:$K$35,MATCH($E1402,单位档案!$A$6:$A$35,0)),"")),2))</f>
        <v>0</v>
      </c>
      <c r="V1402" s="36" t="n">
        <f aca="false">IF(OR($D1402&lt;&gt;"销项开票",N($Q1402)=0),0,ROUND(N($H1402)/(1+$Q1402)*N(IFERROR(INDEX(单位档案!$L$6:$L$35,MATCH($E1402,单位档案!$A$6:$A$35,0)),"")),2))</f>
        <v>0</v>
      </c>
      <c r="W1402" s="36" t="n">
        <f aca="false">ROUND($S1402+$T1402+$U1402+$V1402,2)</f>
        <v>0</v>
      </c>
      <c r="X1402" s="35" t="str">
        <f aca="false">IF(OR($D1402="挂靠代收",$D1402="我方收款"),COUNTIFS($D$5:$D1402,"挂靠代收")+COUNTIFS($D$5:$D1402,"我方收款"),"")</f>
        <v/>
      </c>
      <c r="Y1402" s="35"/>
      <c r="Z1402" s="21" t="s">
        <v>111</v>
      </c>
    </row>
    <row r="1403" customFormat="false" ht="15.75" hidden="false" customHeight="true" outlineLevel="0" collapsed="false">
      <c r="A1403" s="32" t="str">
        <f aca="false">IF($B1403="","",ROW()-4)</f>
        <v/>
      </c>
      <c r="B1403" s="26"/>
      <c r="C1403" s="24"/>
      <c r="D1403" s="21"/>
      <c r="E1403" s="21"/>
      <c r="F1403" s="21"/>
      <c r="G1403" s="21"/>
      <c r="H1403" s="27"/>
      <c r="I1403" s="23" t="str">
        <f aca="false">IF($D1403&lt;&gt;"销项开票","",IF($N1403="一级",IF(IFERROR(INDEX(项目档案!$E$6:$E$255,MATCH($C1403,项目档案!$A$6:$A$255,0)),"")="",N(IFERROR(INDEX(单位档案!$D$6:$D$35,MATCH($E1403,单位档案!$A$6:$A$35,0)),"")),IFERROR(INDEX(项目档案!$E$6:$E$255,MATCH($C1403,项目档案!$A$6:$A$255,0)),"")),IF($N1403="二级",IF(IFERROR(INDEX(项目档案!$G$6:$G$255,MATCH($C1403,项目档案!$A$6:$A$255,0)),"")="",N(IFERROR(INDEX(单位档案!$D$6:$D$35,MATCH($E1403,单位档案!$A$6:$A$35,0)),"")),IFERROR(INDEX(项目档案!$G$6:$G$255,MATCH($C1403,项目档案!$A$6:$A$255,0)),"")),N(IFERROR(INDEX(单位档案!$D$6:$D$35,MATCH($E1403,单位档案!$A$6:$A$35,0)),"")))))</f>
        <v/>
      </c>
      <c r="J1403" s="22"/>
      <c r="K1403" s="22"/>
      <c r="L1403" s="33" t="str">
        <f aca="false">IF($B1403="","",IF(NOT(ISNUMBER($B1403)),"日期格式不对",IF($C1403="","未选项目编号",IF(LEFT($M1403,1)="⚠","项目编号不存在",IF($D1403="","未选业务类型",IF($E1403="","未选开票/付款方",IF(ISNA(MATCH($E1403,单位档案!$A$6:$A$35,0)),"开票方不在单位档案",IF($F1403="","未选收票/收款方",IF(ISNA(MATCH($F1403,单位档案!$A$6:$A$35,0)),"收款方不在单位档案",IF(NOT(ISNUMBER($H1403)),"金额须为数字",IF(AND($D1403="销项开票",$N1403="—"),"链条待确认","√")))))))))))</f>
        <v/>
      </c>
      <c r="M1403" s="34" t="str">
        <f aca="false">IF($C1403="","",IFERROR(INDEX(项目档案!$B$6:$B$255,MATCH($C1403,项目档案!$A$6:$A$255,0)),"⚠项目编号不存在"))</f>
        <v/>
      </c>
      <c r="N1403" s="35" t="str">
        <f aca="false">IF($E1403="","",IF($E1403=IFERROR(INDEX(项目档案!$D$6:$D$255,MATCH($C1403,项目档案!$A$6:$A$255,0)),""),"一级",IF($E1403=IFERROR(INDEX(项目档案!$F$6:$F$255,MATCH($C1403,项目档案!$A$6:$A$255,0)),""),"二级",IF($E1403=IFERROR(INDEX(项目档案!$H$6:$H$255,MATCH($C1403,项目档案!$A$6:$A$255,0)),""),"我方","—"))))</f>
        <v/>
      </c>
      <c r="O1403" s="36" t="n">
        <f aca="false">IF($D1403&lt;&gt;"销项开票",0,ROUND(N($H1403)*N($I1403),2))</f>
        <v>0</v>
      </c>
      <c r="P1403" s="36" t="n">
        <f aca="false">IF($D1403&lt;&gt;"销项开票",0,ROUND(N($H1403)-$O1403,2))</f>
        <v>0</v>
      </c>
      <c r="Q1403" s="37" t="str">
        <f aca="false">IF($E1403="","",N(IFERROR(INDEX(单位档案!$E$6:$E$35,MATCH($E1403,单位档案!$A$6:$A$35,0)),"")))</f>
        <v/>
      </c>
      <c r="R1403" s="37" t="str">
        <f aca="false">IF($E1403="","",N(IFERROR(INDEX(单位档案!$F$6:$F$35,MATCH($E1403,单位档案!$A$6:$A$35,0)),"")))</f>
        <v/>
      </c>
      <c r="S1403" s="36" t="n">
        <f aca="false">IF(OR($D1403&lt;&gt;"销项开票",IFERROR(INDEX(单位档案!$G$6:$G$35,MATCH($E1403,单位档案!$A$6:$A$35,0)),"")&lt;&gt;"是",N($Q1403)=0),0,IF(IFERROR(INDEX(单位档案!$H$6:$H$35,MATCH($E1403,单位档案!$A$6:$A$35,0)),"")="税差法",ROUND(N($H1403)/(1+$Q1403)*$Q1403-IF(N($R1403)=0,0,$P1403/(1+$R1403)*$R1403),2),ROUND(N($H1403)/(1+$Q1403)*$Q1403,2)))</f>
        <v>0</v>
      </c>
      <c r="T1403" s="36" t="n">
        <f aca="false">ROUND($S1403*N(IFERROR(INDEX(单位档案!$J$6:$J$35,MATCH($E1403,单位档案!$A$6:$A$35,0)),"")),2)</f>
        <v>0</v>
      </c>
      <c r="U1403" s="36" t="n">
        <f aca="false">IF($D1403&lt;&gt;"销项开票",0,ROUND(N($H1403)*N(IFERROR(INDEX(单位档案!$K$6:$K$35,MATCH($E1403,单位档案!$A$6:$A$35,0)),"")),2))</f>
        <v>0</v>
      </c>
      <c r="V1403" s="36" t="n">
        <f aca="false">IF(OR($D1403&lt;&gt;"销项开票",N($Q1403)=0),0,ROUND(N($H1403)/(1+$Q1403)*N(IFERROR(INDEX(单位档案!$L$6:$L$35,MATCH($E1403,单位档案!$A$6:$A$35,0)),"")),2))</f>
        <v>0</v>
      </c>
      <c r="W1403" s="36" t="n">
        <f aca="false">ROUND($S1403+$T1403+$U1403+$V1403,2)</f>
        <v>0</v>
      </c>
      <c r="X1403" s="35" t="str">
        <f aca="false">IF(OR($D1403="挂靠代收",$D1403="我方收款"),COUNTIFS($D$5:$D1403,"挂靠代收")+COUNTIFS($D$5:$D1403,"我方收款"),"")</f>
        <v/>
      </c>
      <c r="Y1403" s="35"/>
      <c r="Z1403" s="21" t="s">
        <v>111</v>
      </c>
    </row>
    <row r="1404" customFormat="false" ht="15.75" hidden="false" customHeight="true" outlineLevel="0" collapsed="false">
      <c r="A1404" s="32" t="str">
        <f aca="false">IF($B1404="","",ROW()-4)</f>
        <v/>
      </c>
      <c r="B1404" s="26"/>
      <c r="C1404" s="24"/>
      <c r="D1404" s="21"/>
      <c r="E1404" s="21"/>
      <c r="F1404" s="21"/>
      <c r="G1404" s="21"/>
      <c r="H1404" s="27"/>
      <c r="I1404" s="23" t="str">
        <f aca="false">IF($D1404&lt;&gt;"销项开票","",IF($N1404="一级",IF(IFERROR(INDEX(项目档案!$E$6:$E$255,MATCH($C1404,项目档案!$A$6:$A$255,0)),"")="",N(IFERROR(INDEX(单位档案!$D$6:$D$35,MATCH($E1404,单位档案!$A$6:$A$35,0)),"")),IFERROR(INDEX(项目档案!$E$6:$E$255,MATCH($C1404,项目档案!$A$6:$A$255,0)),"")),IF($N1404="二级",IF(IFERROR(INDEX(项目档案!$G$6:$G$255,MATCH($C1404,项目档案!$A$6:$A$255,0)),"")="",N(IFERROR(INDEX(单位档案!$D$6:$D$35,MATCH($E1404,单位档案!$A$6:$A$35,0)),"")),IFERROR(INDEX(项目档案!$G$6:$G$255,MATCH($C1404,项目档案!$A$6:$A$255,0)),"")),N(IFERROR(INDEX(单位档案!$D$6:$D$35,MATCH($E1404,单位档案!$A$6:$A$35,0)),"")))))</f>
        <v/>
      </c>
      <c r="J1404" s="22"/>
      <c r="K1404" s="22"/>
      <c r="L1404" s="33" t="str">
        <f aca="false">IF($B1404="","",IF(NOT(ISNUMBER($B1404)),"日期格式不对",IF($C1404="","未选项目编号",IF(LEFT($M1404,1)="⚠","项目编号不存在",IF($D1404="","未选业务类型",IF($E1404="","未选开票/付款方",IF(ISNA(MATCH($E1404,单位档案!$A$6:$A$35,0)),"开票方不在单位档案",IF($F1404="","未选收票/收款方",IF(ISNA(MATCH($F1404,单位档案!$A$6:$A$35,0)),"收款方不在单位档案",IF(NOT(ISNUMBER($H1404)),"金额须为数字",IF(AND($D1404="销项开票",$N1404="—"),"链条待确认","√")))))))))))</f>
        <v/>
      </c>
      <c r="M1404" s="34" t="str">
        <f aca="false">IF($C1404="","",IFERROR(INDEX(项目档案!$B$6:$B$255,MATCH($C1404,项目档案!$A$6:$A$255,0)),"⚠项目编号不存在"))</f>
        <v/>
      </c>
      <c r="N1404" s="35" t="str">
        <f aca="false">IF($E1404="","",IF($E1404=IFERROR(INDEX(项目档案!$D$6:$D$255,MATCH($C1404,项目档案!$A$6:$A$255,0)),""),"一级",IF($E1404=IFERROR(INDEX(项目档案!$F$6:$F$255,MATCH($C1404,项目档案!$A$6:$A$255,0)),""),"二级",IF($E1404=IFERROR(INDEX(项目档案!$H$6:$H$255,MATCH($C1404,项目档案!$A$6:$A$255,0)),""),"我方","—"))))</f>
        <v/>
      </c>
      <c r="O1404" s="36" t="n">
        <f aca="false">IF($D1404&lt;&gt;"销项开票",0,ROUND(N($H1404)*N($I1404),2))</f>
        <v>0</v>
      </c>
      <c r="P1404" s="36" t="n">
        <f aca="false">IF($D1404&lt;&gt;"销项开票",0,ROUND(N($H1404)-$O1404,2))</f>
        <v>0</v>
      </c>
      <c r="Q1404" s="37" t="str">
        <f aca="false">IF($E1404="","",N(IFERROR(INDEX(单位档案!$E$6:$E$35,MATCH($E1404,单位档案!$A$6:$A$35,0)),"")))</f>
        <v/>
      </c>
      <c r="R1404" s="37" t="str">
        <f aca="false">IF($E1404="","",N(IFERROR(INDEX(单位档案!$F$6:$F$35,MATCH($E1404,单位档案!$A$6:$A$35,0)),"")))</f>
        <v/>
      </c>
      <c r="S1404" s="36" t="n">
        <f aca="false">IF(OR($D1404&lt;&gt;"销项开票",IFERROR(INDEX(单位档案!$G$6:$G$35,MATCH($E1404,单位档案!$A$6:$A$35,0)),"")&lt;&gt;"是",N($Q1404)=0),0,IF(IFERROR(INDEX(单位档案!$H$6:$H$35,MATCH($E1404,单位档案!$A$6:$A$35,0)),"")="税差法",ROUND(N($H1404)/(1+$Q1404)*$Q1404-IF(N($R1404)=0,0,$P1404/(1+$R1404)*$R1404),2),ROUND(N($H1404)/(1+$Q1404)*$Q1404,2)))</f>
        <v>0</v>
      </c>
      <c r="T1404" s="36" t="n">
        <f aca="false">ROUND($S1404*N(IFERROR(INDEX(单位档案!$J$6:$J$35,MATCH($E1404,单位档案!$A$6:$A$35,0)),"")),2)</f>
        <v>0</v>
      </c>
      <c r="U1404" s="36" t="n">
        <f aca="false">IF($D1404&lt;&gt;"销项开票",0,ROUND(N($H1404)*N(IFERROR(INDEX(单位档案!$K$6:$K$35,MATCH($E1404,单位档案!$A$6:$A$35,0)),"")),2))</f>
        <v>0</v>
      </c>
      <c r="V1404" s="36" t="n">
        <f aca="false">IF(OR($D1404&lt;&gt;"销项开票",N($Q1404)=0),0,ROUND(N($H1404)/(1+$Q1404)*N(IFERROR(INDEX(单位档案!$L$6:$L$35,MATCH($E1404,单位档案!$A$6:$A$35,0)),"")),2))</f>
        <v>0</v>
      </c>
      <c r="W1404" s="36" t="n">
        <f aca="false">ROUND($S1404+$T1404+$U1404+$V1404,2)</f>
        <v>0</v>
      </c>
      <c r="X1404" s="35" t="str">
        <f aca="false">IF(OR($D1404="挂靠代收",$D1404="我方收款"),COUNTIFS($D$5:$D1404,"挂靠代收")+COUNTIFS($D$5:$D1404,"我方收款"),"")</f>
        <v/>
      </c>
      <c r="Y1404" s="35"/>
      <c r="Z1404" s="21" t="s">
        <v>111</v>
      </c>
    </row>
    <row r="1405" customFormat="false" ht="15.75" hidden="false" customHeight="true" outlineLevel="0" collapsed="false">
      <c r="A1405" s="32" t="str">
        <f aca="false">IF($B1405="","",ROW()-4)</f>
        <v/>
      </c>
      <c r="B1405" s="26"/>
      <c r="C1405" s="24"/>
      <c r="D1405" s="21"/>
      <c r="E1405" s="21"/>
      <c r="F1405" s="21"/>
      <c r="G1405" s="21"/>
      <c r="H1405" s="27"/>
      <c r="I1405" s="23" t="str">
        <f aca="false">IF($D1405&lt;&gt;"销项开票","",IF($N1405="一级",IF(IFERROR(INDEX(项目档案!$E$6:$E$255,MATCH($C1405,项目档案!$A$6:$A$255,0)),"")="",N(IFERROR(INDEX(单位档案!$D$6:$D$35,MATCH($E1405,单位档案!$A$6:$A$35,0)),"")),IFERROR(INDEX(项目档案!$E$6:$E$255,MATCH($C1405,项目档案!$A$6:$A$255,0)),"")),IF($N1405="二级",IF(IFERROR(INDEX(项目档案!$G$6:$G$255,MATCH($C1405,项目档案!$A$6:$A$255,0)),"")="",N(IFERROR(INDEX(单位档案!$D$6:$D$35,MATCH($E1405,单位档案!$A$6:$A$35,0)),"")),IFERROR(INDEX(项目档案!$G$6:$G$255,MATCH($C1405,项目档案!$A$6:$A$255,0)),"")),N(IFERROR(INDEX(单位档案!$D$6:$D$35,MATCH($E1405,单位档案!$A$6:$A$35,0)),"")))))</f>
        <v/>
      </c>
      <c r="J1405" s="22"/>
      <c r="K1405" s="22"/>
      <c r="L1405" s="33" t="str">
        <f aca="false">IF($B1405="","",IF(NOT(ISNUMBER($B1405)),"日期格式不对",IF($C1405="","未选项目编号",IF(LEFT($M1405,1)="⚠","项目编号不存在",IF($D1405="","未选业务类型",IF($E1405="","未选开票/付款方",IF(ISNA(MATCH($E1405,单位档案!$A$6:$A$35,0)),"开票方不在单位档案",IF($F1405="","未选收票/收款方",IF(ISNA(MATCH($F1405,单位档案!$A$6:$A$35,0)),"收款方不在单位档案",IF(NOT(ISNUMBER($H1405)),"金额须为数字",IF(AND($D1405="销项开票",$N1405="—"),"链条待确认","√")))))))))))</f>
        <v/>
      </c>
      <c r="M1405" s="34" t="str">
        <f aca="false">IF($C1405="","",IFERROR(INDEX(项目档案!$B$6:$B$255,MATCH($C1405,项目档案!$A$6:$A$255,0)),"⚠项目编号不存在"))</f>
        <v/>
      </c>
      <c r="N1405" s="35" t="str">
        <f aca="false">IF($E1405="","",IF($E1405=IFERROR(INDEX(项目档案!$D$6:$D$255,MATCH($C1405,项目档案!$A$6:$A$255,0)),""),"一级",IF($E1405=IFERROR(INDEX(项目档案!$F$6:$F$255,MATCH($C1405,项目档案!$A$6:$A$255,0)),""),"二级",IF($E1405=IFERROR(INDEX(项目档案!$H$6:$H$255,MATCH($C1405,项目档案!$A$6:$A$255,0)),""),"我方","—"))))</f>
        <v/>
      </c>
      <c r="O1405" s="36" t="n">
        <f aca="false">IF($D1405&lt;&gt;"销项开票",0,ROUND(N($H1405)*N($I1405),2))</f>
        <v>0</v>
      </c>
      <c r="P1405" s="36" t="n">
        <f aca="false">IF($D1405&lt;&gt;"销项开票",0,ROUND(N($H1405)-$O1405,2))</f>
        <v>0</v>
      </c>
      <c r="Q1405" s="37" t="str">
        <f aca="false">IF($E1405="","",N(IFERROR(INDEX(单位档案!$E$6:$E$35,MATCH($E1405,单位档案!$A$6:$A$35,0)),"")))</f>
        <v/>
      </c>
      <c r="R1405" s="37" t="str">
        <f aca="false">IF($E1405="","",N(IFERROR(INDEX(单位档案!$F$6:$F$35,MATCH($E1405,单位档案!$A$6:$A$35,0)),"")))</f>
        <v/>
      </c>
      <c r="S1405" s="36" t="n">
        <f aca="false">IF(OR($D1405&lt;&gt;"销项开票",IFERROR(INDEX(单位档案!$G$6:$G$35,MATCH($E1405,单位档案!$A$6:$A$35,0)),"")&lt;&gt;"是",N($Q1405)=0),0,IF(IFERROR(INDEX(单位档案!$H$6:$H$35,MATCH($E1405,单位档案!$A$6:$A$35,0)),"")="税差法",ROUND(N($H1405)/(1+$Q1405)*$Q1405-IF(N($R1405)=0,0,$P1405/(1+$R1405)*$R1405),2),ROUND(N($H1405)/(1+$Q1405)*$Q1405,2)))</f>
        <v>0</v>
      </c>
      <c r="T1405" s="36" t="n">
        <f aca="false">ROUND($S1405*N(IFERROR(INDEX(单位档案!$J$6:$J$35,MATCH($E1405,单位档案!$A$6:$A$35,0)),"")),2)</f>
        <v>0</v>
      </c>
      <c r="U1405" s="36" t="n">
        <f aca="false">IF($D1405&lt;&gt;"销项开票",0,ROUND(N($H1405)*N(IFERROR(INDEX(单位档案!$K$6:$K$35,MATCH($E1405,单位档案!$A$6:$A$35,0)),"")),2))</f>
        <v>0</v>
      </c>
      <c r="V1405" s="36" t="n">
        <f aca="false">IF(OR($D1405&lt;&gt;"销项开票",N($Q1405)=0),0,ROUND(N($H1405)/(1+$Q1405)*N(IFERROR(INDEX(单位档案!$L$6:$L$35,MATCH($E1405,单位档案!$A$6:$A$35,0)),"")),2))</f>
        <v>0</v>
      </c>
      <c r="W1405" s="36" t="n">
        <f aca="false">ROUND($S1405+$T1405+$U1405+$V1405,2)</f>
        <v>0</v>
      </c>
      <c r="X1405" s="35" t="str">
        <f aca="false">IF(OR($D1405="挂靠代收",$D1405="我方收款"),COUNTIFS($D$5:$D1405,"挂靠代收")+COUNTIFS($D$5:$D1405,"我方收款"),"")</f>
        <v/>
      </c>
      <c r="Y1405" s="35"/>
      <c r="Z1405" s="21" t="s">
        <v>111</v>
      </c>
    </row>
    <row r="1406" customFormat="false" ht="15.75" hidden="false" customHeight="true" outlineLevel="0" collapsed="false">
      <c r="A1406" s="32" t="str">
        <f aca="false">IF($B1406="","",ROW()-4)</f>
        <v/>
      </c>
      <c r="B1406" s="26"/>
      <c r="C1406" s="24"/>
      <c r="D1406" s="21"/>
      <c r="E1406" s="21"/>
      <c r="F1406" s="21"/>
      <c r="G1406" s="21"/>
      <c r="H1406" s="27"/>
      <c r="I1406" s="23" t="str">
        <f aca="false">IF($D1406&lt;&gt;"销项开票","",IF($N1406="一级",IF(IFERROR(INDEX(项目档案!$E$6:$E$255,MATCH($C1406,项目档案!$A$6:$A$255,0)),"")="",N(IFERROR(INDEX(单位档案!$D$6:$D$35,MATCH($E1406,单位档案!$A$6:$A$35,0)),"")),IFERROR(INDEX(项目档案!$E$6:$E$255,MATCH($C1406,项目档案!$A$6:$A$255,0)),"")),IF($N1406="二级",IF(IFERROR(INDEX(项目档案!$G$6:$G$255,MATCH($C1406,项目档案!$A$6:$A$255,0)),"")="",N(IFERROR(INDEX(单位档案!$D$6:$D$35,MATCH($E1406,单位档案!$A$6:$A$35,0)),"")),IFERROR(INDEX(项目档案!$G$6:$G$255,MATCH($C1406,项目档案!$A$6:$A$255,0)),"")),N(IFERROR(INDEX(单位档案!$D$6:$D$35,MATCH($E1406,单位档案!$A$6:$A$35,0)),"")))))</f>
        <v/>
      </c>
      <c r="J1406" s="22"/>
      <c r="K1406" s="22"/>
      <c r="L1406" s="33" t="str">
        <f aca="false">IF($B1406="","",IF(NOT(ISNUMBER($B1406)),"日期格式不对",IF($C1406="","未选项目编号",IF(LEFT($M1406,1)="⚠","项目编号不存在",IF($D1406="","未选业务类型",IF($E1406="","未选开票/付款方",IF(ISNA(MATCH($E1406,单位档案!$A$6:$A$35,0)),"开票方不在单位档案",IF($F1406="","未选收票/收款方",IF(ISNA(MATCH($F1406,单位档案!$A$6:$A$35,0)),"收款方不在单位档案",IF(NOT(ISNUMBER($H1406)),"金额须为数字",IF(AND($D1406="销项开票",$N1406="—"),"链条待确认","√")))))))))))</f>
        <v/>
      </c>
      <c r="M1406" s="34" t="str">
        <f aca="false">IF($C1406="","",IFERROR(INDEX(项目档案!$B$6:$B$255,MATCH($C1406,项目档案!$A$6:$A$255,0)),"⚠项目编号不存在"))</f>
        <v/>
      </c>
      <c r="N1406" s="35" t="str">
        <f aca="false">IF($E1406="","",IF($E1406=IFERROR(INDEX(项目档案!$D$6:$D$255,MATCH($C1406,项目档案!$A$6:$A$255,0)),""),"一级",IF($E1406=IFERROR(INDEX(项目档案!$F$6:$F$255,MATCH($C1406,项目档案!$A$6:$A$255,0)),""),"二级",IF($E1406=IFERROR(INDEX(项目档案!$H$6:$H$255,MATCH($C1406,项目档案!$A$6:$A$255,0)),""),"我方","—"))))</f>
        <v/>
      </c>
      <c r="O1406" s="36" t="n">
        <f aca="false">IF($D1406&lt;&gt;"销项开票",0,ROUND(N($H1406)*N($I1406),2))</f>
        <v>0</v>
      </c>
      <c r="P1406" s="36" t="n">
        <f aca="false">IF($D1406&lt;&gt;"销项开票",0,ROUND(N($H1406)-$O1406,2))</f>
        <v>0</v>
      </c>
      <c r="Q1406" s="37" t="str">
        <f aca="false">IF($E1406="","",N(IFERROR(INDEX(单位档案!$E$6:$E$35,MATCH($E1406,单位档案!$A$6:$A$35,0)),"")))</f>
        <v/>
      </c>
      <c r="R1406" s="37" t="str">
        <f aca="false">IF($E1406="","",N(IFERROR(INDEX(单位档案!$F$6:$F$35,MATCH($E1406,单位档案!$A$6:$A$35,0)),"")))</f>
        <v/>
      </c>
      <c r="S1406" s="36" t="n">
        <f aca="false">IF(OR($D1406&lt;&gt;"销项开票",IFERROR(INDEX(单位档案!$G$6:$G$35,MATCH($E1406,单位档案!$A$6:$A$35,0)),"")&lt;&gt;"是",N($Q1406)=0),0,IF(IFERROR(INDEX(单位档案!$H$6:$H$35,MATCH($E1406,单位档案!$A$6:$A$35,0)),"")="税差法",ROUND(N($H1406)/(1+$Q1406)*$Q1406-IF(N($R1406)=0,0,$P1406/(1+$R1406)*$R1406),2),ROUND(N($H1406)/(1+$Q1406)*$Q1406,2)))</f>
        <v>0</v>
      </c>
      <c r="T1406" s="36" t="n">
        <f aca="false">ROUND($S1406*N(IFERROR(INDEX(单位档案!$J$6:$J$35,MATCH($E1406,单位档案!$A$6:$A$35,0)),"")),2)</f>
        <v>0</v>
      </c>
      <c r="U1406" s="36" t="n">
        <f aca="false">IF($D1406&lt;&gt;"销项开票",0,ROUND(N($H1406)*N(IFERROR(INDEX(单位档案!$K$6:$K$35,MATCH($E1406,单位档案!$A$6:$A$35,0)),"")),2))</f>
        <v>0</v>
      </c>
      <c r="V1406" s="36" t="n">
        <f aca="false">IF(OR($D1406&lt;&gt;"销项开票",N($Q1406)=0),0,ROUND(N($H1406)/(1+$Q1406)*N(IFERROR(INDEX(单位档案!$L$6:$L$35,MATCH($E1406,单位档案!$A$6:$A$35,0)),"")),2))</f>
        <v>0</v>
      </c>
      <c r="W1406" s="36" t="n">
        <f aca="false">ROUND($S1406+$T1406+$U1406+$V1406,2)</f>
        <v>0</v>
      </c>
      <c r="X1406" s="35" t="str">
        <f aca="false">IF(OR($D1406="挂靠代收",$D1406="我方收款"),COUNTIFS($D$5:$D1406,"挂靠代收")+COUNTIFS($D$5:$D1406,"我方收款"),"")</f>
        <v/>
      </c>
      <c r="Y1406" s="35"/>
      <c r="Z1406" s="21" t="s">
        <v>111</v>
      </c>
    </row>
    <row r="1407" customFormat="false" ht="15.75" hidden="false" customHeight="true" outlineLevel="0" collapsed="false">
      <c r="A1407" s="32" t="str">
        <f aca="false">IF($B1407="","",ROW()-4)</f>
        <v/>
      </c>
      <c r="B1407" s="26"/>
      <c r="C1407" s="24"/>
      <c r="D1407" s="21"/>
      <c r="E1407" s="21"/>
      <c r="F1407" s="21"/>
      <c r="G1407" s="21"/>
      <c r="H1407" s="27"/>
      <c r="I1407" s="23" t="str">
        <f aca="false">IF($D1407&lt;&gt;"销项开票","",IF($N1407="一级",IF(IFERROR(INDEX(项目档案!$E$6:$E$255,MATCH($C1407,项目档案!$A$6:$A$255,0)),"")="",N(IFERROR(INDEX(单位档案!$D$6:$D$35,MATCH($E1407,单位档案!$A$6:$A$35,0)),"")),IFERROR(INDEX(项目档案!$E$6:$E$255,MATCH($C1407,项目档案!$A$6:$A$255,0)),"")),IF($N1407="二级",IF(IFERROR(INDEX(项目档案!$G$6:$G$255,MATCH($C1407,项目档案!$A$6:$A$255,0)),"")="",N(IFERROR(INDEX(单位档案!$D$6:$D$35,MATCH($E1407,单位档案!$A$6:$A$35,0)),"")),IFERROR(INDEX(项目档案!$G$6:$G$255,MATCH($C1407,项目档案!$A$6:$A$255,0)),"")),N(IFERROR(INDEX(单位档案!$D$6:$D$35,MATCH($E1407,单位档案!$A$6:$A$35,0)),"")))))</f>
        <v/>
      </c>
      <c r="J1407" s="22"/>
      <c r="K1407" s="22"/>
      <c r="L1407" s="33" t="str">
        <f aca="false">IF($B1407="","",IF(NOT(ISNUMBER($B1407)),"日期格式不对",IF($C1407="","未选项目编号",IF(LEFT($M1407,1)="⚠","项目编号不存在",IF($D1407="","未选业务类型",IF($E1407="","未选开票/付款方",IF(ISNA(MATCH($E1407,单位档案!$A$6:$A$35,0)),"开票方不在单位档案",IF($F1407="","未选收票/收款方",IF(ISNA(MATCH($F1407,单位档案!$A$6:$A$35,0)),"收款方不在单位档案",IF(NOT(ISNUMBER($H1407)),"金额须为数字",IF(AND($D1407="销项开票",$N1407="—"),"链条待确认","√")))))))))))</f>
        <v/>
      </c>
      <c r="M1407" s="34" t="str">
        <f aca="false">IF($C1407="","",IFERROR(INDEX(项目档案!$B$6:$B$255,MATCH($C1407,项目档案!$A$6:$A$255,0)),"⚠项目编号不存在"))</f>
        <v/>
      </c>
      <c r="N1407" s="35" t="str">
        <f aca="false">IF($E1407="","",IF($E1407=IFERROR(INDEX(项目档案!$D$6:$D$255,MATCH($C1407,项目档案!$A$6:$A$255,0)),""),"一级",IF($E1407=IFERROR(INDEX(项目档案!$F$6:$F$255,MATCH($C1407,项目档案!$A$6:$A$255,0)),""),"二级",IF($E1407=IFERROR(INDEX(项目档案!$H$6:$H$255,MATCH($C1407,项目档案!$A$6:$A$255,0)),""),"我方","—"))))</f>
        <v/>
      </c>
      <c r="O1407" s="36" t="n">
        <f aca="false">IF($D1407&lt;&gt;"销项开票",0,ROUND(N($H1407)*N($I1407),2))</f>
        <v>0</v>
      </c>
      <c r="P1407" s="36" t="n">
        <f aca="false">IF($D1407&lt;&gt;"销项开票",0,ROUND(N($H1407)-$O1407,2))</f>
        <v>0</v>
      </c>
      <c r="Q1407" s="37" t="str">
        <f aca="false">IF($E1407="","",N(IFERROR(INDEX(单位档案!$E$6:$E$35,MATCH($E1407,单位档案!$A$6:$A$35,0)),"")))</f>
        <v/>
      </c>
      <c r="R1407" s="37" t="str">
        <f aca="false">IF($E1407="","",N(IFERROR(INDEX(单位档案!$F$6:$F$35,MATCH($E1407,单位档案!$A$6:$A$35,0)),"")))</f>
        <v/>
      </c>
      <c r="S1407" s="36" t="n">
        <f aca="false">IF(OR($D1407&lt;&gt;"销项开票",IFERROR(INDEX(单位档案!$G$6:$G$35,MATCH($E1407,单位档案!$A$6:$A$35,0)),"")&lt;&gt;"是",N($Q1407)=0),0,IF(IFERROR(INDEX(单位档案!$H$6:$H$35,MATCH($E1407,单位档案!$A$6:$A$35,0)),"")="税差法",ROUND(N($H1407)/(1+$Q1407)*$Q1407-IF(N($R1407)=0,0,$P1407/(1+$R1407)*$R1407),2),ROUND(N($H1407)/(1+$Q1407)*$Q1407,2)))</f>
        <v>0</v>
      </c>
      <c r="T1407" s="36" t="n">
        <f aca="false">ROUND($S1407*N(IFERROR(INDEX(单位档案!$J$6:$J$35,MATCH($E1407,单位档案!$A$6:$A$35,0)),"")),2)</f>
        <v>0</v>
      </c>
      <c r="U1407" s="36" t="n">
        <f aca="false">IF($D1407&lt;&gt;"销项开票",0,ROUND(N($H1407)*N(IFERROR(INDEX(单位档案!$K$6:$K$35,MATCH($E1407,单位档案!$A$6:$A$35,0)),"")),2))</f>
        <v>0</v>
      </c>
      <c r="V1407" s="36" t="n">
        <f aca="false">IF(OR($D1407&lt;&gt;"销项开票",N($Q1407)=0),0,ROUND(N($H1407)/(1+$Q1407)*N(IFERROR(INDEX(单位档案!$L$6:$L$35,MATCH($E1407,单位档案!$A$6:$A$35,0)),"")),2))</f>
        <v>0</v>
      </c>
      <c r="W1407" s="36" t="n">
        <f aca="false">ROUND($S1407+$T1407+$U1407+$V1407,2)</f>
        <v>0</v>
      </c>
      <c r="X1407" s="35" t="str">
        <f aca="false">IF(OR($D1407="挂靠代收",$D1407="我方收款"),COUNTIFS($D$5:$D1407,"挂靠代收")+COUNTIFS($D$5:$D1407,"我方收款"),"")</f>
        <v/>
      </c>
      <c r="Y1407" s="35"/>
      <c r="Z1407" s="21" t="s">
        <v>111</v>
      </c>
    </row>
    <row r="1408" customFormat="false" ht="15.75" hidden="false" customHeight="true" outlineLevel="0" collapsed="false">
      <c r="A1408" s="32" t="str">
        <f aca="false">IF($B1408="","",ROW()-4)</f>
        <v/>
      </c>
      <c r="B1408" s="26"/>
      <c r="C1408" s="24"/>
      <c r="D1408" s="21"/>
      <c r="E1408" s="21"/>
      <c r="F1408" s="21"/>
      <c r="G1408" s="21"/>
      <c r="H1408" s="27"/>
      <c r="I1408" s="23" t="str">
        <f aca="false">IF($D1408&lt;&gt;"销项开票","",IF($N1408="一级",IF(IFERROR(INDEX(项目档案!$E$6:$E$255,MATCH($C1408,项目档案!$A$6:$A$255,0)),"")="",N(IFERROR(INDEX(单位档案!$D$6:$D$35,MATCH($E1408,单位档案!$A$6:$A$35,0)),"")),IFERROR(INDEX(项目档案!$E$6:$E$255,MATCH($C1408,项目档案!$A$6:$A$255,0)),"")),IF($N1408="二级",IF(IFERROR(INDEX(项目档案!$G$6:$G$255,MATCH($C1408,项目档案!$A$6:$A$255,0)),"")="",N(IFERROR(INDEX(单位档案!$D$6:$D$35,MATCH($E1408,单位档案!$A$6:$A$35,0)),"")),IFERROR(INDEX(项目档案!$G$6:$G$255,MATCH($C1408,项目档案!$A$6:$A$255,0)),"")),N(IFERROR(INDEX(单位档案!$D$6:$D$35,MATCH($E1408,单位档案!$A$6:$A$35,0)),"")))))</f>
        <v/>
      </c>
      <c r="J1408" s="22"/>
      <c r="K1408" s="22"/>
      <c r="L1408" s="33" t="str">
        <f aca="false">IF($B1408="","",IF(NOT(ISNUMBER($B1408)),"日期格式不对",IF($C1408="","未选项目编号",IF(LEFT($M1408,1)="⚠","项目编号不存在",IF($D1408="","未选业务类型",IF($E1408="","未选开票/付款方",IF(ISNA(MATCH($E1408,单位档案!$A$6:$A$35,0)),"开票方不在单位档案",IF($F1408="","未选收票/收款方",IF(ISNA(MATCH($F1408,单位档案!$A$6:$A$35,0)),"收款方不在单位档案",IF(NOT(ISNUMBER($H1408)),"金额须为数字",IF(AND($D1408="销项开票",$N1408="—"),"链条待确认","√")))))))))))</f>
        <v/>
      </c>
      <c r="M1408" s="34" t="str">
        <f aca="false">IF($C1408="","",IFERROR(INDEX(项目档案!$B$6:$B$255,MATCH($C1408,项目档案!$A$6:$A$255,0)),"⚠项目编号不存在"))</f>
        <v/>
      </c>
      <c r="N1408" s="35" t="str">
        <f aca="false">IF($E1408="","",IF($E1408=IFERROR(INDEX(项目档案!$D$6:$D$255,MATCH($C1408,项目档案!$A$6:$A$255,0)),""),"一级",IF($E1408=IFERROR(INDEX(项目档案!$F$6:$F$255,MATCH($C1408,项目档案!$A$6:$A$255,0)),""),"二级",IF($E1408=IFERROR(INDEX(项目档案!$H$6:$H$255,MATCH($C1408,项目档案!$A$6:$A$255,0)),""),"我方","—"))))</f>
        <v/>
      </c>
      <c r="O1408" s="36" t="n">
        <f aca="false">IF($D1408&lt;&gt;"销项开票",0,ROUND(N($H1408)*N($I1408),2))</f>
        <v>0</v>
      </c>
      <c r="P1408" s="36" t="n">
        <f aca="false">IF($D1408&lt;&gt;"销项开票",0,ROUND(N($H1408)-$O1408,2))</f>
        <v>0</v>
      </c>
      <c r="Q1408" s="37" t="str">
        <f aca="false">IF($E1408="","",N(IFERROR(INDEX(单位档案!$E$6:$E$35,MATCH($E1408,单位档案!$A$6:$A$35,0)),"")))</f>
        <v/>
      </c>
      <c r="R1408" s="37" t="str">
        <f aca="false">IF($E1408="","",N(IFERROR(INDEX(单位档案!$F$6:$F$35,MATCH($E1408,单位档案!$A$6:$A$35,0)),"")))</f>
        <v/>
      </c>
      <c r="S1408" s="36" t="n">
        <f aca="false">IF(OR($D1408&lt;&gt;"销项开票",IFERROR(INDEX(单位档案!$G$6:$G$35,MATCH($E1408,单位档案!$A$6:$A$35,0)),"")&lt;&gt;"是",N($Q1408)=0),0,IF(IFERROR(INDEX(单位档案!$H$6:$H$35,MATCH($E1408,单位档案!$A$6:$A$35,0)),"")="税差法",ROUND(N($H1408)/(1+$Q1408)*$Q1408-IF(N($R1408)=0,0,$P1408/(1+$R1408)*$R1408),2),ROUND(N($H1408)/(1+$Q1408)*$Q1408,2)))</f>
        <v>0</v>
      </c>
      <c r="T1408" s="36" t="n">
        <f aca="false">ROUND($S1408*N(IFERROR(INDEX(单位档案!$J$6:$J$35,MATCH($E1408,单位档案!$A$6:$A$35,0)),"")),2)</f>
        <v>0</v>
      </c>
      <c r="U1408" s="36" t="n">
        <f aca="false">IF($D1408&lt;&gt;"销项开票",0,ROUND(N($H1408)*N(IFERROR(INDEX(单位档案!$K$6:$K$35,MATCH($E1408,单位档案!$A$6:$A$35,0)),"")),2))</f>
        <v>0</v>
      </c>
      <c r="V1408" s="36" t="n">
        <f aca="false">IF(OR($D1408&lt;&gt;"销项开票",N($Q1408)=0),0,ROUND(N($H1408)/(1+$Q1408)*N(IFERROR(INDEX(单位档案!$L$6:$L$35,MATCH($E1408,单位档案!$A$6:$A$35,0)),"")),2))</f>
        <v>0</v>
      </c>
      <c r="W1408" s="36" t="n">
        <f aca="false">ROUND($S1408+$T1408+$U1408+$V1408,2)</f>
        <v>0</v>
      </c>
      <c r="X1408" s="35" t="str">
        <f aca="false">IF(OR($D1408="挂靠代收",$D1408="我方收款"),COUNTIFS($D$5:$D1408,"挂靠代收")+COUNTIFS($D$5:$D1408,"我方收款"),"")</f>
        <v/>
      </c>
      <c r="Y1408" s="35"/>
      <c r="Z1408" s="21" t="s">
        <v>111</v>
      </c>
    </row>
    <row r="1409" customFormat="false" ht="15.75" hidden="false" customHeight="true" outlineLevel="0" collapsed="false">
      <c r="A1409" s="32" t="str">
        <f aca="false">IF($B1409="","",ROW()-4)</f>
        <v/>
      </c>
      <c r="B1409" s="26"/>
      <c r="C1409" s="24"/>
      <c r="D1409" s="21"/>
      <c r="E1409" s="21"/>
      <c r="F1409" s="21"/>
      <c r="G1409" s="21"/>
      <c r="H1409" s="27"/>
      <c r="I1409" s="23" t="str">
        <f aca="false">IF($D1409&lt;&gt;"销项开票","",IF($N1409="一级",IF(IFERROR(INDEX(项目档案!$E$6:$E$255,MATCH($C1409,项目档案!$A$6:$A$255,0)),"")="",N(IFERROR(INDEX(单位档案!$D$6:$D$35,MATCH($E1409,单位档案!$A$6:$A$35,0)),"")),IFERROR(INDEX(项目档案!$E$6:$E$255,MATCH($C1409,项目档案!$A$6:$A$255,0)),"")),IF($N1409="二级",IF(IFERROR(INDEX(项目档案!$G$6:$G$255,MATCH($C1409,项目档案!$A$6:$A$255,0)),"")="",N(IFERROR(INDEX(单位档案!$D$6:$D$35,MATCH($E1409,单位档案!$A$6:$A$35,0)),"")),IFERROR(INDEX(项目档案!$G$6:$G$255,MATCH($C1409,项目档案!$A$6:$A$255,0)),"")),N(IFERROR(INDEX(单位档案!$D$6:$D$35,MATCH($E1409,单位档案!$A$6:$A$35,0)),"")))))</f>
        <v/>
      </c>
      <c r="J1409" s="22"/>
      <c r="K1409" s="22"/>
      <c r="L1409" s="33" t="str">
        <f aca="false">IF($B1409="","",IF(NOT(ISNUMBER($B1409)),"日期格式不对",IF($C1409="","未选项目编号",IF(LEFT($M1409,1)="⚠","项目编号不存在",IF($D1409="","未选业务类型",IF($E1409="","未选开票/付款方",IF(ISNA(MATCH($E1409,单位档案!$A$6:$A$35,0)),"开票方不在单位档案",IF($F1409="","未选收票/收款方",IF(ISNA(MATCH($F1409,单位档案!$A$6:$A$35,0)),"收款方不在单位档案",IF(NOT(ISNUMBER($H1409)),"金额须为数字",IF(AND($D1409="销项开票",$N1409="—"),"链条待确认","√")))))))))))</f>
        <v/>
      </c>
      <c r="M1409" s="34" t="str">
        <f aca="false">IF($C1409="","",IFERROR(INDEX(项目档案!$B$6:$B$255,MATCH($C1409,项目档案!$A$6:$A$255,0)),"⚠项目编号不存在"))</f>
        <v/>
      </c>
      <c r="N1409" s="35" t="str">
        <f aca="false">IF($E1409="","",IF($E1409=IFERROR(INDEX(项目档案!$D$6:$D$255,MATCH($C1409,项目档案!$A$6:$A$255,0)),""),"一级",IF($E1409=IFERROR(INDEX(项目档案!$F$6:$F$255,MATCH($C1409,项目档案!$A$6:$A$255,0)),""),"二级",IF($E1409=IFERROR(INDEX(项目档案!$H$6:$H$255,MATCH($C1409,项目档案!$A$6:$A$255,0)),""),"我方","—"))))</f>
        <v/>
      </c>
      <c r="O1409" s="36" t="n">
        <f aca="false">IF($D1409&lt;&gt;"销项开票",0,ROUND(N($H1409)*N($I1409),2))</f>
        <v>0</v>
      </c>
      <c r="P1409" s="36" t="n">
        <f aca="false">IF($D1409&lt;&gt;"销项开票",0,ROUND(N($H1409)-$O1409,2))</f>
        <v>0</v>
      </c>
      <c r="Q1409" s="37" t="str">
        <f aca="false">IF($E1409="","",N(IFERROR(INDEX(单位档案!$E$6:$E$35,MATCH($E1409,单位档案!$A$6:$A$35,0)),"")))</f>
        <v/>
      </c>
      <c r="R1409" s="37" t="str">
        <f aca="false">IF($E1409="","",N(IFERROR(INDEX(单位档案!$F$6:$F$35,MATCH($E1409,单位档案!$A$6:$A$35,0)),"")))</f>
        <v/>
      </c>
      <c r="S1409" s="36" t="n">
        <f aca="false">IF(OR($D1409&lt;&gt;"销项开票",IFERROR(INDEX(单位档案!$G$6:$G$35,MATCH($E1409,单位档案!$A$6:$A$35,0)),"")&lt;&gt;"是",N($Q1409)=0),0,IF(IFERROR(INDEX(单位档案!$H$6:$H$35,MATCH($E1409,单位档案!$A$6:$A$35,0)),"")="税差法",ROUND(N($H1409)/(1+$Q1409)*$Q1409-IF(N($R1409)=0,0,$P1409/(1+$R1409)*$R1409),2),ROUND(N($H1409)/(1+$Q1409)*$Q1409,2)))</f>
        <v>0</v>
      </c>
      <c r="T1409" s="36" t="n">
        <f aca="false">ROUND($S1409*N(IFERROR(INDEX(单位档案!$J$6:$J$35,MATCH($E1409,单位档案!$A$6:$A$35,0)),"")),2)</f>
        <v>0</v>
      </c>
      <c r="U1409" s="36" t="n">
        <f aca="false">IF($D1409&lt;&gt;"销项开票",0,ROUND(N($H1409)*N(IFERROR(INDEX(单位档案!$K$6:$K$35,MATCH($E1409,单位档案!$A$6:$A$35,0)),"")),2))</f>
        <v>0</v>
      </c>
      <c r="V1409" s="36" t="n">
        <f aca="false">IF(OR($D1409&lt;&gt;"销项开票",N($Q1409)=0),0,ROUND(N($H1409)/(1+$Q1409)*N(IFERROR(INDEX(单位档案!$L$6:$L$35,MATCH($E1409,单位档案!$A$6:$A$35,0)),"")),2))</f>
        <v>0</v>
      </c>
      <c r="W1409" s="36" t="n">
        <f aca="false">ROUND($S1409+$T1409+$U1409+$V1409,2)</f>
        <v>0</v>
      </c>
      <c r="X1409" s="35" t="str">
        <f aca="false">IF(OR($D1409="挂靠代收",$D1409="我方收款"),COUNTIFS($D$5:$D1409,"挂靠代收")+COUNTIFS($D$5:$D1409,"我方收款"),"")</f>
        <v/>
      </c>
      <c r="Y1409" s="35"/>
      <c r="Z1409" s="21" t="s">
        <v>111</v>
      </c>
    </row>
    <row r="1410" customFormat="false" ht="15.75" hidden="false" customHeight="true" outlineLevel="0" collapsed="false">
      <c r="A1410" s="32" t="str">
        <f aca="false">IF($B1410="","",ROW()-4)</f>
        <v/>
      </c>
      <c r="B1410" s="26"/>
      <c r="C1410" s="24"/>
      <c r="D1410" s="21"/>
      <c r="E1410" s="21"/>
      <c r="F1410" s="21"/>
      <c r="G1410" s="21"/>
      <c r="H1410" s="27"/>
      <c r="I1410" s="23" t="str">
        <f aca="false">IF($D1410&lt;&gt;"销项开票","",IF($N1410="一级",IF(IFERROR(INDEX(项目档案!$E$6:$E$255,MATCH($C1410,项目档案!$A$6:$A$255,0)),"")="",N(IFERROR(INDEX(单位档案!$D$6:$D$35,MATCH($E1410,单位档案!$A$6:$A$35,0)),"")),IFERROR(INDEX(项目档案!$E$6:$E$255,MATCH($C1410,项目档案!$A$6:$A$255,0)),"")),IF($N1410="二级",IF(IFERROR(INDEX(项目档案!$G$6:$G$255,MATCH($C1410,项目档案!$A$6:$A$255,0)),"")="",N(IFERROR(INDEX(单位档案!$D$6:$D$35,MATCH($E1410,单位档案!$A$6:$A$35,0)),"")),IFERROR(INDEX(项目档案!$G$6:$G$255,MATCH($C1410,项目档案!$A$6:$A$255,0)),"")),N(IFERROR(INDEX(单位档案!$D$6:$D$35,MATCH($E1410,单位档案!$A$6:$A$35,0)),"")))))</f>
        <v/>
      </c>
      <c r="J1410" s="22"/>
      <c r="K1410" s="22"/>
      <c r="L1410" s="33" t="str">
        <f aca="false">IF($B1410="","",IF(NOT(ISNUMBER($B1410)),"日期格式不对",IF($C1410="","未选项目编号",IF(LEFT($M1410,1)="⚠","项目编号不存在",IF($D1410="","未选业务类型",IF($E1410="","未选开票/付款方",IF(ISNA(MATCH($E1410,单位档案!$A$6:$A$35,0)),"开票方不在单位档案",IF($F1410="","未选收票/收款方",IF(ISNA(MATCH($F1410,单位档案!$A$6:$A$35,0)),"收款方不在单位档案",IF(NOT(ISNUMBER($H1410)),"金额须为数字",IF(AND($D1410="销项开票",$N1410="—"),"链条待确认","√")))))))))))</f>
        <v/>
      </c>
      <c r="M1410" s="34" t="str">
        <f aca="false">IF($C1410="","",IFERROR(INDEX(项目档案!$B$6:$B$255,MATCH($C1410,项目档案!$A$6:$A$255,0)),"⚠项目编号不存在"))</f>
        <v/>
      </c>
      <c r="N1410" s="35" t="str">
        <f aca="false">IF($E1410="","",IF($E1410=IFERROR(INDEX(项目档案!$D$6:$D$255,MATCH($C1410,项目档案!$A$6:$A$255,0)),""),"一级",IF($E1410=IFERROR(INDEX(项目档案!$F$6:$F$255,MATCH($C1410,项目档案!$A$6:$A$255,0)),""),"二级",IF($E1410=IFERROR(INDEX(项目档案!$H$6:$H$255,MATCH($C1410,项目档案!$A$6:$A$255,0)),""),"我方","—"))))</f>
        <v/>
      </c>
      <c r="O1410" s="36" t="n">
        <f aca="false">IF($D1410&lt;&gt;"销项开票",0,ROUND(N($H1410)*N($I1410),2))</f>
        <v>0</v>
      </c>
      <c r="P1410" s="36" t="n">
        <f aca="false">IF($D1410&lt;&gt;"销项开票",0,ROUND(N($H1410)-$O1410,2))</f>
        <v>0</v>
      </c>
      <c r="Q1410" s="37" t="str">
        <f aca="false">IF($E1410="","",N(IFERROR(INDEX(单位档案!$E$6:$E$35,MATCH($E1410,单位档案!$A$6:$A$35,0)),"")))</f>
        <v/>
      </c>
      <c r="R1410" s="37" t="str">
        <f aca="false">IF($E1410="","",N(IFERROR(INDEX(单位档案!$F$6:$F$35,MATCH($E1410,单位档案!$A$6:$A$35,0)),"")))</f>
        <v/>
      </c>
      <c r="S1410" s="36" t="n">
        <f aca="false">IF(OR($D1410&lt;&gt;"销项开票",IFERROR(INDEX(单位档案!$G$6:$G$35,MATCH($E1410,单位档案!$A$6:$A$35,0)),"")&lt;&gt;"是",N($Q1410)=0),0,IF(IFERROR(INDEX(单位档案!$H$6:$H$35,MATCH($E1410,单位档案!$A$6:$A$35,0)),"")="税差法",ROUND(N($H1410)/(1+$Q1410)*$Q1410-IF(N($R1410)=0,0,$P1410/(1+$R1410)*$R1410),2),ROUND(N($H1410)/(1+$Q1410)*$Q1410,2)))</f>
        <v>0</v>
      </c>
      <c r="T1410" s="36" t="n">
        <f aca="false">ROUND($S1410*N(IFERROR(INDEX(单位档案!$J$6:$J$35,MATCH($E1410,单位档案!$A$6:$A$35,0)),"")),2)</f>
        <v>0</v>
      </c>
      <c r="U1410" s="36" t="n">
        <f aca="false">IF($D1410&lt;&gt;"销项开票",0,ROUND(N($H1410)*N(IFERROR(INDEX(单位档案!$K$6:$K$35,MATCH($E1410,单位档案!$A$6:$A$35,0)),"")),2))</f>
        <v>0</v>
      </c>
      <c r="V1410" s="36" t="n">
        <f aca="false">IF(OR($D1410&lt;&gt;"销项开票",N($Q1410)=0),0,ROUND(N($H1410)/(1+$Q1410)*N(IFERROR(INDEX(单位档案!$L$6:$L$35,MATCH($E1410,单位档案!$A$6:$A$35,0)),"")),2))</f>
        <v>0</v>
      </c>
      <c r="W1410" s="36" t="n">
        <f aca="false">ROUND($S1410+$T1410+$U1410+$V1410,2)</f>
        <v>0</v>
      </c>
      <c r="X1410" s="35" t="str">
        <f aca="false">IF(OR($D1410="挂靠代收",$D1410="我方收款"),COUNTIFS($D$5:$D1410,"挂靠代收")+COUNTIFS($D$5:$D1410,"我方收款"),"")</f>
        <v/>
      </c>
      <c r="Y1410" s="35"/>
      <c r="Z1410" s="21" t="s">
        <v>111</v>
      </c>
    </row>
    <row r="1411" customFormat="false" ht="15.75" hidden="false" customHeight="true" outlineLevel="0" collapsed="false">
      <c r="A1411" s="32" t="str">
        <f aca="false">IF($B1411="","",ROW()-4)</f>
        <v/>
      </c>
      <c r="B1411" s="26"/>
      <c r="C1411" s="24"/>
      <c r="D1411" s="21"/>
      <c r="E1411" s="21"/>
      <c r="F1411" s="21"/>
      <c r="G1411" s="21"/>
      <c r="H1411" s="27"/>
      <c r="I1411" s="23" t="str">
        <f aca="false">IF($D1411&lt;&gt;"销项开票","",IF($N1411="一级",IF(IFERROR(INDEX(项目档案!$E$6:$E$255,MATCH($C1411,项目档案!$A$6:$A$255,0)),"")="",N(IFERROR(INDEX(单位档案!$D$6:$D$35,MATCH($E1411,单位档案!$A$6:$A$35,0)),"")),IFERROR(INDEX(项目档案!$E$6:$E$255,MATCH($C1411,项目档案!$A$6:$A$255,0)),"")),IF($N1411="二级",IF(IFERROR(INDEX(项目档案!$G$6:$G$255,MATCH($C1411,项目档案!$A$6:$A$255,0)),"")="",N(IFERROR(INDEX(单位档案!$D$6:$D$35,MATCH($E1411,单位档案!$A$6:$A$35,0)),"")),IFERROR(INDEX(项目档案!$G$6:$G$255,MATCH($C1411,项目档案!$A$6:$A$255,0)),"")),N(IFERROR(INDEX(单位档案!$D$6:$D$35,MATCH($E1411,单位档案!$A$6:$A$35,0)),"")))))</f>
        <v/>
      </c>
      <c r="J1411" s="22"/>
      <c r="K1411" s="22"/>
      <c r="L1411" s="33" t="str">
        <f aca="false">IF($B1411="","",IF(NOT(ISNUMBER($B1411)),"日期格式不对",IF($C1411="","未选项目编号",IF(LEFT($M1411,1)="⚠","项目编号不存在",IF($D1411="","未选业务类型",IF($E1411="","未选开票/付款方",IF(ISNA(MATCH($E1411,单位档案!$A$6:$A$35,0)),"开票方不在单位档案",IF($F1411="","未选收票/收款方",IF(ISNA(MATCH($F1411,单位档案!$A$6:$A$35,0)),"收款方不在单位档案",IF(NOT(ISNUMBER($H1411)),"金额须为数字",IF(AND($D1411="销项开票",$N1411="—"),"链条待确认","√")))))))))))</f>
        <v/>
      </c>
      <c r="M1411" s="34" t="str">
        <f aca="false">IF($C1411="","",IFERROR(INDEX(项目档案!$B$6:$B$255,MATCH($C1411,项目档案!$A$6:$A$255,0)),"⚠项目编号不存在"))</f>
        <v/>
      </c>
      <c r="N1411" s="35" t="str">
        <f aca="false">IF($E1411="","",IF($E1411=IFERROR(INDEX(项目档案!$D$6:$D$255,MATCH($C1411,项目档案!$A$6:$A$255,0)),""),"一级",IF($E1411=IFERROR(INDEX(项目档案!$F$6:$F$255,MATCH($C1411,项目档案!$A$6:$A$255,0)),""),"二级",IF($E1411=IFERROR(INDEX(项目档案!$H$6:$H$255,MATCH($C1411,项目档案!$A$6:$A$255,0)),""),"我方","—"))))</f>
        <v/>
      </c>
      <c r="O1411" s="36" t="n">
        <f aca="false">IF($D1411&lt;&gt;"销项开票",0,ROUND(N($H1411)*N($I1411),2))</f>
        <v>0</v>
      </c>
      <c r="P1411" s="36" t="n">
        <f aca="false">IF($D1411&lt;&gt;"销项开票",0,ROUND(N($H1411)-$O1411,2))</f>
        <v>0</v>
      </c>
      <c r="Q1411" s="37" t="str">
        <f aca="false">IF($E1411="","",N(IFERROR(INDEX(单位档案!$E$6:$E$35,MATCH($E1411,单位档案!$A$6:$A$35,0)),"")))</f>
        <v/>
      </c>
      <c r="R1411" s="37" t="str">
        <f aca="false">IF($E1411="","",N(IFERROR(INDEX(单位档案!$F$6:$F$35,MATCH($E1411,单位档案!$A$6:$A$35,0)),"")))</f>
        <v/>
      </c>
      <c r="S1411" s="36" t="n">
        <f aca="false">IF(OR($D1411&lt;&gt;"销项开票",IFERROR(INDEX(单位档案!$G$6:$G$35,MATCH($E1411,单位档案!$A$6:$A$35,0)),"")&lt;&gt;"是",N($Q1411)=0),0,IF(IFERROR(INDEX(单位档案!$H$6:$H$35,MATCH($E1411,单位档案!$A$6:$A$35,0)),"")="税差法",ROUND(N($H1411)/(1+$Q1411)*$Q1411-IF(N($R1411)=0,0,$P1411/(1+$R1411)*$R1411),2),ROUND(N($H1411)/(1+$Q1411)*$Q1411,2)))</f>
        <v>0</v>
      </c>
      <c r="T1411" s="36" t="n">
        <f aca="false">ROUND($S1411*N(IFERROR(INDEX(单位档案!$J$6:$J$35,MATCH($E1411,单位档案!$A$6:$A$35,0)),"")),2)</f>
        <v>0</v>
      </c>
      <c r="U1411" s="36" t="n">
        <f aca="false">IF($D1411&lt;&gt;"销项开票",0,ROUND(N($H1411)*N(IFERROR(INDEX(单位档案!$K$6:$K$35,MATCH($E1411,单位档案!$A$6:$A$35,0)),"")),2))</f>
        <v>0</v>
      </c>
      <c r="V1411" s="36" t="n">
        <f aca="false">IF(OR($D1411&lt;&gt;"销项开票",N($Q1411)=0),0,ROUND(N($H1411)/(1+$Q1411)*N(IFERROR(INDEX(单位档案!$L$6:$L$35,MATCH($E1411,单位档案!$A$6:$A$35,0)),"")),2))</f>
        <v>0</v>
      </c>
      <c r="W1411" s="36" t="n">
        <f aca="false">ROUND($S1411+$T1411+$U1411+$V1411,2)</f>
        <v>0</v>
      </c>
      <c r="X1411" s="35" t="str">
        <f aca="false">IF(OR($D1411="挂靠代收",$D1411="我方收款"),COUNTIFS($D$5:$D1411,"挂靠代收")+COUNTIFS($D$5:$D1411,"我方收款"),"")</f>
        <v/>
      </c>
      <c r="Y1411" s="35"/>
      <c r="Z1411" s="21" t="s">
        <v>111</v>
      </c>
    </row>
    <row r="1412" customFormat="false" ht="15.75" hidden="false" customHeight="true" outlineLevel="0" collapsed="false">
      <c r="A1412" s="32" t="str">
        <f aca="false">IF($B1412="","",ROW()-4)</f>
        <v/>
      </c>
      <c r="B1412" s="26"/>
      <c r="C1412" s="24"/>
      <c r="D1412" s="21"/>
      <c r="E1412" s="21"/>
      <c r="F1412" s="21"/>
      <c r="G1412" s="21"/>
      <c r="H1412" s="27"/>
      <c r="I1412" s="23" t="str">
        <f aca="false">IF($D1412&lt;&gt;"销项开票","",IF($N1412="一级",IF(IFERROR(INDEX(项目档案!$E$6:$E$255,MATCH($C1412,项目档案!$A$6:$A$255,0)),"")="",N(IFERROR(INDEX(单位档案!$D$6:$D$35,MATCH($E1412,单位档案!$A$6:$A$35,0)),"")),IFERROR(INDEX(项目档案!$E$6:$E$255,MATCH($C1412,项目档案!$A$6:$A$255,0)),"")),IF($N1412="二级",IF(IFERROR(INDEX(项目档案!$G$6:$G$255,MATCH($C1412,项目档案!$A$6:$A$255,0)),"")="",N(IFERROR(INDEX(单位档案!$D$6:$D$35,MATCH($E1412,单位档案!$A$6:$A$35,0)),"")),IFERROR(INDEX(项目档案!$G$6:$G$255,MATCH($C1412,项目档案!$A$6:$A$255,0)),"")),N(IFERROR(INDEX(单位档案!$D$6:$D$35,MATCH($E1412,单位档案!$A$6:$A$35,0)),"")))))</f>
        <v/>
      </c>
      <c r="J1412" s="22"/>
      <c r="K1412" s="22"/>
      <c r="L1412" s="33" t="str">
        <f aca="false">IF($B1412="","",IF(NOT(ISNUMBER($B1412)),"日期格式不对",IF($C1412="","未选项目编号",IF(LEFT($M1412,1)="⚠","项目编号不存在",IF($D1412="","未选业务类型",IF($E1412="","未选开票/付款方",IF(ISNA(MATCH($E1412,单位档案!$A$6:$A$35,0)),"开票方不在单位档案",IF($F1412="","未选收票/收款方",IF(ISNA(MATCH($F1412,单位档案!$A$6:$A$35,0)),"收款方不在单位档案",IF(NOT(ISNUMBER($H1412)),"金额须为数字",IF(AND($D1412="销项开票",$N1412="—"),"链条待确认","√")))))))))))</f>
        <v/>
      </c>
      <c r="M1412" s="34" t="str">
        <f aca="false">IF($C1412="","",IFERROR(INDEX(项目档案!$B$6:$B$255,MATCH($C1412,项目档案!$A$6:$A$255,0)),"⚠项目编号不存在"))</f>
        <v/>
      </c>
      <c r="N1412" s="35" t="str">
        <f aca="false">IF($E1412="","",IF($E1412=IFERROR(INDEX(项目档案!$D$6:$D$255,MATCH($C1412,项目档案!$A$6:$A$255,0)),""),"一级",IF($E1412=IFERROR(INDEX(项目档案!$F$6:$F$255,MATCH($C1412,项目档案!$A$6:$A$255,0)),""),"二级",IF($E1412=IFERROR(INDEX(项目档案!$H$6:$H$255,MATCH($C1412,项目档案!$A$6:$A$255,0)),""),"我方","—"))))</f>
        <v/>
      </c>
      <c r="O1412" s="36" t="n">
        <f aca="false">IF($D1412&lt;&gt;"销项开票",0,ROUND(N($H1412)*N($I1412),2))</f>
        <v>0</v>
      </c>
      <c r="P1412" s="36" t="n">
        <f aca="false">IF($D1412&lt;&gt;"销项开票",0,ROUND(N($H1412)-$O1412,2))</f>
        <v>0</v>
      </c>
      <c r="Q1412" s="37" t="str">
        <f aca="false">IF($E1412="","",N(IFERROR(INDEX(单位档案!$E$6:$E$35,MATCH($E1412,单位档案!$A$6:$A$35,0)),"")))</f>
        <v/>
      </c>
      <c r="R1412" s="37" t="str">
        <f aca="false">IF($E1412="","",N(IFERROR(INDEX(单位档案!$F$6:$F$35,MATCH($E1412,单位档案!$A$6:$A$35,0)),"")))</f>
        <v/>
      </c>
      <c r="S1412" s="36" t="n">
        <f aca="false">IF(OR($D1412&lt;&gt;"销项开票",IFERROR(INDEX(单位档案!$G$6:$G$35,MATCH($E1412,单位档案!$A$6:$A$35,0)),"")&lt;&gt;"是",N($Q1412)=0),0,IF(IFERROR(INDEX(单位档案!$H$6:$H$35,MATCH($E1412,单位档案!$A$6:$A$35,0)),"")="税差法",ROUND(N($H1412)/(1+$Q1412)*$Q1412-IF(N($R1412)=0,0,$P1412/(1+$R1412)*$R1412),2),ROUND(N($H1412)/(1+$Q1412)*$Q1412,2)))</f>
        <v>0</v>
      </c>
      <c r="T1412" s="36" t="n">
        <f aca="false">ROUND($S1412*N(IFERROR(INDEX(单位档案!$J$6:$J$35,MATCH($E1412,单位档案!$A$6:$A$35,0)),"")),2)</f>
        <v>0</v>
      </c>
      <c r="U1412" s="36" t="n">
        <f aca="false">IF($D1412&lt;&gt;"销项开票",0,ROUND(N($H1412)*N(IFERROR(INDEX(单位档案!$K$6:$K$35,MATCH($E1412,单位档案!$A$6:$A$35,0)),"")),2))</f>
        <v>0</v>
      </c>
      <c r="V1412" s="36" t="n">
        <f aca="false">IF(OR($D1412&lt;&gt;"销项开票",N($Q1412)=0),0,ROUND(N($H1412)/(1+$Q1412)*N(IFERROR(INDEX(单位档案!$L$6:$L$35,MATCH($E1412,单位档案!$A$6:$A$35,0)),"")),2))</f>
        <v>0</v>
      </c>
      <c r="W1412" s="36" t="n">
        <f aca="false">ROUND($S1412+$T1412+$U1412+$V1412,2)</f>
        <v>0</v>
      </c>
      <c r="X1412" s="35" t="str">
        <f aca="false">IF(OR($D1412="挂靠代收",$D1412="我方收款"),COUNTIFS($D$5:$D1412,"挂靠代收")+COUNTIFS($D$5:$D1412,"我方收款"),"")</f>
        <v/>
      </c>
      <c r="Y1412" s="35"/>
      <c r="Z1412" s="21" t="s">
        <v>111</v>
      </c>
    </row>
    <row r="1413" customFormat="false" ht="15.75" hidden="false" customHeight="true" outlineLevel="0" collapsed="false">
      <c r="A1413" s="32" t="str">
        <f aca="false">IF($B1413="","",ROW()-4)</f>
        <v/>
      </c>
      <c r="B1413" s="26"/>
      <c r="C1413" s="24"/>
      <c r="D1413" s="21"/>
      <c r="E1413" s="21"/>
      <c r="F1413" s="21"/>
      <c r="G1413" s="21"/>
      <c r="H1413" s="27"/>
      <c r="I1413" s="23" t="str">
        <f aca="false">IF($D1413&lt;&gt;"销项开票","",IF($N1413="一级",IF(IFERROR(INDEX(项目档案!$E$6:$E$255,MATCH($C1413,项目档案!$A$6:$A$255,0)),"")="",N(IFERROR(INDEX(单位档案!$D$6:$D$35,MATCH($E1413,单位档案!$A$6:$A$35,0)),"")),IFERROR(INDEX(项目档案!$E$6:$E$255,MATCH($C1413,项目档案!$A$6:$A$255,0)),"")),IF($N1413="二级",IF(IFERROR(INDEX(项目档案!$G$6:$G$255,MATCH($C1413,项目档案!$A$6:$A$255,0)),"")="",N(IFERROR(INDEX(单位档案!$D$6:$D$35,MATCH($E1413,单位档案!$A$6:$A$35,0)),"")),IFERROR(INDEX(项目档案!$G$6:$G$255,MATCH($C1413,项目档案!$A$6:$A$255,0)),"")),N(IFERROR(INDEX(单位档案!$D$6:$D$35,MATCH($E1413,单位档案!$A$6:$A$35,0)),"")))))</f>
        <v/>
      </c>
      <c r="J1413" s="22"/>
      <c r="K1413" s="22"/>
      <c r="L1413" s="33" t="str">
        <f aca="false">IF($B1413="","",IF(NOT(ISNUMBER($B1413)),"日期格式不对",IF($C1413="","未选项目编号",IF(LEFT($M1413,1)="⚠","项目编号不存在",IF($D1413="","未选业务类型",IF($E1413="","未选开票/付款方",IF(ISNA(MATCH($E1413,单位档案!$A$6:$A$35,0)),"开票方不在单位档案",IF($F1413="","未选收票/收款方",IF(ISNA(MATCH($F1413,单位档案!$A$6:$A$35,0)),"收款方不在单位档案",IF(NOT(ISNUMBER($H1413)),"金额须为数字",IF(AND($D1413="销项开票",$N1413="—"),"链条待确认","√")))))))))))</f>
        <v/>
      </c>
      <c r="M1413" s="34" t="str">
        <f aca="false">IF($C1413="","",IFERROR(INDEX(项目档案!$B$6:$B$255,MATCH($C1413,项目档案!$A$6:$A$255,0)),"⚠项目编号不存在"))</f>
        <v/>
      </c>
      <c r="N1413" s="35" t="str">
        <f aca="false">IF($E1413="","",IF($E1413=IFERROR(INDEX(项目档案!$D$6:$D$255,MATCH($C1413,项目档案!$A$6:$A$255,0)),""),"一级",IF($E1413=IFERROR(INDEX(项目档案!$F$6:$F$255,MATCH($C1413,项目档案!$A$6:$A$255,0)),""),"二级",IF($E1413=IFERROR(INDEX(项目档案!$H$6:$H$255,MATCH($C1413,项目档案!$A$6:$A$255,0)),""),"我方","—"))))</f>
        <v/>
      </c>
      <c r="O1413" s="36" t="n">
        <f aca="false">IF($D1413&lt;&gt;"销项开票",0,ROUND(N($H1413)*N($I1413),2))</f>
        <v>0</v>
      </c>
      <c r="P1413" s="36" t="n">
        <f aca="false">IF($D1413&lt;&gt;"销项开票",0,ROUND(N($H1413)-$O1413,2))</f>
        <v>0</v>
      </c>
      <c r="Q1413" s="37" t="str">
        <f aca="false">IF($E1413="","",N(IFERROR(INDEX(单位档案!$E$6:$E$35,MATCH($E1413,单位档案!$A$6:$A$35,0)),"")))</f>
        <v/>
      </c>
      <c r="R1413" s="37" t="str">
        <f aca="false">IF($E1413="","",N(IFERROR(INDEX(单位档案!$F$6:$F$35,MATCH($E1413,单位档案!$A$6:$A$35,0)),"")))</f>
        <v/>
      </c>
      <c r="S1413" s="36" t="n">
        <f aca="false">IF(OR($D1413&lt;&gt;"销项开票",IFERROR(INDEX(单位档案!$G$6:$G$35,MATCH($E1413,单位档案!$A$6:$A$35,0)),"")&lt;&gt;"是",N($Q1413)=0),0,IF(IFERROR(INDEX(单位档案!$H$6:$H$35,MATCH($E1413,单位档案!$A$6:$A$35,0)),"")="税差法",ROUND(N($H1413)/(1+$Q1413)*$Q1413-IF(N($R1413)=0,0,$P1413/(1+$R1413)*$R1413),2),ROUND(N($H1413)/(1+$Q1413)*$Q1413,2)))</f>
        <v>0</v>
      </c>
      <c r="T1413" s="36" t="n">
        <f aca="false">ROUND($S1413*N(IFERROR(INDEX(单位档案!$J$6:$J$35,MATCH($E1413,单位档案!$A$6:$A$35,0)),"")),2)</f>
        <v>0</v>
      </c>
      <c r="U1413" s="36" t="n">
        <f aca="false">IF($D1413&lt;&gt;"销项开票",0,ROUND(N($H1413)*N(IFERROR(INDEX(单位档案!$K$6:$K$35,MATCH($E1413,单位档案!$A$6:$A$35,0)),"")),2))</f>
        <v>0</v>
      </c>
      <c r="V1413" s="36" t="n">
        <f aca="false">IF(OR($D1413&lt;&gt;"销项开票",N($Q1413)=0),0,ROUND(N($H1413)/(1+$Q1413)*N(IFERROR(INDEX(单位档案!$L$6:$L$35,MATCH($E1413,单位档案!$A$6:$A$35,0)),"")),2))</f>
        <v>0</v>
      </c>
      <c r="W1413" s="36" t="n">
        <f aca="false">ROUND($S1413+$T1413+$U1413+$V1413,2)</f>
        <v>0</v>
      </c>
      <c r="X1413" s="35" t="str">
        <f aca="false">IF(OR($D1413="挂靠代收",$D1413="我方收款"),COUNTIFS($D$5:$D1413,"挂靠代收")+COUNTIFS($D$5:$D1413,"我方收款"),"")</f>
        <v/>
      </c>
      <c r="Y1413" s="35"/>
      <c r="Z1413" s="21" t="s">
        <v>111</v>
      </c>
    </row>
    <row r="1414" customFormat="false" ht="15.75" hidden="false" customHeight="true" outlineLevel="0" collapsed="false">
      <c r="A1414" s="32" t="str">
        <f aca="false">IF($B1414="","",ROW()-4)</f>
        <v/>
      </c>
      <c r="B1414" s="26"/>
      <c r="C1414" s="24"/>
      <c r="D1414" s="21"/>
      <c r="E1414" s="21"/>
      <c r="F1414" s="21"/>
      <c r="G1414" s="21"/>
      <c r="H1414" s="27"/>
      <c r="I1414" s="23" t="str">
        <f aca="false">IF($D1414&lt;&gt;"销项开票","",IF($N1414="一级",IF(IFERROR(INDEX(项目档案!$E$6:$E$255,MATCH($C1414,项目档案!$A$6:$A$255,0)),"")="",N(IFERROR(INDEX(单位档案!$D$6:$D$35,MATCH($E1414,单位档案!$A$6:$A$35,0)),"")),IFERROR(INDEX(项目档案!$E$6:$E$255,MATCH($C1414,项目档案!$A$6:$A$255,0)),"")),IF($N1414="二级",IF(IFERROR(INDEX(项目档案!$G$6:$G$255,MATCH($C1414,项目档案!$A$6:$A$255,0)),"")="",N(IFERROR(INDEX(单位档案!$D$6:$D$35,MATCH($E1414,单位档案!$A$6:$A$35,0)),"")),IFERROR(INDEX(项目档案!$G$6:$G$255,MATCH($C1414,项目档案!$A$6:$A$255,0)),"")),N(IFERROR(INDEX(单位档案!$D$6:$D$35,MATCH($E1414,单位档案!$A$6:$A$35,0)),"")))))</f>
        <v/>
      </c>
      <c r="J1414" s="22"/>
      <c r="K1414" s="22"/>
      <c r="L1414" s="33" t="str">
        <f aca="false">IF($B1414="","",IF(NOT(ISNUMBER($B1414)),"日期格式不对",IF($C1414="","未选项目编号",IF(LEFT($M1414,1)="⚠","项目编号不存在",IF($D1414="","未选业务类型",IF($E1414="","未选开票/付款方",IF(ISNA(MATCH($E1414,单位档案!$A$6:$A$35,0)),"开票方不在单位档案",IF($F1414="","未选收票/收款方",IF(ISNA(MATCH($F1414,单位档案!$A$6:$A$35,0)),"收款方不在单位档案",IF(NOT(ISNUMBER($H1414)),"金额须为数字",IF(AND($D1414="销项开票",$N1414="—"),"链条待确认","√")))))))))))</f>
        <v/>
      </c>
      <c r="M1414" s="34" t="str">
        <f aca="false">IF($C1414="","",IFERROR(INDEX(项目档案!$B$6:$B$255,MATCH($C1414,项目档案!$A$6:$A$255,0)),"⚠项目编号不存在"))</f>
        <v/>
      </c>
      <c r="N1414" s="35" t="str">
        <f aca="false">IF($E1414="","",IF($E1414=IFERROR(INDEX(项目档案!$D$6:$D$255,MATCH($C1414,项目档案!$A$6:$A$255,0)),""),"一级",IF($E1414=IFERROR(INDEX(项目档案!$F$6:$F$255,MATCH($C1414,项目档案!$A$6:$A$255,0)),""),"二级",IF($E1414=IFERROR(INDEX(项目档案!$H$6:$H$255,MATCH($C1414,项目档案!$A$6:$A$255,0)),""),"我方","—"))))</f>
        <v/>
      </c>
      <c r="O1414" s="36" t="n">
        <f aca="false">IF($D1414&lt;&gt;"销项开票",0,ROUND(N($H1414)*N($I1414),2))</f>
        <v>0</v>
      </c>
      <c r="P1414" s="36" t="n">
        <f aca="false">IF($D1414&lt;&gt;"销项开票",0,ROUND(N($H1414)-$O1414,2))</f>
        <v>0</v>
      </c>
      <c r="Q1414" s="37" t="str">
        <f aca="false">IF($E1414="","",N(IFERROR(INDEX(单位档案!$E$6:$E$35,MATCH($E1414,单位档案!$A$6:$A$35,0)),"")))</f>
        <v/>
      </c>
      <c r="R1414" s="37" t="str">
        <f aca="false">IF($E1414="","",N(IFERROR(INDEX(单位档案!$F$6:$F$35,MATCH($E1414,单位档案!$A$6:$A$35,0)),"")))</f>
        <v/>
      </c>
      <c r="S1414" s="36" t="n">
        <f aca="false">IF(OR($D1414&lt;&gt;"销项开票",IFERROR(INDEX(单位档案!$G$6:$G$35,MATCH($E1414,单位档案!$A$6:$A$35,0)),"")&lt;&gt;"是",N($Q1414)=0),0,IF(IFERROR(INDEX(单位档案!$H$6:$H$35,MATCH($E1414,单位档案!$A$6:$A$35,0)),"")="税差法",ROUND(N($H1414)/(1+$Q1414)*$Q1414-IF(N($R1414)=0,0,$P1414/(1+$R1414)*$R1414),2),ROUND(N($H1414)/(1+$Q1414)*$Q1414,2)))</f>
        <v>0</v>
      </c>
      <c r="T1414" s="36" t="n">
        <f aca="false">ROUND($S1414*N(IFERROR(INDEX(单位档案!$J$6:$J$35,MATCH($E1414,单位档案!$A$6:$A$35,0)),"")),2)</f>
        <v>0</v>
      </c>
      <c r="U1414" s="36" t="n">
        <f aca="false">IF($D1414&lt;&gt;"销项开票",0,ROUND(N($H1414)*N(IFERROR(INDEX(单位档案!$K$6:$K$35,MATCH($E1414,单位档案!$A$6:$A$35,0)),"")),2))</f>
        <v>0</v>
      </c>
      <c r="V1414" s="36" t="n">
        <f aca="false">IF(OR($D1414&lt;&gt;"销项开票",N($Q1414)=0),0,ROUND(N($H1414)/(1+$Q1414)*N(IFERROR(INDEX(单位档案!$L$6:$L$35,MATCH($E1414,单位档案!$A$6:$A$35,0)),"")),2))</f>
        <v>0</v>
      </c>
      <c r="W1414" s="36" t="n">
        <f aca="false">ROUND($S1414+$T1414+$U1414+$V1414,2)</f>
        <v>0</v>
      </c>
      <c r="X1414" s="35" t="str">
        <f aca="false">IF(OR($D1414="挂靠代收",$D1414="我方收款"),COUNTIFS($D$5:$D1414,"挂靠代收")+COUNTIFS($D$5:$D1414,"我方收款"),"")</f>
        <v/>
      </c>
      <c r="Y1414" s="35"/>
      <c r="Z1414" s="21" t="s">
        <v>111</v>
      </c>
    </row>
    <row r="1415" customFormat="false" ht="15.75" hidden="false" customHeight="true" outlineLevel="0" collapsed="false">
      <c r="A1415" s="32" t="str">
        <f aca="false">IF($B1415="","",ROW()-4)</f>
        <v/>
      </c>
      <c r="B1415" s="26"/>
      <c r="C1415" s="24"/>
      <c r="D1415" s="21"/>
      <c r="E1415" s="21"/>
      <c r="F1415" s="21"/>
      <c r="G1415" s="21"/>
      <c r="H1415" s="27"/>
      <c r="I1415" s="23" t="str">
        <f aca="false">IF($D1415&lt;&gt;"销项开票","",IF($N1415="一级",IF(IFERROR(INDEX(项目档案!$E$6:$E$255,MATCH($C1415,项目档案!$A$6:$A$255,0)),"")="",N(IFERROR(INDEX(单位档案!$D$6:$D$35,MATCH($E1415,单位档案!$A$6:$A$35,0)),"")),IFERROR(INDEX(项目档案!$E$6:$E$255,MATCH($C1415,项目档案!$A$6:$A$255,0)),"")),IF($N1415="二级",IF(IFERROR(INDEX(项目档案!$G$6:$G$255,MATCH($C1415,项目档案!$A$6:$A$255,0)),"")="",N(IFERROR(INDEX(单位档案!$D$6:$D$35,MATCH($E1415,单位档案!$A$6:$A$35,0)),"")),IFERROR(INDEX(项目档案!$G$6:$G$255,MATCH($C1415,项目档案!$A$6:$A$255,0)),"")),N(IFERROR(INDEX(单位档案!$D$6:$D$35,MATCH($E1415,单位档案!$A$6:$A$35,0)),"")))))</f>
        <v/>
      </c>
      <c r="J1415" s="22"/>
      <c r="K1415" s="22"/>
      <c r="L1415" s="33" t="str">
        <f aca="false">IF($B1415="","",IF(NOT(ISNUMBER($B1415)),"日期格式不对",IF($C1415="","未选项目编号",IF(LEFT($M1415,1)="⚠","项目编号不存在",IF($D1415="","未选业务类型",IF($E1415="","未选开票/付款方",IF(ISNA(MATCH($E1415,单位档案!$A$6:$A$35,0)),"开票方不在单位档案",IF($F1415="","未选收票/收款方",IF(ISNA(MATCH($F1415,单位档案!$A$6:$A$35,0)),"收款方不在单位档案",IF(NOT(ISNUMBER($H1415)),"金额须为数字",IF(AND($D1415="销项开票",$N1415="—"),"链条待确认","√")))))))))))</f>
        <v/>
      </c>
      <c r="M1415" s="34" t="str">
        <f aca="false">IF($C1415="","",IFERROR(INDEX(项目档案!$B$6:$B$255,MATCH($C1415,项目档案!$A$6:$A$255,0)),"⚠项目编号不存在"))</f>
        <v/>
      </c>
      <c r="N1415" s="35" t="str">
        <f aca="false">IF($E1415="","",IF($E1415=IFERROR(INDEX(项目档案!$D$6:$D$255,MATCH($C1415,项目档案!$A$6:$A$255,0)),""),"一级",IF($E1415=IFERROR(INDEX(项目档案!$F$6:$F$255,MATCH($C1415,项目档案!$A$6:$A$255,0)),""),"二级",IF($E1415=IFERROR(INDEX(项目档案!$H$6:$H$255,MATCH($C1415,项目档案!$A$6:$A$255,0)),""),"我方","—"))))</f>
        <v/>
      </c>
      <c r="O1415" s="36" t="n">
        <f aca="false">IF($D1415&lt;&gt;"销项开票",0,ROUND(N($H1415)*N($I1415),2))</f>
        <v>0</v>
      </c>
      <c r="P1415" s="36" t="n">
        <f aca="false">IF($D1415&lt;&gt;"销项开票",0,ROUND(N($H1415)-$O1415,2))</f>
        <v>0</v>
      </c>
      <c r="Q1415" s="37" t="str">
        <f aca="false">IF($E1415="","",N(IFERROR(INDEX(单位档案!$E$6:$E$35,MATCH($E1415,单位档案!$A$6:$A$35,0)),"")))</f>
        <v/>
      </c>
      <c r="R1415" s="37" t="str">
        <f aca="false">IF($E1415="","",N(IFERROR(INDEX(单位档案!$F$6:$F$35,MATCH($E1415,单位档案!$A$6:$A$35,0)),"")))</f>
        <v/>
      </c>
      <c r="S1415" s="36" t="n">
        <f aca="false">IF(OR($D1415&lt;&gt;"销项开票",IFERROR(INDEX(单位档案!$G$6:$G$35,MATCH($E1415,单位档案!$A$6:$A$35,0)),"")&lt;&gt;"是",N($Q1415)=0),0,IF(IFERROR(INDEX(单位档案!$H$6:$H$35,MATCH($E1415,单位档案!$A$6:$A$35,0)),"")="税差法",ROUND(N($H1415)/(1+$Q1415)*$Q1415-IF(N($R1415)=0,0,$P1415/(1+$R1415)*$R1415),2),ROUND(N($H1415)/(1+$Q1415)*$Q1415,2)))</f>
        <v>0</v>
      </c>
      <c r="T1415" s="36" t="n">
        <f aca="false">ROUND($S1415*N(IFERROR(INDEX(单位档案!$J$6:$J$35,MATCH($E1415,单位档案!$A$6:$A$35,0)),"")),2)</f>
        <v>0</v>
      </c>
      <c r="U1415" s="36" t="n">
        <f aca="false">IF($D1415&lt;&gt;"销项开票",0,ROUND(N($H1415)*N(IFERROR(INDEX(单位档案!$K$6:$K$35,MATCH($E1415,单位档案!$A$6:$A$35,0)),"")),2))</f>
        <v>0</v>
      </c>
      <c r="V1415" s="36" t="n">
        <f aca="false">IF(OR($D1415&lt;&gt;"销项开票",N($Q1415)=0),0,ROUND(N($H1415)/(1+$Q1415)*N(IFERROR(INDEX(单位档案!$L$6:$L$35,MATCH($E1415,单位档案!$A$6:$A$35,0)),"")),2))</f>
        <v>0</v>
      </c>
      <c r="W1415" s="36" t="n">
        <f aca="false">ROUND($S1415+$T1415+$U1415+$V1415,2)</f>
        <v>0</v>
      </c>
      <c r="X1415" s="35" t="str">
        <f aca="false">IF(OR($D1415="挂靠代收",$D1415="我方收款"),COUNTIFS($D$5:$D1415,"挂靠代收")+COUNTIFS($D$5:$D1415,"我方收款"),"")</f>
        <v/>
      </c>
      <c r="Y1415" s="35"/>
      <c r="Z1415" s="21" t="s">
        <v>111</v>
      </c>
    </row>
    <row r="1416" customFormat="false" ht="15.75" hidden="false" customHeight="true" outlineLevel="0" collapsed="false">
      <c r="A1416" s="32" t="str">
        <f aca="false">IF($B1416="","",ROW()-4)</f>
        <v/>
      </c>
      <c r="B1416" s="26"/>
      <c r="C1416" s="24"/>
      <c r="D1416" s="21"/>
      <c r="E1416" s="21"/>
      <c r="F1416" s="21"/>
      <c r="G1416" s="21"/>
      <c r="H1416" s="27"/>
      <c r="I1416" s="23" t="str">
        <f aca="false">IF($D1416&lt;&gt;"销项开票","",IF($N1416="一级",IF(IFERROR(INDEX(项目档案!$E$6:$E$255,MATCH($C1416,项目档案!$A$6:$A$255,0)),"")="",N(IFERROR(INDEX(单位档案!$D$6:$D$35,MATCH($E1416,单位档案!$A$6:$A$35,0)),"")),IFERROR(INDEX(项目档案!$E$6:$E$255,MATCH($C1416,项目档案!$A$6:$A$255,0)),"")),IF($N1416="二级",IF(IFERROR(INDEX(项目档案!$G$6:$G$255,MATCH($C1416,项目档案!$A$6:$A$255,0)),"")="",N(IFERROR(INDEX(单位档案!$D$6:$D$35,MATCH($E1416,单位档案!$A$6:$A$35,0)),"")),IFERROR(INDEX(项目档案!$G$6:$G$255,MATCH($C1416,项目档案!$A$6:$A$255,0)),"")),N(IFERROR(INDEX(单位档案!$D$6:$D$35,MATCH($E1416,单位档案!$A$6:$A$35,0)),"")))))</f>
        <v/>
      </c>
      <c r="J1416" s="22"/>
      <c r="K1416" s="22"/>
      <c r="L1416" s="33" t="str">
        <f aca="false">IF($B1416="","",IF(NOT(ISNUMBER($B1416)),"日期格式不对",IF($C1416="","未选项目编号",IF(LEFT($M1416,1)="⚠","项目编号不存在",IF($D1416="","未选业务类型",IF($E1416="","未选开票/付款方",IF(ISNA(MATCH($E1416,单位档案!$A$6:$A$35,0)),"开票方不在单位档案",IF($F1416="","未选收票/收款方",IF(ISNA(MATCH($F1416,单位档案!$A$6:$A$35,0)),"收款方不在单位档案",IF(NOT(ISNUMBER($H1416)),"金额须为数字",IF(AND($D1416="销项开票",$N1416="—"),"链条待确认","√")))))))))))</f>
        <v/>
      </c>
      <c r="M1416" s="34" t="str">
        <f aca="false">IF($C1416="","",IFERROR(INDEX(项目档案!$B$6:$B$255,MATCH($C1416,项目档案!$A$6:$A$255,0)),"⚠项目编号不存在"))</f>
        <v/>
      </c>
      <c r="N1416" s="35" t="str">
        <f aca="false">IF($E1416="","",IF($E1416=IFERROR(INDEX(项目档案!$D$6:$D$255,MATCH($C1416,项目档案!$A$6:$A$255,0)),""),"一级",IF($E1416=IFERROR(INDEX(项目档案!$F$6:$F$255,MATCH($C1416,项目档案!$A$6:$A$255,0)),""),"二级",IF($E1416=IFERROR(INDEX(项目档案!$H$6:$H$255,MATCH($C1416,项目档案!$A$6:$A$255,0)),""),"我方","—"))))</f>
        <v/>
      </c>
      <c r="O1416" s="36" t="n">
        <f aca="false">IF($D1416&lt;&gt;"销项开票",0,ROUND(N($H1416)*N($I1416),2))</f>
        <v>0</v>
      </c>
      <c r="P1416" s="36" t="n">
        <f aca="false">IF($D1416&lt;&gt;"销项开票",0,ROUND(N($H1416)-$O1416,2))</f>
        <v>0</v>
      </c>
      <c r="Q1416" s="37" t="str">
        <f aca="false">IF($E1416="","",N(IFERROR(INDEX(单位档案!$E$6:$E$35,MATCH($E1416,单位档案!$A$6:$A$35,0)),"")))</f>
        <v/>
      </c>
      <c r="R1416" s="37" t="str">
        <f aca="false">IF($E1416="","",N(IFERROR(INDEX(单位档案!$F$6:$F$35,MATCH($E1416,单位档案!$A$6:$A$35,0)),"")))</f>
        <v/>
      </c>
      <c r="S1416" s="36" t="n">
        <f aca="false">IF(OR($D1416&lt;&gt;"销项开票",IFERROR(INDEX(单位档案!$G$6:$G$35,MATCH($E1416,单位档案!$A$6:$A$35,0)),"")&lt;&gt;"是",N($Q1416)=0),0,IF(IFERROR(INDEX(单位档案!$H$6:$H$35,MATCH($E1416,单位档案!$A$6:$A$35,0)),"")="税差法",ROUND(N($H1416)/(1+$Q1416)*$Q1416-IF(N($R1416)=0,0,$P1416/(1+$R1416)*$R1416),2),ROUND(N($H1416)/(1+$Q1416)*$Q1416,2)))</f>
        <v>0</v>
      </c>
      <c r="T1416" s="36" t="n">
        <f aca="false">ROUND($S1416*N(IFERROR(INDEX(单位档案!$J$6:$J$35,MATCH($E1416,单位档案!$A$6:$A$35,0)),"")),2)</f>
        <v>0</v>
      </c>
      <c r="U1416" s="36" t="n">
        <f aca="false">IF($D1416&lt;&gt;"销项开票",0,ROUND(N($H1416)*N(IFERROR(INDEX(单位档案!$K$6:$K$35,MATCH($E1416,单位档案!$A$6:$A$35,0)),"")),2))</f>
        <v>0</v>
      </c>
      <c r="V1416" s="36" t="n">
        <f aca="false">IF(OR($D1416&lt;&gt;"销项开票",N($Q1416)=0),0,ROUND(N($H1416)/(1+$Q1416)*N(IFERROR(INDEX(单位档案!$L$6:$L$35,MATCH($E1416,单位档案!$A$6:$A$35,0)),"")),2))</f>
        <v>0</v>
      </c>
      <c r="W1416" s="36" t="n">
        <f aca="false">ROUND($S1416+$T1416+$U1416+$V1416,2)</f>
        <v>0</v>
      </c>
      <c r="X1416" s="35" t="str">
        <f aca="false">IF(OR($D1416="挂靠代收",$D1416="我方收款"),COUNTIFS($D$5:$D1416,"挂靠代收")+COUNTIFS($D$5:$D1416,"我方收款"),"")</f>
        <v/>
      </c>
      <c r="Y1416" s="35"/>
      <c r="Z1416" s="21" t="s">
        <v>111</v>
      </c>
    </row>
    <row r="1417" customFormat="false" ht="15.75" hidden="false" customHeight="true" outlineLevel="0" collapsed="false">
      <c r="A1417" s="32" t="str">
        <f aca="false">IF($B1417="","",ROW()-4)</f>
        <v/>
      </c>
      <c r="B1417" s="26"/>
      <c r="C1417" s="24"/>
      <c r="D1417" s="21"/>
      <c r="E1417" s="21"/>
      <c r="F1417" s="21"/>
      <c r="G1417" s="21"/>
      <c r="H1417" s="27"/>
      <c r="I1417" s="23" t="str">
        <f aca="false">IF($D1417&lt;&gt;"销项开票","",IF($N1417="一级",IF(IFERROR(INDEX(项目档案!$E$6:$E$255,MATCH($C1417,项目档案!$A$6:$A$255,0)),"")="",N(IFERROR(INDEX(单位档案!$D$6:$D$35,MATCH($E1417,单位档案!$A$6:$A$35,0)),"")),IFERROR(INDEX(项目档案!$E$6:$E$255,MATCH($C1417,项目档案!$A$6:$A$255,0)),"")),IF($N1417="二级",IF(IFERROR(INDEX(项目档案!$G$6:$G$255,MATCH($C1417,项目档案!$A$6:$A$255,0)),"")="",N(IFERROR(INDEX(单位档案!$D$6:$D$35,MATCH($E1417,单位档案!$A$6:$A$35,0)),"")),IFERROR(INDEX(项目档案!$G$6:$G$255,MATCH($C1417,项目档案!$A$6:$A$255,0)),"")),N(IFERROR(INDEX(单位档案!$D$6:$D$35,MATCH($E1417,单位档案!$A$6:$A$35,0)),"")))))</f>
        <v/>
      </c>
      <c r="J1417" s="22"/>
      <c r="K1417" s="22"/>
      <c r="L1417" s="33" t="str">
        <f aca="false">IF($B1417="","",IF(NOT(ISNUMBER($B1417)),"日期格式不对",IF($C1417="","未选项目编号",IF(LEFT($M1417,1)="⚠","项目编号不存在",IF($D1417="","未选业务类型",IF($E1417="","未选开票/付款方",IF(ISNA(MATCH($E1417,单位档案!$A$6:$A$35,0)),"开票方不在单位档案",IF($F1417="","未选收票/收款方",IF(ISNA(MATCH($F1417,单位档案!$A$6:$A$35,0)),"收款方不在单位档案",IF(NOT(ISNUMBER($H1417)),"金额须为数字",IF(AND($D1417="销项开票",$N1417="—"),"链条待确认","√")))))))))))</f>
        <v/>
      </c>
      <c r="M1417" s="34" t="str">
        <f aca="false">IF($C1417="","",IFERROR(INDEX(项目档案!$B$6:$B$255,MATCH($C1417,项目档案!$A$6:$A$255,0)),"⚠项目编号不存在"))</f>
        <v/>
      </c>
      <c r="N1417" s="35" t="str">
        <f aca="false">IF($E1417="","",IF($E1417=IFERROR(INDEX(项目档案!$D$6:$D$255,MATCH($C1417,项目档案!$A$6:$A$255,0)),""),"一级",IF($E1417=IFERROR(INDEX(项目档案!$F$6:$F$255,MATCH($C1417,项目档案!$A$6:$A$255,0)),""),"二级",IF($E1417=IFERROR(INDEX(项目档案!$H$6:$H$255,MATCH($C1417,项目档案!$A$6:$A$255,0)),""),"我方","—"))))</f>
        <v/>
      </c>
      <c r="O1417" s="36" t="n">
        <f aca="false">IF($D1417&lt;&gt;"销项开票",0,ROUND(N($H1417)*N($I1417),2))</f>
        <v>0</v>
      </c>
      <c r="P1417" s="36" t="n">
        <f aca="false">IF($D1417&lt;&gt;"销项开票",0,ROUND(N($H1417)-$O1417,2))</f>
        <v>0</v>
      </c>
      <c r="Q1417" s="37" t="str">
        <f aca="false">IF($E1417="","",N(IFERROR(INDEX(单位档案!$E$6:$E$35,MATCH($E1417,单位档案!$A$6:$A$35,0)),"")))</f>
        <v/>
      </c>
      <c r="R1417" s="37" t="str">
        <f aca="false">IF($E1417="","",N(IFERROR(INDEX(单位档案!$F$6:$F$35,MATCH($E1417,单位档案!$A$6:$A$35,0)),"")))</f>
        <v/>
      </c>
      <c r="S1417" s="36" t="n">
        <f aca="false">IF(OR($D1417&lt;&gt;"销项开票",IFERROR(INDEX(单位档案!$G$6:$G$35,MATCH($E1417,单位档案!$A$6:$A$35,0)),"")&lt;&gt;"是",N($Q1417)=0),0,IF(IFERROR(INDEX(单位档案!$H$6:$H$35,MATCH($E1417,单位档案!$A$6:$A$35,0)),"")="税差法",ROUND(N($H1417)/(1+$Q1417)*$Q1417-IF(N($R1417)=0,0,$P1417/(1+$R1417)*$R1417),2),ROUND(N($H1417)/(1+$Q1417)*$Q1417,2)))</f>
        <v>0</v>
      </c>
      <c r="T1417" s="36" t="n">
        <f aca="false">ROUND($S1417*N(IFERROR(INDEX(单位档案!$J$6:$J$35,MATCH($E1417,单位档案!$A$6:$A$35,0)),"")),2)</f>
        <v>0</v>
      </c>
      <c r="U1417" s="36" t="n">
        <f aca="false">IF($D1417&lt;&gt;"销项开票",0,ROUND(N($H1417)*N(IFERROR(INDEX(单位档案!$K$6:$K$35,MATCH($E1417,单位档案!$A$6:$A$35,0)),"")),2))</f>
        <v>0</v>
      </c>
      <c r="V1417" s="36" t="n">
        <f aca="false">IF(OR($D1417&lt;&gt;"销项开票",N($Q1417)=0),0,ROUND(N($H1417)/(1+$Q1417)*N(IFERROR(INDEX(单位档案!$L$6:$L$35,MATCH($E1417,单位档案!$A$6:$A$35,0)),"")),2))</f>
        <v>0</v>
      </c>
      <c r="W1417" s="36" t="n">
        <f aca="false">ROUND($S1417+$T1417+$U1417+$V1417,2)</f>
        <v>0</v>
      </c>
      <c r="X1417" s="35" t="str">
        <f aca="false">IF(OR($D1417="挂靠代收",$D1417="我方收款"),COUNTIFS($D$5:$D1417,"挂靠代收")+COUNTIFS($D$5:$D1417,"我方收款"),"")</f>
        <v/>
      </c>
      <c r="Y1417" s="35"/>
      <c r="Z1417" s="21" t="s">
        <v>111</v>
      </c>
    </row>
    <row r="1418" customFormat="false" ht="15.75" hidden="false" customHeight="true" outlineLevel="0" collapsed="false">
      <c r="A1418" s="32" t="str">
        <f aca="false">IF($B1418="","",ROW()-4)</f>
        <v/>
      </c>
      <c r="B1418" s="26"/>
      <c r="C1418" s="24"/>
      <c r="D1418" s="21"/>
      <c r="E1418" s="21"/>
      <c r="F1418" s="21"/>
      <c r="G1418" s="21"/>
      <c r="H1418" s="27"/>
      <c r="I1418" s="23" t="str">
        <f aca="false">IF($D1418&lt;&gt;"销项开票","",IF($N1418="一级",IF(IFERROR(INDEX(项目档案!$E$6:$E$255,MATCH($C1418,项目档案!$A$6:$A$255,0)),"")="",N(IFERROR(INDEX(单位档案!$D$6:$D$35,MATCH($E1418,单位档案!$A$6:$A$35,0)),"")),IFERROR(INDEX(项目档案!$E$6:$E$255,MATCH($C1418,项目档案!$A$6:$A$255,0)),"")),IF($N1418="二级",IF(IFERROR(INDEX(项目档案!$G$6:$G$255,MATCH($C1418,项目档案!$A$6:$A$255,0)),"")="",N(IFERROR(INDEX(单位档案!$D$6:$D$35,MATCH($E1418,单位档案!$A$6:$A$35,0)),"")),IFERROR(INDEX(项目档案!$G$6:$G$255,MATCH($C1418,项目档案!$A$6:$A$255,0)),"")),N(IFERROR(INDEX(单位档案!$D$6:$D$35,MATCH($E1418,单位档案!$A$6:$A$35,0)),"")))))</f>
        <v/>
      </c>
      <c r="J1418" s="22"/>
      <c r="K1418" s="22"/>
      <c r="L1418" s="33" t="str">
        <f aca="false">IF($B1418="","",IF(NOT(ISNUMBER($B1418)),"日期格式不对",IF($C1418="","未选项目编号",IF(LEFT($M1418,1)="⚠","项目编号不存在",IF($D1418="","未选业务类型",IF($E1418="","未选开票/付款方",IF(ISNA(MATCH($E1418,单位档案!$A$6:$A$35,0)),"开票方不在单位档案",IF($F1418="","未选收票/收款方",IF(ISNA(MATCH($F1418,单位档案!$A$6:$A$35,0)),"收款方不在单位档案",IF(NOT(ISNUMBER($H1418)),"金额须为数字",IF(AND($D1418="销项开票",$N1418="—"),"链条待确认","√")))))))))))</f>
        <v/>
      </c>
      <c r="M1418" s="34" t="str">
        <f aca="false">IF($C1418="","",IFERROR(INDEX(项目档案!$B$6:$B$255,MATCH($C1418,项目档案!$A$6:$A$255,0)),"⚠项目编号不存在"))</f>
        <v/>
      </c>
      <c r="N1418" s="35" t="str">
        <f aca="false">IF($E1418="","",IF($E1418=IFERROR(INDEX(项目档案!$D$6:$D$255,MATCH($C1418,项目档案!$A$6:$A$255,0)),""),"一级",IF($E1418=IFERROR(INDEX(项目档案!$F$6:$F$255,MATCH($C1418,项目档案!$A$6:$A$255,0)),""),"二级",IF($E1418=IFERROR(INDEX(项目档案!$H$6:$H$255,MATCH($C1418,项目档案!$A$6:$A$255,0)),""),"我方","—"))))</f>
        <v/>
      </c>
      <c r="O1418" s="36" t="n">
        <f aca="false">IF($D1418&lt;&gt;"销项开票",0,ROUND(N($H1418)*N($I1418),2))</f>
        <v>0</v>
      </c>
      <c r="P1418" s="36" t="n">
        <f aca="false">IF($D1418&lt;&gt;"销项开票",0,ROUND(N($H1418)-$O1418,2))</f>
        <v>0</v>
      </c>
      <c r="Q1418" s="37" t="str">
        <f aca="false">IF($E1418="","",N(IFERROR(INDEX(单位档案!$E$6:$E$35,MATCH($E1418,单位档案!$A$6:$A$35,0)),"")))</f>
        <v/>
      </c>
      <c r="R1418" s="37" t="str">
        <f aca="false">IF($E1418="","",N(IFERROR(INDEX(单位档案!$F$6:$F$35,MATCH($E1418,单位档案!$A$6:$A$35,0)),"")))</f>
        <v/>
      </c>
      <c r="S1418" s="36" t="n">
        <f aca="false">IF(OR($D1418&lt;&gt;"销项开票",IFERROR(INDEX(单位档案!$G$6:$G$35,MATCH($E1418,单位档案!$A$6:$A$35,0)),"")&lt;&gt;"是",N($Q1418)=0),0,IF(IFERROR(INDEX(单位档案!$H$6:$H$35,MATCH($E1418,单位档案!$A$6:$A$35,0)),"")="税差法",ROUND(N($H1418)/(1+$Q1418)*$Q1418-IF(N($R1418)=0,0,$P1418/(1+$R1418)*$R1418),2),ROUND(N($H1418)/(1+$Q1418)*$Q1418,2)))</f>
        <v>0</v>
      </c>
      <c r="T1418" s="36" t="n">
        <f aca="false">ROUND($S1418*N(IFERROR(INDEX(单位档案!$J$6:$J$35,MATCH($E1418,单位档案!$A$6:$A$35,0)),"")),2)</f>
        <v>0</v>
      </c>
      <c r="U1418" s="36" t="n">
        <f aca="false">IF($D1418&lt;&gt;"销项开票",0,ROUND(N($H1418)*N(IFERROR(INDEX(单位档案!$K$6:$K$35,MATCH($E1418,单位档案!$A$6:$A$35,0)),"")),2))</f>
        <v>0</v>
      </c>
      <c r="V1418" s="36" t="n">
        <f aca="false">IF(OR($D1418&lt;&gt;"销项开票",N($Q1418)=0),0,ROUND(N($H1418)/(1+$Q1418)*N(IFERROR(INDEX(单位档案!$L$6:$L$35,MATCH($E1418,单位档案!$A$6:$A$35,0)),"")),2))</f>
        <v>0</v>
      </c>
      <c r="W1418" s="36" t="n">
        <f aca="false">ROUND($S1418+$T1418+$U1418+$V1418,2)</f>
        <v>0</v>
      </c>
      <c r="X1418" s="35" t="str">
        <f aca="false">IF(OR($D1418="挂靠代收",$D1418="我方收款"),COUNTIFS($D$5:$D1418,"挂靠代收")+COUNTIFS($D$5:$D1418,"我方收款"),"")</f>
        <v/>
      </c>
      <c r="Y1418" s="35"/>
      <c r="Z1418" s="21" t="s">
        <v>111</v>
      </c>
    </row>
    <row r="1419" customFormat="false" ht="15.75" hidden="false" customHeight="true" outlineLevel="0" collapsed="false">
      <c r="A1419" s="32" t="str">
        <f aca="false">IF($B1419="","",ROW()-4)</f>
        <v/>
      </c>
      <c r="B1419" s="26"/>
      <c r="C1419" s="24"/>
      <c r="D1419" s="21"/>
      <c r="E1419" s="21"/>
      <c r="F1419" s="21"/>
      <c r="G1419" s="21"/>
      <c r="H1419" s="27"/>
      <c r="I1419" s="23" t="str">
        <f aca="false">IF($D1419&lt;&gt;"销项开票","",IF($N1419="一级",IF(IFERROR(INDEX(项目档案!$E$6:$E$255,MATCH($C1419,项目档案!$A$6:$A$255,0)),"")="",N(IFERROR(INDEX(单位档案!$D$6:$D$35,MATCH($E1419,单位档案!$A$6:$A$35,0)),"")),IFERROR(INDEX(项目档案!$E$6:$E$255,MATCH($C1419,项目档案!$A$6:$A$255,0)),"")),IF($N1419="二级",IF(IFERROR(INDEX(项目档案!$G$6:$G$255,MATCH($C1419,项目档案!$A$6:$A$255,0)),"")="",N(IFERROR(INDEX(单位档案!$D$6:$D$35,MATCH($E1419,单位档案!$A$6:$A$35,0)),"")),IFERROR(INDEX(项目档案!$G$6:$G$255,MATCH($C1419,项目档案!$A$6:$A$255,0)),"")),N(IFERROR(INDEX(单位档案!$D$6:$D$35,MATCH($E1419,单位档案!$A$6:$A$35,0)),"")))))</f>
        <v/>
      </c>
      <c r="J1419" s="22"/>
      <c r="K1419" s="22"/>
      <c r="L1419" s="33" t="str">
        <f aca="false">IF($B1419="","",IF(NOT(ISNUMBER($B1419)),"日期格式不对",IF($C1419="","未选项目编号",IF(LEFT($M1419,1)="⚠","项目编号不存在",IF($D1419="","未选业务类型",IF($E1419="","未选开票/付款方",IF(ISNA(MATCH($E1419,单位档案!$A$6:$A$35,0)),"开票方不在单位档案",IF($F1419="","未选收票/收款方",IF(ISNA(MATCH($F1419,单位档案!$A$6:$A$35,0)),"收款方不在单位档案",IF(NOT(ISNUMBER($H1419)),"金额须为数字",IF(AND($D1419="销项开票",$N1419="—"),"链条待确认","√")))))))))))</f>
        <v/>
      </c>
      <c r="M1419" s="34" t="str">
        <f aca="false">IF($C1419="","",IFERROR(INDEX(项目档案!$B$6:$B$255,MATCH($C1419,项目档案!$A$6:$A$255,0)),"⚠项目编号不存在"))</f>
        <v/>
      </c>
      <c r="N1419" s="35" t="str">
        <f aca="false">IF($E1419="","",IF($E1419=IFERROR(INDEX(项目档案!$D$6:$D$255,MATCH($C1419,项目档案!$A$6:$A$255,0)),""),"一级",IF($E1419=IFERROR(INDEX(项目档案!$F$6:$F$255,MATCH($C1419,项目档案!$A$6:$A$255,0)),""),"二级",IF($E1419=IFERROR(INDEX(项目档案!$H$6:$H$255,MATCH($C1419,项目档案!$A$6:$A$255,0)),""),"我方","—"))))</f>
        <v/>
      </c>
      <c r="O1419" s="36" t="n">
        <f aca="false">IF($D1419&lt;&gt;"销项开票",0,ROUND(N($H1419)*N($I1419),2))</f>
        <v>0</v>
      </c>
      <c r="P1419" s="36" t="n">
        <f aca="false">IF($D1419&lt;&gt;"销项开票",0,ROUND(N($H1419)-$O1419,2))</f>
        <v>0</v>
      </c>
      <c r="Q1419" s="37" t="str">
        <f aca="false">IF($E1419="","",N(IFERROR(INDEX(单位档案!$E$6:$E$35,MATCH($E1419,单位档案!$A$6:$A$35,0)),"")))</f>
        <v/>
      </c>
      <c r="R1419" s="37" t="str">
        <f aca="false">IF($E1419="","",N(IFERROR(INDEX(单位档案!$F$6:$F$35,MATCH($E1419,单位档案!$A$6:$A$35,0)),"")))</f>
        <v/>
      </c>
      <c r="S1419" s="36" t="n">
        <f aca="false">IF(OR($D1419&lt;&gt;"销项开票",IFERROR(INDEX(单位档案!$G$6:$G$35,MATCH($E1419,单位档案!$A$6:$A$35,0)),"")&lt;&gt;"是",N($Q1419)=0),0,IF(IFERROR(INDEX(单位档案!$H$6:$H$35,MATCH($E1419,单位档案!$A$6:$A$35,0)),"")="税差法",ROUND(N($H1419)/(1+$Q1419)*$Q1419-IF(N($R1419)=0,0,$P1419/(1+$R1419)*$R1419),2),ROUND(N($H1419)/(1+$Q1419)*$Q1419,2)))</f>
        <v>0</v>
      </c>
      <c r="T1419" s="36" t="n">
        <f aca="false">ROUND($S1419*N(IFERROR(INDEX(单位档案!$J$6:$J$35,MATCH($E1419,单位档案!$A$6:$A$35,0)),"")),2)</f>
        <v>0</v>
      </c>
      <c r="U1419" s="36" t="n">
        <f aca="false">IF($D1419&lt;&gt;"销项开票",0,ROUND(N($H1419)*N(IFERROR(INDEX(单位档案!$K$6:$K$35,MATCH($E1419,单位档案!$A$6:$A$35,0)),"")),2))</f>
        <v>0</v>
      </c>
      <c r="V1419" s="36" t="n">
        <f aca="false">IF(OR($D1419&lt;&gt;"销项开票",N($Q1419)=0),0,ROUND(N($H1419)/(1+$Q1419)*N(IFERROR(INDEX(单位档案!$L$6:$L$35,MATCH($E1419,单位档案!$A$6:$A$35,0)),"")),2))</f>
        <v>0</v>
      </c>
      <c r="W1419" s="36" t="n">
        <f aca="false">ROUND($S1419+$T1419+$U1419+$V1419,2)</f>
        <v>0</v>
      </c>
      <c r="X1419" s="35" t="str">
        <f aca="false">IF(OR($D1419="挂靠代收",$D1419="我方收款"),COUNTIFS($D$5:$D1419,"挂靠代收")+COUNTIFS($D$5:$D1419,"我方收款"),"")</f>
        <v/>
      </c>
      <c r="Y1419" s="35"/>
      <c r="Z1419" s="21" t="s">
        <v>111</v>
      </c>
    </row>
    <row r="1420" customFormat="false" ht="15.75" hidden="false" customHeight="true" outlineLevel="0" collapsed="false">
      <c r="A1420" s="32" t="str">
        <f aca="false">IF($B1420="","",ROW()-4)</f>
        <v/>
      </c>
      <c r="B1420" s="26"/>
      <c r="C1420" s="24"/>
      <c r="D1420" s="21"/>
      <c r="E1420" s="21"/>
      <c r="F1420" s="21"/>
      <c r="G1420" s="21"/>
      <c r="H1420" s="27"/>
      <c r="I1420" s="23" t="str">
        <f aca="false">IF($D1420&lt;&gt;"销项开票","",IF($N1420="一级",IF(IFERROR(INDEX(项目档案!$E$6:$E$255,MATCH($C1420,项目档案!$A$6:$A$255,0)),"")="",N(IFERROR(INDEX(单位档案!$D$6:$D$35,MATCH($E1420,单位档案!$A$6:$A$35,0)),"")),IFERROR(INDEX(项目档案!$E$6:$E$255,MATCH($C1420,项目档案!$A$6:$A$255,0)),"")),IF($N1420="二级",IF(IFERROR(INDEX(项目档案!$G$6:$G$255,MATCH($C1420,项目档案!$A$6:$A$255,0)),"")="",N(IFERROR(INDEX(单位档案!$D$6:$D$35,MATCH($E1420,单位档案!$A$6:$A$35,0)),"")),IFERROR(INDEX(项目档案!$G$6:$G$255,MATCH($C1420,项目档案!$A$6:$A$255,0)),"")),N(IFERROR(INDEX(单位档案!$D$6:$D$35,MATCH($E1420,单位档案!$A$6:$A$35,0)),"")))))</f>
        <v/>
      </c>
      <c r="J1420" s="22"/>
      <c r="K1420" s="22"/>
      <c r="L1420" s="33" t="str">
        <f aca="false">IF($B1420="","",IF(NOT(ISNUMBER($B1420)),"日期格式不对",IF($C1420="","未选项目编号",IF(LEFT($M1420,1)="⚠","项目编号不存在",IF($D1420="","未选业务类型",IF($E1420="","未选开票/付款方",IF(ISNA(MATCH($E1420,单位档案!$A$6:$A$35,0)),"开票方不在单位档案",IF($F1420="","未选收票/收款方",IF(ISNA(MATCH($F1420,单位档案!$A$6:$A$35,0)),"收款方不在单位档案",IF(NOT(ISNUMBER($H1420)),"金额须为数字",IF(AND($D1420="销项开票",$N1420="—"),"链条待确认","√")))))))))))</f>
        <v/>
      </c>
      <c r="M1420" s="34" t="str">
        <f aca="false">IF($C1420="","",IFERROR(INDEX(项目档案!$B$6:$B$255,MATCH($C1420,项目档案!$A$6:$A$255,0)),"⚠项目编号不存在"))</f>
        <v/>
      </c>
      <c r="N1420" s="35" t="str">
        <f aca="false">IF($E1420="","",IF($E1420=IFERROR(INDEX(项目档案!$D$6:$D$255,MATCH($C1420,项目档案!$A$6:$A$255,0)),""),"一级",IF($E1420=IFERROR(INDEX(项目档案!$F$6:$F$255,MATCH($C1420,项目档案!$A$6:$A$255,0)),""),"二级",IF($E1420=IFERROR(INDEX(项目档案!$H$6:$H$255,MATCH($C1420,项目档案!$A$6:$A$255,0)),""),"我方","—"))))</f>
        <v/>
      </c>
      <c r="O1420" s="36" t="n">
        <f aca="false">IF($D1420&lt;&gt;"销项开票",0,ROUND(N($H1420)*N($I1420),2))</f>
        <v>0</v>
      </c>
      <c r="P1420" s="36" t="n">
        <f aca="false">IF($D1420&lt;&gt;"销项开票",0,ROUND(N($H1420)-$O1420,2))</f>
        <v>0</v>
      </c>
      <c r="Q1420" s="37" t="str">
        <f aca="false">IF($E1420="","",N(IFERROR(INDEX(单位档案!$E$6:$E$35,MATCH($E1420,单位档案!$A$6:$A$35,0)),"")))</f>
        <v/>
      </c>
      <c r="R1420" s="37" t="str">
        <f aca="false">IF($E1420="","",N(IFERROR(INDEX(单位档案!$F$6:$F$35,MATCH($E1420,单位档案!$A$6:$A$35,0)),"")))</f>
        <v/>
      </c>
      <c r="S1420" s="36" t="n">
        <f aca="false">IF(OR($D1420&lt;&gt;"销项开票",IFERROR(INDEX(单位档案!$G$6:$G$35,MATCH($E1420,单位档案!$A$6:$A$35,0)),"")&lt;&gt;"是",N($Q1420)=0),0,IF(IFERROR(INDEX(单位档案!$H$6:$H$35,MATCH($E1420,单位档案!$A$6:$A$35,0)),"")="税差法",ROUND(N($H1420)/(1+$Q1420)*$Q1420-IF(N($R1420)=0,0,$P1420/(1+$R1420)*$R1420),2),ROUND(N($H1420)/(1+$Q1420)*$Q1420,2)))</f>
        <v>0</v>
      </c>
      <c r="T1420" s="36" t="n">
        <f aca="false">ROUND($S1420*N(IFERROR(INDEX(单位档案!$J$6:$J$35,MATCH($E1420,单位档案!$A$6:$A$35,0)),"")),2)</f>
        <v>0</v>
      </c>
      <c r="U1420" s="36" t="n">
        <f aca="false">IF($D1420&lt;&gt;"销项开票",0,ROUND(N($H1420)*N(IFERROR(INDEX(单位档案!$K$6:$K$35,MATCH($E1420,单位档案!$A$6:$A$35,0)),"")),2))</f>
        <v>0</v>
      </c>
      <c r="V1420" s="36" t="n">
        <f aca="false">IF(OR($D1420&lt;&gt;"销项开票",N($Q1420)=0),0,ROUND(N($H1420)/(1+$Q1420)*N(IFERROR(INDEX(单位档案!$L$6:$L$35,MATCH($E1420,单位档案!$A$6:$A$35,0)),"")),2))</f>
        <v>0</v>
      </c>
      <c r="W1420" s="36" t="n">
        <f aca="false">ROUND($S1420+$T1420+$U1420+$V1420,2)</f>
        <v>0</v>
      </c>
      <c r="X1420" s="35" t="str">
        <f aca="false">IF(OR($D1420="挂靠代收",$D1420="我方收款"),COUNTIFS($D$5:$D1420,"挂靠代收")+COUNTIFS($D$5:$D1420,"我方收款"),"")</f>
        <v/>
      </c>
      <c r="Y1420" s="35"/>
      <c r="Z1420" s="21" t="s">
        <v>111</v>
      </c>
    </row>
    <row r="1421" customFormat="false" ht="15.75" hidden="false" customHeight="true" outlineLevel="0" collapsed="false">
      <c r="A1421" s="32" t="str">
        <f aca="false">IF($B1421="","",ROW()-4)</f>
        <v/>
      </c>
      <c r="B1421" s="26"/>
      <c r="C1421" s="24"/>
      <c r="D1421" s="21"/>
      <c r="E1421" s="21"/>
      <c r="F1421" s="21"/>
      <c r="G1421" s="21"/>
      <c r="H1421" s="27"/>
      <c r="I1421" s="23" t="str">
        <f aca="false">IF($D1421&lt;&gt;"销项开票","",IF($N1421="一级",IF(IFERROR(INDEX(项目档案!$E$6:$E$255,MATCH($C1421,项目档案!$A$6:$A$255,0)),"")="",N(IFERROR(INDEX(单位档案!$D$6:$D$35,MATCH($E1421,单位档案!$A$6:$A$35,0)),"")),IFERROR(INDEX(项目档案!$E$6:$E$255,MATCH($C1421,项目档案!$A$6:$A$255,0)),"")),IF($N1421="二级",IF(IFERROR(INDEX(项目档案!$G$6:$G$255,MATCH($C1421,项目档案!$A$6:$A$255,0)),"")="",N(IFERROR(INDEX(单位档案!$D$6:$D$35,MATCH($E1421,单位档案!$A$6:$A$35,0)),"")),IFERROR(INDEX(项目档案!$G$6:$G$255,MATCH($C1421,项目档案!$A$6:$A$255,0)),"")),N(IFERROR(INDEX(单位档案!$D$6:$D$35,MATCH($E1421,单位档案!$A$6:$A$35,0)),"")))))</f>
        <v/>
      </c>
      <c r="J1421" s="22"/>
      <c r="K1421" s="22"/>
      <c r="L1421" s="33" t="str">
        <f aca="false">IF($B1421="","",IF(NOT(ISNUMBER($B1421)),"日期格式不对",IF($C1421="","未选项目编号",IF(LEFT($M1421,1)="⚠","项目编号不存在",IF($D1421="","未选业务类型",IF($E1421="","未选开票/付款方",IF(ISNA(MATCH($E1421,单位档案!$A$6:$A$35,0)),"开票方不在单位档案",IF($F1421="","未选收票/收款方",IF(ISNA(MATCH($F1421,单位档案!$A$6:$A$35,0)),"收款方不在单位档案",IF(NOT(ISNUMBER($H1421)),"金额须为数字",IF(AND($D1421="销项开票",$N1421="—"),"链条待确认","√")))))))))))</f>
        <v/>
      </c>
      <c r="M1421" s="34" t="str">
        <f aca="false">IF($C1421="","",IFERROR(INDEX(项目档案!$B$6:$B$255,MATCH($C1421,项目档案!$A$6:$A$255,0)),"⚠项目编号不存在"))</f>
        <v/>
      </c>
      <c r="N1421" s="35" t="str">
        <f aca="false">IF($E1421="","",IF($E1421=IFERROR(INDEX(项目档案!$D$6:$D$255,MATCH($C1421,项目档案!$A$6:$A$255,0)),""),"一级",IF($E1421=IFERROR(INDEX(项目档案!$F$6:$F$255,MATCH($C1421,项目档案!$A$6:$A$255,0)),""),"二级",IF($E1421=IFERROR(INDEX(项目档案!$H$6:$H$255,MATCH($C1421,项目档案!$A$6:$A$255,0)),""),"我方","—"))))</f>
        <v/>
      </c>
      <c r="O1421" s="36" t="n">
        <f aca="false">IF($D1421&lt;&gt;"销项开票",0,ROUND(N($H1421)*N($I1421),2))</f>
        <v>0</v>
      </c>
      <c r="P1421" s="36" t="n">
        <f aca="false">IF($D1421&lt;&gt;"销项开票",0,ROUND(N($H1421)-$O1421,2))</f>
        <v>0</v>
      </c>
      <c r="Q1421" s="37" t="str">
        <f aca="false">IF($E1421="","",N(IFERROR(INDEX(单位档案!$E$6:$E$35,MATCH($E1421,单位档案!$A$6:$A$35,0)),"")))</f>
        <v/>
      </c>
      <c r="R1421" s="37" t="str">
        <f aca="false">IF($E1421="","",N(IFERROR(INDEX(单位档案!$F$6:$F$35,MATCH($E1421,单位档案!$A$6:$A$35,0)),"")))</f>
        <v/>
      </c>
      <c r="S1421" s="36" t="n">
        <f aca="false">IF(OR($D1421&lt;&gt;"销项开票",IFERROR(INDEX(单位档案!$G$6:$G$35,MATCH($E1421,单位档案!$A$6:$A$35,0)),"")&lt;&gt;"是",N($Q1421)=0),0,IF(IFERROR(INDEX(单位档案!$H$6:$H$35,MATCH($E1421,单位档案!$A$6:$A$35,0)),"")="税差法",ROUND(N($H1421)/(1+$Q1421)*$Q1421-IF(N($R1421)=0,0,$P1421/(1+$R1421)*$R1421),2),ROUND(N($H1421)/(1+$Q1421)*$Q1421,2)))</f>
        <v>0</v>
      </c>
      <c r="T1421" s="36" t="n">
        <f aca="false">ROUND($S1421*N(IFERROR(INDEX(单位档案!$J$6:$J$35,MATCH($E1421,单位档案!$A$6:$A$35,0)),"")),2)</f>
        <v>0</v>
      </c>
      <c r="U1421" s="36" t="n">
        <f aca="false">IF($D1421&lt;&gt;"销项开票",0,ROUND(N($H1421)*N(IFERROR(INDEX(单位档案!$K$6:$K$35,MATCH($E1421,单位档案!$A$6:$A$35,0)),"")),2))</f>
        <v>0</v>
      </c>
      <c r="V1421" s="36" t="n">
        <f aca="false">IF(OR($D1421&lt;&gt;"销项开票",N($Q1421)=0),0,ROUND(N($H1421)/(1+$Q1421)*N(IFERROR(INDEX(单位档案!$L$6:$L$35,MATCH($E1421,单位档案!$A$6:$A$35,0)),"")),2))</f>
        <v>0</v>
      </c>
      <c r="W1421" s="36" t="n">
        <f aca="false">ROUND($S1421+$T1421+$U1421+$V1421,2)</f>
        <v>0</v>
      </c>
      <c r="X1421" s="35" t="str">
        <f aca="false">IF(OR($D1421="挂靠代收",$D1421="我方收款"),COUNTIFS($D$5:$D1421,"挂靠代收")+COUNTIFS($D$5:$D1421,"我方收款"),"")</f>
        <v/>
      </c>
      <c r="Y1421" s="35"/>
      <c r="Z1421" s="21" t="s">
        <v>111</v>
      </c>
    </row>
    <row r="1422" customFormat="false" ht="15.75" hidden="false" customHeight="true" outlineLevel="0" collapsed="false">
      <c r="A1422" s="32" t="str">
        <f aca="false">IF($B1422="","",ROW()-4)</f>
        <v/>
      </c>
      <c r="B1422" s="26"/>
      <c r="C1422" s="24"/>
      <c r="D1422" s="21"/>
      <c r="E1422" s="21"/>
      <c r="F1422" s="21"/>
      <c r="G1422" s="21"/>
      <c r="H1422" s="27"/>
      <c r="I1422" s="23" t="str">
        <f aca="false">IF($D1422&lt;&gt;"销项开票","",IF($N1422="一级",IF(IFERROR(INDEX(项目档案!$E$6:$E$255,MATCH($C1422,项目档案!$A$6:$A$255,0)),"")="",N(IFERROR(INDEX(单位档案!$D$6:$D$35,MATCH($E1422,单位档案!$A$6:$A$35,0)),"")),IFERROR(INDEX(项目档案!$E$6:$E$255,MATCH($C1422,项目档案!$A$6:$A$255,0)),"")),IF($N1422="二级",IF(IFERROR(INDEX(项目档案!$G$6:$G$255,MATCH($C1422,项目档案!$A$6:$A$255,0)),"")="",N(IFERROR(INDEX(单位档案!$D$6:$D$35,MATCH($E1422,单位档案!$A$6:$A$35,0)),"")),IFERROR(INDEX(项目档案!$G$6:$G$255,MATCH($C1422,项目档案!$A$6:$A$255,0)),"")),N(IFERROR(INDEX(单位档案!$D$6:$D$35,MATCH($E1422,单位档案!$A$6:$A$35,0)),"")))))</f>
        <v/>
      </c>
      <c r="J1422" s="22"/>
      <c r="K1422" s="22"/>
      <c r="L1422" s="33" t="str">
        <f aca="false">IF($B1422="","",IF(NOT(ISNUMBER($B1422)),"日期格式不对",IF($C1422="","未选项目编号",IF(LEFT($M1422,1)="⚠","项目编号不存在",IF($D1422="","未选业务类型",IF($E1422="","未选开票/付款方",IF(ISNA(MATCH($E1422,单位档案!$A$6:$A$35,0)),"开票方不在单位档案",IF($F1422="","未选收票/收款方",IF(ISNA(MATCH($F1422,单位档案!$A$6:$A$35,0)),"收款方不在单位档案",IF(NOT(ISNUMBER($H1422)),"金额须为数字",IF(AND($D1422="销项开票",$N1422="—"),"链条待确认","√")))))))))))</f>
        <v/>
      </c>
      <c r="M1422" s="34" t="str">
        <f aca="false">IF($C1422="","",IFERROR(INDEX(项目档案!$B$6:$B$255,MATCH($C1422,项目档案!$A$6:$A$255,0)),"⚠项目编号不存在"))</f>
        <v/>
      </c>
      <c r="N1422" s="35" t="str">
        <f aca="false">IF($E1422="","",IF($E1422=IFERROR(INDEX(项目档案!$D$6:$D$255,MATCH($C1422,项目档案!$A$6:$A$255,0)),""),"一级",IF($E1422=IFERROR(INDEX(项目档案!$F$6:$F$255,MATCH($C1422,项目档案!$A$6:$A$255,0)),""),"二级",IF($E1422=IFERROR(INDEX(项目档案!$H$6:$H$255,MATCH($C1422,项目档案!$A$6:$A$255,0)),""),"我方","—"))))</f>
        <v/>
      </c>
      <c r="O1422" s="36" t="n">
        <f aca="false">IF($D1422&lt;&gt;"销项开票",0,ROUND(N($H1422)*N($I1422),2))</f>
        <v>0</v>
      </c>
      <c r="P1422" s="36" t="n">
        <f aca="false">IF($D1422&lt;&gt;"销项开票",0,ROUND(N($H1422)-$O1422,2))</f>
        <v>0</v>
      </c>
      <c r="Q1422" s="37" t="str">
        <f aca="false">IF($E1422="","",N(IFERROR(INDEX(单位档案!$E$6:$E$35,MATCH($E1422,单位档案!$A$6:$A$35,0)),"")))</f>
        <v/>
      </c>
      <c r="R1422" s="37" t="str">
        <f aca="false">IF($E1422="","",N(IFERROR(INDEX(单位档案!$F$6:$F$35,MATCH($E1422,单位档案!$A$6:$A$35,0)),"")))</f>
        <v/>
      </c>
      <c r="S1422" s="36" t="n">
        <f aca="false">IF(OR($D1422&lt;&gt;"销项开票",IFERROR(INDEX(单位档案!$G$6:$G$35,MATCH($E1422,单位档案!$A$6:$A$35,0)),"")&lt;&gt;"是",N($Q1422)=0),0,IF(IFERROR(INDEX(单位档案!$H$6:$H$35,MATCH($E1422,单位档案!$A$6:$A$35,0)),"")="税差法",ROUND(N($H1422)/(1+$Q1422)*$Q1422-IF(N($R1422)=0,0,$P1422/(1+$R1422)*$R1422),2),ROUND(N($H1422)/(1+$Q1422)*$Q1422,2)))</f>
        <v>0</v>
      </c>
      <c r="T1422" s="36" t="n">
        <f aca="false">ROUND($S1422*N(IFERROR(INDEX(单位档案!$J$6:$J$35,MATCH($E1422,单位档案!$A$6:$A$35,0)),"")),2)</f>
        <v>0</v>
      </c>
      <c r="U1422" s="36" t="n">
        <f aca="false">IF($D1422&lt;&gt;"销项开票",0,ROUND(N($H1422)*N(IFERROR(INDEX(单位档案!$K$6:$K$35,MATCH($E1422,单位档案!$A$6:$A$35,0)),"")),2))</f>
        <v>0</v>
      </c>
      <c r="V1422" s="36" t="n">
        <f aca="false">IF(OR($D1422&lt;&gt;"销项开票",N($Q1422)=0),0,ROUND(N($H1422)/(1+$Q1422)*N(IFERROR(INDEX(单位档案!$L$6:$L$35,MATCH($E1422,单位档案!$A$6:$A$35,0)),"")),2))</f>
        <v>0</v>
      </c>
      <c r="W1422" s="36" t="n">
        <f aca="false">ROUND($S1422+$T1422+$U1422+$V1422,2)</f>
        <v>0</v>
      </c>
      <c r="X1422" s="35" t="str">
        <f aca="false">IF(OR($D1422="挂靠代收",$D1422="我方收款"),COUNTIFS($D$5:$D1422,"挂靠代收")+COUNTIFS($D$5:$D1422,"我方收款"),"")</f>
        <v/>
      </c>
      <c r="Y1422" s="35"/>
      <c r="Z1422" s="21" t="s">
        <v>111</v>
      </c>
    </row>
    <row r="1423" customFormat="false" ht="15.75" hidden="false" customHeight="true" outlineLevel="0" collapsed="false">
      <c r="A1423" s="32" t="str">
        <f aca="false">IF($B1423="","",ROW()-4)</f>
        <v/>
      </c>
      <c r="B1423" s="26"/>
      <c r="C1423" s="24"/>
      <c r="D1423" s="21"/>
      <c r="E1423" s="21"/>
      <c r="F1423" s="21"/>
      <c r="G1423" s="21"/>
      <c r="H1423" s="27"/>
      <c r="I1423" s="23" t="str">
        <f aca="false">IF($D1423&lt;&gt;"销项开票","",IF($N1423="一级",IF(IFERROR(INDEX(项目档案!$E$6:$E$255,MATCH($C1423,项目档案!$A$6:$A$255,0)),"")="",N(IFERROR(INDEX(单位档案!$D$6:$D$35,MATCH($E1423,单位档案!$A$6:$A$35,0)),"")),IFERROR(INDEX(项目档案!$E$6:$E$255,MATCH($C1423,项目档案!$A$6:$A$255,0)),"")),IF($N1423="二级",IF(IFERROR(INDEX(项目档案!$G$6:$G$255,MATCH($C1423,项目档案!$A$6:$A$255,0)),"")="",N(IFERROR(INDEX(单位档案!$D$6:$D$35,MATCH($E1423,单位档案!$A$6:$A$35,0)),"")),IFERROR(INDEX(项目档案!$G$6:$G$255,MATCH($C1423,项目档案!$A$6:$A$255,0)),"")),N(IFERROR(INDEX(单位档案!$D$6:$D$35,MATCH($E1423,单位档案!$A$6:$A$35,0)),"")))))</f>
        <v/>
      </c>
      <c r="J1423" s="22"/>
      <c r="K1423" s="22"/>
      <c r="L1423" s="33" t="str">
        <f aca="false">IF($B1423="","",IF(NOT(ISNUMBER($B1423)),"日期格式不对",IF($C1423="","未选项目编号",IF(LEFT($M1423,1)="⚠","项目编号不存在",IF($D1423="","未选业务类型",IF($E1423="","未选开票/付款方",IF(ISNA(MATCH($E1423,单位档案!$A$6:$A$35,0)),"开票方不在单位档案",IF($F1423="","未选收票/收款方",IF(ISNA(MATCH($F1423,单位档案!$A$6:$A$35,0)),"收款方不在单位档案",IF(NOT(ISNUMBER($H1423)),"金额须为数字",IF(AND($D1423="销项开票",$N1423="—"),"链条待确认","√")))))))))))</f>
        <v/>
      </c>
      <c r="M1423" s="34" t="str">
        <f aca="false">IF($C1423="","",IFERROR(INDEX(项目档案!$B$6:$B$255,MATCH($C1423,项目档案!$A$6:$A$255,0)),"⚠项目编号不存在"))</f>
        <v/>
      </c>
      <c r="N1423" s="35" t="str">
        <f aca="false">IF($E1423="","",IF($E1423=IFERROR(INDEX(项目档案!$D$6:$D$255,MATCH($C1423,项目档案!$A$6:$A$255,0)),""),"一级",IF($E1423=IFERROR(INDEX(项目档案!$F$6:$F$255,MATCH($C1423,项目档案!$A$6:$A$255,0)),""),"二级",IF($E1423=IFERROR(INDEX(项目档案!$H$6:$H$255,MATCH($C1423,项目档案!$A$6:$A$255,0)),""),"我方","—"))))</f>
        <v/>
      </c>
      <c r="O1423" s="36" t="n">
        <f aca="false">IF($D1423&lt;&gt;"销项开票",0,ROUND(N($H1423)*N($I1423),2))</f>
        <v>0</v>
      </c>
      <c r="P1423" s="36" t="n">
        <f aca="false">IF($D1423&lt;&gt;"销项开票",0,ROUND(N($H1423)-$O1423,2))</f>
        <v>0</v>
      </c>
      <c r="Q1423" s="37" t="str">
        <f aca="false">IF($E1423="","",N(IFERROR(INDEX(单位档案!$E$6:$E$35,MATCH($E1423,单位档案!$A$6:$A$35,0)),"")))</f>
        <v/>
      </c>
      <c r="R1423" s="37" t="str">
        <f aca="false">IF($E1423="","",N(IFERROR(INDEX(单位档案!$F$6:$F$35,MATCH($E1423,单位档案!$A$6:$A$35,0)),"")))</f>
        <v/>
      </c>
      <c r="S1423" s="36" t="n">
        <f aca="false">IF(OR($D1423&lt;&gt;"销项开票",IFERROR(INDEX(单位档案!$G$6:$G$35,MATCH($E1423,单位档案!$A$6:$A$35,0)),"")&lt;&gt;"是",N($Q1423)=0),0,IF(IFERROR(INDEX(单位档案!$H$6:$H$35,MATCH($E1423,单位档案!$A$6:$A$35,0)),"")="税差法",ROUND(N($H1423)/(1+$Q1423)*$Q1423-IF(N($R1423)=0,0,$P1423/(1+$R1423)*$R1423),2),ROUND(N($H1423)/(1+$Q1423)*$Q1423,2)))</f>
        <v>0</v>
      </c>
      <c r="T1423" s="36" t="n">
        <f aca="false">ROUND($S1423*N(IFERROR(INDEX(单位档案!$J$6:$J$35,MATCH($E1423,单位档案!$A$6:$A$35,0)),"")),2)</f>
        <v>0</v>
      </c>
      <c r="U1423" s="36" t="n">
        <f aca="false">IF($D1423&lt;&gt;"销项开票",0,ROUND(N($H1423)*N(IFERROR(INDEX(单位档案!$K$6:$K$35,MATCH($E1423,单位档案!$A$6:$A$35,0)),"")),2))</f>
        <v>0</v>
      </c>
      <c r="V1423" s="36" t="n">
        <f aca="false">IF(OR($D1423&lt;&gt;"销项开票",N($Q1423)=0),0,ROUND(N($H1423)/(1+$Q1423)*N(IFERROR(INDEX(单位档案!$L$6:$L$35,MATCH($E1423,单位档案!$A$6:$A$35,0)),"")),2))</f>
        <v>0</v>
      </c>
      <c r="W1423" s="36" t="n">
        <f aca="false">ROUND($S1423+$T1423+$U1423+$V1423,2)</f>
        <v>0</v>
      </c>
      <c r="X1423" s="35" t="str">
        <f aca="false">IF(OR($D1423="挂靠代收",$D1423="我方收款"),COUNTIFS($D$5:$D1423,"挂靠代收")+COUNTIFS($D$5:$D1423,"我方收款"),"")</f>
        <v/>
      </c>
      <c r="Y1423" s="35"/>
      <c r="Z1423" s="21" t="s">
        <v>111</v>
      </c>
    </row>
    <row r="1424" customFormat="false" ht="15.75" hidden="false" customHeight="true" outlineLevel="0" collapsed="false">
      <c r="A1424" s="32" t="str">
        <f aca="false">IF($B1424="","",ROW()-4)</f>
        <v/>
      </c>
      <c r="B1424" s="26"/>
      <c r="C1424" s="24"/>
      <c r="D1424" s="21"/>
      <c r="E1424" s="21"/>
      <c r="F1424" s="21"/>
      <c r="G1424" s="21"/>
      <c r="H1424" s="27"/>
      <c r="I1424" s="23" t="str">
        <f aca="false">IF($D1424&lt;&gt;"销项开票","",IF($N1424="一级",IF(IFERROR(INDEX(项目档案!$E$6:$E$255,MATCH($C1424,项目档案!$A$6:$A$255,0)),"")="",N(IFERROR(INDEX(单位档案!$D$6:$D$35,MATCH($E1424,单位档案!$A$6:$A$35,0)),"")),IFERROR(INDEX(项目档案!$E$6:$E$255,MATCH($C1424,项目档案!$A$6:$A$255,0)),"")),IF($N1424="二级",IF(IFERROR(INDEX(项目档案!$G$6:$G$255,MATCH($C1424,项目档案!$A$6:$A$255,0)),"")="",N(IFERROR(INDEX(单位档案!$D$6:$D$35,MATCH($E1424,单位档案!$A$6:$A$35,0)),"")),IFERROR(INDEX(项目档案!$G$6:$G$255,MATCH($C1424,项目档案!$A$6:$A$255,0)),"")),N(IFERROR(INDEX(单位档案!$D$6:$D$35,MATCH($E1424,单位档案!$A$6:$A$35,0)),"")))))</f>
        <v/>
      </c>
      <c r="J1424" s="22"/>
      <c r="K1424" s="22"/>
      <c r="L1424" s="33" t="str">
        <f aca="false">IF($B1424="","",IF(NOT(ISNUMBER($B1424)),"日期格式不对",IF($C1424="","未选项目编号",IF(LEFT($M1424,1)="⚠","项目编号不存在",IF($D1424="","未选业务类型",IF($E1424="","未选开票/付款方",IF(ISNA(MATCH($E1424,单位档案!$A$6:$A$35,0)),"开票方不在单位档案",IF($F1424="","未选收票/收款方",IF(ISNA(MATCH($F1424,单位档案!$A$6:$A$35,0)),"收款方不在单位档案",IF(NOT(ISNUMBER($H1424)),"金额须为数字",IF(AND($D1424="销项开票",$N1424="—"),"链条待确认","√")))))))))))</f>
        <v/>
      </c>
      <c r="M1424" s="34" t="str">
        <f aca="false">IF($C1424="","",IFERROR(INDEX(项目档案!$B$6:$B$255,MATCH($C1424,项目档案!$A$6:$A$255,0)),"⚠项目编号不存在"))</f>
        <v/>
      </c>
      <c r="N1424" s="35" t="str">
        <f aca="false">IF($E1424="","",IF($E1424=IFERROR(INDEX(项目档案!$D$6:$D$255,MATCH($C1424,项目档案!$A$6:$A$255,0)),""),"一级",IF($E1424=IFERROR(INDEX(项目档案!$F$6:$F$255,MATCH($C1424,项目档案!$A$6:$A$255,0)),""),"二级",IF($E1424=IFERROR(INDEX(项目档案!$H$6:$H$255,MATCH($C1424,项目档案!$A$6:$A$255,0)),""),"我方","—"))))</f>
        <v/>
      </c>
      <c r="O1424" s="36" t="n">
        <f aca="false">IF($D1424&lt;&gt;"销项开票",0,ROUND(N($H1424)*N($I1424),2))</f>
        <v>0</v>
      </c>
      <c r="P1424" s="36" t="n">
        <f aca="false">IF($D1424&lt;&gt;"销项开票",0,ROUND(N($H1424)-$O1424,2))</f>
        <v>0</v>
      </c>
      <c r="Q1424" s="37" t="str">
        <f aca="false">IF($E1424="","",N(IFERROR(INDEX(单位档案!$E$6:$E$35,MATCH($E1424,单位档案!$A$6:$A$35,0)),"")))</f>
        <v/>
      </c>
      <c r="R1424" s="37" t="str">
        <f aca="false">IF($E1424="","",N(IFERROR(INDEX(单位档案!$F$6:$F$35,MATCH($E1424,单位档案!$A$6:$A$35,0)),"")))</f>
        <v/>
      </c>
      <c r="S1424" s="36" t="n">
        <f aca="false">IF(OR($D1424&lt;&gt;"销项开票",IFERROR(INDEX(单位档案!$G$6:$G$35,MATCH($E1424,单位档案!$A$6:$A$35,0)),"")&lt;&gt;"是",N($Q1424)=0),0,IF(IFERROR(INDEX(单位档案!$H$6:$H$35,MATCH($E1424,单位档案!$A$6:$A$35,0)),"")="税差法",ROUND(N($H1424)/(1+$Q1424)*$Q1424-IF(N($R1424)=0,0,$P1424/(1+$R1424)*$R1424),2),ROUND(N($H1424)/(1+$Q1424)*$Q1424,2)))</f>
        <v>0</v>
      </c>
      <c r="T1424" s="36" t="n">
        <f aca="false">ROUND($S1424*N(IFERROR(INDEX(单位档案!$J$6:$J$35,MATCH($E1424,单位档案!$A$6:$A$35,0)),"")),2)</f>
        <v>0</v>
      </c>
      <c r="U1424" s="36" t="n">
        <f aca="false">IF($D1424&lt;&gt;"销项开票",0,ROUND(N($H1424)*N(IFERROR(INDEX(单位档案!$K$6:$K$35,MATCH($E1424,单位档案!$A$6:$A$35,0)),"")),2))</f>
        <v>0</v>
      </c>
      <c r="V1424" s="36" t="n">
        <f aca="false">IF(OR($D1424&lt;&gt;"销项开票",N($Q1424)=0),0,ROUND(N($H1424)/(1+$Q1424)*N(IFERROR(INDEX(单位档案!$L$6:$L$35,MATCH($E1424,单位档案!$A$6:$A$35,0)),"")),2))</f>
        <v>0</v>
      </c>
      <c r="W1424" s="36" t="n">
        <f aca="false">ROUND($S1424+$T1424+$U1424+$V1424,2)</f>
        <v>0</v>
      </c>
      <c r="X1424" s="35" t="str">
        <f aca="false">IF(OR($D1424="挂靠代收",$D1424="我方收款"),COUNTIFS($D$5:$D1424,"挂靠代收")+COUNTIFS($D$5:$D1424,"我方收款"),"")</f>
        <v/>
      </c>
      <c r="Y1424" s="35"/>
      <c r="Z1424" s="21" t="s">
        <v>111</v>
      </c>
    </row>
    <row r="1425" customFormat="false" ht="15.75" hidden="false" customHeight="true" outlineLevel="0" collapsed="false">
      <c r="A1425" s="32" t="str">
        <f aca="false">IF($B1425="","",ROW()-4)</f>
        <v/>
      </c>
      <c r="B1425" s="26"/>
      <c r="C1425" s="24"/>
      <c r="D1425" s="21"/>
      <c r="E1425" s="21"/>
      <c r="F1425" s="21"/>
      <c r="G1425" s="21"/>
      <c r="H1425" s="27"/>
      <c r="I1425" s="23" t="str">
        <f aca="false">IF($D1425&lt;&gt;"销项开票","",IF($N1425="一级",IF(IFERROR(INDEX(项目档案!$E$6:$E$255,MATCH($C1425,项目档案!$A$6:$A$255,0)),"")="",N(IFERROR(INDEX(单位档案!$D$6:$D$35,MATCH($E1425,单位档案!$A$6:$A$35,0)),"")),IFERROR(INDEX(项目档案!$E$6:$E$255,MATCH($C1425,项目档案!$A$6:$A$255,0)),"")),IF($N1425="二级",IF(IFERROR(INDEX(项目档案!$G$6:$G$255,MATCH($C1425,项目档案!$A$6:$A$255,0)),"")="",N(IFERROR(INDEX(单位档案!$D$6:$D$35,MATCH($E1425,单位档案!$A$6:$A$35,0)),"")),IFERROR(INDEX(项目档案!$G$6:$G$255,MATCH($C1425,项目档案!$A$6:$A$255,0)),"")),N(IFERROR(INDEX(单位档案!$D$6:$D$35,MATCH($E1425,单位档案!$A$6:$A$35,0)),"")))))</f>
        <v/>
      </c>
      <c r="J1425" s="22"/>
      <c r="K1425" s="22"/>
      <c r="L1425" s="33" t="str">
        <f aca="false">IF($B1425="","",IF(NOT(ISNUMBER($B1425)),"日期格式不对",IF($C1425="","未选项目编号",IF(LEFT($M1425,1)="⚠","项目编号不存在",IF($D1425="","未选业务类型",IF($E1425="","未选开票/付款方",IF(ISNA(MATCH($E1425,单位档案!$A$6:$A$35,0)),"开票方不在单位档案",IF($F1425="","未选收票/收款方",IF(ISNA(MATCH($F1425,单位档案!$A$6:$A$35,0)),"收款方不在单位档案",IF(NOT(ISNUMBER($H1425)),"金额须为数字",IF(AND($D1425="销项开票",$N1425="—"),"链条待确认","√")))))))))))</f>
        <v/>
      </c>
      <c r="M1425" s="34" t="str">
        <f aca="false">IF($C1425="","",IFERROR(INDEX(项目档案!$B$6:$B$255,MATCH($C1425,项目档案!$A$6:$A$255,0)),"⚠项目编号不存在"))</f>
        <v/>
      </c>
      <c r="N1425" s="35" t="str">
        <f aca="false">IF($E1425="","",IF($E1425=IFERROR(INDEX(项目档案!$D$6:$D$255,MATCH($C1425,项目档案!$A$6:$A$255,0)),""),"一级",IF($E1425=IFERROR(INDEX(项目档案!$F$6:$F$255,MATCH($C1425,项目档案!$A$6:$A$255,0)),""),"二级",IF($E1425=IFERROR(INDEX(项目档案!$H$6:$H$255,MATCH($C1425,项目档案!$A$6:$A$255,0)),""),"我方","—"))))</f>
        <v/>
      </c>
      <c r="O1425" s="36" t="n">
        <f aca="false">IF($D1425&lt;&gt;"销项开票",0,ROUND(N($H1425)*N($I1425),2))</f>
        <v>0</v>
      </c>
      <c r="P1425" s="36" t="n">
        <f aca="false">IF($D1425&lt;&gt;"销项开票",0,ROUND(N($H1425)-$O1425,2))</f>
        <v>0</v>
      </c>
      <c r="Q1425" s="37" t="str">
        <f aca="false">IF($E1425="","",N(IFERROR(INDEX(单位档案!$E$6:$E$35,MATCH($E1425,单位档案!$A$6:$A$35,0)),"")))</f>
        <v/>
      </c>
      <c r="R1425" s="37" t="str">
        <f aca="false">IF($E1425="","",N(IFERROR(INDEX(单位档案!$F$6:$F$35,MATCH($E1425,单位档案!$A$6:$A$35,0)),"")))</f>
        <v/>
      </c>
      <c r="S1425" s="36" t="n">
        <f aca="false">IF(OR($D1425&lt;&gt;"销项开票",IFERROR(INDEX(单位档案!$G$6:$G$35,MATCH($E1425,单位档案!$A$6:$A$35,0)),"")&lt;&gt;"是",N($Q1425)=0),0,IF(IFERROR(INDEX(单位档案!$H$6:$H$35,MATCH($E1425,单位档案!$A$6:$A$35,0)),"")="税差法",ROUND(N($H1425)/(1+$Q1425)*$Q1425-IF(N($R1425)=0,0,$P1425/(1+$R1425)*$R1425),2),ROUND(N($H1425)/(1+$Q1425)*$Q1425,2)))</f>
        <v>0</v>
      </c>
      <c r="T1425" s="36" t="n">
        <f aca="false">ROUND($S1425*N(IFERROR(INDEX(单位档案!$J$6:$J$35,MATCH($E1425,单位档案!$A$6:$A$35,0)),"")),2)</f>
        <v>0</v>
      </c>
      <c r="U1425" s="36" t="n">
        <f aca="false">IF($D1425&lt;&gt;"销项开票",0,ROUND(N($H1425)*N(IFERROR(INDEX(单位档案!$K$6:$K$35,MATCH($E1425,单位档案!$A$6:$A$35,0)),"")),2))</f>
        <v>0</v>
      </c>
      <c r="V1425" s="36" t="n">
        <f aca="false">IF(OR($D1425&lt;&gt;"销项开票",N($Q1425)=0),0,ROUND(N($H1425)/(1+$Q1425)*N(IFERROR(INDEX(单位档案!$L$6:$L$35,MATCH($E1425,单位档案!$A$6:$A$35,0)),"")),2))</f>
        <v>0</v>
      </c>
      <c r="W1425" s="36" t="n">
        <f aca="false">ROUND($S1425+$T1425+$U1425+$V1425,2)</f>
        <v>0</v>
      </c>
      <c r="X1425" s="35" t="str">
        <f aca="false">IF(OR($D1425="挂靠代收",$D1425="我方收款"),COUNTIFS($D$5:$D1425,"挂靠代收")+COUNTIFS($D$5:$D1425,"我方收款"),"")</f>
        <v/>
      </c>
      <c r="Y1425" s="35"/>
      <c r="Z1425" s="21" t="s">
        <v>111</v>
      </c>
    </row>
    <row r="1426" customFormat="false" ht="15.75" hidden="false" customHeight="true" outlineLevel="0" collapsed="false">
      <c r="A1426" s="32" t="str">
        <f aca="false">IF($B1426="","",ROW()-4)</f>
        <v/>
      </c>
      <c r="B1426" s="26"/>
      <c r="C1426" s="24"/>
      <c r="D1426" s="21"/>
      <c r="E1426" s="21"/>
      <c r="F1426" s="21"/>
      <c r="G1426" s="21"/>
      <c r="H1426" s="27"/>
      <c r="I1426" s="23" t="str">
        <f aca="false">IF($D1426&lt;&gt;"销项开票","",IF($N1426="一级",IF(IFERROR(INDEX(项目档案!$E$6:$E$255,MATCH($C1426,项目档案!$A$6:$A$255,0)),"")="",N(IFERROR(INDEX(单位档案!$D$6:$D$35,MATCH($E1426,单位档案!$A$6:$A$35,0)),"")),IFERROR(INDEX(项目档案!$E$6:$E$255,MATCH($C1426,项目档案!$A$6:$A$255,0)),"")),IF($N1426="二级",IF(IFERROR(INDEX(项目档案!$G$6:$G$255,MATCH($C1426,项目档案!$A$6:$A$255,0)),"")="",N(IFERROR(INDEX(单位档案!$D$6:$D$35,MATCH($E1426,单位档案!$A$6:$A$35,0)),"")),IFERROR(INDEX(项目档案!$G$6:$G$255,MATCH($C1426,项目档案!$A$6:$A$255,0)),"")),N(IFERROR(INDEX(单位档案!$D$6:$D$35,MATCH($E1426,单位档案!$A$6:$A$35,0)),"")))))</f>
        <v/>
      </c>
      <c r="J1426" s="22"/>
      <c r="K1426" s="22"/>
      <c r="L1426" s="33" t="str">
        <f aca="false">IF($B1426="","",IF(NOT(ISNUMBER($B1426)),"日期格式不对",IF($C1426="","未选项目编号",IF(LEFT($M1426,1)="⚠","项目编号不存在",IF($D1426="","未选业务类型",IF($E1426="","未选开票/付款方",IF(ISNA(MATCH($E1426,单位档案!$A$6:$A$35,0)),"开票方不在单位档案",IF($F1426="","未选收票/收款方",IF(ISNA(MATCH($F1426,单位档案!$A$6:$A$35,0)),"收款方不在单位档案",IF(NOT(ISNUMBER($H1426)),"金额须为数字",IF(AND($D1426="销项开票",$N1426="—"),"链条待确认","√")))))))))))</f>
        <v/>
      </c>
      <c r="M1426" s="34" t="str">
        <f aca="false">IF($C1426="","",IFERROR(INDEX(项目档案!$B$6:$B$255,MATCH($C1426,项目档案!$A$6:$A$255,0)),"⚠项目编号不存在"))</f>
        <v/>
      </c>
      <c r="N1426" s="35" t="str">
        <f aca="false">IF($E1426="","",IF($E1426=IFERROR(INDEX(项目档案!$D$6:$D$255,MATCH($C1426,项目档案!$A$6:$A$255,0)),""),"一级",IF($E1426=IFERROR(INDEX(项目档案!$F$6:$F$255,MATCH($C1426,项目档案!$A$6:$A$255,0)),""),"二级",IF($E1426=IFERROR(INDEX(项目档案!$H$6:$H$255,MATCH($C1426,项目档案!$A$6:$A$255,0)),""),"我方","—"))))</f>
        <v/>
      </c>
      <c r="O1426" s="36" t="n">
        <f aca="false">IF($D1426&lt;&gt;"销项开票",0,ROUND(N($H1426)*N($I1426),2))</f>
        <v>0</v>
      </c>
      <c r="P1426" s="36" t="n">
        <f aca="false">IF($D1426&lt;&gt;"销项开票",0,ROUND(N($H1426)-$O1426,2))</f>
        <v>0</v>
      </c>
      <c r="Q1426" s="37" t="str">
        <f aca="false">IF($E1426="","",N(IFERROR(INDEX(单位档案!$E$6:$E$35,MATCH($E1426,单位档案!$A$6:$A$35,0)),"")))</f>
        <v/>
      </c>
      <c r="R1426" s="37" t="str">
        <f aca="false">IF($E1426="","",N(IFERROR(INDEX(单位档案!$F$6:$F$35,MATCH($E1426,单位档案!$A$6:$A$35,0)),"")))</f>
        <v/>
      </c>
      <c r="S1426" s="36" t="n">
        <f aca="false">IF(OR($D1426&lt;&gt;"销项开票",IFERROR(INDEX(单位档案!$G$6:$G$35,MATCH($E1426,单位档案!$A$6:$A$35,0)),"")&lt;&gt;"是",N($Q1426)=0),0,IF(IFERROR(INDEX(单位档案!$H$6:$H$35,MATCH($E1426,单位档案!$A$6:$A$35,0)),"")="税差法",ROUND(N($H1426)/(1+$Q1426)*$Q1426-IF(N($R1426)=0,0,$P1426/(1+$R1426)*$R1426),2),ROUND(N($H1426)/(1+$Q1426)*$Q1426,2)))</f>
        <v>0</v>
      </c>
      <c r="T1426" s="36" t="n">
        <f aca="false">ROUND($S1426*N(IFERROR(INDEX(单位档案!$J$6:$J$35,MATCH($E1426,单位档案!$A$6:$A$35,0)),"")),2)</f>
        <v>0</v>
      </c>
      <c r="U1426" s="36" t="n">
        <f aca="false">IF($D1426&lt;&gt;"销项开票",0,ROUND(N($H1426)*N(IFERROR(INDEX(单位档案!$K$6:$K$35,MATCH($E1426,单位档案!$A$6:$A$35,0)),"")),2))</f>
        <v>0</v>
      </c>
      <c r="V1426" s="36" t="n">
        <f aca="false">IF(OR($D1426&lt;&gt;"销项开票",N($Q1426)=0),0,ROUND(N($H1426)/(1+$Q1426)*N(IFERROR(INDEX(单位档案!$L$6:$L$35,MATCH($E1426,单位档案!$A$6:$A$35,0)),"")),2))</f>
        <v>0</v>
      </c>
      <c r="W1426" s="36" t="n">
        <f aca="false">ROUND($S1426+$T1426+$U1426+$V1426,2)</f>
        <v>0</v>
      </c>
      <c r="X1426" s="35" t="str">
        <f aca="false">IF(OR($D1426="挂靠代收",$D1426="我方收款"),COUNTIFS($D$5:$D1426,"挂靠代收")+COUNTIFS($D$5:$D1426,"我方收款"),"")</f>
        <v/>
      </c>
      <c r="Y1426" s="35"/>
      <c r="Z1426" s="21" t="s">
        <v>111</v>
      </c>
    </row>
    <row r="1427" customFormat="false" ht="15.75" hidden="false" customHeight="true" outlineLevel="0" collapsed="false">
      <c r="A1427" s="32" t="str">
        <f aca="false">IF($B1427="","",ROW()-4)</f>
        <v/>
      </c>
      <c r="B1427" s="26"/>
      <c r="C1427" s="24"/>
      <c r="D1427" s="21"/>
      <c r="E1427" s="21"/>
      <c r="F1427" s="21"/>
      <c r="G1427" s="21"/>
      <c r="H1427" s="27"/>
      <c r="I1427" s="23" t="str">
        <f aca="false">IF($D1427&lt;&gt;"销项开票","",IF($N1427="一级",IF(IFERROR(INDEX(项目档案!$E$6:$E$255,MATCH($C1427,项目档案!$A$6:$A$255,0)),"")="",N(IFERROR(INDEX(单位档案!$D$6:$D$35,MATCH($E1427,单位档案!$A$6:$A$35,0)),"")),IFERROR(INDEX(项目档案!$E$6:$E$255,MATCH($C1427,项目档案!$A$6:$A$255,0)),"")),IF($N1427="二级",IF(IFERROR(INDEX(项目档案!$G$6:$G$255,MATCH($C1427,项目档案!$A$6:$A$255,0)),"")="",N(IFERROR(INDEX(单位档案!$D$6:$D$35,MATCH($E1427,单位档案!$A$6:$A$35,0)),"")),IFERROR(INDEX(项目档案!$G$6:$G$255,MATCH($C1427,项目档案!$A$6:$A$255,0)),"")),N(IFERROR(INDEX(单位档案!$D$6:$D$35,MATCH($E1427,单位档案!$A$6:$A$35,0)),"")))))</f>
        <v/>
      </c>
      <c r="J1427" s="22"/>
      <c r="K1427" s="22"/>
      <c r="L1427" s="33" t="str">
        <f aca="false">IF($B1427="","",IF(NOT(ISNUMBER($B1427)),"日期格式不对",IF($C1427="","未选项目编号",IF(LEFT($M1427,1)="⚠","项目编号不存在",IF($D1427="","未选业务类型",IF($E1427="","未选开票/付款方",IF(ISNA(MATCH($E1427,单位档案!$A$6:$A$35,0)),"开票方不在单位档案",IF($F1427="","未选收票/收款方",IF(ISNA(MATCH($F1427,单位档案!$A$6:$A$35,0)),"收款方不在单位档案",IF(NOT(ISNUMBER($H1427)),"金额须为数字",IF(AND($D1427="销项开票",$N1427="—"),"链条待确认","√")))))))))))</f>
        <v/>
      </c>
      <c r="M1427" s="34" t="str">
        <f aca="false">IF($C1427="","",IFERROR(INDEX(项目档案!$B$6:$B$255,MATCH($C1427,项目档案!$A$6:$A$255,0)),"⚠项目编号不存在"))</f>
        <v/>
      </c>
      <c r="N1427" s="35" t="str">
        <f aca="false">IF($E1427="","",IF($E1427=IFERROR(INDEX(项目档案!$D$6:$D$255,MATCH($C1427,项目档案!$A$6:$A$255,0)),""),"一级",IF($E1427=IFERROR(INDEX(项目档案!$F$6:$F$255,MATCH($C1427,项目档案!$A$6:$A$255,0)),""),"二级",IF($E1427=IFERROR(INDEX(项目档案!$H$6:$H$255,MATCH($C1427,项目档案!$A$6:$A$255,0)),""),"我方","—"))))</f>
        <v/>
      </c>
      <c r="O1427" s="36" t="n">
        <f aca="false">IF($D1427&lt;&gt;"销项开票",0,ROUND(N($H1427)*N($I1427),2))</f>
        <v>0</v>
      </c>
      <c r="P1427" s="36" t="n">
        <f aca="false">IF($D1427&lt;&gt;"销项开票",0,ROUND(N($H1427)-$O1427,2))</f>
        <v>0</v>
      </c>
      <c r="Q1427" s="37" t="str">
        <f aca="false">IF($E1427="","",N(IFERROR(INDEX(单位档案!$E$6:$E$35,MATCH($E1427,单位档案!$A$6:$A$35,0)),"")))</f>
        <v/>
      </c>
      <c r="R1427" s="37" t="str">
        <f aca="false">IF($E1427="","",N(IFERROR(INDEX(单位档案!$F$6:$F$35,MATCH($E1427,单位档案!$A$6:$A$35,0)),"")))</f>
        <v/>
      </c>
      <c r="S1427" s="36" t="n">
        <f aca="false">IF(OR($D1427&lt;&gt;"销项开票",IFERROR(INDEX(单位档案!$G$6:$G$35,MATCH($E1427,单位档案!$A$6:$A$35,0)),"")&lt;&gt;"是",N($Q1427)=0),0,IF(IFERROR(INDEX(单位档案!$H$6:$H$35,MATCH($E1427,单位档案!$A$6:$A$35,0)),"")="税差法",ROUND(N($H1427)/(1+$Q1427)*$Q1427-IF(N($R1427)=0,0,$P1427/(1+$R1427)*$R1427),2),ROUND(N($H1427)/(1+$Q1427)*$Q1427,2)))</f>
        <v>0</v>
      </c>
      <c r="T1427" s="36" t="n">
        <f aca="false">ROUND($S1427*N(IFERROR(INDEX(单位档案!$J$6:$J$35,MATCH($E1427,单位档案!$A$6:$A$35,0)),"")),2)</f>
        <v>0</v>
      </c>
      <c r="U1427" s="36" t="n">
        <f aca="false">IF($D1427&lt;&gt;"销项开票",0,ROUND(N($H1427)*N(IFERROR(INDEX(单位档案!$K$6:$K$35,MATCH($E1427,单位档案!$A$6:$A$35,0)),"")),2))</f>
        <v>0</v>
      </c>
      <c r="V1427" s="36" t="n">
        <f aca="false">IF(OR($D1427&lt;&gt;"销项开票",N($Q1427)=0),0,ROUND(N($H1427)/(1+$Q1427)*N(IFERROR(INDEX(单位档案!$L$6:$L$35,MATCH($E1427,单位档案!$A$6:$A$35,0)),"")),2))</f>
        <v>0</v>
      </c>
      <c r="W1427" s="36" t="n">
        <f aca="false">ROUND($S1427+$T1427+$U1427+$V1427,2)</f>
        <v>0</v>
      </c>
      <c r="X1427" s="35" t="str">
        <f aca="false">IF(OR($D1427="挂靠代收",$D1427="我方收款"),COUNTIFS($D$5:$D1427,"挂靠代收")+COUNTIFS($D$5:$D1427,"我方收款"),"")</f>
        <v/>
      </c>
      <c r="Y1427" s="35"/>
      <c r="Z1427" s="21" t="s">
        <v>111</v>
      </c>
    </row>
    <row r="1428" customFormat="false" ht="15.75" hidden="false" customHeight="true" outlineLevel="0" collapsed="false">
      <c r="A1428" s="32" t="str">
        <f aca="false">IF($B1428="","",ROW()-4)</f>
        <v/>
      </c>
      <c r="B1428" s="26"/>
      <c r="C1428" s="24"/>
      <c r="D1428" s="21"/>
      <c r="E1428" s="21"/>
      <c r="F1428" s="21"/>
      <c r="G1428" s="21"/>
      <c r="H1428" s="27"/>
      <c r="I1428" s="23" t="str">
        <f aca="false">IF($D1428&lt;&gt;"销项开票","",IF($N1428="一级",IF(IFERROR(INDEX(项目档案!$E$6:$E$255,MATCH($C1428,项目档案!$A$6:$A$255,0)),"")="",N(IFERROR(INDEX(单位档案!$D$6:$D$35,MATCH($E1428,单位档案!$A$6:$A$35,0)),"")),IFERROR(INDEX(项目档案!$E$6:$E$255,MATCH($C1428,项目档案!$A$6:$A$255,0)),"")),IF($N1428="二级",IF(IFERROR(INDEX(项目档案!$G$6:$G$255,MATCH($C1428,项目档案!$A$6:$A$255,0)),"")="",N(IFERROR(INDEX(单位档案!$D$6:$D$35,MATCH($E1428,单位档案!$A$6:$A$35,0)),"")),IFERROR(INDEX(项目档案!$G$6:$G$255,MATCH($C1428,项目档案!$A$6:$A$255,0)),"")),N(IFERROR(INDEX(单位档案!$D$6:$D$35,MATCH($E1428,单位档案!$A$6:$A$35,0)),"")))))</f>
        <v/>
      </c>
      <c r="J1428" s="22"/>
      <c r="K1428" s="22"/>
      <c r="L1428" s="33" t="str">
        <f aca="false">IF($B1428="","",IF(NOT(ISNUMBER($B1428)),"日期格式不对",IF($C1428="","未选项目编号",IF(LEFT($M1428,1)="⚠","项目编号不存在",IF($D1428="","未选业务类型",IF($E1428="","未选开票/付款方",IF(ISNA(MATCH($E1428,单位档案!$A$6:$A$35,0)),"开票方不在单位档案",IF($F1428="","未选收票/收款方",IF(ISNA(MATCH($F1428,单位档案!$A$6:$A$35,0)),"收款方不在单位档案",IF(NOT(ISNUMBER($H1428)),"金额须为数字",IF(AND($D1428="销项开票",$N1428="—"),"链条待确认","√")))))))))))</f>
        <v/>
      </c>
      <c r="M1428" s="34" t="str">
        <f aca="false">IF($C1428="","",IFERROR(INDEX(项目档案!$B$6:$B$255,MATCH($C1428,项目档案!$A$6:$A$255,0)),"⚠项目编号不存在"))</f>
        <v/>
      </c>
      <c r="N1428" s="35" t="str">
        <f aca="false">IF($E1428="","",IF($E1428=IFERROR(INDEX(项目档案!$D$6:$D$255,MATCH($C1428,项目档案!$A$6:$A$255,0)),""),"一级",IF($E1428=IFERROR(INDEX(项目档案!$F$6:$F$255,MATCH($C1428,项目档案!$A$6:$A$255,0)),""),"二级",IF($E1428=IFERROR(INDEX(项目档案!$H$6:$H$255,MATCH($C1428,项目档案!$A$6:$A$255,0)),""),"我方","—"))))</f>
        <v/>
      </c>
      <c r="O1428" s="36" t="n">
        <f aca="false">IF($D1428&lt;&gt;"销项开票",0,ROUND(N($H1428)*N($I1428),2))</f>
        <v>0</v>
      </c>
      <c r="P1428" s="36" t="n">
        <f aca="false">IF($D1428&lt;&gt;"销项开票",0,ROUND(N($H1428)-$O1428,2))</f>
        <v>0</v>
      </c>
      <c r="Q1428" s="37" t="str">
        <f aca="false">IF($E1428="","",N(IFERROR(INDEX(单位档案!$E$6:$E$35,MATCH($E1428,单位档案!$A$6:$A$35,0)),"")))</f>
        <v/>
      </c>
      <c r="R1428" s="37" t="str">
        <f aca="false">IF($E1428="","",N(IFERROR(INDEX(单位档案!$F$6:$F$35,MATCH($E1428,单位档案!$A$6:$A$35,0)),"")))</f>
        <v/>
      </c>
      <c r="S1428" s="36" t="n">
        <f aca="false">IF(OR($D1428&lt;&gt;"销项开票",IFERROR(INDEX(单位档案!$G$6:$G$35,MATCH($E1428,单位档案!$A$6:$A$35,0)),"")&lt;&gt;"是",N($Q1428)=0),0,IF(IFERROR(INDEX(单位档案!$H$6:$H$35,MATCH($E1428,单位档案!$A$6:$A$35,0)),"")="税差法",ROUND(N($H1428)/(1+$Q1428)*$Q1428-IF(N($R1428)=0,0,$P1428/(1+$R1428)*$R1428),2),ROUND(N($H1428)/(1+$Q1428)*$Q1428,2)))</f>
        <v>0</v>
      </c>
      <c r="T1428" s="36" t="n">
        <f aca="false">ROUND($S1428*N(IFERROR(INDEX(单位档案!$J$6:$J$35,MATCH($E1428,单位档案!$A$6:$A$35,0)),"")),2)</f>
        <v>0</v>
      </c>
      <c r="U1428" s="36" t="n">
        <f aca="false">IF($D1428&lt;&gt;"销项开票",0,ROUND(N($H1428)*N(IFERROR(INDEX(单位档案!$K$6:$K$35,MATCH($E1428,单位档案!$A$6:$A$35,0)),"")),2))</f>
        <v>0</v>
      </c>
      <c r="V1428" s="36" t="n">
        <f aca="false">IF(OR($D1428&lt;&gt;"销项开票",N($Q1428)=0),0,ROUND(N($H1428)/(1+$Q1428)*N(IFERROR(INDEX(单位档案!$L$6:$L$35,MATCH($E1428,单位档案!$A$6:$A$35,0)),"")),2))</f>
        <v>0</v>
      </c>
      <c r="W1428" s="36" t="n">
        <f aca="false">ROUND($S1428+$T1428+$U1428+$V1428,2)</f>
        <v>0</v>
      </c>
      <c r="X1428" s="35" t="str">
        <f aca="false">IF(OR($D1428="挂靠代收",$D1428="我方收款"),COUNTIFS($D$5:$D1428,"挂靠代收")+COUNTIFS($D$5:$D1428,"我方收款"),"")</f>
        <v/>
      </c>
      <c r="Y1428" s="35"/>
      <c r="Z1428" s="21" t="s">
        <v>111</v>
      </c>
    </row>
    <row r="1429" customFormat="false" ht="15.75" hidden="false" customHeight="true" outlineLevel="0" collapsed="false">
      <c r="A1429" s="32" t="str">
        <f aca="false">IF($B1429="","",ROW()-4)</f>
        <v/>
      </c>
      <c r="B1429" s="26"/>
      <c r="C1429" s="24"/>
      <c r="D1429" s="21"/>
      <c r="E1429" s="21"/>
      <c r="F1429" s="21"/>
      <c r="G1429" s="21"/>
      <c r="H1429" s="27"/>
      <c r="I1429" s="23" t="str">
        <f aca="false">IF($D1429&lt;&gt;"销项开票","",IF($N1429="一级",IF(IFERROR(INDEX(项目档案!$E$6:$E$255,MATCH($C1429,项目档案!$A$6:$A$255,0)),"")="",N(IFERROR(INDEX(单位档案!$D$6:$D$35,MATCH($E1429,单位档案!$A$6:$A$35,0)),"")),IFERROR(INDEX(项目档案!$E$6:$E$255,MATCH($C1429,项目档案!$A$6:$A$255,0)),"")),IF($N1429="二级",IF(IFERROR(INDEX(项目档案!$G$6:$G$255,MATCH($C1429,项目档案!$A$6:$A$255,0)),"")="",N(IFERROR(INDEX(单位档案!$D$6:$D$35,MATCH($E1429,单位档案!$A$6:$A$35,0)),"")),IFERROR(INDEX(项目档案!$G$6:$G$255,MATCH($C1429,项目档案!$A$6:$A$255,0)),"")),N(IFERROR(INDEX(单位档案!$D$6:$D$35,MATCH($E1429,单位档案!$A$6:$A$35,0)),"")))))</f>
        <v/>
      </c>
      <c r="J1429" s="22"/>
      <c r="K1429" s="22"/>
      <c r="L1429" s="33" t="str">
        <f aca="false">IF($B1429="","",IF(NOT(ISNUMBER($B1429)),"日期格式不对",IF($C1429="","未选项目编号",IF(LEFT($M1429,1)="⚠","项目编号不存在",IF($D1429="","未选业务类型",IF($E1429="","未选开票/付款方",IF(ISNA(MATCH($E1429,单位档案!$A$6:$A$35,0)),"开票方不在单位档案",IF($F1429="","未选收票/收款方",IF(ISNA(MATCH($F1429,单位档案!$A$6:$A$35,0)),"收款方不在单位档案",IF(NOT(ISNUMBER($H1429)),"金额须为数字",IF(AND($D1429="销项开票",$N1429="—"),"链条待确认","√")))))))))))</f>
        <v/>
      </c>
      <c r="M1429" s="34" t="str">
        <f aca="false">IF($C1429="","",IFERROR(INDEX(项目档案!$B$6:$B$255,MATCH($C1429,项目档案!$A$6:$A$255,0)),"⚠项目编号不存在"))</f>
        <v/>
      </c>
      <c r="N1429" s="35" t="str">
        <f aca="false">IF($E1429="","",IF($E1429=IFERROR(INDEX(项目档案!$D$6:$D$255,MATCH($C1429,项目档案!$A$6:$A$255,0)),""),"一级",IF($E1429=IFERROR(INDEX(项目档案!$F$6:$F$255,MATCH($C1429,项目档案!$A$6:$A$255,0)),""),"二级",IF($E1429=IFERROR(INDEX(项目档案!$H$6:$H$255,MATCH($C1429,项目档案!$A$6:$A$255,0)),""),"我方","—"))))</f>
        <v/>
      </c>
      <c r="O1429" s="36" t="n">
        <f aca="false">IF($D1429&lt;&gt;"销项开票",0,ROUND(N($H1429)*N($I1429),2))</f>
        <v>0</v>
      </c>
      <c r="P1429" s="36" t="n">
        <f aca="false">IF($D1429&lt;&gt;"销项开票",0,ROUND(N($H1429)-$O1429,2))</f>
        <v>0</v>
      </c>
      <c r="Q1429" s="37" t="str">
        <f aca="false">IF($E1429="","",N(IFERROR(INDEX(单位档案!$E$6:$E$35,MATCH($E1429,单位档案!$A$6:$A$35,0)),"")))</f>
        <v/>
      </c>
      <c r="R1429" s="37" t="str">
        <f aca="false">IF($E1429="","",N(IFERROR(INDEX(单位档案!$F$6:$F$35,MATCH($E1429,单位档案!$A$6:$A$35,0)),"")))</f>
        <v/>
      </c>
      <c r="S1429" s="36" t="n">
        <f aca="false">IF(OR($D1429&lt;&gt;"销项开票",IFERROR(INDEX(单位档案!$G$6:$G$35,MATCH($E1429,单位档案!$A$6:$A$35,0)),"")&lt;&gt;"是",N($Q1429)=0),0,IF(IFERROR(INDEX(单位档案!$H$6:$H$35,MATCH($E1429,单位档案!$A$6:$A$35,0)),"")="税差法",ROUND(N($H1429)/(1+$Q1429)*$Q1429-IF(N($R1429)=0,0,$P1429/(1+$R1429)*$R1429),2),ROUND(N($H1429)/(1+$Q1429)*$Q1429,2)))</f>
        <v>0</v>
      </c>
      <c r="T1429" s="36" t="n">
        <f aca="false">ROUND($S1429*N(IFERROR(INDEX(单位档案!$J$6:$J$35,MATCH($E1429,单位档案!$A$6:$A$35,0)),"")),2)</f>
        <v>0</v>
      </c>
      <c r="U1429" s="36" t="n">
        <f aca="false">IF($D1429&lt;&gt;"销项开票",0,ROUND(N($H1429)*N(IFERROR(INDEX(单位档案!$K$6:$K$35,MATCH($E1429,单位档案!$A$6:$A$35,0)),"")),2))</f>
        <v>0</v>
      </c>
      <c r="V1429" s="36" t="n">
        <f aca="false">IF(OR($D1429&lt;&gt;"销项开票",N($Q1429)=0),0,ROUND(N($H1429)/(1+$Q1429)*N(IFERROR(INDEX(单位档案!$L$6:$L$35,MATCH($E1429,单位档案!$A$6:$A$35,0)),"")),2))</f>
        <v>0</v>
      </c>
      <c r="W1429" s="36" t="n">
        <f aca="false">ROUND($S1429+$T1429+$U1429+$V1429,2)</f>
        <v>0</v>
      </c>
      <c r="X1429" s="35" t="str">
        <f aca="false">IF(OR($D1429="挂靠代收",$D1429="我方收款"),COUNTIFS($D$5:$D1429,"挂靠代收")+COUNTIFS($D$5:$D1429,"我方收款"),"")</f>
        <v/>
      </c>
      <c r="Y1429" s="35"/>
      <c r="Z1429" s="21" t="s">
        <v>111</v>
      </c>
    </row>
    <row r="1430" customFormat="false" ht="15.75" hidden="false" customHeight="true" outlineLevel="0" collapsed="false">
      <c r="A1430" s="32" t="str">
        <f aca="false">IF($B1430="","",ROW()-4)</f>
        <v/>
      </c>
      <c r="B1430" s="26"/>
      <c r="C1430" s="24"/>
      <c r="D1430" s="21"/>
      <c r="E1430" s="21"/>
      <c r="F1430" s="21"/>
      <c r="G1430" s="21"/>
      <c r="H1430" s="27"/>
      <c r="I1430" s="23" t="str">
        <f aca="false">IF($D1430&lt;&gt;"销项开票","",IF($N1430="一级",IF(IFERROR(INDEX(项目档案!$E$6:$E$255,MATCH($C1430,项目档案!$A$6:$A$255,0)),"")="",N(IFERROR(INDEX(单位档案!$D$6:$D$35,MATCH($E1430,单位档案!$A$6:$A$35,0)),"")),IFERROR(INDEX(项目档案!$E$6:$E$255,MATCH($C1430,项目档案!$A$6:$A$255,0)),"")),IF($N1430="二级",IF(IFERROR(INDEX(项目档案!$G$6:$G$255,MATCH($C1430,项目档案!$A$6:$A$255,0)),"")="",N(IFERROR(INDEX(单位档案!$D$6:$D$35,MATCH($E1430,单位档案!$A$6:$A$35,0)),"")),IFERROR(INDEX(项目档案!$G$6:$G$255,MATCH($C1430,项目档案!$A$6:$A$255,0)),"")),N(IFERROR(INDEX(单位档案!$D$6:$D$35,MATCH($E1430,单位档案!$A$6:$A$35,0)),"")))))</f>
        <v/>
      </c>
      <c r="J1430" s="22"/>
      <c r="K1430" s="22"/>
      <c r="L1430" s="33" t="str">
        <f aca="false">IF($B1430="","",IF(NOT(ISNUMBER($B1430)),"日期格式不对",IF($C1430="","未选项目编号",IF(LEFT($M1430,1)="⚠","项目编号不存在",IF($D1430="","未选业务类型",IF($E1430="","未选开票/付款方",IF(ISNA(MATCH($E1430,单位档案!$A$6:$A$35,0)),"开票方不在单位档案",IF($F1430="","未选收票/收款方",IF(ISNA(MATCH($F1430,单位档案!$A$6:$A$35,0)),"收款方不在单位档案",IF(NOT(ISNUMBER($H1430)),"金额须为数字",IF(AND($D1430="销项开票",$N1430="—"),"链条待确认","√")))))))))))</f>
        <v/>
      </c>
      <c r="M1430" s="34" t="str">
        <f aca="false">IF($C1430="","",IFERROR(INDEX(项目档案!$B$6:$B$255,MATCH($C1430,项目档案!$A$6:$A$255,0)),"⚠项目编号不存在"))</f>
        <v/>
      </c>
      <c r="N1430" s="35" t="str">
        <f aca="false">IF($E1430="","",IF($E1430=IFERROR(INDEX(项目档案!$D$6:$D$255,MATCH($C1430,项目档案!$A$6:$A$255,0)),""),"一级",IF($E1430=IFERROR(INDEX(项目档案!$F$6:$F$255,MATCH($C1430,项目档案!$A$6:$A$255,0)),""),"二级",IF($E1430=IFERROR(INDEX(项目档案!$H$6:$H$255,MATCH($C1430,项目档案!$A$6:$A$255,0)),""),"我方","—"))))</f>
        <v/>
      </c>
      <c r="O1430" s="36" t="n">
        <f aca="false">IF($D1430&lt;&gt;"销项开票",0,ROUND(N($H1430)*N($I1430),2))</f>
        <v>0</v>
      </c>
      <c r="P1430" s="36" t="n">
        <f aca="false">IF($D1430&lt;&gt;"销项开票",0,ROUND(N($H1430)-$O1430,2))</f>
        <v>0</v>
      </c>
      <c r="Q1430" s="37" t="str">
        <f aca="false">IF($E1430="","",N(IFERROR(INDEX(单位档案!$E$6:$E$35,MATCH($E1430,单位档案!$A$6:$A$35,0)),"")))</f>
        <v/>
      </c>
      <c r="R1430" s="37" t="str">
        <f aca="false">IF($E1430="","",N(IFERROR(INDEX(单位档案!$F$6:$F$35,MATCH($E1430,单位档案!$A$6:$A$35,0)),"")))</f>
        <v/>
      </c>
      <c r="S1430" s="36" t="n">
        <f aca="false">IF(OR($D1430&lt;&gt;"销项开票",IFERROR(INDEX(单位档案!$G$6:$G$35,MATCH($E1430,单位档案!$A$6:$A$35,0)),"")&lt;&gt;"是",N($Q1430)=0),0,IF(IFERROR(INDEX(单位档案!$H$6:$H$35,MATCH($E1430,单位档案!$A$6:$A$35,0)),"")="税差法",ROUND(N($H1430)/(1+$Q1430)*$Q1430-IF(N($R1430)=0,0,$P1430/(1+$R1430)*$R1430),2),ROUND(N($H1430)/(1+$Q1430)*$Q1430,2)))</f>
        <v>0</v>
      </c>
      <c r="T1430" s="36" t="n">
        <f aca="false">ROUND($S1430*N(IFERROR(INDEX(单位档案!$J$6:$J$35,MATCH($E1430,单位档案!$A$6:$A$35,0)),"")),2)</f>
        <v>0</v>
      </c>
      <c r="U1430" s="36" t="n">
        <f aca="false">IF($D1430&lt;&gt;"销项开票",0,ROUND(N($H1430)*N(IFERROR(INDEX(单位档案!$K$6:$K$35,MATCH($E1430,单位档案!$A$6:$A$35,0)),"")),2))</f>
        <v>0</v>
      </c>
      <c r="V1430" s="36" t="n">
        <f aca="false">IF(OR($D1430&lt;&gt;"销项开票",N($Q1430)=0),0,ROUND(N($H1430)/(1+$Q1430)*N(IFERROR(INDEX(单位档案!$L$6:$L$35,MATCH($E1430,单位档案!$A$6:$A$35,0)),"")),2))</f>
        <v>0</v>
      </c>
      <c r="W1430" s="36" t="n">
        <f aca="false">ROUND($S1430+$T1430+$U1430+$V1430,2)</f>
        <v>0</v>
      </c>
      <c r="X1430" s="35" t="str">
        <f aca="false">IF(OR($D1430="挂靠代收",$D1430="我方收款"),COUNTIFS($D$5:$D1430,"挂靠代收")+COUNTIFS($D$5:$D1430,"我方收款"),"")</f>
        <v/>
      </c>
      <c r="Y1430" s="35"/>
      <c r="Z1430" s="21" t="s">
        <v>111</v>
      </c>
    </row>
    <row r="1431" customFormat="false" ht="15.75" hidden="false" customHeight="true" outlineLevel="0" collapsed="false">
      <c r="A1431" s="32" t="str">
        <f aca="false">IF($B1431="","",ROW()-4)</f>
        <v/>
      </c>
      <c r="B1431" s="26"/>
      <c r="C1431" s="24"/>
      <c r="D1431" s="21"/>
      <c r="E1431" s="21"/>
      <c r="F1431" s="21"/>
      <c r="G1431" s="21"/>
      <c r="H1431" s="27"/>
      <c r="I1431" s="23" t="str">
        <f aca="false">IF($D1431&lt;&gt;"销项开票","",IF($N1431="一级",IF(IFERROR(INDEX(项目档案!$E$6:$E$255,MATCH($C1431,项目档案!$A$6:$A$255,0)),"")="",N(IFERROR(INDEX(单位档案!$D$6:$D$35,MATCH($E1431,单位档案!$A$6:$A$35,0)),"")),IFERROR(INDEX(项目档案!$E$6:$E$255,MATCH($C1431,项目档案!$A$6:$A$255,0)),"")),IF($N1431="二级",IF(IFERROR(INDEX(项目档案!$G$6:$G$255,MATCH($C1431,项目档案!$A$6:$A$255,0)),"")="",N(IFERROR(INDEX(单位档案!$D$6:$D$35,MATCH($E1431,单位档案!$A$6:$A$35,0)),"")),IFERROR(INDEX(项目档案!$G$6:$G$255,MATCH($C1431,项目档案!$A$6:$A$255,0)),"")),N(IFERROR(INDEX(单位档案!$D$6:$D$35,MATCH($E1431,单位档案!$A$6:$A$35,0)),"")))))</f>
        <v/>
      </c>
      <c r="J1431" s="22"/>
      <c r="K1431" s="22"/>
      <c r="L1431" s="33" t="str">
        <f aca="false">IF($B1431="","",IF(NOT(ISNUMBER($B1431)),"日期格式不对",IF($C1431="","未选项目编号",IF(LEFT($M1431,1)="⚠","项目编号不存在",IF($D1431="","未选业务类型",IF($E1431="","未选开票/付款方",IF(ISNA(MATCH($E1431,单位档案!$A$6:$A$35,0)),"开票方不在单位档案",IF($F1431="","未选收票/收款方",IF(ISNA(MATCH($F1431,单位档案!$A$6:$A$35,0)),"收款方不在单位档案",IF(NOT(ISNUMBER($H1431)),"金额须为数字",IF(AND($D1431="销项开票",$N1431="—"),"链条待确认","√")))))))))))</f>
        <v/>
      </c>
      <c r="M1431" s="34" t="str">
        <f aca="false">IF($C1431="","",IFERROR(INDEX(项目档案!$B$6:$B$255,MATCH($C1431,项目档案!$A$6:$A$255,0)),"⚠项目编号不存在"))</f>
        <v/>
      </c>
      <c r="N1431" s="35" t="str">
        <f aca="false">IF($E1431="","",IF($E1431=IFERROR(INDEX(项目档案!$D$6:$D$255,MATCH($C1431,项目档案!$A$6:$A$255,0)),""),"一级",IF($E1431=IFERROR(INDEX(项目档案!$F$6:$F$255,MATCH($C1431,项目档案!$A$6:$A$255,0)),""),"二级",IF($E1431=IFERROR(INDEX(项目档案!$H$6:$H$255,MATCH($C1431,项目档案!$A$6:$A$255,0)),""),"我方","—"))))</f>
        <v/>
      </c>
      <c r="O1431" s="36" t="n">
        <f aca="false">IF($D1431&lt;&gt;"销项开票",0,ROUND(N($H1431)*N($I1431),2))</f>
        <v>0</v>
      </c>
      <c r="P1431" s="36" t="n">
        <f aca="false">IF($D1431&lt;&gt;"销项开票",0,ROUND(N($H1431)-$O1431,2))</f>
        <v>0</v>
      </c>
      <c r="Q1431" s="37" t="str">
        <f aca="false">IF($E1431="","",N(IFERROR(INDEX(单位档案!$E$6:$E$35,MATCH($E1431,单位档案!$A$6:$A$35,0)),"")))</f>
        <v/>
      </c>
      <c r="R1431" s="37" t="str">
        <f aca="false">IF($E1431="","",N(IFERROR(INDEX(单位档案!$F$6:$F$35,MATCH($E1431,单位档案!$A$6:$A$35,0)),"")))</f>
        <v/>
      </c>
      <c r="S1431" s="36" t="n">
        <f aca="false">IF(OR($D1431&lt;&gt;"销项开票",IFERROR(INDEX(单位档案!$G$6:$G$35,MATCH($E1431,单位档案!$A$6:$A$35,0)),"")&lt;&gt;"是",N($Q1431)=0),0,IF(IFERROR(INDEX(单位档案!$H$6:$H$35,MATCH($E1431,单位档案!$A$6:$A$35,0)),"")="税差法",ROUND(N($H1431)/(1+$Q1431)*$Q1431-IF(N($R1431)=0,0,$P1431/(1+$R1431)*$R1431),2),ROUND(N($H1431)/(1+$Q1431)*$Q1431,2)))</f>
        <v>0</v>
      </c>
      <c r="T1431" s="36" t="n">
        <f aca="false">ROUND($S1431*N(IFERROR(INDEX(单位档案!$J$6:$J$35,MATCH($E1431,单位档案!$A$6:$A$35,0)),"")),2)</f>
        <v>0</v>
      </c>
      <c r="U1431" s="36" t="n">
        <f aca="false">IF($D1431&lt;&gt;"销项开票",0,ROUND(N($H1431)*N(IFERROR(INDEX(单位档案!$K$6:$K$35,MATCH($E1431,单位档案!$A$6:$A$35,0)),"")),2))</f>
        <v>0</v>
      </c>
      <c r="V1431" s="36" t="n">
        <f aca="false">IF(OR($D1431&lt;&gt;"销项开票",N($Q1431)=0),0,ROUND(N($H1431)/(1+$Q1431)*N(IFERROR(INDEX(单位档案!$L$6:$L$35,MATCH($E1431,单位档案!$A$6:$A$35,0)),"")),2))</f>
        <v>0</v>
      </c>
      <c r="W1431" s="36" t="n">
        <f aca="false">ROUND($S1431+$T1431+$U1431+$V1431,2)</f>
        <v>0</v>
      </c>
      <c r="X1431" s="35" t="str">
        <f aca="false">IF(OR($D1431="挂靠代收",$D1431="我方收款"),COUNTIFS($D$5:$D1431,"挂靠代收")+COUNTIFS($D$5:$D1431,"我方收款"),"")</f>
        <v/>
      </c>
      <c r="Y1431" s="35"/>
      <c r="Z1431" s="21" t="s">
        <v>111</v>
      </c>
    </row>
    <row r="1432" customFormat="false" ht="15.75" hidden="false" customHeight="true" outlineLevel="0" collapsed="false">
      <c r="A1432" s="32" t="str">
        <f aca="false">IF($B1432="","",ROW()-4)</f>
        <v/>
      </c>
      <c r="B1432" s="26"/>
      <c r="C1432" s="24"/>
      <c r="D1432" s="21"/>
      <c r="E1432" s="21"/>
      <c r="F1432" s="21"/>
      <c r="G1432" s="21"/>
      <c r="H1432" s="27"/>
      <c r="I1432" s="23" t="str">
        <f aca="false">IF($D1432&lt;&gt;"销项开票","",IF($N1432="一级",IF(IFERROR(INDEX(项目档案!$E$6:$E$255,MATCH($C1432,项目档案!$A$6:$A$255,0)),"")="",N(IFERROR(INDEX(单位档案!$D$6:$D$35,MATCH($E1432,单位档案!$A$6:$A$35,0)),"")),IFERROR(INDEX(项目档案!$E$6:$E$255,MATCH($C1432,项目档案!$A$6:$A$255,0)),"")),IF($N1432="二级",IF(IFERROR(INDEX(项目档案!$G$6:$G$255,MATCH($C1432,项目档案!$A$6:$A$255,0)),"")="",N(IFERROR(INDEX(单位档案!$D$6:$D$35,MATCH($E1432,单位档案!$A$6:$A$35,0)),"")),IFERROR(INDEX(项目档案!$G$6:$G$255,MATCH($C1432,项目档案!$A$6:$A$255,0)),"")),N(IFERROR(INDEX(单位档案!$D$6:$D$35,MATCH($E1432,单位档案!$A$6:$A$35,0)),"")))))</f>
        <v/>
      </c>
      <c r="J1432" s="22"/>
      <c r="K1432" s="22"/>
      <c r="L1432" s="33" t="str">
        <f aca="false">IF($B1432="","",IF(NOT(ISNUMBER($B1432)),"日期格式不对",IF($C1432="","未选项目编号",IF(LEFT($M1432,1)="⚠","项目编号不存在",IF($D1432="","未选业务类型",IF($E1432="","未选开票/付款方",IF(ISNA(MATCH($E1432,单位档案!$A$6:$A$35,0)),"开票方不在单位档案",IF($F1432="","未选收票/收款方",IF(ISNA(MATCH($F1432,单位档案!$A$6:$A$35,0)),"收款方不在单位档案",IF(NOT(ISNUMBER($H1432)),"金额须为数字",IF(AND($D1432="销项开票",$N1432="—"),"链条待确认","√")))))))))))</f>
        <v/>
      </c>
      <c r="M1432" s="34" t="str">
        <f aca="false">IF($C1432="","",IFERROR(INDEX(项目档案!$B$6:$B$255,MATCH($C1432,项目档案!$A$6:$A$255,0)),"⚠项目编号不存在"))</f>
        <v/>
      </c>
      <c r="N1432" s="35" t="str">
        <f aca="false">IF($E1432="","",IF($E1432=IFERROR(INDEX(项目档案!$D$6:$D$255,MATCH($C1432,项目档案!$A$6:$A$255,0)),""),"一级",IF($E1432=IFERROR(INDEX(项目档案!$F$6:$F$255,MATCH($C1432,项目档案!$A$6:$A$255,0)),""),"二级",IF($E1432=IFERROR(INDEX(项目档案!$H$6:$H$255,MATCH($C1432,项目档案!$A$6:$A$255,0)),""),"我方","—"))))</f>
        <v/>
      </c>
      <c r="O1432" s="36" t="n">
        <f aca="false">IF($D1432&lt;&gt;"销项开票",0,ROUND(N($H1432)*N($I1432),2))</f>
        <v>0</v>
      </c>
      <c r="P1432" s="36" t="n">
        <f aca="false">IF($D1432&lt;&gt;"销项开票",0,ROUND(N($H1432)-$O1432,2))</f>
        <v>0</v>
      </c>
      <c r="Q1432" s="37" t="str">
        <f aca="false">IF($E1432="","",N(IFERROR(INDEX(单位档案!$E$6:$E$35,MATCH($E1432,单位档案!$A$6:$A$35,0)),"")))</f>
        <v/>
      </c>
      <c r="R1432" s="37" t="str">
        <f aca="false">IF($E1432="","",N(IFERROR(INDEX(单位档案!$F$6:$F$35,MATCH($E1432,单位档案!$A$6:$A$35,0)),"")))</f>
        <v/>
      </c>
      <c r="S1432" s="36" t="n">
        <f aca="false">IF(OR($D1432&lt;&gt;"销项开票",IFERROR(INDEX(单位档案!$G$6:$G$35,MATCH($E1432,单位档案!$A$6:$A$35,0)),"")&lt;&gt;"是",N($Q1432)=0),0,IF(IFERROR(INDEX(单位档案!$H$6:$H$35,MATCH($E1432,单位档案!$A$6:$A$35,0)),"")="税差法",ROUND(N($H1432)/(1+$Q1432)*$Q1432-IF(N($R1432)=0,0,$P1432/(1+$R1432)*$R1432),2),ROUND(N($H1432)/(1+$Q1432)*$Q1432,2)))</f>
        <v>0</v>
      </c>
      <c r="T1432" s="36" t="n">
        <f aca="false">ROUND($S1432*N(IFERROR(INDEX(单位档案!$J$6:$J$35,MATCH($E1432,单位档案!$A$6:$A$35,0)),"")),2)</f>
        <v>0</v>
      </c>
      <c r="U1432" s="36" t="n">
        <f aca="false">IF($D1432&lt;&gt;"销项开票",0,ROUND(N($H1432)*N(IFERROR(INDEX(单位档案!$K$6:$K$35,MATCH($E1432,单位档案!$A$6:$A$35,0)),"")),2))</f>
        <v>0</v>
      </c>
      <c r="V1432" s="36" t="n">
        <f aca="false">IF(OR($D1432&lt;&gt;"销项开票",N($Q1432)=0),0,ROUND(N($H1432)/(1+$Q1432)*N(IFERROR(INDEX(单位档案!$L$6:$L$35,MATCH($E1432,单位档案!$A$6:$A$35,0)),"")),2))</f>
        <v>0</v>
      </c>
      <c r="W1432" s="36" t="n">
        <f aca="false">ROUND($S1432+$T1432+$U1432+$V1432,2)</f>
        <v>0</v>
      </c>
      <c r="X1432" s="35" t="str">
        <f aca="false">IF(OR($D1432="挂靠代收",$D1432="我方收款"),COUNTIFS($D$5:$D1432,"挂靠代收")+COUNTIFS($D$5:$D1432,"我方收款"),"")</f>
        <v/>
      </c>
      <c r="Y1432" s="35"/>
      <c r="Z1432" s="21" t="s">
        <v>111</v>
      </c>
    </row>
    <row r="1433" customFormat="false" ht="15.75" hidden="false" customHeight="true" outlineLevel="0" collapsed="false">
      <c r="A1433" s="32" t="str">
        <f aca="false">IF($B1433="","",ROW()-4)</f>
        <v/>
      </c>
      <c r="B1433" s="26"/>
      <c r="C1433" s="24"/>
      <c r="D1433" s="21"/>
      <c r="E1433" s="21"/>
      <c r="F1433" s="21"/>
      <c r="G1433" s="21"/>
      <c r="H1433" s="27"/>
      <c r="I1433" s="23" t="str">
        <f aca="false">IF($D1433&lt;&gt;"销项开票","",IF($N1433="一级",IF(IFERROR(INDEX(项目档案!$E$6:$E$255,MATCH($C1433,项目档案!$A$6:$A$255,0)),"")="",N(IFERROR(INDEX(单位档案!$D$6:$D$35,MATCH($E1433,单位档案!$A$6:$A$35,0)),"")),IFERROR(INDEX(项目档案!$E$6:$E$255,MATCH($C1433,项目档案!$A$6:$A$255,0)),"")),IF($N1433="二级",IF(IFERROR(INDEX(项目档案!$G$6:$G$255,MATCH($C1433,项目档案!$A$6:$A$255,0)),"")="",N(IFERROR(INDEX(单位档案!$D$6:$D$35,MATCH($E1433,单位档案!$A$6:$A$35,0)),"")),IFERROR(INDEX(项目档案!$G$6:$G$255,MATCH($C1433,项目档案!$A$6:$A$255,0)),"")),N(IFERROR(INDEX(单位档案!$D$6:$D$35,MATCH($E1433,单位档案!$A$6:$A$35,0)),"")))))</f>
        <v/>
      </c>
      <c r="J1433" s="22"/>
      <c r="K1433" s="22"/>
      <c r="L1433" s="33" t="str">
        <f aca="false">IF($B1433="","",IF(NOT(ISNUMBER($B1433)),"日期格式不对",IF($C1433="","未选项目编号",IF(LEFT($M1433,1)="⚠","项目编号不存在",IF($D1433="","未选业务类型",IF($E1433="","未选开票/付款方",IF(ISNA(MATCH($E1433,单位档案!$A$6:$A$35,0)),"开票方不在单位档案",IF($F1433="","未选收票/收款方",IF(ISNA(MATCH($F1433,单位档案!$A$6:$A$35,0)),"收款方不在单位档案",IF(NOT(ISNUMBER($H1433)),"金额须为数字",IF(AND($D1433="销项开票",$N1433="—"),"链条待确认","√")))))))))))</f>
        <v/>
      </c>
      <c r="M1433" s="34" t="str">
        <f aca="false">IF($C1433="","",IFERROR(INDEX(项目档案!$B$6:$B$255,MATCH($C1433,项目档案!$A$6:$A$255,0)),"⚠项目编号不存在"))</f>
        <v/>
      </c>
      <c r="N1433" s="35" t="str">
        <f aca="false">IF($E1433="","",IF($E1433=IFERROR(INDEX(项目档案!$D$6:$D$255,MATCH($C1433,项目档案!$A$6:$A$255,0)),""),"一级",IF($E1433=IFERROR(INDEX(项目档案!$F$6:$F$255,MATCH($C1433,项目档案!$A$6:$A$255,0)),""),"二级",IF($E1433=IFERROR(INDEX(项目档案!$H$6:$H$255,MATCH($C1433,项目档案!$A$6:$A$255,0)),""),"我方","—"))))</f>
        <v/>
      </c>
      <c r="O1433" s="36" t="n">
        <f aca="false">IF($D1433&lt;&gt;"销项开票",0,ROUND(N($H1433)*N($I1433),2))</f>
        <v>0</v>
      </c>
      <c r="P1433" s="36" t="n">
        <f aca="false">IF($D1433&lt;&gt;"销项开票",0,ROUND(N($H1433)-$O1433,2))</f>
        <v>0</v>
      </c>
      <c r="Q1433" s="37" t="str">
        <f aca="false">IF($E1433="","",N(IFERROR(INDEX(单位档案!$E$6:$E$35,MATCH($E1433,单位档案!$A$6:$A$35,0)),"")))</f>
        <v/>
      </c>
      <c r="R1433" s="37" t="str">
        <f aca="false">IF($E1433="","",N(IFERROR(INDEX(单位档案!$F$6:$F$35,MATCH($E1433,单位档案!$A$6:$A$35,0)),"")))</f>
        <v/>
      </c>
      <c r="S1433" s="36" t="n">
        <f aca="false">IF(OR($D1433&lt;&gt;"销项开票",IFERROR(INDEX(单位档案!$G$6:$G$35,MATCH($E1433,单位档案!$A$6:$A$35,0)),"")&lt;&gt;"是",N($Q1433)=0),0,IF(IFERROR(INDEX(单位档案!$H$6:$H$35,MATCH($E1433,单位档案!$A$6:$A$35,0)),"")="税差法",ROUND(N($H1433)/(1+$Q1433)*$Q1433-IF(N($R1433)=0,0,$P1433/(1+$R1433)*$R1433),2),ROUND(N($H1433)/(1+$Q1433)*$Q1433,2)))</f>
        <v>0</v>
      </c>
      <c r="T1433" s="36" t="n">
        <f aca="false">ROUND($S1433*N(IFERROR(INDEX(单位档案!$J$6:$J$35,MATCH($E1433,单位档案!$A$6:$A$35,0)),"")),2)</f>
        <v>0</v>
      </c>
      <c r="U1433" s="36" t="n">
        <f aca="false">IF($D1433&lt;&gt;"销项开票",0,ROUND(N($H1433)*N(IFERROR(INDEX(单位档案!$K$6:$K$35,MATCH($E1433,单位档案!$A$6:$A$35,0)),"")),2))</f>
        <v>0</v>
      </c>
      <c r="V1433" s="36" t="n">
        <f aca="false">IF(OR($D1433&lt;&gt;"销项开票",N($Q1433)=0),0,ROUND(N($H1433)/(1+$Q1433)*N(IFERROR(INDEX(单位档案!$L$6:$L$35,MATCH($E1433,单位档案!$A$6:$A$35,0)),"")),2))</f>
        <v>0</v>
      </c>
      <c r="W1433" s="36" t="n">
        <f aca="false">ROUND($S1433+$T1433+$U1433+$V1433,2)</f>
        <v>0</v>
      </c>
      <c r="X1433" s="35" t="str">
        <f aca="false">IF(OR($D1433="挂靠代收",$D1433="我方收款"),COUNTIFS($D$5:$D1433,"挂靠代收")+COUNTIFS($D$5:$D1433,"我方收款"),"")</f>
        <v/>
      </c>
      <c r="Y1433" s="35"/>
      <c r="Z1433" s="21" t="s">
        <v>111</v>
      </c>
    </row>
    <row r="1434" customFormat="false" ht="15.75" hidden="false" customHeight="true" outlineLevel="0" collapsed="false">
      <c r="A1434" s="32" t="str">
        <f aca="false">IF($B1434="","",ROW()-4)</f>
        <v/>
      </c>
      <c r="B1434" s="26"/>
      <c r="C1434" s="24"/>
      <c r="D1434" s="21"/>
      <c r="E1434" s="21"/>
      <c r="F1434" s="21"/>
      <c r="G1434" s="21"/>
      <c r="H1434" s="27"/>
      <c r="I1434" s="23" t="str">
        <f aca="false">IF($D1434&lt;&gt;"销项开票","",IF($N1434="一级",IF(IFERROR(INDEX(项目档案!$E$6:$E$255,MATCH($C1434,项目档案!$A$6:$A$255,0)),"")="",N(IFERROR(INDEX(单位档案!$D$6:$D$35,MATCH($E1434,单位档案!$A$6:$A$35,0)),"")),IFERROR(INDEX(项目档案!$E$6:$E$255,MATCH($C1434,项目档案!$A$6:$A$255,0)),"")),IF($N1434="二级",IF(IFERROR(INDEX(项目档案!$G$6:$G$255,MATCH($C1434,项目档案!$A$6:$A$255,0)),"")="",N(IFERROR(INDEX(单位档案!$D$6:$D$35,MATCH($E1434,单位档案!$A$6:$A$35,0)),"")),IFERROR(INDEX(项目档案!$G$6:$G$255,MATCH($C1434,项目档案!$A$6:$A$255,0)),"")),N(IFERROR(INDEX(单位档案!$D$6:$D$35,MATCH($E1434,单位档案!$A$6:$A$35,0)),"")))))</f>
        <v/>
      </c>
      <c r="J1434" s="22"/>
      <c r="K1434" s="22"/>
      <c r="L1434" s="33" t="str">
        <f aca="false">IF($B1434="","",IF(NOT(ISNUMBER($B1434)),"日期格式不对",IF($C1434="","未选项目编号",IF(LEFT($M1434,1)="⚠","项目编号不存在",IF($D1434="","未选业务类型",IF($E1434="","未选开票/付款方",IF(ISNA(MATCH($E1434,单位档案!$A$6:$A$35,0)),"开票方不在单位档案",IF($F1434="","未选收票/收款方",IF(ISNA(MATCH($F1434,单位档案!$A$6:$A$35,0)),"收款方不在单位档案",IF(NOT(ISNUMBER($H1434)),"金额须为数字",IF(AND($D1434="销项开票",$N1434="—"),"链条待确认","√")))))))))))</f>
        <v/>
      </c>
      <c r="M1434" s="34" t="str">
        <f aca="false">IF($C1434="","",IFERROR(INDEX(项目档案!$B$6:$B$255,MATCH($C1434,项目档案!$A$6:$A$255,0)),"⚠项目编号不存在"))</f>
        <v/>
      </c>
      <c r="N1434" s="35" t="str">
        <f aca="false">IF($E1434="","",IF($E1434=IFERROR(INDEX(项目档案!$D$6:$D$255,MATCH($C1434,项目档案!$A$6:$A$255,0)),""),"一级",IF($E1434=IFERROR(INDEX(项目档案!$F$6:$F$255,MATCH($C1434,项目档案!$A$6:$A$255,0)),""),"二级",IF($E1434=IFERROR(INDEX(项目档案!$H$6:$H$255,MATCH($C1434,项目档案!$A$6:$A$255,0)),""),"我方","—"))))</f>
        <v/>
      </c>
      <c r="O1434" s="36" t="n">
        <f aca="false">IF($D1434&lt;&gt;"销项开票",0,ROUND(N($H1434)*N($I1434),2))</f>
        <v>0</v>
      </c>
      <c r="P1434" s="36" t="n">
        <f aca="false">IF($D1434&lt;&gt;"销项开票",0,ROUND(N($H1434)-$O1434,2))</f>
        <v>0</v>
      </c>
      <c r="Q1434" s="37" t="str">
        <f aca="false">IF($E1434="","",N(IFERROR(INDEX(单位档案!$E$6:$E$35,MATCH($E1434,单位档案!$A$6:$A$35,0)),"")))</f>
        <v/>
      </c>
      <c r="R1434" s="37" t="str">
        <f aca="false">IF($E1434="","",N(IFERROR(INDEX(单位档案!$F$6:$F$35,MATCH($E1434,单位档案!$A$6:$A$35,0)),"")))</f>
        <v/>
      </c>
      <c r="S1434" s="36" t="n">
        <f aca="false">IF(OR($D1434&lt;&gt;"销项开票",IFERROR(INDEX(单位档案!$G$6:$G$35,MATCH($E1434,单位档案!$A$6:$A$35,0)),"")&lt;&gt;"是",N($Q1434)=0),0,IF(IFERROR(INDEX(单位档案!$H$6:$H$35,MATCH($E1434,单位档案!$A$6:$A$35,0)),"")="税差法",ROUND(N($H1434)/(1+$Q1434)*$Q1434-IF(N($R1434)=0,0,$P1434/(1+$R1434)*$R1434),2),ROUND(N($H1434)/(1+$Q1434)*$Q1434,2)))</f>
        <v>0</v>
      </c>
      <c r="T1434" s="36" t="n">
        <f aca="false">ROUND($S1434*N(IFERROR(INDEX(单位档案!$J$6:$J$35,MATCH($E1434,单位档案!$A$6:$A$35,0)),"")),2)</f>
        <v>0</v>
      </c>
      <c r="U1434" s="36" t="n">
        <f aca="false">IF($D1434&lt;&gt;"销项开票",0,ROUND(N($H1434)*N(IFERROR(INDEX(单位档案!$K$6:$K$35,MATCH($E1434,单位档案!$A$6:$A$35,0)),"")),2))</f>
        <v>0</v>
      </c>
      <c r="V1434" s="36" t="n">
        <f aca="false">IF(OR($D1434&lt;&gt;"销项开票",N($Q1434)=0),0,ROUND(N($H1434)/(1+$Q1434)*N(IFERROR(INDEX(单位档案!$L$6:$L$35,MATCH($E1434,单位档案!$A$6:$A$35,0)),"")),2))</f>
        <v>0</v>
      </c>
      <c r="W1434" s="36" t="n">
        <f aca="false">ROUND($S1434+$T1434+$U1434+$V1434,2)</f>
        <v>0</v>
      </c>
      <c r="X1434" s="35" t="str">
        <f aca="false">IF(OR($D1434="挂靠代收",$D1434="我方收款"),COUNTIFS($D$5:$D1434,"挂靠代收")+COUNTIFS($D$5:$D1434,"我方收款"),"")</f>
        <v/>
      </c>
      <c r="Y1434" s="35"/>
      <c r="Z1434" s="21" t="s">
        <v>111</v>
      </c>
    </row>
    <row r="1435" customFormat="false" ht="15.75" hidden="false" customHeight="true" outlineLevel="0" collapsed="false">
      <c r="A1435" s="32" t="str">
        <f aca="false">IF($B1435="","",ROW()-4)</f>
        <v/>
      </c>
      <c r="B1435" s="26"/>
      <c r="C1435" s="24"/>
      <c r="D1435" s="21"/>
      <c r="E1435" s="21"/>
      <c r="F1435" s="21"/>
      <c r="G1435" s="21"/>
      <c r="H1435" s="27"/>
      <c r="I1435" s="23" t="str">
        <f aca="false">IF($D1435&lt;&gt;"销项开票","",IF($N1435="一级",IF(IFERROR(INDEX(项目档案!$E$6:$E$255,MATCH($C1435,项目档案!$A$6:$A$255,0)),"")="",N(IFERROR(INDEX(单位档案!$D$6:$D$35,MATCH($E1435,单位档案!$A$6:$A$35,0)),"")),IFERROR(INDEX(项目档案!$E$6:$E$255,MATCH($C1435,项目档案!$A$6:$A$255,0)),"")),IF($N1435="二级",IF(IFERROR(INDEX(项目档案!$G$6:$G$255,MATCH($C1435,项目档案!$A$6:$A$255,0)),"")="",N(IFERROR(INDEX(单位档案!$D$6:$D$35,MATCH($E1435,单位档案!$A$6:$A$35,0)),"")),IFERROR(INDEX(项目档案!$G$6:$G$255,MATCH($C1435,项目档案!$A$6:$A$255,0)),"")),N(IFERROR(INDEX(单位档案!$D$6:$D$35,MATCH($E1435,单位档案!$A$6:$A$35,0)),"")))))</f>
        <v/>
      </c>
      <c r="J1435" s="22"/>
      <c r="K1435" s="22"/>
      <c r="L1435" s="33" t="str">
        <f aca="false">IF($B1435="","",IF(NOT(ISNUMBER($B1435)),"日期格式不对",IF($C1435="","未选项目编号",IF(LEFT($M1435,1)="⚠","项目编号不存在",IF($D1435="","未选业务类型",IF($E1435="","未选开票/付款方",IF(ISNA(MATCH($E1435,单位档案!$A$6:$A$35,0)),"开票方不在单位档案",IF($F1435="","未选收票/收款方",IF(ISNA(MATCH($F1435,单位档案!$A$6:$A$35,0)),"收款方不在单位档案",IF(NOT(ISNUMBER($H1435)),"金额须为数字",IF(AND($D1435="销项开票",$N1435="—"),"链条待确认","√")))))))))))</f>
        <v/>
      </c>
      <c r="M1435" s="34" t="str">
        <f aca="false">IF($C1435="","",IFERROR(INDEX(项目档案!$B$6:$B$255,MATCH($C1435,项目档案!$A$6:$A$255,0)),"⚠项目编号不存在"))</f>
        <v/>
      </c>
      <c r="N1435" s="35" t="str">
        <f aca="false">IF($E1435="","",IF($E1435=IFERROR(INDEX(项目档案!$D$6:$D$255,MATCH($C1435,项目档案!$A$6:$A$255,0)),""),"一级",IF($E1435=IFERROR(INDEX(项目档案!$F$6:$F$255,MATCH($C1435,项目档案!$A$6:$A$255,0)),""),"二级",IF($E1435=IFERROR(INDEX(项目档案!$H$6:$H$255,MATCH($C1435,项目档案!$A$6:$A$255,0)),""),"我方","—"))))</f>
        <v/>
      </c>
      <c r="O1435" s="36" t="n">
        <f aca="false">IF($D1435&lt;&gt;"销项开票",0,ROUND(N($H1435)*N($I1435),2))</f>
        <v>0</v>
      </c>
      <c r="P1435" s="36" t="n">
        <f aca="false">IF($D1435&lt;&gt;"销项开票",0,ROUND(N($H1435)-$O1435,2))</f>
        <v>0</v>
      </c>
      <c r="Q1435" s="37" t="str">
        <f aca="false">IF($E1435="","",N(IFERROR(INDEX(单位档案!$E$6:$E$35,MATCH($E1435,单位档案!$A$6:$A$35,0)),"")))</f>
        <v/>
      </c>
      <c r="R1435" s="37" t="str">
        <f aca="false">IF($E1435="","",N(IFERROR(INDEX(单位档案!$F$6:$F$35,MATCH($E1435,单位档案!$A$6:$A$35,0)),"")))</f>
        <v/>
      </c>
      <c r="S1435" s="36" t="n">
        <f aca="false">IF(OR($D1435&lt;&gt;"销项开票",IFERROR(INDEX(单位档案!$G$6:$G$35,MATCH($E1435,单位档案!$A$6:$A$35,0)),"")&lt;&gt;"是",N($Q1435)=0),0,IF(IFERROR(INDEX(单位档案!$H$6:$H$35,MATCH($E1435,单位档案!$A$6:$A$35,0)),"")="税差法",ROUND(N($H1435)/(1+$Q1435)*$Q1435-IF(N($R1435)=0,0,$P1435/(1+$R1435)*$R1435),2),ROUND(N($H1435)/(1+$Q1435)*$Q1435,2)))</f>
        <v>0</v>
      </c>
      <c r="T1435" s="36" t="n">
        <f aca="false">ROUND($S1435*N(IFERROR(INDEX(单位档案!$J$6:$J$35,MATCH($E1435,单位档案!$A$6:$A$35,0)),"")),2)</f>
        <v>0</v>
      </c>
      <c r="U1435" s="36" t="n">
        <f aca="false">IF($D1435&lt;&gt;"销项开票",0,ROUND(N($H1435)*N(IFERROR(INDEX(单位档案!$K$6:$K$35,MATCH($E1435,单位档案!$A$6:$A$35,0)),"")),2))</f>
        <v>0</v>
      </c>
      <c r="V1435" s="36" t="n">
        <f aca="false">IF(OR($D1435&lt;&gt;"销项开票",N($Q1435)=0),0,ROUND(N($H1435)/(1+$Q1435)*N(IFERROR(INDEX(单位档案!$L$6:$L$35,MATCH($E1435,单位档案!$A$6:$A$35,0)),"")),2))</f>
        <v>0</v>
      </c>
      <c r="W1435" s="36" t="n">
        <f aca="false">ROUND($S1435+$T1435+$U1435+$V1435,2)</f>
        <v>0</v>
      </c>
      <c r="X1435" s="35" t="str">
        <f aca="false">IF(OR($D1435="挂靠代收",$D1435="我方收款"),COUNTIFS($D$5:$D1435,"挂靠代收")+COUNTIFS($D$5:$D1435,"我方收款"),"")</f>
        <v/>
      </c>
      <c r="Y1435" s="35"/>
      <c r="Z1435" s="21" t="s">
        <v>111</v>
      </c>
    </row>
    <row r="1436" customFormat="false" ht="15.75" hidden="false" customHeight="true" outlineLevel="0" collapsed="false">
      <c r="A1436" s="32" t="str">
        <f aca="false">IF($B1436="","",ROW()-4)</f>
        <v/>
      </c>
      <c r="B1436" s="26"/>
      <c r="C1436" s="24"/>
      <c r="D1436" s="21"/>
      <c r="E1436" s="21"/>
      <c r="F1436" s="21"/>
      <c r="G1436" s="21"/>
      <c r="H1436" s="27"/>
      <c r="I1436" s="23" t="str">
        <f aca="false">IF($D1436&lt;&gt;"销项开票","",IF($N1436="一级",IF(IFERROR(INDEX(项目档案!$E$6:$E$255,MATCH($C1436,项目档案!$A$6:$A$255,0)),"")="",N(IFERROR(INDEX(单位档案!$D$6:$D$35,MATCH($E1436,单位档案!$A$6:$A$35,0)),"")),IFERROR(INDEX(项目档案!$E$6:$E$255,MATCH($C1436,项目档案!$A$6:$A$255,0)),"")),IF($N1436="二级",IF(IFERROR(INDEX(项目档案!$G$6:$G$255,MATCH($C1436,项目档案!$A$6:$A$255,0)),"")="",N(IFERROR(INDEX(单位档案!$D$6:$D$35,MATCH($E1436,单位档案!$A$6:$A$35,0)),"")),IFERROR(INDEX(项目档案!$G$6:$G$255,MATCH($C1436,项目档案!$A$6:$A$255,0)),"")),N(IFERROR(INDEX(单位档案!$D$6:$D$35,MATCH($E1436,单位档案!$A$6:$A$35,0)),"")))))</f>
        <v/>
      </c>
      <c r="J1436" s="22"/>
      <c r="K1436" s="22"/>
      <c r="L1436" s="33" t="str">
        <f aca="false">IF($B1436="","",IF(NOT(ISNUMBER($B1436)),"日期格式不对",IF($C1436="","未选项目编号",IF(LEFT($M1436,1)="⚠","项目编号不存在",IF($D1436="","未选业务类型",IF($E1436="","未选开票/付款方",IF(ISNA(MATCH($E1436,单位档案!$A$6:$A$35,0)),"开票方不在单位档案",IF($F1436="","未选收票/收款方",IF(ISNA(MATCH($F1436,单位档案!$A$6:$A$35,0)),"收款方不在单位档案",IF(NOT(ISNUMBER($H1436)),"金额须为数字",IF(AND($D1436="销项开票",$N1436="—"),"链条待确认","√")))))))))))</f>
        <v/>
      </c>
      <c r="M1436" s="34" t="str">
        <f aca="false">IF($C1436="","",IFERROR(INDEX(项目档案!$B$6:$B$255,MATCH($C1436,项目档案!$A$6:$A$255,0)),"⚠项目编号不存在"))</f>
        <v/>
      </c>
      <c r="N1436" s="35" t="str">
        <f aca="false">IF($E1436="","",IF($E1436=IFERROR(INDEX(项目档案!$D$6:$D$255,MATCH($C1436,项目档案!$A$6:$A$255,0)),""),"一级",IF($E1436=IFERROR(INDEX(项目档案!$F$6:$F$255,MATCH($C1436,项目档案!$A$6:$A$255,0)),""),"二级",IF($E1436=IFERROR(INDEX(项目档案!$H$6:$H$255,MATCH($C1436,项目档案!$A$6:$A$255,0)),""),"我方","—"))))</f>
        <v/>
      </c>
      <c r="O1436" s="36" t="n">
        <f aca="false">IF($D1436&lt;&gt;"销项开票",0,ROUND(N($H1436)*N($I1436),2))</f>
        <v>0</v>
      </c>
      <c r="P1436" s="36" t="n">
        <f aca="false">IF($D1436&lt;&gt;"销项开票",0,ROUND(N($H1436)-$O1436,2))</f>
        <v>0</v>
      </c>
      <c r="Q1436" s="37" t="str">
        <f aca="false">IF($E1436="","",N(IFERROR(INDEX(单位档案!$E$6:$E$35,MATCH($E1436,单位档案!$A$6:$A$35,0)),"")))</f>
        <v/>
      </c>
      <c r="R1436" s="37" t="str">
        <f aca="false">IF($E1436="","",N(IFERROR(INDEX(单位档案!$F$6:$F$35,MATCH($E1436,单位档案!$A$6:$A$35,0)),"")))</f>
        <v/>
      </c>
      <c r="S1436" s="36" t="n">
        <f aca="false">IF(OR($D1436&lt;&gt;"销项开票",IFERROR(INDEX(单位档案!$G$6:$G$35,MATCH($E1436,单位档案!$A$6:$A$35,0)),"")&lt;&gt;"是",N($Q1436)=0),0,IF(IFERROR(INDEX(单位档案!$H$6:$H$35,MATCH($E1436,单位档案!$A$6:$A$35,0)),"")="税差法",ROUND(N($H1436)/(1+$Q1436)*$Q1436-IF(N($R1436)=0,0,$P1436/(1+$R1436)*$R1436),2),ROUND(N($H1436)/(1+$Q1436)*$Q1436,2)))</f>
        <v>0</v>
      </c>
      <c r="T1436" s="36" t="n">
        <f aca="false">ROUND($S1436*N(IFERROR(INDEX(单位档案!$J$6:$J$35,MATCH($E1436,单位档案!$A$6:$A$35,0)),"")),2)</f>
        <v>0</v>
      </c>
      <c r="U1436" s="36" t="n">
        <f aca="false">IF($D1436&lt;&gt;"销项开票",0,ROUND(N($H1436)*N(IFERROR(INDEX(单位档案!$K$6:$K$35,MATCH($E1436,单位档案!$A$6:$A$35,0)),"")),2))</f>
        <v>0</v>
      </c>
      <c r="V1436" s="36" t="n">
        <f aca="false">IF(OR($D1436&lt;&gt;"销项开票",N($Q1436)=0),0,ROUND(N($H1436)/(1+$Q1436)*N(IFERROR(INDEX(单位档案!$L$6:$L$35,MATCH($E1436,单位档案!$A$6:$A$35,0)),"")),2))</f>
        <v>0</v>
      </c>
      <c r="W1436" s="36" t="n">
        <f aca="false">ROUND($S1436+$T1436+$U1436+$V1436,2)</f>
        <v>0</v>
      </c>
      <c r="X1436" s="35" t="str">
        <f aca="false">IF(OR($D1436="挂靠代收",$D1436="我方收款"),COUNTIFS($D$5:$D1436,"挂靠代收")+COUNTIFS($D$5:$D1436,"我方收款"),"")</f>
        <v/>
      </c>
      <c r="Y1436" s="35"/>
      <c r="Z1436" s="21" t="s">
        <v>111</v>
      </c>
    </row>
    <row r="1437" customFormat="false" ht="15.75" hidden="false" customHeight="true" outlineLevel="0" collapsed="false">
      <c r="A1437" s="32" t="str">
        <f aca="false">IF($B1437="","",ROW()-4)</f>
        <v/>
      </c>
      <c r="B1437" s="26"/>
      <c r="C1437" s="24"/>
      <c r="D1437" s="21"/>
      <c r="E1437" s="21"/>
      <c r="F1437" s="21"/>
      <c r="G1437" s="21"/>
      <c r="H1437" s="27"/>
      <c r="I1437" s="23" t="str">
        <f aca="false">IF($D1437&lt;&gt;"销项开票","",IF($N1437="一级",IF(IFERROR(INDEX(项目档案!$E$6:$E$255,MATCH($C1437,项目档案!$A$6:$A$255,0)),"")="",N(IFERROR(INDEX(单位档案!$D$6:$D$35,MATCH($E1437,单位档案!$A$6:$A$35,0)),"")),IFERROR(INDEX(项目档案!$E$6:$E$255,MATCH($C1437,项目档案!$A$6:$A$255,0)),"")),IF($N1437="二级",IF(IFERROR(INDEX(项目档案!$G$6:$G$255,MATCH($C1437,项目档案!$A$6:$A$255,0)),"")="",N(IFERROR(INDEX(单位档案!$D$6:$D$35,MATCH($E1437,单位档案!$A$6:$A$35,0)),"")),IFERROR(INDEX(项目档案!$G$6:$G$255,MATCH($C1437,项目档案!$A$6:$A$255,0)),"")),N(IFERROR(INDEX(单位档案!$D$6:$D$35,MATCH($E1437,单位档案!$A$6:$A$35,0)),"")))))</f>
        <v/>
      </c>
      <c r="J1437" s="22"/>
      <c r="K1437" s="22"/>
      <c r="L1437" s="33" t="str">
        <f aca="false">IF($B1437="","",IF(NOT(ISNUMBER($B1437)),"日期格式不对",IF($C1437="","未选项目编号",IF(LEFT($M1437,1)="⚠","项目编号不存在",IF($D1437="","未选业务类型",IF($E1437="","未选开票/付款方",IF(ISNA(MATCH($E1437,单位档案!$A$6:$A$35,0)),"开票方不在单位档案",IF($F1437="","未选收票/收款方",IF(ISNA(MATCH($F1437,单位档案!$A$6:$A$35,0)),"收款方不在单位档案",IF(NOT(ISNUMBER($H1437)),"金额须为数字",IF(AND($D1437="销项开票",$N1437="—"),"链条待确认","√")))))))))))</f>
        <v/>
      </c>
      <c r="M1437" s="34" t="str">
        <f aca="false">IF($C1437="","",IFERROR(INDEX(项目档案!$B$6:$B$255,MATCH($C1437,项目档案!$A$6:$A$255,0)),"⚠项目编号不存在"))</f>
        <v/>
      </c>
      <c r="N1437" s="35" t="str">
        <f aca="false">IF($E1437="","",IF($E1437=IFERROR(INDEX(项目档案!$D$6:$D$255,MATCH($C1437,项目档案!$A$6:$A$255,0)),""),"一级",IF($E1437=IFERROR(INDEX(项目档案!$F$6:$F$255,MATCH($C1437,项目档案!$A$6:$A$255,0)),""),"二级",IF($E1437=IFERROR(INDEX(项目档案!$H$6:$H$255,MATCH($C1437,项目档案!$A$6:$A$255,0)),""),"我方","—"))))</f>
        <v/>
      </c>
      <c r="O1437" s="36" t="n">
        <f aca="false">IF($D1437&lt;&gt;"销项开票",0,ROUND(N($H1437)*N($I1437),2))</f>
        <v>0</v>
      </c>
      <c r="P1437" s="36" t="n">
        <f aca="false">IF($D1437&lt;&gt;"销项开票",0,ROUND(N($H1437)-$O1437,2))</f>
        <v>0</v>
      </c>
      <c r="Q1437" s="37" t="str">
        <f aca="false">IF($E1437="","",N(IFERROR(INDEX(单位档案!$E$6:$E$35,MATCH($E1437,单位档案!$A$6:$A$35,0)),"")))</f>
        <v/>
      </c>
      <c r="R1437" s="37" t="str">
        <f aca="false">IF($E1437="","",N(IFERROR(INDEX(单位档案!$F$6:$F$35,MATCH($E1437,单位档案!$A$6:$A$35,0)),"")))</f>
        <v/>
      </c>
      <c r="S1437" s="36" t="n">
        <f aca="false">IF(OR($D1437&lt;&gt;"销项开票",IFERROR(INDEX(单位档案!$G$6:$G$35,MATCH($E1437,单位档案!$A$6:$A$35,0)),"")&lt;&gt;"是",N($Q1437)=0),0,IF(IFERROR(INDEX(单位档案!$H$6:$H$35,MATCH($E1437,单位档案!$A$6:$A$35,0)),"")="税差法",ROUND(N($H1437)/(1+$Q1437)*$Q1437-IF(N($R1437)=0,0,$P1437/(1+$R1437)*$R1437),2),ROUND(N($H1437)/(1+$Q1437)*$Q1437,2)))</f>
        <v>0</v>
      </c>
      <c r="T1437" s="36" t="n">
        <f aca="false">ROUND($S1437*N(IFERROR(INDEX(单位档案!$J$6:$J$35,MATCH($E1437,单位档案!$A$6:$A$35,0)),"")),2)</f>
        <v>0</v>
      </c>
      <c r="U1437" s="36" t="n">
        <f aca="false">IF($D1437&lt;&gt;"销项开票",0,ROUND(N($H1437)*N(IFERROR(INDEX(单位档案!$K$6:$K$35,MATCH($E1437,单位档案!$A$6:$A$35,0)),"")),2))</f>
        <v>0</v>
      </c>
      <c r="V1437" s="36" t="n">
        <f aca="false">IF(OR($D1437&lt;&gt;"销项开票",N($Q1437)=0),0,ROUND(N($H1437)/(1+$Q1437)*N(IFERROR(INDEX(单位档案!$L$6:$L$35,MATCH($E1437,单位档案!$A$6:$A$35,0)),"")),2))</f>
        <v>0</v>
      </c>
      <c r="W1437" s="36" t="n">
        <f aca="false">ROUND($S1437+$T1437+$U1437+$V1437,2)</f>
        <v>0</v>
      </c>
      <c r="X1437" s="35" t="str">
        <f aca="false">IF(OR($D1437="挂靠代收",$D1437="我方收款"),COUNTIFS($D$5:$D1437,"挂靠代收")+COUNTIFS($D$5:$D1437,"我方收款"),"")</f>
        <v/>
      </c>
      <c r="Y1437" s="35"/>
      <c r="Z1437" s="21" t="s">
        <v>111</v>
      </c>
    </row>
    <row r="1438" customFormat="false" ht="15.75" hidden="false" customHeight="true" outlineLevel="0" collapsed="false">
      <c r="A1438" s="32" t="str">
        <f aca="false">IF($B1438="","",ROW()-4)</f>
        <v/>
      </c>
      <c r="B1438" s="26"/>
      <c r="C1438" s="24"/>
      <c r="D1438" s="21"/>
      <c r="E1438" s="21"/>
      <c r="F1438" s="21"/>
      <c r="G1438" s="21"/>
      <c r="H1438" s="27"/>
      <c r="I1438" s="23" t="str">
        <f aca="false">IF($D1438&lt;&gt;"销项开票","",IF($N1438="一级",IF(IFERROR(INDEX(项目档案!$E$6:$E$255,MATCH($C1438,项目档案!$A$6:$A$255,0)),"")="",N(IFERROR(INDEX(单位档案!$D$6:$D$35,MATCH($E1438,单位档案!$A$6:$A$35,0)),"")),IFERROR(INDEX(项目档案!$E$6:$E$255,MATCH($C1438,项目档案!$A$6:$A$255,0)),"")),IF($N1438="二级",IF(IFERROR(INDEX(项目档案!$G$6:$G$255,MATCH($C1438,项目档案!$A$6:$A$255,0)),"")="",N(IFERROR(INDEX(单位档案!$D$6:$D$35,MATCH($E1438,单位档案!$A$6:$A$35,0)),"")),IFERROR(INDEX(项目档案!$G$6:$G$255,MATCH($C1438,项目档案!$A$6:$A$255,0)),"")),N(IFERROR(INDEX(单位档案!$D$6:$D$35,MATCH($E1438,单位档案!$A$6:$A$35,0)),"")))))</f>
        <v/>
      </c>
      <c r="J1438" s="22"/>
      <c r="K1438" s="22"/>
      <c r="L1438" s="33" t="str">
        <f aca="false">IF($B1438="","",IF(NOT(ISNUMBER($B1438)),"日期格式不对",IF($C1438="","未选项目编号",IF(LEFT($M1438,1)="⚠","项目编号不存在",IF($D1438="","未选业务类型",IF($E1438="","未选开票/付款方",IF(ISNA(MATCH($E1438,单位档案!$A$6:$A$35,0)),"开票方不在单位档案",IF($F1438="","未选收票/收款方",IF(ISNA(MATCH($F1438,单位档案!$A$6:$A$35,0)),"收款方不在单位档案",IF(NOT(ISNUMBER($H1438)),"金额须为数字",IF(AND($D1438="销项开票",$N1438="—"),"链条待确认","√")))))))))))</f>
        <v/>
      </c>
      <c r="M1438" s="34" t="str">
        <f aca="false">IF($C1438="","",IFERROR(INDEX(项目档案!$B$6:$B$255,MATCH($C1438,项目档案!$A$6:$A$255,0)),"⚠项目编号不存在"))</f>
        <v/>
      </c>
      <c r="N1438" s="35" t="str">
        <f aca="false">IF($E1438="","",IF($E1438=IFERROR(INDEX(项目档案!$D$6:$D$255,MATCH($C1438,项目档案!$A$6:$A$255,0)),""),"一级",IF($E1438=IFERROR(INDEX(项目档案!$F$6:$F$255,MATCH($C1438,项目档案!$A$6:$A$255,0)),""),"二级",IF($E1438=IFERROR(INDEX(项目档案!$H$6:$H$255,MATCH($C1438,项目档案!$A$6:$A$255,0)),""),"我方","—"))))</f>
        <v/>
      </c>
      <c r="O1438" s="36" t="n">
        <f aca="false">IF($D1438&lt;&gt;"销项开票",0,ROUND(N($H1438)*N($I1438),2))</f>
        <v>0</v>
      </c>
      <c r="P1438" s="36" t="n">
        <f aca="false">IF($D1438&lt;&gt;"销项开票",0,ROUND(N($H1438)-$O1438,2))</f>
        <v>0</v>
      </c>
      <c r="Q1438" s="37" t="str">
        <f aca="false">IF($E1438="","",N(IFERROR(INDEX(单位档案!$E$6:$E$35,MATCH($E1438,单位档案!$A$6:$A$35,0)),"")))</f>
        <v/>
      </c>
      <c r="R1438" s="37" t="str">
        <f aca="false">IF($E1438="","",N(IFERROR(INDEX(单位档案!$F$6:$F$35,MATCH($E1438,单位档案!$A$6:$A$35,0)),"")))</f>
        <v/>
      </c>
      <c r="S1438" s="36" t="n">
        <f aca="false">IF(OR($D1438&lt;&gt;"销项开票",IFERROR(INDEX(单位档案!$G$6:$G$35,MATCH($E1438,单位档案!$A$6:$A$35,0)),"")&lt;&gt;"是",N($Q1438)=0),0,IF(IFERROR(INDEX(单位档案!$H$6:$H$35,MATCH($E1438,单位档案!$A$6:$A$35,0)),"")="税差法",ROUND(N($H1438)/(1+$Q1438)*$Q1438-IF(N($R1438)=0,0,$P1438/(1+$R1438)*$R1438),2),ROUND(N($H1438)/(1+$Q1438)*$Q1438,2)))</f>
        <v>0</v>
      </c>
      <c r="T1438" s="36" t="n">
        <f aca="false">ROUND($S1438*N(IFERROR(INDEX(单位档案!$J$6:$J$35,MATCH($E1438,单位档案!$A$6:$A$35,0)),"")),2)</f>
        <v>0</v>
      </c>
      <c r="U1438" s="36" t="n">
        <f aca="false">IF($D1438&lt;&gt;"销项开票",0,ROUND(N($H1438)*N(IFERROR(INDEX(单位档案!$K$6:$K$35,MATCH($E1438,单位档案!$A$6:$A$35,0)),"")),2))</f>
        <v>0</v>
      </c>
      <c r="V1438" s="36" t="n">
        <f aca="false">IF(OR($D1438&lt;&gt;"销项开票",N($Q1438)=0),0,ROUND(N($H1438)/(1+$Q1438)*N(IFERROR(INDEX(单位档案!$L$6:$L$35,MATCH($E1438,单位档案!$A$6:$A$35,0)),"")),2))</f>
        <v>0</v>
      </c>
      <c r="W1438" s="36" t="n">
        <f aca="false">ROUND($S1438+$T1438+$U1438+$V1438,2)</f>
        <v>0</v>
      </c>
      <c r="X1438" s="35" t="str">
        <f aca="false">IF(OR($D1438="挂靠代收",$D1438="我方收款"),COUNTIFS($D$5:$D1438,"挂靠代收")+COUNTIFS($D$5:$D1438,"我方收款"),"")</f>
        <v/>
      </c>
      <c r="Y1438" s="35"/>
      <c r="Z1438" s="21" t="s">
        <v>111</v>
      </c>
    </row>
    <row r="1439" customFormat="false" ht="15.75" hidden="false" customHeight="true" outlineLevel="0" collapsed="false">
      <c r="A1439" s="32" t="str">
        <f aca="false">IF($B1439="","",ROW()-4)</f>
        <v/>
      </c>
      <c r="B1439" s="26"/>
      <c r="C1439" s="24"/>
      <c r="D1439" s="21"/>
      <c r="E1439" s="21"/>
      <c r="F1439" s="21"/>
      <c r="G1439" s="21"/>
      <c r="H1439" s="27"/>
      <c r="I1439" s="23" t="str">
        <f aca="false">IF($D1439&lt;&gt;"销项开票","",IF($N1439="一级",IF(IFERROR(INDEX(项目档案!$E$6:$E$255,MATCH($C1439,项目档案!$A$6:$A$255,0)),"")="",N(IFERROR(INDEX(单位档案!$D$6:$D$35,MATCH($E1439,单位档案!$A$6:$A$35,0)),"")),IFERROR(INDEX(项目档案!$E$6:$E$255,MATCH($C1439,项目档案!$A$6:$A$255,0)),"")),IF($N1439="二级",IF(IFERROR(INDEX(项目档案!$G$6:$G$255,MATCH($C1439,项目档案!$A$6:$A$255,0)),"")="",N(IFERROR(INDEX(单位档案!$D$6:$D$35,MATCH($E1439,单位档案!$A$6:$A$35,0)),"")),IFERROR(INDEX(项目档案!$G$6:$G$255,MATCH($C1439,项目档案!$A$6:$A$255,0)),"")),N(IFERROR(INDEX(单位档案!$D$6:$D$35,MATCH($E1439,单位档案!$A$6:$A$35,0)),"")))))</f>
        <v/>
      </c>
      <c r="J1439" s="22"/>
      <c r="K1439" s="22"/>
      <c r="L1439" s="33" t="str">
        <f aca="false">IF($B1439="","",IF(NOT(ISNUMBER($B1439)),"日期格式不对",IF($C1439="","未选项目编号",IF(LEFT($M1439,1)="⚠","项目编号不存在",IF($D1439="","未选业务类型",IF($E1439="","未选开票/付款方",IF(ISNA(MATCH($E1439,单位档案!$A$6:$A$35,0)),"开票方不在单位档案",IF($F1439="","未选收票/收款方",IF(ISNA(MATCH($F1439,单位档案!$A$6:$A$35,0)),"收款方不在单位档案",IF(NOT(ISNUMBER($H1439)),"金额须为数字",IF(AND($D1439="销项开票",$N1439="—"),"链条待确认","√")))))))))))</f>
        <v/>
      </c>
      <c r="M1439" s="34" t="str">
        <f aca="false">IF($C1439="","",IFERROR(INDEX(项目档案!$B$6:$B$255,MATCH($C1439,项目档案!$A$6:$A$255,0)),"⚠项目编号不存在"))</f>
        <v/>
      </c>
      <c r="N1439" s="35" t="str">
        <f aca="false">IF($E1439="","",IF($E1439=IFERROR(INDEX(项目档案!$D$6:$D$255,MATCH($C1439,项目档案!$A$6:$A$255,0)),""),"一级",IF($E1439=IFERROR(INDEX(项目档案!$F$6:$F$255,MATCH($C1439,项目档案!$A$6:$A$255,0)),""),"二级",IF($E1439=IFERROR(INDEX(项目档案!$H$6:$H$255,MATCH($C1439,项目档案!$A$6:$A$255,0)),""),"我方","—"))))</f>
        <v/>
      </c>
      <c r="O1439" s="36" t="n">
        <f aca="false">IF($D1439&lt;&gt;"销项开票",0,ROUND(N($H1439)*N($I1439),2))</f>
        <v>0</v>
      </c>
      <c r="P1439" s="36" t="n">
        <f aca="false">IF($D1439&lt;&gt;"销项开票",0,ROUND(N($H1439)-$O1439,2))</f>
        <v>0</v>
      </c>
      <c r="Q1439" s="37" t="str">
        <f aca="false">IF($E1439="","",N(IFERROR(INDEX(单位档案!$E$6:$E$35,MATCH($E1439,单位档案!$A$6:$A$35,0)),"")))</f>
        <v/>
      </c>
      <c r="R1439" s="37" t="str">
        <f aca="false">IF($E1439="","",N(IFERROR(INDEX(单位档案!$F$6:$F$35,MATCH($E1439,单位档案!$A$6:$A$35,0)),"")))</f>
        <v/>
      </c>
      <c r="S1439" s="36" t="n">
        <f aca="false">IF(OR($D1439&lt;&gt;"销项开票",IFERROR(INDEX(单位档案!$G$6:$G$35,MATCH($E1439,单位档案!$A$6:$A$35,0)),"")&lt;&gt;"是",N($Q1439)=0),0,IF(IFERROR(INDEX(单位档案!$H$6:$H$35,MATCH($E1439,单位档案!$A$6:$A$35,0)),"")="税差法",ROUND(N($H1439)/(1+$Q1439)*$Q1439-IF(N($R1439)=0,0,$P1439/(1+$R1439)*$R1439),2),ROUND(N($H1439)/(1+$Q1439)*$Q1439,2)))</f>
        <v>0</v>
      </c>
      <c r="T1439" s="36" t="n">
        <f aca="false">ROUND($S1439*N(IFERROR(INDEX(单位档案!$J$6:$J$35,MATCH($E1439,单位档案!$A$6:$A$35,0)),"")),2)</f>
        <v>0</v>
      </c>
      <c r="U1439" s="36" t="n">
        <f aca="false">IF($D1439&lt;&gt;"销项开票",0,ROUND(N($H1439)*N(IFERROR(INDEX(单位档案!$K$6:$K$35,MATCH($E1439,单位档案!$A$6:$A$35,0)),"")),2))</f>
        <v>0</v>
      </c>
      <c r="V1439" s="36" t="n">
        <f aca="false">IF(OR($D1439&lt;&gt;"销项开票",N($Q1439)=0),0,ROUND(N($H1439)/(1+$Q1439)*N(IFERROR(INDEX(单位档案!$L$6:$L$35,MATCH($E1439,单位档案!$A$6:$A$35,0)),"")),2))</f>
        <v>0</v>
      </c>
      <c r="W1439" s="36" t="n">
        <f aca="false">ROUND($S1439+$T1439+$U1439+$V1439,2)</f>
        <v>0</v>
      </c>
      <c r="X1439" s="35" t="str">
        <f aca="false">IF(OR($D1439="挂靠代收",$D1439="我方收款"),COUNTIFS($D$5:$D1439,"挂靠代收")+COUNTIFS($D$5:$D1439,"我方收款"),"")</f>
        <v/>
      </c>
      <c r="Y1439" s="35"/>
      <c r="Z1439" s="21" t="s">
        <v>111</v>
      </c>
    </row>
    <row r="1440" customFormat="false" ht="15.75" hidden="false" customHeight="true" outlineLevel="0" collapsed="false">
      <c r="A1440" s="32" t="str">
        <f aca="false">IF($B1440="","",ROW()-4)</f>
        <v/>
      </c>
      <c r="B1440" s="26"/>
      <c r="C1440" s="24"/>
      <c r="D1440" s="21"/>
      <c r="E1440" s="21"/>
      <c r="F1440" s="21"/>
      <c r="G1440" s="21"/>
      <c r="H1440" s="27"/>
      <c r="I1440" s="23" t="str">
        <f aca="false">IF($D1440&lt;&gt;"销项开票","",IF($N1440="一级",IF(IFERROR(INDEX(项目档案!$E$6:$E$255,MATCH($C1440,项目档案!$A$6:$A$255,0)),"")="",N(IFERROR(INDEX(单位档案!$D$6:$D$35,MATCH($E1440,单位档案!$A$6:$A$35,0)),"")),IFERROR(INDEX(项目档案!$E$6:$E$255,MATCH($C1440,项目档案!$A$6:$A$255,0)),"")),IF($N1440="二级",IF(IFERROR(INDEX(项目档案!$G$6:$G$255,MATCH($C1440,项目档案!$A$6:$A$255,0)),"")="",N(IFERROR(INDEX(单位档案!$D$6:$D$35,MATCH($E1440,单位档案!$A$6:$A$35,0)),"")),IFERROR(INDEX(项目档案!$G$6:$G$255,MATCH($C1440,项目档案!$A$6:$A$255,0)),"")),N(IFERROR(INDEX(单位档案!$D$6:$D$35,MATCH($E1440,单位档案!$A$6:$A$35,0)),"")))))</f>
        <v/>
      </c>
      <c r="J1440" s="22"/>
      <c r="K1440" s="22"/>
      <c r="L1440" s="33" t="str">
        <f aca="false">IF($B1440="","",IF(NOT(ISNUMBER($B1440)),"日期格式不对",IF($C1440="","未选项目编号",IF(LEFT($M1440,1)="⚠","项目编号不存在",IF($D1440="","未选业务类型",IF($E1440="","未选开票/付款方",IF(ISNA(MATCH($E1440,单位档案!$A$6:$A$35,0)),"开票方不在单位档案",IF($F1440="","未选收票/收款方",IF(ISNA(MATCH($F1440,单位档案!$A$6:$A$35,0)),"收款方不在单位档案",IF(NOT(ISNUMBER($H1440)),"金额须为数字",IF(AND($D1440="销项开票",$N1440="—"),"链条待确认","√")))))))))))</f>
        <v/>
      </c>
      <c r="M1440" s="34" t="str">
        <f aca="false">IF($C1440="","",IFERROR(INDEX(项目档案!$B$6:$B$255,MATCH($C1440,项目档案!$A$6:$A$255,0)),"⚠项目编号不存在"))</f>
        <v/>
      </c>
      <c r="N1440" s="35" t="str">
        <f aca="false">IF($E1440="","",IF($E1440=IFERROR(INDEX(项目档案!$D$6:$D$255,MATCH($C1440,项目档案!$A$6:$A$255,0)),""),"一级",IF($E1440=IFERROR(INDEX(项目档案!$F$6:$F$255,MATCH($C1440,项目档案!$A$6:$A$255,0)),""),"二级",IF($E1440=IFERROR(INDEX(项目档案!$H$6:$H$255,MATCH($C1440,项目档案!$A$6:$A$255,0)),""),"我方","—"))))</f>
        <v/>
      </c>
      <c r="O1440" s="36" t="n">
        <f aca="false">IF($D1440&lt;&gt;"销项开票",0,ROUND(N($H1440)*N($I1440),2))</f>
        <v>0</v>
      </c>
      <c r="P1440" s="36" t="n">
        <f aca="false">IF($D1440&lt;&gt;"销项开票",0,ROUND(N($H1440)-$O1440,2))</f>
        <v>0</v>
      </c>
      <c r="Q1440" s="37" t="str">
        <f aca="false">IF($E1440="","",N(IFERROR(INDEX(单位档案!$E$6:$E$35,MATCH($E1440,单位档案!$A$6:$A$35,0)),"")))</f>
        <v/>
      </c>
      <c r="R1440" s="37" t="str">
        <f aca="false">IF($E1440="","",N(IFERROR(INDEX(单位档案!$F$6:$F$35,MATCH($E1440,单位档案!$A$6:$A$35,0)),"")))</f>
        <v/>
      </c>
      <c r="S1440" s="36" t="n">
        <f aca="false">IF(OR($D1440&lt;&gt;"销项开票",IFERROR(INDEX(单位档案!$G$6:$G$35,MATCH($E1440,单位档案!$A$6:$A$35,0)),"")&lt;&gt;"是",N($Q1440)=0),0,IF(IFERROR(INDEX(单位档案!$H$6:$H$35,MATCH($E1440,单位档案!$A$6:$A$35,0)),"")="税差法",ROUND(N($H1440)/(1+$Q1440)*$Q1440-IF(N($R1440)=0,0,$P1440/(1+$R1440)*$R1440),2),ROUND(N($H1440)/(1+$Q1440)*$Q1440,2)))</f>
        <v>0</v>
      </c>
      <c r="T1440" s="36" t="n">
        <f aca="false">ROUND($S1440*N(IFERROR(INDEX(单位档案!$J$6:$J$35,MATCH($E1440,单位档案!$A$6:$A$35,0)),"")),2)</f>
        <v>0</v>
      </c>
      <c r="U1440" s="36" t="n">
        <f aca="false">IF($D1440&lt;&gt;"销项开票",0,ROUND(N($H1440)*N(IFERROR(INDEX(单位档案!$K$6:$K$35,MATCH($E1440,单位档案!$A$6:$A$35,0)),"")),2))</f>
        <v>0</v>
      </c>
      <c r="V1440" s="36" t="n">
        <f aca="false">IF(OR($D1440&lt;&gt;"销项开票",N($Q1440)=0),0,ROUND(N($H1440)/(1+$Q1440)*N(IFERROR(INDEX(单位档案!$L$6:$L$35,MATCH($E1440,单位档案!$A$6:$A$35,0)),"")),2))</f>
        <v>0</v>
      </c>
      <c r="W1440" s="36" t="n">
        <f aca="false">ROUND($S1440+$T1440+$U1440+$V1440,2)</f>
        <v>0</v>
      </c>
      <c r="X1440" s="35" t="str">
        <f aca="false">IF(OR($D1440="挂靠代收",$D1440="我方收款"),COUNTIFS($D$5:$D1440,"挂靠代收")+COUNTIFS($D$5:$D1440,"我方收款"),"")</f>
        <v/>
      </c>
      <c r="Y1440" s="35"/>
      <c r="Z1440" s="21" t="s">
        <v>111</v>
      </c>
    </row>
    <row r="1441" customFormat="false" ht="15.75" hidden="false" customHeight="true" outlineLevel="0" collapsed="false">
      <c r="A1441" s="32" t="str">
        <f aca="false">IF($B1441="","",ROW()-4)</f>
        <v/>
      </c>
      <c r="B1441" s="26"/>
      <c r="C1441" s="24"/>
      <c r="D1441" s="21"/>
      <c r="E1441" s="21"/>
      <c r="F1441" s="21"/>
      <c r="G1441" s="21"/>
      <c r="H1441" s="27"/>
      <c r="I1441" s="23" t="str">
        <f aca="false">IF($D1441&lt;&gt;"销项开票","",IF($N1441="一级",IF(IFERROR(INDEX(项目档案!$E$6:$E$255,MATCH($C1441,项目档案!$A$6:$A$255,0)),"")="",N(IFERROR(INDEX(单位档案!$D$6:$D$35,MATCH($E1441,单位档案!$A$6:$A$35,0)),"")),IFERROR(INDEX(项目档案!$E$6:$E$255,MATCH($C1441,项目档案!$A$6:$A$255,0)),"")),IF($N1441="二级",IF(IFERROR(INDEX(项目档案!$G$6:$G$255,MATCH($C1441,项目档案!$A$6:$A$255,0)),"")="",N(IFERROR(INDEX(单位档案!$D$6:$D$35,MATCH($E1441,单位档案!$A$6:$A$35,0)),"")),IFERROR(INDEX(项目档案!$G$6:$G$255,MATCH($C1441,项目档案!$A$6:$A$255,0)),"")),N(IFERROR(INDEX(单位档案!$D$6:$D$35,MATCH($E1441,单位档案!$A$6:$A$35,0)),"")))))</f>
        <v/>
      </c>
      <c r="J1441" s="22"/>
      <c r="K1441" s="22"/>
      <c r="L1441" s="33" t="str">
        <f aca="false">IF($B1441="","",IF(NOT(ISNUMBER($B1441)),"日期格式不对",IF($C1441="","未选项目编号",IF(LEFT($M1441,1)="⚠","项目编号不存在",IF($D1441="","未选业务类型",IF($E1441="","未选开票/付款方",IF(ISNA(MATCH($E1441,单位档案!$A$6:$A$35,0)),"开票方不在单位档案",IF($F1441="","未选收票/收款方",IF(ISNA(MATCH($F1441,单位档案!$A$6:$A$35,0)),"收款方不在单位档案",IF(NOT(ISNUMBER($H1441)),"金额须为数字",IF(AND($D1441="销项开票",$N1441="—"),"链条待确认","√")))))))))))</f>
        <v/>
      </c>
      <c r="M1441" s="34" t="str">
        <f aca="false">IF($C1441="","",IFERROR(INDEX(项目档案!$B$6:$B$255,MATCH($C1441,项目档案!$A$6:$A$255,0)),"⚠项目编号不存在"))</f>
        <v/>
      </c>
      <c r="N1441" s="35" t="str">
        <f aca="false">IF($E1441="","",IF($E1441=IFERROR(INDEX(项目档案!$D$6:$D$255,MATCH($C1441,项目档案!$A$6:$A$255,0)),""),"一级",IF($E1441=IFERROR(INDEX(项目档案!$F$6:$F$255,MATCH($C1441,项目档案!$A$6:$A$255,0)),""),"二级",IF($E1441=IFERROR(INDEX(项目档案!$H$6:$H$255,MATCH($C1441,项目档案!$A$6:$A$255,0)),""),"我方","—"))))</f>
        <v/>
      </c>
      <c r="O1441" s="36" t="n">
        <f aca="false">IF($D1441&lt;&gt;"销项开票",0,ROUND(N($H1441)*N($I1441),2))</f>
        <v>0</v>
      </c>
      <c r="P1441" s="36" t="n">
        <f aca="false">IF($D1441&lt;&gt;"销项开票",0,ROUND(N($H1441)-$O1441,2))</f>
        <v>0</v>
      </c>
      <c r="Q1441" s="37" t="str">
        <f aca="false">IF($E1441="","",N(IFERROR(INDEX(单位档案!$E$6:$E$35,MATCH($E1441,单位档案!$A$6:$A$35,0)),"")))</f>
        <v/>
      </c>
      <c r="R1441" s="37" t="str">
        <f aca="false">IF($E1441="","",N(IFERROR(INDEX(单位档案!$F$6:$F$35,MATCH($E1441,单位档案!$A$6:$A$35,0)),"")))</f>
        <v/>
      </c>
      <c r="S1441" s="36" t="n">
        <f aca="false">IF(OR($D1441&lt;&gt;"销项开票",IFERROR(INDEX(单位档案!$G$6:$G$35,MATCH($E1441,单位档案!$A$6:$A$35,0)),"")&lt;&gt;"是",N($Q1441)=0),0,IF(IFERROR(INDEX(单位档案!$H$6:$H$35,MATCH($E1441,单位档案!$A$6:$A$35,0)),"")="税差法",ROUND(N($H1441)/(1+$Q1441)*$Q1441-IF(N($R1441)=0,0,$P1441/(1+$R1441)*$R1441),2),ROUND(N($H1441)/(1+$Q1441)*$Q1441,2)))</f>
        <v>0</v>
      </c>
      <c r="T1441" s="36" t="n">
        <f aca="false">ROUND($S1441*N(IFERROR(INDEX(单位档案!$J$6:$J$35,MATCH($E1441,单位档案!$A$6:$A$35,0)),"")),2)</f>
        <v>0</v>
      </c>
      <c r="U1441" s="36" t="n">
        <f aca="false">IF($D1441&lt;&gt;"销项开票",0,ROUND(N($H1441)*N(IFERROR(INDEX(单位档案!$K$6:$K$35,MATCH($E1441,单位档案!$A$6:$A$35,0)),"")),2))</f>
        <v>0</v>
      </c>
      <c r="V1441" s="36" t="n">
        <f aca="false">IF(OR($D1441&lt;&gt;"销项开票",N($Q1441)=0),0,ROUND(N($H1441)/(1+$Q1441)*N(IFERROR(INDEX(单位档案!$L$6:$L$35,MATCH($E1441,单位档案!$A$6:$A$35,0)),"")),2))</f>
        <v>0</v>
      </c>
      <c r="W1441" s="36" t="n">
        <f aca="false">ROUND($S1441+$T1441+$U1441+$V1441,2)</f>
        <v>0</v>
      </c>
      <c r="X1441" s="35" t="str">
        <f aca="false">IF(OR($D1441="挂靠代收",$D1441="我方收款"),COUNTIFS($D$5:$D1441,"挂靠代收")+COUNTIFS($D$5:$D1441,"我方收款"),"")</f>
        <v/>
      </c>
      <c r="Y1441" s="35"/>
      <c r="Z1441" s="21" t="s">
        <v>111</v>
      </c>
    </row>
    <row r="1442" customFormat="false" ht="15.75" hidden="false" customHeight="true" outlineLevel="0" collapsed="false">
      <c r="A1442" s="32" t="str">
        <f aca="false">IF($B1442="","",ROW()-4)</f>
        <v/>
      </c>
      <c r="B1442" s="26"/>
      <c r="C1442" s="24"/>
      <c r="D1442" s="21"/>
      <c r="E1442" s="21"/>
      <c r="F1442" s="21"/>
      <c r="G1442" s="21"/>
      <c r="H1442" s="27"/>
      <c r="I1442" s="23" t="str">
        <f aca="false">IF($D1442&lt;&gt;"销项开票","",IF($N1442="一级",IF(IFERROR(INDEX(项目档案!$E$6:$E$255,MATCH($C1442,项目档案!$A$6:$A$255,0)),"")="",N(IFERROR(INDEX(单位档案!$D$6:$D$35,MATCH($E1442,单位档案!$A$6:$A$35,0)),"")),IFERROR(INDEX(项目档案!$E$6:$E$255,MATCH($C1442,项目档案!$A$6:$A$255,0)),"")),IF($N1442="二级",IF(IFERROR(INDEX(项目档案!$G$6:$G$255,MATCH($C1442,项目档案!$A$6:$A$255,0)),"")="",N(IFERROR(INDEX(单位档案!$D$6:$D$35,MATCH($E1442,单位档案!$A$6:$A$35,0)),"")),IFERROR(INDEX(项目档案!$G$6:$G$255,MATCH($C1442,项目档案!$A$6:$A$255,0)),"")),N(IFERROR(INDEX(单位档案!$D$6:$D$35,MATCH($E1442,单位档案!$A$6:$A$35,0)),"")))))</f>
        <v/>
      </c>
      <c r="J1442" s="22"/>
      <c r="K1442" s="22"/>
      <c r="L1442" s="33" t="str">
        <f aca="false">IF($B1442="","",IF(NOT(ISNUMBER($B1442)),"日期格式不对",IF($C1442="","未选项目编号",IF(LEFT($M1442,1)="⚠","项目编号不存在",IF($D1442="","未选业务类型",IF($E1442="","未选开票/付款方",IF(ISNA(MATCH($E1442,单位档案!$A$6:$A$35,0)),"开票方不在单位档案",IF($F1442="","未选收票/收款方",IF(ISNA(MATCH($F1442,单位档案!$A$6:$A$35,0)),"收款方不在单位档案",IF(NOT(ISNUMBER($H1442)),"金额须为数字",IF(AND($D1442="销项开票",$N1442="—"),"链条待确认","√")))))))))))</f>
        <v/>
      </c>
      <c r="M1442" s="34" t="str">
        <f aca="false">IF($C1442="","",IFERROR(INDEX(项目档案!$B$6:$B$255,MATCH($C1442,项目档案!$A$6:$A$255,0)),"⚠项目编号不存在"))</f>
        <v/>
      </c>
      <c r="N1442" s="35" t="str">
        <f aca="false">IF($E1442="","",IF($E1442=IFERROR(INDEX(项目档案!$D$6:$D$255,MATCH($C1442,项目档案!$A$6:$A$255,0)),""),"一级",IF($E1442=IFERROR(INDEX(项目档案!$F$6:$F$255,MATCH($C1442,项目档案!$A$6:$A$255,0)),""),"二级",IF($E1442=IFERROR(INDEX(项目档案!$H$6:$H$255,MATCH($C1442,项目档案!$A$6:$A$255,0)),""),"我方","—"))))</f>
        <v/>
      </c>
      <c r="O1442" s="36" t="n">
        <f aca="false">IF($D1442&lt;&gt;"销项开票",0,ROUND(N($H1442)*N($I1442),2))</f>
        <v>0</v>
      </c>
      <c r="P1442" s="36" t="n">
        <f aca="false">IF($D1442&lt;&gt;"销项开票",0,ROUND(N($H1442)-$O1442,2))</f>
        <v>0</v>
      </c>
      <c r="Q1442" s="37" t="str">
        <f aca="false">IF($E1442="","",N(IFERROR(INDEX(单位档案!$E$6:$E$35,MATCH($E1442,单位档案!$A$6:$A$35,0)),"")))</f>
        <v/>
      </c>
      <c r="R1442" s="37" t="str">
        <f aca="false">IF($E1442="","",N(IFERROR(INDEX(单位档案!$F$6:$F$35,MATCH($E1442,单位档案!$A$6:$A$35,0)),"")))</f>
        <v/>
      </c>
      <c r="S1442" s="36" t="n">
        <f aca="false">IF(OR($D1442&lt;&gt;"销项开票",IFERROR(INDEX(单位档案!$G$6:$G$35,MATCH($E1442,单位档案!$A$6:$A$35,0)),"")&lt;&gt;"是",N($Q1442)=0),0,IF(IFERROR(INDEX(单位档案!$H$6:$H$35,MATCH($E1442,单位档案!$A$6:$A$35,0)),"")="税差法",ROUND(N($H1442)/(1+$Q1442)*$Q1442-IF(N($R1442)=0,0,$P1442/(1+$R1442)*$R1442),2),ROUND(N($H1442)/(1+$Q1442)*$Q1442,2)))</f>
        <v>0</v>
      </c>
      <c r="T1442" s="36" t="n">
        <f aca="false">ROUND($S1442*N(IFERROR(INDEX(单位档案!$J$6:$J$35,MATCH($E1442,单位档案!$A$6:$A$35,0)),"")),2)</f>
        <v>0</v>
      </c>
      <c r="U1442" s="36" t="n">
        <f aca="false">IF($D1442&lt;&gt;"销项开票",0,ROUND(N($H1442)*N(IFERROR(INDEX(单位档案!$K$6:$K$35,MATCH($E1442,单位档案!$A$6:$A$35,0)),"")),2))</f>
        <v>0</v>
      </c>
      <c r="V1442" s="36" t="n">
        <f aca="false">IF(OR($D1442&lt;&gt;"销项开票",N($Q1442)=0),0,ROUND(N($H1442)/(1+$Q1442)*N(IFERROR(INDEX(单位档案!$L$6:$L$35,MATCH($E1442,单位档案!$A$6:$A$35,0)),"")),2))</f>
        <v>0</v>
      </c>
      <c r="W1442" s="36" t="n">
        <f aca="false">ROUND($S1442+$T1442+$U1442+$V1442,2)</f>
        <v>0</v>
      </c>
      <c r="X1442" s="35" t="str">
        <f aca="false">IF(OR($D1442="挂靠代收",$D1442="我方收款"),COUNTIFS($D$5:$D1442,"挂靠代收")+COUNTIFS($D$5:$D1442,"我方收款"),"")</f>
        <v/>
      </c>
      <c r="Y1442" s="35"/>
      <c r="Z1442" s="21" t="s">
        <v>111</v>
      </c>
    </row>
    <row r="1443" customFormat="false" ht="15.75" hidden="false" customHeight="true" outlineLevel="0" collapsed="false">
      <c r="A1443" s="32" t="str">
        <f aca="false">IF($B1443="","",ROW()-4)</f>
        <v/>
      </c>
      <c r="B1443" s="26"/>
      <c r="C1443" s="24"/>
      <c r="D1443" s="21"/>
      <c r="E1443" s="21"/>
      <c r="F1443" s="21"/>
      <c r="G1443" s="21"/>
      <c r="H1443" s="27"/>
      <c r="I1443" s="23" t="str">
        <f aca="false">IF($D1443&lt;&gt;"销项开票","",IF($N1443="一级",IF(IFERROR(INDEX(项目档案!$E$6:$E$255,MATCH($C1443,项目档案!$A$6:$A$255,0)),"")="",N(IFERROR(INDEX(单位档案!$D$6:$D$35,MATCH($E1443,单位档案!$A$6:$A$35,0)),"")),IFERROR(INDEX(项目档案!$E$6:$E$255,MATCH($C1443,项目档案!$A$6:$A$255,0)),"")),IF($N1443="二级",IF(IFERROR(INDEX(项目档案!$G$6:$G$255,MATCH($C1443,项目档案!$A$6:$A$255,0)),"")="",N(IFERROR(INDEX(单位档案!$D$6:$D$35,MATCH($E1443,单位档案!$A$6:$A$35,0)),"")),IFERROR(INDEX(项目档案!$G$6:$G$255,MATCH($C1443,项目档案!$A$6:$A$255,0)),"")),N(IFERROR(INDEX(单位档案!$D$6:$D$35,MATCH($E1443,单位档案!$A$6:$A$35,0)),"")))))</f>
        <v/>
      </c>
      <c r="J1443" s="22"/>
      <c r="K1443" s="22"/>
      <c r="L1443" s="33" t="str">
        <f aca="false">IF($B1443="","",IF(NOT(ISNUMBER($B1443)),"日期格式不对",IF($C1443="","未选项目编号",IF(LEFT($M1443,1)="⚠","项目编号不存在",IF($D1443="","未选业务类型",IF($E1443="","未选开票/付款方",IF(ISNA(MATCH($E1443,单位档案!$A$6:$A$35,0)),"开票方不在单位档案",IF($F1443="","未选收票/收款方",IF(ISNA(MATCH($F1443,单位档案!$A$6:$A$35,0)),"收款方不在单位档案",IF(NOT(ISNUMBER($H1443)),"金额须为数字",IF(AND($D1443="销项开票",$N1443="—"),"链条待确认","√")))))))))))</f>
        <v/>
      </c>
      <c r="M1443" s="34" t="str">
        <f aca="false">IF($C1443="","",IFERROR(INDEX(项目档案!$B$6:$B$255,MATCH($C1443,项目档案!$A$6:$A$255,0)),"⚠项目编号不存在"))</f>
        <v/>
      </c>
      <c r="N1443" s="35" t="str">
        <f aca="false">IF($E1443="","",IF($E1443=IFERROR(INDEX(项目档案!$D$6:$D$255,MATCH($C1443,项目档案!$A$6:$A$255,0)),""),"一级",IF($E1443=IFERROR(INDEX(项目档案!$F$6:$F$255,MATCH($C1443,项目档案!$A$6:$A$255,0)),""),"二级",IF($E1443=IFERROR(INDEX(项目档案!$H$6:$H$255,MATCH($C1443,项目档案!$A$6:$A$255,0)),""),"我方","—"))))</f>
        <v/>
      </c>
      <c r="O1443" s="36" t="n">
        <f aca="false">IF($D1443&lt;&gt;"销项开票",0,ROUND(N($H1443)*N($I1443),2))</f>
        <v>0</v>
      </c>
      <c r="P1443" s="36" t="n">
        <f aca="false">IF($D1443&lt;&gt;"销项开票",0,ROUND(N($H1443)-$O1443,2))</f>
        <v>0</v>
      </c>
      <c r="Q1443" s="37" t="str">
        <f aca="false">IF($E1443="","",N(IFERROR(INDEX(单位档案!$E$6:$E$35,MATCH($E1443,单位档案!$A$6:$A$35,0)),"")))</f>
        <v/>
      </c>
      <c r="R1443" s="37" t="str">
        <f aca="false">IF($E1443="","",N(IFERROR(INDEX(单位档案!$F$6:$F$35,MATCH($E1443,单位档案!$A$6:$A$35,0)),"")))</f>
        <v/>
      </c>
      <c r="S1443" s="36" t="n">
        <f aca="false">IF(OR($D1443&lt;&gt;"销项开票",IFERROR(INDEX(单位档案!$G$6:$G$35,MATCH($E1443,单位档案!$A$6:$A$35,0)),"")&lt;&gt;"是",N($Q1443)=0),0,IF(IFERROR(INDEX(单位档案!$H$6:$H$35,MATCH($E1443,单位档案!$A$6:$A$35,0)),"")="税差法",ROUND(N($H1443)/(1+$Q1443)*$Q1443-IF(N($R1443)=0,0,$P1443/(1+$R1443)*$R1443),2),ROUND(N($H1443)/(1+$Q1443)*$Q1443,2)))</f>
        <v>0</v>
      </c>
      <c r="T1443" s="36" t="n">
        <f aca="false">ROUND($S1443*N(IFERROR(INDEX(单位档案!$J$6:$J$35,MATCH($E1443,单位档案!$A$6:$A$35,0)),"")),2)</f>
        <v>0</v>
      </c>
      <c r="U1443" s="36" t="n">
        <f aca="false">IF($D1443&lt;&gt;"销项开票",0,ROUND(N($H1443)*N(IFERROR(INDEX(单位档案!$K$6:$K$35,MATCH($E1443,单位档案!$A$6:$A$35,0)),"")),2))</f>
        <v>0</v>
      </c>
      <c r="V1443" s="36" t="n">
        <f aca="false">IF(OR($D1443&lt;&gt;"销项开票",N($Q1443)=0),0,ROUND(N($H1443)/(1+$Q1443)*N(IFERROR(INDEX(单位档案!$L$6:$L$35,MATCH($E1443,单位档案!$A$6:$A$35,0)),"")),2))</f>
        <v>0</v>
      </c>
      <c r="W1443" s="36" t="n">
        <f aca="false">ROUND($S1443+$T1443+$U1443+$V1443,2)</f>
        <v>0</v>
      </c>
      <c r="X1443" s="35" t="str">
        <f aca="false">IF(OR($D1443="挂靠代收",$D1443="我方收款"),COUNTIFS($D$5:$D1443,"挂靠代收")+COUNTIFS($D$5:$D1443,"我方收款"),"")</f>
        <v/>
      </c>
      <c r="Y1443" s="35"/>
      <c r="Z1443" s="21" t="s">
        <v>111</v>
      </c>
    </row>
    <row r="1444" customFormat="false" ht="15.75" hidden="false" customHeight="true" outlineLevel="0" collapsed="false">
      <c r="A1444" s="32" t="str">
        <f aca="false">IF($B1444="","",ROW()-4)</f>
        <v/>
      </c>
      <c r="B1444" s="26"/>
      <c r="C1444" s="24"/>
      <c r="D1444" s="21"/>
      <c r="E1444" s="21"/>
      <c r="F1444" s="21"/>
      <c r="G1444" s="21"/>
      <c r="H1444" s="27"/>
      <c r="I1444" s="23" t="str">
        <f aca="false">IF($D1444&lt;&gt;"销项开票","",IF($N1444="一级",IF(IFERROR(INDEX(项目档案!$E$6:$E$255,MATCH($C1444,项目档案!$A$6:$A$255,0)),"")="",N(IFERROR(INDEX(单位档案!$D$6:$D$35,MATCH($E1444,单位档案!$A$6:$A$35,0)),"")),IFERROR(INDEX(项目档案!$E$6:$E$255,MATCH($C1444,项目档案!$A$6:$A$255,0)),"")),IF($N1444="二级",IF(IFERROR(INDEX(项目档案!$G$6:$G$255,MATCH($C1444,项目档案!$A$6:$A$255,0)),"")="",N(IFERROR(INDEX(单位档案!$D$6:$D$35,MATCH($E1444,单位档案!$A$6:$A$35,0)),"")),IFERROR(INDEX(项目档案!$G$6:$G$255,MATCH($C1444,项目档案!$A$6:$A$255,0)),"")),N(IFERROR(INDEX(单位档案!$D$6:$D$35,MATCH($E1444,单位档案!$A$6:$A$35,0)),"")))))</f>
        <v/>
      </c>
      <c r="J1444" s="22"/>
      <c r="K1444" s="22"/>
      <c r="L1444" s="33" t="str">
        <f aca="false">IF($B1444="","",IF(NOT(ISNUMBER($B1444)),"日期格式不对",IF($C1444="","未选项目编号",IF(LEFT($M1444,1)="⚠","项目编号不存在",IF($D1444="","未选业务类型",IF($E1444="","未选开票/付款方",IF(ISNA(MATCH($E1444,单位档案!$A$6:$A$35,0)),"开票方不在单位档案",IF($F1444="","未选收票/收款方",IF(ISNA(MATCH($F1444,单位档案!$A$6:$A$35,0)),"收款方不在单位档案",IF(NOT(ISNUMBER($H1444)),"金额须为数字",IF(AND($D1444="销项开票",$N1444="—"),"链条待确认","√")))))))))))</f>
        <v/>
      </c>
      <c r="M1444" s="34" t="str">
        <f aca="false">IF($C1444="","",IFERROR(INDEX(项目档案!$B$6:$B$255,MATCH($C1444,项目档案!$A$6:$A$255,0)),"⚠项目编号不存在"))</f>
        <v/>
      </c>
      <c r="N1444" s="35" t="str">
        <f aca="false">IF($E1444="","",IF($E1444=IFERROR(INDEX(项目档案!$D$6:$D$255,MATCH($C1444,项目档案!$A$6:$A$255,0)),""),"一级",IF($E1444=IFERROR(INDEX(项目档案!$F$6:$F$255,MATCH($C1444,项目档案!$A$6:$A$255,0)),""),"二级",IF($E1444=IFERROR(INDEX(项目档案!$H$6:$H$255,MATCH($C1444,项目档案!$A$6:$A$255,0)),""),"我方","—"))))</f>
        <v/>
      </c>
      <c r="O1444" s="36" t="n">
        <f aca="false">IF($D1444&lt;&gt;"销项开票",0,ROUND(N($H1444)*N($I1444),2))</f>
        <v>0</v>
      </c>
      <c r="P1444" s="36" t="n">
        <f aca="false">IF($D1444&lt;&gt;"销项开票",0,ROUND(N($H1444)-$O1444,2))</f>
        <v>0</v>
      </c>
      <c r="Q1444" s="37" t="str">
        <f aca="false">IF($E1444="","",N(IFERROR(INDEX(单位档案!$E$6:$E$35,MATCH($E1444,单位档案!$A$6:$A$35,0)),"")))</f>
        <v/>
      </c>
      <c r="R1444" s="37" t="str">
        <f aca="false">IF($E1444="","",N(IFERROR(INDEX(单位档案!$F$6:$F$35,MATCH($E1444,单位档案!$A$6:$A$35,0)),"")))</f>
        <v/>
      </c>
      <c r="S1444" s="36" t="n">
        <f aca="false">IF(OR($D1444&lt;&gt;"销项开票",IFERROR(INDEX(单位档案!$G$6:$G$35,MATCH($E1444,单位档案!$A$6:$A$35,0)),"")&lt;&gt;"是",N($Q1444)=0),0,IF(IFERROR(INDEX(单位档案!$H$6:$H$35,MATCH($E1444,单位档案!$A$6:$A$35,0)),"")="税差法",ROUND(N($H1444)/(1+$Q1444)*$Q1444-IF(N($R1444)=0,0,$P1444/(1+$R1444)*$R1444),2),ROUND(N($H1444)/(1+$Q1444)*$Q1444,2)))</f>
        <v>0</v>
      </c>
      <c r="T1444" s="36" t="n">
        <f aca="false">ROUND($S1444*N(IFERROR(INDEX(单位档案!$J$6:$J$35,MATCH($E1444,单位档案!$A$6:$A$35,0)),"")),2)</f>
        <v>0</v>
      </c>
      <c r="U1444" s="36" t="n">
        <f aca="false">IF($D1444&lt;&gt;"销项开票",0,ROUND(N($H1444)*N(IFERROR(INDEX(单位档案!$K$6:$K$35,MATCH($E1444,单位档案!$A$6:$A$35,0)),"")),2))</f>
        <v>0</v>
      </c>
      <c r="V1444" s="36" t="n">
        <f aca="false">IF(OR($D1444&lt;&gt;"销项开票",N($Q1444)=0),0,ROUND(N($H1444)/(1+$Q1444)*N(IFERROR(INDEX(单位档案!$L$6:$L$35,MATCH($E1444,单位档案!$A$6:$A$35,0)),"")),2))</f>
        <v>0</v>
      </c>
      <c r="W1444" s="36" t="n">
        <f aca="false">ROUND($S1444+$T1444+$U1444+$V1444,2)</f>
        <v>0</v>
      </c>
      <c r="X1444" s="35" t="str">
        <f aca="false">IF(OR($D1444="挂靠代收",$D1444="我方收款"),COUNTIFS($D$5:$D1444,"挂靠代收")+COUNTIFS($D$5:$D1444,"我方收款"),"")</f>
        <v/>
      </c>
      <c r="Y1444" s="35"/>
      <c r="Z1444" s="21" t="s">
        <v>111</v>
      </c>
    </row>
    <row r="1445" customFormat="false" ht="15.75" hidden="false" customHeight="true" outlineLevel="0" collapsed="false">
      <c r="A1445" s="32" t="str">
        <f aca="false">IF($B1445="","",ROW()-4)</f>
        <v/>
      </c>
      <c r="B1445" s="26"/>
      <c r="C1445" s="24"/>
      <c r="D1445" s="21"/>
      <c r="E1445" s="21"/>
      <c r="F1445" s="21"/>
      <c r="G1445" s="21"/>
      <c r="H1445" s="27"/>
      <c r="I1445" s="23" t="str">
        <f aca="false">IF($D1445&lt;&gt;"销项开票","",IF($N1445="一级",IF(IFERROR(INDEX(项目档案!$E$6:$E$255,MATCH($C1445,项目档案!$A$6:$A$255,0)),"")="",N(IFERROR(INDEX(单位档案!$D$6:$D$35,MATCH($E1445,单位档案!$A$6:$A$35,0)),"")),IFERROR(INDEX(项目档案!$E$6:$E$255,MATCH($C1445,项目档案!$A$6:$A$255,0)),"")),IF($N1445="二级",IF(IFERROR(INDEX(项目档案!$G$6:$G$255,MATCH($C1445,项目档案!$A$6:$A$255,0)),"")="",N(IFERROR(INDEX(单位档案!$D$6:$D$35,MATCH($E1445,单位档案!$A$6:$A$35,0)),"")),IFERROR(INDEX(项目档案!$G$6:$G$255,MATCH($C1445,项目档案!$A$6:$A$255,0)),"")),N(IFERROR(INDEX(单位档案!$D$6:$D$35,MATCH($E1445,单位档案!$A$6:$A$35,0)),"")))))</f>
        <v/>
      </c>
      <c r="J1445" s="22"/>
      <c r="K1445" s="22"/>
      <c r="L1445" s="33" t="str">
        <f aca="false">IF($B1445="","",IF(NOT(ISNUMBER($B1445)),"日期格式不对",IF($C1445="","未选项目编号",IF(LEFT($M1445,1)="⚠","项目编号不存在",IF($D1445="","未选业务类型",IF($E1445="","未选开票/付款方",IF(ISNA(MATCH($E1445,单位档案!$A$6:$A$35,0)),"开票方不在单位档案",IF($F1445="","未选收票/收款方",IF(ISNA(MATCH($F1445,单位档案!$A$6:$A$35,0)),"收款方不在单位档案",IF(NOT(ISNUMBER($H1445)),"金额须为数字",IF(AND($D1445="销项开票",$N1445="—"),"链条待确认","√")))))))))))</f>
        <v/>
      </c>
      <c r="M1445" s="34" t="str">
        <f aca="false">IF($C1445="","",IFERROR(INDEX(项目档案!$B$6:$B$255,MATCH($C1445,项目档案!$A$6:$A$255,0)),"⚠项目编号不存在"))</f>
        <v/>
      </c>
      <c r="N1445" s="35" t="str">
        <f aca="false">IF($E1445="","",IF($E1445=IFERROR(INDEX(项目档案!$D$6:$D$255,MATCH($C1445,项目档案!$A$6:$A$255,0)),""),"一级",IF($E1445=IFERROR(INDEX(项目档案!$F$6:$F$255,MATCH($C1445,项目档案!$A$6:$A$255,0)),""),"二级",IF($E1445=IFERROR(INDEX(项目档案!$H$6:$H$255,MATCH($C1445,项目档案!$A$6:$A$255,0)),""),"我方","—"))))</f>
        <v/>
      </c>
      <c r="O1445" s="36" t="n">
        <f aca="false">IF($D1445&lt;&gt;"销项开票",0,ROUND(N($H1445)*N($I1445),2))</f>
        <v>0</v>
      </c>
      <c r="P1445" s="36" t="n">
        <f aca="false">IF($D1445&lt;&gt;"销项开票",0,ROUND(N($H1445)-$O1445,2))</f>
        <v>0</v>
      </c>
      <c r="Q1445" s="37" t="str">
        <f aca="false">IF($E1445="","",N(IFERROR(INDEX(单位档案!$E$6:$E$35,MATCH($E1445,单位档案!$A$6:$A$35,0)),"")))</f>
        <v/>
      </c>
      <c r="R1445" s="37" t="str">
        <f aca="false">IF($E1445="","",N(IFERROR(INDEX(单位档案!$F$6:$F$35,MATCH($E1445,单位档案!$A$6:$A$35,0)),"")))</f>
        <v/>
      </c>
      <c r="S1445" s="36" t="n">
        <f aca="false">IF(OR($D1445&lt;&gt;"销项开票",IFERROR(INDEX(单位档案!$G$6:$G$35,MATCH($E1445,单位档案!$A$6:$A$35,0)),"")&lt;&gt;"是",N($Q1445)=0),0,IF(IFERROR(INDEX(单位档案!$H$6:$H$35,MATCH($E1445,单位档案!$A$6:$A$35,0)),"")="税差法",ROUND(N($H1445)/(1+$Q1445)*$Q1445-IF(N($R1445)=0,0,$P1445/(1+$R1445)*$R1445),2),ROUND(N($H1445)/(1+$Q1445)*$Q1445,2)))</f>
        <v>0</v>
      </c>
      <c r="T1445" s="36" t="n">
        <f aca="false">ROUND($S1445*N(IFERROR(INDEX(单位档案!$J$6:$J$35,MATCH($E1445,单位档案!$A$6:$A$35,0)),"")),2)</f>
        <v>0</v>
      </c>
      <c r="U1445" s="36" t="n">
        <f aca="false">IF($D1445&lt;&gt;"销项开票",0,ROUND(N($H1445)*N(IFERROR(INDEX(单位档案!$K$6:$K$35,MATCH($E1445,单位档案!$A$6:$A$35,0)),"")),2))</f>
        <v>0</v>
      </c>
      <c r="V1445" s="36" t="n">
        <f aca="false">IF(OR($D1445&lt;&gt;"销项开票",N($Q1445)=0),0,ROUND(N($H1445)/(1+$Q1445)*N(IFERROR(INDEX(单位档案!$L$6:$L$35,MATCH($E1445,单位档案!$A$6:$A$35,0)),"")),2))</f>
        <v>0</v>
      </c>
      <c r="W1445" s="36" t="n">
        <f aca="false">ROUND($S1445+$T1445+$U1445+$V1445,2)</f>
        <v>0</v>
      </c>
      <c r="X1445" s="35" t="str">
        <f aca="false">IF(OR($D1445="挂靠代收",$D1445="我方收款"),COUNTIFS($D$5:$D1445,"挂靠代收")+COUNTIFS($D$5:$D1445,"我方收款"),"")</f>
        <v/>
      </c>
      <c r="Y1445" s="35"/>
      <c r="Z1445" s="21" t="s">
        <v>111</v>
      </c>
    </row>
    <row r="1446" customFormat="false" ht="15.75" hidden="false" customHeight="true" outlineLevel="0" collapsed="false">
      <c r="A1446" s="32" t="str">
        <f aca="false">IF($B1446="","",ROW()-4)</f>
        <v/>
      </c>
      <c r="B1446" s="26"/>
      <c r="C1446" s="24"/>
      <c r="D1446" s="21"/>
      <c r="E1446" s="21"/>
      <c r="F1446" s="21"/>
      <c r="G1446" s="21"/>
      <c r="H1446" s="27"/>
      <c r="I1446" s="23" t="str">
        <f aca="false">IF($D1446&lt;&gt;"销项开票","",IF($N1446="一级",IF(IFERROR(INDEX(项目档案!$E$6:$E$255,MATCH($C1446,项目档案!$A$6:$A$255,0)),"")="",N(IFERROR(INDEX(单位档案!$D$6:$D$35,MATCH($E1446,单位档案!$A$6:$A$35,0)),"")),IFERROR(INDEX(项目档案!$E$6:$E$255,MATCH($C1446,项目档案!$A$6:$A$255,0)),"")),IF($N1446="二级",IF(IFERROR(INDEX(项目档案!$G$6:$G$255,MATCH($C1446,项目档案!$A$6:$A$255,0)),"")="",N(IFERROR(INDEX(单位档案!$D$6:$D$35,MATCH($E1446,单位档案!$A$6:$A$35,0)),"")),IFERROR(INDEX(项目档案!$G$6:$G$255,MATCH($C1446,项目档案!$A$6:$A$255,0)),"")),N(IFERROR(INDEX(单位档案!$D$6:$D$35,MATCH($E1446,单位档案!$A$6:$A$35,0)),"")))))</f>
        <v/>
      </c>
      <c r="J1446" s="22"/>
      <c r="K1446" s="22"/>
      <c r="L1446" s="33" t="str">
        <f aca="false">IF($B1446="","",IF(NOT(ISNUMBER($B1446)),"日期格式不对",IF($C1446="","未选项目编号",IF(LEFT($M1446,1)="⚠","项目编号不存在",IF($D1446="","未选业务类型",IF($E1446="","未选开票/付款方",IF(ISNA(MATCH($E1446,单位档案!$A$6:$A$35,0)),"开票方不在单位档案",IF($F1446="","未选收票/收款方",IF(ISNA(MATCH($F1446,单位档案!$A$6:$A$35,0)),"收款方不在单位档案",IF(NOT(ISNUMBER($H1446)),"金额须为数字",IF(AND($D1446="销项开票",$N1446="—"),"链条待确认","√")))))))))))</f>
        <v/>
      </c>
      <c r="M1446" s="34" t="str">
        <f aca="false">IF($C1446="","",IFERROR(INDEX(项目档案!$B$6:$B$255,MATCH($C1446,项目档案!$A$6:$A$255,0)),"⚠项目编号不存在"))</f>
        <v/>
      </c>
      <c r="N1446" s="35" t="str">
        <f aca="false">IF($E1446="","",IF($E1446=IFERROR(INDEX(项目档案!$D$6:$D$255,MATCH($C1446,项目档案!$A$6:$A$255,0)),""),"一级",IF($E1446=IFERROR(INDEX(项目档案!$F$6:$F$255,MATCH($C1446,项目档案!$A$6:$A$255,0)),""),"二级",IF($E1446=IFERROR(INDEX(项目档案!$H$6:$H$255,MATCH($C1446,项目档案!$A$6:$A$255,0)),""),"我方","—"))))</f>
        <v/>
      </c>
      <c r="O1446" s="36" t="n">
        <f aca="false">IF($D1446&lt;&gt;"销项开票",0,ROUND(N($H1446)*N($I1446),2))</f>
        <v>0</v>
      </c>
      <c r="P1446" s="36" t="n">
        <f aca="false">IF($D1446&lt;&gt;"销项开票",0,ROUND(N($H1446)-$O1446,2))</f>
        <v>0</v>
      </c>
      <c r="Q1446" s="37" t="str">
        <f aca="false">IF($E1446="","",N(IFERROR(INDEX(单位档案!$E$6:$E$35,MATCH($E1446,单位档案!$A$6:$A$35,0)),"")))</f>
        <v/>
      </c>
      <c r="R1446" s="37" t="str">
        <f aca="false">IF($E1446="","",N(IFERROR(INDEX(单位档案!$F$6:$F$35,MATCH($E1446,单位档案!$A$6:$A$35,0)),"")))</f>
        <v/>
      </c>
      <c r="S1446" s="36" t="n">
        <f aca="false">IF(OR($D1446&lt;&gt;"销项开票",IFERROR(INDEX(单位档案!$G$6:$G$35,MATCH($E1446,单位档案!$A$6:$A$35,0)),"")&lt;&gt;"是",N($Q1446)=0),0,IF(IFERROR(INDEX(单位档案!$H$6:$H$35,MATCH($E1446,单位档案!$A$6:$A$35,0)),"")="税差法",ROUND(N($H1446)/(1+$Q1446)*$Q1446-IF(N($R1446)=0,0,$P1446/(1+$R1446)*$R1446),2),ROUND(N($H1446)/(1+$Q1446)*$Q1446,2)))</f>
        <v>0</v>
      </c>
      <c r="T1446" s="36" t="n">
        <f aca="false">ROUND($S1446*N(IFERROR(INDEX(单位档案!$J$6:$J$35,MATCH($E1446,单位档案!$A$6:$A$35,0)),"")),2)</f>
        <v>0</v>
      </c>
      <c r="U1446" s="36" t="n">
        <f aca="false">IF($D1446&lt;&gt;"销项开票",0,ROUND(N($H1446)*N(IFERROR(INDEX(单位档案!$K$6:$K$35,MATCH($E1446,单位档案!$A$6:$A$35,0)),"")),2))</f>
        <v>0</v>
      </c>
      <c r="V1446" s="36" t="n">
        <f aca="false">IF(OR($D1446&lt;&gt;"销项开票",N($Q1446)=0),0,ROUND(N($H1446)/(1+$Q1446)*N(IFERROR(INDEX(单位档案!$L$6:$L$35,MATCH($E1446,单位档案!$A$6:$A$35,0)),"")),2))</f>
        <v>0</v>
      </c>
      <c r="W1446" s="36" t="n">
        <f aca="false">ROUND($S1446+$T1446+$U1446+$V1446,2)</f>
        <v>0</v>
      </c>
      <c r="X1446" s="35" t="str">
        <f aca="false">IF(OR($D1446="挂靠代收",$D1446="我方收款"),COUNTIFS($D$5:$D1446,"挂靠代收")+COUNTIFS($D$5:$D1446,"我方收款"),"")</f>
        <v/>
      </c>
      <c r="Y1446" s="35"/>
      <c r="Z1446" s="21" t="s">
        <v>111</v>
      </c>
    </row>
    <row r="1447" customFormat="false" ht="15.75" hidden="false" customHeight="true" outlineLevel="0" collapsed="false">
      <c r="A1447" s="32" t="str">
        <f aca="false">IF($B1447="","",ROW()-4)</f>
        <v/>
      </c>
      <c r="B1447" s="26"/>
      <c r="C1447" s="24"/>
      <c r="D1447" s="21"/>
      <c r="E1447" s="21"/>
      <c r="F1447" s="21"/>
      <c r="G1447" s="21"/>
      <c r="H1447" s="27"/>
      <c r="I1447" s="23" t="str">
        <f aca="false">IF($D1447&lt;&gt;"销项开票","",IF($N1447="一级",IF(IFERROR(INDEX(项目档案!$E$6:$E$255,MATCH($C1447,项目档案!$A$6:$A$255,0)),"")="",N(IFERROR(INDEX(单位档案!$D$6:$D$35,MATCH($E1447,单位档案!$A$6:$A$35,0)),"")),IFERROR(INDEX(项目档案!$E$6:$E$255,MATCH($C1447,项目档案!$A$6:$A$255,0)),"")),IF($N1447="二级",IF(IFERROR(INDEX(项目档案!$G$6:$G$255,MATCH($C1447,项目档案!$A$6:$A$255,0)),"")="",N(IFERROR(INDEX(单位档案!$D$6:$D$35,MATCH($E1447,单位档案!$A$6:$A$35,0)),"")),IFERROR(INDEX(项目档案!$G$6:$G$255,MATCH($C1447,项目档案!$A$6:$A$255,0)),"")),N(IFERROR(INDEX(单位档案!$D$6:$D$35,MATCH($E1447,单位档案!$A$6:$A$35,0)),"")))))</f>
        <v/>
      </c>
      <c r="J1447" s="22"/>
      <c r="K1447" s="22"/>
      <c r="L1447" s="33" t="str">
        <f aca="false">IF($B1447="","",IF(NOT(ISNUMBER($B1447)),"日期格式不对",IF($C1447="","未选项目编号",IF(LEFT($M1447,1)="⚠","项目编号不存在",IF($D1447="","未选业务类型",IF($E1447="","未选开票/付款方",IF(ISNA(MATCH($E1447,单位档案!$A$6:$A$35,0)),"开票方不在单位档案",IF($F1447="","未选收票/收款方",IF(ISNA(MATCH($F1447,单位档案!$A$6:$A$35,0)),"收款方不在单位档案",IF(NOT(ISNUMBER($H1447)),"金额须为数字",IF(AND($D1447="销项开票",$N1447="—"),"链条待确认","√")))))))))))</f>
        <v/>
      </c>
      <c r="M1447" s="34" t="str">
        <f aca="false">IF($C1447="","",IFERROR(INDEX(项目档案!$B$6:$B$255,MATCH($C1447,项目档案!$A$6:$A$255,0)),"⚠项目编号不存在"))</f>
        <v/>
      </c>
      <c r="N1447" s="35" t="str">
        <f aca="false">IF($E1447="","",IF($E1447=IFERROR(INDEX(项目档案!$D$6:$D$255,MATCH($C1447,项目档案!$A$6:$A$255,0)),""),"一级",IF($E1447=IFERROR(INDEX(项目档案!$F$6:$F$255,MATCH($C1447,项目档案!$A$6:$A$255,0)),""),"二级",IF($E1447=IFERROR(INDEX(项目档案!$H$6:$H$255,MATCH($C1447,项目档案!$A$6:$A$255,0)),""),"我方","—"))))</f>
        <v/>
      </c>
      <c r="O1447" s="36" t="n">
        <f aca="false">IF($D1447&lt;&gt;"销项开票",0,ROUND(N($H1447)*N($I1447),2))</f>
        <v>0</v>
      </c>
      <c r="P1447" s="36" t="n">
        <f aca="false">IF($D1447&lt;&gt;"销项开票",0,ROUND(N($H1447)-$O1447,2))</f>
        <v>0</v>
      </c>
      <c r="Q1447" s="37" t="str">
        <f aca="false">IF($E1447="","",N(IFERROR(INDEX(单位档案!$E$6:$E$35,MATCH($E1447,单位档案!$A$6:$A$35,0)),"")))</f>
        <v/>
      </c>
      <c r="R1447" s="37" t="str">
        <f aca="false">IF($E1447="","",N(IFERROR(INDEX(单位档案!$F$6:$F$35,MATCH($E1447,单位档案!$A$6:$A$35,0)),"")))</f>
        <v/>
      </c>
      <c r="S1447" s="36" t="n">
        <f aca="false">IF(OR($D1447&lt;&gt;"销项开票",IFERROR(INDEX(单位档案!$G$6:$G$35,MATCH($E1447,单位档案!$A$6:$A$35,0)),"")&lt;&gt;"是",N($Q1447)=0),0,IF(IFERROR(INDEX(单位档案!$H$6:$H$35,MATCH($E1447,单位档案!$A$6:$A$35,0)),"")="税差法",ROUND(N($H1447)/(1+$Q1447)*$Q1447-IF(N($R1447)=0,0,$P1447/(1+$R1447)*$R1447),2),ROUND(N($H1447)/(1+$Q1447)*$Q1447,2)))</f>
        <v>0</v>
      </c>
      <c r="T1447" s="36" t="n">
        <f aca="false">ROUND($S1447*N(IFERROR(INDEX(单位档案!$J$6:$J$35,MATCH($E1447,单位档案!$A$6:$A$35,0)),"")),2)</f>
        <v>0</v>
      </c>
      <c r="U1447" s="36" t="n">
        <f aca="false">IF($D1447&lt;&gt;"销项开票",0,ROUND(N($H1447)*N(IFERROR(INDEX(单位档案!$K$6:$K$35,MATCH($E1447,单位档案!$A$6:$A$35,0)),"")),2))</f>
        <v>0</v>
      </c>
      <c r="V1447" s="36" t="n">
        <f aca="false">IF(OR($D1447&lt;&gt;"销项开票",N($Q1447)=0),0,ROUND(N($H1447)/(1+$Q1447)*N(IFERROR(INDEX(单位档案!$L$6:$L$35,MATCH($E1447,单位档案!$A$6:$A$35,0)),"")),2))</f>
        <v>0</v>
      </c>
      <c r="W1447" s="36" t="n">
        <f aca="false">ROUND($S1447+$T1447+$U1447+$V1447,2)</f>
        <v>0</v>
      </c>
      <c r="X1447" s="35" t="str">
        <f aca="false">IF(OR($D1447="挂靠代收",$D1447="我方收款"),COUNTIFS($D$5:$D1447,"挂靠代收")+COUNTIFS($D$5:$D1447,"我方收款"),"")</f>
        <v/>
      </c>
      <c r="Y1447" s="35"/>
      <c r="Z1447" s="21" t="s">
        <v>111</v>
      </c>
    </row>
    <row r="1448" customFormat="false" ht="15.75" hidden="false" customHeight="true" outlineLevel="0" collapsed="false">
      <c r="A1448" s="32" t="str">
        <f aca="false">IF($B1448="","",ROW()-4)</f>
        <v/>
      </c>
      <c r="B1448" s="26"/>
      <c r="C1448" s="24"/>
      <c r="D1448" s="21"/>
      <c r="E1448" s="21"/>
      <c r="F1448" s="21"/>
      <c r="G1448" s="21"/>
      <c r="H1448" s="27"/>
      <c r="I1448" s="23" t="str">
        <f aca="false">IF($D1448&lt;&gt;"销项开票","",IF($N1448="一级",IF(IFERROR(INDEX(项目档案!$E$6:$E$255,MATCH($C1448,项目档案!$A$6:$A$255,0)),"")="",N(IFERROR(INDEX(单位档案!$D$6:$D$35,MATCH($E1448,单位档案!$A$6:$A$35,0)),"")),IFERROR(INDEX(项目档案!$E$6:$E$255,MATCH($C1448,项目档案!$A$6:$A$255,0)),"")),IF($N1448="二级",IF(IFERROR(INDEX(项目档案!$G$6:$G$255,MATCH($C1448,项目档案!$A$6:$A$255,0)),"")="",N(IFERROR(INDEX(单位档案!$D$6:$D$35,MATCH($E1448,单位档案!$A$6:$A$35,0)),"")),IFERROR(INDEX(项目档案!$G$6:$G$255,MATCH($C1448,项目档案!$A$6:$A$255,0)),"")),N(IFERROR(INDEX(单位档案!$D$6:$D$35,MATCH($E1448,单位档案!$A$6:$A$35,0)),"")))))</f>
        <v/>
      </c>
      <c r="J1448" s="22"/>
      <c r="K1448" s="22"/>
      <c r="L1448" s="33" t="str">
        <f aca="false">IF($B1448="","",IF(NOT(ISNUMBER($B1448)),"日期格式不对",IF($C1448="","未选项目编号",IF(LEFT($M1448,1)="⚠","项目编号不存在",IF($D1448="","未选业务类型",IF($E1448="","未选开票/付款方",IF(ISNA(MATCH($E1448,单位档案!$A$6:$A$35,0)),"开票方不在单位档案",IF($F1448="","未选收票/收款方",IF(ISNA(MATCH($F1448,单位档案!$A$6:$A$35,0)),"收款方不在单位档案",IF(NOT(ISNUMBER($H1448)),"金额须为数字",IF(AND($D1448="销项开票",$N1448="—"),"链条待确认","√")))))))))))</f>
        <v/>
      </c>
      <c r="M1448" s="34" t="str">
        <f aca="false">IF($C1448="","",IFERROR(INDEX(项目档案!$B$6:$B$255,MATCH($C1448,项目档案!$A$6:$A$255,0)),"⚠项目编号不存在"))</f>
        <v/>
      </c>
      <c r="N1448" s="35" t="str">
        <f aca="false">IF($E1448="","",IF($E1448=IFERROR(INDEX(项目档案!$D$6:$D$255,MATCH($C1448,项目档案!$A$6:$A$255,0)),""),"一级",IF($E1448=IFERROR(INDEX(项目档案!$F$6:$F$255,MATCH($C1448,项目档案!$A$6:$A$255,0)),""),"二级",IF($E1448=IFERROR(INDEX(项目档案!$H$6:$H$255,MATCH($C1448,项目档案!$A$6:$A$255,0)),""),"我方","—"))))</f>
        <v/>
      </c>
      <c r="O1448" s="36" t="n">
        <f aca="false">IF($D1448&lt;&gt;"销项开票",0,ROUND(N($H1448)*N($I1448),2))</f>
        <v>0</v>
      </c>
      <c r="P1448" s="36" t="n">
        <f aca="false">IF($D1448&lt;&gt;"销项开票",0,ROUND(N($H1448)-$O1448,2))</f>
        <v>0</v>
      </c>
      <c r="Q1448" s="37" t="str">
        <f aca="false">IF($E1448="","",N(IFERROR(INDEX(单位档案!$E$6:$E$35,MATCH($E1448,单位档案!$A$6:$A$35,0)),"")))</f>
        <v/>
      </c>
      <c r="R1448" s="37" t="str">
        <f aca="false">IF($E1448="","",N(IFERROR(INDEX(单位档案!$F$6:$F$35,MATCH($E1448,单位档案!$A$6:$A$35,0)),"")))</f>
        <v/>
      </c>
      <c r="S1448" s="36" t="n">
        <f aca="false">IF(OR($D1448&lt;&gt;"销项开票",IFERROR(INDEX(单位档案!$G$6:$G$35,MATCH($E1448,单位档案!$A$6:$A$35,0)),"")&lt;&gt;"是",N($Q1448)=0),0,IF(IFERROR(INDEX(单位档案!$H$6:$H$35,MATCH($E1448,单位档案!$A$6:$A$35,0)),"")="税差法",ROUND(N($H1448)/(1+$Q1448)*$Q1448-IF(N($R1448)=0,0,$P1448/(1+$R1448)*$R1448),2),ROUND(N($H1448)/(1+$Q1448)*$Q1448,2)))</f>
        <v>0</v>
      </c>
      <c r="T1448" s="36" t="n">
        <f aca="false">ROUND($S1448*N(IFERROR(INDEX(单位档案!$J$6:$J$35,MATCH($E1448,单位档案!$A$6:$A$35,0)),"")),2)</f>
        <v>0</v>
      </c>
      <c r="U1448" s="36" t="n">
        <f aca="false">IF($D1448&lt;&gt;"销项开票",0,ROUND(N($H1448)*N(IFERROR(INDEX(单位档案!$K$6:$K$35,MATCH($E1448,单位档案!$A$6:$A$35,0)),"")),2))</f>
        <v>0</v>
      </c>
      <c r="V1448" s="36" t="n">
        <f aca="false">IF(OR($D1448&lt;&gt;"销项开票",N($Q1448)=0),0,ROUND(N($H1448)/(1+$Q1448)*N(IFERROR(INDEX(单位档案!$L$6:$L$35,MATCH($E1448,单位档案!$A$6:$A$35,0)),"")),2))</f>
        <v>0</v>
      </c>
      <c r="W1448" s="36" t="n">
        <f aca="false">ROUND($S1448+$T1448+$U1448+$V1448,2)</f>
        <v>0</v>
      </c>
      <c r="X1448" s="35" t="str">
        <f aca="false">IF(OR($D1448="挂靠代收",$D1448="我方收款"),COUNTIFS($D$5:$D1448,"挂靠代收")+COUNTIFS($D$5:$D1448,"我方收款"),"")</f>
        <v/>
      </c>
      <c r="Y1448" s="35"/>
      <c r="Z1448" s="21" t="s">
        <v>111</v>
      </c>
    </row>
    <row r="1449" customFormat="false" ht="15.75" hidden="false" customHeight="true" outlineLevel="0" collapsed="false">
      <c r="A1449" s="32" t="str">
        <f aca="false">IF($B1449="","",ROW()-4)</f>
        <v/>
      </c>
      <c r="B1449" s="26"/>
      <c r="C1449" s="24"/>
      <c r="D1449" s="21"/>
      <c r="E1449" s="21"/>
      <c r="F1449" s="21"/>
      <c r="G1449" s="21"/>
      <c r="H1449" s="27"/>
      <c r="I1449" s="23" t="str">
        <f aca="false">IF($D1449&lt;&gt;"销项开票","",IF($N1449="一级",IF(IFERROR(INDEX(项目档案!$E$6:$E$255,MATCH($C1449,项目档案!$A$6:$A$255,0)),"")="",N(IFERROR(INDEX(单位档案!$D$6:$D$35,MATCH($E1449,单位档案!$A$6:$A$35,0)),"")),IFERROR(INDEX(项目档案!$E$6:$E$255,MATCH($C1449,项目档案!$A$6:$A$255,0)),"")),IF($N1449="二级",IF(IFERROR(INDEX(项目档案!$G$6:$G$255,MATCH($C1449,项目档案!$A$6:$A$255,0)),"")="",N(IFERROR(INDEX(单位档案!$D$6:$D$35,MATCH($E1449,单位档案!$A$6:$A$35,0)),"")),IFERROR(INDEX(项目档案!$G$6:$G$255,MATCH($C1449,项目档案!$A$6:$A$255,0)),"")),N(IFERROR(INDEX(单位档案!$D$6:$D$35,MATCH($E1449,单位档案!$A$6:$A$35,0)),"")))))</f>
        <v/>
      </c>
      <c r="J1449" s="22"/>
      <c r="K1449" s="22"/>
      <c r="L1449" s="33" t="str">
        <f aca="false">IF($B1449="","",IF(NOT(ISNUMBER($B1449)),"日期格式不对",IF($C1449="","未选项目编号",IF(LEFT($M1449,1)="⚠","项目编号不存在",IF($D1449="","未选业务类型",IF($E1449="","未选开票/付款方",IF(ISNA(MATCH($E1449,单位档案!$A$6:$A$35,0)),"开票方不在单位档案",IF($F1449="","未选收票/收款方",IF(ISNA(MATCH($F1449,单位档案!$A$6:$A$35,0)),"收款方不在单位档案",IF(NOT(ISNUMBER($H1449)),"金额须为数字",IF(AND($D1449="销项开票",$N1449="—"),"链条待确认","√")))))))))))</f>
        <v/>
      </c>
      <c r="M1449" s="34" t="str">
        <f aca="false">IF($C1449="","",IFERROR(INDEX(项目档案!$B$6:$B$255,MATCH($C1449,项目档案!$A$6:$A$255,0)),"⚠项目编号不存在"))</f>
        <v/>
      </c>
      <c r="N1449" s="35" t="str">
        <f aca="false">IF($E1449="","",IF($E1449=IFERROR(INDEX(项目档案!$D$6:$D$255,MATCH($C1449,项目档案!$A$6:$A$255,0)),""),"一级",IF($E1449=IFERROR(INDEX(项目档案!$F$6:$F$255,MATCH($C1449,项目档案!$A$6:$A$255,0)),""),"二级",IF($E1449=IFERROR(INDEX(项目档案!$H$6:$H$255,MATCH($C1449,项目档案!$A$6:$A$255,0)),""),"我方","—"))))</f>
        <v/>
      </c>
      <c r="O1449" s="36" t="n">
        <f aca="false">IF($D1449&lt;&gt;"销项开票",0,ROUND(N($H1449)*N($I1449),2))</f>
        <v>0</v>
      </c>
      <c r="P1449" s="36" t="n">
        <f aca="false">IF($D1449&lt;&gt;"销项开票",0,ROUND(N($H1449)-$O1449,2))</f>
        <v>0</v>
      </c>
      <c r="Q1449" s="37" t="str">
        <f aca="false">IF($E1449="","",N(IFERROR(INDEX(单位档案!$E$6:$E$35,MATCH($E1449,单位档案!$A$6:$A$35,0)),"")))</f>
        <v/>
      </c>
      <c r="R1449" s="37" t="str">
        <f aca="false">IF($E1449="","",N(IFERROR(INDEX(单位档案!$F$6:$F$35,MATCH($E1449,单位档案!$A$6:$A$35,0)),"")))</f>
        <v/>
      </c>
      <c r="S1449" s="36" t="n">
        <f aca="false">IF(OR($D1449&lt;&gt;"销项开票",IFERROR(INDEX(单位档案!$G$6:$G$35,MATCH($E1449,单位档案!$A$6:$A$35,0)),"")&lt;&gt;"是",N($Q1449)=0),0,IF(IFERROR(INDEX(单位档案!$H$6:$H$35,MATCH($E1449,单位档案!$A$6:$A$35,0)),"")="税差法",ROUND(N($H1449)/(1+$Q1449)*$Q1449-IF(N($R1449)=0,0,$P1449/(1+$R1449)*$R1449),2),ROUND(N($H1449)/(1+$Q1449)*$Q1449,2)))</f>
        <v>0</v>
      </c>
      <c r="T1449" s="36" t="n">
        <f aca="false">ROUND($S1449*N(IFERROR(INDEX(单位档案!$J$6:$J$35,MATCH($E1449,单位档案!$A$6:$A$35,0)),"")),2)</f>
        <v>0</v>
      </c>
      <c r="U1449" s="36" t="n">
        <f aca="false">IF($D1449&lt;&gt;"销项开票",0,ROUND(N($H1449)*N(IFERROR(INDEX(单位档案!$K$6:$K$35,MATCH($E1449,单位档案!$A$6:$A$35,0)),"")),2))</f>
        <v>0</v>
      </c>
      <c r="V1449" s="36" t="n">
        <f aca="false">IF(OR($D1449&lt;&gt;"销项开票",N($Q1449)=0),0,ROUND(N($H1449)/(1+$Q1449)*N(IFERROR(INDEX(单位档案!$L$6:$L$35,MATCH($E1449,单位档案!$A$6:$A$35,0)),"")),2))</f>
        <v>0</v>
      </c>
      <c r="W1449" s="36" t="n">
        <f aca="false">ROUND($S1449+$T1449+$U1449+$V1449,2)</f>
        <v>0</v>
      </c>
      <c r="X1449" s="35" t="str">
        <f aca="false">IF(OR($D1449="挂靠代收",$D1449="我方收款"),COUNTIFS($D$5:$D1449,"挂靠代收")+COUNTIFS($D$5:$D1449,"我方收款"),"")</f>
        <v/>
      </c>
      <c r="Y1449" s="35"/>
      <c r="Z1449" s="21" t="s">
        <v>111</v>
      </c>
    </row>
    <row r="1450" customFormat="false" ht="15.75" hidden="false" customHeight="true" outlineLevel="0" collapsed="false">
      <c r="A1450" s="32" t="str">
        <f aca="false">IF($B1450="","",ROW()-4)</f>
        <v/>
      </c>
      <c r="B1450" s="26"/>
      <c r="C1450" s="24"/>
      <c r="D1450" s="21"/>
      <c r="E1450" s="21"/>
      <c r="F1450" s="21"/>
      <c r="G1450" s="21"/>
      <c r="H1450" s="27"/>
      <c r="I1450" s="23" t="str">
        <f aca="false">IF($D1450&lt;&gt;"销项开票","",IF($N1450="一级",IF(IFERROR(INDEX(项目档案!$E$6:$E$255,MATCH($C1450,项目档案!$A$6:$A$255,0)),"")="",N(IFERROR(INDEX(单位档案!$D$6:$D$35,MATCH($E1450,单位档案!$A$6:$A$35,0)),"")),IFERROR(INDEX(项目档案!$E$6:$E$255,MATCH($C1450,项目档案!$A$6:$A$255,0)),"")),IF($N1450="二级",IF(IFERROR(INDEX(项目档案!$G$6:$G$255,MATCH($C1450,项目档案!$A$6:$A$255,0)),"")="",N(IFERROR(INDEX(单位档案!$D$6:$D$35,MATCH($E1450,单位档案!$A$6:$A$35,0)),"")),IFERROR(INDEX(项目档案!$G$6:$G$255,MATCH($C1450,项目档案!$A$6:$A$255,0)),"")),N(IFERROR(INDEX(单位档案!$D$6:$D$35,MATCH($E1450,单位档案!$A$6:$A$35,0)),"")))))</f>
        <v/>
      </c>
      <c r="J1450" s="22"/>
      <c r="K1450" s="22"/>
      <c r="L1450" s="33" t="str">
        <f aca="false">IF($B1450="","",IF(NOT(ISNUMBER($B1450)),"日期格式不对",IF($C1450="","未选项目编号",IF(LEFT($M1450,1)="⚠","项目编号不存在",IF($D1450="","未选业务类型",IF($E1450="","未选开票/付款方",IF(ISNA(MATCH($E1450,单位档案!$A$6:$A$35,0)),"开票方不在单位档案",IF($F1450="","未选收票/收款方",IF(ISNA(MATCH($F1450,单位档案!$A$6:$A$35,0)),"收款方不在单位档案",IF(NOT(ISNUMBER($H1450)),"金额须为数字",IF(AND($D1450="销项开票",$N1450="—"),"链条待确认","√")))))))))))</f>
        <v/>
      </c>
      <c r="M1450" s="34" t="str">
        <f aca="false">IF($C1450="","",IFERROR(INDEX(项目档案!$B$6:$B$255,MATCH($C1450,项目档案!$A$6:$A$255,0)),"⚠项目编号不存在"))</f>
        <v/>
      </c>
      <c r="N1450" s="35" t="str">
        <f aca="false">IF($E1450="","",IF($E1450=IFERROR(INDEX(项目档案!$D$6:$D$255,MATCH($C1450,项目档案!$A$6:$A$255,0)),""),"一级",IF($E1450=IFERROR(INDEX(项目档案!$F$6:$F$255,MATCH($C1450,项目档案!$A$6:$A$255,0)),""),"二级",IF($E1450=IFERROR(INDEX(项目档案!$H$6:$H$255,MATCH($C1450,项目档案!$A$6:$A$255,0)),""),"我方","—"))))</f>
        <v/>
      </c>
      <c r="O1450" s="36" t="n">
        <f aca="false">IF($D1450&lt;&gt;"销项开票",0,ROUND(N($H1450)*N($I1450),2))</f>
        <v>0</v>
      </c>
      <c r="P1450" s="36" t="n">
        <f aca="false">IF($D1450&lt;&gt;"销项开票",0,ROUND(N($H1450)-$O1450,2))</f>
        <v>0</v>
      </c>
      <c r="Q1450" s="37" t="str">
        <f aca="false">IF($E1450="","",N(IFERROR(INDEX(单位档案!$E$6:$E$35,MATCH($E1450,单位档案!$A$6:$A$35,0)),"")))</f>
        <v/>
      </c>
      <c r="R1450" s="37" t="str">
        <f aca="false">IF($E1450="","",N(IFERROR(INDEX(单位档案!$F$6:$F$35,MATCH($E1450,单位档案!$A$6:$A$35,0)),"")))</f>
        <v/>
      </c>
      <c r="S1450" s="36" t="n">
        <f aca="false">IF(OR($D1450&lt;&gt;"销项开票",IFERROR(INDEX(单位档案!$G$6:$G$35,MATCH($E1450,单位档案!$A$6:$A$35,0)),"")&lt;&gt;"是",N($Q1450)=0),0,IF(IFERROR(INDEX(单位档案!$H$6:$H$35,MATCH($E1450,单位档案!$A$6:$A$35,0)),"")="税差法",ROUND(N($H1450)/(1+$Q1450)*$Q1450-IF(N($R1450)=0,0,$P1450/(1+$R1450)*$R1450),2),ROUND(N($H1450)/(1+$Q1450)*$Q1450,2)))</f>
        <v>0</v>
      </c>
      <c r="T1450" s="36" t="n">
        <f aca="false">ROUND($S1450*N(IFERROR(INDEX(单位档案!$J$6:$J$35,MATCH($E1450,单位档案!$A$6:$A$35,0)),"")),2)</f>
        <v>0</v>
      </c>
      <c r="U1450" s="36" t="n">
        <f aca="false">IF($D1450&lt;&gt;"销项开票",0,ROUND(N($H1450)*N(IFERROR(INDEX(单位档案!$K$6:$K$35,MATCH($E1450,单位档案!$A$6:$A$35,0)),"")),2))</f>
        <v>0</v>
      </c>
      <c r="V1450" s="36" t="n">
        <f aca="false">IF(OR($D1450&lt;&gt;"销项开票",N($Q1450)=0),0,ROUND(N($H1450)/(1+$Q1450)*N(IFERROR(INDEX(单位档案!$L$6:$L$35,MATCH($E1450,单位档案!$A$6:$A$35,0)),"")),2))</f>
        <v>0</v>
      </c>
      <c r="W1450" s="36" t="n">
        <f aca="false">ROUND($S1450+$T1450+$U1450+$V1450,2)</f>
        <v>0</v>
      </c>
      <c r="X1450" s="35" t="str">
        <f aca="false">IF(OR($D1450="挂靠代收",$D1450="我方收款"),COUNTIFS($D$5:$D1450,"挂靠代收")+COUNTIFS($D$5:$D1450,"我方收款"),"")</f>
        <v/>
      </c>
      <c r="Y1450" s="35"/>
      <c r="Z1450" s="21" t="s">
        <v>111</v>
      </c>
    </row>
    <row r="1451" customFormat="false" ht="15.75" hidden="false" customHeight="true" outlineLevel="0" collapsed="false">
      <c r="A1451" s="32" t="str">
        <f aca="false">IF($B1451="","",ROW()-4)</f>
        <v/>
      </c>
      <c r="B1451" s="26"/>
      <c r="C1451" s="24"/>
      <c r="D1451" s="21"/>
      <c r="E1451" s="21"/>
      <c r="F1451" s="21"/>
      <c r="G1451" s="21"/>
      <c r="H1451" s="27"/>
      <c r="I1451" s="23" t="str">
        <f aca="false">IF($D1451&lt;&gt;"销项开票","",IF($N1451="一级",IF(IFERROR(INDEX(项目档案!$E$6:$E$255,MATCH($C1451,项目档案!$A$6:$A$255,0)),"")="",N(IFERROR(INDEX(单位档案!$D$6:$D$35,MATCH($E1451,单位档案!$A$6:$A$35,0)),"")),IFERROR(INDEX(项目档案!$E$6:$E$255,MATCH($C1451,项目档案!$A$6:$A$255,0)),"")),IF($N1451="二级",IF(IFERROR(INDEX(项目档案!$G$6:$G$255,MATCH($C1451,项目档案!$A$6:$A$255,0)),"")="",N(IFERROR(INDEX(单位档案!$D$6:$D$35,MATCH($E1451,单位档案!$A$6:$A$35,0)),"")),IFERROR(INDEX(项目档案!$G$6:$G$255,MATCH($C1451,项目档案!$A$6:$A$255,0)),"")),N(IFERROR(INDEX(单位档案!$D$6:$D$35,MATCH($E1451,单位档案!$A$6:$A$35,0)),"")))))</f>
        <v/>
      </c>
      <c r="J1451" s="22"/>
      <c r="K1451" s="22"/>
      <c r="L1451" s="33" t="str">
        <f aca="false">IF($B1451="","",IF(NOT(ISNUMBER($B1451)),"日期格式不对",IF($C1451="","未选项目编号",IF(LEFT($M1451,1)="⚠","项目编号不存在",IF($D1451="","未选业务类型",IF($E1451="","未选开票/付款方",IF(ISNA(MATCH($E1451,单位档案!$A$6:$A$35,0)),"开票方不在单位档案",IF($F1451="","未选收票/收款方",IF(ISNA(MATCH($F1451,单位档案!$A$6:$A$35,0)),"收款方不在单位档案",IF(NOT(ISNUMBER($H1451)),"金额须为数字",IF(AND($D1451="销项开票",$N1451="—"),"链条待确认","√")))))))))))</f>
        <v/>
      </c>
      <c r="M1451" s="34" t="str">
        <f aca="false">IF($C1451="","",IFERROR(INDEX(项目档案!$B$6:$B$255,MATCH($C1451,项目档案!$A$6:$A$255,0)),"⚠项目编号不存在"))</f>
        <v/>
      </c>
      <c r="N1451" s="35" t="str">
        <f aca="false">IF($E1451="","",IF($E1451=IFERROR(INDEX(项目档案!$D$6:$D$255,MATCH($C1451,项目档案!$A$6:$A$255,0)),""),"一级",IF($E1451=IFERROR(INDEX(项目档案!$F$6:$F$255,MATCH($C1451,项目档案!$A$6:$A$255,0)),""),"二级",IF($E1451=IFERROR(INDEX(项目档案!$H$6:$H$255,MATCH($C1451,项目档案!$A$6:$A$255,0)),""),"我方","—"))))</f>
        <v/>
      </c>
      <c r="O1451" s="36" t="n">
        <f aca="false">IF($D1451&lt;&gt;"销项开票",0,ROUND(N($H1451)*N($I1451),2))</f>
        <v>0</v>
      </c>
      <c r="P1451" s="36" t="n">
        <f aca="false">IF($D1451&lt;&gt;"销项开票",0,ROUND(N($H1451)-$O1451,2))</f>
        <v>0</v>
      </c>
      <c r="Q1451" s="37" t="str">
        <f aca="false">IF($E1451="","",N(IFERROR(INDEX(单位档案!$E$6:$E$35,MATCH($E1451,单位档案!$A$6:$A$35,0)),"")))</f>
        <v/>
      </c>
      <c r="R1451" s="37" t="str">
        <f aca="false">IF($E1451="","",N(IFERROR(INDEX(单位档案!$F$6:$F$35,MATCH($E1451,单位档案!$A$6:$A$35,0)),"")))</f>
        <v/>
      </c>
      <c r="S1451" s="36" t="n">
        <f aca="false">IF(OR($D1451&lt;&gt;"销项开票",IFERROR(INDEX(单位档案!$G$6:$G$35,MATCH($E1451,单位档案!$A$6:$A$35,0)),"")&lt;&gt;"是",N($Q1451)=0),0,IF(IFERROR(INDEX(单位档案!$H$6:$H$35,MATCH($E1451,单位档案!$A$6:$A$35,0)),"")="税差法",ROUND(N($H1451)/(1+$Q1451)*$Q1451-IF(N($R1451)=0,0,$P1451/(1+$R1451)*$R1451),2),ROUND(N($H1451)/(1+$Q1451)*$Q1451,2)))</f>
        <v>0</v>
      </c>
      <c r="T1451" s="36" t="n">
        <f aca="false">ROUND($S1451*N(IFERROR(INDEX(单位档案!$J$6:$J$35,MATCH($E1451,单位档案!$A$6:$A$35,0)),"")),2)</f>
        <v>0</v>
      </c>
      <c r="U1451" s="36" t="n">
        <f aca="false">IF($D1451&lt;&gt;"销项开票",0,ROUND(N($H1451)*N(IFERROR(INDEX(单位档案!$K$6:$K$35,MATCH($E1451,单位档案!$A$6:$A$35,0)),"")),2))</f>
        <v>0</v>
      </c>
      <c r="V1451" s="36" t="n">
        <f aca="false">IF(OR($D1451&lt;&gt;"销项开票",N($Q1451)=0),0,ROUND(N($H1451)/(1+$Q1451)*N(IFERROR(INDEX(单位档案!$L$6:$L$35,MATCH($E1451,单位档案!$A$6:$A$35,0)),"")),2))</f>
        <v>0</v>
      </c>
      <c r="W1451" s="36" t="n">
        <f aca="false">ROUND($S1451+$T1451+$U1451+$V1451,2)</f>
        <v>0</v>
      </c>
      <c r="X1451" s="35" t="str">
        <f aca="false">IF(OR($D1451="挂靠代收",$D1451="我方收款"),COUNTIFS($D$5:$D1451,"挂靠代收")+COUNTIFS($D$5:$D1451,"我方收款"),"")</f>
        <v/>
      </c>
      <c r="Y1451" s="35"/>
      <c r="Z1451" s="21" t="s">
        <v>111</v>
      </c>
    </row>
    <row r="1452" customFormat="false" ht="15.75" hidden="false" customHeight="true" outlineLevel="0" collapsed="false">
      <c r="A1452" s="32" t="str">
        <f aca="false">IF($B1452="","",ROW()-4)</f>
        <v/>
      </c>
      <c r="B1452" s="26"/>
      <c r="C1452" s="24"/>
      <c r="D1452" s="21"/>
      <c r="E1452" s="21"/>
      <c r="F1452" s="21"/>
      <c r="G1452" s="21"/>
      <c r="H1452" s="27"/>
      <c r="I1452" s="23" t="str">
        <f aca="false">IF($D1452&lt;&gt;"销项开票","",IF($N1452="一级",IF(IFERROR(INDEX(项目档案!$E$6:$E$255,MATCH($C1452,项目档案!$A$6:$A$255,0)),"")="",N(IFERROR(INDEX(单位档案!$D$6:$D$35,MATCH($E1452,单位档案!$A$6:$A$35,0)),"")),IFERROR(INDEX(项目档案!$E$6:$E$255,MATCH($C1452,项目档案!$A$6:$A$255,0)),"")),IF($N1452="二级",IF(IFERROR(INDEX(项目档案!$G$6:$G$255,MATCH($C1452,项目档案!$A$6:$A$255,0)),"")="",N(IFERROR(INDEX(单位档案!$D$6:$D$35,MATCH($E1452,单位档案!$A$6:$A$35,0)),"")),IFERROR(INDEX(项目档案!$G$6:$G$255,MATCH($C1452,项目档案!$A$6:$A$255,0)),"")),N(IFERROR(INDEX(单位档案!$D$6:$D$35,MATCH($E1452,单位档案!$A$6:$A$35,0)),"")))))</f>
        <v/>
      </c>
      <c r="J1452" s="22"/>
      <c r="K1452" s="22"/>
      <c r="L1452" s="33" t="str">
        <f aca="false">IF($B1452="","",IF(NOT(ISNUMBER($B1452)),"日期格式不对",IF($C1452="","未选项目编号",IF(LEFT($M1452,1)="⚠","项目编号不存在",IF($D1452="","未选业务类型",IF($E1452="","未选开票/付款方",IF(ISNA(MATCH($E1452,单位档案!$A$6:$A$35,0)),"开票方不在单位档案",IF($F1452="","未选收票/收款方",IF(ISNA(MATCH($F1452,单位档案!$A$6:$A$35,0)),"收款方不在单位档案",IF(NOT(ISNUMBER($H1452)),"金额须为数字",IF(AND($D1452="销项开票",$N1452="—"),"链条待确认","√")))))))))))</f>
        <v/>
      </c>
      <c r="M1452" s="34" t="str">
        <f aca="false">IF($C1452="","",IFERROR(INDEX(项目档案!$B$6:$B$255,MATCH($C1452,项目档案!$A$6:$A$255,0)),"⚠项目编号不存在"))</f>
        <v/>
      </c>
      <c r="N1452" s="35" t="str">
        <f aca="false">IF($E1452="","",IF($E1452=IFERROR(INDEX(项目档案!$D$6:$D$255,MATCH($C1452,项目档案!$A$6:$A$255,0)),""),"一级",IF($E1452=IFERROR(INDEX(项目档案!$F$6:$F$255,MATCH($C1452,项目档案!$A$6:$A$255,0)),""),"二级",IF($E1452=IFERROR(INDEX(项目档案!$H$6:$H$255,MATCH($C1452,项目档案!$A$6:$A$255,0)),""),"我方","—"))))</f>
        <v/>
      </c>
      <c r="O1452" s="36" t="n">
        <f aca="false">IF($D1452&lt;&gt;"销项开票",0,ROUND(N($H1452)*N($I1452),2))</f>
        <v>0</v>
      </c>
      <c r="P1452" s="36" t="n">
        <f aca="false">IF($D1452&lt;&gt;"销项开票",0,ROUND(N($H1452)-$O1452,2))</f>
        <v>0</v>
      </c>
      <c r="Q1452" s="37" t="str">
        <f aca="false">IF($E1452="","",N(IFERROR(INDEX(单位档案!$E$6:$E$35,MATCH($E1452,单位档案!$A$6:$A$35,0)),"")))</f>
        <v/>
      </c>
      <c r="R1452" s="37" t="str">
        <f aca="false">IF($E1452="","",N(IFERROR(INDEX(单位档案!$F$6:$F$35,MATCH($E1452,单位档案!$A$6:$A$35,0)),"")))</f>
        <v/>
      </c>
      <c r="S1452" s="36" t="n">
        <f aca="false">IF(OR($D1452&lt;&gt;"销项开票",IFERROR(INDEX(单位档案!$G$6:$G$35,MATCH($E1452,单位档案!$A$6:$A$35,0)),"")&lt;&gt;"是",N($Q1452)=0),0,IF(IFERROR(INDEX(单位档案!$H$6:$H$35,MATCH($E1452,单位档案!$A$6:$A$35,0)),"")="税差法",ROUND(N($H1452)/(1+$Q1452)*$Q1452-IF(N($R1452)=0,0,$P1452/(1+$R1452)*$R1452),2),ROUND(N($H1452)/(1+$Q1452)*$Q1452,2)))</f>
        <v>0</v>
      </c>
      <c r="T1452" s="36" t="n">
        <f aca="false">ROUND($S1452*N(IFERROR(INDEX(单位档案!$J$6:$J$35,MATCH($E1452,单位档案!$A$6:$A$35,0)),"")),2)</f>
        <v>0</v>
      </c>
      <c r="U1452" s="36" t="n">
        <f aca="false">IF($D1452&lt;&gt;"销项开票",0,ROUND(N($H1452)*N(IFERROR(INDEX(单位档案!$K$6:$K$35,MATCH($E1452,单位档案!$A$6:$A$35,0)),"")),2))</f>
        <v>0</v>
      </c>
      <c r="V1452" s="36" t="n">
        <f aca="false">IF(OR($D1452&lt;&gt;"销项开票",N($Q1452)=0),0,ROUND(N($H1452)/(1+$Q1452)*N(IFERROR(INDEX(单位档案!$L$6:$L$35,MATCH($E1452,单位档案!$A$6:$A$35,0)),"")),2))</f>
        <v>0</v>
      </c>
      <c r="W1452" s="36" t="n">
        <f aca="false">ROUND($S1452+$T1452+$U1452+$V1452,2)</f>
        <v>0</v>
      </c>
      <c r="X1452" s="35" t="str">
        <f aca="false">IF(OR($D1452="挂靠代收",$D1452="我方收款"),COUNTIFS($D$5:$D1452,"挂靠代收")+COUNTIFS($D$5:$D1452,"我方收款"),"")</f>
        <v/>
      </c>
      <c r="Y1452" s="35"/>
      <c r="Z1452" s="21" t="s">
        <v>111</v>
      </c>
    </row>
    <row r="1453" customFormat="false" ht="15.75" hidden="false" customHeight="true" outlineLevel="0" collapsed="false">
      <c r="A1453" s="32" t="str">
        <f aca="false">IF($B1453="","",ROW()-4)</f>
        <v/>
      </c>
      <c r="B1453" s="26"/>
      <c r="C1453" s="24"/>
      <c r="D1453" s="21"/>
      <c r="E1453" s="21"/>
      <c r="F1453" s="21"/>
      <c r="G1453" s="21"/>
      <c r="H1453" s="27"/>
      <c r="I1453" s="23" t="str">
        <f aca="false">IF($D1453&lt;&gt;"销项开票","",IF($N1453="一级",IF(IFERROR(INDEX(项目档案!$E$6:$E$255,MATCH($C1453,项目档案!$A$6:$A$255,0)),"")="",N(IFERROR(INDEX(单位档案!$D$6:$D$35,MATCH($E1453,单位档案!$A$6:$A$35,0)),"")),IFERROR(INDEX(项目档案!$E$6:$E$255,MATCH($C1453,项目档案!$A$6:$A$255,0)),"")),IF($N1453="二级",IF(IFERROR(INDEX(项目档案!$G$6:$G$255,MATCH($C1453,项目档案!$A$6:$A$255,0)),"")="",N(IFERROR(INDEX(单位档案!$D$6:$D$35,MATCH($E1453,单位档案!$A$6:$A$35,0)),"")),IFERROR(INDEX(项目档案!$G$6:$G$255,MATCH($C1453,项目档案!$A$6:$A$255,0)),"")),N(IFERROR(INDEX(单位档案!$D$6:$D$35,MATCH($E1453,单位档案!$A$6:$A$35,0)),"")))))</f>
        <v/>
      </c>
      <c r="J1453" s="22"/>
      <c r="K1453" s="22"/>
      <c r="L1453" s="33" t="str">
        <f aca="false">IF($B1453="","",IF(NOT(ISNUMBER($B1453)),"日期格式不对",IF($C1453="","未选项目编号",IF(LEFT($M1453,1)="⚠","项目编号不存在",IF($D1453="","未选业务类型",IF($E1453="","未选开票/付款方",IF(ISNA(MATCH($E1453,单位档案!$A$6:$A$35,0)),"开票方不在单位档案",IF($F1453="","未选收票/收款方",IF(ISNA(MATCH($F1453,单位档案!$A$6:$A$35,0)),"收款方不在单位档案",IF(NOT(ISNUMBER($H1453)),"金额须为数字",IF(AND($D1453="销项开票",$N1453="—"),"链条待确认","√")))))))))))</f>
        <v/>
      </c>
      <c r="M1453" s="34" t="str">
        <f aca="false">IF($C1453="","",IFERROR(INDEX(项目档案!$B$6:$B$255,MATCH($C1453,项目档案!$A$6:$A$255,0)),"⚠项目编号不存在"))</f>
        <v/>
      </c>
      <c r="N1453" s="35" t="str">
        <f aca="false">IF($E1453="","",IF($E1453=IFERROR(INDEX(项目档案!$D$6:$D$255,MATCH($C1453,项目档案!$A$6:$A$255,0)),""),"一级",IF($E1453=IFERROR(INDEX(项目档案!$F$6:$F$255,MATCH($C1453,项目档案!$A$6:$A$255,0)),""),"二级",IF($E1453=IFERROR(INDEX(项目档案!$H$6:$H$255,MATCH($C1453,项目档案!$A$6:$A$255,0)),""),"我方","—"))))</f>
        <v/>
      </c>
      <c r="O1453" s="36" t="n">
        <f aca="false">IF($D1453&lt;&gt;"销项开票",0,ROUND(N($H1453)*N($I1453),2))</f>
        <v>0</v>
      </c>
      <c r="P1453" s="36" t="n">
        <f aca="false">IF($D1453&lt;&gt;"销项开票",0,ROUND(N($H1453)-$O1453,2))</f>
        <v>0</v>
      </c>
      <c r="Q1453" s="37" t="str">
        <f aca="false">IF($E1453="","",N(IFERROR(INDEX(单位档案!$E$6:$E$35,MATCH($E1453,单位档案!$A$6:$A$35,0)),"")))</f>
        <v/>
      </c>
      <c r="R1453" s="37" t="str">
        <f aca="false">IF($E1453="","",N(IFERROR(INDEX(单位档案!$F$6:$F$35,MATCH($E1453,单位档案!$A$6:$A$35,0)),"")))</f>
        <v/>
      </c>
      <c r="S1453" s="36" t="n">
        <f aca="false">IF(OR($D1453&lt;&gt;"销项开票",IFERROR(INDEX(单位档案!$G$6:$G$35,MATCH($E1453,单位档案!$A$6:$A$35,0)),"")&lt;&gt;"是",N($Q1453)=0),0,IF(IFERROR(INDEX(单位档案!$H$6:$H$35,MATCH($E1453,单位档案!$A$6:$A$35,0)),"")="税差法",ROUND(N($H1453)/(1+$Q1453)*$Q1453-IF(N($R1453)=0,0,$P1453/(1+$R1453)*$R1453),2),ROUND(N($H1453)/(1+$Q1453)*$Q1453,2)))</f>
        <v>0</v>
      </c>
      <c r="T1453" s="36" t="n">
        <f aca="false">ROUND($S1453*N(IFERROR(INDEX(单位档案!$J$6:$J$35,MATCH($E1453,单位档案!$A$6:$A$35,0)),"")),2)</f>
        <v>0</v>
      </c>
      <c r="U1453" s="36" t="n">
        <f aca="false">IF($D1453&lt;&gt;"销项开票",0,ROUND(N($H1453)*N(IFERROR(INDEX(单位档案!$K$6:$K$35,MATCH($E1453,单位档案!$A$6:$A$35,0)),"")),2))</f>
        <v>0</v>
      </c>
      <c r="V1453" s="36" t="n">
        <f aca="false">IF(OR($D1453&lt;&gt;"销项开票",N($Q1453)=0),0,ROUND(N($H1453)/(1+$Q1453)*N(IFERROR(INDEX(单位档案!$L$6:$L$35,MATCH($E1453,单位档案!$A$6:$A$35,0)),"")),2))</f>
        <v>0</v>
      </c>
      <c r="W1453" s="36" t="n">
        <f aca="false">ROUND($S1453+$T1453+$U1453+$V1453,2)</f>
        <v>0</v>
      </c>
      <c r="X1453" s="35" t="str">
        <f aca="false">IF(OR($D1453="挂靠代收",$D1453="我方收款"),COUNTIFS($D$5:$D1453,"挂靠代收")+COUNTIFS($D$5:$D1453,"我方收款"),"")</f>
        <v/>
      </c>
      <c r="Y1453" s="35"/>
      <c r="Z1453" s="21" t="s">
        <v>111</v>
      </c>
    </row>
    <row r="1454" customFormat="false" ht="15.75" hidden="false" customHeight="true" outlineLevel="0" collapsed="false">
      <c r="A1454" s="32" t="str">
        <f aca="false">IF($B1454="","",ROW()-4)</f>
        <v/>
      </c>
      <c r="B1454" s="26"/>
      <c r="C1454" s="24"/>
      <c r="D1454" s="21"/>
      <c r="E1454" s="21"/>
      <c r="F1454" s="21"/>
      <c r="G1454" s="21"/>
      <c r="H1454" s="27"/>
      <c r="I1454" s="23" t="str">
        <f aca="false">IF($D1454&lt;&gt;"销项开票","",IF($N1454="一级",IF(IFERROR(INDEX(项目档案!$E$6:$E$255,MATCH($C1454,项目档案!$A$6:$A$255,0)),"")="",N(IFERROR(INDEX(单位档案!$D$6:$D$35,MATCH($E1454,单位档案!$A$6:$A$35,0)),"")),IFERROR(INDEX(项目档案!$E$6:$E$255,MATCH($C1454,项目档案!$A$6:$A$255,0)),"")),IF($N1454="二级",IF(IFERROR(INDEX(项目档案!$G$6:$G$255,MATCH($C1454,项目档案!$A$6:$A$255,0)),"")="",N(IFERROR(INDEX(单位档案!$D$6:$D$35,MATCH($E1454,单位档案!$A$6:$A$35,0)),"")),IFERROR(INDEX(项目档案!$G$6:$G$255,MATCH($C1454,项目档案!$A$6:$A$255,0)),"")),N(IFERROR(INDEX(单位档案!$D$6:$D$35,MATCH($E1454,单位档案!$A$6:$A$35,0)),"")))))</f>
        <v/>
      </c>
      <c r="J1454" s="22"/>
      <c r="K1454" s="22"/>
      <c r="L1454" s="33" t="str">
        <f aca="false">IF($B1454="","",IF(NOT(ISNUMBER($B1454)),"日期格式不对",IF($C1454="","未选项目编号",IF(LEFT($M1454,1)="⚠","项目编号不存在",IF($D1454="","未选业务类型",IF($E1454="","未选开票/付款方",IF(ISNA(MATCH($E1454,单位档案!$A$6:$A$35,0)),"开票方不在单位档案",IF($F1454="","未选收票/收款方",IF(ISNA(MATCH($F1454,单位档案!$A$6:$A$35,0)),"收款方不在单位档案",IF(NOT(ISNUMBER($H1454)),"金额须为数字",IF(AND($D1454="销项开票",$N1454="—"),"链条待确认","√")))))))))))</f>
        <v/>
      </c>
      <c r="M1454" s="34" t="str">
        <f aca="false">IF($C1454="","",IFERROR(INDEX(项目档案!$B$6:$B$255,MATCH($C1454,项目档案!$A$6:$A$255,0)),"⚠项目编号不存在"))</f>
        <v/>
      </c>
      <c r="N1454" s="35" t="str">
        <f aca="false">IF($E1454="","",IF($E1454=IFERROR(INDEX(项目档案!$D$6:$D$255,MATCH($C1454,项目档案!$A$6:$A$255,0)),""),"一级",IF($E1454=IFERROR(INDEX(项目档案!$F$6:$F$255,MATCH($C1454,项目档案!$A$6:$A$255,0)),""),"二级",IF($E1454=IFERROR(INDEX(项目档案!$H$6:$H$255,MATCH($C1454,项目档案!$A$6:$A$255,0)),""),"我方","—"))))</f>
        <v/>
      </c>
      <c r="O1454" s="36" t="n">
        <f aca="false">IF($D1454&lt;&gt;"销项开票",0,ROUND(N($H1454)*N($I1454),2))</f>
        <v>0</v>
      </c>
      <c r="P1454" s="36" t="n">
        <f aca="false">IF($D1454&lt;&gt;"销项开票",0,ROUND(N($H1454)-$O1454,2))</f>
        <v>0</v>
      </c>
      <c r="Q1454" s="37" t="str">
        <f aca="false">IF($E1454="","",N(IFERROR(INDEX(单位档案!$E$6:$E$35,MATCH($E1454,单位档案!$A$6:$A$35,0)),"")))</f>
        <v/>
      </c>
      <c r="R1454" s="37" t="str">
        <f aca="false">IF($E1454="","",N(IFERROR(INDEX(单位档案!$F$6:$F$35,MATCH($E1454,单位档案!$A$6:$A$35,0)),"")))</f>
        <v/>
      </c>
      <c r="S1454" s="36" t="n">
        <f aca="false">IF(OR($D1454&lt;&gt;"销项开票",IFERROR(INDEX(单位档案!$G$6:$G$35,MATCH($E1454,单位档案!$A$6:$A$35,0)),"")&lt;&gt;"是",N($Q1454)=0),0,IF(IFERROR(INDEX(单位档案!$H$6:$H$35,MATCH($E1454,单位档案!$A$6:$A$35,0)),"")="税差法",ROUND(N($H1454)/(1+$Q1454)*$Q1454-IF(N($R1454)=0,0,$P1454/(1+$R1454)*$R1454),2),ROUND(N($H1454)/(1+$Q1454)*$Q1454,2)))</f>
        <v>0</v>
      </c>
      <c r="T1454" s="36" t="n">
        <f aca="false">ROUND($S1454*N(IFERROR(INDEX(单位档案!$J$6:$J$35,MATCH($E1454,单位档案!$A$6:$A$35,0)),"")),2)</f>
        <v>0</v>
      </c>
      <c r="U1454" s="36" t="n">
        <f aca="false">IF($D1454&lt;&gt;"销项开票",0,ROUND(N($H1454)*N(IFERROR(INDEX(单位档案!$K$6:$K$35,MATCH($E1454,单位档案!$A$6:$A$35,0)),"")),2))</f>
        <v>0</v>
      </c>
      <c r="V1454" s="36" t="n">
        <f aca="false">IF(OR($D1454&lt;&gt;"销项开票",N($Q1454)=0),0,ROUND(N($H1454)/(1+$Q1454)*N(IFERROR(INDEX(单位档案!$L$6:$L$35,MATCH($E1454,单位档案!$A$6:$A$35,0)),"")),2))</f>
        <v>0</v>
      </c>
      <c r="W1454" s="36" t="n">
        <f aca="false">ROUND($S1454+$T1454+$U1454+$V1454,2)</f>
        <v>0</v>
      </c>
      <c r="X1454" s="35" t="str">
        <f aca="false">IF(OR($D1454="挂靠代收",$D1454="我方收款"),COUNTIFS($D$5:$D1454,"挂靠代收")+COUNTIFS($D$5:$D1454,"我方收款"),"")</f>
        <v/>
      </c>
      <c r="Y1454" s="35"/>
      <c r="Z1454" s="21" t="s">
        <v>111</v>
      </c>
    </row>
    <row r="1455" customFormat="false" ht="15.75" hidden="false" customHeight="true" outlineLevel="0" collapsed="false">
      <c r="A1455" s="32" t="str">
        <f aca="false">IF($B1455="","",ROW()-4)</f>
        <v/>
      </c>
      <c r="B1455" s="26"/>
      <c r="C1455" s="24"/>
      <c r="D1455" s="21"/>
      <c r="E1455" s="21"/>
      <c r="F1455" s="21"/>
      <c r="G1455" s="21"/>
      <c r="H1455" s="27"/>
      <c r="I1455" s="23" t="str">
        <f aca="false">IF($D1455&lt;&gt;"销项开票","",IF($N1455="一级",IF(IFERROR(INDEX(项目档案!$E$6:$E$255,MATCH($C1455,项目档案!$A$6:$A$255,0)),"")="",N(IFERROR(INDEX(单位档案!$D$6:$D$35,MATCH($E1455,单位档案!$A$6:$A$35,0)),"")),IFERROR(INDEX(项目档案!$E$6:$E$255,MATCH($C1455,项目档案!$A$6:$A$255,0)),"")),IF($N1455="二级",IF(IFERROR(INDEX(项目档案!$G$6:$G$255,MATCH($C1455,项目档案!$A$6:$A$255,0)),"")="",N(IFERROR(INDEX(单位档案!$D$6:$D$35,MATCH($E1455,单位档案!$A$6:$A$35,0)),"")),IFERROR(INDEX(项目档案!$G$6:$G$255,MATCH($C1455,项目档案!$A$6:$A$255,0)),"")),N(IFERROR(INDEX(单位档案!$D$6:$D$35,MATCH($E1455,单位档案!$A$6:$A$35,0)),"")))))</f>
        <v/>
      </c>
      <c r="J1455" s="22"/>
      <c r="K1455" s="22"/>
      <c r="L1455" s="33" t="str">
        <f aca="false">IF($B1455="","",IF(NOT(ISNUMBER($B1455)),"日期格式不对",IF($C1455="","未选项目编号",IF(LEFT($M1455,1)="⚠","项目编号不存在",IF($D1455="","未选业务类型",IF($E1455="","未选开票/付款方",IF(ISNA(MATCH($E1455,单位档案!$A$6:$A$35,0)),"开票方不在单位档案",IF($F1455="","未选收票/收款方",IF(ISNA(MATCH($F1455,单位档案!$A$6:$A$35,0)),"收款方不在单位档案",IF(NOT(ISNUMBER($H1455)),"金额须为数字",IF(AND($D1455="销项开票",$N1455="—"),"链条待确认","√")))))))))))</f>
        <v/>
      </c>
      <c r="M1455" s="34" t="str">
        <f aca="false">IF($C1455="","",IFERROR(INDEX(项目档案!$B$6:$B$255,MATCH($C1455,项目档案!$A$6:$A$255,0)),"⚠项目编号不存在"))</f>
        <v/>
      </c>
      <c r="N1455" s="35" t="str">
        <f aca="false">IF($E1455="","",IF($E1455=IFERROR(INDEX(项目档案!$D$6:$D$255,MATCH($C1455,项目档案!$A$6:$A$255,0)),""),"一级",IF($E1455=IFERROR(INDEX(项目档案!$F$6:$F$255,MATCH($C1455,项目档案!$A$6:$A$255,0)),""),"二级",IF($E1455=IFERROR(INDEX(项目档案!$H$6:$H$255,MATCH($C1455,项目档案!$A$6:$A$255,0)),""),"我方","—"))))</f>
        <v/>
      </c>
      <c r="O1455" s="36" t="n">
        <f aca="false">IF($D1455&lt;&gt;"销项开票",0,ROUND(N($H1455)*N($I1455),2))</f>
        <v>0</v>
      </c>
      <c r="P1455" s="36" t="n">
        <f aca="false">IF($D1455&lt;&gt;"销项开票",0,ROUND(N($H1455)-$O1455,2))</f>
        <v>0</v>
      </c>
      <c r="Q1455" s="37" t="str">
        <f aca="false">IF($E1455="","",N(IFERROR(INDEX(单位档案!$E$6:$E$35,MATCH($E1455,单位档案!$A$6:$A$35,0)),"")))</f>
        <v/>
      </c>
      <c r="R1455" s="37" t="str">
        <f aca="false">IF($E1455="","",N(IFERROR(INDEX(单位档案!$F$6:$F$35,MATCH($E1455,单位档案!$A$6:$A$35,0)),"")))</f>
        <v/>
      </c>
      <c r="S1455" s="36" t="n">
        <f aca="false">IF(OR($D1455&lt;&gt;"销项开票",IFERROR(INDEX(单位档案!$G$6:$G$35,MATCH($E1455,单位档案!$A$6:$A$35,0)),"")&lt;&gt;"是",N($Q1455)=0),0,IF(IFERROR(INDEX(单位档案!$H$6:$H$35,MATCH($E1455,单位档案!$A$6:$A$35,0)),"")="税差法",ROUND(N($H1455)/(1+$Q1455)*$Q1455-IF(N($R1455)=0,0,$P1455/(1+$R1455)*$R1455),2),ROUND(N($H1455)/(1+$Q1455)*$Q1455,2)))</f>
        <v>0</v>
      </c>
      <c r="T1455" s="36" t="n">
        <f aca="false">ROUND($S1455*N(IFERROR(INDEX(单位档案!$J$6:$J$35,MATCH($E1455,单位档案!$A$6:$A$35,0)),"")),2)</f>
        <v>0</v>
      </c>
      <c r="U1455" s="36" t="n">
        <f aca="false">IF($D1455&lt;&gt;"销项开票",0,ROUND(N($H1455)*N(IFERROR(INDEX(单位档案!$K$6:$K$35,MATCH($E1455,单位档案!$A$6:$A$35,0)),"")),2))</f>
        <v>0</v>
      </c>
      <c r="V1455" s="36" t="n">
        <f aca="false">IF(OR($D1455&lt;&gt;"销项开票",N($Q1455)=0),0,ROUND(N($H1455)/(1+$Q1455)*N(IFERROR(INDEX(单位档案!$L$6:$L$35,MATCH($E1455,单位档案!$A$6:$A$35,0)),"")),2))</f>
        <v>0</v>
      </c>
      <c r="W1455" s="36" t="n">
        <f aca="false">ROUND($S1455+$T1455+$U1455+$V1455,2)</f>
        <v>0</v>
      </c>
      <c r="X1455" s="35" t="str">
        <f aca="false">IF(OR($D1455="挂靠代收",$D1455="我方收款"),COUNTIFS($D$5:$D1455,"挂靠代收")+COUNTIFS($D$5:$D1455,"我方收款"),"")</f>
        <v/>
      </c>
      <c r="Y1455" s="35"/>
      <c r="Z1455" s="21" t="s">
        <v>111</v>
      </c>
    </row>
    <row r="1456" customFormat="false" ht="15.75" hidden="false" customHeight="true" outlineLevel="0" collapsed="false">
      <c r="A1456" s="32" t="str">
        <f aca="false">IF($B1456="","",ROW()-4)</f>
        <v/>
      </c>
      <c r="B1456" s="26"/>
      <c r="C1456" s="24"/>
      <c r="D1456" s="21"/>
      <c r="E1456" s="21"/>
      <c r="F1456" s="21"/>
      <c r="G1456" s="21"/>
      <c r="H1456" s="27"/>
      <c r="I1456" s="23" t="str">
        <f aca="false">IF($D1456&lt;&gt;"销项开票","",IF($N1456="一级",IF(IFERROR(INDEX(项目档案!$E$6:$E$255,MATCH($C1456,项目档案!$A$6:$A$255,0)),"")="",N(IFERROR(INDEX(单位档案!$D$6:$D$35,MATCH($E1456,单位档案!$A$6:$A$35,0)),"")),IFERROR(INDEX(项目档案!$E$6:$E$255,MATCH($C1456,项目档案!$A$6:$A$255,0)),"")),IF($N1456="二级",IF(IFERROR(INDEX(项目档案!$G$6:$G$255,MATCH($C1456,项目档案!$A$6:$A$255,0)),"")="",N(IFERROR(INDEX(单位档案!$D$6:$D$35,MATCH($E1456,单位档案!$A$6:$A$35,0)),"")),IFERROR(INDEX(项目档案!$G$6:$G$255,MATCH($C1456,项目档案!$A$6:$A$255,0)),"")),N(IFERROR(INDEX(单位档案!$D$6:$D$35,MATCH($E1456,单位档案!$A$6:$A$35,0)),"")))))</f>
        <v/>
      </c>
      <c r="J1456" s="22"/>
      <c r="K1456" s="22"/>
      <c r="L1456" s="33" t="str">
        <f aca="false">IF($B1456="","",IF(NOT(ISNUMBER($B1456)),"日期格式不对",IF($C1456="","未选项目编号",IF(LEFT($M1456,1)="⚠","项目编号不存在",IF($D1456="","未选业务类型",IF($E1456="","未选开票/付款方",IF(ISNA(MATCH($E1456,单位档案!$A$6:$A$35,0)),"开票方不在单位档案",IF($F1456="","未选收票/收款方",IF(ISNA(MATCH($F1456,单位档案!$A$6:$A$35,0)),"收款方不在单位档案",IF(NOT(ISNUMBER($H1456)),"金额须为数字",IF(AND($D1456="销项开票",$N1456="—"),"链条待确认","√")))))))))))</f>
        <v/>
      </c>
      <c r="M1456" s="34" t="str">
        <f aca="false">IF($C1456="","",IFERROR(INDEX(项目档案!$B$6:$B$255,MATCH($C1456,项目档案!$A$6:$A$255,0)),"⚠项目编号不存在"))</f>
        <v/>
      </c>
      <c r="N1456" s="35" t="str">
        <f aca="false">IF($E1456="","",IF($E1456=IFERROR(INDEX(项目档案!$D$6:$D$255,MATCH($C1456,项目档案!$A$6:$A$255,0)),""),"一级",IF($E1456=IFERROR(INDEX(项目档案!$F$6:$F$255,MATCH($C1456,项目档案!$A$6:$A$255,0)),""),"二级",IF($E1456=IFERROR(INDEX(项目档案!$H$6:$H$255,MATCH($C1456,项目档案!$A$6:$A$255,0)),""),"我方","—"))))</f>
        <v/>
      </c>
      <c r="O1456" s="36" t="n">
        <f aca="false">IF($D1456&lt;&gt;"销项开票",0,ROUND(N($H1456)*N($I1456),2))</f>
        <v>0</v>
      </c>
      <c r="P1456" s="36" t="n">
        <f aca="false">IF($D1456&lt;&gt;"销项开票",0,ROUND(N($H1456)-$O1456,2))</f>
        <v>0</v>
      </c>
      <c r="Q1456" s="37" t="str">
        <f aca="false">IF($E1456="","",N(IFERROR(INDEX(单位档案!$E$6:$E$35,MATCH($E1456,单位档案!$A$6:$A$35,0)),"")))</f>
        <v/>
      </c>
      <c r="R1456" s="37" t="str">
        <f aca="false">IF($E1456="","",N(IFERROR(INDEX(单位档案!$F$6:$F$35,MATCH($E1456,单位档案!$A$6:$A$35,0)),"")))</f>
        <v/>
      </c>
      <c r="S1456" s="36" t="n">
        <f aca="false">IF(OR($D1456&lt;&gt;"销项开票",IFERROR(INDEX(单位档案!$G$6:$G$35,MATCH($E1456,单位档案!$A$6:$A$35,0)),"")&lt;&gt;"是",N($Q1456)=0),0,IF(IFERROR(INDEX(单位档案!$H$6:$H$35,MATCH($E1456,单位档案!$A$6:$A$35,0)),"")="税差法",ROUND(N($H1456)/(1+$Q1456)*$Q1456-IF(N($R1456)=0,0,$P1456/(1+$R1456)*$R1456),2),ROUND(N($H1456)/(1+$Q1456)*$Q1456,2)))</f>
        <v>0</v>
      </c>
      <c r="T1456" s="36" t="n">
        <f aca="false">ROUND($S1456*N(IFERROR(INDEX(单位档案!$J$6:$J$35,MATCH($E1456,单位档案!$A$6:$A$35,0)),"")),2)</f>
        <v>0</v>
      </c>
      <c r="U1456" s="36" t="n">
        <f aca="false">IF($D1456&lt;&gt;"销项开票",0,ROUND(N($H1456)*N(IFERROR(INDEX(单位档案!$K$6:$K$35,MATCH($E1456,单位档案!$A$6:$A$35,0)),"")),2))</f>
        <v>0</v>
      </c>
      <c r="V1456" s="36" t="n">
        <f aca="false">IF(OR($D1456&lt;&gt;"销项开票",N($Q1456)=0),0,ROUND(N($H1456)/(1+$Q1456)*N(IFERROR(INDEX(单位档案!$L$6:$L$35,MATCH($E1456,单位档案!$A$6:$A$35,0)),"")),2))</f>
        <v>0</v>
      </c>
      <c r="W1456" s="36" t="n">
        <f aca="false">ROUND($S1456+$T1456+$U1456+$V1456,2)</f>
        <v>0</v>
      </c>
      <c r="X1456" s="35" t="str">
        <f aca="false">IF(OR($D1456="挂靠代收",$D1456="我方收款"),COUNTIFS($D$5:$D1456,"挂靠代收")+COUNTIFS($D$5:$D1456,"我方收款"),"")</f>
        <v/>
      </c>
      <c r="Y1456" s="35"/>
      <c r="Z1456" s="21" t="s">
        <v>111</v>
      </c>
    </row>
    <row r="1457" customFormat="false" ht="15.75" hidden="false" customHeight="true" outlineLevel="0" collapsed="false">
      <c r="A1457" s="32" t="str">
        <f aca="false">IF($B1457="","",ROW()-4)</f>
        <v/>
      </c>
      <c r="B1457" s="26"/>
      <c r="C1457" s="24"/>
      <c r="D1457" s="21"/>
      <c r="E1457" s="21"/>
      <c r="F1457" s="21"/>
      <c r="G1457" s="21"/>
      <c r="H1457" s="27"/>
      <c r="I1457" s="23" t="str">
        <f aca="false">IF($D1457&lt;&gt;"销项开票","",IF($N1457="一级",IF(IFERROR(INDEX(项目档案!$E$6:$E$255,MATCH($C1457,项目档案!$A$6:$A$255,0)),"")="",N(IFERROR(INDEX(单位档案!$D$6:$D$35,MATCH($E1457,单位档案!$A$6:$A$35,0)),"")),IFERROR(INDEX(项目档案!$E$6:$E$255,MATCH($C1457,项目档案!$A$6:$A$255,0)),"")),IF($N1457="二级",IF(IFERROR(INDEX(项目档案!$G$6:$G$255,MATCH($C1457,项目档案!$A$6:$A$255,0)),"")="",N(IFERROR(INDEX(单位档案!$D$6:$D$35,MATCH($E1457,单位档案!$A$6:$A$35,0)),"")),IFERROR(INDEX(项目档案!$G$6:$G$255,MATCH($C1457,项目档案!$A$6:$A$255,0)),"")),N(IFERROR(INDEX(单位档案!$D$6:$D$35,MATCH($E1457,单位档案!$A$6:$A$35,0)),"")))))</f>
        <v/>
      </c>
      <c r="J1457" s="22"/>
      <c r="K1457" s="22"/>
      <c r="L1457" s="33" t="str">
        <f aca="false">IF($B1457="","",IF(NOT(ISNUMBER($B1457)),"日期格式不对",IF($C1457="","未选项目编号",IF(LEFT($M1457,1)="⚠","项目编号不存在",IF($D1457="","未选业务类型",IF($E1457="","未选开票/付款方",IF(ISNA(MATCH($E1457,单位档案!$A$6:$A$35,0)),"开票方不在单位档案",IF($F1457="","未选收票/收款方",IF(ISNA(MATCH($F1457,单位档案!$A$6:$A$35,0)),"收款方不在单位档案",IF(NOT(ISNUMBER($H1457)),"金额须为数字",IF(AND($D1457="销项开票",$N1457="—"),"链条待确认","√")))))))))))</f>
        <v/>
      </c>
      <c r="M1457" s="34" t="str">
        <f aca="false">IF($C1457="","",IFERROR(INDEX(项目档案!$B$6:$B$255,MATCH($C1457,项目档案!$A$6:$A$255,0)),"⚠项目编号不存在"))</f>
        <v/>
      </c>
      <c r="N1457" s="35" t="str">
        <f aca="false">IF($E1457="","",IF($E1457=IFERROR(INDEX(项目档案!$D$6:$D$255,MATCH($C1457,项目档案!$A$6:$A$255,0)),""),"一级",IF($E1457=IFERROR(INDEX(项目档案!$F$6:$F$255,MATCH($C1457,项目档案!$A$6:$A$255,0)),""),"二级",IF($E1457=IFERROR(INDEX(项目档案!$H$6:$H$255,MATCH($C1457,项目档案!$A$6:$A$255,0)),""),"我方","—"))))</f>
        <v/>
      </c>
      <c r="O1457" s="36" t="n">
        <f aca="false">IF($D1457&lt;&gt;"销项开票",0,ROUND(N($H1457)*N($I1457),2))</f>
        <v>0</v>
      </c>
      <c r="P1457" s="36" t="n">
        <f aca="false">IF($D1457&lt;&gt;"销项开票",0,ROUND(N($H1457)-$O1457,2))</f>
        <v>0</v>
      </c>
      <c r="Q1457" s="37" t="str">
        <f aca="false">IF($E1457="","",N(IFERROR(INDEX(单位档案!$E$6:$E$35,MATCH($E1457,单位档案!$A$6:$A$35,0)),"")))</f>
        <v/>
      </c>
      <c r="R1457" s="37" t="str">
        <f aca="false">IF($E1457="","",N(IFERROR(INDEX(单位档案!$F$6:$F$35,MATCH($E1457,单位档案!$A$6:$A$35,0)),"")))</f>
        <v/>
      </c>
      <c r="S1457" s="36" t="n">
        <f aca="false">IF(OR($D1457&lt;&gt;"销项开票",IFERROR(INDEX(单位档案!$G$6:$G$35,MATCH($E1457,单位档案!$A$6:$A$35,0)),"")&lt;&gt;"是",N($Q1457)=0),0,IF(IFERROR(INDEX(单位档案!$H$6:$H$35,MATCH($E1457,单位档案!$A$6:$A$35,0)),"")="税差法",ROUND(N($H1457)/(1+$Q1457)*$Q1457-IF(N($R1457)=0,0,$P1457/(1+$R1457)*$R1457),2),ROUND(N($H1457)/(1+$Q1457)*$Q1457,2)))</f>
        <v>0</v>
      </c>
      <c r="T1457" s="36" t="n">
        <f aca="false">ROUND($S1457*N(IFERROR(INDEX(单位档案!$J$6:$J$35,MATCH($E1457,单位档案!$A$6:$A$35,0)),"")),2)</f>
        <v>0</v>
      </c>
      <c r="U1457" s="36" t="n">
        <f aca="false">IF($D1457&lt;&gt;"销项开票",0,ROUND(N($H1457)*N(IFERROR(INDEX(单位档案!$K$6:$K$35,MATCH($E1457,单位档案!$A$6:$A$35,0)),"")),2))</f>
        <v>0</v>
      </c>
      <c r="V1457" s="36" t="n">
        <f aca="false">IF(OR($D1457&lt;&gt;"销项开票",N($Q1457)=0),0,ROUND(N($H1457)/(1+$Q1457)*N(IFERROR(INDEX(单位档案!$L$6:$L$35,MATCH($E1457,单位档案!$A$6:$A$35,0)),"")),2))</f>
        <v>0</v>
      </c>
      <c r="W1457" s="36" t="n">
        <f aca="false">ROUND($S1457+$T1457+$U1457+$V1457,2)</f>
        <v>0</v>
      </c>
      <c r="X1457" s="35" t="str">
        <f aca="false">IF(OR($D1457="挂靠代收",$D1457="我方收款"),COUNTIFS($D$5:$D1457,"挂靠代收")+COUNTIFS($D$5:$D1457,"我方收款"),"")</f>
        <v/>
      </c>
      <c r="Y1457" s="35"/>
      <c r="Z1457" s="21" t="s">
        <v>111</v>
      </c>
    </row>
    <row r="1458" customFormat="false" ht="15.75" hidden="false" customHeight="true" outlineLevel="0" collapsed="false">
      <c r="A1458" s="32" t="str">
        <f aca="false">IF($B1458="","",ROW()-4)</f>
        <v/>
      </c>
      <c r="B1458" s="26"/>
      <c r="C1458" s="24"/>
      <c r="D1458" s="21"/>
      <c r="E1458" s="21"/>
      <c r="F1458" s="21"/>
      <c r="G1458" s="21"/>
      <c r="H1458" s="27"/>
      <c r="I1458" s="23" t="str">
        <f aca="false">IF($D1458&lt;&gt;"销项开票","",IF($N1458="一级",IF(IFERROR(INDEX(项目档案!$E$6:$E$255,MATCH($C1458,项目档案!$A$6:$A$255,0)),"")="",N(IFERROR(INDEX(单位档案!$D$6:$D$35,MATCH($E1458,单位档案!$A$6:$A$35,0)),"")),IFERROR(INDEX(项目档案!$E$6:$E$255,MATCH($C1458,项目档案!$A$6:$A$255,0)),"")),IF($N1458="二级",IF(IFERROR(INDEX(项目档案!$G$6:$G$255,MATCH($C1458,项目档案!$A$6:$A$255,0)),"")="",N(IFERROR(INDEX(单位档案!$D$6:$D$35,MATCH($E1458,单位档案!$A$6:$A$35,0)),"")),IFERROR(INDEX(项目档案!$G$6:$G$255,MATCH($C1458,项目档案!$A$6:$A$255,0)),"")),N(IFERROR(INDEX(单位档案!$D$6:$D$35,MATCH($E1458,单位档案!$A$6:$A$35,0)),"")))))</f>
        <v/>
      </c>
      <c r="J1458" s="22"/>
      <c r="K1458" s="22"/>
      <c r="L1458" s="33" t="str">
        <f aca="false">IF($B1458="","",IF(NOT(ISNUMBER($B1458)),"日期格式不对",IF($C1458="","未选项目编号",IF(LEFT($M1458,1)="⚠","项目编号不存在",IF($D1458="","未选业务类型",IF($E1458="","未选开票/付款方",IF(ISNA(MATCH($E1458,单位档案!$A$6:$A$35,0)),"开票方不在单位档案",IF($F1458="","未选收票/收款方",IF(ISNA(MATCH($F1458,单位档案!$A$6:$A$35,0)),"收款方不在单位档案",IF(NOT(ISNUMBER($H1458)),"金额须为数字",IF(AND($D1458="销项开票",$N1458="—"),"链条待确认","√")))))))))))</f>
        <v/>
      </c>
      <c r="M1458" s="34" t="str">
        <f aca="false">IF($C1458="","",IFERROR(INDEX(项目档案!$B$6:$B$255,MATCH($C1458,项目档案!$A$6:$A$255,0)),"⚠项目编号不存在"))</f>
        <v/>
      </c>
      <c r="N1458" s="35" t="str">
        <f aca="false">IF($E1458="","",IF($E1458=IFERROR(INDEX(项目档案!$D$6:$D$255,MATCH($C1458,项目档案!$A$6:$A$255,0)),""),"一级",IF($E1458=IFERROR(INDEX(项目档案!$F$6:$F$255,MATCH($C1458,项目档案!$A$6:$A$255,0)),""),"二级",IF($E1458=IFERROR(INDEX(项目档案!$H$6:$H$255,MATCH($C1458,项目档案!$A$6:$A$255,0)),""),"我方","—"))))</f>
        <v/>
      </c>
      <c r="O1458" s="36" t="n">
        <f aca="false">IF($D1458&lt;&gt;"销项开票",0,ROUND(N($H1458)*N($I1458),2))</f>
        <v>0</v>
      </c>
      <c r="P1458" s="36" t="n">
        <f aca="false">IF($D1458&lt;&gt;"销项开票",0,ROUND(N($H1458)-$O1458,2))</f>
        <v>0</v>
      </c>
      <c r="Q1458" s="37" t="str">
        <f aca="false">IF($E1458="","",N(IFERROR(INDEX(单位档案!$E$6:$E$35,MATCH($E1458,单位档案!$A$6:$A$35,0)),"")))</f>
        <v/>
      </c>
      <c r="R1458" s="37" t="str">
        <f aca="false">IF($E1458="","",N(IFERROR(INDEX(单位档案!$F$6:$F$35,MATCH($E1458,单位档案!$A$6:$A$35,0)),"")))</f>
        <v/>
      </c>
      <c r="S1458" s="36" t="n">
        <f aca="false">IF(OR($D1458&lt;&gt;"销项开票",IFERROR(INDEX(单位档案!$G$6:$G$35,MATCH($E1458,单位档案!$A$6:$A$35,0)),"")&lt;&gt;"是",N($Q1458)=0),0,IF(IFERROR(INDEX(单位档案!$H$6:$H$35,MATCH($E1458,单位档案!$A$6:$A$35,0)),"")="税差法",ROUND(N($H1458)/(1+$Q1458)*$Q1458-IF(N($R1458)=0,0,$P1458/(1+$R1458)*$R1458),2),ROUND(N($H1458)/(1+$Q1458)*$Q1458,2)))</f>
        <v>0</v>
      </c>
      <c r="T1458" s="36" t="n">
        <f aca="false">ROUND($S1458*N(IFERROR(INDEX(单位档案!$J$6:$J$35,MATCH($E1458,单位档案!$A$6:$A$35,0)),"")),2)</f>
        <v>0</v>
      </c>
      <c r="U1458" s="36" t="n">
        <f aca="false">IF($D1458&lt;&gt;"销项开票",0,ROUND(N($H1458)*N(IFERROR(INDEX(单位档案!$K$6:$K$35,MATCH($E1458,单位档案!$A$6:$A$35,0)),"")),2))</f>
        <v>0</v>
      </c>
      <c r="V1458" s="36" t="n">
        <f aca="false">IF(OR($D1458&lt;&gt;"销项开票",N($Q1458)=0),0,ROUND(N($H1458)/(1+$Q1458)*N(IFERROR(INDEX(单位档案!$L$6:$L$35,MATCH($E1458,单位档案!$A$6:$A$35,0)),"")),2))</f>
        <v>0</v>
      </c>
      <c r="W1458" s="36" t="n">
        <f aca="false">ROUND($S1458+$T1458+$U1458+$V1458,2)</f>
        <v>0</v>
      </c>
      <c r="X1458" s="35" t="str">
        <f aca="false">IF(OR($D1458="挂靠代收",$D1458="我方收款"),COUNTIFS($D$5:$D1458,"挂靠代收")+COUNTIFS($D$5:$D1458,"我方收款"),"")</f>
        <v/>
      </c>
      <c r="Y1458" s="35"/>
      <c r="Z1458" s="21" t="s">
        <v>111</v>
      </c>
    </row>
    <row r="1459" customFormat="false" ht="15.75" hidden="false" customHeight="true" outlineLevel="0" collapsed="false">
      <c r="A1459" s="32" t="str">
        <f aca="false">IF($B1459="","",ROW()-4)</f>
        <v/>
      </c>
      <c r="B1459" s="26"/>
      <c r="C1459" s="24"/>
      <c r="D1459" s="21"/>
      <c r="E1459" s="21"/>
      <c r="F1459" s="21"/>
      <c r="G1459" s="21"/>
      <c r="H1459" s="27"/>
      <c r="I1459" s="23" t="str">
        <f aca="false">IF($D1459&lt;&gt;"销项开票","",IF($N1459="一级",IF(IFERROR(INDEX(项目档案!$E$6:$E$255,MATCH($C1459,项目档案!$A$6:$A$255,0)),"")="",N(IFERROR(INDEX(单位档案!$D$6:$D$35,MATCH($E1459,单位档案!$A$6:$A$35,0)),"")),IFERROR(INDEX(项目档案!$E$6:$E$255,MATCH($C1459,项目档案!$A$6:$A$255,0)),"")),IF($N1459="二级",IF(IFERROR(INDEX(项目档案!$G$6:$G$255,MATCH($C1459,项目档案!$A$6:$A$255,0)),"")="",N(IFERROR(INDEX(单位档案!$D$6:$D$35,MATCH($E1459,单位档案!$A$6:$A$35,0)),"")),IFERROR(INDEX(项目档案!$G$6:$G$255,MATCH($C1459,项目档案!$A$6:$A$255,0)),"")),N(IFERROR(INDEX(单位档案!$D$6:$D$35,MATCH($E1459,单位档案!$A$6:$A$35,0)),"")))))</f>
        <v/>
      </c>
      <c r="J1459" s="22"/>
      <c r="K1459" s="22"/>
      <c r="L1459" s="33" t="str">
        <f aca="false">IF($B1459="","",IF(NOT(ISNUMBER($B1459)),"日期格式不对",IF($C1459="","未选项目编号",IF(LEFT($M1459,1)="⚠","项目编号不存在",IF($D1459="","未选业务类型",IF($E1459="","未选开票/付款方",IF(ISNA(MATCH($E1459,单位档案!$A$6:$A$35,0)),"开票方不在单位档案",IF($F1459="","未选收票/收款方",IF(ISNA(MATCH($F1459,单位档案!$A$6:$A$35,0)),"收款方不在单位档案",IF(NOT(ISNUMBER($H1459)),"金额须为数字",IF(AND($D1459="销项开票",$N1459="—"),"链条待确认","√")))))))))))</f>
        <v/>
      </c>
      <c r="M1459" s="34" t="str">
        <f aca="false">IF($C1459="","",IFERROR(INDEX(项目档案!$B$6:$B$255,MATCH($C1459,项目档案!$A$6:$A$255,0)),"⚠项目编号不存在"))</f>
        <v/>
      </c>
      <c r="N1459" s="35" t="str">
        <f aca="false">IF($E1459="","",IF($E1459=IFERROR(INDEX(项目档案!$D$6:$D$255,MATCH($C1459,项目档案!$A$6:$A$255,0)),""),"一级",IF($E1459=IFERROR(INDEX(项目档案!$F$6:$F$255,MATCH($C1459,项目档案!$A$6:$A$255,0)),""),"二级",IF($E1459=IFERROR(INDEX(项目档案!$H$6:$H$255,MATCH($C1459,项目档案!$A$6:$A$255,0)),""),"我方","—"))))</f>
        <v/>
      </c>
      <c r="O1459" s="36" t="n">
        <f aca="false">IF($D1459&lt;&gt;"销项开票",0,ROUND(N($H1459)*N($I1459),2))</f>
        <v>0</v>
      </c>
      <c r="P1459" s="36" t="n">
        <f aca="false">IF($D1459&lt;&gt;"销项开票",0,ROUND(N($H1459)-$O1459,2))</f>
        <v>0</v>
      </c>
      <c r="Q1459" s="37" t="str">
        <f aca="false">IF($E1459="","",N(IFERROR(INDEX(单位档案!$E$6:$E$35,MATCH($E1459,单位档案!$A$6:$A$35,0)),"")))</f>
        <v/>
      </c>
      <c r="R1459" s="37" t="str">
        <f aca="false">IF($E1459="","",N(IFERROR(INDEX(单位档案!$F$6:$F$35,MATCH($E1459,单位档案!$A$6:$A$35,0)),"")))</f>
        <v/>
      </c>
      <c r="S1459" s="36" t="n">
        <f aca="false">IF(OR($D1459&lt;&gt;"销项开票",IFERROR(INDEX(单位档案!$G$6:$G$35,MATCH($E1459,单位档案!$A$6:$A$35,0)),"")&lt;&gt;"是",N($Q1459)=0),0,IF(IFERROR(INDEX(单位档案!$H$6:$H$35,MATCH($E1459,单位档案!$A$6:$A$35,0)),"")="税差法",ROUND(N($H1459)/(1+$Q1459)*$Q1459-IF(N($R1459)=0,0,$P1459/(1+$R1459)*$R1459),2),ROUND(N($H1459)/(1+$Q1459)*$Q1459,2)))</f>
        <v>0</v>
      </c>
      <c r="T1459" s="36" t="n">
        <f aca="false">ROUND($S1459*N(IFERROR(INDEX(单位档案!$J$6:$J$35,MATCH($E1459,单位档案!$A$6:$A$35,0)),"")),2)</f>
        <v>0</v>
      </c>
      <c r="U1459" s="36" t="n">
        <f aca="false">IF($D1459&lt;&gt;"销项开票",0,ROUND(N($H1459)*N(IFERROR(INDEX(单位档案!$K$6:$K$35,MATCH($E1459,单位档案!$A$6:$A$35,0)),"")),2))</f>
        <v>0</v>
      </c>
      <c r="V1459" s="36" t="n">
        <f aca="false">IF(OR($D1459&lt;&gt;"销项开票",N($Q1459)=0),0,ROUND(N($H1459)/(1+$Q1459)*N(IFERROR(INDEX(单位档案!$L$6:$L$35,MATCH($E1459,单位档案!$A$6:$A$35,0)),"")),2))</f>
        <v>0</v>
      </c>
      <c r="W1459" s="36" t="n">
        <f aca="false">ROUND($S1459+$T1459+$U1459+$V1459,2)</f>
        <v>0</v>
      </c>
      <c r="X1459" s="35" t="str">
        <f aca="false">IF(OR($D1459="挂靠代收",$D1459="我方收款"),COUNTIFS($D$5:$D1459,"挂靠代收")+COUNTIFS($D$5:$D1459,"我方收款"),"")</f>
        <v/>
      </c>
      <c r="Y1459" s="35"/>
      <c r="Z1459" s="21" t="s">
        <v>111</v>
      </c>
    </row>
    <row r="1460" customFormat="false" ht="15.75" hidden="false" customHeight="true" outlineLevel="0" collapsed="false">
      <c r="A1460" s="32" t="str">
        <f aca="false">IF($B1460="","",ROW()-4)</f>
        <v/>
      </c>
      <c r="B1460" s="26"/>
      <c r="C1460" s="24"/>
      <c r="D1460" s="21"/>
      <c r="E1460" s="21"/>
      <c r="F1460" s="21"/>
      <c r="G1460" s="21"/>
      <c r="H1460" s="27"/>
      <c r="I1460" s="23" t="str">
        <f aca="false">IF($D1460&lt;&gt;"销项开票","",IF($N1460="一级",IF(IFERROR(INDEX(项目档案!$E$6:$E$255,MATCH($C1460,项目档案!$A$6:$A$255,0)),"")="",N(IFERROR(INDEX(单位档案!$D$6:$D$35,MATCH($E1460,单位档案!$A$6:$A$35,0)),"")),IFERROR(INDEX(项目档案!$E$6:$E$255,MATCH($C1460,项目档案!$A$6:$A$255,0)),"")),IF($N1460="二级",IF(IFERROR(INDEX(项目档案!$G$6:$G$255,MATCH($C1460,项目档案!$A$6:$A$255,0)),"")="",N(IFERROR(INDEX(单位档案!$D$6:$D$35,MATCH($E1460,单位档案!$A$6:$A$35,0)),"")),IFERROR(INDEX(项目档案!$G$6:$G$255,MATCH($C1460,项目档案!$A$6:$A$255,0)),"")),N(IFERROR(INDEX(单位档案!$D$6:$D$35,MATCH($E1460,单位档案!$A$6:$A$35,0)),"")))))</f>
        <v/>
      </c>
      <c r="J1460" s="22"/>
      <c r="K1460" s="22"/>
      <c r="L1460" s="33" t="str">
        <f aca="false">IF($B1460="","",IF(NOT(ISNUMBER($B1460)),"日期格式不对",IF($C1460="","未选项目编号",IF(LEFT($M1460,1)="⚠","项目编号不存在",IF($D1460="","未选业务类型",IF($E1460="","未选开票/付款方",IF(ISNA(MATCH($E1460,单位档案!$A$6:$A$35,0)),"开票方不在单位档案",IF($F1460="","未选收票/收款方",IF(ISNA(MATCH($F1460,单位档案!$A$6:$A$35,0)),"收款方不在单位档案",IF(NOT(ISNUMBER($H1460)),"金额须为数字",IF(AND($D1460="销项开票",$N1460="—"),"链条待确认","√")))))))))))</f>
        <v/>
      </c>
      <c r="M1460" s="34" t="str">
        <f aca="false">IF($C1460="","",IFERROR(INDEX(项目档案!$B$6:$B$255,MATCH($C1460,项目档案!$A$6:$A$255,0)),"⚠项目编号不存在"))</f>
        <v/>
      </c>
      <c r="N1460" s="35" t="str">
        <f aca="false">IF($E1460="","",IF($E1460=IFERROR(INDEX(项目档案!$D$6:$D$255,MATCH($C1460,项目档案!$A$6:$A$255,0)),""),"一级",IF($E1460=IFERROR(INDEX(项目档案!$F$6:$F$255,MATCH($C1460,项目档案!$A$6:$A$255,0)),""),"二级",IF($E1460=IFERROR(INDEX(项目档案!$H$6:$H$255,MATCH($C1460,项目档案!$A$6:$A$255,0)),""),"我方","—"))))</f>
        <v/>
      </c>
      <c r="O1460" s="36" t="n">
        <f aca="false">IF($D1460&lt;&gt;"销项开票",0,ROUND(N($H1460)*N($I1460),2))</f>
        <v>0</v>
      </c>
      <c r="P1460" s="36" t="n">
        <f aca="false">IF($D1460&lt;&gt;"销项开票",0,ROUND(N($H1460)-$O1460,2))</f>
        <v>0</v>
      </c>
      <c r="Q1460" s="37" t="str">
        <f aca="false">IF($E1460="","",N(IFERROR(INDEX(单位档案!$E$6:$E$35,MATCH($E1460,单位档案!$A$6:$A$35,0)),"")))</f>
        <v/>
      </c>
      <c r="R1460" s="37" t="str">
        <f aca="false">IF($E1460="","",N(IFERROR(INDEX(单位档案!$F$6:$F$35,MATCH($E1460,单位档案!$A$6:$A$35,0)),"")))</f>
        <v/>
      </c>
      <c r="S1460" s="36" t="n">
        <f aca="false">IF(OR($D1460&lt;&gt;"销项开票",IFERROR(INDEX(单位档案!$G$6:$G$35,MATCH($E1460,单位档案!$A$6:$A$35,0)),"")&lt;&gt;"是",N($Q1460)=0),0,IF(IFERROR(INDEX(单位档案!$H$6:$H$35,MATCH($E1460,单位档案!$A$6:$A$35,0)),"")="税差法",ROUND(N($H1460)/(1+$Q1460)*$Q1460-IF(N($R1460)=0,0,$P1460/(1+$R1460)*$R1460),2),ROUND(N($H1460)/(1+$Q1460)*$Q1460,2)))</f>
        <v>0</v>
      </c>
      <c r="T1460" s="36" t="n">
        <f aca="false">ROUND($S1460*N(IFERROR(INDEX(单位档案!$J$6:$J$35,MATCH($E1460,单位档案!$A$6:$A$35,0)),"")),2)</f>
        <v>0</v>
      </c>
      <c r="U1460" s="36" t="n">
        <f aca="false">IF($D1460&lt;&gt;"销项开票",0,ROUND(N($H1460)*N(IFERROR(INDEX(单位档案!$K$6:$K$35,MATCH($E1460,单位档案!$A$6:$A$35,0)),"")),2))</f>
        <v>0</v>
      </c>
      <c r="V1460" s="36" t="n">
        <f aca="false">IF(OR($D1460&lt;&gt;"销项开票",N($Q1460)=0),0,ROUND(N($H1460)/(1+$Q1460)*N(IFERROR(INDEX(单位档案!$L$6:$L$35,MATCH($E1460,单位档案!$A$6:$A$35,0)),"")),2))</f>
        <v>0</v>
      </c>
      <c r="W1460" s="36" t="n">
        <f aca="false">ROUND($S1460+$T1460+$U1460+$V1460,2)</f>
        <v>0</v>
      </c>
      <c r="X1460" s="35" t="str">
        <f aca="false">IF(OR($D1460="挂靠代收",$D1460="我方收款"),COUNTIFS($D$5:$D1460,"挂靠代收")+COUNTIFS($D$5:$D1460,"我方收款"),"")</f>
        <v/>
      </c>
      <c r="Y1460" s="35"/>
      <c r="Z1460" s="21" t="s">
        <v>111</v>
      </c>
    </row>
    <row r="1461" customFormat="false" ht="15.75" hidden="false" customHeight="true" outlineLevel="0" collapsed="false">
      <c r="A1461" s="32" t="str">
        <f aca="false">IF($B1461="","",ROW()-4)</f>
        <v/>
      </c>
      <c r="B1461" s="26"/>
      <c r="C1461" s="24"/>
      <c r="D1461" s="21"/>
      <c r="E1461" s="21"/>
      <c r="F1461" s="21"/>
      <c r="G1461" s="21"/>
      <c r="H1461" s="27"/>
      <c r="I1461" s="23" t="str">
        <f aca="false">IF($D1461&lt;&gt;"销项开票","",IF($N1461="一级",IF(IFERROR(INDEX(项目档案!$E$6:$E$255,MATCH($C1461,项目档案!$A$6:$A$255,0)),"")="",N(IFERROR(INDEX(单位档案!$D$6:$D$35,MATCH($E1461,单位档案!$A$6:$A$35,0)),"")),IFERROR(INDEX(项目档案!$E$6:$E$255,MATCH($C1461,项目档案!$A$6:$A$255,0)),"")),IF($N1461="二级",IF(IFERROR(INDEX(项目档案!$G$6:$G$255,MATCH($C1461,项目档案!$A$6:$A$255,0)),"")="",N(IFERROR(INDEX(单位档案!$D$6:$D$35,MATCH($E1461,单位档案!$A$6:$A$35,0)),"")),IFERROR(INDEX(项目档案!$G$6:$G$255,MATCH($C1461,项目档案!$A$6:$A$255,0)),"")),N(IFERROR(INDEX(单位档案!$D$6:$D$35,MATCH($E1461,单位档案!$A$6:$A$35,0)),"")))))</f>
        <v/>
      </c>
      <c r="J1461" s="22"/>
      <c r="K1461" s="22"/>
      <c r="L1461" s="33" t="str">
        <f aca="false">IF($B1461="","",IF(NOT(ISNUMBER($B1461)),"日期格式不对",IF($C1461="","未选项目编号",IF(LEFT($M1461,1)="⚠","项目编号不存在",IF($D1461="","未选业务类型",IF($E1461="","未选开票/付款方",IF(ISNA(MATCH($E1461,单位档案!$A$6:$A$35,0)),"开票方不在单位档案",IF($F1461="","未选收票/收款方",IF(ISNA(MATCH($F1461,单位档案!$A$6:$A$35,0)),"收款方不在单位档案",IF(NOT(ISNUMBER($H1461)),"金额须为数字",IF(AND($D1461="销项开票",$N1461="—"),"链条待确认","√")))))))))))</f>
        <v/>
      </c>
      <c r="M1461" s="34" t="str">
        <f aca="false">IF($C1461="","",IFERROR(INDEX(项目档案!$B$6:$B$255,MATCH($C1461,项目档案!$A$6:$A$255,0)),"⚠项目编号不存在"))</f>
        <v/>
      </c>
      <c r="N1461" s="35" t="str">
        <f aca="false">IF($E1461="","",IF($E1461=IFERROR(INDEX(项目档案!$D$6:$D$255,MATCH($C1461,项目档案!$A$6:$A$255,0)),""),"一级",IF($E1461=IFERROR(INDEX(项目档案!$F$6:$F$255,MATCH($C1461,项目档案!$A$6:$A$255,0)),""),"二级",IF($E1461=IFERROR(INDEX(项目档案!$H$6:$H$255,MATCH($C1461,项目档案!$A$6:$A$255,0)),""),"我方","—"))))</f>
        <v/>
      </c>
      <c r="O1461" s="36" t="n">
        <f aca="false">IF($D1461&lt;&gt;"销项开票",0,ROUND(N($H1461)*N($I1461),2))</f>
        <v>0</v>
      </c>
      <c r="P1461" s="36" t="n">
        <f aca="false">IF($D1461&lt;&gt;"销项开票",0,ROUND(N($H1461)-$O1461,2))</f>
        <v>0</v>
      </c>
      <c r="Q1461" s="37" t="str">
        <f aca="false">IF($E1461="","",N(IFERROR(INDEX(单位档案!$E$6:$E$35,MATCH($E1461,单位档案!$A$6:$A$35,0)),"")))</f>
        <v/>
      </c>
      <c r="R1461" s="37" t="str">
        <f aca="false">IF($E1461="","",N(IFERROR(INDEX(单位档案!$F$6:$F$35,MATCH($E1461,单位档案!$A$6:$A$35,0)),"")))</f>
        <v/>
      </c>
      <c r="S1461" s="36" t="n">
        <f aca="false">IF(OR($D1461&lt;&gt;"销项开票",IFERROR(INDEX(单位档案!$G$6:$G$35,MATCH($E1461,单位档案!$A$6:$A$35,0)),"")&lt;&gt;"是",N($Q1461)=0),0,IF(IFERROR(INDEX(单位档案!$H$6:$H$35,MATCH($E1461,单位档案!$A$6:$A$35,0)),"")="税差法",ROUND(N($H1461)/(1+$Q1461)*$Q1461-IF(N($R1461)=0,0,$P1461/(1+$R1461)*$R1461),2),ROUND(N($H1461)/(1+$Q1461)*$Q1461,2)))</f>
        <v>0</v>
      </c>
      <c r="T1461" s="36" t="n">
        <f aca="false">ROUND($S1461*N(IFERROR(INDEX(单位档案!$J$6:$J$35,MATCH($E1461,单位档案!$A$6:$A$35,0)),"")),2)</f>
        <v>0</v>
      </c>
      <c r="U1461" s="36" t="n">
        <f aca="false">IF($D1461&lt;&gt;"销项开票",0,ROUND(N($H1461)*N(IFERROR(INDEX(单位档案!$K$6:$K$35,MATCH($E1461,单位档案!$A$6:$A$35,0)),"")),2))</f>
        <v>0</v>
      </c>
      <c r="V1461" s="36" t="n">
        <f aca="false">IF(OR($D1461&lt;&gt;"销项开票",N($Q1461)=0),0,ROUND(N($H1461)/(1+$Q1461)*N(IFERROR(INDEX(单位档案!$L$6:$L$35,MATCH($E1461,单位档案!$A$6:$A$35,0)),"")),2))</f>
        <v>0</v>
      </c>
      <c r="W1461" s="36" t="n">
        <f aca="false">ROUND($S1461+$T1461+$U1461+$V1461,2)</f>
        <v>0</v>
      </c>
      <c r="X1461" s="35" t="str">
        <f aca="false">IF(OR($D1461="挂靠代收",$D1461="我方收款"),COUNTIFS($D$5:$D1461,"挂靠代收")+COUNTIFS($D$5:$D1461,"我方收款"),"")</f>
        <v/>
      </c>
      <c r="Y1461" s="35"/>
      <c r="Z1461" s="21" t="s">
        <v>111</v>
      </c>
    </row>
    <row r="1462" customFormat="false" ht="15.75" hidden="false" customHeight="true" outlineLevel="0" collapsed="false">
      <c r="A1462" s="32" t="str">
        <f aca="false">IF($B1462="","",ROW()-4)</f>
        <v/>
      </c>
      <c r="B1462" s="26"/>
      <c r="C1462" s="24"/>
      <c r="D1462" s="21"/>
      <c r="E1462" s="21"/>
      <c r="F1462" s="21"/>
      <c r="G1462" s="21"/>
      <c r="H1462" s="27"/>
      <c r="I1462" s="23" t="str">
        <f aca="false">IF($D1462&lt;&gt;"销项开票","",IF($N1462="一级",IF(IFERROR(INDEX(项目档案!$E$6:$E$255,MATCH($C1462,项目档案!$A$6:$A$255,0)),"")="",N(IFERROR(INDEX(单位档案!$D$6:$D$35,MATCH($E1462,单位档案!$A$6:$A$35,0)),"")),IFERROR(INDEX(项目档案!$E$6:$E$255,MATCH($C1462,项目档案!$A$6:$A$255,0)),"")),IF($N1462="二级",IF(IFERROR(INDEX(项目档案!$G$6:$G$255,MATCH($C1462,项目档案!$A$6:$A$255,0)),"")="",N(IFERROR(INDEX(单位档案!$D$6:$D$35,MATCH($E1462,单位档案!$A$6:$A$35,0)),"")),IFERROR(INDEX(项目档案!$G$6:$G$255,MATCH($C1462,项目档案!$A$6:$A$255,0)),"")),N(IFERROR(INDEX(单位档案!$D$6:$D$35,MATCH($E1462,单位档案!$A$6:$A$35,0)),"")))))</f>
        <v/>
      </c>
      <c r="J1462" s="22"/>
      <c r="K1462" s="22"/>
      <c r="L1462" s="33" t="str">
        <f aca="false">IF($B1462="","",IF(NOT(ISNUMBER($B1462)),"日期格式不对",IF($C1462="","未选项目编号",IF(LEFT($M1462,1)="⚠","项目编号不存在",IF($D1462="","未选业务类型",IF($E1462="","未选开票/付款方",IF(ISNA(MATCH($E1462,单位档案!$A$6:$A$35,0)),"开票方不在单位档案",IF($F1462="","未选收票/收款方",IF(ISNA(MATCH($F1462,单位档案!$A$6:$A$35,0)),"收款方不在单位档案",IF(NOT(ISNUMBER($H1462)),"金额须为数字",IF(AND($D1462="销项开票",$N1462="—"),"链条待确认","√")))))))))))</f>
        <v/>
      </c>
      <c r="M1462" s="34" t="str">
        <f aca="false">IF($C1462="","",IFERROR(INDEX(项目档案!$B$6:$B$255,MATCH($C1462,项目档案!$A$6:$A$255,0)),"⚠项目编号不存在"))</f>
        <v/>
      </c>
      <c r="N1462" s="35" t="str">
        <f aca="false">IF($E1462="","",IF($E1462=IFERROR(INDEX(项目档案!$D$6:$D$255,MATCH($C1462,项目档案!$A$6:$A$255,0)),""),"一级",IF($E1462=IFERROR(INDEX(项目档案!$F$6:$F$255,MATCH($C1462,项目档案!$A$6:$A$255,0)),""),"二级",IF($E1462=IFERROR(INDEX(项目档案!$H$6:$H$255,MATCH($C1462,项目档案!$A$6:$A$255,0)),""),"我方","—"))))</f>
        <v/>
      </c>
      <c r="O1462" s="36" t="n">
        <f aca="false">IF($D1462&lt;&gt;"销项开票",0,ROUND(N($H1462)*N($I1462),2))</f>
        <v>0</v>
      </c>
      <c r="P1462" s="36" t="n">
        <f aca="false">IF($D1462&lt;&gt;"销项开票",0,ROUND(N($H1462)-$O1462,2))</f>
        <v>0</v>
      </c>
      <c r="Q1462" s="37" t="str">
        <f aca="false">IF($E1462="","",N(IFERROR(INDEX(单位档案!$E$6:$E$35,MATCH($E1462,单位档案!$A$6:$A$35,0)),"")))</f>
        <v/>
      </c>
      <c r="R1462" s="37" t="str">
        <f aca="false">IF($E1462="","",N(IFERROR(INDEX(单位档案!$F$6:$F$35,MATCH($E1462,单位档案!$A$6:$A$35,0)),"")))</f>
        <v/>
      </c>
      <c r="S1462" s="36" t="n">
        <f aca="false">IF(OR($D1462&lt;&gt;"销项开票",IFERROR(INDEX(单位档案!$G$6:$G$35,MATCH($E1462,单位档案!$A$6:$A$35,0)),"")&lt;&gt;"是",N($Q1462)=0),0,IF(IFERROR(INDEX(单位档案!$H$6:$H$35,MATCH($E1462,单位档案!$A$6:$A$35,0)),"")="税差法",ROUND(N($H1462)/(1+$Q1462)*$Q1462-IF(N($R1462)=0,0,$P1462/(1+$R1462)*$R1462),2),ROUND(N($H1462)/(1+$Q1462)*$Q1462,2)))</f>
        <v>0</v>
      </c>
      <c r="T1462" s="36" t="n">
        <f aca="false">ROUND($S1462*N(IFERROR(INDEX(单位档案!$J$6:$J$35,MATCH($E1462,单位档案!$A$6:$A$35,0)),"")),2)</f>
        <v>0</v>
      </c>
      <c r="U1462" s="36" t="n">
        <f aca="false">IF($D1462&lt;&gt;"销项开票",0,ROUND(N($H1462)*N(IFERROR(INDEX(单位档案!$K$6:$K$35,MATCH($E1462,单位档案!$A$6:$A$35,0)),"")),2))</f>
        <v>0</v>
      </c>
      <c r="V1462" s="36" t="n">
        <f aca="false">IF(OR($D1462&lt;&gt;"销项开票",N($Q1462)=0),0,ROUND(N($H1462)/(1+$Q1462)*N(IFERROR(INDEX(单位档案!$L$6:$L$35,MATCH($E1462,单位档案!$A$6:$A$35,0)),"")),2))</f>
        <v>0</v>
      </c>
      <c r="W1462" s="36" t="n">
        <f aca="false">ROUND($S1462+$T1462+$U1462+$V1462,2)</f>
        <v>0</v>
      </c>
      <c r="X1462" s="35" t="str">
        <f aca="false">IF(OR($D1462="挂靠代收",$D1462="我方收款"),COUNTIFS($D$5:$D1462,"挂靠代收")+COUNTIFS($D$5:$D1462,"我方收款"),"")</f>
        <v/>
      </c>
      <c r="Y1462" s="35"/>
      <c r="Z1462" s="21" t="s">
        <v>111</v>
      </c>
    </row>
    <row r="1463" customFormat="false" ht="15.75" hidden="false" customHeight="true" outlineLevel="0" collapsed="false">
      <c r="A1463" s="32" t="str">
        <f aca="false">IF($B1463="","",ROW()-4)</f>
        <v/>
      </c>
      <c r="B1463" s="26"/>
      <c r="C1463" s="24"/>
      <c r="D1463" s="21"/>
      <c r="E1463" s="21"/>
      <c r="F1463" s="21"/>
      <c r="G1463" s="21"/>
      <c r="H1463" s="27"/>
      <c r="I1463" s="23" t="str">
        <f aca="false">IF($D1463&lt;&gt;"销项开票","",IF($N1463="一级",IF(IFERROR(INDEX(项目档案!$E$6:$E$255,MATCH($C1463,项目档案!$A$6:$A$255,0)),"")="",N(IFERROR(INDEX(单位档案!$D$6:$D$35,MATCH($E1463,单位档案!$A$6:$A$35,0)),"")),IFERROR(INDEX(项目档案!$E$6:$E$255,MATCH($C1463,项目档案!$A$6:$A$255,0)),"")),IF($N1463="二级",IF(IFERROR(INDEX(项目档案!$G$6:$G$255,MATCH($C1463,项目档案!$A$6:$A$255,0)),"")="",N(IFERROR(INDEX(单位档案!$D$6:$D$35,MATCH($E1463,单位档案!$A$6:$A$35,0)),"")),IFERROR(INDEX(项目档案!$G$6:$G$255,MATCH($C1463,项目档案!$A$6:$A$255,0)),"")),N(IFERROR(INDEX(单位档案!$D$6:$D$35,MATCH($E1463,单位档案!$A$6:$A$35,0)),"")))))</f>
        <v/>
      </c>
      <c r="J1463" s="22"/>
      <c r="K1463" s="22"/>
      <c r="L1463" s="33" t="str">
        <f aca="false">IF($B1463="","",IF(NOT(ISNUMBER($B1463)),"日期格式不对",IF($C1463="","未选项目编号",IF(LEFT($M1463,1)="⚠","项目编号不存在",IF($D1463="","未选业务类型",IF($E1463="","未选开票/付款方",IF(ISNA(MATCH($E1463,单位档案!$A$6:$A$35,0)),"开票方不在单位档案",IF($F1463="","未选收票/收款方",IF(ISNA(MATCH($F1463,单位档案!$A$6:$A$35,0)),"收款方不在单位档案",IF(NOT(ISNUMBER($H1463)),"金额须为数字",IF(AND($D1463="销项开票",$N1463="—"),"链条待确认","√")))))))))))</f>
        <v/>
      </c>
      <c r="M1463" s="34" t="str">
        <f aca="false">IF($C1463="","",IFERROR(INDEX(项目档案!$B$6:$B$255,MATCH($C1463,项目档案!$A$6:$A$255,0)),"⚠项目编号不存在"))</f>
        <v/>
      </c>
      <c r="N1463" s="35" t="str">
        <f aca="false">IF($E1463="","",IF($E1463=IFERROR(INDEX(项目档案!$D$6:$D$255,MATCH($C1463,项目档案!$A$6:$A$255,0)),""),"一级",IF($E1463=IFERROR(INDEX(项目档案!$F$6:$F$255,MATCH($C1463,项目档案!$A$6:$A$255,0)),""),"二级",IF($E1463=IFERROR(INDEX(项目档案!$H$6:$H$255,MATCH($C1463,项目档案!$A$6:$A$255,0)),""),"我方","—"))))</f>
        <v/>
      </c>
      <c r="O1463" s="36" t="n">
        <f aca="false">IF($D1463&lt;&gt;"销项开票",0,ROUND(N($H1463)*N($I1463),2))</f>
        <v>0</v>
      </c>
      <c r="P1463" s="36" t="n">
        <f aca="false">IF($D1463&lt;&gt;"销项开票",0,ROUND(N($H1463)-$O1463,2))</f>
        <v>0</v>
      </c>
      <c r="Q1463" s="37" t="str">
        <f aca="false">IF($E1463="","",N(IFERROR(INDEX(单位档案!$E$6:$E$35,MATCH($E1463,单位档案!$A$6:$A$35,0)),"")))</f>
        <v/>
      </c>
      <c r="R1463" s="37" t="str">
        <f aca="false">IF($E1463="","",N(IFERROR(INDEX(单位档案!$F$6:$F$35,MATCH($E1463,单位档案!$A$6:$A$35,0)),"")))</f>
        <v/>
      </c>
      <c r="S1463" s="36" t="n">
        <f aca="false">IF(OR($D1463&lt;&gt;"销项开票",IFERROR(INDEX(单位档案!$G$6:$G$35,MATCH($E1463,单位档案!$A$6:$A$35,0)),"")&lt;&gt;"是",N($Q1463)=0),0,IF(IFERROR(INDEX(单位档案!$H$6:$H$35,MATCH($E1463,单位档案!$A$6:$A$35,0)),"")="税差法",ROUND(N($H1463)/(1+$Q1463)*$Q1463-IF(N($R1463)=0,0,$P1463/(1+$R1463)*$R1463),2),ROUND(N($H1463)/(1+$Q1463)*$Q1463,2)))</f>
        <v>0</v>
      </c>
      <c r="T1463" s="36" t="n">
        <f aca="false">ROUND($S1463*N(IFERROR(INDEX(单位档案!$J$6:$J$35,MATCH($E1463,单位档案!$A$6:$A$35,0)),"")),2)</f>
        <v>0</v>
      </c>
      <c r="U1463" s="36" t="n">
        <f aca="false">IF($D1463&lt;&gt;"销项开票",0,ROUND(N($H1463)*N(IFERROR(INDEX(单位档案!$K$6:$K$35,MATCH($E1463,单位档案!$A$6:$A$35,0)),"")),2))</f>
        <v>0</v>
      </c>
      <c r="V1463" s="36" t="n">
        <f aca="false">IF(OR($D1463&lt;&gt;"销项开票",N($Q1463)=0),0,ROUND(N($H1463)/(1+$Q1463)*N(IFERROR(INDEX(单位档案!$L$6:$L$35,MATCH($E1463,单位档案!$A$6:$A$35,0)),"")),2))</f>
        <v>0</v>
      </c>
      <c r="W1463" s="36" t="n">
        <f aca="false">ROUND($S1463+$T1463+$U1463+$V1463,2)</f>
        <v>0</v>
      </c>
      <c r="X1463" s="35" t="str">
        <f aca="false">IF(OR($D1463="挂靠代收",$D1463="我方收款"),COUNTIFS($D$5:$D1463,"挂靠代收")+COUNTIFS($D$5:$D1463,"我方收款"),"")</f>
        <v/>
      </c>
      <c r="Y1463" s="35"/>
      <c r="Z1463" s="21" t="s">
        <v>111</v>
      </c>
    </row>
    <row r="1464" customFormat="false" ht="15.75" hidden="false" customHeight="true" outlineLevel="0" collapsed="false">
      <c r="A1464" s="32" t="str">
        <f aca="false">IF($B1464="","",ROW()-4)</f>
        <v/>
      </c>
      <c r="B1464" s="26"/>
      <c r="C1464" s="24"/>
      <c r="D1464" s="21"/>
      <c r="E1464" s="21"/>
      <c r="F1464" s="21"/>
      <c r="G1464" s="21"/>
      <c r="H1464" s="27"/>
      <c r="I1464" s="23" t="str">
        <f aca="false">IF($D1464&lt;&gt;"销项开票","",IF($N1464="一级",IF(IFERROR(INDEX(项目档案!$E$6:$E$255,MATCH($C1464,项目档案!$A$6:$A$255,0)),"")="",N(IFERROR(INDEX(单位档案!$D$6:$D$35,MATCH($E1464,单位档案!$A$6:$A$35,0)),"")),IFERROR(INDEX(项目档案!$E$6:$E$255,MATCH($C1464,项目档案!$A$6:$A$255,0)),"")),IF($N1464="二级",IF(IFERROR(INDEX(项目档案!$G$6:$G$255,MATCH($C1464,项目档案!$A$6:$A$255,0)),"")="",N(IFERROR(INDEX(单位档案!$D$6:$D$35,MATCH($E1464,单位档案!$A$6:$A$35,0)),"")),IFERROR(INDEX(项目档案!$G$6:$G$255,MATCH($C1464,项目档案!$A$6:$A$255,0)),"")),N(IFERROR(INDEX(单位档案!$D$6:$D$35,MATCH($E1464,单位档案!$A$6:$A$35,0)),"")))))</f>
        <v/>
      </c>
      <c r="J1464" s="22"/>
      <c r="K1464" s="22"/>
      <c r="L1464" s="33" t="str">
        <f aca="false">IF($B1464="","",IF(NOT(ISNUMBER($B1464)),"日期格式不对",IF($C1464="","未选项目编号",IF(LEFT($M1464,1)="⚠","项目编号不存在",IF($D1464="","未选业务类型",IF($E1464="","未选开票/付款方",IF(ISNA(MATCH($E1464,单位档案!$A$6:$A$35,0)),"开票方不在单位档案",IF($F1464="","未选收票/收款方",IF(ISNA(MATCH($F1464,单位档案!$A$6:$A$35,0)),"收款方不在单位档案",IF(NOT(ISNUMBER($H1464)),"金额须为数字",IF(AND($D1464="销项开票",$N1464="—"),"链条待确认","√")))))))))))</f>
        <v/>
      </c>
      <c r="M1464" s="34" t="str">
        <f aca="false">IF($C1464="","",IFERROR(INDEX(项目档案!$B$6:$B$255,MATCH($C1464,项目档案!$A$6:$A$255,0)),"⚠项目编号不存在"))</f>
        <v/>
      </c>
      <c r="N1464" s="35" t="str">
        <f aca="false">IF($E1464="","",IF($E1464=IFERROR(INDEX(项目档案!$D$6:$D$255,MATCH($C1464,项目档案!$A$6:$A$255,0)),""),"一级",IF($E1464=IFERROR(INDEX(项目档案!$F$6:$F$255,MATCH($C1464,项目档案!$A$6:$A$255,0)),""),"二级",IF($E1464=IFERROR(INDEX(项目档案!$H$6:$H$255,MATCH($C1464,项目档案!$A$6:$A$255,0)),""),"我方","—"))))</f>
        <v/>
      </c>
      <c r="O1464" s="36" t="n">
        <f aca="false">IF($D1464&lt;&gt;"销项开票",0,ROUND(N($H1464)*N($I1464),2))</f>
        <v>0</v>
      </c>
      <c r="P1464" s="36" t="n">
        <f aca="false">IF($D1464&lt;&gt;"销项开票",0,ROUND(N($H1464)-$O1464,2))</f>
        <v>0</v>
      </c>
      <c r="Q1464" s="37" t="str">
        <f aca="false">IF($E1464="","",N(IFERROR(INDEX(单位档案!$E$6:$E$35,MATCH($E1464,单位档案!$A$6:$A$35,0)),"")))</f>
        <v/>
      </c>
      <c r="R1464" s="37" t="str">
        <f aca="false">IF($E1464="","",N(IFERROR(INDEX(单位档案!$F$6:$F$35,MATCH($E1464,单位档案!$A$6:$A$35,0)),"")))</f>
        <v/>
      </c>
      <c r="S1464" s="36" t="n">
        <f aca="false">IF(OR($D1464&lt;&gt;"销项开票",IFERROR(INDEX(单位档案!$G$6:$G$35,MATCH($E1464,单位档案!$A$6:$A$35,0)),"")&lt;&gt;"是",N($Q1464)=0),0,IF(IFERROR(INDEX(单位档案!$H$6:$H$35,MATCH($E1464,单位档案!$A$6:$A$35,0)),"")="税差法",ROUND(N($H1464)/(1+$Q1464)*$Q1464-IF(N($R1464)=0,0,$P1464/(1+$R1464)*$R1464),2),ROUND(N($H1464)/(1+$Q1464)*$Q1464,2)))</f>
        <v>0</v>
      </c>
      <c r="T1464" s="36" t="n">
        <f aca="false">ROUND($S1464*N(IFERROR(INDEX(单位档案!$J$6:$J$35,MATCH($E1464,单位档案!$A$6:$A$35,0)),"")),2)</f>
        <v>0</v>
      </c>
      <c r="U1464" s="36" t="n">
        <f aca="false">IF($D1464&lt;&gt;"销项开票",0,ROUND(N($H1464)*N(IFERROR(INDEX(单位档案!$K$6:$K$35,MATCH($E1464,单位档案!$A$6:$A$35,0)),"")),2))</f>
        <v>0</v>
      </c>
      <c r="V1464" s="36" t="n">
        <f aca="false">IF(OR($D1464&lt;&gt;"销项开票",N($Q1464)=0),0,ROUND(N($H1464)/(1+$Q1464)*N(IFERROR(INDEX(单位档案!$L$6:$L$35,MATCH($E1464,单位档案!$A$6:$A$35,0)),"")),2))</f>
        <v>0</v>
      </c>
      <c r="W1464" s="36" t="n">
        <f aca="false">ROUND($S1464+$T1464+$U1464+$V1464,2)</f>
        <v>0</v>
      </c>
      <c r="X1464" s="35" t="str">
        <f aca="false">IF(OR($D1464="挂靠代收",$D1464="我方收款"),COUNTIFS($D$5:$D1464,"挂靠代收")+COUNTIFS($D$5:$D1464,"我方收款"),"")</f>
        <v/>
      </c>
      <c r="Y1464" s="35"/>
      <c r="Z1464" s="21" t="s">
        <v>111</v>
      </c>
    </row>
    <row r="1465" customFormat="false" ht="15.75" hidden="false" customHeight="true" outlineLevel="0" collapsed="false">
      <c r="A1465" s="32" t="str">
        <f aca="false">IF($B1465="","",ROW()-4)</f>
        <v/>
      </c>
      <c r="B1465" s="26"/>
      <c r="C1465" s="24"/>
      <c r="D1465" s="21"/>
      <c r="E1465" s="21"/>
      <c r="F1465" s="21"/>
      <c r="G1465" s="21"/>
      <c r="H1465" s="27"/>
      <c r="I1465" s="23" t="str">
        <f aca="false">IF($D1465&lt;&gt;"销项开票","",IF($N1465="一级",IF(IFERROR(INDEX(项目档案!$E$6:$E$255,MATCH($C1465,项目档案!$A$6:$A$255,0)),"")="",N(IFERROR(INDEX(单位档案!$D$6:$D$35,MATCH($E1465,单位档案!$A$6:$A$35,0)),"")),IFERROR(INDEX(项目档案!$E$6:$E$255,MATCH($C1465,项目档案!$A$6:$A$255,0)),"")),IF($N1465="二级",IF(IFERROR(INDEX(项目档案!$G$6:$G$255,MATCH($C1465,项目档案!$A$6:$A$255,0)),"")="",N(IFERROR(INDEX(单位档案!$D$6:$D$35,MATCH($E1465,单位档案!$A$6:$A$35,0)),"")),IFERROR(INDEX(项目档案!$G$6:$G$255,MATCH($C1465,项目档案!$A$6:$A$255,0)),"")),N(IFERROR(INDEX(单位档案!$D$6:$D$35,MATCH($E1465,单位档案!$A$6:$A$35,0)),"")))))</f>
        <v/>
      </c>
      <c r="J1465" s="22"/>
      <c r="K1465" s="22"/>
      <c r="L1465" s="33" t="str">
        <f aca="false">IF($B1465="","",IF(NOT(ISNUMBER($B1465)),"日期格式不对",IF($C1465="","未选项目编号",IF(LEFT($M1465,1)="⚠","项目编号不存在",IF($D1465="","未选业务类型",IF($E1465="","未选开票/付款方",IF(ISNA(MATCH($E1465,单位档案!$A$6:$A$35,0)),"开票方不在单位档案",IF($F1465="","未选收票/收款方",IF(ISNA(MATCH($F1465,单位档案!$A$6:$A$35,0)),"收款方不在单位档案",IF(NOT(ISNUMBER($H1465)),"金额须为数字",IF(AND($D1465="销项开票",$N1465="—"),"链条待确认","√")))))))))))</f>
        <v/>
      </c>
      <c r="M1465" s="34" t="str">
        <f aca="false">IF($C1465="","",IFERROR(INDEX(项目档案!$B$6:$B$255,MATCH($C1465,项目档案!$A$6:$A$255,0)),"⚠项目编号不存在"))</f>
        <v/>
      </c>
      <c r="N1465" s="35" t="str">
        <f aca="false">IF($E1465="","",IF($E1465=IFERROR(INDEX(项目档案!$D$6:$D$255,MATCH($C1465,项目档案!$A$6:$A$255,0)),""),"一级",IF($E1465=IFERROR(INDEX(项目档案!$F$6:$F$255,MATCH($C1465,项目档案!$A$6:$A$255,0)),""),"二级",IF($E1465=IFERROR(INDEX(项目档案!$H$6:$H$255,MATCH($C1465,项目档案!$A$6:$A$255,0)),""),"我方","—"))))</f>
        <v/>
      </c>
      <c r="O1465" s="36" t="n">
        <f aca="false">IF($D1465&lt;&gt;"销项开票",0,ROUND(N($H1465)*N($I1465),2))</f>
        <v>0</v>
      </c>
      <c r="P1465" s="36" t="n">
        <f aca="false">IF($D1465&lt;&gt;"销项开票",0,ROUND(N($H1465)-$O1465,2))</f>
        <v>0</v>
      </c>
      <c r="Q1465" s="37" t="str">
        <f aca="false">IF($E1465="","",N(IFERROR(INDEX(单位档案!$E$6:$E$35,MATCH($E1465,单位档案!$A$6:$A$35,0)),"")))</f>
        <v/>
      </c>
      <c r="R1465" s="37" t="str">
        <f aca="false">IF($E1465="","",N(IFERROR(INDEX(单位档案!$F$6:$F$35,MATCH($E1465,单位档案!$A$6:$A$35,0)),"")))</f>
        <v/>
      </c>
      <c r="S1465" s="36" t="n">
        <f aca="false">IF(OR($D1465&lt;&gt;"销项开票",IFERROR(INDEX(单位档案!$G$6:$G$35,MATCH($E1465,单位档案!$A$6:$A$35,0)),"")&lt;&gt;"是",N($Q1465)=0),0,IF(IFERROR(INDEX(单位档案!$H$6:$H$35,MATCH($E1465,单位档案!$A$6:$A$35,0)),"")="税差法",ROUND(N($H1465)/(1+$Q1465)*$Q1465-IF(N($R1465)=0,0,$P1465/(1+$R1465)*$R1465),2),ROUND(N($H1465)/(1+$Q1465)*$Q1465,2)))</f>
        <v>0</v>
      </c>
      <c r="T1465" s="36" t="n">
        <f aca="false">ROUND($S1465*N(IFERROR(INDEX(单位档案!$J$6:$J$35,MATCH($E1465,单位档案!$A$6:$A$35,0)),"")),2)</f>
        <v>0</v>
      </c>
      <c r="U1465" s="36" t="n">
        <f aca="false">IF($D1465&lt;&gt;"销项开票",0,ROUND(N($H1465)*N(IFERROR(INDEX(单位档案!$K$6:$K$35,MATCH($E1465,单位档案!$A$6:$A$35,0)),"")),2))</f>
        <v>0</v>
      </c>
      <c r="V1465" s="36" t="n">
        <f aca="false">IF(OR($D1465&lt;&gt;"销项开票",N($Q1465)=0),0,ROUND(N($H1465)/(1+$Q1465)*N(IFERROR(INDEX(单位档案!$L$6:$L$35,MATCH($E1465,单位档案!$A$6:$A$35,0)),"")),2))</f>
        <v>0</v>
      </c>
      <c r="W1465" s="36" t="n">
        <f aca="false">ROUND($S1465+$T1465+$U1465+$V1465,2)</f>
        <v>0</v>
      </c>
      <c r="X1465" s="35" t="str">
        <f aca="false">IF(OR($D1465="挂靠代收",$D1465="我方收款"),COUNTIFS($D$5:$D1465,"挂靠代收")+COUNTIFS($D$5:$D1465,"我方收款"),"")</f>
        <v/>
      </c>
      <c r="Y1465" s="35"/>
      <c r="Z1465" s="21" t="s">
        <v>111</v>
      </c>
    </row>
    <row r="1466" customFormat="false" ht="15.75" hidden="false" customHeight="true" outlineLevel="0" collapsed="false">
      <c r="A1466" s="32" t="str">
        <f aca="false">IF($B1466="","",ROW()-4)</f>
        <v/>
      </c>
      <c r="B1466" s="26"/>
      <c r="C1466" s="24"/>
      <c r="D1466" s="21"/>
      <c r="E1466" s="21"/>
      <c r="F1466" s="21"/>
      <c r="G1466" s="21"/>
      <c r="H1466" s="27"/>
      <c r="I1466" s="23" t="str">
        <f aca="false">IF($D1466&lt;&gt;"销项开票","",IF($N1466="一级",IF(IFERROR(INDEX(项目档案!$E$6:$E$255,MATCH($C1466,项目档案!$A$6:$A$255,0)),"")="",N(IFERROR(INDEX(单位档案!$D$6:$D$35,MATCH($E1466,单位档案!$A$6:$A$35,0)),"")),IFERROR(INDEX(项目档案!$E$6:$E$255,MATCH($C1466,项目档案!$A$6:$A$255,0)),"")),IF($N1466="二级",IF(IFERROR(INDEX(项目档案!$G$6:$G$255,MATCH($C1466,项目档案!$A$6:$A$255,0)),"")="",N(IFERROR(INDEX(单位档案!$D$6:$D$35,MATCH($E1466,单位档案!$A$6:$A$35,0)),"")),IFERROR(INDEX(项目档案!$G$6:$G$255,MATCH($C1466,项目档案!$A$6:$A$255,0)),"")),N(IFERROR(INDEX(单位档案!$D$6:$D$35,MATCH($E1466,单位档案!$A$6:$A$35,0)),"")))))</f>
        <v/>
      </c>
      <c r="J1466" s="22"/>
      <c r="K1466" s="22"/>
      <c r="L1466" s="33" t="str">
        <f aca="false">IF($B1466="","",IF(NOT(ISNUMBER($B1466)),"日期格式不对",IF($C1466="","未选项目编号",IF(LEFT($M1466,1)="⚠","项目编号不存在",IF($D1466="","未选业务类型",IF($E1466="","未选开票/付款方",IF(ISNA(MATCH($E1466,单位档案!$A$6:$A$35,0)),"开票方不在单位档案",IF($F1466="","未选收票/收款方",IF(ISNA(MATCH($F1466,单位档案!$A$6:$A$35,0)),"收款方不在单位档案",IF(NOT(ISNUMBER($H1466)),"金额须为数字",IF(AND($D1466="销项开票",$N1466="—"),"链条待确认","√")))))))))))</f>
        <v/>
      </c>
      <c r="M1466" s="34" t="str">
        <f aca="false">IF($C1466="","",IFERROR(INDEX(项目档案!$B$6:$B$255,MATCH($C1466,项目档案!$A$6:$A$255,0)),"⚠项目编号不存在"))</f>
        <v/>
      </c>
      <c r="N1466" s="35" t="str">
        <f aca="false">IF($E1466="","",IF($E1466=IFERROR(INDEX(项目档案!$D$6:$D$255,MATCH($C1466,项目档案!$A$6:$A$255,0)),""),"一级",IF($E1466=IFERROR(INDEX(项目档案!$F$6:$F$255,MATCH($C1466,项目档案!$A$6:$A$255,0)),""),"二级",IF($E1466=IFERROR(INDEX(项目档案!$H$6:$H$255,MATCH($C1466,项目档案!$A$6:$A$255,0)),""),"我方","—"))))</f>
        <v/>
      </c>
      <c r="O1466" s="36" t="n">
        <f aca="false">IF($D1466&lt;&gt;"销项开票",0,ROUND(N($H1466)*N($I1466),2))</f>
        <v>0</v>
      </c>
      <c r="P1466" s="36" t="n">
        <f aca="false">IF($D1466&lt;&gt;"销项开票",0,ROUND(N($H1466)-$O1466,2))</f>
        <v>0</v>
      </c>
      <c r="Q1466" s="37" t="str">
        <f aca="false">IF($E1466="","",N(IFERROR(INDEX(单位档案!$E$6:$E$35,MATCH($E1466,单位档案!$A$6:$A$35,0)),"")))</f>
        <v/>
      </c>
      <c r="R1466" s="37" t="str">
        <f aca="false">IF($E1466="","",N(IFERROR(INDEX(单位档案!$F$6:$F$35,MATCH($E1466,单位档案!$A$6:$A$35,0)),"")))</f>
        <v/>
      </c>
      <c r="S1466" s="36" t="n">
        <f aca="false">IF(OR($D1466&lt;&gt;"销项开票",IFERROR(INDEX(单位档案!$G$6:$G$35,MATCH($E1466,单位档案!$A$6:$A$35,0)),"")&lt;&gt;"是",N($Q1466)=0),0,IF(IFERROR(INDEX(单位档案!$H$6:$H$35,MATCH($E1466,单位档案!$A$6:$A$35,0)),"")="税差法",ROUND(N($H1466)/(1+$Q1466)*$Q1466-IF(N($R1466)=0,0,$P1466/(1+$R1466)*$R1466),2),ROUND(N($H1466)/(1+$Q1466)*$Q1466,2)))</f>
        <v>0</v>
      </c>
      <c r="T1466" s="36" t="n">
        <f aca="false">ROUND($S1466*N(IFERROR(INDEX(单位档案!$J$6:$J$35,MATCH($E1466,单位档案!$A$6:$A$35,0)),"")),2)</f>
        <v>0</v>
      </c>
      <c r="U1466" s="36" t="n">
        <f aca="false">IF($D1466&lt;&gt;"销项开票",0,ROUND(N($H1466)*N(IFERROR(INDEX(单位档案!$K$6:$K$35,MATCH($E1466,单位档案!$A$6:$A$35,0)),"")),2))</f>
        <v>0</v>
      </c>
      <c r="V1466" s="36" t="n">
        <f aca="false">IF(OR($D1466&lt;&gt;"销项开票",N($Q1466)=0),0,ROUND(N($H1466)/(1+$Q1466)*N(IFERROR(INDEX(单位档案!$L$6:$L$35,MATCH($E1466,单位档案!$A$6:$A$35,0)),"")),2))</f>
        <v>0</v>
      </c>
      <c r="W1466" s="36" t="n">
        <f aca="false">ROUND($S1466+$T1466+$U1466+$V1466,2)</f>
        <v>0</v>
      </c>
      <c r="X1466" s="35" t="str">
        <f aca="false">IF(OR($D1466="挂靠代收",$D1466="我方收款"),COUNTIFS($D$5:$D1466,"挂靠代收")+COUNTIFS($D$5:$D1466,"我方收款"),"")</f>
        <v/>
      </c>
      <c r="Y1466" s="35"/>
      <c r="Z1466" s="21" t="s">
        <v>111</v>
      </c>
    </row>
    <row r="1467" customFormat="false" ht="15.75" hidden="false" customHeight="true" outlineLevel="0" collapsed="false">
      <c r="A1467" s="32" t="str">
        <f aca="false">IF($B1467="","",ROW()-4)</f>
        <v/>
      </c>
      <c r="B1467" s="26"/>
      <c r="C1467" s="24"/>
      <c r="D1467" s="21"/>
      <c r="E1467" s="21"/>
      <c r="F1467" s="21"/>
      <c r="G1467" s="21"/>
      <c r="H1467" s="27"/>
      <c r="I1467" s="23" t="str">
        <f aca="false">IF($D1467&lt;&gt;"销项开票","",IF($N1467="一级",IF(IFERROR(INDEX(项目档案!$E$6:$E$255,MATCH($C1467,项目档案!$A$6:$A$255,0)),"")="",N(IFERROR(INDEX(单位档案!$D$6:$D$35,MATCH($E1467,单位档案!$A$6:$A$35,0)),"")),IFERROR(INDEX(项目档案!$E$6:$E$255,MATCH($C1467,项目档案!$A$6:$A$255,0)),"")),IF($N1467="二级",IF(IFERROR(INDEX(项目档案!$G$6:$G$255,MATCH($C1467,项目档案!$A$6:$A$255,0)),"")="",N(IFERROR(INDEX(单位档案!$D$6:$D$35,MATCH($E1467,单位档案!$A$6:$A$35,0)),"")),IFERROR(INDEX(项目档案!$G$6:$G$255,MATCH($C1467,项目档案!$A$6:$A$255,0)),"")),N(IFERROR(INDEX(单位档案!$D$6:$D$35,MATCH($E1467,单位档案!$A$6:$A$35,0)),"")))))</f>
        <v/>
      </c>
      <c r="J1467" s="22"/>
      <c r="K1467" s="22"/>
      <c r="L1467" s="33" t="str">
        <f aca="false">IF($B1467="","",IF(NOT(ISNUMBER($B1467)),"日期格式不对",IF($C1467="","未选项目编号",IF(LEFT($M1467,1)="⚠","项目编号不存在",IF($D1467="","未选业务类型",IF($E1467="","未选开票/付款方",IF(ISNA(MATCH($E1467,单位档案!$A$6:$A$35,0)),"开票方不在单位档案",IF($F1467="","未选收票/收款方",IF(ISNA(MATCH($F1467,单位档案!$A$6:$A$35,0)),"收款方不在单位档案",IF(NOT(ISNUMBER($H1467)),"金额须为数字",IF(AND($D1467="销项开票",$N1467="—"),"链条待确认","√")))))))))))</f>
        <v/>
      </c>
      <c r="M1467" s="34" t="str">
        <f aca="false">IF($C1467="","",IFERROR(INDEX(项目档案!$B$6:$B$255,MATCH($C1467,项目档案!$A$6:$A$255,0)),"⚠项目编号不存在"))</f>
        <v/>
      </c>
      <c r="N1467" s="35" t="str">
        <f aca="false">IF($E1467="","",IF($E1467=IFERROR(INDEX(项目档案!$D$6:$D$255,MATCH($C1467,项目档案!$A$6:$A$255,0)),""),"一级",IF($E1467=IFERROR(INDEX(项目档案!$F$6:$F$255,MATCH($C1467,项目档案!$A$6:$A$255,0)),""),"二级",IF($E1467=IFERROR(INDEX(项目档案!$H$6:$H$255,MATCH($C1467,项目档案!$A$6:$A$255,0)),""),"我方","—"))))</f>
        <v/>
      </c>
      <c r="O1467" s="36" t="n">
        <f aca="false">IF($D1467&lt;&gt;"销项开票",0,ROUND(N($H1467)*N($I1467),2))</f>
        <v>0</v>
      </c>
      <c r="P1467" s="36" t="n">
        <f aca="false">IF($D1467&lt;&gt;"销项开票",0,ROUND(N($H1467)-$O1467,2))</f>
        <v>0</v>
      </c>
      <c r="Q1467" s="37" t="str">
        <f aca="false">IF($E1467="","",N(IFERROR(INDEX(单位档案!$E$6:$E$35,MATCH($E1467,单位档案!$A$6:$A$35,0)),"")))</f>
        <v/>
      </c>
      <c r="R1467" s="37" t="str">
        <f aca="false">IF($E1467="","",N(IFERROR(INDEX(单位档案!$F$6:$F$35,MATCH($E1467,单位档案!$A$6:$A$35,0)),"")))</f>
        <v/>
      </c>
      <c r="S1467" s="36" t="n">
        <f aca="false">IF(OR($D1467&lt;&gt;"销项开票",IFERROR(INDEX(单位档案!$G$6:$G$35,MATCH($E1467,单位档案!$A$6:$A$35,0)),"")&lt;&gt;"是",N($Q1467)=0),0,IF(IFERROR(INDEX(单位档案!$H$6:$H$35,MATCH($E1467,单位档案!$A$6:$A$35,0)),"")="税差法",ROUND(N($H1467)/(1+$Q1467)*$Q1467-IF(N($R1467)=0,0,$P1467/(1+$R1467)*$R1467),2),ROUND(N($H1467)/(1+$Q1467)*$Q1467,2)))</f>
        <v>0</v>
      </c>
      <c r="T1467" s="36" t="n">
        <f aca="false">ROUND($S1467*N(IFERROR(INDEX(单位档案!$J$6:$J$35,MATCH($E1467,单位档案!$A$6:$A$35,0)),"")),2)</f>
        <v>0</v>
      </c>
      <c r="U1467" s="36" t="n">
        <f aca="false">IF($D1467&lt;&gt;"销项开票",0,ROUND(N($H1467)*N(IFERROR(INDEX(单位档案!$K$6:$K$35,MATCH($E1467,单位档案!$A$6:$A$35,0)),"")),2))</f>
        <v>0</v>
      </c>
      <c r="V1467" s="36" t="n">
        <f aca="false">IF(OR($D1467&lt;&gt;"销项开票",N($Q1467)=0),0,ROUND(N($H1467)/(1+$Q1467)*N(IFERROR(INDEX(单位档案!$L$6:$L$35,MATCH($E1467,单位档案!$A$6:$A$35,0)),"")),2))</f>
        <v>0</v>
      </c>
      <c r="W1467" s="36" t="n">
        <f aca="false">ROUND($S1467+$T1467+$U1467+$V1467,2)</f>
        <v>0</v>
      </c>
      <c r="X1467" s="35" t="str">
        <f aca="false">IF(OR($D1467="挂靠代收",$D1467="我方收款"),COUNTIFS($D$5:$D1467,"挂靠代收")+COUNTIFS($D$5:$D1467,"我方收款"),"")</f>
        <v/>
      </c>
      <c r="Y1467" s="35"/>
      <c r="Z1467" s="21" t="s">
        <v>111</v>
      </c>
    </row>
    <row r="1468" customFormat="false" ht="15.75" hidden="false" customHeight="true" outlineLevel="0" collapsed="false">
      <c r="A1468" s="32" t="str">
        <f aca="false">IF($B1468="","",ROW()-4)</f>
        <v/>
      </c>
      <c r="B1468" s="26"/>
      <c r="C1468" s="24"/>
      <c r="D1468" s="21"/>
      <c r="E1468" s="21"/>
      <c r="F1468" s="21"/>
      <c r="G1468" s="21"/>
      <c r="H1468" s="27"/>
      <c r="I1468" s="23" t="str">
        <f aca="false">IF($D1468&lt;&gt;"销项开票","",IF($N1468="一级",IF(IFERROR(INDEX(项目档案!$E$6:$E$255,MATCH($C1468,项目档案!$A$6:$A$255,0)),"")="",N(IFERROR(INDEX(单位档案!$D$6:$D$35,MATCH($E1468,单位档案!$A$6:$A$35,0)),"")),IFERROR(INDEX(项目档案!$E$6:$E$255,MATCH($C1468,项目档案!$A$6:$A$255,0)),"")),IF($N1468="二级",IF(IFERROR(INDEX(项目档案!$G$6:$G$255,MATCH($C1468,项目档案!$A$6:$A$255,0)),"")="",N(IFERROR(INDEX(单位档案!$D$6:$D$35,MATCH($E1468,单位档案!$A$6:$A$35,0)),"")),IFERROR(INDEX(项目档案!$G$6:$G$255,MATCH($C1468,项目档案!$A$6:$A$255,0)),"")),N(IFERROR(INDEX(单位档案!$D$6:$D$35,MATCH($E1468,单位档案!$A$6:$A$35,0)),"")))))</f>
        <v/>
      </c>
      <c r="J1468" s="22"/>
      <c r="K1468" s="22"/>
      <c r="L1468" s="33" t="str">
        <f aca="false">IF($B1468="","",IF(NOT(ISNUMBER($B1468)),"日期格式不对",IF($C1468="","未选项目编号",IF(LEFT($M1468,1)="⚠","项目编号不存在",IF($D1468="","未选业务类型",IF($E1468="","未选开票/付款方",IF(ISNA(MATCH($E1468,单位档案!$A$6:$A$35,0)),"开票方不在单位档案",IF($F1468="","未选收票/收款方",IF(ISNA(MATCH($F1468,单位档案!$A$6:$A$35,0)),"收款方不在单位档案",IF(NOT(ISNUMBER($H1468)),"金额须为数字",IF(AND($D1468="销项开票",$N1468="—"),"链条待确认","√")))))))))))</f>
        <v/>
      </c>
      <c r="M1468" s="34" t="str">
        <f aca="false">IF($C1468="","",IFERROR(INDEX(项目档案!$B$6:$B$255,MATCH($C1468,项目档案!$A$6:$A$255,0)),"⚠项目编号不存在"))</f>
        <v/>
      </c>
      <c r="N1468" s="35" t="str">
        <f aca="false">IF($E1468="","",IF($E1468=IFERROR(INDEX(项目档案!$D$6:$D$255,MATCH($C1468,项目档案!$A$6:$A$255,0)),""),"一级",IF($E1468=IFERROR(INDEX(项目档案!$F$6:$F$255,MATCH($C1468,项目档案!$A$6:$A$255,0)),""),"二级",IF($E1468=IFERROR(INDEX(项目档案!$H$6:$H$255,MATCH($C1468,项目档案!$A$6:$A$255,0)),""),"我方","—"))))</f>
        <v/>
      </c>
      <c r="O1468" s="36" t="n">
        <f aca="false">IF($D1468&lt;&gt;"销项开票",0,ROUND(N($H1468)*N($I1468),2))</f>
        <v>0</v>
      </c>
      <c r="P1468" s="36" t="n">
        <f aca="false">IF($D1468&lt;&gt;"销项开票",0,ROUND(N($H1468)-$O1468,2))</f>
        <v>0</v>
      </c>
      <c r="Q1468" s="37" t="str">
        <f aca="false">IF($E1468="","",N(IFERROR(INDEX(单位档案!$E$6:$E$35,MATCH($E1468,单位档案!$A$6:$A$35,0)),"")))</f>
        <v/>
      </c>
      <c r="R1468" s="37" t="str">
        <f aca="false">IF($E1468="","",N(IFERROR(INDEX(单位档案!$F$6:$F$35,MATCH($E1468,单位档案!$A$6:$A$35,0)),"")))</f>
        <v/>
      </c>
      <c r="S1468" s="36" t="n">
        <f aca="false">IF(OR($D1468&lt;&gt;"销项开票",IFERROR(INDEX(单位档案!$G$6:$G$35,MATCH($E1468,单位档案!$A$6:$A$35,0)),"")&lt;&gt;"是",N($Q1468)=0),0,IF(IFERROR(INDEX(单位档案!$H$6:$H$35,MATCH($E1468,单位档案!$A$6:$A$35,0)),"")="税差法",ROUND(N($H1468)/(1+$Q1468)*$Q1468-IF(N($R1468)=0,0,$P1468/(1+$R1468)*$R1468),2),ROUND(N($H1468)/(1+$Q1468)*$Q1468,2)))</f>
        <v>0</v>
      </c>
      <c r="T1468" s="36" t="n">
        <f aca="false">ROUND($S1468*N(IFERROR(INDEX(单位档案!$J$6:$J$35,MATCH($E1468,单位档案!$A$6:$A$35,0)),"")),2)</f>
        <v>0</v>
      </c>
      <c r="U1468" s="36" t="n">
        <f aca="false">IF($D1468&lt;&gt;"销项开票",0,ROUND(N($H1468)*N(IFERROR(INDEX(单位档案!$K$6:$K$35,MATCH($E1468,单位档案!$A$6:$A$35,0)),"")),2))</f>
        <v>0</v>
      </c>
      <c r="V1468" s="36" t="n">
        <f aca="false">IF(OR($D1468&lt;&gt;"销项开票",N($Q1468)=0),0,ROUND(N($H1468)/(1+$Q1468)*N(IFERROR(INDEX(单位档案!$L$6:$L$35,MATCH($E1468,单位档案!$A$6:$A$35,0)),"")),2))</f>
        <v>0</v>
      </c>
      <c r="W1468" s="36" t="n">
        <f aca="false">ROUND($S1468+$T1468+$U1468+$V1468,2)</f>
        <v>0</v>
      </c>
      <c r="X1468" s="35" t="str">
        <f aca="false">IF(OR($D1468="挂靠代收",$D1468="我方收款"),COUNTIFS($D$5:$D1468,"挂靠代收")+COUNTIFS($D$5:$D1468,"我方收款"),"")</f>
        <v/>
      </c>
      <c r="Y1468" s="35"/>
      <c r="Z1468" s="21" t="s">
        <v>111</v>
      </c>
    </row>
    <row r="1469" customFormat="false" ht="15.75" hidden="false" customHeight="true" outlineLevel="0" collapsed="false">
      <c r="A1469" s="32" t="str">
        <f aca="false">IF($B1469="","",ROW()-4)</f>
        <v/>
      </c>
      <c r="B1469" s="26"/>
      <c r="C1469" s="24"/>
      <c r="D1469" s="21"/>
      <c r="E1469" s="21"/>
      <c r="F1469" s="21"/>
      <c r="G1469" s="21"/>
      <c r="H1469" s="27"/>
      <c r="I1469" s="23" t="str">
        <f aca="false">IF($D1469&lt;&gt;"销项开票","",IF($N1469="一级",IF(IFERROR(INDEX(项目档案!$E$6:$E$255,MATCH($C1469,项目档案!$A$6:$A$255,0)),"")="",N(IFERROR(INDEX(单位档案!$D$6:$D$35,MATCH($E1469,单位档案!$A$6:$A$35,0)),"")),IFERROR(INDEX(项目档案!$E$6:$E$255,MATCH($C1469,项目档案!$A$6:$A$255,0)),"")),IF($N1469="二级",IF(IFERROR(INDEX(项目档案!$G$6:$G$255,MATCH($C1469,项目档案!$A$6:$A$255,0)),"")="",N(IFERROR(INDEX(单位档案!$D$6:$D$35,MATCH($E1469,单位档案!$A$6:$A$35,0)),"")),IFERROR(INDEX(项目档案!$G$6:$G$255,MATCH($C1469,项目档案!$A$6:$A$255,0)),"")),N(IFERROR(INDEX(单位档案!$D$6:$D$35,MATCH($E1469,单位档案!$A$6:$A$35,0)),"")))))</f>
        <v/>
      </c>
      <c r="J1469" s="22"/>
      <c r="K1469" s="22"/>
      <c r="L1469" s="33" t="str">
        <f aca="false">IF($B1469="","",IF(NOT(ISNUMBER($B1469)),"日期格式不对",IF($C1469="","未选项目编号",IF(LEFT($M1469,1)="⚠","项目编号不存在",IF($D1469="","未选业务类型",IF($E1469="","未选开票/付款方",IF(ISNA(MATCH($E1469,单位档案!$A$6:$A$35,0)),"开票方不在单位档案",IF($F1469="","未选收票/收款方",IF(ISNA(MATCH($F1469,单位档案!$A$6:$A$35,0)),"收款方不在单位档案",IF(NOT(ISNUMBER($H1469)),"金额须为数字",IF(AND($D1469="销项开票",$N1469="—"),"链条待确认","√")))))))))))</f>
        <v/>
      </c>
      <c r="M1469" s="34" t="str">
        <f aca="false">IF($C1469="","",IFERROR(INDEX(项目档案!$B$6:$B$255,MATCH($C1469,项目档案!$A$6:$A$255,0)),"⚠项目编号不存在"))</f>
        <v/>
      </c>
      <c r="N1469" s="35" t="str">
        <f aca="false">IF($E1469="","",IF($E1469=IFERROR(INDEX(项目档案!$D$6:$D$255,MATCH($C1469,项目档案!$A$6:$A$255,0)),""),"一级",IF($E1469=IFERROR(INDEX(项目档案!$F$6:$F$255,MATCH($C1469,项目档案!$A$6:$A$255,0)),""),"二级",IF($E1469=IFERROR(INDEX(项目档案!$H$6:$H$255,MATCH($C1469,项目档案!$A$6:$A$255,0)),""),"我方","—"))))</f>
        <v/>
      </c>
      <c r="O1469" s="36" t="n">
        <f aca="false">IF($D1469&lt;&gt;"销项开票",0,ROUND(N($H1469)*N($I1469),2))</f>
        <v>0</v>
      </c>
      <c r="P1469" s="36" t="n">
        <f aca="false">IF($D1469&lt;&gt;"销项开票",0,ROUND(N($H1469)-$O1469,2))</f>
        <v>0</v>
      </c>
      <c r="Q1469" s="37" t="str">
        <f aca="false">IF($E1469="","",N(IFERROR(INDEX(单位档案!$E$6:$E$35,MATCH($E1469,单位档案!$A$6:$A$35,0)),"")))</f>
        <v/>
      </c>
      <c r="R1469" s="37" t="str">
        <f aca="false">IF($E1469="","",N(IFERROR(INDEX(单位档案!$F$6:$F$35,MATCH($E1469,单位档案!$A$6:$A$35,0)),"")))</f>
        <v/>
      </c>
      <c r="S1469" s="36" t="n">
        <f aca="false">IF(OR($D1469&lt;&gt;"销项开票",IFERROR(INDEX(单位档案!$G$6:$G$35,MATCH($E1469,单位档案!$A$6:$A$35,0)),"")&lt;&gt;"是",N($Q1469)=0),0,IF(IFERROR(INDEX(单位档案!$H$6:$H$35,MATCH($E1469,单位档案!$A$6:$A$35,0)),"")="税差法",ROUND(N($H1469)/(1+$Q1469)*$Q1469-IF(N($R1469)=0,0,$P1469/(1+$R1469)*$R1469),2),ROUND(N($H1469)/(1+$Q1469)*$Q1469,2)))</f>
        <v>0</v>
      </c>
      <c r="T1469" s="36" t="n">
        <f aca="false">ROUND($S1469*N(IFERROR(INDEX(单位档案!$J$6:$J$35,MATCH($E1469,单位档案!$A$6:$A$35,0)),"")),2)</f>
        <v>0</v>
      </c>
      <c r="U1469" s="36" t="n">
        <f aca="false">IF($D1469&lt;&gt;"销项开票",0,ROUND(N($H1469)*N(IFERROR(INDEX(单位档案!$K$6:$K$35,MATCH($E1469,单位档案!$A$6:$A$35,0)),"")),2))</f>
        <v>0</v>
      </c>
      <c r="V1469" s="36" t="n">
        <f aca="false">IF(OR($D1469&lt;&gt;"销项开票",N($Q1469)=0),0,ROUND(N($H1469)/(1+$Q1469)*N(IFERROR(INDEX(单位档案!$L$6:$L$35,MATCH($E1469,单位档案!$A$6:$A$35,0)),"")),2))</f>
        <v>0</v>
      </c>
      <c r="W1469" s="36" t="n">
        <f aca="false">ROUND($S1469+$T1469+$U1469+$V1469,2)</f>
        <v>0</v>
      </c>
      <c r="X1469" s="35" t="str">
        <f aca="false">IF(OR($D1469="挂靠代收",$D1469="我方收款"),COUNTIFS($D$5:$D1469,"挂靠代收")+COUNTIFS($D$5:$D1469,"我方收款"),"")</f>
        <v/>
      </c>
      <c r="Y1469" s="35"/>
      <c r="Z1469" s="21" t="s">
        <v>111</v>
      </c>
    </row>
    <row r="1470" customFormat="false" ht="15.75" hidden="false" customHeight="true" outlineLevel="0" collapsed="false">
      <c r="A1470" s="32" t="str">
        <f aca="false">IF($B1470="","",ROW()-4)</f>
        <v/>
      </c>
      <c r="B1470" s="26"/>
      <c r="C1470" s="24"/>
      <c r="D1470" s="21"/>
      <c r="E1470" s="21"/>
      <c r="F1470" s="21"/>
      <c r="G1470" s="21"/>
      <c r="H1470" s="27"/>
      <c r="I1470" s="23" t="str">
        <f aca="false">IF($D1470&lt;&gt;"销项开票","",IF($N1470="一级",IF(IFERROR(INDEX(项目档案!$E$6:$E$255,MATCH($C1470,项目档案!$A$6:$A$255,0)),"")="",N(IFERROR(INDEX(单位档案!$D$6:$D$35,MATCH($E1470,单位档案!$A$6:$A$35,0)),"")),IFERROR(INDEX(项目档案!$E$6:$E$255,MATCH($C1470,项目档案!$A$6:$A$255,0)),"")),IF($N1470="二级",IF(IFERROR(INDEX(项目档案!$G$6:$G$255,MATCH($C1470,项目档案!$A$6:$A$255,0)),"")="",N(IFERROR(INDEX(单位档案!$D$6:$D$35,MATCH($E1470,单位档案!$A$6:$A$35,0)),"")),IFERROR(INDEX(项目档案!$G$6:$G$255,MATCH($C1470,项目档案!$A$6:$A$255,0)),"")),N(IFERROR(INDEX(单位档案!$D$6:$D$35,MATCH($E1470,单位档案!$A$6:$A$35,0)),"")))))</f>
        <v/>
      </c>
      <c r="J1470" s="22"/>
      <c r="K1470" s="22"/>
      <c r="L1470" s="33" t="str">
        <f aca="false">IF($B1470="","",IF(NOT(ISNUMBER($B1470)),"日期格式不对",IF($C1470="","未选项目编号",IF(LEFT($M1470,1)="⚠","项目编号不存在",IF($D1470="","未选业务类型",IF($E1470="","未选开票/付款方",IF(ISNA(MATCH($E1470,单位档案!$A$6:$A$35,0)),"开票方不在单位档案",IF($F1470="","未选收票/收款方",IF(ISNA(MATCH($F1470,单位档案!$A$6:$A$35,0)),"收款方不在单位档案",IF(NOT(ISNUMBER($H1470)),"金额须为数字",IF(AND($D1470="销项开票",$N1470="—"),"链条待确认","√")))))))))))</f>
        <v/>
      </c>
      <c r="M1470" s="34" t="str">
        <f aca="false">IF($C1470="","",IFERROR(INDEX(项目档案!$B$6:$B$255,MATCH($C1470,项目档案!$A$6:$A$255,0)),"⚠项目编号不存在"))</f>
        <v/>
      </c>
      <c r="N1470" s="35" t="str">
        <f aca="false">IF($E1470="","",IF($E1470=IFERROR(INDEX(项目档案!$D$6:$D$255,MATCH($C1470,项目档案!$A$6:$A$255,0)),""),"一级",IF($E1470=IFERROR(INDEX(项目档案!$F$6:$F$255,MATCH($C1470,项目档案!$A$6:$A$255,0)),""),"二级",IF($E1470=IFERROR(INDEX(项目档案!$H$6:$H$255,MATCH($C1470,项目档案!$A$6:$A$255,0)),""),"我方","—"))))</f>
        <v/>
      </c>
      <c r="O1470" s="36" t="n">
        <f aca="false">IF($D1470&lt;&gt;"销项开票",0,ROUND(N($H1470)*N($I1470),2))</f>
        <v>0</v>
      </c>
      <c r="P1470" s="36" t="n">
        <f aca="false">IF($D1470&lt;&gt;"销项开票",0,ROUND(N($H1470)-$O1470,2))</f>
        <v>0</v>
      </c>
      <c r="Q1470" s="37" t="str">
        <f aca="false">IF($E1470="","",N(IFERROR(INDEX(单位档案!$E$6:$E$35,MATCH($E1470,单位档案!$A$6:$A$35,0)),"")))</f>
        <v/>
      </c>
      <c r="R1470" s="37" t="str">
        <f aca="false">IF($E1470="","",N(IFERROR(INDEX(单位档案!$F$6:$F$35,MATCH($E1470,单位档案!$A$6:$A$35,0)),"")))</f>
        <v/>
      </c>
      <c r="S1470" s="36" t="n">
        <f aca="false">IF(OR($D1470&lt;&gt;"销项开票",IFERROR(INDEX(单位档案!$G$6:$G$35,MATCH($E1470,单位档案!$A$6:$A$35,0)),"")&lt;&gt;"是",N($Q1470)=0),0,IF(IFERROR(INDEX(单位档案!$H$6:$H$35,MATCH($E1470,单位档案!$A$6:$A$35,0)),"")="税差法",ROUND(N($H1470)/(1+$Q1470)*$Q1470-IF(N($R1470)=0,0,$P1470/(1+$R1470)*$R1470),2),ROUND(N($H1470)/(1+$Q1470)*$Q1470,2)))</f>
        <v>0</v>
      </c>
      <c r="T1470" s="36" t="n">
        <f aca="false">ROUND($S1470*N(IFERROR(INDEX(单位档案!$J$6:$J$35,MATCH($E1470,单位档案!$A$6:$A$35,0)),"")),2)</f>
        <v>0</v>
      </c>
      <c r="U1470" s="36" t="n">
        <f aca="false">IF($D1470&lt;&gt;"销项开票",0,ROUND(N($H1470)*N(IFERROR(INDEX(单位档案!$K$6:$K$35,MATCH($E1470,单位档案!$A$6:$A$35,0)),"")),2))</f>
        <v>0</v>
      </c>
      <c r="V1470" s="36" t="n">
        <f aca="false">IF(OR($D1470&lt;&gt;"销项开票",N($Q1470)=0),0,ROUND(N($H1470)/(1+$Q1470)*N(IFERROR(INDEX(单位档案!$L$6:$L$35,MATCH($E1470,单位档案!$A$6:$A$35,0)),"")),2))</f>
        <v>0</v>
      </c>
      <c r="W1470" s="36" t="n">
        <f aca="false">ROUND($S1470+$T1470+$U1470+$V1470,2)</f>
        <v>0</v>
      </c>
      <c r="X1470" s="35" t="str">
        <f aca="false">IF(OR($D1470="挂靠代收",$D1470="我方收款"),COUNTIFS($D$5:$D1470,"挂靠代收")+COUNTIFS($D$5:$D1470,"我方收款"),"")</f>
        <v/>
      </c>
      <c r="Y1470" s="35"/>
      <c r="Z1470" s="21" t="s">
        <v>111</v>
      </c>
    </row>
    <row r="1471" customFormat="false" ht="15.75" hidden="false" customHeight="true" outlineLevel="0" collapsed="false">
      <c r="A1471" s="32" t="str">
        <f aca="false">IF($B1471="","",ROW()-4)</f>
        <v/>
      </c>
      <c r="B1471" s="26"/>
      <c r="C1471" s="24"/>
      <c r="D1471" s="21"/>
      <c r="E1471" s="21"/>
      <c r="F1471" s="21"/>
      <c r="G1471" s="21"/>
      <c r="H1471" s="27"/>
      <c r="I1471" s="23" t="str">
        <f aca="false">IF($D1471&lt;&gt;"销项开票","",IF($N1471="一级",IF(IFERROR(INDEX(项目档案!$E$6:$E$255,MATCH($C1471,项目档案!$A$6:$A$255,0)),"")="",N(IFERROR(INDEX(单位档案!$D$6:$D$35,MATCH($E1471,单位档案!$A$6:$A$35,0)),"")),IFERROR(INDEX(项目档案!$E$6:$E$255,MATCH($C1471,项目档案!$A$6:$A$255,0)),"")),IF($N1471="二级",IF(IFERROR(INDEX(项目档案!$G$6:$G$255,MATCH($C1471,项目档案!$A$6:$A$255,0)),"")="",N(IFERROR(INDEX(单位档案!$D$6:$D$35,MATCH($E1471,单位档案!$A$6:$A$35,0)),"")),IFERROR(INDEX(项目档案!$G$6:$G$255,MATCH($C1471,项目档案!$A$6:$A$255,0)),"")),N(IFERROR(INDEX(单位档案!$D$6:$D$35,MATCH($E1471,单位档案!$A$6:$A$35,0)),"")))))</f>
        <v/>
      </c>
      <c r="J1471" s="22"/>
      <c r="K1471" s="22"/>
      <c r="L1471" s="33" t="str">
        <f aca="false">IF($B1471="","",IF(NOT(ISNUMBER($B1471)),"日期格式不对",IF($C1471="","未选项目编号",IF(LEFT($M1471,1)="⚠","项目编号不存在",IF($D1471="","未选业务类型",IF($E1471="","未选开票/付款方",IF(ISNA(MATCH($E1471,单位档案!$A$6:$A$35,0)),"开票方不在单位档案",IF($F1471="","未选收票/收款方",IF(ISNA(MATCH($F1471,单位档案!$A$6:$A$35,0)),"收款方不在单位档案",IF(NOT(ISNUMBER($H1471)),"金额须为数字",IF(AND($D1471="销项开票",$N1471="—"),"链条待确认","√")))))))))))</f>
        <v/>
      </c>
      <c r="M1471" s="34" t="str">
        <f aca="false">IF($C1471="","",IFERROR(INDEX(项目档案!$B$6:$B$255,MATCH($C1471,项目档案!$A$6:$A$255,0)),"⚠项目编号不存在"))</f>
        <v/>
      </c>
      <c r="N1471" s="35" t="str">
        <f aca="false">IF($E1471="","",IF($E1471=IFERROR(INDEX(项目档案!$D$6:$D$255,MATCH($C1471,项目档案!$A$6:$A$255,0)),""),"一级",IF($E1471=IFERROR(INDEX(项目档案!$F$6:$F$255,MATCH($C1471,项目档案!$A$6:$A$255,0)),""),"二级",IF($E1471=IFERROR(INDEX(项目档案!$H$6:$H$255,MATCH($C1471,项目档案!$A$6:$A$255,0)),""),"我方","—"))))</f>
        <v/>
      </c>
      <c r="O1471" s="36" t="n">
        <f aca="false">IF($D1471&lt;&gt;"销项开票",0,ROUND(N($H1471)*N($I1471),2))</f>
        <v>0</v>
      </c>
      <c r="P1471" s="36" t="n">
        <f aca="false">IF($D1471&lt;&gt;"销项开票",0,ROUND(N($H1471)-$O1471,2))</f>
        <v>0</v>
      </c>
      <c r="Q1471" s="37" t="str">
        <f aca="false">IF($E1471="","",N(IFERROR(INDEX(单位档案!$E$6:$E$35,MATCH($E1471,单位档案!$A$6:$A$35,0)),"")))</f>
        <v/>
      </c>
      <c r="R1471" s="37" t="str">
        <f aca="false">IF($E1471="","",N(IFERROR(INDEX(单位档案!$F$6:$F$35,MATCH($E1471,单位档案!$A$6:$A$35,0)),"")))</f>
        <v/>
      </c>
      <c r="S1471" s="36" t="n">
        <f aca="false">IF(OR($D1471&lt;&gt;"销项开票",IFERROR(INDEX(单位档案!$G$6:$G$35,MATCH($E1471,单位档案!$A$6:$A$35,0)),"")&lt;&gt;"是",N($Q1471)=0),0,IF(IFERROR(INDEX(单位档案!$H$6:$H$35,MATCH($E1471,单位档案!$A$6:$A$35,0)),"")="税差法",ROUND(N($H1471)/(1+$Q1471)*$Q1471-IF(N($R1471)=0,0,$P1471/(1+$R1471)*$R1471),2),ROUND(N($H1471)/(1+$Q1471)*$Q1471,2)))</f>
        <v>0</v>
      </c>
      <c r="T1471" s="36" t="n">
        <f aca="false">ROUND($S1471*N(IFERROR(INDEX(单位档案!$J$6:$J$35,MATCH($E1471,单位档案!$A$6:$A$35,0)),"")),2)</f>
        <v>0</v>
      </c>
      <c r="U1471" s="36" t="n">
        <f aca="false">IF($D1471&lt;&gt;"销项开票",0,ROUND(N($H1471)*N(IFERROR(INDEX(单位档案!$K$6:$K$35,MATCH($E1471,单位档案!$A$6:$A$35,0)),"")),2))</f>
        <v>0</v>
      </c>
      <c r="V1471" s="36" t="n">
        <f aca="false">IF(OR($D1471&lt;&gt;"销项开票",N($Q1471)=0),0,ROUND(N($H1471)/(1+$Q1471)*N(IFERROR(INDEX(单位档案!$L$6:$L$35,MATCH($E1471,单位档案!$A$6:$A$35,0)),"")),2))</f>
        <v>0</v>
      </c>
      <c r="W1471" s="36" t="n">
        <f aca="false">ROUND($S1471+$T1471+$U1471+$V1471,2)</f>
        <v>0</v>
      </c>
      <c r="X1471" s="35" t="str">
        <f aca="false">IF(OR($D1471="挂靠代收",$D1471="我方收款"),COUNTIFS($D$5:$D1471,"挂靠代收")+COUNTIFS($D$5:$D1471,"我方收款"),"")</f>
        <v/>
      </c>
      <c r="Y1471" s="35"/>
      <c r="Z1471" s="21" t="s">
        <v>111</v>
      </c>
    </row>
    <row r="1472" customFormat="false" ht="15.75" hidden="false" customHeight="true" outlineLevel="0" collapsed="false">
      <c r="A1472" s="32" t="str">
        <f aca="false">IF($B1472="","",ROW()-4)</f>
        <v/>
      </c>
      <c r="B1472" s="26"/>
      <c r="C1472" s="24"/>
      <c r="D1472" s="21"/>
      <c r="E1472" s="21"/>
      <c r="F1472" s="21"/>
      <c r="G1472" s="21"/>
      <c r="H1472" s="27"/>
      <c r="I1472" s="23" t="str">
        <f aca="false">IF($D1472&lt;&gt;"销项开票","",IF($N1472="一级",IF(IFERROR(INDEX(项目档案!$E$6:$E$255,MATCH($C1472,项目档案!$A$6:$A$255,0)),"")="",N(IFERROR(INDEX(单位档案!$D$6:$D$35,MATCH($E1472,单位档案!$A$6:$A$35,0)),"")),IFERROR(INDEX(项目档案!$E$6:$E$255,MATCH($C1472,项目档案!$A$6:$A$255,0)),"")),IF($N1472="二级",IF(IFERROR(INDEX(项目档案!$G$6:$G$255,MATCH($C1472,项目档案!$A$6:$A$255,0)),"")="",N(IFERROR(INDEX(单位档案!$D$6:$D$35,MATCH($E1472,单位档案!$A$6:$A$35,0)),"")),IFERROR(INDEX(项目档案!$G$6:$G$255,MATCH($C1472,项目档案!$A$6:$A$255,0)),"")),N(IFERROR(INDEX(单位档案!$D$6:$D$35,MATCH($E1472,单位档案!$A$6:$A$35,0)),"")))))</f>
        <v/>
      </c>
      <c r="J1472" s="22"/>
      <c r="K1472" s="22"/>
      <c r="L1472" s="33" t="str">
        <f aca="false">IF($B1472="","",IF(NOT(ISNUMBER($B1472)),"日期格式不对",IF($C1472="","未选项目编号",IF(LEFT($M1472,1)="⚠","项目编号不存在",IF($D1472="","未选业务类型",IF($E1472="","未选开票/付款方",IF(ISNA(MATCH($E1472,单位档案!$A$6:$A$35,0)),"开票方不在单位档案",IF($F1472="","未选收票/收款方",IF(ISNA(MATCH($F1472,单位档案!$A$6:$A$35,0)),"收款方不在单位档案",IF(NOT(ISNUMBER($H1472)),"金额须为数字",IF(AND($D1472="销项开票",$N1472="—"),"链条待确认","√")))))))))))</f>
        <v/>
      </c>
      <c r="M1472" s="34" t="str">
        <f aca="false">IF($C1472="","",IFERROR(INDEX(项目档案!$B$6:$B$255,MATCH($C1472,项目档案!$A$6:$A$255,0)),"⚠项目编号不存在"))</f>
        <v/>
      </c>
      <c r="N1472" s="35" t="str">
        <f aca="false">IF($E1472="","",IF($E1472=IFERROR(INDEX(项目档案!$D$6:$D$255,MATCH($C1472,项目档案!$A$6:$A$255,0)),""),"一级",IF($E1472=IFERROR(INDEX(项目档案!$F$6:$F$255,MATCH($C1472,项目档案!$A$6:$A$255,0)),""),"二级",IF($E1472=IFERROR(INDEX(项目档案!$H$6:$H$255,MATCH($C1472,项目档案!$A$6:$A$255,0)),""),"我方","—"))))</f>
        <v/>
      </c>
      <c r="O1472" s="36" t="n">
        <f aca="false">IF($D1472&lt;&gt;"销项开票",0,ROUND(N($H1472)*N($I1472),2))</f>
        <v>0</v>
      </c>
      <c r="P1472" s="36" t="n">
        <f aca="false">IF($D1472&lt;&gt;"销项开票",0,ROUND(N($H1472)-$O1472,2))</f>
        <v>0</v>
      </c>
      <c r="Q1472" s="37" t="str">
        <f aca="false">IF($E1472="","",N(IFERROR(INDEX(单位档案!$E$6:$E$35,MATCH($E1472,单位档案!$A$6:$A$35,0)),"")))</f>
        <v/>
      </c>
      <c r="R1472" s="37" t="str">
        <f aca="false">IF($E1472="","",N(IFERROR(INDEX(单位档案!$F$6:$F$35,MATCH($E1472,单位档案!$A$6:$A$35,0)),"")))</f>
        <v/>
      </c>
      <c r="S1472" s="36" t="n">
        <f aca="false">IF(OR($D1472&lt;&gt;"销项开票",IFERROR(INDEX(单位档案!$G$6:$G$35,MATCH($E1472,单位档案!$A$6:$A$35,0)),"")&lt;&gt;"是",N($Q1472)=0),0,IF(IFERROR(INDEX(单位档案!$H$6:$H$35,MATCH($E1472,单位档案!$A$6:$A$35,0)),"")="税差法",ROUND(N($H1472)/(1+$Q1472)*$Q1472-IF(N($R1472)=0,0,$P1472/(1+$R1472)*$R1472),2),ROUND(N($H1472)/(1+$Q1472)*$Q1472,2)))</f>
        <v>0</v>
      </c>
      <c r="T1472" s="36" t="n">
        <f aca="false">ROUND($S1472*N(IFERROR(INDEX(单位档案!$J$6:$J$35,MATCH($E1472,单位档案!$A$6:$A$35,0)),"")),2)</f>
        <v>0</v>
      </c>
      <c r="U1472" s="36" t="n">
        <f aca="false">IF($D1472&lt;&gt;"销项开票",0,ROUND(N($H1472)*N(IFERROR(INDEX(单位档案!$K$6:$K$35,MATCH($E1472,单位档案!$A$6:$A$35,0)),"")),2))</f>
        <v>0</v>
      </c>
      <c r="V1472" s="36" t="n">
        <f aca="false">IF(OR($D1472&lt;&gt;"销项开票",N($Q1472)=0),0,ROUND(N($H1472)/(1+$Q1472)*N(IFERROR(INDEX(单位档案!$L$6:$L$35,MATCH($E1472,单位档案!$A$6:$A$35,0)),"")),2))</f>
        <v>0</v>
      </c>
      <c r="W1472" s="36" t="n">
        <f aca="false">ROUND($S1472+$T1472+$U1472+$V1472,2)</f>
        <v>0</v>
      </c>
      <c r="X1472" s="35" t="str">
        <f aca="false">IF(OR($D1472="挂靠代收",$D1472="我方收款"),COUNTIFS($D$5:$D1472,"挂靠代收")+COUNTIFS($D$5:$D1472,"我方收款"),"")</f>
        <v/>
      </c>
      <c r="Y1472" s="35"/>
      <c r="Z1472" s="21" t="s">
        <v>111</v>
      </c>
    </row>
    <row r="1473" customFormat="false" ht="15.75" hidden="false" customHeight="true" outlineLevel="0" collapsed="false">
      <c r="A1473" s="32" t="str">
        <f aca="false">IF($B1473="","",ROW()-4)</f>
        <v/>
      </c>
      <c r="B1473" s="26"/>
      <c r="C1473" s="24"/>
      <c r="D1473" s="21"/>
      <c r="E1473" s="21"/>
      <c r="F1473" s="21"/>
      <c r="G1473" s="21"/>
      <c r="H1473" s="27"/>
      <c r="I1473" s="23" t="str">
        <f aca="false">IF($D1473&lt;&gt;"销项开票","",IF($N1473="一级",IF(IFERROR(INDEX(项目档案!$E$6:$E$255,MATCH($C1473,项目档案!$A$6:$A$255,0)),"")="",N(IFERROR(INDEX(单位档案!$D$6:$D$35,MATCH($E1473,单位档案!$A$6:$A$35,0)),"")),IFERROR(INDEX(项目档案!$E$6:$E$255,MATCH($C1473,项目档案!$A$6:$A$255,0)),"")),IF($N1473="二级",IF(IFERROR(INDEX(项目档案!$G$6:$G$255,MATCH($C1473,项目档案!$A$6:$A$255,0)),"")="",N(IFERROR(INDEX(单位档案!$D$6:$D$35,MATCH($E1473,单位档案!$A$6:$A$35,0)),"")),IFERROR(INDEX(项目档案!$G$6:$G$255,MATCH($C1473,项目档案!$A$6:$A$255,0)),"")),N(IFERROR(INDEX(单位档案!$D$6:$D$35,MATCH($E1473,单位档案!$A$6:$A$35,0)),"")))))</f>
        <v/>
      </c>
      <c r="J1473" s="22"/>
      <c r="K1473" s="22"/>
      <c r="L1473" s="33" t="str">
        <f aca="false">IF($B1473="","",IF(NOT(ISNUMBER($B1473)),"日期格式不对",IF($C1473="","未选项目编号",IF(LEFT($M1473,1)="⚠","项目编号不存在",IF($D1473="","未选业务类型",IF($E1473="","未选开票/付款方",IF(ISNA(MATCH($E1473,单位档案!$A$6:$A$35,0)),"开票方不在单位档案",IF($F1473="","未选收票/收款方",IF(ISNA(MATCH($F1473,单位档案!$A$6:$A$35,0)),"收款方不在单位档案",IF(NOT(ISNUMBER($H1473)),"金额须为数字",IF(AND($D1473="销项开票",$N1473="—"),"链条待确认","√")))))))))))</f>
        <v/>
      </c>
      <c r="M1473" s="34" t="str">
        <f aca="false">IF($C1473="","",IFERROR(INDEX(项目档案!$B$6:$B$255,MATCH($C1473,项目档案!$A$6:$A$255,0)),"⚠项目编号不存在"))</f>
        <v/>
      </c>
      <c r="N1473" s="35" t="str">
        <f aca="false">IF($E1473="","",IF($E1473=IFERROR(INDEX(项目档案!$D$6:$D$255,MATCH($C1473,项目档案!$A$6:$A$255,0)),""),"一级",IF($E1473=IFERROR(INDEX(项目档案!$F$6:$F$255,MATCH($C1473,项目档案!$A$6:$A$255,0)),""),"二级",IF($E1473=IFERROR(INDEX(项目档案!$H$6:$H$255,MATCH($C1473,项目档案!$A$6:$A$255,0)),""),"我方","—"))))</f>
        <v/>
      </c>
      <c r="O1473" s="36" t="n">
        <f aca="false">IF($D1473&lt;&gt;"销项开票",0,ROUND(N($H1473)*N($I1473),2))</f>
        <v>0</v>
      </c>
      <c r="P1473" s="36" t="n">
        <f aca="false">IF($D1473&lt;&gt;"销项开票",0,ROUND(N($H1473)-$O1473,2))</f>
        <v>0</v>
      </c>
      <c r="Q1473" s="37" t="str">
        <f aca="false">IF($E1473="","",N(IFERROR(INDEX(单位档案!$E$6:$E$35,MATCH($E1473,单位档案!$A$6:$A$35,0)),"")))</f>
        <v/>
      </c>
      <c r="R1473" s="37" t="str">
        <f aca="false">IF($E1473="","",N(IFERROR(INDEX(单位档案!$F$6:$F$35,MATCH($E1473,单位档案!$A$6:$A$35,0)),"")))</f>
        <v/>
      </c>
      <c r="S1473" s="36" t="n">
        <f aca="false">IF(OR($D1473&lt;&gt;"销项开票",IFERROR(INDEX(单位档案!$G$6:$G$35,MATCH($E1473,单位档案!$A$6:$A$35,0)),"")&lt;&gt;"是",N($Q1473)=0),0,IF(IFERROR(INDEX(单位档案!$H$6:$H$35,MATCH($E1473,单位档案!$A$6:$A$35,0)),"")="税差法",ROUND(N($H1473)/(1+$Q1473)*$Q1473-IF(N($R1473)=0,0,$P1473/(1+$R1473)*$R1473),2),ROUND(N($H1473)/(1+$Q1473)*$Q1473,2)))</f>
        <v>0</v>
      </c>
      <c r="T1473" s="36" t="n">
        <f aca="false">ROUND($S1473*N(IFERROR(INDEX(单位档案!$J$6:$J$35,MATCH($E1473,单位档案!$A$6:$A$35,0)),"")),2)</f>
        <v>0</v>
      </c>
      <c r="U1473" s="36" t="n">
        <f aca="false">IF($D1473&lt;&gt;"销项开票",0,ROUND(N($H1473)*N(IFERROR(INDEX(单位档案!$K$6:$K$35,MATCH($E1473,单位档案!$A$6:$A$35,0)),"")),2))</f>
        <v>0</v>
      </c>
      <c r="V1473" s="36" t="n">
        <f aca="false">IF(OR($D1473&lt;&gt;"销项开票",N($Q1473)=0),0,ROUND(N($H1473)/(1+$Q1473)*N(IFERROR(INDEX(单位档案!$L$6:$L$35,MATCH($E1473,单位档案!$A$6:$A$35,0)),"")),2))</f>
        <v>0</v>
      </c>
      <c r="W1473" s="36" t="n">
        <f aca="false">ROUND($S1473+$T1473+$U1473+$V1473,2)</f>
        <v>0</v>
      </c>
      <c r="X1473" s="35" t="str">
        <f aca="false">IF(OR($D1473="挂靠代收",$D1473="我方收款"),COUNTIFS($D$5:$D1473,"挂靠代收")+COUNTIFS($D$5:$D1473,"我方收款"),"")</f>
        <v/>
      </c>
      <c r="Y1473" s="35"/>
      <c r="Z1473" s="21" t="s">
        <v>111</v>
      </c>
    </row>
    <row r="1474" customFormat="false" ht="15.75" hidden="false" customHeight="true" outlineLevel="0" collapsed="false">
      <c r="A1474" s="32" t="str">
        <f aca="false">IF($B1474="","",ROW()-4)</f>
        <v/>
      </c>
      <c r="B1474" s="26"/>
      <c r="C1474" s="24"/>
      <c r="D1474" s="21"/>
      <c r="E1474" s="21"/>
      <c r="F1474" s="21"/>
      <c r="G1474" s="21"/>
      <c r="H1474" s="27"/>
      <c r="I1474" s="23" t="str">
        <f aca="false">IF($D1474&lt;&gt;"销项开票","",IF($N1474="一级",IF(IFERROR(INDEX(项目档案!$E$6:$E$255,MATCH($C1474,项目档案!$A$6:$A$255,0)),"")="",N(IFERROR(INDEX(单位档案!$D$6:$D$35,MATCH($E1474,单位档案!$A$6:$A$35,0)),"")),IFERROR(INDEX(项目档案!$E$6:$E$255,MATCH($C1474,项目档案!$A$6:$A$255,0)),"")),IF($N1474="二级",IF(IFERROR(INDEX(项目档案!$G$6:$G$255,MATCH($C1474,项目档案!$A$6:$A$255,0)),"")="",N(IFERROR(INDEX(单位档案!$D$6:$D$35,MATCH($E1474,单位档案!$A$6:$A$35,0)),"")),IFERROR(INDEX(项目档案!$G$6:$G$255,MATCH($C1474,项目档案!$A$6:$A$255,0)),"")),N(IFERROR(INDEX(单位档案!$D$6:$D$35,MATCH($E1474,单位档案!$A$6:$A$35,0)),"")))))</f>
        <v/>
      </c>
      <c r="J1474" s="22"/>
      <c r="K1474" s="22"/>
      <c r="L1474" s="33" t="str">
        <f aca="false">IF($B1474="","",IF(NOT(ISNUMBER($B1474)),"日期格式不对",IF($C1474="","未选项目编号",IF(LEFT($M1474,1)="⚠","项目编号不存在",IF($D1474="","未选业务类型",IF($E1474="","未选开票/付款方",IF(ISNA(MATCH($E1474,单位档案!$A$6:$A$35,0)),"开票方不在单位档案",IF($F1474="","未选收票/收款方",IF(ISNA(MATCH($F1474,单位档案!$A$6:$A$35,0)),"收款方不在单位档案",IF(NOT(ISNUMBER($H1474)),"金额须为数字",IF(AND($D1474="销项开票",$N1474="—"),"链条待确认","√")))))))))))</f>
        <v/>
      </c>
      <c r="M1474" s="34" t="str">
        <f aca="false">IF($C1474="","",IFERROR(INDEX(项目档案!$B$6:$B$255,MATCH($C1474,项目档案!$A$6:$A$255,0)),"⚠项目编号不存在"))</f>
        <v/>
      </c>
      <c r="N1474" s="35" t="str">
        <f aca="false">IF($E1474="","",IF($E1474=IFERROR(INDEX(项目档案!$D$6:$D$255,MATCH($C1474,项目档案!$A$6:$A$255,0)),""),"一级",IF($E1474=IFERROR(INDEX(项目档案!$F$6:$F$255,MATCH($C1474,项目档案!$A$6:$A$255,0)),""),"二级",IF($E1474=IFERROR(INDEX(项目档案!$H$6:$H$255,MATCH($C1474,项目档案!$A$6:$A$255,0)),""),"我方","—"))))</f>
        <v/>
      </c>
      <c r="O1474" s="36" t="n">
        <f aca="false">IF($D1474&lt;&gt;"销项开票",0,ROUND(N($H1474)*N($I1474),2))</f>
        <v>0</v>
      </c>
      <c r="P1474" s="36" t="n">
        <f aca="false">IF($D1474&lt;&gt;"销项开票",0,ROUND(N($H1474)-$O1474,2))</f>
        <v>0</v>
      </c>
      <c r="Q1474" s="37" t="str">
        <f aca="false">IF($E1474="","",N(IFERROR(INDEX(单位档案!$E$6:$E$35,MATCH($E1474,单位档案!$A$6:$A$35,0)),"")))</f>
        <v/>
      </c>
      <c r="R1474" s="37" t="str">
        <f aca="false">IF($E1474="","",N(IFERROR(INDEX(单位档案!$F$6:$F$35,MATCH($E1474,单位档案!$A$6:$A$35,0)),"")))</f>
        <v/>
      </c>
      <c r="S1474" s="36" t="n">
        <f aca="false">IF(OR($D1474&lt;&gt;"销项开票",IFERROR(INDEX(单位档案!$G$6:$G$35,MATCH($E1474,单位档案!$A$6:$A$35,0)),"")&lt;&gt;"是",N($Q1474)=0),0,IF(IFERROR(INDEX(单位档案!$H$6:$H$35,MATCH($E1474,单位档案!$A$6:$A$35,0)),"")="税差法",ROUND(N($H1474)/(1+$Q1474)*$Q1474-IF(N($R1474)=0,0,$P1474/(1+$R1474)*$R1474),2),ROUND(N($H1474)/(1+$Q1474)*$Q1474,2)))</f>
        <v>0</v>
      </c>
      <c r="T1474" s="36" t="n">
        <f aca="false">ROUND($S1474*N(IFERROR(INDEX(单位档案!$J$6:$J$35,MATCH($E1474,单位档案!$A$6:$A$35,0)),"")),2)</f>
        <v>0</v>
      </c>
      <c r="U1474" s="36" t="n">
        <f aca="false">IF($D1474&lt;&gt;"销项开票",0,ROUND(N($H1474)*N(IFERROR(INDEX(单位档案!$K$6:$K$35,MATCH($E1474,单位档案!$A$6:$A$35,0)),"")),2))</f>
        <v>0</v>
      </c>
      <c r="V1474" s="36" t="n">
        <f aca="false">IF(OR($D1474&lt;&gt;"销项开票",N($Q1474)=0),0,ROUND(N($H1474)/(1+$Q1474)*N(IFERROR(INDEX(单位档案!$L$6:$L$35,MATCH($E1474,单位档案!$A$6:$A$35,0)),"")),2))</f>
        <v>0</v>
      </c>
      <c r="W1474" s="36" t="n">
        <f aca="false">ROUND($S1474+$T1474+$U1474+$V1474,2)</f>
        <v>0</v>
      </c>
      <c r="X1474" s="35" t="str">
        <f aca="false">IF(OR($D1474="挂靠代收",$D1474="我方收款"),COUNTIFS($D$5:$D1474,"挂靠代收")+COUNTIFS($D$5:$D1474,"我方收款"),"")</f>
        <v/>
      </c>
      <c r="Y1474" s="35"/>
      <c r="Z1474" s="21" t="s">
        <v>111</v>
      </c>
    </row>
    <row r="1475" customFormat="false" ht="15.75" hidden="false" customHeight="true" outlineLevel="0" collapsed="false">
      <c r="A1475" s="32" t="str">
        <f aca="false">IF($B1475="","",ROW()-4)</f>
        <v/>
      </c>
      <c r="B1475" s="26"/>
      <c r="C1475" s="24"/>
      <c r="D1475" s="21"/>
      <c r="E1475" s="21"/>
      <c r="F1475" s="21"/>
      <c r="G1475" s="21"/>
      <c r="H1475" s="27"/>
      <c r="I1475" s="23" t="str">
        <f aca="false">IF($D1475&lt;&gt;"销项开票","",IF($N1475="一级",IF(IFERROR(INDEX(项目档案!$E$6:$E$255,MATCH($C1475,项目档案!$A$6:$A$255,0)),"")="",N(IFERROR(INDEX(单位档案!$D$6:$D$35,MATCH($E1475,单位档案!$A$6:$A$35,0)),"")),IFERROR(INDEX(项目档案!$E$6:$E$255,MATCH($C1475,项目档案!$A$6:$A$255,0)),"")),IF($N1475="二级",IF(IFERROR(INDEX(项目档案!$G$6:$G$255,MATCH($C1475,项目档案!$A$6:$A$255,0)),"")="",N(IFERROR(INDEX(单位档案!$D$6:$D$35,MATCH($E1475,单位档案!$A$6:$A$35,0)),"")),IFERROR(INDEX(项目档案!$G$6:$G$255,MATCH($C1475,项目档案!$A$6:$A$255,0)),"")),N(IFERROR(INDEX(单位档案!$D$6:$D$35,MATCH($E1475,单位档案!$A$6:$A$35,0)),"")))))</f>
        <v/>
      </c>
      <c r="J1475" s="22"/>
      <c r="K1475" s="22"/>
      <c r="L1475" s="33" t="str">
        <f aca="false">IF($B1475="","",IF(NOT(ISNUMBER($B1475)),"日期格式不对",IF($C1475="","未选项目编号",IF(LEFT($M1475,1)="⚠","项目编号不存在",IF($D1475="","未选业务类型",IF($E1475="","未选开票/付款方",IF(ISNA(MATCH($E1475,单位档案!$A$6:$A$35,0)),"开票方不在单位档案",IF($F1475="","未选收票/收款方",IF(ISNA(MATCH($F1475,单位档案!$A$6:$A$35,0)),"收款方不在单位档案",IF(NOT(ISNUMBER($H1475)),"金额须为数字",IF(AND($D1475="销项开票",$N1475="—"),"链条待确认","√")))))))))))</f>
        <v/>
      </c>
      <c r="M1475" s="34" t="str">
        <f aca="false">IF($C1475="","",IFERROR(INDEX(项目档案!$B$6:$B$255,MATCH($C1475,项目档案!$A$6:$A$255,0)),"⚠项目编号不存在"))</f>
        <v/>
      </c>
      <c r="N1475" s="35" t="str">
        <f aca="false">IF($E1475="","",IF($E1475=IFERROR(INDEX(项目档案!$D$6:$D$255,MATCH($C1475,项目档案!$A$6:$A$255,0)),""),"一级",IF($E1475=IFERROR(INDEX(项目档案!$F$6:$F$255,MATCH($C1475,项目档案!$A$6:$A$255,0)),""),"二级",IF($E1475=IFERROR(INDEX(项目档案!$H$6:$H$255,MATCH($C1475,项目档案!$A$6:$A$255,0)),""),"我方","—"))))</f>
        <v/>
      </c>
      <c r="O1475" s="36" t="n">
        <f aca="false">IF($D1475&lt;&gt;"销项开票",0,ROUND(N($H1475)*N($I1475),2))</f>
        <v>0</v>
      </c>
      <c r="P1475" s="36" t="n">
        <f aca="false">IF($D1475&lt;&gt;"销项开票",0,ROUND(N($H1475)-$O1475,2))</f>
        <v>0</v>
      </c>
      <c r="Q1475" s="37" t="str">
        <f aca="false">IF($E1475="","",N(IFERROR(INDEX(单位档案!$E$6:$E$35,MATCH($E1475,单位档案!$A$6:$A$35,0)),"")))</f>
        <v/>
      </c>
      <c r="R1475" s="37" t="str">
        <f aca="false">IF($E1475="","",N(IFERROR(INDEX(单位档案!$F$6:$F$35,MATCH($E1475,单位档案!$A$6:$A$35,0)),"")))</f>
        <v/>
      </c>
      <c r="S1475" s="36" t="n">
        <f aca="false">IF(OR($D1475&lt;&gt;"销项开票",IFERROR(INDEX(单位档案!$G$6:$G$35,MATCH($E1475,单位档案!$A$6:$A$35,0)),"")&lt;&gt;"是",N($Q1475)=0),0,IF(IFERROR(INDEX(单位档案!$H$6:$H$35,MATCH($E1475,单位档案!$A$6:$A$35,0)),"")="税差法",ROUND(N($H1475)/(1+$Q1475)*$Q1475-IF(N($R1475)=0,0,$P1475/(1+$R1475)*$R1475),2),ROUND(N($H1475)/(1+$Q1475)*$Q1475,2)))</f>
        <v>0</v>
      </c>
      <c r="T1475" s="36" t="n">
        <f aca="false">ROUND($S1475*N(IFERROR(INDEX(单位档案!$J$6:$J$35,MATCH($E1475,单位档案!$A$6:$A$35,0)),"")),2)</f>
        <v>0</v>
      </c>
      <c r="U1475" s="36" t="n">
        <f aca="false">IF($D1475&lt;&gt;"销项开票",0,ROUND(N($H1475)*N(IFERROR(INDEX(单位档案!$K$6:$K$35,MATCH($E1475,单位档案!$A$6:$A$35,0)),"")),2))</f>
        <v>0</v>
      </c>
      <c r="V1475" s="36" t="n">
        <f aca="false">IF(OR($D1475&lt;&gt;"销项开票",N($Q1475)=0),0,ROUND(N($H1475)/(1+$Q1475)*N(IFERROR(INDEX(单位档案!$L$6:$L$35,MATCH($E1475,单位档案!$A$6:$A$35,0)),"")),2))</f>
        <v>0</v>
      </c>
      <c r="W1475" s="36" t="n">
        <f aca="false">ROUND($S1475+$T1475+$U1475+$V1475,2)</f>
        <v>0</v>
      </c>
      <c r="X1475" s="35" t="str">
        <f aca="false">IF(OR($D1475="挂靠代收",$D1475="我方收款"),COUNTIFS($D$5:$D1475,"挂靠代收")+COUNTIFS($D$5:$D1475,"我方收款"),"")</f>
        <v/>
      </c>
      <c r="Y1475" s="35"/>
      <c r="Z1475" s="21" t="s">
        <v>111</v>
      </c>
    </row>
    <row r="1476" customFormat="false" ht="15.75" hidden="false" customHeight="true" outlineLevel="0" collapsed="false">
      <c r="A1476" s="32" t="str">
        <f aca="false">IF($B1476="","",ROW()-4)</f>
        <v/>
      </c>
      <c r="B1476" s="26"/>
      <c r="C1476" s="24"/>
      <c r="D1476" s="21"/>
      <c r="E1476" s="21"/>
      <c r="F1476" s="21"/>
      <c r="G1476" s="21"/>
      <c r="H1476" s="27"/>
      <c r="I1476" s="23" t="str">
        <f aca="false">IF($D1476&lt;&gt;"销项开票","",IF($N1476="一级",IF(IFERROR(INDEX(项目档案!$E$6:$E$255,MATCH($C1476,项目档案!$A$6:$A$255,0)),"")="",N(IFERROR(INDEX(单位档案!$D$6:$D$35,MATCH($E1476,单位档案!$A$6:$A$35,0)),"")),IFERROR(INDEX(项目档案!$E$6:$E$255,MATCH($C1476,项目档案!$A$6:$A$255,0)),"")),IF($N1476="二级",IF(IFERROR(INDEX(项目档案!$G$6:$G$255,MATCH($C1476,项目档案!$A$6:$A$255,0)),"")="",N(IFERROR(INDEX(单位档案!$D$6:$D$35,MATCH($E1476,单位档案!$A$6:$A$35,0)),"")),IFERROR(INDEX(项目档案!$G$6:$G$255,MATCH($C1476,项目档案!$A$6:$A$255,0)),"")),N(IFERROR(INDEX(单位档案!$D$6:$D$35,MATCH($E1476,单位档案!$A$6:$A$35,0)),"")))))</f>
        <v/>
      </c>
      <c r="J1476" s="22"/>
      <c r="K1476" s="22"/>
      <c r="L1476" s="33" t="str">
        <f aca="false">IF($B1476="","",IF(NOT(ISNUMBER($B1476)),"日期格式不对",IF($C1476="","未选项目编号",IF(LEFT($M1476,1)="⚠","项目编号不存在",IF($D1476="","未选业务类型",IF($E1476="","未选开票/付款方",IF(ISNA(MATCH($E1476,单位档案!$A$6:$A$35,0)),"开票方不在单位档案",IF($F1476="","未选收票/收款方",IF(ISNA(MATCH($F1476,单位档案!$A$6:$A$35,0)),"收款方不在单位档案",IF(NOT(ISNUMBER($H1476)),"金额须为数字",IF(AND($D1476="销项开票",$N1476="—"),"链条待确认","√")))))))))))</f>
        <v/>
      </c>
      <c r="M1476" s="34" t="str">
        <f aca="false">IF($C1476="","",IFERROR(INDEX(项目档案!$B$6:$B$255,MATCH($C1476,项目档案!$A$6:$A$255,0)),"⚠项目编号不存在"))</f>
        <v/>
      </c>
      <c r="N1476" s="35" t="str">
        <f aca="false">IF($E1476="","",IF($E1476=IFERROR(INDEX(项目档案!$D$6:$D$255,MATCH($C1476,项目档案!$A$6:$A$255,0)),""),"一级",IF($E1476=IFERROR(INDEX(项目档案!$F$6:$F$255,MATCH($C1476,项目档案!$A$6:$A$255,0)),""),"二级",IF($E1476=IFERROR(INDEX(项目档案!$H$6:$H$255,MATCH($C1476,项目档案!$A$6:$A$255,0)),""),"我方","—"))))</f>
        <v/>
      </c>
      <c r="O1476" s="36" t="n">
        <f aca="false">IF($D1476&lt;&gt;"销项开票",0,ROUND(N($H1476)*N($I1476),2))</f>
        <v>0</v>
      </c>
      <c r="P1476" s="36" t="n">
        <f aca="false">IF($D1476&lt;&gt;"销项开票",0,ROUND(N($H1476)-$O1476,2))</f>
        <v>0</v>
      </c>
      <c r="Q1476" s="37" t="str">
        <f aca="false">IF($E1476="","",N(IFERROR(INDEX(单位档案!$E$6:$E$35,MATCH($E1476,单位档案!$A$6:$A$35,0)),"")))</f>
        <v/>
      </c>
      <c r="R1476" s="37" t="str">
        <f aca="false">IF($E1476="","",N(IFERROR(INDEX(单位档案!$F$6:$F$35,MATCH($E1476,单位档案!$A$6:$A$35,0)),"")))</f>
        <v/>
      </c>
      <c r="S1476" s="36" t="n">
        <f aca="false">IF(OR($D1476&lt;&gt;"销项开票",IFERROR(INDEX(单位档案!$G$6:$G$35,MATCH($E1476,单位档案!$A$6:$A$35,0)),"")&lt;&gt;"是",N($Q1476)=0),0,IF(IFERROR(INDEX(单位档案!$H$6:$H$35,MATCH($E1476,单位档案!$A$6:$A$35,0)),"")="税差法",ROUND(N($H1476)/(1+$Q1476)*$Q1476-IF(N($R1476)=0,0,$P1476/(1+$R1476)*$R1476),2),ROUND(N($H1476)/(1+$Q1476)*$Q1476,2)))</f>
        <v>0</v>
      </c>
      <c r="T1476" s="36" t="n">
        <f aca="false">ROUND($S1476*N(IFERROR(INDEX(单位档案!$J$6:$J$35,MATCH($E1476,单位档案!$A$6:$A$35,0)),"")),2)</f>
        <v>0</v>
      </c>
      <c r="U1476" s="36" t="n">
        <f aca="false">IF($D1476&lt;&gt;"销项开票",0,ROUND(N($H1476)*N(IFERROR(INDEX(单位档案!$K$6:$K$35,MATCH($E1476,单位档案!$A$6:$A$35,0)),"")),2))</f>
        <v>0</v>
      </c>
      <c r="V1476" s="36" t="n">
        <f aca="false">IF(OR($D1476&lt;&gt;"销项开票",N($Q1476)=0),0,ROUND(N($H1476)/(1+$Q1476)*N(IFERROR(INDEX(单位档案!$L$6:$L$35,MATCH($E1476,单位档案!$A$6:$A$35,0)),"")),2))</f>
        <v>0</v>
      </c>
      <c r="W1476" s="36" t="n">
        <f aca="false">ROUND($S1476+$T1476+$U1476+$V1476,2)</f>
        <v>0</v>
      </c>
      <c r="X1476" s="35" t="str">
        <f aca="false">IF(OR($D1476="挂靠代收",$D1476="我方收款"),COUNTIFS($D$5:$D1476,"挂靠代收")+COUNTIFS($D$5:$D1476,"我方收款"),"")</f>
        <v/>
      </c>
      <c r="Y1476" s="35"/>
      <c r="Z1476" s="21" t="s">
        <v>111</v>
      </c>
    </row>
    <row r="1477" customFormat="false" ht="15.75" hidden="false" customHeight="true" outlineLevel="0" collapsed="false">
      <c r="A1477" s="32" t="str">
        <f aca="false">IF($B1477="","",ROW()-4)</f>
        <v/>
      </c>
      <c r="B1477" s="26"/>
      <c r="C1477" s="24"/>
      <c r="D1477" s="21"/>
      <c r="E1477" s="21"/>
      <c r="F1477" s="21"/>
      <c r="G1477" s="21"/>
      <c r="H1477" s="27"/>
      <c r="I1477" s="23" t="str">
        <f aca="false">IF($D1477&lt;&gt;"销项开票","",IF($N1477="一级",IF(IFERROR(INDEX(项目档案!$E$6:$E$255,MATCH($C1477,项目档案!$A$6:$A$255,0)),"")="",N(IFERROR(INDEX(单位档案!$D$6:$D$35,MATCH($E1477,单位档案!$A$6:$A$35,0)),"")),IFERROR(INDEX(项目档案!$E$6:$E$255,MATCH($C1477,项目档案!$A$6:$A$255,0)),"")),IF($N1477="二级",IF(IFERROR(INDEX(项目档案!$G$6:$G$255,MATCH($C1477,项目档案!$A$6:$A$255,0)),"")="",N(IFERROR(INDEX(单位档案!$D$6:$D$35,MATCH($E1477,单位档案!$A$6:$A$35,0)),"")),IFERROR(INDEX(项目档案!$G$6:$G$255,MATCH($C1477,项目档案!$A$6:$A$255,0)),"")),N(IFERROR(INDEX(单位档案!$D$6:$D$35,MATCH($E1477,单位档案!$A$6:$A$35,0)),"")))))</f>
        <v/>
      </c>
      <c r="J1477" s="22"/>
      <c r="K1477" s="22"/>
      <c r="L1477" s="33" t="str">
        <f aca="false">IF($B1477="","",IF(NOT(ISNUMBER($B1477)),"日期格式不对",IF($C1477="","未选项目编号",IF(LEFT($M1477,1)="⚠","项目编号不存在",IF($D1477="","未选业务类型",IF($E1477="","未选开票/付款方",IF(ISNA(MATCH($E1477,单位档案!$A$6:$A$35,0)),"开票方不在单位档案",IF($F1477="","未选收票/收款方",IF(ISNA(MATCH($F1477,单位档案!$A$6:$A$35,0)),"收款方不在单位档案",IF(NOT(ISNUMBER($H1477)),"金额须为数字",IF(AND($D1477="销项开票",$N1477="—"),"链条待确认","√")))))))))))</f>
        <v/>
      </c>
      <c r="M1477" s="34" t="str">
        <f aca="false">IF($C1477="","",IFERROR(INDEX(项目档案!$B$6:$B$255,MATCH($C1477,项目档案!$A$6:$A$255,0)),"⚠项目编号不存在"))</f>
        <v/>
      </c>
      <c r="N1477" s="35" t="str">
        <f aca="false">IF($E1477="","",IF($E1477=IFERROR(INDEX(项目档案!$D$6:$D$255,MATCH($C1477,项目档案!$A$6:$A$255,0)),""),"一级",IF($E1477=IFERROR(INDEX(项目档案!$F$6:$F$255,MATCH($C1477,项目档案!$A$6:$A$255,0)),""),"二级",IF($E1477=IFERROR(INDEX(项目档案!$H$6:$H$255,MATCH($C1477,项目档案!$A$6:$A$255,0)),""),"我方","—"))))</f>
        <v/>
      </c>
      <c r="O1477" s="36" t="n">
        <f aca="false">IF($D1477&lt;&gt;"销项开票",0,ROUND(N($H1477)*N($I1477),2))</f>
        <v>0</v>
      </c>
      <c r="P1477" s="36" t="n">
        <f aca="false">IF($D1477&lt;&gt;"销项开票",0,ROUND(N($H1477)-$O1477,2))</f>
        <v>0</v>
      </c>
      <c r="Q1477" s="37" t="str">
        <f aca="false">IF($E1477="","",N(IFERROR(INDEX(单位档案!$E$6:$E$35,MATCH($E1477,单位档案!$A$6:$A$35,0)),"")))</f>
        <v/>
      </c>
      <c r="R1477" s="37" t="str">
        <f aca="false">IF($E1477="","",N(IFERROR(INDEX(单位档案!$F$6:$F$35,MATCH($E1477,单位档案!$A$6:$A$35,0)),"")))</f>
        <v/>
      </c>
      <c r="S1477" s="36" t="n">
        <f aca="false">IF(OR($D1477&lt;&gt;"销项开票",IFERROR(INDEX(单位档案!$G$6:$G$35,MATCH($E1477,单位档案!$A$6:$A$35,0)),"")&lt;&gt;"是",N($Q1477)=0),0,IF(IFERROR(INDEX(单位档案!$H$6:$H$35,MATCH($E1477,单位档案!$A$6:$A$35,0)),"")="税差法",ROUND(N($H1477)/(1+$Q1477)*$Q1477-IF(N($R1477)=0,0,$P1477/(1+$R1477)*$R1477),2),ROUND(N($H1477)/(1+$Q1477)*$Q1477,2)))</f>
        <v>0</v>
      </c>
      <c r="T1477" s="36" t="n">
        <f aca="false">ROUND($S1477*N(IFERROR(INDEX(单位档案!$J$6:$J$35,MATCH($E1477,单位档案!$A$6:$A$35,0)),"")),2)</f>
        <v>0</v>
      </c>
      <c r="U1477" s="36" t="n">
        <f aca="false">IF($D1477&lt;&gt;"销项开票",0,ROUND(N($H1477)*N(IFERROR(INDEX(单位档案!$K$6:$K$35,MATCH($E1477,单位档案!$A$6:$A$35,0)),"")),2))</f>
        <v>0</v>
      </c>
      <c r="V1477" s="36" t="n">
        <f aca="false">IF(OR($D1477&lt;&gt;"销项开票",N($Q1477)=0),0,ROUND(N($H1477)/(1+$Q1477)*N(IFERROR(INDEX(单位档案!$L$6:$L$35,MATCH($E1477,单位档案!$A$6:$A$35,0)),"")),2))</f>
        <v>0</v>
      </c>
      <c r="W1477" s="36" t="n">
        <f aca="false">ROUND($S1477+$T1477+$U1477+$V1477,2)</f>
        <v>0</v>
      </c>
      <c r="X1477" s="35" t="str">
        <f aca="false">IF(OR($D1477="挂靠代收",$D1477="我方收款"),COUNTIFS($D$5:$D1477,"挂靠代收")+COUNTIFS($D$5:$D1477,"我方收款"),"")</f>
        <v/>
      </c>
      <c r="Y1477" s="35"/>
      <c r="Z1477" s="21" t="s">
        <v>111</v>
      </c>
    </row>
    <row r="1478" customFormat="false" ht="15.75" hidden="false" customHeight="true" outlineLevel="0" collapsed="false">
      <c r="A1478" s="32" t="str">
        <f aca="false">IF($B1478="","",ROW()-4)</f>
        <v/>
      </c>
      <c r="B1478" s="26"/>
      <c r="C1478" s="24"/>
      <c r="D1478" s="21"/>
      <c r="E1478" s="21"/>
      <c r="F1478" s="21"/>
      <c r="G1478" s="21"/>
      <c r="H1478" s="27"/>
      <c r="I1478" s="23" t="str">
        <f aca="false">IF($D1478&lt;&gt;"销项开票","",IF($N1478="一级",IF(IFERROR(INDEX(项目档案!$E$6:$E$255,MATCH($C1478,项目档案!$A$6:$A$255,0)),"")="",N(IFERROR(INDEX(单位档案!$D$6:$D$35,MATCH($E1478,单位档案!$A$6:$A$35,0)),"")),IFERROR(INDEX(项目档案!$E$6:$E$255,MATCH($C1478,项目档案!$A$6:$A$255,0)),"")),IF($N1478="二级",IF(IFERROR(INDEX(项目档案!$G$6:$G$255,MATCH($C1478,项目档案!$A$6:$A$255,0)),"")="",N(IFERROR(INDEX(单位档案!$D$6:$D$35,MATCH($E1478,单位档案!$A$6:$A$35,0)),"")),IFERROR(INDEX(项目档案!$G$6:$G$255,MATCH($C1478,项目档案!$A$6:$A$255,0)),"")),N(IFERROR(INDEX(单位档案!$D$6:$D$35,MATCH($E1478,单位档案!$A$6:$A$35,0)),"")))))</f>
        <v/>
      </c>
      <c r="J1478" s="22"/>
      <c r="K1478" s="22"/>
      <c r="L1478" s="33" t="str">
        <f aca="false">IF($B1478="","",IF(NOT(ISNUMBER($B1478)),"日期格式不对",IF($C1478="","未选项目编号",IF(LEFT($M1478,1)="⚠","项目编号不存在",IF($D1478="","未选业务类型",IF($E1478="","未选开票/付款方",IF(ISNA(MATCH($E1478,单位档案!$A$6:$A$35,0)),"开票方不在单位档案",IF($F1478="","未选收票/收款方",IF(ISNA(MATCH($F1478,单位档案!$A$6:$A$35,0)),"收款方不在单位档案",IF(NOT(ISNUMBER($H1478)),"金额须为数字",IF(AND($D1478="销项开票",$N1478="—"),"链条待确认","√")))))))))))</f>
        <v/>
      </c>
      <c r="M1478" s="34" t="str">
        <f aca="false">IF($C1478="","",IFERROR(INDEX(项目档案!$B$6:$B$255,MATCH($C1478,项目档案!$A$6:$A$255,0)),"⚠项目编号不存在"))</f>
        <v/>
      </c>
      <c r="N1478" s="35" t="str">
        <f aca="false">IF($E1478="","",IF($E1478=IFERROR(INDEX(项目档案!$D$6:$D$255,MATCH($C1478,项目档案!$A$6:$A$255,0)),""),"一级",IF($E1478=IFERROR(INDEX(项目档案!$F$6:$F$255,MATCH($C1478,项目档案!$A$6:$A$255,0)),""),"二级",IF($E1478=IFERROR(INDEX(项目档案!$H$6:$H$255,MATCH($C1478,项目档案!$A$6:$A$255,0)),""),"我方","—"))))</f>
        <v/>
      </c>
      <c r="O1478" s="36" t="n">
        <f aca="false">IF($D1478&lt;&gt;"销项开票",0,ROUND(N($H1478)*N($I1478),2))</f>
        <v>0</v>
      </c>
      <c r="P1478" s="36" t="n">
        <f aca="false">IF($D1478&lt;&gt;"销项开票",0,ROUND(N($H1478)-$O1478,2))</f>
        <v>0</v>
      </c>
      <c r="Q1478" s="37" t="str">
        <f aca="false">IF($E1478="","",N(IFERROR(INDEX(单位档案!$E$6:$E$35,MATCH($E1478,单位档案!$A$6:$A$35,0)),"")))</f>
        <v/>
      </c>
      <c r="R1478" s="37" t="str">
        <f aca="false">IF($E1478="","",N(IFERROR(INDEX(单位档案!$F$6:$F$35,MATCH($E1478,单位档案!$A$6:$A$35,0)),"")))</f>
        <v/>
      </c>
      <c r="S1478" s="36" t="n">
        <f aca="false">IF(OR($D1478&lt;&gt;"销项开票",IFERROR(INDEX(单位档案!$G$6:$G$35,MATCH($E1478,单位档案!$A$6:$A$35,0)),"")&lt;&gt;"是",N($Q1478)=0),0,IF(IFERROR(INDEX(单位档案!$H$6:$H$35,MATCH($E1478,单位档案!$A$6:$A$35,0)),"")="税差法",ROUND(N($H1478)/(1+$Q1478)*$Q1478-IF(N($R1478)=0,0,$P1478/(1+$R1478)*$R1478),2),ROUND(N($H1478)/(1+$Q1478)*$Q1478,2)))</f>
        <v>0</v>
      </c>
      <c r="T1478" s="36" t="n">
        <f aca="false">ROUND($S1478*N(IFERROR(INDEX(单位档案!$J$6:$J$35,MATCH($E1478,单位档案!$A$6:$A$35,0)),"")),2)</f>
        <v>0</v>
      </c>
      <c r="U1478" s="36" t="n">
        <f aca="false">IF($D1478&lt;&gt;"销项开票",0,ROUND(N($H1478)*N(IFERROR(INDEX(单位档案!$K$6:$K$35,MATCH($E1478,单位档案!$A$6:$A$35,0)),"")),2))</f>
        <v>0</v>
      </c>
      <c r="V1478" s="36" t="n">
        <f aca="false">IF(OR($D1478&lt;&gt;"销项开票",N($Q1478)=0),0,ROUND(N($H1478)/(1+$Q1478)*N(IFERROR(INDEX(单位档案!$L$6:$L$35,MATCH($E1478,单位档案!$A$6:$A$35,0)),"")),2))</f>
        <v>0</v>
      </c>
      <c r="W1478" s="36" t="n">
        <f aca="false">ROUND($S1478+$T1478+$U1478+$V1478,2)</f>
        <v>0</v>
      </c>
      <c r="X1478" s="35" t="str">
        <f aca="false">IF(OR($D1478="挂靠代收",$D1478="我方收款"),COUNTIFS($D$5:$D1478,"挂靠代收")+COUNTIFS($D$5:$D1478,"我方收款"),"")</f>
        <v/>
      </c>
      <c r="Y1478" s="35"/>
      <c r="Z1478" s="21" t="s">
        <v>111</v>
      </c>
    </row>
    <row r="1479" customFormat="false" ht="15.75" hidden="false" customHeight="true" outlineLevel="0" collapsed="false">
      <c r="A1479" s="32" t="str">
        <f aca="false">IF($B1479="","",ROW()-4)</f>
        <v/>
      </c>
      <c r="B1479" s="26"/>
      <c r="C1479" s="24"/>
      <c r="D1479" s="21"/>
      <c r="E1479" s="21"/>
      <c r="F1479" s="21"/>
      <c r="G1479" s="21"/>
      <c r="H1479" s="27"/>
      <c r="I1479" s="23" t="str">
        <f aca="false">IF($D1479&lt;&gt;"销项开票","",IF($N1479="一级",IF(IFERROR(INDEX(项目档案!$E$6:$E$255,MATCH($C1479,项目档案!$A$6:$A$255,0)),"")="",N(IFERROR(INDEX(单位档案!$D$6:$D$35,MATCH($E1479,单位档案!$A$6:$A$35,0)),"")),IFERROR(INDEX(项目档案!$E$6:$E$255,MATCH($C1479,项目档案!$A$6:$A$255,0)),"")),IF($N1479="二级",IF(IFERROR(INDEX(项目档案!$G$6:$G$255,MATCH($C1479,项目档案!$A$6:$A$255,0)),"")="",N(IFERROR(INDEX(单位档案!$D$6:$D$35,MATCH($E1479,单位档案!$A$6:$A$35,0)),"")),IFERROR(INDEX(项目档案!$G$6:$G$255,MATCH($C1479,项目档案!$A$6:$A$255,0)),"")),N(IFERROR(INDEX(单位档案!$D$6:$D$35,MATCH($E1479,单位档案!$A$6:$A$35,0)),"")))))</f>
        <v/>
      </c>
      <c r="J1479" s="22"/>
      <c r="K1479" s="22"/>
      <c r="L1479" s="33" t="str">
        <f aca="false">IF($B1479="","",IF(NOT(ISNUMBER($B1479)),"日期格式不对",IF($C1479="","未选项目编号",IF(LEFT($M1479,1)="⚠","项目编号不存在",IF($D1479="","未选业务类型",IF($E1479="","未选开票/付款方",IF(ISNA(MATCH($E1479,单位档案!$A$6:$A$35,0)),"开票方不在单位档案",IF($F1479="","未选收票/收款方",IF(ISNA(MATCH($F1479,单位档案!$A$6:$A$35,0)),"收款方不在单位档案",IF(NOT(ISNUMBER($H1479)),"金额须为数字",IF(AND($D1479="销项开票",$N1479="—"),"链条待确认","√")))))))))))</f>
        <v/>
      </c>
      <c r="M1479" s="34" t="str">
        <f aca="false">IF($C1479="","",IFERROR(INDEX(项目档案!$B$6:$B$255,MATCH($C1479,项目档案!$A$6:$A$255,0)),"⚠项目编号不存在"))</f>
        <v/>
      </c>
      <c r="N1479" s="35" t="str">
        <f aca="false">IF($E1479="","",IF($E1479=IFERROR(INDEX(项目档案!$D$6:$D$255,MATCH($C1479,项目档案!$A$6:$A$255,0)),""),"一级",IF($E1479=IFERROR(INDEX(项目档案!$F$6:$F$255,MATCH($C1479,项目档案!$A$6:$A$255,0)),""),"二级",IF($E1479=IFERROR(INDEX(项目档案!$H$6:$H$255,MATCH($C1479,项目档案!$A$6:$A$255,0)),""),"我方","—"))))</f>
        <v/>
      </c>
      <c r="O1479" s="36" t="n">
        <f aca="false">IF($D1479&lt;&gt;"销项开票",0,ROUND(N($H1479)*N($I1479),2))</f>
        <v>0</v>
      </c>
      <c r="P1479" s="36" t="n">
        <f aca="false">IF($D1479&lt;&gt;"销项开票",0,ROUND(N($H1479)-$O1479,2))</f>
        <v>0</v>
      </c>
      <c r="Q1479" s="37" t="str">
        <f aca="false">IF($E1479="","",N(IFERROR(INDEX(单位档案!$E$6:$E$35,MATCH($E1479,单位档案!$A$6:$A$35,0)),"")))</f>
        <v/>
      </c>
      <c r="R1479" s="37" t="str">
        <f aca="false">IF($E1479="","",N(IFERROR(INDEX(单位档案!$F$6:$F$35,MATCH($E1479,单位档案!$A$6:$A$35,0)),"")))</f>
        <v/>
      </c>
      <c r="S1479" s="36" t="n">
        <f aca="false">IF(OR($D1479&lt;&gt;"销项开票",IFERROR(INDEX(单位档案!$G$6:$G$35,MATCH($E1479,单位档案!$A$6:$A$35,0)),"")&lt;&gt;"是",N($Q1479)=0),0,IF(IFERROR(INDEX(单位档案!$H$6:$H$35,MATCH($E1479,单位档案!$A$6:$A$35,0)),"")="税差法",ROUND(N($H1479)/(1+$Q1479)*$Q1479-IF(N($R1479)=0,0,$P1479/(1+$R1479)*$R1479),2),ROUND(N($H1479)/(1+$Q1479)*$Q1479,2)))</f>
        <v>0</v>
      </c>
      <c r="T1479" s="36" t="n">
        <f aca="false">ROUND($S1479*N(IFERROR(INDEX(单位档案!$J$6:$J$35,MATCH($E1479,单位档案!$A$6:$A$35,0)),"")),2)</f>
        <v>0</v>
      </c>
      <c r="U1479" s="36" t="n">
        <f aca="false">IF($D1479&lt;&gt;"销项开票",0,ROUND(N($H1479)*N(IFERROR(INDEX(单位档案!$K$6:$K$35,MATCH($E1479,单位档案!$A$6:$A$35,0)),"")),2))</f>
        <v>0</v>
      </c>
      <c r="V1479" s="36" t="n">
        <f aca="false">IF(OR($D1479&lt;&gt;"销项开票",N($Q1479)=0),0,ROUND(N($H1479)/(1+$Q1479)*N(IFERROR(INDEX(单位档案!$L$6:$L$35,MATCH($E1479,单位档案!$A$6:$A$35,0)),"")),2))</f>
        <v>0</v>
      </c>
      <c r="W1479" s="36" t="n">
        <f aca="false">ROUND($S1479+$T1479+$U1479+$V1479,2)</f>
        <v>0</v>
      </c>
      <c r="X1479" s="35" t="str">
        <f aca="false">IF(OR($D1479="挂靠代收",$D1479="我方收款"),COUNTIFS($D$5:$D1479,"挂靠代收")+COUNTIFS($D$5:$D1479,"我方收款"),"")</f>
        <v/>
      </c>
      <c r="Y1479" s="35"/>
      <c r="Z1479" s="21" t="s">
        <v>111</v>
      </c>
    </row>
    <row r="1480" customFormat="false" ht="15.75" hidden="false" customHeight="true" outlineLevel="0" collapsed="false">
      <c r="A1480" s="32" t="str">
        <f aca="false">IF($B1480="","",ROW()-4)</f>
        <v/>
      </c>
      <c r="B1480" s="26"/>
      <c r="C1480" s="24"/>
      <c r="D1480" s="21"/>
      <c r="E1480" s="21"/>
      <c r="F1480" s="21"/>
      <c r="G1480" s="21"/>
      <c r="H1480" s="27"/>
      <c r="I1480" s="23" t="str">
        <f aca="false">IF($D1480&lt;&gt;"销项开票","",IF($N1480="一级",IF(IFERROR(INDEX(项目档案!$E$6:$E$255,MATCH($C1480,项目档案!$A$6:$A$255,0)),"")="",N(IFERROR(INDEX(单位档案!$D$6:$D$35,MATCH($E1480,单位档案!$A$6:$A$35,0)),"")),IFERROR(INDEX(项目档案!$E$6:$E$255,MATCH($C1480,项目档案!$A$6:$A$255,0)),"")),IF($N1480="二级",IF(IFERROR(INDEX(项目档案!$G$6:$G$255,MATCH($C1480,项目档案!$A$6:$A$255,0)),"")="",N(IFERROR(INDEX(单位档案!$D$6:$D$35,MATCH($E1480,单位档案!$A$6:$A$35,0)),"")),IFERROR(INDEX(项目档案!$G$6:$G$255,MATCH($C1480,项目档案!$A$6:$A$255,0)),"")),N(IFERROR(INDEX(单位档案!$D$6:$D$35,MATCH($E1480,单位档案!$A$6:$A$35,0)),"")))))</f>
        <v/>
      </c>
      <c r="J1480" s="22"/>
      <c r="K1480" s="22"/>
      <c r="L1480" s="33" t="str">
        <f aca="false">IF($B1480="","",IF(NOT(ISNUMBER($B1480)),"日期格式不对",IF($C1480="","未选项目编号",IF(LEFT($M1480,1)="⚠","项目编号不存在",IF($D1480="","未选业务类型",IF($E1480="","未选开票/付款方",IF(ISNA(MATCH($E1480,单位档案!$A$6:$A$35,0)),"开票方不在单位档案",IF($F1480="","未选收票/收款方",IF(ISNA(MATCH($F1480,单位档案!$A$6:$A$35,0)),"收款方不在单位档案",IF(NOT(ISNUMBER($H1480)),"金额须为数字",IF(AND($D1480="销项开票",$N1480="—"),"链条待确认","√")))))))))))</f>
        <v/>
      </c>
      <c r="M1480" s="34" t="str">
        <f aca="false">IF($C1480="","",IFERROR(INDEX(项目档案!$B$6:$B$255,MATCH($C1480,项目档案!$A$6:$A$255,0)),"⚠项目编号不存在"))</f>
        <v/>
      </c>
      <c r="N1480" s="35" t="str">
        <f aca="false">IF($E1480="","",IF($E1480=IFERROR(INDEX(项目档案!$D$6:$D$255,MATCH($C1480,项目档案!$A$6:$A$255,0)),""),"一级",IF($E1480=IFERROR(INDEX(项目档案!$F$6:$F$255,MATCH($C1480,项目档案!$A$6:$A$255,0)),""),"二级",IF($E1480=IFERROR(INDEX(项目档案!$H$6:$H$255,MATCH($C1480,项目档案!$A$6:$A$255,0)),""),"我方","—"))))</f>
        <v/>
      </c>
      <c r="O1480" s="36" t="n">
        <f aca="false">IF($D1480&lt;&gt;"销项开票",0,ROUND(N($H1480)*N($I1480),2))</f>
        <v>0</v>
      </c>
      <c r="P1480" s="36" t="n">
        <f aca="false">IF($D1480&lt;&gt;"销项开票",0,ROUND(N($H1480)-$O1480,2))</f>
        <v>0</v>
      </c>
      <c r="Q1480" s="37" t="str">
        <f aca="false">IF($E1480="","",N(IFERROR(INDEX(单位档案!$E$6:$E$35,MATCH($E1480,单位档案!$A$6:$A$35,0)),"")))</f>
        <v/>
      </c>
      <c r="R1480" s="37" t="str">
        <f aca="false">IF($E1480="","",N(IFERROR(INDEX(单位档案!$F$6:$F$35,MATCH($E1480,单位档案!$A$6:$A$35,0)),"")))</f>
        <v/>
      </c>
      <c r="S1480" s="36" t="n">
        <f aca="false">IF(OR($D1480&lt;&gt;"销项开票",IFERROR(INDEX(单位档案!$G$6:$G$35,MATCH($E1480,单位档案!$A$6:$A$35,0)),"")&lt;&gt;"是",N($Q1480)=0),0,IF(IFERROR(INDEX(单位档案!$H$6:$H$35,MATCH($E1480,单位档案!$A$6:$A$35,0)),"")="税差法",ROUND(N($H1480)/(1+$Q1480)*$Q1480-IF(N($R1480)=0,0,$P1480/(1+$R1480)*$R1480),2),ROUND(N($H1480)/(1+$Q1480)*$Q1480,2)))</f>
        <v>0</v>
      </c>
      <c r="T1480" s="36" t="n">
        <f aca="false">ROUND($S1480*N(IFERROR(INDEX(单位档案!$J$6:$J$35,MATCH($E1480,单位档案!$A$6:$A$35,0)),"")),2)</f>
        <v>0</v>
      </c>
      <c r="U1480" s="36" t="n">
        <f aca="false">IF($D1480&lt;&gt;"销项开票",0,ROUND(N($H1480)*N(IFERROR(INDEX(单位档案!$K$6:$K$35,MATCH($E1480,单位档案!$A$6:$A$35,0)),"")),2))</f>
        <v>0</v>
      </c>
      <c r="V1480" s="36" t="n">
        <f aca="false">IF(OR($D1480&lt;&gt;"销项开票",N($Q1480)=0),0,ROUND(N($H1480)/(1+$Q1480)*N(IFERROR(INDEX(单位档案!$L$6:$L$35,MATCH($E1480,单位档案!$A$6:$A$35,0)),"")),2))</f>
        <v>0</v>
      </c>
      <c r="W1480" s="36" t="n">
        <f aca="false">ROUND($S1480+$T1480+$U1480+$V1480,2)</f>
        <v>0</v>
      </c>
      <c r="X1480" s="35" t="str">
        <f aca="false">IF(OR($D1480="挂靠代收",$D1480="我方收款"),COUNTIFS($D$5:$D1480,"挂靠代收")+COUNTIFS($D$5:$D1480,"我方收款"),"")</f>
        <v/>
      </c>
      <c r="Y1480" s="35"/>
      <c r="Z1480" s="21" t="s">
        <v>111</v>
      </c>
    </row>
    <row r="1481" customFormat="false" ht="15.75" hidden="false" customHeight="true" outlineLevel="0" collapsed="false">
      <c r="A1481" s="32" t="str">
        <f aca="false">IF($B1481="","",ROW()-4)</f>
        <v/>
      </c>
      <c r="B1481" s="26"/>
      <c r="C1481" s="24"/>
      <c r="D1481" s="21"/>
      <c r="E1481" s="21"/>
      <c r="F1481" s="21"/>
      <c r="G1481" s="21"/>
      <c r="H1481" s="27"/>
      <c r="I1481" s="23" t="str">
        <f aca="false">IF($D1481&lt;&gt;"销项开票","",IF($N1481="一级",IF(IFERROR(INDEX(项目档案!$E$6:$E$255,MATCH($C1481,项目档案!$A$6:$A$255,0)),"")="",N(IFERROR(INDEX(单位档案!$D$6:$D$35,MATCH($E1481,单位档案!$A$6:$A$35,0)),"")),IFERROR(INDEX(项目档案!$E$6:$E$255,MATCH($C1481,项目档案!$A$6:$A$255,0)),"")),IF($N1481="二级",IF(IFERROR(INDEX(项目档案!$G$6:$G$255,MATCH($C1481,项目档案!$A$6:$A$255,0)),"")="",N(IFERROR(INDEX(单位档案!$D$6:$D$35,MATCH($E1481,单位档案!$A$6:$A$35,0)),"")),IFERROR(INDEX(项目档案!$G$6:$G$255,MATCH($C1481,项目档案!$A$6:$A$255,0)),"")),N(IFERROR(INDEX(单位档案!$D$6:$D$35,MATCH($E1481,单位档案!$A$6:$A$35,0)),"")))))</f>
        <v/>
      </c>
      <c r="J1481" s="22"/>
      <c r="K1481" s="22"/>
      <c r="L1481" s="33" t="str">
        <f aca="false">IF($B1481="","",IF(NOT(ISNUMBER($B1481)),"日期格式不对",IF($C1481="","未选项目编号",IF(LEFT($M1481,1)="⚠","项目编号不存在",IF($D1481="","未选业务类型",IF($E1481="","未选开票/付款方",IF(ISNA(MATCH($E1481,单位档案!$A$6:$A$35,0)),"开票方不在单位档案",IF($F1481="","未选收票/收款方",IF(ISNA(MATCH($F1481,单位档案!$A$6:$A$35,0)),"收款方不在单位档案",IF(NOT(ISNUMBER($H1481)),"金额须为数字",IF(AND($D1481="销项开票",$N1481="—"),"链条待确认","√")))))))))))</f>
        <v/>
      </c>
      <c r="M1481" s="34" t="str">
        <f aca="false">IF($C1481="","",IFERROR(INDEX(项目档案!$B$6:$B$255,MATCH($C1481,项目档案!$A$6:$A$255,0)),"⚠项目编号不存在"))</f>
        <v/>
      </c>
      <c r="N1481" s="35" t="str">
        <f aca="false">IF($E1481="","",IF($E1481=IFERROR(INDEX(项目档案!$D$6:$D$255,MATCH($C1481,项目档案!$A$6:$A$255,0)),""),"一级",IF($E1481=IFERROR(INDEX(项目档案!$F$6:$F$255,MATCH($C1481,项目档案!$A$6:$A$255,0)),""),"二级",IF($E1481=IFERROR(INDEX(项目档案!$H$6:$H$255,MATCH($C1481,项目档案!$A$6:$A$255,0)),""),"我方","—"))))</f>
        <v/>
      </c>
      <c r="O1481" s="36" t="n">
        <f aca="false">IF($D1481&lt;&gt;"销项开票",0,ROUND(N($H1481)*N($I1481),2))</f>
        <v>0</v>
      </c>
      <c r="P1481" s="36" t="n">
        <f aca="false">IF($D1481&lt;&gt;"销项开票",0,ROUND(N($H1481)-$O1481,2))</f>
        <v>0</v>
      </c>
      <c r="Q1481" s="37" t="str">
        <f aca="false">IF($E1481="","",N(IFERROR(INDEX(单位档案!$E$6:$E$35,MATCH($E1481,单位档案!$A$6:$A$35,0)),"")))</f>
        <v/>
      </c>
      <c r="R1481" s="37" t="str">
        <f aca="false">IF($E1481="","",N(IFERROR(INDEX(单位档案!$F$6:$F$35,MATCH($E1481,单位档案!$A$6:$A$35,0)),"")))</f>
        <v/>
      </c>
      <c r="S1481" s="36" t="n">
        <f aca="false">IF(OR($D1481&lt;&gt;"销项开票",IFERROR(INDEX(单位档案!$G$6:$G$35,MATCH($E1481,单位档案!$A$6:$A$35,0)),"")&lt;&gt;"是",N($Q1481)=0),0,IF(IFERROR(INDEX(单位档案!$H$6:$H$35,MATCH($E1481,单位档案!$A$6:$A$35,0)),"")="税差法",ROUND(N($H1481)/(1+$Q1481)*$Q1481-IF(N($R1481)=0,0,$P1481/(1+$R1481)*$R1481),2),ROUND(N($H1481)/(1+$Q1481)*$Q1481,2)))</f>
        <v>0</v>
      </c>
      <c r="T1481" s="36" t="n">
        <f aca="false">ROUND($S1481*N(IFERROR(INDEX(单位档案!$J$6:$J$35,MATCH($E1481,单位档案!$A$6:$A$35,0)),"")),2)</f>
        <v>0</v>
      </c>
      <c r="U1481" s="36" t="n">
        <f aca="false">IF($D1481&lt;&gt;"销项开票",0,ROUND(N($H1481)*N(IFERROR(INDEX(单位档案!$K$6:$K$35,MATCH($E1481,单位档案!$A$6:$A$35,0)),"")),2))</f>
        <v>0</v>
      </c>
      <c r="V1481" s="36" t="n">
        <f aca="false">IF(OR($D1481&lt;&gt;"销项开票",N($Q1481)=0),0,ROUND(N($H1481)/(1+$Q1481)*N(IFERROR(INDEX(单位档案!$L$6:$L$35,MATCH($E1481,单位档案!$A$6:$A$35,0)),"")),2))</f>
        <v>0</v>
      </c>
      <c r="W1481" s="36" t="n">
        <f aca="false">ROUND($S1481+$T1481+$U1481+$V1481,2)</f>
        <v>0</v>
      </c>
      <c r="X1481" s="35" t="str">
        <f aca="false">IF(OR($D1481="挂靠代收",$D1481="我方收款"),COUNTIFS($D$5:$D1481,"挂靠代收")+COUNTIFS($D$5:$D1481,"我方收款"),"")</f>
        <v/>
      </c>
      <c r="Y1481" s="35"/>
      <c r="Z1481" s="21" t="s">
        <v>111</v>
      </c>
    </row>
    <row r="1482" customFormat="false" ht="15.75" hidden="false" customHeight="true" outlineLevel="0" collapsed="false">
      <c r="A1482" s="32" t="str">
        <f aca="false">IF($B1482="","",ROW()-4)</f>
        <v/>
      </c>
      <c r="B1482" s="26"/>
      <c r="C1482" s="24"/>
      <c r="D1482" s="21"/>
      <c r="E1482" s="21"/>
      <c r="F1482" s="21"/>
      <c r="G1482" s="21"/>
      <c r="H1482" s="27"/>
      <c r="I1482" s="23" t="str">
        <f aca="false">IF($D1482&lt;&gt;"销项开票","",IF($N1482="一级",IF(IFERROR(INDEX(项目档案!$E$6:$E$255,MATCH($C1482,项目档案!$A$6:$A$255,0)),"")="",N(IFERROR(INDEX(单位档案!$D$6:$D$35,MATCH($E1482,单位档案!$A$6:$A$35,0)),"")),IFERROR(INDEX(项目档案!$E$6:$E$255,MATCH($C1482,项目档案!$A$6:$A$255,0)),"")),IF($N1482="二级",IF(IFERROR(INDEX(项目档案!$G$6:$G$255,MATCH($C1482,项目档案!$A$6:$A$255,0)),"")="",N(IFERROR(INDEX(单位档案!$D$6:$D$35,MATCH($E1482,单位档案!$A$6:$A$35,0)),"")),IFERROR(INDEX(项目档案!$G$6:$G$255,MATCH($C1482,项目档案!$A$6:$A$255,0)),"")),N(IFERROR(INDEX(单位档案!$D$6:$D$35,MATCH($E1482,单位档案!$A$6:$A$35,0)),"")))))</f>
        <v/>
      </c>
      <c r="J1482" s="22"/>
      <c r="K1482" s="22"/>
      <c r="L1482" s="33" t="str">
        <f aca="false">IF($B1482="","",IF(NOT(ISNUMBER($B1482)),"日期格式不对",IF($C1482="","未选项目编号",IF(LEFT($M1482,1)="⚠","项目编号不存在",IF($D1482="","未选业务类型",IF($E1482="","未选开票/付款方",IF(ISNA(MATCH($E1482,单位档案!$A$6:$A$35,0)),"开票方不在单位档案",IF($F1482="","未选收票/收款方",IF(ISNA(MATCH($F1482,单位档案!$A$6:$A$35,0)),"收款方不在单位档案",IF(NOT(ISNUMBER($H1482)),"金额须为数字",IF(AND($D1482="销项开票",$N1482="—"),"链条待确认","√")))))))))))</f>
        <v/>
      </c>
      <c r="M1482" s="34" t="str">
        <f aca="false">IF($C1482="","",IFERROR(INDEX(项目档案!$B$6:$B$255,MATCH($C1482,项目档案!$A$6:$A$255,0)),"⚠项目编号不存在"))</f>
        <v/>
      </c>
      <c r="N1482" s="35" t="str">
        <f aca="false">IF($E1482="","",IF($E1482=IFERROR(INDEX(项目档案!$D$6:$D$255,MATCH($C1482,项目档案!$A$6:$A$255,0)),""),"一级",IF($E1482=IFERROR(INDEX(项目档案!$F$6:$F$255,MATCH($C1482,项目档案!$A$6:$A$255,0)),""),"二级",IF($E1482=IFERROR(INDEX(项目档案!$H$6:$H$255,MATCH($C1482,项目档案!$A$6:$A$255,0)),""),"我方","—"))))</f>
        <v/>
      </c>
      <c r="O1482" s="36" t="n">
        <f aca="false">IF($D1482&lt;&gt;"销项开票",0,ROUND(N($H1482)*N($I1482),2))</f>
        <v>0</v>
      </c>
      <c r="P1482" s="36" t="n">
        <f aca="false">IF($D1482&lt;&gt;"销项开票",0,ROUND(N($H1482)-$O1482,2))</f>
        <v>0</v>
      </c>
      <c r="Q1482" s="37" t="str">
        <f aca="false">IF($E1482="","",N(IFERROR(INDEX(单位档案!$E$6:$E$35,MATCH($E1482,单位档案!$A$6:$A$35,0)),"")))</f>
        <v/>
      </c>
      <c r="R1482" s="37" t="str">
        <f aca="false">IF($E1482="","",N(IFERROR(INDEX(单位档案!$F$6:$F$35,MATCH($E1482,单位档案!$A$6:$A$35,0)),"")))</f>
        <v/>
      </c>
      <c r="S1482" s="36" t="n">
        <f aca="false">IF(OR($D1482&lt;&gt;"销项开票",IFERROR(INDEX(单位档案!$G$6:$G$35,MATCH($E1482,单位档案!$A$6:$A$35,0)),"")&lt;&gt;"是",N($Q1482)=0),0,IF(IFERROR(INDEX(单位档案!$H$6:$H$35,MATCH($E1482,单位档案!$A$6:$A$35,0)),"")="税差法",ROUND(N($H1482)/(1+$Q1482)*$Q1482-IF(N($R1482)=0,0,$P1482/(1+$R1482)*$R1482),2),ROUND(N($H1482)/(1+$Q1482)*$Q1482,2)))</f>
        <v>0</v>
      </c>
      <c r="T1482" s="36" t="n">
        <f aca="false">ROUND($S1482*N(IFERROR(INDEX(单位档案!$J$6:$J$35,MATCH($E1482,单位档案!$A$6:$A$35,0)),"")),2)</f>
        <v>0</v>
      </c>
      <c r="U1482" s="36" t="n">
        <f aca="false">IF($D1482&lt;&gt;"销项开票",0,ROUND(N($H1482)*N(IFERROR(INDEX(单位档案!$K$6:$K$35,MATCH($E1482,单位档案!$A$6:$A$35,0)),"")),2))</f>
        <v>0</v>
      </c>
      <c r="V1482" s="36" t="n">
        <f aca="false">IF(OR($D1482&lt;&gt;"销项开票",N($Q1482)=0),0,ROUND(N($H1482)/(1+$Q1482)*N(IFERROR(INDEX(单位档案!$L$6:$L$35,MATCH($E1482,单位档案!$A$6:$A$35,0)),"")),2))</f>
        <v>0</v>
      </c>
      <c r="W1482" s="36" t="n">
        <f aca="false">ROUND($S1482+$T1482+$U1482+$V1482,2)</f>
        <v>0</v>
      </c>
      <c r="X1482" s="35" t="str">
        <f aca="false">IF(OR($D1482="挂靠代收",$D1482="我方收款"),COUNTIFS($D$5:$D1482,"挂靠代收")+COUNTIFS($D$5:$D1482,"我方收款"),"")</f>
        <v/>
      </c>
      <c r="Y1482" s="35"/>
      <c r="Z1482" s="21" t="s">
        <v>111</v>
      </c>
    </row>
    <row r="1483" customFormat="false" ht="15.75" hidden="false" customHeight="true" outlineLevel="0" collapsed="false">
      <c r="A1483" s="32" t="str">
        <f aca="false">IF($B1483="","",ROW()-4)</f>
        <v/>
      </c>
      <c r="B1483" s="26"/>
      <c r="C1483" s="24"/>
      <c r="D1483" s="21"/>
      <c r="E1483" s="21"/>
      <c r="F1483" s="21"/>
      <c r="G1483" s="21"/>
      <c r="H1483" s="27"/>
      <c r="I1483" s="23" t="str">
        <f aca="false">IF($D1483&lt;&gt;"销项开票","",IF($N1483="一级",IF(IFERROR(INDEX(项目档案!$E$6:$E$255,MATCH($C1483,项目档案!$A$6:$A$255,0)),"")="",N(IFERROR(INDEX(单位档案!$D$6:$D$35,MATCH($E1483,单位档案!$A$6:$A$35,0)),"")),IFERROR(INDEX(项目档案!$E$6:$E$255,MATCH($C1483,项目档案!$A$6:$A$255,0)),"")),IF($N1483="二级",IF(IFERROR(INDEX(项目档案!$G$6:$G$255,MATCH($C1483,项目档案!$A$6:$A$255,0)),"")="",N(IFERROR(INDEX(单位档案!$D$6:$D$35,MATCH($E1483,单位档案!$A$6:$A$35,0)),"")),IFERROR(INDEX(项目档案!$G$6:$G$255,MATCH($C1483,项目档案!$A$6:$A$255,0)),"")),N(IFERROR(INDEX(单位档案!$D$6:$D$35,MATCH($E1483,单位档案!$A$6:$A$35,0)),"")))))</f>
        <v/>
      </c>
      <c r="J1483" s="22"/>
      <c r="K1483" s="22"/>
      <c r="L1483" s="33" t="str">
        <f aca="false">IF($B1483="","",IF(NOT(ISNUMBER($B1483)),"日期格式不对",IF($C1483="","未选项目编号",IF(LEFT($M1483,1)="⚠","项目编号不存在",IF($D1483="","未选业务类型",IF($E1483="","未选开票/付款方",IF(ISNA(MATCH($E1483,单位档案!$A$6:$A$35,0)),"开票方不在单位档案",IF($F1483="","未选收票/收款方",IF(ISNA(MATCH($F1483,单位档案!$A$6:$A$35,0)),"收款方不在单位档案",IF(NOT(ISNUMBER($H1483)),"金额须为数字",IF(AND($D1483="销项开票",$N1483="—"),"链条待确认","√")))))))))))</f>
        <v/>
      </c>
      <c r="M1483" s="34" t="str">
        <f aca="false">IF($C1483="","",IFERROR(INDEX(项目档案!$B$6:$B$255,MATCH($C1483,项目档案!$A$6:$A$255,0)),"⚠项目编号不存在"))</f>
        <v/>
      </c>
      <c r="N1483" s="35" t="str">
        <f aca="false">IF($E1483="","",IF($E1483=IFERROR(INDEX(项目档案!$D$6:$D$255,MATCH($C1483,项目档案!$A$6:$A$255,0)),""),"一级",IF($E1483=IFERROR(INDEX(项目档案!$F$6:$F$255,MATCH($C1483,项目档案!$A$6:$A$255,0)),""),"二级",IF($E1483=IFERROR(INDEX(项目档案!$H$6:$H$255,MATCH($C1483,项目档案!$A$6:$A$255,0)),""),"我方","—"))))</f>
        <v/>
      </c>
      <c r="O1483" s="36" t="n">
        <f aca="false">IF($D1483&lt;&gt;"销项开票",0,ROUND(N($H1483)*N($I1483),2))</f>
        <v>0</v>
      </c>
      <c r="P1483" s="36" t="n">
        <f aca="false">IF($D1483&lt;&gt;"销项开票",0,ROUND(N($H1483)-$O1483,2))</f>
        <v>0</v>
      </c>
      <c r="Q1483" s="37" t="str">
        <f aca="false">IF($E1483="","",N(IFERROR(INDEX(单位档案!$E$6:$E$35,MATCH($E1483,单位档案!$A$6:$A$35,0)),"")))</f>
        <v/>
      </c>
      <c r="R1483" s="37" t="str">
        <f aca="false">IF($E1483="","",N(IFERROR(INDEX(单位档案!$F$6:$F$35,MATCH($E1483,单位档案!$A$6:$A$35,0)),"")))</f>
        <v/>
      </c>
      <c r="S1483" s="36" t="n">
        <f aca="false">IF(OR($D1483&lt;&gt;"销项开票",IFERROR(INDEX(单位档案!$G$6:$G$35,MATCH($E1483,单位档案!$A$6:$A$35,0)),"")&lt;&gt;"是",N($Q1483)=0),0,IF(IFERROR(INDEX(单位档案!$H$6:$H$35,MATCH($E1483,单位档案!$A$6:$A$35,0)),"")="税差法",ROUND(N($H1483)/(1+$Q1483)*$Q1483-IF(N($R1483)=0,0,$P1483/(1+$R1483)*$R1483),2),ROUND(N($H1483)/(1+$Q1483)*$Q1483,2)))</f>
        <v>0</v>
      </c>
      <c r="T1483" s="36" t="n">
        <f aca="false">ROUND($S1483*N(IFERROR(INDEX(单位档案!$J$6:$J$35,MATCH($E1483,单位档案!$A$6:$A$35,0)),"")),2)</f>
        <v>0</v>
      </c>
      <c r="U1483" s="36" t="n">
        <f aca="false">IF($D1483&lt;&gt;"销项开票",0,ROUND(N($H1483)*N(IFERROR(INDEX(单位档案!$K$6:$K$35,MATCH($E1483,单位档案!$A$6:$A$35,0)),"")),2))</f>
        <v>0</v>
      </c>
      <c r="V1483" s="36" t="n">
        <f aca="false">IF(OR($D1483&lt;&gt;"销项开票",N($Q1483)=0),0,ROUND(N($H1483)/(1+$Q1483)*N(IFERROR(INDEX(单位档案!$L$6:$L$35,MATCH($E1483,单位档案!$A$6:$A$35,0)),"")),2))</f>
        <v>0</v>
      </c>
      <c r="W1483" s="36" t="n">
        <f aca="false">ROUND($S1483+$T1483+$U1483+$V1483,2)</f>
        <v>0</v>
      </c>
      <c r="X1483" s="35" t="str">
        <f aca="false">IF(OR($D1483="挂靠代收",$D1483="我方收款"),COUNTIFS($D$5:$D1483,"挂靠代收")+COUNTIFS($D$5:$D1483,"我方收款"),"")</f>
        <v/>
      </c>
      <c r="Y1483" s="35"/>
      <c r="Z1483" s="21" t="s">
        <v>111</v>
      </c>
    </row>
    <row r="1484" customFormat="false" ht="15.75" hidden="false" customHeight="true" outlineLevel="0" collapsed="false">
      <c r="A1484" s="32" t="str">
        <f aca="false">IF($B1484="","",ROW()-4)</f>
        <v/>
      </c>
      <c r="B1484" s="26"/>
      <c r="C1484" s="24"/>
      <c r="D1484" s="21"/>
      <c r="E1484" s="21"/>
      <c r="F1484" s="21"/>
      <c r="G1484" s="21"/>
      <c r="H1484" s="27"/>
      <c r="I1484" s="23" t="str">
        <f aca="false">IF($D1484&lt;&gt;"销项开票","",IF($N1484="一级",IF(IFERROR(INDEX(项目档案!$E$6:$E$255,MATCH($C1484,项目档案!$A$6:$A$255,0)),"")="",N(IFERROR(INDEX(单位档案!$D$6:$D$35,MATCH($E1484,单位档案!$A$6:$A$35,0)),"")),IFERROR(INDEX(项目档案!$E$6:$E$255,MATCH($C1484,项目档案!$A$6:$A$255,0)),"")),IF($N1484="二级",IF(IFERROR(INDEX(项目档案!$G$6:$G$255,MATCH($C1484,项目档案!$A$6:$A$255,0)),"")="",N(IFERROR(INDEX(单位档案!$D$6:$D$35,MATCH($E1484,单位档案!$A$6:$A$35,0)),"")),IFERROR(INDEX(项目档案!$G$6:$G$255,MATCH($C1484,项目档案!$A$6:$A$255,0)),"")),N(IFERROR(INDEX(单位档案!$D$6:$D$35,MATCH($E1484,单位档案!$A$6:$A$35,0)),"")))))</f>
        <v/>
      </c>
      <c r="J1484" s="22"/>
      <c r="K1484" s="22"/>
      <c r="L1484" s="33" t="str">
        <f aca="false">IF($B1484="","",IF(NOT(ISNUMBER($B1484)),"日期格式不对",IF($C1484="","未选项目编号",IF(LEFT($M1484,1)="⚠","项目编号不存在",IF($D1484="","未选业务类型",IF($E1484="","未选开票/付款方",IF(ISNA(MATCH($E1484,单位档案!$A$6:$A$35,0)),"开票方不在单位档案",IF($F1484="","未选收票/收款方",IF(ISNA(MATCH($F1484,单位档案!$A$6:$A$35,0)),"收款方不在单位档案",IF(NOT(ISNUMBER($H1484)),"金额须为数字",IF(AND($D1484="销项开票",$N1484="—"),"链条待确认","√")))))))))))</f>
        <v/>
      </c>
      <c r="M1484" s="34" t="str">
        <f aca="false">IF($C1484="","",IFERROR(INDEX(项目档案!$B$6:$B$255,MATCH($C1484,项目档案!$A$6:$A$255,0)),"⚠项目编号不存在"))</f>
        <v/>
      </c>
      <c r="N1484" s="35" t="str">
        <f aca="false">IF($E1484="","",IF($E1484=IFERROR(INDEX(项目档案!$D$6:$D$255,MATCH($C1484,项目档案!$A$6:$A$255,0)),""),"一级",IF($E1484=IFERROR(INDEX(项目档案!$F$6:$F$255,MATCH($C1484,项目档案!$A$6:$A$255,0)),""),"二级",IF($E1484=IFERROR(INDEX(项目档案!$H$6:$H$255,MATCH($C1484,项目档案!$A$6:$A$255,0)),""),"我方","—"))))</f>
        <v/>
      </c>
      <c r="O1484" s="36" t="n">
        <f aca="false">IF($D1484&lt;&gt;"销项开票",0,ROUND(N($H1484)*N($I1484),2))</f>
        <v>0</v>
      </c>
      <c r="P1484" s="36" t="n">
        <f aca="false">IF($D1484&lt;&gt;"销项开票",0,ROUND(N($H1484)-$O1484,2))</f>
        <v>0</v>
      </c>
      <c r="Q1484" s="37" t="str">
        <f aca="false">IF($E1484="","",N(IFERROR(INDEX(单位档案!$E$6:$E$35,MATCH($E1484,单位档案!$A$6:$A$35,0)),"")))</f>
        <v/>
      </c>
      <c r="R1484" s="37" t="str">
        <f aca="false">IF($E1484="","",N(IFERROR(INDEX(单位档案!$F$6:$F$35,MATCH($E1484,单位档案!$A$6:$A$35,0)),"")))</f>
        <v/>
      </c>
      <c r="S1484" s="36" t="n">
        <f aca="false">IF(OR($D1484&lt;&gt;"销项开票",IFERROR(INDEX(单位档案!$G$6:$G$35,MATCH($E1484,单位档案!$A$6:$A$35,0)),"")&lt;&gt;"是",N($Q1484)=0),0,IF(IFERROR(INDEX(单位档案!$H$6:$H$35,MATCH($E1484,单位档案!$A$6:$A$35,0)),"")="税差法",ROUND(N($H1484)/(1+$Q1484)*$Q1484-IF(N($R1484)=0,0,$P1484/(1+$R1484)*$R1484),2),ROUND(N($H1484)/(1+$Q1484)*$Q1484,2)))</f>
        <v>0</v>
      </c>
      <c r="T1484" s="36" t="n">
        <f aca="false">ROUND($S1484*N(IFERROR(INDEX(单位档案!$J$6:$J$35,MATCH($E1484,单位档案!$A$6:$A$35,0)),"")),2)</f>
        <v>0</v>
      </c>
      <c r="U1484" s="36" t="n">
        <f aca="false">IF($D1484&lt;&gt;"销项开票",0,ROUND(N($H1484)*N(IFERROR(INDEX(单位档案!$K$6:$K$35,MATCH($E1484,单位档案!$A$6:$A$35,0)),"")),2))</f>
        <v>0</v>
      </c>
      <c r="V1484" s="36" t="n">
        <f aca="false">IF(OR($D1484&lt;&gt;"销项开票",N($Q1484)=0),0,ROUND(N($H1484)/(1+$Q1484)*N(IFERROR(INDEX(单位档案!$L$6:$L$35,MATCH($E1484,单位档案!$A$6:$A$35,0)),"")),2))</f>
        <v>0</v>
      </c>
      <c r="W1484" s="36" t="n">
        <f aca="false">ROUND($S1484+$T1484+$U1484+$V1484,2)</f>
        <v>0</v>
      </c>
      <c r="X1484" s="35" t="str">
        <f aca="false">IF(OR($D1484="挂靠代收",$D1484="我方收款"),COUNTIFS($D$5:$D1484,"挂靠代收")+COUNTIFS($D$5:$D1484,"我方收款"),"")</f>
        <v/>
      </c>
      <c r="Y1484" s="35"/>
      <c r="Z1484" s="21" t="s">
        <v>111</v>
      </c>
    </row>
    <row r="1485" customFormat="false" ht="15.75" hidden="false" customHeight="true" outlineLevel="0" collapsed="false">
      <c r="A1485" s="32" t="str">
        <f aca="false">IF($B1485="","",ROW()-4)</f>
        <v/>
      </c>
      <c r="B1485" s="26"/>
      <c r="C1485" s="24"/>
      <c r="D1485" s="21"/>
      <c r="E1485" s="21"/>
      <c r="F1485" s="21"/>
      <c r="G1485" s="21"/>
      <c r="H1485" s="27"/>
      <c r="I1485" s="23" t="str">
        <f aca="false">IF($D1485&lt;&gt;"销项开票","",IF($N1485="一级",IF(IFERROR(INDEX(项目档案!$E$6:$E$255,MATCH($C1485,项目档案!$A$6:$A$255,0)),"")="",N(IFERROR(INDEX(单位档案!$D$6:$D$35,MATCH($E1485,单位档案!$A$6:$A$35,0)),"")),IFERROR(INDEX(项目档案!$E$6:$E$255,MATCH($C1485,项目档案!$A$6:$A$255,0)),"")),IF($N1485="二级",IF(IFERROR(INDEX(项目档案!$G$6:$G$255,MATCH($C1485,项目档案!$A$6:$A$255,0)),"")="",N(IFERROR(INDEX(单位档案!$D$6:$D$35,MATCH($E1485,单位档案!$A$6:$A$35,0)),"")),IFERROR(INDEX(项目档案!$G$6:$G$255,MATCH($C1485,项目档案!$A$6:$A$255,0)),"")),N(IFERROR(INDEX(单位档案!$D$6:$D$35,MATCH($E1485,单位档案!$A$6:$A$35,0)),"")))))</f>
        <v/>
      </c>
      <c r="J1485" s="22"/>
      <c r="K1485" s="22"/>
      <c r="L1485" s="33" t="str">
        <f aca="false">IF($B1485="","",IF(NOT(ISNUMBER($B1485)),"日期格式不对",IF($C1485="","未选项目编号",IF(LEFT($M1485,1)="⚠","项目编号不存在",IF($D1485="","未选业务类型",IF($E1485="","未选开票/付款方",IF(ISNA(MATCH($E1485,单位档案!$A$6:$A$35,0)),"开票方不在单位档案",IF($F1485="","未选收票/收款方",IF(ISNA(MATCH($F1485,单位档案!$A$6:$A$35,0)),"收款方不在单位档案",IF(NOT(ISNUMBER($H1485)),"金额须为数字",IF(AND($D1485="销项开票",$N1485="—"),"链条待确认","√")))))))))))</f>
        <v/>
      </c>
      <c r="M1485" s="34" t="str">
        <f aca="false">IF($C1485="","",IFERROR(INDEX(项目档案!$B$6:$B$255,MATCH($C1485,项目档案!$A$6:$A$255,0)),"⚠项目编号不存在"))</f>
        <v/>
      </c>
      <c r="N1485" s="35" t="str">
        <f aca="false">IF($E1485="","",IF($E1485=IFERROR(INDEX(项目档案!$D$6:$D$255,MATCH($C1485,项目档案!$A$6:$A$255,0)),""),"一级",IF($E1485=IFERROR(INDEX(项目档案!$F$6:$F$255,MATCH($C1485,项目档案!$A$6:$A$255,0)),""),"二级",IF($E1485=IFERROR(INDEX(项目档案!$H$6:$H$255,MATCH($C1485,项目档案!$A$6:$A$255,0)),""),"我方","—"))))</f>
        <v/>
      </c>
      <c r="O1485" s="36" t="n">
        <f aca="false">IF($D1485&lt;&gt;"销项开票",0,ROUND(N($H1485)*N($I1485),2))</f>
        <v>0</v>
      </c>
      <c r="P1485" s="36" t="n">
        <f aca="false">IF($D1485&lt;&gt;"销项开票",0,ROUND(N($H1485)-$O1485,2))</f>
        <v>0</v>
      </c>
      <c r="Q1485" s="37" t="str">
        <f aca="false">IF($E1485="","",N(IFERROR(INDEX(单位档案!$E$6:$E$35,MATCH($E1485,单位档案!$A$6:$A$35,0)),"")))</f>
        <v/>
      </c>
      <c r="R1485" s="37" t="str">
        <f aca="false">IF($E1485="","",N(IFERROR(INDEX(单位档案!$F$6:$F$35,MATCH($E1485,单位档案!$A$6:$A$35,0)),"")))</f>
        <v/>
      </c>
      <c r="S1485" s="36" t="n">
        <f aca="false">IF(OR($D1485&lt;&gt;"销项开票",IFERROR(INDEX(单位档案!$G$6:$G$35,MATCH($E1485,单位档案!$A$6:$A$35,0)),"")&lt;&gt;"是",N($Q1485)=0),0,IF(IFERROR(INDEX(单位档案!$H$6:$H$35,MATCH($E1485,单位档案!$A$6:$A$35,0)),"")="税差法",ROUND(N($H1485)/(1+$Q1485)*$Q1485-IF(N($R1485)=0,0,$P1485/(1+$R1485)*$R1485),2),ROUND(N($H1485)/(1+$Q1485)*$Q1485,2)))</f>
        <v>0</v>
      </c>
      <c r="T1485" s="36" t="n">
        <f aca="false">ROUND($S1485*N(IFERROR(INDEX(单位档案!$J$6:$J$35,MATCH($E1485,单位档案!$A$6:$A$35,0)),"")),2)</f>
        <v>0</v>
      </c>
      <c r="U1485" s="36" t="n">
        <f aca="false">IF($D1485&lt;&gt;"销项开票",0,ROUND(N($H1485)*N(IFERROR(INDEX(单位档案!$K$6:$K$35,MATCH($E1485,单位档案!$A$6:$A$35,0)),"")),2))</f>
        <v>0</v>
      </c>
      <c r="V1485" s="36" t="n">
        <f aca="false">IF(OR($D1485&lt;&gt;"销项开票",N($Q1485)=0),0,ROUND(N($H1485)/(1+$Q1485)*N(IFERROR(INDEX(单位档案!$L$6:$L$35,MATCH($E1485,单位档案!$A$6:$A$35,0)),"")),2))</f>
        <v>0</v>
      </c>
      <c r="W1485" s="36" t="n">
        <f aca="false">ROUND($S1485+$T1485+$U1485+$V1485,2)</f>
        <v>0</v>
      </c>
      <c r="X1485" s="35" t="str">
        <f aca="false">IF(OR($D1485="挂靠代收",$D1485="我方收款"),COUNTIFS($D$5:$D1485,"挂靠代收")+COUNTIFS($D$5:$D1485,"我方收款"),"")</f>
        <v/>
      </c>
      <c r="Y1485" s="35"/>
      <c r="Z1485" s="21" t="s">
        <v>111</v>
      </c>
    </row>
    <row r="1486" customFormat="false" ht="15.75" hidden="false" customHeight="true" outlineLevel="0" collapsed="false">
      <c r="A1486" s="32" t="str">
        <f aca="false">IF($B1486="","",ROW()-4)</f>
        <v/>
      </c>
      <c r="B1486" s="26"/>
      <c r="C1486" s="24"/>
      <c r="D1486" s="21"/>
      <c r="E1486" s="21"/>
      <c r="F1486" s="21"/>
      <c r="G1486" s="21"/>
      <c r="H1486" s="27"/>
      <c r="I1486" s="23" t="str">
        <f aca="false">IF($D1486&lt;&gt;"销项开票","",IF($N1486="一级",IF(IFERROR(INDEX(项目档案!$E$6:$E$255,MATCH($C1486,项目档案!$A$6:$A$255,0)),"")="",N(IFERROR(INDEX(单位档案!$D$6:$D$35,MATCH($E1486,单位档案!$A$6:$A$35,0)),"")),IFERROR(INDEX(项目档案!$E$6:$E$255,MATCH($C1486,项目档案!$A$6:$A$255,0)),"")),IF($N1486="二级",IF(IFERROR(INDEX(项目档案!$G$6:$G$255,MATCH($C1486,项目档案!$A$6:$A$255,0)),"")="",N(IFERROR(INDEX(单位档案!$D$6:$D$35,MATCH($E1486,单位档案!$A$6:$A$35,0)),"")),IFERROR(INDEX(项目档案!$G$6:$G$255,MATCH($C1486,项目档案!$A$6:$A$255,0)),"")),N(IFERROR(INDEX(单位档案!$D$6:$D$35,MATCH($E1486,单位档案!$A$6:$A$35,0)),"")))))</f>
        <v/>
      </c>
      <c r="J1486" s="22"/>
      <c r="K1486" s="22"/>
      <c r="L1486" s="33" t="str">
        <f aca="false">IF($B1486="","",IF(NOT(ISNUMBER($B1486)),"日期格式不对",IF($C1486="","未选项目编号",IF(LEFT($M1486,1)="⚠","项目编号不存在",IF($D1486="","未选业务类型",IF($E1486="","未选开票/付款方",IF(ISNA(MATCH($E1486,单位档案!$A$6:$A$35,0)),"开票方不在单位档案",IF($F1486="","未选收票/收款方",IF(ISNA(MATCH($F1486,单位档案!$A$6:$A$35,0)),"收款方不在单位档案",IF(NOT(ISNUMBER($H1486)),"金额须为数字",IF(AND($D1486="销项开票",$N1486="—"),"链条待确认","√")))))))))))</f>
        <v/>
      </c>
      <c r="M1486" s="34" t="str">
        <f aca="false">IF($C1486="","",IFERROR(INDEX(项目档案!$B$6:$B$255,MATCH($C1486,项目档案!$A$6:$A$255,0)),"⚠项目编号不存在"))</f>
        <v/>
      </c>
      <c r="N1486" s="35" t="str">
        <f aca="false">IF($E1486="","",IF($E1486=IFERROR(INDEX(项目档案!$D$6:$D$255,MATCH($C1486,项目档案!$A$6:$A$255,0)),""),"一级",IF($E1486=IFERROR(INDEX(项目档案!$F$6:$F$255,MATCH($C1486,项目档案!$A$6:$A$255,0)),""),"二级",IF($E1486=IFERROR(INDEX(项目档案!$H$6:$H$255,MATCH($C1486,项目档案!$A$6:$A$255,0)),""),"我方","—"))))</f>
        <v/>
      </c>
      <c r="O1486" s="36" t="n">
        <f aca="false">IF($D1486&lt;&gt;"销项开票",0,ROUND(N($H1486)*N($I1486),2))</f>
        <v>0</v>
      </c>
      <c r="P1486" s="36" t="n">
        <f aca="false">IF($D1486&lt;&gt;"销项开票",0,ROUND(N($H1486)-$O1486,2))</f>
        <v>0</v>
      </c>
      <c r="Q1486" s="37" t="str">
        <f aca="false">IF($E1486="","",N(IFERROR(INDEX(单位档案!$E$6:$E$35,MATCH($E1486,单位档案!$A$6:$A$35,0)),"")))</f>
        <v/>
      </c>
      <c r="R1486" s="37" t="str">
        <f aca="false">IF($E1486="","",N(IFERROR(INDEX(单位档案!$F$6:$F$35,MATCH($E1486,单位档案!$A$6:$A$35,0)),"")))</f>
        <v/>
      </c>
      <c r="S1486" s="36" t="n">
        <f aca="false">IF(OR($D1486&lt;&gt;"销项开票",IFERROR(INDEX(单位档案!$G$6:$G$35,MATCH($E1486,单位档案!$A$6:$A$35,0)),"")&lt;&gt;"是",N($Q1486)=0),0,IF(IFERROR(INDEX(单位档案!$H$6:$H$35,MATCH($E1486,单位档案!$A$6:$A$35,0)),"")="税差法",ROUND(N($H1486)/(1+$Q1486)*$Q1486-IF(N($R1486)=0,0,$P1486/(1+$R1486)*$R1486),2),ROUND(N($H1486)/(1+$Q1486)*$Q1486,2)))</f>
        <v>0</v>
      </c>
      <c r="T1486" s="36" t="n">
        <f aca="false">ROUND($S1486*N(IFERROR(INDEX(单位档案!$J$6:$J$35,MATCH($E1486,单位档案!$A$6:$A$35,0)),"")),2)</f>
        <v>0</v>
      </c>
      <c r="U1486" s="36" t="n">
        <f aca="false">IF($D1486&lt;&gt;"销项开票",0,ROUND(N($H1486)*N(IFERROR(INDEX(单位档案!$K$6:$K$35,MATCH($E1486,单位档案!$A$6:$A$35,0)),"")),2))</f>
        <v>0</v>
      </c>
      <c r="V1486" s="36" t="n">
        <f aca="false">IF(OR($D1486&lt;&gt;"销项开票",N($Q1486)=0),0,ROUND(N($H1486)/(1+$Q1486)*N(IFERROR(INDEX(单位档案!$L$6:$L$35,MATCH($E1486,单位档案!$A$6:$A$35,0)),"")),2))</f>
        <v>0</v>
      </c>
      <c r="W1486" s="36" t="n">
        <f aca="false">ROUND($S1486+$T1486+$U1486+$V1486,2)</f>
        <v>0</v>
      </c>
      <c r="X1486" s="35" t="str">
        <f aca="false">IF(OR($D1486="挂靠代收",$D1486="我方收款"),COUNTIFS($D$5:$D1486,"挂靠代收")+COUNTIFS($D$5:$D1486,"我方收款"),"")</f>
        <v/>
      </c>
      <c r="Y1486" s="35"/>
      <c r="Z1486" s="21" t="s">
        <v>111</v>
      </c>
    </row>
    <row r="1487" customFormat="false" ht="15.75" hidden="false" customHeight="true" outlineLevel="0" collapsed="false">
      <c r="A1487" s="32" t="str">
        <f aca="false">IF($B1487="","",ROW()-4)</f>
        <v/>
      </c>
      <c r="B1487" s="26"/>
      <c r="C1487" s="24"/>
      <c r="D1487" s="21"/>
      <c r="E1487" s="21"/>
      <c r="F1487" s="21"/>
      <c r="G1487" s="21"/>
      <c r="H1487" s="27"/>
      <c r="I1487" s="23" t="str">
        <f aca="false">IF($D1487&lt;&gt;"销项开票","",IF($N1487="一级",IF(IFERROR(INDEX(项目档案!$E$6:$E$255,MATCH($C1487,项目档案!$A$6:$A$255,0)),"")="",N(IFERROR(INDEX(单位档案!$D$6:$D$35,MATCH($E1487,单位档案!$A$6:$A$35,0)),"")),IFERROR(INDEX(项目档案!$E$6:$E$255,MATCH($C1487,项目档案!$A$6:$A$255,0)),"")),IF($N1487="二级",IF(IFERROR(INDEX(项目档案!$G$6:$G$255,MATCH($C1487,项目档案!$A$6:$A$255,0)),"")="",N(IFERROR(INDEX(单位档案!$D$6:$D$35,MATCH($E1487,单位档案!$A$6:$A$35,0)),"")),IFERROR(INDEX(项目档案!$G$6:$G$255,MATCH($C1487,项目档案!$A$6:$A$255,0)),"")),N(IFERROR(INDEX(单位档案!$D$6:$D$35,MATCH($E1487,单位档案!$A$6:$A$35,0)),"")))))</f>
        <v/>
      </c>
      <c r="J1487" s="22"/>
      <c r="K1487" s="22"/>
      <c r="L1487" s="33" t="str">
        <f aca="false">IF($B1487="","",IF(NOT(ISNUMBER($B1487)),"日期格式不对",IF($C1487="","未选项目编号",IF(LEFT($M1487,1)="⚠","项目编号不存在",IF($D1487="","未选业务类型",IF($E1487="","未选开票/付款方",IF(ISNA(MATCH($E1487,单位档案!$A$6:$A$35,0)),"开票方不在单位档案",IF($F1487="","未选收票/收款方",IF(ISNA(MATCH($F1487,单位档案!$A$6:$A$35,0)),"收款方不在单位档案",IF(NOT(ISNUMBER($H1487)),"金额须为数字",IF(AND($D1487="销项开票",$N1487="—"),"链条待确认","√")))))))))))</f>
        <v/>
      </c>
      <c r="M1487" s="34" t="str">
        <f aca="false">IF($C1487="","",IFERROR(INDEX(项目档案!$B$6:$B$255,MATCH($C1487,项目档案!$A$6:$A$255,0)),"⚠项目编号不存在"))</f>
        <v/>
      </c>
      <c r="N1487" s="35" t="str">
        <f aca="false">IF($E1487="","",IF($E1487=IFERROR(INDEX(项目档案!$D$6:$D$255,MATCH($C1487,项目档案!$A$6:$A$255,0)),""),"一级",IF($E1487=IFERROR(INDEX(项目档案!$F$6:$F$255,MATCH($C1487,项目档案!$A$6:$A$255,0)),""),"二级",IF($E1487=IFERROR(INDEX(项目档案!$H$6:$H$255,MATCH($C1487,项目档案!$A$6:$A$255,0)),""),"我方","—"))))</f>
        <v/>
      </c>
      <c r="O1487" s="36" t="n">
        <f aca="false">IF($D1487&lt;&gt;"销项开票",0,ROUND(N($H1487)*N($I1487),2))</f>
        <v>0</v>
      </c>
      <c r="P1487" s="36" t="n">
        <f aca="false">IF($D1487&lt;&gt;"销项开票",0,ROUND(N($H1487)-$O1487,2))</f>
        <v>0</v>
      </c>
      <c r="Q1487" s="37" t="str">
        <f aca="false">IF($E1487="","",N(IFERROR(INDEX(单位档案!$E$6:$E$35,MATCH($E1487,单位档案!$A$6:$A$35,0)),"")))</f>
        <v/>
      </c>
      <c r="R1487" s="37" t="str">
        <f aca="false">IF($E1487="","",N(IFERROR(INDEX(单位档案!$F$6:$F$35,MATCH($E1487,单位档案!$A$6:$A$35,0)),"")))</f>
        <v/>
      </c>
      <c r="S1487" s="36" t="n">
        <f aca="false">IF(OR($D1487&lt;&gt;"销项开票",IFERROR(INDEX(单位档案!$G$6:$G$35,MATCH($E1487,单位档案!$A$6:$A$35,0)),"")&lt;&gt;"是",N($Q1487)=0),0,IF(IFERROR(INDEX(单位档案!$H$6:$H$35,MATCH($E1487,单位档案!$A$6:$A$35,0)),"")="税差法",ROUND(N($H1487)/(1+$Q1487)*$Q1487-IF(N($R1487)=0,0,$P1487/(1+$R1487)*$R1487),2),ROUND(N($H1487)/(1+$Q1487)*$Q1487,2)))</f>
        <v>0</v>
      </c>
      <c r="T1487" s="36" t="n">
        <f aca="false">ROUND($S1487*N(IFERROR(INDEX(单位档案!$J$6:$J$35,MATCH($E1487,单位档案!$A$6:$A$35,0)),"")),2)</f>
        <v>0</v>
      </c>
      <c r="U1487" s="36" t="n">
        <f aca="false">IF($D1487&lt;&gt;"销项开票",0,ROUND(N($H1487)*N(IFERROR(INDEX(单位档案!$K$6:$K$35,MATCH($E1487,单位档案!$A$6:$A$35,0)),"")),2))</f>
        <v>0</v>
      </c>
      <c r="V1487" s="36" t="n">
        <f aca="false">IF(OR($D1487&lt;&gt;"销项开票",N($Q1487)=0),0,ROUND(N($H1487)/(1+$Q1487)*N(IFERROR(INDEX(单位档案!$L$6:$L$35,MATCH($E1487,单位档案!$A$6:$A$35,0)),"")),2))</f>
        <v>0</v>
      </c>
      <c r="W1487" s="36" t="n">
        <f aca="false">ROUND($S1487+$T1487+$U1487+$V1487,2)</f>
        <v>0</v>
      </c>
      <c r="X1487" s="35" t="str">
        <f aca="false">IF(OR($D1487="挂靠代收",$D1487="我方收款"),COUNTIFS($D$5:$D1487,"挂靠代收")+COUNTIFS($D$5:$D1487,"我方收款"),"")</f>
        <v/>
      </c>
      <c r="Y1487" s="35"/>
      <c r="Z1487" s="21" t="s">
        <v>111</v>
      </c>
    </row>
    <row r="1488" customFormat="false" ht="15.75" hidden="false" customHeight="true" outlineLevel="0" collapsed="false">
      <c r="A1488" s="32" t="str">
        <f aca="false">IF($B1488="","",ROW()-4)</f>
        <v/>
      </c>
      <c r="B1488" s="26"/>
      <c r="C1488" s="24"/>
      <c r="D1488" s="21"/>
      <c r="E1488" s="21"/>
      <c r="F1488" s="21"/>
      <c r="G1488" s="21"/>
      <c r="H1488" s="27"/>
      <c r="I1488" s="23" t="str">
        <f aca="false">IF($D1488&lt;&gt;"销项开票","",IF($N1488="一级",IF(IFERROR(INDEX(项目档案!$E$6:$E$255,MATCH($C1488,项目档案!$A$6:$A$255,0)),"")="",N(IFERROR(INDEX(单位档案!$D$6:$D$35,MATCH($E1488,单位档案!$A$6:$A$35,0)),"")),IFERROR(INDEX(项目档案!$E$6:$E$255,MATCH($C1488,项目档案!$A$6:$A$255,0)),"")),IF($N1488="二级",IF(IFERROR(INDEX(项目档案!$G$6:$G$255,MATCH($C1488,项目档案!$A$6:$A$255,0)),"")="",N(IFERROR(INDEX(单位档案!$D$6:$D$35,MATCH($E1488,单位档案!$A$6:$A$35,0)),"")),IFERROR(INDEX(项目档案!$G$6:$G$255,MATCH($C1488,项目档案!$A$6:$A$255,0)),"")),N(IFERROR(INDEX(单位档案!$D$6:$D$35,MATCH($E1488,单位档案!$A$6:$A$35,0)),"")))))</f>
        <v/>
      </c>
      <c r="J1488" s="22"/>
      <c r="K1488" s="22"/>
      <c r="L1488" s="33" t="str">
        <f aca="false">IF($B1488="","",IF(NOT(ISNUMBER($B1488)),"日期格式不对",IF($C1488="","未选项目编号",IF(LEFT($M1488,1)="⚠","项目编号不存在",IF($D1488="","未选业务类型",IF($E1488="","未选开票/付款方",IF(ISNA(MATCH($E1488,单位档案!$A$6:$A$35,0)),"开票方不在单位档案",IF($F1488="","未选收票/收款方",IF(ISNA(MATCH($F1488,单位档案!$A$6:$A$35,0)),"收款方不在单位档案",IF(NOT(ISNUMBER($H1488)),"金额须为数字",IF(AND($D1488="销项开票",$N1488="—"),"链条待确认","√")))))))))))</f>
        <v/>
      </c>
      <c r="M1488" s="34" t="str">
        <f aca="false">IF($C1488="","",IFERROR(INDEX(项目档案!$B$6:$B$255,MATCH($C1488,项目档案!$A$6:$A$255,0)),"⚠项目编号不存在"))</f>
        <v/>
      </c>
      <c r="N1488" s="35" t="str">
        <f aca="false">IF($E1488="","",IF($E1488=IFERROR(INDEX(项目档案!$D$6:$D$255,MATCH($C1488,项目档案!$A$6:$A$255,0)),""),"一级",IF($E1488=IFERROR(INDEX(项目档案!$F$6:$F$255,MATCH($C1488,项目档案!$A$6:$A$255,0)),""),"二级",IF($E1488=IFERROR(INDEX(项目档案!$H$6:$H$255,MATCH($C1488,项目档案!$A$6:$A$255,0)),""),"我方","—"))))</f>
        <v/>
      </c>
      <c r="O1488" s="36" t="n">
        <f aca="false">IF($D1488&lt;&gt;"销项开票",0,ROUND(N($H1488)*N($I1488),2))</f>
        <v>0</v>
      </c>
      <c r="P1488" s="36" t="n">
        <f aca="false">IF($D1488&lt;&gt;"销项开票",0,ROUND(N($H1488)-$O1488,2))</f>
        <v>0</v>
      </c>
      <c r="Q1488" s="37" t="str">
        <f aca="false">IF($E1488="","",N(IFERROR(INDEX(单位档案!$E$6:$E$35,MATCH($E1488,单位档案!$A$6:$A$35,0)),"")))</f>
        <v/>
      </c>
      <c r="R1488" s="37" t="str">
        <f aca="false">IF($E1488="","",N(IFERROR(INDEX(单位档案!$F$6:$F$35,MATCH($E1488,单位档案!$A$6:$A$35,0)),"")))</f>
        <v/>
      </c>
      <c r="S1488" s="36" t="n">
        <f aca="false">IF(OR($D1488&lt;&gt;"销项开票",IFERROR(INDEX(单位档案!$G$6:$G$35,MATCH($E1488,单位档案!$A$6:$A$35,0)),"")&lt;&gt;"是",N($Q1488)=0),0,IF(IFERROR(INDEX(单位档案!$H$6:$H$35,MATCH($E1488,单位档案!$A$6:$A$35,0)),"")="税差法",ROUND(N($H1488)/(1+$Q1488)*$Q1488-IF(N($R1488)=0,0,$P1488/(1+$R1488)*$R1488),2),ROUND(N($H1488)/(1+$Q1488)*$Q1488,2)))</f>
        <v>0</v>
      </c>
      <c r="T1488" s="36" t="n">
        <f aca="false">ROUND($S1488*N(IFERROR(INDEX(单位档案!$J$6:$J$35,MATCH($E1488,单位档案!$A$6:$A$35,0)),"")),2)</f>
        <v>0</v>
      </c>
      <c r="U1488" s="36" t="n">
        <f aca="false">IF($D1488&lt;&gt;"销项开票",0,ROUND(N($H1488)*N(IFERROR(INDEX(单位档案!$K$6:$K$35,MATCH($E1488,单位档案!$A$6:$A$35,0)),"")),2))</f>
        <v>0</v>
      </c>
      <c r="V1488" s="36" t="n">
        <f aca="false">IF(OR($D1488&lt;&gt;"销项开票",N($Q1488)=0),0,ROUND(N($H1488)/(1+$Q1488)*N(IFERROR(INDEX(单位档案!$L$6:$L$35,MATCH($E1488,单位档案!$A$6:$A$35,0)),"")),2))</f>
        <v>0</v>
      </c>
      <c r="W1488" s="36" t="n">
        <f aca="false">ROUND($S1488+$T1488+$U1488+$V1488,2)</f>
        <v>0</v>
      </c>
      <c r="X1488" s="35" t="str">
        <f aca="false">IF(OR($D1488="挂靠代收",$D1488="我方收款"),COUNTIFS($D$5:$D1488,"挂靠代收")+COUNTIFS($D$5:$D1488,"我方收款"),"")</f>
        <v/>
      </c>
      <c r="Y1488" s="35"/>
      <c r="Z1488" s="21" t="s">
        <v>111</v>
      </c>
    </row>
    <row r="1489" customFormat="false" ht="15.75" hidden="false" customHeight="true" outlineLevel="0" collapsed="false">
      <c r="A1489" s="32" t="str">
        <f aca="false">IF($B1489="","",ROW()-4)</f>
        <v/>
      </c>
      <c r="B1489" s="26"/>
      <c r="C1489" s="24"/>
      <c r="D1489" s="21"/>
      <c r="E1489" s="21"/>
      <c r="F1489" s="21"/>
      <c r="G1489" s="21"/>
      <c r="H1489" s="27"/>
      <c r="I1489" s="23" t="str">
        <f aca="false">IF($D1489&lt;&gt;"销项开票","",IF($N1489="一级",IF(IFERROR(INDEX(项目档案!$E$6:$E$255,MATCH($C1489,项目档案!$A$6:$A$255,0)),"")="",N(IFERROR(INDEX(单位档案!$D$6:$D$35,MATCH($E1489,单位档案!$A$6:$A$35,0)),"")),IFERROR(INDEX(项目档案!$E$6:$E$255,MATCH($C1489,项目档案!$A$6:$A$255,0)),"")),IF($N1489="二级",IF(IFERROR(INDEX(项目档案!$G$6:$G$255,MATCH($C1489,项目档案!$A$6:$A$255,0)),"")="",N(IFERROR(INDEX(单位档案!$D$6:$D$35,MATCH($E1489,单位档案!$A$6:$A$35,0)),"")),IFERROR(INDEX(项目档案!$G$6:$G$255,MATCH($C1489,项目档案!$A$6:$A$255,0)),"")),N(IFERROR(INDEX(单位档案!$D$6:$D$35,MATCH($E1489,单位档案!$A$6:$A$35,0)),"")))))</f>
        <v/>
      </c>
      <c r="J1489" s="22"/>
      <c r="K1489" s="22"/>
      <c r="L1489" s="33" t="str">
        <f aca="false">IF($B1489="","",IF(NOT(ISNUMBER($B1489)),"日期格式不对",IF($C1489="","未选项目编号",IF(LEFT($M1489,1)="⚠","项目编号不存在",IF($D1489="","未选业务类型",IF($E1489="","未选开票/付款方",IF(ISNA(MATCH($E1489,单位档案!$A$6:$A$35,0)),"开票方不在单位档案",IF($F1489="","未选收票/收款方",IF(ISNA(MATCH($F1489,单位档案!$A$6:$A$35,0)),"收款方不在单位档案",IF(NOT(ISNUMBER($H1489)),"金额须为数字",IF(AND($D1489="销项开票",$N1489="—"),"链条待确认","√")))))))))))</f>
        <v/>
      </c>
      <c r="M1489" s="34" t="str">
        <f aca="false">IF($C1489="","",IFERROR(INDEX(项目档案!$B$6:$B$255,MATCH($C1489,项目档案!$A$6:$A$255,0)),"⚠项目编号不存在"))</f>
        <v/>
      </c>
      <c r="N1489" s="35" t="str">
        <f aca="false">IF($E1489="","",IF($E1489=IFERROR(INDEX(项目档案!$D$6:$D$255,MATCH($C1489,项目档案!$A$6:$A$255,0)),""),"一级",IF($E1489=IFERROR(INDEX(项目档案!$F$6:$F$255,MATCH($C1489,项目档案!$A$6:$A$255,0)),""),"二级",IF($E1489=IFERROR(INDEX(项目档案!$H$6:$H$255,MATCH($C1489,项目档案!$A$6:$A$255,0)),""),"我方","—"))))</f>
        <v/>
      </c>
      <c r="O1489" s="36" t="n">
        <f aca="false">IF($D1489&lt;&gt;"销项开票",0,ROUND(N($H1489)*N($I1489),2))</f>
        <v>0</v>
      </c>
      <c r="P1489" s="36" t="n">
        <f aca="false">IF($D1489&lt;&gt;"销项开票",0,ROUND(N($H1489)-$O1489,2))</f>
        <v>0</v>
      </c>
      <c r="Q1489" s="37" t="str">
        <f aca="false">IF($E1489="","",N(IFERROR(INDEX(单位档案!$E$6:$E$35,MATCH($E1489,单位档案!$A$6:$A$35,0)),"")))</f>
        <v/>
      </c>
      <c r="R1489" s="37" t="str">
        <f aca="false">IF($E1489="","",N(IFERROR(INDEX(单位档案!$F$6:$F$35,MATCH($E1489,单位档案!$A$6:$A$35,0)),"")))</f>
        <v/>
      </c>
      <c r="S1489" s="36" t="n">
        <f aca="false">IF(OR($D1489&lt;&gt;"销项开票",IFERROR(INDEX(单位档案!$G$6:$G$35,MATCH($E1489,单位档案!$A$6:$A$35,0)),"")&lt;&gt;"是",N($Q1489)=0),0,IF(IFERROR(INDEX(单位档案!$H$6:$H$35,MATCH($E1489,单位档案!$A$6:$A$35,0)),"")="税差法",ROUND(N($H1489)/(1+$Q1489)*$Q1489-IF(N($R1489)=0,0,$P1489/(1+$R1489)*$R1489),2),ROUND(N($H1489)/(1+$Q1489)*$Q1489,2)))</f>
        <v>0</v>
      </c>
      <c r="T1489" s="36" t="n">
        <f aca="false">ROUND($S1489*N(IFERROR(INDEX(单位档案!$J$6:$J$35,MATCH($E1489,单位档案!$A$6:$A$35,0)),"")),2)</f>
        <v>0</v>
      </c>
      <c r="U1489" s="36" t="n">
        <f aca="false">IF($D1489&lt;&gt;"销项开票",0,ROUND(N($H1489)*N(IFERROR(INDEX(单位档案!$K$6:$K$35,MATCH($E1489,单位档案!$A$6:$A$35,0)),"")),2))</f>
        <v>0</v>
      </c>
      <c r="V1489" s="36" t="n">
        <f aca="false">IF(OR($D1489&lt;&gt;"销项开票",N($Q1489)=0),0,ROUND(N($H1489)/(1+$Q1489)*N(IFERROR(INDEX(单位档案!$L$6:$L$35,MATCH($E1489,单位档案!$A$6:$A$35,0)),"")),2))</f>
        <v>0</v>
      </c>
      <c r="W1489" s="36" t="n">
        <f aca="false">ROUND($S1489+$T1489+$U1489+$V1489,2)</f>
        <v>0</v>
      </c>
      <c r="X1489" s="35" t="str">
        <f aca="false">IF(OR($D1489="挂靠代收",$D1489="我方收款"),COUNTIFS($D$5:$D1489,"挂靠代收")+COUNTIFS($D$5:$D1489,"我方收款"),"")</f>
        <v/>
      </c>
      <c r="Y1489" s="35"/>
      <c r="Z1489" s="21" t="s">
        <v>111</v>
      </c>
    </row>
    <row r="1490" customFormat="false" ht="15.75" hidden="false" customHeight="true" outlineLevel="0" collapsed="false">
      <c r="A1490" s="32" t="str">
        <f aca="false">IF($B1490="","",ROW()-4)</f>
        <v/>
      </c>
      <c r="B1490" s="26"/>
      <c r="C1490" s="24"/>
      <c r="D1490" s="21"/>
      <c r="E1490" s="21"/>
      <c r="F1490" s="21"/>
      <c r="G1490" s="21"/>
      <c r="H1490" s="27"/>
      <c r="I1490" s="23" t="str">
        <f aca="false">IF($D1490&lt;&gt;"销项开票","",IF($N1490="一级",IF(IFERROR(INDEX(项目档案!$E$6:$E$255,MATCH($C1490,项目档案!$A$6:$A$255,0)),"")="",N(IFERROR(INDEX(单位档案!$D$6:$D$35,MATCH($E1490,单位档案!$A$6:$A$35,0)),"")),IFERROR(INDEX(项目档案!$E$6:$E$255,MATCH($C1490,项目档案!$A$6:$A$255,0)),"")),IF($N1490="二级",IF(IFERROR(INDEX(项目档案!$G$6:$G$255,MATCH($C1490,项目档案!$A$6:$A$255,0)),"")="",N(IFERROR(INDEX(单位档案!$D$6:$D$35,MATCH($E1490,单位档案!$A$6:$A$35,0)),"")),IFERROR(INDEX(项目档案!$G$6:$G$255,MATCH($C1490,项目档案!$A$6:$A$255,0)),"")),N(IFERROR(INDEX(单位档案!$D$6:$D$35,MATCH($E1490,单位档案!$A$6:$A$35,0)),"")))))</f>
        <v/>
      </c>
      <c r="J1490" s="22"/>
      <c r="K1490" s="22"/>
      <c r="L1490" s="33" t="str">
        <f aca="false">IF($B1490="","",IF(NOT(ISNUMBER($B1490)),"日期格式不对",IF($C1490="","未选项目编号",IF(LEFT($M1490,1)="⚠","项目编号不存在",IF($D1490="","未选业务类型",IF($E1490="","未选开票/付款方",IF(ISNA(MATCH($E1490,单位档案!$A$6:$A$35,0)),"开票方不在单位档案",IF($F1490="","未选收票/收款方",IF(ISNA(MATCH($F1490,单位档案!$A$6:$A$35,0)),"收款方不在单位档案",IF(NOT(ISNUMBER($H1490)),"金额须为数字",IF(AND($D1490="销项开票",$N1490="—"),"链条待确认","√")))))))))))</f>
        <v/>
      </c>
      <c r="M1490" s="34" t="str">
        <f aca="false">IF($C1490="","",IFERROR(INDEX(项目档案!$B$6:$B$255,MATCH($C1490,项目档案!$A$6:$A$255,0)),"⚠项目编号不存在"))</f>
        <v/>
      </c>
      <c r="N1490" s="35" t="str">
        <f aca="false">IF($E1490="","",IF($E1490=IFERROR(INDEX(项目档案!$D$6:$D$255,MATCH($C1490,项目档案!$A$6:$A$255,0)),""),"一级",IF($E1490=IFERROR(INDEX(项目档案!$F$6:$F$255,MATCH($C1490,项目档案!$A$6:$A$255,0)),""),"二级",IF($E1490=IFERROR(INDEX(项目档案!$H$6:$H$255,MATCH($C1490,项目档案!$A$6:$A$255,0)),""),"我方","—"))))</f>
        <v/>
      </c>
      <c r="O1490" s="36" t="n">
        <f aca="false">IF($D1490&lt;&gt;"销项开票",0,ROUND(N($H1490)*N($I1490),2))</f>
        <v>0</v>
      </c>
      <c r="P1490" s="36" t="n">
        <f aca="false">IF($D1490&lt;&gt;"销项开票",0,ROUND(N($H1490)-$O1490,2))</f>
        <v>0</v>
      </c>
      <c r="Q1490" s="37" t="str">
        <f aca="false">IF($E1490="","",N(IFERROR(INDEX(单位档案!$E$6:$E$35,MATCH($E1490,单位档案!$A$6:$A$35,0)),"")))</f>
        <v/>
      </c>
      <c r="R1490" s="37" t="str">
        <f aca="false">IF($E1490="","",N(IFERROR(INDEX(单位档案!$F$6:$F$35,MATCH($E1490,单位档案!$A$6:$A$35,0)),"")))</f>
        <v/>
      </c>
      <c r="S1490" s="36" t="n">
        <f aca="false">IF(OR($D1490&lt;&gt;"销项开票",IFERROR(INDEX(单位档案!$G$6:$G$35,MATCH($E1490,单位档案!$A$6:$A$35,0)),"")&lt;&gt;"是",N($Q1490)=0),0,IF(IFERROR(INDEX(单位档案!$H$6:$H$35,MATCH($E1490,单位档案!$A$6:$A$35,0)),"")="税差法",ROUND(N($H1490)/(1+$Q1490)*$Q1490-IF(N($R1490)=0,0,$P1490/(1+$R1490)*$R1490),2),ROUND(N($H1490)/(1+$Q1490)*$Q1490,2)))</f>
        <v>0</v>
      </c>
      <c r="T1490" s="36" t="n">
        <f aca="false">ROUND($S1490*N(IFERROR(INDEX(单位档案!$J$6:$J$35,MATCH($E1490,单位档案!$A$6:$A$35,0)),"")),2)</f>
        <v>0</v>
      </c>
      <c r="U1490" s="36" t="n">
        <f aca="false">IF($D1490&lt;&gt;"销项开票",0,ROUND(N($H1490)*N(IFERROR(INDEX(单位档案!$K$6:$K$35,MATCH($E1490,单位档案!$A$6:$A$35,0)),"")),2))</f>
        <v>0</v>
      </c>
      <c r="V1490" s="36" t="n">
        <f aca="false">IF(OR($D1490&lt;&gt;"销项开票",N($Q1490)=0),0,ROUND(N($H1490)/(1+$Q1490)*N(IFERROR(INDEX(单位档案!$L$6:$L$35,MATCH($E1490,单位档案!$A$6:$A$35,0)),"")),2))</f>
        <v>0</v>
      </c>
      <c r="W1490" s="36" t="n">
        <f aca="false">ROUND($S1490+$T1490+$U1490+$V1490,2)</f>
        <v>0</v>
      </c>
      <c r="X1490" s="35" t="str">
        <f aca="false">IF(OR($D1490="挂靠代收",$D1490="我方收款"),COUNTIFS($D$5:$D1490,"挂靠代收")+COUNTIFS($D$5:$D1490,"我方收款"),"")</f>
        <v/>
      </c>
      <c r="Y1490" s="35"/>
      <c r="Z1490" s="21" t="s">
        <v>111</v>
      </c>
    </row>
    <row r="1491" customFormat="false" ht="15.75" hidden="false" customHeight="true" outlineLevel="0" collapsed="false">
      <c r="A1491" s="32" t="str">
        <f aca="false">IF($B1491="","",ROW()-4)</f>
        <v/>
      </c>
      <c r="B1491" s="26"/>
      <c r="C1491" s="24"/>
      <c r="D1491" s="21"/>
      <c r="E1491" s="21"/>
      <c r="F1491" s="21"/>
      <c r="G1491" s="21"/>
      <c r="H1491" s="27"/>
      <c r="I1491" s="23" t="str">
        <f aca="false">IF($D1491&lt;&gt;"销项开票","",IF($N1491="一级",IF(IFERROR(INDEX(项目档案!$E$6:$E$255,MATCH($C1491,项目档案!$A$6:$A$255,0)),"")="",N(IFERROR(INDEX(单位档案!$D$6:$D$35,MATCH($E1491,单位档案!$A$6:$A$35,0)),"")),IFERROR(INDEX(项目档案!$E$6:$E$255,MATCH($C1491,项目档案!$A$6:$A$255,0)),"")),IF($N1491="二级",IF(IFERROR(INDEX(项目档案!$G$6:$G$255,MATCH($C1491,项目档案!$A$6:$A$255,0)),"")="",N(IFERROR(INDEX(单位档案!$D$6:$D$35,MATCH($E1491,单位档案!$A$6:$A$35,0)),"")),IFERROR(INDEX(项目档案!$G$6:$G$255,MATCH($C1491,项目档案!$A$6:$A$255,0)),"")),N(IFERROR(INDEX(单位档案!$D$6:$D$35,MATCH($E1491,单位档案!$A$6:$A$35,0)),"")))))</f>
        <v/>
      </c>
      <c r="J1491" s="22"/>
      <c r="K1491" s="22"/>
      <c r="L1491" s="33" t="str">
        <f aca="false">IF($B1491="","",IF(NOT(ISNUMBER($B1491)),"日期格式不对",IF($C1491="","未选项目编号",IF(LEFT($M1491,1)="⚠","项目编号不存在",IF($D1491="","未选业务类型",IF($E1491="","未选开票/付款方",IF(ISNA(MATCH($E1491,单位档案!$A$6:$A$35,0)),"开票方不在单位档案",IF($F1491="","未选收票/收款方",IF(ISNA(MATCH($F1491,单位档案!$A$6:$A$35,0)),"收款方不在单位档案",IF(NOT(ISNUMBER($H1491)),"金额须为数字",IF(AND($D1491="销项开票",$N1491="—"),"链条待确认","√")))))))))))</f>
        <v/>
      </c>
      <c r="M1491" s="34" t="str">
        <f aca="false">IF($C1491="","",IFERROR(INDEX(项目档案!$B$6:$B$255,MATCH($C1491,项目档案!$A$6:$A$255,0)),"⚠项目编号不存在"))</f>
        <v/>
      </c>
      <c r="N1491" s="35" t="str">
        <f aca="false">IF($E1491="","",IF($E1491=IFERROR(INDEX(项目档案!$D$6:$D$255,MATCH($C1491,项目档案!$A$6:$A$255,0)),""),"一级",IF($E1491=IFERROR(INDEX(项目档案!$F$6:$F$255,MATCH($C1491,项目档案!$A$6:$A$255,0)),""),"二级",IF($E1491=IFERROR(INDEX(项目档案!$H$6:$H$255,MATCH($C1491,项目档案!$A$6:$A$255,0)),""),"我方","—"))))</f>
        <v/>
      </c>
      <c r="O1491" s="36" t="n">
        <f aca="false">IF($D1491&lt;&gt;"销项开票",0,ROUND(N($H1491)*N($I1491),2))</f>
        <v>0</v>
      </c>
      <c r="P1491" s="36" t="n">
        <f aca="false">IF($D1491&lt;&gt;"销项开票",0,ROUND(N($H1491)-$O1491,2))</f>
        <v>0</v>
      </c>
      <c r="Q1491" s="37" t="str">
        <f aca="false">IF($E1491="","",N(IFERROR(INDEX(单位档案!$E$6:$E$35,MATCH($E1491,单位档案!$A$6:$A$35,0)),"")))</f>
        <v/>
      </c>
      <c r="R1491" s="37" t="str">
        <f aca="false">IF($E1491="","",N(IFERROR(INDEX(单位档案!$F$6:$F$35,MATCH($E1491,单位档案!$A$6:$A$35,0)),"")))</f>
        <v/>
      </c>
      <c r="S1491" s="36" t="n">
        <f aca="false">IF(OR($D1491&lt;&gt;"销项开票",IFERROR(INDEX(单位档案!$G$6:$G$35,MATCH($E1491,单位档案!$A$6:$A$35,0)),"")&lt;&gt;"是",N($Q1491)=0),0,IF(IFERROR(INDEX(单位档案!$H$6:$H$35,MATCH($E1491,单位档案!$A$6:$A$35,0)),"")="税差法",ROUND(N($H1491)/(1+$Q1491)*$Q1491-IF(N($R1491)=0,0,$P1491/(1+$R1491)*$R1491),2),ROUND(N($H1491)/(1+$Q1491)*$Q1491,2)))</f>
        <v>0</v>
      </c>
      <c r="T1491" s="36" t="n">
        <f aca="false">ROUND($S1491*N(IFERROR(INDEX(单位档案!$J$6:$J$35,MATCH($E1491,单位档案!$A$6:$A$35,0)),"")),2)</f>
        <v>0</v>
      </c>
      <c r="U1491" s="36" t="n">
        <f aca="false">IF($D1491&lt;&gt;"销项开票",0,ROUND(N($H1491)*N(IFERROR(INDEX(单位档案!$K$6:$K$35,MATCH($E1491,单位档案!$A$6:$A$35,0)),"")),2))</f>
        <v>0</v>
      </c>
      <c r="V1491" s="36" t="n">
        <f aca="false">IF(OR($D1491&lt;&gt;"销项开票",N($Q1491)=0),0,ROUND(N($H1491)/(1+$Q1491)*N(IFERROR(INDEX(单位档案!$L$6:$L$35,MATCH($E1491,单位档案!$A$6:$A$35,0)),"")),2))</f>
        <v>0</v>
      </c>
      <c r="W1491" s="36" t="n">
        <f aca="false">ROUND($S1491+$T1491+$U1491+$V1491,2)</f>
        <v>0</v>
      </c>
      <c r="X1491" s="35" t="str">
        <f aca="false">IF(OR($D1491="挂靠代收",$D1491="我方收款"),COUNTIFS($D$5:$D1491,"挂靠代收")+COUNTIFS($D$5:$D1491,"我方收款"),"")</f>
        <v/>
      </c>
      <c r="Y1491" s="35"/>
      <c r="Z1491" s="21" t="s">
        <v>111</v>
      </c>
    </row>
    <row r="1492" customFormat="false" ht="15.75" hidden="false" customHeight="true" outlineLevel="0" collapsed="false">
      <c r="A1492" s="32" t="str">
        <f aca="false">IF($B1492="","",ROW()-4)</f>
        <v/>
      </c>
      <c r="B1492" s="26"/>
      <c r="C1492" s="24"/>
      <c r="D1492" s="21"/>
      <c r="E1492" s="21"/>
      <c r="F1492" s="21"/>
      <c r="G1492" s="21"/>
      <c r="H1492" s="27"/>
      <c r="I1492" s="23" t="str">
        <f aca="false">IF($D1492&lt;&gt;"销项开票","",IF($N1492="一级",IF(IFERROR(INDEX(项目档案!$E$6:$E$255,MATCH($C1492,项目档案!$A$6:$A$255,0)),"")="",N(IFERROR(INDEX(单位档案!$D$6:$D$35,MATCH($E1492,单位档案!$A$6:$A$35,0)),"")),IFERROR(INDEX(项目档案!$E$6:$E$255,MATCH($C1492,项目档案!$A$6:$A$255,0)),"")),IF($N1492="二级",IF(IFERROR(INDEX(项目档案!$G$6:$G$255,MATCH($C1492,项目档案!$A$6:$A$255,0)),"")="",N(IFERROR(INDEX(单位档案!$D$6:$D$35,MATCH($E1492,单位档案!$A$6:$A$35,0)),"")),IFERROR(INDEX(项目档案!$G$6:$G$255,MATCH($C1492,项目档案!$A$6:$A$255,0)),"")),N(IFERROR(INDEX(单位档案!$D$6:$D$35,MATCH($E1492,单位档案!$A$6:$A$35,0)),"")))))</f>
        <v/>
      </c>
      <c r="J1492" s="22"/>
      <c r="K1492" s="22"/>
      <c r="L1492" s="33" t="str">
        <f aca="false">IF($B1492="","",IF(NOT(ISNUMBER($B1492)),"日期格式不对",IF($C1492="","未选项目编号",IF(LEFT($M1492,1)="⚠","项目编号不存在",IF($D1492="","未选业务类型",IF($E1492="","未选开票/付款方",IF(ISNA(MATCH($E1492,单位档案!$A$6:$A$35,0)),"开票方不在单位档案",IF($F1492="","未选收票/收款方",IF(ISNA(MATCH($F1492,单位档案!$A$6:$A$35,0)),"收款方不在单位档案",IF(NOT(ISNUMBER($H1492)),"金额须为数字",IF(AND($D1492="销项开票",$N1492="—"),"链条待确认","√")))))))))))</f>
        <v/>
      </c>
      <c r="M1492" s="34" t="str">
        <f aca="false">IF($C1492="","",IFERROR(INDEX(项目档案!$B$6:$B$255,MATCH($C1492,项目档案!$A$6:$A$255,0)),"⚠项目编号不存在"))</f>
        <v/>
      </c>
      <c r="N1492" s="35" t="str">
        <f aca="false">IF($E1492="","",IF($E1492=IFERROR(INDEX(项目档案!$D$6:$D$255,MATCH($C1492,项目档案!$A$6:$A$255,0)),""),"一级",IF($E1492=IFERROR(INDEX(项目档案!$F$6:$F$255,MATCH($C1492,项目档案!$A$6:$A$255,0)),""),"二级",IF($E1492=IFERROR(INDEX(项目档案!$H$6:$H$255,MATCH($C1492,项目档案!$A$6:$A$255,0)),""),"我方","—"))))</f>
        <v/>
      </c>
      <c r="O1492" s="36" t="n">
        <f aca="false">IF($D1492&lt;&gt;"销项开票",0,ROUND(N($H1492)*N($I1492),2))</f>
        <v>0</v>
      </c>
      <c r="P1492" s="36" t="n">
        <f aca="false">IF($D1492&lt;&gt;"销项开票",0,ROUND(N($H1492)-$O1492,2))</f>
        <v>0</v>
      </c>
      <c r="Q1492" s="37" t="str">
        <f aca="false">IF($E1492="","",N(IFERROR(INDEX(单位档案!$E$6:$E$35,MATCH($E1492,单位档案!$A$6:$A$35,0)),"")))</f>
        <v/>
      </c>
      <c r="R1492" s="37" t="str">
        <f aca="false">IF($E1492="","",N(IFERROR(INDEX(单位档案!$F$6:$F$35,MATCH($E1492,单位档案!$A$6:$A$35,0)),"")))</f>
        <v/>
      </c>
      <c r="S1492" s="36" t="n">
        <f aca="false">IF(OR($D1492&lt;&gt;"销项开票",IFERROR(INDEX(单位档案!$G$6:$G$35,MATCH($E1492,单位档案!$A$6:$A$35,0)),"")&lt;&gt;"是",N($Q1492)=0),0,IF(IFERROR(INDEX(单位档案!$H$6:$H$35,MATCH($E1492,单位档案!$A$6:$A$35,0)),"")="税差法",ROUND(N($H1492)/(1+$Q1492)*$Q1492-IF(N($R1492)=0,0,$P1492/(1+$R1492)*$R1492),2),ROUND(N($H1492)/(1+$Q1492)*$Q1492,2)))</f>
        <v>0</v>
      </c>
      <c r="T1492" s="36" t="n">
        <f aca="false">ROUND($S1492*N(IFERROR(INDEX(单位档案!$J$6:$J$35,MATCH($E1492,单位档案!$A$6:$A$35,0)),"")),2)</f>
        <v>0</v>
      </c>
      <c r="U1492" s="36" t="n">
        <f aca="false">IF($D1492&lt;&gt;"销项开票",0,ROUND(N($H1492)*N(IFERROR(INDEX(单位档案!$K$6:$K$35,MATCH($E1492,单位档案!$A$6:$A$35,0)),"")),2))</f>
        <v>0</v>
      </c>
      <c r="V1492" s="36" t="n">
        <f aca="false">IF(OR($D1492&lt;&gt;"销项开票",N($Q1492)=0),0,ROUND(N($H1492)/(1+$Q1492)*N(IFERROR(INDEX(单位档案!$L$6:$L$35,MATCH($E1492,单位档案!$A$6:$A$35,0)),"")),2))</f>
        <v>0</v>
      </c>
      <c r="W1492" s="36" t="n">
        <f aca="false">ROUND($S1492+$T1492+$U1492+$V1492,2)</f>
        <v>0</v>
      </c>
      <c r="X1492" s="35" t="str">
        <f aca="false">IF(OR($D1492="挂靠代收",$D1492="我方收款"),COUNTIFS($D$5:$D1492,"挂靠代收")+COUNTIFS($D$5:$D1492,"我方收款"),"")</f>
        <v/>
      </c>
      <c r="Y1492" s="35"/>
      <c r="Z1492" s="21" t="s">
        <v>111</v>
      </c>
    </row>
    <row r="1493" customFormat="false" ht="15.75" hidden="false" customHeight="true" outlineLevel="0" collapsed="false">
      <c r="A1493" s="32" t="str">
        <f aca="false">IF($B1493="","",ROW()-4)</f>
        <v/>
      </c>
      <c r="B1493" s="26"/>
      <c r="C1493" s="24"/>
      <c r="D1493" s="21"/>
      <c r="E1493" s="21"/>
      <c r="F1493" s="21"/>
      <c r="G1493" s="21"/>
      <c r="H1493" s="27"/>
      <c r="I1493" s="23" t="str">
        <f aca="false">IF($D1493&lt;&gt;"销项开票","",IF($N1493="一级",IF(IFERROR(INDEX(项目档案!$E$6:$E$255,MATCH($C1493,项目档案!$A$6:$A$255,0)),"")="",N(IFERROR(INDEX(单位档案!$D$6:$D$35,MATCH($E1493,单位档案!$A$6:$A$35,0)),"")),IFERROR(INDEX(项目档案!$E$6:$E$255,MATCH($C1493,项目档案!$A$6:$A$255,0)),"")),IF($N1493="二级",IF(IFERROR(INDEX(项目档案!$G$6:$G$255,MATCH($C1493,项目档案!$A$6:$A$255,0)),"")="",N(IFERROR(INDEX(单位档案!$D$6:$D$35,MATCH($E1493,单位档案!$A$6:$A$35,0)),"")),IFERROR(INDEX(项目档案!$G$6:$G$255,MATCH($C1493,项目档案!$A$6:$A$255,0)),"")),N(IFERROR(INDEX(单位档案!$D$6:$D$35,MATCH($E1493,单位档案!$A$6:$A$35,0)),"")))))</f>
        <v/>
      </c>
      <c r="J1493" s="22"/>
      <c r="K1493" s="22"/>
      <c r="L1493" s="33" t="str">
        <f aca="false">IF($B1493="","",IF(NOT(ISNUMBER($B1493)),"日期格式不对",IF($C1493="","未选项目编号",IF(LEFT($M1493,1)="⚠","项目编号不存在",IF($D1493="","未选业务类型",IF($E1493="","未选开票/付款方",IF(ISNA(MATCH($E1493,单位档案!$A$6:$A$35,0)),"开票方不在单位档案",IF($F1493="","未选收票/收款方",IF(ISNA(MATCH($F1493,单位档案!$A$6:$A$35,0)),"收款方不在单位档案",IF(NOT(ISNUMBER($H1493)),"金额须为数字",IF(AND($D1493="销项开票",$N1493="—"),"链条待确认","√")))))))))))</f>
        <v/>
      </c>
      <c r="M1493" s="34" t="str">
        <f aca="false">IF($C1493="","",IFERROR(INDEX(项目档案!$B$6:$B$255,MATCH($C1493,项目档案!$A$6:$A$255,0)),"⚠项目编号不存在"))</f>
        <v/>
      </c>
      <c r="N1493" s="35" t="str">
        <f aca="false">IF($E1493="","",IF($E1493=IFERROR(INDEX(项目档案!$D$6:$D$255,MATCH($C1493,项目档案!$A$6:$A$255,0)),""),"一级",IF($E1493=IFERROR(INDEX(项目档案!$F$6:$F$255,MATCH($C1493,项目档案!$A$6:$A$255,0)),""),"二级",IF($E1493=IFERROR(INDEX(项目档案!$H$6:$H$255,MATCH($C1493,项目档案!$A$6:$A$255,0)),""),"我方","—"))))</f>
        <v/>
      </c>
      <c r="O1493" s="36" t="n">
        <f aca="false">IF($D1493&lt;&gt;"销项开票",0,ROUND(N($H1493)*N($I1493),2))</f>
        <v>0</v>
      </c>
      <c r="P1493" s="36" t="n">
        <f aca="false">IF($D1493&lt;&gt;"销项开票",0,ROUND(N($H1493)-$O1493,2))</f>
        <v>0</v>
      </c>
      <c r="Q1493" s="37" t="str">
        <f aca="false">IF($E1493="","",N(IFERROR(INDEX(单位档案!$E$6:$E$35,MATCH($E1493,单位档案!$A$6:$A$35,0)),"")))</f>
        <v/>
      </c>
      <c r="R1493" s="37" t="str">
        <f aca="false">IF($E1493="","",N(IFERROR(INDEX(单位档案!$F$6:$F$35,MATCH($E1493,单位档案!$A$6:$A$35,0)),"")))</f>
        <v/>
      </c>
      <c r="S1493" s="36" t="n">
        <f aca="false">IF(OR($D1493&lt;&gt;"销项开票",IFERROR(INDEX(单位档案!$G$6:$G$35,MATCH($E1493,单位档案!$A$6:$A$35,0)),"")&lt;&gt;"是",N($Q1493)=0),0,IF(IFERROR(INDEX(单位档案!$H$6:$H$35,MATCH($E1493,单位档案!$A$6:$A$35,0)),"")="税差法",ROUND(N($H1493)/(1+$Q1493)*$Q1493-IF(N($R1493)=0,0,$P1493/(1+$R1493)*$R1493),2),ROUND(N($H1493)/(1+$Q1493)*$Q1493,2)))</f>
        <v>0</v>
      </c>
      <c r="T1493" s="36" t="n">
        <f aca="false">ROUND($S1493*N(IFERROR(INDEX(单位档案!$J$6:$J$35,MATCH($E1493,单位档案!$A$6:$A$35,0)),"")),2)</f>
        <v>0</v>
      </c>
      <c r="U1493" s="36" t="n">
        <f aca="false">IF($D1493&lt;&gt;"销项开票",0,ROUND(N($H1493)*N(IFERROR(INDEX(单位档案!$K$6:$K$35,MATCH($E1493,单位档案!$A$6:$A$35,0)),"")),2))</f>
        <v>0</v>
      </c>
      <c r="V1493" s="36" t="n">
        <f aca="false">IF(OR($D1493&lt;&gt;"销项开票",N($Q1493)=0),0,ROUND(N($H1493)/(1+$Q1493)*N(IFERROR(INDEX(单位档案!$L$6:$L$35,MATCH($E1493,单位档案!$A$6:$A$35,0)),"")),2))</f>
        <v>0</v>
      </c>
      <c r="W1493" s="36" t="n">
        <f aca="false">ROUND($S1493+$T1493+$U1493+$V1493,2)</f>
        <v>0</v>
      </c>
      <c r="X1493" s="35" t="str">
        <f aca="false">IF(OR($D1493="挂靠代收",$D1493="我方收款"),COUNTIFS($D$5:$D1493,"挂靠代收")+COUNTIFS($D$5:$D1493,"我方收款"),"")</f>
        <v/>
      </c>
      <c r="Y1493" s="35"/>
      <c r="Z1493" s="21" t="s">
        <v>111</v>
      </c>
    </row>
    <row r="1494" customFormat="false" ht="15.75" hidden="false" customHeight="true" outlineLevel="0" collapsed="false">
      <c r="A1494" s="32" t="str">
        <f aca="false">IF($B1494="","",ROW()-4)</f>
        <v/>
      </c>
      <c r="B1494" s="26"/>
      <c r="C1494" s="24"/>
      <c r="D1494" s="21"/>
      <c r="E1494" s="21"/>
      <c r="F1494" s="21"/>
      <c r="G1494" s="21"/>
      <c r="H1494" s="27"/>
      <c r="I1494" s="23" t="str">
        <f aca="false">IF($D1494&lt;&gt;"销项开票","",IF($N1494="一级",IF(IFERROR(INDEX(项目档案!$E$6:$E$255,MATCH($C1494,项目档案!$A$6:$A$255,0)),"")="",N(IFERROR(INDEX(单位档案!$D$6:$D$35,MATCH($E1494,单位档案!$A$6:$A$35,0)),"")),IFERROR(INDEX(项目档案!$E$6:$E$255,MATCH($C1494,项目档案!$A$6:$A$255,0)),"")),IF($N1494="二级",IF(IFERROR(INDEX(项目档案!$G$6:$G$255,MATCH($C1494,项目档案!$A$6:$A$255,0)),"")="",N(IFERROR(INDEX(单位档案!$D$6:$D$35,MATCH($E1494,单位档案!$A$6:$A$35,0)),"")),IFERROR(INDEX(项目档案!$G$6:$G$255,MATCH($C1494,项目档案!$A$6:$A$255,0)),"")),N(IFERROR(INDEX(单位档案!$D$6:$D$35,MATCH($E1494,单位档案!$A$6:$A$35,0)),"")))))</f>
        <v/>
      </c>
      <c r="J1494" s="22"/>
      <c r="K1494" s="22"/>
      <c r="L1494" s="33" t="str">
        <f aca="false">IF($B1494="","",IF(NOT(ISNUMBER($B1494)),"日期格式不对",IF($C1494="","未选项目编号",IF(LEFT($M1494,1)="⚠","项目编号不存在",IF($D1494="","未选业务类型",IF($E1494="","未选开票/付款方",IF(ISNA(MATCH($E1494,单位档案!$A$6:$A$35,0)),"开票方不在单位档案",IF($F1494="","未选收票/收款方",IF(ISNA(MATCH($F1494,单位档案!$A$6:$A$35,0)),"收款方不在单位档案",IF(NOT(ISNUMBER($H1494)),"金额须为数字",IF(AND($D1494="销项开票",$N1494="—"),"链条待确认","√")))))))))))</f>
        <v/>
      </c>
      <c r="M1494" s="34" t="str">
        <f aca="false">IF($C1494="","",IFERROR(INDEX(项目档案!$B$6:$B$255,MATCH($C1494,项目档案!$A$6:$A$255,0)),"⚠项目编号不存在"))</f>
        <v/>
      </c>
      <c r="N1494" s="35" t="str">
        <f aca="false">IF($E1494="","",IF($E1494=IFERROR(INDEX(项目档案!$D$6:$D$255,MATCH($C1494,项目档案!$A$6:$A$255,0)),""),"一级",IF($E1494=IFERROR(INDEX(项目档案!$F$6:$F$255,MATCH($C1494,项目档案!$A$6:$A$255,0)),""),"二级",IF($E1494=IFERROR(INDEX(项目档案!$H$6:$H$255,MATCH($C1494,项目档案!$A$6:$A$255,0)),""),"我方","—"))))</f>
        <v/>
      </c>
      <c r="O1494" s="36" t="n">
        <f aca="false">IF($D1494&lt;&gt;"销项开票",0,ROUND(N($H1494)*N($I1494),2))</f>
        <v>0</v>
      </c>
      <c r="P1494" s="36" t="n">
        <f aca="false">IF($D1494&lt;&gt;"销项开票",0,ROUND(N($H1494)-$O1494,2))</f>
        <v>0</v>
      </c>
      <c r="Q1494" s="37" t="str">
        <f aca="false">IF($E1494="","",N(IFERROR(INDEX(单位档案!$E$6:$E$35,MATCH($E1494,单位档案!$A$6:$A$35,0)),"")))</f>
        <v/>
      </c>
      <c r="R1494" s="37" t="str">
        <f aca="false">IF($E1494="","",N(IFERROR(INDEX(单位档案!$F$6:$F$35,MATCH($E1494,单位档案!$A$6:$A$35,0)),"")))</f>
        <v/>
      </c>
      <c r="S1494" s="36" t="n">
        <f aca="false">IF(OR($D1494&lt;&gt;"销项开票",IFERROR(INDEX(单位档案!$G$6:$G$35,MATCH($E1494,单位档案!$A$6:$A$35,0)),"")&lt;&gt;"是",N($Q1494)=0),0,IF(IFERROR(INDEX(单位档案!$H$6:$H$35,MATCH($E1494,单位档案!$A$6:$A$35,0)),"")="税差法",ROUND(N($H1494)/(1+$Q1494)*$Q1494-IF(N($R1494)=0,0,$P1494/(1+$R1494)*$R1494),2),ROUND(N($H1494)/(1+$Q1494)*$Q1494,2)))</f>
        <v>0</v>
      </c>
      <c r="T1494" s="36" t="n">
        <f aca="false">ROUND($S1494*N(IFERROR(INDEX(单位档案!$J$6:$J$35,MATCH($E1494,单位档案!$A$6:$A$35,0)),"")),2)</f>
        <v>0</v>
      </c>
      <c r="U1494" s="36" t="n">
        <f aca="false">IF($D1494&lt;&gt;"销项开票",0,ROUND(N($H1494)*N(IFERROR(INDEX(单位档案!$K$6:$K$35,MATCH($E1494,单位档案!$A$6:$A$35,0)),"")),2))</f>
        <v>0</v>
      </c>
      <c r="V1494" s="36" t="n">
        <f aca="false">IF(OR($D1494&lt;&gt;"销项开票",N($Q1494)=0),0,ROUND(N($H1494)/(1+$Q1494)*N(IFERROR(INDEX(单位档案!$L$6:$L$35,MATCH($E1494,单位档案!$A$6:$A$35,0)),"")),2))</f>
        <v>0</v>
      </c>
      <c r="W1494" s="36" t="n">
        <f aca="false">ROUND($S1494+$T1494+$U1494+$V1494,2)</f>
        <v>0</v>
      </c>
      <c r="X1494" s="35" t="str">
        <f aca="false">IF(OR($D1494="挂靠代收",$D1494="我方收款"),COUNTIFS($D$5:$D1494,"挂靠代收")+COUNTIFS($D$5:$D1494,"我方收款"),"")</f>
        <v/>
      </c>
      <c r="Y1494" s="35"/>
      <c r="Z1494" s="21" t="s">
        <v>111</v>
      </c>
    </row>
    <row r="1495" customFormat="false" ht="15.75" hidden="false" customHeight="true" outlineLevel="0" collapsed="false">
      <c r="A1495" s="32" t="str">
        <f aca="false">IF($B1495="","",ROW()-4)</f>
        <v/>
      </c>
      <c r="B1495" s="26"/>
      <c r="C1495" s="24"/>
      <c r="D1495" s="21"/>
      <c r="E1495" s="21"/>
      <c r="F1495" s="21"/>
      <c r="G1495" s="21"/>
      <c r="H1495" s="27"/>
      <c r="I1495" s="23" t="str">
        <f aca="false">IF($D1495&lt;&gt;"销项开票","",IF($N1495="一级",IF(IFERROR(INDEX(项目档案!$E$6:$E$255,MATCH($C1495,项目档案!$A$6:$A$255,0)),"")="",N(IFERROR(INDEX(单位档案!$D$6:$D$35,MATCH($E1495,单位档案!$A$6:$A$35,0)),"")),IFERROR(INDEX(项目档案!$E$6:$E$255,MATCH($C1495,项目档案!$A$6:$A$255,0)),"")),IF($N1495="二级",IF(IFERROR(INDEX(项目档案!$G$6:$G$255,MATCH($C1495,项目档案!$A$6:$A$255,0)),"")="",N(IFERROR(INDEX(单位档案!$D$6:$D$35,MATCH($E1495,单位档案!$A$6:$A$35,0)),"")),IFERROR(INDEX(项目档案!$G$6:$G$255,MATCH($C1495,项目档案!$A$6:$A$255,0)),"")),N(IFERROR(INDEX(单位档案!$D$6:$D$35,MATCH($E1495,单位档案!$A$6:$A$35,0)),"")))))</f>
        <v/>
      </c>
      <c r="J1495" s="22"/>
      <c r="K1495" s="22"/>
      <c r="L1495" s="33" t="str">
        <f aca="false">IF($B1495="","",IF(NOT(ISNUMBER($B1495)),"日期格式不对",IF($C1495="","未选项目编号",IF(LEFT($M1495,1)="⚠","项目编号不存在",IF($D1495="","未选业务类型",IF($E1495="","未选开票/付款方",IF(ISNA(MATCH($E1495,单位档案!$A$6:$A$35,0)),"开票方不在单位档案",IF($F1495="","未选收票/收款方",IF(ISNA(MATCH($F1495,单位档案!$A$6:$A$35,0)),"收款方不在单位档案",IF(NOT(ISNUMBER($H1495)),"金额须为数字",IF(AND($D1495="销项开票",$N1495="—"),"链条待确认","√")))))))))))</f>
        <v/>
      </c>
      <c r="M1495" s="34" t="str">
        <f aca="false">IF($C1495="","",IFERROR(INDEX(项目档案!$B$6:$B$255,MATCH($C1495,项目档案!$A$6:$A$255,0)),"⚠项目编号不存在"))</f>
        <v/>
      </c>
      <c r="N1495" s="35" t="str">
        <f aca="false">IF($E1495="","",IF($E1495=IFERROR(INDEX(项目档案!$D$6:$D$255,MATCH($C1495,项目档案!$A$6:$A$255,0)),""),"一级",IF($E1495=IFERROR(INDEX(项目档案!$F$6:$F$255,MATCH($C1495,项目档案!$A$6:$A$255,0)),""),"二级",IF($E1495=IFERROR(INDEX(项目档案!$H$6:$H$255,MATCH($C1495,项目档案!$A$6:$A$255,0)),""),"我方","—"))))</f>
        <v/>
      </c>
      <c r="O1495" s="36" t="n">
        <f aca="false">IF($D1495&lt;&gt;"销项开票",0,ROUND(N($H1495)*N($I1495),2))</f>
        <v>0</v>
      </c>
      <c r="P1495" s="36" t="n">
        <f aca="false">IF($D1495&lt;&gt;"销项开票",0,ROUND(N($H1495)-$O1495,2))</f>
        <v>0</v>
      </c>
      <c r="Q1495" s="37" t="str">
        <f aca="false">IF($E1495="","",N(IFERROR(INDEX(单位档案!$E$6:$E$35,MATCH($E1495,单位档案!$A$6:$A$35,0)),"")))</f>
        <v/>
      </c>
      <c r="R1495" s="37" t="str">
        <f aca="false">IF($E1495="","",N(IFERROR(INDEX(单位档案!$F$6:$F$35,MATCH($E1495,单位档案!$A$6:$A$35,0)),"")))</f>
        <v/>
      </c>
      <c r="S1495" s="36" t="n">
        <f aca="false">IF(OR($D1495&lt;&gt;"销项开票",IFERROR(INDEX(单位档案!$G$6:$G$35,MATCH($E1495,单位档案!$A$6:$A$35,0)),"")&lt;&gt;"是",N($Q1495)=0),0,IF(IFERROR(INDEX(单位档案!$H$6:$H$35,MATCH($E1495,单位档案!$A$6:$A$35,0)),"")="税差法",ROUND(N($H1495)/(1+$Q1495)*$Q1495-IF(N($R1495)=0,0,$P1495/(1+$R1495)*$R1495),2),ROUND(N($H1495)/(1+$Q1495)*$Q1495,2)))</f>
        <v>0</v>
      </c>
      <c r="T1495" s="36" t="n">
        <f aca="false">ROUND($S1495*N(IFERROR(INDEX(单位档案!$J$6:$J$35,MATCH($E1495,单位档案!$A$6:$A$35,0)),"")),2)</f>
        <v>0</v>
      </c>
      <c r="U1495" s="36" t="n">
        <f aca="false">IF($D1495&lt;&gt;"销项开票",0,ROUND(N($H1495)*N(IFERROR(INDEX(单位档案!$K$6:$K$35,MATCH($E1495,单位档案!$A$6:$A$35,0)),"")),2))</f>
        <v>0</v>
      </c>
      <c r="V1495" s="36" t="n">
        <f aca="false">IF(OR($D1495&lt;&gt;"销项开票",N($Q1495)=0),0,ROUND(N($H1495)/(1+$Q1495)*N(IFERROR(INDEX(单位档案!$L$6:$L$35,MATCH($E1495,单位档案!$A$6:$A$35,0)),"")),2))</f>
        <v>0</v>
      </c>
      <c r="W1495" s="36" t="n">
        <f aca="false">ROUND($S1495+$T1495+$U1495+$V1495,2)</f>
        <v>0</v>
      </c>
      <c r="X1495" s="35" t="str">
        <f aca="false">IF(OR($D1495="挂靠代收",$D1495="我方收款"),COUNTIFS($D$5:$D1495,"挂靠代收")+COUNTIFS($D$5:$D1495,"我方收款"),"")</f>
        <v/>
      </c>
      <c r="Y1495" s="35"/>
      <c r="Z1495" s="21" t="s">
        <v>111</v>
      </c>
    </row>
    <row r="1496" customFormat="false" ht="15.75" hidden="false" customHeight="true" outlineLevel="0" collapsed="false">
      <c r="A1496" s="32" t="str">
        <f aca="false">IF($B1496="","",ROW()-4)</f>
        <v/>
      </c>
      <c r="B1496" s="26"/>
      <c r="C1496" s="24"/>
      <c r="D1496" s="21"/>
      <c r="E1496" s="21"/>
      <c r="F1496" s="21"/>
      <c r="G1496" s="21"/>
      <c r="H1496" s="27"/>
      <c r="I1496" s="23" t="str">
        <f aca="false">IF($D1496&lt;&gt;"销项开票","",IF($N1496="一级",IF(IFERROR(INDEX(项目档案!$E$6:$E$255,MATCH($C1496,项目档案!$A$6:$A$255,0)),"")="",N(IFERROR(INDEX(单位档案!$D$6:$D$35,MATCH($E1496,单位档案!$A$6:$A$35,0)),"")),IFERROR(INDEX(项目档案!$E$6:$E$255,MATCH($C1496,项目档案!$A$6:$A$255,0)),"")),IF($N1496="二级",IF(IFERROR(INDEX(项目档案!$G$6:$G$255,MATCH($C1496,项目档案!$A$6:$A$255,0)),"")="",N(IFERROR(INDEX(单位档案!$D$6:$D$35,MATCH($E1496,单位档案!$A$6:$A$35,0)),"")),IFERROR(INDEX(项目档案!$G$6:$G$255,MATCH($C1496,项目档案!$A$6:$A$255,0)),"")),N(IFERROR(INDEX(单位档案!$D$6:$D$35,MATCH($E1496,单位档案!$A$6:$A$35,0)),"")))))</f>
        <v/>
      </c>
      <c r="J1496" s="22"/>
      <c r="K1496" s="22"/>
      <c r="L1496" s="33" t="str">
        <f aca="false">IF($B1496="","",IF(NOT(ISNUMBER($B1496)),"日期格式不对",IF($C1496="","未选项目编号",IF(LEFT($M1496,1)="⚠","项目编号不存在",IF($D1496="","未选业务类型",IF($E1496="","未选开票/付款方",IF(ISNA(MATCH($E1496,单位档案!$A$6:$A$35,0)),"开票方不在单位档案",IF($F1496="","未选收票/收款方",IF(ISNA(MATCH($F1496,单位档案!$A$6:$A$35,0)),"收款方不在单位档案",IF(NOT(ISNUMBER($H1496)),"金额须为数字",IF(AND($D1496="销项开票",$N1496="—"),"链条待确认","√")))))))))))</f>
        <v/>
      </c>
      <c r="M1496" s="34" t="str">
        <f aca="false">IF($C1496="","",IFERROR(INDEX(项目档案!$B$6:$B$255,MATCH($C1496,项目档案!$A$6:$A$255,0)),"⚠项目编号不存在"))</f>
        <v/>
      </c>
      <c r="N1496" s="35" t="str">
        <f aca="false">IF($E1496="","",IF($E1496=IFERROR(INDEX(项目档案!$D$6:$D$255,MATCH($C1496,项目档案!$A$6:$A$255,0)),""),"一级",IF($E1496=IFERROR(INDEX(项目档案!$F$6:$F$255,MATCH($C1496,项目档案!$A$6:$A$255,0)),""),"二级",IF($E1496=IFERROR(INDEX(项目档案!$H$6:$H$255,MATCH($C1496,项目档案!$A$6:$A$255,0)),""),"我方","—"))))</f>
        <v/>
      </c>
      <c r="O1496" s="36" t="n">
        <f aca="false">IF($D1496&lt;&gt;"销项开票",0,ROUND(N($H1496)*N($I1496),2))</f>
        <v>0</v>
      </c>
      <c r="P1496" s="36" t="n">
        <f aca="false">IF($D1496&lt;&gt;"销项开票",0,ROUND(N($H1496)-$O1496,2))</f>
        <v>0</v>
      </c>
      <c r="Q1496" s="37" t="str">
        <f aca="false">IF($E1496="","",N(IFERROR(INDEX(单位档案!$E$6:$E$35,MATCH($E1496,单位档案!$A$6:$A$35,0)),"")))</f>
        <v/>
      </c>
      <c r="R1496" s="37" t="str">
        <f aca="false">IF($E1496="","",N(IFERROR(INDEX(单位档案!$F$6:$F$35,MATCH($E1496,单位档案!$A$6:$A$35,0)),"")))</f>
        <v/>
      </c>
      <c r="S1496" s="36" t="n">
        <f aca="false">IF(OR($D1496&lt;&gt;"销项开票",IFERROR(INDEX(单位档案!$G$6:$G$35,MATCH($E1496,单位档案!$A$6:$A$35,0)),"")&lt;&gt;"是",N($Q1496)=0),0,IF(IFERROR(INDEX(单位档案!$H$6:$H$35,MATCH($E1496,单位档案!$A$6:$A$35,0)),"")="税差法",ROUND(N($H1496)/(1+$Q1496)*$Q1496-IF(N($R1496)=0,0,$P1496/(1+$R1496)*$R1496),2),ROUND(N($H1496)/(1+$Q1496)*$Q1496,2)))</f>
        <v>0</v>
      </c>
      <c r="T1496" s="36" t="n">
        <f aca="false">ROUND($S1496*N(IFERROR(INDEX(单位档案!$J$6:$J$35,MATCH($E1496,单位档案!$A$6:$A$35,0)),"")),2)</f>
        <v>0</v>
      </c>
      <c r="U1496" s="36" t="n">
        <f aca="false">IF($D1496&lt;&gt;"销项开票",0,ROUND(N($H1496)*N(IFERROR(INDEX(单位档案!$K$6:$K$35,MATCH($E1496,单位档案!$A$6:$A$35,0)),"")),2))</f>
        <v>0</v>
      </c>
      <c r="V1496" s="36" t="n">
        <f aca="false">IF(OR($D1496&lt;&gt;"销项开票",N($Q1496)=0),0,ROUND(N($H1496)/(1+$Q1496)*N(IFERROR(INDEX(单位档案!$L$6:$L$35,MATCH($E1496,单位档案!$A$6:$A$35,0)),"")),2))</f>
        <v>0</v>
      </c>
      <c r="W1496" s="36" t="n">
        <f aca="false">ROUND($S1496+$T1496+$U1496+$V1496,2)</f>
        <v>0</v>
      </c>
      <c r="X1496" s="35" t="str">
        <f aca="false">IF(OR($D1496="挂靠代收",$D1496="我方收款"),COUNTIFS($D$5:$D1496,"挂靠代收")+COUNTIFS($D$5:$D1496,"我方收款"),"")</f>
        <v/>
      </c>
      <c r="Y1496" s="35"/>
      <c r="Z1496" s="21" t="s">
        <v>111</v>
      </c>
    </row>
    <row r="1497" customFormat="false" ht="15.75" hidden="false" customHeight="true" outlineLevel="0" collapsed="false">
      <c r="A1497" s="32" t="str">
        <f aca="false">IF($B1497="","",ROW()-4)</f>
        <v/>
      </c>
      <c r="B1497" s="26"/>
      <c r="C1497" s="24"/>
      <c r="D1497" s="21"/>
      <c r="E1497" s="21"/>
      <c r="F1497" s="21"/>
      <c r="G1497" s="21"/>
      <c r="H1497" s="27"/>
      <c r="I1497" s="23" t="str">
        <f aca="false">IF($D1497&lt;&gt;"销项开票","",IF($N1497="一级",IF(IFERROR(INDEX(项目档案!$E$6:$E$255,MATCH($C1497,项目档案!$A$6:$A$255,0)),"")="",N(IFERROR(INDEX(单位档案!$D$6:$D$35,MATCH($E1497,单位档案!$A$6:$A$35,0)),"")),IFERROR(INDEX(项目档案!$E$6:$E$255,MATCH($C1497,项目档案!$A$6:$A$255,0)),"")),IF($N1497="二级",IF(IFERROR(INDEX(项目档案!$G$6:$G$255,MATCH($C1497,项目档案!$A$6:$A$255,0)),"")="",N(IFERROR(INDEX(单位档案!$D$6:$D$35,MATCH($E1497,单位档案!$A$6:$A$35,0)),"")),IFERROR(INDEX(项目档案!$G$6:$G$255,MATCH($C1497,项目档案!$A$6:$A$255,0)),"")),N(IFERROR(INDEX(单位档案!$D$6:$D$35,MATCH($E1497,单位档案!$A$6:$A$35,0)),"")))))</f>
        <v/>
      </c>
      <c r="J1497" s="22"/>
      <c r="K1497" s="22"/>
      <c r="L1497" s="33" t="str">
        <f aca="false">IF($B1497="","",IF(NOT(ISNUMBER($B1497)),"日期格式不对",IF($C1497="","未选项目编号",IF(LEFT($M1497,1)="⚠","项目编号不存在",IF($D1497="","未选业务类型",IF($E1497="","未选开票/付款方",IF(ISNA(MATCH($E1497,单位档案!$A$6:$A$35,0)),"开票方不在单位档案",IF($F1497="","未选收票/收款方",IF(ISNA(MATCH($F1497,单位档案!$A$6:$A$35,0)),"收款方不在单位档案",IF(NOT(ISNUMBER($H1497)),"金额须为数字",IF(AND($D1497="销项开票",$N1497="—"),"链条待确认","√")))))))))))</f>
        <v/>
      </c>
      <c r="M1497" s="34" t="str">
        <f aca="false">IF($C1497="","",IFERROR(INDEX(项目档案!$B$6:$B$255,MATCH($C1497,项目档案!$A$6:$A$255,0)),"⚠项目编号不存在"))</f>
        <v/>
      </c>
      <c r="N1497" s="35" t="str">
        <f aca="false">IF($E1497="","",IF($E1497=IFERROR(INDEX(项目档案!$D$6:$D$255,MATCH($C1497,项目档案!$A$6:$A$255,0)),""),"一级",IF($E1497=IFERROR(INDEX(项目档案!$F$6:$F$255,MATCH($C1497,项目档案!$A$6:$A$255,0)),""),"二级",IF($E1497=IFERROR(INDEX(项目档案!$H$6:$H$255,MATCH($C1497,项目档案!$A$6:$A$255,0)),""),"我方","—"))))</f>
        <v/>
      </c>
      <c r="O1497" s="36" t="n">
        <f aca="false">IF($D1497&lt;&gt;"销项开票",0,ROUND(N($H1497)*N($I1497),2))</f>
        <v>0</v>
      </c>
      <c r="P1497" s="36" t="n">
        <f aca="false">IF($D1497&lt;&gt;"销项开票",0,ROUND(N($H1497)-$O1497,2))</f>
        <v>0</v>
      </c>
      <c r="Q1497" s="37" t="str">
        <f aca="false">IF($E1497="","",N(IFERROR(INDEX(单位档案!$E$6:$E$35,MATCH($E1497,单位档案!$A$6:$A$35,0)),"")))</f>
        <v/>
      </c>
      <c r="R1497" s="37" t="str">
        <f aca="false">IF($E1497="","",N(IFERROR(INDEX(单位档案!$F$6:$F$35,MATCH($E1497,单位档案!$A$6:$A$35,0)),"")))</f>
        <v/>
      </c>
      <c r="S1497" s="36" t="n">
        <f aca="false">IF(OR($D1497&lt;&gt;"销项开票",IFERROR(INDEX(单位档案!$G$6:$G$35,MATCH($E1497,单位档案!$A$6:$A$35,0)),"")&lt;&gt;"是",N($Q1497)=0),0,IF(IFERROR(INDEX(单位档案!$H$6:$H$35,MATCH($E1497,单位档案!$A$6:$A$35,0)),"")="税差法",ROUND(N($H1497)/(1+$Q1497)*$Q1497-IF(N($R1497)=0,0,$P1497/(1+$R1497)*$R1497),2),ROUND(N($H1497)/(1+$Q1497)*$Q1497,2)))</f>
        <v>0</v>
      </c>
      <c r="T1497" s="36" t="n">
        <f aca="false">ROUND($S1497*N(IFERROR(INDEX(单位档案!$J$6:$J$35,MATCH($E1497,单位档案!$A$6:$A$35,0)),"")),2)</f>
        <v>0</v>
      </c>
      <c r="U1497" s="36" t="n">
        <f aca="false">IF($D1497&lt;&gt;"销项开票",0,ROUND(N($H1497)*N(IFERROR(INDEX(单位档案!$K$6:$K$35,MATCH($E1497,单位档案!$A$6:$A$35,0)),"")),2))</f>
        <v>0</v>
      </c>
      <c r="V1497" s="36" t="n">
        <f aca="false">IF(OR($D1497&lt;&gt;"销项开票",N($Q1497)=0),0,ROUND(N($H1497)/(1+$Q1497)*N(IFERROR(INDEX(单位档案!$L$6:$L$35,MATCH($E1497,单位档案!$A$6:$A$35,0)),"")),2))</f>
        <v>0</v>
      </c>
      <c r="W1497" s="36" t="n">
        <f aca="false">ROUND($S1497+$T1497+$U1497+$V1497,2)</f>
        <v>0</v>
      </c>
      <c r="X1497" s="35" t="str">
        <f aca="false">IF(OR($D1497="挂靠代收",$D1497="我方收款"),COUNTIFS($D$5:$D1497,"挂靠代收")+COUNTIFS($D$5:$D1497,"我方收款"),"")</f>
        <v/>
      </c>
      <c r="Y1497" s="35"/>
      <c r="Z1497" s="21" t="s">
        <v>111</v>
      </c>
    </row>
    <row r="1498" customFormat="false" ht="15.75" hidden="false" customHeight="true" outlineLevel="0" collapsed="false">
      <c r="A1498" s="32" t="str">
        <f aca="false">IF($B1498="","",ROW()-4)</f>
        <v/>
      </c>
      <c r="B1498" s="26"/>
      <c r="C1498" s="24"/>
      <c r="D1498" s="21"/>
      <c r="E1498" s="21"/>
      <c r="F1498" s="21"/>
      <c r="G1498" s="21"/>
      <c r="H1498" s="27"/>
      <c r="I1498" s="23" t="str">
        <f aca="false">IF($D1498&lt;&gt;"销项开票","",IF($N1498="一级",IF(IFERROR(INDEX(项目档案!$E$6:$E$255,MATCH($C1498,项目档案!$A$6:$A$255,0)),"")="",N(IFERROR(INDEX(单位档案!$D$6:$D$35,MATCH($E1498,单位档案!$A$6:$A$35,0)),"")),IFERROR(INDEX(项目档案!$E$6:$E$255,MATCH($C1498,项目档案!$A$6:$A$255,0)),"")),IF($N1498="二级",IF(IFERROR(INDEX(项目档案!$G$6:$G$255,MATCH($C1498,项目档案!$A$6:$A$255,0)),"")="",N(IFERROR(INDEX(单位档案!$D$6:$D$35,MATCH($E1498,单位档案!$A$6:$A$35,0)),"")),IFERROR(INDEX(项目档案!$G$6:$G$255,MATCH($C1498,项目档案!$A$6:$A$255,0)),"")),N(IFERROR(INDEX(单位档案!$D$6:$D$35,MATCH($E1498,单位档案!$A$6:$A$35,0)),"")))))</f>
        <v/>
      </c>
      <c r="J1498" s="22"/>
      <c r="K1498" s="22"/>
      <c r="L1498" s="33" t="str">
        <f aca="false">IF($B1498="","",IF(NOT(ISNUMBER($B1498)),"日期格式不对",IF($C1498="","未选项目编号",IF(LEFT($M1498,1)="⚠","项目编号不存在",IF($D1498="","未选业务类型",IF($E1498="","未选开票/付款方",IF(ISNA(MATCH($E1498,单位档案!$A$6:$A$35,0)),"开票方不在单位档案",IF($F1498="","未选收票/收款方",IF(ISNA(MATCH($F1498,单位档案!$A$6:$A$35,0)),"收款方不在单位档案",IF(NOT(ISNUMBER($H1498)),"金额须为数字",IF(AND($D1498="销项开票",$N1498="—"),"链条待确认","√")))))))))))</f>
        <v/>
      </c>
      <c r="M1498" s="34" t="str">
        <f aca="false">IF($C1498="","",IFERROR(INDEX(项目档案!$B$6:$B$255,MATCH($C1498,项目档案!$A$6:$A$255,0)),"⚠项目编号不存在"))</f>
        <v/>
      </c>
      <c r="N1498" s="35" t="str">
        <f aca="false">IF($E1498="","",IF($E1498=IFERROR(INDEX(项目档案!$D$6:$D$255,MATCH($C1498,项目档案!$A$6:$A$255,0)),""),"一级",IF($E1498=IFERROR(INDEX(项目档案!$F$6:$F$255,MATCH($C1498,项目档案!$A$6:$A$255,0)),""),"二级",IF($E1498=IFERROR(INDEX(项目档案!$H$6:$H$255,MATCH($C1498,项目档案!$A$6:$A$255,0)),""),"我方","—"))))</f>
        <v/>
      </c>
      <c r="O1498" s="36" t="n">
        <f aca="false">IF($D1498&lt;&gt;"销项开票",0,ROUND(N($H1498)*N($I1498),2))</f>
        <v>0</v>
      </c>
      <c r="P1498" s="36" t="n">
        <f aca="false">IF($D1498&lt;&gt;"销项开票",0,ROUND(N($H1498)-$O1498,2))</f>
        <v>0</v>
      </c>
      <c r="Q1498" s="37" t="str">
        <f aca="false">IF($E1498="","",N(IFERROR(INDEX(单位档案!$E$6:$E$35,MATCH($E1498,单位档案!$A$6:$A$35,0)),"")))</f>
        <v/>
      </c>
      <c r="R1498" s="37" t="str">
        <f aca="false">IF($E1498="","",N(IFERROR(INDEX(单位档案!$F$6:$F$35,MATCH($E1498,单位档案!$A$6:$A$35,0)),"")))</f>
        <v/>
      </c>
      <c r="S1498" s="36" t="n">
        <f aca="false">IF(OR($D1498&lt;&gt;"销项开票",IFERROR(INDEX(单位档案!$G$6:$G$35,MATCH($E1498,单位档案!$A$6:$A$35,0)),"")&lt;&gt;"是",N($Q1498)=0),0,IF(IFERROR(INDEX(单位档案!$H$6:$H$35,MATCH($E1498,单位档案!$A$6:$A$35,0)),"")="税差法",ROUND(N($H1498)/(1+$Q1498)*$Q1498-IF(N($R1498)=0,0,$P1498/(1+$R1498)*$R1498),2),ROUND(N($H1498)/(1+$Q1498)*$Q1498,2)))</f>
        <v>0</v>
      </c>
      <c r="T1498" s="36" t="n">
        <f aca="false">ROUND($S1498*N(IFERROR(INDEX(单位档案!$J$6:$J$35,MATCH($E1498,单位档案!$A$6:$A$35,0)),"")),2)</f>
        <v>0</v>
      </c>
      <c r="U1498" s="36" t="n">
        <f aca="false">IF($D1498&lt;&gt;"销项开票",0,ROUND(N($H1498)*N(IFERROR(INDEX(单位档案!$K$6:$K$35,MATCH($E1498,单位档案!$A$6:$A$35,0)),"")),2))</f>
        <v>0</v>
      </c>
      <c r="V1498" s="36" t="n">
        <f aca="false">IF(OR($D1498&lt;&gt;"销项开票",N($Q1498)=0),0,ROUND(N($H1498)/(1+$Q1498)*N(IFERROR(INDEX(单位档案!$L$6:$L$35,MATCH($E1498,单位档案!$A$6:$A$35,0)),"")),2))</f>
        <v>0</v>
      </c>
      <c r="W1498" s="36" t="n">
        <f aca="false">ROUND($S1498+$T1498+$U1498+$V1498,2)</f>
        <v>0</v>
      </c>
      <c r="X1498" s="35" t="str">
        <f aca="false">IF(OR($D1498="挂靠代收",$D1498="我方收款"),COUNTIFS($D$5:$D1498,"挂靠代收")+COUNTIFS($D$5:$D1498,"我方收款"),"")</f>
        <v/>
      </c>
      <c r="Y1498" s="35"/>
      <c r="Z1498" s="21" t="s">
        <v>111</v>
      </c>
    </row>
    <row r="1499" customFormat="false" ht="15.75" hidden="false" customHeight="true" outlineLevel="0" collapsed="false">
      <c r="A1499" s="32" t="str">
        <f aca="false">IF($B1499="","",ROW()-4)</f>
        <v/>
      </c>
      <c r="B1499" s="26"/>
      <c r="C1499" s="24"/>
      <c r="D1499" s="21"/>
      <c r="E1499" s="21"/>
      <c r="F1499" s="21"/>
      <c r="G1499" s="21"/>
      <c r="H1499" s="27"/>
      <c r="I1499" s="23" t="str">
        <f aca="false">IF($D1499&lt;&gt;"销项开票","",IF($N1499="一级",IF(IFERROR(INDEX(项目档案!$E$6:$E$255,MATCH($C1499,项目档案!$A$6:$A$255,0)),"")="",N(IFERROR(INDEX(单位档案!$D$6:$D$35,MATCH($E1499,单位档案!$A$6:$A$35,0)),"")),IFERROR(INDEX(项目档案!$E$6:$E$255,MATCH($C1499,项目档案!$A$6:$A$255,0)),"")),IF($N1499="二级",IF(IFERROR(INDEX(项目档案!$G$6:$G$255,MATCH($C1499,项目档案!$A$6:$A$255,0)),"")="",N(IFERROR(INDEX(单位档案!$D$6:$D$35,MATCH($E1499,单位档案!$A$6:$A$35,0)),"")),IFERROR(INDEX(项目档案!$G$6:$G$255,MATCH($C1499,项目档案!$A$6:$A$255,0)),"")),N(IFERROR(INDEX(单位档案!$D$6:$D$35,MATCH($E1499,单位档案!$A$6:$A$35,0)),"")))))</f>
        <v/>
      </c>
      <c r="J1499" s="22"/>
      <c r="K1499" s="22"/>
      <c r="L1499" s="33" t="str">
        <f aca="false">IF($B1499="","",IF(NOT(ISNUMBER($B1499)),"日期格式不对",IF($C1499="","未选项目编号",IF(LEFT($M1499,1)="⚠","项目编号不存在",IF($D1499="","未选业务类型",IF($E1499="","未选开票/付款方",IF(ISNA(MATCH($E1499,单位档案!$A$6:$A$35,0)),"开票方不在单位档案",IF($F1499="","未选收票/收款方",IF(ISNA(MATCH($F1499,单位档案!$A$6:$A$35,0)),"收款方不在单位档案",IF(NOT(ISNUMBER($H1499)),"金额须为数字",IF(AND($D1499="销项开票",$N1499="—"),"链条待确认","√")))))))))))</f>
        <v/>
      </c>
      <c r="M1499" s="34" t="str">
        <f aca="false">IF($C1499="","",IFERROR(INDEX(项目档案!$B$6:$B$255,MATCH($C1499,项目档案!$A$6:$A$255,0)),"⚠项目编号不存在"))</f>
        <v/>
      </c>
      <c r="N1499" s="35" t="str">
        <f aca="false">IF($E1499="","",IF($E1499=IFERROR(INDEX(项目档案!$D$6:$D$255,MATCH($C1499,项目档案!$A$6:$A$255,0)),""),"一级",IF($E1499=IFERROR(INDEX(项目档案!$F$6:$F$255,MATCH($C1499,项目档案!$A$6:$A$255,0)),""),"二级",IF($E1499=IFERROR(INDEX(项目档案!$H$6:$H$255,MATCH($C1499,项目档案!$A$6:$A$255,0)),""),"我方","—"))))</f>
        <v/>
      </c>
      <c r="O1499" s="36" t="n">
        <f aca="false">IF($D1499&lt;&gt;"销项开票",0,ROUND(N($H1499)*N($I1499),2))</f>
        <v>0</v>
      </c>
      <c r="P1499" s="36" t="n">
        <f aca="false">IF($D1499&lt;&gt;"销项开票",0,ROUND(N($H1499)-$O1499,2))</f>
        <v>0</v>
      </c>
      <c r="Q1499" s="37" t="str">
        <f aca="false">IF($E1499="","",N(IFERROR(INDEX(单位档案!$E$6:$E$35,MATCH($E1499,单位档案!$A$6:$A$35,0)),"")))</f>
        <v/>
      </c>
      <c r="R1499" s="37" t="str">
        <f aca="false">IF($E1499="","",N(IFERROR(INDEX(单位档案!$F$6:$F$35,MATCH($E1499,单位档案!$A$6:$A$35,0)),"")))</f>
        <v/>
      </c>
      <c r="S1499" s="36" t="n">
        <f aca="false">IF(OR($D1499&lt;&gt;"销项开票",IFERROR(INDEX(单位档案!$G$6:$G$35,MATCH($E1499,单位档案!$A$6:$A$35,0)),"")&lt;&gt;"是",N($Q1499)=0),0,IF(IFERROR(INDEX(单位档案!$H$6:$H$35,MATCH($E1499,单位档案!$A$6:$A$35,0)),"")="税差法",ROUND(N($H1499)/(1+$Q1499)*$Q1499-IF(N($R1499)=0,0,$P1499/(1+$R1499)*$R1499),2),ROUND(N($H1499)/(1+$Q1499)*$Q1499,2)))</f>
        <v>0</v>
      </c>
      <c r="T1499" s="36" t="n">
        <f aca="false">ROUND($S1499*N(IFERROR(INDEX(单位档案!$J$6:$J$35,MATCH($E1499,单位档案!$A$6:$A$35,0)),"")),2)</f>
        <v>0</v>
      </c>
      <c r="U1499" s="36" t="n">
        <f aca="false">IF($D1499&lt;&gt;"销项开票",0,ROUND(N($H1499)*N(IFERROR(INDEX(单位档案!$K$6:$K$35,MATCH($E1499,单位档案!$A$6:$A$35,0)),"")),2))</f>
        <v>0</v>
      </c>
      <c r="V1499" s="36" t="n">
        <f aca="false">IF(OR($D1499&lt;&gt;"销项开票",N($Q1499)=0),0,ROUND(N($H1499)/(1+$Q1499)*N(IFERROR(INDEX(单位档案!$L$6:$L$35,MATCH($E1499,单位档案!$A$6:$A$35,0)),"")),2))</f>
        <v>0</v>
      </c>
      <c r="W1499" s="36" t="n">
        <f aca="false">ROUND($S1499+$T1499+$U1499+$V1499,2)</f>
        <v>0</v>
      </c>
      <c r="X1499" s="35" t="str">
        <f aca="false">IF(OR($D1499="挂靠代收",$D1499="我方收款"),COUNTIFS($D$5:$D1499,"挂靠代收")+COUNTIFS($D$5:$D1499,"我方收款"),"")</f>
        <v/>
      </c>
      <c r="Y1499" s="35"/>
      <c r="Z1499" s="21" t="s">
        <v>111</v>
      </c>
    </row>
    <row r="1500" customFormat="false" ht="15.75" hidden="false" customHeight="true" outlineLevel="0" collapsed="false">
      <c r="A1500" s="32" t="str">
        <f aca="false">IF($B1500="","",ROW()-4)</f>
        <v/>
      </c>
      <c r="B1500" s="26"/>
      <c r="C1500" s="24"/>
      <c r="D1500" s="21"/>
      <c r="E1500" s="21"/>
      <c r="F1500" s="21"/>
      <c r="G1500" s="21"/>
      <c r="H1500" s="27"/>
      <c r="I1500" s="23" t="str">
        <f aca="false">IF($D1500&lt;&gt;"销项开票","",IF($N1500="一级",IF(IFERROR(INDEX(项目档案!$E$6:$E$255,MATCH($C1500,项目档案!$A$6:$A$255,0)),"")="",N(IFERROR(INDEX(单位档案!$D$6:$D$35,MATCH($E1500,单位档案!$A$6:$A$35,0)),"")),IFERROR(INDEX(项目档案!$E$6:$E$255,MATCH($C1500,项目档案!$A$6:$A$255,0)),"")),IF($N1500="二级",IF(IFERROR(INDEX(项目档案!$G$6:$G$255,MATCH($C1500,项目档案!$A$6:$A$255,0)),"")="",N(IFERROR(INDEX(单位档案!$D$6:$D$35,MATCH($E1500,单位档案!$A$6:$A$35,0)),"")),IFERROR(INDEX(项目档案!$G$6:$G$255,MATCH($C1500,项目档案!$A$6:$A$255,0)),"")),N(IFERROR(INDEX(单位档案!$D$6:$D$35,MATCH($E1500,单位档案!$A$6:$A$35,0)),"")))))</f>
        <v/>
      </c>
      <c r="J1500" s="22"/>
      <c r="K1500" s="22"/>
      <c r="L1500" s="33" t="str">
        <f aca="false">IF($B1500="","",IF(NOT(ISNUMBER($B1500)),"日期格式不对",IF($C1500="","未选项目编号",IF(LEFT($M1500,1)="⚠","项目编号不存在",IF($D1500="","未选业务类型",IF($E1500="","未选开票/付款方",IF(ISNA(MATCH($E1500,单位档案!$A$6:$A$35,0)),"开票方不在单位档案",IF($F1500="","未选收票/收款方",IF(ISNA(MATCH($F1500,单位档案!$A$6:$A$35,0)),"收款方不在单位档案",IF(NOT(ISNUMBER($H1500)),"金额须为数字",IF(AND($D1500="销项开票",$N1500="—"),"链条待确认","√")))))))))))</f>
        <v/>
      </c>
      <c r="M1500" s="34" t="str">
        <f aca="false">IF($C1500="","",IFERROR(INDEX(项目档案!$B$6:$B$255,MATCH($C1500,项目档案!$A$6:$A$255,0)),"⚠项目编号不存在"))</f>
        <v/>
      </c>
      <c r="N1500" s="35" t="str">
        <f aca="false">IF($E1500="","",IF($E1500=IFERROR(INDEX(项目档案!$D$6:$D$255,MATCH($C1500,项目档案!$A$6:$A$255,0)),""),"一级",IF($E1500=IFERROR(INDEX(项目档案!$F$6:$F$255,MATCH($C1500,项目档案!$A$6:$A$255,0)),""),"二级",IF($E1500=IFERROR(INDEX(项目档案!$H$6:$H$255,MATCH($C1500,项目档案!$A$6:$A$255,0)),""),"我方","—"))))</f>
        <v/>
      </c>
      <c r="O1500" s="36" t="n">
        <f aca="false">IF($D1500&lt;&gt;"销项开票",0,ROUND(N($H1500)*N($I1500),2))</f>
        <v>0</v>
      </c>
      <c r="P1500" s="36" t="n">
        <f aca="false">IF($D1500&lt;&gt;"销项开票",0,ROUND(N($H1500)-$O1500,2))</f>
        <v>0</v>
      </c>
      <c r="Q1500" s="37" t="str">
        <f aca="false">IF($E1500="","",N(IFERROR(INDEX(单位档案!$E$6:$E$35,MATCH($E1500,单位档案!$A$6:$A$35,0)),"")))</f>
        <v/>
      </c>
      <c r="R1500" s="37" t="str">
        <f aca="false">IF($E1500="","",N(IFERROR(INDEX(单位档案!$F$6:$F$35,MATCH($E1500,单位档案!$A$6:$A$35,0)),"")))</f>
        <v/>
      </c>
      <c r="S1500" s="36" t="n">
        <f aca="false">IF(OR($D1500&lt;&gt;"销项开票",IFERROR(INDEX(单位档案!$G$6:$G$35,MATCH($E1500,单位档案!$A$6:$A$35,0)),"")&lt;&gt;"是",N($Q1500)=0),0,IF(IFERROR(INDEX(单位档案!$H$6:$H$35,MATCH($E1500,单位档案!$A$6:$A$35,0)),"")="税差法",ROUND(N($H1500)/(1+$Q1500)*$Q1500-IF(N($R1500)=0,0,$P1500/(1+$R1500)*$R1500),2),ROUND(N($H1500)/(1+$Q1500)*$Q1500,2)))</f>
        <v>0</v>
      </c>
      <c r="T1500" s="36" t="n">
        <f aca="false">ROUND($S1500*N(IFERROR(INDEX(单位档案!$J$6:$J$35,MATCH($E1500,单位档案!$A$6:$A$35,0)),"")),2)</f>
        <v>0</v>
      </c>
      <c r="U1500" s="36" t="n">
        <f aca="false">IF($D1500&lt;&gt;"销项开票",0,ROUND(N($H1500)*N(IFERROR(INDEX(单位档案!$K$6:$K$35,MATCH($E1500,单位档案!$A$6:$A$35,0)),"")),2))</f>
        <v>0</v>
      </c>
      <c r="V1500" s="36" t="n">
        <f aca="false">IF(OR($D1500&lt;&gt;"销项开票",N($Q1500)=0),0,ROUND(N($H1500)/(1+$Q1500)*N(IFERROR(INDEX(单位档案!$L$6:$L$35,MATCH($E1500,单位档案!$A$6:$A$35,0)),"")),2))</f>
        <v>0</v>
      </c>
      <c r="W1500" s="36" t="n">
        <f aca="false">ROUND($S1500+$T1500+$U1500+$V1500,2)</f>
        <v>0</v>
      </c>
      <c r="X1500" s="35" t="str">
        <f aca="false">IF(OR($D1500="挂靠代收",$D1500="我方收款"),COUNTIFS($D$5:$D1500,"挂靠代收")+COUNTIFS($D$5:$D1500,"我方收款"),"")</f>
        <v/>
      </c>
      <c r="Y1500" s="35"/>
      <c r="Z1500" s="21" t="s">
        <v>111</v>
      </c>
    </row>
    <row r="1501" customFormat="false" ht="15.75" hidden="false" customHeight="true" outlineLevel="0" collapsed="false">
      <c r="A1501" s="32" t="str">
        <f aca="false">IF($B1501="","",ROW()-4)</f>
        <v/>
      </c>
      <c r="B1501" s="26"/>
      <c r="C1501" s="24"/>
      <c r="D1501" s="21"/>
      <c r="E1501" s="21"/>
      <c r="F1501" s="21"/>
      <c r="G1501" s="21"/>
      <c r="H1501" s="27"/>
      <c r="I1501" s="23" t="str">
        <f aca="false">IF($D1501&lt;&gt;"销项开票","",IF($N1501="一级",IF(IFERROR(INDEX(项目档案!$E$6:$E$255,MATCH($C1501,项目档案!$A$6:$A$255,0)),"")="",N(IFERROR(INDEX(单位档案!$D$6:$D$35,MATCH($E1501,单位档案!$A$6:$A$35,0)),"")),IFERROR(INDEX(项目档案!$E$6:$E$255,MATCH($C1501,项目档案!$A$6:$A$255,0)),"")),IF($N1501="二级",IF(IFERROR(INDEX(项目档案!$G$6:$G$255,MATCH($C1501,项目档案!$A$6:$A$255,0)),"")="",N(IFERROR(INDEX(单位档案!$D$6:$D$35,MATCH($E1501,单位档案!$A$6:$A$35,0)),"")),IFERROR(INDEX(项目档案!$G$6:$G$255,MATCH($C1501,项目档案!$A$6:$A$255,0)),"")),N(IFERROR(INDEX(单位档案!$D$6:$D$35,MATCH($E1501,单位档案!$A$6:$A$35,0)),"")))))</f>
        <v/>
      </c>
      <c r="J1501" s="22"/>
      <c r="K1501" s="22"/>
      <c r="L1501" s="33" t="str">
        <f aca="false">IF($B1501="","",IF(NOT(ISNUMBER($B1501)),"日期格式不对",IF($C1501="","未选项目编号",IF(LEFT($M1501,1)="⚠","项目编号不存在",IF($D1501="","未选业务类型",IF($E1501="","未选开票/付款方",IF(ISNA(MATCH($E1501,单位档案!$A$6:$A$35,0)),"开票方不在单位档案",IF($F1501="","未选收票/收款方",IF(ISNA(MATCH($F1501,单位档案!$A$6:$A$35,0)),"收款方不在单位档案",IF(NOT(ISNUMBER($H1501)),"金额须为数字",IF(AND($D1501="销项开票",$N1501="—"),"链条待确认","√")))))))))))</f>
        <v/>
      </c>
      <c r="M1501" s="34" t="str">
        <f aca="false">IF($C1501="","",IFERROR(INDEX(项目档案!$B$6:$B$255,MATCH($C1501,项目档案!$A$6:$A$255,0)),"⚠项目编号不存在"))</f>
        <v/>
      </c>
      <c r="N1501" s="35" t="str">
        <f aca="false">IF($E1501="","",IF($E1501=IFERROR(INDEX(项目档案!$D$6:$D$255,MATCH($C1501,项目档案!$A$6:$A$255,0)),""),"一级",IF($E1501=IFERROR(INDEX(项目档案!$F$6:$F$255,MATCH($C1501,项目档案!$A$6:$A$255,0)),""),"二级",IF($E1501=IFERROR(INDEX(项目档案!$H$6:$H$255,MATCH($C1501,项目档案!$A$6:$A$255,0)),""),"我方","—"))))</f>
        <v/>
      </c>
      <c r="O1501" s="36" t="n">
        <f aca="false">IF($D1501&lt;&gt;"销项开票",0,ROUND(N($H1501)*N($I1501),2))</f>
        <v>0</v>
      </c>
      <c r="P1501" s="36" t="n">
        <f aca="false">IF($D1501&lt;&gt;"销项开票",0,ROUND(N($H1501)-$O1501,2))</f>
        <v>0</v>
      </c>
      <c r="Q1501" s="37" t="str">
        <f aca="false">IF($E1501="","",N(IFERROR(INDEX(单位档案!$E$6:$E$35,MATCH($E1501,单位档案!$A$6:$A$35,0)),"")))</f>
        <v/>
      </c>
      <c r="R1501" s="37" t="str">
        <f aca="false">IF($E1501="","",N(IFERROR(INDEX(单位档案!$F$6:$F$35,MATCH($E1501,单位档案!$A$6:$A$35,0)),"")))</f>
        <v/>
      </c>
      <c r="S1501" s="36" t="n">
        <f aca="false">IF(OR($D1501&lt;&gt;"销项开票",IFERROR(INDEX(单位档案!$G$6:$G$35,MATCH($E1501,单位档案!$A$6:$A$35,0)),"")&lt;&gt;"是",N($Q1501)=0),0,IF(IFERROR(INDEX(单位档案!$H$6:$H$35,MATCH($E1501,单位档案!$A$6:$A$35,0)),"")="税差法",ROUND(N($H1501)/(1+$Q1501)*$Q1501-IF(N($R1501)=0,0,$P1501/(1+$R1501)*$R1501),2),ROUND(N($H1501)/(1+$Q1501)*$Q1501,2)))</f>
        <v>0</v>
      </c>
      <c r="T1501" s="36" t="n">
        <f aca="false">ROUND($S1501*N(IFERROR(INDEX(单位档案!$J$6:$J$35,MATCH($E1501,单位档案!$A$6:$A$35,0)),"")),2)</f>
        <v>0</v>
      </c>
      <c r="U1501" s="36" t="n">
        <f aca="false">IF($D1501&lt;&gt;"销项开票",0,ROUND(N($H1501)*N(IFERROR(INDEX(单位档案!$K$6:$K$35,MATCH($E1501,单位档案!$A$6:$A$35,0)),"")),2))</f>
        <v>0</v>
      </c>
      <c r="V1501" s="36" t="n">
        <f aca="false">IF(OR($D1501&lt;&gt;"销项开票",N($Q1501)=0),0,ROUND(N($H1501)/(1+$Q1501)*N(IFERROR(INDEX(单位档案!$L$6:$L$35,MATCH($E1501,单位档案!$A$6:$A$35,0)),"")),2))</f>
        <v>0</v>
      </c>
      <c r="W1501" s="36" t="n">
        <f aca="false">ROUND($S1501+$T1501+$U1501+$V1501,2)</f>
        <v>0</v>
      </c>
      <c r="X1501" s="35" t="str">
        <f aca="false">IF(OR($D1501="挂靠代收",$D1501="我方收款"),COUNTIFS($D$5:$D1501,"挂靠代收")+COUNTIFS($D$5:$D1501,"我方收款"),"")</f>
        <v/>
      </c>
      <c r="Y1501" s="35"/>
      <c r="Z1501" s="21" t="s">
        <v>111</v>
      </c>
    </row>
    <row r="1502" customFormat="false" ht="15.75" hidden="false" customHeight="true" outlineLevel="0" collapsed="false">
      <c r="A1502" s="32" t="str">
        <f aca="false">IF($B1502="","",ROW()-4)</f>
        <v/>
      </c>
      <c r="B1502" s="26"/>
      <c r="C1502" s="24"/>
      <c r="D1502" s="21"/>
      <c r="E1502" s="21"/>
      <c r="F1502" s="21"/>
      <c r="G1502" s="21"/>
      <c r="H1502" s="27"/>
      <c r="I1502" s="23" t="str">
        <f aca="false">IF($D1502&lt;&gt;"销项开票","",IF($N1502="一级",IF(IFERROR(INDEX(项目档案!$E$6:$E$255,MATCH($C1502,项目档案!$A$6:$A$255,0)),"")="",N(IFERROR(INDEX(单位档案!$D$6:$D$35,MATCH($E1502,单位档案!$A$6:$A$35,0)),"")),IFERROR(INDEX(项目档案!$E$6:$E$255,MATCH($C1502,项目档案!$A$6:$A$255,0)),"")),IF($N1502="二级",IF(IFERROR(INDEX(项目档案!$G$6:$G$255,MATCH($C1502,项目档案!$A$6:$A$255,0)),"")="",N(IFERROR(INDEX(单位档案!$D$6:$D$35,MATCH($E1502,单位档案!$A$6:$A$35,0)),"")),IFERROR(INDEX(项目档案!$G$6:$G$255,MATCH($C1502,项目档案!$A$6:$A$255,0)),"")),N(IFERROR(INDEX(单位档案!$D$6:$D$35,MATCH($E1502,单位档案!$A$6:$A$35,0)),"")))))</f>
        <v/>
      </c>
      <c r="J1502" s="22"/>
      <c r="K1502" s="22"/>
      <c r="L1502" s="33" t="str">
        <f aca="false">IF($B1502="","",IF(NOT(ISNUMBER($B1502)),"日期格式不对",IF($C1502="","未选项目编号",IF(LEFT($M1502,1)="⚠","项目编号不存在",IF($D1502="","未选业务类型",IF($E1502="","未选开票/付款方",IF(ISNA(MATCH($E1502,单位档案!$A$6:$A$35,0)),"开票方不在单位档案",IF($F1502="","未选收票/收款方",IF(ISNA(MATCH($F1502,单位档案!$A$6:$A$35,0)),"收款方不在单位档案",IF(NOT(ISNUMBER($H1502)),"金额须为数字",IF(AND($D1502="销项开票",$N1502="—"),"链条待确认","√")))))))))))</f>
        <v/>
      </c>
      <c r="M1502" s="34" t="str">
        <f aca="false">IF($C1502="","",IFERROR(INDEX(项目档案!$B$6:$B$255,MATCH($C1502,项目档案!$A$6:$A$255,0)),"⚠项目编号不存在"))</f>
        <v/>
      </c>
      <c r="N1502" s="35" t="str">
        <f aca="false">IF($E1502="","",IF($E1502=IFERROR(INDEX(项目档案!$D$6:$D$255,MATCH($C1502,项目档案!$A$6:$A$255,0)),""),"一级",IF($E1502=IFERROR(INDEX(项目档案!$F$6:$F$255,MATCH($C1502,项目档案!$A$6:$A$255,0)),""),"二级",IF($E1502=IFERROR(INDEX(项目档案!$H$6:$H$255,MATCH($C1502,项目档案!$A$6:$A$255,0)),""),"我方","—"))))</f>
        <v/>
      </c>
      <c r="O1502" s="36" t="n">
        <f aca="false">IF($D1502&lt;&gt;"销项开票",0,ROUND(N($H1502)*N($I1502),2))</f>
        <v>0</v>
      </c>
      <c r="P1502" s="36" t="n">
        <f aca="false">IF($D1502&lt;&gt;"销项开票",0,ROUND(N($H1502)-$O1502,2))</f>
        <v>0</v>
      </c>
      <c r="Q1502" s="37" t="str">
        <f aca="false">IF($E1502="","",N(IFERROR(INDEX(单位档案!$E$6:$E$35,MATCH($E1502,单位档案!$A$6:$A$35,0)),"")))</f>
        <v/>
      </c>
      <c r="R1502" s="37" t="str">
        <f aca="false">IF($E1502="","",N(IFERROR(INDEX(单位档案!$F$6:$F$35,MATCH($E1502,单位档案!$A$6:$A$35,0)),"")))</f>
        <v/>
      </c>
      <c r="S1502" s="36" t="n">
        <f aca="false">IF(OR($D1502&lt;&gt;"销项开票",IFERROR(INDEX(单位档案!$G$6:$G$35,MATCH($E1502,单位档案!$A$6:$A$35,0)),"")&lt;&gt;"是",N($Q1502)=0),0,IF(IFERROR(INDEX(单位档案!$H$6:$H$35,MATCH($E1502,单位档案!$A$6:$A$35,0)),"")="税差法",ROUND(N($H1502)/(1+$Q1502)*$Q1502-IF(N($R1502)=0,0,$P1502/(1+$R1502)*$R1502),2),ROUND(N($H1502)/(1+$Q1502)*$Q1502,2)))</f>
        <v>0</v>
      </c>
      <c r="T1502" s="36" t="n">
        <f aca="false">ROUND($S1502*N(IFERROR(INDEX(单位档案!$J$6:$J$35,MATCH($E1502,单位档案!$A$6:$A$35,0)),"")),2)</f>
        <v>0</v>
      </c>
      <c r="U1502" s="36" t="n">
        <f aca="false">IF($D1502&lt;&gt;"销项开票",0,ROUND(N($H1502)*N(IFERROR(INDEX(单位档案!$K$6:$K$35,MATCH($E1502,单位档案!$A$6:$A$35,0)),"")),2))</f>
        <v>0</v>
      </c>
      <c r="V1502" s="36" t="n">
        <f aca="false">IF(OR($D1502&lt;&gt;"销项开票",N($Q1502)=0),0,ROUND(N($H1502)/(1+$Q1502)*N(IFERROR(INDEX(单位档案!$L$6:$L$35,MATCH($E1502,单位档案!$A$6:$A$35,0)),"")),2))</f>
        <v>0</v>
      </c>
      <c r="W1502" s="36" t="n">
        <f aca="false">ROUND($S1502+$T1502+$U1502+$V1502,2)</f>
        <v>0</v>
      </c>
      <c r="X1502" s="35" t="str">
        <f aca="false">IF(OR($D1502="挂靠代收",$D1502="我方收款"),COUNTIFS($D$5:$D1502,"挂靠代收")+COUNTIFS($D$5:$D1502,"我方收款"),"")</f>
        <v/>
      </c>
      <c r="Y1502" s="35"/>
      <c r="Z1502" s="21" t="s">
        <v>111</v>
      </c>
    </row>
    <row r="1503" customFormat="false" ht="15.75" hidden="false" customHeight="true" outlineLevel="0" collapsed="false">
      <c r="A1503" s="32" t="str">
        <f aca="false">IF($B1503="","",ROW()-4)</f>
        <v/>
      </c>
      <c r="B1503" s="26"/>
      <c r="C1503" s="24"/>
      <c r="D1503" s="21"/>
      <c r="E1503" s="21"/>
      <c r="F1503" s="21"/>
      <c r="G1503" s="21"/>
      <c r="H1503" s="27"/>
      <c r="I1503" s="23" t="str">
        <f aca="false">IF($D1503&lt;&gt;"销项开票","",IF($N1503="一级",IF(IFERROR(INDEX(项目档案!$E$6:$E$255,MATCH($C1503,项目档案!$A$6:$A$255,0)),"")="",N(IFERROR(INDEX(单位档案!$D$6:$D$35,MATCH($E1503,单位档案!$A$6:$A$35,0)),"")),IFERROR(INDEX(项目档案!$E$6:$E$255,MATCH($C1503,项目档案!$A$6:$A$255,0)),"")),IF($N1503="二级",IF(IFERROR(INDEX(项目档案!$G$6:$G$255,MATCH($C1503,项目档案!$A$6:$A$255,0)),"")="",N(IFERROR(INDEX(单位档案!$D$6:$D$35,MATCH($E1503,单位档案!$A$6:$A$35,0)),"")),IFERROR(INDEX(项目档案!$G$6:$G$255,MATCH($C1503,项目档案!$A$6:$A$255,0)),"")),N(IFERROR(INDEX(单位档案!$D$6:$D$35,MATCH($E1503,单位档案!$A$6:$A$35,0)),"")))))</f>
        <v/>
      </c>
      <c r="J1503" s="22"/>
      <c r="K1503" s="22"/>
      <c r="L1503" s="33" t="str">
        <f aca="false">IF($B1503="","",IF(NOT(ISNUMBER($B1503)),"日期格式不对",IF($C1503="","未选项目编号",IF(LEFT($M1503,1)="⚠","项目编号不存在",IF($D1503="","未选业务类型",IF($E1503="","未选开票/付款方",IF(ISNA(MATCH($E1503,单位档案!$A$6:$A$35,0)),"开票方不在单位档案",IF($F1503="","未选收票/收款方",IF(ISNA(MATCH($F1503,单位档案!$A$6:$A$35,0)),"收款方不在单位档案",IF(NOT(ISNUMBER($H1503)),"金额须为数字",IF(AND($D1503="销项开票",$N1503="—"),"链条待确认","√")))))))))))</f>
        <v/>
      </c>
      <c r="M1503" s="34" t="str">
        <f aca="false">IF($C1503="","",IFERROR(INDEX(项目档案!$B$6:$B$255,MATCH($C1503,项目档案!$A$6:$A$255,0)),"⚠项目编号不存在"))</f>
        <v/>
      </c>
      <c r="N1503" s="35" t="str">
        <f aca="false">IF($E1503="","",IF($E1503=IFERROR(INDEX(项目档案!$D$6:$D$255,MATCH($C1503,项目档案!$A$6:$A$255,0)),""),"一级",IF($E1503=IFERROR(INDEX(项目档案!$F$6:$F$255,MATCH($C1503,项目档案!$A$6:$A$255,0)),""),"二级",IF($E1503=IFERROR(INDEX(项目档案!$H$6:$H$255,MATCH($C1503,项目档案!$A$6:$A$255,0)),""),"我方","—"))))</f>
        <v/>
      </c>
      <c r="O1503" s="36" t="n">
        <f aca="false">IF($D1503&lt;&gt;"销项开票",0,ROUND(N($H1503)*N($I1503),2))</f>
        <v>0</v>
      </c>
      <c r="P1503" s="36" t="n">
        <f aca="false">IF($D1503&lt;&gt;"销项开票",0,ROUND(N($H1503)-$O1503,2))</f>
        <v>0</v>
      </c>
      <c r="Q1503" s="37" t="str">
        <f aca="false">IF($E1503="","",N(IFERROR(INDEX(单位档案!$E$6:$E$35,MATCH($E1503,单位档案!$A$6:$A$35,0)),"")))</f>
        <v/>
      </c>
      <c r="R1503" s="37" t="str">
        <f aca="false">IF($E1503="","",N(IFERROR(INDEX(单位档案!$F$6:$F$35,MATCH($E1503,单位档案!$A$6:$A$35,0)),"")))</f>
        <v/>
      </c>
      <c r="S1503" s="36" t="n">
        <f aca="false">IF(OR($D1503&lt;&gt;"销项开票",IFERROR(INDEX(单位档案!$G$6:$G$35,MATCH($E1503,单位档案!$A$6:$A$35,0)),"")&lt;&gt;"是",N($Q1503)=0),0,IF(IFERROR(INDEX(单位档案!$H$6:$H$35,MATCH($E1503,单位档案!$A$6:$A$35,0)),"")="税差法",ROUND(N($H1503)/(1+$Q1503)*$Q1503-IF(N($R1503)=0,0,$P1503/(1+$R1503)*$R1503),2),ROUND(N($H1503)/(1+$Q1503)*$Q1503,2)))</f>
        <v>0</v>
      </c>
      <c r="T1503" s="36" t="n">
        <f aca="false">ROUND($S1503*N(IFERROR(INDEX(单位档案!$J$6:$J$35,MATCH($E1503,单位档案!$A$6:$A$35,0)),"")),2)</f>
        <v>0</v>
      </c>
      <c r="U1503" s="36" t="n">
        <f aca="false">IF($D1503&lt;&gt;"销项开票",0,ROUND(N($H1503)*N(IFERROR(INDEX(单位档案!$K$6:$K$35,MATCH($E1503,单位档案!$A$6:$A$35,0)),"")),2))</f>
        <v>0</v>
      </c>
      <c r="V1503" s="36" t="n">
        <f aca="false">IF(OR($D1503&lt;&gt;"销项开票",N($Q1503)=0),0,ROUND(N($H1503)/(1+$Q1503)*N(IFERROR(INDEX(单位档案!$L$6:$L$35,MATCH($E1503,单位档案!$A$6:$A$35,0)),"")),2))</f>
        <v>0</v>
      </c>
      <c r="W1503" s="36" t="n">
        <f aca="false">ROUND($S1503+$T1503+$U1503+$V1503,2)</f>
        <v>0</v>
      </c>
      <c r="X1503" s="35" t="str">
        <f aca="false">IF(OR($D1503="挂靠代收",$D1503="我方收款"),COUNTIFS($D$5:$D1503,"挂靠代收")+COUNTIFS($D$5:$D1503,"我方收款"),"")</f>
        <v/>
      </c>
      <c r="Y1503" s="35"/>
      <c r="Z1503" s="21" t="s">
        <v>111</v>
      </c>
    </row>
    <row r="1504" customFormat="false" ht="15.75" hidden="false" customHeight="true" outlineLevel="0" collapsed="false">
      <c r="A1504" s="32" t="str">
        <f aca="false">IF($B1504="","",ROW()-4)</f>
        <v/>
      </c>
      <c r="B1504" s="26"/>
      <c r="C1504" s="24"/>
      <c r="D1504" s="21"/>
      <c r="E1504" s="21"/>
      <c r="F1504" s="21"/>
      <c r="G1504" s="21"/>
      <c r="H1504" s="27"/>
      <c r="I1504" s="23" t="str">
        <f aca="false">IF($D1504&lt;&gt;"销项开票","",IF($N1504="一级",IF(IFERROR(INDEX(项目档案!$E$6:$E$255,MATCH($C1504,项目档案!$A$6:$A$255,0)),"")="",N(IFERROR(INDEX(单位档案!$D$6:$D$35,MATCH($E1504,单位档案!$A$6:$A$35,0)),"")),IFERROR(INDEX(项目档案!$E$6:$E$255,MATCH($C1504,项目档案!$A$6:$A$255,0)),"")),IF($N1504="二级",IF(IFERROR(INDEX(项目档案!$G$6:$G$255,MATCH($C1504,项目档案!$A$6:$A$255,0)),"")="",N(IFERROR(INDEX(单位档案!$D$6:$D$35,MATCH($E1504,单位档案!$A$6:$A$35,0)),"")),IFERROR(INDEX(项目档案!$G$6:$G$255,MATCH($C1504,项目档案!$A$6:$A$255,0)),"")),N(IFERROR(INDEX(单位档案!$D$6:$D$35,MATCH($E1504,单位档案!$A$6:$A$35,0)),"")))))</f>
        <v/>
      </c>
      <c r="J1504" s="22"/>
      <c r="K1504" s="22"/>
      <c r="L1504" s="33" t="str">
        <f aca="false">IF($B1504="","",IF(NOT(ISNUMBER($B1504)),"日期格式不对",IF($C1504="","未选项目编号",IF(LEFT($M1504,1)="⚠","项目编号不存在",IF($D1504="","未选业务类型",IF($E1504="","未选开票/付款方",IF(ISNA(MATCH($E1504,单位档案!$A$6:$A$35,0)),"开票方不在单位档案",IF($F1504="","未选收票/收款方",IF(ISNA(MATCH($F1504,单位档案!$A$6:$A$35,0)),"收款方不在单位档案",IF(NOT(ISNUMBER($H1504)),"金额须为数字",IF(AND($D1504="销项开票",$N1504="—"),"链条待确认","√")))))))))))</f>
        <v/>
      </c>
      <c r="M1504" s="34" t="str">
        <f aca="false">IF($C1504="","",IFERROR(INDEX(项目档案!$B$6:$B$255,MATCH($C1504,项目档案!$A$6:$A$255,0)),"⚠项目编号不存在"))</f>
        <v/>
      </c>
      <c r="N1504" s="35" t="str">
        <f aca="false">IF($E1504="","",IF($E1504=IFERROR(INDEX(项目档案!$D$6:$D$255,MATCH($C1504,项目档案!$A$6:$A$255,0)),""),"一级",IF($E1504=IFERROR(INDEX(项目档案!$F$6:$F$255,MATCH($C1504,项目档案!$A$6:$A$255,0)),""),"二级",IF($E1504=IFERROR(INDEX(项目档案!$H$6:$H$255,MATCH($C1504,项目档案!$A$6:$A$255,0)),""),"我方","—"))))</f>
        <v/>
      </c>
      <c r="O1504" s="36" t="n">
        <f aca="false">IF($D1504&lt;&gt;"销项开票",0,ROUND(N($H1504)*N($I1504),2))</f>
        <v>0</v>
      </c>
      <c r="P1504" s="36" t="n">
        <f aca="false">IF($D1504&lt;&gt;"销项开票",0,ROUND(N($H1504)-$O1504,2))</f>
        <v>0</v>
      </c>
      <c r="Q1504" s="37" t="str">
        <f aca="false">IF($E1504="","",N(IFERROR(INDEX(单位档案!$E$6:$E$35,MATCH($E1504,单位档案!$A$6:$A$35,0)),"")))</f>
        <v/>
      </c>
      <c r="R1504" s="37" t="str">
        <f aca="false">IF($E1504="","",N(IFERROR(INDEX(单位档案!$F$6:$F$35,MATCH($E1504,单位档案!$A$6:$A$35,0)),"")))</f>
        <v/>
      </c>
      <c r="S1504" s="36" t="n">
        <f aca="false">IF(OR($D1504&lt;&gt;"销项开票",IFERROR(INDEX(单位档案!$G$6:$G$35,MATCH($E1504,单位档案!$A$6:$A$35,0)),"")&lt;&gt;"是",N($Q1504)=0),0,IF(IFERROR(INDEX(单位档案!$H$6:$H$35,MATCH($E1504,单位档案!$A$6:$A$35,0)),"")="税差法",ROUND(N($H1504)/(1+$Q1504)*$Q1504-IF(N($R1504)=0,0,$P1504/(1+$R1504)*$R1504),2),ROUND(N($H1504)/(1+$Q1504)*$Q1504,2)))</f>
        <v>0</v>
      </c>
      <c r="T1504" s="36" t="n">
        <f aca="false">ROUND($S1504*N(IFERROR(INDEX(单位档案!$J$6:$J$35,MATCH($E1504,单位档案!$A$6:$A$35,0)),"")),2)</f>
        <v>0</v>
      </c>
      <c r="U1504" s="36" t="n">
        <f aca="false">IF($D1504&lt;&gt;"销项开票",0,ROUND(N($H1504)*N(IFERROR(INDEX(单位档案!$K$6:$K$35,MATCH($E1504,单位档案!$A$6:$A$35,0)),"")),2))</f>
        <v>0</v>
      </c>
      <c r="V1504" s="36" t="n">
        <f aca="false">IF(OR($D1504&lt;&gt;"销项开票",N($Q1504)=0),0,ROUND(N($H1504)/(1+$Q1504)*N(IFERROR(INDEX(单位档案!$L$6:$L$35,MATCH($E1504,单位档案!$A$6:$A$35,0)),"")),2))</f>
        <v>0</v>
      </c>
      <c r="W1504" s="36" t="n">
        <f aca="false">ROUND($S1504+$T1504+$U1504+$V1504,2)</f>
        <v>0</v>
      </c>
      <c r="X1504" s="35" t="str">
        <f aca="false">IF(OR($D1504="挂靠代收",$D1504="我方收款"),COUNTIFS($D$5:$D1504,"挂靠代收")+COUNTIFS($D$5:$D1504,"我方收款"),"")</f>
        <v/>
      </c>
      <c r="Y1504" s="35"/>
      <c r="Z1504" s="21" t="s">
        <v>111</v>
      </c>
    </row>
  </sheetData>
  <autoFilter ref="A4:Z1504"/>
  <mergeCells count="4">
    <mergeCell ref="A1:W1"/>
    <mergeCell ref="A2:W2"/>
    <mergeCell ref="A3:L3"/>
    <mergeCell ref="M3:W3"/>
  </mergeCells>
  <conditionalFormatting sqref="L5:L1504">
    <cfRule type="expression" priority="2" aboveAverage="0" equalAverage="0" bottom="0" percent="0" rank="0" text="" dxfId="12">
      <formula>AND($L5&lt;&gt;"",$L5&lt;&gt;"√",$L5&lt;&gt;"链条待确认")</formula>
    </cfRule>
    <cfRule type="expression" priority="3" aboveAverage="0" equalAverage="0" bottom="0" percent="0" rank="0" text="" dxfId="13">
      <formula>$L5="链条待确认"</formula>
    </cfRule>
  </conditionalFormatting>
  <dataValidations count="7">
    <dataValidation allowBlank="true" error="必须选择下拉中已维护的值，手工输入会导致取数错位" errorStyle="stop" errorTitle="请从下拉中选择" operator="between" showDropDown="false" showErrorMessage="true" showInputMessage="false" sqref="Z5:Z1504" type="list">
      <formula1>"是,否"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C5:C1504" type="list">
      <formula1>项目档案!$A$6:$A$255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D5:D1504" type="list">
      <formula1>"销项开票,成本票,挂靠代收,我方收款,管理费结算,扣质保金,已交税,退税,其他"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E5:E1504" type="list">
      <formula1>单位档案!$A$6:$A$35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F5:F1504" type="list">
      <formula1>单位档案!$A$6:$A$35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G5:G1504" type="list">
      <formula1>"13%专票,9%专票,6%专票,3%专票,1%普票,3%普票,13%普票,不开票"</formula1>
      <formula2>0</formula2>
    </dataValidation>
    <dataValidation allowBlank="true" error="本列必须是数字，填成文本会让整笔业务被静默丢弃" errorStyle="stop" errorTitle="只能填数字" operator="greaterThanOrEqual" showDropDown="false" showErrorMessage="true" showInputMessage="false" sqref="H5:H1504" type="decimal">
      <formula1>-99999999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A1:P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4" min="3" style="0" width="10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40"/>
    <col collapsed="false" customWidth="true" hidden="false" outlineLevel="0" max="10" min="9" style="0" width="13"/>
    <col collapsed="false" customWidth="true" hidden="false" outlineLevel="0" max="12" min="11" style="0" width="14"/>
    <col collapsed="false" customWidth="true" hidden="false" outlineLevel="0" max="13" min="13" style="0" width="11"/>
    <col collapsed="false" customWidth="true" hidden="false" outlineLevel="0" max="14" min="14" style="0" width="15"/>
    <col collapsed="false" customWidth="true" hidden="false" outlineLevel="0" max="15" min="15" style="0" width="34"/>
    <col collapsed="false" customWidth="true" hidden="false" outlineLevel="0" max="16" min="16" style="0" width="9"/>
  </cols>
  <sheetData>
    <row r="1" customFormat="false" ht="25.5" hidden="false" customHeight="true" outlineLevel="0" collapsed="false">
      <c r="A1" s="17" t="s">
        <v>609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</row>
    <row r="2" customFormat="false" ht="15" hidden="false" customHeight="true" outlineLevel="0" collapsed="false">
      <c r="A2" s="38" t="s">
        <v>610</v>
      </c>
      <c r="B2" s="39" t="s">
        <v>127</v>
      </c>
      <c r="C2" s="27" t="n">
        <v>3656.12</v>
      </c>
      <c r="D2" s="39" t="s">
        <v>131</v>
      </c>
      <c r="E2" s="27" t="n">
        <v>4754.58</v>
      </c>
      <c r="F2" s="39" t="s">
        <v>611</v>
      </c>
      <c r="G2" s="27" t="n">
        <v>3981.49</v>
      </c>
      <c r="H2" s="19" t="s">
        <v>612</v>
      </c>
      <c r="I2" s="19"/>
      <c r="J2" s="19"/>
      <c r="K2" s="19"/>
      <c r="L2" s="19"/>
      <c r="M2" s="19"/>
      <c r="N2" s="19"/>
      <c r="O2" s="19"/>
      <c r="P2" s="19"/>
    </row>
    <row r="3" customFormat="false" ht="15" hidden="false" customHeight="true" outlineLevel="0" collapsed="false">
      <c r="A3" s="28" t="s">
        <v>283</v>
      </c>
      <c r="B3" s="28"/>
      <c r="C3" s="28"/>
      <c r="D3" s="28"/>
      <c r="E3" s="28"/>
      <c r="F3" s="28"/>
      <c r="G3" s="28"/>
      <c r="H3" s="28"/>
      <c r="I3" s="28"/>
      <c r="J3" s="28"/>
      <c r="K3" s="29" t="s">
        <v>284</v>
      </c>
      <c r="L3" s="29"/>
      <c r="M3" s="29"/>
      <c r="N3" s="29"/>
      <c r="O3" s="29"/>
      <c r="P3" s="29"/>
    </row>
    <row r="4" customFormat="false" ht="30" hidden="false" customHeight="true" outlineLevel="0" collapsed="false">
      <c r="A4" s="20" t="s">
        <v>285</v>
      </c>
      <c r="B4" s="20" t="s">
        <v>286</v>
      </c>
      <c r="C4" s="20" t="s">
        <v>613</v>
      </c>
      <c r="D4" s="20" t="s">
        <v>72</v>
      </c>
      <c r="E4" s="20" t="s">
        <v>614</v>
      </c>
      <c r="F4" s="20" t="s">
        <v>615</v>
      </c>
      <c r="G4" s="20" t="s">
        <v>616</v>
      </c>
      <c r="H4" s="20" t="s">
        <v>292</v>
      </c>
      <c r="I4" s="20" t="s">
        <v>617</v>
      </c>
      <c r="J4" s="20" t="s">
        <v>618</v>
      </c>
      <c r="K4" s="30" t="s">
        <v>619</v>
      </c>
      <c r="L4" s="30" t="s">
        <v>620</v>
      </c>
      <c r="M4" s="30" t="s">
        <v>621</v>
      </c>
      <c r="N4" s="30" t="s">
        <v>293</v>
      </c>
      <c r="O4" s="30" t="s">
        <v>140</v>
      </c>
      <c r="P4" s="30" t="s">
        <v>622</v>
      </c>
    </row>
    <row r="5" customFormat="false" ht="15.75" hidden="false" customHeight="true" outlineLevel="0" collapsed="false">
      <c r="A5" s="32" t="n">
        <f aca="false">IF($B5="","",ROW()-4)</f>
        <v>1</v>
      </c>
      <c r="B5" s="26" t="n">
        <v>46237</v>
      </c>
      <c r="C5" s="21" t="s">
        <v>131</v>
      </c>
      <c r="D5" s="24"/>
      <c r="E5" s="21" t="s">
        <v>623</v>
      </c>
      <c r="F5" s="24"/>
      <c r="G5" s="21" t="s">
        <v>624</v>
      </c>
      <c r="H5" s="25" t="s">
        <v>625</v>
      </c>
      <c r="I5" s="27" t="n">
        <v>24287.73</v>
      </c>
      <c r="J5" s="27"/>
      <c r="K5" s="36" t="n">
        <f aca="false">IF($B5="","",IF($C5="泓普",$C$2,IF($C5="仟茂",$E$2,IF($C5="现金",$G$2,0)))+SUMIFS($I$5:$I5,$C$5:$C5,$C5)-SUMIFS($J$5:$J5,$C$5:$C5,$C5))</f>
        <v>29042.31</v>
      </c>
      <c r="L5" s="36" t="n">
        <f aca="false">IF($B5="","",$C$2+$E$2+$G$2+SUM($I$5:$I5)-SUM($J$5:$J5))</f>
        <v>36679.92</v>
      </c>
      <c r="M5" s="24"/>
      <c r="N5" s="33" t="str">
        <f aca="false">IF($B5="","",IF(NOT(ISNUMBER($B5)),"日期格式不对",IF($C5="","未选资金账户",IF(AND(N($I5)=0,N($J5)=0),"收支都为空",IF(AND(N($I5)&gt;0,N($J5)&gt;0),"收支不能同时填",IF(AND($D5&lt;&gt;"",LEFT($O5,1)="⚠"),"项目编号不存在",IF(AND($M5="是",$F5=""),"工程回款必须填往来单位","√")))))))</f>
        <v>√</v>
      </c>
      <c r="O5" s="34" t="str">
        <f aca="false">IF($D5="","",IFERROR(INDEX(项目档案!$B$6:$B$255,MATCH($D5,项目档案!$A$6:$A$255,0)),"⚠编号不存在"))</f>
        <v/>
      </c>
      <c r="P5" s="35" t="str">
        <f aca="false">IF($B5="","",TEXT($B5,"yyyy-mm"))</f>
        <v>2026-08</v>
      </c>
    </row>
    <row r="6" customFormat="false" ht="15.75" hidden="false" customHeight="true" outlineLevel="0" collapsed="false">
      <c r="A6" s="32" t="n">
        <f aca="false">IF($B6="","",ROW()-4)</f>
        <v>2</v>
      </c>
      <c r="B6" s="26" t="n">
        <v>46237</v>
      </c>
      <c r="C6" s="21" t="s">
        <v>611</v>
      </c>
      <c r="D6" s="24"/>
      <c r="E6" s="21" t="s">
        <v>626</v>
      </c>
      <c r="F6" s="24"/>
      <c r="G6" s="21" t="s">
        <v>627</v>
      </c>
      <c r="H6" s="25" t="s">
        <v>628</v>
      </c>
      <c r="I6" s="27"/>
      <c r="J6" s="27" t="n">
        <v>15</v>
      </c>
      <c r="K6" s="36" t="n">
        <f aca="false">IF($B6="","",IF($C6="泓普",$C$2,IF($C6="仟茂",$E$2,IF($C6="现金",$G$2,0)))+SUMIFS($I$5:$I6,$C$5:$C6,$C6)-SUMIFS($J$5:$J6,$C$5:$C6,$C6))</f>
        <v>3966.49</v>
      </c>
      <c r="L6" s="36" t="n">
        <f aca="false">IF($B6="","",$C$2+$E$2+$G$2+SUM($I$5:$I6)-SUM($J$5:$J6))</f>
        <v>36664.92</v>
      </c>
      <c r="M6" s="24"/>
      <c r="N6" s="33" t="str">
        <f aca="false">IF($B6="","",IF(NOT(ISNUMBER($B6)),"日期格式不对",IF($C6="","未选资金账户",IF(AND(N($I6)=0,N($J6)=0),"收支都为空",IF(AND(N($I6)&gt;0,N($J6)&gt;0),"收支不能同时填",IF(AND($D6&lt;&gt;"",LEFT($O6,1)="⚠"),"项目编号不存在",IF(AND($M6="是",$F6=""),"工程回款必须填往来单位","√")))))))</f>
        <v>√</v>
      </c>
      <c r="O6" s="34" t="str">
        <f aca="false">IF($D6="","",IFERROR(INDEX(项目档案!$B$6:$B$255,MATCH($D6,项目档案!$A$6:$A$255,0)),"⚠编号不存在"))</f>
        <v/>
      </c>
      <c r="P6" s="35" t="str">
        <f aca="false">IF($B6="","",TEXT($B6,"yyyy-mm"))</f>
        <v>2026-08</v>
      </c>
    </row>
    <row r="7" customFormat="false" ht="15.75" hidden="false" customHeight="true" outlineLevel="0" collapsed="false">
      <c r="A7" s="32" t="n">
        <f aca="false">IF($B7="","",ROW()-4)</f>
        <v>3</v>
      </c>
      <c r="B7" s="26" t="n">
        <v>46237</v>
      </c>
      <c r="C7" s="21" t="s">
        <v>611</v>
      </c>
      <c r="D7" s="24"/>
      <c r="E7" s="21" t="s">
        <v>629</v>
      </c>
      <c r="F7" s="24"/>
      <c r="G7" s="21" t="s">
        <v>630</v>
      </c>
      <c r="H7" s="25" t="s">
        <v>631</v>
      </c>
      <c r="I7" s="27"/>
      <c r="J7" s="27" t="n">
        <v>121</v>
      </c>
      <c r="K7" s="36" t="n">
        <f aca="false">IF($B7="","",IF($C7="泓普",$C$2,IF($C7="仟茂",$E$2,IF($C7="现金",$G$2,0)))+SUMIFS($I$5:$I7,$C$5:$C7,$C7)-SUMIFS($J$5:$J7,$C$5:$C7,$C7))</f>
        <v>3845.49</v>
      </c>
      <c r="L7" s="36" t="n">
        <f aca="false">IF($B7="","",$C$2+$E$2+$G$2+SUM($I$5:$I7)-SUM($J$5:$J7))</f>
        <v>36543.92</v>
      </c>
      <c r="M7" s="24"/>
      <c r="N7" s="33" t="str">
        <f aca="false">IF($B7="","",IF(NOT(ISNUMBER($B7)),"日期格式不对",IF($C7="","未选资金账户",IF(AND(N($I7)=0,N($J7)=0),"收支都为空",IF(AND(N($I7)&gt;0,N($J7)&gt;0),"收支不能同时填",IF(AND($D7&lt;&gt;"",LEFT($O7,1)="⚠"),"项目编号不存在",IF(AND($M7="是",$F7=""),"工程回款必须填往来单位","√")))))))</f>
        <v>√</v>
      </c>
      <c r="O7" s="34" t="str">
        <f aca="false">IF($D7="","",IFERROR(INDEX(项目档案!$B$6:$B$255,MATCH($D7,项目档案!$A$6:$A$255,0)),"⚠编号不存在"))</f>
        <v/>
      </c>
      <c r="P7" s="35" t="str">
        <f aca="false">IF($B7="","",TEXT($B7,"yyyy-mm"))</f>
        <v>2026-08</v>
      </c>
    </row>
    <row r="8" customFormat="false" ht="15.75" hidden="false" customHeight="true" outlineLevel="0" collapsed="false">
      <c r="A8" s="32" t="n">
        <f aca="false">IF($B8="","",ROW()-4)</f>
        <v>4</v>
      </c>
      <c r="B8" s="26" t="n">
        <v>46238</v>
      </c>
      <c r="C8" s="21" t="s">
        <v>611</v>
      </c>
      <c r="D8" s="24"/>
      <c r="E8" s="21" t="s">
        <v>632</v>
      </c>
      <c r="F8" s="24"/>
      <c r="G8" s="21" t="s">
        <v>627</v>
      </c>
      <c r="H8" s="25" t="s">
        <v>633</v>
      </c>
      <c r="I8" s="27"/>
      <c r="J8" s="27" t="n">
        <v>20</v>
      </c>
      <c r="K8" s="36" t="n">
        <f aca="false">IF($B8="","",IF($C8="泓普",$C$2,IF($C8="仟茂",$E$2,IF($C8="现金",$G$2,0)))+SUMIFS($I$5:$I8,$C$5:$C8,$C8)-SUMIFS($J$5:$J8,$C$5:$C8,$C8))</f>
        <v>3825.49</v>
      </c>
      <c r="L8" s="36" t="n">
        <f aca="false">IF($B8="","",$C$2+$E$2+$G$2+SUM($I$5:$I8)-SUM($J$5:$J8))</f>
        <v>36523.92</v>
      </c>
      <c r="M8" s="24"/>
      <c r="N8" s="33" t="str">
        <f aca="false">IF($B8="","",IF(NOT(ISNUMBER($B8)),"日期格式不对",IF($C8="","未选资金账户",IF(AND(N($I8)=0,N($J8)=0),"收支都为空",IF(AND(N($I8)&gt;0,N($J8)&gt;0),"收支不能同时填",IF(AND($D8&lt;&gt;"",LEFT($O8,1)="⚠"),"项目编号不存在",IF(AND($M8="是",$F8=""),"工程回款必须填往来单位","√")))))))</f>
        <v>√</v>
      </c>
      <c r="O8" s="34" t="str">
        <f aca="false">IF($D8="","",IFERROR(INDEX(项目档案!$B$6:$B$255,MATCH($D8,项目档案!$A$6:$A$255,0)),"⚠编号不存在"))</f>
        <v/>
      </c>
      <c r="P8" s="35" t="str">
        <f aca="false">IF($B8="","",TEXT($B8,"yyyy-mm"))</f>
        <v>2026-08</v>
      </c>
    </row>
    <row r="9" customFormat="false" ht="15.75" hidden="false" customHeight="true" outlineLevel="0" collapsed="false">
      <c r="A9" s="32" t="n">
        <f aca="false">IF($B9="","",ROW()-4)</f>
        <v>5</v>
      </c>
      <c r="B9" s="26" t="n">
        <v>46239</v>
      </c>
      <c r="C9" s="21" t="s">
        <v>131</v>
      </c>
      <c r="D9" s="24"/>
      <c r="E9" s="21" t="s">
        <v>634</v>
      </c>
      <c r="F9" s="24"/>
      <c r="G9" s="21" t="s">
        <v>624</v>
      </c>
      <c r="H9" s="25" t="s">
        <v>635</v>
      </c>
      <c r="I9" s="27"/>
      <c r="J9" s="27" t="n">
        <v>1</v>
      </c>
      <c r="K9" s="36" t="n">
        <f aca="false">IF($B9="","",IF($C9="泓普",$C$2,IF($C9="仟茂",$E$2,IF($C9="现金",$G$2,0)))+SUMIFS($I$5:$I9,$C$5:$C9,$C9)-SUMIFS($J$5:$J9,$C$5:$C9,$C9))</f>
        <v>29041.31</v>
      </c>
      <c r="L9" s="36" t="n">
        <f aca="false">IF($B9="","",$C$2+$E$2+$G$2+SUM($I$5:$I9)-SUM($J$5:$J9))</f>
        <v>36522.92</v>
      </c>
      <c r="M9" s="24"/>
      <c r="N9" s="33" t="str">
        <f aca="false">IF($B9="","",IF(NOT(ISNUMBER($B9)),"日期格式不对",IF($C9="","未选资金账户",IF(AND(N($I9)=0,N($J9)=0),"收支都为空",IF(AND(N($I9)&gt;0,N($J9)&gt;0),"收支不能同时填",IF(AND($D9&lt;&gt;"",LEFT($O9,1)="⚠"),"项目编号不存在",IF(AND($M9="是",$F9=""),"工程回款必须填往来单位","√")))))))</f>
        <v>√</v>
      </c>
      <c r="O9" s="34" t="str">
        <f aca="false">IF($D9="","",IFERROR(INDEX(项目档案!$B$6:$B$255,MATCH($D9,项目档案!$A$6:$A$255,0)),"⚠编号不存在"))</f>
        <v/>
      </c>
      <c r="P9" s="35" t="str">
        <f aca="false">IF($B9="","",TEXT($B9,"yyyy-mm"))</f>
        <v>2026-08</v>
      </c>
    </row>
    <row r="10" customFormat="false" ht="15.75" hidden="false" customHeight="true" outlineLevel="0" collapsed="false">
      <c r="A10" s="32" t="n">
        <f aca="false">IF($B10="","",ROW()-4)</f>
        <v>6</v>
      </c>
      <c r="B10" s="26" t="n">
        <v>46239</v>
      </c>
      <c r="C10" s="21" t="s">
        <v>131</v>
      </c>
      <c r="D10" s="24"/>
      <c r="E10" s="21" t="s">
        <v>636</v>
      </c>
      <c r="F10" s="24"/>
      <c r="G10" s="21" t="s">
        <v>624</v>
      </c>
      <c r="H10" s="25" t="s">
        <v>637</v>
      </c>
      <c r="I10" s="27"/>
      <c r="J10" s="27" t="n">
        <v>5000</v>
      </c>
      <c r="K10" s="36" t="n">
        <f aca="false">IF($B10="","",IF($C10="泓普",$C$2,IF($C10="仟茂",$E$2,IF($C10="现金",$G$2,0)))+SUMIFS($I$5:$I10,$C$5:$C10,$C10)-SUMIFS($J$5:$J10,$C$5:$C10,$C10))</f>
        <v>24041.31</v>
      </c>
      <c r="L10" s="36" t="n">
        <f aca="false">IF($B10="","",$C$2+$E$2+$G$2+SUM($I$5:$I10)-SUM($J$5:$J10))</f>
        <v>31522.92</v>
      </c>
      <c r="M10" s="24"/>
      <c r="N10" s="33" t="str">
        <f aca="false">IF($B10="","",IF(NOT(ISNUMBER($B10)),"日期格式不对",IF($C10="","未选资金账户",IF(AND(N($I10)=0,N($J10)=0),"收支都为空",IF(AND(N($I10)&gt;0,N($J10)&gt;0),"收支不能同时填",IF(AND($D10&lt;&gt;"",LEFT($O10,1)="⚠"),"项目编号不存在",IF(AND($M10="是",$F10=""),"工程回款必须填往来单位","√")))))))</f>
        <v>√</v>
      </c>
      <c r="O10" s="34" t="str">
        <f aca="false">IF($D10="","",IFERROR(INDEX(项目档案!$B$6:$B$255,MATCH($D10,项目档案!$A$6:$A$255,0)),"⚠编号不存在"))</f>
        <v/>
      </c>
      <c r="P10" s="35" t="str">
        <f aca="false">IF($B10="","",TEXT($B10,"yyyy-mm"))</f>
        <v>2026-08</v>
      </c>
    </row>
    <row r="11" customFormat="false" ht="15.75" hidden="false" customHeight="true" outlineLevel="0" collapsed="false">
      <c r="A11" s="32" t="n">
        <f aca="false">IF($B11="","",ROW()-4)</f>
        <v>7</v>
      </c>
      <c r="B11" s="26" t="n">
        <v>46239</v>
      </c>
      <c r="C11" s="21" t="s">
        <v>131</v>
      </c>
      <c r="D11" s="24"/>
      <c r="E11" s="21" t="s">
        <v>638</v>
      </c>
      <c r="F11" s="24"/>
      <c r="G11" s="21" t="s">
        <v>624</v>
      </c>
      <c r="H11" s="25" t="s">
        <v>639</v>
      </c>
      <c r="I11" s="27"/>
      <c r="J11" s="27" t="n">
        <v>21000</v>
      </c>
      <c r="K11" s="36" t="n">
        <f aca="false">IF($B11="","",IF($C11="泓普",$C$2,IF($C11="仟茂",$E$2,IF($C11="现金",$G$2,0)))+SUMIFS($I$5:$I11,$C$5:$C11,$C11)-SUMIFS($J$5:$J11,$C$5:$C11,$C11))</f>
        <v>3041.31</v>
      </c>
      <c r="L11" s="36" t="n">
        <f aca="false">IF($B11="","",$C$2+$E$2+$G$2+SUM($I$5:$I11)-SUM($J$5:$J11))</f>
        <v>10522.92</v>
      </c>
      <c r="M11" s="24"/>
      <c r="N11" s="33" t="str">
        <f aca="false">IF($B11="","",IF(NOT(ISNUMBER($B11)),"日期格式不对",IF($C11="","未选资金账户",IF(AND(N($I11)=0,N($J11)=0),"收支都为空",IF(AND(N($I11)&gt;0,N($J11)&gt;0),"收支不能同时填",IF(AND($D11&lt;&gt;"",LEFT($O11,1)="⚠"),"项目编号不存在",IF(AND($M11="是",$F11=""),"工程回款必须填往来单位","√")))))))</f>
        <v>√</v>
      </c>
      <c r="O11" s="34" t="str">
        <f aca="false">IF($D11="","",IFERROR(INDEX(项目档案!$B$6:$B$255,MATCH($D11,项目档案!$A$6:$A$255,0)),"⚠编号不存在"))</f>
        <v/>
      </c>
      <c r="P11" s="35" t="str">
        <f aca="false">IF($B11="","",TEXT($B11,"yyyy-mm"))</f>
        <v>2026-08</v>
      </c>
    </row>
    <row r="12" customFormat="false" ht="15.75" hidden="false" customHeight="true" outlineLevel="0" collapsed="false">
      <c r="A12" s="32" t="n">
        <f aca="false">IF($B12="","",ROW()-4)</f>
        <v>8</v>
      </c>
      <c r="B12" s="26" t="n">
        <v>46241</v>
      </c>
      <c r="C12" s="21" t="s">
        <v>127</v>
      </c>
      <c r="D12" s="24"/>
      <c r="E12" s="21" t="s">
        <v>640</v>
      </c>
      <c r="F12" s="24"/>
      <c r="G12" s="21" t="s">
        <v>641</v>
      </c>
      <c r="H12" s="25" t="s">
        <v>642</v>
      </c>
      <c r="I12" s="27"/>
      <c r="J12" s="27" t="n">
        <v>3413.27</v>
      </c>
      <c r="K12" s="36" t="n">
        <f aca="false">IF($B12="","",IF($C12="泓普",$C$2,IF($C12="仟茂",$E$2,IF($C12="现金",$G$2,0)))+SUMIFS($I$5:$I12,$C$5:$C12,$C12)-SUMIFS($J$5:$J12,$C$5:$C12,$C12))</f>
        <v>242.85</v>
      </c>
      <c r="L12" s="36" t="n">
        <f aca="false">IF($B12="","",$C$2+$E$2+$G$2+SUM($I$5:$I12)-SUM($J$5:$J12))</f>
        <v>7109.65</v>
      </c>
      <c r="M12" s="24"/>
      <c r="N12" s="33" t="str">
        <f aca="false">IF($B12="","",IF(NOT(ISNUMBER($B12)),"日期格式不对",IF($C12="","未选资金账户",IF(AND(N($I12)=0,N($J12)=0),"收支都为空",IF(AND(N($I12)&gt;0,N($J12)&gt;0),"收支不能同时填",IF(AND($D12&lt;&gt;"",LEFT($O12,1)="⚠"),"项目编号不存在",IF(AND($M12="是",$F12=""),"工程回款必须填往来单位","√")))))))</f>
        <v>√</v>
      </c>
      <c r="O12" s="34" t="str">
        <f aca="false">IF($D12="","",IFERROR(INDEX(项目档案!$B$6:$B$255,MATCH($D12,项目档案!$A$6:$A$255,0)),"⚠编号不存在"))</f>
        <v/>
      </c>
      <c r="P12" s="35" t="str">
        <f aca="false">IF($B12="","",TEXT($B12,"yyyy-mm"))</f>
        <v>2026-08</v>
      </c>
    </row>
    <row r="13" customFormat="false" ht="15.75" hidden="false" customHeight="true" outlineLevel="0" collapsed="false">
      <c r="A13" s="32" t="n">
        <f aca="false">IF($B13="","",ROW()-4)</f>
        <v>9</v>
      </c>
      <c r="B13" s="26" t="n">
        <v>46241</v>
      </c>
      <c r="C13" s="21" t="s">
        <v>611</v>
      </c>
      <c r="D13" s="24"/>
      <c r="E13" s="21" t="s">
        <v>643</v>
      </c>
      <c r="F13" s="24"/>
      <c r="G13" s="21" t="s">
        <v>627</v>
      </c>
      <c r="H13" s="25" t="s">
        <v>644</v>
      </c>
      <c r="I13" s="27"/>
      <c r="J13" s="27" t="n">
        <v>60</v>
      </c>
      <c r="K13" s="36" t="n">
        <f aca="false">IF($B13="","",IF($C13="泓普",$C$2,IF($C13="仟茂",$E$2,IF($C13="现金",$G$2,0)))+SUMIFS($I$5:$I13,$C$5:$C13,$C13)-SUMIFS($J$5:$J13,$C$5:$C13,$C13))</f>
        <v>3765.49</v>
      </c>
      <c r="L13" s="36" t="n">
        <f aca="false">IF($B13="","",$C$2+$E$2+$G$2+SUM($I$5:$I13)-SUM($J$5:$J13))</f>
        <v>7049.65</v>
      </c>
      <c r="M13" s="24"/>
      <c r="N13" s="33" t="str">
        <f aca="false">IF($B13="","",IF(NOT(ISNUMBER($B13)),"日期格式不对",IF($C13="","未选资金账户",IF(AND(N($I13)=0,N($J13)=0),"收支都为空",IF(AND(N($I13)&gt;0,N($J13)&gt;0),"收支不能同时填",IF(AND($D13&lt;&gt;"",LEFT($O13,1)="⚠"),"项目编号不存在",IF(AND($M13="是",$F13=""),"工程回款必须填往来单位","√")))))))</f>
        <v>√</v>
      </c>
      <c r="O13" s="34" t="str">
        <f aca="false">IF($D13="","",IFERROR(INDEX(项目档案!$B$6:$B$255,MATCH($D13,项目档案!$A$6:$A$255,0)),"⚠编号不存在"))</f>
        <v/>
      </c>
      <c r="P13" s="35" t="str">
        <f aca="false">IF($B13="","",TEXT($B13,"yyyy-mm"))</f>
        <v>2026-08</v>
      </c>
    </row>
    <row r="14" customFormat="false" ht="15.75" hidden="false" customHeight="true" outlineLevel="0" collapsed="false">
      <c r="A14" s="32" t="n">
        <f aca="false">IF($B14="","",ROW()-4)</f>
        <v>10</v>
      </c>
      <c r="B14" s="26" t="n">
        <v>46242</v>
      </c>
      <c r="C14" s="21" t="s">
        <v>127</v>
      </c>
      <c r="D14" s="24"/>
      <c r="E14" s="21" t="s">
        <v>645</v>
      </c>
      <c r="F14" s="24"/>
      <c r="G14" s="21" t="s">
        <v>641</v>
      </c>
      <c r="H14" s="25" t="s">
        <v>646</v>
      </c>
      <c r="I14" s="27" t="n">
        <v>5000</v>
      </c>
      <c r="J14" s="27"/>
      <c r="K14" s="36" t="n">
        <f aca="false">IF($B14="","",IF($C14="泓普",$C$2,IF($C14="仟茂",$E$2,IF($C14="现金",$G$2,0)))+SUMIFS($I$5:$I14,$C$5:$C14,$C14)-SUMIFS($J$5:$J14,$C$5:$C14,$C14))</f>
        <v>5242.85</v>
      </c>
      <c r="L14" s="36" t="n">
        <f aca="false">IF($B14="","",$C$2+$E$2+$G$2+SUM($I$5:$I14)-SUM($J$5:$J14))</f>
        <v>12049.65</v>
      </c>
      <c r="M14" s="24"/>
      <c r="N14" s="33" t="str">
        <f aca="false">IF($B14="","",IF(NOT(ISNUMBER($B14)),"日期格式不对",IF($C14="","未选资金账户",IF(AND(N($I14)=0,N($J14)=0),"收支都为空",IF(AND(N($I14)&gt;0,N($J14)&gt;0),"收支不能同时填",IF(AND($D14&lt;&gt;"",LEFT($O14,1)="⚠"),"项目编号不存在",IF(AND($M14="是",$F14=""),"工程回款必须填往来单位","√")))))))</f>
        <v>√</v>
      </c>
      <c r="O14" s="34" t="str">
        <f aca="false">IF($D14="","",IFERROR(INDEX(项目档案!$B$6:$B$255,MATCH($D14,项目档案!$A$6:$A$255,0)),"⚠编号不存在"))</f>
        <v/>
      </c>
      <c r="P14" s="35" t="str">
        <f aca="false">IF($B14="","",TEXT($B14,"yyyy-mm"))</f>
        <v>2026-08</v>
      </c>
    </row>
    <row r="15" customFormat="false" ht="15.75" hidden="false" customHeight="true" outlineLevel="0" collapsed="false">
      <c r="A15" s="32" t="n">
        <f aca="false">IF($B15="","",ROW()-4)</f>
        <v>11</v>
      </c>
      <c r="B15" s="26" t="n">
        <v>46242</v>
      </c>
      <c r="C15" s="21" t="s">
        <v>127</v>
      </c>
      <c r="D15" s="24"/>
      <c r="E15" s="21" t="s">
        <v>640</v>
      </c>
      <c r="F15" s="24"/>
      <c r="G15" s="21" t="s">
        <v>641</v>
      </c>
      <c r="H15" s="25" t="s">
        <v>647</v>
      </c>
      <c r="I15" s="27"/>
      <c r="J15" s="27" t="n">
        <v>1066.96</v>
      </c>
      <c r="K15" s="36" t="n">
        <f aca="false">IF($B15="","",IF($C15="泓普",$C$2,IF($C15="仟茂",$E$2,IF($C15="现金",$G$2,0)))+SUMIFS($I$5:$I15,$C$5:$C15,$C15)-SUMIFS($J$5:$J15,$C$5:$C15,$C15))</f>
        <v>4175.89</v>
      </c>
      <c r="L15" s="36" t="n">
        <f aca="false">IF($B15="","",$C$2+$E$2+$G$2+SUM($I$5:$I15)-SUM($J$5:$J15))</f>
        <v>10982.69</v>
      </c>
      <c r="M15" s="24"/>
      <c r="N15" s="33" t="str">
        <f aca="false">IF($B15="","",IF(NOT(ISNUMBER($B15)),"日期格式不对",IF($C15="","未选资金账户",IF(AND(N($I15)=0,N($J15)=0),"收支都为空",IF(AND(N($I15)&gt;0,N($J15)&gt;0),"收支不能同时填",IF(AND($D15&lt;&gt;"",LEFT($O15,1)="⚠"),"项目编号不存在",IF(AND($M15="是",$F15=""),"工程回款必须填往来单位","√")))))))</f>
        <v>√</v>
      </c>
      <c r="O15" s="34" t="str">
        <f aca="false">IF($D15="","",IFERROR(INDEX(项目档案!$B$6:$B$255,MATCH($D15,项目档案!$A$6:$A$255,0)),"⚠编号不存在"))</f>
        <v/>
      </c>
      <c r="P15" s="35" t="str">
        <f aca="false">IF($B15="","",TEXT($B15,"yyyy-mm"))</f>
        <v>2026-08</v>
      </c>
    </row>
    <row r="16" customFormat="false" ht="15.75" hidden="false" customHeight="true" outlineLevel="0" collapsed="false">
      <c r="A16" s="32" t="n">
        <f aca="false">IF($B16="","",ROW()-4)</f>
        <v>12</v>
      </c>
      <c r="B16" s="26" t="n">
        <v>46242</v>
      </c>
      <c r="C16" s="21" t="s">
        <v>127</v>
      </c>
      <c r="D16" s="24"/>
      <c r="E16" s="21" t="s">
        <v>645</v>
      </c>
      <c r="F16" s="24"/>
      <c r="G16" s="21" t="s">
        <v>641</v>
      </c>
      <c r="H16" s="25" t="s">
        <v>648</v>
      </c>
      <c r="I16" s="27" t="n">
        <v>1100</v>
      </c>
      <c r="J16" s="27"/>
      <c r="K16" s="36" t="n">
        <f aca="false">IF($B16="","",IF($C16="泓普",$C$2,IF($C16="仟茂",$E$2,IF($C16="现金",$G$2,0)))+SUMIFS($I$5:$I16,$C$5:$C16,$C16)-SUMIFS($J$5:$J16,$C$5:$C16,$C16))</f>
        <v>5275.89</v>
      </c>
      <c r="L16" s="36" t="n">
        <f aca="false">IF($B16="","",$C$2+$E$2+$G$2+SUM($I$5:$I16)-SUM($J$5:$J16))</f>
        <v>12082.69</v>
      </c>
      <c r="M16" s="24"/>
      <c r="N16" s="33" t="str">
        <f aca="false">IF($B16="","",IF(NOT(ISNUMBER($B16)),"日期格式不对",IF($C16="","未选资金账户",IF(AND(N($I16)=0,N($J16)=0),"收支都为空",IF(AND(N($I16)&gt;0,N($J16)&gt;0),"收支不能同时填",IF(AND($D16&lt;&gt;"",LEFT($O16,1)="⚠"),"项目编号不存在",IF(AND($M16="是",$F16=""),"工程回款必须填往来单位","√")))))))</f>
        <v>√</v>
      </c>
      <c r="O16" s="34" t="str">
        <f aca="false">IF($D16="","",IFERROR(INDEX(项目档案!$B$6:$B$255,MATCH($D16,项目档案!$A$6:$A$255,0)),"⚠编号不存在"))</f>
        <v/>
      </c>
      <c r="P16" s="35" t="str">
        <f aca="false">IF($B16="","",TEXT($B16,"yyyy-mm"))</f>
        <v>2026-08</v>
      </c>
    </row>
    <row r="17" customFormat="false" ht="15.75" hidden="false" customHeight="true" outlineLevel="0" collapsed="false">
      <c r="A17" s="32" t="n">
        <f aca="false">IF($B17="","",ROW()-4)</f>
        <v>13</v>
      </c>
      <c r="B17" s="26" t="n">
        <v>46242</v>
      </c>
      <c r="C17" s="21" t="s">
        <v>611</v>
      </c>
      <c r="D17" s="24"/>
      <c r="E17" s="21" t="s">
        <v>649</v>
      </c>
      <c r="F17" s="24"/>
      <c r="G17" s="21" t="s">
        <v>650</v>
      </c>
      <c r="H17" s="25" t="s">
        <v>651</v>
      </c>
      <c r="I17" s="27"/>
      <c r="J17" s="27" t="n">
        <v>1100</v>
      </c>
      <c r="K17" s="36" t="n">
        <f aca="false">IF($B17="","",IF($C17="泓普",$C$2,IF($C17="仟茂",$E$2,IF($C17="现金",$G$2,0)))+SUMIFS($I$5:$I17,$C$5:$C17,$C17)-SUMIFS($J$5:$J17,$C$5:$C17,$C17))</f>
        <v>2665.49</v>
      </c>
      <c r="L17" s="36" t="n">
        <f aca="false">IF($B17="","",$C$2+$E$2+$G$2+SUM($I$5:$I17)-SUM($J$5:$J17))</f>
        <v>10982.69</v>
      </c>
      <c r="M17" s="24"/>
      <c r="N17" s="33" t="str">
        <f aca="false">IF($B17="","",IF(NOT(ISNUMBER($B17)),"日期格式不对",IF($C17="","未选资金账户",IF(AND(N($I17)=0,N($J17)=0),"收支都为空",IF(AND(N($I17)&gt;0,N($J17)&gt;0),"收支不能同时填",IF(AND($D17&lt;&gt;"",LEFT($O17,1)="⚠"),"项目编号不存在",IF(AND($M17="是",$F17=""),"工程回款必须填往来单位","√")))))))</f>
        <v>√</v>
      </c>
      <c r="O17" s="34" t="str">
        <f aca="false">IF($D17="","",IFERROR(INDEX(项目档案!$B$6:$B$255,MATCH($D17,项目档案!$A$6:$A$255,0)),"⚠编号不存在"))</f>
        <v/>
      </c>
      <c r="P17" s="35" t="str">
        <f aca="false">IF($B17="","",TEXT($B17,"yyyy-mm"))</f>
        <v>2026-08</v>
      </c>
    </row>
    <row r="18" customFormat="false" ht="15.75" hidden="false" customHeight="true" outlineLevel="0" collapsed="false">
      <c r="A18" s="32" t="n">
        <f aca="false">IF($B18="","",ROW()-4)</f>
        <v>14</v>
      </c>
      <c r="B18" s="26" t="n">
        <v>46244</v>
      </c>
      <c r="C18" s="21" t="s">
        <v>127</v>
      </c>
      <c r="D18" s="24"/>
      <c r="E18" s="21" t="s">
        <v>640</v>
      </c>
      <c r="F18" s="24"/>
      <c r="G18" s="21" t="s">
        <v>641</v>
      </c>
      <c r="H18" s="25" t="s">
        <v>652</v>
      </c>
      <c r="I18" s="27"/>
      <c r="J18" s="27" t="n">
        <v>1071.41</v>
      </c>
      <c r="K18" s="36" t="n">
        <f aca="false">IF($B18="","",IF($C18="泓普",$C$2,IF($C18="仟茂",$E$2,IF($C18="现金",$G$2,0)))+SUMIFS($I$5:$I18,$C$5:$C18,$C18)-SUMIFS($J$5:$J18,$C$5:$C18,$C18))</f>
        <v>4204.48</v>
      </c>
      <c r="L18" s="36" t="n">
        <f aca="false">IF($B18="","",$C$2+$E$2+$G$2+SUM($I$5:$I18)-SUM($J$5:$J18))</f>
        <v>9911.28</v>
      </c>
      <c r="M18" s="24"/>
      <c r="N18" s="33" t="str">
        <f aca="false">IF($B18="","",IF(NOT(ISNUMBER($B18)),"日期格式不对",IF($C18="","未选资金账户",IF(AND(N($I18)=0,N($J18)=0),"收支都为空",IF(AND(N($I18)&gt;0,N($J18)&gt;0),"收支不能同时填",IF(AND($D18&lt;&gt;"",LEFT($O18,1)="⚠"),"项目编号不存在",IF(AND($M18="是",$F18=""),"工程回款必须填往来单位","√")))))))</f>
        <v>√</v>
      </c>
      <c r="O18" s="34" t="str">
        <f aca="false">IF($D18="","",IFERROR(INDEX(项目档案!$B$6:$B$255,MATCH($D18,项目档案!$A$6:$A$255,0)),"⚠编号不存在"))</f>
        <v/>
      </c>
      <c r="P18" s="35" t="str">
        <f aca="false">IF($B18="","",TEXT($B18,"yyyy-mm"))</f>
        <v>2026-08</v>
      </c>
    </row>
    <row r="19" customFormat="false" ht="15.75" hidden="false" customHeight="true" outlineLevel="0" collapsed="false">
      <c r="A19" s="32" t="n">
        <f aca="false">IF($B19="","",ROW()-4)</f>
        <v>15</v>
      </c>
      <c r="B19" s="26" t="n">
        <v>46244</v>
      </c>
      <c r="C19" s="21" t="s">
        <v>611</v>
      </c>
      <c r="D19" s="24"/>
      <c r="E19" s="21" t="s">
        <v>645</v>
      </c>
      <c r="F19" s="24"/>
      <c r="G19" s="21" t="s">
        <v>641</v>
      </c>
      <c r="H19" s="25" t="s">
        <v>653</v>
      </c>
      <c r="I19" s="27" t="n">
        <v>5000</v>
      </c>
      <c r="J19" s="27"/>
      <c r="K19" s="36" t="n">
        <f aca="false">IF($B19="","",IF($C19="泓普",$C$2,IF($C19="仟茂",$E$2,IF($C19="现金",$G$2,0)))+SUMIFS($I$5:$I19,$C$5:$C19,$C19)-SUMIFS($J$5:$J19,$C$5:$C19,$C19))</f>
        <v>7665.49</v>
      </c>
      <c r="L19" s="36" t="n">
        <f aca="false">IF($B19="","",$C$2+$E$2+$G$2+SUM($I$5:$I19)-SUM($J$5:$J19))</f>
        <v>14911.28</v>
      </c>
      <c r="M19" s="24"/>
      <c r="N19" s="33" t="str">
        <f aca="false">IF($B19="","",IF(NOT(ISNUMBER($B19)),"日期格式不对",IF($C19="","未选资金账户",IF(AND(N($I19)=0,N($J19)=0),"收支都为空",IF(AND(N($I19)&gt;0,N($J19)&gt;0),"收支不能同时填",IF(AND($D19&lt;&gt;"",LEFT($O19,1)="⚠"),"项目编号不存在",IF(AND($M19="是",$F19=""),"工程回款必须填往来单位","√")))))))</f>
        <v>√</v>
      </c>
      <c r="O19" s="34" t="str">
        <f aca="false">IF($D19="","",IFERROR(INDEX(项目档案!$B$6:$B$255,MATCH($D19,项目档案!$A$6:$A$255,0)),"⚠编号不存在"))</f>
        <v/>
      </c>
      <c r="P19" s="35" t="str">
        <f aca="false">IF($B19="","",TEXT($B19,"yyyy-mm"))</f>
        <v>2026-08</v>
      </c>
    </row>
    <row r="20" customFormat="false" ht="15.75" hidden="false" customHeight="true" outlineLevel="0" collapsed="false">
      <c r="A20" s="32" t="n">
        <f aca="false">IF($B20="","",ROW()-4)</f>
        <v>16</v>
      </c>
      <c r="B20" s="26" t="n">
        <v>46244</v>
      </c>
      <c r="C20" s="21" t="s">
        <v>611</v>
      </c>
      <c r="D20" s="24"/>
      <c r="E20" s="21" t="s">
        <v>649</v>
      </c>
      <c r="F20" s="24"/>
      <c r="G20" s="21" t="s">
        <v>650</v>
      </c>
      <c r="H20" s="25" t="s">
        <v>654</v>
      </c>
      <c r="I20" s="27"/>
      <c r="J20" s="27" t="n">
        <v>5000</v>
      </c>
      <c r="K20" s="36" t="n">
        <f aca="false">IF($B20="","",IF($C20="泓普",$C$2,IF($C20="仟茂",$E$2,IF($C20="现金",$G$2,0)))+SUMIFS($I$5:$I20,$C$5:$C20,$C20)-SUMIFS($J$5:$J20,$C$5:$C20,$C20))</f>
        <v>2665.49</v>
      </c>
      <c r="L20" s="36" t="n">
        <f aca="false">IF($B20="","",$C$2+$E$2+$G$2+SUM($I$5:$I20)-SUM($J$5:$J20))</f>
        <v>9911.28</v>
      </c>
      <c r="M20" s="24"/>
      <c r="N20" s="33" t="str">
        <f aca="false">IF($B20="","",IF(NOT(ISNUMBER($B20)),"日期格式不对",IF($C20="","未选资金账户",IF(AND(N($I20)=0,N($J20)=0),"收支都为空",IF(AND(N($I20)&gt;0,N($J20)&gt;0),"收支不能同时填",IF(AND($D20&lt;&gt;"",LEFT($O20,1)="⚠"),"项目编号不存在",IF(AND($M20="是",$F20=""),"工程回款必须填往来单位","√")))))))</f>
        <v>√</v>
      </c>
      <c r="O20" s="34" t="str">
        <f aca="false">IF($D20="","",IFERROR(INDEX(项目档案!$B$6:$B$255,MATCH($D20,项目档案!$A$6:$A$255,0)),"⚠编号不存在"))</f>
        <v/>
      </c>
      <c r="P20" s="35" t="str">
        <f aca="false">IF($B20="","",TEXT($B20,"yyyy-mm"))</f>
        <v>2026-08</v>
      </c>
    </row>
    <row r="21" customFormat="false" ht="15.75" hidden="false" customHeight="true" outlineLevel="0" collapsed="false">
      <c r="A21" s="32" t="n">
        <f aca="false">IF($B21="","",ROW()-4)</f>
        <v>17</v>
      </c>
      <c r="B21" s="26" t="n">
        <v>46244</v>
      </c>
      <c r="C21" s="21" t="s">
        <v>611</v>
      </c>
      <c r="D21" s="24"/>
      <c r="E21" s="21" t="s">
        <v>655</v>
      </c>
      <c r="F21" s="24"/>
      <c r="G21" s="21" t="s">
        <v>656</v>
      </c>
      <c r="H21" s="25" t="s">
        <v>657</v>
      </c>
      <c r="I21" s="27"/>
      <c r="J21" s="27" t="n">
        <v>186.16</v>
      </c>
      <c r="K21" s="36" t="n">
        <f aca="false">IF($B21="","",IF($C21="泓普",$C$2,IF($C21="仟茂",$E$2,IF($C21="现金",$G$2,0)))+SUMIFS($I$5:$I21,$C$5:$C21,$C21)-SUMIFS($J$5:$J21,$C$5:$C21,$C21))</f>
        <v>2479.33</v>
      </c>
      <c r="L21" s="36" t="n">
        <f aca="false">IF($B21="","",$C$2+$E$2+$G$2+SUM($I$5:$I21)-SUM($J$5:$J21))</f>
        <v>9725.12</v>
      </c>
      <c r="M21" s="24"/>
      <c r="N21" s="33" t="str">
        <f aca="false">IF($B21="","",IF(NOT(ISNUMBER($B21)),"日期格式不对",IF($C21="","未选资金账户",IF(AND(N($I21)=0,N($J21)=0),"收支都为空",IF(AND(N($I21)&gt;0,N($J21)&gt;0),"收支不能同时填",IF(AND($D21&lt;&gt;"",LEFT($O21,1)="⚠"),"项目编号不存在",IF(AND($M21="是",$F21=""),"工程回款必须填往来单位","√")))))))</f>
        <v>√</v>
      </c>
      <c r="O21" s="34" t="str">
        <f aca="false">IF($D21="","",IFERROR(INDEX(项目档案!$B$6:$B$255,MATCH($D21,项目档案!$A$6:$A$255,0)),"⚠编号不存在"))</f>
        <v/>
      </c>
      <c r="P21" s="35" t="str">
        <f aca="false">IF($B21="","",TEXT($B21,"yyyy-mm"))</f>
        <v>2026-08</v>
      </c>
    </row>
    <row r="22" customFormat="false" ht="15.75" hidden="false" customHeight="true" outlineLevel="0" collapsed="false">
      <c r="A22" s="32" t="n">
        <f aca="false">IF($B22="","",ROW()-4)</f>
        <v>18</v>
      </c>
      <c r="B22" s="26" t="n">
        <v>46244</v>
      </c>
      <c r="C22" s="21" t="s">
        <v>611</v>
      </c>
      <c r="D22" s="24"/>
      <c r="E22" s="21" t="s">
        <v>632</v>
      </c>
      <c r="F22" s="24"/>
      <c r="G22" s="21" t="s">
        <v>658</v>
      </c>
      <c r="H22" s="25" t="s">
        <v>659</v>
      </c>
      <c r="I22" s="27"/>
      <c r="J22" s="27" t="n">
        <v>400</v>
      </c>
      <c r="K22" s="36" t="n">
        <f aca="false">IF($B22="","",IF($C22="泓普",$C$2,IF($C22="仟茂",$E$2,IF($C22="现金",$G$2,0)))+SUMIFS($I$5:$I22,$C$5:$C22,$C22)-SUMIFS($J$5:$J22,$C$5:$C22,$C22))</f>
        <v>2079.33</v>
      </c>
      <c r="L22" s="36" t="n">
        <f aca="false">IF($B22="","",$C$2+$E$2+$G$2+SUM($I$5:$I22)-SUM($J$5:$J22))</f>
        <v>9325.12</v>
      </c>
      <c r="M22" s="24"/>
      <c r="N22" s="33" t="str">
        <f aca="false">IF($B22="","",IF(NOT(ISNUMBER($B22)),"日期格式不对",IF($C22="","未选资金账户",IF(AND(N($I22)=0,N($J22)=0),"收支都为空",IF(AND(N($I22)&gt;0,N($J22)&gt;0),"收支不能同时填",IF(AND($D22&lt;&gt;"",LEFT($O22,1)="⚠"),"项目编号不存在",IF(AND($M22="是",$F22=""),"工程回款必须填往来单位","√")))))))</f>
        <v>√</v>
      </c>
      <c r="O22" s="34" t="str">
        <f aca="false">IF($D22="","",IFERROR(INDEX(项目档案!$B$6:$B$255,MATCH($D22,项目档案!$A$6:$A$255,0)),"⚠编号不存在"))</f>
        <v/>
      </c>
      <c r="P22" s="35" t="str">
        <f aca="false">IF($B22="","",TEXT($B22,"yyyy-mm"))</f>
        <v>2026-08</v>
      </c>
    </row>
    <row r="23" customFormat="false" ht="15.75" hidden="false" customHeight="true" outlineLevel="0" collapsed="false">
      <c r="A23" s="32" t="n">
        <f aca="false">IF($B23="","",ROW()-4)</f>
        <v>19</v>
      </c>
      <c r="B23" s="26" t="n">
        <v>46244</v>
      </c>
      <c r="C23" s="21" t="s">
        <v>611</v>
      </c>
      <c r="D23" s="24"/>
      <c r="E23" s="21" t="s">
        <v>626</v>
      </c>
      <c r="F23" s="24"/>
      <c r="G23" s="21" t="s">
        <v>627</v>
      </c>
      <c r="H23" s="25" t="s">
        <v>660</v>
      </c>
      <c r="I23" s="27"/>
      <c r="J23" s="27" t="n">
        <v>75</v>
      </c>
      <c r="K23" s="36" t="n">
        <f aca="false">IF($B23="","",IF($C23="泓普",$C$2,IF($C23="仟茂",$E$2,IF($C23="现金",$G$2,0)))+SUMIFS($I$5:$I23,$C$5:$C23,$C23)-SUMIFS($J$5:$J23,$C$5:$C23,$C23))</f>
        <v>2004.33</v>
      </c>
      <c r="L23" s="36" t="n">
        <f aca="false">IF($B23="","",$C$2+$E$2+$G$2+SUM($I$5:$I23)-SUM($J$5:$J23))</f>
        <v>9250.12</v>
      </c>
      <c r="M23" s="24"/>
      <c r="N23" s="33" t="str">
        <f aca="false">IF($B23="","",IF(NOT(ISNUMBER($B23)),"日期格式不对",IF($C23="","未选资金账户",IF(AND(N($I23)=0,N($J23)=0),"收支都为空",IF(AND(N($I23)&gt;0,N($J23)&gt;0),"收支不能同时填",IF(AND($D23&lt;&gt;"",LEFT($O23,1)="⚠"),"项目编号不存在",IF(AND($M23="是",$F23=""),"工程回款必须填往来单位","√")))))))</f>
        <v>√</v>
      </c>
      <c r="O23" s="34" t="str">
        <f aca="false">IF($D23="","",IFERROR(INDEX(项目档案!$B$6:$B$255,MATCH($D23,项目档案!$A$6:$A$255,0)),"⚠编号不存在"))</f>
        <v/>
      </c>
      <c r="P23" s="35" t="str">
        <f aca="false">IF($B23="","",TEXT($B23,"yyyy-mm"))</f>
        <v>2026-08</v>
      </c>
    </row>
    <row r="24" customFormat="false" ht="15.75" hidden="false" customHeight="true" outlineLevel="0" collapsed="false">
      <c r="A24" s="32" t="n">
        <f aca="false">IF($B24="","",ROW()-4)</f>
        <v>20</v>
      </c>
      <c r="B24" s="26" t="n">
        <v>46244</v>
      </c>
      <c r="C24" s="21" t="s">
        <v>611</v>
      </c>
      <c r="D24" s="24"/>
      <c r="E24" s="21" t="s">
        <v>655</v>
      </c>
      <c r="F24" s="24"/>
      <c r="G24" s="21" t="s">
        <v>661</v>
      </c>
      <c r="H24" s="25" t="s">
        <v>662</v>
      </c>
      <c r="I24" s="27"/>
      <c r="J24" s="27" t="n">
        <v>441.51</v>
      </c>
      <c r="K24" s="36" t="n">
        <f aca="false">IF($B24="","",IF($C24="泓普",$C$2,IF($C24="仟茂",$E$2,IF($C24="现金",$G$2,0)))+SUMIFS($I$5:$I24,$C$5:$C24,$C24)-SUMIFS($J$5:$J24,$C$5:$C24,$C24))</f>
        <v>1562.82</v>
      </c>
      <c r="L24" s="36" t="n">
        <f aca="false">IF($B24="","",$C$2+$E$2+$G$2+SUM($I$5:$I24)-SUM($J$5:$J24))</f>
        <v>8808.61</v>
      </c>
      <c r="M24" s="24"/>
      <c r="N24" s="33" t="str">
        <f aca="false">IF($B24="","",IF(NOT(ISNUMBER($B24)),"日期格式不对",IF($C24="","未选资金账户",IF(AND(N($I24)=0,N($J24)=0),"收支都为空",IF(AND(N($I24)&gt;0,N($J24)&gt;0),"收支不能同时填",IF(AND($D24&lt;&gt;"",LEFT($O24,1)="⚠"),"项目编号不存在",IF(AND($M24="是",$F24=""),"工程回款必须填往来单位","√")))))))</f>
        <v>√</v>
      </c>
      <c r="O24" s="34" t="str">
        <f aca="false">IF($D24="","",IFERROR(INDEX(项目档案!$B$6:$B$255,MATCH($D24,项目档案!$A$6:$A$255,0)),"⚠编号不存在"))</f>
        <v/>
      </c>
      <c r="P24" s="35" t="str">
        <f aca="false">IF($B24="","",TEXT($B24,"yyyy-mm"))</f>
        <v>2026-08</v>
      </c>
    </row>
    <row r="25" customFormat="false" ht="15.75" hidden="false" customHeight="true" outlineLevel="0" collapsed="false">
      <c r="A25" s="32" t="n">
        <f aca="false">IF($B25="","",ROW()-4)</f>
        <v>21</v>
      </c>
      <c r="B25" s="26" t="n">
        <v>46244</v>
      </c>
      <c r="C25" s="21" t="s">
        <v>611</v>
      </c>
      <c r="D25" s="24"/>
      <c r="E25" s="21" t="s">
        <v>629</v>
      </c>
      <c r="F25" s="24"/>
      <c r="G25" s="21" t="s">
        <v>661</v>
      </c>
      <c r="H25" s="25" t="s">
        <v>663</v>
      </c>
      <c r="I25" s="27"/>
      <c r="J25" s="27" t="n">
        <v>106.2</v>
      </c>
      <c r="K25" s="36" t="n">
        <f aca="false">IF($B25="","",IF($C25="泓普",$C$2,IF($C25="仟茂",$E$2,IF($C25="现金",$G$2,0)))+SUMIFS($I$5:$I25,$C$5:$C25,$C25)-SUMIFS($J$5:$J25,$C$5:$C25,$C25))</f>
        <v>1456.62</v>
      </c>
      <c r="L25" s="36" t="n">
        <f aca="false">IF($B25="","",$C$2+$E$2+$G$2+SUM($I$5:$I25)-SUM($J$5:$J25))</f>
        <v>8702.41</v>
      </c>
      <c r="M25" s="24"/>
      <c r="N25" s="33" t="str">
        <f aca="false">IF($B25="","",IF(NOT(ISNUMBER($B25)),"日期格式不对",IF($C25="","未选资金账户",IF(AND(N($I25)=0,N($J25)=0),"收支都为空",IF(AND(N($I25)&gt;0,N($J25)&gt;0),"收支不能同时填",IF(AND($D25&lt;&gt;"",LEFT($O25,1)="⚠"),"项目编号不存在",IF(AND($M25="是",$F25=""),"工程回款必须填往来单位","√")))))))</f>
        <v>√</v>
      </c>
      <c r="O25" s="34" t="str">
        <f aca="false">IF($D25="","",IFERROR(INDEX(项目档案!$B$6:$B$255,MATCH($D25,项目档案!$A$6:$A$255,0)),"⚠编号不存在"))</f>
        <v/>
      </c>
      <c r="P25" s="35" t="str">
        <f aca="false">IF($B25="","",TEXT($B25,"yyyy-mm"))</f>
        <v>2026-08</v>
      </c>
    </row>
    <row r="26" customFormat="false" ht="15.75" hidden="false" customHeight="true" outlineLevel="0" collapsed="false">
      <c r="A26" s="32" t="n">
        <f aca="false">IF($B26="","",ROW()-4)</f>
        <v>22</v>
      </c>
      <c r="B26" s="26" t="n">
        <v>46245</v>
      </c>
      <c r="C26" s="21" t="s">
        <v>127</v>
      </c>
      <c r="D26" s="24"/>
      <c r="E26" s="21" t="s">
        <v>664</v>
      </c>
      <c r="F26" s="24"/>
      <c r="G26" s="21" t="s">
        <v>641</v>
      </c>
      <c r="H26" s="25" t="s">
        <v>665</v>
      </c>
      <c r="I26" s="27"/>
      <c r="J26" s="27" t="n">
        <v>100</v>
      </c>
      <c r="K26" s="36" t="n">
        <f aca="false">IF($B26="","",IF($C26="泓普",$C$2,IF($C26="仟茂",$E$2,IF($C26="现金",$G$2,0)))+SUMIFS($I$5:$I26,$C$5:$C26,$C26)-SUMIFS($J$5:$J26,$C$5:$C26,$C26))</f>
        <v>4104.48</v>
      </c>
      <c r="L26" s="36" t="n">
        <f aca="false">IF($B26="","",$C$2+$E$2+$G$2+SUM($I$5:$I26)-SUM($J$5:$J26))</f>
        <v>8602.41</v>
      </c>
      <c r="M26" s="24"/>
      <c r="N26" s="33" t="str">
        <f aca="false">IF($B26="","",IF(NOT(ISNUMBER($B26)),"日期格式不对",IF($C26="","未选资金账户",IF(AND(N($I26)=0,N($J26)=0),"收支都为空",IF(AND(N($I26)&gt;0,N($J26)&gt;0),"收支不能同时填",IF(AND($D26&lt;&gt;"",LEFT($O26,1)="⚠"),"项目编号不存在",IF(AND($M26="是",$F26=""),"工程回款必须填往来单位","√")))))))</f>
        <v>√</v>
      </c>
      <c r="O26" s="34" t="str">
        <f aca="false">IF($D26="","",IFERROR(INDEX(项目档案!$B$6:$B$255,MATCH($D26,项目档案!$A$6:$A$255,0)),"⚠编号不存在"))</f>
        <v/>
      </c>
      <c r="P26" s="35" t="str">
        <f aca="false">IF($B26="","",TEXT($B26,"yyyy-mm"))</f>
        <v>2026-08</v>
      </c>
    </row>
    <row r="27" customFormat="false" ht="15.75" hidden="false" customHeight="true" outlineLevel="0" collapsed="false">
      <c r="A27" s="32" t="n">
        <f aca="false">IF($B27="","",ROW()-4)</f>
        <v>23</v>
      </c>
      <c r="B27" s="26" t="n">
        <v>46256</v>
      </c>
      <c r="C27" s="21" t="s">
        <v>611</v>
      </c>
      <c r="D27" s="24"/>
      <c r="E27" s="21" t="s">
        <v>666</v>
      </c>
      <c r="F27" s="24"/>
      <c r="G27" s="21" t="s">
        <v>667</v>
      </c>
      <c r="H27" s="25" t="s">
        <v>668</v>
      </c>
      <c r="I27" s="27"/>
      <c r="J27" s="27" t="n">
        <v>280</v>
      </c>
      <c r="K27" s="36" t="n">
        <f aca="false">IF($B27="","",IF($C27="泓普",$C$2,IF($C27="仟茂",$E$2,IF($C27="现金",$G$2,0)))+SUMIFS($I$5:$I27,$C$5:$C27,$C27)-SUMIFS($J$5:$J27,$C$5:$C27,$C27))</f>
        <v>1176.62</v>
      </c>
      <c r="L27" s="36" t="n">
        <f aca="false">IF($B27="","",$C$2+$E$2+$G$2+SUM($I$5:$I27)-SUM($J$5:$J27))</f>
        <v>8322.41</v>
      </c>
      <c r="M27" s="24"/>
      <c r="N27" s="33" t="str">
        <f aca="false">IF($B27="","",IF(NOT(ISNUMBER($B27)),"日期格式不对",IF($C27="","未选资金账户",IF(AND(N($I27)=0,N($J27)=0),"收支都为空",IF(AND(N($I27)&gt;0,N($J27)&gt;0),"收支不能同时填",IF(AND($D27&lt;&gt;"",LEFT($O27,1)="⚠"),"项目编号不存在",IF(AND($M27="是",$F27=""),"工程回款必须填往来单位","√")))))))</f>
        <v>√</v>
      </c>
      <c r="O27" s="34" t="str">
        <f aca="false">IF($D27="","",IFERROR(INDEX(项目档案!$B$6:$B$255,MATCH($D27,项目档案!$A$6:$A$255,0)),"⚠编号不存在"))</f>
        <v/>
      </c>
      <c r="P27" s="35" t="str">
        <f aca="false">IF($B27="","",TEXT($B27,"yyyy-mm"))</f>
        <v>2026-08</v>
      </c>
    </row>
    <row r="28" customFormat="false" ht="15.75" hidden="false" customHeight="true" outlineLevel="0" collapsed="false">
      <c r="A28" s="32" t="n">
        <f aca="false">IF($B28="","",ROW()-4)</f>
        <v>24</v>
      </c>
      <c r="B28" s="26" t="n">
        <v>46259</v>
      </c>
      <c r="C28" s="21" t="s">
        <v>611</v>
      </c>
      <c r="D28" s="24"/>
      <c r="E28" s="21" t="s">
        <v>629</v>
      </c>
      <c r="F28" s="24"/>
      <c r="G28" s="21" t="s">
        <v>661</v>
      </c>
      <c r="H28" s="25" t="s">
        <v>669</v>
      </c>
      <c r="I28" s="27"/>
      <c r="J28" s="27" t="n">
        <v>9.68</v>
      </c>
      <c r="K28" s="36" t="n">
        <f aca="false">IF($B28="","",IF($C28="泓普",$C$2,IF($C28="仟茂",$E$2,IF($C28="现金",$G$2,0)))+SUMIFS($I$5:$I28,$C$5:$C28,$C28)-SUMIFS($J$5:$J28,$C$5:$C28,$C28))</f>
        <v>1166.94</v>
      </c>
      <c r="L28" s="36" t="n">
        <f aca="false">IF($B28="","",$C$2+$E$2+$G$2+SUM($I$5:$I28)-SUM($J$5:$J28))</f>
        <v>8312.73</v>
      </c>
      <c r="M28" s="24"/>
      <c r="N28" s="33" t="str">
        <f aca="false">IF($B28="","",IF(NOT(ISNUMBER($B28)),"日期格式不对",IF($C28="","未选资金账户",IF(AND(N($I28)=0,N($J28)=0),"收支都为空",IF(AND(N($I28)&gt;0,N($J28)&gt;0),"收支不能同时填",IF(AND($D28&lt;&gt;"",LEFT($O28,1)="⚠"),"项目编号不存在",IF(AND($M28="是",$F28=""),"工程回款必须填往来单位","√")))))))</f>
        <v>√</v>
      </c>
      <c r="O28" s="34" t="str">
        <f aca="false">IF($D28="","",IFERROR(INDEX(项目档案!$B$6:$B$255,MATCH($D28,项目档案!$A$6:$A$255,0)),"⚠编号不存在"))</f>
        <v/>
      </c>
      <c r="P28" s="35" t="str">
        <f aca="false">IF($B28="","",TEXT($B28,"yyyy-mm"))</f>
        <v>2026-08</v>
      </c>
    </row>
    <row r="29" customFormat="false" ht="15.75" hidden="false" customHeight="true" outlineLevel="0" collapsed="false">
      <c r="A29" s="32" t="n">
        <f aca="false">IF($B29="","",ROW()-4)</f>
        <v>25</v>
      </c>
      <c r="B29" s="26" t="n">
        <v>46259</v>
      </c>
      <c r="C29" s="21" t="s">
        <v>611</v>
      </c>
      <c r="D29" s="24"/>
      <c r="E29" s="21" t="s">
        <v>655</v>
      </c>
      <c r="F29" s="24"/>
      <c r="G29" s="21" t="s">
        <v>661</v>
      </c>
      <c r="H29" s="25" t="s">
        <v>670</v>
      </c>
      <c r="I29" s="27"/>
      <c r="J29" s="27" t="n">
        <v>200</v>
      </c>
      <c r="K29" s="36" t="n">
        <f aca="false">IF($B29="","",IF($C29="泓普",$C$2,IF($C29="仟茂",$E$2,IF($C29="现金",$G$2,0)))+SUMIFS($I$5:$I29,$C$5:$C29,$C29)-SUMIFS($J$5:$J29,$C$5:$C29,$C29))</f>
        <v>966.94</v>
      </c>
      <c r="L29" s="36" t="n">
        <f aca="false">IF($B29="","",$C$2+$E$2+$G$2+SUM($I$5:$I29)-SUM($J$5:$J29))</f>
        <v>8112.73</v>
      </c>
      <c r="M29" s="24"/>
      <c r="N29" s="33" t="str">
        <f aca="false">IF($B29="","",IF(NOT(ISNUMBER($B29)),"日期格式不对",IF($C29="","未选资金账户",IF(AND(N($I29)=0,N($J29)=0),"收支都为空",IF(AND(N($I29)&gt;0,N($J29)&gt;0),"收支不能同时填",IF(AND($D29&lt;&gt;"",LEFT($O29,1)="⚠"),"项目编号不存在",IF(AND($M29="是",$F29=""),"工程回款必须填往来单位","√")))))))</f>
        <v>√</v>
      </c>
      <c r="O29" s="34" t="str">
        <f aca="false">IF($D29="","",IFERROR(INDEX(项目档案!$B$6:$B$255,MATCH($D29,项目档案!$A$6:$A$255,0)),"⚠编号不存在"))</f>
        <v/>
      </c>
      <c r="P29" s="35" t="str">
        <f aca="false">IF($B29="","",TEXT($B29,"yyyy-mm"))</f>
        <v>2026-08</v>
      </c>
    </row>
    <row r="30" customFormat="false" ht="15.75" hidden="false" customHeight="true" outlineLevel="0" collapsed="false">
      <c r="A30" s="32" t="n">
        <f aca="false">IF($B30="","",ROW()-4)</f>
        <v>26</v>
      </c>
      <c r="B30" s="26" t="n">
        <v>46259</v>
      </c>
      <c r="C30" s="21" t="s">
        <v>611</v>
      </c>
      <c r="D30" s="24"/>
      <c r="E30" s="21" t="s">
        <v>655</v>
      </c>
      <c r="F30" s="24"/>
      <c r="G30" s="21" t="s">
        <v>661</v>
      </c>
      <c r="H30" s="25" t="s">
        <v>671</v>
      </c>
      <c r="I30" s="27"/>
      <c r="J30" s="27" t="n">
        <v>114.3</v>
      </c>
      <c r="K30" s="36" t="n">
        <f aca="false">IF($B30="","",IF($C30="泓普",$C$2,IF($C30="仟茂",$E$2,IF($C30="现金",$G$2,0)))+SUMIFS($I$5:$I30,$C$5:$C30,$C30)-SUMIFS($J$5:$J30,$C$5:$C30,$C30))</f>
        <v>852.639999999999</v>
      </c>
      <c r="L30" s="36" t="n">
        <f aca="false">IF($B30="","",$C$2+$E$2+$G$2+SUM($I$5:$I30)-SUM($J$5:$J30))</f>
        <v>7998.43</v>
      </c>
      <c r="M30" s="24"/>
      <c r="N30" s="33" t="str">
        <f aca="false">IF($B30="","",IF(NOT(ISNUMBER($B30)),"日期格式不对",IF($C30="","未选资金账户",IF(AND(N($I30)=0,N($J30)=0),"收支都为空",IF(AND(N($I30)&gt;0,N($J30)&gt;0),"收支不能同时填",IF(AND($D30&lt;&gt;"",LEFT($O30,1)="⚠"),"项目编号不存在",IF(AND($M30="是",$F30=""),"工程回款必须填往来单位","√")))))))</f>
        <v>√</v>
      </c>
      <c r="O30" s="34" t="str">
        <f aca="false">IF($D30="","",IFERROR(INDEX(项目档案!$B$6:$B$255,MATCH($D30,项目档案!$A$6:$A$255,0)),"⚠编号不存在"))</f>
        <v/>
      </c>
      <c r="P30" s="35" t="str">
        <f aca="false">IF($B30="","",TEXT($B30,"yyyy-mm"))</f>
        <v>2026-08</v>
      </c>
    </row>
    <row r="31" customFormat="false" ht="15.75" hidden="false" customHeight="true" outlineLevel="0" collapsed="false">
      <c r="A31" s="32" t="n">
        <f aca="false">IF($B31="","",ROW()-4)</f>
        <v>27</v>
      </c>
      <c r="B31" s="26" t="n">
        <v>46260</v>
      </c>
      <c r="C31" s="21" t="s">
        <v>131</v>
      </c>
      <c r="D31" s="24"/>
      <c r="E31" s="21" t="s">
        <v>623</v>
      </c>
      <c r="F31" s="24"/>
      <c r="G31" s="21" t="s">
        <v>624</v>
      </c>
      <c r="H31" s="25" t="s">
        <v>672</v>
      </c>
      <c r="I31" s="27" t="n">
        <v>49836.4</v>
      </c>
      <c r="J31" s="27"/>
      <c r="K31" s="36" t="n">
        <f aca="false">IF($B31="","",IF($C31="泓普",$C$2,IF($C31="仟茂",$E$2,IF($C31="现金",$G$2,0)))+SUMIFS($I$5:$I31,$C$5:$C31,$C31)-SUMIFS($J$5:$J31,$C$5:$C31,$C31))</f>
        <v>52877.71</v>
      </c>
      <c r="L31" s="36" t="n">
        <f aca="false">IF($B31="","",$C$2+$E$2+$G$2+SUM($I$5:$I31)-SUM($J$5:$J31))</f>
        <v>57834.83</v>
      </c>
      <c r="M31" s="24"/>
      <c r="N31" s="33" t="str">
        <f aca="false">IF($B31="","",IF(NOT(ISNUMBER($B31)),"日期格式不对",IF($C31="","未选资金账户",IF(AND(N($I31)=0,N($J31)=0),"收支都为空",IF(AND(N($I31)&gt;0,N($J31)&gt;0),"收支不能同时填",IF(AND($D31&lt;&gt;"",LEFT($O31,1)="⚠"),"项目编号不存在",IF(AND($M31="是",$F31=""),"工程回款必须填往来单位","√")))))))</f>
        <v>√</v>
      </c>
      <c r="O31" s="34" t="str">
        <f aca="false">IF($D31="","",IFERROR(INDEX(项目档案!$B$6:$B$255,MATCH($D31,项目档案!$A$6:$A$255,0)),"⚠编号不存在"))</f>
        <v/>
      </c>
      <c r="P31" s="35" t="str">
        <f aca="false">IF($B31="","",TEXT($B31,"yyyy-mm"))</f>
        <v>2026-08</v>
      </c>
    </row>
    <row r="32" customFormat="false" ht="15.75" hidden="false" customHeight="true" outlineLevel="0" collapsed="false">
      <c r="A32" s="32" t="n">
        <f aca="false">IF($B32="","",ROW()-4)</f>
        <v>28</v>
      </c>
      <c r="B32" s="26" t="n">
        <v>46261</v>
      </c>
      <c r="C32" s="21" t="s">
        <v>131</v>
      </c>
      <c r="D32" s="24"/>
      <c r="E32" s="21" t="s">
        <v>634</v>
      </c>
      <c r="F32" s="24"/>
      <c r="G32" s="21" t="s">
        <v>624</v>
      </c>
      <c r="H32" s="25" t="s">
        <v>673</v>
      </c>
      <c r="I32" s="27"/>
      <c r="J32" s="27" t="n">
        <v>1</v>
      </c>
      <c r="K32" s="36" t="n">
        <f aca="false">IF($B32="","",IF($C32="泓普",$C$2,IF($C32="仟茂",$E$2,IF($C32="现金",$G$2,0)))+SUMIFS($I$5:$I32,$C$5:$C32,$C32)-SUMIFS($J$5:$J32,$C$5:$C32,$C32))</f>
        <v>52876.71</v>
      </c>
      <c r="L32" s="36" t="n">
        <f aca="false">IF($B32="","",$C$2+$E$2+$G$2+SUM($I$5:$I32)-SUM($J$5:$J32))</f>
        <v>57833.83</v>
      </c>
      <c r="M32" s="24"/>
      <c r="N32" s="33" t="str">
        <f aca="false">IF($B32="","",IF(NOT(ISNUMBER($B32)),"日期格式不对",IF($C32="","未选资金账户",IF(AND(N($I32)=0,N($J32)=0),"收支都为空",IF(AND(N($I32)&gt;0,N($J32)&gt;0),"收支不能同时填",IF(AND($D32&lt;&gt;"",LEFT($O32,1)="⚠"),"项目编号不存在",IF(AND($M32="是",$F32=""),"工程回款必须填往来单位","√")))))))</f>
        <v>√</v>
      </c>
      <c r="O32" s="34" t="str">
        <f aca="false">IF($D32="","",IFERROR(INDEX(项目档案!$B$6:$B$255,MATCH($D32,项目档案!$A$6:$A$255,0)),"⚠编号不存在"))</f>
        <v/>
      </c>
      <c r="P32" s="35" t="str">
        <f aca="false">IF($B32="","",TEXT($B32,"yyyy-mm"))</f>
        <v>2026-08</v>
      </c>
    </row>
    <row r="33" customFormat="false" ht="15.75" hidden="false" customHeight="true" outlineLevel="0" collapsed="false">
      <c r="A33" s="32" t="n">
        <f aca="false">IF($B33="","",ROW()-4)</f>
        <v>29</v>
      </c>
      <c r="B33" s="26" t="n">
        <v>46261</v>
      </c>
      <c r="C33" s="21" t="s">
        <v>131</v>
      </c>
      <c r="D33" s="24"/>
      <c r="E33" s="21" t="s">
        <v>636</v>
      </c>
      <c r="F33" s="24"/>
      <c r="G33" s="21" t="s">
        <v>624</v>
      </c>
      <c r="H33" s="25" t="s">
        <v>674</v>
      </c>
      <c r="I33" s="27"/>
      <c r="J33" s="27" t="n">
        <v>5000</v>
      </c>
      <c r="K33" s="36" t="n">
        <f aca="false">IF($B33="","",IF($C33="泓普",$C$2,IF($C33="仟茂",$E$2,IF($C33="现金",$G$2,0)))+SUMIFS($I$5:$I33,$C$5:$C33,$C33)-SUMIFS($J$5:$J33,$C$5:$C33,$C33))</f>
        <v>47876.71</v>
      </c>
      <c r="L33" s="36" t="n">
        <f aca="false">IF($B33="","",$C$2+$E$2+$G$2+SUM($I$5:$I33)-SUM($J$5:$J33))</f>
        <v>52833.83</v>
      </c>
      <c r="M33" s="24"/>
      <c r="N33" s="33" t="str">
        <f aca="false">IF($B33="","",IF(NOT(ISNUMBER($B33)),"日期格式不对",IF($C33="","未选资金账户",IF(AND(N($I33)=0,N($J33)=0),"收支都为空",IF(AND(N($I33)&gt;0,N($J33)&gt;0),"收支不能同时填",IF(AND($D33&lt;&gt;"",LEFT($O33,1)="⚠"),"项目编号不存在",IF(AND($M33="是",$F33=""),"工程回款必须填往来单位","√")))))))</f>
        <v>√</v>
      </c>
      <c r="O33" s="34" t="str">
        <f aca="false">IF($D33="","",IFERROR(INDEX(项目档案!$B$6:$B$255,MATCH($D33,项目档案!$A$6:$A$255,0)),"⚠编号不存在"))</f>
        <v/>
      </c>
      <c r="P33" s="35" t="str">
        <f aca="false">IF($B33="","",TEXT($B33,"yyyy-mm"))</f>
        <v>2026-08</v>
      </c>
    </row>
    <row r="34" customFormat="false" ht="15.75" hidden="false" customHeight="true" outlineLevel="0" collapsed="false">
      <c r="A34" s="32" t="n">
        <f aca="false">IF($B34="","",ROW()-4)</f>
        <v>30</v>
      </c>
      <c r="B34" s="26" t="n">
        <v>46262</v>
      </c>
      <c r="C34" s="21" t="s">
        <v>611</v>
      </c>
      <c r="D34" s="24"/>
      <c r="E34" s="21" t="s">
        <v>675</v>
      </c>
      <c r="F34" s="24"/>
      <c r="G34" s="21" t="s">
        <v>627</v>
      </c>
      <c r="H34" s="25" t="s">
        <v>676</v>
      </c>
      <c r="I34" s="27"/>
      <c r="J34" s="27" t="n">
        <v>200</v>
      </c>
      <c r="K34" s="36" t="n">
        <f aca="false">IF($B34="","",IF($C34="泓普",$C$2,IF($C34="仟茂",$E$2,IF($C34="现金",$G$2,0)))+SUMIFS($I$5:$I34,$C$5:$C34,$C34)-SUMIFS($J$5:$J34,$C$5:$C34,$C34))</f>
        <v>652.639999999999</v>
      </c>
      <c r="L34" s="36" t="n">
        <f aca="false">IF($B34="","",$C$2+$E$2+$G$2+SUM($I$5:$I34)-SUM($J$5:$J34))</f>
        <v>52633.83</v>
      </c>
      <c r="M34" s="24"/>
      <c r="N34" s="33" t="str">
        <f aca="false">IF($B34="","",IF(NOT(ISNUMBER($B34)),"日期格式不对",IF($C34="","未选资金账户",IF(AND(N($I34)=0,N($J34)=0),"收支都为空",IF(AND(N($I34)&gt;0,N($J34)&gt;0),"收支不能同时填",IF(AND($D34&lt;&gt;"",LEFT($O34,1)="⚠"),"项目编号不存在",IF(AND($M34="是",$F34=""),"工程回款必须填往来单位","√")))))))</f>
        <v>√</v>
      </c>
      <c r="O34" s="34" t="str">
        <f aca="false">IF($D34="","",IFERROR(INDEX(项目档案!$B$6:$B$255,MATCH($D34,项目档案!$A$6:$A$255,0)),"⚠编号不存在"))</f>
        <v/>
      </c>
      <c r="P34" s="35" t="str">
        <f aca="false">IF($B34="","",TEXT($B34,"yyyy-mm"))</f>
        <v>2026-08</v>
      </c>
    </row>
    <row r="35" customFormat="false" ht="15.75" hidden="false" customHeight="true" outlineLevel="0" collapsed="false">
      <c r="A35" s="32" t="n">
        <f aca="false">IF($B35="","",ROW()-4)</f>
        <v>31</v>
      </c>
      <c r="B35" s="26" t="n">
        <v>46262</v>
      </c>
      <c r="C35" s="21" t="s">
        <v>611</v>
      </c>
      <c r="D35" s="24"/>
      <c r="E35" s="21" t="s">
        <v>655</v>
      </c>
      <c r="F35" s="24"/>
      <c r="G35" s="21" t="s">
        <v>656</v>
      </c>
      <c r="H35" s="25" t="s">
        <v>677</v>
      </c>
      <c r="I35" s="27"/>
      <c r="J35" s="27" t="n">
        <v>105</v>
      </c>
      <c r="K35" s="36" t="n">
        <f aca="false">IF($B35="","",IF($C35="泓普",$C$2,IF($C35="仟茂",$E$2,IF($C35="现金",$G$2,0)))+SUMIFS($I$5:$I35,$C$5:$C35,$C35)-SUMIFS($J$5:$J35,$C$5:$C35,$C35))</f>
        <v>547.639999999999</v>
      </c>
      <c r="L35" s="36" t="n">
        <f aca="false">IF($B35="","",$C$2+$E$2+$G$2+SUM($I$5:$I35)-SUM($J$5:$J35))</f>
        <v>52528.83</v>
      </c>
      <c r="M35" s="24"/>
      <c r="N35" s="33" t="str">
        <f aca="false">IF($B35="","",IF(NOT(ISNUMBER($B35)),"日期格式不对",IF($C35="","未选资金账户",IF(AND(N($I35)=0,N($J35)=0),"收支都为空",IF(AND(N($I35)&gt;0,N($J35)&gt;0),"收支不能同时填",IF(AND($D35&lt;&gt;"",LEFT($O35,1)="⚠"),"项目编号不存在",IF(AND($M35="是",$F35=""),"工程回款必须填往来单位","√")))))))</f>
        <v>√</v>
      </c>
      <c r="O35" s="34" t="str">
        <f aca="false">IF($D35="","",IFERROR(INDEX(项目档案!$B$6:$B$255,MATCH($D35,项目档案!$A$6:$A$255,0)),"⚠编号不存在"))</f>
        <v/>
      </c>
      <c r="P35" s="35" t="str">
        <f aca="false">IF($B35="","",TEXT($B35,"yyyy-mm"))</f>
        <v>2026-08</v>
      </c>
    </row>
    <row r="36" customFormat="false" ht="15.75" hidden="false" customHeight="true" outlineLevel="0" collapsed="false">
      <c r="A36" s="32" t="n">
        <f aca="false">IF($B36="","",ROW()-4)</f>
        <v>32</v>
      </c>
      <c r="B36" s="26" t="n">
        <v>46262</v>
      </c>
      <c r="C36" s="21" t="s">
        <v>611</v>
      </c>
      <c r="D36" s="24"/>
      <c r="E36" s="21" t="s">
        <v>678</v>
      </c>
      <c r="F36" s="24"/>
      <c r="G36" s="21" t="s">
        <v>667</v>
      </c>
      <c r="H36" s="25" t="s">
        <v>679</v>
      </c>
      <c r="I36" s="27"/>
      <c r="J36" s="27" t="n">
        <v>300</v>
      </c>
      <c r="K36" s="36" t="n">
        <f aca="false">IF($B36="","",IF($C36="泓普",$C$2,IF($C36="仟茂",$E$2,IF($C36="现金",$G$2,0)))+SUMIFS($I$5:$I36,$C$5:$C36,$C36)-SUMIFS($J$5:$J36,$C$5:$C36,$C36))</f>
        <v>247.639999999999</v>
      </c>
      <c r="L36" s="36" t="n">
        <f aca="false">IF($B36="","",$C$2+$E$2+$G$2+SUM($I$5:$I36)-SUM($J$5:$J36))</f>
        <v>52228.83</v>
      </c>
      <c r="M36" s="24"/>
      <c r="N36" s="33" t="str">
        <f aca="false">IF($B36="","",IF(NOT(ISNUMBER($B36)),"日期格式不对",IF($C36="","未选资金账户",IF(AND(N($I36)=0,N($J36)=0),"收支都为空",IF(AND(N($I36)&gt;0,N($J36)&gt;0),"收支不能同时填",IF(AND($D36&lt;&gt;"",LEFT($O36,1)="⚠"),"项目编号不存在",IF(AND($M36="是",$F36=""),"工程回款必须填往来单位","√")))))))</f>
        <v>√</v>
      </c>
      <c r="O36" s="34" t="str">
        <f aca="false">IF($D36="","",IFERROR(INDEX(项目档案!$B$6:$B$255,MATCH($D36,项目档案!$A$6:$A$255,0)),"⚠编号不存在"))</f>
        <v/>
      </c>
      <c r="P36" s="35" t="str">
        <f aca="false">IF($B36="","",TEXT($B36,"yyyy-mm"))</f>
        <v>2026-08</v>
      </c>
    </row>
    <row r="37" customFormat="false" ht="15.75" hidden="false" customHeight="true" outlineLevel="0" collapsed="false">
      <c r="A37" s="32" t="n">
        <f aca="false">IF($B37="","",ROW()-4)</f>
        <v>33</v>
      </c>
      <c r="B37" s="26" t="n">
        <v>46262</v>
      </c>
      <c r="C37" s="21" t="s">
        <v>611</v>
      </c>
      <c r="D37" s="24"/>
      <c r="E37" s="21" t="s">
        <v>643</v>
      </c>
      <c r="F37" s="24"/>
      <c r="G37" s="21" t="s">
        <v>667</v>
      </c>
      <c r="H37" s="25" t="s">
        <v>680</v>
      </c>
      <c r="I37" s="27"/>
      <c r="J37" s="27" t="n">
        <v>40</v>
      </c>
      <c r="K37" s="36" t="n">
        <f aca="false">IF($B37="","",IF($C37="泓普",$C$2,IF($C37="仟茂",$E$2,IF($C37="现金",$G$2,0)))+SUMIFS($I$5:$I37,$C$5:$C37,$C37)-SUMIFS($J$5:$J37,$C$5:$C37,$C37))</f>
        <v>207.639999999999</v>
      </c>
      <c r="L37" s="36" t="n">
        <f aca="false">IF($B37="","",$C$2+$E$2+$G$2+SUM($I$5:$I37)-SUM($J$5:$J37))</f>
        <v>52188.83</v>
      </c>
      <c r="M37" s="24"/>
      <c r="N37" s="33" t="str">
        <f aca="false">IF($B37="","",IF(NOT(ISNUMBER($B37)),"日期格式不对",IF($C37="","未选资金账户",IF(AND(N($I37)=0,N($J37)=0),"收支都为空",IF(AND(N($I37)&gt;0,N($J37)&gt;0),"收支不能同时填",IF(AND($D37&lt;&gt;"",LEFT($O37,1)="⚠"),"项目编号不存在",IF(AND($M37="是",$F37=""),"工程回款必须填往来单位","√")))))))</f>
        <v>√</v>
      </c>
      <c r="O37" s="34" t="str">
        <f aca="false">IF($D37="","",IFERROR(INDEX(项目档案!$B$6:$B$255,MATCH($D37,项目档案!$A$6:$A$255,0)),"⚠编号不存在"))</f>
        <v/>
      </c>
      <c r="P37" s="35" t="str">
        <f aca="false">IF($B37="","",TEXT($B37,"yyyy-mm"))</f>
        <v>2026-08</v>
      </c>
    </row>
    <row r="38" customFormat="false" ht="15.75" hidden="false" customHeight="true" outlineLevel="0" collapsed="false">
      <c r="A38" s="32" t="n">
        <f aca="false">IF($B38="","",ROW()-4)</f>
        <v>34</v>
      </c>
      <c r="B38" s="26" t="n">
        <v>46262</v>
      </c>
      <c r="C38" s="21" t="s">
        <v>611</v>
      </c>
      <c r="D38" s="24"/>
      <c r="E38" s="21" t="s">
        <v>655</v>
      </c>
      <c r="F38" s="24"/>
      <c r="G38" s="21" t="s">
        <v>661</v>
      </c>
      <c r="H38" s="25" t="s">
        <v>681</v>
      </c>
      <c r="I38" s="27"/>
      <c r="J38" s="27" t="n">
        <v>5250</v>
      </c>
      <c r="K38" s="36" t="n">
        <f aca="false">IF($B38="","",IF($C38="泓普",$C$2,IF($C38="仟茂",$E$2,IF($C38="现金",$G$2,0)))+SUMIFS($I$5:$I38,$C$5:$C38,$C38)-SUMIFS($J$5:$J38,$C$5:$C38,$C38))</f>
        <v>-5042.36</v>
      </c>
      <c r="L38" s="36" t="n">
        <f aca="false">IF($B38="","",$C$2+$E$2+$G$2+SUM($I$5:$I38)-SUM($J$5:$J38))</f>
        <v>46938.83</v>
      </c>
      <c r="M38" s="24"/>
      <c r="N38" s="33" t="str">
        <f aca="false">IF($B38="","",IF(NOT(ISNUMBER($B38)),"日期格式不对",IF($C38="","未选资金账户",IF(AND(N($I38)=0,N($J38)=0),"收支都为空",IF(AND(N($I38)&gt;0,N($J38)&gt;0),"收支不能同时填",IF(AND($D38&lt;&gt;"",LEFT($O38,1)="⚠"),"项目编号不存在",IF(AND($M38="是",$F38=""),"工程回款必须填往来单位","√")))))))</f>
        <v>√</v>
      </c>
      <c r="O38" s="34" t="str">
        <f aca="false">IF($D38="","",IFERROR(INDEX(项目档案!$B$6:$B$255,MATCH($D38,项目档案!$A$6:$A$255,0)),"⚠编号不存在"))</f>
        <v/>
      </c>
      <c r="P38" s="35" t="str">
        <f aca="false">IF($B38="","",TEXT($B38,"yyyy-mm"))</f>
        <v>2026-08</v>
      </c>
    </row>
    <row r="39" customFormat="false" ht="15.75" hidden="false" customHeight="true" outlineLevel="0" collapsed="false">
      <c r="A39" s="32" t="str">
        <f aca="false">IF($B39="","",ROW()-4)</f>
        <v/>
      </c>
      <c r="B39" s="26"/>
      <c r="C39" s="21"/>
      <c r="D39" s="24"/>
      <c r="E39" s="21"/>
      <c r="F39" s="24"/>
      <c r="G39" s="21"/>
      <c r="H39" s="22"/>
      <c r="I39" s="27"/>
      <c r="J39" s="27"/>
      <c r="K39" s="36" t="str">
        <f aca="false">IF($B39="","",IF($C39="泓普",$C$2,IF($C39="仟茂",$E$2,IF($C39="现金",$G$2,0)))+SUMIFS($I$5:$I39,$C$5:$C39,$C39)-SUMIFS($J$5:$J39,$C$5:$C39,$C39))</f>
        <v/>
      </c>
      <c r="L39" s="36" t="str">
        <f aca="false">IF($B39="","",$C$2+$E$2+$G$2+SUM($I$5:$I39)-SUM($J$5:$J39))</f>
        <v/>
      </c>
      <c r="M39" s="24"/>
      <c r="N39" s="33" t="str">
        <f aca="false">IF($B39="","",IF(NOT(ISNUMBER($B39)),"日期格式不对",IF($C39="","未选资金账户",IF(AND(N($I39)=0,N($J39)=0),"收支都为空",IF(AND(N($I39)&gt;0,N($J39)&gt;0),"收支不能同时填",IF(AND($D39&lt;&gt;"",LEFT($O39,1)="⚠"),"项目编号不存在",IF(AND($M39="是",$F39=""),"工程回款必须填往来单位","√")))))))</f>
        <v/>
      </c>
      <c r="O39" s="34" t="str">
        <f aca="false">IF($D39="","",IFERROR(INDEX(项目档案!$B$6:$B$255,MATCH($D39,项目档案!$A$6:$A$255,0)),"⚠编号不存在"))</f>
        <v/>
      </c>
      <c r="P39" s="35" t="str">
        <f aca="false">IF($B39="","",TEXT($B39,"yyyy-mm"))</f>
        <v/>
      </c>
    </row>
    <row r="40" customFormat="false" ht="15.75" hidden="false" customHeight="true" outlineLevel="0" collapsed="false">
      <c r="A40" s="32" t="str">
        <f aca="false">IF($B40="","",ROW()-4)</f>
        <v/>
      </c>
      <c r="B40" s="26"/>
      <c r="C40" s="21"/>
      <c r="D40" s="24"/>
      <c r="E40" s="21"/>
      <c r="F40" s="24"/>
      <c r="G40" s="21"/>
      <c r="H40" s="22"/>
      <c r="I40" s="27"/>
      <c r="J40" s="27"/>
      <c r="K40" s="36" t="str">
        <f aca="false">IF($B40="","",IF($C40="泓普",$C$2,IF($C40="仟茂",$E$2,IF($C40="现金",$G$2,0)))+SUMIFS($I$5:$I40,$C$5:$C40,$C40)-SUMIFS($J$5:$J40,$C$5:$C40,$C40))</f>
        <v/>
      </c>
      <c r="L40" s="36" t="str">
        <f aca="false">IF($B40="","",$C$2+$E$2+$G$2+SUM($I$5:$I40)-SUM($J$5:$J40))</f>
        <v/>
      </c>
      <c r="M40" s="24"/>
      <c r="N40" s="33" t="str">
        <f aca="false">IF($B40="","",IF(NOT(ISNUMBER($B40)),"日期格式不对",IF($C40="","未选资金账户",IF(AND(N($I40)=0,N($J40)=0),"收支都为空",IF(AND(N($I40)&gt;0,N($J40)&gt;0),"收支不能同时填",IF(AND($D40&lt;&gt;"",LEFT($O40,1)="⚠"),"项目编号不存在",IF(AND($M40="是",$F40=""),"工程回款必须填往来单位","√")))))))</f>
        <v/>
      </c>
      <c r="O40" s="34" t="str">
        <f aca="false">IF($D40="","",IFERROR(INDEX(项目档案!$B$6:$B$255,MATCH($D40,项目档案!$A$6:$A$255,0)),"⚠编号不存在"))</f>
        <v/>
      </c>
      <c r="P40" s="35" t="str">
        <f aca="false">IF($B40="","",TEXT($B40,"yyyy-mm"))</f>
        <v/>
      </c>
    </row>
    <row r="41" customFormat="false" ht="15.75" hidden="false" customHeight="true" outlineLevel="0" collapsed="false">
      <c r="A41" s="32" t="str">
        <f aca="false">IF($B41="","",ROW()-4)</f>
        <v/>
      </c>
      <c r="B41" s="26"/>
      <c r="C41" s="21"/>
      <c r="D41" s="24"/>
      <c r="E41" s="21"/>
      <c r="F41" s="24"/>
      <c r="G41" s="21"/>
      <c r="H41" s="22"/>
      <c r="I41" s="27"/>
      <c r="J41" s="27"/>
      <c r="K41" s="36" t="str">
        <f aca="false">IF($B41="","",IF($C41="泓普",$C$2,IF($C41="仟茂",$E$2,IF($C41="现金",$G$2,0)))+SUMIFS($I$5:$I41,$C$5:$C41,$C41)-SUMIFS($J$5:$J41,$C$5:$C41,$C41))</f>
        <v/>
      </c>
      <c r="L41" s="36" t="str">
        <f aca="false">IF($B41="","",$C$2+$E$2+$G$2+SUM($I$5:$I41)-SUM($J$5:$J41))</f>
        <v/>
      </c>
      <c r="M41" s="24"/>
      <c r="N41" s="33" t="str">
        <f aca="false">IF($B41="","",IF(NOT(ISNUMBER($B41)),"日期格式不对",IF($C41="","未选资金账户",IF(AND(N($I41)=0,N($J41)=0),"收支都为空",IF(AND(N($I41)&gt;0,N($J41)&gt;0),"收支不能同时填",IF(AND($D41&lt;&gt;"",LEFT($O41,1)="⚠"),"项目编号不存在",IF(AND($M41="是",$F41=""),"工程回款必须填往来单位","√")))))))</f>
        <v/>
      </c>
      <c r="O41" s="34" t="str">
        <f aca="false">IF($D41="","",IFERROR(INDEX(项目档案!$B$6:$B$255,MATCH($D41,项目档案!$A$6:$A$255,0)),"⚠编号不存在"))</f>
        <v/>
      </c>
      <c r="P41" s="35" t="str">
        <f aca="false">IF($B41="","",TEXT($B41,"yyyy-mm"))</f>
        <v/>
      </c>
    </row>
    <row r="42" customFormat="false" ht="15.75" hidden="false" customHeight="true" outlineLevel="0" collapsed="false">
      <c r="A42" s="32" t="str">
        <f aca="false">IF($B42="","",ROW()-4)</f>
        <v/>
      </c>
      <c r="B42" s="26"/>
      <c r="C42" s="21"/>
      <c r="D42" s="24"/>
      <c r="E42" s="21"/>
      <c r="F42" s="24"/>
      <c r="G42" s="21"/>
      <c r="H42" s="22"/>
      <c r="I42" s="27"/>
      <c r="J42" s="27"/>
      <c r="K42" s="36" t="str">
        <f aca="false">IF($B42="","",IF($C42="泓普",$C$2,IF($C42="仟茂",$E$2,IF($C42="现金",$G$2,0)))+SUMIFS($I$5:$I42,$C$5:$C42,$C42)-SUMIFS($J$5:$J42,$C$5:$C42,$C42))</f>
        <v/>
      </c>
      <c r="L42" s="36" t="str">
        <f aca="false">IF($B42="","",$C$2+$E$2+$G$2+SUM($I$5:$I42)-SUM($J$5:$J42))</f>
        <v/>
      </c>
      <c r="M42" s="24"/>
      <c r="N42" s="33" t="str">
        <f aca="false">IF($B42="","",IF(NOT(ISNUMBER($B42)),"日期格式不对",IF($C42="","未选资金账户",IF(AND(N($I42)=0,N($J42)=0),"收支都为空",IF(AND(N($I42)&gt;0,N($J42)&gt;0),"收支不能同时填",IF(AND($D42&lt;&gt;"",LEFT($O42,1)="⚠"),"项目编号不存在",IF(AND($M42="是",$F42=""),"工程回款必须填往来单位","√")))))))</f>
        <v/>
      </c>
      <c r="O42" s="34" t="str">
        <f aca="false">IF($D42="","",IFERROR(INDEX(项目档案!$B$6:$B$255,MATCH($D42,项目档案!$A$6:$A$255,0)),"⚠编号不存在"))</f>
        <v/>
      </c>
      <c r="P42" s="35" t="str">
        <f aca="false">IF($B42="","",TEXT($B42,"yyyy-mm"))</f>
        <v/>
      </c>
    </row>
    <row r="43" customFormat="false" ht="15.75" hidden="false" customHeight="true" outlineLevel="0" collapsed="false">
      <c r="A43" s="32" t="str">
        <f aca="false">IF($B43="","",ROW()-4)</f>
        <v/>
      </c>
      <c r="B43" s="26"/>
      <c r="C43" s="21"/>
      <c r="D43" s="24"/>
      <c r="E43" s="21"/>
      <c r="F43" s="24"/>
      <c r="G43" s="21"/>
      <c r="H43" s="22"/>
      <c r="I43" s="27"/>
      <c r="J43" s="27"/>
      <c r="K43" s="36" t="str">
        <f aca="false">IF($B43="","",IF($C43="泓普",$C$2,IF($C43="仟茂",$E$2,IF($C43="现金",$G$2,0)))+SUMIFS($I$5:$I43,$C$5:$C43,$C43)-SUMIFS($J$5:$J43,$C$5:$C43,$C43))</f>
        <v/>
      </c>
      <c r="L43" s="36" t="str">
        <f aca="false">IF($B43="","",$C$2+$E$2+$G$2+SUM($I$5:$I43)-SUM($J$5:$J43))</f>
        <v/>
      </c>
      <c r="M43" s="24"/>
      <c r="N43" s="33" t="str">
        <f aca="false">IF($B43="","",IF(NOT(ISNUMBER($B43)),"日期格式不对",IF($C43="","未选资金账户",IF(AND(N($I43)=0,N($J43)=0),"收支都为空",IF(AND(N($I43)&gt;0,N($J43)&gt;0),"收支不能同时填",IF(AND($D43&lt;&gt;"",LEFT($O43,1)="⚠"),"项目编号不存在",IF(AND($M43="是",$F43=""),"工程回款必须填往来单位","√")))))))</f>
        <v/>
      </c>
      <c r="O43" s="34" t="str">
        <f aca="false">IF($D43="","",IFERROR(INDEX(项目档案!$B$6:$B$255,MATCH($D43,项目档案!$A$6:$A$255,0)),"⚠编号不存在"))</f>
        <v/>
      </c>
      <c r="P43" s="35" t="str">
        <f aca="false">IF($B43="","",TEXT($B43,"yyyy-mm"))</f>
        <v/>
      </c>
    </row>
    <row r="44" customFormat="false" ht="15.75" hidden="false" customHeight="true" outlineLevel="0" collapsed="false">
      <c r="A44" s="32" t="str">
        <f aca="false">IF($B44="","",ROW()-4)</f>
        <v/>
      </c>
      <c r="B44" s="26"/>
      <c r="C44" s="21"/>
      <c r="D44" s="24"/>
      <c r="E44" s="21"/>
      <c r="F44" s="24"/>
      <c r="G44" s="21"/>
      <c r="H44" s="22"/>
      <c r="I44" s="27"/>
      <c r="J44" s="27"/>
      <c r="K44" s="36" t="str">
        <f aca="false">IF($B44="","",IF($C44="泓普",$C$2,IF($C44="仟茂",$E$2,IF($C44="现金",$G$2,0)))+SUMIFS($I$5:$I44,$C$5:$C44,$C44)-SUMIFS($J$5:$J44,$C$5:$C44,$C44))</f>
        <v/>
      </c>
      <c r="L44" s="36" t="str">
        <f aca="false">IF($B44="","",$C$2+$E$2+$G$2+SUM($I$5:$I44)-SUM($J$5:$J44))</f>
        <v/>
      </c>
      <c r="M44" s="24"/>
      <c r="N44" s="33" t="str">
        <f aca="false">IF($B44="","",IF(NOT(ISNUMBER($B44)),"日期格式不对",IF($C44="","未选资金账户",IF(AND(N($I44)=0,N($J44)=0),"收支都为空",IF(AND(N($I44)&gt;0,N($J44)&gt;0),"收支不能同时填",IF(AND($D44&lt;&gt;"",LEFT($O44,1)="⚠"),"项目编号不存在",IF(AND($M44="是",$F44=""),"工程回款必须填往来单位","√")))))))</f>
        <v/>
      </c>
      <c r="O44" s="34" t="str">
        <f aca="false">IF($D44="","",IFERROR(INDEX(项目档案!$B$6:$B$255,MATCH($D44,项目档案!$A$6:$A$255,0)),"⚠编号不存在"))</f>
        <v/>
      </c>
      <c r="P44" s="35" t="str">
        <f aca="false">IF($B44="","",TEXT($B44,"yyyy-mm"))</f>
        <v/>
      </c>
    </row>
    <row r="45" customFormat="false" ht="15.75" hidden="false" customHeight="true" outlineLevel="0" collapsed="false">
      <c r="A45" s="32" t="str">
        <f aca="false">IF($B45="","",ROW()-4)</f>
        <v/>
      </c>
      <c r="B45" s="26"/>
      <c r="C45" s="21"/>
      <c r="D45" s="24"/>
      <c r="E45" s="21"/>
      <c r="F45" s="24"/>
      <c r="G45" s="21"/>
      <c r="H45" s="22"/>
      <c r="I45" s="27"/>
      <c r="J45" s="27"/>
      <c r="K45" s="36" t="str">
        <f aca="false">IF($B45="","",IF($C45="泓普",$C$2,IF($C45="仟茂",$E$2,IF($C45="现金",$G$2,0)))+SUMIFS($I$5:$I45,$C$5:$C45,$C45)-SUMIFS($J$5:$J45,$C$5:$C45,$C45))</f>
        <v/>
      </c>
      <c r="L45" s="36" t="str">
        <f aca="false">IF($B45="","",$C$2+$E$2+$G$2+SUM($I$5:$I45)-SUM($J$5:$J45))</f>
        <v/>
      </c>
      <c r="M45" s="24"/>
      <c r="N45" s="33" t="str">
        <f aca="false">IF($B45="","",IF(NOT(ISNUMBER($B45)),"日期格式不对",IF($C45="","未选资金账户",IF(AND(N($I45)=0,N($J45)=0),"收支都为空",IF(AND(N($I45)&gt;0,N($J45)&gt;0),"收支不能同时填",IF(AND($D45&lt;&gt;"",LEFT($O45,1)="⚠"),"项目编号不存在",IF(AND($M45="是",$F45=""),"工程回款必须填往来单位","√")))))))</f>
        <v/>
      </c>
      <c r="O45" s="34" t="str">
        <f aca="false">IF($D45="","",IFERROR(INDEX(项目档案!$B$6:$B$255,MATCH($D45,项目档案!$A$6:$A$255,0)),"⚠编号不存在"))</f>
        <v/>
      </c>
      <c r="P45" s="35" t="str">
        <f aca="false">IF($B45="","",TEXT($B45,"yyyy-mm"))</f>
        <v/>
      </c>
    </row>
    <row r="46" customFormat="false" ht="15.75" hidden="false" customHeight="true" outlineLevel="0" collapsed="false">
      <c r="A46" s="32" t="str">
        <f aca="false">IF($B46="","",ROW()-4)</f>
        <v/>
      </c>
      <c r="B46" s="26"/>
      <c r="C46" s="21"/>
      <c r="D46" s="24"/>
      <c r="E46" s="21"/>
      <c r="F46" s="24"/>
      <c r="G46" s="21"/>
      <c r="H46" s="22"/>
      <c r="I46" s="27"/>
      <c r="J46" s="27"/>
      <c r="K46" s="36" t="str">
        <f aca="false">IF($B46="","",IF($C46="泓普",$C$2,IF($C46="仟茂",$E$2,IF($C46="现金",$G$2,0)))+SUMIFS($I$5:$I46,$C$5:$C46,$C46)-SUMIFS($J$5:$J46,$C$5:$C46,$C46))</f>
        <v/>
      </c>
      <c r="L46" s="36" t="str">
        <f aca="false">IF($B46="","",$C$2+$E$2+$G$2+SUM($I$5:$I46)-SUM($J$5:$J46))</f>
        <v/>
      </c>
      <c r="M46" s="24"/>
      <c r="N46" s="33" t="str">
        <f aca="false">IF($B46="","",IF(NOT(ISNUMBER($B46)),"日期格式不对",IF($C46="","未选资金账户",IF(AND(N($I46)=0,N($J46)=0),"收支都为空",IF(AND(N($I46)&gt;0,N($J46)&gt;0),"收支不能同时填",IF(AND($D46&lt;&gt;"",LEFT($O46,1)="⚠"),"项目编号不存在",IF(AND($M46="是",$F46=""),"工程回款必须填往来单位","√")))))))</f>
        <v/>
      </c>
      <c r="O46" s="34" t="str">
        <f aca="false">IF($D46="","",IFERROR(INDEX(项目档案!$B$6:$B$255,MATCH($D46,项目档案!$A$6:$A$255,0)),"⚠编号不存在"))</f>
        <v/>
      </c>
      <c r="P46" s="35" t="str">
        <f aca="false">IF($B46="","",TEXT($B46,"yyyy-mm"))</f>
        <v/>
      </c>
    </row>
    <row r="47" customFormat="false" ht="15.75" hidden="false" customHeight="true" outlineLevel="0" collapsed="false">
      <c r="A47" s="32" t="str">
        <f aca="false">IF($B47="","",ROW()-4)</f>
        <v/>
      </c>
      <c r="B47" s="26"/>
      <c r="C47" s="21"/>
      <c r="D47" s="24"/>
      <c r="E47" s="21"/>
      <c r="F47" s="24"/>
      <c r="G47" s="21"/>
      <c r="H47" s="22"/>
      <c r="I47" s="27"/>
      <c r="J47" s="27"/>
      <c r="K47" s="36" t="str">
        <f aca="false">IF($B47="","",IF($C47="泓普",$C$2,IF($C47="仟茂",$E$2,IF($C47="现金",$G$2,0)))+SUMIFS($I$5:$I47,$C$5:$C47,$C47)-SUMIFS($J$5:$J47,$C$5:$C47,$C47))</f>
        <v/>
      </c>
      <c r="L47" s="36" t="str">
        <f aca="false">IF($B47="","",$C$2+$E$2+$G$2+SUM($I$5:$I47)-SUM($J$5:$J47))</f>
        <v/>
      </c>
      <c r="M47" s="24"/>
      <c r="N47" s="33" t="str">
        <f aca="false">IF($B47="","",IF(NOT(ISNUMBER($B47)),"日期格式不对",IF($C47="","未选资金账户",IF(AND(N($I47)=0,N($J47)=0),"收支都为空",IF(AND(N($I47)&gt;0,N($J47)&gt;0),"收支不能同时填",IF(AND($D47&lt;&gt;"",LEFT($O47,1)="⚠"),"项目编号不存在",IF(AND($M47="是",$F47=""),"工程回款必须填往来单位","√")))))))</f>
        <v/>
      </c>
      <c r="O47" s="34" t="str">
        <f aca="false">IF($D47="","",IFERROR(INDEX(项目档案!$B$6:$B$255,MATCH($D47,项目档案!$A$6:$A$255,0)),"⚠编号不存在"))</f>
        <v/>
      </c>
      <c r="P47" s="35" t="str">
        <f aca="false">IF($B47="","",TEXT($B47,"yyyy-mm"))</f>
        <v/>
      </c>
    </row>
    <row r="48" customFormat="false" ht="15.75" hidden="false" customHeight="true" outlineLevel="0" collapsed="false">
      <c r="A48" s="32" t="str">
        <f aca="false">IF($B48="","",ROW()-4)</f>
        <v/>
      </c>
      <c r="B48" s="26"/>
      <c r="C48" s="21"/>
      <c r="D48" s="24"/>
      <c r="E48" s="21"/>
      <c r="F48" s="24"/>
      <c r="G48" s="21"/>
      <c r="H48" s="22"/>
      <c r="I48" s="27"/>
      <c r="J48" s="27"/>
      <c r="K48" s="36" t="str">
        <f aca="false">IF($B48="","",IF($C48="泓普",$C$2,IF($C48="仟茂",$E$2,IF($C48="现金",$G$2,0)))+SUMIFS($I$5:$I48,$C$5:$C48,$C48)-SUMIFS($J$5:$J48,$C$5:$C48,$C48))</f>
        <v/>
      </c>
      <c r="L48" s="36" t="str">
        <f aca="false">IF($B48="","",$C$2+$E$2+$G$2+SUM($I$5:$I48)-SUM($J$5:$J48))</f>
        <v/>
      </c>
      <c r="M48" s="24"/>
      <c r="N48" s="33" t="str">
        <f aca="false">IF($B48="","",IF(NOT(ISNUMBER($B48)),"日期格式不对",IF($C48="","未选资金账户",IF(AND(N($I48)=0,N($J48)=0),"收支都为空",IF(AND(N($I48)&gt;0,N($J48)&gt;0),"收支不能同时填",IF(AND($D48&lt;&gt;"",LEFT($O48,1)="⚠"),"项目编号不存在",IF(AND($M48="是",$F48=""),"工程回款必须填往来单位","√")))))))</f>
        <v/>
      </c>
      <c r="O48" s="34" t="str">
        <f aca="false">IF($D48="","",IFERROR(INDEX(项目档案!$B$6:$B$255,MATCH($D48,项目档案!$A$6:$A$255,0)),"⚠编号不存在"))</f>
        <v/>
      </c>
      <c r="P48" s="35" t="str">
        <f aca="false">IF($B48="","",TEXT($B48,"yyyy-mm"))</f>
        <v/>
      </c>
    </row>
    <row r="49" customFormat="false" ht="15.75" hidden="false" customHeight="true" outlineLevel="0" collapsed="false">
      <c r="A49" s="32" t="str">
        <f aca="false">IF($B49="","",ROW()-4)</f>
        <v/>
      </c>
      <c r="B49" s="26"/>
      <c r="C49" s="21"/>
      <c r="D49" s="24"/>
      <c r="E49" s="21"/>
      <c r="F49" s="24"/>
      <c r="G49" s="21"/>
      <c r="H49" s="22"/>
      <c r="I49" s="27"/>
      <c r="J49" s="27"/>
      <c r="K49" s="36" t="str">
        <f aca="false">IF($B49="","",IF($C49="泓普",$C$2,IF($C49="仟茂",$E$2,IF($C49="现金",$G$2,0)))+SUMIFS($I$5:$I49,$C$5:$C49,$C49)-SUMIFS($J$5:$J49,$C$5:$C49,$C49))</f>
        <v/>
      </c>
      <c r="L49" s="36" t="str">
        <f aca="false">IF($B49="","",$C$2+$E$2+$G$2+SUM($I$5:$I49)-SUM($J$5:$J49))</f>
        <v/>
      </c>
      <c r="M49" s="24"/>
      <c r="N49" s="33" t="str">
        <f aca="false">IF($B49="","",IF(NOT(ISNUMBER($B49)),"日期格式不对",IF($C49="","未选资金账户",IF(AND(N($I49)=0,N($J49)=0),"收支都为空",IF(AND(N($I49)&gt;0,N($J49)&gt;0),"收支不能同时填",IF(AND($D49&lt;&gt;"",LEFT($O49,1)="⚠"),"项目编号不存在",IF(AND($M49="是",$F49=""),"工程回款必须填往来单位","√")))))))</f>
        <v/>
      </c>
      <c r="O49" s="34" t="str">
        <f aca="false">IF($D49="","",IFERROR(INDEX(项目档案!$B$6:$B$255,MATCH($D49,项目档案!$A$6:$A$255,0)),"⚠编号不存在"))</f>
        <v/>
      </c>
      <c r="P49" s="35" t="str">
        <f aca="false">IF($B49="","",TEXT($B49,"yyyy-mm"))</f>
        <v/>
      </c>
    </row>
    <row r="50" customFormat="false" ht="15.75" hidden="false" customHeight="true" outlineLevel="0" collapsed="false">
      <c r="A50" s="32" t="str">
        <f aca="false">IF($B50="","",ROW()-4)</f>
        <v/>
      </c>
      <c r="B50" s="26"/>
      <c r="C50" s="21"/>
      <c r="D50" s="24"/>
      <c r="E50" s="21"/>
      <c r="F50" s="24"/>
      <c r="G50" s="21"/>
      <c r="H50" s="22"/>
      <c r="I50" s="27"/>
      <c r="J50" s="27"/>
      <c r="K50" s="36" t="str">
        <f aca="false">IF($B50="","",IF($C50="泓普",$C$2,IF($C50="仟茂",$E$2,IF($C50="现金",$G$2,0)))+SUMIFS($I$5:$I50,$C$5:$C50,$C50)-SUMIFS($J$5:$J50,$C$5:$C50,$C50))</f>
        <v/>
      </c>
      <c r="L50" s="36" t="str">
        <f aca="false">IF($B50="","",$C$2+$E$2+$G$2+SUM($I$5:$I50)-SUM($J$5:$J50))</f>
        <v/>
      </c>
      <c r="M50" s="24"/>
      <c r="N50" s="33" t="str">
        <f aca="false">IF($B50="","",IF(NOT(ISNUMBER($B50)),"日期格式不对",IF($C50="","未选资金账户",IF(AND(N($I50)=0,N($J50)=0),"收支都为空",IF(AND(N($I50)&gt;0,N($J50)&gt;0),"收支不能同时填",IF(AND($D50&lt;&gt;"",LEFT($O50,1)="⚠"),"项目编号不存在",IF(AND($M50="是",$F50=""),"工程回款必须填往来单位","√")))))))</f>
        <v/>
      </c>
      <c r="O50" s="34" t="str">
        <f aca="false">IF($D50="","",IFERROR(INDEX(项目档案!$B$6:$B$255,MATCH($D50,项目档案!$A$6:$A$255,0)),"⚠编号不存在"))</f>
        <v/>
      </c>
      <c r="P50" s="35" t="str">
        <f aca="false">IF($B50="","",TEXT($B50,"yyyy-mm"))</f>
        <v/>
      </c>
    </row>
    <row r="51" customFormat="false" ht="15.75" hidden="false" customHeight="true" outlineLevel="0" collapsed="false">
      <c r="A51" s="32" t="str">
        <f aca="false">IF($B51="","",ROW()-4)</f>
        <v/>
      </c>
      <c r="B51" s="26"/>
      <c r="C51" s="21"/>
      <c r="D51" s="24"/>
      <c r="E51" s="21"/>
      <c r="F51" s="24"/>
      <c r="G51" s="21"/>
      <c r="H51" s="22"/>
      <c r="I51" s="27"/>
      <c r="J51" s="27"/>
      <c r="K51" s="36" t="str">
        <f aca="false">IF($B51="","",IF($C51="泓普",$C$2,IF($C51="仟茂",$E$2,IF($C51="现金",$G$2,0)))+SUMIFS($I$5:$I51,$C$5:$C51,$C51)-SUMIFS($J$5:$J51,$C$5:$C51,$C51))</f>
        <v/>
      </c>
      <c r="L51" s="36" t="str">
        <f aca="false">IF($B51="","",$C$2+$E$2+$G$2+SUM($I$5:$I51)-SUM($J$5:$J51))</f>
        <v/>
      </c>
      <c r="M51" s="24"/>
      <c r="N51" s="33" t="str">
        <f aca="false">IF($B51="","",IF(NOT(ISNUMBER($B51)),"日期格式不对",IF($C51="","未选资金账户",IF(AND(N($I51)=0,N($J51)=0),"收支都为空",IF(AND(N($I51)&gt;0,N($J51)&gt;0),"收支不能同时填",IF(AND($D51&lt;&gt;"",LEFT($O51,1)="⚠"),"项目编号不存在",IF(AND($M51="是",$F51=""),"工程回款必须填往来单位","√")))))))</f>
        <v/>
      </c>
      <c r="O51" s="34" t="str">
        <f aca="false">IF($D51="","",IFERROR(INDEX(项目档案!$B$6:$B$255,MATCH($D51,项目档案!$A$6:$A$255,0)),"⚠编号不存在"))</f>
        <v/>
      </c>
      <c r="P51" s="35" t="str">
        <f aca="false">IF($B51="","",TEXT($B51,"yyyy-mm"))</f>
        <v/>
      </c>
    </row>
    <row r="52" customFormat="false" ht="15.75" hidden="false" customHeight="true" outlineLevel="0" collapsed="false">
      <c r="A52" s="32" t="str">
        <f aca="false">IF($B52="","",ROW()-4)</f>
        <v/>
      </c>
      <c r="B52" s="26"/>
      <c r="C52" s="21"/>
      <c r="D52" s="24"/>
      <c r="E52" s="21"/>
      <c r="F52" s="24"/>
      <c r="G52" s="21"/>
      <c r="H52" s="22"/>
      <c r="I52" s="27"/>
      <c r="J52" s="27"/>
      <c r="K52" s="36" t="str">
        <f aca="false">IF($B52="","",IF($C52="泓普",$C$2,IF($C52="仟茂",$E$2,IF($C52="现金",$G$2,0)))+SUMIFS($I$5:$I52,$C$5:$C52,$C52)-SUMIFS($J$5:$J52,$C$5:$C52,$C52))</f>
        <v/>
      </c>
      <c r="L52" s="36" t="str">
        <f aca="false">IF($B52="","",$C$2+$E$2+$G$2+SUM($I$5:$I52)-SUM($J$5:$J52))</f>
        <v/>
      </c>
      <c r="M52" s="24"/>
      <c r="N52" s="33" t="str">
        <f aca="false">IF($B52="","",IF(NOT(ISNUMBER($B52)),"日期格式不对",IF($C52="","未选资金账户",IF(AND(N($I52)=0,N($J52)=0),"收支都为空",IF(AND(N($I52)&gt;0,N($J52)&gt;0),"收支不能同时填",IF(AND($D52&lt;&gt;"",LEFT($O52,1)="⚠"),"项目编号不存在",IF(AND($M52="是",$F52=""),"工程回款必须填往来单位","√")))))))</f>
        <v/>
      </c>
      <c r="O52" s="34" t="str">
        <f aca="false">IF($D52="","",IFERROR(INDEX(项目档案!$B$6:$B$255,MATCH($D52,项目档案!$A$6:$A$255,0)),"⚠编号不存在"))</f>
        <v/>
      </c>
      <c r="P52" s="35" t="str">
        <f aca="false">IF($B52="","",TEXT($B52,"yyyy-mm"))</f>
        <v/>
      </c>
    </row>
    <row r="53" customFormat="false" ht="15.75" hidden="false" customHeight="true" outlineLevel="0" collapsed="false">
      <c r="A53" s="32" t="str">
        <f aca="false">IF($B53="","",ROW()-4)</f>
        <v/>
      </c>
      <c r="B53" s="26"/>
      <c r="C53" s="21"/>
      <c r="D53" s="24"/>
      <c r="E53" s="21"/>
      <c r="F53" s="24"/>
      <c r="G53" s="21"/>
      <c r="H53" s="22"/>
      <c r="I53" s="27"/>
      <c r="J53" s="27"/>
      <c r="K53" s="36" t="str">
        <f aca="false">IF($B53="","",IF($C53="泓普",$C$2,IF($C53="仟茂",$E$2,IF($C53="现金",$G$2,0)))+SUMIFS($I$5:$I53,$C$5:$C53,$C53)-SUMIFS($J$5:$J53,$C$5:$C53,$C53))</f>
        <v/>
      </c>
      <c r="L53" s="36" t="str">
        <f aca="false">IF($B53="","",$C$2+$E$2+$G$2+SUM($I$5:$I53)-SUM($J$5:$J53))</f>
        <v/>
      </c>
      <c r="M53" s="24"/>
      <c r="N53" s="33" t="str">
        <f aca="false">IF($B53="","",IF(NOT(ISNUMBER($B53)),"日期格式不对",IF($C53="","未选资金账户",IF(AND(N($I53)=0,N($J53)=0),"收支都为空",IF(AND(N($I53)&gt;0,N($J53)&gt;0),"收支不能同时填",IF(AND($D53&lt;&gt;"",LEFT($O53,1)="⚠"),"项目编号不存在",IF(AND($M53="是",$F53=""),"工程回款必须填往来单位","√")))))))</f>
        <v/>
      </c>
      <c r="O53" s="34" t="str">
        <f aca="false">IF($D53="","",IFERROR(INDEX(项目档案!$B$6:$B$255,MATCH($D53,项目档案!$A$6:$A$255,0)),"⚠编号不存在"))</f>
        <v/>
      </c>
      <c r="P53" s="35" t="str">
        <f aca="false">IF($B53="","",TEXT($B53,"yyyy-mm"))</f>
        <v/>
      </c>
    </row>
    <row r="54" customFormat="false" ht="15.75" hidden="false" customHeight="true" outlineLevel="0" collapsed="false">
      <c r="A54" s="32" t="str">
        <f aca="false">IF($B54="","",ROW()-4)</f>
        <v/>
      </c>
      <c r="B54" s="26"/>
      <c r="C54" s="21"/>
      <c r="D54" s="24"/>
      <c r="E54" s="21"/>
      <c r="F54" s="24"/>
      <c r="G54" s="21"/>
      <c r="H54" s="22"/>
      <c r="I54" s="27"/>
      <c r="J54" s="27"/>
      <c r="K54" s="36" t="str">
        <f aca="false">IF($B54="","",IF($C54="泓普",$C$2,IF($C54="仟茂",$E$2,IF($C54="现金",$G$2,0)))+SUMIFS($I$5:$I54,$C$5:$C54,$C54)-SUMIFS($J$5:$J54,$C$5:$C54,$C54))</f>
        <v/>
      </c>
      <c r="L54" s="36" t="str">
        <f aca="false">IF($B54="","",$C$2+$E$2+$G$2+SUM($I$5:$I54)-SUM($J$5:$J54))</f>
        <v/>
      </c>
      <c r="M54" s="24"/>
      <c r="N54" s="33" t="str">
        <f aca="false">IF($B54="","",IF(NOT(ISNUMBER($B54)),"日期格式不对",IF($C54="","未选资金账户",IF(AND(N($I54)=0,N($J54)=0),"收支都为空",IF(AND(N($I54)&gt;0,N($J54)&gt;0),"收支不能同时填",IF(AND($D54&lt;&gt;"",LEFT($O54,1)="⚠"),"项目编号不存在",IF(AND($M54="是",$F54=""),"工程回款必须填往来单位","√")))))))</f>
        <v/>
      </c>
      <c r="O54" s="34" t="str">
        <f aca="false">IF($D54="","",IFERROR(INDEX(项目档案!$B$6:$B$255,MATCH($D54,项目档案!$A$6:$A$255,0)),"⚠编号不存在"))</f>
        <v/>
      </c>
      <c r="P54" s="35" t="str">
        <f aca="false">IF($B54="","",TEXT($B54,"yyyy-mm"))</f>
        <v/>
      </c>
    </row>
    <row r="55" customFormat="false" ht="15.75" hidden="false" customHeight="true" outlineLevel="0" collapsed="false">
      <c r="A55" s="32" t="str">
        <f aca="false">IF($B55="","",ROW()-4)</f>
        <v/>
      </c>
      <c r="B55" s="26"/>
      <c r="C55" s="21"/>
      <c r="D55" s="24"/>
      <c r="E55" s="21"/>
      <c r="F55" s="24"/>
      <c r="G55" s="21"/>
      <c r="H55" s="22"/>
      <c r="I55" s="27"/>
      <c r="J55" s="27"/>
      <c r="K55" s="36" t="str">
        <f aca="false">IF($B55="","",IF($C55="泓普",$C$2,IF($C55="仟茂",$E$2,IF($C55="现金",$G$2,0)))+SUMIFS($I$5:$I55,$C$5:$C55,$C55)-SUMIFS($J$5:$J55,$C$5:$C55,$C55))</f>
        <v/>
      </c>
      <c r="L55" s="36" t="str">
        <f aca="false">IF($B55="","",$C$2+$E$2+$G$2+SUM($I$5:$I55)-SUM($J$5:$J55))</f>
        <v/>
      </c>
      <c r="M55" s="24"/>
      <c r="N55" s="33" t="str">
        <f aca="false">IF($B55="","",IF(NOT(ISNUMBER($B55)),"日期格式不对",IF($C55="","未选资金账户",IF(AND(N($I55)=0,N($J55)=0),"收支都为空",IF(AND(N($I55)&gt;0,N($J55)&gt;0),"收支不能同时填",IF(AND($D55&lt;&gt;"",LEFT($O55,1)="⚠"),"项目编号不存在",IF(AND($M55="是",$F55=""),"工程回款必须填往来单位","√")))))))</f>
        <v/>
      </c>
      <c r="O55" s="34" t="str">
        <f aca="false">IF($D55="","",IFERROR(INDEX(项目档案!$B$6:$B$255,MATCH($D55,项目档案!$A$6:$A$255,0)),"⚠编号不存在"))</f>
        <v/>
      </c>
      <c r="P55" s="35" t="str">
        <f aca="false">IF($B55="","",TEXT($B55,"yyyy-mm"))</f>
        <v/>
      </c>
    </row>
    <row r="56" customFormat="false" ht="15.75" hidden="false" customHeight="true" outlineLevel="0" collapsed="false">
      <c r="A56" s="32" t="str">
        <f aca="false">IF($B56="","",ROW()-4)</f>
        <v/>
      </c>
      <c r="B56" s="26"/>
      <c r="C56" s="21"/>
      <c r="D56" s="24"/>
      <c r="E56" s="21"/>
      <c r="F56" s="24"/>
      <c r="G56" s="21"/>
      <c r="H56" s="22"/>
      <c r="I56" s="27"/>
      <c r="J56" s="27"/>
      <c r="K56" s="36" t="str">
        <f aca="false">IF($B56="","",IF($C56="泓普",$C$2,IF($C56="仟茂",$E$2,IF($C56="现金",$G$2,0)))+SUMIFS($I$5:$I56,$C$5:$C56,$C56)-SUMIFS($J$5:$J56,$C$5:$C56,$C56))</f>
        <v/>
      </c>
      <c r="L56" s="36" t="str">
        <f aca="false">IF($B56="","",$C$2+$E$2+$G$2+SUM($I$5:$I56)-SUM($J$5:$J56))</f>
        <v/>
      </c>
      <c r="M56" s="24"/>
      <c r="N56" s="33" t="str">
        <f aca="false">IF($B56="","",IF(NOT(ISNUMBER($B56)),"日期格式不对",IF($C56="","未选资金账户",IF(AND(N($I56)=0,N($J56)=0),"收支都为空",IF(AND(N($I56)&gt;0,N($J56)&gt;0),"收支不能同时填",IF(AND($D56&lt;&gt;"",LEFT($O56,1)="⚠"),"项目编号不存在",IF(AND($M56="是",$F56=""),"工程回款必须填往来单位","√")))))))</f>
        <v/>
      </c>
      <c r="O56" s="34" t="str">
        <f aca="false">IF($D56="","",IFERROR(INDEX(项目档案!$B$6:$B$255,MATCH($D56,项目档案!$A$6:$A$255,0)),"⚠编号不存在"))</f>
        <v/>
      </c>
      <c r="P56" s="35" t="str">
        <f aca="false">IF($B56="","",TEXT($B56,"yyyy-mm"))</f>
        <v/>
      </c>
    </row>
    <row r="57" customFormat="false" ht="15.75" hidden="false" customHeight="true" outlineLevel="0" collapsed="false">
      <c r="A57" s="32" t="str">
        <f aca="false">IF($B57="","",ROW()-4)</f>
        <v/>
      </c>
      <c r="B57" s="26"/>
      <c r="C57" s="21"/>
      <c r="D57" s="24"/>
      <c r="E57" s="21"/>
      <c r="F57" s="24"/>
      <c r="G57" s="21"/>
      <c r="H57" s="22"/>
      <c r="I57" s="27"/>
      <c r="J57" s="27"/>
      <c r="K57" s="36" t="str">
        <f aca="false">IF($B57="","",IF($C57="泓普",$C$2,IF($C57="仟茂",$E$2,IF($C57="现金",$G$2,0)))+SUMIFS($I$5:$I57,$C$5:$C57,$C57)-SUMIFS($J$5:$J57,$C$5:$C57,$C57))</f>
        <v/>
      </c>
      <c r="L57" s="36" t="str">
        <f aca="false">IF($B57="","",$C$2+$E$2+$G$2+SUM($I$5:$I57)-SUM($J$5:$J57))</f>
        <v/>
      </c>
      <c r="M57" s="24"/>
      <c r="N57" s="33" t="str">
        <f aca="false">IF($B57="","",IF(NOT(ISNUMBER($B57)),"日期格式不对",IF($C57="","未选资金账户",IF(AND(N($I57)=0,N($J57)=0),"收支都为空",IF(AND(N($I57)&gt;0,N($J57)&gt;0),"收支不能同时填",IF(AND($D57&lt;&gt;"",LEFT($O57,1)="⚠"),"项目编号不存在",IF(AND($M57="是",$F57=""),"工程回款必须填往来单位","√")))))))</f>
        <v/>
      </c>
      <c r="O57" s="34" t="str">
        <f aca="false">IF($D57="","",IFERROR(INDEX(项目档案!$B$6:$B$255,MATCH($D57,项目档案!$A$6:$A$255,0)),"⚠编号不存在"))</f>
        <v/>
      </c>
      <c r="P57" s="35" t="str">
        <f aca="false">IF($B57="","",TEXT($B57,"yyyy-mm"))</f>
        <v/>
      </c>
    </row>
    <row r="58" customFormat="false" ht="15.75" hidden="false" customHeight="true" outlineLevel="0" collapsed="false">
      <c r="A58" s="32" t="str">
        <f aca="false">IF($B58="","",ROW()-4)</f>
        <v/>
      </c>
      <c r="B58" s="26"/>
      <c r="C58" s="21"/>
      <c r="D58" s="24"/>
      <c r="E58" s="21"/>
      <c r="F58" s="24"/>
      <c r="G58" s="21"/>
      <c r="H58" s="22"/>
      <c r="I58" s="27"/>
      <c r="J58" s="27"/>
      <c r="K58" s="36" t="str">
        <f aca="false">IF($B58="","",IF($C58="泓普",$C$2,IF($C58="仟茂",$E$2,IF($C58="现金",$G$2,0)))+SUMIFS($I$5:$I58,$C$5:$C58,$C58)-SUMIFS($J$5:$J58,$C$5:$C58,$C58))</f>
        <v/>
      </c>
      <c r="L58" s="36" t="str">
        <f aca="false">IF($B58="","",$C$2+$E$2+$G$2+SUM($I$5:$I58)-SUM($J$5:$J58))</f>
        <v/>
      </c>
      <c r="M58" s="24"/>
      <c r="N58" s="33" t="str">
        <f aca="false">IF($B58="","",IF(NOT(ISNUMBER($B58)),"日期格式不对",IF($C58="","未选资金账户",IF(AND(N($I58)=0,N($J58)=0),"收支都为空",IF(AND(N($I58)&gt;0,N($J58)&gt;0),"收支不能同时填",IF(AND($D58&lt;&gt;"",LEFT($O58,1)="⚠"),"项目编号不存在",IF(AND($M58="是",$F58=""),"工程回款必须填往来单位","√")))))))</f>
        <v/>
      </c>
      <c r="O58" s="34" t="str">
        <f aca="false">IF($D58="","",IFERROR(INDEX(项目档案!$B$6:$B$255,MATCH($D58,项目档案!$A$6:$A$255,0)),"⚠编号不存在"))</f>
        <v/>
      </c>
      <c r="P58" s="35" t="str">
        <f aca="false">IF($B58="","",TEXT($B58,"yyyy-mm"))</f>
        <v/>
      </c>
    </row>
    <row r="59" customFormat="false" ht="15.75" hidden="false" customHeight="true" outlineLevel="0" collapsed="false">
      <c r="A59" s="32" t="str">
        <f aca="false">IF($B59="","",ROW()-4)</f>
        <v/>
      </c>
      <c r="B59" s="26"/>
      <c r="C59" s="21"/>
      <c r="D59" s="24"/>
      <c r="E59" s="21"/>
      <c r="F59" s="24"/>
      <c r="G59" s="21"/>
      <c r="H59" s="22"/>
      <c r="I59" s="27"/>
      <c r="J59" s="27"/>
      <c r="K59" s="36" t="str">
        <f aca="false">IF($B59="","",IF($C59="泓普",$C$2,IF($C59="仟茂",$E$2,IF($C59="现金",$G$2,0)))+SUMIFS($I$5:$I59,$C$5:$C59,$C59)-SUMIFS($J$5:$J59,$C$5:$C59,$C59))</f>
        <v/>
      </c>
      <c r="L59" s="36" t="str">
        <f aca="false">IF($B59="","",$C$2+$E$2+$G$2+SUM($I$5:$I59)-SUM($J$5:$J59))</f>
        <v/>
      </c>
      <c r="M59" s="24"/>
      <c r="N59" s="33" t="str">
        <f aca="false">IF($B59="","",IF(NOT(ISNUMBER($B59)),"日期格式不对",IF($C59="","未选资金账户",IF(AND(N($I59)=0,N($J59)=0),"收支都为空",IF(AND(N($I59)&gt;0,N($J59)&gt;0),"收支不能同时填",IF(AND($D59&lt;&gt;"",LEFT($O59,1)="⚠"),"项目编号不存在",IF(AND($M59="是",$F59=""),"工程回款必须填往来单位","√")))))))</f>
        <v/>
      </c>
      <c r="O59" s="34" t="str">
        <f aca="false">IF($D59="","",IFERROR(INDEX(项目档案!$B$6:$B$255,MATCH($D59,项目档案!$A$6:$A$255,0)),"⚠编号不存在"))</f>
        <v/>
      </c>
      <c r="P59" s="35" t="str">
        <f aca="false">IF($B59="","",TEXT($B59,"yyyy-mm"))</f>
        <v/>
      </c>
    </row>
    <row r="60" customFormat="false" ht="15.75" hidden="false" customHeight="true" outlineLevel="0" collapsed="false">
      <c r="A60" s="32" t="str">
        <f aca="false">IF($B60="","",ROW()-4)</f>
        <v/>
      </c>
      <c r="B60" s="26"/>
      <c r="C60" s="21"/>
      <c r="D60" s="24"/>
      <c r="E60" s="21"/>
      <c r="F60" s="24"/>
      <c r="G60" s="21"/>
      <c r="H60" s="22"/>
      <c r="I60" s="27"/>
      <c r="J60" s="27"/>
      <c r="K60" s="36" t="str">
        <f aca="false">IF($B60="","",IF($C60="泓普",$C$2,IF($C60="仟茂",$E$2,IF($C60="现金",$G$2,0)))+SUMIFS($I$5:$I60,$C$5:$C60,$C60)-SUMIFS($J$5:$J60,$C$5:$C60,$C60))</f>
        <v/>
      </c>
      <c r="L60" s="36" t="str">
        <f aca="false">IF($B60="","",$C$2+$E$2+$G$2+SUM($I$5:$I60)-SUM($J$5:$J60))</f>
        <v/>
      </c>
      <c r="M60" s="24"/>
      <c r="N60" s="33" t="str">
        <f aca="false">IF($B60="","",IF(NOT(ISNUMBER($B60)),"日期格式不对",IF($C60="","未选资金账户",IF(AND(N($I60)=0,N($J60)=0),"收支都为空",IF(AND(N($I60)&gt;0,N($J60)&gt;0),"收支不能同时填",IF(AND($D60&lt;&gt;"",LEFT($O60,1)="⚠"),"项目编号不存在",IF(AND($M60="是",$F60=""),"工程回款必须填往来单位","√")))))))</f>
        <v/>
      </c>
      <c r="O60" s="34" t="str">
        <f aca="false">IF($D60="","",IFERROR(INDEX(项目档案!$B$6:$B$255,MATCH($D60,项目档案!$A$6:$A$255,0)),"⚠编号不存在"))</f>
        <v/>
      </c>
      <c r="P60" s="35" t="str">
        <f aca="false">IF($B60="","",TEXT($B60,"yyyy-mm"))</f>
        <v/>
      </c>
    </row>
    <row r="61" customFormat="false" ht="15.75" hidden="false" customHeight="true" outlineLevel="0" collapsed="false">
      <c r="A61" s="32" t="str">
        <f aca="false">IF($B61="","",ROW()-4)</f>
        <v/>
      </c>
      <c r="B61" s="26"/>
      <c r="C61" s="21"/>
      <c r="D61" s="24"/>
      <c r="E61" s="21"/>
      <c r="F61" s="24"/>
      <c r="G61" s="21"/>
      <c r="H61" s="22"/>
      <c r="I61" s="27"/>
      <c r="J61" s="27"/>
      <c r="K61" s="36" t="str">
        <f aca="false">IF($B61="","",IF($C61="泓普",$C$2,IF($C61="仟茂",$E$2,IF($C61="现金",$G$2,0)))+SUMIFS($I$5:$I61,$C$5:$C61,$C61)-SUMIFS($J$5:$J61,$C$5:$C61,$C61))</f>
        <v/>
      </c>
      <c r="L61" s="36" t="str">
        <f aca="false">IF($B61="","",$C$2+$E$2+$G$2+SUM($I$5:$I61)-SUM($J$5:$J61))</f>
        <v/>
      </c>
      <c r="M61" s="24"/>
      <c r="N61" s="33" t="str">
        <f aca="false">IF($B61="","",IF(NOT(ISNUMBER($B61)),"日期格式不对",IF($C61="","未选资金账户",IF(AND(N($I61)=0,N($J61)=0),"收支都为空",IF(AND(N($I61)&gt;0,N($J61)&gt;0),"收支不能同时填",IF(AND($D61&lt;&gt;"",LEFT($O61,1)="⚠"),"项目编号不存在",IF(AND($M61="是",$F61=""),"工程回款必须填往来单位","√")))))))</f>
        <v/>
      </c>
      <c r="O61" s="34" t="str">
        <f aca="false">IF($D61="","",IFERROR(INDEX(项目档案!$B$6:$B$255,MATCH($D61,项目档案!$A$6:$A$255,0)),"⚠编号不存在"))</f>
        <v/>
      </c>
      <c r="P61" s="35" t="str">
        <f aca="false">IF($B61="","",TEXT($B61,"yyyy-mm"))</f>
        <v/>
      </c>
    </row>
    <row r="62" customFormat="false" ht="15.75" hidden="false" customHeight="true" outlineLevel="0" collapsed="false">
      <c r="A62" s="32" t="str">
        <f aca="false">IF($B62="","",ROW()-4)</f>
        <v/>
      </c>
      <c r="B62" s="26"/>
      <c r="C62" s="21"/>
      <c r="D62" s="24"/>
      <c r="E62" s="21"/>
      <c r="F62" s="24"/>
      <c r="G62" s="21"/>
      <c r="H62" s="22"/>
      <c r="I62" s="27"/>
      <c r="J62" s="27"/>
      <c r="K62" s="36" t="str">
        <f aca="false">IF($B62="","",IF($C62="泓普",$C$2,IF($C62="仟茂",$E$2,IF($C62="现金",$G$2,0)))+SUMIFS($I$5:$I62,$C$5:$C62,$C62)-SUMIFS($J$5:$J62,$C$5:$C62,$C62))</f>
        <v/>
      </c>
      <c r="L62" s="36" t="str">
        <f aca="false">IF($B62="","",$C$2+$E$2+$G$2+SUM($I$5:$I62)-SUM($J$5:$J62))</f>
        <v/>
      </c>
      <c r="M62" s="24"/>
      <c r="N62" s="33" t="str">
        <f aca="false">IF($B62="","",IF(NOT(ISNUMBER($B62)),"日期格式不对",IF($C62="","未选资金账户",IF(AND(N($I62)=0,N($J62)=0),"收支都为空",IF(AND(N($I62)&gt;0,N($J62)&gt;0),"收支不能同时填",IF(AND($D62&lt;&gt;"",LEFT($O62,1)="⚠"),"项目编号不存在",IF(AND($M62="是",$F62=""),"工程回款必须填往来单位","√")))))))</f>
        <v/>
      </c>
      <c r="O62" s="34" t="str">
        <f aca="false">IF($D62="","",IFERROR(INDEX(项目档案!$B$6:$B$255,MATCH($D62,项目档案!$A$6:$A$255,0)),"⚠编号不存在"))</f>
        <v/>
      </c>
      <c r="P62" s="35" t="str">
        <f aca="false">IF($B62="","",TEXT($B62,"yyyy-mm"))</f>
        <v/>
      </c>
    </row>
    <row r="63" customFormat="false" ht="15.75" hidden="false" customHeight="true" outlineLevel="0" collapsed="false">
      <c r="A63" s="32" t="str">
        <f aca="false">IF($B63="","",ROW()-4)</f>
        <v/>
      </c>
      <c r="B63" s="26"/>
      <c r="C63" s="21"/>
      <c r="D63" s="24"/>
      <c r="E63" s="21"/>
      <c r="F63" s="24"/>
      <c r="G63" s="21"/>
      <c r="H63" s="22"/>
      <c r="I63" s="27"/>
      <c r="J63" s="27"/>
      <c r="K63" s="36" t="str">
        <f aca="false">IF($B63="","",IF($C63="泓普",$C$2,IF($C63="仟茂",$E$2,IF($C63="现金",$G$2,0)))+SUMIFS($I$5:$I63,$C$5:$C63,$C63)-SUMIFS($J$5:$J63,$C$5:$C63,$C63))</f>
        <v/>
      </c>
      <c r="L63" s="36" t="str">
        <f aca="false">IF($B63="","",$C$2+$E$2+$G$2+SUM($I$5:$I63)-SUM($J$5:$J63))</f>
        <v/>
      </c>
      <c r="M63" s="24"/>
      <c r="N63" s="33" t="str">
        <f aca="false">IF($B63="","",IF(NOT(ISNUMBER($B63)),"日期格式不对",IF($C63="","未选资金账户",IF(AND(N($I63)=0,N($J63)=0),"收支都为空",IF(AND(N($I63)&gt;0,N($J63)&gt;0),"收支不能同时填",IF(AND($D63&lt;&gt;"",LEFT($O63,1)="⚠"),"项目编号不存在",IF(AND($M63="是",$F63=""),"工程回款必须填往来单位","√")))))))</f>
        <v/>
      </c>
      <c r="O63" s="34" t="str">
        <f aca="false">IF($D63="","",IFERROR(INDEX(项目档案!$B$6:$B$255,MATCH($D63,项目档案!$A$6:$A$255,0)),"⚠编号不存在"))</f>
        <v/>
      </c>
      <c r="P63" s="35" t="str">
        <f aca="false">IF($B63="","",TEXT($B63,"yyyy-mm"))</f>
        <v/>
      </c>
    </row>
    <row r="64" customFormat="false" ht="15.75" hidden="false" customHeight="true" outlineLevel="0" collapsed="false">
      <c r="A64" s="32" t="str">
        <f aca="false">IF($B64="","",ROW()-4)</f>
        <v/>
      </c>
      <c r="B64" s="26"/>
      <c r="C64" s="21"/>
      <c r="D64" s="24"/>
      <c r="E64" s="21"/>
      <c r="F64" s="24"/>
      <c r="G64" s="21"/>
      <c r="H64" s="22"/>
      <c r="I64" s="27"/>
      <c r="J64" s="27"/>
      <c r="K64" s="36" t="str">
        <f aca="false">IF($B64="","",IF($C64="泓普",$C$2,IF($C64="仟茂",$E$2,IF($C64="现金",$G$2,0)))+SUMIFS($I$5:$I64,$C$5:$C64,$C64)-SUMIFS($J$5:$J64,$C$5:$C64,$C64))</f>
        <v/>
      </c>
      <c r="L64" s="36" t="str">
        <f aca="false">IF($B64="","",$C$2+$E$2+$G$2+SUM($I$5:$I64)-SUM($J$5:$J64))</f>
        <v/>
      </c>
      <c r="M64" s="24"/>
      <c r="N64" s="33" t="str">
        <f aca="false">IF($B64="","",IF(NOT(ISNUMBER($B64)),"日期格式不对",IF($C64="","未选资金账户",IF(AND(N($I64)=0,N($J64)=0),"收支都为空",IF(AND(N($I64)&gt;0,N($J64)&gt;0),"收支不能同时填",IF(AND($D64&lt;&gt;"",LEFT($O64,1)="⚠"),"项目编号不存在",IF(AND($M64="是",$F64=""),"工程回款必须填往来单位","√")))))))</f>
        <v/>
      </c>
      <c r="O64" s="34" t="str">
        <f aca="false">IF($D64="","",IFERROR(INDEX(项目档案!$B$6:$B$255,MATCH($D64,项目档案!$A$6:$A$255,0)),"⚠编号不存在"))</f>
        <v/>
      </c>
      <c r="P64" s="35" t="str">
        <f aca="false">IF($B64="","",TEXT($B64,"yyyy-mm"))</f>
        <v/>
      </c>
    </row>
    <row r="65" customFormat="false" ht="15.75" hidden="false" customHeight="true" outlineLevel="0" collapsed="false">
      <c r="A65" s="32" t="str">
        <f aca="false">IF($B65="","",ROW()-4)</f>
        <v/>
      </c>
      <c r="B65" s="26"/>
      <c r="C65" s="21"/>
      <c r="D65" s="24"/>
      <c r="E65" s="21"/>
      <c r="F65" s="24"/>
      <c r="G65" s="21"/>
      <c r="H65" s="22"/>
      <c r="I65" s="27"/>
      <c r="J65" s="27"/>
      <c r="K65" s="36" t="str">
        <f aca="false">IF($B65="","",IF($C65="泓普",$C$2,IF($C65="仟茂",$E$2,IF($C65="现金",$G$2,0)))+SUMIFS($I$5:$I65,$C$5:$C65,$C65)-SUMIFS($J$5:$J65,$C$5:$C65,$C65))</f>
        <v/>
      </c>
      <c r="L65" s="36" t="str">
        <f aca="false">IF($B65="","",$C$2+$E$2+$G$2+SUM($I$5:$I65)-SUM($J$5:$J65))</f>
        <v/>
      </c>
      <c r="M65" s="24"/>
      <c r="N65" s="33" t="str">
        <f aca="false">IF($B65="","",IF(NOT(ISNUMBER($B65)),"日期格式不对",IF($C65="","未选资金账户",IF(AND(N($I65)=0,N($J65)=0),"收支都为空",IF(AND(N($I65)&gt;0,N($J65)&gt;0),"收支不能同时填",IF(AND($D65&lt;&gt;"",LEFT($O65,1)="⚠"),"项目编号不存在",IF(AND($M65="是",$F65=""),"工程回款必须填往来单位","√")))))))</f>
        <v/>
      </c>
      <c r="O65" s="34" t="str">
        <f aca="false">IF($D65="","",IFERROR(INDEX(项目档案!$B$6:$B$255,MATCH($D65,项目档案!$A$6:$A$255,0)),"⚠编号不存在"))</f>
        <v/>
      </c>
      <c r="P65" s="35" t="str">
        <f aca="false">IF($B65="","",TEXT($B65,"yyyy-mm"))</f>
        <v/>
      </c>
    </row>
    <row r="66" customFormat="false" ht="15.75" hidden="false" customHeight="true" outlineLevel="0" collapsed="false">
      <c r="A66" s="32" t="str">
        <f aca="false">IF($B66="","",ROW()-4)</f>
        <v/>
      </c>
      <c r="B66" s="26"/>
      <c r="C66" s="21"/>
      <c r="D66" s="24"/>
      <c r="E66" s="21"/>
      <c r="F66" s="24"/>
      <c r="G66" s="21"/>
      <c r="H66" s="22"/>
      <c r="I66" s="27"/>
      <c r="J66" s="27"/>
      <c r="K66" s="36" t="str">
        <f aca="false">IF($B66="","",IF($C66="泓普",$C$2,IF($C66="仟茂",$E$2,IF($C66="现金",$G$2,0)))+SUMIFS($I$5:$I66,$C$5:$C66,$C66)-SUMIFS($J$5:$J66,$C$5:$C66,$C66))</f>
        <v/>
      </c>
      <c r="L66" s="36" t="str">
        <f aca="false">IF($B66="","",$C$2+$E$2+$G$2+SUM($I$5:$I66)-SUM($J$5:$J66))</f>
        <v/>
      </c>
      <c r="M66" s="24"/>
      <c r="N66" s="33" t="str">
        <f aca="false">IF($B66="","",IF(NOT(ISNUMBER($B66)),"日期格式不对",IF($C66="","未选资金账户",IF(AND(N($I66)=0,N($J66)=0),"收支都为空",IF(AND(N($I66)&gt;0,N($J66)&gt;0),"收支不能同时填",IF(AND($D66&lt;&gt;"",LEFT($O66,1)="⚠"),"项目编号不存在",IF(AND($M66="是",$F66=""),"工程回款必须填往来单位","√")))))))</f>
        <v/>
      </c>
      <c r="O66" s="34" t="str">
        <f aca="false">IF($D66="","",IFERROR(INDEX(项目档案!$B$6:$B$255,MATCH($D66,项目档案!$A$6:$A$255,0)),"⚠编号不存在"))</f>
        <v/>
      </c>
      <c r="P66" s="35" t="str">
        <f aca="false">IF($B66="","",TEXT($B66,"yyyy-mm"))</f>
        <v/>
      </c>
    </row>
    <row r="67" customFormat="false" ht="15.75" hidden="false" customHeight="true" outlineLevel="0" collapsed="false">
      <c r="A67" s="32" t="str">
        <f aca="false">IF($B67="","",ROW()-4)</f>
        <v/>
      </c>
      <c r="B67" s="26"/>
      <c r="C67" s="21"/>
      <c r="D67" s="24"/>
      <c r="E67" s="21"/>
      <c r="F67" s="24"/>
      <c r="G67" s="21"/>
      <c r="H67" s="22"/>
      <c r="I67" s="27"/>
      <c r="J67" s="27"/>
      <c r="K67" s="36" t="str">
        <f aca="false">IF($B67="","",IF($C67="泓普",$C$2,IF($C67="仟茂",$E$2,IF($C67="现金",$G$2,0)))+SUMIFS($I$5:$I67,$C$5:$C67,$C67)-SUMIFS($J$5:$J67,$C$5:$C67,$C67))</f>
        <v/>
      </c>
      <c r="L67" s="36" t="str">
        <f aca="false">IF($B67="","",$C$2+$E$2+$G$2+SUM($I$5:$I67)-SUM($J$5:$J67))</f>
        <v/>
      </c>
      <c r="M67" s="24"/>
      <c r="N67" s="33" t="str">
        <f aca="false">IF($B67="","",IF(NOT(ISNUMBER($B67)),"日期格式不对",IF($C67="","未选资金账户",IF(AND(N($I67)=0,N($J67)=0),"收支都为空",IF(AND(N($I67)&gt;0,N($J67)&gt;0),"收支不能同时填",IF(AND($D67&lt;&gt;"",LEFT($O67,1)="⚠"),"项目编号不存在",IF(AND($M67="是",$F67=""),"工程回款必须填往来单位","√")))))))</f>
        <v/>
      </c>
      <c r="O67" s="34" t="str">
        <f aca="false">IF($D67="","",IFERROR(INDEX(项目档案!$B$6:$B$255,MATCH($D67,项目档案!$A$6:$A$255,0)),"⚠编号不存在"))</f>
        <v/>
      </c>
      <c r="P67" s="35" t="str">
        <f aca="false">IF($B67="","",TEXT($B67,"yyyy-mm"))</f>
        <v/>
      </c>
    </row>
    <row r="68" customFormat="false" ht="15.75" hidden="false" customHeight="true" outlineLevel="0" collapsed="false">
      <c r="A68" s="32" t="str">
        <f aca="false">IF($B68="","",ROW()-4)</f>
        <v/>
      </c>
      <c r="B68" s="26"/>
      <c r="C68" s="21"/>
      <c r="D68" s="24"/>
      <c r="E68" s="21"/>
      <c r="F68" s="24"/>
      <c r="G68" s="21"/>
      <c r="H68" s="22"/>
      <c r="I68" s="27"/>
      <c r="J68" s="27"/>
      <c r="K68" s="36" t="str">
        <f aca="false">IF($B68="","",IF($C68="泓普",$C$2,IF($C68="仟茂",$E$2,IF($C68="现金",$G$2,0)))+SUMIFS($I$5:$I68,$C$5:$C68,$C68)-SUMIFS($J$5:$J68,$C$5:$C68,$C68))</f>
        <v/>
      </c>
      <c r="L68" s="36" t="str">
        <f aca="false">IF($B68="","",$C$2+$E$2+$G$2+SUM($I$5:$I68)-SUM($J$5:$J68))</f>
        <v/>
      </c>
      <c r="M68" s="24"/>
      <c r="N68" s="33" t="str">
        <f aca="false">IF($B68="","",IF(NOT(ISNUMBER($B68)),"日期格式不对",IF($C68="","未选资金账户",IF(AND(N($I68)=0,N($J68)=0),"收支都为空",IF(AND(N($I68)&gt;0,N($J68)&gt;0),"收支不能同时填",IF(AND($D68&lt;&gt;"",LEFT($O68,1)="⚠"),"项目编号不存在",IF(AND($M68="是",$F68=""),"工程回款必须填往来单位","√")))))))</f>
        <v/>
      </c>
      <c r="O68" s="34" t="str">
        <f aca="false">IF($D68="","",IFERROR(INDEX(项目档案!$B$6:$B$255,MATCH($D68,项目档案!$A$6:$A$255,0)),"⚠编号不存在"))</f>
        <v/>
      </c>
      <c r="P68" s="35" t="str">
        <f aca="false">IF($B68="","",TEXT($B68,"yyyy-mm"))</f>
        <v/>
      </c>
    </row>
    <row r="69" customFormat="false" ht="15.75" hidden="false" customHeight="true" outlineLevel="0" collapsed="false">
      <c r="A69" s="32" t="str">
        <f aca="false">IF($B69="","",ROW()-4)</f>
        <v/>
      </c>
      <c r="B69" s="26"/>
      <c r="C69" s="21"/>
      <c r="D69" s="24"/>
      <c r="E69" s="21"/>
      <c r="F69" s="24"/>
      <c r="G69" s="21"/>
      <c r="H69" s="22"/>
      <c r="I69" s="27"/>
      <c r="J69" s="27"/>
      <c r="K69" s="36" t="str">
        <f aca="false">IF($B69="","",IF($C69="泓普",$C$2,IF($C69="仟茂",$E$2,IF($C69="现金",$G$2,0)))+SUMIFS($I$5:$I69,$C$5:$C69,$C69)-SUMIFS($J$5:$J69,$C$5:$C69,$C69))</f>
        <v/>
      </c>
      <c r="L69" s="36" t="str">
        <f aca="false">IF($B69="","",$C$2+$E$2+$G$2+SUM($I$5:$I69)-SUM($J$5:$J69))</f>
        <v/>
      </c>
      <c r="M69" s="24"/>
      <c r="N69" s="33" t="str">
        <f aca="false">IF($B69="","",IF(NOT(ISNUMBER($B69)),"日期格式不对",IF($C69="","未选资金账户",IF(AND(N($I69)=0,N($J69)=0),"收支都为空",IF(AND(N($I69)&gt;0,N($J69)&gt;0),"收支不能同时填",IF(AND($D69&lt;&gt;"",LEFT($O69,1)="⚠"),"项目编号不存在",IF(AND($M69="是",$F69=""),"工程回款必须填往来单位","√")))))))</f>
        <v/>
      </c>
      <c r="O69" s="34" t="str">
        <f aca="false">IF($D69="","",IFERROR(INDEX(项目档案!$B$6:$B$255,MATCH($D69,项目档案!$A$6:$A$255,0)),"⚠编号不存在"))</f>
        <v/>
      </c>
      <c r="P69" s="35" t="str">
        <f aca="false">IF($B69="","",TEXT($B69,"yyyy-mm"))</f>
        <v/>
      </c>
    </row>
    <row r="70" customFormat="false" ht="15.75" hidden="false" customHeight="true" outlineLevel="0" collapsed="false">
      <c r="A70" s="32" t="str">
        <f aca="false">IF($B70="","",ROW()-4)</f>
        <v/>
      </c>
      <c r="B70" s="26"/>
      <c r="C70" s="21"/>
      <c r="D70" s="24"/>
      <c r="E70" s="21"/>
      <c r="F70" s="24"/>
      <c r="G70" s="21"/>
      <c r="H70" s="22"/>
      <c r="I70" s="27"/>
      <c r="J70" s="27"/>
      <c r="K70" s="36" t="str">
        <f aca="false">IF($B70="","",IF($C70="泓普",$C$2,IF($C70="仟茂",$E$2,IF($C70="现金",$G$2,0)))+SUMIFS($I$5:$I70,$C$5:$C70,$C70)-SUMIFS($J$5:$J70,$C$5:$C70,$C70))</f>
        <v/>
      </c>
      <c r="L70" s="36" t="str">
        <f aca="false">IF($B70="","",$C$2+$E$2+$G$2+SUM($I$5:$I70)-SUM($J$5:$J70))</f>
        <v/>
      </c>
      <c r="M70" s="24"/>
      <c r="N70" s="33" t="str">
        <f aca="false">IF($B70="","",IF(NOT(ISNUMBER($B70)),"日期格式不对",IF($C70="","未选资金账户",IF(AND(N($I70)=0,N($J70)=0),"收支都为空",IF(AND(N($I70)&gt;0,N($J70)&gt;0),"收支不能同时填",IF(AND($D70&lt;&gt;"",LEFT($O70,1)="⚠"),"项目编号不存在",IF(AND($M70="是",$F70=""),"工程回款必须填往来单位","√")))))))</f>
        <v/>
      </c>
      <c r="O70" s="34" t="str">
        <f aca="false">IF($D70="","",IFERROR(INDEX(项目档案!$B$6:$B$255,MATCH($D70,项目档案!$A$6:$A$255,0)),"⚠编号不存在"))</f>
        <v/>
      </c>
      <c r="P70" s="35" t="str">
        <f aca="false">IF($B70="","",TEXT($B70,"yyyy-mm"))</f>
        <v/>
      </c>
    </row>
    <row r="71" customFormat="false" ht="15.75" hidden="false" customHeight="true" outlineLevel="0" collapsed="false">
      <c r="A71" s="32" t="str">
        <f aca="false">IF($B71="","",ROW()-4)</f>
        <v/>
      </c>
      <c r="B71" s="26"/>
      <c r="C71" s="21"/>
      <c r="D71" s="24"/>
      <c r="E71" s="21"/>
      <c r="F71" s="24"/>
      <c r="G71" s="21"/>
      <c r="H71" s="22"/>
      <c r="I71" s="27"/>
      <c r="J71" s="27"/>
      <c r="K71" s="36" t="str">
        <f aca="false">IF($B71="","",IF($C71="泓普",$C$2,IF($C71="仟茂",$E$2,IF($C71="现金",$G$2,0)))+SUMIFS($I$5:$I71,$C$5:$C71,$C71)-SUMIFS($J$5:$J71,$C$5:$C71,$C71))</f>
        <v/>
      </c>
      <c r="L71" s="36" t="str">
        <f aca="false">IF($B71="","",$C$2+$E$2+$G$2+SUM($I$5:$I71)-SUM($J$5:$J71))</f>
        <v/>
      </c>
      <c r="M71" s="24"/>
      <c r="N71" s="33" t="str">
        <f aca="false">IF($B71="","",IF(NOT(ISNUMBER($B71)),"日期格式不对",IF($C71="","未选资金账户",IF(AND(N($I71)=0,N($J71)=0),"收支都为空",IF(AND(N($I71)&gt;0,N($J71)&gt;0),"收支不能同时填",IF(AND($D71&lt;&gt;"",LEFT($O71,1)="⚠"),"项目编号不存在",IF(AND($M71="是",$F71=""),"工程回款必须填往来单位","√")))))))</f>
        <v/>
      </c>
      <c r="O71" s="34" t="str">
        <f aca="false">IF($D71="","",IFERROR(INDEX(项目档案!$B$6:$B$255,MATCH($D71,项目档案!$A$6:$A$255,0)),"⚠编号不存在"))</f>
        <v/>
      </c>
      <c r="P71" s="35" t="str">
        <f aca="false">IF($B71="","",TEXT($B71,"yyyy-mm"))</f>
        <v/>
      </c>
    </row>
    <row r="72" customFormat="false" ht="15.75" hidden="false" customHeight="true" outlineLevel="0" collapsed="false">
      <c r="A72" s="32" t="str">
        <f aca="false">IF($B72="","",ROW()-4)</f>
        <v/>
      </c>
      <c r="B72" s="26"/>
      <c r="C72" s="21"/>
      <c r="D72" s="24"/>
      <c r="E72" s="21"/>
      <c r="F72" s="24"/>
      <c r="G72" s="21"/>
      <c r="H72" s="22"/>
      <c r="I72" s="27"/>
      <c r="J72" s="27"/>
      <c r="K72" s="36" t="str">
        <f aca="false">IF($B72="","",IF($C72="泓普",$C$2,IF($C72="仟茂",$E$2,IF($C72="现金",$G$2,0)))+SUMIFS($I$5:$I72,$C$5:$C72,$C72)-SUMIFS($J$5:$J72,$C$5:$C72,$C72))</f>
        <v/>
      </c>
      <c r="L72" s="36" t="str">
        <f aca="false">IF($B72="","",$C$2+$E$2+$G$2+SUM($I$5:$I72)-SUM($J$5:$J72))</f>
        <v/>
      </c>
      <c r="M72" s="24"/>
      <c r="N72" s="33" t="str">
        <f aca="false">IF($B72="","",IF(NOT(ISNUMBER($B72)),"日期格式不对",IF($C72="","未选资金账户",IF(AND(N($I72)=0,N($J72)=0),"收支都为空",IF(AND(N($I72)&gt;0,N($J72)&gt;0),"收支不能同时填",IF(AND($D72&lt;&gt;"",LEFT($O72,1)="⚠"),"项目编号不存在",IF(AND($M72="是",$F72=""),"工程回款必须填往来单位","√")))))))</f>
        <v/>
      </c>
      <c r="O72" s="34" t="str">
        <f aca="false">IF($D72="","",IFERROR(INDEX(项目档案!$B$6:$B$255,MATCH($D72,项目档案!$A$6:$A$255,0)),"⚠编号不存在"))</f>
        <v/>
      </c>
      <c r="P72" s="35" t="str">
        <f aca="false">IF($B72="","",TEXT($B72,"yyyy-mm"))</f>
        <v/>
      </c>
    </row>
    <row r="73" customFormat="false" ht="15.75" hidden="false" customHeight="true" outlineLevel="0" collapsed="false">
      <c r="A73" s="32" t="str">
        <f aca="false">IF($B73="","",ROW()-4)</f>
        <v/>
      </c>
      <c r="B73" s="26"/>
      <c r="C73" s="21"/>
      <c r="D73" s="24"/>
      <c r="E73" s="21"/>
      <c r="F73" s="24"/>
      <c r="G73" s="21"/>
      <c r="H73" s="22"/>
      <c r="I73" s="27"/>
      <c r="J73" s="27"/>
      <c r="K73" s="36" t="str">
        <f aca="false">IF($B73="","",IF($C73="泓普",$C$2,IF($C73="仟茂",$E$2,IF($C73="现金",$G$2,0)))+SUMIFS($I$5:$I73,$C$5:$C73,$C73)-SUMIFS($J$5:$J73,$C$5:$C73,$C73))</f>
        <v/>
      </c>
      <c r="L73" s="36" t="str">
        <f aca="false">IF($B73="","",$C$2+$E$2+$G$2+SUM($I$5:$I73)-SUM($J$5:$J73))</f>
        <v/>
      </c>
      <c r="M73" s="24"/>
      <c r="N73" s="33" t="str">
        <f aca="false">IF($B73="","",IF(NOT(ISNUMBER($B73)),"日期格式不对",IF($C73="","未选资金账户",IF(AND(N($I73)=0,N($J73)=0),"收支都为空",IF(AND(N($I73)&gt;0,N($J73)&gt;0),"收支不能同时填",IF(AND($D73&lt;&gt;"",LEFT($O73,1)="⚠"),"项目编号不存在",IF(AND($M73="是",$F73=""),"工程回款必须填往来单位","√")))))))</f>
        <v/>
      </c>
      <c r="O73" s="34" t="str">
        <f aca="false">IF($D73="","",IFERROR(INDEX(项目档案!$B$6:$B$255,MATCH($D73,项目档案!$A$6:$A$255,0)),"⚠编号不存在"))</f>
        <v/>
      </c>
      <c r="P73" s="35" t="str">
        <f aca="false">IF($B73="","",TEXT($B73,"yyyy-mm"))</f>
        <v/>
      </c>
    </row>
    <row r="74" customFormat="false" ht="15.75" hidden="false" customHeight="true" outlineLevel="0" collapsed="false">
      <c r="A74" s="32" t="str">
        <f aca="false">IF($B74="","",ROW()-4)</f>
        <v/>
      </c>
      <c r="B74" s="26"/>
      <c r="C74" s="21"/>
      <c r="D74" s="24"/>
      <c r="E74" s="21"/>
      <c r="F74" s="24"/>
      <c r="G74" s="21"/>
      <c r="H74" s="22"/>
      <c r="I74" s="27"/>
      <c r="J74" s="27"/>
      <c r="K74" s="36" t="str">
        <f aca="false">IF($B74="","",IF($C74="泓普",$C$2,IF($C74="仟茂",$E$2,IF($C74="现金",$G$2,0)))+SUMIFS($I$5:$I74,$C$5:$C74,$C74)-SUMIFS($J$5:$J74,$C$5:$C74,$C74))</f>
        <v/>
      </c>
      <c r="L74" s="36" t="str">
        <f aca="false">IF($B74="","",$C$2+$E$2+$G$2+SUM($I$5:$I74)-SUM($J$5:$J74))</f>
        <v/>
      </c>
      <c r="M74" s="24"/>
      <c r="N74" s="33" t="str">
        <f aca="false">IF($B74="","",IF(NOT(ISNUMBER($B74)),"日期格式不对",IF($C74="","未选资金账户",IF(AND(N($I74)=0,N($J74)=0),"收支都为空",IF(AND(N($I74)&gt;0,N($J74)&gt;0),"收支不能同时填",IF(AND($D74&lt;&gt;"",LEFT($O74,1)="⚠"),"项目编号不存在",IF(AND($M74="是",$F74=""),"工程回款必须填往来单位","√")))))))</f>
        <v/>
      </c>
      <c r="O74" s="34" t="str">
        <f aca="false">IF($D74="","",IFERROR(INDEX(项目档案!$B$6:$B$255,MATCH($D74,项目档案!$A$6:$A$255,0)),"⚠编号不存在"))</f>
        <v/>
      </c>
      <c r="P74" s="35" t="str">
        <f aca="false">IF($B74="","",TEXT($B74,"yyyy-mm"))</f>
        <v/>
      </c>
    </row>
    <row r="75" customFormat="false" ht="15.75" hidden="false" customHeight="true" outlineLevel="0" collapsed="false">
      <c r="A75" s="32" t="str">
        <f aca="false">IF($B75="","",ROW()-4)</f>
        <v/>
      </c>
      <c r="B75" s="26"/>
      <c r="C75" s="21"/>
      <c r="D75" s="24"/>
      <c r="E75" s="21"/>
      <c r="F75" s="24"/>
      <c r="G75" s="21"/>
      <c r="H75" s="22"/>
      <c r="I75" s="27"/>
      <c r="J75" s="27"/>
      <c r="K75" s="36" t="str">
        <f aca="false">IF($B75="","",IF($C75="泓普",$C$2,IF($C75="仟茂",$E$2,IF($C75="现金",$G$2,0)))+SUMIFS($I$5:$I75,$C$5:$C75,$C75)-SUMIFS($J$5:$J75,$C$5:$C75,$C75))</f>
        <v/>
      </c>
      <c r="L75" s="36" t="str">
        <f aca="false">IF($B75="","",$C$2+$E$2+$G$2+SUM($I$5:$I75)-SUM($J$5:$J75))</f>
        <v/>
      </c>
      <c r="M75" s="24"/>
      <c r="N75" s="33" t="str">
        <f aca="false">IF($B75="","",IF(NOT(ISNUMBER($B75)),"日期格式不对",IF($C75="","未选资金账户",IF(AND(N($I75)=0,N($J75)=0),"收支都为空",IF(AND(N($I75)&gt;0,N($J75)&gt;0),"收支不能同时填",IF(AND($D75&lt;&gt;"",LEFT($O75,1)="⚠"),"项目编号不存在",IF(AND($M75="是",$F75=""),"工程回款必须填往来单位","√")))))))</f>
        <v/>
      </c>
      <c r="O75" s="34" t="str">
        <f aca="false">IF($D75="","",IFERROR(INDEX(项目档案!$B$6:$B$255,MATCH($D75,项目档案!$A$6:$A$255,0)),"⚠编号不存在"))</f>
        <v/>
      </c>
      <c r="P75" s="35" t="str">
        <f aca="false">IF($B75="","",TEXT($B75,"yyyy-mm"))</f>
        <v/>
      </c>
    </row>
    <row r="76" customFormat="false" ht="15.75" hidden="false" customHeight="true" outlineLevel="0" collapsed="false">
      <c r="A76" s="32" t="str">
        <f aca="false">IF($B76="","",ROW()-4)</f>
        <v/>
      </c>
      <c r="B76" s="26"/>
      <c r="C76" s="21"/>
      <c r="D76" s="24"/>
      <c r="E76" s="21"/>
      <c r="F76" s="24"/>
      <c r="G76" s="21"/>
      <c r="H76" s="22"/>
      <c r="I76" s="27"/>
      <c r="J76" s="27"/>
      <c r="K76" s="36" t="str">
        <f aca="false">IF($B76="","",IF($C76="泓普",$C$2,IF($C76="仟茂",$E$2,IF($C76="现金",$G$2,0)))+SUMIFS($I$5:$I76,$C$5:$C76,$C76)-SUMIFS($J$5:$J76,$C$5:$C76,$C76))</f>
        <v/>
      </c>
      <c r="L76" s="36" t="str">
        <f aca="false">IF($B76="","",$C$2+$E$2+$G$2+SUM($I$5:$I76)-SUM($J$5:$J76))</f>
        <v/>
      </c>
      <c r="M76" s="24"/>
      <c r="N76" s="33" t="str">
        <f aca="false">IF($B76="","",IF(NOT(ISNUMBER($B76)),"日期格式不对",IF($C76="","未选资金账户",IF(AND(N($I76)=0,N($J76)=0),"收支都为空",IF(AND(N($I76)&gt;0,N($J76)&gt;0),"收支不能同时填",IF(AND($D76&lt;&gt;"",LEFT($O76,1)="⚠"),"项目编号不存在",IF(AND($M76="是",$F76=""),"工程回款必须填往来单位","√")))))))</f>
        <v/>
      </c>
      <c r="O76" s="34" t="str">
        <f aca="false">IF($D76="","",IFERROR(INDEX(项目档案!$B$6:$B$255,MATCH($D76,项目档案!$A$6:$A$255,0)),"⚠编号不存在"))</f>
        <v/>
      </c>
      <c r="P76" s="35" t="str">
        <f aca="false">IF($B76="","",TEXT($B76,"yyyy-mm"))</f>
        <v/>
      </c>
    </row>
    <row r="77" customFormat="false" ht="15.75" hidden="false" customHeight="true" outlineLevel="0" collapsed="false">
      <c r="A77" s="32" t="str">
        <f aca="false">IF($B77="","",ROW()-4)</f>
        <v/>
      </c>
      <c r="B77" s="26"/>
      <c r="C77" s="21"/>
      <c r="D77" s="24"/>
      <c r="E77" s="21"/>
      <c r="F77" s="24"/>
      <c r="G77" s="21"/>
      <c r="H77" s="22"/>
      <c r="I77" s="27"/>
      <c r="J77" s="27"/>
      <c r="K77" s="36" t="str">
        <f aca="false">IF($B77="","",IF($C77="泓普",$C$2,IF($C77="仟茂",$E$2,IF($C77="现金",$G$2,0)))+SUMIFS($I$5:$I77,$C$5:$C77,$C77)-SUMIFS($J$5:$J77,$C$5:$C77,$C77))</f>
        <v/>
      </c>
      <c r="L77" s="36" t="str">
        <f aca="false">IF($B77="","",$C$2+$E$2+$G$2+SUM($I$5:$I77)-SUM($J$5:$J77))</f>
        <v/>
      </c>
      <c r="M77" s="24"/>
      <c r="N77" s="33" t="str">
        <f aca="false">IF($B77="","",IF(NOT(ISNUMBER($B77)),"日期格式不对",IF($C77="","未选资金账户",IF(AND(N($I77)=0,N($J77)=0),"收支都为空",IF(AND(N($I77)&gt;0,N($J77)&gt;0),"收支不能同时填",IF(AND($D77&lt;&gt;"",LEFT($O77,1)="⚠"),"项目编号不存在",IF(AND($M77="是",$F77=""),"工程回款必须填往来单位","√")))))))</f>
        <v/>
      </c>
      <c r="O77" s="34" t="str">
        <f aca="false">IF($D77="","",IFERROR(INDEX(项目档案!$B$6:$B$255,MATCH($D77,项目档案!$A$6:$A$255,0)),"⚠编号不存在"))</f>
        <v/>
      </c>
      <c r="P77" s="35" t="str">
        <f aca="false">IF($B77="","",TEXT($B77,"yyyy-mm"))</f>
        <v/>
      </c>
    </row>
    <row r="78" customFormat="false" ht="15.75" hidden="false" customHeight="true" outlineLevel="0" collapsed="false">
      <c r="A78" s="32" t="str">
        <f aca="false">IF($B78="","",ROW()-4)</f>
        <v/>
      </c>
      <c r="B78" s="26"/>
      <c r="C78" s="21"/>
      <c r="D78" s="24"/>
      <c r="E78" s="21"/>
      <c r="F78" s="24"/>
      <c r="G78" s="21"/>
      <c r="H78" s="22"/>
      <c r="I78" s="27"/>
      <c r="J78" s="27"/>
      <c r="K78" s="36" t="str">
        <f aca="false">IF($B78="","",IF($C78="泓普",$C$2,IF($C78="仟茂",$E$2,IF($C78="现金",$G$2,0)))+SUMIFS($I$5:$I78,$C$5:$C78,$C78)-SUMIFS($J$5:$J78,$C$5:$C78,$C78))</f>
        <v/>
      </c>
      <c r="L78" s="36" t="str">
        <f aca="false">IF($B78="","",$C$2+$E$2+$G$2+SUM($I$5:$I78)-SUM($J$5:$J78))</f>
        <v/>
      </c>
      <c r="M78" s="24"/>
      <c r="N78" s="33" t="str">
        <f aca="false">IF($B78="","",IF(NOT(ISNUMBER($B78)),"日期格式不对",IF($C78="","未选资金账户",IF(AND(N($I78)=0,N($J78)=0),"收支都为空",IF(AND(N($I78)&gt;0,N($J78)&gt;0),"收支不能同时填",IF(AND($D78&lt;&gt;"",LEFT($O78,1)="⚠"),"项目编号不存在",IF(AND($M78="是",$F78=""),"工程回款必须填往来单位","√")))))))</f>
        <v/>
      </c>
      <c r="O78" s="34" t="str">
        <f aca="false">IF($D78="","",IFERROR(INDEX(项目档案!$B$6:$B$255,MATCH($D78,项目档案!$A$6:$A$255,0)),"⚠编号不存在"))</f>
        <v/>
      </c>
      <c r="P78" s="35" t="str">
        <f aca="false">IF($B78="","",TEXT($B78,"yyyy-mm"))</f>
        <v/>
      </c>
    </row>
    <row r="79" customFormat="false" ht="15.75" hidden="false" customHeight="true" outlineLevel="0" collapsed="false">
      <c r="A79" s="32" t="str">
        <f aca="false">IF($B79="","",ROW()-4)</f>
        <v/>
      </c>
      <c r="B79" s="26"/>
      <c r="C79" s="21"/>
      <c r="D79" s="24"/>
      <c r="E79" s="21"/>
      <c r="F79" s="24"/>
      <c r="G79" s="21"/>
      <c r="H79" s="22"/>
      <c r="I79" s="27"/>
      <c r="J79" s="27"/>
      <c r="K79" s="36" t="str">
        <f aca="false">IF($B79="","",IF($C79="泓普",$C$2,IF($C79="仟茂",$E$2,IF($C79="现金",$G$2,0)))+SUMIFS($I$5:$I79,$C$5:$C79,$C79)-SUMIFS($J$5:$J79,$C$5:$C79,$C79))</f>
        <v/>
      </c>
      <c r="L79" s="36" t="str">
        <f aca="false">IF($B79="","",$C$2+$E$2+$G$2+SUM($I$5:$I79)-SUM($J$5:$J79))</f>
        <v/>
      </c>
      <c r="M79" s="24"/>
      <c r="N79" s="33" t="str">
        <f aca="false">IF($B79="","",IF(NOT(ISNUMBER($B79)),"日期格式不对",IF($C79="","未选资金账户",IF(AND(N($I79)=0,N($J79)=0),"收支都为空",IF(AND(N($I79)&gt;0,N($J79)&gt;0),"收支不能同时填",IF(AND($D79&lt;&gt;"",LEFT($O79,1)="⚠"),"项目编号不存在",IF(AND($M79="是",$F79=""),"工程回款必须填往来单位","√")))))))</f>
        <v/>
      </c>
      <c r="O79" s="34" t="str">
        <f aca="false">IF($D79="","",IFERROR(INDEX(项目档案!$B$6:$B$255,MATCH($D79,项目档案!$A$6:$A$255,0)),"⚠编号不存在"))</f>
        <v/>
      </c>
      <c r="P79" s="35" t="str">
        <f aca="false">IF($B79="","",TEXT($B79,"yyyy-mm"))</f>
        <v/>
      </c>
    </row>
    <row r="80" customFormat="false" ht="15.75" hidden="false" customHeight="true" outlineLevel="0" collapsed="false">
      <c r="A80" s="32" t="str">
        <f aca="false">IF($B80="","",ROW()-4)</f>
        <v/>
      </c>
      <c r="B80" s="26"/>
      <c r="C80" s="21"/>
      <c r="D80" s="24"/>
      <c r="E80" s="21"/>
      <c r="F80" s="24"/>
      <c r="G80" s="21"/>
      <c r="H80" s="22"/>
      <c r="I80" s="27"/>
      <c r="J80" s="27"/>
      <c r="K80" s="36" t="str">
        <f aca="false">IF($B80="","",IF($C80="泓普",$C$2,IF($C80="仟茂",$E$2,IF($C80="现金",$G$2,0)))+SUMIFS($I$5:$I80,$C$5:$C80,$C80)-SUMIFS($J$5:$J80,$C$5:$C80,$C80))</f>
        <v/>
      </c>
      <c r="L80" s="36" t="str">
        <f aca="false">IF($B80="","",$C$2+$E$2+$G$2+SUM($I$5:$I80)-SUM($J$5:$J80))</f>
        <v/>
      </c>
      <c r="M80" s="24"/>
      <c r="N80" s="33" t="str">
        <f aca="false">IF($B80="","",IF(NOT(ISNUMBER($B80)),"日期格式不对",IF($C80="","未选资金账户",IF(AND(N($I80)=0,N($J80)=0),"收支都为空",IF(AND(N($I80)&gt;0,N($J80)&gt;0),"收支不能同时填",IF(AND($D80&lt;&gt;"",LEFT($O80,1)="⚠"),"项目编号不存在",IF(AND($M80="是",$F80=""),"工程回款必须填往来单位","√")))))))</f>
        <v/>
      </c>
      <c r="O80" s="34" t="str">
        <f aca="false">IF($D80="","",IFERROR(INDEX(项目档案!$B$6:$B$255,MATCH($D80,项目档案!$A$6:$A$255,0)),"⚠编号不存在"))</f>
        <v/>
      </c>
      <c r="P80" s="35" t="str">
        <f aca="false">IF($B80="","",TEXT($B80,"yyyy-mm"))</f>
        <v/>
      </c>
    </row>
    <row r="81" customFormat="false" ht="15.75" hidden="false" customHeight="true" outlineLevel="0" collapsed="false">
      <c r="A81" s="32" t="str">
        <f aca="false">IF($B81="","",ROW()-4)</f>
        <v/>
      </c>
      <c r="B81" s="26"/>
      <c r="C81" s="21"/>
      <c r="D81" s="24"/>
      <c r="E81" s="21"/>
      <c r="F81" s="24"/>
      <c r="G81" s="21"/>
      <c r="H81" s="22"/>
      <c r="I81" s="27"/>
      <c r="J81" s="27"/>
      <c r="K81" s="36" t="str">
        <f aca="false">IF($B81="","",IF($C81="泓普",$C$2,IF($C81="仟茂",$E$2,IF($C81="现金",$G$2,0)))+SUMIFS($I$5:$I81,$C$5:$C81,$C81)-SUMIFS($J$5:$J81,$C$5:$C81,$C81))</f>
        <v/>
      </c>
      <c r="L81" s="36" t="str">
        <f aca="false">IF($B81="","",$C$2+$E$2+$G$2+SUM($I$5:$I81)-SUM($J$5:$J81))</f>
        <v/>
      </c>
      <c r="M81" s="24"/>
      <c r="N81" s="33" t="str">
        <f aca="false">IF($B81="","",IF(NOT(ISNUMBER($B81)),"日期格式不对",IF($C81="","未选资金账户",IF(AND(N($I81)=0,N($J81)=0),"收支都为空",IF(AND(N($I81)&gt;0,N($J81)&gt;0),"收支不能同时填",IF(AND($D81&lt;&gt;"",LEFT($O81,1)="⚠"),"项目编号不存在",IF(AND($M81="是",$F81=""),"工程回款必须填往来单位","√")))))))</f>
        <v/>
      </c>
      <c r="O81" s="34" t="str">
        <f aca="false">IF($D81="","",IFERROR(INDEX(项目档案!$B$6:$B$255,MATCH($D81,项目档案!$A$6:$A$255,0)),"⚠编号不存在"))</f>
        <v/>
      </c>
      <c r="P81" s="35" t="str">
        <f aca="false">IF($B81="","",TEXT($B81,"yyyy-mm"))</f>
        <v/>
      </c>
    </row>
    <row r="82" customFormat="false" ht="15.75" hidden="false" customHeight="true" outlineLevel="0" collapsed="false">
      <c r="A82" s="32" t="str">
        <f aca="false">IF($B82="","",ROW()-4)</f>
        <v/>
      </c>
      <c r="B82" s="26"/>
      <c r="C82" s="21"/>
      <c r="D82" s="24"/>
      <c r="E82" s="21"/>
      <c r="F82" s="24"/>
      <c r="G82" s="21"/>
      <c r="H82" s="22"/>
      <c r="I82" s="27"/>
      <c r="J82" s="27"/>
      <c r="K82" s="36" t="str">
        <f aca="false">IF($B82="","",IF($C82="泓普",$C$2,IF($C82="仟茂",$E$2,IF($C82="现金",$G$2,0)))+SUMIFS($I$5:$I82,$C$5:$C82,$C82)-SUMIFS($J$5:$J82,$C$5:$C82,$C82))</f>
        <v/>
      </c>
      <c r="L82" s="36" t="str">
        <f aca="false">IF($B82="","",$C$2+$E$2+$G$2+SUM($I$5:$I82)-SUM($J$5:$J82))</f>
        <v/>
      </c>
      <c r="M82" s="24"/>
      <c r="N82" s="33" t="str">
        <f aca="false">IF($B82="","",IF(NOT(ISNUMBER($B82)),"日期格式不对",IF($C82="","未选资金账户",IF(AND(N($I82)=0,N($J82)=0),"收支都为空",IF(AND(N($I82)&gt;0,N($J82)&gt;0),"收支不能同时填",IF(AND($D82&lt;&gt;"",LEFT($O82,1)="⚠"),"项目编号不存在",IF(AND($M82="是",$F82=""),"工程回款必须填往来单位","√")))))))</f>
        <v/>
      </c>
      <c r="O82" s="34" t="str">
        <f aca="false">IF($D82="","",IFERROR(INDEX(项目档案!$B$6:$B$255,MATCH($D82,项目档案!$A$6:$A$255,0)),"⚠编号不存在"))</f>
        <v/>
      </c>
      <c r="P82" s="35" t="str">
        <f aca="false">IF($B82="","",TEXT($B82,"yyyy-mm"))</f>
        <v/>
      </c>
    </row>
    <row r="83" customFormat="false" ht="15.75" hidden="false" customHeight="true" outlineLevel="0" collapsed="false">
      <c r="A83" s="32" t="str">
        <f aca="false">IF($B83="","",ROW()-4)</f>
        <v/>
      </c>
      <c r="B83" s="26"/>
      <c r="C83" s="21"/>
      <c r="D83" s="24"/>
      <c r="E83" s="21"/>
      <c r="F83" s="24"/>
      <c r="G83" s="21"/>
      <c r="H83" s="22"/>
      <c r="I83" s="27"/>
      <c r="J83" s="27"/>
      <c r="K83" s="36" t="str">
        <f aca="false">IF($B83="","",IF($C83="泓普",$C$2,IF($C83="仟茂",$E$2,IF($C83="现金",$G$2,0)))+SUMIFS($I$5:$I83,$C$5:$C83,$C83)-SUMIFS($J$5:$J83,$C$5:$C83,$C83))</f>
        <v/>
      </c>
      <c r="L83" s="36" t="str">
        <f aca="false">IF($B83="","",$C$2+$E$2+$G$2+SUM($I$5:$I83)-SUM($J$5:$J83))</f>
        <v/>
      </c>
      <c r="M83" s="24"/>
      <c r="N83" s="33" t="str">
        <f aca="false">IF($B83="","",IF(NOT(ISNUMBER($B83)),"日期格式不对",IF($C83="","未选资金账户",IF(AND(N($I83)=0,N($J83)=0),"收支都为空",IF(AND(N($I83)&gt;0,N($J83)&gt;0),"收支不能同时填",IF(AND($D83&lt;&gt;"",LEFT($O83,1)="⚠"),"项目编号不存在",IF(AND($M83="是",$F83=""),"工程回款必须填往来单位","√")))))))</f>
        <v/>
      </c>
      <c r="O83" s="34" t="str">
        <f aca="false">IF($D83="","",IFERROR(INDEX(项目档案!$B$6:$B$255,MATCH($D83,项目档案!$A$6:$A$255,0)),"⚠编号不存在"))</f>
        <v/>
      </c>
      <c r="P83" s="35" t="str">
        <f aca="false">IF($B83="","",TEXT($B83,"yyyy-mm"))</f>
        <v/>
      </c>
    </row>
    <row r="84" customFormat="false" ht="15.75" hidden="false" customHeight="true" outlineLevel="0" collapsed="false">
      <c r="A84" s="32" t="str">
        <f aca="false">IF($B84="","",ROW()-4)</f>
        <v/>
      </c>
      <c r="B84" s="26"/>
      <c r="C84" s="21"/>
      <c r="D84" s="24"/>
      <c r="E84" s="21"/>
      <c r="F84" s="24"/>
      <c r="G84" s="21"/>
      <c r="H84" s="22"/>
      <c r="I84" s="27"/>
      <c r="J84" s="27"/>
      <c r="K84" s="36" t="str">
        <f aca="false">IF($B84="","",IF($C84="泓普",$C$2,IF($C84="仟茂",$E$2,IF($C84="现金",$G$2,0)))+SUMIFS($I$5:$I84,$C$5:$C84,$C84)-SUMIFS($J$5:$J84,$C$5:$C84,$C84))</f>
        <v/>
      </c>
      <c r="L84" s="36" t="str">
        <f aca="false">IF($B84="","",$C$2+$E$2+$G$2+SUM($I$5:$I84)-SUM($J$5:$J84))</f>
        <v/>
      </c>
      <c r="M84" s="24"/>
      <c r="N84" s="33" t="str">
        <f aca="false">IF($B84="","",IF(NOT(ISNUMBER($B84)),"日期格式不对",IF($C84="","未选资金账户",IF(AND(N($I84)=0,N($J84)=0),"收支都为空",IF(AND(N($I84)&gt;0,N($J84)&gt;0),"收支不能同时填",IF(AND($D84&lt;&gt;"",LEFT($O84,1)="⚠"),"项目编号不存在",IF(AND($M84="是",$F84=""),"工程回款必须填往来单位","√")))))))</f>
        <v/>
      </c>
      <c r="O84" s="34" t="str">
        <f aca="false">IF($D84="","",IFERROR(INDEX(项目档案!$B$6:$B$255,MATCH($D84,项目档案!$A$6:$A$255,0)),"⚠编号不存在"))</f>
        <v/>
      </c>
      <c r="P84" s="35" t="str">
        <f aca="false">IF($B84="","",TEXT($B84,"yyyy-mm"))</f>
        <v/>
      </c>
    </row>
    <row r="85" customFormat="false" ht="15.75" hidden="false" customHeight="true" outlineLevel="0" collapsed="false">
      <c r="A85" s="32" t="str">
        <f aca="false">IF($B85="","",ROW()-4)</f>
        <v/>
      </c>
      <c r="B85" s="26"/>
      <c r="C85" s="21"/>
      <c r="D85" s="24"/>
      <c r="E85" s="21"/>
      <c r="F85" s="24"/>
      <c r="G85" s="21"/>
      <c r="H85" s="22"/>
      <c r="I85" s="27"/>
      <c r="J85" s="27"/>
      <c r="K85" s="36" t="str">
        <f aca="false">IF($B85="","",IF($C85="泓普",$C$2,IF($C85="仟茂",$E$2,IF($C85="现金",$G$2,0)))+SUMIFS($I$5:$I85,$C$5:$C85,$C85)-SUMIFS($J$5:$J85,$C$5:$C85,$C85))</f>
        <v/>
      </c>
      <c r="L85" s="36" t="str">
        <f aca="false">IF($B85="","",$C$2+$E$2+$G$2+SUM($I$5:$I85)-SUM($J$5:$J85))</f>
        <v/>
      </c>
      <c r="M85" s="24"/>
      <c r="N85" s="33" t="str">
        <f aca="false">IF($B85="","",IF(NOT(ISNUMBER($B85)),"日期格式不对",IF($C85="","未选资金账户",IF(AND(N($I85)=0,N($J85)=0),"收支都为空",IF(AND(N($I85)&gt;0,N($J85)&gt;0),"收支不能同时填",IF(AND($D85&lt;&gt;"",LEFT($O85,1)="⚠"),"项目编号不存在",IF(AND($M85="是",$F85=""),"工程回款必须填往来单位","√")))))))</f>
        <v/>
      </c>
      <c r="O85" s="34" t="str">
        <f aca="false">IF($D85="","",IFERROR(INDEX(项目档案!$B$6:$B$255,MATCH($D85,项目档案!$A$6:$A$255,0)),"⚠编号不存在"))</f>
        <v/>
      </c>
      <c r="P85" s="35" t="str">
        <f aca="false">IF($B85="","",TEXT($B85,"yyyy-mm"))</f>
        <v/>
      </c>
    </row>
    <row r="86" customFormat="false" ht="15.75" hidden="false" customHeight="true" outlineLevel="0" collapsed="false">
      <c r="A86" s="32" t="str">
        <f aca="false">IF($B86="","",ROW()-4)</f>
        <v/>
      </c>
      <c r="B86" s="26"/>
      <c r="C86" s="21"/>
      <c r="D86" s="24"/>
      <c r="E86" s="21"/>
      <c r="F86" s="24"/>
      <c r="G86" s="21"/>
      <c r="H86" s="22"/>
      <c r="I86" s="27"/>
      <c r="J86" s="27"/>
      <c r="K86" s="36" t="str">
        <f aca="false">IF($B86="","",IF($C86="泓普",$C$2,IF($C86="仟茂",$E$2,IF($C86="现金",$G$2,0)))+SUMIFS($I$5:$I86,$C$5:$C86,$C86)-SUMIFS($J$5:$J86,$C$5:$C86,$C86))</f>
        <v/>
      </c>
      <c r="L86" s="36" t="str">
        <f aca="false">IF($B86="","",$C$2+$E$2+$G$2+SUM($I$5:$I86)-SUM($J$5:$J86))</f>
        <v/>
      </c>
      <c r="M86" s="24"/>
      <c r="N86" s="33" t="str">
        <f aca="false">IF($B86="","",IF(NOT(ISNUMBER($B86)),"日期格式不对",IF($C86="","未选资金账户",IF(AND(N($I86)=0,N($J86)=0),"收支都为空",IF(AND(N($I86)&gt;0,N($J86)&gt;0),"收支不能同时填",IF(AND($D86&lt;&gt;"",LEFT($O86,1)="⚠"),"项目编号不存在",IF(AND($M86="是",$F86=""),"工程回款必须填往来单位","√")))))))</f>
        <v/>
      </c>
      <c r="O86" s="34" t="str">
        <f aca="false">IF($D86="","",IFERROR(INDEX(项目档案!$B$6:$B$255,MATCH($D86,项目档案!$A$6:$A$255,0)),"⚠编号不存在"))</f>
        <v/>
      </c>
      <c r="P86" s="35" t="str">
        <f aca="false">IF($B86="","",TEXT($B86,"yyyy-mm"))</f>
        <v/>
      </c>
    </row>
    <row r="87" customFormat="false" ht="15.75" hidden="false" customHeight="true" outlineLevel="0" collapsed="false">
      <c r="A87" s="32" t="str">
        <f aca="false">IF($B87="","",ROW()-4)</f>
        <v/>
      </c>
      <c r="B87" s="26"/>
      <c r="C87" s="21"/>
      <c r="D87" s="24"/>
      <c r="E87" s="21"/>
      <c r="F87" s="24"/>
      <c r="G87" s="21"/>
      <c r="H87" s="22"/>
      <c r="I87" s="27"/>
      <c r="J87" s="27"/>
      <c r="K87" s="36" t="str">
        <f aca="false">IF($B87="","",IF($C87="泓普",$C$2,IF($C87="仟茂",$E$2,IF($C87="现金",$G$2,0)))+SUMIFS($I$5:$I87,$C$5:$C87,$C87)-SUMIFS($J$5:$J87,$C$5:$C87,$C87))</f>
        <v/>
      </c>
      <c r="L87" s="36" t="str">
        <f aca="false">IF($B87="","",$C$2+$E$2+$G$2+SUM($I$5:$I87)-SUM($J$5:$J87))</f>
        <v/>
      </c>
      <c r="M87" s="24"/>
      <c r="N87" s="33" t="str">
        <f aca="false">IF($B87="","",IF(NOT(ISNUMBER($B87)),"日期格式不对",IF($C87="","未选资金账户",IF(AND(N($I87)=0,N($J87)=0),"收支都为空",IF(AND(N($I87)&gt;0,N($J87)&gt;0),"收支不能同时填",IF(AND($D87&lt;&gt;"",LEFT($O87,1)="⚠"),"项目编号不存在",IF(AND($M87="是",$F87=""),"工程回款必须填往来单位","√")))))))</f>
        <v/>
      </c>
      <c r="O87" s="34" t="str">
        <f aca="false">IF($D87="","",IFERROR(INDEX(项目档案!$B$6:$B$255,MATCH($D87,项目档案!$A$6:$A$255,0)),"⚠编号不存在"))</f>
        <v/>
      </c>
      <c r="P87" s="35" t="str">
        <f aca="false">IF($B87="","",TEXT($B87,"yyyy-mm"))</f>
        <v/>
      </c>
    </row>
    <row r="88" customFormat="false" ht="15.75" hidden="false" customHeight="true" outlineLevel="0" collapsed="false">
      <c r="A88" s="32" t="str">
        <f aca="false">IF($B88="","",ROW()-4)</f>
        <v/>
      </c>
      <c r="B88" s="26"/>
      <c r="C88" s="21"/>
      <c r="D88" s="24"/>
      <c r="E88" s="21"/>
      <c r="F88" s="24"/>
      <c r="G88" s="21"/>
      <c r="H88" s="22"/>
      <c r="I88" s="27"/>
      <c r="J88" s="27"/>
      <c r="K88" s="36" t="str">
        <f aca="false">IF($B88="","",IF($C88="泓普",$C$2,IF($C88="仟茂",$E$2,IF($C88="现金",$G$2,0)))+SUMIFS($I$5:$I88,$C$5:$C88,$C88)-SUMIFS($J$5:$J88,$C$5:$C88,$C88))</f>
        <v/>
      </c>
      <c r="L88" s="36" t="str">
        <f aca="false">IF($B88="","",$C$2+$E$2+$G$2+SUM($I$5:$I88)-SUM($J$5:$J88))</f>
        <v/>
      </c>
      <c r="M88" s="24"/>
      <c r="N88" s="33" t="str">
        <f aca="false">IF($B88="","",IF(NOT(ISNUMBER($B88)),"日期格式不对",IF($C88="","未选资金账户",IF(AND(N($I88)=0,N($J88)=0),"收支都为空",IF(AND(N($I88)&gt;0,N($J88)&gt;0),"收支不能同时填",IF(AND($D88&lt;&gt;"",LEFT($O88,1)="⚠"),"项目编号不存在",IF(AND($M88="是",$F88=""),"工程回款必须填往来单位","√")))))))</f>
        <v/>
      </c>
      <c r="O88" s="34" t="str">
        <f aca="false">IF($D88="","",IFERROR(INDEX(项目档案!$B$6:$B$255,MATCH($D88,项目档案!$A$6:$A$255,0)),"⚠编号不存在"))</f>
        <v/>
      </c>
      <c r="P88" s="35" t="str">
        <f aca="false">IF($B88="","",TEXT($B88,"yyyy-mm"))</f>
        <v/>
      </c>
    </row>
    <row r="89" customFormat="false" ht="15.75" hidden="false" customHeight="true" outlineLevel="0" collapsed="false">
      <c r="A89" s="32" t="str">
        <f aca="false">IF($B89="","",ROW()-4)</f>
        <v/>
      </c>
      <c r="B89" s="26"/>
      <c r="C89" s="21"/>
      <c r="D89" s="24"/>
      <c r="E89" s="21"/>
      <c r="F89" s="24"/>
      <c r="G89" s="21"/>
      <c r="H89" s="22"/>
      <c r="I89" s="27"/>
      <c r="J89" s="27"/>
      <c r="K89" s="36" t="str">
        <f aca="false">IF($B89="","",IF($C89="泓普",$C$2,IF($C89="仟茂",$E$2,IF($C89="现金",$G$2,0)))+SUMIFS($I$5:$I89,$C$5:$C89,$C89)-SUMIFS($J$5:$J89,$C$5:$C89,$C89))</f>
        <v/>
      </c>
      <c r="L89" s="36" t="str">
        <f aca="false">IF($B89="","",$C$2+$E$2+$G$2+SUM($I$5:$I89)-SUM($J$5:$J89))</f>
        <v/>
      </c>
      <c r="M89" s="24"/>
      <c r="N89" s="33" t="str">
        <f aca="false">IF($B89="","",IF(NOT(ISNUMBER($B89)),"日期格式不对",IF($C89="","未选资金账户",IF(AND(N($I89)=0,N($J89)=0),"收支都为空",IF(AND(N($I89)&gt;0,N($J89)&gt;0),"收支不能同时填",IF(AND($D89&lt;&gt;"",LEFT($O89,1)="⚠"),"项目编号不存在",IF(AND($M89="是",$F89=""),"工程回款必须填往来单位","√")))))))</f>
        <v/>
      </c>
      <c r="O89" s="34" t="str">
        <f aca="false">IF($D89="","",IFERROR(INDEX(项目档案!$B$6:$B$255,MATCH($D89,项目档案!$A$6:$A$255,0)),"⚠编号不存在"))</f>
        <v/>
      </c>
      <c r="P89" s="35" t="str">
        <f aca="false">IF($B89="","",TEXT($B89,"yyyy-mm"))</f>
        <v/>
      </c>
    </row>
    <row r="90" customFormat="false" ht="15.75" hidden="false" customHeight="true" outlineLevel="0" collapsed="false">
      <c r="A90" s="32" t="str">
        <f aca="false">IF($B90="","",ROW()-4)</f>
        <v/>
      </c>
      <c r="B90" s="26"/>
      <c r="C90" s="21"/>
      <c r="D90" s="24"/>
      <c r="E90" s="21"/>
      <c r="F90" s="24"/>
      <c r="G90" s="21"/>
      <c r="H90" s="22"/>
      <c r="I90" s="27"/>
      <c r="J90" s="27"/>
      <c r="K90" s="36" t="str">
        <f aca="false">IF($B90="","",IF($C90="泓普",$C$2,IF($C90="仟茂",$E$2,IF($C90="现金",$G$2,0)))+SUMIFS($I$5:$I90,$C$5:$C90,$C90)-SUMIFS($J$5:$J90,$C$5:$C90,$C90))</f>
        <v/>
      </c>
      <c r="L90" s="36" t="str">
        <f aca="false">IF($B90="","",$C$2+$E$2+$G$2+SUM($I$5:$I90)-SUM($J$5:$J90))</f>
        <v/>
      </c>
      <c r="M90" s="24"/>
      <c r="N90" s="33" t="str">
        <f aca="false">IF($B90="","",IF(NOT(ISNUMBER($B90)),"日期格式不对",IF($C90="","未选资金账户",IF(AND(N($I90)=0,N($J90)=0),"收支都为空",IF(AND(N($I90)&gt;0,N($J90)&gt;0),"收支不能同时填",IF(AND($D90&lt;&gt;"",LEFT($O90,1)="⚠"),"项目编号不存在",IF(AND($M90="是",$F90=""),"工程回款必须填往来单位","√")))))))</f>
        <v/>
      </c>
      <c r="O90" s="34" t="str">
        <f aca="false">IF($D90="","",IFERROR(INDEX(项目档案!$B$6:$B$255,MATCH($D90,项目档案!$A$6:$A$255,0)),"⚠编号不存在"))</f>
        <v/>
      </c>
      <c r="P90" s="35" t="str">
        <f aca="false">IF($B90="","",TEXT($B90,"yyyy-mm"))</f>
        <v/>
      </c>
    </row>
    <row r="91" customFormat="false" ht="15.75" hidden="false" customHeight="true" outlineLevel="0" collapsed="false">
      <c r="A91" s="32" t="str">
        <f aca="false">IF($B91="","",ROW()-4)</f>
        <v/>
      </c>
      <c r="B91" s="26"/>
      <c r="C91" s="21"/>
      <c r="D91" s="24"/>
      <c r="E91" s="21"/>
      <c r="F91" s="24"/>
      <c r="G91" s="21"/>
      <c r="H91" s="22"/>
      <c r="I91" s="27"/>
      <c r="J91" s="27"/>
      <c r="K91" s="36" t="str">
        <f aca="false">IF($B91="","",IF($C91="泓普",$C$2,IF($C91="仟茂",$E$2,IF($C91="现金",$G$2,0)))+SUMIFS($I$5:$I91,$C$5:$C91,$C91)-SUMIFS($J$5:$J91,$C$5:$C91,$C91))</f>
        <v/>
      </c>
      <c r="L91" s="36" t="str">
        <f aca="false">IF($B91="","",$C$2+$E$2+$G$2+SUM($I$5:$I91)-SUM($J$5:$J91))</f>
        <v/>
      </c>
      <c r="M91" s="24"/>
      <c r="N91" s="33" t="str">
        <f aca="false">IF($B91="","",IF(NOT(ISNUMBER($B91)),"日期格式不对",IF($C91="","未选资金账户",IF(AND(N($I91)=0,N($J91)=0),"收支都为空",IF(AND(N($I91)&gt;0,N($J91)&gt;0),"收支不能同时填",IF(AND($D91&lt;&gt;"",LEFT($O91,1)="⚠"),"项目编号不存在",IF(AND($M91="是",$F91=""),"工程回款必须填往来单位","√")))))))</f>
        <v/>
      </c>
      <c r="O91" s="34" t="str">
        <f aca="false">IF($D91="","",IFERROR(INDEX(项目档案!$B$6:$B$255,MATCH($D91,项目档案!$A$6:$A$255,0)),"⚠编号不存在"))</f>
        <v/>
      </c>
      <c r="P91" s="35" t="str">
        <f aca="false">IF($B91="","",TEXT($B91,"yyyy-mm"))</f>
        <v/>
      </c>
    </row>
    <row r="92" customFormat="false" ht="15.75" hidden="false" customHeight="true" outlineLevel="0" collapsed="false">
      <c r="A92" s="32" t="str">
        <f aca="false">IF($B92="","",ROW()-4)</f>
        <v/>
      </c>
      <c r="B92" s="26"/>
      <c r="C92" s="21"/>
      <c r="D92" s="24"/>
      <c r="E92" s="21"/>
      <c r="F92" s="24"/>
      <c r="G92" s="21"/>
      <c r="H92" s="22"/>
      <c r="I92" s="27"/>
      <c r="J92" s="27"/>
      <c r="K92" s="36" t="str">
        <f aca="false">IF($B92="","",IF($C92="泓普",$C$2,IF($C92="仟茂",$E$2,IF($C92="现金",$G$2,0)))+SUMIFS($I$5:$I92,$C$5:$C92,$C92)-SUMIFS($J$5:$J92,$C$5:$C92,$C92))</f>
        <v/>
      </c>
      <c r="L92" s="36" t="str">
        <f aca="false">IF($B92="","",$C$2+$E$2+$G$2+SUM($I$5:$I92)-SUM($J$5:$J92))</f>
        <v/>
      </c>
      <c r="M92" s="24"/>
      <c r="N92" s="33" t="str">
        <f aca="false">IF($B92="","",IF(NOT(ISNUMBER($B92)),"日期格式不对",IF($C92="","未选资金账户",IF(AND(N($I92)=0,N($J92)=0),"收支都为空",IF(AND(N($I92)&gt;0,N($J92)&gt;0),"收支不能同时填",IF(AND($D92&lt;&gt;"",LEFT($O92,1)="⚠"),"项目编号不存在",IF(AND($M92="是",$F92=""),"工程回款必须填往来单位","√")))))))</f>
        <v/>
      </c>
      <c r="O92" s="34" t="str">
        <f aca="false">IF($D92="","",IFERROR(INDEX(项目档案!$B$6:$B$255,MATCH($D92,项目档案!$A$6:$A$255,0)),"⚠编号不存在"))</f>
        <v/>
      </c>
      <c r="P92" s="35" t="str">
        <f aca="false">IF($B92="","",TEXT($B92,"yyyy-mm"))</f>
        <v/>
      </c>
    </row>
    <row r="93" customFormat="false" ht="15.75" hidden="false" customHeight="true" outlineLevel="0" collapsed="false">
      <c r="A93" s="32" t="str">
        <f aca="false">IF($B93="","",ROW()-4)</f>
        <v/>
      </c>
      <c r="B93" s="26"/>
      <c r="C93" s="21"/>
      <c r="D93" s="24"/>
      <c r="E93" s="21"/>
      <c r="F93" s="24"/>
      <c r="G93" s="21"/>
      <c r="H93" s="22"/>
      <c r="I93" s="27"/>
      <c r="J93" s="27"/>
      <c r="K93" s="36" t="str">
        <f aca="false">IF($B93="","",IF($C93="泓普",$C$2,IF($C93="仟茂",$E$2,IF($C93="现金",$G$2,0)))+SUMIFS($I$5:$I93,$C$5:$C93,$C93)-SUMIFS($J$5:$J93,$C$5:$C93,$C93))</f>
        <v/>
      </c>
      <c r="L93" s="36" t="str">
        <f aca="false">IF($B93="","",$C$2+$E$2+$G$2+SUM($I$5:$I93)-SUM($J$5:$J93))</f>
        <v/>
      </c>
      <c r="M93" s="24"/>
      <c r="N93" s="33" t="str">
        <f aca="false">IF($B93="","",IF(NOT(ISNUMBER($B93)),"日期格式不对",IF($C93="","未选资金账户",IF(AND(N($I93)=0,N($J93)=0),"收支都为空",IF(AND(N($I93)&gt;0,N($J93)&gt;0),"收支不能同时填",IF(AND($D93&lt;&gt;"",LEFT($O93,1)="⚠"),"项目编号不存在",IF(AND($M93="是",$F93=""),"工程回款必须填往来单位","√")))))))</f>
        <v/>
      </c>
      <c r="O93" s="34" t="str">
        <f aca="false">IF($D93="","",IFERROR(INDEX(项目档案!$B$6:$B$255,MATCH($D93,项目档案!$A$6:$A$255,0)),"⚠编号不存在"))</f>
        <v/>
      </c>
      <c r="P93" s="35" t="str">
        <f aca="false">IF($B93="","",TEXT($B93,"yyyy-mm"))</f>
        <v/>
      </c>
    </row>
    <row r="94" customFormat="false" ht="15.75" hidden="false" customHeight="true" outlineLevel="0" collapsed="false">
      <c r="A94" s="32" t="str">
        <f aca="false">IF($B94="","",ROW()-4)</f>
        <v/>
      </c>
      <c r="B94" s="26"/>
      <c r="C94" s="21"/>
      <c r="D94" s="24"/>
      <c r="E94" s="21"/>
      <c r="F94" s="24"/>
      <c r="G94" s="21"/>
      <c r="H94" s="22"/>
      <c r="I94" s="27"/>
      <c r="J94" s="27"/>
      <c r="K94" s="36" t="str">
        <f aca="false">IF($B94="","",IF($C94="泓普",$C$2,IF($C94="仟茂",$E$2,IF($C94="现金",$G$2,0)))+SUMIFS($I$5:$I94,$C$5:$C94,$C94)-SUMIFS($J$5:$J94,$C$5:$C94,$C94))</f>
        <v/>
      </c>
      <c r="L94" s="36" t="str">
        <f aca="false">IF($B94="","",$C$2+$E$2+$G$2+SUM($I$5:$I94)-SUM($J$5:$J94))</f>
        <v/>
      </c>
      <c r="M94" s="24"/>
      <c r="N94" s="33" t="str">
        <f aca="false">IF($B94="","",IF(NOT(ISNUMBER($B94)),"日期格式不对",IF($C94="","未选资金账户",IF(AND(N($I94)=0,N($J94)=0),"收支都为空",IF(AND(N($I94)&gt;0,N($J94)&gt;0),"收支不能同时填",IF(AND($D94&lt;&gt;"",LEFT($O94,1)="⚠"),"项目编号不存在",IF(AND($M94="是",$F94=""),"工程回款必须填往来单位","√")))))))</f>
        <v/>
      </c>
      <c r="O94" s="34" t="str">
        <f aca="false">IF($D94="","",IFERROR(INDEX(项目档案!$B$6:$B$255,MATCH($D94,项目档案!$A$6:$A$255,0)),"⚠编号不存在"))</f>
        <v/>
      </c>
      <c r="P94" s="35" t="str">
        <f aca="false">IF($B94="","",TEXT($B94,"yyyy-mm"))</f>
        <v/>
      </c>
    </row>
    <row r="95" customFormat="false" ht="15.75" hidden="false" customHeight="true" outlineLevel="0" collapsed="false">
      <c r="A95" s="32" t="str">
        <f aca="false">IF($B95="","",ROW()-4)</f>
        <v/>
      </c>
      <c r="B95" s="26"/>
      <c r="C95" s="21"/>
      <c r="D95" s="24"/>
      <c r="E95" s="21"/>
      <c r="F95" s="24"/>
      <c r="G95" s="21"/>
      <c r="H95" s="22"/>
      <c r="I95" s="27"/>
      <c r="J95" s="27"/>
      <c r="K95" s="36" t="str">
        <f aca="false">IF($B95="","",IF($C95="泓普",$C$2,IF($C95="仟茂",$E$2,IF($C95="现金",$G$2,0)))+SUMIFS($I$5:$I95,$C$5:$C95,$C95)-SUMIFS($J$5:$J95,$C$5:$C95,$C95))</f>
        <v/>
      </c>
      <c r="L95" s="36" t="str">
        <f aca="false">IF($B95="","",$C$2+$E$2+$G$2+SUM($I$5:$I95)-SUM($J$5:$J95))</f>
        <v/>
      </c>
      <c r="M95" s="24"/>
      <c r="N95" s="33" t="str">
        <f aca="false">IF($B95="","",IF(NOT(ISNUMBER($B95)),"日期格式不对",IF($C95="","未选资金账户",IF(AND(N($I95)=0,N($J95)=0),"收支都为空",IF(AND(N($I95)&gt;0,N($J95)&gt;0),"收支不能同时填",IF(AND($D95&lt;&gt;"",LEFT($O95,1)="⚠"),"项目编号不存在",IF(AND($M95="是",$F95=""),"工程回款必须填往来单位","√")))))))</f>
        <v/>
      </c>
      <c r="O95" s="34" t="str">
        <f aca="false">IF($D95="","",IFERROR(INDEX(项目档案!$B$6:$B$255,MATCH($D95,项目档案!$A$6:$A$255,0)),"⚠编号不存在"))</f>
        <v/>
      </c>
      <c r="P95" s="35" t="str">
        <f aca="false">IF($B95="","",TEXT($B95,"yyyy-mm"))</f>
        <v/>
      </c>
    </row>
    <row r="96" customFormat="false" ht="15.75" hidden="false" customHeight="true" outlineLevel="0" collapsed="false">
      <c r="A96" s="32" t="str">
        <f aca="false">IF($B96="","",ROW()-4)</f>
        <v/>
      </c>
      <c r="B96" s="26"/>
      <c r="C96" s="21"/>
      <c r="D96" s="24"/>
      <c r="E96" s="21"/>
      <c r="F96" s="24"/>
      <c r="G96" s="21"/>
      <c r="H96" s="22"/>
      <c r="I96" s="27"/>
      <c r="J96" s="27"/>
      <c r="K96" s="36" t="str">
        <f aca="false">IF($B96="","",IF($C96="泓普",$C$2,IF($C96="仟茂",$E$2,IF($C96="现金",$G$2,0)))+SUMIFS($I$5:$I96,$C$5:$C96,$C96)-SUMIFS($J$5:$J96,$C$5:$C96,$C96))</f>
        <v/>
      </c>
      <c r="L96" s="36" t="str">
        <f aca="false">IF($B96="","",$C$2+$E$2+$G$2+SUM($I$5:$I96)-SUM($J$5:$J96))</f>
        <v/>
      </c>
      <c r="M96" s="24"/>
      <c r="N96" s="33" t="str">
        <f aca="false">IF($B96="","",IF(NOT(ISNUMBER($B96)),"日期格式不对",IF($C96="","未选资金账户",IF(AND(N($I96)=0,N($J96)=0),"收支都为空",IF(AND(N($I96)&gt;0,N($J96)&gt;0),"收支不能同时填",IF(AND($D96&lt;&gt;"",LEFT($O96,1)="⚠"),"项目编号不存在",IF(AND($M96="是",$F96=""),"工程回款必须填往来单位","√")))))))</f>
        <v/>
      </c>
      <c r="O96" s="34" t="str">
        <f aca="false">IF($D96="","",IFERROR(INDEX(项目档案!$B$6:$B$255,MATCH($D96,项目档案!$A$6:$A$255,0)),"⚠编号不存在"))</f>
        <v/>
      </c>
      <c r="P96" s="35" t="str">
        <f aca="false">IF($B96="","",TEXT($B96,"yyyy-mm"))</f>
        <v/>
      </c>
    </row>
    <row r="97" customFormat="false" ht="15.75" hidden="false" customHeight="true" outlineLevel="0" collapsed="false">
      <c r="A97" s="32" t="str">
        <f aca="false">IF($B97="","",ROW()-4)</f>
        <v/>
      </c>
      <c r="B97" s="26"/>
      <c r="C97" s="21"/>
      <c r="D97" s="24"/>
      <c r="E97" s="21"/>
      <c r="F97" s="24"/>
      <c r="G97" s="21"/>
      <c r="H97" s="22"/>
      <c r="I97" s="27"/>
      <c r="J97" s="27"/>
      <c r="K97" s="36" t="str">
        <f aca="false">IF($B97="","",IF($C97="泓普",$C$2,IF($C97="仟茂",$E$2,IF($C97="现金",$G$2,0)))+SUMIFS($I$5:$I97,$C$5:$C97,$C97)-SUMIFS($J$5:$J97,$C$5:$C97,$C97))</f>
        <v/>
      </c>
      <c r="L97" s="36" t="str">
        <f aca="false">IF($B97="","",$C$2+$E$2+$G$2+SUM($I$5:$I97)-SUM($J$5:$J97))</f>
        <v/>
      </c>
      <c r="M97" s="24"/>
      <c r="N97" s="33" t="str">
        <f aca="false">IF($B97="","",IF(NOT(ISNUMBER($B97)),"日期格式不对",IF($C97="","未选资金账户",IF(AND(N($I97)=0,N($J97)=0),"收支都为空",IF(AND(N($I97)&gt;0,N($J97)&gt;0),"收支不能同时填",IF(AND($D97&lt;&gt;"",LEFT($O97,1)="⚠"),"项目编号不存在",IF(AND($M97="是",$F97=""),"工程回款必须填往来单位","√")))))))</f>
        <v/>
      </c>
      <c r="O97" s="34" t="str">
        <f aca="false">IF($D97="","",IFERROR(INDEX(项目档案!$B$6:$B$255,MATCH($D97,项目档案!$A$6:$A$255,0)),"⚠编号不存在"))</f>
        <v/>
      </c>
      <c r="P97" s="35" t="str">
        <f aca="false">IF($B97="","",TEXT($B97,"yyyy-mm"))</f>
        <v/>
      </c>
    </row>
    <row r="98" customFormat="false" ht="15.75" hidden="false" customHeight="true" outlineLevel="0" collapsed="false">
      <c r="A98" s="32" t="str">
        <f aca="false">IF($B98="","",ROW()-4)</f>
        <v/>
      </c>
      <c r="B98" s="26"/>
      <c r="C98" s="21"/>
      <c r="D98" s="24"/>
      <c r="E98" s="21"/>
      <c r="F98" s="24"/>
      <c r="G98" s="21"/>
      <c r="H98" s="22"/>
      <c r="I98" s="27"/>
      <c r="J98" s="27"/>
      <c r="K98" s="36" t="str">
        <f aca="false">IF($B98="","",IF($C98="泓普",$C$2,IF($C98="仟茂",$E$2,IF($C98="现金",$G$2,0)))+SUMIFS($I$5:$I98,$C$5:$C98,$C98)-SUMIFS($J$5:$J98,$C$5:$C98,$C98))</f>
        <v/>
      </c>
      <c r="L98" s="36" t="str">
        <f aca="false">IF($B98="","",$C$2+$E$2+$G$2+SUM($I$5:$I98)-SUM($J$5:$J98))</f>
        <v/>
      </c>
      <c r="M98" s="24"/>
      <c r="N98" s="33" t="str">
        <f aca="false">IF($B98="","",IF(NOT(ISNUMBER($B98)),"日期格式不对",IF($C98="","未选资金账户",IF(AND(N($I98)=0,N($J98)=0),"收支都为空",IF(AND(N($I98)&gt;0,N($J98)&gt;0),"收支不能同时填",IF(AND($D98&lt;&gt;"",LEFT($O98,1)="⚠"),"项目编号不存在",IF(AND($M98="是",$F98=""),"工程回款必须填往来单位","√")))))))</f>
        <v/>
      </c>
      <c r="O98" s="34" t="str">
        <f aca="false">IF($D98="","",IFERROR(INDEX(项目档案!$B$6:$B$255,MATCH($D98,项目档案!$A$6:$A$255,0)),"⚠编号不存在"))</f>
        <v/>
      </c>
      <c r="P98" s="35" t="str">
        <f aca="false">IF($B98="","",TEXT($B98,"yyyy-mm"))</f>
        <v/>
      </c>
    </row>
    <row r="99" customFormat="false" ht="15.75" hidden="false" customHeight="true" outlineLevel="0" collapsed="false">
      <c r="A99" s="32" t="str">
        <f aca="false">IF($B99="","",ROW()-4)</f>
        <v/>
      </c>
      <c r="B99" s="26"/>
      <c r="C99" s="21"/>
      <c r="D99" s="24"/>
      <c r="E99" s="21"/>
      <c r="F99" s="24"/>
      <c r="G99" s="21"/>
      <c r="H99" s="22"/>
      <c r="I99" s="27"/>
      <c r="J99" s="27"/>
      <c r="K99" s="36" t="str">
        <f aca="false">IF($B99="","",IF($C99="泓普",$C$2,IF($C99="仟茂",$E$2,IF($C99="现金",$G$2,0)))+SUMIFS($I$5:$I99,$C$5:$C99,$C99)-SUMIFS($J$5:$J99,$C$5:$C99,$C99))</f>
        <v/>
      </c>
      <c r="L99" s="36" t="str">
        <f aca="false">IF($B99="","",$C$2+$E$2+$G$2+SUM($I$5:$I99)-SUM($J$5:$J99))</f>
        <v/>
      </c>
      <c r="M99" s="24"/>
      <c r="N99" s="33" t="str">
        <f aca="false">IF($B99="","",IF(NOT(ISNUMBER($B99)),"日期格式不对",IF($C99="","未选资金账户",IF(AND(N($I99)=0,N($J99)=0),"收支都为空",IF(AND(N($I99)&gt;0,N($J99)&gt;0),"收支不能同时填",IF(AND($D99&lt;&gt;"",LEFT($O99,1)="⚠"),"项目编号不存在",IF(AND($M99="是",$F99=""),"工程回款必须填往来单位","√")))))))</f>
        <v/>
      </c>
      <c r="O99" s="34" t="str">
        <f aca="false">IF($D99="","",IFERROR(INDEX(项目档案!$B$6:$B$255,MATCH($D99,项目档案!$A$6:$A$255,0)),"⚠编号不存在"))</f>
        <v/>
      </c>
      <c r="P99" s="35" t="str">
        <f aca="false">IF($B99="","",TEXT($B99,"yyyy-mm"))</f>
        <v/>
      </c>
    </row>
    <row r="100" customFormat="false" ht="15.75" hidden="false" customHeight="true" outlineLevel="0" collapsed="false">
      <c r="A100" s="32" t="str">
        <f aca="false">IF($B100="","",ROW()-4)</f>
        <v/>
      </c>
      <c r="B100" s="26"/>
      <c r="C100" s="21"/>
      <c r="D100" s="24"/>
      <c r="E100" s="21"/>
      <c r="F100" s="24"/>
      <c r="G100" s="21"/>
      <c r="H100" s="22"/>
      <c r="I100" s="27"/>
      <c r="J100" s="27"/>
      <c r="K100" s="36" t="str">
        <f aca="false">IF($B100="","",IF($C100="泓普",$C$2,IF($C100="仟茂",$E$2,IF($C100="现金",$G$2,0)))+SUMIFS($I$5:$I100,$C$5:$C100,$C100)-SUMIFS($J$5:$J100,$C$5:$C100,$C100))</f>
        <v/>
      </c>
      <c r="L100" s="36" t="str">
        <f aca="false">IF($B100="","",$C$2+$E$2+$G$2+SUM($I$5:$I100)-SUM($J$5:$J100))</f>
        <v/>
      </c>
      <c r="M100" s="24"/>
      <c r="N100" s="33" t="str">
        <f aca="false">IF($B100="","",IF(NOT(ISNUMBER($B100)),"日期格式不对",IF($C100="","未选资金账户",IF(AND(N($I100)=0,N($J100)=0),"收支都为空",IF(AND(N($I100)&gt;0,N($J100)&gt;0),"收支不能同时填",IF(AND($D100&lt;&gt;"",LEFT($O100,1)="⚠"),"项目编号不存在",IF(AND($M100="是",$F100=""),"工程回款必须填往来单位","√")))))))</f>
        <v/>
      </c>
      <c r="O100" s="34" t="str">
        <f aca="false">IF($D100="","",IFERROR(INDEX(项目档案!$B$6:$B$255,MATCH($D100,项目档案!$A$6:$A$255,0)),"⚠编号不存在"))</f>
        <v/>
      </c>
      <c r="P100" s="35" t="str">
        <f aca="false">IF($B100="","",TEXT($B100,"yyyy-mm"))</f>
        <v/>
      </c>
    </row>
    <row r="101" customFormat="false" ht="15.75" hidden="false" customHeight="true" outlineLevel="0" collapsed="false">
      <c r="A101" s="32" t="str">
        <f aca="false">IF($B101="","",ROW()-4)</f>
        <v/>
      </c>
      <c r="B101" s="26"/>
      <c r="C101" s="21"/>
      <c r="D101" s="24"/>
      <c r="E101" s="21"/>
      <c r="F101" s="24"/>
      <c r="G101" s="21"/>
      <c r="H101" s="22"/>
      <c r="I101" s="27"/>
      <c r="J101" s="27"/>
      <c r="K101" s="36" t="str">
        <f aca="false">IF($B101="","",IF($C101="泓普",$C$2,IF($C101="仟茂",$E$2,IF($C101="现金",$G$2,0)))+SUMIFS($I$5:$I101,$C$5:$C101,$C101)-SUMIFS($J$5:$J101,$C$5:$C101,$C101))</f>
        <v/>
      </c>
      <c r="L101" s="36" t="str">
        <f aca="false">IF($B101="","",$C$2+$E$2+$G$2+SUM($I$5:$I101)-SUM($J$5:$J101))</f>
        <v/>
      </c>
      <c r="M101" s="24"/>
      <c r="N101" s="33" t="str">
        <f aca="false">IF($B101="","",IF(NOT(ISNUMBER($B101)),"日期格式不对",IF($C101="","未选资金账户",IF(AND(N($I101)=0,N($J101)=0),"收支都为空",IF(AND(N($I101)&gt;0,N($J101)&gt;0),"收支不能同时填",IF(AND($D101&lt;&gt;"",LEFT($O101,1)="⚠"),"项目编号不存在",IF(AND($M101="是",$F101=""),"工程回款必须填往来单位","√")))))))</f>
        <v/>
      </c>
      <c r="O101" s="34" t="str">
        <f aca="false">IF($D101="","",IFERROR(INDEX(项目档案!$B$6:$B$255,MATCH($D101,项目档案!$A$6:$A$255,0)),"⚠编号不存在"))</f>
        <v/>
      </c>
      <c r="P101" s="35" t="str">
        <f aca="false">IF($B101="","",TEXT($B101,"yyyy-mm"))</f>
        <v/>
      </c>
    </row>
    <row r="102" customFormat="false" ht="15.75" hidden="false" customHeight="true" outlineLevel="0" collapsed="false">
      <c r="A102" s="32" t="str">
        <f aca="false">IF($B102="","",ROW()-4)</f>
        <v/>
      </c>
      <c r="B102" s="26"/>
      <c r="C102" s="21"/>
      <c r="D102" s="24"/>
      <c r="E102" s="21"/>
      <c r="F102" s="24"/>
      <c r="G102" s="21"/>
      <c r="H102" s="22"/>
      <c r="I102" s="27"/>
      <c r="J102" s="27"/>
      <c r="K102" s="36" t="str">
        <f aca="false">IF($B102="","",IF($C102="泓普",$C$2,IF($C102="仟茂",$E$2,IF($C102="现金",$G$2,0)))+SUMIFS($I$5:$I102,$C$5:$C102,$C102)-SUMIFS($J$5:$J102,$C$5:$C102,$C102))</f>
        <v/>
      </c>
      <c r="L102" s="36" t="str">
        <f aca="false">IF($B102="","",$C$2+$E$2+$G$2+SUM($I$5:$I102)-SUM($J$5:$J102))</f>
        <v/>
      </c>
      <c r="M102" s="24"/>
      <c r="N102" s="33" t="str">
        <f aca="false">IF($B102="","",IF(NOT(ISNUMBER($B102)),"日期格式不对",IF($C102="","未选资金账户",IF(AND(N($I102)=0,N($J102)=0),"收支都为空",IF(AND(N($I102)&gt;0,N($J102)&gt;0),"收支不能同时填",IF(AND($D102&lt;&gt;"",LEFT($O102,1)="⚠"),"项目编号不存在",IF(AND($M102="是",$F102=""),"工程回款必须填往来单位","√")))))))</f>
        <v/>
      </c>
      <c r="O102" s="34" t="str">
        <f aca="false">IF($D102="","",IFERROR(INDEX(项目档案!$B$6:$B$255,MATCH($D102,项目档案!$A$6:$A$255,0)),"⚠编号不存在"))</f>
        <v/>
      </c>
      <c r="P102" s="35" t="str">
        <f aca="false">IF($B102="","",TEXT($B102,"yyyy-mm"))</f>
        <v/>
      </c>
    </row>
    <row r="103" customFormat="false" ht="15.75" hidden="false" customHeight="true" outlineLevel="0" collapsed="false">
      <c r="A103" s="32" t="str">
        <f aca="false">IF($B103="","",ROW()-4)</f>
        <v/>
      </c>
      <c r="B103" s="26"/>
      <c r="C103" s="21"/>
      <c r="D103" s="24"/>
      <c r="E103" s="21"/>
      <c r="F103" s="24"/>
      <c r="G103" s="21"/>
      <c r="H103" s="22"/>
      <c r="I103" s="27"/>
      <c r="J103" s="27"/>
      <c r="K103" s="36" t="str">
        <f aca="false">IF($B103="","",IF($C103="泓普",$C$2,IF($C103="仟茂",$E$2,IF($C103="现金",$G$2,0)))+SUMIFS($I$5:$I103,$C$5:$C103,$C103)-SUMIFS($J$5:$J103,$C$5:$C103,$C103))</f>
        <v/>
      </c>
      <c r="L103" s="36" t="str">
        <f aca="false">IF($B103="","",$C$2+$E$2+$G$2+SUM($I$5:$I103)-SUM($J$5:$J103))</f>
        <v/>
      </c>
      <c r="M103" s="24"/>
      <c r="N103" s="33" t="str">
        <f aca="false">IF($B103="","",IF(NOT(ISNUMBER($B103)),"日期格式不对",IF($C103="","未选资金账户",IF(AND(N($I103)=0,N($J103)=0),"收支都为空",IF(AND(N($I103)&gt;0,N($J103)&gt;0),"收支不能同时填",IF(AND($D103&lt;&gt;"",LEFT($O103,1)="⚠"),"项目编号不存在",IF(AND($M103="是",$F103=""),"工程回款必须填往来单位","√")))))))</f>
        <v/>
      </c>
      <c r="O103" s="34" t="str">
        <f aca="false">IF($D103="","",IFERROR(INDEX(项目档案!$B$6:$B$255,MATCH($D103,项目档案!$A$6:$A$255,0)),"⚠编号不存在"))</f>
        <v/>
      </c>
      <c r="P103" s="35" t="str">
        <f aca="false">IF($B103="","",TEXT($B103,"yyyy-mm"))</f>
        <v/>
      </c>
    </row>
    <row r="104" customFormat="false" ht="15.75" hidden="false" customHeight="true" outlineLevel="0" collapsed="false">
      <c r="A104" s="32" t="str">
        <f aca="false">IF($B104="","",ROW()-4)</f>
        <v/>
      </c>
      <c r="B104" s="26"/>
      <c r="C104" s="21"/>
      <c r="D104" s="24"/>
      <c r="E104" s="21"/>
      <c r="F104" s="24"/>
      <c r="G104" s="21"/>
      <c r="H104" s="22"/>
      <c r="I104" s="27"/>
      <c r="J104" s="27"/>
      <c r="K104" s="36" t="str">
        <f aca="false">IF($B104="","",IF($C104="泓普",$C$2,IF($C104="仟茂",$E$2,IF($C104="现金",$G$2,0)))+SUMIFS($I$5:$I104,$C$5:$C104,$C104)-SUMIFS($J$5:$J104,$C$5:$C104,$C104))</f>
        <v/>
      </c>
      <c r="L104" s="36" t="str">
        <f aca="false">IF($B104="","",$C$2+$E$2+$G$2+SUM($I$5:$I104)-SUM($J$5:$J104))</f>
        <v/>
      </c>
      <c r="M104" s="24"/>
      <c r="N104" s="33" t="str">
        <f aca="false">IF($B104="","",IF(NOT(ISNUMBER($B104)),"日期格式不对",IF($C104="","未选资金账户",IF(AND(N($I104)=0,N($J104)=0),"收支都为空",IF(AND(N($I104)&gt;0,N($J104)&gt;0),"收支不能同时填",IF(AND($D104&lt;&gt;"",LEFT($O104,1)="⚠"),"项目编号不存在",IF(AND($M104="是",$F104=""),"工程回款必须填往来单位","√")))))))</f>
        <v/>
      </c>
      <c r="O104" s="34" t="str">
        <f aca="false">IF($D104="","",IFERROR(INDEX(项目档案!$B$6:$B$255,MATCH($D104,项目档案!$A$6:$A$255,0)),"⚠编号不存在"))</f>
        <v/>
      </c>
      <c r="P104" s="35" t="str">
        <f aca="false">IF($B104="","",TEXT($B104,"yyyy-mm"))</f>
        <v/>
      </c>
    </row>
    <row r="105" customFormat="false" ht="15.75" hidden="false" customHeight="true" outlineLevel="0" collapsed="false">
      <c r="A105" s="32" t="str">
        <f aca="false">IF($B105="","",ROW()-4)</f>
        <v/>
      </c>
      <c r="B105" s="26"/>
      <c r="C105" s="21"/>
      <c r="D105" s="24"/>
      <c r="E105" s="21"/>
      <c r="F105" s="24"/>
      <c r="G105" s="21"/>
      <c r="H105" s="22"/>
      <c r="I105" s="27"/>
      <c r="J105" s="27"/>
      <c r="K105" s="36" t="str">
        <f aca="false">IF($B105="","",IF($C105="泓普",$C$2,IF($C105="仟茂",$E$2,IF($C105="现金",$G$2,0)))+SUMIFS($I$5:$I105,$C$5:$C105,$C105)-SUMIFS($J$5:$J105,$C$5:$C105,$C105))</f>
        <v/>
      </c>
      <c r="L105" s="36" t="str">
        <f aca="false">IF($B105="","",$C$2+$E$2+$G$2+SUM($I$5:$I105)-SUM($J$5:$J105))</f>
        <v/>
      </c>
      <c r="M105" s="24"/>
      <c r="N105" s="33" t="str">
        <f aca="false">IF($B105="","",IF(NOT(ISNUMBER($B105)),"日期格式不对",IF($C105="","未选资金账户",IF(AND(N($I105)=0,N($J105)=0),"收支都为空",IF(AND(N($I105)&gt;0,N($J105)&gt;0),"收支不能同时填",IF(AND($D105&lt;&gt;"",LEFT($O105,1)="⚠"),"项目编号不存在",IF(AND($M105="是",$F105=""),"工程回款必须填往来单位","√")))))))</f>
        <v/>
      </c>
      <c r="O105" s="34" t="str">
        <f aca="false">IF($D105="","",IFERROR(INDEX(项目档案!$B$6:$B$255,MATCH($D105,项目档案!$A$6:$A$255,0)),"⚠编号不存在"))</f>
        <v/>
      </c>
      <c r="P105" s="35" t="str">
        <f aca="false">IF($B105="","",TEXT($B105,"yyyy-mm"))</f>
        <v/>
      </c>
    </row>
    <row r="106" customFormat="false" ht="15.75" hidden="false" customHeight="true" outlineLevel="0" collapsed="false">
      <c r="A106" s="32" t="str">
        <f aca="false">IF($B106="","",ROW()-4)</f>
        <v/>
      </c>
      <c r="B106" s="26"/>
      <c r="C106" s="21"/>
      <c r="D106" s="24"/>
      <c r="E106" s="21"/>
      <c r="F106" s="24"/>
      <c r="G106" s="21"/>
      <c r="H106" s="22"/>
      <c r="I106" s="27"/>
      <c r="J106" s="27"/>
      <c r="K106" s="36" t="str">
        <f aca="false">IF($B106="","",IF($C106="泓普",$C$2,IF($C106="仟茂",$E$2,IF($C106="现金",$G$2,0)))+SUMIFS($I$5:$I106,$C$5:$C106,$C106)-SUMIFS($J$5:$J106,$C$5:$C106,$C106))</f>
        <v/>
      </c>
      <c r="L106" s="36" t="str">
        <f aca="false">IF($B106="","",$C$2+$E$2+$G$2+SUM($I$5:$I106)-SUM($J$5:$J106))</f>
        <v/>
      </c>
      <c r="M106" s="24"/>
      <c r="N106" s="33" t="str">
        <f aca="false">IF($B106="","",IF(NOT(ISNUMBER($B106)),"日期格式不对",IF($C106="","未选资金账户",IF(AND(N($I106)=0,N($J106)=0),"收支都为空",IF(AND(N($I106)&gt;0,N($J106)&gt;0),"收支不能同时填",IF(AND($D106&lt;&gt;"",LEFT($O106,1)="⚠"),"项目编号不存在",IF(AND($M106="是",$F106=""),"工程回款必须填往来单位","√")))))))</f>
        <v/>
      </c>
      <c r="O106" s="34" t="str">
        <f aca="false">IF($D106="","",IFERROR(INDEX(项目档案!$B$6:$B$255,MATCH($D106,项目档案!$A$6:$A$255,0)),"⚠编号不存在"))</f>
        <v/>
      </c>
      <c r="P106" s="35" t="str">
        <f aca="false">IF($B106="","",TEXT($B106,"yyyy-mm"))</f>
        <v/>
      </c>
    </row>
    <row r="107" customFormat="false" ht="15.75" hidden="false" customHeight="true" outlineLevel="0" collapsed="false">
      <c r="A107" s="32" t="str">
        <f aca="false">IF($B107="","",ROW()-4)</f>
        <v/>
      </c>
      <c r="B107" s="26"/>
      <c r="C107" s="21"/>
      <c r="D107" s="24"/>
      <c r="E107" s="21"/>
      <c r="F107" s="24"/>
      <c r="G107" s="21"/>
      <c r="H107" s="22"/>
      <c r="I107" s="27"/>
      <c r="J107" s="27"/>
      <c r="K107" s="36" t="str">
        <f aca="false">IF($B107="","",IF($C107="泓普",$C$2,IF($C107="仟茂",$E$2,IF($C107="现金",$G$2,0)))+SUMIFS($I$5:$I107,$C$5:$C107,$C107)-SUMIFS($J$5:$J107,$C$5:$C107,$C107))</f>
        <v/>
      </c>
      <c r="L107" s="36" t="str">
        <f aca="false">IF($B107="","",$C$2+$E$2+$G$2+SUM($I$5:$I107)-SUM($J$5:$J107))</f>
        <v/>
      </c>
      <c r="M107" s="24"/>
      <c r="N107" s="33" t="str">
        <f aca="false">IF($B107="","",IF(NOT(ISNUMBER($B107)),"日期格式不对",IF($C107="","未选资金账户",IF(AND(N($I107)=0,N($J107)=0),"收支都为空",IF(AND(N($I107)&gt;0,N($J107)&gt;0),"收支不能同时填",IF(AND($D107&lt;&gt;"",LEFT($O107,1)="⚠"),"项目编号不存在",IF(AND($M107="是",$F107=""),"工程回款必须填往来单位","√")))))))</f>
        <v/>
      </c>
      <c r="O107" s="34" t="str">
        <f aca="false">IF($D107="","",IFERROR(INDEX(项目档案!$B$6:$B$255,MATCH($D107,项目档案!$A$6:$A$255,0)),"⚠编号不存在"))</f>
        <v/>
      </c>
      <c r="P107" s="35" t="str">
        <f aca="false">IF($B107="","",TEXT($B107,"yyyy-mm"))</f>
        <v/>
      </c>
    </row>
    <row r="108" customFormat="false" ht="15.75" hidden="false" customHeight="true" outlineLevel="0" collapsed="false">
      <c r="A108" s="32" t="str">
        <f aca="false">IF($B108="","",ROW()-4)</f>
        <v/>
      </c>
      <c r="B108" s="26"/>
      <c r="C108" s="21"/>
      <c r="D108" s="24"/>
      <c r="E108" s="21"/>
      <c r="F108" s="24"/>
      <c r="G108" s="21"/>
      <c r="H108" s="22"/>
      <c r="I108" s="27"/>
      <c r="J108" s="27"/>
      <c r="K108" s="36" t="str">
        <f aca="false">IF($B108="","",IF($C108="泓普",$C$2,IF($C108="仟茂",$E$2,IF($C108="现金",$G$2,0)))+SUMIFS($I$5:$I108,$C$5:$C108,$C108)-SUMIFS($J$5:$J108,$C$5:$C108,$C108))</f>
        <v/>
      </c>
      <c r="L108" s="36" t="str">
        <f aca="false">IF($B108="","",$C$2+$E$2+$G$2+SUM($I$5:$I108)-SUM($J$5:$J108))</f>
        <v/>
      </c>
      <c r="M108" s="24"/>
      <c r="N108" s="33" t="str">
        <f aca="false">IF($B108="","",IF(NOT(ISNUMBER($B108)),"日期格式不对",IF($C108="","未选资金账户",IF(AND(N($I108)=0,N($J108)=0),"收支都为空",IF(AND(N($I108)&gt;0,N($J108)&gt;0),"收支不能同时填",IF(AND($D108&lt;&gt;"",LEFT($O108,1)="⚠"),"项目编号不存在",IF(AND($M108="是",$F108=""),"工程回款必须填往来单位","√")))))))</f>
        <v/>
      </c>
      <c r="O108" s="34" t="str">
        <f aca="false">IF($D108="","",IFERROR(INDEX(项目档案!$B$6:$B$255,MATCH($D108,项目档案!$A$6:$A$255,0)),"⚠编号不存在"))</f>
        <v/>
      </c>
      <c r="P108" s="35" t="str">
        <f aca="false">IF($B108="","",TEXT($B108,"yyyy-mm"))</f>
        <v/>
      </c>
    </row>
    <row r="109" customFormat="false" ht="15.75" hidden="false" customHeight="true" outlineLevel="0" collapsed="false">
      <c r="A109" s="32" t="str">
        <f aca="false">IF($B109="","",ROW()-4)</f>
        <v/>
      </c>
      <c r="B109" s="26"/>
      <c r="C109" s="21"/>
      <c r="D109" s="24"/>
      <c r="E109" s="21"/>
      <c r="F109" s="24"/>
      <c r="G109" s="21"/>
      <c r="H109" s="22"/>
      <c r="I109" s="27"/>
      <c r="J109" s="27"/>
      <c r="K109" s="36" t="str">
        <f aca="false">IF($B109="","",IF($C109="泓普",$C$2,IF($C109="仟茂",$E$2,IF($C109="现金",$G$2,0)))+SUMIFS($I$5:$I109,$C$5:$C109,$C109)-SUMIFS($J$5:$J109,$C$5:$C109,$C109))</f>
        <v/>
      </c>
      <c r="L109" s="36" t="str">
        <f aca="false">IF($B109="","",$C$2+$E$2+$G$2+SUM($I$5:$I109)-SUM($J$5:$J109))</f>
        <v/>
      </c>
      <c r="M109" s="24"/>
      <c r="N109" s="33" t="str">
        <f aca="false">IF($B109="","",IF(NOT(ISNUMBER($B109)),"日期格式不对",IF($C109="","未选资金账户",IF(AND(N($I109)=0,N($J109)=0),"收支都为空",IF(AND(N($I109)&gt;0,N($J109)&gt;0),"收支不能同时填",IF(AND($D109&lt;&gt;"",LEFT($O109,1)="⚠"),"项目编号不存在",IF(AND($M109="是",$F109=""),"工程回款必须填往来单位","√")))))))</f>
        <v/>
      </c>
      <c r="O109" s="34" t="str">
        <f aca="false">IF($D109="","",IFERROR(INDEX(项目档案!$B$6:$B$255,MATCH($D109,项目档案!$A$6:$A$255,0)),"⚠编号不存在"))</f>
        <v/>
      </c>
      <c r="P109" s="35" t="str">
        <f aca="false">IF($B109="","",TEXT($B109,"yyyy-mm"))</f>
        <v/>
      </c>
    </row>
    <row r="110" customFormat="false" ht="15.75" hidden="false" customHeight="true" outlineLevel="0" collapsed="false">
      <c r="A110" s="32" t="str">
        <f aca="false">IF($B110="","",ROW()-4)</f>
        <v/>
      </c>
      <c r="B110" s="26"/>
      <c r="C110" s="21"/>
      <c r="D110" s="24"/>
      <c r="E110" s="21"/>
      <c r="F110" s="24"/>
      <c r="G110" s="21"/>
      <c r="H110" s="22"/>
      <c r="I110" s="27"/>
      <c r="J110" s="27"/>
      <c r="K110" s="36" t="str">
        <f aca="false">IF($B110="","",IF($C110="泓普",$C$2,IF($C110="仟茂",$E$2,IF($C110="现金",$G$2,0)))+SUMIFS($I$5:$I110,$C$5:$C110,$C110)-SUMIFS($J$5:$J110,$C$5:$C110,$C110))</f>
        <v/>
      </c>
      <c r="L110" s="36" t="str">
        <f aca="false">IF($B110="","",$C$2+$E$2+$G$2+SUM($I$5:$I110)-SUM($J$5:$J110))</f>
        <v/>
      </c>
      <c r="M110" s="24"/>
      <c r="N110" s="33" t="str">
        <f aca="false">IF($B110="","",IF(NOT(ISNUMBER($B110)),"日期格式不对",IF($C110="","未选资金账户",IF(AND(N($I110)=0,N($J110)=0),"收支都为空",IF(AND(N($I110)&gt;0,N($J110)&gt;0),"收支不能同时填",IF(AND($D110&lt;&gt;"",LEFT($O110,1)="⚠"),"项目编号不存在",IF(AND($M110="是",$F110=""),"工程回款必须填往来单位","√")))))))</f>
        <v/>
      </c>
      <c r="O110" s="34" t="str">
        <f aca="false">IF($D110="","",IFERROR(INDEX(项目档案!$B$6:$B$255,MATCH($D110,项目档案!$A$6:$A$255,0)),"⚠编号不存在"))</f>
        <v/>
      </c>
      <c r="P110" s="35" t="str">
        <f aca="false">IF($B110="","",TEXT($B110,"yyyy-mm"))</f>
        <v/>
      </c>
    </row>
    <row r="111" customFormat="false" ht="15.75" hidden="false" customHeight="true" outlineLevel="0" collapsed="false">
      <c r="A111" s="32" t="str">
        <f aca="false">IF($B111="","",ROW()-4)</f>
        <v/>
      </c>
      <c r="B111" s="26"/>
      <c r="C111" s="21"/>
      <c r="D111" s="24"/>
      <c r="E111" s="21"/>
      <c r="F111" s="24"/>
      <c r="G111" s="21"/>
      <c r="H111" s="22"/>
      <c r="I111" s="27"/>
      <c r="J111" s="27"/>
      <c r="K111" s="36" t="str">
        <f aca="false">IF($B111="","",IF($C111="泓普",$C$2,IF($C111="仟茂",$E$2,IF($C111="现金",$G$2,0)))+SUMIFS($I$5:$I111,$C$5:$C111,$C111)-SUMIFS($J$5:$J111,$C$5:$C111,$C111))</f>
        <v/>
      </c>
      <c r="L111" s="36" t="str">
        <f aca="false">IF($B111="","",$C$2+$E$2+$G$2+SUM($I$5:$I111)-SUM($J$5:$J111))</f>
        <v/>
      </c>
      <c r="M111" s="24"/>
      <c r="N111" s="33" t="str">
        <f aca="false">IF($B111="","",IF(NOT(ISNUMBER($B111)),"日期格式不对",IF($C111="","未选资金账户",IF(AND(N($I111)=0,N($J111)=0),"收支都为空",IF(AND(N($I111)&gt;0,N($J111)&gt;0),"收支不能同时填",IF(AND($D111&lt;&gt;"",LEFT($O111,1)="⚠"),"项目编号不存在",IF(AND($M111="是",$F111=""),"工程回款必须填往来单位","√")))))))</f>
        <v/>
      </c>
      <c r="O111" s="34" t="str">
        <f aca="false">IF($D111="","",IFERROR(INDEX(项目档案!$B$6:$B$255,MATCH($D111,项目档案!$A$6:$A$255,0)),"⚠编号不存在"))</f>
        <v/>
      </c>
      <c r="P111" s="35" t="str">
        <f aca="false">IF($B111="","",TEXT($B111,"yyyy-mm"))</f>
        <v/>
      </c>
    </row>
    <row r="112" customFormat="false" ht="15.75" hidden="false" customHeight="true" outlineLevel="0" collapsed="false">
      <c r="A112" s="32" t="str">
        <f aca="false">IF($B112="","",ROW()-4)</f>
        <v/>
      </c>
      <c r="B112" s="26"/>
      <c r="C112" s="21"/>
      <c r="D112" s="24"/>
      <c r="E112" s="21"/>
      <c r="F112" s="24"/>
      <c r="G112" s="21"/>
      <c r="H112" s="22"/>
      <c r="I112" s="27"/>
      <c r="J112" s="27"/>
      <c r="K112" s="36" t="str">
        <f aca="false">IF($B112="","",IF($C112="泓普",$C$2,IF($C112="仟茂",$E$2,IF($C112="现金",$G$2,0)))+SUMIFS($I$5:$I112,$C$5:$C112,$C112)-SUMIFS($J$5:$J112,$C$5:$C112,$C112))</f>
        <v/>
      </c>
      <c r="L112" s="36" t="str">
        <f aca="false">IF($B112="","",$C$2+$E$2+$G$2+SUM($I$5:$I112)-SUM($J$5:$J112))</f>
        <v/>
      </c>
      <c r="M112" s="24"/>
      <c r="N112" s="33" t="str">
        <f aca="false">IF($B112="","",IF(NOT(ISNUMBER($B112)),"日期格式不对",IF($C112="","未选资金账户",IF(AND(N($I112)=0,N($J112)=0),"收支都为空",IF(AND(N($I112)&gt;0,N($J112)&gt;0),"收支不能同时填",IF(AND($D112&lt;&gt;"",LEFT($O112,1)="⚠"),"项目编号不存在",IF(AND($M112="是",$F112=""),"工程回款必须填往来单位","√")))))))</f>
        <v/>
      </c>
      <c r="O112" s="34" t="str">
        <f aca="false">IF($D112="","",IFERROR(INDEX(项目档案!$B$6:$B$255,MATCH($D112,项目档案!$A$6:$A$255,0)),"⚠编号不存在"))</f>
        <v/>
      </c>
      <c r="P112" s="35" t="str">
        <f aca="false">IF($B112="","",TEXT($B112,"yyyy-mm"))</f>
        <v/>
      </c>
    </row>
    <row r="113" customFormat="false" ht="15.75" hidden="false" customHeight="true" outlineLevel="0" collapsed="false">
      <c r="A113" s="32" t="str">
        <f aca="false">IF($B113="","",ROW()-4)</f>
        <v/>
      </c>
      <c r="B113" s="26"/>
      <c r="C113" s="21"/>
      <c r="D113" s="24"/>
      <c r="E113" s="21"/>
      <c r="F113" s="24"/>
      <c r="G113" s="21"/>
      <c r="H113" s="22"/>
      <c r="I113" s="27"/>
      <c r="J113" s="27"/>
      <c r="K113" s="36" t="str">
        <f aca="false">IF($B113="","",IF($C113="泓普",$C$2,IF($C113="仟茂",$E$2,IF($C113="现金",$G$2,0)))+SUMIFS($I$5:$I113,$C$5:$C113,$C113)-SUMIFS($J$5:$J113,$C$5:$C113,$C113))</f>
        <v/>
      </c>
      <c r="L113" s="36" t="str">
        <f aca="false">IF($B113="","",$C$2+$E$2+$G$2+SUM($I$5:$I113)-SUM($J$5:$J113))</f>
        <v/>
      </c>
      <c r="M113" s="24"/>
      <c r="N113" s="33" t="str">
        <f aca="false">IF($B113="","",IF(NOT(ISNUMBER($B113)),"日期格式不对",IF($C113="","未选资金账户",IF(AND(N($I113)=0,N($J113)=0),"收支都为空",IF(AND(N($I113)&gt;0,N($J113)&gt;0),"收支不能同时填",IF(AND($D113&lt;&gt;"",LEFT($O113,1)="⚠"),"项目编号不存在",IF(AND($M113="是",$F113=""),"工程回款必须填往来单位","√")))))))</f>
        <v/>
      </c>
      <c r="O113" s="34" t="str">
        <f aca="false">IF($D113="","",IFERROR(INDEX(项目档案!$B$6:$B$255,MATCH($D113,项目档案!$A$6:$A$255,0)),"⚠编号不存在"))</f>
        <v/>
      </c>
      <c r="P113" s="35" t="str">
        <f aca="false">IF($B113="","",TEXT($B113,"yyyy-mm"))</f>
        <v/>
      </c>
    </row>
    <row r="114" customFormat="false" ht="15.75" hidden="false" customHeight="true" outlineLevel="0" collapsed="false">
      <c r="A114" s="32" t="str">
        <f aca="false">IF($B114="","",ROW()-4)</f>
        <v/>
      </c>
      <c r="B114" s="26"/>
      <c r="C114" s="21"/>
      <c r="D114" s="24"/>
      <c r="E114" s="21"/>
      <c r="F114" s="24"/>
      <c r="G114" s="21"/>
      <c r="H114" s="22"/>
      <c r="I114" s="27"/>
      <c r="J114" s="27"/>
      <c r="K114" s="36" t="str">
        <f aca="false">IF($B114="","",IF($C114="泓普",$C$2,IF($C114="仟茂",$E$2,IF($C114="现金",$G$2,0)))+SUMIFS($I$5:$I114,$C$5:$C114,$C114)-SUMIFS($J$5:$J114,$C$5:$C114,$C114))</f>
        <v/>
      </c>
      <c r="L114" s="36" t="str">
        <f aca="false">IF($B114="","",$C$2+$E$2+$G$2+SUM($I$5:$I114)-SUM($J$5:$J114))</f>
        <v/>
      </c>
      <c r="M114" s="24"/>
      <c r="N114" s="33" t="str">
        <f aca="false">IF($B114="","",IF(NOT(ISNUMBER($B114)),"日期格式不对",IF($C114="","未选资金账户",IF(AND(N($I114)=0,N($J114)=0),"收支都为空",IF(AND(N($I114)&gt;0,N($J114)&gt;0),"收支不能同时填",IF(AND($D114&lt;&gt;"",LEFT($O114,1)="⚠"),"项目编号不存在",IF(AND($M114="是",$F114=""),"工程回款必须填往来单位","√")))))))</f>
        <v/>
      </c>
      <c r="O114" s="34" t="str">
        <f aca="false">IF($D114="","",IFERROR(INDEX(项目档案!$B$6:$B$255,MATCH($D114,项目档案!$A$6:$A$255,0)),"⚠编号不存在"))</f>
        <v/>
      </c>
      <c r="P114" s="35" t="str">
        <f aca="false">IF($B114="","",TEXT($B114,"yyyy-mm"))</f>
        <v/>
      </c>
    </row>
    <row r="115" customFormat="false" ht="15.75" hidden="false" customHeight="true" outlineLevel="0" collapsed="false">
      <c r="A115" s="32" t="str">
        <f aca="false">IF($B115="","",ROW()-4)</f>
        <v/>
      </c>
      <c r="B115" s="26"/>
      <c r="C115" s="21"/>
      <c r="D115" s="24"/>
      <c r="E115" s="21"/>
      <c r="F115" s="24"/>
      <c r="G115" s="21"/>
      <c r="H115" s="22"/>
      <c r="I115" s="27"/>
      <c r="J115" s="27"/>
      <c r="K115" s="36" t="str">
        <f aca="false">IF($B115="","",IF($C115="泓普",$C$2,IF($C115="仟茂",$E$2,IF($C115="现金",$G$2,0)))+SUMIFS($I$5:$I115,$C$5:$C115,$C115)-SUMIFS($J$5:$J115,$C$5:$C115,$C115))</f>
        <v/>
      </c>
      <c r="L115" s="36" t="str">
        <f aca="false">IF($B115="","",$C$2+$E$2+$G$2+SUM($I$5:$I115)-SUM($J$5:$J115))</f>
        <v/>
      </c>
      <c r="M115" s="24"/>
      <c r="N115" s="33" t="str">
        <f aca="false">IF($B115="","",IF(NOT(ISNUMBER($B115)),"日期格式不对",IF($C115="","未选资金账户",IF(AND(N($I115)=0,N($J115)=0),"收支都为空",IF(AND(N($I115)&gt;0,N($J115)&gt;0),"收支不能同时填",IF(AND($D115&lt;&gt;"",LEFT($O115,1)="⚠"),"项目编号不存在",IF(AND($M115="是",$F115=""),"工程回款必须填往来单位","√")))))))</f>
        <v/>
      </c>
      <c r="O115" s="34" t="str">
        <f aca="false">IF($D115="","",IFERROR(INDEX(项目档案!$B$6:$B$255,MATCH($D115,项目档案!$A$6:$A$255,0)),"⚠编号不存在"))</f>
        <v/>
      </c>
      <c r="P115" s="35" t="str">
        <f aca="false">IF($B115="","",TEXT($B115,"yyyy-mm"))</f>
        <v/>
      </c>
    </row>
    <row r="116" customFormat="false" ht="15.75" hidden="false" customHeight="true" outlineLevel="0" collapsed="false">
      <c r="A116" s="32" t="str">
        <f aca="false">IF($B116="","",ROW()-4)</f>
        <v/>
      </c>
      <c r="B116" s="26"/>
      <c r="C116" s="21"/>
      <c r="D116" s="24"/>
      <c r="E116" s="21"/>
      <c r="F116" s="24"/>
      <c r="G116" s="21"/>
      <c r="H116" s="22"/>
      <c r="I116" s="27"/>
      <c r="J116" s="27"/>
      <c r="K116" s="36" t="str">
        <f aca="false">IF($B116="","",IF($C116="泓普",$C$2,IF($C116="仟茂",$E$2,IF($C116="现金",$G$2,0)))+SUMIFS($I$5:$I116,$C$5:$C116,$C116)-SUMIFS($J$5:$J116,$C$5:$C116,$C116))</f>
        <v/>
      </c>
      <c r="L116" s="36" t="str">
        <f aca="false">IF($B116="","",$C$2+$E$2+$G$2+SUM($I$5:$I116)-SUM($J$5:$J116))</f>
        <v/>
      </c>
      <c r="M116" s="24"/>
      <c r="N116" s="33" t="str">
        <f aca="false">IF($B116="","",IF(NOT(ISNUMBER($B116)),"日期格式不对",IF($C116="","未选资金账户",IF(AND(N($I116)=0,N($J116)=0),"收支都为空",IF(AND(N($I116)&gt;0,N($J116)&gt;0),"收支不能同时填",IF(AND($D116&lt;&gt;"",LEFT($O116,1)="⚠"),"项目编号不存在",IF(AND($M116="是",$F116=""),"工程回款必须填往来单位","√")))))))</f>
        <v/>
      </c>
      <c r="O116" s="34" t="str">
        <f aca="false">IF($D116="","",IFERROR(INDEX(项目档案!$B$6:$B$255,MATCH($D116,项目档案!$A$6:$A$255,0)),"⚠编号不存在"))</f>
        <v/>
      </c>
      <c r="P116" s="35" t="str">
        <f aca="false">IF($B116="","",TEXT($B116,"yyyy-mm"))</f>
        <v/>
      </c>
    </row>
    <row r="117" customFormat="false" ht="15.75" hidden="false" customHeight="true" outlineLevel="0" collapsed="false">
      <c r="A117" s="32" t="str">
        <f aca="false">IF($B117="","",ROW()-4)</f>
        <v/>
      </c>
      <c r="B117" s="26"/>
      <c r="C117" s="21"/>
      <c r="D117" s="24"/>
      <c r="E117" s="21"/>
      <c r="F117" s="24"/>
      <c r="G117" s="21"/>
      <c r="H117" s="22"/>
      <c r="I117" s="27"/>
      <c r="J117" s="27"/>
      <c r="K117" s="36" t="str">
        <f aca="false">IF($B117="","",IF($C117="泓普",$C$2,IF($C117="仟茂",$E$2,IF($C117="现金",$G$2,0)))+SUMIFS($I$5:$I117,$C$5:$C117,$C117)-SUMIFS($J$5:$J117,$C$5:$C117,$C117))</f>
        <v/>
      </c>
      <c r="L117" s="36" t="str">
        <f aca="false">IF($B117="","",$C$2+$E$2+$G$2+SUM($I$5:$I117)-SUM($J$5:$J117))</f>
        <v/>
      </c>
      <c r="M117" s="24"/>
      <c r="N117" s="33" t="str">
        <f aca="false">IF($B117="","",IF(NOT(ISNUMBER($B117)),"日期格式不对",IF($C117="","未选资金账户",IF(AND(N($I117)=0,N($J117)=0),"收支都为空",IF(AND(N($I117)&gt;0,N($J117)&gt;0),"收支不能同时填",IF(AND($D117&lt;&gt;"",LEFT($O117,1)="⚠"),"项目编号不存在",IF(AND($M117="是",$F117=""),"工程回款必须填往来单位","√")))))))</f>
        <v/>
      </c>
      <c r="O117" s="34" t="str">
        <f aca="false">IF($D117="","",IFERROR(INDEX(项目档案!$B$6:$B$255,MATCH($D117,项目档案!$A$6:$A$255,0)),"⚠编号不存在"))</f>
        <v/>
      </c>
      <c r="P117" s="35" t="str">
        <f aca="false">IF($B117="","",TEXT($B117,"yyyy-mm"))</f>
        <v/>
      </c>
    </row>
    <row r="118" customFormat="false" ht="15.75" hidden="false" customHeight="true" outlineLevel="0" collapsed="false">
      <c r="A118" s="32" t="str">
        <f aca="false">IF($B118="","",ROW()-4)</f>
        <v/>
      </c>
      <c r="B118" s="26"/>
      <c r="C118" s="21"/>
      <c r="D118" s="24"/>
      <c r="E118" s="21"/>
      <c r="F118" s="24"/>
      <c r="G118" s="21"/>
      <c r="H118" s="22"/>
      <c r="I118" s="27"/>
      <c r="J118" s="27"/>
      <c r="K118" s="36" t="str">
        <f aca="false">IF($B118="","",IF($C118="泓普",$C$2,IF($C118="仟茂",$E$2,IF($C118="现金",$G$2,0)))+SUMIFS($I$5:$I118,$C$5:$C118,$C118)-SUMIFS($J$5:$J118,$C$5:$C118,$C118))</f>
        <v/>
      </c>
      <c r="L118" s="36" t="str">
        <f aca="false">IF($B118="","",$C$2+$E$2+$G$2+SUM($I$5:$I118)-SUM($J$5:$J118))</f>
        <v/>
      </c>
      <c r="M118" s="24"/>
      <c r="N118" s="33" t="str">
        <f aca="false">IF($B118="","",IF(NOT(ISNUMBER($B118)),"日期格式不对",IF($C118="","未选资金账户",IF(AND(N($I118)=0,N($J118)=0),"收支都为空",IF(AND(N($I118)&gt;0,N($J118)&gt;0),"收支不能同时填",IF(AND($D118&lt;&gt;"",LEFT($O118,1)="⚠"),"项目编号不存在",IF(AND($M118="是",$F118=""),"工程回款必须填往来单位","√")))))))</f>
        <v/>
      </c>
      <c r="O118" s="34" t="str">
        <f aca="false">IF($D118="","",IFERROR(INDEX(项目档案!$B$6:$B$255,MATCH($D118,项目档案!$A$6:$A$255,0)),"⚠编号不存在"))</f>
        <v/>
      </c>
      <c r="P118" s="35" t="str">
        <f aca="false">IF($B118="","",TEXT($B118,"yyyy-mm"))</f>
        <v/>
      </c>
    </row>
    <row r="119" customFormat="false" ht="15.75" hidden="false" customHeight="true" outlineLevel="0" collapsed="false">
      <c r="A119" s="32" t="str">
        <f aca="false">IF($B119="","",ROW()-4)</f>
        <v/>
      </c>
      <c r="B119" s="26"/>
      <c r="C119" s="21"/>
      <c r="D119" s="24"/>
      <c r="E119" s="21"/>
      <c r="F119" s="24"/>
      <c r="G119" s="21"/>
      <c r="H119" s="22"/>
      <c r="I119" s="27"/>
      <c r="J119" s="27"/>
      <c r="K119" s="36" t="str">
        <f aca="false">IF($B119="","",IF($C119="泓普",$C$2,IF($C119="仟茂",$E$2,IF($C119="现金",$G$2,0)))+SUMIFS($I$5:$I119,$C$5:$C119,$C119)-SUMIFS($J$5:$J119,$C$5:$C119,$C119))</f>
        <v/>
      </c>
      <c r="L119" s="36" t="str">
        <f aca="false">IF($B119="","",$C$2+$E$2+$G$2+SUM($I$5:$I119)-SUM($J$5:$J119))</f>
        <v/>
      </c>
      <c r="M119" s="24"/>
      <c r="N119" s="33" t="str">
        <f aca="false">IF($B119="","",IF(NOT(ISNUMBER($B119)),"日期格式不对",IF($C119="","未选资金账户",IF(AND(N($I119)=0,N($J119)=0),"收支都为空",IF(AND(N($I119)&gt;0,N($J119)&gt;0),"收支不能同时填",IF(AND($D119&lt;&gt;"",LEFT($O119,1)="⚠"),"项目编号不存在",IF(AND($M119="是",$F119=""),"工程回款必须填往来单位","√")))))))</f>
        <v/>
      </c>
      <c r="O119" s="34" t="str">
        <f aca="false">IF($D119="","",IFERROR(INDEX(项目档案!$B$6:$B$255,MATCH($D119,项目档案!$A$6:$A$255,0)),"⚠编号不存在"))</f>
        <v/>
      </c>
      <c r="P119" s="35" t="str">
        <f aca="false">IF($B119="","",TEXT($B119,"yyyy-mm"))</f>
        <v/>
      </c>
    </row>
    <row r="120" customFormat="false" ht="15.75" hidden="false" customHeight="true" outlineLevel="0" collapsed="false">
      <c r="A120" s="32" t="str">
        <f aca="false">IF($B120="","",ROW()-4)</f>
        <v/>
      </c>
      <c r="B120" s="26"/>
      <c r="C120" s="21"/>
      <c r="D120" s="24"/>
      <c r="E120" s="21"/>
      <c r="F120" s="24"/>
      <c r="G120" s="21"/>
      <c r="H120" s="22"/>
      <c r="I120" s="27"/>
      <c r="J120" s="27"/>
      <c r="K120" s="36" t="str">
        <f aca="false">IF($B120="","",IF($C120="泓普",$C$2,IF($C120="仟茂",$E$2,IF($C120="现金",$G$2,0)))+SUMIFS($I$5:$I120,$C$5:$C120,$C120)-SUMIFS($J$5:$J120,$C$5:$C120,$C120))</f>
        <v/>
      </c>
      <c r="L120" s="36" t="str">
        <f aca="false">IF($B120="","",$C$2+$E$2+$G$2+SUM($I$5:$I120)-SUM($J$5:$J120))</f>
        <v/>
      </c>
      <c r="M120" s="24"/>
      <c r="N120" s="33" t="str">
        <f aca="false">IF($B120="","",IF(NOT(ISNUMBER($B120)),"日期格式不对",IF($C120="","未选资金账户",IF(AND(N($I120)=0,N($J120)=0),"收支都为空",IF(AND(N($I120)&gt;0,N($J120)&gt;0),"收支不能同时填",IF(AND($D120&lt;&gt;"",LEFT($O120,1)="⚠"),"项目编号不存在",IF(AND($M120="是",$F120=""),"工程回款必须填往来单位","√")))))))</f>
        <v/>
      </c>
      <c r="O120" s="34" t="str">
        <f aca="false">IF($D120="","",IFERROR(INDEX(项目档案!$B$6:$B$255,MATCH($D120,项目档案!$A$6:$A$255,0)),"⚠编号不存在"))</f>
        <v/>
      </c>
      <c r="P120" s="35" t="str">
        <f aca="false">IF($B120="","",TEXT($B120,"yyyy-mm"))</f>
        <v/>
      </c>
    </row>
    <row r="121" customFormat="false" ht="15.75" hidden="false" customHeight="true" outlineLevel="0" collapsed="false">
      <c r="A121" s="32" t="str">
        <f aca="false">IF($B121="","",ROW()-4)</f>
        <v/>
      </c>
      <c r="B121" s="26"/>
      <c r="C121" s="21"/>
      <c r="D121" s="24"/>
      <c r="E121" s="21"/>
      <c r="F121" s="24"/>
      <c r="G121" s="21"/>
      <c r="H121" s="22"/>
      <c r="I121" s="27"/>
      <c r="J121" s="27"/>
      <c r="K121" s="36" t="str">
        <f aca="false">IF($B121="","",IF($C121="泓普",$C$2,IF($C121="仟茂",$E$2,IF($C121="现金",$G$2,0)))+SUMIFS($I$5:$I121,$C$5:$C121,$C121)-SUMIFS($J$5:$J121,$C$5:$C121,$C121))</f>
        <v/>
      </c>
      <c r="L121" s="36" t="str">
        <f aca="false">IF($B121="","",$C$2+$E$2+$G$2+SUM($I$5:$I121)-SUM($J$5:$J121))</f>
        <v/>
      </c>
      <c r="M121" s="24"/>
      <c r="N121" s="33" t="str">
        <f aca="false">IF($B121="","",IF(NOT(ISNUMBER($B121)),"日期格式不对",IF($C121="","未选资金账户",IF(AND(N($I121)=0,N($J121)=0),"收支都为空",IF(AND(N($I121)&gt;0,N($J121)&gt;0),"收支不能同时填",IF(AND($D121&lt;&gt;"",LEFT($O121,1)="⚠"),"项目编号不存在",IF(AND($M121="是",$F121=""),"工程回款必须填往来单位","√")))))))</f>
        <v/>
      </c>
      <c r="O121" s="34" t="str">
        <f aca="false">IF($D121="","",IFERROR(INDEX(项目档案!$B$6:$B$255,MATCH($D121,项目档案!$A$6:$A$255,0)),"⚠编号不存在"))</f>
        <v/>
      </c>
      <c r="P121" s="35" t="str">
        <f aca="false">IF($B121="","",TEXT($B121,"yyyy-mm"))</f>
        <v/>
      </c>
    </row>
    <row r="122" customFormat="false" ht="15.75" hidden="false" customHeight="true" outlineLevel="0" collapsed="false">
      <c r="A122" s="32" t="str">
        <f aca="false">IF($B122="","",ROW()-4)</f>
        <v/>
      </c>
      <c r="B122" s="26"/>
      <c r="C122" s="21"/>
      <c r="D122" s="24"/>
      <c r="E122" s="21"/>
      <c r="F122" s="24"/>
      <c r="G122" s="21"/>
      <c r="H122" s="22"/>
      <c r="I122" s="27"/>
      <c r="J122" s="27"/>
      <c r="K122" s="36" t="str">
        <f aca="false">IF($B122="","",IF($C122="泓普",$C$2,IF($C122="仟茂",$E$2,IF($C122="现金",$G$2,0)))+SUMIFS($I$5:$I122,$C$5:$C122,$C122)-SUMIFS($J$5:$J122,$C$5:$C122,$C122))</f>
        <v/>
      </c>
      <c r="L122" s="36" t="str">
        <f aca="false">IF($B122="","",$C$2+$E$2+$G$2+SUM($I$5:$I122)-SUM($J$5:$J122))</f>
        <v/>
      </c>
      <c r="M122" s="24"/>
      <c r="N122" s="33" t="str">
        <f aca="false">IF($B122="","",IF(NOT(ISNUMBER($B122)),"日期格式不对",IF($C122="","未选资金账户",IF(AND(N($I122)=0,N($J122)=0),"收支都为空",IF(AND(N($I122)&gt;0,N($J122)&gt;0),"收支不能同时填",IF(AND($D122&lt;&gt;"",LEFT($O122,1)="⚠"),"项目编号不存在",IF(AND($M122="是",$F122=""),"工程回款必须填往来单位","√")))))))</f>
        <v/>
      </c>
      <c r="O122" s="34" t="str">
        <f aca="false">IF($D122="","",IFERROR(INDEX(项目档案!$B$6:$B$255,MATCH($D122,项目档案!$A$6:$A$255,0)),"⚠编号不存在"))</f>
        <v/>
      </c>
      <c r="P122" s="35" t="str">
        <f aca="false">IF($B122="","",TEXT($B122,"yyyy-mm"))</f>
        <v/>
      </c>
    </row>
    <row r="123" customFormat="false" ht="15.75" hidden="false" customHeight="true" outlineLevel="0" collapsed="false">
      <c r="A123" s="32" t="str">
        <f aca="false">IF($B123="","",ROW()-4)</f>
        <v/>
      </c>
      <c r="B123" s="26"/>
      <c r="C123" s="21"/>
      <c r="D123" s="24"/>
      <c r="E123" s="21"/>
      <c r="F123" s="24"/>
      <c r="G123" s="21"/>
      <c r="H123" s="22"/>
      <c r="I123" s="27"/>
      <c r="J123" s="27"/>
      <c r="K123" s="36" t="str">
        <f aca="false">IF($B123="","",IF($C123="泓普",$C$2,IF($C123="仟茂",$E$2,IF($C123="现金",$G$2,0)))+SUMIFS($I$5:$I123,$C$5:$C123,$C123)-SUMIFS($J$5:$J123,$C$5:$C123,$C123))</f>
        <v/>
      </c>
      <c r="L123" s="36" t="str">
        <f aca="false">IF($B123="","",$C$2+$E$2+$G$2+SUM($I$5:$I123)-SUM($J$5:$J123))</f>
        <v/>
      </c>
      <c r="M123" s="24"/>
      <c r="N123" s="33" t="str">
        <f aca="false">IF($B123="","",IF(NOT(ISNUMBER($B123)),"日期格式不对",IF($C123="","未选资金账户",IF(AND(N($I123)=0,N($J123)=0),"收支都为空",IF(AND(N($I123)&gt;0,N($J123)&gt;0),"收支不能同时填",IF(AND($D123&lt;&gt;"",LEFT($O123,1)="⚠"),"项目编号不存在",IF(AND($M123="是",$F123=""),"工程回款必须填往来单位","√")))))))</f>
        <v/>
      </c>
      <c r="O123" s="34" t="str">
        <f aca="false">IF($D123="","",IFERROR(INDEX(项目档案!$B$6:$B$255,MATCH($D123,项目档案!$A$6:$A$255,0)),"⚠编号不存在"))</f>
        <v/>
      </c>
      <c r="P123" s="35" t="str">
        <f aca="false">IF($B123="","",TEXT($B123,"yyyy-mm"))</f>
        <v/>
      </c>
    </row>
    <row r="124" customFormat="false" ht="15.75" hidden="false" customHeight="true" outlineLevel="0" collapsed="false">
      <c r="A124" s="32" t="str">
        <f aca="false">IF($B124="","",ROW()-4)</f>
        <v/>
      </c>
      <c r="B124" s="26"/>
      <c r="C124" s="21"/>
      <c r="D124" s="24"/>
      <c r="E124" s="21"/>
      <c r="F124" s="24"/>
      <c r="G124" s="21"/>
      <c r="H124" s="22"/>
      <c r="I124" s="27"/>
      <c r="J124" s="27"/>
      <c r="K124" s="36" t="str">
        <f aca="false">IF($B124="","",IF($C124="泓普",$C$2,IF($C124="仟茂",$E$2,IF($C124="现金",$G$2,0)))+SUMIFS($I$5:$I124,$C$5:$C124,$C124)-SUMIFS($J$5:$J124,$C$5:$C124,$C124))</f>
        <v/>
      </c>
      <c r="L124" s="36" t="str">
        <f aca="false">IF($B124="","",$C$2+$E$2+$G$2+SUM($I$5:$I124)-SUM($J$5:$J124))</f>
        <v/>
      </c>
      <c r="M124" s="24"/>
      <c r="N124" s="33" t="str">
        <f aca="false">IF($B124="","",IF(NOT(ISNUMBER($B124)),"日期格式不对",IF($C124="","未选资金账户",IF(AND(N($I124)=0,N($J124)=0),"收支都为空",IF(AND(N($I124)&gt;0,N($J124)&gt;0),"收支不能同时填",IF(AND($D124&lt;&gt;"",LEFT($O124,1)="⚠"),"项目编号不存在",IF(AND($M124="是",$F124=""),"工程回款必须填往来单位","√")))))))</f>
        <v/>
      </c>
      <c r="O124" s="34" t="str">
        <f aca="false">IF($D124="","",IFERROR(INDEX(项目档案!$B$6:$B$255,MATCH($D124,项目档案!$A$6:$A$255,0)),"⚠编号不存在"))</f>
        <v/>
      </c>
      <c r="P124" s="35" t="str">
        <f aca="false">IF($B124="","",TEXT($B124,"yyyy-mm"))</f>
        <v/>
      </c>
    </row>
    <row r="125" customFormat="false" ht="15.75" hidden="false" customHeight="true" outlineLevel="0" collapsed="false">
      <c r="A125" s="32" t="str">
        <f aca="false">IF($B125="","",ROW()-4)</f>
        <v/>
      </c>
      <c r="B125" s="26"/>
      <c r="C125" s="21"/>
      <c r="D125" s="24"/>
      <c r="E125" s="21"/>
      <c r="F125" s="24"/>
      <c r="G125" s="21"/>
      <c r="H125" s="22"/>
      <c r="I125" s="27"/>
      <c r="J125" s="27"/>
      <c r="K125" s="36" t="str">
        <f aca="false">IF($B125="","",IF($C125="泓普",$C$2,IF($C125="仟茂",$E$2,IF($C125="现金",$G$2,0)))+SUMIFS($I$5:$I125,$C$5:$C125,$C125)-SUMIFS($J$5:$J125,$C$5:$C125,$C125))</f>
        <v/>
      </c>
      <c r="L125" s="36" t="str">
        <f aca="false">IF($B125="","",$C$2+$E$2+$G$2+SUM($I$5:$I125)-SUM($J$5:$J125))</f>
        <v/>
      </c>
      <c r="M125" s="24"/>
      <c r="N125" s="33" t="str">
        <f aca="false">IF($B125="","",IF(NOT(ISNUMBER($B125)),"日期格式不对",IF($C125="","未选资金账户",IF(AND(N($I125)=0,N($J125)=0),"收支都为空",IF(AND(N($I125)&gt;0,N($J125)&gt;0),"收支不能同时填",IF(AND($D125&lt;&gt;"",LEFT($O125,1)="⚠"),"项目编号不存在",IF(AND($M125="是",$F125=""),"工程回款必须填往来单位","√")))))))</f>
        <v/>
      </c>
      <c r="O125" s="34" t="str">
        <f aca="false">IF($D125="","",IFERROR(INDEX(项目档案!$B$6:$B$255,MATCH($D125,项目档案!$A$6:$A$255,0)),"⚠编号不存在"))</f>
        <v/>
      </c>
      <c r="P125" s="35" t="str">
        <f aca="false">IF($B125="","",TEXT($B125,"yyyy-mm"))</f>
        <v/>
      </c>
    </row>
    <row r="126" customFormat="false" ht="15.75" hidden="false" customHeight="true" outlineLevel="0" collapsed="false">
      <c r="A126" s="32" t="str">
        <f aca="false">IF($B126="","",ROW()-4)</f>
        <v/>
      </c>
      <c r="B126" s="26"/>
      <c r="C126" s="21"/>
      <c r="D126" s="24"/>
      <c r="E126" s="21"/>
      <c r="F126" s="24"/>
      <c r="G126" s="21"/>
      <c r="H126" s="22"/>
      <c r="I126" s="27"/>
      <c r="J126" s="27"/>
      <c r="K126" s="36" t="str">
        <f aca="false">IF($B126="","",IF($C126="泓普",$C$2,IF($C126="仟茂",$E$2,IF($C126="现金",$G$2,0)))+SUMIFS($I$5:$I126,$C$5:$C126,$C126)-SUMIFS($J$5:$J126,$C$5:$C126,$C126))</f>
        <v/>
      </c>
      <c r="L126" s="36" t="str">
        <f aca="false">IF($B126="","",$C$2+$E$2+$G$2+SUM($I$5:$I126)-SUM($J$5:$J126))</f>
        <v/>
      </c>
      <c r="M126" s="24"/>
      <c r="N126" s="33" t="str">
        <f aca="false">IF($B126="","",IF(NOT(ISNUMBER($B126)),"日期格式不对",IF($C126="","未选资金账户",IF(AND(N($I126)=0,N($J126)=0),"收支都为空",IF(AND(N($I126)&gt;0,N($J126)&gt;0),"收支不能同时填",IF(AND($D126&lt;&gt;"",LEFT($O126,1)="⚠"),"项目编号不存在",IF(AND($M126="是",$F126=""),"工程回款必须填往来单位","√")))))))</f>
        <v/>
      </c>
      <c r="O126" s="34" t="str">
        <f aca="false">IF($D126="","",IFERROR(INDEX(项目档案!$B$6:$B$255,MATCH($D126,项目档案!$A$6:$A$255,0)),"⚠编号不存在"))</f>
        <v/>
      </c>
      <c r="P126" s="35" t="str">
        <f aca="false">IF($B126="","",TEXT($B126,"yyyy-mm"))</f>
        <v/>
      </c>
    </row>
    <row r="127" customFormat="false" ht="15.75" hidden="false" customHeight="true" outlineLevel="0" collapsed="false">
      <c r="A127" s="32" t="str">
        <f aca="false">IF($B127="","",ROW()-4)</f>
        <v/>
      </c>
      <c r="B127" s="26"/>
      <c r="C127" s="21"/>
      <c r="D127" s="24"/>
      <c r="E127" s="21"/>
      <c r="F127" s="24"/>
      <c r="G127" s="21"/>
      <c r="H127" s="22"/>
      <c r="I127" s="27"/>
      <c r="J127" s="27"/>
      <c r="K127" s="36" t="str">
        <f aca="false">IF($B127="","",IF($C127="泓普",$C$2,IF($C127="仟茂",$E$2,IF($C127="现金",$G$2,0)))+SUMIFS($I$5:$I127,$C$5:$C127,$C127)-SUMIFS($J$5:$J127,$C$5:$C127,$C127))</f>
        <v/>
      </c>
      <c r="L127" s="36" t="str">
        <f aca="false">IF($B127="","",$C$2+$E$2+$G$2+SUM($I$5:$I127)-SUM($J$5:$J127))</f>
        <v/>
      </c>
      <c r="M127" s="24"/>
      <c r="N127" s="33" t="str">
        <f aca="false">IF($B127="","",IF(NOT(ISNUMBER($B127)),"日期格式不对",IF($C127="","未选资金账户",IF(AND(N($I127)=0,N($J127)=0),"收支都为空",IF(AND(N($I127)&gt;0,N($J127)&gt;0),"收支不能同时填",IF(AND($D127&lt;&gt;"",LEFT($O127,1)="⚠"),"项目编号不存在",IF(AND($M127="是",$F127=""),"工程回款必须填往来单位","√")))))))</f>
        <v/>
      </c>
      <c r="O127" s="34" t="str">
        <f aca="false">IF($D127="","",IFERROR(INDEX(项目档案!$B$6:$B$255,MATCH($D127,项目档案!$A$6:$A$255,0)),"⚠编号不存在"))</f>
        <v/>
      </c>
      <c r="P127" s="35" t="str">
        <f aca="false">IF($B127="","",TEXT($B127,"yyyy-mm"))</f>
        <v/>
      </c>
    </row>
    <row r="128" customFormat="false" ht="15.75" hidden="false" customHeight="true" outlineLevel="0" collapsed="false">
      <c r="A128" s="32" t="str">
        <f aca="false">IF($B128="","",ROW()-4)</f>
        <v/>
      </c>
      <c r="B128" s="26"/>
      <c r="C128" s="21"/>
      <c r="D128" s="24"/>
      <c r="E128" s="21"/>
      <c r="F128" s="24"/>
      <c r="G128" s="21"/>
      <c r="H128" s="22"/>
      <c r="I128" s="27"/>
      <c r="J128" s="27"/>
      <c r="K128" s="36" t="str">
        <f aca="false">IF($B128="","",IF($C128="泓普",$C$2,IF($C128="仟茂",$E$2,IF($C128="现金",$G$2,0)))+SUMIFS($I$5:$I128,$C$5:$C128,$C128)-SUMIFS($J$5:$J128,$C$5:$C128,$C128))</f>
        <v/>
      </c>
      <c r="L128" s="36" t="str">
        <f aca="false">IF($B128="","",$C$2+$E$2+$G$2+SUM($I$5:$I128)-SUM($J$5:$J128))</f>
        <v/>
      </c>
      <c r="M128" s="24"/>
      <c r="N128" s="33" t="str">
        <f aca="false">IF($B128="","",IF(NOT(ISNUMBER($B128)),"日期格式不对",IF($C128="","未选资金账户",IF(AND(N($I128)=0,N($J128)=0),"收支都为空",IF(AND(N($I128)&gt;0,N($J128)&gt;0),"收支不能同时填",IF(AND($D128&lt;&gt;"",LEFT($O128,1)="⚠"),"项目编号不存在",IF(AND($M128="是",$F128=""),"工程回款必须填往来单位","√")))))))</f>
        <v/>
      </c>
      <c r="O128" s="34" t="str">
        <f aca="false">IF($D128="","",IFERROR(INDEX(项目档案!$B$6:$B$255,MATCH($D128,项目档案!$A$6:$A$255,0)),"⚠编号不存在"))</f>
        <v/>
      </c>
      <c r="P128" s="35" t="str">
        <f aca="false">IF($B128="","",TEXT($B128,"yyyy-mm"))</f>
        <v/>
      </c>
    </row>
    <row r="129" customFormat="false" ht="15.75" hidden="false" customHeight="true" outlineLevel="0" collapsed="false">
      <c r="A129" s="32" t="str">
        <f aca="false">IF($B129="","",ROW()-4)</f>
        <v/>
      </c>
      <c r="B129" s="26"/>
      <c r="C129" s="21"/>
      <c r="D129" s="24"/>
      <c r="E129" s="21"/>
      <c r="F129" s="24"/>
      <c r="G129" s="21"/>
      <c r="H129" s="22"/>
      <c r="I129" s="27"/>
      <c r="J129" s="27"/>
      <c r="K129" s="36" t="str">
        <f aca="false">IF($B129="","",IF($C129="泓普",$C$2,IF($C129="仟茂",$E$2,IF($C129="现金",$G$2,0)))+SUMIFS($I$5:$I129,$C$5:$C129,$C129)-SUMIFS($J$5:$J129,$C$5:$C129,$C129))</f>
        <v/>
      </c>
      <c r="L129" s="36" t="str">
        <f aca="false">IF($B129="","",$C$2+$E$2+$G$2+SUM($I$5:$I129)-SUM($J$5:$J129))</f>
        <v/>
      </c>
      <c r="M129" s="24"/>
      <c r="N129" s="33" t="str">
        <f aca="false">IF($B129="","",IF(NOT(ISNUMBER($B129)),"日期格式不对",IF($C129="","未选资金账户",IF(AND(N($I129)=0,N($J129)=0),"收支都为空",IF(AND(N($I129)&gt;0,N($J129)&gt;0),"收支不能同时填",IF(AND($D129&lt;&gt;"",LEFT($O129,1)="⚠"),"项目编号不存在",IF(AND($M129="是",$F129=""),"工程回款必须填往来单位","√")))))))</f>
        <v/>
      </c>
      <c r="O129" s="34" t="str">
        <f aca="false">IF($D129="","",IFERROR(INDEX(项目档案!$B$6:$B$255,MATCH($D129,项目档案!$A$6:$A$255,0)),"⚠编号不存在"))</f>
        <v/>
      </c>
      <c r="P129" s="35" t="str">
        <f aca="false">IF($B129="","",TEXT($B129,"yyyy-mm"))</f>
        <v/>
      </c>
    </row>
    <row r="130" customFormat="false" ht="15.75" hidden="false" customHeight="true" outlineLevel="0" collapsed="false">
      <c r="A130" s="32" t="str">
        <f aca="false">IF($B130="","",ROW()-4)</f>
        <v/>
      </c>
      <c r="B130" s="26"/>
      <c r="C130" s="21"/>
      <c r="D130" s="24"/>
      <c r="E130" s="21"/>
      <c r="F130" s="24"/>
      <c r="G130" s="21"/>
      <c r="H130" s="22"/>
      <c r="I130" s="27"/>
      <c r="J130" s="27"/>
      <c r="K130" s="36" t="str">
        <f aca="false">IF($B130="","",IF($C130="泓普",$C$2,IF($C130="仟茂",$E$2,IF($C130="现金",$G$2,0)))+SUMIFS($I$5:$I130,$C$5:$C130,$C130)-SUMIFS($J$5:$J130,$C$5:$C130,$C130))</f>
        <v/>
      </c>
      <c r="L130" s="36" t="str">
        <f aca="false">IF($B130="","",$C$2+$E$2+$G$2+SUM($I$5:$I130)-SUM($J$5:$J130))</f>
        <v/>
      </c>
      <c r="M130" s="24"/>
      <c r="N130" s="33" t="str">
        <f aca="false">IF($B130="","",IF(NOT(ISNUMBER($B130)),"日期格式不对",IF($C130="","未选资金账户",IF(AND(N($I130)=0,N($J130)=0),"收支都为空",IF(AND(N($I130)&gt;0,N($J130)&gt;0),"收支不能同时填",IF(AND($D130&lt;&gt;"",LEFT($O130,1)="⚠"),"项目编号不存在",IF(AND($M130="是",$F130=""),"工程回款必须填往来单位","√")))))))</f>
        <v/>
      </c>
      <c r="O130" s="34" t="str">
        <f aca="false">IF($D130="","",IFERROR(INDEX(项目档案!$B$6:$B$255,MATCH($D130,项目档案!$A$6:$A$255,0)),"⚠编号不存在"))</f>
        <v/>
      </c>
      <c r="P130" s="35" t="str">
        <f aca="false">IF($B130="","",TEXT($B130,"yyyy-mm"))</f>
        <v/>
      </c>
    </row>
    <row r="131" customFormat="false" ht="15.75" hidden="false" customHeight="true" outlineLevel="0" collapsed="false">
      <c r="A131" s="32" t="str">
        <f aca="false">IF($B131="","",ROW()-4)</f>
        <v/>
      </c>
      <c r="B131" s="26"/>
      <c r="C131" s="21"/>
      <c r="D131" s="24"/>
      <c r="E131" s="21"/>
      <c r="F131" s="24"/>
      <c r="G131" s="21"/>
      <c r="H131" s="22"/>
      <c r="I131" s="27"/>
      <c r="J131" s="27"/>
      <c r="K131" s="36" t="str">
        <f aca="false">IF($B131="","",IF($C131="泓普",$C$2,IF($C131="仟茂",$E$2,IF($C131="现金",$G$2,0)))+SUMIFS($I$5:$I131,$C$5:$C131,$C131)-SUMIFS($J$5:$J131,$C$5:$C131,$C131))</f>
        <v/>
      </c>
      <c r="L131" s="36" t="str">
        <f aca="false">IF($B131="","",$C$2+$E$2+$G$2+SUM($I$5:$I131)-SUM($J$5:$J131))</f>
        <v/>
      </c>
      <c r="M131" s="24"/>
      <c r="N131" s="33" t="str">
        <f aca="false">IF($B131="","",IF(NOT(ISNUMBER($B131)),"日期格式不对",IF($C131="","未选资金账户",IF(AND(N($I131)=0,N($J131)=0),"收支都为空",IF(AND(N($I131)&gt;0,N($J131)&gt;0),"收支不能同时填",IF(AND($D131&lt;&gt;"",LEFT($O131,1)="⚠"),"项目编号不存在",IF(AND($M131="是",$F131=""),"工程回款必须填往来单位","√")))))))</f>
        <v/>
      </c>
      <c r="O131" s="34" t="str">
        <f aca="false">IF($D131="","",IFERROR(INDEX(项目档案!$B$6:$B$255,MATCH($D131,项目档案!$A$6:$A$255,0)),"⚠编号不存在"))</f>
        <v/>
      </c>
      <c r="P131" s="35" t="str">
        <f aca="false">IF($B131="","",TEXT($B131,"yyyy-mm"))</f>
        <v/>
      </c>
    </row>
    <row r="132" customFormat="false" ht="15.75" hidden="false" customHeight="true" outlineLevel="0" collapsed="false">
      <c r="A132" s="32" t="str">
        <f aca="false">IF($B132="","",ROW()-4)</f>
        <v/>
      </c>
      <c r="B132" s="26"/>
      <c r="C132" s="21"/>
      <c r="D132" s="24"/>
      <c r="E132" s="21"/>
      <c r="F132" s="24"/>
      <c r="G132" s="21"/>
      <c r="H132" s="22"/>
      <c r="I132" s="27"/>
      <c r="J132" s="27"/>
      <c r="K132" s="36" t="str">
        <f aca="false">IF($B132="","",IF($C132="泓普",$C$2,IF($C132="仟茂",$E$2,IF($C132="现金",$G$2,0)))+SUMIFS($I$5:$I132,$C$5:$C132,$C132)-SUMIFS($J$5:$J132,$C$5:$C132,$C132))</f>
        <v/>
      </c>
      <c r="L132" s="36" t="str">
        <f aca="false">IF($B132="","",$C$2+$E$2+$G$2+SUM($I$5:$I132)-SUM($J$5:$J132))</f>
        <v/>
      </c>
      <c r="M132" s="24"/>
      <c r="N132" s="33" t="str">
        <f aca="false">IF($B132="","",IF(NOT(ISNUMBER($B132)),"日期格式不对",IF($C132="","未选资金账户",IF(AND(N($I132)=0,N($J132)=0),"收支都为空",IF(AND(N($I132)&gt;0,N($J132)&gt;0),"收支不能同时填",IF(AND($D132&lt;&gt;"",LEFT($O132,1)="⚠"),"项目编号不存在",IF(AND($M132="是",$F132=""),"工程回款必须填往来单位","√")))))))</f>
        <v/>
      </c>
      <c r="O132" s="34" t="str">
        <f aca="false">IF($D132="","",IFERROR(INDEX(项目档案!$B$6:$B$255,MATCH($D132,项目档案!$A$6:$A$255,0)),"⚠编号不存在"))</f>
        <v/>
      </c>
      <c r="P132" s="35" t="str">
        <f aca="false">IF($B132="","",TEXT($B132,"yyyy-mm"))</f>
        <v/>
      </c>
    </row>
    <row r="133" customFormat="false" ht="15.75" hidden="false" customHeight="true" outlineLevel="0" collapsed="false">
      <c r="A133" s="32" t="str">
        <f aca="false">IF($B133="","",ROW()-4)</f>
        <v/>
      </c>
      <c r="B133" s="26"/>
      <c r="C133" s="21"/>
      <c r="D133" s="24"/>
      <c r="E133" s="21"/>
      <c r="F133" s="24"/>
      <c r="G133" s="21"/>
      <c r="H133" s="22"/>
      <c r="I133" s="27"/>
      <c r="J133" s="27"/>
      <c r="K133" s="36" t="str">
        <f aca="false">IF($B133="","",IF($C133="泓普",$C$2,IF($C133="仟茂",$E$2,IF($C133="现金",$G$2,0)))+SUMIFS($I$5:$I133,$C$5:$C133,$C133)-SUMIFS($J$5:$J133,$C$5:$C133,$C133))</f>
        <v/>
      </c>
      <c r="L133" s="36" t="str">
        <f aca="false">IF($B133="","",$C$2+$E$2+$G$2+SUM($I$5:$I133)-SUM($J$5:$J133))</f>
        <v/>
      </c>
      <c r="M133" s="24"/>
      <c r="N133" s="33" t="str">
        <f aca="false">IF($B133="","",IF(NOT(ISNUMBER($B133)),"日期格式不对",IF($C133="","未选资金账户",IF(AND(N($I133)=0,N($J133)=0),"收支都为空",IF(AND(N($I133)&gt;0,N($J133)&gt;0),"收支不能同时填",IF(AND($D133&lt;&gt;"",LEFT($O133,1)="⚠"),"项目编号不存在",IF(AND($M133="是",$F133=""),"工程回款必须填往来单位","√")))))))</f>
        <v/>
      </c>
      <c r="O133" s="34" t="str">
        <f aca="false">IF($D133="","",IFERROR(INDEX(项目档案!$B$6:$B$255,MATCH($D133,项目档案!$A$6:$A$255,0)),"⚠编号不存在"))</f>
        <v/>
      </c>
      <c r="P133" s="35" t="str">
        <f aca="false">IF($B133="","",TEXT($B133,"yyyy-mm"))</f>
        <v/>
      </c>
    </row>
    <row r="134" customFormat="false" ht="15.75" hidden="false" customHeight="true" outlineLevel="0" collapsed="false">
      <c r="A134" s="32" t="str">
        <f aca="false">IF($B134="","",ROW()-4)</f>
        <v/>
      </c>
      <c r="B134" s="26"/>
      <c r="C134" s="21"/>
      <c r="D134" s="24"/>
      <c r="E134" s="21"/>
      <c r="F134" s="24"/>
      <c r="G134" s="21"/>
      <c r="H134" s="22"/>
      <c r="I134" s="27"/>
      <c r="J134" s="27"/>
      <c r="K134" s="36" t="str">
        <f aca="false">IF($B134="","",IF($C134="泓普",$C$2,IF($C134="仟茂",$E$2,IF($C134="现金",$G$2,0)))+SUMIFS($I$5:$I134,$C$5:$C134,$C134)-SUMIFS($J$5:$J134,$C$5:$C134,$C134))</f>
        <v/>
      </c>
      <c r="L134" s="36" t="str">
        <f aca="false">IF($B134="","",$C$2+$E$2+$G$2+SUM($I$5:$I134)-SUM($J$5:$J134))</f>
        <v/>
      </c>
      <c r="M134" s="24"/>
      <c r="N134" s="33" t="str">
        <f aca="false">IF($B134="","",IF(NOT(ISNUMBER($B134)),"日期格式不对",IF($C134="","未选资金账户",IF(AND(N($I134)=0,N($J134)=0),"收支都为空",IF(AND(N($I134)&gt;0,N($J134)&gt;0),"收支不能同时填",IF(AND($D134&lt;&gt;"",LEFT($O134,1)="⚠"),"项目编号不存在",IF(AND($M134="是",$F134=""),"工程回款必须填往来单位","√")))))))</f>
        <v/>
      </c>
      <c r="O134" s="34" t="str">
        <f aca="false">IF($D134="","",IFERROR(INDEX(项目档案!$B$6:$B$255,MATCH($D134,项目档案!$A$6:$A$255,0)),"⚠编号不存在"))</f>
        <v/>
      </c>
      <c r="P134" s="35" t="str">
        <f aca="false">IF($B134="","",TEXT($B134,"yyyy-mm"))</f>
        <v/>
      </c>
    </row>
    <row r="135" customFormat="false" ht="15.75" hidden="false" customHeight="true" outlineLevel="0" collapsed="false">
      <c r="A135" s="32" t="str">
        <f aca="false">IF($B135="","",ROW()-4)</f>
        <v/>
      </c>
      <c r="B135" s="26"/>
      <c r="C135" s="21"/>
      <c r="D135" s="24"/>
      <c r="E135" s="21"/>
      <c r="F135" s="24"/>
      <c r="G135" s="21"/>
      <c r="H135" s="22"/>
      <c r="I135" s="27"/>
      <c r="J135" s="27"/>
      <c r="K135" s="36" t="str">
        <f aca="false">IF($B135="","",IF($C135="泓普",$C$2,IF($C135="仟茂",$E$2,IF($C135="现金",$G$2,0)))+SUMIFS($I$5:$I135,$C$5:$C135,$C135)-SUMIFS($J$5:$J135,$C$5:$C135,$C135))</f>
        <v/>
      </c>
      <c r="L135" s="36" t="str">
        <f aca="false">IF($B135="","",$C$2+$E$2+$G$2+SUM($I$5:$I135)-SUM($J$5:$J135))</f>
        <v/>
      </c>
      <c r="M135" s="24"/>
      <c r="N135" s="33" t="str">
        <f aca="false">IF($B135="","",IF(NOT(ISNUMBER($B135)),"日期格式不对",IF($C135="","未选资金账户",IF(AND(N($I135)=0,N($J135)=0),"收支都为空",IF(AND(N($I135)&gt;0,N($J135)&gt;0),"收支不能同时填",IF(AND($D135&lt;&gt;"",LEFT($O135,1)="⚠"),"项目编号不存在",IF(AND($M135="是",$F135=""),"工程回款必须填往来单位","√")))))))</f>
        <v/>
      </c>
      <c r="O135" s="34" t="str">
        <f aca="false">IF($D135="","",IFERROR(INDEX(项目档案!$B$6:$B$255,MATCH($D135,项目档案!$A$6:$A$255,0)),"⚠编号不存在"))</f>
        <v/>
      </c>
      <c r="P135" s="35" t="str">
        <f aca="false">IF($B135="","",TEXT($B135,"yyyy-mm"))</f>
        <v/>
      </c>
    </row>
    <row r="136" customFormat="false" ht="15.75" hidden="false" customHeight="true" outlineLevel="0" collapsed="false">
      <c r="A136" s="32" t="str">
        <f aca="false">IF($B136="","",ROW()-4)</f>
        <v/>
      </c>
      <c r="B136" s="26"/>
      <c r="C136" s="21"/>
      <c r="D136" s="24"/>
      <c r="E136" s="21"/>
      <c r="F136" s="24"/>
      <c r="G136" s="21"/>
      <c r="H136" s="22"/>
      <c r="I136" s="27"/>
      <c r="J136" s="27"/>
      <c r="K136" s="36" t="str">
        <f aca="false">IF($B136="","",IF($C136="泓普",$C$2,IF($C136="仟茂",$E$2,IF($C136="现金",$G$2,0)))+SUMIFS($I$5:$I136,$C$5:$C136,$C136)-SUMIFS($J$5:$J136,$C$5:$C136,$C136))</f>
        <v/>
      </c>
      <c r="L136" s="36" t="str">
        <f aca="false">IF($B136="","",$C$2+$E$2+$G$2+SUM($I$5:$I136)-SUM($J$5:$J136))</f>
        <v/>
      </c>
      <c r="M136" s="24"/>
      <c r="N136" s="33" t="str">
        <f aca="false">IF($B136="","",IF(NOT(ISNUMBER($B136)),"日期格式不对",IF($C136="","未选资金账户",IF(AND(N($I136)=0,N($J136)=0),"收支都为空",IF(AND(N($I136)&gt;0,N($J136)&gt;0),"收支不能同时填",IF(AND($D136&lt;&gt;"",LEFT($O136,1)="⚠"),"项目编号不存在",IF(AND($M136="是",$F136=""),"工程回款必须填往来单位","√")))))))</f>
        <v/>
      </c>
      <c r="O136" s="34" t="str">
        <f aca="false">IF($D136="","",IFERROR(INDEX(项目档案!$B$6:$B$255,MATCH($D136,项目档案!$A$6:$A$255,0)),"⚠编号不存在"))</f>
        <v/>
      </c>
      <c r="P136" s="35" t="str">
        <f aca="false">IF($B136="","",TEXT($B136,"yyyy-mm"))</f>
        <v/>
      </c>
    </row>
    <row r="137" customFormat="false" ht="15.75" hidden="false" customHeight="true" outlineLevel="0" collapsed="false">
      <c r="A137" s="32" t="str">
        <f aca="false">IF($B137="","",ROW()-4)</f>
        <v/>
      </c>
      <c r="B137" s="26"/>
      <c r="C137" s="21"/>
      <c r="D137" s="24"/>
      <c r="E137" s="21"/>
      <c r="F137" s="24"/>
      <c r="G137" s="21"/>
      <c r="H137" s="22"/>
      <c r="I137" s="27"/>
      <c r="J137" s="27"/>
      <c r="K137" s="36" t="str">
        <f aca="false">IF($B137="","",IF($C137="泓普",$C$2,IF($C137="仟茂",$E$2,IF($C137="现金",$G$2,0)))+SUMIFS($I$5:$I137,$C$5:$C137,$C137)-SUMIFS($J$5:$J137,$C$5:$C137,$C137))</f>
        <v/>
      </c>
      <c r="L137" s="36" t="str">
        <f aca="false">IF($B137="","",$C$2+$E$2+$G$2+SUM($I$5:$I137)-SUM($J$5:$J137))</f>
        <v/>
      </c>
      <c r="M137" s="24"/>
      <c r="N137" s="33" t="str">
        <f aca="false">IF($B137="","",IF(NOT(ISNUMBER($B137)),"日期格式不对",IF($C137="","未选资金账户",IF(AND(N($I137)=0,N($J137)=0),"收支都为空",IF(AND(N($I137)&gt;0,N($J137)&gt;0),"收支不能同时填",IF(AND($D137&lt;&gt;"",LEFT($O137,1)="⚠"),"项目编号不存在",IF(AND($M137="是",$F137=""),"工程回款必须填往来单位","√")))))))</f>
        <v/>
      </c>
      <c r="O137" s="34" t="str">
        <f aca="false">IF($D137="","",IFERROR(INDEX(项目档案!$B$6:$B$255,MATCH($D137,项目档案!$A$6:$A$255,0)),"⚠编号不存在"))</f>
        <v/>
      </c>
      <c r="P137" s="35" t="str">
        <f aca="false">IF($B137="","",TEXT($B137,"yyyy-mm"))</f>
        <v/>
      </c>
    </row>
    <row r="138" customFormat="false" ht="15.75" hidden="false" customHeight="true" outlineLevel="0" collapsed="false">
      <c r="A138" s="32" t="str">
        <f aca="false">IF($B138="","",ROW()-4)</f>
        <v/>
      </c>
      <c r="B138" s="26"/>
      <c r="C138" s="21"/>
      <c r="D138" s="24"/>
      <c r="E138" s="21"/>
      <c r="F138" s="24"/>
      <c r="G138" s="21"/>
      <c r="H138" s="22"/>
      <c r="I138" s="27"/>
      <c r="J138" s="27"/>
      <c r="K138" s="36" t="str">
        <f aca="false">IF($B138="","",IF($C138="泓普",$C$2,IF($C138="仟茂",$E$2,IF($C138="现金",$G$2,0)))+SUMIFS($I$5:$I138,$C$5:$C138,$C138)-SUMIFS($J$5:$J138,$C$5:$C138,$C138))</f>
        <v/>
      </c>
      <c r="L138" s="36" t="str">
        <f aca="false">IF($B138="","",$C$2+$E$2+$G$2+SUM($I$5:$I138)-SUM($J$5:$J138))</f>
        <v/>
      </c>
      <c r="M138" s="24"/>
      <c r="N138" s="33" t="str">
        <f aca="false">IF($B138="","",IF(NOT(ISNUMBER($B138)),"日期格式不对",IF($C138="","未选资金账户",IF(AND(N($I138)=0,N($J138)=0),"收支都为空",IF(AND(N($I138)&gt;0,N($J138)&gt;0),"收支不能同时填",IF(AND($D138&lt;&gt;"",LEFT($O138,1)="⚠"),"项目编号不存在",IF(AND($M138="是",$F138=""),"工程回款必须填往来单位","√")))))))</f>
        <v/>
      </c>
      <c r="O138" s="34" t="str">
        <f aca="false">IF($D138="","",IFERROR(INDEX(项目档案!$B$6:$B$255,MATCH($D138,项目档案!$A$6:$A$255,0)),"⚠编号不存在"))</f>
        <v/>
      </c>
      <c r="P138" s="35" t="str">
        <f aca="false">IF($B138="","",TEXT($B138,"yyyy-mm"))</f>
        <v/>
      </c>
    </row>
    <row r="139" customFormat="false" ht="15.75" hidden="false" customHeight="true" outlineLevel="0" collapsed="false">
      <c r="A139" s="32" t="str">
        <f aca="false">IF($B139="","",ROW()-4)</f>
        <v/>
      </c>
      <c r="B139" s="26"/>
      <c r="C139" s="21"/>
      <c r="D139" s="24"/>
      <c r="E139" s="21"/>
      <c r="F139" s="24"/>
      <c r="G139" s="21"/>
      <c r="H139" s="22"/>
      <c r="I139" s="27"/>
      <c r="J139" s="27"/>
      <c r="K139" s="36" t="str">
        <f aca="false">IF($B139="","",IF($C139="泓普",$C$2,IF($C139="仟茂",$E$2,IF($C139="现金",$G$2,0)))+SUMIFS($I$5:$I139,$C$5:$C139,$C139)-SUMIFS($J$5:$J139,$C$5:$C139,$C139))</f>
        <v/>
      </c>
      <c r="L139" s="36" t="str">
        <f aca="false">IF($B139="","",$C$2+$E$2+$G$2+SUM($I$5:$I139)-SUM($J$5:$J139))</f>
        <v/>
      </c>
      <c r="M139" s="24"/>
      <c r="N139" s="33" t="str">
        <f aca="false">IF($B139="","",IF(NOT(ISNUMBER($B139)),"日期格式不对",IF($C139="","未选资金账户",IF(AND(N($I139)=0,N($J139)=0),"收支都为空",IF(AND(N($I139)&gt;0,N($J139)&gt;0),"收支不能同时填",IF(AND($D139&lt;&gt;"",LEFT($O139,1)="⚠"),"项目编号不存在",IF(AND($M139="是",$F139=""),"工程回款必须填往来单位","√")))))))</f>
        <v/>
      </c>
      <c r="O139" s="34" t="str">
        <f aca="false">IF($D139="","",IFERROR(INDEX(项目档案!$B$6:$B$255,MATCH($D139,项目档案!$A$6:$A$255,0)),"⚠编号不存在"))</f>
        <v/>
      </c>
      <c r="P139" s="35" t="str">
        <f aca="false">IF($B139="","",TEXT($B139,"yyyy-mm"))</f>
        <v/>
      </c>
    </row>
    <row r="140" customFormat="false" ht="15.75" hidden="false" customHeight="true" outlineLevel="0" collapsed="false">
      <c r="A140" s="32" t="str">
        <f aca="false">IF($B140="","",ROW()-4)</f>
        <v/>
      </c>
      <c r="B140" s="26"/>
      <c r="C140" s="21"/>
      <c r="D140" s="24"/>
      <c r="E140" s="21"/>
      <c r="F140" s="24"/>
      <c r="G140" s="21"/>
      <c r="H140" s="22"/>
      <c r="I140" s="27"/>
      <c r="J140" s="27"/>
      <c r="K140" s="36" t="str">
        <f aca="false">IF($B140="","",IF($C140="泓普",$C$2,IF($C140="仟茂",$E$2,IF($C140="现金",$G$2,0)))+SUMIFS($I$5:$I140,$C$5:$C140,$C140)-SUMIFS($J$5:$J140,$C$5:$C140,$C140))</f>
        <v/>
      </c>
      <c r="L140" s="36" t="str">
        <f aca="false">IF($B140="","",$C$2+$E$2+$G$2+SUM($I$5:$I140)-SUM($J$5:$J140))</f>
        <v/>
      </c>
      <c r="M140" s="24"/>
      <c r="N140" s="33" t="str">
        <f aca="false">IF($B140="","",IF(NOT(ISNUMBER($B140)),"日期格式不对",IF($C140="","未选资金账户",IF(AND(N($I140)=0,N($J140)=0),"收支都为空",IF(AND(N($I140)&gt;0,N($J140)&gt;0),"收支不能同时填",IF(AND($D140&lt;&gt;"",LEFT($O140,1)="⚠"),"项目编号不存在",IF(AND($M140="是",$F140=""),"工程回款必须填往来单位","√")))))))</f>
        <v/>
      </c>
      <c r="O140" s="34" t="str">
        <f aca="false">IF($D140="","",IFERROR(INDEX(项目档案!$B$6:$B$255,MATCH($D140,项目档案!$A$6:$A$255,0)),"⚠编号不存在"))</f>
        <v/>
      </c>
      <c r="P140" s="35" t="str">
        <f aca="false">IF($B140="","",TEXT($B140,"yyyy-mm"))</f>
        <v/>
      </c>
    </row>
    <row r="141" customFormat="false" ht="15.75" hidden="false" customHeight="true" outlineLevel="0" collapsed="false">
      <c r="A141" s="32" t="str">
        <f aca="false">IF($B141="","",ROW()-4)</f>
        <v/>
      </c>
      <c r="B141" s="26"/>
      <c r="C141" s="21"/>
      <c r="D141" s="24"/>
      <c r="E141" s="21"/>
      <c r="F141" s="24"/>
      <c r="G141" s="21"/>
      <c r="H141" s="22"/>
      <c r="I141" s="27"/>
      <c r="J141" s="27"/>
      <c r="K141" s="36" t="str">
        <f aca="false">IF($B141="","",IF($C141="泓普",$C$2,IF($C141="仟茂",$E$2,IF($C141="现金",$G$2,0)))+SUMIFS($I$5:$I141,$C$5:$C141,$C141)-SUMIFS($J$5:$J141,$C$5:$C141,$C141))</f>
        <v/>
      </c>
      <c r="L141" s="36" t="str">
        <f aca="false">IF($B141="","",$C$2+$E$2+$G$2+SUM($I$5:$I141)-SUM($J$5:$J141))</f>
        <v/>
      </c>
      <c r="M141" s="24"/>
      <c r="N141" s="33" t="str">
        <f aca="false">IF($B141="","",IF(NOT(ISNUMBER($B141)),"日期格式不对",IF($C141="","未选资金账户",IF(AND(N($I141)=0,N($J141)=0),"收支都为空",IF(AND(N($I141)&gt;0,N($J141)&gt;0),"收支不能同时填",IF(AND($D141&lt;&gt;"",LEFT($O141,1)="⚠"),"项目编号不存在",IF(AND($M141="是",$F141=""),"工程回款必须填往来单位","√")))))))</f>
        <v/>
      </c>
      <c r="O141" s="34" t="str">
        <f aca="false">IF($D141="","",IFERROR(INDEX(项目档案!$B$6:$B$255,MATCH($D141,项目档案!$A$6:$A$255,0)),"⚠编号不存在"))</f>
        <v/>
      </c>
      <c r="P141" s="35" t="str">
        <f aca="false">IF($B141="","",TEXT($B141,"yyyy-mm"))</f>
        <v/>
      </c>
    </row>
    <row r="142" customFormat="false" ht="15.75" hidden="false" customHeight="true" outlineLevel="0" collapsed="false">
      <c r="A142" s="32" t="str">
        <f aca="false">IF($B142="","",ROW()-4)</f>
        <v/>
      </c>
      <c r="B142" s="26"/>
      <c r="C142" s="21"/>
      <c r="D142" s="24"/>
      <c r="E142" s="21"/>
      <c r="F142" s="24"/>
      <c r="G142" s="21"/>
      <c r="H142" s="22"/>
      <c r="I142" s="27"/>
      <c r="J142" s="27"/>
      <c r="K142" s="36" t="str">
        <f aca="false">IF($B142="","",IF($C142="泓普",$C$2,IF($C142="仟茂",$E$2,IF($C142="现金",$G$2,0)))+SUMIFS($I$5:$I142,$C$5:$C142,$C142)-SUMIFS($J$5:$J142,$C$5:$C142,$C142))</f>
        <v/>
      </c>
      <c r="L142" s="36" t="str">
        <f aca="false">IF($B142="","",$C$2+$E$2+$G$2+SUM($I$5:$I142)-SUM($J$5:$J142))</f>
        <v/>
      </c>
      <c r="M142" s="24"/>
      <c r="N142" s="33" t="str">
        <f aca="false">IF($B142="","",IF(NOT(ISNUMBER($B142)),"日期格式不对",IF($C142="","未选资金账户",IF(AND(N($I142)=0,N($J142)=0),"收支都为空",IF(AND(N($I142)&gt;0,N($J142)&gt;0),"收支不能同时填",IF(AND($D142&lt;&gt;"",LEFT($O142,1)="⚠"),"项目编号不存在",IF(AND($M142="是",$F142=""),"工程回款必须填往来单位","√")))))))</f>
        <v/>
      </c>
      <c r="O142" s="34" t="str">
        <f aca="false">IF($D142="","",IFERROR(INDEX(项目档案!$B$6:$B$255,MATCH($D142,项目档案!$A$6:$A$255,0)),"⚠编号不存在"))</f>
        <v/>
      </c>
      <c r="P142" s="35" t="str">
        <f aca="false">IF($B142="","",TEXT($B142,"yyyy-mm"))</f>
        <v/>
      </c>
    </row>
    <row r="143" customFormat="false" ht="15.75" hidden="false" customHeight="true" outlineLevel="0" collapsed="false">
      <c r="A143" s="32" t="str">
        <f aca="false">IF($B143="","",ROW()-4)</f>
        <v/>
      </c>
      <c r="B143" s="26"/>
      <c r="C143" s="21"/>
      <c r="D143" s="24"/>
      <c r="E143" s="21"/>
      <c r="F143" s="24"/>
      <c r="G143" s="21"/>
      <c r="H143" s="22"/>
      <c r="I143" s="27"/>
      <c r="J143" s="27"/>
      <c r="K143" s="36" t="str">
        <f aca="false">IF($B143="","",IF($C143="泓普",$C$2,IF($C143="仟茂",$E$2,IF($C143="现金",$G$2,0)))+SUMIFS($I$5:$I143,$C$5:$C143,$C143)-SUMIFS($J$5:$J143,$C$5:$C143,$C143))</f>
        <v/>
      </c>
      <c r="L143" s="36" t="str">
        <f aca="false">IF($B143="","",$C$2+$E$2+$G$2+SUM($I$5:$I143)-SUM($J$5:$J143))</f>
        <v/>
      </c>
      <c r="M143" s="24"/>
      <c r="N143" s="33" t="str">
        <f aca="false">IF($B143="","",IF(NOT(ISNUMBER($B143)),"日期格式不对",IF($C143="","未选资金账户",IF(AND(N($I143)=0,N($J143)=0),"收支都为空",IF(AND(N($I143)&gt;0,N($J143)&gt;0),"收支不能同时填",IF(AND($D143&lt;&gt;"",LEFT($O143,1)="⚠"),"项目编号不存在",IF(AND($M143="是",$F143=""),"工程回款必须填往来单位","√")))))))</f>
        <v/>
      </c>
      <c r="O143" s="34" t="str">
        <f aca="false">IF($D143="","",IFERROR(INDEX(项目档案!$B$6:$B$255,MATCH($D143,项目档案!$A$6:$A$255,0)),"⚠编号不存在"))</f>
        <v/>
      </c>
      <c r="P143" s="35" t="str">
        <f aca="false">IF($B143="","",TEXT($B143,"yyyy-mm"))</f>
        <v/>
      </c>
    </row>
    <row r="144" customFormat="false" ht="15.75" hidden="false" customHeight="true" outlineLevel="0" collapsed="false">
      <c r="A144" s="32" t="str">
        <f aca="false">IF($B144="","",ROW()-4)</f>
        <v/>
      </c>
      <c r="B144" s="26"/>
      <c r="C144" s="21"/>
      <c r="D144" s="24"/>
      <c r="E144" s="21"/>
      <c r="F144" s="24"/>
      <c r="G144" s="21"/>
      <c r="H144" s="22"/>
      <c r="I144" s="27"/>
      <c r="J144" s="27"/>
      <c r="K144" s="36" t="str">
        <f aca="false">IF($B144="","",IF($C144="泓普",$C$2,IF($C144="仟茂",$E$2,IF($C144="现金",$G$2,0)))+SUMIFS($I$5:$I144,$C$5:$C144,$C144)-SUMIFS($J$5:$J144,$C$5:$C144,$C144))</f>
        <v/>
      </c>
      <c r="L144" s="36" t="str">
        <f aca="false">IF($B144="","",$C$2+$E$2+$G$2+SUM($I$5:$I144)-SUM($J$5:$J144))</f>
        <v/>
      </c>
      <c r="M144" s="24"/>
      <c r="N144" s="33" t="str">
        <f aca="false">IF($B144="","",IF(NOT(ISNUMBER($B144)),"日期格式不对",IF($C144="","未选资金账户",IF(AND(N($I144)=0,N($J144)=0),"收支都为空",IF(AND(N($I144)&gt;0,N($J144)&gt;0),"收支不能同时填",IF(AND($D144&lt;&gt;"",LEFT($O144,1)="⚠"),"项目编号不存在",IF(AND($M144="是",$F144=""),"工程回款必须填往来单位","√")))))))</f>
        <v/>
      </c>
      <c r="O144" s="34" t="str">
        <f aca="false">IF($D144="","",IFERROR(INDEX(项目档案!$B$6:$B$255,MATCH($D144,项目档案!$A$6:$A$255,0)),"⚠编号不存在"))</f>
        <v/>
      </c>
      <c r="P144" s="35" t="str">
        <f aca="false">IF($B144="","",TEXT($B144,"yyyy-mm"))</f>
        <v/>
      </c>
    </row>
    <row r="145" customFormat="false" ht="15.75" hidden="false" customHeight="true" outlineLevel="0" collapsed="false">
      <c r="A145" s="32" t="str">
        <f aca="false">IF($B145="","",ROW()-4)</f>
        <v/>
      </c>
      <c r="B145" s="26"/>
      <c r="C145" s="21"/>
      <c r="D145" s="24"/>
      <c r="E145" s="21"/>
      <c r="F145" s="24"/>
      <c r="G145" s="21"/>
      <c r="H145" s="22"/>
      <c r="I145" s="27"/>
      <c r="J145" s="27"/>
      <c r="K145" s="36" t="str">
        <f aca="false">IF($B145="","",IF($C145="泓普",$C$2,IF($C145="仟茂",$E$2,IF($C145="现金",$G$2,0)))+SUMIFS($I$5:$I145,$C$5:$C145,$C145)-SUMIFS($J$5:$J145,$C$5:$C145,$C145))</f>
        <v/>
      </c>
      <c r="L145" s="36" t="str">
        <f aca="false">IF($B145="","",$C$2+$E$2+$G$2+SUM($I$5:$I145)-SUM($J$5:$J145))</f>
        <v/>
      </c>
      <c r="M145" s="24"/>
      <c r="N145" s="33" t="str">
        <f aca="false">IF($B145="","",IF(NOT(ISNUMBER($B145)),"日期格式不对",IF($C145="","未选资金账户",IF(AND(N($I145)=0,N($J145)=0),"收支都为空",IF(AND(N($I145)&gt;0,N($J145)&gt;0),"收支不能同时填",IF(AND($D145&lt;&gt;"",LEFT($O145,1)="⚠"),"项目编号不存在",IF(AND($M145="是",$F145=""),"工程回款必须填往来单位","√")))))))</f>
        <v/>
      </c>
      <c r="O145" s="34" t="str">
        <f aca="false">IF($D145="","",IFERROR(INDEX(项目档案!$B$6:$B$255,MATCH($D145,项目档案!$A$6:$A$255,0)),"⚠编号不存在"))</f>
        <v/>
      </c>
      <c r="P145" s="35" t="str">
        <f aca="false">IF($B145="","",TEXT($B145,"yyyy-mm"))</f>
        <v/>
      </c>
    </row>
    <row r="146" customFormat="false" ht="15.75" hidden="false" customHeight="true" outlineLevel="0" collapsed="false">
      <c r="A146" s="32" t="str">
        <f aca="false">IF($B146="","",ROW()-4)</f>
        <v/>
      </c>
      <c r="B146" s="26"/>
      <c r="C146" s="21"/>
      <c r="D146" s="24"/>
      <c r="E146" s="21"/>
      <c r="F146" s="24"/>
      <c r="G146" s="21"/>
      <c r="H146" s="22"/>
      <c r="I146" s="27"/>
      <c r="J146" s="27"/>
      <c r="K146" s="36" t="str">
        <f aca="false">IF($B146="","",IF($C146="泓普",$C$2,IF($C146="仟茂",$E$2,IF($C146="现金",$G$2,0)))+SUMIFS($I$5:$I146,$C$5:$C146,$C146)-SUMIFS($J$5:$J146,$C$5:$C146,$C146))</f>
        <v/>
      </c>
      <c r="L146" s="36" t="str">
        <f aca="false">IF($B146="","",$C$2+$E$2+$G$2+SUM($I$5:$I146)-SUM($J$5:$J146))</f>
        <v/>
      </c>
      <c r="M146" s="24"/>
      <c r="N146" s="33" t="str">
        <f aca="false">IF($B146="","",IF(NOT(ISNUMBER($B146)),"日期格式不对",IF($C146="","未选资金账户",IF(AND(N($I146)=0,N($J146)=0),"收支都为空",IF(AND(N($I146)&gt;0,N($J146)&gt;0),"收支不能同时填",IF(AND($D146&lt;&gt;"",LEFT($O146,1)="⚠"),"项目编号不存在",IF(AND($M146="是",$F146=""),"工程回款必须填往来单位","√")))))))</f>
        <v/>
      </c>
      <c r="O146" s="34" t="str">
        <f aca="false">IF($D146="","",IFERROR(INDEX(项目档案!$B$6:$B$255,MATCH($D146,项目档案!$A$6:$A$255,0)),"⚠编号不存在"))</f>
        <v/>
      </c>
      <c r="P146" s="35" t="str">
        <f aca="false">IF($B146="","",TEXT($B146,"yyyy-mm"))</f>
        <v/>
      </c>
    </row>
    <row r="147" customFormat="false" ht="15.75" hidden="false" customHeight="true" outlineLevel="0" collapsed="false">
      <c r="A147" s="32" t="str">
        <f aca="false">IF($B147="","",ROW()-4)</f>
        <v/>
      </c>
      <c r="B147" s="26"/>
      <c r="C147" s="21"/>
      <c r="D147" s="24"/>
      <c r="E147" s="21"/>
      <c r="F147" s="24"/>
      <c r="G147" s="21"/>
      <c r="H147" s="22"/>
      <c r="I147" s="27"/>
      <c r="J147" s="27"/>
      <c r="K147" s="36" t="str">
        <f aca="false">IF($B147="","",IF($C147="泓普",$C$2,IF($C147="仟茂",$E$2,IF($C147="现金",$G$2,0)))+SUMIFS($I$5:$I147,$C$5:$C147,$C147)-SUMIFS($J$5:$J147,$C$5:$C147,$C147))</f>
        <v/>
      </c>
      <c r="L147" s="36" t="str">
        <f aca="false">IF($B147="","",$C$2+$E$2+$G$2+SUM($I$5:$I147)-SUM($J$5:$J147))</f>
        <v/>
      </c>
      <c r="M147" s="24"/>
      <c r="N147" s="33" t="str">
        <f aca="false">IF($B147="","",IF(NOT(ISNUMBER($B147)),"日期格式不对",IF($C147="","未选资金账户",IF(AND(N($I147)=0,N($J147)=0),"收支都为空",IF(AND(N($I147)&gt;0,N($J147)&gt;0),"收支不能同时填",IF(AND($D147&lt;&gt;"",LEFT($O147,1)="⚠"),"项目编号不存在",IF(AND($M147="是",$F147=""),"工程回款必须填往来单位","√")))))))</f>
        <v/>
      </c>
      <c r="O147" s="34" t="str">
        <f aca="false">IF($D147="","",IFERROR(INDEX(项目档案!$B$6:$B$255,MATCH($D147,项目档案!$A$6:$A$255,0)),"⚠编号不存在"))</f>
        <v/>
      </c>
      <c r="P147" s="35" t="str">
        <f aca="false">IF($B147="","",TEXT($B147,"yyyy-mm"))</f>
        <v/>
      </c>
    </row>
    <row r="148" customFormat="false" ht="15.75" hidden="false" customHeight="true" outlineLevel="0" collapsed="false">
      <c r="A148" s="32" t="str">
        <f aca="false">IF($B148="","",ROW()-4)</f>
        <v/>
      </c>
      <c r="B148" s="26"/>
      <c r="C148" s="21"/>
      <c r="D148" s="24"/>
      <c r="E148" s="21"/>
      <c r="F148" s="24"/>
      <c r="G148" s="21"/>
      <c r="H148" s="22"/>
      <c r="I148" s="27"/>
      <c r="J148" s="27"/>
      <c r="K148" s="36" t="str">
        <f aca="false">IF($B148="","",IF($C148="泓普",$C$2,IF($C148="仟茂",$E$2,IF($C148="现金",$G$2,0)))+SUMIFS($I$5:$I148,$C$5:$C148,$C148)-SUMIFS($J$5:$J148,$C$5:$C148,$C148))</f>
        <v/>
      </c>
      <c r="L148" s="36" t="str">
        <f aca="false">IF($B148="","",$C$2+$E$2+$G$2+SUM($I$5:$I148)-SUM($J$5:$J148))</f>
        <v/>
      </c>
      <c r="M148" s="24"/>
      <c r="N148" s="33" t="str">
        <f aca="false">IF($B148="","",IF(NOT(ISNUMBER($B148)),"日期格式不对",IF($C148="","未选资金账户",IF(AND(N($I148)=0,N($J148)=0),"收支都为空",IF(AND(N($I148)&gt;0,N($J148)&gt;0),"收支不能同时填",IF(AND($D148&lt;&gt;"",LEFT($O148,1)="⚠"),"项目编号不存在",IF(AND($M148="是",$F148=""),"工程回款必须填往来单位","√")))))))</f>
        <v/>
      </c>
      <c r="O148" s="34" t="str">
        <f aca="false">IF($D148="","",IFERROR(INDEX(项目档案!$B$6:$B$255,MATCH($D148,项目档案!$A$6:$A$255,0)),"⚠编号不存在"))</f>
        <v/>
      </c>
      <c r="P148" s="35" t="str">
        <f aca="false">IF($B148="","",TEXT($B148,"yyyy-mm"))</f>
        <v/>
      </c>
    </row>
    <row r="149" customFormat="false" ht="15.75" hidden="false" customHeight="true" outlineLevel="0" collapsed="false">
      <c r="A149" s="32" t="str">
        <f aca="false">IF($B149="","",ROW()-4)</f>
        <v/>
      </c>
      <c r="B149" s="26"/>
      <c r="C149" s="21"/>
      <c r="D149" s="24"/>
      <c r="E149" s="21"/>
      <c r="F149" s="24"/>
      <c r="G149" s="21"/>
      <c r="H149" s="22"/>
      <c r="I149" s="27"/>
      <c r="J149" s="27"/>
      <c r="K149" s="36" t="str">
        <f aca="false">IF($B149="","",IF($C149="泓普",$C$2,IF($C149="仟茂",$E$2,IF($C149="现金",$G$2,0)))+SUMIFS($I$5:$I149,$C$5:$C149,$C149)-SUMIFS($J$5:$J149,$C$5:$C149,$C149))</f>
        <v/>
      </c>
      <c r="L149" s="36" t="str">
        <f aca="false">IF($B149="","",$C$2+$E$2+$G$2+SUM($I$5:$I149)-SUM($J$5:$J149))</f>
        <v/>
      </c>
      <c r="M149" s="24"/>
      <c r="N149" s="33" t="str">
        <f aca="false">IF($B149="","",IF(NOT(ISNUMBER($B149)),"日期格式不对",IF($C149="","未选资金账户",IF(AND(N($I149)=0,N($J149)=0),"收支都为空",IF(AND(N($I149)&gt;0,N($J149)&gt;0),"收支不能同时填",IF(AND($D149&lt;&gt;"",LEFT($O149,1)="⚠"),"项目编号不存在",IF(AND($M149="是",$F149=""),"工程回款必须填往来单位","√")))))))</f>
        <v/>
      </c>
      <c r="O149" s="34" t="str">
        <f aca="false">IF($D149="","",IFERROR(INDEX(项目档案!$B$6:$B$255,MATCH($D149,项目档案!$A$6:$A$255,0)),"⚠编号不存在"))</f>
        <v/>
      </c>
      <c r="P149" s="35" t="str">
        <f aca="false">IF($B149="","",TEXT($B149,"yyyy-mm"))</f>
        <v/>
      </c>
    </row>
    <row r="150" customFormat="false" ht="15.75" hidden="false" customHeight="true" outlineLevel="0" collapsed="false">
      <c r="A150" s="32" t="str">
        <f aca="false">IF($B150="","",ROW()-4)</f>
        <v/>
      </c>
      <c r="B150" s="26"/>
      <c r="C150" s="21"/>
      <c r="D150" s="24"/>
      <c r="E150" s="21"/>
      <c r="F150" s="24"/>
      <c r="G150" s="21"/>
      <c r="H150" s="22"/>
      <c r="I150" s="27"/>
      <c r="J150" s="27"/>
      <c r="K150" s="36" t="str">
        <f aca="false">IF($B150="","",IF($C150="泓普",$C$2,IF($C150="仟茂",$E$2,IF($C150="现金",$G$2,0)))+SUMIFS($I$5:$I150,$C$5:$C150,$C150)-SUMIFS($J$5:$J150,$C$5:$C150,$C150))</f>
        <v/>
      </c>
      <c r="L150" s="36" t="str">
        <f aca="false">IF($B150="","",$C$2+$E$2+$G$2+SUM($I$5:$I150)-SUM($J$5:$J150))</f>
        <v/>
      </c>
      <c r="M150" s="24"/>
      <c r="N150" s="33" t="str">
        <f aca="false">IF($B150="","",IF(NOT(ISNUMBER($B150)),"日期格式不对",IF($C150="","未选资金账户",IF(AND(N($I150)=0,N($J150)=0),"收支都为空",IF(AND(N($I150)&gt;0,N($J150)&gt;0),"收支不能同时填",IF(AND($D150&lt;&gt;"",LEFT($O150,1)="⚠"),"项目编号不存在",IF(AND($M150="是",$F150=""),"工程回款必须填往来单位","√")))))))</f>
        <v/>
      </c>
      <c r="O150" s="34" t="str">
        <f aca="false">IF($D150="","",IFERROR(INDEX(项目档案!$B$6:$B$255,MATCH($D150,项目档案!$A$6:$A$255,0)),"⚠编号不存在"))</f>
        <v/>
      </c>
      <c r="P150" s="35" t="str">
        <f aca="false">IF($B150="","",TEXT($B150,"yyyy-mm"))</f>
        <v/>
      </c>
    </row>
    <row r="151" customFormat="false" ht="15.75" hidden="false" customHeight="true" outlineLevel="0" collapsed="false">
      <c r="A151" s="32" t="str">
        <f aca="false">IF($B151="","",ROW()-4)</f>
        <v/>
      </c>
      <c r="B151" s="26"/>
      <c r="C151" s="21"/>
      <c r="D151" s="24"/>
      <c r="E151" s="21"/>
      <c r="F151" s="24"/>
      <c r="G151" s="21"/>
      <c r="H151" s="22"/>
      <c r="I151" s="27"/>
      <c r="J151" s="27"/>
      <c r="K151" s="36" t="str">
        <f aca="false">IF($B151="","",IF($C151="泓普",$C$2,IF($C151="仟茂",$E$2,IF($C151="现金",$G$2,0)))+SUMIFS($I$5:$I151,$C$5:$C151,$C151)-SUMIFS($J$5:$J151,$C$5:$C151,$C151))</f>
        <v/>
      </c>
      <c r="L151" s="36" t="str">
        <f aca="false">IF($B151="","",$C$2+$E$2+$G$2+SUM($I$5:$I151)-SUM($J$5:$J151))</f>
        <v/>
      </c>
      <c r="M151" s="24"/>
      <c r="N151" s="33" t="str">
        <f aca="false">IF($B151="","",IF(NOT(ISNUMBER($B151)),"日期格式不对",IF($C151="","未选资金账户",IF(AND(N($I151)=0,N($J151)=0),"收支都为空",IF(AND(N($I151)&gt;0,N($J151)&gt;0),"收支不能同时填",IF(AND($D151&lt;&gt;"",LEFT($O151,1)="⚠"),"项目编号不存在",IF(AND($M151="是",$F151=""),"工程回款必须填往来单位","√")))))))</f>
        <v/>
      </c>
      <c r="O151" s="34" t="str">
        <f aca="false">IF($D151="","",IFERROR(INDEX(项目档案!$B$6:$B$255,MATCH($D151,项目档案!$A$6:$A$255,0)),"⚠编号不存在"))</f>
        <v/>
      </c>
      <c r="P151" s="35" t="str">
        <f aca="false">IF($B151="","",TEXT($B151,"yyyy-mm"))</f>
        <v/>
      </c>
    </row>
    <row r="152" customFormat="false" ht="15.75" hidden="false" customHeight="true" outlineLevel="0" collapsed="false">
      <c r="A152" s="32" t="str">
        <f aca="false">IF($B152="","",ROW()-4)</f>
        <v/>
      </c>
      <c r="B152" s="26"/>
      <c r="C152" s="21"/>
      <c r="D152" s="24"/>
      <c r="E152" s="21"/>
      <c r="F152" s="24"/>
      <c r="G152" s="21"/>
      <c r="H152" s="22"/>
      <c r="I152" s="27"/>
      <c r="J152" s="27"/>
      <c r="K152" s="36" t="str">
        <f aca="false">IF($B152="","",IF($C152="泓普",$C$2,IF($C152="仟茂",$E$2,IF($C152="现金",$G$2,0)))+SUMIFS($I$5:$I152,$C$5:$C152,$C152)-SUMIFS($J$5:$J152,$C$5:$C152,$C152))</f>
        <v/>
      </c>
      <c r="L152" s="36" t="str">
        <f aca="false">IF($B152="","",$C$2+$E$2+$G$2+SUM($I$5:$I152)-SUM($J$5:$J152))</f>
        <v/>
      </c>
      <c r="M152" s="24"/>
      <c r="N152" s="33" t="str">
        <f aca="false">IF($B152="","",IF(NOT(ISNUMBER($B152)),"日期格式不对",IF($C152="","未选资金账户",IF(AND(N($I152)=0,N($J152)=0),"收支都为空",IF(AND(N($I152)&gt;0,N($J152)&gt;0),"收支不能同时填",IF(AND($D152&lt;&gt;"",LEFT($O152,1)="⚠"),"项目编号不存在",IF(AND($M152="是",$F152=""),"工程回款必须填往来单位","√")))))))</f>
        <v/>
      </c>
      <c r="O152" s="34" t="str">
        <f aca="false">IF($D152="","",IFERROR(INDEX(项目档案!$B$6:$B$255,MATCH($D152,项目档案!$A$6:$A$255,0)),"⚠编号不存在"))</f>
        <v/>
      </c>
      <c r="P152" s="35" t="str">
        <f aca="false">IF($B152="","",TEXT($B152,"yyyy-mm"))</f>
        <v/>
      </c>
    </row>
    <row r="153" customFormat="false" ht="15.75" hidden="false" customHeight="true" outlineLevel="0" collapsed="false">
      <c r="A153" s="32" t="str">
        <f aca="false">IF($B153="","",ROW()-4)</f>
        <v/>
      </c>
      <c r="B153" s="26"/>
      <c r="C153" s="21"/>
      <c r="D153" s="24"/>
      <c r="E153" s="21"/>
      <c r="F153" s="24"/>
      <c r="G153" s="21"/>
      <c r="H153" s="22"/>
      <c r="I153" s="27"/>
      <c r="J153" s="27"/>
      <c r="K153" s="36" t="str">
        <f aca="false">IF($B153="","",IF($C153="泓普",$C$2,IF($C153="仟茂",$E$2,IF($C153="现金",$G$2,0)))+SUMIFS($I$5:$I153,$C$5:$C153,$C153)-SUMIFS($J$5:$J153,$C$5:$C153,$C153))</f>
        <v/>
      </c>
      <c r="L153" s="36" t="str">
        <f aca="false">IF($B153="","",$C$2+$E$2+$G$2+SUM($I$5:$I153)-SUM($J$5:$J153))</f>
        <v/>
      </c>
      <c r="M153" s="24"/>
      <c r="N153" s="33" t="str">
        <f aca="false">IF($B153="","",IF(NOT(ISNUMBER($B153)),"日期格式不对",IF($C153="","未选资金账户",IF(AND(N($I153)=0,N($J153)=0),"收支都为空",IF(AND(N($I153)&gt;0,N($J153)&gt;0),"收支不能同时填",IF(AND($D153&lt;&gt;"",LEFT($O153,1)="⚠"),"项目编号不存在",IF(AND($M153="是",$F153=""),"工程回款必须填往来单位","√")))))))</f>
        <v/>
      </c>
      <c r="O153" s="34" t="str">
        <f aca="false">IF($D153="","",IFERROR(INDEX(项目档案!$B$6:$B$255,MATCH($D153,项目档案!$A$6:$A$255,0)),"⚠编号不存在"))</f>
        <v/>
      </c>
      <c r="P153" s="35" t="str">
        <f aca="false">IF($B153="","",TEXT($B153,"yyyy-mm"))</f>
        <v/>
      </c>
    </row>
    <row r="154" customFormat="false" ht="15.75" hidden="false" customHeight="true" outlineLevel="0" collapsed="false">
      <c r="A154" s="32" t="str">
        <f aca="false">IF($B154="","",ROW()-4)</f>
        <v/>
      </c>
      <c r="B154" s="26"/>
      <c r="C154" s="21"/>
      <c r="D154" s="24"/>
      <c r="E154" s="21"/>
      <c r="F154" s="24"/>
      <c r="G154" s="21"/>
      <c r="H154" s="22"/>
      <c r="I154" s="27"/>
      <c r="J154" s="27"/>
      <c r="K154" s="36" t="str">
        <f aca="false">IF($B154="","",IF($C154="泓普",$C$2,IF($C154="仟茂",$E$2,IF($C154="现金",$G$2,0)))+SUMIFS($I$5:$I154,$C$5:$C154,$C154)-SUMIFS($J$5:$J154,$C$5:$C154,$C154))</f>
        <v/>
      </c>
      <c r="L154" s="36" t="str">
        <f aca="false">IF($B154="","",$C$2+$E$2+$G$2+SUM($I$5:$I154)-SUM($J$5:$J154))</f>
        <v/>
      </c>
      <c r="M154" s="24"/>
      <c r="N154" s="33" t="str">
        <f aca="false">IF($B154="","",IF(NOT(ISNUMBER($B154)),"日期格式不对",IF($C154="","未选资金账户",IF(AND(N($I154)=0,N($J154)=0),"收支都为空",IF(AND(N($I154)&gt;0,N($J154)&gt;0),"收支不能同时填",IF(AND($D154&lt;&gt;"",LEFT($O154,1)="⚠"),"项目编号不存在",IF(AND($M154="是",$F154=""),"工程回款必须填往来单位","√")))))))</f>
        <v/>
      </c>
      <c r="O154" s="34" t="str">
        <f aca="false">IF($D154="","",IFERROR(INDEX(项目档案!$B$6:$B$255,MATCH($D154,项目档案!$A$6:$A$255,0)),"⚠编号不存在"))</f>
        <v/>
      </c>
      <c r="P154" s="35" t="str">
        <f aca="false">IF($B154="","",TEXT($B154,"yyyy-mm"))</f>
        <v/>
      </c>
    </row>
    <row r="155" customFormat="false" ht="15.75" hidden="false" customHeight="true" outlineLevel="0" collapsed="false">
      <c r="A155" s="32" t="str">
        <f aca="false">IF($B155="","",ROW()-4)</f>
        <v/>
      </c>
      <c r="B155" s="26"/>
      <c r="C155" s="21"/>
      <c r="D155" s="24"/>
      <c r="E155" s="21"/>
      <c r="F155" s="24"/>
      <c r="G155" s="21"/>
      <c r="H155" s="22"/>
      <c r="I155" s="27"/>
      <c r="J155" s="27"/>
      <c r="K155" s="36" t="str">
        <f aca="false">IF($B155="","",IF($C155="泓普",$C$2,IF($C155="仟茂",$E$2,IF($C155="现金",$G$2,0)))+SUMIFS($I$5:$I155,$C$5:$C155,$C155)-SUMIFS($J$5:$J155,$C$5:$C155,$C155))</f>
        <v/>
      </c>
      <c r="L155" s="36" t="str">
        <f aca="false">IF($B155="","",$C$2+$E$2+$G$2+SUM($I$5:$I155)-SUM($J$5:$J155))</f>
        <v/>
      </c>
      <c r="M155" s="24"/>
      <c r="N155" s="33" t="str">
        <f aca="false">IF($B155="","",IF(NOT(ISNUMBER($B155)),"日期格式不对",IF($C155="","未选资金账户",IF(AND(N($I155)=0,N($J155)=0),"收支都为空",IF(AND(N($I155)&gt;0,N($J155)&gt;0),"收支不能同时填",IF(AND($D155&lt;&gt;"",LEFT($O155,1)="⚠"),"项目编号不存在",IF(AND($M155="是",$F155=""),"工程回款必须填往来单位","√")))))))</f>
        <v/>
      </c>
      <c r="O155" s="34" t="str">
        <f aca="false">IF($D155="","",IFERROR(INDEX(项目档案!$B$6:$B$255,MATCH($D155,项目档案!$A$6:$A$255,0)),"⚠编号不存在"))</f>
        <v/>
      </c>
      <c r="P155" s="35" t="str">
        <f aca="false">IF($B155="","",TEXT($B155,"yyyy-mm"))</f>
        <v/>
      </c>
    </row>
    <row r="156" customFormat="false" ht="15.75" hidden="false" customHeight="true" outlineLevel="0" collapsed="false">
      <c r="A156" s="32" t="str">
        <f aca="false">IF($B156="","",ROW()-4)</f>
        <v/>
      </c>
      <c r="B156" s="26"/>
      <c r="C156" s="21"/>
      <c r="D156" s="24"/>
      <c r="E156" s="21"/>
      <c r="F156" s="24"/>
      <c r="G156" s="21"/>
      <c r="H156" s="22"/>
      <c r="I156" s="27"/>
      <c r="J156" s="27"/>
      <c r="K156" s="36" t="str">
        <f aca="false">IF($B156="","",IF($C156="泓普",$C$2,IF($C156="仟茂",$E$2,IF($C156="现金",$G$2,0)))+SUMIFS($I$5:$I156,$C$5:$C156,$C156)-SUMIFS($J$5:$J156,$C$5:$C156,$C156))</f>
        <v/>
      </c>
      <c r="L156" s="36" t="str">
        <f aca="false">IF($B156="","",$C$2+$E$2+$G$2+SUM($I$5:$I156)-SUM($J$5:$J156))</f>
        <v/>
      </c>
      <c r="M156" s="24"/>
      <c r="N156" s="33" t="str">
        <f aca="false">IF($B156="","",IF(NOT(ISNUMBER($B156)),"日期格式不对",IF($C156="","未选资金账户",IF(AND(N($I156)=0,N($J156)=0),"收支都为空",IF(AND(N($I156)&gt;0,N($J156)&gt;0),"收支不能同时填",IF(AND($D156&lt;&gt;"",LEFT($O156,1)="⚠"),"项目编号不存在",IF(AND($M156="是",$F156=""),"工程回款必须填往来单位","√")))))))</f>
        <v/>
      </c>
      <c r="O156" s="34" t="str">
        <f aca="false">IF($D156="","",IFERROR(INDEX(项目档案!$B$6:$B$255,MATCH($D156,项目档案!$A$6:$A$255,0)),"⚠编号不存在"))</f>
        <v/>
      </c>
      <c r="P156" s="35" t="str">
        <f aca="false">IF($B156="","",TEXT($B156,"yyyy-mm"))</f>
        <v/>
      </c>
    </row>
    <row r="157" customFormat="false" ht="15.75" hidden="false" customHeight="true" outlineLevel="0" collapsed="false">
      <c r="A157" s="32" t="str">
        <f aca="false">IF($B157="","",ROW()-4)</f>
        <v/>
      </c>
      <c r="B157" s="26"/>
      <c r="C157" s="21"/>
      <c r="D157" s="24"/>
      <c r="E157" s="21"/>
      <c r="F157" s="24"/>
      <c r="G157" s="21"/>
      <c r="H157" s="22"/>
      <c r="I157" s="27"/>
      <c r="J157" s="27"/>
      <c r="K157" s="36" t="str">
        <f aca="false">IF($B157="","",IF($C157="泓普",$C$2,IF($C157="仟茂",$E$2,IF($C157="现金",$G$2,0)))+SUMIFS($I$5:$I157,$C$5:$C157,$C157)-SUMIFS($J$5:$J157,$C$5:$C157,$C157))</f>
        <v/>
      </c>
      <c r="L157" s="36" t="str">
        <f aca="false">IF($B157="","",$C$2+$E$2+$G$2+SUM($I$5:$I157)-SUM($J$5:$J157))</f>
        <v/>
      </c>
      <c r="M157" s="24"/>
      <c r="N157" s="33" t="str">
        <f aca="false">IF($B157="","",IF(NOT(ISNUMBER($B157)),"日期格式不对",IF($C157="","未选资金账户",IF(AND(N($I157)=0,N($J157)=0),"收支都为空",IF(AND(N($I157)&gt;0,N($J157)&gt;0),"收支不能同时填",IF(AND($D157&lt;&gt;"",LEFT($O157,1)="⚠"),"项目编号不存在",IF(AND($M157="是",$F157=""),"工程回款必须填往来单位","√")))))))</f>
        <v/>
      </c>
      <c r="O157" s="34" t="str">
        <f aca="false">IF($D157="","",IFERROR(INDEX(项目档案!$B$6:$B$255,MATCH($D157,项目档案!$A$6:$A$255,0)),"⚠编号不存在"))</f>
        <v/>
      </c>
      <c r="P157" s="35" t="str">
        <f aca="false">IF($B157="","",TEXT($B157,"yyyy-mm"))</f>
        <v/>
      </c>
    </row>
    <row r="158" customFormat="false" ht="15.75" hidden="false" customHeight="true" outlineLevel="0" collapsed="false">
      <c r="A158" s="32" t="str">
        <f aca="false">IF($B158="","",ROW()-4)</f>
        <v/>
      </c>
      <c r="B158" s="26"/>
      <c r="C158" s="21"/>
      <c r="D158" s="24"/>
      <c r="E158" s="21"/>
      <c r="F158" s="24"/>
      <c r="G158" s="21"/>
      <c r="H158" s="22"/>
      <c r="I158" s="27"/>
      <c r="J158" s="27"/>
      <c r="K158" s="36" t="str">
        <f aca="false">IF($B158="","",IF($C158="泓普",$C$2,IF($C158="仟茂",$E$2,IF($C158="现金",$G$2,0)))+SUMIFS($I$5:$I158,$C$5:$C158,$C158)-SUMIFS($J$5:$J158,$C$5:$C158,$C158))</f>
        <v/>
      </c>
      <c r="L158" s="36" t="str">
        <f aca="false">IF($B158="","",$C$2+$E$2+$G$2+SUM($I$5:$I158)-SUM($J$5:$J158))</f>
        <v/>
      </c>
      <c r="M158" s="24"/>
      <c r="N158" s="33" t="str">
        <f aca="false">IF($B158="","",IF(NOT(ISNUMBER($B158)),"日期格式不对",IF($C158="","未选资金账户",IF(AND(N($I158)=0,N($J158)=0),"收支都为空",IF(AND(N($I158)&gt;0,N($J158)&gt;0),"收支不能同时填",IF(AND($D158&lt;&gt;"",LEFT($O158,1)="⚠"),"项目编号不存在",IF(AND($M158="是",$F158=""),"工程回款必须填往来单位","√")))))))</f>
        <v/>
      </c>
      <c r="O158" s="34" t="str">
        <f aca="false">IF($D158="","",IFERROR(INDEX(项目档案!$B$6:$B$255,MATCH($D158,项目档案!$A$6:$A$255,0)),"⚠编号不存在"))</f>
        <v/>
      </c>
      <c r="P158" s="35" t="str">
        <f aca="false">IF($B158="","",TEXT($B158,"yyyy-mm"))</f>
        <v/>
      </c>
    </row>
    <row r="159" customFormat="false" ht="15.75" hidden="false" customHeight="true" outlineLevel="0" collapsed="false">
      <c r="A159" s="32" t="str">
        <f aca="false">IF($B159="","",ROW()-4)</f>
        <v/>
      </c>
      <c r="B159" s="26"/>
      <c r="C159" s="21"/>
      <c r="D159" s="24"/>
      <c r="E159" s="21"/>
      <c r="F159" s="24"/>
      <c r="G159" s="21"/>
      <c r="H159" s="22"/>
      <c r="I159" s="27"/>
      <c r="J159" s="27"/>
      <c r="K159" s="36" t="str">
        <f aca="false">IF($B159="","",IF($C159="泓普",$C$2,IF($C159="仟茂",$E$2,IF($C159="现金",$G$2,0)))+SUMIFS($I$5:$I159,$C$5:$C159,$C159)-SUMIFS($J$5:$J159,$C$5:$C159,$C159))</f>
        <v/>
      </c>
      <c r="L159" s="36" t="str">
        <f aca="false">IF($B159="","",$C$2+$E$2+$G$2+SUM($I$5:$I159)-SUM($J$5:$J159))</f>
        <v/>
      </c>
      <c r="M159" s="24"/>
      <c r="N159" s="33" t="str">
        <f aca="false">IF($B159="","",IF(NOT(ISNUMBER($B159)),"日期格式不对",IF($C159="","未选资金账户",IF(AND(N($I159)=0,N($J159)=0),"收支都为空",IF(AND(N($I159)&gt;0,N($J159)&gt;0),"收支不能同时填",IF(AND($D159&lt;&gt;"",LEFT($O159,1)="⚠"),"项目编号不存在",IF(AND($M159="是",$F159=""),"工程回款必须填往来单位","√")))))))</f>
        <v/>
      </c>
      <c r="O159" s="34" t="str">
        <f aca="false">IF($D159="","",IFERROR(INDEX(项目档案!$B$6:$B$255,MATCH($D159,项目档案!$A$6:$A$255,0)),"⚠编号不存在"))</f>
        <v/>
      </c>
      <c r="P159" s="35" t="str">
        <f aca="false">IF($B159="","",TEXT($B159,"yyyy-mm"))</f>
        <v/>
      </c>
    </row>
    <row r="160" customFormat="false" ht="15.75" hidden="false" customHeight="true" outlineLevel="0" collapsed="false">
      <c r="A160" s="32" t="str">
        <f aca="false">IF($B160="","",ROW()-4)</f>
        <v/>
      </c>
      <c r="B160" s="26"/>
      <c r="C160" s="21"/>
      <c r="D160" s="24"/>
      <c r="E160" s="21"/>
      <c r="F160" s="24"/>
      <c r="G160" s="21"/>
      <c r="H160" s="22"/>
      <c r="I160" s="27"/>
      <c r="J160" s="27"/>
      <c r="K160" s="36" t="str">
        <f aca="false">IF($B160="","",IF($C160="泓普",$C$2,IF($C160="仟茂",$E$2,IF($C160="现金",$G$2,0)))+SUMIFS($I$5:$I160,$C$5:$C160,$C160)-SUMIFS($J$5:$J160,$C$5:$C160,$C160))</f>
        <v/>
      </c>
      <c r="L160" s="36" t="str">
        <f aca="false">IF($B160="","",$C$2+$E$2+$G$2+SUM($I$5:$I160)-SUM($J$5:$J160))</f>
        <v/>
      </c>
      <c r="M160" s="24"/>
      <c r="N160" s="33" t="str">
        <f aca="false">IF($B160="","",IF(NOT(ISNUMBER($B160)),"日期格式不对",IF($C160="","未选资金账户",IF(AND(N($I160)=0,N($J160)=0),"收支都为空",IF(AND(N($I160)&gt;0,N($J160)&gt;0),"收支不能同时填",IF(AND($D160&lt;&gt;"",LEFT($O160,1)="⚠"),"项目编号不存在",IF(AND($M160="是",$F160=""),"工程回款必须填往来单位","√")))))))</f>
        <v/>
      </c>
      <c r="O160" s="34" t="str">
        <f aca="false">IF($D160="","",IFERROR(INDEX(项目档案!$B$6:$B$255,MATCH($D160,项目档案!$A$6:$A$255,0)),"⚠编号不存在"))</f>
        <v/>
      </c>
      <c r="P160" s="35" t="str">
        <f aca="false">IF($B160="","",TEXT($B160,"yyyy-mm"))</f>
        <v/>
      </c>
    </row>
    <row r="161" customFormat="false" ht="15.75" hidden="false" customHeight="true" outlineLevel="0" collapsed="false">
      <c r="A161" s="32" t="str">
        <f aca="false">IF($B161="","",ROW()-4)</f>
        <v/>
      </c>
      <c r="B161" s="26"/>
      <c r="C161" s="21"/>
      <c r="D161" s="24"/>
      <c r="E161" s="21"/>
      <c r="F161" s="24"/>
      <c r="G161" s="21"/>
      <c r="H161" s="22"/>
      <c r="I161" s="27"/>
      <c r="J161" s="27"/>
      <c r="K161" s="36" t="str">
        <f aca="false">IF($B161="","",IF($C161="泓普",$C$2,IF($C161="仟茂",$E$2,IF($C161="现金",$G$2,0)))+SUMIFS($I$5:$I161,$C$5:$C161,$C161)-SUMIFS($J$5:$J161,$C$5:$C161,$C161))</f>
        <v/>
      </c>
      <c r="L161" s="36" t="str">
        <f aca="false">IF($B161="","",$C$2+$E$2+$G$2+SUM($I$5:$I161)-SUM($J$5:$J161))</f>
        <v/>
      </c>
      <c r="M161" s="24"/>
      <c r="N161" s="33" t="str">
        <f aca="false">IF($B161="","",IF(NOT(ISNUMBER($B161)),"日期格式不对",IF($C161="","未选资金账户",IF(AND(N($I161)=0,N($J161)=0),"收支都为空",IF(AND(N($I161)&gt;0,N($J161)&gt;0),"收支不能同时填",IF(AND($D161&lt;&gt;"",LEFT($O161,1)="⚠"),"项目编号不存在",IF(AND($M161="是",$F161=""),"工程回款必须填往来单位","√")))))))</f>
        <v/>
      </c>
      <c r="O161" s="34" t="str">
        <f aca="false">IF($D161="","",IFERROR(INDEX(项目档案!$B$6:$B$255,MATCH($D161,项目档案!$A$6:$A$255,0)),"⚠编号不存在"))</f>
        <v/>
      </c>
      <c r="P161" s="35" t="str">
        <f aca="false">IF($B161="","",TEXT($B161,"yyyy-mm"))</f>
        <v/>
      </c>
    </row>
    <row r="162" customFormat="false" ht="15.75" hidden="false" customHeight="true" outlineLevel="0" collapsed="false">
      <c r="A162" s="32" t="str">
        <f aca="false">IF($B162="","",ROW()-4)</f>
        <v/>
      </c>
      <c r="B162" s="26"/>
      <c r="C162" s="21"/>
      <c r="D162" s="24"/>
      <c r="E162" s="21"/>
      <c r="F162" s="24"/>
      <c r="G162" s="21"/>
      <c r="H162" s="22"/>
      <c r="I162" s="27"/>
      <c r="J162" s="27"/>
      <c r="K162" s="36" t="str">
        <f aca="false">IF($B162="","",IF($C162="泓普",$C$2,IF($C162="仟茂",$E$2,IF($C162="现金",$G$2,0)))+SUMIFS($I$5:$I162,$C$5:$C162,$C162)-SUMIFS($J$5:$J162,$C$5:$C162,$C162))</f>
        <v/>
      </c>
      <c r="L162" s="36" t="str">
        <f aca="false">IF($B162="","",$C$2+$E$2+$G$2+SUM($I$5:$I162)-SUM($J$5:$J162))</f>
        <v/>
      </c>
      <c r="M162" s="24"/>
      <c r="N162" s="33" t="str">
        <f aca="false">IF($B162="","",IF(NOT(ISNUMBER($B162)),"日期格式不对",IF($C162="","未选资金账户",IF(AND(N($I162)=0,N($J162)=0),"收支都为空",IF(AND(N($I162)&gt;0,N($J162)&gt;0),"收支不能同时填",IF(AND($D162&lt;&gt;"",LEFT($O162,1)="⚠"),"项目编号不存在",IF(AND($M162="是",$F162=""),"工程回款必须填往来单位","√")))))))</f>
        <v/>
      </c>
      <c r="O162" s="34" t="str">
        <f aca="false">IF($D162="","",IFERROR(INDEX(项目档案!$B$6:$B$255,MATCH($D162,项目档案!$A$6:$A$255,0)),"⚠编号不存在"))</f>
        <v/>
      </c>
      <c r="P162" s="35" t="str">
        <f aca="false">IF($B162="","",TEXT($B162,"yyyy-mm"))</f>
        <v/>
      </c>
    </row>
    <row r="163" customFormat="false" ht="15.75" hidden="false" customHeight="true" outlineLevel="0" collapsed="false">
      <c r="A163" s="32" t="str">
        <f aca="false">IF($B163="","",ROW()-4)</f>
        <v/>
      </c>
      <c r="B163" s="26"/>
      <c r="C163" s="21"/>
      <c r="D163" s="24"/>
      <c r="E163" s="21"/>
      <c r="F163" s="24"/>
      <c r="G163" s="21"/>
      <c r="H163" s="22"/>
      <c r="I163" s="27"/>
      <c r="J163" s="27"/>
      <c r="K163" s="36" t="str">
        <f aca="false">IF($B163="","",IF($C163="泓普",$C$2,IF($C163="仟茂",$E$2,IF($C163="现金",$G$2,0)))+SUMIFS($I$5:$I163,$C$5:$C163,$C163)-SUMIFS($J$5:$J163,$C$5:$C163,$C163))</f>
        <v/>
      </c>
      <c r="L163" s="36" t="str">
        <f aca="false">IF($B163="","",$C$2+$E$2+$G$2+SUM($I$5:$I163)-SUM($J$5:$J163))</f>
        <v/>
      </c>
      <c r="M163" s="24"/>
      <c r="N163" s="33" t="str">
        <f aca="false">IF($B163="","",IF(NOT(ISNUMBER($B163)),"日期格式不对",IF($C163="","未选资金账户",IF(AND(N($I163)=0,N($J163)=0),"收支都为空",IF(AND(N($I163)&gt;0,N($J163)&gt;0),"收支不能同时填",IF(AND($D163&lt;&gt;"",LEFT($O163,1)="⚠"),"项目编号不存在",IF(AND($M163="是",$F163=""),"工程回款必须填往来单位","√")))))))</f>
        <v/>
      </c>
      <c r="O163" s="34" t="str">
        <f aca="false">IF($D163="","",IFERROR(INDEX(项目档案!$B$6:$B$255,MATCH($D163,项目档案!$A$6:$A$255,0)),"⚠编号不存在"))</f>
        <v/>
      </c>
      <c r="P163" s="35" t="str">
        <f aca="false">IF($B163="","",TEXT($B163,"yyyy-mm"))</f>
        <v/>
      </c>
    </row>
    <row r="164" customFormat="false" ht="15.75" hidden="false" customHeight="true" outlineLevel="0" collapsed="false">
      <c r="A164" s="32" t="str">
        <f aca="false">IF($B164="","",ROW()-4)</f>
        <v/>
      </c>
      <c r="B164" s="26"/>
      <c r="C164" s="21"/>
      <c r="D164" s="24"/>
      <c r="E164" s="21"/>
      <c r="F164" s="24"/>
      <c r="G164" s="21"/>
      <c r="H164" s="22"/>
      <c r="I164" s="27"/>
      <c r="J164" s="27"/>
      <c r="K164" s="36" t="str">
        <f aca="false">IF($B164="","",IF($C164="泓普",$C$2,IF($C164="仟茂",$E$2,IF($C164="现金",$G$2,0)))+SUMIFS($I$5:$I164,$C$5:$C164,$C164)-SUMIFS($J$5:$J164,$C$5:$C164,$C164))</f>
        <v/>
      </c>
      <c r="L164" s="36" t="str">
        <f aca="false">IF($B164="","",$C$2+$E$2+$G$2+SUM($I$5:$I164)-SUM($J$5:$J164))</f>
        <v/>
      </c>
      <c r="M164" s="24"/>
      <c r="N164" s="33" t="str">
        <f aca="false">IF($B164="","",IF(NOT(ISNUMBER($B164)),"日期格式不对",IF($C164="","未选资金账户",IF(AND(N($I164)=0,N($J164)=0),"收支都为空",IF(AND(N($I164)&gt;0,N($J164)&gt;0),"收支不能同时填",IF(AND($D164&lt;&gt;"",LEFT($O164,1)="⚠"),"项目编号不存在",IF(AND($M164="是",$F164=""),"工程回款必须填往来单位","√")))))))</f>
        <v/>
      </c>
      <c r="O164" s="34" t="str">
        <f aca="false">IF($D164="","",IFERROR(INDEX(项目档案!$B$6:$B$255,MATCH($D164,项目档案!$A$6:$A$255,0)),"⚠编号不存在"))</f>
        <v/>
      </c>
      <c r="P164" s="35" t="str">
        <f aca="false">IF($B164="","",TEXT($B164,"yyyy-mm"))</f>
        <v/>
      </c>
    </row>
    <row r="165" customFormat="false" ht="15.75" hidden="false" customHeight="true" outlineLevel="0" collapsed="false">
      <c r="A165" s="32" t="str">
        <f aca="false">IF($B165="","",ROW()-4)</f>
        <v/>
      </c>
      <c r="B165" s="26"/>
      <c r="C165" s="21"/>
      <c r="D165" s="24"/>
      <c r="E165" s="21"/>
      <c r="F165" s="24"/>
      <c r="G165" s="21"/>
      <c r="H165" s="22"/>
      <c r="I165" s="27"/>
      <c r="J165" s="27"/>
      <c r="K165" s="36" t="str">
        <f aca="false">IF($B165="","",IF($C165="泓普",$C$2,IF($C165="仟茂",$E$2,IF($C165="现金",$G$2,0)))+SUMIFS($I$5:$I165,$C$5:$C165,$C165)-SUMIFS($J$5:$J165,$C$5:$C165,$C165))</f>
        <v/>
      </c>
      <c r="L165" s="36" t="str">
        <f aca="false">IF($B165="","",$C$2+$E$2+$G$2+SUM($I$5:$I165)-SUM($J$5:$J165))</f>
        <v/>
      </c>
      <c r="M165" s="24"/>
      <c r="N165" s="33" t="str">
        <f aca="false">IF($B165="","",IF(NOT(ISNUMBER($B165)),"日期格式不对",IF($C165="","未选资金账户",IF(AND(N($I165)=0,N($J165)=0),"收支都为空",IF(AND(N($I165)&gt;0,N($J165)&gt;0),"收支不能同时填",IF(AND($D165&lt;&gt;"",LEFT($O165,1)="⚠"),"项目编号不存在",IF(AND($M165="是",$F165=""),"工程回款必须填往来单位","√")))))))</f>
        <v/>
      </c>
      <c r="O165" s="34" t="str">
        <f aca="false">IF($D165="","",IFERROR(INDEX(项目档案!$B$6:$B$255,MATCH($D165,项目档案!$A$6:$A$255,0)),"⚠编号不存在"))</f>
        <v/>
      </c>
      <c r="P165" s="35" t="str">
        <f aca="false">IF($B165="","",TEXT($B165,"yyyy-mm"))</f>
        <v/>
      </c>
    </row>
    <row r="166" customFormat="false" ht="15.75" hidden="false" customHeight="true" outlineLevel="0" collapsed="false">
      <c r="A166" s="32" t="str">
        <f aca="false">IF($B166="","",ROW()-4)</f>
        <v/>
      </c>
      <c r="B166" s="26"/>
      <c r="C166" s="21"/>
      <c r="D166" s="24"/>
      <c r="E166" s="21"/>
      <c r="F166" s="24"/>
      <c r="G166" s="21"/>
      <c r="H166" s="22"/>
      <c r="I166" s="27"/>
      <c r="J166" s="27"/>
      <c r="K166" s="36" t="str">
        <f aca="false">IF($B166="","",IF($C166="泓普",$C$2,IF($C166="仟茂",$E$2,IF($C166="现金",$G$2,0)))+SUMIFS($I$5:$I166,$C$5:$C166,$C166)-SUMIFS($J$5:$J166,$C$5:$C166,$C166))</f>
        <v/>
      </c>
      <c r="L166" s="36" t="str">
        <f aca="false">IF($B166="","",$C$2+$E$2+$G$2+SUM($I$5:$I166)-SUM($J$5:$J166))</f>
        <v/>
      </c>
      <c r="M166" s="24"/>
      <c r="N166" s="33" t="str">
        <f aca="false">IF($B166="","",IF(NOT(ISNUMBER($B166)),"日期格式不对",IF($C166="","未选资金账户",IF(AND(N($I166)=0,N($J166)=0),"收支都为空",IF(AND(N($I166)&gt;0,N($J166)&gt;0),"收支不能同时填",IF(AND($D166&lt;&gt;"",LEFT($O166,1)="⚠"),"项目编号不存在",IF(AND($M166="是",$F166=""),"工程回款必须填往来单位","√")))))))</f>
        <v/>
      </c>
      <c r="O166" s="34" t="str">
        <f aca="false">IF($D166="","",IFERROR(INDEX(项目档案!$B$6:$B$255,MATCH($D166,项目档案!$A$6:$A$255,0)),"⚠编号不存在"))</f>
        <v/>
      </c>
      <c r="P166" s="35" t="str">
        <f aca="false">IF($B166="","",TEXT($B166,"yyyy-mm"))</f>
        <v/>
      </c>
    </row>
    <row r="167" customFormat="false" ht="15.75" hidden="false" customHeight="true" outlineLevel="0" collapsed="false">
      <c r="A167" s="32" t="str">
        <f aca="false">IF($B167="","",ROW()-4)</f>
        <v/>
      </c>
      <c r="B167" s="26"/>
      <c r="C167" s="21"/>
      <c r="D167" s="24"/>
      <c r="E167" s="21"/>
      <c r="F167" s="24"/>
      <c r="G167" s="21"/>
      <c r="H167" s="22"/>
      <c r="I167" s="27"/>
      <c r="J167" s="27"/>
      <c r="K167" s="36" t="str">
        <f aca="false">IF($B167="","",IF($C167="泓普",$C$2,IF($C167="仟茂",$E$2,IF($C167="现金",$G$2,0)))+SUMIFS($I$5:$I167,$C$5:$C167,$C167)-SUMIFS($J$5:$J167,$C$5:$C167,$C167))</f>
        <v/>
      </c>
      <c r="L167" s="36" t="str">
        <f aca="false">IF($B167="","",$C$2+$E$2+$G$2+SUM($I$5:$I167)-SUM($J$5:$J167))</f>
        <v/>
      </c>
      <c r="M167" s="24"/>
      <c r="N167" s="33" t="str">
        <f aca="false">IF($B167="","",IF(NOT(ISNUMBER($B167)),"日期格式不对",IF($C167="","未选资金账户",IF(AND(N($I167)=0,N($J167)=0),"收支都为空",IF(AND(N($I167)&gt;0,N($J167)&gt;0),"收支不能同时填",IF(AND($D167&lt;&gt;"",LEFT($O167,1)="⚠"),"项目编号不存在",IF(AND($M167="是",$F167=""),"工程回款必须填往来单位","√")))))))</f>
        <v/>
      </c>
      <c r="O167" s="34" t="str">
        <f aca="false">IF($D167="","",IFERROR(INDEX(项目档案!$B$6:$B$255,MATCH($D167,项目档案!$A$6:$A$255,0)),"⚠编号不存在"))</f>
        <v/>
      </c>
      <c r="P167" s="35" t="str">
        <f aca="false">IF($B167="","",TEXT($B167,"yyyy-mm"))</f>
        <v/>
      </c>
    </row>
    <row r="168" customFormat="false" ht="15.75" hidden="false" customHeight="true" outlineLevel="0" collapsed="false">
      <c r="A168" s="32" t="str">
        <f aca="false">IF($B168="","",ROW()-4)</f>
        <v/>
      </c>
      <c r="B168" s="26"/>
      <c r="C168" s="21"/>
      <c r="D168" s="24"/>
      <c r="E168" s="21"/>
      <c r="F168" s="24"/>
      <c r="G168" s="21"/>
      <c r="H168" s="22"/>
      <c r="I168" s="27"/>
      <c r="J168" s="27"/>
      <c r="K168" s="36" t="str">
        <f aca="false">IF($B168="","",IF($C168="泓普",$C$2,IF($C168="仟茂",$E$2,IF($C168="现金",$G$2,0)))+SUMIFS($I$5:$I168,$C$5:$C168,$C168)-SUMIFS($J$5:$J168,$C$5:$C168,$C168))</f>
        <v/>
      </c>
      <c r="L168" s="36" t="str">
        <f aca="false">IF($B168="","",$C$2+$E$2+$G$2+SUM($I$5:$I168)-SUM($J$5:$J168))</f>
        <v/>
      </c>
      <c r="M168" s="24"/>
      <c r="N168" s="33" t="str">
        <f aca="false">IF($B168="","",IF(NOT(ISNUMBER($B168)),"日期格式不对",IF($C168="","未选资金账户",IF(AND(N($I168)=0,N($J168)=0),"收支都为空",IF(AND(N($I168)&gt;0,N($J168)&gt;0),"收支不能同时填",IF(AND($D168&lt;&gt;"",LEFT($O168,1)="⚠"),"项目编号不存在",IF(AND($M168="是",$F168=""),"工程回款必须填往来单位","√")))))))</f>
        <v/>
      </c>
      <c r="O168" s="34" t="str">
        <f aca="false">IF($D168="","",IFERROR(INDEX(项目档案!$B$6:$B$255,MATCH($D168,项目档案!$A$6:$A$255,0)),"⚠编号不存在"))</f>
        <v/>
      </c>
      <c r="P168" s="35" t="str">
        <f aca="false">IF($B168="","",TEXT($B168,"yyyy-mm"))</f>
        <v/>
      </c>
    </row>
    <row r="169" customFormat="false" ht="15.75" hidden="false" customHeight="true" outlineLevel="0" collapsed="false">
      <c r="A169" s="32" t="str">
        <f aca="false">IF($B169="","",ROW()-4)</f>
        <v/>
      </c>
      <c r="B169" s="26"/>
      <c r="C169" s="21"/>
      <c r="D169" s="24"/>
      <c r="E169" s="21"/>
      <c r="F169" s="24"/>
      <c r="G169" s="21"/>
      <c r="H169" s="22"/>
      <c r="I169" s="27"/>
      <c r="J169" s="27"/>
      <c r="K169" s="36" t="str">
        <f aca="false">IF($B169="","",IF($C169="泓普",$C$2,IF($C169="仟茂",$E$2,IF($C169="现金",$G$2,0)))+SUMIFS($I$5:$I169,$C$5:$C169,$C169)-SUMIFS($J$5:$J169,$C$5:$C169,$C169))</f>
        <v/>
      </c>
      <c r="L169" s="36" t="str">
        <f aca="false">IF($B169="","",$C$2+$E$2+$G$2+SUM($I$5:$I169)-SUM($J$5:$J169))</f>
        <v/>
      </c>
      <c r="M169" s="24"/>
      <c r="N169" s="33" t="str">
        <f aca="false">IF($B169="","",IF(NOT(ISNUMBER($B169)),"日期格式不对",IF($C169="","未选资金账户",IF(AND(N($I169)=0,N($J169)=0),"收支都为空",IF(AND(N($I169)&gt;0,N($J169)&gt;0),"收支不能同时填",IF(AND($D169&lt;&gt;"",LEFT($O169,1)="⚠"),"项目编号不存在",IF(AND($M169="是",$F169=""),"工程回款必须填往来单位","√")))))))</f>
        <v/>
      </c>
      <c r="O169" s="34" t="str">
        <f aca="false">IF($D169="","",IFERROR(INDEX(项目档案!$B$6:$B$255,MATCH($D169,项目档案!$A$6:$A$255,0)),"⚠编号不存在"))</f>
        <v/>
      </c>
      <c r="P169" s="35" t="str">
        <f aca="false">IF($B169="","",TEXT($B169,"yyyy-mm"))</f>
        <v/>
      </c>
    </row>
    <row r="170" customFormat="false" ht="15.75" hidden="false" customHeight="true" outlineLevel="0" collapsed="false">
      <c r="A170" s="32" t="str">
        <f aca="false">IF($B170="","",ROW()-4)</f>
        <v/>
      </c>
      <c r="B170" s="26"/>
      <c r="C170" s="21"/>
      <c r="D170" s="24"/>
      <c r="E170" s="21"/>
      <c r="F170" s="24"/>
      <c r="G170" s="21"/>
      <c r="H170" s="22"/>
      <c r="I170" s="27"/>
      <c r="J170" s="27"/>
      <c r="K170" s="36" t="str">
        <f aca="false">IF($B170="","",IF($C170="泓普",$C$2,IF($C170="仟茂",$E$2,IF($C170="现金",$G$2,0)))+SUMIFS($I$5:$I170,$C$5:$C170,$C170)-SUMIFS($J$5:$J170,$C$5:$C170,$C170))</f>
        <v/>
      </c>
      <c r="L170" s="36" t="str">
        <f aca="false">IF($B170="","",$C$2+$E$2+$G$2+SUM($I$5:$I170)-SUM($J$5:$J170))</f>
        <v/>
      </c>
      <c r="M170" s="24"/>
      <c r="N170" s="33" t="str">
        <f aca="false">IF($B170="","",IF(NOT(ISNUMBER($B170)),"日期格式不对",IF($C170="","未选资金账户",IF(AND(N($I170)=0,N($J170)=0),"收支都为空",IF(AND(N($I170)&gt;0,N($J170)&gt;0),"收支不能同时填",IF(AND($D170&lt;&gt;"",LEFT($O170,1)="⚠"),"项目编号不存在",IF(AND($M170="是",$F170=""),"工程回款必须填往来单位","√")))))))</f>
        <v/>
      </c>
      <c r="O170" s="34" t="str">
        <f aca="false">IF($D170="","",IFERROR(INDEX(项目档案!$B$6:$B$255,MATCH($D170,项目档案!$A$6:$A$255,0)),"⚠编号不存在"))</f>
        <v/>
      </c>
      <c r="P170" s="35" t="str">
        <f aca="false">IF($B170="","",TEXT($B170,"yyyy-mm"))</f>
        <v/>
      </c>
    </row>
    <row r="171" customFormat="false" ht="15.75" hidden="false" customHeight="true" outlineLevel="0" collapsed="false">
      <c r="A171" s="32" t="str">
        <f aca="false">IF($B171="","",ROW()-4)</f>
        <v/>
      </c>
      <c r="B171" s="26"/>
      <c r="C171" s="21"/>
      <c r="D171" s="24"/>
      <c r="E171" s="21"/>
      <c r="F171" s="24"/>
      <c r="G171" s="21"/>
      <c r="H171" s="22"/>
      <c r="I171" s="27"/>
      <c r="J171" s="27"/>
      <c r="K171" s="36" t="str">
        <f aca="false">IF($B171="","",IF($C171="泓普",$C$2,IF($C171="仟茂",$E$2,IF($C171="现金",$G$2,0)))+SUMIFS($I$5:$I171,$C$5:$C171,$C171)-SUMIFS($J$5:$J171,$C$5:$C171,$C171))</f>
        <v/>
      </c>
      <c r="L171" s="36" t="str">
        <f aca="false">IF($B171="","",$C$2+$E$2+$G$2+SUM($I$5:$I171)-SUM($J$5:$J171))</f>
        <v/>
      </c>
      <c r="M171" s="24"/>
      <c r="N171" s="33" t="str">
        <f aca="false">IF($B171="","",IF(NOT(ISNUMBER($B171)),"日期格式不对",IF($C171="","未选资金账户",IF(AND(N($I171)=0,N($J171)=0),"收支都为空",IF(AND(N($I171)&gt;0,N($J171)&gt;0),"收支不能同时填",IF(AND($D171&lt;&gt;"",LEFT($O171,1)="⚠"),"项目编号不存在",IF(AND($M171="是",$F171=""),"工程回款必须填往来单位","√")))))))</f>
        <v/>
      </c>
      <c r="O171" s="34" t="str">
        <f aca="false">IF($D171="","",IFERROR(INDEX(项目档案!$B$6:$B$255,MATCH($D171,项目档案!$A$6:$A$255,0)),"⚠编号不存在"))</f>
        <v/>
      </c>
      <c r="P171" s="35" t="str">
        <f aca="false">IF($B171="","",TEXT($B171,"yyyy-mm"))</f>
        <v/>
      </c>
    </row>
    <row r="172" customFormat="false" ht="15.75" hidden="false" customHeight="true" outlineLevel="0" collapsed="false">
      <c r="A172" s="32" t="str">
        <f aca="false">IF($B172="","",ROW()-4)</f>
        <v/>
      </c>
      <c r="B172" s="26"/>
      <c r="C172" s="21"/>
      <c r="D172" s="24"/>
      <c r="E172" s="21"/>
      <c r="F172" s="24"/>
      <c r="G172" s="21"/>
      <c r="H172" s="22"/>
      <c r="I172" s="27"/>
      <c r="J172" s="27"/>
      <c r="K172" s="36" t="str">
        <f aca="false">IF($B172="","",IF($C172="泓普",$C$2,IF($C172="仟茂",$E$2,IF($C172="现金",$G$2,0)))+SUMIFS($I$5:$I172,$C$5:$C172,$C172)-SUMIFS($J$5:$J172,$C$5:$C172,$C172))</f>
        <v/>
      </c>
      <c r="L172" s="36" t="str">
        <f aca="false">IF($B172="","",$C$2+$E$2+$G$2+SUM($I$5:$I172)-SUM($J$5:$J172))</f>
        <v/>
      </c>
      <c r="M172" s="24"/>
      <c r="N172" s="33" t="str">
        <f aca="false">IF($B172="","",IF(NOT(ISNUMBER($B172)),"日期格式不对",IF($C172="","未选资金账户",IF(AND(N($I172)=0,N($J172)=0),"收支都为空",IF(AND(N($I172)&gt;0,N($J172)&gt;0),"收支不能同时填",IF(AND($D172&lt;&gt;"",LEFT($O172,1)="⚠"),"项目编号不存在",IF(AND($M172="是",$F172=""),"工程回款必须填往来单位","√")))))))</f>
        <v/>
      </c>
      <c r="O172" s="34" t="str">
        <f aca="false">IF($D172="","",IFERROR(INDEX(项目档案!$B$6:$B$255,MATCH($D172,项目档案!$A$6:$A$255,0)),"⚠编号不存在"))</f>
        <v/>
      </c>
      <c r="P172" s="35" t="str">
        <f aca="false">IF($B172="","",TEXT($B172,"yyyy-mm"))</f>
        <v/>
      </c>
    </row>
    <row r="173" customFormat="false" ht="15.75" hidden="false" customHeight="true" outlineLevel="0" collapsed="false">
      <c r="A173" s="32" t="str">
        <f aca="false">IF($B173="","",ROW()-4)</f>
        <v/>
      </c>
      <c r="B173" s="26"/>
      <c r="C173" s="21"/>
      <c r="D173" s="24"/>
      <c r="E173" s="21"/>
      <c r="F173" s="24"/>
      <c r="G173" s="21"/>
      <c r="H173" s="22"/>
      <c r="I173" s="27"/>
      <c r="J173" s="27"/>
      <c r="K173" s="36" t="str">
        <f aca="false">IF($B173="","",IF($C173="泓普",$C$2,IF($C173="仟茂",$E$2,IF($C173="现金",$G$2,0)))+SUMIFS($I$5:$I173,$C$5:$C173,$C173)-SUMIFS($J$5:$J173,$C$5:$C173,$C173))</f>
        <v/>
      </c>
      <c r="L173" s="36" t="str">
        <f aca="false">IF($B173="","",$C$2+$E$2+$G$2+SUM($I$5:$I173)-SUM($J$5:$J173))</f>
        <v/>
      </c>
      <c r="M173" s="24"/>
      <c r="N173" s="33" t="str">
        <f aca="false">IF($B173="","",IF(NOT(ISNUMBER($B173)),"日期格式不对",IF($C173="","未选资金账户",IF(AND(N($I173)=0,N($J173)=0),"收支都为空",IF(AND(N($I173)&gt;0,N($J173)&gt;0),"收支不能同时填",IF(AND($D173&lt;&gt;"",LEFT($O173,1)="⚠"),"项目编号不存在",IF(AND($M173="是",$F173=""),"工程回款必须填往来单位","√")))))))</f>
        <v/>
      </c>
      <c r="O173" s="34" t="str">
        <f aca="false">IF($D173="","",IFERROR(INDEX(项目档案!$B$6:$B$255,MATCH($D173,项目档案!$A$6:$A$255,0)),"⚠编号不存在"))</f>
        <v/>
      </c>
      <c r="P173" s="35" t="str">
        <f aca="false">IF($B173="","",TEXT($B173,"yyyy-mm"))</f>
        <v/>
      </c>
    </row>
    <row r="174" customFormat="false" ht="15.75" hidden="false" customHeight="true" outlineLevel="0" collapsed="false">
      <c r="A174" s="32" t="str">
        <f aca="false">IF($B174="","",ROW()-4)</f>
        <v/>
      </c>
      <c r="B174" s="26"/>
      <c r="C174" s="21"/>
      <c r="D174" s="24"/>
      <c r="E174" s="21"/>
      <c r="F174" s="24"/>
      <c r="G174" s="21"/>
      <c r="H174" s="22"/>
      <c r="I174" s="27"/>
      <c r="J174" s="27"/>
      <c r="K174" s="36" t="str">
        <f aca="false">IF($B174="","",IF($C174="泓普",$C$2,IF($C174="仟茂",$E$2,IF($C174="现金",$G$2,0)))+SUMIFS($I$5:$I174,$C$5:$C174,$C174)-SUMIFS($J$5:$J174,$C$5:$C174,$C174))</f>
        <v/>
      </c>
      <c r="L174" s="36" t="str">
        <f aca="false">IF($B174="","",$C$2+$E$2+$G$2+SUM($I$5:$I174)-SUM($J$5:$J174))</f>
        <v/>
      </c>
      <c r="M174" s="24"/>
      <c r="N174" s="33" t="str">
        <f aca="false">IF($B174="","",IF(NOT(ISNUMBER($B174)),"日期格式不对",IF($C174="","未选资金账户",IF(AND(N($I174)=0,N($J174)=0),"收支都为空",IF(AND(N($I174)&gt;0,N($J174)&gt;0),"收支不能同时填",IF(AND($D174&lt;&gt;"",LEFT($O174,1)="⚠"),"项目编号不存在",IF(AND($M174="是",$F174=""),"工程回款必须填往来单位","√")))))))</f>
        <v/>
      </c>
      <c r="O174" s="34" t="str">
        <f aca="false">IF($D174="","",IFERROR(INDEX(项目档案!$B$6:$B$255,MATCH($D174,项目档案!$A$6:$A$255,0)),"⚠编号不存在"))</f>
        <v/>
      </c>
      <c r="P174" s="35" t="str">
        <f aca="false">IF($B174="","",TEXT($B174,"yyyy-mm"))</f>
        <v/>
      </c>
    </row>
    <row r="175" customFormat="false" ht="15.75" hidden="false" customHeight="true" outlineLevel="0" collapsed="false">
      <c r="A175" s="32" t="str">
        <f aca="false">IF($B175="","",ROW()-4)</f>
        <v/>
      </c>
      <c r="B175" s="26"/>
      <c r="C175" s="21"/>
      <c r="D175" s="24"/>
      <c r="E175" s="21"/>
      <c r="F175" s="24"/>
      <c r="G175" s="21"/>
      <c r="H175" s="22"/>
      <c r="I175" s="27"/>
      <c r="J175" s="27"/>
      <c r="K175" s="36" t="str">
        <f aca="false">IF($B175="","",IF($C175="泓普",$C$2,IF($C175="仟茂",$E$2,IF($C175="现金",$G$2,0)))+SUMIFS($I$5:$I175,$C$5:$C175,$C175)-SUMIFS($J$5:$J175,$C$5:$C175,$C175))</f>
        <v/>
      </c>
      <c r="L175" s="36" t="str">
        <f aca="false">IF($B175="","",$C$2+$E$2+$G$2+SUM($I$5:$I175)-SUM($J$5:$J175))</f>
        <v/>
      </c>
      <c r="M175" s="24"/>
      <c r="N175" s="33" t="str">
        <f aca="false">IF($B175="","",IF(NOT(ISNUMBER($B175)),"日期格式不对",IF($C175="","未选资金账户",IF(AND(N($I175)=0,N($J175)=0),"收支都为空",IF(AND(N($I175)&gt;0,N($J175)&gt;0),"收支不能同时填",IF(AND($D175&lt;&gt;"",LEFT($O175,1)="⚠"),"项目编号不存在",IF(AND($M175="是",$F175=""),"工程回款必须填往来单位","√")))))))</f>
        <v/>
      </c>
      <c r="O175" s="34" t="str">
        <f aca="false">IF($D175="","",IFERROR(INDEX(项目档案!$B$6:$B$255,MATCH($D175,项目档案!$A$6:$A$255,0)),"⚠编号不存在"))</f>
        <v/>
      </c>
      <c r="P175" s="35" t="str">
        <f aca="false">IF($B175="","",TEXT($B175,"yyyy-mm"))</f>
        <v/>
      </c>
    </row>
    <row r="176" customFormat="false" ht="15.75" hidden="false" customHeight="true" outlineLevel="0" collapsed="false">
      <c r="A176" s="32" t="str">
        <f aca="false">IF($B176="","",ROW()-4)</f>
        <v/>
      </c>
      <c r="B176" s="26"/>
      <c r="C176" s="21"/>
      <c r="D176" s="24"/>
      <c r="E176" s="21"/>
      <c r="F176" s="24"/>
      <c r="G176" s="21"/>
      <c r="H176" s="22"/>
      <c r="I176" s="27"/>
      <c r="J176" s="27"/>
      <c r="K176" s="36" t="str">
        <f aca="false">IF($B176="","",IF($C176="泓普",$C$2,IF($C176="仟茂",$E$2,IF($C176="现金",$G$2,0)))+SUMIFS($I$5:$I176,$C$5:$C176,$C176)-SUMIFS($J$5:$J176,$C$5:$C176,$C176))</f>
        <v/>
      </c>
      <c r="L176" s="36" t="str">
        <f aca="false">IF($B176="","",$C$2+$E$2+$G$2+SUM($I$5:$I176)-SUM($J$5:$J176))</f>
        <v/>
      </c>
      <c r="M176" s="24"/>
      <c r="N176" s="33" t="str">
        <f aca="false">IF($B176="","",IF(NOT(ISNUMBER($B176)),"日期格式不对",IF($C176="","未选资金账户",IF(AND(N($I176)=0,N($J176)=0),"收支都为空",IF(AND(N($I176)&gt;0,N($J176)&gt;0),"收支不能同时填",IF(AND($D176&lt;&gt;"",LEFT($O176,1)="⚠"),"项目编号不存在",IF(AND($M176="是",$F176=""),"工程回款必须填往来单位","√")))))))</f>
        <v/>
      </c>
      <c r="O176" s="34" t="str">
        <f aca="false">IF($D176="","",IFERROR(INDEX(项目档案!$B$6:$B$255,MATCH($D176,项目档案!$A$6:$A$255,0)),"⚠编号不存在"))</f>
        <v/>
      </c>
      <c r="P176" s="35" t="str">
        <f aca="false">IF($B176="","",TEXT($B176,"yyyy-mm"))</f>
        <v/>
      </c>
    </row>
    <row r="177" customFormat="false" ht="15.75" hidden="false" customHeight="true" outlineLevel="0" collapsed="false">
      <c r="A177" s="32" t="str">
        <f aca="false">IF($B177="","",ROW()-4)</f>
        <v/>
      </c>
      <c r="B177" s="26"/>
      <c r="C177" s="21"/>
      <c r="D177" s="24"/>
      <c r="E177" s="21"/>
      <c r="F177" s="24"/>
      <c r="G177" s="21"/>
      <c r="H177" s="22"/>
      <c r="I177" s="27"/>
      <c r="J177" s="27"/>
      <c r="K177" s="36" t="str">
        <f aca="false">IF($B177="","",IF($C177="泓普",$C$2,IF($C177="仟茂",$E$2,IF($C177="现金",$G$2,0)))+SUMIFS($I$5:$I177,$C$5:$C177,$C177)-SUMIFS($J$5:$J177,$C$5:$C177,$C177))</f>
        <v/>
      </c>
      <c r="L177" s="36" t="str">
        <f aca="false">IF($B177="","",$C$2+$E$2+$G$2+SUM($I$5:$I177)-SUM($J$5:$J177))</f>
        <v/>
      </c>
      <c r="M177" s="24"/>
      <c r="N177" s="33" t="str">
        <f aca="false">IF($B177="","",IF(NOT(ISNUMBER($B177)),"日期格式不对",IF($C177="","未选资金账户",IF(AND(N($I177)=0,N($J177)=0),"收支都为空",IF(AND(N($I177)&gt;0,N($J177)&gt;0),"收支不能同时填",IF(AND($D177&lt;&gt;"",LEFT($O177,1)="⚠"),"项目编号不存在",IF(AND($M177="是",$F177=""),"工程回款必须填往来单位","√")))))))</f>
        <v/>
      </c>
      <c r="O177" s="34" t="str">
        <f aca="false">IF($D177="","",IFERROR(INDEX(项目档案!$B$6:$B$255,MATCH($D177,项目档案!$A$6:$A$255,0)),"⚠编号不存在"))</f>
        <v/>
      </c>
      <c r="P177" s="35" t="str">
        <f aca="false">IF($B177="","",TEXT($B177,"yyyy-mm"))</f>
        <v/>
      </c>
    </row>
    <row r="178" customFormat="false" ht="15.75" hidden="false" customHeight="true" outlineLevel="0" collapsed="false">
      <c r="A178" s="32" t="str">
        <f aca="false">IF($B178="","",ROW()-4)</f>
        <v/>
      </c>
      <c r="B178" s="26"/>
      <c r="C178" s="21"/>
      <c r="D178" s="24"/>
      <c r="E178" s="21"/>
      <c r="F178" s="24"/>
      <c r="G178" s="21"/>
      <c r="H178" s="22"/>
      <c r="I178" s="27"/>
      <c r="J178" s="27"/>
      <c r="K178" s="36" t="str">
        <f aca="false">IF($B178="","",IF($C178="泓普",$C$2,IF($C178="仟茂",$E$2,IF($C178="现金",$G$2,0)))+SUMIFS($I$5:$I178,$C$5:$C178,$C178)-SUMIFS($J$5:$J178,$C$5:$C178,$C178))</f>
        <v/>
      </c>
      <c r="L178" s="36" t="str">
        <f aca="false">IF($B178="","",$C$2+$E$2+$G$2+SUM($I$5:$I178)-SUM($J$5:$J178))</f>
        <v/>
      </c>
      <c r="M178" s="24"/>
      <c r="N178" s="33" t="str">
        <f aca="false">IF($B178="","",IF(NOT(ISNUMBER($B178)),"日期格式不对",IF($C178="","未选资金账户",IF(AND(N($I178)=0,N($J178)=0),"收支都为空",IF(AND(N($I178)&gt;0,N($J178)&gt;0),"收支不能同时填",IF(AND($D178&lt;&gt;"",LEFT($O178,1)="⚠"),"项目编号不存在",IF(AND($M178="是",$F178=""),"工程回款必须填往来单位","√")))))))</f>
        <v/>
      </c>
      <c r="O178" s="34" t="str">
        <f aca="false">IF($D178="","",IFERROR(INDEX(项目档案!$B$6:$B$255,MATCH($D178,项目档案!$A$6:$A$255,0)),"⚠编号不存在"))</f>
        <v/>
      </c>
      <c r="P178" s="35" t="str">
        <f aca="false">IF($B178="","",TEXT($B178,"yyyy-mm"))</f>
        <v/>
      </c>
    </row>
    <row r="179" customFormat="false" ht="15.75" hidden="false" customHeight="true" outlineLevel="0" collapsed="false">
      <c r="A179" s="32" t="str">
        <f aca="false">IF($B179="","",ROW()-4)</f>
        <v/>
      </c>
      <c r="B179" s="26"/>
      <c r="C179" s="21"/>
      <c r="D179" s="24"/>
      <c r="E179" s="21"/>
      <c r="F179" s="24"/>
      <c r="G179" s="21"/>
      <c r="H179" s="22"/>
      <c r="I179" s="27"/>
      <c r="J179" s="27"/>
      <c r="K179" s="36" t="str">
        <f aca="false">IF($B179="","",IF($C179="泓普",$C$2,IF($C179="仟茂",$E$2,IF($C179="现金",$G$2,0)))+SUMIFS($I$5:$I179,$C$5:$C179,$C179)-SUMIFS($J$5:$J179,$C$5:$C179,$C179))</f>
        <v/>
      </c>
      <c r="L179" s="36" t="str">
        <f aca="false">IF($B179="","",$C$2+$E$2+$G$2+SUM($I$5:$I179)-SUM($J$5:$J179))</f>
        <v/>
      </c>
      <c r="M179" s="24"/>
      <c r="N179" s="33" t="str">
        <f aca="false">IF($B179="","",IF(NOT(ISNUMBER($B179)),"日期格式不对",IF($C179="","未选资金账户",IF(AND(N($I179)=0,N($J179)=0),"收支都为空",IF(AND(N($I179)&gt;0,N($J179)&gt;0),"收支不能同时填",IF(AND($D179&lt;&gt;"",LEFT($O179,1)="⚠"),"项目编号不存在",IF(AND($M179="是",$F179=""),"工程回款必须填往来单位","√")))))))</f>
        <v/>
      </c>
      <c r="O179" s="34" t="str">
        <f aca="false">IF($D179="","",IFERROR(INDEX(项目档案!$B$6:$B$255,MATCH($D179,项目档案!$A$6:$A$255,0)),"⚠编号不存在"))</f>
        <v/>
      </c>
      <c r="P179" s="35" t="str">
        <f aca="false">IF($B179="","",TEXT($B179,"yyyy-mm"))</f>
        <v/>
      </c>
    </row>
    <row r="180" customFormat="false" ht="15.75" hidden="false" customHeight="true" outlineLevel="0" collapsed="false">
      <c r="A180" s="32" t="str">
        <f aca="false">IF($B180="","",ROW()-4)</f>
        <v/>
      </c>
      <c r="B180" s="26"/>
      <c r="C180" s="21"/>
      <c r="D180" s="24"/>
      <c r="E180" s="21"/>
      <c r="F180" s="24"/>
      <c r="G180" s="21"/>
      <c r="H180" s="22"/>
      <c r="I180" s="27"/>
      <c r="J180" s="27"/>
      <c r="K180" s="36" t="str">
        <f aca="false">IF($B180="","",IF($C180="泓普",$C$2,IF($C180="仟茂",$E$2,IF($C180="现金",$G$2,0)))+SUMIFS($I$5:$I180,$C$5:$C180,$C180)-SUMIFS($J$5:$J180,$C$5:$C180,$C180))</f>
        <v/>
      </c>
      <c r="L180" s="36" t="str">
        <f aca="false">IF($B180="","",$C$2+$E$2+$G$2+SUM($I$5:$I180)-SUM($J$5:$J180))</f>
        <v/>
      </c>
      <c r="M180" s="24"/>
      <c r="N180" s="33" t="str">
        <f aca="false">IF($B180="","",IF(NOT(ISNUMBER($B180)),"日期格式不对",IF($C180="","未选资金账户",IF(AND(N($I180)=0,N($J180)=0),"收支都为空",IF(AND(N($I180)&gt;0,N($J180)&gt;0),"收支不能同时填",IF(AND($D180&lt;&gt;"",LEFT($O180,1)="⚠"),"项目编号不存在",IF(AND($M180="是",$F180=""),"工程回款必须填往来单位","√")))))))</f>
        <v/>
      </c>
      <c r="O180" s="34" t="str">
        <f aca="false">IF($D180="","",IFERROR(INDEX(项目档案!$B$6:$B$255,MATCH($D180,项目档案!$A$6:$A$255,0)),"⚠编号不存在"))</f>
        <v/>
      </c>
      <c r="P180" s="35" t="str">
        <f aca="false">IF($B180="","",TEXT($B180,"yyyy-mm"))</f>
        <v/>
      </c>
    </row>
    <row r="181" customFormat="false" ht="15.75" hidden="false" customHeight="true" outlineLevel="0" collapsed="false">
      <c r="A181" s="32" t="str">
        <f aca="false">IF($B181="","",ROW()-4)</f>
        <v/>
      </c>
      <c r="B181" s="26"/>
      <c r="C181" s="21"/>
      <c r="D181" s="24"/>
      <c r="E181" s="21"/>
      <c r="F181" s="24"/>
      <c r="G181" s="21"/>
      <c r="H181" s="22"/>
      <c r="I181" s="27"/>
      <c r="J181" s="27"/>
      <c r="K181" s="36" t="str">
        <f aca="false">IF($B181="","",IF($C181="泓普",$C$2,IF($C181="仟茂",$E$2,IF($C181="现金",$G$2,0)))+SUMIFS($I$5:$I181,$C$5:$C181,$C181)-SUMIFS($J$5:$J181,$C$5:$C181,$C181))</f>
        <v/>
      </c>
      <c r="L181" s="36" t="str">
        <f aca="false">IF($B181="","",$C$2+$E$2+$G$2+SUM($I$5:$I181)-SUM($J$5:$J181))</f>
        <v/>
      </c>
      <c r="M181" s="24"/>
      <c r="N181" s="33" t="str">
        <f aca="false">IF($B181="","",IF(NOT(ISNUMBER($B181)),"日期格式不对",IF($C181="","未选资金账户",IF(AND(N($I181)=0,N($J181)=0),"收支都为空",IF(AND(N($I181)&gt;0,N($J181)&gt;0),"收支不能同时填",IF(AND($D181&lt;&gt;"",LEFT($O181,1)="⚠"),"项目编号不存在",IF(AND($M181="是",$F181=""),"工程回款必须填往来单位","√")))))))</f>
        <v/>
      </c>
      <c r="O181" s="34" t="str">
        <f aca="false">IF($D181="","",IFERROR(INDEX(项目档案!$B$6:$B$255,MATCH($D181,项目档案!$A$6:$A$255,0)),"⚠编号不存在"))</f>
        <v/>
      </c>
      <c r="P181" s="35" t="str">
        <f aca="false">IF($B181="","",TEXT($B181,"yyyy-mm"))</f>
        <v/>
      </c>
    </row>
    <row r="182" customFormat="false" ht="15.75" hidden="false" customHeight="true" outlineLevel="0" collapsed="false">
      <c r="A182" s="32" t="str">
        <f aca="false">IF($B182="","",ROW()-4)</f>
        <v/>
      </c>
      <c r="B182" s="26"/>
      <c r="C182" s="21"/>
      <c r="D182" s="24"/>
      <c r="E182" s="21"/>
      <c r="F182" s="24"/>
      <c r="G182" s="21"/>
      <c r="H182" s="22"/>
      <c r="I182" s="27"/>
      <c r="J182" s="27"/>
      <c r="K182" s="36" t="str">
        <f aca="false">IF($B182="","",IF($C182="泓普",$C$2,IF($C182="仟茂",$E$2,IF($C182="现金",$G$2,0)))+SUMIFS($I$5:$I182,$C$5:$C182,$C182)-SUMIFS($J$5:$J182,$C$5:$C182,$C182))</f>
        <v/>
      </c>
      <c r="L182" s="36" t="str">
        <f aca="false">IF($B182="","",$C$2+$E$2+$G$2+SUM($I$5:$I182)-SUM($J$5:$J182))</f>
        <v/>
      </c>
      <c r="M182" s="24"/>
      <c r="N182" s="33" t="str">
        <f aca="false">IF($B182="","",IF(NOT(ISNUMBER($B182)),"日期格式不对",IF($C182="","未选资金账户",IF(AND(N($I182)=0,N($J182)=0),"收支都为空",IF(AND(N($I182)&gt;0,N($J182)&gt;0),"收支不能同时填",IF(AND($D182&lt;&gt;"",LEFT($O182,1)="⚠"),"项目编号不存在",IF(AND($M182="是",$F182=""),"工程回款必须填往来单位","√")))))))</f>
        <v/>
      </c>
      <c r="O182" s="34" t="str">
        <f aca="false">IF($D182="","",IFERROR(INDEX(项目档案!$B$6:$B$255,MATCH($D182,项目档案!$A$6:$A$255,0)),"⚠编号不存在"))</f>
        <v/>
      </c>
      <c r="P182" s="35" t="str">
        <f aca="false">IF($B182="","",TEXT($B182,"yyyy-mm"))</f>
        <v/>
      </c>
    </row>
    <row r="183" customFormat="false" ht="15.75" hidden="false" customHeight="true" outlineLevel="0" collapsed="false">
      <c r="A183" s="32" t="str">
        <f aca="false">IF($B183="","",ROW()-4)</f>
        <v/>
      </c>
      <c r="B183" s="26"/>
      <c r="C183" s="21"/>
      <c r="D183" s="24"/>
      <c r="E183" s="21"/>
      <c r="F183" s="24"/>
      <c r="G183" s="21"/>
      <c r="H183" s="22"/>
      <c r="I183" s="27"/>
      <c r="J183" s="27"/>
      <c r="K183" s="36" t="str">
        <f aca="false">IF($B183="","",IF($C183="泓普",$C$2,IF($C183="仟茂",$E$2,IF($C183="现金",$G$2,0)))+SUMIFS($I$5:$I183,$C$5:$C183,$C183)-SUMIFS($J$5:$J183,$C$5:$C183,$C183))</f>
        <v/>
      </c>
      <c r="L183" s="36" t="str">
        <f aca="false">IF($B183="","",$C$2+$E$2+$G$2+SUM($I$5:$I183)-SUM($J$5:$J183))</f>
        <v/>
      </c>
      <c r="M183" s="24"/>
      <c r="N183" s="33" t="str">
        <f aca="false">IF($B183="","",IF(NOT(ISNUMBER($B183)),"日期格式不对",IF($C183="","未选资金账户",IF(AND(N($I183)=0,N($J183)=0),"收支都为空",IF(AND(N($I183)&gt;0,N($J183)&gt;0),"收支不能同时填",IF(AND($D183&lt;&gt;"",LEFT($O183,1)="⚠"),"项目编号不存在",IF(AND($M183="是",$F183=""),"工程回款必须填往来单位","√")))))))</f>
        <v/>
      </c>
      <c r="O183" s="34" t="str">
        <f aca="false">IF($D183="","",IFERROR(INDEX(项目档案!$B$6:$B$255,MATCH($D183,项目档案!$A$6:$A$255,0)),"⚠编号不存在"))</f>
        <v/>
      </c>
      <c r="P183" s="35" t="str">
        <f aca="false">IF($B183="","",TEXT($B183,"yyyy-mm"))</f>
        <v/>
      </c>
    </row>
    <row r="184" customFormat="false" ht="15.75" hidden="false" customHeight="true" outlineLevel="0" collapsed="false">
      <c r="A184" s="32" t="str">
        <f aca="false">IF($B184="","",ROW()-4)</f>
        <v/>
      </c>
      <c r="B184" s="26"/>
      <c r="C184" s="21"/>
      <c r="D184" s="24"/>
      <c r="E184" s="21"/>
      <c r="F184" s="24"/>
      <c r="G184" s="21"/>
      <c r="H184" s="22"/>
      <c r="I184" s="27"/>
      <c r="J184" s="27"/>
      <c r="K184" s="36" t="str">
        <f aca="false">IF($B184="","",IF($C184="泓普",$C$2,IF($C184="仟茂",$E$2,IF($C184="现金",$G$2,0)))+SUMIFS($I$5:$I184,$C$5:$C184,$C184)-SUMIFS($J$5:$J184,$C$5:$C184,$C184))</f>
        <v/>
      </c>
      <c r="L184" s="36" t="str">
        <f aca="false">IF($B184="","",$C$2+$E$2+$G$2+SUM($I$5:$I184)-SUM($J$5:$J184))</f>
        <v/>
      </c>
      <c r="M184" s="24"/>
      <c r="N184" s="33" t="str">
        <f aca="false">IF($B184="","",IF(NOT(ISNUMBER($B184)),"日期格式不对",IF($C184="","未选资金账户",IF(AND(N($I184)=0,N($J184)=0),"收支都为空",IF(AND(N($I184)&gt;0,N($J184)&gt;0),"收支不能同时填",IF(AND($D184&lt;&gt;"",LEFT($O184,1)="⚠"),"项目编号不存在",IF(AND($M184="是",$F184=""),"工程回款必须填往来单位","√")))))))</f>
        <v/>
      </c>
      <c r="O184" s="34" t="str">
        <f aca="false">IF($D184="","",IFERROR(INDEX(项目档案!$B$6:$B$255,MATCH($D184,项目档案!$A$6:$A$255,0)),"⚠编号不存在"))</f>
        <v/>
      </c>
      <c r="P184" s="35" t="str">
        <f aca="false">IF($B184="","",TEXT($B184,"yyyy-mm"))</f>
        <v/>
      </c>
    </row>
    <row r="185" customFormat="false" ht="15.75" hidden="false" customHeight="true" outlineLevel="0" collapsed="false">
      <c r="A185" s="32" t="str">
        <f aca="false">IF($B185="","",ROW()-4)</f>
        <v/>
      </c>
      <c r="B185" s="26"/>
      <c r="C185" s="21"/>
      <c r="D185" s="24"/>
      <c r="E185" s="21"/>
      <c r="F185" s="24"/>
      <c r="G185" s="21"/>
      <c r="H185" s="22"/>
      <c r="I185" s="27"/>
      <c r="J185" s="27"/>
      <c r="K185" s="36" t="str">
        <f aca="false">IF($B185="","",IF($C185="泓普",$C$2,IF($C185="仟茂",$E$2,IF($C185="现金",$G$2,0)))+SUMIFS($I$5:$I185,$C$5:$C185,$C185)-SUMIFS($J$5:$J185,$C$5:$C185,$C185))</f>
        <v/>
      </c>
      <c r="L185" s="36" t="str">
        <f aca="false">IF($B185="","",$C$2+$E$2+$G$2+SUM($I$5:$I185)-SUM($J$5:$J185))</f>
        <v/>
      </c>
      <c r="M185" s="24"/>
      <c r="N185" s="33" t="str">
        <f aca="false">IF($B185="","",IF(NOT(ISNUMBER($B185)),"日期格式不对",IF($C185="","未选资金账户",IF(AND(N($I185)=0,N($J185)=0),"收支都为空",IF(AND(N($I185)&gt;0,N($J185)&gt;0),"收支不能同时填",IF(AND($D185&lt;&gt;"",LEFT($O185,1)="⚠"),"项目编号不存在",IF(AND($M185="是",$F185=""),"工程回款必须填往来单位","√")))))))</f>
        <v/>
      </c>
      <c r="O185" s="34" t="str">
        <f aca="false">IF($D185="","",IFERROR(INDEX(项目档案!$B$6:$B$255,MATCH($D185,项目档案!$A$6:$A$255,0)),"⚠编号不存在"))</f>
        <v/>
      </c>
      <c r="P185" s="35" t="str">
        <f aca="false">IF($B185="","",TEXT($B185,"yyyy-mm"))</f>
        <v/>
      </c>
    </row>
    <row r="186" customFormat="false" ht="15.75" hidden="false" customHeight="true" outlineLevel="0" collapsed="false">
      <c r="A186" s="32" t="str">
        <f aca="false">IF($B186="","",ROW()-4)</f>
        <v/>
      </c>
      <c r="B186" s="26"/>
      <c r="C186" s="21"/>
      <c r="D186" s="24"/>
      <c r="E186" s="21"/>
      <c r="F186" s="24"/>
      <c r="G186" s="21"/>
      <c r="H186" s="22"/>
      <c r="I186" s="27"/>
      <c r="J186" s="27"/>
      <c r="K186" s="36" t="str">
        <f aca="false">IF($B186="","",IF($C186="泓普",$C$2,IF($C186="仟茂",$E$2,IF($C186="现金",$G$2,0)))+SUMIFS($I$5:$I186,$C$5:$C186,$C186)-SUMIFS($J$5:$J186,$C$5:$C186,$C186))</f>
        <v/>
      </c>
      <c r="L186" s="36" t="str">
        <f aca="false">IF($B186="","",$C$2+$E$2+$G$2+SUM($I$5:$I186)-SUM($J$5:$J186))</f>
        <v/>
      </c>
      <c r="M186" s="24"/>
      <c r="N186" s="33" t="str">
        <f aca="false">IF($B186="","",IF(NOT(ISNUMBER($B186)),"日期格式不对",IF($C186="","未选资金账户",IF(AND(N($I186)=0,N($J186)=0),"收支都为空",IF(AND(N($I186)&gt;0,N($J186)&gt;0),"收支不能同时填",IF(AND($D186&lt;&gt;"",LEFT($O186,1)="⚠"),"项目编号不存在",IF(AND($M186="是",$F186=""),"工程回款必须填往来单位","√")))))))</f>
        <v/>
      </c>
      <c r="O186" s="34" t="str">
        <f aca="false">IF($D186="","",IFERROR(INDEX(项目档案!$B$6:$B$255,MATCH($D186,项目档案!$A$6:$A$255,0)),"⚠编号不存在"))</f>
        <v/>
      </c>
      <c r="P186" s="35" t="str">
        <f aca="false">IF($B186="","",TEXT($B186,"yyyy-mm"))</f>
        <v/>
      </c>
    </row>
    <row r="187" customFormat="false" ht="15.75" hidden="false" customHeight="true" outlineLevel="0" collapsed="false">
      <c r="A187" s="32" t="str">
        <f aca="false">IF($B187="","",ROW()-4)</f>
        <v/>
      </c>
      <c r="B187" s="26"/>
      <c r="C187" s="21"/>
      <c r="D187" s="24"/>
      <c r="E187" s="21"/>
      <c r="F187" s="24"/>
      <c r="G187" s="21"/>
      <c r="H187" s="22"/>
      <c r="I187" s="27"/>
      <c r="J187" s="27"/>
      <c r="K187" s="36" t="str">
        <f aca="false">IF($B187="","",IF($C187="泓普",$C$2,IF($C187="仟茂",$E$2,IF($C187="现金",$G$2,0)))+SUMIFS($I$5:$I187,$C$5:$C187,$C187)-SUMIFS($J$5:$J187,$C$5:$C187,$C187))</f>
        <v/>
      </c>
      <c r="L187" s="36" t="str">
        <f aca="false">IF($B187="","",$C$2+$E$2+$G$2+SUM($I$5:$I187)-SUM($J$5:$J187))</f>
        <v/>
      </c>
      <c r="M187" s="24"/>
      <c r="N187" s="33" t="str">
        <f aca="false">IF($B187="","",IF(NOT(ISNUMBER($B187)),"日期格式不对",IF($C187="","未选资金账户",IF(AND(N($I187)=0,N($J187)=0),"收支都为空",IF(AND(N($I187)&gt;0,N($J187)&gt;0),"收支不能同时填",IF(AND($D187&lt;&gt;"",LEFT($O187,1)="⚠"),"项目编号不存在",IF(AND($M187="是",$F187=""),"工程回款必须填往来单位","√")))))))</f>
        <v/>
      </c>
      <c r="O187" s="34" t="str">
        <f aca="false">IF($D187="","",IFERROR(INDEX(项目档案!$B$6:$B$255,MATCH($D187,项目档案!$A$6:$A$255,0)),"⚠编号不存在"))</f>
        <v/>
      </c>
      <c r="P187" s="35" t="str">
        <f aca="false">IF($B187="","",TEXT($B187,"yyyy-mm"))</f>
        <v/>
      </c>
    </row>
    <row r="188" customFormat="false" ht="15.75" hidden="false" customHeight="true" outlineLevel="0" collapsed="false">
      <c r="A188" s="32" t="str">
        <f aca="false">IF($B188="","",ROW()-4)</f>
        <v/>
      </c>
      <c r="B188" s="26"/>
      <c r="C188" s="21"/>
      <c r="D188" s="24"/>
      <c r="E188" s="21"/>
      <c r="F188" s="24"/>
      <c r="G188" s="21"/>
      <c r="H188" s="22"/>
      <c r="I188" s="27"/>
      <c r="J188" s="27"/>
      <c r="K188" s="36" t="str">
        <f aca="false">IF($B188="","",IF($C188="泓普",$C$2,IF($C188="仟茂",$E$2,IF($C188="现金",$G$2,0)))+SUMIFS($I$5:$I188,$C$5:$C188,$C188)-SUMIFS($J$5:$J188,$C$5:$C188,$C188))</f>
        <v/>
      </c>
      <c r="L188" s="36" t="str">
        <f aca="false">IF($B188="","",$C$2+$E$2+$G$2+SUM($I$5:$I188)-SUM($J$5:$J188))</f>
        <v/>
      </c>
      <c r="M188" s="24"/>
      <c r="N188" s="33" t="str">
        <f aca="false">IF($B188="","",IF(NOT(ISNUMBER($B188)),"日期格式不对",IF($C188="","未选资金账户",IF(AND(N($I188)=0,N($J188)=0),"收支都为空",IF(AND(N($I188)&gt;0,N($J188)&gt;0),"收支不能同时填",IF(AND($D188&lt;&gt;"",LEFT($O188,1)="⚠"),"项目编号不存在",IF(AND($M188="是",$F188=""),"工程回款必须填往来单位","√")))))))</f>
        <v/>
      </c>
      <c r="O188" s="34" t="str">
        <f aca="false">IF($D188="","",IFERROR(INDEX(项目档案!$B$6:$B$255,MATCH($D188,项目档案!$A$6:$A$255,0)),"⚠编号不存在"))</f>
        <v/>
      </c>
      <c r="P188" s="35" t="str">
        <f aca="false">IF($B188="","",TEXT($B188,"yyyy-mm"))</f>
        <v/>
      </c>
    </row>
    <row r="189" customFormat="false" ht="15.75" hidden="false" customHeight="true" outlineLevel="0" collapsed="false">
      <c r="A189" s="32" t="str">
        <f aca="false">IF($B189="","",ROW()-4)</f>
        <v/>
      </c>
      <c r="B189" s="26"/>
      <c r="C189" s="21"/>
      <c r="D189" s="24"/>
      <c r="E189" s="21"/>
      <c r="F189" s="24"/>
      <c r="G189" s="21"/>
      <c r="H189" s="22"/>
      <c r="I189" s="27"/>
      <c r="J189" s="27"/>
      <c r="K189" s="36" t="str">
        <f aca="false">IF($B189="","",IF($C189="泓普",$C$2,IF($C189="仟茂",$E$2,IF($C189="现金",$G$2,0)))+SUMIFS($I$5:$I189,$C$5:$C189,$C189)-SUMIFS($J$5:$J189,$C$5:$C189,$C189))</f>
        <v/>
      </c>
      <c r="L189" s="36" t="str">
        <f aca="false">IF($B189="","",$C$2+$E$2+$G$2+SUM($I$5:$I189)-SUM($J$5:$J189))</f>
        <v/>
      </c>
      <c r="M189" s="24"/>
      <c r="N189" s="33" t="str">
        <f aca="false">IF($B189="","",IF(NOT(ISNUMBER($B189)),"日期格式不对",IF($C189="","未选资金账户",IF(AND(N($I189)=0,N($J189)=0),"收支都为空",IF(AND(N($I189)&gt;0,N($J189)&gt;0),"收支不能同时填",IF(AND($D189&lt;&gt;"",LEFT($O189,1)="⚠"),"项目编号不存在",IF(AND($M189="是",$F189=""),"工程回款必须填往来单位","√")))))))</f>
        <v/>
      </c>
      <c r="O189" s="34" t="str">
        <f aca="false">IF($D189="","",IFERROR(INDEX(项目档案!$B$6:$B$255,MATCH($D189,项目档案!$A$6:$A$255,0)),"⚠编号不存在"))</f>
        <v/>
      </c>
      <c r="P189" s="35" t="str">
        <f aca="false">IF($B189="","",TEXT($B189,"yyyy-mm"))</f>
        <v/>
      </c>
    </row>
    <row r="190" customFormat="false" ht="15.75" hidden="false" customHeight="true" outlineLevel="0" collapsed="false">
      <c r="A190" s="32" t="str">
        <f aca="false">IF($B190="","",ROW()-4)</f>
        <v/>
      </c>
      <c r="B190" s="26"/>
      <c r="C190" s="21"/>
      <c r="D190" s="24"/>
      <c r="E190" s="21"/>
      <c r="F190" s="24"/>
      <c r="G190" s="21"/>
      <c r="H190" s="22"/>
      <c r="I190" s="27"/>
      <c r="J190" s="27"/>
      <c r="K190" s="36" t="str">
        <f aca="false">IF($B190="","",IF($C190="泓普",$C$2,IF($C190="仟茂",$E$2,IF($C190="现金",$G$2,0)))+SUMIFS($I$5:$I190,$C$5:$C190,$C190)-SUMIFS($J$5:$J190,$C$5:$C190,$C190))</f>
        <v/>
      </c>
      <c r="L190" s="36" t="str">
        <f aca="false">IF($B190="","",$C$2+$E$2+$G$2+SUM($I$5:$I190)-SUM($J$5:$J190))</f>
        <v/>
      </c>
      <c r="M190" s="24"/>
      <c r="N190" s="33" t="str">
        <f aca="false">IF($B190="","",IF(NOT(ISNUMBER($B190)),"日期格式不对",IF($C190="","未选资金账户",IF(AND(N($I190)=0,N($J190)=0),"收支都为空",IF(AND(N($I190)&gt;0,N($J190)&gt;0),"收支不能同时填",IF(AND($D190&lt;&gt;"",LEFT($O190,1)="⚠"),"项目编号不存在",IF(AND($M190="是",$F190=""),"工程回款必须填往来单位","√")))))))</f>
        <v/>
      </c>
      <c r="O190" s="34" t="str">
        <f aca="false">IF($D190="","",IFERROR(INDEX(项目档案!$B$6:$B$255,MATCH($D190,项目档案!$A$6:$A$255,0)),"⚠编号不存在"))</f>
        <v/>
      </c>
      <c r="P190" s="35" t="str">
        <f aca="false">IF($B190="","",TEXT($B190,"yyyy-mm"))</f>
        <v/>
      </c>
    </row>
    <row r="191" customFormat="false" ht="15.75" hidden="false" customHeight="true" outlineLevel="0" collapsed="false">
      <c r="A191" s="32" t="str">
        <f aca="false">IF($B191="","",ROW()-4)</f>
        <v/>
      </c>
      <c r="B191" s="26"/>
      <c r="C191" s="21"/>
      <c r="D191" s="24"/>
      <c r="E191" s="21"/>
      <c r="F191" s="24"/>
      <c r="G191" s="21"/>
      <c r="H191" s="22"/>
      <c r="I191" s="27"/>
      <c r="J191" s="27"/>
      <c r="K191" s="36" t="str">
        <f aca="false">IF($B191="","",IF($C191="泓普",$C$2,IF($C191="仟茂",$E$2,IF($C191="现金",$G$2,0)))+SUMIFS($I$5:$I191,$C$5:$C191,$C191)-SUMIFS($J$5:$J191,$C$5:$C191,$C191))</f>
        <v/>
      </c>
      <c r="L191" s="36" t="str">
        <f aca="false">IF($B191="","",$C$2+$E$2+$G$2+SUM($I$5:$I191)-SUM($J$5:$J191))</f>
        <v/>
      </c>
      <c r="M191" s="24"/>
      <c r="N191" s="33" t="str">
        <f aca="false">IF($B191="","",IF(NOT(ISNUMBER($B191)),"日期格式不对",IF($C191="","未选资金账户",IF(AND(N($I191)=0,N($J191)=0),"收支都为空",IF(AND(N($I191)&gt;0,N($J191)&gt;0),"收支不能同时填",IF(AND($D191&lt;&gt;"",LEFT($O191,1)="⚠"),"项目编号不存在",IF(AND($M191="是",$F191=""),"工程回款必须填往来单位","√")))))))</f>
        <v/>
      </c>
      <c r="O191" s="34" t="str">
        <f aca="false">IF($D191="","",IFERROR(INDEX(项目档案!$B$6:$B$255,MATCH($D191,项目档案!$A$6:$A$255,0)),"⚠编号不存在"))</f>
        <v/>
      </c>
      <c r="P191" s="35" t="str">
        <f aca="false">IF($B191="","",TEXT($B191,"yyyy-mm"))</f>
        <v/>
      </c>
    </row>
    <row r="192" customFormat="false" ht="15.75" hidden="false" customHeight="true" outlineLevel="0" collapsed="false">
      <c r="A192" s="32" t="str">
        <f aca="false">IF($B192="","",ROW()-4)</f>
        <v/>
      </c>
      <c r="B192" s="26"/>
      <c r="C192" s="21"/>
      <c r="D192" s="24"/>
      <c r="E192" s="21"/>
      <c r="F192" s="24"/>
      <c r="G192" s="21"/>
      <c r="H192" s="22"/>
      <c r="I192" s="27"/>
      <c r="J192" s="27"/>
      <c r="K192" s="36" t="str">
        <f aca="false">IF($B192="","",IF($C192="泓普",$C$2,IF($C192="仟茂",$E$2,IF($C192="现金",$G$2,0)))+SUMIFS($I$5:$I192,$C$5:$C192,$C192)-SUMIFS($J$5:$J192,$C$5:$C192,$C192))</f>
        <v/>
      </c>
      <c r="L192" s="36" t="str">
        <f aca="false">IF($B192="","",$C$2+$E$2+$G$2+SUM($I$5:$I192)-SUM($J$5:$J192))</f>
        <v/>
      </c>
      <c r="M192" s="24"/>
      <c r="N192" s="33" t="str">
        <f aca="false">IF($B192="","",IF(NOT(ISNUMBER($B192)),"日期格式不对",IF($C192="","未选资金账户",IF(AND(N($I192)=0,N($J192)=0),"收支都为空",IF(AND(N($I192)&gt;0,N($J192)&gt;0),"收支不能同时填",IF(AND($D192&lt;&gt;"",LEFT($O192,1)="⚠"),"项目编号不存在",IF(AND($M192="是",$F192=""),"工程回款必须填往来单位","√")))))))</f>
        <v/>
      </c>
      <c r="O192" s="34" t="str">
        <f aca="false">IF($D192="","",IFERROR(INDEX(项目档案!$B$6:$B$255,MATCH($D192,项目档案!$A$6:$A$255,0)),"⚠编号不存在"))</f>
        <v/>
      </c>
      <c r="P192" s="35" t="str">
        <f aca="false">IF($B192="","",TEXT($B192,"yyyy-mm"))</f>
        <v/>
      </c>
    </row>
    <row r="193" customFormat="false" ht="15.75" hidden="false" customHeight="true" outlineLevel="0" collapsed="false">
      <c r="A193" s="32" t="str">
        <f aca="false">IF($B193="","",ROW()-4)</f>
        <v/>
      </c>
      <c r="B193" s="26"/>
      <c r="C193" s="21"/>
      <c r="D193" s="24"/>
      <c r="E193" s="21"/>
      <c r="F193" s="24"/>
      <c r="G193" s="21"/>
      <c r="H193" s="22"/>
      <c r="I193" s="27"/>
      <c r="J193" s="27"/>
      <c r="K193" s="36" t="str">
        <f aca="false">IF($B193="","",IF($C193="泓普",$C$2,IF($C193="仟茂",$E$2,IF($C193="现金",$G$2,0)))+SUMIFS($I$5:$I193,$C$5:$C193,$C193)-SUMIFS($J$5:$J193,$C$5:$C193,$C193))</f>
        <v/>
      </c>
      <c r="L193" s="36" t="str">
        <f aca="false">IF($B193="","",$C$2+$E$2+$G$2+SUM($I$5:$I193)-SUM($J$5:$J193))</f>
        <v/>
      </c>
      <c r="M193" s="24"/>
      <c r="N193" s="33" t="str">
        <f aca="false">IF($B193="","",IF(NOT(ISNUMBER($B193)),"日期格式不对",IF($C193="","未选资金账户",IF(AND(N($I193)=0,N($J193)=0),"收支都为空",IF(AND(N($I193)&gt;0,N($J193)&gt;0),"收支不能同时填",IF(AND($D193&lt;&gt;"",LEFT($O193,1)="⚠"),"项目编号不存在",IF(AND($M193="是",$F193=""),"工程回款必须填往来单位","√")))))))</f>
        <v/>
      </c>
      <c r="O193" s="34" t="str">
        <f aca="false">IF($D193="","",IFERROR(INDEX(项目档案!$B$6:$B$255,MATCH($D193,项目档案!$A$6:$A$255,0)),"⚠编号不存在"))</f>
        <v/>
      </c>
      <c r="P193" s="35" t="str">
        <f aca="false">IF($B193="","",TEXT($B193,"yyyy-mm"))</f>
        <v/>
      </c>
    </row>
    <row r="194" customFormat="false" ht="15.75" hidden="false" customHeight="true" outlineLevel="0" collapsed="false">
      <c r="A194" s="32" t="str">
        <f aca="false">IF($B194="","",ROW()-4)</f>
        <v/>
      </c>
      <c r="B194" s="26"/>
      <c r="C194" s="21"/>
      <c r="D194" s="24"/>
      <c r="E194" s="21"/>
      <c r="F194" s="24"/>
      <c r="G194" s="21"/>
      <c r="H194" s="22"/>
      <c r="I194" s="27"/>
      <c r="J194" s="27"/>
      <c r="K194" s="36" t="str">
        <f aca="false">IF($B194="","",IF($C194="泓普",$C$2,IF($C194="仟茂",$E$2,IF($C194="现金",$G$2,0)))+SUMIFS($I$5:$I194,$C$5:$C194,$C194)-SUMIFS($J$5:$J194,$C$5:$C194,$C194))</f>
        <v/>
      </c>
      <c r="L194" s="36" t="str">
        <f aca="false">IF($B194="","",$C$2+$E$2+$G$2+SUM($I$5:$I194)-SUM($J$5:$J194))</f>
        <v/>
      </c>
      <c r="M194" s="24"/>
      <c r="N194" s="33" t="str">
        <f aca="false">IF($B194="","",IF(NOT(ISNUMBER($B194)),"日期格式不对",IF($C194="","未选资金账户",IF(AND(N($I194)=0,N($J194)=0),"收支都为空",IF(AND(N($I194)&gt;0,N($J194)&gt;0),"收支不能同时填",IF(AND($D194&lt;&gt;"",LEFT($O194,1)="⚠"),"项目编号不存在",IF(AND($M194="是",$F194=""),"工程回款必须填往来单位","√")))))))</f>
        <v/>
      </c>
      <c r="O194" s="34" t="str">
        <f aca="false">IF($D194="","",IFERROR(INDEX(项目档案!$B$6:$B$255,MATCH($D194,项目档案!$A$6:$A$255,0)),"⚠编号不存在"))</f>
        <v/>
      </c>
      <c r="P194" s="35" t="str">
        <f aca="false">IF($B194="","",TEXT($B194,"yyyy-mm"))</f>
        <v/>
      </c>
    </row>
    <row r="195" customFormat="false" ht="15.75" hidden="false" customHeight="true" outlineLevel="0" collapsed="false">
      <c r="A195" s="32" t="str">
        <f aca="false">IF($B195="","",ROW()-4)</f>
        <v/>
      </c>
      <c r="B195" s="26"/>
      <c r="C195" s="21"/>
      <c r="D195" s="24"/>
      <c r="E195" s="21"/>
      <c r="F195" s="24"/>
      <c r="G195" s="21"/>
      <c r="H195" s="22"/>
      <c r="I195" s="27"/>
      <c r="J195" s="27"/>
      <c r="K195" s="36" t="str">
        <f aca="false">IF($B195="","",IF($C195="泓普",$C$2,IF($C195="仟茂",$E$2,IF($C195="现金",$G$2,0)))+SUMIFS($I$5:$I195,$C$5:$C195,$C195)-SUMIFS($J$5:$J195,$C$5:$C195,$C195))</f>
        <v/>
      </c>
      <c r="L195" s="36" t="str">
        <f aca="false">IF($B195="","",$C$2+$E$2+$G$2+SUM($I$5:$I195)-SUM($J$5:$J195))</f>
        <v/>
      </c>
      <c r="M195" s="24"/>
      <c r="N195" s="33" t="str">
        <f aca="false">IF($B195="","",IF(NOT(ISNUMBER($B195)),"日期格式不对",IF($C195="","未选资金账户",IF(AND(N($I195)=0,N($J195)=0),"收支都为空",IF(AND(N($I195)&gt;0,N($J195)&gt;0),"收支不能同时填",IF(AND($D195&lt;&gt;"",LEFT($O195,1)="⚠"),"项目编号不存在",IF(AND($M195="是",$F195=""),"工程回款必须填往来单位","√")))))))</f>
        <v/>
      </c>
      <c r="O195" s="34" t="str">
        <f aca="false">IF($D195="","",IFERROR(INDEX(项目档案!$B$6:$B$255,MATCH($D195,项目档案!$A$6:$A$255,0)),"⚠编号不存在"))</f>
        <v/>
      </c>
      <c r="P195" s="35" t="str">
        <f aca="false">IF($B195="","",TEXT($B195,"yyyy-mm"))</f>
        <v/>
      </c>
    </row>
    <row r="196" customFormat="false" ht="15.75" hidden="false" customHeight="true" outlineLevel="0" collapsed="false">
      <c r="A196" s="32" t="str">
        <f aca="false">IF($B196="","",ROW()-4)</f>
        <v/>
      </c>
      <c r="B196" s="26"/>
      <c r="C196" s="21"/>
      <c r="D196" s="24"/>
      <c r="E196" s="21"/>
      <c r="F196" s="24"/>
      <c r="G196" s="21"/>
      <c r="H196" s="22"/>
      <c r="I196" s="27"/>
      <c r="J196" s="27"/>
      <c r="K196" s="36" t="str">
        <f aca="false">IF($B196="","",IF($C196="泓普",$C$2,IF($C196="仟茂",$E$2,IF($C196="现金",$G$2,0)))+SUMIFS($I$5:$I196,$C$5:$C196,$C196)-SUMIFS($J$5:$J196,$C$5:$C196,$C196))</f>
        <v/>
      </c>
      <c r="L196" s="36" t="str">
        <f aca="false">IF($B196="","",$C$2+$E$2+$G$2+SUM($I$5:$I196)-SUM($J$5:$J196))</f>
        <v/>
      </c>
      <c r="M196" s="24"/>
      <c r="N196" s="33" t="str">
        <f aca="false">IF($B196="","",IF(NOT(ISNUMBER($B196)),"日期格式不对",IF($C196="","未选资金账户",IF(AND(N($I196)=0,N($J196)=0),"收支都为空",IF(AND(N($I196)&gt;0,N($J196)&gt;0),"收支不能同时填",IF(AND($D196&lt;&gt;"",LEFT($O196,1)="⚠"),"项目编号不存在",IF(AND($M196="是",$F196=""),"工程回款必须填往来单位","√")))))))</f>
        <v/>
      </c>
      <c r="O196" s="34" t="str">
        <f aca="false">IF($D196="","",IFERROR(INDEX(项目档案!$B$6:$B$255,MATCH($D196,项目档案!$A$6:$A$255,0)),"⚠编号不存在"))</f>
        <v/>
      </c>
      <c r="P196" s="35" t="str">
        <f aca="false">IF($B196="","",TEXT($B196,"yyyy-mm"))</f>
        <v/>
      </c>
    </row>
    <row r="197" customFormat="false" ht="15.75" hidden="false" customHeight="true" outlineLevel="0" collapsed="false">
      <c r="A197" s="32" t="str">
        <f aca="false">IF($B197="","",ROW()-4)</f>
        <v/>
      </c>
      <c r="B197" s="26"/>
      <c r="C197" s="21"/>
      <c r="D197" s="24"/>
      <c r="E197" s="21"/>
      <c r="F197" s="24"/>
      <c r="G197" s="21"/>
      <c r="H197" s="22"/>
      <c r="I197" s="27"/>
      <c r="J197" s="27"/>
      <c r="K197" s="36" t="str">
        <f aca="false">IF($B197="","",IF($C197="泓普",$C$2,IF($C197="仟茂",$E$2,IF($C197="现金",$G$2,0)))+SUMIFS($I$5:$I197,$C$5:$C197,$C197)-SUMIFS($J$5:$J197,$C$5:$C197,$C197))</f>
        <v/>
      </c>
      <c r="L197" s="36" t="str">
        <f aca="false">IF($B197="","",$C$2+$E$2+$G$2+SUM($I$5:$I197)-SUM($J$5:$J197))</f>
        <v/>
      </c>
      <c r="M197" s="24"/>
      <c r="N197" s="33" t="str">
        <f aca="false">IF($B197="","",IF(NOT(ISNUMBER($B197)),"日期格式不对",IF($C197="","未选资金账户",IF(AND(N($I197)=0,N($J197)=0),"收支都为空",IF(AND(N($I197)&gt;0,N($J197)&gt;0),"收支不能同时填",IF(AND($D197&lt;&gt;"",LEFT($O197,1)="⚠"),"项目编号不存在",IF(AND($M197="是",$F197=""),"工程回款必须填往来单位","√")))))))</f>
        <v/>
      </c>
      <c r="O197" s="34" t="str">
        <f aca="false">IF($D197="","",IFERROR(INDEX(项目档案!$B$6:$B$255,MATCH($D197,项目档案!$A$6:$A$255,0)),"⚠编号不存在"))</f>
        <v/>
      </c>
      <c r="P197" s="35" t="str">
        <f aca="false">IF($B197="","",TEXT($B197,"yyyy-mm"))</f>
        <v/>
      </c>
    </row>
    <row r="198" customFormat="false" ht="15.75" hidden="false" customHeight="true" outlineLevel="0" collapsed="false">
      <c r="A198" s="32" t="str">
        <f aca="false">IF($B198="","",ROW()-4)</f>
        <v/>
      </c>
      <c r="B198" s="26"/>
      <c r="C198" s="21"/>
      <c r="D198" s="24"/>
      <c r="E198" s="21"/>
      <c r="F198" s="24"/>
      <c r="G198" s="21"/>
      <c r="H198" s="22"/>
      <c r="I198" s="27"/>
      <c r="J198" s="27"/>
      <c r="K198" s="36" t="str">
        <f aca="false">IF($B198="","",IF($C198="泓普",$C$2,IF($C198="仟茂",$E$2,IF($C198="现金",$G$2,0)))+SUMIFS($I$5:$I198,$C$5:$C198,$C198)-SUMIFS($J$5:$J198,$C$5:$C198,$C198))</f>
        <v/>
      </c>
      <c r="L198" s="36" t="str">
        <f aca="false">IF($B198="","",$C$2+$E$2+$G$2+SUM($I$5:$I198)-SUM($J$5:$J198))</f>
        <v/>
      </c>
      <c r="M198" s="24"/>
      <c r="N198" s="33" t="str">
        <f aca="false">IF($B198="","",IF(NOT(ISNUMBER($B198)),"日期格式不对",IF($C198="","未选资金账户",IF(AND(N($I198)=0,N($J198)=0),"收支都为空",IF(AND(N($I198)&gt;0,N($J198)&gt;0),"收支不能同时填",IF(AND($D198&lt;&gt;"",LEFT($O198,1)="⚠"),"项目编号不存在",IF(AND($M198="是",$F198=""),"工程回款必须填往来单位","√")))))))</f>
        <v/>
      </c>
      <c r="O198" s="34" t="str">
        <f aca="false">IF($D198="","",IFERROR(INDEX(项目档案!$B$6:$B$255,MATCH($D198,项目档案!$A$6:$A$255,0)),"⚠编号不存在"))</f>
        <v/>
      </c>
      <c r="P198" s="35" t="str">
        <f aca="false">IF($B198="","",TEXT($B198,"yyyy-mm"))</f>
        <v/>
      </c>
    </row>
    <row r="199" customFormat="false" ht="15.75" hidden="false" customHeight="true" outlineLevel="0" collapsed="false">
      <c r="A199" s="32" t="str">
        <f aca="false">IF($B199="","",ROW()-4)</f>
        <v/>
      </c>
      <c r="B199" s="26"/>
      <c r="C199" s="21"/>
      <c r="D199" s="24"/>
      <c r="E199" s="21"/>
      <c r="F199" s="24"/>
      <c r="G199" s="21"/>
      <c r="H199" s="22"/>
      <c r="I199" s="27"/>
      <c r="J199" s="27"/>
      <c r="K199" s="36" t="str">
        <f aca="false">IF($B199="","",IF($C199="泓普",$C$2,IF($C199="仟茂",$E$2,IF($C199="现金",$G$2,0)))+SUMIFS($I$5:$I199,$C$5:$C199,$C199)-SUMIFS($J$5:$J199,$C$5:$C199,$C199))</f>
        <v/>
      </c>
      <c r="L199" s="36" t="str">
        <f aca="false">IF($B199="","",$C$2+$E$2+$G$2+SUM($I$5:$I199)-SUM($J$5:$J199))</f>
        <v/>
      </c>
      <c r="M199" s="24"/>
      <c r="N199" s="33" t="str">
        <f aca="false">IF($B199="","",IF(NOT(ISNUMBER($B199)),"日期格式不对",IF($C199="","未选资金账户",IF(AND(N($I199)=0,N($J199)=0),"收支都为空",IF(AND(N($I199)&gt;0,N($J199)&gt;0),"收支不能同时填",IF(AND($D199&lt;&gt;"",LEFT($O199,1)="⚠"),"项目编号不存在",IF(AND($M199="是",$F199=""),"工程回款必须填往来单位","√")))))))</f>
        <v/>
      </c>
      <c r="O199" s="34" t="str">
        <f aca="false">IF($D199="","",IFERROR(INDEX(项目档案!$B$6:$B$255,MATCH($D199,项目档案!$A$6:$A$255,0)),"⚠编号不存在"))</f>
        <v/>
      </c>
      <c r="P199" s="35" t="str">
        <f aca="false">IF($B199="","",TEXT($B199,"yyyy-mm"))</f>
        <v/>
      </c>
    </row>
    <row r="200" customFormat="false" ht="15.75" hidden="false" customHeight="true" outlineLevel="0" collapsed="false">
      <c r="A200" s="32" t="str">
        <f aca="false">IF($B200="","",ROW()-4)</f>
        <v/>
      </c>
      <c r="B200" s="26"/>
      <c r="C200" s="21"/>
      <c r="D200" s="24"/>
      <c r="E200" s="21"/>
      <c r="F200" s="24"/>
      <c r="G200" s="21"/>
      <c r="H200" s="22"/>
      <c r="I200" s="27"/>
      <c r="J200" s="27"/>
      <c r="K200" s="36" t="str">
        <f aca="false">IF($B200="","",IF($C200="泓普",$C$2,IF($C200="仟茂",$E$2,IF($C200="现金",$G$2,0)))+SUMIFS($I$5:$I200,$C$5:$C200,$C200)-SUMIFS($J$5:$J200,$C$5:$C200,$C200))</f>
        <v/>
      </c>
      <c r="L200" s="36" t="str">
        <f aca="false">IF($B200="","",$C$2+$E$2+$G$2+SUM($I$5:$I200)-SUM($J$5:$J200))</f>
        <v/>
      </c>
      <c r="M200" s="24"/>
      <c r="N200" s="33" t="str">
        <f aca="false">IF($B200="","",IF(NOT(ISNUMBER($B200)),"日期格式不对",IF($C200="","未选资金账户",IF(AND(N($I200)=0,N($J200)=0),"收支都为空",IF(AND(N($I200)&gt;0,N($J200)&gt;0),"收支不能同时填",IF(AND($D200&lt;&gt;"",LEFT($O200,1)="⚠"),"项目编号不存在",IF(AND($M200="是",$F200=""),"工程回款必须填往来单位","√")))))))</f>
        <v/>
      </c>
      <c r="O200" s="34" t="str">
        <f aca="false">IF($D200="","",IFERROR(INDEX(项目档案!$B$6:$B$255,MATCH($D200,项目档案!$A$6:$A$255,0)),"⚠编号不存在"))</f>
        <v/>
      </c>
      <c r="P200" s="35" t="str">
        <f aca="false">IF($B200="","",TEXT($B200,"yyyy-mm"))</f>
        <v/>
      </c>
    </row>
    <row r="201" customFormat="false" ht="15.75" hidden="false" customHeight="true" outlineLevel="0" collapsed="false">
      <c r="A201" s="32" t="str">
        <f aca="false">IF($B201="","",ROW()-4)</f>
        <v/>
      </c>
      <c r="B201" s="26"/>
      <c r="C201" s="21"/>
      <c r="D201" s="24"/>
      <c r="E201" s="21"/>
      <c r="F201" s="24"/>
      <c r="G201" s="21"/>
      <c r="H201" s="22"/>
      <c r="I201" s="27"/>
      <c r="J201" s="27"/>
      <c r="K201" s="36" t="str">
        <f aca="false">IF($B201="","",IF($C201="泓普",$C$2,IF($C201="仟茂",$E$2,IF($C201="现金",$G$2,0)))+SUMIFS($I$5:$I201,$C$5:$C201,$C201)-SUMIFS($J$5:$J201,$C$5:$C201,$C201))</f>
        <v/>
      </c>
      <c r="L201" s="36" t="str">
        <f aca="false">IF($B201="","",$C$2+$E$2+$G$2+SUM($I$5:$I201)-SUM($J$5:$J201))</f>
        <v/>
      </c>
      <c r="M201" s="24"/>
      <c r="N201" s="33" t="str">
        <f aca="false">IF($B201="","",IF(NOT(ISNUMBER($B201)),"日期格式不对",IF($C201="","未选资金账户",IF(AND(N($I201)=0,N($J201)=0),"收支都为空",IF(AND(N($I201)&gt;0,N($J201)&gt;0),"收支不能同时填",IF(AND($D201&lt;&gt;"",LEFT($O201,1)="⚠"),"项目编号不存在",IF(AND($M201="是",$F201=""),"工程回款必须填往来单位","√")))))))</f>
        <v/>
      </c>
      <c r="O201" s="34" t="str">
        <f aca="false">IF($D201="","",IFERROR(INDEX(项目档案!$B$6:$B$255,MATCH($D201,项目档案!$A$6:$A$255,0)),"⚠编号不存在"))</f>
        <v/>
      </c>
      <c r="P201" s="35" t="str">
        <f aca="false">IF($B201="","",TEXT($B201,"yyyy-mm"))</f>
        <v/>
      </c>
    </row>
    <row r="202" customFormat="false" ht="15.75" hidden="false" customHeight="true" outlineLevel="0" collapsed="false">
      <c r="A202" s="32" t="str">
        <f aca="false">IF($B202="","",ROW()-4)</f>
        <v/>
      </c>
      <c r="B202" s="26"/>
      <c r="C202" s="21"/>
      <c r="D202" s="24"/>
      <c r="E202" s="21"/>
      <c r="F202" s="24"/>
      <c r="G202" s="21"/>
      <c r="H202" s="22"/>
      <c r="I202" s="27"/>
      <c r="J202" s="27"/>
      <c r="K202" s="36" t="str">
        <f aca="false">IF($B202="","",IF($C202="泓普",$C$2,IF($C202="仟茂",$E$2,IF($C202="现金",$G$2,0)))+SUMIFS($I$5:$I202,$C$5:$C202,$C202)-SUMIFS($J$5:$J202,$C$5:$C202,$C202))</f>
        <v/>
      </c>
      <c r="L202" s="36" t="str">
        <f aca="false">IF($B202="","",$C$2+$E$2+$G$2+SUM($I$5:$I202)-SUM($J$5:$J202))</f>
        <v/>
      </c>
      <c r="M202" s="24"/>
      <c r="N202" s="33" t="str">
        <f aca="false">IF($B202="","",IF(NOT(ISNUMBER($B202)),"日期格式不对",IF($C202="","未选资金账户",IF(AND(N($I202)=0,N($J202)=0),"收支都为空",IF(AND(N($I202)&gt;0,N($J202)&gt;0),"收支不能同时填",IF(AND($D202&lt;&gt;"",LEFT($O202,1)="⚠"),"项目编号不存在",IF(AND($M202="是",$F202=""),"工程回款必须填往来单位","√")))))))</f>
        <v/>
      </c>
      <c r="O202" s="34" t="str">
        <f aca="false">IF($D202="","",IFERROR(INDEX(项目档案!$B$6:$B$255,MATCH($D202,项目档案!$A$6:$A$255,0)),"⚠编号不存在"))</f>
        <v/>
      </c>
      <c r="P202" s="35" t="str">
        <f aca="false">IF($B202="","",TEXT($B202,"yyyy-mm"))</f>
        <v/>
      </c>
    </row>
    <row r="203" customFormat="false" ht="15.75" hidden="false" customHeight="true" outlineLevel="0" collapsed="false">
      <c r="A203" s="32" t="str">
        <f aca="false">IF($B203="","",ROW()-4)</f>
        <v/>
      </c>
      <c r="B203" s="26"/>
      <c r="C203" s="21"/>
      <c r="D203" s="24"/>
      <c r="E203" s="21"/>
      <c r="F203" s="24"/>
      <c r="G203" s="21"/>
      <c r="H203" s="22"/>
      <c r="I203" s="27"/>
      <c r="J203" s="27"/>
      <c r="K203" s="36" t="str">
        <f aca="false">IF($B203="","",IF($C203="泓普",$C$2,IF($C203="仟茂",$E$2,IF($C203="现金",$G$2,0)))+SUMIFS($I$5:$I203,$C$5:$C203,$C203)-SUMIFS($J$5:$J203,$C$5:$C203,$C203))</f>
        <v/>
      </c>
      <c r="L203" s="36" t="str">
        <f aca="false">IF($B203="","",$C$2+$E$2+$G$2+SUM($I$5:$I203)-SUM($J$5:$J203))</f>
        <v/>
      </c>
      <c r="M203" s="24"/>
      <c r="N203" s="33" t="str">
        <f aca="false">IF($B203="","",IF(NOT(ISNUMBER($B203)),"日期格式不对",IF($C203="","未选资金账户",IF(AND(N($I203)=0,N($J203)=0),"收支都为空",IF(AND(N($I203)&gt;0,N($J203)&gt;0),"收支不能同时填",IF(AND($D203&lt;&gt;"",LEFT($O203,1)="⚠"),"项目编号不存在",IF(AND($M203="是",$F203=""),"工程回款必须填往来单位","√")))))))</f>
        <v/>
      </c>
      <c r="O203" s="34" t="str">
        <f aca="false">IF($D203="","",IFERROR(INDEX(项目档案!$B$6:$B$255,MATCH($D203,项目档案!$A$6:$A$255,0)),"⚠编号不存在"))</f>
        <v/>
      </c>
      <c r="P203" s="35" t="str">
        <f aca="false">IF($B203="","",TEXT($B203,"yyyy-mm"))</f>
        <v/>
      </c>
    </row>
    <row r="204" customFormat="false" ht="15.75" hidden="false" customHeight="true" outlineLevel="0" collapsed="false">
      <c r="A204" s="32" t="str">
        <f aca="false">IF($B204="","",ROW()-4)</f>
        <v/>
      </c>
      <c r="B204" s="26"/>
      <c r="C204" s="21"/>
      <c r="D204" s="24"/>
      <c r="E204" s="21"/>
      <c r="F204" s="24"/>
      <c r="G204" s="21"/>
      <c r="H204" s="22"/>
      <c r="I204" s="27"/>
      <c r="J204" s="27"/>
      <c r="K204" s="36" t="str">
        <f aca="false">IF($B204="","",IF($C204="泓普",$C$2,IF($C204="仟茂",$E$2,IF($C204="现金",$G$2,0)))+SUMIFS($I$5:$I204,$C$5:$C204,$C204)-SUMIFS($J$5:$J204,$C$5:$C204,$C204))</f>
        <v/>
      </c>
      <c r="L204" s="36" t="str">
        <f aca="false">IF($B204="","",$C$2+$E$2+$G$2+SUM($I$5:$I204)-SUM($J$5:$J204))</f>
        <v/>
      </c>
      <c r="M204" s="24"/>
      <c r="N204" s="33" t="str">
        <f aca="false">IF($B204="","",IF(NOT(ISNUMBER($B204)),"日期格式不对",IF($C204="","未选资金账户",IF(AND(N($I204)=0,N($J204)=0),"收支都为空",IF(AND(N($I204)&gt;0,N($J204)&gt;0),"收支不能同时填",IF(AND($D204&lt;&gt;"",LEFT($O204,1)="⚠"),"项目编号不存在",IF(AND($M204="是",$F204=""),"工程回款必须填往来单位","√")))))))</f>
        <v/>
      </c>
      <c r="O204" s="34" t="str">
        <f aca="false">IF($D204="","",IFERROR(INDEX(项目档案!$B$6:$B$255,MATCH($D204,项目档案!$A$6:$A$255,0)),"⚠编号不存在"))</f>
        <v/>
      </c>
      <c r="P204" s="35" t="str">
        <f aca="false">IF($B204="","",TEXT($B204,"yyyy-mm"))</f>
        <v/>
      </c>
    </row>
    <row r="205" customFormat="false" ht="15.75" hidden="false" customHeight="true" outlineLevel="0" collapsed="false">
      <c r="A205" s="32" t="str">
        <f aca="false">IF($B205="","",ROW()-4)</f>
        <v/>
      </c>
      <c r="B205" s="26"/>
      <c r="C205" s="21"/>
      <c r="D205" s="24"/>
      <c r="E205" s="21"/>
      <c r="F205" s="24"/>
      <c r="G205" s="21"/>
      <c r="H205" s="22"/>
      <c r="I205" s="27"/>
      <c r="J205" s="27"/>
      <c r="K205" s="36" t="str">
        <f aca="false">IF($B205="","",IF($C205="泓普",$C$2,IF($C205="仟茂",$E$2,IF($C205="现金",$G$2,0)))+SUMIFS($I$5:$I205,$C$5:$C205,$C205)-SUMIFS($J$5:$J205,$C$5:$C205,$C205))</f>
        <v/>
      </c>
      <c r="L205" s="36" t="str">
        <f aca="false">IF($B205="","",$C$2+$E$2+$G$2+SUM($I$5:$I205)-SUM($J$5:$J205))</f>
        <v/>
      </c>
      <c r="M205" s="24"/>
      <c r="N205" s="33" t="str">
        <f aca="false">IF($B205="","",IF(NOT(ISNUMBER($B205)),"日期格式不对",IF($C205="","未选资金账户",IF(AND(N($I205)=0,N($J205)=0),"收支都为空",IF(AND(N($I205)&gt;0,N($J205)&gt;0),"收支不能同时填",IF(AND($D205&lt;&gt;"",LEFT($O205,1)="⚠"),"项目编号不存在",IF(AND($M205="是",$F205=""),"工程回款必须填往来单位","√")))))))</f>
        <v/>
      </c>
      <c r="O205" s="34" t="str">
        <f aca="false">IF($D205="","",IFERROR(INDEX(项目档案!$B$6:$B$255,MATCH($D205,项目档案!$A$6:$A$255,0)),"⚠编号不存在"))</f>
        <v/>
      </c>
      <c r="P205" s="35" t="str">
        <f aca="false">IF($B205="","",TEXT($B205,"yyyy-mm"))</f>
        <v/>
      </c>
    </row>
    <row r="206" customFormat="false" ht="15.75" hidden="false" customHeight="true" outlineLevel="0" collapsed="false">
      <c r="A206" s="32" t="str">
        <f aca="false">IF($B206="","",ROW()-4)</f>
        <v/>
      </c>
      <c r="B206" s="26"/>
      <c r="C206" s="21"/>
      <c r="D206" s="24"/>
      <c r="E206" s="21"/>
      <c r="F206" s="24"/>
      <c r="G206" s="21"/>
      <c r="H206" s="22"/>
      <c r="I206" s="27"/>
      <c r="J206" s="27"/>
      <c r="K206" s="36" t="str">
        <f aca="false">IF($B206="","",IF($C206="泓普",$C$2,IF($C206="仟茂",$E$2,IF($C206="现金",$G$2,0)))+SUMIFS($I$5:$I206,$C$5:$C206,$C206)-SUMIFS($J$5:$J206,$C$5:$C206,$C206))</f>
        <v/>
      </c>
      <c r="L206" s="36" t="str">
        <f aca="false">IF($B206="","",$C$2+$E$2+$G$2+SUM($I$5:$I206)-SUM($J$5:$J206))</f>
        <v/>
      </c>
      <c r="M206" s="24"/>
      <c r="N206" s="33" t="str">
        <f aca="false">IF($B206="","",IF(NOT(ISNUMBER($B206)),"日期格式不对",IF($C206="","未选资金账户",IF(AND(N($I206)=0,N($J206)=0),"收支都为空",IF(AND(N($I206)&gt;0,N($J206)&gt;0),"收支不能同时填",IF(AND($D206&lt;&gt;"",LEFT($O206,1)="⚠"),"项目编号不存在",IF(AND($M206="是",$F206=""),"工程回款必须填往来单位","√")))))))</f>
        <v/>
      </c>
      <c r="O206" s="34" t="str">
        <f aca="false">IF($D206="","",IFERROR(INDEX(项目档案!$B$6:$B$255,MATCH($D206,项目档案!$A$6:$A$255,0)),"⚠编号不存在"))</f>
        <v/>
      </c>
      <c r="P206" s="35" t="str">
        <f aca="false">IF($B206="","",TEXT($B206,"yyyy-mm"))</f>
        <v/>
      </c>
    </row>
    <row r="207" customFormat="false" ht="15.75" hidden="false" customHeight="true" outlineLevel="0" collapsed="false">
      <c r="A207" s="32" t="str">
        <f aca="false">IF($B207="","",ROW()-4)</f>
        <v/>
      </c>
      <c r="B207" s="26"/>
      <c r="C207" s="21"/>
      <c r="D207" s="24"/>
      <c r="E207" s="21"/>
      <c r="F207" s="24"/>
      <c r="G207" s="21"/>
      <c r="H207" s="22"/>
      <c r="I207" s="27"/>
      <c r="J207" s="27"/>
      <c r="K207" s="36" t="str">
        <f aca="false">IF($B207="","",IF($C207="泓普",$C$2,IF($C207="仟茂",$E$2,IF($C207="现金",$G$2,0)))+SUMIFS($I$5:$I207,$C$5:$C207,$C207)-SUMIFS($J$5:$J207,$C$5:$C207,$C207))</f>
        <v/>
      </c>
      <c r="L207" s="36" t="str">
        <f aca="false">IF($B207="","",$C$2+$E$2+$G$2+SUM($I$5:$I207)-SUM($J$5:$J207))</f>
        <v/>
      </c>
      <c r="M207" s="24"/>
      <c r="N207" s="33" t="str">
        <f aca="false">IF($B207="","",IF(NOT(ISNUMBER($B207)),"日期格式不对",IF($C207="","未选资金账户",IF(AND(N($I207)=0,N($J207)=0),"收支都为空",IF(AND(N($I207)&gt;0,N($J207)&gt;0),"收支不能同时填",IF(AND($D207&lt;&gt;"",LEFT($O207,1)="⚠"),"项目编号不存在",IF(AND($M207="是",$F207=""),"工程回款必须填往来单位","√")))))))</f>
        <v/>
      </c>
      <c r="O207" s="34" t="str">
        <f aca="false">IF($D207="","",IFERROR(INDEX(项目档案!$B$6:$B$255,MATCH($D207,项目档案!$A$6:$A$255,0)),"⚠编号不存在"))</f>
        <v/>
      </c>
      <c r="P207" s="35" t="str">
        <f aca="false">IF($B207="","",TEXT($B207,"yyyy-mm"))</f>
        <v/>
      </c>
    </row>
    <row r="208" customFormat="false" ht="15.75" hidden="false" customHeight="true" outlineLevel="0" collapsed="false">
      <c r="A208" s="32" t="str">
        <f aca="false">IF($B208="","",ROW()-4)</f>
        <v/>
      </c>
      <c r="B208" s="26"/>
      <c r="C208" s="21"/>
      <c r="D208" s="24"/>
      <c r="E208" s="21"/>
      <c r="F208" s="24"/>
      <c r="G208" s="21"/>
      <c r="H208" s="22"/>
      <c r="I208" s="27"/>
      <c r="J208" s="27"/>
      <c r="K208" s="36" t="str">
        <f aca="false">IF($B208="","",IF($C208="泓普",$C$2,IF($C208="仟茂",$E$2,IF($C208="现金",$G$2,0)))+SUMIFS($I$5:$I208,$C$5:$C208,$C208)-SUMIFS($J$5:$J208,$C$5:$C208,$C208))</f>
        <v/>
      </c>
      <c r="L208" s="36" t="str">
        <f aca="false">IF($B208="","",$C$2+$E$2+$G$2+SUM($I$5:$I208)-SUM($J$5:$J208))</f>
        <v/>
      </c>
      <c r="M208" s="24"/>
      <c r="N208" s="33" t="str">
        <f aca="false">IF($B208="","",IF(NOT(ISNUMBER($B208)),"日期格式不对",IF($C208="","未选资金账户",IF(AND(N($I208)=0,N($J208)=0),"收支都为空",IF(AND(N($I208)&gt;0,N($J208)&gt;0),"收支不能同时填",IF(AND($D208&lt;&gt;"",LEFT($O208,1)="⚠"),"项目编号不存在",IF(AND($M208="是",$F208=""),"工程回款必须填往来单位","√")))))))</f>
        <v/>
      </c>
      <c r="O208" s="34" t="str">
        <f aca="false">IF($D208="","",IFERROR(INDEX(项目档案!$B$6:$B$255,MATCH($D208,项目档案!$A$6:$A$255,0)),"⚠编号不存在"))</f>
        <v/>
      </c>
      <c r="P208" s="35" t="str">
        <f aca="false">IF($B208="","",TEXT($B208,"yyyy-mm"))</f>
        <v/>
      </c>
    </row>
    <row r="209" customFormat="false" ht="15.75" hidden="false" customHeight="true" outlineLevel="0" collapsed="false">
      <c r="A209" s="32" t="str">
        <f aca="false">IF($B209="","",ROW()-4)</f>
        <v/>
      </c>
      <c r="B209" s="26"/>
      <c r="C209" s="21"/>
      <c r="D209" s="24"/>
      <c r="E209" s="21"/>
      <c r="F209" s="24"/>
      <c r="G209" s="21"/>
      <c r="H209" s="22"/>
      <c r="I209" s="27"/>
      <c r="J209" s="27"/>
      <c r="K209" s="36" t="str">
        <f aca="false">IF($B209="","",IF($C209="泓普",$C$2,IF($C209="仟茂",$E$2,IF($C209="现金",$G$2,0)))+SUMIFS($I$5:$I209,$C$5:$C209,$C209)-SUMIFS($J$5:$J209,$C$5:$C209,$C209))</f>
        <v/>
      </c>
      <c r="L209" s="36" t="str">
        <f aca="false">IF($B209="","",$C$2+$E$2+$G$2+SUM($I$5:$I209)-SUM($J$5:$J209))</f>
        <v/>
      </c>
      <c r="M209" s="24"/>
      <c r="N209" s="33" t="str">
        <f aca="false">IF($B209="","",IF(NOT(ISNUMBER($B209)),"日期格式不对",IF($C209="","未选资金账户",IF(AND(N($I209)=0,N($J209)=0),"收支都为空",IF(AND(N($I209)&gt;0,N($J209)&gt;0),"收支不能同时填",IF(AND($D209&lt;&gt;"",LEFT($O209,1)="⚠"),"项目编号不存在",IF(AND($M209="是",$F209=""),"工程回款必须填往来单位","√")))))))</f>
        <v/>
      </c>
      <c r="O209" s="34" t="str">
        <f aca="false">IF($D209="","",IFERROR(INDEX(项目档案!$B$6:$B$255,MATCH($D209,项目档案!$A$6:$A$255,0)),"⚠编号不存在"))</f>
        <v/>
      </c>
      <c r="P209" s="35" t="str">
        <f aca="false">IF($B209="","",TEXT($B209,"yyyy-mm"))</f>
        <v/>
      </c>
    </row>
    <row r="210" customFormat="false" ht="15.75" hidden="false" customHeight="true" outlineLevel="0" collapsed="false">
      <c r="A210" s="32" t="str">
        <f aca="false">IF($B210="","",ROW()-4)</f>
        <v/>
      </c>
      <c r="B210" s="26"/>
      <c r="C210" s="21"/>
      <c r="D210" s="24"/>
      <c r="E210" s="21"/>
      <c r="F210" s="24"/>
      <c r="G210" s="21"/>
      <c r="H210" s="22"/>
      <c r="I210" s="27"/>
      <c r="J210" s="27"/>
      <c r="K210" s="36" t="str">
        <f aca="false">IF($B210="","",IF($C210="泓普",$C$2,IF($C210="仟茂",$E$2,IF($C210="现金",$G$2,0)))+SUMIFS($I$5:$I210,$C$5:$C210,$C210)-SUMIFS($J$5:$J210,$C$5:$C210,$C210))</f>
        <v/>
      </c>
      <c r="L210" s="36" t="str">
        <f aca="false">IF($B210="","",$C$2+$E$2+$G$2+SUM($I$5:$I210)-SUM($J$5:$J210))</f>
        <v/>
      </c>
      <c r="M210" s="24"/>
      <c r="N210" s="33" t="str">
        <f aca="false">IF($B210="","",IF(NOT(ISNUMBER($B210)),"日期格式不对",IF($C210="","未选资金账户",IF(AND(N($I210)=0,N($J210)=0),"收支都为空",IF(AND(N($I210)&gt;0,N($J210)&gt;0),"收支不能同时填",IF(AND($D210&lt;&gt;"",LEFT($O210,1)="⚠"),"项目编号不存在",IF(AND($M210="是",$F210=""),"工程回款必须填往来单位","√")))))))</f>
        <v/>
      </c>
      <c r="O210" s="34" t="str">
        <f aca="false">IF($D210="","",IFERROR(INDEX(项目档案!$B$6:$B$255,MATCH($D210,项目档案!$A$6:$A$255,0)),"⚠编号不存在"))</f>
        <v/>
      </c>
      <c r="P210" s="35" t="str">
        <f aca="false">IF($B210="","",TEXT($B210,"yyyy-mm"))</f>
        <v/>
      </c>
    </row>
    <row r="211" customFormat="false" ht="15.75" hidden="false" customHeight="true" outlineLevel="0" collapsed="false">
      <c r="A211" s="32" t="str">
        <f aca="false">IF($B211="","",ROW()-4)</f>
        <v/>
      </c>
      <c r="B211" s="26"/>
      <c r="C211" s="21"/>
      <c r="D211" s="24"/>
      <c r="E211" s="21"/>
      <c r="F211" s="24"/>
      <c r="G211" s="21"/>
      <c r="H211" s="22"/>
      <c r="I211" s="27"/>
      <c r="J211" s="27"/>
      <c r="K211" s="36" t="str">
        <f aca="false">IF($B211="","",IF($C211="泓普",$C$2,IF($C211="仟茂",$E$2,IF($C211="现金",$G$2,0)))+SUMIFS($I$5:$I211,$C$5:$C211,$C211)-SUMIFS($J$5:$J211,$C$5:$C211,$C211))</f>
        <v/>
      </c>
      <c r="L211" s="36" t="str">
        <f aca="false">IF($B211="","",$C$2+$E$2+$G$2+SUM($I$5:$I211)-SUM($J$5:$J211))</f>
        <v/>
      </c>
      <c r="M211" s="24"/>
      <c r="N211" s="33" t="str">
        <f aca="false">IF($B211="","",IF(NOT(ISNUMBER($B211)),"日期格式不对",IF($C211="","未选资金账户",IF(AND(N($I211)=0,N($J211)=0),"收支都为空",IF(AND(N($I211)&gt;0,N($J211)&gt;0),"收支不能同时填",IF(AND($D211&lt;&gt;"",LEFT($O211,1)="⚠"),"项目编号不存在",IF(AND($M211="是",$F211=""),"工程回款必须填往来单位","√")))))))</f>
        <v/>
      </c>
      <c r="O211" s="34" t="str">
        <f aca="false">IF($D211="","",IFERROR(INDEX(项目档案!$B$6:$B$255,MATCH($D211,项目档案!$A$6:$A$255,0)),"⚠编号不存在"))</f>
        <v/>
      </c>
      <c r="P211" s="35" t="str">
        <f aca="false">IF($B211="","",TEXT($B211,"yyyy-mm"))</f>
        <v/>
      </c>
    </row>
    <row r="212" customFormat="false" ht="15.75" hidden="false" customHeight="true" outlineLevel="0" collapsed="false">
      <c r="A212" s="32" t="str">
        <f aca="false">IF($B212="","",ROW()-4)</f>
        <v/>
      </c>
      <c r="B212" s="26"/>
      <c r="C212" s="21"/>
      <c r="D212" s="24"/>
      <c r="E212" s="21"/>
      <c r="F212" s="24"/>
      <c r="G212" s="21"/>
      <c r="H212" s="22"/>
      <c r="I212" s="27"/>
      <c r="J212" s="27"/>
      <c r="K212" s="36" t="str">
        <f aca="false">IF($B212="","",IF($C212="泓普",$C$2,IF($C212="仟茂",$E$2,IF($C212="现金",$G$2,0)))+SUMIFS($I$5:$I212,$C$5:$C212,$C212)-SUMIFS($J$5:$J212,$C$5:$C212,$C212))</f>
        <v/>
      </c>
      <c r="L212" s="36" t="str">
        <f aca="false">IF($B212="","",$C$2+$E$2+$G$2+SUM($I$5:$I212)-SUM($J$5:$J212))</f>
        <v/>
      </c>
      <c r="M212" s="24"/>
      <c r="N212" s="33" t="str">
        <f aca="false">IF($B212="","",IF(NOT(ISNUMBER($B212)),"日期格式不对",IF($C212="","未选资金账户",IF(AND(N($I212)=0,N($J212)=0),"收支都为空",IF(AND(N($I212)&gt;0,N($J212)&gt;0),"收支不能同时填",IF(AND($D212&lt;&gt;"",LEFT($O212,1)="⚠"),"项目编号不存在",IF(AND($M212="是",$F212=""),"工程回款必须填往来单位","√")))))))</f>
        <v/>
      </c>
      <c r="O212" s="34" t="str">
        <f aca="false">IF($D212="","",IFERROR(INDEX(项目档案!$B$6:$B$255,MATCH($D212,项目档案!$A$6:$A$255,0)),"⚠编号不存在"))</f>
        <v/>
      </c>
      <c r="P212" s="35" t="str">
        <f aca="false">IF($B212="","",TEXT($B212,"yyyy-mm"))</f>
        <v/>
      </c>
    </row>
    <row r="213" customFormat="false" ht="15.75" hidden="false" customHeight="true" outlineLevel="0" collapsed="false">
      <c r="A213" s="32" t="str">
        <f aca="false">IF($B213="","",ROW()-4)</f>
        <v/>
      </c>
      <c r="B213" s="26"/>
      <c r="C213" s="21"/>
      <c r="D213" s="24"/>
      <c r="E213" s="21"/>
      <c r="F213" s="24"/>
      <c r="G213" s="21"/>
      <c r="H213" s="22"/>
      <c r="I213" s="27"/>
      <c r="J213" s="27"/>
      <c r="K213" s="36" t="str">
        <f aca="false">IF($B213="","",IF($C213="泓普",$C$2,IF($C213="仟茂",$E$2,IF($C213="现金",$G$2,0)))+SUMIFS($I$5:$I213,$C$5:$C213,$C213)-SUMIFS($J$5:$J213,$C$5:$C213,$C213))</f>
        <v/>
      </c>
      <c r="L213" s="36" t="str">
        <f aca="false">IF($B213="","",$C$2+$E$2+$G$2+SUM($I$5:$I213)-SUM($J$5:$J213))</f>
        <v/>
      </c>
      <c r="M213" s="24"/>
      <c r="N213" s="33" t="str">
        <f aca="false">IF($B213="","",IF(NOT(ISNUMBER($B213)),"日期格式不对",IF($C213="","未选资金账户",IF(AND(N($I213)=0,N($J213)=0),"收支都为空",IF(AND(N($I213)&gt;0,N($J213)&gt;0),"收支不能同时填",IF(AND($D213&lt;&gt;"",LEFT($O213,1)="⚠"),"项目编号不存在",IF(AND($M213="是",$F213=""),"工程回款必须填往来单位","√")))))))</f>
        <v/>
      </c>
      <c r="O213" s="34" t="str">
        <f aca="false">IF($D213="","",IFERROR(INDEX(项目档案!$B$6:$B$255,MATCH($D213,项目档案!$A$6:$A$255,0)),"⚠编号不存在"))</f>
        <v/>
      </c>
      <c r="P213" s="35" t="str">
        <f aca="false">IF($B213="","",TEXT($B213,"yyyy-mm"))</f>
        <v/>
      </c>
    </row>
    <row r="214" customFormat="false" ht="15.75" hidden="false" customHeight="true" outlineLevel="0" collapsed="false">
      <c r="A214" s="32" t="str">
        <f aca="false">IF($B214="","",ROW()-4)</f>
        <v/>
      </c>
      <c r="B214" s="26"/>
      <c r="C214" s="21"/>
      <c r="D214" s="24"/>
      <c r="E214" s="21"/>
      <c r="F214" s="24"/>
      <c r="G214" s="21"/>
      <c r="H214" s="22"/>
      <c r="I214" s="27"/>
      <c r="J214" s="27"/>
      <c r="K214" s="36" t="str">
        <f aca="false">IF($B214="","",IF($C214="泓普",$C$2,IF($C214="仟茂",$E$2,IF($C214="现金",$G$2,0)))+SUMIFS($I$5:$I214,$C$5:$C214,$C214)-SUMIFS($J$5:$J214,$C$5:$C214,$C214))</f>
        <v/>
      </c>
      <c r="L214" s="36" t="str">
        <f aca="false">IF($B214="","",$C$2+$E$2+$G$2+SUM($I$5:$I214)-SUM($J$5:$J214))</f>
        <v/>
      </c>
      <c r="M214" s="24"/>
      <c r="N214" s="33" t="str">
        <f aca="false">IF($B214="","",IF(NOT(ISNUMBER($B214)),"日期格式不对",IF($C214="","未选资金账户",IF(AND(N($I214)=0,N($J214)=0),"收支都为空",IF(AND(N($I214)&gt;0,N($J214)&gt;0),"收支不能同时填",IF(AND($D214&lt;&gt;"",LEFT($O214,1)="⚠"),"项目编号不存在",IF(AND($M214="是",$F214=""),"工程回款必须填往来单位","√")))))))</f>
        <v/>
      </c>
      <c r="O214" s="34" t="str">
        <f aca="false">IF($D214="","",IFERROR(INDEX(项目档案!$B$6:$B$255,MATCH($D214,项目档案!$A$6:$A$255,0)),"⚠编号不存在"))</f>
        <v/>
      </c>
      <c r="P214" s="35" t="str">
        <f aca="false">IF($B214="","",TEXT($B214,"yyyy-mm"))</f>
        <v/>
      </c>
    </row>
    <row r="215" customFormat="false" ht="15.75" hidden="false" customHeight="true" outlineLevel="0" collapsed="false">
      <c r="A215" s="32" t="str">
        <f aca="false">IF($B215="","",ROW()-4)</f>
        <v/>
      </c>
      <c r="B215" s="26"/>
      <c r="C215" s="21"/>
      <c r="D215" s="24"/>
      <c r="E215" s="21"/>
      <c r="F215" s="24"/>
      <c r="G215" s="21"/>
      <c r="H215" s="22"/>
      <c r="I215" s="27"/>
      <c r="J215" s="27"/>
      <c r="K215" s="36" t="str">
        <f aca="false">IF($B215="","",IF($C215="泓普",$C$2,IF($C215="仟茂",$E$2,IF($C215="现金",$G$2,0)))+SUMIFS($I$5:$I215,$C$5:$C215,$C215)-SUMIFS($J$5:$J215,$C$5:$C215,$C215))</f>
        <v/>
      </c>
      <c r="L215" s="36" t="str">
        <f aca="false">IF($B215="","",$C$2+$E$2+$G$2+SUM($I$5:$I215)-SUM($J$5:$J215))</f>
        <v/>
      </c>
      <c r="M215" s="24"/>
      <c r="N215" s="33" t="str">
        <f aca="false">IF($B215="","",IF(NOT(ISNUMBER($B215)),"日期格式不对",IF($C215="","未选资金账户",IF(AND(N($I215)=0,N($J215)=0),"收支都为空",IF(AND(N($I215)&gt;0,N($J215)&gt;0),"收支不能同时填",IF(AND($D215&lt;&gt;"",LEFT($O215,1)="⚠"),"项目编号不存在",IF(AND($M215="是",$F215=""),"工程回款必须填往来单位","√")))))))</f>
        <v/>
      </c>
      <c r="O215" s="34" t="str">
        <f aca="false">IF($D215="","",IFERROR(INDEX(项目档案!$B$6:$B$255,MATCH($D215,项目档案!$A$6:$A$255,0)),"⚠编号不存在"))</f>
        <v/>
      </c>
      <c r="P215" s="35" t="str">
        <f aca="false">IF($B215="","",TEXT($B215,"yyyy-mm"))</f>
        <v/>
      </c>
    </row>
    <row r="216" customFormat="false" ht="15.75" hidden="false" customHeight="true" outlineLevel="0" collapsed="false">
      <c r="A216" s="32" t="str">
        <f aca="false">IF($B216="","",ROW()-4)</f>
        <v/>
      </c>
      <c r="B216" s="26"/>
      <c r="C216" s="21"/>
      <c r="D216" s="24"/>
      <c r="E216" s="21"/>
      <c r="F216" s="24"/>
      <c r="G216" s="21"/>
      <c r="H216" s="22"/>
      <c r="I216" s="27"/>
      <c r="J216" s="27"/>
      <c r="K216" s="36" t="str">
        <f aca="false">IF($B216="","",IF($C216="泓普",$C$2,IF($C216="仟茂",$E$2,IF($C216="现金",$G$2,0)))+SUMIFS($I$5:$I216,$C$5:$C216,$C216)-SUMIFS($J$5:$J216,$C$5:$C216,$C216))</f>
        <v/>
      </c>
      <c r="L216" s="36" t="str">
        <f aca="false">IF($B216="","",$C$2+$E$2+$G$2+SUM($I$5:$I216)-SUM($J$5:$J216))</f>
        <v/>
      </c>
      <c r="M216" s="24"/>
      <c r="N216" s="33" t="str">
        <f aca="false">IF($B216="","",IF(NOT(ISNUMBER($B216)),"日期格式不对",IF($C216="","未选资金账户",IF(AND(N($I216)=0,N($J216)=0),"收支都为空",IF(AND(N($I216)&gt;0,N($J216)&gt;0),"收支不能同时填",IF(AND($D216&lt;&gt;"",LEFT($O216,1)="⚠"),"项目编号不存在",IF(AND($M216="是",$F216=""),"工程回款必须填往来单位","√")))))))</f>
        <v/>
      </c>
      <c r="O216" s="34" t="str">
        <f aca="false">IF($D216="","",IFERROR(INDEX(项目档案!$B$6:$B$255,MATCH($D216,项目档案!$A$6:$A$255,0)),"⚠编号不存在"))</f>
        <v/>
      </c>
      <c r="P216" s="35" t="str">
        <f aca="false">IF($B216="","",TEXT($B216,"yyyy-mm"))</f>
        <v/>
      </c>
    </row>
    <row r="217" customFormat="false" ht="15.75" hidden="false" customHeight="true" outlineLevel="0" collapsed="false">
      <c r="A217" s="32" t="str">
        <f aca="false">IF($B217="","",ROW()-4)</f>
        <v/>
      </c>
      <c r="B217" s="26"/>
      <c r="C217" s="21"/>
      <c r="D217" s="24"/>
      <c r="E217" s="21"/>
      <c r="F217" s="24"/>
      <c r="G217" s="21"/>
      <c r="H217" s="22"/>
      <c r="I217" s="27"/>
      <c r="J217" s="27"/>
      <c r="K217" s="36" t="str">
        <f aca="false">IF($B217="","",IF($C217="泓普",$C$2,IF($C217="仟茂",$E$2,IF($C217="现金",$G$2,0)))+SUMIFS($I$5:$I217,$C$5:$C217,$C217)-SUMIFS($J$5:$J217,$C$5:$C217,$C217))</f>
        <v/>
      </c>
      <c r="L217" s="36" t="str">
        <f aca="false">IF($B217="","",$C$2+$E$2+$G$2+SUM($I$5:$I217)-SUM($J$5:$J217))</f>
        <v/>
      </c>
      <c r="M217" s="24"/>
      <c r="N217" s="33" t="str">
        <f aca="false">IF($B217="","",IF(NOT(ISNUMBER($B217)),"日期格式不对",IF($C217="","未选资金账户",IF(AND(N($I217)=0,N($J217)=0),"收支都为空",IF(AND(N($I217)&gt;0,N($J217)&gt;0),"收支不能同时填",IF(AND($D217&lt;&gt;"",LEFT($O217,1)="⚠"),"项目编号不存在",IF(AND($M217="是",$F217=""),"工程回款必须填往来单位","√")))))))</f>
        <v/>
      </c>
      <c r="O217" s="34" t="str">
        <f aca="false">IF($D217="","",IFERROR(INDEX(项目档案!$B$6:$B$255,MATCH($D217,项目档案!$A$6:$A$255,0)),"⚠编号不存在"))</f>
        <v/>
      </c>
      <c r="P217" s="35" t="str">
        <f aca="false">IF($B217="","",TEXT($B217,"yyyy-mm"))</f>
        <v/>
      </c>
    </row>
    <row r="218" customFormat="false" ht="15.75" hidden="false" customHeight="true" outlineLevel="0" collapsed="false">
      <c r="A218" s="32" t="str">
        <f aca="false">IF($B218="","",ROW()-4)</f>
        <v/>
      </c>
      <c r="B218" s="26"/>
      <c r="C218" s="21"/>
      <c r="D218" s="24"/>
      <c r="E218" s="21"/>
      <c r="F218" s="24"/>
      <c r="G218" s="21"/>
      <c r="H218" s="22"/>
      <c r="I218" s="27"/>
      <c r="J218" s="27"/>
      <c r="K218" s="36" t="str">
        <f aca="false">IF($B218="","",IF($C218="泓普",$C$2,IF($C218="仟茂",$E$2,IF($C218="现金",$G$2,0)))+SUMIFS($I$5:$I218,$C$5:$C218,$C218)-SUMIFS($J$5:$J218,$C$5:$C218,$C218))</f>
        <v/>
      </c>
      <c r="L218" s="36" t="str">
        <f aca="false">IF($B218="","",$C$2+$E$2+$G$2+SUM($I$5:$I218)-SUM($J$5:$J218))</f>
        <v/>
      </c>
      <c r="M218" s="24"/>
      <c r="N218" s="33" t="str">
        <f aca="false">IF($B218="","",IF(NOT(ISNUMBER($B218)),"日期格式不对",IF($C218="","未选资金账户",IF(AND(N($I218)=0,N($J218)=0),"收支都为空",IF(AND(N($I218)&gt;0,N($J218)&gt;0),"收支不能同时填",IF(AND($D218&lt;&gt;"",LEFT($O218,1)="⚠"),"项目编号不存在",IF(AND($M218="是",$F218=""),"工程回款必须填往来单位","√")))))))</f>
        <v/>
      </c>
      <c r="O218" s="34" t="str">
        <f aca="false">IF($D218="","",IFERROR(INDEX(项目档案!$B$6:$B$255,MATCH($D218,项目档案!$A$6:$A$255,0)),"⚠编号不存在"))</f>
        <v/>
      </c>
      <c r="P218" s="35" t="str">
        <f aca="false">IF($B218="","",TEXT($B218,"yyyy-mm"))</f>
        <v/>
      </c>
    </row>
    <row r="219" customFormat="false" ht="15.75" hidden="false" customHeight="true" outlineLevel="0" collapsed="false">
      <c r="A219" s="32" t="str">
        <f aca="false">IF($B219="","",ROW()-4)</f>
        <v/>
      </c>
      <c r="B219" s="26"/>
      <c r="C219" s="21"/>
      <c r="D219" s="24"/>
      <c r="E219" s="21"/>
      <c r="F219" s="24"/>
      <c r="G219" s="21"/>
      <c r="H219" s="22"/>
      <c r="I219" s="27"/>
      <c r="J219" s="27"/>
      <c r="K219" s="36" t="str">
        <f aca="false">IF($B219="","",IF($C219="泓普",$C$2,IF($C219="仟茂",$E$2,IF($C219="现金",$G$2,0)))+SUMIFS($I$5:$I219,$C$5:$C219,$C219)-SUMIFS($J$5:$J219,$C$5:$C219,$C219))</f>
        <v/>
      </c>
      <c r="L219" s="36" t="str">
        <f aca="false">IF($B219="","",$C$2+$E$2+$G$2+SUM($I$5:$I219)-SUM($J$5:$J219))</f>
        <v/>
      </c>
      <c r="M219" s="24"/>
      <c r="N219" s="33" t="str">
        <f aca="false">IF($B219="","",IF(NOT(ISNUMBER($B219)),"日期格式不对",IF($C219="","未选资金账户",IF(AND(N($I219)=0,N($J219)=0),"收支都为空",IF(AND(N($I219)&gt;0,N($J219)&gt;0),"收支不能同时填",IF(AND($D219&lt;&gt;"",LEFT($O219,1)="⚠"),"项目编号不存在",IF(AND($M219="是",$F219=""),"工程回款必须填往来单位","√")))))))</f>
        <v/>
      </c>
      <c r="O219" s="34" t="str">
        <f aca="false">IF($D219="","",IFERROR(INDEX(项目档案!$B$6:$B$255,MATCH($D219,项目档案!$A$6:$A$255,0)),"⚠编号不存在"))</f>
        <v/>
      </c>
      <c r="P219" s="35" t="str">
        <f aca="false">IF($B219="","",TEXT($B219,"yyyy-mm"))</f>
        <v/>
      </c>
    </row>
    <row r="220" customFormat="false" ht="15.75" hidden="false" customHeight="true" outlineLevel="0" collapsed="false">
      <c r="A220" s="32" t="str">
        <f aca="false">IF($B220="","",ROW()-4)</f>
        <v/>
      </c>
      <c r="B220" s="26"/>
      <c r="C220" s="21"/>
      <c r="D220" s="24"/>
      <c r="E220" s="21"/>
      <c r="F220" s="24"/>
      <c r="G220" s="21"/>
      <c r="H220" s="22"/>
      <c r="I220" s="27"/>
      <c r="J220" s="27"/>
      <c r="K220" s="36" t="str">
        <f aca="false">IF($B220="","",IF($C220="泓普",$C$2,IF($C220="仟茂",$E$2,IF($C220="现金",$G$2,0)))+SUMIFS($I$5:$I220,$C$5:$C220,$C220)-SUMIFS($J$5:$J220,$C$5:$C220,$C220))</f>
        <v/>
      </c>
      <c r="L220" s="36" t="str">
        <f aca="false">IF($B220="","",$C$2+$E$2+$G$2+SUM($I$5:$I220)-SUM($J$5:$J220))</f>
        <v/>
      </c>
      <c r="M220" s="24"/>
      <c r="N220" s="33" t="str">
        <f aca="false">IF($B220="","",IF(NOT(ISNUMBER($B220)),"日期格式不对",IF($C220="","未选资金账户",IF(AND(N($I220)=0,N($J220)=0),"收支都为空",IF(AND(N($I220)&gt;0,N($J220)&gt;0),"收支不能同时填",IF(AND($D220&lt;&gt;"",LEFT($O220,1)="⚠"),"项目编号不存在",IF(AND($M220="是",$F220=""),"工程回款必须填往来单位","√")))))))</f>
        <v/>
      </c>
      <c r="O220" s="34" t="str">
        <f aca="false">IF($D220="","",IFERROR(INDEX(项目档案!$B$6:$B$255,MATCH($D220,项目档案!$A$6:$A$255,0)),"⚠编号不存在"))</f>
        <v/>
      </c>
      <c r="P220" s="35" t="str">
        <f aca="false">IF($B220="","",TEXT($B220,"yyyy-mm"))</f>
        <v/>
      </c>
    </row>
    <row r="221" customFormat="false" ht="15.75" hidden="false" customHeight="true" outlineLevel="0" collapsed="false">
      <c r="A221" s="32" t="str">
        <f aca="false">IF($B221="","",ROW()-4)</f>
        <v/>
      </c>
      <c r="B221" s="26"/>
      <c r="C221" s="21"/>
      <c r="D221" s="24"/>
      <c r="E221" s="21"/>
      <c r="F221" s="24"/>
      <c r="G221" s="21"/>
      <c r="H221" s="22"/>
      <c r="I221" s="27"/>
      <c r="J221" s="27"/>
      <c r="K221" s="36" t="str">
        <f aca="false">IF($B221="","",IF($C221="泓普",$C$2,IF($C221="仟茂",$E$2,IF($C221="现金",$G$2,0)))+SUMIFS($I$5:$I221,$C$5:$C221,$C221)-SUMIFS($J$5:$J221,$C$5:$C221,$C221))</f>
        <v/>
      </c>
      <c r="L221" s="36" t="str">
        <f aca="false">IF($B221="","",$C$2+$E$2+$G$2+SUM($I$5:$I221)-SUM($J$5:$J221))</f>
        <v/>
      </c>
      <c r="M221" s="24"/>
      <c r="N221" s="33" t="str">
        <f aca="false">IF($B221="","",IF(NOT(ISNUMBER($B221)),"日期格式不对",IF($C221="","未选资金账户",IF(AND(N($I221)=0,N($J221)=0),"收支都为空",IF(AND(N($I221)&gt;0,N($J221)&gt;0),"收支不能同时填",IF(AND($D221&lt;&gt;"",LEFT($O221,1)="⚠"),"项目编号不存在",IF(AND($M221="是",$F221=""),"工程回款必须填往来单位","√")))))))</f>
        <v/>
      </c>
      <c r="O221" s="34" t="str">
        <f aca="false">IF($D221="","",IFERROR(INDEX(项目档案!$B$6:$B$255,MATCH($D221,项目档案!$A$6:$A$255,0)),"⚠编号不存在"))</f>
        <v/>
      </c>
      <c r="P221" s="35" t="str">
        <f aca="false">IF($B221="","",TEXT($B221,"yyyy-mm"))</f>
        <v/>
      </c>
    </row>
    <row r="222" customFormat="false" ht="15.75" hidden="false" customHeight="true" outlineLevel="0" collapsed="false">
      <c r="A222" s="32" t="str">
        <f aca="false">IF($B222="","",ROW()-4)</f>
        <v/>
      </c>
      <c r="B222" s="26"/>
      <c r="C222" s="21"/>
      <c r="D222" s="24"/>
      <c r="E222" s="21"/>
      <c r="F222" s="24"/>
      <c r="G222" s="21"/>
      <c r="H222" s="22"/>
      <c r="I222" s="27"/>
      <c r="J222" s="27"/>
      <c r="K222" s="36" t="str">
        <f aca="false">IF($B222="","",IF($C222="泓普",$C$2,IF($C222="仟茂",$E$2,IF($C222="现金",$G$2,0)))+SUMIFS($I$5:$I222,$C$5:$C222,$C222)-SUMIFS($J$5:$J222,$C$5:$C222,$C222))</f>
        <v/>
      </c>
      <c r="L222" s="36" t="str">
        <f aca="false">IF($B222="","",$C$2+$E$2+$G$2+SUM($I$5:$I222)-SUM($J$5:$J222))</f>
        <v/>
      </c>
      <c r="M222" s="24"/>
      <c r="N222" s="33" t="str">
        <f aca="false">IF($B222="","",IF(NOT(ISNUMBER($B222)),"日期格式不对",IF($C222="","未选资金账户",IF(AND(N($I222)=0,N($J222)=0),"收支都为空",IF(AND(N($I222)&gt;0,N($J222)&gt;0),"收支不能同时填",IF(AND($D222&lt;&gt;"",LEFT($O222,1)="⚠"),"项目编号不存在",IF(AND($M222="是",$F222=""),"工程回款必须填往来单位","√")))))))</f>
        <v/>
      </c>
      <c r="O222" s="34" t="str">
        <f aca="false">IF($D222="","",IFERROR(INDEX(项目档案!$B$6:$B$255,MATCH($D222,项目档案!$A$6:$A$255,0)),"⚠编号不存在"))</f>
        <v/>
      </c>
      <c r="P222" s="35" t="str">
        <f aca="false">IF($B222="","",TEXT($B222,"yyyy-mm"))</f>
        <v/>
      </c>
    </row>
    <row r="223" customFormat="false" ht="15.75" hidden="false" customHeight="true" outlineLevel="0" collapsed="false">
      <c r="A223" s="32" t="str">
        <f aca="false">IF($B223="","",ROW()-4)</f>
        <v/>
      </c>
      <c r="B223" s="26"/>
      <c r="C223" s="21"/>
      <c r="D223" s="24"/>
      <c r="E223" s="21"/>
      <c r="F223" s="24"/>
      <c r="G223" s="21"/>
      <c r="H223" s="22"/>
      <c r="I223" s="27"/>
      <c r="J223" s="27"/>
      <c r="K223" s="36" t="str">
        <f aca="false">IF($B223="","",IF($C223="泓普",$C$2,IF($C223="仟茂",$E$2,IF($C223="现金",$G$2,0)))+SUMIFS($I$5:$I223,$C$5:$C223,$C223)-SUMIFS($J$5:$J223,$C$5:$C223,$C223))</f>
        <v/>
      </c>
      <c r="L223" s="36" t="str">
        <f aca="false">IF($B223="","",$C$2+$E$2+$G$2+SUM($I$5:$I223)-SUM($J$5:$J223))</f>
        <v/>
      </c>
      <c r="M223" s="24"/>
      <c r="N223" s="33" t="str">
        <f aca="false">IF($B223="","",IF(NOT(ISNUMBER($B223)),"日期格式不对",IF($C223="","未选资金账户",IF(AND(N($I223)=0,N($J223)=0),"收支都为空",IF(AND(N($I223)&gt;0,N($J223)&gt;0),"收支不能同时填",IF(AND($D223&lt;&gt;"",LEFT($O223,1)="⚠"),"项目编号不存在",IF(AND($M223="是",$F223=""),"工程回款必须填往来单位","√")))))))</f>
        <v/>
      </c>
      <c r="O223" s="34" t="str">
        <f aca="false">IF($D223="","",IFERROR(INDEX(项目档案!$B$6:$B$255,MATCH($D223,项目档案!$A$6:$A$255,0)),"⚠编号不存在"))</f>
        <v/>
      </c>
      <c r="P223" s="35" t="str">
        <f aca="false">IF($B223="","",TEXT($B223,"yyyy-mm"))</f>
        <v/>
      </c>
    </row>
    <row r="224" customFormat="false" ht="15.75" hidden="false" customHeight="true" outlineLevel="0" collapsed="false">
      <c r="A224" s="32" t="str">
        <f aca="false">IF($B224="","",ROW()-4)</f>
        <v/>
      </c>
      <c r="B224" s="26"/>
      <c r="C224" s="21"/>
      <c r="D224" s="24"/>
      <c r="E224" s="21"/>
      <c r="F224" s="24"/>
      <c r="G224" s="21"/>
      <c r="H224" s="22"/>
      <c r="I224" s="27"/>
      <c r="J224" s="27"/>
      <c r="K224" s="36" t="str">
        <f aca="false">IF($B224="","",IF($C224="泓普",$C$2,IF($C224="仟茂",$E$2,IF($C224="现金",$G$2,0)))+SUMIFS($I$5:$I224,$C$5:$C224,$C224)-SUMIFS($J$5:$J224,$C$5:$C224,$C224))</f>
        <v/>
      </c>
      <c r="L224" s="36" t="str">
        <f aca="false">IF($B224="","",$C$2+$E$2+$G$2+SUM($I$5:$I224)-SUM($J$5:$J224))</f>
        <v/>
      </c>
      <c r="M224" s="24"/>
      <c r="N224" s="33" t="str">
        <f aca="false">IF($B224="","",IF(NOT(ISNUMBER($B224)),"日期格式不对",IF($C224="","未选资金账户",IF(AND(N($I224)=0,N($J224)=0),"收支都为空",IF(AND(N($I224)&gt;0,N($J224)&gt;0),"收支不能同时填",IF(AND($D224&lt;&gt;"",LEFT($O224,1)="⚠"),"项目编号不存在",IF(AND($M224="是",$F224=""),"工程回款必须填往来单位","√")))))))</f>
        <v/>
      </c>
      <c r="O224" s="34" t="str">
        <f aca="false">IF($D224="","",IFERROR(INDEX(项目档案!$B$6:$B$255,MATCH($D224,项目档案!$A$6:$A$255,0)),"⚠编号不存在"))</f>
        <v/>
      </c>
      <c r="P224" s="35" t="str">
        <f aca="false">IF($B224="","",TEXT($B224,"yyyy-mm"))</f>
        <v/>
      </c>
    </row>
    <row r="225" customFormat="false" ht="15.75" hidden="false" customHeight="true" outlineLevel="0" collapsed="false">
      <c r="A225" s="32" t="str">
        <f aca="false">IF($B225="","",ROW()-4)</f>
        <v/>
      </c>
      <c r="B225" s="26"/>
      <c r="C225" s="21"/>
      <c r="D225" s="24"/>
      <c r="E225" s="21"/>
      <c r="F225" s="24"/>
      <c r="G225" s="21"/>
      <c r="H225" s="22"/>
      <c r="I225" s="27"/>
      <c r="J225" s="27"/>
      <c r="K225" s="36" t="str">
        <f aca="false">IF($B225="","",IF($C225="泓普",$C$2,IF($C225="仟茂",$E$2,IF($C225="现金",$G$2,0)))+SUMIFS($I$5:$I225,$C$5:$C225,$C225)-SUMIFS($J$5:$J225,$C$5:$C225,$C225))</f>
        <v/>
      </c>
      <c r="L225" s="36" t="str">
        <f aca="false">IF($B225="","",$C$2+$E$2+$G$2+SUM($I$5:$I225)-SUM($J$5:$J225))</f>
        <v/>
      </c>
      <c r="M225" s="24"/>
      <c r="N225" s="33" t="str">
        <f aca="false">IF($B225="","",IF(NOT(ISNUMBER($B225)),"日期格式不对",IF($C225="","未选资金账户",IF(AND(N($I225)=0,N($J225)=0),"收支都为空",IF(AND(N($I225)&gt;0,N($J225)&gt;0),"收支不能同时填",IF(AND($D225&lt;&gt;"",LEFT($O225,1)="⚠"),"项目编号不存在",IF(AND($M225="是",$F225=""),"工程回款必须填往来单位","√")))))))</f>
        <v/>
      </c>
      <c r="O225" s="34" t="str">
        <f aca="false">IF($D225="","",IFERROR(INDEX(项目档案!$B$6:$B$255,MATCH($D225,项目档案!$A$6:$A$255,0)),"⚠编号不存在"))</f>
        <v/>
      </c>
      <c r="P225" s="35" t="str">
        <f aca="false">IF($B225="","",TEXT($B225,"yyyy-mm"))</f>
        <v/>
      </c>
    </row>
    <row r="226" customFormat="false" ht="15.75" hidden="false" customHeight="true" outlineLevel="0" collapsed="false">
      <c r="A226" s="32" t="str">
        <f aca="false">IF($B226="","",ROW()-4)</f>
        <v/>
      </c>
      <c r="B226" s="26"/>
      <c r="C226" s="21"/>
      <c r="D226" s="24"/>
      <c r="E226" s="21"/>
      <c r="F226" s="24"/>
      <c r="G226" s="21"/>
      <c r="H226" s="22"/>
      <c r="I226" s="27"/>
      <c r="J226" s="27"/>
      <c r="K226" s="36" t="str">
        <f aca="false">IF($B226="","",IF($C226="泓普",$C$2,IF($C226="仟茂",$E$2,IF($C226="现金",$G$2,0)))+SUMIFS($I$5:$I226,$C$5:$C226,$C226)-SUMIFS($J$5:$J226,$C$5:$C226,$C226))</f>
        <v/>
      </c>
      <c r="L226" s="36" t="str">
        <f aca="false">IF($B226="","",$C$2+$E$2+$G$2+SUM($I$5:$I226)-SUM($J$5:$J226))</f>
        <v/>
      </c>
      <c r="M226" s="24"/>
      <c r="N226" s="33" t="str">
        <f aca="false">IF($B226="","",IF(NOT(ISNUMBER($B226)),"日期格式不对",IF($C226="","未选资金账户",IF(AND(N($I226)=0,N($J226)=0),"收支都为空",IF(AND(N($I226)&gt;0,N($J226)&gt;0),"收支不能同时填",IF(AND($D226&lt;&gt;"",LEFT($O226,1)="⚠"),"项目编号不存在",IF(AND($M226="是",$F226=""),"工程回款必须填往来单位","√")))))))</f>
        <v/>
      </c>
      <c r="O226" s="34" t="str">
        <f aca="false">IF($D226="","",IFERROR(INDEX(项目档案!$B$6:$B$255,MATCH($D226,项目档案!$A$6:$A$255,0)),"⚠编号不存在"))</f>
        <v/>
      </c>
      <c r="P226" s="35" t="str">
        <f aca="false">IF($B226="","",TEXT($B226,"yyyy-mm"))</f>
        <v/>
      </c>
    </row>
    <row r="227" customFormat="false" ht="15.75" hidden="false" customHeight="true" outlineLevel="0" collapsed="false">
      <c r="A227" s="32" t="str">
        <f aca="false">IF($B227="","",ROW()-4)</f>
        <v/>
      </c>
      <c r="B227" s="26"/>
      <c r="C227" s="21"/>
      <c r="D227" s="24"/>
      <c r="E227" s="21"/>
      <c r="F227" s="24"/>
      <c r="G227" s="21"/>
      <c r="H227" s="22"/>
      <c r="I227" s="27"/>
      <c r="J227" s="27"/>
      <c r="K227" s="36" t="str">
        <f aca="false">IF($B227="","",IF($C227="泓普",$C$2,IF($C227="仟茂",$E$2,IF($C227="现金",$G$2,0)))+SUMIFS($I$5:$I227,$C$5:$C227,$C227)-SUMIFS($J$5:$J227,$C$5:$C227,$C227))</f>
        <v/>
      </c>
      <c r="L227" s="36" t="str">
        <f aca="false">IF($B227="","",$C$2+$E$2+$G$2+SUM($I$5:$I227)-SUM($J$5:$J227))</f>
        <v/>
      </c>
      <c r="M227" s="24"/>
      <c r="N227" s="33" t="str">
        <f aca="false">IF($B227="","",IF(NOT(ISNUMBER($B227)),"日期格式不对",IF($C227="","未选资金账户",IF(AND(N($I227)=0,N($J227)=0),"收支都为空",IF(AND(N($I227)&gt;0,N($J227)&gt;0),"收支不能同时填",IF(AND($D227&lt;&gt;"",LEFT($O227,1)="⚠"),"项目编号不存在",IF(AND($M227="是",$F227=""),"工程回款必须填往来单位","√")))))))</f>
        <v/>
      </c>
      <c r="O227" s="34" t="str">
        <f aca="false">IF($D227="","",IFERROR(INDEX(项目档案!$B$6:$B$255,MATCH($D227,项目档案!$A$6:$A$255,0)),"⚠编号不存在"))</f>
        <v/>
      </c>
      <c r="P227" s="35" t="str">
        <f aca="false">IF($B227="","",TEXT($B227,"yyyy-mm"))</f>
        <v/>
      </c>
    </row>
    <row r="228" customFormat="false" ht="15.75" hidden="false" customHeight="true" outlineLevel="0" collapsed="false">
      <c r="A228" s="32" t="str">
        <f aca="false">IF($B228="","",ROW()-4)</f>
        <v/>
      </c>
      <c r="B228" s="26"/>
      <c r="C228" s="21"/>
      <c r="D228" s="24"/>
      <c r="E228" s="21"/>
      <c r="F228" s="24"/>
      <c r="G228" s="21"/>
      <c r="H228" s="22"/>
      <c r="I228" s="27"/>
      <c r="J228" s="27"/>
      <c r="K228" s="36" t="str">
        <f aca="false">IF($B228="","",IF($C228="泓普",$C$2,IF($C228="仟茂",$E$2,IF($C228="现金",$G$2,0)))+SUMIFS($I$5:$I228,$C$5:$C228,$C228)-SUMIFS($J$5:$J228,$C$5:$C228,$C228))</f>
        <v/>
      </c>
      <c r="L228" s="36" t="str">
        <f aca="false">IF($B228="","",$C$2+$E$2+$G$2+SUM($I$5:$I228)-SUM($J$5:$J228))</f>
        <v/>
      </c>
      <c r="M228" s="24"/>
      <c r="N228" s="33" t="str">
        <f aca="false">IF($B228="","",IF(NOT(ISNUMBER($B228)),"日期格式不对",IF($C228="","未选资金账户",IF(AND(N($I228)=0,N($J228)=0),"收支都为空",IF(AND(N($I228)&gt;0,N($J228)&gt;0),"收支不能同时填",IF(AND($D228&lt;&gt;"",LEFT($O228,1)="⚠"),"项目编号不存在",IF(AND($M228="是",$F228=""),"工程回款必须填往来单位","√")))))))</f>
        <v/>
      </c>
      <c r="O228" s="34" t="str">
        <f aca="false">IF($D228="","",IFERROR(INDEX(项目档案!$B$6:$B$255,MATCH($D228,项目档案!$A$6:$A$255,0)),"⚠编号不存在"))</f>
        <v/>
      </c>
      <c r="P228" s="35" t="str">
        <f aca="false">IF($B228="","",TEXT($B228,"yyyy-mm"))</f>
        <v/>
      </c>
    </row>
    <row r="229" customFormat="false" ht="15.75" hidden="false" customHeight="true" outlineLevel="0" collapsed="false">
      <c r="A229" s="32" t="str">
        <f aca="false">IF($B229="","",ROW()-4)</f>
        <v/>
      </c>
      <c r="B229" s="26"/>
      <c r="C229" s="21"/>
      <c r="D229" s="24"/>
      <c r="E229" s="21"/>
      <c r="F229" s="24"/>
      <c r="G229" s="21"/>
      <c r="H229" s="22"/>
      <c r="I229" s="27"/>
      <c r="J229" s="27"/>
      <c r="K229" s="36" t="str">
        <f aca="false">IF($B229="","",IF($C229="泓普",$C$2,IF($C229="仟茂",$E$2,IF($C229="现金",$G$2,0)))+SUMIFS($I$5:$I229,$C$5:$C229,$C229)-SUMIFS($J$5:$J229,$C$5:$C229,$C229))</f>
        <v/>
      </c>
      <c r="L229" s="36" t="str">
        <f aca="false">IF($B229="","",$C$2+$E$2+$G$2+SUM($I$5:$I229)-SUM($J$5:$J229))</f>
        <v/>
      </c>
      <c r="M229" s="24"/>
      <c r="N229" s="33" t="str">
        <f aca="false">IF($B229="","",IF(NOT(ISNUMBER($B229)),"日期格式不对",IF($C229="","未选资金账户",IF(AND(N($I229)=0,N($J229)=0),"收支都为空",IF(AND(N($I229)&gt;0,N($J229)&gt;0),"收支不能同时填",IF(AND($D229&lt;&gt;"",LEFT($O229,1)="⚠"),"项目编号不存在",IF(AND($M229="是",$F229=""),"工程回款必须填往来单位","√")))))))</f>
        <v/>
      </c>
      <c r="O229" s="34" t="str">
        <f aca="false">IF($D229="","",IFERROR(INDEX(项目档案!$B$6:$B$255,MATCH($D229,项目档案!$A$6:$A$255,0)),"⚠编号不存在"))</f>
        <v/>
      </c>
      <c r="P229" s="35" t="str">
        <f aca="false">IF($B229="","",TEXT($B229,"yyyy-mm"))</f>
        <v/>
      </c>
    </row>
    <row r="230" customFormat="false" ht="15.75" hidden="false" customHeight="true" outlineLevel="0" collapsed="false">
      <c r="A230" s="32" t="str">
        <f aca="false">IF($B230="","",ROW()-4)</f>
        <v/>
      </c>
      <c r="B230" s="26"/>
      <c r="C230" s="21"/>
      <c r="D230" s="24"/>
      <c r="E230" s="21"/>
      <c r="F230" s="24"/>
      <c r="G230" s="21"/>
      <c r="H230" s="22"/>
      <c r="I230" s="27"/>
      <c r="J230" s="27"/>
      <c r="K230" s="36" t="str">
        <f aca="false">IF($B230="","",IF($C230="泓普",$C$2,IF($C230="仟茂",$E$2,IF($C230="现金",$G$2,0)))+SUMIFS($I$5:$I230,$C$5:$C230,$C230)-SUMIFS($J$5:$J230,$C$5:$C230,$C230))</f>
        <v/>
      </c>
      <c r="L230" s="36" t="str">
        <f aca="false">IF($B230="","",$C$2+$E$2+$G$2+SUM($I$5:$I230)-SUM($J$5:$J230))</f>
        <v/>
      </c>
      <c r="M230" s="24"/>
      <c r="N230" s="33" t="str">
        <f aca="false">IF($B230="","",IF(NOT(ISNUMBER($B230)),"日期格式不对",IF($C230="","未选资金账户",IF(AND(N($I230)=0,N($J230)=0),"收支都为空",IF(AND(N($I230)&gt;0,N($J230)&gt;0),"收支不能同时填",IF(AND($D230&lt;&gt;"",LEFT($O230,1)="⚠"),"项目编号不存在",IF(AND($M230="是",$F230=""),"工程回款必须填往来单位","√")))))))</f>
        <v/>
      </c>
      <c r="O230" s="34" t="str">
        <f aca="false">IF($D230="","",IFERROR(INDEX(项目档案!$B$6:$B$255,MATCH($D230,项目档案!$A$6:$A$255,0)),"⚠编号不存在"))</f>
        <v/>
      </c>
      <c r="P230" s="35" t="str">
        <f aca="false">IF($B230="","",TEXT($B230,"yyyy-mm"))</f>
        <v/>
      </c>
    </row>
    <row r="231" customFormat="false" ht="15.75" hidden="false" customHeight="true" outlineLevel="0" collapsed="false">
      <c r="A231" s="32" t="str">
        <f aca="false">IF($B231="","",ROW()-4)</f>
        <v/>
      </c>
      <c r="B231" s="26"/>
      <c r="C231" s="21"/>
      <c r="D231" s="24"/>
      <c r="E231" s="21"/>
      <c r="F231" s="24"/>
      <c r="G231" s="21"/>
      <c r="H231" s="22"/>
      <c r="I231" s="27"/>
      <c r="J231" s="27"/>
      <c r="K231" s="36" t="str">
        <f aca="false">IF($B231="","",IF($C231="泓普",$C$2,IF($C231="仟茂",$E$2,IF($C231="现金",$G$2,0)))+SUMIFS($I$5:$I231,$C$5:$C231,$C231)-SUMIFS($J$5:$J231,$C$5:$C231,$C231))</f>
        <v/>
      </c>
      <c r="L231" s="36" t="str">
        <f aca="false">IF($B231="","",$C$2+$E$2+$G$2+SUM($I$5:$I231)-SUM($J$5:$J231))</f>
        <v/>
      </c>
      <c r="M231" s="24"/>
      <c r="N231" s="33" t="str">
        <f aca="false">IF($B231="","",IF(NOT(ISNUMBER($B231)),"日期格式不对",IF($C231="","未选资金账户",IF(AND(N($I231)=0,N($J231)=0),"收支都为空",IF(AND(N($I231)&gt;0,N($J231)&gt;0),"收支不能同时填",IF(AND($D231&lt;&gt;"",LEFT($O231,1)="⚠"),"项目编号不存在",IF(AND($M231="是",$F231=""),"工程回款必须填往来单位","√")))))))</f>
        <v/>
      </c>
      <c r="O231" s="34" t="str">
        <f aca="false">IF($D231="","",IFERROR(INDEX(项目档案!$B$6:$B$255,MATCH($D231,项目档案!$A$6:$A$255,0)),"⚠编号不存在"))</f>
        <v/>
      </c>
      <c r="P231" s="35" t="str">
        <f aca="false">IF($B231="","",TEXT($B231,"yyyy-mm"))</f>
        <v/>
      </c>
    </row>
    <row r="232" customFormat="false" ht="15.75" hidden="false" customHeight="true" outlineLevel="0" collapsed="false">
      <c r="A232" s="32" t="str">
        <f aca="false">IF($B232="","",ROW()-4)</f>
        <v/>
      </c>
      <c r="B232" s="26"/>
      <c r="C232" s="21"/>
      <c r="D232" s="24"/>
      <c r="E232" s="21"/>
      <c r="F232" s="24"/>
      <c r="G232" s="21"/>
      <c r="H232" s="22"/>
      <c r="I232" s="27"/>
      <c r="J232" s="27"/>
      <c r="K232" s="36" t="str">
        <f aca="false">IF($B232="","",IF($C232="泓普",$C$2,IF($C232="仟茂",$E$2,IF($C232="现金",$G$2,0)))+SUMIFS($I$5:$I232,$C$5:$C232,$C232)-SUMIFS($J$5:$J232,$C$5:$C232,$C232))</f>
        <v/>
      </c>
      <c r="L232" s="36" t="str">
        <f aca="false">IF($B232="","",$C$2+$E$2+$G$2+SUM($I$5:$I232)-SUM($J$5:$J232))</f>
        <v/>
      </c>
      <c r="M232" s="24"/>
      <c r="N232" s="33" t="str">
        <f aca="false">IF($B232="","",IF(NOT(ISNUMBER($B232)),"日期格式不对",IF($C232="","未选资金账户",IF(AND(N($I232)=0,N($J232)=0),"收支都为空",IF(AND(N($I232)&gt;0,N($J232)&gt;0),"收支不能同时填",IF(AND($D232&lt;&gt;"",LEFT($O232,1)="⚠"),"项目编号不存在",IF(AND($M232="是",$F232=""),"工程回款必须填往来单位","√")))))))</f>
        <v/>
      </c>
      <c r="O232" s="34" t="str">
        <f aca="false">IF($D232="","",IFERROR(INDEX(项目档案!$B$6:$B$255,MATCH($D232,项目档案!$A$6:$A$255,0)),"⚠编号不存在"))</f>
        <v/>
      </c>
      <c r="P232" s="35" t="str">
        <f aca="false">IF($B232="","",TEXT($B232,"yyyy-mm"))</f>
        <v/>
      </c>
    </row>
    <row r="233" customFormat="false" ht="15.75" hidden="false" customHeight="true" outlineLevel="0" collapsed="false">
      <c r="A233" s="32" t="str">
        <f aca="false">IF($B233="","",ROW()-4)</f>
        <v/>
      </c>
      <c r="B233" s="26"/>
      <c r="C233" s="21"/>
      <c r="D233" s="24"/>
      <c r="E233" s="21"/>
      <c r="F233" s="24"/>
      <c r="G233" s="21"/>
      <c r="H233" s="22"/>
      <c r="I233" s="27"/>
      <c r="J233" s="27"/>
      <c r="K233" s="36" t="str">
        <f aca="false">IF($B233="","",IF($C233="泓普",$C$2,IF($C233="仟茂",$E$2,IF($C233="现金",$G$2,0)))+SUMIFS($I$5:$I233,$C$5:$C233,$C233)-SUMIFS($J$5:$J233,$C$5:$C233,$C233))</f>
        <v/>
      </c>
      <c r="L233" s="36" t="str">
        <f aca="false">IF($B233="","",$C$2+$E$2+$G$2+SUM($I$5:$I233)-SUM($J$5:$J233))</f>
        <v/>
      </c>
      <c r="M233" s="24"/>
      <c r="N233" s="33" t="str">
        <f aca="false">IF($B233="","",IF(NOT(ISNUMBER($B233)),"日期格式不对",IF($C233="","未选资金账户",IF(AND(N($I233)=0,N($J233)=0),"收支都为空",IF(AND(N($I233)&gt;0,N($J233)&gt;0),"收支不能同时填",IF(AND($D233&lt;&gt;"",LEFT($O233,1)="⚠"),"项目编号不存在",IF(AND($M233="是",$F233=""),"工程回款必须填往来单位","√")))))))</f>
        <v/>
      </c>
      <c r="O233" s="34" t="str">
        <f aca="false">IF($D233="","",IFERROR(INDEX(项目档案!$B$6:$B$255,MATCH($D233,项目档案!$A$6:$A$255,0)),"⚠编号不存在"))</f>
        <v/>
      </c>
      <c r="P233" s="35" t="str">
        <f aca="false">IF($B233="","",TEXT($B233,"yyyy-mm"))</f>
        <v/>
      </c>
    </row>
    <row r="234" customFormat="false" ht="15.75" hidden="false" customHeight="true" outlineLevel="0" collapsed="false">
      <c r="A234" s="32" t="str">
        <f aca="false">IF($B234="","",ROW()-4)</f>
        <v/>
      </c>
      <c r="B234" s="26"/>
      <c r="C234" s="21"/>
      <c r="D234" s="24"/>
      <c r="E234" s="21"/>
      <c r="F234" s="24"/>
      <c r="G234" s="21"/>
      <c r="H234" s="22"/>
      <c r="I234" s="27"/>
      <c r="J234" s="27"/>
      <c r="K234" s="36" t="str">
        <f aca="false">IF($B234="","",IF($C234="泓普",$C$2,IF($C234="仟茂",$E$2,IF($C234="现金",$G$2,0)))+SUMIFS($I$5:$I234,$C$5:$C234,$C234)-SUMIFS($J$5:$J234,$C$5:$C234,$C234))</f>
        <v/>
      </c>
      <c r="L234" s="36" t="str">
        <f aca="false">IF($B234="","",$C$2+$E$2+$G$2+SUM($I$5:$I234)-SUM($J$5:$J234))</f>
        <v/>
      </c>
      <c r="M234" s="24"/>
      <c r="N234" s="33" t="str">
        <f aca="false">IF($B234="","",IF(NOT(ISNUMBER($B234)),"日期格式不对",IF($C234="","未选资金账户",IF(AND(N($I234)=0,N($J234)=0),"收支都为空",IF(AND(N($I234)&gt;0,N($J234)&gt;0),"收支不能同时填",IF(AND($D234&lt;&gt;"",LEFT($O234,1)="⚠"),"项目编号不存在",IF(AND($M234="是",$F234=""),"工程回款必须填往来单位","√")))))))</f>
        <v/>
      </c>
      <c r="O234" s="34" t="str">
        <f aca="false">IF($D234="","",IFERROR(INDEX(项目档案!$B$6:$B$255,MATCH($D234,项目档案!$A$6:$A$255,0)),"⚠编号不存在"))</f>
        <v/>
      </c>
      <c r="P234" s="35" t="str">
        <f aca="false">IF($B234="","",TEXT($B234,"yyyy-mm"))</f>
        <v/>
      </c>
    </row>
    <row r="235" customFormat="false" ht="15.75" hidden="false" customHeight="true" outlineLevel="0" collapsed="false">
      <c r="A235" s="32" t="str">
        <f aca="false">IF($B235="","",ROW()-4)</f>
        <v/>
      </c>
      <c r="B235" s="26"/>
      <c r="C235" s="21"/>
      <c r="D235" s="24"/>
      <c r="E235" s="21"/>
      <c r="F235" s="24"/>
      <c r="G235" s="21"/>
      <c r="H235" s="22"/>
      <c r="I235" s="27"/>
      <c r="J235" s="27"/>
      <c r="K235" s="36" t="str">
        <f aca="false">IF($B235="","",IF($C235="泓普",$C$2,IF($C235="仟茂",$E$2,IF($C235="现金",$G$2,0)))+SUMIFS($I$5:$I235,$C$5:$C235,$C235)-SUMIFS($J$5:$J235,$C$5:$C235,$C235))</f>
        <v/>
      </c>
      <c r="L235" s="36" t="str">
        <f aca="false">IF($B235="","",$C$2+$E$2+$G$2+SUM($I$5:$I235)-SUM($J$5:$J235))</f>
        <v/>
      </c>
      <c r="M235" s="24"/>
      <c r="N235" s="33" t="str">
        <f aca="false">IF($B235="","",IF(NOT(ISNUMBER($B235)),"日期格式不对",IF($C235="","未选资金账户",IF(AND(N($I235)=0,N($J235)=0),"收支都为空",IF(AND(N($I235)&gt;0,N($J235)&gt;0),"收支不能同时填",IF(AND($D235&lt;&gt;"",LEFT($O235,1)="⚠"),"项目编号不存在",IF(AND($M235="是",$F235=""),"工程回款必须填往来单位","√")))))))</f>
        <v/>
      </c>
      <c r="O235" s="34" t="str">
        <f aca="false">IF($D235="","",IFERROR(INDEX(项目档案!$B$6:$B$255,MATCH($D235,项目档案!$A$6:$A$255,0)),"⚠编号不存在"))</f>
        <v/>
      </c>
      <c r="P235" s="35" t="str">
        <f aca="false">IF($B235="","",TEXT($B235,"yyyy-mm"))</f>
        <v/>
      </c>
    </row>
    <row r="236" customFormat="false" ht="15.75" hidden="false" customHeight="true" outlineLevel="0" collapsed="false">
      <c r="A236" s="32" t="str">
        <f aca="false">IF($B236="","",ROW()-4)</f>
        <v/>
      </c>
      <c r="B236" s="26"/>
      <c r="C236" s="21"/>
      <c r="D236" s="24"/>
      <c r="E236" s="21"/>
      <c r="F236" s="24"/>
      <c r="G236" s="21"/>
      <c r="H236" s="22"/>
      <c r="I236" s="27"/>
      <c r="J236" s="27"/>
      <c r="K236" s="36" t="str">
        <f aca="false">IF($B236="","",IF($C236="泓普",$C$2,IF($C236="仟茂",$E$2,IF($C236="现金",$G$2,0)))+SUMIFS($I$5:$I236,$C$5:$C236,$C236)-SUMIFS($J$5:$J236,$C$5:$C236,$C236))</f>
        <v/>
      </c>
      <c r="L236" s="36" t="str">
        <f aca="false">IF($B236="","",$C$2+$E$2+$G$2+SUM($I$5:$I236)-SUM($J$5:$J236))</f>
        <v/>
      </c>
      <c r="M236" s="24"/>
      <c r="N236" s="33" t="str">
        <f aca="false">IF($B236="","",IF(NOT(ISNUMBER($B236)),"日期格式不对",IF($C236="","未选资金账户",IF(AND(N($I236)=0,N($J236)=0),"收支都为空",IF(AND(N($I236)&gt;0,N($J236)&gt;0),"收支不能同时填",IF(AND($D236&lt;&gt;"",LEFT($O236,1)="⚠"),"项目编号不存在",IF(AND($M236="是",$F236=""),"工程回款必须填往来单位","√")))))))</f>
        <v/>
      </c>
      <c r="O236" s="34" t="str">
        <f aca="false">IF($D236="","",IFERROR(INDEX(项目档案!$B$6:$B$255,MATCH($D236,项目档案!$A$6:$A$255,0)),"⚠编号不存在"))</f>
        <v/>
      </c>
      <c r="P236" s="35" t="str">
        <f aca="false">IF($B236="","",TEXT($B236,"yyyy-mm"))</f>
        <v/>
      </c>
    </row>
    <row r="237" customFormat="false" ht="15.75" hidden="false" customHeight="true" outlineLevel="0" collapsed="false">
      <c r="A237" s="32" t="str">
        <f aca="false">IF($B237="","",ROW()-4)</f>
        <v/>
      </c>
      <c r="B237" s="26"/>
      <c r="C237" s="21"/>
      <c r="D237" s="24"/>
      <c r="E237" s="21"/>
      <c r="F237" s="24"/>
      <c r="G237" s="21"/>
      <c r="H237" s="22"/>
      <c r="I237" s="27"/>
      <c r="J237" s="27"/>
      <c r="K237" s="36" t="str">
        <f aca="false">IF($B237="","",IF($C237="泓普",$C$2,IF($C237="仟茂",$E$2,IF($C237="现金",$G$2,0)))+SUMIFS($I$5:$I237,$C$5:$C237,$C237)-SUMIFS($J$5:$J237,$C$5:$C237,$C237))</f>
        <v/>
      </c>
      <c r="L237" s="36" t="str">
        <f aca="false">IF($B237="","",$C$2+$E$2+$G$2+SUM($I$5:$I237)-SUM($J$5:$J237))</f>
        <v/>
      </c>
      <c r="M237" s="24"/>
      <c r="N237" s="33" t="str">
        <f aca="false">IF($B237="","",IF(NOT(ISNUMBER($B237)),"日期格式不对",IF($C237="","未选资金账户",IF(AND(N($I237)=0,N($J237)=0),"收支都为空",IF(AND(N($I237)&gt;0,N($J237)&gt;0),"收支不能同时填",IF(AND($D237&lt;&gt;"",LEFT($O237,1)="⚠"),"项目编号不存在",IF(AND($M237="是",$F237=""),"工程回款必须填往来单位","√")))))))</f>
        <v/>
      </c>
      <c r="O237" s="34" t="str">
        <f aca="false">IF($D237="","",IFERROR(INDEX(项目档案!$B$6:$B$255,MATCH($D237,项目档案!$A$6:$A$255,0)),"⚠编号不存在"))</f>
        <v/>
      </c>
      <c r="P237" s="35" t="str">
        <f aca="false">IF($B237="","",TEXT($B237,"yyyy-mm"))</f>
        <v/>
      </c>
    </row>
    <row r="238" customFormat="false" ht="15.75" hidden="false" customHeight="true" outlineLevel="0" collapsed="false">
      <c r="A238" s="32" t="str">
        <f aca="false">IF($B238="","",ROW()-4)</f>
        <v/>
      </c>
      <c r="B238" s="26"/>
      <c r="C238" s="21"/>
      <c r="D238" s="24"/>
      <c r="E238" s="21"/>
      <c r="F238" s="24"/>
      <c r="G238" s="21"/>
      <c r="H238" s="22"/>
      <c r="I238" s="27"/>
      <c r="J238" s="27"/>
      <c r="K238" s="36" t="str">
        <f aca="false">IF($B238="","",IF($C238="泓普",$C$2,IF($C238="仟茂",$E$2,IF($C238="现金",$G$2,0)))+SUMIFS($I$5:$I238,$C$5:$C238,$C238)-SUMIFS($J$5:$J238,$C$5:$C238,$C238))</f>
        <v/>
      </c>
      <c r="L238" s="36" t="str">
        <f aca="false">IF($B238="","",$C$2+$E$2+$G$2+SUM($I$5:$I238)-SUM($J$5:$J238))</f>
        <v/>
      </c>
      <c r="M238" s="24"/>
      <c r="N238" s="33" t="str">
        <f aca="false">IF($B238="","",IF(NOT(ISNUMBER($B238)),"日期格式不对",IF($C238="","未选资金账户",IF(AND(N($I238)=0,N($J238)=0),"收支都为空",IF(AND(N($I238)&gt;0,N($J238)&gt;0),"收支不能同时填",IF(AND($D238&lt;&gt;"",LEFT($O238,1)="⚠"),"项目编号不存在",IF(AND($M238="是",$F238=""),"工程回款必须填往来单位","√")))))))</f>
        <v/>
      </c>
      <c r="O238" s="34" t="str">
        <f aca="false">IF($D238="","",IFERROR(INDEX(项目档案!$B$6:$B$255,MATCH($D238,项目档案!$A$6:$A$255,0)),"⚠编号不存在"))</f>
        <v/>
      </c>
      <c r="P238" s="35" t="str">
        <f aca="false">IF($B238="","",TEXT($B238,"yyyy-mm"))</f>
        <v/>
      </c>
    </row>
    <row r="239" customFormat="false" ht="15.75" hidden="false" customHeight="true" outlineLevel="0" collapsed="false">
      <c r="A239" s="32" t="str">
        <f aca="false">IF($B239="","",ROW()-4)</f>
        <v/>
      </c>
      <c r="B239" s="26"/>
      <c r="C239" s="21"/>
      <c r="D239" s="24"/>
      <c r="E239" s="21"/>
      <c r="F239" s="24"/>
      <c r="G239" s="21"/>
      <c r="H239" s="22"/>
      <c r="I239" s="27"/>
      <c r="J239" s="27"/>
      <c r="K239" s="36" t="str">
        <f aca="false">IF($B239="","",IF($C239="泓普",$C$2,IF($C239="仟茂",$E$2,IF($C239="现金",$G$2,0)))+SUMIFS($I$5:$I239,$C$5:$C239,$C239)-SUMIFS($J$5:$J239,$C$5:$C239,$C239))</f>
        <v/>
      </c>
      <c r="L239" s="36" t="str">
        <f aca="false">IF($B239="","",$C$2+$E$2+$G$2+SUM($I$5:$I239)-SUM($J$5:$J239))</f>
        <v/>
      </c>
      <c r="M239" s="24"/>
      <c r="N239" s="33" t="str">
        <f aca="false">IF($B239="","",IF(NOT(ISNUMBER($B239)),"日期格式不对",IF($C239="","未选资金账户",IF(AND(N($I239)=0,N($J239)=0),"收支都为空",IF(AND(N($I239)&gt;0,N($J239)&gt;0),"收支不能同时填",IF(AND($D239&lt;&gt;"",LEFT($O239,1)="⚠"),"项目编号不存在",IF(AND($M239="是",$F239=""),"工程回款必须填往来单位","√")))))))</f>
        <v/>
      </c>
      <c r="O239" s="34" t="str">
        <f aca="false">IF($D239="","",IFERROR(INDEX(项目档案!$B$6:$B$255,MATCH($D239,项目档案!$A$6:$A$255,0)),"⚠编号不存在"))</f>
        <v/>
      </c>
      <c r="P239" s="35" t="str">
        <f aca="false">IF($B239="","",TEXT($B239,"yyyy-mm"))</f>
        <v/>
      </c>
    </row>
    <row r="240" customFormat="false" ht="15.75" hidden="false" customHeight="true" outlineLevel="0" collapsed="false">
      <c r="A240" s="32" t="str">
        <f aca="false">IF($B240="","",ROW()-4)</f>
        <v/>
      </c>
      <c r="B240" s="26"/>
      <c r="C240" s="21"/>
      <c r="D240" s="24"/>
      <c r="E240" s="21"/>
      <c r="F240" s="24"/>
      <c r="G240" s="21"/>
      <c r="H240" s="22"/>
      <c r="I240" s="27"/>
      <c r="J240" s="27"/>
      <c r="K240" s="36" t="str">
        <f aca="false">IF($B240="","",IF($C240="泓普",$C$2,IF($C240="仟茂",$E$2,IF($C240="现金",$G$2,0)))+SUMIFS($I$5:$I240,$C$5:$C240,$C240)-SUMIFS($J$5:$J240,$C$5:$C240,$C240))</f>
        <v/>
      </c>
      <c r="L240" s="36" t="str">
        <f aca="false">IF($B240="","",$C$2+$E$2+$G$2+SUM($I$5:$I240)-SUM($J$5:$J240))</f>
        <v/>
      </c>
      <c r="M240" s="24"/>
      <c r="N240" s="33" t="str">
        <f aca="false">IF($B240="","",IF(NOT(ISNUMBER($B240)),"日期格式不对",IF($C240="","未选资金账户",IF(AND(N($I240)=0,N($J240)=0),"收支都为空",IF(AND(N($I240)&gt;0,N($J240)&gt;0),"收支不能同时填",IF(AND($D240&lt;&gt;"",LEFT($O240,1)="⚠"),"项目编号不存在",IF(AND($M240="是",$F240=""),"工程回款必须填往来单位","√")))))))</f>
        <v/>
      </c>
      <c r="O240" s="34" t="str">
        <f aca="false">IF($D240="","",IFERROR(INDEX(项目档案!$B$6:$B$255,MATCH($D240,项目档案!$A$6:$A$255,0)),"⚠编号不存在"))</f>
        <v/>
      </c>
      <c r="P240" s="35" t="str">
        <f aca="false">IF($B240="","",TEXT($B240,"yyyy-mm"))</f>
        <v/>
      </c>
    </row>
    <row r="241" customFormat="false" ht="15.75" hidden="false" customHeight="true" outlineLevel="0" collapsed="false">
      <c r="A241" s="32" t="str">
        <f aca="false">IF($B241="","",ROW()-4)</f>
        <v/>
      </c>
      <c r="B241" s="26"/>
      <c r="C241" s="21"/>
      <c r="D241" s="24"/>
      <c r="E241" s="21"/>
      <c r="F241" s="24"/>
      <c r="G241" s="21"/>
      <c r="H241" s="22"/>
      <c r="I241" s="27"/>
      <c r="J241" s="27"/>
      <c r="K241" s="36" t="str">
        <f aca="false">IF($B241="","",IF($C241="泓普",$C$2,IF($C241="仟茂",$E$2,IF($C241="现金",$G$2,0)))+SUMIFS($I$5:$I241,$C$5:$C241,$C241)-SUMIFS($J$5:$J241,$C$5:$C241,$C241))</f>
        <v/>
      </c>
      <c r="L241" s="36" t="str">
        <f aca="false">IF($B241="","",$C$2+$E$2+$G$2+SUM($I$5:$I241)-SUM($J$5:$J241))</f>
        <v/>
      </c>
      <c r="M241" s="24"/>
      <c r="N241" s="33" t="str">
        <f aca="false">IF($B241="","",IF(NOT(ISNUMBER($B241)),"日期格式不对",IF($C241="","未选资金账户",IF(AND(N($I241)=0,N($J241)=0),"收支都为空",IF(AND(N($I241)&gt;0,N($J241)&gt;0),"收支不能同时填",IF(AND($D241&lt;&gt;"",LEFT($O241,1)="⚠"),"项目编号不存在",IF(AND($M241="是",$F241=""),"工程回款必须填往来单位","√")))))))</f>
        <v/>
      </c>
      <c r="O241" s="34" t="str">
        <f aca="false">IF($D241="","",IFERROR(INDEX(项目档案!$B$6:$B$255,MATCH($D241,项目档案!$A$6:$A$255,0)),"⚠编号不存在"))</f>
        <v/>
      </c>
      <c r="P241" s="35" t="str">
        <f aca="false">IF($B241="","",TEXT($B241,"yyyy-mm"))</f>
        <v/>
      </c>
    </row>
    <row r="242" customFormat="false" ht="15.75" hidden="false" customHeight="true" outlineLevel="0" collapsed="false">
      <c r="A242" s="32" t="str">
        <f aca="false">IF($B242="","",ROW()-4)</f>
        <v/>
      </c>
      <c r="B242" s="26"/>
      <c r="C242" s="21"/>
      <c r="D242" s="24"/>
      <c r="E242" s="21"/>
      <c r="F242" s="24"/>
      <c r="G242" s="21"/>
      <c r="H242" s="22"/>
      <c r="I242" s="27"/>
      <c r="J242" s="27"/>
      <c r="K242" s="36" t="str">
        <f aca="false">IF($B242="","",IF($C242="泓普",$C$2,IF($C242="仟茂",$E$2,IF($C242="现金",$G$2,0)))+SUMIFS($I$5:$I242,$C$5:$C242,$C242)-SUMIFS($J$5:$J242,$C$5:$C242,$C242))</f>
        <v/>
      </c>
      <c r="L242" s="36" t="str">
        <f aca="false">IF($B242="","",$C$2+$E$2+$G$2+SUM($I$5:$I242)-SUM($J$5:$J242))</f>
        <v/>
      </c>
      <c r="M242" s="24"/>
      <c r="N242" s="33" t="str">
        <f aca="false">IF($B242="","",IF(NOT(ISNUMBER($B242)),"日期格式不对",IF($C242="","未选资金账户",IF(AND(N($I242)=0,N($J242)=0),"收支都为空",IF(AND(N($I242)&gt;0,N($J242)&gt;0),"收支不能同时填",IF(AND($D242&lt;&gt;"",LEFT($O242,1)="⚠"),"项目编号不存在",IF(AND($M242="是",$F242=""),"工程回款必须填往来单位","√")))))))</f>
        <v/>
      </c>
      <c r="O242" s="34" t="str">
        <f aca="false">IF($D242="","",IFERROR(INDEX(项目档案!$B$6:$B$255,MATCH($D242,项目档案!$A$6:$A$255,0)),"⚠编号不存在"))</f>
        <v/>
      </c>
      <c r="P242" s="35" t="str">
        <f aca="false">IF($B242="","",TEXT($B242,"yyyy-mm"))</f>
        <v/>
      </c>
    </row>
    <row r="243" customFormat="false" ht="15.75" hidden="false" customHeight="true" outlineLevel="0" collapsed="false">
      <c r="A243" s="32" t="str">
        <f aca="false">IF($B243="","",ROW()-4)</f>
        <v/>
      </c>
      <c r="B243" s="26"/>
      <c r="C243" s="21"/>
      <c r="D243" s="24"/>
      <c r="E243" s="21"/>
      <c r="F243" s="24"/>
      <c r="G243" s="21"/>
      <c r="H243" s="22"/>
      <c r="I243" s="27"/>
      <c r="J243" s="27"/>
      <c r="K243" s="36" t="str">
        <f aca="false">IF($B243="","",IF($C243="泓普",$C$2,IF($C243="仟茂",$E$2,IF($C243="现金",$G$2,0)))+SUMIFS($I$5:$I243,$C$5:$C243,$C243)-SUMIFS($J$5:$J243,$C$5:$C243,$C243))</f>
        <v/>
      </c>
      <c r="L243" s="36" t="str">
        <f aca="false">IF($B243="","",$C$2+$E$2+$G$2+SUM($I$5:$I243)-SUM($J$5:$J243))</f>
        <v/>
      </c>
      <c r="M243" s="24"/>
      <c r="N243" s="33" t="str">
        <f aca="false">IF($B243="","",IF(NOT(ISNUMBER($B243)),"日期格式不对",IF($C243="","未选资金账户",IF(AND(N($I243)=0,N($J243)=0),"收支都为空",IF(AND(N($I243)&gt;0,N($J243)&gt;0),"收支不能同时填",IF(AND($D243&lt;&gt;"",LEFT($O243,1)="⚠"),"项目编号不存在",IF(AND($M243="是",$F243=""),"工程回款必须填往来单位","√")))))))</f>
        <v/>
      </c>
      <c r="O243" s="34" t="str">
        <f aca="false">IF($D243="","",IFERROR(INDEX(项目档案!$B$6:$B$255,MATCH($D243,项目档案!$A$6:$A$255,0)),"⚠编号不存在"))</f>
        <v/>
      </c>
      <c r="P243" s="35" t="str">
        <f aca="false">IF($B243="","",TEXT($B243,"yyyy-mm"))</f>
        <v/>
      </c>
    </row>
    <row r="244" customFormat="false" ht="15.75" hidden="false" customHeight="true" outlineLevel="0" collapsed="false">
      <c r="A244" s="32" t="str">
        <f aca="false">IF($B244="","",ROW()-4)</f>
        <v/>
      </c>
      <c r="B244" s="26"/>
      <c r="C244" s="21"/>
      <c r="D244" s="24"/>
      <c r="E244" s="21"/>
      <c r="F244" s="24"/>
      <c r="G244" s="21"/>
      <c r="H244" s="22"/>
      <c r="I244" s="27"/>
      <c r="J244" s="27"/>
      <c r="K244" s="36" t="str">
        <f aca="false">IF($B244="","",IF($C244="泓普",$C$2,IF($C244="仟茂",$E$2,IF($C244="现金",$G$2,0)))+SUMIFS($I$5:$I244,$C$5:$C244,$C244)-SUMIFS($J$5:$J244,$C$5:$C244,$C244))</f>
        <v/>
      </c>
      <c r="L244" s="36" t="str">
        <f aca="false">IF($B244="","",$C$2+$E$2+$G$2+SUM($I$5:$I244)-SUM($J$5:$J244))</f>
        <v/>
      </c>
      <c r="M244" s="24"/>
      <c r="N244" s="33" t="str">
        <f aca="false">IF($B244="","",IF(NOT(ISNUMBER($B244)),"日期格式不对",IF($C244="","未选资金账户",IF(AND(N($I244)=0,N($J244)=0),"收支都为空",IF(AND(N($I244)&gt;0,N($J244)&gt;0),"收支不能同时填",IF(AND($D244&lt;&gt;"",LEFT($O244,1)="⚠"),"项目编号不存在",IF(AND($M244="是",$F244=""),"工程回款必须填往来单位","√")))))))</f>
        <v/>
      </c>
      <c r="O244" s="34" t="str">
        <f aca="false">IF($D244="","",IFERROR(INDEX(项目档案!$B$6:$B$255,MATCH($D244,项目档案!$A$6:$A$255,0)),"⚠编号不存在"))</f>
        <v/>
      </c>
      <c r="P244" s="35" t="str">
        <f aca="false">IF($B244="","",TEXT($B244,"yyyy-mm"))</f>
        <v/>
      </c>
    </row>
    <row r="245" customFormat="false" ht="15.75" hidden="false" customHeight="true" outlineLevel="0" collapsed="false">
      <c r="A245" s="32" t="str">
        <f aca="false">IF($B245="","",ROW()-4)</f>
        <v/>
      </c>
      <c r="B245" s="26"/>
      <c r="C245" s="21"/>
      <c r="D245" s="24"/>
      <c r="E245" s="21"/>
      <c r="F245" s="24"/>
      <c r="G245" s="21"/>
      <c r="H245" s="22"/>
      <c r="I245" s="27"/>
      <c r="J245" s="27"/>
      <c r="K245" s="36" t="str">
        <f aca="false">IF($B245="","",IF($C245="泓普",$C$2,IF($C245="仟茂",$E$2,IF($C245="现金",$G$2,0)))+SUMIFS($I$5:$I245,$C$5:$C245,$C245)-SUMIFS($J$5:$J245,$C$5:$C245,$C245))</f>
        <v/>
      </c>
      <c r="L245" s="36" t="str">
        <f aca="false">IF($B245="","",$C$2+$E$2+$G$2+SUM($I$5:$I245)-SUM($J$5:$J245))</f>
        <v/>
      </c>
      <c r="M245" s="24"/>
      <c r="N245" s="33" t="str">
        <f aca="false">IF($B245="","",IF(NOT(ISNUMBER($B245)),"日期格式不对",IF($C245="","未选资金账户",IF(AND(N($I245)=0,N($J245)=0),"收支都为空",IF(AND(N($I245)&gt;0,N($J245)&gt;0),"收支不能同时填",IF(AND($D245&lt;&gt;"",LEFT($O245,1)="⚠"),"项目编号不存在",IF(AND($M245="是",$F245=""),"工程回款必须填往来单位","√")))))))</f>
        <v/>
      </c>
      <c r="O245" s="34" t="str">
        <f aca="false">IF($D245="","",IFERROR(INDEX(项目档案!$B$6:$B$255,MATCH($D245,项目档案!$A$6:$A$255,0)),"⚠编号不存在"))</f>
        <v/>
      </c>
      <c r="P245" s="35" t="str">
        <f aca="false">IF($B245="","",TEXT($B245,"yyyy-mm"))</f>
        <v/>
      </c>
    </row>
    <row r="246" customFormat="false" ht="15.75" hidden="false" customHeight="true" outlineLevel="0" collapsed="false">
      <c r="A246" s="32" t="str">
        <f aca="false">IF($B246="","",ROW()-4)</f>
        <v/>
      </c>
      <c r="B246" s="26"/>
      <c r="C246" s="21"/>
      <c r="D246" s="24"/>
      <c r="E246" s="21"/>
      <c r="F246" s="24"/>
      <c r="G246" s="21"/>
      <c r="H246" s="22"/>
      <c r="I246" s="27"/>
      <c r="J246" s="27"/>
      <c r="K246" s="36" t="str">
        <f aca="false">IF($B246="","",IF($C246="泓普",$C$2,IF($C246="仟茂",$E$2,IF($C246="现金",$G$2,0)))+SUMIFS($I$5:$I246,$C$5:$C246,$C246)-SUMIFS($J$5:$J246,$C$5:$C246,$C246))</f>
        <v/>
      </c>
      <c r="L246" s="36" t="str">
        <f aca="false">IF($B246="","",$C$2+$E$2+$G$2+SUM($I$5:$I246)-SUM($J$5:$J246))</f>
        <v/>
      </c>
      <c r="M246" s="24"/>
      <c r="N246" s="33" t="str">
        <f aca="false">IF($B246="","",IF(NOT(ISNUMBER($B246)),"日期格式不对",IF($C246="","未选资金账户",IF(AND(N($I246)=0,N($J246)=0),"收支都为空",IF(AND(N($I246)&gt;0,N($J246)&gt;0),"收支不能同时填",IF(AND($D246&lt;&gt;"",LEFT($O246,1)="⚠"),"项目编号不存在",IF(AND($M246="是",$F246=""),"工程回款必须填往来单位","√")))))))</f>
        <v/>
      </c>
      <c r="O246" s="34" t="str">
        <f aca="false">IF($D246="","",IFERROR(INDEX(项目档案!$B$6:$B$255,MATCH($D246,项目档案!$A$6:$A$255,0)),"⚠编号不存在"))</f>
        <v/>
      </c>
      <c r="P246" s="35" t="str">
        <f aca="false">IF($B246="","",TEXT($B246,"yyyy-mm"))</f>
        <v/>
      </c>
    </row>
    <row r="247" customFormat="false" ht="15.75" hidden="false" customHeight="true" outlineLevel="0" collapsed="false">
      <c r="A247" s="32" t="str">
        <f aca="false">IF($B247="","",ROW()-4)</f>
        <v/>
      </c>
      <c r="B247" s="26"/>
      <c r="C247" s="21"/>
      <c r="D247" s="24"/>
      <c r="E247" s="21"/>
      <c r="F247" s="24"/>
      <c r="G247" s="21"/>
      <c r="H247" s="22"/>
      <c r="I247" s="27"/>
      <c r="J247" s="27"/>
      <c r="K247" s="36" t="str">
        <f aca="false">IF($B247="","",IF($C247="泓普",$C$2,IF($C247="仟茂",$E$2,IF($C247="现金",$G$2,0)))+SUMIFS($I$5:$I247,$C$5:$C247,$C247)-SUMIFS($J$5:$J247,$C$5:$C247,$C247))</f>
        <v/>
      </c>
      <c r="L247" s="36" t="str">
        <f aca="false">IF($B247="","",$C$2+$E$2+$G$2+SUM($I$5:$I247)-SUM($J$5:$J247))</f>
        <v/>
      </c>
      <c r="M247" s="24"/>
      <c r="N247" s="33" t="str">
        <f aca="false">IF($B247="","",IF(NOT(ISNUMBER($B247)),"日期格式不对",IF($C247="","未选资金账户",IF(AND(N($I247)=0,N($J247)=0),"收支都为空",IF(AND(N($I247)&gt;0,N($J247)&gt;0),"收支不能同时填",IF(AND($D247&lt;&gt;"",LEFT($O247,1)="⚠"),"项目编号不存在",IF(AND($M247="是",$F247=""),"工程回款必须填往来单位","√")))))))</f>
        <v/>
      </c>
      <c r="O247" s="34" t="str">
        <f aca="false">IF($D247="","",IFERROR(INDEX(项目档案!$B$6:$B$255,MATCH($D247,项目档案!$A$6:$A$255,0)),"⚠编号不存在"))</f>
        <v/>
      </c>
      <c r="P247" s="35" t="str">
        <f aca="false">IF($B247="","",TEXT($B247,"yyyy-mm"))</f>
        <v/>
      </c>
    </row>
    <row r="248" customFormat="false" ht="15.75" hidden="false" customHeight="true" outlineLevel="0" collapsed="false">
      <c r="A248" s="32" t="str">
        <f aca="false">IF($B248="","",ROW()-4)</f>
        <v/>
      </c>
      <c r="B248" s="26"/>
      <c r="C248" s="21"/>
      <c r="D248" s="24"/>
      <c r="E248" s="21"/>
      <c r="F248" s="24"/>
      <c r="G248" s="21"/>
      <c r="H248" s="22"/>
      <c r="I248" s="27"/>
      <c r="J248" s="27"/>
      <c r="K248" s="36" t="str">
        <f aca="false">IF($B248="","",IF($C248="泓普",$C$2,IF($C248="仟茂",$E$2,IF($C248="现金",$G$2,0)))+SUMIFS($I$5:$I248,$C$5:$C248,$C248)-SUMIFS($J$5:$J248,$C$5:$C248,$C248))</f>
        <v/>
      </c>
      <c r="L248" s="36" t="str">
        <f aca="false">IF($B248="","",$C$2+$E$2+$G$2+SUM($I$5:$I248)-SUM($J$5:$J248))</f>
        <v/>
      </c>
      <c r="M248" s="24"/>
      <c r="N248" s="33" t="str">
        <f aca="false">IF($B248="","",IF(NOT(ISNUMBER($B248)),"日期格式不对",IF($C248="","未选资金账户",IF(AND(N($I248)=0,N($J248)=0),"收支都为空",IF(AND(N($I248)&gt;0,N($J248)&gt;0),"收支不能同时填",IF(AND($D248&lt;&gt;"",LEFT($O248,1)="⚠"),"项目编号不存在",IF(AND($M248="是",$F248=""),"工程回款必须填往来单位","√")))))))</f>
        <v/>
      </c>
      <c r="O248" s="34" t="str">
        <f aca="false">IF($D248="","",IFERROR(INDEX(项目档案!$B$6:$B$255,MATCH($D248,项目档案!$A$6:$A$255,0)),"⚠编号不存在"))</f>
        <v/>
      </c>
      <c r="P248" s="35" t="str">
        <f aca="false">IF($B248="","",TEXT($B248,"yyyy-mm"))</f>
        <v/>
      </c>
    </row>
    <row r="249" customFormat="false" ht="15.75" hidden="false" customHeight="true" outlineLevel="0" collapsed="false">
      <c r="A249" s="32" t="str">
        <f aca="false">IF($B249="","",ROW()-4)</f>
        <v/>
      </c>
      <c r="B249" s="26"/>
      <c r="C249" s="21"/>
      <c r="D249" s="24"/>
      <c r="E249" s="21"/>
      <c r="F249" s="24"/>
      <c r="G249" s="21"/>
      <c r="H249" s="22"/>
      <c r="I249" s="27"/>
      <c r="J249" s="27"/>
      <c r="K249" s="36" t="str">
        <f aca="false">IF($B249="","",IF($C249="泓普",$C$2,IF($C249="仟茂",$E$2,IF($C249="现金",$G$2,0)))+SUMIFS($I$5:$I249,$C$5:$C249,$C249)-SUMIFS($J$5:$J249,$C$5:$C249,$C249))</f>
        <v/>
      </c>
      <c r="L249" s="36" t="str">
        <f aca="false">IF($B249="","",$C$2+$E$2+$G$2+SUM($I$5:$I249)-SUM($J$5:$J249))</f>
        <v/>
      </c>
      <c r="M249" s="24"/>
      <c r="N249" s="33" t="str">
        <f aca="false">IF($B249="","",IF(NOT(ISNUMBER($B249)),"日期格式不对",IF($C249="","未选资金账户",IF(AND(N($I249)=0,N($J249)=0),"收支都为空",IF(AND(N($I249)&gt;0,N($J249)&gt;0),"收支不能同时填",IF(AND($D249&lt;&gt;"",LEFT($O249,1)="⚠"),"项目编号不存在",IF(AND($M249="是",$F249=""),"工程回款必须填往来单位","√")))))))</f>
        <v/>
      </c>
      <c r="O249" s="34" t="str">
        <f aca="false">IF($D249="","",IFERROR(INDEX(项目档案!$B$6:$B$255,MATCH($D249,项目档案!$A$6:$A$255,0)),"⚠编号不存在"))</f>
        <v/>
      </c>
      <c r="P249" s="35" t="str">
        <f aca="false">IF($B249="","",TEXT($B249,"yyyy-mm"))</f>
        <v/>
      </c>
    </row>
    <row r="250" customFormat="false" ht="15.75" hidden="false" customHeight="true" outlineLevel="0" collapsed="false">
      <c r="A250" s="32" t="str">
        <f aca="false">IF($B250="","",ROW()-4)</f>
        <v/>
      </c>
      <c r="B250" s="26"/>
      <c r="C250" s="21"/>
      <c r="D250" s="24"/>
      <c r="E250" s="21"/>
      <c r="F250" s="24"/>
      <c r="G250" s="21"/>
      <c r="H250" s="22"/>
      <c r="I250" s="27"/>
      <c r="J250" s="27"/>
      <c r="K250" s="36" t="str">
        <f aca="false">IF($B250="","",IF($C250="泓普",$C$2,IF($C250="仟茂",$E$2,IF($C250="现金",$G$2,0)))+SUMIFS($I$5:$I250,$C$5:$C250,$C250)-SUMIFS($J$5:$J250,$C$5:$C250,$C250))</f>
        <v/>
      </c>
      <c r="L250" s="36" t="str">
        <f aca="false">IF($B250="","",$C$2+$E$2+$G$2+SUM($I$5:$I250)-SUM($J$5:$J250))</f>
        <v/>
      </c>
      <c r="M250" s="24"/>
      <c r="N250" s="33" t="str">
        <f aca="false">IF($B250="","",IF(NOT(ISNUMBER($B250)),"日期格式不对",IF($C250="","未选资金账户",IF(AND(N($I250)=0,N($J250)=0),"收支都为空",IF(AND(N($I250)&gt;0,N($J250)&gt;0),"收支不能同时填",IF(AND($D250&lt;&gt;"",LEFT($O250,1)="⚠"),"项目编号不存在",IF(AND($M250="是",$F250=""),"工程回款必须填往来单位","√")))))))</f>
        <v/>
      </c>
      <c r="O250" s="34" t="str">
        <f aca="false">IF($D250="","",IFERROR(INDEX(项目档案!$B$6:$B$255,MATCH($D250,项目档案!$A$6:$A$255,0)),"⚠编号不存在"))</f>
        <v/>
      </c>
      <c r="P250" s="35" t="str">
        <f aca="false">IF($B250="","",TEXT($B250,"yyyy-mm"))</f>
        <v/>
      </c>
    </row>
    <row r="251" customFormat="false" ht="15.75" hidden="false" customHeight="true" outlineLevel="0" collapsed="false">
      <c r="A251" s="32" t="str">
        <f aca="false">IF($B251="","",ROW()-4)</f>
        <v/>
      </c>
      <c r="B251" s="26"/>
      <c r="C251" s="21"/>
      <c r="D251" s="24"/>
      <c r="E251" s="21"/>
      <c r="F251" s="24"/>
      <c r="G251" s="21"/>
      <c r="H251" s="22"/>
      <c r="I251" s="27"/>
      <c r="J251" s="27"/>
      <c r="K251" s="36" t="str">
        <f aca="false">IF($B251="","",IF($C251="泓普",$C$2,IF($C251="仟茂",$E$2,IF($C251="现金",$G$2,0)))+SUMIFS($I$5:$I251,$C$5:$C251,$C251)-SUMIFS($J$5:$J251,$C$5:$C251,$C251))</f>
        <v/>
      </c>
      <c r="L251" s="36" t="str">
        <f aca="false">IF($B251="","",$C$2+$E$2+$G$2+SUM($I$5:$I251)-SUM($J$5:$J251))</f>
        <v/>
      </c>
      <c r="M251" s="24"/>
      <c r="N251" s="33" t="str">
        <f aca="false">IF($B251="","",IF(NOT(ISNUMBER($B251)),"日期格式不对",IF($C251="","未选资金账户",IF(AND(N($I251)=0,N($J251)=0),"收支都为空",IF(AND(N($I251)&gt;0,N($J251)&gt;0),"收支不能同时填",IF(AND($D251&lt;&gt;"",LEFT($O251,1)="⚠"),"项目编号不存在",IF(AND($M251="是",$F251=""),"工程回款必须填往来单位","√")))))))</f>
        <v/>
      </c>
      <c r="O251" s="34" t="str">
        <f aca="false">IF($D251="","",IFERROR(INDEX(项目档案!$B$6:$B$255,MATCH($D251,项目档案!$A$6:$A$255,0)),"⚠编号不存在"))</f>
        <v/>
      </c>
      <c r="P251" s="35" t="str">
        <f aca="false">IF($B251="","",TEXT($B251,"yyyy-mm"))</f>
        <v/>
      </c>
    </row>
    <row r="252" customFormat="false" ht="15.75" hidden="false" customHeight="true" outlineLevel="0" collapsed="false">
      <c r="A252" s="32" t="str">
        <f aca="false">IF($B252="","",ROW()-4)</f>
        <v/>
      </c>
      <c r="B252" s="26"/>
      <c r="C252" s="21"/>
      <c r="D252" s="24"/>
      <c r="E252" s="21"/>
      <c r="F252" s="24"/>
      <c r="G252" s="21"/>
      <c r="H252" s="22"/>
      <c r="I252" s="27"/>
      <c r="J252" s="27"/>
      <c r="K252" s="36" t="str">
        <f aca="false">IF($B252="","",IF($C252="泓普",$C$2,IF($C252="仟茂",$E$2,IF($C252="现金",$G$2,0)))+SUMIFS($I$5:$I252,$C$5:$C252,$C252)-SUMIFS($J$5:$J252,$C$5:$C252,$C252))</f>
        <v/>
      </c>
      <c r="L252" s="36" t="str">
        <f aca="false">IF($B252="","",$C$2+$E$2+$G$2+SUM($I$5:$I252)-SUM($J$5:$J252))</f>
        <v/>
      </c>
      <c r="M252" s="24"/>
      <c r="N252" s="33" t="str">
        <f aca="false">IF($B252="","",IF(NOT(ISNUMBER($B252)),"日期格式不对",IF($C252="","未选资金账户",IF(AND(N($I252)=0,N($J252)=0),"收支都为空",IF(AND(N($I252)&gt;0,N($J252)&gt;0),"收支不能同时填",IF(AND($D252&lt;&gt;"",LEFT($O252,1)="⚠"),"项目编号不存在",IF(AND($M252="是",$F252=""),"工程回款必须填往来单位","√")))))))</f>
        <v/>
      </c>
      <c r="O252" s="34" t="str">
        <f aca="false">IF($D252="","",IFERROR(INDEX(项目档案!$B$6:$B$255,MATCH($D252,项目档案!$A$6:$A$255,0)),"⚠编号不存在"))</f>
        <v/>
      </c>
      <c r="P252" s="35" t="str">
        <f aca="false">IF($B252="","",TEXT($B252,"yyyy-mm"))</f>
        <v/>
      </c>
    </row>
    <row r="253" customFormat="false" ht="15.75" hidden="false" customHeight="true" outlineLevel="0" collapsed="false">
      <c r="A253" s="32" t="str">
        <f aca="false">IF($B253="","",ROW()-4)</f>
        <v/>
      </c>
      <c r="B253" s="26"/>
      <c r="C253" s="21"/>
      <c r="D253" s="24"/>
      <c r="E253" s="21"/>
      <c r="F253" s="24"/>
      <c r="G253" s="21"/>
      <c r="H253" s="22"/>
      <c r="I253" s="27"/>
      <c r="J253" s="27"/>
      <c r="K253" s="36" t="str">
        <f aca="false">IF($B253="","",IF($C253="泓普",$C$2,IF($C253="仟茂",$E$2,IF($C253="现金",$G$2,0)))+SUMIFS($I$5:$I253,$C$5:$C253,$C253)-SUMIFS($J$5:$J253,$C$5:$C253,$C253))</f>
        <v/>
      </c>
      <c r="L253" s="36" t="str">
        <f aca="false">IF($B253="","",$C$2+$E$2+$G$2+SUM($I$5:$I253)-SUM($J$5:$J253))</f>
        <v/>
      </c>
      <c r="M253" s="24"/>
      <c r="N253" s="33" t="str">
        <f aca="false">IF($B253="","",IF(NOT(ISNUMBER($B253)),"日期格式不对",IF($C253="","未选资金账户",IF(AND(N($I253)=0,N($J253)=0),"收支都为空",IF(AND(N($I253)&gt;0,N($J253)&gt;0),"收支不能同时填",IF(AND($D253&lt;&gt;"",LEFT($O253,1)="⚠"),"项目编号不存在",IF(AND($M253="是",$F253=""),"工程回款必须填往来单位","√")))))))</f>
        <v/>
      </c>
      <c r="O253" s="34" t="str">
        <f aca="false">IF($D253="","",IFERROR(INDEX(项目档案!$B$6:$B$255,MATCH($D253,项目档案!$A$6:$A$255,0)),"⚠编号不存在"))</f>
        <v/>
      </c>
      <c r="P253" s="35" t="str">
        <f aca="false">IF($B253="","",TEXT($B253,"yyyy-mm"))</f>
        <v/>
      </c>
    </row>
    <row r="254" customFormat="false" ht="15.75" hidden="false" customHeight="true" outlineLevel="0" collapsed="false">
      <c r="A254" s="32" t="str">
        <f aca="false">IF($B254="","",ROW()-4)</f>
        <v/>
      </c>
      <c r="B254" s="26"/>
      <c r="C254" s="21"/>
      <c r="D254" s="24"/>
      <c r="E254" s="21"/>
      <c r="F254" s="24"/>
      <c r="G254" s="21"/>
      <c r="H254" s="22"/>
      <c r="I254" s="27"/>
      <c r="J254" s="27"/>
      <c r="K254" s="36" t="str">
        <f aca="false">IF($B254="","",IF($C254="泓普",$C$2,IF($C254="仟茂",$E$2,IF($C254="现金",$G$2,0)))+SUMIFS($I$5:$I254,$C$5:$C254,$C254)-SUMIFS($J$5:$J254,$C$5:$C254,$C254))</f>
        <v/>
      </c>
      <c r="L254" s="36" t="str">
        <f aca="false">IF($B254="","",$C$2+$E$2+$G$2+SUM($I$5:$I254)-SUM($J$5:$J254))</f>
        <v/>
      </c>
      <c r="M254" s="24"/>
      <c r="N254" s="33" t="str">
        <f aca="false">IF($B254="","",IF(NOT(ISNUMBER($B254)),"日期格式不对",IF($C254="","未选资金账户",IF(AND(N($I254)=0,N($J254)=0),"收支都为空",IF(AND(N($I254)&gt;0,N($J254)&gt;0),"收支不能同时填",IF(AND($D254&lt;&gt;"",LEFT($O254,1)="⚠"),"项目编号不存在",IF(AND($M254="是",$F254=""),"工程回款必须填往来单位","√")))))))</f>
        <v/>
      </c>
      <c r="O254" s="34" t="str">
        <f aca="false">IF($D254="","",IFERROR(INDEX(项目档案!$B$6:$B$255,MATCH($D254,项目档案!$A$6:$A$255,0)),"⚠编号不存在"))</f>
        <v/>
      </c>
      <c r="P254" s="35" t="str">
        <f aca="false">IF($B254="","",TEXT($B254,"yyyy-mm"))</f>
        <v/>
      </c>
    </row>
    <row r="255" customFormat="false" ht="15.75" hidden="false" customHeight="true" outlineLevel="0" collapsed="false">
      <c r="A255" s="32" t="str">
        <f aca="false">IF($B255="","",ROW()-4)</f>
        <v/>
      </c>
      <c r="B255" s="26"/>
      <c r="C255" s="21"/>
      <c r="D255" s="24"/>
      <c r="E255" s="21"/>
      <c r="F255" s="24"/>
      <c r="G255" s="21"/>
      <c r="H255" s="22"/>
      <c r="I255" s="27"/>
      <c r="J255" s="27"/>
      <c r="K255" s="36" t="str">
        <f aca="false">IF($B255="","",IF($C255="泓普",$C$2,IF($C255="仟茂",$E$2,IF($C255="现金",$G$2,0)))+SUMIFS($I$5:$I255,$C$5:$C255,$C255)-SUMIFS($J$5:$J255,$C$5:$C255,$C255))</f>
        <v/>
      </c>
      <c r="L255" s="36" t="str">
        <f aca="false">IF($B255="","",$C$2+$E$2+$G$2+SUM($I$5:$I255)-SUM($J$5:$J255))</f>
        <v/>
      </c>
      <c r="M255" s="24"/>
      <c r="N255" s="33" t="str">
        <f aca="false">IF($B255="","",IF(NOT(ISNUMBER($B255)),"日期格式不对",IF($C255="","未选资金账户",IF(AND(N($I255)=0,N($J255)=0),"收支都为空",IF(AND(N($I255)&gt;0,N($J255)&gt;0),"收支不能同时填",IF(AND($D255&lt;&gt;"",LEFT($O255,1)="⚠"),"项目编号不存在",IF(AND($M255="是",$F255=""),"工程回款必须填往来单位","√")))))))</f>
        <v/>
      </c>
      <c r="O255" s="34" t="str">
        <f aca="false">IF($D255="","",IFERROR(INDEX(项目档案!$B$6:$B$255,MATCH($D255,项目档案!$A$6:$A$255,0)),"⚠编号不存在"))</f>
        <v/>
      </c>
      <c r="P255" s="35" t="str">
        <f aca="false">IF($B255="","",TEXT($B255,"yyyy-mm"))</f>
        <v/>
      </c>
    </row>
    <row r="256" customFormat="false" ht="15.75" hidden="false" customHeight="true" outlineLevel="0" collapsed="false">
      <c r="A256" s="32" t="str">
        <f aca="false">IF($B256="","",ROW()-4)</f>
        <v/>
      </c>
      <c r="B256" s="26"/>
      <c r="C256" s="21"/>
      <c r="D256" s="24"/>
      <c r="E256" s="21"/>
      <c r="F256" s="24"/>
      <c r="G256" s="21"/>
      <c r="H256" s="22"/>
      <c r="I256" s="27"/>
      <c r="J256" s="27"/>
      <c r="K256" s="36" t="str">
        <f aca="false">IF($B256="","",IF($C256="泓普",$C$2,IF($C256="仟茂",$E$2,IF($C256="现金",$G$2,0)))+SUMIFS($I$5:$I256,$C$5:$C256,$C256)-SUMIFS($J$5:$J256,$C$5:$C256,$C256))</f>
        <v/>
      </c>
      <c r="L256" s="36" t="str">
        <f aca="false">IF($B256="","",$C$2+$E$2+$G$2+SUM($I$5:$I256)-SUM($J$5:$J256))</f>
        <v/>
      </c>
      <c r="M256" s="24"/>
      <c r="N256" s="33" t="str">
        <f aca="false">IF($B256="","",IF(NOT(ISNUMBER($B256)),"日期格式不对",IF($C256="","未选资金账户",IF(AND(N($I256)=0,N($J256)=0),"收支都为空",IF(AND(N($I256)&gt;0,N($J256)&gt;0),"收支不能同时填",IF(AND($D256&lt;&gt;"",LEFT($O256,1)="⚠"),"项目编号不存在",IF(AND($M256="是",$F256=""),"工程回款必须填往来单位","√")))))))</f>
        <v/>
      </c>
      <c r="O256" s="34" t="str">
        <f aca="false">IF($D256="","",IFERROR(INDEX(项目档案!$B$6:$B$255,MATCH($D256,项目档案!$A$6:$A$255,0)),"⚠编号不存在"))</f>
        <v/>
      </c>
      <c r="P256" s="35" t="str">
        <f aca="false">IF($B256="","",TEXT($B256,"yyyy-mm"))</f>
        <v/>
      </c>
    </row>
    <row r="257" customFormat="false" ht="15.75" hidden="false" customHeight="true" outlineLevel="0" collapsed="false">
      <c r="A257" s="32" t="str">
        <f aca="false">IF($B257="","",ROW()-4)</f>
        <v/>
      </c>
      <c r="B257" s="26"/>
      <c r="C257" s="21"/>
      <c r="D257" s="24"/>
      <c r="E257" s="21"/>
      <c r="F257" s="24"/>
      <c r="G257" s="21"/>
      <c r="H257" s="22"/>
      <c r="I257" s="27"/>
      <c r="J257" s="27"/>
      <c r="K257" s="36" t="str">
        <f aca="false">IF($B257="","",IF($C257="泓普",$C$2,IF($C257="仟茂",$E$2,IF($C257="现金",$G$2,0)))+SUMIFS($I$5:$I257,$C$5:$C257,$C257)-SUMIFS($J$5:$J257,$C$5:$C257,$C257))</f>
        <v/>
      </c>
      <c r="L257" s="36" t="str">
        <f aca="false">IF($B257="","",$C$2+$E$2+$G$2+SUM($I$5:$I257)-SUM($J$5:$J257))</f>
        <v/>
      </c>
      <c r="M257" s="24"/>
      <c r="N257" s="33" t="str">
        <f aca="false">IF($B257="","",IF(NOT(ISNUMBER($B257)),"日期格式不对",IF($C257="","未选资金账户",IF(AND(N($I257)=0,N($J257)=0),"收支都为空",IF(AND(N($I257)&gt;0,N($J257)&gt;0),"收支不能同时填",IF(AND($D257&lt;&gt;"",LEFT($O257,1)="⚠"),"项目编号不存在",IF(AND($M257="是",$F257=""),"工程回款必须填往来单位","√")))))))</f>
        <v/>
      </c>
      <c r="O257" s="34" t="str">
        <f aca="false">IF($D257="","",IFERROR(INDEX(项目档案!$B$6:$B$255,MATCH($D257,项目档案!$A$6:$A$255,0)),"⚠编号不存在"))</f>
        <v/>
      </c>
      <c r="P257" s="35" t="str">
        <f aca="false">IF($B257="","",TEXT($B257,"yyyy-mm"))</f>
        <v/>
      </c>
    </row>
    <row r="258" customFormat="false" ht="15.75" hidden="false" customHeight="true" outlineLevel="0" collapsed="false">
      <c r="A258" s="32" t="str">
        <f aca="false">IF($B258="","",ROW()-4)</f>
        <v/>
      </c>
      <c r="B258" s="26"/>
      <c r="C258" s="21"/>
      <c r="D258" s="24"/>
      <c r="E258" s="21"/>
      <c r="F258" s="24"/>
      <c r="G258" s="21"/>
      <c r="H258" s="22"/>
      <c r="I258" s="27"/>
      <c r="J258" s="27"/>
      <c r="K258" s="36" t="str">
        <f aca="false">IF($B258="","",IF($C258="泓普",$C$2,IF($C258="仟茂",$E$2,IF($C258="现金",$G$2,0)))+SUMIFS($I$5:$I258,$C$5:$C258,$C258)-SUMIFS($J$5:$J258,$C$5:$C258,$C258))</f>
        <v/>
      </c>
      <c r="L258" s="36" t="str">
        <f aca="false">IF($B258="","",$C$2+$E$2+$G$2+SUM($I$5:$I258)-SUM($J$5:$J258))</f>
        <v/>
      </c>
      <c r="M258" s="24"/>
      <c r="N258" s="33" t="str">
        <f aca="false">IF($B258="","",IF(NOT(ISNUMBER($B258)),"日期格式不对",IF($C258="","未选资金账户",IF(AND(N($I258)=0,N($J258)=0),"收支都为空",IF(AND(N($I258)&gt;0,N($J258)&gt;0),"收支不能同时填",IF(AND($D258&lt;&gt;"",LEFT($O258,1)="⚠"),"项目编号不存在",IF(AND($M258="是",$F258=""),"工程回款必须填往来单位","√")))))))</f>
        <v/>
      </c>
      <c r="O258" s="34" t="str">
        <f aca="false">IF($D258="","",IFERROR(INDEX(项目档案!$B$6:$B$255,MATCH($D258,项目档案!$A$6:$A$255,0)),"⚠编号不存在"))</f>
        <v/>
      </c>
      <c r="P258" s="35" t="str">
        <f aca="false">IF($B258="","",TEXT($B258,"yyyy-mm"))</f>
        <v/>
      </c>
    </row>
    <row r="259" customFormat="false" ht="15.75" hidden="false" customHeight="true" outlineLevel="0" collapsed="false">
      <c r="A259" s="32" t="str">
        <f aca="false">IF($B259="","",ROW()-4)</f>
        <v/>
      </c>
      <c r="B259" s="26"/>
      <c r="C259" s="21"/>
      <c r="D259" s="24"/>
      <c r="E259" s="21"/>
      <c r="F259" s="24"/>
      <c r="G259" s="21"/>
      <c r="H259" s="22"/>
      <c r="I259" s="27"/>
      <c r="J259" s="27"/>
      <c r="K259" s="36" t="str">
        <f aca="false">IF($B259="","",IF($C259="泓普",$C$2,IF($C259="仟茂",$E$2,IF($C259="现金",$G$2,0)))+SUMIFS($I$5:$I259,$C$5:$C259,$C259)-SUMIFS($J$5:$J259,$C$5:$C259,$C259))</f>
        <v/>
      </c>
      <c r="L259" s="36" t="str">
        <f aca="false">IF($B259="","",$C$2+$E$2+$G$2+SUM($I$5:$I259)-SUM($J$5:$J259))</f>
        <v/>
      </c>
      <c r="M259" s="24"/>
      <c r="N259" s="33" t="str">
        <f aca="false">IF($B259="","",IF(NOT(ISNUMBER($B259)),"日期格式不对",IF($C259="","未选资金账户",IF(AND(N($I259)=0,N($J259)=0),"收支都为空",IF(AND(N($I259)&gt;0,N($J259)&gt;0),"收支不能同时填",IF(AND($D259&lt;&gt;"",LEFT($O259,1)="⚠"),"项目编号不存在",IF(AND($M259="是",$F259=""),"工程回款必须填往来单位","√")))))))</f>
        <v/>
      </c>
      <c r="O259" s="34" t="str">
        <f aca="false">IF($D259="","",IFERROR(INDEX(项目档案!$B$6:$B$255,MATCH($D259,项目档案!$A$6:$A$255,0)),"⚠编号不存在"))</f>
        <v/>
      </c>
      <c r="P259" s="35" t="str">
        <f aca="false">IF($B259="","",TEXT($B259,"yyyy-mm"))</f>
        <v/>
      </c>
    </row>
    <row r="260" customFormat="false" ht="15.75" hidden="false" customHeight="true" outlineLevel="0" collapsed="false">
      <c r="A260" s="32" t="str">
        <f aca="false">IF($B260="","",ROW()-4)</f>
        <v/>
      </c>
      <c r="B260" s="26"/>
      <c r="C260" s="21"/>
      <c r="D260" s="24"/>
      <c r="E260" s="21"/>
      <c r="F260" s="24"/>
      <c r="G260" s="21"/>
      <c r="H260" s="22"/>
      <c r="I260" s="27"/>
      <c r="J260" s="27"/>
      <c r="K260" s="36" t="str">
        <f aca="false">IF($B260="","",IF($C260="泓普",$C$2,IF($C260="仟茂",$E$2,IF($C260="现金",$G$2,0)))+SUMIFS($I$5:$I260,$C$5:$C260,$C260)-SUMIFS($J$5:$J260,$C$5:$C260,$C260))</f>
        <v/>
      </c>
      <c r="L260" s="36" t="str">
        <f aca="false">IF($B260="","",$C$2+$E$2+$G$2+SUM($I$5:$I260)-SUM($J$5:$J260))</f>
        <v/>
      </c>
      <c r="M260" s="24"/>
      <c r="N260" s="33" t="str">
        <f aca="false">IF($B260="","",IF(NOT(ISNUMBER($B260)),"日期格式不对",IF($C260="","未选资金账户",IF(AND(N($I260)=0,N($J260)=0),"收支都为空",IF(AND(N($I260)&gt;0,N($J260)&gt;0),"收支不能同时填",IF(AND($D260&lt;&gt;"",LEFT($O260,1)="⚠"),"项目编号不存在",IF(AND($M260="是",$F260=""),"工程回款必须填往来单位","√")))))))</f>
        <v/>
      </c>
      <c r="O260" s="34" t="str">
        <f aca="false">IF($D260="","",IFERROR(INDEX(项目档案!$B$6:$B$255,MATCH($D260,项目档案!$A$6:$A$255,0)),"⚠编号不存在"))</f>
        <v/>
      </c>
      <c r="P260" s="35" t="str">
        <f aca="false">IF($B260="","",TEXT($B260,"yyyy-mm"))</f>
        <v/>
      </c>
    </row>
    <row r="261" customFormat="false" ht="15.75" hidden="false" customHeight="true" outlineLevel="0" collapsed="false">
      <c r="A261" s="32" t="str">
        <f aca="false">IF($B261="","",ROW()-4)</f>
        <v/>
      </c>
      <c r="B261" s="26"/>
      <c r="C261" s="21"/>
      <c r="D261" s="24"/>
      <c r="E261" s="21"/>
      <c r="F261" s="24"/>
      <c r="G261" s="21"/>
      <c r="H261" s="22"/>
      <c r="I261" s="27"/>
      <c r="J261" s="27"/>
      <c r="K261" s="36" t="str">
        <f aca="false">IF($B261="","",IF($C261="泓普",$C$2,IF($C261="仟茂",$E$2,IF($C261="现金",$G$2,0)))+SUMIFS($I$5:$I261,$C$5:$C261,$C261)-SUMIFS($J$5:$J261,$C$5:$C261,$C261))</f>
        <v/>
      </c>
      <c r="L261" s="36" t="str">
        <f aca="false">IF($B261="","",$C$2+$E$2+$G$2+SUM($I$5:$I261)-SUM($J$5:$J261))</f>
        <v/>
      </c>
      <c r="M261" s="24"/>
      <c r="N261" s="33" t="str">
        <f aca="false">IF($B261="","",IF(NOT(ISNUMBER($B261)),"日期格式不对",IF($C261="","未选资金账户",IF(AND(N($I261)=0,N($J261)=0),"收支都为空",IF(AND(N($I261)&gt;0,N($J261)&gt;0),"收支不能同时填",IF(AND($D261&lt;&gt;"",LEFT($O261,1)="⚠"),"项目编号不存在",IF(AND($M261="是",$F261=""),"工程回款必须填往来单位","√")))))))</f>
        <v/>
      </c>
      <c r="O261" s="34" t="str">
        <f aca="false">IF($D261="","",IFERROR(INDEX(项目档案!$B$6:$B$255,MATCH($D261,项目档案!$A$6:$A$255,0)),"⚠编号不存在"))</f>
        <v/>
      </c>
      <c r="P261" s="35" t="str">
        <f aca="false">IF($B261="","",TEXT($B261,"yyyy-mm"))</f>
        <v/>
      </c>
    </row>
    <row r="262" customFormat="false" ht="15.75" hidden="false" customHeight="true" outlineLevel="0" collapsed="false">
      <c r="A262" s="32" t="str">
        <f aca="false">IF($B262="","",ROW()-4)</f>
        <v/>
      </c>
      <c r="B262" s="26"/>
      <c r="C262" s="21"/>
      <c r="D262" s="24"/>
      <c r="E262" s="21"/>
      <c r="F262" s="24"/>
      <c r="G262" s="21"/>
      <c r="H262" s="22"/>
      <c r="I262" s="27"/>
      <c r="J262" s="27"/>
      <c r="K262" s="36" t="str">
        <f aca="false">IF($B262="","",IF($C262="泓普",$C$2,IF($C262="仟茂",$E$2,IF($C262="现金",$G$2,0)))+SUMIFS($I$5:$I262,$C$5:$C262,$C262)-SUMIFS($J$5:$J262,$C$5:$C262,$C262))</f>
        <v/>
      </c>
      <c r="L262" s="36" t="str">
        <f aca="false">IF($B262="","",$C$2+$E$2+$G$2+SUM($I$5:$I262)-SUM($J$5:$J262))</f>
        <v/>
      </c>
      <c r="M262" s="24"/>
      <c r="N262" s="33" t="str">
        <f aca="false">IF($B262="","",IF(NOT(ISNUMBER($B262)),"日期格式不对",IF($C262="","未选资金账户",IF(AND(N($I262)=0,N($J262)=0),"收支都为空",IF(AND(N($I262)&gt;0,N($J262)&gt;0),"收支不能同时填",IF(AND($D262&lt;&gt;"",LEFT($O262,1)="⚠"),"项目编号不存在",IF(AND($M262="是",$F262=""),"工程回款必须填往来单位","√")))))))</f>
        <v/>
      </c>
      <c r="O262" s="34" t="str">
        <f aca="false">IF($D262="","",IFERROR(INDEX(项目档案!$B$6:$B$255,MATCH($D262,项目档案!$A$6:$A$255,0)),"⚠编号不存在"))</f>
        <v/>
      </c>
      <c r="P262" s="35" t="str">
        <f aca="false">IF($B262="","",TEXT($B262,"yyyy-mm"))</f>
        <v/>
      </c>
    </row>
    <row r="263" customFormat="false" ht="15.75" hidden="false" customHeight="true" outlineLevel="0" collapsed="false">
      <c r="A263" s="32" t="str">
        <f aca="false">IF($B263="","",ROW()-4)</f>
        <v/>
      </c>
      <c r="B263" s="26"/>
      <c r="C263" s="21"/>
      <c r="D263" s="24"/>
      <c r="E263" s="21"/>
      <c r="F263" s="24"/>
      <c r="G263" s="21"/>
      <c r="H263" s="22"/>
      <c r="I263" s="27"/>
      <c r="J263" s="27"/>
      <c r="K263" s="36" t="str">
        <f aca="false">IF($B263="","",IF($C263="泓普",$C$2,IF($C263="仟茂",$E$2,IF($C263="现金",$G$2,0)))+SUMIFS($I$5:$I263,$C$5:$C263,$C263)-SUMIFS($J$5:$J263,$C$5:$C263,$C263))</f>
        <v/>
      </c>
      <c r="L263" s="36" t="str">
        <f aca="false">IF($B263="","",$C$2+$E$2+$G$2+SUM($I$5:$I263)-SUM($J$5:$J263))</f>
        <v/>
      </c>
      <c r="M263" s="24"/>
      <c r="N263" s="33" t="str">
        <f aca="false">IF($B263="","",IF(NOT(ISNUMBER($B263)),"日期格式不对",IF($C263="","未选资金账户",IF(AND(N($I263)=0,N($J263)=0),"收支都为空",IF(AND(N($I263)&gt;0,N($J263)&gt;0),"收支不能同时填",IF(AND($D263&lt;&gt;"",LEFT($O263,1)="⚠"),"项目编号不存在",IF(AND($M263="是",$F263=""),"工程回款必须填往来单位","√")))))))</f>
        <v/>
      </c>
      <c r="O263" s="34" t="str">
        <f aca="false">IF($D263="","",IFERROR(INDEX(项目档案!$B$6:$B$255,MATCH($D263,项目档案!$A$6:$A$255,0)),"⚠编号不存在"))</f>
        <v/>
      </c>
      <c r="P263" s="35" t="str">
        <f aca="false">IF($B263="","",TEXT($B263,"yyyy-mm"))</f>
        <v/>
      </c>
    </row>
    <row r="264" customFormat="false" ht="15.75" hidden="false" customHeight="true" outlineLevel="0" collapsed="false">
      <c r="A264" s="32" t="str">
        <f aca="false">IF($B264="","",ROW()-4)</f>
        <v/>
      </c>
      <c r="B264" s="26"/>
      <c r="C264" s="21"/>
      <c r="D264" s="24"/>
      <c r="E264" s="21"/>
      <c r="F264" s="24"/>
      <c r="G264" s="21"/>
      <c r="H264" s="22"/>
      <c r="I264" s="27"/>
      <c r="J264" s="27"/>
      <c r="K264" s="36" t="str">
        <f aca="false">IF($B264="","",IF($C264="泓普",$C$2,IF($C264="仟茂",$E$2,IF($C264="现金",$G$2,0)))+SUMIFS($I$5:$I264,$C$5:$C264,$C264)-SUMIFS($J$5:$J264,$C$5:$C264,$C264))</f>
        <v/>
      </c>
      <c r="L264" s="36" t="str">
        <f aca="false">IF($B264="","",$C$2+$E$2+$G$2+SUM($I$5:$I264)-SUM($J$5:$J264))</f>
        <v/>
      </c>
      <c r="M264" s="24"/>
      <c r="N264" s="33" t="str">
        <f aca="false">IF($B264="","",IF(NOT(ISNUMBER($B264)),"日期格式不对",IF($C264="","未选资金账户",IF(AND(N($I264)=0,N($J264)=0),"收支都为空",IF(AND(N($I264)&gt;0,N($J264)&gt;0),"收支不能同时填",IF(AND($D264&lt;&gt;"",LEFT($O264,1)="⚠"),"项目编号不存在",IF(AND($M264="是",$F264=""),"工程回款必须填往来单位","√")))))))</f>
        <v/>
      </c>
      <c r="O264" s="34" t="str">
        <f aca="false">IF($D264="","",IFERROR(INDEX(项目档案!$B$6:$B$255,MATCH($D264,项目档案!$A$6:$A$255,0)),"⚠编号不存在"))</f>
        <v/>
      </c>
      <c r="P264" s="35" t="str">
        <f aca="false">IF($B264="","",TEXT($B264,"yyyy-mm"))</f>
        <v/>
      </c>
    </row>
    <row r="265" customFormat="false" ht="15.75" hidden="false" customHeight="true" outlineLevel="0" collapsed="false">
      <c r="A265" s="32" t="str">
        <f aca="false">IF($B265="","",ROW()-4)</f>
        <v/>
      </c>
      <c r="B265" s="26"/>
      <c r="C265" s="21"/>
      <c r="D265" s="24"/>
      <c r="E265" s="21"/>
      <c r="F265" s="24"/>
      <c r="G265" s="21"/>
      <c r="H265" s="22"/>
      <c r="I265" s="27"/>
      <c r="J265" s="27"/>
      <c r="K265" s="36" t="str">
        <f aca="false">IF($B265="","",IF($C265="泓普",$C$2,IF($C265="仟茂",$E$2,IF($C265="现金",$G$2,0)))+SUMIFS($I$5:$I265,$C$5:$C265,$C265)-SUMIFS($J$5:$J265,$C$5:$C265,$C265))</f>
        <v/>
      </c>
      <c r="L265" s="36" t="str">
        <f aca="false">IF($B265="","",$C$2+$E$2+$G$2+SUM($I$5:$I265)-SUM($J$5:$J265))</f>
        <v/>
      </c>
      <c r="M265" s="24"/>
      <c r="N265" s="33" t="str">
        <f aca="false">IF($B265="","",IF(NOT(ISNUMBER($B265)),"日期格式不对",IF($C265="","未选资金账户",IF(AND(N($I265)=0,N($J265)=0),"收支都为空",IF(AND(N($I265)&gt;0,N($J265)&gt;0),"收支不能同时填",IF(AND($D265&lt;&gt;"",LEFT($O265,1)="⚠"),"项目编号不存在",IF(AND($M265="是",$F265=""),"工程回款必须填往来单位","√")))))))</f>
        <v/>
      </c>
      <c r="O265" s="34" t="str">
        <f aca="false">IF($D265="","",IFERROR(INDEX(项目档案!$B$6:$B$255,MATCH($D265,项目档案!$A$6:$A$255,0)),"⚠编号不存在"))</f>
        <v/>
      </c>
      <c r="P265" s="35" t="str">
        <f aca="false">IF($B265="","",TEXT($B265,"yyyy-mm"))</f>
        <v/>
      </c>
    </row>
    <row r="266" customFormat="false" ht="15.75" hidden="false" customHeight="true" outlineLevel="0" collapsed="false">
      <c r="A266" s="32" t="str">
        <f aca="false">IF($B266="","",ROW()-4)</f>
        <v/>
      </c>
      <c r="B266" s="26"/>
      <c r="C266" s="21"/>
      <c r="D266" s="24"/>
      <c r="E266" s="21"/>
      <c r="F266" s="24"/>
      <c r="G266" s="21"/>
      <c r="H266" s="22"/>
      <c r="I266" s="27"/>
      <c r="J266" s="27"/>
      <c r="K266" s="36" t="str">
        <f aca="false">IF($B266="","",IF($C266="泓普",$C$2,IF($C266="仟茂",$E$2,IF($C266="现金",$G$2,0)))+SUMIFS($I$5:$I266,$C$5:$C266,$C266)-SUMIFS($J$5:$J266,$C$5:$C266,$C266))</f>
        <v/>
      </c>
      <c r="L266" s="36" t="str">
        <f aca="false">IF($B266="","",$C$2+$E$2+$G$2+SUM($I$5:$I266)-SUM($J$5:$J266))</f>
        <v/>
      </c>
      <c r="M266" s="24"/>
      <c r="N266" s="33" t="str">
        <f aca="false">IF($B266="","",IF(NOT(ISNUMBER($B266)),"日期格式不对",IF($C266="","未选资金账户",IF(AND(N($I266)=0,N($J266)=0),"收支都为空",IF(AND(N($I266)&gt;0,N($J266)&gt;0),"收支不能同时填",IF(AND($D266&lt;&gt;"",LEFT($O266,1)="⚠"),"项目编号不存在",IF(AND($M266="是",$F266=""),"工程回款必须填往来单位","√")))))))</f>
        <v/>
      </c>
      <c r="O266" s="34" t="str">
        <f aca="false">IF($D266="","",IFERROR(INDEX(项目档案!$B$6:$B$255,MATCH($D266,项目档案!$A$6:$A$255,0)),"⚠编号不存在"))</f>
        <v/>
      </c>
      <c r="P266" s="35" t="str">
        <f aca="false">IF($B266="","",TEXT($B266,"yyyy-mm"))</f>
        <v/>
      </c>
    </row>
    <row r="267" customFormat="false" ht="15.75" hidden="false" customHeight="true" outlineLevel="0" collapsed="false">
      <c r="A267" s="32" t="str">
        <f aca="false">IF($B267="","",ROW()-4)</f>
        <v/>
      </c>
      <c r="B267" s="26"/>
      <c r="C267" s="21"/>
      <c r="D267" s="24"/>
      <c r="E267" s="21"/>
      <c r="F267" s="24"/>
      <c r="G267" s="21"/>
      <c r="H267" s="22"/>
      <c r="I267" s="27"/>
      <c r="J267" s="27"/>
      <c r="K267" s="36" t="str">
        <f aca="false">IF($B267="","",IF($C267="泓普",$C$2,IF($C267="仟茂",$E$2,IF($C267="现金",$G$2,0)))+SUMIFS($I$5:$I267,$C$5:$C267,$C267)-SUMIFS($J$5:$J267,$C$5:$C267,$C267))</f>
        <v/>
      </c>
      <c r="L267" s="36" t="str">
        <f aca="false">IF($B267="","",$C$2+$E$2+$G$2+SUM($I$5:$I267)-SUM($J$5:$J267))</f>
        <v/>
      </c>
      <c r="M267" s="24"/>
      <c r="N267" s="33" t="str">
        <f aca="false">IF($B267="","",IF(NOT(ISNUMBER($B267)),"日期格式不对",IF($C267="","未选资金账户",IF(AND(N($I267)=0,N($J267)=0),"收支都为空",IF(AND(N($I267)&gt;0,N($J267)&gt;0),"收支不能同时填",IF(AND($D267&lt;&gt;"",LEFT($O267,1)="⚠"),"项目编号不存在",IF(AND($M267="是",$F267=""),"工程回款必须填往来单位","√")))))))</f>
        <v/>
      </c>
      <c r="O267" s="34" t="str">
        <f aca="false">IF($D267="","",IFERROR(INDEX(项目档案!$B$6:$B$255,MATCH($D267,项目档案!$A$6:$A$255,0)),"⚠编号不存在"))</f>
        <v/>
      </c>
      <c r="P267" s="35" t="str">
        <f aca="false">IF($B267="","",TEXT($B267,"yyyy-mm"))</f>
        <v/>
      </c>
    </row>
    <row r="268" customFormat="false" ht="15.75" hidden="false" customHeight="true" outlineLevel="0" collapsed="false">
      <c r="A268" s="32" t="str">
        <f aca="false">IF($B268="","",ROW()-4)</f>
        <v/>
      </c>
      <c r="B268" s="26"/>
      <c r="C268" s="21"/>
      <c r="D268" s="24"/>
      <c r="E268" s="21"/>
      <c r="F268" s="24"/>
      <c r="G268" s="21"/>
      <c r="H268" s="22"/>
      <c r="I268" s="27"/>
      <c r="J268" s="27"/>
      <c r="K268" s="36" t="str">
        <f aca="false">IF($B268="","",IF($C268="泓普",$C$2,IF($C268="仟茂",$E$2,IF($C268="现金",$G$2,0)))+SUMIFS($I$5:$I268,$C$5:$C268,$C268)-SUMIFS($J$5:$J268,$C$5:$C268,$C268))</f>
        <v/>
      </c>
      <c r="L268" s="36" t="str">
        <f aca="false">IF($B268="","",$C$2+$E$2+$G$2+SUM($I$5:$I268)-SUM($J$5:$J268))</f>
        <v/>
      </c>
      <c r="M268" s="24"/>
      <c r="N268" s="33" t="str">
        <f aca="false">IF($B268="","",IF(NOT(ISNUMBER($B268)),"日期格式不对",IF($C268="","未选资金账户",IF(AND(N($I268)=0,N($J268)=0),"收支都为空",IF(AND(N($I268)&gt;0,N($J268)&gt;0),"收支不能同时填",IF(AND($D268&lt;&gt;"",LEFT($O268,1)="⚠"),"项目编号不存在",IF(AND($M268="是",$F268=""),"工程回款必须填往来单位","√")))))))</f>
        <v/>
      </c>
      <c r="O268" s="34" t="str">
        <f aca="false">IF($D268="","",IFERROR(INDEX(项目档案!$B$6:$B$255,MATCH($D268,项目档案!$A$6:$A$255,0)),"⚠编号不存在"))</f>
        <v/>
      </c>
      <c r="P268" s="35" t="str">
        <f aca="false">IF($B268="","",TEXT($B268,"yyyy-mm"))</f>
        <v/>
      </c>
    </row>
    <row r="269" customFormat="false" ht="15.75" hidden="false" customHeight="true" outlineLevel="0" collapsed="false">
      <c r="A269" s="32" t="str">
        <f aca="false">IF($B269="","",ROW()-4)</f>
        <v/>
      </c>
      <c r="B269" s="26"/>
      <c r="C269" s="21"/>
      <c r="D269" s="24"/>
      <c r="E269" s="21"/>
      <c r="F269" s="24"/>
      <c r="G269" s="21"/>
      <c r="H269" s="22"/>
      <c r="I269" s="27"/>
      <c r="J269" s="27"/>
      <c r="K269" s="36" t="str">
        <f aca="false">IF($B269="","",IF($C269="泓普",$C$2,IF($C269="仟茂",$E$2,IF($C269="现金",$G$2,0)))+SUMIFS($I$5:$I269,$C$5:$C269,$C269)-SUMIFS($J$5:$J269,$C$5:$C269,$C269))</f>
        <v/>
      </c>
      <c r="L269" s="36" t="str">
        <f aca="false">IF($B269="","",$C$2+$E$2+$G$2+SUM($I$5:$I269)-SUM($J$5:$J269))</f>
        <v/>
      </c>
      <c r="M269" s="24"/>
      <c r="N269" s="33" t="str">
        <f aca="false">IF($B269="","",IF(NOT(ISNUMBER($B269)),"日期格式不对",IF($C269="","未选资金账户",IF(AND(N($I269)=0,N($J269)=0),"收支都为空",IF(AND(N($I269)&gt;0,N($J269)&gt;0),"收支不能同时填",IF(AND($D269&lt;&gt;"",LEFT($O269,1)="⚠"),"项目编号不存在",IF(AND($M269="是",$F269=""),"工程回款必须填往来单位","√")))))))</f>
        <v/>
      </c>
      <c r="O269" s="34" t="str">
        <f aca="false">IF($D269="","",IFERROR(INDEX(项目档案!$B$6:$B$255,MATCH($D269,项目档案!$A$6:$A$255,0)),"⚠编号不存在"))</f>
        <v/>
      </c>
      <c r="P269" s="35" t="str">
        <f aca="false">IF($B269="","",TEXT($B269,"yyyy-mm"))</f>
        <v/>
      </c>
    </row>
    <row r="270" customFormat="false" ht="15.75" hidden="false" customHeight="true" outlineLevel="0" collapsed="false">
      <c r="A270" s="32" t="str">
        <f aca="false">IF($B270="","",ROW()-4)</f>
        <v/>
      </c>
      <c r="B270" s="26"/>
      <c r="C270" s="21"/>
      <c r="D270" s="24"/>
      <c r="E270" s="21"/>
      <c r="F270" s="24"/>
      <c r="G270" s="21"/>
      <c r="H270" s="22"/>
      <c r="I270" s="27"/>
      <c r="J270" s="27"/>
      <c r="K270" s="36" t="str">
        <f aca="false">IF($B270="","",IF($C270="泓普",$C$2,IF($C270="仟茂",$E$2,IF($C270="现金",$G$2,0)))+SUMIFS($I$5:$I270,$C$5:$C270,$C270)-SUMIFS($J$5:$J270,$C$5:$C270,$C270))</f>
        <v/>
      </c>
      <c r="L270" s="36" t="str">
        <f aca="false">IF($B270="","",$C$2+$E$2+$G$2+SUM($I$5:$I270)-SUM($J$5:$J270))</f>
        <v/>
      </c>
      <c r="M270" s="24"/>
      <c r="N270" s="33" t="str">
        <f aca="false">IF($B270="","",IF(NOT(ISNUMBER($B270)),"日期格式不对",IF($C270="","未选资金账户",IF(AND(N($I270)=0,N($J270)=0),"收支都为空",IF(AND(N($I270)&gt;0,N($J270)&gt;0),"收支不能同时填",IF(AND($D270&lt;&gt;"",LEFT($O270,1)="⚠"),"项目编号不存在",IF(AND($M270="是",$F270=""),"工程回款必须填往来单位","√")))))))</f>
        <v/>
      </c>
      <c r="O270" s="34" t="str">
        <f aca="false">IF($D270="","",IFERROR(INDEX(项目档案!$B$6:$B$255,MATCH($D270,项目档案!$A$6:$A$255,0)),"⚠编号不存在"))</f>
        <v/>
      </c>
      <c r="P270" s="35" t="str">
        <f aca="false">IF($B270="","",TEXT($B270,"yyyy-mm"))</f>
        <v/>
      </c>
    </row>
    <row r="271" customFormat="false" ht="15.75" hidden="false" customHeight="true" outlineLevel="0" collapsed="false">
      <c r="A271" s="32" t="str">
        <f aca="false">IF($B271="","",ROW()-4)</f>
        <v/>
      </c>
      <c r="B271" s="26"/>
      <c r="C271" s="21"/>
      <c r="D271" s="24"/>
      <c r="E271" s="21"/>
      <c r="F271" s="24"/>
      <c r="G271" s="21"/>
      <c r="H271" s="22"/>
      <c r="I271" s="27"/>
      <c r="J271" s="27"/>
      <c r="K271" s="36" t="str">
        <f aca="false">IF($B271="","",IF($C271="泓普",$C$2,IF($C271="仟茂",$E$2,IF($C271="现金",$G$2,0)))+SUMIFS($I$5:$I271,$C$5:$C271,$C271)-SUMIFS($J$5:$J271,$C$5:$C271,$C271))</f>
        <v/>
      </c>
      <c r="L271" s="36" t="str">
        <f aca="false">IF($B271="","",$C$2+$E$2+$G$2+SUM($I$5:$I271)-SUM($J$5:$J271))</f>
        <v/>
      </c>
      <c r="M271" s="24"/>
      <c r="N271" s="33" t="str">
        <f aca="false">IF($B271="","",IF(NOT(ISNUMBER($B271)),"日期格式不对",IF($C271="","未选资金账户",IF(AND(N($I271)=0,N($J271)=0),"收支都为空",IF(AND(N($I271)&gt;0,N($J271)&gt;0),"收支不能同时填",IF(AND($D271&lt;&gt;"",LEFT($O271,1)="⚠"),"项目编号不存在",IF(AND($M271="是",$F271=""),"工程回款必须填往来单位","√")))))))</f>
        <v/>
      </c>
      <c r="O271" s="34" t="str">
        <f aca="false">IF($D271="","",IFERROR(INDEX(项目档案!$B$6:$B$255,MATCH($D271,项目档案!$A$6:$A$255,0)),"⚠编号不存在"))</f>
        <v/>
      </c>
      <c r="P271" s="35" t="str">
        <f aca="false">IF($B271="","",TEXT($B271,"yyyy-mm"))</f>
        <v/>
      </c>
    </row>
    <row r="272" customFormat="false" ht="15.75" hidden="false" customHeight="true" outlineLevel="0" collapsed="false">
      <c r="A272" s="32" t="str">
        <f aca="false">IF($B272="","",ROW()-4)</f>
        <v/>
      </c>
      <c r="B272" s="26"/>
      <c r="C272" s="21"/>
      <c r="D272" s="24"/>
      <c r="E272" s="21"/>
      <c r="F272" s="24"/>
      <c r="G272" s="21"/>
      <c r="H272" s="22"/>
      <c r="I272" s="27"/>
      <c r="J272" s="27"/>
      <c r="K272" s="36" t="str">
        <f aca="false">IF($B272="","",IF($C272="泓普",$C$2,IF($C272="仟茂",$E$2,IF($C272="现金",$G$2,0)))+SUMIFS($I$5:$I272,$C$5:$C272,$C272)-SUMIFS($J$5:$J272,$C$5:$C272,$C272))</f>
        <v/>
      </c>
      <c r="L272" s="36" t="str">
        <f aca="false">IF($B272="","",$C$2+$E$2+$G$2+SUM($I$5:$I272)-SUM($J$5:$J272))</f>
        <v/>
      </c>
      <c r="M272" s="24"/>
      <c r="N272" s="33" t="str">
        <f aca="false">IF($B272="","",IF(NOT(ISNUMBER($B272)),"日期格式不对",IF($C272="","未选资金账户",IF(AND(N($I272)=0,N($J272)=0),"收支都为空",IF(AND(N($I272)&gt;0,N($J272)&gt;0),"收支不能同时填",IF(AND($D272&lt;&gt;"",LEFT($O272,1)="⚠"),"项目编号不存在",IF(AND($M272="是",$F272=""),"工程回款必须填往来单位","√")))))))</f>
        <v/>
      </c>
      <c r="O272" s="34" t="str">
        <f aca="false">IF($D272="","",IFERROR(INDEX(项目档案!$B$6:$B$255,MATCH($D272,项目档案!$A$6:$A$255,0)),"⚠编号不存在"))</f>
        <v/>
      </c>
      <c r="P272" s="35" t="str">
        <f aca="false">IF($B272="","",TEXT($B272,"yyyy-mm"))</f>
        <v/>
      </c>
    </row>
    <row r="273" customFormat="false" ht="15.75" hidden="false" customHeight="true" outlineLevel="0" collapsed="false">
      <c r="A273" s="32" t="str">
        <f aca="false">IF($B273="","",ROW()-4)</f>
        <v/>
      </c>
      <c r="B273" s="26"/>
      <c r="C273" s="21"/>
      <c r="D273" s="24"/>
      <c r="E273" s="21"/>
      <c r="F273" s="24"/>
      <c r="G273" s="21"/>
      <c r="H273" s="22"/>
      <c r="I273" s="27"/>
      <c r="J273" s="27"/>
      <c r="K273" s="36" t="str">
        <f aca="false">IF($B273="","",IF($C273="泓普",$C$2,IF($C273="仟茂",$E$2,IF($C273="现金",$G$2,0)))+SUMIFS($I$5:$I273,$C$5:$C273,$C273)-SUMIFS($J$5:$J273,$C$5:$C273,$C273))</f>
        <v/>
      </c>
      <c r="L273" s="36" t="str">
        <f aca="false">IF($B273="","",$C$2+$E$2+$G$2+SUM($I$5:$I273)-SUM($J$5:$J273))</f>
        <v/>
      </c>
      <c r="M273" s="24"/>
      <c r="N273" s="33" t="str">
        <f aca="false">IF($B273="","",IF(NOT(ISNUMBER($B273)),"日期格式不对",IF($C273="","未选资金账户",IF(AND(N($I273)=0,N($J273)=0),"收支都为空",IF(AND(N($I273)&gt;0,N($J273)&gt;0),"收支不能同时填",IF(AND($D273&lt;&gt;"",LEFT($O273,1)="⚠"),"项目编号不存在",IF(AND($M273="是",$F273=""),"工程回款必须填往来单位","√")))))))</f>
        <v/>
      </c>
      <c r="O273" s="34" t="str">
        <f aca="false">IF($D273="","",IFERROR(INDEX(项目档案!$B$6:$B$255,MATCH($D273,项目档案!$A$6:$A$255,0)),"⚠编号不存在"))</f>
        <v/>
      </c>
      <c r="P273" s="35" t="str">
        <f aca="false">IF($B273="","",TEXT($B273,"yyyy-mm"))</f>
        <v/>
      </c>
    </row>
    <row r="274" customFormat="false" ht="15.75" hidden="false" customHeight="true" outlineLevel="0" collapsed="false">
      <c r="A274" s="32" t="str">
        <f aca="false">IF($B274="","",ROW()-4)</f>
        <v/>
      </c>
      <c r="B274" s="26"/>
      <c r="C274" s="21"/>
      <c r="D274" s="24"/>
      <c r="E274" s="21"/>
      <c r="F274" s="24"/>
      <c r="G274" s="21"/>
      <c r="H274" s="22"/>
      <c r="I274" s="27"/>
      <c r="J274" s="27"/>
      <c r="K274" s="36" t="str">
        <f aca="false">IF($B274="","",IF($C274="泓普",$C$2,IF($C274="仟茂",$E$2,IF($C274="现金",$G$2,0)))+SUMIFS($I$5:$I274,$C$5:$C274,$C274)-SUMIFS($J$5:$J274,$C$5:$C274,$C274))</f>
        <v/>
      </c>
      <c r="L274" s="36" t="str">
        <f aca="false">IF($B274="","",$C$2+$E$2+$G$2+SUM($I$5:$I274)-SUM($J$5:$J274))</f>
        <v/>
      </c>
      <c r="M274" s="24"/>
      <c r="N274" s="33" t="str">
        <f aca="false">IF($B274="","",IF(NOT(ISNUMBER($B274)),"日期格式不对",IF($C274="","未选资金账户",IF(AND(N($I274)=0,N($J274)=0),"收支都为空",IF(AND(N($I274)&gt;0,N($J274)&gt;0),"收支不能同时填",IF(AND($D274&lt;&gt;"",LEFT($O274,1)="⚠"),"项目编号不存在",IF(AND($M274="是",$F274=""),"工程回款必须填往来单位","√")))))))</f>
        <v/>
      </c>
      <c r="O274" s="34" t="str">
        <f aca="false">IF($D274="","",IFERROR(INDEX(项目档案!$B$6:$B$255,MATCH($D274,项目档案!$A$6:$A$255,0)),"⚠编号不存在"))</f>
        <v/>
      </c>
      <c r="P274" s="35" t="str">
        <f aca="false">IF($B274="","",TEXT($B274,"yyyy-mm"))</f>
        <v/>
      </c>
    </row>
    <row r="275" customFormat="false" ht="15.75" hidden="false" customHeight="true" outlineLevel="0" collapsed="false">
      <c r="A275" s="32" t="str">
        <f aca="false">IF($B275="","",ROW()-4)</f>
        <v/>
      </c>
      <c r="B275" s="26"/>
      <c r="C275" s="21"/>
      <c r="D275" s="24"/>
      <c r="E275" s="21"/>
      <c r="F275" s="24"/>
      <c r="G275" s="21"/>
      <c r="H275" s="22"/>
      <c r="I275" s="27"/>
      <c r="J275" s="27"/>
      <c r="K275" s="36" t="str">
        <f aca="false">IF($B275="","",IF($C275="泓普",$C$2,IF($C275="仟茂",$E$2,IF($C275="现金",$G$2,0)))+SUMIFS($I$5:$I275,$C$5:$C275,$C275)-SUMIFS($J$5:$J275,$C$5:$C275,$C275))</f>
        <v/>
      </c>
      <c r="L275" s="36" t="str">
        <f aca="false">IF($B275="","",$C$2+$E$2+$G$2+SUM($I$5:$I275)-SUM($J$5:$J275))</f>
        <v/>
      </c>
      <c r="M275" s="24"/>
      <c r="N275" s="33" t="str">
        <f aca="false">IF($B275="","",IF(NOT(ISNUMBER($B275)),"日期格式不对",IF($C275="","未选资金账户",IF(AND(N($I275)=0,N($J275)=0),"收支都为空",IF(AND(N($I275)&gt;0,N($J275)&gt;0),"收支不能同时填",IF(AND($D275&lt;&gt;"",LEFT($O275,1)="⚠"),"项目编号不存在",IF(AND($M275="是",$F275=""),"工程回款必须填往来单位","√")))))))</f>
        <v/>
      </c>
      <c r="O275" s="34" t="str">
        <f aca="false">IF($D275="","",IFERROR(INDEX(项目档案!$B$6:$B$255,MATCH($D275,项目档案!$A$6:$A$255,0)),"⚠编号不存在"))</f>
        <v/>
      </c>
      <c r="P275" s="35" t="str">
        <f aca="false">IF($B275="","",TEXT($B275,"yyyy-mm"))</f>
        <v/>
      </c>
    </row>
    <row r="276" customFormat="false" ht="15.75" hidden="false" customHeight="true" outlineLevel="0" collapsed="false">
      <c r="A276" s="32" t="str">
        <f aca="false">IF($B276="","",ROW()-4)</f>
        <v/>
      </c>
      <c r="B276" s="26"/>
      <c r="C276" s="21"/>
      <c r="D276" s="24"/>
      <c r="E276" s="21"/>
      <c r="F276" s="24"/>
      <c r="G276" s="21"/>
      <c r="H276" s="22"/>
      <c r="I276" s="27"/>
      <c r="J276" s="27"/>
      <c r="K276" s="36" t="str">
        <f aca="false">IF($B276="","",IF($C276="泓普",$C$2,IF($C276="仟茂",$E$2,IF($C276="现金",$G$2,0)))+SUMIFS($I$5:$I276,$C$5:$C276,$C276)-SUMIFS($J$5:$J276,$C$5:$C276,$C276))</f>
        <v/>
      </c>
      <c r="L276" s="36" t="str">
        <f aca="false">IF($B276="","",$C$2+$E$2+$G$2+SUM($I$5:$I276)-SUM($J$5:$J276))</f>
        <v/>
      </c>
      <c r="M276" s="24"/>
      <c r="N276" s="33" t="str">
        <f aca="false">IF($B276="","",IF(NOT(ISNUMBER($B276)),"日期格式不对",IF($C276="","未选资金账户",IF(AND(N($I276)=0,N($J276)=0),"收支都为空",IF(AND(N($I276)&gt;0,N($J276)&gt;0),"收支不能同时填",IF(AND($D276&lt;&gt;"",LEFT($O276,1)="⚠"),"项目编号不存在",IF(AND($M276="是",$F276=""),"工程回款必须填往来单位","√")))))))</f>
        <v/>
      </c>
      <c r="O276" s="34" t="str">
        <f aca="false">IF($D276="","",IFERROR(INDEX(项目档案!$B$6:$B$255,MATCH($D276,项目档案!$A$6:$A$255,0)),"⚠编号不存在"))</f>
        <v/>
      </c>
      <c r="P276" s="35" t="str">
        <f aca="false">IF($B276="","",TEXT($B276,"yyyy-mm"))</f>
        <v/>
      </c>
    </row>
    <row r="277" customFormat="false" ht="15.75" hidden="false" customHeight="true" outlineLevel="0" collapsed="false">
      <c r="A277" s="32" t="str">
        <f aca="false">IF($B277="","",ROW()-4)</f>
        <v/>
      </c>
      <c r="B277" s="26"/>
      <c r="C277" s="21"/>
      <c r="D277" s="24"/>
      <c r="E277" s="21"/>
      <c r="F277" s="24"/>
      <c r="G277" s="21"/>
      <c r="H277" s="22"/>
      <c r="I277" s="27"/>
      <c r="J277" s="27"/>
      <c r="K277" s="36" t="str">
        <f aca="false">IF($B277="","",IF($C277="泓普",$C$2,IF($C277="仟茂",$E$2,IF($C277="现金",$G$2,0)))+SUMIFS($I$5:$I277,$C$5:$C277,$C277)-SUMIFS($J$5:$J277,$C$5:$C277,$C277))</f>
        <v/>
      </c>
      <c r="L277" s="36" t="str">
        <f aca="false">IF($B277="","",$C$2+$E$2+$G$2+SUM($I$5:$I277)-SUM($J$5:$J277))</f>
        <v/>
      </c>
      <c r="M277" s="24"/>
      <c r="N277" s="33" t="str">
        <f aca="false">IF($B277="","",IF(NOT(ISNUMBER($B277)),"日期格式不对",IF($C277="","未选资金账户",IF(AND(N($I277)=0,N($J277)=0),"收支都为空",IF(AND(N($I277)&gt;0,N($J277)&gt;0),"收支不能同时填",IF(AND($D277&lt;&gt;"",LEFT($O277,1)="⚠"),"项目编号不存在",IF(AND($M277="是",$F277=""),"工程回款必须填往来单位","√")))))))</f>
        <v/>
      </c>
      <c r="O277" s="34" t="str">
        <f aca="false">IF($D277="","",IFERROR(INDEX(项目档案!$B$6:$B$255,MATCH($D277,项目档案!$A$6:$A$255,0)),"⚠编号不存在"))</f>
        <v/>
      </c>
      <c r="P277" s="35" t="str">
        <f aca="false">IF($B277="","",TEXT($B277,"yyyy-mm"))</f>
        <v/>
      </c>
    </row>
    <row r="278" customFormat="false" ht="15.75" hidden="false" customHeight="true" outlineLevel="0" collapsed="false">
      <c r="A278" s="32" t="str">
        <f aca="false">IF($B278="","",ROW()-4)</f>
        <v/>
      </c>
      <c r="B278" s="26"/>
      <c r="C278" s="21"/>
      <c r="D278" s="24"/>
      <c r="E278" s="21"/>
      <c r="F278" s="24"/>
      <c r="G278" s="21"/>
      <c r="H278" s="22"/>
      <c r="I278" s="27"/>
      <c r="J278" s="27"/>
      <c r="K278" s="36" t="str">
        <f aca="false">IF($B278="","",IF($C278="泓普",$C$2,IF($C278="仟茂",$E$2,IF($C278="现金",$G$2,0)))+SUMIFS($I$5:$I278,$C$5:$C278,$C278)-SUMIFS($J$5:$J278,$C$5:$C278,$C278))</f>
        <v/>
      </c>
      <c r="L278" s="36" t="str">
        <f aca="false">IF($B278="","",$C$2+$E$2+$G$2+SUM($I$5:$I278)-SUM($J$5:$J278))</f>
        <v/>
      </c>
      <c r="M278" s="24"/>
      <c r="N278" s="33" t="str">
        <f aca="false">IF($B278="","",IF(NOT(ISNUMBER($B278)),"日期格式不对",IF($C278="","未选资金账户",IF(AND(N($I278)=0,N($J278)=0),"收支都为空",IF(AND(N($I278)&gt;0,N($J278)&gt;0),"收支不能同时填",IF(AND($D278&lt;&gt;"",LEFT($O278,1)="⚠"),"项目编号不存在",IF(AND($M278="是",$F278=""),"工程回款必须填往来单位","√")))))))</f>
        <v/>
      </c>
      <c r="O278" s="34" t="str">
        <f aca="false">IF($D278="","",IFERROR(INDEX(项目档案!$B$6:$B$255,MATCH($D278,项目档案!$A$6:$A$255,0)),"⚠编号不存在"))</f>
        <v/>
      </c>
      <c r="P278" s="35" t="str">
        <f aca="false">IF($B278="","",TEXT($B278,"yyyy-mm"))</f>
        <v/>
      </c>
    </row>
    <row r="279" customFormat="false" ht="15.75" hidden="false" customHeight="true" outlineLevel="0" collapsed="false">
      <c r="A279" s="32" t="str">
        <f aca="false">IF($B279="","",ROW()-4)</f>
        <v/>
      </c>
      <c r="B279" s="26"/>
      <c r="C279" s="21"/>
      <c r="D279" s="24"/>
      <c r="E279" s="21"/>
      <c r="F279" s="24"/>
      <c r="G279" s="21"/>
      <c r="H279" s="22"/>
      <c r="I279" s="27"/>
      <c r="J279" s="27"/>
      <c r="K279" s="36" t="str">
        <f aca="false">IF($B279="","",IF($C279="泓普",$C$2,IF($C279="仟茂",$E$2,IF($C279="现金",$G$2,0)))+SUMIFS($I$5:$I279,$C$5:$C279,$C279)-SUMIFS($J$5:$J279,$C$5:$C279,$C279))</f>
        <v/>
      </c>
      <c r="L279" s="36" t="str">
        <f aca="false">IF($B279="","",$C$2+$E$2+$G$2+SUM($I$5:$I279)-SUM($J$5:$J279))</f>
        <v/>
      </c>
      <c r="M279" s="24"/>
      <c r="N279" s="33" t="str">
        <f aca="false">IF($B279="","",IF(NOT(ISNUMBER($B279)),"日期格式不对",IF($C279="","未选资金账户",IF(AND(N($I279)=0,N($J279)=0),"收支都为空",IF(AND(N($I279)&gt;0,N($J279)&gt;0),"收支不能同时填",IF(AND($D279&lt;&gt;"",LEFT($O279,1)="⚠"),"项目编号不存在",IF(AND($M279="是",$F279=""),"工程回款必须填往来单位","√")))))))</f>
        <v/>
      </c>
      <c r="O279" s="34" t="str">
        <f aca="false">IF($D279="","",IFERROR(INDEX(项目档案!$B$6:$B$255,MATCH($D279,项目档案!$A$6:$A$255,0)),"⚠编号不存在"))</f>
        <v/>
      </c>
      <c r="P279" s="35" t="str">
        <f aca="false">IF($B279="","",TEXT($B279,"yyyy-mm"))</f>
        <v/>
      </c>
    </row>
    <row r="280" customFormat="false" ht="15.75" hidden="false" customHeight="true" outlineLevel="0" collapsed="false">
      <c r="A280" s="32" t="str">
        <f aca="false">IF($B280="","",ROW()-4)</f>
        <v/>
      </c>
      <c r="B280" s="26"/>
      <c r="C280" s="21"/>
      <c r="D280" s="24"/>
      <c r="E280" s="21"/>
      <c r="F280" s="24"/>
      <c r="G280" s="21"/>
      <c r="H280" s="22"/>
      <c r="I280" s="27"/>
      <c r="J280" s="27"/>
      <c r="K280" s="36" t="str">
        <f aca="false">IF($B280="","",IF($C280="泓普",$C$2,IF($C280="仟茂",$E$2,IF($C280="现金",$G$2,0)))+SUMIFS($I$5:$I280,$C$5:$C280,$C280)-SUMIFS($J$5:$J280,$C$5:$C280,$C280))</f>
        <v/>
      </c>
      <c r="L280" s="36" t="str">
        <f aca="false">IF($B280="","",$C$2+$E$2+$G$2+SUM($I$5:$I280)-SUM($J$5:$J280))</f>
        <v/>
      </c>
      <c r="M280" s="24"/>
      <c r="N280" s="33" t="str">
        <f aca="false">IF($B280="","",IF(NOT(ISNUMBER($B280)),"日期格式不对",IF($C280="","未选资金账户",IF(AND(N($I280)=0,N($J280)=0),"收支都为空",IF(AND(N($I280)&gt;0,N($J280)&gt;0),"收支不能同时填",IF(AND($D280&lt;&gt;"",LEFT($O280,1)="⚠"),"项目编号不存在",IF(AND($M280="是",$F280=""),"工程回款必须填往来单位","√")))))))</f>
        <v/>
      </c>
      <c r="O280" s="34" t="str">
        <f aca="false">IF($D280="","",IFERROR(INDEX(项目档案!$B$6:$B$255,MATCH($D280,项目档案!$A$6:$A$255,0)),"⚠编号不存在"))</f>
        <v/>
      </c>
      <c r="P280" s="35" t="str">
        <f aca="false">IF($B280="","",TEXT($B280,"yyyy-mm"))</f>
        <v/>
      </c>
    </row>
    <row r="281" customFormat="false" ht="15.75" hidden="false" customHeight="true" outlineLevel="0" collapsed="false">
      <c r="A281" s="32" t="str">
        <f aca="false">IF($B281="","",ROW()-4)</f>
        <v/>
      </c>
      <c r="B281" s="26"/>
      <c r="C281" s="21"/>
      <c r="D281" s="24"/>
      <c r="E281" s="21"/>
      <c r="F281" s="24"/>
      <c r="G281" s="21"/>
      <c r="H281" s="22"/>
      <c r="I281" s="27"/>
      <c r="J281" s="27"/>
      <c r="K281" s="36" t="str">
        <f aca="false">IF($B281="","",IF($C281="泓普",$C$2,IF($C281="仟茂",$E$2,IF($C281="现金",$G$2,0)))+SUMIFS($I$5:$I281,$C$5:$C281,$C281)-SUMIFS($J$5:$J281,$C$5:$C281,$C281))</f>
        <v/>
      </c>
      <c r="L281" s="36" t="str">
        <f aca="false">IF($B281="","",$C$2+$E$2+$G$2+SUM($I$5:$I281)-SUM($J$5:$J281))</f>
        <v/>
      </c>
      <c r="M281" s="24"/>
      <c r="N281" s="33" t="str">
        <f aca="false">IF($B281="","",IF(NOT(ISNUMBER($B281)),"日期格式不对",IF($C281="","未选资金账户",IF(AND(N($I281)=0,N($J281)=0),"收支都为空",IF(AND(N($I281)&gt;0,N($J281)&gt;0),"收支不能同时填",IF(AND($D281&lt;&gt;"",LEFT($O281,1)="⚠"),"项目编号不存在",IF(AND($M281="是",$F281=""),"工程回款必须填往来单位","√")))))))</f>
        <v/>
      </c>
      <c r="O281" s="34" t="str">
        <f aca="false">IF($D281="","",IFERROR(INDEX(项目档案!$B$6:$B$255,MATCH($D281,项目档案!$A$6:$A$255,0)),"⚠编号不存在"))</f>
        <v/>
      </c>
      <c r="P281" s="35" t="str">
        <f aca="false">IF($B281="","",TEXT($B281,"yyyy-mm"))</f>
        <v/>
      </c>
    </row>
    <row r="282" customFormat="false" ht="15.75" hidden="false" customHeight="true" outlineLevel="0" collapsed="false">
      <c r="A282" s="32" t="str">
        <f aca="false">IF($B282="","",ROW()-4)</f>
        <v/>
      </c>
      <c r="B282" s="26"/>
      <c r="C282" s="21"/>
      <c r="D282" s="24"/>
      <c r="E282" s="21"/>
      <c r="F282" s="24"/>
      <c r="G282" s="21"/>
      <c r="H282" s="22"/>
      <c r="I282" s="27"/>
      <c r="J282" s="27"/>
      <c r="K282" s="36" t="str">
        <f aca="false">IF($B282="","",IF($C282="泓普",$C$2,IF($C282="仟茂",$E$2,IF($C282="现金",$G$2,0)))+SUMIFS($I$5:$I282,$C$5:$C282,$C282)-SUMIFS($J$5:$J282,$C$5:$C282,$C282))</f>
        <v/>
      </c>
      <c r="L282" s="36" t="str">
        <f aca="false">IF($B282="","",$C$2+$E$2+$G$2+SUM($I$5:$I282)-SUM($J$5:$J282))</f>
        <v/>
      </c>
      <c r="M282" s="24"/>
      <c r="N282" s="33" t="str">
        <f aca="false">IF($B282="","",IF(NOT(ISNUMBER($B282)),"日期格式不对",IF($C282="","未选资金账户",IF(AND(N($I282)=0,N($J282)=0),"收支都为空",IF(AND(N($I282)&gt;0,N($J282)&gt;0),"收支不能同时填",IF(AND($D282&lt;&gt;"",LEFT($O282,1)="⚠"),"项目编号不存在",IF(AND($M282="是",$F282=""),"工程回款必须填往来单位","√")))))))</f>
        <v/>
      </c>
      <c r="O282" s="34" t="str">
        <f aca="false">IF($D282="","",IFERROR(INDEX(项目档案!$B$6:$B$255,MATCH($D282,项目档案!$A$6:$A$255,0)),"⚠编号不存在"))</f>
        <v/>
      </c>
      <c r="P282" s="35" t="str">
        <f aca="false">IF($B282="","",TEXT($B282,"yyyy-mm"))</f>
        <v/>
      </c>
    </row>
    <row r="283" customFormat="false" ht="15.75" hidden="false" customHeight="true" outlineLevel="0" collapsed="false">
      <c r="A283" s="32" t="str">
        <f aca="false">IF($B283="","",ROW()-4)</f>
        <v/>
      </c>
      <c r="B283" s="26"/>
      <c r="C283" s="21"/>
      <c r="D283" s="24"/>
      <c r="E283" s="21"/>
      <c r="F283" s="24"/>
      <c r="G283" s="21"/>
      <c r="H283" s="22"/>
      <c r="I283" s="27"/>
      <c r="J283" s="27"/>
      <c r="K283" s="36" t="str">
        <f aca="false">IF($B283="","",IF($C283="泓普",$C$2,IF($C283="仟茂",$E$2,IF($C283="现金",$G$2,0)))+SUMIFS($I$5:$I283,$C$5:$C283,$C283)-SUMIFS($J$5:$J283,$C$5:$C283,$C283))</f>
        <v/>
      </c>
      <c r="L283" s="36" t="str">
        <f aca="false">IF($B283="","",$C$2+$E$2+$G$2+SUM($I$5:$I283)-SUM($J$5:$J283))</f>
        <v/>
      </c>
      <c r="M283" s="24"/>
      <c r="N283" s="33" t="str">
        <f aca="false">IF($B283="","",IF(NOT(ISNUMBER($B283)),"日期格式不对",IF($C283="","未选资金账户",IF(AND(N($I283)=0,N($J283)=0),"收支都为空",IF(AND(N($I283)&gt;0,N($J283)&gt;0),"收支不能同时填",IF(AND($D283&lt;&gt;"",LEFT($O283,1)="⚠"),"项目编号不存在",IF(AND($M283="是",$F283=""),"工程回款必须填往来单位","√")))))))</f>
        <v/>
      </c>
      <c r="O283" s="34" t="str">
        <f aca="false">IF($D283="","",IFERROR(INDEX(项目档案!$B$6:$B$255,MATCH($D283,项目档案!$A$6:$A$255,0)),"⚠编号不存在"))</f>
        <v/>
      </c>
      <c r="P283" s="35" t="str">
        <f aca="false">IF($B283="","",TEXT($B283,"yyyy-mm"))</f>
        <v/>
      </c>
    </row>
    <row r="284" customFormat="false" ht="15.75" hidden="false" customHeight="true" outlineLevel="0" collapsed="false">
      <c r="A284" s="32" t="str">
        <f aca="false">IF($B284="","",ROW()-4)</f>
        <v/>
      </c>
      <c r="B284" s="26"/>
      <c r="C284" s="21"/>
      <c r="D284" s="24"/>
      <c r="E284" s="21"/>
      <c r="F284" s="24"/>
      <c r="G284" s="21"/>
      <c r="H284" s="22"/>
      <c r="I284" s="27"/>
      <c r="J284" s="27"/>
      <c r="K284" s="36" t="str">
        <f aca="false">IF($B284="","",IF($C284="泓普",$C$2,IF($C284="仟茂",$E$2,IF($C284="现金",$G$2,0)))+SUMIFS($I$5:$I284,$C$5:$C284,$C284)-SUMIFS($J$5:$J284,$C$5:$C284,$C284))</f>
        <v/>
      </c>
      <c r="L284" s="36" t="str">
        <f aca="false">IF($B284="","",$C$2+$E$2+$G$2+SUM($I$5:$I284)-SUM($J$5:$J284))</f>
        <v/>
      </c>
      <c r="M284" s="24"/>
      <c r="N284" s="33" t="str">
        <f aca="false">IF($B284="","",IF(NOT(ISNUMBER($B284)),"日期格式不对",IF($C284="","未选资金账户",IF(AND(N($I284)=0,N($J284)=0),"收支都为空",IF(AND(N($I284)&gt;0,N($J284)&gt;0),"收支不能同时填",IF(AND($D284&lt;&gt;"",LEFT($O284,1)="⚠"),"项目编号不存在",IF(AND($M284="是",$F284=""),"工程回款必须填往来单位","√")))))))</f>
        <v/>
      </c>
      <c r="O284" s="34" t="str">
        <f aca="false">IF($D284="","",IFERROR(INDEX(项目档案!$B$6:$B$255,MATCH($D284,项目档案!$A$6:$A$255,0)),"⚠编号不存在"))</f>
        <v/>
      </c>
      <c r="P284" s="35" t="str">
        <f aca="false">IF($B284="","",TEXT($B284,"yyyy-mm"))</f>
        <v/>
      </c>
    </row>
    <row r="285" customFormat="false" ht="15.75" hidden="false" customHeight="true" outlineLevel="0" collapsed="false">
      <c r="A285" s="32" t="str">
        <f aca="false">IF($B285="","",ROW()-4)</f>
        <v/>
      </c>
      <c r="B285" s="26"/>
      <c r="C285" s="21"/>
      <c r="D285" s="24"/>
      <c r="E285" s="21"/>
      <c r="F285" s="24"/>
      <c r="G285" s="21"/>
      <c r="H285" s="22"/>
      <c r="I285" s="27"/>
      <c r="J285" s="27"/>
      <c r="K285" s="36" t="str">
        <f aca="false">IF($B285="","",IF($C285="泓普",$C$2,IF($C285="仟茂",$E$2,IF($C285="现金",$G$2,0)))+SUMIFS($I$5:$I285,$C$5:$C285,$C285)-SUMIFS($J$5:$J285,$C$5:$C285,$C285))</f>
        <v/>
      </c>
      <c r="L285" s="36" t="str">
        <f aca="false">IF($B285="","",$C$2+$E$2+$G$2+SUM($I$5:$I285)-SUM($J$5:$J285))</f>
        <v/>
      </c>
      <c r="M285" s="24"/>
      <c r="N285" s="33" t="str">
        <f aca="false">IF($B285="","",IF(NOT(ISNUMBER($B285)),"日期格式不对",IF($C285="","未选资金账户",IF(AND(N($I285)=0,N($J285)=0),"收支都为空",IF(AND(N($I285)&gt;0,N($J285)&gt;0),"收支不能同时填",IF(AND($D285&lt;&gt;"",LEFT($O285,1)="⚠"),"项目编号不存在",IF(AND($M285="是",$F285=""),"工程回款必须填往来单位","√")))))))</f>
        <v/>
      </c>
      <c r="O285" s="34" t="str">
        <f aca="false">IF($D285="","",IFERROR(INDEX(项目档案!$B$6:$B$255,MATCH($D285,项目档案!$A$6:$A$255,0)),"⚠编号不存在"))</f>
        <v/>
      </c>
      <c r="P285" s="35" t="str">
        <f aca="false">IF($B285="","",TEXT($B285,"yyyy-mm"))</f>
        <v/>
      </c>
    </row>
    <row r="286" customFormat="false" ht="15.75" hidden="false" customHeight="true" outlineLevel="0" collapsed="false">
      <c r="A286" s="32" t="str">
        <f aca="false">IF($B286="","",ROW()-4)</f>
        <v/>
      </c>
      <c r="B286" s="26"/>
      <c r="C286" s="21"/>
      <c r="D286" s="24"/>
      <c r="E286" s="21"/>
      <c r="F286" s="24"/>
      <c r="G286" s="21"/>
      <c r="H286" s="22"/>
      <c r="I286" s="27"/>
      <c r="J286" s="27"/>
      <c r="K286" s="36" t="str">
        <f aca="false">IF($B286="","",IF($C286="泓普",$C$2,IF($C286="仟茂",$E$2,IF($C286="现金",$G$2,0)))+SUMIFS($I$5:$I286,$C$5:$C286,$C286)-SUMIFS($J$5:$J286,$C$5:$C286,$C286))</f>
        <v/>
      </c>
      <c r="L286" s="36" t="str">
        <f aca="false">IF($B286="","",$C$2+$E$2+$G$2+SUM($I$5:$I286)-SUM($J$5:$J286))</f>
        <v/>
      </c>
      <c r="M286" s="24"/>
      <c r="N286" s="33" t="str">
        <f aca="false">IF($B286="","",IF(NOT(ISNUMBER($B286)),"日期格式不对",IF($C286="","未选资金账户",IF(AND(N($I286)=0,N($J286)=0),"收支都为空",IF(AND(N($I286)&gt;0,N($J286)&gt;0),"收支不能同时填",IF(AND($D286&lt;&gt;"",LEFT($O286,1)="⚠"),"项目编号不存在",IF(AND($M286="是",$F286=""),"工程回款必须填往来单位","√")))))))</f>
        <v/>
      </c>
      <c r="O286" s="34" t="str">
        <f aca="false">IF($D286="","",IFERROR(INDEX(项目档案!$B$6:$B$255,MATCH($D286,项目档案!$A$6:$A$255,0)),"⚠编号不存在"))</f>
        <v/>
      </c>
      <c r="P286" s="35" t="str">
        <f aca="false">IF($B286="","",TEXT($B286,"yyyy-mm"))</f>
        <v/>
      </c>
    </row>
    <row r="287" customFormat="false" ht="15.75" hidden="false" customHeight="true" outlineLevel="0" collapsed="false">
      <c r="A287" s="32" t="str">
        <f aca="false">IF($B287="","",ROW()-4)</f>
        <v/>
      </c>
      <c r="B287" s="26"/>
      <c r="C287" s="21"/>
      <c r="D287" s="24"/>
      <c r="E287" s="21"/>
      <c r="F287" s="24"/>
      <c r="G287" s="21"/>
      <c r="H287" s="22"/>
      <c r="I287" s="27"/>
      <c r="J287" s="27"/>
      <c r="K287" s="36" t="str">
        <f aca="false">IF($B287="","",IF($C287="泓普",$C$2,IF($C287="仟茂",$E$2,IF($C287="现金",$G$2,0)))+SUMIFS($I$5:$I287,$C$5:$C287,$C287)-SUMIFS($J$5:$J287,$C$5:$C287,$C287))</f>
        <v/>
      </c>
      <c r="L287" s="36" t="str">
        <f aca="false">IF($B287="","",$C$2+$E$2+$G$2+SUM($I$5:$I287)-SUM($J$5:$J287))</f>
        <v/>
      </c>
      <c r="M287" s="24"/>
      <c r="N287" s="33" t="str">
        <f aca="false">IF($B287="","",IF(NOT(ISNUMBER($B287)),"日期格式不对",IF($C287="","未选资金账户",IF(AND(N($I287)=0,N($J287)=0),"收支都为空",IF(AND(N($I287)&gt;0,N($J287)&gt;0),"收支不能同时填",IF(AND($D287&lt;&gt;"",LEFT($O287,1)="⚠"),"项目编号不存在",IF(AND($M287="是",$F287=""),"工程回款必须填往来单位","√")))))))</f>
        <v/>
      </c>
      <c r="O287" s="34" t="str">
        <f aca="false">IF($D287="","",IFERROR(INDEX(项目档案!$B$6:$B$255,MATCH($D287,项目档案!$A$6:$A$255,0)),"⚠编号不存在"))</f>
        <v/>
      </c>
      <c r="P287" s="35" t="str">
        <f aca="false">IF($B287="","",TEXT($B287,"yyyy-mm"))</f>
        <v/>
      </c>
    </row>
    <row r="288" customFormat="false" ht="15.75" hidden="false" customHeight="true" outlineLevel="0" collapsed="false">
      <c r="A288" s="32" t="str">
        <f aca="false">IF($B288="","",ROW()-4)</f>
        <v/>
      </c>
      <c r="B288" s="26"/>
      <c r="C288" s="21"/>
      <c r="D288" s="24"/>
      <c r="E288" s="21"/>
      <c r="F288" s="24"/>
      <c r="G288" s="21"/>
      <c r="H288" s="22"/>
      <c r="I288" s="27"/>
      <c r="J288" s="27"/>
      <c r="K288" s="36" t="str">
        <f aca="false">IF($B288="","",IF($C288="泓普",$C$2,IF($C288="仟茂",$E$2,IF($C288="现金",$G$2,0)))+SUMIFS($I$5:$I288,$C$5:$C288,$C288)-SUMIFS($J$5:$J288,$C$5:$C288,$C288))</f>
        <v/>
      </c>
      <c r="L288" s="36" t="str">
        <f aca="false">IF($B288="","",$C$2+$E$2+$G$2+SUM($I$5:$I288)-SUM($J$5:$J288))</f>
        <v/>
      </c>
      <c r="M288" s="24"/>
      <c r="N288" s="33" t="str">
        <f aca="false">IF($B288="","",IF(NOT(ISNUMBER($B288)),"日期格式不对",IF($C288="","未选资金账户",IF(AND(N($I288)=0,N($J288)=0),"收支都为空",IF(AND(N($I288)&gt;0,N($J288)&gt;0),"收支不能同时填",IF(AND($D288&lt;&gt;"",LEFT($O288,1)="⚠"),"项目编号不存在",IF(AND($M288="是",$F288=""),"工程回款必须填往来单位","√")))))))</f>
        <v/>
      </c>
      <c r="O288" s="34" t="str">
        <f aca="false">IF($D288="","",IFERROR(INDEX(项目档案!$B$6:$B$255,MATCH($D288,项目档案!$A$6:$A$255,0)),"⚠编号不存在"))</f>
        <v/>
      </c>
      <c r="P288" s="35" t="str">
        <f aca="false">IF($B288="","",TEXT($B288,"yyyy-mm"))</f>
        <v/>
      </c>
    </row>
    <row r="289" customFormat="false" ht="15.75" hidden="false" customHeight="true" outlineLevel="0" collapsed="false">
      <c r="A289" s="32" t="str">
        <f aca="false">IF($B289="","",ROW()-4)</f>
        <v/>
      </c>
      <c r="B289" s="26"/>
      <c r="C289" s="21"/>
      <c r="D289" s="24"/>
      <c r="E289" s="21"/>
      <c r="F289" s="24"/>
      <c r="G289" s="21"/>
      <c r="H289" s="22"/>
      <c r="I289" s="27"/>
      <c r="J289" s="27"/>
      <c r="K289" s="36" t="str">
        <f aca="false">IF($B289="","",IF($C289="泓普",$C$2,IF($C289="仟茂",$E$2,IF($C289="现金",$G$2,0)))+SUMIFS($I$5:$I289,$C$5:$C289,$C289)-SUMIFS($J$5:$J289,$C$5:$C289,$C289))</f>
        <v/>
      </c>
      <c r="L289" s="36" t="str">
        <f aca="false">IF($B289="","",$C$2+$E$2+$G$2+SUM($I$5:$I289)-SUM($J$5:$J289))</f>
        <v/>
      </c>
      <c r="M289" s="24"/>
      <c r="N289" s="33" t="str">
        <f aca="false">IF($B289="","",IF(NOT(ISNUMBER($B289)),"日期格式不对",IF($C289="","未选资金账户",IF(AND(N($I289)=0,N($J289)=0),"收支都为空",IF(AND(N($I289)&gt;0,N($J289)&gt;0),"收支不能同时填",IF(AND($D289&lt;&gt;"",LEFT($O289,1)="⚠"),"项目编号不存在",IF(AND($M289="是",$F289=""),"工程回款必须填往来单位","√")))))))</f>
        <v/>
      </c>
      <c r="O289" s="34" t="str">
        <f aca="false">IF($D289="","",IFERROR(INDEX(项目档案!$B$6:$B$255,MATCH($D289,项目档案!$A$6:$A$255,0)),"⚠编号不存在"))</f>
        <v/>
      </c>
      <c r="P289" s="35" t="str">
        <f aca="false">IF($B289="","",TEXT($B289,"yyyy-mm"))</f>
        <v/>
      </c>
    </row>
    <row r="290" customFormat="false" ht="15.75" hidden="false" customHeight="true" outlineLevel="0" collapsed="false">
      <c r="A290" s="32" t="str">
        <f aca="false">IF($B290="","",ROW()-4)</f>
        <v/>
      </c>
      <c r="B290" s="26"/>
      <c r="C290" s="21"/>
      <c r="D290" s="24"/>
      <c r="E290" s="21"/>
      <c r="F290" s="24"/>
      <c r="G290" s="21"/>
      <c r="H290" s="22"/>
      <c r="I290" s="27"/>
      <c r="J290" s="27"/>
      <c r="K290" s="36" t="str">
        <f aca="false">IF($B290="","",IF($C290="泓普",$C$2,IF($C290="仟茂",$E$2,IF($C290="现金",$G$2,0)))+SUMIFS($I$5:$I290,$C$5:$C290,$C290)-SUMIFS($J$5:$J290,$C$5:$C290,$C290))</f>
        <v/>
      </c>
      <c r="L290" s="36" t="str">
        <f aca="false">IF($B290="","",$C$2+$E$2+$G$2+SUM($I$5:$I290)-SUM($J$5:$J290))</f>
        <v/>
      </c>
      <c r="M290" s="24"/>
      <c r="N290" s="33" t="str">
        <f aca="false">IF($B290="","",IF(NOT(ISNUMBER($B290)),"日期格式不对",IF($C290="","未选资金账户",IF(AND(N($I290)=0,N($J290)=0),"收支都为空",IF(AND(N($I290)&gt;0,N($J290)&gt;0),"收支不能同时填",IF(AND($D290&lt;&gt;"",LEFT($O290,1)="⚠"),"项目编号不存在",IF(AND($M290="是",$F290=""),"工程回款必须填往来单位","√")))))))</f>
        <v/>
      </c>
      <c r="O290" s="34" t="str">
        <f aca="false">IF($D290="","",IFERROR(INDEX(项目档案!$B$6:$B$255,MATCH($D290,项目档案!$A$6:$A$255,0)),"⚠编号不存在"))</f>
        <v/>
      </c>
      <c r="P290" s="35" t="str">
        <f aca="false">IF($B290="","",TEXT($B290,"yyyy-mm"))</f>
        <v/>
      </c>
    </row>
    <row r="291" customFormat="false" ht="15.75" hidden="false" customHeight="true" outlineLevel="0" collapsed="false">
      <c r="A291" s="32" t="str">
        <f aca="false">IF($B291="","",ROW()-4)</f>
        <v/>
      </c>
      <c r="B291" s="26"/>
      <c r="C291" s="21"/>
      <c r="D291" s="24"/>
      <c r="E291" s="21"/>
      <c r="F291" s="24"/>
      <c r="G291" s="21"/>
      <c r="H291" s="22"/>
      <c r="I291" s="27"/>
      <c r="J291" s="27"/>
      <c r="K291" s="36" t="str">
        <f aca="false">IF($B291="","",IF($C291="泓普",$C$2,IF($C291="仟茂",$E$2,IF($C291="现金",$G$2,0)))+SUMIFS($I$5:$I291,$C$5:$C291,$C291)-SUMIFS($J$5:$J291,$C$5:$C291,$C291))</f>
        <v/>
      </c>
      <c r="L291" s="36" t="str">
        <f aca="false">IF($B291="","",$C$2+$E$2+$G$2+SUM($I$5:$I291)-SUM($J$5:$J291))</f>
        <v/>
      </c>
      <c r="M291" s="24"/>
      <c r="N291" s="33" t="str">
        <f aca="false">IF($B291="","",IF(NOT(ISNUMBER($B291)),"日期格式不对",IF($C291="","未选资金账户",IF(AND(N($I291)=0,N($J291)=0),"收支都为空",IF(AND(N($I291)&gt;0,N($J291)&gt;0),"收支不能同时填",IF(AND($D291&lt;&gt;"",LEFT($O291,1)="⚠"),"项目编号不存在",IF(AND($M291="是",$F291=""),"工程回款必须填往来单位","√")))))))</f>
        <v/>
      </c>
      <c r="O291" s="34" t="str">
        <f aca="false">IF($D291="","",IFERROR(INDEX(项目档案!$B$6:$B$255,MATCH($D291,项目档案!$A$6:$A$255,0)),"⚠编号不存在"))</f>
        <v/>
      </c>
      <c r="P291" s="35" t="str">
        <f aca="false">IF($B291="","",TEXT($B291,"yyyy-mm"))</f>
        <v/>
      </c>
    </row>
    <row r="292" customFormat="false" ht="15.75" hidden="false" customHeight="true" outlineLevel="0" collapsed="false">
      <c r="A292" s="32" t="str">
        <f aca="false">IF($B292="","",ROW()-4)</f>
        <v/>
      </c>
      <c r="B292" s="26"/>
      <c r="C292" s="21"/>
      <c r="D292" s="24"/>
      <c r="E292" s="21"/>
      <c r="F292" s="24"/>
      <c r="G292" s="21"/>
      <c r="H292" s="22"/>
      <c r="I292" s="27"/>
      <c r="J292" s="27"/>
      <c r="K292" s="36" t="str">
        <f aca="false">IF($B292="","",IF($C292="泓普",$C$2,IF($C292="仟茂",$E$2,IF($C292="现金",$G$2,0)))+SUMIFS($I$5:$I292,$C$5:$C292,$C292)-SUMIFS($J$5:$J292,$C$5:$C292,$C292))</f>
        <v/>
      </c>
      <c r="L292" s="36" t="str">
        <f aca="false">IF($B292="","",$C$2+$E$2+$G$2+SUM($I$5:$I292)-SUM($J$5:$J292))</f>
        <v/>
      </c>
      <c r="M292" s="24"/>
      <c r="N292" s="33" t="str">
        <f aca="false">IF($B292="","",IF(NOT(ISNUMBER($B292)),"日期格式不对",IF($C292="","未选资金账户",IF(AND(N($I292)=0,N($J292)=0),"收支都为空",IF(AND(N($I292)&gt;0,N($J292)&gt;0),"收支不能同时填",IF(AND($D292&lt;&gt;"",LEFT($O292,1)="⚠"),"项目编号不存在",IF(AND($M292="是",$F292=""),"工程回款必须填往来单位","√")))))))</f>
        <v/>
      </c>
      <c r="O292" s="34" t="str">
        <f aca="false">IF($D292="","",IFERROR(INDEX(项目档案!$B$6:$B$255,MATCH($D292,项目档案!$A$6:$A$255,0)),"⚠编号不存在"))</f>
        <v/>
      </c>
      <c r="P292" s="35" t="str">
        <f aca="false">IF($B292="","",TEXT($B292,"yyyy-mm"))</f>
        <v/>
      </c>
    </row>
    <row r="293" customFormat="false" ht="15.75" hidden="false" customHeight="true" outlineLevel="0" collapsed="false">
      <c r="A293" s="32" t="str">
        <f aca="false">IF($B293="","",ROW()-4)</f>
        <v/>
      </c>
      <c r="B293" s="26"/>
      <c r="C293" s="21"/>
      <c r="D293" s="24"/>
      <c r="E293" s="21"/>
      <c r="F293" s="24"/>
      <c r="G293" s="21"/>
      <c r="H293" s="22"/>
      <c r="I293" s="27"/>
      <c r="J293" s="27"/>
      <c r="K293" s="36" t="str">
        <f aca="false">IF($B293="","",IF($C293="泓普",$C$2,IF($C293="仟茂",$E$2,IF($C293="现金",$G$2,0)))+SUMIFS($I$5:$I293,$C$5:$C293,$C293)-SUMIFS($J$5:$J293,$C$5:$C293,$C293))</f>
        <v/>
      </c>
      <c r="L293" s="36" t="str">
        <f aca="false">IF($B293="","",$C$2+$E$2+$G$2+SUM($I$5:$I293)-SUM($J$5:$J293))</f>
        <v/>
      </c>
      <c r="M293" s="24"/>
      <c r="N293" s="33" t="str">
        <f aca="false">IF($B293="","",IF(NOT(ISNUMBER($B293)),"日期格式不对",IF($C293="","未选资金账户",IF(AND(N($I293)=0,N($J293)=0),"收支都为空",IF(AND(N($I293)&gt;0,N($J293)&gt;0),"收支不能同时填",IF(AND($D293&lt;&gt;"",LEFT($O293,1)="⚠"),"项目编号不存在",IF(AND($M293="是",$F293=""),"工程回款必须填往来单位","√")))))))</f>
        <v/>
      </c>
      <c r="O293" s="34" t="str">
        <f aca="false">IF($D293="","",IFERROR(INDEX(项目档案!$B$6:$B$255,MATCH($D293,项目档案!$A$6:$A$255,0)),"⚠编号不存在"))</f>
        <v/>
      </c>
      <c r="P293" s="35" t="str">
        <f aca="false">IF($B293="","",TEXT($B293,"yyyy-mm"))</f>
        <v/>
      </c>
    </row>
    <row r="294" customFormat="false" ht="15.75" hidden="false" customHeight="true" outlineLevel="0" collapsed="false">
      <c r="A294" s="32" t="str">
        <f aca="false">IF($B294="","",ROW()-4)</f>
        <v/>
      </c>
      <c r="B294" s="26"/>
      <c r="C294" s="21"/>
      <c r="D294" s="24"/>
      <c r="E294" s="21"/>
      <c r="F294" s="24"/>
      <c r="G294" s="21"/>
      <c r="H294" s="22"/>
      <c r="I294" s="27"/>
      <c r="J294" s="27"/>
      <c r="K294" s="36" t="str">
        <f aca="false">IF($B294="","",IF($C294="泓普",$C$2,IF($C294="仟茂",$E$2,IF($C294="现金",$G$2,0)))+SUMIFS($I$5:$I294,$C$5:$C294,$C294)-SUMIFS($J$5:$J294,$C$5:$C294,$C294))</f>
        <v/>
      </c>
      <c r="L294" s="36" t="str">
        <f aca="false">IF($B294="","",$C$2+$E$2+$G$2+SUM($I$5:$I294)-SUM($J$5:$J294))</f>
        <v/>
      </c>
      <c r="M294" s="24"/>
      <c r="N294" s="33" t="str">
        <f aca="false">IF($B294="","",IF(NOT(ISNUMBER($B294)),"日期格式不对",IF($C294="","未选资金账户",IF(AND(N($I294)=0,N($J294)=0),"收支都为空",IF(AND(N($I294)&gt;0,N($J294)&gt;0),"收支不能同时填",IF(AND($D294&lt;&gt;"",LEFT($O294,1)="⚠"),"项目编号不存在",IF(AND($M294="是",$F294=""),"工程回款必须填往来单位","√")))))))</f>
        <v/>
      </c>
      <c r="O294" s="34" t="str">
        <f aca="false">IF($D294="","",IFERROR(INDEX(项目档案!$B$6:$B$255,MATCH($D294,项目档案!$A$6:$A$255,0)),"⚠编号不存在"))</f>
        <v/>
      </c>
      <c r="P294" s="35" t="str">
        <f aca="false">IF($B294="","",TEXT($B294,"yyyy-mm"))</f>
        <v/>
      </c>
    </row>
    <row r="295" customFormat="false" ht="15.75" hidden="false" customHeight="true" outlineLevel="0" collapsed="false">
      <c r="A295" s="32" t="str">
        <f aca="false">IF($B295="","",ROW()-4)</f>
        <v/>
      </c>
      <c r="B295" s="26"/>
      <c r="C295" s="21"/>
      <c r="D295" s="24"/>
      <c r="E295" s="21"/>
      <c r="F295" s="24"/>
      <c r="G295" s="21"/>
      <c r="H295" s="22"/>
      <c r="I295" s="27"/>
      <c r="J295" s="27"/>
      <c r="K295" s="36" t="str">
        <f aca="false">IF($B295="","",IF($C295="泓普",$C$2,IF($C295="仟茂",$E$2,IF($C295="现金",$G$2,0)))+SUMIFS($I$5:$I295,$C$5:$C295,$C295)-SUMIFS($J$5:$J295,$C$5:$C295,$C295))</f>
        <v/>
      </c>
      <c r="L295" s="36" t="str">
        <f aca="false">IF($B295="","",$C$2+$E$2+$G$2+SUM($I$5:$I295)-SUM($J$5:$J295))</f>
        <v/>
      </c>
      <c r="M295" s="24"/>
      <c r="N295" s="33" t="str">
        <f aca="false">IF($B295="","",IF(NOT(ISNUMBER($B295)),"日期格式不对",IF($C295="","未选资金账户",IF(AND(N($I295)=0,N($J295)=0),"收支都为空",IF(AND(N($I295)&gt;0,N($J295)&gt;0),"收支不能同时填",IF(AND($D295&lt;&gt;"",LEFT($O295,1)="⚠"),"项目编号不存在",IF(AND($M295="是",$F295=""),"工程回款必须填往来单位","√")))))))</f>
        <v/>
      </c>
      <c r="O295" s="34" t="str">
        <f aca="false">IF($D295="","",IFERROR(INDEX(项目档案!$B$6:$B$255,MATCH($D295,项目档案!$A$6:$A$255,0)),"⚠编号不存在"))</f>
        <v/>
      </c>
      <c r="P295" s="35" t="str">
        <f aca="false">IF($B295="","",TEXT($B295,"yyyy-mm"))</f>
        <v/>
      </c>
    </row>
    <row r="296" customFormat="false" ht="15.75" hidden="false" customHeight="true" outlineLevel="0" collapsed="false">
      <c r="A296" s="32" t="str">
        <f aca="false">IF($B296="","",ROW()-4)</f>
        <v/>
      </c>
      <c r="B296" s="26"/>
      <c r="C296" s="21"/>
      <c r="D296" s="24"/>
      <c r="E296" s="21"/>
      <c r="F296" s="24"/>
      <c r="G296" s="21"/>
      <c r="H296" s="22"/>
      <c r="I296" s="27"/>
      <c r="J296" s="27"/>
      <c r="K296" s="36" t="str">
        <f aca="false">IF($B296="","",IF($C296="泓普",$C$2,IF($C296="仟茂",$E$2,IF($C296="现金",$G$2,0)))+SUMIFS($I$5:$I296,$C$5:$C296,$C296)-SUMIFS($J$5:$J296,$C$5:$C296,$C296))</f>
        <v/>
      </c>
      <c r="L296" s="36" t="str">
        <f aca="false">IF($B296="","",$C$2+$E$2+$G$2+SUM($I$5:$I296)-SUM($J$5:$J296))</f>
        <v/>
      </c>
      <c r="M296" s="24"/>
      <c r="N296" s="33" t="str">
        <f aca="false">IF($B296="","",IF(NOT(ISNUMBER($B296)),"日期格式不对",IF($C296="","未选资金账户",IF(AND(N($I296)=0,N($J296)=0),"收支都为空",IF(AND(N($I296)&gt;0,N($J296)&gt;0),"收支不能同时填",IF(AND($D296&lt;&gt;"",LEFT($O296,1)="⚠"),"项目编号不存在",IF(AND($M296="是",$F296=""),"工程回款必须填往来单位","√")))))))</f>
        <v/>
      </c>
      <c r="O296" s="34" t="str">
        <f aca="false">IF($D296="","",IFERROR(INDEX(项目档案!$B$6:$B$255,MATCH($D296,项目档案!$A$6:$A$255,0)),"⚠编号不存在"))</f>
        <v/>
      </c>
      <c r="P296" s="35" t="str">
        <f aca="false">IF($B296="","",TEXT($B296,"yyyy-mm"))</f>
        <v/>
      </c>
    </row>
    <row r="297" customFormat="false" ht="15.75" hidden="false" customHeight="true" outlineLevel="0" collapsed="false">
      <c r="A297" s="32" t="str">
        <f aca="false">IF($B297="","",ROW()-4)</f>
        <v/>
      </c>
      <c r="B297" s="26"/>
      <c r="C297" s="21"/>
      <c r="D297" s="24"/>
      <c r="E297" s="21"/>
      <c r="F297" s="24"/>
      <c r="G297" s="21"/>
      <c r="H297" s="22"/>
      <c r="I297" s="27"/>
      <c r="J297" s="27"/>
      <c r="K297" s="36" t="str">
        <f aca="false">IF($B297="","",IF($C297="泓普",$C$2,IF($C297="仟茂",$E$2,IF($C297="现金",$G$2,0)))+SUMIFS($I$5:$I297,$C$5:$C297,$C297)-SUMIFS($J$5:$J297,$C$5:$C297,$C297))</f>
        <v/>
      </c>
      <c r="L297" s="36" t="str">
        <f aca="false">IF($B297="","",$C$2+$E$2+$G$2+SUM($I$5:$I297)-SUM($J$5:$J297))</f>
        <v/>
      </c>
      <c r="M297" s="24"/>
      <c r="N297" s="33" t="str">
        <f aca="false">IF($B297="","",IF(NOT(ISNUMBER($B297)),"日期格式不对",IF($C297="","未选资金账户",IF(AND(N($I297)=0,N($J297)=0),"收支都为空",IF(AND(N($I297)&gt;0,N($J297)&gt;0),"收支不能同时填",IF(AND($D297&lt;&gt;"",LEFT($O297,1)="⚠"),"项目编号不存在",IF(AND($M297="是",$F297=""),"工程回款必须填往来单位","√")))))))</f>
        <v/>
      </c>
      <c r="O297" s="34" t="str">
        <f aca="false">IF($D297="","",IFERROR(INDEX(项目档案!$B$6:$B$255,MATCH($D297,项目档案!$A$6:$A$255,0)),"⚠编号不存在"))</f>
        <v/>
      </c>
      <c r="P297" s="35" t="str">
        <f aca="false">IF($B297="","",TEXT($B297,"yyyy-mm"))</f>
        <v/>
      </c>
    </row>
    <row r="298" customFormat="false" ht="15.75" hidden="false" customHeight="true" outlineLevel="0" collapsed="false">
      <c r="A298" s="32" t="str">
        <f aca="false">IF($B298="","",ROW()-4)</f>
        <v/>
      </c>
      <c r="B298" s="26"/>
      <c r="C298" s="21"/>
      <c r="D298" s="24"/>
      <c r="E298" s="21"/>
      <c r="F298" s="24"/>
      <c r="G298" s="21"/>
      <c r="H298" s="22"/>
      <c r="I298" s="27"/>
      <c r="J298" s="27"/>
      <c r="K298" s="36" t="str">
        <f aca="false">IF($B298="","",IF($C298="泓普",$C$2,IF($C298="仟茂",$E$2,IF($C298="现金",$G$2,0)))+SUMIFS($I$5:$I298,$C$5:$C298,$C298)-SUMIFS($J$5:$J298,$C$5:$C298,$C298))</f>
        <v/>
      </c>
      <c r="L298" s="36" t="str">
        <f aca="false">IF($B298="","",$C$2+$E$2+$G$2+SUM($I$5:$I298)-SUM($J$5:$J298))</f>
        <v/>
      </c>
      <c r="M298" s="24"/>
      <c r="N298" s="33" t="str">
        <f aca="false">IF($B298="","",IF(NOT(ISNUMBER($B298)),"日期格式不对",IF($C298="","未选资金账户",IF(AND(N($I298)=0,N($J298)=0),"收支都为空",IF(AND(N($I298)&gt;0,N($J298)&gt;0),"收支不能同时填",IF(AND($D298&lt;&gt;"",LEFT($O298,1)="⚠"),"项目编号不存在",IF(AND($M298="是",$F298=""),"工程回款必须填往来单位","√")))))))</f>
        <v/>
      </c>
      <c r="O298" s="34" t="str">
        <f aca="false">IF($D298="","",IFERROR(INDEX(项目档案!$B$6:$B$255,MATCH($D298,项目档案!$A$6:$A$255,0)),"⚠编号不存在"))</f>
        <v/>
      </c>
      <c r="P298" s="35" t="str">
        <f aca="false">IF($B298="","",TEXT($B298,"yyyy-mm"))</f>
        <v/>
      </c>
    </row>
    <row r="299" customFormat="false" ht="15.75" hidden="false" customHeight="true" outlineLevel="0" collapsed="false">
      <c r="A299" s="32" t="str">
        <f aca="false">IF($B299="","",ROW()-4)</f>
        <v/>
      </c>
      <c r="B299" s="26"/>
      <c r="C299" s="21"/>
      <c r="D299" s="24"/>
      <c r="E299" s="21"/>
      <c r="F299" s="24"/>
      <c r="G299" s="21"/>
      <c r="H299" s="22"/>
      <c r="I299" s="27"/>
      <c r="J299" s="27"/>
      <c r="K299" s="36" t="str">
        <f aca="false">IF($B299="","",IF($C299="泓普",$C$2,IF($C299="仟茂",$E$2,IF($C299="现金",$G$2,0)))+SUMIFS($I$5:$I299,$C$5:$C299,$C299)-SUMIFS($J$5:$J299,$C$5:$C299,$C299))</f>
        <v/>
      </c>
      <c r="L299" s="36" t="str">
        <f aca="false">IF($B299="","",$C$2+$E$2+$G$2+SUM($I$5:$I299)-SUM($J$5:$J299))</f>
        <v/>
      </c>
      <c r="M299" s="24"/>
      <c r="N299" s="33" t="str">
        <f aca="false">IF($B299="","",IF(NOT(ISNUMBER($B299)),"日期格式不对",IF($C299="","未选资金账户",IF(AND(N($I299)=0,N($J299)=0),"收支都为空",IF(AND(N($I299)&gt;0,N($J299)&gt;0),"收支不能同时填",IF(AND($D299&lt;&gt;"",LEFT($O299,1)="⚠"),"项目编号不存在",IF(AND($M299="是",$F299=""),"工程回款必须填往来单位","√")))))))</f>
        <v/>
      </c>
      <c r="O299" s="34" t="str">
        <f aca="false">IF($D299="","",IFERROR(INDEX(项目档案!$B$6:$B$255,MATCH($D299,项目档案!$A$6:$A$255,0)),"⚠编号不存在"))</f>
        <v/>
      </c>
      <c r="P299" s="35" t="str">
        <f aca="false">IF($B299="","",TEXT($B299,"yyyy-mm"))</f>
        <v/>
      </c>
    </row>
    <row r="300" customFormat="false" ht="15.75" hidden="false" customHeight="true" outlineLevel="0" collapsed="false">
      <c r="A300" s="32" t="str">
        <f aca="false">IF($B300="","",ROW()-4)</f>
        <v/>
      </c>
      <c r="B300" s="26"/>
      <c r="C300" s="21"/>
      <c r="D300" s="24"/>
      <c r="E300" s="21"/>
      <c r="F300" s="24"/>
      <c r="G300" s="21"/>
      <c r="H300" s="22"/>
      <c r="I300" s="27"/>
      <c r="J300" s="27"/>
      <c r="K300" s="36" t="str">
        <f aca="false">IF($B300="","",IF($C300="泓普",$C$2,IF($C300="仟茂",$E$2,IF($C300="现金",$G$2,0)))+SUMIFS($I$5:$I300,$C$5:$C300,$C300)-SUMIFS($J$5:$J300,$C$5:$C300,$C300))</f>
        <v/>
      </c>
      <c r="L300" s="36" t="str">
        <f aca="false">IF($B300="","",$C$2+$E$2+$G$2+SUM($I$5:$I300)-SUM($J$5:$J300))</f>
        <v/>
      </c>
      <c r="M300" s="24"/>
      <c r="N300" s="33" t="str">
        <f aca="false">IF($B300="","",IF(NOT(ISNUMBER($B300)),"日期格式不对",IF($C300="","未选资金账户",IF(AND(N($I300)=0,N($J300)=0),"收支都为空",IF(AND(N($I300)&gt;0,N($J300)&gt;0),"收支不能同时填",IF(AND($D300&lt;&gt;"",LEFT($O300,1)="⚠"),"项目编号不存在",IF(AND($M300="是",$F300=""),"工程回款必须填往来单位","√")))))))</f>
        <v/>
      </c>
      <c r="O300" s="34" t="str">
        <f aca="false">IF($D300="","",IFERROR(INDEX(项目档案!$B$6:$B$255,MATCH($D300,项目档案!$A$6:$A$255,0)),"⚠编号不存在"))</f>
        <v/>
      </c>
      <c r="P300" s="35" t="str">
        <f aca="false">IF($B300="","",TEXT($B300,"yyyy-mm"))</f>
        <v/>
      </c>
    </row>
    <row r="301" customFormat="false" ht="15.75" hidden="false" customHeight="true" outlineLevel="0" collapsed="false">
      <c r="A301" s="32" t="str">
        <f aca="false">IF($B301="","",ROW()-4)</f>
        <v/>
      </c>
      <c r="B301" s="26"/>
      <c r="C301" s="21"/>
      <c r="D301" s="24"/>
      <c r="E301" s="21"/>
      <c r="F301" s="24"/>
      <c r="G301" s="21"/>
      <c r="H301" s="22"/>
      <c r="I301" s="27"/>
      <c r="J301" s="27"/>
      <c r="K301" s="36" t="str">
        <f aca="false">IF($B301="","",IF($C301="泓普",$C$2,IF($C301="仟茂",$E$2,IF($C301="现金",$G$2,0)))+SUMIFS($I$5:$I301,$C$5:$C301,$C301)-SUMIFS($J$5:$J301,$C$5:$C301,$C301))</f>
        <v/>
      </c>
      <c r="L301" s="36" t="str">
        <f aca="false">IF($B301="","",$C$2+$E$2+$G$2+SUM($I$5:$I301)-SUM($J$5:$J301))</f>
        <v/>
      </c>
      <c r="M301" s="24"/>
      <c r="N301" s="33" t="str">
        <f aca="false">IF($B301="","",IF(NOT(ISNUMBER($B301)),"日期格式不对",IF($C301="","未选资金账户",IF(AND(N($I301)=0,N($J301)=0),"收支都为空",IF(AND(N($I301)&gt;0,N($J301)&gt;0),"收支不能同时填",IF(AND($D301&lt;&gt;"",LEFT($O301,1)="⚠"),"项目编号不存在",IF(AND($M301="是",$F301=""),"工程回款必须填往来单位","√")))))))</f>
        <v/>
      </c>
      <c r="O301" s="34" t="str">
        <f aca="false">IF($D301="","",IFERROR(INDEX(项目档案!$B$6:$B$255,MATCH($D301,项目档案!$A$6:$A$255,0)),"⚠编号不存在"))</f>
        <v/>
      </c>
      <c r="P301" s="35" t="str">
        <f aca="false">IF($B301="","",TEXT($B301,"yyyy-mm"))</f>
        <v/>
      </c>
    </row>
    <row r="302" customFormat="false" ht="15.75" hidden="false" customHeight="true" outlineLevel="0" collapsed="false">
      <c r="A302" s="32" t="str">
        <f aca="false">IF($B302="","",ROW()-4)</f>
        <v/>
      </c>
      <c r="B302" s="26"/>
      <c r="C302" s="21"/>
      <c r="D302" s="24"/>
      <c r="E302" s="21"/>
      <c r="F302" s="24"/>
      <c r="G302" s="21"/>
      <c r="H302" s="22"/>
      <c r="I302" s="27"/>
      <c r="J302" s="27"/>
      <c r="K302" s="36" t="str">
        <f aca="false">IF($B302="","",IF($C302="泓普",$C$2,IF($C302="仟茂",$E$2,IF($C302="现金",$G$2,0)))+SUMIFS($I$5:$I302,$C$5:$C302,$C302)-SUMIFS($J$5:$J302,$C$5:$C302,$C302))</f>
        <v/>
      </c>
      <c r="L302" s="36" t="str">
        <f aca="false">IF($B302="","",$C$2+$E$2+$G$2+SUM($I$5:$I302)-SUM($J$5:$J302))</f>
        <v/>
      </c>
      <c r="M302" s="24"/>
      <c r="N302" s="33" t="str">
        <f aca="false">IF($B302="","",IF(NOT(ISNUMBER($B302)),"日期格式不对",IF($C302="","未选资金账户",IF(AND(N($I302)=0,N($J302)=0),"收支都为空",IF(AND(N($I302)&gt;0,N($J302)&gt;0),"收支不能同时填",IF(AND($D302&lt;&gt;"",LEFT($O302,1)="⚠"),"项目编号不存在",IF(AND($M302="是",$F302=""),"工程回款必须填往来单位","√")))))))</f>
        <v/>
      </c>
      <c r="O302" s="34" t="str">
        <f aca="false">IF($D302="","",IFERROR(INDEX(项目档案!$B$6:$B$255,MATCH($D302,项目档案!$A$6:$A$255,0)),"⚠编号不存在"))</f>
        <v/>
      </c>
      <c r="P302" s="35" t="str">
        <f aca="false">IF($B302="","",TEXT($B302,"yyyy-mm"))</f>
        <v/>
      </c>
    </row>
    <row r="303" customFormat="false" ht="15.75" hidden="false" customHeight="true" outlineLevel="0" collapsed="false">
      <c r="A303" s="32" t="str">
        <f aca="false">IF($B303="","",ROW()-4)</f>
        <v/>
      </c>
      <c r="B303" s="26"/>
      <c r="C303" s="21"/>
      <c r="D303" s="24"/>
      <c r="E303" s="21"/>
      <c r="F303" s="24"/>
      <c r="G303" s="21"/>
      <c r="H303" s="22"/>
      <c r="I303" s="27"/>
      <c r="J303" s="27"/>
      <c r="K303" s="36" t="str">
        <f aca="false">IF($B303="","",IF($C303="泓普",$C$2,IF($C303="仟茂",$E$2,IF($C303="现金",$G$2,0)))+SUMIFS($I$5:$I303,$C$5:$C303,$C303)-SUMIFS($J$5:$J303,$C$5:$C303,$C303))</f>
        <v/>
      </c>
      <c r="L303" s="36" t="str">
        <f aca="false">IF($B303="","",$C$2+$E$2+$G$2+SUM($I$5:$I303)-SUM($J$5:$J303))</f>
        <v/>
      </c>
      <c r="M303" s="24"/>
      <c r="N303" s="33" t="str">
        <f aca="false">IF($B303="","",IF(NOT(ISNUMBER($B303)),"日期格式不对",IF($C303="","未选资金账户",IF(AND(N($I303)=0,N($J303)=0),"收支都为空",IF(AND(N($I303)&gt;0,N($J303)&gt;0),"收支不能同时填",IF(AND($D303&lt;&gt;"",LEFT($O303,1)="⚠"),"项目编号不存在",IF(AND($M303="是",$F303=""),"工程回款必须填往来单位","√")))))))</f>
        <v/>
      </c>
      <c r="O303" s="34" t="str">
        <f aca="false">IF($D303="","",IFERROR(INDEX(项目档案!$B$6:$B$255,MATCH($D303,项目档案!$A$6:$A$255,0)),"⚠编号不存在"))</f>
        <v/>
      </c>
      <c r="P303" s="35" t="str">
        <f aca="false">IF($B303="","",TEXT($B303,"yyyy-mm"))</f>
        <v/>
      </c>
    </row>
    <row r="304" customFormat="false" ht="15.75" hidden="false" customHeight="true" outlineLevel="0" collapsed="false">
      <c r="A304" s="32" t="str">
        <f aca="false">IF($B304="","",ROW()-4)</f>
        <v/>
      </c>
      <c r="B304" s="26"/>
      <c r="C304" s="21"/>
      <c r="D304" s="24"/>
      <c r="E304" s="21"/>
      <c r="F304" s="24"/>
      <c r="G304" s="21"/>
      <c r="H304" s="22"/>
      <c r="I304" s="27"/>
      <c r="J304" s="27"/>
      <c r="K304" s="36" t="str">
        <f aca="false">IF($B304="","",IF($C304="泓普",$C$2,IF($C304="仟茂",$E$2,IF($C304="现金",$G$2,0)))+SUMIFS($I$5:$I304,$C$5:$C304,$C304)-SUMIFS($J$5:$J304,$C$5:$C304,$C304))</f>
        <v/>
      </c>
      <c r="L304" s="36" t="str">
        <f aca="false">IF($B304="","",$C$2+$E$2+$G$2+SUM($I$5:$I304)-SUM($J$5:$J304))</f>
        <v/>
      </c>
      <c r="M304" s="24"/>
      <c r="N304" s="33" t="str">
        <f aca="false">IF($B304="","",IF(NOT(ISNUMBER($B304)),"日期格式不对",IF($C304="","未选资金账户",IF(AND(N($I304)=0,N($J304)=0),"收支都为空",IF(AND(N($I304)&gt;0,N($J304)&gt;0),"收支不能同时填",IF(AND($D304&lt;&gt;"",LEFT($O304,1)="⚠"),"项目编号不存在",IF(AND($M304="是",$F304=""),"工程回款必须填往来单位","√")))))))</f>
        <v/>
      </c>
      <c r="O304" s="34" t="str">
        <f aca="false">IF($D304="","",IFERROR(INDEX(项目档案!$B$6:$B$255,MATCH($D304,项目档案!$A$6:$A$255,0)),"⚠编号不存在"))</f>
        <v/>
      </c>
      <c r="P304" s="35" t="str">
        <f aca="false">IF($B304="","",TEXT($B304,"yyyy-mm"))</f>
        <v/>
      </c>
    </row>
    <row r="305" customFormat="false" ht="15.75" hidden="false" customHeight="true" outlineLevel="0" collapsed="false">
      <c r="A305" s="32" t="str">
        <f aca="false">IF($B305="","",ROW()-4)</f>
        <v/>
      </c>
      <c r="B305" s="26"/>
      <c r="C305" s="21"/>
      <c r="D305" s="24"/>
      <c r="E305" s="21"/>
      <c r="F305" s="24"/>
      <c r="G305" s="21"/>
      <c r="H305" s="22"/>
      <c r="I305" s="27"/>
      <c r="J305" s="27"/>
      <c r="K305" s="36" t="str">
        <f aca="false">IF($B305="","",IF($C305="泓普",$C$2,IF($C305="仟茂",$E$2,IF($C305="现金",$G$2,0)))+SUMIFS($I$5:$I305,$C$5:$C305,$C305)-SUMIFS($J$5:$J305,$C$5:$C305,$C305))</f>
        <v/>
      </c>
      <c r="L305" s="36" t="str">
        <f aca="false">IF($B305="","",$C$2+$E$2+$G$2+SUM($I$5:$I305)-SUM($J$5:$J305))</f>
        <v/>
      </c>
      <c r="M305" s="24"/>
      <c r="N305" s="33" t="str">
        <f aca="false">IF($B305="","",IF(NOT(ISNUMBER($B305)),"日期格式不对",IF($C305="","未选资金账户",IF(AND(N($I305)=0,N($J305)=0),"收支都为空",IF(AND(N($I305)&gt;0,N($J305)&gt;0),"收支不能同时填",IF(AND($D305&lt;&gt;"",LEFT($O305,1)="⚠"),"项目编号不存在",IF(AND($M305="是",$F305=""),"工程回款必须填往来单位","√")))))))</f>
        <v/>
      </c>
      <c r="O305" s="34" t="str">
        <f aca="false">IF($D305="","",IFERROR(INDEX(项目档案!$B$6:$B$255,MATCH($D305,项目档案!$A$6:$A$255,0)),"⚠编号不存在"))</f>
        <v/>
      </c>
      <c r="P305" s="35" t="str">
        <f aca="false">IF($B305="","",TEXT($B305,"yyyy-mm"))</f>
        <v/>
      </c>
    </row>
    <row r="306" customFormat="false" ht="15.75" hidden="false" customHeight="true" outlineLevel="0" collapsed="false">
      <c r="A306" s="32" t="str">
        <f aca="false">IF($B306="","",ROW()-4)</f>
        <v/>
      </c>
      <c r="B306" s="26"/>
      <c r="C306" s="21"/>
      <c r="D306" s="24"/>
      <c r="E306" s="21"/>
      <c r="F306" s="24"/>
      <c r="G306" s="21"/>
      <c r="H306" s="22"/>
      <c r="I306" s="27"/>
      <c r="J306" s="27"/>
      <c r="K306" s="36" t="str">
        <f aca="false">IF($B306="","",IF($C306="泓普",$C$2,IF($C306="仟茂",$E$2,IF($C306="现金",$G$2,0)))+SUMIFS($I$5:$I306,$C$5:$C306,$C306)-SUMIFS($J$5:$J306,$C$5:$C306,$C306))</f>
        <v/>
      </c>
      <c r="L306" s="36" t="str">
        <f aca="false">IF($B306="","",$C$2+$E$2+$G$2+SUM($I$5:$I306)-SUM($J$5:$J306))</f>
        <v/>
      </c>
      <c r="M306" s="24"/>
      <c r="N306" s="33" t="str">
        <f aca="false">IF($B306="","",IF(NOT(ISNUMBER($B306)),"日期格式不对",IF($C306="","未选资金账户",IF(AND(N($I306)=0,N($J306)=0),"收支都为空",IF(AND(N($I306)&gt;0,N($J306)&gt;0),"收支不能同时填",IF(AND($D306&lt;&gt;"",LEFT($O306,1)="⚠"),"项目编号不存在",IF(AND($M306="是",$F306=""),"工程回款必须填往来单位","√")))))))</f>
        <v/>
      </c>
      <c r="O306" s="34" t="str">
        <f aca="false">IF($D306="","",IFERROR(INDEX(项目档案!$B$6:$B$255,MATCH($D306,项目档案!$A$6:$A$255,0)),"⚠编号不存在"))</f>
        <v/>
      </c>
      <c r="P306" s="35" t="str">
        <f aca="false">IF($B306="","",TEXT($B306,"yyyy-mm"))</f>
        <v/>
      </c>
    </row>
    <row r="307" customFormat="false" ht="15.75" hidden="false" customHeight="true" outlineLevel="0" collapsed="false">
      <c r="A307" s="32" t="str">
        <f aca="false">IF($B307="","",ROW()-4)</f>
        <v/>
      </c>
      <c r="B307" s="26"/>
      <c r="C307" s="21"/>
      <c r="D307" s="24"/>
      <c r="E307" s="21"/>
      <c r="F307" s="24"/>
      <c r="G307" s="21"/>
      <c r="H307" s="22"/>
      <c r="I307" s="27"/>
      <c r="J307" s="27"/>
      <c r="K307" s="36" t="str">
        <f aca="false">IF($B307="","",IF($C307="泓普",$C$2,IF($C307="仟茂",$E$2,IF($C307="现金",$G$2,0)))+SUMIFS($I$5:$I307,$C$5:$C307,$C307)-SUMIFS($J$5:$J307,$C$5:$C307,$C307))</f>
        <v/>
      </c>
      <c r="L307" s="36" t="str">
        <f aca="false">IF($B307="","",$C$2+$E$2+$G$2+SUM($I$5:$I307)-SUM($J$5:$J307))</f>
        <v/>
      </c>
      <c r="M307" s="24"/>
      <c r="N307" s="33" t="str">
        <f aca="false">IF($B307="","",IF(NOT(ISNUMBER($B307)),"日期格式不对",IF($C307="","未选资金账户",IF(AND(N($I307)=0,N($J307)=0),"收支都为空",IF(AND(N($I307)&gt;0,N($J307)&gt;0),"收支不能同时填",IF(AND($D307&lt;&gt;"",LEFT($O307,1)="⚠"),"项目编号不存在",IF(AND($M307="是",$F307=""),"工程回款必须填往来单位","√")))))))</f>
        <v/>
      </c>
      <c r="O307" s="34" t="str">
        <f aca="false">IF($D307="","",IFERROR(INDEX(项目档案!$B$6:$B$255,MATCH($D307,项目档案!$A$6:$A$255,0)),"⚠编号不存在"))</f>
        <v/>
      </c>
      <c r="P307" s="35" t="str">
        <f aca="false">IF($B307="","",TEXT($B307,"yyyy-mm"))</f>
        <v/>
      </c>
    </row>
    <row r="308" customFormat="false" ht="15.75" hidden="false" customHeight="true" outlineLevel="0" collapsed="false">
      <c r="A308" s="32" t="str">
        <f aca="false">IF($B308="","",ROW()-4)</f>
        <v/>
      </c>
      <c r="B308" s="26"/>
      <c r="C308" s="21"/>
      <c r="D308" s="24"/>
      <c r="E308" s="21"/>
      <c r="F308" s="24"/>
      <c r="G308" s="21"/>
      <c r="H308" s="22"/>
      <c r="I308" s="27"/>
      <c r="J308" s="27"/>
      <c r="K308" s="36" t="str">
        <f aca="false">IF($B308="","",IF($C308="泓普",$C$2,IF($C308="仟茂",$E$2,IF($C308="现金",$G$2,0)))+SUMIFS($I$5:$I308,$C$5:$C308,$C308)-SUMIFS($J$5:$J308,$C$5:$C308,$C308))</f>
        <v/>
      </c>
      <c r="L308" s="36" t="str">
        <f aca="false">IF($B308="","",$C$2+$E$2+$G$2+SUM($I$5:$I308)-SUM($J$5:$J308))</f>
        <v/>
      </c>
      <c r="M308" s="24"/>
      <c r="N308" s="33" t="str">
        <f aca="false">IF($B308="","",IF(NOT(ISNUMBER($B308)),"日期格式不对",IF($C308="","未选资金账户",IF(AND(N($I308)=0,N($J308)=0),"收支都为空",IF(AND(N($I308)&gt;0,N($J308)&gt;0),"收支不能同时填",IF(AND($D308&lt;&gt;"",LEFT($O308,1)="⚠"),"项目编号不存在",IF(AND($M308="是",$F308=""),"工程回款必须填往来单位","√")))))))</f>
        <v/>
      </c>
      <c r="O308" s="34" t="str">
        <f aca="false">IF($D308="","",IFERROR(INDEX(项目档案!$B$6:$B$255,MATCH($D308,项目档案!$A$6:$A$255,0)),"⚠编号不存在"))</f>
        <v/>
      </c>
      <c r="P308" s="35" t="str">
        <f aca="false">IF($B308="","",TEXT($B308,"yyyy-mm"))</f>
        <v/>
      </c>
    </row>
    <row r="309" customFormat="false" ht="15.75" hidden="false" customHeight="true" outlineLevel="0" collapsed="false">
      <c r="A309" s="32" t="str">
        <f aca="false">IF($B309="","",ROW()-4)</f>
        <v/>
      </c>
      <c r="B309" s="26"/>
      <c r="C309" s="21"/>
      <c r="D309" s="24"/>
      <c r="E309" s="21"/>
      <c r="F309" s="24"/>
      <c r="G309" s="21"/>
      <c r="H309" s="22"/>
      <c r="I309" s="27"/>
      <c r="J309" s="27"/>
      <c r="K309" s="36" t="str">
        <f aca="false">IF($B309="","",IF($C309="泓普",$C$2,IF($C309="仟茂",$E$2,IF($C309="现金",$G$2,0)))+SUMIFS($I$5:$I309,$C$5:$C309,$C309)-SUMIFS($J$5:$J309,$C$5:$C309,$C309))</f>
        <v/>
      </c>
      <c r="L309" s="36" t="str">
        <f aca="false">IF($B309="","",$C$2+$E$2+$G$2+SUM($I$5:$I309)-SUM($J$5:$J309))</f>
        <v/>
      </c>
      <c r="M309" s="24"/>
      <c r="N309" s="33" t="str">
        <f aca="false">IF($B309="","",IF(NOT(ISNUMBER($B309)),"日期格式不对",IF($C309="","未选资金账户",IF(AND(N($I309)=0,N($J309)=0),"收支都为空",IF(AND(N($I309)&gt;0,N($J309)&gt;0),"收支不能同时填",IF(AND($D309&lt;&gt;"",LEFT($O309,1)="⚠"),"项目编号不存在",IF(AND($M309="是",$F309=""),"工程回款必须填往来单位","√")))))))</f>
        <v/>
      </c>
      <c r="O309" s="34" t="str">
        <f aca="false">IF($D309="","",IFERROR(INDEX(项目档案!$B$6:$B$255,MATCH($D309,项目档案!$A$6:$A$255,0)),"⚠编号不存在"))</f>
        <v/>
      </c>
      <c r="P309" s="35" t="str">
        <f aca="false">IF($B309="","",TEXT($B309,"yyyy-mm"))</f>
        <v/>
      </c>
    </row>
    <row r="310" customFormat="false" ht="15.75" hidden="false" customHeight="true" outlineLevel="0" collapsed="false">
      <c r="A310" s="32" t="str">
        <f aca="false">IF($B310="","",ROW()-4)</f>
        <v/>
      </c>
      <c r="B310" s="26"/>
      <c r="C310" s="21"/>
      <c r="D310" s="24"/>
      <c r="E310" s="21"/>
      <c r="F310" s="24"/>
      <c r="G310" s="21"/>
      <c r="H310" s="22"/>
      <c r="I310" s="27"/>
      <c r="J310" s="27"/>
      <c r="K310" s="36" t="str">
        <f aca="false">IF($B310="","",IF($C310="泓普",$C$2,IF($C310="仟茂",$E$2,IF($C310="现金",$G$2,0)))+SUMIFS($I$5:$I310,$C$5:$C310,$C310)-SUMIFS($J$5:$J310,$C$5:$C310,$C310))</f>
        <v/>
      </c>
      <c r="L310" s="36" t="str">
        <f aca="false">IF($B310="","",$C$2+$E$2+$G$2+SUM($I$5:$I310)-SUM($J$5:$J310))</f>
        <v/>
      </c>
      <c r="M310" s="24"/>
      <c r="N310" s="33" t="str">
        <f aca="false">IF($B310="","",IF(NOT(ISNUMBER($B310)),"日期格式不对",IF($C310="","未选资金账户",IF(AND(N($I310)=0,N($J310)=0),"收支都为空",IF(AND(N($I310)&gt;0,N($J310)&gt;0),"收支不能同时填",IF(AND($D310&lt;&gt;"",LEFT($O310,1)="⚠"),"项目编号不存在",IF(AND($M310="是",$F310=""),"工程回款必须填往来单位","√")))))))</f>
        <v/>
      </c>
      <c r="O310" s="34" t="str">
        <f aca="false">IF($D310="","",IFERROR(INDEX(项目档案!$B$6:$B$255,MATCH($D310,项目档案!$A$6:$A$255,0)),"⚠编号不存在"))</f>
        <v/>
      </c>
      <c r="P310" s="35" t="str">
        <f aca="false">IF($B310="","",TEXT($B310,"yyyy-mm"))</f>
        <v/>
      </c>
    </row>
    <row r="311" customFormat="false" ht="15.75" hidden="false" customHeight="true" outlineLevel="0" collapsed="false">
      <c r="A311" s="32" t="str">
        <f aca="false">IF($B311="","",ROW()-4)</f>
        <v/>
      </c>
      <c r="B311" s="26"/>
      <c r="C311" s="21"/>
      <c r="D311" s="24"/>
      <c r="E311" s="21"/>
      <c r="F311" s="24"/>
      <c r="G311" s="21"/>
      <c r="H311" s="22"/>
      <c r="I311" s="27"/>
      <c r="J311" s="27"/>
      <c r="K311" s="36" t="str">
        <f aca="false">IF($B311="","",IF($C311="泓普",$C$2,IF($C311="仟茂",$E$2,IF($C311="现金",$G$2,0)))+SUMIFS($I$5:$I311,$C$5:$C311,$C311)-SUMIFS($J$5:$J311,$C$5:$C311,$C311))</f>
        <v/>
      </c>
      <c r="L311" s="36" t="str">
        <f aca="false">IF($B311="","",$C$2+$E$2+$G$2+SUM($I$5:$I311)-SUM($J$5:$J311))</f>
        <v/>
      </c>
      <c r="M311" s="24"/>
      <c r="N311" s="33" t="str">
        <f aca="false">IF($B311="","",IF(NOT(ISNUMBER($B311)),"日期格式不对",IF($C311="","未选资金账户",IF(AND(N($I311)=0,N($J311)=0),"收支都为空",IF(AND(N($I311)&gt;0,N($J311)&gt;0),"收支不能同时填",IF(AND($D311&lt;&gt;"",LEFT($O311,1)="⚠"),"项目编号不存在",IF(AND($M311="是",$F311=""),"工程回款必须填往来单位","√")))))))</f>
        <v/>
      </c>
      <c r="O311" s="34" t="str">
        <f aca="false">IF($D311="","",IFERROR(INDEX(项目档案!$B$6:$B$255,MATCH($D311,项目档案!$A$6:$A$255,0)),"⚠编号不存在"))</f>
        <v/>
      </c>
      <c r="P311" s="35" t="str">
        <f aca="false">IF($B311="","",TEXT($B311,"yyyy-mm"))</f>
        <v/>
      </c>
    </row>
    <row r="312" customFormat="false" ht="15.75" hidden="false" customHeight="true" outlineLevel="0" collapsed="false">
      <c r="A312" s="32" t="str">
        <f aca="false">IF($B312="","",ROW()-4)</f>
        <v/>
      </c>
      <c r="B312" s="26"/>
      <c r="C312" s="21"/>
      <c r="D312" s="24"/>
      <c r="E312" s="21"/>
      <c r="F312" s="24"/>
      <c r="G312" s="21"/>
      <c r="H312" s="22"/>
      <c r="I312" s="27"/>
      <c r="J312" s="27"/>
      <c r="K312" s="36" t="str">
        <f aca="false">IF($B312="","",IF($C312="泓普",$C$2,IF($C312="仟茂",$E$2,IF($C312="现金",$G$2,0)))+SUMIFS($I$5:$I312,$C$5:$C312,$C312)-SUMIFS($J$5:$J312,$C$5:$C312,$C312))</f>
        <v/>
      </c>
      <c r="L312" s="36" t="str">
        <f aca="false">IF($B312="","",$C$2+$E$2+$G$2+SUM($I$5:$I312)-SUM($J$5:$J312))</f>
        <v/>
      </c>
      <c r="M312" s="24"/>
      <c r="N312" s="33" t="str">
        <f aca="false">IF($B312="","",IF(NOT(ISNUMBER($B312)),"日期格式不对",IF($C312="","未选资金账户",IF(AND(N($I312)=0,N($J312)=0),"收支都为空",IF(AND(N($I312)&gt;0,N($J312)&gt;0),"收支不能同时填",IF(AND($D312&lt;&gt;"",LEFT($O312,1)="⚠"),"项目编号不存在",IF(AND($M312="是",$F312=""),"工程回款必须填往来单位","√")))))))</f>
        <v/>
      </c>
      <c r="O312" s="34" t="str">
        <f aca="false">IF($D312="","",IFERROR(INDEX(项目档案!$B$6:$B$255,MATCH($D312,项目档案!$A$6:$A$255,0)),"⚠编号不存在"))</f>
        <v/>
      </c>
      <c r="P312" s="35" t="str">
        <f aca="false">IF($B312="","",TEXT($B312,"yyyy-mm"))</f>
        <v/>
      </c>
    </row>
    <row r="313" customFormat="false" ht="15.75" hidden="false" customHeight="true" outlineLevel="0" collapsed="false">
      <c r="A313" s="32" t="str">
        <f aca="false">IF($B313="","",ROW()-4)</f>
        <v/>
      </c>
      <c r="B313" s="26"/>
      <c r="C313" s="21"/>
      <c r="D313" s="24"/>
      <c r="E313" s="21"/>
      <c r="F313" s="24"/>
      <c r="G313" s="21"/>
      <c r="H313" s="22"/>
      <c r="I313" s="27"/>
      <c r="J313" s="27"/>
      <c r="K313" s="36" t="str">
        <f aca="false">IF($B313="","",IF($C313="泓普",$C$2,IF($C313="仟茂",$E$2,IF($C313="现金",$G$2,0)))+SUMIFS($I$5:$I313,$C$5:$C313,$C313)-SUMIFS($J$5:$J313,$C$5:$C313,$C313))</f>
        <v/>
      </c>
      <c r="L313" s="36" t="str">
        <f aca="false">IF($B313="","",$C$2+$E$2+$G$2+SUM($I$5:$I313)-SUM($J$5:$J313))</f>
        <v/>
      </c>
      <c r="M313" s="24"/>
      <c r="N313" s="33" t="str">
        <f aca="false">IF($B313="","",IF(NOT(ISNUMBER($B313)),"日期格式不对",IF($C313="","未选资金账户",IF(AND(N($I313)=0,N($J313)=0),"收支都为空",IF(AND(N($I313)&gt;0,N($J313)&gt;0),"收支不能同时填",IF(AND($D313&lt;&gt;"",LEFT($O313,1)="⚠"),"项目编号不存在",IF(AND($M313="是",$F313=""),"工程回款必须填往来单位","√")))))))</f>
        <v/>
      </c>
      <c r="O313" s="34" t="str">
        <f aca="false">IF($D313="","",IFERROR(INDEX(项目档案!$B$6:$B$255,MATCH($D313,项目档案!$A$6:$A$255,0)),"⚠编号不存在"))</f>
        <v/>
      </c>
      <c r="P313" s="35" t="str">
        <f aca="false">IF($B313="","",TEXT($B313,"yyyy-mm"))</f>
        <v/>
      </c>
    </row>
    <row r="314" customFormat="false" ht="15.75" hidden="false" customHeight="true" outlineLevel="0" collapsed="false">
      <c r="A314" s="32" t="str">
        <f aca="false">IF($B314="","",ROW()-4)</f>
        <v/>
      </c>
      <c r="B314" s="26"/>
      <c r="C314" s="21"/>
      <c r="D314" s="24"/>
      <c r="E314" s="21"/>
      <c r="F314" s="24"/>
      <c r="G314" s="21"/>
      <c r="H314" s="22"/>
      <c r="I314" s="27"/>
      <c r="J314" s="27"/>
      <c r="K314" s="36" t="str">
        <f aca="false">IF($B314="","",IF($C314="泓普",$C$2,IF($C314="仟茂",$E$2,IF($C314="现金",$G$2,0)))+SUMIFS($I$5:$I314,$C$5:$C314,$C314)-SUMIFS($J$5:$J314,$C$5:$C314,$C314))</f>
        <v/>
      </c>
      <c r="L314" s="36" t="str">
        <f aca="false">IF($B314="","",$C$2+$E$2+$G$2+SUM($I$5:$I314)-SUM($J$5:$J314))</f>
        <v/>
      </c>
      <c r="M314" s="24"/>
      <c r="N314" s="33" t="str">
        <f aca="false">IF($B314="","",IF(NOT(ISNUMBER($B314)),"日期格式不对",IF($C314="","未选资金账户",IF(AND(N($I314)=0,N($J314)=0),"收支都为空",IF(AND(N($I314)&gt;0,N($J314)&gt;0),"收支不能同时填",IF(AND($D314&lt;&gt;"",LEFT($O314,1)="⚠"),"项目编号不存在",IF(AND($M314="是",$F314=""),"工程回款必须填往来单位","√")))))))</f>
        <v/>
      </c>
      <c r="O314" s="34" t="str">
        <f aca="false">IF($D314="","",IFERROR(INDEX(项目档案!$B$6:$B$255,MATCH($D314,项目档案!$A$6:$A$255,0)),"⚠编号不存在"))</f>
        <v/>
      </c>
      <c r="P314" s="35" t="str">
        <f aca="false">IF($B314="","",TEXT($B314,"yyyy-mm"))</f>
        <v/>
      </c>
    </row>
    <row r="315" customFormat="false" ht="15.75" hidden="false" customHeight="true" outlineLevel="0" collapsed="false">
      <c r="A315" s="32" t="str">
        <f aca="false">IF($B315="","",ROW()-4)</f>
        <v/>
      </c>
      <c r="B315" s="26"/>
      <c r="C315" s="21"/>
      <c r="D315" s="24"/>
      <c r="E315" s="21"/>
      <c r="F315" s="24"/>
      <c r="G315" s="21"/>
      <c r="H315" s="22"/>
      <c r="I315" s="27"/>
      <c r="J315" s="27"/>
      <c r="K315" s="36" t="str">
        <f aca="false">IF($B315="","",IF($C315="泓普",$C$2,IF($C315="仟茂",$E$2,IF($C315="现金",$G$2,0)))+SUMIFS($I$5:$I315,$C$5:$C315,$C315)-SUMIFS($J$5:$J315,$C$5:$C315,$C315))</f>
        <v/>
      </c>
      <c r="L315" s="36" t="str">
        <f aca="false">IF($B315="","",$C$2+$E$2+$G$2+SUM($I$5:$I315)-SUM($J$5:$J315))</f>
        <v/>
      </c>
      <c r="M315" s="24"/>
      <c r="N315" s="33" t="str">
        <f aca="false">IF($B315="","",IF(NOT(ISNUMBER($B315)),"日期格式不对",IF($C315="","未选资金账户",IF(AND(N($I315)=0,N($J315)=0),"收支都为空",IF(AND(N($I315)&gt;0,N($J315)&gt;0),"收支不能同时填",IF(AND($D315&lt;&gt;"",LEFT($O315,1)="⚠"),"项目编号不存在",IF(AND($M315="是",$F315=""),"工程回款必须填往来单位","√")))))))</f>
        <v/>
      </c>
      <c r="O315" s="34" t="str">
        <f aca="false">IF($D315="","",IFERROR(INDEX(项目档案!$B$6:$B$255,MATCH($D315,项目档案!$A$6:$A$255,0)),"⚠编号不存在"))</f>
        <v/>
      </c>
      <c r="P315" s="35" t="str">
        <f aca="false">IF($B315="","",TEXT($B315,"yyyy-mm"))</f>
        <v/>
      </c>
    </row>
    <row r="316" customFormat="false" ht="15.75" hidden="false" customHeight="true" outlineLevel="0" collapsed="false">
      <c r="A316" s="32" t="str">
        <f aca="false">IF($B316="","",ROW()-4)</f>
        <v/>
      </c>
      <c r="B316" s="26"/>
      <c r="C316" s="21"/>
      <c r="D316" s="24"/>
      <c r="E316" s="21"/>
      <c r="F316" s="24"/>
      <c r="G316" s="21"/>
      <c r="H316" s="22"/>
      <c r="I316" s="27"/>
      <c r="J316" s="27"/>
      <c r="K316" s="36" t="str">
        <f aca="false">IF($B316="","",IF($C316="泓普",$C$2,IF($C316="仟茂",$E$2,IF($C316="现金",$G$2,0)))+SUMIFS($I$5:$I316,$C$5:$C316,$C316)-SUMIFS($J$5:$J316,$C$5:$C316,$C316))</f>
        <v/>
      </c>
      <c r="L316" s="36" t="str">
        <f aca="false">IF($B316="","",$C$2+$E$2+$G$2+SUM($I$5:$I316)-SUM($J$5:$J316))</f>
        <v/>
      </c>
      <c r="M316" s="24"/>
      <c r="N316" s="33" t="str">
        <f aca="false">IF($B316="","",IF(NOT(ISNUMBER($B316)),"日期格式不对",IF($C316="","未选资金账户",IF(AND(N($I316)=0,N($J316)=0),"收支都为空",IF(AND(N($I316)&gt;0,N($J316)&gt;0),"收支不能同时填",IF(AND($D316&lt;&gt;"",LEFT($O316,1)="⚠"),"项目编号不存在",IF(AND($M316="是",$F316=""),"工程回款必须填往来单位","√")))))))</f>
        <v/>
      </c>
      <c r="O316" s="34" t="str">
        <f aca="false">IF($D316="","",IFERROR(INDEX(项目档案!$B$6:$B$255,MATCH($D316,项目档案!$A$6:$A$255,0)),"⚠编号不存在"))</f>
        <v/>
      </c>
      <c r="P316" s="35" t="str">
        <f aca="false">IF($B316="","",TEXT($B316,"yyyy-mm"))</f>
        <v/>
      </c>
    </row>
    <row r="317" customFormat="false" ht="15.75" hidden="false" customHeight="true" outlineLevel="0" collapsed="false">
      <c r="A317" s="32" t="str">
        <f aca="false">IF($B317="","",ROW()-4)</f>
        <v/>
      </c>
      <c r="B317" s="26"/>
      <c r="C317" s="21"/>
      <c r="D317" s="24"/>
      <c r="E317" s="21"/>
      <c r="F317" s="24"/>
      <c r="G317" s="21"/>
      <c r="H317" s="22"/>
      <c r="I317" s="27"/>
      <c r="J317" s="27"/>
      <c r="K317" s="36" t="str">
        <f aca="false">IF($B317="","",IF($C317="泓普",$C$2,IF($C317="仟茂",$E$2,IF($C317="现金",$G$2,0)))+SUMIFS($I$5:$I317,$C$5:$C317,$C317)-SUMIFS($J$5:$J317,$C$5:$C317,$C317))</f>
        <v/>
      </c>
      <c r="L317" s="36" t="str">
        <f aca="false">IF($B317="","",$C$2+$E$2+$G$2+SUM($I$5:$I317)-SUM($J$5:$J317))</f>
        <v/>
      </c>
      <c r="M317" s="24"/>
      <c r="N317" s="33" t="str">
        <f aca="false">IF($B317="","",IF(NOT(ISNUMBER($B317)),"日期格式不对",IF($C317="","未选资金账户",IF(AND(N($I317)=0,N($J317)=0),"收支都为空",IF(AND(N($I317)&gt;0,N($J317)&gt;0),"收支不能同时填",IF(AND($D317&lt;&gt;"",LEFT($O317,1)="⚠"),"项目编号不存在",IF(AND($M317="是",$F317=""),"工程回款必须填往来单位","√")))))))</f>
        <v/>
      </c>
      <c r="O317" s="34" t="str">
        <f aca="false">IF($D317="","",IFERROR(INDEX(项目档案!$B$6:$B$255,MATCH($D317,项目档案!$A$6:$A$255,0)),"⚠编号不存在"))</f>
        <v/>
      </c>
      <c r="P317" s="35" t="str">
        <f aca="false">IF($B317="","",TEXT($B317,"yyyy-mm"))</f>
        <v/>
      </c>
    </row>
    <row r="318" customFormat="false" ht="15.75" hidden="false" customHeight="true" outlineLevel="0" collapsed="false">
      <c r="A318" s="32" t="str">
        <f aca="false">IF($B318="","",ROW()-4)</f>
        <v/>
      </c>
      <c r="B318" s="26"/>
      <c r="C318" s="21"/>
      <c r="D318" s="24"/>
      <c r="E318" s="21"/>
      <c r="F318" s="24"/>
      <c r="G318" s="21"/>
      <c r="H318" s="22"/>
      <c r="I318" s="27"/>
      <c r="J318" s="27"/>
      <c r="K318" s="36" t="str">
        <f aca="false">IF($B318="","",IF($C318="泓普",$C$2,IF($C318="仟茂",$E$2,IF($C318="现金",$G$2,0)))+SUMIFS($I$5:$I318,$C$5:$C318,$C318)-SUMIFS($J$5:$J318,$C$5:$C318,$C318))</f>
        <v/>
      </c>
      <c r="L318" s="36" t="str">
        <f aca="false">IF($B318="","",$C$2+$E$2+$G$2+SUM($I$5:$I318)-SUM($J$5:$J318))</f>
        <v/>
      </c>
      <c r="M318" s="24"/>
      <c r="N318" s="33" t="str">
        <f aca="false">IF($B318="","",IF(NOT(ISNUMBER($B318)),"日期格式不对",IF($C318="","未选资金账户",IF(AND(N($I318)=0,N($J318)=0),"收支都为空",IF(AND(N($I318)&gt;0,N($J318)&gt;0),"收支不能同时填",IF(AND($D318&lt;&gt;"",LEFT($O318,1)="⚠"),"项目编号不存在",IF(AND($M318="是",$F318=""),"工程回款必须填往来单位","√")))))))</f>
        <v/>
      </c>
      <c r="O318" s="34" t="str">
        <f aca="false">IF($D318="","",IFERROR(INDEX(项目档案!$B$6:$B$255,MATCH($D318,项目档案!$A$6:$A$255,0)),"⚠编号不存在"))</f>
        <v/>
      </c>
      <c r="P318" s="35" t="str">
        <f aca="false">IF($B318="","",TEXT($B318,"yyyy-mm"))</f>
        <v/>
      </c>
    </row>
    <row r="319" customFormat="false" ht="15.75" hidden="false" customHeight="true" outlineLevel="0" collapsed="false">
      <c r="A319" s="32" t="str">
        <f aca="false">IF($B319="","",ROW()-4)</f>
        <v/>
      </c>
      <c r="B319" s="26"/>
      <c r="C319" s="21"/>
      <c r="D319" s="24"/>
      <c r="E319" s="21"/>
      <c r="F319" s="24"/>
      <c r="G319" s="21"/>
      <c r="H319" s="22"/>
      <c r="I319" s="27"/>
      <c r="J319" s="27"/>
      <c r="K319" s="36" t="str">
        <f aca="false">IF($B319="","",IF($C319="泓普",$C$2,IF($C319="仟茂",$E$2,IF($C319="现金",$G$2,0)))+SUMIFS($I$5:$I319,$C$5:$C319,$C319)-SUMIFS($J$5:$J319,$C$5:$C319,$C319))</f>
        <v/>
      </c>
      <c r="L319" s="36" t="str">
        <f aca="false">IF($B319="","",$C$2+$E$2+$G$2+SUM($I$5:$I319)-SUM($J$5:$J319))</f>
        <v/>
      </c>
      <c r="M319" s="24"/>
      <c r="N319" s="33" t="str">
        <f aca="false">IF($B319="","",IF(NOT(ISNUMBER($B319)),"日期格式不对",IF($C319="","未选资金账户",IF(AND(N($I319)=0,N($J319)=0),"收支都为空",IF(AND(N($I319)&gt;0,N($J319)&gt;0),"收支不能同时填",IF(AND($D319&lt;&gt;"",LEFT($O319,1)="⚠"),"项目编号不存在",IF(AND($M319="是",$F319=""),"工程回款必须填往来单位","√")))))))</f>
        <v/>
      </c>
      <c r="O319" s="34" t="str">
        <f aca="false">IF($D319="","",IFERROR(INDEX(项目档案!$B$6:$B$255,MATCH($D319,项目档案!$A$6:$A$255,0)),"⚠编号不存在"))</f>
        <v/>
      </c>
      <c r="P319" s="35" t="str">
        <f aca="false">IF($B319="","",TEXT($B319,"yyyy-mm"))</f>
        <v/>
      </c>
    </row>
    <row r="320" customFormat="false" ht="15.75" hidden="false" customHeight="true" outlineLevel="0" collapsed="false">
      <c r="A320" s="32" t="str">
        <f aca="false">IF($B320="","",ROW()-4)</f>
        <v/>
      </c>
      <c r="B320" s="26"/>
      <c r="C320" s="21"/>
      <c r="D320" s="24"/>
      <c r="E320" s="21"/>
      <c r="F320" s="24"/>
      <c r="G320" s="21"/>
      <c r="H320" s="22"/>
      <c r="I320" s="27"/>
      <c r="J320" s="27"/>
      <c r="K320" s="36" t="str">
        <f aca="false">IF($B320="","",IF($C320="泓普",$C$2,IF($C320="仟茂",$E$2,IF($C320="现金",$G$2,0)))+SUMIFS($I$5:$I320,$C$5:$C320,$C320)-SUMIFS($J$5:$J320,$C$5:$C320,$C320))</f>
        <v/>
      </c>
      <c r="L320" s="36" t="str">
        <f aca="false">IF($B320="","",$C$2+$E$2+$G$2+SUM($I$5:$I320)-SUM($J$5:$J320))</f>
        <v/>
      </c>
      <c r="M320" s="24"/>
      <c r="N320" s="33" t="str">
        <f aca="false">IF($B320="","",IF(NOT(ISNUMBER($B320)),"日期格式不对",IF($C320="","未选资金账户",IF(AND(N($I320)=0,N($J320)=0),"收支都为空",IF(AND(N($I320)&gt;0,N($J320)&gt;0),"收支不能同时填",IF(AND($D320&lt;&gt;"",LEFT($O320,1)="⚠"),"项目编号不存在",IF(AND($M320="是",$F320=""),"工程回款必须填往来单位","√")))))))</f>
        <v/>
      </c>
      <c r="O320" s="34" t="str">
        <f aca="false">IF($D320="","",IFERROR(INDEX(项目档案!$B$6:$B$255,MATCH($D320,项目档案!$A$6:$A$255,0)),"⚠编号不存在"))</f>
        <v/>
      </c>
      <c r="P320" s="35" t="str">
        <f aca="false">IF($B320="","",TEXT($B320,"yyyy-mm"))</f>
        <v/>
      </c>
    </row>
    <row r="321" customFormat="false" ht="15.75" hidden="false" customHeight="true" outlineLevel="0" collapsed="false">
      <c r="A321" s="32" t="str">
        <f aca="false">IF($B321="","",ROW()-4)</f>
        <v/>
      </c>
      <c r="B321" s="26"/>
      <c r="C321" s="21"/>
      <c r="D321" s="24"/>
      <c r="E321" s="21"/>
      <c r="F321" s="24"/>
      <c r="G321" s="21"/>
      <c r="H321" s="22"/>
      <c r="I321" s="27"/>
      <c r="J321" s="27"/>
      <c r="K321" s="36" t="str">
        <f aca="false">IF($B321="","",IF($C321="泓普",$C$2,IF($C321="仟茂",$E$2,IF($C321="现金",$G$2,0)))+SUMIFS($I$5:$I321,$C$5:$C321,$C321)-SUMIFS($J$5:$J321,$C$5:$C321,$C321))</f>
        <v/>
      </c>
      <c r="L321" s="36" t="str">
        <f aca="false">IF($B321="","",$C$2+$E$2+$G$2+SUM($I$5:$I321)-SUM($J$5:$J321))</f>
        <v/>
      </c>
      <c r="M321" s="24"/>
      <c r="N321" s="33" t="str">
        <f aca="false">IF($B321="","",IF(NOT(ISNUMBER($B321)),"日期格式不对",IF($C321="","未选资金账户",IF(AND(N($I321)=0,N($J321)=0),"收支都为空",IF(AND(N($I321)&gt;0,N($J321)&gt;0),"收支不能同时填",IF(AND($D321&lt;&gt;"",LEFT($O321,1)="⚠"),"项目编号不存在",IF(AND($M321="是",$F321=""),"工程回款必须填往来单位","√")))))))</f>
        <v/>
      </c>
      <c r="O321" s="34" t="str">
        <f aca="false">IF($D321="","",IFERROR(INDEX(项目档案!$B$6:$B$255,MATCH($D321,项目档案!$A$6:$A$255,0)),"⚠编号不存在"))</f>
        <v/>
      </c>
      <c r="P321" s="35" t="str">
        <f aca="false">IF($B321="","",TEXT($B321,"yyyy-mm"))</f>
        <v/>
      </c>
    </row>
    <row r="322" customFormat="false" ht="15.75" hidden="false" customHeight="true" outlineLevel="0" collapsed="false">
      <c r="A322" s="32" t="str">
        <f aca="false">IF($B322="","",ROW()-4)</f>
        <v/>
      </c>
      <c r="B322" s="26"/>
      <c r="C322" s="21"/>
      <c r="D322" s="24"/>
      <c r="E322" s="21"/>
      <c r="F322" s="24"/>
      <c r="G322" s="21"/>
      <c r="H322" s="22"/>
      <c r="I322" s="27"/>
      <c r="J322" s="27"/>
      <c r="K322" s="36" t="str">
        <f aca="false">IF($B322="","",IF($C322="泓普",$C$2,IF($C322="仟茂",$E$2,IF($C322="现金",$G$2,0)))+SUMIFS($I$5:$I322,$C$5:$C322,$C322)-SUMIFS($J$5:$J322,$C$5:$C322,$C322))</f>
        <v/>
      </c>
      <c r="L322" s="36" t="str">
        <f aca="false">IF($B322="","",$C$2+$E$2+$G$2+SUM($I$5:$I322)-SUM($J$5:$J322))</f>
        <v/>
      </c>
      <c r="M322" s="24"/>
      <c r="N322" s="33" t="str">
        <f aca="false">IF($B322="","",IF(NOT(ISNUMBER($B322)),"日期格式不对",IF($C322="","未选资金账户",IF(AND(N($I322)=0,N($J322)=0),"收支都为空",IF(AND(N($I322)&gt;0,N($J322)&gt;0),"收支不能同时填",IF(AND($D322&lt;&gt;"",LEFT($O322,1)="⚠"),"项目编号不存在",IF(AND($M322="是",$F322=""),"工程回款必须填往来单位","√")))))))</f>
        <v/>
      </c>
      <c r="O322" s="34" t="str">
        <f aca="false">IF($D322="","",IFERROR(INDEX(项目档案!$B$6:$B$255,MATCH($D322,项目档案!$A$6:$A$255,0)),"⚠编号不存在"))</f>
        <v/>
      </c>
      <c r="P322" s="35" t="str">
        <f aca="false">IF($B322="","",TEXT($B322,"yyyy-mm"))</f>
        <v/>
      </c>
    </row>
    <row r="323" customFormat="false" ht="15.75" hidden="false" customHeight="true" outlineLevel="0" collapsed="false">
      <c r="A323" s="32" t="str">
        <f aca="false">IF($B323="","",ROW()-4)</f>
        <v/>
      </c>
      <c r="B323" s="26"/>
      <c r="C323" s="21"/>
      <c r="D323" s="24"/>
      <c r="E323" s="21"/>
      <c r="F323" s="24"/>
      <c r="G323" s="21"/>
      <c r="H323" s="22"/>
      <c r="I323" s="27"/>
      <c r="J323" s="27"/>
      <c r="K323" s="36" t="str">
        <f aca="false">IF($B323="","",IF($C323="泓普",$C$2,IF($C323="仟茂",$E$2,IF($C323="现金",$G$2,0)))+SUMIFS($I$5:$I323,$C$5:$C323,$C323)-SUMIFS($J$5:$J323,$C$5:$C323,$C323))</f>
        <v/>
      </c>
      <c r="L323" s="36" t="str">
        <f aca="false">IF($B323="","",$C$2+$E$2+$G$2+SUM($I$5:$I323)-SUM($J$5:$J323))</f>
        <v/>
      </c>
      <c r="M323" s="24"/>
      <c r="N323" s="33" t="str">
        <f aca="false">IF($B323="","",IF(NOT(ISNUMBER($B323)),"日期格式不对",IF($C323="","未选资金账户",IF(AND(N($I323)=0,N($J323)=0),"收支都为空",IF(AND(N($I323)&gt;0,N($J323)&gt;0),"收支不能同时填",IF(AND($D323&lt;&gt;"",LEFT($O323,1)="⚠"),"项目编号不存在",IF(AND($M323="是",$F323=""),"工程回款必须填往来单位","√")))))))</f>
        <v/>
      </c>
      <c r="O323" s="34" t="str">
        <f aca="false">IF($D323="","",IFERROR(INDEX(项目档案!$B$6:$B$255,MATCH($D323,项目档案!$A$6:$A$255,0)),"⚠编号不存在"))</f>
        <v/>
      </c>
      <c r="P323" s="35" t="str">
        <f aca="false">IF($B323="","",TEXT($B323,"yyyy-mm"))</f>
        <v/>
      </c>
    </row>
    <row r="324" customFormat="false" ht="15.75" hidden="false" customHeight="true" outlineLevel="0" collapsed="false">
      <c r="A324" s="32" t="str">
        <f aca="false">IF($B324="","",ROW()-4)</f>
        <v/>
      </c>
      <c r="B324" s="26"/>
      <c r="C324" s="21"/>
      <c r="D324" s="24"/>
      <c r="E324" s="21"/>
      <c r="F324" s="24"/>
      <c r="G324" s="21"/>
      <c r="H324" s="22"/>
      <c r="I324" s="27"/>
      <c r="J324" s="27"/>
      <c r="K324" s="36" t="str">
        <f aca="false">IF($B324="","",IF($C324="泓普",$C$2,IF($C324="仟茂",$E$2,IF($C324="现金",$G$2,0)))+SUMIFS($I$5:$I324,$C$5:$C324,$C324)-SUMIFS($J$5:$J324,$C$5:$C324,$C324))</f>
        <v/>
      </c>
      <c r="L324" s="36" t="str">
        <f aca="false">IF($B324="","",$C$2+$E$2+$G$2+SUM($I$5:$I324)-SUM($J$5:$J324))</f>
        <v/>
      </c>
      <c r="M324" s="24"/>
      <c r="N324" s="33" t="str">
        <f aca="false">IF($B324="","",IF(NOT(ISNUMBER($B324)),"日期格式不对",IF($C324="","未选资金账户",IF(AND(N($I324)=0,N($J324)=0),"收支都为空",IF(AND(N($I324)&gt;0,N($J324)&gt;0),"收支不能同时填",IF(AND($D324&lt;&gt;"",LEFT($O324,1)="⚠"),"项目编号不存在",IF(AND($M324="是",$F324=""),"工程回款必须填往来单位","√")))))))</f>
        <v/>
      </c>
      <c r="O324" s="34" t="str">
        <f aca="false">IF($D324="","",IFERROR(INDEX(项目档案!$B$6:$B$255,MATCH($D324,项目档案!$A$6:$A$255,0)),"⚠编号不存在"))</f>
        <v/>
      </c>
      <c r="P324" s="35" t="str">
        <f aca="false">IF($B324="","",TEXT($B324,"yyyy-mm"))</f>
        <v/>
      </c>
    </row>
    <row r="325" customFormat="false" ht="15.75" hidden="false" customHeight="true" outlineLevel="0" collapsed="false">
      <c r="A325" s="32" t="str">
        <f aca="false">IF($B325="","",ROW()-4)</f>
        <v/>
      </c>
      <c r="B325" s="26"/>
      <c r="C325" s="21"/>
      <c r="D325" s="24"/>
      <c r="E325" s="21"/>
      <c r="F325" s="24"/>
      <c r="G325" s="21"/>
      <c r="H325" s="22"/>
      <c r="I325" s="27"/>
      <c r="J325" s="27"/>
      <c r="K325" s="36" t="str">
        <f aca="false">IF($B325="","",IF($C325="泓普",$C$2,IF($C325="仟茂",$E$2,IF($C325="现金",$G$2,0)))+SUMIFS($I$5:$I325,$C$5:$C325,$C325)-SUMIFS($J$5:$J325,$C$5:$C325,$C325))</f>
        <v/>
      </c>
      <c r="L325" s="36" t="str">
        <f aca="false">IF($B325="","",$C$2+$E$2+$G$2+SUM($I$5:$I325)-SUM($J$5:$J325))</f>
        <v/>
      </c>
      <c r="M325" s="24"/>
      <c r="N325" s="33" t="str">
        <f aca="false">IF($B325="","",IF(NOT(ISNUMBER($B325)),"日期格式不对",IF($C325="","未选资金账户",IF(AND(N($I325)=0,N($J325)=0),"收支都为空",IF(AND(N($I325)&gt;0,N($J325)&gt;0),"收支不能同时填",IF(AND($D325&lt;&gt;"",LEFT($O325,1)="⚠"),"项目编号不存在",IF(AND($M325="是",$F325=""),"工程回款必须填往来单位","√")))))))</f>
        <v/>
      </c>
      <c r="O325" s="34" t="str">
        <f aca="false">IF($D325="","",IFERROR(INDEX(项目档案!$B$6:$B$255,MATCH($D325,项目档案!$A$6:$A$255,0)),"⚠编号不存在"))</f>
        <v/>
      </c>
      <c r="P325" s="35" t="str">
        <f aca="false">IF($B325="","",TEXT($B325,"yyyy-mm"))</f>
        <v/>
      </c>
    </row>
    <row r="326" customFormat="false" ht="15.75" hidden="false" customHeight="true" outlineLevel="0" collapsed="false">
      <c r="A326" s="32" t="str">
        <f aca="false">IF($B326="","",ROW()-4)</f>
        <v/>
      </c>
      <c r="B326" s="26"/>
      <c r="C326" s="21"/>
      <c r="D326" s="24"/>
      <c r="E326" s="21"/>
      <c r="F326" s="24"/>
      <c r="G326" s="21"/>
      <c r="H326" s="22"/>
      <c r="I326" s="27"/>
      <c r="J326" s="27"/>
      <c r="K326" s="36" t="str">
        <f aca="false">IF($B326="","",IF($C326="泓普",$C$2,IF($C326="仟茂",$E$2,IF($C326="现金",$G$2,0)))+SUMIFS($I$5:$I326,$C$5:$C326,$C326)-SUMIFS($J$5:$J326,$C$5:$C326,$C326))</f>
        <v/>
      </c>
      <c r="L326" s="36" t="str">
        <f aca="false">IF($B326="","",$C$2+$E$2+$G$2+SUM($I$5:$I326)-SUM($J$5:$J326))</f>
        <v/>
      </c>
      <c r="M326" s="24"/>
      <c r="N326" s="33" t="str">
        <f aca="false">IF($B326="","",IF(NOT(ISNUMBER($B326)),"日期格式不对",IF($C326="","未选资金账户",IF(AND(N($I326)=0,N($J326)=0),"收支都为空",IF(AND(N($I326)&gt;0,N($J326)&gt;0),"收支不能同时填",IF(AND($D326&lt;&gt;"",LEFT($O326,1)="⚠"),"项目编号不存在",IF(AND($M326="是",$F326=""),"工程回款必须填往来单位","√")))))))</f>
        <v/>
      </c>
      <c r="O326" s="34" t="str">
        <f aca="false">IF($D326="","",IFERROR(INDEX(项目档案!$B$6:$B$255,MATCH($D326,项目档案!$A$6:$A$255,0)),"⚠编号不存在"))</f>
        <v/>
      </c>
      <c r="P326" s="35" t="str">
        <f aca="false">IF($B326="","",TEXT($B326,"yyyy-mm"))</f>
        <v/>
      </c>
    </row>
    <row r="327" customFormat="false" ht="15.75" hidden="false" customHeight="true" outlineLevel="0" collapsed="false">
      <c r="A327" s="32" t="str">
        <f aca="false">IF($B327="","",ROW()-4)</f>
        <v/>
      </c>
      <c r="B327" s="26"/>
      <c r="C327" s="21"/>
      <c r="D327" s="24"/>
      <c r="E327" s="21"/>
      <c r="F327" s="24"/>
      <c r="G327" s="21"/>
      <c r="H327" s="22"/>
      <c r="I327" s="27"/>
      <c r="J327" s="27"/>
      <c r="K327" s="36" t="str">
        <f aca="false">IF($B327="","",IF($C327="泓普",$C$2,IF($C327="仟茂",$E$2,IF($C327="现金",$G$2,0)))+SUMIFS($I$5:$I327,$C$5:$C327,$C327)-SUMIFS($J$5:$J327,$C$5:$C327,$C327))</f>
        <v/>
      </c>
      <c r="L327" s="36" t="str">
        <f aca="false">IF($B327="","",$C$2+$E$2+$G$2+SUM($I$5:$I327)-SUM($J$5:$J327))</f>
        <v/>
      </c>
      <c r="M327" s="24"/>
      <c r="N327" s="33" t="str">
        <f aca="false">IF($B327="","",IF(NOT(ISNUMBER($B327)),"日期格式不对",IF($C327="","未选资金账户",IF(AND(N($I327)=0,N($J327)=0),"收支都为空",IF(AND(N($I327)&gt;0,N($J327)&gt;0),"收支不能同时填",IF(AND($D327&lt;&gt;"",LEFT($O327,1)="⚠"),"项目编号不存在",IF(AND($M327="是",$F327=""),"工程回款必须填往来单位","√")))))))</f>
        <v/>
      </c>
      <c r="O327" s="34" t="str">
        <f aca="false">IF($D327="","",IFERROR(INDEX(项目档案!$B$6:$B$255,MATCH($D327,项目档案!$A$6:$A$255,0)),"⚠编号不存在"))</f>
        <v/>
      </c>
      <c r="P327" s="35" t="str">
        <f aca="false">IF($B327="","",TEXT($B327,"yyyy-mm"))</f>
        <v/>
      </c>
    </row>
    <row r="328" customFormat="false" ht="15.75" hidden="false" customHeight="true" outlineLevel="0" collapsed="false">
      <c r="A328" s="32" t="str">
        <f aca="false">IF($B328="","",ROW()-4)</f>
        <v/>
      </c>
      <c r="B328" s="26"/>
      <c r="C328" s="21"/>
      <c r="D328" s="24"/>
      <c r="E328" s="21"/>
      <c r="F328" s="24"/>
      <c r="G328" s="21"/>
      <c r="H328" s="22"/>
      <c r="I328" s="27"/>
      <c r="J328" s="27"/>
      <c r="K328" s="36" t="str">
        <f aca="false">IF($B328="","",IF($C328="泓普",$C$2,IF($C328="仟茂",$E$2,IF($C328="现金",$G$2,0)))+SUMIFS($I$5:$I328,$C$5:$C328,$C328)-SUMIFS($J$5:$J328,$C$5:$C328,$C328))</f>
        <v/>
      </c>
      <c r="L328" s="36" t="str">
        <f aca="false">IF($B328="","",$C$2+$E$2+$G$2+SUM($I$5:$I328)-SUM($J$5:$J328))</f>
        <v/>
      </c>
      <c r="M328" s="24"/>
      <c r="N328" s="33" t="str">
        <f aca="false">IF($B328="","",IF(NOT(ISNUMBER($B328)),"日期格式不对",IF($C328="","未选资金账户",IF(AND(N($I328)=0,N($J328)=0),"收支都为空",IF(AND(N($I328)&gt;0,N($J328)&gt;0),"收支不能同时填",IF(AND($D328&lt;&gt;"",LEFT($O328,1)="⚠"),"项目编号不存在",IF(AND($M328="是",$F328=""),"工程回款必须填往来单位","√")))))))</f>
        <v/>
      </c>
      <c r="O328" s="34" t="str">
        <f aca="false">IF($D328="","",IFERROR(INDEX(项目档案!$B$6:$B$255,MATCH($D328,项目档案!$A$6:$A$255,0)),"⚠编号不存在"))</f>
        <v/>
      </c>
      <c r="P328" s="35" t="str">
        <f aca="false">IF($B328="","",TEXT($B328,"yyyy-mm"))</f>
        <v/>
      </c>
    </row>
    <row r="329" customFormat="false" ht="15.75" hidden="false" customHeight="true" outlineLevel="0" collapsed="false">
      <c r="A329" s="32" t="str">
        <f aca="false">IF($B329="","",ROW()-4)</f>
        <v/>
      </c>
      <c r="B329" s="26"/>
      <c r="C329" s="21"/>
      <c r="D329" s="24"/>
      <c r="E329" s="21"/>
      <c r="F329" s="24"/>
      <c r="G329" s="21"/>
      <c r="H329" s="22"/>
      <c r="I329" s="27"/>
      <c r="J329" s="27"/>
      <c r="K329" s="36" t="str">
        <f aca="false">IF($B329="","",IF($C329="泓普",$C$2,IF($C329="仟茂",$E$2,IF($C329="现金",$G$2,0)))+SUMIFS($I$5:$I329,$C$5:$C329,$C329)-SUMIFS($J$5:$J329,$C$5:$C329,$C329))</f>
        <v/>
      </c>
      <c r="L329" s="36" t="str">
        <f aca="false">IF($B329="","",$C$2+$E$2+$G$2+SUM($I$5:$I329)-SUM($J$5:$J329))</f>
        <v/>
      </c>
      <c r="M329" s="24"/>
      <c r="N329" s="33" t="str">
        <f aca="false">IF($B329="","",IF(NOT(ISNUMBER($B329)),"日期格式不对",IF($C329="","未选资金账户",IF(AND(N($I329)=0,N($J329)=0),"收支都为空",IF(AND(N($I329)&gt;0,N($J329)&gt;0),"收支不能同时填",IF(AND($D329&lt;&gt;"",LEFT($O329,1)="⚠"),"项目编号不存在",IF(AND($M329="是",$F329=""),"工程回款必须填往来单位","√")))))))</f>
        <v/>
      </c>
      <c r="O329" s="34" t="str">
        <f aca="false">IF($D329="","",IFERROR(INDEX(项目档案!$B$6:$B$255,MATCH($D329,项目档案!$A$6:$A$255,0)),"⚠编号不存在"))</f>
        <v/>
      </c>
      <c r="P329" s="35" t="str">
        <f aca="false">IF($B329="","",TEXT($B329,"yyyy-mm"))</f>
        <v/>
      </c>
    </row>
    <row r="330" customFormat="false" ht="15.75" hidden="false" customHeight="true" outlineLevel="0" collapsed="false">
      <c r="A330" s="32" t="str">
        <f aca="false">IF($B330="","",ROW()-4)</f>
        <v/>
      </c>
      <c r="B330" s="26"/>
      <c r="C330" s="21"/>
      <c r="D330" s="24"/>
      <c r="E330" s="21"/>
      <c r="F330" s="24"/>
      <c r="G330" s="21"/>
      <c r="H330" s="22"/>
      <c r="I330" s="27"/>
      <c r="J330" s="27"/>
      <c r="K330" s="36" t="str">
        <f aca="false">IF($B330="","",IF($C330="泓普",$C$2,IF($C330="仟茂",$E$2,IF($C330="现金",$G$2,0)))+SUMIFS($I$5:$I330,$C$5:$C330,$C330)-SUMIFS($J$5:$J330,$C$5:$C330,$C330))</f>
        <v/>
      </c>
      <c r="L330" s="36" t="str">
        <f aca="false">IF($B330="","",$C$2+$E$2+$G$2+SUM($I$5:$I330)-SUM($J$5:$J330))</f>
        <v/>
      </c>
      <c r="M330" s="24"/>
      <c r="N330" s="33" t="str">
        <f aca="false">IF($B330="","",IF(NOT(ISNUMBER($B330)),"日期格式不对",IF($C330="","未选资金账户",IF(AND(N($I330)=0,N($J330)=0),"收支都为空",IF(AND(N($I330)&gt;0,N($J330)&gt;0),"收支不能同时填",IF(AND($D330&lt;&gt;"",LEFT($O330,1)="⚠"),"项目编号不存在",IF(AND($M330="是",$F330=""),"工程回款必须填往来单位","√")))))))</f>
        <v/>
      </c>
      <c r="O330" s="34" t="str">
        <f aca="false">IF($D330="","",IFERROR(INDEX(项目档案!$B$6:$B$255,MATCH($D330,项目档案!$A$6:$A$255,0)),"⚠编号不存在"))</f>
        <v/>
      </c>
      <c r="P330" s="35" t="str">
        <f aca="false">IF($B330="","",TEXT($B330,"yyyy-mm"))</f>
        <v/>
      </c>
    </row>
    <row r="331" customFormat="false" ht="15.75" hidden="false" customHeight="true" outlineLevel="0" collapsed="false">
      <c r="A331" s="32" t="str">
        <f aca="false">IF($B331="","",ROW()-4)</f>
        <v/>
      </c>
      <c r="B331" s="26"/>
      <c r="C331" s="21"/>
      <c r="D331" s="24"/>
      <c r="E331" s="21"/>
      <c r="F331" s="24"/>
      <c r="G331" s="21"/>
      <c r="H331" s="22"/>
      <c r="I331" s="27"/>
      <c r="J331" s="27"/>
      <c r="K331" s="36" t="str">
        <f aca="false">IF($B331="","",IF($C331="泓普",$C$2,IF($C331="仟茂",$E$2,IF($C331="现金",$G$2,0)))+SUMIFS($I$5:$I331,$C$5:$C331,$C331)-SUMIFS($J$5:$J331,$C$5:$C331,$C331))</f>
        <v/>
      </c>
      <c r="L331" s="36" t="str">
        <f aca="false">IF($B331="","",$C$2+$E$2+$G$2+SUM($I$5:$I331)-SUM($J$5:$J331))</f>
        <v/>
      </c>
      <c r="M331" s="24"/>
      <c r="N331" s="33" t="str">
        <f aca="false">IF($B331="","",IF(NOT(ISNUMBER($B331)),"日期格式不对",IF($C331="","未选资金账户",IF(AND(N($I331)=0,N($J331)=0),"收支都为空",IF(AND(N($I331)&gt;0,N($J331)&gt;0),"收支不能同时填",IF(AND($D331&lt;&gt;"",LEFT($O331,1)="⚠"),"项目编号不存在",IF(AND($M331="是",$F331=""),"工程回款必须填往来单位","√")))))))</f>
        <v/>
      </c>
      <c r="O331" s="34" t="str">
        <f aca="false">IF($D331="","",IFERROR(INDEX(项目档案!$B$6:$B$255,MATCH($D331,项目档案!$A$6:$A$255,0)),"⚠编号不存在"))</f>
        <v/>
      </c>
      <c r="P331" s="35" t="str">
        <f aca="false">IF($B331="","",TEXT($B331,"yyyy-mm"))</f>
        <v/>
      </c>
    </row>
    <row r="332" customFormat="false" ht="15.75" hidden="false" customHeight="true" outlineLevel="0" collapsed="false">
      <c r="A332" s="32" t="str">
        <f aca="false">IF($B332="","",ROW()-4)</f>
        <v/>
      </c>
      <c r="B332" s="26"/>
      <c r="C332" s="21"/>
      <c r="D332" s="24"/>
      <c r="E332" s="21"/>
      <c r="F332" s="24"/>
      <c r="G332" s="21"/>
      <c r="H332" s="22"/>
      <c r="I332" s="27"/>
      <c r="J332" s="27"/>
      <c r="K332" s="36" t="str">
        <f aca="false">IF($B332="","",IF($C332="泓普",$C$2,IF($C332="仟茂",$E$2,IF($C332="现金",$G$2,0)))+SUMIFS($I$5:$I332,$C$5:$C332,$C332)-SUMIFS($J$5:$J332,$C$5:$C332,$C332))</f>
        <v/>
      </c>
      <c r="L332" s="36" t="str">
        <f aca="false">IF($B332="","",$C$2+$E$2+$G$2+SUM($I$5:$I332)-SUM($J$5:$J332))</f>
        <v/>
      </c>
      <c r="M332" s="24"/>
      <c r="N332" s="33" t="str">
        <f aca="false">IF($B332="","",IF(NOT(ISNUMBER($B332)),"日期格式不对",IF($C332="","未选资金账户",IF(AND(N($I332)=0,N($J332)=0),"收支都为空",IF(AND(N($I332)&gt;0,N($J332)&gt;0),"收支不能同时填",IF(AND($D332&lt;&gt;"",LEFT($O332,1)="⚠"),"项目编号不存在",IF(AND($M332="是",$F332=""),"工程回款必须填往来单位","√")))))))</f>
        <v/>
      </c>
      <c r="O332" s="34" t="str">
        <f aca="false">IF($D332="","",IFERROR(INDEX(项目档案!$B$6:$B$255,MATCH($D332,项目档案!$A$6:$A$255,0)),"⚠编号不存在"))</f>
        <v/>
      </c>
      <c r="P332" s="35" t="str">
        <f aca="false">IF($B332="","",TEXT($B332,"yyyy-mm"))</f>
        <v/>
      </c>
    </row>
    <row r="333" customFormat="false" ht="15.75" hidden="false" customHeight="true" outlineLevel="0" collapsed="false">
      <c r="A333" s="32" t="str">
        <f aca="false">IF($B333="","",ROW()-4)</f>
        <v/>
      </c>
      <c r="B333" s="26"/>
      <c r="C333" s="21"/>
      <c r="D333" s="24"/>
      <c r="E333" s="21"/>
      <c r="F333" s="24"/>
      <c r="G333" s="21"/>
      <c r="H333" s="22"/>
      <c r="I333" s="27"/>
      <c r="J333" s="27"/>
      <c r="K333" s="36" t="str">
        <f aca="false">IF($B333="","",IF($C333="泓普",$C$2,IF($C333="仟茂",$E$2,IF($C333="现金",$G$2,0)))+SUMIFS($I$5:$I333,$C$5:$C333,$C333)-SUMIFS($J$5:$J333,$C$5:$C333,$C333))</f>
        <v/>
      </c>
      <c r="L333" s="36" t="str">
        <f aca="false">IF($B333="","",$C$2+$E$2+$G$2+SUM($I$5:$I333)-SUM($J$5:$J333))</f>
        <v/>
      </c>
      <c r="M333" s="24"/>
      <c r="N333" s="33" t="str">
        <f aca="false">IF($B333="","",IF(NOT(ISNUMBER($B333)),"日期格式不对",IF($C333="","未选资金账户",IF(AND(N($I333)=0,N($J333)=0),"收支都为空",IF(AND(N($I333)&gt;0,N($J333)&gt;0),"收支不能同时填",IF(AND($D333&lt;&gt;"",LEFT($O333,1)="⚠"),"项目编号不存在",IF(AND($M333="是",$F333=""),"工程回款必须填往来单位","√")))))))</f>
        <v/>
      </c>
      <c r="O333" s="34" t="str">
        <f aca="false">IF($D333="","",IFERROR(INDEX(项目档案!$B$6:$B$255,MATCH($D333,项目档案!$A$6:$A$255,0)),"⚠编号不存在"))</f>
        <v/>
      </c>
      <c r="P333" s="35" t="str">
        <f aca="false">IF($B333="","",TEXT($B333,"yyyy-mm"))</f>
        <v/>
      </c>
    </row>
    <row r="334" customFormat="false" ht="15.75" hidden="false" customHeight="true" outlineLevel="0" collapsed="false">
      <c r="A334" s="32" t="str">
        <f aca="false">IF($B334="","",ROW()-4)</f>
        <v/>
      </c>
      <c r="B334" s="26"/>
      <c r="C334" s="21"/>
      <c r="D334" s="24"/>
      <c r="E334" s="21"/>
      <c r="F334" s="24"/>
      <c r="G334" s="21"/>
      <c r="H334" s="22"/>
      <c r="I334" s="27"/>
      <c r="J334" s="27"/>
      <c r="K334" s="36" t="str">
        <f aca="false">IF($B334="","",IF($C334="泓普",$C$2,IF($C334="仟茂",$E$2,IF($C334="现金",$G$2,0)))+SUMIFS($I$5:$I334,$C$5:$C334,$C334)-SUMIFS($J$5:$J334,$C$5:$C334,$C334))</f>
        <v/>
      </c>
      <c r="L334" s="36" t="str">
        <f aca="false">IF($B334="","",$C$2+$E$2+$G$2+SUM($I$5:$I334)-SUM($J$5:$J334))</f>
        <v/>
      </c>
      <c r="M334" s="24"/>
      <c r="N334" s="33" t="str">
        <f aca="false">IF($B334="","",IF(NOT(ISNUMBER($B334)),"日期格式不对",IF($C334="","未选资金账户",IF(AND(N($I334)=0,N($J334)=0),"收支都为空",IF(AND(N($I334)&gt;0,N($J334)&gt;0),"收支不能同时填",IF(AND($D334&lt;&gt;"",LEFT($O334,1)="⚠"),"项目编号不存在",IF(AND($M334="是",$F334=""),"工程回款必须填往来单位","√")))))))</f>
        <v/>
      </c>
      <c r="O334" s="34" t="str">
        <f aca="false">IF($D334="","",IFERROR(INDEX(项目档案!$B$6:$B$255,MATCH($D334,项目档案!$A$6:$A$255,0)),"⚠编号不存在"))</f>
        <v/>
      </c>
      <c r="P334" s="35" t="str">
        <f aca="false">IF($B334="","",TEXT($B334,"yyyy-mm"))</f>
        <v/>
      </c>
    </row>
    <row r="335" customFormat="false" ht="15.75" hidden="false" customHeight="true" outlineLevel="0" collapsed="false">
      <c r="A335" s="32" t="str">
        <f aca="false">IF($B335="","",ROW()-4)</f>
        <v/>
      </c>
      <c r="B335" s="26"/>
      <c r="C335" s="21"/>
      <c r="D335" s="24"/>
      <c r="E335" s="21"/>
      <c r="F335" s="24"/>
      <c r="G335" s="21"/>
      <c r="H335" s="22"/>
      <c r="I335" s="27"/>
      <c r="J335" s="27"/>
      <c r="K335" s="36" t="str">
        <f aca="false">IF($B335="","",IF($C335="泓普",$C$2,IF($C335="仟茂",$E$2,IF($C335="现金",$G$2,0)))+SUMIFS($I$5:$I335,$C$5:$C335,$C335)-SUMIFS($J$5:$J335,$C$5:$C335,$C335))</f>
        <v/>
      </c>
      <c r="L335" s="36" t="str">
        <f aca="false">IF($B335="","",$C$2+$E$2+$G$2+SUM($I$5:$I335)-SUM($J$5:$J335))</f>
        <v/>
      </c>
      <c r="M335" s="24"/>
      <c r="N335" s="33" t="str">
        <f aca="false">IF($B335="","",IF(NOT(ISNUMBER($B335)),"日期格式不对",IF($C335="","未选资金账户",IF(AND(N($I335)=0,N($J335)=0),"收支都为空",IF(AND(N($I335)&gt;0,N($J335)&gt;0),"收支不能同时填",IF(AND($D335&lt;&gt;"",LEFT($O335,1)="⚠"),"项目编号不存在",IF(AND($M335="是",$F335=""),"工程回款必须填往来单位","√")))))))</f>
        <v/>
      </c>
      <c r="O335" s="34" t="str">
        <f aca="false">IF($D335="","",IFERROR(INDEX(项目档案!$B$6:$B$255,MATCH($D335,项目档案!$A$6:$A$255,0)),"⚠编号不存在"))</f>
        <v/>
      </c>
      <c r="P335" s="35" t="str">
        <f aca="false">IF($B335="","",TEXT($B335,"yyyy-mm"))</f>
        <v/>
      </c>
    </row>
    <row r="336" customFormat="false" ht="15.75" hidden="false" customHeight="true" outlineLevel="0" collapsed="false">
      <c r="A336" s="32" t="str">
        <f aca="false">IF($B336="","",ROW()-4)</f>
        <v/>
      </c>
      <c r="B336" s="26"/>
      <c r="C336" s="21"/>
      <c r="D336" s="24"/>
      <c r="E336" s="21"/>
      <c r="F336" s="24"/>
      <c r="G336" s="21"/>
      <c r="H336" s="22"/>
      <c r="I336" s="27"/>
      <c r="J336" s="27"/>
      <c r="K336" s="36" t="str">
        <f aca="false">IF($B336="","",IF($C336="泓普",$C$2,IF($C336="仟茂",$E$2,IF($C336="现金",$G$2,0)))+SUMIFS($I$5:$I336,$C$5:$C336,$C336)-SUMIFS($J$5:$J336,$C$5:$C336,$C336))</f>
        <v/>
      </c>
      <c r="L336" s="36" t="str">
        <f aca="false">IF($B336="","",$C$2+$E$2+$G$2+SUM($I$5:$I336)-SUM($J$5:$J336))</f>
        <v/>
      </c>
      <c r="M336" s="24"/>
      <c r="N336" s="33" t="str">
        <f aca="false">IF($B336="","",IF(NOT(ISNUMBER($B336)),"日期格式不对",IF($C336="","未选资金账户",IF(AND(N($I336)=0,N($J336)=0),"收支都为空",IF(AND(N($I336)&gt;0,N($J336)&gt;0),"收支不能同时填",IF(AND($D336&lt;&gt;"",LEFT($O336,1)="⚠"),"项目编号不存在",IF(AND($M336="是",$F336=""),"工程回款必须填往来单位","√")))))))</f>
        <v/>
      </c>
      <c r="O336" s="34" t="str">
        <f aca="false">IF($D336="","",IFERROR(INDEX(项目档案!$B$6:$B$255,MATCH($D336,项目档案!$A$6:$A$255,0)),"⚠编号不存在"))</f>
        <v/>
      </c>
      <c r="P336" s="35" t="str">
        <f aca="false">IF($B336="","",TEXT($B336,"yyyy-mm"))</f>
        <v/>
      </c>
    </row>
    <row r="337" customFormat="false" ht="15.75" hidden="false" customHeight="true" outlineLevel="0" collapsed="false">
      <c r="A337" s="32" t="str">
        <f aca="false">IF($B337="","",ROW()-4)</f>
        <v/>
      </c>
      <c r="B337" s="26"/>
      <c r="C337" s="21"/>
      <c r="D337" s="24"/>
      <c r="E337" s="21"/>
      <c r="F337" s="24"/>
      <c r="G337" s="21"/>
      <c r="H337" s="22"/>
      <c r="I337" s="27"/>
      <c r="J337" s="27"/>
      <c r="K337" s="36" t="str">
        <f aca="false">IF($B337="","",IF($C337="泓普",$C$2,IF($C337="仟茂",$E$2,IF($C337="现金",$G$2,0)))+SUMIFS($I$5:$I337,$C$5:$C337,$C337)-SUMIFS($J$5:$J337,$C$5:$C337,$C337))</f>
        <v/>
      </c>
      <c r="L337" s="36" t="str">
        <f aca="false">IF($B337="","",$C$2+$E$2+$G$2+SUM($I$5:$I337)-SUM($J$5:$J337))</f>
        <v/>
      </c>
      <c r="M337" s="24"/>
      <c r="N337" s="33" t="str">
        <f aca="false">IF($B337="","",IF(NOT(ISNUMBER($B337)),"日期格式不对",IF($C337="","未选资金账户",IF(AND(N($I337)=0,N($J337)=0),"收支都为空",IF(AND(N($I337)&gt;0,N($J337)&gt;0),"收支不能同时填",IF(AND($D337&lt;&gt;"",LEFT($O337,1)="⚠"),"项目编号不存在",IF(AND($M337="是",$F337=""),"工程回款必须填往来单位","√")))))))</f>
        <v/>
      </c>
      <c r="O337" s="34" t="str">
        <f aca="false">IF($D337="","",IFERROR(INDEX(项目档案!$B$6:$B$255,MATCH($D337,项目档案!$A$6:$A$255,0)),"⚠编号不存在"))</f>
        <v/>
      </c>
      <c r="P337" s="35" t="str">
        <f aca="false">IF($B337="","",TEXT($B337,"yyyy-mm"))</f>
        <v/>
      </c>
    </row>
    <row r="338" customFormat="false" ht="15.75" hidden="false" customHeight="true" outlineLevel="0" collapsed="false">
      <c r="A338" s="32" t="str">
        <f aca="false">IF($B338="","",ROW()-4)</f>
        <v/>
      </c>
      <c r="B338" s="26"/>
      <c r="C338" s="21"/>
      <c r="D338" s="24"/>
      <c r="E338" s="21"/>
      <c r="F338" s="24"/>
      <c r="G338" s="21"/>
      <c r="H338" s="22"/>
      <c r="I338" s="27"/>
      <c r="J338" s="27"/>
      <c r="K338" s="36" t="str">
        <f aca="false">IF($B338="","",IF($C338="泓普",$C$2,IF($C338="仟茂",$E$2,IF($C338="现金",$G$2,0)))+SUMIFS($I$5:$I338,$C$5:$C338,$C338)-SUMIFS($J$5:$J338,$C$5:$C338,$C338))</f>
        <v/>
      </c>
      <c r="L338" s="36" t="str">
        <f aca="false">IF($B338="","",$C$2+$E$2+$G$2+SUM($I$5:$I338)-SUM($J$5:$J338))</f>
        <v/>
      </c>
      <c r="M338" s="24"/>
      <c r="N338" s="33" t="str">
        <f aca="false">IF($B338="","",IF(NOT(ISNUMBER($B338)),"日期格式不对",IF($C338="","未选资金账户",IF(AND(N($I338)=0,N($J338)=0),"收支都为空",IF(AND(N($I338)&gt;0,N($J338)&gt;0),"收支不能同时填",IF(AND($D338&lt;&gt;"",LEFT($O338,1)="⚠"),"项目编号不存在",IF(AND($M338="是",$F338=""),"工程回款必须填往来单位","√")))))))</f>
        <v/>
      </c>
      <c r="O338" s="34" t="str">
        <f aca="false">IF($D338="","",IFERROR(INDEX(项目档案!$B$6:$B$255,MATCH($D338,项目档案!$A$6:$A$255,0)),"⚠编号不存在"))</f>
        <v/>
      </c>
      <c r="P338" s="35" t="str">
        <f aca="false">IF($B338="","",TEXT($B338,"yyyy-mm"))</f>
        <v/>
      </c>
    </row>
    <row r="339" customFormat="false" ht="15.75" hidden="false" customHeight="true" outlineLevel="0" collapsed="false">
      <c r="A339" s="32" t="str">
        <f aca="false">IF($B339="","",ROW()-4)</f>
        <v/>
      </c>
      <c r="B339" s="26"/>
      <c r="C339" s="21"/>
      <c r="D339" s="24"/>
      <c r="E339" s="21"/>
      <c r="F339" s="24"/>
      <c r="G339" s="21"/>
      <c r="H339" s="22"/>
      <c r="I339" s="27"/>
      <c r="J339" s="27"/>
      <c r="K339" s="36" t="str">
        <f aca="false">IF($B339="","",IF($C339="泓普",$C$2,IF($C339="仟茂",$E$2,IF($C339="现金",$G$2,0)))+SUMIFS($I$5:$I339,$C$5:$C339,$C339)-SUMIFS($J$5:$J339,$C$5:$C339,$C339))</f>
        <v/>
      </c>
      <c r="L339" s="36" t="str">
        <f aca="false">IF($B339="","",$C$2+$E$2+$G$2+SUM($I$5:$I339)-SUM($J$5:$J339))</f>
        <v/>
      </c>
      <c r="M339" s="24"/>
      <c r="N339" s="33" t="str">
        <f aca="false">IF($B339="","",IF(NOT(ISNUMBER($B339)),"日期格式不对",IF($C339="","未选资金账户",IF(AND(N($I339)=0,N($J339)=0),"收支都为空",IF(AND(N($I339)&gt;0,N($J339)&gt;0),"收支不能同时填",IF(AND($D339&lt;&gt;"",LEFT($O339,1)="⚠"),"项目编号不存在",IF(AND($M339="是",$F339=""),"工程回款必须填往来单位","√")))))))</f>
        <v/>
      </c>
      <c r="O339" s="34" t="str">
        <f aca="false">IF($D339="","",IFERROR(INDEX(项目档案!$B$6:$B$255,MATCH($D339,项目档案!$A$6:$A$255,0)),"⚠编号不存在"))</f>
        <v/>
      </c>
      <c r="P339" s="35" t="str">
        <f aca="false">IF($B339="","",TEXT($B339,"yyyy-mm"))</f>
        <v/>
      </c>
    </row>
    <row r="340" customFormat="false" ht="15.75" hidden="false" customHeight="true" outlineLevel="0" collapsed="false">
      <c r="A340" s="32" t="str">
        <f aca="false">IF($B340="","",ROW()-4)</f>
        <v/>
      </c>
      <c r="B340" s="26"/>
      <c r="C340" s="21"/>
      <c r="D340" s="24"/>
      <c r="E340" s="21"/>
      <c r="F340" s="24"/>
      <c r="G340" s="21"/>
      <c r="H340" s="22"/>
      <c r="I340" s="27"/>
      <c r="J340" s="27"/>
      <c r="K340" s="36" t="str">
        <f aca="false">IF($B340="","",IF($C340="泓普",$C$2,IF($C340="仟茂",$E$2,IF($C340="现金",$G$2,0)))+SUMIFS($I$5:$I340,$C$5:$C340,$C340)-SUMIFS($J$5:$J340,$C$5:$C340,$C340))</f>
        <v/>
      </c>
      <c r="L340" s="36" t="str">
        <f aca="false">IF($B340="","",$C$2+$E$2+$G$2+SUM($I$5:$I340)-SUM($J$5:$J340))</f>
        <v/>
      </c>
      <c r="M340" s="24"/>
      <c r="N340" s="33" t="str">
        <f aca="false">IF($B340="","",IF(NOT(ISNUMBER($B340)),"日期格式不对",IF($C340="","未选资金账户",IF(AND(N($I340)=0,N($J340)=0),"收支都为空",IF(AND(N($I340)&gt;0,N($J340)&gt;0),"收支不能同时填",IF(AND($D340&lt;&gt;"",LEFT($O340,1)="⚠"),"项目编号不存在",IF(AND($M340="是",$F340=""),"工程回款必须填往来单位","√")))))))</f>
        <v/>
      </c>
      <c r="O340" s="34" t="str">
        <f aca="false">IF($D340="","",IFERROR(INDEX(项目档案!$B$6:$B$255,MATCH($D340,项目档案!$A$6:$A$255,0)),"⚠编号不存在"))</f>
        <v/>
      </c>
      <c r="P340" s="35" t="str">
        <f aca="false">IF($B340="","",TEXT($B340,"yyyy-mm"))</f>
        <v/>
      </c>
    </row>
    <row r="341" customFormat="false" ht="15.75" hidden="false" customHeight="true" outlineLevel="0" collapsed="false">
      <c r="A341" s="32" t="str">
        <f aca="false">IF($B341="","",ROW()-4)</f>
        <v/>
      </c>
      <c r="B341" s="26"/>
      <c r="C341" s="21"/>
      <c r="D341" s="24"/>
      <c r="E341" s="21"/>
      <c r="F341" s="24"/>
      <c r="G341" s="21"/>
      <c r="H341" s="22"/>
      <c r="I341" s="27"/>
      <c r="J341" s="27"/>
      <c r="K341" s="36" t="str">
        <f aca="false">IF($B341="","",IF($C341="泓普",$C$2,IF($C341="仟茂",$E$2,IF($C341="现金",$G$2,0)))+SUMIFS($I$5:$I341,$C$5:$C341,$C341)-SUMIFS($J$5:$J341,$C$5:$C341,$C341))</f>
        <v/>
      </c>
      <c r="L341" s="36" t="str">
        <f aca="false">IF($B341="","",$C$2+$E$2+$G$2+SUM($I$5:$I341)-SUM($J$5:$J341))</f>
        <v/>
      </c>
      <c r="M341" s="24"/>
      <c r="N341" s="33" t="str">
        <f aca="false">IF($B341="","",IF(NOT(ISNUMBER($B341)),"日期格式不对",IF($C341="","未选资金账户",IF(AND(N($I341)=0,N($J341)=0),"收支都为空",IF(AND(N($I341)&gt;0,N($J341)&gt;0),"收支不能同时填",IF(AND($D341&lt;&gt;"",LEFT($O341,1)="⚠"),"项目编号不存在",IF(AND($M341="是",$F341=""),"工程回款必须填往来单位","√")))))))</f>
        <v/>
      </c>
      <c r="O341" s="34" t="str">
        <f aca="false">IF($D341="","",IFERROR(INDEX(项目档案!$B$6:$B$255,MATCH($D341,项目档案!$A$6:$A$255,0)),"⚠编号不存在"))</f>
        <v/>
      </c>
      <c r="P341" s="35" t="str">
        <f aca="false">IF($B341="","",TEXT($B341,"yyyy-mm"))</f>
        <v/>
      </c>
    </row>
    <row r="342" customFormat="false" ht="15.75" hidden="false" customHeight="true" outlineLevel="0" collapsed="false">
      <c r="A342" s="32" t="str">
        <f aca="false">IF($B342="","",ROW()-4)</f>
        <v/>
      </c>
      <c r="B342" s="26"/>
      <c r="C342" s="21"/>
      <c r="D342" s="24"/>
      <c r="E342" s="21"/>
      <c r="F342" s="24"/>
      <c r="G342" s="21"/>
      <c r="H342" s="22"/>
      <c r="I342" s="27"/>
      <c r="J342" s="27"/>
      <c r="K342" s="36" t="str">
        <f aca="false">IF($B342="","",IF($C342="泓普",$C$2,IF($C342="仟茂",$E$2,IF($C342="现金",$G$2,0)))+SUMIFS($I$5:$I342,$C$5:$C342,$C342)-SUMIFS($J$5:$J342,$C$5:$C342,$C342))</f>
        <v/>
      </c>
      <c r="L342" s="36" t="str">
        <f aca="false">IF($B342="","",$C$2+$E$2+$G$2+SUM($I$5:$I342)-SUM($J$5:$J342))</f>
        <v/>
      </c>
      <c r="M342" s="24"/>
      <c r="N342" s="33" t="str">
        <f aca="false">IF($B342="","",IF(NOT(ISNUMBER($B342)),"日期格式不对",IF($C342="","未选资金账户",IF(AND(N($I342)=0,N($J342)=0),"收支都为空",IF(AND(N($I342)&gt;0,N($J342)&gt;0),"收支不能同时填",IF(AND($D342&lt;&gt;"",LEFT($O342,1)="⚠"),"项目编号不存在",IF(AND($M342="是",$F342=""),"工程回款必须填往来单位","√")))))))</f>
        <v/>
      </c>
      <c r="O342" s="34" t="str">
        <f aca="false">IF($D342="","",IFERROR(INDEX(项目档案!$B$6:$B$255,MATCH($D342,项目档案!$A$6:$A$255,0)),"⚠编号不存在"))</f>
        <v/>
      </c>
      <c r="P342" s="35" t="str">
        <f aca="false">IF($B342="","",TEXT($B342,"yyyy-mm"))</f>
        <v/>
      </c>
    </row>
    <row r="343" customFormat="false" ht="15.75" hidden="false" customHeight="true" outlineLevel="0" collapsed="false">
      <c r="A343" s="32" t="str">
        <f aca="false">IF($B343="","",ROW()-4)</f>
        <v/>
      </c>
      <c r="B343" s="26"/>
      <c r="C343" s="21"/>
      <c r="D343" s="24"/>
      <c r="E343" s="21"/>
      <c r="F343" s="24"/>
      <c r="G343" s="21"/>
      <c r="H343" s="22"/>
      <c r="I343" s="27"/>
      <c r="J343" s="27"/>
      <c r="K343" s="36" t="str">
        <f aca="false">IF($B343="","",IF($C343="泓普",$C$2,IF($C343="仟茂",$E$2,IF($C343="现金",$G$2,0)))+SUMIFS($I$5:$I343,$C$5:$C343,$C343)-SUMIFS($J$5:$J343,$C$5:$C343,$C343))</f>
        <v/>
      </c>
      <c r="L343" s="36" t="str">
        <f aca="false">IF($B343="","",$C$2+$E$2+$G$2+SUM($I$5:$I343)-SUM($J$5:$J343))</f>
        <v/>
      </c>
      <c r="M343" s="24"/>
      <c r="N343" s="33" t="str">
        <f aca="false">IF($B343="","",IF(NOT(ISNUMBER($B343)),"日期格式不对",IF($C343="","未选资金账户",IF(AND(N($I343)=0,N($J343)=0),"收支都为空",IF(AND(N($I343)&gt;0,N($J343)&gt;0),"收支不能同时填",IF(AND($D343&lt;&gt;"",LEFT($O343,1)="⚠"),"项目编号不存在",IF(AND($M343="是",$F343=""),"工程回款必须填往来单位","√")))))))</f>
        <v/>
      </c>
      <c r="O343" s="34" t="str">
        <f aca="false">IF($D343="","",IFERROR(INDEX(项目档案!$B$6:$B$255,MATCH($D343,项目档案!$A$6:$A$255,0)),"⚠编号不存在"))</f>
        <v/>
      </c>
      <c r="P343" s="35" t="str">
        <f aca="false">IF($B343="","",TEXT($B343,"yyyy-mm"))</f>
        <v/>
      </c>
    </row>
    <row r="344" customFormat="false" ht="15.75" hidden="false" customHeight="true" outlineLevel="0" collapsed="false">
      <c r="A344" s="32" t="str">
        <f aca="false">IF($B344="","",ROW()-4)</f>
        <v/>
      </c>
      <c r="B344" s="26"/>
      <c r="C344" s="21"/>
      <c r="D344" s="24"/>
      <c r="E344" s="21"/>
      <c r="F344" s="24"/>
      <c r="G344" s="21"/>
      <c r="H344" s="22"/>
      <c r="I344" s="27"/>
      <c r="J344" s="27"/>
      <c r="K344" s="36" t="str">
        <f aca="false">IF($B344="","",IF($C344="泓普",$C$2,IF($C344="仟茂",$E$2,IF($C344="现金",$G$2,0)))+SUMIFS($I$5:$I344,$C$5:$C344,$C344)-SUMIFS($J$5:$J344,$C$5:$C344,$C344))</f>
        <v/>
      </c>
      <c r="L344" s="36" t="str">
        <f aca="false">IF($B344="","",$C$2+$E$2+$G$2+SUM($I$5:$I344)-SUM($J$5:$J344))</f>
        <v/>
      </c>
      <c r="M344" s="24"/>
      <c r="N344" s="33" t="str">
        <f aca="false">IF($B344="","",IF(NOT(ISNUMBER($B344)),"日期格式不对",IF($C344="","未选资金账户",IF(AND(N($I344)=0,N($J344)=0),"收支都为空",IF(AND(N($I344)&gt;0,N($J344)&gt;0),"收支不能同时填",IF(AND($D344&lt;&gt;"",LEFT($O344,1)="⚠"),"项目编号不存在",IF(AND($M344="是",$F344=""),"工程回款必须填往来单位","√")))))))</f>
        <v/>
      </c>
      <c r="O344" s="34" t="str">
        <f aca="false">IF($D344="","",IFERROR(INDEX(项目档案!$B$6:$B$255,MATCH($D344,项目档案!$A$6:$A$255,0)),"⚠编号不存在"))</f>
        <v/>
      </c>
      <c r="P344" s="35" t="str">
        <f aca="false">IF($B344="","",TEXT($B344,"yyyy-mm"))</f>
        <v/>
      </c>
    </row>
    <row r="345" customFormat="false" ht="15.75" hidden="false" customHeight="true" outlineLevel="0" collapsed="false">
      <c r="A345" s="32" t="str">
        <f aca="false">IF($B345="","",ROW()-4)</f>
        <v/>
      </c>
      <c r="B345" s="26"/>
      <c r="C345" s="21"/>
      <c r="D345" s="24"/>
      <c r="E345" s="21"/>
      <c r="F345" s="24"/>
      <c r="G345" s="21"/>
      <c r="H345" s="22"/>
      <c r="I345" s="27"/>
      <c r="J345" s="27"/>
      <c r="K345" s="36" t="str">
        <f aca="false">IF($B345="","",IF($C345="泓普",$C$2,IF($C345="仟茂",$E$2,IF($C345="现金",$G$2,0)))+SUMIFS($I$5:$I345,$C$5:$C345,$C345)-SUMIFS($J$5:$J345,$C$5:$C345,$C345))</f>
        <v/>
      </c>
      <c r="L345" s="36" t="str">
        <f aca="false">IF($B345="","",$C$2+$E$2+$G$2+SUM($I$5:$I345)-SUM($J$5:$J345))</f>
        <v/>
      </c>
      <c r="M345" s="24"/>
      <c r="N345" s="33" t="str">
        <f aca="false">IF($B345="","",IF(NOT(ISNUMBER($B345)),"日期格式不对",IF($C345="","未选资金账户",IF(AND(N($I345)=0,N($J345)=0),"收支都为空",IF(AND(N($I345)&gt;0,N($J345)&gt;0),"收支不能同时填",IF(AND($D345&lt;&gt;"",LEFT($O345,1)="⚠"),"项目编号不存在",IF(AND($M345="是",$F345=""),"工程回款必须填往来单位","√")))))))</f>
        <v/>
      </c>
      <c r="O345" s="34" t="str">
        <f aca="false">IF($D345="","",IFERROR(INDEX(项目档案!$B$6:$B$255,MATCH($D345,项目档案!$A$6:$A$255,0)),"⚠编号不存在"))</f>
        <v/>
      </c>
      <c r="P345" s="35" t="str">
        <f aca="false">IF($B345="","",TEXT($B345,"yyyy-mm"))</f>
        <v/>
      </c>
    </row>
    <row r="346" customFormat="false" ht="15.75" hidden="false" customHeight="true" outlineLevel="0" collapsed="false">
      <c r="A346" s="32" t="str">
        <f aca="false">IF($B346="","",ROW()-4)</f>
        <v/>
      </c>
      <c r="B346" s="26"/>
      <c r="C346" s="21"/>
      <c r="D346" s="24"/>
      <c r="E346" s="21"/>
      <c r="F346" s="24"/>
      <c r="G346" s="21"/>
      <c r="H346" s="22"/>
      <c r="I346" s="27"/>
      <c r="J346" s="27"/>
      <c r="K346" s="36" t="str">
        <f aca="false">IF($B346="","",IF($C346="泓普",$C$2,IF($C346="仟茂",$E$2,IF($C346="现金",$G$2,0)))+SUMIFS($I$5:$I346,$C$5:$C346,$C346)-SUMIFS($J$5:$J346,$C$5:$C346,$C346))</f>
        <v/>
      </c>
      <c r="L346" s="36" t="str">
        <f aca="false">IF($B346="","",$C$2+$E$2+$G$2+SUM($I$5:$I346)-SUM($J$5:$J346))</f>
        <v/>
      </c>
      <c r="M346" s="24"/>
      <c r="N346" s="33" t="str">
        <f aca="false">IF($B346="","",IF(NOT(ISNUMBER($B346)),"日期格式不对",IF($C346="","未选资金账户",IF(AND(N($I346)=0,N($J346)=0),"收支都为空",IF(AND(N($I346)&gt;0,N($J346)&gt;0),"收支不能同时填",IF(AND($D346&lt;&gt;"",LEFT($O346,1)="⚠"),"项目编号不存在",IF(AND($M346="是",$F346=""),"工程回款必须填往来单位","√")))))))</f>
        <v/>
      </c>
      <c r="O346" s="34" t="str">
        <f aca="false">IF($D346="","",IFERROR(INDEX(项目档案!$B$6:$B$255,MATCH($D346,项目档案!$A$6:$A$255,0)),"⚠编号不存在"))</f>
        <v/>
      </c>
      <c r="P346" s="35" t="str">
        <f aca="false">IF($B346="","",TEXT($B346,"yyyy-mm"))</f>
        <v/>
      </c>
    </row>
    <row r="347" customFormat="false" ht="15.75" hidden="false" customHeight="true" outlineLevel="0" collapsed="false">
      <c r="A347" s="32" t="str">
        <f aca="false">IF($B347="","",ROW()-4)</f>
        <v/>
      </c>
      <c r="B347" s="26"/>
      <c r="C347" s="21"/>
      <c r="D347" s="24"/>
      <c r="E347" s="21"/>
      <c r="F347" s="24"/>
      <c r="G347" s="21"/>
      <c r="H347" s="22"/>
      <c r="I347" s="27"/>
      <c r="J347" s="27"/>
      <c r="K347" s="36" t="str">
        <f aca="false">IF($B347="","",IF($C347="泓普",$C$2,IF($C347="仟茂",$E$2,IF($C347="现金",$G$2,0)))+SUMIFS($I$5:$I347,$C$5:$C347,$C347)-SUMIFS($J$5:$J347,$C$5:$C347,$C347))</f>
        <v/>
      </c>
      <c r="L347" s="36" t="str">
        <f aca="false">IF($B347="","",$C$2+$E$2+$G$2+SUM($I$5:$I347)-SUM($J$5:$J347))</f>
        <v/>
      </c>
      <c r="M347" s="24"/>
      <c r="N347" s="33" t="str">
        <f aca="false">IF($B347="","",IF(NOT(ISNUMBER($B347)),"日期格式不对",IF($C347="","未选资金账户",IF(AND(N($I347)=0,N($J347)=0),"收支都为空",IF(AND(N($I347)&gt;0,N($J347)&gt;0),"收支不能同时填",IF(AND($D347&lt;&gt;"",LEFT($O347,1)="⚠"),"项目编号不存在",IF(AND($M347="是",$F347=""),"工程回款必须填往来单位","√")))))))</f>
        <v/>
      </c>
      <c r="O347" s="34" t="str">
        <f aca="false">IF($D347="","",IFERROR(INDEX(项目档案!$B$6:$B$255,MATCH($D347,项目档案!$A$6:$A$255,0)),"⚠编号不存在"))</f>
        <v/>
      </c>
      <c r="P347" s="35" t="str">
        <f aca="false">IF($B347="","",TEXT($B347,"yyyy-mm"))</f>
        <v/>
      </c>
    </row>
    <row r="348" customFormat="false" ht="15.75" hidden="false" customHeight="true" outlineLevel="0" collapsed="false">
      <c r="A348" s="32" t="str">
        <f aca="false">IF($B348="","",ROW()-4)</f>
        <v/>
      </c>
      <c r="B348" s="26"/>
      <c r="C348" s="21"/>
      <c r="D348" s="24"/>
      <c r="E348" s="21"/>
      <c r="F348" s="24"/>
      <c r="G348" s="21"/>
      <c r="H348" s="22"/>
      <c r="I348" s="27"/>
      <c r="J348" s="27"/>
      <c r="K348" s="36" t="str">
        <f aca="false">IF($B348="","",IF($C348="泓普",$C$2,IF($C348="仟茂",$E$2,IF($C348="现金",$G$2,0)))+SUMIFS($I$5:$I348,$C$5:$C348,$C348)-SUMIFS($J$5:$J348,$C$5:$C348,$C348))</f>
        <v/>
      </c>
      <c r="L348" s="36" t="str">
        <f aca="false">IF($B348="","",$C$2+$E$2+$G$2+SUM($I$5:$I348)-SUM($J$5:$J348))</f>
        <v/>
      </c>
      <c r="M348" s="24"/>
      <c r="N348" s="33" t="str">
        <f aca="false">IF($B348="","",IF(NOT(ISNUMBER($B348)),"日期格式不对",IF($C348="","未选资金账户",IF(AND(N($I348)=0,N($J348)=0),"收支都为空",IF(AND(N($I348)&gt;0,N($J348)&gt;0),"收支不能同时填",IF(AND($D348&lt;&gt;"",LEFT($O348,1)="⚠"),"项目编号不存在",IF(AND($M348="是",$F348=""),"工程回款必须填往来单位","√")))))))</f>
        <v/>
      </c>
      <c r="O348" s="34" t="str">
        <f aca="false">IF($D348="","",IFERROR(INDEX(项目档案!$B$6:$B$255,MATCH($D348,项目档案!$A$6:$A$255,0)),"⚠编号不存在"))</f>
        <v/>
      </c>
      <c r="P348" s="35" t="str">
        <f aca="false">IF($B348="","",TEXT($B348,"yyyy-mm"))</f>
        <v/>
      </c>
    </row>
    <row r="349" customFormat="false" ht="15.75" hidden="false" customHeight="true" outlineLevel="0" collapsed="false">
      <c r="A349" s="32" t="str">
        <f aca="false">IF($B349="","",ROW()-4)</f>
        <v/>
      </c>
      <c r="B349" s="26"/>
      <c r="C349" s="21"/>
      <c r="D349" s="24"/>
      <c r="E349" s="21"/>
      <c r="F349" s="24"/>
      <c r="G349" s="21"/>
      <c r="H349" s="22"/>
      <c r="I349" s="27"/>
      <c r="J349" s="27"/>
      <c r="K349" s="36" t="str">
        <f aca="false">IF($B349="","",IF($C349="泓普",$C$2,IF($C349="仟茂",$E$2,IF($C349="现金",$G$2,0)))+SUMIFS($I$5:$I349,$C$5:$C349,$C349)-SUMIFS($J$5:$J349,$C$5:$C349,$C349))</f>
        <v/>
      </c>
      <c r="L349" s="36" t="str">
        <f aca="false">IF($B349="","",$C$2+$E$2+$G$2+SUM($I$5:$I349)-SUM($J$5:$J349))</f>
        <v/>
      </c>
      <c r="M349" s="24"/>
      <c r="N349" s="33" t="str">
        <f aca="false">IF($B349="","",IF(NOT(ISNUMBER($B349)),"日期格式不对",IF($C349="","未选资金账户",IF(AND(N($I349)=0,N($J349)=0),"收支都为空",IF(AND(N($I349)&gt;0,N($J349)&gt;0),"收支不能同时填",IF(AND($D349&lt;&gt;"",LEFT($O349,1)="⚠"),"项目编号不存在",IF(AND($M349="是",$F349=""),"工程回款必须填往来单位","√")))))))</f>
        <v/>
      </c>
      <c r="O349" s="34" t="str">
        <f aca="false">IF($D349="","",IFERROR(INDEX(项目档案!$B$6:$B$255,MATCH($D349,项目档案!$A$6:$A$255,0)),"⚠编号不存在"))</f>
        <v/>
      </c>
      <c r="P349" s="35" t="str">
        <f aca="false">IF($B349="","",TEXT($B349,"yyyy-mm"))</f>
        <v/>
      </c>
    </row>
    <row r="350" customFormat="false" ht="15.75" hidden="false" customHeight="true" outlineLevel="0" collapsed="false">
      <c r="A350" s="32" t="str">
        <f aca="false">IF($B350="","",ROW()-4)</f>
        <v/>
      </c>
      <c r="B350" s="26"/>
      <c r="C350" s="21"/>
      <c r="D350" s="24"/>
      <c r="E350" s="21"/>
      <c r="F350" s="24"/>
      <c r="G350" s="21"/>
      <c r="H350" s="22"/>
      <c r="I350" s="27"/>
      <c r="J350" s="27"/>
      <c r="K350" s="36" t="str">
        <f aca="false">IF($B350="","",IF($C350="泓普",$C$2,IF($C350="仟茂",$E$2,IF($C350="现金",$G$2,0)))+SUMIFS($I$5:$I350,$C$5:$C350,$C350)-SUMIFS($J$5:$J350,$C$5:$C350,$C350))</f>
        <v/>
      </c>
      <c r="L350" s="36" t="str">
        <f aca="false">IF($B350="","",$C$2+$E$2+$G$2+SUM($I$5:$I350)-SUM($J$5:$J350))</f>
        <v/>
      </c>
      <c r="M350" s="24"/>
      <c r="N350" s="33" t="str">
        <f aca="false">IF($B350="","",IF(NOT(ISNUMBER($B350)),"日期格式不对",IF($C350="","未选资金账户",IF(AND(N($I350)=0,N($J350)=0),"收支都为空",IF(AND(N($I350)&gt;0,N($J350)&gt;0),"收支不能同时填",IF(AND($D350&lt;&gt;"",LEFT($O350,1)="⚠"),"项目编号不存在",IF(AND($M350="是",$F350=""),"工程回款必须填往来单位","√")))))))</f>
        <v/>
      </c>
      <c r="O350" s="34" t="str">
        <f aca="false">IF($D350="","",IFERROR(INDEX(项目档案!$B$6:$B$255,MATCH($D350,项目档案!$A$6:$A$255,0)),"⚠编号不存在"))</f>
        <v/>
      </c>
      <c r="P350" s="35" t="str">
        <f aca="false">IF($B350="","",TEXT($B350,"yyyy-mm"))</f>
        <v/>
      </c>
    </row>
    <row r="351" customFormat="false" ht="15.75" hidden="false" customHeight="true" outlineLevel="0" collapsed="false">
      <c r="A351" s="32" t="str">
        <f aca="false">IF($B351="","",ROW()-4)</f>
        <v/>
      </c>
      <c r="B351" s="26"/>
      <c r="C351" s="21"/>
      <c r="D351" s="24"/>
      <c r="E351" s="21"/>
      <c r="F351" s="24"/>
      <c r="G351" s="21"/>
      <c r="H351" s="22"/>
      <c r="I351" s="27"/>
      <c r="J351" s="27"/>
      <c r="K351" s="36" t="str">
        <f aca="false">IF($B351="","",IF($C351="泓普",$C$2,IF($C351="仟茂",$E$2,IF($C351="现金",$G$2,0)))+SUMIFS($I$5:$I351,$C$5:$C351,$C351)-SUMIFS($J$5:$J351,$C$5:$C351,$C351))</f>
        <v/>
      </c>
      <c r="L351" s="36" t="str">
        <f aca="false">IF($B351="","",$C$2+$E$2+$G$2+SUM($I$5:$I351)-SUM($J$5:$J351))</f>
        <v/>
      </c>
      <c r="M351" s="24"/>
      <c r="N351" s="33" t="str">
        <f aca="false">IF($B351="","",IF(NOT(ISNUMBER($B351)),"日期格式不对",IF($C351="","未选资金账户",IF(AND(N($I351)=0,N($J351)=0),"收支都为空",IF(AND(N($I351)&gt;0,N($J351)&gt;0),"收支不能同时填",IF(AND($D351&lt;&gt;"",LEFT($O351,1)="⚠"),"项目编号不存在",IF(AND($M351="是",$F351=""),"工程回款必须填往来单位","√")))))))</f>
        <v/>
      </c>
      <c r="O351" s="34" t="str">
        <f aca="false">IF($D351="","",IFERROR(INDEX(项目档案!$B$6:$B$255,MATCH($D351,项目档案!$A$6:$A$255,0)),"⚠编号不存在"))</f>
        <v/>
      </c>
      <c r="P351" s="35" t="str">
        <f aca="false">IF($B351="","",TEXT($B351,"yyyy-mm"))</f>
        <v/>
      </c>
    </row>
    <row r="352" customFormat="false" ht="15.75" hidden="false" customHeight="true" outlineLevel="0" collapsed="false">
      <c r="A352" s="32" t="str">
        <f aca="false">IF($B352="","",ROW()-4)</f>
        <v/>
      </c>
      <c r="B352" s="26"/>
      <c r="C352" s="21"/>
      <c r="D352" s="24"/>
      <c r="E352" s="21"/>
      <c r="F352" s="24"/>
      <c r="G352" s="21"/>
      <c r="H352" s="22"/>
      <c r="I352" s="27"/>
      <c r="J352" s="27"/>
      <c r="K352" s="36" t="str">
        <f aca="false">IF($B352="","",IF($C352="泓普",$C$2,IF($C352="仟茂",$E$2,IF($C352="现金",$G$2,0)))+SUMIFS($I$5:$I352,$C$5:$C352,$C352)-SUMIFS($J$5:$J352,$C$5:$C352,$C352))</f>
        <v/>
      </c>
      <c r="L352" s="36" t="str">
        <f aca="false">IF($B352="","",$C$2+$E$2+$G$2+SUM($I$5:$I352)-SUM($J$5:$J352))</f>
        <v/>
      </c>
      <c r="M352" s="24"/>
      <c r="N352" s="33" t="str">
        <f aca="false">IF($B352="","",IF(NOT(ISNUMBER($B352)),"日期格式不对",IF($C352="","未选资金账户",IF(AND(N($I352)=0,N($J352)=0),"收支都为空",IF(AND(N($I352)&gt;0,N($J352)&gt;0),"收支不能同时填",IF(AND($D352&lt;&gt;"",LEFT($O352,1)="⚠"),"项目编号不存在",IF(AND($M352="是",$F352=""),"工程回款必须填往来单位","√")))))))</f>
        <v/>
      </c>
      <c r="O352" s="34" t="str">
        <f aca="false">IF($D352="","",IFERROR(INDEX(项目档案!$B$6:$B$255,MATCH($D352,项目档案!$A$6:$A$255,0)),"⚠编号不存在"))</f>
        <v/>
      </c>
      <c r="P352" s="35" t="str">
        <f aca="false">IF($B352="","",TEXT($B352,"yyyy-mm"))</f>
        <v/>
      </c>
    </row>
    <row r="353" customFormat="false" ht="15.75" hidden="false" customHeight="true" outlineLevel="0" collapsed="false">
      <c r="A353" s="32" t="str">
        <f aca="false">IF($B353="","",ROW()-4)</f>
        <v/>
      </c>
      <c r="B353" s="26"/>
      <c r="C353" s="21"/>
      <c r="D353" s="24"/>
      <c r="E353" s="21"/>
      <c r="F353" s="24"/>
      <c r="G353" s="21"/>
      <c r="H353" s="22"/>
      <c r="I353" s="27"/>
      <c r="J353" s="27"/>
      <c r="K353" s="36" t="str">
        <f aca="false">IF($B353="","",IF($C353="泓普",$C$2,IF($C353="仟茂",$E$2,IF($C353="现金",$G$2,0)))+SUMIFS($I$5:$I353,$C$5:$C353,$C353)-SUMIFS($J$5:$J353,$C$5:$C353,$C353))</f>
        <v/>
      </c>
      <c r="L353" s="36" t="str">
        <f aca="false">IF($B353="","",$C$2+$E$2+$G$2+SUM($I$5:$I353)-SUM($J$5:$J353))</f>
        <v/>
      </c>
      <c r="M353" s="24"/>
      <c r="N353" s="33" t="str">
        <f aca="false">IF($B353="","",IF(NOT(ISNUMBER($B353)),"日期格式不对",IF($C353="","未选资金账户",IF(AND(N($I353)=0,N($J353)=0),"收支都为空",IF(AND(N($I353)&gt;0,N($J353)&gt;0),"收支不能同时填",IF(AND($D353&lt;&gt;"",LEFT($O353,1)="⚠"),"项目编号不存在",IF(AND($M353="是",$F353=""),"工程回款必须填往来单位","√")))))))</f>
        <v/>
      </c>
      <c r="O353" s="34" t="str">
        <f aca="false">IF($D353="","",IFERROR(INDEX(项目档案!$B$6:$B$255,MATCH($D353,项目档案!$A$6:$A$255,0)),"⚠编号不存在"))</f>
        <v/>
      </c>
      <c r="P353" s="35" t="str">
        <f aca="false">IF($B353="","",TEXT($B353,"yyyy-mm"))</f>
        <v/>
      </c>
    </row>
    <row r="354" customFormat="false" ht="15.75" hidden="false" customHeight="true" outlineLevel="0" collapsed="false">
      <c r="A354" s="32" t="str">
        <f aca="false">IF($B354="","",ROW()-4)</f>
        <v/>
      </c>
      <c r="B354" s="26"/>
      <c r="C354" s="21"/>
      <c r="D354" s="24"/>
      <c r="E354" s="21"/>
      <c r="F354" s="24"/>
      <c r="G354" s="21"/>
      <c r="H354" s="22"/>
      <c r="I354" s="27"/>
      <c r="J354" s="27"/>
      <c r="K354" s="36" t="str">
        <f aca="false">IF($B354="","",IF($C354="泓普",$C$2,IF($C354="仟茂",$E$2,IF($C354="现金",$G$2,0)))+SUMIFS($I$5:$I354,$C$5:$C354,$C354)-SUMIFS($J$5:$J354,$C$5:$C354,$C354))</f>
        <v/>
      </c>
      <c r="L354" s="36" t="str">
        <f aca="false">IF($B354="","",$C$2+$E$2+$G$2+SUM($I$5:$I354)-SUM($J$5:$J354))</f>
        <v/>
      </c>
      <c r="M354" s="24"/>
      <c r="N354" s="33" t="str">
        <f aca="false">IF($B354="","",IF(NOT(ISNUMBER($B354)),"日期格式不对",IF($C354="","未选资金账户",IF(AND(N($I354)=0,N($J354)=0),"收支都为空",IF(AND(N($I354)&gt;0,N($J354)&gt;0),"收支不能同时填",IF(AND($D354&lt;&gt;"",LEFT($O354,1)="⚠"),"项目编号不存在",IF(AND($M354="是",$F354=""),"工程回款必须填往来单位","√")))))))</f>
        <v/>
      </c>
      <c r="O354" s="34" t="str">
        <f aca="false">IF($D354="","",IFERROR(INDEX(项目档案!$B$6:$B$255,MATCH($D354,项目档案!$A$6:$A$255,0)),"⚠编号不存在"))</f>
        <v/>
      </c>
      <c r="P354" s="35" t="str">
        <f aca="false">IF($B354="","",TEXT($B354,"yyyy-mm"))</f>
        <v/>
      </c>
    </row>
    <row r="355" customFormat="false" ht="15.75" hidden="false" customHeight="true" outlineLevel="0" collapsed="false">
      <c r="A355" s="32" t="str">
        <f aca="false">IF($B355="","",ROW()-4)</f>
        <v/>
      </c>
      <c r="B355" s="26"/>
      <c r="C355" s="21"/>
      <c r="D355" s="24"/>
      <c r="E355" s="21"/>
      <c r="F355" s="24"/>
      <c r="G355" s="21"/>
      <c r="H355" s="22"/>
      <c r="I355" s="27"/>
      <c r="J355" s="27"/>
      <c r="K355" s="36" t="str">
        <f aca="false">IF($B355="","",IF($C355="泓普",$C$2,IF($C355="仟茂",$E$2,IF($C355="现金",$G$2,0)))+SUMIFS($I$5:$I355,$C$5:$C355,$C355)-SUMIFS($J$5:$J355,$C$5:$C355,$C355))</f>
        <v/>
      </c>
      <c r="L355" s="36" t="str">
        <f aca="false">IF($B355="","",$C$2+$E$2+$G$2+SUM($I$5:$I355)-SUM($J$5:$J355))</f>
        <v/>
      </c>
      <c r="M355" s="24"/>
      <c r="N355" s="33" t="str">
        <f aca="false">IF($B355="","",IF(NOT(ISNUMBER($B355)),"日期格式不对",IF($C355="","未选资金账户",IF(AND(N($I355)=0,N($J355)=0),"收支都为空",IF(AND(N($I355)&gt;0,N($J355)&gt;0),"收支不能同时填",IF(AND($D355&lt;&gt;"",LEFT($O355,1)="⚠"),"项目编号不存在",IF(AND($M355="是",$F355=""),"工程回款必须填往来单位","√")))))))</f>
        <v/>
      </c>
      <c r="O355" s="34" t="str">
        <f aca="false">IF($D355="","",IFERROR(INDEX(项目档案!$B$6:$B$255,MATCH($D355,项目档案!$A$6:$A$255,0)),"⚠编号不存在"))</f>
        <v/>
      </c>
      <c r="P355" s="35" t="str">
        <f aca="false">IF($B355="","",TEXT($B355,"yyyy-mm"))</f>
        <v/>
      </c>
    </row>
    <row r="356" customFormat="false" ht="15.75" hidden="false" customHeight="true" outlineLevel="0" collapsed="false">
      <c r="A356" s="32" t="str">
        <f aca="false">IF($B356="","",ROW()-4)</f>
        <v/>
      </c>
      <c r="B356" s="26"/>
      <c r="C356" s="21"/>
      <c r="D356" s="24"/>
      <c r="E356" s="21"/>
      <c r="F356" s="24"/>
      <c r="G356" s="21"/>
      <c r="H356" s="22"/>
      <c r="I356" s="27"/>
      <c r="J356" s="27"/>
      <c r="K356" s="36" t="str">
        <f aca="false">IF($B356="","",IF($C356="泓普",$C$2,IF($C356="仟茂",$E$2,IF($C356="现金",$G$2,0)))+SUMIFS($I$5:$I356,$C$5:$C356,$C356)-SUMIFS($J$5:$J356,$C$5:$C356,$C356))</f>
        <v/>
      </c>
      <c r="L356" s="36" t="str">
        <f aca="false">IF($B356="","",$C$2+$E$2+$G$2+SUM($I$5:$I356)-SUM($J$5:$J356))</f>
        <v/>
      </c>
      <c r="M356" s="24"/>
      <c r="N356" s="33" t="str">
        <f aca="false">IF($B356="","",IF(NOT(ISNUMBER($B356)),"日期格式不对",IF($C356="","未选资金账户",IF(AND(N($I356)=0,N($J356)=0),"收支都为空",IF(AND(N($I356)&gt;0,N($J356)&gt;0),"收支不能同时填",IF(AND($D356&lt;&gt;"",LEFT($O356,1)="⚠"),"项目编号不存在",IF(AND($M356="是",$F356=""),"工程回款必须填往来单位","√")))))))</f>
        <v/>
      </c>
      <c r="O356" s="34" t="str">
        <f aca="false">IF($D356="","",IFERROR(INDEX(项目档案!$B$6:$B$255,MATCH($D356,项目档案!$A$6:$A$255,0)),"⚠编号不存在"))</f>
        <v/>
      </c>
      <c r="P356" s="35" t="str">
        <f aca="false">IF($B356="","",TEXT($B356,"yyyy-mm"))</f>
        <v/>
      </c>
    </row>
    <row r="357" customFormat="false" ht="15.75" hidden="false" customHeight="true" outlineLevel="0" collapsed="false">
      <c r="A357" s="32" t="str">
        <f aca="false">IF($B357="","",ROW()-4)</f>
        <v/>
      </c>
      <c r="B357" s="26"/>
      <c r="C357" s="21"/>
      <c r="D357" s="24"/>
      <c r="E357" s="21"/>
      <c r="F357" s="24"/>
      <c r="G357" s="21"/>
      <c r="H357" s="22"/>
      <c r="I357" s="27"/>
      <c r="J357" s="27"/>
      <c r="K357" s="36" t="str">
        <f aca="false">IF($B357="","",IF($C357="泓普",$C$2,IF($C357="仟茂",$E$2,IF($C357="现金",$G$2,0)))+SUMIFS($I$5:$I357,$C$5:$C357,$C357)-SUMIFS($J$5:$J357,$C$5:$C357,$C357))</f>
        <v/>
      </c>
      <c r="L357" s="36" t="str">
        <f aca="false">IF($B357="","",$C$2+$E$2+$G$2+SUM($I$5:$I357)-SUM($J$5:$J357))</f>
        <v/>
      </c>
      <c r="M357" s="24"/>
      <c r="N357" s="33" t="str">
        <f aca="false">IF($B357="","",IF(NOT(ISNUMBER($B357)),"日期格式不对",IF($C357="","未选资金账户",IF(AND(N($I357)=0,N($J357)=0),"收支都为空",IF(AND(N($I357)&gt;0,N($J357)&gt;0),"收支不能同时填",IF(AND($D357&lt;&gt;"",LEFT($O357,1)="⚠"),"项目编号不存在",IF(AND($M357="是",$F357=""),"工程回款必须填往来单位","√")))))))</f>
        <v/>
      </c>
      <c r="O357" s="34" t="str">
        <f aca="false">IF($D357="","",IFERROR(INDEX(项目档案!$B$6:$B$255,MATCH($D357,项目档案!$A$6:$A$255,0)),"⚠编号不存在"))</f>
        <v/>
      </c>
      <c r="P357" s="35" t="str">
        <f aca="false">IF($B357="","",TEXT($B357,"yyyy-mm"))</f>
        <v/>
      </c>
    </row>
    <row r="358" customFormat="false" ht="15.75" hidden="false" customHeight="true" outlineLevel="0" collapsed="false">
      <c r="A358" s="32" t="str">
        <f aca="false">IF($B358="","",ROW()-4)</f>
        <v/>
      </c>
      <c r="B358" s="26"/>
      <c r="C358" s="21"/>
      <c r="D358" s="24"/>
      <c r="E358" s="21"/>
      <c r="F358" s="24"/>
      <c r="G358" s="21"/>
      <c r="H358" s="22"/>
      <c r="I358" s="27"/>
      <c r="J358" s="27"/>
      <c r="K358" s="36" t="str">
        <f aca="false">IF($B358="","",IF($C358="泓普",$C$2,IF($C358="仟茂",$E$2,IF($C358="现金",$G$2,0)))+SUMIFS($I$5:$I358,$C$5:$C358,$C358)-SUMIFS($J$5:$J358,$C$5:$C358,$C358))</f>
        <v/>
      </c>
      <c r="L358" s="36" t="str">
        <f aca="false">IF($B358="","",$C$2+$E$2+$G$2+SUM($I$5:$I358)-SUM($J$5:$J358))</f>
        <v/>
      </c>
      <c r="M358" s="24"/>
      <c r="N358" s="33" t="str">
        <f aca="false">IF($B358="","",IF(NOT(ISNUMBER($B358)),"日期格式不对",IF($C358="","未选资金账户",IF(AND(N($I358)=0,N($J358)=0),"收支都为空",IF(AND(N($I358)&gt;0,N($J358)&gt;0),"收支不能同时填",IF(AND($D358&lt;&gt;"",LEFT($O358,1)="⚠"),"项目编号不存在",IF(AND($M358="是",$F358=""),"工程回款必须填往来单位","√")))))))</f>
        <v/>
      </c>
      <c r="O358" s="34" t="str">
        <f aca="false">IF($D358="","",IFERROR(INDEX(项目档案!$B$6:$B$255,MATCH($D358,项目档案!$A$6:$A$255,0)),"⚠编号不存在"))</f>
        <v/>
      </c>
      <c r="P358" s="35" t="str">
        <f aca="false">IF($B358="","",TEXT($B358,"yyyy-mm"))</f>
        <v/>
      </c>
    </row>
    <row r="359" customFormat="false" ht="15.75" hidden="false" customHeight="true" outlineLevel="0" collapsed="false">
      <c r="A359" s="32" t="str">
        <f aca="false">IF($B359="","",ROW()-4)</f>
        <v/>
      </c>
      <c r="B359" s="26"/>
      <c r="C359" s="21"/>
      <c r="D359" s="24"/>
      <c r="E359" s="21"/>
      <c r="F359" s="24"/>
      <c r="G359" s="21"/>
      <c r="H359" s="22"/>
      <c r="I359" s="27"/>
      <c r="J359" s="27"/>
      <c r="K359" s="36" t="str">
        <f aca="false">IF($B359="","",IF($C359="泓普",$C$2,IF($C359="仟茂",$E$2,IF($C359="现金",$G$2,0)))+SUMIFS($I$5:$I359,$C$5:$C359,$C359)-SUMIFS($J$5:$J359,$C$5:$C359,$C359))</f>
        <v/>
      </c>
      <c r="L359" s="36" t="str">
        <f aca="false">IF($B359="","",$C$2+$E$2+$G$2+SUM($I$5:$I359)-SUM($J$5:$J359))</f>
        <v/>
      </c>
      <c r="M359" s="24"/>
      <c r="N359" s="33" t="str">
        <f aca="false">IF($B359="","",IF(NOT(ISNUMBER($B359)),"日期格式不对",IF($C359="","未选资金账户",IF(AND(N($I359)=0,N($J359)=0),"收支都为空",IF(AND(N($I359)&gt;0,N($J359)&gt;0),"收支不能同时填",IF(AND($D359&lt;&gt;"",LEFT($O359,1)="⚠"),"项目编号不存在",IF(AND($M359="是",$F359=""),"工程回款必须填往来单位","√")))))))</f>
        <v/>
      </c>
      <c r="O359" s="34" t="str">
        <f aca="false">IF($D359="","",IFERROR(INDEX(项目档案!$B$6:$B$255,MATCH($D359,项目档案!$A$6:$A$255,0)),"⚠编号不存在"))</f>
        <v/>
      </c>
      <c r="P359" s="35" t="str">
        <f aca="false">IF($B359="","",TEXT($B359,"yyyy-mm"))</f>
        <v/>
      </c>
    </row>
    <row r="360" customFormat="false" ht="15.75" hidden="false" customHeight="true" outlineLevel="0" collapsed="false">
      <c r="A360" s="32" t="str">
        <f aca="false">IF($B360="","",ROW()-4)</f>
        <v/>
      </c>
      <c r="B360" s="26"/>
      <c r="C360" s="21"/>
      <c r="D360" s="24"/>
      <c r="E360" s="21"/>
      <c r="F360" s="24"/>
      <c r="G360" s="21"/>
      <c r="H360" s="22"/>
      <c r="I360" s="27"/>
      <c r="J360" s="27"/>
      <c r="K360" s="36" t="str">
        <f aca="false">IF($B360="","",IF($C360="泓普",$C$2,IF($C360="仟茂",$E$2,IF($C360="现金",$G$2,0)))+SUMIFS($I$5:$I360,$C$5:$C360,$C360)-SUMIFS($J$5:$J360,$C$5:$C360,$C360))</f>
        <v/>
      </c>
      <c r="L360" s="36" t="str">
        <f aca="false">IF($B360="","",$C$2+$E$2+$G$2+SUM($I$5:$I360)-SUM($J$5:$J360))</f>
        <v/>
      </c>
      <c r="M360" s="24"/>
      <c r="N360" s="33" t="str">
        <f aca="false">IF($B360="","",IF(NOT(ISNUMBER($B360)),"日期格式不对",IF($C360="","未选资金账户",IF(AND(N($I360)=0,N($J360)=0),"收支都为空",IF(AND(N($I360)&gt;0,N($J360)&gt;0),"收支不能同时填",IF(AND($D360&lt;&gt;"",LEFT($O360,1)="⚠"),"项目编号不存在",IF(AND($M360="是",$F360=""),"工程回款必须填往来单位","√")))))))</f>
        <v/>
      </c>
      <c r="O360" s="34" t="str">
        <f aca="false">IF($D360="","",IFERROR(INDEX(项目档案!$B$6:$B$255,MATCH($D360,项目档案!$A$6:$A$255,0)),"⚠编号不存在"))</f>
        <v/>
      </c>
      <c r="P360" s="35" t="str">
        <f aca="false">IF($B360="","",TEXT($B360,"yyyy-mm"))</f>
        <v/>
      </c>
    </row>
    <row r="361" customFormat="false" ht="15.75" hidden="false" customHeight="true" outlineLevel="0" collapsed="false">
      <c r="A361" s="32" t="str">
        <f aca="false">IF($B361="","",ROW()-4)</f>
        <v/>
      </c>
      <c r="B361" s="26"/>
      <c r="C361" s="21"/>
      <c r="D361" s="24"/>
      <c r="E361" s="21"/>
      <c r="F361" s="24"/>
      <c r="G361" s="21"/>
      <c r="H361" s="22"/>
      <c r="I361" s="27"/>
      <c r="J361" s="27"/>
      <c r="K361" s="36" t="str">
        <f aca="false">IF($B361="","",IF($C361="泓普",$C$2,IF($C361="仟茂",$E$2,IF($C361="现金",$G$2,0)))+SUMIFS($I$5:$I361,$C$5:$C361,$C361)-SUMIFS($J$5:$J361,$C$5:$C361,$C361))</f>
        <v/>
      </c>
      <c r="L361" s="36" t="str">
        <f aca="false">IF($B361="","",$C$2+$E$2+$G$2+SUM($I$5:$I361)-SUM($J$5:$J361))</f>
        <v/>
      </c>
      <c r="M361" s="24"/>
      <c r="N361" s="33" t="str">
        <f aca="false">IF($B361="","",IF(NOT(ISNUMBER($B361)),"日期格式不对",IF($C361="","未选资金账户",IF(AND(N($I361)=0,N($J361)=0),"收支都为空",IF(AND(N($I361)&gt;0,N($J361)&gt;0),"收支不能同时填",IF(AND($D361&lt;&gt;"",LEFT($O361,1)="⚠"),"项目编号不存在",IF(AND($M361="是",$F361=""),"工程回款必须填往来单位","√")))))))</f>
        <v/>
      </c>
      <c r="O361" s="34" t="str">
        <f aca="false">IF($D361="","",IFERROR(INDEX(项目档案!$B$6:$B$255,MATCH($D361,项目档案!$A$6:$A$255,0)),"⚠编号不存在"))</f>
        <v/>
      </c>
      <c r="P361" s="35" t="str">
        <f aca="false">IF($B361="","",TEXT($B361,"yyyy-mm"))</f>
        <v/>
      </c>
    </row>
    <row r="362" customFormat="false" ht="15.75" hidden="false" customHeight="true" outlineLevel="0" collapsed="false">
      <c r="A362" s="32" t="str">
        <f aca="false">IF($B362="","",ROW()-4)</f>
        <v/>
      </c>
      <c r="B362" s="26"/>
      <c r="C362" s="21"/>
      <c r="D362" s="24"/>
      <c r="E362" s="21"/>
      <c r="F362" s="24"/>
      <c r="G362" s="21"/>
      <c r="H362" s="22"/>
      <c r="I362" s="27"/>
      <c r="J362" s="27"/>
      <c r="K362" s="36" t="str">
        <f aca="false">IF($B362="","",IF($C362="泓普",$C$2,IF($C362="仟茂",$E$2,IF($C362="现金",$G$2,0)))+SUMIFS($I$5:$I362,$C$5:$C362,$C362)-SUMIFS($J$5:$J362,$C$5:$C362,$C362))</f>
        <v/>
      </c>
      <c r="L362" s="36" t="str">
        <f aca="false">IF($B362="","",$C$2+$E$2+$G$2+SUM($I$5:$I362)-SUM($J$5:$J362))</f>
        <v/>
      </c>
      <c r="M362" s="24"/>
      <c r="N362" s="33" t="str">
        <f aca="false">IF($B362="","",IF(NOT(ISNUMBER($B362)),"日期格式不对",IF($C362="","未选资金账户",IF(AND(N($I362)=0,N($J362)=0),"收支都为空",IF(AND(N($I362)&gt;0,N($J362)&gt;0),"收支不能同时填",IF(AND($D362&lt;&gt;"",LEFT($O362,1)="⚠"),"项目编号不存在",IF(AND($M362="是",$F362=""),"工程回款必须填往来单位","√")))))))</f>
        <v/>
      </c>
      <c r="O362" s="34" t="str">
        <f aca="false">IF($D362="","",IFERROR(INDEX(项目档案!$B$6:$B$255,MATCH($D362,项目档案!$A$6:$A$255,0)),"⚠编号不存在"))</f>
        <v/>
      </c>
      <c r="P362" s="35" t="str">
        <f aca="false">IF($B362="","",TEXT($B362,"yyyy-mm"))</f>
        <v/>
      </c>
    </row>
    <row r="363" customFormat="false" ht="15.75" hidden="false" customHeight="true" outlineLevel="0" collapsed="false">
      <c r="A363" s="32" t="str">
        <f aca="false">IF($B363="","",ROW()-4)</f>
        <v/>
      </c>
      <c r="B363" s="26"/>
      <c r="C363" s="21"/>
      <c r="D363" s="24"/>
      <c r="E363" s="21"/>
      <c r="F363" s="24"/>
      <c r="G363" s="21"/>
      <c r="H363" s="22"/>
      <c r="I363" s="27"/>
      <c r="J363" s="27"/>
      <c r="K363" s="36" t="str">
        <f aca="false">IF($B363="","",IF($C363="泓普",$C$2,IF($C363="仟茂",$E$2,IF($C363="现金",$G$2,0)))+SUMIFS($I$5:$I363,$C$5:$C363,$C363)-SUMIFS($J$5:$J363,$C$5:$C363,$C363))</f>
        <v/>
      </c>
      <c r="L363" s="36" t="str">
        <f aca="false">IF($B363="","",$C$2+$E$2+$G$2+SUM($I$5:$I363)-SUM($J$5:$J363))</f>
        <v/>
      </c>
      <c r="M363" s="24"/>
      <c r="N363" s="33" t="str">
        <f aca="false">IF($B363="","",IF(NOT(ISNUMBER($B363)),"日期格式不对",IF($C363="","未选资金账户",IF(AND(N($I363)=0,N($J363)=0),"收支都为空",IF(AND(N($I363)&gt;0,N($J363)&gt;0),"收支不能同时填",IF(AND($D363&lt;&gt;"",LEFT($O363,1)="⚠"),"项目编号不存在",IF(AND($M363="是",$F363=""),"工程回款必须填往来单位","√")))))))</f>
        <v/>
      </c>
      <c r="O363" s="34" t="str">
        <f aca="false">IF($D363="","",IFERROR(INDEX(项目档案!$B$6:$B$255,MATCH($D363,项目档案!$A$6:$A$255,0)),"⚠编号不存在"))</f>
        <v/>
      </c>
      <c r="P363" s="35" t="str">
        <f aca="false">IF($B363="","",TEXT($B363,"yyyy-mm"))</f>
        <v/>
      </c>
    </row>
    <row r="364" customFormat="false" ht="15.75" hidden="false" customHeight="true" outlineLevel="0" collapsed="false">
      <c r="A364" s="32" t="str">
        <f aca="false">IF($B364="","",ROW()-4)</f>
        <v/>
      </c>
      <c r="B364" s="26"/>
      <c r="C364" s="21"/>
      <c r="D364" s="24"/>
      <c r="E364" s="21"/>
      <c r="F364" s="24"/>
      <c r="G364" s="21"/>
      <c r="H364" s="22"/>
      <c r="I364" s="27"/>
      <c r="J364" s="27"/>
      <c r="K364" s="36" t="str">
        <f aca="false">IF($B364="","",IF($C364="泓普",$C$2,IF($C364="仟茂",$E$2,IF($C364="现金",$G$2,0)))+SUMIFS($I$5:$I364,$C$5:$C364,$C364)-SUMIFS($J$5:$J364,$C$5:$C364,$C364))</f>
        <v/>
      </c>
      <c r="L364" s="36" t="str">
        <f aca="false">IF($B364="","",$C$2+$E$2+$G$2+SUM($I$5:$I364)-SUM($J$5:$J364))</f>
        <v/>
      </c>
      <c r="M364" s="24"/>
      <c r="N364" s="33" t="str">
        <f aca="false">IF($B364="","",IF(NOT(ISNUMBER($B364)),"日期格式不对",IF($C364="","未选资金账户",IF(AND(N($I364)=0,N($J364)=0),"收支都为空",IF(AND(N($I364)&gt;0,N($J364)&gt;0),"收支不能同时填",IF(AND($D364&lt;&gt;"",LEFT($O364,1)="⚠"),"项目编号不存在",IF(AND($M364="是",$F364=""),"工程回款必须填往来单位","√")))))))</f>
        <v/>
      </c>
      <c r="O364" s="34" t="str">
        <f aca="false">IF($D364="","",IFERROR(INDEX(项目档案!$B$6:$B$255,MATCH($D364,项目档案!$A$6:$A$255,0)),"⚠编号不存在"))</f>
        <v/>
      </c>
      <c r="P364" s="35" t="str">
        <f aca="false">IF($B364="","",TEXT($B364,"yyyy-mm"))</f>
        <v/>
      </c>
    </row>
    <row r="365" customFormat="false" ht="15.75" hidden="false" customHeight="true" outlineLevel="0" collapsed="false">
      <c r="A365" s="32" t="str">
        <f aca="false">IF($B365="","",ROW()-4)</f>
        <v/>
      </c>
      <c r="B365" s="26"/>
      <c r="C365" s="21"/>
      <c r="D365" s="24"/>
      <c r="E365" s="21"/>
      <c r="F365" s="24"/>
      <c r="G365" s="21"/>
      <c r="H365" s="22"/>
      <c r="I365" s="27"/>
      <c r="J365" s="27"/>
      <c r="K365" s="36" t="str">
        <f aca="false">IF($B365="","",IF($C365="泓普",$C$2,IF($C365="仟茂",$E$2,IF($C365="现金",$G$2,0)))+SUMIFS($I$5:$I365,$C$5:$C365,$C365)-SUMIFS($J$5:$J365,$C$5:$C365,$C365))</f>
        <v/>
      </c>
      <c r="L365" s="36" t="str">
        <f aca="false">IF($B365="","",$C$2+$E$2+$G$2+SUM($I$5:$I365)-SUM($J$5:$J365))</f>
        <v/>
      </c>
      <c r="M365" s="24"/>
      <c r="N365" s="33" t="str">
        <f aca="false">IF($B365="","",IF(NOT(ISNUMBER($B365)),"日期格式不对",IF($C365="","未选资金账户",IF(AND(N($I365)=0,N($J365)=0),"收支都为空",IF(AND(N($I365)&gt;0,N($J365)&gt;0),"收支不能同时填",IF(AND($D365&lt;&gt;"",LEFT($O365,1)="⚠"),"项目编号不存在",IF(AND($M365="是",$F365=""),"工程回款必须填往来单位","√")))))))</f>
        <v/>
      </c>
      <c r="O365" s="34" t="str">
        <f aca="false">IF($D365="","",IFERROR(INDEX(项目档案!$B$6:$B$255,MATCH($D365,项目档案!$A$6:$A$255,0)),"⚠编号不存在"))</f>
        <v/>
      </c>
      <c r="P365" s="35" t="str">
        <f aca="false">IF($B365="","",TEXT($B365,"yyyy-mm"))</f>
        <v/>
      </c>
    </row>
    <row r="366" customFormat="false" ht="15.75" hidden="false" customHeight="true" outlineLevel="0" collapsed="false">
      <c r="A366" s="32" t="str">
        <f aca="false">IF($B366="","",ROW()-4)</f>
        <v/>
      </c>
      <c r="B366" s="26"/>
      <c r="C366" s="21"/>
      <c r="D366" s="24"/>
      <c r="E366" s="21"/>
      <c r="F366" s="24"/>
      <c r="G366" s="21"/>
      <c r="H366" s="22"/>
      <c r="I366" s="27"/>
      <c r="J366" s="27"/>
      <c r="K366" s="36" t="str">
        <f aca="false">IF($B366="","",IF($C366="泓普",$C$2,IF($C366="仟茂",$E$2,IF($C366="现金",$G$2,0)))+SUMIFS($I$5:$I366,$C$5:$C366,$C366)-SUMIFS($J$5:$J366,$C$5:$C366,$C366))</f>
        <v/>
      </c>
      <c r="L366" s="36" t="str">
        <f aca="false">IF($B366="","",$C$2+$E$2+$G$2+SUM($I$5:$I366)-SUM($J$5:$J366))</f>
        <v/>
      </c>
      <c r="M366" s="24"/>
      <c r="N366" s="33" t="str">
        <f aca="false">IF($B366="","",IF(NOT(ISNUMBER($B366)),"日期格式不对",IF($C366="","未选资金账户",IF(AND(N($I366)=0,N($J366)=0),"收支都为空",IF(AND(N($I366)&gt;0,N($J366)&gt;0),"收支不能同时填",IF(AND($D366&lt;&gt;"",LEFT($O366,1)="⚠"),"项目编号不存在",IF(AND($M366="是",$F366=""),"工程回款必须填往来单位","√")))))))</f>
        <v/>
      </c>
      <c r="O366" s="34" t="str">
        <f aca="false">IF($D366="","",IFERROR(INDEX(项目档案!$B$6:$B$255,MATCH($D366,项目档案!$A$6:$A$255,0)),"⚠编号不存在"))</f>
        <v/>
      </c>
      <c r="P366" s="35" t="str">
        <f aca="false">IF($B366="","",TEXT($B366,"yyyy-mm"))</f>
        <v/>
      </c>
    </row>
    <row r="367" customFormat="false" ht="15.75" hidden="false" customHeight="true" outlineLevel="0" collapsed="false">
      <c r="A367" s="32" t="str">
        <f aca="false">IF($B367="","",ROW()-4)</f>
        <v/>
      </c>
      <c r="B367" s="26"/>
      <c r="C367" s="21"/>
      <c r="D367" s="24"/>
      <c r="E367" s="21"/>
      <c r="F367" s="24"/>
      <c r="G367" s="21"/>
      <c r="H367" s="22"/>
      <c r="I367" s="27"/>
      <c r="J367" s="27"/>
      <c r="K367" s="36" t="str">
        <f aca="false">IF($B367="","",IF($C367="泓普",$C$2,IF($C367="仟茂",$E$2,IF($C367="现金",$G$2,0)))+SUMIFS($I$5:$I367,$C$5:$C367,$C367)-SUMIFS($J$5:$J367,$C$5:$C367,$C367))</f>
        <v/>
      </c>
      <c r="L367" s="36" t="str">
        <f aca="false">IF($B367="","",$C$2+$E$2+$G$2+SUM($I$5:$I367)-SUM($J$5:$J367))</f>
        <v/>
      </c>
      <c r="M367" s="24"/>
      <c r="N367" s="33" t="str">
        <f aca="false">IF($B367="","",IF(NOT(ISNUMBER($B367)),"日期格式不对",IF($C367="","未选资金账户",IF(AND(N($I367)=0,N($J367)=0),"收支都为空",IF(AND(N($I367)&gt;0,N($J367)&gt;0),"收支不能同时填",IF(AND($D367&lt;&gt;"",LEFT($O367,1)="⚠"),"项目编号不存在",IF(AND($M367="是",$F367=""),"工程回款必须填往来单位","√")))))))</f>
        <v/>
      </c>
      <c r="O367" s="34" t="str">
        <f aca="false">IF($D367="","",IFERROR(INDEX(项目档案!$B$6:$B$255,MATCH($D367,项目档案!$A$6:$A$255,0)),"⚠编号不存在"))</f>
        <v/>
      </c>
      <c r="P367" s="35" t="str">
        <f aca="false">IF($B367="","",TEXT($B367,"yyyy-mm"))</f>
        <v/>
      </c>
    </row>
    <row r="368" customFormat="false" ht="15.75" hidden="false" customHeight="true" outlineLevel="0" collapsed="false">
      <c r="A368" s="32" t="str">
        <f aca="false">IF($B368="","",ROW()-4)</f>
        <v/>
      </c>
      <c r="B368" s="26"/>
      <c r="C368" s="21"/>
      <c r="D368" s="24"/>
      <c r="E368" s="21"/>
      <c r="F368" s="24"/>
      <c r="G368" s="21"/>
      <c r="H368" s="22"/>
      <c r="I368" s="27"/>
      <c r="J368" s="27"/>
      <c r="K368" s="36" t="str">
        <f aca="false">IF($B368="","",IF($C368="泓普",$C$2,IF($C368="仟茂",$E$2,IF($C368="现金",$G$2,0)))+SUMIFS($I$5:$I368,$C$5:$C368,$C368)-SUMIFS($J$5:$J368,$C$5:$C368,$C368))</f>
        <v/>
      </c>
      <c r="L368" s="36" t="str">
        <f aca="false">IF($B368="","",$C$2+$E$2+$G$2+SUM($I$5:$I368)-SUM($J$5:$J368))</f>
        <v/>
      </c>
      <c r="M368" s="24"/>
      <c r="N368" s="33" t="str">
        <f aca="false">IF($B368="","",IF(NOT(ISNUMBER($B368)),"日期格式不对",IF($C368="","未选资金账户",IF(AND(N($I368)=0,N($J368)=0),"收支都为空",IF(AND(N($I368)&gt;0,N($J368)&gt;0),"收支不能同时填",IF(AND($D368&lt;&gt;"",LEFT($O368,1)="⚠"),"项目编号不存在",IF(AND($M368="是",$F368=""),"工程回款必须填往来单位","√")))))))</f>
        <v/>
      </c>
      <c r="O368" s="34" t="str">
        <f aca="false">IF($D368="","",IFERROR(INDEX(项目档案!$B$6:$B$255,MATCH($D368,项目档案!$A$6:$A$255,0)),"⚠编号不存在"))</f>
        <v/>
      </c>
      <c r="P368" s="35" t="str">
        <f aca="false">IF($B368="","",TEXT($B368,"yyyy-mm"))</f>
        <v/>
      </c>
    </row>
    <row r="369" customFormat="false" ht="15.75" hidden="false" customHeight="true" outlineLevel="0" collapsed="false">
      <c r="A369" s="32" t="str">
        <f aca="false">IF($B369="","",ROW()-4)</f>
        <v/>
      </c>
      <c r="B369" s="26"/>
      <c r="C369" s="21"/>
      <c r="D369" s="24"/>
      <c r="E369" s="21"/>
      <c r="F369" s="24"/>
      <c r="G369" s="21"/>
      <c r="H369" s="22"/>
      <c r="I369" s="27"/>
      <c r="J369" s="27"/>
      <c r="K369" s="36" t="str">
        <f aca="false">IF($B369="","",IF($C369="泓普",$C$2,IF($C369="仟茂",$E$2,IF($C369="现金",$G$2,0)))+SUMIFS($I$5:$I369,$C$5:$C369,$C369)-SUMIFS($J$5:$J369,$C$5:$C369,$C369))</f>
        <v/>
      </c>
      <c r="L369" s="36" t="str">
        <f aca="false">IF($B369="","",$C$2+$E$2+$G$2+SUM($I$5:$I369)-SUM($J$5:$J369))</f>
        <v/>
      </c>
      <c r="M369" s="24"/>
      <c r="N369" s="33" t="str">
        <f aca="false">IF($B369="","",IF(NOT(ISNUMBER($B369)),"日期格式不对",IF($C369="","未选资金账户",IF(AND(N($I369)=0,N($J369)=0),"收支都为空",IF(AND(N($I369)&gt;0,N($J369)&gt;0),"收支不能同时填",IF(AND($D369&lt;&gt;"",LEFT($O369,1)="⚠"),"项目编号不存在",IF(AND($M369="是",$F369=""),"工程回款必须填往来单位","√")))))))</f>
        <v/>
      </c>
      <c r="O369" s="34" t="str">
        <f aca="false">IF($D369="","",IFERROR(INDEX(项目档案!$B$6:$B$255,MATCH($D369,项目档案!$A$6:$A$255,0)),"⚠编号不存在"))</f>
        <v/>
      </c>
      <c r="P369" s="35" t="str">
        <f aca="false">IF($B369="","",TEXT($B369,"yyyy-mm"))</f>
        <v/>
      </c>
    </row>
    <row r="370" customFormat="false" ht="15.75" hidden="false" customHeight="true" outlineLevel="0" collapsed="false">
      <c r="A370" s="32" t="str">
        <f aca="false">IF($B370="","",ROW()-4)</f>
        <v/>
      </c>
      <c r="B370" s="26"/>
      <c r="C370" s="21"/>
      <c r="D370" s="24"/>
      <c r="E370" s="21"/>
      <c r="F370" s="24"/>
      <c r="G370" s="21"/>
      <c r="H370" s="22"/>
      <c r="I370" s="27"/>
      <c r="J370" s="27"/>
      <c r="K370" s="36" t="str">
        <f aca="false">IF($B370="","",IF($C370="泓普",$C$2,IF($C370="仟茂",$E$2,IF($C370="现金",$G$2,0)))+SUMIFS($I$5:$I370,$C$5:$C370,$C370)-SUMIFS($J$5:$J370,$C$5:$C370,$C370))</f>
        <v/>
      </c>
      <c r="L370" s="36" t="str">
        <f aca="false">IF($B370="","",$C$2+$E$2+$G$2+SUM($I$5:$I370)-SUM($J$5:$J370))</f>
        <v/>
      </c>
      <c r="M370" s="24"/>
      <c r="N370" s="33" t="str">
        <f aca="false">IF($B370="","",IF(NOT(ISNUMBER($B370)),"日期格式不对",IF($C370="","未选资金账户",IF(AND(N($I370)=0,N($J370)=0),"收支都为空",IF(AND(N($I370)&gt;0,N($J370)&gt;0),"收支不能同时填",IF(AND($D370&lt;&gt;"",LEFT($O370,1)="⚠"),"项目编号不存在",IF(AND($M370="是",$F370=""),"工程回款必须填往来单位","√")))))))</f>
        <v/>
      </c>
      <c r="O370" s="34" t="str">
        <f aca="false">IF($D370="","",IFERROR(INDEX(项目档案!$B$6:$B$255,MATCH($D370,项目档案!$A$6:$A$255,0)),"⚠编号不存在"))</f>
        <v/>
      </c>
      <c r="P370" s="35" t="str">
        <f aca="false">IF($B370="","",TEXT($B370,"yyyy-mm"))</f>
        <v/>
      </c>
    </row>
    <row r="371" customFormat="false" ht="15.75" hidden="false" customHeight="true" outlineLevel="0" collapsed="false">
      <c r="A371" s="32" t="str">
        <f aca="false">IF($B371="","",ROW()-4)</f>
        <v/>
      </c>
      <c r="B371" s="26"/>
      <c r="C371" s="21"/>
      <c r="D371" s="24"/>
      <c r="E371" s="21"/>
      <c r="F371" s="24"/>
      <c r="G371" s="21"/>
      <c r="H371" s="22"/>
      <c r="I371" s="27"/>
      <c r="J371" s="27"/>
      <c r="K371" s="36" t="str">
        <f aca="false">IF($B371="","",IF($C371="泓普",$C$2,IF($C371="仟茂",$E$2,IF($C371="现金",$G$2,0)))+SUMIFS($I$5:$I371,$C$5:$C371,$C371)-SUMIFS($J$5:$J371,$C$5:$C371,$C371))</f>
        <v/>
      </c>
      <c r="L371" s="36" t="str">
        <f aca="false">IF($B371="","",$C$2+$E$2+$G$2+SUM($I$5:$I371)-SUM($J$5:$J371))</f>
        <v/>
      </c>
      <c r="M371" s="24"/>
      <c r="N371" s="33" t="str">
        <f aca="false">IF($B371="","",IF(NOT(ISNUMBER($B371)),"日期格式不对",IF($C371="","未选资金账户",IF(AND(N($I371)=0,N($J371)=0),"收支都为空",IF(AND(N($I371)&gt;0,N($J371)&gt;0),"收支不能同时填",IF(AND($D371&lt;&gt;"",LEFT($O371,1)="⚠"),"项目编号不存在",IF(AND($M371="是",$F371=""),"工程回款必须填往来单位","√")))))))</f>
        <v/>
      </c>
      <c r="O371" s="34" t="str">
        <f aca="false">IF($D371="","",IFERROR(INDEX(项目档案!$B$6:$B$255,MATCH($D371,项目档案!$A$6:$A$255,0)),"⚠编号不存在"))</f>
        <v/>
      </c>
      <c r="P371" s="35" t="str">
        <f aca="false">IF($B371="","",TEXT($B371,"yyyy-mm"))</f>
        <v/>
      </c>
    </row>
    <row r="372" customFormat="false" ht="15.75" hidden="false" customHeight="true" outlineLevel="0" collapsed="false">
      <c r="A372" s="32" t="str">
        <f aca="false">IF($B372="","",ROW()-4)</f>
        <v/>
      </c>
      <c r="B372" s="26"/>
      <c r="C372" s="21"/>
      <c r="D372" s="24"/>
      <c r="E372" s="21"/>
      <c r="F372" s="24"/>
      <c r="G372" s="21"/>
      <c r="H372" s="22"/>
      <c r="I372" s="27"/>
      <c r="J372" s="27"/>
      <c r="K372" s="36" t="str">
        <f aca="false">IF($B372="","",IF($C372="泓普",$C$2,IF($C372="仟茂",$E$2,IF($C372="现金",$G$2,0)))+SUMIFS($I$5:$I372,$C$5:$C372,$C372)-SUMIFS($J$5:$J372,$C$5:$C372,$C372))</f>
        <v/>
      </c>
      <c r="L372" s="36" t="str">
        <f aca="false">IF($B372="","",$C$2+$E$2+$G$2+SUM($I$5:$I372)-SUM($J$5:$J372))</f>
        <v/>
      </c>
      <c r="M372" s="24"/>
      <c r="N372" s="33" t="str">
        <f aca="false">IF($B372="","",IF(NOT(ISNUMBER($B372)),"日期格式不对",IF($C372="","未选资金账户",IF(AND(N($I372)=0,N($J372)=0),"收支都为空",IF(AND(N($I372)&gt;0,N($J372)&gt;0),"收支不能同时填",IF(AND($D372&lt;&gt;"",LEFT($O372,1)="⚠"),"项目编号不存在",IF(AND($M372="是",$F372=""),"工程回款必须填往来单位","√")))))))</f>
        <v/>
      </c>
      <c r="O372" s="34" t="str">
        <f aca="false">IF($D372="","",IFERROR(INDEX(项目档案!$B$6:$B$255,MATCH($D372,项目档案!$A$6:$A$255,0)),"⚠编号不存在"))</f>
        <v/>
      </c>
      <c r="P372" s="35" t="str">
        <f aca="false">IF($B372="","",TEXT($B372,"yyyy-mm"))</f>
        <v/>
      </c>
    </row>
    <row r="373" customFormat="false" ht="15.75" hidden="false" customHeight="true" outlineLevel="0" collapsed="false">
      <c r="A373" s="32" t="str">
        <f aca="false">IF($B373="","",ROW()-4)</f>
        <v/>
      </c>
      <c r="B373" s="26"/>
      <c r="C373" s="21"/>
      <c r="D373" s="24"/>
      <c r="E373" s="21"/>
      <c r="F373" s="24"/>
      <c r="G373" s="21"/>
      <c r="H373" s="22"/>
      <c r="I373" s="27"/>
      <c r="J373" s="27"/>
      <c r="K373" s="36" t="str">
        <f aca="false">IF($B373="","",IF($C373="泓普",$C$2,IF($C373="仟茂",$E$2,IF($C373="现金",$G$2,0)))+SUMIFS($I$5:$I373,$C$5:$C373,$C373)-SUMIFS($J$5:$J373,$C$5:$C373,$C373))</f>
        <v/>
      </c>
      <c r="L373" s="36" t="str">
        <f aca="false">IF($B373="","",$C$2+$E$2+$G$2+SUM($I$5:$I373)-SUM($J$5:$J373))</f>
        <v/>
      </c>
      <c r="M373" s="24"/>
      <c r="N373" s="33" t="str">
        <f aca="false">IF($B373="","",IF(NOT(ISNUMBER($B373)),"日期格式不对",IF($C373="","未选资金账户",IF(AND(N($I373)=0,N($J373)=0),"收支都为空",IF(AND(N($I373)&gt;0,N($J373)&gt;0),"收支不能同时填",IF(AND($D373&lt;&gt;"",LEFT($O373,1)="⚠"),"项目编号不存在",IF(AND($M373="是",$F373=""),"工程回款必须填往来单位","√")))))))</f>
        <v/>
      </c>
      <c r="O373" s="34" t="str">
        <f aca="false">IF($D373="","",IFERROR(INDEX(项目档案!$B$6:$B$255,MATCH($D373,项目档案!$A$6:$A$255,0)),"⚠编号不存在"))</f>
        <v/>
      </c>
      <c r="P373" s="35" t="str">
        <f aca="false">IF($B373="","",TEXT($B373,"yyyy-mm"))</f>
        <v/>
      </c>
    </row>
    <row r="374" customFormat="false" ht="15.75" hidden="false" customHeight="true" outlineLevel="0" collapsed="false">
      <c r="A374" s="32" t="str">
        <f aca="false">IF($B374="","",ROW()-4)</f>
        <v/>
      </c>
      <c r="B374" s="26"/>
      <c r="C374" s="21"/>
      <c r="D374" s="24"/>
      <c r="E374" s="21"/>
      <c r="F374" s="24"/>
      <c r="G374" s="21"/>
      <c r="H374" s="22"/>
      <c r="I374" s="27"/>
      <c r="J374" s="27"/>
      <c r="K374" s="36" t="str">
        <f aca="false">IF($B374="","",IF($C374="泓普",$C$2,IF($C374="仟茂",$E$2,IF($C374="现金",$G$2,0)))+SUMIFS($I$5:$I374,$C$5:$C374,$C374)-SUMIFS($J$5:$J374,$C$5:$C374,$C374))</f>
        <v/>
      </c>
      <c r="L374" s="36" t="str">
        <f aca="false">IF($B374="","",$C$2+$E$2+$G$2+SUM($I$5:$I374)-SUM($J$5:$J374))</f>
        <v/>
      </c>
      <c r="M374" s="24"/>
      <c r="N374" s="33" t="str">
        <f aca="false">IF($B374="","",IF(NOT(ISNUMBER($B374)),"日期格式不对",IF($C374="","未选资金账户",IF(AND(N($I374)=0,N($J374)=0),"收支都为空",IF(AND(N($I374)&gt;0,N($J374)&gt;0),"收支不能同时填",IF(AND($D374&lt;&gt;"",LEFT($O374,1)="⚠"),"项目编号不存在",IF(AND($M374="是",$F374=""),"工程回款必须填往来单位","√")))))))</f>
        <v/>
      </c>
      <c r="O374" s="34" t="str">
        <f aca="false">IF($D374="","",IFERROR(INDEX(项目档案!$B$6:$B$255,MATCH($D374,项目档案!$A$6:$A$255,0)),"⚠编号不存在"))</f>
        <v/>
      </c>
      <c r="P374" s="35" t="str">
        <f aca="false">IF($B374="","",TEXT($B374,"yyyy-mm"))</f>
        <v/>
      </c>
    </row>
    <row r="375" customFormat="false" ht="15.75" hidden="false" customHeight="true" outlineLevel="0" collapsed="false">
      <c r="A375" s="32" t="str">
        <f aca="false">IF($B375="","",ROW()-4)</f>
        <v/>
      </c>
      <c r="B375" s="26"/>
      <c r="C375" s="21"/>
      <c r="D375" s="24"/>
      <c r="E375" s="21"/>
      <c r="F375" s="24"/>
      <c r="G375" s="21"/>
      <c r="H375" s="22"/>
      <c r="I375" s="27"/>
      <c r="J375" s="27"/>
      <c r="K375" s="36" t="str">
        <f aca="false">IF($B375="","",IF($C375="泓普",$C$2,IF($C375="仟茂",$E$2,IF($C375="现金",$G$2,0)))+SUMIFS($I$5:$I375,$C$5:$C375,$C375)-SUMIFS($J$5:$J375,$C$5:$C375,$C375))</f>
        <v/>
      </c>
      <c r="L375" s="36" t="str">
        <f aca="false">IF($B375="","",$C$2+$E$2+$G$2+SUM($I$5:$I375)-SUM($J$5:$J375))</f>
        <v/>
      </c>
      <c r="M375" s="24"/>
      <c r="N375" s="33" t="str">
        <f aca="false">IF($B375="","",IF(NOT(ISNUMBER($B375)),"日期格式不对",IF($C375="","未选资金账户",IF(AND(N($I375)=0,N($J375)=0),"收支都为空",IF(AND(N($I375)&gt;0,N($J375)&gt;0),"收支不能同时填",IF(AND($D375&lt;&gt;"",LEFT($O375,1)="⚠"),"项目编号不存在",IF(AND($M375="是",$F375=""),"工程回款必须填往来单位","√")))))))</f>
        <v/>
      </c>
      <c r="O375" s="34" t="str">
        <f aca="false">IF($D375="","",IFERROR(INDEX(项目档案!$B$6:$B$255,MATCH($D375,项目档案!$A$6:$A$255,0)),"⚠编号不存在"))</f>
        <v/>
      </c>
      <c r="P375" s="35" t="str">
        <f aca="false">IF($B375="","",TEXT($B375,"yyyy-mm"))</f>
        <v/>
      </c>
    </row>
    <row r="376" customFormat="false" ht="15.75" hidden="false" customHeight="true" outlineLevel="0" collapsed="false">
      <c r="A376" s="32" t="str">
        <f aca="false">IF($B376="","",ROW()-4)</f>
        <v/>
      </c>
      <c r="B376" s="26"/>
      <c r="C376" s="21"/>
      <c r="D376" s="24"/>
      <c r="E376" s="21"/>
      <c r="F376" s="24"/>
      <c r="G376" s="21"/>
      <c r="H376" s="22"/>
      <c r="I376" s="27"/>
      <c r="J376" s="27"/>
      <c r="K376" s="36" t="str">
        <f aca="false">IF($B376="","",IF($C376="泓普",$C$2,IF($C376="仟茂",$E$2,IF($C376="现金",$G$2,0)))+SUMIFS($I$5:$I376,$C$5:$C376,$C376)-SUMIFS($J$5:$J376,$C$5:$C376,$C376))</f>
        <v/>
      </c>
      <c r="L376" s="36" t="str">
        <f aca="false">IF($B376="","",$C$2+$E$2+$G$2+SUM($I$5:$I376)-SUM($J$5:$J376))</f>
        <v/>
      </c>
      <c r="M376" s="24"/>
      <c r="N376" s="33" t="str">
        <f aca="false">IF($B376="","",IF(NOT(ISNUMBER($B376)),"日期格式不对",IF($C376="","未选资金账户",IF(AND(N($I376)=0,N($J376)=0),"收支都为空",IF(AND(N($I376)&gt;0,N($J376)&gt;0),"收支不能同时填",IF(AND($D376&lt;&gt;"",LEFT($O376,1)="⚠"),"项目编号不存在",IF(AND($M376="是",$F376=""),"工程回款必须填往来单位","√")))))))</f>
        <v/>
      </c>
      <c r="O376" s="34" t="str">
        <f aca="false">IF($D376="","",IFERROR(INDEX(项目档案!$B$6:$B$255,MATCH($D376,项目档案!$A$6:$A$255,0)),"⚠编号不存在"))</f>
        <v/>
      </c>
      <c r="P376" s="35" t="str">
        <f aca="false">IF($B376="","",TEXT($B376,"yyyy-mm"))</f>
        <v/>
      </c>
    </row>
    <row r="377" customFormat="false" ht="15.75" hidden="false" customHeight="true" outlineLevel="0" collapsed="false">
      <c r="A377" s="32" t="str">
        <f aca="false">IF($B377="","",ROW()-4)</f>
        <v/>
      </c>
      <c r="B377" s="26"/>
      <c r="C377" s="21"/>
      <c r="D377" s="24"/>
      <c r="E377" s="21"/>
      <c r="F377" s="24"/>
      <c r="G377" s="21"/>
      <c r="H377" s="22"/>
      <c r="I377" s="27"/>
      <c r="J377" s="27"/>
      <c r="K377" s="36" t="str">
        <f aca="false">IF($B377="","",IF($C377="泓普",$C$2,IF($C377="仟茂",$E$2,IF($C377="现金",$G$2,0)))+SUMIFS($I$5:$I377,$C$5:$C377,$C377)-SUMIFS($J$5:$J377,$C$5:$C377,$C377))</f>
        <v/>
      </c>
      <c r="L377" s="36" t="str">
        <f aca="false">IF($B377="","",$C$2+$E$2+$G$2+SUM($I$5:$I377)-SUM($J$5:$J377))</f>
        <v/>
      </c>
      <c r="M377" s="24"/>
      <c r="N377" s="33" t="str">
        <f aca="false">IF($B377="","",IF(NOT(ISNUMBER($B377)),"日期格式不对",IF($C377="","未选资金账户",IF(AND(N($I377)=0,N($J377)=0),"收支都为空",IF(AND(N($I377)&gt;0,N($J377)&gt;0),"收支不能同时填",IF(AND($D377&lt;&gt;"",LEFT($O377,1)="⚠"),"项目编号不存在",IF(AND($M377="是",$F377=""),"工程回款必须填往来单位","√")))))))</f>
        <v/>
      </c>
      <c r="O377" s="34" t="str">
        <f aca="false">IF($D377="","",IFERROR(INDEX(项目档案!$B$6:$B$255,MATCH($D377,项目档案!$A$6:$A$255,0)),"⚠编号不存在"))</f>
        <v/>
      </c>
      <c r="P377" s="35" t="str">
        <f aca="false">IF($B377="","",TEXT($B377,"yyyy-mm"))</f>
        <v/>
      </c>
    </row>
    <row r="378" customFormat="false" ht="15.75" hidden="false" customHeight="true" outlineLevel="0" collapsed="false">
      <c r="A378" s="32" t="str">
        <f aca="false">IF($B378="","",ROW()-4)</f>
        <v/>
      </c>
      <c r="B378" s="26"/>
      <c r="C378" s="21"/>
      <c r="D378" s="24"/>
      <c r="E378" s="21"/>
      <c r="F378" s="24"/>
      <c r="G378" s="21"/>
      <c r="H378" s="22"/>
      <c r="I378" s="27"/>
      <c r="J378" s="27"/>
      <c r="K378" s="36" t="str">
        <f aca="false">IF($B378="","",IF($C378="泓普",$C$2,IF($C378="仟茂",$E$2,IF($C378="现金",$G$2,0)))+SUMIFS($I$5:$I378,$C$5:$C378,$C378)-SUMIFS($J$5:$J378,$C$5:$C378,$C378))</f>
        <v/>
      </c>
      <c r="L378" s="36" t="str">
        <f aca="false">IF($B378="","",$C$2+$E$2+$G$2+SUM($I$5:$I378)-SUM($J$5:$J378))</f>
        <v/>
      </c>
      <c r="M378" s="24"/>
      <c r="N378" s="33" t="str">
        <f aca="false">IF($B378="","",IF(NOT(ISNUMBER($B378)),"日期格式不对",IF($C378="","未选资金账户",IF(AND(N($I378)=0,N($J378)=0),"收支都为空",IF(AND(N($I378)&gt;0,N($J378)&gt;0),"收支不能同时填",IF(AND($D378&lt;&gt;"",LEFT($O378,1)="⚠"),"项目编号不存在",IF(AND($M378="是",$F378=""),"工程回款必须填往来单位","√")))))))</f>
        <v/>
      </c>
      <c r="O378" s="34" t="str">
        <f aca="false">IF($D378="","",IFERROR(INDEX(项目档案!$B$6:$B$255,MATCH($D378,项目档案!$A$6:$A$255,0)),"⚠编号不存在"))</f>
        <v/>
      </c>
      <c r="P378" s="35" t="str">
        <f aca="false">IF($B378="","",TEXT($B378,"yyyy-mm"))</f>
        <v/>
      </c>
    </row>
    <row r="379" customFormat="false" ht="15.75" hidden="false" customHeight="true" outlineLevel="0" collapsed="false">
      <c r="A379" s="32" t="str">
        <f aca="false">IF($B379="","",ROW()-4)</f>
        <v/>
      </c>
      <c r="B379" s="26"/>
      <c r="C379" s="21"/>
      <c r="D379" s="24"/>
      <c r="E379" s="21"/>
      <c r="F379" s="24"/>
      <c r="G379" s="21"/>
      <c r="H379" s="22"/>
      <c r="I379" s="27"/>
      <c r="J379" s="27"/>
      <c r="K379" s="36" t="str">
        <f aca="false">IF($B379="","",IF($C379="泓普",$C$2,IF($C379="仟茂",$E$2,IF($C379="现金",$G$2,0)))+SUMIFS($I$5:$I379,$C$5:$C379,$C379)-SUMIFS($J$5:$J379,$C$5:$C379,$C379))</f>
        <v/>
      </c>
      <c r="L379" s="36" t="str">
        <f aca="false">IF($B379="","",$C$2+$E$2+$G$2+SUM($I$5:$I379)-SUM($J$5:$J379))</f>
        <v/>
      </c>
      <c r="M379" s="24"/>
      <c r="N379" s="33" t="str">
        <f aca="false">IF($B379="","",IF(NOT(ISNUMBER($B379)),"日期格式不对",IF($C379="","未选资金账户",IF(AND(N($I379)=0,N($J379)=0),"收支都为空",IF(AND(N($I379)&gt;0,N($J379)&gt;0),"收支不能同时填",IF(AND($D379&lt;&gt;"",LEFT($O379,1)="⚠"),"项目编号不存在",IF(AND($M379="是",$F379=""),"工程回款必须填往来单位","√")))))))</f>
        <v/>
      </c>
      <c r="O379" s="34" t="str">
        <f aca="false">IF($D379="","",IFERROR(INDEX(项目档案!$B$6:$B$255,MATCH($D379,项目档案!$A$6:$A$255,0)),"⚠编号不存在"))</f>
        <v/>
      </c>
      <c r="P379" s="35" t="str">
        <f aca="false">IF($B379="","",TEXT($B379,"yyyy-mm"))</f>
        <v/>
      </c>
    </row>
    <row r="380" customFormat="false" ht="15.75" hidden="false" customHeight="true" outlineLevel="0" collapsed="false">
      <c r="A380" s="32" t="str">
        <f aca="false">IF($B380="","",ROW()-4)</f>
        <v/>
      </c>
      <c r="B380" s="26"/>
      <c r="C380" s="21"/>
      <c r="D380" s="24"/>
      <c r="E380" s="21"/>
      <c r="F380" s="24"/>
      <c r="G380" s="21"/>
      <c r="H380" s="22"/>
      <c r="I380" s="27"/>
      <c r="J380" s="27"/>
      <c r="K380" s="36" t="str">
        <f aca="false">IF($B380="","",IF($C380="泓普",$C$2,IF($C380="仟茂",$E$2,IF($C380="现金",$G$2,0)))+SUMIFS($I$5:$I380,$C$5:$C380,$C380)-SUMIFS($J$5:$J380,$C$5:$C380,$C380))</f>
        <v/>
      </c>
      <c r="L380" s="36" t="str">
        <f aca="false">IF($B380="","",$C$2+$E$2+$G$2+SUM($I$5:$I380)-SUM($J$5:$J380))</f>
        <v/>
      </c>
      <c r="M380" s="24"/>
      <c r="N380" s="33" t="str">
        <f aca="false">IF($B380="","",IF(NOT(ISNUMBER($B380)),"日期格式不对",IF($C380="","未选资金账户",IF(AND(N($I380)=0,N($J380)=0),"收支都为空",IF(AND(N($I380)&gt;0,N($J380)&gt;0),"收支不能同时填",IF(AND($D380&lt;&gt;"",LEFT($O380,1)="⚠"),"项目编号不存在",IF(AND($M380="是",$F380=""),"工程回款必须填往来单位","√")))))))</f>
        <v/>
      </c>
      <c r="O380" s="34" t="str">
        <f aca="false">IF($D380="","",IFERROR(INDEX(项目档案!$B$6:$B$255,MATCH($D380,项目档案!$A$6:$A$255,0)),"⚠编号不存在"))</f>
        <v/>
      </c>
      <c r="P380" s="35" t="str">
        <f aca="false">IF($B380="","",TEXT($B380,"yyyy-mm"))</f>
        <v/>
      </c>
    </row>
    <row r="381" customFormat="false" ht="15.75" hidden="false" customHeight="true" outlineLevel="0" collapsed="false">
      <c r="A381" s="32" t="str">
        <f aca="false">IF($B381="","",ROW()-4)</f>
        <v/>
      </c>
      <c r="B381" s="26"/>
      <c r="C381" s="21"/>
      <c r="D381" s="24"/>
      <c r="E381" s="21"/>
      <c r="F381" s="24"/>
      <c r="G381" s="21"/>
      <c r="H381" s="22"/>
      <c r="I381" s="27"/>
      <c r="J381" s="27"/>
      <c r="K381" s="36" t="str">
        <f aca="false">IF($B381="","",IF($C381="泓普",$C$2,IF($C381="仟茂",$E$2,IF($C381="现金",$G$2,0)))+SUMIFS($I$5:$I381,$C$5:$C381,$C381)-SUMIFS($J$5:$J381,$C$5:$C381,$C381))</f>
        <v/>
      </c>
      <c r="L381" s="36" t="str">
        <f aca="false">IF($B381="","",$C$2+$E$2+$G$2+SUM($I$5:$I381)-SUM($J$5:$J381))</f>
        <v/>
      </c>
      <c r="M381" s="24"/>
      <c r="N381" s="33" t="str">
        <f aca="false">IF($B381="","",IF(NOT(ISNUMBER($B381)),"日期格式不对",IF($C381="","未选资金账户",IF(AND(N($I381)=0,N($J381)=0),"收支都为空",IF(AND(N($I381)&gt;0,N($J381)&gt;0),"收支不能同时填",IF(AND($D381&lt;&gt;"",LEFT($O381,1)="⚠"),"项目编号不存在",IF(AND($M381="是",$F381=""),"工程回款必须填往来单位","√")))))))</f>
        <v/>
      </c>
      <c r="O381" s="34" t="str">
        <f aca="false">IF($D381="","",IFERROR(INDEX(项目档案!$B$6:$B$255,MATCH($D381,项目档案!$A$6:$A$255,0)),"⚠编号不存在"))</f>
        <v/>
      </c>
      <c r="P381" s="35" t="str">
        <f aca="false">IF($B381="","",TEXT($B381,"yyyy-mm"))</f>
        <v/>
      </c>
    </row>
    <row r="382" customFormat="false" ht="15.75" hidden="false" customHeight="true" outlineLevel="0" collapsed="false">
      <c r="A382" s="32" t="str">
        <f aca="false">IF($B382="","",ROW()-4)</f>
        <v/>
      </c>
      <c r="B382" s="26"/>
      <c r="C382" s="21"/>
      <c r="D382" s="24"/>
      <c r="E382" s="21"/>
      <c r="F382" s="24"/>
      <c r="G382" s="21"/>
      <c r="H382" s="22"/>
      <c r="I382" s="27"/>
      <c r="J382" s="27"/>
      <c r="K382" s="36" t="str">
        <f aca="false">IF($B382="","",IF($C382="泓普",$C$2,IF($C382="仟茂",$E$2,IF($C382="现金",$G$2,0)))+SUMIFS($I$5:$I382,$C$5:$C382,$C382)-SUMIFS($J$5:$J382,$C$5:$C382,$C382))</f>
        <v/>
      </c>
      <c r="L382" s="36" t="str">
        <f aca="false">IF($B382="","",$C$2+$E$2+$G$2+SUM($I$5:$I382)-SUM($J$5:$J382))</f>
        <v/>
      </c>
      <c r="M382" s="24"/>
      <c r="N382" s="33" t="str">
        <f aca="false">IF($B382="","",IF(NOT(ISNUMBER($B382)),"日期格式不对",IF($C382="","未选资金账户",IF(AND(N($I382)=0,N($J382)=0),"收支都为空",IF(AND(N($I382)&gt;0,N($J382)&gt;0),"收支不能同时填",IF(AND($D382&lt;&gt;"",LEFT($O382,1)="⚠"),"项目编号不存在",IF(AND($M382="是",$F382=""),"工程回款必须填往来单位","√")))))))</f>
        <v/>
      </c>
      <c r="O382" s="34" t="str">
        <f aca="false">IF($D382="","",IFERROR(INDEX(项目档案!$B$6:$B$255,MATCH($D382,项目档案!$A$6:$A$255,0)),"⚠编号不存在"))</f>
        <v/>
      </c>
      <c r="P382" s="35" t="str">
        <f aca="false">IF($B382="","",TEXT($B382,"yyyy-mm"))</f>
        <v/>
      </c>
    </row>
    <row r="383" customFormat="false" ht="15.75" hidden="false" customHeight="true" outlineLevel="0" collapsed="false">
      <c r="A383" s="32" t="str">
        <f aca="false">IF($B383="","",ROW()-4)</f>
        <v/>
      </c>
      <c r="B383" s="26"/>
      <c r="C383" s="21"/>
      <c r="D383" s="24"/>
      <c r="E383" s="21"/>
      <c r="F383" s="24"/>
      <c r="G383" s="21"/>
      <c r="H383" s="22"/>
      <c r="I383" s="27"/>
      <c r="J383" s="27"/>
      <c r="K383" s="36" t="str">
        <f aca="false">IF($B383="","",IF($C383="泓普",$C$2,IF($C383="仟茂",$E$2,IF($C383="现金",$G$2,0)))+SUMIFS($I$5:$I383,$C$5:$C383,$C383)-SUMIFS($J$5:$J383,$C$5:$C383,$C383))</f>
        <v/>
      </c>
      <c r="L383" s="36" t="str">
        <f aca="false">IF($B383="","",$C$2+$E$2+$G$2+SUM($I$5:$I383)-SUM($J$5:$J383))</f>
        <v/>
      </c>
      <c r="M383" s="24"/>
      <c r="N383" s="33" t="str">
        <f aca="false">IF($B383="","",IF(NOT(ISNUMBER($B383)),"日期格式不对",IF($C383="","未选资金账户",IF(AND(N($I383)=0,N($J383)=0),"收支都为空",IF(AND(N($I383)&gt;0,N($J383)&gt;0),"收支不能同时填",IF(AND($D383&lt;&gt;"",LEFT($O383,1)="⚠"),"项目编号不存在",IF(AND($M383="是",$F383=""),"工程回款必须填往来单位","√")))))))</f>
        <v/>
      </c>
      <c r="O383" s="34" t="str">
        <f aca="false">IF($D383="","",IFERROR(INDEX(项目档案!$B$6:$B$255,MATCH($D383,项目档案!$A$6:$A$255,0)),"⚠编号不存在"))</f>
        <v/>
      </c>
      <c r="P383" s="35" t="str">
        <f aca="false">IF($B383="","",TEXT($B383,"yyyy-mm"))</f>
        <v/>
      </c>
    </row>
    <row r="384" customFormat="false" ht="15.75" hidden="false" customHeight="true" outlineLevel="0" collapsed="false">
      <c r="A384" s="32" t="str">
        <f aca="false">IF($B384="","",ROW()-4)</f>
        <v/>
      </c>
      <c r="B384" s="26"/>
      <c r="C384" s="21"/>
      <c r="D384" s="24"/>
      <c r="E384" s="21"/>
      <c r="F384" s="24"/>
      <c r="G384" s="21"/>
      <c r="H384" s="22"/>
      <c r="I384" s="27"/>
      <c r="J384" s="27"/>
      <c r="K384" s="36" t="str">
        <f aca="false">IF($B384="","",IF($C384="泓普",$C$2,IF($C384="仟茂",$E$2,IF($C384="现金",$G$2,0)))+SUMIFS($I$5:$I384,$C$5:$C384,$C384)-SUMIFS($J$5:$J384,$C$5:$C384,$C384))</f>
        <v/>
      </c>
      <c r="L384" s="36" t="str">
        <f aca="false">IF($B384="","",$C$2+$E$2+$G$2+SUM($I$5:$I384)-SUM($J$5:$J384))</f>
        <v/>
      </c>
      <c r="M384" s="24"/>
      <c r="N384" s="33" t="str">
        <f aca="false">IF($B384="","",IF(NOT(ISNUMBER($B384)),"日期格式不对",IF($C384="","未选资金账户",IF(AND(N($I384)=0,N($J384)=0),"收支都为空",IF(AND(N($I384)&gt;0,N($J384)&gt;0),"收支不能同时填",IF(AND($D384&lt;&gt;"",LEFT($O384,1)="⚠"),"项目编号不存在",IF(AND($M384="是",$F384=""),"工程回款必须填往来单位","√")))))))</f>
        <v/>
      </c>
      <c r="O384" s="34" t="str">
        <f aca="false">IF($D384="","",IFERROR(INDEX(项目档案!$B$6:$B$255,MATCH($D384,项目档案!$A$6:$A$255,0)),"⚠编号不存在"))</f>
        <v/>
      </c>
      <c r="P384" s="35" t="str">
        <f aca="false">IF($B384="","",TEXT($B384,"yyyy-mm"))</f>
        <v/>
      </c>
    </row>
    <row r="385" customFormat="false" ht="15.75" hidden="false" customHeight="true" outlineLevel="0" collapsed="false">
      <c r="A385" s="32" t="str">
        <f aca="false">IF($B385="","",ROW()-4)</f>
        <v/>
      </c>
      <c r="B385" s="26"/>
      <c r="C385" s="21"/>
      <c r="D385" s="24"/>
      <c r="E385" s="21"/>
      <c r="F385" s="24"/>
      <c r="G385" s="21"/>
      <c r="H385" s="22"/>
      <c r="I385" s="27"/>
      <c r="J385" s="27"/>
      <c r="K385" s="36" t="str">
        <f aca="false">IF($B385="","",IF($C385="泓普",$C$2,IF($C385="仟茂",$E$2,IF($C385="现金",$G$2,0)))+SUMIFS($I$5:$I385,$C$5:$C385,$C385)-SUMIFS($J$5:$J385,$C$5:$C385,$C385))</f>
        <v/>
      </c>
      <c r="L385" s="36" t="str">
        <f aca="false">IF($B385="","",$C$2+$E$2+$G$2+SUM($I$5:$I385)-SUM($J$5:$J385))</f>
        <v/>
      </c>
      <c r="M385" s="24"/>
      <c r="N385" s="33" t="str">
        <f aca="false">IF($B385="","",IF(NOT(ISNUMBER($B385)),"日期格式不对",IF($C385="","未选资金账户",IF(AND(N($I385)=0,N($J385)=0),"收支都为空",IF(AND(N($I385)&gt;0,N($J385)&gt;0),"收支不能同时填",IF(AND($D385&lt;&gt;"",LEFT($O385,1)="⚠"),"项目编号不存在",IF(AND($M385="是",$F385=""),"工程回款必须填往来单位","√")))))))</f>
        <v/>
      </c>
      <c r="O385" s="34" t="str">
        <f aca="false">IF($D385="","",IFERROR(INDEX(项目档案!$B$6:$B$255,MATCH($D385,项目档案!$A$6:$A$255,0)),"⚠编号不存在"))</f>
        <v/>
      </c>
      <c r="P385" s="35" t="str">
        <f aca="false">IF($B385="","",TEXT($B385,"yyyy-mm"))</f>
        <v/>
      </c>
    </row>
    <row r="386" customFormat="false" ht="15.75" hidden="false" customHeight="true" outlineLevel="0" collapsed="false">
      <c r="A386" s="32" t="str">
        <f aca="false">IF($B386="","",ROW()-4)</f>
        <v/>
      </c>
      <c r="B386" s="26"/>
      <c r="C386" s="21"/>
      <c r="D386" s="24"/>
      <c r="E386" s="21"/>
      <c r="F386" s="24"/>
      <c r="G386" s="21"/>
      <c r="H386" s="22"/>
      <c r="I386" s="27"/>
      <c r="J386" s="27"/>
      <c r="K386" s="36" t="str">
        <f aca="false">IF($B386="","",IF($C386="泓普",$C$2,IF($C386="仟茂",$E$2,IF($C386="现金",$G$2,0)))+SUMIFS($I$5:$I386,$C$5:$C386,$C386)-SUMIFS($J$5:$J386,$C$5:$C386,$C386))</f>
        <v/>
      </c>
      <c r="L386" s="36" t="str">
        <f aca="false">IF($B386="","",$C$2+$E$2+$G$2+SUM($I$5:$I386)-SUM($J$5:$J386))</f>
        <v/>
      </c>
      <c r="M386" s="24"/>
      <c r="N386" s="33" t="str">
        <f aca="false">IF($B386="","",IF(NOT(ISNUMBER($B386)),"日期格式不对",IF($C386="","未选资金账户",IF(AND(N($I386)=0,N($J386)=0),"收支都为空",IF(AND(N($I386)&gt;0,N($J386)&gt;0),"收支不能同时填",IF(AND($D386&lt;&gt;"",LEFT($O386,1)="⚠"),"项目编号不存在",IF(AND($M386="是",$F386=""),"工程回款必须填往来单位","√")))))))</f>
        <v/>
      </c>
      <c r="O386" s="34" t="str">
        <f aca="false">IF($D386="","",IFERROR(INDEX(项目档案!$B$6:$B$255,MATCH($D386,项目档案!$A$6:$A$255,0)),"⚠编号不存在"))</f>
        <v/>
      </c>
      <c r="P386" s="35" t="str">
        <f aca="false">IF($B386="","",TEXT($B386,"yyyy-mm"))</f>
        <v/>
      </c>
    </row>
    <row r="387" customFormat="false" ht="15.75" hidden="false" customHeight="true" outlineLevel="0" collapsed="false">
      <c r="A387" s="32" t="str">
        <f aca="false">IF($B387="","",ROW()-4)</f>
        <v/>
      </c>
      <c r="B387" s="26"/>
      <c r="C387" s="21"/>
      <c r="D387" s="24"/>
      <c r="E387" s="21"/>
      <c r="F387" s="24"/>
      <c r="G387" s="21"/>
      <c r="H387" s="22"/>
      <c r="I387" s="27"/>
      <c r="J387" s="27"/>
      <c r="K387" s="36" t="str">
        <f aca="false">IF($B387="","",IF($C387="泓普",$C$2,IF($C387="仟茂",$E$2,IF($C387="现金",$G$2,0)))+SUMIFS($I$5:$I387,$C$5:$C387,$C387)-SUMIFS($J$5:$J387,$C$5:$C387,$C387))</f>
        <v/>
      </c>
      <c r="L387" s="36" t="str">
        <f aca="false">IF($B387="","",$C$2+$E$2+$G$2+SUM($I$5:$I387)-SUM($J$5:$J387))</f>
        <v/>
      </c>
      <c r="M387" s="24"/>
      <c r="N387" s="33" t="str">
        <f aca="false">IF($B387="","",IF(NOT(ISNUMBER($B387)),"日期格式不对",IF($C387="","未选资金账户",IF(AND(N($I387)=0,N($J387)=0),"收支都为空",IF(AND(N($I387)&gt;0,N($J387)&gt;0),"收支不能同时填",IF(AND($D387&lt;&gt;"",LEFT($O387,1)="⚠"),"项目编号不存在",IF(AND($M387="是",$F387=""),"工程回款必须填往来单位","√")))))))</f>
        <v/>
      </c>
      <c r="O387" s="34" t="str">
        <f aca="false">IF($D387="","",IFERROR(INDEX(项目档案!$B$6:$B$255,MATCH($D387,项目档案!$A$6:$A$255,0)),"⚠编号不存在"))</f>
        <v/>
      </c>
      <c r="P387" s="35" t="str">
        <f aca="false">IF($B387="","",TEXT($B387,"yyyy-mm"))</f>
        <v/>
      </c>
    </row>
    <row r="388" customFormat="false" ht="15.75" hidden="false" customHeight="true" outlineLevel="0" collapsed="false">
      <c r="A388" s="32" t="str">
        <f aca="false">IF($B388="","",ROW()-4)</f>
        <v/>
      </c>
      <c r="B388" s="26"/>
      <c r="C388" s="21"/>
      <c r="D388" s="24"/>
      <c r="E388" s="21"/>
      <c r="F388" s="24"/>
      <c r="G388" s="21"/>
      <c r="H388" s="22"/>
      <c r="I388" s="27"/>
      <c r="J388" s="27"/>
      <c r="K388" s="36" t="str">
        <f aca="false">IF($B388="","",IF($C388="泓普",$C$2,IF($C388="仟茂",$E$2,IF($C388="现金",$G$2,0)))+SUMIFS($I$5:$I388,$C$5:$C388,$C388)-SUMIFS($J$5:$J388,$C$5:$C388,$C388))</f>
        <v/>
      </c>
      <c r="L388" s="36" t="str">
        <f aca="false">IF($B388="","",$C$2+$E$2+$G$2+SUM($I$5:$I388)-SUM($J$5:$J388))</f>
        <v/>
      </c>
      <c r="M388" s="24"/>
      <c r="N388" s="33" t="str">
        <f aca="false">IF($B388="","",IF(NOT(ISNUMBER($B388)),"日期格式不对",IF($C388="","未选资金账户",IF(AND(N($I388)=0,N($J388)=0),"收支都为空",IF(AND(N($I388)&gt;0,N($J388)&gt;0),"收支不能同时填",IF(AND($D388&lt;&gt;"",LEFT($O388,1)="⚠"),"项目编号不存在",IF(AND($M388="是",$F388=""),"工程回款必须填往来单位","√")))))))</f>
        <v/>
      </c>
      <c r="O388" s="34" t="str">
        <f aca="false">IF($D388="","",IFERROR(INDEX(项目档案!$B$6:$B$255,MATCH($D388,项目档案!$A$6:$A$255,0)),"⚠编号不存在"))</f>
        <v/>
      </c>
      <c r="P388" s="35" t="str">
        <f aca="false">IF($B388="","",TEXT($B388,"yyyy-mm"))</f>
        <v/>
      </c>
    </row>
    <row r="389" customFormat="false" ht="15.75" hidden="false" customHeight="true" outlineLevel="0" collapsed="false">
      <c r="A389" s="32" t="str">
        <f aca="false">IF($B389="","",ROW()-4)</f>
        <v/>
      </c>
      <c r="B389" s="26"/>
      <c r="C389" s="21"/>
      <c r="D389" s="24"/>
      <c r="E389" s="21"/>
      <c r="F389" s="24"/>
      <c r="G389" s="21"/>
      <c r="H389" s="22"/>
      <c r="I389" s="27"/>
      <c r="J389" s="27"/>
      <c r="K389" s="36" t="str">
        <f aca="false">IF($B389="","",IF($C389="泓普",$C$2,IF($C389="仟茂",$E$2,IF($C389="现金",$G$2,0)))+SUMIFS($I$5:$I389,$C$5:$C389,$C389)-SUMIFS($J$5:$J389,$C$5:$C389,$C389))</f>
        <v/>
      </c>
      <c r="L389" s="36" t="str">
        <f aca="false">IF($B389="","",$C$2+$E$2+$G$2+SUM($I$5:$I389)-SUM($J$5:$J389))</f>
        <v/>
      </c>
      <c r="M389" s="24"/>
      <c r="N389" s="33" t="str">
        <f aca="false">IF($B389="","",IF(NOT(ISNUMBER($B389)),"日期格式不对",IF($C389="","未选资金账户",IF(AND(N($I389)=0,N($J389)=0),"收支都为空",IF(AND(N($I389)&gt;0,N($J389)&gt;0),"收支不能同时填",IF(AND($D389&lt;&gt;"",LEFT($O389,1)="⚠"),"项目编号不存在",IF(AND($M389="是",$F389=""),"工程回款必须填往来单位","√")))))))</f>
        <v/>
      </c>
      <c r="O389" s="34" t="str">
        <f aca="false">IF($D389="","",IFERROR(INDEX(项目档案!$B$6:$B$255,MATCH($D389,项目档案!$A$6:$A$255,0)),"⚠编号不存在"))</f>
        <v/>
      </c>
      <c r="P389" s="35" t="str">
        <f aca="false">IF($B389="","",TEXT($B389,"yyyy-mm"))</f>
        <v/>
      </c>
    </row>
    <row r="390" customFormat="false" ht="15.75" hidden="false" customHeight="true" outlineLevel="0" collapsed="false">
      <c r="A390" s="32" t="str">
        <f aca="false">IF($B390="","",ROW()-4)</f>
        <v/>
      </c>
      <c r="B390" s="26"/>
      <c r="C390" s="21"/>
      <c r="D390" s="24"/>
      <c r="E390" s="21"/>
      <c r="F390" s="24"/>
      <c r="G390" s="21"/>
      <c r="H390" s="22"/>
      <c r="I390" s="27"/>
      <c r="J390" s="27"/>
      <c r="K390" s="36" t="str">
        <f aca="false">IF($B390="","",IF($C390="泓普",$C$2,IF($C390="仟茂",$E$2,IF($C390="现金",$G$2,0)))+SUMIFS($I$5:$I390,$C$5:$C390,$C390)-SUMIFS($J$5:$J390,$C$5:$C390,$C390))</f>
        <v/>
      </c>
      <c r="L390" s="36" t="str">
        <f aca="false">IF($B390="","",$C$2+$E$2+$G$2+SUM($I$5:$I390)-SUM($J$5:$J390))</f>
        <v/>
      </c>
      <c r="M390" s="24"/>
      <c r="N390" s="33" t="str">
        <f aca="false">IF($B390="","",IF(NOT(ISNUMBER($B390)),"日期格式不对",IF($C390="","未选资金账户",IF(AND(N($I390)=0,N($J390)=0),"收支都为空",IF(AND(N($I390)&gt;0,N($J390)&gt;0),"收支不能同时填",IF(AND($D390&lt;&gt;"",LEFT($O390,1)="⚠"),"项目编号不存在",IF(AND($M390="是",$F390=""),"工程回款必须填往来单位","√")))))))</f>
        <v/>
      </c>
      <c r="O390" s="34" t="str">
        <f aca="false">IF($D390="","",IFERROR(INDEX(项目档案!$B$6:$B$255,MATCH($D390,项目档案!$A$6:$A$255,0)),"⚠编号不存在"))</f>
        <v/>
      </c>
      <c r="P390" s="35" t="str">
        <f aca="false">IF($B390="","",TEXT($B390,"yyyy-mm"))</f>
        <v/>
      </c>
    </row>
    <row r="391" customFormat="false" ht="15.75" hidden="false" customHeight="true" outlineLevel="0" collapsed="false">
      <c r="A391" s="32" t="str">
        <f aca="false">IF($B391="","",ROW()-4)</f>
        <v/>
      </c>
      <c r="B391" s="26"/>
      <c r="C391" s="21"/>
      <c r="D391" s="24"/>
      <c r="E391" s="21"/>
      <c r="F391" s="24"/>
      <c r="G391" s="21"/>
      <c r="H391" s="22"/>
      <c r="I391" s="27"/>
      <c r="J391" s="27"/>
      <c r="K391" s="36" t="str">
        <f aca="false">IF($B391="","",IF($C391="泓普",$C$2,IF($C391="仟茂",$E$2,IF($C391="现金",$G$2,0)))+SUMIFS($I$5:$I391,$C$5:$C391,$C391)-SUMIFS($J$5:$J391,$C$5:$C391,$C391))</f>
        <v/>
      </c>
      <c r="L391" s="36" t="str">
        <f aca="false">IF($B391="","",$C$2+$E$2+$G$2+SUM($I$5:$I391)-SUM($J$5:$J391))</f>
        <v/>
      </c>
      <c r="M391" s="24"/>
      <c r="N391" s="33" t="str">
        <f aca="false">IF($B391="","",IF(NOT(ISNUMBER($B391)),"日期格式不对",IF($C391="","未选资金账户",IF(AND(N($I391)=0,N($J391)=0),"收支都为空",IF(AND(N($I391)&gt;0,N($J391)&gt;0),"收支不能同时填",IF(AND($D391&lt;&gt;"",LEFT($O391,1)="⚠"),"项目编号不存在",IF(AND($M391="是",$F391=""),"工程回款必须填往来单位","√")))))))</f>
        <v/>
      </c>
      <c r="O391" s="34" t="str">
        <f aca="false">IF($D391="","",IFERROR(INDEX(项目档案!$B$6:$B$255,MATCH($D391,项目档案!$A$6:$A$255,0)),"⚠编号不存在"))</f>
        <v/>
      </c>
      <c r="P391" s="35" t="str">
        <f aca="false">IF($B391="","",TEXT($B391,"yyyy-mm"))</f>
        <v/>
      </c>
    </row>
    <row r="392" customFormat="false" ht="15.75" hidden="false" customHeight="true" outlineLevel="0" collapsed="false">
      <c r="A392" s="32" t="str">
        <f aca="false">IF($B392="","",ROW()-4)</f>
        <v/>
      </c>
      <c r="B392" s="26"/>
      <c r="C392" s="21"/>
      <c r="D392" s="24"/>
      <c r="E392" s="21"/>
      <c r="F392" s="24"/>
      <c r="G392" s="21"/>
      <c r="H392" s="22"/>
      <c r="I392" s="27"/>
      <c r="J392" s="27"/>
      <c r="K392" s="36" t="str">
        <f aca="false">IF($B392="","",IF($C392="泓普",$C$2,IF($C392="仟茂",$E$2,IF($C392="现金",$G$2,0)))+SUMIFS($I$5:$I392,$C$5:$C392,$C392)-SUMIFS($J$5:$J392,$C$5:$C392,$C392))</f>
        <v/>
      </c>
      <c r="L392" s="36" t="str">
        <f aca="false">IF($B392="","",$C$2+$E$2+$G$2+SUM($I$5:$I392)-SUM($J$5:$J392))</f>
        <v/>
      </c>
      <c r="M392" s="24"/>
      <c r="N392" s="33" t="str">
        <f aca="false">IF($B392="","",IF(NOT(ISNUMBER($B392)),"日期格式不对",IF($C392="","未选资金账户",IF(AND(N($I392)=0,N($J392)=0),"收支都为空",IF(AND(N($I392)&gt;0,N($J392)&gt;0),"收支不能同时填",IF(AND($D392&lt;&gt;"",LEFT($O392,1)="⚠"),"项目编号不存在",IF(AND($M392="是",$F392=""),"工程回款必须填往来单位","√")))))))</f>
        <v/>
      </c>
      <c r="O392" s="34" t="str">
        <f aca="false">IF($D392="","",IFERROR(INDEX(项目档案!$B$6:$B$255,MATCH($D392,项目档案!$A$6:$A$255,0)),"⚠编号不存在"))</f>
        <v/>
      </c>
      <c r="P392" s="35" t="str">
        <f aca="false">IF($B392="","",TEXT($B392,"yyyy-mm"))</f>
        <v/>
      </c>
    </row>
    <row r="393" customFormat="false" ht="15.75" hidden="false" customHeight="true" outlineLevel="0" collapsed="false">
      <c r="A393" s="32" t="str">
        <f aca="false">IF($B393="","",ROW()-4)</f>
        <v/>
      </c>
      <c r="B393" s="26"/>
      <c r="C393" s="21"/>
      <c r="D393" s="24"/>
      <c r="E393" s="21"/>
      <c r="F393" s="24"/>
      <c r="G393" s="21"/>
      <c r="H393" s="22"/>
      <c r="I393" s="27"/>
      <c r="J393" s="27"/>
      <c r="K393" s="36" t="str">
        <f aca="false">IF($B393="","",IF($C393="泓普",$C$2,IF($C393="仟茂",$E$2,IF($C393="现金",$G$2,0)))+SUMIFS($I$5:$I393,$C$5:$C393,$C393)-SUMIFS($J$5:$J393,$C$5:$C393,$C393))</f>
        <v/>
      </c>
      <c r="L393" s="36" t="str">
        <f aca="false">IF($B393="","",$C$2+$E$2+$G$2+SUM($I$5:$I393)-SUM($J$5:$J393))</f>
        <v/>
      </c>
      <c r="M393" s="24"/>
      <c r="N393" s="33" t="str">
        <f aca="false">IF($B393="","",IF(NOT(ISNUMBER($B393)),"日期格式不对",IF($C393="","未选资金账户",IF(AND(N($I393)=0,N($J393)=0),"收支都为空",IF(AND(N($I393)&gt;0,N($J393)&gt;0),"收支不能同时填",IF(AND($D393&lt;&gt;"",LEFT($O393,1)="⚠"),"项目编号不存在",IF(AND($M393="是",$F393=""),"工程回款必须填往来单位","√")))))))</f>
        <v/>
      </c>
      <c r="O393" s="34" t="str">
        <f aca="false">IF($D393="","",IFERROR(INDEX(项目档案!$B$6:$B$255,MATCH($D393,项目档案!$A$6:$A$255,0)),"⚠编号不存在"))</f>
        <v/>
      </c>
      <c r="P393" s="35" t="str">
        <f aca="false">IF($B393="","",TEXT($B393,"yyyy-mm"))</f>
        <v/>
      </c>
    </row>
    <row r="394" customFormat="false" ht="15.75" hidden="false" customHeight="true" outlineLevel="0" collapsed="false">
      <c r="A394" s="32" t="str">
        <f aca="false">IF($B394="","",ROW()-4)</f>
        <v/>
      </c>
      <c r="B394" s="26"/>
      <c r="C394" s="21"/>
      <c r="D394" s="24"/>
      <c r="E394" s="21"/>
      <c r="F394" s="24"/>
      <c r="G394" s="21"/>
      <c r="H394" s="22"/>
      <c r="I394" s="27"/>
      <c r="J394" s="27"/>
      <c r="K394" s="36" t="str">
        <f aca="false">IF($B394="","",IF($C394="泓普",$C$2,IF($C394="仟茂",$E$2,IF($C394="现金",$G$2,0)))+SUMIFS($I$5:$I394,$C$5:$C394,$C394)-SUMIFS($J$5:$J394,$C$5:$C394,$C394))</f>
        <v/>
      </c>
      <c r="L394" s="36" t="str">
        <f aca="false">IF($B394="","",$C$2+$E$2+$G$2+SUM($I$5:$I394)-SUM($J$5:$J394))</f>
        <v/>
      </c>
      <c r="M394" s="24"/>
      <c r="N394" s="33" t="str">
        <f aca="false">IF($B394="","",IF(NOT(ISNUMBER($B394)),"日期格式不对",IF($C394="","未选资金账户",IF(AND(N($I394)=0,N($J394)=0),"收支都为空",IF(AND(N($I394)&gt;0,N($J394)&gt;0),"收支不能同时填",IF(AND($D394&lt;&gt;"",LEFT($O394,1)="⚠"),"项目编号不存在",IF(AND($M394="是",$F394=""),"工程回款必须填往来单位","√")))))))</f>
        <v/>
      </c>
      <c r="O394" s="34" t="str">
        <f aca="false">IF($D394="","",IFERROR(INDEX(项目档案!$B$6:$B$255,MATCH($D394,项目档案!$A$6:$A$255,0)),"⚠编号不存在"))</f>
        <v/>
      </c>
      <c r="P394" s="35" t="str">
        <f aca="false">IF($B394="","",TEXT($B394,"yyyy-mm"))</f>
        <v/>
      </c>
    </row>
    <row r="395" customFormat="false" ht="15.75" hidden="false" customHeight="true" outlineLevel="0" collapsed="false">
      <c r="A395" s="32" t="str">
        <f aca="false">IF($B395="","",ROW()-4)</f>
        <v/>
      </c>
      <c r="B395" s="26"/>
      <c r="C395" s="21"/>
      <c r="D395" s="24"/>
      <c r="E395" s="21"/>
      <c r="F395" s="24"/>
      <c r="G395" s="21"/>
      <c r="H395" s="22"/>
      <c r="I395" s="27"/>
      <c r="J395" s="27"/>
      <c r="K395" s="36" t="str">
        <f aca="false">IF($B395="","",IF($C395="泓普",$C$2,IF($C395="仟茂",$E$2,IF($C395="现金",$G$2,0)))+SUMIFS($I$5:$I395,$C$5:$C395,$C395)-SUMIFS($J$5:$J395,$C$5:$C395,$C395))</f>
        <v/>
      </c>
      <c r="L395" s="36" t="str">
        <f aca="false">IF($B395="","",$C$2+$E$2+$G$2+SUM($I$5:$I395)-SUM($J$5:$J395))</f>
        <v/>
      </c>
      <c r="M395" s="24"/>
      <c r="N395" s="33" t="str">
        <f aca="false">IF($B395="","",IF(NOT(ISNUMBER($B395)),"日期格式不对",IF($C395="","未选资金账户",IF(AND(N($I395)=0,N($J395)=0),"收支都为空",IF(AND(N($I395)&gt;0,N($J395)&gt;0),"收支不能同时填",IF(AND($D395&lt;&gt;"",LEFT($O395,1)="⚠"),"项目编号不存在",IF(AND($M395="是",$F395=""),"工程回款必须填往来单位","√")))))))</f>
        <v/>
      </c>
      <c r="O395" s="34" t="str">
        <f aca="false">IF($D395="","",IFERROR(INDEX(项目档案!$B$6:$B$255,MATCH($D395,项目档案!$A$6:$A$255,0)),"⚠编号不存在"))</f>
        <v/>
      </c>
      <c r="P395" s="35" t="str">
        <f aca="false">IF($B395="","",TEXT($B395,"yyyy-mm"))</f>
        <v/>
      </c>
    </row>
    <row r="396" customFormat="false" ht="15.75" hidden="false" customHeight="true" outlineLevel="0" collapsed="false">
      <c r="A396" s="32" t="str">
        <f aca="false">IF($B396="","",ROW()-4)</f>
        <v/>
      </c>
      <c r="B396" s="26"/>
      <c r="C396" s="21"/>
      <c r="D396" s="24"/>
      <c r="E396" s="21"/>
      <c r="F396" s="24"/>
      <c r="G396" s="21"/>
      <c r="H396" s="22"/>
      <c r="I396" s="27"/>
      <c r="J396" s="27"/>
      <c r="K396" s="36" t="str">
        <f aca="false">IF($B396="","",IF($C396="泓普",$C$2,IF($C396="仟茂",$E$2,IF($C396="现金",$G$2,0)))+SUMIFS($I$5:$I396,$C$5:$C396,$C396)-SUMIFS($J$5:$J396,$C$5:$C396,$C396))</f>
        <v/>
      </c>
      <c r="L396" s="36" t="str">
        <f aca="false">IF($B396="","",$C$2+$E$2+$G$2+SUM($I$5:$I396)-SUM($J$5:$J396))</f>
        <v/>
      </c>
      <c r="M396" s="24"/>
      <c r="N396" s="33" t="str">
        <f aca="false">IF($B396="","",IF(NOT(ISNUMBER($B396)),"日期格式不对",IF($C396="","未选资金账户",IF(AND(N($I396)=0,N($J396)=0),"收支都为空",IF(AND(N($I396)&gt;0,N($J396)&gt;0),"收支不能同时填",IF(AND($D396&lt;&gt;"",LEFT($O396,1)="⚠"),"项目编号不存在",IF(AND($M396="是",$F396=""),"工程回款必须填往来单位","√")))))))</f>
        <v/>
      </c>
      <c r="O396" s="34" t="str">
        <f aca="false">IF($D396="","",IFERROR(INDEX(项目档案!$B$6:$B$255,MATCH($D396,项目档案!$A$6:$A$255,0)),"⚠编号不存在"))</f>
        <v/>
      </c>
      <c r="P396" s="35" t="str">
        <f aca="false">IF($B396="","",TEXT($B396,"yyyy-mm"))</f>
        <v/>
      </c>
    </row>
    <row r="397" customFormat="false" ht="15.75" hidden="false" customHeight="true" outlineLevel="0" collapsed="false">
      <c r="A397" s="32" t="str">
        <f aca="false">IF($B397="","",ROW()-4)</f>
        <v/>
      </c>
      <c r="B397" s="26"/>
      <c r="C397" s="21"/>
      <c r="D397" s="24"/>
      <c r="E397" s="21"/>
      <c r="F397" s="24"/>
      <c r="G397" s="21"/>
      <c r="H397" s="22"/>
      <c r="I397" s="27"/>
      <c r="J397" s="27"/>
      <c r="K397" s="36" t="str">
        <f aca="false">IF($B397="","",IF($C397="泓普",$C$2,IF($C397="仟茂",$E$2,IF($C397="现金",$G$2,0)))+SUMIFS($I$5:$I397,$C$5:$C397,$C397)-SUMIFS($J$5:$J397,$C$5:$C397,$C397))</f>
        <v/>
      </c>
      <c r="L397" s="36" t="str">
        <f aca="false">IF($B397="","",$C$2+$E$2+$G$2+SUM($I$5:$I397)-SUM($J$5:$J397))</f>
        <v/>
      </c>
      <c r="M397" s="24"/>
      <c r="N397" s="33" t="str">
        <f aca="false">IF($B397="","",IF(NOT(ISNUMBER($B397)),"日期格式不对",IF($C397="","未选资金账户",IF(AND(N($I397)=0,N($J397)=0),"收支都为空",IF(AND(N($I397)&gt;0,N($J397)&gt;0),"收支不能同时填",IF(AND($D397&lt;&gt;"",LEFT($O397,1)="⚠"),"项目编号不存在",IF(AND($M397="是",$F397=""),"工程回款必须填往来单位","√")))))))</f>
        <v/>
      </c>
      <c r="O397" s="34" t="str">
        <f aca="false">IF($D397="","",IFERROR(INDEX(项目档案!$B$6:$B$255,MATCH($D397,项目档案!$A$6:$A$255,0)),"⚠编号不存在"))</f>
        <v/>
      </c>
      <c r="P397" s="35" t="str">
        <f aca="false">IF($B397="","",TEXT($B397,"yyyy-mm"))</f>
        <v/>
      </c>
    </row>
    <row r="398" customFormat="false" ht="15.75" hidden="false" customHeight="true" outlineLevel="0" collapsed="false">
      <c r="A398" s="32" t="str">
        <f aca="false">IF($B398="","",ROW()-4)</f>
        <v/>
      </c>
      <c r="B398" s="26"/>
      <c r="C398" s="21"/>
      <c r="D398" s="24"/>
      <c r="E398" s="21"/>
      <c r="F398" s="24"/>
      <c r="G398" s="21"/>
      <c r="H398" s="22"/>
      <c r="I398" s="27"/>
      <c r="J398" s="27"/>
      <c r="K398" s="36" t="str">
        <f aca="false">IF($B398="","",IF($C398="泓普",$C$2,IF($C398="仟茂",$E$2,IF($C398="现金",$G$2,0)))+SUMIFS($I$5:$I398,$C$5:$C398,$C398)-SUMIFS($J$5:$J398,$C$5:$C398,$C398))</f>
        <v/>
      </c>
      <c r="L398" s="36" t="str">
        <f aca="false">IF($B398="","",$C$2+$E$2+$G$2+SUM($I$5:$I398)-SUM($J$5:$J398))</f>
        <v/>
      </c>
      <c r="M398" s="24"/>
      <c r="N398" s="33" t="str">
        <f aca="false">IF($B398="","",IF(NOT(ISNUMBER($B398)),"日期格式不对",IF($C398="","未选资金账户",IF(AND(N($I398)=0,N($J398)=0),"收支都为空",IF(AND(N($I398)&gt;0,N($J398)&gt;0),"收支不能同时填",IF(AND($D398&lt;&gt;"",LEFT($O398,1)="⚠"),"项目编号不存在",IF(AND($M398="是",$F398=""),"工程回款必须填往来单位","√")))))))</f>
        <v/>
      </c>
      <c r="O398" s="34" t="str">
        <f aca="false">IF($D398="","",IFERROR(INDEX(项目档案!$B$6:$B$255,MATCH($D398,项目档案!$A$6:$A$255,0)),"⚠编号不存在"))</f>
        <v/>
      </c>
      <c r="P398" s="35" t="str">
        <f aca="false">IF($B398="","",TEXT($B398,"yyyy-mm"))</f>
        <v/>
      </c>
    </row>
    <row r="399" customFormat="false" ht="15.75" hidden="false" customHeight="true" outlineLevel="0" collapsed="false">
      <c r="A399" s="32" t="str">
        <f aca="false">IF($B399="","",ROW()-4)</f>
        <v/>
      </c>
      <c r="B399" s="26"/>
      <c r="C399" s="21"/>
      <c r="D399" s="24"/>
      <c r="E399" s="21"/>
      <c r="F399" s="24"/>
      <c r="G399" s="21"/>
      <c r="H399" s="22"/>
      <c r="I399" s="27"/>
      <c r="J399" s="27"/>
      <c r="K399" s="36" t="str">
        <f aca="false">IF($B399="","",IF($C399="泓普",$C$2,IF($C399="仟茂",$E$2,IF($C399="现金",$G$2,0)))+SUMIFS($I$5:$I399,$C$5:$C399,$C399)-SUMIFS($J$5:$J399,$C$5:$C399,$C399))</f>
        <v/>
      </c>
      <c r="L399" s="36" t="str">
        <f aca="false">IF($B399="","",$C$2+$E$2+$G$2+SUM($I$5:$I399)-SUM($J$5:$J399))</f>
        <v/>
      </c>
      <c r="M399" s="24"/>
      <c r="N399" s="33" t="str">
        <f aca="false">IF($B399="","",IF(NOT(ISNUMBER($B399)),"日期格式不对",IF($C399="","未选资金账户",IF(AND(N($I399)=0,N($J399)=0),"收支都为空",IF(AND(N($I399)&gt;0,N($J399)&gt;0),"收支不能同时填",IF(AND($D399&lt;&gt;"",LEFT($O399,1)="⚠"),"项目编号不存在",IF(AND($M399="是",$F399=""),"工程回款必须填往来单位","√")))))))</f>
        <v/>
      </c>
      <c r="O399" s="34" t="str">
        <f aca="false">IF($D399="","",IFERROR(INDEX(项目档案!$B$6:$B$255,MATCH($D399,项目档案!$A$6:$A$255,0)),"⚠编号不存在"))</f>
        <v/>
      </c>
      <c r="P399" s="35" t="str">
        <f aca="false">IF($B399="","",TEXT($B399,"yyyy-mm"))</f>
        <v/>
      </c>
    </row>
    <row r="400" customFormat="false" ht="15.75" hidden="false" customHeight="true" outlineLevel="0" collapsed="false">
      <c r="A400" s="32" t="str">
        <f aca="false">IF($B400="","",ROW()-4)</f>
        <v/>
      </c>
      <c r="B400" s="26"/>
      <c r="C400" s="21"/>
      <c r="D400" s="24"/>
      <c r="E400" s="21"/>
      <c r="F400" s="24"/>
      <c r="G400" s="21"/>
      <c r="H400" s="22"/>
      <c r="I400" s="27"/>
      <c r="J400" s="27"/>
      <c r="K400" s="36" t="str">
        <f aca="false">IF($B400="","",IF($C400="泓普",$C$2,IF($C400="仟茂",$E$2,IF($C400="现金",$G$2,0)))+SUMIFS($I$5:$I400,$C$5:$C400,$C400)-SUMIFS($J$5:$J400,$C$5:$C400,$C400))</f>
        <v/>
      </c>
      <c r="L400" s="36" t="str">
        <f aca="false">IF($B400="","",$C$2+$E$2+$G$2+SUM($I$5:$I400)-SUM($J$5:$J400))</f>
        <v/>
      </c>
      <c r="M400" s="24"/>
      <c r="N400" s="33" t="str">
        <f aca="false">IF($B400="","",IF(NOT(ISNUMBER($B400)),"日期格式不对",IF($C400="","未选资金账户",IF(AND(N($I400)=0,N($J400)=0),"收支都为空",IF(AND(N($I400)&gt;0,N($J400)&gt;0),"收支不能同时填",IF(AND($D400&lt;&gt;"",LEFT($O400,1)="⚠"),"项目编号不存在",IF(AND($M400="是",$F400=""),"工程回款必须填往来单位","√")))))))</f>
        <v/>
      </c>
      <c r="O400" s="34" t="str">
        <f aca="false">IF($D400="","",IFERROR(INDEX(项目档案!$B$6:$B$255,MATCH($D400,项目档案!$A$6:$A$255,0)),"⚠编号不存在"))</f>
        <v/>
      </c>
      <c r="P400" s="35" t="str">
        <f aca="false">IF($B400="","",TEXT($B400,"yyyy-mm"))</f>
        <v/>
      </c>
    </row>
    <row r="401" customFormat="false" ht="15.75" hidden="false" customHeight="true" outlineLevel="0" collapsed="false">
      <c r="A401" s="32" t="str">
        <f aca="false">IF($B401="","",ROW()-4)</f>
        <v/>
      </c>
      <c r="B401" s="26"/>
      <c r="C401" s="21"/>
      <c r="D401" s="24"/>
      <c r="E401" s="21"/>
      <c r="F401" s="24"/>
      <c r="G401" s="21"/>
      <c r="H401" s="22"/>
      <c r="I401" s="27"/>
      <c r="J401" s="27"/>
      <c r="K401" s="36" t="str">
        <f aca="false">IF($B401="","",IF($C401="泓普",$C$2,IF($C401="仟茂",$E$2,IF($C401="现金",$G$2,0)))+SUMIFS($I$5:$I401,$C$5:$C401,$C401)-SUMIFS($J$5:$J401,$C$5:$C401,$C401))</f>
        <v/>
      </c>
      <c r="L401" s="36" t="str">
        <f aca="false">IF($B401="","",$C$2+$E$2+$G$2+SUM($I$5:$I401)-SUM($J$5:$J401))</f>
        <v/>
      </c>
      <c r="M401" s="24"/>
      <c r="N401" s="33" t="str">
        <f aca="false">IF($B401="","",IF(NOT(ISNUMBER($B401)),"日期格式不对",IF($C401="","未选资金账户",IF(AND(N($I401)=0,N($J401)=0),"收支都为空",IF(AND(N($I401)&gt;0,N($J401)&gt;0),"收支不能同时填",IF(AND($D401&lt;&gt;"",LEFT($O401,1)="⚠"),"项目编号不存在",IF(AND($M401="是",$F401=""),"工程回款必须填往来单位","√")))))))</f>
        <v/>
      </c>
      <c r="O401" s="34" t="str">
        <f aca="false">IF($D401="","",IFERROR(INDEX(项目档案!$B$6:$B$255,MATCH($D401,项目档案!$A$6:$A$255,0)),"⚠编号不存在"))</f>
        <v/>
      </c>
      <c r="P401" s="35" t="str">
        <f aca="false">IF($B401="","",TEXT($B401,"yyyy-mm"))</f>
        <v/>
      </c>
    </row>
    <row r="402" customFormat="false" ht="15.75" hidden="false" customHeight="true" outlineLevel="0" collapsed="false">
      <c r="A402" s="32" t="str">
        <f aca="false">IF($B402="","",ROW()-4)</f>
        <v/>
      </c>
      <c r="B402" s="26"/>
      <c r="C402" s="21"/>
      <c r="D402" s="24"/>
      <c r="E402" s="21"/>
      <c r="F402" s="24"/>
      <c r="G402" s="21"/>
      <c r="H402" s="22"/>
      <c r="I402" s="27"/>
      <c r="J402" s="27"/>
      <c r="K402" s="36" t="str">
        <f aca="false">IF($B402="","",IF($C402="泓普",$C$2,IF($C402="仟茂",$E$2,IF($C402="现金",$G$2,0)))+SUMIFS($I$5:$I402,$C$5:$C402,$C402)-SUMIFS($J$5:$J402,$C$5:$C402,$C402))</f>
        <v/>
      </c>
      <c r="L402" s="36" t="str">
        <f aca="false">IF($B402="","",$C$2+$E$2+$G$2+SUM($I$5:$I402)-SUM($J$5:$J402))</f>
        <v/>
      </c>
      <c r="M402" s="24"/>
      <c r="N402" s="33" t="str">
        <f aca="false">IF($B402="","",IF(NOT(ISNUMBER($B402)),"日期格式不对",IF($C402="","未选资金账户",IF(AND(N($I402)=0,N($J402)=0),"收支都为空",IF(AND(N($I402)&gt;0,N($J402)&gt;0),"收支不能同时填",IF(AND($D402&lt;&gt;"",LEFT($O402,1)="⚠"),"项目编号不存在",IF(AND($M402="是",$F402=""),"工程回款必须填往来单位","√")))))))</f>
        <v/>
      </c>
      <c r="O402" s="34" t="str">
        <f aca="false">IF($D402="","",IFERROR(INDEX(项目档案!$B$6:$B$255,MATCH($D402,项目档案!$A$6:$A$255,0)),"⚠编号不存在"))</f>
        <v/>
      </c>
      <c r="P402" s="35" t="str">
        <f aca="false">IF($B402="","",TEXT($B402,"yyyy-mm"))</f>
        <v/>
      </c>
    </row>
    <row r="403" customFormat="false" ht="15.75" hidden="false" customHeight="true" outlineLevel="0" collapsed="false">
      <c r="A403" s="32" t="str">
        <f aca="false">IF($B403="","",ROW()-4)</f>
        <v/>
      </c>
      <c r="B403" s="26"/>
      <c r="C403" s="21"/>
      <c r="D403" s="24"/>
      <c r="E403" s="21"/>
      <c r="F403" s="24"/>
      <c r="G403" s="21"/>
      <c r="H403" s="22"/>
      <c r="I403" s="27"/>
      <c r="J403" s="27"/>
      <c r="K403" s="36" t="str">
        <f aca="false">IF($B403="","",IF($C403="泓普",$C$2,IF($C403="仟茂",$E$2,IF($C403="现金",$G$2,0)))+SUMIFS($I$5:$I403,$C$5:$C403,$C403)-SUMIFS($J$5:$J403,$C$5:$C403,$C403))</f>
        <v/>
      </c>
      <c r="L403" s="36" t="str">
        <f aca="false">IF($B403="","",$C$2+$E$2+$G$2+SUM($I$5:$I403)-SUM($J$5:$J403))</f>
        <v/>
      </c>
      <c r="M403" s="24"/>
      <c r="N403" s="33" t="str">
        <f aca="false">IF($B403="","",IF(NOT(ISNUMBER($B403)),"日期格式不对",IF($C403="","未选资金账户",IF(AND(N($I403)=0,N($J403)=0),"收支都为空",IF(AND(N($I403)&gt;0,N($J403)&gt;0),"收支不能同时填",IF(AND($D403&lt;&gt;"",LEFT($O403,1)="⚠"),"项目编号不存在",IF(AND($M403="是",$F403=""),"工程回款必须填往来单位","√")))))))</f>
        <v/>
      </c>
      <c r="O403" s="34" t="str">
        <f aca="false">IF($D403="","",IFERROR(INDEX(项目档案!$B$6:$B$255,MATCH($D403,项目档案!$A$6:$A$255,0)),"⚠编号不存在"))</f>
        <v/>
      </c>
      <c r="P403" s="35" t="str">
        <f aca="false">IF($B403="","",TEXT($B403,"yyyy-mm"))</f>
        <v/>
      </c>
    </row>
    <row r="404" customFormat="false" ht="15.75" hidden="false" customHeight="true" outlineLevel="0" collapsed="false">
      <c r="A404" s="32" t="str">
        <f aca="false">IF($B404="","",ROW()-4)</f>
        <v/>
      </c>
      <c r="B404" s="26"/>
      <c r="C404" s="21"/>
      <c r="D404" s="24"/>
      <c r="E404" s="21"/>
      <c r="F404" s="24"/>
      <c r="G404" s="21"/>
      <c r="H404" s="22"/>
      <c r="I404" s="27"/>
      <c r="J404" s="27"/>
      <c r="K404" s="36" t="str">
        <f aca="false">IF($B404="","",IF($C404="泓普",$C$2,IF($C404="仟茂",$E$2,IF($C404="现金",$G$2,0)))+SUMIFS($I$5:$I404,$C$5:$C404,$C404)-SUMIFS($J$5:$J404,$C$5:$C404,$C404))</f>
        <v/>
      </c>
      <c r="L404" s="36" t="str">
        <f aca="false">IF($B404="","",$C$2+$E$2+$G$2+SUM($I$5:$I404)-SUM($J$5:$J404))</f>
        <v/>
      </c>
      <c r="M404" s="24"/>
      <c r="N404" s="33" t="str">
        <f aca="false">IF($B404="","",IF(NOT(ISNUMBER($B404)),"日期格式不对",IF($C404="","未选资金账户",IF(AND(N($I404)=0,N($J404)=0),"收支都为空",IF(AND(N($I404)&gt;0,N($J404)&gt;0),"收支不能同时填",IF(AND($D404&lt;&gt;"",LEFT($O404,1)="⚠"),"项目编号不存在",IF(AND($M404="是",$F404=""),"工程回款必须填往来单位","√")))))))</f>
        <v/>
      </c>
      <c r="O404" s="34" t="str">
        <f aca="false">IF($D404="","",IFERROR(INDEX(项目档案!$B$6:$B$255,MATCH($D404,项目档案!$A$6:$A$255,0)),"⚠编号不存在"))</f>
        <v/>
      </c>
      <c r="P404" s="35" t="str">
        <f aca="false">IF($B404="","",TEXT($B404,"yyyy-mm"))</f>
        <v/>
      </c>
    </row>
    <row r="405" customFormat="false" ht="15.75" hidden="false" customHeight="true" outlineLevel="0" collapsed="false">
      <c r="A405" s="32" t="str">
        <f aca="false">IF($B405="","",ROW()-4)</f>
        <v/>
      </c>
      <c r="B405" s="26"/>
      <c r="C405" s="21"/>
      <c r="D405" s="24"/>
      <c r="E405" s="21"/>
      <c r="F405" s="24"/>
      <c r="G405" s="21"/>
      <c r="H405" s="22"/>
      <c r="I405" s="27"/>
      <c r="J405" s="27"/>
      <c r="K405" s="36" t="str">
        <f aca="false">IF($B405="","",IF($C405="泓普",$C$2,IF($C405="仟茂",$E$2,IF($C405="现金",$G$2,0)))+SUMIFS($I$5:$I405,$C$5:$C405,$C405)-SUMIFS($J$5:$J405,$C$5:$C405,$C405))</f>
        <v/>
      </c>
      <c r="L405" s="36" t="str">
        <f aca="false">IF($B405="","",$C$2+$E$2+$G$2+SUM($I$5:$I405)-SUM($J$5:$J405))</f>
        <v/>
      </c>
      <c r="M405" s="24"/>
      <c r="N405" s="33" t="str">
        <f aca="false">IF($B405="","",IF(NOT(ISNUMBER($B405)),"日期格式不对",IF($C405="","未选资金账户",IF(AND(N($I405)=0,N($J405)=0),"收支都为空",IF(AND(N($I405)&gt;0,N($J405)&gt;0),"收支不能同时填",IF(AND($D405&lt;&gt;"",LEFT($O405,1)="⚠"),"项目编号不存在",IF(AND($M405="是",$F405=""),"工程回款必须填往来单位","√")))))))</f>
        <v/>
      </c>
      <c r="O405" s="34" t="str">
        <f aca="false">IF($D405="","",IFERROR(INDEX(项目档案!$B$6:$B$255,MATCH($D405,项目档案!$A$6:$A$255,0)),"⚠编号不存在"))</f>
        <v/>
      </c>
      <c r="P405" s="35" t="str">
        <f aca="false">IF($B405="","",TEXT($B405,"yyyy-mm"))</f>
        <v/>
      </c>
    </row>
    <row r="406" customFormat="false" ht="15.75" hidden="false" customHeight="true" outlineLevel="0" collapsed="false">
      <c r="A406" s="32" t="str">
        <f aca="false">IF($B406="","",ROW()-4)</f>
        <v/>
      </c>
      <c r="B406" s="26"/>
      <c r="C406" s="21"/>
      <c r="D406" s="24"/>
      <c r="E406" s="21"/>
      <c r="F406" s="24"/>
      <c r="G406" s="21"/>
      <c r="H406" s="22"/>
      <c r="I406" s="27"/>
      <c r="J406" s="27"/>
      <c r="K406" s="36" t="str">
        <f aca="false">IF($B406="","",IF($C406="泓普",$C$2,IF($C406="仟茂",$E$2,IF($C406="现金",$G$2,0)))+SUMIFS($I$5:$I406,$C$5:$C406,$C406)-SUMIFS($J$5:$J406,$C$5:$C406,$C406))</f>
        <v/>
      </c>
      <c r="L406" s="36" t="str">
        <f aca="false">IF($B406="","",$C$2+$E$2+$G$2+SUM($I$5:$I406)-SUM($J$5:$J406))</f>
        <v/>
      </c>
      <c r="M406" s="24"/>
      <c r="N406" s="33" t="str">
        <f aca="false">IF($B406="","",IF(NOT(ISNUMBER($B406)),"日期格式不对",IF($C406="","未选资金账户",IF(AND(N($I406)=0,N($J406)=0),"收支都为空",IF(AND(N($I406)&gt;0,N($J406)&gt;0),"收支不能同时填",IF(AND($D406&lt;&gt;"",LEFT($O406,1)="⚠"),"项目编号不存在",IF(AND($M406="是",$F406=""),"工程回款必须填往来单位","√")))))))</f>
        <v/>
      </c>
      <c r="O406" s="34" t="str">
        <f aca="false">IF($D406="","",IFERROR(INDEX(项目档案!$B$6:$B$255,MATCH($D406,项目档案!$A$6:$A$255,0)),"⚠编号不存在"))</f>
        <v/>
      </c>
      <c r="P406" s="35" t="str">
        <f aca="false">IF($B406="","",TEXT($B406,"yyyy-mm"))</f>
        <v/>
      </c>
    </row>
    <row r="407" customFormat="false" ht="15.75" hidden="false" customHeight="true" outlineLevel="0" collapsed="false">
      <c r="A407" s="32" t="str">
        <f aca="false">IF($B407="","",ROW()-4)</f>
        <v/>
      </c>
      <c r="B407" s="26"/>
      <c r="C407" s="21"/>
      <c r="D407" s="24"/>
      <c r="E407" s="21"/>
      <c r="F407" s="24"/>
      <c r="G407" s="21"/>
      <c r="H407" s="22"/>
      <c r="I407" s="27"/>
      <c r="J407" s="27"/>
      <c r="K407" s="36" t="str">
        <f aca="false">IF($B407="","",IF($C407="泓普",$C$2,IF($C407="仟茂",$E$2,IF($C407="现金",$G$2,0)))+SUMIFS($I$5:$I407,$C$5:$C407,$C407)-SUMIFS($J$5:$J407,$C$5:$C407,$C407))</f>
        <v/>
      </c>
      <c r="L407" s="36" t="str">
        <f aca="false">IF($B407="","",$C$2+$E$2+$G$2+SUM($I$5:$I407)-SUM($J$5:$J407))</f>
        <v/>
      </c>
      <c r="M407" s="24"/>
      <c r="N407" s="33" t="str">
        <f aca="false">IF($B407="","",IF(NOT(ISNUMBER($B407)),"日期格式不对",IF($C407="","未选资金账户",IF(AND(N($I407)=0,N($J407)=0),"收支都为空",IF(AND(N($I407)&gt;0,N($J407)&gt;0),"收支不能同时填",IF(AND($D407&lt;&gt;"",LEFT($O407,1)="⚠"),"项目编号不存在",IF(AND($M407="是",$F407=""),"工程回款必须填往来单位","√")))))))</f>
        <v/>
      </c>
      <c r="O407" s="34" t="str">
        <f aca="false">IF($D407="","",IFERROR(INDEX(项目档案!$B$6:$B$255,MATCH($D407,项目档案!$A$6:$A$255,0)),"⚠编号不存在"))</f>
        <v/>
      </c>
      <c r="P407" s="35" t="str">
        <f aca="false">IF($B407="","",TEXT($B407,"yyyy-mm"))</f>
        <v/>
      </c>
    </row>
    <row r="408" customFormat="false" ht="15.75" hidden="false" customHeight="true" outlineLevel="0" collapsed="false">
      <c r="A408" s="32" t="str">
        <f aca="false">IF($B408="","",ROW()-4)</f>
        <v/>
      </c>
      <c r="B408" s="26"/>
      <c r="C408" s="21"/>
      <c r="D408" s="24"/>
      <c r="E408" s="21"/>
      <c r="F408" s="24"/>
      <c r="G408" s="21"/>
      <c r="H408" s="22"/>
      <c r="I408" s="27"/>
      <c r="J408" s="27"/>
      <c r="K408" s="36" t="str">
        <f aca="false">IF($B408="","",IF($C408="泓普",$C$2,IF($C408="仟茂",$E$2,IF($C408="现金",$G$2,0)))+SUMIFS($I$5:$I408,$C$5:$C408,$C408)-SUMIFS($J$5:$J408,$C$5:$C408,$C408))</f>
        <v/>
      </c>
      <c r="L408" s="36" t="str">
        <f aca="false">IF($B408="","",$C$2+$E$2+$G$2+SUM($I$5:$I408)-SUM($J$5:$J408))</f>
        <v/>
      </c>
      <c r="M408" s="24"/>
      <c r="N408" s="33" t="str">
        <f aca="false">IF($B408="","",IF(NOT(ISNUMBER($B408)),"日期格式不对",IF($C408="","未选资金账户",IF(AND(N($I408)=0,N($J408)=0),"收支都为空",IF(AND(N($I408)&gt;0,N($J408)&gt;0),"收支不能同时填",IF(AND($D408&lt;&gt;"",LEFT($O408,1)="⚠"),"项目编号不存在",IF(AND($M408="是",$F408=""),"工程回款必须填往来单位","√")))))))</f>
        <v/>
      </c>
      <c r="O408" s="34" t="str">
        <f aca="false">IF($D408="","",IFERROR(INDEX(项目档案!$B$6:$B$255,MATCH($D408,项目档案!$A$6:$A$255,0)),"⚠编号不存在"))</f>
        <v/>
      </c>
      <c r="P408" s="35" t="str">
        <f aca="false">IF($B408="","",TEXT($B408,"yyyy-mm"))</f>
        <v/>
      </c>
    </row>
    <row r="409" customFormat="false" ht="15.75" hidden="false" customHeight="true" outlineLevel="0" collapsed="false">
      <c r="A409" s="32" t="str">
        <f aca="false">IF($B409="","",ROW()-4)</f>
        <v/>
      </c>
      <c r="B409" s="26"/>
      <c r="C409" s="21"/>
      <c r="D409" s="24"/>
      <c r="E409" s="21"/>
      <c r="F409" s="24"/>
      <c r="G409" s="21"/>
      <c r="H409" s="22"/>
      <c r="I409" s="27"/>
      <c r="J409" s="27"/>
      <c r="K409" s="36" t="str">
        <f aca="false">IF($B409="","",IF($C409="泓普",$C$2,IF($C409="仟茂",$E$2,IF($C409="现金",$G$2,0)))+SUMIFS($I$5:$I409,$C$5:$C409,$C409)-SUMIFS($J$5:$J409,$C$5:$C409,$C409))</f>
        <v/>
      </c>
      <c r="L409" s="36" t="str">
        <f aca="false">IF($B409="","",$C$2+$E$2+$G$2+SUM($I$5:$I409)-SUM($J$5:$J409))</f>
        <v/>
      </c>
      <c r="M409" s="24"/>
      <c r="N409" s="33" t="str">
        <f aca="false">IF($B409="","",IF(NOT(ISNUMBER($B409)),"日期格式不对",IF($C409="","未选资金账户",IF(AND(N($I409)=0,N($J409)=0),"收支都为空",IF(AND(N($I409)&gt;0,N($J409)&gt;0),"收支不能同时填",IF(AND($D409&lt;&gt;"",LEFT($O409,1)="⚠"),"项目编号不存在",IF(AND($M409="是",$F409=""),"工程回款必须填往来单位","√")))))))</f>
        <v/>
      </c>
      <c r="O409" s="34" t="str">
        <f aca="false">IF($D409="","",IFERROR(INDEX(项目档案!$B$6:$B$255,MATCH($D409,项目档案!$A$6:$A$255,0)),"⚠编号不存在"))</f>
        <v/>
      </c>
      <c r="P409" s="35" t="str">
        <f aca="false">IF($B409="","",TEXT($B409,"yyyy-mm"))</f>
        <v/>
      </c>
    </row>
    <row r="410" customFormat="false" ht="15.75" hidden="false" customHeight="true" outlineLevel="0" collapsed="false">
      <c r="A410" s="32" t="str">
        <f aca="false">IF($B410="","",ROW()-4)</f>
        <v/>
      </c>
      <c r="B410" s="26"/>
      <c r="C410" s="21"/>
      <c r="D410" s="24"/>
      <c r="E410" s="21"/>
      <c r="F410" s="24"/>
      <c r="G410" s="21"/>
      <c r="H410" s="22"/>
      <c r="I410" s="27"/>
      <c r="J410" s="27"/>
      <c r="K410" s="36" t="str">
        <f aca="false">IF($B410="","",IF($C410="泓普",$C$2,IF($C410="仟茂",$E$2,IF($C410="现金",$G$2,0)))+SUMIFS($I$5:$I410,$C$5:$C410,$C410)-SUMIFS($J$5:$J410,$C$5:$C410,$C410))</f>
        <v/>
      </c>
      <c r="L410" s="36" t="str">
        <f aca="false">IF($B410="","",$C$2+$E$2+$G$2+SUM($I$5:$I410)-SUM($J$5:$J410))</f>
        <v/>
      </c>
      <c r="M410" s="24"/>
      <c r="N410" s="33" t="str">
        <f aca="false">IF($B410="","",IF(NOT(ISNUMBER($B410)),"日期格式不对",IF($C410="","未选资金账户",IF(AND(N($I410)=0,N($J410)=0),"收支都为空",IF(AND(N($I410)&gt;0,N($J410)&gt;0),"收支不能同时填",IF(AND($D410&lt;&gt;"",LEFT($O410,1)="⚠"),"项目编号不存在",IF(AND($M410="是",$F410=""),"工程回款必须填往来单位","√")))))))</f>
        <v/>
      </c>
      <c r="O410" s="34" t="str">
        <f aca="false">IF($D410="","",IFERROR(INDEX(项目档案!$B$6:$B$255,MATCH($D410,项目档案!$A$6:$A$255,0)),"⚠编号不存在"))</f>
        <v/>
      </c>
      <c r="P410" s="35" t="str">
        <f aca="false">IF($B410="","",TEXT($B410,"yyyy-mm"))</f>
        <v/>
      </c>
    </row>
    <row r="411" customFormat="false" ht="15.75" hidden="false" customHeight="true" outlineLevel="0" collapsed="false">
      <c r="A411" s="32" t="str">
        <f aca="false">IF($B411="","",ROW()-4)</f>
        <v/>
      </c>
      <c r="B411" s="26"/>
      <c r="C411" s="21"/>
      <c r="D411" s="24"/>
      <c r="E411" s="21"/>
      <c r="F411" s="24"/>
      <c r="G411" s="21"/>
      <c r="H411" s="22"/>
      <c r="I411" s="27"/>
      <c r="J411" s="27"/>
      <c r="K411" s="36" t="str">
        <f aca="false">IF($B411="","",IF($C411="泓普",$C$2,IF($C411="仟茂",$E$2,IF($C411="现金",$G$2,0)))+SUMIFS($I$5:$I411,$C$5:$C411,$C411)-SUMIFS($J$5:$J411,$C$5:$C411,$C411))</f>
        <v/>
      </c>
      <c r="L411" s="36" t="str">
        <f aca="false">IF($B411="","",$C$2+$E$2+$G$2+SUM($I$5:$I411)-SUM($J$5:$J411))</f>
        <v/>
      </c>
      <c r="M411" s="24"/>
      <c r="N411" s="33" t="str">
        <f aca="false">IF($B411="","",IF(NOT(ISNUMBER($B411)),"日期格式不对",IF($C411="","未选资金账户",IF(AND(N($I411)=0,N($J411)=0),"收支都为空",IF(AND(N($I411)&gt;0,N($J411)&gt;0),"收支不能同时填",IF(AND($D411&lt;&gt;"",LEFT($O411,1)="⚠"),"项目编号不存在",IF(AND($M411="是",$F411=""),"工程回款必须填往来单位","√")))))))</f>
        <v/>
      </c>
      <c r="O411" s="34" t="str">
        <f aca="false">IF($D411="","",IFERROR(INDEX(项目档案!$B$6:$B$255,MATCH($D411,项目档案!$A$6:$A$255,0)),"⚠编号不存在"))</f>
        <v/>
      </c>
      <c r="P411" s="35" t="str">
        <f aca="false">IF($B411="","",TEXT($B411,"yyyy-mm"))</f>
        <v/>
      </c>
    </row>
    <row r="412" customFormat="false" ht="15.75" hidden="false" customHeight="true" outlineLevel="0" collapsed="false">
      <c r="A412" s="32" t="str">
        <f aca="false">IF($B412="","",ROW()-4)</f>
        <v/>
      </c>
      <c r="B412" s="26"/>
      <c r="C412" s="21"/>
      <c r="D412" s="24"/>
      <c r="E412" s="21"/>
      <c r="F412" s="24"/>
      <c r="G412" s="21"/>
      <c r="H412" s="22"/>
      <c r="I412" s="27"/>
      <c r="J412" s="27"/>
      <c r="K412" s="36" t="str">
        <f aca="false">IF($B412="","",IF($C412="泓普",$C$2,IF($C412="仟茂",$E$2,IF($C412="现金",$G$2,0)))+SUMIFS($I$5:$I412,$C$5:$C412,$C412)-SUMIFS($J$5:$J412,$C$5:$C412,$C412))</f>
        <v/>
      </c>
      <c r="L412" s="36" t="str">
        <f aca="false">IF($B412="","",$C$2+$E$2+$G$2+SUM($I$5:$I412)-SUM($J$5:$J412))</f>
        <v/>
      </c>
      <c r="M412" s="24"/>
      <c r="N412" s="33" t="str">
        <f aca="false">IF($B412="","",IF(NOT(ISNUMBER($B412)),"日期格式不对",IF($C412="","未选资金账户",IF(AND(N($I412)=0,N($J412)=0),"收支都为空",IF(AND(N($I412)&gt;0,N($J412)&gt;0),"收支不能同时填",IF(AND($D412&lt;&gt;"",LEFT($O412,1)="⚠"),"项目编号不存在",IF(AND($M412="是",$F412=""),"工程回款必须填往来单位","√")))))))</f>
        <v/>
      </c>
      <c r="O412" s="34" t="str">
        <f aca="false">IF($D412="","",IFERROR(INDEX(项目档案!$B$6:$B$255,MATCH($D412,项目档案!$A$6:$A$255,0)),"⚠编号不存在"))</f>
        <v/>
      </c>
      <c r="P412" s="35" t="str">
        <f aca="false">IF($B412="","",TEXT($B412,"yyyy-mm"))</f>
        <v/>
      </c>
    </row>
    <row r="413" customFormat="false" ht="15.75" hidden="false" customHeight="true" outlineLevel="0" collapsed="false">
      <c r="A413" s="32" t="str">
        <f aca="false">IF($B413="","",ROW()-4)</f>
        <v/>
      </c>
      <c r="B413" s="26"/>
      <c r="C413" s="21"/>
      <c r="D413" s="24"/>
      <c r="E413" s="21"/>
      <c r="F413" s="24"/>
      <c r="G413" s="21"/>
      <c r="H413" s="22"/>
      <c r="I413" s="27"/>
      <c r="J413" s="27"/>
      <c r="K413" s="36" t="str">
        <f aca="false">IF($B413="","",IF($C413="泓普",$C$2,IF($C413="仟茂",$E$2,IF($C413="现金",$G$2,0)))+SUMIFS($I$5:$I413,$C$5:$C413,$C413)-SUMIFS($J$5:$J413,$C$5:$C413,$C413))</f>
        <v/>
      </c>
      <c r="L413" s="36" t="str">
        <f aca="false">IF($B413="","",$C$2+$E$2+$G$2+SUM($I$5:$I413)-SUM($J$5:$J413))</f>
        <v/>
      </c>
      <c r="M413" s="24"/>
      <c r="N413" s="33" t="str">
        <f aca="false">IF($B413="","",IF(NOT(ISNUMBER($B413)),"日期格式不对",IF($C413="","未选资金账户",IF(AND(N($I413)=0,N($J413)=0),"收支都为空",IF(AND(N($I413)&gt;0,N($J413)&gt;0),"收支不能同时填",IF(AND($D413&lt;&gt;"",LEFT($O413,1)="⚠"),"项目编号不存在",IF(AND($M413="是",$F413=""),"工程回款必须填往来单位","√")))))))</f>
        <v/>
      </c>
      <c r="O413" s="34" t="str">
        <f aca="false">IF($D413="","",IFERROR(INDEX(项目档案!$B$6:$B$255,MATCH($D413,项目档案!$A$6:$A$255,0)),"⚠编号不存在"))</f>
        <v/>
      </c>
      <c r="P413" s="35" t="str">
        <f aca="false">IF($B413="","",TEXT($B413,"yyyy-mm"))</f>
        <v/>
      </c>
    </row>
    <row r="414" customFormat="false" ht="15.75" hidden="false" customHeight="true" outlineLevel="0" collapsed="false">
      <c r="A414" s="32" t="str">
        <f aca="false">IF($B414="","",ROW()-4)</f>
        <v/>
      </c>
      <c r="B414" s="26"/>
      <c r="C414" s="21"/>
      <c r="D414" s="24"/>
      <c r="E414" s="21"/>
      <c r="F414" s="24"/>
      <c r="G414" s="21"/>
      <c r="H414" s="22"/>
      <c r="I414" s="27"/>
      <c r="J414" s="27"/>
      <c r="K414" s="36" t="str">
        <f aca="false">IF($B414="","",IF($C414="泓普",$C$2,IF($C414="仟茂",$E$2,IF($C414="现金",$G$2,0)))+SUMIFS($I$5:$I414,$C$5:$C414,$C414)-SUMIFS($J$5:$J414,$C$5:$C414,$C414))</f>
        <v/>
      </c>
      <c r="L414" s="36" t="str">
        <f aca="false">IF($B414="","",$C$2+$E$2+$G$2+SUM($I$5:$I414)-SUM($J$5:$J414))</f>
        <v/>
      </c>
      <c r="M414" s="24"/>
      <c r="N414" s="33" t="str">
        <f aca="false">IF($B414="","",IF(NOT(ISNUMBER($B414)),"日期格式不对",IF($C414="","未选资金账户",IF(AND(N($I414)=0,N($J414)=0),"收支都为空",IF(AND(N($I414)&gt;0,N($J414)&gt;0),"收支不能同时填",IF(AND($D414&lt;&gt;"",LEFT($O414,1)="⚠"),"项目编号不存在",IF(AND($M414="是",$F414=""),"工程回款必须填往来单位","√")))))))</f>
        <v/>
      </c>
      <c r="O414" s="34" t="str">
        <f aca="false">IF($D414="","",IFERROR(INDEX(项目档案!$B$6:$B$255,MATCH($D414,项目档案!$A$6:$A$255,0)),"⚠编号不存在"))</f>
        <v/>
      </c>
      <c r="P414" s="35" t="str">
        <f aca="false">IF($B414="","",TEXT($B414,"yyyy-mm"))</f>
        <v/>
      </c>
    </row>
    <row r="415" customFormat="false" ht="15.75" hidden="false" customHeight="true" outlineLevel="0" collapsed="false">
      <c r="A415" s="32" t="str">
        <f aca="false">IF($B415="","",ROW()-4)</f>
        <v/>
      </c>
      <c r="B415" s="26"/>
      <c r="C415" s="21"/>
      <c r="D415" s="24"/>
      <c r="E415" s="21"/>
      <c r="F415" s="24"/>
      <c r="G415" s="21"/>
      <c r="H415" s="22"/>
      <c r="I415" s="27"/>
      <c r="J415" s="27"/>
      <c r="K415" s="36" t="str">
        <f aca="false">IF($B415="","",IF($C415="泓普",$C$2,IF($C415="仟茂",$E$2,IF($C415="现金",$G$2,0)))+SUMIFS($I$5:$I415,$C$5:$C415,$C415)-SUMIFS($J$5:$J415,$C$5:$C415,$C415))</f>
        <v/>
      </c>
      <c r="L415" s="36" t="str">
        <f aca="false">IF($B415="","",$C$2+$E$2+$G$2+SUM($I$5:$I415)-SUM($J$5:$J415))</f>
        <v/>
      </c>
      <c r="M415" s="24"/>
      <c r="N415" s="33" t="str">
        <f aca="false">IF($B415="","",IF(NOT(ISNUMBER($B415)),"日期格式不对",IF($C415="","未选资金账户",IF(AND(N($I415)=0,N($J415)=0),"收支都为空",IF(AND(N($I415)&gt;0,N($J415)&gt;0),"收支不能同时填",IF(AND($D415&lt;&gt;"",LEFT($O415,1)="⚠"),"项目编号不存在",IF(AND($M415="是",$F415=""),"工程回款必须填往来单位","√")))))))</f>
        <v/>
      </c>
      <c r="O415" s="34" t="str">
        <f aca="false">IF($D415="","",IFERROR(INDEX(项目档案!$B$6:$B$255,MATCH($D415,项目档案!$A$6:$A$255,0)),"⚠编号不存在"))</f>
        <v/>
      </c>
      <c r="P415" s="35" t="str">
        <f aca="false">IF($B415="","",TEXT($B415,"yyyy-mm"))</f>
        <v/>
      </c>
    </row>
    <row r="416" customFormat="false" ht="15.75" hidden="false" customHeight="true" outlineLevel="0" collapsed="false">
      <c r="A416" s="32" t="str">
        <f aca="false">IF($B416="","",ROW()-4)</f>
        <v/>
      </c>
      <c r="B416" s="26"/>
      <c r="C416" s="21"/>
      <c r="D416" s="24"/>
      <c r="E416" s="21"/>
      <c r="F416" s="24"/>
      <c r="G416" s="21"/>
      <c r="H416" s="22"/>
      <c r="I416" s="27"/>
      <c r="J416" s="27"/>
      <c r="K416" s="36" t="str">
        <f aca="false">IF($B416="","",IF($C416="泓普",$C$2,IF($C416="仟茂",$E$2,IF($C416="现金",$G$2,0)))+SUMIFS($I$5:$I416,$C$5:$C416,$C416)-SUMIFS($J$5:$J416,$C$5:$C416,$C416))</f>
        <v/>
      </c>
      <c r="L416" s="36" t="str">
        <f aca="false">IF($B416="","",$C$2+$E$2+$G$2+SUM($I$5:$I416)-SUM($J$5:$J416))</f>
        <v/>
      </c>
      <c r="M416" s="24"/>
      <c r="N416" s="33" t="str">
        <f aca="false">IF($B416="","",IF(NOT(ISNUMBER($B416)),"日期格式不对",IF($C416="","未选资金账户",IF(AND(N($I416)=0,N($J416)=0),"收支都为空",IF(AND(N($I416)&gt;0,N($J416)&gt;0),"收支不能同时填",IF(AND($D416&lt;&gt;"",LEFT($O416,1)="⚠"),"项目编号不存在",IF(AND($M416="是",$F416=""),"工程回款必须填往来单位","√")))))))</f>
        <v/>
      </c>
      <c r="O416" s="34" t="str">
        <f aca="false">IF($D416="","",IFERROR(INDEX(项目档案!$B$6:$B$255,MATCH($D416,项目档案!$A$6:$A$255,0)),"⚠编号不存在"))</f>
        <v/>
      </c>
      <c r="P416" s="35" t="str">
        <f aca="false">IF($B416="","",TEXT($B416,"yyyy-mm"))</f>
        <v/>
      </c>
    </row>
    <row r="417" customFormat="false" ht="15.75" hidden="false" customHeight="true" outlineLevel="0" collapsed="false">
      <c r="A417" s="32" t="str">
        <f aca="false">IF($B417="","",ROW()-4)</f>
        <v/>
      </c>
      <c r="B417" s="26"/>
      <c r="C417" s="21"/>
      <c r="D417" s="24"/>
      <c r="E417" s="21"/>
      <c r="F417" s="24"/>
      <c r="G417" s="21"/>
      <c r="H417" s="22"/>
      <c r="I417" s="27"/>
      <c r="J417" s="27"/>
      <c r="K417" s="36" t="str">
        <f aca="false">IF($B417="","",IF($C417="泓普",$C$2,IF($C417="仟茂",$E$2,IF($C417="现金",$G$2,0)))+SUMIFS($I$5:$I417,$C$5:$C417,$C417)-SUMIFS($J$5:$J417,$C$5:$C417,$C417))</f>
        <v/>
      </c>
      <c r="L417" s="36" t="str">
        <f aca="false">IF($B417="","",$C$2+$E$2+$G$2+SUM($I$5:$I417)-SUM($J$5:$J417))</f>
        <v/>
      </c>
      <c r="M417" s="24"/>
      <c r="N417" s="33" t="str">
        <f aca="false">IF($B417="","",IF(NOT(ISNUMBER($B417)),"日期格式不对",IF($C417="","未选资金账户",IF(AND(N($I417)=0,N($J417)=0),"收支都为空",IF(AND(N($I417)&gt;0,N($J417)&gt;0),"收支不能同时填",IF(AND($D417&lt;&gt;"",LEFT($O417,1)="⚠"),"项目编号不存在",IF(AND($M417="是",$F417=""),"工程回款必须填往来单位","√")))))))</f>
        <v/>
      </c>
      <c r="O417" s="34" t="str">
        <f aca="false">IF($D417="","",IFERROR(INDEX(项目档案!$B$6:$B$255,MATCH($D417,项目档案!$A$6:$A$255,0)),"⚠编号不存在"))</f>
        <v/>
      </c>
      <c r="P417" s="35" t="str">
        <f aca="false">IF($B417="","",TEXT($B417,"yyyy-mm"))</f>
        <v/>
      </c>
    </row>
    <row r="418" customFormat="false" ht="15.75" hidden="false" customHeight="true" outlineLevel="0" collapsed="false">
      <c r="A418" s="32" t="str">
        <f aca="false">IF($B418="","",ROW()-4)</f>
        <v/>
      </c>
      <c r="B418" s="26"/>
      <c r="C418" s="21"/>
      <c r="D418" s="24"/>
      <c r="E418" s="21"/>
      <c r="F418" s="24"/>
      <c r="G418" s="21"/>
      <c r="H418" s="22"/>
      <c r="I418" s="27"/>
      <c r="J418" s="27"/>
      <c r="K418" s="36" t="str">
        <f aca="false">IF($B418="","",IF($C418="泓普",$C$2,IF($C418="仟茂",$E$2,IF($C418="现金",$G$2,0)))+SUMIFS($I$5:$I418,$C$5:$C418,$C418)-SUMIFS($J$5:$J418,$C$5:$C418,$C418))</f>
        <v/>
      </c>
      <c r="L418" s="36" t="str">
        <f aca="false">IF($B418="","",$C$2+$E$2+$G$2+SUM($I$5:$I418)-SUM($J$5:$J418))</f>
        <v/>
      </c>
      <c r="M418" s="24"/>
      <c r="N418" s="33" t="str">
        <f aca="false">IF($B418="","",IF(NOT(ISNUMBER($B418)),"日期格式不对",IF($C418="","未选资金账户",IF(AND(N($I418)=0,N($J418)=0),"收支都为空",IF(AND(N($I418)&gt;0,N($J418)&gt;0),"收支不能同时填",IF(AND($D418&lt;&gt;"",LEFT($O418,1)="⚠"),"项目编号不存在",IF(AND($M418="是",$F418=""),"工程回款必须填往来单位","√")))))))</f>
        <v/>
      </c>
      <c r="O418" s="34" t="str">
        <f aca="false">IF($D418="","",IFERROR(INDEX(项目档案!$B$6:$B$255,MATCH($D418,项目档案!$A$6:$A$255,0)),"⚠编号不存在"))</f>
        <v/>
      </c>
      <c r="P418" s="35" t="str">
        <f aca="false">IF($B418="","",TEXT($B418,"yyyy-mm"))</f>
        <v/>
      </c>
    </row>
    <row r="419" customFormat="false" ht="15.75" hidden="false" customHeight="true" outlineLevel="0" collapsed="false">
      <c r="A419" s="32" t="str">
        <f aca="false">IF($B419="","",ROW()-4)</f>
        <v/>
      </c>
      <c r="B419" s="26"/>
      <c r="C419" s="21"/>
      <c r="D419" s="24"/>
      <c r="E419" s="21"/>
      <c r="F419" s="24"/>
      <c r="G419" s="21"/>
      <c r="H419" s="22"/>
      <c r="I419" s="27"/>
      <c r="J419" s="27"/>
      <c r="K419" s="36" t="str">
        <f aca="false">IF($B419="","",IF($C419="泓普",$C$2,IF($C419="仟茂",$E$2,IF($C419="现金",$G$2,0)))+SUMIFS($I$5:$I419,$C$5:$C419,$C419)-SUMIFS($J$5:$J419,$C$5:$C419,$C419))</f>
        <v/>
      </c>
      <c r="L419" s="36" t="str">
        <f aca="false">IF($B419="","",$C$2+$E$2+$G$2+SUM($I$5:$I419)-SUM($J$5:$J419))</f>
        <v/>
      </c>
      <c r="M419" s="24"/>
      <c r="N419" s="33" t="str">
        <f aca="false">IF($B419="","",IF(NOT(ISNUMBER($B419)),"日期格式不对",IF($C419="","未选资金账户",IF(AND(N($I419)=0,N($J419)=0),"收支都为空",IF(AND(N($I419)&gt;0,N($J419)&gt;0),"收支不能同时填",IF(AND($D419&lt;&gt;"",LEFT($O419,1)="⚠"),"项目编号不存在",IF(AND($M419="是",$F419=""),"工程回款必须填往来单位","√")))))))</f>
        <v/>
      </c>
      <c r="O419" s="34" t="str">
        <f aca="false">IF($D419="","",IFERROR(INDEX(项目档案!$B$6:$B$255,MATCH($D419,项目档案!$A$6:$A$255,0)),"⚠编号不存在"))</f>
        <v/>
      </c>
      <c r="P419" s="35" t="str">
        <f aca="false">IF($B419="","",TEXT($B419,"yyyy-mm"))</f>
        <v/>
      </c>
    </row>
    <row r="420" customFormat="false" ht="15.75" hidden="false" customHeight="true" outlineLevel="0" collapsed="false">
      <c r="A420" s="32" t="str">
        <f aca="false">IF($B420="","",ROW()-4)</f>
        <v/>
      </c>
      <c r="B420" s="26"/>
      <c r="C420" s="21"/>
      <c r="D420" s="24"/>
      <c r="E420" s="21"/>
      <c r="F420" s="24"/>
      <c r="G420" s="21"/>
      <c r="H420" s="22"/>
      <c r="I420" s="27"/>
      <c r="J420" s="27"/>
      <c r="K420" s="36" t="str">
        <f aca="false">IF($B420="","",IF($C420="泓普",$C$2,IF($C420="仟茂",$E$2,IF($C420="现金",$G$2,0)))+SUMIFS($I$5:$I420,$C$5:$C420,$C420)-SUMIFS($J$5:$J420,$C$5:$C420,$C420))</f>
        <v/>
      </c>
      <c r="L420" s="36" t="str">
        <f aca="false">IF($B420="","",$C$2+$E$2+$G$2+SUM($I$5:$I420)-SUM($J$5:$J420))</f>
        <v/>
      </c>
      <c r="M420" s="24"/>
      <c r="N420" s="33" t="str">
        <f aca="false">IF($B420="","",IF(NOT(ISNUMBER($B420)),"日期格式不对",IF($C420="","未选资金账户",IF(AND(N($I420)=0,N($J420)=0),"收支都为空",IF(AND(N($I420)&gt;0,N($J420)&gt;0),"收支不能同时填",IF(AND($D420&lt;&gt;"",LEFT($O420,1)="⚠"),"项目编号不存在",IF(AND($M420="是",$F420=""),"工程回款必须填往来单位","√")))))))</f>
        <v/>
      </c>
      <c r="O420" s="34" t="str">
        <f aca="false">IF($D420="","",IFERROR(INDEX(项目档案!$B$6:$B$255,MATCH($D420,项目档案!$A$6:$A$255,0)),"⚠编号不存在"))</f>
        <v/>
      </c>
      <c r="P420" s="35" t="str">
        <f aca="false">IF($B420="","",TEXT($B420,"yyyy-mm"))</f>
        <v/>
      </c>
    </row>
    <row r="421" customFormat="false" ht="15.75" hidden="false" customHeight="true" outlineLevel="0" collapsed="false">
      <c r="A421" s="32" t="str">
        <f aca="false">IF($B421="","",ROW()-4)</f>
        <v/>
      </c>
      <c r="B421" s="26"/>
      <c r="C421" s="21"/>
      <c r="D421" s="24"/>
      <c r="E421" s="21"/>
      <c r="F421" s="24"/>
      <c r="G421" s="21"/>
      <c r="H421" s="22"/>
      <c r="I421" s="27"/>
      <c r="J421" s="27"/>
      <c r="K421" s="36" t="str">
        <f aca="false">IF($B421="","",IF($C421="泓普",$C$2,IF($C421="仟茂",$E$2,IF($C421="现金",$G$2,0)))+SUMIFS($I$5:$I421,$C$5:$C421,$C421)-SUMIFS($J$5:$J421,$C$5:$C421,$C421))</f>
        <v/>
      </c>
      <c r="L421" s="36" t="str">
        <f aca="false">IF($B421="","",$C$2+$E$2+$G$2+SUM($I$5:$I421)-SUM($J$5:$J421))</f>
        <v/>
      </c>
      <c r="M421" s="24"/>
      <c r="N421" s="33" t="str">
        <f aca="false">IF($B421="","",IF(NOT(ISNUMBER($B421)),"日期格式不对",IF($C421="","未选资金账户",IF(AND(N($I421)=0,N($J421)=0),"收支都为空",IF(AND(N($I421)&gt;0,N($J421)&gt;0),"收支不能同时填",IF(AND($D421&lt;&gt;"",LEFT($O421,1)="⚠"),"项目编号不存在",IF(AND($M421="是",$F421=""),"工程回款必须填往来单位","√")))))))</f>
        <v/>
      </c>
      <c r="O421" s="34" t="str">
        <f aca="false">IF($D421="","",IFERROR(INDEX(项目档案!$B$6:$B$255,MATCH($D421,项目档案!$A$6:$A$255,0)),"⚠编号不存在"))</f>
        <v/>
      </c>
      <c r="P421" s="35" t="str">
        <f aca="false">IF($B421="","",TEXT($B421,"yyyy-mm"))</f>
        <v/>
      </c>
    </row>
    <row r="422" customFormat="false" ht="15.75" hidden="false" customHeight="true" outlineLevel="0" collapsed="false">
      <c r="A422" s="32" t="str">
        <f aca="false">IF($B422="","",ROW()-4)</f>
        <v/>
      </c>
      <c r="B422" s="26"/>
      <c r="C422" s="21"/>
      <c r="D422" s="24"/>
      <c r="E422" s="21"/>
      <c r="F422" s="24"/>
      <c r="G422" s="21"/>
      <c r="H422" s="22"/>
      <c r="I422" s="27"/>
      <c r="J422" s="27"/>
      <c r="K422" s="36" t="str">
        <f aca="false">IF($B422="","",IF($C422="泓普",$C$2,IF($C422="仟茂",$E$2,IF($C422="现金",$G$2,0)))+SUMIFS($I$5:$I422,$C$5:$C422,$C422)-SUMIFS($J$5:$J422,$C$5:$C422,$C422))</f>
        <v/>
      </c>
      <c r="L422" s="36" t="str">
        <f aca="false">IF($B422="","",$C$2+$E$2+$G$2+SUM($I$5:$I422)-SUM($J$5:$J422))</f>
        <v/>
      </c>
      <c r="M422" s="24"/>
      <c r="N422" s="33" t="str">
        <f aca="false">IF($B422="","",IF(NOT(ISNUMBER($B422)),"日期格式不对",IF($C422="","未选资金账户",IF(AND(N($I422)=0,N($J422)=0),"收支都为空",IF(AND(N($I422)&gt;0,N($J422)&gt;0),"收支不能同时填",IF(AND($D422&lt;&gt;"",LEFT($O422,1)="⚠"),"项目编号不存在",IF(AND($M422="是",$F422=""),"工程回款必须填往来单位","√")))))))</f>
        <v/>
      </c>
      <c r="O422" s="34" t="str">
        <f aca="false">IF($D422="","",IFERROR(INDEX(项目档案!$B$6:$B$255,MATCH($D422,项目档案!$A$6:$A$255,0)),"⚠编号不存在"))</f>
        <v/>
      </c>
      <c r="P422" s="35" t="str">
        <f aca="false">IF($B422="","",TEXT($B422,"yyyy-mm"))</f>
        <v/>
      </c>
    </row>
    <row r="423" customFormat="false" ht="15.75" hidden="false" customHeight="true" outlineLevel="0" collapsed="false">
      <c r="A423" s="32" t="str">
        <f aca="false">IF($B423="","",ROW()-4)</f>
        <v/>
      </c>
      <c r="B423" s="26"/>
      <c r="C423" s="21"/>
      <c r="D423" s="24"/>
      <c r="E423" s="21"/>
      <c r="F423" s="24"/>
      <c r="G423" s="21"/>
      <c r="H423" s="22"/>
      <c r="I423" s="27"/>
      <c r="J423" s="27"/>
      <c r="K423" s="36" t="str">
        <f aca="false">IF($B423="","",IF($C423="泓普",$C$2,IF($C423="仟茂",$E$2,IF($C423="现金",$G$2,0)))+SUMIFS($I$5:$I423,$C$5:$C423,$C423)-SUMIFS($J$5:$J423,$C$5:$C423,$C423))</f>
        <v/>
      </c>
      <c r="L423" s="36" t="str">
        <f aca="false">IF($B423="","",$C$2+$E$2+$G$2+SUM($I$5:$I423)-SUM($J$5:$J423))</f>
        <v/>
      </c>
      <c r="M423" s="24"/>
      <c r="N423" s="33" t="str">
        <f aca="false">IF($B423="","",IF(NOT(ISNUMBER($B423)),"日期格式不对",IF($C423="","未选资金账户",IF(AND(N($I423)=0,N($J423)=0),"收支都为空",IF(AND(N($I423)&gt;0,N($J423)&gt;0),"收支不能同时填",IF(AND($D423&lt;&gt;"",LEFT($O423,1)="⚠"),"项目编号不存在",IF(AND($M423="是",$F423=""),"工程回款必须填往来单位","√")))))))</f>
        <v/>
      </c>
      <c r="O423" s="34" t="str">
        <f aca="false">IF($D423="","",IFERROR(INDEX(项目档案!$B$6:$B$255,MATCH($D423,项目档案!$A$6:$A$255,0)),"⚠编号不存在"))</f>
        <v/>
      </c>
      <c r="P423" s="35" t="str">
        <f aca="false">IF($B423="","",TEXT($B423,"yyyy-mm"))</f>
        <v/>
      </c>
    </row>
    <row r="424" customFormat="false" ht="15.75" hidden="false" customHeight="true" outlineLevel="0" collapsed="false">
      <c r="A424" s="32" t="str">
        <f aca="false">IF($B424="","",ROW()-4)</f>
        <v/>
      </c>
      <c r="B424" s="26"/>
      <c r="C424" s="21"/>
      <c r="D424" s="24"/>
      <c r="E424" s="21"/>
      <c r="F424" s="24"/>
      <c r="G424" s="21"/>
      <c r="H424" s="22"/>
      <c r="I424" s="27"/>
      <c r="J424" s="27"/>
      <c r="K424" s="36" t="str">
        <f aca="false">IF($B424="","",IF($C424="泓普",$C$2,IF($C424="仟茂",$E$2,IF($C424="现金",$G$2,0)))+SUMIFS($I$5:$I424,$C$5:$C424,$C424)-SUMIFS($J$5:$J424,$C$5:$C424,$C424))</f>
        <v/>
      </c>
      <c r="L424" s="36" t="str">
        <f aca="false">IF($B424="","",$C$2+$E$2+$G$2+SUM($I$5:$I424)-SUM($J$5:$J424))</f>
        <v/>
      </c>
      <c r="M424" s="24"/>
      <c r="N424" s="33" t="str">
        <f aca="false">IF($B424="","",IF(NOT(ISNUMBER($B424)),"日期格式不对",IF($C424="","未选资金账户",IF(AND(N($I424)=0,N($J424)=0),"收支都为空",IF(AND(N($I424)&gt;0,N($J424)&gt;0),"收支不能同时填",IF(AND($D424&lt;&gt;"",LEFT($O424,1)="⚠"),"项目编号不存在",IF(AND($M424="是",$F424=""),"工程回款必须填往来单位","√")))))))</f>
        <v/>
      </c>
      <c r="O424" s="34" t="str">
        <f aca="false">IF($D424="","",IFERROR(INDEX(项目档案!$B$6:$B$255,MATCH($D424,项目档案!$A$6:$A$255,0)),"⚠编号不存在"))</f>
        <v/>
      </c>
      <c r="P424" s="35" t="str">
        <f aca="false">IF($B424="","",TEXT($B424,"yyyy-mm"))</f>
        <v/>
      </c>
    </row>
    <row r="425" customFormat="false" ht="15.75" hidden="false" customHeight="true" outlineLevel="0" collapsed="false">
      <c r="A425" s="32" t="str">
        <f aca="false">IF($B425="","",ROW()-4)</f>
        <v/>
      </c>
      <c r="B425" s="26"/>
      <c r="C425" s="21"/>
      <c r="D425" s="24"/>
      <c r="E425" s="21"/>
      <c r="F425" s="24"/>
      <c r="G425" s="21"/>
      <c r="H425" s="22"/>
      <c r="I425" s="27"/>
      <c r="J425" s="27"/>
      <c r="K425" s="36" t="str">
        <f aca="false">IF($B425="","",IF($C425="泓普",$C$2,IF($C425="仟茂",$E$2,IF($C425="现金",$G$2,0)))+SUMIFS($I$5:$I425,$C$5:$C425,$C425)-SUMIFS($J$5:$J425,$C$5:$C425,$C425))</f>
        <v/>
      </c>
      <c r="L425" s="36" t="str">
        <f aca="false">IF($B425="","",$C$2+$E$2+$G$2+SUM($I$5:$I425)-SUM($J$5:$J425))</f>
        <v/>
      </c>
      <c r="M425" s="24"/>
      <c r="N425" s="33" t="str">
        <f aca="false">IF($B425="","",IF(NOT(ISNUMBER($B425)),"日期格式不对",IF($C425="","未选资金账户",IF(AND(N($I425)=0,N($J425)=0),"收支都为空",IF(AND(N($I425)&gt;0,N($J425)&gt;0),"收支不能同时填",IF(AND($D425&lt;&gt;"",LEFT($O425,1)="⚠"),"项目编号不存在",IF(AND($M425="是",$F425=""),"工程回款必须填往来单位","√")))))))</f>
        <v/>
      </c>
      <c r="O425" s="34" t="str">
        <f aca="false">IF($D425="","",IFERROR(INDEX(项目档案!$B$6:$B$255,MATCH($D425,项目档案!$A$6:$A$255,0)),"⚠编号不存在"))</f>
        <v/>
      </c>
      <c r="P425" s="35" t="str">
        <f aca="false">IF($B425="","",TEXT($B425,"yyyy-mm"))</f>
        <v/>
      </c>
    </row>
    <row r="426" customFormat="false" ht="15.75" hidden="false" customHeight="true" outlineLevel="0" collapsed="false">
      <c r="A426" s="32" t="str">
        <f aca="false">IF($B426="","",ROW()-4)</f>
        <v/>
      </c>
      <c r="B426" s="26"/>
      <c r="C426" s="21"/>
      <c r="D426" s="24"/>
      <c r="E426" s="21"/>
      <c r="F426" s="24"/>
      <c r="G426" s="21"/>
      <c r="H426" s="22"/>
      <c r="I426" s="27"/>
      <c r="J426" s="27"/>
      <c r="K426" s="36" t="str">
        <f aca="false">IF($B426="","",IF($C426="泓普",$C$2,IF($C426="仟茂",$E$2,IF($C426="现金",$G$2,0)))+SUMIFS($I$5:$I426,$C$5:$C426,$C426)-SUMIFS($J$5:$J426,$C$5:$C426,$C426))</f>
        <v/>
      </c>
      <c r="L426" s="36" t="str">
        <f aca="false">IF($B426="","",$C$2+$E$2+$G$2+SUM($I$5:$I426)-SUM($J$5:$J426))</f>
        <v/>
      </c>
      <c r="M426" s="24"/>
      <c r="N426" s="33" t="str">
        <f aca="false">IF($B426="","",IF(NOT(ISNUMBER($B426)),"日期格式不对",IF($C426="","未选资金账户",IF(AND(N($I426)=0,N($J426)=0),"收支都为空",IF(AND(N($I426)&gt;0,N($J426)&gt;0),"收支不能同时填",IF(AND($D426&lt;&gt;"",LEFT($O426,1)="⚠"),"项目编号不存在",IF(AND($M426="是",$F426=""),"工程回款必须填往来单位","√")))))))</f>
        <v/>
      </c>
      <c r="O426" s="34" t="str">
        <f aca="false">IF($D426="","",IFERROR(INDEX(项目档案!$B$6:$B$255,MATCH($D426,项目档案!$A$6:$A$255,0)),"⚠编号不存在"))</f>
        <v/>
      </c>
      <c r="P426" s="35" t="str">
        <f aca="false">IF($B426="","",TEXT($B426,"yyyy-mm"))</f>
        <v/>
      </c>
    </row>
    <row r="427" customFormat="false" ht="15.75" hidden="false" customHeight="true" outlineLevel="0" collapsed="false">
      <c r="A427" s="32" t="str">
        <f aca="false">IF($B427="","",ROW()-4)</f>
        <v/>
      </c>
      <c r="B427" s="26"/>
      <c r="C427" s="21"/>
      <c r="D427" s="24"/>
      <c r="E427" s="21"/>
      <c r="F427" s="24"/>
      <c r="G427" s="21"/>
      <c r="H427" s="22"/>
      <c r="I427" s="27"/>
      <c r="J427" s="27"/>
      <c r="K427" s="36" t="str">
        <f aca="false">IF($B427="","",IF($C427="泓普",$C$2,IF($C427="仟茂",$E$2,IF($C427="现金",$G$2,0)))+SUMIFS($I$5:$I427,$C$5:$C427,$C427)-SUMIFS($J$5:$J427,$C$5:$C427,$C427))</f>
        <v/>
      </c>
      <c r="L427" s="36" t="str">
        <f aca="false">IF($B427="","",$C$2+$E$2+$G$2+SUM($I$5:$I427)-SUM($J$5:$J427))</f>
        <v/>
      </c>
      <c r="M427" s="24"/>
      <c r="N427" s="33" t="str">
        <f aca="false">IF($B427="","",IF(NOT(ISNUMBER($B427)),"日期格式不对",IF($C427="","未选资金账户",IF(AND(N($I427)=0,N($J427)=0),"收支都为空",IF(AND(N($I427)&gt;0,N($J427)&gt;0),"收支不能同时填",IF(AND($D427&lt;&gt;"",LEFT($O427,1)="⚠"),"项目编号不存在",IF(AND($M427="是",$F427=""),"工程回款必须填往来单位","√")))))))</f>
        <v/>
      </c>
      <c r="O427" s="34" t="str">
        <f aca="false">IF($D427="","",IFERROR(INDEX(项目档案!$B$6:$B$255,MATCH($D427,项目档案!$A$6:$A$255,0)),"⚠编号不存在"))</f>
        <v/>
      </c>
      <c r="P427" s="35" t="str">
        <f aca="false">IF($B427="","",TEXT($B427,"yyyy-mm"))</f>
        <v/>
      </c>
    </row>
    <row r="428" customFormat="false" ht="15.75" hidden="false" customHeight="true" outlineLevel="0" collapsed="false">
      <c r="A428" s="32" t="str">
        <f aca="false">IF($B428="","",ROW()-4)</f>
        <v/>
      </c>
      <c r="B428" s="26"/>
      <c r="C428" s="21"/>
      <c r="D428" s="24"/>
      <c r="E428" s="21"/>
      <c r="F428" s="24"/>
      <c r="G428" s="21"/>
      <c r="H428" s="22"/>
      <c r="I428" s="27"/>
      <c r="J428" s="27"/>
      <c r="K428" s="36" t="str">
        <f aca="false">IF($B428="","",IF($C428="泓普",$C$2,IF($C428="仟茂",$E$2,IF($C428="现金",$G$2,0)))+SUMIFS($I$5:$I428,$C$5:$C428,$C428)-SUMIFS($J$5:$J428,$C$5:$C428,$C428))</f>
        <v/>
      </c>
      <c r="L428" s="36" t="str">
        <f aca="false">IF($B428="","",$C$2+$E$2+$G$2+SUM($I$5:$I428)-SUM($J$5:$J428))</f>
        <v/>
      </c>
      <c r="M428" s="24"/>
      <c r="N428" s="33" t="str">
        <f aca="false">IF($B428="","",IF(NOT(ISNUMBER($B428)),"日期格式不对",IF($C428="","未选资金账户",IF(AND(N($I428)=0,N($J428)=0),"收支都为空",IF(AND(N($I428)&gt;0,N($J428)&gt;0),"收支不能同时填",IF(AND($D428&lt;&gt;"",LEFT($O428,1)="⚠"),"项目编号不存在",IF(AND($M428="是",$F428=""),"工程回款必须填往来单位","√")))))))</f>
        <v/>
      </c>
      <c r="O428" s="34" t="str">
        <f aca="false">IF($D428="","",IFERROR(INDEX(项目档案!$B$6:$B$255,MATCH($D428,项目档案!$A$6:$A$255,0)),"⚠编号不存在"))</f>
        <v/>
      </c>
      <c r="P428" s="35" t="str">
        <f aca="false">IF($B428="","",TEXT($B428,"yyyy-mm"))</f>
        <v/>
      </c>
    </row>
    <row r="429" customFormat="false" ht="15.75" hidden="false" customHeight="true" outlineLevel="0" collapsed="false">
      <c r="A429" s="32" t="str">
        <f aca="false">IF($B429="","",ROW()-4)</f>
        <v/>
      </c>
      <c r="B429" s="26"/>
      <c r="C429" s="21"/>
      <c r="D429" s="24"/>
      <c r="E429" s="21"/>
      <c r="F429" s="24"/>
      <c r="G429" s="21"/>
      <c r="H429" s="22"/>
      <c r="I429" s="27"/>
      <c r="J429" s="27"/>
      <c r="K429" s="36" t="str">
        <f aca="false">IF($B429="","",IF($C429="泓普",$C$2,IF($C429="仟茂",$E$2,IF($C429="现金",$G$2,0)))+SUMIFS($I$5:$I429,$C$5:$C429,$C429)-SUMIFS($J$5:$J429,$C$5:$C429,$C429))</f>
        <v/>
      </c>
      <c r="L429" s="36" t="str">
        <f aca="false">IF($B429="","",$C$2+$E$2+$G$2+SUM($I$5:$I429)-SUM($J$5:$J429))</f>
        <v/>
      </c>
      <c r="M429" s="24"/>
      <c r="N429" s="33" t="str">
        <f aca="false">IF($B429="","",IF(NOT(ISNUMBER($B429)),"日期格式不对",IF($C429="","未选资金账户",IF(AND(N($I429)=0,N($J429)=0),"收支都为空",IF(AND(N($I429)&gt;0,N($J429)&gt;0),"收支不能同时填",IF(AND($D429&lt;&gt;"",LEFT($O429,1)="⚠"),"项目编号不存在",IF(AND($M429="是",$F429=""),"工程回款必须填往来单位","√")))))))</f>
        <v/>
      </c>
      <c r="O429" s="34" t="str">
        <f aca="false">IF($D429="","",IFERROR(INDEX(项目档案!$B$6:$B$255,MATCH($D429,项目档案!$A$6:$A$255,0)),"⚠编号不存在"))</f>
        <v/>
      </c>
      <c r="P429" s="35" t="str">
        <f aca="false">IF($B429="","",TEXT($B429,"yyyy-mm"))</f>
        <v/>
      </c>
    </row>
    <row r="430" customFormat="false" ht="15.75" hidden="false" customHeight="true" outlineLevel="0" collapsed="false">
      <c r="A430" s="32" t="str">
        <f aca="false">IF($B430="","",ROW()-4)</f>
        <v/>
      </c>
      <c r="B430" s="26"/>
      <c r="C430" s="21"/>
      <c r="D430" s="24"/>
      <c r="E430" s="21"/>
      <c r="F430" s="24"/>
      <c r="G430" s="21"/>
      <c r="H430" s="22"/>
      <c r="I430" s="27"/>
      <c r="J430" s="27"/>
      <c r="K430" s="36" t="str">
        <f aca="false">IF($B430="","",IF($C430="泓普",$C$2,IF($C430="仟茂",$E$2,IF($C430="现金",$G$2,0)))+SUMIFS($I$5:$I430,$C$5:$C430,$C430)-SUMIFS($J$5:$J430,$C$5:$C430,$C430))</f>
        <v/>
      </c>
      <c r="L430" s="36" t="str">
        <f aca="false">IF($B430="","",$C$2+$E$2+$G$2+SUM($I$5:$I430)-SUM($J$5:$J430))</f>
        <v/>
      </c>
      <c r="M430" s="24"/>
      <c r="N430" s="33" t="str">
        <f aca="false">IF($B430="","",IF(NOT(ISNUMBER($B430)),"日期格式不对",IF($C430="","未选资金账户",IF(AND(N($I430)=0,N($J430)=0),"收支都为空",IF(AND(N($I430)&gt;0,N($J430)&gt;0),"收支不能同时填",IF(AND($D430&lt;&gt;"",LEFT($O430,1)="⚠"),"项目编号不存在",IF(AND($M430="是",$F430=""),"工程回款必须填往来单位","√")))))))</f>
        <v/>
      </c>
      <c r="O430" s="34" t="str">
        <f aca="false">IF($D430="","",IFERROR(INDEX(项目档案!$B$6:$B$255,MATCH($D430,项目档案!$A$6:$A$255,0)),"⚠编号不存在"))</f>
        <v/>
      </c>
      <c r="P430" s="35" t="str">
        <f aca="false">IF($B430="","",TEXT($B430,"yyyy-mm"))</f>
        <v/>
      </c>
    </row>
    <row r="431" customFormat="false" ht="15.75" hidden="false" customHeight="true" outlineLevel="0" collapsed="false">
      <c r="A431" s="32" t="str">
        <f aca="false">IF($B431="","",ROW()-4)</f>
        <v/>
      </c>
      <c r="B431" s="26"/>
      <c r="C431" s="21"/>
      <c r="D431" s="24"/>
      <c r="E431" s="21"/>
      <c r="F431" s="24"/>
      <c r="G431" s="21"/>
      <c r="H431" s="22"/>
      <c r="I431" s="27"/>
      <c r="J431" s="27"/>
      <c r="K431" s="36" t="str">
        <f aca="false">IF($B431="","",IF($C431="泓普",$C$2,IF($C431="仟茂",$E$2,IF($C431="现金",$G$2,0)))+SUMIFS($I$5:$I431,$C$5:$C431,$C431)-SUMIFS($J$5:$J431,$C$5:$C431,$C431))</f>
        <v/>
      </c>
      <c r="L431" s="36" t="str">
        <f aca="false">IF($B431="","",$C$2+$E$2+$G$2+SUM($I$5:$I431)-SUM($J$5:$J431))</f>
        <v/>
      </c>
      <c r="M431" s="24"/>
      <c r="N431" s="33" t="str">
        <f aca="false">IF($B431="","",IF(NOT(ISNUMBER($B431)),"日期格式不对",IF($C431="","未选资金账户",IF(AND(N($I431)=0,N($J431)=0),"收支都为空",IF(AND(N($I431)&gt;0,N($J431)&gt;0),"收支不能同时填",IF(AND($D431&lt;&gt;"",LEFT($O431,1)="⚠"),"项目编号不存在",IF(AND($M431="是",$F431=""),"工程回款必须填往来单位","√")))))))</f>
        <v/>
      </c>
      <c r="O431" s="34" t="str">
        <f aca="false">IF($D431="","",IFERROR(INDEX(项目档案!$B$6:$B$255,MATCH($D431,项目档案!$A$6:$A$255,0)),"⚠编号不存在"))</f>
        <v/>
      </c>
      <c r="P431" s="35" t="str">
        <f aca="false">IF($B431="","",TEXT($B431,"yyyy-mm"))</f>
        <v/>
      </c>
    </row>
    <row r="432" customFormat="false" ht="15.75" hidden="false" customHeight="true" outlineLevel="0" collapsed="false">
      <c r="A432" s="32" t="str">
        <f aca="false">IF($B432="","",ROW()-4)</f>
        <v/>
      </c>
      <c r="B432" s="26"/>
      <c r="C432" s="21"/>
      <c r="D432" s="24"/>
      <c r="E432" s="21"/>
      <c r="F432" s="24"/>
      <c r="G432" s="21"/>
      <c r="H432" s="22"/>
      <c r="I432" s="27"/>
      <c r="J432" s="27"/>
      <c r="K432" s="36" t="str">
        <f aca="false">IF($B432="","",IF($C432="泓普",$C$2,IF($C432="仟茂",$E$2,IF($C432="现金",$G$2,0)))+SUMIFS($I$5:$I432,$C$5:$C432,$C432)-SUMIFS($J$5:$J432,$C$5:$C432,$C432))</f>
        <v/>
      </c>
      <c r="L432" s="36" t="str">
        <f aca="false">IF($B432="","",$C$2+$E$2+$G$2+SUM($I$5:$I432)-SUM($J$5:$J432))</f>
        <v/>
      </c>
      <c r="M432" s="24"/>
      <c r="N432" s="33" t="str">
        <f aca="false">IF($B432="","",IF(NOT(ISNUMBER($B432)),"日期格式不对",IF($C432="","未选资金账户",IF(AND(N($I432)=0,N($J432)=0),"收支都为空",IF(AND(N($I432)&gt;0,N($J432)&gt;0),"收支不能同时填",IF(AND($D432&lt;&gt;"",LEFT($O432,1)="⚠"),"项目编号不存在",IF(AND($M432="是",$F432=""),"工程回款必须填往来单位","√")))))))</f>
        <v/>
      </c>
      <c r="O432" s="34" t="str">
        <f aca="false">IF($D432="","",IFERROR(INDEX(项目档案!$B$6:$B$255,MATCH($D432,项目档案!$A$6:$A$255,0)),"⚠编号不存在"))</f>
        <v/>
      </c>
      <c r="P432" s="35" t="str">
        <f aca="false">IF($B432="","",TEXT($B432,"yyyy-mm"))</f>
        <v/>
      </c>
    </row>
    <row r="433" customFormat="false" ht="15.75" hidden="false" customHeight="true" outlineLevel="0" collapsed="false">
      <c r="A433" s="32" t="str">
        <f aca="false">IF($B433="","",ROW()-4)</f>
        <v/>
      </c>
      <c r="B433" s="26"/>
      <c r="C433" s="21"/>
      <c r="D433" s="24"/>
      <c r="E433" s="21"/>
      <c r="F433" s="24"/>
      <c r="G433" s="21"/>
      <c r="H433" s="22"/>
      <c r="I433" s="27"/>
      <c r="J433" s="27"/>
      <c r="K433" s="36" t="str">
        <f aca="false">IF($B433="","",IF($C433="泓普",$C$2,IF($C433="仟茂",$E$2,IF($C433="现金",$G$2,0)))+SUMIFS($I$5:$I433,$C$5:$C433,$C433)-SUMIFS($J$5:$J433,$C$5:$C433,$C433))</f>
        <v/>
      </c>
      <c r="L433" s="36" t="str">
        <f aca="false">IF($B433="","",$C$2+$E$2+$G$2+SUM($I$5:$I433)-SUM($J$5:$J433))</f>
        <v/>
      </c>
      <c r="M433" s="24"/>
      <c r="N433" s="33" t="str">
        <f aca="false">IF($B433="","",IF(NOT(ISNUMBER($B433)),"日期格式不对",IF($C433="","未选资金账户",IF(AND(N($I433)=0,N($J433)=0),"收支都为空",IF(AND(N($I433)&gt;0,N($J433)&gt;0),"收支不能同时填",IF(AND($D433&lt;&gt;"",LEFT($O433,1)="⚠"),"项目编号不存在",IF(AND($M433="是",$F433=""),"工程回款必须填往来单位","√")))))))</f>
        <v/>
      </c>
      <c r="O433" s="34" t="str">
        <f aca="false">IF($D433="","",IFERROR(INDEX(项目档案!$B$6:$B$255,MATCH($D433,项目档案!$A$6:$A$255,0)),"⚠编号不存在"))</f>
        <v/>
      </c>
      <c r="P433" s="35" t="str">
        <f aca="false">IF($B433="","",TEXT($B433,"yyyy-mm"))</f>
        <v/>
      </c>
    </row>
    <row r="434" customFormat="false" ht="15.75" hidden="false" customHeight="true" outlineLevel="0" collapsed="false">
      <c r="A434" s="32" t="str">
        <f aca="false">IF($B434="","",ROW()-4)</f>
        <v/>
      </c>
      <c r="B434" s="26"/>
      <c r="C434" s="21"/>
      <c r="D434" s="24"/>
      <c r="E434" s="21"/>
      <c r="F434" s="24"/>
      <c r="G434" s="21"/>
      <c r="H434" s="22"/>
      <c r="I434" s="27"/>
      <c r="J434" s="27"/>
      <c r="K434" s="36" t="str">
        <f aca="false">IF($B434="","",IF($C434="泓普",$C$2,IF($C434="仟茂",$E$2,IF($C434="现金",$G$2,0)))+SUMIFS($I$5:$I434,$C$5:$C434,$C434)-SUMIFS($J$5:$J434,$C$5:$C434,$C434))</f>
        <v/>
      </c>
      <c r="L434" s="36" t="str">
        <f aca="false">IF($B434="","",$C$2+$E$2+$G$2+SUM($I$5:$I434)-SUM($J$5:$J434))</f>
        <v/>
      </c>
      <c r="M434" s="24"/>
      <c r="N434" s="33" t="str">
        <f aca="false">IF($B434="","",IF(NOT(ISNUMBER($B434)),"日期格式不对",IF($C434="","未选资金账户",IF(AND(N($I434)=0,N($J434)=0),"收支都为空",IF(AND(N($I434)&gt;0,N($J434)&gt;0),"收支不能同时填",IF(AND($D434&lt;&gt;"",LEFT($O434,1)="⚠"),"项目编号不存在",IF(AND($M434="是",$F434=""),"工程回款必须填往来单位","√")))))))</f>
        <v/>
      </c>
      <c r="O434" s="34" t="str">
        <f aca="false">IF($D434="","",IFERROR(INDEX(项目档案!$B$6:$B$255,MATCH($D434,项目档案!$A$6:$A$255,0)),"⚠编号不存在"))</f>
        <v/>
      </c>
      <c r="P434" s="35" t="str">
        <f aca="false">IF($B434="","",TEXT($B434,"yyyy-mm"))</f>
        <v/>
      </c>
    </row>
    <row r="435" customFormat="false" ht="15.75" hidden="false" customHeight="true" outlineLevel="0" collapsed="false">
      <c r="A435" s="32" t="str">
        <f aca="false">IF($B435="","",ROW()-4)</f>
        <v/>
      </c>
      <c r="B435" s="26"/>
      <c r="C435" s="21"/>
      <c r="D435" s="24"/>
      <c r="E435" s="21"/>
      <c r="F435" s="24"/>
      <c r="G435" s="21"/>
      <c r="H435" s="22"/>
      <c r="I435" s="27"/>
      <c r="J435" s="27"/>
      <c r="K435" s="36" t="str">
        <f aca="false">IF($B435="","",IF($C435="泓普",$C$2,IF($C435="仟茂",$E$2,IF($C435="现金",$G$2,0)))+SUMIFS($I$5:$I435,$C$5:$C435,$C435)-SUMIFS($J$5:$J435,$C$5:$C435,$C435))</f>
        <v/>
      </c>
      <c r="L435" s="36" t="str">
        <f aca="false">IF($B435="","",$C$2+$E$2+$G$2+SUM($I$5:$I435)-SUM($J$5:$J435))</f>
        <v/>
      </c>
      <c r="M435" s="24"/>
      <c r="N435" s="33" t="str">
        <f aca="false">IF($B435="","",IF(NOT(ISNUMBER($B435)),"日期格式不对",IF($C435="","未选资金账户",IF(AND(N($I435)=0,N($J435)=0),"收支都为空",IF(AND(N($I435)&gt;0,N($J435)&gt;0),"收支不能同时填",IF(AND($D435&lt;&gt;"",LEFT($O435,1)="⚠"),"项目编号不存在",IF(AND($M435="是",$F435=""),"工程回款必须填往来单位","√")))))))</f>
        <v/>
      </c>
      <c r="O435" s="34" t="str">
        <f aca="false">IF($D435="","",IFERROR(INDEX(项目档案!$B$6:$B$255,MATCH($D435,项目档案!$A$6:$A$255,0)),"⚠编号不存在"))</f>
        <v/>
      </c>
      <c r="P435" s="35" t="str">
        <f aca="false">IF($B435="","",TEXT($B435,"yyyy-mm"))</f>
        <v/>
      </c>
    </row>
    <row r="436" customFormat="false" ht="15.75" hidden="false" customHeight="true" outlineLevel="0" collapsed="false">
      <c r="A436" s="32" t="str">
        <f aca="false">IF($B436="","",ROW()-4)</f>
        <v/>
      </c>
      <c r="B436" s="26"/>
      <c r="C436" s="21"/>
      <c r="D436" s="24"/>
      <c r="E436" s="21"/>
      <c r="F436" s="24"/>
      <c r="G436" s="21"/>
      <c r="H436" s="22"/>
      <c r="I436" s="27"/>
      <c r="J436" s="27"/>
      <c r="K436" s="36" t="str">
        <f aca="false">IF($B436="","",IF($C436="泓普",$C$2,IF($C436="仟茂",$E$2,IF($C436="现金",$G$2,0)))+SUMIFS($I$5:$I436,$C$5:$C436,$C436)-SUMIFS($J$5:$J436,$C$5:$C436,$C436))</f>
        <v/>
      </c>
      <c r="L436" s="36" t="str">
        <f aca="false">IF($B436="","",$C$2+$E$2+$G$2+SUM($I$5:$I436)-SUM($J$5:$J436))</f>
        <v/>
      </c>
      <c r="M436" s="24"/>
      <c r="N436" s="33" t="str">
        <f aca="false">IF($B436="","",IF(NOT(ISNUMBER($B436)),"日期格式不对",IF($C436="","未选资金账户",IF(AND(N($I436)=0,N($J436)=0),"收支都为空",IF(AND(N($I436)&gt;0,N($J436)&gt;0),"收支不能同时填",IF(AND($D436&lt;&gt;"",LEFT($O436,1)="⚠"),"项目编号不存在",IF(AND($M436="是",$F436=""),"工程回款必须填往来单位","√")))))))</f>
        <v/>
      </c>
      <c r="O436" s="34" t="str">
        <f aca="false">IF($D436="","",IFERROR(INDEX(项目档案!$B$6:$B$255,MATCH($D436,项目档案!$A$6:$A$255,0)),"⚠编号不存在"))</f>
        <v/>
      </c>
      <c r="P436" s="35" t="str">
        <f aca="false">IF($B436="","",TEXT($B436,"yyyy-mm"))</f>
        <v/>
      </c>
    </row>
    <row r="437" customFormat="false" ht="15.75" hidden="false" customHeight="true" outlineLevel="0" collapsed="false">
      <c r="A437" s="32" t="str">
        <f aca="false">IF($B437="","",ROW()-4)</f>
        <v/>
      </c>
      <c r="B437" s="26"/>
      <c r="C437" s="21"/>
      <c r="D437" s="24"/>
      <c r="E437" s="21"/>
      <c r="F437" s="24"/>
      <c r="G437" s="21"/>
      <c r="H437" s="22"/>
      <c r="I437" s="27"/>
      <c r="J437" s="27"/>
      <c r="K437" s="36" t="str">
        <f aca="false">IF($B437="","",IF($C437="泓普",$C$2,IF($C437="仟茂",$E$2,IF($C437="现金",$G$2,0)))+SUMIFS($I$5:$I437,$C$5:$C437,$C437)-SUMIFS($J$5:$J437,$C$5:$C437,$C437))</f>
        <v/>
      </c>
      <c r="L437" s="36" t="str">
        <f aca="false">IF($B437="","",$C$2+$E$2+$G$2+SUM($I$5:$I437)-SUM($J$5:$J437))</f>
        <v/>
      </c>
      <c r="M437" s="24"/>
      <c r="N437" s="33" t="str">
        <f aca="false">IF($B437="","",IF(NOT(ISNUMBER($B437)),"日期格式不对",IF($C437="","未选资金账户",IF(AND(N($I437)=0,N($J437)=0),"收支都为空",IF(AND(N($I437)&gt;0,N($J437)&gt;0),"收支不能同时填",IF(AND($D437&lt;&gt;"",LEFT($O437,1)="⚠"),"项目编号不存在",IF(AND($M437="是",$F437=""),"工程回款必须填往来单位","√")))))))</f>
        <v/>
      </c>
      <c r="O437" s="34" t="str">
        <f aca="false">IF($D437="","",IFERROR(INDEX(项目档案!$B$6:$B$255,MATCH($D437,项目档案!$A$6:$A$255,0)),"⚠编号不存在"))</f>
        <v/>
      </c>
      <c r="P437" s="35" t="str">
        <f aca="false">IF($B437="","",TEXT($B437,"yyyy-mm"))</f>
        <v/>
      </c>
    </row>
    <row r="438" customFormat="false" ht="15.75" hidden="false" customHeight="true" outlineLevel="0" collapsed="false">
      <c r="A438" s="32" t="str">
        <f aca="false">IF($B438="","",ROW()-4)</f>
        <v/>
      </c>
      <c r="B438" s="26"/>
      <c r="C438" s="21"/>
      <c r="D438" s="24"/>
      <c r="E438" s="21"/>
      <c r="F438" s="24"/>
      <c r="G438" s="21"/>
      <c r="H438" s="22"/>
      <c r="I438" s="27"/>
      <c r="J438" s="27"/>
      <c r="K438" s="36" t="str">
        <f aca="false">IF($B438="","",IF($C438="泓普",$C$2,IF($C438="仟茂",$E$2,IF($C438="现金",$G$2,0)))+SUMIFS($I$5:$I438,$C$5:$C438,$C438)-SUMIFS($J$5:$J438,$C$5:$C438,$C438))</f>
        <v/>
      </c>
      <c r="L438" s="36" t="str">
        <f aca="false">IF($B438="","",$C$2+$E$2+$G$2+SUM($I$5:$I438)-SUM($J$5:$J438))</f>
        <v/>
      </c>
      <c r="M438" s="24"/>
      <c r="N438" s="33" t="str">
        <f aca="false">IF($B438="","",IF(NOT(ISNUMBER($B438)),"日期格式不对",IF($C438="","未选资金账户",IF(AND(N($I438)=0,N($J438)=0),"收支都为空",IF(AND(N($I438)&gt;0,N($J438)&gt;0),"收支不能同时填",IF(AND($D438&lt;&gt;"",LEFT($O438,1)="⚠"),"项目编号不存在",IF(AND($M438="是",$F438=""),"工程回款必须填往来单位","√")))))))</f>
        <v/>
      </c>
      <c r="O438" s="34" t="str">
        <f aca="false">IF($D438="","",IFERROR(INDEX(项目档案!$B$6:$B$255,MATCH($D438,项目档案!$A$6:$A$255,0)),"⚠编号不存在"))</f>
        <v/>
      </c>
      <c r="P438" s="35" t="str">
        <f aca="false">IF($B438="","",TEXT($B438,"yyyy-mm"))</f>
        <v/>
      </c>
    </row>
    <row r="439" customFormat="false" ht="15.75" hidden="false" customHeight="true" outlineLevel="0" collapsed="false">
      <c r="A439" s="32" t="str">
        <f aca="false">IF($B439="","",ROW()-4)</f>
        <v/>
      </c>
      <c r="B439" s="26"/>
      <c r="C439" s="21"/>
      <c r="D439" s="24"/>
      <c r="E439" s="21"/>
      <c r="F439" s="24"/>
      <c r="G439" s="21"/>
      <c r="H439" s="22"/>
      <c r="I439" s="27"/>
      <c r="J439" s="27"/>
      <c r="K439" s="36" t="str">
        <f aca="false">IF($B439="","",IF($C439="泓普",$C$2,IF($C439="仟茂",$E$2,IF($C439="现金",$G$2,0)))+SUMIFS($I$5:$I439,$C$5:$C439,$C439)-SUMIFS($J$5:$J439,$C$5:$C439,$C439))</f>
        <v/>
      </c>
      <c r="L439" s="36" t="str">
        <f aca="false">IF($B439="","",$C$2+$E$2+$G$2+SUM($I$5:$I439)-SUM($J$5:$J439))</f>
        <v/>
      </c>
      <c r="M439" s="24"/>
      <c r="N439" s="33" t="str">
        <f aca="false">IF($B439="","",IF(NOT(ISNUMBER($B439)),"日期格式不对",IF($C439="","未选资金账户",IF(AND(N($I439)=0,N($J439)=0),"收支都为空",IF(AND(N($I439)&gt;0,N($J439)&gt;0),"收支不能同时填",IF(AND($D439&lt;&gt;"",LEFT($O439,1)="⚠"),"项目编号不存在",IF(AND($M439="是",$F439=""),"工程回款必须填往来单位","√")))))))</f>
        <v/>
      </c>
      <c r="O439" s="34" t="str">
        <f aca="false">IF($D439="","",IFERROR(INDEX(项目档案!$B$6:$B$255,MATCH($D439,项目档案!$A$6:$A$255,0)),"⚠编号不存在"))</f>
        <v/>
      </c>
      <c r="P439" s="35" t="str">
        <f aca="false">IF($B439="","",TEXT($B439,"yyyy-mm"))</f>
        <v/>
      </c>
    </row>
    <row r="440" customFormat="false" ht="15.75" hidden="false" customHeight="true" outlineLevel="0" collapsed="false">
      <c r="A440" s="32" t="str">
        <f aca="false">IF($B440="","",ROW()-4)</f>
        <v/>
      </c>
      <c r="B440" s="26"/>
      <c r="C440" s="21"/>
      <c r="D440" s="24"/>
      <c r="E440" s="21"/>
      <c r="F440" s="24"/>
      <c r="G440" s="21"/>
      <c r="H440" s="22"/>
      <c r="I440" s="27"/>
      <c r="J440" s="27"/>
      <c r="K440" s="36" t="str">
        <f aca="false">IF($B440="","",IF($C440="泓普",$C$2,IF($C440="仟茂",$E$2,IF($C440="现金",$G$2,0)))+SUMIFS($I$5:$I440,$C$5:$C440,$C440)-SUMIFS($J$5:$J440,$C$5:$C440,$C440))</f>
        <v/>
      </c>
      <c r="L440" s="36" t="str">
        <f aca="false">IF($B440="","",$C$2+$E$2+$G$2+SUM($I$5:$I440)-SUM($J$5:$J440))</f>
        <v/>
      </c>
      <c r="M440" s="24"/>
      <c r="N440" s="33" t="str">
        <f aca="false">IF($B440="","",IF(NOT(ISNUMBER($B440)),"日期格式不对",IF($C440="","未选资金账户",IF(AND(N($I440)=0,N($J440)=0),"收支都为空",IF(AND(N($I440)&gt;0,N($J440)&gt;0),"收支不能同时填",IF(AND($D440&lt;&gt;"",LEFT($O440,1)="⚠"),"项目编号不存在",IF(AND($M440="是",$F440=""),"工程回款必须填往来单位","√")))))))</f>
        <v/>
      </c>
      <c r="O440" s="34" t="str">
        <f aca="false">IF($D440="","",IFERROR(INDEX(项目档案!$B$6:$B$255,MATCH($D440,项目档案!$A$6:$A$255,0)),"⚠编号不存在"))</f>
        <v/>
      </c>
      <c r="P440" s="35" t="str">
        <f aca="false">IF($B440="","",TEXT($B440,"yyyy-mm"))</f>
        <v/>
      </c>
    </row>
    <row r="441" customFormat="false" ht="15.75" hidden="false" customHeight="true" outlineLevel="0" collapsed="false">
      <c r="A441" s="32" t="str">
        <f aca="false">IF($B441="","",ROW()-4)</f>
        <v/>
      </c>
      <c r="B441" s="26"/>
      <c r="C441" s="21"/>
      <c r="D441" s="24"/>
      <c r="E441" s="21"/>
      <c r="F441" s="24"/>
      <c r="G441" s="21"/>
      <c r="H441" s="22"/>
      <c r="I441" s="27"/>
      <c r="J441" s="27"/>
      <c r="K441" s="36" t="str">
        <f aca="false">IF($B441="","",IF($C441="泓普",$C$2,IF($C441="仟茂",$E$2,IF($C441="现金",$G$2,0)))+SUMIFS($I$5:$I441,$C$5:$C441,$C441)-SUMIFS($J$5:$J441,$C$5:$C441,$C441))</f>
        <v/>
      </c>
      <c r="L441" s="36" t="str">
        <f aca="false">IF($B441="","",$C$2+$E$2+$G$2+SUM($I$5:$I441)-SUM($J$5:$J441))</f>
        <v/>
      </c>
      <c r="M441" s="24"/>
      <c r="N441" s="33" t="str">
        <f aca="false">IF($B441="","",IF(NOT(ISNUMBER($B441)),"日期格式不对",IF($C441="","未选资金账户",IF(AND(N($I441)=0,N($J441)=0),"收支都为空",IF(AND(N($I441)&gt;0,N($J441)&gt;0),"收支不能同时填",IF(AND($D441&lt;&gt;"",LEFT($O441,1)="⚠"),"项目编号不存在",IF(AND($M441="是",$F441=""),"工程回款必须填往来单位","√")))))))</f>
        <v/>
      </c>
      <c r="O441" s="34" t="str">
        <f aca="false">IF($D441="","",IFERROR(INDEX(项目档案!$B$6:$B$255,MATCH($D441,项目档案!$A$6:$A$255,0)),"⚠编号不存在"))</f>
        <v/>
      </c>
      <c r="P441" s="35" t="str">
        <f aca="false">IF($B441="","",TEXT($B441,"yyyy-mm"))</f>
        <v/>
      </c>
    </row>
    <row r="442" customFormat="false" ht="15.75" hidden="false" customHeight="true" outlineLevel="0" collapsed="false">
      <c r="A442" s="32" t="str">
        <f aca="false">IF($B442="","",ROW()-4)</f>
        <v/>
      </c>
      <c r="B442" s="26"/>
      <c r="C442" s="21"/>
      <c r="D442" s="24"/>
      <c r="E442" s="21"/>
      <c r="F442" s="24"/>
      <c r="G442" s="21"/>
      <c r="H442" s="22"/>
      <c r="I442" s="27"/>
      <c r="J442" s="27"/>
      <c r="K442" s="36" t="str">
        <f aca="false">IF($B442="","",IF($C442="泓普",$C$2,IF($C442="仟茂",$E$2,IF($C442="现金",$G$2,0)))+SUMIFS($I$5:$I442,$C$5:$C442,$C442)-SUMIFS($J$5:$J442,$C$5:$C442,$C442))</f>
        <v/>
      </c>
      <c r="L442" s="36" t="str">
        <f aca="false">IF($B442="","",$C$2+$E$2+$G$2+SUM($I$5:$I442)-SUM($J$5:$J442))</f>
        <v/>
      </c>
      <c r="M442" s="24"/>
      <c r="N442" s="33" t="str">
        <f aca="false">IF($B442="","",IF(NOT(ISNUMBER($B442)),"日期格式不对",IF($C442="","未选资金账户",IF(AND(N($I442)=0,N($J442)=0),"收支都为空",IF(AND(N($I442)&gt;0,N($J442)&gt;0),"收支不能同时填",IF(AND($D442&lt;&gt;"",LEFT($O442,1)="⚠"),"项目编号不存在",IF(AND($M442="是",$F442=""),"工程回款必须填往来单位","√")))))))</f>
        <v/>
      </c>
      <c r="O442" s="34" t="str">
        <f aca="false">IF($D442="","",IFERROR(INDEX(项目档案!$B$6:$B$255,MATCH($D442,项目档案!$A$6:$A$255,0)),"⚠编号不存在"))</f>
        <v/>
      </c>
      <c r="P442" s="35" t="str">
        <f aca="false">IF($B442="","",TEXT($B442,"yyyy-mm"))</f>
        <v/>
      </c>
    </row>
    <row r="443" customFormat="false" ht="15.75" hidden="false" customHeight="true" outlineLevel="0" collapsed="false">
      <c r="A443" s="32" t="str">
        <f aca="false">IF($B443="","",ROW()-4)</f>
        <v/>
      </c>
      <c r="B443" s="26"/>
      <c r="C443" s="21"/>
      <c r="D443" s="24"/>
      <c r="E443" s="21"/>
      <c r="F443" s="24"/>
      <c r="G443" s="21"/>
      <c r="H443" s="22"/>
      <c r="I443" s="27"/>
      <c r="J443" s="27"/>
      <c r="K443" s="36" t="str">
        <f aca="false">IF($B443="","",IF($C443="泓普",$C$2,IF($C443="仟茂",$E$2,IF($C443="现金",$G$2,0)))+SUMIFS($I$5:$I443,$C$5:$C443,$C443)-SUMIFS($J$5:$J443,$C$5:$C443,$C443))</f>
        <v/>
      </c>
      <c r="L443" s="36" t="str">
        <f aca="false">IF($B443="","",$C$2+$E$2+$G$2+SUM($I$5:$I443)-SUM($J$5:$J443))</f>
        <v/>
      </c>
      <c r="M443" s="24"/>
      <c r="N443" s="33" t="str">
        <f aca="false">IF($B443="","",IF(NOT(ISNUMBER($B443)),"日期格式不对",IF($C443="","未选资金账户",IF(AND(N($I443)=0,N($J443)=0),"收支都为空",IF(AND(N($I443)&gt;0,N($J443)&gt;0),"收支不能同时填",IF(AND($D443&lt;&gt;"",LEFT($O443,1)="⚠"),"项目编号不存在",IF(AND($M443="是",$F443=""),"工程回款必须填往来单位","√")))))))</f>
        <v/>
      </c>
      <c r="O443" s="34" t="str">
        <f aca="false">IF($D443="","",IFERROR(INDEX(项目档案!$B$6:$B$255,MATCH($D443,项目档案!$A$6:$A$255,0)),"⚠编号不存在"))</f>
        <v/>
      </c>
      <c r="P443" s="35" t="str">
        <f aca="false">IF($B443="","",TEXT($B443,"yyyy-mm"))</f>
        <v/>
      </c>
    </row>
    <row r="444" customFormat="false" ht="15.75" hidden="false" customHeight="true" outlineLevel="0" collapsed="false">
      <c r="A444" s="32" t="str">
        <f aca="false">IF($B444="","",ROW()-4)</f>
        <v/>
      </c>
      <c r="B444" s="26"/>
      <c r="C444" s="21"/>
      <c r="D444" s="24"/>
      <c r="E444" s="21"/>
      <c r="F444" s="24"/>
      <c r="G444" s="21"/>
      <c r="H444" s="22"/>
      <c r="I444" s="27"/>
      <c r="J444" s="27"/>
      <c r="K444" s="36" t="str">
        <f aca="false">IF($B444="","",IF($C444="泓普",$C$2,IF($C444="仟茂",$E$2,IF($C444="现金",$G$2,0)))+SUMIFS($I$5:$I444,$C$5:$C444,$C444)-SUMIFS($J$5:$J444,$C$5:$C444,$C444))</f>
        <v/>
      </c>
      <c r="L444" s="36" t="str">
        <f aca="false">IF($B444="","",$C$2+$E$2+$G$2+SUM($I$5:$I444)-SUM($J$5:$J444))</f>
        <v/>
      </c>
      <c r="M444" s="24"/>
      <c r="N444" s="33" t="str">
        <f aca="false">IF($B444="","",IF(NOT(ISNUMBER($B444)),"日期格式不对",IF($C444="","未选资金账户",IF(AND(N($I444)=0,N($J444)=0),"收支都为空",IF(AND(N($I444)&gt;0,N($J444)&gt;0),"收支不能同时填",IF(AND($D444&lt;&gt;"",LEFT($O444,1)="⚠"),"项目编号不存在",IF(AND($M444="是",$F444=""),"工程回款必须填往来单位","√")))))))</f>
        <v/>
      </c>
      <c r="O444" s="34" t="str">
        <f aca="false">IF($D444="","",IFERROR(INDEX(项目档案!$B$6:$B$255,MATCH($D444,项目档案!$A$6:$A$255,0)),"⚠编号不存在"))</f>
        <v/>
      </c>
      <c r="P444" s="35" t="str">
        <f aca="false">IF($B444="","",TEXT($B444,"yyyy-mm"))</f>
        <v/>
      </c>
    </row>
    <row r="445" customFormat="false" ht="15.75" hidden="false" customHeight="true" outlineLevel="0" collapsed="false">
      <c r="A445" s="32" t="str">
        <f aca="false">IF($B445="","",ROW()-4)</f>
        <v/>
      </c>
      <c r="B445" s="26"/>
      <c r="C445" s="21"/>
      <c r="D445" s="24"/>
      <c r="E445" s="21"/>
      <c r="F445" s="24"/>
      <c r="G445" s="21"/>
      <c r="H445" s="22"/>
      <c r="I445" s="27"/>
      <c r="J445" s="27"/>
      <c r="K445" s="36" t="str">
        <f aca="false">IF($B445="","",IF($C445="泓普",$C$2,IF($C445="仟茂",$E$2,IF($C445="现金",$G$2,0)))+SUMIFS($I$5:$I445,$C$5:$C445,$C445)-SUMIFS($J$5:$J445,$C$5:$C445,$C445))</f>
        <v/>
      </c>
      <c r="L445" s="36" t="str">
        <f aca="false">IF($B445="","",$C$2+$E$2+$G$2+SUM($I$5:$I445)-SUM($J$5:$J445))</f>
        <v/>
      </c>
      <c r="M445" s="24"/>
      <c r="N445" s="33" t="str">
        <f aca="false">IF($B445="","",IF(NOT(ISNUMBER($B445)),"日期格式不对",IF($C445="","未选资金账户",IF(AND(N($I445)=0,N($J445)=0),"收支都为空",IF(AND(N($I445)&gt;0,N($J445)&gt;0),"收支不能同时填",IF(AND($D445&lt;&gt;"",LEFT($O445,1)="⚠"),"项目编号不存在",IF(AND($M445="是",$F445=""),"工程回款必须填往来单位","√")))))))</f>
        <v/>
      </c>
      <c r="O445" s="34" t="str">
        <f aca="false">IF($D445="","",IFERROR(INDEX(项目档案!$B$6:$B$255,MATCH($D445,项目档案!$A$6:$A$255,0)),"⚠编号不存在"))</f>
        <v/>
      </c>
      <c r="P445" s="35" t="str">
        <f aca="false">IF($B445="","",TEXT($B445,"yyyy-mm"))</f>
        <v/>
      </c>
    </row>
    <row r="446" customFormat="false" ht="15.75" hidden="false" customHeight="true" outlineLevel="0" collapsed="false">
      <c r="A446" s="32" t="str">
        <f aca="false">IF($B446="","",ROW()-4)</f>
        <v/>
      </c>
      <c r="B446" s="26"/>
      <c r="C446" s="21"/>
      <c r="D446" s="24"/>
      <c r="E446" s="21"/>
      <c r="F446" s="24"/>
      <c r="G446" s="21"/>
      <c r="H446" s="22"/>
      <c r="I446" s="27"/>
      <c r="J446" s="27"/>
      <c r="K446" s="36" t="str">
        <f aca="false">IF($B446="","",IF($C446="泓普",$C$2,IF($C446="仟茂",$E$2,IF($C446="现金",$G$2,0)))+SUMIFS($I$5:$I446,$C$5:$C446,$C446)-SUMIFS($J$5:$J446,$C$5:$C446,$C446))</f>
        <v/>
      </c>
      <c r="L446" s="36" t="str">
        <f aca="false">IF($B446="","",$C$2+$E$2+$G$2+SUM($I$5:$I446)-SUM($J$5:$J446))</f>
        <v/>
      </c>
      <c r="M446" s="24"/>
      <c r="N446" s="33" t="str">
        <f aca="false">IF($B446="","",IF(NOT(ISNUMBER($B446)),"日期格式不对",IF($C446="","未选资金账户",IF(AND(N($I446)=0,N($J446)=0),"收支都为空",IF(AND(N($I446)&gt;0,N($J446)&gt;0),"收支不能同时填",IF(AND($D446&lt;&gt;"",LEFT($O446,1)="⚠"),"项目编号不存在",IF(AND($M446="是",$F446=""),"工程回款必须填往来单位","√")))))))</f>
        <v/>
      </c>
      <c r="O446" s="34" t="str">
        <f aca="false">IF($D446="","",IFERROR(INDEX(项目档案!$B$6:$B$255,MATCH($D446,项目档案!$A$6:$A$255,0)),"⚠编号不存在"))</f>
        <v/>
      </c>
      <c r="P446" s="35" t="str">
        <f aca="false">IF($B446="","",TEXT($B446,"yyyy-mm"))</f>
        <v/>
      </c>
    </row>
    <row r="447" customFormat="false" ht="15.75" hidden="false" customHeight="true" outlineLevel="0" collapsed="false">
      <c r="A447" s="32" t="str">
        <f aca="false">IF($B447="","",ROW()-4)</f>
        <v/>
      </c>
      <c r="B447" s="26"/>
      <c r="C447" s="21"/>
      <c r="D447" s="24"/>
      <c r="E447" s="21"/>
      <c r="F447" s="24"/>
      <c r="G447" s="21"/>
      <c r="H447" s="22"/>
      <c r="I447" s="27"/>
      <c r="J447" s="27"/>
      <c r="K447" s="36" t="str">
        <f aca="false">IF($B447="","",IF($C447="泓普",$C$2,IF($C447="仟茂",$E$2,IF($C447="现金",$G$2,0)))+SUMIFS($I$5:$I447,$C$5:$C447,$C447)-SUMIFS($J$5:$J447,$C$5:$C447,$C447))</f>
        <v/>
      </c>
      <c r="L447" s="36" t="str">
        <f aca="false">IF($B447="","",$C$2+$E$2+$G$2+SUM($I$5:$I447)-SUM($J$5:$J447))</f>
        <v/>
      </c>
      <c r="M447" s="24"/>
      <c r="N447" s="33" t="str">
        <f aca="false">IF($B447="","",IF(NOT(ISNUMBER($B447)),"日期格式不对",IF($C447="","未选资金账户",IF(AND(N($I447)=0,N($J447)=0),"收支都为空",IF(AND(N($I447)&gt;0,N($J447)&gt;0),"收支不能同时填",IF(AND($D447&lt;&gt;"",LEFT($O447,1)="⚠"),"项目编号不存在",IF(AND($M447="是",$F447=""),"工程回款必须填往来单位","√")))))))</f>
        <v/>
      </c>
      <c r="O447" s="34" t="str">
        <f aca="false">IF($D447="","",IFERROR(INDEX(项目档案!$B$6:$B$255,MATCH($D447,项目档案!$A$6:$A$255,0)),"⚠编号不存在"))</f>
        <v/>
      </c>
      <c r="P447" s="35" t="str">
        <f aca="false">IF($B447="","",TEXT($B447,"yyyy-mm"))</f>
        <v/>
      </c>
    </row>
    <row r="448" customFormat="false" ht="15.75" hidden="false" customHeight="true" outlineLevel="0" collapsed="false">
      <c r="A448" s="32" t="str">
        <f aca="false">IF($B448="","",ROW()-4)</f>
        <v/>
      </c>
      <c r="B448" s="26"/>
      <c r="C448" s="21"/>
      <c r="D448" s="24"/>
      <c r="E448" s="21"/>
      <c r="F448" s="24"/>
      <c r="G448" s="21"/>
      <c r="H448" s="22"/>
      <c r="I448" s="27"/>
      <c r="J448" s="27"/>
      <c r="K448" s="36" t="str">
        <f aca="false">IF($B448="","",IF($C448="泓普",$C$2,IF($C448="仟茂",$E$2,IF($C448="现金",$G$2,0)))+SUMIFS($I$5:$I448,$C$5:$C448,$C448)-SUMIFS($J$5:$J448,$C$5:$C448,$C448))</f>
        <v/>
      </c>
      <c r="L448" s="36" t="str">
        <f aca="false">IF($B448="","",$C$2+$E$2+$G$2+SUM($I$5:$I448)-SUM($J$5:$J448))</f>
        <v/>
      </c>
      <c r="M448" s="24"/>
      <c r="N448" s="33" t="str">
        <f aca="false">IF($B448="","",IF(NOT(ISNUMBER($B448)),"日期格式不对",IF($C448="","未选资金账户",IF(AND(N($I448)=0,N($J448)=0),"收支都为空",IF(AND(N($I448)&gt;0,N($J448)&gt;0),"收支不能同时填",IF(AND($D448&lt;&gt;"",LEFT($O448,1)="⚠"),"项目编号不存在",IF(AND($M448="是",$F448=""),"工程回款必须填往来单位","√")))))))</f>
        <v/>
      </c>
      <c r="O448" s="34" t="str">
        <f aca="false">IF($D448="","",IFERROR(INDEX(项目档案!$B$6:$B$255,MATCH($D448,项目档案!$A$6:$A$255,0)),"⚠编号不存在"))</f>
        <v/>
      </c>
      <c r="P448" s="35" t="str">
        <f aca="false">IF($B448="","",TEXT($B448,"yyyy-mm"))</f>
        <v/>
      </c>
    </row>
    <row r="449" customFormat="false" ht="15.75" hidden="false" customHeight="true" outlineLevel="0" collapsed="false">
      <c r="A449" s="32" t="str">
        <f aca="false">IF($B449="","",ROW()-4)</f>
        <v/>
      </c>
      <c r="B449" s="26"/>
      <c r="C449" s="21"/>
      <c r="D449" s="24"/>
      <c r="E449" s="21"/>
      <c r="F449" s="24"/>
      <c r="G449" s="21"/>
      <c r="H449" s="22"/>
      <c r="I449" s="27"/>
      <c r="J449" s="27"/>
      <c r="K449" s="36" t="str">
        <f aca="false">IF($B449="","",IF($C449="泓普",$C$2,IF($C449="仟茂",$E$2,IF($C449="现金",$G$2,0)))+SUMIFS($I$5:$I449,$C$5:$C449,$C449)-SUMIFS($J$5:$J449,$C$5:$C449,$C449))</f>
        <v/>
      </c>
      <c r="L449" s="36" t="str">
        <f aca="false">IF($B449="","",$C$2+$E$2+$G$2+SUM($I$5:$I449)-SUM($J$5:$J449))</f>
        <v/>
      </c>
      <c r="M449" s="24"/>
      <c r="N449" s="33" t="str">
        <f aca="false">IF($B449="","",IF(NOT(ISNUMBER($B449)),"日期格式不对",IF($C449="","未选资金账户",IF(AND(N($I449)=0,N($J449)=0),"收支都为空",IF(AND(N($I449)&gt;0,N($J449)&gt;0),"收支不能同时填",IF(AND($D449&lt;&gt;"",LEFT($O449,1)="⚠"),"项目编号不存在",IF(AND($M449="是",$F449=""),"工程回款必须填往来单位","√")))))))</f>
        <v/>
      </c>
      <c r="O449" s="34" t="str">
        <f aca="false">IF($D449="","",IFERROR(INDEX(项目档案!$B$6:$B$255,MATCH($D449,项目档案!$A$6:$A$255,0)),"⚠编号不存在"))</f>
        <v/>
      </c>
      <c r="P449" s="35" t="str">
        <f aca="false">IF($B449="","",TEXT($B449,"yyyy-mm"))</f>
        <v/>
      </c>
    </row>
    <row r="450" customFormat="false" ht="15.75" hidden="false" customHeight="true" outlineLevel="0" collapsed="false">
      <c r="A450" s="32" t="str">
        <f aca="false">IF($B450="","",ROW()-4)</f>
        <v/>
      </c>
      <c r="B450" s="26"/>
      <c r="C450" s="21"/>
      <c r="D450" s="24"/>
      <c r="E450" s="21"/>
      <c r="F450" s="24"/>
      <c r="G450" s="21"/>
      <c r="H450" s="22"/>
      <c r="I450" s="27"/>
      <c r="J450" s="27"/>
      <c r="K450" s="36" t="str">
        <f aca="false">IF($B450="","",IF($C450="泓普",$C$2,IF($C450="仟茂",$E$2,IF($C450="现金",$G$2,0)))+SUMIFS($I$5:$I450,$C$5:$C450,$C450)-SUMIFS($J$5:$J450,$C$5:$C450,$C450))</f>
        <v/>
      </c>
      <c r="L450" s="36" t="str">
        <f aca="false">IF($B450="","",$C$2+$E$2+$G$2+SUM($I$5:$I450)-SUM($J$5:$J450))</f>
        <v/>
      </c>
      <c r="M450" s="24"/>
      <c r="N450" s="33" t="str">
        <f aca="false">IF($B450="","",IF(NOT(ISNUMBER($B450)),"日期格式不对",IF($C450="","未选资金账户",IF(AND(N($I450)=0,N($J450)=0),"收支都为空",IF(AND(N($I450)&gt;0,N($J450)&gt;0),"收支不能同时填",IF(AND($D450&lt;&gt;"",LEFT($O450,1)="⚠"),"项目编号不存在",IF(AND($M450="是",$F450=""),"工程回款必须填往来单位","√")))))))</f>
        <v/>
      </c>
      <c r="O450" s="34" t="str">
        <f aca="false">IF($D450="","",IFERROR(INDEX(项目档案!$B$6:$B$255,MATCH($D450,项目档案!$A$6:$A$255,0)),"⚠编号不存在"))</f>
        <v/>
      </c>
      <c r="P450" s="35" t="str">
        <f aca="false">IF($B450="","",TEXT($B450,"yyyy-mm"))</f>
        <v/>
      </c>
    </row>
    <row r="451" customFormat="false" ht="15.75" hidden="false" customHeight="true" outlineLevel="0" collapsed="false">
      <c r="A451" s="32" t="str">
        <f aca="false">IF($B451="","",ROW()-4)</f>
        <v/>
      </c>
      <c r="B451" s="26"/>
      <c r="C451" s="21"/>
      <c r="D451" s="24"/>
      <c r="E451" s="21"/>
      <c r="F451" s="24"/>
      <c r="G451" s="21"/>
      <c r="H451" s="22"/>
      <c r="I451" s="27"/>
      <c r="J451" s="27"/>
      <c r="K451" s="36" t="str">
        <f aca="false">IF($B451="","",IF($C451="泓普",$C$2,IF($C451="仟茂",$E$2,IF($C451="现金",$G$2,0)))+SUMIFS($I$5:$I451,$C$5:$C451,$C451)-SUMIFS($J$5:$J451,$C$5:$C451,$C451))</f>
        <v/>
      </c>
      <c r="L451" s="36" t="str">
        <f aca="false">IF($B451="","",$C$2+$E$2+$G$2+SUM($I$5:$I451)-SUM($J$5:$J451))</f>
        <v/>
      </c>
      <c r="M451" s="24"/>
      <c r="N451" s="33" t="str">
        <f aca="false">IF($B451="","",IF(NOT(ISNUMBER($B451)),"日期格式不对",IF($C451="","未选资金账户",IF(AND(N($I451)=0,N($J451)=0),"收支都为空",IF(AND(N($I451)&gt;0,N($J451)&gt;0),"收支不能同时填",IF(AND($D451&lt;&gt;"",LEFT($O451,1)="⚠"),"项目编号不存在",IF(AND($M451="是",$F451=""),"工程回款必须填往来单位","√")))))))</f>
        <v/>
      </c>
      <c r="O451" s="34" t="str">
        <f aca="false">IF($D451="","",IFERROR(INDEX(项目档案!$B$6:$B$255,MATCH($D451,项目档案!$A$6:$A$255,0)),"⚠编号不存在"))</f>
        <v/>
      </c>
      <c r="P451" s="35" t="str">
        <f aca="false">IF($B451="","",TEXT($B451,"yyyy-mm"))</f>
        <v/>
      </c>
    </row>
    <row r="452" customFormat="false" ht="15.75" hidden="false" customHeight="true" outlineLevel="0" collapsed="false">
      <c r="A452" s="32" t="str">
        <f aca="false">IF($B452="","",ROW()-4)</f>
        <v/>
      </c>
      <c r="B452" s="26"/>
      <c r="C452" s="21"/>
      <c r="D452" s="24"/>
      <c r="E452" s="21"/>
      <c r="F452" s="24"/>
      <c r="G452" s="21"/>
      <c r="H452" s="22"/>
      <c r="I452" s="27"/>
      <c r="J452" s="27"/>
      <c r="K452" s="36" t="str">
        <f aca="false">IF($B452="","",IF($C452="泓普",$C$2,IF($C452="仟茂",$E$2,IF($C452="现金",$G$2,0)))+SUMIFS($I$5:$I452,$C$5:$C452,$C452)-SUMIFS($J$5:$J452,$C$5:$C452,$C452))</f>
        <v/>
      </c>
      <c r="L452" s="36" t="str">
        <f aca="false">IF($B452="","",$C$2+$E$2+$G$2+SUM($I$5:$I452)-SUM($J$5:$J452))</f>
        <v/>
      </c>
      <c r="M452" s="24"/>
      <c r="N452" s="33" t="str">
        <f aca="false">IF($B452="","",IF(NOT(ISNUMBER($B452)),"日期格式不对",IF($C452="","未选资金账户",IF(AND(N($I452)=0,N($J452)=0),"收支都为空",IF(AND(N($I452)&gt;0,N($J452)&gt;0),"收支不能同时填",IF(AND($D452&lt;&gt;"",LEFT($O452,1)="⚠"),"项目编号不存在",IF(AND($M452="是",$F452=""),"工程回款必须填往来单位","√")))))))</f>
        <v/>
      </c>
      <c r="O452" s="34" t="str">
        <f aca="false">IF($D452="","",IFERROR(INDEX(项目档案!$B$6:$B$255,MATCH($D452,项目档案!$A$6:$A$255,0)),"⚠编号不存在"))</f>
        <v/>
      </c>
      <c r="P452" s="35" t="str">
        <f aca="false">IF($B452="","",TEXT($B452,"yyyy-mm"))</f>
        <v/>
      </c>
    </row>
    <row r="453" customFormat="false" ht="15.75" hidden="false" customHeight="true" outlineLevel="0" collapsed="false">
      <c r="A453" s="32" t="str">
        <f aca="false">IF($B453="","",ROW()-4)</f>
        <v/>
      </c>
      <c r="B453" s="26"/>
      <c r="C453" s="21"/>
      <c r="D453" s="24"/>
      <c r="E453" s="21"/>
      <c r="F453" s="24"/>
      <c r="G453" s="21"/>
      <c r="H453" s="22"/>
      <c r="I453" s="27"/>
      <c r="J453" s="27"/>
      <c r="K453" s="36" t="str">
        <f aca="false">IF($B453="","",IF($C453="泓普",$C$2,IF($C453="仟茂",$E$2,IF($C453="现金",$G$2,0)))+SUMIFS($I$5:$I453,$C$5:$C453,$C453)-SUMIFS($J$5:$J453,$C$5:$C453,$C453))</f>
        <v/>
      </c>
      <c r="L453" s="36" t="str">
        <f aca="false">IF($B453="","",$C$2+$E$2+$G$2+SUM($I$5:$I453)-SUM($J$5:$J453))</f>
        <v/>
      </c>
      <c r="M453" s="24"/>
      <c r="N453" s="33" t="str">
        <f aca="false">IF($B453="","",IF(NOT(ISNUMBER($B453)),"日期格式不对",IF($C453="","未选资金账户",IF(AND(N($I453)=0,N($J453)=0),"收支都为空",IF(AND(N($I453)&gt;0,N($J453)&gt;0),"收支不能同时填",IF(AND($D453&lt;&gt;"",LEFT($O453,1)="⚠"),"项目编号不存在",IF(AND($M453="是",$F453=""),"工程回款必须填往来单位","√")))))))</f>
        <v/>
      </c>
      <c r="O453" s="34" t="str">
        <f aca="false">IF($D453="","",IFERROR(INDEX(项目档案!$B$6:$B$255,MATCH($D453,项目档案!$A$6:$A$255,0)),"⚠编号不存在"))</f>
        <v/>
      </c>
      <c r="P453" s="35" t="str">
        <f aca="false">IF($B453="","",TEXT($B453,"yyyy-mm"))</f>
        <v/>
      </c>
    </row>
    <row r="454" customFormat="false" ht="15.75" hidden="false" customHeight="true" outlineLevel="0" collapsed="false">
      <c r="A454" s="32" t="str">
        <f aca="false">IF($B454="","",ROW()-4)</f>
        <v/>
      </c>
      <c r="B454" s="26"/>
      <c r="C454" s="21"/>
      <c r="D454" s="24"/>
      <c r="E454" s="21"/>
      <c r="F454" s="24"/>
      <c r="G454" s="21"/>
      <c r="H454" s="22"/>
      <c r="I454" s="27"/>
      <c r="J454" s="27"/>
      <c r="K454" s="36" t="str">
        <f aca="false">IF($B454="","",IF($C454="泓普",$C$2,IF($C454="仟茂",$E$2,IF($C454="现金",$G$2,0)))+SUMIFS($I$5:$I454,$C$5:$C454,$C454)-SUMIFS($J$5:$J454,$C$5:$C454,$C454))</f>
        <v/>
      </c>
      <c r="L454" s="36" t="str">
        <f aca="false">IF($B454="","",$C$2+$E$2+$G$2+SUM($I$5:$I454)-SUM($J$5:$J454))</f>
        <v/>
      </c>
      <c r="M454" s="24"/>
      <c r="N454" s="33" t="str">
        <f aca="false">IF($B454="","",IF(NOT(ISNUMBER($B454)),"日期格式不对",IF($C454="","未选资金账户",IF(AND(N($I454)=0,N($J454)=0),"收支都为空",IF(AND(N($I454)&gt;0,N($J454)&gt;0),"收支不能同时填",IF(AND($D454&lt;&gt;"",LEFT($O454,1)="⚠"),"项目编号不存在",IF(AND($M454="是",$F454=""),"工程回款必须填往来单位","√")))))))</f>
        <v/>
      </c>
      <c r="O454" s="34" t="str">
        <f aca="false">IF($D454="","",IFERROR(INDEX(项目档案!$B$6:$B$255,MATCH($D454,项目档案!$A$6:$A$255,0)),"⚠编号不存在"))</f>
        <v/>
      </c>
      <c r="P454" s="35" t="str">
        <f aca="false">IF($B454="","",TEXT($B454,"yyyy-mm"))</f>
        <v/>
      </c>
    </row>
    <row r="455" customFormat="false" ht="15.75" hidden="false" customHeight="true" outlineLevel="0" collapsed="false">
      <c r="A455" s="32" t="str">
        <f aca="false">IF($B455="","",ROW()-4)</f>
        <v/>
      </c>
      <c r="B455" s="26"/>
      <c r="C455" s="21"/>
      <c r="D455" s="24"/>
      <c r="E455" s="21"/>
      <c r="F455" s="24"/>
      <c r="G455" s="21"/>
      <c r="H455" s="22"/>
      <c r="I455" s="27"/>
      <c r="J455" s="27"/>
      <c r="K455" s="36" t="str">
        <f aca="false">IF($B455="","",IF($C455="泓普",$C$2,IF($C455="仟茂",$E$2,IF($C455="现金",$G$2,0)))+SUMIFS($I$5:$I455,$C$5:$C455,$C455)-SUMIFS($J$5:$J455,$C$5:$C455,$C455))</f>
        <v/>
      </c>
      <c r="L455" s="36" t="str">
        <f aca="false">IF($B455="","",$C$2+$E$2+$G$2+SUM($I$5:$I455)-SUM($J$5:$J455))</f>
        <v/>
      </c>
      <c r="M455" s="24"/>
      <c r="N455" s="33" t="str">
        <f aca="false">IF($B455="","",IF(NOT(ISNUMBER($B455)),"日期格式不对",IF($C455="","未选资金账户",IF(AND(N($I455)=0,N($J455)=0),"收支都为空",IF(AND(N($I455)&gt;0,N($J455)&gt;0),"收支不能同时填",IF(AND($D455&lt;&gt;"",LEFT($O455,1)="⚠"),"项目编号不存在",IF(AND($M455="是",$F455=""),"工程回款必须填往来单位","√")))))))</f>
        <v/>
      </c>
      <c r="O455" s="34" t="str">
        <f aca="false">IF($D455="","",IFERROR(INDEX(项目档案!$B$6:$B$255,MATCH($D455,项目档案!$A$6:$A$255,0)),"⚠编号不存在"))</f>
        <v/>
      </c>
      <c r="P455" s="35" t="str">
        <f aca="false">IF($B455="","",TEXT($B455,"yyyy-mm"))</f>
        <v/>
      </c>
    </row>
    <row r="456" customFormat="false" ht="15.75" hidden="false" customHeight="true" outlineLevel="0" collapsed="false">
      <c r="A456" s="32" t="str">
        <f aca="false">IF($B456="","",ROW()-4)</f>
        <v/>
      </c>
      <c r="B456" s="26"/>
      <c r="C456" s="21"/>
      <c r="D456" s="24"/>
      <c r="E456" s="21"/>
      <c r="F456" s="24"/>
      <c r="G456" s="21"/>
      <c r="H456" s="22"/>
      <c r="I456" s="27"/>
      <c r="J456" s="27"/>
      <c r="K456" s="36" t="str">
        <f aca="false">IF($B456="","",IF($C456="泓普",$C$2,IF($C456="仟茂",$E$2,IF($C456="现金",$G$2,0)))+SUMIFS($I$5:$I456,$C$5:$C456,$C456)-SUMIFS($J$5:$J456,$C$5:$C456,$C456))</f>
        <v/>
      </c>
      <c r="L456" s="36" t="str">
        <f aca="false">IF($B456="","",$C$2+$E$2+$G$2+SUM($I$5:$I456)-SUM($J$5:$J456))</f>
        <v/>
      </c>
      <c r="M456" s="24"/>
      <c r="N456" s="33" t="str">
        <f aca="false">IF($B456="","",IF(NOT(ISNUMBER($B456)),"日期格式不对",IF($C456="","未选资金账户",IF(AND(N($I456)=0,N($J456)=0),"收支都为空",IF(AND(N($I456)&gt;0,N($J456)&gt;0),"收支不能同时填",IF(AND($D456&lt;&gt;"",LEFT($O456,1)="⚠"),"项目编号不存在",IF(AND($M456="是",$F456=""),"工程回款必须填往来单位","√")))))))</f>
        <v/>
      </c>
      <c r="O456" s="34" t="str">
        <f aca="false">IF($D456="","",IFERROR(INDEX(项目档案!$B$6:$B$255,MATCH($D456,项目档案!$A$6:$A$255,0)),"⚠编号不存在"))</f>
        <v/>
      </c>
      <c r="P456" s="35" t="str">
        <f aca="false">IF($B456="","",TEXT($B456,"yyyy-mm"))</f>
        <v/>
      </c>
    </row>
    <row r="457" customFormat="false" ht="15.75" hidden="false" customHeight="true" outlineLevel="0" collapsed="false">
      <c r="A457" s="32" t="str">
        <f aca="false">IF($B457="","",ROW()-4)</f>
        <v/>
      </c>
      <c r="B457" s="26"/>
      <c r="C457" s="21"/>
      <c r="D457" s="24"/>
      <c r="E457" s="21"/>
      <c r="F457" s="24"/>
      <c r="G457" s="21"/>
      <c r="H457" s="22"/>
      <c r="I457" s="27"/>
      <c r="J457" s="27"/>
      <c r="K457" s="36" t="str">
        <f aca="false">IF($B457="","",IF($C457="泓普",$C$2,IF($C457="仟茂",$E$2,IF($C457="现金",$G$2,0)))+SUMIFS($I$5:$I457,$C$5:$C457,$C457)-SUMIFS($J$5:$J457,$C$5:$C457,$C457))</f>
        <v/>
      </c>
      <c r="L457" s="36" t="str">
        <f aca="false">IF($B457="","",$C$2+$E$2+$G$2+SUM($I$5:$I457)-SUM($J$5:$J457))</f>
        <v/>
      </c>
      <c r="M457" s="24"/>
      <c r="N457" s="33" t="str">
        <f aca="false">IF($B457="","",IF(NOT(ISNUMBER($B457)),"日期格式不对",IF($C457="","未选资金账户",IF(AND(N($I457)=0,N($J457)=0),"收支都为空",IF(AND(N($I457)&gt;0,N($J457)&gt;0),"收支不能同时填",IF(AND($D457&lt;&gt;"",LEFT($O457,1)="⚠"),"项目编号不存在",IF(AND($M457="是",$F457=""),"工程回款必须填往来单位","√")))))))</f>
        <v/>
      </c>
      <c r="O457" s="34" t="str">
        <f aca="false">IF($D457="","",IFERROR(INDEX(项目档案!$B$6:$B$255,MATCH($D457,项目档案!$A$6:$A$255,0)),"⚠编号不存在"))</f>
        <v/>
      </c>
      <c r="P457" s="35" t="str">
        <f aca="false">IF($B457="","",TEXT($B457,"yyyy-mm"))</f>
        <v/>
      </c>
    </row>
    <row r="458" customFormat="false" ht="15.75" hidden="false" customHeight="true" outlineLevel="0" collapsed="false">
      <c r="A458" s="32" t="str">
        <f aca="false">IF($B458="","",ROW()-4)</f>
        <v/>
      </c>
      <c r="B458" s="26"/>
      <c r="C458" s="21"/>
      <c r="D458" s="24"/>
      <c r="E458" s="21"/>
      <c r="F458" s="24"/>
      <c r="G458" s="21"/>
      <c r="H458" s="22"/>
      <c r="I458" s="27"/>
      <c r="J458" s="27"/>
      <c r="K458" s="36" t="str">
        <f aca="false">IF($B458="","",IF($C458="泓普",$C$2,IF($C458="仟茂",$E$2,IF($C458="现金",$G$2,0)))+SUMIFS($I$5:$I458,$C$5:$C458,$C458)-SUMIFS($J$5:$J458,$C$5:$C458,$C458))</f>
        <v/>
      </c>
      <c r="L458" s="36" t="str">
        <f aca="false">IF($B458="","",$C$2+$E$2+$G$2+SUM($I$5:$I458)-SUM($J$5:$J458))</f>
        <v/>
      </c>
      <c r="M458" s="24"/>
      <c r="N458" s="33" t="str">
        <f aca="false">IF($B458="","",IF(NOT(ISNUMBER($B458)),"日期格式不对",IF($C458="","未选资金账户",IF(AND(N($I458)=0,N($J458)=0),"收支都为空",IF(AND(N($I458)&gt;0,N($J458)&gt;0),"收支不能同时填",IF(AND($D458&lt;&gt;"",LEFT($O458,1)="⚠"),"项目编号不存在",IF(AND($M458="是",$F458=""),"工程回款必须填往来单位","√")))))))</f>
        <v/>
      </c>
      <c r="O458" s="34" t="str">
        <f aca="false">IF($D458="","",IFERROR(INDEX(项目档案!$B$6:$B$255,MATCH($D458,项目档案!$A$6:$A$255,0)),"⚠编号不存在"))</f>
        <v/>
      </c>
      <c r="P458" s="35" t="str">
        <f aca="false">IF($B458="","",TEXT($B458,"yyyy-mm"))</f>
        <v/>
      </c>
    </row>
    <row r="459" customFormat="false" ht="15.75" hidden="false" customHeight="true" outlineLevel="0" collapsed="false">
      <c r="A459" s="32" t="str">
        <f aca="false">IF($B459="","",ROW()-4)</f>
        <v/>
      </c>
      <c r="B459" s="26"/>
      <c r="C459" s="21"/>
      <c r="D459" s="24"/>
      <c r="E459" s="21"/>
      <c r="F459" s="24"/>
      <c r="G459" s="21"/>
      <c r="H459" s="22"/>
      <c r="I459" s="27"/>
      <c r="J459" s="27"/>
      <c r="K459" s="36" t="str">
        <f aca="false">IF($B459="","",IF($C459="泓普",$C$2,IF($C459="仟茂",$E$2,IF($C459="现金",$G$2,0)))+SUMIFS($I$5:$I459,$C$5:$C459,$C459)-SUMIFS($J$5:$J459,$C$5:$C459,$C459))</f>
        <v/>
      </c>
      <c r="L459" s="36" t="str">
        <f aca="false">IF($B459="","",$C$2+$E$2+$G$2+SUM($I$5:$I459)-SUM($J$5:$J459))</f>
        <v/>
      </c>
      <c r="M459" s="24"/>
      <c r="N459" s="33" t="str">
        <f aca="false">IF($B459="","",IF(NOT(ISNUMBER($B459)),"日期格式不对",IF($C459="","未选资金账户",IF(AND(N($I459)=0,N($J459)=0),"收支都为空",IF(AND(N($I459)&gt;0,N($J459)&gt;0),"收支不能同时填",IF(AND($D459&lt;&gt;"",LEFT($O459,1)="⚠"),"项目编号不存在",IF(AND($M459="是",$F459=""),"工程回款必须填往来单位","√")))))))</f>
        <v/>
      </c>
      <c r="O459" s="34" t="str">
        <f aca="false">IF($D459="","",IFERROR(INDEX(项目档案!$B$6:$B$255,MATCH($D459,项目档案!$A$6:$A$255,0)),"⚠编号不存在"))</f>
        <v/>
      </c>
      <c r="P459" s="35" t="str">
        <f aca="false">IF($B459="","",TEXT($B459,"yyyy-mm"))</f>
        <v/>
      </c>
    </row>
    <row r="460" customFormat="false" ht="15.75" hidden="false" customHeight="true" outlineLevel="0" collapsed="false">
      <c r="A460" s="32" t="str">
        <f aca="false">IF($B460="","",ROW()-4)</f>
        <v/>
      </c>
      <c r="B460" s="26"/>
      <c r="C460" s="21"/>
      <c r="D460" s="24"/>
      <c r="E460" s="21"/>
      <c r="F460" s="24"/>
      <c r="G460" s="21"/>
      <c r="H460" s="22"/>
      <c r="I460" s="27"/>
      <c r="J460" s="27"/>
      <c r="K460" s="36" t="str">
        <f aca="false">IF($B460="","",IF($C460="泓普",$C$2,IF($C460="仟茂",$E$2,IF($C460="现金",$G$2,0)))+SUMIFS($I$5:$I460,$C$5:$C460,$C460)-SUMIFS($J$5:$J460,$C$5:$C460,$C460))</f>
        <v/>
      </c>
      <c r="L460" s="36" t="str">
        <f aca="false">IF($B460="","",$C$2+$E$2+$G$2+SUM($I$5:$I460)-SUM($J$5:$J460))</f>
        <v/>
      </c>
      <c r="M460" s="24"/>
      <c r="N460" s="33" t="str">
        <f aca="false">IF($B460="","",IF(NOT(ISNUMBER($B460)),"日期格式不对",IF($C460="","未选资金账户",IF(AND(N($I460)=0,N($J460)=0),"收支都为空",IF(AND(N($I460)&gt;0,N($J460)&gt;0),"收支不能同时填",IF(AND($D460&lt;&gt;"",LEFT($O460,1)="⚠"),"项目编号不存在",IF(AND($M460="是",$F460=""),"工程回款必须填往来单位","√")))))))</f>
        <v/>
      </c>
      <c r="O460" s="34" t="str">
        <f aca="false">IF($D460="","",IFERROR(INDEX(项目档案!$B$6:$B$255,MATCH($D460,项目档案!$A$6:$A$255,0)),"⚠编号不存在"))</f>
        <v/>
      </c>
      <c r="P460" s="35" t="str">
        <f aca="false">IF($B460="","",TEXT($B460,"yyyy-mm"))</f>
        <v/>
      </c>
    </row>
    <row r="461" customFormat="false" ht="15.75" hidden="false" customHeight="true" outlineLevel="0" collapsed="false">
      <c r="A461" s="32" t="str">
        <f aca="false">IF($B461="","",ROW()-4)</f>
        <v/>
      </c>
      <c r="B461" s="26"/>
      <c r="C461" s="21"/>
      <c r="D461" s="24"/>
      <c r="E461" s="21"/>
      <c r="F461" s="24"/>
      <c r="G461" s="21"/>
      <c r="H461" s="22"/>
      <c r="I461" s="27"/>
      <c r="J461" s="27"/>
      <c r="K461" s="36" t="str">
        <f aca="false">IF($B461="","",IF($C461="泓普",$C$2,IF($C461="仟茂",$E$2,IF($C461="现金",$G$2,0)))+SUMIFS($I$5:$I461,$C$5:$C461,$C461)-SUMIFS($J$5:$J461,$C$5:$C461,$C461))</f>
        <v/>
      </c>
      <c r="L461" s="36" t="str">
        <f aca="false">IF($B461="","",$C$2+$E$2+$G$2+SUM($I$5:$I461)-SUM($J$5:$J461))</f>
        <v/>
      </c>
      <c r="M461" s="24"/>
      <c r="N461" s="33" t="str">
        <f aca="false">IF($B461="","",IF(NOT(ISNUMBER($B461)),"日期格式不对",IF($C461="","未选资金账户",IF(AND(N($I461)=0,N($J461)=0),"收支都为空",IF(AND(N($I461)&gt;0,N($J461)&gt;0),"收支不能同时填",IF(AND($D461&lt;&gt;"",LEFT($O461,1)="⚠"),"项目编号不存在",IF(AND($M461="是",$F461=""),"工程回款必须填往来单位","√")))))))</f>
        <v/>
      </c>
      <c r="O461" s="34" t="str">
        <f aca="false">IF($D461="","",IFERROR(INDEX(项目档案!$B$6:$B$255,MATCH($D461,项目档案!$A$6:$A$255,0)),"⚠编号不存在"))</f>
        <v/>
      </c>
      <c r="P461" s="35" t="str">
        <f aca="false">IF($B461="","",TEXT($B461,"yyyy-mm"))</f>
        <v/>
      </c>
    </row>
    <row r="462" customFormat="false" ht="15.75" hidden="false" customHeight="true" outlineLevel="0" collapsed="false">
      <c r="A462" s="32" t="str">
        <f aca="false">IF($B462="","",ROW()-4)</f>
        <v/>
      </c>
      <c r="B462" s="26"/>
      <c r="C462" s="21"/>
      <c r="D462" s="24"/>
      <c r="E462" s="21"/>
      <c r="F462" s="24"/>
      <c r="G462" s="21"/>
      <c r="H462" s="22"/>
      <c r="I462" s="27"/>
      <c r="J462" s="27"/>
      <c r="K462" s="36" t="str">
        <f aca="false">IF($B462="","",IF($C462="泓普",$C$2,IF($C462="仟茂",$E$2,IF($C462="现金",$G$2,0)))+SUMIFS($I$5:$I462,$C$5:$C462,$C462)-SUMIFS($J$5:$J462,$C$5:$C462,$C462))</f>
        <v/>
      </c>
      <c r="L462" s="36" t="str">
        <f aca="false">IF($B462="","",$C$2+$E$2+$G$2+SUM($I$5:$I462)-SUM($J$5:$J462))</f>
        <v/>
      </c>
      <c r="M462" s="24"/>
      <c r="N462" s="33" t="str">
        <f aca="false">IF($B462="","",IF(NOT(ISNUMBER($B462)),"日期格式不对",IF($C462="","未选资金账户",IF(AND(N($I462)=0,N($J462)=0),"收支都为空",IF(AND(N($I462)&gt;0,N($J462)&gt;0),"收支不能同时填",IF(AND($D462&lt;&gt;"",LEFT($O462,1)="⚠"),"项目编号不存在",IF(AND($M462="是",$F462=""),"工程回款必须填往来单位","√")))))))</f>
        <v/>
      </c>
      <c r="O462" s="34" t="str">
        <f aca="false">IF($D462="","",IFERROR(INDEX(项目档案!$B$6:$B$255,MATCH($D462,项目档案!$A$6:$A$255,0)),"⚠编号不存在"))</f>
        <v/>
      </c>
      <c r="P462" s="35" t="str">
        <f aca="false">IF($B462="","",TEXT($B462,"yyyy-mm"))</f>
        <v/>
      </c>
    </row>
    <row r="463" customFormat="false" ht="15.75" hidden="false" customHeight="true" outlineLevel="0" collapsed="false">
      <c r="A463" s="32" t="str">
        <f aca="false">IF($B463="","",ROW()-4)</f>
        <v/>
      </c>
      <c r="B463" s="26"/>
      <c r="C463" s="21"/>
      <c r="D463" s="24"/>
      <c r="E463" s="21"/>
      <c r="F463" s="24"/>
      <c r="G463" s="21"/>
      <c r="H463" s="22"/>
      <c r="I463" s="27"/>
      <c r="J463" s="27"/>
      <c r="K463" s="36" t="str">
        <f aca="false">IF($B463="","",IF($C463="泓普",$C$2,IF($C463="仟茂",$E$2,IF($C463="现金",$G$2,0)))+SUMIFS($I$5:$I463,$C$5:$C463,$C463)-SUMIFS($J$5:$J463,$C$5:$C463,$C463))</f>
        <v/>
      </c>
      <c r="L463" s="36" t="str">
        <f aca="false">IF($B463="","",$C$2+$E$2+$G$2+SUM($I$5:$I463)-SUM($J$5:$J463))</f>
        <v/>
      </c>
      <c r="M463" s="24"/>
      <c r="N463" s="33" t="str">
        <f aca="false">IF($B463="","",IF(NOT(ISNUMBER($B463)),"日期格式不对",IF($C463="","未选资金账户",IF(AND(N($I463)=0,N($J463)=0),"收支都为空",IF(AND(N($I463)&gt;0,N($J463)&gt;0),"收支不能同时填",IF(AND($D463&lt;&gt;"",LEFT($O463,1)="⚠"),"项目编号不存在",IF(AND($M463="是",$F463=""),"工程回款必须填往来单位","√")))))))</f>
        <v/>
      </c>
      <c r="O463" s="34" t="str">
        <f aca="false">IF($D463="","",IFERROR(INDEX(项目档案!$B$6:$B$255,MATCH($D463,项目档案!$A$6:$A$255,0)),"⚠编号不存在"))</f>
        <v/>
      </c>
      <c r="P463" s="35" t="str">
        <f aca="false">IF($B463="","",TEXT($B463,"yyyy-mm"))</f>
        <v/>
      </c>
    </row>
    <row r="464" customFormat="false" ht="15.75" hidden="false" customHeight="true" outlineLevel="0" collapsed="false">
      <c r="A464" s="32" t="str">
        <f aca="false">IF($B464="","",ROW()-4)</f>
        <v/>
      </c>
      <c r="B464" s="26"/>
      <c r="C464" s="21"/>
      <c r="D464" s="24"/>
      <c r="E464" s="21"/>
      <c r="F464" s="24"/>
      <c r="G464" s="21"/>
      <c r="H464" s="22"/>
      <c r="I464" s="27"/>
      <c r="J464" s="27"/>
      <c r="K464" s="36" t="str">
        <f aca="false">IF($B464="","",IF($C464="泓普",$C$2,IF($C464="仟茂",$E$2,IF($C464="现金",$G$2,0)))+SUMIFS($I$5:$I464,$C$5:$C464,$C464)-SUMIFS($J$5:$J464,$C$5:$C464,$C464))</f>
        <v/>
      </c>
      <c r="L464" s="36" t="str">
        <f aca="false">IF($B464="","",$C$2+$E$2+$G$2+SUM($I$5:$I464)-SUM($J$5:$J464))</f>
        <v/>
      </c>
      <c r="M464" s="24"/>
      <c r="N464" s="33" t="str">
        <f aca="false">IF($B464="","",IF(NOT(ISNUMBER($B464)),"日期格式不对",IF($C464="","未选资金账户",IF(AND(N($I464)=0,N($J464)=0),"收支都为空",IF(AND(N($I464)&gt;0,N($J464)&gt;0),"收支不能同时填",IF(AND($D464&lt;&gt;"",LEFT($O464,1)="⚠"),"项目编号不存在",IF(AND($M464="是",$F464=""),"工程回款必须填往来单位","√")))))))</f>
        <v/>
      </c>
      <c r="O464" s="34" t="str">
        <f aca="false">IF($D464="","",IFERROR(INDEX(项目档案!$B$6:$B$255,MATCH($D464,项目档案!$A$6:$A$255,0)),"⚠编号不存在"))</f>
        <v/>
      </c>
      <c r="P464" s="35" t="str">
        <f aca="false">IF($B464="","",TEXT($B464,"yyyy-mm"))</f>
        <v/>
      </c>
    </row>
    <row r="465" customFormat="false" ht="15.75" hidden="false" customHeight="true" outlineLevel="0" collapsed="false">
      <c r="A465" s="32" t="str">
        <f aca="false">IF($B465="","",ROW()-4)</f>
        <v/>
      </c>
      <c r="B465" s="26"/>
      <c r="C465" s="21"/>
      <c r="D465" s="24"/>
      <c r="E465" s="21"/>
      <c r="F465" s="24"/>
      <c r="G465" s="21"/>
      <c r="H465" s="22"/>
      <c r="I465" s="27"/>
      <c r="J465" s="27"/>
      <c r="K465" s="36" t="str">
        <f aca="false">IF($B465="","",IF($C465="泓普",$C$2,IF($C465="仟茂",$E$2,IF($C465="现金",$G$2,0)))+SUMIFS($I$5:$I465,$C$5:$C465,$C465)-SUMIFS($J$5:$J465,$C$5:$C465,$C465))</f>
        <v/>
      </c>
      <c r="L465" s="36" t="str">
        <f aca="false">IF($B465="","",$C$2+$E$2+$G$2+SUM($I$5:$I465)-SUM($J$5:$J465))</f>
        <v/>
      </c>
      <c r="M465" s="24"/>
      <c r="N465" s="33" t="str">
        <f aca="false">IF($B465="","",IF(NOT(ISNUMBER($B465)),"日期格式不对",IF($C465="","未选资金账户",IF(AND(N($I465)=0,N($J465)=0),"收支都为空",IF(AND(N($I465)&gt;0,N($J465)&gt;0),"收支不能同时填",IF(AND($D465&lt;&gt;"",LEFT($O465,1)="⚠"),"项目编号不存在",IF(AND($M465="是",$F465=""),"工程回款必须填往来单位","√")))))))</f>
        <v/>
      </c>
      <c r="O465" s="34" t="str">
        <f aca="false">IF($D465="","",IFERROR(INDEX(项目档案!$B$6:$B$255,MATCH($D465,项目档案!$A$6:$A$255,0)),"⚠编号不存在"))</f>
        <v/>
      </c>
      <c r="P465" s="35" t="str">
        <f aca="false">IF($B465="","",TEXT($B465,"yyyy-mm"))</f>
        <v/>
      </c>
    </row>
    <row r="466" customFormat="false" ht="15.75" hidden="false" customHeight="true" outlineLevel="0" collapsed="false">
      <c r="A466" s="32" t="str">
        <f aca="false">IF($B466="","",ROW()-4)</f>
        <v/>
      </c>
      <c r="B466" s="26"/>
      <c r="C466" s="21"/>
      <c r="D466" s="24"/>
      <c r="E466" s="21"/>
      <c r="F466" s="24"/>
      <c r="G466" s="21"/>
      <c r="H466" s="22"/>
      <c r="I466" s="27"/>
      <c r="J466" s="27"/>
      <c r="K466" s="36" t="str">
        <f aca="false">IF($B466="","",IF($C466="泓普",$C$2,IF($C466="仟茂",$E$2,IF($C466="现金",$G$2,0)))+SUMIFS($I$5:$I466,$C$5:$C466,$C466)-SUMIFS($J$5:$J466,$C$5:$C466,$C466))</f>
        <v/>
      </c>
      <c r="L466" s="36" t="str">
        <f aca="false">IF($B466="","",$C$2+$E$2+$G$2+SUM($I$5:$I466)-SUM($J$5:$J466))</f>
        <v/>
      </c>
      <c r="M466" s="24"/>
      <c r="N466" s="33" t="str">
        <f aca="false">IF($B466="","",IF(NOT(ISNUMBER($B466)),"日期格式不对",IF($C466="","未选资金账户",IF(AND(N($I466)=0,N($J466)=0),"收支都为空",IF(AND(N($I466)&gt;0,N($J466)&gt;0),"收支不能同时填",IF(AND($D466&lt;&gt;"",LEFT($O466,1)="⚠"),"项目编号不存在",IF(AND($M466="是",$F466=""),"工程回款必须填往来单位","√")))))))</f>
        <v/>
      </c>
      <c r="O466" s="34" t="str">
        <f aca="false">IF($D466="","",IFERROR(INDEX(项目档案!$B$6:$B$255,MATCH($D466,项目档案!$A$6:$A$255,0)),"⚠编号不存在"))</f>
        <v/>
      </c>
      <c r="P466" s="35" t="str">
        <f aca="false">IF($B466="","",TEXT($B466,"yyyy-mm"))</f>
        <v/>
      </c>
    </row>
    <row r="467" customFormat="false" ht="15.75" hidden="false" customHeight="true" outlineLevel="0" collapsed="false">
      <c r="A467" s="32" t="str">
        <f aca="false">IF($B467="","",ROW()-4)</f>
        <v/>
      </c>
      <c r="B467" s="26"/>
      <c r="C467" s="21"/>
      <c r="D467" s="24"/>
      <c r="E467" s="21"/>
      <c r="F467" s="24"/>
      <c r="G467" s="21"/>
      <c r="H467" s="22"/>
      <c r="I467" s="27"/>
      <c r="J467" s="27"/>
      <c r="K467" s="36" t="str">
        <f aca="false">IF($B467="","",IF($C467="泓普",$C$2,IF($C467="仟茂",$E$2,IF($C467="现金",$G$2,0)))+SUMIFS($I$5:$I467,$C$5:$C467,$C467)-SUMIFS($J$5:$J467,$C$5:$C467,$C467))</f>
        <v/>
      </c>
      <c r="L467" s="36" t="str">
        <f aca="false">IF($B467="","",$C$2+$E$2+$G$2+SUM($I$5:$I467)-SUM($J$5:$J467))</f>
        <v/>
      </c>
      <c r="M467" s="24"/>
      <c r="N467" s="33" t="str">
        <f aca="false">IF($B467="","",IF(NOT(ISNUMBER($B467)),"日期格式不对",IF($C467="","未选资金账户",IF(AND(N($I467)=0,N($J467)=0),"收支都为空",IF(AND(N($I467)&gt;0,N($J467)&gt;0),"收支不能同时填",IF(AND($D467&lt;&gt;"",LEFT($O467,1)="⚠"),"项目编号不存在",IF(AND($M467="是",$F467=""),"工程回款必须填往来单位","√")))))))</f>
        <v/>
      </c>
      <c r="O467" s="34" t="str">
        <f aca="false">IF($D467="","",IFERROR(INDEX(项目档案!$B$6:$B$255,MATCH($D467,项目档案!$A$6:$A$255,0)),"⚠编号不存在"))</f>
        <v/>
      </c>
      <c r="P467" s="35" t="str">
        <f aca="false">IF($B467="","",TEXT($B467,"yyyy-mm"))</f>
        <v/>
      </c>
    </row>
    <row r="468" customFormat="false" ht="15.75" hidden="false" customHeight="true" outlineLevel="0" collapsed="false">
      <c r="A468" s="32" t="str">
        <f aca="false">IF($B468="","",ROW()-4)</f>
        <v/>
      </c>
      <c r="B468" s="26"/>
      <c r="C468" s="21"/>
      <c r="D468" s="24"/>
      <c r="E468" s="21"/>
      <c r="F468" s="24"/>
      <c r="G468" s="21"/>
      <c r="H468" s="22"/>
      <c r="I468" s="27"/>
      <c r="J468" s="27"/>
      <c r="K468" s="36" t="str">
        <f aca="false">IF($B468="","",IF($C468="泓普",$C$2,IF($C468="仟茂",$E$2,IF($C468="现金",$G$2,0)))+SUMIFS($I$5:$I468,$C$5:$C468,$C468)-SUMIFS($J$5:$J468,$C$5:$C468,$C468))</f>
        <v/>
      </c>
      <c r="L468" s="36" t="str">
        <f aca="false">IF($B468="","",$C$2+$E$2+$G$2+SUM($I$5:$I468)-SUM($J$5:$J468))</f>
        <v/>
      </c>
      <c r="M468" s="24"/>
      <c r="N468" s="33" t="str">
        <f aca="false">IF($B468="","",IF(NOT(ISNUMBER($B468)),"日期格式不对",IF($C468="","未选资金账户",IF(AND(N($I468)=0,N($J468)=0),"收支都为空",IF(AND(N($I468)&gt;0,N($J468)&gt;0),"收支不能同时填",IF(AND($D468&lt;&gt;"",LEFT($O468,1)="⚠"),"项目编号不存在",IF(AND($M468="是",$F468=""),"工程回款必须填往来单位","√")))))))</f>
        <v/>
      </c>
      <c r="O468" s="34" t="str">
        <f aca="false">IF($D468="","",IFERROR(INDEX(项目档案!$B$6:$B$255,MATCH($D468,项目档案!$A$6:$A$255,0)),"⚠编号不存在"))</f>
        <v/>
      </c>
      <c r="P468" s="35" t="str">
        <f aca="false">IF($B468="","",TEXT($B468,"yyyy-mm"))</f>
        <v/>
      </c>
    </row>
    <row r="469" customFormat="false" ht="15.75" hidden="false" customHeight="true" outlineLevel="0" collapsed="false">
      <c r="A469" s="32" t="str">
        <f aca="false">IF($B469="","",ROW()-4)</f>
        <v/>
      </c>
      <c r="B469" s="26"/>
      <c r="C469" s="21"/>
      <c r="D469" s="24"/>
      <c r="E469" s="21"/>
      <c r="F469" s="24"/>
      <c r="G469" s="21"/>
      <c r="H469" s="22"/>
      <c r="I469" s="27"/>
      <c r="J469" s="27"/>
      <c r="K469" s="36" t="str">
        <f aca="false">IF($B469="","",IF($C469="泓普",$C$2,IF($C469="仟茂",$E$2,IF($C469="现金",$G$2,0)))+SUMIFS($I$5:$I469,$C$5:$C469,$C469)-SUMIFS($J$5:$J469,$C$5:$C469,$C469))</f>
        <v/>
      </c>
      <c r="L469" s="36" t="str">
        <f aca="false">IF($B469="","",$C$2+$E$2+$G$2+SUM($I$5:$I469)-SUM($J$5:$J469))</f>
        <v/>
      </c>
      <c r="M469" s="24"/>
      <c r="N469" s="33" t="str">
        <f aca="false">IF($B469="","",IF(NOT(ISNUMBER($B469)),"日期格式不对",IF($C469="","未选资金账户",IF(AND(N($I469)=0,N($J469)=0),"收支都为空",IF(AND(N($I469)&gt;0,N($J469)&gt;0),"收支不能同时填",IF(AND($D469&lt;&gt;"",LEFT($O469,1)="⚠"),"项目编号不存在",IF(AND($M469="是",$F469=""),"工程回款必须填往来单位","√")))))))</f>
        <v/>
      </c>
      <c r="O469" s="34" t="str">
        <f aca="false">IF($D469="","",IFERROR(INDEX(项目档案!$B$6:$B$255,MATCH($D469,项目档案!$A$6:$A$255,0)),"⚠编号不存在"))</f>
        <v/>
      </c>
      <c r="P469" s="35" t="str">
        <f aca="false">IF($B469="","",TEXT($B469,"yyyy-mm"))</f>
        <v/>
      </c>
    </row>
    <row r="470" customFormat="false" ht="15.75" hidden="false" customHeight="true" outlineLevel="0" collapsed="false">
      <c r="A470" s="32" t="str">
        <f aca="false">IF($B470="","",ROW()-4)</f>
        <v/>
      </c>
      <c r="B470" s="26"/>
      <c r="C470" s="21"/>
      <c r="D470" s="24"/>
      <c r="E470" s="21"/>
      <c r="F470" s="24"/>
      <c r="G470" s="21"/>
      <c r="H470" s="22"/>
      <c r="I470" s="27"/>
      <c r="J470" s="27"/>
      <c r="K470" s="36" t="str">
        <f aca="false">IF($B470="","",IF($C470="泓普",$C$2,IF($C470="仟茂",$E$2,IF($C470="现金",$G$2,0)))+SUMIFS($I$5:$I470,$C$5:$C470,$C470)-SUMIFS($J$5:$J470,$C$5:$C470,$C470))</f>
        <v/>
      </c>
      <c r="L470" s="36" t="str">
        <f aca="false">IF($B470="","",$C$2+$E$2+$G$2+SUM($I$5:$I470)-SUM($J$5:$J470))</f>
        <v/>
      </c>
      <c r="M470" s="24"/>
      <c r="N470" s="33" t="str">
        <f aca="false">IF($B470="","",IF(NOT(ISNUMBER($B470)),"日期格式不对",IF($C470="","未选资金账户",IF(AND(N($I470)=0,N($J470)=0),"收支都为空",IF(AND(N($I470)&gt;0,N($J470)&gt;0),"收支不能同时填",IF(AND($D470&lt;&gt;"",LEFT($O470,1)="⚠"),"项目编号不存在",IF(AND($M470="是",$F470=""),"工程回款必须填往来单位","√")))))))</f>
        <v/>
      </c>
      <c r="O470" s="34" t="str">
        <f aca="false">IF($D470="","",IFERROR(INDEX(项目档案!$B$6:$B$255,MATCH($D470,项目档案!$A$6:$A$255,0)),"⚠编号不存在"))</f>
        <v/>
      </c>
      <c r="P470" s="35" t="str">
        <f aca="false">IF($B470="","",TEXT($B470,"yyyy-mm"))</f>
        <v/>
      </c>
    </row>
    <row r="471" customFormat="false" ht="15.75" hidden="false" customHeight="true" outlineLevel="0" collapsed="false">
      <c r="A471" s="32" t="str">
        <f aca="false">IF($B471="","",ROW()-4)</f>
        <v/>
      </c>
      <c r="B471" s="26"/>
      <c r="C471" s="21"/>
      <c r="D471" s="24"/>
      <c r="E471" s="21"/>
      <c r="F471" s="24"/>
      <c r="G471" s="21"/>
      <c r="H471" s="22"/>
      <c r="I471" s="27"/>
      <c r="J471" s="27"/>
      <c r="K471" s="36" t="str">
        <f aca="false">IF($B471="","",IF($C471="泓普",$C$2,IF($C471="仟茂",$E$2,IF($C471="现金",$G$2,0)))+SUMIFS($I$5:$I471,$C$5:$C471,$C471)-SUMIFS($J$5:$J471,$C$5:$C471,$C471))</f>
        <v/>
      </c>
      <c r="L471" s="36" t="str">
        <f aca="false">IF($B471="","",$C$2+$E$2+$G$2+SUM($I$5:$I471)-SUM($J$5:$J471))</f>
        <v/>
      </c>
      <c r="M471" s="24"/>
      <c r="N471" s="33" t="str">
        <f aca="false">IF($B471="","",IF(NOT(ISNUMBER($B471)),"日期格式不对",IF($C471="","未选资金账户",IF(AND(N($I471)=0,N($J471)=0),"收支都为空",IF(AND(N($I471)&gt;0,N($J471)&gt;0),"收支不能同时填",IF(AND($D471&lt;&gt;"",LEFT($O471,1)="⚠"),"项目编号不存在",IF(AND($M471="是",$F471=""),"工程回款必须填往来单位","√")))))))</f>
        <v/>
      </c>
      <c r="O471" s="34" t="str">
        <f aca="false">IF($D471="","",IFERROR(INDEX(项目档案!$B$6:$B$255,MATCH($D471,项目档案!$A$6:$A$255,0)),"⚠编号不存在"))</f>
        <v/>
      </c>
      <c r="P471" s="35" t="str">
        <f aca="false">IF($B471="","",TEXT($B471,"yyyy-mm"))</f>
        <v/>
      </c>
    </row>
    <row r="472" customFormat="false" ht="15.75" hidden="false" customHeight="true" outlineLevel="0" collapsed="false">
      <c r="A472" s="32" t="str">
        <f aca="false">IF($B472="","",ROW()-4)</f>
        <v/>
      </c>
      <c r="B472" s="26"/>
      <c r="C472" s="21"/>
      <c r="D472" s="24"/>
      <c r="E472" s="21"/>
      <c r="F472" s="24"/>
      <c r="G472" s="21"/>
      <c r="H472" s="22"/>
      <c r="I472" s="27"/>
      <c r="J472" s="27"/>
      <c r="K472" s="36" t="str">
        <f aca="false">IF($B472="","",IF($C472="泓普",$C$2,IF($C472="仟茂",$E$2,IF($C472="现金",$G$2,0)))+SUMIFS($I$5:$I472,$C$5:$C472,$C472)-SUMIFS($J$5:$J472,$C$5:$C472,$C472))</f>
        <v/>
      </c>
      <c r="L472" s="36" t="str">
        <f aca="false">IF($B472="","",$C$2+$E$2+$G$2+SUM($I$5:$I472)-SUM($J$5:$J472))</f>
        <v/>
      </c>
      <c r="M472" s="24"/>
      <c r="N472" s="33" t="str">
        <f aca="false">IF($B472="","",IF(NOT(ISNUMBER($B472)),"日期格式不对",IF($C472="","未选资金账户",IF(AND(N($I472)=0,N($J472)=0),"收支都为空",IF(AND(N($I472)&gt;0,N($J472)&gt;0),"收支不能同时填",IF(AND($D472&lt;&gt;"",LEFT($O472,1)="⚠"),"项目编号不存在",IF(AND($M472="是",$F472=""),"工程回款必须填往来单位","√")))))))</f>
        <v/>
      </c>
      <c r="O472" s="34" t="str">
        <f aca="false">IF($D472="","",IFERROR(INDEX(项目档案!$B$6:$B$255,MATCH($D472,项目档案!$A$6:$A$255,0)),"⚠编号不存在"))</f>
        <v/>
      </c>
      <c r="P472" s="35" t="str">
        <f aca="false">IF($B472="","",TEXT($B472,"yyyy-mm"))</f>
        <v/>
      </c>
    </row>
    <row r="473" customFormat="false" ht="15.75" hidden="false" customHeight="true" outlineLevel="0" collapsed="false">
      <c r="A473" s="32" t="str">
        <f aca="false">IF($B473="","",ROW()-4)</f>
        <v/>
      </c>
      <c r="B473" s="26"/>
      <c r="C473" s="21"/>
      <c r="D473" s="24"/>
      <c r="E473" s="21"/>
      <c r="F473" s="24"/>
      <c r="G473" s="21"/>
      <c r="H473" s="22"/>
      <c r="I473" s="27"/>
      <c r="J473" s="27"/>
      <c r="K473" s="36" t="str">
        <f aca="false">IF($B473="","",IF($C473="泓普",$C$2,IF($C473="仟茂",$E$2,IF($C473="现金",$G$2,0)))+SUMIFS($I$5:$I473,$C$5:$C473,$C473)-SUMIFS($J$5:$J473,$C$5:$C473,$C473))</f>
        <v/>
      </c>
      <c r="L473" s="36" t="str">
        <f aca="false">IF($B473="","",$C$2+$E$2+$G$2+SUM($I$5:$I473)-SUM($J$5:$J473))</f>
        <v/>
      </c>
      <c r="M473" s="24"/>
      <c r="N473" s="33" t="str">
        <f aca="false">IF($B473="","",IF(NOT(ISNUMBER($B473)),"日期格式不对",IF($C473="","未选资金账户",IF(AND(N($I473)=0,N($J473)=0),"收支都为空",IF(AND(N($I473)&gt;0,N($J473)&gt;0),"收支不能同时填",IF(AND($D473&lt;&gt;"",LEFT($O473,1)="⚠"),"项目编号不存在",IF(AND($M473="是",$F473=""),"工程回款必须填往来单位","√")))))))</f>
        <v/>
      </c>
      <c r="O473" s="34" t="str">
        <f aca="false">IF($D473="","",IFERROR(INDEX(项目档案!$B$6:$B$255,MATCH($D473,项目档案!$A$6:$A$255,0)),"⚠编号不存在"))</f>
        <v/>
      </c>
      <c r="P473" s="35" t="str">
        <f aca="false">IF($B473="","",TEXT($B473,"yyyy-mm"))</f>
        <v/>
      </c>
    </row>
    <row r="474" customFormat="false" ht="15.75" hidden="false" customHeight="true" outlineLevel="0" collapsed="false">
      <c r="A474" s="32" t="str">
        <f aca="false">IF($B474="","",ROW()-4)</f>
        <v/>
      </c>
      <c r="B474" s="26"/>
      <c r="C474" s="21"/>
      <c r="D474" s="24"/>
      <c r="E474" s="21"/>
      <c r="F474" s="24"/>
      <c r="G474" s="21"/>
      <c r="H474" s="22"/>
      <c r="I474" s="27"/>
      <c r="J474" s="27"/>
      <c r="K474" s="36" t="str">
        <f aca="false">IF($B474="","",IF($C474="泓普",$C$2,IF($C474="仟茂",$E$2,IF($C474="现金",$G$2,0)))+SUMIFS($I$5:$I474,$C$5:$C474,$C474)-SUMIFS($J$5:$J474,$C$5:$C474,$C474))</f>
        <v/>
      </c>
      <c r="L474" s="36" t="str">
        <f aca="false">IF($B474="","",$C$2+$E$2+$G$2+SUM($I$5:$I474)-SUM($J$5:$J474))</f>
        <v/>
      </c>
      <c r="M474" s="24"/>
      <c r="N474" s="33" t="str">
        <f aca="false">IF($B474="","",IF(NOT(ISNUMBER($B474)),"日期格式不对",IF($C474="","未选资金账户",IF(AND(N($I474)=0,N($J474)=0),"收支都为空",IF(AND(N($I474)&gt;0,N($J474)&gt;0),"收支不能同时填",IF(AND($D474&lt;&gt;"",LEFT($O474,1)="⚠"),"项目编号不存在",IF(AND($M474="是",$F474=""),"工程回款必须填往来单位","√")))))))</f>
        <v/>
      </c>
      <c r="O474" s="34" t="str">
        <f aca="false">IF($D474="","",IFERROR(INDEX(项目档案!$B$6:$B$255,MATCH($D474,项目档案!$A$6:$A$255,0)),"⚠编号不存在"))</f>
        <v/>
      </c>
      <c r="P474" s="35" t="str">
        <f aca="false">IF($B474="","",TEXT($B474,"yyyy-mm"))</f>
        <v/>
      </c>
    </row>
    <row r="475" customFormat="false" ht="15.75" hidden="false" customHeight="true" outlineLevel="0" collapsed="false">
      <c r="A475" s="32" t="str">
        <f aca="false">IF($B475="","",ROW()-4)</f>
        <v/>
      </c>
      <c r="B475" s="26"/>
      <c r="C475" s="21"/>
      <c r="D475" s="24"/>
      <c r="E475" s="21"/>
      <c r="F475" s="24"/>
      <c r="G475" s="21"/>
      <c r="H475" s="22"/>
      <c r="I475" s="27"/>
      <c r="J475" s="27"/>
      <c r="K475" s="36" t="str">
        <f aca="false">IF($B475="","",IF($C475="泓普",$C$2,IF($C475="仟茂",$E$2,IF($C475="现金",$G$2,0)))+SUMIFS($I$5:$I475,$C$5:$C475,$C475)-SUMIFS($J$5:$J475,$C$5:$C475,$C475))</f>
        <v/>
      </c>
      <c r="L475" s="36" t="str">
        <f aca="false">IF($B475="","",$C$2+$E$2+$G$2+SUM($I$5:$I475)-SUM($J$5:$J475))</f>
        <v/>
      </c>
      <c r="M475" s="24"/>
      <c r="N475" s="33" t="str">
        <f aca="false">IF($B475="","",IF(NOT(ISNUMBER($B475)),"日期格式不对",IF($C475="","未选资金账户",IF(AND(N($I475)=0,N($J475)=0),"收支都为空",IF(AND(N($I475)&gt;0,N($J475)&gt;0),"收支不能同时填",IF(AND($D475&lt;&gt;"",LEFT($O475,1)="⚠"),"项目编号不存在",IF(AND($M475="是",$F475=""),"工程回款必须填往来单位","√")))))))</f>
        <v/>
      </c>
      <c r="O475" s="34" t="str">
        <f aca="false">IF($D475="","",IFERROR(INDEX(项目档案!$B$6:$B$255,MATCH($D475,项目档案!$A$6:$A$255,0)),"⚠编号不存在"))</f>
        <v/>
      </c>
      <c r="P475" s="35" t="str">
        <f aca="false">IF($B475="","",TEXT($B475,"yyyy-mm"))</f>
        <v/>
      </c>
    </row>
    <row r="476" customFormat="false" ht="15.75" hidden="false" customHeight="true" outlineLevel="0" collapsed="false">
      <c r="A476" s="32" t="str">
        <f aca="false">IF($B476="","",ROW()-4)</f>
        <v/>
      </c>
      <c r="B476" s="26"/>
      <c r="C476" s="21"/>
      <c r="D476" s="24"/>
      <c r="E476" s="21"/>
      <c r="F476" s="24"/>
      <c r="G476" s="21"/>
      <c r="H476" s="22"/>
      <c r="I476" s="27"/>
      <c r="J476" s="27"/>
      <c r="K476" s="36" t="str">
        <f aca="false">IF($B476="","",IF($C476="泓普",$C$2,IF($C476="仟茂",$E$2,IF($C476="现金",$G$2,0)))+SUMIFS($I$5:$I476,$C$5:$C476,$C476)-SUMIFS($J$5:$J476,$C$5:$C476,$C476))</f>
        <v/>
      </c>
      <c r="L476" s="36" t="str">
        <f aca="false">IF($B476="","",$C$2+$E$2+$G$2+SUM($I$5:$I476)-SUM($J$5:$J476))</f>
        <v/>
      </c>
      <c r="M476" s="24"/>
      <c r="N476" s="33" t="str">
        <f aca="false">IF($B476="","",IF(NOT(ISNUMBER($B476)),"日期格式不对",IF($C476="","未选资金账户",IF(AND(N($I476)=0,N($J476)=0),"收支都为空",IF(AND(N($I476)&gt;0,N($J476)&gt;0),"收支不能同时填",IF(AND($D476&lt;&gt;"",LEFT($O476,1)="⚠"),"项目编号不存在",IF(AND($M476="是",$F476=""),"工程回款必须填往来单位","√")))))))</f>
        <v/>
      </c>
      <c r="O476" s="34" t="str">
        <f aca="false">IF($D476="","",IFERROR(INDEX(项目档案!$B$6:$B$255,MATCH($D476,项目档案!$A$6:$A$255,0)),"⚠编号不存在"))</f>
        <v/>
      </c>
      <c r="P476" s="35" t="str">
        <f aca="false">IF($B476="","",TEXT($B476,"yyyy-mm"))</f>
        <v/>
      </c>
    </row>
    <row r="477" customFormat="false" ht="15.75" hidden="false" customHeight="true" outlineLevel="0" collapsed="false">
      <c r="A477" s="32" t="str">
        <f aca="false">IF($B477="","",ROW()-4)</f>
        <v/>
      </c>
      <c r="B477" s="26"/>
      <c r="C477" s="21"/>
      <c r="D477" s="24"/>
      <c r="E477" s="21"/>
      <c r="F477" s="24"/>
      <c r="G477" s="21"/>
      <c r="H477" s="22"/>
      <c r="I477" s="27"/>
      <c r="J477" s="27"/>
      <c r="K477" s="36" t="str">
        <f aca="false">IF($B477="","",IF($C477="泓普",$C$2,IF($C477="仟茂",$E$2,IF($C477="现金",$G$2,0)))+SUMIFS($I$5:$I477,$C$5:$C477,$C477)-SUMIFS($J$5:$J477,$C$5:$C477,$C477))</f>
        <v/>
      </c>
      <c r="L477" s="36" t="str">
        <f aca="false">IF($B477="","",$C$2+$E$2+$G$2+SUM($I$5:$I477)-SUM($J$5:$J477))</f>
        <v/>
      </c>
      <c r="M477" s="24"/>
      <c r="N477" s="33" t="str">
        <f aca="false">IF($B477="","",IF(NOT(ISNUMBER($B477)),"日期格式不对",IF($C477="","未选资金账户",IF(AND(N($I477)=0,N($J477)=0),"收支都为空",IF(AND(N($I477)&gt;0,N($J477)&gt;0),"收支不能同时填",IF(AND($D477&lt;&gt;"",LEFT($O477,1)="⚠"),"项目编号不存在",IF(AND($M477="是",$F477=""),"工程回款必须填往来单位","√")))))))</f>
        <v/>
      </c>
      <c r="O477" s="34" t="str">
        <f aca="false">IF($D477="","",IFERROR(INDEX(项目档案!$B$6:$B$255,MATCH($D477,项目档案!$A$6:$A$255,0)),"⚠编号不存在"))</f>
        <v/>
      </c>
      <c r="P477" s="35" t="str">
        <f aca="false">IF($B477="","",TEXT($B477,"yyyy-mm"))</f>
        <v/>
      </c>
    </row>
    <row r="478" customFormat="false" ht="15.75" hidden="false" customHeight="true" outlineLevel="0" collapsed="false">
      <c r="A478" s="32" t="str">
        <f aca="false">IF($B478="","",ROW()-4)</f>
        <v/>
      </c>
      <c r="B478" s="26"/>
      <c r="C478" s="21"/>
      <c r="D478" s="24"/>
      <c r="E478" s="21"/>
      <c r="F478" s="24"/>
      <c r="G478" s="21"/>
      <c r="H478" s="22"/>
      <c r="I478" s="27"/>
      <c r="J478" s="27"/>
      <c r="K478" s="36" t="str">
        <f aca="false">IF($B478="","",IF($C478="泓普",$C$2,IF($C478="仟茂",$E$2,IF($C478="现金",$G$2,0)))+SUMIFS($I$5:$I478,$C$5:$C478,$C478)-SUMIFS($J$5:$J478,$C$5:$C478,$C478))</f>
        <v/>
      </c>
      <c r="L478" s="36" t="str">
        <f aca="false">IF($B478="","",$C$2+$E$2+$G$2+SUM($I$5:$I478)-SUM($J$5:$J478))</f>
        <v/>
      </c>
      <c r="M478" s="24"/>
      <c r="N478" s="33" t="str">
        <f aca="false">IF($B478="","",IF(NOT(ISNUMBER($B478)),"日期格式不对",IF($C478="","未选资金账户",IF(AND(N($I478)=0,N($J478)=0),"收支都为空",IF(AND(N($I478)&gt;0,N($J478)&gt;0),"收支不能同时填",IF(AND($D478&lt;&gt;"",LEFT($O478,1)="⚠"),"项目编号不存在",IF(AND($M478="是",$F478=""),"工程回款必须填往来单位","√")))))))</f>
        <v/>
      </c>
      <c r="O478" s="34" t="str">
        <f aca="false">IF($D478="","",IFERROR(INDEX(项目档案!$B$6:$B$255,MATCH($D478,项目档案!$A$6:$A$255,0)),"⚠编号不存在"))</f>
        <v/>
      </c>
      <c r="P478" s="35" t="str">
        <f aca="false">IF($B478="","",TEXT($B478,"yyyy-mm"))</f>
        <v/>
      </c>
    </row>
    <row r="479" customFormat="false" ht="15.75" hidden="false" customHeight="true" outlineLevel="0" collapsed="false">
      <c r="A479" s="32" t="str">
        <f aca="false">IF($B479="","",ROW()-4)</f>
        <v/>
      </c>
      <c r="B479" s="26"/>
      <c r="C479" s="21"/>
      <c r="D479" s="24"/>
      <c r="E479" s="21"/>
      <c r="F479" s="24"/>
      <c r="G479" s="21"/>
      <c r="H479" s="22"/>
      <c r="I479" s="27"/>
      <c r="J479" s="27"/>
      <c r="K479" s="36" t="str">
        <f aca="false">IF($B479="","",IF($C479="泓普",$C$2,IF($C479="仟茂",$E$2,IF($C479="现金",$G$2,0)))+SUMIFS($I$5:$I479,$C$5:$C479,$C479)-SUMIFS($J$5:$J479,$C$5:$C479,$C479))</f>
        <v/>
      </c>
      <c r="L479" s="36" t="str">
        <f aca="false">IF($B479="","",$C$2+$E$2+$G$2+SUM($I$5:$I479)-SUM($J$5:$J479))</f>
        <v/>
      </c>
      <c r="M479" s="24"/>
      <c r="N479" s="33" t="str">
        <f aca="false">IF($B479="","",IF(NOT(ISNUMBER($B479)),"日期格式不对",IF($C479="","未选资金账户",IF(AND(N($I479)=0,N($J479)=0),"收支都为空",IF(AND(N($I479)&gt;0,N($J479)&gt;0),"收支不能同时填",IF(AND($D479&lt;&gt;"",LEFT($O479,1)="⚠"),"项目编号不存在",IF(AND($M479="是",$F479=""),"工程回款必须填往来单位","√")))))))</f>
        <v/>
      </c>
      <c r="O479" s="34" t="str">
        <f aca="false">IF($D479="","",IFERROR(INDEX(项目档案!$B$6:$B$255,MATCH($D479,项目档案!$A$6:$A$255,0)),"⚠编号不存在"))</f>
        <v/>
      </c>
      <c r="P479" s="35" t="str">
        <f aca="false">IF($B479="","",TEXT($B479,"yyyy-mm"))</f>
        <v/>
      </c>
    </row>
    <row r="480" customFormat="false" ht="15.75" hidden="false" customHeight="true" outlineLevel="0" collapsed="false">
      <c r="A480" s="32" t="str">
        <f aca="false">IF($B480="","",ROW()-4)</f>
        <v/>
      </c>
      <c r="B480" s="26"/>
      <c r="C480" s="21"/>
      <c r="D480" s="24"/>
      <c r="E480" s="21"/>
      <c r="F480" s="24"/>
      <c r="G480" s="21"/>
      <c r="H480" s="22"/>
      <c r="I480" s="27"/>
      <c r="J480" s="27"/>
      <c r="K480" s="36" t="str">
        <f aca="false">IF($B480="","",IF($C480="泓普",$C$2,IF($C480="仟茂",$E$2,IF($C480="现金",$G$2,0)))+SUMIFS($I$5:$I480,$C$5:$C480,$C480)-SUMIFS($J$5:$J480,$C$5:$C480,$C480))</f>
        <v/>
      </c>
      <c r="L480" s="36" t="str">
        <f aca="false">IF($B480="","",$C$2+$E$2+$G$2+SUM($I$5:$I480)-SUM($J$5:$J480))</f>
        <v/>
      </c>
      <c r="M480" s="24"/>
      <c r="N480" s="33" t="str">
        <f aca="false">IF($B480="","",IF(NOT(ISNUMBER($B480)),"日期格式不对",IF($C480="","未选资金账户",IF(AND(N($I480)=0,N($J480)=0),"收支都为空",IF(AND(N($I480)&gt;0,N($J480)&gt;0),"收支不能同时填",IF(AND($D480&lt;&gt;"",LEFT($O480,1)="⚠"),"项目编号不存在",IF(AND($M480="是",$F480=""),"工程回款必须填往来单位","√")))))))</f>
        <v/>
      </c>
      <c r="O480" s="34" t="str">
        <f aca="false">IF($D480="","",IFERROR(INDEX(项目档案!$B$6:$B$255,MATCH($D480,项目档案!$A$6:$A$255,0)),"⚠编号不存在"))</f>
        <v/>
      </c>
      <c r="P480" s="35" t="str">
        <f aca="false">IF($B480="","",TEXT($B480,"yyyy-mm"))</f>
        <v/>
      </c>
    </row>
    <row r="481" customFormat="false" ht="15.75" hidden="false" customHeight="true" outlineLevel="0" collapsed="false">
      <c r="A481" s="32" t="str">
        <f aca="false">IF($B481="","",ROW()-4)</f>
        <v/>
      </c>
      <c r="B481" s="26"/>
      <c r="C481" s="21"/>
      <c r="D481" s="24"/>
      <c r="E481" s="21"/>
      <c r="F481" s="24"/>
      <c r="G481" s="21"/>
      <c r="H481" s="22"/>
      <c r="I481" s="27"/>
      <c r="J481" s="27"/>
      <c r="K481" s="36" t="str">
        <f aca="false">IF($B481="","",IF($C481="泓普",$C$2,IF($C481="仟茂",$E$2,IF($C481="现金",$G$2,0)))+SUMIFS($I$5:$I481,$C$5:$C481,$C481)-SUMIFS($J$5:$J481,$C$5:$C481,$C481))</f>
        <v/>
      </c>
      <c r="L481" s="36" t="str">
        <f aca="false">IF($B481="","",$C$2+$E$2+$G$2+SUM($I$5:$I481)-SUM($J$5:$J481))</f>
        <v/>
      </c>
      <c r="M481" s="24"/>
      <c r="N481" s="33" t="str">
        <f aca="false">IF($B481="","",IF(NOT(ISNUMBER($B481)),"日期格式不对",IF($C481="","未选资金账户",IF(AND(N($I481)=0,N($J481)=0),"收支都为空",IF(AND(N($I481)&gt;0,N($J481)&gt;0),"收支不能同时填",IF(AND($D481&lt;&gt;"",LEFT($O481,1)="⚠"),"项目编号不存在",IF(AND($M481="是",$F481=""),"工程回款必须填往来单位","√")))))))</f>
        <v/>
      </c>
      <c r="O481" s="34" t="str">
        <f aca="false">IF($D481="","",IFERROR(INDEX(项目档案!$B$6:$B$255,MATCH($D481,项目档案!$A$6:$A$255,0)),"⚠编号不存在"))</f>
        <v/>
      </c>
      <c r="P481" s="35" t="str">
        <f aca="false">IF($B481="","",TEXT($B481,"yyyy-mm"))</f>
        <v/>
      </c>
    </row>
    <row r="482" customFormat="false" ht="15.75" hidden="false" customHeight="true" outlineLevel="0" collapsed="false">
      <c r="A482" s="32" t="str">
        <f aca="false">IF($B482="","",ROW()-4)</f>
        <v/>
      </c>
      <c r="B482" s="26"/>
      <c r="C482" s="21"/>
      <c r="D482" s="24"/>
      <c r="E482" s="21"/>
      <c r="F482" s="24"/>
      <c r="G482" s="21"/>
      <c r="H482" s="22"/>
      <c r="I482" s="27"/>
      <c r="J482" s="27"/>
      <c r="K482" s="36" t="str">
        <f aca="false">IF($B482="","",IF($C482="泓普",$C$2,IF($C482="仟茂",$E$2,IF($C482="现金",$G$2,0)))+SUMIFS($I$5:$I482,$C$5:$C482,$C482)-SUMIFS($J$5:$J482,$C$5:$C482,$C482))</f>
        <v/>
      </c>
      <c r="L482" s="36" t="str">
        <f aca="false">IF($B482="","",$C$2+$E$2+$G$2+SUM($I$5:$I482)-SUM($J$5:$J482))</f>
        <v/>
      </c>
      <c r="M482" s="24"/>
      <c r="N482" s="33" t="str">
        <f aca="false">IF($B482="","",IF(NOT(ISNUMBER($B482)),"日期格式不对",IF($C482="","未选资金账户",IF(AND(N($I482)=0,N($J482)=0),"收支都为空",IF(AND(N($I482)&gt;0,N($J482)&gt;0),"收支不能同时填",IF(AND($D482&lt;&gt;"",LEFT($O482,1)="⚠"),"项目编号不存在",IF(AND($M482="是",$F482=""),"工程回款必须填往来单位","√")))))))</f>
        <v/>
      </c>
      <c r="O482" s="34" t="str">
        <f aca="false">IF($D482="","",IFERROR(INDEX(项目档案!$B$6:$B$255,MATCH($D482,项目档案!$A$6:$A$255,0)),"⚠编号不存在"))</f>
        <v/>
      </c>
      <c r="P482" s="35" t="str">
        <f aca="false">IF($B482="","",TEXT($B482,"yyyy-mm"))</f>
        <v/>
      </c>
    </row>
    <row r="483" customFormat="false" ht="15.75" hidden="false" customHeight="true" outlineLevel="0" collapsed="false">
      <c r="A483" s="32" t="str">
        <f aca="false">IF($B483="","",ROW()-4)</f>
        <v/>
      </c>
      <c r="B483" s="26"/>
      <c r="C483" s="21"/>
      <c r="D483" s="24"/>
      <c r="E483" s="21"/>
      <c r="F483" s="24"/>
      <c r="G483" s="21"/>
      <c r="H483" s="22"/>
      <c r="I483" s="27"/>
      <c r="J483" s="27"/>
      <c r="K483" s="36" t="str">
        <f aca="false">IF($B483="","",IF($C483="泓普",$C$2,IF($C483="仟茂",$E$2,IF($C483="现金",$G$2,0)))+SUMIFS($I$5:$I483,$C$5:$C483,$C483)-SUMIFS($J$5:$J483,$C$5:$C483,$C483))</f>
        <v/>
      </c>
      <c r="L483" s="36" t="str">
        <f aca="false">IF($B483="","",$C$2+$E$2+$G$2+SUM($I$5:$I483)-SUM($J$5:$J483))</f>
        <v/>
      </c>
      <c r="M483" s="24"/>
      <c r="N483" s="33" t="str">
        <f aca="false">IF($B483="","",IF(NOT(ISNUMBER($B483)),"日期格式不对",IF($C483="","未选资金账户",IF(AND(N($I483)=0,N($J483)=0),"收支都为空",IF(AND(N($I483)&gt;0,N($J483)&gt;0),"收支不能同时填",IF(AND($D483&lt;&gt;"",LEFT($O483,1)="⚠"),"项目编号不存在",IF(AND($M483="是",$F483=""),"工程回款必须填往来单位","√")))))))</f>
        <v/>
      </c>
      <c r="O483" s="34" t="str">
        <f aca="false">IF($D483="","",IFERROR(INDEX(项目档案!$B$6:$B$255,MATCH($D483,项目档案!$A$6:$A$255,0)),"⚠编号不存在"))</f>
        <v/>
      </c>
      <c r="P483" s="35" t="str">
        <f aca="false">IF($B483="","",TEXT($B483,"yyyy-mm"))</f>
        <v/>
      </c>
    </row>
    <row r="484" customFormat="false" ht="15.75" hidden="false" customHeight="true" outlineLevel="0" collapsed="false">
      <c r="A484" s="32" t="str">
        <f aca="false">IF($B484="","",ROW()-4)</f>
        <v/>
      </c>
      <c r="B484" s="26"/>
      <c r="C484" s="21"/>
      <c r="D484" s="24"/>
      <c r="E484" s="21"/>
      <c r="F484" s="24"/>
      <c r="G484" s="21"/>
      <c r="H484" s="22"/>
      <c r="I484" s="27"/>
      <c r="J484" s="27"/>
      <c r="K484" s="36" t="str">
        <f aca="false">IF($B484="","",IF($C484="泓普",$C$2,IF($C484="仟茂",$E$2,IF($C484="现金",$G$2,0)))+SUMIFS($I$5:$I484,$C$5:$C484,$C484)-SUMIFS($J$5:$J484,$C$5:$C484,$C484))</f>
        <v/>
      </c>
      <c r="L484" s="36" t="str">
        <f aca="false">IF($B484="","",$C$2+$E$2+$G$2+SUM($I$5:$I484)-SUM($J$5:$J484))</f>
        <v/>
      </c>
      <c r="M484" s="24"/>
      <c r="N484" s="33" t="str">
        <f aca="false">IF($B484="","",IF(NOT(ISNUMBER($B484)),"日期格式不对",IF($C484="","未选资金账户",IF(AND(N($I484)=0,N($J484)=0),"收支都为空",IF(AND(N($I484)&gt;0,N($J484)&gt;0),"收支不能同时填",IF(AND($D484&lt;&gt;"",LEFT($O484,1)="⚠"),"项目编号不存在",IF(AND($M484="是",$F484=""),"工程回款必须填往来单位","√")))))))</f>
        <v/>
      </c>
      <c r="O484" s="34" t="str">
        <f aca="false">IF($D484="","",IFERROR(INDEX(项目档案!$B$6:$B$255,MATCH($D484,项目档案!$A$6:$A$255,0)),"⚠编号不存在"))</f>
        <v/>
      </c>
      <c r="P484" s="35" t="str">
        <f aca="false">IF($B484="","",TEXT($B484,"yyyy-mm"))</f>
        <v/>
      </c>
    </row>
    <row r="485" customFormat="false" ht="15.75" hidden="false" customHeight="true" outlineLevel="0" collapsed="false">
      <c r="A485" s="32" t="str">
        <f aca="false">IF($B485="","",ROW()-4)</f>
        <v/>
      </c>
      <c r="B485" s="26"/>
      <c r="C485" s="21"/>
      <c r="D485" s="24"/>
      <c r="E485" s="21"/>
      <c r="F485" s="24"/>
      <c r="G485" s="21"/>
      <c r="H485" s="22"/>
      <c r="I485" s="27"/>
      <c r="J485" s="27"/>
      <c r="K485" s="36" t="str">
        <f aca="false">IF($B485="","",IF($C485="泓普",$C$2,IF($C485="仟茂",$E$2,IF($C485="现金",$G$2,0)))+SUMIFS($I$5:$I485,$C$5:$C485,$C485)-SUMIFS($J$5:$J485,$C$5:$C485,$C485))</f>
        <v/>
      </c>
      <c r="L485" s="36" t="str">
        <f aca="false">IF($B485="","",$C$2+$E$2+$G$2+SUM($I$5:$I485)-SUM($J$5:$J485))</f>
        <v/>
      </c>
      <c r="M485" s="24"/>
      <c r="N485" s="33" t="str">
        <f aca="false">IF($B485="","",IF(NOT(ISNUMBER($B485)),"日期格式不对",IF($C485="","未选资金账户",IF(AND(N($I485)=0,N($J485)=0),"收支都为空",IF(AND(N($I485)&gt;0,N($J485)&gt;0),"收支不能同时填",IF(AND($D485&lt;&gt;"",LEFT($O485,1)="⚠"),"项目编号不存在",IF(AND($M485="是",$F485=""),"工程回款必须填往来单位","√")))))))</f>
        <v/>
      </c>
      <c r="O485" s="34" t="str">
        <f aca="false">IF($D485="","",IFERROR(INDEX(项目档案!$B$6:$B$255,MATCH($D485,项目档案!$A$6:$A$255,0)),"⚠编号不存在"))</f>
        <v/>
      </c>
      <c r="P485" s="35" t="str">
        <f aca="false">IF($B485="","",TEXT($B485,"yyyy-mm"))</f>
        <v/>
      </c>
    </row>
    <row r="486" customFormat="false" ht="15.75" hidden="false" customHeight="true" outlineLevel="0" collapsed="false">
      <c r="A486" s="32" t="str">
        <f aca="false">IF($B486="","",ROW()-4)</f>
        <v/>
      </c>
      <c r="B486" s="26"/>
      <c r="C486" s="21"/>
      <c r="D486" s="24"/>
      <c r="E486" s="21"/>
      <c r="F486" s="24"/>
      <c r="G486" s="21"/>
      <c r="H486" s="22"/>
      <c r="I486" s="27"/>
      <c r="J486" s="27"/>
      <c r="K486" s="36" t="str">
        <f aca="false">IF($B486="","",IF($C486="泓普",$C$2,IF($C486="仟茂",$E$2,IF($C486="现金",$G$2,0)))+SUMIFS($I$5:$I486,$C$5:$C486,$C486)-SUMIFS($J$5:$J486,$C$5:$C486,$C486))</f>
        <v/>
      </c>
      <c r="L486" s="36" t="str">
        <f aca="false">IF($B486="","",$C$2+$E$2+$G$2+SUM($I$5:$I486)-SUM($J$5:$J486))</f>
        <v/>
      </c>
      <c r="M486" s="24"/>
      <c r="N486" s="33" t="str">
        <f aca="false">IF($B486="","",IF(NOT(ISNUMBER($B486)),"日期格式不对",IF($C486="","未选资金账户",IF(AND(N($I486)=0,N($J486)=0),"收支都为空",IF(AND(N($I486)&gt;0,N($J486)&gt;0),"收支不能同时填",IF(AND($D486&lt;&gt;"",LEFT($O486,1)="⚠"),"项目编号不存在",IF(AND($M486="是",$F486=""),"工程回款必须填往来单位","√")))))))</f>
        <v/>
      </c>
      <c r="O486" s="34" t="str">
        <f aca="false">IF($D486="","",IFERROR(INDEX(项目档案!$B$6:$B$255,MATCH($D486,项目档案!$A$6:$A$255,0)),"⚠编号不存在"))</f>
        <v/>
      </c>
      <c r="P486" s="35" t="str">
        <f aca="false">IF($B486="","",TEXT($B486,"yyyy-mm"))</f>
        <v/>
      </c>
    </row>
    <row r="487" customFormat="false" ht="15.75" hidden="false" customHeight="true" outlineLevel="0" collapsed="false">
      <c r="A487" s="32" t="str">
        <f aca="false">IF($B487="","",ROW()-4)</f>
        <v/>
      </c>
      <c r="B487" s="26"/>
      <c r="C487" s="21"/>
      <c r="D487" s="24"/>
      <c r="E487" s="21"/>
      <c r="F487" s="24"/>
      <c r="G487" s="21"/>
      <c r="H487" s="22"/>
      <c r="I487" s="27"/>
      <c r="J487" s="27"/>
      <c r="K487" s="36" t="str">
        <f aca="false">IF($B487="","",IF($C487="泓普",$C$2,IF($C487="仟茂",$E$2,IF($C487="现金",$G$2,0)))+SUMIFS($I$5:$I487,$C$5:$C487,$C487)-SUMIFS($J$5:$J487,$C$5:$C487,$C487))</f>
        <v/>
      </c>
      <c r="L487" s="36" t="str">
        <f aca="false">IF($B487="","",$C$2+$E$2+$G$2+SUM($I$5:$I487)-SUM($J$5:$J487))</f>
        <v/>
      </c>
      <c r="M487" s="24"/>
      <c r="N487" s="33" t="str">
        <f aca="false">IF($B487="","",IF(NOT(ISNUMBER($B487)),"日期格式不对",IF($C487="","未选资金账户",IF(AND(N($I487)=0,N($J487)=0),"收支都为空",IF(AND(N($I487)&gt;0,N($J487)&gt;0),"收支不能同时填",IF(AND($D487&lt;&gt;"",LEFT($O487,1)="⚠"),"项目编号不存在",IF(AND($M487="是",$F487=""),"工程回款必须填往来单位","√")))))))</f>
        <v/>
      </c>
      <c r="O487" s="34" t="str">
        <f aca="false">IF($D487="","",IFERROR(INDEX(项目档案!$B$6:$B$255,MATCH($D487,项目档案!$A$6:$A$255,0)),"⚠编号不存在"))</f>
        <v/>
      </c>
      <c r="P487" s="35" t="str">
        <f aca="false">IF($B487="","",TEXT($B487,"yyyy-mm"))</f>
        <v/>
      </c>
    </row>
    <row r="488" customFormat="false" ht="15.75" hidden="false" customHeight="true" outlineLevel="0" collapsed="false">
      <c r="A488" s="32" t="str">
        <f aca="false">IF($B488="","",ROW()-4)</f>
        <v/>
      </c>
      <c r="B488" s="26"/>
      <c r="C488" s="21"/>
      <c r="D488" s="24"/>
      <c r="E488" s="21"/>
      <c r="F488" s="24"/>
      <c r="G488" s="21"/>
      <c r="H488" s="22"/>
      <c r="I488" s="27"/>
      <c r="J488" s="27"/>
      <c r="K488" s="36" t="str">
        <f aca="false">IF($B488="","",IF($C488="泓普",$C$2,IF($C488="仟茂",$E$2,IF($C488="现金",$G$2,0)))+SUMIFS($I$5:$I488,$C$5:$C488,$C488)-SUMIFS($J$5:$J488,$C$5:$C488,$C488))</f>
        <v/>
      </c>
      <c r="L488" s="36" t="str">
        <f aca="false">IF($B488="","",$C$2+$E$2+$G$2+SUM($I$5:$I488)-SUM($J$5:$J488))</f>
        <v/>
      </c>
      <c r="M488" s="24"/>
      <c r="N488" s="33" t="str">
        <f aca="false">IF($B488="","",IF(NOT(ISNUMBER($B488)),"日期格式不对",IF($C488="","未选资金账户",IF(AND(N($I488)=0,N($J488)=0),"收支都为空",IF(AND(N($I488)&gt;0,N($J488)&gt;0),"收支不能同时填",IF(AND($D488&lt;&gt;"",LEFT($O488,1)="⚠"),"项目编号不存在",IF(AND($M488="是",$F488=""),"工程回款必须填往来单位","√")))))))</f>
        <v/>
      </c>
      <c r="O488" s="34" t="str">
        <f aca="false">IF($D488="","",IFERROR(INDEX(项目档案!$B$6:$B$255,MATCH($D488,项目档案!$A$6:$A$255,0)),"⚠编号不存在"))</f>
        <v/>
      </c>
      <c r="P488" s="35" t="str">
        <f aca="false">IF($B488="","",TEXT($B488,"yyyy-mm"))</f>
        <v/>
      </c>
    </row>
    <row r="489" customFormat="false" ht="15.75" hidden="false" customHeight="true" outlineLevel="0" collapsed="false">
      <c r="A489" s="32" t="str">
        <f aca="false">IF($B489="","",ROW()-4)</f>
        <v/>
      </c>
      <c r="B489" s="26"/>
      <c r="C489" s="21"/>
      <c r="D489" s="24"/>
      <c r="E489" s="21"/>
      <c r="F489" s="24"/>
      <c r="G489" s="21"/>
      <c r="H489" s="22"/>
      <c r="I489" s="27"/>
      <c r="J489" s="27"/>
      <c r="K489" s="36" t="str">
        <f aca="false">IF($B489="","",IF($C489="泓普",$C$2,IF($C489="仟茂",$E$2,IF($C489="现金",$G$2,0)))+SUMIFS($I$5:$I489,$C$5:$C489,$C489)-SUMIFS($J$5:$J489,$C$5:$C489,$C489))</f>
        <v/>
      </c>
      <c r="L489" s="36" t="str">
        <f aca="false">IF($B489="","",$C$2+$E$2+$G$2+SUM($I$5:$I489)-SUM($J$5:$J489))</f>
        <v/>
      </c>
      <c r="M489" s="24"/>
      <c r="N489" s="33" t="str">
        <f aca="false">IF($B489="","",IF(NOT(ISNUMBER($B489)),"日期格式不对",IF($C489="","未选资金账户",IF(AND(N($I489)=0,N($J489)=0),"收支都为空",IF(AND(N($I489)&gt;0,N($J489)&gt;0),"收支不能同时填",IF(AND($D489&lt;&gt;"",LEFT($O489,1)="⚠"),"项目编号不存在",IF(AND($M489="是",$F489=""),"工程回款必须填往来单位","√")))))))</f>
        <v/>
      </c>
      <c r="O489" s="34" t="str">
        <f aca="false">IF($D489="","",IFERROR(INDEX(项目档案!$B$6:$B$255,MATCH($D489,项目档案!$A$6:$A$255,0)),"⚠编号不存在"))</f>
        <v/>
      </c>
      <c r="P489" s="35" t="str">
        <f aca="false">IF($B489="","",TEXT($B489,"yyyy-mm"))</f>
        <v/>
      </c>
    </row>
    <row r="490" customFormat="false" ht="15.75" hidden="false" customHeight="true" outlineLevel="0" collapsed="false">
      <c r="A490" s="32" t="str">
        <f aca="false">IF($B490="","",ROW()-4)</f>
        <v/>
      </c>
      <c r="B490" s="26"/>
      <c r="C490" s="21"/>
      <c r="D490" s="24"/>
      <c r="E490" s="21"/>
      <c r="F490" s="24"/>
      <c r="G490" s="21"/>
      <c r="H490" s="22"/>
      <c r="I490" s="27"/>
      <c r="J490" s="27"/>
      <c r="K490" s="36" t="str">
        <f aca="false">IF($B490="","",IF($C490="泓普",$C$2,IF($C490="仟茂",$E$2,IF($C490="现金",$G$2,0)))+SUMIFS($I$5:$I490,$C$5:$C490,$C490)-SUMIFS($J$5:$J490,$C$5:$C490,$C490))</f>
        <v/>
      </c>
      <c r="L490" s="36" t="str">
        <f aca="false">IF($B490="","",$C$2+$E$2+$G$2+SUM($I$5:$I490)-SUM($J$5:$J490))</f>
        <v/>
      </c>
      <c r="M490" s="24"/>
      <c r="N490" s="33" t="str">
        <f aca="false">IF($B490="","",IF(NOT(ISNUMBER($B490)),"日期格式不对",IF($C490="","未选资金账户",IF(AND(N($I490)=0,N($J490)=0),"收支都为空",IF(AND(N($I490)&gt;0,N($J490)&gt;0),"收支不能同时填",IF(AND($D490&lt;&gt;"",LEFT($O490,1)="⚠"),"项目编号不存在",IF(AND($M490="是",$F490=""),"工程回款必须填往来单位","√")))))))</f>
        <v/>
      </c>
      <c r="O490" s="34" t="str">
        <f aca="false">IF($D490="","",IFERROR(INDEX(项目档案!$B$6:$B$255,MATCH($D490,项目档案!$A$6:$A$255,0)),"⚠编号不存在"))</f>
        <v/>
      </c>
      <c r="P490" s="35" t="str">
        <f aca="false">IF($B490="","",TEXT($B490,"yyyy-mm"))</f>
        <v/>
      </c>
    </row>
    <row r="491" customFormat="false" ht="15.75" hidden="false" customHeight="true" outlineLevel="0" collapsed="false">
      <c r="A491" s="32" t="str">
        <f aca="false">IF($B491="","",ROW()-4)</f>
        <v/>
      </c>
      <c r="B491" s="26"/>
      <c r="C491" s="21"/>
      <c r="D491" s="24"/>
      <c r="E491" s="21"/>
      <c r="F491" s="24"/>
      <c r="G491" s="21"/>
      <c r="H491" s="22"/>
      <c r="I491" s="27"/>
      <c r="J491" s="27"/>
      <c r="K491" s="36" t="str">
        <f aca="false">IF($B491="","",IF($C491="泓普",$C$2,IF($C491="仟茂",$E$2,IF($C491="现金",$G$2,0)))+SUMIFS($I$5:$I491,$C$5:$C491,$C491)-SUMIFS($J$5:$J491,$C$5:$C491,$C491))</f>
        <v/>
      </c>
      <c r="L491" s="36" t="str">
        <f aca="false">IF($B491="","",$C$2+$E$2+$G$2+SUM($I$5:$I491)-SUM($J$5:$J491))</f>
        <v/>
      </c>
      <c r="M491" s="24"/>
      <c r="N491" s="33" t="str">
        <f aca="false">IF($B491="","",IF(NOT(ISNUMBER($B491)),"日期格式不对",IF($C491="","未选资金账户",IF(AND(N($I491)=0,N($J491)=0),"收支都为空",IF(AND(N($I491)&gt;0,N($J491)&gt;0),"收支不能同时填",IF(AND($D491&lt;&gt;"",LEFT($O491,1)="⚠"),"项目编号不存在",IF(AND($M491="是",$F491=""),"工程回款必须填往来单位","√")))))))</f>
        <v/>
      </c>
      <c r="O491" s="34" t="str">
        <f aca="false">IF($D491="","",IFERROR(INDEX(项目档案!$B$6:$B$255,MATCH($D491,项目档案!$A$6:$A$255,0)),"⚠编号不存在"))</f>
        <v/>
      </c>
      <c r="P491" s="35" t="str">
        <f aca="false">IF($B491="","",TEXT($B491,"yyyy-mm"))</f>
        <v/>
      </c>
    </row>
    <row r="492" customFormat="false" ht="15.75" hidden="false" customHeight="true" outlineLevel="0" collapsed="false">
      <c r="A492" s="32" t="str">
        <f aca="false">IF($B492="","",ROW()-4)</f>
        <v/>
      </c>
      <c r="B492" s="26"/>
      <c r="C492" s="21"/>
      <c r="D492" s="24"/>
      <c r="E492" s="21"/>
      <c r="F492" s="24"/>
      <c r="G492" s="21"/>
      <c r="H492" s="22"/>
      <c r="I492" s="27"/>
      <c r="J492" s="27"/>
      <c r="K492" s="36" t="str">
        <f aca="false">IF($B492="","",IF($C492="泓普",$C$2,IF($C492="仟茂",$E$2,IF($C492="现金",$G$2,0)))+SUMIFS($I$5:$I492,$C$5:$C492,$C492)-SUMIFS($J$5:$J492,$C$5:$C492,$C492))</f>
        <v/>
      </c>
      <c r="L492" s="36" t="str">
        <f aca="false">IF($B492="","",$C$2+$E$2+$G$2+SUM($I$5:$I492)-SUM($J$5:$J492))</f>
        <v/>
      </c>
      <c r="M492" s="24"/>
      <c r="N492" s="33" t="str">
        <f aca="false">IF($B492="","",IF(NOT(ISNUMBER($B492)),"日期格式不对",IF($C492="","未选资金账户",IF(AND(N($I492)=0,N($J492)=0),"收支都为空",IF(AND(N($I492)&gt;0,N($J492)&gt;0),"收支不能同时填",IF(AND($D492&lt;&gt;"",LEFT($O492,1)="⚠"),"项目编号不存在",IF(AND($M492="是",$F492=""),"工程回款必须填往来单位","√")))))))</f>
        <v/>
      </c>
      <c r="O492" s="34" t="str">
        <f aca="false">IF($D492="","",IFERROR(INDEX(项目档案!$B$6:$B$255,MATCH($D492,项目档案!$A$6:$A$255,0)),"⚠编号不存在"))</f>
        <v/>
      </c>
      <c r="P492" s="35" t="str">
        <f aca="false">IF($B492="","",TEXT($B492,"yyyy-mm"))</f>
        <v/>
      </c>
    </row>
    <row r="493" customFormat="false" ht="15.75" hidden="false" customHeight="true" outlineLevel="0" collapsed="false">
      <c r="A493" s="32" t="str">
        <f aca="false">IF($B493="","",ROW()-4)</f>
        <v/>
      </c>
      <c r="B493" s="26"/>
      <c r="C493" s="21"/>
      <c r="D493" s="24"/>
      <c r="E493" s="21"/>
      <c r="F493" s="24"/>
      <c r="G493" s="21"/>
      <c r="H493" s="22"/>
      <c r="I493" s="27"/>
      <c r="J493" s="27"/>
      <c r="K493" s="36" t="str">
        <f aca="false">IF($B493="","",IF($C493="泓普",$C$2,IF($C493="仟茂",$E$2,IF($C493="现金",$G$2,0)))+SUMIFS($I$5:$I493,$C$5:$C493,$C493)-SUMIFS($J$5:$J493,$C$5:$C493,$C493))</f>
        <v/>
      </c>
      <c r="L493" s="36" t="str">
        <f aca="false">IF($B493="","",$C$2+$E$2+$G$2+SUM($I$5:$I493)-SUM($J$5:$J493))</f>
        <v/>
      </c>
      <c r="M493" s="24"/>
      <c r="N493" s="33" t="str">
        <f aca="false">IF($B493="","",IF(NOT(ISNUMBER($B493)),"日期格式不对",IF($C493="","未选资金账户",IF(AND(N($I493)=0,N($J493)=0),"收支都为空",IF(AND(N($I493)&gt;0,N($J493)&gt;0),"收支不能同时填",IF(AND($D493&lt;&gt;"",LEFT($O493,1)="⚠"),"项目编号不存在",IF(AND($M493="是",$F493=""),"工程回款必须填往来单位","√")))))))</f>
        <v/>
      </c>
      <c r="O493" s="34" t="str">
        <f aca="false">IF($D493="","",IFERROR(INDEX(项目档案!$B$6:$B$255,MATCH($D493,项目档案!$A$6:$A$255,0)),"⚠编号不存在"))</f>
        <v/>
      </c>
      <c r="P493" s="35" t="str">
        <f aca="false">IF($B493="","",TEXT($B493,"yyyy-mm"))</f>
        <v/>
      </c>
    </row>
    <row r="494" customFormat="false" ht="15.75" hidden="false" customHeight="true" outlineLevel="0" collapsed="false">
      <c r="A494" s="32" t="str">
        <f aca="false">IF($B494="","",ROW()-4)</f>
        <v/>
      </c>
      <c r="B494" s="26"/>
      <c r="C494" s="21"/>
      <c r="D494" s="24"/>
      <c r="E494" s="21"/>
      <c r="F494" s="24"/>
      <c r="G494" s="21"/>
      <c r="H494" s="22"/>
      <c r="I494" s="27"/>
      <c r="J494" s="27"/>
      <c r="K494" s="36" t="str">
        <f aca="false">IF($B494="","",IF($C494="泓普",$C$2,IF($C494="仟茂",$E$2,IF($C494="现金",$G$2,0)))+SUMIFS($I$5:$I494,$C$5:$C494,$C494)-SUMIFS($J$5:$J494,$C$5:$C494,$C494))</f>
        <v/>
      </c>
      <c r="L494" s="36" t="str">
        <f aca="false">IF($B494="","",$C$2+$E$2+$G$2+SUM($I$5:$I494)-SUM($J$5:$J494))</f>
        <v/>
      </c>
      <c r="M494" s="24"/>
      <c r="N494" s="33" t="str">
        <f aca="false">IF($B494="","",IF(NOT(ISNUMBER($B494)),"日期格式不对",IF($C494="","未选资金账户",IF(AND(N($I494)=0,N($J494)=0),"收支都为空",IF(AND(N($I494)&gt;0,N($J494)&gt;0),"收支不能同时填",IF(AND($D494&lt;&gt;"",LEFT($O494,1)="⚠"),"项目编号不存在",IF(AND($M494="是",$F494=""),"工程回款必须填往来单位","√")))))))</f>
        <v/>
      </c>
      <c r="O494" s="34" t="str">
        <f aca="false">IF($D494="","",IFERROR(INDEX(项目档案!$B$6:$B$255,MATCH($D494,项目档案!$A$6:$A$255,0)),"⚠编号不存在"))</f>
        <v/>
      </c>
      <c r="P494" s="35" t="str">
        <f aca="false">IF($B494="","",TEXT($B494,"yyyy-mm"))</f>
        <v/>
      </c>
    </row>
    <row r="495" customFormat="false" ht="15.75" hidden="false" customHeight="true" outlineLevel="0" collapsed="false">
      <c r="A495" s="32" t="str">
        <f aca="false">IF($B495="","",ROW()-4)</f>
        <v/>
      </c>
      <c r="B495" s="26"/>
      <c r="C495" s="21"/>
      <c r="D495" s="24"/>
      <c r="E495" s="21"/>
      <c r="F495" s="24"/>
      <c r="G495" s="21"/>
      <c r="H495" s="22"/>
      <c r="I495" s="27"/>
      <c r="J495" s="27"/>
      <c r="K495" s="36" t="str">
        <f aca="false">IF($B495="","",IF($C495="泓普",$C$2,IF($C495="仟茂",$E$2,IF($C495="现金",$G$2,0)))+SUMIFS($I$5:$I495,$C$5:$C495,$C495)-SUMIFS($J$5:$J495,$C$5:$C495,$C495))</f>
        <v/>
      </c>
      <c r="L495" s="36" t="str">
        <f aca="false">IF($B495="","",$C$2+$E$2+$G$2+SUM($I$5:$I495)-SUM($J$5:$J495))</f>
        <v/>
      </c>
      <c r="M495" s="24"/>
      <c r="N495" s="33" t="str">
        <f aca="false">IF($B495="","",IF(NOT(ISNUMBER($B495)),"日期格式不对",IF($C495="","未选资金账户",IF(AND(N($I495)=0,N($J495)=0),"收支都为空",IF(AND(N($I495)&gt;0,N($J495)&gt;0),"收支不能同时填",IF(AND($D495&lt;&gt;"",LEFT($O495,1)="⚠"),"项目编号不存在",IF(AND($M495="是",$F495=""),"工程回款必须填往来单位","√")))))))</f>
        <v/>
      </c>
      <c r="O495" s="34" t="str">
        <f aca="false">IF($D495="","",IFERROR(INDEX(项目档案!$B$6:$B$255,MATCH($D495,项目档案!$A$6:$A$255,0)),"⚠编号不存在"))</f>
        <v/>
      </c>
      <c r="P495" s="35" t="str">
        <f aca="false">IF($B495="","",TEXT($B495,"yyyy-mm"))</f>
        <v/>
      </c>
    </row>
    <row r="496" customFormat="false" ht="15.75" hidden="false" customHeight="true" outlineLevel="0" collapsed="false">
      <c r="A496" s="32" t="str">
        <f aca="false">IF($B496="","",ROW()-4)</f>
        <v/>
      </c>
      <c r="B496" s="26"/>
      <c r="C496" s="21"/>
      <c r="D496" s="24"/>
      <c r="E496" s="21"/>
      <c r="F496" s="24"/>
      <c r="G496" s="21"/>
      <c r="H496" s="22"/>
      <c r="I496" s="27"/>
      <c r="J496" s="27"/>
      <c r="K496" s="36" t="str">
        <f aca="false">IF($B496="","",IF($C496="泓普",$C$2,IF($C496="仟茂",$E$2,IF($C496="现金",$G$2,0)))+SUMIFS($I$5:$I496,$C$5:$C496,$C496)-SUMIFS($J$5:$J496,$C$5:$C496,$C496))</f>
        <v/>
      </c>
      <c r="L496" s="36" t="str">
        <f aca="false">IF($B496="","",$C$2+$E$2+$G$2+SUM($I$5:$I496)-SUM($J$5:$J496))</f>
        <v/>
      </c>
      <c r="M496" s="24"/>
      <c r="N496" s="33" t="str">
        <f aca="false">IF($B496="","",IF(NOT(ISNUMBER($B496)),"日期格式不对",IF($C496="","未选资金账户",IF(AND(N($I496)=0,N($J496)=0),"收支都为空",IF(AND(N($I496)&gt;0,N($J496)&gt;0),"收支不能同时填",IF(AND($D496&lt;&gt;"",LEFT($O496,1)="⚠"),"项目编号不存在",IF(AND($M496="是",$F496=""),"工程回款必须填往来单位","√")))))))</f>
        <v/>
      </c>
      <c r="O496" s="34" t="str">
        <f aca="false">IF($D496="","",IFERROR(INDEX(项目档案!$B$6:$B$255,MATCH($D496,项目档案!$A$6:$A$255,0)),"⚠编号不存在"))</f>
        <v/>
      </c>
      <c r="P496" s="35" t="str">
        <f aca="false">IF($B496="","",TEXT($B496,"yyyy-mm"))</f>
        <v/>
      </c>
    </row>
    <row r="497" customFormat="false" ht="15.75" hidden="false" customHeight="true" outlineLevel="0" collapsed="false">
      <c r="A497" s="32" t="str">
        <f aca="false">IF($B497="","",ROW()-4)</f>
        <v/>
      </c>
      <c r="B497" s="26"/>
      <c r="C497" s="21"/>
      <c r="D497" s="24"/>
      <c r="E497" s="21"/>
      <c r="F497" s="24"/>
      <c r="G497" s="21"/>
      <c r="H497" s="22"/>
      <c r="I497" s="27"/>
      <c r="J497" s="27"/>
      <c r="K497" s="36" t="str">
        <f aca="false">IF($B497="","",IF($C497="泓普",$C$2,IF($C497="仟茂",$E$2,IF($C497="现金",$G$2,0)))+SUMIFS($I$5:$I497,$C$5:$C497,$C497)-SUMIFS($J$5:$J497,$C$5:$C497,$C497))</f>
        <v/>
      </c>
      <c r="L497" s="36" t="str">
        <f aca="false">IF($B497="","",$C$2+$E$2+$G$2+SUM($I$5:$I497)-SUM($J$5:$J497))</f>
        <v/>
      </c>
      <c r="M497" s="24"/>
      <c r="N497" s="33" t="str">
        <f aca="false">IF($B497="","",IF(NOT(ISNUMBER($B497)),"日期格式不对",IF($C497="","未选资金账户",IF(AND(N($I497)=0,N($J497)=0),"收支都为空",IF(AND(N($I497)&gt;0,N($J497)&gt;0),"收支不能同时填",IF(AND($D497&lt;&gt;"",LEFT($O497,1)="⚠"),"项目编号不存在",IF(AND($M497="是",$F497=""),"工程回款必须填往来单位","√")))))))</f>
        <v/>
      </c>
      <c r="O497" s="34" t="str">
        <f aca="false">IF($D497="","",IFERROR(INDEX(项目档案!$B$6:$B$255,MATCH($D497,项目档案!$A$6:$A$255,0)),"⚠编号不存在"))</f>
        <v/>
      </c>
      <c r="P497" s="35" t="str">
        <f aca="false">IF($B497="","",TEXT($B497,"yyyy-mm"))</f>
        <v/>
      </c>
    </row>
    <row r="498" customFormat="false" ht="15.75" hidden="false" customHeight="true" outlineLevel="0" collapsed="false">
      <c r="A498" s="32" t="str">
        <f aca="false">IF($B498="","",ROW()-4)</f>
        <v/>
      </c>
      <c r="B498" s="26"/>
      <c r="C498" s="21"/>
      <c r="D498" s="24"/>
      <c r="E498" s="21"/>
      <c r="F498" s="24"/>
      <c r="G498" s="21"/>
      <c r="H498" s="22"/>
      <c r="I498" s="27"/>
      <c r="J498" s="27"/>
      <c r="K498" s="36" t="str">
        <f aca="false">IF($B498="","",IF($C498="泓普",$C$2,IF($C498="仟茂",$E$2,IF($C498="现金",$G$2,0)))+SUMIFS($I$5:$I498,$C$5:$C498,$C498)-SUMIFS($J$5:$J498,$C$5:$C498,$C498))</f>
        <v/>
      </c>
      <c r="L498" s="36" t="str">
        <f aca="false">IF($B498="","",$C$2+$E$2+$G$2+SUM($I$5:$I498)-SUM($J$5:$J498))</f>
        <v/>
      </c>
      <c r="M498" s="24"/>
      <c r="N498" s="33" t="str">
        <f aca="false">IF($B498="","",IF(NOT(ISNUMBER($B498)),"日期格式不对",IF($C498="","未选资金账户",IF(AND(N($I498)=0,N($J498)=0),"收支都为空",IF(AND(N($I498)&gt;0,N($J498)&gt;0),"收支不能同时填",IF(AND($D498&lt;&gt;"",LEFT($O498,1)="⚠"),"项目编号不存在",IF(AND($M498="是",$F498=""),"工程回款必须填往来单位","√")))))))</f>
        <v/>
      </c>
      <c r="O498" s="34" t="str">
        <f aca="false">IF($D498="","",IFERROR(INDEX(项目档案!$B$6:$B$255,MATCH($D498,项目档案!$A$6:$A$255,0)),"⚠编号不存在"))</f>
        <v/>
      </c>
      <c r="P498" s="35" t="str">
        <f aca="false">IF($B498="","",TEXT($B498,"yyyy-mm"))</f>
        <v/>
      </c>
    </row>
    <row r="499" customFormat="false" ht="15.75" hidden="false" customHeight="true" outlineLevel="0" collapsed="false">
      <c r="A499" s="32" t="str">
        <f aca="false">IF($B499="","",ROW()-4)</f>
        <v/>
      </c>
      <c r="B499" s="26"/>
      <c r="C499" s="21"/>
      <c r="D499" s="24"/>
      <c r="E499" s="21"/>
      <c r="F499" s="24"/>
      <c r="G499" s="21"/>
      <c r="H499" s="22"/>
      <c r="I499" s="27"/>
      <c r="J499" s="27"/>
      <c r="K499" s="36" t="str">
        <f aca="false">IF($B499="","",IF($C499="泓普",$C$2,IF($C499="仟茂",$E$2,IF($C499="现金",$G$2,0)))+SUMIFS($I$5:$I499,$C$5:$C499,$C499)-SUMIFS($J$5:$J499,$C$5:$C499,$C499))</f>
        <v/>
      </c>
      <c r="L499" s="36" t="str">
        <f aca="false">IF($B499="","",$C$2+$E$2+$G$2+SUM($I$5:$I499)-SUM($J$5:$J499))</f>
        <v/>
      </c>
      <c r="M499" s="24"/>
      <c r="N499" s="33" t="str">
        <f aca="false">IF($B499="","",IF(NOT(ISNUMBER($B499)),"日期格式不对",IF($C499="","未选资金账户",IF(AND(N($I499)=0,N($J499)=0),"收支都为空",IF(AND(N($I499)&gt;0,N($J499)&gt;0),"收支不能同时填",IF(AND($D499&lt;&gt;"",LEFT($O499,1)="⚠"),"项目编号不存在",IF(AND($M499="是",$F499=""),"工程回款必须填往来单位","√")))))))</f>
        <v/>
      </c>
      <c r="O499" s="34" t="str">
        <f aca="false">IF($D499="","",IFERROR(INDEX(项目档案!$B$6:$B$255,MATCH($D499,项目档案!$A$6:$A$255,0)),"⚠编号不存在"))</f>
        <v/>
      </c>
      <c r="P499" s="35" t="str">
        <f aca="false">IF($B499="","",TEXT($B499,"yyyy-mm"))</f>
        <v/>
      </c>
    </row>
    <row r="500" customFormat="false" ht="15.75" hidden="false" customHeight="true" outlineLevel="0" collapsed="false">
      <c r="A500" s="32" t="str">
        <f aca="false">IF($B500="","",ROW()-4)</f>
        <v/>
      </c>
      <c r="B500" s="26"/>
      <c r="C500" s="21"/>
      <c r="D500" s="24"/>
      <c r="E500" s="21"/>
      <c r="F500" s="24"/>
      <c r="G500" s="21"/>
      <c r="H500" s="22"/>
      <c r="I500" s="27"/>
      <c r="J500" s="27"/>
      <c r="K500" s="36" t="str">
        <f aca="false">IF($B500="","",IF($C500="泓普",$C$2,IF($C500="仟茂",$E$2,IF($C500="现金",$G$2,0)))+SUMIFS($I$5:$I500,$C$5:$C500,$C500)-SUMIFS($J$5:$J500,$C$5:$C500,$C500))</f>
        <v/>
      </c>
      <c r="L500" s="36" t="str">
        <f aca="false">IF($B500="","",$C$2+$E$2+$G$2+SUM($I$5:$I500)-SUM($J$5:$J500))</f>
        <v/>
      </c>
      <c r="M500" s="24"/>
      <c r="N500" s="33" t="str">
        <f aca="false">IF($B500="","",IF(NOT(ISNUMBER($B500)),"日期格式不对",IF($C500="","未选资金账户",IF(AND(N($I500)=0,N($J500)=0),"收支都为空",IF(AND(N($I500)&gt;0,N($J500)&gt;0),"收支不能同时填",IF(AND($D500&lt;&gt;"",LEFT($O500,1)="⚠"),"项目编号不存在",IF(AND($M500="是",$F500=""),"工程回款必须填往来单位","√")))))))</f>
        <v/>
      </c>
      <c r="O500" s="34" t="str">
        <f aca="false">IF($D500="","",IFERROR(INDEX(项目档案!$B$6:$B$255,MATCH($D500,项目档案!$A$6:$A$255,0)),"⚠编号不存在"))</f>
        <v/>
      </c>
      <c r="P500" s="35" t="str">
        <f aca="false">IF($B500="","",TEXT($B500,"yyyy-mm"))</f>
        <v/>
      </c>
    </row>
    <row r="501" customFormat="false" ht="15.75" hidden="false" customHeight="true" outlineLevel="0" collapsed="false">
      <c r="A501" s="32" t="str">
        <f aca="false">IF($B501="","",ROW()-4)</f>
        <v/>
      </c>
      <c r="B501" s="26"/>
      <c r="C501" s="21"/>
      <c r="D501" s="24"/>
      <c r="E501" s="21"/>
      <c r="F501" s="24"/>
      <c r="G501" s="21"/>
      <c r="H501" s="22"/>
      <c r="I501" s="27"/>
      <c r="J501" s="27"/>
      <c r="K501" s="36" t="str">
        <f aca="false">IF($B501="","",IF($C501="泓普",$C$2,IF($C501="仟茂",$E$2,IF($C501="现金",$G$2,0)))+SUMIFS($I$5:$I501,$C$5:$C501,$C501)-SUMIFS($J$5:$J501,$C$5:$C501,$C501))</f>
        <v/>
      </c>
      <c r="L501" s="36" t="str">
        <f aca="false">IF($B501="","",$C$2+$E$2+$G$2+SUM($I$5:$I501)-SUM($J$5:$J501))</f>
        <v/>
      </c>
      <c r="M501" s="24"/>
      <c r="N501" s="33" t="str">
        <f aca="false">IF($B501="","",IF(NOT(ISNUMBER($B501)),"日期格式不对",IF($C501="","未选资金账户",IF(AND(N($I501)=0,N($J501)=0),"收支都为空",IF(AND(N($I501)&gt;0,N($J501)&gt;0),"收支不能同时填",IF(AND($D501&lt;&gt;"",LEFT($O501,1)="⚠"),"项目编号不存在",IF(AND($M501="是",$F501=""),"工程回款必须填往来单位","√")))))))</f>
        <v/>
      </c>
      <c r="O501" s="34" t="str">
        <f aca="false">IF($D501="","",IFERROR(INDEX(项目档案!$B$6:$B$255,MATCH($D501,项目档案!$A$6:$A$255,0)),"⚠编号不存在"))</f>
        <v/>
      </c>
      <c r="P501" s="35" t="str">
        <f aca="false">IF($B501="","",TEXT($B501,"yyyy-mm"))</f>
        <v/>
      </c>
    </row>
    <row r="502" customFormat="false" ht="15.75" hidden="false" customHeight="true" outlineLevel="0" collapsed="false">
      <c r="A502" s="32" t="str">
        <f aca="false">IF($B502="","",ROW()-4)</f>
        <v/>
      </c>
      <c r="B502" s="26"/>
      <c r="C502" s="21"/>
      <c r="D502" s="24"/>
      <c r="E502" s="21"/>
      <c r="F502" s="24"/>
      <c r="G502" s="21"/>
      <c r="H502" s="22"/>
      <c r="I502" s="27"/>
      <c r="J502" s="27"/>
      <c r="K502" s="36" t="str">
        <f aca="false">IF($B502="","",IF($C502="泓普",$C$2,IF($C502="仟茂",$E$2,IF($C502="现金",$G$2,0)))+SUMIFS($I$5:$I502,$C$5:$C502,$C502)-SUMIFS($J$5:$J502,$C$5:$C502,$C502))</f>
        <v/>
      </c>
      <c r="L502" s="36" t="str">
        <f aca="false">IF($B502="","",$C$2+$E$2+$G$2+SUM($I$5:$I502)-SUM($J$5:$J502))</f>
        <v/>
      </c>
      <c r="M502" s="24"/>
      <c r="N502" s="33" t="str">
        <f aca="false">IF($B502="","",IF(NOT(ISNUMBER($B502)),"日期格式不对",IF($C502="","未选资金账户",IF(AND(N($I502)=0,N($J502)=0),"收支都为空",IF(AND(N($I502)&gt;0,N($J502)&gt;0),"收支不能同时填",IF(AND($D502&lt;&gt;"",LEFT($O502,1)="⚠"),"项目编号不存在",IF(AND($M502="是",$F502=""),"工程回款必须填往来单位","√")))))))</f>
        <v/>
      </c>
      <c r="O502" s="34" t="str">
        <f aca="false">IF($D502="","",IFERROR(INDEX(项目档案!$B$6:$B$255,MATCH($D502,项目档案!$A$6:$A$255,0)),"⚠编号不存在"))</f>
        <v/>
      </c>
      <c r="P502" s="35" t="str">
        <f aca="false">IF($B502="","",TEXT($B502,"yyyy-mm"))</f>
        <v/>
      </c>
    </row>
    <row r="503" customFormat="false" ht="15.75" hidden="false" customHeight="true" outlineLevel="0" collapsed="false">
      <c r="A503" s="32" t="str">
        <f aca="false">IF($B503="","",ROW()-4)</f>
        <v/>
      </c>
      <c r="B503" s="26"/>
      <c r="C503" s="21"/>
      <c r="D503" s="24"/>
      <c r="E503" s="21"/>
      <c r="F503" s="24"/>
      <c r="G503" s="21"/>
      <c r="H503" s="22"/>
      <c r="I503" s="27"/>
      <c r="J503" s="27"/>
      <c r="K503" s="36" t="str">
        <f aca="false">IF($B503="","",IF($C503="泓普",$C$2,IF($C503="仟茂",$E$2,IF($C503="现金",$G$2,0)))+SUMIFS($I$5:$I503,$C$5:$C503,$C503)-SUMIFS($J$5:$J503,$C$5:$C503,$C503))</f>
        <v/>
      </c>
      <c r="L503" s="36" t="str">
        <f aca="false">IF($B503="","",$C$2+$E$2+$G$2+SUM($I$5:$I503)-SUM($J$5:$J503))</f>
        <v/>
      </c>
      <c r="M503" s="24"/>
      <c r="N503" s="33" t="str">
        <f aca="false">IF($B503="","",IF(NOT(ISNUMBER($B503)),"日期格式不对",IF($C503="","未选资金账户",IF(AND(N($I503)=0,N($J503)=0),"收支都为空",IF(AND(N($I503)&gt;0,N($J503)&gt;0),"收支不能同时填",IF(AND($D503&lt;&gt;"",LEFT($O503,1)="⚠"),"项目编号不存在",IF(AND($M503="是",$F503=""),"工程回款必须填往来单位","√")))))))</f>
        <v/>
      </c>
      <c r="O503" s="34" t="str">
        <f aca="false">IF($D503="","",IFERROR(INDEX(项目档案!$B$6:$B$255,MATCH($D503,项目档案!$A$6:$A$255,0)),"⚠编号不存在"))</f>
        <v/>
      </c>
      <c r="P503" s="35" t="str">
        <f aca="false">IF($B503="","",TEXT($B503,"yyyy-mm"))</f>
        <v/>
      </c>
    </row>
    <row r="504" customFormat="false" ht="15.75" hidden="false" customHeight="true" outlineLevel="0" collapsed="false">
      <c r="A504" s="32" t="str">
        <f aca="false">IF($B504="","",ROW()-4)</f>
        <v/>
      </c>
      <c r="B504" s="26"/>
      <c r="C504" s="21"/>
      <c r="D504" s="24"/>
      <c r="E504" s="21"/>
      <c r="F504" s="24"/>
      <c r="G504" s="21"/>
      <c r="H504" s="22"/>
      <c r="I504" s="27"/>
      <c r="J504" s="27"/>
      <c r="K504" s="36" t="str">
        <f aca="false">IF($B504="","",IF($C504="泓普",$C$2,IF($C504="仟茂",$E$2,IF($C504="现金",$G$2,0)))+SUMIFS($I$5:$I504,$C$5:$C504,$C504)-SUMIFS($J$5:$J504,$C$5:$C504,$C504))</f>
        <v/>
      </c>
      <c r="L504" s="36" t="str">
        <f aca="false">IF($B504="","",$C$2+$E$2+$G$2+SUM($I$5:$I504)-SUM($J$5:$J504))</f>
        <v/>
      </c>
      <c r="M504" s="24"/>
      <c r="N504" s="33" t="str">
        <f aca="false">IF($B504="","",IF(NOT(ISNUMBER($B504)),"日期格式不对",IF($C504="","未选资金账户",IF(AND(N($I504)=0,N($J504)=0),"收支都为空",IF(AND(N($I504)&gt;0,N($J504)&gt;0),"收支不能同时填",IF(AND($D504&lt;&gt;"",LEFT($O504,1)="⚠"),"项目编号不存在",IF(AND($M504="是",$F504=""),"工程回款必须填往来单位","√")))))))</f>
        <v/>
      </c>
      <c r="O504" s="34" t="str">
        <f aca="false">IF($D504="","",IFERROR(INDEX(项目档案!$B$6:$B$255,MATCH($D504,项目档案!$A$6:$A$255,0)),"⚠编号不存在"))</f>
        <v/>
      </c>
      <c r="P504" s="35" t="str">
        <f aca="false">IF($B504="","",TEXT($B504,"yyyy-mm"))</f>
        <v/>
      </c>
    </row>
    <row r="505" customFormat="false" ht="15.75" hidden="false" customHeight="true" outlineLevel="0" collapsed="false">
      <c r="A505" s="32" t="str">
        <f aca="false">IF($B505="","",ROW()-4)</f>
        <v/>
      </c>
      <c r="B505" s="26"/>
      <c r="C505" s="21"/>
      <c r="D505" s="24"/>
      <c r="E505" s="21"/>
      <c r="F505" s="24"/>
      <c r="G505" s="21"/>
      <c r="H505" s="22"/>
      <c r="I505" s="27"/>
      <c r="J505" s="27"/>
      <c r="K505" s="36" t="str">
        <f aca="false">IF($B505="","",IF($C505="泓普",$C$2,IF($C505="仟茂",$E$2,IF($C505="现金",$G$2,0)))+SUMIFS($I$5:$I505,$C$5:$C505,$C505)-SUMIFS($J$5:$J505,$C$5:$C505,$C505))</f>
        <v/>
      </c>
      <c r="L505" s="36" t="str">
        <f aca="false">IF($B505="","",$C$2+$E$2+$G$2+SUM($I$5:$I505)-SUM($J$5:$J505))</f>
        <v/>
      </c>
      <c r="M505" s="24"/>
      <c r="N505" s="33" t="str">
        <f aca="false">IF($B505="","",IF(NOT(ISNUMBER($B505)),"日期格式不对",IF($C505="","未选资金账户",IF(AND(N($I505)=0,N($J505)=0),"收支都为空",IF(AND(N($I505)&gt;0,N($J505)&gt;0),"收支不能同时填",IF(AND($D505&lt;&gt;"",LEFT($O505,1)="⚠"),"项目编号不存在",IF(AND($M505="是",$F505=""),"工程回款必须填往来单位","√")))))))</f>
        <v/>
      </c>
      <c r="O505" s="34" t="str">
        <f aca="false">IF($D505="","",IFERROR(INDEX(项目档案!$B$6:$B$255,MATCH($D505,项目档案!$A$6:$A$255,0)),"⚠编号不存在"))</f>
        <v/>
      </c>
      <c r="P505" s="35" t="str">
        <f aca="false">IF($B505="","",TEXT($B505,"yyyy-mm"))</f>
        <v/>
      </c>
    </row>
    <row r="506" customFormat="false" ht="15.75" hidden="false" customHeight="true" outlineLevel="0" collapsed="false">
      <c r="A506" s="32" t="str">
        <f aca="false">IF($B506="","",ROW()-4)</f>
        <v/>
      </c>
      <c r="B506" s="26"/>
      <c r="C506" s="21"/>
      <c r="D506" s="24"/>
      <c r="E506" s="21"/>
      <c r="F506" s="24"/>
      <c r="G506" s="21"/>
      <c r="H506" s="22"/>
      <c r="I506" s="27"/>
      <c r="J506" s="27"/>
      <c r="K506" s="36" t="str">
        <f aca="false">IF($B506="","",IF($C506="泓普",$C$2,IF($C506="仟茂",$E$2,IF($C506="现金",$G$2,0)))+SUMIFS($I$5:$I506,$C$5:$C506,$C506)-SUMIFS($J$5:$J506,$C$5:$C506,$C506))</f>
        <v/>
      </c>
      <c r="L506" s="36" t="str">
        <f aca="false">IF($B506="","",$C$2+$E$2+$G$2+SUM($I$5:$I506)-SUM($J$5:$J506))</f>
        <v/>
      </c>
      <c r="M506" s="24"/>
      <c r="N506" s="33" t="str">
        <f aca="false">IF($B506="","",IF(NOT(ISNUMBER($B506)),"日期格式不对",IF($C506="","未选资金账户",IF(AND(N($I506)=0,N($J506)=0),"收支都为空",IF(AND(N($I506)&gt;0,N($J506)&gt;0),"收支不能同时填",IF(AND($D506&lt;&gt;"",LEFT($O506,1)="⚠"),"项目编号不存在",IF(AND($M506="是",$F506=""),"工程回款必须填往来单位","√")))))))</f>
        <v/>
      </c>
      <c r="O506" s="34" t="str">
        <f aca="false">IF($D506="","",IFERROR(INDEX(项目档案!$B$6:$B$255,MATCH($D506,项目档案!$A$6:$A$255,0)),"⚠编号不存在"))</f>
        <v/>
      </c>
      <c r="P506" s="35" t="str">
        <f aca="false">IF($B506="","",TEXT($B506,"yyyy-mm"))</f>
        <v/>
      </c>
    </row>
    <row r="507" customFormat="false" ht="15.75" hidden="false" customHeight="true" outlineLevel="0" collapsed="false">
      <c r="A507" s="32" t="str">
        <f aca="false">IF($B507="","",ROW()-4)</f>
        <v/>
      </c>
      <c r="B507" s="26"/>
      <c r="C507" s="21"/>
      <c r="D507" s="24"/>
      <c r="E507" s="21"/>
      <c r="F507" s="24"/>
      <c r="G507" s="21"/>
      <c r="H507" s="22"/>
      <c r="I507" s="27"/>
      <c r="J507" s="27"/>
      <c r="K507" s="36" t="str">
        <f aca="false">IF($B507="","",IF($C507="泓普",$C$2,IF($C507="仟茂",$E$2,IF($C507="现金",$G$2,0)))+SUMIFS($I$5:$I507,$C$5:$C507,$C507)-SUMIFS($J$5:$J507,$C$5:$C507,$C507))</f>
        <v/>
      </c>
      <c r="L507" s="36" t="str">
        <f aca="false">IF($B507="","",$C$2+$E$2+$G$2+SUM($I$5:$I507)-SUM($J$5:$J507))</f>
        <v/>
      </c>
      <c r="M507" s="24"/>
      <c r="N507" s="33" t="str">
        <f aca="false">IF($B507="","",IF(NOT(ISNUMBER($B507)),"日期格式不对",IF($C507="","未选资金账户",IF(AND(N($I507)=0,N($J507)=0),"收支都为空",IF(AND(N($I507)&gt;0,N($J507)&gt;0),"收支不能同时填",IF(AND($D507&lt;&gt;"",LEFT($O507,1)="⚠"),"项目编号不存在",IF(AND($M507="是",$F507=""),"工程回款必须填往来单位","√")))))))</f>
        <v/>
      </c>
      <c r="O507" s="34" t="str">
        <f aca="false">IF($D507="","",IFERROR(INDEX(项目档案!$B$6:$B$255,MATCH($D507,项目档案!$A$6:$A$255,0)),"⚠编号不存在"))</f>
        <v/>
      </c>
      <c r="P507" s="35" t="str">
        <f aca="false">IF($B507="","",TEXT($B507,"yyyy-mm"))</f>
        <v/>
      </c>
    </row>
    <row r="508" customFormat="false" ht="15.75" hidden="false" customHeight="true" outlineLevel="0" collapsed="false">
      <c r="A508" s="32" t="str">
        <f aca="false">IF($B508="","",ROW()-4)</f>
        <v/>
      </c>
      <c r="B508" s="26"/>
      <c r="C508" s="21"/>
      <c r="D508" s="24"/>
      <c r="E508" s="21"/>
      <c r="F508" s="24"/>
      <c r="G508" s="21"/>
      <c r="H508" s="22"/>
      <c r="I508" s="27"/>
      <c r="J508" s="27"/>
      <c r="K508" s="36" t="str">
        <f aca="false">IF($B508="","",IF($C508="泓普",$C$2,IF($C508="仟茂",$E$2,IF($C508="现金",$G$2,0)))+SUMIFS($I$5:$I508,$C$5:$C508,$C508)-SUMIFS($J$5:$J508,$C$5:$C508,$C508))</f>
        <v/>
      </c>
      <c r="L508" s="36" t="str">
        <f aca="false">IF($B508="","",$C$2+$E$2+$G$2+SUM($I$5:$I508)-SUM($J$5:$J508))</f>
        <v/>
      </c>
      <c r="M508" s="24"/>
      <c r="N508" s="33" t="str">
        <f aca="false">IF($B508="","",IF(NOT(ISNUMBER($B508)),"日期格式不对",IF($C508="","未选资金账户",IF(AND(N($I508)=0,N($J508)=0),"收支都为空",IF(AND(N($I508)&gt;0,N($J508)&gt;0),"收支不能同时填",IF(AND($D508&lt;&gt;"",LEFT($O508,1)="⚠"),"项目编号不存在",IF(AND($M508="是",$F508=""),"工程回款必须填往来单位","√")))))))</f>
        <v/>
      </c>
      <c r="O508" s="34" t="str">
        <f aca="false">IF($D508="","",IFERROR(INDEX(项目档案!$B$6:$B$255,MATCH($D508,项目档案!$A$6:$A$255,0)),"⚠编号不存在"))</f>
        <v/>
      </c>
      <c r="P508" s="35" t="str">
        <f aca="false">IF($B508="","",TEXT($B508,"yyyy-mm"))</f>
        <v/>
      </c>
    </row>
    <row r="509" customFormat="false" ht="15.75" hidden="false" customHeight="true" outlineLevel="0" collapsed="false">
      <c r="A509" s="32" t="str">
        <f aca="false">IF($B509="","",ROW()-4)</f>
        <v/>
      </c>
      <c r="B509" s="26"/>
      <c r="C509" s="21"/>
      <c r="D509" s="24"/>
      <c r="E509" s="21"/>
      <c r="F509" s="24"/>
      <c r="G509" s="21"/>
      <c r="H509" s="22"/>
      <c r="I509" s="27"/>
      <c r="J509" s="27"/>
      <c r="K509" s="36" t="str">
        <f aca="false">IF($B509="","",IF($C509="泓普",$C$2,IF($C509="仟茂",$E$2,IF($C509="现金",$G$2,0)))+SUMIFS($I$5:$I509,$C$5:$C509,$C509)-SUMIFS($J$5:$J509,$C$5:$C509,$C509))</f>
        <v/>
      </c>
      <c r="L509" s="36" t="str">
        <f aca="false">IF($B509="","",$C$2+$E$2+$G$2+SUM($I$5:$I509)-SUM($J$5:$J509))</f>
        <v/>
      </c>
      <c r="M509" s="24"/>
      <c r="N509" s="33" t="str">
        <f aca="false">IF($B509="","",IF(NOT(ISNUMBER($B509)),"日期格式不对",IF($C509="","未选资金账户",IF(AND(N($I509)=0,N($J509)=0),"收支都为空",IF(AND(N($I509)&gt;0,N($J509)&gt;0),"收支不能同时填",IF(AND($D509&lt;&gt;"",LEFT($O509,1)="⚠"),"项目编号不存在",IF(AND($M509="是",$F509=""),"工程回款必须填往来单位","√")))))))</f>
        <v/>
      </c>
      <c r="O509" s="34" t="str">
        <f aca="false">IF($D509="","",IFERROR(INDEX(项目档案!$B$6:$B$255,MATCH($D509,项目档案!$A$6:$A$255,0)),"⚠编号不存在"))</f>
        <v/>
      </c>
      <c r="P509" s="35" t="str">
        <f aca="false">IF($B509="","",TEXT($B509,"yyyy-mm"))</f>
        <v/>
      </c>
    </row>
    <row r="510" customFormat="false" ht="15.75" hidden="false" customHeight="true" outlineLevel="0" collapsed="false">
      <c r="A510" s="32" t="str">
        <f aca="false">IF($B510="","",ROW()-4)</f>
        <v/>
      </c>
      <c r="B510" s="26"/>
      <c r="C510" s="21"/>
      <c r="D510" s="24"/>
      <c r="E510" s="21"/>
      <c r="F510" s="24"/>
      <c r="G510" s="21"/>
      <c r="H510" s="22"/>
      <c r="I510" s="27"/>
      <c r="J510" s="27"/>
      <c r="K510" s="36" t="str">
        <f aca="false">IF($B510="","",IF($C510="泓普",$C$2,IF($C510="仟茂",$E$2,IF($C510="现金",$G$2,0)))+SUMIFS($I$5:$I510,$C$5:$C510,$C510)-SUMIFS($J$5:$J510,$C$5:$C510,$C510))</f>
        <v/>
      </c>
      <c r="L510" s="36" t="str">
        <f aca="false">IF($B510="","",$C$2+$E$2+$G$2+SUM($I$5:$I510)-SUM($J$5:$J510))</f>
        <v/>
      </c>
      <c r="M510" s="24"/>
      <c r="N510" s="33" t="str">
        <f aca="false">IF($B510="","",IF(NOT(ISNUMBER($B510)),"日期格式不对",IF($C510="","未选资金账户",IF(AND(N($I510)=0,N($J510)=0),"收支都为空",IF(AND(N($I510)&gt;0,N($J510)&gt;0),"收支不能同时填",IF(AND($D510&lt;&gt;"",LEFT($O510,1)="⚠"),"项目编号不存在",IF(AND($M510="是",$F510=""),"工程回款必须填往来单位","√")))))))</f>
        <v/>
      </c>
      <c r="O510" s="34" t="str">
        <f aca="false">IF($D510="","",IFERROR(INDEX(项目档案!$B$6:$B$255,MATCH($D510,项目档案!$A$6:$A$255,0)),"⚠编号不存在"))</f>
        <v/>
      </c>
      <c r="P510" s="35" t="str">
        <f aca="false">IF($B510="","",TEXT($B510,"yyyy-mm"))</f>
        <v/>
      </c>
    </row>
    <row r="511" customFormat="false" ht="15.75" hidden="false" customHeight="true" outlineLevel="0" collapsed="false">
      <c r="A511" s="32" t="str">
        <f aca="false">IF($B511="","",ROW()-4)</f>
        <v/>
      </c>
      <c r="B511" s="26"/>
      <c r="C511" s="21"/>
      <c r="D511" s="24"/>
      <c r="E511" s="21"/>
      <c r="F511" s="24"/>
      <c r="G511" s="21"/>
      <c r="H511" s="22"/>
      <c r="I511" s="27"/>
      <c r="J511" s="27"/>
      <c r="K511" s="36" t="str">
        <f aca="false">IF($B511="","",IF($C511="泓普",$C$2,IF($C511="仟茂",$E$2,IF($C511="现金",$G$2,0)))+SUMIFS($I$5:$I511,$C$5:$C511,$C511)-SUMIFS($J$5:$J511,$C$5:$C511,$C511))</f>
        <v/>
      </c>
      <c r="L511" s="36" t="str">
        <f aca="false">IF($B511="","",$C$2+$E$2+$G$2+SUM($I$5:$I511)-SUM($J$5:$J511))</f>
        <v/>
      </c>
      <c r="M511" s="24"/>
      <c r="N511" s="33" t="str">
        <f aca="false">IF($B511="","",IF(NOT(ISNUMBER($B511)),"日期格式不对",IF($C511="","未选资金账户",IF(AND(N($I511)=0,N($J511)=0),"收支都为空",IF(AND(N($I511)&gt;0,N($J511)&gt;0),"收支不能同时填",IF(AND($D511&lt;&gt;"",LEFT($O511,1)="⚠"),"项目编号不存在",IF(AND($M511="是",$F511=""),"工程回款必须填往来单位","√")))))))</f>
        <v/>
      </c>
      <c r="O511" s="34" t="str">
        <f aca="false">IF($D511="","",IFERROR(INDEX(项目档案!$B$6:$B$255,MATCH($D511,项目档案!$A$6:$A$255,0)),"⚠编号不存在"))</f>
        <v/>
      </c>
      <c r="P511" s="35" t="str">
        <f aca="false">IF($B511="","",TEXT($B511,"yyyy-mm"))</f>
        <v/>
      </c>
    </row>
    <row r="512" customFormat="false" ht="15.75" hidden="false" customHeight="true" outlineLevel="0" collapsed="false">
      <c r="A512" s="32" t="str">
        <f aca="false">IF($B512="","",ROW()-4)</f>
        <v/>
      </c>
      <c r="B512" s="26"/>
      <c r="C512" s="21"/>
      <c r="D512" s="24"/>
      <c r="E512" s="21"/>
      <c r="F512" s="24"/>
      <c r="G512" s="21"/>
      <c r="H512" s="22"/>
      <c r="I512" s="27"/>
      <c r="J512" s="27"/>
      <c r="K512" s="36" t="str">
        <f aca="false">IF($B512="","",IF($C512="泓普",$C$2,IF($C512="仟茂",$E$2,IF($C512="现金",$G$2,0)))+SUMIFS($I$5:$I512,$C$5:$C512,$C512)-SUMIFS($J$5:$J512,$C$5:$C512,$C512))</f>
        <v/>
      </c>
      <c r="L512" s="36" t="str">
        <f aca="false">IF($B512="","",$C$2+$E$2+$G$2+SUM($I$5:$I512)-SUM($J$5:$J512))</f>
        <v/>
      </c>
      <c r="M512" s="24"/>
      <c r="N512" s="33" t="str">
        <f aca="false">IF($B512="","",IF(NOT(ISNUMBER($B512)),"日期格式不对",IF($C512="","未选资金账户",IF(AND(N($I512)=0,N($J512)=0),"收支都为空",IF(AND(N($I512)&gt;0,N($J512)&gt;0),"收支不能同时填",IF(AND($D512&lt;&gt;"",LEFT($O512,1)="⚠"),"项目编号不存在",IF(AND($M512="是",$F512=""),"工程回款必须填往来单位","√")))))))</f>
        <v/>
      </c>
      <c r="O512" s="34" t="str">
        <f aca="false">IF($D512="","",IFERROR(INDEX(项目档案!$B$6:$B$255,MATCH($D512,项目档案!$A$6:$A$255,0)),"⚠编号不存在"))</f>
        <v/>
      </c>
      <c r="P512" s="35" t="str">
        <f aca="false">IF($B512="","",TEXT($B512,"yyyy-mm"))</f>
        <v/>
      </c>
    </row>
    <row r="513" customFormat="false" ht="15.75" hidden="false" customHeight="true" outlineLevel="0" collapsed="false">
      <c r="A513" s="32" t="str">
        <f aca="false">IF($B513="","",ROW()-4)</f>
        <v/>
      </c>
      <c r="B513" s="26"/>
      <c r="C513" s="21"/>
      <c r="D513" s="24"/>
      <c r="E513" s="21"/>
      <c r="F513" s="24"/>
      <c r="G513" s="21"/>
      <c r="H513" s="22"/>
      <c r="I513" s="27"/>
      <c r="J513" s="27"/>
      <c r="K513" s="36" t="str">
        <f aca="false">IF($B513="","",IF($C513="泓普",$C$2,IF($C513="仟茂",$E$2,IF($C513="现金",$G$2,0)))+SUMIFS($I$5:$I513,$C$5:$C513,$C513)-SUMIFS($J$5:$J513,$C$5:$C513,$C513))</f>
        <v/>
      </c>
      <c r="L513" s="36" t="str">
        <f aca="false">IF($B513="","",$C$2+$E$2+$G$2+SUM($I$5:$I513)-SUM($J$5:$J513))</f>
        <v/>
      </c>
      <c r="M513" s="24"/>
      <c r="N513" s="33" t="str">
        <f aca="false">IF($B513="","",IF(NOT(ISNUMBER($B513)),"日期格式不对",IF($C513="","未选资金账户",IF(AND(N($I513)=0,N($J513)=0),"收支都为空",IF(AND(N($I513)&gt;0,N($J513)&gt;0),"收支不能同时填",IF(AND($D513&lt;&gt;"",LEFT($O513,1)="⚠"),"项目编号不存在",IF(AND($M513="是",$F513=""),"工程回款必须填往来单位","√")))))))</f>
        <v/>
      </c>
      <c r="O513" s="34" t="str">
        <f aca="false">IF($D513="","",IFERROR(INDEX(项目档案!$B$6:$B$255,MATCH($D513,项目档案!$A$6:$A$255,0)),"⚠编号不存在"))</f>
        <v/>
      </c>
      <c r="P513" s="35" t="str">
        <f aca="false">IF($B513="","",TEXT($B513,"yyyy-mm"))</f>
        <v/>
      </c>
    </row>
    <row r="514" customFormat="false" ht="15.75" hidden="false" customHeight="true" outlineLevel="0" collapsed="false">
      <c r="A514" s="32" t="str">
        <f aca="false">IF($B514="","",ROW()-4)</f>
        <v/>
      </c>
      <c r="B514" s="26"/>
      <c r="C514" s="21"/>
      <c r="D514" s="24"/>
      <c r="E514" s="21"/>
      <c r="F514" s="24"/>
      <c r="G514" s="21"/>
      <c r="H514" s="22"/>
      <c r="I514" s="27"/>
      <c r="J514" s="27"/>
      <c r="K514" s="36" t="str">
        <f aca="false">IF($B514="","",IF($C514="泓普",$C$2,IF($C514="仟茂",$E$2,IF($C514="现金",$G$2,0)))+SUMIFS($I$5:$I514,$C$5:$C514,$C514)-SUMIFS($J$5:$J514,$C$5:$C514,$C514))</f>
        <v/>
      </c>
      <c r="L514" s="36" t="str">
        <f aca="false">IF($B514="","",$C$2+$E$2+$G$2+SUM($I$5:$I514)-SUM($J$5:$J514))</f>
        <v/>
      </c>
      <c r="M514" s="24"/>
      <c r="N514" s="33" t="str">
        <f aca="false">IF($B514="","",IF(NOT(ISNUMBER($B514)),"日期格式不对",IF($C514="","未选资金账户",IF(AND(N($I514)=0,N($J514)=0),"收支都为空",IF(AND(N($I514)&gt;0,N($J514)&gt;0),"收支不能同时填",IF(AND($D514&lt;&gt;"",LEFT($O514,1)="⚠"),"项目编号不存在",IF(AND($M514="是",$F514=""),"工程回款必须填往来单位","√")))))))</f>
        <v/>
      </c>
      <c r="O514" s="34" t="str">
        <f aca="false">IF($D514="","",IFERROR(INDEX(项目档案!$B$6:$B$255,MATCH($D514,项目档案!$A$6:$A$255,0)),"⚠编号不存在"))</f>
        <v/>
      </c>
      <c r="P514" s="35" t="str">
        <f aca="false">IF($B514="","",TEXT($B514,"yyyy-mm"))</f>
        <v/>
      </c>
    </row>
    <row r="515" customFormat="false" ht="15.75" hidden="false" customHeight="true" outlineLevel="0" collapsed="false">
      <c r="A515" s="32" t="str">
        <f aca="false">IF($B515="","",ROW()-4)</f>
        <v/>
      </c>
      <c r="B515" s="26"/>
      <c r="C515" s="21"/>
      <c r="D515" s="24"/>
      <c r="E515" s="21"/>
      <c r="F515" s="24"/>
      <c r="G515" s="21"/>
      <c r="H515" s="22"/>
      <c r="I515" s="27"/>
      <c r="J515" s="27"/>
      <c r="K515" s="36" t="str">
        <f aca="false">IF($B515="","",IF($C515="泓普",$C$2,IF($C515="仟茂",$E$2,IF($C515="现金",$G$2,0)))+SUMIFS($I$5:$I515,$C$5:$C515,$C515)-SUMIFS($J$5:$J515,$C$5:$C515,$C515))</f>
        <v/>
      </c>
      <c r="L515" s="36" t="str">
        <f aca="false">IF($B515="","",$C$2+$E$2+$G$2+SUM($I$5:$I515)-SUM($J$5:$J515))</f>
        <v/>
      </c>
      <c r="M515" s="24"/>
      <c r="N515" s="33" t="str">
        <f aca="false">IF($B515="","",IF(NOT(ISNUMBER($B515)),"日期格式不对",IF($C515="","未选资金账户",IF(AND(N($I515)=0,N($J515)=0),"收支都为空",IF(AND(N($I515)&gt;0,N($J515)&gt;0),"收支不能同时填",IF(AND($D515&lt;&gt;"",LEFT($O515,1)="⚠"),"项目编号不存在",IF(AND($M515="是",$F515=""),"工程回款必须填往来单位","√")))))))</f>
        <v/>
      </c>
      <c r="O515" s="34" t="str">
        <f aca="false">IF($D515="","",IFERROR(INDEX(项目档案!$B$6:$B$255,MATCH($D515,项目档案!$A$6:$A$255,0)),"⚠编号不存在"))</f>
        <v/>
      </c>
      <c r="P515" s="35" t="str">
        <f aca="false">IF($B515="","",TEXT($B515,"yyyy-mm"))</f>
        <v/>
      </c>
    </row>
    <row r="516" customFormat="false" ht="15.75" hidden="false" customHeight="true" outlineLevel="0" collapsed="false">
      <c r="A516" s="32" t="str">
        <f aca="false">IF($B516="","",ROW()-4)</f>
        <v/>
      </c>
      <c r="B516" s="26"/>
      <c r="C516" s="21"/>
      <c r="D516" s="24"/>
      <c r="E516" s="21"/>
      <c r="F516" s="24"/>
      <c r="G516" s="21"/>
      <c r="H516" s="22"/>
      <c r="I516" s="27"/>
      <c r="J516" s="27"/>
      <c r="K516" s="36" t="str">
        <f aca="false">IF($B516="","",IF($C516="泓普",$C$2,IF($C516="仟茂",$E$2,IF($C516="现金",$G$2,0)))+SUMIFS($I$5:$I516,$C$5:$C516,$C516)-SUMIFS($J$5:$J516,$C$5:$C516,$C516))</f>
        <v/>
      </c>
      <c r="L516" s="36" t="str">
        <f aca="false">IF($B516="","",$C$2+$E$2+$G$2+SUM($I$5:$I516)-SUM($J$5:$J516))</f>
        <v/>
      </c>
      <c r="M516" s="24"/>
      <c r="N516" s="33" t="str">
        <f aca="false">IF($B516="","",IF(NOT(ISNUMBER($B516)),"日期格式不对",IF($C516="","未选资金账户",IF(AND(N($I516)=0,N($J516)=0),"收支都为空",IF(AND(N($I516)&gt;0,N($J516)&gt;0),"收支不能同时填",IF(AND($D516&lt;&gt;"",LEFT($O516,1)="⚠"),"项目编号不存在",IF(AND($M516="是",$F516=""),"工程回款必须填往来单位","√")))))))</f>
        <v/>
      </c>
      <c r="O516" s="34" t="str">
        <f aca="false">IF($D516="","",IFERROR(INDEX(项目档案!$B$6:$B$255,MATCH($D516,项目档案!$A$6:$A$255,0)),"⚠编号不存在"))</f>
        <v/>
      </c>
      <c r="P516" s="35" t="str">
        <f aca="false">IF($B516="","",TEXT($B516,"yyyy-mm"))</f>
        <v/>
      </c>
    </row>
    <row r="517" customFormat="false" ht="15.75" hidden="false" customHeight="true" outlineLevel="0" collapsed="false">
      <c r="A517" s="32" t="str">
        <f aca="false">IF($B517="","",ROW()-4)</f>
        <v/>
      </c>
      <c r="B517" s="26"/>
      <c r="C517" s="21"/>
      <c r="D517" s="24"/>
      <c r="E517" s="21"/>
      <c r="F517" s="24"/>
      <c r="G517" s="21"/>
      <c r="H517" s="22"/>
      <c r="I517" s="27"/>
      <c r="J517" s="27"/>
      <c r="K517" s="36" t="str">
        <f aca="false">IF($B517="","",IF($C517="泓普",$C$2,IF($C517="仟茂",$E$2,IF($C517="现金",$G$2,0)))+SUMIFS($I$5:$I517,$C$5:$C517,$C517)-SUMIFS($J$5:$J517,$C$5:$C517,$C517))</f>
        <v/>
      </c>
      <c r="L517" s="36" t="str">
        <f aca="false">IF($B517="","",$C$2+$E$2+$G$2+SUM($I$5:$I517)-SUM($J$5:$J517))</f>
        <v/>
      </c>
      <c r="M517" s="24"/>
      <c r="N517" s="33" t="str">
        <f aca="false">IF($B517="","",IF(NOT(ISNUMBER($B517)),"日期格式不对",IF($C517="","未选资金账户",IF(AND(N($I517)=0,N($J517)=0),"收支都为空",IF(AND(N($I517)&gt;0,N($J517)&gt;0),"收支不能同时填",IF(AND($D517&lt;&gt;"",LEFT($O517,1)="⚠"),"项目编号不存在",IF(AND($M517="是",$F517=""),"工程回款必须填往来单位","√")))))))</f>
        <v/>
      </c>
      <c r="O517" s="34" t="str">
        <f aca="false">IF($D517="","",IFERROR(INDEX(项目档案!$B$6:$B$255,MATCH($D517,项目档案!$A$6:$A$255,0)),"⚠编号不存在"))</f>
        <v/>
      </c>
      <c r="P517" s="35" t="str">
        <f aca="false">IF($B517="","",TEXT($B517,"yyyy-mm"))</f>
        <v/>
      </c>
    </row>
    <row r="518" customFormat="false" ht="15.75" hidden="false" customHeight="true" outlineLevel="0" collapsed="false">
      <c r="A518" s="32" t="str">
        <f aca="false">IF($B518="","",ROW()-4)</f>
        <v/>
      </c>
      <c r="B518" s="26"/>
      <c r="C518" s="21"/>
      <c r="D518" s="24"/>
      <c r="E518" s="21"/>
      <c r="F518" s="24"/>
      <c r="G518" s="21"/>
      <c r="H518" s="22"/>
      <c r="I518" s="27"/>
      <c r="J518" s="27"/>
      <c r="K518" s="36" t="str">
        <f aca="false">IF($B518="","",IF($C518="泓普",$C$2,IF($C518="仟茂",$E$2,IF($C518="现金",$G$2,0)))+SUMIFS($I$5:$I518,$C$5:$C518,$C518)-SUMIFS($J$5:$J518,$C$5:$C518,$C518))</f>
        <v/>
      </c>
      <c r="L518" s="36" t="str">
        <f aca="false">IF($B518="","",$C$2+$E$2+$G$2+SUM($I$5:$I518)-SUM($J$5:$J518))</f>
        <v/>
      </c>
      <c r="M518" s="24"/>
      <c r="N518" s="33" t="str">
        <f aca="false">IF($B518="","",IF(NOT(ISNUMBER($B518)),"日期格式不对",IF($C518="","未选资金账户",IF(AND(N($I518)=0,N($J518)=0),"收支都为空",IF(AND(N($I518)&gt;0,N($J518)&gt;0),"收支不能同时填",IF(AND($D518&lt;&gt;"",LEFT($O518,1)="⚠"),"项目编号不存在",IF(AND($M518="是",$F518=""),"工程回款必须填往来单位","√")))))))</f>
        <v/>
      </c>
      <c r="O518" s="34" t="str">
        <f aca="false">IF($D518="","",IFERROR(INDEX(项目档案!$B$6:$B$255,MATCH($D518,项目档案!$A$6:$A$255,0)),"⚠编号不存在"))</f>
        <v/>
      </c>
      <c r="P518" s="35" t="str">
        <f aca="false">IF($B518="","",TEXT($B518,"yyyy-mm"))</f>
        <v/>
      </c>
    </row>
    <row r="519" customFormat="false" ht="15.75" hidden="false" customHeight="true" outlineLevel="0" collapsed="false">
      <c r="A519" s="32" t="str">
        <f aca="false">IF($B519="","",ROW()-4)</f>
        <v/>
      </c>
      <c r="B519" s="26"/>
      <c r="C519" s="21"/>
      <c r="D519" s="24"/>
      <c r="E519" s="21"/>
      <c r="F519" s="24"/>
      <c r="G519" s="21"/>
      <c r="H519" s="22"/>
      <c r="I519" s="27"/>
      <c r="J519" s="27"/>
      <c r="K519" s="36" t="str">
        <f aca="false">IF($B519="","",IF($C519="泓普",$C$2,IF($C519="仟茂",$E$2,IF($C519="现金",$G$2,0)))+SUMIFS($I$5:$I519,$C$5:$C519,$C519)-SUMIFS($J$5:$J519,$C$5:$C519,$C519))</f>
        <v/>
      </c>
      <c r="L519" s="36" t="str">
        <f aca="false">IF($B519="","",$C$2+$E$2+$G$2+SUM($I$5:$I519)-SUM($J$5:$J519))</f>
        <v/>
      </c>
      <c r="M519" s="24"/>
      <c r="N519" s="33" t="str">
        <f aca="false">IF($B519="","",IF(NOT(ISNUMBER($B519)),"日期格式不对",IF($C519="","未选资金账户",IF(AND(N($I519)=0,N($J519)=0),"收支都为空",IF(AND(N($I519)&gt;0,N($J519)&gt;0),"收支不能同时填",IF(AND($D519&lt;&gt;"",LEFT($O519,1)="⚠"),"项目编号不存在",IF(AND($M519="是",$F519=""),"工程回款必须填往来单位","√")))))))</f>
        <v/>
      </c>
      <c r="O519" s="34" t="str">
        <f aca="false">IF($D519="","",IFERROR(INDEX(项目档案!$B$6:$B$255,MATCH($D519,项目档案!$A$6:$A$255,0)),"⚠编号不存在"))</f>
        <v/>
      </c>
      <c r="P519" s="35" t="str">
        <f aca="false">IF($B519="","",TEXT($B519,"yyyy-mm"))</f>
        <v/>
      </c>
    </row>
    <row r="520" customFormat="false" ht="15.75" hidden="false" customHeight="true" outlineLevel="0" collapsed="false">
      <c r="A520" s="32" t="str">
        <f aca="false">IF($B520="","",ROW()-4)</f>
        <v/>
      </c>
      <c r="B520" s="26"/>
      <c r="C520" s="21"/>
      <c r="D520" s="24"/>
      <c r="E520" s="21"/>
      <c r="F520" s="24"/>
      <c r="G520" s="21"/>
      <c r="H520" s="22"/>
      <c r="I520" s="27"/>
      <c r="J520" s="27"/>
      <c r="K520" s="36" t="str">
        <f aca="false">IF($B520="","",IF($C520="泓普",$C$2,IF($C520="仟茂",$E$2,IF($C520="现金",$G$2,0)))+SUMIFS($I$5:$I520,$C$5:$C520,$C520)-SUMIFS($J$5:$J520,$C$5:$C520,$C520))</f>
        <v/>
      </c>
      <c r="L520" s="36" t="str">
        <f aca="false">IF($B520="","",$C$2+$E$2+$G$2+SUM($I$5:$I520)-SUM($J$5:$J520))</f>
        <v/>
      </c>
      <c r="M520" s="24"/>
      <c r="N520" s="33" t="str">
        <f aca="false">IF($B520="","",IF(NOT(ISNUMBER($B520)),"日期格式不对",IF($C520="","未选资金账户",IF(AND(N($I520)=0,N($J520)=0),"收支都为空",IF(AND(N($I520)&gt;0,N($J520)&gt;0),"收支不能同时填",IF(AND($D520&lt;&gt;"",LEFT($O520,1)="⚠"),"项目编号不存在",IF(AND($M520="是",$F520=""),"工程回款必须填往来单位","√")))))))</f>
        <v/>
      </c>
      <c r="O520" s="34" t="str">
        <f aca="false">IF($D520="","",IFERROR(INDEX(项目档案!$B$6:$B$255,MATCH($D520,项目档案!$A$6:$A$255,0)),"⚠编号不存在"))</f>
        <v/>
      </c>
      <c r="P520" s="35" t="str">
        <f aca="false">IF($B520="","",TEXT($B520,"yyyy-mm"))</f>
        <v/>
      </c>
    </row>
    <row r="521" customFormat="false" ht="15.75" hidden="false" customHeight="true" outlineLevel="0" collapsed="false">
      <c r="A521" s="32" t="str">
        <f aca="false">IF($B521="","",ROW()-4)</f>
        <v/>
      </c>
      <c r="B521" s="26"/>
      <c r="C521" s="21"/>
      <c r="D521" s="24"/>
      <c r="E521" s="21"/>
      <c r="F521" s="24"/>
      <c r="G521" s="21"/>
      <c r="H521" s="22"/>
      <c r="I521" s="27"/>
      <c r="J521" s="27"/>
      <c r="K521" s="36" t="str">
        <f aca="false">IF($B521="","",IF($C521="泓普",$C$2,IF($C521="仟茂",$E$2,IF($C521="现金",$G$2,0)))+SUMIFS($I$5:$I521,$C$5:$C521,$C521)-SUMIFS($J$5:$J521,$C$5:$C521,$C521))</f>
        <v/>
      </c>
      <c r="L521" s="36" t="str">
        <f aca="false">IF($B521="","",$C$2+$E$2+$G$2+SUM($I$5:$I521)-SUM($J$5:$J521))</f>
        <v/>
      </c>
      <c r="M521" s="24"/>
      <c r="N521" s="33" t="str">
        <f aca="false">IF($B521="","",IF(NOT(ISNUMBER($B521)),"日期格式不对",IF($C521="","未选资金账户",IF(AND(N($I521)=0,N($J521)=0),"收支都为空",IF(AND(N($I521)&gt;0,N($J521)&gt;0),"收支不能同时填",IF(AND($D521&lt;&gt;"",LEFT($O521,1)="⚠"),"项目编号不存在",IF(AND($M521="是",$F521=""),"工程回款必须填往来单位","√")))))))</f>
        <v/>
      </c>
      <c r="O521" s="34" t="str">
        <f aca="false">IF($D521="","",IFERROR(INDEX(项目档案!$B$6:$B$255,MATCH($D521,项目档案!$A$6:$A$255,0)),"⚠编号不存在"))</f>
        <v/>
      </c>
      <c r="P521" s="35" t="str">
        <f aca="false">IF($B521="","",TEXT($B521,"yyyy-mm"))</f>
        <v/>
      </c>
    </row>
    <row r="522" customFormat="false" ht="15.75" hidden="false" customHeight="true" outlineLevel="0" collapsed="false">
      <c r="A522" s="32" t="str">
        <f aca="false">IF($B522="","",ROW()-4)</f>
        <v/>
      </c>
      <c r="B522" s="26"/>
      <c r="C522" s="21"/>
      <c r="D522" s="24"/>
      <c r="E522" s="21"/>
      <c r="F522" s="24"/>
      <c r="G522" s="21"/>
      <c r="H522" s="22"/>
      <c r="I522" s="27"/>
      <c r="J522" s="27"/>
      <c r="K522" s="36" t="str">
        <f aca="false">IF($B522="","",IF($C522="泓普",$C$2,IF($C522="仟茂",$E$2,IF($C522="现金",$G$2,0)))+SUMIFS($I$5:$I522,$C$5:$C522,$C522)-SUMIFS($J$5:$J522,$C$5:$C522,$C522))</f>
        <v/>
      </c>
      <c r="L522" s="36" t="str">
        <f aca="false">IF($B522="","",$C$2+$E$2+$G$2+SUM($I$5:$I522)-SUM($J$5:$J522))</f>
        <v/>
      </c>
      <c r="M522" s="24"/>
      <c r="N522" s="33" t="str">
        <f aca="false">IF($B522="","",IF(NOT(ISNUMBER($B522)),"日期格式不对",IF($C522="","未选资金账户",IF(AND(N($I522)=0,N($J522)=0),"收支都为空",IF(AND(N($I522)&gt;0,N($J522)&gt;0),"收支不能同时填",IF(AND($D522&lt;&gt;"",LEFT($O522,1)="⚠"),"项目编号不存在",IF(AND($M522="是",$F522=""),"工程回款必须填往来单位","√")))))))</f>
        <v/>
      </c>
      <c r="O522" s="34" t="str">
        <f aca="false">IF($D522="","",IFERROR(INDEX(项目档案!$B$6:$B$255,MATCH($D522,项目档案!$A$6:$A$255,0)),"⚠编号不存在"))</f>
        <v/>
      </c>
      <c r="P522" s="35" t="str">
        <f aca="false">IF($B522="","",TEXT($B522,"yyyy-mm"))</f>
        <v/>
      </c>
    </row>
    <row r="523" customFormat="false" ht="15.75" hidden="false" customHeight="true" outlineLevel="0" collapsed="false">
      <c r="A523" s="32" t="str">
        <f aca="false">IF($B523="","",ROW()-4)</f>
        <v/>
      </c>
      <c r="B523" s="26"/>
      <c r="C523" s="21"/>
      <c r="D523" s="24"/>
      <c r="E523" s="21"/>
      <c r="F523" s="24"/>
      <c r="G523" s="21"/>
      <c r="H523" s="22"/>
      <c r="I523" s="27"/>
      <c r="J523" s="27"/>
      <c r="K523" s="36" t="str">
        <f aca="false">IF($B523="","",IF($C523="泓普",$C$2,IF($C523="仟茂",$E$2,IF($C523="现金",$G$2,0)))+SUMIFS($I$5:$I523,$C$5:$C523,$C523)-SUMIFS($J$5:$J523,$C$5:$C523,$C523))</f>
        <v/>
      </c>
      <c r="L523" s="36" t="str">
        <f aca="false">IF($B523="","",$C$2+$E$2+$G$2+SUM($I$5:$I523)-SUM($J$5:$J523))</f>
        <v/>
      </c>
      <c r="M523" s="24"/>
      <c r="N523" s="33" t="str">
        <f aca="false">IF($B523="","",IF(NOT(ISNUMBER($B523)),"日期格式不对",IF($C523="","未选资金账户",IF(AND(N($I523)=0,N($J523)=0),"收支都为空",IF(AND(N($I523)&gt;0,N($J523)&gt;0),"收支不能同时填",IF(AND($D523&lt;&gt;"",LEFT($O523,1)="⚠"),"项目编号不存在",IF(AND($M523="是",$F523=""),"工程回款必须填往来单位","√")))))))</f>
        <v/>
      </c>
      <c r="O523" s="34" t="str">
        <f aca="false">IF($D523="","",IFERROR(INDEX(项目档案!$B$6:$B$255,MATCH($D523,项目档案!$A$6:$A$255,0)),"⚠编号不存在"))</f>
        <v/>
      </c>
      <c r="P523" s="35" t="str">
        <f aca="false">IF($B523="","",TEXT($B523,"yyyy-mm"))</f>
        <v/>
      </c>
    </row>
    <row r="524" customFormat="false" ht="15.75" hidden="false" customHeight="true" outlineLevel="0" collapsed="false">
      <c r="A524" s="32" t="str">
        <f aca="false">IF($B524="","",ROW()-4)</f>
        <v/>
      </c>
      <c r="B524" s="26"/>
      <c r="C524" s="21"/>
      <c r="D524" s="24"/>
      <c r="E524" s="21"/>
      <c r="F524" s="24"/>
      <c r="G524" s="21"/>
      <c r="H524" s="22"/>
      <c r="I524" s="27"/>
      <c r="J524" s="27"/>
      <c r="K524" s="36" t="str">
        <f aca="false">IF($B524="","",IF($C524="泓普",$C$2,IF($C524="仟茂",$E$2,IF($C524="现金",$G$2,0)))+SUMIFS($I$5:$I524,$C$5:$C524,$C524)-SUMIFS($J$5:$J524,$C$5:$C524,$C524))</f>
        <v/>
      </c>
      <c r="L524" s="36" t="str">
        <f aca="false">IF($B524="","",$C$2+$E$2+$G$2+SUM($I$5:$I524)-SUM($J$5:$J524))</f>
        <v/>
      </c>
      <c r="M524" s="24"/>
      <c r="N524" s="33" t="str">
        <f aca="false">IF($B524="","",IF(NOT(ISNUMBER($B524)),"日期格式不对",IF($C524="","未选资金账户",IF(AND(N($I524)=0,N($J524)=0),"收支都为空",IF(AND(N($I524)&gt;0,N($J524)&gt;0),"收支不能同时填",IF(AND($D524&lt;&gt;"",LEFT($O524,1)="⚠"),"项目编号不存在",IF(AND($M524="是",$F524=""),"工程回款必须填往来单位","√")))))))</f>
        <v/>
      </c>
      <c r="O524" s="34" t="str">
        <f aca="false">IF($D524="","",IFERROR(INDEX(项目档案!$B$6:$B$255,MATCH($D524,项目档案!$A$6:$A$255,0)),"⚠编号不存在"))</f>
        <v/>
      </c>
      <c r="P524" s="35" t="str">
        <f aca="false">IF($B524="","",TEXT($B524,"yyyy-mm"))</f>
        <v/>
      </c>
    </row>
    <row r="525" customFormat="false" ht="15.75" hidden="false" customHeight="true" outlineLevel="0" collapsed="false">
      <c r="A525" s="32" t="str">
        <f aca="false">IF($B525="","",ROW()-4)</f>
        <v/>
      </c>
      <c r="B525" s="26"/>
      <c r="C525" s="21"/>
      <c r="D525" s="24"/>
      <c r="E525" s="21"/>
      <c r="F525" s="24"/>
      <c r="G525" s="21"/>
      <c r="H525" s="22"/>
      <c r="I525" s="27"/>
      <c r="J525" s="27"/>
      <c r="K525" s="36" t="str">
        <f aca="false">IF($B525="","",IF($C525="泓普",$C$2,IF($C525="仟茂",$E$2,IF($C525="现金",$G$2,0)))+SUMIFS($I$5:$I525,$C$5:$C525,$C525)-SUMIFS($J$5:$J525,$C$5:$C525,$C525))</f>
        <v/>
      </c>
      <c r="L525" s="36" t="str">
        <f aca="false">IF($B525="","",$C$2+$E$2+$G$2+SUM($I$5:$I525)-SUM($J$5:$J525))</f>
        <v/>
      </c>
      <c r="M525" s="24"/>
      <c r="N525" s="33" t="str">
        <f aca="false">IF($B525="","",IF(NOT(ISNUMBER($B525)),"日期格式不对",IF($C525="","未选资金账户",IF(AND(N($I525)=0,N($J525)=0),"收支都为空",IF(AND(N($I525)&gt;0,N($J525)&gt;0),"收支不能同时填",IF(AND($D525&lt;&gt;"",LEFT($O525,1)="⚠"),"项目编号不存在",IF(AND($M525="是",$F525=""),"工程回款必须填往来单位","√")))))))</f>
        <v/>
      </c>
      <c r="O525" s="34" t="str">
        <f aca="false">IF($D525="","",IFERROR(INDEX(项目档案!$B$6:$B$255,MATCH($D525,项目档案!$A$6:$A$255,0)),"⚠编号不存在"))</f>
        <v/>
      </c>
      <c r="P525" s="35" t="str">
        <f aca="false">IF($B525="","",TEXT($B525,"yyyy-mm"))</f>
        <v/>
      </c>
    </row>
    <row r="526" customFormat="false" ht="15.75" hidden="false" customHeight="true" outlineLevel="0" collapsed="false">
      <c r="A526" s="32" t="str">
        <f aca="false">IF($B526="","",ROW()-4)</f>
        <v/>
      </c>
      <c r="B526" s="26"/>
      <c r="C526" s="21"/>
      <c r="D526" s="24"/>
      <c r="E526" s="21"/>
      <c r="F526" s="24"/>
      <c r="G526" s="21"/>
      <c r="H526" s="22"/>
      <c r="I526" s="27"/>
      <c r="J526" s="27"/>
      <c r="K526" s="36" t="str">
        <f aca="false">IF($B526="","",IF($C526="泓普",$C$2,IF($C526="仟茂",$E$2,IF($C526="现金",$G$2,0)))+SUMIFS($I$5:$I526,$C$5:$C526,$C526)-SUMIFS($J$5:$J526,$C$5:$C526,$C526))</f>
        <v/>
      </c>
      <c r="L526" s="36" t="str">
        <f aca="false">IF($B526="","",$C$2+$E$2+$G$2+SUM($I$5:$I526)-SUM($J$5:$J526))</f>
        <v/>
      </c>
      <c r="M526" s="24"/>
      <c r="N526" s="33" t="str">
        <f aca="false">IF($B526="","",IF(NOT(ISNUMBER($B526)),"日期格式不对",IF($C526="","未选资金账户",IF(AND(N($I526)=0,N($J526)=0),"收支都为空",IF(AND(N($I526)&gt;0,N($J526)&gt;0),"收支不能同时填",IF(AND($D526&lt;&gt;"",LEFT($O526,1)="⚠"),"项目编号不存在",IF(AND($M526="是",$F526=""),"工程回款必须填往来单位","√")))))))</f>
        <v/>
      </c>
      <c r="O526" s="34" t="str">
        <f aca="false">IF($D526="","",IFERROR(INDEX(项目档案!$B$6:$B$255,MATCH($D526,项目档案!$A$6:$A$255,0)),"⚠编号不存在"))</f>
        <v/>
      </c>
      <c r="P526" s="35" t="str">
        <f aca="false">IF($B526="","",TEXT($B526,"yyyy-mm"))</f>
        <v/>
      </c>
    </row>
    <row r="527" customFormat="false" ht="15.75" hidden="false" customHeight="true" outlineLevel="0" collapsed="false">
      <c r="A527" s="32" t="str">
        <f aca="false">IF($B527="","",ROW()-4)</f>
        <v/>
      </c>
      <c r="B527" s="26"/>
      <c r="C527" s="21"/>
      <c r="D527" s="24"/>
      <c r="E527" s="21"/>
      <c r="F527" s="24"/>
      <c r="G527" s="21"/>
      <c r="H527" s="22"/>
      <c r="I527" s="27"/>
      <c r="J527" s="27"/>
      <c r="K527" s="36" t="str">
        <f aca="false">IF($B527="","",IF($C527="泓普",$C$2,IF($C527="仟茂",$E$2,IF($C527="现金",$G$2,0)))+SUMIFS($I$5:$I527,$C$5:$C527,$C527)-SUMIFS($J$5:$J527,$C$5:$C527,$C527))</f>
        <v/>
      </c>
      <c r="L527" s="36" t="str">
        <f aca="false">IF($B527="","",$C$2+$E$2+$G$2+SUM($I$5:$I527)-SUM($J$5:$J527))</f>
        <v/>
      </c>
      <c r="M527" s="24"/>
      <c r="N527" s="33" t="str">
        <f aca="false">IF($B527="","",IF(NOT(ISNUMBER($B527)),"日期格式不对",IF($C527="","未选资金账户",IF(AND(N($I527)=0,N($J527)=0),"收支都为空",IF(AND(N($I527)&gt;0,N($J527)&gt;0),"收支不能同时填",IF(AND($D527&lt;&gt;"",LEFT($O527,1)="⚠"),"项目编号不存在",IF(AND($M527="是",$F527=""),"工程回款必须填往来单位","√")))))))</f>
        <v/>
      </c>
      <c r="O527" s="34" t="str">
        <f aca="false">IF($D527="","",IFERROR(INDEX(项目档案!$B$6:$B$255,MATCH($D527,项目档案!$A$6:$A$255,0)),"⚠编号不存在"))</f>
        <v/>
      </c>
      <c r="P527" s="35" t="str">
        <f aca="false">IF($B527="","",TEXT($B527,"yyyy-mm"))</f>
        <v/>
      </c>
    </row>
    <row r="528" customFormat="false" ht="15.75" hidden="false" customHeight="true" outlineLevel="0" collapsed="false">
      <c r="A528" s="32" t="str">
        <f aca="false">IF($B528="","",ROW()-4)</f>
        <v/>
      </c>
      <c r="B528" s="26"/>
      <c r="C528" s="21"/>
      <c r="D528" s="24"/>
      <c r="E528" s="21"/>
      <c r="F528" s="24"/>
      <c r="G528" s="21"/>
      <c r="H528" s="22"/>
      <c r="I528" s="27"/>
      <c r="J528" s="27"/>
      <c r="K528" s="36" t="str">
        <f aca="false">IF($B528="","",IF($C528="泓普",$C$2,IF($C528="仟茂",$E$2,IF($C528="现金",$G$2,0)))+SUMIFS($I$5:$I528,$C$5:$C528,$C528)-SUMIFS($J$5:$J528,$C$5:$C528,$C528))</f>
        <v/>
      </c>
      <c r="L528" s="36" t="str">
        <f aca="false">IF($B528="","",$C$2+$E$2+$G$2+SUM($I$5:$I528)-SUM($J$5:$J528))</f>
        <v/>
      </c>
      <c r="M528" s="24"/>
      <c r="N528" s="33" t="str">
        <f aca="false">IF($B528="","",IF(NOT(ISNUMBER($B528)),"日期格式不对",IF($C528="","未选资金账户",IF(AND(N($I528)=0,N($J528)=0),"收支都为空",IF(AND(N($I528)&gt;0,N($J528)&gt;0),"收支不能同时填",IF(AND($D528&lt;&gt;"",LEFT($O528,1)="⚠"),"项目编号不存在",IF(AND($M528="是",$F528=""),"工程回款必须填往来单位","√")))))))</f>
        <v/>
      </c>
      <c r="O528" s="34" t="str">
        <f aca="false">IF($D528="","",IFERROR(INDEX(项目档案!$B$6:$B$255,MATCH($D528,项目档案!$A$6:$A$255,0)),"⚠编号不存在"))</f>
        <v/>
      </c>
      <c r="P528" s="35" t="str">
        <f aca="false">IF($B528="","",TEXT($B528,"yyyy-mm"))</f>
        <v/>
      </c>
    </row>
    <row r="529" customFormat="false" ht="15.75" hidden="false" customHeight="true" outlineLevel="0" collapsed="false">
      <c r="A529" s="32" t="str">
        <f aca="false">IF($B529="","",ROW()-4)</f>
        <v/>
      </c>
      <c r="B529" s="26"/>
      <c r="C529" s="21"/>
      <c r="D529" s="24"/>
      <c r="E529" s="21"/>
      <c r="F529" s="24"/>
      <c r="G529" s="21"/>
      <c r="H529" s="22"/>
      <c r="I529" s="27"/>
      <c r="J529" s="27"/>
      <c r="K529" s="36" t="str">
        <f aca="false">IF($B529="","",IF($C529="泓普",$C$2,IF($C529="仟茂",$E$2,IF($C529="现金",$G$2,0)))+SUMIFS($I$5:$I529,$C$5:$C529,$C529)-SUMIFS($J$5:$J529,$C$5:$C529,$C529))</f>
        <v/>
      </c>
      <c r="L529" s="36" t="str">
        <f aca="false">IF($B529="","",$C$2+$E$2+$G$2+SUM($I$5:$I529)-SUM($J$5:$J529))</f>
        <v/>
      </c>
      <c r="M529" s="24"/>
      <c r="N529" s="33" t="str">
        <f aca="false">IF($B529="","",IF(NOT(ISNUMBER($B529)),"日期格式不对",IF($C529="","未选资金账户",IF(AND(N($I529)=0,N($J529)=0),"收支都为空",IF(AND(N($I529)&gt;0,N($J529)&gt;0),"收支不能同时填",IF(AND($D529&lt;&gt;"",LEFT($O529,1)="⚠"),"项目编号不存在",IF(AND($M529="是",$F529=""),"工程回款必须填往来单位","√")))))))</f>
        <v/>
      </c>
      <c r="O529" s="34" t="str">
        <f aca="false">IF($D529="","",IFERROR(INDEX(项目档案!$B$6:$B$255,MATCH($D529,项目档案!$A$6:$A$255,0)),"⚠编号不存在"))</f>
        <v/>
      </c>
      <c r="P529" s="35" t="str">
        <f aca="false">IF($B529="","",TEXT($B529,"yyyy-mm"))</f>
        <v/>
      </c>
    </row>
    <row r="530" customFormat="false" ht="15.75" hidden="false" customHeight="true" outlineLevel="0" collapsed="false">
      <c r="A530" s="32" t="str">
        <f aca="false">IF($B530="","",ROW()-4)</f>
        <v/>
      </c>
      <c r="B530" s="26"/>
      <c r="C530" s="21"/>
      <c r="D530" s="24"/>
      <c r="E530" s="21"/>
      <c r="F530" s="24"/>
      <c r="G530" s="21"/>
      <c r="H530" s="22"/>
      <c r="I530" s="27"/>
      <c r="J530" s="27"/>
      <c r="K530" s="36" t="str">
        <f aca="false">IF($B530="","",IF($C530="泓普",$C$2,IF($C530="仟茂",$E$2,IF($C530="现金",$G$2,0)))+SUMIFS($I$5:$I530,$C$5:$C530,$C530)-SUMIFS($J$5:$J530,$C$5:$C530,$C530))</f>
        <v/>
      </c>
      <c r="L530" s="36" t="str">
        <f aca="false">IF($B530="","",$C$2+$E$2+$G$2+SUM($I$5:$I530)-SUM($J$5:$J530))</f>
        <v/>
      </c>
      <c r="M530" s="24"/>
      <c r="N530" s="33" t="str">
        <f aca="false">IF($B530="","",IF(NOT(ISNUMBER($B530)),"日期格式不对",IF($C530="","未选资金账户",IF(AND(N($I530)=0,N($J530)=0),"收支都为空",IF(AND(N($I530)&gt;0,N($J530)&gt;0),"收支不能同时填",IF(AND($D530&lt;&gt;"",LEFT($O530,1)="⚠"),"项目编号不存在",IF(AND($M530="是",$F530=""),"工程回款必须填往来单位","√")))))))</f>
        <v/>
      </c>
      <c r="O530" s="34" t="str">
        <f aca="false">IF($D530="","",IFERROR(INDEX(项目档案!$B$6:$B$255,MATCH($D530,项目档案!$A$6:$A$255,0)),"⚠编号不存在"))</f>
        <v/>
      </c>
      <c r="P530" s="35" t="str">
        <f aca="false">IF($B530="","",TEXT($B530,"yyyy-mm"))</f>
        <v/>
      </c>
    </row>
    <row r="531" customFormat="false" ht="15.75" hidden="false" customHeight="true" outlineLevel="0" collapsed="false">
      <c r="A531" s="32" t="str">
        <f aca="false">IF($B531="","",ROW()-4)</f>
        <v/>
      </c>
      <c r="B531" s="26"/>
      <c r="C531" s="21"/>
      <c r="D531" s="24"/>
      <c r="E531" s="21"/>
      <c r="F531" s="24"/>
      <c r="G531" s="21"/>
      <c r="H531" s="22"/>
      <c r="I531" s="27"/>
      <c r="J531" s="27"/>
      <c r="K531" s="36" t="str">
        <f aca="false">IF($B531="","",IF($C531="泓普",$C$2,IF($C531="仟茂",$E$2,IF($C531="现金",$G$2,0)))+SUMIFS($I$5:$I531,$C$5:$C531,$C531)-SUMIFS($J$5:$J531,$C$5:$C531,$C531))</f>
        <v/>
      </c>
      <c r="L531" s="36" t="str">
        <f aca="false">IF($B531="","",$C$2+$E$2+$G$2+SUM($I$5:$I531)-SUM($J$5:$J531))</f>
        <v/>
      </c>
      <c r="M531" s="24"/>
      <c r="N531" s="33" t="str">
        <f aca="false">IF($B531="","",IF(NOT(ISNUMBER($B531)),"日期格式不对",IF($C531="","未选资金账户",IF(AND(N($I531)=0,N($J531)=0),"收支都为空",IF(AND(N($I531)&gt;0,N($J531)&gt;0),"收支不能同时填",IF(AND($D531&lt;&gt;"",LEFT($O531,1)="⚠"),"项目编号不存在",IF(AND($M531="是",$F531=""),"工程回款必须填往来单位","√")))))))</f>
        <v/>
      </c>
      <c r="O531" s="34" t="str">
        <f aca="false">IF($D531="","",IFERROR(INDEX(项目档案!$B$6:$B$255,MATCH($D531,项目档案!$A$6:$A$255,0)),"⚠编号不存在"))</f>
        <v/>
      </c>
      <c r="P531" s="35" t="str">
        <f aca="false">IF($B531="","",TEXT($B531,"yyyy-mm"))</f>
        <v/>
      </c>
    </row>
    <row r="532" customFormat="false" ht="15.75" hidden="false" customHeight="true" outlineLevel="0" collapsed="false">
      <c r="A532" s="32" t="str">
        <f aca="false">IF($B532="","",ROW()-4)</f>
        <v/>
      </c>
      <c r="B532" s="26"/>
      <c r="C532" s="21"/>
      <c r="D532" s="24"/>
      <c r="E532" s="21"/>
      <c r="F532" s="24"/>
      <c r="G532" s="21"/>
      <c r="H532" s="22"/>
      <c r="I532" s="27"/>
      <c r="J532" s="27"/>
      <c r="K532" s="36" t="str">
        <f aca="false">IF($B532="","",IF($C532="泓普",$C$2,IF($C532="仟茂",$E$2,IF($C532="现金",$G$2,0)))+SUMIFS($I$5:$I532,$C$5:$C532,$C532)-SUMIFS($J$5:$J532,$C$5:$C532,$C532))</f>
        <v/>
      </c>
      <c r="L532" s="36" t="str">
        <f aca="false">IF($B532="","",$C$2+$E$2+$G$2+SUM($I$5:$I532)-SUM($J$5:$J532))</f>
        <v/>
      </c>
      <c r="M532" s="24"/>
      <c r="N532" s="33" t="str">
        <f aca="false">IF($B532="","",IF(NOT(ISNUMBER($B532)),"日期格式不对",IF($C532="","未选资金账户",IF(AND(N($I532)=0,N($J532)=0),"收支都为空",IF(AND(N($I532)&gt;0,N($J532)&gt;0),"收支不能同时填",IF(AND($D532&lt;&gt;"",LEFT($O532,1)="⚠"),"项目编号不存在",IF(AND($M532="是",$F532=""),"工程回款必须填往来单位","√")))))))</f>
        <v/>
      </c>
      <c r="O532" s="34" t="str">
        <f aca="false">IF($D532="","",IFERROR(INDEX(项目档案!$B$6:$B$255,MATCH($D532,项目档案!$A$6:$A$255,0)),"⚠编号不存在"))</f>
        <v/>
      </c>
      <c r="P532" s="35" t="str">
        <f aca="false">IF($B532="","",TEXT($B532,"yyyy-mm"))</f>
        <v/>
      </c>
    </row>
    <row r="533" customFormat="false" ht="15.75" hidden="false" customHeight="true" outlineLevel="0" collapsed="false">
      <c r="A533" s="32" t="str">
        <f aca="false">IF($B533="","",ROW()-4)</f>
        <v/>
      </c>
      <c r="B533" s="26"/>
      <c r="C533" s="21"/>
      <c r="D533" s="24"/>
      <c r="E533" s="21"/>
      <c r="F533" s="24"/>
      <c r="G533" s="21"/>
      <c r="H533" s="22"/>
      <c r="I533" s="27"/>
      <c r="J533" s="27"/>
      <c r="K533" s="36" t="str">
        <f aca="false">IF($B533="","",IF($C533="泓普",$C$2,IF($C533="仟茂",$E$2,IF($C533="现金",$G$2,0)))+SUMIFS($I$5:$I533,$C$5:$C533,$C533)-SUMIFS($J$5:$J533,$C$5:$C533,$C533))</f>
        <v/>
      </c>
      <c r="L533" s="36" t="str">
        <f aca="false">IF($B533="","",$C$2+$E$2+$G$2+SUM($I$5:$I533)-SUM($J$5:$J533))</f>
        <v/>
      </c>
      <c r="M533" s="24"/>
      <c r="N533" s="33" t="str">
        <f aca="false">IF($B533="","",IF(NOT(ISNUMBER($B533)),"日期格式不对",IF($C533="","未选资金账户",IF(AND(N($I533)=0,N($J533)=0),"收支都为空",IF(AND(N($I533)&gt;0,N($J533)&gt;0),"收支不能同时填",IF(AND($D533&lt;&gt;"",LEFT($O533,1)="⚠"),"项目编号不存在",IF(AND($M533="是",$F533=""),"工程回款必须填往来单位","√")))))))</f>
        <v/>
      </c>
      <c r="O533" s="34" t="str">
        <f aca="false">IF($D533="","",IFERROR(INDEX(项目档案!$B$6:$B$255,MATCH($D533,项目档案!$A$6:$A$255,0)),"⚠编号不存在"))</f>
        <v/>
      </c>
      <c r="P533" s="35" t="str">
        <f aca="false">IF($B533="","",TEXT($B533,"yyyy-mm"))</f>
        <v/>
      </c>
    </row>
    <row r="534" customFormat="false" ht="15.75" hidden="false" customHeight="true" outlineLevel="0" collapsed="false">
      <c r="A534" s="32" t="str">
        <f aca="false">IF($B534="","",ROW()-4)</f>
        <v/>
      </c>
      <c r="B534" s="26"/>
      <c r="C534" s="21"/>
      <c r="D534" s="24"/>
      <c r="E534" s="21"/>
      <c r="F534" s="24"/>
      <c r="G534" s="21"/>
      <c r="H534" s="22"/>
      <c r="I534" s="27"/>
      <c r="J534" s="27"/>
      <c r="K534" s="36" t="str">
        <f aca="false">IF($B534="","",IF($C534="泓普",$C$2,IF($C534="仟茂",$E$2,IF($C534="现金",$G$2,0)))+SUMIFS($I$5:$I534,$C$5:$C534,$C534)-SUMIFS($J$5:$J534,$C$5:$C534,$C534))</f>
        <v/>
      </c>
      <c r="L534" s="36" t="str">
        <f aca="false">IF($B534="","",$C$2+$E$2+$G$2+SUM($I$5:$I534)-SUM($J$5:$J534))</f>
        <v/>
      </c>
      <c r="M534" s="24"/>
      <c r="N534" s="33" t="str">
        <f aca="false">IF($B534="","",IF(NOT(ISNUMBER($B534)),"日期格式不对",IF($C534="","未选资金账户",IF(AND(N($I534)=0,N($J534)=0),"收支都为空",IF(AND(N($I534)&gt;0,N($J534)&gt;0),"收支不能同时填",IF(AND($D534&lt;&gt;"",LEFT($O534,1)="⚠"),"项目编号不存在",IF(AND($M534="是",$F534=""),"工程回款必须填往来单位","√")))))))</f>
        <v/>
      </c>
      <c r="O534" s="34" t="str">
        <f aca="false">IF($D534="","",IFERROR(INDEX(项目档案!$B$6:$B$255,MATCH($D534,项目档案!$A$6:$A$255,0)),"⚠编号不存在"))</f>
        <v/>
      </c>
      <c r="P534" s="35" t="str">
        <f aca="false">IF($B534="","",TEXT($B534,"yyyy-mm"))</f>
        <v/>
      </c>
    </row>
    <row r="535" customFormat="false" ht="15.75" hidden="false" customHeight="true" outlineLevel="0" collapsed="false">
      <c r="A535" s="32" t="str">
        <f aca="false">IF($B535="","",ROW()-4)</f>
        <v/>
      </c>
      <c r="B535" s="26"/>
      <c r="C535" s="21"/>
      <c r="D535" s="24"/>
      <c r="E535" s="21"/>
      <c r="F535" s="24"/>
      <c r="G535" s="21"/>
      <c r="H535" s="22"/>
      <c r="I535" s="27"/>
      <c r="J535" s="27"/>
      <c r="K535" s="36" t="str">
        <f aca="false">IF($B535="","",IF($C535="泓普",$C$2,IF($C535="仟茂",$E$2,IF($C535="现金",$G$2,0)))+SUMIFS($I$5:$I535,$C$5:$C535,$C535)-SUMIFS($J$5:$J535,$C$5:$C535,$C535))</f>
        <v/>
      </c>
      <c r="L535" s="36" t="str">
        <f aca="false">IF($B535="","",$C$2+$E$2+$G$2+SUM($I$5:$I535)-SUM($J$5:$J535))</f>
        <v/>
      </c>
      <c r="M535" s="24"/>
      <c r="N535" s="33" t="str">
        <f aca="false">IF($B535="","",IF(NOT(ISNUMBER($B535)),"日期格式不对",IF($C535="","未选资金账户",IF(AND(N($I535)=0,N($J535)=0),"收支都为空",IF(AND(N($I535)&gt;0,N($J535)&gt;0),"收支不能同时填",IF(AND($D535&lt;&gt;"",LEFT($O535,1)="⚠"),"项目编号不存在",IF(AND($M535="是",$F535=""),"工程回款必须填往来单位","√")))))))</f>
        <v/>
      </c>
      <c r="O535" s="34" t="str">
        <f aca="false">IF($D535="","",IFERROR(INDEX(项目档案!$B$6:$B$255,MATCH($D535,项目档案!$A$6:$A$255,0)),"⚠编号不存在"))</f>
        <v/>
      </c>
      <c r="P535" s="35" t="str">
        <f aca="false">IF($B535="","",TEXT($B535,"yyyy-mm"))</f>
        <v/>
      </c>
    </row>
    <row r="536" customFormat="false" ht="15.75" hidden="false" customHeight="true" outlineLevel="0" collapsed="false">
      <c r="A536" s="32" t="str">
        <f aca="false">IF($B536="","",ROW()-4)</f>
        <v/>
      </c>
      <c r="B536" s="26"/>
      <c r="C536" s="21"/>
      <c r="D536" s="24"/>
      <c r="E536" s="21"/>
      <c r="F536" s="24"/>
      <c r="G536" s="21"/>
      <c r="H536" s="22"/>
      <c r="I536" s="27"/>
      <c r="J536" s="27"/>
      <c r="K536" s="36" t="str">
        <f aca="false">IF($B536="","",IF($C536="泓普",$C$2,IF($C536="仟茂",$E$2,IF($C536="现金",$G$2,0)))+SUMIFS($I$5:$I536,$C$5:$C536,$C536)-SUMIFS($J$5:$J536,$C$5:$C536,$C536))</f>
        <v/>
      </c>
      <c r="L536" s="36" t="str">
        <f aca="false">IF($B536="","",$C$2+$E$2+$G$2+SUM($I$5:$I536)-SUM($J$5:$J536))</f>
        <v/>
      </c>
      <c r="M536" s="24"/>
      <c r="N536" s="33" t="str">
        <f aca="false">IF($B536="","",IF(NOT(ISNUMBER($B536)),"日期格式不对",IF($C536="","未选资金账户",IF(AND(N($I536)=0,N($J536)=0),"收支都为空",IF(AND(N($I536)&gt;0,N($J536)&gt;0),"收支不能同时填",IF(AND($D536&lt;&gt;"",LEFT($O536,1)="⚠"),"项目编号不存在",IF(AND($M536="是",$F536=""),"工程回款必须填往来单位","√")))))))</f>
        <v/>
      </c>
      <c r="O536" s="34" t="str">
        <f aca="false">IF($D536="","",IFERROR(INDEX(项目档案!$B$6:$B$255,MATCH($D536,项目档案!$A$6:$A$255,0)),"⚠编号不存在"))</f>
        <v/>
      </c>
      <c r="P536" s="35" t="str">
        <f aca="false">IF($B536="","",TEXT($B536,"yyyy-mm"))</f>
        <v/>
      </c>
    </row>
    <row r="537" customFormat="false" ht="15.75" hidden="false" customHeight="true" outlineLevel="0" collapsed="false">
      <c r="A537" s="32" t="str">
        <f aca="false">IF($B537="","",ROW()-4)</f>
        <v/>
      </c>
      <c r="B537" s="26"/>
      <c r="C537" s="21"/>
      <c r="D537" s="24"/>
      <c r="E537" s="21"/>
      <c r="F537" s="24"/>
      <c r="G537" s="21"/>
      <c r="H537" s="22"/>
      <c r="I537" s="27"/>
      <c r="J537" s="27"/>
      <c r="K537" s="36" t="str">
        <f aca="false">IF($B537="","",IF($C537="泓普",$C$2,IF($C537="仟茂",$E$2,IF($C537="现金",$G$2,0)))+SUMIFS($I$5:$I537,$C$5:$C537,$C537)-SUMIFS($J$5:$J537,$C$5:$C537,$C537))</f>
        <v/>
      </c>
      <c r="L537" s="36" t="str">
        <f aca="false">IF($B537="","",$C$2+$E$2+$G$2+SUM($I$5:$I537)-SUM($J$5:$J537))</f>
        <v/>
      </c>
      <c r="M537" s="24"/>
      <c r="N537" s="33" t="str">
        <f aca="false">IF($B537="","",IF(NOT(ISNUMBER($B537)),"日期格式不对",IF($C537="","未选资金账户",IF(AND(N($I537)=0,N($J537)=0),"收支都为空",IF(AND(N($I537)&gt;0,N($J537)&gt;0),"收支不能同时填",IF(AND($D537&lt;&gt;"",LEFT($O537,1)="⚠"),"项目编号不存在",IF(AND($M537="是",$F537=""),"工程回款必须填往来单位","√")))))))</f>
        <v/>
      </c>
      <c r="O537" s="34" t="str">
        <f aca="false">IF($D537="","",IFERROR(INDEX(项目档案!$B$6:$B$255,MATCH($D537,项目档案!$A$6:$A$255,0)),"⚠编号不存在"))</f>
        <v/>
      </c>
      <c r="P537" s="35" t="str">
        <f aca="false">IF($B537="","",TEXT($B537,"yyyy-mm"))</f>
        <v/>
      </c>
    </row>
    <row r="538" customFormat="false" ht="15.75" hidden="false" customHeight="true" outlineLevel="0" collapsed="false">
      <c r="A538" s="32" t="str">
        <f aca="false">IF($B538="","",ROW()-4)</f>
        <v/>
      </c>
      <c r="B538" s="26"/>
      <c r="C538" s="21"/>
      <c r="D538" s="24"/>
      <c r="E538" s="21"/>
      <c r="F538" s="24"/>
      <c r="G538" s="21"/>
      <c r="H538" s="22"/>
      <c r="I538" s="27"/>
      <c r="J538" s="27"/>
      <c r="K538" s="36" t="str">
        <f aca="false">IF($B538="","",IF($C538="泓普",$C$2,IF($C538="仟茂",$E$2,IF($C538="现金",$G$2,0)))+SUMIFS($I$5:$I538,$C$5:$C538,$C538)-SUMIFS($J$5:$J538,$C$5:$C538,$C538))</f>
        <v/>
      </c>
      <c r="L538" s="36" t="str">
        <f aca="false">IF($B538="","",$C$2+$E$2+$G$2+SUM($I$5:$I538)-SUM($J$5:$J538))</f>
        <v/>
      </c>
      <c r="M538" s="24"/>
      <c r="N538" s="33" t="str">
        <f aca="false">IF($B538="","",IF(NOT(ISNUMBER($B538)),"日期格式不对",IF($C538="","未选资金账户",IF(AND(N($I538)=0,N($J538)=0),"收支都为空",IF(AND(N($I538)&gt;0,N($J538)&gt;0),"收支不能同时填",IF(AND($D538&lt;&gt;"",LEFT($O538,1)="⚠"),"项目编号不存在",IF(AND($M538="是",$F538=""),"工程回款必须填往来单位","√")))))))</f>
        <v/>
      </c>
      <c r="O538" s="34" t="str">
        <f aca="false">IF($D538="","",IFERROR(INDEX(项目档案!$B$6:$B$255,MATCH($D538,项目档案!$A$6:$A$255,0)),"⚠编号不存在"))</f>
        <v/>
      </c>
      <c r="P538" s="35" t="str">
        <f aca="false">IF($B538="","",TEXT($B538,"yyyy-mm"))</f>
        <v/>
      </c>
    </row>
    <row r="539" customFormat="false" ht="15.75" hidden="false" customHeight="true" outlineLevel="0" collapsed="false">
      <c r="A539" s="32" t="str">
        <f aca="false">IF($B539="","",ROW()-4)</f>
        <v/>
      </c>
      <c r="B539" s="26"/>
      <c r="C539" s="21"/>
      <c r="D539" s="24"/>
      <c r="E539" s="21"/>
      <c r="F539" s="24"/>
      <c r="G539" s="21"/>
      <c r="H539" s="22"/>
      <c r="I539" s="27"/>
      <c r="J539" s="27"/>
      <c r="K539" s="36" t="str">
        <f aca="false">IF($B539="","",IF($C539="泓普",$C$2,IF($C539="仟茂",$E$2,IF($C539="现金",$G$2,0)))+SUMIFS($I$5:$I539,$C$5:$C539,$C539)-SUMIFS($J$5:$J539,$C$5:$C539,$C539))</f>
        <v/>
      </c>
      <c r="L539" s="36" t="str">
        <f aca="false">IF($B539="","",$C$2+$E$2+$G$2+SUM($I$5:$I539)-SUM($J$5:$J539))</f>
        <v/>
      </c>
      <c r="M539" s="24"/>
      <c r="N539" s="33" t="str">
        <f aca="false">IF($B539="","",IF(NOT(ISNUMBER($B539)),"日期格式不对",IF($C539="","未选资金账户",IF(AND(N($I539)=0,N($J539)=0),"收支都为空",IF(AND(N($I539)&gt;0,N($J539)&gt;0),"收支不能同时填",IF(AND($D539&lt;&gt;"",LEFT($O539,1)="⚠"),"项目编号不存在",IF(AND($M539="是",$F539=""),"工程回款必须填往来单位","√")))))))</f>
        <v/>
      </c>
      <c r="O539" s="34" t="str">
        <f aca="false">IF($D539="","",IFERROR(INDEX(项目档案!$B$6:$B$255,MATCH($D539,项目档案!$A$6:$A$255,0)),"⚠编号不存在"))</f>
        <v/>
      </c>
      <c r="P539" s="35" t="str">
        <f aca="false">IF($B539="","",TEXT($B539,"yyyy-mm"))</f>
        <v/>
      </c>
    </row>
    <row r="540" customFormat="false" ht="15.75" hidden="false" customHeight="true" outlineLevel="0" collapsed="false">
      <c r="A540" s="32" t="str">
        <f aca="false">IF($B540="","",ROW()-4)</f>
        <v/>
      </c>
      <c r="B540" s="26"/>
      <c r="C540" s="21"/>
      <c r="D540" s="24"/>
      <c r="E540" s="21"/>
      <c r="F540" s="24"/>
      <c r="G540" s="21"/>
      <c r="H540" s="22"/>
      <c r="I540" s="27"/>
      <c r="J540" s="27"/>
      <c r="K540" s="36" t="str">
        <f aca="false">IF($B540="","",IF($C540="泓普",$C$2,IF($C540="仟茂",$E$2,IF($C540="现金",$G$2,0)))+SUMIFS($I$5:$I540,$C$5:$C540,$C540)-SUMIFS($J$5:$J540,$C$5:$C540,$C540))</f>
        <v/>
      </c>
      <c r="L540" s="36" t="str">
        <f aca="false">IF($B540="","",$C$2+$E$2+$G$2+SUM($I$5:$I540)-SUM($J$5:$J540))</f>
        <v/>
      </c>
      <c r="M540" s="24"/>
      <c r="N540" s="33" t="str">
        <f aca="false">IF($B540="","",IF(NOT(ISNUMBER($B540)),"日期格式不对",IF($C540="","未选资金账户",IF(AND(N($I540)=0,N($J540)=0),"收支都为空",IF(AND(N($I540)&gt;0,N($J540)&gt;0),"收支不能同时填",IF(AND($D540&lt;&gt;"",LEFT($O540,1)="⚠"),"项目编号不存在",IF(AND($M540="是",$F540=""),"工程回款必须填往来单位","√")))))))</f>
        <v/>
      </c>
      <c r="O540" s="34" t="str">
        <f aca="false">IF($D540="","",IFERROR(INDEX(项目档案!$B$6:$B$255,MATCH($D540,项目档案!$A$6:$A$255,0)),"⚠编号不存在"))</f>
        <v/>
      </c>
      <c r="P540" s="35" t="str">
        <f aca="false">IF($B540="","",TEXT($B540,"yyyy-mm"))</f>
        <v/>
      </c>
    </row>
    <row r="541" customFormat="false" ht="15.75" hidden="false" customHeight="true" outlineLevel="0" collapsed="false">
      <c r="A541" s="32" t="str">
        <f aca="false">IF($B541="","",ROW()-4)</f>
        <v/>
      </c>
      <c r="B541" s="26"/>
      <c r="C541" s="21"/>
      <c r="D541" s="24"/>
      <c r="E541" s="21"/>
      <c r="F541" s="24"/>
      <c r="G541" s="21"/>
      <c r="H541" s="22"/>
      <c r="I541" s="27"/>
      <c r="J541" s="27"/>
      <c r="K541" s="36" t="str">
        <f aca="false">IF($B541="","",IF($C541="泓普",$C$2,IF($C541="仟茂",$E$2,IF($C541="现金",$G$2,0)))+SUMIFS($I$5:$I541,$C$5:$C541,$C541)-SUMIFS($J$5:$J541,$C$5:$C541,$C541))</f>
        <v/>
      </c>
      <c r="L541" s="36" t="str">
        <f aca="false">IF($B541="","",$C$2+$E$2+$G$2+SUM($I$5:$I541)-SUM($J$5:$J541))</f>
        <v/>
      </c>
      <c r="M541" s="24"/>
      <c r="N541" s="33" t="str">
        <f aca="false">IF($B541="","",IF(NOT(ISNUMBER($B541)),"日期格式不对",IF($C541="","未选资金账户",IF(AND(N($I541)=0,N($J541)=0),"收支都为空",IF(AND(N($I541)&gt;0,N($J541)&gt;0),"收支不能同时填",IF(AND($D541&lt;&gt;"",LEFT($O541,1)="⚠"),"项目编号不存在",IF(AND($M541="是",$F541=""),"工程回款必须填往来单位","√")))))))</f>
        <v/>
      </c>
      <c r="O541" s="34" t="str">
        <f aca="false">IF($D541="","",IFERROR(INDEX(项目档案!$B$6:$B$255,MATCH($D541,项目档案!$A$6:$A$255,0)),"⚠编号不存在"))</f>
        <v/>
      </c>
      <c r="P541" s="35" t="str">
        <f aca="false">IF($B541="","",TEXT($B541,"yyyy-mm"))</f>
        <v/>
      </c>
    </row>
    <row r="542" customFormat="false" ht="15.75" hidden="false" customHeight="true" outlineLevel="0" collapsed="false">
      <c r="A542" s="32" t="str">
        <f aca="false">IF($B542="","",ROW()-4)</f>
        <v/>
      </c>
      <c r="B542" s="26"/>
      <c r="C542" s="21"/>
      <c r="D542" s="24"/>
      <c r="E542" s="21"/>
      <c r="F542" s="24"/>
      <c r="G542" s="21"/>
      <c r="H542" s="22"/>
      <c r="I542" s="27"/>
      <c r="J542" s="27"/>
      <c r="K542" s="36" t="str">
        <f aca="false">IF($B542="","",IF($C542="泓普",$C$2,IF($C542="仟茂",$E$2,IF($C542="现金",$G$2,0)))+SUMIFS($I$5:$I542,$C$5:$C542,$C542)-SUMIFS($J$5:$J542,$C$5:$C542,$C542))</f>
        <v/>
      </c>
      <c r="L542" s="36" t="str">
        <f aca="false">IF($B542="","",$C$2+$E$2+$G$2+SUM($I$5:$I542)-SUM($J$5:$J542))</f>
        <v/>
      </c>
      <c r="M542" s="24"/>
      <c r="N542" s="33" t="str">
        <f aca="false">IF($B542="","",IF(NOT(ISNUMBER($B542)),"日期格式不对",IF($C542="","未选资金账户",IF(AND(N($I542)=0,N($J542)=0),"收支都为空",IF(AND(N($I542)&gt;0,N($J542)&gt;0),"收支不能同时填",IF(AND($D542&lt;&gt;"",LEFT($O542,1)="⚠"),"项目编号不存在",IF(AND($M542="是",$F542=""),"工程回款必须填往来单位","√")))))))</f>
        <v/>
      </c>
      <c r="O542" s="34" t="str">
        <f aca="false">IF($D542="","",IFERROR(INDEX(项目档案!$B$6:$B$255,MATCH($D542,项目档案!$A$6:$A$255,0)),"⚠编号不存在"))</f>
        <v/>
      </c>
      <c r="P542" s="35" t="str">
        <f aca="false">IF($B542="","",TEXT($B542,"yyyy-mm"))</f>
        <v/>
      </c>
    </row>
    <row r="543" customFormat="false" ht="15.75" hidden="false" customHeight="true" outlineLevel="0" collapsed="false">
      <c r="A543" s="32" t="str">
        <f aca="false">IF($B543="","",ROW()-4)</f>
        <v/>
      </c>
      <c r="B543" s="26"/>
      <c r="C543" s="21"/>
      <c r="D543" s="24"/>
      <c r="E543" s="21"/>
      <c r="F543" s="24"/>
      <c r="G543" s="21"/>
      <c r="H543" s="22"/>
      <c r="I543" s="27"/>
      <c r="J543" s="27"/>
      <c r="K543" s="36" t="str">
        <f aca="false">IF($B543="","",IF($C543="泓普",$C$2,IF($C543="仟茂",$E$2,IF($C543="现金",$G$2,0)))+SUMIFS($I$5:$I543,$C$5:$C543,$C543)-SUMIFS($J$5:$J543,$C$5:$C543,$C543))</f>
        <v/>
      </c>
      <c r="L543" s="36" t="str">
        <f aca="false">IF($B543="","",$C$2+$E$2+$G$2+SUM($I$5:$I543)-SUM($J$5:$J543))</f>
        <v/>
      </c>
      <c r="M543" s="24"/>
      <c r="N543" s="33" t="str">
        <f aca="false">IF($B543="","",IF(NOT(ISNUMBER($B543)),"日期格式不对",IF($C543="","未选资金账户",IF(AND(N($I543)=0,N($J543)=0),"收支都为空",IF(AND(N($I543)&gt;0,N($J543)&gt;0),"收支不能同时填",IF(AND($D543&lt;&gt;"",LEFT($O543,1)="⚠"),"项目编号不存在",IF(AND($M543="是",$F543=""),"工程回款必须填往来单位","√")))))))</f>
        <v/>
      </c>
      <c r="O543" s="34" t="str">
        <f aca="false">IF($D543="","",IFERROR(INDEX(项目档案!$B$6:$B$255,MATCH($D543,项目档案!$A$6:$A$255,0)),"⚠编号不存在"))</f>
        <v/>
      </c>
      <c r="P543" s="35" t="str">
        <f aca="false">IF($B543="","",TEXT($B543,"yyyy-mm"))</f>
        <v/>
      </c>
    </row>
    <row r="544" customFormat="false" ht="15.75" hidden="false" customHeight="true" outlineLevel="0" collapsed="false">
      <c r="A544" s="32" t="str">
        <f aca="false">IF($B544="","",ROW()-4)</f>
        <v/>
      </c>
      <c r="B544" s="26"/>
      <c r="C544" s="21"/>
      <c r="D544" s="24"/>
      <c r="E544" s="21"/>
      <c r="F544" s="24"/>
      <c r="G544" s="21"/>
      <c r="H544" s="22"/>
      <c r="I544" s="27"/>
      <c r="J544" s="27"/>
      <c r="K544" s="36" t="str">
        <f aca="false">IF($B544="","",IF($C544="泓普",$C$2,IF($C544="仟茂",$E$2,IF($C544="现金",$G$2,0)))+SUMIFS($I$5:$I544,$C$5:$C544,$C544)-SUMIFS($J$5:$J544,$C$5:$C544,$C544))</f>
        <v/>
      </c>
      <c r="L544" s="36" t="str">
        <f aca="false">IF($B544="","",$C$2+$E$2+$G$2+SUM($I$5:$I544)-SUM($J$5:$J544))</f>
        <v/>
      </c>
      <c r="M544" s="24"/>
      <c r="N544" s="33" t="str">
        <f aca="false">IF($B544="","",IF(NOT(ISNUMBER($B544)),"日期格式不对",IF($C544="","未选资金账户",IF(AND(N($I544)=0,N($J544)=0),"收支都为空",IF(AND(N($I544)&gt;0,N($J544)&gt;0),"收支不能同时填",IF(AND($D544&lt;&gt;"",LEFT($O544,1)="⚠"),"项目编号不存在",IF(AND($M544="是",$F544=""),"工程回款必须填往来单位","√")))))))</f>
        <v/>
      </c>
      <c r="O544" s="34" t="str">
        <f aca="false">IF($D544="","",IFERROR(INDEX(项目档案!$B$6:$B$255,MATCH($D544,项目档案!$A$6:$A$255,0)),"⚠编号不存在"))</f>
        <v/>
      </c>
      <c r="P544" s="35" t="str">
        <f aca="false">IF($B544="","",TEXT($B544,"yyyy-mm"))</f>
        <v/>
      </c>
    </row>
    <row r="545" customFormat="false" ht="15.75" hidden="false" customHeight="true" outlineLevel="0" collapsed="false">
      <c r="A545" s="32" t="str">
        <f aca="false">IF($B545="","",ROW()-4)</f>
        <v/>
      </c>
      <c r="B545" s="26"/>
      <c r="C545" s="21"/>
      <c r="D545" s="24"/>
      <c r="E545" s="21"/>
      <c r="F545" s="24"/>
      <c r="G545" s="21"/>
      <c r="H545" s="22"/>
      <c r="I545" s="27"/>
      <c r="J545" s="27"/>
      <c r="K545" s="36" t="str">
        <f aca="false">IF($B545="","",IF($C545="泓普",$C$2,IF($C545="仟茂",$E$2,IF($C545="现金",$G$2,0)))+SUMIFS($I$5:$I545,$C$5:$C545,$C545)-SUMIFS($J$5:$J545,$C$5:$C545,$C545))</f>
        <v/>
      </c>
      <c r="L545" s="36" t="str">
        <f aca="false">IF($B545="","",$C$2+$E$2+$G$2+SUM($I$5:$I545)-SUM($J$5:$J545))</f>
        <v/>
      </c>
      <c r="M545" s="24"/>
      <c r="N545" s="33" t="str">
        <f aca="false">IF($B545="","",IF(NOT(ISNUMBER($B545)),"日期格式不对",IF($C545="","未选资金账户",IF(AND(N($I545)=0,N($J545)=0),"收支都为空",IF(AND(N($I545)&gt;0,N($J545)&gt;0),"收支不能同时填",IF(AND($D545&lt;&gt;"",LEFT($O545,1)="⚠"),"项目编号不存在",IF(AND($M545="是",$F545=""),"工程回款必须填往来单位","√")))))))</f>
        <v/>
      </c>
      <c r="O545" s="34" t="str">
        <f aca="false">IF($D545="","",IFERROR(INDEX(项目档案!$B$6:$B$255,MATCH($D545,项目档案!$A$6:$A$255,0)),"⚠编号不存在"))</f>
        <v/>
      </c>
      <c r="P545" s="35" t="str">
        <f aca="false">IF($B545="","",TEXT($B545,"yyyy-mm"))</f>
        <v/>
      </c>
    </row>
    <row r="546" customFormat="false" ht="15.75" hidden="false" customHeight="true" outlineLevel="0" collapsed="false">
      <c r="A546" s="32" t="str">
        <f aca="false">IF($B546="","",ROW()-4)</f>
        <v/>
      </c>
      <c r="B546" s="26"/>
      <c r="C546" s="21"/>
      <c r="D546" s="24"/>
      <c r="E546" s="21"/>
      <c r="F546" s="24"/>
      <c r="G546" s="21"/>
      <c r="H546" s="22"/>
      <c r="I546" s="27"/>
      <c r="J546" s="27"/>
      <c r="K546" s="36" t="str">
        <f aca="false">IF($B546="","",IF($C546="泓普",$C$2,IF($C546="仟茂",$E$2,IF($C546="现金",$G$2,0)))+SUMIFS($I$5:$I546,$C$5:$C546,$C546)-SUMIFS($J$5:$J546,$C$5:$C546,$C546))</f>
        <v/>
      </c>
      <c r="L546" s="36" t="str">
        <f aca="false">IF($B546="","",$C$2+$E$2+$G$2+SUM($I$5:$I546)-SUM($J$5:$J546))</f>
        <v/>
      </c>
      <c r="M546" s="24"/>
      <c r="N546" s="33" t="str">
        <f aca="false">IF($B546="","",IF(NOT(ISNUMBER($B546)),"日期格式不对",IF($C546="","未选资金账户",IF(AND(N($I546)=0,N($J546)=0),"收支都为空",IF(AND(N($I546)&gt;0,N($J546)&gt;0),"收支不能同时填",IF(AND($D546&lt;&gt;"",LEFT($O546,1)="⚠"),"项目编号不存在",IF(AND($M546="是",$F546=""),"工程回款必须填往来单位","√")))))))</f>
        <v/>
      </c>
      <c r="O546" s="34" t="str">
        <f aca="false">IF($D546="","",IFERROR(INDEX(项目档案!$B$6:$B$255,MATCH($D546,项目档案!$A$6:$A$255,0)),"⚠编号不存在"))</f>
        <v/>
      </c>
      <c r="P546" s="35" t="str">
        <f aca="false">IF($B546="","",TEXT($B546,"yyyy-mm"))</f>
        <v/>
      </c>
    </row>
    <row r="547" customFormat="false" ht="15.75" hidden="false" customHeight="true" outlineLevel="0" collapsed="false">
      <c r="A547" s="32" t="str">
        <f aca="false">IF($B547="","",ROW()-4)</f>
        <v/>
      </c>
      <c r="B547" s="26"/>
      <c r="C547" s="21"/>
      <c r="D547" s="24"/>
      <c r="E547" s="21"/>
      <c r="F547" s="24"/>
      <c r="G547" s="21"/>
      <c r="H547" s="22"/>
      <c r="I547" s="27"/>
      <c r="J547" s="27"/>
      <c r="K547" s="36" t="str">
        <f aca="false">IF($B547="","",IF($C547="泓普",$C$2,IF($C547="仟茂",$E$2,IF($C547="现金",$G$2,0)))+SUMIFS($I$5:$I547,$C$5:$C547,$C547)-SUMIFS($J$5:$J547,$C$5:$C547,$C547))</f>
        <v/>
      </c>
      <c r="L547" s="36" t="str">
        <f aca="false">IF($B547="","",$C$2+$E$2+$G$2+SUM($I$5:$I547)-SUM($J$5:$J547))</f>
        <v/>
      </c>
      <c r="M547" s="24"/>
      <c r="N547" s="33" t="str">
        <f aca="false">IF($B547="","",IF(NOT(ISNUMBER($B547)),"日期格式不对",IF($C547="","未选资金账户",IF(AND(N($I547)=0,N($J547)=0),"收支都为空",IF(AND(N($I547)&gt;0,N($J547)&gt;0),"收支不能同时填",IF(AND($D547&lt;&gt;"",LEFT($O547,1)="⚠"),"项目编号不存在",IF(AND($M547="是",$F547=""),"工程回款必须填往来单位","√")))))))</f>
        <v/>
      </c>
      <c r="O547" s="34" t="str">
        <f aca="false">IF($D547="","",IFERROR(INDEX(项目档案!$B$6:$B$255,MATCH($D547,项目档案!$A$6:$A$255,0)),"⚠编号不存在"))</f>
        <v/>
      </c>
      <c r="P547" s="35" t="str">
        <f aca="false">IF($B547="","",TEXT($B547,"yyyy-mm"))</f>
        <v/>
      </c>
    </row>
    <row r="548" customFormat="false" ht="15.75" hidden="false" customHeight="true" outlineLevel="0" collapsed="false">
      <c r="A548" s="32" t="str">
        <f aca="false">IF($B548="","",ROW()-4)</f>
        <v/>
      </c>
      <c r="B548" s="26"/>
      <c r="C548" s="21"/>
      <c r="D548" s="24"/>
      <c r="E548" s="21"/>
      <c r="F548" s="24"/>
      <c r="G548" s="21"/>
      <c r="H548" s="22"/>
      <c r="I548" s="27"/>
      <c r="J548" s="27"/>
      <c r="K548" s="36" t="str">
        <f aca="false">IF($B548="","",IF($C548="泓普",$C$2,IF($C548="仟茂",$E$2,IF($C548="现金",$G$2,0)))+SUMIFS($I$5:$I548,$C$5:$C548,$C548)-SUMIFS($J$5:$J548,$C$5:$C548,$C548))</f>
        <v/>
      </c>
      <c r="L548" s="36" t="str">
        <f aca="false">IF($B548="","",$C$2+$E$2+$G$2+SUM($I$5:$I548)-SUM($J$5:$J548))</f>
        <v/>
      </c>
      <c r="M548" s="24"/>
      <c r="N548" s="33" t="str">
        <f aca="false">IF($B548="","",IF(NOT(ISNUMBER($B548)),"日期格式不对",IF($C548="","未选资金账户",IF(AND(N($I548)=0,N($J548)=0),"收支都为空",IF(AND(N($I548)&gt;0,N($J548)&gt;0),"收支不能同时填",IF(AND($D548&lt;&gt;"",LEFT($O548,1)="⚠"),"项目编号不存在",IF(AND($M548="是",$F548=""),"工程回款必须填往来单位","√")))))))</f>
        <v/>
      </c>
      <c r="O548" s="34" t="str">
        <f aca="false">IF($D548="","",IFERROR(INDEX(项目档案!$B$6:$B$255,MATCH($D548,项目档案!$A$6:$A$255,0)),"⚠编号不存在"))</f>
        <v/>
      </c>
      <c r="P548" s="35" t="str">
        <f aca="false">IF($B548="","",TEXT($B548,"yyyy-mm"))</f>
        <v/>
      </c>
    </row>
    <row r="549" customFormat="false" ht="15.75" hidden="false" customHeight="true" outlineLevel="0" collapsed="false">
      <c r="A549" s="32" t="str">
        <f aca="false">IF($B549="","",ROW()-4)</f>
        <v/>
      </c>
      <c r="B549" s="26"/>
      <c r="C549" s="21"/>
      <c r="D549" s="24"/>
      <c r="E549" s="21"/>
      <c r="F549" s="24"/>
      <c r="G549" s="21"/>
      <c r="H549" s="22"/>
      <c r="I549" s="27"/>
      <c r="J549" s="27"/>
      <c r="K549" s="36" t="str">
        <f aca="false">IF($B549="","",IF($C549="泓普",$C$2,IF($C549="仟茂",$E$2,IF($C549="现金",$G$2,0)))+SUMIFS($I$5:$I549,$C$5:$C549,$C549)-SUMIFS($J$5:$J549,$C$5:$C549,$C549))</f>
        <v/>
      </c>
      <c r="L549" s="36" t="str">
        <f aca="false">IF($B549="","",$C$2+$E$2+$G$2+SUM($I$5:$I549)-SUM($J$5:$J549))</f>
        <v/>
      </c>
      <c r="M549" s="24"/>
      <c r="N549" s="33" t="str">
        <f aca="false">IF($B549="","",IF(NOT(ISNUMBER($B549)),"日期格式不对",IF($C549="","未选资金账户",IF(AND(N($I549)=0,N($J549)=0),"收支都为空",IF(AND(N($I549)&gt;0,N($J549)&gt;0),"收支不能同时填",IF(AND($D549&lt;&gt;"",LEFT($O549,1)="⚠"),"项目编号不存在",IF(AND($M549="是",$F549=""),"工程回款必须填往来单位","√")))))))</f>
        <v/>
      </c>
      <c r="O549" s="34" t="str">
        <f aca="false">IF($D549="","",IFERROR(INDEX(项目档案!$B$6:$B$255,MATCH($D549,项目档案!$A$6:$A$255,0)),"⚠编号不存在"))</f>
        <v/>
      </c>
      <c r="P549" s="35" t="str">
        <f aca="false">IF($B549="","",TEXT($B549,"yyyy-mm"))</f>
        <v/>
      </c>
    </row>
    <row r="550" customFormat="false" ht="15.75" hidden="false" customHeight="true" outlineLevel="0" collapsed="false">
      <c r="A550" s="32" t="str">
        <f aca="false">IF($B550="","",ROW()-4)</f>
        <v/>
      </c>
      <c r="B550" s="26"/>
      <c r="C550" s="21"/>
      <c r="D550" s="24"/>
      <c r="E550" s="21"/>
      <c r="F550" s="24"/>
      <c r="G550" s="21"/>
      <c r="H550" s="22"/>
      <c r="I550" s="27"/>
      <c r="J550" s="27"/>
      <c r="K550" s="36" t="str">
        <f aca="false">IF($B550="","",IF($C550="泓普",$C$2,IF($C550="仟茂",$E$2,IF($C550="现金",$G$2,0)))+SUMIFS($I$5:$I550,$C$5:$C550,$C550)-SUMIFS($J$5:$J550,$C$5:$C550,$C550))</f>
        <v/>
      </c>
      <c r="L550" s="36" t="str">
        <f aca="false">IF($B550="","",$C$2+$E$2+$G$2+SUM($I$5:$I550)-SUM($J$5:$J550))</f>
        <v/>
      </c>
      <c r="M550" s="24"/>
      <c r="N550" s="33" t="str">
        <f aca="false">IF($B550="","",IF(NOT(ISNUMBER($B550)),"日期格式不对",IF($C550="","未选资金账户",IF(AND(N($I550)=0,N($J550)=0),"收支都为空",IF(AND(N($I550)&gt;0,N($J550)&gt;0),"收支不能同时填",IF(AND($D550&lt;&gt;"",LEFT($O550,1)="⚠"),"项目编号不存在",IF(AND($M550="是",$F550=""),"工程回款必须填往来单位","√")))))))</f>
        <v/>
      </c>
      <c r="O550" s="34" t="str">
        <f aca="false">IF($D550="","",IFERROR(INDEX(项目档案!$B$6:$B$255,MATCH($D550,项目档案!$A$6:$A$255,0)),"⚠编号不存在"))</f>
        <v/>
      </c>
      <c r="P550" s="35" t="str">
        <f aca="false">IF($B550="","",TEXT($B550,"yyyy-mm"))</f>
        <v/>
      </c>
    </row>
    <row r="551" customFormat="false" ht="15.75" hidden="false" customHeight="true" outlineLevel="0" collapsed="false">
      <c r="A551" s="32" t="str">
        <f aca="false">IF($B551="","",ROW()-4)</f>
        <v/>
      </c>
      <c r="B551" s="26"/>
      <c r="C551" s="21"/>
      <c r="D551" s="24"/>
      <c r="E551" s="21"/>
      <c r="F551" s="24"/>
      <c r="G551" s="21"/>
      <c r="H551" s="22"/>
      <c r="I551" s="27"/>
      <c r="J551" s="27"/>
      <c r="K551" s="36" t="str">
        <f aca="false">IF($B551="","",IF($C551="泓普",$C$2,IF($C551="仟茂",$E$2,IF($C551="现金",$G$2,0)))+SUMIFS($I$5:$I551,$C$5:$C551,$C551)-SUMIFS($J$5:$J551,$C$5:$C551,$C551))</f>
        <v/>
      </c>
      <c r="L551" s="36" t="str">
        <f aca="false">IF($B551="","",$C$2+$E$2+$G$2+SUM($I$5:$I551)-SUM($J$5:$J551))</f>
        <v/>
      </c>
      <c r="M551" s="24"/>
      <c r="N551" s="33" t="str">
        <f aca="false">IF($B551="","",IF(NOT(ISNUMBER($B551)),"日期格式不对",IF($C551="","未选资金账户",IF(AND(N($I551)=0,N($J551)=0),"收支都为空",IF(AND(N($I551)&gt;0,N($J551)&gt;0),"收支不能同时填",IF(AND($D551&lt;&gt;"",LEFT($O551,1)="⚠"),"项目编号不存在",IF(AND($M551="是",$F551=""),"工程回款必须填往来单位","√")))))))</f>
        <v/>
      </c>
      <c r="O551" s="34" t="str">
        <f aca="false">IF($D551="","",IFERROR(INDEX(项目档案!$B$6:$B$255,MATCH($D551,项目档案!$A$6:$A$255,0)),"⚠编号不存在"))</f>
        <v/>
      </c>
      <c r="P551" s="35" t="str">
        <f aca="false">IF($B551="","",TEXT($B551,"yyyy-mm"))</f>
        <v/>
      </c>
    </row>
    <row r="552" customFormat="false" ht="15.75" hidden="false" customHeight="true" outlineLevel="0" collapsed="false">
      <c r="A552" s="32" t="str">
        <f aca="false">IF($B552="","",ROW()-4)</f>
        <v/>
      </c>
      <c r="B552" s="26"/>
      <c r="C552" s="21"/>
      <c r="D552" s="24"/>
      <c r="E552" s="21"/>
      <c r="F552" s="24"/>
      <c r="G552" s="21"/>
      <c r="H552" s="22"/>
      <c r="I552" s="27"/>
      <c r="J552" s="27"/>
      <c r="K552" s="36" t="str">
        <f aca="false">IF($B552="","",IF($C552="泓普",$C$2,IF($C552="仟茂",$E$2,IF($C552="现金",$G$2,0)))+SUMIFS($I$5:$I552,$C$5:$C552,$C552)-SUMIFS($J$5:$J552,$C$5:$C552,$C552))</f>
        <v/>
      </c>
      <c r="L552" s="36" t="str">
        <f aca="false">IF($B552="","",$C$2+$E$2+$G$2+SUM($I$5:$I552)-SUM($J$5:$J552))</f>
        <v/>
      </c>
      <c r="M552" s="24"/>
      <c r="N552" s="33" t="str">
        <f aca="false">IF($B552="","",IF(NOT(ISNUMBER($B552)),"日期格式不对",IF($C552="","未选资金账户",IF(AND(N($I552)=0,N($J552)=0),"收支都为空",IF(AND(N($I552)&gt;0,N($J552)&gt;0),"收支不能同时填",IF(AND($D552&lt;&gt;"",LEFT($O552,1)="⚠"),"项目编号不存在",IF(AND($M552="是",$F552=""),"工程回款必须填往来单位","√")))))))</f>
        <v/>
      </c>
      <c r="O552" s="34" t="str">
        <f aca="false">IF($D552="","",IFERROR(INDEX(项目档案!$B$6:$B$255,MATCH($D552,项目档案!$A$6:$A$255,0)),"⚠编号不存在"))</f>
        <v/>
      </c>
      <c r="P552" s="35" t="str">
        <f aca="false">IF($B552="","",TEXT($B552,"yyyy-mm"))</f>
        <v/>
      </c>
    </row>
    <row r="553" customFormat="false" ht="15.75" hidden="false" customHeight="true" outlineLevel="0" collapsed="false">
      <c r="A553" s="32" t="str">
        <f aca="false">IF($B553="","",ROW()-4)</f>
        <v/>
      </c>
      <c r="B553" s="26"/>
      <c r="C553" s="21"/>
      <c r="D553" s="24"/>
      <c r="E553" s="21"/>
      <c r="F553" s="24"/>
      <c r="G553" s="21"/>
      <c r="H553" s="22"/>
      <c r="I553" s="27"/>
      <c r="J553" s="27"/>
      <c r="K553" s="36" t="str">
        <f aca="false">IF($B553="","",IF($C553="泓普",$C$2,IF($C553="仟茂",$E$2,IF($C553="现金",$G$2,0)))+SUMIFS($I$5:$I553,$C$5:$C553,$C553)-SUMIFS($J$5:$J553,$C$5:$C553,$C553))</f>
        <v/>
      </c>
      <c r="L553" s="36" t="str">
        <f aca="false">IF($B553="","",$C$2+$E$2+$G$2+SUM($I$5:$I553)-SUM($J$5:$J553))</f>
        <v/>
      </c>
      <c r="M553" s="24"/>
      <c r="N553" s="33" t="str">
        <f aca="false">IF($B553="","",IF(NOT(ISNUMBER($B553)),"日期格式不对",IF($C553="","未选资金账户",IF(AND(N($I553)=0,N($J553)=0),"收支都为空",IF(AND(N($I553)&gt;0,N($J553)&gt;0),"收支不能同时填",IF(AND($D553&lt;&gt;"",LEFT($O553,1)="⚠"),"项目编号不存在",IF(AND($M553="是",$F553=""),"工程回款必须填往来单位","√")))))))</f>
        <v/>
      </c>
      <c r="O553" s="34" t="str">
        <f aca="false">IF($D553="","",IFERROR(INDEX(项目档案!$B$6:$B$255,MATCH($D553,项目档案!$A$6:$A$255,0)),"⚠编号不存在"))</f>
        <v/>
      </c>
      <c r="P553" s="35" t="str">
        <f aca="false">IF($B553="","",TEXT($B553,"yyyy-mm"))</f>
        <v/>
      </c>
    </row>
    <row r="554" customFormat="false" ht="15.75" hidden="false" customHeight="true" outlineLevel="0" collapsed="false">
      <c r="A554" s="32" t="str">
        <f aca="false">IF($B554="","",ROW()-4)</f>
        <v/>
      </c>
      <c r="B554" s="26"/>
      <c r="C554" s="21"/>
      <c r="D554" s="24"/>
      <c r="E554" s="21"/>
      <c r="F554" s="24"/>
      <c r="G554" s="21"/>
      <c r="H554" s="22"/>
      <c r="I554" s="27"/>
      <c r="J554" s="27"/>
      <c r="K554" s="36" t="str">
        <f aca="false">IF($B554="","",IF($C554="泓普",$C$2,IF($C554="仟茂",$E$2,IF($C554="现金",$G$2,0)))+SUMIFS($I$5:$I554,$C$5:$C554,$C554)-SUMIFS($J$5:$J554,$C$5:$C554,$C554))</f>
        <v/>
      </c>
      <c r="L554" s="36" t="str">
        <f aca="false">IF($B554="","",$C$2+$E$2+$G$2+SUM($I$5:$I554)-SUM($J$5:$J554))</f>
        <v/>
      </c>
      <c r="M554" s="24"/>
      <c r="N554" s="33" t="str">
        <f aca="false">IF($B554="","",IF(NOT(ISNUMBER($B554)),"日期格式不对",IF($C554="","未选资金账户",IF(AND(N($I554)=0,N($J554)=0),"收支都为空",IF(AND(N($I554)&gt;0,N($J554)&gt;0),"收支不能同时填",IF(AND($D554&lt;&gt;"",LEFT($O554,1)="⚠"),"项目编号不存在",IF(AND($M554="是",$F554=""),"工程回款必须填往来单位","√")))))))</f>
        <v/>
      </c>
      <c r="O554" s="34" t="str">
        <f aca="false">IF($D554="","",IFERROR(INDEX(项目档案!$B$6:$B$255,MATCH($D554,项目档案!$A$6:$A$255,0)),"⚠编号不存在"))</f>
        <v/>
      </c>
      <c r="P554" s="35" t="str">
        <f aca="false">IF($B554="","",TEXT($B554,"yyyy-mm"))</f>
        <v/>
      </c>
    </row>
    <row r="555" customFormat="false" ht="15.75" hidden="false" customHeight="true" outlineLevel="0" collapsed="false">
      <c r="A555" s="32" t="str">
        <f aca="false">IF($B555="","",ROW()-4)</f>
        <v/>
      </c>
      <c r="B555" s="26"/>
      <c r="C555" s="21"/>
      <c r="D555" s="24"/>
      <c r="E555" s="21"/>
      <c r="F555" s="24"/>
      <c r="G555" s="21"/>
      <c r="H555" s="22"/>
      <c r="I555" s="27"/>
      <c r="J555" s="27"/>
      <c r="K555" s="36" t="str">
        <f aca="false">IF($B555="","",IF($C555="泓普",$C$2,IF($C555="仟茂",$E$2,IF($C555="现金",$G$2,0)))+SUMIFS($I$5:$I555,$C$5:$C555,$C555)-SUMIFS($J$5:$J555,$C$5:$C555,$C555))</f>
        <v/>
      </c>
      <c r="L555" s="36" t="str">
        <f aca="false">IF($B555="","",$C$2+$E$2+$G$2+SUM($I$5:$I555)-SUM($J$5:$J555))</f>
        <v/>
      </c>
      <c r="M555" s="24"/>
      <c r="N555" s="33" t="str">
        <f aca="false">IF($B555="","",IF(NOT(ISNUMBER($B555)),"日期格式不对",IF($C555="","未选资金账户",IF(AND(N($I555)=0,N($J555)=0),"收支都为空",IF(AND(N($I555)&gt;0,N($J555)&gt;0),"收支不能同时填",IF(AND($D555&lt;&gt;"",LEFT($O555,1)="⚠"),"项目编号不存在",IF(AND($M555="是",$F555=""),"工程回款必须填往来单位","√")))))))</f>
        <v/>
      </c>
      <c r="O555" s="34" t="str">
        <f aca="false">IF($D555="","",IFERROR(INDEX(项目档案!$B$6:$B$255,MATCH($D555,项目档案!$A$6:$A$255,0)),"⚠编号不存在"))</f>
        <v/>
      </c>
      <c r="P555" s="35" t="str">
        <f aca="false">IF($B555="","",TEXT($B555,"yyyy-mm"))</f>
        <v/>
      </c>
    </row>
    <row r="556" customFormat="false" ht="15.75" hidden="false" customHeight="true" outlineLevel="0" collapsed="false">
      <c r="A556" s="32" t="str">
        <f aca="false">IF($B556="","",ROW()-4)</f>
        <v/>
      </c>
      <c r="B556" s="26"/>
      <c r="C556" s="21"/>
      <c r="D556" s="24"/>
      <c r="E556" s="21"/>
      <c r="F556" s="24"/>
      <c r="G556" s="21"/>
      <c r="H556" s="22"/>
      <c r="I556" s="27"/>
      <c r="J556" s="27"/>
      <c r="K556" s="36" t="str">
        <f aca="false">IF($B556="","",IF($C556="泓普",$C$2,IF($C556="仟茂",$E$2,IF($C556="现金",$G$2,0)))+SUMIFS($I$5:$I556,$C$5:$C556,$C556)-SUMIFS($J$5:$J556,$C$5:$C556,$C556))</f>
        <v/>
      </c>
      <c r="L556" s="36" t="str">
        <f aca="false">IF($B556="","",$C$2+$E$2+$G$2+SUM($I$5:$I556)-SUM($J$5:$J556))</f>
        <v/>
      </c>
      <c r="M556" s="24"/>
      <c r="N556" s="33" t="str">
        <f aca="false">IF($B556="","",IF(NOT(ISNUMBER($B556)),"日期格式不对",IF($C556="","未选资金账户",IF(AND(N($I556)=0,N($J556)=0),"收支都为空",IF(AND(N($I556)&gt;0,N($J556)&gt;0),"收支不能同时填",IF(AND($D556&lt;&gt;"",LEFT($O556,1)="⚠"),"项目编号不存在",IF(AND($M556="是",$F556=""),"工程回款必须填往来单位","√")))))))</f>
        <v/>
      </c>
      <c r="O556" s="34" t="str">
        <f aca="false">IF($D556="","",IFERROR(INDEX(项目档案!$B$6:$B$255,MATCH($D556,项目档案!$A$6:$A$255,0)),"⚠编号不存在"))</f>
        <v/>
      </c>
      <c r="P556" s="35" t="str">
        <f aca="false">IF($B556="","",TEXT($B556,"yyyy-mm"))</f>
        <v/>
      </c>
    </row>
    <row r="557" customFormat="false" ht="15.75" hidden="false" customHeight="true" outlineLevel="0" collapsed="false">
      <c r="A557" s="32" t="str">
        <f aca="false">IF($B557="","",ROW()-4)</f>
        <v/>
      </c>
      <c r="B557" s="26"/>
      <c r="C557" s="21"/>
      <c r="D557" s="24"/>
      <c r="E557" s="21"/>
      <c r="F557" s="24"/>
      <c r="G557" s="21"/>
      <c r="H557" s="22"/>
      <c r="I557" s="27"/>
      <c r="J557" s="27"/>
      <c r="K557" s="36" t="str">
        <f aca="false">IF($B557="","",IF($C557="泓普",$C$2,IF($C557="仟茂",$E$2,IF($C557="现金",$G$2,0)))+SUMIFS($I$5:$I557,$C$5:$C557,$C557)-SUMIFS($J$5:$J557,$C$5:$C557,$C557))</f>
        <v/>
      </c>
      <c r="L557" s="36" t="str">
        <f aca="false">IF($B557="","",$C$2+$E$2+$G$2+SUM($I$5:$I557)-SUM($J$5:$J557))</f>
        <v/>
      </c>
      <c r="M557" s="24"/>
      <c r="N557" s="33" t="str">
        <f aca="false">IF($B557="","",IF(NOT(ISNUMBER($B557)),"日期格式不对",IF($C557="","未选资金账户",IF(AND(N($I557)=0,N($J557)=0),"收支都为空",IF(AND(N($I557)&gt;0,N($J557)&gt;0),"收支不能同时填",IF(AND($D557&lt;&gt;"",LEFT($O557,1)="⚠"),"项目编号不存在",IF(AND($M557="是",$F557=""),"工程回款必须填往来单位","√")))))))</f>
        <v/>
      </c>
      <c r="O557" s="34" t="str">
        <f aca="false">IF($D557="","",IFERROR(INDEX(项目档案!$B$6:$B$255,MATCH($D557,项目档案!$A$6:$A$255,0)),"⚠编号不存在"))</f>
        <v/>
      </c>
      <c r="P557" s="35" t="str">
        <f aca="false">IF($B557="","",TEXT($B557,"yyyy-mm"))</f>
        <v/>
      </c>
    </row>
    <row r="558" customFormat="false" ht="15.75" hidden="false" customHeight="true" outlineLevel="0" collapsed="false">
      <c r="A558" s="32" t="str">
        <f aca="false">IF($B558="","",ROW()-4)</f>
        <v/>
      </c>
      <c r="B558" s="26"/>
      <c r="C558" s="21"/>
      <c r="D558" s="24"/>
      <c r="E558" s="21"/>
      <c r="F558" s="24"/>
      <c r="G558" s="21"/>
      <c r="H558" s="22"/>
      <c r="I558" s="27"/>
      <c r="J558" s="27"/>
      <c r="K558" s="36" t="str">
        <f aca="false">IF($B558="","",IF($C558="泓普",$C$2,IF($C558="仟茂",$E$2,IF($C558="现金",$G$2,0)))+SUMIFS($I$5:$I558,$C$5:$C558,$C558)-SUMIFS($J$5:$J558,$C$5:$C558,$C558))</f>
        <v/>
      </c>
      <c r="L558" s="36" t="str">
        <f aca="false">IF($B558="","",$C$2+$E$2+$G$2+SUM($I$5:$I558)-SUM($J$5:$J558))</f>
        <v/>
      </c>
      <c r="M558" s="24"/>
      <c r="N558" s="33" t="str">
        <f aca="false">IF($B558="","",IF(NOT(ISNUMBER($B558)),"日期格式不对",IF($C558="","未选资金账户",IF(AND(N($I558)=0,N($J558)=0),"收支都为空",IF(AND(N($I558)&gt;0,N($J558)&gt;0),"收支不能同时填",IF(AND($D558&lt;&gt;"",LEFT($O558,1)="⚠"),"项目编号不存在",IF(AND($M558="是",$F558=""),"工程回款必须填往来单位","√")))))))</f>
        <v/>
      </c>
      <c r="O558" s="34" t="str">
        <f aca="false">IF($D558="","",IFERROR(INDEX(项目档案!$B$6:$B$255,MATCH($D558,项目档案!$A$6:$A$255,0)),"⚠编号不存在"))</f>
        <v/>
      </c>
      <c r="P558" s="35" t="str">
        <f aca="false">IF($B558="","",TEXT($B558,"yyyy-mm"))</f>
        <v/>
      </c>
    </row>
    <row r="559" customFormat="false" ht="15.75" hidden="false" customHeight="true" outlineLevel="0" collapsed="false">
      <c r="A559" s="32" t="str">
        <f aca="false">IF($B559="","",ROW()-4)</f>
        <v/>
      </c>
      <c r="B559" s="26"/>
      <c r="C559" s="21"/>
      <c r="D559" s="24"/>
      <c r="E559" s="21"/>
      <c r="F559" s="24"/>
      <c r="G559" s="21"/>
      <c r="H559" s="22"/>
      <c r="I559" s="27"/>
      <c r="J559" s="27"/>
      <c r="K559" s="36" t="str">
        <f aca="false">IF($B559="","",IF($C559="泓普",$C$2,IF($C559="仟茂",$E$2,IF($C559="现金",$G$2,0)))+SUMIFS($I$5:$I559,$C$5:$C559,$C559)-SUMIFS($J$5:$J559,$C$5:$C559,$C559))</f>
        <v/>
      </c>
      <c r="L559" s="36" t="str">
        <f aca="false">IF($B559="","",$C$2+$E$2+$G$2+SUM($I$5:$I559)-SUM($J$5:$J559))</f>
        <v/>
      </c>
      <c r="M559" s="24"/>
      <c r="N559" s="33" t="str">
        <f aca="false">IF($B559="","",IF(NOT(ISNUMBER($B559)),"日期格式不对",IF($C559="","未选资金账户",IF(AND(N($I559)=0,N($J559)=0),"收支都为空",IF(AND(N($I559)&gt;0,N($J559)&gt;0),"收支不能同时填",IF(AND($D559&lt;&gt;"",LEFT($O559,1)="⚠"),"项目编号不存在",IF(AND($M559="是",$F559=""),"工程回款必须填往来单位","√")))))))</f>
        <v/>
      </c>
      <c r="O559" s="34" t="str">
        <f aca="false">IF($D559="","",IFERROR(INDEX(项目档案!$B$6:$B$255,MATCH($D559,项目档案!$A$6:$A$255,0)),"⚠编号不存在"))</f>
        <v/>
      </c>
      <c r="P559" s="35" t="str">
        <f aca="false">IF($B559="","",TEXT($B559,"yyyy-mm"))</f>
        <v/>
      </c>
    </row>
    <row r="560" customFormat="false" ht="15.75" hidden="false" customHeight="true" outlineLevel="0" collapsed="false">
      <c r="A560" s="32" t="str">
        <f aca="false">IF($B560="","",ROW()-4)</f>
        <v/>
      </c>
      <c r="B560" s="26"/>
      <c r="C560" s="21"/>
      <c r="D560" s="24"/>
      <c r="E560" s="21"/>
      <c r="F560" s="24"/>
      <c r="G560" s="21"/>
      <c r="H560" s="22"/>
      <c r="I560" s="27"/>
      <c r="J560" s="27"/>
      <c r="K560" s="36" t="str">
        <f aca="false">IF($B560="","",IF($C560="泓普",$C$2,IF($C560="仟茂",$E$2,IF($C560="现金",$G$2,0)))+SUMIFS($I$5:$I560,$C$5:$C560,$C560)-SUMIFS($J$5:$J560,$C$5:$C560,$C560))</f>
        <v/>
      </c>
      <c r="L560" s="36" t="str">
        <f aca="false">IF($B560="","",$C$2+$E$2+$G$2+SUM($I$5:$I560)-SUM($J$5:$J560))</f>
        <v/>
      </c>
      <c r="M560" s="24"/>
      <c r="N560" s="33" t="str">
        <f aca="false">IF($B560="","",IF(NOT(ISNUMBER($B560)),"日期格式不对",IF($C560="","未选资金账户",IF(AND(N($I560)=0,N($J560)=0),"收支都为空",IF(AND(N($I560)&gt;0,N($J560)&gt;0),"收支不能同时填",IF(AND($D560&lt;&gt;"",LEFT($O560,1)="⚠"),"项目编号不存在",IF(AND($M560="是",$F560=""),"工程回款必须填往来单位","√")))))))</f>
        <v/>
      </c>
      <c r="O560" s="34" t="str">
        <f aca="false">IF($D560="","",IFERROR(INDEX(项目档案!$B$6:$B$255,MATCH($D560,项目档案!$A$6:$A$255,0)),"⚠编号不存在"))</f>
        <v/>
      </c>
      <c r="P560" s="35" t="str">
        <f aca="false">IF($B560="","",TEXT($B560,"yyyy-mm"))</f>
        <v/>
      </c>
    </row>
    <row r="561" customFormat="false" ht="15.75" hidden="false" customHeight="true" outlineLevel="0" collapsed="false">
      <c r="A561" s="32" t="str">
        <f aca="false">IF($B561="","",ROW()-4)</f>
        <v/>
      </c>
      <c r="B561" s="26"/>
      <c r="C561" s="21"/>
      <c r="D561" s="24"/>
      <c r="E561" s="21"/>
      <c r="F561" s="24"/>
      <c r="G561" s="21"/>
      <c r="H561" s="22"/>
      <c r="I561" s="27"/>
      <c r="J561" s="27"/>
      <c r="K561" s="36" t="str">
        <f aca="false">IF($B561="","",IF($C561="泓普",$C$2,IF($C561="仟茂",$E$2,IF($C561="现金",$G$2,0)))+SUMIFS($I$5:$I561,$C$5:$C561,$C561)-SUMIFS($J$5:$J561,$C$5:$C561,$C561))</f>
        <v/>
      </c>
      <c r="L561" s="36" t="str">
        <f aca="false">IF($B561="","",$C$2+$E$2+$G$2+SUM($I$5:$I561)-SUM($J$5:$J561))</f>
        <v/>
      </c>
      <c r="M561" s="24"/>
      <c r="N561" s="33" t="str">
        <f aca="false">IF($B561="","",IF(NOT(ISNUMBER($B561)),"日期格式不对",IF($C561="","未选资金账户",IF(AND(N($I561)=0,N($J561)=0),"收支都为空",IF(AND(N($I561)&gt;0,N($J561)&gt;0),"收支不能同时填",IF(AND($D561&lt;&gt;"",LEFT($O561,1)="⚠"),"项目编号不存在",IF(AND($M561="是",$F561=""),"工程回款必须填往来单位","√")))))))</f>
        <v/>
      </c>
      <c r="O561" s="34" t="str">
        <f aca="false">IF($D561="","",IFERROR(INDEX(项目档案!$B$6:$B$255,MATCH($D561,项目档案!$A$6:$A$255,0)),"⚠编号不存在"))</f>
        <v/>
      </c>
      <c r="P561" s="35" t="str">
        <f aca="false">IF($B561="","",TEXT($B561,"yyyy-mm"))</f>
        <v/>
      </c>
    </row>
    <row r="562" customFormat="false" ht="15.75" hidden="false" customHeight="true" outlineLevel="0" collapsed="false">
      <c r="A562" s="32" t="str">
        <f aca="false">IF($B562="","",ROW()-4)</f>
        <v/>
      </c>
      <c r="B562" s="26"/>
      <c r="C562" s="21"/>
      <c r="D562" s="24"/>
      <c r="E562" s="21"/>
      <c r="F562" s="24"/>
      <c r="G562" s="21"/>
      <c r="H562" s="22"/>
      <c r="I562" s="27"/>
      <c r="J562" s="27"/>
      <c r="K562" s="36" t="str">
        <f aca="false">IF($B562="","",IF($C562="泓普",$C$2,IF($C562="仟茂",$E$2,IF($C562="现金",$G$2,0)))+SUMIFS($I$5:$I562,$C$5:$C562,$C562)-SUMIFS($J$5:$J562,$C$5:$C562,$C562))</f>
        <v/>
      </c>
      <c r="L562" s="36" t="str">
        <f aca="false">IF($B562="","",$C$2+$E$2+$G$2+SUM($I$5:$I562)-SUM($J$5:$J562))</f>
        <v/>
      </c>
      <c r="M562" s="24"/>
      <c r="N562" s="33" t="str">
        <f aca="false">IF($B562="","",IF(NOT(ISNUMBER($B562)),"日期格式不对",IF($C562="","未选资金账户",IF(AND(N($I562)=0,N($J562)=0),"收支都为空",IF(AND(N($I562)&gt;0,N($J562)&gt;0),"收支不能同时填",IF(AND($D562&lt;&gt;"",LEFT($O562,1)="⚠"),"项目编号不存在",IF(AND($M562="是",$F562=""),"工程回款必须填往来单位","√")))))))</f>
        <v/>
      </c>
      <c r="O562" s="34" t="str">
        <f aca="false">IF($D562="","",IFERROR(INDEX(项目档案!$B$6:$B$255,MATCH($D562,项目档案!$A$6:$A$255,0)),"⚠编号不存在"))</f>
        <v/>
      </c>
      <c r="P562" s="35" t="str">
        <f aca="false">IF($B562="","",TEXT($B562,"yyyy-mm"))</f>
        <v/>
      </c>
    </row>
    <row r="563" customFormat="false" ht="15.75" hidden="false" customHeight="true" outlineLevel="0" collapsed="false">
      <c r="A563" s="32" t="str">
        <f aca="false">IF($B563="","",ROW()-4)</f>
        <v/>
      </c>
      <c r="B563" s="26"/>
      <c r="C563" s="21"/>
      <c r="D563" s="24"/>
      <c r="E563" s="21"/>
      <c r="F563" s="24"/>
      <c r="G563" s="21"/>
      <c r="H563" s="22"/>
      <c r="I563" s="27"/>
      <c r="J563" s="27"/>
      <c r="K563" s="36" t="str">
        <f aca="false">IF($B563="","",IF($C563="泓普",$C$2,IF($C563="仟茂",$E$2,IF($C563="现金",$G$2,0)))+SUMIFS($I$5:$I563,$C$5:$C563,$C563)-SUMIFS($J$5:$J563,$C$5:$C563,$C563))</f>
        <v/>
      </c>
      <c r="L563" s="36" t="str">
        <f aca="false">IF($B563="","",$C$2+$E$2+$G$2+SUM($I$5:$I563)-SUM($J$5:$J563))</f>
        <v/>
      </c>
      <c r="M563" s="24"/>
      <c r="N563" s="33" t="str">
        <f aca="false">IF($B563="","",IF(NOT(ISNUMBER($B563)),"日期格式不对",IF($C563="","未选资金账户",IF(AND(N($I563)=0,N($J563)=0),"收支都为空",IF(AND(N($I563)&gt;0,N($J563)&gt;0),"收支不能同时填",IF(AND($D563&lt;&gt;"",LEFT($O563,1)="⚠"),"项目编号不存在",IF(AND($M563="是",$F563=""),"工程回款必须填往来单位","√")))))))</f>
        <v/>
      </c>
      <c r="O563" s="34" t="str">
        <f aca="false">IF($D563="","",IFERROR(INDEX(项目档案!$B$6:$B$255,MATCH($D563,项目档案!$A$6:$A$255,0)),"⚠编号不存在"))</f>
        <v/>
      </c>
      <c r="P563" s="35" t="str">
        <f aca="false">IF($B563="","",TEXT($B563,"yyyy-mm"))</f>
        <v/>
      </c>
    </row>
    <row r="564" customFormat="false" ht="15.75" hidden="false" customHeight="true" outlineLevel="0" collapsed="false">
      <c r="A564" s="32" t="str">
        <f aca="false">IF($B564="","",ROW()-4)</f>
        <v/>
      </c>
      <c r="B564" s="26"/>
      <c r="C564" s="21"/>
      <c r="D564" s="24"/>
      <c r="E564" s="21"/>
      <c r="F564" s="24"/>
      <c r="G564" s="21"/>
      <c r="H564" s="22"/>
      <c r="I564" s="27"/>
      <c r="J564" s="27"/>
      <c r="K564" s="36" t="str">
        <f aca="false">IF($B564="","",IF($C564="泓普",$C$2,IF($C564="仟茂",$E$2,IF($C564="现金",$G$2,0)))+SUMIFS($I$5:$I564,$C$5:$C564,$C564)-SUMIFS($J$5:$J564,$C$5:$C564,$C564))</f>
        <v/>
      </c>
      <c r="L564" s="36" t="str">
        <f aca="false">IF($B564="","",$C$2+$E$2+$G$2+SUM($I$5:$I564)-SUM($J$5:$J564))</f>
        <v/>
      </c>
      <c r="M564" s="24"/>
      <c r="N564" s="33" t="str">
        <f aca="false">IF($B564="","",IF(NOT(ISNUMBER($B564)),"日期格式不对",IF($C564="","未选资金账户",IF(AND(N($I564)=0,N($J564)=0),"收支都为空",IF(AND(N($I564)&gt;0,N($J564)&gt;0),"收支不能同时填",IF(AND($D564&lt;&gt;"",LEFT($O564,1)="⚠"),"项目编号不存在",IF(AND($M564="是",$F564=""),"工程回款必须填往来单位","√")))))))</f>
        <v/>
      </c>
      <c r="O564" s="34" t="str">
        <f aca="false">IF($D564="","",IFERROR(INDEX(项目档案!$B$6:$B$255,MATCH($D564,项目档案!$A$6:$A$255,0)),"⚠编号不存在"))</f>
        <v/>
      </c>
      <c r="P564" s="35" t="str">
        <f aca="false">IF($B564="","",TEXT($B564,"yyyy-mm"))</f>
        <v/>
      </c>
    </row>
    <row r="565" customFormat="false" ht="15.75" hidden="false" customHeight="true" outlineLevel="0" collapsed="false">
      <c r="A565" s="32" t="str">
        <f aca="false">IF($B565="","",ROW()-4)</f>
        <v/>
      </c>
      <c r="B565" s="26"/>
      <c r="C565" s="21"/>
      <c r="D565" s="24"/>
      <c r="E565" s="21"/>
      <c r="F565" s="24"/>
      <c r="G565" s="21"/>
      <c r="H565" s="22"/>
      <c r="I565" s="27"/>
      <c r="J565" s="27"/>
      <c r="K565" s="36" t="str">
        <f aca="false">IF($B565="","",IF($C565="泓普",$C$2,IF($C565="仟茂",$E$2,IF($C565="现金",$G$2,0)))+SUMIFS($I$5:$I565,$C$5:$C565,$C565)-SUMIFS($J$5:$J565,$C$5:$C565,$C565))</f>
        <v/>
      </c>
      <c r="L565" s="36" t="str">
        <f aca="false">IF($B565="","",$C$2+$E$2+$G$2+SUM($I$5:$I565)-SUM($J$5:$J565))</f>
        <v/>
      </c>
      <c r="M565" s="24"/>
      <c r="N565" s="33" t="str">
        <f aca="false">IF($B565="","",IF(NOT(ISNUMBER($B565)),"日期格式不对",IF($C565="","未选资金账户",IF(AND(N($I565)=0,N($J565)=0),"收支都为空",IF(AND(N($I565)&gt;0,N($J565)&gt;0),"收支不能同时填",IF(AND($D565&lt;&gt;"",LEFT($O565,1)="⚠"),"项目编号不存在",IF(AND($M565="是",$F565=""),"工程回款必须填往来单位","√")))))))</f>
        <v/>
      </c>
      <c r="O565" s="34" t="str">
        <f aca="false">IF($D565="","",IFERROR(INDEX(项目档案!$B$6:$B$255,MATCH($D565,项目档案!$A$6:$A$255,0)),"⚠编号不存在"))</f>
        <v/>
      </c>
      <c r="P565" s="35" t="str">
        <f aca="false">IF($B565="","",TEXT($B565,"yyyy-mm"))</f>
        <v/>
      </c>
    </row>
    <row r="566" customFormat="false" ht="15.75" hidden="false" customHeight="true" outlineLevel="0" collapsed="false">
      <c r="A566" s="32" t="str">
        <f aca="false">IF($B566="","",ROW()-4)</f>
        <v/>
      </c>
      <c r="B566" s="26"/>
      <c r="C566" s="21"/>
      <c r="D566" s="24"/>
      <c r="E566" s="21"/>
      <c r="F566" s="24"/>
      <c r="G566" s="21"/>
      <c r="H566" s="22"/>
      <c r="I566" s="27"/>
      <c r="J566" s="27"/>
      <c r="K566" s="36" t="str">
        <f aca="false">IF($B566="","",IF($C566="泓普",$C$2,IF($C566="仟茂",$E$2,IF($C566="现金",$G$2,0)))+SUMIFS($I$5:$I566,$C$5:$C566,$C566)-SUMIFS($J$5:$J566,$C$5:$C566,$C566))</f>
        <v/>
      </c>
      <c r="L566" s="36" t="str">
        <f aca="false">IF($B566="","",$C$2+$E$2+$G$2+SUM($I$5:$I566)-SUM($J$5:$J566))</f>
        <v/>
      </c>
      <c r="M566" s="24"/>
      <c r="N566" s="33" t="str">
        <f aca="false">IF($B566="","",IF(NOT(ISNUMBER($B566)),"日期格式不对",IF($C566="","未选资金账户",IF(AND(N($I566)=0,N($J566)=0),"收支都为空",IF(AND(N($I566)&gt;0,N($J566)&gt;0),"收支不能同时填",IF(AND($D566&lt;&gt;"",LEFT($O566,1)="⚠"),"项目编号不存在",IF(AND($M566="是",$F566=""),"工程回款必须填往来单位","√")))))))</f>
        <v/>
      </c>
      <c r="O566" s="34" t="str">
        <f aca="false">IF($D566="","",IFERROR(INDEX(项目档案!$B$6:$B$255,MATCH($D566,项目档案!$A$6:$A$255,0)),"⚠编号不存在"))</f>
        <v/>
      </c>
      <c r="P566" s="35" t="str">
        <f aca="false">IF($B566="","",TEXT($B566,"yyyy-mm"))</f>
        <v/>
      </c>
    </row>
    <row r="567" customFormat="false" ht="15.75" hidden="false" customHeight="true" outlineLevel="0" collapsed="false">
      <c r="A567" s="32" t="str">
        <f aca="false">IF($B567="","",ROW()-4)</f>
        <v/>
      </c>
      <c r="B567" s="26"/>
      <c r="C567" s="21"/>
      <c r="D567" s="24"/>
      <c r="E567" s="21"/>
      <c r="F567" s="24"/>
      <c r="G567" s="21"/>
      <c r="H567" s="22"/>
      <c r="I567" s="27"/>
      <c r="J567" s="27"/>
      <c r="K567" s="36" t="str">
        <f aca="false">IF($B567="","",IF($C567="泓普",$C$2,IF($C567="仟茂",$E$2,IF($C567="现金",$G$2,0)))+SUMIFS($I$5:$I567,$C$5:$C567,$C567)-SUMIFS($J$5:$J567,$C$5:$C567,$C567))</f>
        <v/>
      </c>
      <c r="L567" s="36" t="str">
        <f aca="false">IF($B567="","",$C$2+$E$2+$G$2+SUM($I$5:$I567)-SUM($J$5:$J567))</f>
        <v/>
      </c>
      <c r="M567" s="24"/>
      <c r="N567" s="33" t="str">
        <f aca="false">IF($B567="","",IF(NOT(ISNUMBER($B567)),"日期格式不对",IF($C567="","未选资金账户",IF(AND(N($I567)=0,N($J567)=0),"收支都为空",IF(AND(N($I567)&gt;0,N($J567)&gt;0),"收支不能同时填",IF(AND($D567&lt;&gt;"",LEFT($O567,1)="⚠"),"项目编号不存在",IF(AND($M567="是",$F567=""),"工程回款必须填往来单位","√")))))))</f>
        <v/>
      </c>
      <c r="O567" s="34" t="str">
        <f aca="false">IF($D567="","",IFERROR(INDEX(项目档案!$B$6:$B$255,MATCH($D567,项目档案!$A$6:$A$255,0)),"⚠编号不存在"))</f>
        <v/>
      </c>
      <c r="P567" s="35" t="str">
        <f aca="false">IF($B567="","",TEXT($B567,"yyyy-mm"))</f>
        <v/>
      </c>
    </row>
    <row r="568" customFormat="false" ht="15.75" hidden="false" customHeight="true" outlineLevel="0" collapsed="false">
      <c r="A568" s="32" t="str">
        <f aca="false">IF($B568="","",ROW()-4)</f>
        <v/>
      </c>
      <c r="B568" s="26"/>
      <c r="C568" s="21"/>
      <c r="D568" s="24"/>
      <c r="E568" s="21"/>
      <c r="F568" s="24"/>
      <c r="G568" s="21"/>
      <c r="H568" s="22"/>
      <c r="I568" s="27"/>
      <c r="J568" s="27"/>
      <c r="K568" s="36" t="str">
        <f aca="false">IF($B568="","",IF($C568="泓普",$C$2,IF($C568="仟茂",$E$2,IF($C568="现金",$G$2,0)))+SUMIFS($I$5:$I568,$C$5:$C568,$C568)-SUMIFS($J$5:$J568,$C$5:$C568,$C568))</f>
        <v/>
      </c>
      <c r="L568" s="36" t="str">
        <f aca="false">IF($B568="","",$C$2+$E$2+$G$2+SUM($I$5:$I568)-SUM($J$5:$J568))</f>
        <v/>
      </c>
      <c r="M568" s="24"/>
      <c r="N568" s="33" t="str">
        <f aca="false">IF($B568="","",IF(NOT(ISNUMBER($B568)),"日期格式不对",IF($C568="","未选资金账户",IF(AND(N($I568)=0,N($J568)=0),"收支都为空",IF(AND(N($I568)&gt;0,N($J568)&gt;0),"收支不能同时填",IF(AND($D568&lt;&gt;"",LEFT($O568,1)="⚠"),"项目编号不存在",IF(AND($M568="是",$F568=""),"工程回款必须填往来单位","√")))))))</f>
        <v/>
      </c>
      <c r="O568" s="34" t="str">
        <f aca="false">IF($D568="","",IFERROR(INDEX(项目档案!$B$6:$B$255,MATCH($D568,项目档案!$A$6:$A$255,0)),"⚠编号不存在"))</f>
        <v/>
      </c>
      <c r="P568" s="35" t="str">
        <f aca="false">IF($B568="","",TEXT($B568,"yyyy-mm"))</f>
        <v/>
      </c>
    </row>
    <row r="569" customFormat="false" ht="15.75" hidden="false" customHeight="true" outlineLevel="0" collapsed="false">
      <c r="A569" s="32" t="str">
        <f aca="false">IF($B569="","",ROW()-4)</f>
        <v/>
      </c>
      <c r="B569" s="26"/>
      <c r="C569" s="21"/>
      <c r="D569" s="24"/>
      <c r="E569" s="21"/>
      <c r="F569" s="24"/>
      <c r="G569" s="21"/>
      <c r="H569" s="22"/>
      <c r="I569" s="27"/>
      <c r="J569" s="27"/>
      <c r="K569" s="36" t="str">
        <f aca="false">IF($B569="","",IF($C569="泓普",$C$2,IF($C569="仟茂",$E$2,IF($C569="现金",$G$2,0)))+SUMIFS($I$5:$I569,$C$5:$C569,$C569)-SUMIFS($J$5:$J569,$C$5:$C569,$C569))</f>
        <v/>
      </c>
      <c r="L569" s="36" t="str">
        <f aca="false">IF($B569="","",$C$2+$E$2+$G$2+SUM($I$5:$I569)-SUM($J$5:$J569))</f>
        <v/>
      </c>
      <c r="M569" s="24"/>
      <c r="N569" s="33" t="str">
        <f aca="false">IF($B569="","",IF(NOT(ISNUMBER($B569)),"日期格式不对",IF($C569="","未选资金账户",IF(AND(N($I569)=0,N($J569)=0),"收支都为空",IF(AND(N($I569)&gt;0,N($J569)&gt;0),"收支不能同时填",IF(AND($D569&lt;&gt;"",LEFT($O569,1)="⚠"),"项目编号不存在",IF(AND($M569="是",$F569=""),"工程回款必须填往来单位","√")))))))</f>
        <v/>
      </c>
      <c r="O569" s="34" t="str">
        <f aca="false">IF($D569="","",IFERROR(INDEX(项目档案!$B$6:$B$255,MATCH($D569,项目档案!$A$6:$A$255,0)),"⚠编号不存在"))</f>
        <v/>
      </c>
      <c r="P569" s="35" t="str">
        <f aca="false">IF($B569="","",TEXT($B569,"yyyy-mm"))</f>
        <v/>
      </c>
    </row>
    <row r="570" customFormat="false" ht="15.75" hidden="false" customHeight="true" outlineLevel="0" collapsed="false">
      <c r="A570" s="32" t="str">
        <f aca="false">IF($B570="","",ROW()-4)</f>
        <v/>
      </c>
      <c r="B570" s="26"/>
      <c r="C570" s="21"/>
      <c r="D570" s="24"/>
      <c r="E570" s="21"/>
      <c r="F570" s="24"/>
      <c r="G570" s="21"/>
      <c r="H570" s="22"/>
      <c r="I570" s="27"/>
      <c r="J570" s="27"/>
      <c r="K570" s="36" t="str">
        <f aca="false">IF($B570="","",IF($C570="泓普",$C$2,IF($C570="仟茂",$E$2,IF($C570="现金",$G$2,0)))+SUMIFS($I$5:$I570,$C$5:$C570,$C570)-SUMIFS($J$5:$J570,$C$5:$C570,$C570))</f>
        <v/>
      </c>
      <c r="L570" s="36" t="str">
        <f aca="false">IF($B570="","",$C$2+$E$2+$G$2+SUM($I$5:$I570)-SUM($J$5:$J570))</f>
        <v/>
      </c>
      <c r="M570" s="24"/>
      <c r="N570" s="33" t="str">
        <f aca="false">IF($B570="","",IF(NOT(ISNUMBER($B570)),"日期格式不对",IF($C570="","未选资金账户",IF(AND(N($I570)=0,N($J570)=0),"收支都为空",IF(AND(N($I570)&gt;0,N($J570)&gt;0),"收支不能同时填",IF(AND($D570&lt;&gt;"",LEFT($O570,1)="⚠"),"项目编号不存在",IF(AND($M570="是",$F570=""),"工程回款必须填往来单位","√")))))))</f>
        <v/>
      </c>
      <c r="O570" s="34" t="str">
        <f aca="false">IF($D570="","",IFERROR(INDEX(项目档案!$B$6:$B$255,MATCH($D570,项目档案!$A$6:$A$255,0)),"⚠编号不存在"))</f>
        <v/>
      </c>
      <c r="P570" s="35" t="str">
        <f aca="false">IF($B570="","",TEXT($B570,"yyyy-mm"))</f>
        <v/>
      </c>
    </row>
    <row r="571" customFormat="false" ht="15.75" hidden="false" customHeight="true" outlineLevel="0" collapsed="false">
      <c r="A571" s="32" t="str">
        <f aca="false">IF($B571="","",ROW()-4)</f>
        <v/>
      </c>
      <c r="B571" s="26"/>
      <c r="C571" s="21"/>
      <c r="D571" s="24"/>
      <c r="E571" s="21"/>
      <c r="F571" s="24"/>
      <c r="G571" s="21"/>
      <c r="H571" s="22"/>
      <c r="I571" s="27"/>
      <c r="J571" s="27"/>
      <c r="K571" s="36" t="str">
        <f aca="false">IF($B571="","",IF($C571="泓普",$C$2,IF($C571="仟茂",$E$2,IF($C571="现金",$G$2,0)))+SUMIFS($I$5:$I571,$C$5:$C571,$C571)-SUMIFS($J$5:$J571,$C$5:$C571,$C571))</f>
        <v/>
      </c>
      <c r="L571" s="36" t="str">
        <f aca="false">IF($B571="","",$C$2+$E$2+$G$2+SUM($I$5:$I571)-SUM($J$5:$J571))</f>
        <v/>
      </c>
      <c r="M571" s="24"/>
      <c r="N571" s="33" t="str">
        <f aca="false">IF($B571="","",IF(NOT(ISNUMBER($B571)),"日期格式不对",IF($C571="","未选资金账户",IF(AND(N($I571)=0,N($J571)=0),"收支都为空",IF(AND(N($I571)&gt;0,N($J571)&gt;0),"收支不能同时填",IF(AND($D571&lt;&gt;"",LEFT($O571,1)="⚠"),"项目编号不存在",IF(AND($M571="是",$F571=""),"工程回款必须填往来单位","√")))))))</f>
        <v/>
      </c>
      <c r="O571" s="34" t="str">
        <f aca="false">IF($D571="","",IFERROR(INDEX(项目档案!$B$6:$B$255,MATCH($D571,项目档案!$A$6:$A$255,0)),"⚠编号不存在"))</f>
        <v/>
      </c>
      <c r="P571" s="35" t="str">
        <f aca="false">IF($B571="","",TEXT($B571,"yyyy-mm"))</f>
        <v/>
      </c>
    </row>
    <row r="572" customFormat="false" ht="15.75" hidden="false" customHeight="true" outlineLevel="0" collapsed="false">
      <c r="A572" s="32" t="str">
        <f aca="false">IF($B572="","",ROW()-4)</f>
        <v/>
      </c>
      <c r="B572" s="26"/>
      <c r="C572" s="21"/>
      <c r="D572" s="24"/>
      <c r="E572" s="21"/>
      <c r="F572" s="24"/>
      <c r="G572" s="21"/>
      <c r="H572" s="22"/>
      <c r="I572" s="27"/>
      <c r="J572" s="27"/>
      <c r="K572" s="36" t="str">
        <f aca="false">IF($B572="","",IF($C572="泓普",$C$2,IF($C572="仟茂",$E$2,IF($C572="现金",$G$2,0)))+SUMIFS($I$5:$I572,$C$5:$C572,$C572)-SUMIFS($J$5:$J572,$C$5:$C572,$C572))</f>
        <v/>
      </c>
      <c r="L572" s="36" t="str">
        <f aca="false">IF($B572="","",$C$2+$E$2+$G$2+SUM($I$5:$I572)-SUM($J$5:$J572))</f>
        <v/>
      </c>
      <c r="M572" s="24"/>
      <c r="N572" s="33" t="str">
        <f aca="false">IF($B572="","",IF(NOT(ISNUMBER($B572)),"日期格式不对",IF($C572="","未选资金账户",IF(AND(N($I572)=0,N($J572)=0),"收支都为空",IF(AND(N($I572)&gt;0,N($J572)&gt;0),"收支不能同时填",IF(AND($D572&lt;&gt;"",LEFT($O572,1)="⚠"),"项目编号不存在",IF(AND($M572="是",$F572=""),"工程回款必须填往来单位","√")))))))</f>
        <v/>
      </c>
      <c r="O572" s="34" t="str">
        <f aca="false">IF($D572="","",IFERROR(INDEX(项目档案!$B$6:$B$255,MATCH($D572,项目档案!$A$6:$A$255,0)),"⚠编号不存在"))</f>
        <v/>
      </c>
      <c r="P572" s="35" t="str">
        <f aca="false">IF($B572="","",TEXT($B572,"yyyy-mm"))</f>
        <v/>
      </c>
    </row>
    <row r="573" customFormat="false" ht="15.75" hidden="false" customHeight="true" outlineLevel="0" collapsed="false">
      <c r="A573" s="32" t="str">
        <f aca="false">IF($B573="","",ROW()-4)</f>
        <v/>
      </c>
      <c r="B573" s="26"/>
      <c r="C573" s="21"/>
      <c r="D573" s="24"/>
      <c r="E573" s="21"/>
      <c r="F573" s="24"/>
      <c r="G573" s="21"/>
      <c r="H573" s="22"/>
      <c r="I573" s="27"/>
      <c r="J573" s="27"/>
      <c r="K573" s="36" t="str">
        <f aca="false">IF($B573="","",IF($C573="泓普",$C$2,IF($C573="仟茂",$E$2,IF($C573="现金",$G$2,0)))+SUMIFS($I$5:$I573,$C$5:$C573,$C573)-SUMIFS($J$5:$J573,$C$5:$C573,$C573))</f>
        <v/>
      </c>
      <c r="L573" s="36" t="str">
        <f aca="false">IF($B573="","",$C$2+$E$2+$G$2+SUM($I$5:$I573)-SUM($J$5:$J573))</f>
        <v/>
      </c>
      <c r="M573" s="24"/>
      <c r="N573" s="33" t="str">
        <f aca="false">IF($B573="","",IF(NOT(ISNUMBER($B573)),"日期格式不对",IF($C573="","未选资金账户",IF(AND(N($I573)=0,N($J573)=0),"收支都为空",IF(AND(N($I573)&gt;0,N($J573)&gt;0),"收支不能同时填",IF(AND($D573&lt;&gt;"",LEFT($O573,1)="⚠"),"项目编号不存在",IF(AND($M573="是",$F573=""),"工程回款必须填往来单位","√")))))))</f>
        <v/>
      </c>
      <c r="O573" s="34" t="str">
        <f aca="false">IF($D573="","",IFERROR(INDEX(项目档案!$B$6:$B$255,MATCH($D573,项目档案!$A$6:$A$255,0)),"⚠编号不存在"))</f>
        <v/>
      </c>
      <c r="P573" s="35" t="str">
        <f aca="false">IF($B573="","",TEXT($B573,"yyyy-mm"))</f>
        <v/>
      </c>
    </row>
    <row r="574" customFormat="false" ht="15.75" hidden="false" customHeight="true" outlineLevel="0" collapsed="false">
      <c r="A574" s="32" t="str">
        <f aca="false">IF($B574="","",ROW()-4)</f>
        <v/>
      </c>
      <c r="B574" s="26"/>
      <c r="C574" s="21"/>
      <c r="D574" s="24"/>
      <c r="E574" s="21"/>
      <c r="F574" s="24"/>
      <c r="G574" s="21"/>
      <c r="H574" s="22"/>
      <c r="I574" s="27"/>
      <c r="J574" s="27"/>
      <c r="K574" s="36" t="str">
        <f aca="false">IF($B574="","",IF($C574="泓普",$C$2,IF($C574="仟茂",$E$2,IF($C574="现金",$G$2,0)))+SUMIFS($I$5:$I574,$C$5:$C574,$C574)-SUMIFS($J$5:$J574,$C$5:$C574,$C574))</f>
        <v/>
      </c>
      <c r="L574" s="36" t="str">
        <f aca="false">IF($B574="","",$C$2+$E$2+$G$2+SUM($I$5:$I574)-SUM($J$5:$J574))</f>
        <v/>
      </c>
      <c r="M574" s="24"/>
      <c r="N574" s="33" t="str">
        <f aca="false">IF($B574="","",IF(NOT(ISNUMBER($B574)),"日期格式不对",IF($C574="","未选资金账户",IF(AND(N($I574)=0,N($J574)=0),"收支都为空",IF(AND(N($I574)&gt;0,N($J574)&gt;0),"收支不能同时填",IF(AND($D574&lt;&gt;"",LEFT($O574,1)="⚠"),"项目编号不存在",IF(AND($M574="是",$F574=""),"工程回款必须填往来单位","√")))))))</f>
        <v/>
      </c>
      <c r="O574" s="34" t="str">
        <f aca="false">IF($D574="","",IFERROR(INDEX(项目档案!$B$6:$B$255,MATCH($D574,项目档案!$A$6:$A$255,0)),"⚠编号不存在"))</f>
        <v/>
      </c>
      <c r="P574" s="35" t="str">
        <f aca="false">IF($B574="","",TEXT($B574,"yyyy-mm"))</f>
        <v/>
      </c>
    </row>
    <row r="575" customFormat="false" ht="15.75" hidden="false" customHeight="true" outlineLevel="0" collapsed="false">
      <c r="A575" s="32" t="str">
        <f aca="false">IF($B575="","",ROW()-4)</f>
        <v/>
      </c>
      <c r="B575" s="26"/>
      <c r="C575" s="21"/>
      <c r="D575" s="24"/>
      <c r="E575" s="21"/>
      <c r="F575" s="24"/>
      <c r="G575" s="21"/>
      <c r="H575" s="22"/>
      <c r="I575" s="27"/>
      <c r="J575" s="27"/>
      <c r="K575" s="36" t="str">
        <f aca="false">IF($B575="","",IF($C575="泓普",$C$2,IF($C575="仟茂",$E$2,IF($C575="现金",$G$2,0)))+SUMIFS($I$5:$I575,$C$5:$C575,$C575)-SUMIFS($J$5:$J575,$C$5:$C575,$C575))</f>
        <v/>
      </c>
      <c r="L575" s="36" t="str">
        <f aca="false">IF($B575="","",$C$2+$E$2+$G$2+SUM($I$5:$I575)-SUM($J$5:$J575))</f>
        <v/>
      </c>
      <c r="M575" s="24"/>
      <c r="N575" s="33" t="str">
        <f aca="false">IF($B575="","",IF(NOT(ISNUMBER($B575)),"日期格式不对",IF($C575="","未选资金账户",IF(AND(N($I575)=0,N($J575)=0),"收支都为空",IF(AND(N($I575)&gt;0,N($J575)&gt;0),"收支不能同时填",IF(AND($D575&lt;&gt;"",LEFT($O575,1)="⚠"),"项目编号不存在",IF(AND($M575="是",$F575=""),"工程回款必须填往来单位","√")))))))</f>
        <v/>
      </c>
      <c r="O575" s="34" t="str">
        <f aca="false">IF($D575="","",IFERROR(INDEX(项目档案!$B$6:$B$255,MATCH($D575,项目档案!$A$6:$A$255,0)),"⚠编号不存在"))</f>
        <v/>
      </c>
      <c r="P575" s="35" t="str">
        <f aca="false">IF($B575="","",TEXT($B575,"yyyy-mm"))</f>
        <v/>
      </c>
    </row>
    <row r="576" customFormat="false" ht="15.75" hidden="false" customHeight="true" outlineLevel="0" collapsed="false">
      <c r="A576" s="32" t="str">
        <f aca="false">IF($B576="","",ROW()-4)</f>
        <v/>
      </c>
      <c r="B576" s="26"/>
      <c r="C576" s="21"/>
      <c r="D576" s="24"/>
      <c r="E576" s="21"/>
      <c r="F576" s="24"/>
      <c r="G576" s="21"/>
      <c r="H576" s="22"/>
      <c r="I576" s="27"/>
      <c r="J576" s="27"/>
      <c r="K576" s="36" t="str">
        <f aca="false">IF($B576="","",IF($C576="泓普",$C$2,IF($C576="仟茂",$E$2,IF($C576="现金",$G$2,0)))+SUMIFS($I$5:$I576,$C$5:$C576,$C576)-SUMIFS($J$5:$J576,$C$5:$C576,$C576))</f>
        <v/>
      </c>
      <c r="L576" s="36" t="str">
        <f aca="false">IF($B576="","",$C$2+$E$2+$G$2+SUM($I$5:$I576)-SUM($J$5:$J576))</f>
        <v/>
      </c>
      <c r="M576" s="24"/>
      <c r="N576" s="33" t="str">
        <f aca="false">IF($B576="","",IF(NOT(ISNUMBER($B576)),"日期格式不对",IF($C576="","未选资金账户",IF(AND(N($I576)=0,N($J576)=0),"收支都为空",IF(AND(N($I576)&gt;0,N($J576)&gt;0),"收支不能同时填",IF(AND($D576&lt;&gt;"",LEFT($O576,1)="⚠"),"项目编号不存在",IF(AND($M576="是",$F576=""),"工程回款必须填往来单位","√")))))))</f>
        <v/>
      </c>
      <c r="O576" s="34" t="str">
        <f aca="false">IF($D576="","",IFERROR(INDEX(项目档案!$B$6:$B$255,MATCH($D576,项目档案!$A$6:$A$255,0)),"⚠编号不存在"))</f>
        <v/>
      </c>
      <c r="P576" s="35" t="str">
        <f aca="false">IF($B576="","",TEXT($B576,"yyyy-mm"))</f>
        <v/>
      </c>
    </row>
    <row r="577" customFormat="false" ht="15.75" hidden="false" customHeight="true" outlineLevel="0" collapsed="false">
      <c r="A577" s="32" t="str">
        <f aca="false">IF($B577="","",ROW()-4)</f>
        <v/>
      </c>
      <c r="B577" s="26"/>
      <c r="C577" s="21"/>
      <c r="D577" s="24"/>
      <c r="E577" s="21"/>
      <c r="F577" s="24"/>
      <c r="G577" s="21"/>
      <c r="H577" s="22"/>
      <c r="I577" s="27"/>
      <c r="J577" s="27"/>
      <c r="K577" s="36" t="str">
        <f aca="false">IF($B577="","",IF($C577="泓普",$C$2,IF($C577="仟茂",$E$2,IF($C577="现金",$G$2,0)))+SUMIFS($I$5:$I577,$C$5:$C577,$C577)-SUMIFS($J$5:$J577,$C$5:$C577,$C577))</f>
        <v/>
      </c>
      <c r="L577" s="36" t="str">
        <f aca="false">IF($B577="","",$C$2+$E$2+$G$2+SUM($I$5:$I577)-SUM($J$5:$J577))</f>
        <v/>
      </c>
      <c r="M577" s="24"/>
      <c r="N577" s="33" t="str">
        <f aca="false">IF($B577="","",IF(NOT(ISNUMBER($B577)),"日期格式不对",IF($C577="","未选资金账户",IF(AND(N($I577)=0,N($J577)=0),"收支都为空",IF(AND(N($I577)&gt;0,N($J577)&gt;0),"收支不能同时填",IF(AND($D577&lt;&gt;"",LEFT($O577,1)="⚠"),"项目编号不存在",IF(AND($M577="是",$F577=""),"工程回款必须填往来单位","√")))))))</f>
        <v/>
      </c>
      <c r="O577" s="34" t="str">
        <f aca="false">IF($D577="","",IFERROR(INDEX(项目档案!$B$6:$B$255,MATCH($D577,项目档案!$A$6:$A$255,0)),"⚠编号不存在"))</f>
        <v/>
      </c>
      <c r="P577" s="35" t="str">
        <f aca="false">IF($B577="","",TEXT($B577,"yyyy-mm"))</f>
        <v/>
      </c>
    </row>
    <row r="578" customFormat="false" ht="15.75" hidden="false" customHeight="true" outlineLevel="0" collapsed="false">
      <c r="A578" s="32" t="str">
        <f aca="false">IF($B578="","",ROW()-4)</f>
        <v/>
      </c>
      <c r="B578" s="26"/>
      <c r="C578" s="21"/>
      <c r="D578" s="24"/>
      <c r="E578" s="21"/>
      <c r="F578" s="24"/>
      <c r="G578" s="21"/>
      <c r="H578" s="22"/>
      <c r="I578" s="27"/>
      <c r="J578" s="27"/>
      <c r="K578" s="36" t="str">
        <f aca="false">IF($B578="","",IF($C578="泓普",$C$2,IF($C578="仟茂",$E$2,IF($C578="现金",$G$2,0)))+SUMIFS($I$5:$I578,$C$5:$C578,$C578)-SUMIFS($J$5:$J578,$C$5:$C578,$C578))</f>
        <v/>
      </c>
      <c r="L578" s="36" t="str">
        <f aca="false">IF($B578="","",$C$2+$E$2+$G$2+SUM($I$5:$I578)-SUM($J$5:$J578))</f>
        <v/>
      </c>
      <c r="M578" s="24"/>
      <c r="N578" s="33" t="str">
        <f aca="false">IF($B578="","",IF(NOT(ISNUMBER($B578)),"日期格式不对",IF($C578="","未选资金账户",IF(AND(N($I578)=0,N($J578)=0),"收支都为空",IF(AND(N($I578)&gt;0,N($J578)&gt;0),"收支不能同时填",IF(AND($D578&lt;&gt;"",LEFT($O578,1)="⚠"),"项目编号不存在",IF(AND($M578="是",$F578=""),"工程回款必须填往来单位","√")))))))</f>
        <v/>
      </c>
      <c r="O578" s="34" t="str">
        <f aca="false">IF($D578="","",IFERROR(INDEX(项目档案!$B$6:$B$255,MATCH($D578,项目档案!$A$6:$A$255,0)),"⚠编号不存在"))</f>
        <v/>
      </c>
      <c r="P578" s="35" t="str">
        <f aca="false">IF($B578="","",TEXT($B578,"yyyy-mm"))</f>
        <v/>
      </c>
    </row>
    <row r="579" customFormat="false" ht="15.75" hidden="false" customHeight="true" outlineLevel="0" collapsed="false">
      <c r="A579" s="32" t="str">
        <f aca="false">IF($B579="","",ROW()-4)</f>
        <v/>
      </c>
      <c r="B579" s="26"/>
      <c r="C579" s="21"/>
      <c r="D579" s="24"/>
      <c r="E579" s="21"/>
      <c r="F579" s="24"/>
      <c r="G579" s="21"/>
      <c r="H579" s="22"/>
      <c r="I579" s="27"/>
      <c r="J579" s="27"/>
      <c r="K579" s="36" t="str">
        <f aca="false">IF($B579="","",IF($C579="泓普",$C$2,IF($C579="仟茂",$E$2,IF($C579="现金",$G$2,0)))+SUMIFS($I$5:$I579,$C$5:$C579,$C579)-SUMIFS($J$5:$J579,$C$5:$C579,$C579))</f>
        <v/>
      </c>
      <c r="L579" s="36" t="str">
        <f aca="false">IF($B579="","",$C$2+$E$2+$G$2+SUM($I$5:$I579)-SUM($J$5:$J579))</f>
        <v/>
      </c>
      <c r="M579" s="24"/>
      <c r="N579" s="33" t="str">
        <f aca="false">IF($B579="","",IF(NOT(ISNUMBER($B579)),"日期格式不对",IF($C579="","未选资金账户",IF(AND(N($I579)=0,N($J579)=0),"收支都为空",IF(AND(N($I579)&gt;0,N($J579)&gt;0),"收支不能同时填",IF(AND($D579&lt;&gt;"",LEFT($O579,1)="⚠"),"项目编号不存在",IF(AND($M579="是",$F579=""),"工程回款必须填往来单位","√")))))))</f>
        <v/>
      </c>
      <c r="O579" s="34" t="str">
        <f aca="false">IF($D579="","",IFERROR(INDEX(项目档案!$B$6:$B$255,MATCH($D579,项目档案!$A$6:$A$255,0)),"⚠编号不存在"))</f>
        <v/>
      </c>
      <c r="P579" s="35" t="str">
        <f aca="false">IF($B579="","",TEXT($B579,"yyyy-mm"))</f>
        <v/>
      </c>
    </row>
    <row r="580" customFormat="false" ht="15.75" hidden="false" customHeight="true" outlineLevel="0" collapsed="false">
      <c r="A580" s="32" t="str">
        <f aca="false">IF($B580="","",ROW()-4)</f>
        <v/>
      </c>
      <c r="B580" s="26"/>
      <c r="C580" s="21"/>
      <c r="D580" s="24"/>
      <c r="E580" s="21"/>
      <c r="F580" s="24"/>
      <c r="G580" s="21"/>
      <c r="H580" s="22"/>
      <c r="I580" s="27"/>
      <c r="J580" s="27"/>
      <c r="K580" s="36" t="str">
        <f aca="false">IF($B580="","",IF($C580="泓普",$C$2,IF($C580="仟茂",$E$2,IF($C580="现金",$G$2,0)))+SUMIFS($I$5:$I580,$C$5:$C580,$C580)-SUMIFS($J$5:$J580,$C$5:$C580,$C580))</f>
        <v/>
      </c>
      <c r="L580" s="36" t="str">
        <f aca="false">IF($B580="","",$C$2+$E$2+$G$2+SUM($I$5:$I580)-SUM($J$5:$J580))</f>
        <v/>
      </c>
      <c r="M580" s="24"/>
      <c r="N580" s="33" t="str">
        <f aca="false">IF($B580="","",IF(NOT(ISNUMBER($B580)),"日期格式不对",IF($C580="","未选资金账户",IF(AND(N($I580)=0,N($J580)=0),"收支都为空",IF(AND(N($I580)&gt;0,N($J580)&gt;0),"收支不能同时填",IF(AND($D580&lt;&gt;"",LEFT($O580,1)="⚠"),"项目编号不存在",IF(AND($M580="是",$F580=""),"工程回款必须填往来单位","√")))))))</f>
        <v/>
      </c>
      <c r="O580" s="34" t="str">
        <f aca="false">IF($D580="","",IFERROR(INDEX(项目档案!$B$6:$B$255,MATCH($D580,项目档案!$A$6:$A$255,0)),"⚠编号不存在"))</f>
        <v/>
      </c>
      <c r="P580" s="35" t="str">
        <f aca="false">IF($B580="","",TEXT($B580,"yyyy-mm"))</f>
        <v/>
      </c>
    </row>
    <row r="581" customFormat="false" ht="15.75" hidden="false" customHeight="true" outlineLevel="0" collapsed="false">
      <c r="A581" s="32" t="str">
        <f aca="false">IF($B581="","",ROW()-4)</f>
        <v/>
      </c>
      <c r="B581" s="26"/>
      <c r="C581" s="21"/>
      <c r="D581" s="24"/>
      <c r="E581" s="21"/>
      <c r="F581" s="24"/>
      <c r="G581" s="21"/>
      <c r="H581" s="22"/>
      <c r="I581" s="27"/>
      <c r="J581" s="27"/>
      <c r="K581" s="36" t="str">
        <f aca="false">IF($B581="","",IF($C581="泓普",$C$2,IF($C581="仟茂",$E$2,IF($C581="现金",$G$2,0)))+SUMIFS($I$5:$I581,$C$5:$C581,$C581)-SUMIFS($J$5:$J581,$C$5:$C581,$C581))</f>
        <v/>
      </c>
      <c r="L581" s="36" t="str">
        <f aca="false">IF($B581="","",$C$2+$E$2+$G$2+SUM($I$5:$I581)-SUM($J$5:$J581))</f>
        <v/>
      </c>
      <c r="M581" s="24"/>
      <c r="N581" s="33" t="str">
        <f aca="false">IF($B581="","",IF(NOT(ISNUMBER($B581)),"日期格式不对",IF($C581="","未选资金账户",IF(AND(N($I581)=0,N($J581)=0),"收支都为空",IF(AND(N($I581)&gt;0,N($J581)&gt;0),"收支不能同时填",IF(AND($D581&lt;&gt;"",LEFT($O581,1)="⚠"),"项目编号不存在",IF(AND($M581="是",$F581=""),"工程回款必须填往来单位","√")))))))</f>
        <v/>
      </c>
      <c r="O581" s="34" t="str">
        <f aca="false">IF($D581="","",IFERROR(INDEX(项目档案!$B$6:$B$255,MATCH($D581,项目档案!$A$6:$A$255,0)),"⚠编号不存在"))</f>
        <v/>
      </c>
      <c r="P581" s="35" t="str">
        <f aca="false">IF($B581="","",TEXT($B581,"yyyy-mm"))</f>
        <v/>
      </c>
    </row>
    <row r="582" customFormat="false" ht="15.75" hidden="false" customHeight="true" outlineLevel="0" collapsed="false">
      <c r="A582" s="32" t="str">
        <f aca="false">IF($B582="","",ROW()-4)</f>
        <v/>
      </c>
      <c r="B582" s="26"/>
      <c r="C582" s="21"/>
      <c r="D582" s="24"/>
      <c r="E582" s="21"/>
      <c r="F582" s="24"/>
      <c r="G582" s="21"/>
      <c r="H582" s="22"/>
      <c r="I582" s="27"/>
      <c r="J582" s="27"/>
      <c r="K582" s="36" t="str">
        <f aca="false">IF($B582="","",IF($C582="泓普",$C$2,IF($C582="仟茂",$E$2,IF($C582="现金",$G$2,0)))+SUMIFS($I$5:$I582,$C$5:$C582,$C582)-SUMIFS($J$5:$J582,$C$5:$C582,$C582))</f>
        <v/>
      </c>
      <c r="L582" s="36" t="str">
        <f aca="false">IF($B582="","",$C$2+$E$2+$G$2+SUM($I$5:$I582)-SUM($J$5:$J582))</f>
        <v/>
      </c>
      <c r="M582" s="24"/>
      <c r="N582" s="33" t="str">
        <f aca="false">IF($B582="","",IF(NOT(ISNUMBER($B582)),"日期格式不对",IF($C582="","未选资金账户",IF(AND(N($I582)=0,N($J582)=0),"收支都为空",IF(AND(N($I582)&gt;0,N($J582)&gt;0),"收支不能同时填",IF(AND($D582&lt;&gt;"",LEFT($O582,1)="⚠"),"项目编号不存在",IF(AND($M582="是",$F582=""),"工程回款必须填往来单位","√")))))))</f>
        <v/>
      </c>
      <c r="O582" s="34" t="str">
        <f aca="false">IF($D582="","",IFERROR(INDEX(项目档案!$B$6:$B$255,MATCH($D582,项目档案!$A$6:$A$255,0)),"⚠编号不存在"))</f>
        <v/>
      </c>
      <c r="P582" s="35" t="str">
        <f aca="false">IF($B582="","",TEXT($B582,"yyyy-mm"))</f>
        <v/>
      </c>
    </row>
    <row r="583" customFormat="false" ht="15.75" hidden="false" customHeight="true" outlineLevel="0" collapsed="false">
      <c r="A583" s="32" t="str">
        <f aca="false">IF($B583="","",ROW()-4)</f>
        <v/>
      </c>
      <c r="B583" s="26"/>
      <c r="C583" s="21"/>
      <c r="D583" s="24"/>
      <c r="E583" s="21"/>
      <c r="F583" s="24"/>
      <c r="G583" s="21"/>
      <c r="H583" s="22"/>
      <c r="I583" s="27"/>
      <c r="J583" s="27"/>
      <c r="K583" s="36" t="str">
        <f aca="false">IF($B583="","",IF($C583="泓普",$C$2,IF($C583="仟茂",$E$2,IF($C583="现金",$G$2,0)))+SUMIFS($I$5:$I583,$C$5:$C583,$C583)-SUMIFS($J$5:$J583,$C$5:$C583,$C583))</f>
        <v/>
      </c>
      <c r="L583" s="36" t="str">
        <f aca="false">IF($B583="","",$C$2+$E$2+$G$2+SUM($I$5:$I583)-SUM($J$5:$J583))</f>
        <v/>
      </c>
      <c r="M583" s="24"/>
      <c r="N583" s="33" t="str">
        <f aca="false">IF($B583="","",IF(NOT(ISNUMBER($B583)),"日期格式不对",IF($C583="","未选资金账户",IF(AND(N($I583)=0,N($J583)=0),"收支都为空",IF(AND(N($I583)&gt;0,N($J583)&gt;0),"收支不能同时填",IF(AND($D583&lt;&gt;"",LEFT($O583,1)="⚠"),"项目编号不存在",IF(AND($M583="是",$F583=""),"工程回款必须填往来单位","√")))))))</f>
        <v/>
      </c>
      <c r="O583" s="34" t="str">
        <f aca="false">IF($D583="","",IFERROR(INDEX(项目档案!$B$6:$B$255,MATCH($D583,项目档案!$A$6:$A$255,0)),"⚠编号不存在"))</f>
        <v/>
      </c>
      <c r="P583" s="35" t="str">
        <f aca="false">IF($B583="","",TEXT($B583,"yyyy-mm"))</f>
        <v/>
      </c>
    </row>
    <row r="584" customFormat="false" ht="15.75" hidden="false" customHeight="true" outlineLevel="0" collapsed="false">
      <c r="A584" s="32" t="str">
        <f aca="false">IF($B584="","",ROW()-4)</f>
        <v/>
      </c>
      <c r="B584" s="26"/>
      <c r="C584" s="21"/>
      <c r="D584" s="24"/>
      <c r="E584" s="21"/>
      <c r="F584" s="24"/>
      <c r="G584" s="21"/>
      <c r="H584" s="22"/>
      <c r="I584" s="27"/>
      <c r="J584" s="27"/>
      <c r="K584" s="36" t="str">
        <f aca="false">IF($B584="","",IF($C584="泓普",$C$2,IF($C584="仟茂",$E$2,IF($C584="现金",$G$2,0)))+SUMIFS($I$5:$I584,$C$5:$C584,$C584)-SUMIFS($J$5:$J584,$C$5:$C584,$C584))</f>
        <v/>
      </c>
      <c r="L584" s="36" t="str">
        <f aca="false">IF($B584="","",$C$2+$E$2+$G$2+SUM($I$5:$I584)-SUM($J$5:$J584))</f>
        <v/>
      </c>
      <c r="M584" s="24"/>
      <c r="N584" s="33" t="str">
        <f aca="false">IF($B584="","",IF(NOT(ISNUMBER($B584)),"日期格式不对",IF($C584="","未选资金账户",IF(AND(N($I584)=0,N($J584)=0),"收支都为空",IF(AND(N($I584)&gt;0,N($J584)&gt;0),"收支不能同时填",IF(AND($D584&lt;&gt;"",LEFT($O584,1)="⚠"),"项目编号不存在",IF(AND($M584="是",$F584=""),"工程回款必须填往来单位","√")))))))</f>
        <v/>
      </c>
      <c r="O584" s="34" t="str">
        <f aca="false">IF($D584="","",IFERROR(INDEX(项目档案!$B$6:$B$255,MATCH($D584,项目档案!$A$6:$A$255,0)),"⚠编号不存在"))</f>
        <v/>
      </c>
      <c r="P584" s="35" t="str">
        <f aca="false">IF($B584="","",TEXT($B584,"yyyy-mm"))</f>
        <v/>
      </c>
    </row>
    <row r="585" customFormat="false" ht="15.75" hidden="false" customHeight="true" outlineLevel="0" collapsed="false">
      <c r="A585" s="32" t="str">
        <f aca="false">IF($B585="","",ROW()-4)</f>
        <v/>
      </c>
      <c r="B585" s="26"/>
      <c r="C585" s="21"/>
      <c r="D585" s="24"/>
      <c r="E585" s="21"/>
      <c r="F585" s="24"/>
      <c r="G585" s="21"/>
      <c r="H585" s="22"/>
      <c r="I585" s="27"/>
      <c r="J585" s="27"/>
      <c r="K585" s="36" t="str">
        <f aca="false">IF($B585="","",IF($C585="泓普",$C$2,IF($C585="仟茂",$E$2,IF($C585="现金",$G$2,0)))+SUMIFS($I$5:$I585,$C$5:$C585,$C585)-SUMIFS($J$5:$J585,$C$5:$C585,$C585))</f>
        <v/>
      </c>
      <c r="L585" s="36" t="str">
        <f aca="false">IF($B585="","",$C$2+$E$2+$G$2+SUM($I$5:$I585)-SUM($J$5:$J585))</f>
        <v/>
      </c>
      <c r="M585" s="24"/>
      <c r="N585" s="33" t="str">
        <f aca="false">IF($B585="","",IF(NOT(ISNUMBER($B585)),"日期格式不对",IF($C585="","未选资金账户",IF(AND(N($I585)=0,N($J585)=0),"收支都为空",IF(AND(N($I585)&gt;0,N($J585)&gt;0),"收支不能同时填",IF(AND($D585&lt;&gt;"",LEFT($O585,1)="⚠"),"项目编号不存在",IF(AND($M585="是",$F585=""),"工程回款必须填往来单位","√")))))))</f>
        <v/>
      </c>
      <c r="O585" s="34" t="str">
        <f aca="false">IF($D585="","",IFERROR(INDEX(项目档案!$B$6:$B$255,MATCH($D585,项目档案!$A$6:$A$255,0)),"⚠编号不存在"))</f>
        <v/>
      </c>
      <c r="P585" s="35" t="str">
        <f aca="false">IF($B585="","",TEXT($B585,"yyyy-mm"))</f>
        <v/>
      </c>
    </row>
    <row r="586" customFormat="false" ht="15.75" hidden="false" customHeight="true" outlineLevel="0" collapsed="false">
      <c r="A586" s="32" t="str">
        <f aca="false">IF($B586="","",ROW()-4)</f>
        <v/>
      </c>
      <c r="B586" s="26"/>
      <c r="C586" s="21"/>
      <c r="D586" s="24"/>
      <c r="E586" s="21"/>
      <c r="F586" s="24"/>
      <c r="G586" s="21"/>
      <c r="H586" s="22"/>
      <c r="I586" s="27"/>
      <c r="J586" s="27"/>
      <c r="K586" s="36" t="str">
        <f aca="false">IF($B586="","",IF($C586="泓普",$C$2,IF($C586="仟茂",$E$2,IF($C586="现金",$G$2,0)))+SUMIFS($I$5:$I586,$C$5:$C586,$C586)-SUMIFS($J$5:$J586,$C$5:$C586,$C586))</f>
        <v/>
      </c>
      <c r="L586" s="36" t="str">
        <f aca="false">IF($B586="","",$C$2+$E$2+$G$2+SUM($I$5:$I586)-SUM($J$5:$J586))</f>
        <v/>
      </c>
      <c r="M586" s="24"/>
      <c r="N586" s="33" t="str">
        <f aca="false">IF($B586="","",IF(NOT(ISNUMBER($B586)),"日期格式不对",IF($C586="","未选资金账户",IF(AND(N($I586)=0,N($J586)=0),"收支都为空",IF(AND(N($I586)&gt;0,N($J586)&gt;0),"收支不能同时填",IF(AND($D586&lt;&gt;"",LEFT($O586,1)="⚠"),"项目编号不存在",IF(AND($M586="是",$F586=""),"工程回款必须填往来单位","√")))))))</f>
        <v/>
      </c>
      <c r="O586" s="34" t="str">
        <f aca="false">IF($D586="","",IFERROR(INDEX(项目档案!$B$6:$B$255,MATCH($D586,项目档案!$A$6:$A$255,0)),"⚠编号不存在"))</f>
        <v/>
      </c>
      <c r="P586" s="35" t="str">
        <f aca="false">IF($B586="","",TEXT($B586,"yyyy-mm"))</f>
        <v/>
      </c>
    </row>
    <row r="587" customFormat="false" ht="15.75" hidden="false" customHeight="true" outlineLevel="0" collapsed="false">
      <c r="A587" s="32" t="str">
        <f aca="false">IF($B587="","",ROW()-4)</f>
        <v/>
      </c>
      <c r="B587" s="26"/>
      <c r="C587" s="21"/>
      <c r="D587" s="24"/>
      <c r="E587" s="21"/>
      <c r="F587" s="24"/>
      <c r="G587" s="21"/>
      <c r="H587" s="22"/>
      <c r="I587" s="27"/>
      <c r="J587" s="27"/>
      <c r="K587" s="36" t="str">
        <f aca="false">IF($B587="","",IF($C587="泓普",$C$2,IF($C587="仟茂",$E$2,IF($C587="现金",$G$2,0)))+SUMIFS($I$5:$I587,$C$5:$C587,$C587)-SUMIFS($J$5:$J587,$C$5:$C587,$C587))</f>
        <v/>
      </c>
      <c r="L587" s="36" t="str">
        <f aca="false">IF($B587="","",$C$2+$E$2+$G$2+SUM($I$5:$I587)-SUM($J$5:$J587))</f>
        <v/>
      </c>
      <c r="M587" s="24"/>
      <c r="N587" s="33" t="str">
        <f aca="false">IF($B587="","",IF(NOT(ISNUMBER($B587)),"日期格式不对",IF($C587="","未选资金账户",IF(AND(N($I587)=0,N($J587)=0),"收支都为空",IF(AND(N($I587)&gt;0,N($J587)&gt;0),"收支不能同时填",IF(AND($D587&lt;&gt;"",LEFT($O587,1)="⚠"),"项目编号不存在",IF(AND($M587="是",$F587=""),"工程回款必须填往来单位","√")))))))</f>
        <v/>
      </c>
      <c r="O587" s="34" t="str">
        <f aca="false">IF($D587="","",IFERROR(INDEX(项目档案!$B$6:$B$255,MATCH($D587,项目档案!$A$6:$A$255,0)),"⚠编号不存在"))</f>
        <v/>
      </c>
      <c r="P587" s="35" t="str">
        <f aca="false">IF($B587="","",TEXT($B587,"yyyy-mm"))</f>
        <v/>
      </c>
    </row>
    <row r="588" customFormat="false" ht="15.75" hidden="false" customHeight="true" outlineLevel="0" collapsed="false">
      <c r="A588" s="32" t="str">
        <f aca="false">IF($B588="","",ROW()-4)</f>
        <v/>
      </c>
      <c r="B588" s="26"/>
      <c r="C588" s="21"/>
      <c r="D588" s="24"/>
      <c r="E588" s="21"/>
      <c r="F588" s="24"/>
      <c r="G588" s="21"/>
      <c r="H588" s="22"/>
      <c r="I588" s="27"/>
      <c r="J588" s="27"/>
      <c r="K588" s="36" t="str">
        <f aca="false">IF($B588="","",IF($C588="泓普",$C$2,IF($C588="仟茂",$E$2,IF($C588="现金",$G$2,0)))+SUMIFS($I$5:$I588,$C$5:$C588,$C588)-SUMIFS($J$5:$J588,$C$5:$C588,$C588))</f>
        <v/>
      </c>
      <c r="L588" s="36" t="str">
        <f aca="false">IF($B588="","",$C$2+$E$2+$G$2+SUM($I$5:$I588)-SUM($J$5:$J588))</f>
        <v/>
      </c>
      <c r="M588" s="24"/>
      <c r="N588" s="33" t="str">
        <f aca="false">IF($B588="","",IF(NOT(ISNUMBER($B588)),"日期格式不对",IF($C588="","未选资金账户",IF(AND(N($I588)=0,N($J588)=0),"收支都为空",IF(AND(N($I588)&gt;0,N($J588)&gt;0),"收支不能同时填",IF(AND($D588&lt;&gt;"",LEFT($O588,1)="⚠"),"项目编号不存在",IF(AND($M588="是",$F588=""),"工程回款必须填往来单位","√")))))))</f>
        <v/>
      </c>
      <c r="O588" s="34" t="str">
        <f aca="false">IF($D588="","",IFERROR(INDEX(项目档案!$B$6:$B$255,MATCH($D588,项目档案!$A$6:$A$255,0)),"⚠编号不存在"))</f>
        <v/>
      </c>
      <c r="P588" s="35" t="str">
        <f aca="false">IF($B588="","",TEXT($B588,"yyyy-mm"))</f>
        <v/>
      </c>
    </row>
    <row r="589" customFormat="false" ht="15.75" hidden="false" customHeight="true" outlineLevel="0" collapsed="false">
      <c r="A589" s="32" t="str">
        <f aca="false">IF($B589="","",ROW()-4)</f>
        <v/>
      </c>
      <c r="B589" s="26"/>
      <c r="C589" s="21"/>
      <c r="D589" s="24"/>
      <c r="E589" s="21"/>
      <c r="F589" s="24"/>
      <c r="G589" s="21"/>
      <c r="H589" s="22"/>
      <c r="I589" s="27"/>
      <c r="J589" s="27"/>
      <c r="K589" s="36" t="str">
        <f aca="false">IF($B589="","",IF($C589="泓普",$C$2,IF($C589="仟茂",$E$2,IF($C589="现金",$G$2,0)))+SUMIFS($I$5:$I589,$C$5:$C589,$C589)-SUMIFS($J$5:$J589,$C$5:$C589,$C589))</f>
        <v/>
      </c>
      <c r="L589" s="36" t="str">
        <f aca="false">IF($B589="","",$C$2+$E$2+$G$2+SUM($I$5:$I589)-SUM($J$5:$J589))</f>
        <v/>
      </c>
      <c r="M589" s="24"/>
      <c r="N589" s="33" t="str">
        <f aca="false">IF($B589="","",IF(NOT(ISNUMBER($B589)),"日期格式不对",IF($C589="","未选资金账户",IF(AND(N($I589)=0,N($J589)=0),"收支都为空",IF(AND(N($I589)&gt;0,N($J589)&gt;0),"收支不能同时填",IF(AND($D589&lt;&gt;"",LEFT($O589,1)="⚠"),"项目编号不存在",IF(AND($M589="是",$F589=""),"工程回款必须填往来单位","√")))))))</f>
        <v/>
      </c>
      <c r="O589" s="34" t="str">
        <f aca="false">IF($D589="","",IFERROR(INDEX(项目档案!$B$6:$B$255,MATCH($D589,项目档案!$A$6:$A$255,0)),"⚠编号不存在"))</f>
        <v/>
      </c>
      <c r="P589" s="35" t="str">
        <f aca="false">IF($B589="","",TEXT($B589,"yyyy-mm"))</f>
        <v/>
      </c>
    </row>
    <row r="590" customFormat="false" ht="15.75" hidden="false" customHeight="true" outlineLevel="0" collapsed="false">
      <c r="A590" s="32" t="str">
        <f aca="false">IF($B590="","",ROW()-4)</f>
        <v/>
      </c>
      <c r="B590" s="26"/>
      <c r="C590" s="21"/>
      <c r="D590" s="24"/>
      <c r="E590" s="21"/>
      <c r="F590" s="24"/>
      <c r="G590" s="21"/>
      <c r="H590" s="22"/>
      <c r="I590" s="27"/>
      <c r="J590" s="27"/>
      <c r="K590" s="36" t="str">
        <f aca="false">IF($B590="","",IF($C590="泓普",$C$2,IF($C590="仟茂",$E$2,IF($C590="现金",$G$2,0)))+SUMIFS($I$5:$I590,$C$5:$C590,$C590)-SUMIFS($J$5:$J590,$C$5:$C590,$C590))</f>
        <v/>
      </c>
      <c r="L590" s="36" t="str">
        <f aca="false">IF($B590="","",$C$2+$E$2+$G$2+SUM($I$5:$I590)-SUM($J$5:$J590))</f>
        <v/>
      </c>
      <c r="M590" s="24"/>
      <c r="N590" s="33" t="str">
        <f aca="false">IF($B590="","",IF(NOT(ISNUMBER($B590)),"日期格式不对",IF($C590="","未选资金账户",IF(AND(N($I590)=0,N($J590)=0),"收支都为空",IF(AND(N($I590)&gt;0,N($J590)&gt;0),"收支不能同时填",IF(AND($D590&lt;&gt;"",LEFT($O590,1)="⚠"),"项目编号不存在",IF(AND($M590="是",$F590=""),"工程回款必须填往来单位","√")))))))</f>
        <v/>
      </c>
      <c r="O590" s="34" t="str">
        <f aca="false">IF($D590="","",IFERROR(INDEX(项目档案!$B$6:$B$255,MATCH($D590,项目档案!$A$6:$A$255,0)),"⚠编号不存在"))</f>
        <v/>
      </c>
      <c r="P590" s="35" t="str">
        <f aca="false">IF($B590="","",TEXT($B590,"yyyy-mm"))</f>
        <v/>
      </c>
    </row>
    <row r="591" customFormat="false" ht="15.75" hidden="false" customHeight="true" outlineLevel="0" collapsed="false">
      <c r="A591" s="32" t="str">
        <f aca="false">IF($B591="","",ROW()-4)</f>
        <v/>
      </c>
      <c r="B591" s="26"/>
      <c r="C591" s="21"/>
      <c r="D591" s="24"/>
      <c r="E591" s="21"/>
      <c r="F591" s="24"/>
      <c r="G591" s="21"/>
      <c r="H591" s="22"/>
      <c r="I591" s="27"/>
      <c r="J591" s="27"/>
      <c r="K591" s="36" t="str">
        <f aca="false">IF($B591="","",IF($C591="泓普",$C$2,IF($C591="仟茂",$E$2,IF($C591="现金",$G$2,0)))+SUMIFS($I$5:$I591,$C$5:$C591,$C591)-SUMIFS($J$5:$J591,$C$5:$C591,$C591))</f>
        <v/>
      </c>
      <c r="L591" s="36" t="str">
        <f aca="false">IF($B591="","",$C$2+$E$2+$G$2+SUM($I$5:$I591)-SUM($J$5:$J591))</f>
        <v/>
      </c>
      <c r="M591" s="24"/>
      <c r="N591" s="33" t="str">
        <f aca="false">IF($B591="","",IF(NOT(ISNUMBER($B591)),"日期格式不对",IF($C591="","未选资金账户",IF(AND(N($I591)=0,N($J591)=0),"收支都为空",IF(AND(N($I591)&gt;0,N($J591)&gt;0),"收支不能同时填",IF(AND($D591&lt;&gt;"",LEFT($O591,1)="⚠"),"项目编号不存在",IF(AND($M591="是",$F591=""),"工程回款必须填往来单位","√")))))))</f>
        <v/>
      </c>
      <c r="O591" s="34" t="str">
        <f aca="false">IF($D591="","",IFERROR(INDEX(项目档案!$B$6:$B$255,MATCH($D591,项目档案!$A$6:$A$255,0)),"⚠编号不存在"))</f>
        <v/>
      </c>
      <c r="P591" s="35" t="str">
        <f aca="false">IF($B591="","",TEXT($B591,"yyyy-mm"))</f>
        <v/>
      </c>
    </row>
    <row r="592" customFormat="false" ht="15.75" hidden="false" customHeight="true" outlineLevel="0" collapsed="false">
      <c r="A592" s="32" t="str">
        <f aca="false">IF($B592="","",ROW()-4)</f>
        <v/>
      </c>
      <c r="B592" s="26"/>
      <c r="C592" s="21"/>
      <c r="D592" s="24"/>
      <c r="E592" s="21"/>
      <c r="F592" s="24"/>
      <c r="G592" s="21"/>
      <c r="H592" s="22"/>
      <c r="I592" s="27"/>
      <c r="J592" s="27"/>
      <c r="K592" s="36" t="str">
        <f aca="false">IF($B592="","",IF($C592="泓普",$C$2,IF($C592="仟茂",$E$2,IF($C592="现金",$G$2,0)))+SUMIFS($I$5:$I592,$C$5:$C592,$C592)-SUMIFS($J$5:$J592,$C$5:$C592,$C592))</f>
        <v/>
      </c>
      <c r="L592" s="36" t="str">
        <f aca="false">IF($B592="","",$C$2+$E$2+$G$2+SUM($I$5:$I592)-SUM($J$5:$J592))</f>
        <v/>
      </c>
      <c r="M592" s="24"/>
      <c r="N592" s="33" t="str">
        <f aca="false">IF($B592="","",IF(NOT(ISNUMBER($B592)),"日期格式不对",IF($C592="","未选资金账户",IF(AND(N($I592)=0,N($J592)=0),"收支都为空",IF(AND(N($I592)&gt;0,N($J592)&gt;0),"收支不能同时填",IF(AND($D592&lt;&gt;"",LEFT($O592,1)="⚠"),"项目编号不存在",IF(AND($M592="是",$F592=""),"工程回款必须填往来单位","√")))))))</f>
        <v/>
      </c>
      <c r="O592" s="34" t="str">
        <f aca="false">IF($D592="","",IFERROR(INDEX(项目档案!$B$6:$B$255,MATCH($D592,项目档案!$A$6:$A$255,0)),"⚠编号不存在"))</f>
        <v/>
      </c>
      <c r="P592" s="35" t="str">
        <f aca="false">IF($B592="","",TEXT($B592,"yyyy-mm"))</f>
        <v/>
      </c>
    </row>
    <row r="593" customFormat="false" ht="15.75" hidden="false" customHeight="true" outlineLevel="0" collapsed="false">
      <c r="A593" s="32" t="str">
        <f aca="false">IF($B593="","",ROW()-4)</f>
        <v/>
      </c>
      <c r="B593" s="26"/>
      <c r="C593" s="21"/>
      <c r="D593" s="24"/>
      <c r="E593" s="21"/>
      <c r="F593" s="24"/>
      <c r="G593" s="21"/>
      <c r="H593" s="22"/>
      <c r="I593" s="27"/>
      <c r="J593" s="27"/>
      <c r="K593" s="36" t="str">
        <f aca="false">IF($B593="","",IF($C593="泓普",$C$2,IF($C593="仟茂",$E$2,IF($C593="现金",$G$2,0)))+SUMIFS($I$5:$I593,$C$5:$C593,$C593)-SUMIFS($J$5:$J593,$C$5:$C593,$C593))</f>
        <v/>
      </c>
      <c r="L593" s="36" t="str">
        <f aca="false">IF($B593="","",$C$2+$E$2+$G$2+SUM($I$5:$I593)-SUM($J$5:$J593))</f>
        <v/>
      </c>
      <c r="M593" s="24"/>
      <c r="N593" s="33" t="str">
        <f aca="false">IF($B593="","",IF(NOT(ISNUMBER($B593)),"日期格式不对",IF($C593="","未选资金账户",IF(AND(N($I593)=0,N($J593)=0),"收支都为空",IF(AND(N($I593)&gt;0,N($J593)&gt;0),"收支不能同时填",IF(AND($D593&lt;&gt;"",LEFT($O593,1)="⚠"),"项目编号不存在",IF(AND($M593="是",$F593=""),"工程回款必须填往来单位","√")))))))</f>
        <v/>
      </c>
      <c r="O593" s="34" t="str">
        <f aca="false">IF($D593="","",IFERROR(INDEX(项目档案!$B$6:$B$255,MATCH($D593,项目档案!$A$6:$A$255,0)),"⚠编号不存在"))</f>
        <v/>
      </c>
      <c r="P593" s="35" t="str">
        <f aca="false">IF($B593="","",TEXT($B593,"yyyy-mm"))</f>
        <v/>
      </c>
    </row>
    <row r="594" customFormat="false" ht="15.75" hidden="false" customHeight="true" outlineLevel="0" collapsed="false">
      <c r="A594" s="32" t="str">
        <f aca="false">IF($B594="","",ROW()-4)</f>
        <v/>
      </c>
      <c r="B594" s="26"/>
      <c r="C594" s="21"/>
      <c r="D594" s="24"/>
      <c r="E594" s="21"/>
      <c r="F594" s="24"/>
      <c r="G594" s="21"/>
      <c r="H594" s="22"/>
      <c r="I594" s="27"/>
      <c r="J594" s="27"/>
      <c r="K594" s="36" t="str">
        <f aca="false">IF($B594="","",IF($C594="泓普",$C$2,IF($C594="仟茂",$E$2,IF($C594="现金",$G$2,0)))+SUMIFS($I$5:$I594,$C$5:$C594,$C594)-SUMIFS($J$5:$J594,$C$5:$C594,$C594))</f>
        <v/>
      </c>
      <c r="L594" s="36" t="str">
        <f aca="false">IF($B594="","",$C$2+$E$2+$G$2+SUM($I$5:$I594)-SUM($J$5:$J594))</f>
        <v/>
      </c>
      <c r="M594" s="24"/>
      <c r="N594" s="33" t="str">
        <f aca="false">IF($B594="","",IF(NOT(ISNUMBER($B594)),"日期格式不对",IF($C594="","未选资金账户",IF(AND(N($I594)=0,N($J594)=0),"收支都为空",IF(AND(N($I594)&gt;0,N($J594)&gt;0),"收支不能同时填",IF(AND($D594&lt;&gt;"",LEFT($O594,1)="⚠"),"项目编号不存在",IF(AND($M594="是",$F594=""),"工程回款必须填往来单位","√")))))))</f>
        <v/>
      </c>
      <c r="O594" s="34" t="str">
        <f aca="false">IF($D594="","",IFERROR(INDEX(项目档案!$B$6:$B$255,MATCH($D594,项目档案!$A$6:$A$255,0)),"⚠编号不存在"))</f>
        <v/>
      </c>
      <c r="P594" s="35" t="str">
        <f aca="false">IF($B594="","",TEXT($B594,"yyyy-mm"))</f>
        <v/>
      </c>
    </row>
    <row r="595" customFormat="false" ht="15.75" hidden="false" customHeight="true" outlineLevel="0" collapsed="false">
      <c r="A595" s="32" t="str">
        <f aca="false">IF($B595="","",ROW()-4)</f>
        <v/>
      </c>
      <c r="B595" s="26"/>
      <c r="C595" s="21"/>
      <c r="D595" s="24"/>
      <c r="E595" s="21"/>
      <c r="F595" s="24"/>
      <c r="G595" s="21"/>
      <c r="H595" s="22"/>
      <c r="I595" s="27"/>
      <c r="J595" s="27"/>
      <c r="K595" s="36" t="str">
        <f aca="false">IF($B595="","",IF($C595="泓普",$C$2,IF($C595="仟茂",$E$2,IF($C595="现金",$G$2,0)))+SUMIFS($I$5:$I595,$C$5:$C595,$C595)-SUMIFS($J$5:$J595,$C$5:$C595,$C595))</f>
        <v/>
      </c>
      <c r="L595" s="36" t="str">
        <f aca="false">IF($B595="","",$C$2+$E$2+$G$2+SUM($I$5:$I595)-SUM($J$5:$J595))</f>
        <v/>
      </c>
      <c r="M595" s="24"/>
      <c r="N595" s="33" t="str">
        <f aca="false">IF($B595="","",IF(NOT(ISNUMBER($B595)),"日期格式不对",IF($C595="","未选资金账户",IF(AND(N($I595)=0,N($J595)=0),"收支都为空",IF(AND(N($I595)&gt;0,N($J595)&gt;0),"收支不能同时填",IF(AND($D595&lt;&gt;"",LEFT($O595,1)="⚠"),"项目编号不存在",IF(AND($M595="是",$F595=""),"工程回款必须填往来单位","√")))))))</f>
        <v/>
      </c>
      <c r="O595" s="34" t="str">
        <f aca="false">IF($D595="","",IFERROR(INDEX(项目档案!$B$6:$B$255,MATCH($D595,项目档案!$A$6:$A$255,0)),"⚠编号不存在"))</f>
        <v/>
      </c>
      <c r="P595" s="35" t="str">
        <f aca="false">IF($B595="","",TEXT($B595,"yyyy-mm"))</f>
        <v/>
      </c>
    </row>
    <row r="596" customFormat="false" ht="15.75" hidden="false" customHeight="true" outlineLevel="0" collapsed="false">
      <c r="A596" s="32" t="str">
        <f aca="false">IF($B596="","",ROW()-4)</f>
        <v/>
      </c>
      <c r="B596" s="26"/>
      <c r="C596" s="21"/>
      <c r="D596" s="24"/>
      <c r="E596" s="21"/>
      <c r="F596" s="24"/>
      <c r="G596" s="21"/>
      <c r="H596" s="22"/>
      <c r="I596" s="27"/>
      <c r="J596" s="27"/>
      <c r="K596" s="36" t="str">
        <f aca="false">IF($B596="","",IF($C596="泓普",$C$2,IF($C596="仟茂",$E$2,IF($C596="现金",$G$2,0)))+SUMIFS($I$5:$I596,$C$5:$C596,$C596)-SUMIFS($J$5:$J596,$C$5:$C596,$C596))</f>
        <v/>
      </c>
      <c r="L596" s="36" t="str">
        <f aca="false">IF($B596="","",$C$2+$E$2+$G$2+SUM($I$5:$I596)-SUM($J$5:$J596))</f>
        <v/>
      </c>
      <c r="M596" s="24"/>
      <c r="N596" s="33" t="str">
        <f aca="false">IF($B596="","",IF(NOT(ISNUMBER($B596)),"日期格式不对",IF($C596="","未选资金账户",IF(AND(N($I596)=0,N($J596)=0),"收支都为空",IF(AND(N($I596)&gt;0,N($J596)&gt;0),"收支不能同时填",IF(AND($D596&lt;&gt;"",LEFT($O596,1)="⚠"),"项目编号不存在",IF(AND($M596="是",$F596=""),"工程回款必须填往来单位","√")))))))</f>
        <v/>
      </c>
      <c r="O596" s="34" t="str">
        <f aca="false">IF($D596="","",IFERROR(INDEX(项目档案!$B$6:$B$255,MATCH($D596,项目档案!$A$6:$A$255,0)),"⚠编号不存在"))</f>
        <v/>
      </c>
      <c r="P596" s="35" t="str">
        <f aca="false">IF($B596="","",TEXT($B596,"yyyy-mm"))</f>
        <v/>
      </c>
    </row>
    <row r="597" customFormat="false" ht="15.75" hidden="false" customHeight="true" outlineLevel="0" collapsed="false">
      <c r="A597" s="32" t="str">
        <f aca="false">IF($B597="","",ROW()-4)</f>
        <v/>
      </c>
      <c r="B597" s="26"/>
      <c r="C597" s="21"/>
      <c r="D597" s="24"/>
      <c r="E597" s="21"/>
      <c r="F597" s="24"/>
      <c r="G597" s="21"/>
      <c r="H597" s="22"/>
      <c r="I597" s="27"/>
      <c r="J597" s="27"/>
      <c r="K597" s="36" t="str">
        <f aca="false">IF($B597="","",IF($C597="泓普",$C$2,IF($C597="仟茂",$E$2,IF($C597="现金",$G$2,0)))+SUMIFS($I$5:$I597,$C$5:$C597,$C597)-SUMIFS($J$5:$J597,$C$5:$C597,$C597))</f>
        <v/>
      </c>
      <c r="L597" s="36" t="str">
        <f aca="false">IF($B597="","",$C$2+$E$2+$G$2+SUM($I$5:$I597)-SUM($J$5:$J597))</f>
        <v/>
      </c>
      <c r="M597" s="24"/>
      <c r="N597" s="33" t="str">
        <f aca="false">IF($B597="","",IF(NOT(ISNUMBER($B597)),"日期格式不对",IF($C597="","未选资金账户",IF(AND(N($I597)=0,N($J597)=0),"收支都为空",IF(AND(N($I597)&gt;0,N($J597)&gt;0),"收支不能同时填",IF(AND($D597&lt;&gt;"",LEFT($O597,1)="⚠"),"项目编号不存在",IF(AND($M597="是",$F597=""),"工程回款必须填往来单位","√")))))))</f>
        <v/>
      </c>
      <c r="O597" s="34" t="str">
        <f aca="false">IF($D597="","",IFERROR(INDEX(项目档案!$B$6:$B$255,MATCH($D597,项目档案!$A$6:$A$255,0)),"⚠编号不存在"))</f>
        <v/>
      </c>
      <c r="P597" s="35" t="str">
        <f aca="false">IF($B597="","",TEXT($B597,"yyyy-mm"))</f>
        <v/>
      </c>
    </row>
    <row r="598" customFormat="false" ht="15.75" hidden="false" customHeight="true" outlineLevel="0" collapsed="false">
      <c r="A598" s="32" t="str">
        <f aca="false">IF($B598="","",ROW()-4)</f>
        <v/>
      </c>
      <c r="B598" s="26"/>
      <c r="C598" s="21"/>
      <c r="D598" s="24"/>
      <c r="E598" s="21"/>
      <c r="F598" s="24"/>
      <c r="G598" s="21"/>
      <c r="H598" s="22"/>
      <c r="I598" s="27"/>
      <c r="J598" s="27"/>
      <c r="K598" s="36" t="str">
        <f aca="false">IF($B598="","",IF($C598="泓普",$C$2,IF($C598="仟茂",$E$2,IF($C598="现金",$G$2,0)))+SUMIFS($I$5:$I598,$C$5:$C598,$C598)-SUMIFS($J$5:$J598,$C$5:$C598,$C598))</f>
        <v/>
      </c>
      <c r="L598" s="36" t="str">
        <f aca="false">IF($B598="","",$C$2+$E$2+$G$2+SUM($I$5:$I598)-SUM($J$5:$J598))</f>
        <v/>
      </c>
      <c r="M598" s="24"/>
      <c r="N598" s="33" t="str">
        <f aca="false">IF($B598="","",IF(NOT(ISNUMBER($B598)),"日期格式不对",IF($C598="","未选资金账户",IF(AND(N($I598)=0,N($J598)=0),"收支都为空",IF(AND(N($I598)&gt;0,N($J598)&gt;0),"收支不能同时填",IF(AND($D598&lt;&gt;"",LEFT($O598,1)="⚠"),"项目编号不存在",IF(AND($M598="是",$F598=""),"工程回款必须填往来单位","√")))))))</f>
        <v/>
      </c>
      <c r="O598" s="34" t="str">
        <f aca="false">IF($D598="","",IFERROR(INDEX(项目档案!$B$6:$B$255,MATCH($D598,项目档案!$A$6:$A$255,0)),"⚠编号不存在"))</f>
        <v/>
      </c>
      <c r="P598" s="35" t="str">
        <f aca="false">IF($B598="","",TEXT($B598,"yyyy-mm"))</f>
        <v/>
      </c>
    </row>
    <row r="599" customFormat="false" ht="15.75" hidden="false" customHeight="true" outlineLevel="0" collapsed="false">
      <c r="A599" s="32" t="str">
        <f aca="false">IF($B599="","",ROW()-4)</f>
        <v/>
      </c>
      <c r="B599" s="26"/>
      <c r="C599" s="21"/>
      <c r="D599" s="24"/>
      <c r="E599" s="21"/>
      <c r="F599" s="24"/>
      <c r="G599" s="21"/>
      <c r="H599" s="22"/>
      <c r="I599" s="27"/>
      <c r="J599" s="27"/>
      <c r="K599" s="36" t="str">
        <f aca="false">IF($B599="","",IF($C599="泓普",$C$2,IF($C599="仟茂",$E$2,IF($C599="现金",$G$2,0)))+SUMIFS($I$5:$I599,$C$5:$C599,$C599)-SUMIFS($J$5:$J599,$C$5:$C599,$C599))</f>
        <v/>
      </c>
      <c r="L599" s="36" t="str">
        <f aca="false">IF($B599="","",$C$2+$E$2+$G$2+SUM($I$5:$I599)-SUM($J$5:$J599))</f>
        <v/>
      </c>
      <c r="M599" s="24"/>
      <c r="N599" s="33" t="str">
        <f aca="false">IF($B599="","",IF(NOT(ISNUMBER($B599)),"日期格式不对",IF($C599="","未选资金账户",IF(AND(N($I599)=0,N($J599)=0),"收支都为空",IF(AND(N($I599)&gt;0,N($J599)&gt;0),"收支不能同时填",IF(AND($D599&lt;&gt;"",LEFT($O599,1)="⚠"),"项目编号不存在",IF(AND($M599="是",$F599=""),"工程回款必须填往来单位","√")))))))</f>
        <v/>
      </c>
      <c r="O599" s="34" t="str">
        <f aca="false">IF($D599="","",IFERROR(INDEX(项目档案!$B$6:$B$255,MATCH($D599,项目档案!$A$6:$A$255,0)),"⚠编号不存在"))</f>
        <v/>
      </c>
      <c r="P599" s="35" t="str">
        <f aca="false">IF($B599="","",TEXT($B599,"yyyy-mm"))</f>
        <v/>
      </c>
    </row>
    <row r="600" customFormat="false" ht="15.75" hidden="false" customHeight="true" outlineLevel="0" collapsed="false">
      <c r="A600" s="32" t="str">
        <f aca="false">IF($B600="","",ROW()-4)</f>
        <v/>
      </c>
      <c r="B600" s="26"/>
      <c r="C600" s="21"/>
      <c r="D600" s="24"/>
      <c r="E600" s="21"/>
      <c r="F600" s="24"/>
      <c r="G600" s="21"/>
      <c r="H600" s="22"/>
      <c r="I600" s="27"/>
      <c r="J600" s="27"/>
      <c r="K600" s="36" t="str">
        <f aca="false">IF($B600="","",IF($C600="泓普",$C$2,IF($C600="仟茂",$E$2,IF($C600="现金",$G$2,0)))+SUMIFS($I$5:$I600,$C$5:$C600,$C600)-SUMIFS($J$5:$J600,$C$5:$C600,$C600))</f>
        <v/>
      </c>
      <c r="L600" s="36" t="str">
        <f aca="false">IF($B600="","",$C$2+$E$2+$G$2+SUM($I$5:$I600)-SUM($J$5:$J600))</f>
        <v/>
      </c>
      <c r="M600" s="24"/>
      <c r="N600" s="33" t="str">
        <f aca="false">IF($B600="","",IF(NOT(ISNUMBER($B600)),"日期格式不对",IF($C600="","未选资金账户",IF(AND(N($I600)=0,N($J600)=0),"收支都为空",IF(AND(N($I600)&gt;0,N($J600)&gt;0),"收支不能同时填",IF(AND($D600&lt;&gt;"",LEFT($O600,1)="⚠"),"项目编号不存在",IF(AND($M600="是",$F600=""),"工程回款必须填往来单位","√")))))))</f>
        <v/>
      </c>
      <c r="O600" s="34" t="str">
        <f aca="false">IF($D600="","",IFERROR(INDEX(项目档案!$B$6:$B$255,MATCH($D600,项目档案!$A$6:$A$255,0)),"⚠编号不存在"))</f>
        <v/>
      </c>
      <c r="P600" s="35" t="str">
        <f aca="false">IF($B600="","",TEXT($B600,"yyyy-mm"))</f>
        <v/>
      </c>
    </row>
    <row r="601" customFormat="false" ht="15.75" hidden="false" customHeight="true" outlineLevel="0" collapsed="false">
      <c r="A601" s="32" t="str">
        <f aca="false">IF($B601="","",ROW()-4)</f>
        <v/>
      </c>
      <c r="B601" s="26"/>
      <c r="C601" s="21"/>
      <c r="D601" s="24"/>
      <c r="E601" s="21"/>
      <c r="F601" s="24"/>
      <c r="G601" s="21"/>
      <c r="H601" s="22"/>
      <c r="I601" s="27"/>
      <c r="J601" s="27"/>
      <c r="K601" s="36" t="str">
        <f aca="false">IF($B601="","",IF($C601="泓普",$C$2,IF($C601="仟茂",$E$2,IF($C601="现金",$G$2,0)))+SUMIFS($I$5:$I601,$C$5:$C601,$C601)-SUMIFS($J$5:$J601,$C$5:$C601,$C601))</f>
        <v/>
      </c>
      <c r="L601" s="36" t="str">
        <f aca="false">IF($B601="","",$C$2+$E$2+$G$2+SUM($I$5:$I601)-SUM($J$5:$J601))</f>
        <v/>
      </c>
      <c r="M601" s="24"/>
      <c r="N601" s="33" t="str">
        <f aca="false">IF($B601="","",IF(NOT(ISNUMBER($B601)),"日期格式不对",IF($C601="","未选资金账户",IF(AND(N($I601)=0,N($J601)=0),"收支都为空",IF(AND(N($I601)&gt;0,N($J601)&gt;0),"收支不能同时填",IF(AND($D601&lt;&gt;"",LEFT($O601,1)="⚠"),"项目编号不存在",IF(AND($M601="是",$F601=""),"工程回款必须填往来单位","√")))))))</f>
        <v/>
      </c>
      <c r="O601" s="34" t="str">
        <f aca="false">IF($D601="","",IFERROR(INDEX(项目档案!$B$6:$B$255,MATCH($D601,项目档案!$A$6:$A$255,0)),"⚠编号不存在"))</f>
        <v/>
      </c>
      <c r="P601" s="35" t="str">
        <f aca="false">IF($B601="","",TEXT($B601,"yyyy-mm"))</f>
        <v/>
      </c>
    </row>
    <row r="602" customFormat="false" ht="15.75" hidden="false" customHeight="true" outlineLevel="0" collapsed="false">
      <c r="A602" s="32" t="str">
        <f aca="false">IF($B602="","",ROW()-4)</f>
        <v/>
      </c>
      <c r="B602" s="26"/>
      <c r="C602" s="21"/>
      <c r="D602" s="24"/>
      <c r="E602" s="21"/>
      <c r="F602" s="24"/>
      <c r="G602" s="21"/>
      <c r="H602" s="22"/>
      <c r="I602" s="27"/>
      <c r="J602" s="27"/>
      <c r="K602" s="36" t="str">
        <f aca="false">IF($B602="","",IF($C602="泓普",$C$2,IF($C602="仟茂",$E$2,IF($C602="现金",$G$2,0)))+SUMIFS($I$5:$I602,$C$5:$C602,$C602)-SUMIFS($J$5:$J602,$C$5:$C602,$C602))</f>
        <v/>
      </c>
      <c r="L602" s="36" t="str">
        <f aca="false">IF($B602="","",$C$2+$E$2+$G$2+SUM($I$5:$I602)-SUM($J$5:$J602))</f>
        <v/>
      </c>
      <c r="M602" s="24"/>
      <c r="N602" s="33" t="str">
        <f aca="false">IF($B602="","",IF(NOT(ISNUMBER($B602)),"日期格式不对",IF($C602="","未选资金账户",IF(AND(N($I602)=0,N($J602)=0),"收支都为空",IF(AND(N($I602)&gt;0,N($J602)&gt;0),"收支不能同时填",IF(AND($D602&lt;&gt;"",LEFT($O602,1)="⚠"),"项目编号不存在",IF(AND($M602="是",$F602=""),"工程回款必须填往来单位","√")))))))</f>
        <v/>
      </c>
      <c r="O602" s="34" t="str">
        <f aca="false">IF($D602="","",IFERROR(INDEX(项目档案!$B$6:$B$255,MATCH($D602,项目档案!$A$6:$A$255,0)),"⚠编号不存在"))</f>
        <v/>
      </c>
      <c r="P602" s="35" t="str">
        <f aca="false">IF($B602="","",TEXT($B602,"yyyy-mm"))</f>
        <v/>
      </c>
    </row>
    <row r="603" customFormat="false" ht="15.75" hidden="false" customHeight="true" outlineLevel="0" collapsed="false">
      <c r="A603" s="32" t="str">
        <f aca="false">IF($B603="","",ROW()-4)</f>
        <v/>
      </c>
      <c r="B603" s="26"/>
      <c r="C603" s="21"/>
      <c r="D603" s="24"/>
      <c r="E603" s="21"/>
      <c r="F603" s="24"/>
      <c r="G603" s="21"/>
      <c r="H603" s="22"/>
      <c r="I603" s="27"/>
      <c r="J603" s="27"/>
      <c r="K603" s="36" t="str">
        <f aca="false">IF($B603="","",IF($C603="泓普",$C$2,IF($C603="仟茂",$E$2,IF($C603="现金",$G$2,0)))+SUMIFS($I$5:$I603,$C$5:$C603,$C603)-SUMIFS($J$5:$J603,$C$5:$C603,$C603))</f>
        <v/>
      </c>
      <c r="L603" s="36" t="str">
        <f aca="false">IF($B603="","",$C$2+$E$2+$G$2+SUM($I$5:$I603)-SUM($J$5:$J603))</f>
        <v/>
      </c>
      <c r="M603" s="24"/>
      <c r="N603" s="33" t="str">
        <f aca="false">IF($B603="","",IF(NOT(ISNUMBER($B603)),"日期格式不对",IF($C603="","未选资金账户",IF(AND(N($I603)=0,N($J603)=0),"收支都为空",IF(AND(N($I603)&gt;0,N($J603)&gt;0),"收支不能同时填",IF(AND($D603&lt;&gt;"",LEFT($O603,1)="⚠"),"项目编号不存在",IF(AND($M603="是",$F603=""),"工程回款必须填往来单位","√")))))))</f>
        <v/>
      </c>
      <c r="O603" s="34" t="str">
        <f aca="false">IF($D603="","",IFERROR(INDEX(项目档案!$B$6:$B$255,MATCH($D603,项目档案!$A$6:$A$255,0)),"⚠编号不存在"))</f>
        <v/>
      </c>
      <c r="P603" s="35" t="str">
        <f aca="false">IF($B603="","",TEXT($B603,"yyyy-mm"))</f>
        <v/>
      </c>
    </row>
    <row r="604" customFormat="false" ht="15.75" hidden="false" customHeight="true" outlineLevel="0" collapsed="false">
      <c r="A604" s="32" t="str">
        <f aca="false">IF($B604="","",ROW()-4)</f>
        <v/>
      </c>
      <c r="B604" s="26"/>
      <c r="C604" s="21"/>
      <c r="D604" s="24"/>
      <c r="E604" s="21"/>
      <c r="F604" s="24"/>
      <c r="G604" s="21"/>
      <c r="H604" s="22"/>
      <c r="I604" s="27"/>
      <c r="J604" s="27"/>
      <c r="K604" s="36" t="str">
        <f aca="false">IF($B604="","",IF($C604="泓普",$C$2,IF($C604="仟茂",$E$2,IF($C604="现金",$G$2,0)))+SUMIFS($I$5:$I604,$C$5:$C604,$C604)-SUMIFS($J$5:$J604,$C$5:$C604,$C604))</f>
        <v/>
      </c>
      <c r="L604" s="36" t="str">
        <f aca="false">IF($B604="","",$C$2+$E$2+$G$2+SUM($I$5:$I604)-SUM($J$5:$J604))</f>
        <v/>
      </c>
      <c r="M604" s="24"/>
      <c r="N604" s="33" t="str">
        <f aca="false">IF($B604="","",IF(NOT(ISNUMBER($B604)),"日期格式不对",IF($C604="","未选资金账户",IF(AND(N($I604)=0,N($J604)=0),"收支都为空",IF(AND(N($I604)&gt;0,N($J604)&gt;0),"收支不能同时填",IF(AND($D604&lt;&gt;"",LEFT($O604,1)="⚠"),"项目编号不存在",IF(AND($M604="是",$F604=""),"工程回款必须填往来单位","√")))))))</f>
        <v/>
      </c>
      <c r="O604" s="34" t="str">
        <f aca="false">IF($D604="","",IFERROR(INDEX(项目档案!$B$6:$B$255,MATCH($D604,项目档案!$A$6:$A$255,0)),"⚠编号不存在"))</f>
        <v/>
      </c>
      <c r="P604" s="35" t="str">
        <f aca="false">IF($B604="","",TEXT($B604,"yyyy-mm"))</f>
        <v/>
      </c>
    </row>
    <row r="605" customFormat="false" ht="15.75" hidden="false" customHeight="true" outlineLevel="0" collapsed="false">
      <c r="A605" s="32" t="str">
        <f aca="false">IF($B605="","",ROW()-4)</f>
        <v/>
      </c>
      <c r="B605" s="26"/>
      <c r="C605" s="21"/>
      <c r="D605" s="24"/>
      <c r="E605" s="21"/>
      <c r="F605" s="24"/>
      <c r="G605" s="21"/>
      <c r="H605" s="22"/>
      <c r="I605" s="27"/>
      <c r="J605" s="27"/>
      <c r="K605" s="36" t="str">
        <f aca="false">IF($B605="","",IF($C605="泓普",$C$2,IF($C605="仟茂",$E$2,IF($C605="现金",$G$2,0)))+SUMIFS($I$5:$I605,$C$5:$C605,$C605)-SUMIFS($J$5:$J605,$C$5:$C605,$C605))</f>
        <v/>
      </c>
      <c r="L605" s="36" t="str">
        <f aca="false">IF($B605="","",$C$2+$E$2+$G$2+SUM($I$5:$I605)-SUM($J$5:$J605))</f>
        <v/>
      </c>
      <c r="M605" s="24"/>
      <c r="N605" s="33" t="str">
        <f aca="false">IF($B605="","",IF(NOT(ISNUMBER($B605)),"日期格式不对",IF($C605="","未选资金账户",IF(AND(N($I605)=0,N($J605)=0),"收支都为空",IF(AND(N($I605)&gt;0,N($J605)&gt;0),"收支不能同时填",IF(AND($D605&lt;&gt;"",LEFT($O605,1)="⚠"),"项目编号不存在",IF(AND($M605="是",$F605=""),"工程回款必须填往来单位","√")))))))</f>
        <v/>
      </c>
      <c r="O605" s="34" t="str">
        <f aca="false">IF($D605="","",IFERROR(INDEX(项目档案!$B$6:$B$255,MATCH($D605,项目档案!$A$6:$A$255,0)),"⚠编号不存在"))</f>
        <v/>
      </c>
      <c r="P605" s="35" t="str">
        <f aca="false">IF($B605="","",TEXT($B605,"yyyy-mm"))</f>
        <v/>
      </c>
    </row>
    <row r="606" customFormat="false" ht="15.75" hidden="false" customHeight="true" outlineLevel="0" collapsed="false">
      <c r="A606" s="32" t="str">
        <f aca="false">IF($B606="","",ROW()-4)</f>
        <v/>
      </c>
      <c r="B606" s="26"/>
      <c r="C606" s="21"/>
      <c r="D606" s="24"/>
      <c r="E606" s="21"/>
      <c r="F606" s="24"/>
      <c r="G606" s="21"/>
      <c r="H606" s="22"/>
      <c r="I606" s="27"/>
      <c r="J606" s="27"/>
      <c r="K606" s="36" t="str">
        <f aca="false">IF($B606="","",IF($C606="泓普",$C$2,IF($C606="仟茂",$E$2,IF($C606="现金",$G$2,0)))+SUMIFS($I$5:$I606,$C$5:$C606,$C606)-SUMIFS($J$5:$J606,$C$5:$C606,$C606))</f>
        <v/>
      </c>
      <c r="L606" s="36" t="str">
        <f aca="false">IF($B606="","",$C$2+$E$2+$G$2+SUM($I$5:$I606)-SUM($J$5:$J606))</f>
        <v/>
      </c>
      <c r="M606" s="24"/>
      <c r="N606" s="33" t="str">
        <f aca="false">IF($B606="","",IF(NOT(ISNUMBER($B606)),"日期格式不对",IF($C606="","未选资金账户",IF(AND(N($I606)=0,N($J606)=0),"收支都为空",IF(AND(N($I606)&gt;0,N($J606)&gt;0),"收支不能同时填",IF(AND($D606&lt;&gt;"",LEFT($O606,1)="⚠"),"项目编号不存在",IF(AND($M606="是",$F606=""),"工程回款必须填往来单位","√")))))))</f>
        <v/>
      </c>
      <c r="O606" s="34" t="str">
        <f aca="false">IF($D606="","",IFERROR(INDEX(项目档案!$B$6:$B$255,MATCH($D606,项目档案!$A$6:$A$255,0)),"⚠编号不存在"))</f>
        <v/>
      </c>
      <c r="P606" s="35" t="str">
        <f aca="false">IF($B606="","",TEXT($B606,"yyyy-mm"))</f>
        <v/>
      </c>
    </row>
    <row r="607" customFormat="false" ht="15.75" hidden="false" customHeight="true" outlineLevel="0" collapsed="false">
      <c r="A607" s="32" t="str">
        <f aca="false">IF($B607="","",ROW()-4)</f>
        <v/>
      </c>
      <c r="B607" s="26"/>
      <c r="C607" s="21"/>
      <c r="D607" s="24"/>
      <c r="E607" s="21"/>
      <c r="F607" s="24"/>
      <c r="G607" s="21"/>
      <c r="H607" s="22"/>
      <c r="I607" s="27"/>
      <c r="J607" s="27"/>
      <c r="K607" s="36" t="str">
        <f aca="false">IF($B607="","",IF($C607="泓普",$C$2,IF($C607="仟茂",$E$2,IF($C607="现金",$G$2,0)))+SUMIFS($I$5:$I607,$C$5:$C607,$C607)-SUMIFS($J$5:$J607,$C$5:$C607,$C607))</f>
        <v/>
      </c>
      <c r="L607" s="36" t="str">
        <f aca="false">IF($B607="","",$C$2+$E$2+$G$2+SUM($I$5:$I607)-SUM($J$5:$J607))</f>
        <v/>
      </c>
      <c r="M607" s="24"/>
      <c r="N607" s="33" t="str">
        <f aca="false">IF($B607="","",IF(NOT(ISNUMBER($B607)),"日期格式不对",IF($C607="","未选资金账户",IF(AND(N($I607)=0,N($J607)=0),"收支都为空",IF(AND(N($I607)&gt;0,N($J607)&gt;0),"收支不能同时填",IF(AND($D607&lt;&gt;"",LEFT($O607,1)="⚠"),"项目编号不存在",IF(AND($M607="是",$F607=""),"工程回款必须填往来单位","√")))))))</f>
        <v/>
      </c>
      <c r="O607" s="34" t="str">
        <f aca="false">IF($D607="","",IFERROR(INDEX(项目档案!$B$6:$B$255,MATCH($D607,项目档案!$A$6:$A$255,0)),"⚠编号不存在"))</f>
        <v/>
      </c>
      <c r="P607" s="35" t="str">
        <f aca="false">IF($B607="","",TEXT($B607,"yyyy-mm"))</f>
        <v/>
      </c>
    </row>
    <row r="608" customFormat="false" ht="15.75" hidden="false" customHeight="true" outlineLevel="0" collapsed="false">
      <c r="A608" s="32" t="str">
        <f aca="false">IF($B608="","",ROW()-4)</f>
        <v/>
      </c>
      <c r="B608" s="26"/>
      <c r="C608" s="21"/>
      <c r="D608" s="24"/>
      <c r="E608" s="21"/>
      <c r="F608" s="24"/>
      <c r="G608" s="21"/>
      <c r="H608" s="22"/>
      <c r="I608" s="27"/>
      <c r="J608" s="27"/>
      <c r="K608" s="36" t="str">
        <f aca="false">IF($B608="","",IF($C608="泓普",$C$2,IF($C608="仟茂",$E$2,IF($C608="现金",$G$2,0)))+SUMIFS($I$5:$I608,$C$5:$C608,$C608)-SUMIFS($J$5:$J608,$C$5:$C608,$C608))</f>
        <v/>
      </c>
      <c r="L608" s="36" t="str">
        <f aca="false">IF($B608="","",$C$2+$E$2+$G$2+SUM($I$5:$I608)-SUM($J$5:$J608))</f>
        <v/>
      </c>
      <c r="M608" s="24"/>
      <c r="N608" s="33" t="str">
        <f aca="false">IF($B608="","",IF(NOT(ISNUMBER($B608)),"日期格式不对",IF($C608="","未选资金账户",IF(AND(N($I608)=0,N($J608)=0),"收支都为空",IF(AND(N($I608)&gt;0,N($J608)&gt;0),"收支不能同时填",IF(AND($D608&lt;&gt;"",LEFT($O608,1)="⚠"),"项目编号不存在",IF(AND($M608="是",$F608=""),"工程回款必须填往来单位","√")))))))</f>
        <v/>
      </c>
      <c r="O608" s="34" t="str">
        <f aca="false">IF($D608="","",IFERROR(INDEX(项目档案!$B$6:$B$255,MATCH($D608,项目档案!$A$6:$A$255,0)),"⚠编号不存在"))</f>
        <v/>
      </c>
      <c r="P608" s="35" t="str">
        <f aca="false">IF($B608="","",TEXT($B608,"yyyy-mm"))</f>
        <v/>
      </c>
    </row>
    <row r="609" customFormat="false" ht="15.75" hidden="false" customHeight="true" outlineLevel="0" collapsed="false">
      <c r="A609" s="32" t="str">
        <f aca="false">IF($B609="","",ROW()-4)</f>
        <v/>
      </c>
      <c r="B609" s="26"/>
      <c r="C609" s="21"/>
      <c r="D609" s="24"/>
      <c r="E609" s="21"/>
      <c r="F609" s="24"/>
      <c r="G609" s="21"/>
      <c r="H609" s="22"/>
      <c r="I609" s="27"/>
      <c r="J609" s="27"/>
      <c r="K609" s="36" t="str">
        <f aca="false">IF($B609="","",IF($C609="泓普",$C$2,IF($C609="仟茂",$E$2,IF($C609="现金",$G$2,0)))+SUMIFS($I$5:$I609,$C$5:$C609,$C609)-SUMIFS($J$5:$J609,$C$5:$C609,$C609))</f>
        <v/>
      </c>
      <c r="L609" s="36" t="str">
        <f aca="false">IF($B609="","",$C$2+$E$2+$G$2+SUM($I$5:$I609)-SUM($J$5:$J609))</f>
        <v/>
      </c>
      <c r="M609" s="24"/>
      <c r="N609" s="33" t="str">
        <f aca="false">IF($B609="","",IF(NOT(ISNUMBER($B609)),"日期格式不对",IF($C609="","未选资金账户",IF(AND(N($I609)=0,N($J609)=0),"收支都为空",IF(AND(N($I609)&gt;0,N($J609)&gt;0),"收支不能同时填",IF(AND($D609&lt;&gt;"",LEFT($O609,1)="⚠"),"项目编号不存在",IF(AND($M609="是",$F609=""),"工程回款必须填往来单位","√")))))))</f>
        <v/>
      </c>
      <c r="O609" s="34" t="str">
        <f aca="false">IF($D609="","",IFERROR(INDEX(项目档案!$B$6:$B$255,MATCH($D609,项目档案!$A$6:$A$255,0)),"⚠编号不存在"))</f>
        <v/>
      </c>
      <c r="P609" s="35" t="str">
        <f aca="false">IF($B609="","",TEXT($B609,"yyyy-mm"))</f>
        <v/>
      </c>
    </row>
    <row r="610" customFormat="false" ht="15.75" hidden="false" customHeight="true" outlineLevel="0" collapsed="false">
      <c r="A610" s="32" t="str">
        <f aca="false">IF($B610="","",ROW()-4)</f>
        <v/>
      </c>
      <c r="B610" s="26"/>
      <c r="C610" s="21"/>
      <c r="D610" s="24"/>
      <c r="E610" s="21"/>
      <c r="F610" s="24"/>
      <c r="G610" s="21"/>
      <c r="H610" s="22"/>
      <c r="I610" s="27"/>
      <c r="J610" s="27"/>
      <c r="K610" s="36" t="str">
        <f aca="false">IF($B610="","",IF($C610="泓普",$C$2,IF($C610="仟茂",$E$2,IF($C610="现金",$G$2,0)))+SUMIFS($I$5:$I610,$C$5:$C610,$C610)-SUMIFS($J$5:$J610,$C$5:$C610,$C610))</f>
        <v/>
      </c>
      <c r="L610" s="36" t="str">
        <f aca="false">IF($B610="","",$C$2+$E$2+$G$2+SUM($I$5:$I610)-SUM($J$5:$J610))</f>
        <v/>
      </c>
      <c r="M610" s="24"/>
      <c r="N610" s="33" t="str">
        <f aca="false">IF($B610="","",IF(NOT(ISNUMBER($B610)),"日期格式不对",IF($C610="","未选资金账户",IF(AND(N($I610)=0,N($J610)=0),"收支都为空",IF(AND(N($I610)&gt;0,N($J610)&gt;0),"收支不能同时填",IF(AND($D610&lt;&gt;"",LEFT($O610,1)="⚠"),"项目编号不存在",IF(AND($M610="是",$F610=""),"工程回款必须填往来单位","√")))))))</f>
        <v/>
      </c>
      <c r="O610" s="34" t="str">
        <f aca="false">IF($D610="","",IFERROR(INDEX(项目档案!$B$6:$B$255,MATCH($D610,项目档案!$A$6:$A$255,0)),"⚠编号不存在"))</f>
        <v/>
      </c>
      <c r="P610" s="35" t="str">
        <f aca="false">IF($B610="","",TEXT($B610,"yyyy-mm"))</f>
        <v/>
      </c>
    </row>
    <row r="611" customFormat="false" ht="15.75" hidden="false" customHeight="true" outlineLevel="0" collapsed="false">
      <c r="A611" s="32" t="str">
        <f aca="false">IF($B611="","",ROW()-4)</f>
        <v/>
      </c>
      <c r="B611" s="26"/>
      <c r="C611" s="21"/>
      <c r="D611" s="24"/>
      <c r="E611" s="21"/>
      <c r="F611" s="24"/>
      <c r="G611" s="21"/>
      <c r="H611" s="22"/>
      <c r="I611" s="27"/>
      <c r="J611" s="27"/>
      <c r="K611" s="36" t="str">
        <f aca="false">IF($B611="","",IF($C611="泓普",$C$2,IF($C611="仟茂",$E$2,IF($C611="现金",$G$2,0)))+SUMIFS($I$5:$I611,$C$5:$C611,$C611)-SUMIFS($J$5:$J611,$C$5:$C611,$C611))</f>
        <v/>
      </c>
      <c r="L611" s="36" t="str">
        <f aca="false">IF($B611="","",$C$2+$E$2+$G$2+SUM($I$5:$I611)-SUM($J$5:$J611))</f>
        <v/>
      </c>
      <c r="M611" s="24"/>
      <c r="N611" s="33" t="str">
        <f aca="false">IF($B611="","",IF(NOT(ISNUMBER($B611)),"日期格式不对",IF($C611="","未选资金账户",IF(AND(N($I611)=0,N($J611)=0),"收支都为空",IF(AND(N($I611)&gt;0,N($J611)&gt;0),"收支不能同时填",IF(AND($D611&lt;&gt;"",LEFT($O611,1)="⚠"),"项目编号不存在",IF(AND($M611="是",$F611=""),"工程回款必须填往来单位","√")))))))</f>
        <v/>
      </c>
      <c r="O611" s="34" t="str">
        <f aca="false">IF($D611="","",IFERROR(INDEX(项目档案!$B$6:$B$255,MATCH($D611,项目档案!$A$6:$A$255,0)),"⚠编号不存在"))</f>
        <v/>
      </c>
      <c r="P611" s="35" t="str">
        <f aca="false">IF($B611="","",TEXT($B611,"yyyy-mm"))</f>
        <v/>
      </c>
    </row>
    <row r="612" customFormat="false" ht="15.75" hidden="false" customHeight="true" outlineLevel="0" collapsed="false">
      <c r="A612" s="32" t="str">
        <f aca="false">IF($B612="","",ROW()-4)</f>
        <v/>
      </c>
      <c r="B612" s="26"/>
      <c r="C612" s="21"/>
      <c r="D612" s="24"/>
      <c r="E612" s="21"/>
      <c r="F612" s="24"/>
      <c r="G612" s="21"/>
      <c r="H612" s="22"/>
      <c r="I612" s="27"/>
      <c r="J612" s="27"/>
      <c r="K612" s="36" t="str">
        <f aca="false">IF($B612="","",IF($C612="泓普",$C$2,IF($C612="仟茂",$E$2,IF($C612="现金",$G$2,0)))+SUMIFS($I$5:$I612,$C$5:$C612,$C612)-SUMIFS($J$5:$J612,$C$5:$C612,$C612))</f>
        <v/>
      </c>
      <c r="L612" s="36" t="str">
        <f aca="false">IF($B612="","",$C$2+$E$2+$G$2+SUM($I$5:$I612)-SUM($J$5:$J612))</f>
        <v/>
      </c>
      <c r="M612" s="24"/>
      <c r="N612" s="33" t="str">
        <f aca="false">IF($B612="","",IF(NOT(ISNUMBER($B612)),"日期格式不对",IF($C612="","未选资金账户",IF(AND(N($I612)=0,N($J612)=0),"收支都为空",IF(AND(N($I612)&gt;0,N($J612)&gt;0),"收支不能同时填",IF(AND($D612&lt;&gt;"",LEFT($O612,1)="⚠"),"项目编号不存在",IF(AND($M612="是",$F612=""),"工程回款必须填往来单位","√")))))))</f>
        <v/>
      </c>
      <c r="O612" s="34" t="str">
        <f aca="false">IF($D612="","",IFERROR(INDEX(项目档案!$B$6:$B$255,MATCH($D612,项目档案!$A$6:$A$255,0)),"⚠编号不存在"))</f>
        <v/>
      </c>
      <c r="P612" s="35" t="str">
        <f aca="false">IF($B612="","",TEXT($B612,"yyyy-mm"))</f>
        <v/>
      </c>
    </row>
    <row r="613" customFormat="false" ht="15.75" hidden="false" customHeight="true" outlineLevel="0" collapsed="false">
      <c r="A613" s="32" t="str">
        <f aca="false">IF($B613="","",ROW()-4)</f>
        <v/>
      </c>
      <c r="B613" s="26"/>
      <c r="C613" s="21"/>
      <c r="D613" s="24"/>
      <c r="E613" s="21"/>
      <c r="F613" s="24"/>
      <c r="G613" s="21"/>
      <c r="H613" s="22"/>
      <c r="I613" s="27"/>
      <c r="J613" s="27"/>
      <c r="K613" s="36" t="str">
        <f aca="false">IF($B613="","",IF($C613="泓普",$C$2,IF($C613="仟茂",$E$2,IF($C613="现金",$G$2,0)))+SUMIFS($I$5:$I613,$C$5:$C613,$C613)-SUMIFS($J$5:$J613,$C$5:$C613,$C613))</f>
        <v/>
      </c>
      <c r="L613" s="36" t="str">
        <f aca="false">IF($B613="","",$C$2+$E$2+$G$2+SUM($I$5:$I613)-SUM($J$5:$J613))</f>
        <v/>
      </c>
      <c r="M613" s="24"/>
      <c r="N613" s="33" t="str">
        <f aca="false">IF($B613="","",IF(NOT(ISNUMBER($B613)),"日期格式不对",IF($C613="","未选资金账户",IF(AND(N($I613)=0,N($J613)=0),"收支都为空",IF(AND(N($I613)&gt;0,N($J613)&gt;0),"收支不能同时填",IF(AND($D613&lt;&gt;"",LEFT($O613,1)="⚠"),"项目编号不存在",IF(AND($M613="是",$F613=""),"工程回款必须填往来单位","√")))))))</f>
        <v/>
      </c>
      <c r="O613" s="34" t="str">
        <f aca="false">IF($D613="","",IFERROR(INDEX(项目档案!$B$6:$B$255,MATCH($D613,项目档案!$A$6:$A$255,0)),"⚠编号不存在"))</f>
        <v/>
      </c>
      <c r="P613" s="35" t="str">
        <f aca="false">IF($B613="","",TEXT($B613,"yyyy-mm"))</f>
        <v/>
      </c>
    </row>
    <row r="614" customFormat="false" ht="15.75" hidden="false" customHeight="true" outlineLevel="0" collapsed="false">
      <c r="A614" s="32" t="str">
        <f aca="false">IF($B614="","",ROW()-4)</f>
        <v/>
      </c>
      <c r="B614" s="26"/>
      <c r="C614" s="21"/>
      <c r="D614" s="24"/>
      <c r="E614" s="21"/>
      <c r="F614" s="24"/>
      <c r="G614" s="21"/>
      <c r="H614" s="22"/>
      <c r="I614" s="27"/>
      <c r="J614" s="27"/>
      <c r="K614" s="36" t="str">
        <f aca="false">IF($B614="","",IF($C614="泓普",$C$2,IF($C614="仟茂",$E$2,IF($C614="现金",$G$2,0)))+SUMIFS($I$5:$I614,$C$5:$C614,$C614)-SUMIFS($J$5:$J614,$C$5:$C614,$C614))</f>
        <v/>
      </c>
      <c r="L614" s="36" t="str">
        <f aca="false">IF($B614="","",$C$2+$E$2+$G$2+SUM($I$5:$I614)-SUM($J$5:$J614))</f>
        <v/>
      </c>
      <c r="M614" s="24"/>
      <c r="N614" s="33" t="str">
        <f aca="false">IF($B614="","",IF(NOT(ISNUMBER($B614)),"日期格式不对",IF($C614="","未选资金账户",IF(AND(N($I614)=0,N($J614)=0),"收支都为空",IF(AND(N($I614)&gt;0,N($J614)&gt;0),"收支不能同时填",IF(AND($D614&lt;&gt;"",LEFT($O614,1)="⚠"),"项目编号不存在",IF(AND($M614="是",$F614=""),"工程回款必须填往来单位","√")))))))</f>
        <v/>
      </c>
      <c r="O614" s="34" t="str">
        <f aca="false">IF($D614="","",IFERROR(INDEX(项目档案!$B$6:$B$255,MATCH($D614,项目档案!$A$6:$A$255,0)),"⚠编号不存在"))</f>
        <v/>
      </c>
      <c r="P614" s="35" t="str">
        <f aca="false">IF($B614="","",TEXT($B614,"yyyy-mm"))</f>
        <v/>
      </c>
    </row>
    <row r="615" customFormat="false" ht="15.75" hidden="false" customHeight="true" outlineLevel="0" collapsed="false">
      <c r="A615" s="32" t="str">
        <f aca="false">IF($B615="","",ROW()-4)</f>
        <v/>
      </c>
      <c r="B615" s="26"/>
      <c r="C615" s="21"/>
      <c r="D615" s="24"/>
      <c r="E615" s="21"/>
      <c r="F615" s="24"/>
      <c r="G615" s="21"/>
      <c r="H615" s="22"/>
      <c r="I615" s="27"/>
      <c r="J615" s="27"/>
      <c r="K615" s="36" t="str">
        <f aca="false">IF($B615="","",IF($C615="泓普",$C$2,IF($C615="仟茂",$E$2,IF($C615="现金",$G$2,0)))+SUMIFS($I$5:$I615,$C$5:$C615,$C615)-SUMIFS($J$5:$J615,$C$5:$C615,$C615))</f>
        <v/>
      </c>
      <c r="L615" s="36" t="str">
        <f aca="false">IF($B615="","",$C$2+$E$2+$G$2+SUM($I$5:$I615)-SUM($J$5:$J615))</f>
        <v/>
      </c>
      <c r="M615" s="24"/>
      <c r="N615" s="33" t="str">
        <f aca="false">IF($B615="","",IF(NOT(ISNUMBER($B615)),"日期格式不对",IF($C615="","未选资金账户",IF(AND(N($I615)=0,N($J615)=0),"收支都为空",IF(AND(N($I615)&gt;0,N($J615)&gt;0),"收支不能同时填",IF(AND($D615&lt;&gt;"",LEFT($O615,1)="⚠"),"项目编号不存在",IF(AND($M615="是",$F615=""),"工程回款必须填往来单位","√")))))))</f>
        <v/>
      </c>
      <c r="O615" s="34" t="str">
        <f aca="false">IF($D615="","",IFERROR(INDEX(项目档案!$B$6:$B$255,MATCH($D615,项目档案!$A$6:$A$255,0)),"⚠编号不存在"))</f>
        <v/>
      </c>
      <c r="P615" s="35" t="str">
        <f aca="false">IF($B615="","",TEXT($B615,"yyyy-mm"))</f>
        <v/>
      </c>
    </row>
    <row r="616" customFormat="false" ht="15.75" hidden="false" customHeight="true" outlineLevel="0" collapsed="false">
      <c r="A616" s="32" t="str">
        <f aca="false">IF($B616="","",ROW()-4)</f>
        <v/>
      </c>
      <c r="B616" s="26"/>
      <c r="C616" s="21"/>
      <c r="D616" s="24"/>
      <c r="E616" s="21"/>
      <c r="F616" s="24"/>
      <c r="G616" s="21"/>
      <c r="H616" s="22"/>
      <c r="I616" s="27"/>
      <c r="J616" s="27"/>
      <c r="K616" s="36" t="str">
        <f aca="false">IF($B616="","",IF($C616="泓普",$C$2,IF($C616="仟茂",$E$2,IF($C616="现金",$G$2,0)))+SUMIFS($I$5:$I616,$C$5:$C616,$C616)-SUMIFS($J$5:$J616,$C$5:$C616,$C616))</f>
        <v/>
      </c>
      <c r="L616" s="36" t="str">
        <f aca="false">IF($B616="","",$C$2+$E$2+$G$2+SUM($I$5:$I616)-SUM($J$5:$J616))</f>
        <v/>
      </c>
      <c r="M616" s="24"/>
      <c r="N616" s="33" t="str">
        <f aca="false">IF($B616="","",IF(NOT(ISNUMBER($B616)),"日期格式不对",IF($C616="","未选资金账户",IF(AND(N($I616)=0,N($J616)=0),"收支都为空",IF(AND(N($I616)&gt;0,N($J616)&gt;0),"收支不能同时填",IF(AND($D616&lt;&gt;"",LEFT($O616,1)="⚠"),"项目编号不存在",IF(AND($M616="是",$F616=""),"工程回款必须填往来单位","√")))))))</f>
        <v/>
      </c>
      <c r="O616" s="34" t="str">
        <f aca="false">IF($D616="","",IFERROR(INDEX(项目档案!$B$6:$B$255,MATCH($D616,项目档案!$A$6:$A$255,0)),"⚠编号不存在"))</f>
        <v/>
      </c>
      <c r="P616" s="35" t="str">
        <f aca="false">IF($B616="","",TEXT($B616,"yyyy-mm"))</f>
        <v/>
      </c>
    </row>
    <row r="617" customFormat="false" ht="15.75" hidden="false" customHeight="true" outlineLevel="0" collapsed="false">
      <c r="A617" s="32" t="str">
        <f aca="false">IF($B617="","",ROW()-4)</f>
        <v/>
      </c>
      <c r="B617" s="26"/>
      <c r="C617" s="21"/>
      <c r="D617" s="24"/>
      <c r="E617" s="21"/>
      <c r="F617" s="24"/>
      <c r="G617" s="21"/>
      <c r="H617" s="22"/>
      <c r="I617" s="27"/>
      <c r="J617" s="27"/>
      <c r="K617" s="36" t="str">
        <f aca="false">IF($B617="","",IF($C617="泓普",$C$2,IF($C617="仟茂",$E$2,IF($C617="现金",$G$2,0)))+SUMIFS($I$5:$I617,$C$5:$C617,$C617)-SUMIFS($J$5:$J617,$C$5:$C617,$C617))</f>
        <v/>
      </c>
      <c r="L617" s="36" t="str">
        <f aca="false">IF($B617="","",$C$2+$E$2+$G$2+SUM($I$5:$I617)-SUM($J$5:$J617))</f>
        <v/>
      </c>
      <c r="M617" s="24"/>
      <c r="N617" s="33" t="str">
        <f aca="false">IF($B617="","",IF(NOT(ISNUMBER($B617)),"日期格式不对",IF($C617="","未选资金账户",IF(AND(N($I617)=0,N($J617)=0),"收支都为空",IF(AND(N($I617)&gt;0,N($J617)&gt;0),"收支不能同时填",IF(AND($D617&lt;&gt;"",LEFT($O617,1)="⚠"),"项目编号不存在",IF(AND($M617="是",$F617=""),"工程回款必须填往来单位","√")))))))</f>
        <v/>
      </c>
      <c r="O617" s="34" t="str">
        <f aca="false">IF($D617="","",IFERROR(INDEX(项目档案!$B$6:$B$255,MATCH($D617,项目档案!$A$6:$A$255,0)),"⚠编号不存在"))</f>
        <v/>
      </c>
      <c r="P617" s="35" t="str">
        <f aca="false">IF($B617="","",TEXT($B617,"yyyy-mm"))</f>
        <v/>
      </c>
    </row>
    <row r="618" customFormat="false" ht="15.75" hidden="false" customHeight="true" outlineLevel="0" collapsed="false">
      <c r="A618" s="32" t="str">
        <f aca="false">IF($B618="","",ROW()-4)</f>
        <v/>
      </c>
      <c r="B618" s="26"/>
      <c r="C618" s="21"/>
      <c r="D618" s="24"/>
      <c r="E618" s="21"/>
      <c r="F618" s="24"/>
      <c r="G618" s="21"/>
      <c r="H618" s="22"/>
      <c r="I618" s="27"/>
      <c r="J618" s="27"/>
      <c r="K618" s="36" t="str">
        <f aca="false">IF($B618="","",IF($C618="泓普",$C$2,IF($C618="仟茂",$E$2,IF($C618="现金",$G$2,0)))+SUMIFS($I$5:$I618,$C$5:$C618,$C618)-SUMIFS($J$5:$J618,$C$5:$C618,$C618))</f>
        <v/>
      </c>
      <c r="L618" s="36" t="str">
        <f aca="false">IF($B618="","",$C$2+$E$2+$G$2+SUM($I$5:$I618)-SUM($J$5:$J618))</f>
        <v/>
      </c>
      <c r="M618" s="24"/>
      <c r="N618" s="33" t="str">
        <f aca="false">IF($B618="","",IF(NOT(ISNUMBER($B618)),"日期格式不对",IF($C618="","未选资金账户",IF(AND(N($I618)=0,N($J618)=0),"收支都为空",IF(AND(N($I618)&gt;0,N($J618)&gt;0),"收支不能同时填",IF(AND($D618&lt;&gt;"",LEFT($O618,1)="⚠"),"项目编号不存在",IF(AND($M618="是",$F618=""),"工程回款必须填往来单位","√")))))))</f>
        <v/>
      </c>
      <c r="O618" s="34" t="str">
        <f aca="false">IF($D618="","",IFERROR(INDEX(项目档案!$B$6:$B$255,MATCH($D618,项目档案!$A$6:$A$255,0)),"⚠编号不存在"))</f>
        <v/>
      </c>
      <c r="P618" s="35" t="str">
        <f aca="false">IF($B618="","",TEXT($B618,"yyyy-mm"))</f>
        <v/>
      </c>
    </row>
    <row r="619" customFormat="false" ht="15.75" hidden="false" customHeight="true" outlineLevel="0" collapsed="false">
      <c r="A619" s="32" t="str">
        <f aca="false">IF($B619="","",ROW()-4)</f>
        <v/>
      </c>
      <c r="B619" s="26"/>
      <c r="C619" s="21"/>
      <c r="D619" s="24"/>
      <c r="E619" s="21"/>
      <c r="F619" s="24"/>
      <c r="G619" s="21"/>
      <c r="H619" s="22"/>
      <c r="I619" s="27"/>
      <c r="J619" s="27"/>
      <c r="K619" s="36" t="str">
        <f aca="false">IF($B619="","",IF($C619="泓普",$C$2,IF($C619="仟茂",$E$2,IF($C619="现金",$G$2,0)))+SUMIFS($I$5:$I619,$C$5:$C619,$C619)-SUMIFS($J$5:$J619,$C$5:$C619,$C619))</f>
        <v/>
      </c>
      <c r="L619" s="36" t="str">
        <f aca="false">IF($B619="","",$C$2+$E$2+$G$2+SUM($I$5:$I619)-SUM($J$5:$J619))</f>
        <v/>
      </c>
      <c r="M619" s="24"/>
      <c r="N619" s="33" t="str">
        <f aca="false">IF($B619="","",IF(NOT(ISNUMBER($B619)),"日期格式不对",IF($C619="","未选资金账户",IF(AND(N($I619)=0,N($J619)=0),"收支都为空",IF(AND(N($I619)&gt;0,N($J619)&gt;0),"收支不能同时填",IF(AND($D619&lt;&gt;"",LEFT($O619,1)="⚠"),"项目编号不存在",IF(AND($M619="是",$F619=""),"工程回款必须填往来单位","√")))))))</f>
        <v/>
      </c>
      <c r="O619" s="34" t="str">
        <f aca="false">IF($D619="","",IFERROR(INDEX(项目档案!$B$6:$B$255,MATCH($D619,项目档案!$A$6:$A$255,0)),"⚠编号不存在"))</f>
        <v/>
      </c>
      <c r="P619" s="35" t="str">
        <f aca="false">IF($B619="","",TEXT($B619,"yyyy-mm"))</f>
        <v/>
      </c>
    </row>
    <row r="620" customFormat="false" ht="15.75" hidden="false" customHeight="true" outlineLevel="0" collapsed="false">
      <c r="A620" s="32" t="str">
        <f aca="false">IF($B620="","",ROW()-4)</f>
        <v/>
      </c>
      <c r="B620" s="26"/>
      <c r="C620" s="21"/>
      <c r="D620" s="24"/>
      <c r="E620" s="21"/>
      <c r="F620" s="24"/>
      <c r="G620" s="21"/>
      <c r="H620" s="22"/>
      <c r="I620" s="27"/>
      <c r="J620" s="27"/>
      <c r="K620" s="36" t="str">
        <f aca="false">IF($B620="","",IF($C620="泓普",$C$2,IF($C620="仟茂",$E$2,IF($C620="现金",$G$2,0)))+SUMIFS($I$5:$I620,$C$5:$C620,$C620)-SUMIFS($J$5:$J620,$C$5:$C620,$C620))</f>
        <v/>
      </c>
      <c r="L620" s="36" t="str">
        <f aca="false">IF($B620="","",$C$2+$E$2+$G$2+SUM($I$5:$I620)-SUM($J$5:$J620))</f>
        <v/>
      </c>
      <c r="M620" s="24"/>
      <c r="N620" s="33" t="str">
        <f aca="false">IF($B620="","",IF(NOT(ISNUMBER($B620)),"日期格式不对",IF($C620="","未选资金账户",IF(AND(N($I620)=0,N($J620)=0),"收支都为空",IF(AND(N($I620)&gt;0,N($J620)&gt;0),"收支不能同时填",IF(AND($D620&lt;&gt;"",LEFT($O620,1)="⚠"),"项目编号不存在",IF(AND($M620="是",$F620=""),"工程回款必须填往来单位","√")))))))</f>
        <v/>
      </c>
      <c r="O620" s="34" t="str">
        <f aca="false">IF($D620="","",IFERROR(INDEX(项目档案!$B$6:$B$255,MATCH($D620,项目档案!$A$6:$A$255,0)),"⚠编号不存在"))</f>
        <v/>
      </c>
      <c r="P620" s="35" t="str">
        <f aca="false">IF($B620="","",TEXT($B620,"yyyy-mm"))</f>
        <v/>
      </c>
    </row>
    <row r="621" customFormat="false" ht="15.75" hidden="false" customHeight="true" outlineLevel="0" collapsed="false">
      <c r="A621" s="32" t="str">
        <f aca="false">IF($B621="","",ROW()-4)</f>
        <v/>
      </c>
      <c r="B621" s="26"/>
      <c r="C621" s="21"/>
      <c r="D621" s="24"/>
      <c r="E621" s="21"/>
      <c r="F621" s="24"/>
      <c r="G621" s="21"/>
      <c r="H621" s="22"/>
      <c r="I621" s="27"/>
      <c r="J621" s="27"/>
      <c r="K621" s="36" t="str">
        <f aca="false">IF($B621="","",IF($C621="泓普",$C$2,IF($C621="仟茂",$E$2,IF($C621="现金",$G$2,0)))+SUMIFS($I$5:$I621,$C$5:$C621,$C621)-SUMIFS($J$5:$J621,$C$5:$C621,$C621))</f>
        <v/>
      </c>
      <c r="L621" s="36" t="str">
        <f aca="false">IF($B621="","",$C$2+$E$2+$G$2+SUM($I$5:$I621)-SUM($J$5:$J621))</f>
        <v/>
      </c>
      <c r="M621" s="24"/>
      <c r="N621" s="33" t="str">
        <f aca="false">IF($B621="","",IF(NOT(ISNUMBER($B621)),"日期格式不对",IF($C621="","未选资金账户",IF(AND(N($I621)=0,N($J621)=0),"收支都为空",IF(AND(N($I621)&gt;0,N($J621)&gt;0),"收支不能同时填",IF(AND($D621&lt;&gt;"",LEFT($O621,1)="⚠"),"项目编号不存在",IF(AND($M621="是",$F621=""),"工程回款必须填往来单位","√")))))))</f>
        <v/>
      </c>
      <c r="O621" s="34" t="str">
        <f aca="false">IF($D621="","",IFERROR(INDEX(项目档案!$B$6:$B$255,MATCH($D621,项目档案!$A$6:$A$255,0)),"⚠编号不存在"))</f>
        <v/>
      </c>
      <c r="P621" s="35" t="str">
        <f aca="false">IF($B621="","",TEXT($B621,"yyyy-mm"))</f>
        <v/>
      </c>
    </row>
    <row r="622" customFormat="false" ht="15.75" hidden="false" customHeight="true" outlineLevel="0" collapsed="false">
      <c r="A622" s="32" t="str">
        <f aca="false">IF($B622="","",ROW()-4)</f>
        <v/>
      </c>
      <c r="B622" s="26"/>
      <c r="C622" s="21"/>
      <c r="D622" s="24"/>
      <c r="E622" s="21"/>
      <c r="F622" s="24"/>
      <c r="G622" s="21"/>
      <c r="H622" s="22"/>
      <c r="I622" s="27"/>
      <c r="J622" s="27"/>
      <c r="K622" s="36" t="str">
        <f aca="false">IF($B622="","",IF($C622="泓普",$C$2,IF($C622="仟茂",$E$2,IF($C622="现金",$G$2,0)))+SUMIFS($I$5:$I622,$C$5:$C622,$C622)-SUMIFS($J$5:$J622,$C$5:$C622,$C622))</f>
        <v/>
      </c>
      <c r="L622" s="36" t="str">
        <f aca="false">IF($B622="","",$C$2+$E$2+$G$2+SUM($I$5:$I622)-SUM($J$5:$J622))</f>
        <v/>
      </c>
      <c r="M622" s="24"/>
      <c r="N622" s="33" t="str">
        <f aca="false">IF($B622="","",IF(NOT(ISNUMBER($B622)),"日期格式不对",IF($C622="","未选资金账户",IF(AND(N($I622)=0,N($J622)=0),"收支都为空",IF(AND(N($I622)&gt;0,N($J622)&gt;0),"收支不能同时填",IF(AND($D622&lt;&gt;"",LEFT($O622,1)="⚠"),"项目编号不存在",IF(AND($M622="是",$F622=""),"工程回款必须填往来单位","√")))))))</f>
        <v/>
      </c>
      <c r="O622" s="34" t="str">
        <f aca="false">IF($D622="","",IFERROR(INDEX(项目档案!$B$6:$B$255,MATCH($D622,项目档案!$A$6:$A$255,0)),"⚠编号不存在"))</f>
        <v/>
      </c>
      <c r="P622" s="35" t="str">
        <f aca="false">IF($B622="","",TEXT($B622,"yyyy-mm"))</f>
        <v/>
      </c>
    </row>
    <row r="623" customFormat="false" ht="15.75" hidden="false" customHeight="true" outlineLevel="0" collapsed="false">
      <c r="A623" s="32" t="str">
        <f aca="false">IF($B623="","",ROW()-4)</f>
        <v/>
      </c>
      <c r="B623" s="26"/>
      <c r="C623" s="21"/>
      <c r="D623" s="24"/>
      <c r="E623" s="21"/>
      <c r="F623" s="24"/>
      <c r="G623" s="21"/>
      <c r="H623" s="22"/>
      <c r="I623" s="27"/>
      <c r="J623" s="27"/>
      <c r="K623" s="36" t="str">
        <f aca="false">IF($B623="","",IF($C623="泓普",$C$2,IF($C623="仟茂",$E$2,IF($C623="现金",$G$2,0)))+SUMIFS($I$5:$I623,$C$5:$C623,$C623)-SUMIFS($J$5:$J623,$C$5:$C623,$C623))</f>
        <v/>
      </c>
      <c r="L623" s="36" t="str">
        <f aca="false">IF($B623="","",$C$2+$E$2+$G$2+SUM($I$5:$I623)-SUM($J$5:$J623))</f>
        <v/>
      </c>
      <c r="M623" s="24"/>
      <c r="N623" s="33" t="str">
        <f aca="false">IF($B623="","",IF(NOT(ISNUMBER($B623)),"日期格式不对",IF($C623="","未选资金账户",IF(AND(N($I623)=0,N($J623)=0),"收支都为空",IF(AND(N($I623)&gt;0,N($J623)&gt;0),"收支不能同时填",IF(AND($D623&lt;&gt;"",LEFT($O623,1)="⚠"),"项目编号不存在",IF(AND($M623="是",$F623=""),"工程回款必须填往来单位","√")))))))</f>
        <v/>
      </c>
      <c r="O623" s="34" t="str">
        <f aca="false">IF($D623="","",IFERROR(INDEX(项目档案!$B$6:$B$255,MATCH($D623,项目档案!$A$6:$A$255,0)),"⚠编号不存在"))</f>
        <v/>
      </c>
      <c r="P623" s="35" t="str">
        <f aca="false">IF($B623="","",TEXT($B623,"yyyy-mm"))</f>
        <v/>
      </c>
    </row>
    <row r="624" customFormat="false" ht="15.75" hidden="false" customHeight="true" outlineLevel="0" collapsed="false">
      <c r="A624" s="32" t="str">
        <f aca="false">IF($B624="","",ROW()-4)</f>
        <v/>
      </c>
      <c r="B624" s="26"/>
      <c r="C624" s="21"/>
      <c r="D624" s="24"/>
      <c r="E624" s="21"/>
      <c r="F624" s="24"/>
      <c r="G624" s="21"/>
      <c r="H624" s="22"/>
      <c r="I624" s="27"/>
      <c r="J624" s="27"/>
      <c r="K624" s="36" t="str">
        <f aca="false">IF($B624="","",IF($C624="泓普",$C$2,IF($C624="仟茂",$E$2,IF($C624="现金",$G$2,0)))+SUMIFS($I$5:$I624,$C$5:$C624,$C624)-SUMIFS($J$5:$J624,$C$5:$C624,$C624))</f>
        <v/>
      </c>
      <c r="L624" s="36" t="str">
        <f aca="false">IF($B624="","",$C$2+$E$2+$G$2+SUM($I$5:$I624)-SUM($J$5:$J624))</f>
        <v/>
      </c>
      <c r="M624" s="24"/>
      <c r="N624" s="33" t="str">
        <f aca="false">IF($B624="","",IF(NOT(ISNUMBER($B624)),"日期格式不对",IF($C624="","未选资金账户",IF(AND(N($I624)=0,N($J624)=0),"收支都为空",IF(AND(N($I624)&gt;0,N($J624)&gt;0),"收支不能同时填",IF(AND($D624&lt;&gt;"",LEFT($O624,1)="⚠"),"项目编号不存在",IF(AND($M624="是",$F624=""),"工程回款必须填往来单位","√")))))))</f>
        <v/>
      </c>
      <c r="O624" s="34" t="str">
        <f aca="false">IF($D624="","",IFERROR(INDEX(项目档案!$B$6:$B$255,MATCH($D624,项目档案!$A$6:$A$255,0)),"⚠编号不存在"))</f>
        <v/>
      </c>
      <c r="P624" s="35" t="str">
        <f aca="false">IF($B624="","",TEXT($B624,"yyyy-mm"))</f>
        <v/>
      </c>
    </row>
    <row r="625" customFormat="false" ht="15.75" hidden="false" customHeight="true" outlineLevel="0" collapsed="false">
      <c r="A625" s="32" t="str">
        <f aca="false">IF($B625="","",ROW()-4)</f>
        <v/>
      </c>
      <c r="B625" s="26"/>
      <c r="C625" s="21"/>
      <c r="D625" s="24"/>
      <c r="E625" s="21"/>
      <c r="F625" s="24"/>
      <c r="G625" s="21"/>
      <c r="H625" s="22"/>
      <c r="I625" s="27"/>
      <c r="J625" s="27"/>
      <c r="K625" s="36" t="str">
        <f aca="false">IF($B625="","",IF($C625="泓普",$C$2,IF($C625="仟茂",$E$2,IF($C625="现金",$G$2,0)))+SUMIFS($I$5:$I625,$C$5:$C625,$C625)-SUMIFS($J$5:$J625,$C$5:$C625,$C625))</f>
        <v/>
      </c>
      <c r="L625" s="36" t="str">
        <f aca="false">IF($B625="","",$C$2+$E$2+$G$2+SUM($I$5:$I625)-SUM($J$5:$J625))</f>
        <v/>
      </c>
      <c r="M625" s="24"/>
      <c r="N625" s="33" t="str">
        <f aca="false">IF($B625="","",IF(NOT(ISNUMBER($B625)),"日期格式不对",IF($C625="","未选资金账户",IF(AND(N($I625)=0,N($J625)=0),"收支都为空",IF(AND(N($I625)&gt;0,N($J625)&gt;0),"收支不能同时填",IF(AND($D625&lt;&gt;"",LEFT($O625,1)="⚠"),"项目编号不存在",IF(AND($M625="是",$F625=""),"工程回款必须填往来单位","√")))))))</f>
        <v/>
      </c>
      <c r="O625" s="34" t="str">
        <f aca="false">IF($D625="","",IFERROR(INDEX(项目档案!$B$6:$B$255,MATCH($D625,项目档案!$A$6:$A$255,0)),"⚠编号不存在"))</f>
        <v/>
      </c>
      <c r="P625" s="35" t="str">
        <f aca="false">IF($B625="","",TEXT($B625,"yyyy-mm"))</f>
        <v/>
      </c>
    </row>
    <row r="626" customFormat="false" ht="15.75" hidden="false" customHeight="true" outlineLevel="0" collapsed="false">
      <c r="A626" s="32" t="str">
        <f aca="false">IF($B626="","",ROW()-4)</f>
        <v/>
      </c>
      <c r="B626" s="26"/>
      <c r="C626" s="21"/>
      <c r="D626" s="24"/>
      <c r="E626" s="21"/>
      <c r="F626" s="24"/>
      <c r="G626" s="21"/>
      <c r="H626" s="22"/>
      <c r="I626" s="27"/>
      <c r="J626" s="27"/>
      <c r="K626" s="36" t="str">
        <f aca="false">IF($B626="","",IF($C626="泓普",$C$2,IF($C626="仟茂",$E$2,IF($C626="现金",$G$2,0)))+SUMIFS($I$5:$I626,$C$5:$C626,$C626)-SUMIFS($J$5:$J626,$C$5:$C626,$C626))</f>
        <v/>
      </c>
      <c r="L626" s="36" t="str">
        <f aca="false">IF($B626="","",$C$2+$E$2+$G$2+SUM($I$5:$I626)-SUM($J$5:$J626))</f>
        <v/>
      </c>
      <c r="M626" s="24"/>
      <c r="N626" s="33" t="str">
        <f aca="false">IF($B626="","",IF(NOT(ISNUMBER($B626)),"日期格式不对",IF($C626="","未选资金账户",IF(AND(N($I626)=0,N($J626)=0),"收支都为空",IF(AND(N($I626)&gt;0,N($J626)&gt;0),"收支不能同时填",IF(AND($D626&lt;&gt;"",LEFT($O626,1)="⚠"),"项目编号不存在",IF(AND($M626="是",$F626=""),"工程回款必须填往来单位","√")))))))</f>
        <v/>
      </c>
      <c r="O626" s="34" t="str">
        <f aca="false">IF($D626="","",IFERROR(INDEX(项目档案!$B$6:$B$255,MATCH($D626,项目档案!$A$6:$A$255,0)),"⚠编号不存在"))</f>
        <v/>
      </c>
      <c r="P626" s="35" t="str">
        <f aca="false">IF($B626="","",TEXT($B626,"yyyy-mm"))</f>
        <v/>
      </c>
    </row>
    <row r="627" customFormat="false" ht="15.75" hidden="false" customHeight="true" outlineLevel="0" collapsed="false">
      <c r="A627" s="32" t="str">
        <f aca="false">IF($B627="","",ROW()-4)</f>
        <v/>
      </c>
      <c r="B627" s="26"/>
      <c r="C627" s="21"/>
      <c r="D627" s="24"/>
      <c r="E627" s="21"/>
      <c r="F627" s="24"/>
      <c r="G627" s="21"/>
      <c r="H627" s="22"/>
      <c r="I627" s="27"/>
      <c r="J627" s="27"/>
      <c r="K627" s="36" t="str">
        <f aca="false">IF($B627="","",IF($C627="泓普",$C$2,IF($C627="仟茂",$E$2,IF($C627="现金",$G$2,0)))+SUMIFS($I$5:$I627,$C$5:$C627,$C627)-SUMIFS($J$5:$J627,$C$5:$C627,$C627))</f>
        <v/>
      </c>
      <c r="L627" s="36" t="str">
        <f aca="false">IF($B627="","",$C$2+$E$2+$G$2+SUM($I$5:$I627)-SUM($J$5:$J627))</f>
        <v/>
      </c>
      <c r="M627" s="24"/>
      <c r="N627" s="33" t="str">
        <f aca="false">IF($B627="","",IF(NOT(ISNUMBER($B627)),"日期格式不对",IF($C627="","未选资金账户",IF(AND(N($I627)=0,N($J627)=0),"收支都为空",IF(AND(N($I627)&gt;0,N($J627)&gt;0),"收支不能同时填",IF(AND($D627&lt;&gt;"",LEFT($O627,1)="⚠"),"项目编号不存在",IF(AND($M627="是",$F627=""),"工程回款必须填往来单位","√")))))))</f>
        <v/>
      </c>
      <c r="O627" s="34" t="str">
        <f aca="false">IF($D627="","",IFERROR(INDEX(项目档案!$B$6:$B$255,MATCH($D627,项目档案!$A$6:$A$255,0)),"⚠编号不存在"))</f>
        <v/>
      </c>
      <c r="P627" s="35" t="str">
        <f aca="false">IF($B627="","",TEXT($B627,"yyyy-mm"))</f>
        <v/>
      </c>
    </row>
    <row r="628" customFormat="false" ht="15.75" hidden="false" customHeight="true" outlineLevel="0" collapsed="false">
      <c r="A628" s="32" t="str">
        <f aca="false">IF($B628="","",ROW()-4)</f>
        <v/>
      </c>
      <c r="B628" s="26"/>
      <c r="C628" s="21"/>
      <c r="D628" s="24"/>
      <c r="E628" s="21"/>
      <c r="F628" s="24"/>
      <c r="G628" s="21"/>
      <c r="H628" s="22"/>
      <c r="I628" s="27"/>
      <c r="J628" s="27"/>
      <c r="K628" s="36" t="str">
        <f aca="false">IF($B628="","",IF($C628="泓普",$C$2,IF($C628="仟茂",$E$2,IF($C628="现金",$G$2,0)))+SUMIFS($I$5:$I628,$C$5:$C628,$C628)-SUMIFS($J$5:$J628,$C$5:$C628,$C628))</f>
        <v/>
      </c>
      <c r="L628" s="36" t="str">
        <f aca="false">IF($B628="","",$C$2+$E$2+$G$2+SUM($I$5:$I628)-SUM($J$5:$J628))</f>
        <v/>
      </c>
      <c r="M628" s="24"/>
      <c r="N628" s="33" t="str">
        <f aca="false">IF($B628="","",IF(NOT(ISNUMBER($B628)),"日期格式不对",IF($C628="","未选资金账户",IF(AND(N($I628)=0,N($J628)=0),"收支都为空",IF(AND(N($I628)&gt;0,N($J628)&gt;0),"收支不能同时填",IF(AND($D628&lt;&gt;"",LEFT($O628,1)="⚠"),"项目编号不存在",IF(AND($M628="是",$F628=""),"工程回款必须填往来单位","√")))))))</f>
        <v/>
      </c>
      <c r="O628" s="34" t="str">
        <f aca="false">IF($D628="","",IFERROR(INDEX(项目档案!$B$6:$B$255,MATCH($D628,项目档案!$A$6:$A$255,0)),"⚠编号不存在"))</f>
        <v/>
      </c>
      <c r="P628" s="35" t="str">
        <f aca="false">IF($B628="","",TEXT($B628,"yyyy-mm"))</f>
        <v/>
      </c>
    </row>
    <row r="629" customFormat="false" ht="15.75" hidden="false" customHeight="true" outlineLevel="0" collapsed="false">
      <c r="A629" s="32" t="str">
        <f aca="false">IF($B629="","",ROW()-4)</f>
        <v/>
      </c>
      <c r="B629" s="26"/>
      <c r="C629" s="21"/>
      <c r="D629" s="24"/>
      <c r="E629" s="21"/>
      <c r="F629" s="24"/>
      <c r="G629" s="21"/>
      <c r="H629" s="22"/>
      <c r="I629" s="27"/>
      <c r="J629" s="27"/>
      <c r="K629" s="36" t="str">
        <f aca="false">IF($B629="","",IF($C629="泓普",$C$2,IF($C629="仟茂",$E$2,IF($C629="现金",$G$2,0)))+SUMIFS($I$5:$I629,$C$5:$C629,$C629)-SUMIFS($J$5:$J629,$C$5:$C629,$C629))</f>
        <v/>
      </c>
      <c r="L629" s="36" t="str">
        <f aca="false">IF($B629="","",$C$2+$E$2+$G$2+SUM($I$5:$I629)-SUM($J$5:$J629))</f>
        <v/>
      </c>
      <c r="M629" s="24"/>
      <c r="N629" s="33" t="str">
        <f aca="false">IF($B629="","",IF(NOT(ISNUMBER($B629)),"日期格式不对",IF($C629="","未选资金账户",IF(AND(N($I629)=0,N($J629)=0),"收支都为空",IF(AND(N($I629)&gt;0,N($J629)&gt;0),"收支不能同时填",IF(AND($D629&lt;&gt;"",LEFT($O629,1)="⚠"),"项目编号不存在",IF(AND($M629="是",$F629=""),"工程回款必须填往来单位","√")))))))</f>
        <v/>
      </c>
      <c r="O629" s="34" t="str">
        <f aca="false">IF($D629="","",IFERROR(INDEX(项目档案!$B$6:$B$255,MATCH($D629,项目档案!$A$6:$A$255,0)),"⚠编号不存在"))</f>
        <v/>
      </c>
      <c r="P629" s="35" t="str">
        <f aca="false">IF($B629="","",TEXT($B629,"yyyy-mm"))</f>
        <v/>
      </c>
    </row>
    <row r="630" customFormat="false" ht="15.75" hidden="false" customHeight="true" outlineLevel="0" collapsed="false">
      <c r="A630" s="32" t="str">
        <f aca="false">IF($B630="","",ROW()-4)</f>
        <v/>
      </c>
      <c r="B630" s="26"/>
      <c r="C630" s="21"/>
      <c r="D630" s="24"/>
      <c r="E630" s="21"/>
      <c r="F630" s="24"/>
      <c r="G630" s="21"/>
      <c r="H630" s="22"/>
      <c r="I630" s="27"/>
      <c r="J630" s="27"/>
      <c r="K630" s="36" t="str">
        <f aca="false">IF($B630="","",IF($C630="泓普",$C$2,IF($C630="仟茂",$E$2,IF($C630="现金",$G$2,0)))+SUMIFS($I$5:$I630,$C$5:$C630,$C630)-SUMIFS($J$5:$J630,$C$5:$C630,$C630))</f>
        <v/>
      </c>
      <c r="L630" s="36" t="str">
        <f aca="false">IF($B630="","",$C$2+$E$2+$G$2+SUM($I$5:$I630)-SUM($J$5:$J630))</f>
        <v/>
      </c>
      <c r="M630" s="24"/>
      <c r="N630" s="33" t="str">
        <f aca="false">IF($B630="","",IF(NOT(ISNUMBER($B630)),"日期格式不对",IF($C630="","未选资金账户",IF(AND(N($I630)=0,N($J630)=0),"收支都为空",IF(AND(N($I630)&gt;0,N($J630)&gt;0),"收支不能同时填",IF(AND($D630&lt;&gt;"",LEFT($O630,1)="⚠"),"项目编号不存在",IF(AND($M630="是",$F630=""),"工程回款必须填往来单位","√")))))))</f>
        <v/>
      </c>
      <c r="O630" s="34" t="str">
        <f aca="false">IF($D630="","",IFERROR(INDEX(项目档案!$B$6:$B$255,MATCH($D630,项目档案!$A$6:$A$255,0)),"⚠编号不存在"))</f>
        <v/>
      </c>
      <c r="P630" s="35" t="str">
        <f aca="false">IF($B630="","",TEXT($B630,"yyyy-mm"))</f>
        <v/>
      </c>
    </row>
    <row r="631" customFormat="false" ht="15.75" hidden="false" customHeight="true" outlineLevel="0" collapsed="false">
      <c r="A631" s="32" t="str">
        <f aca="false">IF($B631="","",ROW()-4)</f>
        <v/>
      </c>
      <c r="B631" s="26"/>
      <c r="C631" s="21"/>
      <c r="D631" s="24"/>
      <c r="E631" s="21"/>
      <c r="F631" s="24"/>
      <c r="G631" s="21"/>
      <c r="H631" s="22"/>
      <c r="I631" s="27"/>
      <c r="J631" s="27"/>
      <c r="K631" s="36" t="str">
        <f aca="false">IF($B631="","",IF($C631="泓普",$C$2,IF($C631="仟茂",$E$2,IF($C631="现金",$G$2,0)))+SUMIFS($I$5:$I631,$C$5:$C631,$C631)-SUMIFS($J$5:$J631,$C$5:$C631,$C631))</f>
        <v/>
      </c>
      <c r="L631" s="36" t="str">
        <f aca="false">IF($B631="","",$C$2+$E$2+$G$2+SUM($I$5:$I631)-SUM($J$5:$J631))</f>
        <v/>
      </c>
      <c r="M631" s="24"/>
      <c r="N631" s="33" t="str">
        <f aca="false">IF($B631="","",IF(NOT(ISNUMBER($B631)),"日期格式不对",IF($C631="","未选资金账户",IF(AND(N($I631)=0,N($J631)=0),"收支都为空",IF(AND(N($I631)&gt;0,N($J631)&gt;0),"收支不能同时填",IF(AND($D631&lt;&gt;"",LEFT($O631,1)="⚠"),"项目编号不存在",IF(AND($M631="是",$F631=""),"工程回款必须填往来单位","√")))))))</f>
        <v/>
      </c>
      <c r="O631" s="34" t="str">
        <f aca="false">IF($D631="","",IFERROR(INDEX(项目档案!$B$6:$B$255,MATCH($D631,项目档案!$A$6:$A$255,0)),"⚠编号不存在"))</f>
        <v/>
      </c>
      <c r="P631" s="35" t="str">
        <f aca="false">IF($B631="","",TEXT($B631,"yyyy-mm"))</f>
        <v/>
      </c>
    </row>
    <row r="632" customFormat="false" ht="15.75" hidden="false" customHeight="true" outlineLevel="0" collapsed="false">
      <c r="A632" s="32" t="str">
        <f aca="false">IF($B632="","",ROW()-4)</f>
        <v/>
      </c>
      <c r="B632" s="26"/>
      <c r="C632" s="21"/>
      <c r="D632" s="24"/>
      <c r="E632" s="21"/>
      <c r="F632" s="24"/>
      <c r="G632" s="21"/>
      <c r="H632" s="22"/>
      <c r="I632" s="27"/>
      <c r="J632" s="27"/>
      <c r="K632" s="36" t="str">
        <f aca="false">IF($B632="","",IF($C632="泓普",$C$2,IF($C632="仟茂",$E$2,IF($C632="现金",$G$2,0)))+SUMIFS($I$5:$I632,$C$5:$C632,$C632)-SUMIFS($J$5:$J632,$C$5:$C632,$C632))</f>
        <v/>
      </c>
      <c r="L632" s="36" t="str">
        <f aca="false">IF($B632="","",$C$2+$E$2+$G$2+SUM($I$5:$I632)-SUM($J$5:$J632))</f>
        <v/>
      </c>
      <c r="M632" s="24"/>
      <c r="N632" s="33" t="str">
        <f aca="false">IF($B632="","",IF(NOT(ISNUMBER($B632)),"日期格式不对",IF($C632="","未选资金账户",IF(AND(N($I632)=0,N($J632)=0),"收支都为空",IF(AND(N($I632)&gt;0,N($J632)&gt;0),"收支不能同时填",IF(AND($D632&lt;&gt;"",LEFT($O632,1)="⚠"),"项目编号不存在",IF(AND($M632="是",$F632=""),"工程回款必须填往来单位","√")))))))</f>
        <v/>
      </c>
      <c r="O632" s="34" t="str">
        <f aca="false">IF($D632="","",IFERROR(INDEX(项目档案!$B$6:$B$255,MATCH($D632,项目档案!$A$6:$A$255,0)),"⚠编号不存在"))</f>
        <v/>
      </c>
      <c r="P632" s="35" t="str">
        <f aca="false">IF($B632="","",TEXT($B632,"yyyy-mm"))</f>
        <v/>
      </c>
    </row>
    <row r="633" customFormat="false" ht="15.75" hidden="false" customHeight="true" outlineLevel="0" collapsed="false">
      <c r="A633" s="32" t="str">
        <f aca="false">IF($B633="","",ROW()-4)</f>
        <v/>
      </c>
      <c r="B633" s="26"/>
      <c r="C633" s="21"/>
      <c r="D633" s="24"/>
      <c r="E633" s="21"/>
      <c r="F633" s="24"/>
      <c r="G633" s="21"/>
      <c r="H633" s="22"/>
      <c r="I633" s="27"/>
      <c r="J633" s="27"/>
      <c r="K633" s="36" t="str">
        <f aca="false">IF($B633="","",IF($C633="泓普",$C$2,IF($C633="仟茂",$E$2,IF($C633="现金",$G$2,0)))+SUMIFS($I$5:$I633,$C$5:$C633,$C633)-SUMIFS($J$5:$J633,$C$5:$C633,$C633))</f>
        <v/>
      </c>
      <c r="L633" s="36" t="str">
        <f aca="false">IF($B633="","",$C$2+$E$2+$G$2+SUM($I$5:$I633)-SUM($J$5:$J633))</f>
        <v/>
      </c>
      <c r="M633" s="24"/>
      <c r="N633" s="33" t="str">
        <f aca="false">IF($B633="","",IF(NOT(ISNUMBER($B633)),"日期格式不对",IF($C633="","未选资金账户",IF(AND(N($I633)=0,N($J633)=0),"收支都为空",IF(AND(N($I633)&gt;0,N($J633)&gt;0),"收支不能同时填",IF(AND($D633&lt;&gt;"",LEFT($O633,1)="⚠"),"项目编号不存在",IF(AND($M633="是",$F633=""),"工程回款必须填往来单位","√")))))))</f>
        <v/>
      </c>
      <c r="O633" s="34" t="str">
        <f aca="false">IF($D633="","",IFERROR(INDEX(项目档案!$B$6:$B$255,MATCH($D633,项目档案!$A$6:$A$255,0)),"⚠编号不存在"))</f>
        <v/>
      </c>
      <c r="P633" s="35" t="str">
        <f aca="false">IF($B633="","",TEXT($B633,"yyyy-mm"))</f>
        <v/>
      </c>
    </row>
    <row r="634" customFormat="false" ht="15.75" hidden="false" customHeight="true" outlineLevel="0" collapsed="false">
      <c r="A634" s="32" t="str">
        <f aca="false">IF($B634="","",ROW()-4)</f>
        <v/>
      </c>
      <c r="B634" s="26"/>
      <c r="C634" s="21"/>
      <c r="D634" s="24"/>
      <c r="E634" s="21"/>
      <c r="F634" s="24"/>
      <c r="G634" s="21"/>
      <c r="H634" s="22"/>
      <c r="I634" s="27"/>
      <c r="J634" s="27"/>
      <c r="K634" s="36" t="str">
        <f aca="false">IF($B634="","",IF($C634="泓普",$C$2,IF($C634="仟茂",$E$2,IF($C634="现金",$G$2,0)))+SUMIFS($I$5:$I634,$C$5:$C634,$C634)-SUMIFS($J$5:$J634,$C$5:$C634,$C634))</f>
        <v/>
      </c>
      <c r="L634" s="36" t="str">
        <f aca="false">IF($B634="","",$C$2+$E$2+$G$2+SUM($I$5:$I634)-SUM($J$5:$J634))</f>
        <v/>
      </c>
      <c r="M634" s="24"/>
      <c r="N634" s="33" t="str">
        <f aca="false">IF($B634="","",IF(NOT(ISNUMBER($B634)),"日期格式不对",IF($C634="","未选资金账户",IF(AND(N($I634)=0,N($J634)=0),"收支都为空",IF(AND(N($I634)&gt;0,N($J634)&gt;0),"收支不能同时填",IF(AND($D634&lt;&gt;"",LEFT($O634,1)="⚠"),"项目编号不存在",IF(AND($M634="是",$F634=""),"工程回款必须填往来单位","√")))))))</f>
        <v/>
      </c>
      <c r="O634" s="34" t="str">
        <f aca="false">IF($D634="","",IFERROR(INDEX(项目档案!$B$6:$B$255,MATCH($D634,项目档案!$A$6:$A$255,0)),"⚠编号不存在"))</f>
        <v/>
      </c>
      <c r="P634" s="35" t="str">
        <f aca="false">IF($B634="","",TEXT($B634,"yyyy-mm"))</f>
        <v/>
      </c>
    </row>
    <row r="635" customFormat="false" ht="15.75" hidden="false" customHeight="true" outlineLevel="0" collapsed="false">
      <c r="A635" s="32" t="str">
        <f aca="false">IF($B635="","",ROW()-4)</f>
        <v/>
      </c>
      <c r="B635" s="26"/>
      <c r="C635" s="21"/>
      <c r="D635" s="24"/>
      <c r="E635" s="21"/>
      <c r="F635" s="24"/>
      <c r="G635" s="21"/>
      <c r="H635" s="22"/>
      <c r="I635" s="27"/>
      <c r="J635" s="27"/>
      <c r="K635" s="36" t="str">
        <f aca="false">IF($B635="","",IF($C635="泓普",$C$2,IF($C635="仟茂",$E$2,IF($C635="现金",$G$2,0)))+SUMIFS($I$5:$I635,$C$5:$C635,$C635)-SUMIFS($J$5:$J635,$C$5:$C635,$C635))</f>
        <v/>
      </c>
      <c r="L635" s="36" t="str">
        <f aca="false">IF($B635="","",$C$2+$E$2+$G$2+SUM($I$5:$I635)-SUM($J$5:$J635))</f>
        <v/>
      </c>
      <c r="M635" s="24"/>
      <c r="N635" s="33" t="str">
        <f aca="false">IF($B635="","",IF(NOT(ISNUMBER($B635)),"日期格式不对",IF($C635="","未选资金账户",IF(AND(N($I635)=0,N($J635)=0),"收支都为空",IF(AND(N($I635)&gt;0,N($J635)&gt;0),"收支不能同时填",IF(AND($D635&lt;&gt;"",LEFT($O635,1)="⚠"),"项目编号不存在",IF(AND($M635="是",$F635=""),"工程回款必须填往来单位","√")))))))</f>
        <v/>
      </c>
      <c r="O635" s="34" t="str">
        <f aca="false">IF($D635="","",IFERROR(INDEX(项目档案!$B$6:$B$255,MATCH($D635,项目档案!$A$6:$A$255,0)),"⚠编号不存在"))</f>
        <v/>
      </c>
      <c r="P635" s="35" t="str">
        <f aca="false">IF($B635="","",TEXT($B635,"yyyy-mm"))</f>
        <v/>
      </c>
    </row>
    <row r="636" customFormat="false" ht="15.75" hidden="false" customHeight="true" outlineLevel="0" collapsed="false">
      <c r="A636" s="32" t="str">
        <f aca="false">IF($B636="","",ROW()-4)</f>
        <v/>
      </c>
      <c r="B636" s="26"/>
      <c r="C636" s="21"/>
      <c r="D636" s="24"/>
      <c r="E636" s="21"/>
      <c r="F636" s="24"/>
      <c r="G636" s="21"/>
      <c r="H636" s="22"/>
      <c r="I636" s="27"/>
      <c r="J636" s="27"/>
      <c r="K636" s="36" t="str">
        <f aca="false">IF($B636="","",IF($C636="泓普",$C$2,IF($C636="仟茂",$E$2,IF($C636="现金",$G$2,0)))+SUMIFS($I$5:$I636,$C$5:$C636,$C636)-SUMIFS($J$5:$J636,$C$5:$C636,$C636))</f>
        <v/>
      </c>
      <c r="L636" s="36" t="str">
        <f aca="false">IF($B636="","",$C$2+$E$2+$G$2+SUM($I$5:$I636)-SUM($J$5:$J636))</f>
        <v/>
      </c>
      <c r="M636" s="24"/>
      <c r="N636" s="33" t="str">
        <f aca="false">IF($B636="","",IF(NOT(ISNUMBER($B636)),"日期格式不对",IF($C636="","未选资金账户",IF(AND(N($I636)=0,N($J636)=0),"收支都为空",IF(AND(N($I636)&gt;0,N($J636)&gt;0),"收支不能同时填",IF(AND($D636&lt;&gt;"",LEFT($O636,1)="⚠"),"项目编号不存在",IF(AND($M636="是",$F636=""),"工程回款必须填往来单位","√")))))))</f>
        <v/>
      </c>
      <c r="O636" s="34" t="str">
        <f aca="false">IF($D636="","",IFERROR(INDEX(项目档案!$B$6:$B$255,MATCH($D636,项目档案!$A$6:$A$255,0)),"⚠编号不存在"))</f>
        <v/>
      </c>
      <c r="P636" s="35" t="str">
        <f aca="false">IF($B636="","",TEXT($B636,"yyyy-mm"))</f>
        <v/>
      </c>
    </row>
    <row r="637" customFormat="false" ht="15.75" hidden="false" customHeight="true" outlineLevel="0" collapsed="false">
      <c r="A637" s="32" t="str">
        <f aca="false">IF($B637="","",ROW()-4)</f>
        <v/>
      </c>
      <c r="B637" s="26"/>
      <c r="C637" s="21"/>
      <c r="D637" s="24"/>
      <c r="E637" s="21"/>
      <c r="F637" s="24"/>
      <c r="G637" s="21"/>
      <c r="H637" s="22"/>
      <c r="I637" s="27"/>
      <c r="J637" s="27"/>
      <c r="K637" s="36" t="str">
        <f aca="false">IF($B637="","",IF($C637="泓普",$C$2,IF($C637="仟茂",$E$2,IF($C637="现金",$G$2,0)))+SUMIFS($I$5:$I637,$C$5:$C637,$C637)-SUMIFS($J$5:$J637,$C$5:$C637,$C637))</f>
        <v/>
      </c>
      <c r="L637" s="36" t="str">
        <f aca="false">IF($B637="","",$C$2+$E$2+$G$2+SUM($I$5:$I637)-SUM($J$5:$J637))</f>
        <v/>
      </c>
      <c r="M637" s="24"/>
      <c r="N637" s="33" t="str">
        <f aca="false">IF($B637="","",IF(NOT(ISNUMBER($B637)),"日期格式不对",IF($C637="","未选资金账户",IF(AND(N($I637)=0,N($J637)=0),"收支都为空",IF(AND(N($I637)&gt;0,N($J637)&gt;0),"收支不能同时填",IF(AND($D637&lt;&gt;"",LEFT($O637,1)="⚠"),"项目编号不存在",IF(AND($M637="是",$F637=""),"工程回款必须填往来单位","√")))))))</f>
        <v/>
      </c>
      <c r="O637" s="34" t="str">
        <f aca="false">IF($D637="","",IFERROR(INDEX(项目档案!$B$6:$B$255,MATCH($D637,项目档案!$A$6:$A$255,0)),"⚠编号不存在"))</f>
        <v/>
      </c>
      <c r="P637" s="35" t="str">
        <f aca="false">IF($B637="","",TEXT($B637,"yyyy-mm"))</f>
        <v/>
      </c>
    </row>
    <row r="638" customFormat="false" ht="15.75" hidden="false" customHeight="true" outlineLevel="0" collapsed="false">
      <c r="A638" s="32" t="str">
        <f aca="false">IF($B638="","",ROW()-4)</f>
        <v/>
      </c>
      <c r="B638" s="26"/>
      <c r="C638" s="21"/>
      <c r="D638" s="24"/>
      <c r="E638" s="21"/>
      <c r="F638" s="24"/>
      <c r="G638" s="21"/>
      <c r="H638" s="22"/>
      <c r="I638" s="27"/>
      <c r="J638" s="27"/>
      <c r="K638" s="36" t="str">
        <f aca="false">IF($B638="","",IF($C638="泓普",$C$2,IF($C638="仟茂",$E$2,IF($C638="现金",$G$2,0)))+SUMIFS($I$5:$I638,$C$5:$C638,$C638)-SUMIFS($J$5:$J638,$C$5:$C638,$C638))</f>
        <v/>
      </c>
      <c r="L638" s="36" t="str">
        <f aca="false">IF($B638="","",$C$2+$E$2+$G$2+SUM($I$5:$I638)-SUM($J$5:$J638))</f>
        <v/>
      </c>
      <c r="M638" s="24"/>
      <c r="N638" s="33" t="str">
        <f aca="false">IF($B638="","",IF(NOT(ISNUMBER($B638)),"日期格式不对",IF($C638="","未选资金账户",IF(AND(N($I638)=0,N($J638)=0),"收支都为空",IF(AND(N($I638)&gt;0,N($J638)&gt;0),"收支不能同时填",IF(AND($D638&lt;&gt;"",LEFT($O638,1)="⚠"),"项目编号不存在",IF(AND($M638="是",$F638=""),"工程回款必须填往来单位","√")))))))</f>
        <v/>
      </c>
      <c r="O638" s="34" t="str">
        <f aca="false">IF($D638="","",IFERROR(INDEX(项目档案!$B$6:$B$255,MATCH($D638,项目档案!$A$6:$A$255,0)),"⚠编号不存在"))</f>
        <v/>
      </c>
      <c r="P638" s="35" t="str">
        <f aca="false">IF($B638="","",TEXT($B638,"yyyy-mm"))</f>
        <v/>
      </c>
    </row>
    <row r="639" customFormat="false" ht="15.75" hidden="false" customHeight="true" outlineLevel="0" collapsed="false">
      <c r="A639" s="32" t="str">
        <f aca="false">IF($B639="","",ROW()-4)</f>
        <v/>
      </c>
      <c r="B639" s="26"/>
      <c r="C639" s="21"/>
      <c r="D639" s="24"/>
      <c r="E639" s="21"/>
      <c r="F639" s="24"/>
      <c r="G639" s="21"/>
      <c r="H639" s="22"/>
      <c r="I639" s="27"/>
      <c r="J639" s="27"/>
      <c r="K639" s="36" t="str">
        <f aca="false">IF($B639="","",IF($C639="泓普",$C$2,IF($C639="仟茂",$E$2,IF($C639="现金",$G$2,0)))+SUMIFS($I$5:$I639,$C$5:$C639,$C639)-SUMIFS($J$5:$J639,$C$5:$C639,$C639))</f>
        <v/>
      </c>
      <c r="L639" s="36" t="str">
        <f aca="false">IF($B639="","",$C$2+$E$2+$G$2+SUM($I$5:$I639)-SUM($J$5:$J639))</f>
        <v/>
      </c>
      <c r="M639" s="24"/>
      <c r="N639" s="33" t="str">
        <f aca="false">IF($B639="","",IF(NOT(ISNUMBER($B639)),"日期格式不对",IF($C639="","未选资金账户",IF(AND(N($I639)=0,N($J639)=0),"收支都为空",IF(AND(N($I639)&gt;0,N($J639)&gt;0),"收支不能同时填",IF(AND($D639&lt;&gt;"",LEFT($O639,1)="⚠"),"项目编号不存在",IF(AND($M639="是",$F639=""),"工程回款必须填往来单位","√")))))))</f>
        <v/>
      </c>
      <c r="O639" s="34" t="str">
        <f aca="false">IF($D639="","",IFERROR(INDEX(项目档案!$B$6:$B$255,MATCH($D639,项目档案!$A$6:$A$255,0)),"⚠编号不存在"))</f>
        <v/>
      </c>
      <c r="P639" s="35" t="str">
        <f aca="false">IF($B639="","",TEXT($B639,"yyyy-mm"))</f>
        <v/>
      </c>
    </row>
    <row r="640" customFormat="false" ht="15.75" hidden="false" customHeight="true" outlineLevel="0" collapsed="false">
      <c r="A640" s="32" t="str">
        <f aca="false">IF($B640="","",ROW()-4)</f>
        <v/>
      </c>
      <c r="B640" s="26"/>
      <c r="C640" s="21"/>
      <c r="D640" s="24"/>
      <c r="E640" s="21"/>
      <c r="F640" s="24"/>
      <c r="G640" s="21"/>
      <c r="H640" s="22"/>
      <c r="I640" s="27"/>
      <c r="J640" s="27"/>
      <c r="K640" s="36" t="str">
        <f aca="false">IF($B640="","",IF($C640="泓普",$C$2,IF($C640="仟茂",$E$2,IF($C640="现金",$G$2,0)))+SUMIFS($I$5:$I640,$C$5:$C640,$C640)-SUMIFS($J$5:$J640,$C$5:$C640,$C640))</f>
        <v/>
      </c>
      <c r="L640" s="36" t="str">
        <f aca="false">IF($B640="","",$C$2+$E$2+$G$2+SUM($I$5:$I640)-SUM($J$5:$J640))</f>
        <v/>
      </c>
      <c r="M640" s="24"/>
      <c r="N640" s="33" t="str">
        <f aca="false">IF($B640="","",IF(NOT(ISNUMBER($B640)),"日期格式不对",IF($C640="","未选资金账户",IF(AND(N($I640)=0,N($J640)=0),"收支都为空",IF(AND(N($I640)&gt;0,N($J640)&gt;0),"收支不能同时填",IF(AND($D640&lt;&gt;"",LEFT($O640,1)="⚠"),"项目编号不存在",IF(AND($M640="是",$F640=""),"工程回款必须填往来单位","√")))))))</f>
        <v/>
      </c>
      <c r="O640" s="34" t="str">
        <f aca="false">IF($D640="","",IFERROR(INDEX(项目档案!$B$6:$B$255,MATCH($D640,项目档案!$A$6:$A$255,0)),"⚠编号不存在"))</f>
        <v/>
      </c>
      <c r="P640" s="35" t="str">
        <f aca="false">IF($B640="","",TEXT($B640,"yyyy-mm"))</f>
        <v/>
      </c>
    </row>
    <row r="641" customFormat="false" ht="15.75" hidden="false" customHeight="true" outlineLevel="0" collapsed="false">
      <c r="A641" s="32" t="str">
        <f aca="false">IF($B641="","",ROW()-4)</f>
        <v/>
      </c>
      <c r="B641" s="26"/>
      <c r="C641" s="21"/>
      <c r="D641" s="24"/>
      <c r="E641" s="21"/>
      <c r="F641" s="24"/>
      <c r="G641" s="21"/>
      <c r="H641" s="22"/>
      <c r="I641" s="27"/>
      <c r="J641" s="27"/>
      <c r="K641" s="36" t="str">
        <f aca="false">IF($B641="","",IF($C641="泓普",$C$2,IF($C641="仟茂",$E$2,IF($C641="现金",$G$2,0)))+SUMIFS($I$5:$I641,$C$5:$C641,$C641)-SUMIFS($J$5:$J641,$C$5:$C641,$C641))</f>
        <v/>
      </c>
      <c r="L641" s="36" t="str">
        <f aca="false">IF($B641="","",$C$2+$E$2+$G$2+SUM($I$5:$I641)-SUM($J$5:$J641))</f>
        <v/>
      </c>
      <c r="M641" s="24"/>
      <c r="N641" s="33" t="str">
        <f aca="false">IF($B641="","",IF(NOT(ISNUMBER($B641)),"日期格式不对",IF($C641="","未选资金账户",IF(AND(N($I641)=0,N($J641)=0),"收支都为空",IF(AND(N($I641)&gt;0,N($J641)&gt;0),"收支不能同时填",IF(AND($D641&lt;&gt;"",LEFT($O641,1)="⚠"),"项目编号不存在",IF(AND($M641="是",$F641=""),"工程回款必须填往来单位","√")))))))</f>
        <v/>
      </c>
      <c r="O641" s="34" t="str">
        <f aca="false">IF($D641="","",IFERROR(INDEX(项目档案!$B$6:$B$255,MATCH($D641,项目档案!$A$6:$A$255,0)),"⚠编号不存在"))</f>
        <v/>
      </c>
      <c r="P641" s="35" t="str">
        <f aca="false">IF($B641="","",TEXT($B641,"yyyy-mm"))</f>
        <v/>
      </c>
    </row>
    <row r="642" customFormat="false" ht="15.75" hidden="false" customHeight="true" outlineLevel="0" collapsed="false">
      <c r="A642" s="32" t="str">
        <f aca="false">IF($B642="","",ROW()-4)</f>
        <v/>
      </c>
      <c r="B642" s="26"/>
      <c r="C642" s="21"/>
      <c r="D642" s="24"/>
      <c r="E642" s="21"/>
      <c r="F642" s="24"/>
      <c r="G642" s="21"/>
      <c r="H642" s="22"/>
      <c r="I642" s="27"/>
      <c r="J642" s="27"/>
      <c r="K642" s="36" t="str">
        <f aca="false">IF($B642="","",IF($C642="泓普",$C$2,IF($C642="仟茂",$E$2,IF($C642="现金",$G$2,0)))+SUMIFS($I$5:$I642,$C$5:$C642,$C642)-SUMIFS($J$5:$J642,$C$5:$C642,$C642))</f>
        <v/>
      </c>
      <c r="L642" s="36" t="str">
        <f aca="false">IF($B642="","",$C$2+$E$2+$G$2+SUM($I$5:$I642)-SUM($J$5:$J642))</f>
        <v/>
      </c>
      <c r="M642" s="24"/>
      <c r="N642" s="33" t="str">
        <f aca="false">IF($B642="","",IF(NOT(ISNUMBER($B642)),"日期格式不对",IF($C642="","未选资金账户",IF(AND(N($I642)=0,N($J642)=0),"收支都为空",IF(AND(N($I642)&gt;0,N($J642)&gt;0),"收支不能同时填",IF(AND($D642&lt;&gt;"",LEFT($O642,1)="⚠"),"项目编号不存在",IF(AND($M642="是",$F642=""),"工程回款必须填往来单位","√")))))))</f>
        <v/>
      </c>
      <c r="O642" s="34" t="str">
        <f aca="false">IF($D642="","",IFERROR(INDEX(项目档案!$B$6:$B$255,MATCH($D642,项目档案!$A$6:$A$255,0)),"⚠编号不存在"))</f>
        <v/>
      </c>
      <c r="P642" s="35" t="str">
        <f aca="false">IF($B642="","",TEXT($B642,"yyyy-mm"))</f>
        <v/>
      </c>
    </row>
    <row r="643" customFormat="false" ht="15.75" hidden="false" customHeight="true" outlineLevel="0" collapsed="false">
      <c r="A643" s="32" t="str">
        <f aca="false">IF($B643="","",ROW()-4)</f>
        <v/>
      </c>
      <c r="B643" s="26"/>
      <c r="C643" s="21"/>
      <c r="D643" s="24"/>
      <c r="E643" s="21"/>
      <c r="F643" s="24"/>
      <c r="G643" s="21"/>
      <c r="H643" s="22"/>
      <c r="I643" s="27"/>
      <c r="J643" s="27"/>
      <c r="K643" s="36" t="str">
        <f aca="false">IF($B643="","",IF($C643="泓普",$C$2,IF($C643="仟茂",$E$2,IF($C643="现金",$G$2,0)))+SUMIFS($I$5:$I643,$C$5:$C643,$C643)-SUMIFS($J$5:$J643,$C$5:$C643,$C643))</f>
        <v/>
      </c>
      <c r="L643" s="36" t="str">
        <f aca="false">IF($B643="","",$C$2+$E$2+$G$2+SUM($I$5:$I643)-SUM($J$5:$J643))</f>
        <v/>
      </c>
      <c r="M643" s="24"/>
      <c r="N643" s="33" t="str">
        <f aca="false">IF($B643="","",IF(NOT(ISNUMBER($B643)),"日期格式不对",IF($C643="","未选资金账户",IF(AND(N($I643)=0,N($J643)=0),"收支都为空",IF(AND(N($I643)&gt;0,N($J643)&gt;0),"收支不能同时填",IF(AND($D643&lt;&gt;"",LEFT($O643,1)="⚠"),"项目编号不存在",IF(AND($M643="是",$F643=""),"工程回款必须填往来单位","√")))))))</f>
        <v/>
      </c>
      <c r="O643" s="34" t="str">
        <f aca="false">IF($D643="","",IFERROR(INDEX(项目档案!$B$6:$B$255,MATCH($D643,项目档案!$A$6:$A$255,0)),"⚠编号不存在"))</f>
        <v/>
      </c>
      <c r="P643" s="35" t="str">
        <f aca="false">IF($B643="","",TEXT($B643,"yyyy-mm"))</f>
        <v/>
      </c>
    </row>
    <row r="644" customFormat="false" ht="15.75" hidden="false" customHeight="true" outlineLevel="0" collapsed="false">
      <c r="A644" s="32" t="str">
        <f aca="false">IF($B644="","",ROW()-4)</f>
        <v/>
      </c>
      <c r="B644" s="26"/>
      <c r="C644" s="21"/>
      <c r="D644" s="24"/>
      <c r="E644" s="21"/>
      <c r="F644" s="24"/>
      <c r="G644" s="21"/>
      <c r="H644" s="22"/>
      <c r="I644" s="27"/>
      <c r="J644" s="27"/>
      <c r="K644" s="36" t="str">
        <f aca="false">IF($B644="","",IF($C644="泓普",$C$2,IF($C644="仟茂",$E$2,IF($C644="现金",$G$2,0)))+SUMIFS($I$5:$I644,$C$5:$C644,$C644)-SUMIFS($J$5:$J644,$C$5:$C644,$C644))</f>
        <v/>
      </c>
      <c r="L644" s="36" t="str">
        <f aca="false">IF($B644="","",$C$2+$E$2+$G$2+SUM($I$5:$I644)-SUM($J$5:$J644))</f>
        <v/>
      </c>
      <c r="M644" s="24"/>
      <c r="N644" s="33" t="str">
        <f aca="false">IF($B644="","",IF(NOT(ISNUMBER($B644)),"日期格式不对",IF($C644="","未选资金账户",IF(AND(N($I644)=0,N($J644)=0),"收支都为空",IF(AND(N($I644)&gt;0,N($J644)&gt;0),"收支不能同时填",IF(AND($D644&lt;&gt;"",LEFT($O644,1)="⚠"),"项目编号不存在",IF(AND($M644="是",$F644=""),"工程回款必须填往来单位","√")))))))</f>
        <v/>
      </c>
      <c r="O644" s="34" t="str">
        <f aca="false">IF($D644="","",IFERROR(INDEX(项目档案!$B$6:$B$255,MATCH($D644,项目档案!$A$6:$A$255,0)),"⚠编号不存在"))</f>
        <v/>
      </c>
      <c r="P644" s="35" t="str">
        <f aca="false">IF($B644="","",TEXT($B644,"yyyy-mm"))</f>
        <v/>
      </c>
    </row>
    <row r="645" customFormat="false" ht="15.75" hidden="false" customHeight="true" outlineLevel="0" collapsed="false">
      <c r="A645" s="32" t="str">
        <f aca="false">IF($B645="","",ROW()-4)</f>
        <v/>
      </c>
      <c r="B645" s="26"/>
      <c r="C645" s="21"/>
      <c r="D645" s="24"/>
      <c r="E645" s="21"/>
      <c r="F645" s="24"/>
      <c r="G645" s="21"/>
      <c r="H645" s="22"/>
      <c r="I645" s="27"/>
      <c r="J645" s="27"/>
      <c r="K645" s="36" t="str">
        <f aca="false">IF($B645="","",IF($C645="泓普",$C$2,IF($C645="仟茂",$E$2,IF($C645="现金",$G$2,0)))+SUMIFS($I$5:$I645,$C$5:$C645,$C645)-SUMIFS($J$5:$J645,$C$5:$C645,$C645))</f>
        <v/>
      </c>
      <c r="L645" s="36" t="str">
        <f aca="false">IF($B645="","",$C$2+$E$2+$G$2+SUM($I$5:$I645)-SUM($J$5:$J645))</f>
        <v/>
      </c>
      <c r="M645" s="24"/>
      <c r="N645" s="33" t="str">
        <f aca="false">IF($B645="","",IF(NOT(ISNUMBER($B645)),"日期格式不对",IF($C645="","未选资金账户",IF(AND(N($I645)=0,N($J645)=0),"收支都为空",IF(AND(N($I645)&gt;0,N($J645)&gt;0),"收支不能同时填",IF(AND($D645&lt;&gt;"",LEFT($O645,1)="⚠"),"项目编号不存在",IF(AND($M645="是",$F645=""),"工程回款必须填往来单位","√")))))))</f>
        <v/>
      </c>
      <c r="O645" s="34" t="str">
        <f aca="false">IF($D645="","",IFERROR(INDEX(项目档案!$B$6:$B$255,MATCH($D645,项目档案!$A$6:$A$255,0)),"⚠编号不存在"))</f>
        <v/>
      </c>
      <c r="P645" s="35" t="str">
        <f aca="false">IF($B645="","",TEXT($B645,"yyyy-mm"))</f>
        <v/>
      </c>
    </row>
    <row r="646" customFormat="false" ht="15.75" hidden="false" customHeight="true" outlineLevel="0" collapsed="false">
      <c r="A646" s="32" t="str">
        <f aca="false">IF($B646="","",ROW()-4)</f>
        <v/>
      </c>
      <c r="B646" s="26"/>
      <c r="C646" s="21"/>
      <c r="D646" s="24"/>
      <c r="E646" s="21"/>
      <c r="F646" s="24"/>
      <c r="G646" s="21"/>
      <c r="H646" s="22"/>
      <c r="I646" s="27"/>
      <c r="J646" s="27"/>
      <c r="K646" s="36" t="str">
        <f aca="false">IF($B646="","",IF($C646="泓普",$C$2,IF($C646="仟茂",$E$2,IF($C646="现金",$G$2,0)))+SUMIFS($I$5:$I646,$C$5:$C646,$C646)-SUMIFS($J$5:$J646,$C$5:$C646,$C646))</f>
        <v/>
      </c>
      <c r="L646" s="36" t="str">
        <f aca="false">IF($B646="","",$C$2+$E$2+$G$2+SUM($I$5:$I646)-SUM($J$5:$J646))</f>
        <v/>
      </c>
      <c r="M646" s="24"/>
      <c r="N646" s="33" t="str">
        <f aca="false">IF($B646="","",IF(NOT(ISNUMBER($B646)),"日期格式不对",IF($C646="","未选资金账户",IF(AND(N($I646)=0,N($J646)=0),"收支都为空",IF(AND(N($I646)&gt;0,N($J646)&gt;0),"收支不能同时填",IF(AND($D646&lt;&gt;"",LEFT($O646,1)="⚠"),"项目编号不存在",IF(AND($M646="是",$F646=""),"工程回款必须填往来单位","√")))))))</f>
        <v/>
      </c>
      <c r="O646" s="34" t="str">
        <f aca="false">IF($D646="","",IFERROR(INDEX(项目档案!$B$6:$B$255,MATCH($D646,项目档案!$A$6:$A$255,0)),"⚠编号不存在"))</f>
        <v/>
      </c>
      <c r="P646" s="35" t="str">
        <f aca="false">IF($B646="","",TEXT($B646,"yyyy-mm"))</f>
        <v/>
      </c>
    </row>
    <row r="647" customFormat="false" ht="15.75" hidden="false" customHeight="true" outlineLevel="0" collapsed="false">
      <c r="A647" s="32" t="str">
        <f aca="false">IF($B647="","",ROW()-4)</f>
        <v/>
      </c>
      <c r="B647" s="26"/>
      <c r="C647" s="21"/>
      <c r="D647" s="24"/>
      <c r="E647" s="21"/>
      <c r="F647" s="24"/>
      <c r="G647" s="21"/>
      <c r="H647" s="22"/>
      <c r="I647" s="27"/>
      <c r="J647" s="27"/>
      <c r="K647" s="36" t="str">
        <f aca="false">IF($B647="","",IF($C647="泓普",$C$2,IF($C647="仟茂",$E$2,IF($C647="现金",$G$2,0)))+SUMIFS($I$5:$I647,$C$5:$C647,$C647)-SUMIFS($J$5:$J647,$C$5:$C647,$C647))</f>
        <v/>
      </c>
      <c r="L647" s="36" t="str">
        <f aca="false">IF($B647="","",$C$2+$E$2+$G$2+SUM($I$5:$I647)-SUM($J$5:$J647))</f>
        <v/>
      </c>
      <c r="M647" s="24"/>
      <c r="N647" s="33" t="str">
        <f aca="false">IF($B647="","",IF(NOT(ISNUMBER($B647)),"日期格式不对",IF($C647="","未选资金账户",IF(AND(N($I647)=0,N($J647)=0),"收支都为空",IF(AND(N($I647)&gt;0,N($J647)&gt;0),"收支不能同时填",IF(AND($D647&lt;&gt;"",LEFT($O647,1)="⚠"),"项目编号不存在",IF(AND($M647="是",$F647=""),"工程回款必须填往来单位","√")))))))</f>
        <v/>
      </c>
      <c r="O647" s="34" t="str">
        <f aca="false">IF($D647="","",IFERROR(INDEX(项目档案!$B$6:$B$255,MATCH($D647,项目档案!$A$6:$A$255,0)),"⚠编号不存在"))</f>
        <v/>
      </c>
      <c r="P647" s="35" t="str">
        <f aca="false">IF($B647="","",TEXT($B647,"yyyy-mm"))</f>
        <v/>
      </c>
    </row>
    <row r="648" customFormat="false" ht="15.75" hidden="false" customHeight="true" outlineLevel="0" collapsed="false">
      <c r="A648" s="32" t="str">
        <f aca="false">IF($B648="","",ROW()-4)</f>
        <v/>
      </c>
      <c r="B648" s="26"/>
      <c r="C648" s="21"/>
      <c r="D648" s="24"/>
      <c r="E648" s="21"/>
      <c r="F648" s="24"/>
      <c r="G648" s="21"/>
      <c r="H648" s="22"/>
      <c r="I648" s="27"/>
      <c r="J648" s="27"/>
      <c r="K648" s="36" t="str">
        <f aca="false">IF($B648="","",IF($C648="泓普",$C$2,IF($C648="仟茂",$E$2,IF($C648="现金",$G$2,0)))+SUMIFS($I$5:$I648,$C$5:$C648,$C648)-SUMIFS($J$5:$J648,$C$5:$C648,$C648))</f>
        <v/>
      </c>
      <c r="L648" s="36" t="str">
        <f aca="false">IF($B648="","",$C$2+$E$2+$G$2+SUM($I$5:$I648)-SUM($J$5:$J648))</f>
        <v/>
      </c>
      <c r="M648" s="24"/>
      <c r="N648" s="33" t="str">
        <f aca="false">IF($B648="","",IF(NOT(ISNUMBER($B648)),"日期格式不对",IF($C648="","未选资金账户",IF(AND(N($I648)=0,N($J648)=0),"收支都为空",IF(AND(N($I648)&gt;0,N($J648)&gt;0),"收支不能同时填",IF(AND($D648&lt;&gt;"",LEFT($O648,1)="⚠"),"项目编号不存在",IF(AND($M648="是",$F648=""),"工程回款必须填往来单位","√")))))))</f>
        <v/>
      </c>
      <c r="O648" s="34" t="str">
        <f aca="false">IF($D648="","",IFERROR(INDEX(项目档案!$B$6:$B$255,MATCH($D648,项目档案!$A$6:$A$255,0)),"⚠编号不存在"))</f>
        <v/>
      </c>
      <c r="P648" s="35" t="str">
        <f aca="false">IF($B648="","",TEXT($B648,"yyyy-mm"))</f>
        <v/>
      </c>
    </row>
    <row r="649" customFormat="false" ht="15.75" hidden="false" customHeight="true" outlineLevel="0" collapsed="false">
      <c r="A649" s="32" t="str">
        <f aca="false">IF($B649="","",ROW()-4)</f>
        <v/>
      </c>
      <c r="B649" s="26"/>
      <c r="C649" s="21"/>
      <c r="D649" s="24"/>
      <c r="E649" s="21"/>
      <c r="F649" s="24"/>
      <c r="G649" s="21"/>
      <c r="H649" s="22"/>
      <c r="I649" s="27"/>
      <c r="J649" s="27"/>
      <c r="K649" s="36" t="str">
        <f aca="false">IF($B649="","",IF($C649="泓普",$C$2,IF($C649="仟茂",$E$2,IF($C649="现金",$G$2,0)))+SUMIFS($I$5:$I649,$C$5:$C649,$C649)-SUMIFS($J$5:$J649,$C$5:$C649,$C649))</f>
        <v/>
      </c>
      <c r="L649" s="36" t="str">
        <f aca="false">IF($B649="","",$C$2+$E$2+$G$2+SUM($I$5:$I649)-SUM($J$5:$J649))</f>
        <v/>
      </c>
      <c r="M649" s="24"/>
      <c r="N649" s="33" t="str">
        <f aca="false">IF($B649="","",IF(NOT(ISNUMBER($B649)),"日期格式不对",IF($C649="","未选资金账户",IF(AND(N($I649)=0,N($J649)=0),"收支都为空",IF(AND(N($I649)&gt;0,N($J649)&gt;0),"收支不能同时填",IF(AND($D649&lt;&gt;"",LEFT($O649,1)="⚠"),"项目编号不存在",IF(AND($M649="是",$F649=""),"工程回款必须填往来单位","√")))))))</f>
        <v/>
      </c>
      <c r="O649" s="34" t="str">
        <f aca="false">IF($D649="","",IFERROR(INDEX(项目档案!$B$6:$B$255,MATCH($D649,项目档案!$A$6:$A$255,0)),"⚠编号不存在"))</f>
        <v/>
      </c>
      <c r="P649" s="35" t="str">
        <f aca="false">IF($B649="","",TEXT($B649,"yyyy-mm"))</f>
        <v/>
      </c>
    </row>
    <row r="650" customFormat="false" ht="15.75" hidden="false" customHeight="true" outlineLevel="0" collapsed="false">
      <c r="A650" s="32" t="str">
        <f aca="false">IF($B650="","",ROW()-4)</f>
        <v/>
      </c>
      <c r="B650" s="26"/>
      <c r="C650" s="21"/>
      <c r="D650" s="24"/>
      <c r="E650" s="21"/>
      <c r="F650" s="24"/>
      <c r="G650" s="21"/>
      <c r="H650" s="22"/>
      <c r="I650" s="27"/>
      <c r="J650" s="27"/>
      <c r="K650" s="36" t="str">
        <f aca="false">IF($B650="","",IF($C650="泓普",$C$2,IF($C650="仟茂",$E$2,IF($C650="现金",$G$2,0)))+SUMIFS($I$5:$I650,$C$5:$C650,$C650)-SUMIFS($J$5:$J650,$C$5:$C650,$C650))</f>
        <v/>
      </c>
      <c r="L650" s="36" t="str">
        <f aca="false">IF($B650="","",$C$2+$E$2+$G$2+SUM($I$5:$I650)-SUM($J$5:$J650))</f>
        <v/>
      </c>
      <c r="M650" s="24"/>
      <c r="N650" s="33" t="str">
        <f aca="false">IF($B650="","",IF(NOT(ISNUMBER($B650)),"日期格式不对",IF($C650="","未选资金账户",IF(AND(N($I650)=0,N($J650)=0),"收支都为空",IF(AND(N($I650)&gt;0,N($J650)&gt;0),"收支不能同时填",IF(AND($D650&lt;&gt;"",LEFT($O650,1)="⚠"),"项目编号不存在",IF(AND($M650="是",$F650=""),"工程回款必须填往来单位","√")))))))</f>
        <v/>
      </c>
      <c r="O650" s="34" t="str">
        <f aca="false">IF($D650="","",IFERROR(INDEX(项目档案!$B$6:$B$255,MATCH($D650,项目档案!$A$6:$A$255,0)),"⚠编号不存在"))</f>
        <v/>
      </c>
      <c r="P650" s="35" t="str">
        <f aca="false">IF($B650="","",TEXT($B650,"yyyy-mm"))</f>
        <v/>
      </c>
    </row>
    <row r="651" customFormat="false" ht="15.75" hidden="false" customHeight="true" outlineLevel="0" collapsed="false">
      <c r="A651" s="32" t="str">
        <f aca="false">IF($B651="","",ROW()-4)</f>
        <v/>
      </c>
      <c r="B651" s="26"/>
      <c r="C651" s="21"/>
      <c r="D651" s="24"/>
      <c r="E651" s="21"/>
      <c r="F651" s="24"/>
      <c r="G651" s="21"/>
      <c r="H651" s="22"/>
      <c r="I651" s="27"/>
      <c r="J651" s="27"/>
      <c r="K651" s="36" t="str">
        <f aca="false">IF($B651="","",IF($C651="泓普",$C$2,IF($C651="仟茂",$E$2,IF($C651="现金",$G$2,0)))+SUMIFS($I$5:$I651,$C$5:$C651,$C651)-SUMIFS($J$5:$J651,$C$5:$C651,$C651))</f>
        <v/>
      </c>
      <c r="L651" s="36" t="str">
        <f aca="false">IF($B651="","",$C$2+$E$2+$G$2+SUM($I$5:$I651)-SUM($J$5:$J651))</f>
        <v/>
      </c>
      <c r="M651" s="24"/>
      <c r="N651" s="33" t="str">
        <f aca="false">IF($B651="","",IF(NOT(ISNUMBER($B651)),"日期格式不对",IF($C651="","未选资金账户",IF(AND(N($I651)=0,N($J651)=0),"收支都为空",IF(AND(N($I651)&gt;0,N($J651)&gt;0),"收支不能同时填",IF(AND($D651&lt;&gt;"",LEFT($O651,1)="⚠"),"项目编号不存在",IF(AND($M651="是",$F651=""),"工程回款必须填往来单位","√")))))))</f>
        <v/>
      </c>
      <c r="O651" s="34" t="str">
        <f aca="false">IF($D651="","",IFERROR(INDEX(项目档案!$B$6:$B$255,MATCH($D651,项目档案!$A$6:$A$255,0)),"⚠编号不存在"))</f>
        <v/>
      </c>
      <c r="P651" s="35" t="str">
        <f aca="false">IF($B651="","",TEXT($B651,"yyyy-mm"))</f>
        <v/>
      </c>
    </row>
    <row r="652" customFormat="false" ht="15.75" hidden="false" customHeight="true" outlineLevel="0" collapsed="false">
      <c r="A652" s="32" t="str">
        <f aca="false">IF($B652="","",ROW()-4)</f>
        <v/>
      </c>
      <c r="B652" s="26"/>
      <c r="C652" s="21"/>
      <c r="D652" s="24"/>
      <c r="E652" s="21"/>
      <c r="F652" s="24"/>
      <c r="G652" s="21"/>
      <c r="H652" s="22"/>
      <c r="I652" s="27"/>
      <c r="J652" s="27"/>
      <c r="K652" s="36" t="str">
        <f aca="false">IF($B652="","",IF($C652="泓普",$C$2,IF($C652="仟茂",$E$2,IF($C652="现金",$G$2,0)))+SUMIFS($I$5:$I652,$C$5:$C652,$C652)-SUMIFS($J$5:$J652,$C$5:$C652,$C652))</f>
        <v/>
      </c>
      <c r="L652" s="36" t="str">
        <f aca="false">IF($B652="","",$C$2+$E$2+$G$2+SUM($I$5:$I652)-SUM($J$5:$J652))</f>
        <v/>
      </c>
      <c r="M652" s="24"/>
      <c r="N652" s="33" t="str">
        <f aca="false">IF($B652="","",IF(NOT(ISNUMBER($B652)),"日期格式不对",IF($C652="","未选资金账户",IF(AND(N($I652)=0,N($J652)=0),"收支都为空",IF(AND(N($I652)&gt;0,N($J652)&gt;0),"收支不能同时填",IF(AND($D652&lt;&gt;"",LEFT($O652,1)="⚠"),"项目编号不存在",IF(AND($M652="是",$F652=""),"工程回款必须填往来单位","√")))))))</f>
        <v/>
      </c>
      <c r="O652" s="34" t="str">
        <f aca="false">IF($D652="","",IFERROR(INDEX(项目档案!$B$6:$B$255,MATCH($D652,项目档案!$A$6:$A$255,0)),"⚠编号不存在"))</f>
        <v/>
      </c>
      <c r="P652" s="35" t="str">
        <f aca="false">IF($B652="","",TEXT($B652,"yyyy-mm"))</f>
        <v/>
      </c>
    </row>
    <row r="653" customFormat="false" ht="15.75" hidden="false" customHeight="true" outlineLevel="0" collapsed="false">
      <c r="A653" s="32" t="str">
        <f aca="false">IF($B653="","",ROW()-4)</f>
        <v/>
      </c>
      <c r="B653" s="26"/>
      <c r="C653" s="21"/>
      <c r="D653" s="24"/>
      <c r="E653" s="21"/>
      <c r="F653" s="24"/>
      <c r="G653" s="21"/>
      <c r="H653" s="22"/>
      <c r="I653" s="27"/>
      <c r="J653" s="27"/>
      <c r="K653" s="36" t="str">
        <f aca="false">IF($B653="","",IF($C653="泓普",$C$2,IF($C653="仟茂",$E$2,IF($C653="现金",$G$2,0)))+SUMIFS($I$5:$I653,$C$5:$C653,$C653)-SUMIFS($J$5:$J653,$C$5:$C653,$C653))</f>
        <v/>
      </c>
      <c r="L653" s="36" t="str">
        <f aca="false">IF($B653="","",$C$2+$E$2+$G$2+SUM($I$5:$I653)-SUM($J$5:$J653))</f>
        <v/>
      </c>
      <c r="M653" s="24"/>
      <c r="N653" s="33" t="str">
        <f aca="false">IF($B653="","",IF(NOT(ISNUMBER($B653)),"日期格式不对",IF($C653="","未选资金账户",IF(AND(N($I653)=0,N($J653)=0),"收支都为空",IF(AND(N($I653)&gt;0,N($J653)&gt;0),"收支不能同时填",IF(AND($D653&lt;&gt;"",LEFT($O653,1)="⚠"),"项目编号不存在",IF(AND($M653="是",$F653=""),"工程回款必须填往来单位","√")))))))</f>
        <v/>
      </c>
      <c r="O653" s="34" t="str">
        <f aca="false">IF($D653="","",IFERROR(INDEX(项目档案!$B$6:$B$255,MATCH($D653,项目档案!$A$6:$A$255,0)),"⚠编号不存在"))</f>
        <v/>
      </c>
      <c r="P653" s="35" t="str">
        <f aca="false">IF($B653="","",TEXT($B653,"yyyy-mm"))</f>
        <v/>
      </c>
    </row>
    <row r="654" customFormat="false" ht="15.75" hidden="false" customHeight="true" outlineLevel="0" collapsed="false">
      <c r="A654" s="32" t="str">
        <f aca="false">IF($B654="","",ROW()-4)</f>
        <v/>
      </c>
      <c r="B654" s="26"/>
      <c r="C654" s="21"/>
      <c r="D654" s="24"/>
      <c r="E654" s="21"/>
      <c r="F654" s="24"/>
      <c r="G654" s="21"/>
      <c r="H654" s="22"/>
      <c r="I654" s="27"/>
      <c r="J654" s="27"/>
      <c r="K654" s="36" t="str">
        <f aca="false">IF($B654="","",IF($C654="泓普",$C$2,IF($C654="仟茂",$E$2,IF($C654="现金",$G$2,0)))+SUMIFS($I$5:$I654,$C$5:$C654,$C654)-SUMIFS($J$5:$J654,$C$5:$C654,$C654))</f>
        <v/>
      </c>
      <c r="L654" s="36" t="str">
        <f aca="false">IF($B654="","",$C$2+$E$2+$G$2+SUM($I$5:$I654)-SUM($J$5:$J654))</f>
        <v/>
      </c>
      <c r="M654" s="24"/>
      <c r="N654" s="33" t="str">
        <f aca="false">IF($B654="","",IF(NOT(ISNUMBER($B654)),"日期格式不对",IF($C654="","未选资金账户",IF(AND(N($I654)=0,N($J654)=0),"收支都为空",IF(AND(N($I654)&gt;0,N($J654)&gt;0),"收支不能同时填",IF(AND($D654&lt;&gt;"",LEFT($O654,1)="⚠"),"项目编号不存在",IF(AND($M654="是",$F654=""),"工程回款必须填往来单位","√")))))))</f>
        <v/>
      </c>
      <c r="O654" s="34" t="str">
        <f aca="false">IF($D654="","",IFERROR(INDEX(项目档案!$B$6:$B$255,MATCH($D654,项目档案!$A$6:$A$255,0)),"⚠编号不存在"))</f>
        <v/>
      </c>
      <c r="P654" s="35" t="str">
        <f aca="false">IF($B654="","",TEXT($B654,"yyyy-mm"))</f>
        <v/>
      </c>
    </row>
    <row r="655" customFormat="false" ht="15.75" hidden="false" customHeight="true" outlineLevel="0" collapsed="false">
      <c r="A655" s="32" t="str">
        <f aca="false">IF($B655="","",ROW()-4)</f>
        <v/>
      </c>
      <c r="B655" s="26"/>
      <c r="C655" s="21"/>
      <c r="D655" s="24"/>
      <c r="E655" s="21"/>
      <c r="F655" s="24"/>
      <c r="G655" s="21"/>
      <c r="H655" s="22"/>
      <c r="I655" s="27"/>
      <c r="J655" s="27"/>
      <c r="K655" s="36" t="str">
        <f aca="false">IF($B655="","",IF($C655="泓普",$C$2,IF($C655="仟茂",$E$2,IF($C655="现金",$G$2,0)))+SUMIFS($I$5:$I655,$C$5:$C655,$C655)-SUMIFS($J$5:$J655,$C$5:$C655,$C655))</f>
        <v/>
      </c>
      <c r="L655" s="36" t="str">
        <f aca="false">IF($B655="","",$C$2+$E$2+$G$2+SUM($I$5:$I655)-SUM($J$5:$J655))</f>
        <v/>
      </c>
      <c r="M655" s="24"/>
      <c r="N655" s="33" t="str">
        <f aca="false">IF($B655="","",IF(NOT(ISNUMBER($B655)),"日期格式不对",IF($C655="","未选资金账户",IF(AND(N($I655)=0,N($J655)=0),"收支都为空",IF(AND(N($I655)&gt;0,N($J655)&gt;0),"收支不能同时填",IF(AND($D655&lt;&gt;"",LEFT($O655,1)="⚠"),"项目编号不存在",IF(AND($M655="是",$F655=""),"工程回款必须填往来单位","√")))))))</f>
        <v/>
      </c>
      <c r="O655" s="34" t="str">
        <f aca="false">IF($D655="","",IFERROR(INDEX(项目档案!$B$6:$B$255,MATCH($D655,项目档案!$A$6:$A$255,0)),"⚠编号不存在"))</f>
        <v/>
      </c>
      <c r="P655" s="35" t="str">
        <f aca="false">IF($B655="","",TEXT($B655,"yyyy-mm"))</f>
        <v/>
      </c>
    </row>
    <row r="656" customFormat="false" ht="15.75" hidden="false" customHeight="true" outlineLevel="0" collapsed="false">
      <c r="A656" s="32" t="str">
        <f aca="false">IF($B656="","",ROW()-4)</f>
        <v/>
      </c>
      <c r="B656" s="26"/>
      <c r="C656" s="21"/>
      <c r="D656" s="24"/>
      <c r="E656" s="21"/>
      <c r="F656" s="24"/>
      <c r="G656" s="21"/>
      <c r="H656" s="22"/>
      <c r="I656" s="27"/>
      <c r="J656" s="27"/>
      <c r="K656" s="36" t="str">
        <f aca="false">IF($B656="","",IF($C656="泓普",$C$2,IF($C656="仟茂",$E$2,IF($C656="现金",$G$2,0)))+SUMIFS($I$5:$I656,$C$5:$C656,$C656)-SUMIFS($J$5:$J656,$C$5:$C656,$C656))</f>
        <v/>
      </c>
      <c r="L656" s="36" t="str">
        <f aca="false">IF($B656="","",$C$2+$E$2+$G$2+SUM($I$5:$I656)-SUM($J$5:$J656))</f>
        <v/>
      </c>
      <c r="M656" s="24"/>
      <c r="N656" s="33" t="str">
        <f aca="false">IF($B656="","",IF(NOT(ISNUMBER($B656)),"日期格式不对",IF($C656="","未选资金账户",IF(AND(N($I656)=0,N($J656)=0),"收支都为空",IF(AND(N($I656)&gt;0,N($J656)&gt;0),"收支不能同时填",IF(AND($D656&lt;&gt;"",LEFT($O656,1)="⚠"),"项目编号不存在",IF(AND($M656="是",$F656=""),"工程回款必须填往来单位","√")))))))</f>
        <v/>
      </c>
      <c r="O656" s="34" t="str">
        <f aca="false">IF($D656="","",IFERROR(INDEX(项目档案!$B$6:$B$255,MATCH($D656,项目档案!$A$6:$A$255,0)),"⚠编号不存在"))</f>
        <v/>
      </c>
      <c r="P656" s="35" t="str">
        <f aca="false">IF($B656="","",TEXT($B656,"yyyy-mm"))</f>
        <v/>
      </c>
    </row>
    <row r="657" customFormat="false" ht="15.75" hidden="false" customHeight="true" outlineLevel="0" collapsed="false">
      <c r="A657" s="32" t="str">
        <f aca="false">IF($B657="","",ROW()-4)</f>
        <v/>
      </c>
      <c r="B657" s="26"/>
      <c r="C657" s="21"/>
      <c r="D657" s="24"/>
      <c r="E657" s="21"/>
      <c r="F657" s="24"/>
      <c r="G657" s="21"/>
      <c r="H657" s="22"/>
      <c r="I657" s="27"/>
      <c r="J657" s="27"/>
      <c r="K657" s="36" t="str">
        <f aca="false">IF($B657="","",IF($C657="泓普",$C$2,IF($C657="仟茂",$E$2,IF($C657="现金",$G$2,0)))+SUMIFS($I$5:$I657,$C$5:$C657,$C657)-SUMIFS($J$5:$J657,$C$5:$C657,$C657))</f>
        <v/>
      </c>
      <c r="L657" s="36" t="str">
        <f aca="false">IF($B657="","",$C$2+$E$2+$G$2+SUM($I$5:$I657)-SUM($J$5:$J657))</f>
        <v/>
      </c>
      <c r="M657" s="24"/>
      <c r="N657" s="33" t="str">
        <f aca="false">IF($B657="","",IF(NOT(ISNUMBER($B657)),"日期格式不对",IF($C657="","未选资金账户",IF(AND(N($I657)=0,N($J657)=0),"收支都为空",IF(AND(N($I657)&gt;0,N($J657)&gt;0),"收支不能同时填",IF(AND($D657&lt;&gt;"",LEFT($O657,1)="⚠"),"项目编号不存在",IF(AND($M657="是",$F657=""),"工程回款必须填往来单位","√")))))))</f>
        <v/>
      </c>
      <c r="O657" s="34" t="str">
        <f aca="false">IF($D657="","",IFERROR(INDEX(项目档案!$B$6:$B$255,MATCH($D657,项目档案!$A$6:$A$255,0)),"⚠编号不存在"))</f>
        <v/>
      </c>
      <c r="P657" s="35" t="str">
        <f aca="false">IF($B657="","",TEXT($B657,"yyyy-mm"))</f>
        <v/>
      </c>
    </row>
    <row r="658" customFormat="false" ht="15.75" hidden="false" customHeight="true" outlineLevel="0" collapsed="false">
      <c r="A658" s="32" t="str">
        <f aca="false">IF($B658="","",ROW()-4)</f>
        <v/>
      </c>
      <c r="B658" s="26"/>
      <c r="C658" s="21"/>
      <c r="D658" s="24"/>
      <c r="E658" s="21"/>
      <c r="F658" s="24"/>
      <c r="G658" s="21"/>
      <c r="H658" s="22"/>
      <c r="I658" s="27"/>
      <c r="J658" s="27"/>
      <c r="K658" s="36" t="str">
        <f aca="false">IF($B658="","",IF($C658="泓普",$C$2,IF($C658="仟茂",$E$2,IF($C658="现金",$G$2,0)))+SUMIFS($I$5:$I658,$C$5:$C658,$C658)-SUMIFS($J$5:$J658,$C$5:$C658,$C658))</f>
        <v/>
      </c>
      <c r="L658" s="36" t="str">
        <f aca="false">IF($B658="","",$C$2+$E$2+$G$2+SUM($I$5:$I658)-SUM($J$5:$J658))</f>
        <v/>
      </c>
      <c r="M658" s="24"/>
      <c r="N658" s="33" t="str">
        <f aca="false">IF($B658="","",IF(NOT(ISNUMBER($B658)),"日期格式不对",IF($C658="","未选资金账户",IF(AND(N($I658)=0,N($J658)=0),"收支都为空",IF(AND(N($I658)&gt;0,N($J658)&gt;0),"收支不能同时填",IF(AND($D658&lt;&gt;"",LEFT($O658,1)="⚠"),"项目编号不存在",IF(AND($M658="是",$F658=""),"工程回款必须填往来单位","√")))))))</f>
        <v/>
      </c>
      <c r="O658" s="34" t="str">
        <f aca="false">IF($D658="","",IFERROR(INDEX(项目档案!$B$6:$B$255,MATCH($D658,项目档案!$A$6:$A$255,0)),"⚠编号不存在"))</f>
        <v/>
      </c>
      <c r="P658" s="35" t="str">
        <f aca="false">IF($B658="","",TEXT($B658,"yyyy-mm"))</f>
        <v/>
      </c>
    </row>
    <row r="659" customFormat="false" ht="15.75" hidden="false" customHeight="true" outlineLevel="0" collapsed="false">
      <c r="A659" s="32" t="str">
        <f aca="false">IF($B659="","",ROW()-4)</f>
        <v/>
      </c>
      <c r="B659" s="26"/>
      <c r="C659" s="21"/>
      <c r="D659" s="24"/>
      <c r="E659" s="21"/>
      <c r="F659" s="24"/>
      <c r="G659" s="21"/>
      <c r="H659" s="22"/>
      <c r="I659" s="27"/>
      <c r="J659" s="27"/>
      <c r="K659" s="36" t="str">
        <f aca="false">IF($B659="","",IF($C659="泓普",$C$2,IF($C659="仟茂",$E$2,IF($C659="现金",$G$2,0)))+SUMIFS($I$5:$I659,$C$5:$C659,$C659)-SUMIFS($J$5:$J659,$C$5:$C659,$C659))</f>
        <v/>
      </c>
      <c r="L659" s="36" t="str">
        <f aca="false">IF($B659="","",$C$2+$E$2+$G$2+SUM($I$5:$I659)-SUM($J$5:$J659))</f>
        <v/>
      </c>
      <c r="M659" s="24"/>
      <c r="N659" s="33" t="str">
        <f aca="false">IF($B659="","",IF(NOT(ISNUMBER($B659)),"日期格式不对",IF($C659="","未选资金账户",IF(AND(N($I659)=0,N($J659)=0),"收支都为空",IF(AND(N($I659)&gt;0,N($J659)&gt;0),"收支不能同时填",IF(AND($D659&lt;&gt;"",LEFT($O659,1)="⚠"),"项目编号不存在",IF(AND($M659="是",$F659=""),"工程回款必须填往来单位","√")))))))</f>
        <v/>
      </c>
      <c r="O659" s="34" t="str">
        <f aca="false">IF($D659="","",IFERROR(INDEX(项目档案!$B$6:$B$255,MATCH($D659,项目档案!$A$6:$A$255,0)),"⚠编号不存在"))</f>
        <v/>
      </c>
      <c r="P659" s="35" t="str">
        <f aca="false">IF($B659="","",TEXT($B659,"yyyy-mm"))</f>
        <v/>
      </c>
    </row>
    <row r="660" customFormat="false" ht="15.75" hidden="false" customHeight="true" outlineLevel="0" collapsed="false">
      <c r="A660" s="32" t="str">
        <f aca="false">IF($B660="","",ROW()-4)</f>
        <v/>
      </c>
      <c r="B660" s="26"/>
      <c r="C660" s="21"/>
      <c r="D660" s="24"/>
      <c r="E660" s="21"/>
      <c r="F660" s="24"/>
      <c r="G660" s="21"/>
      <c r="H660" s="22"/>
      <c r="I660" s="27"/>
      <c r="J660" s="27"/>
      <c r="K660" s="36" t="str">
        <f aca="false">IF($B660="","",IF($C660="泓普",$C$2,IF($C660="仟茂",$E$2,IF($C660="现金",$G$2,0)))+SUMIFS($I$5:$I660,$C$5:$C660,$C660)-SUMIFS($J$5:$J660,$C$5:$C660,$C660))</f>
        <v/>
      </c>
      <c r="L660" s="36" t="str">
        <f aca="false">IF($B660="","",$C$2+$E$2+$G$2+SUM($I$5:$I660)-SUM($J$5:$J660))</f>
        <v/>
      </c>
      <c r="M660" s="24"/>
      <c r="N660" s="33" t="str">
        <f aca="false">IF($B660="","",IF(NOT(ISNUMBER($B660)),"日期格式不对",IF($C660="","未选资金账户",IF(AND(N($I660)=0,N($J660)=0),"收支都为空",IF(AND(N($I660)&gt;0,N($J660)&gt;0),"收支不能同时填",IF(AND($D660&lt;&gt;"",LEFT($O660,1)="⚠"),"项目编号不存在",IF(AND($M660="是",$F660=""),"工程回款必须填往来单位","√")))))))</f>
        <v/>
      </c>
      <c r="O660" s="34" t="str">
        <f aca="false">IF($D660="","",IFERROR(INDEX(项目档案!$B$6:$B$255,MATCH($D660,项目档案!$A$6:$A$255,0)),"⚠编号不存在"))</f>
        <v/>
      </c>
      <c r="P660" s="35" t="str">
        <f aca="false">IF($B660="","",TEXT($B660,"yyyy-mm"))</f>
        <v/>
      </c>
    </row>
    <row r="661" customFormat="false" ht="15.75" hidden="false" customHeight="true" outlineLevel="0" collapsed="false">
      <c r="A661" s="32" t="str">
        <f aca="false">IF($B661="","",ROW()-4)</f>
        <v/>
      </c>
      <c r="B661" s="26"/>
      <c r="C661" s="21"/>
      <c r="D661" s="24"/>
      <c r="E661" s="21"/>
      <c r="F661" s="24"/>
      <c r="G661" s="21"/>
      <c r="H661" s="22"/>
      <c r="I661" s="27"/>
      <c r="J661" s="27"/>
      <c r="K661" s="36" t="str">
        <f aca="false">IF($B661="","",IF($C661="泓普",$C$2,IF($C661="仟茂",$E$2,IF($C661="现金",$G$2,0)))+SUMIFS($I$5:$I661,$C$5:$C661,$C661)-SUMIFS($J$5:$J661,$C$5:$C661,$C661))</f>
        <v/>
      </c>
      <c r="L661" s="36" t="str">
        <f aca="false">IF($B661="","",$C$2+$E$2+$G$2+SUM($I$5:$I661)-SUM($J$5:$J661))</f>
        <v/>
      </c>
      <c r="M661" s="24"/>
      <c r="N661" s="33" t="str">
        <f aca="false">IF($B661="","",IF(NOT(ISNUMBER($B661)),"日期格式不对",IF($C661="","未选资金账户",IF(AND(N($I661)=0,N($J661)=0),"收支都为空",IF(AND(N($I661)&gt;0,N($J661)&gt;0),"收支不能同时填",IF(AND($D661&lt;&gt;"",LEFT($O661,1)="⚠"),"项目编号不存在",IF(AND($M661="是",$F661=""),"工程回款必须填往来单位","√")))))))</f>
        <v/>
      </c>
      <c r="O661" s="34" t="str">
        <f aca="false">IF($D661="","",IFERROR(INDEX(项目档案!$B$6:$B$255,MATCH($D661,项目档案!$A$6:$A$255,0)),"⚠编号不存在"))</f>
        <v/>
      </c>
      <c r="P661" s="35" t="str">
        <f aca="false">IF($B661="","",TEXT($B661,"yyyy-mm"))</f>
        <v/>
      </c>
    </row>
    <row r="662" customFormat="false" ht="15.75" hidden="false" customHeight="true" outlineLevel="0" collapsed="false">
      <c r="A662" s="32" t="str">
        <f aca="false">IF($B662="","",ROW()-4)</f>
        <v/>
      </c>
      <c r="B662" s="26"/>
      <c r="C662" s="21"/>
      <c r="D662" s="24"/>
      <c r="E662" s="21"/>
      <c r="F662" s="24"/>
      <c r="G662" s="21"/>
      <c r="H662" s="22"/>
      <c r="I662" s="27"/>
      <c r="J662" s="27"/>
      <c r="K662" s="36" t="str">
        <f aca="false">IF($B662="","",IF($C662="泓普",$C$2,IF($C662="仟茂",$E$2,IF($C662="现金",$G$2,0)))+SUMIFS($I$5:$I662,$C$5:$C662,$C662)-SUMIFS($J$5:$J662,$C$5:$C662,$C662))</f>
        <v/>
      </c>
      <c r="L662" s="36" t="str">
        <f aca="false">IF($B662="","",$C$2+$E$2+$G$2+SUM($I$5:$I662)-SUM($J$5:$J662))</f>
        <v/>
      </c>
      <c r="M662" s="24"/>
      <c r="N662" s="33" t="str">
        <f aca="false">IF($B662="","",IF(NOT(ISNUMBER($B662)),"日期格式不对",IF($C662="","未选资金账户",IF(AND(N($I662)=0,N($J662)=0),"收支都为空",IF(AND(N($I662)&gt;0,N($J662)&gt;0),"收支不能同时填",IF(AND($D662&lt;&gt;"",LEFT($O662,1)="⚠"),"项目编号不存在",IF(AND($M662="是",$F662=""),"工程回款必须填往来单位","√")))))))</f>
        <v/>
      </c>
      <c r="O662" s="34" t="str">
        <f aca="false">IF($D662="","",IFERROR(INDEX(项目档案!$B$6:$B$255,MATCH($D662,项目档案!$A$6:$A$255,0)),"⚠编号不存在"))</f>
        <v/>
      </c>
      <c r="P662" s="35" t="str">
        <f aca="false">IF($B662="","",TEXT($B662,"yyyy-mm"))</f>
        <v/>
      </c>
    </row>
    <row r="663" customFormat="false" ht="15.75" hidden="false" customHeight="true" outlineLevel="0" collapsed="false">
      <c r="A663" s="32" t="str">
        <f aca="false">IF($B663="","",ROW()-4)</f>
        <v/>
      </c>
      <c r="B663" s="26"/>
      <c r="C663" s="21"/>
      <c r="D663" s="24"/>
      <c r="E663" s="21"/>
      <c r="F663" s="24"/>
      <c r="G663" s="21"/>
      <c r="H663" s="22"/>
      <c r="I663" s="27"/>
      <c r="J663" s="27"/>
      <c r="K663" s="36" t="str">
        <f aca="false">IF($B663="","",IF($C663="泓普",$C$2,IF($C663="仟茂",$E$2,IF($C663="现金",$G$2,0)))+SUMIFS($I$5:$I663,$C$5:$C663,$C663)-SUMIFS($J$5:$J663,$C$5:$C663,$C663))</f>
        <v/>
      </c>
      <c r="L663" s="36" t="str">
        <f aca="false">IF($B663="","",$C$2+$E$2+$G$2+SUM($I$5:$I663)-SUM($J$5:$J663))</f>
        <v/>
      </c>
      <c r="M663" s="24"/>
      <c r="N663" s="33" t="str">
        <f aca="false">IF($B663="","",IF(NOT(ISNUMBER($B663)),"日期格式不对",IF($C663="","未选资金账户",IF(AND(N($I663)=0,N($J663)=0),"收支都为空",IF(AND(N($I663)&gt;0,N($J663)&gt;0),"收支不能同时填",IF(AND($D663&lt;&gt;"",LEFT($O663,1)="⚠"),"项目编号不存在",IF(AND($M663="是",$F663=""),"工程回款必须填往来单位","√")))))))</f>
        <v/>
      </c>
      <c r="O663" s="34" t="str">
        <f aca="false">IF($D663="","",IFERROR(INDEX(项目档案!$B$6:$B$255,MATCH($D663,项目档案!$A$6:$A$255,0)),"⚠编号不存在"))</f>
        <v/>
      </c>
      <c r="P663" s="35" t="str">
        <f aca="false">IF($B663="","",TEXT($B663,"yyyy-mm"))</f>
        <v/>
      </c>
    </row>
    <row r="664" customFormat="false" ht="15.75" hidden="false" customHeight="true" outlineLevel="0" collapsed="false">
      <c r="A664" s="32" t="str">
        <f aca="false">IF($B664="","",ROW()-4)</f>
        <v/>
      </c>
      <c r="B664" s="26"/>
      <c r="C664" s="21"/>
      <c r="D664" s="24"/>
      <c r="E664" s="21"/>
      <c r="F664" s="24"/>
      <c r="G664" s="21"/>
      <c r="H664" s="22"/>
      <c r="I664" s="27"/>
      <c r="J664" s="27"/>
      <c r="K664" s="36" t="str">
        <f aca="false">IF($B664="","",IF($C664="泓普",$C$2,IF($C664="仟茂",$E$2,IF($C664="现金",$G$2,0)))+SUMIFS($I$5:$I664,$C$5:$C664,$C664)-SUMIFS($J$5:$J664,$C$5:$C664,$C664))</f>
        <v/>
      </c>
      <c r="L664" s="36" t="str">
        <f aca="false">IF($B664="","",$C$2+$E$2+$G$2+SUM($I$5:$I664)-SUM($J$5:$J664))</f>
        <v/>
      </c>
      <c r="M664" s="24"/>
      <c r="N664" s="33" t="str">
        <f aca="false">IF($B664="","",IF(NOT(ISNUMBER($B664)),"日期格式不对",IF($C664="","未选资金账户",IF(AND(N($I664)=0,N($J664)=0),"收支都为空",IF(AND(N($I664)&gt;0,N($J664)&gt;0),"收支不能同时填",IF(AND($D664&lt;&gt;"",LEFT($O664,1)="⚠"),"项目编号不存在",IF(AND($M664="是",$F664=""),"工程回款必须填往来单位","√")))))))</f>
        <v/>
      </c>
      <c r="O664" s="34" t="str">
        <f aca="false">IF($D664="","",IFERROR(INDEX(项目档案!$B$6:$B$255,MATCH($D664,项目档案!$A$6:$A$255,0)),"⚠编号不存在"))</f>
        <v/>
      </c>
      <c r="P664" s="35" t="str">
        <f aca="false">IF($B664="","",TEXT($B664,"yyyy-mm"))</f>
        <v/>
      </c>
    </row>
    <row r="665" customFormat="false" ht="15.75" hidden="false" customHeight="true" outlineLevel="0" collapsed="false">
      <c r="A665" s="32" t="str">
        <f aca="false">IF($B665="","",ROW()-4)</f>
        <v/>
      </c>
      <c r="B665" s="26"/>
      <c r="C665" s="21"/>
      <c r="D665" s="24"/>
      <c r="E665" s="21"/>
      <c r="F665" s="24"/>
      <c r="G665" s="21"/>
      <c r="H665" s="22"/>
      <c r="I665" s="27"/>
      <c r="J665" s="27"/>
      <c r="K665" s="36" t="str">
        <f aca="false">IF($B665="","",IF($C665="泓普",$C$2,IF($C665="仟茂",$E$2,IF($C665="现金",$G$2,0)))+SUMIFS($I$5:$I665,$C$5:$C665,$C665)-SUMIFS($J$5:$J665,$C$5:$C665,$C665))</f>
        <v/>
      </c>
      <c r="L665" s="36" t="str">
        <f aca="false">IF($B665="","",$C$2+$E$2+$G$2+SUM($I$5:$I665)-SUM($J$5:$J665))</f>
        <v/>
      </c>
      <c r="M665" s="24"/>
      <c r="N665" s="33" t="str">
        <f aca="false">IF($B665="","",IF(NOT(ISNUMBER($B665)),"日期格式不对",IF($C665="","未选资金账户",IF(AND(N($I665)=0,N($J665)=0),"收支都为空",IF(AND(N($I665)&gt;0,N($J665)&gt;0),"收支不能同时填",IF(AND($D665&lt;&gt;"",LEFT($O665,1)="⚠"),"项目编号不存在",IF(AND($M665="是",$F665=""),"工程回款必须填往来单位","√")))))))</f>
        <v/>
      </c>
      <c r="O665" s="34" t="str">
        <f aca="false">IF($D665="","",IFERROR(INDEX(项目档案!$B$6:$B$255,MATCH($D665,项目档案!$A$6:$A$255,0)),"⚠编号不存在"))</f>
        <v/>
      </c>
      <c r="P665" s="35" t="str">
        <f aca="false">IF($B665="","",TEXT($B665,"yyyy-mm"))</f>
        <v/>
      </c>
    </row>
    <row r="666" customFormat="false" ht="15.75" hidden="false" customHeight="true" outlineLevel="0" collapsed="false">
      <c r="A666" s="32" t="str">
        <f aca="false">IF($B666="","",ROW()-4)</f>
        <v/>
      </c>
      <c r="B666" s="26"/>
      <c r="C666" s="21"/>
      <c r="D666" s="24"/>
      <c r="E666" s="21"/>
      <c r="F666" s="24"/>
      <c r="G666" s="21"/>
      <c r="H666" s="22"/>
      <c r="I666" s="27"/>
      <c r="J666" s="27"/>
      <c r="K666" s="36" t="str">
        <f aca="false">IF($B666="","",IF($C666="泓普",$C$2,IF($C666="仟茂",$E$2,IF($C666="现金",$G$2,0)))+SUMIFS($I$5:$I666,$C$5:$C666,$C666)-SUMIFS($J$5:$J666,$C$5:$C666,$C666))</f>
        <v/>
      </c>
      <c r="L666" s="36" t="str">
        <f aca="false">IF($B666="","",$C$2+$E$2+$G$2+SUM($I$5:$I666)-SUM($J$5:$J666))</f>
        <v/>
      </c>
      <c r="M666" s="24"/>
      <c r="N666" s="33" t="str">
        <f aca="false">IF($B666="","",IF(NOT(ISNUMBER($B666)),"日期格式不对",IF($C666="","未选资金账户",IF(AND(N($I666)=0,N($J666)=0),"收支都为空",IF(AND(N($I666)&gt;0,N($J666)&gt;0),"收支不能同时填",IF(AND($D666&lt;&gt;"",LEFT($O666,1)="⚠"),"项目编号不存在",IF(AND($M666="是",$F666=""),"工程回款必须填往来单位","√")))))))</f>
        <v/>
      </c>
      <c r="O666" s="34" t="str">
        <f aca="false">IF($D666="","",IFERROR(INDEX(项目档案!$B$6:$B$255,MATCH($D666,项目档案!$A$6:$A$255,0)),"⚠编号不存在"))</f>
        <v/>
      </c>
      <c r="P666" s="35" t="str">
        <f aca="false">IF($B666="","",TEXT($B666,"yyyy-mm"))</f>
        <v/>
      </c>
    </row>
    <row r="667" customFormat="false" ht="15.75" hidden="false" customHeight="true" outlineLevel="0" collapsed="false">
      <c r="A667" s="32" t="str">
        <f aca="false">IF($B667="","",ROW()-4)</f>
        <v/>
      </c>
      <c r="B667" s="26"/>
      <c r="C667" s="21"/>
      <c r="D667" s="24"/>
      <c r="E667" s="21"/>
      <c r="F667" s="24"/>
      <c r="G667" s="21"/>
      <c r="H667" s="22"/>
      <c r="I667" s="27"/>
      <c r="J667" s="27"/>
      <c r="K667" s="36" t="str">
        <f aca="false">IF($B667="","",IF($C667="泓普",$C$2,IF($C667="仟茂",$E$2,IF($C667="现金",$G$2,0)))+SUMIFS($I$5:$I667,$C$5:$C667,$C667)-SUMIFS($J$5:$J667,$C$5:$C667,$C667))</f>
        <v/>
      </c>
      <c r="L667" s="36" t="str">
        <f aca="false">IF($B667="","",$C$2+$E$2+$G$2+SUM($I$5:$I667)-SUM($J$5:$J667))</f>
        <v/>
      </c>
      <c r="M667" s="24"/>
      <c r="N667" s="33" t="str">
        <f aca="false">IF($B667="","",IF(NOT(ISNUMBER($B667)),"日期格式不对",IF($C667="","未选资金账户",IF(AND(N($I667)=0,N($J667)=0),"收支都为空",IF(AND(N($I667)&gt;0,N($J667)&gt;0),"收支不能同时填",IF(AND($D667&lt;&gt;"",LEFT($O667,1)="⚠"),"项目编号不存在",IF(AND($M667="是",$F667=""),"工程回款必须填往来单位","√")))))))</f>
        <v/>
      </c>
      <c r="O667" s="34" t="str">
        <f aca="false">IF($D667="","",IFERROR(INDEX(项目档案!$B$6:$B$255,MATCH($D667,项目档案!$A$6:$A$255,0)),"⚠编号不存在"))</f>
        <v/>
      </c>
      <c r="P667" s="35" t="str">
        <f aca="false">IF($B667="","",TEXT($B667,"yyyy-mm"))</f>
        <v/>
      </c>
    </row>
    <row r="668" customFormat="false" ht="15.75" hidden="false" customHeight="true" outlineLevel="0" collapsed="false">
      <c r="A668" s="32" t="str">
        <f aca="false">IF($B668="","",ROW()-4)</f>
        <v/>
      </c>
      <c r="B668" s="26"/>
      <c r="C668" s="21"/>
      <c r="D668" s="24"/>
      <c r="E668" s="21"/>
      <c r="F668" s="24"/>
      <c r="G668" s="21"/>
      <c r="H668" s="22"/>
      <c r="I668" s="27"/>
      <c r="J668" s="27"/>
      <c r="K668" s="36" t="str">
        <f aca="false">IF($B668="","",IF($C668="泓普",$C$2,IF($C668="仟茂",$E$2,IF($C668="现金",$G$2,0)))+SUMIFS($I$5:$I668,$C$5:$C668,$C668)-SUMIFS($J$5:$J668,$C$5:$C668,$C668))</f>
        <v/>
      </c>
      <c r="L668" s="36" t="str">
        <f aca="false">IF($B668="","",$C$2+$E$2+$G$2+SUM($I$5:$I668)-SUM($J$5:$J668))</f>
        <v/>
      </c>
      <c r="M668" s="24"/>
      <c r="N668" s="33" t="str">
        <f aca="false">IF($B668="","",IF(NOT(ISNUMBER($B668)),"日期格式不对",IF($C668="","未选资金账户",IF(AND(N($I668)=0,N($J668)=0),"收支都为空",IF(AND(N($I668)&gt;0,N($J668)&gt;0),"收支不能同时填",IF(AND($D668&lt;&gt;"",LEFT($O668,1)="⚠"),"项目编号不存在",IF(AND($M668="是",$F668=""),"工程回款必须填往来单位","√")))))))</f>
        <v/>
      </c>
      <c r="O668" s="34" t="str">
        <f aca="false">IF($D668="","",IFERROR(INDEX(项目档案!$B$6:$B$255,MATCH($D668,项目档案!$A$6:$A$255,0)),"⚠编号不存在"))</f>
        <v/>
      </c>
      <c r="P668" s="35" t="str">
        <f aca="false">IF($B668="","",TEXT($B668,"yyyy-mm"))</f>
        <v/>
      </c>
    </row>
    <row r="669" customFormat="false" ht="15.75" hidden="false" customHeight="true" outlineLevel="0" collapsed="false">
      <c r="A669" s="32" t="str">
        <f aca="false">IF($B669="","",ROW()-4)</f>
        <v/>
      </c>
      <c r="B669" s="26"/>
      <c r="C669" s="21"/>
      <c r="D669" s="24"/>
      <c r="E669" s="21"/>
      <c r="F669" s="24"/>
      <c r="G669" s="21"/>
      <c r="H669" s="22"/>
      <c r="I669" s="27"/>
      <c r="J669" s="27"/>
      <c r="K669" s="36" t="str">
        <f aca="false">IF($B669="","",IF($C669="泓普",$C$2,IF($C669="仟茂",$E$2,IF($C669="现金",$G$2,0)))+SUMIFS($I$5:$I669,$C$5:$C669,$C669)-SUMIFS($J$5:$J669,$C$5:$C669,$C669))</f>
        <v/>
      </c>
      <c r="L669" s="36" t="str">
        <f aca="false">IF($B669="","",$C$2+$E$2+$G$2+SUM($I$5:$I669)-SUM($J$5:$J669))</f>
        <v/>
      </c>
      <c r="M669" s="24"/>
      <c r="N669" s="33" t="str">
        <f aca="false">IF($B669="","",IF(NOT(ISNUMBER($B669)),"日期格式不对",IF($C669="","未选资金账户",IF(AND(N($I669)=0,N($J669)=0),"收支都为空",IF(AND(N($I669)&gt;0,N($J669)&gt;0),"收支不能同时填",IF(AND($D669&lt;&gt;"",LEFT($O669,1)="⚠"),"项目编号不存在",IF(AND($M669="是",$F669=""),"工程回款必须填往来单位","√")))))))</f>
        <v/>
      </c>
      <c r="O669" s="34" t="str">
        <f aca="false">IF($D669="","",IFERROR(INDEX(项目档案!$B$6:$B$255,MATCH($D669,项目档案!$A$6:$A$255,0)),"⚠编号不存在"))</f>
        <v/>
      </c>
      <c r="P669" s="35" t="str">
        <f aca="false">IF($B669="","",TEXT($B669,"yyyy-mm"))</f>
        <v/>
      </c>
    </row>
    <row r="670" customFormat="false" ht="15.75" hidden="false" customHeight="true" outlineLevel="0" collapsed="false">
      <c r="A670" s="32" t="str">
        <f aca="false">IF($B670="","",ROW()-4)</f>
        <v/>
      </c>
      <c r="B670" s="26"/>
      <c r="C670" s="21"/>
      <c r="D670" s="24"/>
      <c r="E670" s="21"/>
      <c r="F670" s="24"/>
      <c r="G670" s="21"/>
      <c r="H670" s="22"/>
      <c r="I670" s="27"/>
      <c r="J670" s="27"/>
      <c r="K670" s="36" t="str">
        <f aca="false">IF($B670="","",IF($C670="泓普",$C$2,IF($C670="仟茂",$E$2,IF($C670="现金",$G$2,0)))+SUMIFS($I$5:$I670,$C$5:$C670,$C670)-SUMIFS($J$5:$J670,$C$5:$C670,$C670))</f>
        <v/>
      </c>
      <c r="L670" s="36" t="str">
        <f aca="false">IF($B670="","",$C$2+$E$2+$G$2+SUM($I$5:$I670)-SUM($J$5:$J670))</f>
        <v/>
      </c>
      <c r="M670" s="24"/>
      <c r="N670" s="33" t="str">
        <f aca="false">IF($B670="","",IF(NOT(ISNUMBER($B670)),"日期格式不对",IF($C670="","未选资金账户",IF(AND(N($I670)=0,N($J670)=0),"收支都为空",IF(AND(N($I670)&gt;0,N($J670)&gt;0),"收支不能同时填",IF(AND($D670&lt;&gt;"",LEFT($O670,1)="⚠"),"项目编号不存在",IF(AND($M670="是",$F670=""),"工程回款必须填往来单位","√")))))))</f>
        <v/>
      </c>
      <c r="O670" s="34" t="str">
        <f aca="false">IF($D670="","",IFERROR(INDEX(项目档案!$B$6:$B$255,MATCH($D670,项目档案!$A$6:$A$255,0)),"⚠编号不存在"))</f>
        <v/>
      </c>
      <c r="P670" s="35" t="str">
        <f aca="false">IF($B670="","",TEXT($B670,"yyyy-mm"))</f>
        <v/>
      </c>
    </row>
    <row r="671" customFormat="false" ht="15.75" hidden="false" customHeight="true" outlineLevel="0" collapsed="false">
      <c r="A671" s="32" t="str">
        <f aca="false">IF($B671="","",ROW()-4)</f>
        <v/>
      </c>
      <c r="B671" s="26"/>
      <c r="C671" s="21"/>
      <c r="D671" s="24"/>
      <c r="E671" s="21"/>
      <c r="F671" s="24"/>
      <c r="G671" s="21"/>
      <c r="H671" s="22"/>
      <c r="I671" s="27"/>
      <c r="J671" s="27"/>
      <c r="K671" s="36" t="str">
        <f aca="false">IF($B671="","",IF($C671="泓普",$C$2,IF($C671="仟茂",$E$2,IF($C671="现金",$G$2,0)))+SUMIFS($I$5:$I671,$C$5:$C671,$C671)-SUMIFS($J$5:$J671,$C$5:$C671,$C671))</f>
        <v/>
      </c>
      <c r="L671" s="36" t="str">
        <f aca="false">IF($B671="","",$C$2+$E$2+$G$2+SUM($I$5:$I671)-SUM($J$5:$J671))</f>
        <v/>
      </c>
      <c r="M671" s="24"/>
      <c r="N671" s="33" t="str">
        <f aca="false">IF($B671="","",IF(NOT(ISNUMBER($B671)),"日期格式不对",IF($C671="","未选资金账户",IF(AND(N($I671)=0,N($J671)=0),"收支都为空",IF(AND(N($I671)&gt;0,N($J671)&gt;0),"收支不能同时填",IF(AND($D671&lt;&gt;"",LEFT($O671,1)="⚠"),"项目编号不存在",IF(AND($M671="是",$F671=""),"工程回款必须填往来单位","√")))))))</f>
        <v/>
      </c>
      <c r="O671" s="34" t="str">
        <f aca="false">IF($D671="","",IFERROR(INDEX(项目档案!$B$6:$B$255,MATCH($D671,项目档案!$A$6:$A$255,0)),"⚠编号不存在"))</f>
        <v/>
      </c>
      <c r="P671" s="35" t="str">
        <f aca="false">IF($B671="","",TEXT($B671,"yyyy-mm"))</f>
        <v/>
      </c>
    </row>
    <row r="672" customFormat="false" ht="15.75" hidden="false" customHeight="true" outlineLevel="0" collapsed="false">
      <c r="A672" s="32" t="str">
        <f aca="false">IF($B672="","",ROW()-4)</f>
        <v/>
      </c>
      <c r="B672" s="26"/>
      <c r="C672" s="21"/>
      <c r="D672" s="24"/>
      <c r="E672" s="21"/>
      <c r="F672" s="24"/>
      <c r="G672" s="21"/>
      <c r="H672" s="22"/>
      <c r="I672" s="27"/>
      <c r="J672" s="27"/>
      <c r="K672" s="36" t="str">
        <f aca="false">IF($B672="","",IF($C672="泓普",$C$2,IF($C672="仟茂",$E$2,IF($C672="现金",$G$2,0)))+SUMIFS($I$5:$I672,$C$5:$C672,$C672)-SUMIFS($J$5:$J672,$C$5:$C672,$C672))</f>
        <v/>
      </c>
      <c r="L672" s="36" t="str">
        <f aca="false">IF($B672="","",$C$2+$E$2+$G$2+SUM($I$5:$I672)-SUM($J$5:$J672))</f>
        <v/>
      </c>
      <c r="M672" s="24"/>
      <c r="N672" s="33" t="str">
        <f aca="false">IF($B672="","",IF(NOT(ISNUMBER($B672)),"日期格式不对",IF($C672="","未选资金账户",IF(AND(N($I672)=0,N($J672)=0),"收支都为空",IF(AND(N($I672)&gt;0,N($J672)&gt;0),"收支不能同时填",IF(AND($D672&lt;&gt;"",LEFT($O672,1)="⚠"),"项目编号不存在",IF(AND($M672="是",$F672=""),"工程回款必须填往来单位","√")))))))</f>
        <v/>
      </c>
      <c r="O672" s="34" t="str">
        <f aca="false">IF($D672="","",IFERROR(INDEX(项目档案!$B$6:$B$255,MATCH($D672,项目档案!$A$6:$A$255,0)),"⚠编号不存在"))</f>
        <v/>
      </c>
      <c r="P672" s="35" t="str">
        <f aca="false">IF($B672="","",TEXT($B672,"yyyy-mm"))</f>
        <v/>
      </c>
    </row>
    <row r="673" customFormat="false" ht="15.75" hidden="false" customHeight="true" outlineLevel="0" collapsed="false">
      <c r="A673" s="32" t="str">
        <f aca="false">IF($B673="","",ROW()-4)</f>
        <v/>
      </c>
      <c r="B673" s="26"/>
      <c r="C673" s="21"/>
      <c r="D673" s="24"/>
      <c r="E673" s="21"/>
      <c r="F673" s="24"/>
      <c r="G673" s="21"/>
      <c r="H673" s="22"/>
      <c r="I673" s="27"/>
      <c r="J673" s="27"/>
      <c r="K673" s="36" t="str">
        <f aca="false">IF($B673="","",IF($C673="泓普",$C$2,IF($C673="仟茂",$E$2,IF($C673="现金",$G$2,0)))+SUMIFS($I$5:$I673,$C$5:$C673,$C673)-SUMIFS($J$5:$J673,$C$5:$C673,$C673))</f>
        <v/>
      </c>
      <c r="L673" s="36" t="str">
        <f aca="false">IF($B673="","",$C$2+$E$2+$G$2+SUM($I$5:$I673)-SUM($J$5:$J673))</f>
        <v/>
      </c>
      <c r="M673" s="24"/>
      <c r="N673" s="33" t="str">
        <f aca="false">IF($B673="","",IF(NOT(ISNUMBER($B673)),"日期格式不对",IF($C673="","未选资金账户",IF(AND(N($I673)=0,N($J673)=0),"收支都为空",IF(AND(N($I673)&gt;0,N($J673)&gt;0),"收支不能同时填",IF(AND($D673&lt;&gt;"",LEFT($O673,1)="⚠"),"项目编号不存在",IF(AND($M673="是",$F673=""),"工程回款必须填往来单位","√")))))))</f>
        <v/>
      </c>
      <c r="O673" s="34" t="str">
        <f aca="false">IF($D673="","",IFERROR(INDEX(项目档案!$B$6:$B$255,MATCH($D673,项目档案!$A$6:$A$255,0)),"⚠编号不存在"))</f>
        <v/>
      </c>
      <c r="P673" s="35" t="str">
        <f aca="false">IF($B673="","",TEXT($B673,"yyyy-mm"))</f>
        <v/>
      </c>
    </row>
    <row r="674" customFormat="false" ht="15.75" hidden="false" customHeight="true" outlineLevel="0" collapsed="false">
      <c r="A674" s="32" t="str">
        <f aca="false">IF($B674="","",ROW()-4)</f>
        <v/>
      </c>
      <c r="B674" s="26"/>
      <c r="C674" s="21"/>
      <c r="D674" s="24"/>
      <c r="E674" s="21"/>
      <c r="F674" s="24"/>
      <c r="G674" s="21"/>
      <c r="H674" s="22"/>
      <c r="I674" s="27"/>
      <c r="J674" s="27"/>
      <c r="K674" s="36" t="str">
        <f aca="false">IF($B674="","",IF($C674="泓普",$C$2,IF($C674="仟茂",$E$2,IF($C674="现金",$G$2,0)))+SUMIFS($I$5:$I674,$C$5:$C674,$C674)-SUMIFS($J$5:$J674,$C$5:$C674,$C674))</f>
        <v/>
      </c>
      <c r="L674" s="36" t="str">
        <f aca="false">IF($B674="","",$C$2+$E$2+$G$2+SUM($I$5:$I674)-SUM($J$5:$J674))</f>
        <v/>
      </c>
      <c r="M674" s="24"/>
      <c r="N674" s="33" t="str">
        <f aca="false">IF($B674="","",IF(NOT(ISNUMBER($B674)),"日期格式不对",IF($C674="","未选资金账户",IF(AND(N($I674)=0,N($J674)=0),"收支都为空",IF(AND(N($I674)&gt;0,N($J674)&gt;0),"收支不能同时填",IF(AND($D674&lt;&gt;"",LEFT($O674,1)="⚠"),"项目编号不存在",IF(AND($M674="是",$F674=""),"工程回款必须填往来单位","√")))))))</f>
        <v/>
      </c>
      <c r="O674" s="34" t="str">
        <f aca="false">IF($D674="","",IFERROR(INDEX(项目档案!$B$6:$B$255,MATCH($D674,项目档案!$A$6:$A$255,0)),"⚠编号不存在"))</f>
        <v/>
      </c>
      <c r="P674" s="35" t="str">
        <f aca="false">IF($B674="","",TEXT($B674,"yyyy-mm"))</f>
        <v/>
      </c>
    </row>
    <row r="675" customFormat="false" ht="15.75" hidden="false" customHeight="true" outlineLevel="0" collapsed="false">
      <c r="A675" s="32" t="str">
        <f aca="false">IF($B675="","",ROW()-4)</f>
        <v/>
      </c>
      <c r="B675" s="26"/>
      <c r="C675" s="21"/>
      <c r="D675" s="24"/>
      <c r="E675" s="21"/>
      <c r="F675" s="24"/>
      <c r="G675" s="21"/>
      <c r="H675" s="22"/>
      <c r="I675" s="27"/>
      <c r="J675" s="27"/>
      <c r="K675" s="36" t="str">
        <f aca="false">IF($B675="","",IF($C675="泓普",$C$2,IF($C675="仟茂",$E$2,IF($C675="现金",$G$2,0)))+SUMIFS($I$5:$I675,$C$5:$C675,$C675)-SUMIFS($J$5:$J675,$C$5:$C675,$C675))</f>
        <v/>
      </c>
      <c r="L675" s="36" t="str">
        <f aca="false">IF($B675="","",$C$2+$E$2+$G$2+SUM($I$5:$I675)-SUM($J$5:$J675))</f>
        <v/>
      </c>
      <c r="M675" s="24"/>
      <c r="N675" s="33" t="str">
        <f aca="false">IF($B675="","",IF(NOT(ISNUMBER($B675)),"日期格式不对",IF($C675="","未选资金账户",IF(AND(N($I675)=0,N($J675)=0),"收支都为空",IF(AND(N($I675)&gt;0,N($J675)&gt;0),"收支不能同时填",IF(AND($D675&lt;&gt;"",LEFT($O675,1)="⚠"),"项目编号不存在",IF(AND($M675="是",$F675=""),"工程回款必须填往来单位","√")))))))</f>
        <v/>
      </c>
      <c r="O675" s="34" t="str">
        <f aca="false">IF($D675="","",IFERROR(INDEX(项目档案!$B$6:$B$255,MATCH($D675,项目档案!$A$6:$A$255,0)),"⚠编号不存在"))</f>
        <v/>
      </c>
      <c r="P675" s="35" t="str">
        <f aca="false">IF($B675="","",TEXT($B675,"yyyy-mm"))</f>
        <v/>
      </c>
    </row>
    <row r="676" customFormat="false" ht="15.75" hidden="false" customHeight="true" outlineLevel="0" collapsed="false">
      <c r="A676" s="32" t="str">
        <f aca="false">IF($B676="","",ROW()-4)</f>
        <v/>
      </c>
      <c r="B676" s="26"/>
      <c r="C676" s="21"/>
      <c r="D676" s="24"/>
      <c r="E676" s="21"/>
      <c r="F676" s="24"/>
      <c r="G676" s="21"/>
      <c r="H676" s="22"/>
      <c r="I676" s="27"/>
      <c r="J676" s="27"/>
      <c r="K676" s="36" t="str">
        <f aca="false">IF($B676="","",IF($C676="泓普",$C$2,IF($C676="仟茂",$E$2,IF($C676="现金",$G$2,0)))+SUMIFS($I$5:$I676,$C$5:$C676,$C676)-SUMIFS($J$5:$J676,$C$5:$C676,$C676))</f>
        <v/>
      </c>
      <c r="L676" s="36" t="str">
        <f aca="false">IF($B676="","",$C$2+$E$2+$G$2+SUM($I$5:$I676)-SUM($J$5:$J676))</f>
        <v/>
      </c>
      <c r="M676" s="24"/>
      <c r="N676" s="33" t="str">
        <f aca="false">IF($B676="","",IF(NOT(ISNUMBER($B676)),"日期格式不对",IF($C676="","未选资金账户",IF(AND(N($I676)=0,N($J676)=0),"收支都为空",IF(AND(N($I676)&gt;0,N($J676)&gt;0),"收支不能同时填",IF(AND($D676&lt;&gt;"",LEFT($O676,1)="⚠"),"项目编号不存在",IF(AND($M676="是",$F676=""),"工程回款必须填往来单位","√")))))))</f>
        <v/>
      </c>
      <c r="O676" s="34" t="str">
        <f aca="false">IF($D676="","",IFERROR(INDEX(项目档案!$B$6:$B$255,MATCH($D676,项目档案!$A$6:$A$255,0)),"⚠编号不存在"))</f>
        <v/>
      </c>
      <c r="P676" s="35" t="str">
        <f aca="false">IF($B676="","",TEXT($B676,"yyyy-mm"))</f>
        <v/>
      </c>
    </row>
    <row r="677" customFormat="false" ht="15.75" hidden="false" customHeight="true" outlineLevel="0" collapsed="false">
      <c r="A677" s="32" t="str">
        <f aca="false">IF($B677="","",ROW()-4)</f>
        <v/>
      </c>
      <c r="B677" s="26"/>
      <c r="C677" s="21"/>
      <c r="D677" s="24"/>
      <c r="E677" s="21"/>
      <c r="F677" s="24"/>
      <c r="G677" s="21"/>
      <c r="H677" s="22"/>
      <c r="I677" s="27"/>
      <c r="J677" s="27"/>
      <c r="K677" s="36" t="str">
        <f aca="false">IF($B677="","",IF($C677="泓普",$C$2,IF($C677="仟茂",$E$2,IF($C677="现金",$G$2,0)))+SUMIFS($I$5:$I677,$C$5:$C677,$C677)-SUMIFS($J$5:$J677,$C$5:$C677,$C677))</f>
        <v/>
      </c>
      <c r="L677" s="36" t="str">
        <f aca="false">IF($B677="","",$C$2+$E$2+$G$2+SUM($I$5:$I677)-SUM($J$5:$J677))</f>
        <v/>
      </c>
      <c r="M677" s="24"/>
      <c r="N677" s="33" t="str">
        <f aca="false">IF($B677="","",IF(NOT(ISNUMBER($B677)),"日期格式不对",IF($C677="","未选资金账户",IF(AND(N($I677)=0,N($J677)=0),"收支都为空",IF(AND(N($I677)&gt;0,N($J677)&gt;0),"收支不能同时填",IF(AND($D677&lt;&gt;"",LEFT($O677,1)="⚠"),"项目编号不存在",IF(AND($M677="是",$F677=""),"工程回款必须填往来单位","√")))))))</f>
        <v/>
      </c>
      <c r="O677" s="34" t="str">
        <f aca="false">IF($D677="","",IFERROR(INDEX(项目档案!$B$6:$B$255,MATCH($D677,项目档案!$A$6:$A$255,0)),"⚠编号不存在"))</f>
        <v/>
      </c>
      <c r="P677" s="35" t="str">
        <f aca="false">IF($B677="","",TEXT($B677,"yyyy-mm"))</f>
        <v/>
      </c>
    </row>
    <row r="678" customFormat="false" ht="15.75" hidden="false" customHeight="true" outlineLevel="0" collapsed="false">
      <c r="A678" s="32" t="str">
        <f aca="false">IF($B678="","",ROW()-4)</f>
        <v/>
      </c>
      <c r="B678" s="26"/>
      <c r="C678" s="21"/>
      <c r="D678" s="24"/>
      <c r="E678" s="21"/>
      <c r="F678" s="24"/>
      <c r="G678" s="21"/>
      <c r="H678" s="22"/>
      <c r="I678" s="27"/>
      <c r="J678" s="27"/>
      <c r="K678" s="36" t="str">
        <f aca="false">IF($B678="","",IF($C678="泓普",$C$2,IF($C678="仟茂",$E$2,IF($C678="现金",$G$2,0)))+SUMIFS($I$5:$I678,$C$5:$C678,$C678)-SUMIFS($J$5:$J678,$C$5:$C678,$C678))</f>
        <v/>
      </c>
      <c r="L678" s="36" t="str">
        <f aca="false">IF($B678="","",$C$2+$E$2+$G$2+SUM($I$5:$I678)-SUM($J$5:$J678))</f>
        <v/>
      </c>
      <c r="M678" s="24"/>
      <c r="N678" s="33" t="str">
        <f aca="false">IF($B678="","",IF(NOT(ISNUMBER($B678)),"日期格式不对",IF($C678="","未选资金账户",IF(AND(N($I678)=0,N($J678)=0),"收支都为空",IF(AND(N($I678)&gt;0,N($J678)&gt;0),"收支不能同时填",IF(AND($D678&lt;&gt;"",LEFT($O678,1)="⚠"),"项目编号不存在",IF(AND($M678="是",$F678=""),"工程回款必须填往来单位","√")))))))</f>
        <v/>
      </c>
      <c r="O678" s="34" t="str">
        <f aca="false">IF($D678="","",IFERROR(INDEX(项目档案!$B$6:$B$255,MATCH($D678,项目档案!$A$6:$A$255,0)),"⚠编号不存在"))</f>
        <v/>
      </c>
      <c r="P678" s="35" t="str">
        <f aca="false">IF($B678="","",TEXT($B678,"yyyy-mm"))</f>
        <v/>
      </c>
    </row>
    <row r="679" customFormat="false" ht="15.75" hidden="false" customHeight="true" outlineLevel="0" collapsed="false">
      <c r="A679" s="32" t="str">
        <f aca="false">IF($B679="","",ROW()-4)</f>
        <v/>
      </c>
      <c r="B679" s="26"/>
      <c r="C679" s="21"/>
      <c r="D679" s="24"/>
      <c r="E679" s="21"/>
      <c r="F679" s="24"/>
      <c r="G679" s="21"/>
      <c r="H679" s="22"/>
      <c r="I679" s="27"/>
      <c r="J679" s="27"/>
      <c r="K679" s="36" t="str">
        <f aca="false">IF($B679="","",IF($C679="泓普",$C$2,IF($C679="仟茂",$E$2,IF($C679="现金",$G$2,0)))+SUMIFS($I$5:$I679,$C$5:$C679,$C679)-SUMIFS($J$5:$J679,$C$5:$C679,$C679))</f>
        <v/>
      </c>
      <c r="L679" s="36" t="str">
        <f aca="false">IF($B679="","",$C$2+$E$2+$G$2+SUM($I$5:$I679)-SUM($J$5:$J679))</f>
        <v/>
      </c>
      <c r="M679" s="24"/>
      <c r="N679" s="33" t="str">
        <f aca="false">IF($B679="","",IF(NOT(ISNUMBER($B679)),"日期格式不对",IF($C679="","未选资金账户",IF(AND(N($I679)=0,N($J679)=0),"收支都为空",IF(AND(N($I679)&gt;0,N($J679)&gt;0),"收支不能同时填",IF(AND($D679&lt;&gt;"",LEFT($O679,1)="⚠"),"项目编号不存在",IF(AND($M679="是",$F679=""),"工程回款必须填往来单位","√")))))))</f>
        <v/>
      </c>
      <c r="O679" s="34" t="str">
        <f aca="false">IF($D679="","",IFERROR(INDEX(项目档案!$B$6:$B$255,MATCH($D679,项目档案!$A$6:$A$255,0)),"⚠编号不存在"))</f>
        <v/>
      </c>
      <c r="P679" s="35" t="str">
        <f aca="false">IF($B679="","",TEXT($B679,"yyyy-mm"))</f>
        <v/>
      </c>
    </row>
    <row r="680" customFormat="false" ht="15.75" hidden="false" customHeight="true" outlineLevel="0" collapsed="false">
      <c r="A680" s="32" t="str">
        <f aca="false">IF($B680="","",ROW()-4)</f>
        <v/>
      </c>
      <c r="B680" s="26"/>
      <c r="C680" s="21"/>
      <c r="D680" s="24"/>
      <c r="E680" s="21"/>
      <c r="F680" s="24"/>
      <c r="G680" s="21"/>
      <c r="H680" s="22"/>
      <c r="I680" s="27"/>
      <c r="J680" s="27"/>
      <c r="K680" s="36" t="str">
        <f aca="false">IF($B680="","",IF($C680="泓普",$C$2,IF($C680="仟茂",$E$2,IF($C680="现金",$G$2,0)))+SUMIFS($I$5:$I680,$C$5:$C680,$C680)-SUMIFS($J$5:$J680,$C$5:$C680,$C680))</f>
        <v/>
      </c>
      <c r="L680" s="36" t="str">
        <f aca="false">IF($B680="","",$C$2+$E$2+$G$2+SUM($I$5:$I680)-SUM($J$5:$J680))</f>
        <v/>
      </c>
      <c r="M680" s="24"/>
      <c r="N680" s="33" t="str">
        <f aca="false">IF($B680="","",IF(NOT(ISNUMBER($B680)),"日期格式不对",IF($C680="","未选资金账户",IF(AND(N($I680)=0,N($J680)=0),"收支都为空",IF(AND(N($I680)&gt;0,N($J680)&gt;0),"收支不能同时填",IF(AND($D680&lt;&gt;"",LEFT($O680,1)="⚠"),"项目编号不存在",IF(AND($M680="是",$F680=""),"工程回款必须填往来单位","√")))))))</f>
        <v/>
      </c>
      <c r="O680" s="34" t="str">
        <f aca="false">IF($D680="","",IFERROR(INDEX(项目档案!$B$6:$B$255,MATCH($D680,项目档案!$A$6:$A$255,0)),"⚠编号不存在"))</f>
        <v/>
      </c>
      <c r="P680" s="35" t="str">
        <f aca="false">IF($B680="","",TEXT($B680,"yyyy-mm"))</f>
        <v/>
      </c>
    </row>
    <row r="681" customFormat="false" ht="15.75" hidden="false" customHeight="true" outlineLevel="0" collapsed="false">
      <c r="A681" s="32" t="str">
        <f aca="false">IF($B681="","",ROW()-4)</f>
        <v/>
      </c>
      <c r="B681" s="26"/>
      <c r="C681" s="21"/>
      <c r="D681" s="24"/>
      <c r="E681" s="21"/>
      <c r="F681" s="24"/>
      <c r="G681" s="21"/>
      <c r="H681" s="22"/>
      <c r="I681" s="27"/>
      <c r="J681" s="27"/>
      <c r="K681" s="36" t="str">
        <f aca="false">IF($B681="","",IF($C681="泓普",$C$2,IF($C681="仟茂",$E$2,IF($C681="现金",$G$2,0)))+SUMIFS($I$5:$I681,$C$5:$C681,$C681)-SUMIFS($J$5:$J681,$C$5:$C681,$C681))</f>
        <v/>
      </c>
      <c r="L681" s="36" t="str">
        <f aca="false">IF($B681="","",$C$2+$E$2+$G$2+SUM($I$5:$I681)-SUM($J$5:$J681))</f>
        <v/>
      </c>
      <c r="M681" s="24"/>
      <c r="N681" s="33" t="str">
        <f aca="false">IF($B681="","",IF(NOT(ISNUMBER($B681)),"日期格式不对",IF($C681="","未选资金账户",IF(AND(N($I681)=0,N($J681)=0),"收支都为空",IF(AND(N($I681)&gt;0,N($J681)&gt;0),"收支不能同时填",IF(AND($D681&lt;&gt;"",LEFT($O681,1)="⚠"),"项目编号不存在",IF(AND($M681="是",$F681=""),"工程回款必须填往来单位","√")))))))</f>
        <v/>
      </c>
      <c r="O681" s="34" t="str">
        <f aca="false">IF($D681="","",IFERROR(INDEX(项目档案!$B$6:$B$255,MATCH($D681,项目档案!$A$6:$A$255,0)),"⚠编号不存在"))</f>
        <v/>
      </c>
      <c r="P681" s="35" t="str">
        <f aca="false">IF($B681="","",TEXT($B681,"yyyy-mm"))</f>
        <v/>
      </c>
    </row>
    <row r="682" customFormat="false" ht="15.75" hidden="false" customHeight="true" outlineLevel="0" collapsed="false">
      <c r="A682" s="32" t="str">
        <f aca="false">IF($B682="","",ROW()-4)</f>
        <v/>
      </c>
      <c r="B682" s="26"/>
      <c r="C682" s="21"/>
      <c r="D682" s="24"/>
      <c r="E682" s="21"/>
      <c r="F682" s="24"/>
      <c r="G682" s="21"/>
      <c r="H682" s="22"/>
      <c r="I682" s="27"/>
      <c r="J682" s="27"/>
      <c r="K682" s="36" t="str">
        <f aca="false">IF($B682="","",IF($C682="泓普",$C$2,IF($C682="仟茂",$E$2,IF($C682="现金",$G$2,0)))+SUMIFS($I$5:$I682,$C$5:$C682,$C682)-SUMIFS($J$5:$J682,$C$5:$C682,$C682))</f>
        <v/>
      </c>
      <c r="L682" s="36" t="str">
        <f aca="false">IF($B682="","",$C$2+$E$2+$G$2+SUM($I$5:$I682)-SUM($J$5:$J682))</f>
        <v/>
      </c>
      <c r="M682" s="24"/>
      <c r="N682" s="33" t="str">
        <f aca="false">IF($B682="","",IF(NOT(ISNUMBER($B682)),"日期格式不对",IF($C682="","未选资金账户",IF(AND(N($I682)=0,N($J682)=0),"收支都为空",IF(AND(N($I682)&gt;0,N($J682)&gt;0),"收支不能同时填",IF(AND($D682&lt;&gt;"",LEFT($O682,1)="⚠"),"项目编号不存在",IF(AND($M682="是",$F682=""),"工程回款必须填往来单位","√")))))))</f>
        <v/>
      </c>
      <c r="O682" s="34" t="str">
        <f aca="false">IF($D682="","",IFERROR(INDEX(项目档案!$B$6:$B$255,MATCH($D682,项目档案!$A$6:$A$255,0)),"⚠编号不存在"))</f>
        <v/>
      </c>
      <c r="P682" s="35" t="str">
        <f aca="false">IF($B682="","",TEXT($B682,"yyyy-mm"))</f>
        <v/>
      </c>
    </row>
    <row r="683" customFormat="false" ht="15.75" hidden="false" customHeight="true" outlineLevel="0" collapsed="false">
      <c r="A683" s="32" t="str">
        <f aca="false">IF($B683="","",ROW()-4)</f>
        <v/>
      </c>
      <c r="B683" s="26"/>
      <c r="C683" s="21"/>
      <c r="D683" s="24"/>
      <c r="E683" s="21"/>
      <c r="F683" s="24"/>
      <c r="G683" s="21"/>
      <c r="H683" s="22"/>
      <c r="I683" s="27"/>
      <c r="J683" s="27"/>
      <c r="K683" s="36" t="str">
        <f aca="false">IF($B683="","",IF($C683="泓普",$C$2,IF($C683="仟茂",$E$2,IF($C683="现金",$G$2,0)))+SUMIFS($I$5:$I683,$C$5:$C683,$C683)-SUMIFS($J$5:$J683,$C$5:$C683,$C683))</f>
        <v/>
      </c>
      <c r="L683" s="36" t="str">
        <f aca="false">IF($B683="","",$C$2+$E$2+$G$2+SUM($I$5:$I683)-SUM($J$5:$J683))</f>
        <v/>
      </c>
      <c r="M683" s="24"/>
      <c r="N683" s="33" t="str">
        <f aca="false">IF($B683="","",IF(NOT(ISNUMBER($B683)),"日期格式不对",IF($C683="","未选资金账户",IF(AND(N($I683)=0,N($J683)=0),"收支都为空",IF(AND(N($I683)&gt;0,N($J683)&gt;0),"收支不能同时填",IF(AND($D683&lt;&gt;"",LEFT($O683,1)="⚠"),"项目编号不存在",IF(AND($M683="是",$F683=""),"工程回款必须填往来单位","√")))))))</f>
        <v/>
      </c>
      <c r="O683" s="34" t="str">
        <f aca="false">IF($D683="","",IFERROR(INDEX(项目档案!$B$6:$B$255,MATCH($D683,项目档案!$A$6:$A$255,0)),"⚠编号不存在"))</f>
        <v/>
      </c>
      <c r="P683" s="35" t="str">
        <f aca="false">IF($B683="","",TEXT($B683,"yyyy-mm"))</f>
        <v/>
      </c>
    </row>
    <row r="684" customFormat="false" ht="15.75" hidden="false" customHeight="true" outlineLevel="0" collapsed="false">
      <c r="A684" s="32" t="str">
        <f aca="false">IF($B684="","",ROW()-4)</f>
        <v/>
      </c>
      <c r="B684" s="26"/>
      <c r="C684" s="21"/>
      <c r="D684" s="24"/>
      <c r="E684" s="21"/>
      <c r="F684" s="24"/>
      <c r="G684" s="21"/>
      <c r="H684" s="22"/>
      <c r="I684" s="27"/>
      <c r="J684" s="27"/>
      <c r="K684" s="36" t="str">
        <f aca="false">IF($B684="","",IF($C684="泓普",$C$2,IF($C684="仟茂",$E$2,IF($C684="现金",$G$2,0)))+SUMIFS($I$5:$I684,$C$5:$C684,$C684)-SUMIFS($J$5:$J684,$C$5:$C684,$C684))</f>
        <v/>
      </c>
      <c r="L684" s="36" t="str">
        <f aca="false">IF($B684="","",$C$2+$E$2+$G$2+SUM($I$5:$I684)-SUM($J$5:$J684))</f>
        <v/>
      </c>
      <c r="M684" s="24"/>
      <c r="N684" s="33" t="str">
        <f aca="false">IF($B684="","",IF(NOT(ISNUMBER($B684)),"日期格式不对",IF($C684="","未选资金账户",IF(AND(N($I684)=0,N($J684)=0),"收支都为空",IF(AND(N($I684)&gt;0,N($J684)&gt;0),"收支不能同时填",IF(AND($D684&lt;&gt;"",LEFT($O684,1)="⚠"),"项目编号不存在",IF(AND($M684="是",$F684=""),"工程回款必须填往来单位","√")))))))</f>
        <v/>
      </c>
      <c r="O684" s="34" t="str">
        <f aca="false">IF($D684="","",IFERROR(INDEX(项目档案!$B$6:$B$255,MATCH($D684,项目档案!$A$6:$A$255,0)),"⚠编号不存在"))</f>
        <v/>
      </c>
      <c r="P684" s="35" t="str">
        <f aca="false">IF($B684="","",TEXT($B684,"yyyy-mm"))</f>
        <v/>
      </c>
    </row>
    <row r="685" customFormat="false" ht="15.75" hidden="false" customHeight="true" outlineLevel="0" collapsed="false">
      <c r="A685" s="32" t="str">
        <f aca="false">IF($B685="","",ROW()-4)</f>
        <v/>
      </c>
      <c r="B685" s="26"/>
      <c r="C685" s="21"/>
      <c r="D685" s="24"/>
      <c r="E685" s="21"/>
      <c r="F685" s="24"/>
      <c r="G685" s="21"/>
      <c r="H685" s="22"/>
      <c r="I685" s="27"/>
      <c r="J685" s="27"/>
      <c r="K685" s="36" t="str">
        <f aca="false">IF($B685="","",IF($C685="泓普",$C$2,IF($C685="仟茂",$E$2,IF($C685="现金",$G$2,0)))+SUMIFS($I$5:$I685,$C$5:$C685,$C685)-SUMIFS($J$5:$J685,$C$5:$C685,$C685))</f>
        <v/>
      </c>
      <c r="L685" s="36" t="str">
        <f aca="false">IF($B685="","",$C$2+$E$2+$G$2+SUM($I$5:$I685)-SUM($J$5:$J685))</f>
        <v/>
      </c>
      <c r="M685" s="24"/>
      <c r="N685" s="33" t="str">
        <f aca="false">IF($B685="","",IF(NOT(ISNUMBER($B685)),"日期格式不对",IF($C685="","未选资金账户",IF(AND(N($I685)=0,N($J685)=0),"收支都为空",IF(AND(N($I685)&gt;0,N($J685)&gt;0),"收支不能同时填",IF(AND($D685&lt;&gt;"",LEFT($O685,1)="⚠"),"项目编号不存在",IF(AND($M685="是",$F685=""),"工程回款必须填往来单位","√")))))))</f>
        <v/>
      </c>
      <c r="O685" s="34" t="str">
        <f aca="false">IF($D685="","",IFERROR(INDEX(项目档案!$B$6:$B$255,MATCH($D685,项目档案!$A$6:$A$255,0)),"⚠编号不存在"))</f>
        <v/>
      </c>
      <c r="P685" s="35" t="str">
        <f aca="false">IF($B685="","",TEXT($B685,"yyyy-mm"))</f>
        <v/>
      </c>
    </row>
    <row r="686" customFormat="false" ht="15.75" hidden="false" customHeight="true" outlineLevel="0" collapsed="false">
      <c r="A686" s="32" t="str">
        <f aca="false">IF($B686="","",ROW()-4)</f>
        <v/>
      </c>
      <c r="B686" s="26"/>
      <c r="C686" s="21"/>
      <c r="D686" s="24"/>
      <c r="E686" s="21"/>
      <c r="F686" s="24"/>
      <c r="G686" s="21"/>
      <c r="H686" s="22"/>
      <c r="I686" s="27"/>
      <c r="J686" s="27"/>
      <c r="K686" s="36" t="str">
        <f aca="false">IF($B686="","",IF($C686="泓普",$C$2,IF($C686="仟茂",$E$2,IF($C686="现金",$G$2,0)))+SUMIFS($I$5:$I686,$C$5:$C686,$C686)-SUMIFS($J$5:$J686,$C$5:$C686,$C686))</f>
        <v/>
      </c>
      <c r="L686" s="36" t="str">
        <f aca="false">IF($B686="","",$C$2+$E$2+$G$2+SUM($I$5:$I686)-SUM($J$5:$J686))</f>
        <v/>
      </c>
      <c r="M686" s="24"/>
      <c r="N686" s="33" t="str">
        <f aca="false">IF($B686="","",IF(NOT(ISNUMBER($B686)),"日期格式不对",IF($C686="","未选资金账户",IF(AND(N($I686)=0,N($J686)=0),"收支都为空",IF(AND(N($I686)&gt;0,N($J686)&gt;0),"收支不能同时填",IF(AND($D686&lt;&gt;"",LEFT($O686,1)="⚠"),"项目编号不存在",IF(AND($M686="是",$F686=""),"工程回款必须填往来单位","√")))))))</f>
        <v/>
      </c>
      <c r="O686" s="34" t="str">
        <f aca="false">IF($D686="","",IFERROR(INDEX(项目档案!$B$6:$B$255,MATCH($D686,项目档案!$A$6:$A$255,0)),"⚠编号不存在"))</f>
        <v/>
      </c>
      <c r="P686" s="35" t="str">
        <f aca="false">IF($B686="","",TEXT($B686,"yyyy-mm"))</f>
        <v/>
      </c>
    </row>
    <row r="687" customFormat="false" ht="15.75" hidden="false" customHeight="true" outlineLevel="0" collapsed="false">
      <c r="A687" s="32" t="str">
        <f aca="false">IF($B687="","",ROW()-4)</f>
        <v/>
      </c>
      <c r="B687" s="26"/>
      <c r="C687" s="21"/>
      <c r="D687" s="24"/>
      <c r="E687" s="21"/>
      <c r="F687" s="24"/>
      <c r="G687" s="21"/>
      <c r="H687" s="22"/>
      <c r="I687" s="27"/>
      <c r="J687" s="27"/>
      <c r="K687" s="36" t="str">
        <f aca="false">IF($B687="","",IF($C687="泓普",$C$2,IF($C687="仟茂",$E$2,IF($C687="现金",$G$2,0)))+SUMIFS($I$5:$I687,$C$5:$C687,$C687)-SUMIFS($J$5:$J687,$C$5:$C687,$C687))</f>
        <v/>
      </c>
      <c r="L687" s="36" t="str">
        <f aca="false">IF($B687="","",$C$2+$E$2+$G$2+SUM($I$5:$I687)-SUM($J$5:$J687))</f>
        <v/>
      </c>
      <c r="M687" s="24"/>
      <c r="N687" s="33" t="str">
        <f aca="false">IF($B687="","",IF(NOT(ISNUMBER($B687)),"日期格式不对",IF($C687="","未选资金账户",IF(AND(N($I687)=0,N($J687)=0),"收支都为空",IF(AND(N($I687)&gt;0,N($J687)&gt;0),"收支不能同时填",IF(AND($D687&lt;&gt;"",LEFT($O687,1)="⚠"),"项目编号不存在",IF(AND($M687="是",$F687=""),"工程回款必须填往来单位","√")))))))</f>
        <v/>
      </c>
      <c r="O687" s="34" t="str">
        <f aca="false">IF($D687="","",IFERROR(INDEX(项目档案!$B$6:$B$255,MATCH($D687,项目档案!$A$6:$A$255,0)),"⚠编号不存在"))</f>
        <v/>
      </c>
      <c r="P687" s="35" t="str">
        <f aca="false">IF($B687="","",TEXT($B687,"yyyy-mm"))</f>
        <v/>
      </c>
    </row>
    <row r="688" customFormat="false" ht="15.75" hidden="false" customHeight="true" outlineLevel="0" collapsed="false">
      <c r="A688" s="32" t="str">
        <f aca="false">IF($B688="","",ROW()-4)</f>
        <v/>
      </c>
      <c r="B688" s="26"/>
      <c r="C688" s="21"/>
      <c r="D688" s="24"/>
      <c r="E688" s="21"/>
      <c r="F688" s="24"/>
      <c r="G688" s="21"/>
      <c r="H688" s="22"/>
      <c r="I688" s="27"/>
      <c r="J688" s="27"/>
      <c r="K688" s="36" t="str">
        <f aca="false">IF($B688="","",IF($C688="泓普",$C$2,IF($C688="仟茂",$E$2,IF($C688="现金",$G$2,0)))+SUMIFS($I$5:$I688,$C$5:$C688,$C688)-SUMIFS($J$5:$J688,$C$5:$C688,$C688))</f>
        <v/>
      </c>
      <c r="L688" s="36" t="str">
        <f aca="false">IF($B688="","",$C$2+$E$2+$G$2+SUM($I$5:$I688)-SUM($J$5:$J688))</f>
        <v/>
      </c>
      <c r="M688" s="24"/>
      <c r="N688" s="33" t="str">
        <f aca="false">IF($B688="","",IF(NOT(ISNUMBER($B688)),"日期格式不对",IF($C688="","未选资金账户",IF(AND(N($I688)=0,N($J688)=0),"收支都为空",IF(AND(N($I688)&gt;0,N($J688)&gt;0),"收支不能同时填",IF(AND($D688&lt;&gt;"",LEFT($O688,1)="⚠"),"项目编号不存在",IF(AND($M688="是",$F688=""),"工程回款必须填往来单位","√")))))))</f>
        <v/>
      </c>
      <c r="O688" s="34" t="str">
        <f aca="false">IF($D688="","",IFERROR(INDEX(项目档案!$B$6:$B$255,MATCH($D688,项目档案!$A$6:$A$255,0)),"⚠编号不存在"))</f>
        <v/>
      </c>
      <c r="P688" s="35" t="str">
        <f aca="false">IF($B688="","",TEXT($B688,"yyyy-mm"))</f>
        <v/>
      </c>
    </row>
    <row r="689" customFormat="false" ht="15.75" hidden="false" customHeight="true" outlineLevel="0" collapsed="false">
      <c r="A689" s="32" t="str">
        <f aca="false">IF($B689="","",ROW()-4)</f>
        <v/>
      </c>
      <c r="B689" s="26"/>
      <c r="C689" s="21"/>
      <c r="D689" s="24"/>
      <c r="E689" s="21"/>
      <c r="F689" s="24"/>
      <c r="G689" s="21"/>
      <c r="H689" s="22"/>
      <c r="I689" s="27"/>
      <c r="J689" s="27"/>
      <c r="K689" s="36" t="str">
        <f aca="false">IF($B689="","",IF($C689="泓普",$C$2,IF($C689="仟茂",$E$2,IF($C689="现金",$G$2,0)))+SUMIFS($I$5:$I689,$C$5:$C689,$C689)-SUMIFS($J$5:$J689,$C$5:$C689,$C689))</f>
        <v/>
      </c>
      <c r="L689" s="36" t="str">
        <f aca="false">IF($B689="","",$C$2+$E$2+$G$2+SUM($I$5:$I689)-SUM($J$5:$J689))</f>
        <v/>
      </c>
      <c r="M689" s="24"/>
      <c r="N689" s="33" t="str">
        <f aca="false">IF($B689="","",IF(NOT(ISNUMBER($B689)),"日期格式不对",IF($C689="","未选资金账户",IF(AND(N($I689)=0,N($J689)=0),"收支都为空",IF(AND(N($I689)&gt;0,N($J689)&gt;0),"收支不能同时填",IF(AND($D689&lt;&gt;"",LEFT($O689,1)="⚠"),"项目编号不存在",IF(AND($M689="是",$F689=""),"工程回款必须填往来单位","√")))))))</f>
        <v/>
      </c>
      <c r="O689" s="34" t="str">
        <f aca="false">IF($D689="","",IFERROR(INDEX(项目档案!$B$6:$B$255,MATCH($D689,项目档案!$A$6:$A$255,0)),"⚠编号不存在"))</f>
        <v/>
      </c>
      <c r="P689" s="35" t="str">
        <f aca="false">IF($B689="","",TEXT($B689,"yyyy-mm"))</f>
        <v/>
      </c>
    </row>
    <row r="690" customFormat="false" ht="15.75" hidden="false" customHeight="true" outlineLevel="0" collapsed="false">
      <c r="A690" s="32" t="str">
        <f aca="false">IF($B690="","",ROW()-4)</f>
        <v/>
      </c>
      <c r="B690" s="26"/>
      <c r="C690" s="21"/>
      <c r="D690" s="24"/>
      <c r="E690" s="21"/>
      <c r="F690" s="24"/>
      <c r="G690" s="21"/>
      <c r="H690" s="22"/>
      <c r="I690" s="27"/>
      <c r="J690" s="27"/>
      <c r="K690" s="36" t="str">
        <f aca="false">IF($B690="","",IF($C690="泓普",$C$2,IF($C690="仟茂",$E$2,IF($C690="现金",$G$2,0)))+SUMIFS($I$5:$I690,$C$5:$C690,$C690)-SUMIFS($J$5:$J690,$C$5:$C690,$C690))</f>
        <v/>
      </c>
      <c r="L690" s="36" t="str">
        <f aca="false">IF($B690="","",$C$2+$E$2+$G$2+SUM($I$5:$I690)-SUM($J$5:$J690))</f>
        <v/>
      </c>
      <c r="M690" s="24"/>
      <c r="N690" s="33" t="str">
        <f aca="false">IF($B690="","",IF(NOT(ISNUMBER($B690)),"日期格式不对",IF($C690="","未选资金账户",IF(AND(N($I690)=0,N($J690)=0),"收支都为空",IF(AND(N($I690)&gt;0,N($J690)&gt;0),"收支不能同时填",IF(AND($D690&lt;&gt;"",LEFT($O690,1)="⚠"),"项目编号不存在",IF(AND($M690="是",$F690=""),"工程回款必须填往来单位","√")))))))</f>
        <v/>
      </c>
      <c r="O690" s="34" t="str">
        <f aca="false">IF($D690="","",IFERROR(INDEX(项目档案!$B$6:$B$255,MATCH($D690,项目档案!$A$6:$A$255,0)),"⚠编号不存在"))</f>
        <v/>
      </c>
      <c r="P690" s="35" t="str">
        <f aca="false">IF($B690="","",TEXT($B690,"yyyy-mm"))</f>
        <v/>
      </c>
    </row>
    <row r="691" customFormat="false" ht="15.75" hidden="false" customHeight="true" outlineLevel="0" collapsed="false">
      <c r="A691" s="32" t="str">
        <f aca="false">IF($B691="","",ROW()-4)</f>
        <v/>
      </c>
      <c r="B691" s="26"/>
      <c r="C691" s="21"/>
      <c r="D691" s="24"/>
      <c r="E691" s="21"/>
      <c r="F691" s="24"/>
      <c r="G691" s="21"/>
      <c r="H691" s="22"/>
      <c r="I691" s="27"/>
      <c r="J691" s="27"/>
      <c r="K691" s="36" t="str">
        <f aca="false">IF($B691="","",IF($C691="泓普",$C$2,IF($C691="仟茂",$E$2,IF($C691="现金",$G$2,0)))+SUMIFS($I$5:$I691,$C$5:$C691,$C691)-SUMIFS($J$5:$J691,$C$5:$C691,$C691))</f>
        <v/>
      </c>
      <c r="L691" s="36" t="str">
        <f aca="false">IF($B691="","",$C$2+$E$2+$G$2+SUM($I$5:$I691)-SUM($J$5:$J691))</f>
        <v/>
      </c>
      <c r="M691" s="24"/>
      <c r="N691" s="33" t="str">
        <f aca="false">IF($B691="","",IF(NOT(ISNUMBER($B691)),"日期格式不对",IF($C691="","未选资金账户",IF(AND(N($I691)=0,N($J691)=0),"收支都为空",IF(AND(N($I691)&gt;0,N($J691)&gt;0),"收支不能同时填",IF(AND($D691&lt;&gt;"",LEFT($O691,1)="⚠"),"项目编号不存在",IF(AND($M691="是",$F691=""),"工程回款必须填往来单位","√")))))))</f>
        <v/>
      </c>
      <c r="O691" s="34" t="str">
        <f aca="false">IF($D691="","",IFERROR(INDEX(项目档案!$B$6:$B$255,MATCH($D691,项目档案!$A$6:$A$255,0)),"⚠编号不存在"))</f>
        <v/>
      </c>
      <c r="P691" s="35" t="str">
        <f aca="false">IF($B691="","",TEXT($B691,"yyyy-mm"))</f>
        <v/>
      </c>
    </row>
    <row r="692" customFormat="false" ht="15.75" hidden="false" customHeight="true" outlineLevel="0" collapsed="false">
      <c r="A692" s="32" t="str">
        <f aca="false">IF($B692="","",ROW()-4)</f>
        <v/>
      </c>
      <c r="B692" s="26"/>
      <c r="C692" s="21"/>
      <c r="D692" s="24"/>
      <c r="E692" s="21"/>
      <c r="F692" s="24"/>
      <c r="G692" s="21"/>
      <c r="H692" s="22"/>
      <c r="I692" s="27"/>
      <c r="J692" s="27"/>
      <c r="K692" s="36" t="str">
        <f aca="false">IF($B692="","",IF($C692="泓普",$C$2,IF($C692="仟茂",$E$2,IF($C692="现金",$G$2,0)))+SUMIFS($I$5:$I692,$C$5:$C692,$C692)-SUMIFS($J$5:$J692,$C$5:$C692,$C692))</f>
        <v/>
      </c>
      <c r="L692" s="36" t="str">
        <f aca="false">IF($B692="","",$C$2+$E$2+$G$2+SUM($I$5:$I692)-SUM($J$5:$J692))</f>
        <v/>
      </c>
      <c r="M692" s="24"/>
      <c r="N692" s="33" t="str">
        <f aca="false">IF($B692="","",IF(NOT(ISNUMBER($B692)),"日期格式不对",IF($C692="","未选资金账户",IF(AND(N($I692)=0,N($J692)=0),"收支都为空",IF(AND(N($I692)&gt;0,N($J692)&gt;0),"收支不能同时填",IF(AND($D692&lt;&gt;"",LEFT($O692,1)="⚠"),"项目编号不存在",IF(AND($M692="是",$F692=""),"工程回款必须填往来单位","√")))))))</f>
        <v/>
      </c>
      <c r="O692" s="34" t="str">
        <f aca="false">IF($D692="","",IFERROR(INDEX(项目档案!$B$6:$B$255,MATCH($D692,项目档案!$A$6:$A$255,0)),"⚠编号不存在"))</f>
        <v/>
      </c>
      <c r="P692" s="35" t="str">
        <f aca="false">IF($B692="","",TEXT($B692,"yyyy-mm"))</f>
        <v/>
      </c>
    </row>
    <row r="693" customFormat="false" ht="15.75" hidden="false" customHeight="true" outlineLevel="0" collapsed="false">
      <c r="A693" s="32" t="str">
        <f aca="false">IF($B693="","",ROW()-4)</f>
        <v/>
      </c>
      <c r="B693" s="26"/>
      <c r="C693" s="21"/>
      <c r="D693" s="24"/>
      <c r="E693" s="21"/>
      <c r="F693" s="24"/>
      <c r="G693" s="21"/>
      <c r="H693" s="22"/>
      <c r="I693" s="27"/>
      <c r="J693" s="27"/>
      <c r="K693" s="36" t="str">
        <f aca="false">IF($B693="","",IF($C693="泓普",$C$2,IF($C693="仟茂",$E$2,IF($C693="现金",$G$2,0)))+SUMIFS($I$5:$I693,$C$5:$C693,$C693)-SUMIFS($J$5:$J693,$C$5:$C693,$C693))</f>
        <v/>
      </c>
      <c r="L693" s="36" t="str">
        <f aca="false">IF($B693="","",$C$2+$E$2+$G$2+SUM($I$5:$I693)-SUM($J$5:$J693))</f>
        <v/>
      </c>
      <c r="M693" s="24"/>
      <c r="N693" s="33" t="str">
        <f aca="false">IF($B693="","",IF(NOT(ISNUMBER($B693)),"日期格式不对",IF($C693="","未选资金账户",IF(AND(N($I693)=0,N($J693)=0),"收支都为空",IF(AND(N($I693)&gt;0,N($J693)&gt;0),"收支不能同时填",IF(AND($D693&lt;&gt;"",LEFT($O693,1)="⚠"),"项目编号不存在",IF(AND($M693="是",$F693=""),"工程回款必须填往来单位","√")))))))</f>
        <v/>
      </c>
      <c r="O693" s="34" t="str">
        <f aca="false">IF($D693="","",IFERROR(INDEX(项目档案!$B$6:$B$255,MATCH($D693,项目档案!$A$6:$A$255,0)),"⚠编号不存在"))</f>
        <v/>
      </c>
      <c r="P693" s="35" t="str">
        <f aca="false">IF($B693="","",TEXT($B693,"yyyy-mm"))</f>
        <v/>
      </c>
    </row>
    <row r="694" customFormat="false" ht="15.75" hidden="false" customHeight="true" outlineLevel="0" collapsed="false">
      <c r="A694" s="32" t="str">
        <f aca="false">IF($B694="","",ROW()-4)</f>
        <v/>
      </c>
      <c r="B694" s="26"/>
      <c r="C694" s="21"/>
      <c r="D694" s="24"/>
      <c r="E694" s="21"/>
      <c r="F694" s="24"/>
      <c r="G694" s="21"/>
      <c r="H694" s="22"/>
      <c r="I694" s="27"/>
      <c r="J694" s="27"/>
      <c r="K694" s="36" t="str">
        <f aca="false">IF($B694="","",IF($C694="泓普",$C$2,IF($C694="仟茂",$E$2,IF($C694="现金",$G$2,0)))+SUMIFS($I$5:$I694,$C$5:$C694,$C694)-SUMIFS($J$5:$J694,$C$5:$C694,$C694))</f>
        <v/>
      </c>
      <c r="L694" s="36" t="str">
        <f aca="false">IF($B694="","",$C$2+$E$2+$G$2+SUM($I$5:$I694)-SUM($J$5:$J694))</f>
        <v/>
      </c>
      <c r="M694" s="24"/>
      <c r="N694" s="33" t="str">
        <f aca="false">IF($B694="","",IF(NOT(ISNUMBER($B694)),"日期格式不对",IF($C694="","未选资金账户",IF(AND(N($I694)=0,N($J694)=0),"收支都为空",IF(AND(N($I694)&gt;0,N($J694)&gt;0),"收支不能同时填",IF(AND($D694&lt;&gt;"",LEFT($O694,1)="⚠"),"项目编号不存在",IF(AND($M694="是",$F694=""),"工程回款必须填往来单位","√")))))))</f>
        <v/>
      </c>
      <c r="O694" s="34" t="str">
        <f aca="false">IF($D694="","",IFERROR(INDEX(项目档案!$B$6:$B$255,MATCH($D694,项目档案!$A$6:$A$255,0)),"⚠编号不存在"))</f>
        <v/>
      </c>
      <c r="P694" s="35" t="str">
        <f aca="false">IF($B694="","",TEXT($B694,"yyyy-mm"))</f>
        <v/>
      </c>
    </row>
    <row r="695" customFormat="false" ht="15.75" hidden="false" customHeight="true" outlineLevel="0" collapsed="false">
      <c r="A695" s="32" t="str">
        <f aca="false">IF($B695="","",ROW()-4)</f>
        <v/>
      </c>
      <c r="B695" s="26"/>
      <c r="C695" s="21"/>
      <c r="D695" s="24"/>
      <c r="E695" s="21"/>
      <c r="F695" s="24"/>
      <c r="G695" s="21"/>
      <c r="H695" s="22"/>
      <c r="I695" s="27"/>
      <c r="J695" s="27"/>
      <c r="K695" s="36" t="str">
        <f aca="false">IF($B695="","",IF($C695="泓普",$C$2,IF($C695="仟茂",$E$2,IF($C695="现金",$G$2,0)))+SUMIFS($I$5:$I695,$C$5:$C695,$C695)-SUMIFS($J$5:$J695,$C$5:$C695,$C695))</f>
        <v/>
      </c>
      <c r="L695" s="36" t="str">
        <f aca="false">IF($B695="","",$C$2+$E$2+$G$2+SUM($I$5:$I695)-SUM($J$5:$J695))</f>
        <v/>
      </c>
      <c r="M695" s="24"/>
      <c r="N695" s="33" t="str">
        <f aca="false">IF($B695="","",IF(NOT(ISNUMBER($B695)),"日期格式不对",IF($C695="","未选资金账户",IF(AND(N($I695)=0,N($J695)=0),"收支都为空",IF(AND(N($I695)&gt;0,N($J695)&gt;0),"收支不能同时填",IF(AND($D695&lt;&gt;"",LEFT($O695,1)="⚠"),"项目编号不存在",IF(AND($M695="是",$F695=""),"工程回款必须填往来单位","√")))))))</f>
        <v/>
      </c>
      <c r="O695" s="34" t="str">
        <f aca="false">IF($D695="","",IFERROR(INDEX(项目档案!$B$6:$B$255,MATCH($D695,项目档案!$A$6:$A$255,0)),"⚠编号不存在"))</f>
        <v/>
      </c>
      <c r="P695" s="35" t="str">
        <f aca="false">IF($B695="","",TEXT($B695,"yyyy-mm"))</f>
        <v/>
      </c>
    </row>
    <row r="696" customFormat="false" ht="15.75" hidden="false" customHeight="true" outlineLevel="0" collapsed="false">
      <c r="A696" s="32" t="str">
        <f aca="false">IF($B696="","",ROW()-4)</f>
        <v/>
      </c>
      <c r="B696" s="26"/>
      <c r="C696" s="21"/>
      <c r="D696" s="24"/>
      <c r="E696" s="21"/>
      <c r="F696" s="24"/>
      <c r="G696" s="21"/>
      <c r="H696" s="22"/>
      <c r="I696" s="27"/>
      <c r="J696" s="27"/>
      <c r="K696" s="36" t="str">
        <f aca="false">IF($B696="","",IF($C696="泓普",$C$2,IF($C696="仟茂",$E$2,IF($C696="现金",$G$2,0)))+SUMIFS($I$5:$I696,$C$5:$C696,$C696)-SUMIFS($J$5:$J696,$C$5:$C696,$C696))</f>
        <v/>
      </c>
      <c r="L696" s="36" t="str">
        <f aca="false">IF($B696="","",$C$2+$E$2+$G$2+SUM($I$5:$I696)-SUM($J$5:$J696))</f>
        <v/>
      </c>
      <c r="M696" s="24"/>
      <c r="N696" s="33" t="str">
        <f aca="false">IF($B696="","",IF(NOT(ISNUMBER($B696)),"日期格式不对",IF($C696="","未选资金账户",IF(AND(N($I696)=0,N($J696)=0),"收支都为空",IF(AND(N($I696)&gt;0,N($J696)&gt;0),"收支不能同时填",IF(AND($D696&lt;&gt;"",LEFT($O696,1)="⚠"),"项目编号不存在",IF(AND($M696="是",$F696=""),"工程回款必须填往来单位","√")))))))</f>
        <v/>
      </c>
      <c r="O696" s="34" t="str">
        <f aca="false">IF($D696="","",IFERROR(INDEX(项目档案!$B$6:$B$255,MATCH($D696,项目档案!$A$6:$A$255,0)),"⚠编号不存在"))</f>
        <v/>
      </c>
      <c r="P696" s="35" t="str">
        <f aca="false">IF($B696="","",TEXT($B696,"yyyy-mm"))</f>
        <v/>
      </c>
    </row>
    <row r="697" customFormat="false" ht="15.75" hidden="false" customHeight="true" outlineLevel="0" collapsed="false">
      <c r="A697" s="32" t="str">
        <f aca="false">IF($B697="","",ROW()-4)</f>
        <v/>
      </c>
      <c r="B697" s="26"/>
      <c r="C697" s="21"/>
      <c r="D697" s="24"/>
      <c r="E697" s="21"/>
      <c r="F697" s="24"/>
      <c r="G697" s="21"/>
      <c r="H697" s="22"/>
      <c r="I697" s="27"/>
      <c r="J697" s="27"/>
      <c r="K697" s="36" t="str">
        <f aca="false">IF($B697="","",IF($C697="泓普",$C$2,IF($C697="仟茂",$E$2,IF($C697="现金",$G$2,0)))+SUMIFS($I$5:$I697,$C$5:$C697,$C697)-SUMIFS($J$5:$J697,$C$5:$C697,$C697))</f>
        <v/>
      </c>
      <c r="L697" s="36" t="str">
        <f aca="false">IF($B697="","",$C$2+$E$2+$G$2+SUM($I$5:$I697)-SUM($J$5:$J697))</f>
        <v/>
      </c>
      <c r="M697" s="24"/>
      <c r="N697" s="33" t="str">
        <f aca="false">IF($B697="","",IF(NOT(ISNUMBER($B697)),"日期格式不对",IF($C697="","未选资金账户",IF(AND(N($I697)=0,N($J697)=0),"收支都为空",IF(AND(N($I697)&gt;0,N($J697)&gt;0),"收支不能同时填",IF(AND($D697&lt;&gt;"",LEFT($O697,1)="⚠"),"项目编号不存在",IF(AND($M697="是",$F697=""),"工程回款必须填往来单位","√")))))))</f>
        <v/>
      </c>
      <c r="O697" s="34" t="str">
        <f aca="false">IF($D697="","",IFERROR(INDEX(项目档案!$B$6:$B$255,MATCH($D697,项目档案!$A$6:$A$255,0)),"⚠编号不存在"))</f>
        <v/>
      </c>
      <c r="P697" s="35" t="str">
        <f aca="false">IF($B697="","",TEXT($B697,"yyyy-mm"))</f>
        <v/>
      </c>
    </row>
    <row r="698" customFormat="false" ht="15.75" hidden="false" customHeight="true" outlineLevel="0" collapsed="false">
      <c r="A698" s="32" t="str">
        <f aca="false">IF($B698="","",ROW()-4)</f>
        <v/>
      </c>
      <c r="B698" s="26"/>
      <c r="C698" s="21"/>
      <c r="D698" s="24"/>
      <c r="E698" s="21"/>
      <c r="F698" s="24"/>
      <c r="G698" s="21"/>
      <c r="H698" s="22"/>
      <c r="I698" s="27"/>
      <c r="J698" s="27"/>
      <c r="K698" s="36" t="str">
        <f aca="false">IF($B698="","",IF($C698="泓普",$C$2,IF($C698="仟茂",$E$2,IF($C698="现金",$G$2,0)))+SUMIFS($I$5:$I698,$C$5:$C698,$C698)-SUMIFS($J$5:$J698,$C$5:$C698,$C698))</f>
        <v/>
      </c>
      <c r="L698" s="36" t="str">
        <f aca="false">IF($B698="","",$C$2+$E$2+$G$2+SUM($I$5:$I698)-SUM($J$5:$J698))</f>
        <v/>
      </c>
      <c r="M698" s="24"/>
      <c r="N698" s="33" t="str">
        <f aca="false">IF($B698="","",IF(NOT(ISNUMBER($B698)),"日期格式不对",IF($C698="","未选资金账户",IF(AND(N($I698)=0,N($J698)=0),"收支都为空",IF(AND(N($I698)&gt;0,N($J698)&gt;0),"收支不能同时填",IF(AND($D698&lt;&gt;"",LEFT($O698,1)="⚠"),"项目编号不存在",IF(AND($M698="是",$F698=""),"工程回款必须填往来单位","√")))))))</f>
        <v/>
      </c>
      <c r="O698" s="34" t="str">
        <f aca="false">IF($D698="","",IFERROR(INDEX(项目档案!$B$6:$B$255,MATCH($D698,项目档案!$A$6:$A$255,0)),"⚠编号不存在"))</f>
        <v/>
      </c>
      <c r="P698" s="35" t="str">
        <f aca="false">IF($B698="","",TEXT($B698,"yyyy-mm"))</f>
        <v/>
      </c>
    </row>
    <row r="699" customFormat="false" ht="15.75" hidden="false" customHeight="true" outlineLevel="0" collapsed="false">
      <c r="A699" s="32" t="str">
        <f aca="false">IF($B699="","",ROW()-4)</f>
        <v/>
      </c>
      <c r="B699" s="26"/>
      <c r="C699" s="21"/>
      <c r="D699" s="24"/>
      <c r="E699" s="21"/>
      <c r="F699" s="24"/>
      <c r="G699" s="21"/>
      <c r="H699" s="22"/>
      <c r="I699" s="27"/>
      <c r="J699" s="27"/>
      <c r="K699" s="36" t="str">
        <f aca="false">IF($B699="","",IF($C699="泓普",$C$2,IF($C699="仟茂",$E$2,IF($C699="现金",$G$2,0)))+SUMIFS($I$5:$I699,$C$5:$C699,$C699)-SUMIFS($J$5:$J699,$C$5:$C699,$C699))</f>
        <v/>
      </c>
      <c r="L699" s="36" t="str">
        <f aca="false">IF($B699="","",$C$2+$E$2+$G$2+SUM($I$5:$I699)-SUM($J$5:$J699))</f>
        <v/>
      </c>
      <c r="M699" s="24"/>
      <c r="N699" s="33" t="str">
        <f aca="false">IF($B699="","",IF(NOT(ISNUMBER($B699)),"日期格式不对",IF($C699="","未选资金账户",IF(AND(N($I699)=0,N($J699)=0),"收支都为空",IF(AND(N($I699)&gt;0,N($J699)&gt;0),"收支不能同时填",IF(AND($D699&lt;&gt;"",LEFT($O699,1)="⚠"),"项目编号不存在",IF(AND($M699="是",$F699=""),"工程回款必须填往来单位","√")))))))</f>
        <v/>
      </c>
      <c r="O699" s="34" t="str">
        <f aca="false">IF($D699="","",IFERROR(INDEX(项目档案!$B$6:$B$255,MATCH($D699,项目档案!$A$6:$A$255,0)),"⚠编号不存在"))</f>
        <v/>
      </c>
      <c r="P699" s="35" t="str">
        <f aca="false">IF($B699="","",TEXT($B699,"yyyy-mm"))</f>
        <v/>
      </c>
    </row>
    <row r="700" customFormat="false" ht="15.75" hidden="false" customHeight="true" outlineLevel="0" collapsed="false">
      <c r="A700" s="32" t="str">
        <f aca="false">IF($B700="","",ROW()-4)</f>
        <v/>
      </c>
      <c r="B700" s="26"/>
      <c r="C700" s="21"/>
      <c r="D700" s="24"/>
      <c r="E700" s="21"/>
      <c r="F700" s="24"/>
      <c r="G700" s="21"/>
      <c r="H700" s="22"/>
      <c r="I700" s="27"/>
      <c r="J700" s="27"/>
      <c r="K700" s="36" t="str">
        <f aca="false">IF($B700="","",IF($C700="泓普",$C$2,IF($C700="仟茂",$E$2,IF($C700="现金",$G$2,0)))+SUMIFS($I$5:$I700,$C$5:$C700,$C700)-SUMIFS($J$5:$J700,$C$5:$C700,$C700))</f>
        <v/>
      </c>
      <c r="L700" s="36" t="str">
        <f aca="false">IF($B700="","",$C$2+$E$2+$G$2+SUM($I$5:$I700)-SUM($J$5:$J700))</f>
        <v/>
      </c>
      <c r="M700" s="24"/>
      <c r="N700" s="33" t="str">
        <f aca="false">IF($B700="","",IF(NOT(ISNUMBER($B700)),"日期格式不对",IF($C700="","未选资金账户",IF(AND(N($I700)=0,N($J700)=0),"收支都为空",IF(AND(N($I700)&gt;0,N($J700)&gt;0),"收支不能同时填",IF(AND($D700&lt;&gt;"",LEFT($O700,1)="⚠"),"项目编号不存在",IF(AND($M700="是",$F700=""),"工程回款必须填往来单位","√")))))))</f>
        <v/>
      </c>
      <c r="O700" s="34" t="str">
        <f aca="false">IF($D700="","",IFERROR(INDEX(项目档案!$B$6:$B$255,MATCH($D700,项目档案!$A$6:$A$255,0)),"⚠编号不存在"))</f>
        <v/>
      </c>
      <c r="P700" s="35" t="str">
        <f aca="false">IF($B700="","",TEXT($B700,"yyyy-mm"))</f>
        <v/>
      </c>
    </row>
    <row r="701" customFormat="false" ht="15.75" hidden="false" customHeight="true" outlineLevel="0" collapsed="false">
      <c r="A701" s="32" t="str">
        <f aca="false">IF($B701="","",ROW()-4)</f>
        <v/>
      </c>
      <c r="B701" s="26"/>
      <c r="C701" s="21"/>
      <c r="D701" s="24"/>
      <c r="E701" s="21"/>
      <c r="F701" s="24"/>
      <c r="G701" s="21"/>
      <c r="H701" s="22"/>
      <c r="I701" s="27"/>
      <c r="J701" s="27"/>
      <c r="K701" s="36" t="str">
        <f aca="false">IF($B701="","",IF($C701="泓普",$C$2,IF($C701="仟茂",$E$2,IF($C701="现金",$G$2,0)))+SUMIFS($I$5:$I701,$C$5:$C701,$C701)-SUMIFS($J$5:$J701,$C$5:$C701,$C701))</f>
        <v/>
      </c>
      <c r="L701" s="36" t="str">
        <f aca="false">IF($B701="","",$C$2+$E$2+$G$2+SUM($I$5:$I701)-SUM($J$5:$J701))</f>
        <v/>
      </c>
      <c r="M701" s="24"/>
      <c r="N701" s="33" t="str">
        <f aca="false">IF($B701="","",IF(NOT(ISNUMBER($B701)),"日期格式不对",IF($C701="","未选资金账户",IF(AND(N($I701)=0,N($J701)=0),"收支都为空",IF(AND(N($I701)&gt;0,N($J701)&gt;0),"收支不能同时填",IF(AND($D701&lt;&gt;"",LEFT($O701,1)="⚠"),"项目编号不存在",IF(AND($M701="是",$F701=""),"工程回款必须填往来单位","√")))))))</f>
        <v/>
      </c>
      <c r="O701" s="34" t="str">
        <f aca="false">IF($D701="","",IFERROR(INDEX(项目档案!$B$6:$B$255,MATCH($D701,项目档案!$A$6:$A$255,0)),"⚠编号不存在"))</f>
        <v/>
      </c>
      <c r="P701" s="35" t="str">
        <f aca="false">IF($B701="","",TEXT($B701,"yyyy-mm"))</f>
        <v/>
      </c>
    </row>
    <row r="702" customFormat="false" ht="15.75" hidden="false" customHeight="true" outlineLevel="0" collapsed="false">
      <c r="A702" s="32" t="str">
        <f aca="false">IF($B702="","",ROW()-4)</f>
        <v/>
      </c>
      <c r="B702" s="26"/>
      <c r="C702" s="21"/>
      <c r="D702" s="24"/>
      <c r="E702" s="21"/>
      <c r="F702" s="24"/>
      <c r="G702" s="21"/>
      <c r="H702" s="22"/>
      <c r="I702" s="27"/>
      <c r="J702" s="27"/>
      <c r="K702" s="36" t="str">
        <f aca="false">IF($B702="","",IF($C702="泓普",$C$2,IF($C702="仟茂",$E$2,IF($C702="现金",$G$2,0)))+SUMIFS($I$5:$I702,$C$5:$C702,$C702)-SUMIFS($J$5:$J702,$C$5:$C702,$C702))</f>
        <v/>
      </c>
      <c r="L702" s="36" t="str">
        <f aca="false">IF($B702="","",$C$2+$E$2+$G$2+SUM($I$5:$I702)-SUM($J$5:$J702))</f>
        <v/>
      </c>
      <c r="M702" s="24"/>
      <c r="N702" s="33" t="str">
        <f aca="false">IF($B702="","",IF(NOT(ISNUMBER($B702)),"日期格式不对",IF($C702="","未选资金账户",IF(AND(N($I702)=0,N($J702)=0),"收支都为空",IF(AND(N($I702)&gt;0,N($J702)&gt;0),"收支不能同时填",IF(AND($D702&lt;&gt;"",LEFT($O702,1)="⚠"),"项目编号不存在",IF(AND($M702="是",$F702=""),"工程回款必须填往来单位","√")))))))</f>
        <v/>
      </c>
      <c r="O702" s="34" t="str">
        <f aca="false">IF($D702="","",IFERROR(INDEX(项目档案!$B$6:$B$255,MATCH($D702,项目档案!$A$6:$A$255,0)),"⚠编号不存在"))</f>
        <v/>
      </c>
      <c r="P702" s="35" t="str">
        <f aca="false">IF($B702="","",TEXT($B702,"yyyy-mm"))</f>
        <v/>
      </c>
    </row>
    <row r="703" customFormat="false" ht="15.75" hidden="false" customHeight="true" outlineLevel="0" collapsed="false">
      <c r="A703" s="32" t="str">
        <f aca="false">IF($B703="","",ROW()-4)</f>
        <v/>
      </c>
      <c r="B703" s="26"/>
      <c r="C703" s="21"/>
      <c r="D703" s="24"/>
      <c r="E703" s="21"/>
      <c r="F703" s="24"/>
      <c r="G703" s="21"/>
      <c r="H703" s="22"/>
      <c r="I703" s="27"/>
      <c r="J703" s="27"/>
      <c r="K703" s="36" t="str">
        <f aca="false">IF($B703="","",IF($C703="泓普",$C$2,IF($C703="仟茂",$E$2,IF($C703="现金",$G$2,0)))+SUMIFS($I$5:$I703,$C$5:$C703,$C703)-SUMIFS($J$5:$J703,$C$5:$C703,$C703))</f>
        <v/>
      </c>
      <c r="L703" s="36" t="str">
        <f aca="false">IF($B703="","",$C$2+$E$2+$G$2+SUM($I$5:$I703)-SUM($J$5:$J703))</f>
        <v/>
      </c>
      <c r="M703" s="24"/>
      <c r="N703" s="33" t="str">
        <f aca="false">IF($B703="","",IF(NOT(ISNUMBER($B703)),"日期格式不对",IF($C703="","未选资金账户",IF(AND(N($I703)=0,N($J703)=0),"收支都为空",IF(AND(N($I703)&gt;0,N($J703)&gt;0),"收支不能同时填",IF(AND($D703&lt;&gt;"",LEFT($O703,1)="⚠"),"项目编号不存在",IF(AND($M703="是",$F703=""),"工程回款必须填往来单位","√")))))))</f>
        <v/>
      </c>
      <c r="O703" s="34" t="str">
        <f aca="false">IF($D703="","",IFERROR(INDEX(项目档案!$B$6:$B$255,MATCH($D703,项目档案!$A$6:$A$255,0)),"⚠编号不存在"))</f>
        <v/>
      </c>
      <c r="P703" s="35" t="str">
        <f aca="false">IF($B703="","",TEXT($B703,"yyyy-mm"))</f>
        <v/>
      </c>
    </row>
    <row r="704" customFormat="false" ht="15.75" hidden="false" customHeight="true" outlineLevel="0" collapsed="false">
      <c r="A704" s="32" t="str">
        <f aca="false">IF($B704="","",ROW()-4)</f>
        <v/>
      </c>
      <c r="B704" s="26"/>
      <c r="C704" s="21"/>
      <c r="D704" s="24"/>
      <c r="E704" s="21"/>
      <c r="F704" s="24"/>
      <c r="G704" s="21"/>
      <c r="H704" s="22"/>
      <c r="I704" s="27"/>
      <c r="J704" s="27"/>
      <c r="K704" s="36" t="str">
        <f aca="false">IF($B704="","",IF($C704="泓普",$C$2,IF($C704="仟茂",$E$2,IF($C704="现金",$G$2,0)))+SUMIFS($I$5:$I704,$C$5:$C704,$C704)-SUMIFS($J$5:$J704,$C$5:$C704,$C704))</f>
        <v/>
      </c>
      <c r="L704" s="36" t="str">
        <f aca="false">IF($B704="","",$C$2+$E$2+$G$2+SUM($I$5:$I704)-SUM($J$5:$J704))</f>
        <v/>
      </c>
      <c r="M704" s="24"/>
      <c r="N704" s="33" t="str">
        <f aca="false">IF($B704="","",IF(NOT(ISNUMBER($B704)),"日期格式不对",IF($C704="","未选资金账户",IF(AND(N($I704)=0,N($J704)=0),"收支都为空",IF(AND(N($I704)&gt;0,N($J704)&gt;0),"收支不能同时填",IF(AND($D704&lt;&gt;"",LEFT($O704,1)="⚠"),"项目编号不存在",IF(AND($M704="是",$F704=""),"工程回款必须填往来单位","√")))))))</f>
        <v/>
      </c>
      <c r="O704" s="34" t="str">
        <f aca="false">IF($D704="","",IFERROR(INDEX(项目档案!$B$6:$B$255,MATCH($D704,项目档案!$A$6:$A$255,0)),"⚠编号不存在"))</f>
        <v/>
      </c>
      <c r="P704" s="35" t="str">
        <f aca="false">IF($B704="","",TEXT($B704,"yyyy-mm"))</f>
        <v/>
      </c>
    </row>
    <row r="705" customFormat="false" ht="15.75" hidden="false" customHeight="true" outlineLevel="0" collapsed="false">
      <c r="A705" s="32" t="str">
        <f aca="false">IF($B705="","",ROW()-4)</f>
        <v/>
      </c>
      <c r="B705" s="26"/>
      <c r="C705" s="21"/>
      <c r="D705" s="24"/>
      <c r="E705" s="21"/>
      <c r="F705" s="24"/>
      <c r="G705" s="21"/>
      <c r="H705" s="22"/>
      <c r="I705" s="27"/>
      <c r="J705" s="27"/>
      <c r="K705" s="36" t="str">
        <f aca="false">IF($B705="","",IF($C705="泓普",$C$2,IF($C705="仟茂",$E$2,IF($C705="现金",$G$2,0)))+SUMIFS($I$5:$I705,$C$5:$C705,$C705)-SUMIFS($J$5:$J705,$C$5:$C705,$C705))</f>
        <v/>
      </c>
      <c r="L705" s="36" t="str">
        <f aca="false">IF($B705="","",$C$2+$E$2+$G$2+SUM($I$5:$I705)-SUM($J$5:$J705))</f>
        <v/>
      </c>
      <c r="M705" s="24"/>
      <c r="N705" s="33" t="str">
        <f aca="false">IF($B705="","",IF(NOT(ISNUMBER($B705)),"日期格式不对",IF($C705="","未选资金账户",IF(AND(N($I705)=0,N($J705)=0),"收支都为空",IF(AND(N($I705)&gt;0,N($J705)&gt;0),"收支不能同时填",IF(AND($D705&lt;&gt;"",LEFT($O705,1)="⚠"),"项目编号不存在",IF(AND($M705="是",$F705=""),"工程回款必须填往来单位","√")))))))</f>
        <v/>
      </c>
      <c r="O705" s="34" t="str">
        <f aca="false">IF($D705="","",IFERROR(INDEX(项目档案!$B$6:$B$255,MATCH($D705,项目档案!$A$6:$A$255,0)),"⚠编号不存在"))</f>
        <v/>
      </c>
      <c r="P705" s="35" t="str">
        <f aca="false">IF($B705="","",TEXT($B705,"yyyy-mm"))</f>
        <v/>
      </c>
    </row>
    <row r="706" customFormat="false" ht="15.75" hidden="false" customHeight="true" outlineLevel="0" collapsed="false">
      <c r="A706" s="32" t="str">
        <f aca="false">IF($B706="","",ROW()-4)</f>
        <v/>
      </c>
      <c r="B706" s="26"/>
      <c r="C706" s="21"/>
      <c r="D706" s="24"/>
      <c r="E706" s="21"/>
      <c r="F706" s="24"/>
      <c r="G706" s="21"/>
      <c r="H706" s="22"/>
      <c r="I706" s="27"/>
      <c r="J706" s="27"/>
      <c r="K706" s="36" t="str">
        <f aca="false">IF($B706="","",IF($C706="泓普",$C$2,IF($C706="仟茂",$E$2,IF($C706="现金",$G$2,0)))+SUMIFS($I$5:$I706,$C$5:$C706,$C706)-SUMIFS($J$5:$J706,$C$5:$C706,$C706))</f>
        <v/>
      </c>
      <c r="L706" s="36" t="str">
        <f aca="false">IF($B706="","",$C$2+$E$2+$G$2+SUM($I$5:$I706)-SUM($J$5:$J706))</f>
        <v/>
      </c>
      <c r="M706" s="24"/>
      <c r="N706" s="33" t="str">
        <f aca="false">IF($B706="","",IF(NOT(ISNUMBER($B706)),"日期格式不对",IF($C706="","未选资金账户",IF(AND(N($I706)=0,N($J706)=0),"收支都为空",IF(AND(N($I706)&gt;0,N($J706)&gt;0),"收支不能同时填",IF(AND($D706&lt;&gt;"",LEFT($O706,1)="⚠"),"项目编号不存在",IF(AND($M706="是",$F706=""),"工程回款必须填往来单位","√")))))))</f>
        <v/>
      </c>
      <c r="O706" s="34" t="str">
        <f aca="false">IF($D706="","",IFERROR(INDEX(项目档案!$B$6:$B$255,MATCH($D706,项目档案!$A$6:$A$255,0)),"⚠编号不存在"))</f>
        <v/>
      </c>
      <c r="P706" s="35" t="str">
        <f aca="false">IF($B706="","",TEXT($B706,"yyyy-mm"))</f>
        <v/>
      </c>
    </row>
    <row r="707" customFormat="false" ht="15.75" hidden="false" customHeight="true" outlineLevel="0" collapsed="false">
      <c r="A707" s="32" t="str">
        <f aca="false">IF($B707="","",ROW()-4)</f>
        <v/>
      </c>
      <c r="B707" s="26"/>
      <c r="C707" s="21"/>
      <c r="D707" s="24"/>
      <c r="E707" s="21"/>
      <c r="F707" s="24"/>
      <c r="G707" s="21"/>
      <c r="H707" s="22"/>
      <c r="I707" s="27"/>
      <c r="J707" s="27"/>
      <c r="K707" s="36" t="str">
        <f aca="false">IF($B707="","",IF($C707="泓普",$C$2,IF($C707="仟茂",$E$2,IF($C707="现金",$G$2,0)))+SUMIFS($I$5:$I707,$C$5:$C707,$C707)-SUMIFS($J$5:$J707,$C$5:$C707,$C707))</f>
        <v/>
      </c>
      <c r="L707" s="36" t="str">
        <f aca="false">IF($B707="","",$C$2+$E$2+$G$2+SUM($I$5:$I707)-SUM($J$5:$J707))</f>
        <v/>
      </c>
      <c r="M707" s="24"/>
      <c r="N707" s="33" t="str">
        <f aca="false">IF($B707="","",IF(NOT(ISNUMBER($B707)),"日期格式不对",IF($C707="","未选资金账户",IF(AND(N($I707)=0,N($J707)=0),"收支都为空",IF(AND(N($I707)&gt;0,N($J707)&gt;0),"收支不能同时填",IF(AND($D707&lt;&gt;"",LEFT($O707,1)="⚠"),"项目编号不存在",IF(AND($M707="是",$F707=""),"工程回款必须填往来单位","√")))))))</f>
        <v/>
      </c>
      <c r="O707" s="34" t="str">
        <f aca="false">IF($D707="","",IFERROR(INDEX(项目档案!$B$6:$B$255,MATCH($D707,项目档案!$A$6:$A$255,0)),"⚠编号不存在"))</f>
        <v/>
      </c>
      <c r="P707" s="35" t="str">
        <f aca="false">IF($B707="","",TEXT($B707,"yyyy-mm"))</f>
        <v/>
      </c>
    </row>
    <row r="708" customFormat="false" ht="15.75" hidden="false" customHeight="true" outlineLevel="0" collapsed="false">
      <c r="A708" s="32" t="str">
        <f aca="false">IF($B708="","",ROW()-4)</f>
        <v/>
      </c>
      <c r="B708" s="26"/>
      <c r="C708" s="21"/>
      <c r="D708" s="24"/>
      <c r="E708" s="21"/>
      <c r="F708" s="24"/>
      <c r="G708" s="21"/>
      <c r="H708" s="22"/>
      <c r="I708" s="27"/>
      <c r="J708" s="27"/>
      <c r="K708" s="36" t="str">
        <f aca="false">IF($B708="","",IF($C708="泓普",$C$2,IF($C708="仟茂",$E$2,IF($C708="现金",$G$2,0)))+SUMIFS($I$5:$I708,$C$5:$C708,$C708)-SUMIFS($J$5:$J708,$C$5:$C708,$C708))</f>
        <v/>
      </c>
      <c r="L708" s="36" t="str">
        <f aca="false">IF($B708="","",$C$2+$E$2+$G$2+SUM($I$5:$I708)-SUM($J$5:$J708))</f>
        <v/>
      </c>
      <c r="M708" s="24"/>
      <c r="N708" s="33" t="str">
        <f aca="false">IF($B708="","",IF(NOT(ISNUMBER($B708)),"日期格式不对",IF($C708="","未选资金账户",IF(AND(N($I708)=0,N($J708)=0),"收支都为空",IF(AND(N($I708)&gt;0,N($J708)&gt;0),"收支不能同时填",IF(AND($D708&lt;&gt;"",LEFT($O708,1)="⚠"),"项目编号不存在",IF(AND($M708="是",$F708=""),"工程回款必须填往来单位","√")))))))</f>
        <v/>
      </c>
      <c r="O708" s="34" t="str">
        <f aca="false">IF($D708="","",IFERROR(INDEX(项目档案!$B$6:$B$255,MATCH($D708,项目档案!$A$6:$A$255,0)),"⚠编号不存在"))</f>
        <v/>
      </c>
      <c r="P708" s="35" t="str">
        <f aca="false">IF($B708="","",TEXT($B708,"yyyy-mm"))</f>
        <v/>
      </c>
    </row>
    <row r="709" customFormat="false" ht="15.75" hidden="false" customHeight="true" outlineLevel="0" collapsed="false">
      <c r="A709" s="32" t="str">
        <f aca="false">IF($B709="","",ROW()-4)</f>
        <v/>
      </c>
      <c r="B709" s="26"/>
      <c r="C709" s="21"/>
      <c r="D709" s="24"/>
      <c r="E709" s="21"/>
      <c r="F709" s="24"/>
      <c r="G709" s="21"/>
      <c r="H709" s="22"/>
      <c r="I709" s="27"/>
      <c r="J709" s="27"/>
      <c r="K709" s="36" t="str">
        <f aca="false">IF($B709="","",IF($C709="泓普",$C$2,IF($C709="仟茂",$E$2,IF($C709="现金",$G$2,0)))+SUMIFS($I$5:$I709,$C$5:$C709,$C709)-SUMIFS($J$5:$J709,$C$5:$C709,$C709))</f>
        <v/>
      </c>
      <c r="L709" s="36" t="str">
        <f aca="false">IF($B709="","",$C$2+$E$2+$G$2+SUM($I$5:$I709)-SUM($J$5:$J709))</f>
        <v/>
      </c>
      <c r="M709" s="24"/>
      <c r="N709" s="33" t="str">
        <f aca="false">IF($B709="","",IF(NOT(ISNUMBER($B709)),"日期格式不对",IF($C709="","未选资金账户",IF(AND(N($I709)=0,N($J709)=0),"收支都为空",IF(AND(N($I709)&gt;0,N($J709)&gt;0),"收支不能同时填",IF(AND($D709&lt;&gt;"",LEFT($O709,1)="⚠"),"项目编号不存在",IF(AND($M709="是",$F709=""),"工程回款必须填往来单位","√")))))))</f>
        <v/>
      </c>
      <c r="O709" s="34" t="str">
        <f aca="false">IF($D709="","",IFERROR(INDEX(项目档案!$B$6:$B$255,MATCH($D709,项目档案!$A$6:$A$255,0)),"⚠编号不存在"))</f>
        <v/>
      </c>
      <c r="P709" s="35" t="str">
        <f aca="false">IF($B709="","",TEXT($B709,"yyyy-mm"))</f>
        <v/>
      </c>
    </row>
    <row r="710" customFormat="false" ht="15.75" hidden="false" customHeight="true" outlineLevel="0" collapsed="false">
      <c r="A710" s="32" t="str">
        <f aca="false">IF($B710="","",ROW()-4)</f>
        <v/>
      </c>
      <c r="B710" s="26"/>
      <c r="C710" s="21"/>
      <c r="D710" s="24"/>
      <c r="E710" s="21"/>
      <c r="F710" s="24"/>
      <c r="G710" s="21"/>
      <c r="H710" s="22"/>
      <c r="I710" s="27"/>
      <c r="J710" s="27"/>
      <c r="K710" s="36" t="str">
        <f aca="false">IF($B710="","",IF($C710="泓普",$C$2,IF($C710="仟茂",$E$2,IF($C710="现金",$G$2,0)))+SUMIFS($I$5:$I710,$C$5:$C710,$C710)-SUMIFS($J$5:$J710,$C$5:$C710,$C710))</f>
        <v/>
      </c>
      <c r="L710" s="36" t="str">
        <f aca="false">IF($B710="","",$C$2+$E$2+$G$2+SUM($I$5:$I710)-SUM($J$5:$J710))</f>
        <v/>
      </c>
      <c r="M710" s="24"/>
      <c r="N710" s="33" t="str">
        <f aca="false">IF($B710="","",IF(NOT(ISNUMBER($B710)),"日期格式不对",IF($C710="","未选资金账户",IF(AND(N($I710)=0,N($J710)=0),"收支都为空",IF(AND(N($I710)&gt;0,N($J710)&gt;0),"收支不能同时填",IF(AND($D710&lt;&gt;"",LEFT($O710,1)="⚠"),"项目编号不存在",IF(AND($M710="是",$F710=""),"工程回款必须填往来单位","√")))))))</f>
        <v/>
      </c>
      <c r="O710" s="34" t="str">
        <f aca="false">IF($D710="","",IFERROR(INDEX(项目档案!$B$6:$B$255,MATCH($D710,项目档案!$A$6:$A$255,0)),"⚠编号不存在"))</f>
        <v/>
      </c>
      <c r="P710" s="35" t="str">
        <f aca="false">IF($B710="","",TEXT($B710,"yyyy-mm"))</f>
        <v/>
      </c>
    </row>
    <row r="711" customFormat="false" ht="15.75" hidden="false" customHeight="true" outlineLevel="0" collapsed="false">
      <c r="A711" s="32" t="str">
        <f aca="false">IF($B711="","",ROW()-4)</f>
        <v/>
      </c>
      <c r="B711" s="26"/>
      <c r="C711" s="21"/>
      <c r="D711" s="24"/>
      <c r="E711" s="21"/>
      <c r="F711" s="24"/>
      <c r="G711" s="21"/>
      <c r="H711" s="22"/>
      <c r="I711" s="27"/>
      <c r="J711" s="27"/>
      <c r="K711" s="36" t="str">
        <f aca="false">IF($B711="","",IF($C711="泓普",$C$2,IF($C711="仟茂",$E$2,IF($C711="现金",$G$2,0)))+SUMIFS($I$5:$I711,$C$5:$C711,$C711)-SUMIFS($J$5:$J711,$C$5:$C711,$C711))</f>
        <v/>
      </c>
      <c r="L711" s="36" t="str">
        <f aca="false">IF($B711="","",$C$2+$E$2+$G$2+SUM($I$5:$I711)-SUM($J$5:$J711))</f>
        <v/>
      </c>
      <c r="M711" s="24"/>
      <c r="N711" s="33" t="str">
        <f aca="false">IF($B711="","",IF(NOT(ISNUMBER($B711)),"日期格式不对",IF($C711="","未选资金账户",IF(AND(N($I711)=0,N($J711)=0),"收支都为空",IF(AND(N($I711)&gt;0,N($J711)&gt;0),"收支不能同时填",IF(AND($D711&lt;&gt;"",LEFT($O711,1)="⚠"),"项目编号不存在",IF(AND($M711="是",$F711=""),"工程回款必须填往来单位","√")))))))</f>
        <v/>
      </c>
      <c r="O711" s="34" t="str">
        <f aca="false">IF($D711="","",IFERROR(INDEX(项目档案!$B$6:$B$255,MATCH($D711,项目档案!$A$6:$A$255,0)),"⚠编号不存在"))</f>
        <v/>
      </c>
      <c r="P711" s="35" t="str">
        <f aca="false">IF($B711="","",TEXT($B711,"yyyy-mm"))</f>
        <v/>
      </c>
    </row>
    <row r="712" customFormat="false" ht="15.75" hidden="false" customHeight="true" outlineLevel="0" collapsed="false">
      <c r="A712" s="32" t="str">
        <f aca="false">IF($B712="","",ROW()-4)</f>
        <v/>
      </c>
      <c r="B712" s="26"/>
      <c r="C712" s="21"/>
      <c r="D712" s="24"/>
      <c r="E712" s="21"/>
      <c r="F712" s="24"/>
      <c r="G712" s="21"/>
      <c r="H712" s="22"/>
      <c r="I712" s="27"/>
      <c r="J712" s="27"/>
      <c r="K712" s="36" t="str">
        <f aca="false">IF($B712="","",IF($C712="泓普",$C$2,IF($C712="仟茂",$E$2,IF($C712="现金",$G$2,0)))+SUMIFS($I$5:$I712,$C$5:$C712,$C712)-SUMIFS($J$5:$J712,$C$5:$C712,$C712))</f>
        <v/>
      </c>
      <c r="L712" s="36" t="str">
        <f aca="false">IF($B712="","",$C$2+$E$2+$G$2+SUM($I$5:$I712)-SUM($J$5:$J712))</f>
        <v/>
      </c>
      <c r="M712" s="24"/>
      <c r="N712" s="33" t="str">
        <f aca="false">IF($B712="","",IF(NOT(ISNUMBER($B712)),"日期格式不对",IF($C712="","未选资金账户",IF(AND(N($I712)=0,N($J712)=0),"收支都为空",IF(AND(N($I712)&gt;0,N($J712)&gt;0),"收支不能同时填",IF(AND($D712&lt;&gt;"",LEFT($O712,1)="⚠"),"项目编号不存在",IF(AND($M712="是",$F712=""),"工程回款必须填往来单位","√")))))))</f>
        <v/>
      </c>
      <c r="O712" s="34" t="str">
        <f aca="false">IF($D712="","",IFERROR(INDEX(项目档案!$B$6:$B$255,MATCH($D712,项目档案!$A$6:$A$255,0)),"⚠编号不存在"))</f>
        <v/>
      </c>
      <c r="P712" s="35" t="str">
        <f aca="false">IF($B712="","",TEXT($B712,"yyyy-mm"))</f>
        <v/>
      </c>
    </row>
    <row r="713" customFormat="false" ht="15.75" hidden="false" customHeight="true" outlineLevel="0" collapsed="false">
      <c r="A713" s="32" t="str">
        <f aca="false">IF($B713="","",ROW()-4)</f>
        <v/>
      </c>
      <c r="B713" s="26"/>
      <c r="C713" s="21"/>
      <c r="D713" s="24"/>
      <c r="E713" s="21"/>
      <c r="F713" s="24"/>
      <c r="G713" s="21"/>
      <c r="H713" s="22"/>
      <c r="I713" s="27"/>
      <c r="J713" s="27"/>
      <c r="K713" s="36" t="str">
        <f aca="false">IF($B713="","",IF($C713="泓普",$C$2,IF($C713="仟茂",$E$2,IF($C713="现金",$G$2,0)))+SUMIFS($I$5:$I713,$C$5:$C713,$C713)-SUMIFS($J$5:$J713,$C$5:$C713,$C713))</f>
        <v/>
      </c>
      <c r="L713" s="36" t="str">
        <f aca="false">IF($B713="","",$C$2+$E$2+$G$2+SUM($I$5:$I713)-SUM($J$5:$J713))</f>
        <v/>
      </c>
      <c r="M713" s="24"/>
      <c r="N713" s="33" t="str">
        <f aca="false">IF($B713="","",IF(NOT(ISNUMBER($B713)),"日期格式不对",IF($C713="","未选资金账户",IF(AND(N($I713)=0,N($J713)=0),"收支都为空",IF(AND(N($I713)&gt;0,N($J713)&gt;0),"收支不能同时填",IF(AND($D713&lt;&gt;"",LEFT($O713,1)="⚠"),"项目编号不存在",IF(AND($M713="是",$F713=""),"工程回款必须填往来单位","√")))))))</f>
        <v/>
      </c>
      <c r="O713" s="34" t="str">
        <f aca="false">IF($D713="","",IFERROR(INDEX(项目档案!$B$6:$B$255,MATCH($D713,项目档案!$A$6:$A$255,0)),"⚠编号不存在"))</f>
        <v/>
      </c>
      <c r="P713" s="35" t="str">
        <f aca="false">IF($B713="","",TEXT($B713,"yyyy-mm"))</f>
        <v/>
      </c>
    </row>
    <row r="714" customFormat="false" ht="15.75" hidden="false" customHeight="true" outlineLevel="0" collapsed="false">
      <c r="A714" s="32" t="str">
        <f aca="false">IF($B714="","",ROW()-4)</f>
        <v/>
      </c>
      <c r="B714" s="26"/>
      <c r="C714" s="21"/>
      <c r="D714" s="24"/>
      <c r="E714" s="21"/>
      <c r="F714" s="24"/>
      <c r="G714" s="21"/>
      <c r="H714" s="22"/>
      <c r="I714" s="27"/>
      <c r="J714" s="27"/>
      <c r="K714" s="36" t="str">
        <f aca="false">IF($B714="","",IF($C714="泓普",$C$2,IF($C714="仟茂",$E$2,IF($C714="现金",$G$2,0)))+SUMIFS($I$5:$I714,$C$5:$C714,$C714)-SUMIFS($J$5:$J714,$C$5:$C714,$C714))</f>
        <v/>
      </c>
      <c r="L714" s="36" t="str">
        <f aca="false">IF($B714="","",$C$2+$E$2+$G$2+SUM($I$5:$I714)-SUM($J$5:$J714))</f>
        <v/>
      </c>
      <c r="M714" s="24"/>
      <c r="N714" s="33" t="str">
        <f aca="false">IF($B714="","",IF(NOT(ISNUMBER($B714)),"日期格式不对",IF($C714="","未选资金账户",IF(AND(N($I714)=0,N($J714)=0),"收支都为空",IF(AND(N($I714)&gt;0,N($J714)&gt;0),"收支不能同时填",IF(AND($D714&lt;&gt;"",LEFT($O714,1)="⚠"),"项目编号不存在",IF(AND($M714="是",$F714=""),"工程回款必须填往来单位","√")))))))</f>
        <v/>
      </c>
      <c r="O714" s="34" t="str">
        <f aca="false">IF($D714="","",IFERROR(INDEX(项目档案!$B$6:$B$255,MATCH($D714,项目档案!$A$6:$A$255,0)),"⚠编号不存在"))</f>
        <v/>
      </c>
      <c r="P714" s="35" t="str">
        <f aca="false">IF($B714="","",TEXT($B714,"yyyy-mm"))</f>
        <v/>
      </c>
    </row>
    <row r="715" customFormat="false" ht="15.75" hidden="false" customHeight="true" outlineLevel="0" collapsed="false">
      <c r="A715" s="32" t="str">
        <f aca="false">IF($B715="","",ROW()-4)</f>
        <v/>
      </c>
      <c r="B715" s="26"/>
      <c r="C715" s="21"/>
      <c r="D715" s="24"/>
      <c r="E715" s="21"/>
      <c r="F715" s="24"/>
      <c r="G715" s="21"/>
      <c r="H715" s="22"/>
      <c r="I715" s="27"/>
      <c r="J715" s="27"/>
      <c r="K715" s="36" t="str">
        <f aca="false">IF($B715="","",IF($C715="泓普",$C$2,IF($C715="仟茂",$E$2,IF($C715="现金",$G$2,0)))+SUMIFS($I$5:$I715,$C$5:$C715,$C715)-SUMIFS($J$5:$J715,$C$5:$C715,$C715))</f>
        <v/>
      </c>
      <c r="L715" s="36" t="str">
        <f aca="false">IF($B715="","",$C$2+$E$2+$G$2+SUM($I$5:$I715)-SUM($J$5:$J715))</f>
        <v/>
      </c>
      <c r="M715" s="24"/>
      <c r="N715" s="33" t="str">
        <f aca="false">IF($B715="","",IF(NOT(ISNUMBER($B715)),"日期格式不对",IF($C715="","未选资金账户",IF(AND(N($I715)=0,N($J715)=0),"收支都为空",IF(AND(N($I715)&gt;0,N($J715)&gt;0),"收支不能同时填",IF(AND($D715&lt;&gt;"",LEFT($O715,1)="⚠"),"项目编号不存在",IF(AND($M715="是",$F715=""),"工程回款必须填往来单位","√")))))))</f>
        <v/>
      </c>
      <c r="O715" s="34" t="str">
        <f aca="false">IF($D715="","",IFERROR(INDEX(项目档案!$B$6:$B$255,MATCH($D715,项目档案!$A$6:$A$255,0)),"⚠编号不存在"))</f>
        <v/>
      </c>
      <c r="P715" s="35" t="str">
        <f aca="false">IF($B715="","",TEXT($B715,"yyyy-mm"))</f>
        <v/>
      </c>
    </row>
    <row r="716" customFormat="false" ht="15.75" hidden="false" customHeight="true" outlineLevel="0" collapsed="false">
      <c r="A716" s="32" t="str">
        <f aca="false">IF($B716="","",ROW()-4)</f>
        <v/>
      </c>
      <c r="B716" s="26"/>
      <c r="C716" s="21"/>
      <c r="D716" s="24"/>
      <c r="E716" s="21"/>
      <c r="F716" s="24"/>
      <c r="G716" s="21"/>
      <c r="H716" s="22"/>
      <c r="I716" s="27"/>
      <c r="J716" s="27"/>
      <c r="K716" s="36" t="str">
        <f aca="false">IF($B716="","",IF($C716="泓普",$C$2,IF($C716="仟茂",$E$2,IF($C716="现金",$G$2,0)))+SUMIFS($I$5:$I716,$C$5:$C716,$C716)-SUMIFS($J$5:$J716,$C$5:$C716,$C716))</f>
        <v/>
      </c>
      <c r="L716" s="36" t="str">
        <f aca="false">IF($B716="","",$C$2+$E$2+$G$2+SUM($I$5:$I716)-SUM($J$5:$J716))</f>
        <v/>
      </c>
      <c r="M716" s="24"/>
      <c r="N716" s="33" t="str">
        <f aca="false">IF($B716="","",IF(NOT(ISNUMBER($B716)),"日期格式不对",IF($C716="","未选资金账户",IF(AND(N($I716)=0,N($J716)=0),"收支都为空",IF(AND(N($I716)&gt;0,N($J716)&gt;0),"收支不能同时填",IF(AND($D716&lt;&gt;"",LEFT($O716,1)="⚠"),"项目编号不存在",IF(AND($M716="是",$F716=""),"工程回款必须填往来单位","√")))))))</f>
        <v/>
      </c>
      <c r="O716" s="34" t="str">
        <f aca="false">IF($D716="","",IFERROR(INDEX(项目档案!$B$6:$B$255,MATCH($D716,项目档案!$A$6:$A$255,0)),"⚠编号不存在"))</f>
        <v/>
      </c>
      <c r="P716" s="35" t="str">
        <f aca="false">IF($B716="","",TEXT($B716,"yyyy-mm"))</f>
        <v/>
      </c>
    </row>
    <row r="717" customFormat="false" ht="15.75" hidden="false" customHeight="true" outlineLevel="0" collapsed="false">
      <c r="A717" s="32" t="str">
        <f aca="false">IF($B717="","",ROW()-4)</f>
        <v/>
      </c>
      <c r="B717" s="26"/>
      <c r="C717" s="21"/>
      <c r="D717" s="24"/>
      <c r="E717" s="21"/>
      <c r="F717" s="24"/>
      <c r="G717" s="21"/>
      <c r="H717" s="22"/>
      <c r="I717" s="27"/>
      <c r="J717" s="27"/>
      <c r="K717" s="36" t="str">
        <f aca="false">IF($B717="","",IF($C717="泓普",$C$2,IF($C717="仟茂",$E$2,IF($C717="现金",$G$2,0)))+SUMIFS($I$5:$I717,$C$5:$C717,$C717)-SUMIFS($J$5:$J717,$C$5:$C717,$C717))</f>
        <v/>
      </c>
      <c r="L717" s="36" t="str">
        <f aca="false">IF($B717="","",$C$2+$E$2+$G$2+SUM($I$5:$I717)-SUM($J$5:$J717))</f>
        <v/>
      </c>
      <c r="M717" s="24"/>
      <c r="N717" s="33" t="str">
        <f aca="false">IF($B717="","",IF(NOT(ISNUMBER($B717)),"日期格式不对",IF($C717="","未选资金账户",IF(AND(N($I717)=0,N($J717)=0),"收支都为空",IF(AND(N($I717)&gt;0,N($J717)&gt;0),"收支不能同时填",IF(AND($D717&lt;&gt;"",LEFT($O717,1)="⚠"),"项目编号不存在",IF(AND($M717="是",$F717=""),"工程回款必须填往来单位","√")))))))</f>
        <v/>
      </c>
      <c r="O717" s="34" t="str">
        <f aca="false">IF($D717="","",IFERROR(INDEX(项目档案!$B$6:$B$255,MATCH($D717,项目档案!$A$6:$A$255,0)),"⚠编号不存在"))</f>
        <v/>
      </c>
      <c r="P717" s="35" t="str">
        <f aca="false">IF($B717="","",TEXT($B717,"yyyy-mm"))</f>
        <v/>
      </c>
    </row>
    <row r="718" customFormat="false" ht="15.75" hidden="false" customHeight="true" outlineLevel="0" collapsed="false">
      <c r="A718" s="32" t="str">
        <f aca="false">IF($B718="","",ROW()-4)</f>
        <v/>
      </c>
      <c r="B718" s="26"/>
      <c r="C718" s="21"/>
      <c r="D718" s="24"/>
      <c r="E718" s="21"/>
      <c r="F718" s="24"/>
      <c r="G718" s="21"/>
      <c r="H718" s="22"/>
      <c r="I718" s="27"/>
      <c r="J718" s="27"/>
      <c r="K718" s="36" t="str">
        <f aca="false">IF($B718="","",IF($C718="泓普",$C$2,IF($C718="仟茂",$E$2,IF($C718="现金",$G$2,0)))+SUMIFS($I$5:$I718,$C$5:$C718,$C718)-SUMIFS($J$5:$J718,$C$5:$C718,$C718))</f>
        <v/>
      </c>
      <c r="L718" s="36" t="str">
        <f aca="false">IF($B718="","",$C$2+$E$2+$G$2+SUM($I$5:$I718)-SUM($J$5:$J718))</f>
        <v/>
      </c>
      <c r="M718" s="24"/>
      <c r="N718" s="33" t="str">
        <f aca="false">IF($B718="","",IF(NOT(ISNUMBER($B718)),"日期格式不对",IF($C718="","未选资金账户",IF(AND(N($I718)=0,N($J718)=0),"收支都为空",IF(AND(N($I718)&gt;0,N($J718)&gt;0),"收支不能同时填",IF(AND($D718&lt;&gt;"",LEFT($O718,1)="⚠"),"项目编号不存在",IF(AND($M718="是",$F718=""),"工程回款必须填往来单位","√")))))))</f>
        <v/>
      </c>
      <c r="O718" s="34" t="str">
        <f aca="false">IF($D718="","",IFERROR(INDEX(项目档案!$B$6:$B$255,MATCH($D718,项目档案!$A$6:$A$255,0)),"⚠编号不存在"))</f>
        <v/>
      </c>
      <c r="P718" s="35" t="str">
        <f aca="false">IF($B718="","",TEXT($B718,"yyyy-mm"))</f>
        <v/>
      </c>
    </row>
    <row r="719" customFormat="false" ht="15.75" hidden="false" customHeight="true" outlineLevel="0" collapsed="false">
      <c r="A719" s="32" t="str">
        <f aca="false">IF($B719="","",ROW()-4)</f>
        <v/>
      </c>
      <c r="B719" s="26"/>
      <c r="C719" s="21"/>
      <c r="D719" s="24"/>
      <c r="E719" s="21"/>
      <c r="F719" s="24"/>
      <c r="G719" s="21"/>
      <c r="H719" s="22"/>
      <c r="I719" s="27"/>
      <c r="J719" s="27"/>
      <c r="K719" s="36" t="str">
        <f aca="false">IF($B719="","",IF($C719="泓普",$C$2,IF($C719="仟茂",$E$2,IF($C719="现金",$G$2,0)))+SUMIFS($I$5:$I719,$C$5:$C719,$C719)-SUMIFS($J$5:$J719,$C$5:$C719,$C719))</f>
        <v/>
      </c>
      <c r="L719" s="36" t="str">
        <f aca="false">IF($B719="","",$C$2+$E$2+$G$2+SUM($I$5:$I719)-SUM($J$5:$J719))</f>
        <v/>
      </c>
      <c r="M719" s="24"/>
      <c r="N719" s="33" t="str">
        <f aca="false">IF($B719="","",IF(NOT(ISNUMBER($B719)),"日期格式不对",IF($C719="","未选资金账户",IF(AND(N($I719)=0,N($J719)=0),"收支都为空",IF(AND(N($I719)&gt;0,N($J719)&gt;0),"收支不能同时填",IF(AND($D719&lt;&gt;"",LEFT($O719,1)="⚠"),"项目编号不存在",IF(AND($M719="是",$F719=""),"工程回款必须填往来单位","√")))))))</f>
        <v/>
      </c>
      <c r="O719" s="34" t="str">
        <f aca="false">IF($D719="","",IFERROR(INDEX(项目档案!$B$6:$B$255,MATCH($D719,项目档案!$A$6:$A$255,0)),"⚠编号不存在"))</f>
        <v/>
      </c>
      <c r="P719" s="35" t="str">
        <f aca="false">IF($B719="","",TEXT($B719,"yyyy-mm"))</f>
        <v/>
      </c>
    </row>
    <row r="720" customFormat="false" ht="15.75" hidden="false" customHeight="true" outlineLevel="0" collapsed="false">
      <c r="A720" s="32" t="str">
        <f aca="false">IF($B720="","",ROW()-4)</f>
        <v/>
      </c>
      <c r="B720" s="26"/>
      <c r="C720" s="21"/>
      <c r="D720" s="24"/>
      <c r="E720" s="21"/>
      <c r="F720" s="24"/>
      <c r="G720" s="21"/>
      <c r="H720" s="22"/>
      <c r="I720" s="27"/>
      <c r="J720" s="27"/>
      <c r="K720" s="36" t="str">
        <f aca="false">IF($B720="","",IF($C720="泓普",$C$2,IF($C720="仟茂",$E$2,IF($C720="现金",$G$2,0)))+SUMIFS($I$5:$I720,$C$5:$C720,$C720)-SUMIFS($J$5:$J720,$C$5:$C720,$C720))</f>
        <v/>
      </c>
      <c r="L720" s="36" t="str">
        <f aca="false">IF($B720="","",$C$2+$E$2+$G$2+SUM($I$5:$I720)-SUM($J$5:$J720))</f>
        <v/>
      </c>
      <c r="M720" s="24"/>
      <c r="N720" s="33" t="str">
        <f aca="false">IF($B720="","",IF(NOT(ISNUMBER($B720)),"日期格式不对",IF($C720="","未选资金账户",IF(AND(N($I720)=0,N($J720)=0),"收支都为空",IF(AND(N($I720)&gt;0,N($J720)&gt;0),"收支不能同时填",IF(AND($D720&lt;&gt;"",LEFT($O720,1)="⚠"),"项目编号不存在",IF(AND($M720="是",$F720=""),"工程回款必须填往来单位","√")))))))</f>
        <v/>
      </c>
      <c r="O720" s="34" t="str">
        <f aca="false">IF($D720="","",IFERROR(INDEX(项目档案!$B$6:$B$255,MATCH($D720,项目档案!$A$6:$A$255,0)),"⚠编号不存在"))</f>
        <v/>
      </c>
      <c r="P720" s="35" t="str">
        <f aca="false">IF($B720="","",TEXT($B720,"yyyy-mm"))</f>
        <v/>
      </c>
    </row>
    <row r="721" customFormat="false" ht="15.75" hidden="false" customHeight="true" outlineLevel="0" collapsed="false">
      <c r="A721" s="32" t="str">
        <f aca="false">IF($B721="","",ROW()-4)</f>
        <v/>
      </c>
      <c r="B721" s="26"/>
      <c r="C721" s="21"/>
      <c r="D721" s="24"/>
      <c r="E721" s="21"/>
      <c r="F721" s="24"/>
      <c r="G721" s="21"/>
      <c r="H721" s="22"/>
      <c r="I721" s="27"/>
      <c r="J721" s="27"/>
      <c r="K721" s="36" t="str">
        <f aca="false">IF($B721="","",IF($C721="泓普",$C$2,IF($C721="仟茂",$E$2,IF($C721="现金",$G$2,0)))+SUMIFS($I$5:$I721,$C$5:$C721,$C721)-SUMIFS($J$5:$J721,$C$5:$C721,$C721))</f>
        <v/>
      </c>
      <c r="L721" s="36" t="str">
        <f aca="false">IF($B721="","",$C$2+$E$2+$G$2+SUM($I$5:$I721)-SUM($J$5:$J721))</f>
        <v/>
      </c>
      <c r="M721" s="24"/>
      <c r="N721" s="33" t="str">
        <f aca="false">IF($B721="","",IF(NOT(ISNUMBER($B721)),"日期格式不对",IF($C721="","未选资金账户",IF(AND(N($I721)=0,N($J721)=0),"收支都为空",IF(AND(N($I721)&gt;0,N($J721)&gt;0),"收支不能同时填",IF(AND($D721&lt;&gt;"",LEFT($O721,1)="⚠"),"项目编号不存在",IF(AND($M721="是",$F721=""),"工程回款必须填往来单位","√")))))))</f>
        <v/>
      </c>
      <c r="O721" s="34" t="str">
        <f aca="false">IF($D721="","",IFERROR(INDEX(项目档案!$B$6:$B$255,MATCH($D721,项目档案!$A$6:$A$255,0)),"⚠编号不存在"))</f>
        <v/>
      </c>
      <c r="P721" s="35" t="str">
        <f aca="false">IF($B721="","",TEXT($B721,"yyyy-mm"))</f>
        <v/>
      </c>
    </row>
    <row r="722" customFormat="false" ht="15.75" hidden="false" customHeight="true" outlineLevel="0" collapsed="false">
      <c r="A722" s="32" t="str">
        <f aca="false">IF($B722="","",ROW()-4)</f>
        <v/>
      </c>
      <c r="B722" s="26"/>
      <c r="C722" s="21"/>
      <c r="D722" s="24"/>
      <c r="E722" s="21"/>
      <c r="F722" s="24"/>
      <c r="G722" s="21"/>
      <c r="H722" s="22"/>
      <c r="I722" s="27"/>
      <c r="J722" s="27"/>
      <c r="K722" s="36" t="str">
        <f aca="false">IF($B722="","",IF($C722="泓普",$C$2,IF($C722="仟茂",$E$2,IF($C722="现金",$G$2,0)))+SUMIFS($I$5:$I722,$C$5:$C722,$C722)-SUMIFS($J$5:$J722,$C$5:$C722,$C722))</f>
        <v/>
      </c>
      <c r="L722" s="36" t="str">
        <f aca="false">IF($B722="","",$C$2+$E$2+$G$2+SUM($I$5:$I722)-SUM($J$5:$J722))</f>
        <v/>
      </c>
      <c r="M722" s="24"/>
      <c r="N722" s="33" t="str">
        <f aca="false">IF($B722="","",IF(NOT(ISNUMBER($B722)),"日期格式不对",IF($C722="","未选资金账户",IF(AND(N($I722)=0,N($J722)=0),"收支都为空",IF(AND(N($I722)&gt;0,N($J722)&gt;0),"收支不能同时填",IF(AND($D722&lt;&gt;"",LEFT($O722,1)="⚠"),"项目编号不存在",IF(AND($M722="是",$F722=""),"工程回款必须填往来单位","√")))))))</f>
        <v/>
      </c>
      <c r="O722" s="34" t="str">
        <f aca="false">IF($D722="","",IFERROR(INDEX(项目档案!$B$6:$B$255,MATCH($D722,项目档案!$A$6:$A$255,0)),"⚠编号不存在"))</f>
        <v/>
      </c>
      <c r="P722" s="35" t="str">
        <f aca="false">IF($B722="","",TEXT($B722,"yyyy-mm"))</f>
        <v/>
      </c>
    </row>
    <row r="723" customFormat="false" ht="15.75" hidden="false" customHeight="true" outlineLevel="0" collapsed="false">
      <c r="A723" s="32" t="str">
        <f aca="false">IF($B723="","",ROW()-4)</f>
        <v/>
      </c>
      <c r="B723" s="26"/>
      <c r="C723" s="21"/>
      <c r="D723" s="24"/>
      <c r="E723" s="21"/>
      <c r="F723" s="24"/>
      <c r="G723" s="21"/>
      <c r="H723" s="22"/>
      <c r="I723" s="27"/>
      <c r="J723" s="27"/>
      <c r="K723" s="36" t="str">
        <f aca="false">IF($B723="","",IF($C723="泓普",$C$2,IF($C723="仟茂",$E$2,IF($C723="现金",$G$2,0)))+SUMIFS($I$5:$I723,$C$5:$C723,$C723)-SUMIFS($J$5:$J723,$C$5:$C723,$C723))</f>
        <v/>
      </c>
      <c r="L723" s="36" t="str">
        <f aca="false">IF($B723="","",$C$2+$E$2+$G$2+SUM($I$5:$I723)-SUM($J$5:$J723))</f>
        <v/>
      </c>
      <c r="M723" s="24"/>
      <c r="N723" s="33" t="str">
        <f aca="false">IF($B723="","",IF(NOT(ISNUMBER($B723)),"日期格式不对",IF($C723="","未选资金账户",IF(AND(N($I723)=0,N($J723)=0),"收支都为空",IF(AND(N($I723)&gt;0,N($J723)&gt;0),"收支不能同时填",IF(AND($D723&lt;&gt;"",LEFT($O723,1)="⚠"),"项目编号不存在",IF(AND($M723="是",$F723=""),"工程回款必须填往来单位","√")))))))</f>
        <v/>
      </c>
      <c r="O723" s="34" t="str">
        <f aca="false">IF($D723="","",IFERROR(INDEX(项目档案!$B$6:$B$255,MATCH($D723,项目档案!$A$6:$A$255,0)),"⚠编号不存在"))</f>
        <v/>
      </c>
      <c r="P723" s="35" t="str">
        <f aca="false">IF($B723="","",TEXT($B723,"yyyy-mm"))</f>
        <v/>
      </c>
    </row>
    <row r="724" customFormat="false" ht="15.75" hidden="false" customHeight="true" outlineLevel="0" collapsed="false">
      <c r="A724" s="32" t="str">
        <f aca="false">IF($B724="","",ROW()-4)</f>
        <v/>
      </c>
      <c r="B724" s="26"/>
      <c r="C724" s="21"/>
      <c r="D724" s="24"/>
      <c r="E724" s="21"/>
      <c r="F724" s="24"/>
      <c r="G724" s="21"/>
      <c r="H724" s="22"/>
      <c r="I724" s="27"/>
      <c r="J724" s="27"/>
      <c r="K724" s="36" t="str">
        <f aca="false">IF($B724="","",IF($C724="泓普",$C$2,IF($C724="仟茂",$E$2,IF($C724="现金",$G$2,0)))+SUMIFS($I$5:$I724,$C$5:$C724,$C724)-SUMIFS($J$5:$J724,$C$5:$C724,$C724))</f>
        <v/>
      </c>
      <c r="L724" s="36" t="str">
        <f aca="false">IF($B724="","",$C$2+$E$2+$G$2+SUM($I$5:$I724)-SUM($J$5:$J724))</f>
        <v/>
      </c>
      <c r="M724" s="24"/>
      <c r="N724" s="33" t="str">
        <f aca="false">IF($B724="","",IF(NOT(ISNUMBER($B724)),"日期格式不对",IF($C724="","未选资金账户",IF(AND(N($I724)=0,N($J724)=0),"收支都为空",IF(AND(N($I724)&gt;0,N($J724)&gt;0),"收支不能同时填",IF(AND($D724&lt;&gt;"",LEFT($O724,1)="⚠"),"项目编号不存在",IF(AND($M724="是",$F724=""),"工程回款必须填往来单位","√")))))))</f>
        <v/>
      </c>
      <c r="O724" s="34" t="str">
        <f aca="false">IF($D724="","",IFERROR(INDEX(项目档案!$B$6:$B$255,MATCH($D724,项目档案!$A$6:$A$255,0)),"⚠编号不存在"))</f>
        <v/>
      </c>
      <c r="P724" s="35" t="str">
        <f aca="false">IF($B724="","",TEXT($B724,"yyyy-mm"))</f>
        <v/>
      </c>
    </row>
    <row r="725" customFormat="false" ht="15.75" hidden="false" customHeight="true" outlineLevel="0" collapsed="false">
      <c r="A725" s="32" t="str">
        <f aca="false">IF($B725="","",ROW()-4)</f>
        <v/>
      </c>
      <c r="B725" s="26"/>
      <c r="C725" s="21"/>
      <c r="D725" s="24"/>
      <c r="E725" s="21"/>
      <c r="F725" s="24"/>
      <c r="G725" s="21"/>
      <c r="H725" s="22"/>
      <c r="I725" s="27"/>
      <c r="J725" s="27"/>
      <c r="K725" s="36" t="str">
        <f aca="false">IF($B725="","",IF($C725="泓普",$C$2,IF($C725="仟茂",$E$2,IF($C725="现金",$G$2,0)))+SUMIFS($I$5:$I725,$C$5:$C725,$C725)-SUMIFS($J$5:$J725,$C$5:$C725,$C725))</f>
        <v/>
      </c>
      <c r="L725" s="36" t="str">
        <f aca="false">IF($B725="","",$C$2+$E$2+$G$2+SUM($I$5:$I725)-SUM($J$5:$J725))</f>
        <v/>
      </c>
      <c r="M725" s="24"/>
      <c r="N725" s="33" t="str">
        <f aca="false">IF($B725="","",IF(NOT(ISNUMBER($B725)),"日期格式不对",IF($C725="","未选资金账户",IF(AND(N($I725)=0,N($J725)=0),"收支都为空",IF(AND(N($I725)&gt;0,N($J725)&gt;0),"收支不能同时填",IF(AND($D725&lt;&gt;"",LEFT($O725,1)="⚠"),"项目编号不存在",IF(AND($M725="是",$F725=""),"工程回款必须填往来单位","√")))))))</f>
        <v/>
      </c>
      <c r="O725" s="34" t="str">
        <f aca="false">IF($D725="","",IFERROR(INDEX(项目档案!$B$6:$B$255,MATCH($D725,项目档案!$A$6:$A$255,0)),"⚠编号不存在"))</f>
        <v/>
      </c>
      <c r="P725" s="35" t="str">
        <f aca="false">IF($B725="","",TEXT($B725,"yyyy-mm"))</f>
        <v/>
      </c>
    </row>
    <row r="726" customFormat="false" ht="15.75" hidden="false" customHeight="true" outlineLevel="0" collapsed="false">
      <c r="A726" s="32" t="str">
        <f aca="false">IF($B726="","",ROW()-4)</f>
        <v/>
      </c>
      <c r="B726" s="26"/>
      <c r="C726" s="21"/>
      <c r="D726" s="24"/>
      <c r="E726" s="21"/>
      <c r="F726" s="24"/>
      <c r="G726" s="21"/>
      <c r="H726" s="22"/>
      <c r="I726" s="27"/>
      <c r="J726" s="27"/>
      <c r="K726" s="36" t="str">
        <f aca="false">IF($B726="","",IF($C726="泓普",$C$2,IF($C726="仟茂",$E$2,IF($C726="现金",$G$2,0)))+SUMIFS($I$5:$I726,$C$5:$C726,$C726)-SUMIFS($J$5:$J726,$C$5:$C726,$C726))</f>
        <v/>
      </c>
      <c r="L726" s="36" t="str">
        <f aca="false">IF($B726="","",$C$2+$E$2+$G$2+SUM($I$5:$I726)-SUM($J$5:$J726))</f>
        <v/>
      </c>
      <c r="M726" s="24"/>
      <c r="N726" s="33" t="str">
        <f aca="false">IF($B726="","",IF(NOT(ISNUMBER($B726)),"日期格式不对",IF($C726="","未选资金账户",IF(AND(N($I726)=0,N($J726)=0),"收支都为空",IF(AND(N($I726)&gt;0,N($J726)&gt;0),"收支不能同时填",IF(AND($D726&lt;&gt;"",LEFT($O726,1)="⚠"),"项目编号不存在",IF(AND($M726="是",$F726=""),"工程回款必须填往来单位","√")))))))</f>
        <v/>
      </c>
      <c r="O726" s="34" t="str">
        <f aca="false">IF($D726="","",IFERROR(INDEX(项目档案!$B$6:$B$255,MATCH($D726,项目档案!$A$6:$A$255,0)),"⚠编号不存在"))</f>
        <v/>
      </c>
      <c r="P726" s="35" t="str">
        <f aca="false">IF($B726="","",TEXT($B726,"yyyy-mm"))</f>
        <v/>
      </c>
    </row>
    <row r="727" customFormat="false" ht="15.75" hidden="false" customHeight="true" outlineLevel="0" collapsed="false">
      <c r="A727" s="32" t="str">
        <f aca="false">IF($B727="","",ROW()-4)</f>
        <v/>
      </c>
      <c r="B727" s="26"/>
      <c r="C727" s="21"/>
      <c r="D727" s="24"/>
      <c r="E727" s="21"/>
      <c r="F727" s="24"/>
      <c r="G727" s="21"/>
      <c r="H727" s="22"/>
      <c r="I727" s="27"/>
      <c r="J727" s="27"/>
      <c r="K727" s="36" t="str">
        <f aca="false">IF($B727="","",IF($C727="泓普",$C$2,IF($C727="仟茂",$E$2,IF($C727="现金",$G$2,0)))+SUMIFS($I$5:$I727,$C$5:$C727,$C727)-SUMIFS($J$5:$J727,$C$5:$C727,$C727))</f>
        <v/>
      </c>
      <c r="L727" s="36" t="str">
        <f aca="false">IF($B727="","",$C$2+$E$2+$G$2+SUM($I$5:$I727)-SUM($J$5:$J727))</f>
        <v/>
      </c>
      <c r="M727" s="24"/>
      <c r="N727" s="33" t="str">
        <f aca="false">IF($B727="","",IF(NOT(ISNUMBER($B727)),"日期格式不对",IF($C727="","未选资金账户",IF(AND(N($I727)=0,N($J727)=0),"收支都为空",IF(AND(N($I727)&gt;0,N($J727)&gt;0),"收支不能同时填",IF(AND($D727&lt;&gt;"",LEFT($O727,1)="⚠"),"项目编号不存在",IF(AND($M727="是",$F727=""),"工程回款必须填往来单位","√")))))))</f>
        <v/>
      </c>
      <c r="O727" s="34" t="str">
        <f aca="false">IF($D727="","",IFERROR(INDEX(项目档案!$B$6:$B$255,MATCH($D727,项目档案!$A$6:$A$255,0)),"⚠编号不存在"))</f>
        <v/>
      </c>
      <c r="P727" s="35" t="str">
        <f aca="false">IF($B727="","",TEXT($B727,"yyyy-mm"))</f>
        <v/>
      </c>
    </row>
    <row r="728" customFormat="false" ht="15.75" hidden="false" customHeight="true" outlineLevel="0" collapsed="false">
      <c r="A728" s="32" t="str">
        <f aca="false">IF($B728="","",ROW()-4)</f>
        <v/>
      </c>
      <c r="B728" s="26"/>
      <c r="C728" s="21"/>
      <c r="D728" s="24"/>
      <c r="E728" s="21"/>
      <c r="F728" s="24"/>
      <c r="G728" s="21"/>
      <c r="H728" s="22"/>
      <c r="I728" s="27"/>
      <c r="J728" s="27"/>
      <c r="K728" s="36" t="str">
        <f aca="false">IF($B728="","",IF($C728="泓普",$C$2,IF($C728="仟茂",$E$2,IF($C728="现金",$G$2,0)))+SUMIFS($I$5:$I728,$C$5:$C728,$C728)-SUMIFS($J$5:$J728,$C$5:$C728,$C728))</f>
        <v/>
      </c>
      <c r="L728" s="36" t="str">
        <f aca="false">IF($B728="","",$C$2+$E$2+$G$2+SUM($I$5:$I728)-SUM($J$5:$J728))</f>
        <v/>
      </c>
      <c r="M728" s="24"/>
      <c r="N728" s="33" t="str">
        <f aca="false">IF($B728="","",IF(NOT(ISNUMBER($B728)),"日期格式不对",IF($C728="","未选资金账户",IF(AND(N($I728)=0,N($J728)=0),"收支都为空",IF(AND(N($I728)&gt;0,N($J728)&gt;0),"收支不能同时填",IF(AND($D728&lt;&gt;"",LEFT($O728,1)="⚠"),"项目编号不存在",IF(AND($M728="是",$F728=""),"工程回款必须填往来单位","√")))))))</f>
        <v/>
      </c>
      <c r="O728" s="34" t="str">
        <f aca="false">IF($D728="","",IFERROR(INDEX(项目档案!$B$6:$B$255,MATCH($D728,项目档案!$A$6:$A$255,0)),"⚠编号不存在"))</f>
        <v/>
      </c>
      <c r="P728" s="35" t="str">
        <f aca="false">IF($B728="","",TEXT($B728,"yyyy-mm"))</f>
        <v/>
      </c>
    </row>
    <row r="729" customFormat="false" ht="15.75" hidden="false" customHeight="true" outlineLevel="0" collapsed="false">
      <c r="A729" s="32" t="str">
        <f aca="false">IF($B729="","",ROW()-4)</f>
        <v/>
      </c>
      <c r="B729" s="26"/>
      <c r="C729" s="21"/>
      <c r="D729" s="24"/>
      <c r="E729" s="21"/>
      <c r="F729" s="24"/>
      <c r="G729" s="21"/>
      <c r="H729" s="22"/>
      <c r="I729" s="27"/>
      <c r="J729" s="27"/>
      <c r="K729" s="36" t="str">
        <f aca="false">IF($B729="","",IF($C729="泓普",$C$2,IF($C729="仟茂",$E$2,IF($C729="现金",$G$2,0)))+SUMIFS($I$5:$I729,$C$5:$C729,$C729)-SUMIFS($J$5:$J729,$C$5:$C729,$C729))</f>
        <v/>
      </c>
      <c r="L729" s="36" t="str">
        <f aca="false">IF($B729="","",$C$2+$E$2+$G$2+SUM($I$5:$I729)-SUM($J$5:$J729))</f>
        <v/>
      </c>
      <c r="M729" s="24"/>
      <c r="N729" s="33" t="str">
        <f aca="false">IF($B729="","",IF(NOT(ISNUMBER($B729)),"日期格式不对",IF($C729="","未选资金账户",IF(AND(N($I729)=0,N($J729)=0),"收支都为空",IF(AND(N($I729)&gt;0,N($J729)&gt;0),"收支不能同时填",IF(AND($D729&lt;&gt;"",LEFT($O729,1)="⚠"),"项目编号不存在",IF(AND($M729="是",$F729=""),"工程回款必须填往来单位","√")))))))</f>
        <v/>
      </c>
      <c r="O729" s="34" t="str">
        <f aca="false">IF($D729="","",IFERROR(INDEX(项目档案!$B$6:$B$255,MATCH($D729,项目档案!$A$6:$A$255,0)),"⚠编号不存在"))</f>
        <v/>
      </c>
      <c r="P729" s="35" t="str">
        <f aca="false">IF($B729="","",TEXT($B729,"yyyy-mm"))</f>
        <v/>
      </c>
    </row>
    <row r="730" customFormat="false" ht="15.75" hidden="false" customHeight="true" outlineLevel="0" collapsed="false">
      <c r="A730" s="32" t="str">
        <f aca="false">IF($B730="","",ROW()-4)</f>
        <v/>
      </c>
      <c r="B730" s="26"/>
      <c r="C730" s="21"/>
      <c r="D730" s="24"/>
      <c r="E730" s="21"/>
      <c r="F730" s="24"/>
      <c r="G730" s="21"/>
      <c r="H730" s="22"/>
      <c r="I730" s="27"/>
      <c r="J730" s="27"/>
      <c r="K730" s="36" t="str">
        <f aca="false">IF($B730="","",IF($C730="泓普",$C$2,IF($C730="仟茂",$E$2,IF($C730="现金",$G$2,0)))+SUMIFS($I$5:$I730,$C$5:$C730,$C730)-SUMIFS($J$5:$J730,$C$5:$C730,$C730))</f>
        <v/>
      </c>
      <c r="L730" s="36" t="str">
        <f aca="false">IF($B730="","",$C$2+$E$2+$G$2+SUM($I$5:$I730)-SUM($J$5:$J730))</f>
        <v/>
      </c>
      <c r="M730" s="24"/>
      <c r="N730" s="33" t="str">
        <f aca="false">IF($B730="","",IF(NOT(ISNUMBER($B730)),"日期格式不对",IF($C730="","未选资金账户",IF(AND(N($I730)=0,N($J730)=0),"收支都为空",IF(AND(N($I730)&gt;0,N($J730)&gt;0),"收支不能同时填",IF(AND($D730&lt;&gt;"",LEFT($O730,1)="⚠"),"项目编号不存在",IF(AND($M730="是",$F730=""),"工程回款必须填往来单位","√")))))))</f>
        <v/>
      </c>
      <c r="O730" s="34" t="str">
        <f aca="false">IF($D730="","",IFERROR(INDEX(项目档案!$B$6:$B$255,MATCH($D730,项目档案!$A$6:$A$255,0)),"⚠编号不存在"))</f>
        <v/>
      </c>
      <c r="P730" s="35" t="str">
        <f aca="false">IF($B730="","",TEXT($B730,"yyyy-mm"))</f>
        <v/>
      </c>
    </row>
    <row r="731" customFormat="false" ht="15.75" hidden="false" customHeight="true" outlineLevel="0" collapsed="false">
      <c r="A731" s="32" t="str">
        <f aca="false">IF($B731="","",ROW()-4)</f>
        <v/>
      </c>
      <c r="B731" s="26"/>
      <c r="C731" s="21"/>
      <c r="D731" s="24"/>
      <c r="E731" s="21"/>
      <c r="F731" s="24"/>
      <c r="G731" s="21"/>
      <c r="H731" s="22"/>
      <c r="I731" s="27"/>
      <c r="J731" s="27"/>
      <c r="K731" s="36" t="str">
        <f aca="false">IF($B731="","",IF($C731="泓普",$C$2,IF($C731="仟茂",$E$2,IF($C731="现金",$G$2,0)))+SUMIFS($I$5:$I731,$C$5:$C731,$C731)-SUMIFS($J$5:$J731,$C$5:$C731,$C731))</f>
        <v/>
      </c>
      <c r="L731" s="36" t="str">
        <f aca="false">IF($B731="","",$C$2+$E$2+$G$2+SUM($I$5:$I731)-SUM($J$5:$J731))</f>
        <v/>
      </c>
      <c r="M731" s="24"/>
      <c r="N731" s="33" t="str">
        <f aca="false">IF($B731="","",IF(NOT(ISNUMBER($B731)),"日期格式不对",IF($C731="","未选资金账户",IF(AND(N($I731)=0,N($J731)=0),"收支都为空",IF(AND(N($I731)&gt;0,N($J731)&gt;0),"收支不能同时填",IF(AND($D731&lt;&gt;"",LEFT($O731,1)="⚠"),"项目编号不存在",IF(AND($M731="是",$F731=""),"工程回款必须填往来单位","√")))))))</f>
        <v/>
      </c>
      <c r="O731" s="34" t="str">
        <f aca="false">IF($D731="","",IFERROR(INDEX(项目档案!$B$6:$B$255,MATCH($D731,项目档案!$A$6:$A$255,0)),"⚠编号不存在"))</f>
        <v/>
      </c>
      <c r="P731" s="35" t="str">
        <f aca="false">IF($B731="","",TEXT($B731,"yyyy-mm"))</f>
        <v/>
      </c>
    </row>
    <row r="732" customFormat="false" ht="15.75" hidden="false" customHeight="true" outlineLevel="0" collapsed="false">
      <c r="A732" s="32" t="str">
        <f aca="false">IF($B732="","",ROW()-4)</f>
        <v/>
      </c>
      <c r="B732" s="26"/>
      <c r="C732" s="21"/>
      <c r="D732" s="24"/>
      <c r="E732" s="21"/>
      <c r="F732" s="24"/>
      <c r="G732" s="21"/>
      <c r="H732" s="22"/>
      <c r="I732" s="27"/>
      <c r="J732" s="27"/>
      <c r="K732" s="36" t="str">
        <f aca="false">IF($B732="","",IF($C732="泓普",$C$2,IF($C732="仟茂",$E$2,IF($C732="现金",$G$2,0)))+SUMIFS($I$5:$I732,$C$5:$C732,$C732)-SUMIFS($J$5:$J732,$C$5:$C732,$C732))</f>
        <v/>
      </c>
      <c r="L732" s="36" t="str">
        <f aca="false">IF($B732="","",$C$2+$E$2+$G$2+SUM($I$5:$I732)-SUM($J$5:$J732))</f>
        <v/>
      </c>
      <c r="M732" s="24"/>
      <c r="N732" s="33" t="str">
        <f aca="false">IF($B732="","",IF(NOT(ISNUMBER($B732)),"日期格式不对",IF($C732="","未选资金账户",IF(AND(N($I732)=0,N($J732)=0),"收支都为空",IF(AND(N($I732)&gt;0,N($J732)&gt;0),"收支不能同时填",IF(AND($D732&lt;&gt;"",LEFT($O732,1)="⚠"),"项目编号不存在",IF(AND($M732="是",$F732=""),"工程回款必须填往来单位","√")))))))</f>
        <v/>
      </c>
      <c r="O732" s="34" t="str">
        <f aca="false">IF($D732="","",IFERROR(INDEX(项目档案!$B$6:$B$255,MATCH($D732,项目档案!$A$6:$A$255,0)),"⚠编号不存在"))</f>
        <v/>
      </c>
      <c r="P732" s="35" t="str">
        <f aca="false">IF($B732="","",TEXT($B732,"yyyy-mm"))</f>
        <v/>
      </c>
    </row>
    <row r="733" customFormat="false" ht="15.75" hidden="false" customHeight="true" outlineLevel="0" collapsed="false">
      <c r="A733" s="32" t="str">
        <f aca="false">IF($B733="","",ROW()-4)</f>
        <v/>
      </c>
      <c r="B733" s="26"/>
      <c r="C733" s="21"/>
      <c r="D733" s="24"/>
      <c r="E733" s="21"/>
      <c r="F733" s="24"/>
      <c r="G733" s="21"/>
      <c r="H733" s="22"/>
      <c r="I733" s="27"/>
      <c r="J733" s="27"/>
      <c r="K733" s="36" t="str">
        <f aca="false">IF($B733="","",IF($C733="泓普",$C$2,IF($C733="仟茂",$E$2,IF($C733="现金",$G$2,0)))+SUMIFS($I$5:$I733,$C$5:$C733,$C733)-SUMIFS($J$5:$J733,$C$5:$C733,$C733))</f>
        <v/>
      </c>
      <c r="L733" s="36" t="str">
        <f aca="false">IF($B733="","",$C$2+$E$2+$G$2+SUM($I$5:$I733)-SUM($J$5:$J733))</f>
        <v/>
      </c>
      <c r="M733" s="24"/>
      <c r="N733" s="33" t="str">
        <f aca="false">IF($B733="","",IF(NOT(ISNUMBER($B733)),"日期格式不对",IF($C733="","未选资金账户",IF(AND(N($I733)=0,N($J733)=0),"收支都为空",IF(AND(N($I733)&gt;0,N($J733)&gt;0),"收支不能同时填",IF(AND($D733&lt;&gt;"",LEFT($O733,1)="⚠"),"项目编号不存在",IF(AND($M733="是",$F733=""),"工程回款必须填往来单位","√")))))))</f>
        <v/>
      </c>
      <c r="O733" s="34" t="str">
        <f aca="false">IF($D733="","",IFERROR(INDEX(项目档案!$B$6:$B$255,MATCH($D733,项目档案!$A$6:$A$255,0)),"⚠编号不存在"))</f>
        <v/>
      </c>
      <c r="P733" s="35" t="str">
        <f aca="false">IF($B733="","",TEXT($B733,"yyyy-mm"))</f>
        <v/>
      </c>
    </row>
    <row r="734" customFormat="false" ht="15.75" hidden="false" customHeight="true" outlineLevel="0" collapsed="false">
      <c r="A734" s="32" t="str">
        <f aca="false">IF($B734="","",ROW()-4)</f>
        <v/>
      </c>
      <c r="B734" s="26"/>
      <c r="C734" s="21"/>
      <c r="D734" s="24"/>
      <c r="E734" s="21"/>
      <c r="F734" s="24"/>
      <c r="G734" s="21"/>
      <c r="H734" s="22"/>
      <c r="I734" s="27"/>
      <c r="J734" s="27"/>
      <c r="K734" s="36" t="str">
        <f aca="false">IF($B734="","",IF($C734="泓普",$C$2,IF($C734="仟茂",$E$2,IF($C734="现金",$G$2,0)))+SUMIFS($I$5:$I734,$C$5:$C734,$C734)-SUMIFS($J$5:$J734,$C$5:$C734,$C734))</f>
        <v/>
      </c>
      <c r="L734" s="36" t="str">
        <f aca="false">IF($B734="","",$C$2+$E$2+$G$2+SUM($I$5:$I734)-SUM($J$5:$J734))</f>
        <v/>
      </c>
      <c r="M734" s="24"/>
      <c r="N734" s="33" t="str">
        <f aca="false">IF($B734="","",IF(NOT(ISNUMBER($B734)),"日期格式不对",IF($C734="","未选资金账户",IF(AND(N($I734)=0,N($J734)=0),"收支都为空",IF(AND(N($I734)&gt;0,N($J734)&gt;0),"收支不能同时填",IF(AND($D734&lt;&gt;"",LEFT($O734,1)="⚠"),"项目编号不存在",IF(AND($M734="是",$F734=""),"工程回款必须填往来单位","√")))))))</f>
        <v/>
      </c>
      <c r="O734" s="34" t="str">
        <f aca="false">IF($D734="","",IFERROR(INDEX(项目档案!$B$6:$B$255,MATCH($D734,项目档案!$A$6:$A$255,0)),"⚠编号不存在"))</f>
        <v/>
      </c>
      <c r="P734" s="35" t="str">
        <f aca="false">IF($B734="","",TEXT($B734,"yyyy-mm"))</f>
        <v/>
      </c>
    </row>
    <row r="735" customFormat="false" ht="15.75" hidden="false" customHeight="true" outlineLevel="0" collapsed="false">
      <c r="A735" s="32" t="str">
        <f aca="false">IF($B735="","",ROW()-4)</f>
        <v/>
      </c>
      <c r="B735" s="26"/>
      <c r="C735" s="21"/>
      <c r="D735" s="24"/>
      <c r="E735" s="21"/>
      <c r="F735" s="24"/>
      <c r="G735" s="21"/>
      <c r="H735" s="22"/>
      <c r="I735" s="27"/>
      <c r="J735" s="27"/>
      <c r="K735" s="36" t="str">
        <f aca="false">IF($B735="","",IF($C735="泓普",$C$2,IF($C735="仟茂",$E$2,IF($C735="现金",$G$2,0)))+SUMIFS($I$5:$I735,$C$5:$C735,$C735)-SUMIFS($J$5:$J735,$C$5:$C735,$C735))</f>
        <v/>
      </c>
      <c r="L735" s="36" t="str">
        <f aca="false">IF($B735="","",$C$2+$E$2+$G$2+SUM($I$5:$I735)-SUM($J$5:$J735))</f>
        <v/>
      </c>
      <c r="M735" s="24"/>
      <c r="N735" s="33" t="str">
        <f aca="false">IF($B735="","",IF(NOT(ISNUMBER($B735)),"日期格式不对",IF($C735="","未选资金账户",IF(AND(N($I735)=0,N($J735)=0),"收支都为空",IF(AND(N($I735)&gt;0,N($J735)&gt;0),"收支不能同时填",IF(AND($D735&lt;&gt;"",LEFT($O735,1)="⚠"),"项目编号不存在",IF(AND($M735="是",$F735=""),"工程回款必须填往来单位","√")))))))</f>
        <v/>
      </c>
      <c r="O735" s="34" t="str">
        <f aca="false">IF($D735="","",IFERROR(INDEX(项目档案!$B$6:$B$255,MATCH($D735,项目档案!$A$6:$A$255,0)),"⚠编号不存在"))</f>
        <v/>
      </c>
      <c r="P735" s="35" t="str">
        <f aca="false">IF($B735="","",TEXT($B735,"yyyy-mm"))</f>
        <v/>
      </c>
    </row>
    <row r="736" customFormat="false" ht="15.75" hidden="false" customHeight="true" outlineLevel="0" collapsed="false">
      <c r="A736" s="32" t="str">
        <f aca="false">IF($B736="","",ROW()-4)</f>
        <v/>
      </c>
      <c r="B736" s="26"/>
      <c r="C736" s="21"/>
      <c r="D736" s="24"/>
      <c r="E736" s="21"/>
      <c r="F736" s="24"/>
      <c r="G736" s="21"/>
      <c r="H736" s="22"/>
      <c r="I736" s="27"/>
      <c r="J736" s="27"/>
      <c r="K736" s="36" t="str">
        <f aca="false">IF($B736="","",IF($C736="泓普",$C$2,IF($C736="仟茂",$E$2,IF($C736="现金",$G$2,0)))+SUMIFS($I$5:$I736,$C$5:$C736,$C736)-SUMIFS($J$5:$J736,$C$5:$C736,$C736))</f>
        <v/>
      </c>
      <c r="L736" s="36" t="str">
        <f aca="false">IF($B736="","",$C$2+$E$2+$G$2+SUM($I$5:$I736)-SUM($J$5:$J736))</f>
        <v/>
      </c>
      <c r="M736" s="24"/>
      <c r="N736" s="33" t="str">
        <f aca="false">IF($B736="","",IF(NOT(ISNUMBER($B736)),"日期格式不对",IF($C736="","未选资金账户",IF(AND(N($I736)=0,N($J736)=0),"收支都为空",IF(AND(N($I736)&gt;0,N($J736)&gt;0),"收支不能同时填",IF(AND($D736&lt;&gt;"",LEFT($O736,1)="⚠"),"项目编号不存在",IF(AND($M736="是",$F736=""),"工程回款必须填往来单位","√")))))))</f>
        <v/>
      </c>
      <c r="O736" s="34" t="str">
        <f aca="false">IF($D736="","",IFERROR(INDEX(项目档案!$B$6:$B$255,MATCH($D736,项目档案!$A$6:$A$255,0)),"⚠编号不存在"))</f>
        <v/>
      </c>
      <c r="P736" s="35" t="str">
        <f aca="false">IF($B736="","",TEXT($B736,"yyyy-mm"))</f>
        <v/>
      </c>
    </row>
    <row r="737" customFormat="false" ht="15.75" hidden="false" customHeight="true" outlineLevel="0" collapsed="false">
      <c r="A737" s="32" t="str">
        <f aca="false">IF($B737="","",ROW()-4)</f>
        <v/>
      </c>
      <c r="B737" s="26"/>
      <c r="C737" s="21"/>
      <c r="D737" s="24"/>
      <c r="E737" s="21"/>
      <c r="F737" s="24"/>
      <c r="G737" s="21"/>
      <c r="H737" s="22"/>
      <c r="I737" s="27"/>
      <c r="J737" s="27"/>
      <c r="K737" s="36" t="str">
        <f aca="false">IF($B737="","",IF($C737="泓普",$C$2,IF($C737="仟茂",$E$2,IF($C737="现金",$G$2,0)))+SUMIFS($I$5:$I737,$C$5:$C737,$C737)-SUMIFS($J$5:$J737,$C$5:$C737,$C737))</f>
        <v/>
      </c>
      <c r="L737" s="36" t="str">
        <f aca="false">IF($B737="","",$C$2+$E$2+$G$2+SUM($I$5:$I737)-SUM($J$5:$J737))</f>
        <v/>
      </c>
      <c r="M737" s="24"/>
      <c r="N737" s="33" t="str">
        <f aca="false">IF($B737="","",IF(NOT(ISNUMBER($B737)),"日期格式不对",IF($C737="","未选资金账户",IF(AND(N($I737)=0,N($J737)=0),"收支都为空",IF(AND(N($I737)&gt;0,N($J737)&gt;0),"收支不能同时填",IF(AND($D737&lt;&gt;"",LEFT($O737,1)="⚠"),"项目编号不存在",IF(AND($M737="是",$F737=""),"工程回款必须填往来单位","√")))))))</f>
        <v/>
      </c>
      <c r="O737" s="34" t="str">
        <f aca="false">IF($D737="","",IFERROR(INDEX(项目档案!$B$6:$B$255,MATCH($D737,项目档案!$A$6:$A$255,0)),"⚠编号不存在"))</f>
        <v/>
      </c>
      <c r="P737" s="35" t="str">
        <f aca="false">IF($B737="","",TEXT($B737,"yyyy-mm"))</f>
        <v/>
      </c>
    </row>
    <row r="738" customFormat="false" ht="15.75" hidden="false" customHeight="true" outlineLevel="0" collapsed="false">
      <c r="A738" s="32" t="str">
        <f aca="false">IF($B738="","",ROW()-4)</f>
        <v/>
      </c>
      <c r="B738" s="26"/>
      <c r="C738" s="21"/>
      <c r="D738" s="24"/>
      <c r="E738" s="21"/>
      <c r="F738" s="24"/>
      <c r="G738" s="21"/>
      <c r="H738" s="22"/>
      <c r="I738" s="27"/>
      <c r="J738" s="27"/>
      <c r="K738" s="36" t="str">
        <f aca="false">IF($B738="","",IF($C738="泓普",$C$2,IF($C738="仟茂",$E$2,IF($C738="现金",$G$2,0)))+SUMIFS($I$5:$I738,$C$5:$C738,$C738)-SUMIFS($J$5:$J738,$C$5:$C738,$C738))</f>
        <v/>
      </c>
      <c r="L738" s="36" t="str">
        <f aca="false">IF($B738="","",$C$2+$E$2+$G$2+SUM($I$5:$I738)-SUM($J$5:$J738))</f>
        <v/>
      </c>
      <c r="M738" s="24"/>
      <c r="N738" s="33" t="str">
        <f aca="false">IF($B738="","",IF(NOT(ISNUMBER($B738)),"日期格式不对",IF($C738="","未选资金账户",IF(AND(N($I738)=0,N($J738)=0),"收支都为空",IF(AND(N($I738)&gt;0,N($J738)&gt;0),"收支不能同时填",IF(AND($D738&lt;&gt;"",LEFT($O738,1)="⚠"),"项目编号不存在",IF(AND($M738="是",$F738=""),"工程回款必须填往来单位","√")))))))</f>
        <v/>
      </c>
      <c r="O738" s="34" t="str">
        <f aca="false">IF($D738="","",IFERROR(INDEX(项目档案!$B$6:$B$255,MATCH($D738,项目档案!$A$6:$A$255,0)),"⚠编号不存在"))</f>
        <v/>
      </c>
      <c r="P738" s="35" t="str">
        <f aca="false">IF($B738="","",TEXT($B738,"yyyy-mm"))</f>
        <v/>
      </c>
    </row>
    <row r="739" customFormat="false" ht="15.75" hidden="false" customHeight="true" outlineLevel="0" collapsed="false">
      <c r="A739" s="32" t="str">
        <f aca="false">IF($B739="","",ROW()-4)</f>
        <v/>
      </c>
      <c r="B739" s="26"/>
      <c r="C739" s="21"/>
      <c r="D739" s="24"/>
      <c r="E739" s="21"/>
      <c r="F739" s="24"/>
      <c r="G739" s="21"/>
      <c r="H739" s="22"/>
      <c r="I739" s="27"/>
      <c r="J739" s="27"/>
      <c r="K739" s="36" t="str">
        <f aca="false">IF($B739="","",IF($C739="泓普",$C$2,IF($C739="仟茂",$E$2,IF($C739="现金",$G$2,0)))+SUMIFS($I$5:$I739,$C$5:$C739,$C739)-SUMIFS($J$5:$J739,$C$5:$C739,$C739))</f>
        <v/>
      </c>
      <c r="L739" s="36" t="str">
        <f aca="false">IF($B739="","",$C$2+$E$2+$G$2+SUM($I$5:$I739)-SUM($J$5:$J739))</f>
        <v/>
      </c>
      <c r="M739" s="24"/>
      <c r="N739" s="33" t="str">
        <f aca="false">IF($B739="","",IF(NOT(ISNUMBER($B739)),"日期格式不对",IF($C739="","未选资金账户",IF(AND(N($I739)=0,N($J739)=0),"收支都为空",IF(AND(N($I739)&gt;0,N($J739)&gt;0),"收支不能同时填",IF(AND($D739&lt;&gt;"",LEFT($O739,1)="⚠"),"项目编号不存在",IF(AND($M739="是",$F739=""),"工程回款必须填往来单位","√")))))))</f>
        <v/>
      </c>
      <c r="O739" s="34" t="str">
        <f aca="false">IF($D739="","",IFERROR(INDEX(项目档案!$B$6:$B$255,MATCH($D739,项目档案!$A$6:$A$255,0)),"⚠编号不存在"))</f>
        <v/>
      </c>
      <c r="P739" s="35" t="str">
        <f aca="false">IF($B739="","",TEXT($B739,"yyyy-mm"))</f>
        <v/>
      </c>
    </row>
    <row r="740" customFormat="false" ht="15.75" hidden="false" customHeight="true" outlineLevel="0" collapsed="false">
      <c r="A740" s="32" t="str">
        <f aca="false">IF($B740="","",ROW()-4)</f>
        <v/>
      </c>
      <c r="B740" s="26"/>
      <c r="C740" s="21"/>
      <c r="D740" s="24"/>
      <c r="E740" s="21"/>
      <c r="F740" s="24"/>
      <c r="G740" s="21"/>
      <c r="H740" s="22"/>
      <c r="I740" s="27"/>
      <c r="J740" s="27"/>
      <c r="K740" s="36" t="str">
        <f aca="false">IF($B740="","",IF($C740="泓普",$C$2,IF($C740="仟茂",$E$2,IF($C740="现金",$G$2,0)))+SUMIFS($I$5:$I740,$C$5:$C740,$C740)-SUMIFS($J$5:$J740,$C$5:$C740,$C740))</f>
        <v/>
      </c>
      <c r="L740" s="36" t="str">
        <f aca="false">IF($B740="","",$C$2+$E$2+$G$2+SUM($I$5:$I740)-SUM($J$5:$J740))</f>
        <v/>
      </c>
      <c r="M740" s="24"/>
      <c r="N740" s="33" t="str">
        <f aca="false">IF($B740="","",IF(NOT(ISNUMBER($B740)),"日期格式不对",IF($C740="","未选资金账户",IF(AND(N($I740)=0,N($J740)=0),"收支都为空",IF(AND(N($I740)&gt;0,N($J740)&gt;0),"收支不能同时填",IF(AND($D740&lt;&gt;"",LEFT($O740,1)="⚠"),"项目编号不存在",IF(AND($M740="是",$F740=""),"工程回款必须填往来单位","√")))))))</f>
        <v/>
      </c>
      <c r="O740" s="34" t="str">
        <f aca="false">IF($D740="","",IFERROR(INDEX(项目档案!$B$6:$B$255,MATCH($D740,项目档案!$A$6:$A$255,0)),"⚠编号不存在"))</f>
        <v/>
      </c>
      <c r="P740" s="35" t="str">
        <f aca="false">IF($B740="","",TEXT($B740,"yyyy-mm"))</f>
        <v/>
      </c>
    </row>
    <row r="741" customFormat="false" ht="15.75" hidden="false" customHeight="true" outlineLevel="0" collapsed="false">
      <c r="A741" s="32" t="str">
        <f aca="false">IF($B741="","",ROW()-4)</f>
        <v/>
      </c>
      <c r="B741" s="26"/>
      <c r="C741" s="21"/>
      <c r="D741" s="24"/>
      <c r="E741" s="21"/>
      <c r="F741" s="24"/>
      <c r="G741" s="21"/>
      <c r="H741" s="22"/>
      <c r="I741" s="27"/>
      <c r="J741" s="27"/>
      <c r="K741" s="36" t="str">
        <f aca="false">IF($B741="","",IF($C741="泓普",$C$2,IF($C741="仟茂",$E$2,IF($C741="现金",$G$2,0)))+SUMIFS($I$5:$I741,$C$5:$C741,$C741)-SUMIFS($J$5:$J741,$C$5:$C741,$C741))</f>
        <v/>
      </c>
      <c r="L741" s="36" t="str">
        <f aca="false">IF($B741="","",$C$2+$E$2+$G$2+SUM($I$5:$I741)-SUM($J$5:$J741))</f>
        <v/>
      </c>
      <c r="M741" s="24"/>
      <c r="N741" s="33" t="str">
        <f aca="false">IF($B741="","",IF(NOT(ISNUMBER($B741)),"日期格式不对",IF($C741="","未选资金账户",IF(AND(N($I741)=0,N($J741)=0),"收支都为空",IF(AND(N($I741)&gt;0,N($J741)&gt;0),"收支不能同时填",IF(AND($D741&lt;&gt;"",LEFT($O741,1)="⚠"),"项目编号不存在",IF(AND($M741="是",$F741=""),"工程回款必须填往来单位","√")))))))</f>
        <v/>
      </c>
      <c r="O741" s="34" t="str">
        <f aca="false">IF($D741="","",IFERROR(INDEX(项目档案!$B$6:$B$255,MATCH($D741,项目档案!$A$6:$A$255,0)),"⚠编号不存在"))</f>
        <v/>
      </c>
      <c r="P741" s="35" t="str">
        <f aca="false">IF($B741="","",TEXT($B741,"yyyy-mm"))</f>
        <v/>
      </c>
    </row>
    <row r="742" customFormat="false" ht="15.75" hidden="false" customHeight="true" outlineLevel="0" collapsed="false">
      <c r="A742" s="32" t="str">
        <f aca="false">IF($B742="","",ROW()-4)</f>
        <v/>
      </c>
      <c r="B742" s="26"/>
      <c r="C742" s="21"/>
      <c r="D742" s="24"/>
      <c r="E742" s="21"/>
      <c r="F742" s="24"/>
      <c r="G742" s="21"/>
      <c r="H742" s="22"/>
      <c r="I742" s="27"/>
      <c r="J742" s="27"/>
      <c r="K742" s="36" t="str">
        <f aca="false">IF($B742="","",IF($C742="泓普",$C$2,IF($C742="仟茂",$E$2,IF($C742="现金",$G$2,0)))+SUMIFS($I$5:$I742,$C$5:$C742,$C742)-SUMIFS($J$5:$J742,$C$5:$C742,$C742))</f>
        <v/>
      </c>
      <c r="L742" s="36" t="str">
        <f aca="false">IF($B742="","",$C$2+$E$2+$G$2+SUM($I$5:$I742)-SUM($J$5:$J742))</f>
        <v/>
      </c>
      <c r="M742" s="24"/>
      <c r="N742" s="33" t="str">
        <f aca="false">IF($B742="","",IF(NOT(ISNUMBER($B742)),"日期格式不对",IF($C742="","未选资金账户",IF(AND(N($I742)=0,N($J742)=0),"收支都为空",IF(AND(N($I742)&gt;0,N($J742)&gt;0),"收支不能同时填",IF(AND($D742&lt;&gt;"",LEFT($O742,1)="⚠"),"项目编号不存在",IF(AND($M742="是",$F742=""),"工程回款必须填往来单位","√")))))))</f>
        <v/>
      </c>
      <c r="O742" s="34" t="str">
        <f aca="false">IF($D742="","",IFERROR(INDEX(项目档案!$B$6:$B$255,MATCH($D742,项目档案!$A$6:$A$255,0)),"⚠编号不存在"))</f>
        <v/>
      </c>
      <c r="P742" s="35" t="str">
        <f aca="false">IF($B742="","",TEXT($B742,"yyyy-mm"))</f>
        <v/>
      </c>
    </row>
    <row r="743" customFormat="false" ht="15.75" hidden="false" customHeight="true" outlineLevel="0" collapsed="false">
      <c r="A743" s="32" t="str">
        <f aca="false">IF($B743="","",ROW()-4)</f>
        <v/>
      </c>
      <c r="B743" s="26"/>
      <c r="C743" s="21"/>
      <c r="D743" s="24"/>
      <c r="E743" s="21"/>
      <c r="F743" s="24"/>
      <c r="G743" s="21"/>
      <c r="H743" s="22"/>
      <c r="I743" s="27"/>
      <c r="J743" s="27"/>
      <c r="K743" s="36" t="str">
        <f aca="false">IF($B743="","",IF($C743="泓普",$C$2,IF($C743="仟茂",$E$2,IF($C743="现金",$G$2,0)))+SUMIFS($I$5:$I743,$C$5:$C743,$C743)-SUMIFS($J$5:$J743,$C$5:$C743,$C743))</f>
        <v/>
      </c>
      <c r="L743" s="36" t="str">
        <f aca="false">IF($B743="","",$C$2+$E$2+$G$2+SUM($I$5:$I743)-SUM($J$5:$J743))</f>
        <v/>
      </c>
      <c r="M743" s="24"/>
      <c r="N743" s="33" t="str">
        <f aca="false">IF($B743="","",IF(NOT(ISNUMBER($B743)),"日期格式不对",IF($C743="","未选资金账户",IF(AND(N($I743)=0,N($J743)=0),"收支都为空",IF(AND(N($I743)&gt;0,N($J743)&gt;0),"收支不能同时填",IF(AND($D743&lt;&gt;"",LEFT($O743,1)="⚠"),"项目编号不存在",IF(AND($M743="是",$F743=""),"工程回款必须填往来单位","√")))))))</f>
        <v/>
      </c>
      <c r="O743" s="34" t="str">
        <f aca="false">IF($D743="","",IFERROR(INDEX(项目档案!$B$6:$B$255,MATCH($D743,项目档案!$A$6:$A$255,0)),"⚠编号不存在"))</f>
        <v/>
      </c>
      <c r="P743" s="35" t="str">
        <f aca="false">IF($B743="","",TEXT($B743,"yyyy-mm"))</f>
        <v/>
      </c>
    </row>
    <row r="744" customFormat="false" ht="15.75" hidden="false" customHeight="true" outlineLevel="0" collapsed="false">
      <c r="A744" s="32" t="str">
        <f aca="false">IF($B744="","",ROW()-4)</f>
        <v/>
      </c>
      <c r="B744" s="26"/>
      <c r="C744" s="21"/>
      <c r="D744" s="24"/>
      <c r="E744" s="21"/>
      <c r="F744" s="24"/>
      <c r="G744" s="21"/>
      <c r="H744" s="22"/>
      <c r="I744" s="27"/>
      <c r="J744" s="27"/>
      <c r="K744" s="36" t="str">
        <f aca="false">IF($B744="","",IF($C744="泓普",$C$2,IF($C744="仟茂",$E$2,IF($C744="现金",$G$2,0)))+SUMIFS($I$5:$I744,$C$5:$C744,$C744)-SUMIFS($J$5:$J744,$C$5:$C744,$C744))</f>
        <v/>
      </c>
      <c r="L744" s="36" t="str">
        <f aca="false">IF($B744="","",$C$2+$E$2+$G$2+SUM($I$5:$I744)-SUM($J$5:$J744))</f>
        <v/>
      </c>
      <c r="M744" s="24"/>
      <c r="N744" s="33" t="str">
        <f aca="false">IF($B744="","",IF(NOT(ISNUMBER($B744)),"日期格式不对",IF($C744="","未选资金账户",IF(AND(N($I744)=0,N($J744)=0),"收支都为空",IF(AND(N($I744)&gt;0,N($J744)&gt;0),"收支不能同时填",IF(AND($D744&lt;&gt;"",LEFT($O744,1)="⚠"),"项目编号不存在",IF(AND($M744="是",$F744=""),"工程回款必须填往来单位","√")))))))</f>
        <v/>
      </c>
      <c r="O744" s="34" t="str">
        <f aca="false">IF($D744="","",IFERROR(INDEX(项目档案!$B$6:$B$255,MATCH($D744,项目档案!$A$6:$A$255,0)),"⚠编号不存在"))</f>
        <v/>
      </c>
      <c r="P744" s="35" t="str">
        <f aca="false">IF($B744="","",TEXT($B744,"yyyy-mm"))</f>
        <v/>
      </c>
    </row>
    <row r="745" customFormat="false" ht="15.75" hidden="false" customHeight="true" outlineLevel="0" collapsed="false">
      <c r="A745" s="32" t="str">
        <f aca="false">IF($B745="","",ROW()-4)</f>
        <v/>
      </c>
      <c r="B745" s="26"/>
      <c r="C745" s="21"/>
      <c r="D745" s="24"/>
      <c r="E745" s="21"/>
      <c r="F745" s="24"/>
      <c r="G745" s="21"/>
      <c r="H745" s="22"/>
      <c r="I745" s="27"/>
      <c r="J745" s="27"/>
      <c r="K745" s="36" t="str">
        <f aca="false">IF($B745="","",IF($C745="泓普",$C$2,IF($C745="仟茂",$E$2,IF($C745="现金",$G$2,0)))+SUMIFS($I$5:$I745,$C$5:$C745,$C745)-SUMIFS($J$5:$J745,$C$5:$C745,$C745))</f>
        <v/>
      </c>
      <c r="L745" s="36" t="str">
        <f aca="false">IF($B745="","",$C$2+$E$2+$G$2+SUM($I$5:$I745)-SUM($J$5:$J745))</f>
        <v/>
      </c>
      <c r="M745" s="24"/>
      <c r="N745" s="33" t="str">
        <f aca="false">IF($B745="","",IF(NOT(ISNUMBER($B745)),"日期格式不对",IF($C745="","未选资金账户",IF(AND(N($I745)=0,N($J745)=0),"收支都为空",IF(AND(N($I745)&gt;0,N($J745)&gt;0),"收支不能同时填",IF(AND($D745&lt;&gt;"",LEFT($O745,1)="⚠"),"项目编号不存在",IF(AND($M745="是",$F745=""),"工程回款必须填往来单位","√")))))))</f>
        <v/>
      </c>
      <c r="O745" s="34" t="str">
        <f aca="false">IF($D745="","",IFERROR(INDEX(项目档案!$B$6:$B$255,MATCH($D745,项目档案!$A$6:$A$255,0)),"⚠编号不存在"))</f>
        <v/>
      </c>
      <c r="P745" s="35" t="str">
        <f aca="false">IF($B745="","",TEXT($B745,"yyyy-mm"))</f>
        <v/>
      </c>
    </row>
    <row r="746" customFormat="false" ht="15.75" hidden="false" customHeight="true" outlineLevel="0" collapsed="false">
      <c r="A746" s="32" t="str">
        <f aca="false">IF($B746="","",ROW()-4)</f>
        <v/>
      </c>
      <c r="B746" s="26"/>
      <c r="C746" s="21"/>
      <c r="D746" s="24"/>
      <c r="E746" s="21"/>
      <c r="F746" s="24"/>
      <c r="G746" s="21"/>
      <c r="H746" s="22"/>
      <c r="I746" s="27"/>
      <c r="J746" s="27"/>
      <c r="K746" s="36" t="str">
        <f aca="false">IF($B746="","",IF($C746="泓普",$C$2,IF($C746="仟茂",$E$2,IF($C746="现金",$G$2,0)))+SUMIFS($I$5:$I746,$C$5:$C746,$C746)-SUMIFS($J$5:$J746,$C$5:$C746,$C746))</f>
        <v/>
      </c>
      <c r="L746" s="36" t="str">
        <f aca="false">IF($B746="","",$C$2+$E$2+$G$2+SUM($I$5:$I746)-SUM($J$5:$J746))</f>
        <v/>
      </c>
      <c r="M746" s="24"/>
      <c r="N746" s="33" t="str">
        <f aca="false">IF($B746="","",IF(NOT(ISNUMBER($B746)),"日期格式不对",IF($C746="","未选资金账户",IF(AND(N($I746)=0,N($J746)=0),"收支都为空",IF(AND(N($I746)&gt;0,N($J746)&gt;0),"收支不能同时填",IF(AND($D746&lt;&gt;"",LEFT($O746,1)="⚠"),"项目编号不存在",IF(AND($M746="是",$F746=""),"工程回款必须填往来单位","√")))))))</f>
        <v/>
      </c>
      <c r="O746" s="34" t="str">
        <f aca="false">IF($D746="","",IFERROR(INDEX(项目档案!$B$6:$B$255,MATCH($D746,项目档案!$A$6:$A$255,0)),"⚠编号不存在"))</f>
        <v/>
      </c>
      <c r="P746" s="35" t="str">
        <f aca="false">IF($B746="","",TEXT($B746,"yyyy-mm"))</f>
        <v/>
      </c>
    </row>
    <row r="747" customFormat="false" ht="15.75" hidden="false" customHeight="true" outlineLevel="0" collapsed="false">
      <c r="A747" s="32" t="str">
        <f aca="false">IF($B747="","",ROW()-4)</f>
        <v/>
      </c>
      <c r="B747" s="26"/>
      <c r="C747" s="21"/>
      <c r="D747" s="24"/>
      <c r="E747" s="21"/>
      <c r="F747" s="24"/>
      <c r="G747" s="21"/>
      <c r="H747" s="22"/>
      <c r="I747" s="27"/>
      <c r="J747" s="27"/>
      <c r="K747" s="36" t="str">
        <f aca="false">IF($B747="","",IF($C747="泓普",$C$2,IF($C747="仟茂",$E$2,IF($C747="现金",$G$2,0)))+SUMIFS($I$5:$I747,$C$5:$C747,$C747)-SUMIFS($J$5:$J747,$C$5:$C747,$C747))</f>
        <v/>
      </c>
      <c r="L747" s="36" t="str">
        <f aca="false">IF($B747="","",$C$2+$E$2+$G$2+SUM($I$5:$I747)-SUM($J$5:$J747))</f>
        <v/>
      </c>
      <c r="M747" s="24"/>
      <c r="N747" s="33" t="str">
        <f aca="false">IF($B747="","",IF(NOT(ISNUMBER($B747)),"日期格式不对",IF($C747="","未选资金账户",IF(AND(N($I747)=0,N($J747)=0),"收支都为空",IF(AND(N($I747)&gt;0,N($J747)&gt;0),"收支不能同时填",IF(AND($D747&lt;&gt;"",LEFT($O747,1)="⚠"),"项目编号不存在",IF(AND($M747="是",$F747=""),"工程回款必须填往来单位","√")))))))</f>
        <v/>
      </c>
      <c r="O747" s="34" t="str">
        <f aca="false">IF($D747="","",IFERROR(INDEX(项目档案!$B$6:$B$255,MATCH($D747,项目档案!$A$6:$A$255,0)),"⚠编号不存在"))</f>
        <v/>
      </c>
      <c r="P747" s="35" t="str">
        <f aca="false">IF($B747="","",TEXT($B747,"yyyy-mm"))</f>
        <v/>
      </c>
    </row>
    <row r="748" customFormat="false" ht="15.75" hidden="false" customHeight="true" outlineLevel="0" collapsed="false">
      <c r="A748" s="32" t="str">
        <f aca="false">IF($B748="","",ROW()-4)</f>
        <v/>
      </c>
      <c r="B748" s="26"/>
      <c r="C748" s="21"/>
      <c r="D748" s="24"/>
      <c r="E748" s="21"/>
      <c r="F748" s="24"/>
      <c r="G748" s="21"/>
      <c r="H748" s="22"/>
      <c r="I748" s="27"/>
      <c r="J748" s="27"/>
      <c r="K748" s="36" t="str">
        <f aca="false">IF($B748="","",IF($C748="泓普",$C$2,IF($C748="仟茂",$E$2,IF($C748="现金",$G$2,0)))+SUMIFS($I$5:$I748,$C$5:$C748,$C748)-SUMIFS($J$5:$J748,$C$5:$C748,$C748))</f>
        <v/>
      </c>
      <c r="L748" s="36" t="str">
        <f aca="false">IF($B748="","",$C$2+$E$2+$G$2+SUM($I$5:$I748)-SUM($J$5:$J748))</f>
        <v/>
      </c>
      <c r="M748" s="24"/>
      <c r="N748" s="33" t="str">
        <f aca="false">IF($B748="","",IF(NOT(ISNUMBER($B748)),"日期格式不对",IF($C748="","未选资金账户",IF(AND(N($I748)=0,N($J748)=0),"收支都为空",IF(AND(N($I748)&gt;0,N($J748)&gt;0),"收支不能同时填",IF(AND($D748&lt;&gt;"",LEFT($O748,1)="⚠"),"项目编号不存在",IF(AND($M748="是",$F748=""),"工程回款必须填往来单位","√")))))))</f>
        <v/>
      </c>
      <c r="O748" s="34" t="str">
        <f aca="false">IF($D748="","",IFERROR(INDEX(项目档案!$B$6:$B$255,MATCH($D748,项目档案!$A$6:$A$255,0)),"⚠编号不存在"))</f>
        <v/>
      </c>
      <c r="P748" s="35" t="str">
        <f aca="false">IF($B748="","",TEXT($B748,"yyyy-mm"))</f>
        <v/>
      </c>
    </row>
    <row r="749" customFormat="false" ht="15.75" hidden="false" customHeight="true" outlineLevel="0" collapsed="false">
      <c r="A749" s="32" t="str">
        <f aca="false">IF($B749="","",ROW()-4)</f>
        <v/>
      </c>
      <c r="B749" s="26"/>
      <c r="C749" s="21"/>
      <c r="D749" s="24"/>
      <c r="E749" s="21"/>
      <c r="F749" s="24"/>
      <c r="G749" s="21"/>
      <c r="H749" s="22"/>
      <c r="I749" s="27"/>
      <c r="J749" s="27"/>
      <c r="K749" s="36" t="str">
        <f aca="false">IF($B749="","",IF($C749="泓普",$C$2,IF($C749="仟茂",$E$2,IF($C749="现金",$G$2,0)))+SUMIFS($I$5:$I749,$C$5:$C749,$C749)-SUMIFS($J$5:$J749,$C$5:$C749,$C749))</f>
        <v/>
      </c>
      <c r="L749" s="36" t="str">
        <f aca="false">IF($B749="","",$C$2+$E$2+$G$2+SUM($I$5:$I749)-SUM($J$5:$J749))</f>
        <v/>
      </c>
      <c r="M749" s="24"/>
      <c r="N749" s="33" t="str">
        <f aca="false">IF($B749="","",IF(NOT(ISNUMBER($B749)),"日期格式不对",IF($C749="","未选资金账户",IF(AND(N($I749)=0,N($J749)=0),"收支都为空",IF(AND(N($I749)&gt;0,N($J749)&gt;0),"收支不能同时填",IF(AND($D749&lt;&gt;"",LEFT($O749,1)="⚠"),"项目编号不存在",IF(AND($M749="是",$F749=""),"工程回款必须填往来单位","√")))))))</f>
        <v/>
      </c>
      <c r="O749" s="34" t="str">
        <f aca="false">IF($D749="","",IFERROR(INDEX(项目档案!$B$6:$B$255,MATCH($D749,项目档案!$A$6:$A$255,0)),"⚠编号不存在"))</f>
        <v/>
      </c>
      <c r="P749" s="35" t="str">
        <f aca="false">IF($B749="","",TEXT($B749,"yyyy-mm"))</f>
        <v/>
      </c>
    </row>
    <row r="750" customFormat="false" ht="15.75" hidden="false" customHeight="true" outlineLevel="0" collapsed="false">
      <c r="A750" s="32" t="str">
        <f aca="false">IF($B750="","",ROW()-4)</f>
        <v/>
      </c>
      <c r="B750" s="26"/>
      <c r="C750" s="21"/>
      <c r="D750" s="24"/>
      <c r="E750" s="21"/>
      <c r="F750" s="24"/>
      <c r="G750" s="21"/>
      <c r="H750" s="22"/>
      <c r="I750" s="27"/>
      <c r="J750" s="27"/>
      <c r="K750" s="36" t="str">
        <f aca="false">IF($B750="","",IF($C750="泓普",$C$2,IF($C750="仟茂",$E$2,IF($C750="现金",$G$2,0)))+SUMIFS($I$5:$I750,$C$5:$C750,$C750)-SUMIFS($J$5:$J750,$C$5:$C750,$C750))</f>
        <v/>
      </c>
      <c r="L750" s="36" t="str">
        <f aca="false">IF($B750="","",$C$2+$E$2+$G$2+SUM($I$5:$I750)-SUM($J$5:$J750))</f>
        <v/>
      </c>
      <c r="M750" s="24"/>
      <c r="N750" s="33" t="str">
        <f aca="false">IF($B750="","",IF(NOT(ISNUMBER($B750)),"日期格式不对",IF($C750="","未选资金账户",IF(AND(N($I750)=0,N($J750)=0),"收支都为空",IF(AND(N($I750)&gt;0,N($J750)&gt;0),"收支不能同时填",IF(AND($D750&lt;&gt;"",LEFT($O750,1)="⚠"),"项目编号不存在",IF(AND($M750="是",$F750=""),"工程回款必须填往来单位","√")))))))</f>
        <v/>
      </c>
      <c r="O750" s="34" t="str">
        <f aca="false">IF($D750="","",IFERROR(INDEX(项目档案!$B$6:$B$255,MATCH($D750,项目档案!$A$6:$A$255,0)),"⚠编号不存在"))</f>
        <v/>
      </c>
      <c r="P750" s="35" t="str">
        <f aca="false">IF($B750="","",TEXT($B750,"yyyy-mm"))</f>
        <v/>
      </c>
    </row>
    <row r="751" customFormat="false" ht="15.75" hidden="false" customHeight="true" outlineLevel="0" collapsed="false">
      <c r="A751" s="32" t="str">
        <f aca="false">IF($B751="","",ROW()-4)</f>
        <v/>
      </c>
      <c r="B751" s="26"/>
      <c r="C751" s="21"/>
      <c r="D751" s="24"/>
      <c r="E751" s="21"/>
      <c r="F751" s="24"/>
      <c r="G751" s="21"/>
      <c r="H751" s="22"/>
      <c r="I751" s="27"/>
      <c r="J751" s="27"/>
      <c r="K751" s="36" t="str">
        <f aca="false">IF($B751="","",IF($C751="泓普",$C$2,IF($C751="仟茂",$E$2,IF($C751="现金",$G$2,0)))+SUMIFS($I$5:$I751,$C$5:$C751,$C751)-SUMIFS($J$5:$J751,$C$5:$C751,$C751))</f>
        <v/>
      </c>
      <c r="L751" s="36" t="str">
        <f aca="false">IF($B751="","",$C$2+$E$2+$G$2+SUM($I$5:$I751)-SUM($J$5:$J751))</f>
        <v/>
      </c>
      <c r="M751" s="24"/>
      <c r="N751" s="33" t="str">
        <f aca="false">IF($B751="","",IF(NOT(ISNUMBER($B751)),"日期格式不对",IF($C751="","未选资金账户",IF(AND(N($I751)=0,N($J751)=0),"收支都为空",IF(AND(N($I751)&gt;0,N($J751)&gt;0),"收支不能同时填",IF(AND($D751&lt;&gt;"",LEFT($O751,1)="⚠"),"项目编号不存在",IF(AND($M751="是",$F751=""),"工程回款必须填往来单位","√")))))))</f>
        <v/>
      </c>
      <c r="O751" s="34" t="str">
        <f aca="false">IF($D751="","",IFERROR(INDEX(项目档案!$B$6:$B$255,MATCH($D751,项目档案!$A$6:$A$255,0)),"⚠编号不存在"))</f>
        <v/>
      </c>
      <c r="P751" s="35" t="str">
        <f aca="false">IF($B751="","",TEXT($B751,"yyyy-mm"))</f>
        <v/>
      </c>
    </row>
    <row r="752" customFormat="false" ht="15.75" hidden="false" customHeight="true" outlineLevel="0" collapsed="false">
      <c r="A752" s="32" t="str">
        <f aca="false">IF($B752="","",ROW()-4)</f>
        <v/>
      </c>
      <c r="B752" s="26"/>
      <c r="C752" s="21"/>
      <c r="D752" s="24"/>
      <c r="E752" s="21"/>
      <c r="F752" s="24"/>
      <c r="G752" s="21"/>
      <c r="H752" s="22"/>
      <c r="I752" s="27"/>
      <c r="J752" s="27"/>
      <c r="K752" s="36" t="str">
        <f aca="false">IF($B752="","",IF($C752="泓普",$C$2,IF($C752="仟茂",$E$2,IF($C752="现金",$G$2,0)))+SUMIFS($I$5:$I752,$C$5:$C752,$C752)-SUMIFS($J$5:$J752,$C$5:$C752,$C752))</f>
        <v/>
      </c>
      <c r="L752" s="36" t="str">
        <f aca="false">IF($B752="","",$C$2+$E$2+$G$2+SUM($I$5:$I752)-SUM($J$5:$J752))</f>
        <v/>
      </c>
      <c r="M752" s="24"/>
      <c r="N752" s="33" t="str">
        <f aca="false">IF($B752="","",IF(NOT(ISNUMBER($B752)),"日期格式不对",IF($C752="","未选资金账户",IF(AND(N($I752)=0,N($J752)=0),"收支都为空",IF(AND(N($I752)&gt;0,N($J752)&gt;0),"收支不能同时填",IF(AND($D752&lt;&gt;"",LEFT($O752,1)="⚠"),"项目编号不存在",IF(AND($M752="是",$F752=""),"工程回款必须填往来单位","√")))))))</f>
        <v/>
      </c>
      <c r="O752" s="34" t="str">
        <f aca="false">IF($D752="","",IFERROR(INDEX(项目档案!$B$6:$B$255,MATCH($D752,项目档案!$A$6:$A$255,0)),"⚠编号不存在"))</f>
        <v/>
      </c>
      <c r="P752" s="35" t="str">
        <f aca="false">IF($B752="","",TEXT($B752,"yyyy-mm"))</f>
        <v/>
      </c>
    </row>
    <row r="753" customFormat="false" ht="15.75" hidden="false" customHeight="true" outlineLevel="0" collapsed="false">
      <c r="A753" s="32" t="str">
        <f aca="false">IF($B753="","",ROW()-4)</f>
        <v/>
      </c>
      <c r="B753" s="26"/>
      <c r="C753" s="21"/>
      <c r="D753" s="24"/>
      <c r="E753" s="21"/>
      <c r="F753" s="24"/>
      <c r="G753" s="21"/>
      <c r="H753" s="22"/>
      <c r="I753" s="27"/>
      <c r="J753" s="27"/>
      <c r="K753" s="36" t="str">
        <f aca="false">IF($B753="","",IF($C753="泓普",$C$2,IF($C753="仟茂",$E$2,IF($C753="现金",$G$2,0)))+SUMIFS($I$5:$I753,$C$5:$C753,$C753)-SUMIFS($J$5:$J753,$C$5:$C753,$C753))</f>
        <v/>
      </c>
      <c r="L753" s="36" t="str">
        <f aca="false">IF($B753="","",$C$2+$E$2+$G$2+SUM($I$5:$I753)-SUM($J$5:$J753))</f>
        <v/>
      </c>
      <c r="M753" s="24"/>
      <c r="N753" s="33" t="str">
        <f aca="false">IF($B753="","",IF(NOT(ISNUMBER($B753)),"日期格式不对",IF($C753="","未选资金账户",IF(AND(N($I753)=0,N($J753)=0),"收支都为空",IF(AND(N($I753)&gt;0,N($J753)&gt;0),"收支不能同时填",IF(AND($D753&lt;&gt;"",LEFT($O753,1)="⚠"),"项目编号不存在",IF(AND($M753="是",$F753=""),"工程回款必须填往来单位","√")))))))</f>
        <v/>
      </c>
      <c r="O753" s="34" t="str">
        <f aca="false">IF($D753="","",IFERROR(INDEX(项目档案!$B$6:$B$255,MATCH($D753,项目档案!$A$6:$A$255,0)),"⚠编号不存在"))</f>
        <v/>
      </c>
      <c r="P753" s="35" t="str">
        <f aca="false">IF($B753="","",TEXT($B753,"yyyy-mm"))</f>
        <v/>
      </c>
    </row>
    <row r="754" customFormat="false" ht="15.75" hidden="false" customHeight="true" outlineLevel="0" collapsed="false">
      <c r="A754" s="32" t="str">
        <f aca="false">IF($B754="","",ROW()-4)</f>
        <v/>
      </c>
      <c r="B754" s="26"/>
      <c r="C754" s="21"/>
      <c r="D754" s="24"/>
      <c r="E754" s="21"/>
      <c r="F754" s="24"/>
      <c r="G754" s="21"/>
      <c r="H754" s="22"/>
      <c r="I754" s="27"/>
      <c r="J754" s="27"/>
      <c r="K754" s="36" t="str">
        <f aca="false">IF($B754="","",IF($C754="泓普",$C$2,IF($C754="仟茂",$E$2,IF($C754="现金",$G$2,0)))+SUMIFS($I$5:$I754,$C$5:$C754,$C754)-SUMIFS($J$5:$J754,$C$5:$C754,$C754))</f>
        <v/>
      </c>
      <c r="L754" s="36" t="str">
        <f aca="false">IF($B754="","",$C$2+$E$2+$G$2+SUM($I$5:$I754)-SUM($J$5:$J754))</f>
        <v/>
      </c>
      <c r="M754" s="24"/>
      <c r="N754" s="33" t="str">
        <f aca="false">IF($B754="","",IF(NOT(ISNUMBER($B754)),"日期格式不对",IF($C754="","未选资金账户",IF(AND(N($I754)=0,N($J754)=0),"收支都为空",IF(AND(N($I754)&gt;0,N($J754)&gt;0),"收支不能同时填",IF(AND($D754&lt;&gt;"",LEFT($O754,1)="⚠"),"项目编号不存在",IF(AND($M754="是",$F754=""),"工程回款必须填往来单位","√")))))))</f>
        <v/>
      </c>
      <c r="O754" s="34" t="str">
        <f aca="false">IF($D754="","",IFERROR(INDEX(项目档案!$B$6:$B$255,MATCH($D754,项目档案!$A$6:$A$255,0)),"⚠编号不存在"))</f>
        <v/>
      </c>
      <c r="P754" s="35" t="str">
        <f aca="false">IF($B754="","",TEXT($B754,"yyyy-mm"))</f>
        <v/>
      </c>
    </row>
    <row r="755" customFormat="false" ht="15.75" hidden="false" customHeight="true" outlineLevel="0" collapsed="false">
      <c r="A755" s="32" t="str">
        <f aca="false">IF($B755="","",ROW()-4)</f>
        <v/>
      </c>
      <c r="B755" s="26"/>
      <c r="C755" s="21"/>
      <c r="D755" s="24"/>
      <c r="E755" s="21"/>
      <c r="F755" s="24"/>
      <c r="G755" s="21"/>
      <c r="H755" s="22"/>
      <c r="I755" s="27"/>
      <c r="J755" s="27"/>
      <c r="K755" s="36" t="str">
        <f aca="false">IF($B755="","",IF($C755="泓普",$C$2,IF($C755="仟茂",$E$2,IF($C755="现金",$G$2,0)))+SUMIFS($I$5:$I755,$C$5:$C755,$C755)-SUMIFS($J$5:$J755,$C$5:$C755,$C755))</f>
        <v/>
      </c>
      <c r="L755" s="36" t="str">
        <f aca="false">IF($B755="","",$C$2+$E$2+$G$2+SUM($I$5:$I755)-SUM($J$5:$J755))</f>
        <v/>
      </c>
      <c r="M755" s="24"/>
      <c r="N755" s="33" t="str">
        <f aca="false">IF($B755="","",IF(NOT(ISNUMBER($B755)),"日期格式不对",IF($C755="","未选资金账户",IF(AND(N($I755)=0,N($J755)=0),"收支都为空",IF(AND(N($I755)&gt;0,N($J755)&gt;0),"收支不能同时填",IF(AND($D755&lt;&gt;"",LEFT($O755,1)="⚠"),"项目编号不存在",IF(AND($M755="是",$F755=""),"工程回款必须填往来单位","√")))))))</f>
        <v/>
      </c>
      <c r="O755" s="34" t="str">
        <f aca="false">IF($D755="","",IFERROR(INDEX(项目档案!$B$6:$B$255,MATCH($D755,项目档案!$A$6:$A$255,0)),"⚠编号不存在"))</f>
        <v/>
      </c>
      <c r="P755" s="35" t="str">
        <f aca="false">IF($B755="","",TEXT($B755,"yyyy-mm"))</f>
        <v/>
      </c>
    </row>
    <row r="756" customFormat="false" ht="15.75" hidden="false" customHeight="true" outlineLevel="0" collapsed="false">
      <c r="A756" s="32" t="str">
        <f aca="false">IF($B756="","",ROW()-4)</f>
        <v/>
      </c>
      <c r="B756" s="26"/>
      <c r="C756" s="21"/>
      <c r="D756" s="24"/>
      <c r="E756" s="21"/>
      <c r="F756" s="24"/>
      <c r="G756" s="21"/>
      <c r="H756" s="22"/>
      <c r="I756" s="27"/>
      <c r="J756" s="27"/>
      <c r="K756" s="36" t="str">
        <f aca="false">IF($B756="","",IF($C756="泓普",$C$2,IF($C756="仟茂",$E$2,IF($C756="现金",$G$2,0)))+SUMIFS($I$5:$I756,$C$5:$C756,$C756)-SUMIFS($J$5:$J756,$C$5:$C756,$C756))</f>
        <v/>
      </c>
      <c r="L756" s="36" t="str">
        <f aca="false">IF($B756="","",$C$2+$E$2+$G$2+SUM($I$5:$I756)-SUM($J$5:$J756))</f>
        <v/>
      </c>
      <c r="M756" s="24"/>
      <c r="N756" s="33" t="str">
        <f aca="false">IF($B756="","",IF(NOT(ISNUMBER($B756)),"日期格式不对",IF($C756="","未选资金账户",IF(AND(N($I756)=0,N($J756)=0),"收支都为空",IF(AND(N($I756)&gt;0,N($J756)&gt;0),"收支不能同时填",IF(AND($D756&lt;&gt;"",LEFT($O756,1)="⚠"),"项目编号不存在",IF(AND($M756="是",$F756=""),"工程回款必须填往来单位","√")))))))</f>
        <v/>
      </c>
      <c r="O756" s="34" t="str">
        <f aca="false">IF($D756="","",IFERROR(INDEX(项目档案!$B$6:$B$255,MATCH($D756,项目档案!$A$6:$A$255,0)),"⚠编号不存在"))</f>
        <v/>
      </c>
      <c r="P756" s="35" t="str">
        <f aca="false">IF($B756="","",TEXT($B756,"yyyy-mm"))</f>
        <v/>
      </c>
    </row>
    <row r="757" customFormat="false" ht="15.75" hidden="false" customHeight="true" outlineLevel="0" collapsed="false">
      <c r="A757" s="32" t="str">
        <f aca="false">IF($B757="","",ROW()-4)</f>
        <v/>
      </c>
      <c r="B757" s="26"/>
      <c r="C757" s="21"/>
      <c r="D757" s="24"/>
      <c r="E757" s="21"/>
      <c r="F757" s="24"/>
      <c r="G757" s="21"/>
      <c r="H757" s="22"/>
      <c r="I757" s="27"/>
      <c r="J757" s="27"/>
      <c r="K757" s="36" t="str">
        <f aca="false">IF($B757="","",IF($C757="泓普",$C$2,IF($C757="仟茂",$E$2,IF($C757="现金",$G$2,0)))+SUMIFS($I$5:$I757,$C$5:$C757,$C757)-SUMIFS($J$5:$J757,$C$5:$C757,$C757))</f>
        <v/>
      </c>
      <c r="L757" s="36" t="str">
        <f aca="false">IF($B757="","",$C$2+$E$2+$G$2+SUM($I$5:$I757)-SUM($J$5:$J757))</f>
        <v/>
      </c>
      <c r="M757" s="24"/>
      <c r="N757" s="33" t="str">
        <f aca="false">IF($B757="","",IF(NOT(ISNUMBER($B757)),"日期格式不对",IF($C757="","未选资金账户",IF(AND(N($I757)=0,N($J757)=0),"收支都为空",IF(AND(N($I757)&gt;0,N($J757)&gt;0),"收支不能同时填",IF(AND($D757&lt;&gt;"",LEFT($O757,1)="⚠"),"项目编号不存在",IF(AND($M757="是",$F757=""),"工程回款必须填往来单位","√")))))))</f>
        <v/>
      </c>
      <c r="O757" s="34" t="str">
        <f aca="false">IF($D757="","",IFERROR(INDEX(项目档案!$B$6:$B$255,MATCH($D757,项目档案!$A$6:$A$255,0)),"⚠编号不存在"))</f>
        <v/>
      </c>
      <c r="P757" s="35" t="str">
        <f aca="false">IF($B757="","",TEXT($B757,"yyyy-mm"))</f>
        <v/>
      </c>
    </row>
    <row r="758" customFormat="false" ht="15.75" hidden="false" customHeight="true" outlineLevel="0" collapsed="false">
      <c r="A758" s="32" t="str">
        <f aca="false">IF($B758="","",ROW()-4)</f>
        <v/>
      </c>
      <c r="B758" s="26"/>
      <c r="C758" s="21"/>
      <c r="D758" s="24"/>
      <c r="E758" s="21"/>
      <c r="F758" s="24"/>
      <c r="G758" s="21"/>
      <c r="H758" s="22"/>
      <c r="I758" s="27"/>
      <c r="J758" s="27"/>
      <c r="K758" s="36" t="str">
        <f aca="false">IF($B758="","",IF($C758="泓普",$C$2,IF($C758="仟茂",$E$2,IF($C758="现金",$G$2,0)))+SUMIFS($I$5:$I758,$C$5:$C758,$C758)-SUMIFS($J$5:$J758,$C$5:$C758,$C758))</f>
        <v/>
      </c>
      <c r="L758" s="36" t="str">
        <f aca="false">IF($B758="","",$C$2+$E$2+$G$2+SUM($I$5:$I758)-SUM($J$5:$J758))</f>
        <v/>
      </c>
      <c r="M758" s="24"/>
      <c r="N758" s="33" t="str">
        <f aca="false">IF($B758="","",IF(NOT(ISNUMBER($B758)),"日期格式不对",IF($C758="","未选资金账户",IF(AND(N($I758)=0,N($J758)=0),"收支都为空",IF(AND(N($I758)&gt;0,N($J758)&gt;0),"收支不能同时填",IF(AND($D758&lt;&gt;"",LEFT($O758,1)="⚠"),"项目编号不存在",IF(AND($M758="是",$F758=""),"工程回款必须填往来单位","√")))))))</f>
        <v/>
      </c>
      <c r="O758" s="34" t="str">
        <f aca="false">IF($D758="","",IFERROR(INDEX(项目档案!$B$6:$B$255,MATCH($D758,项目档案!$A$6:$A$255,0)),"⚠编号不存在"))</f>
        <v/>
      </c>
      <c r="P758" s="35" t="str">
        <f aca="false">IF($B758="","",TEXT($B758,"yyyy-mm"))</f>
        <v/>
      </c>
    </row>
    <row r="759" customFormat="false" ht="15.75" hidden="false" customHeight="true" outlineLevel="0" collapsed="false">
      <c r="A759" s="32" t="str">
        <f aca="false">IF($B759="","",ROW()-4)</f>
        <v/>
      </c>
      <c r="B759" s="26"/>
      <c r="C759" s="21"/>
      <c r="D759" s="24"/>
      <c r="E759" s="21"/>
      <c r="F759" s="24"/>
      <c r="G759" s="21"/>
      <c r="H759" s="22"/>
      <c r="I759" s="27"/>
      <c r="J759" s="27"/>
      <c r="K759" s="36" t="str">
        <f aca="false">IF($B759="","",IF($C759="泓普",$C$2,IF($C759="仟茂",$E$2,IF($C759="现金",$G$2,0)))+SUMIFS($I$5:$I759,$C$5:$C759,$C759)-SUMIFS($J$5:$J759,$C$5:$C759,$C759))</f>
        <v/>
      </c>
      <c r="L759" s="36" t="str">
        <f aca="false">IF($B759="","",$C$2+$E$2+$G$2+SUM($I$5:$I759)-SUM($J$5:$J759))</f>
        <v/>
      </c>
      <c r="M759" s="24"/>
      <c r="N759" s="33" t="str">
        <f aca="false">IF($B759="","",IF(NOT(ISNUMBER($B759)),"日期格式不对",IF($C759="","未选资金账户",IF(AND(N($I759)=0,N($J759)=0),"收支都为空",IF(AND(N($I759)&gt;0,N($J759)&gt;0),"收支不能同时填",IF(AND($D759&lt;&gt;"",LEFT($O759,1)="⚠"),"项目编号不存在",IF(AND($M759="是",$F759=""),"工程回款必须填往来单位","√")))))))</f>
        <v/>
      </c>
      <c r="O759" s="34" t="str">
        <f aca="false">IF($D759="","",IFERROR(INDEX(项目档案!$B$6:$B$255,MATCH($D759,项目档案!$A$6:$A$255,0)),"⚠编号不存在"))</f>
        <v/>
      </c>
      <c r="P759" s="35" t="str">
        <f aca="false">IF($B759="","",TEXT($B759,"yyyy-mm"))</f>
        <v/>
      </c>
    </row>
    <row r="760" customFormat="false" ht="15.75" hidden="false" customHeight="true" outlineLevel="0" collapsed="false">
      <c r="A760" s="32" t="str">
        <f aca="false">IF($B760="","",ROW()-4)</f>
        <v/>
      </c>
      <c r="B760" s="26"/>
      <c r="C760" s="21"/>
      <c r="D760" s="24"/>
      <c r="E760" s="21"/>
      <c r="F760" s="24"/>
      <c r="G760" s="21"/>
      <c r="H760" s="22"/>
      <c r="I760" s="27"/>
      <c r="J760" s="27"/>
      <c r="K760" s="36" t="str">
        <f aca="false">IF($B760="","",IF($C760="泓普",$C$2,IF($C760="仟茂",$E$2,IF($C760="现金",$G$2,0)))+SUMIFS($I$5:$I760,$C$5:$C760,$C760)-SUMIFS($J$5:$J760,$C$5:$C760,$C760))</f>
        <v/>
      </c>
      <c r="L760" s="36" t="str">
        <f aca="false">IF($B760="","",$C$2+$E$2+$G$2+SUM($I$5:$I760)-SUM($J$5:$J760))</f>
        <v/>
      </c>
      <c r="M760" s="24"/>
      <c r="N760" s="33" t="str">
        <f aca="false">IF($B760="","",IF(NOT(ISNUMBER($B760)),"日期格式不对",IF($C760="","未选资金账户",IF(AND(N($I760)=0,N($J760)=0),"收支都为空",IF(AND(N($I760)&gt;0,N($J760)&gt;0),"收支不能同时填",IF(AND($D760&lt;&gt;"",LEFT($O760,1)="⚠"),"项目编号不存在",IF(AND($M760="是",$F760=""),"工程回款必须填往来单位","√")))))))</f>
        <v/>
      </c>
      <c r="O760" s="34" t="str">
        <f aca="false">IF($D760="","",IFERROR(INDEX(项目档案!$B$6:$B$255,MATCH($D760,项目档案!$A$6:$A$255,0)),"⚠编号不存在"))</f>
        <v/>
      </c>
      <c r="P760" s="35" t="str">
        <f aca="false">IF($B760="","",TEXT($B760,"yyyy-mm"))</f>
        <v/>
      </c>
    </row>
    <row r="761" customFormat="false" ht="15.75" hidden="false" customHeight="true" outlineLevel="0" collapsed="false">
      <c r="A761" s="32" t="str">
        <f aca="false">IF($B761="","",ROW()-4)</f>
        <v/>
      </c>
      <c r="B761" s="26"/>
      <c r="C761" s="21"/>
      <c r="D761" s="24"/>
      <c r="E761" s="21"/>
      <c r="F761" s="24"/>
      <c r="G761" s="21"/>
      <c r="H761" s="22"/>
      <c r="I761" s="27"/>
      <c r="J761" s="27"/>
      <c r="K761" s="36" t="str">
        <f aca="false">IF($B761="","",IF($C761="泓普",$C$2,IF($C761="仟茂",$E$2,IF($C761="现金",$G$2,0)))+SUMIFS($I$5:$I761,$C$5:$C761,$C761)-SUMIFS($J$5:$J761,$C$5:$C761,$C761))</f>
        <v/>
      </c>
      <c r="L761" s="36" t="str">
        <f aca="false">IF($B761="","",$C$2+$E$2+$G$2+SUM($I$5:$I761)-SUM($J$5:$J761))</f>
        <v/>
      </c>
      <c r="M761" s="24"/>
      <c r="N761" s="33" t="str">
        <f aca="false">IF($B761="","",IF(NOT(ISNUMBER($B761)),"日期格式不对",IF($C761="","未选资金账户",IF(AND(N($I761)=0,N($J761)=0),"收支都为空",IF(AND(N($I761)&gt;0,N($J761)&gt;0),"收支不能同时填",IF(AND($D761&lt;&gt;"",LEFT($O761,1)="⚠"),"项目编号不存在",IF(AND($M761="是",$F761=""),"工程回款必须填往来单位","√")))))))</f>
        <v/>
      </c>
      <c r="O761" s="34" t="str">
        <f aca="false">IF($D761="","",IFERROR(INDEX(项目档案!$B$6:$B$255,MATCH($D761,项目档案!$A$6:$A$255,0)),"⚠编号不存在"))</f>
        <v/>
      </c>
      <c r="P761" s="35" t="str">
        <f aca="false">IF($B761="","",TEXT($B761,"yyyy-mm"))</f>
        <v/>
      </c>
    </row>
    <row r="762" customFormat="false" ht="15.75" hidden="false" customHeight="true" outlineLevel="0" collapsed="false">
      <c r="A762" s="32" t="str">
        <f aca="false">IF($B762="","",ROW()-4)</f>
        <v/>
      </c>
      <c r="B762" s="26"/>
      <c r="C762" s="21"/>
      <c r="D762" s="24"/>
      <c r="E762" s="21"/>
      <c r="F762" s="24"/>
      <c r="G762" s="21"/>
      <c r="H762" s="22"/>
      <c r="I762" s="27"/>
      <c r="J762" s="27"/>
      <c r="K762" s="36" t="str">
        <f aca="false">IF($B762="","",IF($C762="泓普",$C$2,IF($C762="仟茂",$E$2,IF($C762="现金",$G$2,0)))+SUMIFS($I$5:$I762,$C$5:$C762,$C762)-SUMIFS($J$5:$J762,$C$5:$C762,$C762))</f>
        <v/>
      </c>
      <c r="L762" s="36" t="str">
        <f aca="false">IF($B762="","",$C$2+$E$2+$G$2+SUM($I$5:$I762)-SUM($J$5:$J762))</f>
        <v/>
      </c>
      <c r="M762" s="24"/>
      <c r="N762" s="33" t="str">
        <f aca="false">IF($B762="","",IF(NOT(ISNUMBER($B762)),"日期格式不对",IF($C762="","未选资金账户",IF(AND(N($I762)=0,N($J762)=0),"收支都为空",IF(AND(N($I762)&gt;0,N($J762)&gt;0),"收支不能同时填",IF(AND($D762&lt;&gt;"",LEFT($O762,1)="⚠"),"项目编号不存在",IF(AND($M762="是",$F762=""),"工程回款必须填往来单位","√")))))))</f>
        <v/>
      </c>
      <c r="O762" s="34" t="str">
        <f aca="false">IF($D762="","",IFERROR(INDEX(项目档案!$B$6:$B$255,MATCH($D762,项目档案!$A$6:$A$255,0)),"⚠编号不存在"))</f>
        <v/>
      </c>
      <c r="P762" s="35" t="str">
        <f aca="false">IF($B762="","",TEXT($B762,"yyyy-mm"))</f>
        <v/>
      </c>
    </row>
    <row r="763" customFormat="false" ht="15.75" hidden="false" customHeight="true" outlineLevel="0" collapsed="false">
      <c r="A763" s="32" t="str">
        <f aca="false">IF($B763="","",ROW()-4)</f>
        <v/>
      </c>
      <c r="B763" s="26"/>
      <c r="C763" s="21"/>
      <c r="D763" s="24"/>
      <c r="E763" s="21"/>
      <c r="F763" s="24"/>
      <c r="G763" s="21"/>
      <c r="H763" s="22"/>
      <c r="I763" s="27"/>
      <c r="J763" s="27"/>
      <c r="K763" s="36" t="str">
        <f aca="false">IF($B763="","",IF($C763="泓普",$C$2,IF($C763="仟茂",$E$2,IF($C763="现金",$G$2,0)))+SUMIFS($I$5:$I763,$C$5:$C763,$C763)-SUMIFS($J$5:$J763,$C$5:$C763,$C763))</f>
        <v/>
      </c>
      <c r="L763" s="36" t="str">
        <f aca="false">IF($B763="","",$C$2+$E$2+$G$2+SUM($I$5:$I763)-SUM($J$5:$J763))</f>
        <v/>
      </c>
      <c r="M763" s="24"/>
      <c r="N763" s="33" t="str">
        <f aca="false">IF($B763="","",IF(NOT(ISNUMBER($B763)),"日期格式不对",IF($C763="","未选资金账户",IF(AND(N($I763)=0,N($J763)=0),"收支都为空",IF(AND(N($I763)&gt;0,N($J763)&gt;0),"收支不能同时填",IF(AND($D763&lt;&gt;"",LEFT($O763,1)="⚠"),"项目编号不存在",IF(AND($M763="是",$F763=""),"工程回款必须填往来单位","√")))))))</f>
        <v/>
      </c>
      <c r="O763" s="34" t="str">
        <f aca="false">IF($D763="","",IFERROR(INDEX(项目档案!$B$6:$B$255,MATCH($D763,项目档案!$A$6:$A$255,0)),"⚠编号不存在"))</f>
        <v/>
      </c>
      <c r="P763" s="35" t="str">
        <f aca="false">IF($B763="","",TEXT($B763,"yyyy-mm"))</f>
        <v/>
      </c>
    </row>
    <row r="764" customFormat="false" ht="15.75" hidden="false" customHeight="true" outlineLevel="0" collapsed="false">
      <c r="A764" s="32" t="str">
        <f aca="false">IF($B764="","",ROW()-4)</f>
        <v/>
      </c>
      <c r="B764" s="26"/>
      <c r="C764" s="21"/>
      <c r="D764" s="24"/>
      <c r="E764" s="21"/>
      <c r="F764" s="24"/>
      <c r="G764" s="21"/>
      <c r="H764" s="22"/>
      <c r="I764" s="27"/>
      <c r="J764" s="27"/>
      <c r="K764" s="36" t="str">
        <f aca="false">IF($B764="","",IF($C764="泓普",$C$2,IF($C764="仟茂",$E$2,IF($C764="现金",$G$2,0)))+SUMIFS($I$5:$I764,$C$5:$C764,$C764)-SUMIFS($J$5:$J764,$C$5:$C764,$C764))</f>
        <v/>
      </c>
      <c r="L764" s="36" t="str">
        <f aca="false">IF($B764="","",$C$2+$E$2+$G$2+SUM($I$5:$I764)-SUM($J$5:$J764))</f>
        <v/>
      </c>
      <c r="M764" s="24"/>
      <c r="N764" s="33" t="str">
        <f aca="false">IF($B764="","",IF(NOT(ISNUMBER($B764)),"日期格式不对",IF($C764="","未选资金账户",IF(AND(N($I764)=0,N($J764)=0),"收支都为空",IF(AND(N($I764)&gt;0,N($J764)&gt;0),"收支不能同时填",IF(AND($D764&lt;&gt;"",LEFT($O764,1)="⚠"),"项目编号不存在",IF(AND($M764="是",$F764=""),"工程回款必须填往来单位","√")))))))</f>
        <v/>
      </c>
      <c r="O764" s="34" t="str">
        <f aca="false">IF($D764="","",IFERROR(INDEX(项目档案!$B$6:$B$255,MATCH($D764,项目档案!$A$6:$A$255,0)),"⚠编号不存在"))</f>
        <v/>
      </c>
      <c r="P764" s="35" t="str">
        <f aca="false">IF($B764="","",TEXT($B764,"yyyy-mm"))</f>
        <v/>
      </c>
    </row>
    <row r="765" customFormat="false" ht="15.75" hidden="false" customHeight="true" outlineLevel="0" collapsed="false">
      <c r="A765" s="32" t="str">
        <f aca="false">IF($B765="","",ROW()-4)</f>
        <v/>
      </c>
      <c r="B765" s="26"/>
      <c r="C765" s="21"/>
      <c r="D765" s="24"/>
      <c r="E765" s="21"/>
      <c r="F765" s="24"/>
      <c r="G765" s="21"/>
      <c r="H765" s="22"/>
      <c r="I765" s="27"/>
      <c r="J765" s="27"/>
      <c r="K765" s="36" t="str">
        <f aca="false">IF($B765="","",IF($C765="泓普",$C$2,IF($C765="仟茂",$E$2,IF($C765="现金",$G$2,0)))+SUMIFS($I$5:$I765,$C$5:$C765,$C765)-SUMIFS($J$5:$J765,$C$5:$C765,$C765))</f>
        <v/>
      </c>
      <c r="L765" s="36" t="str">
        <f aca="false">IF($B765="","",$C$2+$E$2+$G$2+SUM($I$5:$I765)-SUM($J$5:$J765))</f>
        <v/>
      </c>
      <c r="M765" s="24"/>
      <c r="N765" s="33" t="str">
        <f aca="false">IF($B765="","",IF(NOT(ISNUMBER($B765)),"日期格式不对",IF($C765="","未选资金账户",IF(AND(N($I765)=0,N($J765)=0),"收支都为空",IF(AND(N($I765)&gt;0,N($J765)&gt;0),"收支不能同时填",IF(AND($D765&lt;&gt;"",LEFT($O765,1)="⚠"),"项目编号不存在",IF(AND($M765="是",$F765=""),"工程回款必须填往来单位","√")))))))</f>
        <v/>
      </c>
      <c r="O765" s="34" t="str">
        <f aca="false">IF($D765="","",IFERROR(INDEX(项目档案!$B$6:$B$255,MATCH($D765,项目档案!$A$6:$A$255,0)),"⚠编号不存在"))</f>
        <v/>
      </c>
      <c r="P765" s="35" t="str">
        <f aca="false">IF($B765="","",TEXT($B765,"yyyy-mm"))</f>
        <v/>
      </c>
    </row>
    <row r="766" customFormat="false" ht="15.75" hidden="false" customHeight="true" outlineLevel="0" collapsed="false">
      <c r="A766" s="32" t="str">
        <f aca="false">IF($B766="","",ROW()-4)</f>
        <v/>
      </c>
      <c r="B766" s="26"/>
      <c r="C766" s="21"/>
      <c r="D766" s="24"/>
      <c r="E766" s="21"/>
      <c r="F766" s="24"/>
      <c r="G766" s="21"/>
      <c r="H766" s="22"/>
      <c r="I766" s="27"/>
      <c r="J766" s="27"/>
      <c r="K766" s="36" t="str">
        <f aca="false">IF($B766="","",IF($C766="泓普",$C$2,IF($C766="仟茂",$E$2,IF($C766="现金",$G$2,0)))+SUMIFS($I$5:$I766,$C$5:$C766,$C766)-SUMIFS($J$5:$J766,$C$5:$C766,$C766))</f>
        <v/>
      </c>
      <c r="L766" s="36" t="str">
        <f aca="false">IF($B766="","",$C$2+$E$2+$G$2+SUM($I$5:$I766)-SUM($J$5:$J766))</f>
        <v/>
      </c>
      <c r="M766" s="24"/>
      <c r="N766" s="33" t="str">
        <f aca="false">IF($B766="","",IF(NOT(ISNUMBER($B766)),"日期格式不对",IF($C766="","未选资金账户",IF(AND(N($I766)=0,N($J766)=0),"收支都为空",IF(AND(N($I766)&gt;0,N($J766)&gt;0),"收支不能同时填",IF(AND($D766&lt;&gt;"",LEFT($O766,1)="⚠"),"项目编号不存在",IF(AND($M766="是",$F766=""),"工程回款必须填往来单位","√")))))))</f>
        <v/>
      </c>
      <c r="O766" s="34" t="str">
        <f aca="false">IF($D766="","",IFERROR(INDEX(项目档案!$B$6:$B$255,MATCH($D766,项目档案!$A$6:$A$255,0)),"⚠编号不存在"))</f>
        <v/>
      </c>
      <c r="P766" s="35" t="str">
        <f aca="false">IF($B766="","",TEXT($B766,"yyyy-mm"))</f>
        <v/>
      </c>
    </row>
    <row r="767" customFormat="false" ht="15.75" hidden="false" customHeight="true" outlineLevel="0" collapsed="false">
      <c r="A767" s="32" t="str">
        <f aca="false">IF($B767="","",ROW()-4)</f>
        <v/>
      </c>
      <c r="B767" s="26"/>
      <c r="C767" s="21"/>
      <c r="D767" s="24"/>
      <c r="E767" s="21"/>
      <c r="F767" s="24"/>
      <c r="G767" s="21"/>
      <c r="H767" s="22"/>
      <c r="I767" s="27"/>
      <c r="J767" s="27"/>
      <c r="K767" s="36" t="str">
        <f aca="false">IF($B767="","",IF($C767="泓普",$C$2,IF($C767="仟茂",$E$2,IF($C767="现金",$G$2,0)))+SUMIFS($I$5:$I767,$C$5:$C767,$C767)-SUMIFS($J$5:$J767,$C$5:$C767,$C767))</f>
        <v/>
      </c>
      <c r="L767" s="36" t="str">
        <f aca="false">IF($B767="","",$C$2+$E$2+$G$2+SUM($I$5:$I767)-SUM($J$5:$J767))</f>
        <v/>
      </c>
      <c r="M767" s="24"/>
      <c r="N767" s="33" t="str">
        <f aca="false">IF($B767="","",IF(NOT(ISNUMBER($B767)),"日期格式不对",IF($C767="","未选资金账户",IF(AND(N($I767)=0,N($J767)=0),"收支都为空",IF(AND(N($I767)&gt;0,N($J767)&gt;0),"收支不能同时填",IF(AND($D767&lt;&gt;"",LEFT($O767,1)="⚠"),"项目编号不存在",IF(AND($M767="是",$F767=""),"工程回款必须填往来单位","√")))))))</f>
        <v/>
      </c>
      <c r="O767" s="34" t="str">
        <f aca="false">IF($D767="","",IFERROR(INDEX(项目档案!$B$6:$B$255,MATCH($D767,项目档案!$A$6:$A$255,0)),"⚠编号不存在"))</f>
        <v/>
      </c>
      <c r="P767" s="35" t="str">
        <f aca="false">IF($B767="","",TEXT($B767,"yyyy-mm"))</f>
        <v/>
      </c>
    </row>
    <row r="768" customFormat="false" ht="15.75" hidden="false" customHeight="true" outlineLevel="0" collapsed="false">
      <c r="A768" s="32" t="str">
        <f aca="false">IF($B768="","",ROW()-4)</f>
        <v/>
      </c>
      <c r="B768" s="26"/>
      <c r="C768" s="21"/>
      <c r="D768" s="24"/>
      <c r="E768" s="21"/>
      <c r="F768" s="24"/>
      <c r="G768" s="21"/>
      <c r="H768" s="22"/>
      <c r="I768" s="27"/>
      <c r="J768" s="27"/>
      <c r="K768" s="36" t="str">
        <f aca="false">IF($B768="","",IF($C768="泓普",$C$2,IF($C768="仟茂",$E$2,IF($C768="现金",$G$2,0)))+SUMIFS($I$5:$I768,$C$5:$C768,$C768)-SUMIFS($J$5:$J768,$C$5:$C768,$C768))</f>
        <v/>
      </c>
      <c r="L768" s="36" t="str">
        <f aca="false">IF($B768="","",$C$2+$E$2+$G$2+SUM($I$5:$I768)-SUM($J$5:$J768))</f>
        <v/>
      </c>
      <c r="M768" s="24"/>
      <c r="N768" s="33" t="str">
        <f aca="false">IF($B768="","",IF(NOT(ISNUMBER($B768)),"日期格式不对",IF($C768="","未选资金账户",IF(AND(N($I768)=0,N($J768)=0),"收支都为空",IF(AND(N($I768)&gt;0,N($J768)&gt;0),"收支不能同时填",IF(AND($D768&lt;&gt;"",LEFT($O768,1)="⚠"),"项目编号不存在",IF(AND($M768="是",$F768=""),"工程回款必须填往来单位","√")))))))</f>
        <v/>
      </c>
      <c r="O768" s="34" t="str">
        <f aca="false">IF($D768="","",IFERROR(INDEX(项目档案!$B$6:$B$255,MATCH($D768,项目档案!$A$6:$A$255,0)),"⚠编号不存在"))</f>
        <v/>
      </c>
      <c r="P768" s="35" t="str">
        <f aca="false">IF($B768="","",TEXT($B768,"yyyy-mm"))</f>
        <v/>
      </c>
    </row>
    <row r="769" customFormat="false" ht="15.75" hidden="false" customHeight="true" outlineLevel="0" collapsed="false">
      <c r="A769" s="32" t="str">
        <f aca="false">IF($B769="","",ROW()-4)</f>
        <v/>
      </c>
      <c r="B769" s="26"/>
      <c r="C769" s="21"/>
      <c r="D769" s="24"/>
      <c r="E769" s="21"/>
      <c r="F769" s="24"/>
      <c r="G769" s="21"/>
      <c r="H769" s="22"/>
      <c r="I769" s="27"/>
      <c r="J769" s="27"/>
      <c r="K769" s="36" t="str">
        <f aca="false">IF($B769="","",IF($C769="泓普",$C$2,IF($C769="仟茂",$E$2,IF($C769="现金",$G$2,0)))+SUMIFS($I$5:$I769,$C$5:$C769,$C769)-SUMIFS($J$5:$J769,$C$5:$C769,$C769))</f>
        <v/>
      </c>
      <c r="L769" s="36" t="str">
        <f aca="false">IF($B769="","",$C$2+$E$2+$G$2+SUM($I$5:$I769)-SUM($J$5:$J769))</f>
        <v/>
      </c>
      <c r="M769" s="24"/>
      <c r="N769" s="33" t="str">
        <f aca="false">IF($B769="","",IF(NOT(ISNUMBER($B769)),"日期格式不对",IF($C769="","未选资金账户",IF(AND(N($I769)=0,N($J769)=0),"收支都为空",IF(AND(N($I769)&gt;0,N($J769)&gt;0),"收支不能同时填",IF(AND($D769&lt;&gt;"",LEFT($O769,1)="⚠"),"项目编号不存在",IF(AND($M769="是",$F769=""),"工程回款必须填往来单位","√")))))))</f>
        <v/>
      </c>
      <c r="O769" s="34" t="str">
        <f aca="false">IF($D769="","",IFERROR(INDEX(项目档案!$B$6:$B$255,MATCH($D769,项目档案!$A$6:$A$255,0)),"⚠编号不存在"))</f>
        <v/>
      </c>
      <c r="P769" s="35" t="str">
        <f aca="false">IF($B769="","",TEXT($B769,"yyyy-mm"))</f>
        <v/>
      </c>
    </row>
    <row r="770" customFormat="false" ht="15.75" hidden="false" customHeight="true" outlineLevel="0" collapsed="false">
      <c r="A770" s="32" t="str">
        <f aca="false">IF($B770="","",ROW()-4)</f>
        <v/>
      </c>
      <c r="B770" s="26"/>
      <c r="C770" s="21"/>
      <c r="D770" s="24"/>
      <c r="E770" s="21"/>
      <c r="F770" s="24"/>
      <c r="G770" s="21"/>
      <c r="H770" s="22"/>
      <c r="I770" s="27"/>
      <c r="J770" s="27"/>
      <c r="K770" s="36" t="str">
        <f aca="false">IF($B770="","",IF($C770="泓普",$C$2,IF($C770="仟茂",$E$2,IF($C770="现金",$G$2,0)))+SUMIFS($I$5:$I770,$C$5:$C770,$C770)-SUMIFS($J$5:$J770,$C$5:$C770,$C770))</f>
        <v/>
      </c>
      <c r="L770" s="36" t="str">
        <f aca="false">IF($B770="","",$C$2+$E$2+$G$2+SUM($I$5:$I770)-SUM($J$5:$J770))</f>
        <v/>
      </c>
      <c r="M770" s="24"/>
      <c r="N770" s="33" t="str">
        <f aca="false">IF($B770="","",IF(NOT(ISNUMBER($B770)),"日期格式不对",IF($C770="","未选资金账户",IF(AND(N($I770)=0,N($J770)=0),"收支都为空",IF(AND(N($I770)&gt;0,N($J770)&gt;0),"收支不能同时填",IF(AND($D770&lt;&gt;"",LEFT($O770,1)="⚠"),"项目编号不存在",IF(AND($M770="是",$F770=""),"工程回款必须填往来单位","√")))))))</f>
        <v/>
      </c>
      <c r="O770" s="34" t="str">
        <f aca="false">IF($D770="","",IFERROR(INDEX(项目档案!$B$6:$B$255,MATCH($D770,项目档案!$A$6:$A$255,0)),"⚠编号不存在"))</f>
        <v/>
      </c>
      <c r="P770" s="35" t="str">
        <f aca="false">IF($B770="","",TEXT($B770,"yyyy-mm"))</f>
        <v/>
      </c>
    </row>
    <row r="771" customFormat="false" ht="15.75" hidden="false" customHeight="true" outlineLevel="0" collapsed="false">
      <c r="A771" s="32" t="str">
        <f aca="false">IF($B771="","",ROW()-4)</f>
        <v/>
      </c>
      <c r="B771" s="26"/>
      <c r="C771" s="21"/>
      <c r="D771" s="24"/>
      <c r="E771" s="21"/>
      <c r="F771" s="24"/>
      <c r="G771" s="21"/>
      <c r="H771" s="22"/>
      <c r="I771" s="27"/>
      <c r="J771" s="27"/>
      <c r="K771" s="36" t="str">
        <f aca="false">IF($B771="","",IF($C771="泓普",$C$2,IF($C771="仟茂",$E$2,IF($C771="现金",$G$2,0)))+SUMIFS($I$5:$I771,$C$5:$C771,$C771)-SUMIFS($J$5:$J771,$C$5:$C771,$C771))</f>
        <v/>
      </c>
      <c r="L771" s="36" t="str">
        <f aca="false">IF($B771="","",$C$2+$E$2+$G$2+SUM($I$5:$I771)-SUM($J$5:$J771))</f>
        <v/>
      </c>
      <c r="M771" s="24"/>
      <c r="N771" s="33" t="str">
        <f aca="false">IF($B771="","",IF(NOT(ISNUMBER($B771)),"日期格式不对",IF($C771="","未选资金账户",IF(AND(N($I771)=0,N($J771)=0),"收支都为空",IF(AND(N($I771)&gt;0,N($J771)&gt;0),"收支不能同时填",IF(AND($D771&lt;&gt;"",LEFT($O771,1)="⚠"),"项目编号不存在",IF(AND($M771="是",$F771=""),"工程回款必须填往来单位","√")))))))</f>
        <v/>
      </c>
      <c r="O771" s="34" t="str">
        <f aca="false">IF($D771="","",IFERROR(INDEX(项目档案!$B$6:$B$255,MATCH($D771,项目档案!$A$6:$A$255,0)),"⚠编号不存在"))</f>
        <v/>
      </c>
      <c r="P771" s="35" t="str">
        <f aca="false">IF($B771="","",TEXT($B771,"yyyy-mm"))</f>
        <v/>
      </c>
    </row>
    <row r="772" customFormat="false" ht="15.75" hidden="false" customHeight="true" outlineLevel="0" collapsed="false">
      <c r="A772" s="32" t="str">
        <f aca="false">IF($B772="","",ROW()-4)</f>
        <v/>
      </c>
      <c r="B772" s="26"/>
      <c r="C772" s="21"/>
      <c r="D772" s="24"/>
      <c r="E772" s="21"/>
      <c r="F772" s="24"/>
      <c r="G772" s="21"/>
      <c r="H772" s="22"/>
      <c r="I772" s="27"/>
      <c r="J772" s="27"/>
      <c r="K772" s="36" t="str">
        <f aca="false">IF($B772="","",IF($C772="泓普",$C$2,IF($C772="仟茂",$E$2,IF($C772="现金",$G$2,0)))+SUMIFS($I$5:$I772,$C$5:$C772,$C772)-SUMIFS($J$5:$J772,$C$5:$C772,$C772))</f>
        <v/>
      </c>
      <c r="L772" s="36" t="str">
        <f aca="false">IF($B772="","",$C$2+$E$2+$G$2+SUM($I$5:$I772)-SUM($J$5:$J772))</f>
        <v/>
      </c>
      <c r="M772" s="24"/>
      <c r="N772" s="33" t="str">
        <f aca="false">IF($B772="","",IF(NOT(ISNUMBER($B772)),"日期格式不对",IF($C772="","未选资金账户",IF(AND(N($I772)=0,N($J772)=0),"收支都为空",IF(AND(N($I772)&gt;0,N($J772)&gt;0),"收支不能同时填",IF(AND($D772&lt;&gt;"",LEFT($O772,1)="⚠"),"项目编号不存在",IF(AND($M772="是",$F772=""),"工程回款必须填往来单位","√")))))))</f>
        <v/>
      </c>
      <c r="O772" s="34" t="str">
        <f aca="false">IF($D772="","",IFERROR(INDEX(项目档案!$B$6:$B$255,MATCH($D772,项目档案!$A$6:$A$255,0)),"⚠编号不存在"))</f>
        <v/>
      </c>
      <c r="P772" s="35" t="str">
        <f aca="false">IF($B772="","",TEXT($B772,"yyyy-mm"))</f>
        <v/>
      </c>
    </row>
    <row r="773" customFormat="false" ht="15.75" hidden="false" customHeight="true" outlineLevel="0" collapsed="false">
      <c r="A773" s="32" t="str">
        <f aca="false">IF($B773="","",ROW()-4)</f>
        <v/>
      </c>
      <c r="B773" s="26"/>
      <c r="C773" s="21"/>
      <c r="D773" s="24"/>
      <c r="E773" s="21"/>
      <c r="F773" s="24"/>
      <c r="G773" s="21"/>
      <c r="H773" s="22"/>
      <c r="I773" s="27"/>
      <c r="J773" s="27"/>
      <c r="K773" s="36" t="str">
        <f aca="false">IF($B773="","",IF($C773="泓普",$C$2,IF($C773="仟茂",$E$2,IF($C773="现金",$G$2,0)))+SUMIFS($I$5:$I773,$C$5:$C773,$C773)-SUMIFS($J$5:$J773,$C$5:$C773,$C773))</f>
        <v/>
      </c>
      <c r="L773" s="36" t="str">
        <f aca="false">IF($B773="","",$C$2+$E$2+$G$2+SUM($I$5:$I773)-SUM($J$5:$J773))</f>
        <v/>
      </c>
      <c r="M773" s="24"/>
      <c r="N773" s="33" t="str">
        <f aca="false">IF($B773="","",IF(NOT(ISNUMBER($B773)),"日期格式不对",IF($C773="","未选资金账户",IF(AND(N($I773)=0,N($J773)=0),"收支都为空",IF(AND(N($I773)&gt;0,N($J773)&gt;0),"收支不能同时填",IF(AND($D773&lt;&gt;"",LEFT($O773,1)="⚠"),"项目编号不存在",IF(AND($M773="是",$F773=""),"工程回款必须填往来单位","√")))))))</f>
        <v/>
      </c>
      <c r="O773" s="34" t="str">
        <f aca="false">IF($D773="","",IFERROR(INDEX(项目档案!$B$6:$B$255,MATCH($D773,项目档案!$A$6:$A$255,0)),"⚠编号不存在"))</f>
        <v/>
      </c>
      <c r="P773" s="35" t="str">
        <f aca="false">IF($B773="","",TEXT($B773,"yyyy-mm"))</f>
        <v/>
      </c>
    </row>
    <row r="774" customFormat="false" ht="15.75" hidden="false" customHeight="true" outlineLevel="0" collapsed="false">
      <c r="A774" s="32" t="str">
        <f aca="false">IF($B774="","",ROW()-4)</f>
        <v/>
      </c>
      <c r="B774" s="26"/>
      <c r="C774" s="21"/>
      <c r="D774" s="24"/>
      <c r="E774" s="21"/>
      <c r="F774" s="24"/>
      <c r="G774" s="21"/>
      <c r="H774" s="22"/>
      <c r="I774" s="27"/>
      <c r="J774" s="27"/>
      <c r="K774" s="36" t="str">
        <f aca="false">IF($B774="","",IF($C774="泓普",$C$2,IF($C774="仟茂",$E$2,IF($C774="现金",$G$2,0)))+SUMIFS($I$5:$I774,$C$5:$C774,$C774)-SUMIFS($J$5:$J774,$C$5:$C774,$C774))</f>
        <v/>
      </c>
      <c r="L774" s="36" t="str">
        <f aca="false">IF($B774="","",$C$2+$E$2+$G$2+SUM($I$5:$I774)-SUM($J$5:$J774))</f>
        <v/>
      </c>
      <c r="M774" s="24"/>
      <c r="N774" s="33" t="str">
        <f aca="false">IF($B774="","",IF(NOT(ISNUMBER($B774)),"日期格式不对",IF($C774="","未选资金账户",IF(AND(N($I774)=0,N($J774)=0),"收支都为空",IF(AND(N($I774)&gt;0,N($J774)&gt;0),"收支不能同时填",IF(AND($D774&lt;&gt;"",LEFT($O774,1)="⚠"),"项目编号不存在",IF(AND($M774="是",$F774=""),"工程回款必须填往来单位","√")))))))</f>
        <v/>
      </c>
      <c r="O774" s="34" t="str">
        <f aca="false">IF($D774="","",IFERROR(INDEX(项目档案!$B$6:$B$255,MATCH($D774,项目档案!$A$6:$A$255,0)),"⚠编号不存在"))</f>
        <v/>
      </c>
      <c r="P774" s="35" t="str">
        <f aca="false">IF($B774="","",TEXT($B774,"yyyy-mm"))</f>
        <v/>
      </c>
    </row>
    <row r="775" customFormat="false" ht="15.75" hidden="false" customHeight="true" outlineLevel="0" collapsed="false">
      <c r="A775" s="32" t="str">
        <f aca="false">IF($B775="","",ROW()-4)</f>
        <v/>
      </c>
      <c r="B775" s="26"/>
      <c r="C775" s="21"/>
      <c r="D775" s="24"/>
      <c r="E775" s="21"/>
      <c r="F775" s="24"/>
      <c r="G775" s="21"/>
      <c r="H775" s="22"/>
      <c r="I775" s="27"/>
      <c r="J775" s="27"/>
      <c r="K775" s="36" t="str">
        <f aca="false">IF($B775="","",IF($C775="泓普",$C$2,IF($C775="仟茂",$E$2,IF($C775="现金",$G$2,0)))+SUMIFS($I$5:$I775,$C$5:$C775,$C775)-SUMIFS($J$5:$J775,$C$5:$C775,$C775))</f>
        <v/>
      </c>
      <c r="L775" s="36" t="str">
        <f aca="false">IF($B775="","",$C$2+$E$2+$G$2+SUM($I$5:$I775)-SUM($J$5:$J775))</f>
        <v/>
      </c>
      <c r="M775" s="24"/>
      <c r="N775" s="33" t="str">
        <f aca="false">IF($B775="","",IF(NOT(ISNUMBER($B775)),"日期格式不对",IF($C775="","未选资金账户",IF(AND(N($I775)=0,N($J775)=0),"收支都为空",IF(AND(N($I775)&gt;0,N($J775)&gt;0),"收支不能同时填",IF(AND($D775&lt;&gt;"",LEFT($O775,1)="⚠"),"项目编号不存在",IF(AND($M775="是",$F775=""),"工程回款必须填往来单位","√")))))))</f>
        <v/>
      </c>
      <c r="O775" s="34" t="str">
        <f aca="false">IF($D775="","",IFERROR(INDEX(项目档案!$B$6:$B$255,MATCH($D775,项目档案!$A$6:$A$255,0)),"⚠编号不存在"))</f>
        <v/>
      </c>
      <c r="P775" s="35" t="str">
        <f aca="false">IF($B775="","",TEXT($B775,"yyyy-mm"))</f>
        <v/>
      </c>
    </row>
    <row r="776" customFormat="false" ht="15.75" hidden="false" customHeight="true" outlineLevel="0" collapsed="false">
      <c r="A776" s="32" t="str">
        <f aca="false">IF($B776="","",ROW()-4)</f>
        <v/>
      </c>
      <c r="B776" s="26"/>
      <c r="C776" s="21"/>
      <c r="D776" s="24"/>
      <c r="E776" s="21"/>
      <c r="F776" s="24"/>
      <c r="G776" s="21"/>
      <c r="H776" s="22"/>
      <c r="I776" s="27"/>
      <c r="J776" s="27"/>
      <c r="K776" s="36" t="str">
        <f aca="false">IF($B776="","",IF($C776="泓普",$C$2,IF($C776="仟茂",$E$2,IF($C776="现金",$G$2,0)))+SUMIFS($I$5:$I776,$C$5:$C776,$C776)-SUMIFS($J$5:$J776,$C$5:$C776,$C776))</f>
        <v/>
      </c>
      <c r="L776" s="36" t="str">
        <f aca="false">IF($B776="","",$C$2+$E$2+$G$2+SUM($I$5:$I776)-SUM($J$5:$J776))</f>
        <v/>
      </c>
      <c r="M776" s="24"/>
      <c r="N776" s="33" t="str">
        <f aca="false">IF($B776="","",IF(NOT(ISNUMBER($B776)),"日期格式不对",IF($C776="","未选资金账户",IF(AND(N($I776)=0,N($J776)=0),"收支都为空",IF(AND(N($I776)&gt;0,N($J776)&gt;0),"收支不能同时填",IF(AND($D776&lt;&gt;"",LEFT($O776,1)="⚠"),"项目编号不存在",IF(AND($M776="是",$F776=""),"工程回款必须填往来单位","√")))))))</f>
        <v/>
      </c>
      <c r="O776" s="34" t="str">
        <f aca="false">IF($D776="","",IFERROR(INDEX(项目档案!$B$6:$B$255,MATCH($D776,项目档案!$A$6:$A$255,0)),"⚠编号不存在"))</f>
        <v/>
      </c>
      <c r="P776" s="35" t="str">
        <f aca="false">IF($B776="","",TEXT($B776,"yyyy-mm"))</f>
        <v/>
      </c>
    </row>
    <row r="777" customFormat="false" ht="15.75" hidden="false" customHeight="true" outlineLevel="0" collapsed="false">
      <c r="A777" s="32" t="str">
        <f aca="false">IF($B777="","",ROW()-4)</f>
        <v/>
      </c>
      <c r="B777" s="26"/>
      <c r="C777" s="21"/>
      <c r="D777" s="24"/>
      <c r="E777" s="21"/>
      <c r="F777" s="24"/>
      <c r="G777" s="21"/>
      <c r="H777" s="22"/>
      <c r="I777" s="27"/>
      <c r="J777" s="27"/>
      <c r="K777" s="36" t="str">
        <f aca="false">IF($B777="","",IF($C777="泓普",$C$2,IF($C777="仟茂",$E$2,IF($C777="现金",$G$2,0)))+SUMIFS($I$5:$I777,$C$5:$C777,$C777)-SUMIFS($J$5:$J777,$C$5:$C777,$C777))</f>
        <v/>
      </c>
      <c r="L777" s="36" t="str">
        <f aca="false">IF($B777="","",$C$2+$E$2+$G$2+SUM($I$5:$I777)-SUM($J$5:$J777))</f>
        <v/>
      </c>
      <c r="M777" s="24"/>
      <c r="N777" s="33" t="str">
        <f aca="false">IF($B777="","",IF(NOT(ISNUMBER($B777)),"日期格式不对",IF($C777="","未选资金账户",IF(AND(N($I777)=0,N($J777)=0),"收支都为空",IF(AND(N($I777)&gt;0,N($J777)&gt;0),"收支不能同时填",IF(AND($D777&lt;&gt;"",LEFT($O777,1)="⚠"),"项目编号不存在",IF(AND($M777="是",$F777=""),"工程回款必须填往来单位","√")))))))</f>
        <v/>
      </c>
      <c r="O777" s="34" t="str">
        <f aca="false">IF($D777="","",IFERROR(INDEX(项目档案!$B$6:$B$255,MATCH($D777,项目档案!$A$6:$A$255,0)),"⚠编号不存在"))</f>
        <v/>
      </c>
      <c r="P777" s="35" t="str">
        <f aca="false">IF($B777="","",TEXT($B777,"yyyy-mm"))</f>
        <v/>
      </c>
    </row>
    <row r="778" customFormat="false" ht="15.75" hidden="false" customHeight="true" outlineLevel="0" collapsed="false">
      <c r="A778" s="32" t="str">
        <f aca="false">IF($B778="","",ROW()-4)</f>
        <v/>
      </c>
      <c r="B778" s="26"/>
      <c r="C778" s="21"/>
      <c r="D778" s="24"/>
      <c r="E778" s="21"/>
      <c r="F778" s="24"/>
      <c r="G778" s="21"/>
      <c r="H778" s="22"/>
      <c r="I778" s="27"/>
      <c r="J778" s="27"/>
      <c r="K778" s="36" t="str">
        <f aca="false">IF($B778="","",IF($C778="泓普",$C$2,IF($C778="仟茂",$E$2,IF($C778="现金",$G$2,0)))+SUMIFS($I$5:$I778,$C$5:$C778,$C778)-SUMIFS($J$5:$J778,$C$5:$C778,$C778))</f>
        <v/>
      </c>
      <c r="L778" s="36" t="str">
        <f aca="false">IF($B778="","",$C$2+$E$2+$G$2+SUM($I$5:$I778)-SUM($J$5:$J778))</f>
        <v/>
      </c>
      <c r="M778" s="24"/>
      <c r="N778" s="33" t="str">
        <f aca="false">IF($B778="","",IF(NOT(ISNUMBER($B778)),"日期格式不对",IF($C778="","未选资金账户",IF(AND(N($I778)=0,N($J778)=0),"收支都为空",IF(AND(N($I778)&gt;0,N($J778)&gt;0),"收支不能同时填",IF(AND($D778&lt;&gt;"",LEFT($O778,1)="⚠"),"项目编号不存在",IF(AND($M778="是",$F778=""),"工程回款必须填往来单位","√")))))))</f>
        <v/>
      </c>
      <c r="O778" s="34" t="str">
        <f aca="false">IF($D778="","",IFERROR(INDEX(项目档案!$B$6:$B$255,MATCH($D778,项目档案!$A$6:$A$255,0)),"⚠编号不存在"))</f>
        <v/>
      </c>
      <c r="P778" s="35" t="str">
        <f aca="false">IF($B778="","",TEXT($B778,"yyyy-mm"))</f>
        <v/>
      </c>
    </row>
    <row r="779" customFormat="false" ht="15.75" hidden="false" customHeight="true" outlineLevel="0" collapsed="false">
      <c r="A779" s="32" t="str">
        <f aca="false">IF($B779="","",ROW()-4)</f>
        <v/>
      </c>
      <c r="B779" s="26"/>
      <c r="C779" s="21"/>
      <c r="D779" s="24"/>
      <c r="E779" s="21"/>
      <c r="F779" s="24"/>
      <c r="G779" s="21"/>
      <c r="H779" s="22"/>
      <c r="I779" s="27"/>
      <c r="J779" s="27"/>
      <c r="K779" s="36" t="str">
        <f aca="false">IF($B779="","",IF($C779="泓普",$C$2,IF($C779="仟茂",$E$2,IF($C779="现金",$G$2,0)))+SUMIFS($I$5:$I779,$C$5:$C779,$C779)-SUMIFS($J$5:$J779,$C$5:$C779,$C779))</f>
        <v/>
      </c>
      <c r="L779" s="36" t="str">
        <f aca="false">IF($B779="","",$C$2+$E$2+$G$2+SUM($I$5:$I779)-SUM($J$5:$J779))</f>
        <v/>
      </c>
      <c r="M779" s="24"/>
      <c r="N779" s="33" t="str">
        <f aca="false">IF($B779="","",IF(NOT(ISNUMBER($B779)),"日期格式不对",IF($C779="","未选资金账户",IF(AND(N($I779)=0,N($J779)=0),"收支都为空",IF(AND(N($I779)&gt;0,N($J779)&gt;0),"收支不能同时填",IF(AND($D779&lt;&gt;"",LEFT($O779,1)="⚠"),"项目编号不存在",IF(AND($M779="是",$F779=""),"工程回款必须填往来单位","√")))))))</f>
        <v/>
      </c>
      <c r="O779" s="34" t="str">
        <f aca="false">IF($D779="","",IFERROR(INDEX(项目档案!$B$6:$B$255,MATCH($D779,项目档案!$A$6:$A$255,0)),"⚠编号不存在"))</f>
        <v/>
      </c>
      <c r="P779" s="35" t="str">
        <f aca="false">IF($B779="","",TEXT($B779,"yyyy-mm"))</f>
        <v/>
      </c>
    </row>
    <row r="780" customFormat="false" ht="15.75" hidden="false" customHeight="true" outlineLevel="0" collapsed="false">
      <c r="A780" s="32" t="str">
        <f aca="false">IF($B780="","",ROW()-4)</f>
        <v/>
      </c>
      <c r="B780" s="26"/>
      <c r="C780" s="21"/>
      <c r="D780" s="24"/>
      <c r="E780" s="21"/>
      <c r="F780" s="24"/>
      <c r="G780" s="21"/>
      <c r="H780" s="22"/>
      <c r="I780" s="27"/>
      <c r="J780" s="27"/>
      <c r="K780" s="36" t="str">
        <f aca="false">IF($B780="","",IF($C780="泓普",$C$2,IF($C780="仟茂",$E$2,IF($C780="现金",$G$2,0)))+SUMIFS($I$5:$I780,$C$5:$C780,$C780)-SUMIFS($J$5:$J780,$C$5:$C780,$C780))</f>
        <v/>
      </c>
      <c r="L780" s="36" t="str">
        <f aca="false">IF($B780="","",$C$2+$E$2+$G$2+SUM($I$5:$I780)-SUM($J$5:$J780))</f>
        <v/>
      </c>
      <c r="M780" s="24"/>
      <c r="N780" s="33" t="str">
        <f aca="false">IF($B780="","",IF(NOT(ISNUMBER($B780)),"日期格式不对",IF($C780="","未选资金账户",IF(AND(N($I780)=0,N($J780)=0),"收支都为空",IF(AND(N($I780)&gt;0,N($J780)&gt;0),"收支不能同时填",IF(AND($D780&lt;&gt;"",LEFT($O780,1)="⚠"),"项目编号不存在",IF(AND($M780="是",$F780=""),"工程回款必须填往来单位","√")))))))</f>
        <v/>
      </c>
      <c r="O780" s="34" t="str">
        <f aca="false">IF($D780="","",IFERROR(INDEX(项目档案!$B$6:$B$255,MATCH($D780,项目档案!$A$6:$A$255,0)),"⚠编号不存在"))</f>
        <v/>
      </c>
      <c r="P780" s="35" t="str">
        <f aca="false">IF($B780="","",TEXT($B780,"yyyy-mm"))</f>
        <v/>
      </c>
    </row>
    <row r="781" customFormat="false" ht="15.75" hidden="false" customHeight="true" outlineLevel="0" collapsed="false">
      <c r="A781" s="32" t="str">
        <f aca="false">IF($B781="","",ROW()-4)</f>
        <v/>
      </c>
      <c r="B781" s="26"/>
      <c r="C781" s="21"/>
      <c r="D781" s="24"/>
      <c r="E781" s="21"/>
      <c r="F781" s="24"/>
      <c r="G781" s="21"/>
      <c r="H781" s="22"/>
      <c r="I781" s="27"/>
      <c r="J781" s="27"/>
      <c r="K781" s="36" t="str">
        <f aca="false">IF($B781="","",IF($C781="泓普",$C$2,IF($C781="仟茂",$E$2,IF($C781="现金",$G$2,0)))+SUMIFS($I$5:$I781,$C$5:$C781,$C781)-SUMIFS($J$5:$J781,$C$5:$C781,$C781))</f>
        <v/>
      </c>
      <c r="L781" s="36" t="str">
        <f aca="false">IF($B781="","",$C$2+$E$2+$G$2+SUM($I$5:$I781)-SUM($J$5:$J781))</f>
        <v/>
      </c>
      <c r="M781" s="24"/>
      <c r="N781" s="33" t="str">
        <f aca="false">IF($B781="","",IF(NOT(ISNUMBER($B781)),"日期格式不对",IF($C781="","未选资金账户",IF(AND(N($I781)=0,N($J781)=0),"收支都为空",IF(AND(N($I781)&gt;0,N($J781)&gt;0),"收支不能同时填",IF(AND($D781&lt;&gt;"",LEFT($O781,1)="⚠"),"项目编号不存在",IF(AND($M781="是",$F781=""),"工程回款必须填往来单位","√")))))))</f>
        <v/>
      </c>
      <c r="O781" s="34" t="str">
        <f aca="false">IF($D781="","",IFERROR(INDEX(项目档案!$B$6:$B$255,MATCH($D781,项目档案!$A$6:$A$255,0)),"⚠编号不存在"))</f>
        <v/>
      </c>
      <c r="P781" s="35" t="str">
        <f aca="false">IF($B781="","",TEXT($B781,"yyyy-mm"))</f>
        <v/>
      </c>
    </row>
    <row r="782" customFormat="false" ht="15.75" hidden="false" customHeight="true" outlineLevel="0" collapsed="false">
      <c r="A782" s="32" t="str">
        <f aca="false">IF($B782="","",ROW()-4)</f>
        <v/>
      </c>
      <c r="B782" s="26"/>
      <c r="C782" s="21"/>
      <c r="D782" s="24"/>
      <c r="E782" s="21"/>
      <c r="F782" s="24"/>
      <c r="G782" s="21"/>
      <c r="H782" s="22"/>
      <c r="I782" s="27"/>
      <c r="J782" s="27"/>
      <c r="K782" s="36" t="str">
        <f aca="false">IF($B782="","",IF($C782="泓普",$C$2,IF($C782="仟茂",$E$2,IF($C782="现金",$G$2,0)))+SUMIFS($I$5:$I782,$C$5:$C782,$C782)-SUMIFS($J$5:$J782,$C$5:$C782,$C782))</f>
        <v/>
      </c>
      <c r="L782" s="36" t="str">
        <f aca="false">IF($B782="","",$C$2+$E$2+$G$2+SUM($I$5:$I782)-SUM($J$5:$J782))</f>
        <v/>
      </c>
      <c r="M782" s="24"/>
      <c r="N782" s="33" t="str">
        <f aca="false">IF($B782="","",IF(NOT(ISNUMBER($B782)),"日期格式不对",IF($C782="","未选资金账户",IF(AND(N($I782)=0,N($J782)=0),"收支都为空",IF(AND(N($I782)&gt;0,N($J782)&gt;0),"收支不能同时填",IF(AND($D782&lt;&gt;"",LEFT($O782,1)="⚠"),"项目编号不存在",IF(AND($M782="是",$F782=""),"工程回款必须填往来单位","√")))))))</f>
        <v/>
      </c>
      <c r="O782" s="34" t="str">
        <f aca="false">IF($D782="","",IFERROR(INDEX(项目档案!$B$6:$B$255,MATCH($D782,项目档案!$A$6:$A$255,0)),"⚠编号不存在"))</f>
        <v/>
      </c>
      <c r="P782" s="35" t="str">
        <f aca="false">IF($B782="","",TEXT($B782,"yyyy-mm"))</f>
        <v/>
      </c>
    </row>
    <row r="783" customFormat="false" ht="15.75" hidden="false" customHeight="true" outlineLevel="0" collapsed="false">
      <c r="A783" s="32" t="str">
        <f aca="false">IF($B783="","",ROW()-4)</f>
        <v/>
      </c>
      <c r="B783" s="26"/>
      <c r="C783" s="21"/>
      <c r="D783" s="24"/>
      <c r="E783" s="21"/>
      <c r="F783" s="24"/>
      <c r="G783" s="21"/>
      <c r="H783" s="22"/>
      <c r="I783" s="27"/>
      <c r="J783" s="27"/>
      <c r="K783" s="36" t="str">
        <f aca="false">IF($B783="","",IF($C783="泓普",$C$2,IF($C783="仟茂",$E$2,IF($C783="现金",$G$2,0)))+SUMIFS($I$5:$I783,$C$5:$C783,$C783)-SUMIFS($J$5:$J783,$C$5:$C783,$C783))</f>
        <v/>
      </c>
      <c r="L783" s="36" t="str">
        <f aca="false">IF($B783="","",$C$2+$E$2+$G$2+SUM($I$5:$I783)-SUM($J$5:$J783))</f>
        <v/>
      </c>
      <c r="M783" s="24"/>
      <c r="N783" s="33" t="str">
        <f aca="false">IF($B783="","",IF(NOT(ISNUMBER($B783)),"日期格式不对",IF($C783="","未选资金账户",IF(AND(N($I783)=0,N($J783)=0),"收支都为空",IF(AND(N($I783)&gt;0,N($J783)&gt;0),"收支不能同时填",IF(AND($D783&lt;&gt;"",LEFT($O783,1)="⚠"),"项目编号不存在",IF(AND($M783="是",$F783=""),"工程回款必须填往来单位","√")))))))</f>
        <v/>
      </c>
      <c r="O783" s="34" t="str">
        <f aca="false">IF($D783="","",IFERROR(INDEX(项目档案!$B$6:$B$255,MATCH($D783,项目档案!$A$6:$A$255,0)),"⚠编号不存在"))</f>
        <v/>
      </c>
      <c r="P783" s="35" t="str">
        <f aca="false">IF($B783="","",TEXT($B783,"yyyy-mm"))</f>
        <v/>
      </c>
    </row>
    <row r="784" customFormat="false" ht="15.75" hidden="false" customHeight="true" outlineLevel="0" collapsed="false">
      <c r="A784" s="32" t="str">
        <f aca="false">IF($B784="","",ROW()-4)</f>
        <v/>
      </c>
      <c r="B784" s="26"/>
      <c r="C784" s="21"/>
      <c r="D784" s="24"/>
      <c r="E784" s="21"/>
      <c r="F784" s="24"/>
      <c r="G784" s="21"/>
      <c r="H784" s="22"/>
      <c r="I784" s="27"/>
      <c r="J784" s="27"/>
      <c r="K784" s="36" t="str">
        <f aca="false">IF($B784="","",IF($C784="泓普",$C$2,IF($C784="仟茂",$E$2,IF($C784="现金",$G$2,0)))+SUMIFS($I$5:$I784,$C$5:$C784,$C784)-SUMIFS($J$5:$J784,$C$5:$C784,$C784))</f>
        <v/>
      </c>
      <c r="L784" s="36" t="str">
        <f aca="false">IF($B784="","",$C$2+$E$2+$G$2+SUM($I$5:$I784)-SUM($J$5:$J784))</f>
        <v/>
      </c>
      <c r="M784" s="24"/>
      <c r="N784" s="33" t="str">
        <f aca="false">IF($B784="","",IF(NOT(ISNUMBER($B784)),"日期格式不对",IF($C784="","未选资金账户",IF(AND(N($I784)=0,N($J784)=0),"收支都为空",IF(AND(N($I784)&gt;0,N($J784)&gt;0),"收支不能同时填",IF(AND($D784&lt;&gt;"",LEFT($O784,1)="⚠"),"项目编号不存在",IF(AND($M784="是",$F784=""),"工程回款必须填往来单位","√")))))))</f>
        <v/>
      </c>
      <c r="O784" s="34" t="str">
        <f aca="false">IF($D784="","",IFERROR(INDEX(项目档案!$B$6:$B$255,MATCH($D784,项目档案!$A$6:$A$255,0)),"⚠编号不存在"))</f>
        <v/>
      </c>
      <c r="P784" s="35" t="str">
        <f aca="false">IF($B784="","",TEXT($B784,"yyyy-mm"))</f>
        <v/>
      </c>
    </row>
    <row r="785" customFormat="false" ht="15.75" hidden="false" customHeight="true" outlineLevel="0" collapsed="false">
      <c r="A785" s="32" t="str">
        <f aca="false">IF($B785="","",ROW()-4)</f>
        <v/>
      </c>
      <c r="B785" s="26"/>
      <c r="C785" s="21"/>
      <c r="D785" s="24"/>
      <c r="E785" s="21"/>
      <c r="F785" s="24"/>
      <c r="G785" s="21"/>
      <c r="H785" s="22"/>
      <c r="I785" s="27"/>
      <c r="J785" s="27"/>
      <c r="K785" s="36" t="str">
        <f aca="false">IF($B785="","",IF($C785="泓普",$C$2,IF($C785="仟茂",$E$2,IF($C785="现金",$G$2,0)))+SUMIFS($I$5:$I785,$C$5:$C785,$C785)-SUMIFS($J$5:$J785,$C$5:$C785,$C785))</f>
        <v/>
      </c>
      <c r="L785" s="36" t="str">
        <f aca="false">IF($B785="","",$C$2+$E$2+$G$2+SUM($I$5:$I785)-SUM($J$5:$J785))</f>
        <v/>
      </c>
      <c r="M785" s="24"/>
      <c r="N785" s="33" t="str">
        <f aca="false">IF($B785="","",IF(NOT(ISNUMBER($B785)),"日期格式不对",IF($C785="","未选资金账户",IF(AND(N($I785)=0,N($J785)=0),"收支都为空",IF(AND(N($I785)&gt;0,N($J785)&gt;0),"收支不能同时填",IF(AND($D785&lt;&gt;"",LEFT($O785,1)="⚠"),"项目编号不存在",IF(AND($M785="是",$F785=""),"工程回款必须填往来单位","√")))))))</f>
        <v/>
      </c>
      <c r="O785" s="34" t="str">
        <f aca="false">IF($D785="","",IFERROR(INDEX(项目档案!$B$6:$B$255,MATCH($D785,项目档案!$A$6:$A$255,0)),"⚠编号不存在"))</f>
        <v/>
      </c>
      <c r="P785" s="35" t="str">
        <f aca="false">IF($B785="","",TEXT($B785,"yyyy-mm"))</f>
        <v/>
      </c>
    </row>
    <row r="786" customFormat="false" ht="15.75" hidden="false" customHeight="true" outlineLevel="0" collapsed="false">
      <c r="A786" s="32" t="str">
        <f aca="false">IF($B786="","",ROW()-4)</f>
        <v/>
      </c>
      <c r="B786" s="26"/>
      <c r="C786" s="21"/>
      <c r="D786" s="24"/>
      <c r="E786" s="21"/>
      <c r="F786" s="24"/>
      <c r="G786" s="21"/>
      <c r="H786" s="22"/>
      <c r="I786" s="27"/>
      <c r="J786" s="27"/>
      <c r="K786" s="36" t="str">
        <f aca="false">IF($B786="","",IF($C786="泓普",$C$2,IF($C786="仟茂",$E$2,IF($C786="现金",$G$2,0)))+SUMIFS($I$5:$I786,$C$5:$C786,$C786)-SUMIFS($J$5:$J786,$C$5:$C786,$C786))</f>
        <v/>
      </c>
      <c r="L786" s="36" t="str">
        <f aca="false">IF($B786="","",$C$2+$E$2+$G$2+SUM($I$5:$I786)-SUM($J$5:$J786))</f>
        <v/>
      </c>
      <c r="M786" s="24"/>
      <c r="N786" s="33" t="str">
        <f aca="false">IF($B786="","",IF(NOT(ISNUMBER($B786)),"日期格式不对",IF($C786="","未选资金账户",IF(AND(N($I786)=0,N($J786)=0),"收支都为空",IF(AND(N($I786)&gt;0,N($J786)&gt;0),"收支不能同时填",IF(AND($D786&lt;&gt;"",LEFT($O786,1)="⚠"),"项目编号不存在",IF(AND($M786="是",$F786=""),"工程回款必须填往来单位","√")))))))</f>
        <v/>
      </c>
      <c r="O786" s="34" t="str">
        <f aca="false">IF($D786="","",IFERROR(INDEX(项目档案!$B$6:$B$255,MATCH($D786,项目档案!$A$6:$A$255,0)),"⚠编号不存在"))</f>
        <v/>
      </c>
      <c r="P786" s="35" t="str">
        <f aca="false">IF($B786="","",TEXT($B786,"yyyy-mm"))</f>
        <v/>
      </c>
    </row>
    <row r="787" customFormat="false" ht="15.75" hidden="false" customHeight="true" outlineLevel="0" collapsed="false">
      <c r="A787" s="32" t="str">
        <f aca="false">IF($B787="","",ROW()-4)</f>
        <v/>
      </c>
      <c r="B787" s="26"/>
      <c r="C787" s="21"/>
      <c r="D787" s="24"/>
      <c r="E787" s="21"/>
      <c r="F787" s="24"/>
      <c r="G787" s="21"/>
      <c r="H787" s="22"/>
      <c r="I787" s="27"/>
      <c r="J787" s="27"/>
      <c r="K787" s="36" t="str">
        <f aca="false">IF($B787="","",IF($C787="泓普",$C$2,IF($C787="仟茂",$E$2,IF($C787="现金",$G$2,0)))+SUMIFS($I$5:$I787,$C$5:$C787,$C787)-SUMIFS($J$5:$J787,$C$5:$C787,$C787))</f>
        <v/>
      </c>
      <c r="L787" s="36" t="str">
        <f aca="false">IF($B787="","",$C$2+$E$2+$G$2+SUM($I$5:$I787)-SUM($J$5:$J787))</f>
        <v/>
      </c>
      <c r="M787" s="24"/>
      <c r="N787" s="33" t="str">
        <f aca="false">IF($B787="","",IF(NOT(ISNUMBER($B787)),"日期格式不对",IF($C787="","未选资金账户",IF(AND(N($I787)=0,N($J787)=0),"收支都为空",IF(AND(N($I787)&gt;0,N($J787)&gt;0),"收支不能同时填",IF(AND($D787&lt;&gt;"",LEFT($O787,1)="⚠"),"项目编号不存在",IF(AND($M787="是",$F787=""),"工程回款必须填往来单位","√")))))))</f>
        <v/>
      </c>
      <c r="O787" s="34" t="str">
        <f aca="false">IF($D787="","",IFERROR(INDEX(项目档案!$B$6:$B$255,MATCH($D787,项目档案!$A$6:$A$255,0)),"⚠编号不存在"))</f>
        <v/>
      </c>
      <c r="P787" s="35" t="str">
        <f aca="false">IF($B787="","",TEXT($B787,"yyyy-mm"))</f>
        <v/>
      </c>
    </row>
    <row r="788" customFormat="false" ht="15.75" hidden="false" customHeight="true" outlineLevel="0" collapsed="false">
      <c r="A788" s="32" t="str">
        <f aca="false">IF($B788="","",ROW()-4)</f>
        <v/>
      </c>
      <c r="B788" s="26"/>
      <c r="C788" s="21"/>
      <c r="D788" s="24"/>
      <c r="E788" s="21"/>
      <c r="F788" s="24"/>
      <c r="G788" s="21"/>
      <c r="H788" s="22"/>
      <c r="I788" s="27"/>
      <c r="J788" s="27"/>
      <c r="K788" s="36" t="str">
        <f aca="false">IF($B788="","",IF($C788="泓普",$C$2,IF($C788="仟茂",$E$2,IF($C788="现金",$G$2,0)))+SUMIFS($I$5:$I788,$C$5:$C788,$C788)-SUMIFS($J$5:$J788,$C$5:$C788,$C788))</f>
        <v/>
      </c>
      <c r="L788" s="36" t="str">
        <f aca="false">IF($B788="","",$C$2+$E$2+$G$2+SUM($I$5:$I788)-SUM($J$5:$J788))</f>
        <v/>
      </c>
      <c r="M788" s="24"/>
      <c r="N788" s="33" t="str">
        <f aca="false">IF($B788="","",IF(NOT(ISNUMBER($B788)),"日期格式不对",IF($C788="","未选资金账户",IF(AND(N($I788)=0,N($J788)=0),"收支都为空",IF(AND(N($I788)&gt;0,N($J788)&gt;0),"收支不能同时填",IF(AND($D788&lt;&gt;"",LEFT($O788,1)="⚠"),"项目编号不存在",IF(AND($M788="是",$F788=""),"工程回款必须填往来单位","√")))))))</f>
        <v/>
      </c>
      <c r="O788" s="34" t="str">
        <f aca="false">IF($D788="","",IFERROR(INDEX(项目档案!$B$6:$B$255,MATCH($D788,项目档案!$A$6:$A$255,0)),"⚠编号不存在"))</f>
        <v/>
      </c>
      <c r="P788" s="35" t="str">
        <f aca="false">IF($B788="","",TEXT($B788,"yyyy-mm"))</f>
        <v/>
      </c>
    </row>
    <row r="789" customFormat="false" ht="15.75" hidden="false" customHeight="true" outlineLevel="0" collapsed="false">
      <c r="A789" s="32" t="str">
        <f aca="false">IF($B789="","",ROW()-4)</f>
        <v/>
      </c>
      <c r="B789" s="26"/>
      <c r="C789" s="21"/>
      <c r="D789" s="24"/>
      <c r="E789" s="21"/>
      <c r="F789" s="24"/>
      <c r="G789" s="21"/>
      <c r="H789" s="22"/>
      <c r="I789" s="27"/>
      <c r="J789" s="27"/>
      <c r="K789" s="36" t="str">
        <f aca="false">IF($B789="","",IF($C789="泓普",$C$2,IF($C789="仟茂",$E$2,IF($C789="现金",$G$2,0)))+SUMIFS($I$5:$I789,$C$5:$C789,$C789)-SUMIFS($J$5:$J789,$C$5:$C789,$C789))</f>
        <v/>
      </c>
      <c r="L789" s="36" t="str">
        <f aca="false">IF($B789="","",$C$2+$E$2+$G$2+SUM($I$5:$I789)-SUM($J$5:$J789))</f>
        <v/>
      </c>
      <c r="M789" s="24"/>
      <c r="N789" s="33" t="str">
        <f aca="false">IF($B789="","",IF(NOT(ISNUMBER($B789)),"日期格式不对",IF($C789="","未选资金账户",IF(AND(N($I789)=0,N($J789)=0),"收支都为空",IF(AND(N($I789)&gt;0,N($J789)&gt;0),"收支不能同时填",IF(AND($D789&lt;&gt;"",LEFT($O789,1)="⚠"),"项目编号不存在",IF(AND($M789="是",$F789=""),"工程回款必须填往来单位","√")))))))</f>
        <v/>
      </c>
      <c r="O789" s="34" t="str">
        <f aca="false">IF($D789="","",IFERROR(INDEX(项目档案!$B$6:$B$255,MATCH($D789,项目档案!$A$6:$A$255,0)),"⚠编号不存在"))</f>
        <v/>
      </c>
      <c r="P789" s="35" t="str">
        <f aca="false">IF($B789="","",TEXT($B789,"yyyy-mm"))</f>
        <v/>
      </c>
    </row>
    <row r="790" customFormat="false" ht="15.75" hidden="false" customHeight="true" outlineLevel="0" collapsed="false">
      <c r="A790" s="32" t="str">
        <f aca="false">IF($B790="","",ROW()-4)</f>
        <v/>
      </c>
      <c r="B790" s="26"/>
      <c r="C790" s="21"/>
      <c r="D790" s="24"/>
      <c r="E790" s="21"/>
      <c r="F790" s="24"/>
      <c r="G790" s="21"/>
      <c r="H790" s="22"/>
      <c r="I790" s="27"/>
      <c r="J790" s="27"/>
      <c r="K790" s="36" t="str">
        <f aca="false">IF($B790="","",IF($C790="泓普",$C$2,IF($C790="仟茂",$E$2,IF($C790="现金",$G$2,0)))+SUMIFS($I$5:$I790,$C$5:$C790,$C790)-SUMIFS($J$5:$J790,$C$5:$C790,$C790))</f>
        <v/>
      </c>
      <c r="L790" s="36" t="str">
        <f aca="false">IF($B790="","",$C$2+$E$2+$G$2+SUM($I$5:$I790)-SUM($J$5:$J790))</f>
        <v/>
      </c>
      <c r="M790" s="24"/>
      <c r="N790" s="33" t="str">
        <f aca="false">IF($B790="","",IF(NOT(ISNUMBER($B790)),"日期格式不对",IF($C790="","未选资金账户",IF(AND(N($I790)=0,N($J790)=0),"收支都为空",IF(AND(N($I790)&gt;0,N($J790)&gt;0),"收支不能同时填",IF(AND($D790&lt;&gt;"",LEFT($O790,1)="⚠"),"项目编号不存在",IF(AND($M790="是",$F790=""),"工程回款必须填往来单位","√")))))))</f>
        <v/>
      </c>
      <c r="O790" s="34" t="str">
        <f aca="false">IF($D790="","",IFERROR(INDEX(项目档案!$B$6:$B$255,MATCH($D790,项目档案!$A$6:$A$255,0)),"⚠编号不存在"))</f>
        <v/>
      </c>
      <c r="P790" s="35" t="str">
        <f aca="false">IF($B790="","",TEXT($B790,"yyyy-mm"))</f>
        <v/>
      </c>
    </row>
    <row r="791" customFormat="false" ht="15.75" hidden="false" customHeight="true" outlineLevel="0" collapsed="false">
      <c r="A791" s="32" t="str">
        <f aca="false">IF($B791="","",ROW()-4)</f>
        <v/>
      </c>
      <c r="B791" s="26"/>
      <c r="C791" s="21"/>
      <c r="D791" s="24"/>
      <c r="E791" s="21"/>
      <c r="F791" s="24"/>
      <c r="G791" s="21"/>
      <c r="H791" s="22"/>
      <c r="I791" s="27"/>
      <c r="J791" s="27"/>
      <c r="K791" s="36" t="str">
        <f aca="false">IF($B791="","",IF($C791="泓普",$C$2,IF($C791="仟茂",$E$2,IF($C791="现金",$G$2,0)))+SUMIFS($I$5:$I791,$C$5:$C791,$C791)-SUMIFS($J$5:$J791,$C$5:$C791,$C791))</f>
        <v/>
      </c>
      <c r="L791" s="36" t="str">
        <f aca="false">IF($B791="","",$C$2+$E$2+$G$2+SUM($I$5:$I791)-SUM($J$5:$J791))</f>
        <v/>
      </c>
      <c r="M791" s="24"/>
      <c r="N791" s="33" t="str">
        <f aca="false">IF($B791="","",IF(NOT(ISNUMBER($B791)),"日期格式不对",IF($C791="","未选资金账户",IF(AND(N($I791)=0,N($J791)=0),"收支都为空",IF(AND(N($I791)&gt;0,N($J791)&gt;0),"收支不能同时填",IF(AND($D791&lt;&gt;"",LEFT($O791,1)="⚠"),"项目编号不存在",IF(AND($M791="是",$F791=""),"工程回款必须填往来单位","√")))))))</f>
        <v/>
      </c>
      <c r="O791" s="34" t="str">
        <f aca="false">IF($D791="","",IFERROR(INDEX(项目档案!$B$6:$B$255,MATCH($D791,项目档案!$A$6:$A$255,0)),"⚠编号不存在"))</f>
        <v/>
      </c>
      <c r="P791" s="35" t="str">
        <f aca="false">IF($B791="","",TEXT($B791,"yyyy-mm"))</f>
        <v/>
      </c>
    </row>
    <row r="792" customFormat="false" ht="15.75" hidden="false" customHeight="true" outlineLevel="0" collapsed="false">
      <c r="A792" s="32" t="str">
        <f aca="false">IF($B792="","",ROW()-4)</f>
        <v/>
      </c>
      <c r="B792" s="26"/>
      <c r="C792" s="21"/>
      <c r="D792" s="24"/>
      <c r="E792" s="21"/>
      <c r="F792" s="24"/>
      <c r="G792" s="21"/>
      <c r="H792" s="22"/>
      <c r="I792" s="27"/>
      <c r="J792" s="27"/>
      <c r="K792" s="36" t="str">
        <f aca="false">IF($B792="","",IF($C792="泓普",$C$2,IF($C792="仟茂",$E$2,IF($C792="现金",$G$2,0)))+SUMIFS($I$5:$I792,$C$5:$C792,$C792)-SUMIFS($J$5:$J792,$C$5:$C792,$C792))</f>
        <v/>
      </c>
      <c r="L792" s="36" t="str">
        <f aca="false">IF($B792="","",$C$2+$E$2+$G$2+SUM($I$5:$I792)-SUM($J$5:$J792))</f>
        <v/>
      </c>
      <c r="M792" s="24"/>
      <c r="N792" s="33" t="str">
        <f aca="false">IF($B792="","",IF(NOT(ISNUMBER($B792)),"日期格式不对",IF($C792="","未选资金账户",IF(AND(N($I792)=0,N($J792)=0),"收支都为空",IF(AND(N($I792)&gt;0,N($J792)&gt;0),"收支不能同时填",IF(AND($D792&lt;&gt;"",LEFT($O792,1)="⚠"),"项目编号不存在",IF(AND($M792="是",$F792=""),"工程回款必须填往来单位","√")))))))</f>
        <v/>
      </c>
      <c r="O792" s="34" t="str">
        <f aca="false">IF($D792="","",IFERROR(INDEX(项目档案!$B$6:$B$255,MATCH($D792,项目档案!$A$6:$A$255,0)),"⚠编号不存在"))</f>
        <v/>
      </c>
      <c r="P792" s="35" t="str">
        <f aca="false">IF($B792="","",TEXT($B792,"yyyy-mm"))</f>
        <v/>
      </c>
    </row>
    <row r="793" customFormat="false" ht="15.75" hidden="false" customHeight="true" outlineLevel="0" collapsed="false">
      <c r="A793" s="32" t="str">
        <f aca="false">IF($B793="","",ROW()-4)</f>
        <v/>
      </c>
      <c r="B793" s="26"/>
      <c r="C793" s="21"/>
      <c r="D793" s="24"/>
      <c r="E793" s="21"/>
      <c r="F793" s="24"/>
      <c r="G793" s="21"/>
      <c r="H793" s="22"/>
      <c r="I793" s="27"/>
      <c r="J793" s="27"/>
      <c r="K793" s="36" t="str">
        <f aca="false">IF($B793="","",IF($C793="泓普",$C$2,IF($C793="仟茂",$E$2,IF($C793="现金",$G$2,0)))+SUMIFS($I$5:$I793,$C$5:$C793,$C793)-SUMIFS($J$5:$J793,$C$5:$C793,$C793))</f>
        <v/>
      </c>
      <c r="L793" s="36" t="str">
        <f aca="false">IF($B793="","",$C$2+$E$2+$G$2+SUM($I$5:$I793)-SUM($J$5:$J793))</f>
        <v/>
      </c>
      <c r="M793" s="24"/>
      <c r="N793" s="33" t="str">
        <f aca="false">IF($B793="","",IF(NOT(ISNUMBER($B793)),"日期格式不对",IF($C793="","未选资金账户",IF(AND(N($I793)=0,N($J793)=0),"收支都为空",IF(AND(N($I793)&gt;0,N($J793)&gt;0),"收支不能同时填",IF(AND($D793&lt;&gt;"",LEFT($O793,1)="⚠"),"项目编号不存在",IF(AND($M793="是",$F793=""),"工程回款必须填往来单位","√")))))))</f>
        <v/>
      </c>
      <c r="O793" s="34" t="str">
        <f aca="false">IF($D793="","",IFERROR(INDEX(项目档案!$B$6:$B$255,MATCH($D793,项目档案!$A$6:$A$255,0)),"⚠编号不存在"))</f>
        <v/>
      </c>
      <c r="P793" s="35" t="str">
        <f aca="false">IF($B793="","",TEXT($B793,"yyyy-mm"))</f>
        <v/>
      </c>
    </row>
    <row r="794" customFormat="false" ht="15.75" hidden="false" customHeight="true" outlineLevel="0" collapsed="false">
      <c r="A794" s="32" t="str">
        <f aca="false">IF($B794="","",ROW()-4)</f>
        <v/>
      </c>
      <c r="B794" s="26"/>
      <c r="C794" s="21"/>
      <c r="D794" s="24"/>
      <c r="E794" s="21"/>
      <c r="F794" s="24"/>
      <c r="G794" s="21"/>
      <c r="H794" s="22"/>
      <c r="I794" s="27"/>
      <c r="J794" s="27"/>
      <c r="K794" s="36" t="str">
        <f aca="false">IF($B794="","",IF($C794="泓普",$C$2,IF($C794="仟茂",$E$2,IF($C794="现金",$G$2,0)))+SUMIFS($I$5:$I794,$C$5:$C794,$C794)-SUMIFS($J$5:$J794,$C$5:$C794,$C794))</f>
        <v/>
      </c>
      <c r="L794" s="36" t="str">
        <f aca="false">IF($B794="","",$C$2+$E$2+$G$2+SUM($I$5:$I794)-SUM($J$5:$J794))</f>
        <v/>
      </c>
      <c r="M794" s="24"/>
      <c r="N794" s="33" t="str">
        <f aca="false">IF($B794="","",IF(NOT(ISNUMBER($B794)),"日期格式不对",IF($C794="","未选资金账户",IF(AND(N($I794)=0,N($J794)=0),"收支都为空",IF(AND(N($I794)&gt;0,N($J794)&gt;0),"收支不能同时填",IF(AND($D794&lt;&gt;"",LEFT($O794,1)="⚠"),"项目编号不存在",IF(AND($M794="是",$F794=""),"工程回款必须填往来单位","√")))))))</f>
        <v/>
      </c>
      <c r="O794" s="34" t="str">
        <f aca="false">IF($D794="","",IFERROR(INDEX(项目档案!$B$6:$B$255,MATCH($D794,项目档案!$A$6:$A$255,0)),"⚠编号不存在"))</f>
        <v/>
      </c>
      <c r="P794" s="35" t="str">
        <f aca="false">IF($B794="","",TEXT($B794,"yyyy-mm"))</f>
        <v/>
      </c>
    </row>
    <row r="795" customFormat="false" ht="15.75" hidden="false" customHeight="true" outlineLevel="0" collapsed="false">
      <c r="A795" s="32" t="str">
        <f aca="false">IF($B795="","",ROW()-4)</f>
        <v/>
      </c>
      <c r="B795" s="26"/>
      <c r="C795" s="21"/>
      <c r="D795" s="24"/>
      <c r="E795" s="21"/>
      <c r="F795" s="24"/>
      <c r="G795" s="21"/>
      <c r="H795" s="22"/>
      <c r="I795" s="27"/>
      <c r="J795" s="27"/>
      <c r="K795" s="36" t="str">
        <f aca="false">IF($B795="","",IF($C795="泓普",$C$2,IF($C795="仟茂",$E$2,IF($C795="现金",$G$2,0)))+SUMIFS($I$5:$I795,$C$5:$C795,$C795)-SUMIFS($J$5:$J795,$C$5:$C795,$C795))</f>
        <v/>
      </c>
      <c r="L795" s="36" t="str">
        <f aca="false">IF($B795="","",$C$2+$E$2+$G$2+SUM($I$5:$I795)-SUM($J$5:$J795))</f>
        <v/>
      </c>
      <c r="M795" s="24"/>
      <c r="N795" s="33" t="str">
        <f aca="false">IF($B795="","",IF(NOT(ISNUMBER($B795)),"日期格式不对",IF($C795="","未选资金账户",IF(AND(N($I795)=0,N($J795)=0),"收支都为空",IF(AND(N($I795)&gt;0,N($J795)&gt;0),"收支不能同时填",IF(AND($D795&lt;&gt;"",LEFT($O795,1)="⚠"),"项目编号不存在",IF(AND($M795="是",$F795=""),"工程回款必须填往来单位","√")))))))</f>
        <v/>
      </c>
      <c r="O795" s="34" t="str">
        <f aca="false">IF($D795="","",IFERROR(INDEX(项目档案!$B$6:$B$255,MATCH($D795,项目档案!$A$6:$A$255,0)),"⚠编号不存在"))</f>
        <v/>
      </c>
      <c r="P795" s="35" t="str">
        <f aca="false">IF($B795="","",TEXT($B795,"yyyy-mm"))</f>
        <v/>
      </c>
    </row>
    <row r="796" customFormat="false" ht="15.75" hidden="false" customHeight="true" outlineLevel="0" collapsed="false">
      <c r="A796" s="32" t="str">
        <f aca="false">IF($B796="","",ROW()-4)</f>
        <v/>
      </c>
      <c r="B796" s="26"/>
      <c r="C796" s="21"/>
      <c r="D796" s="24"/>
      <c r="E796" s="21"/>
      <c r="F796" s="24"/>
      <c r="G796" s="21"/>
      <c r="H796" s="22"/>
      <c r="I796" s="27"/>
      <c r="J796" s="27"/>
      <c r="K796" s="36" t="str">
        <f aca="false">IF($B796="","",IF($C796="泓普",$C$2,IF($C796="仟茂",$E$2,IF($C796="现金",$G$2,0)))+SUMIFS($I$5:$I796,$C$5:$C796,$C796)-SUMIFS($J$5:$J796,$C$5:$C796,$C796))</f>
        <v/>
      </c>
      <c r="L796" s="36" t="str">
        <f aca="false">IF($B796="","",$C$2+$E$2+$G$2+SUM($I$5:$I796)-SUM($J$5:$J796))</f>
        <v/>
      </c>
      <c r="M796" s="24"/>
      <c r="N796" s="33" t="str">
        <f aca="false">IF($B796="","",IF(NOT(ISNUMBER($B796)),"日期格式不对",IF($C796="","未选资金账户",IF(AND(N($I796)=0,N($J796)=0),"收支都为空",IF(AND(N($I796)&gt;0,N($J796)&gt;0),"收支不能同时填",IF(AND($D796&lt;&gt;"",LEFT($O796,1)="⚠"),"项目编号不存在",IF(AND($M796="是",$F796=""),"工程回款必须填往来单位","√")))))))</f>
        <v/>
      </c>
      <c r="O796" s="34" t="str">
        <f aca="false">IF($D796="","",IFERROR(INDEX(项目档案!$B$6:$B$255,MATCH($D796,项目档案!$A$6:$A$255,0)),"⚠编号不存在"))</f>
        <v/>
      </c>
      <c r="P796" s="35" t="str">
        <f aca="false">IF($B796="","",TEXT($B796,"yyyy-mm"))</f>
        <v/>
      </c>
    </row>
    <row r="797" customFormat="false" ht="15.75" hidden="false" customHeight="true" outlineLevel="0" collapsed="false">
      <c r="A797" s="32" t="str">
        <f aca="false">IF($B797="","",ROW()-4)</f>
        <v/>
      </c>
      <c r="B797" s="26"/>
      <c r="C797" s="21"/>
      <c r="D797" s="24"/>
      <c r="E797" s="21"/>
      <c r="F797" s="24"/>
      <c r="G797" s="21"/>
      <c r="H797" s="22"/>
      <c r="I797" s="27"/>
      <c r="J797" s="27"/>
      <c r="K797" s="36" t="str">
        <f aca="false">IF($B797="","",IF($C797="泓普",$C$2,IF($C797="仟茂",$E$2,IF($C797="现金",$G$2,0)))+SUMIFS($I$5:$I797,$C$5:$C797,$C797)-SUMIFS($J$5:$J797,$C$5:$C797,$C797))</f>
        <v/>
      </c>
      <c r="L797" s="36" t="str">
        <f aca="false">IF($B797="","",$C$2+$E$2+$G$2+SUM($I$5:$I797)-SUM($J$5:$J797))</f>
        <v/>
      </c>
      <c r="M797" s="24"/>
      <c r="N797" s="33" t="str">
        <f aca="false">IF($B797="","",IF(NOT(ISNUMBER($B797)),"日期格式不对",IF($C797="","未选资金账户",IF(AND(N($I797)=0,N($J797)=0),"收支都为空",IF(AND(N($I797)&gt;0,N($J797)&gt;0),"收支不能同时填",IF(AND($D797&lt;&gt;"",LEFT($O797,1)="⚠"),"项目编号不存在",IF(AND($M797="是",$F797=""),"工程回款必须填往来单位","√")))))))</f>
        <v/>
      </c>
      <c r="O797" s="34" t="str">
        <f aca="false">IF($D797="","",IFERROR(INDEX(项目档案!$B$6:$B$255,MATCH($D797,项目档案!$A$6:$A$255,0)),"⚠编号不存在"))</f>
        <v/>
      </c>
      <c r="P797" s="35" t="str">
        <f aca="false">IF($B797="","",TEXT($B797,"yyyy-mm"))</f>
        <v/>
      </c>
    </row>
    <row r="798" customFormat="false" ht="15.75" hidden="false" customHeight="true" outlineLevel="0" collapsed="false">
      <c r="A798" s="32" t="str">
        <f aca="false">IF($B798="","",ROW()-4)</f>
        <v/>
      </c>
      <c r="B798" s="26"/>
      <c r="C798" s="21"/>
      <c r="D798" s="24"/>
      <c r="E798" s="21"/>
      <c r="F798" s="24"/>
      <c r="G798" s="21"/>
      <c r="H798" s="22"/>
      <c r="I798" s="27"/>
      <c r="J798" s="27"/>
      <c r="K798" s="36" t="str">
        <f aca="false">IF($B798="","",IF($C798="泓普",$C$2,IF($C798="仟茂",$E$2,IF($C798="现金",$G$2,0)))+SUMIFS($I$5:$I798,$C$5:$C798,$C798)-SUMIFS($J$5:$J798,$C$5:$C798,$C798))</f>
        <v/>
      </c>
      <c r="L798" s="36" t="str">
        <f aca="false">IF($B798="","",$C$2+$E$2+$G$2+SUM($I$5:$I798)-SUM($J$5:$J798))</f>
        <v/>
      </c>
      <c r="M798" s="24"/>
      <c r="N798" s="33" t="str">
        <f aca="false">IF($B798="","",IF(NOT(ISNUMBER($B798)),"日期格式不对",IF($C798="","未选资金账户",IF(AND(N($I798)=0,N($J798)=0),"收支都为空",IF(AND(N($I798)&gt;0,N($J798)&gt;0),"收支不能同时填",IF(AND($D798&lt;&gt;"",LEFT($O798,1)="⚠"),"项目编号不存在",IF(AND($M798="是",$F798=""),"工程回款必须填往来单位","√")))))))</f>
        <v/>
      </c>
      <c r="O798" s="34" t="str">
        <f aca="false">IF($D798="","",IFERROR(INDEX(项目档案!$B$6:$B$255,MATCH($D798,项目档案!$A$6:$A$255,0)),"⚠编号不存在"))</f>
        <v/>
      </c>
      <c r="P798" s="35" t="str">
        <f aca="false">IF($B798="","",TEXT($B798,"yyyy-mm"))</f>
        <v/>
      </c>
    </row>
    <row r="799" customFormat="false" ht="15.75" hidden="false" customHeight="true" outlineLevel="0" collapsed="false">
      <c r="A799" s="32" t="str">
        <f aca="false">IF($B799="","",ROW()-4)</f>
        <v/>
      </c>
      <c r="B799" s="26"/>
      <c r="C799" s="21"/>
      <c r="D799" s="24"/>
      <c r="E799" s="21"/>
      <c r="F799" s="24"/>
      <c r="G799" s="21"/>
      <c r="H799" s="22"/>
      <c r="I799" s="27"/>
      <c r="J799" s="27"/>
      <c r="K799" s="36" t="str">
        <f aca="false">IF($B799="","",IF($C799="泓普",$C$2,IF($C799="仟茂",$E$2,IF($C799="现金",$G$2,0)))+SUMIFS($I$5:$I799,$C$5:$C799,$C799)-SUMIFS($J$5:$J799,$C$5:$C799,$C799))</f>
        <v/>
      </c>
      <c r="L799" s="36" t="str">
        <f aca="false">IF($B799="","",$C$2+$E$2+$G$2+SUM($I$5:$I799)-SUM($J$5:$J799))</f>
        <v/>
      </c>
      <c r="M799" s="24"/>
      <c r="N799" s="33" t="str">
        <f aca="false">IF($B799="","",IF(NOT(ISNUMBER($B799)),"日期格式不对",IF($C799="","未选资金账户",IF(AND(N($I799)=0,N($J799)=0),"收支都为空",IF(AND(N($I799)&gt;0,N($J799)&gt;0),"收支不能同时填",IF(AND($D799&lt;&gt;"",LEFT($O799,1)="⚠"),"项目编号不存在",IF(AND($M799="是",$F799=""),"工程回款必须填往来单位","√")))))))</f>
        <v/>
      </c>
      <c r="O799" s="34" t="str">
        <f aca="false">IF($D799="","",IFERROR(INDEX(项目档案!$B$6:$B$255,MATCH($D799,项目档案!$A$6:$A$255,0)),"⚠编号不存在"))</f>
        <v/>
      </c>
      <c r="P799" s="35" t="str">
        <f aca="false">IF($B799="","",TEXT($B799,"yyyy-mm"))</f>
        <v/>
      </c>
    </row>
    <row r="800" customFormat="false" ht="15.75" hidden="false" customHeight="true" outlineLevel="0" collapsed="false">
      <c r="A800" s="32" t="str">
        <f aca="false">IF($B800="","",ROW()-4)</f>
        <v/>
      </c>
      <c r="B800" s="26"/>
      <c r="C800" s="21"/>
      <c r="D800" s="24"/>
      <c r="E800" s="21"/>
      <c r="F800" s="24"/>
      <c r="G800" s="21"/>
      <c r="H800" s="22"/>
      <c r="I800" s="27"/>
      <c r="J800" s="27"/>
      <c r="K800" s="36" t="str">
        <f aca="false">IF($B800="","",IF($C800="泓普",$C$2,IF($C800="仟茂",$E$2,IF($C800="现金",$G$2,0)))+SUMIFS($I$5:$I800,$C$5:$C800,$C800)-SUMIFS($J$5:$J800,$C$5:$C800,$C800))</f>
        <v/>
      </c>
      <c r="L800" s="36" t="str">
        <f aca="false">IF($B800="","",$C$2+$E$2+$G$2+SUM($I$5:$I800)-SUM($J$5:$J800))</f>
        <v/>
      </c>
      <c r="M800" s="24"/>
      <c r="N800" s="33" t="str">
        <f aca="false">IF($B800="","",IF(NOT(ISNUMBER($B800)),"日期格式不对",IF($C800="","未选资金账户",IF(AND(N($I800)=0,N($J800)=0),"收支都为空",IF(AND(N($I800)&gt;0,N($J800)&gt;0),"收支不能同时填",IF(AND($D800&lt;&gt;"",LEFT($O800,1)="⚠"),"项目编号不存在",IF(AND($M800="是",$F800=""),"工程回款必须填往来单位","√")))))))</f>
        <v/>
      </c>
      <c r="O800" s="34" t="str">
        <f aca="false">IF($D800="","",IFERROR(INDEX(项目档案!$B$6:$B$255,MATCH($D800,项目档案!$A$6:$A$255,0)),"⚠编号不存在"))</f>
        <v/>
      </c>
      <c r="P800" s="35" t="str">
        <f aca="false">IF($B800="","",TEXT($B800,"yyyy-mm"))</f>
        <v/>
      </c>
    </row>
    <row r="801" customFormat="false" ht="15.75" hidden="false" customHeight="true" outlineLevel="0" collapsed="false">
      <c r="A801" s="32" t="str">
        <f aca="false">IF($B801="","",ROW()-4)</f>
        <v/>
      </c>
      <c r="B801" s="26"/>
      <c r="C801" s="21"/>
      <c r="D801" s="24"/>
      <c r="E801" s="21"/>
      <c r="F801" s="24"/>
      <c r="G801" s="21"/>
      <c r="H801" s="22"/>
      <c r="I801" s="27"/>
      <c r="J801" s="27"/>
      <c r="K801" s="36" t="str">
        <f aca="false">IF($B801="","",IF($C801="泓普",$C$2,IF($C801="仟茂",$E$2,IF($C801="现金",$G$2,0)))+SUMIFS($I$5:$I801,$C$5:$C801,$C801)-SUMIFS($J$5:$J801,$C$5:$C801,$C801))</f>
        <v/>
      </c>
      <c r="L801" s="36" t="str">
        <f aca="false">IF($B801="","",$C$2+$E$2+$G$2+SUM($I$5:$I801)-SUM($J$5:$J801))</f>
        <v/>
      </c>
      <c r="M801" s="24"/>
      <c r="N801" s="33" t="str">
        <f aca="false">IF($B801="","",IF(NOT(ISNUMBER($B801)),"日期格式不对",IF($C801="","未选资金账户",IF(AND(N($I801)=0,N($J801)=0),"收支都为空",IF(AND(N($I801)&gt;0,N($J801)&gt;0),"收支不能同时填",IF(AND($D801&lt;&gt;"",LEFT($O801,1)="⚠"),"项目编号不存在",IF(AND($M801="是",$F801=""),"工程回款必须填往来单位","√")))))))</f>
        <v/>
      </c>
      <c r="O801" s="34" t="str">
        <f aca="false">IF($D801="","",IFERROR(INDEX(项目档案!$B$6:$B$255,MATCH($D801,项目档案!$A$6:$A$255,0)),"⚠编号不存在"))</f>
        <v/>
      </c>
      <c r="P801" s="35" t="str">
        <f aca="false">IF($B801="","",TEXT($B801,"yyyy-mm"))</f>
        <v/>
      </c>
    </row>
    <row r="802" customFormat="false" ht="15.75" hidden="false" customHeight="true" outlineLevel="0" collapsed="false">
      <c r="A802" s="32" t="str">
        <f aca="false">IF($B802="","",ROW()-4)</f>
        <v/>
      </c>
      <c r="B802" s="26"/>
      <c r="C802" s="21"/>
      <c r="D802" s="24"/>
      <c r="E802" s="21"/>
      <c r="F802" s="24"/>
      <c r="G802" s="21"/>
      <c r="H802" s="22"/>
      <c r="I802" s="27"/>
      <c r="J802" s="27"/>
      <c r="K802" s="36" t="str">
        <f aca="false">IF($B802="","",IF($C802="泓普",$C$2,IF($C802="仟茂",$E$2,IF($C802="现金",$G$2,0)))+SUMIFS($I$5:$I802,$C$5:$C802,$C802)-SUMIFS($J$5:$J802,$C$5:$C802,$C802))</f>
        <v/>
      </c>
      <c r="L802" s="36" t="str">
        <f aca="false">IF($B802="","",$C$2+$E$2+$G$2+SUM($I$5:$I802)-SUM($J$5:$J802))</f>
        <v/>
      </c>
      <c r="M802" s="24"/>
      <c r="N802" s="33" t="str">
        <f aca="false">IF($B802="","",IF(NOT(ISNUMBER($B802)),"日期格式不对",IF($C802="","未选资金账户",IF(AND(N($I802)=0,N($J802)=0),"收支都为空",IF(AND(N($I802)&gt;0,N($J802)&gt;0),"收支不能同时填",IF(AND($D802&lt;&gt;"",LEFT($O802,1)="⚠"),"项目编号不存在",IF(AND($M802="是",$F802=""),"工程回款必须填往来单位","√")))))))</f>
        <v/>
      </c>
      <c r="O802" s="34" t="str">
        <f aca="false">IF($D802="","",IFERROR(INDEX(项目档案!$B$6:$B$255,MATCH($D802,项目档案!$A$6:$A$255,0)),"⚠编号不存在"))</f>
        <v/>
      </c>
      <c r="P802" s="35" t="str">
        <f aca="false">IF($B802="","",TEXT($B802,"yyyy-mm"))</f>
        <v/>
      </c>
    </row>
    <row r="803" customFormat="false" ht="15.75" hidden="false" customHeight="true" outlineLevel="0" collapsed="false">
      <c r="A803" s="32" t="str">
        <f aca="false">IF($B803="","",ROW()-4)</f>
        <v/>
      </c>
      <c r="B803" s="26"/>
      <c r="C803" s="21"/>
      <c r="D803" s="24"/>
      <c r="E803" s="21"/>
      <c r="F803" s="24"/>
      <c r="G803" s="21"/>
      <c r="H803" s="22"/>
      <c r="I803" s="27"/>
      <c r="J803" s="27"/>
      <c r="K803" s="36" t="str">
        <f aca="false">IF($B803="","",IF($C803="泓普",$C$2,IF($C803="仟茂",$E$2,IF($C803="现金",$G$2,0)))+SUMIFS($I$5:$I803,$C$5:$C803,$C803)-SUMIFS($J$5:$J803,$C$5:$C803,$C803))</f>
        <v/>
      </c>
      <c r="L803" s="36" t="str">
        <f aca="false">IF($B803="","",$C$2+$E$2+$G$2+SUM($I$5:$I803)-SUM($J$5:$J803))</f>
        <v/>
      </c>
      <c r="M803" s="24"/>
      <c r="N803" s="33" t="str">
        <f aca="false">IF($B803="","",IF(NOT(ISNUMBER($B803)),"日期格式不对",IF($C803="","未选资金账户",IF(AND(N($I803)=0,N($J803)=0),"收支都为空",IF(AND(N($I803)&gt;0,N($J803)&gt;0),"收支不能同时填",IF(AND($D803&lt;&gt;"",LEFT($O803,1)="⚠"),"项目编号不存在",IF(AND($M803="是",$F803=""),"工程回款必须填往来单位","√")))))))</f>
        <v/>
      </c>
      <c r="O803" s="34" t="str">
        <f aca="false">IF($D803="","",IFERROR(INDEX(项目档案!$B$6:$B$255,MATCH($D803,项目档案!$A$6:$A$255,0)),"⚠编号不存在"))</f>
        <v/>
      </c>
      <c r="P803" s="35" t="str">
        <f aca="false">IF($B803="","",TEXT($B803,"yyyy-mm"))</f>
        <v/>
      </c>
    </row>
    <row r="804" customFormat="false" ht="15.75" hidden="false" customHeight="true" outlineLevel="0" collapsed="false">
      <c r="A804" s="32" t="str">
        <f aca="false">IF($B804="","",ROW()-4)</f>
        <v/>
      </c>
      <c r="B804" s="26"/>
      <c r="C804" s="21"/>
      <c r="D804" s="24"/>
      <c r="E804" s="21"/>
      <c r="F804" s="24"/>
      <c r="G804" s="21"/>
      <c r="H804" s="22"/>
      <c r="I804" s="27"/>
      <c r="J804" s="27"/>
      <c r="K804" s="36" t="str">
        <f aca="false">IF($B804="","",IF($C804="泓普",$C$2,IF($C804="仟茂",$E$2,IF($C804="现金",$G$2,0)))+SUMIFS($I$5:$I804,$C$5:$C804,$C804)-SUMIFS($J$5:$J804,$C$5:$C804,$C804))</f>
        <v/>
      </c>
      <c r="L804" s="36" t="str">
        <f aca="false">IF($B804="","",$C$2+$E$2+$G$2+SUM($I$5:$I804)-SUM($J$5:$J804))</f>
        <v/>
      </c>
      <c r="M804" s="24"/>
      <c r="N804" s="33" t="str">
        <f aca="false">IF($B804="","",IF(NOT(ISNUMBER($B804)),"日期格式不对",IF($C804="","未选资金账户",IF(AND(N($I804)=0,N($J804)=0),"收支都为空",IF(AND(N($I804)&gt;0,N($J804)&gt;0),"收支不能同时填",IF(AND($D804&lt;&gt;"",LEFT($O804,1)="⚠"),"项目编号不存在",IF(AND($M804="是",$F804=""),"工程回款必须填往来单位","√")))))))</f>
        <v/>
      </c>
      <c r="O804" s="34" t="str">
        <f aca="false">IF($D804="","",IFERROR(INDEX(项目档案!$B$6:$B$255,MATCH($D804,项目档案!$A$6:$A$255,0)),"⚠编号不存在"))</f>
        <v/>
      </c>
      <c r="P804" s="35" t="str">
        <f aca="false">IF($B804="","",TEXT($B804,"yyyy-mm"))</f>
        <v/>
      </c>
    </row>
    <row r="805" customFormat="false" ht="15.75" hidden="false" customHeight="true" outlineLevel="0" collapsed="false">
      <c r="A805" s="32" t="str">
        <f aca="false">IF($B805="","",ROW()-4)</f>
        <v/>
      </c>
      <c r="B805" s="26"/>
      <c r="C805" s="21"/>
      <c r="D805" s="24"/>
      <c r="E805" s="21"/>
      <c r="F805" s="24"/>
      <c r="G805" s="21"/>
      <c r="H805" s="22"/>
      <c r="I805" s="27"/>
      <c r="J805" s="27"/>
      <c r="K805" s="36" t="str">
        <f aca="false">IF($B805="","",IF($C805="泓普",$C$2,IF($C805="仟茂",$E$2,IF($C805="现金",$G$2,0)))+SUMIFS($I$5:$I805,$C$5:$C805,$C805)-SUMIFS($J$5:$J805,$C$5:$C805,$C805))</f>
        <v/>
      </c>
      <c r="L805" s="36" t="str">
        <f aca="false">IF($B805="","",$C$2+$E$2+$G$2+SUM($I$5:$I805)-SUM($J$5:$J805))</f>
        <v/>
      </c>
      <c r="M805" s="24"/>
      <c r="N805" s="33" t="str">
        <f aca="false">IF($B805="","",IF(NOT(ISNUMBER($B805)),"日期格式不对",IF($C805="","未选资金账户",IF(AND(N($I805)=0,N($J805)=0),"收支都为空",IF(AND(N($I805)&gt;0,N($J805)&gt;0),"收支不能同时填",IF(AND($D805&lt;&gt;"",LEFT($O805,1)="⚠"),"项目编号不存在",IF(AND($M805="是",$F805=""),"工程回款必须填往来单位","√")))))))</f>
        <v/>
      </c>
      <c r="O805" s="34" t="str">
        <f aca="false">IF($D805="","",IFERROR(INDEX(项目档案!$B$6:$B$255,MATCH($D805,项目档案!$A$6:$A$255,0)),"⚠编号不存在"))</f>
        <v/>
      </c>
      <c r="P805" s="35" t="str">
        <f aca="false">IF($B805="","",TEXT($B805,"yyyy-mm"))</f>
        <v/>
      </c>
    </row>
    <row r="806" customFormat="false" ht="15.75" hidden="false" customHeight="true" outlineLevel="0" collapsed="false">
      <c r="A806" s="32" t="str">
        <f aca="false">IF($B806="","",ROW()-4)</f>
        <v/>
      </c>
      <c r="B806" s="26"/>
      <c r="C806" s="21"/>
      <c r="D806" s="24"/>
      <c r="E806" s="21"/>
      <c r="F806" s="24"/>
      <c r="G806" s="21"/>
      <c r="H806" s="22"/>
      <c r="I806" s="27"/>
      <c r="J806" s="27"/>
      <c r="K806" s="36" t="str">
        <f aca="false">IF($B806="","",IF($C806="泓普",$C$2,IF($C806="仟茂",$E$2,IF($C806="现金",$G$2,0)))+SUMIFS($I$5:$I806,$C$5:$C806,$C806)-SUMIFS($J$5:$J806,$C$5:$C806,$C806))</f>
        <v/>
      </c>
      <c r="L806" s="36" t="str">
        <f aca="false">IF($B806="","",$C$2+$E$2+$G$2+SUM($I$5:$I806)-SUM($J$5:$J806))</f>
        <v/>
      </c>
      <c r="M806" s="24"/>
      <c r="N806" s="33" t="str">
        <f aca="false">IF($B806="","",IF(NOT(ISNUMBER($B806)),"日期格式不对",IF($C806="","未选资金账户",IF(AND(N($I806)=0,N($J806)=0),"收支都为空",IF(AND(N($I806)&gt;0,N($J806)&gt;0),"收支不能同时填",IF(AND($D806&lt;&gt;"",LEFT($O806,1)="⚠"),"项目编号不存在",IF(AND($M806="是",$F806=""),"工程回款必须填往来单位","√")))))))</f>
        <v/>
      </c>
      <c r="O806" s="34" t="str">
        <f aca="false">IF($D806="","",IFERROR(INDEX(项目档案!$B$6:$B$255,MATCH($D806,项目档案!$A$6:$A$255,0)),"⚠编号不存在"))</f>
        <v/>
      </c>
      <c r="P806" s="35" t="str">
        <f aca="false">IF($B806="","",TEXT($B806,"yyyy-mm"))</f>
        <v/>
      </c>
    </row>
    <row r="807" customFormat="false" ht="15.75" hidden="false" customHeight="true" outlineLevel="0" collapsed="false">
      <c r="A807" s="32" t="str">
        <f aca="false">IF($B807="","",ROW()-4)</f>
        <v/>
      </c>
      <c r="B807" s="26"/>
      <c r="C807" s="21"/>
      <c r="D807" s="24"/>
      <c r="E807" s="21"/>
      <c r="F807" s="24"/>
      <c r="G807" s="21"/>
      <c r="H807" s="22"/>
      <c r="I807" s="27"/>
      <c r="J807" s="27"/>
      <c r="K807" s="36" t="str">
        <f aca="false">IF($B807="","",IF($C807="泓普",$C$2,IF($C807="仟茂",$E$2,IF($C807="现金",$G$2,0)))+SUMIFS($I$5:$I807,$C$5:$C807,$C807)-SUMIFS($J$5:$J807,$C$5:$C807,$C807))</f>
        <v/>
      </c>
      <c r="L807" s="36" t="str">
        <f aca="false">IF($B807="","",$C$2+$E$2+$G$2+SUM($I$5:$I807)-SUM($J$5:$J807))</f>
        <v/>
      </c>
      <c r="M807" s="24"/>
      <c r="N807" s="33" t="str">
        <f aca="false">IF($B807="","",IF(NOT(ISNUMBER($B807)),"日期格式不对",IF($C807="","未选资金账户",IF(AND(N($I807)=0,N($J807)=0),"收支都为空",IF(AND(N($I807)&gt;0,N($J807)&gt;0),"收支不能同时填",IF(AND($D807&lt;&gt;"",LEFT($O807,1)="⚠"),"项目编号不存在",IF(AND($M807="是",$F807=""),"工程回款必须填往来单位","√")))))))</f>
        <v/>
      </c>
      <c r="O807" s="34" t="str">
        <f aca="false">IF($D807="","",IFERROR(INDEX(项目档案!$B$6:$B$255,MATCH($D807,项目档案!$A$6:$A$255,0)),"⚠编号不存在"))</f>
        <v/>
      </c>
      <c r="P807" s="35" t="str">
        <f aca="false">IF($B807="","",TEXT($B807,"yyyy-mm"))</f>
        <v/>
      </c>
    </row>
    <row r="808" customFormat="false" ht="15.75" hidden="false" customHeight="true" outlineLevel="0" collapsed="false">
      <c r="A808" s="32" t="str">
        <f aca="false">IF($B808="","",ROW()-4)</f>
        <v/>
      </c>
      <c r="B808" s="26"/>
      <c r="C808" s="21"/>
      <c r="D808" s="24"/>
      <c r="E808" s="21"/>
      <c r="F808" s="24"/>
      <c r="G808" s="21"/>
      <c r="H808" s="22"/>
      <c r="I808" s="27"/>
      <c r="J808" s="27"/>
      <c r="K808" s="36" t="str">
        <f aca="false">IF($B808="","",IF($C808="泓普",$C$2,IF($C808="仟茂",$E$2,IF($C808="现金",$G$2,0)))+SUMIFS($I$5:$I808,$C$5:$C808,$C808)-SUMIFS($J$5:$J808,$C$5:$C808,$C808))</f>
        <v/>
      </c>
      <c r="L808" s="36" t="str">
        <f aca="false">IF($B808="","",$C$2+$E$2+$G$2+SUM($I$5:$I808)-SUM($J$5:$J808))</f>
        <v/>
      </c>
      <c r="M808" s="24"/>
      <c r="N808" s="33" t="str">
        <f aca="false">IF($B808="","",IF(NOT(ISNUMBER($B808)),"日期格式不对",IF($C808="","未选资金账户",IF(AND(N($I808)=0,N($J808)=0),"收支都为空",IF(AND(N($I808)&gt;0,N($J808)&gt;0),"收支不能同时填",IF(AND($D808&lt;&gt;"",LEFT($O808,1)="⚠"),"项目编号不存在",IF(AND($M808="是",$F808=""),"工程回款必须填往来单位","√")))))))</f>
        <v/>
      </c>
      <c r="O808" s="34" t="str">
        <f aca="false">IF($D808="","",IFERROR(INDEX(项目档案!$B$6:$B$255,MATCH($D808,项目档案!$A$6:$A$255,0)),"⚠编号不存在"))</f>
        <v/>
      </c>
      <c r="P808" s="35" t="str">
        <f aca="false">IF($B808="","",TEXT($B808,"yyyy-mm"))</f>
        <v/>
      </c>
    </row>
    <row r="809" customFormat="false" ht="15.75" hidden="false" customHeight="true" outlineLevel="0" collapsed="false">
      <c r="A809" s="32" t="str">
        <f aca="false">IF($B809="","",ROW()-4)</f>
        <v/>
      </c>
      <c r="B809" s="26"/>
      <c r="C809" s="21"/>
      <c r="D809" s="24"/>
      <c r="E809" s="21"/>
      <c r="F809" s="24"/>
      <c r="G809" s="21"/>
      <c r="H809" s="22"/>
      <c r="I809" s="27"/>
      <c r="J809" s="27"/>
      <c r="K809" s="36" t="str">
        <f aca="false">IF($B809="","",IF($C809="泓普",$C$2,IF($C809="仟茂",$E$2,IF($C809="现金",$G$2,0)))+SUMIFS($I$5:$I809,$C$5:$C809,$C809)-SUMIFS($J$5:$J809,$C$5:$C809,$C809))</f>
        <v/>
      </c>
      <c r="L809" s="36" t="str">
        <f aca="false">IF($B809="","",$C$2+$E$2+$G$2+SUM($I$5:$I809)-SUM($J$5:$J809))</f>
        <v/>
      </c>
      <c r="M809" s="24"/>
      <c r="N809" s="33" t="str">
        <f aca="false">IF($B809="","",IF(NOT(ISNUMBER($B809)),"日期格式不对",IF($C809="","未选资金账户",IF(AND(N($I809)=0,N($J809)=0),"收支都为空",IF(AND(N($I809)&gt;0,N($J809)&gt;0),"收支不能同时填",IF(AND($D809&lt;&gt;"",LEFT($O809,1)="⚠"),"项目编号不存在",IF(AND($M809="是",$F809=""),"工程回款必须填往来单位","√")))))))</f>
        <v/>
      </c>
      <c r="O809" s="34" t="str">
        <f aca="false">IF($D809="","",IFERROR(INDEX(项目档案!$B$6:$B$255,MATCH($D809,项目档案!$A$6:$A$255,0)),"⚠编号不存在"))</f>
        <v/>
      </c>
      <c r="P809" s="35" t="str">
        <f aca="false">IF($B809="","",TEXT($B809,"yyyy-mm"))</f>
        <v/>
      </c>
    </row>
    <row r="810" customFormat="false" ht="15.75" hidden="false" customHeight="true" outlineLevel="0" collapsed="false">
      <c r="A810" s="32" t="str">
        <f aca="false">IF($B810="","",ROW()-4)</f>
        <v/>
      </c>
      <c r="B810" s="26"/>
      <c r="C810" s="21"/>
      <c r="D810" s="24"/>
      <c r="E810" s="21"/>
      <c r="F810" s="24"/>
      <c r="G810" s="21"/>
      <c r="H810" s="22"/>
      <c r="I810" s="27"/>
      <c r="J810" s="27"/>
      <c r="K810" s="36" t="str">
        <f aca="false">IF($B810="","",IF($C810="泓普",$C$2,IF($C810="仟茂",$E$2,IF($C810="现金",$G$2,0)))+SUMIFS($I$5:$I810,$C$5:$C810,$C810)-SUMIFS($J$5:$J810,$C$5:$C810,$C810))</f>
        <v/>
      </c>
      <c r="L810" s="36" t="str">
        <f aca="false">IF($B810="","",$C$2+$E$2+$G$2+SUM($I$5:$I810)-SUM($J$5:$J810))</f>
        <v/>
      </c>
      <c r="M810" s="24"/>
      <c r="N810" s="33" t="str">
        <f aca="false">IF($B810="","",IF(NOT(ISNUMBER($B810)),"日期格式不对",IF($C810="","未选资金账户",IF(AND(N($I810)=0,N($J810)=0),"收支都为空",IF(AND(N($I810)&gt;0,N($J810)&gt;0),"收支不能同时填",IF(AND($D810&lt;&gt;"",LEFT($O810,1)="⚠"),"项目编号不存在",IF(AND($M810="是",$F810=""),"工程回款必须填往来单位","√")))))))</f>
        <v/>
      </c>
      <c r="O810" s="34" t="str">
        <f aca="false">IF($D810="","",IFERROR(INDEX(项目档案!$B$6:$B$255,MATCH($D810,项目档案!$A$6:$A$255,0)),"⚠编号不存在"))</f>
        <v/>
      </c>
      <c r="P810" s="35" t="str">
        <f aca="false">IF($B810="","",TEXT($B810,"yyyy-mm"))</f>
        <v/>
      </c>
    </row>
    <row r="811" customFormat="false" ht="15.75" hidden="false" customHeight="true" outlineLevel="0" collapsed="false">
      <c r="A811" s="32" t="str">
        <f aca="false">IF($B811="","",ROW()-4)</f>
        <v/>
      </c>
      <c r="B811" s="26"/>
      <c r="C811" s="21"/>
      <c r="D811" s="24"/>
      <c r="E811" s="21"/>
      <c r="F811" s="24"/>
      <c r="G811" s="21"/>
      <c r="H811" s="22"/>
      <c r="I811" s="27"/>
      <c r="J811" s="27"/>
      <c r="K811" s="36" t="str">
        <f aca="false">IF($B811="","",IF($C811="泓普",$C$2,IF($C811="仟茂",$E$2,IF($C811="现金",$G$2,0)))+SUMIFS($I$5:$I811,$C$5:$C811,$C811)-SUMIFS($J$5:$J811,$C$5:$C811,$C811))</f>
        <v/>
      </c>
      <c r="L811" s="36" t="str">
        <f aca="false">IF($B811="","",$C$2+$E$2+$G$2+SUM($I$5:$I811)-SUM($J$5:$J811))</f>
        <v/>
      </c>
      <c r="M811" s="24"/>
      <c r="N811" s="33" t="str">
        <f aca="false">IF($B811="","",IF(NOT(ISNUMBER($B811)),"日期格式不对",IF($C811="","未选资金账户",IF(AND(N($I811)=0,N($J811)=0),"收支都为空",IF(AND(N($I811)&gt;0,N($J811)&gt;0),"收支不能同时填",IF(AND($D811&lt;&gt;"",LEFT($O811,1)="⚠"),"项目编号不存在",IF(AND($M811="是",$F811=""),"工程回款必须填往来单位","√")))))))</f>
        <v/>
      </c>
      <c r="O811" s="34" t="str">
        <f aca="false">IF($D811="","",IFERROR(INDEX(项目档案!$B$6:$B$255,MATCH($D811,项目档案!$A$6:$A$255,0)),"⚠编号不存在"))</f>
        <v/>
      </c>
      <c r="P811" s="35" t="str">
        <f aca="false">IF($B811="","",TEXT($B811,"yyyy-mm"))</f>
        <v/>
      </c>
    </row>
    <row r="812" customFormat="false" ht="15.75" hidden="false" customHeight="true" outlineLevel="0" collapsed="false">
      <c r="A812" s="32" t="str">
        <f aca="false">IF($B812="","",ROW()-4)</f>
        <v/>
      </c>
      <c r="B812" s="26"/>
      <c r="C812" s="21"/>
      <c r="D812" s="24"/>
      <c r="E812" s="21"/>
      <c r="F812" s="24"/>
      <c r="G812" s="21"/>
      <c r="H812" s="22"/>
      <c r="I812" s="27"/>
      <c r="J812" s="27"/>
      <c r="K812" s="36" t="str">
        <f aca="false">IF($B812="","",IF($C812="泓普",$C$2,IF($C812="仟茂",$E$2,IF($C812="现金",$G$2,0)))+SUMIFS($I$5:$I812,$C$5:$C812,$C812)-SUMIFS($J$5:$J812,$C$5:$C812,$C812))</f>
        <v/>
      </c>
      <c r="L812" s="36" t="str">
        <f aca="false">IF($B812="","",$C$2+$E$2+$G$2+SUM($I$5:$I812)-SUM($J$5:$J812))</f>
        <v/>
      </c>
      <c r="M812" s="24"/>
      <c r="N812" s="33" t="str">
        <f aca="false">IF($B812="","",IF(NOT(ISNUMBER($B812)),"日期格式不对",IF($C812="","未选资金账户",IF(AND(N($I812)=0,N($J812)=0),"收支都为空",IF(AND(N($I812)&gt;0,N($J812)&gt;0),"收支不能同时填",IF(AND($D812&lt;&gt;"",LEFT($O812,1)="⚠"),"项目编号不存在",IF(AND($M812="是",$F812=""),"工程回款必须填往来单位","√")))))))</f>
        <v/>
      </c>
      <c r="O812" s="34" t="str">
        <f aca="false">IF($D812="","",IFERROR(INDEX(项目档案!$B$6:$B$255,MATCH($D812,项目档案!$A$6:$A$255,0)),"⚠编号不存在"))</f>
        <v/>
      </c>
      <c r="P812" s="35" t="str">
        <f aca="false">IF($B812="","",TEXT($B812,"yyyy-mm"))</f>
        <v/>
      </c>
    </row>
    <row r="813" customFormat="false" ht="15.75" hidden="false" customHeight="true" outlineLevel="0" collapsed="false">
      <c r="A813" s="32" t="str">
        <f aca="false">IF($B813="","",ROW()-4)</f>
        <v/>
      </c>
      <c r="B813" s="26"/>
      <c r="C813" s="21"/>
      <c r="D813" s="24"/>
      <c r="E813" s="21"/>
      <c r="F813" s="24"/>
      <c r="G813" s="21"/>
      <c r="H813" s="22"/>
      <c r="I813" s="27"/>
      <c r="J813" s="27"/>
      <c r="K813" s="36" t="str">
        <f aca="false">IF($B813="","",IF($C813="泓普",$C$2,IF($C813="仟茂",$E$2,IF($C813="现金",$G$2,0)))+SUMIFS($I$5:$I813,$C$5:$C813,$C813)-SUMIFS($J$5:$J813,$C$5:$C813,$C813))</f>
        <v/>
      </c>
      <c r="L813" s="36" t="str">
        <f aca="false">IF($B813="","",$C$2+$E$2+$G$2+SUM($I$5:$I813)-SUM($J$5:$J813))</f>
        <v/>
      </c>
      <c r="M813" s="24"/>
      <c r="N813" s="33" t="str">
        <f aca="false">IF($B813="","",IF(NOT(ISNUMBER($B813)),"日期格式不对",IF($C813="","未选资金账户",IF(AND(N($I813)=0,N($J813)=0),"收支都为空",IF(AND(N($I813)&gt;0,N($J813)&gt;0),"收支不能同时填",IF(AND($D813&lt;&gt;"",LEFT($O813,1)="⚠"),"项目编号不存在",IF(AND($M813="是",$F813=""),"工程回款必须填往来单位","√")))))))</f>
        <v/>
      </c>
      <c r="O813" s="34" t="str">
        <f aca="false">IF($D813="","",IFERROR(INDEX(项目档案!$B$6:$B$255,MATCH($D813,项目档案!$A$6:$A$255,0)),"⚠编号不存在"))</f>
        <v/>
      </c>
      <c r="P813" s="35" t="str">
        <f aca="false">IF($B813="","",TEXT($B813,"yyyy-mm"))</f>
        <v/>
      </c>
    </row>
    <row r="814" customFormat="false" ht="15.75" hidden="false" customHeight="true" outlineLevel="0" collapsed="false">
      <c r="A814" s="32" t="str">
        <f aca="false">IF($B814="","",ROW()-4)</f>
        <v/>
      </c>
      <c r="B814" s="26"/>
      <c r="C814" s="21"/>
      <c r="D814" s="24"/>
      <c r="E814" s="21"/>
      <c r="F814" s="24"/>
      <c r="G814" s="21"/>
      <c r="H814" s="22"/>
      <c r="I814" s="27"/>
      <c r="J814" s="27"/>
      <c r="K814" s="36" t="str">
        <f aca="false">IF($B814="","",IF($C814="泓普",$C$2,IF($C814="仟茂",$E$2,IF($C814="现金",$G$2,0)))+SUMIFS($I$5:$I814,$C$5:$C814,$C814)-SUMIFS($J$5:$J814,$C$5:$C814,$C814))</f>
        <v/>
      </c>
      <c r="L814" s="36" t="str">
        <f aca="false">IF($B814="","",$C$2+$E$2+$G$2+SUM($I$5:$I814)-SUM($J$5:$J814))</f>
        <v/>
      </c>
      <c r="M814" s="24"/>
      <c r="N814" s="33" t="str">
        <f aca="false">IF($B814="","",IF(NOT(ISNUMBER($B814)),"日期格式不对",IF($C814="","未选资金账户",IF(AND(N($I814)=0,N($J814)=0),"收支都为空",IF(AND(N($I814)&gt;0,N($J814)&gt;0),"收支不能同时填",IF(AND($D814&lt;&gt;"",LEFT($O814,1)="⚠"),"项目编号不存在",IF(AND($M814="是",$F814=""),"工程回款必须填往来单位","√")))))))</f>
        <v/>
      </c>
      <c r="O814" s="34" t="str">
        <f aca="false">IF($D814="","",IFERROR(INDEX(项目档案!$B$6:$B$255,MATCH($D814,项目档案!$A$6:$A$255,0)),"⚠编号不存在"))</f>
        <v/>
      </c>
      <c r="P814" s="35" t="str">
        <f aca="false">IF($B814="","",TEXT($B814,"yyyy-mm"))</f>
        <v/>
      </c>
    </row>
    <row r="815" customFormat="false" ht="15.75" hidden="false" customHeight="true" outlineLevel="0" collapsed="false">
      <c r="A815" s="32" t="str">
        <f aca="false">IF($B815="","",ROW()-4)</f>
        <v/>
      </c>
      <c r="B815" s="26"/>
      <c r="C815" s="21"/>
      <c r="D815" s="24"/>
      <c r="E815" s="21"/>
      <c r="F815" s="24"/>
      <c r="G815" s="21"/>
      <c r="H815" s="22"/>
      <c r="I815" s="27"/>
      <c r="J815" s="27"/>
      <c r="K815" s="36" t="str">
        <f aca="false">IF($B815="","",IF($C815="泓普",$C$2,IF($C815="仟茂",$E$2,IF($C815="现金",$G$2,0)))+SUMIFS($I$5:$I815,$C$5:$C815,$C815)-SUMIFS($J$5:$J815,$C$5:$C815,$C815))</f>
        <v/>
      </c>
      <c r="L815" s="36" t="str">
        <f aca="false">IF($B815="","",$C$2+$E$2+$G$2+SUM($I$5:$I815)-SUM($J$5:$J815))</f>
        <v/>
      </c>
      <c r="M815" s="24"/>
      <c r="N815" s="33" t="str">
        <f aca="false">IF($B815="","",IF(NOT(ISNUMBER($B815)),"日期格式不对",IF($C815="","未选资金账户",IF(AND(N($I815)=0,N($J815)=0),"收支都为空",IF(AND(N($I815)&gt;0,N($J815)&gt;0),"收支不能同时填",IF(AND($D815&lt;&gt;"",LEFT($O815,1)="⚠"),"项目编号不存在",IF(AND($M815="是",$F815=""),"工程回款必须填往来单位","√")))))))</f>
        <v/>
      </c>
      <c r="O815" s="34" t="str">
        <f aca="false">IF($D815="","",IFERROR(INDEX(项目档案!$B$6:$B$255,MATCH($D815,项目档案!$A$6:$A$255,0)),"⚠编号不存在"))</f>
        <v/>
      </c>
      <c r="P815" s="35" t="str">
        <f aca="false">IF($B815="","",TEXT($B815,"yyyy-mm"))</f>
        <v/>
      </c>
    </row>
    <row r="816" customFormat="false" ht="15.75" hidden="false" customHeight="true" outlineLevel="0" collapsed="false">
      <c r="A816" s="32" t="str">
        <f aca="false">IF($B816="","",ROW()-4)</f>
        <v/>
      </c>
      <c r="B816" s="26"/>
      <c r="C816" s="21"/>
      <c r="D816" s="24"/>
      <c r="E816" s="21"/>
      <c r="F816" s="24"/>
      <c r="G816" s="21"/>
      <c r="H816" s="22"/>
      <c r="I816" s="27"/>
      <c r="J816" s="27"/>
      <c r="K816" s="36" t="str">
        <f aca="false">IF($B816="","",IF($C816="泓普",$C$2,IF($C816="仟茂",$E$2,IF($C816="现金",$G$2,0)))+SUMIFS($I$5:$I816,$C$5:$C816,$C816)-SUMIFS($J$5:$J816,$C$5:$C816,$C816))</f>
        <v/>
      </c>
      <c r="L816" s="36" t="str">
        <f aca="false">IF($B816="","",$C$2+$E$2+$G$2+SUM($I$5:$I816)-SUM($J$5:$J816))</f>
        <v/>
      </c>
      <c r="M816" s="24"/>
      <c r="N816" s="33" t="str">
        <f aca="false">IF($B816="","",IF(NOT(ISNUMBER($B816)),"日期格式不对",IF($C816="","未选资金账户",IF(AND(N($I816)=0,N($J816)=0),"收支都为空",IF(AND(N($I816)&gt;0,N($J816)&gt;0),"收支不能同时填",IF(AND($D816&lt;&gt;"",LEFT($O816,1)="⚠"),"项目编号不存在",IF(AND($M816="是",$F816=""),"工程回款必须填往来单位","√")))))))</f>
        <v/>
      </c>
      <c r="O816" s="34" t="str">
        <f aca="false">IF($D816="","",IFERROR(INDEX(项目档案!$B$6:$B$255,MATCH($D816,项目档案!$A$6:$A$255,0)),"⚠编号不存在"))</f>
        <v/>
      </c>
      <c r="P816" s="35" t="str">
        <f aca="false">IF($B816="","",TEXT($B816,"yyyy-mm"))</f>
        <v/>
      </c>
    </row>
    <row r="817" customFormat="false" ht="15.75" hidden="false" customHeight="true" outlineLevel="0" collapsed="false">
      <c r="A817" s="32" t="str">
        <f aca="false">IF($B817="","",ROW()-4)</f>
        <v/>
      </c>
      <c r="B817" s="26"/>
      <c r="C817" s="21"/>
      <c r="D817" s="24"/>
      <c r="E817" s="21"/>
      <c r="F817" s="24"/>
      <c r="G817" s="21"/>
      <c r="H817" s="22"/>
      <c r="I817" s="27"/>
      <c r="J817" s="27"/>
      <c r="K817" s="36" t="str">
        <f aca="false">IF($B817="","",IF($C817="泓普",$C$2,IF($C817="仟茂",$E$2,IF($C817="现金",$G$2,0)))+SUMIFS($I$5:$I817,$C$5:$C817,$C817)-SUMIFS($J$5:$J817,$C$5:$C817,$C817))</f>
        <v/>
      </c>
      <c r="L817" s="36" t="str">
        <f aca="false">IF($B817="","",$C$2+$E$2+$G$2+SUM($I$5:$I817)-SUM($J$5:$J817))</f>
        <v/>
      </c>
      <c r="M817" s="24"/>
      <c r="N817" s="33" t="str">
        <f aca="false">IF($B817="","",IF(NOT(ISNUMBER($B817)),"日期格式不对",IF($C817="","未选资金账户",IF(AND(N($I817)=0,N($J817)=0),"收支都为空",IF(AND(N($I817)&gt;0,N($J817)&gt;0),"收支不能同时填",IF(AND($D817&lt;&gt;"",LEFT($O817,1)="⚠"),"项目编号不存在",IF(AND($M817="是",$F817=""),"工程回款必须填往来单位","√")))))))</f>
        <v/>
      </c>
      <c r="O817" s="34" t="str">
        <f aca="false">IF($D817="","",IFERROR(INDEX(项目档案!$B$6:$B$255,MATCH($D817,项目档案!$A$6:$A$255,0)),"⚠编号不存在"))</f>
        <v/>
      </c>
      <c r="P817" s="35" t="str">
        <f aca="false">IF($B817="","",TEXT($B817,"yyyy-mm"))</f>
        <v/>
      </c>
    </row>
    <row r="818" customFormat="false" ht="15.75" hidden="false" customHeight="true" outlineLevel="0" collapsed="false">
      <c r="A818" s="32" t="str">
        <f aca="false">IF($B818="","",ROW()-4)</f>
        <v/>
      </c>
      <c r="B818" s="26"/>
      <c r="C818" s="21"/>
      <c r="D818" s="24"/>
      <c r="E818" s="21"/>
      <c r="F818" s="24"/>
      <c r="G818" s="21"/>
      <c r="H818" s="22"/>
      <c r="I818" s="27"/>
      <c r="J818" s="27"/>
      <c r="K818" s="36" t="str">
        <f aca="false">IF($B818="","",IF($C818="泓普",$C$2,IF($C818="仟茂",$E$2,IF($C818="现金",$G$2,0)))+SUMIFS($I$5:$I818,$C$5:$C818,$C818)-SUMIFS($J$5:$J818,$C$5:$C818,$C818))</f>
        <v/>
      </c>
      <c r="L818" s="36" t="str">
        <f aca="false">IF($B818="","",$C$2+$E$2+$G$2+SUM($I$5:$I818)-SUM($J$5:$J818))</f>
        <v/>
      </c>
      <c r="M818" s="24"/>
      <c r="N818" s="33" t="str">
        <f aca="false">IF($B818="","",IF(NOT(ISNUMBER($B818)),"日期格式不对",IF($C818="","未选资金账户",IF(AND(N($I818)=0,N($J818)=0),"收支都为空",IF(AND(N($I818)&gt;0,N($J818)&gt;0),"收支不能同时填",IF(AND($D818&lt;&gt;"",LEFT($O818,1)="⚠"),"项目编号不存在",IF(AND($M818="是",$F818=""),"工程回款必须填往来单位","√")))))))</f>
        <v/>
      </c>
      <c r="O818" s="34" t="str">
        <f aca="false">IF($D818="","",IFERROR(INDEX(项目档案!$B$6:$B$255,MATCH($D818,项目档案!$A$6:$A$255,0)),"⚠编号不存在"))</f>
        <v/>
      </c>
      <c r="P818" s="35" t="str">
        <f aca="false">IF($B818="","",TEXT($B818,"yyyy-mm"))</f>
        <v/>
      </c>
    </row>
    <row r="819" customFormat="false" ht="15.75" hidden="false" customHeight="true" outlineLevel="0" collapsed="false">
      <c r="A819" s="32" t="str">
        <f aca="false">IF($B819="","",ROW()-4)</f>
        <v/>
      </c>
      <c r="B819" s="26"/>
      <c r="C819" s="21"/>
      <c r="D819" s="24"/>
      <c r="E819" s="21"/>
      <c r="F819" s="24"/>
      <c r="G819" s="21"/>
      <c r="H819" s="22"/>
      <c r="I819" s="27"/>
      <c r="J819" s="27"/>
      <c r="K819" s="36" t="str">
        <f aca="false">IF($B819="","",IF($C819="泓普",$C$2,IF($C819="仟茂",$E$2,IF($C819="现金",$G$2,0)))+SUMIFS($I$5:$I819,$C$5:$C819,$C819)-SUMIFS($J$5:$J819,$C$5:$C819,$C819))</f>
        <v/>
      </c>
      <c r="L819" s="36" t="str">
        <f aca="false">IF($B819="","",$C$2+$E$2+$G$2+SUM($I$5:$I819)-SUM($J$5:$J819))</f>
        <v/>
      </c>
      <c r="M819" s="24"/>
      <c r="N819" s="33" t="str">
        <f aca="false">IF($B819="","",IF(NOT(ISNUMBER($B819)),"日期格式不对",IF($C819="","未选资金账户",IF(AND(N($I819)=0,N($J819)=0),"收支都为空",IF(AND(N($I819)&gt;0,N($J819)&gt;0),"收支不能同时填",IF(AND($D819&lt;&gt;"",LEFT($O819,1)="⚠"),"项目编号不存在",IF(AND($M819="是",$F819=""),"工程回款必须填往来单位","√")))))))</f>
        <v/>
      </c>
      <c r="O819" s="34" t="str">
        <f aca="false">IF($D819="","",IFERROR(INDEX(项目档案!$B$6:$B$255,MATCH($D819,项目档案!$A$6:$A$255,0)),"⚠编号不存在"))</f>
        <v/>
      </c>
      <c r="P819" s="35" t="str">
        <f aca="false">IF($B819="","",TEXT($B819,"yyyy-mm"))</f>
        <v/>
      </c>
    </row>
    <row r="820" customFormat="false" ht="15.75" hidden="false" customHeight="true" outlineLevel="0" collapsed="false">
      <c r="A820" s="32" t="str">
        <f aca="false">IF($B820="","",ROW()-4)</f>
        <v/>
      </c>
      <c r="B820" s="26"/>
      <c r="C820" s="21"/>
      <c r="D820" s="24"/>
      <c r="E820" s="21"/>
      <c r="F820" s="24"/>
      <c r="G820" s="21"/>
      <c r="H820" s="22"/>
      <c r="I820" s="27"/>
      <c r="J820" s="27"/>
      <c r="K820" s="36" t="str">
        <f aca="false">IF($B820="","",IF($C820="泓普",$C$2,IF($C820="仟茂",$E$2,IF($C820="现金",$G$2,0)))+SUMIFS($I$5:$I820,$C$5:$C820,$C820)-SUMIFS($J$5:$J820,$C$5:$C820,$C820))</f>
        <v/>
      </c>
      <c r="L820" s="36" t="str">
        <f aca="false">IF($B820="","",$C$2+$E$2+$G$2+SUM($I$5:$I820)-SUM($J$5:$J820))</f>
        <v/>
      </c>
      <c r="M820" s="24"/>
      <c r="N820" s="33" t="str">
        <f aca="false">IF($B820="","",IF(NOT(ISNUMBER($B820)),"日期格式不对",IF($C820="","未选资金账户",IF(AND(N($I820)=0,N($J820)=0),"收支都为空",IF(AND(N($I820)&gt;0,N($J820)&gt;0),"收支不能同时填",IF(AND($D820&lt;&gt;"",LEFT($O820,1)="⚠"),"项目编号不存在",IF(AND($M820="是",$F820=""),"工程回款必须填往来单位","√")))))))</f>
        <v/>
      </c>
      <c r="O820" s="34" t="str">
        <f aca="false">IF($D820="","",IFERROR(INDEX(项目档案!$B$6:$B$255,MATCH($D820,项目档案!$A$6:$A$255,0)),"⚠编号不存在"))</f>
        <v/>
      </c>
      <c r="P820" s="35" t="str">
        <f aca="false">IF($B820="","",TEXT($B820,"yyyy-mm"))</f>
        <v/>
      </c>
    </row>
    <row r="821" customFormat="false" ht="15.75" hidden="false" customHeight="true" outlineLevel="0" collapsed="false">
      <c r="A821" s="32" t="str">
        <f aca="false">IF($B821="","",ROW()-4)</f>
        <v/>
      </c>
      <c r="B821" s="26"/>
      <c r="C821" s="21"/>
      <c r="D821" s="24"/>
      <c r="E821" s="21"/>
      <c r="F821" s="24"/>
      <c r="G821" s="21"/>
      <c r="H821" s="22"/>
      <c r="I821" s="27"/>
      <c r="J821" s="27"/>
      <c r="K821" s="36" t="str">
        <f aca="false">IF($B821="","",IF($C821="泓普",$C$2,IF($C821="仟茂",$E$2,IF($C821="现金",$G$2,0)))+SUMIFS($I$5:$I821,$C$5:$C821,$C821)-SUMIFS($J$5:$J821,$C$5:$C821,$C821))</f>
        <v/>
      </c>
      <c r="L821" s="36" t="str">
        <f aca="false">IF($B821="","",$C$2+$E$2+$G$2+SUM($I$5:$I821)-SUM($J$5:$J821))</f>
        <v/>
      </c>
      <c r="M821" s="24"/>
      <c r="N821" s="33" t="str">
        <f aca="false">IF($B821="","",IF(NOT(ISNUMBER($B821)),"日期格式不对",IF($C821="","未选资金账户",IF(AND(N($I821)=0,N($J821)=0),"收支都为空",IF(AND(N($I821)&gt;0,N($J821)&gt;0),"收支不能同时填",IF(AND($D821&lt;&gt;"",LEFT($O821,1)="⚠"),"项目编号不存在",IF(AND($M821="是",$F821=""),"工程回款必须填往来单位","√")))))))</f>
        <v/>
      </c>
      <c r="O821" s="34" t="str">
        <f aca="false">IF($D821="","",IFERROR(INDEX(项目档案!$B$6:$B$255,MATCH($D821,项目档案!$A$6:$A$255,0)),"⚠编号不存在"))</f>
        <v/>
      </c>
      <c r="P821" s="35" t="str">
        <f aca="false">IF($B821="","",TEXT($B821,"yyyy-mm"))</f>
        <v/>
      </c>
    </row>
    <row r="822" customFormat="false" ht="15.75" hidden="false" customHeight="true" outlineLevel="0" collapsed="false">
      <c r="A822" s="32" t="str">
        <f aca="false">IF($B822="","",ROW()-4)</f>
        <v/>
      </c>
      <c r="B822" s="26"/>
      <c r="C822" s="21"/>
      <c r="D822" s="24"/>
      <c r="E822" s="21"/>
      <c r="F822" s="24"/>
      <c r="G822" s="21"/>
      <c r="H822" s="22"/>
      <c r="I822" s="27"/>
      <c r="J822" s="27"/>
      <c r="K822" s="36" t="str">
        <f aca="false">IF($B822="","",IF($C822="泓普",$C$2,IF($C822="仟茂",$E$2,IF($C822="现金",$G$2,0)))+SUMIFS($I$5:$I822,$C$5:$C822,$C822)-SUMIFS($J$5:$J822,$C$5:$C822,$C822))</f>
        <v/>
      </c>
      <c r="L822" s="36" t="str">
        <f aca="false">IF($B822="","",$C$2+$E$2+$G$2+SUM($I$5:$I822)-SUM($J$5:$J822))</f>
        <v/>
      </c>
      <c r="M822" s="24"/>
      <c r="N822" s="33" t="str">
        <f aca="false">IF($B822="","",IF(NOT(ISNUMBER($B822)),"日期格式不对",IF($C822="","未选资金账户",IF(AND(N($I822)=0,N($J822)=0),"收支都为空",IF(AND(N($I822)&gt;0,N($J822)&gt;0),"收支不能同时填",IF(AND($D822&lt;&gt;"",LEFT($O822,1)="⚠"),"项目编号不存在",IF(AND($M822="是",$F822=""),"工程回款必须填往来单位","√")))))))</f>
        <v/>
      </c>
      <c r="O822" s="34" t="str">
        <f aca="false">IF($D822="","",IFERROR(INDEX(项目档案!$B$6:$B$255,MATCH($D822,项目档案!$A$6:$A$255,0)),"⚠编号不存在"))</f>
        <v/>
      </c>
      <c r="P822" s="35" t="str">
        <f aca="false">IF($B822="","",TEXT($B822,"yyyy-mm"))</f>
        <v/>
      </c>
    </row>
    <row r="823" customFormat="false" ht="15.75" hidden="false" customHeight="true" outlineLevel="0" collapsed="false">
      <c r="A823" s="32" t="str">
        <f aca="false">IF($B823="","",ROW()-4)</f>
        <v/>
      </c>
      <c r="B823" s="26"/>
      <c r="C823" s="21"/>
      <c r="D823" s="24"/>
      <c r="E823" s="21"/>
      <c r="F823" s="24"/>
      <c r="G823" s="21"/>
      <c r="H823" s="22"/>
      <c r="I823" s="27"/>
      <c r="J823" s="27"/>
      <c r="K823" s="36" t="str">
        <f aca="false">IF($B823="","",IF($C823="泓普",$C$2,IF($C823="仟茂",$E$2,IF($C823="现金",$G$2,0)))+SUMIFS($I$5:$I823,$C$5:$C823,$C823)-SUMIFS($J$5:$J823,$C$5:$C823,$C823))</f>
        <v/>
      </c>
      <c r="L823" s="36" t="str">
        <f aca="false">IF($B823="","",$C$2+$E$2+$G$2+SUM($I$5:$I823)-SUM($J$5:$J823))</f>
        <v/>
      </c>
      <c r="M823" s="24"/>
      <c r="N823" s="33" t="str">
        <f aca="false">IF($B823="","",IF(NOT(ISNUMBER($B823)),"日期格式不对",IF($C823="","未选资金账户",IF(AND(N($I823)=0,N($J823)=0),"收支都为空",IF(AND(N($I823)&gt;0,N($J823)&gt;0),"收支不能同时填",IF(AND($D823&lt;&gt;"",LEFT($O823,1)="⚠"),"项目编号不存在",IF(AND($M823="是",$F823=""),"工程回款必须填往来单位","√")))))))</f>
        <v/>
      </c>
      <c r="O823" s="34" t="str">
        <f aca="false">IF($D823="","",IFERROR(INDEX(项目档案!$B$6:$B$255,MATCH($D823,项目档案!$A$6:$A$255,0)),"⚠编号不存在"))</f>
        <v/>
      </c>
      <c r="P823" s="35" t="str">
        <f aca="false">IF($B823="","",TEXT($B823,"yyyy-mm"))</f>
        <v/>
      </c>
    </row>
    <row r="824" customFormat="false" ht="15.75" hidden="false" customHeight="true" outlineLevel="0" collapsed="false">
      <c r="A824" s="32" t="str">
        <f aca="false">IF($B824="","",ROW()-4)</f>
        <v/>
      </c>
      <c r="B824" s="26"/>
      <c r="C824" s="21"/>
      <c r="D824" s="24"/>
      <c r="E824" s="21"/>
      <c r="F824" s="24"/>
      <c r="G824" s="21"/>
      <c r="H824" s="22"/>
      <c r="I824" s="27"/>
      <c r="J824" s="27"/>
      <c r="K824" s="36" t="str">
        <f aca="false">IF($B824="","",IF($C824="泓普",$C$2,IF($C824="仟茂",$E$2,IF($C824="现金",$G$2,0)))+SUMIFS($I$5:$I824,$C$5:$C824,$C824)-SUMIFS($J$5:$J824,$C$5:$C824,$C824))</f>
        <v/>
      </c>
      <c r="L824" s="36" t="str">
        <f aca="false">IF($B824="","",$C$2+$E$2+$G$2+SUM($I$5:$I824)-SUM($J$5:$J824))</f>
        <v/>
      </c>
      <c r="M824" s="24"/>
      <c r="N824" s="33" t="str">
        <f aca="false">IF($B824="","",IF(NOT(ISNUMBER($B824)),"日期格式不对",IF($C824="","未选资金账户",IF(AND(N($I824)=0,N($J824)=0),"收支都为空",IF(AND(N($I824)&gt;0,N($J824)&gt;0),"收支不能同时填",IF(AND($D824&lt;&gt;"",LEFT($O824,1)="⚠"),"项目编号不存在",IF(AND($M824="是",$F824=""),"工程回款必须填往来单位","√")))))))</f>
        <v/>
      </c>
      <c r="O824" s="34" t="str">
        <f aca="false">IF($D824="","",IFERROR(INDEX(项目档案!$B$6:$B$255,MATCH($D824,项目档案!$A$6:$A$255,0)),"⚠编号不存在"))</f>
        <v/>
      </c>
      <c r="P824" s="35" t="str">
        <f aca="false">IF($B824="","",TEXT($B824,"yyyy-mm"))</f>
        <v/>
      </c>
    </row>
    <row r="825" customFormat="false" ht="15.75" hidden="false" customHeight="true" outlineLevel="0" collapsed="false">
      <c r="A825" s="32" t="str">
        <f aca="false">IF($B825="","",ROW()-4)</f>
        <v/>
      </c>
      <c r="B825" s="26"/>
      <c r="C825" s="21"/>
      <c r="D825" s="24"/>
      <c r="E825" s="21"/>
      <c r="F825" s="24"/>
      <c r="G825" s="21"/>
      <c r="H825" s="22"/>
      <c r="I825" s="27"/>
      <c r="J825" s="27"/>
      <c r="K825" s="36" t="str">
        <f aca="false">IF($B825="","",IF($C825="泓普",$C$2,IF($C825="仟茂",$E$2,IF($C825="现金",$G$2,0)))+SUMIFS($I$5:$I825,$C$5:$C825,$C825)-SUMIFS($J$5:$J825,$C$5:$C825,$C825))</f>
        <v/>
      </c>
      <c r="L825" s="36" t="str">
        <f aca="false">IF($B825="","",$C$2+$E$2+$G$2+SUM($I$5:$I825)-SUM($J$5:$J825))</f>
        <v/>
      </c>
      <c r="M825" s="24"/>
      <c r="N825" s="33" t="str">
        <f aca="false">IF($B825="","",IF(NOT(ISNUMBER($B825)),"日期格式不对",IF($C825="","未选资金账户",IF(AND(N($I825)=0,N($J825)=0),"收支都为空",IF(AND(N($I825)&gt;0,N($J825)&gt;0),"收支不能同时填",IF(AND($D825&lt;&gt;"",LEFT($O825,1)="⚠"),"项目编号不存在",IF(AND($M825="是",$F825=""),"工程回款必须填往来单位","√")))))))</f>
        <v/>
      </c>
      <c r="O825" s="34" t="str">
        <f aca="false">IF($D825="","",IFERROR(INDEX(项目档案!$B$6:$B$255,MATCH($D825,项目档案!$A$6:$A$255,0)),"⚠编号不存在"))</f>
        <v/>
      </c>
      <c r="P825" s="35" t="str">
        <f aca="false">IF($B825="","",TEXT($B825,"yyyy-mm"))</f>
        <v/>
      </c>
    </row>
    <row r="826" customFormat="false" ht="15.75" hidden="false" customHeight="true" outlineLevel="0" collapsed="false">
      <c r="A826" s="32" t="str">
        <f aca="false">IF($B826="","",ROW()-4)</f>
        <v/>
      </c>
      <c r="B826" s="26"/>
      <c r="C826" s="21"/>
      <c r="D826" s="24"/>
      <c r="E826" s="21"/>
      <c r="F826" s="24"/>
      <c r="G826" s="21"/>
      <c r="H826" s="22"/>
      <c r="I826" s="27"/>
      <c r="J826" s="27"/>
      <c r="K826" s="36" t="str">
        <f aca="false">IF($B826="","",IF($C826="泓普",$C$2,IF($C826="仟茂",$E$2,IF($C826="现金",$G$2,0)))+SUMIFS($I$5:$I826,$C$5:$C826,$C826)-SUMIFS($J$5:$J826,$C$5:$C826,$C826))</f>
        <v/>
      </c>
      <c r="L826" s="36" t="str">
        <f aca="false">IF($B826="","",$C$2+$E$2+$G$2+SUM($I$5:$I826)-SUM($J$5:$J826))</f>
        <v/>
      </c>
      <c r="M826" s="24"/>
      <c r="N826" s="33" t="str">
        <f aca="false">IF($B826="","",IF(NOT(ISNUMBER($B826)),"日期格式不对",IF($C826="","未选资金账户",IF(AND(N($I826)=0,N($J826)=0),"收支都为空",IF(AND(N($I826)&gt;0,N($J826)&gt;0),"收支不能同时填",IF(AND($D826&lt;&gt;"",LEFT($O826,1)="⚠"),"项目编号不存在",IF(AND($M826="是",$F826=""),"工程回款必须填往来单位","√")))))))</f>
        <v/>
      </c>
      <c r="O826" s="34" t="str">
        <f aca="false">IF($D826="","",IFERROR(INDEX(项目档案!$B$6:$B$255,MATCH($D826,项目档案!$A$6:$A$255,0)),"⚠编号不存在"))</f>
        <v/>
      </c>
      <c r="P826" s="35" t="str">
        <f aca="false">IF($B826="","",TEXT($B826,"yyyy-mm"))</f>
        <v/>
      </c>
    </row>
    <row r="827" customFormat="false" ht="15.75" hidden="false" customHeight="true" outlineLevel="0" collapsed="false">
      <c r="A827" s="32" t="str">
        <f aca="false">IF($B827="","",ROW()-4)</f>
        <v/>
      </c>
      <c r="B827" s="26"/>
      <c r="C827" s="21"/>
      <c r="D827" s="24"/>
      <c r="E827" s="21"/>
      <c r="F827" s="24"/>
      <c r="G827" s="21"/>
      <c r="H827" s="22"/>
      <c r="I827" s="27"/>
      <c r="J827" s="27"/>
      <c r="K827" s="36" t="str">
        <f aca="false">IF($B827="","",IF($C827="泓普",$C$2,IF($C827="仟茂",$E$2,IF($C827="现金",$G$2,0)))+SUMIFS($I$5:$I827,$C$5:$C827,$C827)-SUMIFS($J$5:$J827,$C$5:$C827,$C827))</f>
        <v/>
      </c>
      <c r="L827" s="36" t="str">
        <f aca="false">IF($B827="","",$C$2+$E$2+$G$2+SUM($I$5:$I827)-SUM($J$5:$J827))</f>
        <v/>
      </c>
      <c r="M827" s="24"/>
      <c r="N827" s="33" t="str">
        <f aca="false">IF($B827="","",IF(NOT(ISNUMBER($B827)),"日期格式不对",IF($C827="","未选资金账户",IF(AND(N($I827)=0,N($J827)=0),"收支都为空",IF(AND(N($I827)&gt;0,N($J827)&gt;0),"收支不能同时填",IF(AND($D827&lt;&gt;"",LEFT($O827,1)="⚠"),"项目编号不存在",IF(AND($M827="是",$F827=""),"工程回款必须填往来单位","√")))))))</f>
        <v/>
      </c>
      <c r="O827" s="34" t="str">
        <f aca="false">IF($D827="","",IFERROR(INDEX(项目档案!$B$6:$B$255,MATCH($D827,项目档案!$A$6:$A$255,0)),"⚠编号不存在"))</f>
        <v/>
      </c>
      <c r="P827" s="35" t="str">
        <f aca="false">IF($B827="","",TEXT($B827,"yyyy-mm"))</f>
        <v/>
      </c>
    </row>
    <row r="828" customFormat="false" ht="15.75" hidden="false" customHeight="true" outlineLevel="0" collapsed="false">
      <c r="A828" s="32" t="str">
        <f aca="false">IF($B828="","",ROW()-4)</f>
        <v/>
      </c>
      <c r="B828" s="26"/>
      <c r="C828" s="21"/>
      <c r="D828" s="24"/>
      <c r="E828" s="21"/>
      <c r="F828" s="24"/>
      <c r="G828" s="21"/>
      <c r="H828" s="22"/>
      <c r="I828" s="27"/>
      <c r="J828" s="27"/>
      <c r="K828" s="36" t="str">
        <f aca="false">IF($B828="","",IF($C828="泓普",$C$2,IF($C828="仟茂",$E$2,IF($C828="现金",$G$2,0)))+SUMIFS($I$5:$I828,$C$5:$C828,$C828)-SUMIFS($J$5:$J828,$C$5:$C828,$C828))</f>
        <v/>
      </c>
      <c r="L828" s="36" t="str">
        <f aca="false">IF($B828="","",$C$2+$E$2+$G$2+SUM($I$5:$I828)-SUM($J$5:$J828))</f>
        <v/>
      </c>
      <c r="M828" s="24"/>
      <c r="N828" s="33" t="str">
        <f aca="false">IF($B828="","",IF(NOT(ISNUMBER($B828)),"日期格式不对",IF($C828="","未选资金账户",IF(AND(N($I828)=0,N($J828)=0),"收支都为空",IF(AND(N($I828)&gt;0,N($J828)&gt;0),"收支不能同时填",IF(AND($D828&lt;&gt;"",LEFT($O828,1)="⚠"),"项目编号不存在",IF(AND($M828="是",$F828=""),"工程回款必须填往来单位","√")))))))</f>
        <v/>
      </c>
      <c r="O828" s="34" t="str">
        <f aca="false">IF($D828="","",IFERROR(INDEX(项目档案!$B$6:$B$255,MATCH($D828,项目档案!$A$6:$A$255,0)),"⚠编号不存在"))</f>
        <v/>
      </c>
      <c r="P828" s="35" t="str">
        <f aca="false">IF($B828="","",TEXT($B828,"yyyy-mm"))</f>
        <v/>
      </c>
    </row>
    <row r="829" customFormat="false" ht="15.75" hidden="false" customHeight="true" outlineLevel="0" collapsed="false">
      <c r="A829" s="32" t="str">
        <f aca="false">IF($B829="","",ROW()-4)</f>
        <v/>
      </c>
      <c r="B829" s="26"/>
      <c r="C829" s="21"/>
      <c r="D829" s="24"/>
      <c r="E829" s="21"/>
      <c r="F829" s="24"/>
      <c r="G829" s="21"/>
      <c r="H829" s="22"/>
      <c r="I829" s="27"/>
      <c r="J829" s="27"/>
      <c r="K829" s="36" t="str">
        <f aca="false">IF($B829="","",IF($C829="泓普",$C$2,IF($C829="仟茂",$E$2,IF($C829="现金",$G$2,0)))+SUMIFS($I$5:$I829,$C$5:$C829,$C829)-SUMIFS($J$5:$J829,$C$5:$C829,$C829))</f>
        <v/>
      </c>
      <c r="L829" s="36" t="str">
        <f aca="false">IF($B829="","",$C$2+$E$2+$G$2+SUM($I$5:$I829)-SUM($J$5:$J829))</f>
        <v/>
      </c>
      <c r="M829" s="24"/>
      <c r="N829" s="33" t="str">
        <f aca="false">IF($B829="","",IF(NOT(ISNUMBER($B829)),"日期格式不对",IF($C829="","未选资金账户",IF(AND(N($I829)=0,N($J829)=0),"收支都为空",IF(AND(N($I829)&gt;0,N($J829)&gt;0),"收支不能同时填",IF(AND($D829&lt;&gt;"",LEFT($O829,1)="⚠"),"项目编号不存在",IF(AND($M829="是",$F829=""),"工程回款必须填往来单位","√")))))))</f>
        <v/>
      </c>
      <c r="O829" s="34" t="str">
        <f aca="false">IF($D829="","",IFERROR(INDEX(项目档案!$B$6:$B$255,MATCH($D829,项目档案!$A$6:$A$255,0)),"⚠编号不存在"))</f>
        <v/>
      </c>
      <c r="P829" s="35" t="str">
        <f aca="false">IF($B829="","",TEXT($B829,"yyyy-mm"))</f>
        <v/>
      </c>
    </row>
    <row r="830" customFormat="false" ht="15.75" hidden="false" customHeight="true" outlineLevel="0" collapsed="false">
      <c r="A830" s="32" t="str">
        <f aca="false">IF($B830="","",ROW()-4)</f>
        <v/>
      </c>
      <c r="B830" s="26"/>
      <c r="C830" s="21"/>
      <c r="D830" s="24"/>
      <c r="E830" s="21"/>
      <c r="F830" s="24"/>
      <c r="G830" s="21"/>
      <c r="H830" s="22"/>
      <c r="I830" s="27"/>
      <c r="J830" s="27"/>
      <c r="K830" s="36" t="str">
        <f aca="false">IF($B830="","",IF($C830="泓普",$C$2,IF($C830="仟茂",$E$2,IF($C830="现金",$G$2,0)))+SUMIFS($I$5:$I830,$C$5:$C830,$C830)-SUMIFS($J$5:$J830,$C$5:$C830,$C830))</f>
        <v/>
      </c>
      <c r="L830" s="36" t="str">
        <f aca="false">IF($B830="","",$C$2+$E$2+$G$2+SUM($I$5:$I830)-SUM($J$5:$J830))</f>
        <v/>
      </c>
      <c r="M830" s="24"/>
      <c r="N830" s="33" t="str">
        <f aca="false">IF($B830="","",IF(NOT(ISNUMBER($B830)),"日期格式不对",IF($C830="","未选资金账户",IF(AND(N($I830)=0,N($J830)=0),"收支都为空",IF(AND(N($I830)&gt;0,N($J830)&gt;0),"收支不能同时填",IF(AND($D830&lt;&gt;"",LEFT($O830,1)="⚠"),"项目编号不存在",IF(AND($M830="是",$F830=""),"工程回款必须填往来单位","√")))))))</f>
        <v/>
      </c>
      <c r="O830" s="34" t="str">
        <f aca="false">IF($D830="","",IFERROR(INDEX(项目档案!$B$6:$B$255,MATCH($D830,项目档案!$A$6:$A$255,0)),"⚠编号不存在"))</f>
        <v/>
      </c>
      <c r="P830" s="35" t="str">
        <f aca="false">IF($B830="","",TEXT($B830,"yyyy-mm"))</f>
        <v/>
      </c>
    </row>
    <row r="831" customFormat="false" ht="15.75" hidden="false" customHeight="true" outlineLevel="0" collapsed="false">
      <c r="A831" s="32" t="str">
        <f aca="false">IF($B831="","",ROW()-4)</f>
        <v/>
      </c>
      <c r="B831" s="26"/>
      <c r="C831" s="21"/>
      <c r="D831" s="24"/>
      <c r="E831" s="21"/>
      <c r="F831" s="24"/>
      <c r="G831" s="21"/>
      <c r="H831" s="22"/>
      <c r="I831" s="27"/>
      <c r="J831" s="27"/>
      <c r="K831" s="36" t="str">
        <f aca="false">IF($B831="","",IF($C831="泓普",$C$2,IF($C831="仟茂",$E$2,IF($C831="现金",$G$2,0)))+SUMIFS($I$5:$I831,$C$5:$C831,$C831)-SUMIFS($J$5:$J831,$C$5:$C831,$C831))</f>
        <v/>
      </c>
      <c r="L831" s="36" t="str">
        <f aca="false">IF($B831="","",$C$2+$E$2+$G$2+SUM($I$5:$I831)-SUM($J$5:$J831))</f>
        <v/>
      </c>
      <c r="M831" s="24"/>
      <c r="N831" s="33" t="str">
        <f aca="false">IF($B831="","",IF(NOT(ISNUMBER($B831)),"日期格式不对",IF($C831="","未选资金账户",IF(AND(N($I831)=0,N($J831)=0),"收支都为空",IF(AND(N($I831)&gt;0,N($J831)&gt;0),"收支不能同时填",IF(AND($D831&lt;&gt;"",LEFT($O831,1)="⚠"),"项目编号不存在",IF(AND($M831="是",$F831=""),"工程回款必须填往来单位","√")))))))</f>
        <v/>
      </c>
      <c r="O831" s="34" t="str">
        <f aca="false">IF($D831="","",IFERROR(INDEX(项目档案!$B$6:$B$255,MATCH($D831,项目档案!$A$6:$A$255,0)),"⚠编号不存在"))</f>
        <v/>
      </c>
      <c r="P831" s="35" t="str">
        <f aca="false">IF($B831="","",TEXT($B831,"yyyy-mm"))</f>
        <v/>
      </c>
    </row>
    <row r="832" customFormat="false" ht="15.75" hidden="false" customHeight="true" outlineLevel="0" collapsed="false">
      <c r="A832" s="32" t="str">
        <f aca="false">IF($B832="","",ROW()-4)</f>
        <v/>
      </c>
      <c r="B832" s="26"/>
      <c r="C832" s="21"/>
      <c r="D832" s="24"/>
      <c r="E832" s="21"/>
      <c r="F832" s="24"/>
      <c r="G832" s="21"/>
      <c r="H832" s="22"/>
      <c r="I832" s="27"/>
      <c r="J832" s="27"/>
      <c r="K832" s="36" t="str">
        <f aca="false">IF($B832="","",IF($C832="泓普",$C$2,IF($C832="仟茂",$E$2,IF($C832="现金",$G$2,0)))+SUMIFS($I$5:$I832,$C$5:$C832,$C832)-SUMIFS($J$5:$J832,$C$5:$C832,$C832))</f>
        <v/>
      </c>
      <c r="L832" s="36" t="str">
        <f aca="false">IF($B832="","",$C$2+$E$2+$G$2+SUM($I$5:$I832)-SUM($J$5:$J832))</f>
        <v/>
      </c>
      <c r="M832" s="24"/>
      <c r="N832" s="33" t="str">
        <f aca="false">IF($B832="","",IF(NOT(ISNUMBER($B832)),"日期格式不对",IF($C832="","未选资金账户",IF(AND(N($I832)=0,N($J832)=0),"收支都为空",IF(AND(N($I832)&gt;0,N($J832)&gt;0),"收支不能同时填",IF(AND($D832&lt;&gt;"",LEFT($O832,1)="⚠"),"项目编号不存在",IF(AND($M832="是",$F832=""),"工程回款必须填往来单位","√")))))))</f>
        <v/>
      </c>
      <c r="O832" s="34" t="str">
        <f aca="false">IF($D832="","",IFERROR(INDEX(项目档案!$B$6:$B$255,MATCH($D832,项目档案!$A$6:$A$255,0)),"⚠编号不存在"))</f>
        <v/>
      </c>
      <c r="P832" s="35" t="str">
        <f aca="false">IF($B832="","",TEXT($B832,"yyyy-mm"))</f>
        <v/>
      </c>
    </row>
    <row r="833" customFormat="false" ht="15.75" hidden="false" customHeight="true" outlineLevel="0" collapsed="false">
      <c r="A833" s="32" t="str">
        <f aca="false">IF($B833="","",ROW()-4)</f>
        <v/>
      </c>
      <c r="B833" s="26"/>
      <c r="C833" s="21"/>
      <c r="D833" s="24"/>
      <c r="E833" s="21"/>
      <c r="F833" s="24"/>
      <c r="G833" s="21"/>
      <c r="H833" s="22"/>
      <c r="I833" s="27"/>
      <c r="J833" s="27"/>
      <c r="K833" s="36" t="str">
        <f aca="false">IF($B833="","",IF($C833="泓普",$C$2,IF($C833="仟茂",$E$2,IF($C833="现金",$G$2,0)))+SUMIFS($I$5:$I833,$C$5:$C833,$C833)-SUMIFS($J$5:$J833,$C$5:$C833,$C833))</f>
        <v/>
      </c>
      <c r="L833" s="36" t="str">
        <f aca="false">IF($B833="","",$C$2+$E$2+$G$2+SUM($I$5:$I833)-SUM($J$5:$J833))</f>
        <v/>
      </c>
      <c r="M833" s="24"/>
      <c r="N833" s="33" t="str">
        <f aca="false">IF($B833="","",IF(NOT(ISNUMBER($B833)),"日期格式不对",IF($C833="","未选资金账户",IF(AND(N($I833)=0,N($J833)=0),"收支都为空",IF(AND(N($I833)&gt;0,N($J833)&gt;0),"收支不能同时填",IF(AND($D833&lt;&gt;"",LEFT($O833,1)="⚠"),"项目编号不存在",IF(AND($M833="是",$F833=""),"工程回款必须填往来单位","√")))))))</f>
        <v/>
      </c>
      <c r="O833" s="34" t="str">
        <f aca="false">IF($D833="","",IFERROR(INDEX(项目档案!$B$6:$B$255,MATCH($D833,项目档案!$A$6:$A$255,0)),"⚠编号不存在"))</f>
        <v/>
      </c>
      <c r="P833" s="35" t="str">
        <f aca="false">IF($B833="","",TEXT($B833,"yyyy-mm"))</f>
        <v/>
      </c>
    </row>
    <row r="834" customFormat="false" ht="15.75" hidden="false" customHeight="true" outlineLevel="0" collapsed="false">
      <c r="A834" s="32" t="str">
        <f aca="false">IF($B834="","",ROW()-4)</f>
        <v/>
      </c>
      <c r="B834" s="26"/>
      <c r="C834" s="21"/>
      <c r="D834" s="24"/>
      <c r="E834" s="21"/>
      <c r="F834" s="24"/>
      <c r="G834" s="21"/>
      <c r="H834" s="22"/>
      <c r="I834" s="27"/>
      <c r="J834" s="27"/>
      <c r="K834" s="36" t="str">
        <f aca="false">IF($B834="","",IF($C834="泓普",$C$2,IF($C834="仟茂",$E$2,IF($C834="现金",$G$2,0)))+SUMIFS($I$5:$I834,$C$5:$C834,$C834)-SUMIFS($J$5:$J834,$C$5:$C834,$C834))</f>
        <v/>
      </c>
      <c r="L834" s="36" t="str">
        <f aca="false">IF($B834="","",$C$2+$E$2+$G$2+SUM($I$5:$I834)-SUM($J$5:$J834))</f>
        <v/>
      </c>
      <c r="M834" s="24"/>
      <c r="N834" s="33" t="str">
        <f aca="false">IF($B834="","",IF(NOT(ISNUMBER($B834)),"日期格式不对",IF($C834="","未选资金账户",IF(AND(N($I834)=0,N($J834)=0),"收支都为空",IF(AND(N($I834)&gt;0,N($J834)&gt;0),"收支不能同时填",IF(AND($D834&lt;&gt;"",LEFT($O834,1)="⚠"),"项目编号不存在",IF(AND($M834="是",$F834=""),"工程回款必须填往来单位","√")))))))</f>
        <v/>
      </c>
      <c r="O834" s="34" t="str">
        <f aca="false">IF($D834="","",IFERROR(INDEX(项目档案!$B$6:$B$255,MATCH($D834,项目档案!$A$6:$A$255,0)),"⚠编号不存在"))</f>
        <v/>
      </c>
      <c r="P834" s="35" t="str">
        <f aca="false">IF($B834="","",TEXT($B834,"yyyy-mm"))</f>
        <v/>
      </c>
    </row>
    <row r="835" customFormat="false" ht="15.75" hidden="false" customHeight="true" outlineLevel="0" collapsed="false">
      <c r="A835" s="32" t="str">
        <f aca="false">IF($B835="","",ROW()-4)</f>
        <v/>
      </c>
      <c r="B835" s="26"/>
      <c r="C835" s="21"/>
      <c r="D835" s="24"/>
      <c r="E835" s="21"/>
      <c r="F835" s="24"/>
      <c r="G835" s="21"/>
      <c r="H835" s="22"/>
      <c r="I835" s="27"/>
      <c r="J835" s="27"/>
      <c r="K835" s="36" t="str">
        <f aca="false">IF($B835="","",IF($C835="泓普",$C$2,IF($C835="仟茂",$E$2,IF($C835="现金",$G$2,0)))+SUMIFS($I$5:$I835,$C$5:$C835,$C835)-SUMIFS($J$5:$J835,$C$5:$C835,$C835))</f>
        <v/>
      </c>
      <c r="L835" s="36" t="str">
        <f aca="false">IF($B835="","",$C$2+$E$2+$G$2+SUM($I$5:$I835)-SUM($J$5:$J835))</f>
        <v/>
      </c>
      <c r="M835" s="24"/>
      <c r="N835" s="33" t="str">
        <f aca="false">IF($B835="","",IF(NOT(ISNUMBER($B835)),"日期格式不对",IF($C835="","未选资金账户",IF(AND(N($I835)=0,N($J835)=0),"收支都为空",IF(AND(N($I835)&gt;0,N($J835)&gt;0),"收支不能同时填",IF(AND($D835&lt;&gt;"",LEFT($O835,1)="⚠"),"项目编号不存在",IF(AND($M835="是",$F835=""),"工程回款必须填往来单位","√")))))))</f>
        <v/>
      </c>
      <c r="O835" s="34" t="str">
        <f aca="false">IF($D835="","",IFERROR(INDEX(项目档案!$B$6:$B$255,MATCH($D835,项目档案!$A$6:$A$255,0)),"⚠编号不存在"))</f>
        <v/>
      </c>
      <c r="P835" s="35" t="str">
        <f aca="false">IF($B835="","",TEXT($B835,"yyyy-mm"))</f>
        <v/>
      </c>
    </row>
    <row r="836" customFormat="false" ht="15.75" hidden="false" customHeight="true" outlineLevel="0" collapsed="false">
      <c r="A836" s="32" t="str">
        <f aca="false">IF($B836="","",ROW()-4)</f>
        <v/>
      </c>
      <c r="B836" s="26"/>
      <c r="C836" s="21"/>
      <c r="D836" s="24"/>
      <c r="E836" s="21"/>
      <c r="F836" s="24"/>
      <c r="G836" s="21"/>
      <c r="H836" s="22"/>
      <c r="I836" s="27"/>
      <c r="J836" s="27"/>
      <c r="K836" s="36" t="str">
        <f aca="false">IF($B836="","",IF($C836="泓普",$C$2,IF($C836="仟茂",$E$2,IF($C836="现金",$G$2,0)))+SUMIFS($I$5:$I836,$C$5:$C836,$C836)-SUMIFS($J$5:$J836,$C$5:$C836,$C836))</f>
        <v/>
      </c>
      <c r="L836" s="36" t="str">
        <f aca="false">IF($B836="","",$C$2+$E$2+$G$2+SUM($I$5:$I836)-SUM($J$5:$J836))</f>
        <v/>
      </c>
      <c r="M836" s="24"/>
      <c r="N836" s="33" t="str">
        <f aca="false">IF($B836="","",IF(NOT(ISNUMBER($B836)),"日期格式不对",IF($C836="","未选资金账户",IF(AND(N($I836)=0,N($J836)=0),"收支都为空",IF(AND(N($I836)&gt;0,N($J836)&gt;0),"收支不能同时填",IF(AND($D836&lt;&gt;"",LEFT($O836,1)="⚠"),"项目编号不存在",IF(AND($M836="是",$F836=""),"工程回款必须填往来单位","√")))))))</f>
        <v/>
      </c>
      <c r="O836" s="34" t="str">
        <f aca="false">IF($D836="","",IFERROR(INDEX(项目档案!$B$6:$B$255,MATCH($D836,项目档案!$A$6:$A$255,0)),"⚠编号不存在"))</f>
        <v/>
      </c>
      <c r="P836" s="35" t="str">
        <f aca="false">IF($B836="","",TEXT($B836,"yyyy-mm"))</f>
        <v/>
      </c>
    </row>
    <row r="837" customFormat="false" ht="15.75" hidden="false" customHeight="true" outlineLevel="0" collapsed="false">
      <c r="A837" s="32" t="str">
        <f aca="false">IF($B837="","",ROW()-4)</f>
        <v/>
      </c>
      <c r="B837" s="26"/>
      <c r="C837" s="21"/>
      <c r="D837" s="24"/>
      <c r="E837" s="21"/>
      <c r="F837" s="24"/>
      <c r="G837" s="21"/>
      <c r="H837" s="22"/>
      <c r="I837" s="27"/>
      <c r="J837" s="27"/>
      <c r="K837" s="36" t="str">
        <f aca="false">IF($B837="","",IF($C837="泓普",$C$2,IF($C837="仟茂",$E$2,IF($C837="现金",$G$2,0)))+SUMIFS($I$5:$I837,$C$5:$C837,$C837)-SUMIFS($J$5:$J837,$C$5:$C837,$C837))</f>
        <v/>
      </c>
      <c r="L837" s="36" t="str">
        <f aca="false">IF($B837="","",$C$2+$E$2+$G$2+SUM($I$5:$I837)-SUM($J$5:$J837))</f>
        <v/>
      </c>
      <c r="M837" s="24"/>
      <c r="N837" s="33" t="str">
        <f aca="false">IF($B837="","",IF(NOT(ISNUMBER($B837)),"日期格式不对",IF($C837="","未选资金账户",IF(AND(N($I837)=0,N($J837)=0),"收支都为空",IF(AND(N($I837)&gt;0,N($J837)&gt;0),"收支不能同时填",IF(AND($D837&lt;&gt;"",LEFT($O837,1)="⚠"),"项目编号不存在",IF(AND($M837="是",$F837=""),"工程回款必须填往来单位","√")))))))</f>
        <v/>
      </c>
      <c r="O837" s="34" t="str">
        <f aca="false">IF($D837="","",IFERROR(INDEX(项目档案!$B$6:$B$255,MATCH($D837,项目档案!$A$6:$A$255,0)),"⚠编号不存在"))</f>
        <v/>
      </c>
      <c r="P837" s="35" t="str">
        <f aca="false">IF($B837="","",TEXT($B837,"yyyy-mm"))</f>
        <v/>
      </c>
    </row>
    <row r="838" customFormat="false" ht="15.75" hidden="false" customHeight="true" outlineLevel="0" collapsed="false">
      <c r="A838" s="32" t="str">
        <f aca="false">IF($B838="","",ROW()-4)</f>
        <v/>
      </c>
      <c r="B838" s="26"/>
      <c r="C838" s="21"/>
      <c r="D838" s="24"/>
      <c r="E838" s="21"/>
      <c r="F838" s="24"/>
      <c r="G838" s="21"/>
      <c r="H838" s="22"/>
      <c r="I838" s="27"/>
      <c r="J838" s="27"/>
      <c r="K838" s="36" t="str">
        <f aca="false">IF($B838="","",IF($C838="泓普",$C$2,IF($C838="仟茂",$E$2,IF($C838="现金",$G$2,0)))+SUMIFS($I$5:$I838,$C$5:$C838,$C838)-SUMIFS($J$5:$J838,$C$5:$C838,$C838))</f>
        <v/>
      </c>
      <c r="L838" s="36" t="str">
        <f aca="false">IF($B838="","",$C$2+$E$2+$G$2+SUM($I$5:$I838)-SUM($J$5:$J838))</f>
        <v/>
      </c>
      <c r="M838" s="24"/>
      <c r="N838" s="33" t="str">
        <f aca="false">IF($B838="","",IF(NOT(ISNUMBER($B838)),"日期格式不对",IF($C838="","未选资金账户",IF(AND(N($I838)=0,N($J838)=0),"收支都为空",IF(AND(N($I838)&gt;0,N($J838)&gt;0),"收支不能同时填",IF(AND($D838&lt;&gt;"",LEFT($O838,1)="⚠"),"项目编号不存在",IF(AND($M838="是",$F838=""),"工程回款必须填往来单位","√")))))))</f>
        <v/>
      </c>
      <c r="O838" s="34" t="str">
        <f aca="false">IF($D838="","",IFERROR(INDEX(项目档案!$B$6:$B$255,MATCH($D838,项目档案!$A$6:$A$255,0)),"⚠编号不存在"))</f>
        <v/>
      </c>
      <c r="P838" s="35" t="str">
        <f aca="false">IF($B838="","",TEXT($B838,"yyyy-mm"))</f>
        <v/>
      </c>
    </row>
    <row r="839" customFormat="false" ht="15.75" hidden="false" customHeight="true" outlineLevel="0" collapsed="false">
      <c r="A839" s="32" t="str">
        <f aca="false">IF($B839="","",ROW()-4)</f>
        <v/>
      </c>
      <c r="B839" s="26"/>
      <c r="C839" s="21"/>
      <c r="D839" s="24"/>
      <c r="E839" s="21"/>
      <c r="F839" s="24"/>
      <c r="G839" s="21"/>
      <c r="H839" s="22"/>
      <c r="I839" s="27"/>
      <c r="J839" s="27"/>
      <c r="K839" s="36" t="str">
        <f aca="false">IF($B839="","",IF($C839="泓普",$C$2,IF($C839="仟茂",$E$2,IF($C839="现金",$G$2,0)))+SUMIFS($I$5:$I839,$C$5:$C839,$C839)-SUMIFS($J$5:$J839,$C$5:$C839,$C839))</f>
        <v/>
      </c>
      <c r="L839" s="36" t="str">
        <f aca="false">IF($B839="","",$C$2+$E$2+$G$2+SUM($I$5:$I839)-SUM($J$5:$J839))</f>
        <v/>
      </c>
      <c r="M839" s="24"/>
      <c r="N839" s="33" t="str">
        <f aca="false">IF($B839="","",IF(NOT(ISNUMBER($B839)),"日期格式不对",IF($C839="","未选资金账户",IF(AND(N($I839)=0,N($J839)=0),"收支都为空",IF(AND(N($I839)&gt;0,N($J839)&gt;0),"收支不能同时填",IF(AND($D839&lt;&gt;"",LEFT($O839,1)="⚠"),"项目编号不存在",IF(AND($M839="是",$F839=""),"工程回款必须填往来单位","√")))))))</f>
        <v/>
      </c>
      <c r="O839" s="34" t="str">
        <f aca="false">IF($D839="","",IFERROR(INDEX(项目档案!$B$6:$B$255,MATCH($D839,项目档案!$A$6:$A$255,0)),"⚠编号不存在"))</f>
        <v/>
      </c>
      <c r="P839" s="35" t="str">
        <f aca="false">IF($B839="","",TEXT($B839,"yyyy-mm"))</f>
        <v/>
      </c>
    </row>
    <row r="840" customFormat="false" ht="15.75" hidden="false" customHeight="true" outlineLevel="0" collapsed="false">
      <c r="A840" s="32" t="str">
        <f aca="false">IF($B840="","",ROW()-4)</f>
        <v/>
      </c>
      <c r="B840" s="26"/>
      <c r="C840" s="21"/>
      <c r="D840" s="24"/>
      <c r="E840" s="21"/>
      <c r="F840" s="24"/>
      <c r="G840" s="21"/>
      <c r="H840" s="22"/>
      <c r="I840" s="27"/>
      <c r="J840" s="27"/>
      <c r="K840" s="36" t="str">
        <f aca="false">IF($B840="","",IF($C840="泓普",$C$2,IF($C840="仟茂",$E$2,IF($C840="现金",$G$2,0)))+SUMIFS($I$5:$I840,$C$5:$C840,$C840)-SUMIFS($J$5:$J840,$C$5:$C840,$C840))</f>
        <v/>
      </c>
      <c r="L840" s="36" t="str">
        <f aca="false">IF($B840="","",$C$2+$E$2+$G$2+SUM($I$5:$I840)-SUM($J$5:$J840))</f>
        <v/>
      </c>
      <c r="M840" s="24"/>
      <c r="N840" s="33" t="str">
        <f aca="false">IF($B840="","",IF(NOT(ISNUMBER($B840)),"日期格式不对",IF($C840="","未选资金账户",IF(AND(N($I840)=0,N($J840)=0),"收支都为空",IF(AND(N($I840)&gt;0,N($J840)&gt;0),"收支不能同时填",IF(AND($D840&lt;&gt;"",LEFT($O840,1)="⚠"),"项目编号不存在",IF(AND($M840="是",$F840=""),"工程回款必须填往来单位","√")))))))</f>
        <v/>
      </c>
      <c r="O840" s="34" t="str">
        <f aca="false">IF($D840="","",IFERROR(INDEX(项目档案!$B$6:$B$255,MATCH($D840,项目档案!$A$6:$A$255,0)),"⚠编号不存在"))</f>
        <v/>
      </c>
      <c r="P840" s="35" t="str">
        <f aca="false">IF($B840="","",TEXT($B840,"yyyy-mm"))</f>
        <v/>
      </c>
    </row>
    <row r="841" customFormat="false" ht="15.75" hidden="false" customHeight="true" outlineLevel="0" collapsed="false">
      <c r="A841" s="32" t="str">
        <f aca="false">IF($B841="","",ROW()-4)</f>
        <v/>
      </c>
      <c r="B841" s="26"/>
      <c r="C841" s="21"/>
      <c r="D841" s="24"/>
      <c r="E841" s="21"/>
      <c r="F841" s="24"/>
      <c r="G841" s="21"/>
      <c r="H841" s="22"/>
      <c r="I841" s="27"/>
      <c r="J841" s="27"/>
      <c r="K841" s="36" t="str">
        <f aca="false">IF($B841="","",IF($C841="泓普",$C$2,IF($C841="仟茂",$E$2,IF($C841="现金",$G$2,0)))+SUMIFS($I$5:$I841,$C$5:$C841,$C841)-SUMIFS($J$5:$J841,$C$5:$C841,$C841))</f>
        <v/>
      </c>
      <c r="L841" s="36" t="str">
        <f aca="false">IF($B841="","",$C$2+$E$2+$G$2+SUM($I$5:$I841)-SUM($J$5:$J841))</f>
        <v/>
      </c>
      <c r="M841" s="24"/>
      <c r="N841" s="33" t="str">
        <f aca="false">IF($B841="","",IF(NOT(ISNUMBER($B841)),"日期格式不对",IF($C841="","未选资金账户",IF(AND(N($I841)=0,N($J841)=0),"收支都为空",IF(AND(N($I841)&gt;0,N($J841)&gt;0),"收支不能同时填",IF(AND($D841&lt;&gt;"",LEFT($O841,1)="⚠"),"项目编号不存在",IF(AND($M841="是",$F841=""),"工程回款必须填往来单位","√")))))))</f>
        <v/>
      </c>
      <c r="O841" s="34" t="str">
        <f aca="false">IF($D841="","",IFERROR(INDEX(项目档案!$B$6:$B$255,MATCH($D841,项目档案!$A$6:$A$255,0)),"⚠编号不存在"))</f>
        <v/>
      </c>
      <c r="P841" s="35" t="str">
        <f aca="false">IF($B841="","",TEXT($B841,"yyyy-mm"))</f>
        <v/>
      </c>
    </row>
    <row r="842" customFormat="false" ht="15.75" hidden="false" customHeight="true" outlineLevel="0" collapsed="false">
      <c r="A842" s="32" t="str">
        <f aca="false">IF($B842="","",ROW()-4)</f>
        <v/>
      </c>
      <c r="B842" s="26"/>
      <c r="C842" s="21"/>
      <c r="D842" s="24"/>
      <c r="E842" s="21"/>
      <c r="F842" s="24"/>
      <c r="G842" s="21"/>
      <c r="H842" s="22"/>
      <c r="I842" s="27"/>
      <c r="J842" s="27"/>
      <c r="K842" s="36" t="str">
        <f aca="false">IF($B842="","",IF($C842="泓普",$C$2,IF($C842="仟茂",$E$2,IF($C842="现金",$G$2,0)))+SUMIFS($I$5:$I842,$C$5:$C842,$C842)-SUMIFS($J$5:$J842,$C$5:$C842,$C842))</f>
        <v/>
      </c>
      <c r="L842" s="36" t="str">
        <f aca="false">IF($B842="","",$C$2+$E$2+$G$2+SUM($I$5:$I842)-SUM($J$5:$J842))</f>
        <v/>
      </c>
      <c r="M842" s="24"/>
      <c r="N842" s="33" t="str">
        <f aca="false">IF($B842="","",IF(NOT(ISNUMBER($B842)),"日期格式不对",IF($C842="","未选资金账户",IF(AND(N($I842)=0,N($J842)=0),"收支都为空",IF(AND(N($I842)&gt;0,N($J842)&gt;0),"收支不能同时填",IF(AND($D842&lt;&gt;"",LEFT($O842,1)="⚠"),"项目编号不存在",IF(AND($M842="是",$F842=""),"工程回款必须填往来单位","√")))))))</f>
        <v/>
      </c>
      <c r="O842" s="34" t="str">
        <f aca="false">IF($D842="","",IFERROR(INDEX(项目档案!$B$6:$B$255,MATCH($D842,项目档案!$A$6:$A$255,0)),"⚠编号不存在"))</f>
        <v/>
      </c>
      <c r="P842" s="35" t="str">
        <f aca="false">IF($B842="","",TEXT($B842,"yyyy-mm"))</f>
        <v/>
      </c>
    </row>
    <row r="843" customFormat="false" ht="15.75" hidden="false" customHeight="true" outlineLevel="0" collapsed="false">
      <c r="A843" s="32" t="str">
        <f aca="false">IF($B843="","",ROW()-4)</f>
        <v/>
      </c>
      <c r="B843" s="26"/>
      <c r="C843" s="21"/>
      <c r="D843" s="24"/>
      <c r="E843" s="21"/>
      <c r="F843" s="24"/>
      <c r="G843" s="21"/>
      <c r="H843" s="22"/>
      <c r="I843" s="27"/>
      <c r="J843" s="27"/>
      <c r="K843" s="36" t="str">
        <f aca="false">IF($B843="","",IF($C843="泓普",$C$2,IF($C843="仟茂",$E$2,IF($C843="现金",$G$2,0)))+SUMIFS($I$5:$I843,$C$5:$C843,$C843)-SUMIFS($J$5:$J843,$C$5:$C843,$C843))</f>
        <v/>
      </c>
      <c r="L843" s="36" t="str">
        <f aca="false">IF($B843="","",$C$2+$E$2+$G$2+SUM($I$5:$I843)-SUM($J$5:$J843))</f>
        <v/>
      </c>
      <c r="M843" s="24"/>
      <c r="N843" s="33" t="str">
        <f aca="false">IF($B843="","",IF(NOT(ISNUMBER($B843)),"日期格式不对",IF($C843="","未选资金账户",IF(AND(N($I843)=0,N($J843)=0),"收支都为空",IF(AND(N($I843)&gt;0,N($J843)&gt;0),"收支不能同时填",IF(AND($D843&lt;&gt;"",LEFT($O843,1)="⚠"),"项目编号不存在",IF(AND($M843="是",$F843=""),"工程回款必须填往来单位","√")))))))</f>
        <v/>
      </c>
      <c r="O843" s="34" t="str">
        <f aca="false">IF($D843="","",IFERROR(INDEX(项目档案!$B$6:$B$255,MATCH($D843,项目档案!$A$6:$A$255,0)),"⚠编号不存在"))</f>
        <v/>
      </c>
      <c r="P843" s="35" t="str">
        <f aca="false">IF($B843="","",TEXT($B843,"yyyy-mm"))</f>
        <v/>
      </c>
    </row>
    <row r="844" customFormat="false" ht="15.75" hidden="false" customHeight="true" outlineLevel="0" collapsed="false">
      <c r="A844" s="32" t="str">
        <f aca="false">IF($B844="","",ROW()-4)</f>
        <v/>
      </c>
      <c r="B844" s="26"/>
      <c r="C844" s="21"/>
      <c r="D844" s="24"/>
      <c r="E844" s="21"/>
      <c r="F844" s="24"/>
      <c r="G844" s="21"/>
      <c r="H844" s="22"/>
      <c r="I844" s="27"/>
      <c r="J844" s="27"/>
      <c r="K844" s="36" t="str">
        <f aca="false">IF($B844="","",IF($C844="泓普",$C$2,IF($C844="仟茂",$E$2,IF($C844="现金",$G$2,0)))+SUMIFS($I$5:$I844,$C$5:$C844,$C844)-SUMIFS($J$5:$J844,$C$5:$C844,$C844))</f>
        <v/>
      </c>
      <c r="L844" s="36" t="str">
        <f aca="false">IF($B844="","",$C$2+$E$2+$G$2+SUM($I$5:$I844)-SUM($J$5:$J844))</f>
        <v/>
      </c>
      <c r="M844" s="24"/>
      <c r="N844" s="33" t="str">
        <f aca="false">IF($B844="","",IF(NOT(ISNUMBER($B844)),"日期格式不对",IF($C844="","未选资金账户",IF(AND(N($I844)=0,N($J844)=0),"收支都为空",IF(AND(N($I844)&gt;0,N($J844)&gt;0),"收支不能同时填",IF(AND($D844&lt;&gt;"",LEFT($O844,1)="⚠"),"项目编号不存在",IF(AND($M844="是",$F844=""),"工程回款必须填往来单位","√")))))))</f>
        <v/>
      </c>
      <c r="O844" s="34" t="str">
        <f aca="false">IF($D844="","",IFERROR(INDEX(项目档案!$B$6:$B$255,MATCH($D844,项目档案!$A$6:$A$255,0)),"⚠编号不存在"))</f>
        <v/>
      </c>
      <c r="P844" s="35" t="str">
        <f aca="false">IF($B844="","",TEXT($B844,"yyyy-mm"))</f>
        <v/>
      </c>
    </row>
    <row r="845" customFormat="false" ht="15.75" hidden="false" customHeight="true" outlineLevel="0" collapsed="false">
      <c r="A845" s="32" t="str">
        <f aca="false">IF($B845="","",ROW()-4)</f>
        <v/>
      </c>
      <c r="B845" s="26"/>
      <c r="C845" s="21"/>
      <c r="D845" s="24"/>
      <c r="E845" s="21"/>
      <c r="F845" s="24"/>
      <c r="G845" s="21"/>
      <c r="H845" s="22"/>
      <c r="I845" s="27"/>
      <c r="J845" s="27"/>
      <c r="K845" s="36" t="str">
        <f aca="false">IF($B845="","",IF($C845="泓普",$C$2,IF($C845="仟茂",$E$2,IF($C845="现金",$G$2,0)))+SUMIFS($I$5:$I845,$C$5:$C845,$C845)-SUMIFS($J$5:$J845,$C$5:$C845,$C845))</f>
        <v/>
      </c>
      <c r="L845" s="36" t="str">
        <f aca="false">IF($B845="","",$C$2+$E$2+$G$2+SUM($I$5:$I845)-SUM($J$5:$J845))</f>
        <v/>
      </c>
      <c r="M845" s="24"/>
      <c r="N845" s="33" t="str">
        <f aca="false">IF($B845="","",IF(NOT(ISNUMBER($B845)),"日期格式不对",IF($C845="","未选资金账户",IF(AND(N($I845)=0,N($J845)=0),"收支都为空",IF(AND(N($I845)&gt;0,N($J845)&gt;0),"收支不能同时填",IF(AND($D845&lt;&gt;"",LEFT($O845,1)="⚠"),"项目编号不存在",IF(AND($M845="是",$F845=""),"工程回款必须填往来单位","√")))))))</f>
        <v/>
      </c>
      <c r="O845" s="34" t="str">
        <f aca="false">IF($D845="","",IFERROR(INDEX(项目档案!$B$6:$B$255,MATCH($D845,项目档案!$A$6:$A$255,0)),"⚠编号不存在"))</f>
        <v/>
      </c>
      <c r="P845" s="35" t="str">
        <f aca="false">IF($B845="","",TEXT($B845,"yyyy-mm"))</f>
        <v/>
      </c>
    </row>
    <row r="846" customFormat="false" ht="15.75" hidden="false" customHeight="true" outlineLevel="0" collapsed="false">
      <c r="A846" s="32" t="str">
        <f aca="false">IF($B846="","",ROW()-4)</f>
        <v/>
      </c>
      <c r="B846" s="26"/>
      <c r="C846" s="21"/>
      <c r="D846" s="24"/>
      <c r="E846" s="21"/>
      <c r="F846" s="24"/>
      <c r="G846" s="21"/>
      <c r="H846" s="22"/>
      <c r="I846" s="27"/>
      <c r="J846" s="27"/>
      <c r="K846" s="36" t="str">
        <f aca="false">IF($B846="","",IF($C846="泓普",$C$2,IF($C846="仟茂",$E$2,IF($C846="现金",$G$2,0)))+SUMIFS($I$5:$I846,$C$5:$C846,$C846)-SUMIFS($J$5:$J846,$C$5:$C846,$C846))</f>
        <v/>
      </c>
      <c r="L846" s="36" t="str">
        <f aca="false">IF($B846="","",$C$2+$E$2+$G$2+SUM($I$5:$I846)-SUM($J$5:$J846))</f>
        <v/>
      </c>
      <c r="M846" s="24"/>
      <c r="N846" s="33" t="str">
        <f aca="false">IF($B846="","",IF(NOT(ISNUMBER($B846)),"日期格式不对",IF($C846="","未选资金账户",IF(AND(N($I846)=0,N($J846)=0),"收支都为空",IF(AND(N($I846)&gt;0,N($J846)&gt;0),"收支不能同时填",IF(AND($D846&lt;&gt;"",LEFT($O846,1)="⚠"),"项目编号不存在",IF(AND($M846="是",$F846=""),"工程回款必须填往来单位","√")))))))</f>
        <v/>
      </c>
      <c r="O846" s="34" t="str">
        <f aca="false">IF($D846="","",IFERROR(INDEX(项目档案!$B$6:$B$255,MATCH($D846,项目档案!$A$6:$A$255,0)),"⚠编号不存在"))</f>
        <v/>
      </c>
      <c r="P846" s="35" t="str">
        <f aca="false">IF($B846="","",TEXT($B846,"yyyy-mm"))</f>
        <v/>
      </c>
    </row>
    <row r="847" customFormat="false" ht="15.75" hidden="false" customHeight="true" outlineLevel="0" collapsed="false">
      <c r="A847" s="32" t="str">
        <f aca="false">IF($B847="","",ROW()-4)</f>
        <v/>
      </c>
      <c r="B847" s="26"/>
      <c r="C847" s="21"/>
      <c r="D847" s="24"/>
      <c r="E847" s="21"/>
      <c r="F847" s="24"/>
      <c r="G847" s="21"/>
      <c r="H847" s="22"/>
      <c r="I847" s="27"/>
      <c r="J847" s="27"/>
      <c r="K847" s="36" t="str">
        <f aca="false">IF($B847="","",IF($C847="泓普",$C$2,IF($C847="仟茂",$E$2,IF($C847="现金",$G$2,0)))+SUMIFS($I$5:$I847,$C$5:$C847,$C847)-SUMIFS($J$5:$J847,$C$5:$C847,$C847))</f>
        <v/>
      </c>
      <c r="L847" s="36" t="str">
        <f aca="false">IF($B847="","",$C$2+$E$2+$G$2+SUM($I$5:$I847)-SUM($J$5:$J847))</f>
        <v/>
      </c>
      <c r="M847" s="24"/>
      <c r="N847" s="33" t="str">
        <f aca="false">IF($B847="","",IF(NOT(ISNUMBER($B847)),"日期格式不对",IF($C847="","未选资金账户",IF(AND(N($I847)=0,N($J847)=0),"收支都为空",IF(AND(N($I847)&gt;0,N($J847)&gt;0),"收支不能同时填",IF(AND($D847&lt;&gt;"",LEFT($O847,1)="⚠"),"项目编号不存在",IF(AND($M847="是",$F847=""),"工程回款必须填往来单位","√")))))))</f>
        <v/>
      </c>
      <c r="O847" s="34" t="str">
        <f aca="false">IF($D847="","",IFERROR(INDEX(项目档案!$B$6:$B$255,MATCH($D847,项目档案!$A$6:$A$255,0)),"⚠编号不存在"))</f>
        <v/>
      </c>
      <c r="P847" s="35" t="str">
        <f aca="false">IF($B847="","",TEXT($B847,"yyyy-mm"))</f>
        <v/>
      </c>
    </row>
    <row r="848" customFormat="false" ht="15.75" hidden="false" customHeight="true" outlineLevel="0" collapsed="false">
      <c r="A848" s="32" t="str">
        <f aca="false">IF($B848="","",ROW()-4)</f>
        <v/>
      </c>
      <c r="B848" s="26"/>
      <c r="C848" s="21"/>
      <c r="D848" s="24"/>
      <c r="E848" s="21"/>
      <c r="F848" s="24"/>
      <c r="G848" s="21"/>
      <c r="H848" s="22"/>
      <c r="I848" s="27"/>
      <c r="J848" s="27"/>
      <c r="K848" s="36" t="str">
        <f aca="false">IF($B848="","",IF($C848="泓普",$C$2,IF($C848="仟茂",$E$2,IF($C848="现金",$G$2,0)))+SUMIFS($I$5:$I848,$C$5:$C848,$C848)-SUMIFS($J$5:$J848,$C$5:$C848,$C848))</f>
        <v/>
      </c>
      <c r="L848" s="36" t="str">
        <f aca="false">IF($B848="","",$C$2+$E$2+$G$2+SUM($I$5:$I848)-SUM($J$5:$J848))</f>
        <v/>
      </c>
      <c r="M848" s="24"/>
      <c r="N848" s="33" t="str">
        <f aca="false">IF($B848="","",IF(NOT(ISNUMBER($B848)),"日期格式不对",IF($C848="","未选资金账户",IF(AND(N($I848)=0,N($J848)=0),"收支都为空",IF(AND(N($I848)&gt;0,N($J848)&gt;0),"收支不能同时填",IF(AND($D848&lt;&gt;"",LEFT($O848,1)="⚠"),"项目编号不存在",IF(AND($M848="是",$F848=""),"工程回款必须填往来单位","√")))))))</f>
        <v/>
      </c>
      <c r="O848" s="34" t="str">
        <f aca="false">IF($D848="","",IFERROR(INDEX(项目档案!$B$6:$B$255,MATCH($D848,项目档案!$A$6:$A$255,0)),"⚠编号不存在"))</f>
        <v/>
      </c>
      <c r="P848" s="35" t="str">
        <f aca="false">IF($B848="","",TEXT($B848,"yyyy-mm"))</f>
        <v/>
      </c>
    </row>
    <row r="849" customFormat="false" ht="15.75" hidden="false" customHeight="true" outlineLevel="0" collapsed="false">
      <c r="A849" s="32" t="str">
        <f aca="false">IF($B849="","",ROW()-4)</f>
        <v/>
      </c>
      <c r="B849" s="26"/>
      <c r="C849" s="21"/>
      <c r="D849" s="24"/>
      <c r="E849" s="21"/>
      <c r="F849" s="24"/>
      <c r="G849" s="21"/>
      <c r="H849" s="22"/>
      <c r="I849" s="27"/>
      <c r="J849" s="27"/>
      <c r="K849" s="36" t="str">
        <f aca="false">IF($B849="","",IF($C849="泓普",$C$2,IF($C849="仟茂",$E$2,IF($C849="现金",$G$2,0)))+SUMIFS($I$5:$I849,$C$5:$C849,$C849)-SUMIFS($J$5:$J849,$C$5:$C849,$C849))</f>
        <v/>
      </c>
      <c r="L849" s="36" t="str">
        <f aca="false">IF($B849="","",$C$2+$E$2+$G$2+SUM($I$5:$I849)-SUM($J$5:$J849))</f>
        <v/>
      </c>
      <c r="M849" s="24"/>
      <c r="N849" s="33" t="str">
        <f aca="false">IF($B849="","",IF(NOT(ISNUMBER($B849)),"日期格式不对",IF($C849="","未选资金账户",IF(AND(N($I849)=0,N($J849)=0),"收支都为空",IF(AND(N($I849)&gt;0,N($J849)&gt;0),"收支不能同时填",IF(AND($D849&lt;&gt;"",LEFT($O849,1)="⚠"),"项目编号不存在",IF(AND($M849="是",$F849=""),"工程回款必须填往来单位","√")))))))</f>
        <v/>
      </c>
      <c r="O849" s="34" t="str">
        <f aca="false">IF($D849="","",IFERROR(INDEX(项目档案!$B$6:$B$255,MATCH($D849,项目档案!$A$6:$A$255,0)),"⚠编号不存在"))</f>
        <v/>
      </c>
      <c r="P849" s="35" t="str">
        <f aca="false">IF($B849="","",TEXT($B849,"yyyy-mm"))</f>
        <v/>
      </c>
    </row>
    <row r="850" customFormat="false" ht="15.75" hidden="false" customHeight="true" outlineLevel="0" collapsed="false">
      <c r="A850" s="32" t="str">
        <f aca="false">IF($B850="","",ROW()-4)</f>
        <v/>
      </c>
      <c r="B850" s="26"/>
      <c r="C850" s="21"/>
      <c r="D850" s="24"/>
      <c r="E850" s="21"/>
      <c r="F850" s="24"/>
      <c r="G850" s="21"/>
      <c r="H850" s="22"/>
      <c r="I850" s="27"/>
      <c r="J850" s="27"/>
      <c r="K850" s="36" t="str">
        <f aca="false">IF($B850="","",IF($C850="泓普",$C$2,IF($C850="仟茂",$E$2,IF($C850="现金",$G$2,0)))+SUMIFS($I$5:$I850,$C$5:$C850,$C850)-SUMIFS($J$5:$J850,$C$5:$C850,$C850))</f>
        <v/>
      </c>
      <c r="L850" s="36" t="str">
        <f aca="false">IF($B850="","",$C$2+$E$2+$G$2+SUM($I$5:$I850)-SUM($J$5:$J850))</f>
        <v/>
      </c>
      <c r="M850" s="24"/>
      <c r="N850" s="33" t="str">
        <f aca="false">IF($B850="","",IF(NOT(ISNUMBER($B850)),"日期格式不对",IF($C850="","未选资金账户",IF(AND(N($I850)=0,N($J850)=0),"收支都为空",IF(AND(N($I850)&gt;0,N($J850)&gt;0),"收支不能同时填",IF(AND($D850&lt;&gt;"",LEFT($O850,1)="⚠"),"项目编号不存在",IF(AND($M850="是",$F850=""),"工程回款必须填往来单位","√")))))))</f>
        <v/>
      </c>
      <c r="O850" s="34" t="str">
        <f aca="false">IF($D850="","",IFERROR(INDEX(项目档案!$B$6:$B$255,MATCH($D850,项目档案!$A$6:$A$255,0)),"⚠编号不存在"))</f>
        <v/>
      </c>
      <c r="P850" s="35" t="str">
        <f aca="false">IF($B850="","",TEXT($B850,"yyyy-mm"))</f>
        <v/>
      </c>
    </row>
    <row r="851" customFormat="false" ht="15.75" hidden="false" customHeight="true" outlineLevel="0" collapsed="false">
      <c r="A851" s="32" t="str">
        <f aca="false">IF($B851="","",ROW()-4)</f>
        <v/>
      </c>
      <c r="B851" s="26"/>
      <c r="C851" s="21"/>
      <c r="D851" s="24"/>
      <c r="E851" s="21"/>
      <c r="F851" s="24"/>
      <c r="G851" s="21"/>
      <c r="H851" s="22"/>
      <c r="I851" s="27"/>
      <c r="J851" s="27"/>
      <c r="K851" s="36" t="str">
        <f aca="false">IF($B851="","",IF($C851="泓普",$C$2,IF($C851="仟茂",$E$2,IF($C851="现金",$G$2,0)))+SUMIFS($I$5:$I851,$C$5:$C851,$C851)-SUMIFS($J$5:$J851,$C$5:$C851,$C851))</f>
        <v/>
      </c>
      <c r="L851" s="36" t="str">
        <f aca="false">IF($B851="","",$C$2+$E$2+$G$2+SUM($I$5:$I851)-SUM($J$5:$J851))</f>
        <v/>
      </c>
      <c r="M851" s="24"/>
      <c r="N851" s="33" t="str">
        <f aca="false">IF($B851="","",IF(NOT(ISNUMBER($B851)),"日期格式不对",IF($C851="","未选资金账户",IF(AND(N($I851)=0,N($J851)=0),"收支都为空",IF(AND(N($I851)&gt;0,N($J851)&gt;0),"收支不能同时填",IF(AND($D851&lt;&gt;"",LEFT($O851,1)="⚠"),"项目编号不存在",IF(AND($M851="是",$F851=""),"工程回款必须填往来单位","√")))))))</f>
        <v/>
      </c>
      <c r="O851" s="34" t="str">
        <f aca="false">IF($D851="","",IFERROR(INDEX(项目档案!$B$6:$B$255,MATCH($D851,项目档案!$A$6:$A$255,0)),"⚠编号不存在"))</f>
        <v/>
      </c>
      <c r="P851" s="35" t="str">
        <f aca="false">IF($B851="","",TEXT($B851,"yyyy-mm"))</f>
        <v/>
      </c>
    </row>
    <row r="852" customFormat="false" ht="15.75" hidden="false" customHeight="true" outlineLevel="0" collapsed="false">
      <c r="A852" s="32" t="str">
        <f aca="false">IF($B852="","",ROW()-4)</f>
        <v/>
      </c>
      <c r="B852" s="26"/>
      <c r="C852" s="21"/>
      <c r="D852" s="24"/>
      <c r="E852" s="21"/>
      <c r="F852" s="24"/>
      <c r="G852" s="21"/>
      <c r="H852" s="22"/>
      <c r="I852" s="27"/>
      <c r="J852" s="27"/>
      <c r="K852" s="36" t="str">
        <f aca="false">IF($B852="","",IF($C852="泓普",$C$2,IF($C852="仟茂",$E$2,IF($C852="现金",$G$2,0)))+SUMIFS($I$5:$I852,$C$5:$C852,$C852)-SUMIFS($J$5:$J852,$C$5:$C852,$C852))</f>
        <v/>
      </c>
      <c r="L852" s="36" t="str">
        <f aca="false">IF($B852="","",$C$2+$E$2+$G$2+SUM($I$5:$I852)-SUM($J$5:$J852))</f>
        <v/>
      </c>
      <c r="M852" s="24"/>
      <c r="N852" s="33" t="str">
        <f aca="false">IF($B852="","",IF(NOT(ISNUMBER($B852)),"日期格式不对",IF($C852="","未选资金账户",IF(AND(N($I852)=0,N($J852)=0),"收支都为空",IF(AND(N($I852)&gt;0,N($J852)&gt;0),"收支不能同时填",IF(AND($D852&lt;&gt;"",LEFT($O852,1)="⚠"),"项目编号不存在",IF(AND($M852="是",$F852=""),"工程回款必须填往来单位","√")))))))</f>
        <v/>
      </c>
      <c r="O852" s="34" t="str">
        <f aca="false">IF($D852="","",IFERROR(INDEX(项目档案!$B$6:$B$255,MATCH($D852,项目档案!$A$6:$A$255,0)),"⚠编号不存在"))</f>
        <v/>
      </c>
      <c r="P852" s="35" t="str">
        <f aca="false">IF($B852="","",TEXT($B852,"yyyy-mm"))</f>
        <v/>
      </c>
    </row>
    <row r="853" customFormat="false" ht="15.75" hidden="false" customHeight="true" outlineLevel="0" collapsed="false">
      <c r="A853" s="32" t="str">
        <f aca="false">IF($B853="","",ROW()-4)</f>
        <v/>
      </c>
      <c r="B853" s="26"/>
      <c r="C853" s="21"/>
      <c r="D853" s="24"/>
      <c r="E853" s="21"/>
      <c r="F853" s="24"/>
      <c r="G853" s="21"/>
      <c r="H853" s="22"/>
      <c r="I853" s="27"/>
      <c r="J853" s="27"/>
      <c r="K853" s="36" t="str">
        <f aca="false">IF($B853="","",IF($C853="泓普",$C$2,IF($C853="仟茂",$E$2,IF($C853="现金",$G$2,0)))+SUMIFS($I$5:$I853,$C$5:$C853,$C853)-SUMIFS($J$5:$J853,$C$5:$C853,$C853))</f>
        <v/>
      </c>
      <c r="L853" s="36" t="str">
        <f aca="false">IF($B853="","",$C$2+$E$2+$G$2+SUM($I$5:$I853)-SUM($J$5:$J853))</f>
        <v/>
      </c>
      <c r="M853" s="24"/>
      <c r="N853" s="33" t="str">
        <f aca="false">IF($B853="","",IF(NOT(ISNUMBER($B853)),"日期格式不对",IF($C853="","未选资金账户",IF(AND(N($I853)=0,N($J853)=0),"收支都为空",IF(AND(N($I853)&gt;0,N($J853)&gt;0),"收支不能同时填",IF(AND($D853&lt;&gt;"",LEFT($O853,1)="⚠"),"项目编号不存在",IF(AND($M853="是",$F853=""),"工程回款必须填往来单位","√")))))))</f>
        <v/>
      </c>
      <c r="O853" s="34" t="str">
        <f aca="false">IF($D853="","",IFERROR(INDEX(项目档案!$B$6:$B$255,MATCH($D853,项目档案!$A$6:$A$255,0)),"⚠编号不存在"))</f>
        <v/>
      </c>
      <c r="P853" s="35" t="str">
        <f aca="false">IF($B853="","",TEXT($B853,"yyyy-mm"))</f>
        <v/>
      </c>
    </row>
    <row r="854" customFormat="false" ht="15.75" hidden="false" customHeight="true" outlineLevel="0" collapsed="false">
      <c r="A854" s="32" t="str">
        <f aca="false">IF($B854="","",ROW()-4)</f>
        <v/>
      </c>
      <c r="B854" s="26"/>
      <c r="C854" s="21"/>
      <c r="D854" s="24"/>
      <c r="E854" s="21"/>
      <c r="F854" s="24"/>
      <c r="G854" s="21"/>
      <c r="H854" s="22"/>
      <c r="I854" s="27"/>
      <c r="J854" s="27"/>
      <c r="K854" s="36" t="str">
        <f aca="false">IF($B854="","",IF($C854="泓普",$C$2,IF($C854="仟茂",$E$2,IF($C854="现金",$G$2,0)))+SUMIFS($I$5:$I854,$C$5:$C854,$C854)-SUMIFS($J$5:$J854,$C$5:$C854,$C854))</f>
        <v/>
      </c>
      <c r="L854" s="36" t="str">
        <f aca="false">IF($B854="","",$C$2+$E$2+$G$2+SUM($I$5:$I854)-SUM($J$5:$J854))</f>
        <v/>
      </c>
      <c r="M854" s="24"/>
      <c r="N854" s="33" t="str">
        <f aca="false">IF($B854="","",IF(NOT(ISNUMBER($B854)),"日期格式不对",IF($C854="","未选资金账户",IF(AND(N($I854)=0,N($J854)=0),"收支都为空",IF(AND(N($I854)&gt;0,N($J854)&gt;0),"收支不能同时填",IF(AND($D854&lt;&gt;"",LEFT($O854,1)="⚠"),"项目编号不存在",IF(AND($M854="是",$F854=""),"工程回款必须填往来单位","√")))))))</f>
        <v/>
      </c>
      <c r="O854" s="34" t="str">
        <f aca="false">IF($D854="","",IFERROR(INDEX(项目档案!$B$6:$B$255,MATCH($D854,项目档案!$A$6:$A$255,0)),"⚠编号不存在"))</f>
        <v/>
      </c>
      <c r="P854" s="35" t="str">
        <f aca="false">IF($B854="","",TEXT($B854,"yyyy-mm"))</f>
        <v/>
      </c>
    </row>
    <row r="855" customFormat="false" ht="15.75" hidden="false" customHeight="true" outlineLevel="0" collapsed="false">
      <c r="A855" s="32" t="str">
        <f aca="false">IF($B855="","",ROW()-4)</f>
        <v/>
      </c>
      <c r="B855" s="26"/>
      <c r="C855" s="21"/>
      <c r="D855" s="24"/>
      <c r="E855" s="21"/>
      <c r="F855" s="24"/>
      <c r="G855" s="21"/>
      <c r="H855" s="22"/>
      <c r="I855" s="27"/>
      <c r="J855" s="27"/>
      <c r="K855" s="36" t="str">
        <f aca="false">IF($B855="","",IF($C855="泓普",$C$2,IF($C855="仟茂",$E$2,IF($C855="现金",$G$2,0)))+SUMIFS($I$5:$I855,$C$5:$C855,$C855)-SUMIFS($J$5:$J855,$C$5:$C855,$C855))</f>
        <v/>
      </c>
      <c r="L855" s="36" t="str">
        <f aca="false">IF($B855="","",$C$2+$E$2+$G$2+SUM($I$5:$I855)-SUM($J$5:$J855))</f>
        <v/>
      </c>
      <c r="M855" s="24"/>
      <c r="N855" s="33" t="str">
        <f aca="false">IF($B855="","",IF(NOT(ISNUMBER($B855)),"日期格式不对",IF($C855="","未选资金账户",IF(AND(N($I855)=0,N($J855)=0),"收支都为空",IF(AND(N($I855)&gt;0,N($J855)&gt;0),"收支不能同时填",IF(AND($D855&lt;&gt;"",LEFT($O855,1)="⚠"),"项目编号不存在",IF(AND($M855="是",$F855=""),"工程回款必须填往来单位","√")))))))</f>
        <v/>
      </c>
      <c r="O855" s="34" t="str">
        <f aca="false">IF($D855="","",IFERROR(INDEX(项目档案!$B$6:$B$255,MATCH($D855,项目档案!$A$6:$A$255,0)),"⚠编号不存在"))</f>
        <v/>
      </c>
      <c r="P855" s="35" t="str">
        <f aca="false">IF($B855="","",TEXT($B855,"yyyy-mm"))</f>
        <v/>
      </c>
    </row>
    <row r="856" customFormat="false" ht="15.75" hidden="false" customHeight="true" outlineLevel="0" collapsed="false">
      <c r="A856" s="32" t="str">
        <f aca="false">IF($B856="","",ROW()-4)</f>
        <v/>
      </c>
      <c r="B856" s="26"/>
      <c r="C856" s="21"/>
      <c r="D856" s="24"/>
      <c r="E856" s="21"/>
      <c r="F856" s="24"/>
      <c r="G856" s="21"/>
      <c r="H856" s="22"/>
      <c r="I856" s="27"/>
      <c r="J856" s="27"/>
      <c r="K856" s="36" t="str">
        <f aca="false">IF($B856="","",IF($C856="泓普",$C$2,IF($C856="仟茂",$E$2,IF($C856="现金",$G$2,0)))+SUMIFS($I$5:$I856,$C$5:$C856,$C856)-SUMIFS($J$5:$J856,$C$5:$C856,$C856))</f>
        <v/>
      </c>
      <c r="L856" s="36" t="str">
        <f aca="false">IF($B856="","",$C$2+$E$2+$G$2+SUM($I$5:$I856)-SUM($J$5:$J856))</f>
        <v/>
      </c>
      <c r="M856" s="24"/>
      <c r="N856" s="33" t="str">
        <f aca="false">IF($B856="","",IF(NOT(ISNUMBER($B856)),"日期格式不对",IF($C856="","未选资金账户",IF(AND(N($I856)=0,N($J856)=0),"收支都为空",IF(AND(N($I856)&gt;0,N($J856)&gt;0),"收支不能同时填",IF(AND($D856&lt;&gt;"",LEFT($O856,1)="⚠"),"项目编号不存在",IF(AND($M856="是",$F856=""),"工程回款必须填往来单位","√")))))))</f>
        <v/>
      </c>
      <c r="O856" s="34" t="str">
        <f aca="false">IF($D856="","",IFERROR(INDEX(项目档案!$B$6:$B$255,MATCH($D856,项目档案!$A$6:$A$255,0)),"⚠编号不存在"))</f>
        <v/>
      </c>
      <c r="P856" s="35" t="str">
        <f aca="false">IF($B856="","",TEXT($B856,"yyyy-mm"))</f>
        <v/>
      </c>
    </row>
    <row r="857" customFormat="false" ht="15.75" hidden="false" customHeight="true" outlineLevel="0" collapsed="false">
      <c r="A857" s="32" t="str">
        <f aca="false">IF($B857="","",ROW()-4)</f>
        <v/>
      </c>
      <c r="B857" s="26"/>
      <c r="C857" s="21"/>
      <c r="D857" s="24"/>
      <c r="E857" s="21"/>
      <c r="F857" s="24"/>
      <c r="G857" s="21"/>
      <c r="H857" s="22"/>
      <c r="I857" s="27"/>
      <c r="J857" s="27"/>
      <c r="K857" s="36" t="str">
        <f aca="false">IF($B857="","",IF($C857="泓普",$C$2,IF($C857="仟茂",$E$2,IF($C857="现金",$G$2,0)))+SUMIFS($I$5:$I857,$C$5:$C857,$C857)-SUMIFS($J$5:$J857,$C$5:$C857,$C857))</f>
        <v/>
      </c>
      <c r="L857" s="36" t="str">
        <f aca="false">IF($B857="","",$C$2+$E$2+$G$2+SUM($I$5:$I857)-SUM($J$5:$J857))</f>
        <v/>
      </c>
      <c r="M857" s="24"/>
      <c r="N857" s="33" t="str">
        <f aca="false">IF($B857="","",IF(NOT(ISNUMBER($B857)),"日期格式不对",IF($C857="","未选资金账户",IF(AND(N($I857)=0,N($J857)=0),"收支都为空",IF(AND(N($I857)&gt;0,N($J857)&gt;0),"收支不能同时填",IF(AND($D857&lt;&gt;"",LEFT($O857,1)="⚠"),"项目编号不存在",IF(AND($M857="是",$F857=""),"工程回款必须填往来单位","√")))))))</f>
        <v/>
      </c>
      <c r="O857" s="34" t="str">
        <f aca="false">IF($D857="","",IFERROR(INDEX(项目档案!$B$6:$B$255,MATCH($D857,项目档案!$A$6:$A$255,0)),"⚠编号不存在"))</f>
        <v/>
      </c>
      <c r="P857" s="35" t="str">
        <f aca="false">IF($B857="","",TEXT($B857,"yyyy-mm"))</f>
        <v/>
      </c>
    </row>
    <row r="858" customFormat="false" ht="15.75" hidden="false" customHeight="true" outlineLevel="0" collapsed="false">
      <c r="A858" s="32" t="str">
        <f aca="false">IF($B858="","",ROW()-4)</f>
        <v/>
      </c>
      <c r="B858" s="26"/>
      <c r="C858" s="21"/>
      <c r="D858" s="24"/>
      <c r="E858" s="21"/>
      <c r="F858" s="24"/>
      <c r="G858" s="21"/>
      <c r="H858" s="22"/>
      <c r="I858" s="27"/>
      <c r="J858" s="27"/>
      <c r="K858" s="36" t="str">
        <f aca="false">IF($B858="","",IF($C858="泓普",$C$2,IF($C858="仟茂",$E$2,IF($C858="现金",$G$2,0)))+SUMIFS($I$5:$I858,$C$5:$C858,$C858)-SUMIFS($J$5:$J858,$C$5:$C858,$C858))</f>
        <v/>
      </c>
      <c r="L858" s="36" t="str">
        <f aca="false">IF($B858="","",$C$2+$E$2+$G$2+SUM($I$5:$I858)-SUM($J$5:$J858))</f>
        <v/>
      </c>
      <c r="M858" s="24"/>
      <c r="N858" s="33" t="str">
        <f aca="false">IF($B858="","",IF(NOT(ISNUMBER($B858)),"日期格式不对",IF($C858="","未选资金账户",IF(AND(N($I858)=0,N($J858)=0),"收支都为空",IF(AND(N($I858)&gt;0,N($J858)&gt;0),"收支不能同时填",IF(AND($D858&lt;&gt;"",LEFT($O858,1)="⚠"),"项目编号不存在",IF(AND($M858="是",$F858=""),"工程回款必须填往来单位","√")))))))</f>
        <v/>
      </c>
      <c r="O858" s="34" t="str">
        <f aca="false">IF($D858="","",IFERROR(INDEX(项目档案!$B$6:$B$255,MATCH($D858,项目档案!$A$6:$A$255,0)),"⚠编号不存在"))</f>
        <v/>
      </c>
      <c r="P858" s="35" t="str">
        <f aca="false">IF($B858="","",TEXT($B858,"yyyy-mm"))</f>
        <v/>
      </c>
    </row>
    <row r="859" customFormat="false" ht="15.75" hidden="false" customHeight="true" outlineLevel="0" collapsed="false">
      <c r="A859" s="32" t="str">
        <f aca="false">IF($B859="","",ROW()-4)</f>
        <v/>
      </c>
      <c r="B859" s="26"/>
      <c r="C859" s="21"/>
      <c r="D859" s="24"/>
      <c r="E859" s="21"/>
      <c r="F859" s="24"/>
      <c r="G859" s="21"/>
      <c r="H859" s="22"/>
      <c r="I859" s="27"/>
      <c r="J859" s="27"/>
      <c r="K859" s="36" t="str">
        <f aca="false">IF($B859="","",IF($C859="泓普",$C$2,IF($C859="仟茂",$E$2,IF($C859="现金",$G$2,0)))+SUMIFS($I$5:$I859,$C$5:$C859,$C859)-SUMIFS($J$5:$J859,$C$5:$C859,$C859))</f>
        <v/>
      </c>
      <c r="L859" s="36" t="str">
        <f aca="false">IF($B859="","",$C$2+$E$2+$G$2+SUM($I$5:$I859)-SUM($J$5:$J859))</f>
        <v/>
      </c>
      <c r="M859" s="24"/>
      <c r="N859" s="33" t="str">
        <f aca="false">IF($B859="","",IF(NOT(ISNUMBER($B859)),"日期格式不对",IF($C859="","未选资金账户",IF(AND(N($I859)=0,N($J859)=0),"收支都为空",IF(AND(N($I859)&gt;0,N($J859)&gt;0),"收支不能同时填",IF(AND($D859&lt;&gt;"",LEFT($O859,1)="⚠"),"项目编号不存在",IF(AND($M859="是",$F859=""),"工程回款必须填往来单位","√")))))))</f>
        <v/>
      </c>
      <c r="O859" s="34" t="str">
        <f aca="false">IF($D859="","",IFERROR(INDEX(项目档案!$B$6:$B$255,MATCH($D859,项目档案!$A$6:$A$255,0)),"⚠编号不存在"))</f>
        <v/>
      </c>
      <c r="P859" s="35" t="str">
        <f aca="false">IF($B859="","",TEXT($B859,"yyyy-mm"))</f>
        <v/>
      </c>
    </row>
    <row r="860" customFormat="false" ht="15.75" hidden="false" customHeight="true" outlineLevel="0" collapsed="false">
      <c r="A860" s="32" t="str">
        <f aca="false">IF($B860="","",ROW()-4)</f>
        <v/>
      </c>
      <c r="B860" s="26"/>
      <c r="C860" s="21"/>
      <c r="D860" s="24"/>
      <c r="E860" s="21"/>
      <c r="F860" s="24"/>
      <c r="G860" s="21"/>
      <c r="H860" s="22"/>
      <c r="I860" s="27"/>
      <c r="J860" s="27"/>
      <c r="K860" s="36" t="str">
        <f aca="false">IF($B860="","",IF($C860="泓普",$C$2,IF($C860="仟茂",$E$2,IF($C860="现金",$G$2,0)))+SUMIFS($I$5:$I860,$C$5:$C860,$C860)-SUMIFS($J$5:$J860,$C$5:$C860,$C860))</f>
        <v/>
      </c>
      <c r="L860" s="36" t="str">
        <f aca="false">IF($B860="","",$C$2+$E$2+$G$2+SUM($I$5:$I860)-SUM($J$5:$J860))</f>
        <v/>
      </c>
      <c r="M860" s="24"/>
      <c r="N860" s="33" t="str">
        <f aca="false">IF($B860="","",IF(NOT(ISNUMBER($B860)),"日期格式不对",IF($C860="","未选资金账户",IF(AND(N($I860)=0,N($J860)=0),"收支都为空",IF(AND(N($I860)&gt;0,N($J860)&gt;0),"收支不能同时填",IF(AND($D860&lt;&gt;"",LEFT($O860,1)="⚠"),"项目编号不存在",IF(AND($M860="是",$F860=""),"工程回款必须填往来单位","√")))))))</f>
        <v/>
      </c>
      <c r="O860" s="34" t="str">
        <f aca="false">IF($D860="","",IFERROR(INDEX(项目档案!$B$6:$B$255,MATCH($D860,项目档案!$A$6:$A$255,0)),"⚠编号不存在"))</f>
        <v/>
      </c>
      <c r="P860" s="35" t="str">
        <f aca="false">IF($B860="","",TEXT($B860,"yyyy-mm"))</f>
        <v/>
      </c>
    </row>
    <row r="861" customFormat="false" ht="15.75" hidden="false" customHeight="true" outlineLevel="0" collapsed="false">
      <c r="A861" s="32" t="str">
        <f aca="false">IF($B861="","",ROW()-4)</f>
        <v/>
      </c>
      <c r="B861" s="26"/>
      <c r="C861" s="21"/>
      <c r="D861" s="24"/>
      <c r="E861" s="21"/>
      <c r="F861" s="24"/>
      <c r="G861" s="21"/>
      <c r="H861" s="22"/>
      <c r="I861" s="27"/>
      <c r="J861" s="27"/>
      <c r="K861" s="36" t="str">
        <f aca="false">IF($B861="","",IF($C861="泓普",$C$2,IF($C861="仟茂",$E$2,IF($C861="现金",$G$2,0)))+SUMIFS($I$5:$I861,$C$5:$C861,$C861)-SUMIFS($J$5:$J861,$C$5:$C861,$C861))</f>
        <v/>
      </c>
      <c r="L861" s="36" t="str">
        <f aca="false">IF($B861="","",$C$2+$E$2+$G$2+SUM($I$5:$I861)-SUM($J$5:$J861))</f>
        <v/>
      </c>
      <c r="M861" s="24"/>
      <c r="N861" s="33" t="str">
        <f aca="false">IF($B861="","",IF(NOT(ISNUMBER($B861)),"日期格式不对",IF($C861="","未选资金账户",IF(AND(N($I861)=0,N($J861)=0),"收支都为空",IF(AND(N($I861)&gt;0,N($J861)&gt;0),"收支不能同时填",IF(AND($D861&lt;&gt;"",LEFT($O861,1)="⚠"),"项目编号不存在",IF(AND($M861="是",$F861=""),"工程回款必须填往来单位","√")))))))</f>
        <v/>
      </c>
      <c r="O861" s="34" t="str">
        <f aca="false">IF($D861="","",IFERROR(INDEX(项目档案!$B$6:$B$255,MATCH($D861,项目档案!$A$6:$A$255,0)),"⚠编号不存在"))</f>
        <v/>
      </c>
      <c r="P861" s="35" t="str">
        <f aca="false">IF($B861="","",TEXT($B861,"yyyy-mm"))</f>
        <v/>
      </c>
    </row>
    <row r="862" customFormat="false" ht="15.75" hidden="false" customHeight="true" outlineLevel="0" collapsed="false">
      <c r="A862" s="32" t="str">
        <f aca="false">IF($B862="","",ROW()-4)</f>
        <v/>
      </c>
      <c r="B862" s="26"/>
      <c r="C862" s="21"/>
      <c r="D862" s="24"/>
      <c r="E862" s="21"/>
      <c r="F862" s="24"/>
      <c r="G862" s="21"/>
      <c r="H862" s="22"/>
      <c r="I862" s="27"/>
      <c r="J862" s="27"/>
      <c r="K862" s="36" t="str">
        <f aca="false">IF($B862="","",IF($C862="泓普",$C$2,IF($C862="仟茂",$E$2,IF($C862="现金",$G$2,0)))+SUMIFS($I$5:$I862,$C$5:$C862,$C862)-SUMIFS($J$5:$J862,$C$5:$C862,$C862))</f>
        <v/>
      </c>
      <c r="L862" s="36" t="str">
        <f aca="false">IF($B862="","",$C$2+$E$2+$G$2+SUM($I$5:$I862)-SUM($J$5:$J862))</f>
        <v/>
      </c>
      <c r="M862" s="24"/>
      <c r="N862" s="33" t="str">
        <f aca="false">IF($B862="","",IF(NOT(ISNUMBER($B862)),"日期格式不对",IF($C862="","未选资金账户",IF(AND(N($I862)=0,N($J862)=0),"收支都为空",IF(AND(N($I862)&gt;0,N($J862)&gt;0),"收支不能同时填",IF(AND($D862&lt;&gt;"",LEFT($O862,1)="⚠"),"项目编号不存在",IF(AND($M862="是",$F862=""),"工程回款必须填往来单位","√")))))))</f>
        <v/>
      </c>
      <c r="O862" s="34" t="str">
        <f aca="false">IF($D862="","",IFERROR(INDEX(项目档案!$B$6:$B$255,MATCH($D862,项目档案!$A$6:$A$255,0)),"⚠编号不存在"))</f>
        <v/>
      </c>
      <c r="P862" s="35" t="str">
        <f aca="false">IF($B862="","",TEXT($B862,"yyyy-mm"))</f>
        <v/>
      </c>
    </row>
    <row r="863" customFormat="false" ht="15.75" hidden="false" customHeight="true" outlineLevel="0" collapsed="false">
      <c r="A863" s="32" t="str">
        <f aca="false">IF($B863="","",ROW()-4)</f>
        <v/>
      </c>
      <c r="B863" s="26"/>
      <c r="C863" s="21"/>
      <c r="D863" s="24"/>
      <c r="E863" s="21"/>
      <c r="F863" s="24"/>
      <c r="G863" s="21"/>
      <c r="H863" s="22"/>
      <c r="I863" s="27"/>
      <c r="J863" s="27"/>
      <c r="K863" s="36" t="str">
        <f aca="false">IF($B863="","",IF($C863="泓普",$C$2,IF($C863="仟茂",$E$2,IF($C863="现金",$G$2,0)))+SUMIFS($I$5:$I863,$C$5:$C863,$C863)-SUMIFS($J$5:$J863,$C$5:$C863,$C863))</f>
        <v/>
      </c>
      <c r="L863" s="36" t="str">
        <f aca="false">IF($B863="","",$C$2+$E$2+$G$2+SUM($I$5:$I863)-SUM($J$5:$J863))</f>
        <v/>
      </c>
      <c r="M863" s="24"/>
      <c r="N863" s="33" t="str">
        <f aca="false">IF($B863="","",IF(NOT(ISNUMBER($B863)),"日期格式不对",IF($C863="","未选资金账户",IF(AND(N($I863)=0,N($J863)=0),"收支都为空",IF(AND(N($I863)&gt;0,N($J863)&gt;0),"收支不能同时填",IF(AND($D863&lt;&gt;"",LEFT($O863,1)="⚠"),"项目编号不存在",IF(AND($M863="是",$F863=""),"工程回款必须填往来单位","√")))))))</f>
        <v/>
      </c>
      <c r="O863" s="34" t="str">
        <f aca="false">IF($D863="","",IFERROR(INDEX(项目档案!$B$6:$B$255,MATCH($D863,项目档案!$A$6:$A$255,0)),"⚠编号不存在"))</f>
        <v/>
      </c>
      <c r="P863" s="35" t="str">
        <f aca="false">IF($B863="","",TEXT($B863,"yyyy-mm"))</f>
        <v/>
      </c>
    </row>
    <row r="864" customFormat="false" ht="15.75" hidden="false" customHeight="true" outlineLevel="0" collapsed="false">
      <c r="A864" s="32" t="str">
        <f aca="false">IF($B864="","",ROW()-4)</f>
        <v/>
      </c>
      <c r="B864" s="26"/>
      <c r="C864" s="21"/>
      <c r="D864" s="24"/>
      <c r="E864" s="21"/>
      <c r="F864" s="24"/>
      <c r="G864" s="21"/>
      <c r="H864" s="22"/>
      <c r="I864" s="27"/>
      <c r="J864" s="27"/>
      <c r="K864" s="36" t="str">
        <f aca="false">IF($B864="","",IF($C864="泓普",$C$2,IF($C864="仟茂",$E$2,IF($C864="现金",$G$2,0)))+SUMIFS($I$5:$I864,$C$5:$C864,$C864)-SUMIFS($J$5:$J864,$C$5:$C864,$C864))</f>
        <v/>
      </c>
      <c r="L864" s="36" t="str">
        <f aca="false">IF($B864="","",$C$2+$E$2+$G$2+SUM($I$5:$I864)-SUM($J$5:$J864))</f>
        <v/>
      </c>
      <c r="M864" s="24"/>
      <c r="N864" s="33" t="str">
        <f aca="false">IF($B864="","",IF(NOT(ISNUMBER($B864)),"日期格式不对",IF($C864="","未选资金账户",IF(AND(N($I864)=0,N($J864)=0),"收支都为空",IF(AND(N($I864)&gt;0,N($J864)&gt;0),"收支不能同时填",IF(AND($D864&lt;&gt;"",LEFT($O864,1)="⚠"),"项目编号不存在",IF(AND($M864="是",$F864=""),"工程回款必须填往来单位","√")))))))</f>
        <v/>
      </c>
      <c r="O864" s="34" t="str">
        <f aca="false">IF($D864="","",IFERROR(INDEX(项目档案!$B$6:$B$255,MATCH($D864,项目档案!$A$6:$A$255,0)),"⚠编号不存在"))</f>
        <v/>
      </c>
      <c r="P864" s="35" t="str">
        <f aca="false">IF($B864="","",TEXT($B864,"yyyy-mm"))</f>
        <v/>
      </c>
    </row>
    <row r="865" customFormat="false" ht="15.75" hidden="false" customHeight="true" outlineLevel="0" collapsed="false">
      <c r="A865" s="32" t="str">
        <f aca="false">IF($B865="","",ROW()-4)</f>
        <v/>
      </c>
      <c r="B865" s="26"/>
      <c r="C865" s="21"/>
      <c r="D865" s="24"/>
      <c r="E865" s="21"/>
      <c r="F865" s="24"/>
      <c r="G865" s="21"/>
      <c r="H865" s="22"/>
      <c r="I865" s="27"/>
      <c r="J865" s="27"/>
      <c r="K865" s="36" t="str">
        <f aca="false">IF($B865="","",IF($C865="泓普",$C$2,IF($C865="仟茂",$E$2,IF($C865="现金",$G$2,0)))+SUMIFS($I$5:$I865,$C$5:$C865,$C865)-SUMIFS($J$5:$J865,$C$5:$C865,$C865))</f>
        <v/>
      </c>
      <c r="L865" s="36" t="str">
        <f aca="false">IF($B865="","",$C$2+$E$2+$G$2+SUM($I$5:$I865)-SUM($J$5:$J865))</f>
        <v/>
      </c>
      <c r="M865" s="24"/>
      <c r="N865" s="33" t="str">
        <f aca="false">IF($B865="","",IF(NOT(ISNUMBER($B865)),"日期格式不对",IF($C865="","未选资金账户",IF(AND(N($I865)=0,N($J865)=0),"收支都为空",IF(AND(N($I865)&gt;0,N($J865)&gt;0),"收支不能同时填",IF(AND($D865&lt;&gt;"",LEFT($O865,1)="⚠"),"项目编号不存在",IF(AND($M865="是",$F865=""),"工程回款必须填往来单位","√")))))))</f>
        <v/>
      </c>
      <c r="O865" s="34" t="str">
        <f aca="false">IF($D865="","",IFERROR(INDEX(项目档案!$B$6:$B$255,MATCH($D865,项目档案!$A$6:$A$255,0)),"⚠编号不存在"))</f>
        <v/>
      </c>
      <c r="P865" s="35" t="str">
        <f aca="false">IF($B865="","",TEXT($B865,"yyyy-mm"))</f>
        <v/>
      </c>
    </row>
    <row r="866" customFormat="false" ht="15.75" hidden="false" customHeight="true" outlineLevel="0" collapsed="false">
      <c r="A866" s="32" t="str">
        <f aca="false">IF($B866="","",ROW()-4)</f>
        <v/>
      </c>
      <c r="B866" s="26"/>
      <c r="C866" s="21"/>
      <c r="D866" s="24"/>
      <c r="E866" s="21"/>
      <c r="F866" s="24"/>
      <c r="G866" s="21"/>
      <c r="H866" s="22"/>
      <c r="I866" s="27"/>
      <c r="J866" s="27"/>
      <c r="K866" s="36" t="str">
        <f aca="false">IF($B866="","",IF($C866="泓普",$C$2,IF($C866="仟茂",$E$2,IF($C866="现金",$G$2,0)))+SUMIFS($I$5:$I866,$C$5:$C866,$C866)-SUMIFS($J$5:$J866,$C$5:$C866,$C866))</f>
        <v/>
      </c>
      <c r="L866" s="36" t="str">
        <f aca="false">IF($B866="","",$C$2+$E$2+$G$2+SUM($I$5:$I866)-SUM($J$5:$J866))</f>
        <v/>
      </c>
      <c r="M866" s="24"/>
      <c r="N866" s="33" t="str">
        <f aca="false">IF($B866="","",IF(NOT(ISNUMBER($B866)),"日期格式不对",IF($C866="","未选资金账户",IF(AND(N($I866)=0,N($J866)=0),"收支都为空",IF(AND(N($I866)&gt;0,N($J866)&gt;0),"收支不能同时填",IF(AND($D866&lt;&gt;"",LEFT($O866,1)="⚠"),"项目编号不存在",IF(AND($M866="是",$F866=""),"工程回款必须填往来单位","√")))))))</f>
        <v/>
      </c>
      <c r="O866" s="34" t="str">
        <f aca="false">IF($D866="","",IFERROR(INDEX(项目档案!$B$6:$B$255,MATCH($D866,项目档案!$A$6:$A$255,0)),"⚠编号不存在"))</f>
        <v/>
      </c>
      <c r="P866" s="35" t="str">
        <f aca="false">IF($B866="","",TEXT($B866,"yyyy-mm"))</f>
        <v/>
      </c>
    </row>
    <row r="867" customFormat="false" ht="15.75" hidden="false" customHeight="true" outlineLevel="0" collapsed="false">
      <c r="A867" s="32" t="str">
        <f aca="false">IF($B867="","",ROW()-4)</f>
        <v/>
      </c>
      <c r="B867" s="26"/>
      <c r="C867" s="21"/>
      <c r="D867" s="24"/>
      <c r="E867" s="21"/>
      <c r="F867" s="24"/>
      <c r="G867" s="21"/>
      <c r="H867" s="22"/>
      <c r="I867" s="27"/>
      <c r="J867" s="27"/>
      <c r="K867" s="36" t="str">
        <f aca="false">IF($B867="","",IF($C867="泓普",$C$2,IF($C867="仟茂",$E$2,IF($C867="现金",$G$2,0)))+SUMIFS($I$5:$I867,$C$5:$C867,$C867)-SUMIFS($J$5:$J867,$C$5:$C867,$C867))</f>
        <v/>
      </c>
      <c r="L867" s="36" t="str">
        <f aca="false">IF($B867="","",$C$2+$E$2+$G$2+SUM($I$5:$I867)-SUM($J$5:$J867))</f>
        <v/>
      </c>
      <c r="M867" s="24"/>
      <c r="N867" s="33" t="str">
        <f aca="false">IF($B867="","",IF(NOT(ISNUMBER($B867)),"日期格式不对",IF($C867="","未选资金账户",IF(AND(N($I867)=0,N($J867)=0),"收支都为空",IF(AND(N($I867)&gt;0,N($J867)&gt;0),"收支不能同时填",IF(AND($D867&lt;&gt;"",LEFT($O867,1)="⚠"),"项目编号不存在",IF(AND($M867="是",$F867=""),"工程回款必须填往来单位","√")))))))</f>
        <v/>
      </c>
      <c r="O867" s="34" t="str">
        <f aca="false">IF($D867="","",IFERROR(INDEX(项目档案!$B$6:$B$255,MATCH($D867,项目档案!$A$6:$A$255,0)),"⚠编号不存在"))</f>
        <v/>
      </c>
      <c r="P867" s="35" t="str">
        <f aca="false">IF($B867="","",TEXT($B867,"yyyy-mm"))</f>
        <v/>
      </c>
    </row>
    <row r="868" customFormat="false" ht="15.75" hidden="false" customHeight="true" outlineLevel="0" collapsed="false">
      <c r="A868" s="32" t="str">
        <f aca="false">IF($B868="","",ROW()-4)</f>
        <v/>
      </c>
      <c r="B868" s="26"/>
      <c r="C868" s="21"/>
      <c r="D868" s="24"/>
      <c r="E868" s="21"/>
      <c r="F868" s="24"/>
      <c r="G868" s="21"/>
      <c r="H868" s="22"/>
      <c r="I868" s="27"/>
      <c r="J868" s="27"/>
      <c r="K868" s="36" t="str">
        <f aca="false">IF($B868="","",IF($C868="泓普",$C$2,IF($C868="仟茂",$E$2,IF($C868="现金",$G$2,0)))+SUMIFS($I$5:$I868,$C$5:$C868,$C868)-SUMIFS($J$5:$J868,$C$5:$C868,$C868))</f>
        <v/>
      </c>
      <c r="L868" s="36" t="str">
        <f aca="false">IF($B868="","",$C$2+$E$2+$G$2+SUM($I$5:$I868)-SUM($J$5:$J868))</f>
        <v/>
      </c>
      <c r="M868" s="24"/>
      <c r="N868" s="33" t="str">
        <f aca="false">IF($B868="","",IF(NOT(ISNUMBER($B868)),"日期格式不对",IF($C868="","未选资金账户",IF(AND(N($I868)=0,N($J868)=0),"收支都为空",IF(AND(N($I868)&gt;0,N($J868)&gt;0),"收支不能同时填",IF(AND($D868&lt;&gt;"",LEFT($O868,1)="⚠"),"项目编号不存在",IF(AND($M868="是",$F868=""),"工程回款必须填往来单位","√")))))))</f>
        <v/>
      </c>
      <c r="O868" s="34" t="str">
        <f aca="false">IF($D868="","",IFERROR(INDEX(项目档案!$B$6:$B$255,MATCH($D868,项目档案!$A$6:$A$255,0)),"⚠编号不存在"))</f>
        <v/>
      </c>
      <c r="P868" s="35" t="str">
        <f aca="false">IF($B868="","",TEXT($B868,"yyyy-mm"))</f>
        <v/>
      </c>
    </row>
    <row r="869" customFormat="false" ht="15.75" hidden="false" customHeight="true" outlineLevel="0" collapsed="false">
      <c r="A869" s="32" t="str">
        <f aca="false">IF($B869="","",ROW()-4)</f>
        <v/>
      </c>
      <c r="B869" s="26"/>
      <c r="C869" s="21"/>
      <c r="D869" s="24"/>
      <c r="E869" s="21"/>
      <c r="F869" s="24"/>
      <c r="G869" s="21"/>
      <c r="H869" s="22"/>
      <c r="I869" s="27"/>
      <c r="J869" s="27"/>
      <c r="K869" s="36" t="str">
        <f aca="false">IF($B869="","",IF($C869="泓普",$C$2,IF($C869="仟茂",$E$2,IF($C869="现金",$G$2,0)))+SUMIFS($I$5:$I869,$C$5:$C869,$C869)-SUMIFS($J$5:$J869,$C$5:$C869,$C869))</f>
        <v/>
      </c>
      <c r="L869" s="36" t="str">
        <f aca="false">IF($B869="","",$C$2+$E$2+$G$2+SUM($I$5:$I869)-SUM($J$5:$J869))</f>
        <v/>
      </c>
      <c r="M869" s="24"/>
      <c r="N869" s="33" t="str">
        <f aca="false">IF($B869="","",IF(NOT(ISNUMBER($B869)),"日期格式不对",IF($C869="","未选资金账户",IF(AND(N($I869)=0,N($J869)=0),"收支都为空",IF(AND(N($I869)&gt;0,N($J869)&gt;0),"收支不能同时填",IF(AND($D869&lt;&gt;"",LEFT($O869,1)="⚠"),"项目编号不存在",IF(AND($M869="是",$F869=""),"工程回款必须填往来单位","√")))))))</f>
        <v/>
      </c>
      <c r="O869" s="34" t="str">
        <f aca="false">IF($D869="","",IFERROR(INDEX(项目档案!$B$6:$B$255,MATCH($D869,项目档案!$A$6:$A$255,0)),"⚠编号不存在"))</f>
        <v/>
      </c>
      <c r="P869" s="35" t="str">
        <f aca="false">IF($B869="","",TEXT($B869,"yyyy-mm"))</f>
        <v/>
      </c>
    </row>
    <row r="870" customFormat="false" ht="15.75" hidden="false" customHeight="true" outlineLevel="0" collapsed="false">
      <c r="A870" s="32" t="str">
        <f aca="false">IF($B870="","",ROW()-4)</f>
        <v/>
      </c>
      <c r="B870" s="26"/>
      <c r="C870" s="21"/>
      <c r="D870" s="24"/>
      <c r="E870" s="21"/>
      <c r="F870" s="24"/>
      <c r="G870" s="21"/>
      <c r="H870" s="22"/>
      <c r="I870" s="27"/>
      <c r="J870" s="27"/>
      <c r="K870" s="36" t="str">
        <f aca="false">IF($B870="","",IF($C870="泓普",$C$2,IF($C870="仟茂",$E$2,IF($C870="现金",$G$2,0)))+SUMIFS($I$5:$I870,$C$5:$C870,$C870)-SUMIFS($J$5:$J870,$C$5:$C870,$C870))</f>
        <v/>
      </c>
      <c r="L870" s="36" t="str">
        <f aca="false">IF($B870="","",$C$2+$E$2+$G$2+SUM($I$5:$I870)-SUM($J$5:$J870))</f>
        <v/>
      </c>
      <c r="M870" s="24"/>
      <c r="N870" s="33" t="str">
        <f aca="false">IF($B870="","",IF(NOT(ISNUMBER($B870)),"日期格式不对",IF($C870="","未选资金账户",IF(AND(N($I870)=0,N($J870)=0),"收支都为空",IF(AND(N($I870)&gt;0,N($J870)&gt;0),"收支不能同时填",IF(AND($D870&lt;&gt;"",LEFT($O870,1)="⚠"),"项目编号不存在",IF(AND($M870="是",$F870=""),"工程回款必须填往来单位","√")))))))</f>
        <v/>
      </c>
      <c r="O870" s="34" t="str">
        <f aca="false">IF($D870="","",IFERROR(INDEX(项目档案!$B$6:$B$255,MATCH($D870,项目档案!$A$6:$A$255,0)),"⚠编号不存在"))</f>
        <v/>
      </c>
      <c r="P870" s="35" t="str">
        <f aca="false">IF($B870="","",TEXT($B870,"yyyy-mm"))</f>
        <v/>
      </c>
    </row>
    <row r="871" customFormat="false" ht="15.75" hidden="false" customHeight="true" outlineLevel="0" collapsed="false">
      <c r="A871" s="32" t="str">
        <f aca="false">IF($B871="","",ROW()-4)</f>
        <v/>
      </c>
      <c r="B871" s="26"/>
      <c r="C871" s="21"/>
      <c r="D871" s="24"/>
      <c r="E871" s="21"/>
      <c r="F871" s="24"/>
      <c r="G871" s="21"/>
      <c r="H871" s="22"/>
      <c r="I871" s="27"/>
      <c r="J871" s="27"/>
      <c r="K871" s="36" t="str">
        <f aca="false">IF($B871="","",IF($C871="泓普",$C$2,IF($C871="仟茂",$E$2,IF($C871="现金",$G$2,0)))+SUMIFS($I$5:$I871,$C$5:$C871,$C871)-SUMIFS($J$5:$J871,$C$5:$C871,$C871))</f>
        <v/>
      </c>
      <c r="L871" s="36" t="str">
        <f aca="false">IF($B871="","",$C$2+$E$2+$G$2+SUM($I$5:$I871)-SUM($J$5:$J871))</f>
        <v/>
      </c>
      <c r="M871" s="24"/>
      <c r="N871" s="33" t="str">
        <f aca="false">IF($B871="","",IF(NOT(ISNUMBER($B871)),"日期格式不对",IF($C871="","未选资金账户",IF(AND(N($I871)=0,N($J871)=0),"收支都为空",IF(AND(N($I871)&gt;0,N($J871)&gt;0),"收支不能同时填",IF(AND($D871&lt;&gt;"",LEFT($O871,1)="⚠"),"项目编号不存在",IF(AND($M871="是",$F871=""),"工程回款必须填往来单位","√")))))))</f>
        <v/>
      </c>
      <c r="O871" s="34" t="str">
        <f aca="false">IF($D871="","",IFERROR(INDEX(项目档案!$B$6:$B$255,MATCH($D871,项目档案!$A$6:$A$255,0)),"⚠编号不存在"))</f>
        <v/>
      </c>
      <c r="P871" s="35" t="str">
        <f aca="false">IF($B871="","",TEXT($B871,"yyyy-mm"))</f>
        <v/>
      </c>
    </row>
    <row r="872" customFormat="false" ht="15.75" hidden="false" customHeight="true" outlineLevel="0" collapsed="false">
      <c r="A872" s="32" t="str">
        <f aca="false">IF($B872="","",ROW()-4)</f>
        <v/>
      </c>
      <c r="B872" s="26"/>
      <c r="C872" s="21"/>
      <c r="D872" s="24"/>
      <c r="E872" s="21"/>
      <c r="F872" s="24"/>
      <c r="G872" s="21"/>
      <c r="H872" s="22"/>
      <c r="I872" s="27"/>
      <c r="J872" s="27"/>
      <c r="K872" s="36" t="str">
        <f aca="false">IF($B872="","",IF($C872="泓普",$C$2,IF($C872="仟茂",$E$2,IF($C872="现金",$G$2,0)))+SUMIFS($I$5:$I872,$C$5:$C872,$C872)-SUMIFS($J$5:$J872,$C$5:$C872,$C872))</f>
        <v/>
      </c>
      <c r="L872" s="36" t="str">
        <f aca="false">IF($B872="","",$C$2+$E$2+$G$2+SUM($I$5:$I872)-SUM($J$5:$J872))</f>
        <v/>
      </c>
      <c r="M872" s="24"/>
      <c r="N872" s="33" t="str">
        <f aca="false">IF($B872="","",IF(NOT(ISNUMBER($B872)),"日期格式不对",IF($C872="","未选资金账户",IF(AND(N($I872)=0,N($J872)=0),"收支都为空",IF(AND(N($I872)&gt;0,N($J872)&gt;0),"收支不能同时填",IF(AND($D872&lt;&gt;"",LEFT($O872,1)="⚠"),"项目编号不存在",IF(AND($M872="是",$F872=""),"工程回款必须填往来单位","√")))))))</f>
        <v/>
      </c>
      <c r="O872" s="34" t="str">
        <f aca="false">IF($D872="","",IFERROR(INDEX(项目档案!$B$6:$B$255,MATCH($D872,项目档案!$A$6:$A$255,0)),"⚠编号不存在"))</f>
        <v/>
      </c>
      <c r="P872" s="35" t="str">
        <f aca="false">IF($B872="","",TEXT($B872,"yyyy-mm"))</f>
        <v/>
      </c>
    </row>
    <row r="873" customFormat="false" ht="15.75" hidden="false" customHeight="true" outlineLevel="0" collapsed="false">
      <c r="A873" s="32" t="str">
        <f aca="false">IF($B873="","",ROW()-4)</f>
        <v/>
      </c>
      <c r="B873" s="26"/>
      <c r="C873" s="21"/>
      <c r="D873" s="24"/>
      <c r="E873" s="21"/>
      <c r="F873" s="24"/>
      <c r="G873" s="21"/>
      <c r="H873" s="22"/>
      <c r="I873" s="27"/>
      <c r="J873" s="27"/>
      <c r="K873" s="36" t="str">
        <f aca="false">IF($B873="","",IF($C873="泓普",$C$2,IF($C873="仟茂",$E$2,IF($C873="现金",$G$2,0)))+SUMIFS($I$5:$I873,$C$5:$C873,$C873)-SUMIFS($J$5:$J873,$C$5:$C873,$C873))</f>
        <v/>
      </c>
      <c r="L873" s="36" t="str">
        <f aca="false">IF($B873="","",$C$2+$E$2+$G$2+SUM($I$5:$I873)-SUM($J$5:$J873))</f>
        <v/>
      </c>
      <c r="M873" s="24"/>
      <c r="N873" s="33" t="str">
        <f aca="false">IF($B873="","",IF(NOT(ISNUMBER($B873)),"日期格式不对",IF($C873="","未选资金账户",IF(AND(N($I873)=0,N($J873)=0),"收支都为空",IF(AND(N($I873)&gt;0,N($J873)&gt;0),"收支不能同时填",IF(AND($D873&lt;&gt;"",LEFT($O873,1)="⚠"),"项目编号不存在",IF(AND($M873="是",$F873=""),"工程回款必须填往来单位","√")))))))</f>
        <v/>
      </c>
      <c r="O873" s="34" t="str">
        <f aca="false">IF($D873="","",IFERROR(INDEX(项目档案!$B$6:$B$255,MATCH($D873,项目档案!$A$6:$A$255,0)),"⚠编号不存在"))</f>
        <v/>
      </c>
      <c r="P873" s="35" t="str">
        <f aca="false">IF($B873="","",TEXT($B873,"yyyy-mm"))</f>
        <v/>
      </c>
    </row>
    <row r="874" customFormat="false" ht="15.75" hidden="false" customHeight="true" outlineLevel="0" collapsed="false">
      <c r="A874" s="32" t="str">
        <f aca="false">IF($B874="","",ROW()-4)</f>
        <v/>
      </c>
      <c r="B874" s="26"/>
      <c r="C874" s="21"/>
      <c r="D874" s="24"/>
      <c r="E874" s="21"/>
      <c r="F874" s="24"/>
      <c r="G874" s="21"/>
      <c r="H874" s="22"/>
      <c r="I874" s="27"/>
      <c r="J874" s="27"/>
      <c r="K874" s="36" t="str">
        <f aca="false">IF($B874="","",IF($C874="泓普",$C$2,IF($C874="仟茂",$E$2,IF($C874="现金",$G$2,0)))+SUMIFS($I$5:$I874,$C$5:$C874,$C874)-SUMIFS($J$5:$J874,$C$5:$C874,$C874))</f>
        <v/>
      </c>
      <c r="L874" s="36" t="str">
        <f aca="false">IF($B874="","",$C$2+$E$2+$G$2+SUM($I$5:$I874)-SUM($J$5:$J874))</f>
        <v/>
      </c>
      <c r="M874" s="24"/>
      <c r="N874" s="33" t="str">
        <f aca="false">IF($B874="","",IF(NOT(ISNUMBER($B874)),"日期格式不对",IF($C874="","未选资金账户",IF(AND(N($I874)=0,N($J874)=0),"收支都为空",IF(AND(N($I874)&gt;0,N($J874)&gt;0),"收支不能同时填",IF(AND($D874&lt;&gt;"",LEFT($O874,1)="⚠"),"项目编号不存在",IF(AND($M874="是",$F874=""),"工程回款必须填往来单位","√")))))))</f>
        <v/>
      </c>
      <c r="O874" s="34" t="str">
        <f aca="false">IF($D874="","",IFERROR(INDEX(项目档案!$B$6:$B$255,MATCH($D874,项目档案!$A$6:$A$255,0)),"⚠编号不存在"))</f>
        <v/>
      </c>
      <c r="P874" s="35" t="str">
        <f aca="false">IF($B874="","",TEXT($B874,"yyyy-mm"))</f>
        <v/>
      </c>
    </row>
    <row r="875" customFormat="false" ht="15.75" hidden="false" customHeight="true" outlineLevel="0" collapsed="false">
      <c r="A875" s="32" t="str">
        <f aca="false">IF($B875="","",ROW()-4)</f>
        <v/>
      </c>
      <c r="B875" s="26"/>
      <c r="C875" s="21"/>
      <c r="D875" s="24"/>
      <c r="E875" s="21"/>
      <c r="F875" s="24"/>
      <c r="G875" s="21"/>
      <c r="H875" s="22"/>
      <c r="I875" s="27"/>
      <c r="J875" s="27"/>
      <c r="K875" s="36" t="str">
        <f aca="false">IF($B875="","",IF($C875="泓普",$C$2,IF($C875="仟茂",$E$2,IF($C875="现金",$G$2,0)))+SUMIFS($I$5:$I875,$C$5:$C875,$C875)-SUMIFS($J$5:$J875,$C$5:$C875,$C875))</f>
        <v/>
      </c>
      <c r="L875" s="36" t="str">
        <f aca="false">IF($B875="","",$C$2+$E$2+$G$2+SUM($I$5:$I875)-SUM($J$5:$J875))</f>
        <v/>
      </c>
      <c r="M875" s="24"/>
      <c r="N875" s="33" t="str">
        <f aca="false">IF($B875="","",IF(NOT(ISNUMBER($B875)),"日期格式不对",IF($C875="","未选资金账户",IF(AND(N($I875)=0,N($J875)=0),"收支都为空",IF(AND(N($I875)&gt;0,N($J875)&gt;0),"收支不能同时填",IF(AND($D875&lt;&gt;"",LEFT($O875,1)="⚠"),"项目编号不存在",IF(AND($M875="是",$F875=""),"工程回款必须填往来单位","√")))))))</f>
        <v/>
      </c>
      <c r="O875" s="34" t="str">
        <f aca="false">IF($D875="","",IFERROR(INDEX(项目档案!$B$6:$B$255,MATCH($D875,项目档案!$A$6:$A$255,0)),"⚠编号不存在"))</f>
        <v/>
      </c>
      <c r="P875" s="35" t="str">
        <f aca="false">IF($B875="","",TEXT($B875,"yyyy-mm"))</f>
        <v/>
      </c>
    </row>
    <row r="876" customFormat="false" ht="15.75" hidden="false" customHeight="true" outlineLevel="0" collapsed="false">
      <c r="A876" s="32" t="str">
        <f aca="false">IF($B876="","",ROW()-4)</f>
        <v/>
      </c>
      <c r="B876" s="26"/>
      <c r="C876" s="21"/>
      <c r="D876" s="24"/>
      <c r="E876" s="21"/>
      <c r="F876" s="24"/>
      <c r="G876" s="21"/>
      <c r="H876" s="22"/>
      <c r="I876" s="27"/>
      <c r="J876" s="27"/>
      <c r="K876" s="36" t="str">
        <f aca="false">IF($B876="","",IF($C876="泓普",$C$2,IF($C876="仟茂",$E$2,IF($C876="现金",$G$2,0)))+SUMIFS($I$5:$I876,$C$5:$C876,$C876)-SUMIFS($J$5:$J876,$C$5:$C876,$C876))</f>
        <v/>
      </c>
      <c r="L876" s="36" t="str">
        <f aca="false">IF($B876="","",$C$2+$E$2+$G$2+SUM($I$5:$I876)-SUM($J$5:$J876))</f>
        <v/>
      </c>
      <c r="M876" s="24"/>
      <c r="N876" s="33" t="str">
        <f aca="false">IF($B876="","",IF(NOT(ISNUMBER($B876)),"日期格式不对",IF($C876="","未选资金账户",IF(AND(N($I876)=0,N($J876)=0),"收支都为空",IF(AND(N($I876)&gt;0,N($J876)&gt;0),"收支不能同时填",IF(AND($D876&lt;&gt;"",LEFT($O876,1)="⚠"),"项目编号不存在",IF(AND($M876="是",$F876=""),"工程回款必须填往来单位","√")))))))</f>
        <v/>
      </c>
      <c r="O876" s="34" t="str">
        <f aca="false">IF($D876="","",IFERROR(INDEX(项目档案!$B$6:$B$255,MATCH($D876,项目档案!$A$6:$A$255,0)),"⚠编号不存在"))</f>
        <v/>
      </c>
      <c r="P876" s="35" t="str">
        <f aca="false">IF($B876="","",TEXT($B876,"yyyy-mm"))</f>
        <v/>
      </c>
    </row>
    <row r="877" customFormat="false" ht="15.75" hidden="false" customHeight="true" outlineLevel="0" collapsed="false">
      <c r="A877" s="32" t="str">
        <f aca="false">IF($B877="","",ROW()-4)</f>
        <v/>
      </c>
      <c r="B877" s="26"/>
      <c r="C877" s="21"/>
      <c r="D877" s="24"/>
      <c r="E877" s="21"/>
      <c r="F877" s="24"/>
      <c r="G877" s="21"/>
      <c r="H877" s="22"/>
      <c r="I877" s="27"/>
      <c r="J877" s="27"/>
      <c r="K877" s="36" t="str">
        <f aca="false">IF($B877="","",IF($C877="泓普",$C$2,IF($C877="仟茂",$E$2,IF($C877="现金",$G$2,0)))+SUMIFS($I$5:$I877,$C$5:$C877,$C877)-SUMIFS($J$5:$J877,$C$5:$C877,$C877))</f>
        <v/>
      </c>
      <c r="L877" s="36" t="str">
        <f aca="false">IF($B877="","",$C$2+$E$2+$G$2+SUM($I$5:$I877)-SUM($J$5:$J877))</f>
        <v/>
      </c>
      <c r="M877" s="24"/>
      <c r="N877" s="33" t="str">
        <f aca="false">IF($B877="","",IF(NOT(ISNUMBER($B877)),"日期格式不对",IF($C877="","未选资金账户",IF(AND(N($I877)=0,N($J877)=0),"收支都为空",IF(AND(N($I877)&gt;0,N($J877)&gt;0),"收支不能同时填",IF(AND($D877&lt;&gt;"",LEFT($O877,1)="⚠"),"项目编号不存在",IF(AND($M877="是",$F877=""),"工程回款必须填往来单位","√")))))))</f>
        <v/>
      </c>
      <c r="O877" s="34" t="str">
        <f aca="false">IF($D877="","",IFERROR(INDEX(项目档案!$B$6:$B$255,MATCH($D877,项目档案!$A$6:$A$255,0)),"⚠编号不存在"))</f>
        <v/>
      </c>
      <c r="P877" s="35" t="str">
        <f aca="false">IF($B877="","",TEXT($B877,"yyyy-mm"))</f>
        <v/>
      </c>
    </row>
    <row r="878" customFormat="false" ht="15.75" hidden="false" customHeight="true" outlineLevel="0" collapsed="false">
      <c r="A878" s="32" t="str">
        <f aca="false">IF($B878="","",ROW()-4)</f>
        <v/>
      </c>
      <c r="B878" s="26"/>
      <c r="C878" s="21"/>
      <c r="D878" s="24"/>
      <c r="E878" s="21"/>
      <c r="F878" s="24"/>
      <c r="G878" s="21"/>
      <c r="H878" s="22"/>
      <c r="I878" s="27"/>
      <c r="J878" s="27"/>
      <c r="K878" s="36" t="str">
        <f aca="false">IF($B878="","",IF($C878="泓普",$C$2,IF($C878="仟茂",$E$2,IF($C878="现金",$G$2,0)))+SUMIFS($I$5:$I878,$C$5:$C878,$C878)-SUMIFS($J$5:$J878,$C$5:$C878,$C878))</f>
        <v/>
      </c>
      <c r="L878" s="36" t="str">
        <f aca="false">IF($B878="","",$C$2+$E$2+$G$2+SUM($I$5:$I878)-SUM($J$5:$J878))</f>
        <v/>
      </c>
      <c r="M878" s="24"/>
      <c r="N878" s="33" t="str">
        <f aca="false">IF($B878="","",IF(NOT(ISNUMBER($B878)),"日期格式不对",IF($C878="","未选资金账户",IF(AND(N($I878)=0,N($J878)=0),"收支都为空",IF(AND(N($I878)&gt;0,N($J878)&gt;0),"收支不能同时填",IF(AND($D878&lt;&gt;"",LEFT($O878,1)="⚠"),"项目编号不存在",IF(AND($M878="是",$F878=""),"工程回款必须填往来单位","√")))))))</f>
        <v/>
      </c>
      <c r="O878" s="34" t="str">
        <f aca="false">IF($D878="","",IFERROR(INDEX(项目档案!$B$6:$B$255,MATCH($D878,项目档案!$A$6:$A$255,0)),"⚠编号不存在"))</f>
        <v/>
      </c>
      <c r="P878" s="35" t="str">
        <f aca="false">IF($B878="","",TEXT($B878,"yyyy-mm"))</f>
        <v/>
      </c>
    </row>
    <row r="879" customFormat="false" ht="15.75" hidden="false" customHeight="true" outlineLevel="0" collapsed="false">
      <c r="A879" s="32" t="str">
        <f aca="false">IF($B879="","",ROW()-4)</f>
        <v/>
      </c>
      <c r="B879" s="26"/>
      <c r="C879" s="21"/>
      <c r="D879" s="24"/>
      <c r="E879" s="21"/>
      <c r="F879" s="24"/>
      <c r="G879" s="21"/>
      <c r="H879" s="22"/>
      <c r="I879" s="27"/>
      <c r="J879" s="27"/>
      <c r="K879" s="36" t="str">
        <f aca="false">IF($B879="","",IF($C879="泓普",$C$2,IF($C879="仟茂",$E$2,IF($C879="现金",$G$2,0)))+SUMIFS($I$5:$I879,$C$5:$C879,$C879)-SUMIFS($J$5:$J879,$C$5:$C879,$C879))</f>
        <v/>
      </c>
      <c r="L879" s="36" t="str">
        <f aca="false">IF($B879="","",$C$2+$E$2+$G$2+SUM($I$5:$I879)-SUM($J$5:$J879))</f>
        <v/>
      </c>
      <c r="M879" s="24"/>
      <c r="N879" s="33" t="str">
        <f aca="false">IF($B879="","",IF(NOT(ISNUMBER($B879)),"日期格式不对",IF($C879="","未选资金账户",IF(AND(N($I879)=0,N($J879)=0),"收支都为空",IF(AND(N($I879)&gt;0,N($J879)&gt;0),"收支不能同时填",IF(AND($D879&lt;&gt;"",LEFT($O879,1)="⚠"),"项目编号不存在",IF(AND($M879="是",$F879=""),"工程回款必须填往来单位","√")))))))</f>
        <v/>
      </c>
      <c r="O879" s="34" t="str">
        <f aca="false">IF($D879="","",IFERROR(INDEX(项目档案!$B$6:$B$255,MATCH($D879,项目档案!$A$6:$A$255,0)),"⚠编号不存在"))</f>
        <v/>
      </c>
      <c r="P879" s="35" t="str">
        <f aca="false">IF($B879="","",TEXT($B879,"yyyy-mm"))</f>
        <v/>
      </c>
    </row>
    <row r="880" customFormat="false" ht="15.75" hidden="false" customHeight="true" outlineLevel="0" collapsed="false">
      <c r="A880" s="32" t="str">
        <f aca="false">IF($B880="","",ROW()-4)</f>
        <v/>
      </c>
      <c r="B880" s="26"/>
      <c r="C880" s="21"/>
      <c r="D880" s="24"/>
      <c r="E880" s="21"/>
      <c r="F880" s="24"/>
      <c r="G880" s="21"/>
      <c r="H880" s="22"/>
      <c r="I880" s="27"/>
      <c r="J880" s="27"/>
      <c r="K880" s="36" t="str">
        <f aca="false">IF($B880="","",IF($C880="泓普",$C$2,IF($C880="仟茂",$E$2,IF($C880="现金",$G$2,0)))+SUMIFS($I$5:$I880,$C$5:$C880,$C880)-SUMIFS($J$5:$J880,$C$5:$C880,$C880))</f>
        <v/>
      </c>
      <c r="L880" s="36" t="str">
        <f aca="false">IF($B880="","",$C$2+$E$2+$G$2+SUM($I$5:$I880)-SUM($J$5:$J880))</f>
        <v/>
      </c>
      <c r="M880" s="24"/>
      <c r="N880" s="33" t="str">
        <f aca="false">IF($B880="","",IF(NOT(ISNUMBER($B880)),"日期格式不对",IF($C880="","未选资金账户",IF(AND(N($I880)=0,N($J880)=0),"收支都为空",IF(AND(N($I880)&gt;0,N($J880)&gt;0),"收支不能同时填",IF(AND($D880&lt;&gt;"",LEFT($O880,1)="⚠"),"项目编号不存在",IF(AND($M880="是",$F880=""),"工程回款必须填往来单位","√")))))))</f>
        <v/>
      </c>
      <c r="O880" s="34" t="str">
        <f aca="false">IF($D880="","",IFERROR(INDEX(项目档案!$B$6:$B$255,MATCH($D880,项目档案!$A$6:$A$255,0)),"⚠编号不存在"))</f>
        <v/>
      </c>
      <c r="P880" s="35" t="str">
        <f aca="false">IF($B880="","",TEXT($B880,"yyyy-mm"))</f>
        <v/>
      </c>
    </row>
    <row r="881" customFormat="false" ht="15.75" hidden="false" customHeight="true" outlineLevel="0" collapsed="false">
      <c r="A881" s="32" t="str">
        <f aca="false">IF($B881="","",ROW()-4)</f>
        <v/>
      </c>
      <c r="B881" s="26"/>
      <c r="C881" s="21"/>
      <c r="D881" s="24"/>
      <c r="E881" s="21"/>
      <c r="F881" s="24"/>
      <c r="G881" s="21"/>
      <c r="H881" s="22"/>
      <c r="I881" s="27"/>
      <c r="J881" s="27"/>
      <c r="K881" s="36" t="str">
        <f aca="false">IF($B881="","",IF($C881="泓普",$C$2,IF($C881="仟茂",$E$2,IF($C881="现金",$G$2,0)))+SUMIFS($I$5:$I881,$C$5:$C881,$C881)-SUMIFS($J$5:$J881,$C$5:$C881,$C881))</f>
        <v/>
      </c>
      <c r="L881" s="36" t="str">
        <f aca="false">IF($B881="","",$C$2+$E$2+$G$2+SUM($I$5:$I881)-SUM($J$5:$J881))</f>
        <v/>
      </c>
      <c r="M881" s="24"/>
      <c r="N881" s="33" t="str">
        <f aca="false">IF($B881="","",IF(NOT(ISNUMBER($B881)),"日期格式不对",IF($C881="","未选资金账户",IF(AND(N($I881)=0,N($J881)=0),"收支都为空",IF(AND(N($I881)&gt;0,N($J881)&gt;0),"收支不能同时填",IF(AND($D881&lt;&gt;"",LEFT($O881,1)="⚠"),"项目编号不存在",IF(AND($M881="是",$F881=""),"工程回款必须填往来单位","√")))))))</f>
        <v/>
      </c>
      <c r="O881" s="34" t="str">
        <f aca="false">IF($D881="","",IFERROR(INDEX(项目档案!$B$6:$B$255,MATCH($D881,项目档案!$A$6:$A$255,0)),"⚠编号不存在"))</f>
        <v/>
      </c>
      <c r="P881" s="35" t="str">
        <f aca="false">IF($B881="","",TEXT($B881,"yyyy-mm"))</f>
        <v/>
      </c>
    </row>
    <row r="882" customFormat="false" ht="15.75" hidden="false" customHeight="true" outlineLevel="0" collapsed="false">
      <c r="A882" s="32" t="str">
        <f aca="false">IF($B882="","",ROW()-4)</f>
        <v/>
      </c>
      <c r="B882" s="26"/>
      <c r="C882" s="21"/>
      <c r="D882" s="24"/>
      <c r="E882" s="21"/>
      <c r="F882" s="24"/>
      <c r="G882" s="21"/>
      <c r="H882" s="22"/>
      <c r="I882" s="27"/>
      <c r="J882" s="27"/>
      <c r="K882" s="36" t="str">
        <f aca="false">IF($B882="","",IF($C882="泓普",$C$2,IF($C882="仟茂",$E$2,IF($C882="现金",$G$2,0)))+SUMIFS($I$5:$I882,$C$5:$C882,$C882)-SUMIFS($J$5:$J882,$C$5:$C882,$C882))</f>
        <v/>
      </c>
      <c r="L882" s="36" t="str">
        <f aca="false">IF($B882="","",$C$2+$E$2+$G$2+SUM($I$5:$I882)-SUM($J$5:$J882))</f>
        <v/>
      </c>
      <c r="M882" s="24"/>
      <c r="N882" s="33" t="str">
        <f aca="false">IF($B882="","",IF(NOT(ISNUMBER($B882)),"日期格式不对",IF($C882="","未选资金账户",IF(AND(N($I882)=0,N($J882)=0),"收支都为空",IF(AND(N($I882)&gt;0,N($J882)&gt;0),"收支不能同时填",IF(AND($D882&lt;&gt;"",LEFT($O882,1)="⚠"),"项目编号不存在",IF(AND($M882="是",$F882=""),"工程回款必须填往来单位","√")))))))</f>
        <v/>
      </c>
      <c r="O882" s="34" t="str">
        <f aca="false">IF($D882="","",IFERROR(INDEX(项目档案!$B$6:$B$255,MATCH($D882,项目档案!$A$6:$A$255,0)),"⚠编号不存在"))</f>
        <v/>
      </c>
      <c r="P882" s="35" t="str">
        <f aca="false">IF($B882="","",TEXT($B882,"yyyy-mm"))</f>
        <v/>
      </c>
    </row>
    <row r="883" customFormat="false" ht="15.75" hidden="false" customHeight="true" outlineLevel="0" collapsed="false">
      <c r="A883" s="32" t="str">
        <f aca="false">IF($B883="","",ROW()-4)</f>
        <v/>
      </c>
      <c r="B883" s="26"/>
      <c r="C883" s="21"/>
      <c r="D883" s="24"/>
      <c r="E883" s="21"/>
      <c r="F883" s="24"/>
      <c r="G883" s="21"/>
      <c r="H883" s="22"/>
      <c r="I883" s="27"/>
      <c r="J883" s="27"/>
      <c r="K883" s="36" t="str">
        <f aca="false">IF($B883="","",IF($C883="泓普",$C$2,IF($C883="仟茂",$E$2,IF($C883="现金",$G$2,0)))+SUMIFS($I$5:$I883,$C$5:$C883,$C883)-SUMIFS($J$5:$J883,$C$5:$C883,$C883))</f>
        <v/>
      </c>
      <c r="L883" s="36" t="str">
        <f aca="false">IF($B883="","",$C$2+$E$2+$G$2+SUM($I$5:$I883)-SUM($J$5:$J883))</f>
        <v/>
      </c>
      <c r="M883" s="24"/>
      <c r="N883" s="33" t="str">
        <f aca="false">IF($B883="","",IF(NOT(ISNUMBER($B883)),"日期格式不对",IF($C883="","未选资金账户",IF(AND(N($I883)=0,N($J883)=0),"收支都为空",IF(AND(N($I883)&gt;0,N($J883)&gt;0),"收支不能同时填",IF(AND($D883&lt;&gt;"",LEFT($O883,1)="⚠"),"项目编号不存在",IF(AND($M883="是",$F883=""),"工程回款必须填往来单位","√")))))))</f>
        <v/>
      </c>
      <c r="O883" s="34" t="str">
        <f aca="false">IF($D883="","",IFERROR(INDEX(项目档案!$B$6:$B$255,MATCH($D883,项目档案!$A$6:$A$255,0)),"⚠编号不存在"))</f>
        <v/>
      </c>
      <c r="P883" s="35" t="str">
        <f aca="false">IF($B883="","",TEXT($B883,"yyyy-mm"))</f>
        <v/>
      </c>
    </row>
    <row r="884" customFormat="false" ht="15.75" hidden="false" customHeight="true" outlineLevel="0" collapsed="false">
      <c r="A884" s="32" t="str">
        <f aca="false">IF($B884="","",ROW()-4)</f>
        <v/>
      </c>
      <c r="B884" s="26"/>
      <c r="C884" s="21"/>
      <c r="D884" s="24"/>
      <c r="E884" s="21"/>
      <c r="F884" s="24"/>
      <c r="G884" s="21"/>
      <c r="H884" s="22"/>
      <c r="I884" s="27"/>
      <c r="J884" s="27"/>
      <c r="K884" s="36" t="str">
        <f aca="false">IF($B884="","",IF($C884="泓普",$C$2,IF($C884="仟茂",$E$2,IF($C884="现金",$G$2,0)))+SUMIFS($I$5:$I884,$C$5:$C884,$C884)-SUMIFS($J$5:$J884,$C$5:$C884,$C884))</f>
        <v/>
      </c>
      <c r="L884" s="36" t="str">
        <f aca="false">IF($B884="","",$C$2+$E$2+$G$2+SUM($I$5:$I884)-SUM($J$5:$J884))</f>
        <v/>
      </c>
      <c r="M884" s="24"/>
      <c r="N884" s="33" t="str">
        <f aca="false">IF($B884="","",IF(NOT(ISNUMBER($B884)),"日期格式不对",IF($C884="","未选资金账户",IF(AND(N($I884)=0,N($J884)=0),"收支都为空",IF(AND(N($I884)&gt;0,N($J884)&gt;0),"收支不能同时填",IF(AND($D884&lt;&gt;"",LEFT($O884,1)="⚠"),"项目编号不存在",IF(AND($M884="是",$F884=""),"工程回款必须填往来单位","√")))))))</f>
        <v/>
      </c>
      <c r="O884" s="34" t="str">
        <f aca="false">IF($D884="","",IFERROR(INDEX(项目档案!$B$6:$B$255,MATCH($D884,项目档案!$A$6:$A$255,0)),"⚠编号不存在"))</f>
        <v/>
      </c>
      <c r="P884" s="35" t="str">
        <f aca="false">IF($B884="","",TEXT($B884,"yyyy-mm"))</f>
        <v/>
      </c>
    </row>
    <row r="885" customFormat="false" ht="15.75" hidden="false" customHeight="true" outlineLevel="0" collapsed="false">
      <c r="A885" s="32" t="str">
        <f aca="false">IF($B885="","",ROW()-4)</f>
        <v/>
      </c>
      <c r="B885" s="26"/>
      <c r="C885" s="21"/>
      <c r="D885" s="24"/>
      <c r="E885" s="21"/>
      <c r="F885" s="24"/>
      <c r="G885" s="21"/>
      <c r="H885" s="22"/>
      <c r="I885" s="27"/>
      <c r="J885" s="27"/>
      <c r="K885" s="36" t="str">
        <f aca="false">IF($B885="","",IF($C885="泓普",$C$2,IF($C885="仟茂",$E$2,IF($C885="现金",$G$2,0)))+SUMIFS($I$5:$I885,$C$5:$C885,$C885)-SUMIFS($J$5:$J885,$C$5:$C885,$C885))</f>
        <v/>
      </c>
      <c r="L885" s="36" t="str">
        <f aca="false">IF($B885="","",$C$2+$E$2+$G$2+SUM($I$5:$I885)-SUM($J$5:$J885))</f>
        <v/>
      </c>
      <c r="M885" s="24"/>
      <c r="N885" s="33" t="str">
        <f aca="false">IF($B885="","",IF(NOT(ISNUMBER($B885)),"日期格式不对",IF($C885="","未选资金账户",IF(AND(N($I885)=0,N($J885)=0),"收支都为空",IF(AND(N($I885)&gt;0,N($J885)&gt;0),"收支不能同时填",IF(AND($D885&lt;&gt;"",LEFT($O885,1)="⚠"),"项目编号不存在",IF(AND($M885="是",$F885=""),"工程回款必须填往来单位","√")))))))</f>
        <v/>
      </c>
      <c r="O885" s="34" t="str">
        <f aca="false">IF($D885="","",IFERROR(INDEX(项目档案!$B$6:$B$255,MATCH($D885,项目档案!$A$6:$A$255,0)),"⚠编号不存在"))</f>
        <v/>
      </c>
      <c r="P885" s="35" t="str">
        <f aca="false">IF($B885="","",TEXT($B885,"yyyy-mm"))</f>
        <v/>
      </c>
    </row>
    <row r="886" customFormat="false" ht="15.75" hidden="false" customHeight="true" outlineLevel="0" collapsed="false">
      <c r="A886" s="32" t="str">
        <f aca="false">IF($B886="","",ROW()-4)</f>
        <v/>
      </c>
      <c r="B886" s="26"/>
      <c r="C886" s="21"/>
      <c r="D886" s="24"/>
      <c r="E886" s="21"/>
      <c r="F886" s="24"/>
      <c r="G886" s="21"/>
      <c r="H886" s="22"/>
      <c r="I886" s="27"/>
      <c r="J886" s="27"/>
      <c r="K886" s="36" t="str">
        <f aca="false">IF($B886="","",IF($C886="泓普",$C$2,IF($C886="仟茂",$E$2,IF($C886="现金",$G$2,0)))+SUMIFS($I$5:$I886,$C$5:$C886,$C886)-SUMIFS($J$5:$J886,$C$5:$C886,$C886))</f>
        <v/>
      </c>
      <c r="L886" s="36" t="str">
        <f aca="false">IF($B886="","",$C$2+$E$2+$G$2+SUM($I$5:$I886)-SUM($J$5:$J886))</f>
        <v/>
      </c>
      <c r="M886" s="24"/>
      <c r="N886" s="33" t="str">
        <f aca="false">IF($B886="","",IF(NOT(ISNUMBER($B886)),"日期格式不对",IF($C886="","未选资金账户",IF(AND(N($I886)=0,N($J886)=0),"收支都为空",IF(AND(N($I886)&gt;0,N($J886)&gt;0),"收支不能同时填",IF(AND($D886&lt;&gt;"",LEFT($O886,1)="⚠"),"项目编号不存在",IF(AND($M886="是",$F886=""),"工程回款必须填往来单位","√")))))))</f>
        <v/>
      </c>
      <c r="O886" s="34" t="str">
        <f aca="false">IF($D886="","",IFERROR(INDEX(项目档案!$B$6:$B$255,MATCH($D886,项目档案!$A$6:$A$255,0)),"⚠编号不存在"))</f>
        <v/>
      </c>
      <c r="P886" s="35" t="str">
        <f aca="false">IF($B886="","",TEXT($B886,"yyyy-mm"))</f>
        <v/>
      </c>
    </row>
    <row r="887" customFormat="false" ht="15.75" hidden="false" customHeight="true" outlineLevel="0" collapsed="false">
      <c r="A887" s="32" t="str">
        <f aca="false">IF($B887="","",ROW()-4)</f>
        <v/>
      </c>
      <c r="B887" s="26"/>
      <c r="C887" s="21"/>
      <c r="D887" s="24"/>
      <c r="E887" s="21"/>
      <c r="F887" s="24"/>
      <c r="G887" s="21"/>
      <c r="H887" s="22"/>
      <c r="I887" s="27"/>
      <c r="J887" s="27"/>
      <c r="K887" s="36" t="str">
        <f aca="false">IF($B887="","",IF($C887="泓普",$C$2,IF($C887="仟茂",$E$2,IF($C887="现金",$G$2,0)))+SUMIFS($I$5:$I887,$C$5:$C887,$C887)-SUMIFS($J$5:$J887,$C$5:$C887,$C887))</f>
        <v/>
      </c>
      <c r="L887" s="36" t="str">
        <f aca="false">IF($B887="","",$C$2+$E$2+$G$2+SUM($I$5:$I887)-SUM($J$5:$J887))</f>
        <v/>
      </c>
      <c r="M887" s="24"/>
      <c r="N887" s="33" t="str">
        <f aca="false">IF($B887="","",IF(NOT(ISNUMBER($B887)),"日期格式不对",IF($C887="","未选资金账户",IF(AND(N($I887)=0,N($J887)=0),"收支都为空",IF(AND(N($I887)&gt;0,N($J887)&gt;0),"收支不能同时填",IF(AND($D887&lt;&gt;"",LEFT($O887,1)="⚠"),"项目编号不存在",IF(AND($M887="是",$F887=""),"工程回款必须填往来单位","√")))))))</f>
        <v/>
      </c>
      <c r="O887" s="34" t="str">
        <f aca="false">IF($D887="","",IFERROR(INDEX(项目档案!$B$6:$B$255,MATCH($D887,项目档案!$A$6:$A$255,0)),"⚠编号不存在"))</f>
        <v/>
      </c>
      <c r="P887" s="35" t="str">
        <f aca="false">IF($B887="","",TEXT($B887,"yyyy-mm"))</f>
        <v/>
      </c>
    </row>
    <row r="888" customFormat="false" ht="15.75" hidden="false" customHeight="true" outlineLevel="0" collapsed="false">
      <c r="A888" s="32" t="str">
        <f aca="false">IF($B888="","",ROW()-4)</f>
        <v/>
      </c>
      <c r="B888" s="26"/>
      <c r="C888" s="21"/>
      <c r="D888" s="24"/>
      <c r="E888" s="21"/>
      <c r="F888" s="24"/>
      <c r="G888" s="21"/>
      <c r="H888" s="22"/>
      <c r="I888" s="27"/>
      <c r="J888" s="27"/>
      <c r="K888" s="36" t="str">
        <f aca="false">IF($B888="","",IF($C888="泓普",$C$2,IF($C888="仟茂",$E$2,IF($C888="现金",$G$2,0)))+SUMIFS($I$5:$I888,$C$5:$C888,$C888)-SUMIFS($J$5:$J888,$C$5:$C888,$C888))</f>
        <v/>
      </c>
      <c r="L888" s="36" t="str">
        <f aca="false">IF($B888="","",$C$2+$E$2+$G$2+SUM($I$5:$I888)-SUM($J$5:$J888))</f>
        <v/>
      </c>
      <c r="M888" s="24"/>
      <c r="N888" s="33" t="str">
        <f aca="false">IF($B888="","",IF(NOT(ISNUMBER($B888)),"日期格式不对",IF($C888="","未选资金账户",IF(AND(N($I888)=0,N($J888)=0),"收支都为空",IF(AND(N($I888)&gt;0,N($J888)&gt;0),"收支不能同时填",IF(AND($D888&lt;&gt;"",LEFT($O888,1)="⚠"),"项目编号不存在",IF(AND($M888="是",$F888=""),"工程回款必须填往来单位","√")))))))</f>
        <v/>
      </c>
      <c r="O888" s="34" t="str">
        <f aca="false">IF($D888="","",IFERROR(INDEX(项目档案!$B$6:$B$255,MATCH($D888,项目档案!$A$6:$A$255,0)),"⚠编号不存在"))</f>
        <v/>
      </c>
      <c r="P888" s="35" t="str">
        <f aca="false">IF($B888="","",TEXT($B888,"yyyy-mm"))</f>
        <v/>
      </c>
    </row>
    <row r="889" customFormat="false" ht="15.75" hidden="false" customHeight="true" outlineLevel="0" collapsed="false">
      <c r="A889" s="32" t="str">
        <f aca="false">IF($B889="","",ROW()-4)</f>
        <v/>
      </c>
      <c r="B889" s="26"/>
      <c r="C889" s="21"/>
      <c r="D889" s="24"/>
      <c r="E889" s="21"/>
      <c r="F889" s="24"/>
      <c r="G889" s="21"/>
      <c r="H889" s="22"/>
      <c r="I889" s="27"/>
      <c r="J889" s="27"/>
      <c r="K889" s="36" t="str">
        <f aca="false">IF($B889="","",IF($C889="泓普",$C$2,IF($C889="仟茂",$E$2,IF($C889="现金",$G$2,0)))+SUMIFS($I$5:$I889,$C$5:$C889,$C889)-SUMIFS($J$5:$J889,$C$5:$C889,$C889))</f>
        <v/>
      </c>
      <c r="L889" s="36" t="str">
        <f aca="false">IF($B889="","",$C$2+$E$2+$G$2+SUM($I$5:$I889)-SUM($J$5:$J889))</f>
        <v/>
      </c>
      <c r="M889" s="24"/>
      <c r="N889" s="33" t="str">
        <f aca="false">IF($B889="","",IF(NOT(ISNUMBER($B889)),"日期格式不对",IF($C889="","未选资金账户",IF(AND(N($I889)=0,N($J889)=0),"收支都为空",IF(AND(N($I889)&gt;0,N($J889)&gt;0),"收支不能同时填",IF(AND($D889&lt;&gt;"",LEFT($O889,1)="⚠"),"项目编号不存在",IF(AND($M889="是",$F889=""),"工程回款必须填往来单位","√")))))))</f>
        <v/>
      </c>
      <c r="O889" s="34" t="str">
        <f aca="false">IF($D889="","",IFERROR(INDEX(项目档案!$B$6:$B$255,MATCH($D889,项目档案!$A$6:$A$255,0)),"⚠编号不存在"))</f>
        <v/>
      </c>
      <c r="P889" s="35" t="str">
        <f aca="false">IF($B889="","",TEXT($B889,"yyyy-mm"))</f>
        <v/>
      </c>
    </row>
    <row r="890" customFormat="false" ht="15.75" hidden="false" customHeight="true" outlineLevel="0" collapsed="false">
      <c r="A890" s="32" t="str">
        <f aca="false">IF($B890="","",ROW()-4)</f>
        <v/>
      </c>
      <c r="B890" s="26"/>
      <c r="C890" s="21"/>
      <c r="D890" s="24"/>
      <c r="E890" s="21"/>
      <c r="F890" s="24"/>
      <c r="G890" s="21"/>
      <c r="H890" s="22"/>
      <c r="I890" s="27"/>
      <c r="J890" s="27"/>
      <c r="K890" s="36" t="str">
        <f aca="false">IF($B890="","",IF($C890="泓普",$C$2,IF($C890="仟茂",$E$2,IF($C890="现金",$G$2,0)))+SUMIFS($I$5:$I890,$C$5:$C890,$C890)-SUMIFS($J$5:$J890,$C$5:$C890,$C890))</f>
        <v/>
      </c>
      <c r="L890" s="36" t="str">
        <f aca="false">IF($B890="","",$C$2+$E$2+$G$2+SUM($I$5:$I890)-SUM($J$5:$J890))</f>
        <v/>
      </c>
      <c r="M890" s="24"/>
      <c r="N890" s="33" t="str">
        <f aca="false">IF($B890="","",IF(NOT(ISNUMBER($B890)),"日期格式不对",IF($C890="","未选资金账户",IF(AND(N($I890)=0,N($J890)=0),"收支都为空",IF(AND(N($I890)&gt;0,N($J890)&gt;0),"收支不能同时填",IF(AND($D890&lt;&gt;"",LEFT($O890,1)="⚠"),"项目编号不存在",IF(AND($M890="是",$F890=""),"工程回款必须填往来单位","√")))))))</f>
        <v/>
      </c>
      <c r="O890" s="34" t="str">
        <f aca="false">IF($D890="","",IFERROR(INDEX(项目档案!$B$6:$B$255,MATCH($D890,项目档案!$A$6:$A$255,0)),"⚠编号不存在"))</f>
        <v/>
      </c>
      <c r="P890" s="35" t="str">
        <f aca="false">IF($B890="","",TEXT($B890,"yyyy-mm"))</f>
        <v/>
      </c>
    </row>
    <row r="891" customFormat="false" ht="15.75" hidden="false" customHeight="true" outlineLevel="0" collapsed="false">
      <c r="A891" s="32" t="str">
        <f aca="false">IF($B891="","",ROW()-4)</f>
        <v/>
      </c>
      <c r="B891" s="26"/>
      <c r="C891" s="21"/>
      <c r="D891" s="24"/>
      <c r="E891" s="21"/>
      <c r="F891" s="24"/>
      <c r="G891" s="21"/>
      <c r="H891" s="22"/>
      <c r="I891" s="27"/>
      <c r="J891" s="27"/>
      <c r="K891" s="36" t="str">
        <f aca="false">IF($B891="","",IF($C891="泓普",$C$2,IF($C891="仟茂",$E$2,IF($C891="现金",$G$2,0)))+SUMIFS($I$5:$I891,$C$5:$C891,$C891)-SUMIFS($J$5:$J891,$C$5:$C891,$C891))</f>
        <v/>
      </c>
      <c r="L891" s="36" t="str">
        <f aca="false">IF($B891="","",$C$2+$E$2+$G$2+SUM($I$5:$I891)-SUM($J$5:$J891))</f>
        <v/>
      </c>
      <c r="M891" s="24"/>
      <c r="N891" s="33" t="str">
        <f aca="false">IF($B891="","",IF(NOT(ISNUMBER($B891)),"日期格式不对",IF($C891="","未选资金账户",IF(AND(N($I891)=0,N($J891)=0),"收支都为空",IF(AND(N($I891)&gt;0,N($J891)&gt;0),"收支不能同时填",IF(AND($D891&lt;&gt;"",LEFT($O891,1)="⚠"),"项目编号不存在",IF(AND($M891="是",$F891=""),"工程回款必须填往来单位","√")))))))</f>
        <v/>
      </c>
      <c r="O891" s="34" t="str">
        <f aca="false">IF($D891="","",IFERROR(INDEX(项目档案!$B$6:$B$255,MATCH($D891,项目档案!$A$6:$A$255,0)),"⚠编号不存在"))</f>
        <v/>
      </c>
      <c r="P891" s="35" t="str">
        <f aca="false">IF($B891="","",TEXT($B891,"yyyy-mm"))</f>
        <v/>
      </c>
    </row>
    <row r="892" customFormat="false" ht="15.75" hidden="false" customHeight="true" outlineLevel="0" collapsed="false">
      <c r="A892" s="32" t="str">
        <f aca="false">IF($B892="","",ROW()-4)</f>
        <v/>
      </c>
      <c r="B892" s="26"/>
      <c r="C892" s="21"/>
      <c r="D892" s="24"/>
      <c r="E892" s="21"/>
      <c r="F892" s="24"/>
      <c r="G892" s="21"/>
      <c r="H892" s="22"/>
      <c r="I892" s="27"/>
      <c r="J892" s="27"/>
      <c r="K892" s="36" t="str">
        <f aca="false">IF($B892="","",IF($C892="泓普",$C$2,IF($C892="仟茂",$E$2,IF($C892="现金",$G$2,0)))+SUMIFS($I$5:$I892,$C$5:$C892,$C892)-SUMIFS($J$5:$J892,$C$5:$C892,$C892))</f>
        <v/>
      </c>
      <c r="L892" s="36" t="str">
        <f aca="false">IF($B892="","",$C$2+$E$2+$G$2+SUM($I$5:$I892)-SUM($J$5:$J892))</f>
        <v/>
      </c>
      <c r="M892" s="24"/>
      <c r="N892" s="33" t="str">
        <f aca="false">IF($B892="","",IF(NOT(ISNUMBER($B892)),"日期格式不对",IF($C892="","未选资金账户",IF(AND(N($I892)=0,N($J892)=0),"收支都为空",IF(AND(N($I892)&gt;0,N($J892)&gt;0),"收支不能同时填",IF(AND($D892&lt;&gt;"",LEFT($O892,1)="⚠"),"项目编号不存在",IF(AND($M892="是",$F892=""),"工程回款必须填往来单位","√")))))))</f>
        <v/>
      </c>
      <c r="O892" s="34" t="str">
        <f aca="false">IF($D892="","",IFERROR(INDEX(项目档案!$B$6:$B$255,MATCH($D892,项目档案!$A$6:$A$255,0)),"⚠编号不存在"))</f>
        <v/>
      </c>
      <c r="P892" s="35" t="str">
        <f aca="false">IF($B892="","",TEXT($B892,"yyyy-mm"))</f>
        <v/>
      </c>
    </row>
    <row r="893" customFormat="false" ht="15.75" hidden="false" customHeight="true" outlineLevel="0" collapsed="false">
      <c r="A893" s="32" t="str">
        <f aca="false">IF($B893="","",ROW()-4)</f>
        <v/>
      </c>
      <c r="B893" s="26"/>
      <c r="C893" s="21"/>
      <c r="D893" s="24"/>
      <c r="E893" s="21"/>
      <c r="F893" s="24"/>
      <c r="G893" s="21"/>
      <c r="H893" s="22"/>
      <c r="I893" s="27"/>
      <c r="J893" s="27"/>
      <c r="K893" s="36" t="str">
        <f aca="false">IF($B893="","",IF($C893="泓普",$C$2,IF($C893="仟茂",$E$2,IF($C893="现金",$G$2,0)))+SUMIFS($I$5:$I893,$C$5:$C893,$C893)-SUMIFS($J$5:$J893,$C$5:$C893,$C893))</f>
        <v/>
      </c>
      <c r="L893" s="36" t="str">
        <f aca="false">IF($B893="","",$C$2+$E$2+$G$2+SUM($I$5:$I893)-SUM($J$5:$J893))</f>
        <v/>
      </c>
      <c r="M893" s="24"/>
      <c r="N893" s="33" t="str">
        <f aca="false">IF($B893="","",IF(NOT(ISNUMBER($B893)),"日期格式不对",IF($C893="","未选资金账户",IF(AND(N($I893)=0,N($J893)=0),"收支都为空",IF(AND(N($I893)&gt;0,N($J893)&gt;0),"收支不能同时填",IF(AND($D893&lt;&gt;"",LEFT($O893,1)="⚠"),"项目编号不存在",IF(AND($M893="是",$F893=""),"工程回款必须填往来单位","√")))))))</f>
        <v/>
      </c>
      <c r="O893" s="34" t="str">
        <f aca="false">IF($D893="","",IFERROR(INDEX(项目档案!$B$6:$B$255,MATCH($D893,项目档案!$A$6:$A$255,0)),"⚠编号不存在"))</f>
        <v/>
      </c>
      <c r="P893" s="35" t="str">
        <f aca="false">IF($B893="","",TEXT($B893,"yyyy-mm"))</f>
        <v/>
      </c>
    </row>
    <row r="894" customFormat="false" ht="15.75" hidden="false" customHeight="true" outlineLevel="0" collapsed="false">
      <c r="A894" s="32" t="str">
        <f aca="false">IF($B894="","",ROW()-4)</f>
        <v/>
      </c>
      <c r="B894" s="26"/>
      <c r="C894" s="21"/>
      <c r="D894" s="24"/>
      <c r="E894" s="21"/>
      <c r="F894" s="24"/>
      <c r="G894" s="21"/>
      <c r="H894" s="22"/>
      <c r="I894" s="27"/>
      <c r="J894" s="27"/>
      <c r="K894" s="36" t="str">
        <f aca="false">IF($B894="","",IF($C894="泓普",$C$2,IF($C894="仟茂",$E$2,IF($C894="现金",$G$2,0)))+SUMIFS($I$5:$I894,$C$5:$C894,$C894)-SUMIFS($J$5:$J894,$C$5:$C894,$C894))</f>
        <v/>
      </c>
      <c r="L894" s="36" t="str">
        <f aca="false">IF($B894="","",$C$2+$E$2+$G$2+SUM($I$5:$I894)-SUM($J$5:$J894))</f>
        <v/>
      </c>
      <c r="M894" s="24"/>
      <c r="N894" s="33" t="str">
        <f aca="false">IF($B894="","",IF(NOT(ISNUMBER($B894)),"日期格式不对",IF($C894="","未选资金账户",IF(AND(N($I894)=0,N($J894)=0),"收支都为空",IF(AND(N($I894)&gt;0,N($J894)&gt;0),"收支不能同时填",IF(AND($D894&lt;&gt;"",LEFT($O894,1)="⚠"),"项目编号不存在",IF(AND($M894="是",$F894=""),"工程回款必须填往来单位","√")))))))</f>
        <v/>
      </c>
      <c r="O894" s="34" t="str">
        <f aca="false">IF($D894="","",IFERROR(INDEX(项目档案!$B$6:$B$255,MATCH($D894,项目档案!$A$6:$A$255,0)),"⚠编号不存在"))</f>
        <v/>
      </c>
      <c r="P894" s="35" t="str">
        <f aca="false">IF($B894="","",TEXT($B894,"yyyy-mm"))</f>
        <v/>
      </c>
    </row>
    <row r="895" customFormat="false" ht="15.75" hidden="false" customHeight="true" outlineLevel="0" collapsed="false">
      <c r="A895" s="32" t="str">
        <f aca="false">IF($B895="","",ROW()-4)</f>
        <v/>
      </c>
      <c r="B895" s="26"/>
      <c r="C895" s="21"/>
      <c r="D895" s="24"/>
      <c r="E895" s="21"/>
      <c r="F895" s="24"/>
      <c r="G895" s="21"/>
      <c r="H895" s="22"/>
      <c r="I895" s="27"/>
      <c r="J895" s="27"/>
      <c r="K895" s="36" t="str">
        <f aca="false">IF($B895="","",IF($C895="泓普",$C$2,IF($C895="仟茂",$E$2,IF($C895="现金",$G$2,0)))+SUMIFS($I$5:$I895,$C$5:$C895,$C895)-SUMIFS($J$5:$J895,$C$5:$C895,$C895))</f>
        <v/>
      </c>
      <c r="L895" s="36" t="str">
        <f aca="false">IF($B895="","",$C$2+$E$2+$G$2+SUM($I$5:$I895)-SUM($J$5:$J895))</f>
        <v/>
      </c>
      <c r="M895" s="24"/>
      <c r="N895" s="33" t="str">
        <f aca="false">IF($B895="","",IF(NOT(ISNUMBER($B895)),"日期格式不对",IF($C895="","未选资金账户",IF(AND(N($I895)=0,N($J895)=0),"收支都为空",IF(AND(N($I895)&gt;0,N($J895)&gt;0),"收支不能同时填",IF(AND($D895&lt;&gt;"",LEFT($O895,1)="⚠"),"项目编号不存在",IF(AND($M895="是",$F895=""),"工程回款必须填往来单位","√")))))))</f>
        <v/>
      </c>
      <c r="O895" s="34" t="str">
        <f aca="false">IF($D895="","",IFERROR(INDEX(项目档案!$B$6:$B$255,MATCH($D895,项目档案!$A$6:$A$255,0)),"⚠编号不存在"))</f>
        <v/>
      </c>
      <c r="P895" s="35" t="str">
        <f aca="false">IF($B895="","",TEXT($B895,"yyyy-mm"))</f>
        <v/>
      </c>
    </row>
    <row r="896" customFormat="false" ht="15.75" hidden="false" customHeight="true" outlineLevel="0" collapsed="false">
      <c r="A896" s="32" t="str">
        <f aca="false">IF($B896="","",ROW()-4)</f>
        <v/>
      </c>
      <c r="B896" s="26"/>
      <c r="C896" s="21"/>
      <c r="D896" s="24"/>
      <c r="E896" s="21"/>
      <c r="F896" s="24"/>
      <c r="G896" s="21"/>
      <c r="H896" s="22"/>
      <c r="I896" s="27"/>
      <c r="J896" s="27"/>
      <c r="K896" s="36" t="str">
        <f aca="false">IF($B896="","",IF($C896="泓普",$C$2,IF($C896="仟茂",$E$2,IF($C896="现金",$G$2,0)))+SUMIFS($I$5:$I896,$C$5:$C896,$C896)-SUMIFS($J$5:$J896,$C$5:$C896,$C896))</f>
        <v/>
      </c>
      <c r="L896" s="36" t="str">
        <f aca="false">IF($B896="","",$C$2+$E$2+$G$2+SUM($I$5:$I896)-SUM($J$5:$J896))</f>
        <v/>
      </c>
      <c r="M896" s="24"/>
      <c r="N896" s="33" t="str">
        <f aca="false">IF($B896="","",IF(NOT(ISNUMBER($B896)),"日期格式不对",IF($C896="","未选资金账户",IF(AND(N($I896)=0,N($J896)=0),"收支都为空",IF(AND(N($I896)&gt;0,N($J896)&gt;0),"收支不能同时填",IF(AND($D896&lt;&gt;"",LEFT($O896,1)="⚠"),"项目编号不存在",IF(AND($M896="是",$F896=""),"工程回款必须填往来单位","√")))))))</f>
        <v/>
      </c>
      <c r="O896" s="34" t="str">
        <f aca="false">IF($D896="","",IFERROR(INDEX(项目档案!$B$6:$B$255,MATCH($D896,项目档案!$A$6:$A$255,0)),"⚠编号不存在"))</f>
        <v/>
      </c>
      <c r="P896" s="35" t="str">
        <f aca="false">IF($B896="","",TEXT($B896,"yyyy-mm"))</f>
        <v/>
      </c>
    </row>
    <row r="897" customFormat="false" ht="15.75" hidden="false" customHeight="true" outlineLevel="0" collapsed="false">
      <c r="A897" s="32" t="str">
        <f aca="false">IF($B897="","",ROW()-4)</f>
        <v/>
      </c>
      <c r="B897" s="26"/>
      <c r="C897" s="21"/>
      <c r="D897" s="24"/>
      <c r="E897" s="21"/>
      <c r="F897" s="24"/>
      <c r="G897" s="21"/>
      <c r="H897" s="22"/>
      <c r="I897" s="27"/>
      <c r="J897" s="27"/>
      <c r="K897" s="36" t="str">
        <f aca="false">IF($B897="","",IF($C897="泓普",$C$2,IF($C897="仟茂",$E$2,IF($C897="现金",$G$2,0)))+SUMIFS($I$5:$I897,$C$5:$C897,$C897)-SUMIFS($J$5:$J897,$C$5:$C897,$C897))</f>
        <v/>
      </c>
      <c r="L897" s="36" t="str">
        <f aca="false">IF($B897="","",$C$2+$E$2+$G$2+SUM($I$5:$I897)-SUM($J$5:$J897))</f>
        <v/>
      </c>
      <c r="M897" s="24"/>
      <c r="N897" s="33" t="str">
        <f aca="false">IF($B897="","",IF(NOT(ISNUMBER($B897)),"日期格式不对",IF($C897="","未选资金账户",IF(AND(N($I897)=0,N($J897)=0),"收支都为空",IF(AND(N($I897)&gt;0,N($J897)&gt;0),"收支不能同时填",IF(AND($D897&lt;&gt;"",LEFT($O897,1)="⚠"),"项目编号不存在",IF(AND($M897="是",$F897=""),"工程回款必须填往来单位","√")))))))</f>
        <v/>
      </c>
      <c r="O897" s="34" t="str">
        <f aca="false">IF($D897="","",IFERROR(INDEX(项目档案!$B$6:$B$255,MATCH($D897,项目档案!$A$6:$A$255,0)),"⚠编号不存在"))</f>
        <v/>
      </c>
      <c r="P897" s="35" t="str">
        <f aca="false">IF($B897="","",TEXT($B897,"yyyy-mm"))</f>
        <v/>
      </c>
    </row>
    <row r="898" customFormat="false" ht="15.75" hidden="false" customHeight="true" outlineLevel="0" collapsed="false">
      <c r="A898" s="32" t="str">
        <f aca="false">IF($B898="","",ROW()-4)</f>
        <v/>
      </c>
      <c r="B898" s="26"/>
      <c r="C898" s="21"/>
      <c r="D898" s="24"/>
      <c r="E898" s="21"/>
      <c r="F898" s="24"/>
      <c r="G898" s="21"/>
      <c r="H898" s="22"/>
      <c r="I898" s="27"/>
      <c r="J898" s="27"/>
      <c r="K898" s="36" t="str">
        <f aca="false">IF($B898="","",IF($C898="泓普",$C$2,IF($C898="仟茂",$E$2,IF($C898="现金",$G$2,0)))+SUMIFS($I$5:$I898,$C$5:$C898,$C898)-SUMIFS($J$5:$J898,$C$5:$C898,$C898))</f>
        <v/>
      </c>
      <c r="L898" s="36" t="str">
        <f aca="false">IF($B898="","",$C$2+$E$2+$G$2+SUM($I$5:$I898)-SUM($J$5:$J898))</f>
        <v/>
      </c>
      <c r="M898" s="24"/>
      <c r="N898" s="33" t="str">
        <f aca="false">IF($B898="","",IF(NOT(ISNUMBER($B898)),"日期格式不对",IF($C898="","未选资金账户",IF(AND(N($I898)=0,N($J898)=0),"收支都为空",IF(AND(N($I898)&gt;0,N($J898)&gt;0),"收支不能同时填",IF(AND($D898&lt;&gt;"",LEFT($O898,1)="⚠"),"项目编号不存在",IF(AND($M898="是",$F898=""),"工程回款必须填往来单位","√")))))))</f>
        <v/>
      </c>
      <c r="O898" s="34" t="str">
        <f aca="false">IF($D898="","",IFERROR(INDEX(项目档案!$B$6:$B$255,MATCH($D898,项目档案!$A$6:$A$255,0)),"⚠编号不存在"))</f>
        <v/>
      </c>
      <c r="P898" s="35" t="str">
        <f aca="false">IF($B898="","",TEXT($B898,"yyyy-mm"))</f>
        <v/>
      </c>
    </row>
    <row r="899" customFormat="false" ht="15.75" hidden="false" customHeight="true" outlineLevel="0" collapsed="false">
      <c r="A899" s="32" t="str">
        <f aca="false">IF($B899="","",ROW()-4)</f>
        <v/>
      </c>
      <c r="B899" s="26"/>
      <c r="C899" s="21"/>
      <c r="D899" s="24"/>
      <c r="E899" s="21"/>
      <c r="F899" s="24"/>
      <c r="G899" s="21"/>
      <c r="H899" s="22"/>
      <c r="I899" s="27"/>
      <c r="J899" s="27"/>
      <c r="K899" s="36" t="str">
        <f aca="false">IF($B899="","",IF($C899="泓普",$C$2,IF($C899="仟茂",$E$2,IF($C899="现金",$G$2,0)))+SUMIFS($I$5:$I899,$C$5:$C899,$C899)-SUMIFS($J$5:$J899,$C$5:$C899,$C899))</f>
        <v/>
      </c>
      <c r="L899" s="36" t="str">
        <f aca="false">IF($B899="","",$C$2+$E$2+$G$2+SUM($I$5:$I899)-SUM($J$5:$J899))</f>
        <v/>
      </c>
      <c r="M899" s="24"/>
      <c r="N899" s="33" t="str">
        <f aca="false">IF($B899="","",IF(NOT(ISNUMBER($B899)),"日期格式不对",IF($C899="","未选资金账户",IF(AND(N($I899)=0,N($J899)=0),"收支都为空",IF(AND(N($I899)&gt;0,N($J899)&gt;0),"收支不能同时填",IF(AND($D899&lt;&gt;"",LEFT($O899,1)="⚠"),"项目编号不存在",IF(AND($M899="是",$F899=""),"工程回款必须填往来单位","√")))))))</f>
        <v/>
      </c>
      <c r="O899" s="34" t="str">
        <f aca="false">IF($D899="","",IFERROR(INDEX(项目档案!$B$6:$B$255,MATCH($D899,项目档案!$A$6:$A$255,0)),"⚠编号不存在"))</f>
        <v/>
      </c>
      <c r="P899" s="35" t="str">
        <f aca="false">IF($B899="","",TEXT($B899,"yyyy-mm"))</f>
        <v/>
      </c>
    </row>
    <row r="900" customFormat="false" ht="15.75" hidden="false" customHeight="true" outlineLevel="0" collapsed="false">
      <c r="A900" s="32" t="str">
        <f aca="false">IF($B900="","",ROW()-4)</f>
        <v/>
      </c>
      <c r="B900" s="26"/>
      <c r="C900" s="21"/>
      <c r="D900" s="24"/>
      <c r="E900" s="21"/>
      <c r="F900" s="24"/>
      <c r="G900" s="21"/>
      <c r="H900" s="22"/>
      <c r="I900" s="27"/>
      <c r="J900" s="27"/>
      <c r="K900" s="36" t="str">
        <f aca="false">IF($B900="","",IF($C900="泓普",$C$2,IF($C900="仟茂",$E$2,IF($C900="现金",$G$2,0)))+SUMIFS($I$5:$I900,$C$5:$C900,$C900)-SUMIFS($J$5:$J900,$C$5:$C900,$C900))</f>
        <v/>
      </c>
      <c r="L900" s="36" t="str">
        <f aca="false">IF($B900="","",$C$2+$E$2+$G$2+SUM($I$5:$I900)-SUM($J$5:$J900))</f>
        <v/>
      </c>
      <c r="M900" s="24"/>
      <c r="N900" s="33" t="str">
        <f aca="false">IF($B900="","",IF(NOT(ISNUMBER($B900)),"日期格式不对",IF($C900="","未选资金账户",IF(AND(N($I900)=0,N($J900)=0),"收支都为空",IF(AND(N($I900)&gt;0,N($J900)&gt;0),"收支不能同时填",IF(AND($D900&lt;&gt;"",LEFT($O900,1)="⚠"),"项目编号不存在",IF(AND($M900="是",$F900=""),"工程回款必须填往来单位","√")))))))</f>
        <v/>
      </c>
      <c r="O900" s="34" t="str">
        <f aca="false">IF($D900="","",IFERROR(INDEX(项目档案!$B$6:$B$255,MATCH($D900,项目档案!$A$6:$A$255,0)),"⚠编号不存在"))</f>
        <v/>
      </c>
      <c r="P900" s="35" t="str">
        <f aca="false">IF($B900="","",TEXT($B900,"yyyy-mm"))</f>
        <v/>
      </c>
    </row>
    <row r="901" customFormat="false" ht="15.75" hidden="false" customHeight="true" outlineLevel="0" collapsed="false">
      <c r="A901" s="32" t="str">
        <f aca="false">IF($B901="","",ROW()-4)</f>
        <v/>
      </c>
      <c r="B901" s="26"/>
      <c r="C901" s="21"/>
      <c r="D901" s="24"/>
      <c r="E901" s="21"/>
      <c r="F901" s="24"/>
      <c r="G901" s="21"/>
      <c r="H901" s="22"/>
      <c r="I901" s="27"/>
      <c r="J901" s="27"/>
      <c r="K901" s="36" t="str">
        <f aca="false">IF($B901="","",IF($C901="泓普",$C$2,IF($C901="仟茂",$E$2,IF($C901="现金",$G$2,0)))+SUMIFS($I$5:$I901,$C$5:$C901,$C901)-SUMIFS($J$5:$J901,$C$5:$C901,$C901))</f>
        <v/>
      </c>
      <c r="L901" s="36" t="str">
        <f aca="false">IF($B901="","",$C$2+$E$2+$G$2+SUM($I$5:$I901)-SUM($J$5:$J901))</f>
        <v/>
      </c>
      <c r="M901" s="24"/>
      <c r="N901" s="33" t="str">
        <f aca="false">IF($B901="","",IF(NOT(ISNUMBER($B901)),"日期格式不对",IF($C901="","未选资金账户",IF(AND(N($I901)=0,N($J901)=0),"收支都为空",IF(AND(N($I901)&gt;0,N($J901)&gt;0),"收支不能同时填",IF(AND($D901&lt;&gt;"",LEFT($O901,1)="⚠"),"项目编号不存在",IF(AND($M901="是",$F901=""),"工程回款必须填往来单位","√")))))))</f>
        <v/>
      </c>
      <c r="O901" s="34" t="str">
        <f aca="false">IF($D901="","",IFERROR(INDEX(项目档案!$B$6:$B$255,MATCH($D901,项目档案!$A$6:$A$255,0)),"⚠编号不存在"))</f>
        <v/>
      </c>
      <c r="P901" s="35" t="str">
        <f aca="false">IF($B901="","",TEXT($B901,"yyyy-mm"))</f>
        <v/>
      </c>
    </row>
    <row r="902" customFormat="false" ht="15.75" hidden="false" customHeight="true" outlineLevel="0" collapsed="false">
      <c r="A902" s="32" t="str">
        <f aca="false">IF($B902="","",ROW()-4)</f>
        <v/>
      </c>
      <c r="B902" s="26"/>
      <c r="C902" s="21"/>
      <c r="D902" s="24"/>
      <c r="E902" s="21"/>
      <c r="F902" s="24"/>
      <c r="G902" s="21"/>
      <c r="H902" s="22"/>
      <c r="I902" s="27"/>
      <c r="J902" s="27"/>
      <c r="K902" s="36" t="str">
        <f aca="false">IF($B902="","",IF($C902="泓普",$C$2,IF($C902="仟茂",$E$2,IF($C902="现金",$G$2,0)))+SUMIFS($I$5:$I902,$C$5:$C902,$C902)-SUMIFS($J$5:$J902,$C$5:$C902,$C902))</f>
        <v/>
      </c>
      <c r="L902" s="36" t="str">
        <f aca="false">IF($B902="","",$C$2+$E$2+$G$2+SUM($I$5:$I902)-SUM($J$5:$J902))</f>
        <v/>
      </c>
      <c r="M902" s="24"/>
      <c r="N902" s="33" t="str">
        <f aca="false">IF($B902="","",IF(NOT(ISNUMBER($B902)),"日期格式不对",IF($C902="","未选资金账户",IF(AND(N($I902)=0,N($J902)=0),"收支都为空",IF(AND(N($I902)&gt;0,N($J902)&gt;0),"收支不能同时填",IF(AND($D902&lt;&gt;"",LEFT($O902,1)="⚠"),"项目编号不存在",IF(AND($M902="是",$F902=""),"工程回款必须填往来单位","√")))))))</f>
        <v/>
      </c>
      <c r="O902" s="34" t="str">
        <f aca="false">IF($D902="","",IFERROR(INDEX(项目档案!$B$6:$B$255,MATCH($D902,项目档案!$A$6:$A$255,0)),"⚠编号不存在"))</f>
        <v/>
      </c>
      <c r="P902" s="35" t="str">
        <f aca="false">IF($B902="","",TEXT($B902,"yyyy-mm"))</f>
        <v/>
      </c>
    </row>
    <row r="903" customFormat="false" ht="15.75" hidden="false" customHeight="true" outlineLevel="0" collapsed="false">
      <c r="A903" s="32" t="str">
        <f aca="false">IF($B903="","",ROW()-4)</f>
        <v/>
      </c>
      <c r="B903" s="26"/>
      <c r="C903" s="21"/>
      <c r="D903" s="24"/>
      <c r="E903" s="21"/>
      <c r="F903" s="24"/>
      <c r="G903" s="21"/>
      <c r="H903" s="22"/>
      <c r="I903" s="27"/>
      <c r="J903" s="27"/>
      <c r="K903" s="36" t="str">
        <f aca="false">IF($B903="","",IF($C903="泓普",$C$2,IF($C903="仟茂",$E$2,IF($C903="现金",$G$2,0)))+SUMIFS($I$5:$I903,$C$5:$C903,$C903)-SUMIFS($J$5:$J903,$C$5:$C903,$C903))</f>
        <v/>
      </c>
      <c r="L903" s="36" t="str">
        <f aca="false">IF($B903="","",$C$2+$E$2+$G$2+SUM($I$5:$I903)-SUM($J$5:$J903))</f>
        <v/>
      </c>
      <c r="M903" s="24"/>
      <c r="N903" s="33" t="str">
        <f aca="false">IF($B903="","",IF(NOT(ISNUMBER($B903)),"日期格式不对",IF($C903="","未选资金账户",IF(AND(N($I903)=0,N($J903)=0),"收支都为空",IF(AND(N($I903)&gt;0,N($J903)&gt;0),"收支不能同时填",IF(AND($D903&lt;&gt;"",LEFT($O903,1)="⚠"),"项目编号不存在",IF(AND($M903="是",$F903=""),"工程回款必须填往来单位","√")))))))</f>
        <v/>
      </c>
      <c r="O903" s="34" t="str">
        <f aca="false">IF($D903="","",IFERROR(INDEX(项目档案!$B$6:$B$255,MATCH($D903,项目档案!$A$6:$A$255,0)),"⚠编号不存在"))</f>
        <v/>
      </c>
      <c r="P903" s="35" t="str">
        <f aca="false">IF($B903="","",TEXT($B903,"yyyy-mm"))</f>
        <v/>
      </c>
    </row>
    <row r="904" customFormat="false" ht="15.75" hidden="false" customHeight="true" outlineLevel="0" collapsed="false">
      <c r="A904" s="32" t="str">
        <f aca="false">IF($B904="","",ROW()-4)</f>
        <v/>
      </c>
      <c r="B904" s="26"/>
      <c r="C904" s="21"/>
      <c r="D904" s="24"/>
      <c r="E904" s="21"/>
      <c r="F904" s="24"/>
      <c r="G904" s="21"/>
      <c r="H904" s="22"/>
      <c r="I904" s="27"/>
      <c r="J904" s="27"/>
      <c r="K904" s="36" t="str">
        <f aca="false">IF($B904="","",IF($C904="泓普",$C$2,IF($C904="仟茂",$E$2,IF($C904="现金",$G$2,0)))+SUMIFS($I$5:$I904,$C$5:$C904,$C904)-SUMIFS($J$5:$J904,$C$5:$C904,$C904))</f>
        <v/>
      </c>
      <c r="L904" s="36" t="str">
        <f aca="false">IF($B904="","",$C$2+$E$2+$G$2+SUM($I$5:$I904)-SUM($J$5:$J904))</f>
        <v/>
      </c>
      <c r="M904" s="24"/>
      <c r="N904" s="33" t="str">
        <f aca="false">IF($B904="","",IF(NOT(ISNUMBER($B904)),"日期格式不对",IF($C904="","未选资金账户",IF(AND(N($I904)=0,N($J904)=0),"收支都为空",IF(AND(N($I904)&gt;0,N($J904)&gt;0),"收支不能同时填",IF(AND($D904&lt;&gt;"",LEFT($O904,1)="⚠"),"项目编号不存在",IF(AND($M904="是",$F904=""),"工程回款必须填往来单位","√")))))))</f>
        <v/>
      </c>
      <c r="O904" s="34" t="str">
        <f aca="false">IF($D904="","",IFERROR(INDEX(项目档案!$B$6:$B$255,MATCH($D904,项目档案!$A$6:$A$255,0)),"⚠编号不存在"))</f>
        <v/>
      </c>
      <c r="P904" s="35" t="str">
        <f aca="false">IF($B904="","",TEXT($B904,"yyyy-mm"))</f>
        <v/>
      </c>
    </row>
    <row r="905" customFormat="false" ht="15.75" hidden="false" customHeight="true" outlineLevel="0" collapsed="false">
      <c r="A905" s="32" t="str">
        <f aca="false">IF($B905="","",ROW()-4)</f>
        <v/>
      </c>
      <c r="B905" s="26"/>
      <c r="C905" s="21"/>
      <c r="D905" s="24"/>
      <c r="E905" s="21"/>
      <c r="F905" s="24"/>
      <c r="G905" s="21"/>
      <c r="H905" s="22"/>
      <c r="I905" s="27"/>
      <c r="J905" s="27"/>
      <c r="K905" s="36" t="str">
        <f aca="false">IF($B905="","",IF($C905="泓普",$C$2,IF($C905="仟茂",$E$2,IF($C905="现金",$G$2,0)))+SUMIFS($I$5:$I905,$C$5:$C905,$C905)-SUMIFS($J$5:$J905,$C$5:$C905,$C905))</f>
        <v/>
      </c>
      <c r="L905" s="36" t="str">
        <f aca="false">IF($B905="","",$C$2+$E$2+$G$2+SUM($I$5:$I905)-SUM($J$5:$J905))</f>
        <v/>
      </c>
      <c r="M905" s="24"/>
      <c r="N905" s="33" t="str">
        <f aca="false">IF($B905="","",IF(NOT(ISNUMBER($B905)),"日期格式不对",IF($C905="","未选资金账户",IF(AND(N($I905)=0,N($J905)=0),"收支都为空",IF(AND(N($I905)&gt;0,N($J905)&gt;0),"收支不能同时填",IF(AND($D905&lt;&gt;"",LEFT($O905,1)="⚠"),"项目编号不存在",IF(AND($M905="是",$F905=""),"工程回款必须填往来单位","√")))))))</f>
        <v/>
      </c>
      <c r="O905" s="34" t="str">
        <f aca="false">IF($D905="","",IFERROR(INDEX(项目档案!$B$6:$B$255,MATCH($D905,项目档案!$A$6:$A$255,0)),"⚠编号不存在"))</f>
        <v/>
      </c>
      <c r="P905" s="35" t="str">
        <f aca="false">IF($B905="","",TEXT($B905,"yyyy-mm"))</f>
        <v/>
      </c>
    </row>
    <row r="906" customFormat="false" ht="15.75" hidden="false" customHeight="true" outlineLevel="0" collapsed="false">
      <c r="A906" s="32" t="str">
        <f aca="false">IF($B906="","",ROW()-4)</f>
        <v/>
      </c>
      <c r="B906" s="26"/>
      <c r="C906" s="21"/>
      <c r="D906" s="24"/>
      <c r="E906" s="21"/>
      <c r="F906" s="24"/>
      <c r="G906" s="21"/>
      <c r="H906" s="22"/>
      <c r="I906" s="27"/>
      <c r="J906" s="27"/>
      <c r="K906" s="36" t="str">
        <f aca="false">IF($B906="","",IF($C906="泓普",$C$2,IF($C906="仟茂",$E$2,IF($C906="现金",$G$2,0)))+SUMIFS($I$5:$I906,$C$5:$C906,$C906)-SUMIFS($J$5:$J906,$C$5:$C906,$C906))</f>
        <v/>
      </c>
      <c r="L906" s="36" t="str">
        <f aca="false">IF($B906="","",$C$2+$E$2+$G$2+SUM($I$5:$I906)-SUM($J$5:$J906))</f>
        <v/>
      </c>
      <c r="M906" s="24"/>
      <c r="N906" s="33" t="str">
        <f aca="false">IF($B906="","",IF(NOT(ISNUMBER($B906)),"日期格式不对",IF($C906="","未选资金账户",IF(AND(N($I906)=0,N($J906)=0),"收支都为空",IF(AND(N($I906)&gt;0,N($J906)&gt;0),"收支不能同时填",IF(AND($D906&lt;&gt;"",LEFT($O906,1)="⚠"),"项目编号不存在",IF(AND($M906="是",$F906=""),"工程回款必须填往来单位","√")))))))</f>
        <v/>
      </c>
      <c r="O906" s="34" t="str">
        <f aca="false">IF($D906="","",IFERROR(INDEX(项目档案!$B$6:$B$255,MATCH($D906,项目档案!$A$6:$A$255,0)),"⚠编号不存在"))</f>
        <v/>
      </c>
      <c r="P906" s="35" t="str">
        <f aca="false">IF($B906="","",TEXT($B906,"yyyy-mm"))</f>
        <v/>
      </c>
    </row>
    <row r="907" customFormat="false" ht="15.75" hidden="false" customHeight="true" outlineLevel="0" collapsed="false">
      <c r="A907" s="32" t="str">
        <f aca="false">IF($B907="","",ROW()-4)</f>
        <v/>
      </c>
      <c r="B907" s="26"/>
      <c r="C907" s="21"/>
      <c r="D907" s="24"/>
      <c r="E907" s="21"/>
      <c r="F907" s="24"/>
      <c r="G907" s="21"/>
      <c r="H907" s="22"/>
      <c r="I907" s="27"/>
      <c r="J907" s="27"/>
      <c r="K907" s="36" t="str">
        <f aca="false">IF($B907="","",IF($C907="泓普",$C$2,IF($C907="仟茂",$E$2,IF($C907="现金",$G$2,0)))+SUMIFS($I$5:$I907,$C$5:$C907,$C907)-SUMIFS($J$5:$J907,$C$5:$C907,$C907))</f>
        <v/>
      </c>
      <c r="L907" s="36" t="str">
        <f aca="false">IF($B907="","",$C$2+$E$2+$G$2+SUM($I$5:$I907)-SUM($J$5:$J907))</f>
        <v/>
      </c>
      <c r="M907" s="24"/>
      <c r="N907" s="33" t="str">
        <f aca="false">IF($B907="","",IF(NOT(ISNUMBER($B907)),"日期格式不对",IF($C907="","未选资金账户",IF(AND(N($I907)=0,N($J907)=0),"收支都为空",IF(AND(N($I907)&gt;0,N($J907)&gt;0),"收支不能同时填",IF(AND($D907&lt;&gt;"",LEFT($O907,1)="⚠"),"项目编号不存在",IF(AND($M907="是",$F907=""),"工程回款必须填往来单位","√")))))))</f>
        <v/>
      </c>
      <c r="O907" s="34" t="str">
        <f aca="false">IF($D907="","",IFERROR(INDEX(项目档案!$B$6:$B$255,MATCH($D907,项目档案!$A$6:$A$255,0)),"⚠编号不存在"))</f>
        <v/>
      </c>
      <c r="P907" s="35" t="str">
        <f aca="false">IF($B907="","",TEXT($B907,"yyyy-mm"))</f>
        <v/>
      </c>
    </row>
    <row r="908" customFormat="false" ht="15.75" hidden="false" customHeight="true" outlineLevel="0" collapsed="false">
      <c r="A908" s="32" t="str">
        <f aca="false">IF($B908="","",ROW()-4)</f>
        <v/>
      </c>
      <c r="B908" s="26"/>
      <c r="C908" s="21"/>
      <c r="D908" s="24"/>
      <c r="E908" s="21"/>
      <c r="F908" s="24"/>
      <c r="G908" s="21"/>
      <c r="H908" s="22"/>
      <c r="I908" s="27"/>
      <c r="J908" s="27"/>
      <c r="K908" s="36" t="str">
        <f aca="false">IF($B908="","",IF($C908="泓普",$C$2,IF($C908="仟茂",$E$2,IF($C908="现金",$G$2,0)))+SUMIFS($I$5:$I908,$C$5:$C908,$C908)-SUMIFS($J$5:$J908,$C$5:$C908,$C908))</f>
        <v/>
      </c>
      <c r="L908" s="36" t="str">
        <f aca="false">IF($B908="","",$C$2+$E$2+$G$2+SUM($I$5:$I908)-SUM($J$5:$J908))</f>
        <v/>
      </c>
      <c r="M908" s="24"/>
      <c r="N908" s="33" t="str">
        <f aca="false">IF($B908="","",IF(NOT(ISNUMBER($B908)),"日期格式不对",IF($C908="","未选资金账户",IF(AND(N($I908)=0,N($J908)=0),"收支都为空",IF(AND(N($I908)&gt;0,N($J908)&gt;0),"收支不能同时填",IF(AND($D908&lt;&gt;"",LEFT($O908,1)="⚠"),"项目编号不存在",IF(AND($M908="是",$F908=""),"工程回款必须填往来单位","√")))))))</f>
        <v/>
      </c>
      <c r="O908" s="34" t="str">
        <f aca="false">IF($D908="","",IFERROR(INDEX(项目档案!$B$6:$B$255,MATCH($D908,项目档案!$A$6:$A$255,0)),"⚠编号不存在"))</f>
        <v/>
      </c>
      <c r="P908" s="35" t="str">
        <f aca="false">IF($B908="","",TEXT($B908,"yyyy-mm"))</f>
        <v/>
      </c>
    </row>
    <row r="909" customFormat="false" ht="15.75" hidden="false" customHeight="true" outlineLevel="0" collapsed="false">
      <c r="A909" s="32" t="str">
        <f aca="false">IF($B909="","",ROW()-4)</f>
        <v/>
      </c>
      <c r="B909" s="26"/>
      <c r="C909" s="21"/>
      <c r="D909" s="24"/>
      <c r="E909" s="21"/>
      <c r="F909" s="24"/>
      <c r="G909" s="21"/>
      <c r="H909" s="22"/>
      <c r="I909" s="27"/>
      <c r="J909" s="27"/>
      <c r="K909" s="36" t="str">
        <f aca="false">IF($B909="","",IF($C909="泓普",$C$2,IF($C909="仟茂",$E$2,IF($C909="现金",$G$2,0)))+SUMIFS($I$5:$I909,$C$5:$C909,$C909)-SUMIFS($J$5:$J909,$C$5:$C909,$C909))</f>
        <v/>
      </c>
      <c r="L909" s="36" t="str">
        <f aca="false">IF($B909="","",$C$2+$E$2+$G$2+SUM($I$5:$I909)-SUM($J$5:$J909))</f>
        <v/>
      </c>
      <c r="M909" s="24"/>
      <c r="N909" s="33" t="str">
        <f aca="false">IF($B909="","",IF(NOT(ISNUMBER($B909)),"日期格式不对",IF($C909="","未选资金账户",IF(AND(N($I909)=0,N($J909)=0),"收支都为空",IF(AND(N($I909)&gt;0,N($J909)&gt;0),"收支不能同时填",IF(AND($D909&lt;&gt;"",LEFT($O909,1)="⚠"),"项目编号不存在",IF(AND($M909="是",$F909=""),"工程回款必须填往来单位","√")))))))</f>
        <v/>
      </c>
      <c r="O909" s="34" t="str">
        <f aca="false">IF($D909="","",IFERROR(INDEX(项目档案!$B$6:$B$255,MATCH($D909,项目档案!$A$6:$A$255,0)),"⚠编号不存在"))</f>
        <v/>
      </c>
      <c r="P909" s="35" t="str">
        <f aca="false">IF($B909="","",TEXT($B909,"yyyy-mm"))</f>
        <v/>
      </c>
    </row>
    <row r="910" customFormat="false" ht="15.75" hidden="false" customHeight="true" outlineLevel="0" collapsed="false">
      <c r="A910" s="32" t="str">
        <f aca="false">IF($B910="","",ROW()-4)</f>
        <v/>
      </c>
      <c r="B910" s="26"/>
      <c r="C910" s="21"/>
      <c r="D910" s="24"/>
      <c r="E910" s="21"/>
      <c r="F910" s="24"/>
      <c r="G910" s="21"/>
      <c r="H910" s="22"/>
      <c r="I910" s="27"/>
      <c r="J910" s="27"/>
      <c r="K910" s="36" t="str">
        <f aca="false">IF($B910="","",IF($C910="泓普",$C$2,IF($C910="仟茂",$E$2,IF($C910="现金",$G$2,0)))+SUMIFS($I$5:$I910,$C$5:$C910,$C910)-SUMIFS($J$5:$J910,$C$5:$C910,$C910))</f>
        <v/>
      </c>
      <c r="L910" s="36" t="str">
        <f aca="false">IF($B910="","",$C$2+$E$2+$G$2+SUM($I$5:$I910)-SUM($J$5:$J910))</f>
        <v/>
      </c>
      <c r="M910" s="24"/>
      <c r="N910" s="33" t="str">
        <f aca="false">IF($B910="","",IF(NOT(ISNUMBER($B910)),"日期格式不对",IF($C910="","未选资金账户",IF(AND(N($I910)=0,N($J910)=0),"收支都为空",IF(AND(N($I910)&gt;0,N($J910)&gt;0),"收支不能同时填",IF(AND($D910&lt;&gt;"",LEFT($O910,1)="⚠"),"项目编号不存在",IF(AND($M910="是",$F910=""),"工程回款必须填往来单位","√")))))))</f>
        <v/>
      </c>
      <c r="O910" s="34" t="str">
        <f aca="false">IF($D910="","",IFERROR(INDEX(项目档案!$B$6:$B$255,MATCH($D910,项目档案!$A$6:$A$255,0)),"⚠编号不存在"))</f>
        <v/>
      </c>
      <c r="P910" s="35" t="str">
        <f aca="false">IF($B910="","",TEXT($B910,"yyyy-mm"))</f>
        <v/>
      </c>
    </row>
    <row r="911" customFormat="false" ht="15.75" hidden="false" customHeight="true" outlineLevel="0" collapsed="false">
      <c r="A911" s="32" t="str">
        <f aca="false">IF($B911="","",ROW()-4)</f>
        <v/>
      </c>
      <c r="B911" s="26"/>
      <c r="C911" s="21"/>
      <c r="D911" s="24"/>
      <c r="E911" s="21"/>
      <c r="F911" s="24"/>
      <c r="G911" s="21"/>
      <c r="H911" s="22"/>
      <c r="I911" s="27"/>
      <c r="J911" s="27"/>
      <c r="K911" s="36" t="str">
        <f aca="false">IF($B911="","",IF($C911="泓普",$C$2,IF($C911="仟茂",$E$2,IF($C911="现金",$G$2,0)))+SUMIFS($I$5:$I911,$C$5:$C911,$C911)-SUMIFS($J$5:$J911,$C$5:$C911,$C911))</f>
        <v/>
      </c>
      <c r="L911" s="36" t="str">
        <f aca="false">IF($B911="","",$C$2+$E$2+$G$2+SUM($I$5:$I911)-SUM($J$5:$J911))</f>
        <v/>
      </c>
      <c r="M911" s="24"/>
      <c r="N911" s="33" t="str">
        <f aca="false">IF($B911="","",IF(NOT(ISNUMBER($B911)),"日期格式不对",IF($C911="","未选资金账户",IF(AND(N($I911)=0,N($J911)=0),"收支都为空",IF(AND(N($I911)&gt;0,N($J911)&gt;0),"收支不能同时填",IF(AND($D911&lt;&gt;"",LEFT($O911,1)="⚠"),"项目编号不存在",IF(AND($M911="是",$F911=""),"工程回款必须填往来单位","√")))))))</f>
        <v/>
      </c>
      <c r="O911" s="34" t="str">
        <f aca="false">IF($D911="","",IFERROR(INDEX(项目档案!$B$6:$B$255,MATCH($D911,项目档案!$A$6:$A$255,0)),"⚠编号不存在"))</f>
        <v/>
      </c>
      <c r="P911" s="35" t="str">
        <f aca="false">IF($B911="","",TEXT($B911,"yyyy-mm"))</f>
        <v/>
      </c>
    </row>
    <row r="912" customFormat="false" ht="15.75" hidden="false" customHeight="true" outlineLevel="0" collapsed="false">
      <c r="A912" s="32" t="str">
        <f aca="false">IF($B912="","",ROW()-4)</f>
        <v/>
      </c>
      <c r="B912" s="26"/>
      <c r="C912" s="21"/>
      <c r="D912" s="24"/>
      <c r="E912" s="21"/>
      <c r="F912" s="24"/>
      <c r="G912" s="21"/>
      <c r="H912" s="22"/>
      <c r="I912" s="27"/>
      <c r="J912" s="27"/>
      <c r="K912" s="36" t="str">
        <f aca="false">IF($B912="","",IF($C912="泓普",$C$2,IF($C912="仟茂",$E$2,IF($C912="现金",$G$2,0)))+SUMIFS($I$5:$I912,$C$5:$C912,$C912)-SUMIFS($J$5:$J912,$C$5:$C912,$C912))</f>
        <v/>
      </c>
      <c r="L912" s="36" t="str">
        <f aca="false">IF($B912="","",$C$2+$E$2+$G$2+SUM($I$5:$I912)-SUM($J$5:$J912))</f>
        <v/>
      </c>
      <c r="M912" s="24"/>
      <c r="N912" s="33" t="str">
        <f aca="false">IF($B912="","",IF(NOT(ISNUMBER($B912)),"日期格式不对",IF($C912="","未选资金账户",IF(AND(N($I912)=0,N($J912)=0),"收支都为空",IF(AND(N($I912)&gt;0,N($J912)&gt;0),"收支不能同时填",IF(AND($D912&lt;&gt;"",LEFT($O912,1)="⚠"),"项目编号不存在",IF(AND($M912="是",$F912=""),"工程回款必须填往来单位","√")))))))</f>
        <v/>
      </c>
      <c r="O912" s="34" t="str">
        <f aca="false">IF($D912="","",IFERROR(INDEX(项目档案!$B$6:$B$255,MATCH($D912,项目档案!$A$6:$A$255,0)),"⚠编号不存在"))</f>
        <v/>
      </c>
      <c r="P912" s="35" t="str">
        <f aca="false">IF($B912="","",TEXT($B912,"yyyy-mm"))</f>
        <v/>
      </c>
    </row>
    <row r="913" customFormat="false" ht="15.75" hidden="false" customHeight="true" outlineLevel="0" collapsed="false">
      <c r="A913" s="32" t="str">
        <f aca="false">IF($B913="","",ROW()-4)</f>
        <v/>
      </c>
      <c r="B913" s="26"/>
      <c r="C913" s="21"/>
      <c r="D913" s="24"/>
      <c r="E913" s="21"/>
      <c r="F913" s="24"/>
      <c r="G913" s="21"/>
      <c r="H913" s="22"/>
      <c r="I913" s="27"/>
      <c r="J913" s="27"/>
      <c r="K913" s="36" t="str">
        <f aca="false">IF($B913="","",IF($C913="泓普",$C$2,IF($C913="仟茂",$E$2,IF($C913="现金",$G$2,0)))+SUMIFS($I$5:$I913,$C$5:$C913,$C913)-SUMIFS($J$5:$J913,$C$5:$C913,$C913))</f>
        <v/>
      </c>
      <c r="L913" s="36" t="str">
        <f aca="false">IF($B913="","",$C$2+$E$2+$G$2+SUM($I$5:$I913)-SUM($J$5:$J913))</f>
        <v/>
      </c>
      <c r="M913" s="24"/>
      <c r="N913" s="33" t="str">
        <f aca="false">IF($B913="","",IF(NOT(ISNUMBER($B913)),"日期格式不对",IF($C913="","未选资金账户",IF(AND(N($I913)=0,N($J913)=0),"收支都为空",IF(AND(N($I913)&gt;0,N($J913)&gt;0),"收支不能同时填",IF(AND($D913&lt;&gt;"",LEFT($O913,1)="⚠"),"项目编号不存在",IF(AND($M913="是",$F913=""),"工程回款必须填往来单位","√")))))))</f>
        <v/>
      </c>
      <c r="O913" s="34" t="str">
        <f aca="false">IF($D913="","",IFERROR(INDEX(项目档案!$B$6:$B$255,MATCH($D913,项目档案!$A$6:$A$255,0)),"⚠编号不存在"))</f>
        <v/>
      </c>
      <c r="P913" s="35" t="str">
        <f aca="false">IF($B913="","",TEXT($B913,"yyyy-mm"))</f>
        <v/>
      </c>
    </row>
    <row r="914" customFormat="false" ht="15.75" hidden="false" customHeight="true" outlineLevel="0" collapsed="false">
      <c r="A914" s="32" t="str">
        <f aca="false">IF($B914="","",ROW()-4)</f>
        <v/>
      </c>
      <c r="B914" s="26"/>
      <c r="C914" s="21"/>
      <c r="D914" s="24"/>
      <c r="E914" s="21"/>
      <c r="F914" s="24"/>
      <c r="G914" s="21"/>
      <c r="H914" s="22"/>
      <c r="I914" s="27"/>
      <c r="J914" s="27"/>
      <c r="K914" s="36" t="str">
        <f aca="false">IF($B914="","",IF($C914="泓普",$C$2,IF($C914="仟茂",$E$2,IF($C914="现金",$G$2,0)))+SUMIFS($I$5:$I914,$C$5:$C914,$C914)-SUMIFS($J$5:$J914,$C$5:$C914,$C914))</f>
        <v/>
      </c>
      <c r="L914" s="36" t="str">
        <f aca="false">IF($B914="","",$C$2+$E$2+$G$2+SUM($I$5:$I914)-SUM($J$5:$J914))</f>
        <v/>
      </c>
      <c r="M914" s="24"/>
      <c r="N914" s="33" t="str">
        <f aca="false">IF($B914="","",IF(NOT(ISNUMBER($B914)),"日期格式不对",IF($C914="","未选资金账户",IF(AND(N($I914)=0,N($J914)=0),"收支都为空",IF(AND(N($I914)&gt;0,N($J914)&gt;0),"收支不能同时填",IF(AND($D914&lt;&gt;"",LEFT($O914,1)="⚠"),"项目编号不存在",IF(AND($M914="是",$F914=""),"工程回款必须填往来单位","√")))))))</f>
        <v/>
      </c>
      <c r="O914" s="34" t="str">
        <f aca="false">IF($D914="","",IFERROR(INDEX(项目档案!$B$6:$B$255,MATCH($D914,项目档案!$A$6:$A$255,0)),"⚠编号不存在"))</f>
        <v/>
      </c>
      <c r="P914" s="35" t="str">
        <f aca="false">IF($B914="","",TEXT($B914,"yyyy-mm"))</f>
        <v/>
      </c>
    </row>
    <row r="915" customFormat="false" ht="15.75" hidden="false" customHeight="true" outlineLevel="0" collapsed="false">
      <c r="A915" s="32" t="str">
        <f aca="false">IF($B915="","",ROW()-4)</f>
        <v/>
      </c>
      <c r="B915" s="26"/>
      <c r="C915" s="21"/>
      <c r="D915" s="24"/>
      <c r="E915" s="21"/>
      <c r="F915" s="24"/>
      <c r="G915" s="21"/>
      <c r="H915" s="22"/>
      <c r="I915" s="27"/>
      <c r="J915" s="27"/>
      <c r="K915" s="36" t="str">
        <f aca="false">IF($B915="","",IF($C915="泓普",$C$2,IF($C915="仟茂",$E$2,IF($C915="现金",$G$2,0)))+SUMIFS($I$5:$I915,$C$5:$C915,$C915)-SUMIFS($J$5:$J915,$C$5:$C915,$C915))</f>
        <v/>
      </c>
      <c r="L915" s="36" t="str">
        <f aca="false">IF($B915="","",$C$2+$E$2+$G$2+SUM($I$5:$I915)-SUM($J$5:$J915))</f>
        <v/>
      </c>
      <c r="M915" s="24"/>
      <c r="N915" s="33" t="str">
        <f aca="false">IF($B915="","",IF(NOT(ISNUMBER($B915)),"日期格式不对",IF($C915="","未选资金账户",IF(AND(N($I915)=0,N($J915)=0),"收支都为空",IF(AND(N($I915)&gt;0,N($J915)&gt;0),"收支不能同时填",IF(AND($D915&lt;&gt;"",LEFT($O915,1)="⚠"),"项目编号不存在",IF(AND($M915="是",$F915=""),"工程回款必须填往来单位","√")))))))</f>
        <v/>
      </c>
      <c r="O915" s="34" t="str">
        <f aca="false">IF($D915="","",IFERROR(INDEX(项目档案!$B$6:$B$255,MATCH($D915,项目档案!$A$6:$A$255,0)),"⚠编号不存在"))</f>
        <v/>
      </c>
      <c r="P915" s="35" t="str">
        <f aca="false">IF($B915="","",TEXT($B915,"yyyy-mm"))</f>
        <v/>
      </c>
    </row>
    <row r="916" customFormat="false" ht="15.75" hidden="false" customHeight="true" outlineLevel="0" collapsed="false">
      <c r="A916" s="32" t="str">
        <f aca="false">IF($B916="","",ROW()-4)</f>
        <v/>
      </c>
      <c r="B916" s="26"/>
      <c r="C916" s="21"/>
      <c r="D916" s="24"/>
      <c r="E916" s="21"/>
      <c r="F916" s="24"/>
      <c r="G916" s="21"/>
      <c r="H916" s="22"/>
      <c r="I916" s="27"/>
      <c r="J916" s="27"/>
      <c r="K916" s="36" t="str">
        <f aca="false">IF($B916="","",IF($C916="泓普",$C$2,IF($C916="仟茂",$E$2,IF($C916="现金",$G$2,0)))+SUMIFS($I$5:$I916,$C$5:$C916,$C916)-SUMIFS($J$5:$J916,$C$5:$C916,$C916))</f>
        <v/>
      </c>
      <c r="L916" s="36" t="str">
        <f aca="false">IF($B916="","",$C$2+$E$2+$G$2+SUM($I$5:$I916)-SUM($J$5:$J916))</f>
        <v/>
      </c>
      <c r="M916" s="24"/>
      <c r="N916" s="33" t="str">
        <f aca="false">IF($B916="","",IF(NOT(ISNUMBER($B916)),"日期格式不对",IF($C916="","未选资金账户",IF(AND(N($I916)=0,N($J916)=0),"收支都为空",IF(AND(N($I916)&gt;0,N($J916)&gt;0),"收支不能同时填",IF(AND($D916&lt;&gt;"",LEFT($O916,1)="⚠"),"项目编号不存在",IF(AND($M916="是",$F916=""),"工程回款必须填往来单位","√")))))))</f>
        <v/>
      </c>
      <c r="O916" s="34" t="str">
        <f aca="false">IF($D916="","",IFERROR(INDEX(项目档案!$B$6:$B$255,MATCH($D916,项目档案!$A$6:$A$255,0)),"⚠编号不存在"))</f>
        <v/>
      </c>
      <c r="P916" s="35" t="str">
        <f aca="false">IF($B916="","",TEXT($B916,"yyyy-mm"))</f>
        <v/>
      </c>
    </row>
    <row r="917" customFormat="false" ht="15.75" hidden="false" customHeight="true" outlineLevel="0" collapsed="false">
      <c r="A917" s="32" t="str">
        <f aca="false">IF($B917="","",ROW()-4)</f>
        <v/>
      </c>
      <c r="B917" s="26"/>
      <c r="C917" s="21"/>
      <c r="D917" s="24"/>
      <c r="E917" s="21"/>
      <c r="F917" s="24"/>
      <c r="G917" s="21"/>
      <c r="H917" s="22"/>
      <c r="I917" s="27"/>
      <c r="J917" s="27"/>
      <c r="K917" s="36" t="str">
        <f aca="false">IF($B917="","",IF($C917="泓普",$C$2,IF($C917="仟茂",$E$2,IF($C917="现金",$G$2,0)))+SUMIFS($I$5:$I917,$C$5:$C917,$C917)-SUMIFS($J$5:$J917,$C$5:$C917,$C917))</f>
        <v/>
      </c>
      <c r="L917" s="36" t="str">
        <f aca="false">IF($B917="","",$C$2+$E$2+$G$2+SUM($I$5:$I917)-SUM($J$5:$J917))</f>
        <v/>
      </c>
      <c r="M917" s="24"/>
      <c r="N917" s="33" t="str">
        <f aca="false">IF($B917="","",IF(NOT(ISNUMBER($B917)),"日期格式不对",IF($C917="","未选资金账户",IF(AND(N($I917)=0,N($J917)=0),"收支都为空",IF(AND(N($I917)&gt;0,N($J917)&gt;0),"收支不能同时填",IF(AND($D917&lt;&gt;"",LEFT($O917,1)="⚠"),"项目编号不存在",IF(AND($M917="是",$F917=""),"工程回款必须填往来单位","√")))))))</f>
        <v/>
      </c>
      <c r="O917" s="34" t="str">
        <f aca="false">IF($D917="","",IFERROR(INDEX(项目档案!$B$6:$B$255,MATCH($D917,项目档案!$A$6:$A$255,0)),"⚠编号不存在"))</f>
        <v/>
      </c>
      <c r="P917" s="35" t="str">
        <f aca="false">IF($B917="","",TEXT($B917,"yyyy-mm"))</f>
        <v/>
      </c>
    </row>
    <row r="918" customFormat="false" ht="15.75" hidden="false" customHeight="true" outlineLevel="0" collapsed="false">
      <c r="A918" s="32" t="str">
        <f aca="false">IF($B918="","",ROW()-4)</f>
        <v/>
      </c>
      <c r="B918" s="26"/>
      <c r="C918" s="21"/>
      <c r="D918" s="24"/>
      <c r="E918" s="21"/>
      <c r="F918" s="24"/>
      <c r="G918" s="21"/>
      <c r="H918" s="22"/>
      <c r="I918" s="27"/>
      <c r="J918" s="27"/>
      <c r="K918" s="36" t="str">
        <f aca="false">IF($B918="","",IF($C918="泓普",$C$2,IF($C918="仟茂",$E$2,IF($C918="现金",$G$2,0)))+SUMIFS($I$5:$I918,$C$5:$C918,$C918)-SUMIFS($J$5:$J918,$C$5:$C918,$C918))</f>
        <v/>
      </c>
      <c r="L918" s="36" t="str">
        <f aca="false">IF($B918="","",$C$2+$E$2+$G$2+SUM($I$5:$I918)-SUM($J$5:$J918))</f>
        <v/>
      </c>
      <c r="M918" s="24"/>
      <c r="N918" s="33" t="str">
        <f aca="false">IF($B918="","",IF(NOT(ISNUMBER($B918)),"日期格式不对",IF($C918="","未选资金账户",IF(AND(N($I918)=0,N($J918)=0),"收支都为空",IF(AND(N($I918)&gt;0,N($J918)&gt;0),"收支不能同时填",IF(AND($D918&lt;&gt;"",LEFT($O918,1)="⚠"),"项目编号不存在",IF(AND($M918="是",$F918=""),"工程回款必须填往来单位","√")))))))</f>
        <v/>
      </c>
      <c r="O918" s="34" t="str">
        <f aca="false">IF($D918="","",IFERROR(INDEX(项目档案!$B$6:$B$255,MATCH($D918,项目档案!$A$6:$A$255,0)),"⚠编号不存在"))</f>
        <v/>
      </c>
      <c r="P918" s="35" t="str">
        <f aca="false">IF($B918="","",TEXT($B918,"yyyy-mm"))</f>
        <v/>
      </c>
    </row>
    <row r="919" customFormat="false" ht="15.75" hidden="false" customHeight="true" outlineLevel="0" collapsed="false">
      <c r="A919" s="32" t="str">
        <f aca="false">IF($B919="","",ROW()-4)</f>
        <v/>
      </c>
      <c r="B919" s="26"/>
      <c r="C919" s="21"/>
      <c r="D919" s="24"/>
      <c r="E919" s="21"/>
      <c r="F919" s="24"/>
      <c r="G919" s="21"/>
      <c r="H919" s="22"/>
      <c r="I919" s="27"/>
      <c r="J919" s="27"/>
      <c r="K919" s="36" t="str">
        <f aca="false">IF($B919="","",IF($C919="泓普",$C$2,IF($C919="仟茂",$E$2,IF($C919="现金",$G$2,0)))+SUMIFS($I$5:$I919,$C$5:$C919,$C919)-SUMIFS($J$5:$J919,$C$5:$C919,$C919))</f>
        <v/>
      </c>
      <c r="L919" s="36" t="str">
        <f aca="false">IF($B919="","",$C$2+$E$2+$G$2+SUM($I$5:$I919)-SUM($J$5:$J919))</f>
        <v/>
      </c>
      <c r="M919" s="24"/>
      <c r="N919" s="33" t="str">
        <f aca="false">IF($B919="","",IF(NOT(ISNUMBER($B919)),"日期格式不对",IF($C919="","未选资金账户",IF(AND(N($I919)=0,N($J919)=0),"收支都为空",IF(AND(N($I919)&gt;0,N($J919)&gt;0),"收支不能同时填",IF(AND($D919&lt;&gt;"",LEFT($O919,1)="⚠"),"项目编号不存在",IF(AND($M919="是",$F919=""),"工程回款必须填往来单位","√")))))))</f>
        <v/>
      </c>
      <c r="O919" s="34" t="str">
        <f aca="false">IF($D919="","",IFERROR(INDEX(项目档案!$B$6:$B$255,MATCH($D919,项目档案!$A$6:$A$255,0)),"⚠编号不存在"))</f>
        <v/>
      </c>
      <c r="P919" s="35" t="str">
        <f aca="false">IF($B919="","",TEXT($B919,"yyyy-mm"))</f>
        <v/>
      </c>
    </row>
    <row r="920" customFormat="false" ht="15.75" hidden="false" customHeight="true" outlineLevel="0" collapsed="false">
      <c r="A920" s="32" t="str">
        <f aca="false">IF($B920="","",ROW()-4)</f>
        <v/>
      </c>
      <c r="B920" s="26"/>
      <c r="C920" s="21"/>
      <c r="D920" s="24"/>
      <c r="E920" s="21"/>
      <c r="F920" s="24"/>
      <c r="G920" s="21"/>
      <c r="H920" s="22"/>
      <c r="I920" s="27"/>
      <c r="J920" s="27"/>
      <c r="K920" s="36" t="str">
        <f aca="false">IF($B920="","",IF($C920="泓普",$C$2,IF($C920="仟茂",$E$2,IF($C920="现金",$G$2,0)))+SUMIFS($I$5:$I920,$C$5:$C920,$C920)-SUMIFS($J$5:$J920,$C$5:$C920,$C920))</f>
        <v/>
      </c>
      <c r="L920" s="36" t="str">
        <f aca="false">IF($B920="","",$C$2+$E$2+$G$2+SUM($I$5:$I920)-SUM($J$5:$J920))</f>
        <v/>
      </c>
      <c r="M920" s="24"/>
      <c r="N920" s="33" t="str">
        <f aca="false">IF($B920="","",IF(NOT(ISNUMBER($B920)),"日期格式不对",IF($C920="","未选资金账户",IF(AND(N($I920)=0,N($J920)=0),"收支都为空",IF(AND(N($I920)&gt;0,N($J920)&gt;0),"收支不能同时填",IF(AND($D920&lt;&gt;"",LEFT($O920,1)="⚠"),"项目编号不存在",IF(AND($M920="是",$F920=""),"工程回款必须填往来单位","√")))))))</f>
        <v/>
      </c>
      <c r="O920" s="34" t="str">
        <f aca="false">IF($D920="","",IFERROR(INDEX(项目档案!$B$6:$B$255,MATCH($D920,项目档案!$A$6:$A$255,0)),"⚠编号不存在"))</f>
        <v/>
      </c>
      <c r="P920" s="35" t="str">
        <f aca="false">IF($B920="","",TEXT($B920,"yyyy-mm"))</f>
        <v/>
      </c>
    </row>
    <row r="921" customFormat="false" ht="15.75" hidden="false" customHeight="true" outlineLevel="0" collapsed="false">
      <c r="A921" s="32" t="str">
        <f aca="false">IF($B921="","",ROW()-4)</f>
        <v/>
      </c>
      <c r="B921" s="26"/>
      <c r="C921" s="21"/>
      <c r="D921" s="24"/>
      <c r="E921" s="21"/>
      <c r="F921" s="24"/>
      <c r="G921" s="21"/>
      <c r="H921" s="22"/>
      <c r="I921" s="27"/>
      <c r="J921" s="27"/>
      <c r="K921" s="36" t="str">
        <f aca="false">IF($B921="","",IF($C921="泓普",$C$2,IF($C921="仟茂",$E$2,IF($C921="现金",$G$2,0)))+SUMIFS($I$5:$I921,$C$5:$C921,$C921)-SUMIFS($J$5:$J921,$C$5:$C921,$C921))</f>
        <v/>
      </c>
      <c r="L921" s="36" t="str">
        <f aca="false">IF($B921="","",$C$2+$E$2+$G$2+SUM($I$5:$I921)-SUM($J$5:$J921))</f>
        <v/>
      </c>
      <c r="M921" s="24"/>
      <c r="N921" s="33" t="str">
        <f aca="false">IF($B921="","",IF(NOT(ISNUMBER($B921)),"日期格式不对",IF($C921="","未选资金账户",IF(AND(N($I921)=0,N($J921)=0),"收支都为空",IF(AND(N($I921)&gt;0,N($J921)&gt;0),"收支不能同时填",IF(AND($D921&lt;&gt;"",LEFT($O921,1)="⚠"),"项目编号不存在",IF(AND($M921="是",$F921=""),"工程回款必须填往来单位","√")))))))</f>
        <v/>
      </c>
      <c r="O921" s="34" t="str">
        <f aca="false">IF($D921="","",IFERROR(INDEX(项目档案!$B$6:$B$255,MATCH($D921,项目档案!$A$6:$A$255,0)),"⚠编号不存在"))</f>
        <v/>
      </c>
      <c r="P921" s="35" t="str">
        <f aca="false">IF($B921="","",TEXT($B921,"yyyy-mm"))</f>
        <v/>
      </c>
    </row>
    <row r="922" customFormat="false" ht="15.75" hidden="false" customHeight="true" outlineLevel="0" collapsed="false">
      <c r="A922" s="32" t="str">
        <f aca="false">IF($B922="","",ROW()-4)</f>
        <v/>
      </c>
      <c r="B922" s="26"/>
      <c r="C922" s="21"/>
      <c r="D922" s="24"/>
      <c r="E922" s="21"/>
      <c r="F922" s="24"/>
      <c r="G922" s="21"/>
      <c r="H922" s="22"/>
      <c r="I922" s="27"/>
      <c r="J922" s="27"/>
      <c r="K922" s="36" t="str">
        <f aca="false">IF($B922="","",IF($C922="泓普",$C$2,IF($C922="仟茂",$E$2,IF($C922="现金",$G$2,0)))+SUMIFS($I$5:$I922,$C$5:$C922,$C922)-SUMIFS($J$5:$J922,$C$5:$C922,$C922))</f>
        <v/>
      </c>
      <c r="L922" s="36" t="str">
        <f aca="false">IF($B922="","",$C$2+$E$2+$G$2+SUM($I$5:$I922)-SUM($J$5:$J922))</f>
        <v/>
      </c>
      <c r="M922" s="24"/>
      <c r="N922" s="33" t="str">
        <f aca="false">IF($B922="","",IF(NOT(ISNUMBER($B922)),"日期格式不对",IF($C922="","未选资金账户",IF(AND(N($I922)=0,N($J922)=0),"收支都为空",IF(AND(N($I922)&gt;0,N($J922)&gt;0),"收支不能同时填",IF(AND($D922&lt;&gt;"",LEFT($O922,1)="⚠"),"项目编号不存在",IF(AND($M922="是",$F922=""),"工程回款必须填往来单位","√")))))))</f>
        <v/>
      </c>
      <c r="O922" s="34" t="str">
        <f aca="false">IF($D922="","",IFERROR(INDEX(项目档案!$B$6:$B$255,MATCH($D922,项目档案!$A$6:$A$255,0)),"⚠编号不存在"))</f>
        <v/>
      </c>
      <c r="P922" s="35" t="str">
        <f aca="false">IF($B922="","",TEXT($B922,"yyyy-mm"))</f>
        <v/>
      </c>
    </row>
    <row r="923" customFormat="false" ht="15.75" hidden="false" customHeight="true" outlineLevel="0" collapsed="false">
      <c r="A923" s="32" t="str">
        <f aca="false">IF($B923="","",ROW()-4)</f>
        <v/>
      </c>
      <c r="B923" s="26"/>
      <c r="C923" s="21"/>
      <c r="D923" s="24"/>
      <c r="E923" s="21"/>
      <c r="F923" s="24"/>
      <c r="G923" s="21"/>
      <c r="H923" s="22"/>
      <c r="I923" s="27"/>
      <c r="J923" s="27"/>
      <c r="K923" s="36" t="str">
        <f aca="false">IF($B923="","",IF($C923="泓普",$C$2,IF($C923="仟茂",$E$2,IF($C923="现金",$G$2,0)))+SUMIFS($I$5:$I923,$C$5:$C923,$C923)-SUMIFS($J$5:$J923,$C$5:$C923,$C923))</f>
        <v/>
      </c>
      <c r="L923" s="36" t="str">
        <f aca="false">IF($B923="","",$C$2+$E$2+$G$2+SUM($I$5:$I923)-SUM($J$5:$J923))</f>
        <v/>
      </c>
      <c r="M923" s="24"/>
      <c r="N923" s="33" t="str">
        <f aca="false">IF($B923="","",IF(NOT(ISNUMBER($B923)),"日期格式不对",IF($C923="","未选资金账户",IF(AND(N($I923)=0,N($J923)=0),"收支都为空",IF(AND(N($I923)&gt;0,N($J923)&gt;0),"收支不能同时填",IF(AND($D923&lt;&gt;"",LEFT($O923,1)="⚠"),"项目编号不存在",IF(AND($M923="是",$F923=""),"工程回款必须填往来单位","√")))))))</f>
        <v/>
      </c>
      <c r="O923" s="34" t="str">
        <f aca="false">IF($D923="","",IFERROR(INDEX(项目档案!$B$6:$B$255,MATCH($D923,项目档案!$A$6:$A$255,0)),"⚠编号不存在"))</f>
        <v/>
      </c>
      <c r="P923" s="35" t="str">
        <f aca="false">IF($B923="","",TEXT($B923,"yyyy-mm"))</f>
        <v/>
      </c>
    </row>
    <row r="924" customFormat="false" ht="15.75" hidden="false" customHeight="true" outlineLevel="0" collapsed="false">
      <c r="A924" s="32" t="str">
        <f aca="false">IF($B924="","",ROW()-4)</f>
        <v/>
      </c>
      <c r="B924" s="26"/>
      <c r="C924" s="21"/>
      <c r="D924" s="24"/>
      <c r="E924" s="21"/>
      <c r="F924" s="24"/>
      <c r="G924" s="21"/>
      <c r="H924" s="22"/>
      <c r="I924" s="27"/>
      <c r="J924" s="27"/>
      <c r="K924" s="36" t="str">
        <f aca="false">IF($B924="","",IF($C924="泓普",$C$2,IF($C924="仟茂",$E$2,IF($C924="现金",$G$2,0)))+SUMIFS($I$5:$I924,$C$5:$C924,$C924)-SUMIFS($J$5:$J924,$C$5:$C924,$C924))</f>
        <v/>
      </c>
      <c r="L924" s="36" t="str">
        <f aca="false">IF($B924="","",$C$2+$E$2+$G$2+SUM($I$5:$I924)-SUM($J$5:$J924))</f>
        <v/>
      </c>
      <c r="M924" s="24"/>
      <c r="N924" s="33" t="str">
        <f aca="false">IF($B924="","",IF(NOT(ISNUMBER($B924)),"日期格式不对",IF($C924="","未选资金账户",IF(AND(N($I924)=0,N($J924)=0),"收支都为空",IF(AND(N($I924)&gt;0,N($J924)&gt;0),"收支不能同时填",IF(AND($D924&lt;&gt;"",LEFT($O924,1)="⚠"),"项目编号不存在",IF(AND($M924="是",$F924=""),"工程回款必须填往来单位","√")))))))</f>
        <v/>
      </c>
      <c r="O924" s="34" t="str">
        <f aca="false">IF($D924="","",IFERROR(INDEX(项目档案!$B$6:$B$255,MATCH($D924,项目档案!$A$6:$A$255,0)),"⚠编号不存在"))</f>
        <v/>
      </c>
      <c r="P924" s="35" t="str">
        <f aca="false">IF($B924="","",TEXT($B924,"yyyy-mm"))</f>
        <v/>
      </c>
    </row>
    <row r="925" customFormat="false" ht="15.75" hidden="false" customHeight="true" outlineLevel="0" collapsed="false">
      <c r="A925" s="32" t="str">
        <f aca="false">IF($B925="","",ROW()-4)</f>
        <v/>
      </c>
      <c r="B925" s="26"/>
      <c r="C925" s="21"/>
      <c r="D925" s="24"/>
      <c r="E925" s="21"/>
      <c r="F925" s="24"/>
      <c r="G925" s="21"/>
      <c r="H925" s="22"/>
      <c r="I925" s="27"/>
      <c r="J925" s="27"/>
      <c r="K925" s="36" t="str">
        <f aca="false">IF($B925="","",IF($C925="泓普",$C$2,IF($C925="仟茂",$E$2,IF($C925="现金",$G$2,0)))+SUMIFS($I$5:$I925,$C$5:$C925,$C925)-SUMIFS($J$5:$J925,$C$5:$C925,$C925))</f>
        <v/>
      </c>
      <c r="L925" s="36" t="str">
        <f aca="false">IF($B925="","",$C$2+$E$2+$G$2+SUM($I$5:$I925)-SUM($J$5:$J925))</f>
        <v/>
      </c>
      <c r="M925" s="24"/>
      <c r="N925" s="33" t="str">
        <f aca="false">IF($B925="","",IF(NOT(ISNUMBER($B925)),"日期格式不对",IF($C925="","未选资金账户",IF(AND(N($I925)=0,N($J925)=0),"收支都为空",IF(AND(N($I925)&gt;0,N($J925)&gt;0),"收支不能同时填",IF(AND($D925&lt;&gt;"",LEFT($O925,1)="⚠"),"项目编号不存在",IF(AND($M925="是",$F925=""),"工程回款必须填往来单位","√")))))))</f>
        <v/>
      </c>
      <c r="O925" s="34" t="str">
        <f aca="false">IF($D925="","",IFERROR(INDEX(项目档案!$B$6:$B$255,MATCH($D925,项目档案!$A$6:$A$255,0)),"⚠编号不存在"))</f>
        <v/>
      </c>
      <c r="P925" s="35" t="str">
        <f aca="false">IF($B925="","",TEXT($B925,"yyyy-mm"))</f>
        <v/>
      </c>
    </row>
    <row r="926" customFormat="false" ht="15.75" hidden="false" customHeight="true" outlineLevel="0" collapsed="false">
      <c r="A926" s="32" t="str">
        <f aca="false">IF($B926="","",ROW()-4)</f>
        <v/>
      </c>
      <c r="B926" s="26"/>
      <c r="C926" s="21"/>
      <c r="D926" s="24"/>
      <c r="E926" s="21"/>
      <c r="F926" s="24"/>
      <c r="G926" s="21"/>
      <c r="H926" s="22"/>
      <c r="I926" s="27"/>
      <c r="J926" s="27"/>
      <c r="K926" s="36" t="str">
        <f aca="false">IF($B926="","",IF($C926="泓普",$C$2,IF($C926="仟茂",$E$2,IF($C926="现金",$G$2,0)))+SUMIFS($I$5:$I926,$C$5:$C926,$C926)-SUMIFS($J$5:$J926,$C$5:$C926,$C926))</f>
        <v/>
      </c>
      <c r="L926" s="36" t="str">
        <f aca="false">IF($B926="","",$C$2+$E$2+$G$2+SUM($I$5:$I926)-SUM($J$5:$J926))</f>
        <v/>
      </c>
      <c r="M926" s="24"/>
      <c r="N926" s="33" t="str">
        <f aca="false">IF($B926="","",IF(NOT(ISNUMBER($B926)),"日期格式不对",IF($C926="","未选资金账户",IF(AND(N($I926)=0,N($J926)=0),"收支都为空",IF(AND(N($I926)&gt;0,N($J926)&gt;0),"收支不能同时填",IF(AND($D926&lt;&gt;"",LEFT($O926,1)="⚠"),"项目编号不存在",IF(AND($M926="是",$F926=""),"工程回款必须填往来单位","√")))))))</f>
        <v/>
      </c>
      <c r="O926" s="34" t="str">
        <f aca="false">IF($D926="","",IFERROR(INDEX(项目档案!$B$6:$B$255,MATCH($D926,项目档案!$A$6:$A$255,0)),"⚠编号不存在"))</f>
        <v/>
      </c>
      <c r="P926" s="35" t="str">
        <f aca="false">IF($B926="","",TEXT($B926,"yyyy-mm"))</f>
        <v/>
      </c>
    </row>
    <row r="927" customFormat="false" ht="15.75" hidden="false" customHeight="true" outlineLevel="0" collapsed="false">
      <c r="A927" s="32" t="str">
        <f aca="false">IF($B927="","",ROW()-4)</f>
        <v/>
      </c>
      <c r="B927" s="26"/>
      <c r="C927" s="21"/>
      <c r="D927" s="24"/>
      <c r="E927" s="21"/>
      <c r="F927" s="24"/>
      <c r="G927" s="21"/>
      <c r="H927" s="22"/>
      <c r="I927" s="27"/>
      <c r="J927" s="27"/>
      <c r="K927" s="36" t="str">
        <f aca="false">IF($B927="","",IF($C927="泓普",$C$2,IF($C927="仟茂",$E$2,IF($C927="现金",$G$2,0)))+SUMIFS($I$5:$I927,$C$5:$C927,$C927)-SUMIFS($J$5:$J927,$C$5:$C927,$C927))</f>
        <v/>
      </c>
      <c r="L927" s="36" t="str">
        <f aca="false">IF($B927="","",$C$2+$E$2+$G$2+SUM($I$5:$I927)-SUM($J$5:$J927))</f>
        <v/>
      </c>
      <c r="M927" s="24"/>
      <c r="N927" s="33" t="str">
        <f aca="false">IF($B927="","",IF(NOT(ISNUMBER($B927)),"日期格式不对",IF($C927="","未选资金账户",IF(AND(N($I927)=0,N($J927)=0),"收支都为空",IF(AND(N($I927)&gt;0,N($J927)&gt;0),"收支不能同时填",IF(AND($D927&lt;&gt;"",LEFT($O927,1)="⚠"),"项目编号不存在",IF(AND($M927="是",$F927=""),"工程回款必须填往来单位","√")))))))</f>
        <v/>
      </c>
      <c r="O927" s="34" t="str">
        <f aca="false">IF($D927="","",IFERROR(INDEX(项目档案!$B$6:$B$255,MATCH($D927,项目档案!$A$6:$A$255,0)),"⚠编号不存在"))</f>
        <v/>
      </c>
      <c r="P927" s="35" t="str">
        <f aca="false">IF($B927="","",TEXT($B927,"yyyy-mm"))</f>
        <v/>
      </c>
    </row>
    <row r="928" customFormat="false" ht="15.75" hidden="false" customHeight="true" outlineLevel="0" collapsed="false">
      <c r="A928" s="32" t="str">
        <f aca="false">IF($B928="","",ROW()-4)</f>
        <v/>
      </c>
      <c r="B928" s="26"/>
      <c r="C928" s="21"/>
      <c r="D928" s="24"/>
      <c r="E928" s="21"/>
      <c r="F928" s="24"/>
      <c r="G928" s="21"/>
      <c r="H928" s="22"/>
      <c r="I928" s="27"/>
      <c r="J928" s="27"/>
      <c r="K928" s="36" t="str">
        <f aca="false">IF($B928="","",IF($C928="泓普",$C$2,IF($C928="仟茂",$E$2,IF($C928="现金",$G$2,0)))+SUMIFS($I$5:$I928,$C$5:$C928,$C928)-SUMIFS($J$5:$J928,$C$5:$C928,$C928))</f>
        <v/>
      </c>
      <c r="L928" s="36" t="str">
        <f aca="false">IF($B928="","",$C$2+$E$2+$G$2+SUM($I$5:$I928)-SUM($J$5:$J928))</f>
        <v/>
      </c>
      <c r="M928" s="24"/>
      <c r="N928" s="33" t="str">
        <f aca="false">IF($B928="","",IF(NOT(ISNUMBER($B928)),"日期格式不对",IF($C928="","未选资金账户",IF(AND(N($I928)=0,N($J928)=0),"收支都为空",IF(AND(N($I928)&gt;0,N($J928)&gt;0),"收支不能同时填",IF(AND($D928&lt;&gt;"",LEFT($O928,1)="⚠"),"项目编号不存在",IF(AND($M928="是",$F928=""),"工程回款必须填往来单位","√")))))))</f>
        <v/>
      </c>
      <c r="O928" s="34" t="str">
        <f aca="false">IF($D928="","",IFERROR(INDEX(项目档案!$B$6:$B$255,MATCH($D928,项目档案!$A$6:$A$255,0)),"⚠编号不存在"))</f>
        <v/>
      </c>
      <c r="P928" s="35" t="str">
        <f aca="false">IF($B928="","",TEXT($B928,"yyyy-mm"))</f>
        <v/>
      </c>
    </row>
    <row r="929" customFormat="false" ht="15.75" hidden="false" customHeight="true" outlineLevel="0" collapsed="false">
      <c r="A929" s="32" t="str">
        <f aca="false">IF($B929="","",ROW()-4)</f>
        <v/>
      </c>
      <c r="B929" s="26"/>
      <c r="C929" s="21"/>
      <c r="D929" s="24"/>
      <c r="E929" s="21"/>
      <c r="F929" s="24"/>
      <c r="G929" s="21"/>
      <c r="H929" s="22"/>
      <c r="I929" s="27"/>
      <c r="J929" s="27"/>
      <c r="K929" s="36" t="str">
        <f aca="false">IF($B929="","",IF($C929="泓普",$C$2,IF($C929="仟茂",$E$2,IF($C929="现金",$G$2,0)))+SUMIFS($I$5:$I929,$C$5:$C929,$C929)-SUMIFS($J$5:$J929,$C$5:$C929,$C929))</f>
        <v/>
      </c>
      <c r="L929" s="36" t="str">
        <f aca="false">IF($B929="","",$C$2+$E$2+$G$2+SUM($I$5:$I929)-SUM($J$5:$J929))</f>
        <v/>
      </c>
      <c r="M929" s="24"/>
      <c r="N929" s="33" t="str">
        <f aca="false">IF($B929="","",IF(NOT(ISNUMBER($B929)),"日期格式不对",IF($C929="","未选资金账户",IF(AND(N($I929)=0,N($J929)=0),"收支都为空",IF(AND(N($I929)&gt;0,N($J929)&gt;0),"收支不能同时填",IF(AND($D929&lt;&gt;"",LEFT($O929,1)="⚠"),"项目编号不存在",IF(AND($M929="是",$F929=""),"工程回款必须填往来单位","√")))))))</f>
        <v/>
      </c>
      <c r="O929" s="34" t="str">
        <f aca="false">IF($D929="","",IFERROR(INDEX(项目档案!$B$6:$B$255,MATCH($D929,项目档案!$A$6:$A$255,0)),"⚠编号不存在"))</f>
        <v/>
      </c>
      <c r="P929" s="35" t="str">
        <f aca="false">IF($B929="","",TEXT($B929,"yyyy-mm"))</f>
        <v/>
      </c>
    </row>
    <row r="930" customFormat="false" ht="15.75" hidden="false" customHeight="true" outlineLevel="0" collapsed="false">
      <c r="A930" s="32" t="str">
        <f aca="false">IF($B930="","",ROW()-4)</f>
        <v/>
      </c>
      <c r="B930" s="26"/>
      <c r="C930" s="21"/>
      <c r="D930" s="24"/>
      <c r="E930" s="21"/>
      <c r="F930" s="24"/>
      <c r="G930" s="21"/>
      <c r="H930" s="22"/>
      <c r="I930" s="27"/>
      <c r="J930" s="27"/>
      <c r="K930" s="36" t="str">
        <f aca="false">IF($B930="","",IF($C930="泓普",$C$2,IF($C930="仟茂",$E$2,IF($C930="现金",$G$2,0)))+SUMIFS($I$5:$I930,$C$5:$C930,$C930)-SUMIFS($J$5:$J930,$C$5:$C930,$C930))</f>
        <v/>
      </c>
      <c r="L930" s="36" t="str">
        <f aca="false">IF($B930="","",$C$2+$E$2+$G$2+SUM($I$5:$I930)-SUM($J$5:$J930))</f>
        <v/>
      </c>
      <c r="M930" s="24"/>
      <c r="N930" s="33" t="str">
        <f aca="false">IF($B930="","",IF(NOT(ISNUMBER($B930)),"日期格式不对",IF($C930="","未选资金账户",IF(AND(N($I930)=0,N($J930)=0),"收支都为空",IF(AND(N($I930)&gt;0,N($J930)&gt;0),"收支不能同时填",IF(AND($D930&lt;&gt;"",LEFT($O930,1)="⚠"),"项目编号不存在",IF(AND($M930="是",$F930=""),"工程回款必须填往来单位","√")))))))</f>
        <v/>
      </c>
      <c r="O930" s="34" t="str">
        <f aca="false">IF($D930="","",IFERROR(INDEX(项目档案!$B$6:$B$255,MATCH($D930,项目档案!$A$6:$A$255,0)),"⚠编号不存在"))</f>
        <v/>
      </c>
      <c r="P930" s="35" t="str">
        <f aca="false">IF($B930="","",TEXT($B930,"yyyy-mm"))</f>
        <v/>
      </c>
    </row>
    <row r="931" customFormat="false" ht="15.75" hidden="false" customHeight="true" outlineLevel="0" collapsed="false">
      <c r="A931" s="32" t="str">
        <f aca="false">IF($B931="","",ROW()-4)</f>
        <v/>
      </c>
      <c r="B931" s="26"/>
      <c r="C931" s="21"/>
      <c r="D931" s="24"/>
      <c r="E931" s="21"/>
      <c r="F931" s="24"/>
      <c r="G931" s="21"/>
      <c r="H931" s="22"/>
      <c r="I931" s="27"/>
      <c r="J931" s="27"/>
      <c r="K931" s="36" t="str">
        <f aca="false">IF($B931="","",IF($C931="泓普",$C$2,IF($C931="仟茂",$E$2,IF($C931="现金",$G$2,0)))+SUMIFS($I$5:$I931,$C$5:$C931,$C931)-SUMIFS($J$5:$J931,$C$5:$C931,$C931))</f>
        <v/>
      </c>
      <c r="L931" s="36" t="str">
        <f aca="false">IF($B931="","",$C$2+$E$2+$G$2+SUM($I$5:$I931)-SUM($J$5:$J931))</f>
        <v/>
      </c>
      <c r="M931" s="24"/>
      <c r="N931" s="33" t="str">
        <f aca="false">IF($B931="","",IF(NOT(ISNUMBER($B931)),"日期格式不对",IF($C931="","未选资金账户",IF(AND(N($I931)=0,N($J931)=0),"收支都为空",IF(AND(N($I931)&gt;0,N($J931)&gt;0),"收支不能同时填",IF(AND($D931&lt;&gt;"",LEFT($O931,1)="⚠"),"项目编号不存在",IF(AND($M931="是",$F931=""),"工程回款必须填往来单位","√")))))))</f>
        <v/>
      </c>
      <c r="O931" s="34" t="str">
        <f aca="false">IF($D931="","",IFERROR(INDEX(项目档案!$B$6:$B$255,MATCH($D931,项目档案!$A$6:$A$255,0)),"⚠编号不存在"))</f>
        <v/>
      </c>
      <c r="P931" s="35" t="str">
        <f aca="false">IF($B931="","",TEXT($B931,"yyyy-mm"))</f>
        <v/>
      </c>
    </row>
    <row r="932" customFormat="false" ht="15.75" hidden="false" customHeight="true" outlineLevel="0" collapsed="false">
      <c r="A932" s="32" t="str">
        <f aca="false">IF($B932="","",ROW()-4)</f>
        <v/>
      </c>
      <c r="B932" s="26"/>
      <c r="C932" s="21"/>
      <c r="D932" s="24"/>
      <c r="E932" s="21"/>
      <c r="F932" s="24"/>
      <c r="G932" s="21"/>
      <c r="H932" s="22"/>
      <c r="I932" s="27"/>
      <c r="J932" s="27"/>
      <c r="K932" s="36" t="str">
        <f aca="false">IF($B932="","",IF($C932="泓普",$C$2,IF($C932="仟茂",$E$2,IF($C932="现金",$G$2,0)))+SUMIFS($I$5:$I932,$C$5:$C932,$C932)-SUMIFS($J$5:$J932,$C$5:$C932,$C932))</f>
        <v/>
      </c>
      <c r="L932" s="36" t="str">
        <f aca="false">IF($B932="","",$C$2+$E$2+$G$2+SUM($I$5:$I932)-SUM($J$5:$J932))</f>
        <v/>
      </c>
      <c r="M932" s="24"/>
      <c r="N932" s="33" t="str">
        <f aca="false">IF($B932="","",IF(NOT(ISNUMBER($B932)),"日期格式不对",IF($C932="","未选资金账户",IF(AND(N($I932)=0,N($J932)=0),"收支都为空",IF(AND(N($I932)&gt;0,N($J932)&gt;0),"收支不能同时填",IF(AND($D932&lt;&gt;"",LEFT($O932,1)="⚠"),"项目编号不存在",IF(AND($M932="是",$F932=""),"工程回款必须填往来单位","√")))))))</f>
        <v/>
      </c>
      <c r="O932" s="34" t="str">
        <f aca="false">IF($D932="","",IFERROR(INDEX(项目档案!$B$6:$B$255,MATCH($D932,项目档案!$A$6:$A$255,0)),"⚠编号不存在"))</f>
        <v/>
      </c>
      <c r="P932" s="35" t="str">
        <f aca="false">IF($B932="","",TEXT($B932,"yyyy-mm"))</f>
        <v/>
      </c>
    </row>
    <row r="933" customFormat="false" ht="15.75" hidden="false" customHeight="true" outlineLevel="0" collapsed="false">
      <c r="A933" s="32" t="str">
        <f aca="false">IF($B933="","",ROW()-4)</f>
        <v/>
      </c>
      <c r="B933" s="26"/>
      <c r="C933" s="21"/>
      <c r="D933" s="24"/>
      <c r="E933" s="21"/>
      <c r="F933" s="24"/>
      <c r="G933" s="21"/>
      <c r="H933" s="22"/>
      <c r="I933" s="27"/>
      <c r="J933" s="27"/>
      <c r="K933" s="36" t="str">
        <f aca="false">IF($B933="","",IF($C933="泓普",$C$2,IF($C933="仟茂",$E$2,IF($C933="现金",$G$2,0)))+SUMIFS($I$5:$I933,$C$5:$C933,$C933)-SUMIFS($J$5:$J933,$C$5:$C933,$C933))</f>
        <v/>
      </c>
      <c r="L933" s="36" t="str">
        <f aca="false">IF($B933="","",$C$2+$E$2+$G$2+SUM($I$5:$I933)-SUM($J$5:$J933))</f>
        <v/>
      </c>
      <c r="M933" s="24"/>
      <c r="N933" s="33" t="str">
        <f aca="false">IF($B933="","",IF(NOT(ISNUMBER($B933)),"日期格式不对",IF($C933="","未选资金账户",IF(AND(N($I933)=0,N($J933)=0),"收支都为空",IF(AND(N($I933)&gt;0,N($J933)&gt;0),"收支不能同时填",IF(AND($D933&lt;&gt;"",LEFT($O933,1)="⚠"),"项目编号不存在",IF(AND($M933="是",$F933=""),"工程回款必须填往来单位","√")))))))</f>
        <v/>
      </c>
      <c r="O933" s="34" t="str">
        <f aca="false">IF($D933="","",IFERROR(INDEX(项目档案!$B$6:$B$255,MATCH($D933,项目档案!$A$6:$A$255,0)),"⚠编号不存在"))</f>
        <v/>
      </c>
      <c r="P933" s="35" t="str">
        <f aca="false">IF($B933="","",TEXT($B933,"yyyy-mm"))</f>
        <v/>
      </c>
    </row>
    <row r="934" customFormat="false" ht="15.75" hidden="false" customHeight="true" outlineLevel="0" collapsed="false">
      <c r="A934" s="32" t="str">
        <f aca="false">IF($B934="","",ROW()-4)</f>
        <v/>
      </c>
      <c r="B934" s="26"/>
      <c r="C934" s="21"/>
      <c r="D934" s="24"/>
      <c r="E934" s="21"/>
      <c r="F934" s="24"/>
      <c r="G934" s="21"/>
      <c r="H934" s="22"/>
      <c r="I934" s="27"/>
      <c r="J934" s="27"/>
      <c r="K934" s="36" t="str">
        <f aca="false">IF($B934="","",IF($C934="泓普",$C$2,IF($C934="仟茂",$E$2,IF($C934="现金",$G$2,0)))+SUMIFS($I$5:$I934,$C$5:$C934,$C934)-SUMIFS($J$5:$J934,$C$5:$C934,$C934))</f>
        <v/>
      </c>
      <c r="L934" s="36" t="str">
        <f aca="false">IF($B934="","",$C$2+$E$2+$G$2+SUM($I$5:$I934)-SUM($J$5:$J934))</f>
        <v/>
      </c>
      <c r="M934" s="24"/>
      <c r="N934" s="33" t="str">
        <f aca="false">IF($B934="","",IF(NOT(ISNUMBER($B934)),"日期格式不对",IF($C934="","未选资金账户",IF(AND(N($I934)=0,N($J934)=0),"收支都为空",IF(AND(N($I934)&gt;0,N($J934)&gt;0),"收支不能同时填",IF(AND($D934&lt;&gt;"",LEFT($O934,1)="⚠"),"项目编号不存在",IF(AND($M934="是",$F934=""),"工程回款必须填往来单位","√")))))))</f>
        <v/>
      </c>
      <c r="O934" s="34" t="str">
        <f aca="false">IF($D934="","",IFERROR(INDEX(项目档案!$B$6:$B$255,MATCH($D934,项目档案!$A$6:$A$255,0)),"⚠编号不存在"))</f>
        <v/>
      </c>
      <c r="P934" s="35" t="str">
        <f aca="false">IF($B934="","",TEXT($B934,"yyyy-mm"))</f>
        <v/>
      </c>
    </row>
    <row r="935" customFormat="false" ht="15.75" hidden="false" customHeight="true" outlineLevel="0" collapsed="false">
      <c r="A935" s="32" t="str">
        <f aca="false">IF($B935="","",ROW()-4)</f>
        <v/>
      </c>
      <c r="B935" s="26"/>
      <c r="C935" s="21"/>
      <c r="D935" s="24"/>
      <c r="E935" s="21"/>
      <c r="F935" s="24"/>
      <c r="G935" s="21"/>
      <c r="H935" s="22"/>
      <c r="I935" s="27"/>
      <c r="J935" s="27"/>
      <c r="K935" s="36" t="str">
        <f aca="false">IF($B935="","",IF($C935="泓普",$C$2,IF($C935="仟茂",$E$2,IF($C935="现金",$G$2,0)))+SUMIFS($I$5:$I935,$C$5:$C935,$C935)-SUMIFS($J$5:$J935,$C$5:$C935,$C935))</f>
        <v/>
      </c>
      <c r="L935" s="36" t="str">
        <f aca="false">IF($B935="","",$C$2+$E$2+$G$2+SUM($I$5:$I935)-SUM($J$5:$J935))</f>
        <v/>
      </c>
      <c r="M935" s="24"/>
      <c r="N935" s="33" t="str">
        <f aca="false">IF($B935="","",IF(NOT(ISNUMBER($B935)),"日期格式不对",IF($C935="","未选资金账户",IF(AND(N($I935)=0,N($J935)=0),"收支都为空",IF(AND(N($I935)&gt;0,N($J935)&gt;0),"收支不能同时填",IF(AND($D935&lt;&gt;"",LEFT($O935,1)="⚠"),"项目编号不存在",IF(AND($M935="是",$F935=""),"工程回款必须填往来单位","√")))))))</f>
        <v/>
      </c>
      <c r="O935" s="34" t="str">
        <f aca="false">IF($D935="","",IFERROR(INDEX(项目档案!$B$6:$B$255,MATCH($D935,项目档案!$A$6:$A$255,0)),"⚠编号不存在"))</f>
        <v/>
      </c>
      <c r="P935" s="35" t="str">
        <f aca="false">IF($B935="","",TEXT($B935,"yyyy-mm"))</f>
        <v/>
      </c>
    </row>
    <row r="936" customFormat="false" ht="15.75" hidden="false" customHeight="true" outlineLevel="0" collapsed="false">
      <c r="A936" s="32" t="str">
        <f aca="false">IF($B936="","",ROW()-4)</f>
        <v/>
      </c>
      <c r="B936" s="26"/>
      <c r="C936" s="21"/>
      <c r="D936" s="24"/>
      <c r="E936" s="21"/>
      <c r="F936" s="24"/>
      <c r="G936" s="21"/>
      <c r="H936" s="22"/>
      <c r="I936" s="27"/>
      <c r="J936" s="27"/>
      <c r="K936" s="36" t="str">
        <f aca="false">IF($B936="","",IF($C936="泓普",$C$2,IF($C936="仟茂",$E$2,IF($C936="现金",$G$2,0)))+SUMIFS($I$5:$I936,$C$5:$C936,$C936)-SUMIFS($J$5:$J936,$C$5:$C936,$C936))</f>
        <v/>
      </c>
      <c r="L936" s="36" t="str">
        <f aca="false">IF($B936="","",$C$2+$E$2+$G$2+SUM($I$5:$I936)-SUM($J$5:$J936))</f>
        <v/>
      </c>
      <c r="M936" s="24"/>
      <c r="N936" s="33" t="str">
        <f aca="false">IF($B936="","",IF(NOT(ISNUMBER($B936)),"日期格式不对",IF($C936="","未选资金账户",IF(AND(N($I936)=0,N($J936)=0),"收支都为空",IF(AND(N($I936)&gt;0,N($J936)&gt;0),"收支不能同时填",IF(AND($D936&lt;&gt;"",LEFT($O936,1)="⚠"),"项目编号不存在",IF(AND($M936="是",$F936=""),"工程回款必须填往来单位","√")))))))</f>
        <v/>
      </c>
      <c r="O936" s="34" t="str">
        <f aca="false">IF($D936="","",IFERROR(INDEX(项目档案!$B$6:$B$255,MATCH($D936,项目档案!$A$6:$A$255,0)),"⚠编号不存在"))</f>
        <v/>
      </c>
      <c r="P936" s="35" t="str">
        <f aca="false">IF($B936="","",TEXT($B936,"yyyy-mm"))</f>
        <v/>
      </c>
    </row>
    <row r="937" customFormat="false" ht="15.75" hidden="false" customHeight="true" outlineLevel="0" collapsed="false">
      <c r="A937" s="32" t="str">
        <f aca="false">IF($B937="","",ROW()-4)</f>
        <v/>
      </c>
      <c r="B937" s="26"/>
      <c r="C937" s="21"/>
      <c r="D937" s="24"/>
      <c r="E937" s="21"/>
      <c r="F937" s="24"/>
      <c r="G937" s="21"/>
      <c r="H937" s="22"/>
      <c r="I937" s="27"/>
      <c r="J937" s="27"/>
      <c r="K937" s="36" t="str">
        <f aca="false">IF($B937="","",IF($C937="泓普",$C$2,IF($C937="仟茂",$E$2,IF($C937="现金",$G$2,0)))+SUMIFS($I$5:$I937,$C$5:$C937,$C937)-SUMIFS($J$5:$J937,$C$5:$C937,$C937))</f>
        <v/>
      </c>
      <c r="L937" s="36" t="str">
        <f aca="false">IF($B937="","",$C$2+$E$2+$G$2+SUM($I$5:$I937)-SUM($J$5:$J937))</f>
        <v/>
      </c>
      <c r="M937" s="24"/>
      <c r="N937" s="33" t="str">
        <f aca="false">IF($B937="","",IF(NOT(ISNUMBER($B937)),"日期格式不对",IF($C937="","未选资金账户",IF(AND(N($I937)=0,N($J937)=0),"收支都为空",IF(AND(N($I937)&gt;0,N($J937)&gt;0),"收支不能同时填",IF(AND($D937&lt;&gt;"",LEFT($O937,1)="⚠"),"项目编号不存在",IF(AND($M937="是",$F937=""),"工程回款必须填往来单位","√")))))))</f>
        <v/>
      </c>
      <c r="O937" s="34" t="str">
        <f aca="false">IF($D937="","",IFERROR(INDEX(项目档案!$B$6:$B$255,MATCH($D937,项目档案!$A$6:$A$255,0)),"⚠编号不存在"))</f>
        <v/>
      </c>
      <c r="P937" s="35" t="str">
        <f aca="false">IF($B937="","",TEXT($B937,"yyyy-mm"))</f>
        <v/>
      </c>
    </row>
    <row r="938" customFormat="false" ht="15.75" hidden="false" customHeight="true" outlineLevel="0" collapsed="false">
      <c r="A938" s="32" t="str">
        <f aca="false">IF($B938="","",ROW()-4)</f>
        <v/>
      </c>
      <c r="B938" s="26"/>
      <c r="C938" s="21"/>
      <c r="D938" s="24"/>
      <c r="E938" s="21"/>
      <c r="F938" s="24"/>
      <c r="G938" s="21"/>
      <c r="H938" s="22"/>
      <c r="I938" s="27"/>
      <c r="J938" s="27"/>
      <c r="K938" s="36" t="str">
        <f aca="false">IF($B938="","",IF($C938="泓普",$C$2,IF($C938="仟茂",$E$2,IF($C938="现金",$G$2,0)))+SUMIFS($I$5:$I938,$C$5:$C938,$C938)-SUMIFS($J$5:$J938,$C$5:$C938,$C938))</f>
        <v/>
      </c>
      <c r="L938" s="36" t="str">
        <f aca="false">IF($B938="","",$C$2+$E$2+$G$2+SUM($I$5:$I938)-SUM($J$5:$J938))</f>
        <v/>
      </c>
      <c r="M938" s="24"/>
      <c r="N938" s="33" t="str">
        <f aca="false">IF($B938="","",IF(NOT(ISNUMBER($B938)),"日期格式不对",IF($C938="","未选资金账户",IF(AND(N($I938)=0,N($J938)=0),"收支都为空",IF(AND(N($I938)&gt;0,N($J938)&gt;0),"收支不能同时填",IF(AND($D938&lt;&gt;"",LEFT($O938,1)="⚠"),"项目编号不存在",IF(AND($M938="是",$F938=""),"工程回款必须填往来单位","√")))))))</f>
        <v/>
      </c>
      <c r="O938" s="34" t="str">
        <f aca="false">IF($D938="","",IFERROR(INDEX(项目档案!$B$6:$B$255,MATCH($D938,项目档案!$A$6:$A$255,0)),"⚠编号不存在"))</f>
        <v/>
      </c>
      <c r="P938" s="35" t="str">
        <f aca="false">IF($B938="","",TEXT($B938,"yyyy-mm"))</f>
        <v/>
      </c>
    </row>
    <row r="939" customFormat="false" ht="15.75" hidden="false" customHeight="true" outlineLevel="0" collapsed="false">
      <c r="A939" s="32" t="str">
        <f aca="false">IF($B939="","",ROW()-4)</f>
        <v/>
      </c>
      <c r="B939" s="26"/>
      <c r="C939" s="21"/>
      <c r="D939" s="24"/>
      <c r="E939" s="21"/>
      <c r="F939" s="24"/>
      <c r="G939" s="21"/>
      <c r="H939" s="22"/>
      <c r="I939" s="27"/>
      <c r="J939" s="27"/>
      <c r="K939" s="36" t="str">
        <f aca="false">IF($B939="","",IF($C939="泓普",$C$2,IF($C939="仟茂",$E$2,IF($C939="现金",$G$2,0)))+SUMIFS($I$5:$I939,$C$5:$C939,$C939)-SUMIFS($J$5:$J939,$C$5:$C939,$C939))</f>
        <v/>
      </c>
      <c r="L939" s="36" t="str">
        <f aca="false">IF($B939="","",$C$2+$E$2+$G$2+SUM($I$5:$I939)-SUM($J$5:$J939))</f>
        <v/>
      </c>
      <c r="M939" s="24"/>
      <c r="N939" s="33" t="str">
        <f aca="false">IF($B939="","",IF(NOT(ISNUMBER($B939)),"日期格式不对",IF($C939="","未选资金账户",IF(AND(N($I939)=0,N($J939)=0),"收支都为空",IF(AND(N($I939)&gt;0,N($J939)&gt;0),"收支不能同时填",IF(AND($D939&lt;&gt;"",LEFT($O939,1)="⚠"),"项目编号不存在",IF(AND($M939="是",$F939=""),"工程回款必须填往来单位","√")))))))</f>
        <v/>
      </c>
      <c r="O939" s="34" t="str">
        <f aca="false">IF($D939="","",IFERROR(INDEX(项目档案!$B$6:$B$255,MATCH($D939,项目档案!$A$6:$A$255,0)),"⚠编号不存在"))</f>
        <v/>
      </c>
      <c r="P939" s="35" t="str">
        <f aca="false">IF($B939="","",TEXT($B939,"yyyy-mm"))</f>
        <v/>
      </c>
    </row>
    <row r="940" customFormat="false" ht="15.75" hidden="false" customHeight="true" outlineLevel="0" collapsed="false">
      <c r="A940" s="32" t="str">
        <f aca="false">IF($B940="","",ROW()-4)</f>
        <v/>
      </c>
      <c r="B940" s="26"/>
      <c r="C940" s="21"/>
      <c r="D940" s="24"/>
      <c r="E940" s="21"/>
      <c r="F940" s="24"/>
      <c r="G940" s="21"/>
      <c r="H940" s="22"/>
      <c r="I940" s="27"/>
      <c r="J940" s="27"/>
      <c r="K940" s="36" t="str">
        <f aca="false">IF($B940="","",IF($C940="泓普",$C$2,IF($C940="仟茂",$E$2,IF($C940="现金",$G$2,0)))+SUMIFS($I$5:$I940,$C$5:$C940,$C940)-SUMIFS($J$5:$J940,$C$5:$C940,$C940))</f>
        <v/>
      </c>
      <c r="L940" s="36" t="str">
        <f aca="false">IF($B940="","",$C$2+$E$2+$G$2+SUM($I$5:$I940)-SUM($J$5:$J940))</f>
        <v/>
      </c>
      <c r="M940" s="24"/>
      <c r="N940" s="33" t="str">
        <f aca="false">IF($B940="","",IF(NOT(ISNUMBER($B940)),"日期格式不对",IF($C940="","未选资金账户",IF(AND(N($I940)=0,N($J940)=0),"收支都为空",IF(AND(N($I940)&gt;0,N($J940)&gt;0),"收支不能同时填",IF(AND($D940&lt;&gt;"",LEFT($O940,1)="⚠"),"项目编号不存在",IF(AND($M940="是",$F940=""),"工程回款必须填往来单位","√")))))))</f>
        <v/>
      </c>
      <c r="O940" s="34" t="str">
        <f aca="false">IF($D940="","",IFERROR(INDEX(项目档案!$B$6:$B$255,MATCH($D940,项目档案!$A$6:$A$255,0)),"⚠编号不存在"))</f>
        <v/>
      </c>
      <c r="P940" s="35" t="str">
        <f aca="false">IF($B940="","",TEXT($B940,"yyyy-mm"))</f>
        <v/>
      </c>
    </row>
    <row r="941" customFormat="false" ht="15.75" hidden="false" customHeight="true" outlineLevel="0" collapsed="false">
      <c r="A941" s="32" t="str">
        <f aca="false">IF($B941="","",ROW()-4)</f>
        <v/>
      </c>
      <c r="B941" s="26"/>
      <c r="C941" s="21"/>
      <c r="D941" s="24"/>
      <c r="E941" s="21"/>
      <c r="F941" s="24"/>
      <c r="G941" s="21"/>
      <c r="H941" s="22"/>
      <c r="I941" s="27"/>
      <c r="J941" s="27"/>
      <c r="K941" s="36" t="str">
        <f aca="false">IF($B941="","",IF($C941="泓普",$C$2,IF($C941="仟茂",$E$2,IF($C941="现金",$G$2,0)))+SUMIFS($I$5:$I941,$C$5:$C941,$C941)-SUMIFS($J$5:$J941,$C$5:$C941,$C941))</f>
        <v/>
      </c>
      <c r="L941" s="36" t="str">
        <f aca="false">IF($B941="","",$C$2+$E$2+$G$2+SUM($I$5:$I941)-SUM($J$5:$J941))</f>
        <v/>
      </c>
      <c r="M941" s="24"/>
      <c r="N941" s="33" t="str">
        <f aca="false">IF($B941="","",IF(NOT(ISNUMBER($B941)),"日期格式不对",IF($C941="","未选资金账户",IF(AND(N($I941)=0,N($J941)=0),"收支都为空",IF(AND(N($I941)&gt;0,N($J941)&gt;0),"收支不能同时填",IF(AND($D941&lt;&gt;"",LEFT($O941,1)="⚠"),"项目编号不存在",IF(AND($M941="是",$F941=""),"工程回款必须填往来单位","√")))))))</f>
        <v/>
      </c>
      <c r="O941" s="34" t="str">
        <f aca="false">IF($D941="","",IFERROR(INDEX(项目档案!$B$6:$B$255,MATCH($D941,项目档案!$A$6:$A$255,0)),"⚠编号不存在"))</f>
        <v/>
      </c>
      <c r="P941" s="35" t="str">
        <f aca="false">IF($B941="","",TEXT($B941,"yyyy-mm"))</f>
        <v/>
      </c>
    </row>
    <row r="942" customFormat="false" ht="15.75" hidden="false" customHeight="true" outlineLevel="0" collapsed="false">
      <c r="A942" s="32" t="str">
        <f aca="false">IF($B942="","",ROW()-4)</f>
        <v/>
      </c>
      <c r="B942" s="26"/>
      <c r="C942" s="21"/>
      <c r="D942" s="24"/>
      <c r="E942" s="21"/>
      <c r="F942" s="24"/>
      <c r="G942" s="21"/>
      <c r="H942" s="22"/>
      <c r="I942" s="27"/>
      <c r="J942" s="27"/>
      <c r="K942" s="36" t="str">
        <f aca="false">IF($B942="","",IF($C942="泓普",$C$2,IF($C942="仟茂",$E$2,IF($C942="现金",$G$2,0)))+SUMIFS($I$5:$I942,$C$5:$C942,$C942)-SUMIFS($J$5:$J942,$C$5:$C942,$C942))</f>
        <v/>
      </c>
      <c r="L942" s="36" t="str">
        <f aca="false">IF($B942="","",$C$2+$E$2+$G$2+SUM($I$5:$I942)-SUM($J$5:$J942))</f>
        <v/>
      </c>
      <c r="M942" s="24"/>
      <c r="N942" s="33" t="str">
        <f aca="false">IF($B942="","",IF(NOT(ISNUMBER($B942)),"日期格式不对",IF($C942="","未选资金账户",IF(AND(N($I942)=0,N($J942)=0),"收支都为空",IF(AND(N($I942)&gt;0,N($J942)&gt;0),"收支不能同时填",IF(AND($D942&lt;&gt;"",LEFT($O942,1)="⚠"),"项目编号不存在",IF(AND($M942="是",$F942=""),"工程回款必须填往来单位","√")))))))</f>
        <v/>
      </c>
      <c r="O942" s="34" t="str">
        <f aca="false">IF($D942="","",IFERROR(INDEX(项目档案!$B$6:$B$255,MATCH($D942,项目档案!$A$6:$A$255,0)),"⚠编号不存在"))</f>
        <v/>
      </c>
      <c r="P942" s="35" t="str">
        <f aca="false">IF($B942="","",TEXT($B942,"yyyy-mm"))</f>
        <v/>
      </c>
    </row>
    <row r="943" customFormat="false" ht="15.75" hidden="false" customHeight="true" outlineLevel="0" collapsed="false">
      <c r="A943" s="32" t="str">
        <f aca="false">IF($B943="","",ROW()-4)</f>
        <v/>
      </c>
      <c r="B943" s="26"/>
      <c r="C943" s="21"/>
      <c r="D943" s="24"/>
      <c r="E943" s="21"/>
      <c r="F943" s="24"/>
      <c r="G943" s="21"/>
      <c r="H943" s="22"/>
      <c r="I943" s="27"/>
      <c r="J943" s="27"/>
      <c r="K943" s="36" t="str">
        <f aca="false">IF($B943="","",IF($C943="泓普",$C$2,IF($C943="仟茂",$E$2,IF($C943="现金",$G$2,0)))+SUMIFS($I$5:$I943,$C$5:$C943,$C943)-SUMIFS($J$5:$J943,$C$5:$C943,$C943))</f>
        <v/>
      </c>
      <c r="L943" s="36" t="str">
        <f aca="false">IF($B943="","",$C$2+$E$2+$G$2+SUM($I$5:$I943)-SUM($J$5:$J943))</f>
        <v/>
      </c>
      <c r="M943" s="24"/>
      <c r="N943" s="33" t="str">
        <f aca="false">IF($B943="","",IF(NOT(ISNUMBER($B943)),"日期格式不对",IF($C943="","未选资金账户",IF(AND(N($I943)=0,N($J943)=0),"收支都为空",IF(AND(N($I943)&gt;0,N($J943)&gt;0),"收支不能同时填",IF(AND($D943&lt;&gt;"",LEFT($O943,1)="⚠"),"项目编号不存在",IF(AND($M943="是",$F943=""),"工程回款必须填往来单位","√")))))))</f>
        <v/>
      </c>
      <c r="O943" s="34" t="str">
        <f aca="false">IF($D943="","",IFERROR(INDEX(项目档案!$B$6:$B$255,MATCH($D943,项目档案!$A$6:$A$255,0)),"⚠编号不存在"))</f>
        <v/>
      </c>
      <c r="P943" s="35" t="str">
        <f aca="false">IF($B943="","",TEXT($B943,"yyyy-mm"))</f>
        <v/>
      </c>
    </row>
    <row r="944" customFormat="false" ht="15.75" hidden="false" customHeight="true" outlineLevel="0" collapsed="false">
      <c r="A944" s="32" t="str">
        <f aca="false">IF($B944="","",ROW()-4)</f>
        <v/>
      </c>
      <c r="B944" s="26"/>
      <c r="C944" s="21"/>
      <c r="D944" s="24"/>
      <c r="E944" s="21"/>
      <c r="F944" s="24"/>
      <c r="G944" s="21"/>
      <c r="H944" s="22"/>
      <c r="I944" s="27"/>
      <c r="J944" s="27"/>
      <c r="K944" s="36" t="str">
        <f aca="false">IF($B944="","",IF($C944="泓普",$C$2,IF($C944="仟茂",$E$2,IF($C944="现金",$G$2,0)))+SUMIFS($I$5:$I944,$C$5:$C944,$C944)-SUMIFS($J$5:$J944,$C$5:$C944,$C944))</f>
        <v/>
      </c>
      <c r="L944" s="36" t="str">
        <f aca="false">IF($B944="","",$C$2+$E$2+$G$2+SUM($I$5:$I944)-SUM($J$5:$J944))</f>
        <v/>
      </c>
      <c r="M944" s="24"/>
      <c r="N944" s="33" t="str">
        <f aca="false">IF($B944="","",IF(NOT(ISNUMBER($B944)),"日期格式不对",IF($C944="","未选资金账户",IF(AND(N($I944)=0,N($J944)=0),"收支都为空",IF(AND(N($I944)&gt;0,N($J944)&gt;0),"收支不能同时填",IF(AND($D944&lt;&gt;"",LEFT($O944,1)="⚠"),"项目编号不存在",IF(AND($M944="是",$F944=""),"工程回款必须填往来单位","√")))))))</f>
        <v/>
      </c>
      <c r="O944" s="34" t="str">
        <f aca="false">IF($D944="","",IFERROR(INDEX(项目档案!$B$6:$B$255,MATCH($D944,项目档案!$A$6:$A$255,0)),"⚠编号不存在"))</f>
        <v/>
      </c>
      <c r="P944" s="35" t="str">
        <f aca="false">IF($B944="","",TEXT($B944,"yyyy-mm"))</f>
        <v/>
      </c>
    </row>
    <row r="945" customFormat="false" ht="15.75" hidden="false" customHeight="true" outlineLevel="0" collapsed="false">
      <c r="A945" s="32" t="str">
        <f aca="false">IF($B945="","",ROW()-4)</f>
        <v/>
      </c>
      <c r="B945" s="26"/>
      <c r="C945" s="21"/>
      <c r="D945" s="24"/>
      <c r="E945" s="21"/>
      <c r="F945" s="24"/>
      <c r="G945" s="21"/>
      <c r="H945" s="22"/>
      <c r="I945" s="27"/>
      <c r="J945" s="27"/>
      <c r="K945" s="36" t="str">
        <f aca="false">IF($B945="","",IF($C945="泓普",$C$2,IF($C945="仟茂",$E$2,IF($C945="现金",$G$2,0)))+SUMIFS($I$5:$I945,$C$5:$C945,$C945)-SUMIFS($J$5:$J945,$C$5:$C945,$C945))</f>
        <v/>
      </c>
      <c r="L945" s="36" t="str">
        <f aca="false">IF($B945="","",$C$2+$E$2+$G$2+SUM($I$5:$I945)-SUM($J$5:$J945))</f>
        <v/>
      </c>
      <c r="M945" s="24"/>
      <c r="N945" s="33" t="str">
        <f aca="false">IF($B945="","",IF(NOT(ISNUMBER($B945)),"日期格式不对",IF($C945="","未选资金账户",IF(AND(N($I945)=0,N($J945)=0),"收支都为空",IF(AND(N($I945)&gt;0,N($J945)&gt;0),"收支不能同时填",IF(AND($D945&lt;&gt;"",LEFT($O945,1)="⚠"),"项目编号不存在",IF(AND($M945="是",$F945=""),"工程回款必须填往来单位","√")))))))</f>
        <v/>
      </c>
      <c r="O945" s="34" t="str">
        <f aca="false">IF($D945="","",IFERROR(INDEX(项目档案!$B$6:$B$255,MATCH($D945,项目档案!$A$6:$A$255,0)),"⚠编号不存在"))</f>
        <v/>
      </c>
      <c r="P945" s="35" t="str">
        <f aca="false">IF($B945="","",TEXT($B945,"yyyy-mm"))</f>
        <v/>
      </c>
    </row>
    <row r="946" customFormat="false" ht="15.75" hidden="false" customHeight="true" outlineLevel="0" collapsed="false">
      <c r="A946" s="32" t="str">
        <f aca="false">IF($B946="","",ROW()-4)</f>
        <v/>
      </c>
      <c r="B946" s="26"/>
      <c r="C946" s="21"/>
      <c r="D946" s="24"/>
      <c r="E946" s="21"/>
      <c r="F946" s="24"/>
      <c r="G946" s="21"/>
      <c r="H946" s="22"/>
      <c r="I946" s="27"/>
      <c r="J946" s="27"/>
      <c r="K946" s="36" t="str">
        <f aca="false">IF($B946="","",IF($C946="泓普",$C$2,IF($C946="仟茂",$E$2,IF($C946="现金",$G$2,0)))+SUMIFS($I$5:$I946,$C$5:$C946,$C946)-SUMIFS($J$5:$J946,$C$5:$C946,$C946))</f>
        <v/>
      </c>
      <c r="L946" s="36" t="str">
        <f aca="false">IF($B946="","",$C$2+$E$2+$G$2+SUM($I$5:$I946)-SUM($J$5:$J946))</f>
        <v/>
      </c>
      <c r="M946" s="24"/>
      <c r="N946" s="33" t="str">
        <f aca="false">IF($B946="","",IF(NOT(ISNUMBER($B946)),"日期格式不对",IF($C946="","未选资金账户",IF(AND(N($I946)=0,N($J946)=0),"收支都为空",IF(AND(N($I946)&gt;0,N($J946)&gt;0),"收支不能同时填",IF(AND($D946&lt;&gt;"",LEFT($O946,1)="⚠"),"项目编号不存在",IF(AND($M946="是",$F946=""),"工程回款必须填往来单位","√")))))))</f>
        <v/>
      </c>
      <c r="O946" s="34" t="str">
        <f aca="false">IF($D946="","",IFERROR(INDEX(项目档案!$B$6:$B$255,MATCH($D946,项目档案!$A$6:$A$255,0)),"⚠编号不存在"))</f>
        <v/>
      </c>
      <c r="P946" s="35" t="str">
        <f aca="false">IF($B946="","",TEXT($B946,"yyyy-mm"))</f>
        <v/>
      </c>
    </row>
    <row r="947" customFormat="false" ht="15.75" hidden="false" customHeight="true" outlineLevel="0" collapsed="false">
      <c r="A947" s="32" t="str">
        <f aca="false">IF($B947="","",ROW()-4)</f>
        <v/>
      </c>
      <c r="B947" s="26"/>
      <c r="C947" s="21"/>
      <c r="D947" s="24"/>
      <c r="E947" s="21"/>
      <c r="F947" s="24"/>
      <c r="G947" s="21"/>
      <c r="H947" s="22"/>
      <c r="I947" s="27"/>
      <c r="J947" s="27"/>
      <c r="K947" s="36" t="str">
        <f aca="false">IF($B947="","",IF($C947="泓普",$C$2,IF($C947="仟茂",$E$2,IF($C947="现金",$G$2,0)))+SUMIFS($I$5:$I947,$C$5:$C947,$C947)-SUMIFS($J$5:$J947,$C$5:$C947,$C947))</f>
        <v/>
      </c>
      <c r="L947" s="36" t="str">
        <f aca="false">IF($B947="","",$C$2+$E$2+$G$2+SUM($I$5:$I947)-SUM($J$5:$J947))</f>
        <v/>
      </c>
      <c r="M947" s="24"/>
      <c r="N947" s="33" t="str">
        <f aca="false">IF($B947="","",IF(NOT(ISNUMBER($B947)),"日期格式不对",IF($C947="","未选资金账户",IF(AND(N($I947)=0,N($J947)=0),"收支都为空",IF(AND(N($I947)&gt;0,N($J947)&gt;0),"收支不能同时填",IF(AND($D947&lt;&gt;"",LEFT($O947,1)="⚠"),"项目编号不存在",IF(AND($M947="是",$F947=""),"工程回款必须填往来单位","√")))))))</f>
        <v/>
      </c>
      <c r="O947" s="34" t="str">
        <f aca="false">IF($D947="","",IFERROR(INDEX(项目档案!$B$6:$B$255,MATCH($D947,项目档案!$A$6:$A$255,0)),"⚠编号不存在"))</f>
        <v/>
      </c>
      <c r="P947" s="35" t="str">
        <f aca="false">IF($B947="","",TEXT($B947,"yyyy-mm"))</f>
        <v/>
      </c>
    </row>
    <row r="948" customFormat="false" ht="15.75" hidden="false" customHeight="true" outlineLevel="0" collapsed="false">
      <c r="A948" s="32" t="str">
        <f aca="false">IF($B948="","",ROW()-4)</f>
        <v/>
      </c>
      <c r="B948" s="26"/>
      <c r="C948" s="21"/>
      <c r="D948" s="24"/>
      <c r="E948" s="21"/>
      <c r="F948" s="24"/>
      <c r="G948" s="21"/>
      <c r="H948" s="22"/>
      <c r="I948" s="27"/>
      <c r="J948" s="27"/>
      <c r="K948" s="36" t="str">
        <f aca="false">IF($B948="","",IF($C948="泓普",$C$2,IF($C948="仟茂",$E$2,IF($C948="现金",$G$2,0)))+SUMIFS($I$5:$I948,$C$5:$C948,$C948)-SUMIFS($J$5:$J948,$C$5:$C948,$C948))</f>
        <v/>
      </c>
      <c r="L948" s="36" t="str">
        <f aca="false">IF($B948="","",$C$2+$E$2+$G$2+SUM($I$5:$I948)-SUM($J$5:$J948))</f>
        <v/>
      </c>
      <c r="M948" s="24"/>
      <c r="N948" s="33" t="str">
        <f aca="false">IF($B948="","",IF(NOT(ISNUMBER($B948)),"日期格式不对",IF($C948="","未选资金账户",IF(AND(N($I948)=0,N($J948)=0),"收支都为空",IF(AND(N($I948)&gt;0,N($J948)&gt;0),"收支不能同时填",IF(AND($D948&lt;&gt;"",LEFT($O948,1)="⚠"),"项目编号不存在",IF(AND($M948="是",$F948=""),"工程回款必须填往来单位","√")))))))</f>
        <v/>
      </c>
      <c r="O948" s="34" t="str">
        <f aca="false">IF($D948="","",IFERROR(INDEX(项目档案!$B$6:$B$255,MATCH($D948,项目档案!$A$6:$A$255,0)),"⚠编号不存在"))</f>
        <v/>
      </c>
      <c r="P948" s="35" t="str">
        <f aca="false">IF($B948="","",TEXT($B948,"yyyy-mm"))</f>
        <v/>
      </c>
    </row>
    <row r="949" customFormat="false" ht="15.75" hidden="false" customHeight="true" outlineLevel="0" collapsed="false">
      <c r="A949" s="32" t="str">
        <f aca="false">IF($B949="","",ROW()-4)</f>
        <v/>
      </c>
      <c r="B949" s="26"/>
      <c r="C949" s="21"/>
      <c r="D949" s="24"/>
      <c r="E949" s="21"/>
      <c r="F949" s="24"/>
      <c r="G949" s="21"/>
      <c r="H949" s="22"/>
      <c r="I949" s="27"/>
      <c r="J949" s="27"/>
      <c r="K949" s="36" t="str">
        <f aca="false">IF($B949="","",IF($C949="泓普",$C$2,IF($C949="仟茂",$E$2,IF($C949="现金",$G$2,0)))+SUMIFS($I$5:$I949,$C$5:$C949,$C949)-SUMIFS($J$5:$J949,$C$5:$C949,$C949))</f>
        <v/>
      </c>
      <c r="L949" s="36" t="str">
        <f aca="false">IF($B949="","",$C$2+$E$2+$G$2+SUM($I$5:$I949)-SUM($J$5:$J949))</f>
        <v/>
      </c>
      <c r="M949" s="24"/>
      <c r="N949" s="33" t="str">
        <f aca="false">IF($B949="","",IF(NOT(ISNUMBER($B949)),"日期格式不对",IF($C949="","未选资金账户",IF(AND(N($I949)=0,N($J949)=0),"收支都为空",IF(AND(N($I949)&gt;0,N($J949)&gt;0),"收支不能同时填",IF(AND($D949&lt;&gt;"",LEFT($O949,1)="⚠"),"项目编号不存在",IF(AND($M949="是",$F949=""),"工程回款必须填往来单位","√")))))))</f>
        <v/>
      </c>
      <c r="O949" s="34" t="str">
        <f aca="false">IF($D949="","",IFERROR(INDEX(项目档案!$B$6:$B$255,MATCH($D949,项目档案!$A$6:$A$255,0)),"⚠编号不存在"))</f>
        <v/>
      </c>
      <c r="P949" s="35" t="str">
        <f aca="false">IF($B949="","",TEXT($B949,"yyyy-mm"))</f>
        <v/>
      </c>
    </row>
    <row r="950" customFormat="false" ht="15.75" hidden="false" customHeight="true" outlineLevel="0" collapsed="false">
      <c r="A950" s="32" t="str">
        <f aca="false">IF($B950="","",ROW()-4)</f>
        <v/>
      </c>
      <c r="B950" s="26"/>
      <c r="C950" s="21"/>
      <c r="D950" s="24"/>
      <c r="E950" s="21"/>
      <c r="F950" s="24"/>
      <c r="G950" s="21"/>
      <c r="H950" s="22"/>
      <c r="I950" s="27"/>
      <c r="J950" s="27"/>
      <c r="K950" s="36" t="str">
        <f aca="false">IF($B950="","",IF($C950="泓普",$C$2,IF($C950="仟茂",$E$2,IF($C950="现金",$G$2,0)))+SUMIFS($I$5:$I950,$C$5:$C950,$C950)-SUMIFS($J$5:$J950,$C$5:$C950,$C950))</f>
        <v/>
      </c>
      <c r="L950" s="36" t="str">
        <f aca="false">IF($B950="","",$C$2+$E$2+$G$2+SUM($I$5:$I950)-SUM($J$5:$J950))</f>
        <v/>
      </c>
      <c r="M950" s="24"/>
      <c r="N950" s="33" t="str">
        <f aca="false">IF($B950="","",IF(NOT(ISNUMBER($B950)),"日期格式不对",IF($C950="","未选资金账户",IF(AND(N($I950)=0,N($J950)=0),"收支都为空",IF(AND(N($I950)&gt;0,N($J950)&gt;0),"收支不能同时填",IF(AND($D950&lt;&gt;"",LEFT($O950,1)="⚠"),"项目编号不存在",IF(AND($M950="是",$F950=""),"工程回款必须填往来单位","√")))))))</f>
        <v/>
      </c>
      <c r="O950" s="34" t="str">
        <f aca="false">IF($D950="","",IFERROR(INDEX(项目档案!$B$6:$B$255,MATCH($D950,项目档案!$A$6:$A$255,0)),"⚠编号不存在"))</f>
        <v/>
      </c>
      <c r="P950" s="35" t="str">
        <f aca="false">IF($B950="","",TEXT($B950,"yyyy-mm"))</f>
        <v/>
      </c>
    </row>
    <row r="951" customFormat="false" ht="15.75" hidden="false" customHeight="true" outlineLevel="0" collapsed="false">
      <c r="A951" s="32" t="str">
        <f aca="false">IF($B951="","",ROW()-4)</f>
        <v/>
      </c>
      <c r="B951" s="26"/>
      <c r="C951" s="21"/>
      <c r="D951" s="24"/>
      <c r="E951" s="21"/>
      <c r="F951" s="24"/>
      <c r="G951" s="21"/>
      <c r="H951" s="22"/>
      <c r="I951" s="27"/>
      <c r="J951" s="27"/>
      <c r="K951" s="36" t="str">
        <f aca="false">IF($B951="","",IF($C951="泓普",$C$2,IF($C951="仟茂",$E$2,IF($C951="现金",$G$2,0)))+SUMIFS($I$5:$I951,$C$5:$C951,$C951)-SUMIFS($J$5:$J951,$C$5:$C951,$C951))</f>
        <v/>
      </c>
      <c r="L951" s="36" t="str">
        <f aca="false">IF($B951="","",$C$2+$E$2+$G$2+SUM($I$5:$I951)-SUM($J$5:$J951))</f>
        <v/>
      </c>
      <c r="M951" s="24"/>
      <c r="N951" s="33" t="str">
        <f aca="false">IF($B951="","",IF(NOT(ISNUMBER($B951)),"日期格式不对",IF($C951="","未选资金账户",IF(AND(N($I951)=0,N($J951)=0),"收支都为空",IF(AND(N($I951)&gt;0,N($J951)&gt;0),"收支不能同时填",IF(AND($D951&lt;&gt;"",LEFT($O951,1)="⚠"),"项目编号不存在",IF(AND($M951="是",$F951=""),"工程回款必须填往来单位","√")))))))</f>
        <v/>
      </c>
      <c r="O951" s="34" t="str">
        <f aca="false">IF($D951="","",IFERROR(INDEX(项目档案!$B$6:$B$255,MATCH($D951,项目档案!$A$6:$A$255,0)),"⚠编号不存在"))</f>
        <v/>
      </c>
      <c r="P951" s="35" t="str">
        <f aca="false">IF($B951="","",TEXT($B951,"yyyy-mm"))</f>
        <v/>
      </c>
    </row>
    <row r="952" customFormat="false" ht="15.75" hidden="false" customHeight="true" outlineLevel="0" collapsed="false">
      <c r="A952" s="32" t="str">
        <f aca="false">IF($B952="","",ROW()-4)</f>
        <v/>
      </c>
      <c r="B952" s="26"/>
      <c r="C952" s="21"/>
      <c r="D952" s="24"/>
      <c r="E952" s="21"/>
      <c r="F952" s="24"/>
      <c r="G952" s="21"/>
      <c r="H952" s="22"/>
      <c r="I952" s="27"/>
      <c r="J952" s="27"/>
      <c r="K952" s="36" t="str">
        <f aca="false">IF($B952="","",IF($C952="泓普",$C$2,IF($C952="仟茂",$E$2,IF($C952="现金",$G$2,0)))+SUMIFS($I$5:$I952,$C$5:$C952,$C952)-SUMIFS($J$5:$J952,$C$5:$C952,$C952))</f>
        <v/>
      </c>
      <c r="L952" s="36" t="str">
        <f aca="false">IF($B952="","",$C$2+$E$2+$G$2+SUM($I$5:$I952)-SUM($J$5:$J952))</f>
        <v/>
      </c>
      <c r="M952" s="24"/>
      <c r="N952" s="33" t="str">
        <f aca="false">IF($B952="","",IF(NOT(ISNUMBER($B952)),"日期格式不对",IF($C952="","未选资金账户",IF(AND(N($I952)=0,N($J952)=0),"收支都为空",IF(AND(N($I952)&gt;0,N($J952)&gt;0),"收支不能同时填",IF(AND($D952&lt;&gt;"",LEFT($O952,1)="⚠"),"项目编号不存在",IF(AND($M952="是",$F952=""),"工程回款必须填往来单位","√")))))))</f>
        <v/>
      </c>
      <c r="O952" s="34" t="str">
        <f aca="false">IF($D952="","",IFERROR(INDEX(项目档案!$B$6:$B$255,MATCH($D952,项目档案!$A$6:$A$255,0)),"⚠编号不存在"))</f>
        <v/>
      </c>
      <c r="P952" s="35" t="str">
        <f aca="false">IF($B952="","",TEXT($B952,"yyyy-mm"))</f>
        <v/>
      </c>
    </row>
    <row r="953" customFormat="false" ht="15.75" hidden="false" customHeight="true" outlineLevel="0" collapsed="false">
      <c r="A953" s="32" t="str">
        <f aca="false">IF($B953="","",ROW()-4)</f>
        <v/>
      </c>
      <c r="B953" s="26"/>
      <c r="C953" s="21"/>
      <c r="D953" s="24"/>
      <c r="E953" s="21"/>
      <c r="F953" s="24"/>
      <c r="G953" s="21"/>
      <c r="H953" s="22"/>
      <c r="I953" s="27"/>
      <c r="J953" s="27"/>
      <c r="K953" s="36" t="str">
        <f aca="false">IF($B953="","",IF($C953="泓普",$C$2,IF($C953="仟茂",$E$2,IF($C953="现金",$G$2,0)))+SUMIFS($I$5:$I953,$C$5:$C953,$C953)-SUMIFS($J$5:$J953,$C$5:$C953,$C953))</f>
        <v/>
      </c>
      <c r="L953" s="36" t="str">
        <f aca="false">IF($B953="","",$C$2+$E$2+$G$2+SUM($I$5:$I953)-SUM($J$5:$J953))</f>
        <v/>
      </c>
      <c r="M953" s="24"/>
      <c r="N953" s="33" t="str">
        <f aca="false">IF($B953="","",IF(NOT(ISNUMBER($B953)),"日期格式不对",IF($C953="","未选资金账户",IF(AND(N($I953)=0,N($J953)=0),"收支都为空",IF(AND(N($I953)&gt;0,N($J953)&gt;0),"收支不能同时填",IF(AND($D953&lt;&gt;"",LEFT($O953,1)="⚠"),"项目编号不存在",IF(AND($M953="是",$F953=""),"工程回款必须填往来单位","√")))))))</f>
        <v/>
      </c>
      <c r="O953" s="34" t="str">
        <f aca="false">IF($D953="","",IFERROR(INDEX(项目档案!$B$6:$B$255,MATCH($D953,项目档案!$A$6:$A$255,0)),"⚠编号不存在"))</f>
        <v/>
      </c>
      <c r="P953" s="35" t="str">
        <f aca="false">IF($B953="","",TEXT($B953,"yyyy-mm"))</f>
        <v/>
      </c>
    </row>
    <row r="954" customFormat="false" ht="15.75" hidden="false" customHeight="true" outlineLevel="0" collapsed="false">
      <c r="A954" s="32" t="str">
        <f aca="false">IF($B954="","",ROW()-4)</f>
        <v/>
      </c>
      <c r="B954" s="26"/>
      <c r="C954" s="21"/>
      <c r="D954" s="24"/>
      <c r="E954" s="21"/>
      <c r="F954" s="24"/>
      <c r="G954" s="21"/>
      <c r="H954" s="22"/>
      <c r="I954" s="27"/>
      <c r="J954" s="27"/>
      <c r="K954" s="36" t="str">
        <f aca="false">IF($B954="","",IF($C954="泓普",$C$2,IF($C954="仟茂",$E$2,IF($C954="现金",$G$2,0)))+SUMIFS($I$5:$I954,$C$5:$C954,$C954)-SUMIFS($J$5:$J954,$C$5:$C954,$C954))</f>
        <v/>
      </c>
      <c r="L954" s="36" t="str">
        <f aca="false">IF($B954="","",$C$2+$E$2+$G$2+SUM($I$5:$I954)-SUM($J$5:$J954))</f>
        <v/>
      </c>
      <c r="M954" s="24"/>
      <c r="N954" s="33" t="str">
        <f aca="false">IF($B954="","",IF(NOT(ISNUMBER($B954)),"日期格式不对",IF($C954="","未选资金账户",IF(AND(N($I954)=0,N($J954)=0),"收支都为空",IF(AND(N($I954)&gt;0,N($J954)&gt;0),"收支不能同时填",IF(AND($D954&lt;&gt;"",LEFT($O954,1)="⚠"),"项目编号不存在",IF(AND($M954="是",$F954=""),"工程回款必须填往来单位","√")))))))</f>
        <v/>
      </c>
      <c r="O954" s="34" t="str">
        <f aca="false">IF($D954="","",IFERROR(INDEX(项目档案!$B$6:$B$255,MATCH($D954,项目档案!$A$6:$A$255,0)),"⚠编号不存在"))</f>
        <v/>
      </c>
      <c r="P954" s="35" t="str">
        <f aca="false">IF($B954="","",TEXT($B954,"yyyy-mm"))</f>
        <v/>
      </c>
    </row>
    <row r="955" customFormat="false" ht="15.75" hidden="false" customHeight="true" outlineLevel="0" collapsed="false">
      <c r="A955" s="32" t="str">
        <f aca="false">IF($B955="","",ROW()-4)</f>
        <v/>
      </c>
      <c r="B955" s="26"/>
      <c r="C955" s="21"/>
      <c r="D955" s="24"/>
      <c r="E955" s="21"/>
      <c r="F955" s="24"/>
      <c r="G955" s="21"/>
      <c r="H955" s="22"/>
      <c r="I955" s="27"/>
      <c r="J955" s="27"/>
      <c r="K955" s="36" t="str">
        <f aca="false">IF($B955="","",IF($C955="泓普",$C$2,IF($C955="仟茂",$E$2,IF($C955="现金",$G$2,0)))+SUMIFS($I$5:$I955,$C$5:$C955,$C955)-SUMIFS($J$5:$J955,$C$5:$C955,$C955))</f>
        <v/>
      </c>
      <c r="L955" s="36" t="str">
        <f aca="false">IF($B955="","",$C$2+$E$2+$G$2+SUM($I$5:$I955)-SUM($J$5:$J955))</f>
        <v/>
      </c>
      <c r="M955" s="24"/>
      <c r="N955" s="33" t="str">
        <f aca="false">IF($B955="","",IF(NOT(ISNUMBER($B955)),"日期格式不对",IF($C955="","未选资金账户",IF(AND(N($I955)=0,N($J955)=0),"收支都为空",IF(AND(N($I955)&gt;0,N($J955)&gt;0),"收支不能同时填",IF(AND($D955&lt;&gt;"",LEFT($O955,1)="⚠"),"项目编号不存在",IF(AND($M955="是",$F955=""),"工程回款必须填往来单位","√")))))))</f>
        <v/>
      </c>
      <c r="O955" s="34" t="str">
        <f aca="false">IF($D955="","",IFERROR(INDEX(项目档案!$B$6:$B$255,MATCH($D955,项目档案!$A$6:$A$255,0)),"⚠编号不存在"))</f>
        <v/>
      </c>
      <c r="P955" s="35" t="str">
        <f aca="false">IF($B955="","",TEXT($B955,"yyyy-mm"))</f>
        <v/>
      </c>
    </row>
    <row r="956" customFormat="false" ht="15.75" hidden="false" customHeight="true" outlineLevel="0" collapsed="false">
      <c r="A956" s="32" t="str">
        <f aca="false">IF($B956="","",ROW()-4)</f>
        <v/>
      </c>
      <c r="B956" s="26"/>
      <c r="C956" s="21"/>
      <c r="D956" s="24"/>
      <c r="E956" s="21"/>
      <c r="F956" s="24"/>
      <c r="G956" s="21"/>
      <c r="H956" s="22"/>
      <c r="I956" s="27"/>
      <c r="J956" s="27"/>
      <c r="K956" s="36" t="str">
        <f aca="false">IF($B956="","",IF($C956="泓普",$C$2,IF($C956="仟茂",$E$2,IF($C956="现金",$G$2,0)))+SUMIFS($I$5:$I956,$C$5:$C956,$C956)-SUMIFS($J$5:$J956,$C$5:$C956,$C956))</f>
        <v/>
      </c>
      <c r="L956" s="36" t="str">
        <f aca="false">IF($B956="","",$C$2+$E$2+$G$2+SUM($I$5:$I956)-SUM($J$5:$J956))</f>
        <v/>
      </c>
      <c r="M956" s="24"/>
      <c r="N956" s="33" t="str">
        <f aca="false">IF($B956="","",IF(NOT(ISNUMBER($B956)),"日期格式不对",IF($C956="","未选资金账户",IF(AND(N($I956)=0,N($J956)=0),"收支都为空",IF(AND(N($I956)&gt;0,N($J956)&gt;0),"收支不能同时填",IF(AND($D956&lt;&gt;"",LEFT($O956,1)="⚠"),"项目编号不存在",IF(AND($M956="是",$F956=""),"工程回款必须填往来单位","√")))))))</f>
        <v/>
      </c>
      <c r="O956" s="34" t="str">
        <f aca="false">IF($D956="","",IFERROR(INDEX(项目档案!$B$6:$B$255,MATCH($D956,项目档案!$A$6:$A$255,0)),"⚠编号不存在"))</f>
        <v/>
      </c>
      <c r="P956" s="35" t="str">
        <f aca="false">IF($B956="","",TEXT($B956,"yyyy-mm"))</f>
        <v/>
      </c>
    </row>
    <row r="957" customFormat="false" ht="15.75" hidden="false" customHeight="true" outlineLevel="0" collapsed="false">
      <c r="A957" s="32" t="str">
        <f aca="false">IF($B957="","",ROW()-4)</f>
        <v/>
      </c>
      <c r="B957" s="26"/>
      <c r="C957" s="21"/>
      <c r="D957" s="24"/>
      <c r="E957" s="21"/>
      <c r="F957" s="24"/>
      <c r="G957" s="21"/>
      <c r="H957" s="22"/>
      <c r="I957" s="27"/>
      <c r="J957" s="27"/>
      <c r="K957" s="36" t="str">
        <f aca="false">IF($B957="","",IF($C957="泓普",$C$2,IF($C957="仟茂",$E$2,IF($C957="现金",$G$2,0)))+SUMIFS($I$5:$I957,$C$5:$C957,$C957)-SUMIFS($J$5:$J957,$C$5:$C957,$C957))</f>
        <v/>
      </c>
      <c r="L957" s="36" t="str">
        <f aca="false">IF($B957="","",$C$2+$E$2+$G$2+SUM($I$5:$I957)-SUM($J$5:$J957))</f>
        <v/>
      </c>
      <c r="M957" s="24"/>
      <c r="N957" s="33" t="str">
        <f aca="false">IF($B957="","",IF(NOT(ISNUMBER($B957)),"日期格式不对",IF($C957="","未选资金账户",IF(AND(N($I957)=0,N($J957)=0),"收支都为空",IF(AND(N($I957)&gt;0,N($J957)&gt;0),"收支不能同时填",IF(AND($D957&lt;&gt;"",LEFT($O957,1)="⚠"),"项目编号不存在",IF(AND($M957="是",$F957=""),"工程回款必须填往来单位","√")))))))</f>
        <v/>
      </c>
      <c r="O957" s="34" t="str">
        <f aca="false">IF($D957="","",IFERROR(INDEX(项目档案!$B$6:$B$255,MATCH($D957,项目档案!$A$6:$A$255,0)),"⚠编号不存在"))</f>
        <v/>
      </c>
      <c r="P957" s="35" t="str">
        <f aca="false">IF($B957="","",TEXT($B957,"yyyy-mm"))</f>
        <v/>
      </c>
    </row>
    <row r="958" customFormat="false" ht="15.75" hidden="false" customHeight="true" outlineLevel="0" collapsed="false">
      <c r="A958" s="32" t="str">
        <f aca="false">IF($B958="","",ROW()-4)</f>
        <v/>
      </c>
      <c r="B958" s="26"/>
      <c r="C958" s="21"/>
      <c r="D958" s="24"/>
      <c r="E958" s="21"/>
      <c r="F958" s="24"/>
      <c r="G958" s="21"/>
      <c r="H958" s="22"/>
      <c r="I958" s="27"/>
      <c r="J958" s="27"/>
      <c r="K958" s="36" t="str">
        <f aca="false">IF($B958="","",IF($C958="泓普",$C$2,IF($C958="仟茂",$E$2,IF($C958="现金",$G$2,0)))+SUMIFS($I$5:$I958,$C$5:$C958,$C958)-SUMIFS($J$5:$J958,$C$5:$C958,$C958))</f>
        <v/>
      </c>
      <c r="L958" s="36" t="str">
        <f aca="false">IF($B958="","",$C$2+$E$2+$G$2+SUM($I$5:$I958)-SUM($J$5:$J958))</f>
        <v/>
      </c>
      <c r="M958" s="24"/>
      <c r="N958" s="33" t="str">
        <f aca="false">IF($B958="","",IF(NOT(ISNUMBER($B958)),"日期格式不对",IF($C958="","未选资金账户",IF(AND(N($I958)=0,N($J958)=0),"收支都为空",IF(AND(N($I958)&gt;0,N($J958)&gt;0),"收支不能同时填",IF(AND($D958&lt;&gt;"",LEFT($O958,1)="⚠"),"项目编号不存在",IF(AND($M958="是",$F958=""),"工程回款必须填往来单位","√")))))))</f>
        <v/>
      </c>
      <c r="O958" s="34" t="str">
        <f aca="false">IF($D958="","",IFERROR(INDEX(项目档案!$B$6:$B$255,MATCH($D958,项目档案!$A$6:$A$255,0)),"⚠编号不存在"))</f>
        <v/>
      </c>
      <c r="P958" s="35" t="str">
        <f aca="false">IF($B958="","",TEXT($B958,"yyyy-mm"))</f>
        <v/>
      </c>
    </row>
    <row r="959" customFormat="false" ht="15.75" hidden="false" customHeight="true" outlineLevel="0" collapsed="false">
      <c r="A959" s="32" t="str">
        <f aca="false">IF($B959="","",ROW()-4)</f>
        <v/>
      </c>
      <c r="B959" s="26"/>
      <c r="C959" s="21"/>
      <c r="D959" s="24"/>
      <c r="E959" s="21"/>
      <c r="F959" s="24"/>
      <c r="G959" s="21"/>
      <c r="H959" s="22"/>
      <c r="I959" s="27"/>
      <c r="J959" s="27"/>
      <c r="K959" s="36" t="str">
        <f aca="false">IF($B959="","",IF($C959="泓普",$C$2,IF($C959="仟茂",$E$2,IF($C959="现金",$G$2,0)))+SUMIFS($I$5:$I959,$C$5:$C959,$C959)-SUMIFS($J$5:$J959,$C$5:$C959,$C959))</f>
        <v/>
      </c>
      <c r="L959" s="36" t="str">
        <f aca="false">IF($B959="","",$C$2+$E$2+$G$2+SUM($I$5:$I959)-SUM($J$5:$J959))</f>
        <v/>
      </c>
      <c r="M959" s="24"/>
      <c r="N959" s="33" t="str">
        <f aca="false">IF($B959="","",IF(NOT(ISNUMBER($B959)),"日期格式不对",IF($C959="","未选资金账户",IF(AND(N($I959)=0,N($J959)=0),"收支都为空",IF(AND(N($I959)&gt;0,N($J959)&gt;0),"收支不能同时填",IF(AND($D959&lt;&gt;"",LEFT($O959,1)="⚠"),"项目编号不存在",IF(AND($M959="是",$F959=""),"工程回款必须填往来单位","√")))))))</f>
        <v/>
      </c>
      <c r="O959" s="34" t="str">
        <f aca="false">IF($D959="","",IFERROR(INDEX(项目档案!$B$6:$B$255,MATCH($D959,项目档案!$A$6:$A$255,0)),"⚠编号不存在"))</f>
        <v/>
      </c>
      <c r="P959" s="35" t="str">
        <f aca="false">IF($B959="","",TEXT($B959,"yyyy-mm"))</f>
        <v/>
      </c>
    </row>
    <row r="960" customFormat="false" ht="15.75" hidden="false" customHeight="true" outlineLevel="0" collapsed="false">
      <c r="A960" s="32" t="str">
        <f aca="false">IF($B960="","",ROW()-4)</f>
        <v/>
      </c>
      <c r="B960" s="26"/>
      <c r="C960" s="21"/>
      <c r="D960" s="24"/>
      <c r="E960" s="21"/>
      <c r="F960" s="24"/>
      <c r="G960" s="21"/>
      <c r="H960" s="22"/>
      <c r="I960" s="27"/>
      <c r="J960" s="27"/>
      <c r="K960" s="36" t="str">
        <f aca="false">IF($B960="","",IF($C960="泓普",$C$2,IF($C960="仟茂",$E$2,IF($C960="现金",$G$2,0)))+SUMIFS($I$5:$I960,$C$5:$C960,$C960)-SUMIFS($J$5:$J960,$C$5:$C960,$C960))</f>
        <v/>
      </c>
      <c r="L960" s="36" t="str">
        <f aca="false">IF($B960="","",$C$2+$E$2+$G$2+SUM($I$5:$I960)-SUM($J$5:$J960))</f>
        <v/>
      </c>
      <c r="M960" s="24"/>
      <c r="N960" s="33" t="str">
        <f aca="false">IF($B960="","",IF(NOT(ISNUMBER($B960)),"日期格式不对",IF($C960="","未选资金账户",IF(AND(N($I960)=0,N($J960)=0),"收支都为空",IF(AND(N($I960)&gt;0,N($J960)&gt;0),"收支不能同时填",IF(AND($D960&lt;&gt;"",LEFT($O960,1)="⚠"),"项目编号不存在",IF(AND($M960="是",$F960=""),"工程回款必须填往来单位","√")))))))</f>
        <v/>
      </c>
      <c r="O960" s="34" t="str">
        <f aca="false">IF($D960="","",IFERROR(INDEX(项目档案!$B$6:$B$255,MATCH($D960,项目档案!$A$6:$A$255,0)),"⚠编号不存在"))</f>
        <v/>
      </c>
      <c r="P960" s="35" t="str">
        <f aca="false">IF($B960="","",TEXT($B960,"yyyy-mm"))</f>
        <v/>
      </c>
    </row>
    <row r="961" customFormat="false" ht="15.75" hidden="false" customHeight="true" outlineLevel="0" collapsed="false">
      <c r="A961" s="32" t="str">
        <f aca="false">IF($B961="","",ROW()-4)</f>
        <v/>
      </c>
      <c r="B961" s="26"/>
      <c r="C961" s="21"/>
      <c r="D961" s="24"/>
      <c r="E961" s="21"/>
      <c r="F961" s="24"/>
      <c r="G961" s="21"/>
      <c r="H961" s="22"/>
      <c r="I961" s="27"/>
      <c r="J961" s="27"/>
      <c r="K961" s="36" t="str">
        <f aca="false">IF($B961="","",IF($C961="泓普",$C$2,IF($C961="仟茂",$E$2,IF($C961="现金",$G$2,0)))+SUMIFS($I$5:$I961,$C$5:$C961,$C961)-SUMIFS($J$5:$J961,$C$5:$C961,$C961))</f>
        <v/>
      </c>
      <c r="L961" s="36" t="str">
        <f aca="false">IF($B961="","",$C$2+$E$2+$G$2+SUM($I$5:$I961)-SUM($J$5:$J961))</f>
        <v/>
      </c>
      <c r="M961" s="24"/>
      <c r="N961" s="33" t="str">
        <f aca="false">IF($B961="","",IF(NOT(ISNUMBER($B961)),"日期格式不对",IF($C961="","未选资金账户",IF(AND(N($I961)=0,N($J961)=0),"收支都为空",IF(AND(N($I961)&gt;0,N($J961)&gt;0),"收支不能同时填",IF(AND($D961&lt;&gt;"",LEFT($O961,1)="⚠"),"项目编号不存在",IF(AND($M961="是",$F961=""),"工程回款必须填往来单位","√")))))))</f>
        <v/>
      </c>
      <c r="O961" s="34" t="str">
        <f aca="false">IF($D961="","",IFERROR(INDEX(项目档案!$B$6:$B$255,MATCH($D961,项目档案!$A$6:$A$255,0)),"⚠编号不存在"))</f>
        <v/>
      </c>
      <c r="P961" s="35" t="str">
        <f aca="false">IF($B961="","",TEXT($B961,"yyyy-mm"))</f>
        <v/>
      </c>
    </row>
    <row r="962" customFormat="false" ht="15.75" hidden="false" customHeight="true" outlineLevel="0" collapsed="false">
      <c r="A962" s="32" t="str">
        <f aca="false">IF($B962="","",ROW()-4)</f>
        <v/>
      </c>
      <c r="B962" s="26"/>
      <c r="C962" s="21"/>
      <c r="D962" s="24"/>
      <c r="E962" s="21"/>
      <c r="F962" s="24"/>
      <c r="G962" s="21"/>
      <c r="H962" s="22"/>
      <c r="I962" s="27"/>
      <c r="J962" s="27"/>
      <c r="K962" s="36" t="str">
        <f aca="false">IF($B962="","",IF($C962="泓普",$C$2,IF($C962="仟茂",$E$2,IF($C962="现金",$G$2,0)))+SUMIFS($I$5:$I962,$C$5:$C962,$C962)-SUMIFS($J$5:$J962,$C$5:$C962,$C962))</f>
        <v/>
      </c>
      <c r="L962" s="36" t="str">
        <f aca="false">IF($B962="","",$C$2+$E$2+$G$2+SUM($I$5:$I962)-SUM($J$5:$J962))</f>
        <v/>
      </c>
      <c r="M962" s="24"/>
      <c r="N962" s="33" t="str">
        <f aca="false">IF($B962="","",IF(NOT(ISNUMBER($B962)),"日期格式不对",IF($C962="","未选资金账户",IF(AND(N($I962)=0,N($J962)=0),"收支都为空",IF(AND(N($I962)&gt;0,N($J962)&gt;0),"收支不能同时填",IF(AND($D962&lt;&gt;"",LEFT($O962,1)="⚠"),"项目编号不存在",IF(AND($M962="是",$F962=""),"工程回款必须填往来单位","√")))))))</f>
        <v/>
      </c>
      <c r="O962" s="34" t="str">
        <f aca="false">IF($D962="","",IFERROR(INDEX(项目档案!$B$6:$B$255,MATCH($D962,项目档案!$A$6:$A$255,0)),"⚠编号不存在"))</f>
        <v/>
      </c>
      <c r="P962" s="35" t="str">
        <f aca="false">IF($B962="","",TEXT($B962,"yyyy-mm"))</f>
        <v/>
      </c>
    </row>
    <row r="963" customFormat="false" ht="15.75" hidden="false" customHeight="true" outlineLevel="0" collapsed="false">
      <c r="A963" s="32" t="str">
        <f aca="false">IF($B963="","",ROW()-4)</f>
        <v/>
      </c>
      <c r="B963" s="26"/>
      <c r="C963" s="21"/>
      <c r="D963" s="24"/>
      <c r="E963" s="21"/>
      <c r="F963" s="24"/>
      <c r="G963" s="21"/>
      <c r="H963" s="22"/>
      <c r="I963" s="27"/>
      <c r="J963" s="27"/>
      <c r="K963" s="36" t="str">
        <f aca="false">IF($B963="","",IF($C963="泓普",$C$2,IF($C963="仟茂",$E$2,IF($C963="现金",$G$2,0)))+SUMIFS($I$5:$I963,$C$5:$C963,$C963)-SUMIFS($J$5:$J963,$C$5:$C963,$C963))</f>
        <v/>
      </c>
      <c r="L963" s="36" t="str">
        <f aca="false">IF($B963="","",$C$2+$E$2+$G$2+SUM($I$5:$I963)-SUM($J$5:$J963))</f>
        <v/>
      </c>
      <c r="M963" s="24"/>
      <c r="N963" s="33" t="str">
        <f aca="false">IF($B963="","",IF(NOT(ISNUMBER($B963)),"日期格式不对",IF($C963="","未选资金账户",IF(AND(N($I963)=0,N($J963)=0),"收支都为空",IF(AND(N($I963)&gt;0,N($J963)&gt;0),"收支不能同时填",IF(AND($D963&lt;&gt;"",LEFT($O963,1)="⚠"),"项目编号不存在",IF(AND($M963="是",$F963=""),"工程回款必须填往来单位","√")))))))</f>
        <v/>
      </c>
      <c r="O963" s="34" t="str">
        <f aca="false">IF($D963="","",IFERROR(INDEX(项目档案!$B$6:$B$255,MATCH($D963,项目档案!$A$6:$A$255,0)),"⚠编号不存在"))</f>
        <v/>
      </c>
      <c r="P963" s="35" t="str">
        <f aca="false">IF($B963="","",TEXT($B963,"yyyy-mm"))</f>
        <v/>
      </c>
    </row>
    <row r="964" customFormat="false" ht="15.75" hidden="false" customHeight="true" outlineLevel="0" collapsed="false">
      <c r="A964" s="32" t="str">
        <f aca="false">IF($B964="","",ROW()-4)</f>
        <v/>
      </c>
      <c r="B964" s="26"/>
      <c r="C964" s="21"/>
      <c r="D964" s="24"/>
      <c r="E964" s="21"/>
      <c r="F964" s="24"/>
      <c r="G964" s="21"/>
      <c r="H964" s="22"/>
      <c r="I964" s="27"/>
      <c r="J964" s="27"/>
      <c r="K964" s="36" t="str">
        <f aca="false">IF($B964="","",IF($C964="泓普",$C$2,IF($C964="仟茂",$E$2,IF($C964="现金",$G$2,0)))+SUMIFS($I$5:$I964,$C$5:$C964,$C964)-SUMIFS($J$5:$J964,$C$5:$C964,$C964))</f>
        <v/>
      </c>
      <c r="L964" s="36" t="str">
        <f aca="false">IF($B964="","",$C$2+$E$2+$G$2+SUM($I$5:$I964)-SUM($J$5:$J964))</f>
        <v/>
      </c>
      <c r="M964" s="24"/>
      <c r="N964" s="33" t="str">
        <f aca="false">IF($B964="","",IF(NOT(ISNUMBER($B964)),"日期格式不对",IF($C964="","未选资金账户",IF(AND(N($I964)=0,N($J964)=0),"收支都为空",IF(AND(N($I964)&gt;0,N($J964)&gt;0),"收支不能同时填",IF(AND($D964&lt;&gt;"",LEFT($O964,1)="⚠"),"项目编号不存在",IF(AND($M964="是",$F964=""),"工程回款必须填往来单位","√")))))))</f>
        <v/>
      </c>
      <c r="O964" s="34" t="str">
        <f aca="false">IF($D964="","",IFERROR(INDEX(项目档案!$B$6:$B$255,MATCH($D964,项目档案!$A$6:$A$255,0)),"⚠编号不存在"))</f>
        <v/>
      </c>
      <c r="P964" s="35" t="str">
        <f aca="false">IF($B964="","",TEXT($B964,"yyyy-mm"))</f>
        <v/>
      </c>
    </row>
    <row r="965" customFormat="false" ht="15.75" hidden="false" customHeight="true" outlineLevel="0" collapsed="false">
      <c r="A965" s="32" t="str">
        <f aca="false">IF($B965="","",ROW()-4)</f>
        <v/>
      </c>
      <c r="B965" s="26"/>
      <c r="C965" s="21"/>
      <c r="D965" s="24"/>
      <c r="E965" s="21"/>
      <c r="F965" s="24"/>
      <c r="G965" s="21"/>
      <c r="H965" s="22"/>
      <c r="I965" s="27"/>
      <c r="J965" s="27"/>
      <c r="K965" s="36" t="str">
        <f aca="false">IF($B965="","",IF($C965="泓普",$C$2,IF($C965="仟茂",$E$2,IF($C965="现金",$G$2,0)))+SUMIFS($I$5:$I965,$C$5:$C965,$C965)-SUMIFS($J$5:$J965,$C$5:$C965,$C965))</f>
        <v/>
      </c>
      <c r="L965" s="36" t="str">
        <f aca="false">IF($B965="","",$C$2+$E$2+$G$2+SUM($I$5:$I965)-SUM($J$5:$J965))</f>
        <v/>
      </c>
      <c r="M965" s="24"/>
      <c r="N965" s="33" t="str">
        <f aca="false">IF($B965="","",IF(NOT(ISNUMBER($B965)),"日期格式不对",IF($C965="","未选资金账户",IF(AND(N($I965)=0,N($J965)=0),"收支都为空",IF(AND(N($I965)&gt;0,N($J965)&gt;0),"收支不能同时填",IF(AND($D965&lt;&gt;"",LEFT($O965,1)="⚠"),"项目编号不存在",IF(AND($M965="是",$F965=""),"工程回款必须填往来单位","√")))))))</f>
        <v/>
      </c>
      <c r="O965" s="34" t="str">
        <f aca="false">IF($D965="","",IFERROR(INDEX(项目档案!$B$6:$B$255,MATCH($D965,项目档案!$A$6:$A$255,0)),"⚠编号不存在"))</f>
        <v/>
      </c>
      <c r="P965" s="35" t="str">
        <f aca="false">IF($B965="","",TEXT($B965,"yyyy-mm"))</f>
        <v/>
      </c>
    </row>
    <row r="966" customFormat="false" ht="15.75" hidden="false" customHeight="true" outlineLevel="0" collapsed="false">
      <c r="A966" s="32" t="str">
        <f aca="false">IF($B966="","",ROW()-4)</f>
        <v/>
      </c>
      <c r="B966" s="26"/>
      <c r="C966" s="21"/>
      <c r="D966" s="24"/>
      <c r="E966" s="21"/>
      <c r="F966" s="24"/>
      <c r="G966" s="21"/>
      <c r="H966" s="22"/>
      <c r="I966" s="27"/>
      <c r="J966" s="27"/>
      <c r="K966" s="36" t="str">
        <f aca="false">IF($B966="","",IF($C966="泓普",$C$2,IF($C966="仟茂",$E$2,IF($C966="现金",$G$2,0)))+SUMIFS($I$5:$I966,$C$5:$C966,$C966)-SUMIFS($J$5:$J966,$C$5:$C966,$C966))</f>
        <v/>
      </c>
      <c r="L966" s="36" t="str">
        <f aca="false">IF($B966="","",$C$2+$E$2+$G$2+SUM($I$5:$I966)-SUM($J$5:$J966))</f>
        <v/>
      </c>
      <c r="M966" s="24"/>
      <c r="N966" s="33" t="str">
        <f aca="false">IF($B966="","",IF(NOT(ISNUMBER($B966)),"日期格式不对",IF($C966="","未选资金账户",IF(AND(N($I966)=0,N($J966)=0),"收支都为空",IF(AND(N($I966)&gt;0,N($J966)&gt;0),"收支不能同时填",IF(AND($D966&lt;&gt;"",LEFT($O966,1)="⚠"),"项目编号不存在",IF(AND($M966="是",$F966=""),"工程回款必须填往来单位","√")))))))</f>
        <v/>
      </c>
      <c r="O966" s="34" t="str">
        <f aca="false">IF($D966="","",IFERROR(INDEX(项目档案!$B$6:$B$255,MATCH($D966,项目档案!$A$6:$A$255,0)),"⚠编号不存在"))</f>
        <v/>
      </c>
      <c r="P966" s="35" t="str">
        <f aca="false">IF($B966="","",TEXT($B966,"yyyy-mm"))</f>
        <v/>
      </c>
    </row>
    <row r="967" customFormat="false" ht="15.75" hidden="false" customHeight="true" outlineLevel="0" collapsed="false">
      <c r="A967" s="32" t="str">
        <f aca="false">IF($B967="","",ROW()-4)</f>
        <v/>
      </c>
      <c r="B967" s="26"/>
      <c r="C967" s="21"/>
      <c r="D967" s="24"/>
      <c r="E967" s="21"/>
      <c r="F967" s="24"/>
      <c r="G967" s="21"/>
      <c r="H967" s="22"/>
      <c r="I967" s="27"/>
      <c r="J967" s="27"/>
      <c r="K967" s="36" t="str">
        <f aca="false">IF($B967="","",IF($C967="泓普",$C$2,IF($C967="仟茂",$E$2,IF($C967="现金",$G$2,0)))+SUMIFS($I$5:$I967,$C$5:$C967,$C967)-SUMIFS($J$5:$J967,$C$5:$C967,$C967))</f>
        <v/>
      </c>
      <c r="L967" s="36" t="str">
        <f aca="false">IF($B967="","",$C$2+$E$2+$G$2+SUM($I$5:$I967)-SUM($J$5:$J967))</f>
        <v/>
      </c>
      <c r="M967" s="24"/>
      <c r="N967" s="33" t="str">
        <f aca="false">IF($B967="","",IF(NOT(ISNUMBER($B967)),"日期格式不对",IF($C967="","未选资金账户",IF(AND(N($I967)=0,N($J967)=0),"收支都为空",IF(AND(N($I967)&gt;0,N($J967)&gt;0),"收支不能同时填",IF(AND($D967&lt;&gt;"",LEFT($O967,1)="⚠"),"项目编号不存在",IF(AND($M967="是",$F967=""),"工程回款必须填往来单位","√")))))))</f>
        <v/>
      </c>
      <c r="O967" s="34" t="str">
        <f aca="false">IF($D967="","",IFERROR(INDEX(项目档案!$B$6:$B$255,MATCH($D967,项目档案!$A$6:$A$255,0)),"⚠编号不存在"))</f>
        <v/>
      </c>
      <c r="P967" s="35" t="str">
        <f aca="false">IF($B967="","",TEXT($B967,"yyyy-mm"))</f>
        <v/>
      </c>
    </row>
    <row r="968" customFormat="false" ht="15.75" hidden="false" customHeight="true" outlineLevel="0" collapsed="false">
      <c r="A968" s="32" t="str">
        <f aca="false">IF($B968="","",ROW()-4)</f>
        <v/>
      </c>
      <c r="B968" s="26"/>
      <c r="C968" s="21"/>
      <c r="D968" s="24"/>
      <c r="E968" s="21"/>
      <c r="F968" s="24"/>
      <c r="G968" s="21"/>
      <c r="H968" s="22"/>
      <c r="I968" s="27"/>
      <c r="J968" s="27"/>
      <c r="K968" s="36" t="str">
        <f aca="false">IF($B968="","",IF($C968="泓普",$C$2,IF($C968="仟茂",$E$2,IF($C968="现金",$G$2,0)))+SUMIFS($I$5:$I968,$C$5:$C968,$C968)-SUMIFS($J$5:$J968,$C$5:$C968,$C968))</f>
        <v/>
      </c>
      <c r="L968" s="36" t="str">
        <f aca="false">IF($B968="","",$C$2+$E$2+$G$2+SUM($I$5:$I968)-SUM($J$5:$J968))</f>
        <v/>
      </c>
      <c r="M968" s="24"/>
      <c r="N968" s="33" t="str">
        <f aca="false">IF($B968="","",IF(NOT(ISNUMBER($B968)),"日期格式不对",IF($C968="","未选资金账户",IF(AND(N($I968)=0,N($J968)=0),"收支都为空",IF(AND(N($I968)&gt;0,N($J968)&gt;0),"收支不能同时填",IF(AND($D968&lt;&gt;"",LEFT($O968,1)="⚠"),"项目编号不存在",IF(AND($M968="是",$F968=""),"工程回款必须填往来单位","√")))))))</f>
        <v/>
      </c>
      <c r="O968" s="34" t="str">
        <f aca="false">IF($D968="","",IFERROR(INDEX(项目档案!$B$6:$B$255,MATCH($D968,项目档案!$A$6:$A$255,0)),"⚠编号不存在"))</f>
        <v/>
      </c>
      <c r="P968" s="35" t="str">
        <f aca="false">IF($B968="","",TEXT($B968,"yyyy-mm"))</f>
        <v/>
      </c>
    </row>
    <row r="969" customFormat="false" ht="15.75" hidden="false" customHeight="true" outlineLevel="0" collapsed="false">
      <c r="A969" s="32" t="str">
        <f aca="false">IF($B969="","",ROW()-4)</f>
        <v/>
      </c>
      <c r="B969" s="26"/>
      <c r="C969" s="21"/>
      <c r="D969" s="24"/>
      <c r="E969" s="21"/>
      <c r="F969" s="24"/>
      <c r="G969" s="21"/>
      <c r="H969" s="22"/>
      <c r="I969" s="27"/>
      <c r="J969" s="27"/>
      <c r="K969" s="36" t="str">
        <f aca="false">IF($B969="","",IF($C969="泓普",$C$2,IF($C969="仟茂",$E$2,IF($C969="现金",$G$2,0)))+SUMIFS($I$5:$I969,$C$5:$C969,$C969)-SUMIFS($J$5:$J969,$C$5:$C969,$C969))</f>
        <v/>
      </c>
      <c r="L969" s="36" t="str">
        <f aca="false">IF($B969="","",$C$2+$E$2+$G$2+SUM($I$5:$I969)-SUM($J$5:$J969))</f>
        <v/>
      </c>
      <c r="M969" s="24"/>
      <c r="N969" s="33" t="str">
        <f aca="false">IF($B969="","",IF(NOT(ISNUMBER($B969)),"日期格式不对",IF($C969="","未选资金账户",IF(AND(N($I969)=0,N($J969)=0),"收支都为空",IF(AND(N($I969)&gt;0,N($J969)&gt;0),"收支不能同时填",IF(AND($D969&lt;&gt;"",LEFT($O969,1)="⚠"),"项目编号不存在",IF(AND($M969="是",$F969=""),"工程回款必须填往来单位","√")))))))</f>
        <v/>
      </c>
      <c r="O969" s="34" t="str">
        <f aca="false">IF($D969="","",IFERROR(INDEX(项目档案!$B$6:$B$255,MATCH($D969,项目档案!$A$6:$A$255,0)),"⚠编号不存在"))</f>
        <v/>
      </c>
      <c r="P969" s="35" t="str">
        <f aca="false">IF($B969="","",TEXT($B969,"yyyy-mm"))</f>
        <v/>
      </c>
    </row>
    <row r="970" customFormat="false" ht="15.75" hidden="false" customHeight="true" outlineLevel="0" collapsed="false">
      <c r="A970" s="32" t="str">
        <f aca="false">IF($B970="","",ROW()-4)</f>
        <v/>
      </c>
      <c r="B970" s="26"/>
      <c r="C970" s="21"/>
      <c r="D970" s="24"/>
      <c r="E970" s="21"/>
      <c r="F970" s="24"/>
      <c r="G970" s="21"/>
      <c r="H970" s="22"/>
      <c r="I970" s="27"/>
      <c r="J970" s="27"/>
      <c r="K970" s="36" t="str">
        <f aca="false">IF($B970="","",IF($C970="泓普",$C$2,IF($C970="仟茂",$E$2,IF($C970="现金",$G$2,0)))+SUMIFS($I$5:$I970,$C$5:$C970,$C970)-SUMIFS($J$5:$J970,$C$5:$C970,$C970))</f>
        <v/>
      </c>
      <c r="L970" s="36" t="str">
        <f aca="false">IF($B970="","",$C$2+$E$2+$G$2+SUM($I$5:$I970)-SUM($J$5:$J970))</f>
        <v/>
      </c>
      <c r="M970" s="24"/>
      <c r="N970" s="33" t="str">
        <f aca="false">IF($B970="","",IF(NOT(ISNUMBER($B970)),"日期格式不对",IF($C970="","未选资金账户",IF(AND(N($I970)=0,N($J970)=0),"收支都为空",IF(AND(N($I970)&gt;0,N($J970)&gt;0),"收支不能同时填",IF(AND($D970&lt;&gt;"",LEFT($O970,1)="⚠"),"项目编号不存在",IF(AND($M970="是",$F970=""),"工程回款必须填往来单位","√")))))))</f>
        <v/>
      </c>
      <c r="O970" s="34" t="str">
        <f aca="false">IF($D970="","",IFERROR(INDEX(项目档案!$B$6:$B$255,MATCH($D970,项目档案!$A$6:$A$255,0)),"⚠编号不存在"))</f>
        <v/>
      </c>
      <c r="P970" s="35" t="str">
        <f aca="false">IF($B970="","",TEXT($B970,"yyyy-mm"))</f>
        <v/>
      </c>
    </row>
    <row r="971" customFormat="false" ht="15.75" hidden="false" customHeight="true" outlineLevel="0" collapsed="false">
      <c r="A971" s="32" t="str">
        <f aca="false">IF($B971="","",ROW()-4)</f>
        <v/>
      </c>
      <c r="B971" s="26"/>
      <c r="C971" s="21"/>
      <c r="D971" s="24"/>
      <c r="E971" s="21"/>
      <c r="F971" s="24"/>
      <c r="G971" s="21"/>
      <c r="H971" s="22"/>
      <c r="I971" s="27"/>
      <c r="J971" s="27"/>
      <c r="K971" s="36" t="str">
        <f aca="false">IF($B971="","",IF($C971="泓普",$C$2,IF($C971="仟茂",$E$2,IF($C971="现金",$G$2,0)))+SUMIFS($I$5:$I971,$C$5:$C971,$C971)-SUMIFS($J$5:$J971,$C$5:$C971,$C971))</f>
        <v/>
      </c>
      <c r="L971" s="36" t="str">
        <f aca="false">IF($B971="","",$C$2+$E$2+$G$2+SUM($I$5:$I971)-SUM($J$5:$J971))</f>
        <v/>
      </c>
      <c r="M971" s="24"/>
      <c r="N971" s="33" t="str">
        <f aca="false">IF($B971="","",IF(NOT(ISNUMBER($B971)),"日期格式不对",IF($C971="","未选资金账户",IF(AND(N($I971)=0,N($J971)=0),"收支都为空",IF(AND(N($I971)&gt;0,N($J971)&gt;0),"收支不能同时填",IF(AND($D971&lt;&gt;"",LEFT($O971,1)="⚠"),"项目编号不存在",IF(AND($M971="是",$F971=""),"工程回款必须填往来单位","√")))))))</f>
        <v/>
      </c>
      <c r="O971" s="34" t="str">
        <f aca="false">IF($D971="","",IFERROR(INDEX(项目档案!$B$6:$B$255,MATCH($D971,项目档案!$A$6:$A$255,0)),"⚠编号不存在"))</f>
        <v/>
      </c>
      <c r="P971" s="35" t="str">
        <f aca="false">IF($B971="","",TEXT($B971,"yyyy-mm"))</f>
        <v/>
      </c>
    </row>
    <row r="972" customFormat="false" ht="15.75" hidden="false" customHeight="true" outlineLevel="0" collapsed="false">
      <c r="A972" s="32" t="str">
        <f aca="false">IF($B972="","",ROW()-4)</f>
        <v/>
      </c>
      <c r="B972" s="26"/>
      <c r="C972" s="21"/>
      <c r="D972" s="24"/>
      <c r="E972" s="21"/>
      <c r="F972" s="24"/>
      <c r="G972" s="21"/>
      <c r="H972" s="22"/>
      <c r="I972" s="27"/>
      <c r="J972" s="27"/>
      <c r="K972" s="36" t="str">
        <f aca="false">IF($B972="","",IF($C972="泓普",$C$2,IF($C972="仟茂",$E$2,IF($C972="现金",$G$2,0)))+SUMIFS($I$5:$I972,$C$5:$C972,$C972)-SUMIFS($J$5:$J972,$C$5:$C972,$C972))</f>
        <v/>
      </c>
      <c r="L972" s="36" t="str">
        <f aca="false">IF($B972="","",$C$2+$E$2+$G$2+SUM($I$5:$I972)-SUM($J$5:$J972))</f>
        <v/>
      </c>
      <c r="M972" s="24"/>
      <c r="N972" s="33" t="str">
        <f aca="false">IF($B972="","",IF(NOT(ISNUMBER($B972)),"日期格式不对",IF($C972="","未选资金账户",IF(AND(N($I972)=0,N($J972)=0),"收支都为空",IF(AND(N($I972)&gt;0,N($J972)&gt;0),"收支不能同时填",IF(AND($D972&lt;&gt;"",LEFT($O972,1)="⚠"),"项目编号不存在",IF(AND($M972="是",$F972=""),"工程回款必须填往来单位","√")))))))</f>
        <v/>
      </c>
      <c r="O972" s="34" t="str">
        <f aca="false">IF($D972="","",IFERROR(INDEX(项目档案!$B$6:$B$255,MATCH($D972,项目档案!$A$6:$A$255,0)),"⚠编号不存在"))</f>
        <v/>
      </c>
      <c r="P972" s="35" t="str">
        <f aca="false">IF($B972="","",TEXT($B972,"yyyy-mm"))</f>
        <v/>
      </c>
    </row>
    <row r="973" customFormat="false" ht="15.75" hidden="false" customHeight="true" outlineLevel="0" collapsed="false">
      <c r="A973" s="32" t="str">
        <f aca="false">IF($B973="","",ROW()-4)</f>
        <v/>
      </c>
      <c r="B973" s="26"/>
      <c r="C973" s="21"/>
      <c r="D973" s="24"/>
      <c r="E973" s="21"/>
      <c r="F973" s="24"/>
      <c r="G973" s="21"/>
      <c r="H973" s="22"/>
      <c r="I973" s="27"/>
      <c r="J973" s="27"/>
      <c r="K973" s="36" t="str">
        <f aca="false">IF($B973="","",IF($C973="泓普",$C$2,IF($C973="仟茂",$E$2,IF($C973="现金",$G$2,0)))+SUMIFS($I$5:$I973,$C$5:$C973,$C973)-SUMIFS($J$5:$J973,$C$5:$C973,$C973))</f>
        <v/>
      </c>
      <c r="L973" s="36" t="str">
        <f aca="false">IF($B973="","",$C$2+$E$2+$G$2+SUM($I$5:$I973)-SUM($J$5:$J973))</f>
        <v/>
      </c>
      <c r="M973" s="24"/>
      <c r="N973" s="33" t="str">
        <f aca="false">IF($B973="","",IF(NOT(ISNUMBER($B973)),"日期格式不对",IF($C973="","未选资金账户",IF(AND(N($I973)=0,N($J973)=0),"收支都为空",IF(AND(N($I973)&gt;0,N($J973)&gt;0),"收支不能同时填",IF(AND($D973&lt;&gt;"",LEFT($O973,1)="⚠"),"项目编号不存在",IF(AND($M973="是",$F973=""),"工程回款必须填往来单位","√")))))))</f>
        <v/>
      </c>
      <c r="O973" s="34" t="str">
        <f aca="false">IF($D973="","",IFERROR(INDEX(项目档案!$B$6:$B$255,MATCH($D973,项目档案!$A$6:$A$255,0)),"⚠编号不存在"))</f>
        <v/>
      </c>
      <c r="P973" s="35" t="str">
        <f aca="false">IF($B973="","",TEXT($B973,"yyyy-mm"))</f>
        <v/>
      </c>
    </row>
    <row r="974" customFormat="false" ht="15.75" hidden="false" customHeight="true" outlineLevel="0" collapsed="false">
      <c r="A974" s="32" t="str">
        <f aca="false">IF($B974="","",ROW()-4)</f>
        <v/>
      </c>
      <c r="B974" s="26"/>
      <c r="C974" s="21"/>
      <c r="D974" s="24"/>
      <c r="E974" s="21"/>
      <c r="F974" s="24"/>
      <c r="G974" s="21"/>
      <c r="H974" s="22"/>
      <c r="I974" s="27"/>
      <c r="J974" s="27"/>
      <c r="K974" s="36" t="str">
        <f aca="false">IF($B974="","",IF($C974="泓普",$C$2,IF($C974="仟茂",$E$2,IF($C974="现金",$G$2,0)))+SUMIFS($I$5:$I974,$C$5:$C974,$C974)-SUMIFS($J$5:$J974,$C$5:$C974,$C974))</f>
        <v/>
      </c>
      <c r="L974" s="36" t="str">
        <f aca="false">IF($B974="","",$C$2+$E$2+$G$2+SUM($I$5:$I974)-SUM($J$5:$J974))</f>
        <v/>
      </c>
      <c r="M974" s="24"/>
      <c r="N974" s="33" t="str">
        <f aca="false">IF($B974="","",IF(NOT(ISNUMBER($B974)),"日期格式不对",IF($C974="","未选资金账户",IF(AND(N($I974)=0,N($J974)=0),"收支都为空",IF(AND(N($I974)&gt;0,N($J974)&gt;0),"收支不能同时填",IF(AND($D974&lt;&gt;"",LEFT($O974,1)="⚠"),"项目编号不存在",IF(AND($M974="是",$F974=""),"工程回款必须填往来单位","√")))))))</f>
        <v/>
      </c>
      <c r="O974" s="34" t="str">
        <f aca="false">IF($D974="","",IFERROR(INDEX(项目档案!$B$6:$B$255,MATCH($D974,项目档案!$A$6:$A$255,0)),"⚠编号不存在"))</f>
        <v/>
      </c>
      <c r="P974" s="35" t="str">
        <f aca="false">IF($B974="","",TEXT($B974,"yyyy-mm"))</f>
        <v/>
      </c>
    </row>
    <row r="975" customFormat="false" ht="15.75" hidden="false" customHeight="true" outlineLevel="0" collapsed="false">
      <c r="A975" s="32" t="str">
        <f aca="false">IF($B975="","",ROW()-4)</f>
        <v/>
      </c>
      <c r="B975" s="26"/>
      <c r="C975" s="21"/>
      <c r="D975" s="24"/>
      <c r="E975" s="21"/>
      <c r="F975" s="24"/>
      <c r="G975" s="21"/>
      <c r="H975" s="22"/>
      <c r="I975" s="27"/>
      <c r="J975" s="27"/>
      <c r="K975" s="36" t="str">
        <f aca="false">IF($B975="","",IF($C975="泓普",$C$2,IF($C975="仟茂",$E$2,IF($C975="现金",$G$2,0)))+SUMIFS($I$5:$I975,$C$5:$C975,$C975)-SUMIFS($J$5:$J975,$C$5:$C975,$C975))</f>
        <v/>
      </c>
      <c r="L975" s="36" t="str">
        <f aca="false">IF($B975="","",$C$2+$E$2+$G$2+SUM($I$5:$I975)-SUM($J$5:$J975))</f>
        <v/>
      </c>
      <c r="M975" s="24"/>
      <c r="N975" s="33" t="str">
        <f aca="false">IF($B975="","",IF(NOT(ISNUMBER($B975)),"日期格式不对",IF($C975="","未选资金账户",IF(AND(N($I975)=0,N($J975)=0),"收支都为空",IF(AND(N($I975)&gt;0,N($J975)&gt;0),"收支不能同时填",IF(AND($D975&lt;&gt;"",LEFT($O975,1)="⚠"),"项目编号不存在",IF(AND($M975="是",$F975=""),"工程回款必须填往来单位","√")))))))</f>
        <v/>
      </c>
      <c r="O975" s="34" t="str">
        <f aca="false">IF($D975="","",IFERROR(INDEX(项目档案!$B$6:$B$255,MATCH($D975,项目档案!$A$6:$A$255,0)),"⚠编号不存在"))</f>
        <v/>
      </c>
      <c r="P975" s="35" t="str">
        <f aca="false">IF($B975="","",TEXT($B975,"yyyy-mm"))</f>
        <v/>
      </c>
    </row>
    <row r="976" customFormat="false" ht="15.75" hidden="false" customHeight="true" outlineLevel="0" collapsed="false">
      <c r="A976" s="32" t="str">
        <f aca="false">IF($B976="","",ROW()-4)</f>
        <v/>
      </c>
      <c r="B976" s="26"/>
      <c r="C976" s="21"/>
      <c r="D976" s="24"/>
      <c r="E976" s="21"/>
      <c r="F976" s="24"/>
      <c r="G976" s="21"/>
      <c r="H976" s="22"/>
      <c r="I976" s="27"/>
      <c r="J976" s="27"/>
      <c r="K976" s="36" t="str">
        <f aca="false">IF($B976="","",IF($C976="泓普",$C$2,IF($C976="仟茂",$E$2,IF($C976="现金",$G$2,0)))+SUMIFS($I$5:$I976,$C$5:$C976,$C976)-SUMIFS($J$5:$J976,$C$5:$C976,$C976))</f>
        <v/>
      </c>
      <c r="L976" s="36" t="str">
        <f aca="false">IF($B976="","",$C$2+$E$2+$G$2+SUM($I$5:$I976)-SUM($J$5:$J976))</f>
        <v/>
      </c>
      <c r="M976" s="24"/>
      <c r="N976" s="33" t="str">
        <f aca="false">IF($B976="","",IF(NOT(ISNUMBER($B976)),"日期格式不对",IF($C976="","未选资金账户",IF(AND(N($I976)=0,N($J976)=0),"收支都为空",IF(AND(N($I976)&gt;0,N($J976)&gt;0),"收支不能同时填",IF(AND($D976&lt;&gt;"",LEFT($O976,1)="⚠"),"项目编号不存在",IF(AND($M976="是",$F976=""),"工程回款必须填往来单位","√")))))))</f>
        <v/>
      </c>
      <c r="O976" s="34" t="str">
        <f aca="false">IF($D976="","",IFERROR(INDEX(项目档案!$B$6:$B$255,MATCH($D976,项目档案!$A$6:$A$255,0)),"⚠编号不存在"))</f>
        <v/>
      </c>
      <c r="P976" s="35" t="str">
        <f aca="false">IF($B976="","",TEXT($B976,"yyyy-mm"))</f>
        <v/>
      </c>
    </row>
    <row r="977" customFormat="false" ht="15.75" hidden="false" customHeight="true" outlineLevel="0" collapsed="false">
      <c r="A977" s="32" t="str">
        <f aca="false">IF($B977="","",ROW()-4)</f>
        <v/>
      </c>
      <c r="B977" s="26"/>
      <c r="C977" s="21"/>
      <c r="D977" s="24"/>
      <c r="E977" s="21"/>
      <c r="F977" s="24"/>
      <c r="G977" s="21"/>
      <c r="H977" s="22"/>
      <c r="I977" s="27"/>
      <c r="J977" s="27"/>
      <c r="K977" s="36" t="str">
        <f aca="false">IF($B977="","",IF($C977="泓普",$C$2,IF($C977="仟茂",$E$2,IF($C977="现金",$G$2,0)))+SUMIFS($I$5:$I977,$C$5:$C977,$C977)-SUMIFS($J$5:$J977,$C$5:$C977,$C977))</f>
        <v/>
      </c>
      <c r="L977" s="36" t="str">
        <f aca="false">IF($B977="","",$C$2+$E$2+$G$2+SUM($I$5:$I977)-SUM($J$5:$J977))</f>
        <v/>
      </c>
      <c r="M977" s="24"/>
      <c r="N977" s="33" t="str">
        <f aca="false">IF($B977="","",IF(NOT(ISNUMBER($B977)),"日期格式不对",IF($C977="","未选资金账户",IF(AND(N($I977)=0,N($J977)=0),"收支都为空",IF(AND(N($I977)&gt;0,N($J977)&gt;0),"收支不能同时填",IF(AND($D977&lt;&gt;"",LEFT($O977,1)="⚠"),"项目编号不存在",IF(AND($M977="是",$F977=""),"工程回款必须填往来单位","√")))))))</f>
        <v/>
      </c>
      <c r="O977" s="34" t="str">
        <f aca="false">IF($D977="","",IFERROR(INDEX(项目档案!$B$6:$B$255,MATCH($D977,项目档案!$A$6:$A$255,0)),"⚠编号不存在"))</f>
        <v/>
      </c>
      <c r="P977" s="35" t="str">
        <f aca="false">IF($B977="","",TEXT($B977,"yyyy-mm"))</f>
        <v/>
      </c>
    </row>
    <row r="978" customFormat="false" ht="15.75" hidden="false" customHeight="true" outlineLevel="0" collapsed="false">
      <c r="A978" s="32" t="str">
        <f aca="false">IF($B978="","",ROW()-4)</f>
        <v/>
      </c>
      <c r="B978" s="26"/>
      <c r="C978" s="21"/>
      <c r="D978" s="24"/>
      <c r="E978" s="21"/>
      <c r="F978" s="24"/>
      <c r="G978" s="21"/>
      <c r="H978" s="22"/>
      <c r="I978" s="27"/>
      <c r="J978" s="27"/>
      <c r="K978" s="36" t="str">
        <f aca="false">IF($B978="","",IF($C978="泓普",$C$2,IF($C978="仟茂",$E$2,IF($C978="现金",$G$2,0)))+SUMIFS($I$5:$I978,$C$5:$C978,$C978)-SUMIFS($J$5:$J978,$C$5:$C978,$C978))</f>
        <v/>
      </c>
      <c r="L978" s="36" t="str">
        <f aca="false">IF($B978="","",$C$2+$E$2+$G$2+SUM($I$5:$I978)-SUM($J$5:$J978))</f>
        <v/>
      </c>
      <c r="M978" s="24"/>
      <c r="N978" s="33" t="str">
        <f aca="false">IF($B978="","",IF(NOT(ISNUMBER($B978)),"日期格式不对",IF($C978="","未选资金账户",IF(AND(N($I978)=0,N($J978)=0),"收支都为空",IF(AND(N($I978)&gt;0,N($J978)&gt;0),"收支不能同时填",IF(AND($D978&lt;&gt;"",LEFT($O978,1)="⚠"),"项目编号不存在",IF(AND($M978="是",$F978=""),"工程回款必须填往来单位","√")))))))</f>
        <v/>
      </c>
      <c r="O978" s="34" t="str">
        <f aca="false">IF($D978="","",IFERROR(INDEX(项目档案!$B$6:$B$255,MATCH($D978,项目档案!$A$6:$A$255,0)),"⚠编号不存在"))</f>
        <v/>
      </c>
      <c r="P978" s="35" t="str">
        <f aca="false">IF($B978="","",TEXT($B978,"yyyy-mm"))</f>
        <v/>
      </c>
    </row>
    <row r="979" customFormat="false" ht="15.75" hidden="false" customHeight="true" outlineLevel="0" collapsed="false">
      <c r="A979" s="32" t="str">
        <f aca="false">IF($B979="","",ROW()-4)</f>
        <v/>
      </c>
      <c r="B979" s="26"/>
      <c r="C979" s="21"/>
      <c r="D979" s="24"/>
      <c r="E979" s="21"/>
      <c r="F979" s="24"/>
      <c r="G979" s="21"/>
      <c r="H979" s="22"/>
      <c r="I979" s="27"/>
      <c r="J979" s="27"/>
      <c r="K979" s="36" t="str">
        <f aca="false">IF($B979="","",IF($C979="泓普",$C$2,IF($C979="仟茂",$E$2,IF($C979="现金",$G$2,0)))+SUMIFS($I$5:$I979,$C$5:$C979,$C979)-SUMIFS($J$5:$J979,$C$5:$C979,$C979))</f>
        <v/>
      </c>
      <c r="L979" s="36" t="str">
        <f aca="false">IF($B979="","",$C$2+$E$2+$G$2+SUM($I$5:$I979)-SUM($J$5:$J979))</f>
        <v/>
      </c>
      <c r="M979" s="24"/>
      <c r="N979" s="33" t="str">
        <f aca="false">IF($B979="","",IF(NOT(ISNUMBER($B979)),"日期格式不对",IF($C979="","未选资金账户",IF(AND(N($I979)=0,N($J979)=0),"收支都为空",IF(AND(N($I979)&gt;0,N($J979)&gt;0),"收支不能同时填",IF(AND($D979&lt;&gt;"",LEFT($O979,1)="⚠"),"项目编号不存在",IF(AND($M979="是",$F979=""),"工程回款必须填往来单位","√")))))))</f>
        <v/>
      </c>
      <c r="O979" s="34" t="str">
        <f aca="false">IF($D979="","",IFERROR(INDEX(项目档案!$B$6:$B$255,MATCH($D979,项目档案!$A$6:$A$255,0)),"⚠编号不存在"))</f>
        <v/>
      </c>
      <c r="P979" s="35" t="str">
        <f aca="false">IF($B979="","",TEXT($B979,"yyyy-mm"))</f>
        <v/>
      </c>
    </row>
    <row r="980" customFormat="false" ht="15.75" hidden="false" customHeight="true" outlineLevel="0" collapsed="false">
      <c r="A980" s="32" t="str">
        <f aca="false">IF($B980="","",ROW()-4)</f>
        <v/>
      </c>
      <c r="B980" s="26"/>
      <c r="C980" s="21"/>
      <c r="D980" s="24"/>
      <c r="E980" s="21"/>
      <c r="F980" s="24"/>
      <c r="G980" s="21"/>
      <c r="H980" s="22"/>
      <c r="I980" s="27"/>
      <c r="J980" s="27"/>
      <c r="K980" s="36" t="str">
        <f aca="false">IF($B980="","",IF($C980="泓普",$C$2,IF($C980="仟茂",$E$2,IF($C980="现金",$G$2,0)))+SUMIFS($I$5:$I980,$C$5:$C980,$C980)-SUMIFS($J$5:$J980,$C$5:$C980,$C980))</f>
        <v/>
      </c>
      <c r="L980" s="36" t="str">
        <f aca="false">IF($B980="","",$C$2+$E$2+$G$2+SUM($I$5:$I980)-SUM($J$5:$J980))</f>
        <v/>
      </c>
      <c r="M980" s="24"/>
      <c r="N980" s="33" t="str">
        <f aca="false">IF($B980="","",IF(NOT(ISNUMBER($B980)),"日期格式不对",IF($C980="","未选资金账户",IF(AND(N($I980)=0,N($J980)=0),"收支都为空",IF(AND(N($I980)&gt;0,N($J980)&gt;0),"收支不能同时填",IF(AND($D980&lt;&gt;"",LEFT($O980,1)="⚠"),"项目编号不存在",IF(AND($M980="是",$F980=""),"工程回款必须填往来单位","√")))))))</f>
        <v/>
      </c>
      <c r="O980" s="34" t="str">
        <f aca="false">IF($D980="","",IFERROR(INDEX(项目档案!$B$6:$B$255,MATCH($D980,项目档案!$A$6:$A$255,0)),"⚠编号不存在"))</f>
        <v/>
      </c>
      <c r="P980" s="35" t="str">
        <f aca="false">IF($B980="","",TEXT($B980,"yyyy-mm"))</f>
        <v/>
      </c>
    </row>
    <row r="981" customFormat="false" ht="15.75" hidden="false" customHeight="true" outlineLevel="0" collapsed="false">
      <c r="A981" s="32" t="str">
        <f aca="false">IF($B981="","",ROW()-4)</f>
        <v/>
      </c>
      <c r="B981" s="26"/>
      <c r="C981" s="21"/>
      <c r="D981" s="24"/>
      <c r="E981" s="21"/>
      <c r="F981" s="24"/>
      <c r="G981" s="21"/>
      <c r="H981" s="22"/>
      <c r="I981" s="27"/>
      <c r="J981" s="27"/>
      <c r="K981" s="36" t="str">
        <f aca="false">IF($B981="","",IF($C981="泓普",$C$2,IF($C981="仟茂",$E$2,IF($C981="现金",$G$2,0)))+SUMIFS($I$5:$I981,$C$5:$C981,$C981)-SUMIFS($J$5:$J981,$C$5:$C981,$C981))</f>
        <v/>
      </c>
      <c r="L981" s="36" t="str">
        <f aca="false">IF($B981="","",$C$2+$E$2+$G$2+SUM($I$5:$I981)-SUM($J$5:$J981))</f>
        <v/>
      </c>
      <c r="M981" s="24"/>
      <c r="N981" s="33" t="str">
        <f aca="false">IF($B981="","",IF(NOT(ISNUMBER($B981)),"日期格式不对",IF($C981="","未选资金账户",IF(AND(N($I981)=0,N($J981)=0),"收支都为空",IF(AND(N($I981)&gt;0,N($J981)&gt;0),"收支不能同时填",IF(AND($D981&lt;&gt;"",LEFT($O981,1)="⚠"),"项目编号不存在",IF(AND($M981="是",$F981=""),"工程回款必须填往来单位","√")))))))</f>
        <v/>
      </c>
      <c r="O981" s="34" t="str">
        <f aca="false">IF($D981="","",IFERROR(INDEX(项目档案!$B$6:$B$255,MATCH($D981,项目档案!$A$6:$A$255,0)),"⚠编号不存在"))</f>
        <v/>
      </c>
      <c r="P981" s="35" t="str">
        <f aca="false">IF($B981="","",TEXT($B981,"yyyy-mm"))</f>
        <v/>
      </c>
    </row>
    <row r="982" customFormat="false" ht="15.75" hidden="false" customHeight="true" outlineLevel="0" collapsed="false">
      <c r="A982" s="32" t="str">
        <f aca="false">IF($B982="","",ROW()-4)</f>
        <v/>
      </c>
      <c r="B982" s="26"/>
      <c r="C982" s="21"/>
      <c r="D982" s="24"/>
      <c r="E982" s="21"/>
      <c r="F982" s="24"/>
      <c r="G982" s="21"/>
      <c r="H982" s="22"/>
      <c r="I982" s="27"/>
      <c r="J982" s="27"/>
      <c r="K982" s="36" t="str">
        <f aca="false">IF($B982="","",IF($C982="泓普",$C$2,IF($C982="仟茂",$E$2,IF($C982="现金",$G$2,0)))+SUMIFS($I$5:$I982,$C$5:$C982,$C982)-SUMIFS($J$5:$J982,$C$5:$C982,$C982))</f>
        <v/>
      </c>
      <c r="L982" s="36" t="str">
        <f aca="false">IF($B982="","",$C$2+$E$2+$G$2+SUM($I$5:$I982)-SUM($J$5:$J982))</f>
        <v/>
      </c>
      <c r="M982" s="24"/>
      <c r="N982" s="33" t="str">
        <f aca="false">IF($B982="","",IF(NOT(ISNUMBER($B982)),"日期格式不对",IF($C982="","未选资金账户",IF(AND(N($I982)=0,N($J982)=0),"收支都为空",IF(AND(N($I982)&gt;0,N($J982)&gt;0),"收支不能同时填",IF(AND($D982&lt;&gt;"",LEFT($O982,1)="⚠"),"项目编号不存在",IF(AND($M982="是",$F982=""),"工程回款必须填往来单位","√")))))))</f>
        <v/>
      </c>
      <c r="O982" s="34" t="str">
        <f aca="false">IF($D982="","",IFERROR(INDEX(项目档案!$B$6:$B$255,MATCH($D982,项目档案!$A$6:$A$255,0)),"⚠编号不存在"))</f>
        <v/>
      </c>
      <c r="P982" s="35" t="str">
        <f aca="false">IF($B982="","",TEXT($B982,"yyyy-mm"))</f>
        <v/>
      </c>
    </row>
    <row r="983" customFormat="false" ht="15.75" hidden="false" customHeight="true" outlineLevel="0" collapsed="false">
      <c r="A983" s="32" t="str">
        <f aca="false">IF($B983="","",ROW()-4)</f>
        <v/>
      </c>
      <c r="B983" s="26"/>
      <c r="C983" s="21"/>
      <c r="D983" s="24"/>
      <c r="E983" s="21"/>
      <c r="F983" s="24"/>
      <c r="G983" s="21"/>
      <c r="H983" s="22"/>
      <c r="I983" s="27"/>
      <c r="J983" s="27"/>
      <c r="K983" s="36" t="str">
        <f aca="false">IF($B983="","",IF($C983="泓普",$C$2,IF($C983="仟茂",$E$2,IF($C983="现金",$G$2,0)))+SUMIFS($I$5:$I983,$C$5:$C983,$C983)-SUMIFS($J$5:$J983,$C$5:$C983,$C983))</f>
        <v/>
      </c>
      <c r="L983" s="36" t="str">
        <f aca="false">IF($B983="","",$C$2+$E$2+$G$2+SUM($I$5:$I983)-SUM($J$5:$J983))</f>
        <v/>
      </c>
      <c r="M983" s="24"/>
      <c r="N983" s="33" t="str">
        <f aca="false">IF($B983="","",IF(NOT(ISNUMBER($B983)),"日期格式不对",IF($C983="","未选资金账户",IF(AND(N($I983)=0,N($J983)=0),"收支都为空",IF(AND(N($I983)&gt;0,N($J983)&gt;0),"收支不能同时填",IF(AND($D983&lt;&gt;"",LEFT($O983,1)="⚠"),"项目编号不存在",IF(AND($M983="是",$F983=""),"工程回款必须填往来单位","√")))))))</f>
        <v/>
      </c>
      <c r="O983" s="34" t="str">
        <f aca="false">IF($D983="","",IFERROR(INDEX(项目档案!$B$6:$B$255,MATCH($D983,项目档案!$A$6:$A$255,0)),"⚠编号不存在"))</f>
        <v/>
      </c>
      <c r="P983" s="35" t="str">
        <f aca="false">IF($B983="","",TEXT($B983,"yyyy-mm"))</f>
        <v/>
      </c>
    </row>
    <row r="984" customFormat="false" ht="15.75" hidden="false" customHeight="true" outlineLevel="0" collapsed="false">
      <c r="A984" s="32" t="str">
        <f aca="false">IF($B984="","",ROW()-4)</f>
        <v/>
      </c>
      <c r="B984" s="26"/>
      <c r="C984" s="21"/>
      <c r="D984" s="24"/>
      <c r="E984" s="21"/>
      <c r="F984" s="24"/>
      <c r="G984" s="21"/>
      <c r="H984" s="22"/>
      <c r="I984" s="27"/>
      <c r="J984" s="27"/>
      <c r="K984" s="36" t="str">
        <f aca="false">IF($B984="","",IF($C984="泓普",$C$2,IF($C984="仟茂",$E$2,IF($C984="现金",$G$2,0)))+SUMIFS($I$5:$I984,$C$5:$C984,$C984)-SUMIFS($J$5:$J984,$C$5:$C984,$C984))</f>
        <v/>
      </c>
      <c r="L984" s="36" t="str">
        <f aca="false">IF($B984="","",$C$2+$E$2+$G$2+SUM($I$5:$I984)-SUM($J$5:$J984))</f>
        <v/>
      </c>
      <c r="M984" s="24"/>
      <c r="N984" s="33" t="str">
        <f aca="false">IF($B984="","",IF(NOT(ISNUMBER($B984)),"日期格式不对",IF($C984="","未选资金账户",IF(AND(N($I984)=0,N($J984)=0),"收支都为空",IF(AND(N($I984)&gt;0,N($J984)&gt;0),"收支不能同时填",IF(AND($D984&lt;&gt;"",LEFT($O984,1)="⚠"),"项目编号不存在",IF(AND($M984="是",$F984=""),"工程回款必须填往来单位","√")))))))</f>
        <v/>
      </c>
      <c r="O984" s="34" t="str">
        <f aca="false">IF($D984="","",IFERROR(INDEX(项目档案!$B$6:$B$255,MATCH($D984,项目档案!$A$6:$A$255,0)),"⚠编号不存在"))</f>
        <v/>
      </c>
      <c r="P984" s="35" t="str">
        <f aca="false">IF($B984="","",TEXT($B984,"yyyy-mm"))</f>
        <v/>
      </c>
    </row>
    <row r="985" customFormat="false" ht="15.75" hidden="false" customHeight="true" outlineLevel="0" collapsed="false">
      <c r="A985" s="32" t="str">
        <f aca="false">IF($B985="","",ROW()-4)</f>
        <v/>
      </c>
      <c r="B985" s="26"/>
      <c r="C985" s="21"/>
      <c r="D985" s="24"/>
      <c r="E985" s="21"/>
      <c r="F985" s="24"/>
      <c r="G985" s="21"/>
      <c r="H985" s="22"/>
      <c r="I985" s="27"/>
      <c r="J985" s="27"/>
      <c r="K985" s="36" t="str">
        <f aca="false">IF($B985="","",IF($C985="泓普",$C$2,IF($C985="仟茂",$E$2,IF($C985="现金",$G$2,0)))+SUMIFS($I$5:$I985,$C$5:$C985,$C985)-SUMIFS($J$5:$J985,$C$5:$C985,$C985))</f>
        <v/>
      </c>
      <c r="L985" s="36" t="str">
        <f aca="false">IF($B985="","",$C$2+$E$2+$G$2+SUM($I$5:$I985)-SUM($J$5:$J985))</f>
        <v/>
      </c>
      <c r="M985" s="24"/>
      <c r="N985" s="33" t="str">
        <f aca="false">IF($B985="","",IF(NOT(ISNUMBER($B985)),"日期格式不对",IF($C985="","未选资金账户",IF(AND(N($I985)=0,N($J985)=0),"收支都为空",IF(AND(N($I985)&gt;0,N($J985)&gt;0),"收支不能同时填",IF(AND($D985&lt;&gt;"",LEFT($O985,1)="⚠"),"项目编号不存在",IF(AND($M985="是",$F985=""),"工程回款必须填往来单位","√")))))))</f>
        <v/>
      </c>
      <c r="O985" s="34" t="str">
        <f aca="false">IF($D985="","",IFERROR(INDEX(项目档案!$B$6:$B$255,MATCH($D985,项目档案!$A$6:$A$255,0)),"⚠编号不存在"))</f>
        <v/>
      </c>
      <c r="P985" s="35" t="str">
        <f aca="false">IF($B985="","",TEXT($B985,"yyyy-mm"))</f>
        <v/>
      </c>
    </row>
    <row r="986" customFormat="false" ht="15.75" hidden="false" customHeight="true" outlineLevel="0" collapsed="false">
      <c r="A986" s="32" t="str">
        <f aca="false">IF($B986="","",ROW()-4)</f>
        <v/>
      </c>
      <c r="B986" s="26"/>
      <c r="C986" s="21"/>
      <c r="D986" s="24"/>
      <c r="E986" s="21"/>
      <c r="F986" s="24"/>
      <c r="G986" s="21"/>
      <c r="H986" s="22"/>
      <c r="I986" s="27"/>
      <c r="J986" s="27"/>
      <c r="K986" s="36" t="str">
        <f aca="false">IF($B986="","",IF($C986="泓普",$C$2,IF($C986="仟茂",$E$2,IF($C986="现金",$G$2,0)))+SUMIFS($I$5:$I986,$C$5:$C986,$C986)-SUMIFS($J$5:$J986,$C$5:$C986,$C986))</f>
        <v/>
      </c>
      <c r="L986" s="36" t="str">
        <f aca="false">IF($B986="","",$C$2+$E$2+$G$2+SUM($I$5:$I986)-SUM($J$5:$J986))</f>
        <v/>
      </c>
      <c r="M986" s="24"/>
      <c r="N986" s="33" t="str">
        <f aca="false">IF($B986="","",IF(NOT(ISNUMBER($B986)),"日期格式不对",IF($C986="","未选资金账户",IF(AND(N($I986)=0,N($J986)=0),"收支都为空",IF(AND(N($I986)&gt;0,N($J986)&gt;0),"收支不能同时填",IF(AND($D986&lt;&gt;"",LEFT($O986,1)="⚠"),"项目编号不存在",IF(AND($M986="是",$F986=""),"工程回款必须填往来单位","√")))))))</f>
        <v/>
      </c>
      <c r="O986" s="34" t="str">
        <f aca="false">IF($D986="","",IFERROR(INDEX(项目档案!$B$6:$B$255,MATCH($D986,项目档案!$A$6:$A$255,0)),"⚠编号不存在"))</f>
        <v/>
      </c>
      <c r="P986" s="35" t="str">
        <f aca="false">IF($B986="","",TEXT($B986,"yyyy-mm"))</f>
        <v/>
      </c>
    </row>
    <row r="987" customFormat="false" ht="15.75" hidden="false" customHeight="true" outlineLevel="0" collapsed="false">
      <c r="A987" s="32" t="str">
        <f aca="false">IF($B987="","",ROW()-4)</f>
        <v/>
      </c>
      <c r="B987" s="26"/>
      <c r="C987" s="21"/>
      <c r="D987" s="24"/>
      <c r="E987" s="21"/>
      <c r="F987" s="24"/>
      <c r="G987" s="21"/>
      <c r="H987" s="22"/>
      <c r="I987" s="27"/>
      <c r="J987" s="27"/>
      <c r="K987" s="36" t="str">
        <f aca="false">IF($B987="","",IF($C987="泓普",$C$2,IF($C987="仟茂",$E$2,IF($C987="现金",$G$2,0)))+SUMIFS($I$5:$I987,$C$5:$C987,$C987)-SUMIFS($J$5:$J987,$C$5:$C987,$C987))</f>
        <v/>
      </c>
      <c r="L987" s="36" t="str">
        <f aca="false">IF($B987="","",$C$2+$E$2+$G$2+SUM($I$5:$I987)-SUM($J$5:$J987))</f>
        <v/>
      </c>
      <c r="M987" s="24"/>
      <c r="N987" s="33" t="str">
        <f aca="false">IF($B987="","",IF(NOT(ISNUMBER($B987)),"日期格式不对",IF($C987="","未选资金账户",IF(AND(N($I987)=0,N($J987)=0),"收支都为空",IF(AND(N($I987)&gt;0,N($J987)&gt;0),"收支不能同时填",IF(AND($D987&lt;&gt;"",LEFT($O987,1)="⚠"),"项目编号不存在",IF(AND($M987="是",$F987=""),"工程回款必须填往来单位","√")))))))</f>
        <v/>
      </c>
      <c r="O987" s="34" t="str">
        <f aca="false">IF($D987="","",IFERROR(INDEX(项目档案!$B$6:$B$255,MATCH($D987,项目档案!$A$6:$A$255,0)),"⚠编号不存在"))</f>
        <v/>
      </c>
      <c r="P987" s="35" t="str">
        <f aca="false">IF($B987="","",TEXT($B987,"yyyy-mm"))</f>
        <v/>
      </c>
    </row>
    <row r="988" customFormat="false" ht="15.75" hidden="false" customHeight="true" outlineLevel="0" collapsed="false">
      <c r="A988" s="32" t="str">
        <f aca="false">IF($B988="","",ROW()-4)</f>
        <v/>
      </c>
      <c r="B988" s="26"/>
      <c r="C988" s="21"/>
      <c r="D988" s="24"/>
      <c r="E988" s="21"/>
      <c r="F988" s="24"/>
      <c r="G988" s="21"/>
      <c r="H988" s="22"/>
      <c r="I988" s="27"/>
      <c r="J988" s="27"/>
      <c r="K988" s="36" t="str">
        <f aca="false">IF($B988="","",IF($C988="泓普",$C$2,IF($C988="仟茂",$E$2,IF($C988="现金",$G$2,0)))+SUMIFS($I$5:$I988,$C$5:$C988,$C988)-SUMIFS($J$5:$J988,$C$5:$C988,$C988))</f>
        <v/>
      </c>
      <c r="L988" s="36" t="str">
        <f aca="false">IF($B988="","",$C$2+$E$2+$G$2+SUM($I$5:$I988)-SUM($J$5:$J988))</f>
        <v/>
      </c>
      <c r="M988" s="24"/>
      <c r="N988" s="33" t="str">
        <f aca="false">IF($B988="","",IF(NOT(ISNUMBER($B988)),"日期格式不对",IF($C988="","未选资金账户",IF(AND(N($I988)=0,N($J988)=0),"收支都为空",IF(AND(N($I988)&gt;0,N($J988)&gt;0),"收支不能同时填",IF(AND($D988&lt;&gt;"",LEFT($O988,1)="⚠"),"项目编号不存在",IF(AND($M988="是",$F988=""),"工程回款必须填往来单位","√")))))))</f>
        <v/>
      </c>
      <c r="O988" s="34" t="str">
        <f aca="false">IF($D988="","",IFERROR(INDEX(项目档案!$B$6:$B$255,MATCH($D988,项目档案!$A$6:$A$255,0)),"⚠编号不存在"))</f>
        <v/>
      </c>
      <c r="P988" s="35" t="str">
        <f aca="false">IF($B988="","",TEXT($B988,"yyyy-mm"))</f>
        <v/>
      </c>
    </row>
    <row r="989" customFormat="false" ht="15.75" hidden="false" customHeight="true" outlineLevel="0" collapsed="false">
      <c r="A989" s="32" t="str">
        <f aca="false">IF($B989="","",ROW()-4)</f>
        <v/>
      </c>
      <c r="B989" s="26"/>
      <c r="C989" s="21"/>
      <c r="D989" s="24"/>
      <c r="E989" s="21"/>
      <c r="F989" s="24"/>
      <c r="G989" s="21"/>
      <c r="H989" s="22"/>
      <c r="I989" s="27"/>
      <c r="J989" s="27"/>
      <c r="K989" s="36" t="str">
        <f aca="false">IF($B989="","",IF($C989="泓普",$C$2,IF($C989="仟茂",$E$2,IF($C989="现金",$G$2,0)))+SUMIFS($I$5:$I989,$C$5:$C989,$C989)-SUMIFS($J$5:$J989,$C$5:$C989,$C989))</f>
        <v/>
      </c>
      <c r="L989" s="36" t="str">
        <f aca="false">IF($B989="","",$C$2+$E$2+$G$2+SUM($I$5:$I989)-SUM($J$5:$J989))</f>
        <v/>
      </c>
      <c r="M989" s="24"/>
      <c r="N989" s="33" t="str">
        <f aca="false">IF($B989="","",IF(NOT(ISNUMBER($B989)),"日期格式不对",IF($C989="","未选资金账户",IF(AND(N($I989)=0,N($J989)=0),"收支都为空",IF(AND(N($I989)&gt;0,N($J989)&gt;0),"收支不能同时填",IF(AND($D989&lt;&gt;"",LEFT($O989,1)="⚠"),"项目编号不存在",IF(AND($M989="是",$F989=""),"工程回款必须填往来单位","√")))))))</f>
        <v/>
      </c>
      <c r="O989" s="34" t="str">
        <f aca="false">IF($D989="","",IFERROR(INDEX(项目档案!$B$6:$B$255,MATCH($D989,项目档案!$A$6:$A$255,0)),"⚠编号不存在"))</f>
        <v/>
      </c>
      <c r="P989" s="35" t="str">
        <f aca="false">IF($B989="","",TEXT($B989,"yyyy-mm"))</f>
        <v/>
      </c>
    </row>
    <row r="990" customFormat="false" ht="15.75" hidden="false" customHeight="true" outlineLevel="0" collapsed="false">
      <c r="A990" s="32" t="str">
        <f aca="false">IF($B990="","",ROW()-4)</f>
        <v/>
      </c>
      <c r="B990" s="26"/>
      <c r="C990" s="21"/>
      <c r="D990" s="24"/>
      <c r="E990" s="21"/>
      <c r="F990" s="24"/>
      <c r="G990" s="21"/>
      <c r="H990" s="22"/>
      <c r="I990" s="27"/>
      <c r="J990" s="27"/>
      <c r="K990" s="36" t="str">
        <f aca="false">IF($B990="","",IF($C990="泓普",$C$2,IF($C990="仟茂",$E$2,IF($C990="现金",$G$2,0)))+SUMIFS($I$5:$I990,$C$5:$C990,$C990)-SUMIFS($J$5:$J990,$C$5:$C990,$C990))</f>
        <v/>
      </c>
      <c r="L990" s="36" t="str">
        <f aca="false">IF($B990="","",$C$2+$E$2+$G$2+SUM($I$5:$I990)-SUM($J$5:$J990))</f>
        <v/>
      </c>
      <c r="M990" s="24"/>
      <c r="N990" s="33" t="str">
        <f aca="false">IF($B990="","",IF(NOT(ISNUMBER($B990)),"日期格式不对",IF($C990="","未选资金账户",IF(AND(N($I990)=0,N($J990)=0),"收支都为空",IF(AND(N($I990)&gt;0,N($J990)&gt;0),"收支不能同时填",IF(AND($D990&lt;&gt;"",LEFT($O990,1)="⚠"),"项目编号不存在",IF(AND($M990="是",$F990=""),"工程回款必须填往来单位","√")))))))</f>
        <v/>
      </c>
      <c r="O990" s="34" t="str">
        <f aca="false">IF($D990="","",IFERROR(INDEX(项目档案!$B$6:$B$255,MATCH($D990,项目档案!$A$6:$A$255,0)),"⚠编号不存在"))</f>
        <v/>
      </c>
      <c r="P990" s="35" t="str">
        <f aca="false">IF($B990="","",TEXT($B990,"yyyy-mm"))</f>
        <v/>
      </c>
    </row>
    <row r="991" customFormat="false" ht="15.75" hidden="false" customHeight="true" outlineLevel="0" collapsed="false">
      <c r="A991" s="32" t="str">
        <f aca="false">IF($B991="","",ROW()-4)</f>
        <v/>
      </c>
      <c r="B991" s="26"/>
      <c r="C991" s="21"/>
      <c r="D991" s="24"/>
      <c r="E991" s="21"/>
      <c r="F991" s="24"/>
      <c r="G991" s="21"/>
      <c r="H991" s="22"/>
      <c r="I991" s="27"/>
      <c r="J991" s="27"/>
      <c r="K991" s="36" t="str">
        <f aca="false">IF($B991="","",IF($C991="泓普",$C$2,IF($C991="仟茂",$E$2,IF($C991="现金",$G$2,0)))+SUMIFS($I$5:$I991,$C$5:$C991,$C991)-SUMIFS($J$5:$J991,$C$5:$C991,$C991))</f>
        <v/>
      </c>
      <c r="L991" s="36" t="str">
        <f aca="false">IF($B991="","",$C$2+$E$2+$G$2+SUM($I$5:$I991)-SUM($J$5:$J991))</f>
        <v/>
      </c>
      <c r="M991" s="24"/>
      <c r="N991" s="33" t="str">
        <f aca="false">IF($B991="","",IF(NOT(ISNUMBER($B991)),"日期格式不对",IF($C991="","未选资金账户",IF(AND(N($I991)=0,N($J991)=0),"收支都为空",IF(AND(N($I991)&gt;0,N($J991)&gt;0),"收支不能同时填",IF(AND($D991&lt;&gt;"",LEFT($O991,1)="⚠"),"项目编号不存在",IF(AND($M991="是",$F991=""),"工程回款必须填往来单位","√")))))))</f>
        <v/>
      </c>
      <c r="O991" s="34" t="str">
        <f aca="false">IF($D991="","",IFERROR(INDEX(项目档案!$B$6:$B$255,MATCH($D991,项目档案!$A$6:$A$255,0)),"⚠编号不存在"))</f>
        <v/>
      </c>
      <c r="P991" s="35" t="str">
        <f aca="false">IF($B991="","",TEXT($B991,"yyyy-mm"))</f>
        <v/>
      </c>
    </row>
    <row r="992" customFormat="false" ht="15.75" hidden="false" customHeight="true" outlineLevel="0" collapsed="false">
      <c r="A992" s="32" t="str">
        <f aca="false">IF($B992="","",ROW()-4)</f>
        <v/>
      </c>
      <c r="B992" s="26"/>
      <c r="C992" s="21"/>
      <c r="D992" s="24"/>
      <c r="E992" s="21"/>
      <c r="F992" s="24"/>
      <c r="G992" s="21"/>
      <c r="H992" s="22"/>
      <c r="I992" s="27"/>
      <c r="J992" s="27"/>
      <c r="K992" s="36" t="str">
        <f aca="false">IF($B992="","",IF($C992="泓普",$C$2,IF($C992="仟茂",$E$2,IF($C992="现金",$G$2,0)))+SUMIFS($I$5:$I992,$C$5:$C992,$C992)-SUMIFS($J$5:$J992,$C$5:$C992,$C992))</f>
        <v/>
      </c>
      <c r="L992" s="36" t="str">
        <f aca="false">IF($B992="","",$C$2+$E$2+$G$2+SUM($I$5:$I992)-SUM($J$5:$J992))</f>
        <v/>
      </c>
      <c r="M992" s="24"/>
      <c r="N992" s="33" t="str">
        <f aca="false">IF($B992="","",IF(NOT(ISNUMBER($B992)),"日期格式不对",IF($C992="","未选资金账户",IF(AND(N($I992)=0,N($J992)=0),"收支都为空",IF(AND(N($I992)&gt;0,N($J992)&gt;0),"收支不能同时填",IF(AND($D992&lt;&gt;"",LEFT($O992,1)="⚠"),"项目编号不存在",IF(AND($M992="是",$F992=""),"工程回款必须填往来单位","√")))))))</f>
        <v/>
      </c>
      <c r="O992" s="34" t="str">
        <f aca="false">IF($D992="","",IFERROR(INDEX(项目档案!$B$6:$B$255,MATCH($D992,项目档案!$A$6:$A$255,0)),"⚠编号不存在"))</f>
        <v/>
      </c>
      <c r="P992" s="35" t="str">
        <f aca="false">IF($B992="","",TEXT($B992,"yyyy-mm"))</f>
        <v/>
      </c>
    </row>
    <row r="993" customFormat="false" ht="15.75" hidden="false" customHeight="true" outlineLevel="0" collapsed="false">
      <c r="A993" s="32" t="str">
        <f aca="false">IF($B993="","",ROW()-4)</f>
        <v/>
      </c>
      <c r="B993" s="26"/>
      <c r="C993" s="21"/>
      <c r="D993" s="24"/>
      <c r="E993" s="21"/>
      <c r="F993" s="24"/>
      <c r="G993" s="21"/>
      <c r="H993" s="22"/>
      <c r="I993" s="27"/>
      <c r="J993" s="27"/>
      <c r="K993" s="36" t="str">
        <f aca="false">IF($B993="","",IF($C993="泓普",$C$2,IF($C993="仟茂",$E$2,IF($C993="现金",$G$2,0)))+SUMIFS($I$5:$I993,$C$5:$C993,$C993)-SUMIFS($J$5:$J993,$C$5:$C993,$C993))</f>
        <v/>
      </c>
      <c r="L993" s="36" t="str">
        <f aca="false">IF($B993="","",$C$2+$E$2+$G$2+SUM($I$5:$I993)-SUM($J$5:$J993))</f>
        <v/>
      </c>
      <c r="M993" s="24"/>
      <c r="N993" s="33" t="str">
        <f aca="false">IF($B993="","",IF(NOT(ISNUMBER($B993)),"日期格式不对",IF($C993="","未选资金账户",IF(AND(N($I993)=0,N($J993)=0),"收支都为空",IF(AND(N($I993)&gt;0,N($J993)&gt;0),"收支不能同时填",IF(AND($D993&lt;&gt;"",LEFT($O993,1)="⚠"),"项目编号不存在",IF(AND($M993="是",$F993=""),"工程回款必须填往来单位","√")))))))</f>
        <v/>
      </c>
      <c r="O993" s="34" t="str">
        <f aca="false">IF($D993="","",IFERROR(INDEX(项目档案!$B$6:$B$255,MATCH($D993,项目档案!$A$6:$A$255,0)),"⚠编号不存在"))</f>
        <v/>
      </c>
      <c r="P993" s="35" t="str">
        <f aca="false">IF($B993="","",TEXT($B993,"yyyy-mm"))</f>
        <v/>
      </c>
    </row>
    <row r="994" customFormat="false" ht="15.75" hidden="false" customHeight="true" outlineLevel="0" collapsed="false">
      <c r="A994" s="32" t="str">
        <f aca="false">IF($B994="","",ROW()-4)</f>
        <v/>
      </c>
      <c r="B994" s="26"/>
      <c r="C994" s="21"/>
      <c r="D994" s="24"/>
      <c r="E994" s="21"/>
      <c r="F994" s="24"/>
      <c r="G994" s="21"/>
      <c r="H994" s="22"/>
      <c r="I994" s="27"/>
      <c r="J994" s="27"/>
      <c r="K994" s="36" t="str">
        <f aca="false">IF($B994="","",IF($C994="泓普",$C$2,IF($C994="仟茂",$E$2,IF($C994="现金",$G$2,0)))+SUMIFS($I$5:$I994,$C$5:$C994,$C994)-SUMIFS($J$5:$J994,$C$5:$C994,$C994))</f>
        <v/>
      </c>
      <c r="L994" s="36" t="str">
        <f aca="false">IF($B994="","",$C$2+$E$2+$G$2+SUM($I$5:$I994)-SUM($J$5:$J994))</f>
        <v/>
      </c>
      <c r="M994" s="24"/>
      <c r="N994" s="33" t="str">
        <f aca="false">IF($B994="","",IF(NOT(ISNUMBER($B994)),"日期格式不对",IF($C994="","未选资金账户",IF(AND(N($I994)=0,N($J994)=0),"收支都为空",IF(AND(N($I994)&gt;0,N($J994)&gt;0),"收支不能同时填",IF(AND($D994&lt;&gt;"",LEFT($O994,1)="⚠"),"项目编号不存在",IF(AND($M994="是",$F994=""),"工程回款必须填往来单位","√")))))))</f>
        <v/>
      </c>
      <c r="O994" s="34" t="str">
        <f aca="false">IF($D994="","",IFERROR(INDEX(项目档案!$B$6:$B$255,MATCH($D994,项目档案!$A$6:$A$255,0)),"⚠编号不存在"))</f>
        <v/>
      </c>
      <c r="P994" s="35" t="str">
        <f aca="false">IF($B994="","",TEXT($B994,"yyyy-mm"))</f>
        <v/>
      </c>
    </row>
    <row r="995" customFormat="false" ht="15.75" hidden="false" customHeight="true" outlineLevel="0" collapsed="false">
      <c r="A995" s="32" t="str">
        <f aca="false">IF($B995="","",ROW()-4)</f>
        <v/>
      </c>
      <c r="B995" s="26"/>
      <c r="C995" s="21"/>
      <c r="D995" s="24"/>
      <c r="E995" s="21"/>
      <c r="F995" s="24"/>
      <c r="G995" s="21"/>
      <c r="H995" s="22"/>
      <c r="I995" s="27"/>
      <c r="J995" s="27"/>
      <c r="K995" s="36" t="str">
        <f aca="false">IF($B995="","",IF($C995="泓普",$C$2,IF($C995="仟茂",$E$2,IF($C995="现金",$G$2,0)))+SUMIFS($I$5:$I995,$C$5:$C995,$C995)-SUMIFS($J$5:$J995,$C$5:$C995,$C995))</f>
        <v/>
      </c>
      <c r="L995" s="36" t="str">
        <f aca="false">IF($B995="","",$C$2+$E$2+$G$2+SUM($I$5:$I995)-SUM($J$5:$J995))</f>
        <v/>
      </c>
      <c r="M995" s="24"/>
      <c r="N995" s="33" t="str">
        <f aca="false">IF($B995="","",IF(NOT(ISNUMBER($B995)),"日期格式不对",IF($C995="","未选资金账户",IF(AND(N($I995)=0,N($J995)=0),"收支都为空",IF(AND(N($I995)&gt;0,N($J995)&gt;0),"收支不能同时填",IF(AND($D995&lt;&gt;"",LEFT($O995,1)="⚠"),"项目编号不存在",IF(AND($M995="是",$F995=""),"工程回款必须填往来单位","√")))))))</f>
        <v/>
      </c>
      <c r="O995" s="34" t="str">
        <f aca="false">IF($D995="","",IFERROR(INDEX(项目档案!$B$6:$B$255,MATCH($D995,项目档案!$A$6:$A$255,0)),"⚠编号不存在"))</f>
        <v/>
      </c>
      <c r="P995" s="35" t="str">
        <f aca="false">IF($B995="","",TEXT($B995,"yyyy-mm"))</f>
        <v/>
      </c>
    </row>
    <row r="996" customFormat="false" ht="15.75" hidden="false" customHeight="true" outlineLevel="0" collapsed="false">
      <c r="A996" s="32" t="str">
        <f aca="false">IF($B996="","",ROW()-4)</f>
        <v/>
      </c>
      <c r="B996" s="26"/>
      <c r="C996" s="21"/>
      <c r="D996" s="24"/>
      <c r="E996" s="21"/>
      <c r="F996" s="24"/>
      <c r="G996" s="21"/>
      <c r="H996" s="22"/>
      <c r="I996" s="27"/>
      <c r="J996" s="27"/>
      <c r="K996" s="36" t="str">
        <f aca="false">IF($B996="","",IF($C996="泓普",$C$2,IF($C996="仟茂",$E$2,IF($C996="现金",$G$2,0)))+SUMIFS($I$5:$I996,$C$5:$C996,$C996)-SUMIFS($J$5:$J996,$C$5:$C996,$C996))</f>
        <v/>
      </c>
      <c r="L996" s="36" t="str">
        <f aca="false">IF($B996="","",$C$2+$E$2+$G$2+SUM($I$5:$I996)-SUM($J$5:$J996))</f>
        <v/>
      </c>
      <c r="M996" s="24"/>
      <c r="N996" s="33" t="str">
        <f aca="false">IF($B996="","",IF(NOT(ISNUMBER($B996)),"日期格式不对",IF($C996="","未选资金账户",IF(AND(N($I996)=0,N($J996)=0),"收支都为空",IF(AND(N($I996)&gt;0,N($J996)&gt;0),"收支不能同时填",IF(AND($D996&lt;&gt;"",LEFT($O996,1)="⚠"),"项目编号不存在",IF(AND($M996="是",$F996=""),"工程回款必须填往来单位","√")))))))</f>
        <v/>
      </c>
      <c r="O996" s="34" t="str">
        <f aca="false">IF($D996="","",IFERROR(INDEX(项目档案!$B$6:$B$255,MATCH($D996,项目档案!$A$6:$A$255,0)),"⚠编号不存在"))</f>
        <v/>
      </c>
      <c r="P996" s="35" t="str">
        <f aca="false">IF($B996="","",TEXT($B996,"yyyy-mm"))</f>
        <v/>
      </c>
    </row>
    <row r="997" customFormat="false" ht="15.75" hidden="false" customHeight="true" outlineLevel="0" collapsed="false">
      <c r="A997" s="32" t="str">
        <f aca="false">IF($B997="","",ROW()-4)</f>
        <v/>
      </c>
      <c r="B997" s="26"/>
      <c r="C997" s="21"/>
      <c r="D997" s="24"/>
      <c r="E997" s="21"/>
      <c r="F997" s="24"/>
      <c r="G997" s="21"/>
      <c r="H997" s="22"/>
      <c r="I997" s="27"/>
      <c r="J997" s="27"/>
      <c r="K997" s="36" t="str">
        <f aca="false">IF($B997="","",IF($C997="泓普",$C$2,IF($C997="仟茂",$E$2,IF($C997="现金",$G$2,0)))+SUMIFS($I$5:$I997,$C$5:$C997,$C997)-SUMIFS($J$5:$J997,$C$5:$C997,$C997))</f>
        <v/>
      </c>
      <c r="L997" s="36" t="str">
        <f aca="false">IF($B997="","",$C$2+$E$2+$G$2+SUM($I$5:$I997)-SUM($J$5:$J997))</f>
        <v/>
      </c>
      <c r="M997" s="24"/>
      <c r="N997" s="33" t="str">
        <f aca="false">IF($B997="","",IF(NOT(ISNUMBER($B997)),"日期格式不对",IF($C997="","未选资金账户",IF(AND(N($I997)=0,N($J997)=0),"收支都为空",IF(AND(N($I997)&gt;0,N($J997)&gt;0),"收支不能同时填",IF(AND($D997&lt;&gt;"",LEFT($O997,1)="⚠"),"项目编号不存在",IF(AND($M997="是",$F997=""),"工程回款必须填往来单位","√")))))))</f>
        <v/>
      </c>
      <c r="O997" s="34" t="str">
        <f aca="false">IF($D997="","",IFERROR(INDEX(项目档案!$B$6:$B$255,MATCH($D997,项目档案!$A$6:$A$255,0)),"⚠编号不存在"))</f>
        <v/>
      </c>
      <c r="P997" s="35" t="str">
        <f aca="false">IF($B997="","",TEXT($B997,"yyyy-mm"))</f>
        <v/>
      </c>
    </row>
    <row r="998" customFormat="false" ht="15.75" hidden="false" customHeight="true" outlineLevel="0" collapsed="false">
      <c r="A998" s="32" t="str">
        <f aca="false">IF($B998="","",ROW()-4)</f>
        <v/>
      </c>
      <c r="B998" s="26"/>
      <c r="C998" s="21"/>
      <c r="D998" s="24"/>
      <c r="E998" s="21"/>
      <c r="F998" s="24"/>
      <c r="G998" s="21"/>
      <c r="H998" s="22"/>
      <c r="I998" s="27"/>
      <c r="J998" s="27"/>
      <c r="K998" s="36" t="str">
        <f aca="false">IF($B998="","",IF($C998="泓普",$C$2,IF($C998="仟茂",$E$2,IF($C998="现金",$G$2,0)))+SUMIFS($I$5:$I998,$C$5:$C998,$C998)-SUMIFS($J$5:$J998,$C$5:$C998,$C998))</f>
        <v/>
      </c>
      <c r="L998" s="36" t="str">
        <f aca="false">IF($B998="","",$C$2+$E$2+$G$2+SUM($I$5:$I998)-SUM($J$5:$J998))</f>
        <v/>
      </c>
      <c r="M998" s="24"/>
      <c r="N998" s="33" t="str">
        <f aca="false">IF($B998="","",IF(NOT(ISNUMBER($B998)),"日期格式不对",IF($C998="","未选资金账户",IF(AND(N($I998)=0,N($J998)=0),"收支都为空",IF(AND(N($I998)&gt;0,N($J998)&gt;0),"收支不能同时填",IF(AND($D998&lt;&gt;"",LEFT($O998,1)="⚠"),"项目编号不存在",IF(AND($M998="是",$F998=""),"工程回款必须填往来单位","√")))))))</f>
        <v/>
      </c>
      <c r="O998" s="34" t="str">
        <f aca="false">IF($D998="","",IFERROR(INDEX(项目档案!$B$6:$B$255,MATCH($D998,项目档案!$A$6:$A$255,0)),"⚠编号不存在"))</f>
        <v/>
      </c>
      <c r="P998" s="35" t="str">
        <f aca="false">IF($B998="","",TEXT($B998,"yyyy-mm"))</f>
        <v/>
      </c>
    </row>
    <row r="999" customFormat="false" ht="15.75" hidden="false" customHeight="true" outlineLevel="0" collapsed="false">
      <c r="A999" s="32" t="str">
        <f aca="false">IF($B999="","",ROW()-4)</f>
        <v/>
      </c>
      <c r="B999" s="26"/>
      <c r="C999" s="21"/>
      <c r="D999" s="24"/>
      <c r="E999" s="21"/>
      <c r="F999" s="24"/>
      <c r="G999" s="21"/>
      <c r="H999" s="22"/>
      <c r="I999" s="27"/>
      <c r="J999" s="27"/>
      <c r="K999" s="36" t="str">
        <f aca="false">IF($B999="","",IF($C999="泓普",$C$2,IF($C999="仟茂",$E$2,IF($C999="现金",$G$2,0)))+SUMIFS($I$5:$I999,$C$5:$C999,$C999)-SUMIFS($J$5:$J999,$C$5:$C999,$C999))</f>
        <v/>
      </c>
      <c r="L999" s="36" t="str">
        <f aca="false">IF($B999="","",$C$2+$E$2+$G$2+SUM($I$5:$I999)-SUM($J$5:$J999))</f>
        <v/>
      </c>
      <c r="M999" s="24"/>
      <c r="N999" s="33" t="str">
        <f aca="false">IF($B999="","",IF(NOT(ISNUMBER($B999)),"日期格式不对",IF($C999="","未选资金账户",IF(AND(N($I999)=0,N($J999)=0),"收支都为空",IF(AND(N($I999)&gt;0,N($J999)&gt;0),"收支不能同时填",IF(AND($D999&lt;&gt;"",LEFT($O999,1)="⚠"),"项目编号不存在",IF(AND($M999="是",$F999=""),"工程回款必须填往来单位","√")))))))</f>
        <v/>
      </c>
      <c r="O999" s="34" t="str">
        <f aca="false">IF($D999="","",IFERROR(INDEX(项目档案!$B$6:$B$255,MATCH($D999,项目档案!$A$6:$A$255,0)),"⚠编号不存在"))</f>
        <v/>
      </c>
      <c r="P999" s="35" t="str">
        <f aca="false">IF($B999="","",TEXT($B999,"yyyy-mm"))</f>
        <v/>
      </c>
    </row>
    <row r="1000" customFormat="false" ht="15.75" hidden="false" customHeight="true" outlineLevel="0" collapsed="false">
      <c r="A1000" s="32" t="str">
        <f aca="false">IF($B1000="","",ROW()-4)</f>
        <v/>
      </c>
      <c r="B1000" s="26"/>
      <c r="C1000" s="21"/>
      <c r="D1000" s="24"/>
      <c r="E1000" s="21"/>
      <c r="F1000" s="24"/>
      <c r="G1000" s="21"/>
      <c r="H1000" s="22"/>
      <c r="I1000" s="27"/>
      <c r="J1000" s="27"/>
      <c r="K1000" s="36" t="str">
        <f aca="false">IF($B1000="","",IF($C1000="泓普",$C$2,IF($C1000="仟茂",$E$2,IF($C1000="现金",$G$2,0)))+SUMIFS($I$5:$I1000,$C$5:$C1000,$C1000)-SUMIFS($J$5:$J1000,$C$5:$C1000,$C1000))</f>
        <v/>
      </c>
      <c r="L1000" s="36" t="str">
        <f aca="false">IF($B1000="","",$C$2+$E$2+$G$2+SUM($I$5:$I1000)-SUM($J$5:$J1000))</f>
        <v/>
      </c>
      <c r="M1000" s="24"/>
      <c r="N1000" s="33" t="str">
        <f aca="false">IF($B1000="","",IF(NOT(ISNUMBER($B1000)),"日期格式不对",IF($C1000="","未选资金账户",IF(AND(N($I1000)=0,N($J1000)=0),"收支都为空",IF(AND(N($I1000)&gt;0,N($J1000)&gt;0),"收支不能同时填",IF(AND($D1000&lt;&gt;"",LEFT($O1000,1)="⚠"),"项目编号不存在",IF(AND($M1000="是",$F1000=""),"工程回款必须填往来单位","√")))))))</f>
        <v/>
      </c>
      <c r="O1000" s="34" t="str">
        <f aca="false">IF($D1000="","",IFERROR(INDEX(项目档案!$B$6:$B$255,MATCH($D1000,项目档案!$A$6:$A$255,0)),"⚠编号不存在"))</f>
        <v/>
      </c>
      <c r="P1000" s="35" t="str">
        <f aca="false">IF($B1000="","",TEXT($B1000,"yyyy-mm"))</f>
        <v/>
      </c>
    </row>
    <row r="1001" customFormat="false" ht="15.75" hidden="false" customHeight="true" outlineLevel="0" collapsed="false">
      <c r="A1001" s="32" t="str">
        <f aca="false">IF($B1001="","",ROW()-4)</f>
        <v/>
      </c>
      <c r="B1001" s="26"/>
      <c r="C1001" s="21"/>
      <c r="D1001" s="24"/>
      <c r="E1001" s="21"/>
      <c r="F1001" s="24"/>
      <c r="G1001" s="21"/>
      <c r="H1001" s="22"/>
      <c r="I1001" s="27"/>
      <c r="J1001" s="27"/>
      <c r="K1001" s="36" t="str">
        <f aca="false">IF($B1001="","",IF($C1001="泓普",$C$2,IF($C1001="仟茂",$E$2,IF($C1001="现金",$G$2,0)))+SUMIFS($I$5:$I1001,$C$5:$C1001,$C1001)-SUMIFS($J$5:$J1001,$C$5:$C1001,$C1001))</f>
        <v/>
      </c>
      <c r="L1001" s="36" t="str">
        <f aca="false">IF($B1001="","",$C$2+$E$2+$G$2+SUM($I$5:$I1001)-SUM($J$5:$J1001))</f>
        <v/>
      </c>
      <c r="M1001" s="24"/>
      <c r="N1001" s="33" t="str">
        <f aca="false">IF($B1001="","",IF(NOT(ISNUMBER($B1001)),"日期格式不对",IF($C1001="","未选资金账户",IF(AND(N($I1001)=0,N($J1001)=0),"收支都为空",IF(AND(N($I1001)&gt;0,N($J1001)&gt;0),"收支不能同时填",IF(AND($D1001&lt;&gt;"",LEFT($O1001,1)="⚠"),"项目编号不存在",IF(AND($M1001="是",$F1001=""),"工程回款必须填往来单位","√")))))))</f>
        <v/>
      </c>
      <c r="O1001" s="34" t="str">
        <f aca="false">IF($D1001="","",IFERROR(INDEX(项目档案!$B$6:$B$255,MATCH($D1001,项目档案!$A$6:$A$255,0)),"⚠编号不存在"))</f>
        <v/>
      </c>
      <c r="P1001" s="35" t="str">
        <f aca="false">IF($B1001="","",TEXT($B1001,"yyyy-mm"))</f>
        <v/>
      </c>
    </row>
    <row r="1002" customFormat="false" ht="15.75" hidden="false" customHeight="true" outlineLevel="0" collapsed="false">
      <c r="A1002" s="32" t="str">
        <f aca="false">IF($B1002="","",ROW()-4)</f>
        <v/>
      </c>
      <c r="B1002" s="26"/>
      <c r="C1002" s="21"/>
      <c r="D1002" s="24"/>
      <c r="E1002" s="21"/>
      <c r="F1002" s="24"/>
      <c r="G1002" s="21"/>
      <c r="H1002" s="22"/>
      <c r="I1002" s="27"/>
      <c r="J1002" s="27"/>
      <c r="K1002" s="36" t="str">
        <f aca="false">IF($B1002="","",IF($C1002="泓普",$C$2,IF($C1002="仟茂",$E$2,IF($C1002="现金",$G$2,0)))+SUMIFS($I$5:$I1002,$C$5:$C1002,$C1002)-SUMIFS($J$5:$J1002,$C$5:$C1002,$C1002))</f>
        <v/>
      </c>
      <c r="L1002" s="36" t="str">
        <f aca="false">IF($B1002="","",$C$2+$E$2+$G$2+SUM($I$5:$I1002)-SUM($J$5:$J1002))</f>
        <v/>
      </c>
      <c r="M1002" s="24"/>
      <c r="N1002" s="33" t="str">
        <f aca="false">IF($B1002="","",IF(NOT(ISNUMBER($B1002)),"日期格式不对",IF($C1002="","未选资金账户",IF(AND(N($I1002)=0,N($J1002)=0),"收支都为空",IF(AND(N($I1002)&gt;0,N($J1002)&gt;0),"收支不能同时填",IF(AND($D1002&lt;&gt;"",LEFT($O1002,1)="⚠"),"项目编号不存在",IF(AND($M1002="是",$F1002=""),"工程回款必须填往来单位","√")))))))</f>
        <v/>
      </c>
      <c r="O1002" s="34" t="str">
        <f aca="false">IF($D1002="","",IFERROR(INDEX(项目档案!$B$6:$B$255,MATCH($D1002,项目档案!$A$6:$A$255,0)),"⚠编号不存在"))</f>
        <v/>
      </c>
      <c r="P1002" s="35" t="str">
        <f aca="false">IF($B1002="","",TEXT($B1002,"yyyy-mm"))</f>
        <v/>
      </c>
    </row>
    <row r="1003" customFormat="false" ht="15.75" hidden="false" customHeight="true" outlineLevel="0" collapsed="false">
      <c r="A1003" s="32" t="str">
        <f aca="false">IF($B1003="","",ROW()-4)</f>
        <v/>
      </c>
      <c r="B1003" s="26"/>
      <c r="C1003" s="21"/>
      <c r="D1003" s="24"/>
      <c r="E1003" s="21"/>
      <c r="F1003" s="24"/>
      <c r="G1003" s="21"/>
      <c r="H1003" s="22"/>
      <c r="I1003" s="27"/>
      <c r="J1003" s="27"/>
      <c r="K1003" s="36" t="str">
        <f aca="false">IF($B1003="","",IF($C1003="泓普",$C$2,IF($C1003="仟茂",$E$2,IF($C1003="现金",$G$2,0)))+SUMIFS($I$5:$I1003,$C$5:$C1003,$C1003)-SUMIFS($J$5:$J1003,$C$5:$C1003,$C1003))</f>
        <v/>
      </c>
      <c r="L1003" s="36" t="str">
        <f aca="false">IF($B1003="","",$C$2+$E$2+$G$2+SUM($I$5:$I1003)-SUM($J$5:$J1003))</f>
        <v/>
      </c>
      <c r="M1003" s="24"/>
      <c r="N1003" s="33" t="str">
        <f aca="false">IF($B1003="","",IF(NOT(ISNUMBER($B1003)),"日期格式不对",IF($C1003="","未选资金账户",IF(AND(N($I1003)=0,N($J1003)=0),"收支都为空",IF(AND(N($I1003)&gt;0,N($J1003)&gt;0),"收支不能同时填",IF(AND($D1003&lt;&gt;"",LEFT($O1003,1)="⚠"),"项目编号不存在",IF(AND($M1003="是",$F1003=""),"工程回款必须填往来单位","√")))))))</f>
        <v/>
      </c>
      <c r="O1003" s="34" t="str">
        <f aca="false">IF($D1003="","",IFERROR(INDEX(项目档案!$B$6:$B$255,MATCH($D1003,项目档案!$A$6:$A$255,0)),"⚠编号不存在"))</f>
        <v/>
      </c>
      <c r="P1003" s="35" t="str">
        <f aca="false">IF($B1003="","",TEXT($B1003,"yyyy-mm"))</f>
        <v/>
      </c>
    </row>
    <row r="1004" customFormat="false" ht="15.75" hidden="false" customHeight="true" outlineLevel="0" collapsed="false">
      <c r="A1004" s="32" t="str">
        <f aca="false">IF($B1004="","",ROW()-4)</f>
        <v/>
      </c>
      <c r="B1004" s="26"/>
      <c r="C1004" s="21"/>
      <c r="D1004" s="24"/>
      <c r="E1004" s="21"/>
      <c r="F1004" s="24"/>
      <c r="G1004" s="21"/>
      <c r="H1004" s="22"/>
      <c r="I1004" s="27"/>
      <c r="J1004" s="27"/>
      <c r="K1004" s="36" t="str">
        <f aca="false">IF($B1004="","",IF($C1004="泓普",$C$2,IF($C1004="仟茂",$E$2,IF($C1004="现金",$G$2,0)))+SUMIFS($I$5:$I1004,$C$5:$C1004,$C1004)-SUMIFS($J$5:$J1004,$C$5:$C1004,$C1004))</f>
        <v/>
      </c>
      <c r="L1004" s="36" t="str">
        <f aca="false">IF($B1004="","",$C$2+$E$2+$G$2+SUM($I$5:$I1004)-SUM($J$5:$J1004))</f>
        <v/>
      </c>
      <c r="M1004" s="24"/>
      <c r="N1004" s="33" t="str">
        <f aca="false">IF($B1004="","",IF(NOT(ISNUMBER($B1004)),"日期格式不对",IF($C1004="","未选资金账户",IF(AND(N($I1004)=0,N($J1004)=0),"收支都为空",IF(AND(N($I1004)&gt;0,N($J1004)&gt;0),"收支不能同时填",IF(AND($D1004&lt;&gt;"",LEFT($O1004,1)="⚠"),"项目编号不存在",IF(AND($M1004="是",$F1004=""),"工程回款必须填往来单位","√")))))))</f>
        <v/>
      </c>
      <c r="O1004" s="34" t="str">
        <f aca="false">IF($D1004="","",IFERROR(INDEX(项目档案!$B$6:$B$255,MATCH($D1004,项目档案!$A$6:$A$255,0)),"⚠编号不存在"))</f>
        <v/>
      </c>
      <c r="P1004" s="35" t="str">
        <f aca="false">IF($B1004="","",TEXT($B1004,"yyyy-mm"))</f>
        <v/>
      </c>
    </row>
  </sheetData>
  <autoFilter ref="A4:P1004"/>
  <mergeCells count="4">
    <mergeCell ref="A1:P1"/>
    <mergeCell ref="H2:P2"/>
    <mergeCell ref="A3:J3"/>
    <mergeCell ref="K3:P3"/>
  </mergeCells>
  <conditionalFormatting sqref="N5:N1004">
    <cfRule type="expression" priority="2" aboveAverage="0" equalAverage="0" bottom="0" percent="0" rank="0" text="" dxfId="12">
      <formula>AND($N5&lt;&gt;"",$N5&lt;&gt;"√")</formula>
    </cfRule>
  </conditionalFormatting>
  <dataValidations count="6">
    <dataValidation allowBlank="true" error="必须选择下拉中已维护的值，手工输入会导致取数错位" errorStyle="stop" errorTitle="请从下拉中选择" operator="between" showDropDown="false" showErrorMessage="true" showInputMessage="false" sqref="C5:C1004" type="list">
      <formula1>"泓普,仟茂,现金"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D5:D1004" type="list">
      <formula1>项目档案!$A$6:$A$255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F5:F1004" type="list">
      <formula1>单位档案!$A$6:$A$35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M5:M1004" type="list">
      <formula1>"是,否"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E5:E1004" type="list">
      <formula1>"工程回款,借款,还借款,工资,社保,材料费,运费,餐费,耗材费,办公费用,维修费,青苗费,饮用水费用,转备用金,手续费,燃油费,税费,管理费,租赁费,考核款,账户年费,其他"</formula1>
      <formula2>0</formula2>
    </dataValidation>
    <dataValidation allowBlank="true" error="本列必须是数字，填成文本会让整笔业务被静默丢弃" errorStyle="stop" errorTitle="只能填数字" operator="greaterThanOrEqual" showDropDown="false" showErrorMessage="true" showInputMessage="false" sqref="I5:J100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P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0"/>
    <col collapsed="false" customWidth="true" hidden="false" outlineLevel="0" max="16" min="3" style="0" width="14"/>
  </cols>
  <sheetData>
    <row r="1" customFormat="false" ht="25.5" hidden="false" customHeight="true" outlineLevel="0" collapsed="false">
      <c r="A1" s="17" t="s">
        <v>682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</row>
    <row r="2" customFormat="false" ht="15" hidden="false" customHeight="true" outlineLevel="0" collapsed="false">
      <c r="A2" s="19" t="s">
        <v>683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</row>
    <row r="5" customFormat="false" ht="30" hidden="false" customHeight="true" outlineLevel="0" collapsed="false">
      <c r="A5" s="20" t="s">
        <v>83</v>
      </c>
      <c r="B5" s="20" t="s">
        <v>84</v>
      </c>
      <c r="C5" s="20" t="s">
        <v>684</v>
      </c>
      <c r="D5" s="20" t="s">
        <v>685</v>
      </c>
      <c r="E5" s="20" t="s">
        <v>686</v>
      </c>
      <c r="F5" s="20" t="s">
        <v>687</v>
      </c>
      <c r="G5" s="20" t="s">
        <v>688</v>
      </c>
      <c r="H5" s="20" t="s">
        <v>10</v>
      </c>
      <c r="I5" s="20" t="s">
        <v>11</v>
      </c>
      <c r="J5" s="20" t="s">
        <v>12</v>
      </c>
      <c r="K5" s="20" t="s">
        <v>689</v>
      </c>
      <c r="L5" s="20" t="s">
        <v>690</v>
      </c>
      <c r="M5" s="20" t="s">
        <v>691</v>
      </c>
      <c r="N5" s="20" t="s">
        <v>692</v>
      </c>
      <c r="O5" s="20" t="s">
        <v>693</v>
      </c>
      <c r="P5" s="20" t="s">
        <v>396</v>
      </c>
    </row>
    <row r="6" customFormat="false" ht="15.75" hidden="false" customHeight="true" outlineLevel="0" collapsed="false">
      <c r="A6" s="32" t="str">
        <f aca="false">IF(单位档案!$C6&lt;&gt;"挂靠单位","",单位档案!$A6)</f>
        <v/>
      </c>
      <c r="B6" s="40" t="str">
        <f aca="false">IF($A6="","",单位档案!$B6)</f>
        <v/>
      </c>
      <c r="C6" s="41" t="str">
        <f aca="false">IF($A6="","",SUMIFS(业务流水!$H$5:$H$1504,业务流水!$E$5:$E$1504,$A6,业务流水!$D$5:$D$1504,"销项开票",业务流水!$Z$5:$Z$1504,"是"))</f>
        <v/>
      </c>
      <c r="D6" s="41" t="str">
        <f aca="false">IF($A6="","",SUMIFS(业务流水!$O$5:$O$1504,业务流水!$E$5:$E$1504,$A6,业务流水!$D$5:$D$1504,"销项开票",业务流水!$Z$5:$Z$1504,"是"))</f>
        <v/>
      </c>
      <c r="E6" s="41" t="str">
        <f aca="false">IF($A6="","",SUMIFS(业务流水!$P$5:$P$1504,业务流水!$E$5:$E$1504,$A6,业务流水!$D$5:$D$1504,"销项开票",业务流水!$Z$5:$Z$1504,"是"))</f>
        <v/>
      </c>
      <c r="F6" s="41" t="str">
        <f aca="false">IF($A6="","",SUMIFS(业务流水!$H$5:$H$1504,业务流水!$F$5:$F$1504,$A6,业务流水!$D$5:$D$1504,"成本票",业务流水!$Z$5:$Z$1504,"是")+SUMIFS(业务流水!$H$5:$H$1504,业务流水!$F$5:$F$1504,$A6,业务流水!$D$5:$D$1504,"销项开票",业务流水!$Z$5:$Z$1504,"是"))</f>
        <v/>
      </c>
      <c r="G6" s="42" t="str">
        <f aca="false">IF($A6="","",$E6-$F6)</f>
        <v/>
      </c>
      <c r="H6" s="41" t="str">
        <f aca="false">IF($A6="","",SUMIFS(业务流水!$W$5:$W$1504,业务流水!$E$5:$E$1504,$A6,业务流水!$D$5:$D$1504,"销项开票",业务流水!$Z$5:$Z$1504,"是"))</f>
        <v/>
      </c>
      <c r="I6" s="41" t="str">
        <f aca="false">IF($A6="","",SUMIFS(业务流水!$H$5:$H$1504,业务流水!$E$5:$E$1504,$A6,业务流水!$D$5:$D$1504,"已交税",业务流水!$Z$5:$Z$1504,"是"))</f>
        <v/>
      </c>
      <c r="J6" s="42" t="str">
        <f aca="false">IF($A6="","",$H6-$I6)</f>
        <v/>
      </c>
      <c r="K6" s="41" t="str">
        <f aca="false">IF($A6="","",SUMIFS(业务流水!$H$5:$H$1504,业务流水!$F$5:$F$1504,$A6,业务流水!$D$5:$D$1504,"挂靠代收",业务流水!$Z$5:$Z$1504,"是"))</f>
        <v/>
      </c>
      <c r="L6" s="42" t="str">
        <f aca="false">IF($A6="","",$C6-$K6)</f>
        <v/>
      </c>
      <c r="M6" s="41" t="str">
        <f aca="false">IF($A6="","",SUMIFS(业务流水!$H$5:$H$1504,业务流水!$E$5:$E$1504,$A6,业务流水!$D$5:$D$1504,"我方收款",业务流水!$Z$5:$Z$1504,"是"))</f>
        <v/>
      </c>
      <c r="N6" s="43" t="str">
        <f aca="false">IF($A6="","",$K6-$M6)</f>
        <v/>
      </c>
      <c r="O6" s="41" t="str">
        <f aca="false">IF($A6="","",SUMIFS(业务流水!$H$5:$H$1504,业务流水!$F$5:$F$1504,$A6,业务流水!$D$5:$D$1504,"管理费结算",业务流水!$Z$5:$Z$1504,"是"))</f>
        <v/>
      </c>
      <c r="P6" s="41" t="str">
        <f aca="false">IF($A6="","",SUMIFS(业务流水!$H$5:$H$1504,业务流水!$E$5:$E$1504,$A6,业务流水!$D$5:$D$1504,"扣质保金",业务流水!$Z$5:$Z$1504,"是"))</f>
        <v/>
      </c>
    </row>
    <row r="7" customFormat="false" ht="15.75" hidden="false" customHeight="true" outlineLevel="0" collapsed="false">
      <c r="A7" s="32" t="str">
        <f aca="false">IF(单位档案!$C7&lt;&gt;"挂靠单位","",单位档案!$A7)</f>
        <v/>
      </c>
      <c r="B7" s="40" t="str">
        <f aca="false">IF($A7="","",单位档案!$B7)</f>
        <v/>
      </c>
      <c r="C7" s="41" t="str">
        <f aca="false">IF($A7="","",SUMIFS(业务流水!$H$5:$H$1504,业务流水!$E$5:$E$1504,$A7,业务流水!$D$5:$D$1504,"销项开票",业务流水!$Z$5:$Z$1504,"是"))</f>
        <v/>
      </c>
      <c r="D7" s="41" t="str">
        <f aca="false">IF($A7="","",SUMIFS(业务流水!$O$5:$O$1504,业务流水!$E$5:$E$1504,$A7,业务流水!$D$5:$D$1504,"销项开票",业务流水!$Z$5:$Z$1504,"是"))</f>
        <v/>
      </c>
      <c r="E7" s="41" t="str">
        <f aca="false">IF($A7="","",SUMIFS(业务流水!$P$5:$P$1504,业务流水!$E$5:$E$1504,$A7,业务流水!$D$5:$D$1504,"销项开票",业务流水!$Z$5:$Z$1504,"是"))</f>
        <v/>
      </c>
      <c r="F7" s="41" t="str">
        <f aca="false">IF($A7="","",SUMIFS(业务流水!$H$5:$H$1504,业务流水!$F$5:$F$1504,$A7,业务流水!$D$5:$D$1504,"成本票",业务流水!$Z$5:$Z$1504,"是")+SUMIFS(业务流水!$H$5:$H$1504,业务流水!$F$5:$F$1504,$A7,业务流水!$D$5:$D$1504,"销项开票",业务流水!$Z$5:$Z$1504,"是"))</f>
        <v/>
      </c>
      <c r="G7" s="42" t="str">
        <f aca="false">IF($A7="","",$E7-$F7)</f>
        <v/>
      </c>
      <c r="H7" s="41" t="str">
        <f aca="false">IF($A7="","",SUMIFS(业务流水!$W$5:$W$1504,业务流水!$E$5:$E$1504,$A7,业务流水!$D$5:$D$1504,"销项开票",业务流水!$Z$5:$Z$1504,"是"))</f>
        <v/>
      </c>
      <c r="I7" s="41" t="str">
        <f aca="false">IF($A7="","",SUMIFS(业务流水!$H$5:$H$1504,业务流水!$E$5:$E$1504,$A7,业务流水!$D$5:$D$1504,"已交税",业务流水!$Z$5:$Z$1504,"是"))</f>
        <v/>
      </c>
      <c r="J7" s="42" t="str">
        <f aca="false">IF($A7="","",$H7-$I7)</f>
        <v/>
      </c>
      <c r="K7" s="41" t="str">
        <f aca="false">IF($A7="","",SUMIFS(业务流水!$H$5:$H$1504,业务流水!$F$5:$F$1504,$A7,业务流水!$D$5:$D$1504,"挂靠代收",业务流水!$Z$5:$Z$1504,"是"))</f>
        <v/>
      </c>
      <c r="L7" s="42" t="str">
        <f aca="false">IF($A7="","",$C7-$K7)</f>
        <v/>
      </c>
      <c r="M7" s="41" t="str">
        <f aca="false">IF($A7="","",SUMIFS(业务流水!$H$5:$H$1504,业务流水!$E$5:$E$1504,$A7,业务流水!$D$5:$D$1504,"我方收款",业务流水!$Z$5:$Z$1504,"是"))</f>
        <v/>
      </c>
      <c r="N7" s="43" t="str">
        <f aca="false">IF($A7="","",$K7-$M7)</f>
        <v/>
      </c>
      <c r="O7" s="41" t="str">
        <f aca="false">IF($A7="","",SUMIFS(业务流水!$H$5:$H$1504,业务流水!$F$5:$F$1504,$A7,业务流水!$D$5:$D$1504,"管理费结算",业务流水!$Z$5:$Z$1504,"是"))</f>
        <v/>
      </c>
      <c r="P7" s="41" t="str">
        <f aca="false">IF($A7="","",SUMIFS(业务流水!$H$5:$H$1504,业务流水!$E$5:$E$1504,$A7,业务流水!$D$5:$D$1504,"扣质保金",业务流水!$Z$5:$Z$1504,"是"))</f>
        <v/>
      </c>
    </row>
    <row r="8" customFormat="false" ht="15.75" hidden="false" customHeight="true" outlineLevel="0" collapsed="false">
      <c r="A8" s="32" t="str">
        <f aca="false">IF(单位档案!$C8&lt;&gt;"挂靠单位","",单位档案!$A8)</f>
        <v>德誉嘉</v>
      </c>
      <c r="B8" s="40" t="str">
        <f aca="false">IF($A8="","",单位档案!$B8)</f>
        <v>德誉嘉（德誉佳）</v>
      </c>
      <c r="C8" s="41" t="n">
        <f aca="false">IF($A8="","",SUMIFS(业务流水!$H$5:$H$1504,业务流水!$E$5:$E$1504,$A8,业务流水!$D$5:$D$1504,"销项开票",业务流水!$Z$5:$Z$1504,"是"))</f>
        <v>651402.94</v>
      </c>
      <c r="D8" s="41" t="n">
        <f aca="false">IF($A8="","",SUMIFS(业务流水!$O$5:$O$1504,业务流水!$E$5:$E$1504,$A8,业务流水!$D$5:$D$1504,"销项开票",业务流水!$Z$5:$Z$1504,"是"))</f>
        <v>50469.82</v>
      </c>
      <c r="E8" s="41" t="n">
        <f aca="false">IF($A8="","",SUMIFS(业务流水!$P$5:$P$1504,业务流水!$E$5:$E$1504,$A8,业务流水!$D$5:$D$1504,"销项开票",业务流水!$Z$5:$Z$1504,"是"))</f>
        <v>600933.12</v>
      </c>
      <c r="F8" s="41" t="n">
        <f aca="false">IF($A8="","",SUMIFS(业务流水!$H$5:$H$1504,业务流水!$F$5:$F$1504,$A8,业务流水!$D$5:$D$1504,"成本票",业务流水!$Z$5:$Z$1504,"是")+SUMIFS(业务流水!$H$5:$H$1504,业务流水!$F$5:$F$1504,$A8,业务流水!$D$5:$D$1504,"销项开票",业务流水!$Z$5:$Z$1504,"是"))</f>
        <v>611391.38</v>
      </c>
      <c r="G8" s="42" t="n">
        <f aca="false">IF($A8="","",$E8-$F8)</f>
        <v>-10458.26</v>
      </c>
      <c r="H8" s="41" t="n">
        <f aca="false">IF($A8="","",SUMIFS(业务流水!$W$5:$W$1504,业务流水!$E$5:$E$1504,$A8,业务流水!$D$5:$D$1504,"销项开票",业务流水!$Z$5:$Z$1504,"是"))</f>
        <v>0</v>
      </c>
      <c r="I8" s="41" t="n">
        <f aca="false">IF($A8="","",SUMIFS(业务流水!$H$5:$H$1504,业务流水!$E$5:$E$1504,$A8,业务流水!$D$5:$D$1504,"已交税",业务流水!$Z$5:$Z$1504,"是"))</f>
        <v>0</v>
      </c>
      <c r="J8" s="42" t="n">
        <f aca="false">IF($A8="","",$H8-$I8)</f>
        <v>0</v>
      </c>
      <c r="K8" s="41" t="n">
        <f aca="false">IF($A8="","",SUMIFS(业务流水!$H$5:$H$1504,业务流水!$F$5:$F$1504,$A8,业务流水!$D$5:$D$1504,"挂靠代收",业务流水!$Z$5:$Z$1504,"是"))</f>
        <v>219304.73</v>
      </c>
      <c r="L8" s="42" t="n">
        <f aca="false">IF($A8="","",$C8-$K8)</f>
        <v>432098.21</v>
      </c>
      <c r="M8" s="41" t="n">
        <f aca="false">IF($A8="","",SUMIFS(业务流水!$H$5:$H$1504,业务流水!$E$5:$E$1504,$A8,业务流水!$D$5:$D$1504,"我方收款",业务流水!$Z$5:$Z$1504,"是"))</f>
        <v>79454.64</v>
      </c>
      <c r="N8" s="43" t="n">
        <f aca="false">IF($A8="","",$K8-$M8)</f>
        <v>139850.09</v>
      </c>
      <c r="O8" s="41" t="n">
        <f aca="false">IF($A8="","",SUMIFS(业务流水!$H$5:$H$1504,业务流水!$F$5:$F$1504,$A8,业务流水!$D$5:$D$1504,"管理费结算",业务流水!$Z$5:$Z$1504,"是"))</f>
        <v>27049.45</v>
      </c>
      <c r="P8" s="41" t="n">
        <f aca="false">IF($A8="","",SUMIFS(业务流水!$H$5:$H$1504,业务流水!$E$5:$E$1504,$A8,业务流水!$D$5:$D$1504,"扣质保金",业务流水!$Z$5:$Z$1504,"是"))</f>
        <v>0</v>
      </c>
    </row>
    <row r="9" customFormat="false" ht="15.75" hidden="false" customHeight="true" outlineLevel="0" collapsed="false">
      <c r="A9" s="32" t="str">
        <f aca="false">IF(单位档案!$C9&lt;&gt;"挂靠单位","",单位档案!$A9)</f>
        <v>迅驰</v>
      </c>
      <c r="B9" s="40" t="str">
        <f aca="false">IF($A9="","",单位档案!$B9)</f>
        <v>迅驰</v>
      </c>
      <c r="C9" s="41" t="n">
        <f aca="false">IF($A9="","",SUMIFS(业务流水!$H$5:$H$1504,业务流水!$E$5:$E$1504,$A9,业务流水!$D$5:$D$1504,"销项开票",业务流水!$Z$5:$Z$1504,"是"))</f>
        <v>219510.99</v>
      </c>
      <c r="D9" s="41" t="n">
        <f aca="false">IF($A9="","",SUMIFS(业务流水!$O$5:$O$1504,业务流水!$E$5:$E$1504,$A9,业务流水!$D$5:$D$1504,"销项开票",业务流水!$Z$5:$Z$1504,"是"))</f>
        <v>8780.43</v>
      </c>
      <c r="E9" s="41" t="n">
        <f aca="false">IF($A9="","",SUMIFS(业务流水!$P$5:$P$1504,业务流水!$E$5:$E$1504,$A9,业务流水!$D$5:$D$1504,"销项开票",业务流水!$Z$5:$Z$1504,"是"))</f>
        <v>210730.56</v>
      </c>
      <c r="F9" s="41" t="n">
        <f aca="false">IF($A9="","",SUMIFS(业务流水!$H$5:$H$1504,业务流水!$F$5:$F$1504,$A9,业务流水!$D$5:$D$1504,"成本票",业务流水!$Z$5:$Z$1504,"是")+SUMIFS(业务流水!$H$5:$H$1504,业务流水!$F$5:$F$1504,$A9,业务流水!$D$5:$D$1504,"销项开票",业务流水!$Z$5:$Z$1504,"是"))</f>
        <v>210730.56</v>
      </c>
      <c r="G9" s="42" t="n">
        <f aca="false">IF($A9="","",$E9-$F9)</f>
        <v>0</v>
      </c>
      <c r="H9" s="41" t="n">
        <f aca="false">IF($A9="","",SUMIFS(业务流水!$W$5:$W$1504,业务流水!$E$5:$E$1504,$A9,业务流水!$D$5:$D$1504,"销项开票",业务流水!$Z$5:$Z$1504,"是"))</f>
        <v>13554.55</v>
      </c>
      <c r="I9" s="41" t="n">
        <f aca="false">IF($A9="","",SUMIFS(业务流水!$H$5:$H$1504,业务流水!$E$5:$E$1504,$A9,业务流水!$D$5:$D$1504,"已交税",业务流水!$Z$5:$Z$1504,"是"))</f>
        <v>10595.25</v>
      </c>
      <c r="J9" s="42" t="n">
        <f aca="false">IF($A9="","",$H9-$I9)</f>
        <v>2959.3</v>
      </c>
      <c r="K9" s="41" t="n">
        <f aca="false">IF($A9="","",SUMIFS(业务流水!$H$5:$H$1504,业务流水!$F$5:$F$1504,$A9,业务流水!$D$5:$D$1504,"挂靠代收",业务流水!$Z$5:$Z$1504,"是"))</f>
        <v>3230.8</v>
      </c>
      <c r="L9" s="42" t="n">
        <f aca="false">IF($A9="","",$C9-$K9)</f>
        <v>216280.19</v>
      </c>
      <c r="M9" s="41" t="n">
        <f aca="false">IF($A9="","",SUMIFS(业务流水!$H$5:$H$1504,业务流水!$E$5:$E$1504,$A9,业务流水!$D$5:$D$1504,"我方收款",业务流水!$Z$5:$Z$1504,"是"))</f>
        <v>3474.87</v>
      </c>
      <c r="N9" s="43" t="n">
        <f aca="false">IF($A9="","",$K9-$M9)</f>
        <v>-244.07</v>
      </c>
      <c r="O9" s="41" t="n">
        <f aca="false">IF($A9="","",SUMIFS(业务流水!$H$5:$H$1504,业务流水!$F$5:$F$1504,$A9,业务流水!$D$5:$D$1504,"管理费结算",业务流水!$Z$5:$Z$1504,"是"))</f>
        <v>8780.44</v>
      </c>
      <c r="P9" s="41" t="n">
        <f aca="false">IF($A9="","",SUMIFS(业务流水!$H$5:$H$1504,业务流水!$E$5:$E$1504,$A9,业务流水!$D$5:$D$1504,"扣质保金",业务流水!$Z$5:$Z$1504,"是"))</f>
        <v>0</v>
      </c>
    </row>
    <row r="10" customFormat="false" ht="15.75" hidden="false" customHeight="true" outlineLevel="0" collapsed="false">
      <c r="A10" s="32" t="str">
        <f aca="false">IF(单位档案!$C10&lt;&gt;"挂靠单位","",单位档案!$A10)</f>
        <v>华城</v>
      </c>
      <c r="B10" s="40" t="str">
        <f aca="false">IF($A10="","",单位档案!$B10)</f>
        <v>华城</v>
      </c>
      <c r="C10" s="41" t="n">
        <f aca="false">IF($A10="","",SUMIFS(业务流水!$H$5:$H$1504,业务流水!$E$5:$E$1504,$A10,业务流水!$D$5:$D$1504,"销项开票",业务流水!$Z$5:$Z$1504,"是"))</f>
        <v>472843.99</v>
      </c>
      <c r="D10" s="41" t="n">
        <f aca="false">IF($A10="","",SUMIFS(业务流水!$O$5:$O$1504,业务流水!$E$5:$E$1504,$A10,业务流水!$D$5:$D$1504,"销项开票",业务流水!$Z$5:$Z$1504,"是"))</f>
        <v>9456.88</v>
      </c>
      <c r="E10" s="41" t="n">
        <f aca="false">IF($A10="","",SUMIFS(业务流水!$P$5:$P$1504,业务流水!$E$5:$E$1504,$A10,业务流水!$D$5:$D$1504,"销项开票",业务流水!$Z$5:$Z$1504,"是"))</f>
        <v>463387.11</v>
      </c>
      <c r="F10" s="41" t="n">
        <f aca="false">IF($A10="","",SUMIFS(业务流水!$H$5:$H$1504,业务流水!$F$5:$F$1504,$A10,业务流水!$D$5:$D$1504,"成本票",业务流水!$Z$5:$Z$1504,"是")+SUMIFS(业务流水!$H$5:$H$1504,业务流水!$F$5:$F$1504,$A10,业务流水!$D$5:$D$1504,"销项开票",业务流水!$Z$5:$Z$1504,"是"))</f>
        <v>463387.12</v>
      </c>
      <c r="G10" s="42" t="n">
        <f aca="false">IF($A10="","",$E10-$F10)</f>
        <v>-0.00999999995110557</v>
      </c>
      <c r="H10" s="41" t="n">
        <f aca="false">IF($A10="","",SUMIFS(业务流水!$W$5:$W$1504,业务流水!$E$5:$E$1504,$A10,业务流水!$D$5:$D$1504,"销项开票",业务流水!$Z$5:$Z$1504,"是"))</f>
        <v>15566.66</v>
      </c>
      <c r="I10" s="41" t="n">
        <f aca="false">IF($A10="","",SUMIFS(业务流水!$H$5:$H$1504,业务流水!$E$5:$E$1504,$A10,业务流水!$D$5:$D$1504,"已交税",业务流水!$Z$5:$Z$1504,"是"))</f>
        <v>16883.46</v>
      </c>
      <c r="J10" s="42" t="n">
        <f aca="false">IF($A10="","",$H10-$I10)</f>
        <v>-1316.8</v>
      </c>
      <c r="K10" s="41" t="n">
        <f aca="false">IF($A10="","",SUMIFS(业务流水!$H$5:$H$1504,业务流水!$F$5:$F$1504,$A10,业务流水!$D$5:$D$1504,"挂靠代收",业务流水!$Z$5:$Z$1504,"是"))</f>
        <v>26807.48</v>
      </c>
      <c r="L10" s="42" t="n">
        <f aca="false">IF($A10="","",$C10-$K10)</f>
        <v>446036.51</v>
      </c>
      <c r="M10" s="41" t="n">
        <f aca="false">IF($A10="","",SUMIFS(业务流水!$H$5:$H$1504,业务流水!$E$5:$E$1504,$A10,业务流水!$D$5:$D$1504,"我方收款",业务流水!$Z$5:$Z$1504,"是"))</f>
        <v>16349.24</v>
      </c>
      <c r="N10" s="43" t="n">
        <f aca="false">IF($A10="","",$K10-$M10)</f>
        <v>10458.24</v>
      </c>
      <c r="O10" s="41" t="n">
        <f aca="false">IF($A10="","",SUMIFS(业务流水!$H$5:$H$1504,业务流水!$F$5:$F$1504,$A10,业务流水!$D$5:$D$1504,"管理费结算",业务流水!$Z$5:$Z$1504,"是"))</f>
        <v>9456.88</v>
      </c>
      <c r="P10" s="41" t="n">
        <f aca="false">IF($A10="","",SUMIFS(业务流水!$H$5:$H$1504,业务流水!$E$5:$E$1504,$A10,业务流水!$D$5:$D$1504,"扣质保金",业务流水!$Z$5:$Z$1504,"是"))</f>
        <v>0</v>
      </c>
    </row>
    <row r="11" customFormat="false" ht="15.75" hidden="false" customHeight="true" outlineLevel="0" collapsed="false">
      <c r="A11" s="32" t="str">
        <f aca="false">IF(单位档案!$C11&lt;&gt;"挂靠单位","",单位档案!$A11)</f>
        <v>康欣</v>
      </c>
      <c r="B11" s="40" t="str">
        <f aca="false">IF($A11="","",单位档案!$B11)</f>
        <v>康欣</v>
      </c>
      <c r="C11" s="41" t="n">
        <f aca="false">IF($A11="","",SUMIFS(业务流水!$H$5:$H$1504,业务流水!$E$5:$E$1504,$A11,业务流水!$D$5:$D$1504,"销项开票",业务流水!$Z$5:$Z$1504,"是"))</f>
        <v>1220281.15</v>
      </c>
      <c r="D11" s="41" t="n">
        <f aca="false">IF($A11="","",SUMIFS(业务流水!$O$5:$O$1504,业务流水!$E$5:$E$1504,$A11,业务流水!$D$5:$D$1504,"销项开票",业务流水!$Z$5:$Z$1504,"是"))</f>
        <v>26505.64</v>
      </c>
      <c r="E11" s="41" t="n">
        <f aca="false">IF($A11="","",SUMIFS(业务流水!$P$5:$P$1504,业务流水!$E$5:$E$1504,$A11,业务流水!$D$5:$D$1504,"销项开票",业务流水!$Z$5:$Z$1504,"是"))</f>
        <v>1193775.51</v>
      </c>
      <c r="F11" s="41" t="n">
        <f aca="false">IF($A11="","",SUMIFS(业务流水!$H$5:$H$1504,业务流水!$F$5:$F$1504,$A11,业务流水!$D$5:$D$1504,"成本票",业务流水!$Z$5:$Z$1504,"是")+SUMIFS(业务流水!$H$5:$H$1504,业务流水!$F$5:$F$1504,$A11,业务流水!$D$5:$D$1504,"销项开票",业务流水!$Z$5:$Z$1504,"是"))</f>
        <v>517637.17</v>
      </c>
      <c r="G11" s="42" t="n">
        <f aca="false">IF($A11="","",$E11-$F11)</f>
        <v>676138.34</v>
      </c>
      <c r="H11" s="41" t="n">
        <f aca="false">IF($A11="","",SUMIFS(业务流水!$W$5:$W$1504,业务流水!$E$5:$E$1504,$A11,业务流水!$D$5:$D$1504,"销项开票",业务流水!$Z$5:$Z$1504,"是"))</f>
        <v>40044.13</v>
      </c>
      <c r="I11" s="41" t="n">
        <f aca="false">IF($A11="","",SUMIFS(业务流水!$H$5:$H$1504,业务流水!$E$5:$E$1504,$A11,业务流水!$D$5:$D$1504,"已交税",业务流水!$Z$5:$Z$1504,"是"))</f>
        <v>15425.28</v>
      </c>
      <c r="J11" s="42" t="n">
        <f aca="false">IF($A11="","",$H11-$I11)</f>
        <v>24618.85</v>
      </c>
      <c r="K11" s="41" t="n">
        <f aca="false">IF($A11="","",SUMIFS(业务流水!$H$5:$H$1504,业务流水!$F$5:$F$1504,$A11,业务流水!$D$5:$D$1504,"挂靠代收",业务流水!$Z$5:$Z$1504,"是"))</f>
        <v>908159</v>
      </c>
      <c r="L11" s="42" t="n">
        <f aca="false">IF($A11="","",$C11-$K11)</f>
        <v>312122.15</v>
      </c>
      <c r="M11" s="41" t="n">
        <f aca="false">IF($A11="","",SUMIFS(业务流水!$H$5:$H$1504,业务流水!$E$5:$E$1504,$A11,业务流水!$D$5:$D$1504,"我方收款",业务流水!$Z$5:$Z$1504,"是"))</f>
        <v>892055.8</v>
      </c>
      <c r="N11" s="43" t="n">
        <f aca="false">IF($A11="","",$K11-$M11)</f>
        <v>16103.2</v>
      </c>
      <c r="O11" s="41" t="n">
        <f aca="false">IF($A11="","",SUMIFS(业务流水!$H$5:$H$1504,业务流水!$F$5:$F$1504,$A11,业务流水!$D$5:$D$1504,"管理费结算",业务流水!$Z$5:$Z$1504,"是"))</f>
        <v>10943.98</v>
      </c>
      <c r="P11" s="41" t="n">
        <f aca="false">IF($A11="","",SUMIFS(业务流水!$H$5:$H$1504,业务流水!$E$5:$E$1504,$A11,业务流水!$D$5:$D$1504,"扣质保金",业务流水!$Z$5:$Z$1504,"是"))</f>
        <v>0</v>
      </c>
    </row>
    <row r="12" customFormat="false" ht="15.75" hidden="false" customHeight="true" outlineLevel="0" collapsed="false">
      <c r="A12" s="32" t="str">
        <f aca="false">IF(单位档案!$C12&lt;&gt;"挂靠单位","",单位档案!$A12)</f>
        <v>金沁</v>
      </c>
      <c r="B12" s="40" t="str">
        <f aca="false">IF($A12="","",单位档案!$B12)</f>
        <v>金沁</v>
      </c>
      <c r="C12" s="41" t="n">
        <f aca="false">IF($A12="","",SUMIFS(业务流水!$H$5:$H$1504,业务流水!$E$5:$E$1504,$A12,业务流水!$D$5:$D$1504,"销项开票",业务流水!$Z$5:$Z$1504,"是"))</f>
        <v>703535.6</v>
      </c>
      <c r="D12" s="41" t="n">
        <f aca="false">IF($A12="","",SUMIFS(业务流水!$O$5:$O$1504,业务流水!$E$5:$E$1504,$A12,业务流水!$D$5:$D$1504,"销项开票",业务流水!$Z$5:$Z$1504,"是"))</f>
        <v>34829.17</v>
      </c>
      <c r="E12" s="41" t="n">
        <f aca="false">IF($A12="","",SUMIFS(业务流水!$P$5:$P$1504,业务流水!$E$5:$E$1504,$A12,业务流水!$D$5:$D$1504,"销项开票",业务流水!$Z$5:$Z$1504,"是"))</f>
        <v>668706.43</v>
      </c>
      <c r="F12" s="41" t="n">
        <f aca="false">IF($A12="","",SUMIFS(业务流水!$H$5:$H$1504,业务流水!$F$5:$F$1504,$A12,业务流水!$D$5:$D$1504,"成本票",业务流水!$Z$5:$Z$1504,"是")+SUMIFS(业务流水!$H$5:$H$1504,业务流水!$F$5:$F$1504,$A12,业务流水!$D$5:$D$1504,"销项开票",业务流水!$Z$5:$Z$1504,"是"))</f>
        <v>651152.53</v>
      </c>
      <c r="G12" s="42" t="n">
        <f aca="false">IF($A12="","",$E12-$F12)</f>
        <v>17553.8999999999</v>
      </c>
      <c r="H12" s="41" t="n">
        <f aca="false">IF($A12="","",SUMIFS(业务流水!$W$5:$W$1504,业务流水!$E$5:$E$1504,$A12,业务流水!$D$5:$D$1504,"销项开票",业务流水!$Z$5:$Z$1504,"是"))</f>
        <v>43668.9</v>
      </c>
      <c r="I12" s="41" t="n">
        <f aca="false">IF($A12="","",SUMIFS(业务流水!$H$5:$H$1504,业务流水!$E$5:$E$1504,$A12,业务流水!$D$5:$D$1504,"已交税",业务流水!$Z$5:$Z$1504,"是"))</f>
        <v>11075.59</v>
      </c>
      <c r="J12" s="42" t="n">
        <f aca="false">IF($A12="","",$H12-$I12)</f>
        <v>32593.31</v>
      </c>
      <c r="K12" s="41" t="n">
        <f aca="false">IF($A12="","",SUMIFS(业务流水!$H$5:$H$1504,业务流水!$F$5:$F$1504,$A12,业务流水!$D$5:$D$1504,"挂靠代收",业务流水!$Z$5:$Z$1504,"是"))</f>
        <v>565960</v>
      </c>
      <c r="L12" s="42" t="n">
        <f aca="false">IF($A12="","",$C12-$K12)</f>
        <v>137575.6</v>
      </c>
      <c r="M12" s="41" t="n">
        <f aca="false">IF($A12="","",SUMIFS(业务流水!$H$5:$H$1504,业务流水!$E$5:$E$1504,$A12,业务流水!$D$5:$D$1504,"我方收款",业务流水!$Z$5:$Z$1504,"是"))</f>
        <v>537141.73</v>
      </c>
      <c r="N12" s="43" t="n">
        <f aca="false">IF($A12="","",$K12-$M12)</f>
        <v>28818.27</v>
      </c>
      <c r="O12" s="41" t="n">
        <f aca="false">IF($A12="","",SUMIFS(业务流水!$H$5:$H$1504,业务流水!$F$5:$F$1504,$A12,业务流水!$D$5:$D$1504,"管理费结算",业务流水!$Z$5:$Z$1504,"是"))</f>
        <v>19500.91</v>
      </c>
      <c r="P12" s="41" t="n">
        <f aca="false">IF($A12="","",SUMIFS(业务流水!$H$5:$H$1504,业务流水!$E$5:$E$1504,$A12,业务流水!$D$5:$D$1504,"扣质保金",业务流水!$Z$5:$Z$1504,"是"))</f>
        <v>521.43</v>
      </c>
    </row>
    <row r="13" customFormat="false" ht="15.75" hidden="false" customHeight="true" outlineLevel="0" collapsed="false">
      <c r="A13" s="32" t="str">
        <f aca="false">IF(单位档案!$C13&lt;&gt;"挂靠单位","",单位档案!$A13)</f>
        <v>安锐</v>
      </c>
      <c r="B13" s="40" t="str">
        <f aca="false">IF($A13="","",单位档案!$B13)</f>
        <v>安锐</v>
      </c>
      <c r="C13" s="41" t="n">
        <f aca="false">IF($A13="","",SUMIFS(业务流水!$H$5:$H$1504,业务流水!$E$5:$E$1504,$A13,业务流水!$D$5:$D$1504,"销项开票",业务流水!$Z$5:$Z$1504,"是"))</f>
        <v>141749.77</v>
      </c>
      <c r="D13" s="41" t="n">
        <f aca="false">IF($A13="","",SUMIFS(业务流水!$O$5:$O$1504,业务流水!$E$5:$E$1504,$A13,业务流水!$D$5:$D$1504,"销项开票",业务流水!$Z$5:$Z$1504,"是"))</f>
        <v>2834.99</v>
      </c>
      <c r="E13" s="41" t="n">
        <f aca="false">IF($A13="","",SUMIFS(业务流水!$P$5:$P$1504,业务流水!$E$5:$E$1504,$A13,业务流水!$D$5:$D$1504,"销项开票",业务流水!$Z$5:$Z$1504,"是"))</f>
        <v>138914.78</v>
      </c>
      <c r="F13" s="41" t="n">
        <f aca="false">IF($A13="","",SUMIFS(业务流水!$H$5:$H$1504,业务流水!$F$5:$F$1504,$A13,业务流水!$D$5:$D$1504,"成本票",业务流水!$Z$5:$Z$1504,"是")+SUMIFS(业务流水!$H$5:$H$1504,业务流水!$F$5:$F$1504,$A13,业务流水!$D$5:$D$1504,"销项开票",业务流水!$Z$5:$Z$1504,"是"))</f>
        <v>133690.89</v>
      </c>
      <c r="G13" s="42" t="n">
        <f aca="false">IF($A13="","",$E13-$F13)</f>
        <v>5223.88999999999</v>
      </c>
      <c r="H13" s="41" t="n">
        <f aca="false">IF($A13="","",SUMIFS(业务流水!$W$5:$W$1504,业务流水!$E$5:$E$1504,$A13,业务流水!$D$5:$D$1504,"销项开票",业务流水!$Z$5:$Z$1504,"是"))</f>
        <v>345.71</v>
      </c>
      <c r="I13" s="41" t="n">
        <f aca="false">IF($A13="","",SUMIFS(业务流水!$H$5:$H$1504,业务流水!$E$5:$E$1504,$A13,业务流水!$D$5:$D$1504,"已交税",业务流水!$Z$5:$Z$1504,"是"))</f>
        <v>332.72</v>
      </c>
      <c r="J13" s="42" t="n">
        <f aca="false">IF($A13="","",$H13-$I13)</f>
        <v>12.99</v>
      </c>
      <c r="K13" s="41" t="n">
        <f aca="false">IF($A13="","",SUMIFS(业务流水!$H$5:$H$1504,业务流水!$F$5:$F$1504,$A13,业务流水!$D$5:$D$1504,"挂靠代收",业务流水!$Z$5:$Z$1504,"是"))</f>
        <v>8058.9</v>
      </c>
      <c r="L13" s="42" t="n">
        <f aca="false">IF($A13="","",$C13-$K13)</f>
        <v>133690.87</v>
      </c>
      <c r="M13" s="41" t="n">
        <f aca="false">IF($A13="","",SUMIFS(业务流水!$H$5:$H$1504,业务流水!$E$5:$E$1504,$A13,业务流水!$D$5:$D$1504,"我方收款",业务流水!$Z$5:$Z$1504,"是"))</f>
        <v>0</v>
      </c>
      <c r="N13" s="43" t="n">
        <f aca="false">IF($A13="","",$K13-$M13)</f>
        <v>8058.9</v>
      </c>
      <c r="O13" s="41" t="n">
        <f aca="false">IF($A13="","",SUMIFS(业务流水!$H$5:$H$1504,业务流水!$F$5:$F$1504,$A13,业务流水!$D$5:$D$1504,"管理费结算",业务流水!$Z$5:$Z$1504,"是"))</f>
        <v>2728.39</v>
      </c>
      <c r="P13" s="41" t="n">
        <f aca="false">IF($A13="","",SUMIFS(业务流水!$H$5:$H$1504,业务流水!$E$5:$E$1504,$A13,业务流水!$D$5:$D$1504,"扣质保金",业务流水!$Z$5:$Z$1504,"是"))</f>
        <v>0</v>
      </c>
    </row>
    <row r="14" customFormat="false" ht="15.75" hidden="false" customHeight="true" outlineLevel="0" collapsed="false">
      <c r="A14" s="32" t="str">
        <f aca="false">IF(单位档案!$C14&lt;&gt;"挂靠单位","",单位档案!$A14)</f>
        <v>湖南锦泰</v>
      </c>
      <c r="B14" s="40" t="str">
        <f aca="false">IF($A14="","",单位档案!$B14)</f>
        <v>湖南锦泰电力建设有限公司</v>
      </c>
      <c r="C14" s="41" t="n">
        <f aca="false">IF($A14="","",SUMIFS(业务流水!$H$5:$H$1504,业务流水!$E$5:$E$1504,$A14,业务流水!$D$5:$D$1504,"销项开票",业务流水!$Z$5:$Z$1504,"是"))</f>
        <v>163893.26</v>
      </c>
      <c r="D14" s="41" t="n">
        <f aca="false">IF($A14="","",SUMIFS(业务流水!$O$5:$O$1504,业务流水!$E$5:$E$1504,$A14,业务流水!$D$5:$D$1504,"销项开票",业务流水!$Z$5:$Z$1504,"是"))</f>
        <v>16389.32</v>
      </c>
      <c r="E14" s="41" t="n">
        <f aca="false">IF($A14="","",SUMIFS(业务流水!$P$5:$P$1504,业务流水!$E$5:$E$1504,$A14,业务流水!$D$5:$D$1504,"销项开票",业务流水!$Z$5:$Z$1504,"是"))</f>
        <v>147503.94</v>
      </c>
      <c r="F14" s="41" t="n">
        <f aca="false">IF($A14="","",SUMIFS(业务流水!$H$5:$H$1504,业务流水!$F$5:$F$1504,$A14,业务流水!$D$5:$D$1504,"成本票",业务流水!$Z$5:$Z$1504,"是")+SUMIFS(业务流水!$H$5:$H$1504,业务流水!$F$5:$F$1504,$A14,业务流水!$D$5:$D$1504,"销项开票",业务流水!$Z$5:$Z$1504,"是"))</f>
        <v>0</v>
      </c>
      <c r="G14" s="42" t="n">
        <f aca="false">IF($A14="","",$E14-$F14)</f>
        <v>147503.94</v>
      </c>
      <c r="H14" s="41" t="n">
        <f aca="false">IF($A14="","",SUMIFS(业务流水!$W$5:$W$1504,业务流水!$E$5:$E$1504,$A14,业务流水!$D$5:$D$1504,"销项开票",业务流水!$Z$5:$Z$1504,"是"))</f>
        <v>15156.37</v>
      </c>
      <c r="I14" s="41" t="n">
        <f aca="false">IF($A14="","",SUMIFS(业务流水!$H$5:$H$1504,业务流水!$E$5:$E$1504,$A14,业务流水!$D$5:$D$1504,"已交税",业务流水!$Z$5:$Z$1504,"是"))</f>
        <v>17766.62</v>
      </c>
      <c r="J14" s="42" t="n">
        <f aca="false">IF($A14="","",$H14-$I14)</f>
        <v>-2610.25</v>
      </c>
      <c r="K14" s="41" t="n">
        <f aca="false">IF($A14="","",SUMIFS(业务流水!$H$5:$H$1504,业务流水!$F$5:$F$1504,$A14,业务流水!$D$5:$D$1504,"挂靠代收",业务流水!$Z$5:$Z$1504,"是"))</f>
        <v>0</v>
      </c>
      <c r="L14" s="42" t="n">
        <f aca="false">IF($A14="","",$C14-$K14)</f>
        <v>163893.26</v>
      </c>
      <c r="M14" s="41" t="n">
        <f aca="false">IF($A14="","",SUMIFS(业务流水!$H$5:$H$1504,业务流水!$E$5:$E$1504,$A14,业务流水!$D$5:$D$1504,"我方收款",业务流水!$Z$5:$Z$1504,"是"))</f>
        <v>0</v>
      </c>
      <c r="N14" s="43" t="n">
        <f aca="false">IF($A14="","",$K14-$M14)</f>
        <v>0</v>
      </c>
      <c r="O14" s="41" t="n">
        <f aca="false">IF($A14="","",SUMIFS(业务流水!$H$5:$H$1504,业务流水!$F$5:$F$1504,$A14,业务流水!$D$5:$D$1504,"管理费结算",业务流水!$Z$5:$Z$1504,"是"))</f>
        <v>16389.36</v>
      </c>
      <c r="P14" s="41" t="n">
        <f aca="false">IF($A14="","",SUMIFS(业务流水!$H$5:$H$1504,业务流水!$E$5:$E$1504,$A14,业务流水!$D$5:$D$1504,"扣质保金",业务流水!$Z$5:$Z$1504,"是"))</f>
        <v>0</v>
      </c>
    </row>
    <row r="15" customFormat="false" ht="15.75" hidden="false" customHeight="true" outlineLevel="0" collapsed="false">
      <c r="A15" s="32" t="str">
        <f aca="false">IF(单位档案!$C15&lt;&gt;"挂靠单位","",单位档案!$A15)</f>
        <v>杰华</v>
      </c>
      <c r="B15" s="40" t="str">
        <f aca="false">IF($A15="","",单位档案!$B15)</f>
        <v>重庆杰华电气有限公司</v>
      </c>
      <c r="C15" s="41" t="n">
        <f aca="false">IF($A15="","",SUMIFS(业务流水!$H$5:$H$1504,业务流水!$E$5:$E$1504,$A15,业务流水!$D$5:$D$1504,"销项开票",业务流水!$Z$5:$Z$1504,"是"))</f>
        <v>122305.72</v>
      </c>
      <c r="D15" s="41" t="n">
        <f aca="false">IF($A15="","",SUMIFS(业务流水!$O$5:$O$1504,业务流水!$E$5:$E$1504,$A15,业务流水!$D$5:$D$1504,"销项开票",业务流水!$Z$5:$Z$1504,"是"))</f>
        <v>12230.57</v>
      </c>
      <c r="E15" s="41" t="n">
        <f aca="false">IF($A15="","",SUMIFS(业务流水!$P$5:$P$1504,业务流水!$E$5:$E$1504,$A15,业务流水!$D$5:$D$1504,"销项开票",业务流水!$Z$5:$Z$1504,"是"))</f>
        <v>110075.15</v>
      </c>
      <c r="F15" s="41" t="n">
        <f aca="false">IF($A15="","",SUMIFS(业务流水!$H$5:$H$1504,业务流水!$F$5:$F$1504,$A15,业务流水!$D$5:$D$1504,"成本票",业务流水!$Z$5:$Z$1504,"是")+SUMIFS(业务流水!$H$5:$H$1504,业务流水!$F$5:$F$1504,$A15,业务流水!$D$5:$D$1504,"销项开票",业务流水!$Z$5:$Z$1504,"是"))</f>
        <v>0</v>
      </c>
      <c r="G15" s="42" t="n">
        <f aca="false">IF($A15="","",$E15-$F15)</f>
        <v>110075.15</v>
      </c>
      <c r="H15" s="41" t="n">
        <f aca="false">IF($A15="","",SUMIFS(业务流水!$W$5:$W$1504,业务流水!$E$5:$E$1504,$A15,业务流水!$D$5:$D$1504,"销项开票",业务流水!$Z$5:$Z$1504,"是"))</f>
        <v>15759.04</v>
      </c>
      <c r="I15" s="41" t="n">
        <f aca="false">IF($A15="","",SUMIFS(业务流水!$H$5:$H$1504,业务流水!$E$5:$E$1504,$A15,业务流水!$D$5:$D$1504,"已交税",业务流水!$Z$5:$Z$1504,"是"))</f>
        <v>0</v>
      </c>
      <c r="J15" s="42" t="n">
        <f aca="false">IF($A15="","",$H15-$I15)</f>
        <v>15759.04</v>
      </c>
      <c r="K15" s="41" t="n">
        <f aca="false">IF($A15="","",SUMIFS(业务流水!$H$5:$H$1504,业务流水!$F$5:$F$1504,$A15,业务流水!$D$5:$D$1504,"挂靠代收",业务流水!$Z$5:$Z$1504,"是"))</f>
        <v>122305.72</v>
      </c>
      <c r="L15" s="42" t="n">
        <f aca="false">IF($A15="","",$C15-$K15)</f>
        <v>0</v>
      </c>
      <c r="M15" s="41" t="n">
        <f aca="false">IF($A15="","",SUMIFS(业务流水!$H$5:$H$1504,业务流水!$E$5:$E$1504,$A15,业务流水!$D$5:$D$1504,"我方收款",业务流水!$Z$5:$Z$1504,"是"))</f>
        <v>0</v>
      </c>
      <c r="N15" s="43" t="n">
        <f aca="false">IF($A15="","",$K15-$M15)</f>
        <v>122305.72</v>
      </c>
      <c r="O15" s="41" t="n">
        <f aca="false">IF($A15="","",SUMIFS(业务流水!$H$5:$H$1504,业务流水!$F$5:$F$1504,$A15,业务流水!$D$5:$D$1504,"管理费结算",业务流水!$Z$5:$Z$1504,"是"))</f>
        <v>0</v>
      </c>
      <c r="P15" s="41" t="n">
        <f aca="false">IF($A15="","",SUMIFS(业务流水!$H$5:$H$1504,业务流水!$E$5:$E$1504,$A15,业务流水!$D$5:$D$1504,"扣质保金",业务流水!$Z$5:$Z$1504,"是"))</f>
        <v>0</v>
      </c>
    </row>
    <row r="16" customFormat="false" ht="15.75" hidden="false" customHeight="true" outlineLevel="0" collapsed="false">
      <c r="A16" s="32" t="str">
        <f aca="false">IF(单位档案!$C16&lt;&gt;"挂靠单位","",单位档案!$A16)</f>
        <v/>
      </c>
      <c r="B16" s="40" t="str">
        <f aca="false">IF($A16="","",单位档案!$B16)</f>
        <v/>
      </c>
      <c r="C16" s="41" t="str">
        <f aca="false">IF($A16="","",SUMIFS(业务流水!$H$5:$H$1504,业务流水!$E$5:$E$1504,$A16,业务流水!$D$5:$D$1504,"销项开票",业务流水!$Z$5:$Z$1504,"是"))</f>
        <v/>
      </c>
      <c r="D16" s="41" t="str">
        <f aca="false">IF($A16="","",SUMIFS(业务流水!$O$5:$O$1504,业务流水!$E$5:$E$1504,$A16,业务流水!$D$5:$D$1504,"销项开票",业务流水!$Z$5:$Z$1504,"是"))</f>
        <v/>
      </c>
      <c r="E16" s="41" t="str">
        <f aca="false">IF($A16="","",SUMIFS(业务流水!$P$5:$P$1504,业务流水!$E$5:$E$1504,$A16,业务流水!$D$5:$D$1504,"销项开票",业务流水!$Z$5:$Z$1504,"是"))</f>
        <v/>
      </c>
      <c r="F16" s="41" t="str">
        <f aca="false">IF($A16="","",SUMIFS(业务流水!$H$5:$H$1504,业务流水!$F$5:$F$1504,$A16,业务流水!$D$5:$D$1504,"成本票",业务流水!$Z$5:$Z$1504,"是")+SUMIFS(业务流水!$H$5:$H$1504,业务流水!$F$5:$F$1504,$A16,业务流水!$D$5:$D$1504,"销项开票",业务流水!$Z$5:$Z$1504,"是"))</f>
        <v/>
      </c>
      <c r="G16" s="42" t="str">
        <f aca="false">IF($A16="","",$E16-$F16)</f>
        <v/>
      </c>
      <c r="H16" s="41" t="str">
        <f aca="false">IF($A16="","",SUMIFS(业务流水!$W$5:$W$1504,业务流水!$E$5:$E$1504,$A16,业务流水!$D$5:$D$1504,"销项开票",业务流水!$Z$5:$Z$1504,"是"))</f>
        <v/>
      </c>
      <c r="I16" s="41" t="str">
        <f aca="false">IF($A16="","",SUMIFS(业务流水!$H$5:$H$1504,业务流水!$E$5:$E$1504,$A16,业务流水!$D$5:$D$1504,"已交税",业务流水!$Z$5:$Z$1504,"是"))</f>
        <v/>
      </c>
      <c r="J16" s="42" t="str">
        <f aca="false">IF($A16="","",$H16-$I16)</f>
        <v/>
      </c>
      <c r="K16" s="41" t="str">
        <f aca="false">IF($A16="","",SUMIFS(业务流水!$H$5:$H$1504,业务流水!$F$5:$F$1504,$A16,业务流水!$D$5:$D$1504,"挂靠代收",业务流水!$Z$5:$Z$1504,"是"))</f>
        <v/>
      </c>
      <c r="L16" s="42" t="str">
        <f aca="false">IF($A16="","",$C16-$K16)</f>
        <v/>
      </c>
      <c r="M16" s="41" t="str">
        <f aca="false">IF($A16="","",SUMIFS(业务流水!$H$5:$H$1504,业务流水!$E$5:$E$1504,$A16,业务流水!$D$5:$D$1504,"我方收款",业务流水!$Z$5:$Z$1504,"是"))</f>
        <v/>
      </c>
      <c r="N16" s="43" t="str">
        <f aca="false">IF($A16="","",$K16-$M16)</f>
        <v/>
      </c>
      <c r="O16" s="41" t="str">
        <f aca="false">IF($A16="","",SUMIFS(业务流水!$H$5:$H$1504,业务流水!$F$5:$F$1504,$A16,业务流水!$D$5:$D$1504,"管理费结算",业务流水!$Z$5:$Z$1504,"是"))</f>
        <v/>
      </c>
      <c r="P16" s="41" t="str">
        <f aca="false">IF($A16="","",SUMIFS(业务流水!$H$5:$H$1504,业务流水!$E$5:$E$1504,$A16,业务流水!$D$5:$D$1504,"扣质保金",业务流水!$Z$5:$Z$1504,"是"))</f>
        <v/>
      </c>
    </row>
    <row r="17" customFormat="false" ht="15.75" hidden="false" customHeight="true" outlineLevel="0" collapsed="false">
      <c r="A17" s="32" t="str">
        <f aca="false">IF(单位档案!$C17&lt;&gt;"挂靠单位","",单位档案!$A17)</f>
        <v/>
      </c>
      <c r="B17" s="40" t="str">
        <f aca="false">IF($A17="","",单位档案!$B17)</f>
        <v/>
      </c>
      <c r="C17" s="41" t="str">
        <f aca="false">IF($A17="","",SUMIFS(业务流水!$H$5:$H$1504,业务流水!$E$5:$E$1504,$A17,业务流水!$D$5:$D$1504,"销项开票",业务流水!$Z$5:$Z$1504,"是"))</f>
        <v/>
      </c>
      <c r="D17" s="41" t="str">
        <f aca="false">IF($A17="","",SUMIFS(业务流水!$O$5:$O$1504,业务流水!$E$5:$E$1504,$A17,业务流水!$D$5:$D$1504,"销项开票",业务流水!$Z$5:$Z$1504,"是"))</f>
        <v/>
      </c>
      <c r="E17" s="41" t="str">
        <f aca="false">IF($A17="","",SUMIFS(业务流水!$P$5:$P$1504,业务流水!$E$5:$E$1504,$A17,业务流水!$D$5:$D$1504,"销项开票",业务流水!$Z$5:$Z$1504,"是"))</f>
        <v/>
      </c>
      <c r="F17" s="41" t="str">
        <f aca="false">IF($A17="","",SUMIFS(业务流水!$H$5:$H$1504,业务流水!$F$5:$F$1504,$A17,业务流水!$D$5:$D$1504,"成本票",业务流水!$Z$5:$Z$1504,"是")+SUMIFS(业务流水!$H$5:$H$1504,业务流水!$F$5:$F$1504,$A17,业务流水!$D$5:$D$1504,"销项开票",业务流水!$Z$5:$Z$1504,"是"))</f>
        <v/>
      </c>
      <c r="G17" s="42" t="str">
        <f aca="false">IF($A17="","",$E17-$F17)</f>
        <v/>
      </c>
      <c r="H17" s="41" t="str">
        <f aca="false">IF($A17="","",SUMIFS(业务流水!$W$5:$W$1504,业务流水!$E$5:$E$1504,$A17,业务流水!$D$5:$D$1504,"销项开票",业务流水!$Z$5:$Z$1504,"是"))</f>
        <v/>
      </c>
      <c r="I17" s="41" t="str">
        <f aca="false">IF($A17="","",SUMIFS(业务流水!$H$5:$H$1504,业务流水!$E$5:$E$1504,$A17,业务流水!$D$5:$D$1504,"已交税",业务流水!$Z$5:$Z$1504,"是"))</f>
        <v/>
      </c>
      <c r="J17" s="42" t="str">
        <f aca="false">IF($A17="","",$H17-$I17)</f>
        <v/>
      </c>
      <c r="K17" s="41" t="str">
        <f aca="false">IF($A17="","",SUMIFS(业务流水!$H$5:$H$1504,业务流水!$F$5:$F$1504,$A17,业务流水!$D$5:$D$1504,"挂靠代收",业务流水!$Z$5:$Z$1504,"是"))</f>
        <v/>
      </c>
      <c r="L17" s="42" t="str">
        <f aca="false">IF($A17="","",$C17-$K17)</f>
        <v/>
      </c>
      <c r="M17" s="41" t="str">
        <f aca="false">IF($A17="","",SUMIFS(业务流水!$H$5:$H$1504,业务流水!$E$5:$E$1504,$A17,业务流水!$D$5:$D$1504,"我方收款",业务流水!$Z$5:$Z$1504,"是"))</f>
        <v/>
      </c>
      <c r="N17" s="43" t="str">
        <f aca="false">IF($A17="","",$K17-$M17)</f>
        <v/>
      </c>
      <c r="O17" s="41" t="str">
        <f aca="false">IF($A17="","",SUMIFS(业务流水!$H$5:$H$1504,业务流水!$F$5:$F$1504,$A17,业务流水!$D$5:$D$1504,"管理费结算",业务流水!$Z$5:$Z$1504,"是"))</f>
        <v/>
      </c>
      <c r="P17" s="41" t="str">
        <f aca="false">IF($A17="","",SUMIFS(业务流水!$H$5:$H$1504,业务流水!$E$5:$E$1504,$A17,业务流水!$D$5:$D$1504,"扣质保金",业务流水!$Z$5:$Z$1504,"是"))</f>
        <v/>
      </c>
    </row>
    <row r="18" customFormat="false" ht="15.75" hidden="false" customHeight="true" outlineLevel="0" collapsed="false">
      <c r="A18" s="32" t="str">
        <f aca="false">IF(单位档案!$C18&lt;&gt;"挂靠单位","",单位档案!$A18)</f>
        <v/>
      </c>
      <c r="B18" s="40" t="str">
        <f aca="false">IF($A18="","",单位档案!$B18)</f>
        <v/>
      </c>
      <c r="C18" s="41" t="str">
        <f aca="false">IF($A18="","",SUMIFS(业务流水!$H$5:$H$1504,业务流水!$E$5:$E$1504,$A18,业务流水!$D$5:$D$1504,"销项开票",业务流水!$Z$5:$Z$1504,"是"))</f>
        <v/>
      </c>
      <c r="D18" s="41" t="str">
        <f aca="false">IF($A18="","",SUMIFS(业务流水!$O$5:$O$1504,业务流水!$E$5:$E$1504,$A18,业务流水!$D$5:$D$1504,"销项开票",业务流水!$Z$5:$Z$1504,"是"))</f>
        <v/>
      </c>
      <c r="E18" s="41" t="str">
        <f aca="false">IF($A18="","",SUMIFS(业务流水!$P$5:$P$1504,业务流水!$E$5:$E$1504,$A18,业务流水!$D$5:$D$1504,"销项开票",业务流水!$Z$5:$Z$1504,"是"))</f>
        <v/>
      </c>
      <c r="F18" s="41" t="str">
        <f aca="false">IF($A18="","",SUMIFS(业务流水!$H$5:$H$1504,业务流水!$F$5:$F$1504,$A18,业务流水!$D$5:$D$1504,"成本票",业务流水!$Z$5:$Z$1504,"是")+SUMIFS(业务流水!$H$5:$H$1504,业务流水!$F$5:$F$1504,$A18,业务流水!$D$5:$D$1504,"销项开票",业务流水!$Z$5:$Z$1504,"是"))</f>
        <v/>
      </c>
      <c r="G18" s="42" t="str">
        <f aca="false">IF($A18="","",$E18-$F18)</f>
        <v/>
      </c>
      <c r="H18" s="41" t="str">
        <f aca="false">IF($A18="","",SUMIFS(业务流水!$W$5:$W$1504,业务流水!$E$5:$E$1504,$A18,业务流水!$D$5:$D$1504,"销项开票",业务流水!$Z$5:$Z$1504,"是"))</f>
        <v/>
      </c>
      <c r="I18" s="41" t="str">
        <f aca="false">IF($A18="","",SUMIFS(业务流水!$H$5:$H$1504,业务流水!$E$5:$E$1504,$A18,业务流水!$D$5:$D$1504,"已交税",业务流水!$Z$5:$Z$1504,"是"))</f>
        <v/>
      </c>
      <c r="J18" s="42" t="str">
        <f aca="false">IF($A18="","",$H18-$I18)</f>
        <v/>
      </c>
      <c r="K18" s="41" t="str">
        <f aca="false">IF($A18="","",SUMIFS(业务流水!$H$5:$H$1504,业务流水!$F$5:$F$1504,$A18,业务流水!$D$5:$D$1504,"挂靠代收",业务流水!$Z$5:$Z$1504,"是"))</f>
        <v/>
      </c>
      <c r="L18" s="42" t="str">
        <f aca="false">IF($A18="","",$C18-$K18)</f>
        <v/>
      </c>
      <c r="M18" s="41" t="str">
        <f aca="false">IF($A18="","",SUMIFS(业务流水!$H$5:$H$1504,业务流水!$E$5:$E$1504,$A18,业务流水!$D$5:$D$1504,"我方收款",业务流水!$Z$5:$Z$1504,"是"))</f>
        <v/>
      </c>
      <c r="N18" s="43" t="str">
        <f aca="false">IF($A18="","",$K18-$M18)</f>
        <v/>
      </c>
      <c r="O18" s="41" t="str">
        <f aca="false">IF($A18="","",SUMIFS(业务流水!$H$5:$H$1504,业务流水!$F$5:$F$1504,$A18,业务流水!$D$5:$D$1504,"管理费结算",业务流水!$Z$5:$Z$1504,"是"))</f>
        <v/>
      </c>
      <c r="P18" s="41" t="str">
        <f aca="false">IF($A18="","",SUMIFS(业务流水!$H$5:$H$1504,业务流水!$E$5:$E$1504,$A18,业务流水!$D$5:$D$1504,"扣质保金",业务流水!$Z$5:$Z$1504,"是"))</f>
        <v/>
      </c>
    </row>
    <row r="19" customFormat="false" ht="15.75" hidden="false" customHeight="true" outlineLevel="0" collapsed="false">
      <c r="A19" s="32" t="str">
        <f aca="false">IF(单位档案!$C19&lt;&gt;"挂靠单位","",单位档案!$A19)</f>
        <v/>
      </c>
      <c r="B19" s="40" t="str">
        <f aca="false">IF($A19="","",单位档案!$B19)</f>
        <v/>
      </c>
      <c r="C19" s="41" t="str">
        <f aca="false">IF($A19="","",SUMIFS(业务流水!$H$5:$H$1504,业务流水!$E$5:$E$1504,$A19,业务流水!$D$5:$D$1504,"销项开票",业务流水!$Z$5:$Z$1504,"是"))</f>
        <v/>
      </c>
      <c r="D19" s="41" t="str">
        <f aca="false">IF($A19="","",SUMIFS(业务流水!$O$5:$O$1504,业务流水!$E$5:$E$1504,$A19,业务流水!$D$5:$D$1504,"销项开票",业务流水!$Z$5:$Z$1504,"是"))</f>
        <v/>
      </c>
      <c r="E19" s="41" t="str">
        <f aca="false">IF($A19="","",SUMIFS(业务流水!$P$5:$P$1504,业务流水!$E$5:$E$1504,$A19,业务流水!$D$5:$D$1504,"销项开票",业务流水!$Z$5:$Z$1504,"是"))</f>
        <v/>
      </c>
      <c r="F19" s="41" t="str">
        <f aca="false">IF($A19="","",SUMIFS(业务流水!$H$5:$H$1504,业务流水!$F$5:$F$1504,$A19,业务流水!$D$5:$D$1504,"成本票",业务流水!$Z$5:$Z$1504,"是")+SUMIFS(业务流水!$H$5:$H$1504,业务流水!$F$5:$F$1504,$A19,业务流水!$D$5:$D$1504,"销项开票",业务流水!$Z$5:$Z$1504,"是"))</f>
        <v/>
      </c>
      <c r="G19" s="42" t="str">
        <f aca="false">IF($A19="","",$E19-$F19)</f>
        <v/>
      </c>
      <c r="H19" s="41" t="str">
        <f aca="false">IF($A19="","",SUMIFS(业务流水!$W$5:$W$1504,业务流水!$E$5:$E$1504,$A19,业务流水!$D$5:$D$1504,"销项开票",业务流水!$Z$5:$Z$1504,"是"))</f>
        <v/>
      </c>
      <c r="I19" s="41" t="str">
        <f aca="false">IF($A19="","",SUMIFS(业务流水!$H$5:$H$1504,业务流水!$E$5:$E$1504,$A19,业务流水!$D$5:$D$1504,"已交税",业务流水!$Z$5:$Z$1504,"是"))</f>
        <v/>
      </c>
      <c r="J19" s="42" t="str">
        <f aca="false">IF($A19="","",$H19-$I19)</f>
        <v/>
      </c>
      <c r="K19" s="41" t="str">
        <f aca="false">IF($A19="","",SUMIFS(业务流水!$H$5:$H$1504,业务流水!$F$5:$F$1504,$A19,业务流水!$D$5:$D$1504,"挂靠代收",业务流水!$Z$5:$Z$1504,"是"))</f>
        <v/>
      </c>
      <c r="L19" s="42" t="str">
        <f aca="false">IF($A19="","",$C19-$K19)</f>
        <v/>
      </c>
      <c r="M19" s="41" t="str">
        <f aca="false">IF($A19="","",SUMIFS(业务流水!$H$5:$H$1504,业务流水!$E$5:$E$1504,$A19,业务流水!$D$5:$D$1504,"我方收款",业务流水!$Z$5:$Z$1504,"是"))</f>
        <v/>
      </c>
      <c r="N19" s="43" t="str">
        <f aca="false">IF($A19="","",$K19-$M19)</f>
        <v/>
      </c>
      <c r="O19" s="41" t="str">
        <f aca="false">IF($A19="","",SUMIFS(业务流水!$H$5:$H$1504,业务流水!$F$5:$F$1504,$A19,业务流水!$D$5:$D$1504,"管理费结算",业务流水!$Z$5:$Z$1504,"是"))</f>
        <v/>
      </c>
      <c r="P19" s="41" t="str">
        <f aca="false">IF($A19="","",SUMIFS(业务流水!$H$5:$H$1504,业务流水!$E$5:$E$1504,$A19,业务流水!$D$5:$D$1504,"扣质保金",业务流水!$Z$5:$Z$1504,"是"))</f>
        <v/>
      </c>
    </row>
    <row r="20" customFormat="false" ht="15.75" hidden="false" customHeight="true" outlineLevel="0" collapsed="false">
      <c r="A20" s="32" t="str">
        <f aca="false">IF(单位档案!$C20&lt;&gt;"挂靠单位","",单位档案!$A20)</f>
        <v/>
      </c>
      <c r="B20" s="40" t="str">
        <f aca="false">IF($A20="","",单位档案!$B20)</f>
        <v/>
      </c>
      <c r="C20" s="41" t="str">
        <f aca="false">IF($A20="","",SUMIFS(业务流水!$H$5:$H$1504,业务流水!$E$5:$E$1504,$A20,业务流水!$D$5:$D$1504,"销项开票",业务流水!$Z$5:$Z$1504,"是"))</f>
        <v/>
      </c>
      <c r="D20" s="41" t="str">
        <f aca="false">IF($A20="","",SUMIFS(业务流水!$O$5:$O$1504,业务流水!$E$5:$E$1504,$A20,业务流水!$D$5:$D$1504,"销项开票",业务流水!$Z$5:$Z$1504,"是"))</f>
        <v/>
      </c>
      <c r="E20" s="41" t="str">
        <f aca="false">IF($A20="","",SUMIFS(业务流水!$P$5:$P$1504,业务流水!$E$5:$E$1504,$A20,业务流水!$D$5:$D$1504,"销项开票",业务流水!$Z$5:$Z$1504,"是"))</f>
        <v/>
      </c>
      <c r="F20" s="41" t="str">
        <f aca="false">IF($A20="","",SUMIFS(业务流水!$H$5:$H$1504,业务流水!$F$5:$F$1504,$A20,业务流水!$D$5:$D$1504,"成本票",业务流水!$Z$5:$Z$1504,"是")+SUMIFS(业务流水!$H$5:$H$1504,业务流水!$F$5:$F$1504,$A20,业务流水!$D$5:$D$1504,"销项开票",业务流水!$Z$5:$Z$1504,"是"))</f>
        <v/>
      </c>
      <c r="G20" s="42" t="str">
        <f aca="false">IF($A20="","",$E20-$F20)</f>
        <v/>
      </c>
      <c r="H20" s="41" t="str">
        <f aca="false">IF($A20="","",SUMIFS(业务流水!$W$5:$W$1504,业务流水!$E$5:$E$1504,$A20,业务流水!$D$5:$D$1504,"销项开票",业务流水!$Z$5:$Z$1504,"是"))</f>
        <v/>
      </c>
      <c r="I20" s="41" t="str">
        <f aca="false">IF($A20="","",SUMIFS(业务流水!$H$5:$H$1504,业务流水!$E$5:$E$1504,$A20,业务流水!$D$5:$D$1504,"已交税",业务流水!$Z$5:$Z$1504,"是"))</f>
        <v/>
      </c>
      <c r="J20" s="42" t="str">
        <f aca="false">IF($A20="","",$H20-$I20)</f>
        <v/>
      </c>
      <c r="K20" s="41" t="str">
        <f aca="false">IF($A20="","",SUMIFS(业务流水!$H$5:$H$1504,业务流水!$F$5:$F$1504,$A20,业务流水!$D$5:$D$1504,"挂靠代收",业务流水!$Z$5:$Z$1504,"是"))</f>
        <v/>
      </c>
      <c r="L20" s="42" t="str">
        <f aca="false">IF($A20="","",$C20-$K20)</f>
        <v/>
      </c>
      <c r="M20" s="41" t="str">
        <f aca="false">IF($A20="","",SUMIFS(业务流水!$H$5:$H$1504,业务流水!$E$5:$E$1504,$A20,业务流水!$D$5:$D$1504,"我方收款",业务流水!$Z$5:$Z$1504,"是"))</f>
        <v/>
      </c>
      <c r="N20" s="43" t="str">
        <f aca="false">IF($A20="","",$K20-$M20)</f>
        <v/>
      </c>
      <c r="O20" s="41" t="str">
        <f aca="false">IF($A20="","",SUMIFS(业务流水!$H$5:$H$1504,业务流水!$F$5:$F$1504,$A20,业务流水!$D$5:$D$1504,"管理费结算",业务流水!$Z$5:$Z$1504,"是"))</f>
        <v/>
      </c>
      <c r="P20" s="41" t="str">
        <f aca="false">IF($A20="","",SUMIFS(业务流水!$H$5:$H$1504,业务流水!$E$5:$E$1504,$A20,业务流水!$D$5:$D$1504,"扣质保金",业务流水!$Z$5:$Z$1504,"是"))</f>
        <v/>
      </c>
    </row>
    <row r="21" customFormat="false" ht="15.75" hidden="false" customHeight="true" outlineLevel="0" collapsed="false">
      <c r="A21" s="32" t="str">
        <f aca="false">IF(单位档案!$C21&lt;&gt;"挂靠单位","",单位档案!$A21)</f>
        <v/>
      </c>
      <c r="B21" s="40" t="str">
        <f aca="false">IF($A21="","",单位档案!$B21)</f>
        <v/>
      </c>
      <c r="C21" s="41" t="str">
        <f aca="false">IF($A21="","",SUMIFS(业务流水!$H$5:$H$1504,业务流水!$E$5:$E$1504,$A21,业务流水!$D$5:$D$1504,"销项开票",业务流水!$Z$5:$Z$1504,"是"))</f>
        <v/>
      </c>
      <c r="D21" s="41" t="str">
        <f aca="false">IF($A21="","",SUMIFS(业务流水!$O$5:$O$1504,业务流水!$E$5:$E$1504,$A21,业务流水!$D$5:$D$1504,"销项开票",业务流水!$Z$5:$Z$1504,"是"))</f>
        <v/>
      </c>
      <c r="E21" s="41" t="str">
        <f aca="false">IF($A21="","",SUMIFS(业务流水!$P$5:$P$1504,业务流水!$E$5:$E$1504,$A21,业务流水!$D$5:$D$1504,"销项开票",业务流水!$Z$5:$Z$1504,"是"))</f>
        <v/>
      </c>
      <c r="F21" s="41" t="str">
        <f aca="false">IF($A21="","",SUMIFS(业务流水!$H$5:$H$1504,业务流水!$F$5:$F$1504,$A21,业务流水!$D$5:$D$1504,"成本票",业务流水!$Z$5:$Z$1504,"是")+SUMIFS(业务流水!$H$5:$H$1504,业务流水!$F$5:$F$1504,$A21,业务流水!$D$5:$D$1504,"销项开票",业务流水!$Z$5:$Z$1504,"是"))</f>
        <v/>
      </c>
      <c r="G21" s="42" t="str">
        <f aca="false">IF($A21="","",$E21-$F21)</f>
        <v/>
      </c>
      <c r="H21" s="41" t="str">
        <f aca="false">IF($A21="","",SUMIFS(业务流水!$W$5:$W$1504,业务流水!$E$5:$E$1504,$A21,业务流水!$D$5:$D$1504,"销项开票",业务流水!$Z$5:$Z$1504,"是"))</f>
        <v/>
      </c>
      <c r="I21" s="41" t="str">
        <f aca="false">IF($A21="","",SUMIFS(业务流水!$H$5:$H$1504,业务流水!$E$5:$E$1504,$A21,业务流水!$D$5:$D$1504,"已交税",业务流水!$Z$5:$Z$1504,"是"))</f>
        <v/>
      </c>
      <c r="J21" s="42" t="str">
        <f aca="false">IF($A21="","",$H21-$I21)</f>
        <v/>
      </c>
      <c r="K21" s="41" t="str">
        <f aca="false">IF($A21="","",SUMIFS(业务流水!$H$5:$H$1504,业务流水!$F$5:$F$1504,$A21,业务流水!$D$5:$D$1504,"挂靠代收",业务流水!$Z$5:$Z$1504,"是"))</f>
        <v/>
      </c>
      <c r="L21" s="42" t="str">
        <f aca="false">IF($A21="","",$C21-$K21)</f>
        <v/>
      </c>
      <c r="M21" s="41" t="str">
        <f aca="false">IF($A21="","",SUMIFS(业务流水!$H$5:$H$1504,业务流水!$E$5:$E$1504,$A21,业务流水!$D$5:$D$1504,"我方收款",业务流水!$Z$5:$Z$1504,"是"))</f>
        <v/>
      </c>
      <c r="N21" s="43" t="str">
        <f aca="false">IF($A21="","",$K21-$M21)</f>
        <v/>
      </c>
      <c r="O21" s="41" t="str">
        <f aca="false">IF($A21="","",SUMIFS(业务流水!$H$5:$H$1504,业务流水!$F$5:$F$1504,$A21,业务流水!$D$5:$D$1504,"管理费结算",业务流水!$Z$5:$Z$1504,"是"))</f>
        <v/>
      </c>
      <c r="P21" s="41" t="str">
        <f aca="false">IF($A21="","",SUMIFS(业务流水!$H$5:$H$1504,业务流水!$E$5:$E$1504,$A21,业务流水!$D$5:$D$1504,"扣质保金",业务流水!$Z$5:$Z$1504,"是"))</f>
        <v/>
      </c>
    </row>
    <row r="22" customFormat="false" ht="15.75" hidden="false" customHeight="true" outlineLevel="0" collapsed="false">
      <c r="A22" s="32" t="str">
        <f aca="false">IF(单位档案!$C22&lt;&gt;"挂靠单位","",单位档案!$A22)</f>
        <v/>
      </c>
      <c r="B22" s="40" t="str">
        <f aca="false">IF($A22="","",单位档案!$B22)</f>
        <v/>
      </c>
      <c r="C22" s="41" t="str">
        <f aca="false">IF($A22="","",SUMIFS(业务流水!$H$5:$H$1504,业务流水!$E$5:$E$1504,$A22,业务流水!$D$5:$D$1504,"销项开票",业务流水!$Z$5:$Z$1504,"是"))</f>
        <v/>
      </c>
      <c r="D22" s="41" t="str">
        <f aca="false">IF($A22="","",SUMIFS(业务流水!$O$5:$O$1504,业务流水!$E$5:$E$1504,$A22,业务流水!$D$5:$D$1504,"销项开票",业务流水!$Z$5:$Z$1504,"是"))</f>
        <v/>
      </c>
      <c r="E22" s="41" t="str">
        <f aca="false">IF($A22="","",SUMIFS(业务流水!$P$5:$P$1504,业务流水!$E$5:$E$1504,$A22,业务流水!$D$5:$D$1504,"销项开票",业务流水!$Z$5:$Z$1504,"是"))</f>
        <v/>
      </c>
      <c r="F22" s="41" t="str">
        <f aca="false">IF($A22="","",SUMIFS(业务流水!$H$5:$H$1504,业务流水!$F$5:$F$1504,$A22,业务流水!$D$5:$D$1504,"成本票",业务流水!$Z$5:$Z$1504,"是")+SUMIFS(业务流水!$H$5:$H$1504,业务流水!$F$5:$F$1504,$A22,业务流水!$D$5:$D$1504,"销项开票",业务流水!$Z$5:$Z$1504,"是"))</f>
        <v/>
      </c>
      <c r="G22" s="42" t="str">
        <f aca="false">IF($A22="","",$E22-$F22)</f>
        <v/>
      </c>
      <c r="H22" s="41" t="str">
        <f aca="false">IF($A22="","",SUMIFS(业务流水!$W$5:$W$1504,业务流水!$E$5:$E$1504,$A22,业务流水!$D$5:$D$1504,"销项开票",业务流水!$Z$5:$Z$1504,"是"))</f>
        <v/>
      </c>
      <c r="I22" s="41" t="str">
        <f aca="false">IF($A22="","",SUMIFS(业务流水!$H$5:$H$1504,业务流水!$E$5:$E$1504,$A22,业务流水!$D$5:$D$1504,"已交税",业务流水!$Z$5:$Z$1504,"是"))</f>
        <v/>
      </c>
      <c r="J22" s="42" t="str">
        <f aca="false">IF($A22="","",$H22-$I22)</f>
        <v/>
      </c>
      <c r="K22" s="41" t="str">
        <f aca="false">IF($A22="","",SUMIFS(业务流水!$H$5:$H$1504,业务流水!$F$5:$F$1504,$A22,业务流水!$D$5:$D$1504,"挂靠代收",业务流水!$Z$5:$Z$1504,"是"))</f>
        <v/>
      </c>
      <c r="L22" s="42" t="str">
        <f aca="false">IF($A22="","",$C22-$K22)</f>
        <v/>
      </c>
      <c r="M22" s="41" t="str">
        <f aca="false">IF($A22="","",SUMIFS(业务流水!$H$5:$H$1504,业务流水!$E$5:$E$1504,$A22,业务流水!$D$5:$D$1504,"我方收款",业务流水!$Z$5:$Z$1504,"是"))</f>
        <v/>
      </c>
      <c r="N22" s="43" t="str">
        <f aca="false">IF($A22="","",$K22-$M22)</f>
        <v/>
      </c>
      <c r="O22" s="41" t="str">
        <f aca="false">IF($A22="","",SUMIFS(业务流水!$H$5:$H$1504,业务流水!$F$5:$F$1504,$A22,业务流水!$D$5:$D$1504,"管理费结算",业务流水!$Z$5:$Z$1504,"是"))</f>
        <v/>
      </c>
      <c r="P22" s="41" t="str">
        <f aca="false">IF($A22="","",SUMIFS(业务流水!$H$5:$H$1504,业务流水!$E$5:$E$1504,$A22,业务流水!$D$5:$D$1504,"扣质保金",业务流水!$Z$5:$Z$1504,"是"))</f>
        <v/>
      </c>
    </row>
    <row r="23" customFormat="false" ht="15.75" hidden="false" customHeight="true" outlineLevel="0" collapsed="false">
      <c r="A23" s="32" t="str">
        <f aca="false">IF(单位档案!$C23&lt;&gt;"挂靠单位","",单位档案!$A23)</f>
        <v/>
      </c>
      <c r="B23" s="40" t="str">
        <f aca="false">IF($A23="","",单位档案!$B23)</f>
        <v/>
      </c>
      <c r="C23" s="41" t="str">
        <f aca="false">IF($A23="","",SUMIFS(业务流水!$H$5:$H$1504,业务流水!$E$5:$E$1504,$A23,业务流水!$D$5:$D$1504,"销项开票",业务流水!$Z$5:$Z$1504,"是"))</f>
        <v/>
      </c>
      <c r="D23" s="41" t="str">
        <f aca="false">IF($A23="","",SUMIFS(业务流水!$O$5:$O$1504,业务流水!$E$5:$E$1504,$A23,业务流水!$D$5:$D$1504,"销项开票",业务流水!$Z$5:$Z$1504,"是"))</f>
        <v/>
      </c>
      <c r="E23" s="41" t="str">
        <f aca="false">IF($A23="","",SUMIFS(业务流水!$P$5:$P$1504,业务流水!$E$5:$E$1504,$A23,业务流水!$D$5:$D$1504,"销项开票",业务流水!$Z$5:$Z$1504,"是"))</f>
        <v/>
      </c>
      <c r="F23" s="41" t="str">
        <f aca="false">IF($A23="","",SUMIFS(业务流水!$H$5:$H$1504,业务流水!$F$5:$F$1504,$A23,业务流水!$D$5:$D$1504,"成本票",业务流水!$Z$5:$Z$1504,"是")+SUMIFS(业务流水!$H$5:$H$1504,业务流水!$F$5:$F$1504,$A23,业务流水!$D$5:$D$1504,"销项开票",业务流水!$Z$5:$Z$1504,"是"))</f>
        <v/>
      </c>
      <c r="G23" s="42" t="str">
        <f aca="false">IF($A23="","",$E23-$F23)</f>
        <v/>
      </c>
      <c r="H23" s="41" t="str">
        <f aca="false">IF($A23="","",SUMIFS(业务流水!$W$5:$W$1504,业务流水!$E$5:$E$1504,$A23,业务流水!$D$5:$D$1504,"销项开票",业务流水!$Z$5:$Z$1504,"是"))</f>
        <v/>
      </c>
      <c r="I23" s="41" t="str">
        <f aca="false">IF($A23="","",SUMIFS(业务流水!$H$5:$H$1504,业务流水!$E$5:$E$1504,$A23,业务流水!$D$5:$D$1504,"已交税",业务流水!$Z$5:$Z$1504,"是"))</f>
        <v/>
      </c>
      <c r="J23" s="42" t="str">
        <f aca="false">IF($A23="","",$H23-$I23)</f>
        <v/>
      </c>
      <c r="K23" s="41" t="str">
        <f aca="false">IF($A23="","",SUMIFS(业务流水!$H$5:$H$1504,业务流水!$F$5:$F$1504,$A23,业务流水!$D$5:$D$1504,"挂靠代收",业务流水!$Z$5:$Z$1504,"是"))</f>
        <v/>
      </c>
      <c r="L23" s="42" t="str">
        <f aca="false">IF($A23="","",$C23-$K23)</f>
        <v/>
      </c>
      <c r="M23" s="41" t="str">
        <f aca="false">IF($A23="","",SUMIFS(业务流水!$H$5:$H$1504,业务流水!$E$5:$E$1504,$A23,业务流水!$D$5:$D$1504,"我方收款",业务流水!$Z$5:$Z$1504,"是"))</f>
        <v/>
      </c>
      <c r="N23" s="43" t="str">
        <f aca="false">IF($A23="","",$K23-$M23)</f>
        <v/>
      </c>
      <c r="O23" s="41" t="str">
        <f aca="false">IF($A23="","",SUMIFS(业务流水!$H$5:$H$1504,业务流水!$F$5:$F$1504,$A23,业务流水!$D$5:$D$1504,"管理费结算",业务流水!$Z$5:$Z$1504,"是"))</f>
        <v/>
      </c>
      <c r="P23" s="41" t="str">
        <f aca="false">IF($A23="","",SUMIFS(业务流水!$H$5:$H$1504,业务流水!$E$5:$E$1504,$A23,业务流水!$D$5:$D$1504,"扣质保金",业务流水!$Z$5:$Z$1504,"是"))</f>
        <v/>
      </c>
    </row>
    <row r="24" customFormat="false" ht="15.75" hidden="false" customHeight="true" outlineLevel="0" collapsed="false">
      <c r="A24" s="32" t="str">
        <f aca="false">IF(单位档案!$C24&lt;&gt;"挂靠单位","",单位档案!$A24)</f>
        <v/>
      </c>
      <c r="B24" s="40" t="str">
        <f aca="false">IF($A24="","",单位档案!$B24)</f>
        <v/>
      </c>
      <c r="C24" s="41" t="str">
        <f aca="false">IF($A24="","",SUMIFS(业务流水!$H$5:$H$1504,业务流水!$E$5:$E$1504,$A24,业务流水!$D$5:$D$1504,"销项开票",业务流水!$Z$5:$Z$1504,"是"))</f>
        <v/>
      </c>
      <c r="D24" s="41" t="str">
        <f aca="false">IF($A24="","",SUMIFS(业务流水!$O$5:$O$1504,业务流水!$E$5:$E$1504,$A24,业务流水!$D$5:$D$1504,"销项开票",业务流水!$Z$5:$Z$1504,"是"))</f>
        <v/>
      </c>
      <c r="E24" s="41" t="str">
        <f aca="false">IF($A24="","",SUMIFS(业务流水!$P$5:$P$1504,业务流水!$E$5:$E$1504,$A24,业务流水!$D$5:$D$1504,"销项开票",业务流水!$Z$5:$Z$1504,"是"))</f>
        <v/>
      </c>
      <c r="F24" s="41" t="str">
        <f aca="false">IF($A24="","",SUMIFS(业务流水!$H$5:$H$1504,业务流水!$F$5:$F$1504,$A24,业务流水!$D$5:$D$1504,"成本票",业务流水!$Z$5:$Z$1504,"是")+SUMIFS(业务流水!$H$5:$H$1504,业务流水!$F$5:$F$1504,$A24,业务流水!$D$5:$D$1504,"销项开票",业务流水!$Z$5:$Z$1504,"是"))</f>
        <v/>
      </c>
      <c r="G24" s="42" t="str">
        <f aca="false">IF($A24="","",$E24-$F24)</f>
        <v/>
      </c>
      <c r="H24" s="41" t="str">
        <f aca="false">IF($A24="","",SUMIFS(业务流水!$W$5:$W$1504,业务流水!$E$5:$E$1504,$A24,业务流水!$D$5:$D$1504,"销项开票",业务流水!$Z$5:$Z$1504,"是"))</f>
        <v/>
      </c>
      <c r="I24" s="41" t="str">
        <f aca="false">IF($A24="","",SUMIFS(业务流水!$H$5:$H$1504,业务流水!$E$5:$E$1504,$A24,业务流水!$D$5:$D$1504,"已交税",业务流水!$Z$5:$Z$1504,"是"))</f>
        <v/>
      </c>
      <c r="J24" s="42" t="str">
        <f aca="false">IF($A24="","",$H24-$I24)</f>
        <v/>
      </c>
      <c r="K24" s="41" t="str">
        <f aca="false">IF($A24="","",SUMIFS(业务流水!$H$5:$H$1504,业务流水!$F$5:$F$1504,$A24,业务流水!$D$5:$D$1504,"挂靠代收",业务流水!$Z$5:$Z$1504,"是"))</f>
        <v/>
      </c>
      <c r="L24" s="42" t="str">
        <f aca="false">IF($A24="","",$C24-$K24)</f>
        <v/>
      </c>
      <c r="M24" s="41" t="str">
        <f aca="false">IF($A24="","",SUMIFS(业务流水!$H$5:$H$1504,业务流水!$E$5:$E$1504,$A24,业务流水!$D$5:$D$1504,"我方收款",业务流水!$Z$5:$Z$1504,"是"))</f>
        <v/>
      </c>
      <c r="N24" s="43" t="str">
        <f aca="false">IF($A24="","",$K24-$M24)</f>
        <v/>
      </c>
      <c r="O24" s="41" t="str">
        <f aca="false">IF($A24="","",SUMIFS(业务流水!$H$5:$H$1504,业务流水!$F$5:$F$1504,$A24,业务流水!$D$5:$D$1504,"管理费结算",业务流水!$Z$5:$Z$1504,"是"))</f>
        <v/>
      </c>
      <c r="P24" s="41" t="str">
        <f aca="false">IF($A24="","",SUMIFS(业务流水!$H$5:$H$1504,业务流水!$E$5:$E$1504,$A24,业务流水!$D$5:$D$1504,"扣质保金",业务流水!$Z$5:$Z$1504,"是"))</f>
        <v/>
      </c>
    </row>
    <row r="25" customFormat="false" ht="15.75" hidden="false" customHeight="true" outlineLevel="0" collapsed="false">
      <c r="A25" s="32" t="str">
        <f aca="false">IF(单位档案!$C25&lt;&gt;"挂靠单位","",单位档案!$A25)</f>
        <v/>
      </c>
      <c r="B25" s="40" t="str">
        <f aca="false">IF($A25="","",单位档案!$B25)</f>
        <v/>
      </c>
      <c r="C25" s="41" t="str">
        <f aca="false">IF($A25="","",SUMIFS(业务流水!$H$5:$H$1504,业务流水!$E$5:$E$1504,$A25,业务流水!$D$5:$D$1504,"销项开票",业务流水!$Z$5:$Z$1504,"是"))</f>
        <v/>
      </c>
      <c r="D25" s="41" t="str">
        <f aca="false">IF($A25="","",SUMIFS(业务流水!$O$5:$O$1504,业务流水!$E$5:$E$1504,$A25,业务流水!$D$5:$D$1504,"销项开票",业务流水!$Z$5:$Z$1504,"是"))</f>
        <v/>
      </c>
      <c r="E25" s="41" t="str">
        <f aca="false">IF($A25="","",SUMIFS(业务流水!$P$5:$P$1504,业务流水!$E$5:$E$1504,$A25,业务流水!$D$5:$D$1504,"销项开票",业务流水!$Z$5:$Z$1504,"是"))</f>
        <v/>
      </c>
      <c r="F25" s="41" t="str">
        <f aca="false">IF($A25="","",SUMIFS(业务流水!$H$5:$H$1504,业务流水!$F$5:$F$1504,$A25,业务流水!$D$5:$D$1504,"成本票",业务流水!$Z$5:$Z$1504,"是")+SUMIFS(业务流水!$H$5:$H$1504,业务流水!$F$5:$F$1504,$A25,业务流水!$D$5:$D$1504,"销项开票",业务流水!$Z$5:$Z$1504,"是"))</f>
        <v/>
      </c>
      <c r="G25" s="42" t="str">
        <f aca="false">IF($A25="","",$E25-$F25)</f>
        <v/>
      </c>
      <c r="H25" s="41" t="str">
        <f aca="false">IF($A25="","",SUMIFS(业务流水!$W$5:$W$1504,业务流水!$E$5:$E$1504,$A25,业务流水!$D$5:$D$1504,"销项开票",业务流水!$Z$5:$Z$1504,"是"))</f>
        <v/>
      </c>
      <c r="I25" s="41" t="str">
        <f aca="false">IF($A25="","",SUMIFS(业务流水!$H$5:$H$1504,业务流水!$E$5:$E$1504,$A25,业务流水!$D$5:$D$1504,"已交税",业务流水!$Z$5:$Z$1504,"是"))</f>
        <v/>
      </c>
      <c r="J25" s="42" t="str">
        <f aca="false">IF($A25="","",$H25-$I25)</f>
        <v/>
      </c>
      <c r="K25" s="41" t="str">
        <f aca="false">IF($A25="","",SUMIFS(业务流水!$H$5:$H$1504,业务流水!$F$5:$F$1504,$A25,业务流水!$D$5:$D$1504,"挂靠代收",业务流水!$Z$5:$Z$1504,"是"))</f>
        <v/>
      </c>
      <c r="L25" s="42" t="str">
        <f aca="false">IF($A25="","",$C25-$K25)</f>
        <v/>
      </c>
      <c r="M25" s="41" t="str">
        <f aca="false">IF($A25="","",SUMIFS(业务流水!$H$5:$H$1504,业务流水!$E$5:$E$1504,$A25,业务流水!$D$5:$D$1504,"我方收款",业务流水!$Z$5:$Z$1504,"是"))</f>
        <v/>
      </c>
      <c r="N25" s="43" t="str">
        <f aca="false">IF($A25="","",$K25-$M25)</f>
        <v/>
      </c>
      <c r="O25" s="41" t="str">
        <f aca="false">IF($A25="","",SUMIFS(业务流水!$H$5:$H$1504,业务流水!$F$5:$F$1504,$A25,业务流水!$D$5:$D$1504,"管理费结算",业务流水!$Z$5:$Z$1504,"是"))</f>
        <v/>
      </c>
      <c r="P25" s="41" t="str">
        <f aca="false">IF($A25="","",SUMIFS(业务流水!$H$5:$H$1504,业务流水!$E$5:$E$1504,$A25,业务流水!$D$5:$D$1504,"扣质保金",业务流水!$Z$5:$Z$1504,"是"))</f>
        <v/>
      </c>
    </row>
    <row r="26" customFormat="false" ht="15.75" hidden="false" customHeight="true" outlineLevel="0" collapsed="false">
      <c r="A26" s="32" t="str">
        <f aca="false">IF(单位档案!$C26&lt;&gt;"挂靠单位","",单位档案!$A26)</f>
        <v/>
      </c>
      <c r="B26" s="40" t="str">
        <f aca="false">IF($A26="","",单位档案!$B26)</f>
        <v/>
      </c>
      <c r="C26" s="41" t="str">
        <f aca="false">IF($A26="","",SUMIFS(业务流水!$H$5:$H$1504,业务流水!$E$5:$E$1504,$A26,业务流水!$D$5:$D$1504,"销项开票",业务流水!$Z$5:$Z$1504,"是"))</f>
        <v/>
      </c>
      <c r="D26" s="41" t="str">
        <f aca="false">IF($A26="","",SUMIFS(业务流水!$O$5:$O$1504,业务流水!$E$5:$E$1504,$A26,业务流水!$D$5:$D$1504,"销项开票",业务流水!$Z$5:$Z$1504,"是"))</f>
        <v/>
      </c>
      <c r="E26" s="41" t="str">
        <f aca="false">IF($A26="","",SUMIFS(业务流水!$P$5:$P$1504,业务流水!$E$5:$E$1504,$A26,业务流水!$D$5:$D$1504,"销项开票",业务流水!$Z$5:$Z$1504,"是"))</f>
        <v/>
      </c>
      <c r="F26" s="41" t="str">
        <f aca="false">IF($A26="","",SUMIFS(业务流水!$H$5:$H$1504,业务流水!$F$5:$F$1504,$A26,业务流水!$D$5:$D$1504,"成本票",业务流水!$Z$5:$Z$1504,"是")+SUMIFS(业务流水!$H$5:$H$1504,业务流水!$F$5:$F$1504,$A26,业务流水!$D$5:$D$1504,"销项开票",业务流水!$Z$5:$Z$1504,"是"))</f>
        <v/>
      </c>
      <c r="G26" s="42" t="str">
        <f aca="false">IF($A26="","",$E26-$F26)</f>
        <v/>
      </c>
      <c r="H26" s="41" t="str">
        <f aca="false">IF($A26="","",SUMIFS(业务流水!$W$5:$W$1504,业务流水!$E$5:$E$1504,$A26,业务流水!$D$5:$D$1504,"销项开票",业务流水!$Z$5:$Z$1504,"是"))</f>
        <v/>
      </c>
      <c r="I26" s="41" t="str">
        <f aca="false">IF($A26="","",SUMIFS(业务流水!$H$5:$H$1504,业务流水!$E$5:$E$1504,$A26,业务流水!$D$5:$D$1504,"已交税",业务流水!$Z$5:$Z$1504,"是"))</f>
        <v/>
      </c>
      <c r="J26" s="42" t="str">
        <f aca="false">IF($A26="","",$H26-$I26)</f>
        <v/>
      </c>
      <c r="K26" s="41" t="str">
        <f aca="false">IF($A26="","",SUMIFS(业务流水!$H$5:$H$1504,业务流水!$F$5:$F$1504,$A26,业务流水!$D$5:$D$1504,"挂靠代收",业务流水!$Z$5:$Z$1504,"是"))</f>
        <v/>
      </c>
      <c r="L26" s="42" t="str">
        <f aca="false">IF($A26="","",$C26-$K26)</f>
        <v/>
      </c>
      <c r="M26" s="41" t="str">
        <f aca="false">IF($A26="","",SUMIFS(业务流水!$H$5:$H$1504,业务流水!$E$5:$E$1504,$A26,业务流水!$D$5:$D$1504,"我方收款",业务流水!$Z$5:$Z$1504,"是"))</f>
        <v/>
      </c>
      <c r="N26" s="43" t="str">
        <f aca="false">IF($A26="","",$K26-$M26)</f>
        <v/>
      </c>
      <c r="O26" s="41" t="str">
        <f aca="false">IF($A26="","",SUMIFS(业务流水!$H$5:$H$1504,业务流水!$F$5:$F$1504,$A26,业务流水!$D$5:$D$1504,"管理费结算",业务流水!$Z$5:$Z$1504,"是"))</f>
        <v/>
      </c>
      <c r="P26" s="41" t="str">
        <f aca="false">IF($A26="","",SUMIFS(业务流水!$H$5:$H$1504,业务流水!$E$5:$E$1504,$A26,业务流水!$D$5:$D$1504,"扣质保金",业务流水!$Z$5:$Z$1504,"是"))</f>
        <v/>
      </c>
    </row>
    <row r="27" customFormat="false" ht="15.75" hidden="false" customHeight="true" outlineLevel="0" collapsed="false">
      <c r="A27" s="32" t="str">
        <f aca="false">IF(单位档案!$C27&lt;&gt;"挂靠单位","",单位档案!$A27)</f>
        <v/>
      </c>
      <c r="B27" s="40" t="str">
        <f aca="false">IF($A27="","",单位档案!$B27)</f>
        <v/>
      </c>
      <c r="C27" s="41" t="str">
        <f aca="false">IF($A27="","",SUMIFS(业务流水!$H$5:$H$1504,业务流水!$E$5:$E$1504,$A27,业务流水!$D$5:$D$1504,"销项开票",业务流水!$Z$5:$Z$1504,"是"))</f>
        <v/>
      </c>
      <c r="D27" s="41" t="str">
        <f aca="false">IF($A27="","",SUMIFS(业务流水!$O$5:$O$1504,业务流水!$E$5:$E$1504,$A27,业务流水!$D$5:$D$1504,"销项开票",业务流水!$Z$5:$Z$1504,"是"))</f>
        <v/>
      </c>
      <c r="E27" s="41" t="str">
        <f aca="false">IF($A27="","",SUMIFS(业务流水!$P$5:$P$1504,业务流水!$E$5:$E$1504,$A27,业务流水!$D$5:$D$1504,"销项开票",业务流水!$Z$5:$Z$1504,"是"))</f>
        <v/>
      </c>
      <c r="F27" s="41" t="str">
        <f aca="false">IF($A27="","",SUMIFS(业务流水!$H$5:$H$1504,业务流水!$F$5:$F$1504,$A27,业务流水!$D$5:$D$1504,"成本票",业务流水!$Z$5:$Z$1504,"是")+SUMIFS(业务流水!$H$5:$H$1504,业务流水!$F$5:$F$1504,$A27,业务流水!$D$5:$D$1504,"销项开票",业务流水!$Z$5:$Z$1504,"是"))</f>
        <v/>
      </c>
      <c r="G27" s="42" t="str">
        <f aca="false">IF($A27="","",$E27-$F27)</f>
        <v/>
      </c>
      <c r="H27" s="41" t="str">
        <f aca="false">IF($A27="","",SUMIFS(业务流水!$W$5:$W$1504,业务流水!$E$5:$E$1504,$A27,业务流水!$D$5:$D$1504,"销项开票",业务流水!$Z$5:$Z$1504,"是"))</f>
        <v/>
      </c>
      <c r="I27" s="41" t="str">
        <f aca="false">IF($A27="","",SUMIFS(业务流水!$H$5:$H$1504,业务流水!$E$5:$E$1504,$A27,业务流水!$D$5:$D$1504,"已交税",业务流水!$Z$5:$Z$1504,"是"))</f>
        <v/>
      </c>
      <c r="J27" s="42" t="str">
        <f aca="false">IF($A27="","",$H27-$I27)</f>
        <v/>
      </c>
      <c r="K27" s="41" t="str">
        <f aca="false">IF($A27="","",SUMIFS(业务流水!$H$5:$H$1504,业务流水!$F$5:$F$1504,$A27,业务流水!$D$5:$D$1504,"挂靠代收",业务流水!$Z$5:$Z$1504,"是"))</f>
        <v/>
      </c>
      <c r="L27" s="42" t="str">
        <f aca="false">IF($A27="","",$C27-$K27)</f>
        <v/>
      </c>
      <c r="M27" s="41" t="str">
        <f aca="false">IF($A27="","",SUMIFS(业务流水!$H$5:$H$1504,业务流水!$E$5:$E$1504,$A27,业务流水!$D$5:$D$1504,"我方收款",业务流水!$Z$5:$Z$1504,"是"))</f>
        <v/>
      </c>
      <c r="N27" s="43" t="str">
        <f aca="false">IF($A27="","",$K27-$M27)</f>
        <v/>
      </c>
      <c r="O27" s="41" t="str">
        <f aca="false">IF($A27="","",SUMIFS(业务流水!$H$5:$H$1504,业务流水!$F$5:$F$1504,$A27,业务流水!$D$5:$D$1504,"管理费结算",业务流水!$Z$5:$Z$1504,"是"))</f>
        <v/>
      </c>
      <c r="P27" s="41" t="str">
        <f aca="false">IF($A27="","",SUMIFS(业务流水!$H$5:$H$1504,业务流水!$E$5:$E$1504,$A27,业务流水!$D$5:$D$1504,"扣质保金",业务流水!$Z$5:$Z$1504,"是"))</f>
        <v/>
      </c>
    </row>
    <row r="28" customFormat="false" ht="15.75" hidden="false" customHeight="true" outlineLevel="0" collapsed="false">
      <c r="A28" s="32" t="str">
        <f aca="false">IF(单位档案!$C28&lt;&gt;"挂靠单位","",单位档案!$A28)</f>
        <v/>
      </c>
      <c r="B28" s="40" t="str">
        <f aca="false">IF($A28="","",单位档案!$B28)</f>
        <v/>
      </c>
      <c r="C28" s="41" t="str">
        <f aca="false">IF($A28="","",SUMIFS(业务流水!$H$5:$H$1504,业务流水!$E$5:$E$1504,$A28,业务流水!$D$5:$D$1504,"销项开票",业务流水!$Z$5:$Z$1504,"是"))</f>
        <v/>
      </c>
      <c r="D28" s="41" t="str">
        <f aca="false">IF($A28="","",SUMIFS(业务流水!$O$5:$O$1504,业务流水!$E$5:$E$1504,$A28,业务流水!$D$5:$D$1504,"销项开票",业务流水!$Z$5:$Z$1504,"是"))</f>
        <v/>
      </c>
      <c r="E28" s="41" t="str">
        <f aca="false">IF($A28="","",SUMIFS(业务流水!$P$5:$P$1504,业务流水!$E$5:$E$1504,$A28,业务流水!$D$5:$D$1504,"销项开票",业务流水!$Z$5:$Z$1504,"是"))</f>
        <v/>
      </c>
      <c r="F28" s="41" t="str">
        <f aca="false">IF($A28="","",SUMIFS(业务流水!$H$5:$H$1504,业务流水!$F$5:$F$1504,$A28,业务流水!$D$5:$D$1504,"成本票",业务流水!$Z$5:$Z$1504,"是")+SUMIFS(业务流水!$H$5:$H$1504,业务流水!$F$5:$F$1504,$A28,业务流水!$D$5:$D$1504,"销项开票",业务流水!$Z$5:$Z$1504,"是"))</f>
        <v/>
      </c>
      <c r="G28" s="42" t="str">
        <f aca="false">IF($A28="","",$E28-$F28)</f>
        <v/>
      </c>
      <c r="H28" s="41" t="str">
        <f aca="false">IF($A28="","",SUMIFS(业务流水!$W$5:$W$1504,业务流水!$E$5:$E$1504,$A28,业务流水!$D$5:$D$1504,"销项开票",业务流水!$Z$5:$Z$1504,"是"))</f>
        <v/>
      </c>
      <c r="I28" s="41" t="str">
        <f aca="false">IF($A28="","",SUMIFS(业务流水!$H$5:$H$1504,业务流水!$E$5:$E$1504,$A28,业务流水!$D$5:$D$1504,"已交税",业务流水!$Z$5:$Z$1504,"是"))</f>
        <v/>
      </c>
      <c r="J28" s="42" t="str">
        <f aca="false">IF($A28="","",$H28-$I28)</f>
        <v/>
      </c>
      <c r="K28" s="41" t="str">
        <f aca="false">IF($A28="","",SUMIFS(业务流水!$H$5:$H$1504,业务流水!$F$5:$F$1504,$A28,业务流水!$D$5:$D$1504,"挂靠代收",业务流水!$Z$5:$Z$1504,"是"))</f>
        <v/>
      </c>
      <c r="L28" s="42" t="str">
        <f aca="false">IF($A28="","",$C28-$K28)</f>
        <v/>
      </c>
      <c r="M28" s="41" t="str">
        <f aca="false">IF($A28="","",SUMIFS(业务流水!$H$5:$H$1504,业务流水!$E$5:$E$1504,$A28,业务流水!$D$5:$D$1504,"我方收款",业务流水!$Z$5:$Z$1504,"是"))</f>
        <v/>
      </c>
      <c r="N28" s="43" t="str">
        <f aca="false">IF($A28="","",$K28-$M28)</f>
        <v/>
      </c>
      <c r="O28" s="41" t="str">
        <f aca="false">IF($A28="","",SUMIFS(业务流水!$H$5:$H$1504,业务流水!$F$5:$F$1504,$A28,业务流水!$D$5:$D$1504,"管理费结算",业务流水!$Z$5:$Z$1504,"是"))</f>
        <v/>
      </c>
      <c r="P28" s="41" t="str">
        <f aca="false">IF($A28="","",SUMIFS(业务流水!$H$5:$H$1504,业务流水!$E$5:$E$1504,$A28,业务流水!$D$5:$D$1504,"扣质保金",业务流水!$Z$5:$Z$1504,"是"))</f>
        <v/>
      </c>
    </row>
    <row r="29" customFormat="false" ht="15.75" hidden="false" customHeight="true" outlineLevel="0" collapsed="false">
      <c r="A29" s="32" t="str">
        <f aca="false">IF(单位档案!$C29&lt;&gt;"挂靠单位","",单位档案!$A29)</f>
        <v/>
      </c>
      <c r="B29" s="40" t="str">
        <f aca="false">IF($A29="","",单位档案!$B29)</f>
        <v/>
      </c>
      <c r="C29" s="41" t="str">
        <f aca="false">IF($A29="","",SUMIFS(业务流水!$H$5:$H$1504,业务流水!$E$5:$E$1504,$A29,业务流水!$D$5:$D$1504,"销项开票",业务流水!$Z$5:$Z$1504,"是"))</f>
        <v/>
      </c>
      <c r="D29" s="41" t="str">
        <f aca="false">IF($A29="","",SUMIFS(业务流水!$O$5:$O$1504,业务流水!$E$5:$E$1504,$A29,业务流水!$D$5:$D$1504,"销项开票",业务流水!$Z$5:$Z$1504,"是"))</f>
        <v/>
      </c>
      <c r="E29" s="41" t="str">
        <f aca="false">IF($A29="","",SUMIFS(业务流水!$P$5:$P$1504,业务流水!$E$5:$E$1504,$A29,业务流水!$D$5:$D$1504,"销项开票",业务流水!$Z$5:$Z$1504,"是"))</f>
        <v/>
      </c>
      <c r="F29" s="41" t="str">
        <f aca="false">IF($A29="","",SUMIFS(业务流水!$H$5:$H$1504,业务流水!$F$5:$F$1504,$A29,业务流水!$D$5:$D$1504,"成本票",业务流水!$Z$5:$Z$1504,"是")+SUMIFS(业务流水!$H$5:$H$1504,业务流水!$F$5:$F$1504,$A29,业务流水!$D$5:$D$1504,"销项开票",业务流水!$Z$5:$Z$1504,"是"))</f>
        <v/>
      </c>
      <c r="G29" s="42" t="str">
        <f aca="false">IF($A29="","",$E29-$F29)</f>
        <v/>
      </c>
      <c r="H29" s="41" t="str">
        <f aca="false">IF($A29="","",SUMIFS(业务流水!$W$5:$W$1504,业务流水!$E$5:$E$1504,$A29,业务流水!$D$5:$D$1504,"销项开票",业务流水!$Z$5:$Z$1504,"是"))</f>
        <v/>
      </c>
      <c r="I29" s="41" t="str">
        <f aca="false">IF($A29="","",SUMIFS(业务流水!$H$5:$H$1504,业务流水!$E$5:$E$1504,$A29,业务流水!$D$5:$D$1504,"已交税",业务流水!$Z$5:$Z$1504,"是"))</f>
        <v/>
      </c>
      <c r="J29" s="42" t="str">
        <f aca="false">IF($A29="","",$H29-$I29)</f>
        <v/>
      </c>
      <c r="K29" s="41" t="str">
        <f aca="false">IF($A29="","",SUMIFS(业务流水!$H$5:$H$1504,业务流水!$F$5:$F$1504,$A29,业务流水!$D$5:$D$1504,"挂靠代收",业务流水!$Z$5:$Z$1504,"是"))</f>
        <v/>
      </c>
      <c r="L29" s="42" t="str">
        <f aca="false">IF($A29="","",$C29-$K29)</f>
        <v/>
      </c>
      <c r="M29" s="41" t="str">
        <f aca="false">IF($A29="","",SUMIFS(业务流水!$H$5:$H$1504,业务流水!$E$5:$E$1504,$A29,业务流水!$D$5:$D$1504,"我方收款",业务流水!$Z$5:$Z$1504,"是"))</f>
        <v/>
      </c>
      <c r="N29" s="43" t="str">
        <f aca="false">IF($A29="","",$K29-$M29)</f>
        <v/>
      </c>
      <c r="O29" s="41" t="str">
        <f aca="false">IF($A29="","",SUMIFS(业务流水!$H$5:$H$1504,业务流水!$F$5:$F$1504,$A29,业务流水!$D$5:$D$1504,"管理费结算",业务流水!$Z$5:$Z$1504,"是"))</f>
        <v/>
      </c>
      <c r="P29" s="41" t="str">
        <f aca="false">IF($A29="","",SUMIFS(业务流水!$H$5:$H$1504,业务流水!$E$5:$E$1504,$A29,业务流水!$D$5:$D$1504,"扣质保金",业务流水!$Z$5:$Z$1504,"是"))</f>
        <v/>
      </c>
    </row>
    <row r="30" customFormat="false" ht="15.75" hidden="false" customHeight="true" outlineLevel="0" collapsed="false">
      <c r="A30" s="32" t="str">
        <f aca="false">IF(单位档案!$C30&lt;&gt;"挂靠单位","",单位档案!$A30)</f>
        <v/>
      </c>
      <c r="B30" s="40" t="str">
        <f aca="false">IF($A30="","",单位档案!$B30)</f>
        <v/>
      </c>
      <c r="C30" s="41" t="str">
        <f aca="false">IF($A30="","",SUMIFS(业务流水!$H$5:$H$1504,业务流水!$E$5:$E$1504,$A30,业务流水!$D$5:$D$1504,"销项开票",业务流水!$Z$5:$Z$1504,"是"))</f>
        <v/>
      </c>
      <c r="D30" s="41" t="str">
        <f aca="false">IF($A30="","",SUMIFS(业务流水!$O$5:$O$1504,业务流水!$E$5:$E$1504,$A30,业务流水!$D$5:$D$1504,"销项开票",业务流水!$Z$5:$Z$1504,"是"))</f>
        <v/>
      </c>
      <c r="E30" s="41" t="str">
        <f aca="false">IF($A30="","",SUMIFS(业务流水!$P$5:$P$1504,业务流水!$E$5:$E$1504,$A30,业务流水!$D$5:$D$1504,"销项开票",业务流水!$Z$5:$Z$1504,"是"))</f>
        <v/>
      </c>
      <c r="F30" s="41" t="str">
        <f aca="false">IF($A30="","",SUMIFS(业务流水!$H$5:$H$1504,业务流水!$F$5:$F$1504,$A30,业务流水!$D$5:$D$1504,"成本票",业务流水!$Z$5:$Z$1504,"是")+SUMIFS(业务流水!$H$5:$H$1504,业务流水!$F$5:$F$1504,$A30,业务流水!$D$5:$D$1504,"销项开票",业务流水!$Z$5:$Z$1504,"是"))</f>
        <v/>
      </c>
      <c r="G30" s="42" t="str">
        <f aca="false">IF($A30="","",$E30-$F30)</f>
        <v/>
      </c>
      <c r="H30" s="41" t="str">
        <f aca="false">IF($A30="","",SUMIFS(业务流水!$W$5:$W$1504,业务流水!$E$5:$E$1504,$A30,业务流水!$D$5:$D$1504,"销项开票",业务流水!$Z$5:$Z$1504,"是"))</f>
        <v/>
      </c>
      <c r="I30" s="41" t="str">
        <f aca="false">IF($A30="","",SUMIFS(业务流水!$H$5:$H$1504,业务流水!$E$5:$E$1504,$A30,业务流水!$D$5:$D$1504,"已交税",业务流水!$Z$5:$Z$1504,"是"))</f>
        <v/>
      </c>
      <c r="J30" s="42" t="str">
        <f aca="false">IF($A30="","",$H30-$I30)</f>
        <v/>
      </c>
      <c r="K30" s="41" t="str">
        <f aca="false">IF($A30="","",SUMIFS(业务流水!$H$5:$H$1504,业务流水!$F$5:$F$1504,$A30,业务流水!$D$5:$D$1504,"挂靠代收",业务流水!$Z$5:$Z$1504,"是"))</f>
        <v/>
      </c>
      <c r="L30" s="42" t="str">
        <f aca="false">IF($A30="","",$C30-$K30)</f>
        <v/>
      </c>
      <c r="M30" s="41" t="str">
        <f aca="false">IF($A30="","",SUMIFS(业务流水!$H$5:$H$1504,业务流水!$E$5:$E$1504,$A30,业务流水!$D$5:$D$1504,"我方收款",业务流水!$Z$5:$Z$1504,"是"))</f>
        <v/>
      </c>
      <c r="N30" s="43" t="str">
        <f aca="false">IF($A30="","",$K30-$M30)</f>
        <v/>
      </c>
      <c r="O30" s="41" t="str">
        <f aca="false">IF($A30="","",SUMIFS(业务流水!$H$5:$H$1504,业务流水!$F$5:$F$1504,$A30,业务流水!$D$5:$D$1504,"管理费结算",业务流水!$Z$5:$Z$1504,"是"))</f>
        <v/>
      </c>
      <c r="P30" s="41" t="str">
        <f aca="false">IF($A30="","",SUMIFS(业务流水!$H$5:$H$1504,业务流水!$E$5:$E$1504,$A30,业务流水!$D$5:$D$1504,"扣质保金",业务流水!$Z$5:$Z$1504,"是"))</f>
        <v/>
      </c>
    </row>
    <row r="31" customFormat="false" ht="15.75" hidden="false" customHeight="true" outlineLevel="0" collapsed="false">
      <c r="A31" s="32" t="str">
        <f aca="false">IF(单位档案!$C31&lt;&gt;"挂靠单位","",单位档案!$A31)</f>
        <v/>
      </c>
      <c r="B31" s="40" t="str">
        <f aca="false">IF($A31="","",单位档案!$B31)</f>
        <v/>
      </c>
      <c r="C31" s="41" t="str">
        <f aca="false">IF($A31="","",SUMIFS(业务流水!$H$5:$H$1504,业务流水!$E$5:$E$1504,$A31,业务流水!$D$5:$D$1504,"销项开票",业务流水!$Z$5:$Z$1504,"是"))</f>
        <v/>
      </c>
      <c r="D31" s="41" t="str">
        <f aca="false">IF($A31="","",SUMIFS(业务流水!$O$5:$O$1504,业务流水!$E$5:$E$1504,$A31,业务流水!$D$5:$D$1504,"销项开票",业务流水!$Z$5:$Z$1504,"是"))</f>
        <v/>
      </c>
      <c r="E31" s="41" t="str">
        <f aca="false">IF($A31="","",SUMIFS(业务流水!$P$5:$P$1504,业务流水!$E$5:$E$1504,$A31,业务流水!$D$5:$D$1504,"销项开票",业务流水!$Z$5:$Z$1504,"是"))</f>
        <v/>
      </c>
      <c r="F31" s="41" t="str">
        <f aca="false">IF($A31="","",SUMIFS(业务流水!$H$5:$H$1504,业务流水!$F$5:$F$1504,$A31,业务流水!$D$5:$D$1504,"成本票",业务流水!$Z$5:$Z$1504,"是")+SUMIFS(业务流水!$H$5:$H$1504,业务流水!$F$5:$F$1504,$A31,业务流水!$D$5:$D$1504,"销项开票",业务流水!$Z$5:$Z$1504,"是"))</f>
        <v/>
      </c>
      <c r="G31" s="42" t="str">
        <f aca="false">IF($A31="","",$E31-$F31)</f>
        <v/>
      </c>
      <c r="H31" s="41" t="str">
        <f aca="false">IF($A31="","",SUMIFS(业务流水!$W$5:$W$1504,业务流水!$E$5:$E$1504,$A31,业务流水!$D$5:$D$1504,"销项开票",业务流水!$Z$5:$Z$1504,"是"))</f>
        <v/>
      </c>
      <c r="I31" s="41" t="str">
        <f aca="false">IF($A31="","",SUMIFS(业务流水!$H$5:$H$1504,业务流水!$E$5:$E$1504,$A31,业务流水!$D$5:$D$1504,"已交税",业务流水!$Z$5:$Z$1504,"是"))</f>
        <v/>
      </c>
      <c r="J31" s="42" t="str">
        <f aca="false">IF($A31="","",$H31-$I31)</f>
        <v/>
      </c>
      <c r="K31" s="41" t="str">
        <f aca="false">IF($A31="","",SUMIFS(业务流水!$H$5:$H$1504,业务流水!$F$5:$F$1504,$A31,业务流水!$D$5:$D$1504,"挂靠代收",业务流水!$Z$5:$Z$1504,"是"))</f>
        <v/>
      </c>
      <c r="L31" s="42" t="str">
        <f aca="false">IF($A31="","",$C31-$K31)</f>
        <v/>
      </c>
      <c r="M31" s="41" t="str">
        <f aca="false">IF($A31="","",SUMIFS(业务流水!$H$5:$H$1504,业务流水!$E$5:$E$1504,$A31,业务流水!$D$5:$D$1504,"我方收款",业务流水!$Z$5:$Z$1504,"是"))</f>
        <v/>
      </c>
      <c r="N31" s="43" t="str">
        <f aca="false">IF($A31="","",$K31-$M31)</f>
        <v/>
      </c>
      <c r="O31" s="41" t="str">
        <f aca="false">IF($A31="","",SUMIFS(业务流水!$H$5:$H$1504,业务流水!$F$5:$F$1504,$A31,业务流水!$D$5:$D$1504,"管理费结算",业务流水!$Z$5:$Z$1504,"是"))</f>
        <v/>
      </c>
      <c r="P31" s="41" t="str">
        <f aca="false">IF($A31="","",SUMIFS(业务流水!$H$5:$H$1504,业务流水!$E$5:$E$1504,$A31,业务流水!$D$5:$D$1504,"扣质保金",业务流水!$Z$5:$Z$1504,"是"))</f>
        <v/>
      </c>
    </row>
    <row r="32" customFormat="false" ht="15.75" hidden="false" customHeight="true" outlineLevel="0" collapsed="false">
      <c r="A32" s="32" t="str">
        <f aca="false">IF(单位档案!$C32&lt;&gt;"挂靠单位","",单位档案!$A32)</f>
        <v/>
      </c>
      <c r="B32" s="40" t="str">
        <f aca="false">IF($A32="","",单位档案!$B32)</f>
        <v/>
      </c>
      <c r="C32" s="41" t="str">
        <f aca="false">IF($A32="","",SUMIFS(业务流水!$H$5:$H$1504,业务流水!$E$5:$E$1504,$A32,业务流水!$D$5:$D$1504,"销项开票",业务流水!$Z$5:$Z$1504,"是"))</f>
        <v/>
      </c>
      <c r="D32" s="41" t="str">
        <f aca="false">IF($A32="","",SUMIFS(业务流水!$O$5:$O$1504,业务流水!$E$5:$E$1504,$A32,业务流水!$D$5:$D$1504,"销项开票",业务流水!$Z$5:$Z$1504,"是"))</f>
        <v/>
      </c>
      <c r="E32" s="41" t="str">
        <f aca="false">IF($A32="","",SUMIFS(业务流水!$P$5:$P$1504,业务流水!$E$5:$E$1504,$A32,业务流水!$D$5:$D$1504,"销项开票",业务流水!$Z$5:$Z$1504,"是"))</f>
        <v/>
      </c>
      <c r="F32" s="41" t="str">
        <f aca="false">IF($A32="","",SUMIFS(业务流水!$H$5:$H$1504,业务流水!$F$5:$F$1504,$A32,业务流水!$D$5:$D$1504,"成本票",业务流水!$Z$5:$Z$1504,"是")+SUMIFS(业务流水!$H$5:$H$1504,业务流水!$F$5:$F$1504,$A32,业务流水!$D$5:$D$1504,"销项开票",业务流水!$Z$5:$Z$1504,"是"))</f>
        <v/>
      </c>
      <c r="G32" s="42" t="str">
        <f aca="false">IF($A32="","",$E32-$F32)</f>
        <v/>
      </c>
      <c r="H32" s="41" t="str">
        <f aca="false">IF($A32="","",SUMIFS(业务流水!$W$5:$W$1504,业务流水!$E$5:$E$1504,$A32,业务流水!$D$5:$D$1504,"销项开票",业务流水!$Z$5:$Z$1504,"是"))</f>
        <v/>
      </c>
      <c r="I32" s="41" t="str">
        <f aca="false">IF($A32="","",SUMIFS(业务流水!$H$5:$H$1504,业务流水!$E$5:$E$1504,$A32,业务流水!$D$5:$D$1504,"已交税",业务流水!$Z$5:$Z$1504,"是"))</f>
        <v/>
      </c>
      <c r="J32" s="42" t="str">
        <f aca="false">IF($A32="","",$H32-$I32)</f>
        <v/>
      </c>
      <c r="K32" s="41" t="str">
        <f aca="false">IF($A32="","",SUMIFS(业务流水!$H$5:$H$1504,业务流水!$F$5:$F$1504,$A32,业务流水!$D$5:$D$1504,"挂靠代收",业务流水!$Z$5:$Z$1504,"是"))</f>
        <v/>
      </c>
      <c r="L32" s="42" t="str">
        <f aca="false">IF($A32="","",$C32-$K32)</f>
        <v/>
      </c>
      <c r="M32" s="41" t="str">
        <f aca="false">IF($A32="","",SUMIFS(业务流水!$H$5:$H$1504,业务流水!$E$5:$E$1504,$A32,业务流水!$D$5:$D$1504,"我方收款",业务流水!$Z$5:$Z$1504,"是"))</f>
        <v/>
      </c>
      <c r="N32" s="43" t="str">
        <f aca="false">IF($A32="","",$K32-$M32)</f>
        <v/>
      </c>
      <c r="O32" s="41" t="str">
        <f aca="false">IF($A32="","",SUMIFS(业务流水!$H$5:$H$1504,业务流水!$F$5:$F$1504,$A32,业务流水!$D$5:$D$1504,"管理费结算",业务流水!$Z$5:$Z$1504,"是"))</f>
        <v/>
      </c>
      <c r="P32" s="41" t="str">
        <f aca="false">IF($A32="","",SUMIFS(业务流水!$H$5:$H$1504,业务流水!$E$5:$E$1504,$A32,业务流水!$D$5:$D$1504,"扣质保金",业务流水!$Z$5:$Z$1504,"是"))</f>
        <v/>
      </c>
    </row>
    <row r="33" customFormat="false" ht="15.75" hidden="false" customHeight="true" outlineLevel="0" collapsed="false">
      <c r="A33" s="32" t="str">
        <f aca="false">IF(单位档案!$C33&lt;&gt;"挂靠单位","",单位档案!$A33)</f>
        <v/>
      </c>
      <c r="B33" s="40" t="str">
        <f aca="false">IF($A33="","",单位档案!$B33)</f>
        <v/>
      </c>
      <c r="C33" s="41" t="str">
        <f aca="false">IF($A33="","",SUMIFS(业务流水!$H$5:$H$1504,业务流水!$E$5:$E$1504,$A33,业务流水!$D$5:$D$1504,"销项开票",业务流水!$Z$5:$Z$1504,"是"))</f>
        <v/>
      </c>
      <c r="D33" s="41" t="str">
        <f aca="false">IF($A33="","",SUMIFS(业务流水!$O$5:$O$1504,业务流水!$E$5:$E$1504,$A33,业务流水!$D$5:$D$1504,"销项开票",业务流水!$Z$5:$Z$1504,"是"))</f>
        <v/>
      </c>
      <c r="E33" s="41" t="str">
        <f aca="false">IF($A33="","",SUMIFS(业务流水!$P$5:$P$1504,业务流水!$E$5:$E$1504,$A33,业务流水!$D$5:$D$1504,"销项开票",业务流水!$Z$5:$Z$1504,"是"))</f>
        <v/>
      </c>
      <c r="F33" s="41" t="str">
        <f aca="false">IF($A33="","",SUMIFS(业务流水!$H$5:$H$1504,业务流水!$F$5:$F$1504,$A33,业务流水!$D$5:$D$1504,"成本票",业务流水!$Z$5:$Z$1504,"是")+SUMIFS(业务流水!$H$5:$H$1504,业务流水!$F$5:$F$1504,$A33,业务流水!$D$5:$D$1504,"销项开票",业务流水!$Z$5:$Z$1504,"是"))</f>
        <v/>
      </c>
      <c r="G33" s="42" t="str">
        <f aca="false">IF($A33="","",$E33-$F33)</f>
        <v/>
      </c>
      <c r="H33" s="41" t="str">
        <f aca="false">IF($A33="","",SUMIFS(业务流水!$W$5:$W$1504,业务流水!$E$5:$E$1504,$A33,业务流水!$D$5:$D$1504,"销项开票",业务流水!$Z$5:$Z$1504,"是"))</f>
        <v/>
      </c>
      <c r="I33" s="41" t="str">
        <f aca="false">IF($A33="","",SUMIFS(业务流水!$H$5:$H$1504,业务流水!$E$5:$E$1504,$A33,业务流水!$D$5:$D$1504,"已交税",业务流水!$Z$5:$Z$1504,"是"))</f>
        <v/>
      </c>
      <c r="J33" s="42" t="str">
        <f aca="false">IF($A33="","",$H33-$I33)</f>
        <v/>
      </c>
      <c r="K33" s="41" t="str">
        <f aca="false">IF($A33="","",SUMIFS(业务流水!$H$5:$H$1504,业务流水!$F$5:$F$1504,$A33,业务流水!$D$5:$D$1504,"挂靠代收",业务流水!$Z$5:$Z$1504,"是"))</f>
        <v/>
      </c>
      <c r="L33" s="42" t="str">
        <f aca="false">IF($A33="","",$C33-$K33)</f>
        <v/>
      </c>
      <c r="M33" s="41" t="str">
        <f aca="false">IF($A33="","",SUMIFS(业务流水!$H$5:$H$1504,业务流水!$E$5:$E$1504,$A33,业务流水!$D$5:$D$1504,"我方收款",业务流水!$Z$5:$Z$1504,"是"))</f>
        <v/>
      </c>
      <c r="N33" s="43" t="str">
        <f aca="false">IF($A33="","",$K33-$M33)</f>
        <v/>
      </c>
      <c r="O33" s="41" t="str">
        <f aca="false">IF($A33="","",SUMIFS(业务流水!$H$5:$H$1504,业务流水!$F$5:$F$1504,$A33,业务流水!$D$5:$D$1504,"管理费结算",业务流水!$Z$5:$Z$1504,"是"))</f>
        <v/>
      </c>
      <c r="P33" s="41" t="str">
        <f aca="false">IF($A33="","",SUMIFS(业务流水!$H$5:$H$1504,业务流水!$E$5:$E$1504,$A33,业务流水!$D$5:$D$1504,"扣质保金",业务流水!$Z$5:$Z$1504,"是"))</f>
        <v/>
      </c>
    </row>
    <row r="34" customFormat="false" ht="15.75" hidden="false" customHeight="true" outlineLevel="0" collapsed="false">
      <c r="A34" s="32" t="str">
        <f aca="false">IF(单位档案!$C34&lt;&gt;"挂靠单位","",单位档案!$A34)</f>
        <v/>
      </c>
      <c r="B34" s="40" t="str">
        <f aca="false">IF($A34="","",单位档案!$B34)</f>
        <v/>
      </c>
      <c r="C34" s="41" t="str">
        <f aca="false">IF($A34="","",SUMIFS(业务流水!$H$5:$H$1504,业务流水!$E$5:$E$1504,$A34,业务流水!$D$5:$D$1504,"销项开票",业务流水!$Z$5:$Z$1504,"是"))</f>
        <v/>
      </c>
      <c r="D34" s="41" t="str">
        <f aca="false">IF($A34="","",SUMIFS(业务流水!$O$5:$O$1504,业务流水!$E$5:$E$1504,$A34,业务流水!$D$5:$D$1504,"销项开票",业务流水!$Z$5:$Z$1504,"是"))</f>
        <v/>
      </c>
      <c r="E34" s="41" t="str">
        <f aca="false">IF($A34="","",SUMIFS(业务流水!$P$5:$P$1504,业务流水!$E$5:$E$1504,$A34,业务流水!$D$5:$D$1504,"销项开票",业务流水!$Z$5:$Z$1504,"是"))</f>
        <v/>
      </c>
      <c r="F34" s="41" t="str">
        <f aca="false">IF($A34="","",SUMIFS(业务流水!$H$5:$H$1504,业务流水!$F$5:$F$1504,$A34,业务流水!$D$5:$D$1504,"成本票",业务流水!$Z$5:$Z$1504,"是")+SUMIFS(业务流水!$H$5:$H$1504,业务流水!$F$5:$F$1504,$A34,业务流水!$D$5:$D$1504,"销项开票",业务流水!$Z$5:$Z$1504,"是"))</f>
        <v/>
      </c>
      <c r="G34" s="42" t="str">
        <f aca="false">IF($A34="","",$E34-$F34)</f>
        <v/>
      </c>
      <c r="H34" s="41" t="str">
        <f aca="false">IF($A34="","",SUMIFS(业务流水!$W$5:$W$1504,业务流水!$E$5:$E$1504,$A34,业务流水!$D$5:$D$1504,"销项开票",业务流水!$Z$5:$Z$1504,"是"))</f>
        <v/>
      </c>
      <c r="I34" s="41" t="str">
        <f aca="false">IF($A34="","",SUMIFS(业务流水!$H$5:$H$1504,业务流水!$E$5:$E$1504,$A34,业务流水!$D$5:$D$1504,"已交税",业务流水!$Z$5:$Z$1504,"是"))</f>
        <v/>
      </c>
      <c r="J34" s="42" t="str">
        <f aca="false">IF($A34="","",$H34-$I34)</f>
        <v/>
      </c>
      <c r="K34" s="41" t="str">
        <f aca="false">IF($A34="","",SUMIFS(业务流水!$H$5:$H$1504,业务流水!$F$5:$F$1504,$A34,业务流水!$D$5:$D$1504,"挂靠代收",业务流水!$Z$5:$Z$1504,"是"))</f>
        <v/>
      </c>
      <c r="L34" s="42" t="str">
        <f aca="false">IF($A34="","",$C34-$K34)</f>
        <v/>
      </c>
      <c r="M34" s="41" t="str">
        <f aca="false">IF($A34="","",SUMIFS(业务流水!$H$5:$H$1504,业务流水!$E$5:$E$1504,$A34,业务流水!$D$5:$D$1504,"我方收款",业务流水!$Z$5:$Z$1504,"是"))</f>
        <v/>
      </c>
      <c r="N34" s="43" t="str">
        <f aca="false">IF($A34="","",$K34-$M34)</f>
        <v/>
      </c>
      <c r="O34" s="41" t="str">
        <f aca="false">IF($A34="","",SUMIFS(业务流水!$H$5:$H$1504,业务流水!$F$5:$F$1504,$A34,业务流水!$D$5:$D$1504,"管理费结算",业务流水!$Z$5:$Z$1504,"是"))</f>
        <v/>
      </c>
      <c r="P34" s="41" t="str">
        <f aca="false">IF($A34="","",SUMIFS(业务流水!$H$5:$H$1504,业务流水!$E$5:$E$1504,$A34,业务流水!$D$5:$D$1504,"扣质保金",业务流水!$Z$5:$Z$1504,"是"))</f>
        <v/>
      </c>
    </row>
    <row r="35" customFormat="false" ht="15.75" hidden="false" customHeight="true" outlineLevel="0" collapsed="false">
      <c r="A35" s="32" t="str">
        <f aca="false">IF(单位档案!$C35&lt;&gt;"挂靠单位","",单位档案!$A35)</f>
        <v/>
      </c>
      <c r="B35" s="40" t="str">
        <f aca="false">IF($A35="","",单位档案!$B35)</f>
        <v/>
      </c>
      <c r="C35" s="41" t="str">
        <f aca="false">IF($A35="","",SUMIFS(业务流水!$H$5:$H$1504,业务流水!$E$5:$E$1504,$A35,业务流水!$D$5:$D$1504,"销项开票",业务流水!$Z$5:$Z$1504,"是"))</f>
        <v/>
      </c>
      <c r="D35" s="41" t="str">
        <f aca="false">IF($A35="","",SUMIFS(业务流水!$O$5:$O$1504,业务流水!$E$5:$E$1504,$A35,业务流水!$D$5:$D$1504,"销项开票",业务流水!$Z$5:$Z$1504,"是"))</f>
        <v/>
      </c>
      <c r="E35" s="41" t="str">
        <f aca="false">IF($A35="","",SUMIFS(业务流水!$P$5:$P$1504,业务流水!$E$5:$E$1504,$A35,业务流水!$D$5:$D$1504,"销项开票",业务流水!$Z$5:$Z$1504,"是"))</f>
        <v/>
      </c>
      <c r="F35" s="41" t="str">
        <f aca="false">IF($A35="","",SUMIFS(业务流水!$H$5:$H$1504,业务流水!$F$5:$F$1504,$A35,业务流水!$D$5:$D$1504,"成本票",业务流水!$Z$5:$Z$1504,"是")+SUMIFS(业务流水!$H$5:$H$1504,业务流水!$F$5:$F$1504,$A35,业务流水!$D$5:$D$1504,"销项开票",业务流水!$Z$5:$Z$1504,"是"))</f>
        <v/>
      </c>
      <c r="G35" s="42" t="str">
        <f aca="false">IF($A35="","",$E35-$F35)</f>
        <v/>
      </c>
      <c r="H35" s="41" t="str">
        <f aca="false">IF($A35="","",SUMIFS(业务流水!$W$5:$W$1504,业务流水!$E$5:$E$1504,$A35,业务流水!$D$5:$D$1504,"销项开票",业务流水!$Z$5:$Z$1504,"是"))</f>
        <v/>
      </c>
      <c r="I35" s="41" t="str">
        <f aca="false">IF($A35="","",SUMIFS(业务流水!$H$5:$H$1504,业务流水!$E$5:$E$1504,$A35,业务流水!$D$5:$D$1504,"已交税",业务流水!$Z$5:$Z$1504,"是"))</f>
        <v/>
      </c>
      <c r="J35" s="42" t="str">
        <f aca="false">IF($A35="","",$H35-$I35)</f>
        <v/>
      </c>
      <c r="K35" s="41" t="str">
        <f aca="false">IF($A35="","",SUMIFS(业务流水!$H$5:$H$1504,业务流水!$F$5:$F$1504,$A35,业务流水!$D$5:$D$1504,"挂靠代收",业务流水!$Z$5:$Z$1504,"是"))</f>
        <v/>
      </c>
      <c r="L35" s="42" t="str">
        <f aca="false">IF($A35="","",$C35-$K35)</f>
        <v/>
      </c>
      <c r="M35" s="41" t="str">
        <f aca="false">IF($A35="","",SUMIFS(业务流水!$H$5:$H$1504,业务流水!$E$5:$E$1504,$A35,业务流水!$D$5:$D$1504,"我方收款",业务流水!$Z$5:$Z$1504,"是"))</f>
        <v/>
      </c>
      <c r="N35" s="43" t="str">
        <f aca="false">IF($A35="","",$K35-$M35)</f>
        <v/>
      </c>
      <c r="O35" s="41" t="str">
        <f aca="false">IF($A35="","",SUMIFS(业务流水!$H$5:$H$1504,业务流水!$F$5:$F$1504,$A35,业务流水!$D$5:$D$1504,"管理费结算",业务流水!$Z$5:$Z$1504,"是"))</f>
        <v/>
      </c>
      <c r="P35" s="41" t="str">
        <f aca="false">IF($A35="","",SUMIFS(业务流水!$H$5:$H$1504,业务流水!$E$5:$E$1504,$A35,业务流水!$D$5:$D$1504,"扣质保金",业务流水!$Z$5:$Z$1504,"是"))</f>
        <v/>
      </c>
    </row>
    <row r="36" customFormat="false" ht="15" hidden="false" customHeight="false" outlineLevel="0" collapsed="false">
      <c r="A36" s="44" t="s">
        <v>694</v>
      </c>
      <c r="B36" s="44"/>
      <c r="C36" s="45" t="n">
        <f aca="false">SUM(C6:C35)</f>
        <v>3695523.42</v>
      </c>
      <c r="D36" s="45" t="n">
        <f aca="false">SUM(D6:D35)</f>
        <v>161496.82</v>
      </c>
      <c r="E36" s="45" t="n">
        <f aca="false">SUM(E6:E35)</f>
        <v>3534026.6</v>
      </c>
      <c r="F36" s="45" t="n">
        <f aca="false">SUM(F6:F35)</f>
        <v>2587989.65</v>
      </c>
      <c r="G36" s="45" t="n">
        <f aca="false">SUM(G6:G35)</f>
        <v>946036.95</v>
      </c>
      <c r="H36" s="45" t="n">
        <f aca="false">SUM(H6:H35)</f>
        <v>144095.36</v>
      </c>
      <c r="I36" s="45" t="n">
        <f aca="false">SUM(I6:I35)</f>
        <v>72078.92</v>
      </c>
      <c r="J36" s="45" t="n">
        <f aca="false">SUM(J6:J35)</f>
        <v>72016.44</v>
      </c>
      <c r="K36" s="45" t="n">
        <f aca="false">SUM(K6:K35)</f>
        <v>1853826.63</v>
      </c>
      <c r="L36" s="45" t="n">
        <f aca="false">SUM(L6:L35)</f>
        <v>1841696.79</v>
      </c>
      <c r="M36" s="45" t="n">
        <f aca="false">SUM(M6:M35)</f>
        <v>1528476.28</v>
      </c>
      <c r="N36" s="45" t="n">
        <f aca="false">SUM(N6:N35)</f>
        <v>325350.35</v>
      </c>
      <c r="O36" s="45" t="n">
        <f aca="false">SUM(O6:O35)</f>
        <v>94849.41</v>
      </c>
      <c r="P36" s="45" t="n">
        <f aca="false">SUM(P6:P35)</f>
        <v>521.43</v>
      </c>
    </row>
  </sheetData>
  <autoFilter ref="A5:P35"/>
  <mergeCells count="2">
    <mergeCell ref="A1:P1"/>
    <mergeCell ref="A2:P2"/>
  </mergeCells>
  <conditionalFormatting sqref="N6:N35">
    <cfRule type="expression" priority="2" aboveAverage="0" equalAverage="0" bottom="0" percent="0" rank="0" text="" dxfId="12">
      <formula>$N6&gt;0.01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P2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0"/>
    <col collapsed="false" customWidth="true" hidden="false" outlineLevel="0" max="16" min="3" style="0" width="14"/>
  </cols>
  <sheetData>
    <row r="1" customFormat="false" ht="25.5" hidden="false" customHeight="true" outlineLevel="0" collapsed="false">
      <c r="A1" s="17" t="s">
        <v>695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</row>
    <row r="2" customFormat="false" ht="15" hidden="false" customHeight="true" outlineLevel="0" collapsed="false">
      <c r="A2" s="19" t="s">
        <v>696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</row>
    <row r="5" customFormat="false" ht="30" hidden="false" customHeight="true" outlineLevel="0" collapsed="false">
      <c r="A5" s="20" t="s">
        <v>72</v>
      </c>
      <c r="B5" s="20" t="s">
        <v>140</v>
      </c>
      <c r="C5" s="20" t="s">
        <v>684</v>
      </c>
      <c r="D5" s="20" t="s">
        <v>685</v>
      </c>
      <c r="E5" s="20" t="s">
        <v>686</v>
      </c>
      <c r="F5" s="20" t="s">
        <v>687</v>
      </c>
      <c r="G5" s="20" t="s">
        <v>688</v>
      </c>
      <c r="H5" s="20" t="s">
        <v>10</v>
      </c>
      <c r="I5" s="20" t="s">
        <v>11</v>
      </c>
      <c r="J5" s="20" t="s">
        <v>12</v>
      </c>
      <c r="K5" s="20" t="s">
        <v>689</v>
      </c>
      <c r="L5" s="20" t="s">
        <v>690</v>
      </c>
      <c r="M5" s="20" t="s">
        <v>691</v>
      </c>
      <c r="N5" s="20" t="s">
        <v>692</v>
      </c>
      <c r="O5" s="20" t="s">
        <v>693</v>
      </c>
      <c r="P5" s="20" t="s">
        <v>396</v>
      </c>
    </row>
    <row r="6" customFormat="false" ht="15.75" hidden="false" customHeight="true" outlineLevel="0" collapsed="false">
      <c r="A6" s="32" t="str">
        <f aca="false">IF(项目档案!$A6="","",项目档案!$A6)</f>
        <v>A001</v>
      </c>
      <c r="B6" s="40" t="str">
        <f aca="false">IF($A6="","",项目档案!$B6)</f>
        <v>2025-2026年度工程用施工机具等租赁服务（重庆铜梁10kV大太线老旧线路改造工程）</v>
      </c>
      <c r="C6" s="41" t="n">
        <f aca="false">IF($A6="","",SUMIFS(业务流水!$H$5:$H$1504,业务流水!$E$5:$E$1504,"*",业务流水!$D$5:$D$1504,"销项开票",业务流水!$C$5:$C$1504,$A6,业务流水!$Z$5:$Z$1504,"是"))</f>
        <v>255246.72</v>
      </c>
      <c r="D6" s="41" t="n">
        <f aca="false">IF($A6="","",SUMIFS(业务流水!$O$5:$O$1504,业务流水!$E$5:$E$1504,"*",业务流水!$D$5:$D$1504,"销项开票",业务流水!$C$5:$C$1504,$A6,业务流水!$Z$5:$Z$1504,"是"))</f>
        <v>22865.85</v>
      </c>
      <c r="E6" s="41" t="n">
        <f aca="false">IF($A6="","",SUMIFS(业务流水!$P$5:$P$1504,业务流水!$E$5:$E$1504,"*",业务流水!$D$5:$D$1504,"销项开票",业务流水!$C$5:$C$1504,$A6,业务流水!$Z$5:$Z$1504,"是"))</f>
        <v>232380.87</v>
      </c>
      <c r="F6" s="41" t="n">
        <f aca="false">IF($A6="","",SUMIFS(业务流水!$H$5:$H$1504,业务流水!$F$5:$F$1504,"*",业务流水!$D$5:$D$1504,"成本票",业务流水!$C$5:$C$1504,$A6,业务流水!$Z$5:$Z$1504,"是")+SUMIFS(业务流水!$H$5:$H$1504,业务流水!$F$5:$F$1504,"*",业务流水!$D$5:$D$1504,"销项开票",业务流水!$C$5:$C$1504,$A6,业务流水!$Z$5:$Z$1504,"是"))</f>
        <v>255246.72</v>
      </c>
      <c r="G6" s="42" t="n">
        <f aca="false">IF($A6="","",$E6-$F6)</f>
        <v>-22865.85</v>
      </c>
      <c r="H6" s="41" t="n">
        <f aca="false">IF($A6="","",SUMIFS(业务流水!$W$5:$W$1504,业务流水!$E$5:$E$1504,"*",业务流水!$D$5:$D$1504,"销项开票",业务流水!$C$5:$C$1504,$A6,业务流水!$Z$5:$Z$1504,"是"))</f>
        <v>15759.04</v>
      </c>
      <c r="I6" s="41" t="n">
        <f aca="false">IF($A6="","",SUMIFS(业务流水!$H$5:$H$1504,业务流水!$E$5:$E$1504,"*",业务流水!$D$5:$D$1504,"已交税",业务流水!$C$5:$C$1504,$A6,业务流水!$Z$5:$Z$1504,"是"))</f>
        <v>0</v>
      </c>
      <c r="J6" s="42" t="n">
        <f aca="false">IF($A6="","",$H6-$I6)</f>
        <v>15759.04</v>
      </c>
      <c r="K6" s="41" t="n">
        <f aca="false">IF($A6="","",SUMIFS(业务流水!$H$5:$H$1504,业务流水!$F$5:$F$1504,"*",业务流水!$D$5:$D$1504,"挂靠代收",业务流水!$C$5:$C$1504,$A6,业务流水!$Z$5:$Z$1504,"是"))</f>
        <v>255246.72</v>
      </c>
      <c r="L6" s="42" t="n">
        <f aca="false">IF($A6="","",$C6-$K6)</f>
        <v>0</v>
      </c>
      <c r="M6" s="41" t="n">
        <f aca="false">IF($A6="","",SUMIFS(业务流水!$H$5:$H$1504,业务流水!$E$5:$E$1504,"*",业务流水!$D$5:$D$1504,"我方收款",业务流水!$C$5:$C$1504,$A6,业务流水!$Z$5:$Z$1504,"是"))</f>
        <v>0</v>
      </c>
      <c r="N6" s="43" t="n">
        <f aca="false">IF($A6="","",$K6-$M6)</f>
        <v>255246.72</v>
      </c>
      <c r="O6" s="41" t="n">
        <f aca="false">IF($A6="","",SUMIFS(业务流水!$H$5:$H$1504,业务流水!$F$5:$F$1504,"*",业务流水!$D$5:$D$1504,"管理费结算",业务流水!$C$5:$C$1504,$A6,业务流水!$Z$5:$Z$1504,"是"))</f>
        <v>10635.28</v>
      </c>
      <c r="P6" s="41" t="n">
        <f aca="false">IF($A6="","",SUMIFS(业务流水!$H$5:$H$1504,业务流水!$E$5:$E$1504,"*",业务流水!$D$5:$D$1504,"扣质保金",业务流水!$C$5:$C$1504,$A6,业务流水!$Z$5:$Z$1504,"是"))</f>
        <v>0</v>
      </c>
    </row>
    <row r="7" customFormat="false" ht="15.75" hidden="false" customHeight="true" outlineLevel="0" collapsed="false">
      <c r="A7" s="32" t="str">
        <f aca="false">IF(项目档案!$A7="","",项目档案!$A7)</f>
        <v>A002</v>
      </c>
      <c r="B7" s="40" t="str">
        <f aca="false">IF($A7="","",项目档案!$B7)</f>
        <v>重庆铜梁10kV梧桐村4.5.6社台区重过载治理工程等23个项目(2025年配网6批、业扩5批民能施工）(重庆铜梁10kV侣新线凤飞7社台区重过载治理工程)</v>
      </c>
      <c r="C7" s="41" t="n">
        <f aca="false">IF($A7="","",SUMIFS(业务流水!$H$5:$H$1504,业务流水!$E$5:$E$1504,"*",业务流水!$D$5:$D$1504,"销项开票",业务流水!$C$5:$C$1504,$A7,业务流水!$Z$5:$Z$1504,"是"))</f>
        <v>496722.85</v>
      </c>
      <c r="D7" s="41" t="n">
        <f aca="false">IF($A7="","",SUMIFS(业务流水!$O$5:$O$1504,业务流水!$E$5:$E$1504,"*",业务流水!$D$5:$D$1504,"销项开票",业务流水!$C$5:$C$1504,$A7,业务流水!$Z$5:$Z$1504,"是"))</f>
        <v>17265.85</v>
      </c>
      <c r="E7" s="41" t="n">
        <f aca="false">IF($A7="","",SUMIFS(业务流水!$P$5:$P$1504,业务流水!$E$5:$E$1504,"*",业务流水!$D$5:$D$1504,"销项开票",业务流水!$C$5:$C$1504,$A7,业务流水!$Z$5:$Z$1504,"是"))</f>
        <v>479457</v>
      </c>
      <c r="F7" s="41" t="n">
        <f aca="false">IF($A7="","",SUMIFS(业务流水!$H$5:$H$1504,业务流水!$F$5:$F$1504,"*",业务流水!$D$5:$D$1504,"成本票",业务流水!$C$5:$C$1504,$A7,业务流水!$Z$5:$Z$1504,"是")+SUMIFS(业务流水!$H$5:$H$1504,业务流水!$F$5:$F$1504,"*",业务流水!$D$5:$D$1504,"销项开票",业务流水!$C$5:$C$1504,$A7,业务流水!$Z$5:$Z$1504,"是"))</f>
        <v>496722.85</v>
      </c>
      <c r="G7" s="42" t="n">
        <f aca="false">IF($A7="","",$E7-$F7)</f>
        <v>-17265.85</v>
      </c>
      <c r="H7" s="41" t="n">
        <f aca="false">IF($A7="","",SUMIFS(业务流水!$W$5:$W$1504,业务流水!$E$5:$E$1504,"*",业务流水!$D$5:$D$1504,"销项开票",业务流水!$C$5:$C$1504,$A7,业务流水!$Z$5:$Z$1504,"是"))</f>
        <v>23453.5</v>
      </c>
      <c r="I7" s="41" t="n">
        <f aca="false">IF($A7="","",SUMIFS(业务流水!$H$5:$H$1504,业务流水!$E$5:$E$1504,"*",业务流水!$D$5:$D$1504,"已交税",业务流水!$C$5:$C$1504,$A7,业务流水!$Z$5:$Z$1504,"是"))</f>
        <v>3910.95</v>
      </c>
      <c r="J7" s="42" t="n">
        <f aca="false">IF($A7="","",$H7-$I7)</f>
        <v>19542.55</v>
      </c>
      <c r="K7" s="41" t="n">
        <f aca="false">IF($A7="","",SUMIFS(业务流水!$H$5:$H$1504,业务流水!$F$5:$F$1504,"*",业务流水!$D$5:$D$1504,"挂靠代收",业务流水!$C$5:$C$1504,$A7,业务流水!$Z$5:$Z$1504,"是"))</f>
        <v>514920</v>
      </c>
      <c r="L7" s="42" t="n">
        <f aca="false">IF($A7="","",$C7-$K7)</f>
        <v>-18197.15</v>
      </c>
      <c r="M7" s="41" t="n">
        <f aca="false">IF($A7="","",SUMIFS(业务流水!$H$5:$H$1504,业务流水!$E$5:$E$1504,"*",业务流水!$D$5:$D$1504,"我方收款",业务流水!$C$5:$C$1504,$A7,业务流水!$Z$5:$Z$1504,"是"))</f>
        <v>516101.73</v>
      </c>
      <c r="N7" s="43" t="n">
        <f aca="false">IF($A7="","",$K7-$M7)</f>
        <v>-1181.72999999998</v>
      </c>
      <c r="O7" s="41" t="n">
        <f aca="false">IF($A7="","",SUMIFS(业务流水!$H$5:$H$1504,业务流水!$F$5:$F$1504,"*",业务流水!$D$5:$D$1504,"管理费结算",业务流水!$C$5:$C$1504,$A7,业务流水!$Z$5:$Z$1504,"是"))</f>
        <v>4913.93</v>
      </c>
      <c r="P7" s="41" t="n">
        <f aca="false">IF($A7="","",SUMIFS(业务流水!$H$5:$H$1504,业务流水!$E$5:$E$1504,"*",业务流水!$D$5:$D$1504,"扣质保金",业务流水!$C$5:$C$1504,$A7,业务流水!$Z$5:$Z$1504,"是"))</f>
        <v>0</v>
      </c>
    </row>
    <row r="8" customFormat="false" ht="15.75" hidden="false" customHeight="true" outlineLevel="0" collapsed="false">
      <c r="A8" s="32" t="str">
        <f aca="false">IF(项目档案!$A8="","",项目档案!$A8)</f>
        <v>A003</v>
      </c>
      <c r="B8" s="40" t="str">
        <f aca="false">IF($A8="","",项目档案!$B8)</f>
        <v>重庆铜梁10kV平双线新建联络工程</v>
      </c>
      <c r="C8" s="41" t="n">
        <f aca="false">IF($A8="","",SUMIFS(业务流水!$H$5:$H$1504,业务流水!$E$5:$E$1504,"*",业务流水!$D$5:$D$1504,"销项开票",业务流水!$C$5:$C$1504,$A8,业务流水!$Z$5:$Z$1504,"是"))</f>
        <v>491401</v>
      </c>
      <c r="D8" s="41" t="n">
        <f aca="false">IF($A8="","",SUMIFS(业务流水!$O$5:$O$1504,业务流水!$E$5:$E$1504,"*",业务流水!$D$5:$D$1504,"销项开票",业务流水!$C$5:$C$1504,$A8,业务流水!$Z$5:$Z$1504,"是"))</f>
        <v>18731.56</v>
      </c>
      <c r="E8" s="41" t="n">
        <f aca="false">IF($A8="","",SUMIFS(业务流水!$P$5:$P$1504,业务流水!$E$5:$E$1504,"*",业务流水!$D$5:$D$1504,"销项开票",业务流水!$C$5:$C$1504,$A8,业务流水!$Z$5:$Z$1504,"是"))</f>
        <v>472669.44</v>
      </c>
      <c r="F8" s="41" t="n">
        <f aca="false">IF($A8="","",SUMIFS(业务流水!$H$5:$H$1504,业务流水!$F$5:$F$1504,"*",业务流水!$D$5:$D$1504,"成本票",业务流水!$C$5:$C$1504,$A8,业务流水!$Z$5:$Z$1504,"是")+SUMIFS(业务流水!$H$5:$H$1504,业务流水!$F$5:$F$1504,"*",业务流水!$D$5:$D$1504,"销项开票",业务流水!$C$5:$C$1504,$A8,业务流水!$Z$5:$Z$1504,"是"))</f>
        <v>921040.84</v>
      </c>
      <c r="G8" s="42" t="n">
        <f aca="false">IF($A8="","",$E8-$F8)</f>
        <v>-448371.4</v>
      </c>
      <c r="H8" s="41" t="n">
        <f aca="false">IF($A8="","",SUMIFS(业务流水!$W$5:$W$1504,业务流水!$E$5:$E$1504,"*",业务流水!$D$5:$D$1504,"销项开票",业务流水!$C$5:$C$1504,$A8,业务流水!$Z$5:$Z$1504,"是"))</f>
        <v>13401.48</v>
      </c>
      <c r="I8" s="41" t="n">
        <f aca="false">IF($A8="","",SUMIFS(业务流水!$H$5:$H$1504,业务流水!$E$5:$E$1504,"*",业务流水!$D$5:$D$1504,"已交税",业务流水!$C$5:$C$1504,$A8,业务流水!$Z$5:$Z$1504,"是"))</f>
        <v>16883.46</v>
      </c>
      <c r="J8" s="42" t="n">
        <f aca="false">IF($A8="","",$H8-$I8)</f>
        <v>-3481.98</v>
      </c>
      <c r="K8" s="41" t="n">
        <f aca="false">IF($A8="","",SUMIFS(业务流水!$H$5:$H$1504,业务流水!$F$5:$F$1504,"*",业务流水!$D$5:$D$1504,"挂靠代收",业务流水!$C$5:$C$1504,$A8,业务流水!$Z$5:$Z$1504,"是"))</f>
        <v>20587.48</v>
      </c>
      <c r="L8" s="42" t="n">
        <f aca="false">IF($A8="","",$C8-$K8)</f>
        <v>470813.52</v>
      </c>
      <c r="M8" s="41" t="n">
        <f aca="false">IF($A8="","",SUMIFS(业务流水!$H$5:$H$1504,业务流水!$E$5:$E$1504,"*",业务流水!$D$5:$D$1504,"我方收款",业务流水!$C$5:$C$1504,$A8,业务流水!$Z$5:$Z$1504,"是"))</f>
        <v>10129.24</v>
      </c>
      <c r="N8" s="43" t="n">
        <f aca="false">IF($A8="","",$K8-$M8)</f>
        <v>10458.24</v>
      </c>
      <c r="O8" s="41" t="n">
        <f aca="false">IF($A8="","",SUMIFS(业务流水!$H$5:$H$1504,业务流水!$F$5:$F$1504,"*",业务流水!$D$5:$D$1504,"管理费结算",业务流水!$C$5:$C$1504,$A8,业务流水!$Z$5:$Z$1504,"是"))</f>
        <v>8768.16</v>
      </c>
      <c r="P8" s="41" t="n">
        <f aca="false">IF($A8="","",SUMIFS(业务流水!$H$5:$H$1504,业务流水!$E$5:$E$1504,"*",业务流水!$D$5:$D$1504,"扣质保金",业务流水!$C$5:$C$1504,$A8,业务流水!$Z$5:$Z$1504,"是"))</f>
        <v>0</v>
      </c>
    </row>
    <row r="9" customFormat="false" ht="15.75" hidden="false" customHeight="true" outlineLevel="0" collapsed="false">
      <c r="A9" s="32" t="str">
        <f aca="false">IF(项目档案!$A9="","",项目档案!$A9)</f>
        <v>A004</v>
      </c>
      <c r="B9" s="40" t="str">
        <f aca="false">IF($A9="","",项目档案!$B9)</f>
        <v>重庆铜梁10kV水羊线金鸡3（4）社台区重过载治理工程</v>
      </c>
      <c r="C9" s="41" t="n">
        <f aca="false">IF($A9="","",SUMIFS(业务流水!$H$5:$H$1504,业务流水!$E$5:$E$1504,"*",业务流水!$D$5:$D$1504,"销项开票",业务流水!$C$5:$C$1504,$A9,业务流水!$Z$5:$Z$1504,"是"))</f>
        <v>86918</v>
      </c>
      <c r="D9" s="41" t="n">
        <f aca="false">IF($A9="","",SUMIFS(业务流水!$O$5:$O$1504,业务流水!$E$5:$E$1504,"*",业务流水!$D$5:$D$1504,"销项开票",业务流水!$C$5:$C$1504,$A9,业务流水!$Z$5:$Z$1504,"是"))</f>
        <v>3067.37</v>
      </c>
      <c r="E9" s="41" t="n">
        <f aca="false">IF($A9="","",SUMIFS(业务流水!$P$5:$P$1504,业务流水!$E$5:$E$1504,"*",业务流水!$D$5:$D$1504,"销项开票",业务流水!$C$5:$C$1504,$A9,业务流水!$Z$5:$Z$1504,"是"))</f>
        <v>83850.63</v>
      </c>
      <c r="F9" s="41" t="n">
        <f aca="false">IF($A9="","",SUMIFS(业务流水!$H$5:$H$1504,业务流水!$F$5:$F$1504,"*",业务流水!$D$5:$D$1504,"成本票",业务流水!$C$5:$C$1504,$A9,业务流水!$Z$5:$Z$1504,"是")+SUMIFS(业务流水!$H$5:$H$1504,业务流水!$F$5:$F$1504,"*",业务流水!$D$5:$D$1504,"销项开票",业务流水!$C$5:$C$1504,$A9,业务流水!$Z$5:$Z$1504,"是"))</f>
        <v>86918</v>
      </c>
      <c r="G9" s="42" t="n">
        <f aca="false">IF($A9="","",$E9-$F9)</f>
        <v>-3067.37</v>
      </c>
      <c r="H9" s="41" t="n">
        <f aca="false">IF($A9="","",SUMIFS(业务流水!$W$5:$W$1504,业务流水!$E$5:$E$1504,"*",业务流水!$D$5:$D$1504,"销项开票",业务流水!$C$5:$C$1504,$A9,业务流水!$Z$5:$Z$1504,"是"))</f>
        <v>2530.69</v>
      </c>
      <c r="I9" s="41" t="n">
        <f aca="false">IF($A9="","",SUMIFS(业务流水!$H$5:$H$1504,业务流水!$E$5:$E$1504,"*",业务流水!$D$5:$D$1504,"已交税",业务流水!$C$5:$C$1504,$A9,业务流水!$Z$5:$Z$1504,"是"))</f>
        <v>0</v>
      </c>
      <c r="J9" s="42" t="n">
        <f aca="false">IF($A9="","",$H9-$I9)</f>
        <v>2530.69</v>
      </c>
      <c r="K9" s="41" t="n">
        <f aca="false">IF($A9="","",SUMIFS(业务流水!$H$5:$H$1504,业务流水!$F$5:$F$1504,"*",业务流水!$D$5:$D$1504,"挂靠代收",业务流水!$C$5:$C$1504,$A9,业务流水!$Z$5:$Z$1504,"是"))</f>
        <v>0</v>
      </c>
      <c r="L9" s="42" t="n">
        <f aca="false">IF($A9="","",$C9-$K9)</f>
        <v>86918</v>
      </c>
      <c r="M9" s="41" t="n">
        <f aca="false">IF($A9="","",SUMIFS(业务流水!$H$5:$H$1504,业务流水!$E$5:$E$1504,"*",业务流水!$D$5:$D$1504,"我方收款",业务流水!$C$5:$C$1504,$A9,业务流水!$Z$5:$Z$1504,"是"))</f>
        <v>0</v>
      </c>
      <c r="N9" s="43" t="n">
        <f aca="false">IF($A9="","",$K9-$M9)</f>
        <v>0</v>
      </c>
      <c r="O9" s="41" t="n">
        <f aca="false">IF($A9="","",SUMIFS(业务流水!$H$5:$H$1504,业务流水!$F$5:$F$1504,"*",业务流水!$D$5:$D$1504,"管理费结算",业务流水!$C$5:$C$1504,$A9,业务流水!$Z$5:$Z$1504,"是"))</f>
        <v>0</v>
      </c>
      <c r="P9" s="41" t="n">
        <f aca="false">IF($A9="","",SUMIFS(业务流水!$H$5:$H$1504,业务流水!$E$5:$E$1504,"*",业务流水!$D$5:$D$1504,"扣质保金",业务流水!$C$5:$C$1504,$A9,业务流水!$Z$5:$Z$1504,"是"))</f>
        <v>0</v>
      </c>
    </row>
    <row r="10" customFormat="false" ht="15.75" hidden="false" customHeight="true" outlineLevel="0" collapsed="false">
      <c r="A10" s="32" t="str">
        <f aca="false">IF(项目档案!$A10="","",项目档案!$A10)</f>
        <v>A005</v>
      </c>
      <c r="B10" s="40" t="str">
        <f aca="false">IF($A10="","",项目档案!$B10)</f>
        <v>重庆铜梁10kV龙羊线七佛4社台区重过载治理工程</v>
      </c>
      <c r="C10" s="41" t="n">
        <f aca="false">IF($A10="","",SUMIFS(业务流水!$H$5:$H$1504,业务流水!$E$5:$E$1504,"*",业务流水!$D$5:$D$1504,"销项开票",业务流水!$C$5:$C$1504,$A10,业务流水!$Z$5:$Z$1504,"是"))</f>
        <v>74714</v>
      </c>
      <c r="D10" s="41" t="n">
        <f aca="false">IF($A10="","",SUMIFS(业务流水!$O$5:$O$1504,业务流水!$E$5:$E$1504,"*",业务流水!$D$5:$D$1504,"销项开票",业务流水!$C$5:$C$1504,$A10,业务流水!$Z$5:$Z$1504,"是"))</f>
        <v>2758.45</v>
      </c>
      <c r="E10" s="41" t="n">
        <f aca="false">IF($A10="","",SUMIFS(业务流水!$P$5:$P$1504,业务流水!$E$5:$E$1504,"*",业务流水!$D$5:$D$1504,"销项开票",业务流水!$C$5:$C$1504,$A10,业务流水!$Z$5:$Z$1504,"是"))</f>
        <v>71955.55</v>
      </c>
      <c r="F10" s="41" t="n">
        <f aca="false">IF($A10="","",SUMIFS(业务流水!$H$5:$H$1504,业务流水!$F$5:$F$1504,"*",业务流水!$D$5:$D$1504,"成本票",业务流水!$C$5:$C$1504,$A10,业务流水!$Z$5:$Z$1504,"是")+SUMIFS(业务流水!$H$5:$H$1504,业务流水!$F$5:$F$1504,"*",业务流水!$D$5:$D$1504,"销项开票",业务流水!$C$5:$C$1504,$A10,业务流水!$Z$5:$Z$1504,"是"))</f>
        <v>74714</v>
      </c>
      <c r="G10" s="42" t="n">
        <f aca="false">IF($A10="","",$E10-$F10)</f>
        <v>-2758.45</v>
      </c>
      <c r="H10" s="41" t="n">
        <f aca="false">IF($A10="","",SUMIFS(业务流水!$W$5:$W$1504,业务流水!$E$5:$E$1504,"*",业务流水!$D$5:$D$1504,"销项开票",业务流水!$C$5:$C$1504,$A10,业务流水!$Z$5:$Z$1504,"是"))</f>
        <v>2033.71</v>
      </c>
      <c r="I10" s="41" t="n">
        <f aca="false">IF($A10="","",SUMIFS(业务流水!$H$5:$H$1504,业务流水!$E$5:$E$1504,"*",业务流水!$D$5:$D$1504,"已交税",业务流水!$C$5:$C$1504,$A10,业务流水!$Z$5:$Z$1504,"是"))</f>
        <v>0</v>
      </c>
      <c r="J10" s="42" t="n">
        <f aca="false">IF($A10="","",$H10-$I10)</f>
        <v>2033.71</v>
      </c>
      <c r="K10" s="41" t="n">
        <f aca="false">IF($A10="","",SUMIFS(业务流水!$H$5:$H$1504,业务流水!$F$5:$F$1504,"*",业务流水!$D$5:$D$1504,"挂靠代收",业务流水!$C$5:$C$1504,$A10,业务流水!$Z$5:$Z$1504,"是"))</f>
        <v>0</v>
      </c>
      <c r="L10" s="42" t="n">
        <f aca="false">IF($A10="","",$C10-$K10)</f>
        <v>74714</v>
      </c>
      <c r="M10" s="41" t="n">
        <f aca="false">IF($A10="","",SUMIFS(业务流水!$H$5:$H$1504,业务流水!$E$5:$E$1504,"*",业务流水!$D$5:$D$1504,"我方收款",业务流水!$C$5:$C$1504,$A10,业务流水!$Z$5:$Z$1504,"是"))</f>
        <v>0</v>
      </c>
      <c r="N10" s="43" t="n">
        <f aca="false">IF($A10="","",$K10-$M10)</f>
        <v>0</v>
      </c>
      <c r="O10" s="41" t="n">
        <f aca="false">IF($A10="","",SUMIFS(业务流水!$H$5:$H$1504,业务流水!$F$5:$F$1504,"*",业务流水!$D$5:$D$1504,"管理费结算",业务流水!$C$5:$C$1504,$A10,业务流水!$Z$5:$Z$1504,"是"))</f>
        <v>0</v>
      </c>
      <c r="P10" s="41" t="n">
        <f aca="false">IF($A10="","",SUMIFS(业务流水!$H$5:$H$1504,业务流水!$E$5:$E$1504,"*",业务流水!$D$5:$D$1504,"扣质保金",业务流水!$C$5:$C$1504,$A10,业务流水!$Z$5:$Z$1504,"是"))</f>
        <v>0</v>
      </c>
    </row>
    <row r="11" customFormat="false" ht="15.75" hidden="false" customHeight="true" outlineLevel="0" collapsed="false">
      <c r="A11" s="32" t="str">
        <f aca="false">IF(项目档案!$A11="","",项目档案!$A11)</f>
        <v>A006</v>
      </c>
      <c r="B11" s="40" t="str">
        <f aca="false">IF($A11="","",项目档案!$B11)</f>
        <v>重庆铜梁10kV少柏线池塘4社柱台区电压越限治理工程</v>
      </c>
      <c r="C11" s="41" t="n">
        <f aca="false">IF($A11="","",SUMIFS(业务流水!$H$5:$H$1504,业务流水!$E$5:$E$1504,"*",业务流水!$D$5:$D$1504,"销项开票",业务流水!$C$5:$C$1504,$A11,业务流水!$Z$5:$Z$1504,"是"))</f>
        <v>120835</v>
      </c>
      <c r="D11" s="41" t="n">
        <f aca="false">IF($A11="","",SUMIFS(业务流水!$O$5:$O$1504,业务流水!$E$5:$E$1504,"*",业务流水!$D$5:$D$1504,"销项开票",业务流水!$C$5:$C$1504,$A11,业务流水!$Z$5:$Z$1504,"是"))</f>
        <v>4431.96</v>
      </c>
      <c r="E11" s="41" t="n">
        <f aca="false">IF($A11="","",SUMIFS(业务流水!$P$5:$P$1504,业务流水!$E$5:$E$1504,"*",业务流水!$D$5:$D$1504,"销项开票",业务流水!$C$5:$C$1504,$A11,业务流水!$Z$5:$Z$1504,"是"))</f>
        <v>116403.04</v>
      </c>
      <c r="F11" s="41" t="n">
        <f aca="false">IF($A11="","",SUMIFS(业务流水!$H$5:$H$1504,业务流水!$F$5:$F$1504,"*",业务流水!$D$5:$D$1504,"成本票",业务流水!$C$5:$C$1504,$A11,业务流水!$Z$5:$Z$1504,"是")+SUMIFS(业务流水!$H$5:$H$1504,业务流水!$F$5:$F$1504,"*",业务流水!$D$5:$D$1504,"销项开票",业务流水!$C$5:$C$1504,$A11,业务流水!$Z$5:$Z$1504,"是"))</f>
        <v>120835</v>
      </c>
      <c r="G11" s="42" t="n">
        <f aca="false">IF($A11="","",$E11-$F11)</f>
        <v>-4431.95999999999</v>
      </c>
      <c r="H11" s="41" t="n">
        <f aca="false">IF($A11="","",SUMIFS(业务流水!$W$5:$W$1504,业务流水!$E$5:$E$1504,"*",业务流水!$D$5:$D$1504,"销项开票",业务流水!$C$5:$C$1504,$A11,业务流水!$Z$5:$Z$1504,"是"))</f>
        <v>3365.76</v>
      </c>
      <c r="I11" s="41" t="n">
        <f aca="false">IF($A11="","",SUMIFS(业务流水!$H$5:$H$1504,业务流水!$E$5:$E$1504,"*",业务流水!$D$5:$D$1504,"已交税",业务流水!$C$5:$C$1504,$A11,业务流水!$Z$5:$Z$1504,"是"))</f>
        <v>0</v>
      </c>
      <c r="J11" s="42" t="n">
        <f aca="false">IF($A11="","",$H11-$I11)</f>
        <v>3365.76</v>
      </c>
      <c r="K11" s="41" t="n">
        <f aca="false">IF($A11="","",SUMIFS(业务流水!$H$5:$H$1504,业务流水!$F$5:$F$1504,"*",业务流水!$D$5:$D$1504,"挂靠代收",业务流水!$C$5:$C$1504,$A11,业务流水!$Z$5:$Z$1504,"是"))</f>
        <v>0</v>
      </c>
      <c r="L11" s="42" t="n">
        <f aca="false">IF($A11="","",$C11-$K11)</f>
        <v>120835</v>
      </c>
      <c r="M11" s="41" t="n">
        <f aca="false">IF($A11="","",SUMIFS(业务流水!$H$5:$H$1504,业务流水!$E$5:$E$1504,"*",业务流水!$D$5:$D$1504,"我方收款",业务流水!$C$5:$C$1504,$A11,业务流水!$Z$5:$Z$1504,"是"))</f>
        <v>0</v>
      </c>
      <c r="N11" s="43" t="n">
        <f aca="false">IF($A11="","",$K11-$M11)</f>
        <v>0</v>
      </c>
      <c r="O11" s="41" t="n">
        <f aca="false">IF($A11="","",SUMIFS(业务流水!$H$5:$H$1504,业务流水!$F$5:$F$1504,"*",业务流水!$D$5:$D$1504,"管理费结算",业务流水!$C$5:$C$1504,$A11,业务流水!$Z$5:$Z$1504,"是"))</f>
        <v>0</v>
      </c>
      <c r="P11" s="41" t="n">
        <f aca="false">IF($A11="","",SUMIFS(业务流水!$H$5:$H$1504,业务流水!$E$5:$E$1504,"*",业务流水!$D$5:$D$1504,"扣质保金",业务流水!$C$5:$C$1504,$A11,业务流水!$Z$5:$Z$1504,"是"))</f>
        <v>0</v>
      </c>
    </row>
    <row r="12" customFormat="false" ht="15.75" hidden="false" customHeight="true" outlineLevel="0" collapsed="false">
      <c r="A12" s="32" t="str">
        <f aca="false">IF(项目档案!$A12="","",项目档案!$A12)</f>
        <v>A007</v>
      </c>
      <c r="B12" s="40" t="str">
        <f aca="false">IF($A12="","",项目档案!$B12)</f>
        <v>重庆铜梁10kV少柏线团山7.6.11社台区电压越限治理工程</v>
      </c>
      <c r="C12" s="41" t="n">
        <f aca="false">IF($A12="","",SUMIFS(业务流水!$H$5:$H$1504,业务流水!$E$5:$E$1504,"*",业务流水!$D$5:$D$1504,"销项开票",业务流水!$C$5:$C$1504,$A12,业务流水!$Z$5:$Z$1504,"是"))</f>
        <v>121289</v>
      </c>
      <c r="D12" s="41" t="n">
        <f aca="false">IF($A12="","",SUMIFS(业务流水!$O$5:$O$1504,业务流水!$E$5:$E$1504,"*",业务流水!$D$5:$D$1504,"销项开票",业务流水!$C$5:$C$1504,$A12,业务流水!$Z$5:$Z$1504,"是"))</f>
        <v>4437.83</v>
      </c>
      <c r="E12" s="41" t="n">
        <f aca="false">IF($A12="","",SUMIFS(业务流水!$P$5:$P$1504,业务流水!$E$5:$E$1504,"*",业务流水!$D$5:$D$1504,"销项开票",业务流水!$C$5:$C$1504,$A12,业务流水!$Z$5:$Z$1504,"是"))</f>
        <v>116851.17</v>
      </c>
      <c r="F12" s="41" t="n">
        <f aca="false">IF($A12="","",SUMIFS(业务流水!$H$5:$H$1504,业务流水!$F$5:$F$1504,"*",业务流水!$D$5:$D$1504,"成本票",业务流水!$C$5:$C$1504,$A12,业务流水!$Z$5:$Z$1504,"是")+SUMIFS(业务流水!$H$5:$H$1504,业务流水!$F$5:$F$1504,"*",业务流水!$D$5:$D$1504,"销项开票",业务流水!$C$5:$C$1504,$A12,业务流水!$Z$5:$Z$1504,"是"))</f>
        <v>121289</v>
      </c>
      <c r="G12" s="42" t="n">
        <f aca="false">IF($A12="","",$E12-$F12)</f>
        <v>-4437.82999999999</v>
      </c>
      <c r="H12" s="41" t="n">
        <f aca="false">IF($A12="","",SUMIFS(业务流水!$W$5:$W$1504,业务流水!$E$5:$E$1504,"*",业务流水!$D$5:$D$1504,"销项开票",业务流水!$C$5:$C$1504,$A12,业务流水!$Z$5:$Z$1504,"是"))</f>
        <v>3396.56</v>
      </c>
      <c r="I12" s="41" t="n">
        <f aca="false">IF($A12="","",SUMIFS(业务流水!$H$5:$H$1504,业务流水!$E$5:$E$1504,"*",业务流水!$D$5:$D$1504,"已交税",业务流水!$C$5:$C$1504,$A12,业务流水!$Z$5:$Z$1504,"是"))</f>
        <v>0</v>
      </c>
      <c r="J12" s="42" t="n">
        <f aca="false">IF($A12="","",$H12-$I12)</f>
        <v>3396.56</v>
      </c>
      <c r="K12" s="41" t="n">
        <f aca="false">IF($A12="","",SUMIFS(业务流水!$H$5:$H$1504,业务流水!$F$5:$F$1504,"*",业务流水!$D$5:$D$1504,"挂靠代收",业务流水!$C$5:$C$1504,$A12,业务流水!$Z$5:$Z$1504,"是"))</f>
        <v>0</v>
      </c>
      <c r="L12" s="42" t="n">
        <f aca="false">IF($A12="","",$C12-$K12)</f>
        <v>121289</v>
      </c>
      <c r="M12" s="41" t="n">
        <f aca="false">IF($A12="","",SUMIFS(业务流水!$H$5:$H$1504,业务流水!$E$5:$E$1504,"*",业务流水!$D$5:$D$1504,"我方收款",业务流水!$C$5:$C$1504,$A12,业务流水!$Z$5:$Z$1504,"是"))</f>
        <v>0</v>
      </c>
      <c r="N12" s="43" t="n">
        <f aca="false">IF($A12="","",$K12-$M12)</f>
        <v>0</v>
      </c>
      <c r="O12" s="41" t="n">
        <f aca="false">IF($A12="","",SUMIFS(业务流水!$H$5:$H$1504,业务流水!$F$5:$F$1504,"*",业务流水!$D$5:$D$1504,"管理费结算",业务流水!$C$5:$C$1504,$A12,业务流水!$Z$5:$Z$1504,"是"))</f>
        <v>0</v>
      </c>
      <c r="P12" s="41" t="n">
        <f aca="false">IF($A12="","",SUMIFS(业务流水!$H$5:$H$1504,业务流水!$E$5:$E$1504,"*",业务流水!$D$5:$D$1504,"扣质保金",业务流水!$C$5:$C$1504,$A12,业务流水!$Z$5:$Z$1504,"是"))</f>
        <v>0</v>
      </c>
    </row>
    <row r="13" customFormat="false" ht="15.75" hidden="false" customHeight="true" outlineLevel="0" collapsed="false">
      <c r="A13" s="32" t="str">
        <f aca="false">IF(项目档案!$A13="","",项目档案!$A13)</f>
        <v>A008</v>
      </c>
      <c r="B13" s="40" t="str">
        <f aca="false">IF($A13="","",项目档案!$B13)</f>
        <v>重庆铜梁10kV平凉线惠丰9社等4个台区重过载治理工程</v>
      </c>
      <c r="C13" s="41" t="n">
        <f aca="false">IF($A13="","",SUMIFS(业务流水!$H$5:$H$1504,业务流水!$E$5:$E$1504,"*",业务流水!$D$5:$D$1504,"销项开票",业务流水!$C$5:$C$1504,$A13,业务流水!$Z$5:$Z$1504,"是"))</f>
        <v>573346.51</v>
      </c>
      <c r="D13" s="41" t="n">
        <f aca="false">IF($A13="","",SUMIFS(业务流水!$O$5:$O$1504,业务流水!$E$5:$E$1504,"*",业务流水!$D$5:$D$1504,"销项开票",业务流水!$C$5:$C$1504,$A13,业务流水!$Z$5:$Z$1504,"是"))</f>
        <v>14935.59</v>
      </c>
      <c r="E13" s="41" t="n">
        <f aca="false">IF($A13="","",SUMIFS(业务流水!$P$5:$P$1504,业务流水!$E$5:$E$1504,"*",业务流水!$D$5:$D$1504,"销项开票",业务流水!$C$5:$C$1504,$A13,业务流水!$Z$5:$Z$1504,"是"))</f>
        <v>558410.92</v>
      </c>
      <c r="F13" s="41" t="n">
        <f aca="false">IF($A13="","",SUMIFS(业务流水!$H$5:$H$1504,业务流水!$F$5:$F$1504,"*",业务流水!$D$5:$D$1504,"成本票",业务流水!$C$5:$C$1504,$A13,业务流水!$Z$5:$Z$1504,"是")+SUMIFS(业务流水!$H$5:$H$1504,业务流水!$F$5:$F$1504,"*",业务流水!$D$5:$D$1504,"销项开票",业务流水!$C$5:$C$1504,$A13,业务流水!$Z$5:$Z$1504,"是"))</f>
        <v>916340.28</v>
      </c>
      <c r="G13" s="42" t="n">
        <f aca="false">IF($A13="","",$E13-$F13)</f>
        <v>-357929.36</v>
      </c>
      <c r="H13" s="41" t="n">
        <f aca="false">IF($A13="","",SUMIFS(业务流水!$W$5:$W$1504,业务流水!$E$5:$E$1504,"*",业务流水!$D$5:$D$1504,"销项开票",业务流水!$C$5:$C$1504,$A13,业务流水!$Z$5:$Z$1504,"是"))</f>
        <v>13466.1</v>
      </c>
      <c r="I13" s="41" t="n">
        <f aca="false">IF($A13="","",SUMIFS(业务流水!$H$5:$H$1504,业务流水!$E$5:$E$1504,"*",业务流水!$D$5:$D$1504,"已交税",业务流水!$C$5:$C$1504,$A13,业务流水!$Z$5:$Z$1504,"是"))</f>
        <v>19167.06</v>
      </c>
      <c r="J13" s="42" t="n">
        <f aca="false">IF($A13="","",$H13-$I13)</f>
        <v>-5700.96</v>
      </c>
      <c r="K13" s="41" t="n">
        <f aca="false">IF($A13="","",SUMIFS(业务流水!$H$5:$H$1504,业务流水!$F$5:$F$1504,"*",业务流水!$D$5:$D$1504,"挂靠代收",业务流水!$C$5:$C$1504,$A13,业务流水!$Z$5:$Z$1504,"是"))</f>
        <v>374927.39</v>
      </c>
      <c r="L13" s="42" t="n">
        <f aca="false">IF($A13="","",$C13-$K13)</f>
        <v>198419.12</v>
      </c>
      <c r="M13" s="41" t="n">
        <f aca="false">IF($A13="","",SUMIFS(业务流水!$H$5:$H$1504,业务流水!$E$5:$E$1504,"*",业务流水!$D$5:$D$1504,"我方收款",业务流水!$C$5:$C$1504,$A13,业务流水!$Z$5:$Z$1504,"是"))</f>
        <v>364755.02</v>
      </c>
      <c r="N13" s="43" t="n">
        <f aca="false">IF($A13="","",$K13-$M13)</f>
        <v>10172.37</v>
      </c>
      <c r="O13" s="41" t="n">
        <f aca="false">IF($A13="","",SUMIFS(业务流水!$H$5:$H$1504,业务流水!$F$5:$F$1504,"*",业务流水!$D$5:$D$1504,"管理费结算",业务流水!$C$5:$C$1504,$A13,业务流水!$Z$5:$Z$1504,"是"))</f>
        <v>14676.58</v>
      </c>
      <c r="P13" s="41" t="n">
        <f aca="false">IF($A13="","",SUMIFS(业务流水!$H$5:$H$1504,业务流水!$E$5:$E$1504,"*",业务流水!$D$5:$D$1504,"扣质保金",业务流水!$C$5:$C$1504,$A13,业务流水!$Z$5:$Z$1504,"是"))</f>
        <v>0</v>
      </c>
    </row>
    <row r="14" customFormat="false" ht="15.75" hidden="false" customHeight="true" outlineLevel="0" collapsed="false">
      <c r="A14" s="32" t="str">
        <f aca="false">IF(项目档案!$A14="","",项目档案!$A14)</f>
        <v>A009</v>
      </c>
      <c r="B14" s="40" t="str">
        <f aca="false">IF($A14="","",项目档案!$B14)</f>
        <v>重庆铜梁10kV少柏线社田1.6.7社台区重过载治理工程（机械费）</v>
      </c>
      <c r="C14" s="41" t="n">
        <f aca="false">IF($A14="","",SUMIFS(业务流水!$H$5:$H$1504,业务流水!$E$5:$E$1504,"*",业务流水!$D$5:$D$1504,"销项开票",业务流水!$C$5:$C$1504,$A14,业务流水!$Z$5:$Z$1504,"是"))</f>
        <v>12923.2</v>
      </c>
      <c r="D14" s="41" t="n">
        <f aca="false">IF($A14="","",SUMIFS(业务流水!$O$5:$O$1504,业务流水!$E$5:$E$1504,"*",业务流水!$D$5:$D$1504,"销项开票",业务流水!$C$5:$C$1504,$A14,业务流水!$Z$5:$Z$1504,"是"))</f>
        <v>516.93</v>
      </c>
      <c r="E14" s="41" t="n">
        <f aca="false">IF($A14="","",SUMIFS(业务流水!$P$5:$P$1504,业务流水!$E$5:$E$1504,"*",业务流水!$D$5:$D$1504,"销项开票",业务流水!$C$5:$C$1504,$A14,业务流水!$Z$5:$Z$1504,"是"))</f>
        <v>12406.27</v>
      </c>
      <c r="F14" s="41" t="n">
        <f aca="false">IF($A14="","",SUMIFS(业务流水!$H$5:$H$1504,业务流水!$F$5:$F$1504,"*",业务流水!$D$5:$D$1504,"成本票",业务流水!$C$5:$C$1504,$A14,业务流水!$Z$5:$Z$1504,"是")+SUMIFS(业务流水!$H$5:$H$1504,业务流水!$F$5:$F$1504,"*",业务流水!$D$5:$D$1504,"销项开票",业务流水!$C$5:$C$1504,$A14,业务流水!$Z$5:$Z$1504,"是"))</f>
        <v>12923.2</v>
      </c>
      <c r="G14" s="42" t="n">
        <f aca="false">IF($A14="","",$E14-$F14)</f>
        <v>-516.93</v>
      </c>
      <c r="H14" s="41" t="n">
        <f aca="false">IF($A14="","",SUMIFS(业务流水!$W$5:$W$1504,业务流水!$E$5:$E$1504,"*",业务流水!$D$5:$D$1504,"销项开票",业务流水!$C$5:$C$1504,$A14,业务流水!$Z$5:$Z$1504,"是"))</f>
        <v>798</v>
      </c>
      <c r="I14" s="41" t="n">
        <f aca="false">IF($A14="","",SUMIFS(业务流水!$H$5:$H$1504,业务流水!$E$5:$E$1504,"*",业务流水!$D$5:$D$1504,"已交税",业务流水!$C$5:$C$1504,$A14,业务流水!$Z$5:$Z$1504,"是"))</f>
        <v>0</v>
      </c>
      <c r="J14" s="42" t="n">
        <f aca="false">IF($A14="","",$H14-$I14)</f>
        <v>798</v>
      </c>
      <c r="K14" s="41" t="n">
        <f aca="false">IF($A14="","",SUMIFS(业务流水!$H$5:$H$1504,业务流水!$F$5:$F$1504,"*",业务流水!$D$5:$D$1504,"挂靠代收",业务流水!$C$5:$C$1504,$A14,业务流水!$Z$5:$Z$1504,"是"))</f>
        <v>0</v>
      </c>
      <c r="L14" s="42" t="n">
        <f aca="false">IF($A14="","",$C14-$K14)</f>
        <v>12923.2</v>
      </c>
      <c r="M14" s="41" t="n">
        <f aca="false">IF($A14="","",SUMIFS(业务流水!$H$5:$H$1504,业务流水!$E$5:$E$1504,"*",业务流水!$D$5:$D$1504,"我方收款",业务流水!$C$5:$C$1504,$A14,业务流水!$Z$5:$Z$1504,"是"))</f>
        <v>0</v>
      </c>
      <c r="N14" s="43" t="n">
        <f aca="false">IF($A14="","",$K14-$M14)</f>
        <v>0</v>
      </c>
      <c r="O14" s="41" t="n">
        <f aca="false">IF($A14="","",SUMIFS(业务流水!$H$5:$H$1504,业务流水!$F$5:$F$1504,"*",业务流水!$D$5:$D$1504,"管理费结算",业务流水!$C$5:$C$1504,$A14,业务流水!$Z$5:$Z$1504,"是"))</f>
        <v>0</v>
      </c>
      <c r="P14" s="41" t="n">
        <f aca="false">IF($A14="","",SUMIFS(业务流水!$H$5:$H$1504,业务流水!$E$5:$E$1504,"*",业务流水!$D$5:$D$1504,"扣质保金",业务流水!$C$5:$C$1504,$A14,业务流水!$Z$5:$Z$1504,"是"))</f>
        <v>0</v>
      </c>
    </row>
    <row r="15" customFormat="false" ht="15.75" hidden="false" customHeight="true" outlineLevel="0" collapsed="false">
      <c r="A15" s="32" t="str">
        <f aca="false">IF(项目档案!$A15="","",项目档案!$A15)</f>
        <v>A010</v>
      </c>
      <c r="B15" s="40" t="str">
        <f aca="false">IF($A15="","",项目档案!$B15)</f>
        <v>重庆铜梁10kV大科新建联络工程（机械费）</v>
      </c>
      <c r="C15" s="41" t="n">
        <f aca="false">IF($A15="","",SUMIFS(业务流水!$H$5:$H$1504,业务流水!$E$5:$E$1504,"*",业务流水!$D$5:$D$1504,"销项开票",业务流水!$C$5:$C$1504,$A15,业务流水!$Z$5:$Z$1504,"是"))</f>
        <v>3368.7</v>
      </c>
      <c r="D15" s="41" t="n">
        <f aca="false">IF($A15="","",SUMIFS(业务流水!$O$5:$O$1504,业务流水!$E$5:$E$1504,"*",业务流水!$D$5:$D$1504,"销项开票",业务流水!$C$5:$C$1504,$A15,业务流水!$Z$5:$Z$1504,"是"))</f>
        <v>134.75</v>
      </c>
      <c r="E15" s="41" t="n">
        <f aca="false">IF($A15="","",SUMIFS(业务流水!$P$5:$P$1504,业务流水!$E$5:$E$1504,"*",业务流水!$D$5:$D$1504,"销项开票",业务流水!$C$5:$C$1504,$A15,业务流水!$Z$5:$Z$1504,"是"))</f>
        <v>3233.95</v>
      </c>
      <c r="F15" s="41" t="n">
        <f aca="false">IF($A15="","",SUMIFS(业务流水!$H$5:$H$1504,业务流水!$F$5:$F$1504,"*",业务流水!$D$5:$D$1504,"成本票",业务流水!$C$5:$C$1504,$A15,业务流水!$Z$5:$Z$1504,"是")+SUMIFS(业务流水!$H$5:$H$1504,业务流水!$F$5:$F$1504,"*",业务流水!$D$5:$D$1504,"销项开票",业务流水!$C$5:$C$1504,$A15,业务流水!$Z$5:$Z$1504,"是"))</f>
        <v>3368.7</v>
      </c>
      <c r="G15" s="42" t="n">
        <f aca="false">IF($A15="","",$E15-$F15)</f>
        <v>-134.75</v>
      </c>
      <c r="H15" s="41" t="n">
        <f aca="false">IF($A15="","",SUMIFS(业务流水!$W$5:$W$1504,业务流水!$E$5:$E$1504,"*",业务流水!$D$5:$D$1504,"销项开票",业务流水!$C$5:$C$1504,$A15,业务流水!$Z$5:$Z$1504,"是"))</f>
        <v>208.02</v>
      </c>
      <c r="I15" s="41" t="n">
        <f aca="false">IF($A15="","",SUMIFS(业务流水!$H$5:$H$1504,业务流水!$E$5:$E$1504,"*",业务流水!$D$5:$D$1504,"已交税",业务流水!$C$5:$C$1504,$A15,业务流水!$Z$5:$Z$1504,"是"))</f>
        <v>0</v>
      </c>
      <c r="J15" s="42" t="n">
        <f aca="false">IF($A15="","",$H15-$I15)</f>
        <v>208.02</v>
      </c>
      <c r="K15" s="41" t="n">
        <f aca="false">IF($A15="","",SUMIFS(业务流水!$H$5:$H$1504,业务流水!$F$5:$F$1504,"*",业务流水!$D$5:$D$1504,"挂靠代收",业务流水!$C$5:$C$1504,$A15,业务流水!$Z$5:$Z$1504,"是"))</f>
        <v>0</v>
      </c>
      <c r="L15" s="42" t="n">
        <f aca="false">IF($A15="","",$C15-$K15)</f>
        <v>3368.7</v>
      </c>
      <c r="M15" s="41" t="n">
        <f aca="false">IF($A15="","",SUMIFS(业务流水!$H$5:$H$1504,业务流水!$E$5:$E$1504,"*",业务流水!$D$5:$D$1504,"我方收款",业务流水!$C$5:$C$1504,$A15,业务流水!$Z$5:$Z$1504,"是"))</f>
        <v>0</v>
      </c>
      <c r="N15" s="43" t="n">
        <f aca="false">IF($A15="","",$K15-$M15)</f>
        <v>0</v>
      </c>
      <c r="O15" s="41" t="n">
        <f aca="false">IF($A15="","",SUMIFS(业务流水!$H$5:$H$1504,业务流水!$F$5:$F$1504,"*",业务流水!$D$5:$D$1504,"管理费结算",业务流水!$C$5:$C$1504,$A15,业务流水!$Z$5:$Z$1504,"是"))</f>
        <v>0</v>
      </c>
      <c r="P15" s="41" t="n">
        <f aca="false">IF($A15="","",SUMIFS(业务流水!$H$5:$H$1504,业务流水!$E$5:$E$1504,"*",业务流水!$D$5:$D$1504,"扣质保金",业务流水!$C$5:$C$1504,$A15,业务流水!$Z$5:$Z$1504,"是"))</f>
        <v>0</v>
      </c>
    </row>
    <row r="16" customFormat="false" ht="15.75" hidden="false" customHeight="true" outlineLevel="0" collapsed="false">
      <c r="A16" s="32" t="str">
        <f aca="false">IF(项目档案!$A16="","",项目档案!$A16)</f>
        <v>A011</v>
      </c>
      <c r="B16" s="40" t="str">
        <f aca="false">IF($A16="","",项目档案!$B16)</f>
        <v>重庆铜梁10kV大岭线新建联络工程（机械费）</v>
      </c>
      <c r="C16" s="41" t="n">
        <f aca="false">IF($A16="","",SUMIFS(业务流水!$H$5:$H$1504,业务流水!$E$5:$E$1504,"*",业务流水!$D$5:$D$1504,"销项开票",业务流水!$C$5:$C$1504,$A16,业务流水!$Z$5:$Z$1504,"是"))</f>
        <v>16154</v>
      </c>
      <c r="D16" s="41" t="n">
        <f aca="false">IF($A16="","",SUMIFS(业务流水!$O$5:$O$1504,业务流水!$E$5:$E$1504,"*",业务流水!$D$5:$D$1504,"销项开票",业务流水!$C$5:$C$1504,$A16,业务流水!$Z$5:$Z$1504,"是"))</f>
        <v>646.16</v>
      </c>
      <c r="E16" s="41" t="n">
        <f aca="false">IF($A16="","",SUMIFS(业务流水!$P$5:$P$1504,业务流水!$E$5:$E$1504,"*",业务流水!$D$5:$D$1504,"销项开票",业务流水!$C$5:$C$1504,$A16,业务流水!$Z$5:$Z$1504,"是"))</f>
        <v>15507.84</v>
      </c>
      <c r="F16" s="41" t="n">
        <f aca="false">IF($A16="","",SUMIFS(业务流水!$H$5:$H$1504,业务流水!$F$5:$F$1504,"*",业务流水!$D$5:$D$1504,"成本票",业务流水!$C$5:$C$1504,$A16,业务流水!$Z$5:$Z$1504,"是")+SUMIFS(业务流水!$H$5:$H$1504,业务流水!$F$5:$F$1504,"*",业务流水!$D$5:$D$1504,"销项开票",业务流水!$C$5:$C$1504,$A16,业务流水!$Z$5:$Z$1504,"是"))</f>
        <v>16154</v>
      </c>
      <c r="G16" s="42" t="n">
        <f aca="false">IF($A16="","",$E16-$F16)</f>
        <v>-646.16</v>
      </c>
      <c r="H16" s="41" t="n">
        <f aca="false">IF($A16="","",SUMIFS(业务流水!$W$5:$W$1504,业务流水!$E$5:$E$1504,"*",业务流水!$D$5:$D$1504,"销项开票",业务流水!$C$5:$C$1504,$A16,业务流水!$Z$5:$Z$1504,"是"))</f>
        <v>997.49</v>
      </c>
      <c r="I16" s="41" t="n">
        <f aca="false">IF($A16="","",SUMIFS(业务流水!$H$5:$H$1504,业务流水!$E$5:$E$1504,"*",业务流水!$D$5:$D$1504,"已交税",业务流水!$C$5:$C$1504,$A16,业务流水!$Z$5:$Z$1504,"是"))</f>
        <v>0</v>
      </c>
      <c r="J16" s="42" t="n">
        <f aca="false">IF($A16="","",$H16-$I16)</f>
        <v>997.49</v>
      </c>
      <c r="K16" s="41" t="n">
        <f aca="false">IF($A16="","",SUMIFS(业务流水!$H$5:$H$1504,业务流水!$F$5:$F$1504,"*",业务流水!$D$5:$D$1504,"挂靠代收",业务流水!$C$5:$C$1504,$A16,业务流水!$Z$5:$Z$1504,"是"))</f>
        <v>0</v>
      </c>
      <c r="L16" s="42" t="n">
        <f aca="false">IF($A16="","",$C16-$K16)</f>
        <v>16154</v>
      </c>
      <c r="M16" s="41" t="n">
        <f aca="false">IF($A16="","",SUMIFS(业务流水!$H$5:$H$1504,业务流水!$E$5:$E$1504,"*",业务流水!$D$5:$D$1504,"我方收款",业务流水!$C$5:$C$1504,$A16,业务流水!$Z$5:$Z$1504,"是"))</f>
        <v>0</v>
      </c>
      <c r="N16" s="43" t="n">
        <f aca="false">IF($A16="","",$K16-$M16)</f>
        <v>0</v>
      </c>
      <c r="O16" s="41" t="n">
        <f aca="false">IF($A16="","",SUMIFS(业务流水!$H$5:$H$1504,业务流水!$F$5:$F$1504,"*",业务流水!$D$5:$D$1504,"管理费结算",业务流水!$C$5:$C$1504,$A16,业务流水!$Z$5:$Z$1504,"是"))</f>
        <v>0</v>
      </c>
      <c r="P16" s="41" t="n">
        <f aca="false">IF($A16="","",SUMIFS(业务流水!$H$5:$H$1504,业务流水!$E$5:$E$1504,"*",业务流水!$D$5:$D$1504,"扣质保金",业务流水!$C$5:$C$1504,$A16,业务流水!$Z$5:$Z$1504,"是"))</f>
        <v>0</v>
      </c>
    </row>
    <row r="17" customFormat="false" ht="15.75" hidden="false" customHeight="true" outlineLevel="0" collapsed="false">
      <c r="A17" s="32" t="str">
        <f aca="false">IF(项目档案!$A17="","",项目档案!$A17)</f>
        <v>A012</v>
      </c>
      <c r="B17" s="40" t="str">
        <f aca="false">IF($A17="","",项目档案!$B17)</f>
        <v>重庆铜梁重庆物华天宝镀膜科技有限公司10kV业扩配套工程（机械费）</v>
      </c>
      <c r="C17" s="41" t="n">
        <f aca="false">IF($A17="","",SUMIFS(业务流水!$H$5:$H$1504,业务流水!$E$5:$E$1504,"*",业务流水!$D$5:$D$1504,"销项开票",业务流水!$C$5:$C$1504,$A17,业务流水!$Z$5:$Z$1504,"是"))</f>
        <v>1615.4</v>
      </c>
      <c r="D17" s="41" t="n">
        <f aca="false">IF($A17="","",SUMIFS(业务流水!$O$5:$O$1504,业务流水!$E$5:$E$1504,"*",业务流水!$D$5:$D$1504,"销项开票",业务流水!$C$5:$C$1504,$A17,业务流水!$Z$5:$Z$1504,"是"))</f>
        <v>64.62</v>
      </c>
      <c r="E17" s="41" t="n">
        <f aca="false">IF($A17="","",SUMIFS(业务流水!$P$5:$P$1504,业务流水!$E$5:$E$1504,"*",业务流水!$D$5:$D$1504,"销项开票",业务流水!$C$5:$C$1504,$A17,业务流水!$Z$5:$Z$1504,"是"))</f>
        <v>1550.78</v>
      </c>
      <c r="F17" s="41" t="n">
        <f aca="false">IF($A17="","",SUMIFS(业务流水!$H$5:$H$1504,业务流水!$F$5:$F$1504,"*",业务流水!$D$5:$D$1504,"成本票",业务流水!$C$5:$C$1504,$A17,业务流水!$Z$5:$Z$1504,"是")+SUMIFS(业务流水!$H$5:$H$1504,业务流水!$F$5:$F$1504,"*",业务流水!$D$5:$D$1504,"销项开票",业务流水!$C$5:$C$1504,$A17,业务流水!$Z$5:$Z$1504,"是"))</f>
        <v>1615.4</v>
      </c>
      <c r="G17" s="42" t="n">
        <f aca="false">IF($A17="","",$E17-$F17)</f>
        <v>-64.6200000000001</v>
      </c>
      <c r="H17" s="41" t="n">
        <f aca="false">IF($A17="","",SUMIFS(业务流水!$W$5:$W$1504,业务流水!$E$5:$E$1504,"*",业务流水!$D$5:$D$1504,"销项开票",业务流水!$C$5:$C$1504,$A17,业务流水!$Z$5:$Z$1504,"是"))</f>
        <v>99.75</v>
      </c>
      <c r="I17" s="41" t="n">
        <f aca="false">IF($A17="","",SUMIFS(业务流水!$H$5:$H$1504,业务流水!$E$5:$E$1504,"*",业务流水!$D$5:$D$1504,"已交税",业务流水!$C$5:$C$1504,$A17,业务流水!$Z$5:$Z$1504,"是"))</f>
        <v>0</v>
      </c>
      <c r="J17" s="42" t="n">
        <f aca="false">IF($A17="","",$H17-$I17)</f>
        <v>99.75</v>
      </c>
      <c r="K17" s="41" t="n">
        <f aca="false">IF($A17="","",SUMIFS(业务流水!$H$5:$H$1504,业务流水!$F$5:$F$1504,"*",业务流水!$D$5:$D$1504,"挂靠代收",业务流水!$C$5:$C$1504,$A17,业务流水!$Z$5:$Z$1504,"是"))</f>
        <v>0</v>
      </c>
      <c r="L17" s="42" t="n">
        <f aca="false">IF($A17="","",$C17-$K17)</f>
        <v>1615.4</v>
      </c>
      <c r="M17" s="41" t="n">
        <f aca="false">IF($A17="","",SUMIFS(业务流水!$H$5:$H$1504,业务流水!$E$5:$E$1504,"*",业务流水!$D$5:$D$1504,"我方收款",业务流水!$C$5:$C$1504,$A17,业务流水!$Z$5:$Z$1504,"是"))</f>
        <v>0</v>
      </c>
      <c r="N17" s="43" t="n">
        <f aca="false">IF($A17="","",$K17-$M17)</f>
        <v>0</v>
      </c>
      <c r="O17" s="41" t="n">
        <f aca="false">IF($A17="","",SUMIFS(业务流水!$H$5:$H$1504,业务流水!$F$5:$F$1504,"*",业务流水!$D$5:$D$1504,"管理费结算",业务流水!$C$5:$C$1504,$A17,业务流水!$Z$5:$Z$1504,"是"))</f>
        <v>0</v>
      </c>
      <c r="P17" s="41" t="n">
        <f aca="false">IF($A17="","",SUMIFS(业务流水!$H$5:$H$1504,业务流水!$E$5:$E$1504,"*",业务流水!$D$5:$D$1504,"扣质保金",业务流水!$C$5:$C$1504,$A17,业务流水!$Z$5:$Z$1504,"是"))</f>
        <v>0</v>
      </c>
    </row>
    <row r="18" customFormat="false" ht="15.75" hidden="false" customHeight="true" outlineLevel="0" collapsed="false">
      <c r="A18" s="32" t="str">
        <f aca="false">IF(项目档案!$A18="","",项目档案!$A18)</f>
        <v>A013</v>
      </c>
      <c r="B18" s="40" t="str">
        <f aca="false">IF($A18="","",项目档案!$B18)</f>
        <v>1</v>
      </c>
      <c r="C18" s="41" t="n">
        <f aca="false">IF($A18="","",SUMIFS(业务流水!$H$5:$H$1504,业务流水!$E$5:$E$1504,"*",业务流水!$D$5:$D$1504,"销项开票",业务流水!$C$5:$C$1504,$A18,业务流水!$Z$5:$Z$1504,"是"))</f>
        <v>3230.8</v>
      </c>
      <c r="D18" s="41" t="n">
        <f aca="false">IF($A18="","",SUMIFS(业务流水!$O$5:$O$1504,业务流水!$E$5:$E$1504,"*",业务流水!$D$5:$D$1504,"销项开票",业务流水!$C$5:$C$1504,$A18,业务流水!$Z$5:$Z$1504,"是"))</f>
        <v>129.23</v>
      </c>
      <c r="E18" s="41" t="n">
        <f aca="false">IF($A18="","",SUMIFS(业务流水!$P$5:$P$1504,业务流水!$E$5:$E$1504,"*",业务流水!$D$5:$D$1504,"销项开票",业务流水!$C$5:$C$1504,$A18,业务流水!$Z$5:$Z$1504,"是"))</f>
        <v>3101.57</v>
      </c>
      <c r="F18" s="41" t="n">
        <f aca="false">IF($A18="","",SUMIFS(业务流水!$H$5:$H$1504,业务流水!$F$5:$F$1504,"*",业务流水!$D$5:$D$1504,"成本票",业务流水!$C$5:$C$1504,$A18,业务流水!$Z$5:$Z$1504,"是")+SUMIFS(业务流水!$H$5:$H$1504,业务流水!$F$5:$F$1504,"*",业务流水!$D$5:$D$1504,"销项开票",业务流水!$C$5:$C$1504,$A18,业务流水!$Z$5:$Z$1504,"是"))</f>
        <v>3230.8</v>
      </c>
      <c r="G18" s="42" t="n">
        <f aca="false">IF($A18="","",$E18-$F18)</f>
        <v>-129.23</v>
      </c>
      <c r="H18" s="41" t="n">
        <f aca="false">IF($A18="","",SUMIFS(业务流水!$W$5:$W$1504,业务流水!$E$5:$E$1504,"*",业务流水!$D$5:$D$1504,"销项开票",业务流水!$C$5:$C$1504,$A18,业务流水!$Z$5:$Z$1504,"是"))</f>
        <v>199.5</v>
      </c>
      <c r="I18" s="41" t="n">
        <f aca="false">IF($A18="","",SUMIFS(业务流水!$H$5:$H$1504,业务流水!$E$5:$E$1504,"*",业务流水!$D$5:$D$1504,"已交税",业务流水!$C$5:$C$1504,$A18,业务流水!$Z$5:$Z$1504,"是"))</f>
        <v>0</v>
      </c>
      <c r="J18" s="42" t="n">
        <f aca="false">IF($A18="","",$H18-$I18)</f>
        <v>199.5</v>
      </c>
      <c r="K18" s="41" t="n">
        <f aca="false">IF($A18="","",SUMIFS(业务流水!$H$5:$H$1504,业务流水!$F$5:$F$1504,"*",业务流水!$D$5:$D$1504,"挂靠代收",业务流水!$C$5:$C$1504,$A18,业务流水!$Z$5:$Z$1504,"是"))</f>
        <v>3230.8</v>
      </c>
      <c r="L18" s="42" t="n">
        <f aca="false">IF($A18="","",$C18-$K18)</f>
        <v>0</v>
      </c>
      <c r="M18" s="41" t="n">
        <f aca="false">IF($A18="","",SUMIFS(业务流水!$H$5:$H$1504,业务流水!$E$5:$E$1504,"*",业务流水!$D$5:$D$1504,"我方收款",业务流水!$C$5:$C$1504,$A18,业务流水!$Z$5:$Z$1504,"是"))</f>
        <v>0</v>
      </c>
      <c r="N18" s="43" t="n">
        <f aca="false">IF($A18="","",$K18-$M18)</f>
        <v>3230.8</v>
      </c>
      <c r="O18" s="41" t="n">
        <f aca="false">IF($A18="","",SUMIFS(业务流水!$H$5:$H$1504,业务流水!$F$5:$F$1504,"*",业务流水!$D$5:$D$1504,"管理费结算",业务流水!$C$5:$C$1504,$A18,业务流水!$Z$5:$Z$1504,"是"))</f>
        <v>0</v>
      </c>
      <c r="P18" s="41" t="n">
        <f aca="false">IF($A18="","",SUMIFS(业务流水!$H$5:$H$1504,业务流水!$E$5:$E$1504,"*",业务流水!$D$5:$D$1504,"扣质保金",业务流水!$C$5:$C$1504,$A18,业务流水!$Z$5:$Z$1504,"是"))</f>
        <v>0</v>
      </c>
    </row>
    <row r="19" customFormat="false" ht="15.75" hidden="false" customHeight="true" outlineLevel="0" collapsed="false">
      <c r="A19" s="32" t="str">
        <f aca="false">IF(项目档案!$A19="","",项目档案!$A19)</f>
        <v>A014</v>
      </c>
      <c r="B19" s="40" t="str">
        <f aca="false">IF($A19="","",项目档案!$B19)</f>
        <v>重庆民能实业有限公司2025-2026年度工程用特种设备租赁服务框架采购（铜梁公司2025年成本类优化营商环境项目（安居所张绍华等10个低压业扩项目）（机械费）</v>
      </c>
      <c r="C19" s="41" t="n">
        <f aca="false">IF($A19="","",SUMIFS(业务流水!$H$5:$H$1504,业务流水!$E$5:$E$1504,"*",业务流水!$D$5:$D$1504,"销项开票",业务流水!$C$5:$C$1504,$A19,业务流水!$Z$5:$Z$1504,"是"))</f>
        <v>3230.8</v>
      </c>
      <c r="D19" s="41" t="n">
        <f aca="false">IF($A19="","",SUMIFS(业务流水!$O$5:$O$1504,业务流水!$E$5:$E$1504,"*",业务流水!$D$5:$D$1504,"销项开票",业务流水!$C$5:$C$1504,$A19,业务流水!$Z$5:$Z$1504,"是"))</f>
        <v>129.23</v>
      </c>
      <c r="E19" s="41" t="n">
        <f aca="false">IF($A19="","",SUMIFS(业务流水!$P$5:$P$1504,业务流水!$E$5:$E$1504,"*",业务流水!$D$5:$D$1504,"销项开票",业务流水!$C$5:$C$1504,$A19,业务流水!$Z$5:$Z$1504,"是"))</f>
        <v>3101.57</v>
      </c>
      <c r="F19" s="41" t="n">
        <f aca="false">IF($A19="","",SUMIFS(业务流水!$H$5:$H$1504,业务流水!$F$5:$F$1504,"*",业务流水!$D$5:$D$1504,"成本票",业务流水!$C$5:$C$1504,$A19,业务流水!$Z$5:$Z$1504,"是")+SUMIFS(业务流水!$H$5:$H$1504,业务流水!$F$5:$F$1504,"*",业务流水!$D$5:$D$1504,"销项开票",业务流水!$C$5:$C$1504,$A19,业务流水!$Z$5:$Z$1504,"是"))</f>
        <v>3230.8</v>
      </c>
      <c r="G19" s="42" t="n">
        <f aca="false">IF($A19="","",$E19-$F19)</f>
        <v>-129.23</v>
      </c>
      <c r="H19" s="41" t="n">
        <f aca="false">IF($A19="","",SUMIFS(业务流水!$W$5:$W$1504,业务流水!$E$5:$E$1504,"*",业务流水!$D$5:$D$1504,"销项开票",业务流水!$C$5:$C$1504,$A19,业务流水!$Z$5:$Z$1504,"是"))</f>
        <v>199.5</v>
      </c>
      <c r="I19" s="41" t="n">
        <f aca="false">IF($A19="","",SUMIFS(业务流水!$H$5:$H$1504,业务流水!$E$5:$E$1504,"*",业务流水!$D$5:$D$1504,"已交税",业务流水!$C$5:$C$1504,$A19,业务流水!$Z$5:$Z$1504,"是"))</f>
        <v>0</v>
      </c>
      <c r="J19" s="42" t="n">
        <f aca="false">IF($A19="","",$H19-$I19)</f>
        <v>199.5</v>
      </c>
      <c r="K19" s="41" t="n">
        <f aca="false">IF($A19="","",SUMIFS(业务流水!$H$5:$H$1504,业务流水!$F$5:$F$1504,"*",业务流水!$D$5:$D$1504,"挂靠代收",业务流水!$C$5:$C$1504,$A19,业务流水!$Z$5:$Z$1504,"是"))</f>
        <v>0</v>
      </c>
      <c r="L19" s="42" t="n">
        <f aca="false">IF($A19="","",$C19-$K19)</f>
        <v>3230.8</v>
      </c>
      <c r="M19" s="41" t="n">
        <f aca="false">IF($A19="","",SUMIFS(业务流水!$H$5:$H$1504,业务流水!$E$5:$E$1504,"*",业务流水!$D$5:$D$1504,"我方收款",业务流水!$C$5:$C$1504,$A19,业务流水!$Z$5:$Z$1504,"是"))</f>
        <v>0</v>
      </c>
      <c r="N19" s="43" t="n">
        <f aca="false">IF($A19="","",$K19-$M19)</f>
        <v>0</v>
      </c>
      <c r="O19" s="41" t="n">
        <f aca="false">IF($A19="","",SUMIFS(业务流水!$H$5:$H$1504,业务流水!$F$5:$F$1504,"*",业务流水!$D$5:$D$1504,"管理费结算",业务流水!$C$5:$C$1504,$A19,业务流水!$Z$5:$Z$1504,"是"))</f>
        <v>0</v>
      </c>
      <c r="P19" s="41" t="n">
        <f aca="false">IF($A19="","",SUMIFS(业务流水!$H$5:$H$1504,业务流水!$E$5:$E$1504,"*",业务流水!$D$5:$D$1504,"扣质保金",业务流水!$C$5:$C$1504,$A19,业务流水!$Z$5:$Z$1504,"是"))</f>
        <v>0</v>
      </c>
    </row>
    <row r="20" customFormat="false" ht="15.75" hidden="false" customHeight="true" outlineLevel="0" collapsed="false">
      <c r="A20" s="32" t="str">
        <f aca="false">IF(项目档案!$A20="","",项目档案!$A20)</f>
        <v>A015</v>
      </c>
      <c r="B20" s="40" t="str">
        <f aca="false">IF($A20="","",项目档案!$B20)</f>
        <v>重庆民能实业有限公司2025-2026年度工程用特种设备租赁服务框架采购、铜梁公司2026年配电专业应急抢修抢险等外包项目(围塘5社等台区3个隐患治理项目。大桥7.8社等台区3个应急抢修项目)机械费</v>
      </c>
      <c r="C20" s="41" t="n">
        <f aca="false">IF($A20="","",SUMIFS(业务流水!$H$5:$H$1504,业务流水!$E$5:$E$1504,"*",业务流水!$D$5:$D$1504,"销项开票",业务流水!$C$5:$C$1504,$A20,业务流水!$Z$5:$Z$1504,"是"))</f>
        <v>2423.1</v>
      </c>
      <c r="D20" s="41" t="n">
        <f aca="false">IF($A20="","",SUMIFS(业务流水!$O$5:$O$1504,业务流水!$E$5:$E$1504,"*",业务流水!$D$5:$D$1504,"销项开票",业务流水!$C$5:$C$1504,$A20,业务流水!$Z$5:$Z$1504,"是"))</f>
        <v>96.92</v>
      </c>
      <c r="E20" s="41" t="n">
        <f aca="false">IF($A20="","",SUMIFS(业务流水!$P$5:$P$1504,业务流水!$E$5:$E$1504,"*",业务流水!$D$5:$D$1504,"销项开票",业务流水!$C$5:$C$1504,$A20,业务流水!$Z$5:$Z$1504,"是"))</f>
        <v>2326.18</v>
      </c>
      <c r="F20" s="41" t="n">
        <f aca="false">IF($A20="","",SUMIFS(业务流水!$H$5:$H$1504,业务流水!$F$5:$F$1504,"*",业务流水!$D$5:$D$1504,"成本票",业务流水!$C$5:$C$1504,$A20,业务流水!$Z$5:$Z$1504,"是")+SUMIFS(业务流水!$H$5:$H$1504,业务流水!$F$5:$F$1504,"*",业务流水!$D$5:$D$1504,"销项开票",业务流水!$C$5:$C$1504,$A20,业务流水!$Z$5:$Z$1504,"是"))</f>
        <v>2423.1</v>
      </c>
      <c r="G20" s="42" t="n">
        <f aca="false">IF($A20="","",$E20-$F20)</f>
        <v>-96.9200000000001</v>
      </c>
      <c r="H20" s="41" t="n">
        <f aca="false">IF($A20="","",SUMIFS(业务流水!$W$5:$W$1504,业务流水!$E$5:$E$1504,"*",业务流水!$D$5:$D$1504,"销项开票",业务流水!$C$5:$C$1504,$A20,业务流水!$Z$5:$Z$1504,"是"))</f>
        <v>149.62</v>
      </c>
      <c r="I20" s="41" t="n">
        <f aca="false">IF($A20="","",SUMIFS(业务流水!$H$5:$H$1504,业务流水!$E$5:$E$1504,"*",业务流水!$D$5:$D$1504,"已交税",业务流水!$C$5:$C$1504,$A20,业务流水!$Z$5:$Z$1504,"是"))</f>
        <v>0</v>
      </c>
      <c r="J20" s="42" t="n">
        <f aca="false">IF($A20="","",$H20-$I20)</f>
        <v>149.62</v>
      </c>
      <c r="K20" s="41" t="n">
        <f aca="false">IF($A20="","",SUMIFS(业务流水!$H$5:$H$1504,业务流水!$F$5:$F$1504,"*",业务流水!$D$5:$D$1504,"挂靠代收",业务流水!$C$5:$C$1504,$A20,业务流水!$Z$5:$Z$1504,"是"))</f>
        <v>0</v>
      </c>
      <c r="L20" s="42" t="n">
        <f aca="false">IF($A20="","",$C20-$K20)</f>
        <v>2423.1</v>
      </c>
      <c r="M20" s="41" t="n">
        <f aca="false">IF($A20="","",SUMIFS(业务流水!$H$5:$H$1504,业务流水!$E$5:$E$1504,"*",业务流水!$D$5:$D$1504,"我方收款",业务流水!$C$5:$C$1504,$A20,业务流水!$Z$5:$Z$1504,"是"))</f>
        <v>0</v>
      </c>
      <c r="N20" s="43" t="n">
        <f aca="false">IF($A20="","",$K20-$M20)</f>
        <v>0</v>
      </c>
      <c r="O20" s="41" t="n">
        <f aca="false">IF($A20="","",SUMIFS(业务流水!$H$5:$H$1504,业务流水!$F$5:$F$1504,"*",业务流水!$D$5:$D$1504,"管理费结算",业务流水!$C$5:$C$1504,$A20,业务流水!$Z$5:$Z$1504,"是"))</f>
        <v>0</v>
      </c>
      <c r="P20" s="41" t="n">
        <f aca="false">IF($A20="","",SUMIFS(业务流水!$H$5:$H$1504,业务流水!$E$5:$E$1504,"*",业务流水!$D$5:$D$1504,"扣质保金",业务流水!$C$5:$C$1504,$A20,业务流水!$Z$5:$Z$1504,"是"))</f>
        <v>0</v>
      </c>
    </row>
    <row r="21" customFormat="false" ht="15.75" hidden="false" customHeight="true" outlineLevel="0" collapsed="false">
      <c r="A21" s="32" t="str">
        <f aca="false">IF(项目档案!$A21="","",项目档案!$A21)</f>
        <v>A016</v>
      </c>
      <c r="B21" s="40" t="str">
        <f aca="false">IF($A21="","",项目档案!$B21)</f>
        <v>2025-2026年度工程用特种设备租赁服务框架采购、峰盛模具ZBW-250KVA箱变拆除工程（机械费）</v>
      </c>
      <c r="C21" s="41" t="n">
        <f aca="false">IF($A21="","",SUMIFS(业务流水!$H$5:$H$1504,业务流水!$E$5:$E$1504,"*",业务流水!$D$5:$D$1504,"销项开票",业务流水!$C$5:$C$1504,$A21,业务流水!$Z$5:$Z$1504,"是"))</f>
        <v>880.39</v>
      </c>
      <c r="D21" s="41" t="n">
        <f aca="false">IF($A21="","",SUMIFS(业务流水!$O$5:$O$1504,业务流水!$E$5:$E$1504,"*",业务流水!$D$5:$D$1504,"销项开票",业务流水!$C$5:$C$1504,$A21,业务流水!$Z$5:$Z$1504,"是"))</f>
        <v>35.22</v>
      </c>
      <c r="E21" s="41" t="n">
        <f aca="false">IF($A21="","",SUMIFS(业务流水!$P$5:$P$1504,业务流水!$E$5:$E$1504,"*",业务流水!$D$5:$D$1504,"销项开票",业务流水!$C$5:$C$1504,$A21,业务流水!$Z$5:$Z$1504,"是"))</f>
        <v>845.17</v>
      </c>
      <c r="F21" s="41" t="n">
        <f aca="false">IF($A21="","",SUMIFS(业务流水!$H$5:$H$1504,业务流水!$F$5:$F$1504,"*",业务流水!$D$5:$D$1504,"成本票",业务流水!$C$5:$C$1504,$A21,业务流水!$Z$5:$Z$1504,"是")+SUMIFS(业务流水!$H$5:$H$1504,业务流水!$F$5:$F$1504,"*",业务流水!$D$5:$D$1504,"销项开票",业务流水!$C$5:$C$1504,$A21,业务流水!$Z$5:$Z$1504,"是"))</f>
        <v>42953.72</v>
      </c>
      <c r="G21" s="42" t="n">
        <f aca="false">IF($A21="","",$E21-$F21)</f>
        <v>-42108.55</v>
      </c>
      <c r="H21" s="41" t="n">
        <f aca="false">IF($A21="","",SUMIFS(业务流水!$W$5:$W$1504,业务流水!$E$5:$E$1504,"*",业务流水!$D$5:$D$1504,"销项开票",业务流水!$C$5:$C$1504,$A21,业务流水!$Z$5:$Z$1504,"是"))</f>
        <v>54.37</v>
      </c>
      <c r="I21" s="41" t="n">
        <f aca="false">IF($A21="","",SUMIFS(业务流水!$H$5:$H$1504,业务流水!$E$5:$E$1504,"*",业务流水!$D$5:$D$1504,"已交税",业务流水!$C$5:$C$1504,$A21,业务流水!$Z$5:$Z$1504,"是"))</f>
        <v>0</v>
      </c>
      <c r="J21" s="42" t="n">
        <f aca="false">IF($A21="","",$H21-$I21)</f>
        <v>54.37</v>
      </c>
      <c r="K21" s="41" t="n">
        <f aca="false">IF($A21="","",SUMIFS(业务流水!$H$5:$H$1504,业务流水!$F$5:$F$1504,"*",业务流水!$D$5:$D$1504,"挂靠代收",业务流水!$C$5:$C$1504,$A21,业务流水!$Z$5:$Z$1504,"是"))</f>
        <v>0</v>
      </c>
      <c r="L21" s="42" t="n">
        <f aca="false">IF($A21="","",$C21-$K21)</f>
        <v>880.39</v>
      </c>
      <c r="M21" s="41" t="n">
        <f aca="false">IF($A21="","",SUMIFS(业务流水!$H$5:$H$1504,业务流水!$E$5:$E$1504,"*",业务流水!$D$5:$D$1504,"我方收款",业务流水!$C$5:$C$1504,$A21,业务流水!$Z$5:$Z$1504,"是"))</f>
        <v>3101.57</v>
      </c>
      <c r="N21" s="43" t="n">
        <f aca="false">IF($A21="","",$K21-$M21)</f>
        <v>-3101.57</v>
      </c>
      <c r="O21" s="41" t="n">
        <f aca="false">IF($A21="","",SUMIFS(业务流水!$H$5:$H$1504,业务流水!$F$5:$F$1504,"*",业务流水!$D$5:$D$1504,"管理费结算",业务流水!$C$5:$C$1504,$A21,业务流水!$Z$5:$Z$1504,"是"))</f>
        <v>1753.06</v>
      </c>
      <c r="P21" s="41" t="n">
        <f aca="false">IF($A21="","",SUMIFS(业务流水!$H$5:$H$1504,业务流水!$E$5:$E$1504,"*",业务流水!$D$5:$D$1504,"扣质保金",业务流水!$C$5:$C$1504,$A21,业务流水!$Z$5:$Z$1504,"是"))</f>
        <v>0</v>
      </c>
    </row>
    <row r="22" customFormat="false" ht="15.75" hidden="false" customHeight="true" outlineLevel="0" collapsed="false">
      <c r="A22" s="32" t="str">
        <f aca="false">IF(项目档案!$A22="","",项目档案!$A22)</f>
        <v>A017</v>
      </c>
      <c r="B22" s="40" t="str">
        <f aca="false">IF($A22="","",项目档案!$B22)</f>
        <v>重庆民能实业有限公司2025-2026年度工程用特种设备租赁服务框架采购-铜梁公司2025年成本类优化营商环境项目（平滩所何银强等5个低压业扩工程）</v>
      </c>
      <c r="C22" s="41" t="n">
        <f aca="false">IF($A22="","",SUMIFS(业务流水!$H$5:$H$1504,业务流水!$E$5:$E$1504,"*",业务流水!$D$5:$D$1504,"销项开票",业务流水!$C$5:$C$1504,$A22,业务流水!$Z$5:$Z$1504,"是"))</f>
        <v>34240.53</v>
      </c>
      <c r="D22" s="41" t="n">
        <f aca="false">IF($A22="","",SUMIFS(业务流水!$O$5:$O$1504,业务流水!$E$5:$E$1504,"*",业务流水!$D$5:$D$1504,"销项开票",业务流水!$C$5:$C$1504,$A22,业务流水!$Z$5:$Z$1504,"是"))</f>
        <v>858.62</v>
      </c>
      <c r="E22" s="41" t="n">
        <f aca="false">IF($A22="","",SUMIFS(业务流水!$P$5:$P$1504,业务流水!$E$5:$E$1504,"*",业务流水!$D$5:$D$1504,"销项开票",业务流水!$C$5:$C$1504,$A22,业务流水!$Z$5:$Z$1504,"是"))</f>
        <v>33381.91</v>
      </c>
      <c r="F22" s="41" t="n">
        <f aca="false">IF($A22="","",SUMIFS(业务流水!$H$5:$H$1504,业务流水!$F$5:$F$1504,"*",业务流水!$D$5:$D$1504,"成本票",业务流水!$C$5:$C$1504,$A22,业务流水!$Z$5:$Z$1504,"是")+SUMIFS(业务流水!$H$5:$H$1504,业务流水!$F$5:$F$1504,"*",业务流水!$D$5:$D$1504,"销项开票",业务流水!$C$5:$C$1504,$A22,业务流水!$Z$5:$Z$1504,"是"))</f>
        <v>167931.42</v>
      </c>
      <c r="G22" s="42" t="n">
        <f aca="false">IF($A22="","",$E22-$F22)</f>
        <v>-134549.51</v>
      </c>
      <c r="H22" s="41" t="n">
        <f aca="false">IF($A22="","",SUMIFS(业务流水!$W$5:$W$1504,业务流水!$E$5:$E$1504,"*",业务流水!$D$5:$D$1504,"销项开票",业务流水!$C$5:$C$1504,$A22,业务流水!$Z$5:$Z$1504,"是"))</f>
        <v>1621.04</v>
      </c>
      <c r="I22" s="41" t="n">
        <f aca="false">IF($A22="","",SUMIFS(业务流水!$H$5:$H$1504,业务流水!$E$5:$E$1504,"*",业务流水!$D$5:$D$1504,"已交税",业务流水!$C$5:$C$1504,$A22,业务流水!$Z$5:$Z$1504,"是"))</f>
        <v>673.37</v>
      </c>
      <c r="J22" s="42" t="n">
        <f aca="false">IF($A22="","",$H22-$I22)</f>
        <v>947.67</v>
      </c>
      <c r="K22" s="41" t="n">
        <f aca="false">IF($A22="","",SUMIFS(业务流水!$H$5:$H$1504,业务流水!$F$5:$F$1504,"*",业务流水!$D$5:$D$1504,"挂靠代收",业务流水!$C$5:$C$1504,$A22,业务流水!$Z$5:$Z$1504,"是"))</f>
        <v>38330.51</v>
      </c>
      <c r="L22" s="42" t="n">
        <f aca="false">IF($A22="","",$C22-$K22)</f>
        <v>-4089.98</v>
      </c>
      <c r="M22" s="41" t="n">
        <f aca="false">IF($A22="","",SUMIFS(业务流水!$H$5:$H$1504,业务流水!$E$5:$E$1504,"*",业务流水!$D$5:$D$1504,"我方收款",业务流水!$C$5:$C$1504,$A22,业务流水!$Z$5:$Z$1504,"是"))</f>
        <v>16500</v>
      </c>
      <c r="N22" s="43" t="n">
        <f aca="false">IF($A22="","",$K22-$M22)</f>
        <v>21830.51</v>
      </c>
      <c r="O22" s="41" t="n">
        <f aca="false">IF($A22="","",SUMIFS(业务流水!$H$5:$H$1504,业务流水!$F$5:$F$1504,"*",业务流水!$D$5:$D$1504,"管理费结算",业务流水!$C$5:$C$1504,$A22,业务流水!$Z$5:$Z$1504,"是"))</f>
        <v>521.43</v>
      </c>
      <c r="P22" s="41" t="n">
        <f aca="false">IF($A22="","",SUMIFS(业务流水!$H$5:$H$1504,业务流水!$E$5:$E$1504,"*",业务流水!$D$5:$D$1504,"扣质保金",业务流水!$C$5:$C$1504,$A22,业务流水!$Z$5:$Z$1504,"是"))</f>
        <v>521.43</v>
      </c>
    </row>
    <row r="23" customFormat="false" ht="15.75" hidden="false" customHeight="true" outlineLevel="0" collapsed="false">
      <c r="A23" s="32" t="str">
        <f aca="false">IF(项目档案!$A23="","",项目档案!$A23)</f>
        <v>A018</v>
      </c>
      <c r="B23" s="40" t="str">
        <f aca="false">IF($A23="","",项目档案!$B23)</f>
        <v>重庆德誉佳实业有限公司2025-2026年度工程用特种设备租赁服务框架采购-铜梁公司2025年成本类优化营商环境项目（平滩所何银强等5个低压业扩工程）</v>
      </c>
      <c r="C23" s="41" t="n">
        <f aca="false">IF($A23="","",SUMIFS(业务流水!$H$5:$H$1504,业务流水!$E$5:$E$1504,"*",业务流水!$D$5:$D$1504,"销项开票",业务流水!$C$5:$C$1504,$A23,业务流水!$Z$5:$Z$1504,"是"))</f>
        <v>14434.14</v>
      </c>
      <c r="D23" s="41" t="n">
        <f aca="false">IF($A23="","",SUMIFS(业务流水!$O$5:$O$1504,业务流水!$E$5:$E$1504,"*",业务流水!$D$5:$D$1504,"销项开票",业务流水!$C$5:$C$1504,$A23,业务流水!$Z$5:$Z$1504,"是"))</f>
        <v>702.51</v>
      </c>
      <c r="E23" s="41" t="n">
        <f aca="false">IF($A23="","",SUMIFS(业务流水!$P$5:$P$1504,业务流水!$E$5:$E$1504,"*",业务流水!$D$5:$D$1504,"销项开票",业务流水!$C$5:$C$1504,$A23,业务流水!$Z$5:$Z$1504,"是"))</f>
        <v>13731.63</v>
      </c>
      <c r="F23" s="41" t="n">
        <f aca="false">IF($A23="","",SUMIFS(业务流水!$H$5:$H$1504,业务流水!$F$5:$F$1504,"*",业务流水!$D$5:$D$1504,"成本票",业务流水!$C$5:$C$1504,$A23,业务流水!$Z$5:$Z$1504,"是")+SUMIFS(业务流水!$H$5:$H$1504,业务流水!$F$5:$F$1504,"*",业务流水!$D$5:$D$1504,"销项开票",业务流水!$C$5:$C$1504,$A23,业务流水!$Z$5:$Z$1504,"是"))</f>
        <v>17611.36</v>
      </c>
      <c r="G23" s="42" t="n">
        <f aca="false">IF($A23="","",$E23-$F23)</f>
        <v>-3879.73</v>
      </c>
      <c r="H23" s="41" t="n">
        <f aca="false">IF($A23="","",SUMIFS(业务流水!$W$5:$W$1504,业务流水!$E$5:$E$1504,"*",业务流水!$D$5:$D$1504,"销项开票",业务流水!$C$5:$C$1504,$A23,业务流水!$Z$5:$Z$1504,"是"))</f>
        <v>217.37</v>
      </c>
      <c r="I23" s="41" t="n">
        <f aca="false">IF($A23="","",SUMIFS(业务流水!$H$5:$H$1504,业务流水!$E$5:$E$1504,"*",业务流水!$D$5:$D$1504,"已交税",业务流水!$C$5:$C$1504,$A23,业务流水!$Z$5:$Z$1504,"是"))</f>
        <v>204.36</v>
      </c>
      <c r="J23" s="42" t="n">
        <f aca="false">IF($A23="","",$H23-$I23)</f>
        <v>13.01</v>
      </c>
      <c r="K23" s="41" t="n">
        <f aca="false">IF($A23="","",SUMIFS(业务流水!$H$5:$H$1504,业务流水!$F$5:$F$1504,"*",业务流水!$D$5:$D$1504,"挂靠代收",业务流水!$C$5:$C$1504,$A23,业务流水!$Z$5:$Z$1504,"是"))</f>
        <v>5794.03</v>
      </c>
      <c r="L23" s="42" t="n">
        <f aca="false">IF($A23="","",$C23-$K23)</f>
        <v>8640.11</v>
      </c>
      <c r="M23" s="41" t="n">
        <f aca="false">IF($A23="","",SUMIFS(业务流水!$H$5:$H$1504,业务流水!$E$5:$E$1504,"*",业务流水!$D$5:$D$1504,"我方收款",业务流水!$C$5:$C$1504,$A23,业务流水!$Z$5:$Z$1504,"是"))</f>
        <v>5330.51</v>
      </c>
      <c r="N23" s="43" t="n">
        <f aca="false">IF($A23="","",$K23-$M23)</f>
        <v>463.52</v>
      </c>
      <c r="O23" s="41" t="n">
        <f aca="false">IF($A23="","",SUMIFS(业务流水!$H$5:$H$1504,业务流水!$F$5:$F$1504,"*",业务流水!$D$5:$D$1504,"管理费结算",业务流水!$C$5:$C$1504,$A23,业务流水!$Z$5:$Z$1504,"是"))</f>
        <v>595.9</v>
      </c>
      <c r="P23" s="41" t="n">
        <f aca="false">IF($A23="","",SUMIFS(业务流水!$H$5:$H$1504,业务流水!$E$5:$E$1504,"*",业务流水!$D$5:$D$1504,"扣质保金",业务流水!$C$5:$C$1504,$A23,业务流水!$Z$5:$Z$1504,"是"))</f>
        <v>0</v>
      </c>
    </row>
    <row r="24" customFormat="false" ht="15.75" hidden="false" customHeight="true" outlineLevel="0" collapsed="false">
      <c r="A24" s="32" t="str">
        <f aca="false">IF(项目档案!$A24="","",项目档案!$A24)</f>
        <v>A019</v>
      </c>
      <c r="B24" s="40" t="str">
        <f aca="false">IF($A24="","",项目档案!$B24)</f>
        <v>重庆德誉佳实业有限公司2025-2026年度工程用施工机具等租赁服务框架采购（国网重庆铜梁公司110kV金湖东西电缆改造）</v>
      </c>
      <c r="C24" s="41" t="n">
        <f aca="false">IF($A24="","",SUMIFS(业务流水!$H$5:$H$1504,业务流水!$E$5:$E$1504,"*",业务流水!$D$5:$D$1504,"销项开票",业务流水!$C$5:$C$1504,$A24,业务流水!$Z$5:$Z$1504,"是"))</f>
        <v>151710</v>
      </c>
      <c r="D24" s="41" t="n">
        <f aca="false">IF($A24="","",SUMIFS(业务流水!$O$5:$O$1504,业务流水!$E$5:$E$1504,"*",业务流水!$D$5:$D$1504,"销项开票",业务流水!$C$5:$C$1504,$A24,业务流水!$Z$5:$Z$1504,"是"))</f>
        <v>12136.8</v>
      </c>
      <c r="E24" s="41" t="n">
        <f aca="false">IF($A24="","",SUMIFS(业务流水!$P$5:$P$1504,业务流水!$E$5:$E$1504,"*",业务流水!$D$5:$D$1504,"销项开票",业务流水!$C$5:$C$1504,$A24,业务流水!$Z$5:$Z$1504,"是"))</f>
        <v>139573.2</v>
      </c>
      <c r="F24" s="41" t="n">
        <f aca="false">IF($A24="","",SUMIFS(业务流水!$H$5:$H$1504,业务流水!$F$5:$F$1504,"*",业务流水!$D$5:$D$1504,"成本票",业务流水!$C$5:$C$1504,$A24,业务流水!$Z$5:$Z$1504,"是")+SUMIFS(业务流水!$H$5:$H$1504,业务流水!$F$5:$F$1504,"*",业务流水!$D$5:$D$1504,"销项开票",业务流水!$C$5:$C$1504,$A24,业务流水!$Z$5:$Z$1504,"是"))</f>
        <v>291283.2</v>
      </c>
      <c r="G24" s="42" t="n">
        <f aca="false">IF($A24="","",$E24-$F24)</f>
        <v>-151710</v>
      </c>
      <c r="H24" s="41" t="n">
        <f aca="false">IF($A24="","",SUMIFS(业务流水!$W$5:$W$1504,业务流水!$E$5:$E$1504,"*",业务流水!$D$5:$D$1504,"销项开票",业务流水!$C$5:$C$1504,$A24,业务流水!$Z$5:$Z$1504,"是"))</f>
        <v>0</v>
      </c>
      <c r="I24" s="41" t="n">
        <f aca="false">IF($A24="","",SUMIFS(业务流水!$H$5:$H$1504,业务流水!$E$5:$E$1504,"*",业务流水!$D$5:$D$1504,"已交税",业务流水!$C$5:$C$1504,$A24,业务流水!$Z$5:$Z$1504,"是"))</f>
        <v>0</v>
      </c>
      <c r="J24" s="42" t="n">
        <f aca="false">IF($A24="","",$H24-$I24)</f>
        <v>0</v>
      </c>
      <c r="K24" s="41" t="n">
        <f aca="false">IF($A24="","",SUMIFS(业务流水!$H$5:$H$1504,业务流水!$F$5:$F$1504,"*",业务流水!$D$5:$D$1504,"挂靠代收",业务流水!$C$5:$C$1504,$A24,业务流水!$Z$5:$Z$1504,"是"))</f>
        <v>54170</v>
      </c>
      <c r="L24" s="42" t="n">
        <f aca="false">IF($A24="","",$C24-$K24)</f>
        <v>97540</v>
      </c>
      <c r="M24" s="41" t="n">
        <f aca="false">IF($A24="","",SUMIFS(业务流水!$H$5:$H$1504,业务流水!$E$5:$E$1504,"*",业务流水!$D$5:$D$1504,"我方收款",业务流水!$C$5:$C$1504,$A24,业务流水!$Z$5:$Z$1504,"是"))</f>
        <v>49836.4</v>
      </c>
      <c r="N24" s="43" t="n">
        <f aca="false">IF($A24="","",$K24-$M24)</f>
        <v>4333.6</v>
      </c>
      <c r="O24" s="41" t="n">
        <f aca="false">IF($A24="","",SUMIFS(业务流水!$H$5:$H$1504,业务流水!$F$5:$F$1504,"*",业务流水!$D$5:$D$1504,"管理费结算",业务流水!$C$5:$C$1504,$A24,业务流水!$Z$5:$Z$1504,"是"))</f>
        <v>12136.8</v>
      </c>
      <c r="P24" s="41" t="n">
        <f aca="false">IF($A24="","",SUMIFS(业务流水!$H$5:$H$1504,业务流水!$E$5:$E$1504,"*",业务流水!$D$5:$D$1504,"扣质保金",业务流水!$C$5:$C$1504,$A24,业务流水!$Z$5:$Z$1504,"是"))</f>
        <v>0</v>
      </c>
    </row>
    <row r="25" customFormat="false" ht="15.75" hidden="false" customHeight="true" outlineLevel="0" collapsed="false">
      <c r="A25" s="32" t="str">
        <f aca="false">IF(项目档案!$A25="","",项目档案!$A25)</f>
        <v>A020</v>
      </c>
      <c r="B25" s="40" t="str">
        <f aca="false">IF($A25="","",项目档案!$B25)</f>
        <v>重庆民能实业有限公司2025-2026年度工程用施工机具等租赁服务框架采购（国网重庆铜梁公司110kV金湖东西电缆改造）</v>
      </c>
      <c r="C25" s="41" t="n">
        <f aca="false">IF($A25="","",SUMIFS(业务流水!$H$5:$H$1504,业务流水!$E$5:$E$1504,"*",业务流水!$D$5:$D$1504,"销项开票",业务流水!$C$5:$C$1504,$A25,业务流水!$Z$5:$Z$1504,"是"))</f>
        <v>553550.6</v>
      </c>
      <c r="D25" s="41" t="n">
        <f aca="false">IF($A25="","",SUMIFS(业务流水!$O$5:$O$1504,业务流水!$E$5:$E$1504,"*",业务流水!$D$5:$D$1504,"销项开票",业务流水!$C$5:$C$1504,$A25,业务流水!$Z$5:$Z$1504,"是"))</f>
        <v>21269.05</v>
      </c>
      <c r="E25" s="41" t="n">
        <f aca="false">IF($A25="","",SUMIFS(业务流水!$P$5:$P$1504,业务流水!$E$5:$E$1504,"*",业务流水!$D$5:$D$1504,"销项开票",业务流水!$C$5:$C$1504,$A25,业务流水!$Z$5:$Z$1504,"是"))</f>
        <v>532281.55</v>
      </c>
      <c r="F25" s="41" t="n">
        <f aca="false">IF($A25="","",SUMIFS(业务流水!$H$5:$H$1504,业务流水!$F$5:$F$1504,"*",业务流水!$D$5:$D$1504,"成本票",业务流水!$C$5:$C$1504,$A25,业务流水!$Z$5:$Z$1504,"是")+SUMIFS(业务流水!$H$5:$H$1504,业务流水!$F$5:$F$1504,"*",业务流水!$D$5:$D$1504,"销项开票",业务流水!$C$5:$C$1504,$A25,业务流水!$Z$5:$Z$1504,"是"))</f>
        <v>693500.27</v>
      </c>
      <c r="G25" s="42" t="n">
        <f aca="false">IF($A25="","",$E25-$F25)</f>
        <v>-161218.72</v>
      </c>
      <c r="H25" s="41" t="n">
        <f aca="false">IF($A25="","",SUMIFS(业务流水!$W$5:$W$1504,业务流水!$E$5:$E$1504,"*",业务流水!$D$5:$D$1504,"销项开票",业务流水!$C$5:$C$1504,$A25,业务流水!$Z$5:$Z$1504,"是"))</f>
        <v>28479.03</v>
      </c>
      <c r="I25" s="41" t="n">
        <f aca="false">IF($A25="","",SUMIFS(业务流水!$H$5:$H$1504,业务流水!$E$5:$E$1504,"*",业务流水!$D$5:$D$1504,"已交税",业务流水!$C$5:$C$1504,$A25,业务流水!$Z$5:$Z$1504,"是"))</f>
        <v>10178.24</v>
      </c>
      <c r="J25" s="42" t="n">
        <f aca="false">IF($A25="","",$H25-$I25)</f>
        <v>18300.79</v>
      </c>
      <c r="K25" s="41" t="n">
        <f aca="false">IF($A25="","",SUMIFS(业务流水!$H$5:$H$1504,业务流水!$F$5:$F$1504,"*",业务流水!$D$5:$D$1504,"挂靠代收",业务流水!$C$5:$C$1504,$A25,业务流水!$Z$5:$Z$1504,"是"))</f>
        <v>384000</v>
      </c>
      <c r="L25" s="42" t="n">
        <f aca="false">IF($A25="","",$C25-$K25)</f>
        <v>169550.6</v>
      </c>
      <c r="M25" s="41" t="n">
        <f aca="false">IF($A25="","",SUMIFS(业务流水!$H$5:$H$1504,业务流水!$E$5:$E$1504,"*",业务流水!$D$5:$D$1504,"我方收款",业务流水!$C$5:$C$1504,$A25,业务流水!$Z$5:$Z$1504,"是"))</f>
        <v>384000</v>
      </c>
      <c r="N25" s="43" t="n">
        <f aca="false">IF($A25="","",$K25-$M25)</f>
        <v>0</v>
      </c>
      <c r="O25" s="41" t="n">
        <f aca="false">IF($A25="","",SUMIFS(业务流水!$H$5:$H$1504,业务流水!$F$5:$F$1504,"*",业务流水!$D$5:$D$1504,"管理费结算",业务流水!$C$5:$C$1504,$A25,业务流水!$Z$5:$Z$1504,"是"))</f>
        <v>12110.03</v>
      </c>
      <c r="P25" s="41" t="n">
        <f aca="false">IF($A25="","",SUMIFS(业务流水!$H$5:$H$1504,业务流水!$E$5:$E$1504,"*",业务流水!$D$5:$D$1504,"扣质保金",业务流水!$C$5:$C$1504,$A25,业务流水!$Z$5:$Z$1504,"是"))</f>
        <v>0</v>
      </c>
    </row>
    <row r="26" customFormat="false" ht="15.75" hidden="false" customHeight="true" outlineLevel="0" collapsed="false">
      <c r="A26" s="32" t="str">
        <f aca="false">IF(项目档案!$A26="","",项目档案!$A26)</f>
        <v>A021</v>
      </c>
      <c r="B26" s="40" t="str">
        <f aca="false">IF($A26="","",项目档案!$B26)</f>
        <v>铜梁区园区屋顶分布式光伏发电建设项目-10kV电力新建工程（康欣3W，泓普7W）</v>
      </c>
      <c r="C26" s="41" t="n">
        <f aca="false">IF($A26="","",SUMIFS(业务流水!$H$5:$H$1504,业务流水!$E$5:$E$1504,"*",业务流水!$D$5:$D$1504,"销项开票",业务流水!$C$5:$C$1504,$A26,业务流水!$Z$5:$Z$1504,"是"))</f>
        <v>70000</v>
      </c>
      <c r="D26" s="41" t="n">
        <f aca="false">IF($A26="","",SUMIFS(业务流水!$O$5:$O$1504,业务流水!$E$5:$E$1504,"*",业务流水!$D$5:$D$1504,"销项开票",业务流水!$C$5:$C$1504,$A26,业务流水!$Z$5:$Z$1504,"是"))</f>
        <v>3500</v>
      </c>
      <c r="E26" s="41" t="n">
        <f aca="false">IF($A26="","",SUMIFS(业务流水!$P$5:$P$1504,业务流水!$E$5:$E$1504,"*",业务流水!$D$5:$D$1504,"销项开票",业务流水!$C$5:$C$1504,$A26,业务流水!$Z$5:$Z$1504,"是"))</f>
        <v>66500</v>
      </c>
      <c r="F26" s="41" t="n">
        <f aca="false">IF($A26="","",SUMIFS(业务流水!$H$5:$H$1504,业务流水!$F$5:$F$1504,"*",业务流水!$D$5:$D$1504,"成本票",业务流水!$C$5:$C$1504,$A26,业务流水!$Z$5:$Z$1504,"是")+SUMIFS(业务流水!$H$5:$H$1504,业务流水!$F$5:$F$1504,"*",业务流水!$D$5:$D$1504,"销项开票",业务流水!$C$5:$C$1504,$A26,业务流水!$Z$5:$Z$1504,"是"))</f>
        <v>70000</v>
      </c>
      <c r="G26" s="42" t="n">
        <f aca="false">IF($A26="","",$E26-$F26)</f>
        <v>-3500</v>
      </c>
      <c r="H26" s="41" t="n">
        <f aca="false">IF($A26="","",SUMIFS(业务流水!$W$5:$W$1504,业务流水!$E$5:$E$1504,"*",业务流水!$D$5:$D$1504,"销项开票",业务流水!$C$5:$C$1504,$A26,业务流水!$Z$5:$Z$1504,"是"))</f>
        <v>4346.07</v>
      </c>
      <c r="I26" s="41" t="n">
        <f aca="false">IF($A26="","",SUMIFS(业务流水!$H$5:$H$1504,业务流水!$E$5:$E$1504,"*",业务流水!$D$5:$D$1504,"已交税",业务流水!$C$5:$C$1504,$A26,业务流水!$Z$5:$Z$1504,"是"))</f>
        <v>1988.39</v>
      </c>
      <c r="J26" s="42" t="n">
        <f aca="false">IF($A26="","",$H26-$I26)</f>
        <v>2357.68</v>
      </c>
      <c r="K26" s="41" t="n">
        <f aca="false">IF($A26="","",SUMIFS(业务流水!$H$5:$H$1504,业务流水!$F$5:$F$1504,"*",业务流水!$D$5:$D$1504,"挂靠代收",业务流水!$C$5:$C$1504,$A26,业务流水!$Z$5:$Z$1504,"是"))</f>
        <v>100000</v>
      </c>
      <c r="L26" s="42" t="n">
        <f aca="false">IF($A26="","",$C26-$K26)</f>
        <v>-30000</v>
      </c>
      <c r="M26" s="41" t="n">
        <f aca="false">IF($A26="","",SUMIFS(业务流水!$H$5:$H$1504,业务流水!$E$5:$E$1504,"*",业务流水!$D$5:$D$1504,"我方收款",业务流水!$C$5:$C$1504,$A26,业务流水!$Z$5:$Z$1504,"是"))</f>
        <v>70000</v>
      </c>
      <c r="N26" s="43" t="n">
        <f aca="false">IF($A26="","",$K26-$M26)</f>
        <v>30000</v>
      </c>
      <c r="O26" s="41" t="n">
        <f aca="false">IF($A26="","",SUMIFS(业务流水!$H$5:$H$1504,业务流水!$F$5:$F$1504,"*",业务流水!$D$5:$D$1504,"管理费结算",业务流水!$C$5:$C$1504,$A26,业务流水!$Z$5:$Z$1504,"是"))</f>
        <v>3500</v>
      </c>
      <c r="P26" s="41" t="n">
        <f aca="false">IF($A26="","",SUMIFS(业务流水!$H$5:$H$1504,业务流水!$E$5:$E$1504,"*",业务流水!$D$5:$D$1504,"扣质保金",业务流水!$C$5:$C$1504,$A26,业务流水!$Z$5:$Z$1504,"是"))</f>
        <v>0</v>
      </c>
    </row>
    <row r="27" customFormat="false" ht="15.75" hidden="false" customHeight="true" outlineLevel="0" collapsed="false">
      <c r="A27" s="32" t="str">
        <f aca="false">IF(项目档案!$A27="","",项目档案!$A27)</f>
        <v>A022</v>
      </c>
      <c r="B27" s="40" t="str">
        <f aca="false">IF($A27="","",项目档案!$B27)</f>
        <v>铜梁区园区屋顶分布式光伏发电建设项目-10kV电力新建工程（康欣3W，泓普6W）</v>
      </c>
      <c r="C27" s="41" t="n">
        <f aca="false">IF($A27="","",SUMIFS(业务流水!$H$5:$H$1504,业务流水!$E$5:$E$1504,"*",业务流水!$D$5:$D$1504,"销项开票",业务流水!$C$5:$C$1504,$A27,业务流水!$Z$5:$Z$1504,"是"))</f>
        <v>136500</v>
      </c>
      <c r="D27" s="41" t="n">
        <f aca="false">IF($A27="","",SUMIFS(业务流水!$O$5:$O$1504,业务流水!$E$5:$E$1504,"*",业务流水!$D$5:$D$1504,"销项开票",业务流水!$C$5:$C$1504,$A27,业务流水!$Z$5:$Z$1504,"是"))</f>
        <v>4830</v>
      </c>
      <c r="E27" s="41" t="n">
        <f aca="false">IF($A27="","",SUMIFS(业务流水!$P$5:$P$1504,业务流水!$E$5:$E$1504,"*",业务流水!$D$5:$D$1504,"销项开票",业务流水!$C$5:$C$1504,$A27,业务流水!$Z$5:$Z$1504,"是"))</f>
        <v>131670</v>
      </c>
      <c r="F27" s="41" t="n">
        <f aca="false">IF($A27="","",SUMIFS(业务流水!$H$5:$H$1504,业务流水!$F$5:$F$1504,"*",业务流水!$D$5:$D$1504,"成本票",业务流水!$C$5:$C$1504,$A27,业务流水!$Z$5:$Z$1504,"是")+SUMIFS(业务流水!$H$5:$H$1504,业务流水!$F$5:$F$1504,"*",业务流水!$D$5:$D$1504,"销项开票",业务流水!$C$5:$C$1504,$A27,业务流水!$Z$5:$Z$1504,"是"))</f>
        <v>136500</v>
      </c>
      <c r="G27" s="42" t="n">
        <f aca="false">IF($A27="","",$E27-$F27)</f>
        <v>-4830</v>
      </c>
      <c r="H27" s="41" t="n">
        <f aca="false">IF($A27="","",SUMIFS(业务流水!$W$5:$W$1504,业务流水!$E$5:$E$1504,"*",业务流水!$D$5:$D$1504,"销项开票",业务流水!$C$5:$C$1504,$A27,业务流水!$Z$5:$Z$1504,"是"))</f>
        <v>4479.31</v>
      </c>
      <c r="I27" s="41" t="n">
        <f aca="false">IF($A27="","",SUMIFS(业务流水!$H$5:$H$1504,业务流水!$E$5:$E$1504,"*",业务流水!$D$5:$D$1504,"已交税",业务流水!$C$5:$C$1504,$A27,业务流水!$Z$5:$Z$1504,"是"))</f>
        <v>0</v>
      </c>
      <c r="J27" s="42" t="n">
        <f aca="false">IF($A27="","",$H27-$I27)</f>
        <v>4479.31</v>
      </c>
      <c r="K27" s="41" t="n">
        <f aca="false">IF($A27="","",SUMIFS(业务流水!$H$5:$H$1504,业务流水!$F$5:$F$1504,"*",业务流水!$D$5:$D$1504,"挂靠代收",业务流水!$C$5:$C$1504,$A27,业务流水!$Z$5:$Z$1504,"是"))</f>
        <v>70000</v>
      </c>
      <c r="L27" s="42" t="n">
        <f aca="false">IF($A27="","",$C27-$K27)</f>
        <v>66500</v>
      </c>
      <c r="M27" s="41" t="n">
        <f aca="false">IF($A27="","",SUMIFS(业务流水!$H$5:$H$1504,业务流水!$E$5:$E$1504,"*",业务流水!$D$5:$D$1504,"我方收款",业务流水!$C$5:$C$1504,$A27,业务流水!$Z$5:$Z$1504,"是"))</f>
        <v>74539.92</v>
      </c>
      <c r="N27" s="43" t="n">
        <f aca="false">IF($A27="","",$K27-$M27)</f>
        <v>-4539.92</v>
      </c>
      <c r="O27" s="41" t="n">
        <f aca="false">IF($A27="","",SUMIFS(业务流水!$H$5:$H$1504,业务流水!$F$5:$F$1504,"*",业务流水!$D$5:$D$1504,"管理费结算",业务流水!$C$5:$C$1504,$A27,业务流水!$Z$5:$Z$1504,"是"))</f>
        <v>3500</v>
      </c>
      <c r="P27" s="41" t="n">
        <f aca="false">IF($A27="","",SUMIFS(业务流水!$H$5:$H$1504,业务流水!$E$5:$E$1504,"*",业务流水!$D$5:$D$1504,"扣质保金",业务流水!$C$5:$C$1504,$A27,业务流水!$Z$5:$Z$1504,"是"))</f>
        <v>0</v>
      </c>
    </row>
    <row r="28" customFormat="false" ht="15.75" hidden="false" customHeight="true" outlineLevel="0" collapsed="false">
      <c r="A28" s="32" t="str">
        <f aca="false">IF(项目档案!$A28="","",项目档案!$A28)</f>
        <v>A023</v>
      </c>
      <c r="B28" s="40" t="str">
        <f aca="false">IF($A28="","",项目档案!$B28)</f>
        <v>围龙镇巴岳农庄项目(桥亭水云居项目)双电源工程</v>
      </c>
      <c r="C28" s="41" t="n">
        <f aca="false">IF($A28="","",SUMIFS(业务流水!$H$5:$H$1504,业务流水!$E$5:$E$1504,"*",业务流水!$D$5:$D$1504,"销项开票",业务流水!$C$5:$C$1504,$A28,业务流水!$Z$5:$Z$1504,"是"))</f>
        <v>50000</v>
      </c>
      <c r="D28" s="41" t="n">
        <f aca="false">IF($A28="","",SUMIFS(业务流水!$O$5:$O$1504,业务流水!$E$5:$E$1504,"*",业务流水!$D$5:$D$1504,"销项开票",业务流水!$C$5:$C$1504,$A28,业务流水!$Z$5:$Z$1504,"是"))</f>
        <v>1000</v>
      </c>
      <c r="E28" s="41" t="n">
        <f aca="false">IF($A28="","",SUMIFS(业务流水!$P$5:$P$1504,业务流水!$E$5:$E$1504,"*",业务流水!$D$5:$D$1504,"销项开票",业务流水!$C$5:$C$1504,$A28,业务流水!$Z$5:$Z$1504,"是"))</f>
        <v>49000</v>
      </c>
      <c r="F28" s="41" t="n">
        <f aca="false">IF($A28="","",SUMIFS(业务流水!$H$5:$H$1504,业务流水!$F$5:$F$1504,"*",业务流水!$D$5:$D$1504,"成本票",业务流水!$C$5:$C$1504,$A28,业务流水!$Z$5:$Z$1504,"是")+SUMIFS(业务流水!$H$5:$H$1504,业务流水!$F$5:$F$1504,"*",业务流水!$D$5:$D$1504,"销项开票",业务流水!$C$5:$C$1504,$A28,业务流水!$Z$5:$Z$1504,"是"))</f>
        <v>100000</v>
      </c>
      <c r="G28" s="42" t="n">
        <f aca="false">IF($A28="","",$E28-$F28)</f>
        <v>-51000</v>
      </c>
      <c r="H28" s="41" t="n">
        <f aca="false">IF($A28="","",SUMIFS(业务流水!$W$5:$W$1504,业务流水!$E$5:$E$1504,"*",业务流水!$D$5:$D$1504,"销项开票",业务流水!$C$5:$C$1504,$A28,业务流水!$Z$5:$Z$1504,"是"))</f>
        <v>1640.78</v>
      </c>
      <c r="I28" s="41" t="n">
        <f aca="false">IF($A28="","",SUMIFS(业务流水!$H$5:$H$1504,业务流水!$E$5:$E$1504,"*",业务流水!$D$5:$D$1504,"已交税",业务流水!$C$5:$C$1504,$A28,业务流水!$Z$5:$Z$1504,"是"))</f>
        <v>0</v>
      </c>
      <c r="J28" s="42" t="n">
        <f aca="false">IF($A28="","",$H28-$I28)</f>
        <v>1640.78</v>
      </c>
      <c r="K28" s="41" t="n">
        <f aca="false">IF($A28="","",SUMIFS(业务流水!$H$5:$H$1504,业务流水!$F$5:$F$1504,"*",业务流水!$D$5:$D$1504,"挂靠代收",业务流水!$C$5:$C$1504,$A28,业务流水!$Z$5:$Z$1504,"是"))</f>
        <v>0</v>
      </c>
      <c r="L28" s="42" t="n">
        <f aca="false">IF($A28="","",$C28-$K28)</f>
        <v>50000</v>
      </c>
      <c r="M28" s="41" t="n">
        <f aca="false">IF($A28="","",SUMIFS(业务流水!$H$5:$H$1504,业务流水!$E$5:$E$1504,"*",业务流水!$D$5:$D$1504,"我方收款",业务流水!$C$5:$C$1504,$A28,业务流水!$Z$5:$Z$1504,"是"))</f>
        <v>3300.86</v>
      </c>
      <c r="N28" s="43" t="n">
        <f aca="false">IF($A28="","",$K28-$M28)</f>
        <v>-3300.86</v>
      </c>
      <c r="O28" s="41" t="n">
        <f aca="false">IF($A28="","",SUMIFS(业务流水!$H$5:$H$1504,业务流水!$F$5:$F$1504,"*",业务流水!$D$5:$D$1504,"管理费结算",业务流水!$C$5:$C$1504,$A28,业务流水!$Z$5:$Z$1504,"是"))</f>
        <v>0</v>
      </c>
      <c r="P28" s="41" t="n">
        <f aca="false">IF($A28="","",SUMIFS(业务流水!$H$5:$H$1504,业务流水!$E$5:$E$1504,"*",业务流水!$D$5:$D$1504,"扣质保金",业务流水!$C$5:$C$1504,$A28,业务流水!$Z$5:$Z$1504,"是"))</f>
        <v>0</v>
      </c>
    </row>
    <row r="29" customFormat="false" ht="15.75" hidden="false" customHeight="true" outlineLevel="0" collapsed="false">
      <c r="A29" s="32" t="str">
        <f aca="false">IF(项目档案!$A29="","",项目档案!$A29)</f>
        <v>A024</v>
      </c>
      <c r="B29" s="40" t="str">
        <f aca="false">IF($A29="","",项目档案!$B29)</f>
        <v>铜梁公司2026年配电专业应急抢修抢险等外包项目（黄荆4社等台区4个隐患治理项目、三湾1.2社等台区2个应急抢修项目)</v>
      </c>
      <c r="C29" s="41" t="n">
        <f aca="false">IF($A29="","",SUMIFS(业务流水!$H$5:$H$1504,业务流水!$E$5:$E$1504,"*",业务流水!$D$5:$D$1504,"销项开票",业务流水!$C$5:$C$1504,$A29,业务流水!$Z$5:$Z$1504,"是"))</f>
        <v>11323.77</v>
      </c>
      <c r="D29" s="41" t="n">
        <f aca="false">IF($A29="","",SUMIFS(业务流水!$O$5:$O$1504,业务流水!$E$5:$E$1504,"*",业务流水!$D$5:$D$1504,"销项开票",业务流水!$C$5:$C$1504,$A29,业务流水!$Z$5:$Z$1504,"是"))</f>
        <v>426.59</v>
      </c>
      <c r="E29" s="41" t="n">
        <f aca="false">IF($A29="","",SUMIFS(业务流水!$P$5:$P$1504,业务流水!$E$5:$E$1504,"*",业务流水!$D$5:$D$1504,"销项开票",业务流水!$C$5:$C$1504,$A29,业务流水!$Z$5:$Z$1504,"是"))</f>
        <v>10897.18</v>
      </c>
      <c r="F29" s="41" t="n">
        <f aca="false">IF($A29="","",SUMIFS(业务流水!$H$5:$H$1504,业务流水!$F$5:$F$1504,"*",业务流水!$D$5:$D$1504,"成本票",业务流水!$C$5:$C$1504,$A29,业务流水!$Z$5:$Z$1504,"是")+SUMIFS(业务流水!$H$5:$H$1504,业务流水!$F$5:$F$1504,"*",业务流水!$D$5:$D$1504,"销项开票",业务流水!$C$5:$C$1504,$A29,业务流水!$Z$5:$Z$1504,"是"))</f>
        <v>67378.89</v>
      </c>
      <c r="G29" s="42" t="n">
        <f aca="false">IF($A29="","",$E29-$F29)</f>
        <v>-56481.71</v>
      </c>
      <c r="H29" s="41" t="n">
        <f aca="false">IF($A29="","",SUMIFS(业务流水!$W$5:$W$1504,业务流水!$E$5:$E$1504,"*",业务流水!$D$5:$D$1504,"销项开票",业务流水!$C$5:$C$1504,$A29,业务流水!$Z$5:$Z$1504,"是"))</f>
        <v>339.84</v>
      </c>
      <c r="I29" s="41" t="n">
        <f aca="false">IF($A29="","",SUMIFS(业务流水!$H$5:$H$1504,业务流水!$E$5:$E$1504,"*",业务流水!$D$5:$D$1504,"已交税",业务流水!$C$5:$C$1504,$A29,业务流水!$Z$5:$Z$1504,"是"))</f>
        <v>1679.77</v>
      </c>
      <c r="J29" s="42" t="n">
        <f aca="false">IF($A29="","",$H29-$I29)</f>
        <v>-1339.93</v>
      </c>
      <c r="K29" s="41" t="n">
        <f aca="false">IF($A29="","",SUMIFS(业务流水!$H$5:$H$1504,业务流水!$F$5:$F$1504,"*",业务流水!$D$5:$D$1504,"挂靠代收",业务流水!$C$5:$C$1504,$A29,业务流水!$Z$5:$Z$1504,"是"))</f>
        <v>8911.79</v>
      </c>
      <c r="L29" s="42" t="n">
        <f aca="false">IF($A29="","",$C29-$K29)</f>
        <v>2411.98</v>
      </c>
      <c r="M29" s="41" t="n">
        <f aca="false">IF($A29="","",SUMIFS(业务流水!$H$5:$H$1504,业务流水!$E$5:$E$1504,"*",业务流水!$D$5:$D$1504,"我方收款",业务流水!$C$5:$C$1504,$A29,业务流水!$Z$5:$Z$1504,"是"))</f>
        <v>30507.73</v>
      </c>
      <c r="N29" s="43" t="n">
        <f aca="false">IF($A29="","",$K29-$M29)</f>
        <v>-21595.94</v>
      </c>
      <c r="O29" s="41" t="n">
        <f aca="false">IF($A29="","",SUMIFS(业务流水!$H$5:$H$1504,业务流水!$F$5:$F$1504,"*",业务流水!$D$5:$D$1504,"管理费结算",业务流水!$C$5:$C$1504,$A29,业务流水!$Z$5:$Z$1504,"是"))</f>
        <v>3669.87</v>
      </c>
      <c r="P29" s="41" t="n">
        <f aca="false">IF($A29="","",SUMIFS(业务流水!$H$5:$H$1504,业务流水!$E$5:$E$1504,"*",业务流水!$D$5:$D$1504,"扣质保金",业务流水!$C$5:$C$1504,$A29,业务流水!$Z$5:$Z$1504,"是"))</f>
        <v>0</v>
      </c>
    </row>
    <row r="30" customFormat="false" ht="15.75" hidden="false" customHeight="true" outlineLevel="0" collapsed="false">
      <c r="A30" s="32" t="str">
        <f aca="false">IF(项目档案!$A30="","",项目档案!$A30)</f>
        <v>A025</v>
      </c>
      <c r="B30" s="40" t="str">
        <f aca="false">IF($A30="","",项目档案!$B30)</f>
        <v>重庆铜梁10kV梧桐村4.5.6社台区重过载治理工程等23个项目(2025年配网6批、业扩5批民能施工)(重庆铜梁10kV侣新线铜安1社台区重过载治理工程)</v>
      </c>
      <c r="C30" s="41" t="n">
        <f aca="false">IF($A30="","",SUMIFS(业务流水!$H$5:$H$1504,业务流水!$E$5:$E$1504,"*",业务流水!$D$5:$D$1504,"销项开票",业务流水!$C$5:$C$1504,$A30,业务流水!$Z$5:$Z$1504,"是"))</f>
        <v>44523.39</v>
      </c>
      <c r="D30" s="41" t="n">
        <f aca="false">IF($A30="","",SUMIFS(业务流水!$O$5:$O$1504,业务流水!$E$5:$E$1504,"*",业务流水!$D$5:$D$1504,"销项开票",业务流水!$C$5:$C$1504,$A30,业务流水!$Z$5:$Z$1504,"是"))</f>
        <v>1575.45</v>
      </c>
      <c r="E30" s="41" t="n">
        <f aca="false">IF($A30="","",SUMIFS(业务流水!$P$5:$P$1504,业务流水!$E$5:$E$1504,"*",业务流水!$D$5:$D$1504,"销项开票",业务流水!$C$5:$C$1504,$A30,业务流水!$Z$5:$Z$1504,"是"))</f>
        <v>42947.94</v>
      </c>
      <c r="F30" s="41" t="n">
        <f aca="false">IF($A30="","",SUMIFS(业务流水!$H$5:$H$1504,业务流水!$F$5:$F$1504,"*",业务流水!$D$5:$D$1504,"成本票",业务流水!$C$5:$C$1504,$A30,业务流水!$Z$5:$Z$1504,"是")+SUMIFS(业务流水!$H$5:$H$1504,业务流水!$F$5:$F$1504,"*",业务流水!$D$5:$D$1504,"销项开票",业务流水!$C$5:$C$1504,$A30,业务流水!$Z$5:$Z$1504,"是"))</f>
        <v>44523.39</v>
      </c>
      <c r="G30" s="42" t="n">
        <f aca="false">IF($A30="","",$E30-$F30)</f>
        <v>-1575.45</v>
      </c>
      <c r="H30" s="41" t="n">
        <f aca="false">IF($A30="","",SUMIFS(业务流水!$W$5:$W$1504,业务流水!$E$5:$E$1504,"*",业务流水!$D$5:$D$1504,"销项开票",业务流水!$C$5:$C$1504,$A30,业务流水!$Z$5:$Z$1504,"是"))</f>
        <v>2129.4</v>
      </c>
      <c r="I30" s="41" t="n">
        <f aca="false">IF($A30="","",SUMIFS(业务流水!$H$5:$H$1504,业务流水!$E$5:$E$1504,"*",业务流水!$D$5:$D$1504,"已交税",业务流水!$C$5:$C$1504,$A30,业务流水!$Z$5:$Z$1504,"是"))</f>
        <v>0</v>
      </c>
      <c r="J30" s="42" t="n">
        <f aca="false">IF($A30="","",$H30-$I30)</f>
        <v>2129.4</v>
      </c>
      <c r="K30" s="41" t="n">
        <f aca="false">IF($A30="","",SUMIFS(业务流水!$H$5:$H$1504,业务流水!$F$5:$F$1504,"*",业务流水!$D$5:$D$1504,"挂靠代收",业务流水!$C$5:$C$1504,$A30,业务流水!$Z$5:$Z$1504,"是"))</f>
        <v>0</v>
      </c>
      <c r="L30" s="42" t="n">
        <f aca="false">IF($A30="","",$C30-$K30)</f>
        <v>44523.39</v>
      </c>
      <c r="M30" s="41" t="n">
        <f aca="false">IF($A30="","",SUMIFS(业务流水!$H$5:$H$1504,业务流水!$E$5:$E$1504,"*",业务流水!$D$5:$D$1504,"我方收款",业务流水!$C$5:$C$1504,$A30,业务流水!$Z$5:$Z$1504,"是"))</f>
        <v>0</v>
      </c>
      <c r="N30" s="43" t="n">
        <f aca="false">IF($A30="","",$K30-$M30)</f>
        <v>0</v>
      </c>
      <c r="O30" s="41" t="n">
        <f aca="false">IF($A30="","",SUMIFS(业务流水!$H$5:$H$1504,业务流水!$F$5:$F$1504,"*",业务流水!$D$5:$D$1504,"管理费结算",业务流水!$C$5:$C$1504,$A30,业务流水!$Z$5:$Z$1504,"是"))</f>
        <v>0</v>
      </c>
      <c r="P30" s="41" t="n">
        <f aca="false">IF($A30="","",SUMIFS(业务流水!$H$5:$H$1504,业务流水!$E$5:$E$1504,"*",业务流水!$D$5:$D$1504,"扣质保金",业务流水!$C$5:$C$1504,$A30,业务流水!$Z$5:$Z$1504,"是"))</f>
        <v>0</v>
      </c>
    </row>
    <row r="31" customFormat="false" ht="15.75" hidden="false" customHeight="true" outlineLevel="0" collapsed="false">
      <c r="A31" s="32" t="str">
        <f aca="false">IF(项目档案!$A31="","",项目档案!$A31)</f>
        <v>A026</v>
      </c>
      <c r="B31" s="40" t="str">
        <f aca="false">IF($A31="","",项目档案!$B31)</f>
        <v>重庆铜梁10kV梧桐村4.5.6社台区重过载治理工程等23个项目(2025年配网6批、业扩5批民能施工)(重庆铜梁10kV侣新线铜安9社台区重过载治理工程)</v>
      </c>
      <c r="C31" s="41" t="n">
        <f aca="false">IF($A31="","",SUMIFS(业务流水!$H$5:$H$1504,业务流水!$E$5:$E$1504,"*",业务流水!$D$5:$D$1504,"销项开票",业务流水!$C$5:$C$1504,$A31,业务流水!$Z$5:$Z$1504,"是"))</f>
        <v>36431.6</v>
      </c>
      <c r="D31" s="41" t="n">
        <f aca="false">IF($A31="","",SUMIFS(业务流水!$O$5:$O$1504,业务流水!$E$5:$E$1504,"*",业务流水!$D$5:$D$1504,"销项开票",业务流水!$C$5:$C$1504,$A31,业务流水!$Z$5:$Z$1504,"是"))</f>
        <v>1289.11</v>
      </c>
      <c r="E31" s="41" t="n">
        <f aca="false">IF($A31="","",SUMIFS(业务流水!$P$5:$P$1504,业务流水!$E$5:$E$1504,"*",业务流水!$D$5:$D$1504,"销项开票",业务流水!$C$5:$C$1504,$A31,业务流水!$Z$5:$Z$1504,"是"))</f>
        <v>35142.49</v>
      </c>
      <c r="F31" s="41" t="n">
        <f aca="false">IF($A31="","",SUMIFS(业务流水!$H$5:$H$1504,业务流水!$F$5:$F$1504,"*",业务流水!$D$5:$D$1504,"成本票",业务流水!$C$5:$C$1504,$A31,业务流水!$Z$5:$Z$1504,"是")+SUMIFS(业务流水!$H$5:$H$1504,业务流水!$F$5:$F$1504,"*",业务流水!$D$5:$D$1504,"销项开票",业务流水!$C$5:$C$1504,$A31,业务流水!$Z$5:$Z$1504,"是"))</f>
        <v>36431.6</v>
      </c>
      <c r="G31" s="42" t="n">
        <f aca="false">IF($A31="","",$E31-$F31)</f>
        <v>-1289.11</v>
      </c>
      <c r="H31" s="41" t="n">
        <f aca="false">IF($A31="","",SUMIFS(业务流水!$W$5:$W$1504,业务流水!$E$5:$E$1504,"*",业务流水!$D$5:$D$1504,"销项开票",业务流水!$C$5:$C$1504,$A31,业务流水!$Z$5:$Z$1504,"是"))</f>
        <v>1742.39</v>
      </c>
      <c r="I31" s="41" t="n">
        <f aca="false">IF($A31="","",SUMIFS(业务流水!$H$5:$H$1504,业务流水!$E$5:$E$1504,"*",业务流水!$D$5:$D$1504,"已交税",业务流水!$C$5:$C$1504,$A31,业务流水!$Z$5:$Z$1504,"是"))</f>
        <v>0</v>
      </c>
      <c r="J31" s="42" t="n">
        <f aca="false">IF($A31="","",$H31-$I31)</f>
        <v>1742.39</v>
      </c>
      <c r="K31" s="41" t="n">
        <f aca="false">IF($A31="","",SUMIFS(业务流水!$H$5:$H$1504,业务流水!$F$5:$F$1504,"*",业务流水!$D$5:$D$1504,"挂靠代收",业务流水!$C$5:$C$1504,$A31,业务流水!$Z$5:$Z$1504,"是"))</f>
        <v>0</v>
      </c>
      <c r="L31" s="42" t="n">
        <f aca="false">IF($A31="","",$C31-$K31)</f>
        <v>36431.6</v>
      </c>
      <c r="M31" s="41" t="n">
        <f aca="false">IF($A31="","",SUMIFS(业务流水!$H$5:$H$1504,业务流水!$E$5:$E$1504,"*",业务流水!$D$5:$D$1504,"我方收款",业务流水!$C$5:$C$1504,$A31,业务流水!$Z$5:$Z$1504,"是"))</f>
        <v>0</v>
      </c>
      <c r="N31" s="43" t="n">
        <f aca="false">IF($A31="","",$K31-$M31)</f>
        <v>0</v>
      </c>
      <c r="O31" s="41" t="n">
        <f aca="false">IF($A31="","",SUMIFS(业务流水!$H$5:$H$1504,业务流水!$F$5:$F$1504,"*",业务流水!$D$5:$D$1504,"管理费结算",业务流水!$C$5:$C$1504,$A31,业务流水!$Z$5:$Z$1504,"是"))</f>
        <v>0</v>
      </c>
      <c r="P31" s="41" t="n">
        <f aca="false">IF($A31="","",SUMIFS(业务流水!$H$5:$H$1504,业务流水!$E$5:$E$1504,"*",业务流水!$D$5:$D$1504,"扣质保金",业务流水!$C$5:$C$1504,$A31,业务流水!$Z$5:$Z$1504,"是"))</f>
        <v>0</v>
      </c>
    </row>
    <row r="32" customFormat="false" ht="15.75" hidden="false" customHeight="true" outlineLevel="0" collapsed="false">
      <c r="A32" s="32" t="str">
        <f aca="false">IF(项目档案!$A32="","",项目档案!$A32)</f>
        <v>A027</v>
      </c>
      <c r="B32" s="40" t="str">
        <f aca="false">IF($A32="","",项目档案!$B32)</f>
        <v>重庆铜梁10kV梧桐村4.5.6社台区重过载治理工程等23个项目(2025年配网6批、业扩5批民能施工)(重庆铜梁10kV平双线群益7社台区重过载治理工程)</v>
      </c>
      <c r="C32" s="41" t="n">
        <f aca="false">IF($A32="","",SUMIFS(业务流水!$H$5:$H$1504,业务流水!$E$5:$E$1504,"*",业务流水!$D$5:$D$1504,"销项开票",业务流水!$C$5:$C$1504,$A32,业务流水!$Z$5:$Z$1504,"是"))</f>
        <v>9097.78</v>
      </c>
      <c r="D32" s="41" t="n">
        <f aca="false">IF($A32="","",SUMIFS(业务流水!$O$5:$O$1504,业务流水!$E$5:$E$1504,"*",业务流水!$D$5:$D$1504,"销项开票",业务流水!$C$5:$C$1504,$A32,业务流水!$Z$5:$Z$1504,"是"))</f>
        <v>321.93</v>
      </c>
      <c r="E32" s="41" t="n">
        <f aca="false">IF($A32="","",SUMIFS(业务流水!$P$5:$P$1504,业务流水!$E$5:$E$1504,"*",业务流水!$D$5:$D$1504,"销项开票",业务流水!$C$5:$C$1504,$A32,业务流水!$Z$5:$Z$1504,"是"))</f>
        <v>8775.85</v>
      </c>
      <c r="F32" s="41" t="n">
        <f aca="false">IF($A32="","",SUMIFS(业务流水!$H$5:$H$1504,业务流水!$F$5:$F$1504,"*",业务流水!$D$5:$D$1504,"成本票",业务流水!$C$5:$C$1504,$A32,业务流水!$Z$5:$Z$1504,"是")+SUMIFS(业务流水!$H$5:$H$1504,业务流水!$F$5:$F$1504,"*",业务流水!$D$5:$D$1504,"销项开票",业务流水!$C$5:$C$1504,$A32,业务流水!$Z$5:$Z$1504,"是"))</f>
        <v>9097.78</v>
      </c>
      <c r="G32" s="42" t="n">
        <f aca="false">IF($A32="","",$E32-$F32)</f>
        <v>-321.929999999999</v>
      </c>
      <c r="H32" s="41" t="n">
        <f aca="false">IF($A32="","",SUMIFS(业务流水!$W$5:$W$1504,业务流水!$E$5:$E$1504,"*",业务流水!$D$5:$D$1504,"销项开票",业务流水!$C$5:$C$1504,$A32,业务流水!$Z$5:$Z$1504,"是"))</f>
        <v>435.12</v>
      </c>
      <c r="I32" s="41" t="n">
        <f aca="false">IF($A32="","",SUMIFS(业务流水!$H$5:$H$1504,业务流水!$E$5:$E$1504,"*",业务流水!$D$5:$D$1504,"已交税",业务流水!$C$5:$C$1504,$A32,业务流水!$Z$5:$Z$1504,"是"))</f>
        <v>0</v>
      </c>
      <c r="J32" s="42" t="n">
        <f aca="false">IF($A32="","",$H32-$I32)</f>
        <v>435.12</v>
      </c>
      <c r="K32" s="41" t="n">
        <f aca="false">IF($A32="","",SUMIFS(业务流水!$H$5:$H$1504,业务流水!$F$5:$F$1504,"*",业务流水!$D$5:$D$1504,"挂靠代收",业务流水!$C$5:$C$1504,$A32,业务流水!$Z$5:$Z$1504,"是"))</f>
        <v>0</v>
      </c>
      <c r="L32" s="42" t="n">
        <f aca="false">IF($A32="","",$C32-$K32)</f>
        <v>9097.78</v>
      </c>
      <c r="M32" s="41" t="n">
        <f aca="false">IF($A32="","",SUMIFS(业务流水!$H$5:$H$1504,业务流水!$E$5:$E$1504,"*",业务流水!$D$5:$D$1504,"我方收款",业务流水!$C$5:$C$1504,$A32,业务流水!$Z$5:$Z$1504,"是"))</f>
        <v>0</v>
      </c>
      <c r="N32" s="43" t="n">
        <f aca="false">IF($A32="","",$K32-$M32)</f>
        <v>0</v>
      </c>
      <c r="O32" s="41" t="n">
        <f aca="false">IF($A32="","",SUMIFS(业务流水!$H$5:$H$1504,业务流水!$F$5:$F$1504,"*",业务流水!$D$5:$D$1504,"管理费结算",业务流水!$C$5:$C$1504,$A32,业务流水!$Z$5:$Z$1504,"是"))</f>
        <v>0</v>
      </c>
      <c r="P32" s="41" t="n">
        <f aca="false">IF($A32="","",SUMIFS(业务流水!$H$5:$H$1504,业务流水!$E$5:$E$1504,"*",业务流水!$D$5:$D$1504,"扣质保金",业务流水!$C$5:$C$1504,$A32,业务流水!$Z$5:$Z$1504,"是"))</f>
        <v>0</v>
      </c>
    </row>
    <row r="33" customFormat="false" ht="15.75" hidden="false" customHeight="true" outlineLevel="0" collapsed="false">
      <c r="A33" s="32" t="str">
        <f aca="false">IF(项目档案!$A33="","",项目档案!$A33)</f>
        <v>A028</v>
      </c>
      <c r="B33" s="40" t="str">
        <f aca="false">IF($A33="","",项目档案!$B33)</f>
        <v>重庆铜梁10kV梧桐村4.5.6社台区重过载治理工程等23个项目(2025年配网6批、业扩5批民能施工)(重庆铜梁10kV平镇线新桥社台区重过载治理工程)</v>
      </c>
      <c r="C33" s="41" t="n">
        <f aca="false">IF($A33="","",SUMIFS(业务流水!$H$5:$H$1504,业务流水!$E$5:$E$1504,"*",业务流水!$D$5:$D$1504,"销项开票",业务流水!$C$5:$C$1504,$A33,业务流水!$Z$5:$Z$1504,"是"))</f>
        <v>22231.91</v>
      </c>
      <c r="D33" s="41" t="n">
        <f aca="false">IF($A33="","",SUMIFS(业务流水!$O$5:$O$1504,业务流水!$E$5:$E$1504,"*",业务流水!$D$5:$D$1504,"销项开票",业务流水!$C$5:$C$1504,$A33,业务流水!$Z$5:$Z$1504,"是"))</f>
        <v>786.67</v>
      </c>
      <c r="E33" s="41" t="n">
        <f aca="false">IF($A33="","",SUMIFS(业务流水!$P$5:$P$1504,业务流水!$E$5:$E$1504,"*",业务流水!$D$5:$D$1504,"销项开票",业务流水!$C$5:$C$1504,$A33,业务流水!$Z$5:$Z$1504,"是"))</f>
        <v>21445.24</v>
      </c>
      <c r="F33" s="41" t="n">
        <f aca="false">IF($A33="","",SUMIFS(业务流水!$H$5:$H$1504,业务流水!$F$5:$F$1504,"*",业务流水!$D$5:$D$1504,"成本票",业务流水!$C$5:$C$1504,$A33,业务流水!$Z$5:$Z$1504,"是")+SUMIFS(业务流水!$H$5:$H$1504,业务流水!$F$5:$F$1504,"*",业务流水!$D$5:$D$1504,"销项开票",业务流水!$C$5:$C$1504,$A33,业务流水!$Z$5:$Z$1504,"是"))</f>
        <v>22231.91</v>
      </c>
      <c r="G33" s="42" t="n">
        <f aca="false">IF($A33="","",$E33-$F33)</f>
        <v>-786.670000000002</v>
      </c>
      <c r="H33" s="41" t="n">
        <f aca="false">IF($A33="","",SUMIFS(业务流水!$W$5:$W$1504,业务流水!$E$5:$E$1504,"*",业务流水!$D$5:$D$1504,"销项开票",业务流水!$C$5:$C$1504,$A33,业务流水!$Z$5:$Z$1504,"是"))</f>
        <v>1063.27</v>
      </c>
      <c r="I33" s="41" t="n">
        <f aca="false">IF($A33="","",SUMIFS(业务流水!$H$5:$H$1504,业务流水!$E$5:$E$1504,"*",业务流水!$D$5:$D$1504,"已交税",业务流水!$C$5:$C$1504,$A33,业务流水!$Z$5:$Z$1504,"是"))</f>
        <v>0</v>
      </c>
      <c r="J33" s="42" t="n">
        <f aca="false">IF($A33="","",$H33-$I33)</f>
        <v>1063.27</v>
      </c>
      <c r="K33" s="41" t="n">
        <f aca="false">IF($A33="","",SUMIFS(业务流水!$H$5:$H$1504,业务流水!$F$5:$F$1504,"*",业务流水!$D$5:$D$1504,"挂靠代收",业务流水!$C$5:$C$1504,$A33,业务流水!$Z$5:$Z$1504,"是"))</f>
        <v>0</v>
      </c>
      <c r="L33" s="42" t="n">
        <f aca="false">IF($A33="","",$C33-$K33)</f>
        <v>22231.91</v>
      </c>
      <c r="M33" s="41" t="n">
        <f aca="false">IF($A33="","",SUMIFS(业务流水!$H$5:$H$1504,业务流水!$E$5:$E$1504,"*",业务流水!$D$5:$D$1504,"我方收款",业务流水!$C$5:$C$1504,$A33,业务流水!$Z$5:$Z$1504,"是"))</f>
        <v>0</v>
      </c>
      <c r="N33" s="43" t="n">
        <f aca="false">IF($A33="","",$K33-$M33)</f>
        <v>0</v>
      </c>
      <c r="O33" s="41" t="n">
        <f aca="false">IF($A33="","",SUMIFS(业务流水!$H$5:$H$1504,业务流水!$F$5:$F$1504,"*",业务流水!$D$5:$D$1504,"管理费结算",业务流水!$C$5:$C$1504,$A33,业务流水!$Z$5:$Z$1504,"是"))</f>
        <v>0</v>
      </c>
      <c r="P33" s="41" t="n">
        <f aca="false">IF($A33="","",SUMIFS(业务流水!$H$5:$H$1504,业务流水!$E$5:$E$1504,"*",业务流水!$D$5:$D$1504,"扣质保金",业务流水!$C$5:$C$1504,$A33,业务流水!$Z$5:$Z$1504,"是"))</f>
        <v>0</v>
      </c>
    </row>
    <row r="34" customFormat="false" ht="15.75" hidden="false" customHeight="true" outlineLevel="0" collapsed="false">
      <c r="A34" s="32" t="str">
        <f aca="false">IF(项目档案!$A34="","",项目档案!$A34)</f>
        <v>A029</v>
      </c>
      <c r="B34" s="40" t="str">
        <f aca="false">IF($A34="","",项目档案!$B34)</f>
        <v>重庆铜梁10kV梧桐村4.5.6社台区重过载治理工程等23个项目(2025年配网6批、业扩5批德誉佳施工)(重庆铜梁10kV侣新线铜安1社台区重过载治理工程)</v>
      </c>
      <c r="C34" s="41" t="n">
        <f aca="false">IF($A34="","",SUMIFS(业务流水!$H$5:$H$1504,业务流水!$E$5:$E$1504,"*",业务流水!$D$5:$D$1504,"销项开票",业务流水!$C$5:$C$1504,$A34,业务流水!$Z$5:$Z$1504,"是"))</f>
        <v>15456.64</v>
      </c>
      <c r="D34" s="41" t="n">
        <f aca="false">IF($A34="","",SUMIFS(业务流水!$O$5:$O$1504,业务流水!$E$5:$E$1504,"*",业务流水!$D$5:$D$1504,"销项开票",业务流水!$C$5:$C$1504,$A34,业务流水!$Z$5:$Z$1504,"是"))</f>
        <v>1006.44</v>
      </c>
      <c r="E34" s="41" t="n">
        <f aca="false">IF($A34="","",SUMIFS(业务流水!$P$5:$P$1504,业务流水!$E$5:$E$1504,"*",业务流水!$D$5:$D$1504,"销项开票",业务流水!$C$5:$C$1504,$A34,业务流水!$Z$5:$Z$1504,"是"))</f>
        <v>14450.2</v>
      </c>
      <c r="F34" s="41" t="n">
        <f aca="false">IF($A34="","",SUMIFS(业务流水!$H$5:$H$1504,业务流水!$F$5:$F$1504,"*",业务流水!$D$5:$D$1504,"成本票",业务流水!$C$5:$C$1504,$A34,业务流水!$Z$5:$Z$1504,"是")+SUMIFS(业务流水!$H$5:$H$1504,业务流水!$F$5:$F$1504,"*",业务流水!$D$5:$D$1504,"销项开票",业务流水!$C$5:$C$1504,$A34,业务流水!$Z$5:$Z$1504,"是"))</f>
        <v>15456.64</v>
      </c>
      <c r="G34" s="42" t="n">
        <f aca="false">IF($A34="","",$E34-$F34)</f>
        <v>-1006.44</v>
      </c>
      <c r="H34" s="41" t="n">
        <f aca="false">IF($A34="","",SUMIFS(业务流水!$W$5:$W$1504,业务流水!$E$5:$E$1504,"*",业务流水!$D$5:$D$1504,"销项开票",业务流水!$C$5:$C$1504,$A34,业务流水!$Z$5:$Z$1504,"是"))</f>
        <v>355.21</v>
      </c>
      <c r="I34" s="41" t="n">
        <f aca="false">IF($A34="","",SUMIFS(业务流水!$H$5:$H$1504,业务流水!$E$5:$E$1504,"*",业务流水!$D$5:$D$1504,"已交税",业务流水!$C$5:$C$1504,$A34,业务流水!$Z$5:$Z$1504,"是"))</f>
        <v>0</v>
      </c>
      <c r="J34" s="42" t="n">
        <f aca="false">IF($A34="","",$H34-$I34)</f>
        <v>355.21</v>
      </c>
      <c r="K34" s="41" t="n">
        <f aca="false">IF($A34="","",SUMIFS(业务流水!$H$5:$H$1504,业务流水!$F$5:$F$1504,"*",业务流水!$D$5:$D$1504,"挂靠代收",业务流水!$C$5:$C$1504,$A34,业务流水!$Z$5:$Z$1504,"是"))</f>
        <v>9704.24</v>
      </c>
      <c r="L34" s="42" t="n">
        <f aca="false">IF($A34="","",$C34-$K34)</f>
        <v>5752.4</v>
      </c>
      <c r="M34" s="41" t="n">
        <f aca="false">IF($A34="","",SUMIFS(业务流水!$H$5:$H$1504,业务流水!$E$5:$E$1504,"*",业务流水!$D$5:$D$1504,"我方收款",业务流水!$C$5:$C$1504,$A34,业务流水!$Z$5:$Z$1504,"是"))</f>
        <v>0</v>
      </c>
      <c r="N34" s="43" t="n">
        <f aca="false">IF($A34="","",$K34-$M34)</f>
        <v>9704.24</v>
      </c>
      <c r="O34" s="41" t="n">
        <f aca="false">IF($A34="","",SUMIFS(业务流水!$H$5:$H$1504,业务流水!$F$5:$F$1504,"*",业务流水!$D$5:$D$1504,"管理费结算",业务流水!$C$5:$C$1504,$A34,业务流水!$Z$5:$Z$1504,"是"))</f>
        <v>0</v>
      </c>
      <c r="P34" s="41" t="n">
        <f aca="false">IF($A34="","",SUMIFS(业务流水!$H$5:$H$1504,业务流水!$E$5:$E$1504,"*",业务流水!$D$5:$D$1504,"扣质保金",业务流水!$C$5:$C$1504,$A34,业务流水!$Z$5:$Z$1504,"是"))</f>
        <v>0</v>
      </c>
    </row>
    <row r="35" customFormat="false" ht="15.75" hidden="false" customHeight="true" outlineLevel="0" collapsed="false">
      <c r="A35" s="32" t="str">
        <f aca="false">IF(项目档案!$A35="","",项目档案!$A35)</f>
        <v>A030</v>
      </c>
      <c r="B35" s="40" t="str">
        <f aca="false">IF($A35="","",项目档案!$B35)</f>
        <v>重庆铜梁10kV梧桐村4.5.6社台区重过载治理工程等23个项目(2025年配网6批、业扩5批德誉佳施工)(重庆铜梁10kV侣新线铜安9社台区重过载治理工程)</v>
      </c>
      <c r="C35" s="41" t="n">
        <f aca="false">IF($A35="","",SUMIFS(业务流水!$H$5:$H$1504,业务流水!$E$5:$E$1504,"*",业务流水!$D$5:$D$1504,"销项开票",业务流水!$C$5:$C$1504,$A35,业务流水!$Z$5:$Z$1504,"是"))</f>
        <v>12833.91</v>
      </c>
      <c r="D35" s="41" t="n">
        <f aca="false">IF($A35="","",SUMIFS(业务流水!$O$5:$O$1504,业务流水!$E$5:$E$1504,"*",业务流水!$D$5:$D$1504,"销项开票",业务流水!$C$5:$C$1504,$A35,业务流水!$Z$5:$Z$1504,"是"))</f>
        <v>872.27</v>
      </c>
      <c r="E35" s="41" t="n">
        <f aca="false">IF($A35="","",SUMIFS(业务流水!$P$5:$P$1504,业务流水!$E$5:$E$1504,"*",业务流水!$D$5:$D$1504,"销项开票",业务流水!$C$5:$C$1504,$A35,业务流水!$Z$5:$Z$1504,"是"))</f>
        <v>11961.64</v>
      </c>
      <c r="F35" s="41" t="n">
        <f aca="false">IF($A35="","",SUMIFS(业务流水!$H$5:$H$1504,业务流水!$F$5:$F$1504,"*",业务流水!$D$5:$D$1504,"成本票",业务流水!$C$5:$C$1504,$A35,业务流水!$Z$5:$Z$1504,"是")+SUMIFS(业务流水!$H$5:$H$1504,业务流水!$F$5:$F$1504,"*",业务流水!$D$5:$D$1504,"销项开票",业务流水!$C$5:$C$1504,$A35,业务流水!$Z$5:$Z$1504,"是"))</f>
        <v>12833.91</v>
      </c>
      <c r="G35" s="42" t="n">
        <f aca="false">IF($A35="","",$E35-$F35)</f>
        <v>-872.27</v>
      </c>
      <c r="H35" s="41" t="n">
        <f aca="false">IF($A35="","",SUMIFS(业务流水!$W$5:$W$1504,业务流水!$E$5:$E$1504,"*",业务流水!$D$5:$D$1504,"销项开票",业务流水!$C$5:$C$1504,$A35,业务流水!$Z$5:$Z$1504,"是"))</f>
        <v>238.42</v>
      </c>
      <c r="I35" s="41" t="n">
        <f aca="false">IF($A35="","",SUMIFS(业务流水!$H$5:$H$1504,业务流水!$E$5:$E$1504,"*",业务流水!$D$5:$D$1504,"已交税",业务流水!$C$5:$C$1504,$A35,业务流水!$Z$5:$Z$1504,"是"))</f>
        <v>0</v>
      </c>
      <c r="J35" s="42" t="n">
        <f aca="false">IF($A35="","",$H35-$I35)</f>
        <v>238.42</v>
      </c>
      <c r="K35" s="41" t="n">
        <f aca="false">IF($A35="","",SUMIFS(业务流水!$H$5:$H$1504,业务流水!$F$5:$F$1504,"*",业务流水!$D$5:$D$1504,"挂靠代收",业务流水!$C$5:$C$1504,$A35,业务流水!$Z$5:$Z$1504,"是"))</f>
        <v>0</v>
      </c>
      <c r="L35" s="42" t="n">
        <f aca="false">IF($A35="","",$C35-$K35)</f>
        <v>12833.91</v>
      </c>
      <c r="M35" s="41" t="n">
        <f aca="false">IF($A35="","",SUMIFS(业务流水!$H$5:$H$1504,业务流水!$E$5:$E$1504,"*",业务流水!$D$5:$D$1504,"我方收款",业务流水!$C$5:$C$1504,$A35,业务流水!$Z$5:$Z$1504,"是"))</f>
        <v>0</v>
      </c>
      <c r="N35" s="43" t="n">
        <f aca="false">IF($A35="","",$K35-$M35)</f>
        <v>0</v>
      </c>
      <c r="O35" s="41" t="n">
        <f aca="false">IF($A35="","",SUMIFS(业务流水!$H$5:$H$1504,业务流水!$F$5:$F$1504,"*",业务流水!$D$5:$D$1504,"管理费结算",业务流水!$C$5:$C$1504,$A35,业务流水!$Z$5:$Z$1504,"是"))</f>
        <v>0</v>
      </c>
      <c r="P35" s="41" t="n">
        <f aca="false">IF($A35="","",SUMIFS(业务流水!$H$5:$H$1504,业务流水!$E$5:$E$1504,"*",业务流水!$D$5:$D$1504,"扣质保金",业务流水!$C$5:$C$1504,$A35,业务流水!$Z$5:$Z$1504,"是"))</f>
        <v>0</v>
      </c>
    </row>
    <row r="36" customFormat="false" ht="15.75" hidden="false" customHeight="true" outlineLevel="0" collapsed="false">
      <c r="A36" s="32" t="str">
        <f aca="false">IF(项目档案!$A36="","",项目档案!$A36)</f>
        <v>A031</v>
      </c>
      <c r="B36" s="40" t="str">
        <f aca="false">IF($A36="","",项目档案!$B36)</f>
        <v>重庆铜梁10kV梧桐村4.5.6社台区重过载治理工程等23个项目(2025年配网6批、业扩5批德誉佳施工)(重庆铜梁10kV平双线群益7社台区重过载治理工程)</v>
      </c>
      <c r="C36" s="41" t="n">
        <f aca="false">IF($A36="","",SUMIFS(业务流水!$H$5:$H$1504,业务流水!$E$5:$E$1504,"*",业务流水!$D$5:$D$1504,"销项开票",业务流水!$C$5:$C$1504,$A36,业务流水!$Z$5:$Z$1504,"是"))</f>
        <v>3672.15</v>
      </c>
      <c r="D36" s="41" t="n">
        <f aca="false">IF($A36="","",SUMIFS(业务流水!$O$5:$O$1504,业务流水!$E$5:$E$1504,"*",业务流水!$D$5:$D$1504,"销项开票",业务流水!$C$5:$C$1504,$A36,业务流水!$Z$5:$Z$1504,"是"))</f>
        <v>229.16</v>
      </c>
      <c r="E36" s="41" t="n">
        <f aca="false">IF($A36="","",SUMIFS(业务流水!$P$5:$P$1504,业务流水!$E$5:$E$1504,"*",业务流水!$D$5:$D$1504,"销项开票",业务流水!$C$5:$C$1504,$A36,业务流水!$Z$5:$Z$1504,"是"))</f>
        <v>3442.99</v>
      </c>
      <c r="F36" s="41" t="n">
        <f aca="false">IF($A36="","",SUMIFS(业务流水!$H$5:$H$1504,业务流水!$F$5:$F$1504,"*",业务流水!$D$5:$D$1504,"成本票",业务流水!$C$5:$C$1504,$A36,业务流水!$Z$5:$Z$1504,"是")+SUMIFS(业务流水!$H$5:$H$1504,业务流水!$F$5:$F$1504,"*",业务流水!$D$5:$D$1504,"销项开票",业务流水!$C$5:$C$1504,$A36,业务流水!$Z$5:$Z$1504,"是"))</f>
        <v>3672.15</v>
      </c>
      <c r="G36" s="42" t="n">
        <f aca="false">IF($A36="","",$E36-$F36)</f>
        <v>-229.16</v>
      </c>
      <c r="H36" s="41" t="n">
        <f aca="false">IF($A36="","",SUMIFS(业务流水!$W$5:$W$1504,业务流水!$E$5:$E$1504,"*",业务流水!$D$5:$D$1504,"销项开票",业务流水!$C$5:$C$1504,$A36,业务流水!$Z$5:$Z$1504,"是"))</f>
        <v>99.75</v>
      </c>
      <c r="I36" s="41" t="n">
        <f aca="false">IF($A36="","",SUMIFS(业务流水!$H$5:$H$1504,业务流水!$E$5:$E$1504,"*",业务流水!$D$5:$D$1504,"已交税",业务流水!$C$5:$C$1504,$A36,业务流水!$Z$5:$Z$1504,"是"))</f>
        <v>0</v>
      </c>
      <c r="J36" s="42" t="n">
        <f aca="false">IF($A36="","",$H36-$I36)</f>
        <v>99.75</v>
      </c>
      <c r="K36" s="41" t="n">
        <f aca="false">IF($A36="","",SUMIFS(业务流水!$H$5:$H$1504,业务流水!$F$5:$F$1504,"*",业务流水!$D$5:$D$1504,"挂靠代收",业务流水!$C$5:$C$1504,$A36,业务流水!$Z$5:$Z$1504,"是"))</f>
        <v>2056.75</v>
      </c>
      <c r="L36" s="42" t="n">
        <f aca="false">IF($A36="","",$C36-$K36)</f>
        <v>1615.4</v>
      </c>
      <c r="M36" s="41" t="n">
        <f aca="false">IF($A36="","",SUMIFS(业务流水!$H$5:$H$1504,业务流水!$E$5:$E$1504,"*",业务流水!$D$5:$D$1504,"我方收款",业务流水!$C$5:$C$1504,$A36,业务流水!$Z$5:$Z$1504,"是"))</f>
        <v>0</v>
      </c>
      <c r="N36" s="43" t="n">
        <f aca="false">IF($A36="","",$K36-$M36)</f>
        <v>2056.75</v>
      </c>
      <c r="O36" s="41" t="n">
        <f aca="false">IF($A36="","",SUMIFS(业务流水!$H$5:$H$1504,业务流水!$F$5:$F$1504,"*",业务流水!$D$5:$D$1504,"管理费结算",业务流水!$C$5:$C$1504,$A36,业务流水!$Z$5:$Z$1504,"是"))</f>
        <v>0</v>
      </c>
      <c r="P36" s="41" t="n">
        <f aca="false">IF($A36="","",SUMIFS(业务流水!$H$5:$H$1504,业务流水!$E$5:$E$1504,"*",业务流水!$D$5:$D$1504,"扣质保金",业务流水!$C$5:$C$1504,$A36,业务流水!$Z$5:$Z$1504,"是"))</f>
        <v>0</v>
      </c>
    </row>
    <row r="37" customFormat="false" ht="15.75" hidden="false" customHeight="true" outlineLevel="0" collapsed="false">
      <c r="A37" s="32" t="str">
        <f aca="false">IF(项目档案!$A37="","",项目档案!$A37)</f>
        <v>A032</v>
      </c>
      <c r="B37" s="40" t="str">
        <f aca="false">IF($A37="","",项目档案!$B37)</f>
        <v>重庆铜梁10kV梧桐村4.5.6社台区重过载治理工程等23个项目(2025年配网6批、业扩5批德誉佳施工)(重庆铜梁10kV平镇线新桥社台区重过载治理工程)</v>
      </c>
      <c r="C37" s="41" t="n">
        <f aca="false">IF($A37="","",SUMIFS(业务流水!$H$5:$H$1504,业务流水!$E$5:$E$1504,"*",业务流水!$D$5:$D$1504,"销项开票",业务流水!$C$5:$C$1504,$A37,业务流水!$Z$5:$Z$1504,"是"))</f>
        <v>7864.38</v>
      </c>
      <c r="D37" s="41" t="n">
        <f aca="false">IF($A37="","",SUMIFS(业务流水!$O$5:$O$1504,业务流水!$E$5:$E$1504,"*",业务流水!$D$5:$D$1504,"销项开票",业务流水!$C$5:$C$1504,$A37,业务流水!$Z$5:$Z$1504,"是"))</f>
        <v>539.32</v>
      </c>
      <c r="E37" s="41" t="n">
        <f aca="false">IF($A37="","",SUMIFS(业务流水!$P$5:$P$1504,业务流水!$E$5:$E$1504,"*",业务流水!$D$5:$D$1504,"销项开票",业务流水!$C$5:$C$1504,$A37,业务流水!$Z$5:$Z$1504,"是"))</f>
        <v>7325.06</v>
      </c>
      <c r="F37" s="41" t="n">
        <f aca="false">IF($A37="","",SUMIFS(业务流水!$H$5:$H$1504,业务流水!$F$5:$F$1504,"*",业务流水!$D$5:$D$1504,"成本票",业务流水!$C$5:$C$1504,$A37,业务流水!$Z$5:$Z$1504,"是")+SUMIFS(业务流水!$H$5:$H$1504,业务流水!$F$5:$F$1504,"*",业务流水!$D$5:$D$1504,"销项开票",业务流水!$C$5:$C$1504,$A37,业务流水!$Z$5:$Z$1504,"是"))</f>
        <v>7864.38</v>
      </c>
      <c r="G37" s="42" t="n">
        <f aca="false">IF($A37="","",$E37-$F37)</f>
        <v>-539.320000000001</v>
      </c>
      <c r="H37" s="41" t="n">
        <f aca="false">IF($A37="","",SUMIFS(业务流水!$W$5:$W$1504,业务流水!$E$5:$E$1504,"*",业务流水!$D$5:$D$1504,"销项开票",业务流水!$C$5:$C$1504,$A37,业务流水!$Z$5:$Z$1504,"是"))</f>
        <v>138.68</v>
      </c>
      <c r="I37" s="41" t="n">
        <f aca="false">IF($A37="","",SUMIFS(业务流水!$H$5:$H$1504,业务流水!$E$5:$E$1504,"*",业务流水!$D$5:$D$1504,"已交税",业务流水!$C$5:$C$1504,$A37,业务流水!$Z$5:$Z$1504,"是"))</f>
        <v>0</v>
      </c>
      <c r="J37" s="42" t="n">
        <f aca="false">IF($A37="","",$H37-$I37)</f>
        <v>138.68</v>
      </c>
      <c r="K37" s="41" t="n">
        <f aca="false">IF($A37="","",SUMIFS(业务流水!$H$5:$H$1504,业务流水!$F$5:$F$1504,"*",业务流水!$D$5:$D$1504,"挂靠代收",业务流水!$C$5:$C$1504,$A37,业务流水!$Z$5:$Z$1504,"是"))</f>
        <v>5618.58</v>
      </c>
      <c r="L37" s="42" t="n">
        <f aca="false">IF($A37="","",$C37-$K37)</f>
        <v>2245.8</v>
      </c>
      <c r="M37" s="41" t="n">
        <f aca="false">IF($A37="","",SUMIFS(业务流水!$H$5:$H$1504,业务流水!$E$5:$E$1504,"*",业务流水!$D$5:$D$1504,"我方收款",业务流水!$C$5:$C$1504,$A37,业务流水!$Z$5:$Z$1504,"是"))</f>
        <v>0</v>
      </c>
      <c r="N37" s="43" t="n">
        <f aca="false">IF($A37="","",$K37-$M37)</f>
        <v>5618.58</v>
      </c>
      <c r="O37" s="41" t="n">
        <f aca="false">IF($A37="","",SUMIFS(业务流水!$H$5:$H$1504,业务流水!$F$5:$F$1504,"*",业务流水!$D$5:$D$1504,"管理费结算",业务流水!$C$5:$C$1504,$A37,业务流水!$Z$5:$Z$1504,"是"))</f>
        <v>0</v>
      </c>
      <c r="P37" s="41" t="n">
        <f aca="false">IF($A37="","",SUMIFS(业务流水!$H$5:$H$1504,业务流水!$E$5:$E$1504,"*",业务流水!$D$5:$D$1504,"扣质保金",业务流水!$C$5:$C$1504,$A37,业务流水!$Z$5:$Z$1504,"是"))</f>
        <v>0</v>
      </c>
    </row>
    <row r="38" customFormat="false" ht="15.75" hidden="false" customHeight="true" outlineLevel="0" collapsed="false">
      <c r="A38" s="32" t="str">
        <f aca="false">IF(项目档案!$A38="","",项目档案!$A38)</f>
        <v>A033</v>
      </c>
      <c r="B38" s="40" t="str">
        <f aca="false">IF($A38="","",项目档案!$B38)</f>
        <v>重庆铜梁10kV梧桐村4.5.6社台区重过载治理工程等23个项目(2025年配网6批、业扩5批德誉佳施工）(重庆铜梁10kV侣新线凤飞7社台区重过载治理工程)</v>
      </c>
      <c r="C38" s="41" t="n">
        <f aca="false">IF($A38="","",SUMIFS(业务流水!$H$5:$H$1504,业务流水!$E$5:$E$1504,"*",业务流水!$D$5:$D$1504,"销项开票",业务流水!$C$5:$C$1504,$A38,业务流水!$Z$5:$Z$1504,"是"))</f>
        <v>8574.14</v>
      </c>
      <c r="D38" s="41" t="n">
        <f aca="false">IF($A38="","",SUMIFS(业务流水!$O$5:$O$1504,业务流水!$E$5:$E$1504,"*",业务流水!$D$5:$D$1504,"销项开票",业务流水!$C$5:$C$1504,$A38,业务流水!$Z$5:$Z$1504,"是"))</f>
        <v>596.1</v>
      </c>
      <c r="E38" s="41" t="n">
        <f aca="false">IF($A38="","",SUMIFS(业务流水!$P$5:$P$1504,业务流水!$E$5:$E$1504,"*",业务流水!$D$5:$D$1504,"销项开票",业务流水!$C$5:$C$1504,$A38,业务流水!$Z$5:$Z$1504,"是"))</f>
        <v>7978.04</v>
      </c>
      <c r="F38" s="41" t="n">
        <f aca="false">IF($A38="","",SUMIFS(业务流水!$H$5:$H$1504,业务流水!$F$5:$F$1504,"*",业务流水!$D$5:$D$1504,"成本票",业务流水!$C$5:$C$1504,$A38,业务流水!$Z$5:$Z$1504,"是")+SUMIFS(业务流水!$H$5:$H$1504,业务流水!$F$5:$F$1504,"*",业务流水!$D$5:$D$1504,"销项开票",业务流水!$C$5:$C$1504,$A38,业务流水!$Z$5:$Z$1504,"是"))</f>
        <v>8574.14</v>
      </c>
      <c r="G38" s="42" t="n">
        <f aca="false">IF($A38="","",$E38-$F38)</f>
        <v>-596.1</v>
      </c>
      <c r="H38" s="41" t="n">
        <f aca="false">IF($A38="","",SUMIFS(业务流水!$W$5:$W$1504,业务流水!$E$5:$E$1504,"*",业务流水!$D$5:$D$1504,"销项开票",业务流水!$C$5:$C$1504,$A38,业务流水!$Z$5:$Z$1504,"是"))</f>
        <v>138.68</v>
      </c>
      <c r="I38" s="41" t="n">
        <f aca="false">IF($A38="","",SUMIFS(业务流水!$H$5:$H$1504,业务流水!$E$5:$E$1504,"*",业务流水!$D$5:$D$1504,"已交税",业务流水!$C$5:$C$1504,$A38,业务流水!$Z$5:$Z$1504,"是"))</f>
        <v>0</v>
      </c>
      <c r="J38" s="42" t="n">
        <f aca="false">IF($A38="","",$H38-$I38)</f>
        <v>138.68</v>
      </c>
      <c r="K38" s="41" t="n">
        <f aca="false">IF($A38="","",SUMIFS(业务流水!$H$5:$H$1504,业务流水!$F$5:$F$1504,"*",业务流水!$D$5:$D$1504,"挂靠代收",业务流水!$C$5:$C$1504,$A38,业务流水!$Z$5:$Z$1504,"是"))</f>
        <v>6328.34</v>
      </c>
      <c r="L38" s="42" t="n">
        <f aca="false">IF($A38="","",$C38-$K38)</f>
        <v>2245.8</v>
      </c>
      <c r="M38" s="41" t="n">
        <f aca="false">IF($A38="","",SUMIFS(业务流水!$H$5:$H$1504,业务流水!$E$5:$E$1504,"*",业务流水!$D$5:$D$1504,"我方收款",业务流水!$C$5:$C$1504,$A38,业务流水!$Z$5:$Z$1504,"是"))</f>
        <v>0</v>
      </c>
      <c r="N38" s="43" t="n">
        <f aca="false">IF($A38="","",$K38-$M38)</f>
        <v>6328.34</v>
      </c>
      <c r="O38" s="41" t="n">
        <f aca="false">IF($A38="","",SUMIFS(业务流水!$H$5:$H$1504,业务流水!$F$5:$F$1504,"*",业务流水!$D$5:$D$1504,"管理费结算",业务流水!$C$5:$C$1504,$A38,业务流水!$Z$5:$Z$1504,"是"))</f>
        <v>0</v>
      </c>
      <c r="P38" s="41" t="n">
        <f aca="false">IF($A38="","",SUMIFS(业务流水!$H$5:$H$1504,业务流水!$E$5:$E$1504,"*",业务流水!$D$5:$D$1504,"扣质保金",业务流水!$C$5:$C$1504,$A38,业务流水!$Z$5:$Z$1504,"是"))</f>
        <v>0</v>
      </c>
    </row>
    <row r="39" customFormat="false" ht="15.75" hidden="false" customHeight="true" outlineLevel="0" collapsed="false">
      <c r="A39" s="32" t="str">
        <f aca="false">IF(项目档案!$A39="","",项目档案!$A39)</f>
        <v>A034</v>
      </c>
      <c r="B39" s="40" t="str">
        <f aca="false">IF($A39="","",项目档案!$B39)</f>
        <v>铜梁公司2026年配电专业应急抢修抢险等外包项目（永嘉所许家3社1等台区2个隐患治理项目）</v>
      </c>
      <c r="C39" s="41" t="n">
        <f aca="false">IF($A39="","",SUMIFS(业务流水!$H$5:$H$1504,业务流水!$E$5:$E$1504,"*",业务流水!$D$5:$D$1504,"销项开票",业务流水!$C$5:$C$1504,$A39,业务流水!$Z$5:$Z$1504,"是"))</f>
        <v>3801.93</v>
      </c>
      <c r="D39" s="41" t="n">
        <f aca="false">IF($A39="","",SUMIFS(业务流水!$O$5:$O$1504,业务流水!$E$5:$E$1504,"*",业务流水!$D$5:$D$1504,"销项开票",业务流水!$C$5:$C$1504,$A39,业务流水!$Z$5:$Z$1504,"是"))</f>
        <v>76.04</v>
      </c>
      <c r="E39" s="41" t="n">
        <f aca="false">IF($A39="","",SUMIFS(业务流水!$P$5:$P$1504,业务流水!$E$5:$E$1504,"*",业务流水!$D$5:$D$1504,"销项开票",业务流水!$C$5:$C$1504,$A39,业务流水!$Z$5:$Z$1504,"是"))</f>
        <v>3725.89</v>
      </c>
      <c r="F39" s="41" t="n">
        <f aca="false">IF($A39="","",SUMIFS(业务流水!$H$5:$H$1504,业务流水!$F$5:$F$1504,"*",业务流水!$D$5:$D$1504,"成本票",业务流水!$C$5:$C$1504,$A39,业务流水!$Z$5:$Z$1504,"是")+SUMIFS(业务流水!$H$5:$H$1504,业务流水!$F$5:$F$1504,"*",业务流水!$D$5:$D$1504,"销项开票",业务流水!$C$5:$C$1504,$A39,业务流水!$Z$5:$Z$1504,"是"))</f>
        <v>3801.93</v>
      </c>
      <c r="G39" s="42" t="n">
        <f aca="false">IF($A39="","",$E39-$F39)</f>
        <v>-76.04</v>
      </c>
      <c r="H39" s="41" t="n">
        <f aca="false">IF($A39="","",SUMIFS(业务流水!$W$5:$W$1504,业务流水!$E$5:$E$1504,"*",业务流水!$D$5:$D$1504,"销项开票",业务流水!$C$5:$C$1504,$A39,业务流水!$Z$5:$Z$1504,"是"))</f>
        <v>125.17</v>
      </c>
      <c r="I39" s="41" t="n">
        <f aca="false">IF($A39="","",SUMIFS(业务流水!$H$5:$H$1504,业务流水!$E$5:$E$1504,"*",业务流水!$D$5:$D$1504,"已交税",业务流水!$C$5:$C$1504,$A39,业务流水!$Z$5:$Z$1504,"是"))</f>
        <v>0</v>
      </c>
      <c r="J39" s="42" t="n">
        <f aca="false">IF($A39="","",$H39-$I39)</f>
        <v>125.17</v>
      </c>
      <c r="K39" s="41" t="n">
        <f aca="false">IF($A39="","",SUMIFS(业务流水!$H$5:$H$1504,业务流水!$F$5:$F$1504,"*",业务流水!$D$5:$D$1504,"挂靠代收",业务流水!$C$5:$C$1504,$A39,业务流水!$Z$5:$Z$1504,"是"))</f>
        <v>0</v>
      </c>
      <c r="L39" s="42" t="n">
        <f aca="false">IF($A39="","",$C39-$K39)</f>
        <v>3801.93</v>
      </c>
      <c r="M39" s="41" t="n">
        <f aca="false">IF($A39="","",SUMIFS(业务流水!$H$5:$H$1504,业务流水!$E$5:$E$1504,"*",业务流水!$D$5:$D$1504,"我方收款",业务流水!$C$5:$C$1504,$A39,业务流水!$Z$5:$Z$1504,"是"))</f>
        <v>0</v>
      </c>
      <c r="N39" s="43" t="n">
        <f aca="false">IF($A39="","",$K39-$M39)</f>
        <v>0</v>
      </c>
      <c r="O39" s="41" t="n">
        <f aca="false">IF($A39="","",SUMIFS(业务流水!$H$5:$H$1504,业务流水!$F$5:$F$1504,"*",业务流水!$D$5:$D$1504,"管理费结算",业务流水!$C$5:$C$1504,$A39,业务流水!$Z$5:$Z$1504,"是"))</f>
        <v>0</v>
      </c>
      <c r="P39" s="41" t="n">
        <f aca="false">IF($A39="","",SUMIFS(业务流水!$H$5:$H$1504,业务流水!$E$5:$E$1504,"*",业务流水!$D$5:$D$1504,"扣质保金",业务流水!$C$5:$C$1504,$A39,业务流水!$Z$5:$Z$1504,"是"))</f>
        <v>0</v>
      </c>
    </row>
    <row r="40" customFormat="false" ht="15.75" hidden="false" customHeight="true" outlineLevel="0" collapsed="false">
      <c r="A40" s="32" t="str">
        <f aca="false">IF(项目档案!$A40="","",项目档案!$A40)</f>
        <v>A035</v>
      </c>
      <c r="B40" s="40" t="str">
        <f aca="false">IF($A40="","",项目档案!$B40)</f>
        <v>铜梁公司2026年配电专业应急抢修抢险等外包项目（永嘉所义和8社等台区3个对地不足隐患治理项目）</v>
      </c>
      <c r="C40" s="41" t="n">
        <f aca="false">IF($A40="","",SUMIFS(业务流水!$H$5:$H$1504,业务流水!$E$5:$E$1504,"*",业务流水!$D$5:$D$1504,"销项开票",业务流水!$C$5:$C$1504,$A40,业务流水!$Z$5:$Z$1504,"是"))</f>
        <v>5842.18</v>
      </c>
      <c r="D40" s="41" t="n">
        <f aca="false">IF($A40="","",SUMIFS(业务流水!$O$5:$O$1504,业务流水!$E$5:$E$1504,"*",业务流水!$D$5:$D$1504,"销项开票",业务流水!$C$5:$C$1504,$A40,业务流水!$Z$5:$Z$1504,"是"))</f>
        <v>116.84</v>
      </c>
      <c r="E40" s="41" t="n">
        <f aca="false">IF($A40="","",SUMIFS(业务流水!$P$5:$P$1504,业务流水!$E$5:$E$1504,"*",业务流水!$D$5:$D$1504,"销项开票",业务流水!$C$5:$C$1504,$A40,业务流水!$Z$5:$Z$1504,"是"))</f>
        <v>5725.34</v>
      </c>
      <c r="F40" s="41" t="n">
        <f aca="false">IF($A40="","",SUMIFS(业务流水!$H$5:$H$1504,业务流水!$F$5:$F$1504,"*",业务流水!$D$5:$D$1504,"成本票",业务流水!$C$5:$C$1504,$A40,业务流水!$Z$5:$Z$1504,"是")+SUMIFS(业务流水!$H$5:$H$1504,业务流水!$F$5:$F$1504,"*",业务流水!$D$5:$D$1504,"销项开票",业务流水!$C$5:$C$1504,$A40,业务流水!$Z$5:$Z$1504,"是"))</f>
        <v>5842.18</v>
      </c>
      <c r="G40" s="42" t="n">
        <f aca="false">IF($A40="","",$E40-$F40)</f>
        <v>-116.84</v>
      </c>
      <c r="H40" s="41" t="n">
        <f aca="false">IF($A40="","",SUMIFS(业务流水!$W$5:$W$1504,业务流水!$E$5:$E$1504,"*",业务流水!$D$5:$D$1504,"销项开票",业务流水!$C$5:$C$1504,$A40,业务流水!$Z$5:$Z$1504,"是"))</f>
        <v>192.33</v>
      </c>
      <c r="I40" s="41" t="n">
        <f aca="false">IF($A40="","",SUMIFS(业务流水!$H$5:$H$1504,业务流水!$E$5:$E$1504,"*",业务流水!$D$5:$D$1504,"已交税",业务流水!$C$5:$C$1504,$A40,业务流水!$Z$5:$Z$1504,"是"))</f>
        <v>0</v>
      </c>
      <c r="J40" s="42" t="n">
        <f aca="false">IF($A40="","",$H40-$I40)</f>
        <v>192.33</v>
      </c>
      <c r="K40" s="41" t="n">
        <f aca="false">IF($A40="","",SUMIFS(业务流水!$H$5:$H$1504,业务流水!$F$5:$F$1504,"*",业务流水!$D$5:$D$1504,"挂靠代收",业务流水!$C$5:$C$1504,$A40,业务流水!$Z$5:$Z$1504,"是"))</f>
        <v>0</v>
      </c>
      <c r="L40" s="42" t="n">
        <f aca="false">IF($A40="","",$C40-$K40)</f>
        <v>5842.18</v>
      </c>
      <c r="M40" s="41" t="n">
        <f aca="false">IF($A40="","",SUMIFS(业务流水!$H$5:$H$1504,业务流水!$E$5:$E$1504,"*",业务流水!$D$5:$D$1504,"我方收款",业务流水!$C$5:$C$1504,$A40,业务流水!$Z$5:$Z$1504,"是"))</f>
        <v>0</v>
      </c>
      <c r="N40" s="43" t="n">
        <f aca="false">IF($A40="","",$K40-$M40)</f>
        <v>0</v>
      </c>
      <c r="O40" s="41" t="n">
        <f aca="false">IF($A40="","",SUMIFS(业务流水!$H$5:$H$1504,业务流水!$F$5:$F$1504,"*",业务流水!$D$5:$D$1504,"管理费结算",业务流水!$C$5:$C$1504,$A40,业务流水!$Z$5:$Z$1504,"是"))</f>
        <v>0</v>
      </c>
      <c r="P40" s="41" t="n">
        <f aca="false">IF($A40="","",SUMIFS(业务流水!$H$5:$H$1504,业务流水!$E$5:$E$1504,"*",业务流水!$D$5:$D$1504,"扣质保金",业务流水!$C$5:$C$1504,$A40,业务流水!$Z$5:$Z$1504,"是"))</f>
        <v>0</v>
      </c>
    </row>
    <row r="41" customFormat="false" ht="15.75" hidden="false" customHeight="true" outlineLevel="0" collapsed="false">
      <c r="A41" s="32" t="str">
        <f aca="false">IF(项目档案!$A41="","",项目档案!$A41)</f>
        <v>A036</v>
      </c>
      <c r="B41" s="40" t="str">
        <f aca="false">IF($A41="","",项目档案!$B41)</f>
        <v>铜梁公司2026年配电专业应急抢修抢险等外包项目（永嘉所高丰3社等台区4个应急抢修项目）</v>
      </c>
      <c r="C41" s="41" t="n">
        <f aca="false">IF($A41="","",SUMIFS(业务流水!$H$5:$H$1504,业务流水!$E$5:$E$1504,"*",业务流水!$D$5:$D$1504,"销项开票",业务流水!$C$5:$C$1504,$A41,业务流水!$Z$5:$Z$1504,"是"))</f>
        <v>5861.71</v>
      </c>
      <c r="D41" s="41" t="n">
        <f aca="false">IF($A41="","",SUMIFS(业务流水!$O$5:$O$1504,业务流水!$E$5:$E$1504,"*",业务流水!$D$5:$D$1504,"销项开票",业务流水!$C$5:$C$1504,$A41,业务流水!$Z$5:$Z$1504,"是"))</f>
        <v>117.23</v>
      </c>
      <c r="E41" s="41" t="n">
        <f aca="false">IF($A41="","",SUMIFS(业务流水!$P$5:$P$1504,业务流水!$E$5:$E$1504,"*",业务流水!$D$5:$D$1504,"销项开票",业务流水!$C$5:$C$1504,$A41,业务流水!$Z$5:$Z$1504,"是"))</f>
        <v>5744.48</v>
      </c>
      <c r="F41" s="41" t="n">
        <f aca="false">IF($A41="","",SUMIFS(业务流水!$H$5:$H$1504,业务流水!$F$5:$F$1504,"*",业务流水!$D$5:$D$1504,"成本票",业务流水!$C$5:$C$1504,$A41,业务流水!$Z$5:$Z$1504,"是")+SUMIFS(业务流水!$H$5:$H$1504,业务流水!$F$5:$F$1504,"*",业务流水!$D$5:$D$1504,"销项开票",业务流水!$C$5:$C$1504,$A41,业务流水!$Z$5:$Z$1504,"是"))</f>
        <v>5861.71</v>
      </c>
      <c r="G41" s="42" t="n">
        <f aca="false">IF($A41="","",$E41-$F41)</f>
        <v>-117.23</v>
      </c>
      <c r="H41" s="41" t="n">
        <f aca="false">IF($A41="","",SUMIFS(业务流水!$W$5:$W$1504,业务流水!$E$5:$E$1504,"*",业务流水!$D$5:$D$1504,"销项开票",业务流水!$C$5:$C$1504,$A41,业务流水!$Z$5:$Z$1504,"是"))</f>
        <v>192.98</v>
      </c>
      <c r="I41" s="41" t="n">
        <f aca="false">IF($A41="","",SUMIFS(业务流水!$H$5:$H$1504,业务流水!$E$5:$E$1504,"*",业务流水!$D$5:$D$1504,"已交税",业务流水!$C$5:$C$1504,$A41,业务流水!$Z$5:$Z$1504,"是"))</f>
        <v>0</v>
      </c>
      <c r="J41" s="42" t="n">
        <f aca="false">IF($A41="","",$H41-$I41)</f>
        <v>192.98</v>
      </c>
      <c r="K41" s="41" t="n">
        <f aca="false">IF($A41="","",SUMIFS(业务流水!$H$5:$H$1504,业务流水!$F$5:$F$1504,"*",业务流水!$D$5:$D$1504,"挂靠代收",业务流水!$C$5:$C$1504,$A41,业务流水!$Z$5:$Z$1504,"是"))</f>
        <v>0</v>
      </c>
      <c r="L41" s="42" t="n">
        <f aca="false">IF($A41="","",$C41-$K41)</f>
        <v>5861.71</v>
      </c>
      <c r="M41" s="41" t="n">
        <f aca="false">IF($A41="","",SUMIFS(业务流水!$H$5:$H$1504,业务流水!$E$5:$E$1504,"*",业务流水!$D$5:$D$1504,"我方收款",业务流水!$C$5:$C$1504,$A41,业务流水!$Z$5:$Z$1504,"是"))</f>
        <v>0</v>
      </c>
      <c r="N41" s="43" t="n">
        <f aca="false">IF($A41="","",$K41-$M41)</f>
        <v>0</v>
      </c>
      <c r="O41" s="41" t="n">
        <f aca="false">IF($A41="","",SUMIFS(业务流水!$H$5:$H$1504,业务流水!$F$5:$F$1504,"*",业务流水!$D$5:$D$1504,"管理费结算",业务流水!$C$5:$C$1504,$A41,业务流水!$Z$5:$Z$1504,"是"))</f>
        <v>0</v>
      </c>
      <c r="P41" s="41" t="n">
        <f aca="false">IF($A41="","",SUMIFS(业务流水!$H$5:$H$1504,业务流水!$E$5:$E$1504,"*",业务流水!$D$5:$D$1504,"扣质保金",业务流水!$C$5:$C$1504,$A41,业务流水!$Z$5:$Z$1504,"是"))</f>
        <v>0</v>
      </c>
    </row>
    <row r="42" customFormat="false" ht="15.75" hidden="false" customHeight="true" outlineLevel="0" collapsed="false">
      <c r="A42" s="32" t="str">
        <f aca="false">IF(项目档案!$A42="","",项目档案!$A42)</f>
        <v>A037</v>
      </c>
      <c r="B42" s="40" t="str">
        <f aca="false">IF($A42="","",项目档案!$B42)</f>
        <v>铜梁公司2026年35kV输电专业应急抢修检修外包项目（输电运检中心2026年35kV线路接地隐患消除等3个项目）</v>
      </c>
      <c r="C42" s="41" t="n">
        <f aca="false">IF($A42="","",SUMIFS(业务流水!$H$5:$H$1504,业务流水!$E$5:$E$1504,"*",业务流水!$D$5:$D$1504,"销项开票",业务流水!$C$5:$C$1504,$A42,业务流水!$Z$5:$Z$1504,"是"))</f>
        <v>6168.71</v>
      </c>
      <c r="D42" s="41" t="n">
        <f aca="false">IF($A42="","",SUMIFS(业务流水!$O$5:$O$1504,业务流水!$E$5:$E$1504,"*",业务流水!$D$5:$D$1504,"销项开票",业务流水!$C$5:$C$1504,$A42,业务流水!$Z$5:$Z$1504,"是"))</f>
        <v>123.37</v>
      </c>
      <c r="E42" s="41" t="n">
        <f aca="false">IF($A42="","",SUMIFS(业务流水!$P$5:$P$1504,业务流水!$E$5:$E$1504,"*",业务流水!$D$5:$D$1504,"销项开票",业务流水!$C$5:$C$1504,$A42,业务流水!$Z$5:$Z$1504,"是"))</f>
        <v>6045.34</v>
      </c>
      <c r="F42" s="41" t="n">
        <f aca="false">IF($A42="","",SUMIFS(业务流水!$H$5:$H$1504,业务流水!$F$5:$F$1504,"*",业务流水!$D$5:$D$1504,"成本票",业务流水!$C$5:$C$1504,$A42,业务流水!$Z$5:$Z$1504,"是")+SUMIFS(业务流水!$H$5:$H$1504,业务流水!$F$5:$F$1504,"*",业务流水!$D$5:$D$1504,"销项开票",业务流水!$C$5:$C$1504,$A42,业务流水!$Z$5:$Z$1504,"是"))</f>
        <v>6168.71</v>
      </c>
      <c r="G42" s="42" t="n">
        <f aca="false">IF($A42="","",$E42-$F42)</f>
        <v>-123.37</v>
      </c>
      <c r="H42" s="41" t="n">
        <f aca="false">IF($A42="","",SUMIFS(业务流水!$W$5:$W$1504,业务流水!$E$5:$E$1504,"*",业务流水!$D$5:$D$1504,"销项开票",业务流水!$C$5:$C$1504,$A42,业务流水!$Z$5:$Z$1504,"是"))</f>
        <v>203.08</v>
      </c>
      <c r="I42" s="41" t="n">
        <f aca="false">IF($A42="","",SUMIFS(业务流水!$H$5:$H$1504,业务流水!$E$5:$E$1504,"*",业务流水!$D$5:$D$1504,"已交税",业务流水!$C$5:$C$1504,$A42,业务流水!$Z$5:$Z$1504,"是"))</f>
        <v>0</v>
      </c>
      <c r="J42" s="42" t="n">
        <f aca="false">IF($A42="","",$H42-$I42)</f>
        <v>203.08</v>
      </c>
      <c r="K42" s="41" t="n">
        <f aca="false">IF($A42="","",SUMIFS(业务流水!$H$5:$H$1504,业务流水!$F$5:$F$1504,"*",业务流水!$D$5:$D$1504,"挂靠代收",业务流水!$C$5:$C$1504,$A42,业务流水!$Z$5:$Z$1504,"是"))</f>
        <v>0</v>
      </c>
      <c r="L42" s="42" t="n">
        <f aca="false">IF($A42="","",$C42-$K42)</f>
        <v>6168.71</v>
      </c>
      <c r="M42" s="41" t="n">
        <f aca="false">IF($A42="","",SUMIFS(业务流水!$H$5:$H$1504,业务流水!$E$5:$E$1504,"*",业务流水!$D$5:$D$1504,"我方收款",业务流水!$C$5:$C$1504,$A42,业务流水!$Z$5:$Z$1504,"是"))</f>
        <v>0</v>
      </c>
      <c r="N42" s="43" t="n">
        <f aca="false">IF($A42="","",$K42-$M42)</f>
        <v>0</v>
      </c>
      <c r="O42" s="41" t="n">
        <f aca="false">IF($A42="","",SUMIFS(业务流水!$H$5:$H$1504,业务流水!$F$5:$F$1504,"*",业务流水!$D$5:$D$1504,"管理费结算",业务流水!$C$5:$C$1504,$A42,业务流水!$Z$5:$Z$1504,"是"))</f>
        <v>0</v>
      </c>
      <c r="P42" s="41" t="n">
        <f aca="false">IF($A42="","",SUMIFS(业务流水!$H$5:$H$1504,业务流水!$E$5:$E$1504,"*",业务流水!$D$5:$D$1504,"扣质保金",业务流水!$C$5:$C$1504,$A42,业务流水!$Z$5:$Z$1504,"是"))</f>
        <v>0</v>
      </c>
    </row>
    <row r="43" customFormat="false" ht="15.75" hidden="false" customHeight="true" outlineLevel="0" collapsed="false">
      <c r="A43" s="32" t="str">
        <f aca="false">IF(项目档案!$A43="","",项目档案!$A43)</f>
        <v>A038</v>
      </c>
      <c r="B43" s="40" t="str">
        <f aca="false">IF($A43="","",项目档案!$B43)</f>
        <v>铜梁公司2026年配电专业应急抢修抢险等外包项目（永嘉所10kV西新线等2条线路综合检修项目）</v>
      </c>
      <c r="C43" s="41" t="n">
        <f aca="false">IF($A43="","",SUMIFS(业务流水!$H$5:$H$1504,业务流水!$E$5:$E$1504,"*",业务流水!$D$5:$D$1504,"销项开票",业务流水!$C$5:$C$1504,$A43,业务流水!$Z$5:$Z$1504,"是"))</f>
        <v>2764.33</v>
      </c>
      <c r="D43" s="41" t="n">
        <f aca="false">IF($A43="","",SUMIFS(业务流水!$O$5:$O$1504,业务流水!$E$5:$E$1504,"*",业务流水!$D$5:$D$1504,"销项开票",业务流水!$C$5:$C$1504,$A43,业务流水!$Z$5:$Z$1504,"是"))</f>
        <v>55.29</v>
      </c>
      <c r="E43" s="41" t="n">
        <f aca="false">IF($A43="","",SUMIFS(业务流水!$P$5:$P$1504,业务流水!$E$5:$E$1504,"*",业务流水!$D$5:$D$1504,"销项开票",业务流水!$C$5:$C$1504,$A43,业务流水!$Z$5:$Z$1504,"是"))</f>
        <v>2709.04</v>
      </c>
      <c r="F43" s="41" t="n">
        <f aca="false">IF($A43="","",SUMIFS(业务流水!$H$5:$H$1504,业务流水!$F$5:$F$1504,"*",业务流水!$D$5:$D$1504,"成本票",业务流水!$C$5:$C$1504,$A43,业务流水!$Z$5:$Z$1504,"是")+SUMIFS(业务流水!$H$5:$H$1504,业务流水!$F$5:$F$1504,"*",业务流水!$D$5:$D$1504,"销项开票",业务流水!$C$5:$C$1504,$A43,业务流水!$Z$5:$Z$1504,"是"))</f>
        <v>5473.37</v>
      </c>
      <c r="G43" s="42" t="n">
        <f aca="false">IF($A43="","",$E43-$F43)</f>
        <v>-2764.33</v>
      </c>
      <c r="H43" s="41" t="n">
        <f aca="false">IF($A43="","",SUMIFS(业务流水!$W$5:$W$1504,业务流水!$E$5:$E$1504,"*",业务流水!$D$5:$D$1504,"销项开票",业务流水!$C$5:$C$1504,$A43,业务流水!$Z$5:$Z$1504,"是"))</f>
        <v>91</v>
      </c>
      <c r="I43" s="41" t="n">
        <f aca="false">IF($A43="","",SUMIFS(业务流水!$H$5:$H$1504,业务流水!$E$5:$E$1504,"*",业务流水!$D$5:$D$1504,"已交税",业务流水!$C$5:$C$1504,$A43,业务流水!$Z$5:$Z$1504,"是"))</f>
        <v>0</v>
      </c>
      <c r="J43" s="42" t="n">
        <f aca="false">IF($A43="","",$H43-$I43)</f>
        <v>91</v>
      </c>
      <c r="K43" s="41" t="n">
        <f aca="false">IF($A43="","",SUMIFS(业务流水!$H$5:$H$1504,业务流水!$F$5:$F$1504,"*",业务流水!$D$5:$D$1504,"挂靠代收",业务流水!$C$5:$C$1504,$A43,业务流水!$Z$5:$Z$1504,"是"))</f>
        <v>0</v>
      </c>
      <c r="L43" s="42" t="n">
        <f aca="false">IF($A43="","",$C43-$K43)</f>
        <v>2764.33</v>
      </c>
      <c r="M43" s="41" t="n">
        <f aca="false">IF($A43="","",SUMIFS(业务流水!$H$5:$H$1504,业务流水!$E$5:$E$1504,"*",业务流水!$D$5:$D$1504,"我方收款",业务流水!$C$5:$C$1504,$A43,业务流水!$Z$5:$Z$1504,"是"))</f>
        <v>0</v>
      </c>
      <c r="N43" s="43" t="n">
        <f aca="false">IF($A43="","",$K43-$M43)</f>
        <v>0</v>
      </c>
      <c r="O43" s="41" t="n">
        <f aca="false">IF($A43="","",SUMIFS(业务流水!$H$5:$H$1504,业务流水!$F$5:$F$1504,"*",业务流水!$D$5:$D$1504,"管理费结算",业务流水!$C$5:$C$1504,$A43,业务流水!$Z$5:$Z$1504,"是"))</f>
        <v>488.78</v>
      </c>
      <c r="P43" s="41" t="n">
        <f aca="false">IF($A43="","",SUMIFS(业务流水!$H$5:$H$1504,业务流水!$E$5:$E$1504,"*",业务流水!$D$5:$D$1504,"扣质保金",业务流水!$C$5:$C$1504,$A43,业务流水!$Z$5:$Z$1504,"是"))</f>
        <v>0</v>
      </c>
    </row>
    <row r="44" customFormat="false" ht="15.75" hidden="false" customHeight="true" outlineLevel="0" collapsed="false">
      <c r="A44" s="32" t="str">
        <f aca="false">IF(项目档案!$A44="","",项目档案!$A44)</f>
        <v>A039</v>
      </c>
      <c r="B44" s="40" t="str">
        <f aca="false">IF($A44="","",项目档案!$B44)</f>
        <v>重庆民能实业有限公司2025-2026年度工程用特种设备租赁服务框架采购(铜梁公司2026年配电专业应急抢修抢险等外包项目(永嘉所许家3
社1等台区2个隐患治理项目))</v>
      </c>
      <c r="C44" s="41" t="n">
        <f aca="false">IF($A44="","",SUMIFS(业务流水!$H$5:$H$1504,业务流水!$E$5:$E$1504,"*",业务流水!$D$5:$D$1504,"销项开票",业务流水!$C$5:$C$1504,$A44,业务流水!$Z$5:$Z$1504,"是"))</f>
        <v>1238.05</v>
      </c>
      <c r="D44" s="41" t="n">
        <f aca="false">IF($A44="","",SUMIFS(业务流水!$O$5:$O$1504,业务流水!$E$5:$E$1504,"*",业务流水!$D$5:$D$1504,"销项开票",业务流水!$C$5:$C$1504,$A44,业务流水!$Z$5:$Z$1504,"是"))</f>
        <v>49.52</v>
      </c>
      <c r="E44" s="41" t="n">
        <f aca="false">IF($A44="","",SUMIFS(业务流水!$P$5:$P$1504,业务流水!$E$5:$E$1504,"*",业务流水!$D$5:$D$1504,"销项开票",业务流水!$C$5:$C$1504,$A44,业务流水!$Z$5:$Z$1504,"是"))</f>
        <v>1188.53</v>
      </c>
      <c r="F44" s="41" t="n">
        <f aca="false">IF($A44="","",SUMIFS(业务流水!$H$5:$H$1504,业务流水!$F$5:$F$1504,"*",业务流水!$D$5:$D$1504,"成本票",业务流水!$C$5:$C$1504,$A44,业务流水!$Z$5:$Z$1504,"是")+SUMIFS(业务流水!$H$5:$H$1504,业务流水!$F$5:$F$1504,"*",业务流水!$D$5:$D$1504,"销项开票",业务流水!$C$5:$C$1504,$A44,业务流水!$Z$5:$Z$1504,"是"))</f>
        <v>1238.05</v>
      </c>
      <c r="G44" s="42" t="n">
        <f aca="false">IF($A44="","",$E44-$F44)</f>
        <v>-49.52</v>
      </c>
      <c r="H44" s="41" t="n">
        <f aca="false">IF($A44="","",SUMIFS(业务流水!$W$5:$W$1504,业务流水!$E$5:$E$1504,"*",业务流水!$D$5:$D$1504,"销项开票",业务流水!$C$5:$C$1504,$A44,业务流水!$Z$5:$Z$1504,"是"))</f>
        <v>0</v>
      </c>
      <c r="I44" s="41" t="n">
        <f aca="false">IF($A44="","",SUMIFS(业务流水!$H$5:$H$1504,业务流水!$E$5:$E$1504,"*",业务流水!$D$5:$D$1504,"已交税",业务流水!$C$5:$C$1504,$A44,业务流水!$Z$5:$Z$1504,"是"))</f>
        <v>0</v>
      </c>
      <c r="J44" s="42" t="n">
        <f aca="false">IF($A44="","",$H44-$I44)</f>
        <v>0</v>
      </c>
      <c r="K44" s="41" t="n">
        <f aca="false">IF($A44="","",SUMIFS(业务流水!$H$5:$H$1504,业务流水!$F$5:$F$1504,"*",业务流水!$D$5:$D$1504,"挂靠代收",业务流水!$C$5:$C$1504,$A44,业务流水!$Z$5:$Z$1504,"是"))</f>
        <v>0</v>
      </c>
      <c r="L44" s="42" t="n">
        <f aca="false">IF($A44="","",$C44-$K44)</f>
        <v>1238.05</v>
      </c>
      <c r="M44" s="41" t="n">
        <f aca="false">IF($A44="","",SUMIFS(业务流水!$H$5:$H$1504,业务流水!$E$5:$E$1504,"*",业务流水!$D$5:$D$1504,"我方收款",业务流水!$C$5:$C$1504,$A44,业务流水!$Z$5:$Z$1504,"是"))</f>
        <v>0</v>
      </c>
      <c r="N44" s="43" t="n">
        <f aca="false">IF($A44="","",$K44-$M44)</f>
        <v>0</v>
      </c>
      <c r="O44" s="41" t="n">
        <f aca="false">IF($A44="","",SUMIFS(业务流水!$H$5:$H$1504,业务流水!$F$5:$F$1504,"*",业务流水!$D$5:$D$1504,"管理费结算",业务流水!$C$5:$C$1504,$A44,业务流水!$Z$5:$Z$1504,"是"))</f>
        <v>0</v>
      </c>
      <c r="P44" s="41" t="n">
        <f aca="false">IF($A44="","",SUMIFS(业务流水!$H$5:$H$1504,业务流水!$E$5:$E$1504,"*",业务流水!$D$5:$D$1504,"扣质保金",业务流水!$C$5:$C$1504,$A44,业务流水!$Z$5:$Z$1504,"是"))</f>
        <v>0</v>
      </c>
    </row>
    <row r="45" customFormat="false" ht="15.75" hidden="false" customHeight="true" outlineLevel="0" collapsed="false">
      <c r="A45" s="32" t="str">
        <f aca="false">IF(项目档案!$A45="","",项目档案!$A45)</f>
        <v>A040</v>
      </c>
      <c r="B45" s="40" t="str">
        <f aca="false">IF($A45="","",项目档案!$B45)</f>
        <v>重庆民能实业有限公司2025-2026年度工程用特种设备租赁服务框架采购(铜梁公司2026年配电专业应急抢修抢险等外包项目(永嘉所高丰3
社等台区4个应急抢修项目))</v>
      </c>
      <c r="C45" s="41" t="n">
        <f aca="false">IF($A45="","",SUMIFS(业务流水!$H$5:$H$1504,业务流水!$E$5:$E$1504,"*",业务流水!$D$5:$D$1504,"销项开票",业务流水!$C$5:$C$1504,$A45,业务流水!$Z$5:$Z$1504,"是"))</f>
        <v>2562.52</v>
      </c>
      <c r="D45" s="41" t="n">
        <f aca="false">IF($A45="","",SUMIFS(业务流水!$O$5:$O$1504,业务流水!$E$5:$E$1504,"*",业务流水!$D$5:$D$1504,"销项开票",业务流水!$C$5:$C$1504,$A45,业务流水!$Z$5:$Z$1504,"是"))</f>
        <v>102.5</v>
      </c>
      <c r="E45" s="41" t="n">
        <f aca="false">IF($A45="","",SUMIFS(业务流水!$P$5:$P$1504,业务流水!$E$5:$E$1504,"*",业务流水!$D$5:$D$1504,"销项开票",业务流水!$C$5:$C$1504,$A45,业务流水!$Z$5:$Z$1504,"是"))</f>
        <v>2460.02</v>
      </c>
      <c r="F45" s="41" t="n">
        <f aca="false">IF($A45="","",SUMIFS(业务流水!$H$5:$H$1504,业务流水!$F$5:$F$1504,"*",业务流水!$D$5:$D$1504,"成本票",业务流水!$C$5:$C$1504,$A45,业务流水!$Z$5:$Z$1504,"是")+SUMIFS(业务流水!$H$5:$H$1504,业务流水!$F$5:$F$1504,"*",业务流水!$D$5:$D$1504,"销项开票",业务流水!$C$5:$C$1504,$A45,业务流水!$Z$5:$Z$1504,"是"))</f>
        <v>2562.52</v>
      </c>
      <c r="G45" s="42" t="n">
        <f aca="false">IF($A45="","",$E45-$F45)</f>
        <v>-102.5</v>
      </c>
      <c r="H45" s="41" t="n">
        <f aca="false">IF($A45="","",SUMIFS(业务流水!$W$5:$W$1504,业务流水!$E$5:$E$1504,"*",业务流水!$D$5:$D$1504,"销项开票",业务流水!$C$5:$C$1504,$A45,业务流水!$Z$5:$Z$1504,"是"))</f>
        <v>0</v>
      </c>
      <c r="I45" s="41" t="n">
        <f aca="false">IF($A45="","",SUMIFS(业务流水!$H$5:$H$1504,业务流水!$E$5:$E$1504,"*",业务流水!$D$5:$D$1504,"已交税",业务流水!$C$5:$C$1504,$A45,业务流水!$Z$5:$Z$1504,"是"))</f>
        <v>0</v>
      </c>
      <c r="J45" s="42" t="n">
        <f aca="false">IF($A45="","",$H45-$I45)</f>
        <v>0</v>
      </c>
      <c r="K45" s="41" t="n">
        <f aca="false">IF($A45="","",SUMIFS(业务流水!$H$5:$H$1504,业务流水!$F$5:$F$1504,"*",业务流水!$D$5:$D$1504,"挂靠代收",业务流水!$C$5:$C$1504,$A45,业务流水!$Z$5:$Z$1504,"是"))</f>
        <v>0</v>
      </c>
      <c r="L45" s="42" t="n">
        <f aca="false">IF($A45="","",$C45-$K45)</f>
        <v>2562.52</v>
      </c>
      <c r="M45" s="41" t="n">
        <f aca="false">IF($A45="","",SUMIFS(业务流水!$H$5:$H$1504,业务流水!$E$5:$E$1504,"*",业务流水!$D$5:$D$1504,"我方收款",业务流水!$C$5:$C$1504,$A45,业务流水!$Z$5:$Z$1504,"是"))</f>
        <v>0</v>
      </c>
      <c r="N45" s="43" t="n">
        <f aca="false">IF($A45="","",$K45-$M45)</f>
        <v>0</v>
      </c>
      <c r="O45" s="41" t="n">
        <f aca="false">IF($A45="","",SUMIFS(业务流水!$H$5:$H$1504,业务流水!$F$5:$F$1504,"*",业务流水!$D$5:$D$1504,"管理费结算",业务流水!$C$5:$C$1504,$A45,业务流水!$Z$5:$Z$1504,"是"))</f>
        <v>0</v>
      </c>
      <c r="P45" s="41" t="n">
        <f aca="false">IF($A45="","",SUMIFS(业务流水!$H$5:$H$1504,业务流水!$E$5:$E$1504,"*",业务流水!$D$5:$D$1504,"扣质保金",业务流水!$C$5:$C$1504,$A45,业务流水!$Z$5:$Z$1504,"是"))</f>
        <v>0</v>
      </c>
    </row>
    <row r="46" customFormat="false" ht="15.75" hidden="false" customHeight="true" outlineLevel="0" collapsed="false">
      <c r="A46" s="32" t="str">
        <f aca="false">IF(项目档案!$A46="","",项目档案!$A46)</f>
        <v>A041</v>
      </c>
      <c r="B46" s="40" t="str">
        <f aca="false">IF($A46="","",项目档案!$B46)</f>
        <v>重庆民能实业有限公司2025-2026年度工程用特种设备租赁服务框架采购(铜梁公司2026年配电专业应急抢修抢险等外包项目(永嘉所义和8
社等台区3个对地不足隐患治理项目))</v>
      </c>
      <c r="C46" s="41" t="n">
        <f aca="false">IF($A46="","",SUMIFS(业务流水!$H$5:$H$1504,业务流水!$E$5:$E$1504,"*",业务流水!$D$5:$D$1504,"销项开票",业务流水!$C$5:$C$1504,$A46,业务流水!$Z$5:$Z$1504,"是"))</f>
        <v>1622.53</v>
      </c>
      <c r="D46" s="41" t="n">
        <f aca="false">IF($A46="","",SUMIFS(业务流水!$O$5:$O$1504,业务流水!$E$5:$E$1504,"*",业务流水!$D$5:$D$1504,"销项开票",业务流水!$C$5:$C$1504,$A46,业务流水!$Z$5:$Z$1504,"是"))</f>
        <v>64.9</v>
      </c>
      <c r="E46" s="41" t="n">
        <f aca="false">IF($A46="","",SUMIFS(业务流水!$P$5:$P$1504,业务流水!$E$5:$E$1504,"*",业务流水!$D$5:$D$1504,"销项开票",业务流水!$C$5:$C$1504,$A46,业务流水!$Z$5:$Z$1504,"是"))</f>
        <v>1557.63</v>
      </c>
      <c r="F46" s="41" t="n">
        <f aca="false">IF($A46="","",SUMIFS(业务流水!$H$5:$H$1504,业务流水!$F$5:$F$1504,"*",业务流水!$D$5:$D$1504,"成本票",业务流水!$C$5:$C$1504,$A46,业务流水!$Z$5:$Z$1504,"是")+SUMIFS(业务流水!$H$5:$H$1504,业务流水!$F$5:$F$1504,"*",业务流水!$D$5:$D$1504,"销项开票",业务流水!$C$5:$C$1504,$A46,业务流水!$Z$5:$Z$1504,"是"))</f>
        <v>1622.53</v>
      </c>
      <c r="G46" s="42" t="n">
        <f aca="false">IF($A46="","",$E46-$F46)</f>
        <v>-64.8999999999999</v>
      </c>
      <c r="H46" s="41" t="n">
        <f aca="false">IF($A46="","",SUMIFS(业务流水!$W$5:$W$1504,业务流水!$E$5:$E$1504,"*",业务流水!$D$5:$D$1504,"销项开票",业务流水!$C$5:$C$1504,$A46,业务流水!$Z$5:$Z$1504,"是"))</f>
        <v>0</v>
      </c>
      <c r="I46" s="41" t="n">
        <f aca="false">IF($A46="","",SUMIFS(业务流水!$H$5:$H$1504,业务流水!$E$5:$E$1504,"*",业务流水!$D$5:$D$1504,"已交税",业务流水!$C$5:$C$1504,$A46,业务流水!$Z$5:$Z$1504,"是"))</f>
        <v>0</v>
      </c>
      <c r="J46" s="42" t="n">
        <f aca="false">IF($A46="","",$H46-$I46)</f>
        <v>0</v>
      </c>
      <c r="K46" s="41" t="n">
        <f aca="false">IF($A46="","",SUMIFS(业务流水!$H$5:$H$1504,业务流水!$F$5:$F$1504,"*",业务流水!$D$5:$D$1504,"挂靠代收",业务流水!$C$5:$C$1504,$A46,业务流水!$Z$5:$Z$1504,"是"))</f>
        <v>0</v>
      </c>
      <c r="L46" s="42" t="n">
        <f aca="false">IF($A46="","",$C46-$K46)</f>
        <v>1622.53</v>
      </c>
      <c r="M46" s="41" t="n">
        <f aca="false">IF($A46="","",SUMIFS(业务流水!$H$5:$H$1504,业务流水!$E$5:$E$1504,"*",业务流水!$D$5:$D$1504,"我方收款",业务流水!$C$5:$C$1504,$A46,业务流水!$Z$5:$Z$1504,"是"))</f>
        <v>0</v>
      </c>
      <c r="N46" s="43" t="n">
        <f aca="false">IF($A46="","",$K46-$M46)</f>
        <v>0</v>
      </c>
      <c r="O46" s="41" t="n">
        <f aca="false">IF($A46="","",SUMIFS(业务流水!$H$5:$H$1504,业务流水!$F$5:$F$1504,"*",业务流水!$D$5:$D$1504,"管理费结算",业务流水!$C$5:$C$1504,$A46,业务流水!$Z$5:$Z$1504,"是"))</f>
        <v>0</v>
      </c>
      <c r="P46" s="41" t="n">
        <f aca="false">IF($A46="","",SUMIFS(业务流水!$H$5:$H$1504,业务流水!$E$5:$E$1504,"*",业务流水!$D$5:$D$1504,"扣质保金",业务流水!$C$5:$C$1504,$A46,业务流水!$Z$5:$Z$1504,"是"))</f>
        <v>0</v>
      </c>
    </row>
    <row r="47" customFormat="false" ht="15.75" hidden="false" customHeight="true" outlineLevel="0" collapsed="false">
      <c r="A47" s="32" t="str">
        <f aca="false">IF(项目档案!$A47="","",项目档案!$A47)</f>
        <v>A042</v>
      </c>
      <c r="B47" s="40" t="str">
        <f aca="false">IF($A47="","",项目档案!$B47)</f>
        <v>重庆民能实业有限公司2025-2026年度工程用特种设备租赁服务框架采购(铜梁公司2026年35kV输电专业应急抢修检修外包项目(输电运检中心2026年35kV线路接地隐患消除等3个项目))</v>
      </c>
      <c r="C47" s="41" t="n">
        <f aca="false">IF($A47="","",SUMIFS(业务流水!$H$5:$H$1504,业务流水!$E$5:$E$1504,"*",业务流水!$D$5:$D$1504,"销项开票",业务流水!$C$5:$C$1504,$A47,业务流水!$Z$5:$Z$1504,"是"))</f>
        <v>2244.63</v>
      </c>
      <c r="D47" s="41" t="n">
        <f aca="false">IF($A47="","",SUMIFS(业务流水!$O$5:$O$1504,业务流水!$E$5:$E$1504,"*",业务流水!$D$5:$D$1504,"销项开票",业务流水!$C$5:$C$1504,$A47,业务流水!$Z$5:$Z$1504,"是"))</f>
        <v>89.79</v>
      </c>
      <c r="E47" s="41" t="n">
        <f aca="false">IF($A47="","",SUMIFS(业务流水!$P$5:$P$1504,业务流水!$E$5:$E$1504,"*",业务流水!$D$5:$D$1504,"销项开票",业务流水!$C$5:$C$1504,$A47,业务流水!$Z$5:$Z$1504,"是"))</f>
        <v>2154.84</v>
      </c>
      <c r="F47" s="41" t="n">
        <f aca="false">IF($A47="","",SUMIFS(业务流水!$H$5:$H$1504,业务流水!$F$5:$F$1504,"*",业务流水!$D$5:$D$1504,"成本票",业务流水!$C$5:$C$1504,$A47,业务流水!$Z$5:$Z$1504,"是")+SUMIFS(业务流水!$H$5:$H$1504,业务流水!$F$5:$F$1504,"*",业务流水!$D$5:$D$1504,"销项开票",业务流水!$C$5:$C$1504,$A47,业务流水!$Z$5:$Z$1504,"是"))</f>
        <v>4399.48</v>
      </c>
      <c r="G47" s="42" t="n">
        <f aca="false">IF($A47="","",$E47-$F47)</f>
        <v>-2244.64</v>
      </c>
      <c r="H47" s="41" t="n">
        <f aca="false">IF($A47="","",SUMIFS(业务流水!$W$5:$W$1504,业务流水!$E$5:$E$1504,"*",业务流水!$D$5:$D$1504,"销项开票",业务流水!$C$5:$C$1504,$A47,业务流水!$Z$5:$Z$1504,"是"))</f>
        <v>0</v>
      </c>
      <c r="I47" s="41" t="n">
        <f aca="false">IF($A47="","",SUMIFS(业务流水!$H$5:$H$1504,业务流水!$E$5:$E$1504,"*",业务流水!$D$5:$D$1504,"已交税",业务流水!$C$5:$C$1504,$A47,业务流水!$Z$5:$Z$1504,"是"))</f>
        <v>0</v>
      </c>
      <c r="J47" s="42" t="n">
        <f aca="false">IF($A47="","",$H47-$I47)</f>
        <v>0</v>
      </c>
      <c r="K47" s="41" t="n">
        <f aca="false">IF($A47="","",SUMIFS(业务流水!$H$5:$H$1504,业务流水!$F$5:$F$1504,"*",业务流水!$D$5:$D$1504,"挂靠代收",业务流水!$C$5:$C$1504,$A47,业务流水!$Z$5:$Z$1504,"是"))</f>
        <v>0</v>
      </c>
      <c r="L47" s="42" t="n">
        <f aca="false">IF($A47="","",$C47-$K47)</f>
        <v>2244.63</v>
      </c>
      <c r="M47" s="41" t="n">
        <f aca="false">IF($A47="","",SUMIFS(业务流水!$H$5:$H$1504,业务流水!$E$5:$E$1504,"*",业务流水!$D$5:$D$1504,"我方收款",业务流水!$C$5:$C$1504,$A47,业务流水!$Z$5:$Z$1504,"是"))</f>
        <v>0</v>
      </c>
      <c r="N47" s="43" t="n">
        <f aca="false">IF($A47="","",$K47-$M47)</f>
        <v>0</v>
      </c>
      <c r="O47" s="41" t="n">
        <f aca="false">IF($A47="","",SUMIFS(业务流水!$H$5:$H$1504,业务流水!$F$5:$F$1504,"*",业务流水!$D$5:$D$1504,"管理费结算",业务流水!$C$5:$C$1504,$A47,业务流水!$Z$5:$Z$1504,"是"))</f>
        <v>0</v>
      </c>
      <c r="P47" s="41" t="n">
        <f aca="false">IF($A47="","",SUMIFS(业务流水!$H$5:$H$1504,业务流水!$E$5:$E$1504,"*",业务流水!$D$5:$D$1504,"扣质保金",业务流水!$C$5:$C$1504,$A47,业务流水!$Z$5:$Z$1504,"是"))</f>
        <v>0</v>
      </c>
    </row>
    <row r="48" customFormat="false" ht="15.75" hidden="false" customHeight="true" outlineLevel="0" collapsed="false">
      <c r="A48" s="32" t="str">
        <f aca="false">IF(项目档案!$A48="","",项目档案!$A48)</f>
        <v>A043</v>
      </c>
      <c r="B48" s="40" t="str">
        <f aca="false">IF($A48="","",项目档案!$B48)</f>
        <v>重庆民能实业有限公司2025-2026年度工程用特种设备租赁服务框架采购(10kV少盘线哨楼村支线#1杆线路迁改工程)</v>
      </c>
      <c r="C48" s="41" t="n">
        <f aca="false">IF($A48="","",SUMIFS(业务流水!$H$5:$H$1504,业务流水!$E$5:$E$1504,"*",业务流水!$D$5:$D$1504,"销项开票",业务流水!$C$5:$C$1504,$A48,业务流水!$Z$5:$Z$1504,"是"))</f>
        <v>5515.4</v>
      </c>
      <c r="D48" s="41" t="n">
        <f aca="false">IF($A48="","",SUMIFS(业务流水!$O$5:$O$1504,业务流水!$E$5:$E$1504,"*",业务流水!$D$5:$D$1504,"销项开票",业务流水!$C$5:$C$1504,$A48,业务流水!$Z$5:$Z$1504,"是"))</f>
        <v>441.23</v>
      </c>
      <c r="E48" s="41" t="n">
        <f aca="false">IF($A48="","",SUMIFS(业务流水!$P$5:$P$1504,业务流水!$E$5:$E$1504,"*",业务流水!$D$5:$D$1504,"销项开票",业务流水!$C$5:$C$1504,$A48,业务流水!$Z$5:$Z$1504,"是"))</f>
        <v>5074.17</v>
      </c>
      <c r="F48" s="41" t="n">
        <f aca="false">IF($A48="","",SUMIFS(业务流水!$H$5:$H$1504,业务流水!$F$5:$F$1504,"*",业务流水!$D$5:$D$1504,"成本票",业务流水!$C$5:$C$1504,$A48,业务流水!$Z$5:$Z$1504,"是")+SUMIFS(业务流水!$H$5:$H$1504,业务流水!$F$5:$F$1504,"*",业务流水!$D$5:$D$1504,"销项开票",业务流水!$C$5:$C$1504,$A48,业务流水!$Z$5:$Z$1504,"是"))</f>
        <v>10589.57</v>
      </c>
      <c r="G48" s="42" t="n">
        <f aca="false">IF($A48="","",$E48-$F48)</f>
        <v>-5515.4</v>
      </c>
      <c r="H48" s="41" t="n">
        <f aca="false">IF($A48="","",SUMIFS(业务流水!$W$5:$W$1504,业务流水!$E$5:$E$1504,"*",业务流水!$D$5:$D$1504,"销项开票",业务流水!$C$5:$C$1504,$A48,业务流水!$Z$5:$Z$1504,"是"))</f>
        <v>0</v>
      </c>
      <c r="I48" s="41" t="n">
        <f aca="false">IF($A48="","",SUMIFS(业务流水!$H$5:$H$1504,业务流水!$E$5:$E$1504,"*",业务流水!$D$5:$D$1504,"已交税",业务流水!$C$5:$C$1504,$A48,业务流水!$Z$5:$Z$1504,"是"))</f>
        <v>0</v>
      </c>
      <c r="J48" s="42" t="n">
        <f aca="false">IF($A48="","",$H48-$I48)</f>
        <v>0</v>
      </c>
      <c r="K48" s="41" t="n">
        <f aca="false">IF($A48="","",SUMIFS(业务流水!$H$5:$H$1504,业务流水!$F$5:$F$1504,"*",业务流水!$D$5:$D$1504,"挂靠代收",业务流水!$C$5:$C$1504,$A48,业务流水!$Z$5:$Z$1504,"是"))</f>
        <v>0</v>
      </c>
      <c r="L48" s="42" t="n">
        <f aca="false">IF($A48="","",$C48-$K48)</f>
        <v>5515.4</v>
      </c>
      <c r="M48" s="41" t="n">
        <f aca="false">IF($A48="","",SUMIFS(业务流水!$H$5:$H$1504,业务流水!$E$5:$E$1504,"*",业务流水!$D$5:$D$1504,"我方收款",业务流水!$C$5:$C$1504,$A48,业务流水!$Z$5:$Z$1504,"是"))</f>
        <v>0</v>
      </c>
      <c r="N48" s="43" t="n">
        <f aca="false">IF($A48="","",$K48-$M48)</f>
        <v>0</v>
      </c>
      <c r="O48" s="41" t="n">
        <f aca="false">IF($A48="","",SUMIFS(业务流水!$H$5:$H$1504,业务流水!$F$5:$F$1504,"*",业务流水!$D$5:$D$1504,"管理费结算",业务流水!$C$5:$C$1504,$A48,业务流水!$Z$5:$Z$1504,"是"))</f>
        <v>0</v>
      </c>
      <c r="P48" s="41" t="n">
        <f aca="false">IF($A48="","",SUMIFS(业务流水!$H$5:$H$1504,业务流水!$E$5:$E$1504,"*",业务流水!$D$5:$D$1504,"扣质保金",业务流水!$C$5:$C$1504,$A48,业务流水!$Z$5:$Z$1504,"是"))</f>
        <v>0</v>
      </c>
    </row>
    <row r="49" customFormat="false" ht="15.75" hidden="false" customHeight="true" outlineLevel="0" collapsed="false">
      <c r="A49" s="32" t="str">
        <f aca="false">IF(项目档案!$A49="","",项目档案!$A49)</f>
        <v>A044</v>
      </c>
      <c r="B49" s="40" t="str">
        <f aca="false">IF($A49="","",项目档案!$B49)</f>
        <v>重庆民能实业有限公司2025-2026年度工程用特种设备租赁服务框架采购(铜梁公司2026年配电专业应急抢修抢险等外包项目(永嘉所许家3社1等台区2个隐患治理项目）)</v>
      </c>
      <c r="C49" s="41" t="n">
        <f aca="false">IF($A49="","",SUMIFS(业务流水!$H$5:$H$1504,业务流水!$E$5:$E$1504,"*",业务流水!$D$5:$D$1504,"销项开票",业务流水!$C$5:$C$1504,$A49,业务流水!$Z$5:$Z$1504,"是"))</f>
        <v>908.16</v>
      </c>
      <c r="D49" s="41" t="n">
        <f aca="false">IF($A49="","",SUMIFS(业务流水!$O$5:$O$1504,业务流水!$E$5:$E$1504,"*",业务流水!$D$5:$D$1504,"销项开票",业务流水!$C$5:$C$1504,$A49,业务流水!$Z$5:$Z$1504,"是"))</f>
        <v>36.33</v>
      </c>
      <c r="E49" s="41" t="n">
        <f aca="false">IF($A49="","",SUMIFS(业务流水!$P$5:$P$1504,业务流水!$E$5:$E$1504,"*",业务流水!$D$5:$D$1504,"销项开票",业务流水!$C$5:$C$1504,$A49,业务流水!$Z$5:$Z$1504,"是"))</f>
        <v>871.83</v>
      </c>
      <c r="F49" s="41" t="n">
        <f aca="false">IF($A49="","",SUMIFS(业务流水!$H$5:$H$1504,业务流水!$F$5:$F$1504,"*",业务流水!$D$5:$D$1504,"成本票",业务流水!$C$5:$C$1504,$A49,业务流水!$Z$5:$Z$1504,"是")+SUMIFS(业务流水!$H$5:$H$1504,业务流水!$F$5:$F$1504,"*",业务流水!$D$5:$D$1504,"销项开票",业务流水!$C$5:$C$1504,$A49,业务流水!$Z$5:$Z$1504,"是"))</f>
        <v>1779.99</v>
      </c>
      <c r="G49" s="42" t="n">
        <f aca="false">IF($A49="","",$E49-$F49)</f>
        <v>-908.16</v>
      </c>
      <c r="H49" s="41" t="n">
        <f aca="false">IF($A49="","",SUMIFS(业务流水!$W$5:$W$1504,业务流水!$E$5:$E$1504,"*",业务流水!$D$5:$D$1504,"销项开票",业务流水!$C$5:$C$1504,$A49,业务流水!$Z$5:$Z$1504,"是"))</f>
        <v>0</v>
      </c>
      <c r="I49" s="41" t="n">
        <f aca="false">IF($A49="","",SUMIFS(业务流水!$H$5:$H$1504,业务流水!$E$5:$E$1504,"*",业务流水!$D$5:$D$1504,"已交税",业务流水!$C$5:$C$1504,$A49,业务流水!$Z$5:$Z$1504,"是"))</f>
        <v>0</v>
      </c>
      <c r="J49" s="42" t="n">
        <f aca="false">IF($A49="","",$H49-$I49)</f>
        <v>0</v>
      </c>
      <c r="K49" s="41" t="n">
        <f aca="false">IF($A49="","",SUMIFS(业务流水!$H$5:$H$1504,业务流水!$F$5:$F$1504,"*",业务流水!$D$5:$D$1504,"挂靠代收",业务流水!$C$5:$C$1504,$A49,业务流水!$Z$5:$Z$1504,"是"))</f>
        <v>0</v>
      </c>
      <c r="L49" s="42" t="n">
        <f aca="false">IF($A49="","",$C49-$K49)</f>
        <v>908.16</v>
      </c>
      <c r="M49" s="41" t="n">
        <f aca="false">IF($A49="","",SUMIFS(业务流水!$H$5:$H$1504,业务流水!$E$5:$E$1504,"*",业务流水!$D$5:$D$1504,"我方收款",业务流水!$C$5:$C$1504,$A49,业务流水!$Z$5:$Z$1504,"是"))</f>
        <v>0</v>
      </c>
      <c r="N49" s="43" t="n">
        <f aca="false">IF($A49="","",$K49-$M49)</f>
        <v>0</v>
      </c>
      <c r="O49" s="41" t="n">
        <f aca="false">IF($A49="","",SUMIFS(业务流水!$H$5:$H$1504,业务流水!$F$5:$F$1504,"*",业务流水!$D$5:$D$1504,"管理费结算",业务流水!$C$5:$C$1504,$A49,业务流水!$Z$5:$Z$1504,"是"))</f>
        <v>0</v>
      </c>
      <c r="P49" s="41" t="n">
        <f aca="false">IF($A49="","",SUMIFS(业务流水!$H$5:$H$1504,业务流水!$E$5:$E$1504,"*",业务流水!$D$5:$D$1504,"扣质保金",业务流水!$C$5:$C$1504,$A49,业务流水!$Z$5:$Z$1504,"是"))</f>
        <v>0</v>
      </c>
    </row>
    <row r="50" customFormat="false" ht="15.75" hidden="false" customHeight="true" outlineLevel="0" collapsed="false">
      <c r="A50" s="32" t="str">
        <f aca="false">IF(项目档案!$A50="","",项目档案!$A50)</f>
        <v>A045</v>
      </c>
      <c r="B50" s="40" t="str">
        <f aca="false">IF($A50="","",项目档案!$B50)</f>
        <v>重庆民能实业有限公司2025-2026年度工程用特种设备租赁服务框架采购(铜梁公司2026年配电专业应急抢修抢险等外包项目(永嘉所高丰3社等台区4个应急抢修项目))</v>
      </c>
      <c r="C50" s="41" t="n">
        <f aca="false">IF($A50="","",SUMIFS(业务流水!$H$5:$H$1504,业务流水!$E$5:$E$1504,"*",业务流水!$D$5:$D$1504,"销项开票",业务流水!$C$5:$C$1504,$A50,业务流水!$Z$5:$Z$1504,"是"))</f>
        <v>1664.96</v>
      </c>
      <c r="D50" s="41" t="n">
        <f aca="false">IF($A50="","",SUMIFS(业务流水!$O$5:$O$1504,业务流水!$E$5:$E$1504,"*",业务流水!$D$5:$D$1504,"销项开票",业务流水!$C$5:$C$1504,$A50,业务流水!$Z$5:$Z$1504,"是"))</f>
        <v>66.6</v>
      </c>
      <c r="E50" s="41" t="n">
        <f aca="false">IF($A50="","",SUMIFS(业务流水!$P$5:$P$1504,业务流水!$E$5:$E$1504,"*",业务流水!$D$5:$D$1504,"销项开票",业务流水!$C$5:$C$1504,$A50,业务流水!$Z$5:$Z$1504,"是"))</f>
        <v>1598.36</v>
      </c>
      <c r="F50" s="41" t="n">
        <f aca="false">IF($A50="","",SUMIFS(业务流水!$H$5:$H$1504,业务流水!$F$5:$F$1504,"*",业务流水!$D$5:$D$1504,"成本票",业务流水!$C$5:$C$1504,$A50,业务流水!$Z$5:$Z$1504,"是")+SUMIFS(业务流水!$H$5:$H$1504,业务流水!$F$5:$F$1504,"*",业务流水!$D$5:$D$1504,"销项开票",业务流水!$C$5:$C$1504,$A50,业务流水!$Z$5:$Z$1504,"是"))</f>
        <v>5723.34</v>
      </c>
      <c r="G50" s="42" t="n">
        <f aca="false">IF($A50="","",$E50-$F50)</f>
        <v>-4124.98</v>
      </c>
      <c r="H50" s="41" t="n">
        <f aca="false">IF($A50="","",SUMIFS(业务流水!$W$5:$W$1504,业务流水!$E$5:$E$1504,"*",业务流水!$D$5:$D$1504,"销项开票",业务流水!$C$5:$C$1504,$A50,业务流水!$Z$5:$Z$1504,"是"))</f>
        <v>0</v>
      </c>
      <c r="I50" s="41" t="n">
        <f aca="false">IF($A50="","",SUMIFS(业务流水!$H$5:$H$1504,业务流水!$E$5:$E$1504,"*",业务流水!$D$5:$D$1504,"已交税",业务流水!$C$5:$C$1504,$A50,业务流水!$Z$5:$Z$1504,"是"))</f>
        <v>0</v>
      </c>
      <c r="J50" s="42" t="n">
        <f aca="false">IF($A50="","",$H50-$I50)</f>
        <v>0</v>
      </c>
      <c r="K50" s="41" t="n">
        <f aca="false">IF($A50="","",SUMIFS(业务流水!$H$5:$H$1504,业务流水!$F$5:$F$1504,"*",业务流水!$D$5:$D$1504,"挂靠代收",业务流水!$C$5:$C$1504,$A50,业务流水!$Z$5:$Z$1504,"是"))</f>
        <v>0</v>
      </c>
      <c r="L50" s="42" t="n">
        <f aca="false">IF($A50="","",$C50-$K50)</f>
        <v>1664.96</v>
      </c>
      <c r="M50" s="41" t="n">
        <f aca="false">IF($A50="","",SUMIFS(业务流水!$H$5:$H$1504,业务流水!$E$5:$E$1504,"*",业务流水!$D$5:$D$1504,"我方收款",业务流水!$C$5:$C$1504,$A50,业务流水!$Z$5:$Z$1504,"是"))</f>
        <v>0</v>
      </c>
      <c r="N50" s="43" t="n">
        <f aca="false">IF($A50="","",$K50-$M50)</f>
        <v>0</v>
      </c>
      <c r="O50" s="41" t="n">
        <f aca="false">IF($A50="","",SUMIFS(业务流水!$H$5:$H$1504,业务流水!$F$5:$F$1504,"*",业务流水!$D$5:$D$1504,"管理费结算",业务流水!$C$5:$C$1504,$A50,业务流水!$Z$5:$Z$1504,"是"))</f>
        <v>0</v>
      </c>
      <c r="P50" s="41" t="n">
        <f aca="false">IF($A50="","",SUMIFS(业务流水!$H$5:$H$1504,业务流水!$E$5:$E$1504,"*",业务流水!$D$5:$D$1504,"扣质保金",业务流水!$C$5:$C$1504,$A50,业务流水!$Z$5:$Z$1504,"是"))</f>
        <v>0</v>
      </c>
    </row>
    <row r="51" customFormat="false" ht="15.75" hidden="false" customHeight="true" outlineLevel="0" collapsed="false">
      <c r="A51" s="32" t="str">
        <f aca="false">IF(项目档案!$A51="","",项目档案!$A51)</f>
        <v>A046</v>
      </c>
      <c r="B51" s="40" t="str">
        <f aca="false">IF($A51="","",项目档案!$B51)</f>
        <v>重庆民能实业有限公司2025-2026年度工程用特种设备租赁服务框架采购(铜梁公司2026年配电专业应急抢修抢险等外包项目(永嘉所义和8社等台区3个对地不足隐患治理项目)）</v>
      </c>
      <c r="C51" s="41" t="n">
        <f aca="false">IF($A51="","",SUMIFS(业务流水!$H$5:$H$1504,业务流水!$E$5:$E$1504,"*",业务流水!$D$5:$D$1504,"销项开票",业务流水!$C$5:$C$1504,$A51,业务流水!$Z$5:$Z$1504,"是"))</f>
        <v>1513.6</v>
      </c>
      <c r="D51" s="41" t="n">
        <f aca="false">IF($A51="","",SUMIFS(业务流水!$O$5:$O$1504,业务流水!$E$5:$E$1504,"*",业务流水!$D$5:$D$1504,"销项开票",业务流水!$C$5:$C$1504,$A51,业务流水!$Z$5:$Z$1504,"是"))</f>
        <v>60.54</v>
      </c>
      <c r="E51" s="41" t="n">
        <f aca="false">IF($A51="","",SUMIFS(业务流水!$P$5:$P$1504,业务流水!$E$5:$E$1504,"*",业务流水!$D$5:$D$1504,"销项开票",业务流水!$C$5:$C$1504,$A51,业务流水!$Z$5:$Z$1504,"是"))</f>
        <v>1453.06</v>
      </c>
      <c r="F51" s="41" t="n">
        <f aca="false">IF($A51="","",SUMIFS(业务流水!$H$5:$H$1504,业务流水!$F$5:$F$1504,"*",业务流水!$D$5:$D$1504,"成本票",业务流水!$C$5:$C$1504,$A51,业务流水!$Z$5:$Z$1504,"是")+SUMIFS(业务流水!$H$5:$H$1504,业务流水!$F$5:$F$1504,"*",业务流水!$D$5:$D$1504,"销项开票",业务流水!$C$5:$C$1504,$A51,业务流水!$Z$5:$Z$1504,"是"))</f>
        <v>2966.66</v>
      </c>
      <c r="G51" s="42" t="n">
        <f aca="false">IF($A51="","",$E51-$F51)</f>
        <v>-1513.6</v>
      </c>
      <c r="H51" s="41" t="n">
        <f aca="false">IF($A51="","",SUMIFS(业务流水!$W$5:$W$1504,业务流水!$E$5:$E$1504,"*",业务流水!$D$5:$D$1504,"销项开票",业务流水!$C$5:$C$1504,$A51,业务流水!$Z$5:$Z$1504,"是"))</f>
        <v>0</v>
      </c>
      <c r="I51" s="41" t="n">
        <f aca="false">IF($A51="","",SUMIFS(业务流水!$H$5:$H$1504,业务流水!$E$5:$E$1504,"*",业务流水!$D$5:$D$1504,"已交税",业务流水!$C$5:$C$1504,$A51,业务流水!$Z$5:$Z$1504,"是"))</f>
        <v>0</v>
      </c>
      <c r="J51" s="42" t="n">
        <f aca="false">IF($A51="","",$H51-$I51)</f>
        <v>0</v>
      </c>
      <c r="K51" s="41" t="n">
        <f aca="false">IF($A51="","",SUMIFS(业务流水!$H$5:$H$1504,业务流水!$F$5:$F$1504,"*",业务流水!$D$5:$D$1504,"挂靠代收",业务流水!$C$5:$C$1504,$A51,业务流水!$Z$5:$Z$1504,"是"))</f>
        <v>0</v>
      </c>
      <c r="L51" s="42" t="n">
        <f aca="false">IF($A51="","",$C51-$K51)</f>
        <v>1513.6</v>
      </c>
      <c r="M51" s="41" t="n">
        <f aca="false">IF($A51="","",SUMIFS(业务流水!$H$5:$H$1504,业务流水!$E$5:$E$1504,"*",业务流水!$D$5:$D$1504,"我方收款",业务流水!$C$5:$C$1504,$A51,业务流水!$Z$5:$Z$1504,"是"))</f>
        <v>0</v>
      </c>
      <c r="N51" s="43" t="n">
        <f aca="false">IF($A51="","",$K51-$M51)</f>
        <v>0</v>
      </c>
      <c r="O51" s="41" t="n">
        <f aca="false">IF($A51="","",SUMIFS(业务流水!$H$5:$H$1504,业务流水!$F$5:$F$1504,"*",业务流水!$D$5:$D$1504,"管理费结算",业务流水!$C$5:$C$1504,$A51,业务流水!$Z$5:$Z$1504,"是"))</f>
        <v>0</v>
      </c>
      <c r="P51" s="41" t="n">
        <f aca="false">IF($A51="","",SUMIFS(业务流水!$H$5:$H$1504,业务流水!$E$5:$E$1504,"*",业务流水!$D$5:$D$1504,"扣质保金",业务流水!$C$5:$C$1504,$A51,业务流水!$Z$5:$Z$1504,"是"))</f>
        <v>0</v>
      </c>
    </row>
    <row r="52" customFormat="false" ht="15.75" hidden="false" customHeight="true" outlineLevel="0" collapsed="false">
      <c r="A52" s="32" t="str">
        <f aca="false">IF(项目档案!$A52="","",项目档案!$A52)</f>
        <v>A047</v>
      </c>
      <c r="B52" s="40" t="str">
        <f aca="false">IF($A52="","",项目档案!$B52)</f>
        <v>重庆民能实业有限公司2025-2026年度工程用特种设备租赁服务框架采购(铜梁公司2026年35kV输电专业应急抢修检修外包项目(输电运检中心2026年35kV线路接地隐患消除等3个项目)）</v>
      </c>
      <c r="C52" s="41" t="n">
        <f aca="false">IF($A52="","",SUMIFS(业务流水!$H$5:$H$1504,业务流水!$E$5:$E$1504,"*",业务流水!$D$5:$D$1504,"销项开票",业务流水!$C$5:$C$1504,$A52,业务流水!$Z$5:$Z$1504,"是"))</f>
        <v>1816.32</v>
      </c>
      <c r="D52" s="41" t="n">
        <f aca="false">IF($A52="","",SUMIFS(业务流水!$O$5:$O$1504,业务流水!$E$5:$E$1504,"*",业务流水!$D$5:$D$1504,"销项开票",业务流水!$C$5:$C$1504,$A52,业务流水!$Z$5:$Z$1504,"是"))</f>
        <v>72.65</v>
      </c>
      <c r="E52" s="41" t="n">
        <f aca="false">IF($A52="","",SUMIFS(业务流水!$P$5:$P$1504,业务流水!$E$5:$E$1504,"*",业务流水!$D$5:$D$1504,"销项开票",业务流水!$C$5:$C$1504,$A52,业务流水!$Z$5:$Z$1504,"是"))</f>
        <v>1743.67</v>
      </c>
      <c r="F52" s="41" t="n">
        <f aca="false">IF($A52="","",SUMIFS(业务流水!$H$5:$H$1504,业务流水!$F$5:$F$1504,"*",业务流水!$D$5:$D$1504,"成本票",业务流水!$C$5:$C$1504,$A52,业务流水!$Z$5:$Z$1504,"是")+SUMIFS(业务流水!$H$5:$H$1504,业务流水!$F$5:$F$1504,"*",业务流水!$D$5:$D$1504,"销项开票",业务流水!$C$5:$C$1504,$A52,业务流水!$Z$5:$Z$1504,"是"))</f>
        <v>3559.99</v>
      </c>
      <c r="G52" s="42" t="n">
        <f aca="false">IF($A52="","",$E52-$F52)</f>
        <v>-1816.32</v>
      </c>
      <c r="H52" s="41" t="n">
        <f aca="false">IF($A52="","",SUMIFS(业务流水!$W$5:$W$1504,业务流水!$E$5:$E$1504,"*",业务流水!$D$5:$D$1504,"销项开票",业务流水!$C$5:$C$1504,$A52,业务流水!$Z$5:$Z$1504,"是"))</f>
        <v>0</v>
      </c>
      <c r="I52" s="41" t="n">
        <f aca="false">IF($A52="","",SUMIFS(业务流水!$H$5:$H$1504,业务流水!$E$5:$E$1504,"*",业务流水!$D$5:$D$1504,"已交税",业务流水!$C$5:$C$1504,$A52,业务流水!$Z$5:$Z$1504,"是"))</f>
        <v>0</v>
      </c>
      <c r="J52" s="42" t="n">
        <f aca="false">IF($A52="","",$H52-$I52)</f>
        <v>0</v>
      </c>
      <c r="K52" s="41" t="n">
        <f aca="false">IF($A52="","",SUMIFS(业务流水!$H$5:$H$1504,业务流水!$F$5:$F$1504,"*",业务流水!$D$5:$D$1504,"挂靠代收",业务流水!$C$5:$C$1504,$A52,业务流水!$Z$5:$Z$1504,"是"))</f>
        <v>0</v>
      </c>
      <c r="L52" s="42" t="n">
        <f aca="false">IF($A52="","",$C52-$K52)</f>
        <v>1816.32</v>
      </c>
      <c r="M52" s="41" t="n">
        <f aca="false">IF($A52="","",SUMIFS(业务流水!$H$5:$H$1504,业务流水!$E$5:$E$1504,"*",业务流水!$D$5:$D$1504,"我方收款",业务流水!$C$5:$C$1504,$A52,业务流水!$Z$5:$Z$1504,"是"))</f>
        <v>0</v>
      </c>
      <c r="N52" s="43" t="n">
        <f aca="false">IF($A52="","",$K52-$M52)</f>
        <v>0</v>
      </c>
      <c r="O52" s="41" t="n">
        <f aca="false">IF($A52="","",SUMIFS(业务流水!$H$5:$H$1504,业务流水!$F$5:$F$1504,"*",业务流水!$D$5:$D$1504,"管理费结算",业务流水!$C$5:$C$1504,$A52,业务流水!$Z$5:$Z$1504,"是"))</f>
        <v>984.06</v>
      </c>
      <c r="P52" s="41" t="n">
        <f aca="false">IF($A52="","",SUMIFS(业务流水!$H$5:$H$1504,业务流水!$E$5:$E$1504,"*",业务流水!$D$5:$D$1504,"扣质保金",业务流水!$C$5:$C$1504,$A52,业务流水!$Z$5:$Z$1504,"是"))</f>
        <v>0</v>
      </c>
    </row>
    <row r="53" customFormat="false" ht="15.75" hidden="false" customHeight="true" outlineLevel="0" collapsed="false">
      <c r="A53" s="32" t="str">
        <f aca="false">IF(项目档案!$A53="","",项目档案!$A53)</f>
        <v>A048</v>
      </c>
      <c r="B53" s="40" t="str">
        <f aca="false">IF($A53="","",项目档案!$B53)</f>
        <v>重庆民能实业有限公司2025-2026年度工程用特种设备租赁服务框架采购(铜梁公司2026年配电专业应急抢修抢险等外包项目(永嘉所许家3社1等台区2个隐患治理项目))</v>
      </c>
      <c r="C53" s="41" t="n">
        <f aca="false">IF($A53="","",SUMIFS(业务流水!$H$5:$H$1504,业务流水!$E$5:$E$1504,"*",业务流水!$D$5:$D$1504,"销项开票",业务流水!$C$5:$C$1504,$A53,业务流水!$Z$5:$Z$1504,"是"))</f>
        <v>0</v>
      </c>
      <c r="D53" s="41" t="n">
        <f aca="false">IF($A53="","",SUMIFS(业务流水!$O$5:$O$1504,业务流水!$E$5:$E$1504,"*",业务流水!$D$5:$D$1504,"销项开票",业务流水!$C$5:$C$1504,$A53,业务流水!$Z$5:$Z$1504,"是"))</f>
        <v>0</v>
      </c>
      <c r="E53" s="41" t="n">
        <f aca="false">IF($A53="","",SUMIFS(业务流水!$P$5:$P$1504,业务流水!$E$5:$E$1504,"*",业务流水!$D$5:$D$1504,"销项开票",业务流水!$C$5:$C$1504,$A53,业务流水!$Z$5:$Z$1504,"是"))</f>
        <v>0</v>
      </c>
      <c r="F53" s="41" t="n">
        <f aca="false">IF($A53="","",SUMIFS(业务流水!$H$5:$H$1504,业务流水!$F$5:$F$1504,"*",业务流水!$D$5:$D$1504,"成本票",业务流水!$C$5:$C$1504,$A53,业务流水!$Z$5:$Z$1504,"是")+SUMIFS(业务流水!$H$5:$H$1504,业务流水!$F$5:$F$1504,"*",业务流水!$D$5:$D$1504,"销项开票",业务流水!$C$5:$C$1504,$A53,业务流水!$Z$5:$Z$1504,"是"))</f>
        <v>1188.53</v>
      </c>
      <c r="G53" s="42" t="n">
        <f aca="false">IF($A53="","",$E53-$F53)</f>
        <v>-1188.53</v>
      </c>
      <c r="H53" s="41" t="n">
        <f aca="false">IF($A53="","",SUMIFS(业务流水!$W$5:$W$1504,业务流水!$E$5:$E$1504,"*",业务流水!$D$5:$D$1504,"销项开票",业务流水!$C$5:$C$1504,$A53,业务流水!$Z$5:$Z$1504,"是"))</f>
        <v>0</v>
      </c>
      <c r="I53" s="41" t="n">
        <f aca="false">IF($A53="","",SUMIFS(业务流水!$H$5:$H$1504,业务流水!$E$5:$E$1504,"*",业务流水!$D$5:$D$1504,"已交税",业务流水!$C$5:$C$1504,$A53,业务流水!$Z$5:$Z$1504,"是"))</f>
        <v>0</v>
      </c>
      <c r="J53" s="42" t="n">
        <f aca="false">IF($A53="","",$H53-$I53)</f>
        <v>0</v>
      </c>
      <c r="K53" s="41" t="n">
        <f aca="false">IF($A53="","",SUMIFS(业务流水!$H$5:$H$1504,业务流水!$F$5:$F$1504,"*",业务流水!$D$5:$D$1504,"挂靠代收",业务流水!$C$5:$C$1504,$A53,业务流水!$Z$5:$Z$1504,"是"))</f>
        <v>0</v>
      </c>
      <c r="L53" s="42" t="n">
        <f aca="false">IF($A53="","",$C53-$K53)</f>
        <v>0</v>
      </c>
      <c r="M53" s="41" t="n">
        <f aca="false">IF($A53="","",SUMIFS(业务流水!$H$5:$H$1504,业务流水!$E$5:$E$1504,"*",业务流水!$D$5:$D$1504,"我方收款",业务流水!$C$5:$C$1504,$A53,业务流水!$Z$5:$Z$1504,"是"))</f>
        <v>0</v>
      </c>
      <c r="N53" s="43" t="n">
        <f aca="false">IF($A53="","",$K53-$M53)</f>
        <v>0</v>
      </c>
      <c r="O53" s="41" t="n">
        <f aca="false">IF($A53="","",SUMIFS(业务流水!$H$5:$H$1504,业务流水!$F$5:$F$1504,"*",业务流水!$D$5:$D$1504,"管理费结算",业务流水!$C$5:$C$1504,$A53,业务流水!$Z$5:$Z$1504,"是"))</f>
        <v>0</v>
      </c>
      <c r="P53" s="41" t="n">
        <f aca="false">IF($A53="","",SUMIFS(业务流水!$H$5:$H$1504,业务流水!$E$5:$E$1504,"*",业务流水!$D$5:$D$1504,"扣质保金",业务流水!$C$5:$C$1504,$A53,业务流水!$Z$5:$Z$1504,"是"))</f>
        <v>0</v>
      </c>
    </row>
    <row r="54" customFormat="false" ht="15.75" hidden="false" customHeight="true" outlineLevel="0" collapsed="false">
      <c r="A54" s="32" t="str">
        <f aca="false">IF(项目档案!$A54="","",项目档案!$A54)</f>
        <v>A049</v>
      </c>
      <c r="B54" s="40" t="str">
        <f aca="false">IF($A54="","",项目档案!$B54)</f>
        <v>重庆民能实业有限公司2025-2026年度工程用特种设备租赁服务框架采购(铜梁公司2026年配电专业应急抢修抢险等外包项目(永嘉所义和8社等台区3个对地不足隐患治理项目))</v>
      </c>
      <c r="C54" s="41" t="n">
        <f aca="false">IF($A54="","",SUMIFS(业务流水!$H$5:$H$1504,业务流水!$E$5:$E$1504,"*",业务流水!$D$5:$D$1504,"销项开票",业务流水!$C$5:$C$1504,$A54,业务流水!$Z$5:$Z$1504,"是"))</f>
        <v>0</v>
      </c>
      <c r="D54" s="41" t="n">
        <f aca="false">IF($A54="","",SUMIFS(业务流水!$O$5:$O$1504,业务流水!$E$5:$E$1504,"*",业务流水!$D$5:$D$1504,"销项开票",业务流水!$C$5:$C$1504,$A54,业务流水!$Z$5:$Z$1504,"是"))</f>
        <v>0</v>
      </c>
      <c r="E54" s="41" t="n">
        <f aca="false">IF($A54="","",SUMIFS(业务流水!$P$5:$P$1504,业务流水!$E$5:$E$1504,"*",业务流水!$D$5:$D$1504,"销项开票",业务流水!$C$5:$C$1504,$A54,业务流水!$Z$5:$Z$1504,"是"))</f>
        <v>0</v>
      </c>
      <c r="F54" s="41" t="n">
        <f aca="false">IF($A54="","",SUMIFS(业务流水!$H$5:$H$1504,业务流水!$F$5:$F$1504,"*",业务流水!$D$5:$D$1504,"成本票",业务流水!$C$5:$C$1504,$A54,业务流水!$Z$5:$Z$1504,"是")+SUMIFS(业务流水!$H$5:$H$1504,业务流水!$F$5:$F$1504,"*",业务流水!$D$5:$D$1504,"销项开票",业务流水!$C$5:$C$1504,$A54,业务流水!$Z$5:$Z$1504,"是"))</f>
        <v>1557.63</v>
      </c>
      <c r="G54" s="42" t="n">
        <f aca="false">IF($A54="","",$E54-$F54)</f>
        <v>-1557.63</v>
      </c>
      <c r="H54" s="41" t="n">
        <f aca="false">IF($A54="","",SUMIFS(业务流水!$W$5:$W$1504,业务流水!$E$5:$E$1504,"*",业务流水!$D$5:$D$1504,"销项开票",业务流水!$C$5:$C$1504,$A54,业务流水!$Z$5:$Z$1504,"是"))</f>
        <v>0</v>
      </c>
      <c r="I54" s="41" t="n">
        <f aca="false">IF($A54="","",SUMIFS(业务流水!$H$5:$H$1504,业务流水!$E$5:$E$1504,"*",业务流水!$D$5:$D$1504,"已交税",业务流水!$C$5:$C$1504,$A54,业务流水!$Z$5:$Z$1504,"是"))</f>
        <v>0</v>
      </c>
      <c r="J54" s="42" t="n">
        <f aca="false">IF($A54="","",$H54-$I54)</f>
        <v>0</v>
      </c>
      <c r="K54" s="41" t="n">
        <f aca="false">IF($A54="","",SUMIFS(业务流水!$H$5:$H$1504,业务流水!$F$5:$F$1504,"*",业务流水!$D$5:$D$1504,"挂靠代收",业务流水!$C$5:$C$1504,$A54,业务流水!$Z$5:$Z$1504,"是"))</f>
        <v>0</v>
      </c>
      <c r="L54" s="42" t="n">
        <f aca="false">IF($A54="","",$C54-$K54)</f>
        <v>0</v>
      </c>
      <c r="M54" s="41" t="n">
        <f aca="false">IF($A54="","",SUMIFS(业务流水!$H$5:$H$1504,业务流水!$E$5:$E$1504,"*",业务流水!$D$5:$D$1504,"我方收款",业务流水!$C$5:$C$1504,$A54,业务流水!$Z$5:$Z$1504,"是"))</f>
        <v>0</v>
      </c>
      <c r="N54" s="43" t="n">
        <f aca="false">IF($A54="","",$K54-$M54)</f>
        <v>0</v>
      </c>
      <c r="O54" s="41" t="n">
        <f aca="false">IF($A54="","",SUMIFS(业务流水!$H$5:$H$1504,业务流水!$F$5:$F$1504,"*",业务流水!$D$5:$D$1504,"管理费结算",业务流水!$C$5:$C$1504,$A54,业务流水!$Z$5:$Z$1504,"是"))</f>
        <v>0</v>
      </c>
      <c r="P54" s="41" t="n">
        <f aca="false">IF($A54="","",SUMIFS(业务流水!$H$5:$H$1504,业务流水!$E$5:$E$1504,"*",业务流水!$D$5:$D$1504,"扣质保金",业务流水!$C$5:$C$1504,$A54,业务流水!$Z$5:$Z$1504,"是"))</f>
        <v>0</v>
      </c>
    </row>
    <row r="55" customFormat="false" ht="15.75" hidden="false" customHeight="true" outlineLevel="0" collapsed="false">
      <c r="A55" s="32" t="str">
        <f aca="false">IF(项目档案!$A55="","",项目档案!$A55)</f>
        <v>A050</v>
      </c>
      <c r="B55" s="40" t="str">
        <f aca="false">IF($A55="","",项目档案!$B55)</f>
        <v>重庆市铜梁区锦绣花园A区居民供电设施改造工程</v>
      </c>
      <c r="C55" s="41" t="n">
        <f aca="false">IF($A55="","",SUMIFS(业务流水!$H$5:$H$1504,业务流水!$E$5:$E$1504,"*",业务流水!$D$5:$D$1504,"销项开票",业务流水!$C$5:$C$1504,$A55,业务流水!$Z$5:$Z$1504,"是"))</f>
        <v>106252.1</v>
      </c>
      <c r="D55" s="41" t="n">
        <f aca="false">IF($A55="","",SUMIFS(业务流水!$O$5:$O$1504,业务流水!$E$5:$E$1504,"*",业务流水!$D$5:$D$1504,"销项开票",业务流水!$C$5:$C$1504,$A55,业务流水!$Z$5:$Z$1504,"是"))</f>
        <v>10625.21</v>
      </c>
      <c r="E55" s="41" t="n">
        <f aca="false">IF($A55="","",SUMIFS(业务流水!$P$5:$P$1504,业务流水!$E$5:$E$1504,"*",业务流水!$D$5:$D$1504,"销项开票",业务流水!$C$5:$C$1504,$A55,业务流水!$Z$5:$Z$1504,"是"))</f>
        <v>95626.89</v>
      </c>
      <c r="F55" s="41" t="n">
        <f aca="false">IF($A55="","",SUMIFS(业务流水!$H$5:$H$1504,业务流水!$F$5:$F$1504,"*",业务流水!$D$5:$D$1504,"成本票",业务流水!$C$5:$C$1504,$A55,业务流水!$Z$5:$Z$1504,"是")+SUMIFS(业务流水!$H$5:$H$1504,业务流水!$F$5:$F$1504,"*",业务流水!$D$5:$D$1504,"销项开票",业务流水!$C$5:$C$1504,$A55,业务流水!$Z$5:$Z$1504,"是"))</f>
        <v>106252.1</v>
      </c>
      <c r="G55" s="42" t="n">
        <f aca="false">IF($A55="","",$E55-$F55)</f>
        <v>-10625.21</v>
      </c>
      <c r="H55" s="41" t="n">
        <f aca="false">IF($A55="","",SUMIFS(业务流水!$W$5:$W$1504,业务流水!$E$5:$E$1504,"*",业务流水!$D$5:$D$1504,"销项开票",业务流水!$C$5:$C$1504,$A55,业务流水!$Z$5:$Z$1504,"是"))</f>
        <v>9825.88</v>
      </c>
      <c r="I55" s="41" t="n">
        <f aca="false">IF($A55="","",SUMIFS(业务流水!$H$5:$H$1504,业务流水!$E$5:$E$1504,"*",业务流水!$D$5:$D$1504,"已交税",业务流水!$C$5:$C$1504,$A55,业务流水!$Z$5:$Z$1504,"是"))</f>
        <v>17766.62</v>
      </c>
      <c r="J55" s="42" t="n">
        <f aca="false">IF($A55="","",$H55-$I55)</f>
        <v>-7940.74</v>
      </c>
      <c r="K55" s="41" t="n">
        <f aca="false">IF($A55="","",SUMIFS(业务流水!$H$5:$H$1504,业务流水!$F$5:$F$1504,"*",业务流水!$D$5:$D$1504,"挂靠代收",业务流水!$C$5:$C$1504,$A55,业务流水!$Z$5:$Z$1504,"是"))</f>
        <v>0</v>
      </c>
      <c r="L55" s="42" t="n">
        <f aca="false">IF($A55="","",$C55-$K55)</f>
        <v>106252.1</v>
      </c>
      <c r="M55" s="41" t="n">
        <f aca="false">IF($A55="","",SUMIFS(业务流水!$H$5:$H$1504,业务流水!$E$5:$E$1504,"*",业务流水!$D$5:$D$1504,"我方收款",业务流水!$C$5:$C$1504,$A55,业务流水!$Z$5:$Z$1504,"是"))</f>
        <v>0</v>
      </c>
      <c r="N55" s="43" t="n">
        <f aca="false">IF($A55="","",$K55-$M55)</f>
        <v>0</v>
      </c>
      <c r="O55" s="41" t="n">
        <f aca="false">IF($A55="","",SUMIFS(业务流水!$H$5:$H$1504,业务流水!$F$5:$F$1504,"*",业务流水!$D$5:$D$1504,"管理费结算",业务流水!$C$5:$C$1504,$A55,业务流水!$Z$5:$Z$1504,"是"))</f>
        <v>16389.36</v>
      </c>
      <c r="P55" s="41" t="n">
        <f aca="false">IF($A55="","",SUMIFS(业务流水!$H$5:$H$1504,业务流水!$E$5:$E$1504,"*",业务流水!$D$5:$D$1504,"扣质保金",业务流水!$C$5:$C$1504,$A55,业务流水!$Z$5:$Z$1504,"是"))</f>
        <v>0</v>
      </c>
    </row>
    <row r="56" customFormat="false" ht="15.75" hidden="false" customHeight="true" outlineLevel="0" collapsed="false">
      <c r="A56" s="32" t="str">
        <f aca="false">IF(项目档案!$A56="","",项目档案!$A56)</f>
        <v>A051</v>
      </c>
      <c r="B56" s="40" t="str">
        <f aca="false">IF($A56="","",项目档案!$B56)</f>
        <v>2025-2026年度工程用特种设备租赁服务框架采购(10kV少盘线哨楼村支线#1杆线路迁改
工程)</v>
      </c>
      <c r="C56" s="41" t="n">
        <f aca="false">IF($A56="","",SUMIFS(业务流水!$H$5:$H$1504,业务流水!$E$5:$E$1504,"*",业务流水!$D$5:$D$1504,"销项开票",业务流水!$C$5:$C$1504,$A56,业务流水!$Z$5:$Z$1504,"是"))</f>
        <v>3506.6</v>
      </c>
      <c r="D56" s="41" t="n">
        <f aca="false">IF($A56="","",SUMIFS(业务流水!$O$5:$O$1504,业务流水!$E$5:$E$1504,"*",业务流水!$D$5:$D$1504,"销项开票",业务流水!$C$5:$C$1504,$A56,业务流水!$Z$5:$Z$1504,"是"))</f>
        <v>140.26</v>
      </c>
      <c r="E56" s="41" t="n">
        <f aca="false">IF($A56="","",SUMIFS(业务流水!$P$5:$P$1504,业务流水!$E$5:$E$1504,"*",业务流水!$D$5:$D$1504,"销项开票",业务流水!$C$5:$C$1504,$A56,业务流水!$Z$5:$Z$1504,"是"))</f>
        <v>3366.34</v>
      </c>
      <c r="F56" s="41" t="n">
        <f aca="false">IF($A56="","",SUMIFS(业务流水!$H$5:$H$1504,业务流水!$F$5:$F$1504,"*",业务流水!$D$5:$D$1504,"成本票",业务流水!$C$5:$C$1504,$A56,业务流水!$Z$5:$Z$1504,"是")+SUMIFS(业务流水!$H$5:$H$1504,业务流水!$F$5:$F$1504,"*",业务流水!$D$5:$D$1504,"销项开票",业务流水!$C$5:$C$1504,$A56,业务流水!$Z$5:$Z$1504,"是"))</f>
        <v>6872.94</v>
      </c>
      <c r="G56" s="42" t="n">
        <f aca="false">IF($A56="","",$E56-$F56)</f>
        <v>-3506.6</v>
      </c>
      <c r="H56" s="41" t="n">
        <f aca="false">IF($A56="","",SUMIFS(业务流水!$W$5:$W$1504,业务流水!$E$5:$E$1504,"*",业务流水!$D$5:$D$1504,"销项开票",业务流水!$C$5:$C$1504,$A56,业务流水!$Z$5:$Z$1504,"是"))</f>
        <v>216.53</v>
      </c>
      <c r="I56" s="41" t="n">
        <f aca="false">IF($A56="","",SUMIFS(业务流水!$H$5:$H$1504,业务流水!$E$5:$E$1504,"*",业务流水!$D$5:$D$1504,"已交税",业务流水!$C$5:$C$1504,$A56,业务流水!$Z$5:$Z$1504,"是"))</f>
        <v>-373.3</v>
      </c>
      <c r="J56" s="42" t="n">
        <f aca="false">IF($A56="","",$H56-$I56)</f>
        <v>589.83</v>
      </c>
      <c r="K56" s="41" t="n">
        <f aca="false">IF($A56="","",SUMIFS(业务流水!$H$5:$H$1504,业务流水!$F$5:$F$1504,"*",业务流水!$D$5:$D$1504,"挂靠代收",业务流水!$C$5:$C$1504,$A56,业务流水!$Z$5:$Z$1504,"是"))</f>
        <v>0</v>
      </c>
      <c r="L56" s="42" t="n">
        <f aca="false">IF($A56="","",$C56-$K56)</f>
        <v>3506.6</v>
      </c>
      <c r="M56" s="41" t="n">
        <f aca="false">IF($A56="","",SUMIFS(业务流水!$H$5:$H$1504,业务流水!$E$5:$E$1504,"*",业务流水!$D$5:$D$1504,"我方收款",业务流水!$C$5:$C$1504,$A56,业务流水!$Z$5:$Z$1504,"是"))</f>
        <v>373.3</v>
      </c>
      <c r="N56" s="43" t="n">
        <f aca="false">IF($A56="","",$K56-$M56)</f>
        <v>-373.3</v>
      </c>
      <c r="O56" s="41" t="n">
        <f aca="false">IF($A56="","",SUMIFS(业务流水!$H$5:$H$1504,业务流水!$F$5:$F$1504,"*",业务流水!$D$5:$D$1504,"管理费结算",业务流水!$C$5:$C$1504,$A56,业务流水!$Z$5:$Z$1504,"是"))</f>
        <v>140.26</v>
      </c>
      <c r="P56" s="41" t="n">
        <f aca="false">IF($A56="","",SUMIFS(业务流水!$H$5:$H$1504,业务流水!$E$5:$E$1504,"*",业务流水!$D$5:$D$1504,"扣质保金",业务流水!$C$5:$C$1504,$A56,业务流水!$Z$5:$Z$1504,"是"))</f>
        <v>0</v>
      </c>
    </row>
    <row r="57" customFormat="false" ht="15.75" hidden="false" customHeight="true" outlineLevel="0" collapsed="false">
      <c r="A57" s="32" t="str">
        <f aca="false">IF(项目档案!$A57="","",项目档案!$A57)</f>
        <v>A052</v>
      </c>
      <c r="B57" s="40" t="str">
        <f aca="false">IF($A57="","",项目档案!$B57)</f>
        <v>铜梁公司2026年配电专业应急抢修抢险等外包项目（永嘉所义和8社等台区3个对地不足隐患治理项目)</v>
      </c>
      <c r="C57" s="41" t="n">
        <f aca="false">IF($A57="","",SUMIFS(业务流水!$H$5:$H$1504,业务流水!$E$5:$E$1504,"*",业务流水!$D$5:$D$1504,"销项开票",业务流水!$C$5:$C$1504,$A57,业务流水!$Z$5:$Z$1504,"是"))</f>
        <v>0</v>
      </c>
      <c r="D57" s="41" t="n">
        <f aca="false">IF($A57="","",SUMIFS(业务流水!$O$5:$O$1504,业务流水!$E$5:$E$1504,"*",业务流水!$D$5:$D$1504,"销项开票",业务流水!$C$5:$C$1504,$A57,业务流水!$Z$5:$Z$1504,"是"))</f>
        <v>0</v>
      </c>
      <c r="E57" s="41" t="n">
        <f aca="false">IF($A57="","",SUMIFS(业务流水!$P$5:$P$1504,业务流水!$E$5:$E$1504,"*",业务流水!$D$5:$D$1504,"销项开票",业务流水!$C$5:$C$1504,$A57,业务流水!$Z$5:$Z$1504,"是"))</f>
        <v>0</v>
      </c>
      <c r="F57" s="41" t="n">
        <f aca="false">IF($A57="","",SUMIFS(业务流水!$H$5:$H$1504,业务流水!$F$5:$F$1504,"*",业务流水!$D$5:$D$1504,"成本票",业务流水!$C$5:$C$1504,$A57,业务流水!$Z$5:$Z$1504,"是")+SUMIFS(业务流水!$H$5:$H$1504,业务流水!$F$5:$F$1504,"*",业务流水!$D$5:$D$1504,"销项开票",业务流水!$C$5:$C$1504,$A57,业务流水!$Z$5:$Z$1504,"是"))</f>
        <v>11469.82</v>
      </c>
      <c r="G57" s="42" t="n">
        <f aca="false">IF($A57="","",$E57-$F57)</f>
        <v>-11469.82</v>
      </c>
      <c r="H57" s="41" t="n">
        <f aca="false">IF($A57="","",SUMIFS(业务流水!$W$5:$W$1504,业务流水!$E$5:$E$1504,"*",业务流水!$D$5:$D$1504,"销项开票",业务流水!$C$5:$C$1504,$A57,业务流水!$Z$5:$Z$1504,"是"))</f>
        <v>0</v>
      </c>
      <c r="I57" s="41" t="n">
        <f aca="false">IF($A57="","",SUMIFS(业务流水!$H$5:$H$1504,业务流水!$E$5:$E$1504,"*",业务流水!$D$5:$D$1504,"已交税",业务流水!$C$5:$C$1504,$A57,业务流水!$Z$5:$Z$1504,"是"))</f>
        <v>0</v>
      </c>
      <c r="J57" s="42" t="n">
        <f aca="false">IF($A57="","",$H57-$I57)</f>
        <v>0</v>
      </c>
      <c r="K57" s="41" t="n">
        <f aca="false">IF($A57="","",SUMIFS(业务流水!$H$5:$H$1504,业务流水!$F$5:$F$1504,"*",业务流水!$D$5:$D$1504,"挂靠代收",业务流水!$C$5:$C$1504,$A57,业务流水!$Z$5:$Z$1504,"是"))</f>
        <v>0</v>
      </c>
      <c r="L57" s="42" t="n">
        <f aca="false">IF($A57="","",$C57-$K57)</f>
        <v>0</v>
      </c>
      <c r="M57" s="41" t="n">
        <f aca="false">IF($A57="","",SUMIFS(业务流水!$H$5:$H$1504,业务流水!$E$5:$E$1504,"*",业务流水!$D$5:$D$1504,"我方收款",业务流水!$C$5:$C$1504,$A57,业务流水!$Z$5:$Z$1504,"是"))</f>
        <v>0</v>
      </c>
      <c r="N57" s="43" t="n">
        <f aca="false">IF($A57="","",$K57-$M57)</f>
        <v>0</v>
      </c>
      <c r="O57" s="41" t="n">
        <f aca="false">IF($A57="","",SUMIFS(业务流水!$H$5:$H$1504,业务流水!$F$5:$F$1504,"*",业务流水!$D$5:$D$1504,"管理费结算",业务流水!$C$5:$C$1504,$A57,业务流水!$Z$5:$Z$1504,"是"))</f>
        <v>0</v>
      </c>
      <c r="P57" s="41" t="n">
        <f aca="false">IF($A57="","",SUMIFS(业务流水!$H$5:$H$1504,业务流水!$E$5:$E$1504,"*",业务流水!$D$5:$D$1504,"扣质保金",业务流水!$C$5:$C$1504,$A57,业务流水!$Z$5:$Z$1504,"是"))</f>
        <v>0</v>
      </c>
    </row>
    <row r="58" customFormat="false" ht="15.75" hidden="false" customHeight="true" outlineLevel="0" collapsed="false">
      <c r="A58" s="32" t="str">
        <f aca="false">IF(项目档案!$A58="","",项目档案!$A58)</f>
        <v>A053</v>
      </c>
      <c r="B58" s="40" t="str">
        <f aca="false">IF($A58="","",项目档案!$B58)</f>
        <v>铜梁公司2026年35kV输电专业应急抢修检修外包项目(输电运检中心2026年35kV线路接地隐患消除等3项目)</v>
      </c>
      <c r="C58" s="41" t="n">
        <f aca="false">IF($A58="","",SUMIFS(业务流水!$H$5:$H$1504,业务流水!$E$5:$E$1504,"*",业务流水!$D$5:$D$1504,"销项开票",业务流水!$C$5:$C$1504,$A58,业务流水!$Z$5:$Z$1504,"是"))</f>
        <v>0</v>
      </c>
      <c r="D58" s="41" t="n">
        <f aca="false">IF($A58="","",SUMIFS(业务流水!$O$5:$O$1504,业务流水!$E$5:$E$1504,"*",业务流水!$D$5:$D$1504,"销项开票",业务流水!$C$5:$C$1504,$A58,业务流水!$Z$5:$Z$1504,"是"))</f>
        <v>0</v>
      </c>
      <c r="E58" s="41" t="n">
        <f aca="false">IF($A58="","",SUMIFS(业务流水!$P$5:$P$1504,业务流水!$E$5:$E$1504,"*",业务流水!$D$5:$D$1504,"销项开票",业务流水!$C$5:$C$1504,$A58,业务流水!$Z$5:$Z$1504,"是"))</f>
        <v>0</v>
      </c>
      <c r="F58" s="41" t="n">
        <f aca="false">IF($A58="","",SUMIFS(业务流水!$H$5:$H$1504,业务流水!$F$5:$F$1504,"*",业务流水!$D$5:$D$1504,"成本票",业务流水!$C$5:$C$1504,$A58,业务流水!$Z$5:$Z$1504,"是")+SUMIFS(业务流水!$H$5:$H$1504,业务流水!$F$5:$F$1504,"*",业务流水!$D$5:$D$1504,"销项开票",业务流水!$C$5:$C$1504,$A58,业务流水!$Z$5:$Z$1504,"是"))</f>
        <v>6045.34</v>
      </c>
      <c r="G58" s="42" t="n">
        <f aca="false">IF($A58="","",$E58-$F58)</f>
        <v>-6045.34</v>
      </c>
      <c r="H58" s="41" t="n">
        <f aca="false">IF($A58="","",SUMIFS(业务流水!$W$5:$W$1504,业务流水!$E$5:$E$1504,"*",业务流水!$D$5:$D$1504,"销项开票",业务流水!$C$5:$C$1504,$A58,业务流水!$Z$5:$Z$1504,"是"))</f>
        <v>0</v>
      </c>
      <c r="I58" s="41" t="n">
        <f aca="false">IF($A58="","",SUMIFS(业务流水!$H$5:$H$1504,业务流水!$E$5:$E$1504,"*",业务流水!$D$5:$D$1504,"已交税",业务流水!$C$5:$C$1504,$A58,业务流水!$Z$5:$Z$1504,"是"))</f>
        <v>0</v>
      </c>
      <c r="J58" s="42" t="n">
        <f aca="false">IF($A58="","",$H58-$I58)</f>
        <v>0</v>
      </c>
      <c r="K58" s="41" t="n">
        <f aca="false">IF($A58="","",SUMIFS(业务流水!$H$5:$H$1504,业务流水!$F$5:$F$1504,"*",业务流水!$D$5:$D$1504,"挂靠代收",业务流水!$C$5:$C$1504,$A58,业务流水!$Z$5:$Z$1504,"是"))</f>
        <v>0</v>
      </c>
      <c r="L58" s="42" t="n">
        <f aca="false">IF($A58="","",$C58-$K58)</f>
        <v>0</v>
      </c>
      <c r="M58" s="41" t="n">
        <f aca="false">IF($A58="","",SUMIFS(业务流水!$H$5:$H$1504,业务流水!$E$5:$E$1504,"*",业务流水!$D$5:$D$1504,"我方收款",业务流水!$C$5:$C$1504,$A58,业务流水!$Z$5:$Z$1504,"是"))</f>
        <v>0</v>
      </c>
      <c r="N58" s="43" t="n">
        <f aca="false">IF($A58="","",$K58-$M58)</f>
        <v>0</v>
      </c>
      <c r="O58" s="41" t="n">
        <f aca="false">IF($A58="","",SUMIFS(业务流水!$H$5:$H$1504,业务流水!$F$5:$F$1504,"*",业务流水!$D$5:$D$1504,"管理费结算",业务流水!$C$5:$C$1504,$A58,业务流水!$Z$5:$Z$1504,"是"))</f>
        <v>0</v>
      </c>
      <c r="P58" s="41" t="n">
        <f aca="false">IF($A58="","",SUMIFS(业务流水!$H$5:$H$1504,业务流水!$E$5:$E$1504,"*",业务流水!$D$5:$D$1504,"扣质保金",业务流水!$C$5:$C$1504,$A58,业务流水!$Z$5:$Z$1504,"是"))</f>
        <v>0</v>
      </c>
    </row>
    <row r="59" customFormat="false" ht="15.75" hidden="false" customHeight="true" outlineLevel="0" collapsed="false">
      <c r="A59" s="32" t="str">
        <f aca="false">IF(项目档案!$A59="","",项目档案!$A59)</f>
        <v>A054</v>
      </c>
      <c r="B59" s="40" t="str">
        <f aca="false">IF($A59="","",项目档案!$B59)</f>
        <v>重庆市铜梁区滨河东路68小区居民供电设施改造工程</v>
      </c>
      <c r="C59" s="41" t="n">
        <f aca="false">IF($A59="","",SUMIFS(业务流水!$H$5:$H$1504,业务流水!$E$5:$E$1504,"*",业务流水!$D$5:$D$1504,"销项开票",业务流水!$C$5:$C$1504,$A59,业务流水!$Z$5:$Z$1504,"是"))</f>
        <v>25270.54</v>
      </c>
      <c r="D59" s="41" t="n">
        <f aca="false">IF($A59="","",SUMIFS(业务流水!$O$5:$O$1504,业务流水!$E$5:$E$1504,"*",业务流水!$D$5:$D$1504,"销项开票",业务流水!$C$5:$C$1504,$A59,业务流水!$Z$5:$Z$1504,"是"))</f>
        <v>2527.05</v>
      </c>
      <c r="E59" s="41" t="n">
        <f aca="false">IF($A59="","",SUMIFS(业务流水!$P$5:$P$1504,业务流水!$E$5:$E$1504,"*",业务流水!$D$5:$D$1504,"销项开票",业务流水!$C$5:$C$1504,$A59,业务流水!$Z$5:$Z$1504,"是"))</f>
        <v>22743.49</v>
      </c>
      <c r="F59" s="41" t="n">
        <f aca="false">IF($A59="","",SUMIFS(业务流水!$H$5:$H$1504,业务流水!$F$5:$F$1504,"*",业务流水!$D$5:$D$1504,"成本票",业务流水!$C$5:$C$1504,$A59,业务流水!$Z$5:$Z$1504,"是")+SUMIFS(业务流水!$H$5:$H$1504,业务流水!$F$5:$F$1504,"*",业务流水!$D$5:$D$1504,"销项开票",业务流水!$C$5:$C$1504,$A59,业务流水!$Z$5:$Z$1504,"是"))</f>
        <v>25270.54</v>
      </c>
      <c r="G59" s="42" t="n">
        <f aca="false">IF($A59="","",$E59-$F59)</f>
        <v>-2527.05</v>
      </c>
      <c r="H59" s="41" t="n">
        <f aca="false">IF($A59="","",SUMIFS(业务流水!$W$5:$W$1504,业务流水!$E$5:$E$1504,"*",业务流水!$D$5:$D$1504,"销项开票",业务流水!$C$5:$C$1504,$A59,业务流水!$Z$5:$Z$1504,"是"))</f>
        <v>2336.95</v>
      </c>
      <c r="I59" s="41" t="n">
        <f aca="false">IF($A59="","",SUMIFS(业务流水!$H$5:$H$1504,业务流水!$E$5:$E$1504,"*",业务流水!$D$5:$D$1504,"已交税",业务流水!$C$5:$C$1504,$A59,业务流水!$Z$5:$Z$1504,"是"))</f>
        <v>0</v>
      </c>
      <c r="J59" s="42" t="n">
        <f aca="false">IF($A59="","",$H59-$I59)</f>
        <v>2336.95</v>
      </c>
      <c r="K59" s="41" t="n">
        <f aca="false">IF($A59="","",SUMIFS(业务流水!$H$5:$H$1504,业务流水!$F$5:$F$1504,"*",业务流水!$D$5:$D$1504,"挂靠代收",业务流水!$C$5:$C$1504,$A59,业务流水!$Z$5:$Z$1504,"是"))</f>
        <v>0</v>
      </c>
      <c r="L59" s="42" t="n">
        <f aca="false">IF($A59="","",$C59-$K59)</f>
        <v>25270.54</v>
      </c>
      <c r="M59" s="41" t="n">
        <f aca="false">IF($A59="","",SUMIFS(业务流水!$H$5:$H$1504,业务流水!$E$5:$E$1504,"*",业务流水!$D$5:$D$1504,"我方收款",业务流水!$C$5:$C$1504,$A59,业务流水!$Z$5:$Z$1504,"是"))</f>
        <v>0</v>
      </c>
      <c r="N59" s="43" t="n">
        <f aca="false">IF($A59="","",$K59-$M59)</f>
        <v>0</v>
      </c>
      <c r="O59" s="41" t="n">
        <f aca="false">IF($A59="","",SUMIFS(业务流水!$H$5:$H$1504,业务流水!$F$5:$F$1504,"*",业务流水!$D$5:$D$1504,"管理费结算",业务流水!$C$5:$C$1504,$A59,业务流水!$Z$5:$Z$1504,"是"))</f>
        <v>0</v>
      </c>
      <c r="P59" s="41" t="n">
        <f aca="false">IF($A59="","",SUMIFS(业务流水!$H$5:$H$1504,业务流水!$E$5:$E$1504,"*",业务流水!$D$5:$D$1504,"扣质保金",业务流水!$C$5:$C$1504,$A59,业务流水!$Z$5:$Z$1504,"是"))</f>
        <v>0</v>
      </c>
    </row>
    <row r="60" customFormat="false" ht="15.75" hidden="false" customHeight="true" outlineLevel="0" collapsed="false">
      <c r="A60" s="32" t="str">
        <f aca="false">IF(项目档案!$A60="","",项目档案!$A60)</f>
        <v>A055</v>
      </c>
      <c r="B60" s="40" t="str">
        <f aca="false">IF($A60="","",项目档案!$B60)</f>
        <v>重庆市铜梁区新华商住楼居民供电设施改造工程</v>
      </c>
      <c r="C60" s="41" t="n">
        <f aca="false">IF($A60="","",SUMIFS(业务流水!$H$5:$H$1504,业务流水!$E$5:$E$1504,"*",业务流水!$D$5:$D$1504,"销项开票",业务流水!$C$5:$C$1504,$A60,业务流水!$Z$5:$Z$1504,"是"))</f>
        <v>32370.62</v>
      </c>
      <c r="D60" s="41" t="n">
        <f aca="false">IF($A60="","",SUMIFS(业务流水!$O$5:$O$1504,业务流水!$E$5:$E$1504,"*",业务流水!$D$5:$D$1504,"销项开票",业务流水!$C$5:$C$1504,$A60,业务流水!$Z$5:$Z$1504,"是"))</f>
        <v>3237.06</v>
      </c>
      <c r="E60" s="41" t="n">
        <f aca="false">IF($A60="","",SUMIFS(业务流水!$P$5:$P$1504,业务流水!$E$5:$E$1504,"*",业务流水!$D$5:$D$1504,"销项开票",业务流水!$C$5:$C$1504,$A60,业务流水!$Z$5:$Z$1504,"是"))</f>
        <v>29133.56</v>
      </c>
      <c r="F60" s="41" t="n">
        <f aca="false">IF($A60="","",SUMIFS(业务流水!$H$5:$H$1504,业务流水!$F$5:$F$1504,"*",业务流水!$D$5:$D$1504,"成本票",业务流水!$C$5:$C$1504,$A60,业务流水!$Z$5:$Z$1504,"是")+SUMIFS(业务流水!$H$5:$H$1504,业务流水!$F$5:$F$1504,"*",业务流水!$D$5:$D$1504,"销项开票",业务流水!$C$5:$C$1504,$A60,业务流水!$Z$5:$Z$1504,"是"))</f>
        <v>32370.62</v>
      </c>
      <c r="G60" s="42" t="n">
        <f aca="false">IF($A60="","",$E60-$F60)</f>
        <v>-3237.06</v>
      </c>
      <c r="H60" s="41" t="n">
        <f aca="false">IF($A60="","",SUMIFS(业务流水!$W$5:$W$1504,业务流水!$E$5:$E$1504,"*",业务流水!$D$5:$D$1504,"销项开票",业务流水!$C$5:$C$1504,$A60,业务流水!$Z$5:$Z$1504,"是"))</f>
        <v>2993.54</v>
      </c>
      <c r="I60" s="41" t="n">
        <f aca="false">IF($A60="","",SUMIFS(业务流水!$H$5:$H$1504,业务流水!$E$5:$E$1504,"*",业务流水!$D$5:$D$1504,"已交税",业务流水!$C$5:$C$1504,$A60,业务流水!$Z$5:$Z$1504,"是"))</f>
        <v>0</v>
      </c>
      <c r="J60" s="42" t="n">
        <f aca="false">IF($A60="","",$H60-$I60)</f>
        <v>2993.54</v>
      </c>
      <c r="K60" s="41" t="n">
        <f aca="false">IF($A60="","",SUMIFS(业务流水!$H$5:$H$1504,业务流水!$F$5:$F$1504,"*",业务流水!$D$5:$D$1504,"挂靠代收",业务流水!$C$5:$C$1504,$A60,业务流水!$Z$5:$Z$1504,"是"))</f>
        <v>0</v>
      </c>
      <c r="L60" s="42" t="n">
        <f aca="false">IF($A60="","",$C60-$K60)</f>
        <v>32370.62</v>
      </c>
      <c r="M60" s="41" t="n">
        <f aca="false">IF($A60="","",SUMIFS(业务流水!$H$5:$H$1504,业务流水!$E$5:$E$1504,"*",业务流水!$D$5:$D$1504,"我方收款",业务流水!$C$5:$C$1504,$A60,业务流水!$Z$5:$Z$1504,"是"))</f>
        <v>0</v>
      </c>
      <c r="N60" s="43" t="n">
        <f aca="false">IF($A60="","",$K60-$M60)</f>
        <v>0</v>
      </c>
      <c r="O60" s="41" t="n">
        <f aca="false">IF($A60="","",SUMIFS(业务流水!$H$5:$H$1504,业务流水!$F$5:$F$1504,"*",业务流水!$D$5:$D$1504,"管理费结算",业务流水!$C$5:$C$1504,$A60,业务流水!$Z$5:$Z$1504,"是"))</f>
        <v>0</v>
      </c>
      <c r="P60" s="41" t="n">
        <f aca="false">IF($A60="","",SUMIFS(业务流水!$H$5:$H$1504,业务流水!$E$5:$E$1504,"*",业务流水!$D$5:$D$1504,"扣质保金",业务流水!$C$5:$C$1504,$A60,业务流水!$Z$5:$Z$1504,"是"))</f>
        <v>0</v>
      </c>
    </row>
    <row r="61" customFormat="false" ht="15.75" hidden="false" customHeight="true" outlineLevel="0" collapsed="false">
      <c r="A61" s="32" t="str">
        <f aca="false">IF(项目档案!$A61="","",项目档案!$A61)</f>
        <v>A056</v>
      </c>
      <c r="B61" s="40" t="str">
        <f aca="false">IF($A61="","",项目档案!$B61)</f>
        <v>铜梁公司2026年配电专业应急抢修抢险等外包项目(永嘉所许家3社1等台区2个隐患治理项目)</v>
      </c>
      <c r="C61" s="41" t="n">
        <f aca="false">IF($A61="","",SUMIFS(业务流水!$H$5:$H$1504,业务流水!$E$5:$E$1504,"*",业务流水!$D$5:$D$1504,"销项开票",业务流水!$C$5:$C$1504,$A61,业务流水!$Z$5:$Z$1504,"是"))</f>
        <v>3725.89</v>
      </c>
      <c r="D61" s="41" t="n">
        <f aca="false">IF($A61="","",SUMIFS(业务流水!$O$5:$O$1504,业务流水!$E$5:$E$1504,"*",业务流水!$D$5:$D$1504,"销项开票",业务流水!$C$5:$C$1504,$A61,业务流水!$Z$5:$Z$1504,"是"))</f>
        <v>0</v>
      </c>
      <c r="E61" s="41" t="n">
        <f aca="false">IF($A61="","",SUMIFS(业务流水!$P$5:$P$1504,业务流水!$E$5:$E$1504,"*",业务流水!$D$5:$D$1504,"销项开票",业务流水!$C$5:$C$1504,$A61,业务流水!$Z$5:$Z$1504,"是"))</f>
        <v>3725.89</v>
      </c>
      <c r="F61" s="41" t="n">
        <f aca="false">IF($A61="","",SUMIFS(业务流水!$H$5:$H$1504,业务流水!$F$5:$F$1504,"*",业务流水!$D$5:$D$1504,"成本票",业务流水!$C$5:$C$1504,$A61,业务流水!$Z$5:$Z$1504,"是")+SUMIFS(业务流水!$H$5:$H$1504,业务流水!$F$5:$F$1504,"*",业务流水!$D$5:$D$1504,"销项开票",业务流水!$C$5:$C$1504,$A61,业务流水!$Z$5:$Z$1504,"是"))</f>
        <v>3725.89</v>
      </c>
      <c r="G61" s="42" t="n">
        <f aca="false">IF($A61="","",$E61-$F61)</f>
        <v>0</v>
      </c>
      <c r="H61" s="41" t="n">
        <f aca="false">IF($A61="","",SUMIFS(业务流水!$W$5:$W$1504,业务流水!$E$5:$E$1504,"*",业务流水!$D$5:$D$1504,"销项开票",业务流水!$C$5:$C$1504,$A61,业务流水!$Z$5:$Z$1504,"是"))</f>
        <v>0</v>
      </c>
      <c r="I61" s="41" t="n">
        <f aca="false">IF($A61="","",SUMIFS(业务流水!$H$5:$H$1504,业务流水!$E$5:$E$1504,"*",业务流水!$D$5:$D$1504,"已交税",业务流水!$C$5:$C$1504,$A61,业务流水!$Z$5:$Z$1504,"是"))</f>
        <v>0</v>
      </c>
      <c r="J61" s="42" t="n">
        <f aca="false">IF($A61="","",$H61-$I61)</f>
        <v>0</v>
      </c>
      <c r="K61" s="41" t="n">
        <f aca="false">IF($A61="","",SUMIFS(业务流水!$H$5:$H$1504,业务流水!$F$5:$F$1504,"*",业务流水!$D$5:$D$1504,"挂靠代收",业务流水!$C$5:$C$1504,$A61,业务流水!$Z$5:$Z$1504,"是"))</f>
        <v>0</v>
      </c>
      <c r="L61" s="42" t="n">
        <f aca="false">IF($A61="","",$C61-$K61)</f>
        <v>3725.89</v>
      </c>
      <c r="M61" s="41" t="n">
        <f aca="false">IF($A61="","",SUMIFS(业务流水!$H$5:$H$1504,业务流水!$E$5:$E$1504,"*",业务流水!$D$5:$D$1504,"我方收款",业务流水!$C$5:$C$1504,$A61,业务流水!$Z$5:$Z$1504,"是"))</f>
        <v>0</v>
      </c>
      <c r="N61" s="43" t="n">
        <f aca="false">IF($A61="","",$K61-$M61)</f>
        <v>0</v>
      </c>
      <c r="O61" s="41" t="n">
        <f aca="false">IF($A61="","",SUMIFS(业务流水!$H$5:$H$1504,业务流水!$F$5:$F$1504,"*",业务流水!$D$5:$D$1504,"管理费结算",业务流水!$C$5:$C$1504,$A61,业务流水!$Z$5:$Z$1504,"是"))</f>
        <v>0</v>
      </c>
      <c r="P61" s="41" t="n">
        <f aca="false">IF($A61="","",SUMIFS(业务流水!$H$5:$H$1504,业务流水!$E$5:$E$1504,"*",业务流水!$D$5:$D$1504,"扣质保金",业务流水!$C$5:$C$1504,$A61,业务流水!$Z$5:$Z$1504,"是"))</f>
        <v>0</v>
      </c>
    </row>
    <row r="62" customFormat="false" ht="15.75" hidden="false" customHeight="true" outlineLevel="0" collapsed="false">
      <c r="A62" s="32" t="str">
        <f aca="false">IF(项目档案!$A62="","",项目档案!$A62)</f>
        <v>A057</v>
      </c>
      <c r="B62" s="40" t="str">
        <f aca="false">IF($A62="","",项目档案!$B62)</f>
        <v>华润电力重庆能源铜梁平滩农光互补项目220kV升压站PC工程</v>
      </c>
      <c r="C62" s="41" t="n">
        <f aca="false">IF($A62="","",SUMIFS(业务流水!$H$5:$H$1504,业务流水!$E$5:$E$1504,"*",业务流水!$D$5:$D$1504,"销项开票",业务流水!$C$5:$C$1504,$A62,业务流水!$Z$5:$Z$1504,"是"))</f>
        <v>0</v>
      </c>
      <c r="D62" s="41" t="n">
        <f aca="false">IF($A62="","",SUMIFS(业务流水!$O$5:$O$1504,业务流水!$E$5:$E$1504,"*",业务流水!$D$5:$D$1504,"销项开票",业务流水!$C$5:$C$1504,$A62,业务流水!$Z$5:$Z$1504,"是"))</f>
        <v>0</v>
      </c>
      <c r="E62" s="41" t="n">
        <f aca="false">IF($A62="","",SUMIFS(业务流水!$P$5:$P$1504,业务流水!$E$5:$E$1504,"*",业务流水!$D$5:$D$1504,"销项开票",业务流水!$C$5:$C$1504,$A62,业务流水!$Z$5:$Z$1504,"是"))</f>
        <v>0</v>
      </c>
      <c r="F62" s="41" t="n">
        <f aca="false">IF($A62="","",SUMIFS(业务流水!$H$5:$H$1504,业务流水!$F$5:$F$1504,"*",业务流水!$D$5:$D$1504,"成本票",业务流水!$C$5:$C$1504,$A62,业务流水!$Z$5:$Z$1504,"是")+SUMIFS(业务流水!$H$5:$H$1504,业务流水!$F$5:$F$1504,"*",业务流水!$D$5:$D$1504,"销项开票",业务流水!$C$5:$C$1504,$A62,业务流水!$Z$5:$Z$1504,"是"))</f>
        <v>3229.84</v>
      </c>
      <c r="G62" s="42" t="n">
        <f aca="false">IF($A62="","",$E62-$F62)</f>
        <v>-3229.84</v>
      </c>
      <c r="H62" s="41" t="n">
        <f aca="false">IF($A62="","",SUMIFS(业务流水!$W$5:$W$1504,业务流水!$E$5:$E$1504,"*",业务流水!$D$5:$D$1504,"销项开票",业务流水!$C$5:$C$1504,$A62,业务流水!$Z$5:$Z$1504,"是"))</f>
        <v>0</v>
      </c>
      <c r="I62" s="41" t="n">
        <f aca="false">IF($A62="","",SUMIFS(业务流水!$H$5:$H$1504,业务流水!$E$5:$E$1504,"*",业务流水!$D$5:$D$1504,"已交税",业务流水!$C$5:$C$1504,$A62,业务流水!$Z$5:$Z$1504,"是"))</f>
        <v>0</v>
      </c>
      <c r="J62" s="42" t="n">
        <f aca="false">IF($A62="","",$H62-$I62)</f>
        <v>0</v>
      </c>
      <c r="K62" s="41" t="n">
        <f aca="false">IF($A62="","",SUMIFS(业务流水!$H$5:$H$1504,业务流水!$F$5:$F$1504,"*",业务流水!$D$5:$D$1504,"挂靠代收",业务流水!$C$5:$C$1504,$A62,业务流水!$Z$5:$Z$1504,"是"))</f>
        <v>0</v>
      </c>
      <c r="L62" s="42" t="n">
        <f aca="false">IF($A62="","",$C62-$K62)</f>
        <v>0</v>
      </c>
      <c r="M62" s="41" t="n">
        <f aca="false">IF($A62="","",SUMIFS(业务流水!$H$5:$H$1504,业务流水!$E$5:$E$1504,"*",业务流水!$D$5:$D$1504,"我方收款",业务流水!$C$5:$C$1504,$A62,业务流水!$Z$5:$Z$1504,"是"))</f>
        <v>0</v>
      </c>
      <c r="N62" s="43" t="n">
        <f aca="false">IF($A62="","",$K62-$M62)</f>
        <v>0</v>
      </c>
      <c r="O62" s="41" t="n">
        <f aca="false">IF($A62="","",SUMIFS(业务流水!$H$5:$H$1504,业务流水!$F$5:$F$1504,"*",业务流水!$D$5:$D$1504,"管理费结算",业务流水!$C$5:$C$1504,$A62,业务流水!$Z$5:$Z$1504,"是"))</f>
        <v>0</v>
      </c>
      <c r="P62" s="41" t="n">
        <f aca="false">IF($A62="","",SUMIFS(业务流水!$H$5:$H$1504,业务流水!$E$5:$E$1504,"*",业务流水!$D$5:$D$1504,"扣质保金",业务流水!$C$5:$C$1504,$A62,业务流水!$Z$5:$Z$1504,"是"))</f>
        <v>0</v>
      </c>
    </row>
    <row r="63" customFormat="false" ht="15.75" hidden="false" customHeight="true" outlineLevel="0" collapsed="false">
      <c r="A63" s="32" t="str">
        <f aca="false">IF(项目档案!$A63="","",项目档案!$A63)</f>
        <v>A058</v>
      </c>
      <c r="B63" s="40" t="str">
        <f aca="false">IF($A63="","",项目档案!$B63)</f>
        <v>重庆稷博汇物流有限公司10kV充电桩新装用电工程</v>
      </c>
      <c r="C63" s="41" t="n">
        <f aca="false">IF($A63="","",SUMIFS(业务流水!$H$5:$H$1504,业务流水!$E$5:$E$1504,"*",业务流水!$D$5:$D$1504,"销项开票",业务流水!$C$5:$C$1504,$A63,业务流水!$Z$5:$Z$1504,"是"))</f>
        <v>7068.84</v>
      </c>
      <c r="D63" s="41" t="n">
        <f aca="false">IF($A63="","",SUMIFS(业务流水!$O$5:$O$1504,业务流水!$E$5:$E$1504,"*",业务流水!$D$5:$D$1504,"销项开票",业务流水!$C$5:$C$1504,$A63,业务流水!$Z$5:$Z$1504,"是"))</f>
        <v>141.37</v>
      </c>
      <c r="E63" s="41" t="n">
        <f aca="false">IF($A63="","",SUMIFS(业务流水!$P$5:$P$1504,业务流水!$E$5:$E$1504,"*",业务流水!$D$5:$D$1504,"销项开票",业务流水!$C$5:$C$1504,$A63,业务流水!$Z$5:$Z$1504,"是"))</f>
        <v>6927.47</v>
      </c>
      <c r="F63" s="41" t="n">
        <f aca="false">IF($A63="","",SUMIFS(业务流水!$H$5:$H$1504,业务流水!$F$5:$F$1504,"*",业务流水!$D$5:$D$1504,"成本票",业务流水!$C$5:$C$1504,$A63,业务流水!$Z$5:$Z$1504,"是")+SUMIFS(业务流水!$H$5:$H$1504,业务流水!$F$5:$F$1504,"*",业务流水!$D$5:$D$1504,"销项开票",业务流水!$C$5:$C$1504,$A63,业务流水!$Z$5:$Z$1504,"是"))</f>
        <v>7068.84</v>
      </c>
      <c r="G63" s="42" t="n">
        <f aca="false">IF($A63="","",$E63-$F63)</f>
        <v>-141.370000000001</v>
      </c>
      <c r="H63" s="41" t="n">
        <f aca="false">IF($A63="","",SUMIFS(业务流水!$W$5:$W$1504,业务流水!$E$5:$E$1504,"*",业务流水!$D$5:$D$1504,"销项开票",业务流水!$C$5:$C$1504,$A63,业务流水!$Z$5:$Z$1504,"是"))</f>
        <v>231.95</v>
      </c>
      <c r="I63" s="41" t="n">
        <f aca="false">IF($A63="","",SUMIFS(业务流水!$H$5:$H$1504,业务流水!$E$5:$E$1504,"*",业务流水!$D$5:$D$1504,"已交税",业务流水!$C$5:$C$1504,$A63,业务流水!$Z$5:$Z$1504,"是"))</f>
        <v>0</v>
      </c>
      <c r="J63" s="42" t="n">
        <f aca="false">IF($A63="","",$H63-$I63)</f>
        <v>231.95</v>
      </c>
      <c r="K63" s="41" t="n">
        <f aca="false">IF($A63="","",SUMIFS(业务流水!$H$5:$H$1504,业务流水!$F$5:$F$1504,"*",业务流水!$D$5:$D$1504,"挂靠代收",业务流水!$C$5:$C$1504,$A63,业务流水!$Z$5:$Z$1504,"是"))</f>
        <v>0</v>
      </c>
      <c r="L63" s="42" t="n">
        <f aca="false">IF($A63="","",$C63-$K63)</f>
        <v>7068.84</v>
      </c>
      <c r="M63" s="41" t="n">
        <f aca="false">IF($A63="","",SUMIFS(业务流水!$H$5:$H$1504,业务流水!$E$5:$E$1504,"*",业务流水!$D$5:$D$1504,"我方收款",业务流水!$C$5:$C$1504,$A63,业务流水!$Z$5:$Z$1504,"是"))</f>
        <v>0</v>
      </c>
      <c r="N63" s="43" t="n">
        <f aca="false">IF($A63="","",$K63-$M63)</f>
        <v>0</v>
      </c>
      <c r="O63" s="41" t="n">
        <f aca="false">IF($A63="","",SUMIFS(业务流水!$H$5:$H$1504,业务流水!$F$5:$F$1504,"*",业务流水!$D$5:$D$1504,"管理费结算",业务流水!$C$5:$C$1504,$A63,业务流水!$Z$5:$Z$1504,"是"))</f>
        <v>0</v>
      </c>
      <c r="P63" s="41" t="n">
        <f aca="false">IF($A63="","",SUMIFS(业务流水!$H$5:$H$1504,业务流水!$E$5:$E$1504,"*",业务流水!$D$5:$D$1504,"扣质保金",业务流水!$C$5:$C$1504,$A63,业务流水!$Z$5:$Z$1504,"是"))</f>
        <v>0</v>
      </c>
    </row>
    <row r="64" customFormat="false" ht="15.75" hidden="false" customHeight="true" outlineLevel="0" collapsed="false">
      <c r="A64" s="32" t="str">
        <f aca="false">IF(项目档案!$A64="","",项目档案!$A64)</f>
        <v>A059</v>
      </c>
      <c r="B64" s="40" t="str">
        <f aca="false">IF($A64="","",项目档案!$B64)</f>
        <v>（新项目：请填项目全称）</v>
      </c>
      <c r="C64" s="41" t="n">
        <f aca="false">IF($A64="","",SUMIFS(业务流水!$H$5:$H$1504,业务流水!$E$5:$E$1504,"*",业务流水!$D$5:$D$1504,"销项开票",业务流水!$C$5:$C$1504,$A64,业务流水!$Z$5:$Z$1504,"是"))</f>
        <v>0</v>
      </c>
      <c r="D64" s="41" t="n">
        <f aca="false">IF($A64="","",SUMIFS(业务流水!$O$5:$O$1504,业务流水!$E$5:$E$1504,"*",业务流水!$D$5:$D$1504,"销项开票",业务流水!$C$5:$C$1504,$A64,业务流水!$Z$5:$Z$1504,"是"))</f>
        <v>0</v>
      </c>
      <c r="E64" s="41" t="n">
        <f aca="false">IF($A64="","",SUMIFS(业务流水!$P$5:$P$1504,业务流水!$E$5:$E$1504,"*",业务流水!$D$5:$D$1504,"销项开票",业务流水!$C$5:$C$1504,$A64,业务流水!$Z$5:$Z$1504,"是"))</f>
        <v>0</v>
      </c>
      <c r="F64" s="41" t="n">
        <f aca="false">IF($A64="","",SUMIFS(业务流水!$H$5:$H$1504,业务流水!$F$5:$F$1504,"*",业务流水!$D$5:$D$1504,"成本票",业务流水!$C$5:$C$1504,$A64,业务流水!$Z$5:$Z$1504,"是")+SUMIFS(业务流水!$H$5:$H$1504,业务流水!$F$5:$F$1504,"*",业务流水!$D$5:$D$1504,"销项开票",业务流水!$C$5:$C$1504,$A64,业务流水!$Z$5:$Z$1504,"是"))</f>
        <v>0</v>
      </c>
      <c r="G64" s="42" t="n">
        <f aca="false">IF($A64="","",$E64-$F64)</f>
        <v>0</v>
      </c>
      <c r="H64" s="41" t="n">
        <f aca="false">IF($A64="","",SUMIFS(业务流水!$W$5:$W$1504,业务流水!$E$5:$E$1504,"*",业务流水!$D$5:$D$1504,"销项开票",业务流水!$C$5:$C$1504,$A64,业务流水!$Z$5:$Z$1504,"是"))</f>
        <v>0</v>
      </c>
      <c r="I64" s="41" t="n">
        <f aca="false">IF($A64="","",SUMIFS(业务流水!$H$5:$H$1504,业务流水!$E$5:$E$1504,"*",业务流水!$D$5:$D$1504,"已交税",业务流水!$C$5:$C$1504,$A64,业务流水!$Z$5:$Z$1504,"是"))</f>
        <v>0</v>
      </c>
      <c r="J64" s="42" t="n">
        <f aca="false">IF($A64="","",$H64-$I64)</f>
        <v>0</v>
      </c>
      <c r="K64" s="41" t="n">
        <f aca="false">IF($A64="","",SUMIFS(业务流水!$H$5:$H$1504,业务流水!$F$5:$F$1504,"*",业务流水!$D$5:$D$1504,"挂靠代收",业务流水!$C$5:$C$1504,$A64,业务流水!$Z$5:$Z$1504,"是"))</f>
        <v>0</v>
      </c>
      <c r="L64" s="42" t="n">
        <f aca="false">IF($A64="","",$C64-$K64)</f>
        <v>0</v>
      </c>
      <c r="M64" s="41" t="n">
        <f aca="false">IF($A64="","",SUMIFS(业务流水!$H$5:$H$1504,业务流水!$E$5:$E$1504,"*",业务流水!$D$5:$D$1504,"我方收款",业务流水!$C$5:$C$1504,$A64,业务流水!$Z$5:$Z$1504,"是"))</f>
        <v>0</v>
      </c>
      <c r="N64" s="43" t="n">
        <f aca="false">IF($A64="","",$K64-$M64)</f>
        <v>0</v>
      </c>
      <c r="O64" s="41" t="n">
        <f aca="false">IF($A64="","",SUMIFS(业务流水!$H$5:$H$1504,业务流水!$F$5:$F$1504,"*",业务流水!$D$5:$D$1504,"管理费结算",业务流水!$C$5:$C$1504,$A64,业务流水!$Z$5:$Z$1504,"是"))</f>
        <v>0</v>
      </c>
      <c r="P64" s="41" t="n">
        <f aca="false">IF($A64="","",SUMIFS(业务流水!$H$5:$H$1504,业务流水!$E$5:$E$1504,"*",业务流水!$D$5:$D$1504,"扣质保金",业务流水!$C$5:$C$1504,$A64,业务流水!$Z$5:$Z$1504,"是"))</f>
        <v>0</v>
      </c>
    </row>
    <row r="65" customFormat="false" ht="15.75" hidden="false" customHeight="true" outlineLevel="0" collapsed="false">
      <c r="A65" s="32" t="str">
        <f aca="false">IF(项目档案!$A65="","",项目档案!$A65)</f>
        <v>A060</v>
      </c>
      <c r="B65" s="40" t="str">
        <f aca="false">IF($A65="","",项目档案!$B65)</f>
        <v>华润电力重庆能源铜梁平滩农光互补项目219kV升压站PC工程</v>
      </c>
      <c r="C65" s="41" t="n">
        <f aca="false">IF($A65="","",SUMIFS(业务流水!$H$5:$H$1504,业务流水!$E$5:$E$1504,"*",业务流水!$D$5:$D$1504,"销项开票",业务流水!$C$5:$C$1504,$A65,业务流水!$Z$5:$Z$1504,"是"))</f>
        <v>3295.75</v>
      </c>
      <c r="D65" s="41" t="n">
        <f aca="false">IF($A65="","",SUMIFS(业务流水!$O$5:$O$1504,业务流水!$E$5:$E$1504,"*",业务流水!$D$5:$D$1504,"销项开票",业务流水!$C$5:$C$1504,$A65,业务流水!$Z$5:$Z$1504,"是"))</f>
        <v>65.92</v>
      </c>
      <c r="E65" s="41" t="n">
        <f aca="false">IF($A65="","",SUMIFS(业务流水!$P$5:$P$1504,业务流水!$E$5:$E$1504,"*",业务流水!$D$5:$D$1504,"销项开票",业务流水!$C$5:$C$1504,$A65,业务流水!$Z$5:$Z$1504,"是"))</f>
        <v>3229.83</v>
      </c>
      <c r="F65" s="41" t="n">
        <f aca="false">IF($A65="","",SUMIFS(业务流水!$H$5:$H$1504,业务流水!$F$5:$F$1504,"*",业务流水!$D$5:$D$1504,"成本票",业务流水!$C$5:$C$1504,$A65,业务流水!$Z$5:$Z$1504,"是")+SUMIFS(业务流水!$H$5:$H$1504,业务流水!$F$5:$F$1504,"*",业务流水!$D$5:$D$1504,"销项开票",业务流水!$C$5:$C$1504,$A65,业务流水!$Z$5:$Z$1504,"是"))</f>
        <v>3295.75</v>
      </c>
      <c r="G65" s="42" t="n">
        <f aca="false">IF($A65="","",$E65-$F65)</f>
        <v>-65.9200000000001</v>
      </c>
      <c r="H65" s="41" t="n">
        <f aca="false">IF($A65="","",SUMIFS(业务流水!$W$5:$W$1504,业务流水!$E$5:$E$1504,"*",业务流水!$D$5:$D$1504,"销项开票",业务流水!$C$5:$C$1504,$A65,业务流水!$Z$5:$Z$1504,"是"))</f>
        <v>108.5</v>
      </c>
      <c r="I65" s="41" t="n">
        <f aca="false">IF($A65="","",SUMIFS(业务流水!$H$5:$H$1504,业务流水!$E$5:$E$1504,"*",业务流水!$D$5:$D$1504,"已交税",业务流水!$C$5:$C$1504,$A65,业务流水!$Z$5:$Z$1504,"是"))</f>
        <v>0</v>
      </c>
      <c r="J65" s="42" t="n">
        <f aca="false">IF($A65="","",$H65-$I65)</f>
        <v>108.5</v>
      </c>
      <c r="K65" s="41" t="n">
        <f aca="false">IF($A65="","",SUMIFS(业务流水!$H$5:$H$1504,业务流水!$F$5:$F$1504,"*",业务流水!$D$5:$D$1504,"挂靠代收",业务流水!$C$5:$C$1504,$A65,业务流水!$Z$5:$Z$1504,"是"))</f>
        <v>0</v>
      </c>
      <c r="L65" s="42" t="n">
        <f aca="false">IF($A65="","",$C65-$K65)</f>
        <v>3295.75</v>
      </c>
      <c r="M65" s="41" t="n">
        <f aca="false">IF($A65="","",SUMIFS(业务流水!$H$5:$H$1504,业务流水!$E$5:$E$1504,"*",业务流水!$D$5:$D$1504,"我方收款",业务流水!$C$5:$C$1504,$A65,业务流水!$Z$5:$Z$1504,"是"))</f>
        <v>0</v>
      </c>
      <c r="N65" s="43" t="n">
        <f aca="false">IF($A65="","",$K65-$M65)</f>
        <v>0</v>
      </c>
      <c r="O65" s="41" t="n">
        <f aca="false">IF($A65="","",SUMIFS(业务流水!$H$5:$H$1504,业务流水!$F$5:$F$1504,"*",业务流水!$D$5:$D$1504,"管理费结算",业务流水!$C$5:$C$1504,$A65,业务流水!$Z$5:$Z$1504,"是"))</f>
        <v>65.91</v>
      </c>
      <c r="P65" s="41" t="n">
        <f aca="false">IF($A65="","",SUMIFS(业务流水!$H$5:$H$1504,业务流水!$E$5:$E$1504,"*",业务流水!$D$5:$D$1504,"扣质保金",业务流水!$C$5:$C$1504,$A65,业务流水!$Z$5:$Z$1504,"是"))</f>
        <v>0</v>
      </c>
    </row>
    <row r="66" customFormat="false" ht="15.75" hidden="false" customHeight="true" outlineLevel="0" collapsed="false">
      <c r="A66" s="32" t="str">
        <f aca="false">IF(项目档案!$A66="","",项目档案!$A66)</f>
        <v>A061</v>
      </c>
      <c r="B66" s="40" t="str">
        <f aca="false">IF($A66="","",项目档案!$B66)</f>
        <v>重庆民能实业有限公司2025-2026年度工程用特种设备租赁服务框架采购（华润电力重庆能源铜梁平滩农光互补项目220kV升压站PC工程）</v>
      </c>
      <c r="C66" s="41" t="n">
        <f aca="false">IF($A66="","",SUMIFS(业务流水!$H$5:$H$1504,业务流水!$E$5:$E$1504,"*",业务流水!$D$5:$D$1504,"销项开票",业务流水!$C$5:$C$1504,$A66,业务流水!$Z$5:$Z$1504,"是"))</f>
        <v>0</v>
      </c>
      <c r="D66" s="41" t="n">
        <f aca="false">IF($A66="","",SUMIFS(业务流水!$O$5:$O$1504,业务流水!$E$5:$E$1504,"*",业务流水!$D$5:$D$1504,"销项开票",业务流水!$C$5:$C$1504,$A66,业务流水!$Z$5:$Z$1504,"是"))</f>
        <v>0</v>
      </c>
      <c r="E66" s="41" t="n">
        <f aca="false">IF($A66="","",SUMIFS(业务流水!$P$5:$P$1504,业务流水!$E$5:$E$1504,"*",业务流水!$D$5:$D$1504,"销项开票",业务流水!$C$5:$C$1504,$A66,业务流水!$Z$5:$Z$1504,"是"))</f>
        <v>0</v>
      </c>
      <c r="F66" s="41" t="n">
        <f aca="false">IF($A66="","",SUMIFS(业务流水!$H$5:$H$1504,业务流水!$F$5:$F$1504,"*",业务流水!$D$5:$D$1504,"成本票",业务流水!$C$5:$C$1504,$A66,业务流水!$Z$5:$Z$1504,"是")+SUMIFS(业务流水!$H$5:$H$1504,业务流水!$F$5:$F$1504,"*",业务流水!$D$5:$D$1504,"销项开票",业务流水!$C$5:$C$1504,$A66,业务流水!$Z$5:$Z$1504,"是"))</f>
        <v>5559.1</v>
      </c>
      <c r="G66" s="42" t="n">
        <f aca="false">IF($A66="","",$E66-$F66)</f>
        <v>-5559.1</v>
      </c>
      <c r="H66" s="41" t="n">
        <f aca="false">IF($A66="","",SUMIFS(业务流水!$W$5:$W$1504,业务流水!$E$5:$E$1504,"*",业务流水!$D$5:$D$1504,"销项开票",业务流水!$C$5:$C$1504,$A66,业务流水!$Z$5:$Z$1504,"是"))</f>
        <v>0</v>
      </c>
      <c r="I66" s="41" t="n">
        <f aca="false">IF($A66="","",SUMIFS(业务流水!$H$5:$H$1504,业务流水!$E$5:$E$1504,"*",业务流水!$D$5:$D$1504,"已交税",业务流水!$C$5:$C$1504,$A66,业务流水!$Z$5:$Z$1504,"是"))</f>
        <v>0</v>
      </c>
      <c r="J66" s="42" t="n">
        <f aca="false">IF($A66="","",$H66-$I66)</f>
        <v>0</v>
      </c>
      <c r="K66" s="41" t="n">
        <f aca="false">IF($A66="","",SUMIFS(业务流水!$H$5:$H$1504,业务流水!$F$5:$F$1504,"*",业务流水!$D$5:$D$1504,"挂靠代收",业务流水!$C$5:$C$1504,$A66,业务流水!$Z$5:$Z$1504,"是"))</f>
        <v>0</v>
      </c>
      <c r="L66" s="42" t="n">
        <f aca="false">IF($A66="","",$C66-$K66)</f>
        <v>0</v>
      </c>
      <c r="M66" s="41" t="n">
        <f aca="false">IF($A66="","",SUMIFS(业务流水!$H$5:$H$1504,业务流水!$E$5:$E$1504,"*",业务流水!$D$5:$D$1504,"我方收款",业务流水!$C$5:$C$1504,$A66,业务流水!$Z$5:$Z$1504,"是"))</f>
        <v>0</v>
      </c>
      <c r="N66" s="43" t="n">
        <f aca="false">IF($A66="","",$K66-$M66)</f>
        <v>0</v>
      </c>
      <c r="O66" s="41" t="n">
        <f aca="false">IF($A66="","",SUMIFS(业务流水!$H$5:$H$1504,业务流水!$F$5:$F$1504,"*",业务流水!$D$5:$D$1504,"管理费结算",业务流水!$C$5:$C$1504,$A66,业务流水!$Z$5:$Z$1504,"是"))</f>
        <v>0</v>
      </c>
      <c r="P66" s="41" t="n">
        <f aca="false">IF($A66="","",SUMIFS(业务流水!$H$5:$H$1504,业务流水!$E$5:$E$1504,"*",业务流水!$D$5:$D$1504,"扣质保金",业务流水!$C$5:$C$1504,$A66,业务流水!$Z$5:$Z$1504,"是"))</f>
        <v>0</v>
      </c>
    </row>
    <row r="67" customFormat="false" ht="15.75" hidden="false" customHeight="true" outlineLevel="0" collapsed="false">
      <c r="A67" s="32" t="str">
        <f aca="false">IF(项目档案!$A67="","",项目档案!$A67)</f>
        <v>A062</v>
      </c>
      <c r="B67" s="40" t="str">
        <f aca="false">IF($A67="","",项目档案!$B67)</f>
        <v>重庆民能实业有 限公司
2025-2026年度工程用特种设
备租赁服务框架采购（重庆稷
博汇物流有 限公司10kV充电桩
新装用电工程）</v>
      </c>
      <c r="C67" s="41" t="n">
        <f aca="false">IF($A67="","",SUMIFS(业务流水!$H$5:$H$1504,业务流水!$E$5:$E$1504,"*",业务流水!$D$5:$D$1504,"销项开票",业务流水!$C$5:$C$1504,$A67,业务流水!$Z$5:$Z$1504,"是"))</f>
        <v>0</v>
      </c>
      <c r="D67" s="41" t="n">
        <f aca="false">IF($A67="","",SUMIFS(业务流水!$O$5:$O$1504,业务流水!$E$5:$E$1504,"*",业务流水!$D$5:$D$1504,"销项开票",业务流水!$C$5:$C$1504,$A67,业务流水!$Z$5:$Z$1504,"是"))</f>
        <v>0</v>
      </c>
      <c r="E67" s="41" t="n">
        <f aca="false">IF($A67="","",SUMIFS(业务流水!$P$5:$P$1504,业务流水!$E$5:$E$1504,"*",业务流水!$D$5:$D$1504,"销项开票",业务流水!$C$5:$C$1504,$A67,业务流水!$Z$5:$Z$1504,"是"))</f>
        <v>0</v>
      </c>
      <c r="F67" s="41" t="n">
        <f aca="false">IF($A67="","",SUMIFS(业务流水!$H$5:$H$1504,业务流水!$F$5:$F$1504,"*",业务流水!$D$5:$D$1504,"成本票",业务流水!$C$5:$C$1504,$A67,业务流水!$Z$5:$Z$1504,"是")+SUMIFS(业务流水!$H$5:$H$1504,业务流水!$F$5:$F$1504,"*",业务流水!$D$5:$D$1504,"销项开票",业务流水!$C$5:$C$1504,$A67,业务流水!$Z$5:$Z$1504,"是"))</f>
        <v>5440.22</v>
      </c>
      <c r="G67" s="42" t="n">
        <f aca="false">IF($A67="","",$E67-$F67)</f>
        <v>-5440.22</v>
      </c>
      <c r="H67" s="41" t="n">
        <f aca="false">IF($A67="","",SUMIFS(业务流水!$W$5:$W$1504,业务流水!$E$5:$E$1504,"*",业务流水!$D$5:$D$1504,"销项开票",业务流水!$C$5:$C$1504,$A67,业务流水!$Z$5:$Z$1504,"是"))</f>
        <v>0</v>
      </c>
      <c r="I67" s="41" t="n">
        <f aca="false">IF($A67="","",SUMIFS(业务流水!$H$5:$H$1504,业务流水!$E$5:$E$1504,"*",业务流水!$D$5:$D$1504,"已交税",业务流水!$C$5:$C$1504,$A67,业务流水!$Z$5:$Z$1504,"是"))</f>
        <v>0</v>
      </c>
      <c r="J67" s="42" t="n">
        <f aca="false">IF($A67="","",$H67-$I67)</f>
        <v>0</v>
      </c>
      <c r="K67" s="41" t="n">
        <f aca="false">IF($A67="","",SUMIFS(业务流水!$H$5:$H$1504,业务流水!$F$5:$F$1504,"*",业务流水!$D$5:$D$1504,"挂靠代收",业务流水!$C$5:$C$1504,$A67,业务流水!$Z$5:$Z$1504,"是"))</f>
        <v>0</v>
      </c>
      <c r="L67" s="42" t="n">
        <f aca="false">IF($A67="","",$C67-$K67)</f>
        <v>0</v>
      </c>
      <c r="M67" s="41" t="n">
        <f aca="false">IF($A67="","",SUMIFS(业务流水!$H$5:$H$1504,业务流水!$E$5:$E$1504,"*",业务流水!$D$5:$D$1504,"我方收款",业务流水!$C$5:$C$1504,$A67,业务流水!$Z$5:$Z$1504,"是"))</f>
        <v>0</v>
      </c>
      <c r="N67" s="43" t="n">
        <f aca="false">IF($A67="","",$K67-$M67)</f>
        <v>0</v>
      </c>
      <c r="O67" s="41" t="n">
        <f aca="false">IF($A67="","",SUMIFS(业务流水!$H$5:$H$1504,业务流水!$F$5:$F$1504,"*",业务流水!$D$5:$D$1504,"管理费结算",业务流水!$C$5:$C$1504,$A67,业务流水!$Z$5:$Z$1504,"是"))</f>
        <v>0</v>
      </c>
      <c r="P67" s="41" t="n">
        <f aca="false">IF($A67="","",SUMIFS(业务流水!$H$5:$H$1504,业务流水!$E$5:$E$1504,"*",业务流水!$D$5:$D$1504,"扣质保金",业务流水!$C$5:$C$1504,$A67,业务流水!$Z$5:$Z$1504,"是"))</f>
        <v>0</v>
      </c>
    </row>
    <row r="68" customFormat="false" ht="15.75" hidden="false" customHeight="true" outlineLevel="0" collapsed="false">
      <c r="A68" s="32" t="str">
        <f aca="false">IF(项目档案!$A68="","",项目档案!$A68)</f>
        <v>A063</v>
      </c>
      <c r="B68" s="40" t="str">
        <f aca="false">IF($A68="","",项目档案!$B68)</f>
        <v>项目名称：重庆民能实业有限公司2025-2026年度工程用特种设备租赁服务框架采购（铜梁公司2026年配电专业应急抢修抢险等外包项目
（永嘉所10kV西新线等2条线路综合检修项目））</v>
      </c>
      <c r="C68" s="41" t="n">
        <f aca="false">IF($A68="","",SUMIFS(业务流水!$H$5:$H$1504,业务流水!$E$5:$E$1504,"*",业务流水!$D$5:$D$1504,"销项开票",业务流水!$C$5:$C$1504,$A68,业务流水!$Z$5:$Z$1504,"是"))</f>
        <v>27489.53</v>
      </c>
      <c r="D68" s="41" t="n">
        <f aca="false">IF($A68="","",SUMIFS(业务流水!$O$5:$O$1504,业务流水!$E$5:$E$1504,"*",业务流水!$D$5:$D$1504,"销项开票",业务流水!$C$5:$C$1504,$A68,业务流水!$Z$5:$Z$1504,"是"))</f>
        <v>1099.58</v>
      </c>
      <c r="E68" s="41" t="n">
        <f aca="false">IF($A68="","",SUMIFS(业务流水!$P$5:$P$1504,业务流水!$E$5:$E$1504,"*",业务流水!$D$5:$D$1504,"销项开票",业务流水!$C$5:$C$1504,$A68,业务流水!$Z$5:$Z$1504,"是"))</f>
        <v>26389.95</v>
      </c>
      <c r="F68" s="41" t="n">
        <f aca="false">IF($A68="","",SUMIFS(业务流水!$H$5:$H$1504,业务流水!$F$5:$F$1504,"*",业务流水!$D$5:$D$1504,"成本票",业务流水!$C$5:$C$1504,$A68,业务流水!$Z$5:$Z$1504,"是")+SUMIFS(业务流水!$H$5:$H$1504,业务流水!$F$5:$F$1504,"*",业务流水!$D$5:$D$1504,"销项开票",业务流水!$C$5:$C$1504,$A68,业务流水!$Z$5:$Z$1504,"是"))</f>
        <v>42880.16</v>
      </c>
      <c r="G68" s="42" t="n">
        <f aca="false">IF($A68="","",$E68-$F68)</f>
        <v>-16490.21</v>
      </c>
      <c r="H68" s="41" t="n">
        <f aca="false">IF($A68="","",SUMIFS(业务流水!$W$5:$W$1504,业务流水!$E$5:$E$1504,"*",业务流水!$D$5:$D$1504,"销项开票",业务流水!$C$5:$C$1504,$A68,业务流水!$Z$5:$Z$1504,"是"))</f>
        <v>0</v>
      </c>
      <c r="I68" s="41" t="n">
        <f aca="false">IF($A68="","",SUMIFS(业务流水!$H$5:$H$1504,业务流水!$E$5:$E$1504,"*",业务流水!$D$5:$D$1504,"已交税",业务流水!$C$5:$C$1504,$A68,业务流水!$Z$5:$Z$1504,"是"))</f>
        <v>0</v>
      </c>
      <c r="J68" s="42" t="n">
        <f aca="false">IF($A68="","",$H68-$I68)</f>
        <v>0</v>
      </c>
      <c r="K68" s="41" t="n">
        <f aca="false">IF($A68="","",SUMIFS(业务流水!$H$5:$H$1504,业务流水!$F$5:$F$1504,"*",业务流水!$D$5:$D$1504,"挂靠代收",业务流水!$C$5:$C$1504,$A68,业务流水!$Z$5:$Z$1504,"是"))</f>
        <v>0</v>
      </c>
      <c r="L68" s="42" t="n">
        <f aca="false">IF($A68="","",$C68-$K68)</f>
        <v>27489.53</v>
      </c>
      <c r="M68" s="41" t="n">
        <f aca="false">IF($A68="","",SUMIFS(业务流水!$H$5:$H$1504,业务流水!$E$5:$E$1504,"*",业务流水!$D$5:$D$1504,"我方收款",业务流水!$C$5:$C$1504,$A68,业务流水!$Z$5:$Z$1504,"是"))</f>
        <v>0</v>
      </c>
      <c r="N68" s="43" t="n">
        <f aca="false">IF($A68="","",$K68-$M68)</f>
        <v>0</v>
      </c>
      <c r="O68" s="41" t="n">
        <f aca="false">IF($A68="","",SUMIFS(业务流水!$H$5:$H$1504,业务流水!$F$5:$F$1504,"*",业务流水!$D$5:$D$1504,"管理费结算",业务流水!$C$5:$C$1504,$A68,业务流水!$Z$5:$Z$1504,"是"))</f>
        <v>0</v>
      </c>
      <c r="P68" s="41" t="n">
        <f aca="false">IF($A68="","",SUMIFS(业务流水!$H$5:$H$1504,业务流水!$E$5:$E$1504,"*",业务流水!$D$5:$D$1504,"扣质保金",业务流水!$C$5:$C$1504,$A68,业务流水!$Z$5:$Z$1504,"是"))</f>
        <v>0</v>
      </c>
    </row>
    <row r="69" customFormat="false" ht="15.75" hidden="false" customHeight="true" outlineLevel="0" collapsed="false">
      <c r="A69" s="32" t="str">
        <f aca="false">IF(项目档案!$A69="","",项目档案!$A69)</f>
        <v/>
      </c>
      <c r="B69" s="40" t="str">
        <f aca="false">IF($A69="","",项目档案!$B69)</f>
        <v/>
      </c>
      <c r="C69" s="41" t="str">
        <f aca="false">IF($A69="","",SUMIFS(业务流水!$H$5:$H$1504,业务流水!$E$5:$E$1504,"*",业务流水!$D$5:$D$1504,"销项开票",业务流水!$C$5:$C$1504,$A69,业务流水!$Z$5:$Z$1504,"是"))</f>
        <v/>
      </c>
      <c r="D69" s="41" t="str">
        <f aca="false">IF($A69="","",SUMIFS(业务流水!$O$5:$O$1504,业务流水!$E$5:$E$1504,"*",业务流水!$D$5:$D$1504,"销项开票",业务流水!$C$5:$C$1504,$A69,业务流水!$Z$5:$Z$1504,"是"))</f>
        <v/>
      </c>
      <c r="E69" s="41" t="str">
        <f aca="false">IF($A69="","",SUMIFS(业务流水!$P$5:$P$1504,业务流水!$E$5:$E$1504,"*",业务流水!$D$5:$D$1504,"销项开票",业务流水!$C$5:$C$1504,$A69,业务流水!$Z$5:$Z$1504,"是"))</f>
        <v/>
      </c>
      <c r="F69" s="41" t="str">
        <f aca="false">IF($A69="","",SUMIFS(业务流水!$H$5:$H$1504,业务流水!$F$5:$F$1504,"*",业务流水!$D$5:$D$1504,"成本票",业务流水!$C$5:$C$1504,$A69,业务流水!$Z$5:$Z$1504,"是")+SUMIFS(业务流水!$H$5:$H$1504,业务流水!$F$5:$F$1504,"*",业务流水!$D$5:$D$1504,"销项开票",业务流水!$C$5:$C$1504,$A69,业务流水!$Z$5:$Z$1504,"是"))</f>
        <v/>
      </c>
      <c r="G69" s="42" t="str">
        <f aca="false">IF($A69="","",$E69-$F69)</f>
        <v/>
      </c>
      <c r="H69" s="41" t="str">
        <f aca="false">IF($A69="","",SUMIFS(业务流水!$W$5:$W$1504,业务流水!$E$5:$E$1504,"*",业务流水!$D$5:$D$1504,"销项开票",业务流水!$C$5:$C$1504,$A69,业务流水!$Z$5:$Z$1504,"是"))</f>
        <v/>
      </c>
      <c r="I69" s="41" t="str">
        <f aca="false">IF($A69="","",SUMIFS(业务流水!$H$5:$H$1504,业务流水!$E$5:$E$1504,"*",业务流水!$D$5:$D$1504,"已交税",业务流水!$C$5:$C$1504,$A69,业务流水!$Z$5:$Z$1504,"是"))</f>
        <v/>
      </c>
      <c r="J69" s="42" t="str">
        <f aca="false">IF($A69="","",$H69-$I69)</f>
        <v/>
      </c>
      <c r="K69" s="41" t="str">
        <f aca="false">IF($A69="","",SUMIFS(业务流水!$H$5:$H$1504,业务流水!$F$5:$F$1504,"*",业务流水!$D$5:$D$1504,"挂靠代收",业务流水!$C$5:$C$1504,$A69,业务流水!$Z$5:$Z$1504,"是"))</f>
        <v/>
      </c>
      <c r="L69" s="42" t="str">
        <f aca="false">IF($A69="","",$C69-$K69)</f>
        <v/>
      </c>
      <c r="M69" s="41" t="str">
        <f aca="false">IF($A69="","",SUMIFS(业务流水!$H$5:$H$1504,业务流水!$E$5:$E$1504,"*",业务流水!$D$5:$D$1504,"我方收款",业务流水!$C$5:$C$1504,$A69,业务流水!$Z$5:$Z$1504,"是"))</f>
        <v/>
      </c>
      <c r="N69" s="43" t="str">
        <f aca="false">IF($A69="","",$K69-$M69)</f>
        <v/>
      </c>
      <c r="O69" s="41" t="str">
        <f aca="false">IF($A69="","",SUMIFS(业务流水!$H$5:$H$1504,业务流水!$F$5:$F$1504,"*",业务流水!$D$5:$D$1504,"管理费结算",业务流水!$C$5:$C$1504,$A69,业务流水!$Z$5:$Z$1504,"是"))</f>
        <v/>
      </c>
      <c r="P69" s="41" t="str">
        <f aca="false">IF($A69="","",SUMIFS(业务流水!$H$5:$H$1504,业务流水!$E$5:$E$1504,"*",业务流水!$D$5:$D$1504,"扣质保金",业务流水!$C$5:$C$1504,$A69,业务流水!$Z$5:$Z$1504,"是"))</f>
        <v/>
      </c>
    </row>
    <row r="70" customFormat="false" ht="15.75" hidden="false" customHeight="true" outlineLevel="0" collapsed="false">
      <c r="A70" s="32" t="str">
        <f aca="false">IF(项目档案!$A70="","",项目档案!$A70)</f>
        <v/>
      </c>
      <c r="B70" s="40" t="str">
        <f aca="false">IF($A70="","",项目档案!$B70)</f>
        <v/>
      </c>
      <c r="C70" s="41" t="str">
        <f aca="false">IF($A70="","",SUMIFS(业务流水!$H$5:$H$1504,业务流水!$E$5:$E$1504,"*",业务流水!$D$5:$D$1504,"销项开票",业务流水!$C$5:$C$1504,$A70,业务流水!$Z$5:$Z$1504,"是"))</f>
        <v/>
      </c>
      <c r="D70" s="41" t="str">
        <f aca="false">IF($A70="","",SUMIFS(业务流水!$O$5:$O$1504,业务流水!$E$5:$E$1504,"*",业务流水!$D$5:$D$1504,"销项开票",业务流水!$C$5:$C$1504,$A70,业务流水!$Z$5:$Z$1504,"是"))</f>
        <v/>
      </c>
      <c r="E70" s="41" t="str">
        <f aca="false">IF($A70="","",SUMIFS(业务流水!$P$5:$P$1504,业务流水!$E$5:$E$1504,"*",业务流水!$D$5:$D$1504,"销项开票",业务流水!$C$5:$C$1504,$A70,业务流水!$Z$5:$Z$1504,"是"))</f>
        <v/>
      </c>
      <c r="F70" s="41" t="str">
        <f aca="false">IF($A70="","",SUMIFS(业务流水!$H$5:$H$1504,业务流水!$F$5:$F$1504,"*",业务流水!$D$5:$D$1504,"成本票",业务流水!$C$5:$C$1504,$A70,业务流水!$Z$5:$Z$1504,"是")+SUMIFS(业务流水!$H$5:$H$1504,业务流水!$F$5:$F$1504,"*",业务流水!$D$5:$D$1504,"销项开票",业务流水!$C$5:$C$1504,$A70,业务流水!$Z$5:$Z$1504,"是"))</f>
        <v/>
      </c>
      <c r="G70" s="42" t="str">
        <f aca="false">IF($A70="","",$E70-$F70)</f>
        <v/>
      </c>
      <c r="H70" s="41" t="str">
        <f aca="false">IF($A70="","",SUMIFS(业务流水!$W$5:$W$1504,业务流水!$E$5:$E$1504,"*",业务流水!$D$5:$D$1504,"销项开票",业务流水!$C$5:$C$1504,$A70,业务流水!$Z$5:$Z$1504,"是"))</f>
        <v/>
      </c>
      <c r="I70" s="41" t="str">
        <f aca="false">IF($A70="","",SUMIFS(业务流水!$H$5:$H$1504,业务流水!$E$5:$E$1504,"*",业务流水!$D$5:$D$1504,"已交税",业务流水!$C$5:$C$1504,$A70,业务流水!$Z$5:$Z$1504,"是"))</f>
        <v/>
      </c>
      <c r="J70" s="42" t="str">
        <f aca="false">IF($A70="","",$H70-$I70)</f>
        <v/>
      </c>
      <c r="K70" s="41" t="str">
        <f aca="false">IF($A70="","",SUMIFS(业务流水!$H$5:$H$1504,业务流水!$F$5:$F$1504,"*",业务流水!$D$5:$D$1504,"挂靠代收",业务流水!$C$5:$C$1504,$A70,业务流水!$Z$5:$Z$1504,"是"))</f>
        <v/>
      </c>
      <c r="L70" s="42" t="str">
        <f aca="false">IF($A70="","",$C70-$K70)</f>
        <v/>
      </c>
      <c r="M70" s="41" t="str">
        <f aca="false">IF($A70="","",SUMIFS(业务流水!$H$5:$H$1504,业务流水!$E$5:$E$1504,"*",业务流水!$D$5:$D$1504,"我方收款",业务流水!$C$5:$C$1504,$A70,业务流水!$Z$5:$Z$1504,"是"))</f>
        <v/>
      </c>
      <c r="N70" s="43" t="str">
        <f aca="false">IF($A70="","",$K70-$M70)</f>
        <v/>
      </c>
      <c r="O70" s="41" t="str">
        <f aca="false">IF($A70="","",SUMIFS(业务流水!$H$5:$H$1504,业务流水!$F$5:$F$1504,"*",业务流水!$D$5:$D$1504,"管理费结算",业务流水!$C$5:$C$1504,$A70,业务流水!$Z$5:$Z$1504,"是"))</f>
        <v/>
      </c>
      <c r="P70" s="41" t="str">
        <f aca="false">IF($A70="","",SUMIFS(业务流水!$H$5:$H$1504,业务流水!$E$5:$E$1504,"*",业务流水!$D$5:$D$1504,"扣质保金",业务流水!$C$5:$C$1504,$A70,业务流水!$Z$5:$Z$1504,"是"))</f>
        <v/>
      </c>
    </row>
    <row r="71" customFormat="false" ht="15.75" hidden="false" customHeight="true" outlineLevel="0" collapsed="false">
      <c r="A71" s="32" t="str">
        <f aca="false">IF(项目档案!$A71="","",项目档案!$A71)</f>
        <v/>
      </c>
      <c r="B71" s="40" t="str">
        <f aca="false">IF($A71="","",项目档案!$B71)</f>
        <v/>
      </c>
      <c r="C71" s="41" t="str">
        <f aca="false">IF($A71="","",SUMIFS(业务流水!$H$5:$H$1504,业务流水!$E$5:$E$1504,"*",业务流水!$D$5:$D$1504,"销项开票",业务流水!$C$5:$C$1504,$A71,业务流水!$Z$5:$Z$1504,"是"))</f>
        <v/>
      </c>
      <c r="D71" s="41" t="str">
        <f aca="false">IF($A71="","",SUMIFS(业务流水!$O$5:$O$1504,业务流水!$E$5:$E$1504,"*",业务流水!$D$5:$D$1504,"销项开票",业务流水!$C$5:$C$1504,$A71,业务流水!$Z$5:$Z$1504,"是"))</f>
        <v/>
      </c>
      <c r="E71" s="41" t="str">
        <f aca="false">IF($A71="","",SUMIFS(业务流水!$P$5:$P$1504,业务流水!$E$5:$E$1504,"*",业务流水!$D$5:$D$1504,"销项开票",业务流水!$C$5:$C$1504,$A71,业务流水!$Z$5:$Z$1504,"是"))</f>
        <v/>
      </c>
      <c r="F71" s="41" t="str">
        <f aca="false">IF($A71="","",SUMIFS(业务流水!$H$5:$H$1504,业务流水!$F$5:$F$1504,"*",业务流水!$D$5:$D$1504,"成本票",业务流水!$C$5:$C$1504,$A71,业务流水!$Z$5:$Z$1504,"是")+SUMIFS(业务流水!$H$5:$H$1504,业务流水!$F$5:$F$1504,"*",业务流水!$D$5:$D$1504,"销项开票",业务流水!$C$5:$C$1504,$A71,业务流水!$Z$5:$Z$1504,"是"))</f>
        <v/>
      </c>
      <c r="G71" s="42" t="str">
        <f aca="false">IF($A71="","",$E71-$F71)</f>
        <v/>
      </c>
      <c r="H71" s="41" t="str">
        <f aca="false">IF($A71="","",SUMIFS(业务流水!$W$5:$W$1504,业务流水!$E$5:$E$1504,"*",业务流水!$D$5:$D$1504,"销项开票",业务流水!$C$5:$C$1504,$A71,业务流水!$Z$5:$Z$1504,"是"))</f>
        <v/>
      </c>
      <c r="I71" s="41" t="str">
        <f aca="false">IF($A71="","",SUMIFS(业务流水!$H$5:$H$1504,业务流水!$E$5:$E$1504,"*",业务流水!$D$5:$D$1504,"已交税",业务流水!$C$5:$C$1504,$A71,业务流水!$Z$5:$Z$1504,"是"))</f>
        <v/>
      </c>
      <c r="J71" s="42" t="str">
        <f aca="false">IF($A71="","",$H71-$I71)</f>
        <v/>
      </c>
      <c r="K71" s="41" t="str">
        <f aca="false">IF($A71="","",SUMIFS(业务流水!$H$5:$H$1504,业务流水!$F$5:$F$1504,"*",业务流水!$D$5:$D$1504,"挂靠代收",业务流水!$C$5:$C$1504,$A71,业务流水!$Z$5:$Z$1504,"是"))</f>
        <v/>
      </c>
      <c r="L71" s="42" t="str">
        <f aca="false">IF($A71="","",$C71-$K71)</f>
        <v/>
      </c>
      <c r="M71" s="41" t="str">
        <f aca="false">IF($A71="","",SUMIFS(业务流水!$H$5:$H$1504,业务流水!$E$5:$E$1504,"*",业务流水!$D$5:$D$1504,"我方收款",业务流水!$C$5:$C$1504,$A71,业务流水!$Z$5:$Z$1504,"是"))</f>
        <v/>
      </c>
      <c r="N71" s="43" t="str">
        <f aca="false">IF($A71="","",$K71-$M71)</f>
        <v/>
      </c>
      <c r="O71" s="41" t="str">
        <f aca="false">IF($A71="","",SUMIFS(业务流水!$H$5:$H$1504,业务流水!$F$5:$F$1504,"*",业务流水!$D$5:$D$1504,"管理费结算",业务流水!$C$5:$C$1504,$A71,业务流水!$Z$5:$Z$1504,"是"))</f>
        <v/>
      </c>
      <c r="P71" s="41" t="str">
        <f aca="false">IF($A71="","",SUMIFS(业务流水!$H$5:$H$1504,业务流水!$E$5:$E$1504,"*",业务流水!$D$5:$D$1504,"扣质保金",业务流水!$C$5:$C$1504,$A71,业务流水!$Z$5:$Z$1504,"是"))</f>
        <v/>
      </c>
    </row>
    <row r="72" customFormat="false" ht="15.75" hidden="false" customHeight="true" outlineLevel="0" collapsed="false">
      <c r="A72" s="32" t="str">
        <f aca="false">IF(项目档案!$A72="","",项目档案!$A72)</f>
        <v/>
      </c>
      <c r="B72" s="40" t="str">
        <f aca="false">IF($A72="","",项目档案!$B72)</f>
        <v/>
      </c>
      <c r="C72" s="41" t="str">
        <f aca="false">IF($A72="","",SUMIFS(业务流水!$H$5:$H$1504,业务流水!$E$5:$E$1504,"*",业务流水!$D$5:$D$1504,"销项开票",业务流水!$C$5:$C$1504,$A72,业务流水!$Z$5:$Z$1504,"是"))</f>
        <v/>
      </c>
      <c r="D72" s="41" t="str">
        <f aca="false">IF($A72="","",SUMIFS(业务流水!$O$5:$O$1504,业务流水!$E$5:$E$1504,"*",业务流水!$D$5:$D$1504,"销项开票",业务流水!$C$5:$C$1504,$A72,业务流水!$Z$5:$Z$1504,"是"))</f>
        <v/>
      </c>
      <c r="E72" s="41" t="str">
        <f aca="false">IF($A72="","",SUMIFS(业务流水!$P$5:$P$1504,业务流水!$E$5:$E$1504,"*",业务流水!$D$5:$D$1504,"销项开票",业务流水!$C$5:$C$1504,$A72,业务流水!$Z$5:$Z$1504,"是"))</f>
        <v/>
      </c>
      <c r="F72" s="41" t="str">
        <f aca="false">IF($A72="","",SUMIFS(业务流水!$H$5:$H$1504,业务流水!$F$5:$F$1504,"*",业务流水!$D$5:$D$1504,"成本票",业务流水!$C$5:$C$1504,$A72,业务流水!$Z$5:$Z$1504,"是")+SUMIFS(业务流水!$H$5:$H$1504,业务流水!$F$5:$F$1504,"*",业务流水!$D$5:$D$1504,"销项开票",业务流水!$C$5:$C$1504,$A72,业务流水!$Z$5:$Z$1504,"是"))</f>
        <v/>
      </c>
      <c r="G72" s="42" t="str">
        <f aca="false">IF($A72="","",$E72-$F72)</f>
        <v/>
      </c>
      <c r="H72" s="41" t="str">
        <f aca="false">IF($A72="","",SUMIFS(业务流水!$W$5:$W$1504,业务流水!$E$5:$E$1504,"*",业务流水!$D$5:$D$1504,"销项开票",业务流水!$C$5:$C$1504,$A72,业务流水!$Z$5:$Z$1504,"是"))</f>
        <v/>
      </c>
      <c r="I72" s="41" t="str">
        <f aca="false">IF($A72="","",SUMIFS(业务流水!$H$5:$H$1504,业务流水!$E$5:$E$1504,"*",业务流水!$D$5:$D$1504,"已交税",业务流水!$C$5:$C$1504,$A72,业务流水!$Z$5:$Z$1504,"是"))</f>
        <v/>
      </c>
      <c r="J72" s="42" t="str">
        <f aca="false">IF($A72="","",$H72-$I72)</f>
        <v/>
      </c>
      <c r="K72" s="41" t="str">
        <f aca="false">IF($A72="","",SUMIFS(业务流水!$H$5:$H$1504,业务流水!$F$5:$F$1504,"*",业务流水!$D$5:$D$1504,"挂靠代收",业务流水!$C$5:$C$1504,$A72,业务流水!$Z$5:$Z$1504,"是"))</f>
        <v/>
      </c>
      <c r="L72" s="42" t="str">
        <f aca="false">IF($A72="","",$C72-$K72)</f>
        <v/>
      </c>
      <c r="M72" s="41" t="str">
        <f aca="false">IF($A72="","",SUMIFS(业务流水!$H$5:$H$1504,业务流水!$E$5:$E$1504,"*",业务流水!$D$5:$D$1504,"我方收款",业务流水!$C$5:$C$1504,$A72,业务流水!$Z$5:$Z$1504,"是"))</f>
        <v/>
      </c>
      <c r="N72" s="43" t="str">
        <f aca="false">IF($A72="","",$K72-$M72)</f>
        <v/>
      </c>
      <c r="O72" s="41" t="str">
        <f aca="false">IF($A72="","",SUMIFS(业务流水!$H$5:$H$1504,业务流水!$F$5:$F$1504,"*",业务流水!$D$5:$D$1504,"管理费结算",业务流水!$C$5:$C$1504,$A72,业务流水!$Z$5:$Z$1504,"是"))</f>
        <v/>
      </c>
      <c r="P72" s="41" t="str">
        <f aca="false">IF($A72="","",SUMIFS(业务流水!$H$5:$H$1504,业务流水!$E$5:$E$1504,"*",业务流水!$D$5:$D$1504,"扣质保金",业务流水!$C$5:$C$1504,$A72,业务流水!$Z$5:$Z$1504,"是"))</f>
        <v/>
      </c>
    </row>
    <row r="73" customFormat="false" ht="15.75" hidden="false" customHeight="true" outlineLevel="0" collapsed="false">
      <c r="A73" s="32" t="str">
        <f aca="false">IF(项目档案!$A73="","",项目档案!$A73)</f>
        <v/>
      </c>
      <c r="B73" s="40" t="str">
        <f aca="false">IF($A73="","",项目档案!$B73)</f>
        <v/>
      </c>
      <c r="C73" s="41" t="str">
        <f aca="false">IF($A73="","",SUMIFS(业务流水!$H$5:$H$1504,业务流水!$E$5:$E$1504,"*",业务流水!$D$5:$D$1504,"销项开票",业务流水!$C$5:$C$1504,$A73,业务流水!$Z$5:$Z$1504,"是"))</f>
        <v/>
      </c>
      <c r="D73" s="41" t="str">
        <f aca="false">IF($A73="","",SUMIFS(业务流水!$O$5:$O$1504,业务流水!$E$5:$E$1504,"*",业务流水!$D$5:$D$1504,"销项开票",业务流水!$C$5:$C$1504,$A73,业务流水!$Z$5:$Z$1504,"是"))</f>
        <v/>
      </c>
      <c r="E73" s="41" t="str">
        <f aca="false">IF($A73="","",SUMIFS(业务流水!$P$5:$P$1504,业务流水!$E$5:$E$1504,"*",业务流水!$D$5:$D$1504,"销项开票",业务流水!$C$5:$C$1504,$A73,业务流水!$Z$5:$Z$1504,"是"))</f>
        <v/>
      </c>
      <c r="F73" s="41" t="str">
        <f aca="false">IF($A73="","",SUMIFS(业务流水!$H$5:$H$1504,业务流水!$F$5:$F$1504,"*",业务流水!$D$5:$D$1504,"成本票",业务流水!$C$5:$C$1504,$A73,业务流水!$Z$5:$Z$1504,"是")+SUMIFS(业务流水!$H$5:$H$1504,业务流水!$F$5:$F$1504,"*",业务流水!$D$5:$D$1504,"销项开票",业务流水!$C$5:$C$1504,$A73,业务流水!$Z$5:$Z$1504,"是"))</f>
        <v/>
      </c>
      <c r="G73" s="42" t="str">
        <f aca="false">IF($A73="","",$E73-$F73)</f>
        <v/>
      </c>
      <c r="H73" s="41" t="str">
        <f aca="false">IF($A73="","",SUMIFS(业务流水!$W$5:$W$1504,业务流水!$E$5:$E$1504,"*",业务流水!$D$5:$D$1504,"销项开票",业务流水!$C$5:$C$1504,$A73,业务流水!$Z$5:$Z$1504,"是"))</f>
        <v/>
      </c>
      <c r="I73" s="41" t="str">
        <f aca="false">IF($A73="","",SUMIFS(业务流水!$H$5:$H$1504,业务流水!$E$5:$E$1504,"*",业务流水!$D$5:$D$1504,"已交税",业务流水!$C$5:$C$1504,$A73,业务流水!$Z$5:$Z$1504,"是"))</f>
        <v/>
      </c>
      <c r="J73" s="42" t="str">
        <f aca="false">IF($A73="","",$H73-$I73)</f>
        <v/>
      </c>
      <c r="K73" s="41" t="str">
        <f aca="false">IF($A73="","",SUMIFS(业务流水!$H$5:$H$1504,业务流水!$F$5:$F$1504,"*",业务流水!$D$5:$D$1504,"挂靠代收",业务流水!$C$5:$C$1504,$A73,业务流水!$Z$5:$Z$1504,"是"))</f>
        <v/>
      </c>
      <c r="L73" s="42" t="str">
        <f aca="false">IF($A73="","",$C73-$K73)</f>
        <v/>
      </c>
      <c r="M73" s="41" t="str">
        <f aca="false">IF($A73="","",SUMIFS(业务流水!$H$5:$H$1504,业务流水!$E$5:$E$1504,"*",业务流水!$D$5:$D$1504,"我方收款",业务流水!$C$5:$C$1504,$A73,业务流水!$Z$5:$Z$1504,"是"))</f>
        <v/>
      </c>
      <c r="N73" s="43" t="str">
        <f aca="false">IF($A73="","",$K73-$M73)</f>
        <v/>
      </c>
      <c r="O73" s="41" t="str">
        <f aca="false">IF($A73="","",SUMIFS(业务流水!$H$5:$H$1504,业务流水!$F$5:$F$1504,"*",业务流水!$D$5:$D$1504,"管理费结算",业务流水!$C$5:$C$1504,$A73,业务流水!$Z$5:$Z$1504,"是"))</f>
        <v/>
      </c>
      <c r="P73" s="41" t="str">
        <f aca="false">IF($A73="","",SUMIFS(业务流水!$H$5:$H$1504,业务流水!$E$5:$E$1504,"*",业务流水!$D$5:$D$1504,"扣质保金",业务流水!$C$5:$C$1504,$A73,业务流水!$Z$5:$Z$1504,"是"))</f>
        <v/>
      </c>
    </row>
    <row r="74" customFormat="false" ht="15.75" hidden="false" customHeight="true" outlineLevel="0" collapsed="false">
      <c r="A74" s="32" t="str">
        <f aca="false">IF(项目档案!$A74="","",项目档案!$A74)</f>
        <v/>
      </c>
      <c r="B74" s="40" t="str">
        <f aca="false">IF($A74="","",项目档案!$B74)</f>
        <v/>
      </c>
      <c r="C74" s="41" t="str">
        <f aca="false">IF($A74="","",SUMIFS(业务流水!$H$5:$H$1504,业务流水!$E$5:$E$1504,"*",业务流水!$D$5:$D$1504,"销项开票",业务流水!$C$5:$C$1504,$A74,业务流水!$Z$5:$Z$1504,"是"))</f>
        <v/>
      </c>
      <c r="D74" s="41" t="str">
        <f aca="false">IF($A74="","",SUMIFS(业务流水!$O$5:$O$1504,业务流水!$E$5:$E$1504,"*",业务流水!$D$5:$D$1504,"销项开票",业务流水!$C$5:$C$1504,$A74,业务流水!$Z$5:$Z$1504,"是"))</f>
        <v/>
      </c>
      <c r="E74" s="41" t="str">
        <f aca="false">IF($A74="","",SUMIFS(业务流水!$P$5:$P$1504,业务流水!$E$5:$E$1504,"*",业务流水!$D$5:$D$1504,"销项开票",业务流水!$C$5:$C$1504,$A74,业务流水!$Z$5:$Z$1504,"是"))</f>
        <v/>
      </c>
      <c r="F74" s="41" t="str">
        <f aca="false">IF($A74="","",SUMIFS(业务流水!$H$5:$H$1504,业务流水!$F$5:$F$1504,"*",业务流水!$D$5:$D$1504,"成本票",业务流水!$C$5:$C$1504,$A74,业务流水!$Z$5:$Z$1504,"是")+SUMIFS(业务流水!$H$5:$H$1504,业务流水!$F$5:$F$1504,"*",业务流水!$D$5:$D$1504,"销项开票",业务流水!$C$5:$C$1504,$A74,业务流水!$Z$5:$Z$1504,"是"))</f>
        <v/>
      </c>
      <c r="G74" s="42" t="str">
        <f aca="false">IF($A74="","",$E74-$F74)</f>
        <v/>
      </c>
      <c r="H74" s="41" t="str">
        <f aca="false">IF($A74="","",SUMIFS(业务流水!$W$5:$W$1504,业务流水!$E$5:$E$1504,"*",业务流水!$D$5:$D$1504,"销项开票",业务流水!$C$5:$C$1504,$A74,业务流水!$Z$5:$Z$1504,"是"))</f>
        <v/>
      </c>
      <c r="I74" s="41" t="str">
        <f aca="false">IF($A74="","",SUMIFS(业务流水!$H$5:$H$1504,业务流水!$E$5:$E$1504,"*",业务流水!$D$5:$D$1504,"已交税",业务流水!$C$5:$C$1504,$A74,业务流水!$Z$5:$Z$1504,"是"))</f>
        <v/>
      </c>
      <c r="J74" s="42" t="str">
        <f aca="false">IF($A74="","",$H74-$I74)</f>
        <v/>
      </c>
      <c r="K74" s="41" t="str">
        <f aca="false">IF($A74="","",SUMIFS(业务流水!$H$5:$H$1504,业务流水!$F$5:$F$1504,"*",业务流水!$D$5:$D$1504,"挂靠代收",业务流水!$C$5:$C$1504,$A74,业务流水!$Z$5:$Z$1504,"是"))</f>
        <v/>
      </c>
      <c r="L74" s="42" t="str">
        <f aca="false">IF($A74="","",$C74-$K74)</f>
        <v/>
      </c>
      <c r="M74" s="41" t="str">
        <f aca="false">IF($A74="","",SUMIFS(业务流水!$H$5:$H$1504,业务流水!$E$5:$E$1504,"*",业务流水!$D$5:$D$1504,"我方收款",业务流水!$C$5:$C$1504,$A74,业务流水!$Z$5:$Z$1504,"是"))</f>
        <v/>
      </c>
      <c r="N74" s="43" t="str">
        <f aca="false">IF($A74="","",$K74-$M74)</f>
        <v/>
      </c>
      <c r="O74" s="41" t="str">
        <f aca="false">IF($A74="","",SUMIFS(业务流水!$H$5:$H$1504,业务流水!$F$5:$F$1504,"*",业务流水!$D$5:$D$1504,"管理费结算",业务流水!$C$5:$C$1504,$A74,业务流水!$Z$5:$Z$1504,"是"))</f>
        <v/>
      </c>
      <c r="P74" s="41" t="str">
        <f aca="false">IF($A74="","",SUMIFS(业务流水!$H$5:$H$1504,业务流水!$E$5:$E$1504,"*",业务流水!$D$5:$D$1504,"扣质保金",业务流水!$C$5:$C$1504,$A74,业务流水!$Z$5:$Z$1504,"是"))</f>
        <v/>
      </c>
    </row>
    <row r="75" customFormat="false" ht="15.75" hidden="false" customHeight="true" outlineLevel="0" collapsed="false">
      <c r="A75" s="32" t="str">
        <f aca="false">IF(项目档案!$A75="","",项目档案!$A75)</f>
        <v/>
      </c>
      <c r="B75" s="40" t="str">
        <f aca="false">IF($A75="","",项目档案!$B75)</f>
        <v/>
      </c>
      <c r="C75" s="41" t="str">
        <f aca="false">IF($A75="","",SUMIFS(业务流水!$H$5:$H$1504,业务流水!$E$5:$E$1504,"*",业务流水!$D$5:$D$1504,"销项开票",业务流水!$C$5:$C$1504,$A75,业务流水!$Z$5:$Z$1504,"是"))</f>
        <v/>
      </c>
      <c r="D75" s="41" t="str">
        <f aca="false">IF($A75="","",SUMIFS(业务流水!$O$5:$O$1504,业务流水!$E$5:$E$1504,"*",业务流水!$D$5:$D$1504,"销项开票",业务流水!$C$5:$C$1504,$A75,业务流水!$Z$5:$Z$1504,"是"))</f>
        <v/>
      </c>
      <c r="E75" s="41" t="str">
        <f aca="false">IF($A75="","",SUMIFS(业务流水!$P$5:$P$1504,业务流水!$E$5:$E$1504,"*",业务流水!$D$5:$D$1504,"销项开票",业务流水!$C$5:$C$1504,$A75,业务流水!$Z$5:$Z$1504,"是"))</f>
        <v/>
      </c>
      <c r="F75" s="41" t="str">
        <f aca="false">IF($A75="","",SUMIFS(业务流水!$H$5:$H$1504,业务流水!$F$5:$F$1504,"*",业务流水!$D$5:$D$1504,"成本票",业务流水!$C$5:$C$1504,$A75,业务流水!$Z$5:$Z$1504,"是")+SUMIFS(业务流水!$H$5:$H$1504,业务流水!$F$5:$F$1504,"*",业务流水!$D$5:$D$1504,"销项开票",业务流水!$C$5:$C$1504,$A75,业务流水!$Z$5:$Z$1504,"是"))</f>
        <v/>
      </c>
      <c r="G75" s="42" t="str">
        <f aca="false">IF($A75="","",$E75-$F75)</f>
        <v/>
      </c>
      <c r="H75" s="41" t="str">
        <f aca="false">IF($A75="","",SUMIFS(业务流水!$W$5:$W$1504,业务流水!$E$5:$E$1504,"*",业务流水!$D$5:$D$1504,"销项开票",业务流水!$C$5:$C$1504,$A75,业务流水!$Z$5:$Z$1504,"是"))</f>
        <v/>
      </c>
      <c r="I75" s="41" t="str">
        <f aca="false">IF($A75="","",SUMIFS(业务流水!$H$5:$H$1504,业务流水!$E$5:$E$1504,"*",业务流水!$D$5:$D$1504,"已交税",业务流水!$C$5:$C$1504,$A75,业务流水!$Z$5:$Z$1504,"是"))</f>
        <v/>
      </c>
      <c r="J75" s="42" t="str">
        <f aca="false">IF($A75="","",$H75-$I75)</f>
        <v/>
      </c>
      <c r="K75" s="41" t="str">
        <f aca="false">IF($A75="","",SUMIFS(业务流水!$H$5:$H$1504,业务流水!$F$5:$F$1504,"*",业务流水!$D$5:$D$1504,"挂靠代收",业务流水!$C$5:$C$1504,$A75,业务流水!$Z$5:$Z$1504,"是"))</f>
        <v/>
      </c>
      <c r="L75" s="42" t="str">
        <f aca="false">IF($A75="","",$C75-$K75)</f>
        <v/>
      </c>
      <c r="M75" s="41" t="str">
        <f aca="false">IF($A75="","",SUMIFS(业务流水!$H$5:$H$1504,业务流水!$E$5:$E$1504,"*",业务流水!$D$5:$D$1504,"我方收款",业务流水!$C$5:$C$1504,$A75,业务流水!$Z$5:$Z$1504,"是"))</f>
        <v/>
      </c>
      <c r="N75" s="43" t="str">
        <f aca="false">IF($A75="","",$K75-$M75)</f>
        <v/>
      </c>
      <c r="O75" s="41" t="str">
        <f aca="false">IF($A75="","",SUMIFS(业务流水!$H$5:$H$1504,业务流水!$F$5:$F$1504,"*",业务流水!$D$5:$D$1504,"管理费结算",业务流水!$C$5:$C$1504,$A75,业务流水!$Z$5:$Z$1504,"是"))</f>
        <v/>
      </c>
      <c r="P75" s="41" t="str">
        <f aca="false">IF($A75="","",SUMIFS(业务流水!$H$5:$H$1504,业务流水!$E$5:$E$1504,"*",业务流水!$D$5:$D$1504,"扣质保金",业务流水!$C$5:$C$1504,$A75,业务流水!$Z$5:$Z$1504,"是"))</f>
        <v/>
      </c>
    </row>
    <row r="76" customFormat="false" ht="15.75" hidden="false" customHeight="true" outlineLevel="0" collapsed="false">
      <c r="A76" s="32" t="str">
        <f aca="false">IF(项目档案!$A76="","",项目档案!$A76)</f>
        <v/>
      </c>
      <c r="B76" s="40" t="str">
        <f aca="false">IF($A76="","",项目档案!$B76)</f>
        <v/>
      </c>
      <c r="C76" s="41" t="str">
        <f aca="false">IF($A76="","",SUMIFS(业务流水!$H$5:$H$1504,业务流水!$E$5:$E$1504,"*",业务流水!$D$5:$D$1504,"销项开票",业务流水!$C$5:$C$1504,$A76,业务流水!$Z$5:$Z$1504,"是"))</f>
        <v/>
      </c>
      <c r="D76" s="41" t="str">
        <f aca="false">IF($A76="","",SUMIFS(业务流水!$O$5:$O$1504,业务流水!$E$5:$E$1504,"*",业务流水!$D$5:$D$1504,"销项开票",业务流水!$C$5:$C$1504,$A76,业务流水!$Z$5:$Z$1504,"是"))</f>
        <v/>
      </c>
      <c r="E76" s="41" t="str">
        <f aca="false">IF($A76="","",SUMIFS(业务流水!$P$5:$P$1504,业务流水!$E$5:$E$1504,"*",业务流水!$D$5:$D$1504,"销项开票",业务流水!$C$5:$C$1504,$A76,业务流水!$Z$5:$Z$1504,"是"))</f>
        <v/>
      </c>
      <c r="F76" s="41" t="str">
        <f aca="false">IF($A76="","",SUMIFS(业务流水!$H$5:$H$1504,业务流水!$F$5:$F$1504,"*",业务流水!$D$5:$D$1504,"成本票",业务流水!$C$5:$C$1504,$A76,业务流水!$Z$5:$Z$1504,"是")+SUMIFS(业务流水!$H$5:$H$1504,业务流水!$F$5:$F$1504,"*",业务流水!$D$5:$D$1504,"销项开票",业务流水!$C$5:$C$1504,$A76,业务流水!$Z$5:$Z$1504,"是"))</f>
        <v/>
      </c>
      <c r="G76" s="42" t="str">
        <f aca="false">IF($A76="","",$E76-$F76)</f>
        <v/>
      </c>
      <c r="H76" s="41" t="str">
        <f aca="false">IF($A76="","",SUMIFS(业务流水!$W$5:$W$1504,业务流水!$E$5:$E$1504,"*",业务流水!$D$5:$D$1504,"销项开票",业务流水!$C$5:$C$1504,$A76,业务流水!$Z$5:$Z$1504,"是"))</f>
        <v/>
      </c>
      <c r="I76" s="41" t="str">
        <f aca="false">IF($A76="","",SUMIFS(业务流水!$H$5:$H$1504,业务流水!$E$5:$E$1504,"*",业务流水!$D$5:$D$1504,"已交税",业务流水!$C$5:$C$1504,$A76,业务流水!$Z$5:$Z$1504,"是"))</f>
        <v/>
      </c>
      <c r="J76" s="42" t="str">
        <f aca="false">IF($A76="","",$H76-$I76)</f>
        <v/>
      </c>
      <c r="K76" s="41" t="str">
        <f aca="false">IF($A76="","",SUMIFS(业务流水!$H$5:$H$1504,业务流水!$F$5:$F$1504,"*",业务流水!$D$5:$D$1504,"挂靠代收",业务流水!$C$5:$C$1504,$A76,业务流水!$Z$5:$Z$1504,"是"))</f>
        <v/>
      </c>
      <c r="L76" s="42" t="str">
        <f aca="false">IF($A76="","",$C76-$K76)</f>
        <v/>
      </c>
      <c r="M76" s="41" t="str">
        <f aca="false">IF($A76="","",SUMIFS(业务流水!$H$5:$H$1504,业务流水!$E$5:$E$1504,"*",业务流水!$D$5:$D$1504,"我方收款",业务流水!$C$5:$C$1504,$A76,业务流水!$Z$5:$Z$1504,"是"))</f>
        <v/>
      </c>
      <c r="N76" s="43" t="str">
        <f aca="false">IF($A76="","",$K76-$M76)</f>
        <v/>
      </c>
      <c r="O76" s="41" t="str">
        <f aca="false">IF($A76="","",SUMIFS(业务流水!$H$5:$H$1504,业务流水!$F$5:$F$1504,"*",业务流水!$D$5:$D$1504,"管理费结算",业务流水!$C$5:$C$1504,$A76,业务流水!$Z$5:$Z$1504,"是"))</f>
        <v/>
      </c>
      <c r="P76" s="41" t="str">
        <f aca="false">IF($A76="","",SUMIFS(业务流水!$H$5:$H$1504,业务流水!$E$5:$E$1504,"*",业务流水!$D$5:$D$1504,"扣质保金",业务流水!$C$5:$C$1504,$A76,业务流水!$Z$5:$Z$1504,"是"))</f>
        <v/>
      </c>
    </row>
    <row r="77" customFormat="false" ht="15.75" hidden="false" customHeight="true" outlineLevel="0" collapsed="false">
      <c r="A77" s="32" t="str">
        <f aca="false">IF(项目档案!$A77="","",项目档案!$A77)</f>
        <v/>
      </c>
      <c r="B77" s="40" t="str">
        <f aca="false">IF($A77="","",项目档案!$B77)</f>
        <v/>
      </c>
      <c r="C77" s="41" t="str">
        <f aca="false">IF($A77="","",SUMIFS(业务流水!$H$5:$H$1504,业务流水!$E$5:$E$1504,"*",业务流水!$D$5:$D$1504,"销项开票",业务流水!$C$5:$C$1504,$A77,业务流水!$Z$5:$Z$1504,"是"))</f>
        <v/>
      </c>
      <c r="D77" s="41" t="str">
        <f aca="false">IF($A77="","",SUMIFS(业务流水!$O$5:$O$1504,业务流水!$E$5:$E$1504,"*",业务流水!$D$5:$D$1504,"销项开票",业务流水!$C$5:$C$1504,$A77,业务流水!$Z$5:$Z$1504,"是"))</f>
        <v/>
      </c>
      <c r="E77" s="41" t="str">
        <f aca="false">IF($A77="","",SUMIFS(业务流水!$P$5:$P$1504,业务流水!$E$5:$E$1504,"*",业务流水!$D$5:$D$1504,"销项开票",业务流水!$C$5:$C$1504,$A77,业务流水!$Z$5:$Z$1504,"是"))</f>
        <v/>
      </c>
      <c r="F77" s="41" t="str">
        <f aca="false">IF($A77="","",SUMIFS(业务流水!$H$5:$H$1504,业务流水!$F$5:$F$1504,"*",业务流水!$D$5:$D$1504,"成本票",业务流水!$C$5:$C$1504,$A77,业务流水!$Z$5:$Z$1504,"是")+SUMIFS(业务流水!$H$5:$H$1504,业务流水!$F$5:$F$1504,"*",业务流水!$D$5:$D$1504,"销项开票",业务流水!$C$5:$C$1504,$A77,业务流水!$Z$5:$Z$1504,"是"))</f>
        <v/>
      </c>
      <c r="G77" s="42" t="str">
        <f aca="false">IF($A77="","",$E77-$F77)</f>
        <v/>
      </c>
      <c r="H77" s="41" t="str">
        <f aca="false">IF($A77="","",SUMIFS(业务流水!$W$5:$W$1504,业务流水!$E$5:$E$1504,"*",业务流水!$D$5:$D$1504,"销项开票",业务流水!$C$5:$C$1504,$A77,业务流水!$Z$5:$Z$1504,"是"))</f>
        <v/>
      </c>
      <c r="I77" s="41" t="str">
        <f aca="false">IF($A77="","",SUMIFS(业务流水!$H$5:$H$1504,业务流水!$E$5:$E$1504,"*",业务流水!$D$5:$D$1504,"已交税",业务流水!$C$5:$C$1504,$A77,业务流水!$Z$5:$Z$1504,"是"))</f>
        <v/>
      </c>
      <c r="J77" s="42" t="str">
        <f aca="false">IF($A77="","",$H77-$I77)</f>
        <v/>
      </c>
      <c r="K77" s="41" t="str">
        <f aca="false">IF($A77="","",SUMIFS(业务流水!$H$5:$H$1504,业务流水!$F$5:$F$1504,"*",业务流水!$D$5:$D$1504,"挂靠代收",业务流水!$C$5:$C$1504,$A77,业务流水!$Z$5:$Z$1504,"是"))</f>
        <v/>
      </c>
      <c r="L77" s="42" t="str">
        <f aca="false">IF($A77="","",$C77-$K77)</f>
        <v/>
      </c>
      <c r="M77" s="41" t="str">
        <f aca="false">IF($A77="","",SUMIFS(业务流水!$H$5:$H$1504,业务流水!$E$5:$E$1504,"*",业务流水!$D$5:$D$1504,"我方收款",业务流水!$C$5:$C$1504,$A77,业务流水!$Z$5:$Z$1504,"是"))</f>
        <v/>
      </c>
      <c r="N77" s="43" t="str">
        <f aca="false">IF($A77="","",$K77-$M77)</f>
        <v/>
      </c>
      <c r="O77" s="41" t="str">
        <f aca="false">IF($A77="","",SUMIFS(业务流水!$H$5:$H$1504,业务流水!$F$5:$F$1504,"*",业务流水!$D$5:$D$1504,"管理费结算",业务流水!$C$5:$C$1504,$A77,业务流水!$Z$5:$Z$1504,"是"))</f>
        <v/>
      </c>
      <c r="P77" s="41" t="str">
        <f aca="false">IF($A77="","",SUMIFS(业务流水!$H$5:$H$1504,业务流水!$E$5:$E$1504,"*",业务流水!$D$5:$D$1504,"扣质保金",业务流水!$C$5:$C$1504,$A77,业务流水!$Z$5:$Z$1504,"是"))</f>
        <v/>
      </c>
    </row>
    <row r="78" customFormat="false" ht="15.75" hidden="false" customHeight="true" outlineLevel="0" collapsed="false">
      <c r="A78" s="32" t="str">
        <f aca="false">IF(项目档案!$A78="","",项目档案!$A78)</f>
        <v/>
      </c>
      <c r="B78" s="40" t="str">
        <f aca="false">IF($A78="","",项目档案!$B78)</f>
        <v/>
      </c>
      <c r="C78" s="41" t="str">
        <f aca="false">IF($A78="","",SUMIFS(业务流水!$H$5:$H$1504,业务流水!$E$5:$E$1504,"*",业务流水!$D$5:$D$1504,"销项开票",业务流水!$C$5:$C$1504,$A78,业务流水!$Z$5:$Z$1504,"是"))</f>
        <v/>
      </c>
      <c r="D78" s="41" t="str">
        <f aca="false">IF($A78="","",SUMIFS(业务流水!$O$5:$O$1504,业务流水!$E$5:$E$1504,"*",业务流水!$D$5:$D$1504,"销项开票",业务流水!$C$5:$C$1504,$A78,业务流水!$Z$5:$Z$1504,"是"))</f>
        <v/>
      </c>
      <c r="E78" s="41" t="str">
        <f aca="false">IF($A78="","",SUMIFS(业务流水!$P$5:$P$1504,业务流水!$E$5:$E$1504,"*",业务流水!$D$5:$D$1504,"销项开票",业务流水!$C$5:$C$1504,$A78,业务流水!$Z$5:$Z$1504,"是"))</f>
        <v/>
      </c>
      <c r="F78" s="41" t="str">
        <f aca="false">IF($A78="","",SUMIFS(业务流水!$H$5:$H$1504,业务流水!$F$5:$F$1504,"*",业务流水!$D$5:$D$1504,"成本票",业务流水!$C$5:$C$1504,$A78,业务流水!$Z$5:$Z$1504,"是")+SUMIFS(业务流水!$H$5:$H$1504,业务流水!$F$5:$F$1504,"*",业务流水!$D$5:$D$1504,"销项开票",业务流水!$C$5:$C$1504,$A78,业务流水!$Z$5:$Z$1504,"是"))</f>
        <v/>
      </c>
      <c r="G78" s="42" t="str">
        <f aca="false">IF($A78="","",$E78-$F78)</f>
        <v/>
      </c>
      <c r="H78" s="41" t="str">
        <f aca="false">IF($A78="","",SUMIFS(业务流水!$W$5:$W$1504,业务流水!$E$5:$E$1504,"*",业务流水!$D$5:$D$1504,"销项开票",业务流水!$C$5:$C$1504,$A78,业务流水!$Z$5:$Z$1504,"是"))</f>
        <v/>
      </c>
      <c r="I78" s="41" t="str">
        <f aca="false">IF($A78="","",SUMIFS(业务流水!$H$5:$H$1504,业务流水!$E$5:$E$1504,"*",业务流水!$D$5:$D$1504,"已交税",业务流水!$C$5:$C$1504,$A78,业务流水!$Z$5:$Z$1504,"是"))</f>
        <v/>
      </c>
      <c r="J78" s="42" t="str">
        <f aca="false">IF($A78="","",$H78-$I78)</f>
        <v/>
      </c>
      <c r="K78" s="41" t="str">
        <f aca="false">IF($A78="","",SUMIFS(业务流水!$H$5:$H$1504,业务流水!$F$5:$F$1504,"*",业务流水!$D$5:$D$1504,"挂靠代收",业务流水!$C$5:$C$1504,$A78,业务流水!$Z$5:$Z$1504,"是"))</f>
        <v/>
      </c>
      <c r="L78" s="42" t="str">
        <f aca="false">IF($A78="","",$C78-$K78)</f>
        <v/>
      </c>
      <c r="M78" s="41" t="str">
        <f aca="false">IF($A78="","",SUMIFS(业务流水!$H$5:$H$1504,业务流水!$E$5:$E$1504,"*",业务流水!$D$5:$D$1504,"我方收款",业务流水!$C$5:$C$1504,$A78,业务流水!$Z$5:$Z$1504,"是"))</f>
        <v/>
      </c>
      <c r="N78" s="43" t="str">
        <f aca="false">IF($A78="","",$K78-$M78)</f>
        <v/>
      </c>
      <c r="O78" s="41" t="str">
        <f aca="false">IF($A78="","",SUMIFS(业务流水!$H$5:$H$1504,业务流水!$F$5:$F$1504,"*",业务流水!$D$5:$D$1504,"管理费结算",业务流水!$C$5:$C$1504,$A78,业务流水!$Z$5:$Z$1504,"是"))</f>
        <v/>
      </c>
      <c r="P78" s="41" t="str">
        <f aca="false">IF($A78="","",SUMIFS(业务流水!$H$5:$H$1504,业务流水!$E$5:$E$1504,"*",业务流水!$D$5:$D$1504,"扣质保金",业务流水!$C$5:$C$1504,$A78,业务流水!$Z$5:$Z$1504,"是"))</f>
        <v/>
      </c>
    </row>
    <row r="79" customFormat="false" ht="15.75" hidden="false" customHeight="true" outlineLevel="0" collapsed="false">
      <c r="A79" s="32" t="str">
        <f aca="false">IF(项目档案!$A79="","",项目档案!$A79)</f>
        <v/>
      </c>
      <c r="B79" s="40" t="str">
        <f aca="false">IF($A79="","",项目档案!$B79)</f>
        <v/>
      </c>
      <c r="C79" s="41" t="str">
        <f aca="false">IF($A79="","",SUMIFS(业务流水!$H$5:$H$1504,业务流水!$E$5:$E$1504,"*",业务流水!$D$5:$D$1504,"销项开票",业务流水!$C$5:$C$1504,$A79,业务流水!$Z$5:$Z$1504,"是"))</f>
        <v/>
      </c>
      <c r="D79" s="41" t="str">
        <f aca="false">IF($A79="","",SUMIFS(业务流水!$O$5:$O$1504,业务流水!$E$5:$E$1504,"*",业务流水!$D$5:$D$1504,"销项开票",业务流水!$C$5:$C$1504,$A79,业务流水!$Z$5:$Z$1504,"是"))</f>
        <v/>
      </c>
      <c r="E79" s="41" t="str">
        <f aca="false">IF($A79="","",SUMIFS(业务流水!$P$5:$P$1504,业务流水!$E$5:$E$1504,"*",业务流水!$D$5:$D$1504,"销项开票",业务流水!$C$5:$C$1504,$A79,业务流水!$Z$5:$Z$1504,"是"))</f>
        <v/>
      </c>
      <c r="F79" s="41" t="str">
        <f aca="false">IF($A79="","",SUMIFS(业务流水!$H$5:$H$1504,业务流水!$F$5:$F$1504,"*",业务流水!$D$5:$D$1504,"成本票",业务流水!$C$5:$C$1504,$A79,业务流水!$Z$5:$Z$1504,"是")+SUMIFS(业务流水!$H$5:$H$1504,业务流水!$F$5:$F$1504,"*",业务流水!$D$5:$D$1504,"销项开票",业务流水!$C$5:$C$1504,$A79,业务流水!$Z$5:$Z$1504,"是"))</f>
        <v/>
      </c>
      <c r="G79" s="42" t="str">
        <f aca="false">IF($A79="","",$E79-$F79)</f>
        <v/>
      </c>
      <c r="H79" s="41" t="str">
        <f aca="false">IF($A79="","",SUMIFS(业务流水!$W$5:$W$1504,业务流水!$E$5:$E$1504,"*",业务流水!$D$5:$D$1504,"销项开票",业务流水!$C$5:$C$1504,$A79,业务流水!$Z$5:$Z$1504,"是"))</f>
        <v/>
      </c>
      <c r="I79" s="41" t="str">
        <f aca="false">IF($A79="","",SUMIFS(业务流水!$H$5:$H$1504,业务流水!$E$5:$E$1504,"*",业务流水!$D$5:$D$1504,"已交税",业务流水!$C$5:$C$1504,$A79,业务流水!$Z$5:$Z$1504,"是"))</f>
        <v/>
      </c>
      <c r="J79" s="42" t="str">
        <f aca="false">IF($A79="","",$H79-$I79)</f>
        <v/>
      </c>
      <c r="K79" s="41" t="str">
        <f aca="false">IF($A79="","",SUMIFS(业务流水!$H$5:$H$1504,业务流水!$F$5:$F$1504,"*",业务流水!$D$5:$D$1504,"挂靠代收",业务流水!$C$5:$C$1504,$A79,业务流水!$Z$5:$Z$1504,"是"))</f>
        <v/>
      </c>
      <c r="L79" s="42" t="str">
        <f aca="false">IF($A79="","",$C79-$K79)</f>
        <v/>
      </c>
      <c r="M79" s="41" t="str">
        <f aca="false">IF($A79="","",SUMIFS(业务流水!$H$5:$H$1504,业务流水!$E$5:$E$1504,"*",业务流水!$D$5:$D$1504,"我方收款",业务流水!$C$5:$C$1504,$A79,业务流水!$Z$5:$Z$1504,"是"))</f>
        <v/>
      </c>
      <c r="N79" s="43" t="str">
        <f aca="false">IF($A79="","",$K79-$M79)</f>
        <v/>
      </c>
      <c r="O79" s="41" t="str">
        <f aca="false">IF($A79="","",SUMIFS(业务流水!$H$5:$H$1504,业务流水!$F$5:$F$1504,"*",业务流水!$D$5:$D$1504,"管理费结算",业务流水!$C$5:$C$1504,$A79,业务流水!$Z$5:$Z$1504,"是"))</f>
        <v/>
      </c>
      <c r="P79" s="41" t="str">
        <f aca="false">IF($A79="","",SUMIFS(业务流水!$H$5:$H$1504,业务流水!$E$5:$E$1504,"*",业务流水!$D$5:$D$1504,"扣质保金",业务流水!$C$5:$C$1504,$A79,业务流水!$Z$5:$Z$1504,"是"))</f>
        <v/>
      </c>
    </row>
    <row r="80" customFormat="false" ht="15.75" hidden="false" customHeight="true" outlineLevel="0" collapsed="false">
      <c r="A80" s="32" t="str">
        <f aca="false">IF(项目档案!$A80="","",项目档案!$A80)</f>
        <v/>
      </c>
      <c r="B80" s="40" t="str">
        <f aca="false">IF($A80="","",项目档案!$B80)</f>
        <v/>
      </c>
      <c r="C80" s="41" t="str">
        <f aca="false">IF($A80="","",SUMIFS(业务流水!$H$5:$H$1504,业务流水!$E$5:$E$1504,"*",业务流水!$D$5:$D$1504,"销项开票",业务流水!$C$5:$C$1504,$A80,业务流水!$Z$5:$Z$1504,"是"))</f>
        <v/>
      </c>
      <c r="D80" s="41" t="str">
        <f aca="false">IF($A80="","",SUMIFS(业务流水!$O$5:$O$1504,业务流水!$E$5:$E$1504,"*",业务流水!$D$5:$D$1504,"销项开票",业务流水!$C$5:$C$1504,$A80,业务流水!$Z$5:$Z$1504,"是"))</f>
        <v/>
      </c>
      <c r="E80" s="41" t="str">
        <f aca="false">IF($A80="","",SUMIFS(业务流水!$P$5:$P$1504,业务流水!$E$5:$E$1504,"*",业务流水!$D$5:$D$1504,"销项开票",业务流水!$C$5:$C$1504,$A80,业务流水!$Z$5:$Z$1504,"是"))</f>
        <v/>
      </c>
      <c r="F80" s="41" t="str">
        <f aca="false">IF($A80="","",SUMIFS(业务流水!$H$5:$H$1504,业务流水!$F$5:$F$1504,"*",业务流水!$D$5:$D$1504,"成本票",业务流水!$C$5:$C$1504,$A80,业务流水!$Z$5:$Z$1504,"是")+SUMIFS(业务流水!$H$5:$H$1504,业务流水!$F$5:$F$1504,"*",业务流水!$D$5:$D$1504,"销项开票",业务流水!$C$5:$C$1504,$A80,业务流水!$Z$5:$Z$1504,"是"))</f>
        <v/>
      </c>
      <c r="G80" s="42" t="str">
        <f aca="false">IF($A80="","",$E80-$F80)</f>
        <v/>
      </c>
      <c r="H80" s="41" t="str">
        <f aca="false">IF($A80="","",SUMIFS(业务流水!$W$5:$W$1504,业务流水!$E$5:$E$1504,"*",业务流水!$D$5:$D$1504,"销项开票",业务流水!$C$5:$C$1504,$A80,业务流水!$Z$5:$Z$1504,"是"))</f>
        <v/>
      </c>
      <c r="I80" s="41" t="str">
        <f aca="false">IF($A80="","",SUMIFS(业务流水!$H$5:$H$1504,业务流水!$E$5:$E$1504,"*",业务流水!$D$5:$D$1504,"已交税",业务流水!$C$5:$C$1504,$A80,业务流水!$Z$5:$Z$1504,"是"))</f>
        <v/>
      </c>
      <c r="J80" s="42" t="str">
        <f aca="false">IF($A80="","",$H80-$I80)</f>
        <v/>
      </c>
      <c r="K80" s="41" t="str">
        <f aca="false">IF($A80="","",SUMIFS(业务流水!$H$5:$H$1504,业务流水!$F$5:$F$1504,"*",业务流水!$D$5:$D$1504,"挂靠代收",业务流水!$C$5:$C$1504,$A80,业务流水!$Z$5:$Z$1504,"是"))</f>
        <v/>
      </c>
      <c r="L80" s="42" t="str">
        <f aca="false">IF($A80="","",$C80-$K80)</f>
        <v/>
      </c>
      <c r="M80" s="41" t="str">
        <f aca="false">IF($A80="","",SUMIFS(业务流水!$H$5:$H$1504,业务流水!$E$5:$E$1504,"*",业务流水!$D$5:$D$1504,"我方收款",业务流水!$C$5:$C$1504,$A80,业务流水!$Z$5:$Z$1504,"是"))</f>
        <v/>
      </c>
      <c r="N80" s="43" t="str">
        <f aca="false">IF($A80="","",$K80-$M80)</f>
        <v/>
      </c>
      <c r="O80" s="41" t="str">
        <f aca="false">IF($A80="","",SUMIFS(业务流水!$H$5:$H$1504,业务流水!$F$5:$F$1504,"*",业务流水!$D$5:$D$1504,"管理费结算",业务流水!$C$5:$C$1504,$A80,业务流水!$Z$5:$Z$1504,"是"))</f>
        <v/>
      </c>
      <c r="P80" s="41" t="str">
        <f aca="false">IF($A80="","",SUMIFS(业务流水!$H$5:$H$1504,业务流水!$E$5:$E$1504,"*",业务流水!$D$5:$D$1504,"扣质保金",业务流水!$C$5:$C$1504,$A80,业务流水!$Z$5:$Z$1504,"是"))</f>
        <v/>
      </c>
    </row>
    <row r="81" customFormat="false" ht="15.75" hidden="false" customHeight="true" outlineLevel="0" collapsed="false">
      <c r="A81" s="32" t="str">
        <f aca="false">IF(项目档案!$A81="","",项目档案!$A81)</f>
        <v/>
      </c>
      <c r="B81" s="40" t="str">
        <f aca="false">IF($A81="","",项目档案!$B81)</f>
        <v/>
      </c>
      <c r="C81" s="41" t="str">
        <f aca="false">IF($A81="","",SUMIFS(业务流水!$H$5:$H$1504,业务流水!$E$5:$E$1504,"*",业务流水!$D$5:$D$1504,"销项开票",业务流水!$C$5:$C$1504,$A81,业务流水!$Z$5:$Z$1504,"是"))</f>
        <v/>
      </c>
      <c r="D81" s="41" t="str">
        <f aca="false">IF($A81="","",SUMIFS(业务流水!$O$5:$O$1504,业务流水!$E$5:$E$1504,"*",业务流水!$D$5:$D$1504,"销项开票",业务流水!$C$5:$C$1504,$A81,业务流水!$Z$5:$Z$1504,"是"))</f>
        <v/>
      </c>
      <c r="E81" s="41" t="str">
        <f aca="false">IF($A81="","",SUMIFS(业务流水!$P$5:$P$1504,业务流水!$E$5:$E$1504,"*",业务流水!$D$5:$D$1504,"销项开票",业务流水!$C$5:$C$1504,$A81,业务流水!$Z$5:$Z$1504,"是"))</f>
        <v/>
      </c>
      <c r="F81" s="41" t="str">
        <f aca="false">IF($A81="","",SUMIFS(业务流水!$H$5:$H$1504,业务流水!$F$5:$F$1504,"*",业务流水!$D$5:$D$1504,"成本票",业务流水!$C$5:$C$1504,$A81,业务流水!$Z$5:$Z$1504,"是")+SUMIFS(业务流水!$H$5:$H$1504,业务流水!$F$5:$F$1504,"*",业务流水!$D$5:$D$1504,"销项开票",业务流水!$C$5:$C$1504,$A81,业务流水!$Z$5:$Z$1504,"是"))</f>
        <v/>
      </c>
      <c r="G81" s="42" t="str">
        <f aca="false">IF($A81="","",$E81-$F81)</f>
        <v/>
      </c>
      <c r="H81" s="41" t="str">
        <f aca="false">IF($A81="","",SUMIFS(业务流水!$W$5:$W$1504,业务流水!$E$5:$E$1504,"*",业务流水!$D$5:$D$1504,"销项开票",业务流水!$C$5:$C$1504,$A81,业务流水!$Z$5:$Z$1504,"是"))</f>
        <v/>
      </c>
      <c r="I81" s="41" t="str">
        <f aca="false">IF($A81="","",SUMIFS(业务流水!$H$5:$H$1504,业务流水!$E$5:$E$1504,"*",业务流水!$D$5:$D$1504,"已交税",业务流水!$C$5:$C$1504,$A81,业务流水!$Z$5:$Z$1504,"是"))</f>
        <v/>
      </c>
      <c r="J81" s="42" t="str">
        <f aca="false">IF($A81="","",$H81-$I81)</f>
        <v/>
      </c>
      <c r="K81" s="41" t="str">
        <f aca="false">IF($A81="","",SUMIFS(业务流水!$H$5:$H$1504,业务流水!$F$5:$F$1504,"*",业务流水!$D$5:$D$1504,"挂靠代收",业务流水!$C$5:$C$1504,$A81,业务流水!$Z$5:$Z$1504,"是"))</f>
        <v/>
      </c>
      <c r="L81" s="42" t="str">
        <f aca="false">IF($A81="","",$C81-$K81)</f>
        <v/>
      </c>
      <c r="M81" s="41" t="str">
        <f aca="false">IF($A81="","",SUMIFS(业务流水!$H$5:$H$1504,业务流水!$E$5:$E$1504,"*",业务流水!$D$5:$D$1504,"我方收款",业务流水!$C$5:$C$1504,$A81,业务流水!$Z$5:$Z$1504,"是"))</f>
        <v/>
      </c>
      <c r="N81" s="43" t="str">
        <f aca="false">IF($A81="","",$K81-$M81)</f>
        <v/>
      </c>
      <c r="O81" s="41" t="str">
        <f aca="false">IF($A81="","",SUMIFS(业务流水!$H$5:$H$1504,业务流水!$F$5:$F$1504,"*",业务流水!$D$5:$D$1504,"管理费结算",业务流水!$C$5:$C$1504,$A81,业务流水!$Z$5:$Z$1504,"是"))</f>
        <v/>
      </c>
      <c r="P81" s="41" t="str">
        <f aca="false">IF($A81="","",SUMIFS(业务流水!$H$5:$H$1504,业务流水!$E$5:$E$1504,"*",业务流水!$D$5:$D$1504,"扣质保金",业务流水!$C$5:$C$1504,$A81,业务流水!$Z$5:$Z$1504,"是"))</f>
        <v/>
      </c>
    </row>
    <row r="82" customFormat="false" ht="15.75" hidden="false" customHeight="true" outlineLevel="0" collapsed="false">
      <c r="A82" s="32" t="str">
        <f aca="false">IF(项目档案!$A82="","",项目档案!$A82)</f>
        <v/>
      </c>
      <c r="B82" s="40" t="str">
        <f aca="false">IF($A82="","",项目档案!$B82)</f>
        <v/>
      </c>
      <c r="C82" s="41" t="str">
        <f aca="false">IF($A82="","",SUMIFS(业务流水!$H$5:$H$1504,业务流水!$E$5:$E$1504,"*",业务流水!$D$5:$D$1504,"销项开票",业务流水!$C$5:$C$1504,$A82,业务流水!$Z$5:$Z$1504,"是"))</f>
        <v/>
      </c>
      <c r="D82" s="41" t="str">
        <f aca="false">IF($A82="","",SUMIFS(业务流水!$O$5:$O$1504,业务流水!$E$5:$E$1504,"*",业务流水!$D$5:$D$1504,"销项开票",业务流水!$C$5:$C$1504,$A82,业务流水!$Z$5:$Z$1504,"是"))</f>
        <v/>
      </c>
      <c r="E82" s="41" t="str">
        <f aca="false">IF($A82="","",SUMIFS(业务流水!$P$5:$P$1504,业务流水!$E$5:$E$1504,"*",业务流水!$D$5:$D$1504,"销项开票",业务流水!$C$5:$C$1504,$A82,业务流水!$Z$5:$Z$1504,"是"))</f>
        <v/>
      </c>
      <c r="F82" s="41" t="str">
        <f aca="false">IF($A82="","",SUMIFS(业务流水!$H$5:$H$1504,业务流水!$F$5:$F$1504,"*",业务流水!$D$5:$D$1504,"成本票",业务流水!$C$5:$C$1504,$A82,业务流水!$Z$5:$Z$1504,"是")+SUMIFS(业务流水!$H$5:$H$1504,业务流水!$F$5:$F$1504,"*",业务流水!$D$5:$D$1504,"销项开票",业务流水!$C$5:$C$1504,$A82,业务流水!$Z$5:$Z$1504,"是"))</f>
        <v/>
      </c>
      <c r="G82" s="42" t="str">
        <f aca="false">IF($A82="","",$E82-$F82)</f>
        <v/>
      </c>
      <c r="H82" s="41" t="str">
        <f aca="false">IF($A82="","",SUMIFS(业务流水!$W$5:$W$1504,业务流水!$E$5:$E$1504,"*",业务流水!$D$5:$D$1504,"销项开票",业务流水!$C$5:$C$1504,$A82,业务流水!$Z$5:$Z$1504,"是"))</f>
        <v/>
      </c>
      <c r="I82" s="41" t="str">
        <f aca="false">IF($A82="","",SUMIFS(业务流水!$H$5:$H$1504,业务流水!$E$5:$E$1504,"*",业务流水!$D$5:$D$1504,"已交税",业务流水!$C$5:$C$1504,$A82,业务流水!$Z$5:$Z$1504,"是"))</f>
        <v/>
      </c>
      <c r="J82" s="42" t="str">
        <f aca="false">IF($A82="","",$H82-$I82)</f>
        <v/>
      </c>
      <c r="K82" s="41" t="str">
        <f aca="false">IF($A82="","",SUMIFS(业务流水!$H$5:$H$1504,业务流水!$F$5:$F$1504,"*",业务流水!$D$5:$D$1504,"挂靠代收",业务流水!$C$5:$C$1504,$A82,业务流水!$Z$5:$Z$1504,"是"))</f>
        <v/>
      </c>
      <c r="L82" s="42" t="str">
        <f aca="false">IF($A82="","",$C82-$K82)</f>
        <v/>
      </c>
      <c r="M82" s="41" t="str">
        <f aca="false">IF($A82="","",SUMIFS(业务流水!$H$5:$H$1504,业务流水!$E$5:$E$1504,"*",业务流水!$D$5:$D$1504,"我方收款",业务流水!$C$5:$C$1504,$A82,业务流水!$Z$5:$Z$1504,"是"))</f>
        <v/>
      </c>
      <c r="N82" s="43" t="str">
        <f aca="false">IF($A82="","",$K82-$M82)</f>
        <v/>
      </c>
      <c r="O82" s="41" t="str">
        <f aca="false">IF($A82="","",SUMIFS(业务流水!$H$5:$H$1504,业务流水!$F$5:$F$1504,"*",业务流水!$D$5:$D$1504,"管理费结算",业务流水!$C$5:$C$1504,$A82,业务流水!$Z$5:$Z$1504,"是"))</f>
        <v/>
      </c>
      <c r="P82" s="41" t="str">
        <f aca="false">IF($A82="","",SUMIFS(业务流水!$H$5:$H$1504,业务流水!$E$5:$E$1504,"*",业务流水!$D$5:$D$1504,"扣质保金",业务流水!$C$5:$C$1504,$A82,业务流水!$Z$5:$Z$1504,"是"))</f>
        <v/>
      </c>
    </row>
    <row r="83" customFormat="false" ht="15.75" hidden="false" customHeight="true" outlineLevel="0" collapsed="false">
      <c r="A83" s="32" t="str">
        <f aca="false">IF(项目档案!$A83="","",项目档案!$A83)</f>
        <v/>
      </c>
      <c r="B83" s="40" t="str">
        <f aca="false">IF($A83="","",项目档案!$B83)</f>
        <v/>
      </c>
      <c r="C83" s="41" t="str">
        <f aca="false">IF($A83="","",SUMIFS(业务流水!$H$5:$H$1504,业务流水!$E$5:$E$1504,"*",业务流水!$D$5:$D$1504,"销项开票",业务流水!$C$5:$C$1504,$A83,业务流水!$Z$5:$Z$1504,"是"))</f>
        <v/>
      </c>
      <c r="D83" s="41" t="str">
        <f aca="false">IF($A83="","",SUMIFS(业务流水!$O$5:$O$1504,业务流水!$E$5:$E$1504,"*",业务流水!$D$5:$D$1504,"销项开票",业务流水!$C$5:$C$1504,$A83,业务流水!$Z$5:$Z$1504,"是"))</f>
        <v/>
      </c>
      <c r="E83" s="41" t="str">
        <f aca="false">IF($A83="","",SUMIFS(业务流水!$P$5:$P$1504,业务流水!$E$5:$E$1504,"*",业务流水!$D$5:$D$1504,"销项开票",业务流水!$C$5:$C$1504,$A83,业务流水!$Z$5:$Z$1504,"是"))</f>
        <v/>
      </c>
      <c r="F83" s="41" t="str">
        <f aca="false">IF($A83="","",SUMIFS(业务流水!$H$5:$H$1504,业务流水!$F$5:$F$1504,"*",业务流水!$D$5:$D$1504,"成本票",业务流水!$C$5:$C$1504,$A83,业务流水!$Z$5:$Z$1504,"是")+SUMIFS(业务流水!$H$5:$H$1504,业务流水!$F$5:$F$1504,"*",业务流水!$D$5:$D$1504,"销项开票",业务流水!$C$5:$C$1504,$A83,业务流水!$Z$5:$Z$1504,"是"))</f>
        <v/>
      </c>
      <c r="G83" s="42" t="str">
        <f aca="false">IF($A83="","",$E83-$F83)</f>
        <v/>
      </c>
      <c r="H83" s="41" t="str">
        <f aca="false">IF($A83="","",SUMIFS(业务流水!$W$5:$W$1504,业务流水!$E$5:$E$1504,"*",业务流水!$D$5:$D$1504,"销项开票",业务流水!$C$5:$C$1504,$A83,业务流水!$Z$5:$Z$1504,"是"))</f>
        <v/>
      </c>
      <c r="I83" s="41" t="str">
        <f aca="false">IF($A83="","",SUMIFS(业务流水!$H$5:$H$1504,业务流水!$E$5:$E$1504,"*",业务流水!$D$5:$D$1504,"已交税",业务流水!$C$5:$C$1504,$A83,业务流水!$Z$5:$Z$1504,"是"))</f>
        <v/>
      </c>
      <c r="J83" s="42" t="str">
        <f aca="false">IF($A83="","",$H83-$I83)</f>
        <v/>
      </c>
      <c r="K83" s="41" t="str">
        <f aca="false">IF($A83="","",SUMIFS(业务流水!$H$5:$H$1504,业务流水!$F$5:$F$1504,"*",业务流水!$D$5:$D$1504,"挂靠代收",业务流水!$C$5:$C$1504,$A83,业务流水!$Z$5:$Z$1504,"是"))</f>
        <v/>
      </c>
      <c r="L83" s="42" t="str">
        <f aca="false">IF($A83="","",$C83-$K83)</f>
        <v/>
      </c>
      <c r="M83" s="41" t="str">
        <f aca="false">IF($A83="","",SUMIFS(业务流水!$H$5:$H$1504,业务流水!$E$5:$E$1504,"*",业务流水!$D$5:$D$1504,"我方收款",业务流水!$C$5:$C$1504,$A83,业务流水!$Z$5:$Z$1504,"是"))</f>
        <v/>
      </c>
      <c r="N83" s="43" t="str">
        <f aca="false">IF($A83="","",$K83-$M83)</f>
        <v/>
      </c>
      <c r="O83" s="41" t="str">
        <f aca="false">IF($A83="","",SUMIFS(业务流水!$H$5:$H$1504,业务流水!$F$5:$F$1504,"*",业务流水!$D$5:$D$1504,"管理费结算",业务流水!$C$5:$C$1504,$A83,业务流水!$Z$5:$Z$1504,"是"))</f>
        <v/>
      </c>
      <c r="P83" s="41" t="str">
        <f aca="false">IF($A83="","",SUMIFS(业务流水!$H$5:$H$1504,业务流水!$E$5:$E$1504,"*",业务流水!$D$5:$D$1504,"扣质保金",业务流水!$C$5:$C$1504,$A83,业务流水!$Z$5:$Z$1504,"是"))</f>
        <v/>
      </c>
    </row>
    <row r="84" customFormat="false" ht="15.75" hidden="false" customHeight="true" outlineLevel="0" collapsed="false">
      <c r="A84" s="32" t="str">
        <f aca="false">IF(项目档案!$A84="","",项目档案!$A84)</f>
        <v/>
      </c>
      <c r="B84" s="40" t="str">
        <f aca="false">IF($A84="","",项目档案!$B84)</f>
        <v/>
      </c>
      <c r="C84" s="41" t="str">
        <f aca="false">IF($A84="","",SUMIFS(业务流水!$H$5:$H$1504,业务流水!$E$5:$E$1504,"*",业务流水!$D$5:$D$1504,"销项开票",业务流水!$C$5:$C$1504,$A84,业务流水!$Z$5:$Z$1504,"是"))</f>
        <v/>
      </c>
      <c r="D84" s="41" t="str">
        <f aca="false">IF($A84="","",SUMIFS(业务流水!$O$5:$O$1504,业务流水!$E$5:$E$1504,"*",业务流水!$D$5:$D$1504,"销项开票",业务流水!$C$5:$C$1504,$A84,业务流水!$Z$5:$Z$1504,"是"))</f>
        <v/>
      </c>
      <c r="E84" s="41" t="str">
        <f aca="false">IF($A84="","",SUMIFS(业务流水!$P$5:$P$1504,业务流水!$E$5:$E$1504,"*",业务流水!$D$5:$D$1504,"销项开票",业务流水!$C$5:$C$1504,$A84,业务流水!$Z$5:$Z$1504,"是"))</f>
        <v/>
      </c>
      <c r="F84" s="41" t="str">
        <f aca="false">IF($A84="","",SUMIFS(业务流水!$H$5:$H$1504,业务流水!$F$5:$F$1504,"*",业务流水!$D$5:$D$1504,"成本票",业务流水!$C$5:$C$1504,$A84,业务流水!$Z$5:$Z$1504,"是")+SUMIFS(业务流水!$H$5:$H$1504,业务流水!$F$5:$F$1504,"*",业务流水!$D$5:$D$1504,"销项开票",业务流水!$C$5:$C$1504,$A84,业务流水!$Z$5:$Z$1504,"是"))</f>
        <v/>
      </c>
      <c r="G84" s="42" t="str">
        <f aca="false">IF($A84="","",$E84-$F84)</f>
        <v/>
      </c>
      <c r="H84" s="41" t="str">
        <f aca="false">IF($A84="","",SUMIFS(业务流水!$W$5:$W$1504,业务流水!$E$5:$E$1504,"*",业务流水!$D$5:$D$1504,"销项开票",业务流水!$C$5:$C$1504,$A84,业务流水!$Z$5:$Z$1504,"是"))</f>
        <v/>
      </c>
      <c r="I84" s="41" t="str">
        <f aca="false">IF($A84="","",SUMIFS(业务流水!$H$5:$H$1504,业务流水!$E$5:$E$1504,"*",业务流水!$D$5:$D$1504,"已交税",业务流水!$C$5:$C$1504,$A84,业务流水!$Z$5:$Z$1504,"是"))</f>
        <v/>
      </c>
      <c r="J84" s="42" t="str">
        <f aca="false">IF($A84="","",$H84-$I84)</f>
        <v/>
      </c>
      <c r="K84" s="41" t="str">
        <f aca="false">IF($A84="","",SUMIFS(业务流水!$H$5:$H$1504,业务流水!$F$5:$F$1504,"*",业务流水!$D$5:$D$1504,"挂靠代收",业务流水!$C$5:$C$1504,$A84,业务流水!$Z$5:$Z$1504,"是"))</f>
        <v/>
      </c>
      <c r="L84" s="42" t="str">
        <f aca="false">IF($A84="","",$C84-$K84)</f>
        <v/>
      </c>
      <c r="M84" s="41" t="str">
        <f aca="false">IF($A84="","",SUMIFS(业务流水!$H$5:$H$1504,业务流水!$E$5:$E$1504,"*",业务流水!$D$5:$D$1504,"我方收款",业务流水!$C$5:$C$1504,$A84,业务流水!$Z$5:$Z$1504,"是"))</f>
        <v/>
      </c>
      <c r="N84" s="43" t="str">
        <f aca="false">IF($A84="","",$K84-$M84)</f>
        <v/>
      </c>
      <c r="O84" s="41" t="str">
        <f aca="false">IF($A84="","",SUMIFS(业务流水!$H$5:$H$1504,业务流水!$F$5:$F$1504,"*",业务流水!$D$5:$D$1504,"管理费结算",业务流水!$C$5:$C$1504,$A84,业务流水!$Z$5:$Z$1504,"是"))</f>
        <v/>
      </c>
      <c r="P84" s="41" t="str">
        <f aca="false">IF($A84="","",SUMIFS(业务流水!$H$5:$H$1504,业务流水!$E$5:$E$1504,"*",业务流水!$D$5:$D$1504,"扣质保金",业务流水!$C$5:$C$1504,$A84,业务流水!$Z$5:$Z$1504,"是"))</f>
        <v/>
      </c>
    </row>
    <row r="85" customFormat="false" ht="15.75" hidden="false" customHeight="true" outlineLevel="0" collapsed="false">
      <c r="A85" s="32" t="str">
        <f aca="false">IF(项目档案!$A85="","",项目档案!$A85)</f>
        <v/>
      </c>
      <c r="B85" s="40" t="str">
        <f aca="false">IF($A85="","",项目档案!$B85)</f>
        <v/>
      </c>
      <c r="C85" s="41" t="str">
        <f aca="false">IF($A85="","",SUMIFS(业务流水!$H$5:$H$1504,业务流水!$E$5:$E$1504,"*",业务流水!$D$5:$D$1504,"销项开票",业务流水!$C$5:$C$1504,$A85,业务流水!$Z$5:$Z$1504,"是"))</f>
        <v/>
      </c>
      <c r="D85" s="41" t="str">
        <f aca="false">IF($A85="","",SUMIFS(业务流水!$O$5:$O$1504,业务流水!$E$5:$E$1504,"*",业务流水!$D$5:$D$1504,"销项开票",业务流水!$C$5:$C$1504,$A85,业务流水!$Z$5:$Z$1504,"是"))</f>
        <v/>
      </c>
      <c r="E85" s="41" t="str">
        <f aca="false">IF($A85="","",SUMIFS(业务流水!$P$5:$P$1504,业务流水!$E$5:$E$1504,"*",业务流水!$D$5:$D$1504,"销项开票",业务流水!$C$5:$C$1504,$A85,业务流水!$Z$5:$Z$1504,"是"))</f>
        <v/>
      </c>
      <c r="F85" s="41" t="str">
        <f aca="false">IF($A85="","",SUMIFS(业务流水!$H$5:$H$1504,业务流水!$F$5:$F$1504,"*",业务流水!$D$5:$D$1504,"成本票",业务流水!$C$5:$C$1504,$A85,业务流水!$Z$5:$Z$1504,"是")+SUMIFS(业务流水!$H$5:$H$1504,业务流水!$F$5:$F$1504,"*",业务流水!$D$5:$D$1504,"销项开票",业务流水!$C$5:$C$1504,$A85,业务流水!$Z$5:$Z$1504,"是"))</f>
        <v/>
      </c>
      <c r="G85" s="42" t="str">
        <f aca="false">IF($A85="","",$E85-$F85)</f>
        <v/>
      </c>
      <c r="H85" s="41" t="str">
        <f aca="false">IF($A85="","",SUMIFS(业务流水!$W$5:$W$1504,业务流水!$E$5:$E$1504,"*",业务流水!$D$5:$D$1504,"销项开票",业务流水!$C$5:$C$1504,$A85,业务流水!$Z$5:$Z$1504,"是"))</f>
        <v/>
      </c>
      <c r="I85" s="41" t="str">
        <f aca="false">IF($A85="","",SUMIFS(业务流水!$H$5:$H$1504,业务流水!$E$5:$E$1504,"*",业务流水!$D$5:$D$1504,"已交税",业务流水!$C$5:$C$1504,$A85,业务流水!$Z$5:$Z$1504,"是"))</f>
        <v/>
      </c>
      <c r="J85" s="42" t="str">
        <f aca="false">IF($A85="","",$H85-$I85)</f>
        <v/>
      </c>
      <c r="K85" s="41" t="str">
        <f aca="false">IF($A85="","",SUMIFS(业务流水!$H$5:$H$1504,业务流水!$F$5:$F$1504,"*",业务流水!$D$5:$D$1504,"挂靠代收",业务流水!$C$5:$C$1504,$A85,业务流水!$Z$5:$Z$1504,"是"))</f>
        <v/>
      </c>
      <c r="L85" s="42" t="str">
        <f aca="false">IF($A85="","",$C85-$K85)</f>
        <v/>
      </c>
      <c r="M85" s="41" t="str">
        <f aca="false">IF($A85="","",SUMIFS(业务流水!$H$5:$H$1504,业务流水!$E$5:$E$1504,"*",业务流水!$D$5:$D$1504,"我方收款",业务流水!$C$5:$C$1504,$A85,业务流水!$Z$5:$Z$1504,"是"))</f>
        <v/>
      </c>
      <c r="N85" s="43" t="str">
        <f aca="false">IF($A85="","",$K85-$M85)</f>
        <v/>
      </c>
      <c r="O85" s="41" t="str">
        <f aca="false">IF($A85="","",SUMIFS(业务流水!$H$5:$H$1504,业务流水!$F$5:$F$1504,"*",业务流水!$D$5:$D$1504,"管理费结算",业务流水!$C$5:$C$1504,$A85,业务流水!$Z$5:$Z$1504,"是"))</f>
        <v/>
      </c>
      <c r="P85" s="41" t="str">
        <f aca="false">IF($A85="","",SUMIFS(业务流水!$H$5:$H$1504,业务流水!$E$5:$E$1504,"*",业务流水!$D$5:$D$1504,"扣质保金",业务流水!$C$5:$C$1504,$A85,业务流水!$Z$5:$Z$1504,"是"))</f>
        <v/>
      </c>
    </row>
    <row r="86" customFormat="false" ht="15.75" hidden="false" customHeight="true" outlineLevel="0" collapsed="false">
      <c r="A86" s="32" t="str">
        <f aca="false">IF(项目档案!$A86="","",项目档案!$A86)</f>
        <v/>
      </c>
      <c r="B86" s="40" t="str">
        <f aca="false">IF($A86="","",项目档案!$B86)</f>
        <v/>
      </c>
      <c r="C86" s="41" t="str">
        <f aca="false">IF($A86="","",SUMIFS(业务流水!$H$5:$H$1504,业务流水!$E$5:$E$1504,"*",业务流水!$D$5:$D$1504,"销项开票",业务流水!$C$5:$C$1504,$A86,业务流水!$Z$5:$Z$1504,"是"))</f>
        <v/>
      </c>
      <c r="D86" s="41" t="str">
        <f aca="false">IF($A86="","",SUMIFS(业务流水!$O$5:$O$1504,业务流水!$E$5:$E$1504,"*",业务流水!$D$5:$D$1504,"销项开票",业务流水!$C$5:$C$1504,$A86,业务流水!$Z$5:$Z$1504,"是"))</f>
        <v/>
      </c>
      <c r="E86" s="41" t="str">
        <f aca="false">IF($A86="","",SUMIFS(业务流水!$P$5:$P$1504,业务流水!$E$5:$E$1504,"*",业务流水!$D$5:$D$1504,"销项开票",业务流水!$C$5:$C$1504,$A86,业务流水!$Z$5:$Z$1504,"是"))</f>
        <v/>
      </c>
      <c r="F86" s="41" t="str">
        <f aca="false">IF($A86="","",SUMIFS(业务流水!$H$5:$H$1504,业务流水!$F$5:$F$1504,"*",业务流水!$D$5:$D$1504,"成本票",业务流水!$C$5:$C$1504,$A86,业务流水!$Z$5:$Z$1504,"是")+SUMIFS(业务流水!$H$5:$H$1504,业务流水!$F$5:$F$1504,"*",业务流水!$D$5:$D$1504,"销项开票",业务流水!$C$5:$C$1504,$A86,业务流水!$Z$5:$Z$1504,"是"))</f>
        <v/>
      </c>
      <c r="G86" s="42" t="str">
        <f aca="false">IF($A86="","",$E86-$F86)</f>
        <v/>
      </c>
      <c r="H86" s="41" t="str">
        <f aca="false">IF($A86="","",SUMIFS(业务流水!$W$5:$W$1504,业务流水!$E$5:$E$1504,"*",业务流水!$D$5:$D$1504,"销项开票",业务流水!$C$5:$C$1504,$A86,业务流水!$Z$5:$Z$1504,"是"))</f>
        <v/>
      </c>
      <c r="I86" s="41" t="str">
        <f aca="false">IF($A86="","",SUMIFS(业务流水!$H$5:$H$1504,业务流水!$E$5:$E$1504,"*",业务流水!$D$5:$D$1504,"已交税",业务流水!$C$5:$C$1504,$A86,业务流水!$Z$5:$Z$1504,"是"))</f>
        <v/>
      </c>
      <c r="J86" s="42" t="str">
        <f aca="false">IF($A86="","",$H86-$I86)</f>
        <v/>
      </c>
      <c r="K86" s="41" t="str">
        <f aca="false">IF($A86="","",SUMIFS(业务流水!$H$5:$H$1504,业务流水!$F$5:$F$1504,"*",业务流水!$D$5:$D$1504,"挂靠代收",业务流水!$C$5:$C$1504,$A86,业务流水!$Z$5:$Z$1504,"是"))</f>
        <v/>
      </c>
      <c r="L86" s="42" t="str">
        <f aca="false">IF($A86="","",$C86-$K86)</f>
        <v/>
      </c>
      <c r="M86" s="41" t="str">
        <f aca="false">IF($A86="","",SUMIFS(业务流水!$H$5:$H$1504,业务流水!$E$5:$E$1504,"*",业务流水!$D$5:$D$1504,"我方收款",业务流水!$C$5:$C$1504,$A86,业务流水!$Z$5:$Z$1504,"是"))</f>
        <v/>
      </c>
      <c r="N86" s="43" t="str">
        <f aca="false">IF($A86="","",$K86-$M86)</f>
        <v/>
      </c>
      <c r="O86" s="41" t="str">
        <f aca="false">IF($A86="","",SUMIFS(业务流水!$H$5:$H$1504,业务流水!$F$5:$F$1504,"*",业务流水!$D$5:$D$1504,"管理费结算",业务流水!$C$5:$C$1504,$A86,业务流水!$Z$5:$Z$1504,"是"))</f>
        <v/>
      </c>
      <c r="P86" s="41" t="str">
        <f aca="false">IF($A86="","",SUMIFS(业务流水!$H$5:$H$1504,业务流水!$E$5:$E$1504,"*",业务流水!$D$5:$D$1504,"扣质保金",业务流水!$C$5:$C$1504,$A86,业务流水!$Z$5:$Z$1504,"是"))</f>
        <v/>
      </c>
    </row>
    <row r="87" customFormat="false" ht="15.75" hidden="false" customHeight="true" outlineLevel="0" collapsed="false">
      <c r="A87" s="32" t="str">
        <f aca="false">IF(项目档案!$A87="","",项目档案!$A87)</f>
        <v/>
      </c>
      <c r="B87" s="40" t="str">
        <f aca="false">IF($A87="","",项目档案!$B87)</f>
        <v/>
      </c>
      <c r="C87" s="41" t="str">
        <f aca="false">IF($A87="","",SUMIFS(业务流水!$H$5:$H$1504,业务流水!$E$5:$E$1504,"*",业务流水!$D$5:$D$1504,"销项开票",业务流水!$C$5:$C$1504,$A87,业务流水!$Z$5:$Z$1504,"是"))</f>
        <v/>
      </c>
      <c r="D87" s="41" t="str">
        <f aca="false">IF($A87="","",SUMIFS(业务流水!$O$5:$O$1504,业务流水!$E$5:$E$1504,"*",业务流水!$D$5:$D$1504,"销项开票",业务流水!$C$5:$C$1504,$A87,业务流水!$Z$5:$Z$1504,"是"))</f>
        <v/>
      </c>
      <c r="E87" s="41" t="str">
        <f aca="false">IF($A87="","",SUMIFS(业务流水!$P$5:$P$1504,业务流水!$E$5:$E$1504,"*",业务流水!$D$5:$D$1504,"销项开票",业务流水!$C$5:$C$1504,$A87,业务流水!$Z$5:$Z$1504,"是"))</f>
        <v/>
      </c>
      <c r="F87" s="41" t="str">
        <f aca="false">IF($A87="","",SUMIFS(业务流水!$H$5:$H$1504,业务流水!$F$5:$F$1504,"*",业务流水!$D$5:$D$1504,"成本票",业务流水!$C$5:$C$1504,$A87,业务流水!$Z$5:$Z$1504,"是")+SUMIFS(业务流水!$H$5:$H$1504,业务流水!$F$5:$F$1504,"*",业务流水!$D$5:$D$1504,"销项开票",业务流水!$C$5:$C$1504,$A87,业务流水!$Z$5:$Z$1504,"是"))</f>
        <v/>
      </c>
      <c r="G87" s="42" t="str">
        <f aca="false">IF($A87="","",$E87-$F87)</f>
        <v/>
      </c>
      <c r="H87" s="41" t="str">
        <f aca="false">IF($A87="","",SUMIFS(业务流水!$W$5:$W$1504,业务流水!$E$5:$E$1504,"*",业务流水!$D$5:$D$1504,"销项开票",业务流水!$C$5:$C$1504,$A87,业务流水!$Z$5:$Z$1504,"是"))</f>
        <v/>
      </c>
      <c r="I87" s="41" t="str">
        <f aca="false">IF($A87="","",SUMIFS(业务流水!$H$5:$H$1504,业务流水!$E$5:$E$1504,"*",业务流水!$D$5:$D$1504,"已交税",业务流水!$C$5:$C$1504,$A87,业务流水!$Z$5:$Z$1504,"是"))</f>
        <v/>
      </c>
      <c r="J87" s="42" t="str">
        <f aca="false">IF($A87="","",$H87-$I87)</f>
        <v/>
      </c>
      <c r="K87" s="41" t="str">
        <f aca="false">IF($A87="","",SUMIFS(业务流水!$H$5:$H$1504,业务流水!$F$5:$F$1504,"*",业务流水!$D$5:$D$1504,"挂靠代收",业务流水!$C$5:$C$1504,$A87,业务流水!$Z$5:$Z$1504,"是"))</f>
        <v/>
      </c>
      <c r="L87" s="42" t="str">
        <f aca="false">IF($A87="","",$C87-$K87)</f>
        <v/>
      </c>
      <c r="M87" s="41" t="str">
        <f aca="false">IF($A87="","",SUMIFS(业务流水!$H$5:$H$1504,业务流水!$E$5:$E$1504,"*",业务流水!$D$5:$D$1504,"我方收款",业务流水!$C$5:$C$1504,$A87,业务流水!$Z$5:$Z$1504,"是"))</f>
        <v/>
      </c>
      <c r="N87" s="43" t="str">
        <f aca="false">IF($A87="","",$K87-$M87)</f>
        <v/>
      </c>
      <c r="O87" s="41" t="str">
        <f aca="false">IF($A87="","",SUMIFS(业务流水!$H$5:$H$1504,业务流水!$F$5:$F$1504,"*",业务流水!$D$5:$D$1504,"管理费结算",业务流水!$C$5:$C$1504,$A87,业务流水!$Z$5:$Z$1504,"是"))</f>
        <v/>
      </c>
      <c r="P87" s="41" t="str">
        <f aca="false">IF($A87="","",SUMIFS(业务流水!$H$5:$H$1504,业务流水!$E$5:$E$1504,"*",业务流水!$D$5:$D$1504,"扣质保金",业务流水!$C$5:$C$1504,$A87,业务流水!$Z$5:$Z$1504,"是"))</f>
        <v/>
      </c>
    </row>
    <row r="88" customFormat="false" ht="15.75" hidden="false" customHeight="true" outlineLevel="0" collapsed="false">
      <c r="A88" s="32" t="str">
        <f aca="false">IF(项目档案!$A88="","",项目档案!$A88)</f>
        <v/>
      </c>
      <c r="B88" s="40" t="str">
        <f aca="false">IF($A88="","",项目档案!$B88)</f>
        <v/>
      </c>
      <c r="C88" s="41" t="str">
        <f aca="false">IF($A88="","",SUMIFS(业务流水!$H$5:$H$1504,业务流水!$E$5:$E$1504,"*",业务流水!$D$5:$D$1504,"销项开票",业务流水!$C$5:$C$1504,$A88,业务流水!$Z$5:$Z$1504,"是"))</f>
        <v/>
      </c>
      <c r="D88" s="41" t="str">
        <f aca="false">IF($A88="","",SUMIFS(业务流水!$O$5:$O$1504,业务流水!$E$5:$E$1504,"*",业务流水!$D$5:$D$1504,"销项开票",业务流水!$C$5:$C$1504,$A88,业务流水!$Z$5:$Z$1504,"是"))</f>
        <v/>
      </c>
      <c r="E88" s="41" t="str">
        <f aca="false">IF($A88="","",SUMIFS(业务流水!$P$5:$P$1504,业务流水!$E$5:$E$1504,"*",业务流水!$D$5:$D$1504,"销项开票",业务流水!$C$5:$C$1504,$A88,业务流水!$Z$5:$Z$1504,"是"))</f>
        <v/>
      </c>
      <c r="F88" s="41" t="str">
        <f aca="false">IF($A88="","",SUMIFS(业务流水!$H$5:$H$1504,业务流水!$F$5:$F$1504,"*",业务流水!$D$5:$D$1504,"成本票",业务流水!$C$5:$C$1504,$A88,业务流水!$Z$5:$Z$1504,"是")+SUMIFS(业务流水!$H$5:$H$1504,业务流水!$F$5:$F$1504,"*",业务流水!$D$5:$D$1504,"销项开票",业务流水!$C$5:$C$1504,$A88,业务流水!$Z$5:$Z$1504,"是"))</f>
        <v/>
      </c>
      <c r="G88" s="42" t="str">
        <f aca="false">IF($A88="","",$E88-$F88)</f>
        <v/>
      </c>
      <c r="H88" s="41" t="str">
        <f aca="false">IF($A88="","",SUMIFS(业务流水!$W$5:$W$1504,业务流水!$E$5:$E$1504,"*",业务流水!$D$5:$D$1504,"销项开票",业务流水!$C$5:$C$1504,$A88,业务流水!$Z$5:$Z$1504,"是"))</f>
        <v/>
      </c>
      <c r="I88" s="41" t="str">
        <f aca="false">IF($A88="","",SUMIFS(业务流水!$H$5:$H$1504,业务流水!$E$5:$E$1504,"*",业务流水!$D$5:$D$1504,"已交税",业务流水!$C$5:$C$1504,$A88,业务流水!$Z$5:$Z$1504,"是"))</f>
        <v/>
      </c>
      <c r="J88" s="42" t="str">
        <f aca="false">IF($A88="","",$H88-$I88)</f>
        <v/>
      </c>
      <c r="K88" s="41" t="str">
        <f aca="false">IF($A88="","",SUMIFS(业务流水!$H$5:$H$1504,业务流水!$F$5:$F$1504,"*",业务流水!$D$5:$D$1504,"挂靠代收",业务流水!$C$5:$C$1504,$A88,业务流水!$Z$5:$Z$1504,"是"))</f>
        <v/>
      </c>
      <c r="L88" s="42" t="str">
        <f aca="false">IF($A88="","",$C88-$K88)</f>
        <v/>
      </c>
      <c r="M88" s="41" t="str">
        <f aca="false">IF($A88="","",SUMIFS(业务流水!$H$5:$H$1504,业务流水!$E$5:$E$1504,"*",业务流水!$D$5:$D$1504,"我方收款",业务流水!$C$5:$C$1504,$A88,业务流水!$Z$5:$Z$1504,"是"))</f>
        <v/>
      </c>
      <c r="N88" s="43" t="str">
        <f aca="false">IF($A88="","",$K88-$M88)</f>
        <v/>
      </c>
      <c r="O88" s="41" t="str">
        <f aca="false">IF($A88="","",SUMIFS(业务流水!$H$5:$H$1504,业务流水!$F$5:$F$1504,"*",业务流水!$D$5:$D$1504,"管理费结算",业务流水!$C$5:$C$1504,$A88,业务流水!$Z$5:$Z$1504,"是"))</f>
        <v/>
      </c>
      <c r="P88" s="41" t="str">
        <f aca="false">IF($A88="","",SUMIFS(业务流水!$H$5:$H$1504,业务流水!$E$5:$E$1504,"*",业务流水!$D$5:$D$1504,"扣质保金",业务流水!$C$5:$C$1504,$A88,业务流水!$Z$5:$Z$1504,"是"))</f>
        <v/>
      </c>
    </row>
    <row r="89" customFormat="false" ht="15.75" hidden="false" customHeight="true" outlineLevel="0" collapsed="false">
      <c r="A89" s="32" t="str">
        <f aca="false">IF(项目档案!$A89="","",项目档案!$A89)</f>
        <v/>
      </c>
      <c r="B89" s="40" t="str">
        <f aca="false">IF($A89="","",项目档案!$B89)</f>
        <v/>
      </c>
      <c r="C89" s="41" t="str">
        <f aca="false">IF($A89="","",SUMIFS(业务流水!$H$5:$H$1504,业务流水!$E$5:$E$1504,"*",业务流水!$D$5:$D$1504,"销项开票",业务流水!$C$5:$C$1504,$A89,业务流水!$Z$5:$Z$1504,"是"))</f>
        <v/>
      </c>
      <c r="D89" s="41" t="str">
        <f aca="false">IF($A89="","",SUMIFS(业务流水!$O$5:$O$1504,业务流水!$E$5:$E$1504,"*",业务流水!$D$5:$D$1504,"销项开票",业务流水!$C$5:$C$1504,$A89,业务流水!$Z$5:$Z$1504,"是"))</f>
        <v/>
      </c>
      <c r="E89" s="41" t="str">
        <f aca="false">IF($A89="","",SUMIFS(业务流水!$P$5:$P$1504,业务流水!$E$5:$E$1504,"*",业务流水!$D$5:$D$1504,"销项开票",业务流水!$C$5:$C$1504,$A89,业务流水!$Z$5:$Z$1504,"是"))</f>
        <v/>
      </c>
      <c r="F89" s="41" t="str">
        <f aca="false">IF($A89="","",SUMIFS(业务流水!$H$5:$H$1504,业务流水!$F$5:$F$1504,"*",业务流水!$D$5:$D$1504,"成本票",业务流水!$C$5:$C$1504,$A89,业务流水!$Z$5:$Z$1504,"是")+SUMIFS(业务流水!$H$5:$H$1504,业务流水!$F$5:$F$1504,"*",业务流水!$D$5:$D$1504,"销项开票",业务流水!$C$5:$C$1504,$A89,业务流水!$Z$5:$Z$1504,"是"))</f>
        <v/>
      </c>
      <c r="G89" s="42" t="str">
        <f aca="false">IF($A89="","",$E89-$F89)</f>
        <v/>
      </c>
      <c r="H89" s="41" t="str">
        <f aca="false">IF($A89="","",SUMIFS(业务流水!$W$5:$W$1504,业务流水!$E$5:$E$1504,"*",业务流水!$D$5:$D$1504,"销项开票",业务流水!$C$5:$C$1504,$A89,业务流水!$Z$5:$Z$1504,"是"))</f>
        <v/>
      </c>
      <c r="I89" s="41" t="str">
        <f aca="false">IF($A89="","",SUMIFS(业务流水!$H$5:$H$1504,业务流水!$E$5:$E$1504,"*",业务流水!$D$5:$D$1504,"已交税",业务流水!$C$5:$C$1504,$A89,业务流水!$Z$5:$Z$1504,"是"))</f>
        <v/>
      </c>
      <c r="J89" s="42" t="str">
        <f aca="false">IF($A89="","",$H89-$I89)</f>
        <v/>
      </c>
      <c r="K89" s="41" t="str">
        <f aca="false">IF($A89="","",SUMIFS(业务流水!$H$5:$H$1504,业务流水!$F$5:$F$1504,"*",业务流水!$D$5:$D$1504,"挂靠代收",业务流水!$C$5:$C$1504,$A89,业务流水!$Z$5:$Z$1504,"是"))</f>
        <v/>
      </c>
      <c r="L89" s="42" t="str">
        <f aca="false">IF($A89="","",$C89-$K89)</f>
        <v/>
      </c>
      <c r="M89" s="41" t="str">
        <f aca="false">IF($A89="","",SUMIFS(业务流水!$H$5:$H$1504,业务流水!$E$5:$E$1504,"*",业务流水!$D$5:$D$1504,"我方收款",业务流水!$C$5:$C$1504,$A89,业务流水!$Z$5:$Z$1504,"是"))</f>
        <v/>
      </c>
      <c r="N89" s="43" t="str">
        <f aca="false">IF($A89="","",$K89-$M89)</f>
        <v/>
      </c>
      <c r="O89" s="41" t="str">
        <f aca="false">IF($A89="","",SUMIFS(业务流水!$H$5:$H$1504,业务流水!$F$5:$F$1504,"*",业务流水!$D$5:$D$1504,"管理费结算",业务流水!$C$5:$C$1504,$A89,业务流水!$Z$5:$Z$1504,"是"))</f>
        <v/>
      </c>
      <c r="P89" s="41" t="str">
        <f aca="false">IF($A89="","",SUMIFS(业务流水!$H$5:$H$1504,业务流水!$E$5:$E$1504,"*",业务流水!$D$5:$D$1504,"扣质保金",业务流水!$C$5:$C$1504,$A89,业务流水!$Z$5:$Z$1504,"是"))</f>
        <v/>
      </c>
    </row>
    <row r="90" customFormat="false" ht="15.75" hidden="false" customHeight="true" outlineLevel="0" collapsed="false">
      <c r="A90" s="32" t="str">
        <f aca="false">IF(项目档案!$A90="","",项目档案!$A90)</f>
        <v/>
      </c>
      <c r="B90" s="40" t="str">
        <f aca="false">IF($A90="","",项目档案!$B90)</f>
        <v/>
      </c>
      <c r="C90" s="41" t="str">
        <f aca="false">IF($A90="","",SUMIFS(业务流水!$H$5:$H$1504,业务流水!$E$5:$E$1504,"*",业务流水!$D$5:$D$1504,"销项开票",业务流水!$C$5:$C$1504,$A90,业务流水!$Z$5:$Z$1504,"是"))</f>
        <v/>
      </c>
      <c r="D90" s="41" t="str">
        <f aca="false">IF($A90="","",SUMIFS(业务流水!$O$5:$O$1504,业务流水!$E$5:$E$1504,"*",业务流水!$D$5:$D$1504,"销项开票",业务流水!$C$5:$C$1504,$A90,业务流水!$Z$5:$Z$1504,"是"))</f>
        <v/>
      </c>
      <c r="E90" s="41" t="str">
        <f aca="false">IF($A90="","",SUMIFS(业务流水!$P$5:$P$1504,业务流水!$E$5:$E$1504,"*",业务流水!$D$5:$D$1504,"销项开票",业务流水!$C$5:$C$1504,$A90,业务流水!$Z$5:$Z$1504,"是"))</f>
        <v/>
      </c>
      <c r="F90" s="41" t="str">
        <f aca="false">IF($A90="","",SUMIFS(业务流水!$H$5:$H$1504,业务流水!$F$5:$F$1504,"*",业务流水!$D$5:$D$1504,"成本票",业务流水!$C$5:$C$1504,$A90,业务流水!$Z$5:$Z$1504,"是")+SUMIFS(业务流水!$H$5:$H$1504,业务流水!$F$5:$F$1504,"*",业务流水!$D$5:$D$1504,"销项开票",业务流水!$C$5:$C$1504,$A90,业务流水!$Z$5:$Z$1504,"是"))</f>
        <v/>
      </c>
      <c r="G90" s="42" t="str">
        <f aca="false">IF($A90="","",$E90-$F90)</f>
        <v/>
      </c>
      <c r="H90" s="41" t="str">
        <f aca="false">IF($A90="","",SUMIFS(业务流水!$W$5:$W$1504,业务流水!$E$5:$E$1504,"*",业务流水!$D$5:$D$1504,"销项开票",业务流水!$C$5:$C$1504,$A90,业务流水!$Z$5:$Z$1504,"是"))</f>
        <v/>
      </c>
      <c r="I90" s="41" t="str">
        <f aca="false">IF($A90="","",SUMIFS(业务流水!$H$5:$H$1504,业务流水!$E$5:$E$1504,"*",业务流水!$D$5:$D$1504,"已交税",业务流水!$C$5:$C$1504,$A90,业务流水!$Z$5:$Z$1504,"是"))</f>
        <v/>
      </c>
      <c r="J90" s="42" t="str">
        <f aca="false">IF($A90="","",$H90-$I90)</f>
        <v/>
      </c>
      <c r="K90" s="41" t="str">
        <f aca="false">IF($A90="","",SUMIFS(业务流水!$H$5:$H$1504,业务流水!$F$5:$F$1504,"*",业务流水!$D$5:$D$1504,"挂靠代收",业务流水!$C$5:$C$1504,$A90,业务流水!$Z$5:$Z$1504,"是"))</f>
        <v/>
      </c>
      <c r="L90" s="42" t="str">
        <f aca="false">IF($A90="","",$C90-$K90)</f>
        <v/>
      </c>
      <c r="M90" s="41" t="str">
        <f aca="false">IF($A90="","",SUMIFS(业务流水!$H$5:$H$1504,业务流水!$E$5:$E$1504,"*",业务流水!$D$5:$D$1504,"我方收款",业务流水!$C$5:$C$1504,$A90,业务流水!$Z$5:$Z$1504,"是"))</f>
        <v/>
      </c>
      <c r="N90" s="43" t="str">
        <f aca="false">IF($A90="","",$K90-$M90)</f>
        <v/>
      </c>
      <c r="O90" s="41" t="str">
        <f aca="false">IF($A90="","",SUMIFS(业务流水!$H$5:$H$1504,业务流水!$F$5:$F$1504,"*",业务流水!$D$5:$D$1504,"管理费结算",业务流水!$C$5:$C$1504,$A90,业务流水!$Z$5:$Z$1504,"是"))</f>
        <v/>
      </c>
      <c r="P90" s="41" t="str">
        <f aca="false">IF($A90="","",SUMIFS(业务流水!$H$5:$H$1504,业务流水!$E$5:$E$1504,"*",业务流水!$D$5:$D$1504,"扣质保金",业务流水!$C$5:$C$1504,$A90,业务流水!$Z$5:$Z$1504,"是"))</f>
        <v/>
      </c>
    </row>
    <row r="91" customFormat="false" ht="15.75" hidden="false" customHeight="true" outlineLevel="0" collapsed="false">
      <c r="A91" s="32" t="str">
        <f aca="false">IF(项目档案!$A91="","",项目档案!$A91)</f>
        <v/>
      </c>
      <c r="B91" s="40" t="str">
        <f aca="false">IF($A91="","",项目档案!$B91)</f>
        <v/>
      </c>
      <c r="C91" s="41" t="str">
        <f aca="false">IF($A91="","",SUMIFS(业务流水!$H$5:$H$1504,业务流水!$E$5:$E$1504,"*",业务流水!$D$5:$D$1504,"销项开票",业务流水!$C$5:$C$1504,$A91,业务流水!$Z$5:$Z$1504,"是"))</f>
        <v/>
      </c>
      <c r="D91" s="41" t="str">
        <f aca="false">IF($A91="","",SUMIFS(业务流水!$O$5:$O$1504,业务流水!$E$5:$E$1504,"*",业务流水!$D$5:$D$1504,"销项开票",业务流水!$C$5:$C$1504,$A91,业务流水!$Z$5:$Z$1504,"是"))</f>
        <v/>
      </c>
      <c r="E91" s="41" t="str">
        <f aca="false">IF($A91="","",SUMIFS(业务流水!$P$5:$P$1504,业务流水!$E$5:$E$1504,"*",业务流水!$D$5:$D$1504,"销项开票",业务流水!$C$5:$C$1504,$A91,业务流水!$Z$5:$Z$1504,"是"))</f>
        <v/>
      </c>
      <c r="F91" s="41" t="str">
        <f aca="false">IF($A91="","",SUMIFS(业务流水!$H$5:$H$1504,业务流水!$F$5:$F$1504,"*",业务流水!$D$5:$D$1504,"成本票",业务流水!$C$5:$C$1504,$A91,业务流水!$Z$5:$Z$1504,"是")+SUMIFS(业务流水!$H$5:$H$1504,业务流水!$F$5:$F$1504,"*",业务流水!$D$5:$D$1504,"销项开票",业务流水!$C$5:$C$1504,$A91,业务流水!$Z$5:$Z$1504,"是"))</f>
        <v/>
      </c>
      <c r="G91" s="42" t="str">
        <f aca="false">IF($A91="","",$E91-$F91)</f>
        <v/>
      </c>
      <c r="H91" s="41" t="str">
        <f aca="false">IF($A91="","",SUMIFS(业务流水!$W$5:$W$1504,业务流水!$E$5:$E$1504,"*",业务流水!$D$5:$D$1504,"销项开票",业务流水!$C$5:$C$1504,$A91,业务流水!$Z$5:$Z$1504,"是"))</f>
        <v/>
      </c>
      <c r="I91" s="41" t="str">
        <f aca="false">IF($A91="","",SUMIFS(业务流水!$H$5:$H$1504,业务流水!$E$5:$E$1504,"*",业务流水!$D$5:$D$1504,"已交税",业务流水!$C$5:$C$1504,$A91,业务流水!$Z$5:$Z$1504,"是"))</f>
        <v/>
      </c>
      <c r="J91" s="42" t="str">
        <f aca="false">IF($A91="","",$H91-$I91)</f>
        <v/>
      </c>
      <c r="K91" s="41" t="str">
        <f aca="false">IF($A91="","",SUMIFS(业务流水!$H$5:$H$1504,业务流水!$F$5:$F$1504,"*",业务流水!$D$5:$D$1504,"挂靠代收",业务流水!$C$5:$C$1504,$A91,业务流水!$Z$5:$Z$1504,"是"))</f>
        <v/>
      </c>
      <c r="L91" s="42" t="str">
        <f aca="false">IF($A91="","",$C91-$K91)</f>
        <v/>
      </c>
      <c r="M91" s="41" t="str">
        <f aca="false">IF($A91="","",SUMIFS(业务流水!$H$5:$H$1504,业务流水!$E$5:$E$1504,"*",业务流水!$D$5:$D$1504,"我方收款",业务流水!$C$5:$C$1504,$A91,业务流水!$Z$5:$Z$1504,"是"))</f>
        <v/>
      </c>
      <c r="N91" s="43" t="str">
        <f aca="false">IF($A91="","",$K91-$M91)</f>
        <v/>
      </c>
      <c r="O91" s="41" t="str">
        <f aca="false">IF($A91="","",SUMIFS(业务流水!$H$5:$H$1504,业务流水!$F$5:$F$1504,"*",业务流水!$D$5:$D$1504,"管理费结算",业务流水!$C$5:$C$1504,$A91,业务流水!$Z$5:$Z$1504,"是"))</f>
        <v/>
      </c>
      <c r="P91" s="41" t="str">
        <f aca="false">IF($A91="","",SUMIFS(业务流水!$H$5:$H$1504,业务流水!$E$5:$E$1504,"*",业务流水!$D$5:$D$1504,"扣质保金",业务流水!$C$5:$C$1504,$A91,业务流水!$Z$5:$Z$1504,"是"))</f>
        <v/>
      </c>
    </row>
    <row r="92" customFormat="false" ht="15.75" hidden="false" customHeight="true" outlineLevel="0" collapsed="false">
      <c r="A92" s="32" t="str">
        <f aca="false">IF(项目档案!$A92="","",项目档案!$A92)</f>
        <v/>
      </c>
      <c r="B92" s="40" t="str">
        <f aca="false">IF($A92="","",项目档案!$B92)</f>
        <v/>
      </c>
      <c r="C92" s="41" t="str">
        <f aca="false">IF($A92="","",SUMIFS(业务流水!$H$5:$H$1504,业务流水!$E$5:$E$1504,"*",业务流水!$D$5:$D$1504,"销项开票",业务流水!$C$5:$C$1504,$A92,业务流水!$Z$5:$Z$1504,"是"))</f>
        <v/>
      </c>
      <c r="D92" s="41" t="str">
        <f aca="false">IF($A92="","",SUMIFS(业务流水!$O$5:$O$1504,业务流水!$E$5:$E$1504,"*",业务流水!$D$5:$D$1504,"销项开票",业务流水!$C$5:$C$1504,$A92,业务流水!$Z$5:$Z$1504,"是"))</f>
        <v/>
      </c>
      <c r="E92" s="41" t="str">
        <f aca="false">IF($A92="","",SUMIFS(业务流水!$P$5:$P$1504,业务流水!$E$5:$E$1504,"*",业务流水!$D$5:$D$1504,"销项开票",业务流水!$C$5:$C$1504,$A92,业务流水!$Z$5:$Z$1504,"是"))</f>
        <v/>
      </c>
      <c r="F92" s="41" t="str">
        <f aca="false">IF($A92="","",SUMIFS(业务流水!$H$5:$H$1504,业务流水!$F$5:$F$1504,"*",业务流水!$D$5:$D$1504,"成本票",业务流水!$C$5:$C$1504,$A92,业务流水!$Z$5:$Z$1504,"是")+SUMIFS(业务流水!$H$5:$H$1504,业务流水!$F$5:$F$1504,"*",业务流水!$D$5:$D$1504,"销项开票",业务流水!$C$5:$C$1504,$A92,业务流水!$Z$5:$Z$1504,"是"))</f>
        <v/>
      </c>
      <c r="G92" s="42" t="str">
        <f aca="false">IF($A92="","",$E92-$F92)</f>
        <v/>
      </c>
      <c r="H92" s="41" t="str">
        <f aca="false">IF($A92="","",SUMIFS(业务流水!$W$5:$W$1504,业务流水!$E$5:$E$1504,"*",业务流水!$D$5:$D$1504,"销项开票",业务流水!$C$5:$C$1504,$A92,业务流水!$Z$5:$Z$1504,"是"))</f>
        <v/>
      </c>
      <c r="I92" s="41" t="str">
        <f aca="false">IF($A92="","",SUMIFS(业务流水!$H$5:$H$1504,业务流水!$E$5:$E$1504,"*",业务流水!$D$5:$D$1504,"已交税",业务流水!$C$5:$C$1504,$A92,业务流水!$Z$5:$Z$1504,"是"))</f>
        <v/>
      </c>
      <c r="J92" s="42" t="str">
        <f aca="false">IF($A92="","",$H92-$I92)</f>
        <v/>
      </c>
      <c r="K92" s="41" t="str">
        <f aca="false">IF($A92="","",SUMIFS(业务流水!$H$5:$H$1504,业务流水!$F$5:$F$1504,"*",业务流水!$D$5:$D$1504,"挂靠代收",业务流水!$C$5:$C$1504,$A92,业务流水!$Z$5:$Z$1504,"是"))</f>
        <v/>
      </c>
      <c r="L92" s="42" t="str">
        <f aca="false">IF($A92="","",$C92-$K92)</f>
        <v/>
      </c>
      <c r="M92" s="41" t="str">
        <f aca="false">IF($A92="","",SUMIFS(业务流水!$H$5:$H$1504,业务流水!$E$5:$E$1504,"*",业务流水!$D$5:$D$1504,"我方收款",业务流水!$C$5:$C$1504,$A92,业务流水!$Z$5:$Z$1504,"是"))</f>
        <v/>
      </c>
      <c r="N92" s="43" t="str">
        <f aca="false">IF($A92="","",$K92-$M92)</f>
        <v/>
      </c>
      <c r="O92" s="41" t="str">
        <f aca="false">IF($A92="","",SUMIFS(业务流水!$H$5:$H$1504,业务流水!$F$5:$F$1504,"*",业务流水!$D$5:$D$1504,"管理费结算",业务流水!$C$5:$C$1504,$A92,业务流水!$Z$5:$Z$1504,"是"))</f>
        <v/>
      </c>
      <c r="P92" s="41" t="str">
        <f aca="false">IF($A92="","",SUMIFS(业务流水!$H$5:$H$1504,业务流水!$E$5:$E$1504,"*",业务流水!$D$5:$D$1504,"扣质保金",业务流水!$C$5:$C$1504,$A92,业务流水!$Z$5:$Z$1504,"是"))</f>
        <v/>
      </c>
    </row>
    <row r="93" customFormat="false" ht="15.75" hidden="false" customHeight="true" outlineLevel="0" collapsed="false">
      <c r="A93" s="32" t="str">
        <f aca="false">IF(项目档案!$A93="","",项目档案!$A93)</f>
        <v/>
      </c>
      <c r="B93" s="40" t="str">
        <f aca="false">IF($A93="","",项目档案!$B93)</f>
        <v/>
      </c>
      <c r="C93" s="41" t="str">
        <f aca="false">IF($A93="","",SUMIFS(业务流水!$H$5:$H$1504,业务流水!$E$5:$E$1504,"*",业务流水!$D$5:$D$1504,"销项开票",业务流水!$C$5:$C$1504,$A93,业务流水!$Z$5:$Z$1504,"是"))</f>
        <v/>
      </c>
      <c r="D93" s="41" t="str">
        <f aca="false">IF($A93="","",SUMIFS(业务流水!$O$5:$O$1504,业务流水!$E$5:$E$1504,"*",业务流水!$D$5:$D$1504,"销项开票",业务流水!$C$5:$C$1504,$A93,业务流水!$Z$5:$Z$1504,"是"))</f>
        <v/>
      </c>
      <c r="E93" s="41" t="str">
        <f aca="false">IF($A93="","",SUMIFS(业务流水!$P$5:$P$1504,业务流水!$E$5:$E$1504,"*",业务流水!$D$5:$D$1504,"销项开票",业务流水!$C$5:$C$1504,$A93,业务流水!$Z$5:$Z$1504,"是"))</f>
        <v/>
      </c>
      <c r="F93" s="41" t="str">
        <f aca="false">IF($A93="","",SUMIFS(业务流水!$H$5:$H$1504,业务流水!$F$5:$F$1504,"*",业务流水!$D$5:$D$1504,"成本票",业务流水!$C$5:$C$1504,$A93,业务流水!$Z$5:$Z$1504,"是")+SUMIFS(业务流水!$H$5:$H$1504,业务流水!$F$5:$F$1504,"*",业务流水!$D$5:$D$1504,"销项开票",业务流水!$C$5:$C$1504,$A93,业务流水!$Z$5:$Z$1504,"是"))</f>
        <v/>
      </c>
      <c r="G93" s="42" t="str">
        <f aca="false">IF($A93="","",$E93-$F93)</f>
        <v/>
      </c>
      <c r="H93" s="41" t="str">
        <f aca="false">IF($A93="","",SUMIFS(业务流水!$W$5:$W$1504,业务流水!$E$5:$E$1504,"*",业务流水!$D$5:$D$1504,"销项开票",业务流水!$C$5:$C$1504,$A93,业务流水!$Z$5:$Z$1504,"是"))</f>
        <v/>
      </c>
      <c r="I93" s="41" t="str">
        <f aca="false">IF($A93="","",SUMIFS(业务流水!$H$5:$H$1504,业务流水!$E$5:$E$1504,"*",业务流水!$D$5:$D$1504,"已交税",业务流水!$C$5:$C$1504,$A93,业务流水!$Z$5:$Z$1504,"是"))</f>
        <v/>
      </c>
      <c r="J93" s="42" t="str">
        <f aca="false">IF($A93="","",$H93-$I93)</f>
        <v/>
      </c>
      <c r="K93" s="41" t="str">
        <f aca="false">IF($A93="","",SUMIFS(业务流水!$H$5:$H$1504,业务流水!$F$5:$F$1504,"*",业务流水!$D$5:$D$1504,"挂靠代收",业务流水!$C$5:$C$1504,$A93,业务流水!$Z$5:$Z$1504,"是"))</f>
        <v/>
      </c>
      <c r="L93" s="42" t="str">
        <f aca="false">IF($A93="","",$C93-$K93)</f>
        <v/>
      </c>
      <c r="M93" s="41" t="str">
        <f aca="false">IF($A93="","",SUMIFS(业务流水!$H$5:$H$1504,业务流水!$E$5:$E$1504,"*",业务流水!$D$5:$D$1504,"我方收款",业务流水!$C$5:$C$1504,$A93,业务流水!$Z$5:$Z$1504,"是"))</f>
        <v/>
      </c>
      <c r="N93" s="43" t="str">
        <f aca="false">IF($A93="","",$K93-$M93)</f>
        <v/>
      </c>
      <c r="O93" s="41" t="str">
        <f aca="false">IF($A93="","",SUMIFS(业务流水!$H$5:$H$1504,业务流水!$F$5:$F$1504,"*",业务流水!$D$5:$D$1504,"管理费结算",业务流水!$C$5:$C$1504,$A93,业务流水!$Z$5:$Z$1504,"是"))</f>
        <v/>
      </c>
      <c r="P93" s="41" t="str">
        <f aca="false">IF($A93="","",SUMIFS(业务流水!$H$5:$H$1504,业务流水!$E$5:$E$1504,"*",业务流水!$D$5:$D$1504,"扣质保金",业务流水!$C$5:$C$1504,$A93,业务流水!$Z$5:$Z$1504,"是"))</f>
        <v/>
      </c>
    </row>
    <row r="94" customFormat="false" ht="15.75" hidden="false" customHeight="true" outlineLevel="0" collapsed="false">
      <c r="A94" s="32" t="str">
        <f aca="false">IF(项目档案!$A94="","",项目档案!$A94)</f>
        <v/>
      </c>
      <c r="B94" s="40" t="str">
        <f aca="false">IF($A94="","",项目档案!$B94)</f>
        <v/>
      </c>
      <c r="C94" s="41" t="str">
        <f aca="false">IF($A94="","",SUMIFS(业务流水!$H$5:$H$1504,业务流水!$E$5:$E$1504,"*",业务流水!$D$5:$D$1504,"销项开票",业务流水!$C$5:$C$1504,$A94,业务流水!$Z$5:$Z$1504,"是"))</f>
        <v/>
      </c>
      <c r="D94" s="41" t="str">
        <f aca="false">IF($A94="","",SUMIFS(业务流水!$O$5:$O$1504,业务流水!$E$5:$E$1504,"*",业务流水!$D$5:$D$1504,"销项开票",业务流水!$C$5:$C$1504,$A94,业务流水!$Z$5:$Z$1504,"是"))</f>
        <v/>
      </c>
      <c r="E94" s="41" t="str">
        <f aca="false">IF($A94="","",SUMIFS(业务流水!$P$5:$P$1504,业务流水!$E$5:$E$1504,"*",业务流水!$D$5:$D$1504,"销项开票",业务流水!$C$5:$C$1504,$A94,业务流水!$Z$5:$Z$1504,"是"))</f>
        <v/>
      </c>
      <c r="F94" s="41" t="str">
        <f aca="false">IF($A94="","",SUMIFS(业务流水!$H$5:$H$1504,业务流水!$F$5:$F$1504,"*",业务流水!$D$5:$D$1504,"成本票",业务流水!$C$5:$C$1504,$A94,业务流水!$Z$5:$Z$1504,"是")+SUMIFS(业务流水!$H$5:$H$1504,业务流水!$F$5:$F$1504,"*",业务流水!$D$5:$D$1504,"销项开票",业务流水!$C$5:$C$1504,$A94,业务流水!$Z$5:$Z$1504,"是"))</f>
        <v/>
      </c>
      <c r="G94" s="42" t="str">
        <f aca="false">IF($A94="","",$E94-$F94)</f>
        <v/>
      </c>
      <c r="H94" s="41" t="str">
        <f aca="false">IF($A94="","",SUMIFS(业务流水!$W$5:$W$1504,业务流水!$E$5:$E$1504,"*",业务流水!$D$5:$D$1504,"销项开票",业务流水!$C$5:$C$1504,$A94,业务流水!$Z$5:$Z$1504,"是"))</f>
        <v/>
      </c>
      <c r="I94" s="41" t="str">
        <f aca="false">IF($A94="","",SUMIFS(业务流水!$H$5:$H$1504,业务流水!$E$5:$E$1504,"*",业务流水!$D$5:$D$1504,"已交税",业务流水!$C$5:$C$1504,$A94,业务流水!$Z$5:$Z$1504,"是"))</f>
        <v/>
      </c>
      <c r="J94" s="42" t="str">
        <f aca="false">IF($A94="","",$H94-$I94)</f>
        <v/>
      </c>
      <c r="K94" s="41" t="str">
        <f aca="false">IF($A94="","",SUMIFS(业务流水!$H$5:$H$1504,业务流水!$F$5:$F$1504,"*",业务流水!$D$5:$D$1504,"挂靠代收",业务流水!$C$5:$C$1504,$A94,业务流水!$Z$5:$Z$1504,"是"))</f>
        <v/>
      </c>
      <c r="L94" s="42" t="str">
        <f aca="false">IF($A94="","",$C94-$K94)</f>
        <v/>
      </c>
      <c r="M94" s="41" t="str">
        <f aca="false">IF($A94="","",SUMIFS(业务流水!$H$5:$H$1504,业务流水!$E$5:$E$1504,"*",业务流水!$D$5:$D$1504,"我方收款",业务流水!$C$5:$C$1504,$A94,业务流水!$Z$5:$Z$1504,"是"))</f>
        <v/>
      </c>
      <c r="N94" s="43" t="str">
        <f aca="false">IF($A94="","",$K94-$M94)</f>
        <v/>
      </c>
      <c r="O94" s="41" t="str">
        <f aca="false">IF($A94="","",SUMIFS(业务流水!$H$5:$H$1504,业务流水!$F$5:$F$1504,"*",业务流水!$D$5:$D$1504,"管理费结算",业务流水!$C$5:$C$1504,$A94,业务流水!$Z$5:$Z$1504,"是"))</f>
        <v/>
      </c>
      <c r="P94" s="41" t="str">
        <f aca="false">IF($A94="","",SUMIFS(业务流水!$H$5:$H$1504,业务流水!$E$5:$E$1504,"*",业务流水!$D$5:$D$1504,"扣质保金",业务流水!$C$5:$C$1504,$A94,业务流水!$Z$5:$Z$1504,"是"))</f>
        <v/>
      </c>
    </row>
    <row r="95" customFormat="false" ht="15.75" hidden="false" customHeight="true" outlineLevel="0" collapsed="false">
      <c r="A95" s="32" t="str">
        <f aca="false">IF(项目档案!$A95="","",项目档案!$A95)</f>
        <v/>
      </c>
      <c r="B95" s="40" t="str">
        <f aca="false">IF($A95="","",项目档案!$B95)</f>
        <v/>
      </c>
      <c r="C95" s="41" t="str">
        <f aca="false">IF($A95="","",SUMIFS(业务流水!$H$5:$H$1504,业务流水!$E$5:$E$1504,"*",业务流水!$D$5:$D$1504,"销项开票",业务流水!$C$5:$C$1504,$A95,业务流水!$Z$5:$Z$1504,"是"))</f>
        <v/>
      </c>
      <c r="D95" s="41" t="str">
        <f aca="false">IF($A95="","",SUMIFS(业务流水!$O$5:$O$1504,业务流水!$E$5:$E$1504,"*",业务流水!$D$5:$D$1504,"销项开票",业务流水!$C$5:$C$1504,$A95,业务流水!$Z$5:$Z$1504,"是"))</f>
        <v/>
      </c>
      <c r="E95" s="41" t="str">
        <f aca="false">IF($A95="","",SUMIFS(业务流水!$P$5:$P$1504,业务流水!$E$5:$E$1504,"*",业务流水!$D$5:$D$1504,"销项开票",业务流水!$C$5:$C$1504,$A95,业务流水!$Z$5:$Z$1504,"是"))</f>
        <v/>
      </c>
      <c r="F95" s="41" t="str">
        <f aca="false">IF($A95="","",SUMIFS(业务流水!$H$5:$H$1504,业务流水!$F$5:$F$1504,"*",业务流水!$D$5:$D$1504,"成本票",业务流水!$C$5:$C$1504,$A95,业务流水!$Z$5:$Z$1504,"是")+SUMIFS(业务流水!$H$5:$H$1504,业务流水!$F$5:$F$1504,"*",业务流水!$D$5:$D$1504,"销项开票",业务流水!$C$5:$C$1504,$A95,业务流水!$Z$5:$Z$1504,"是"))</f>
        <v/>
      </c>
      <c r="G95" s="42" t="str">
        <f aca="false">IF($A95="","",$E95-$F95)</f>
        <v/>
      </c>
      <c r="H95" s="41" t="str">
        <f aca="false">IF($A95="","",SUMIFS(业务流水!$W$5:$W$1504,业务流水!$E$5:$E$1504,"*",业务流水!$D$5:$D$1504,"销项开票",业务流水!$C$5:$C$1504,$A95,业务流水!$Z$5:$Z$1504,"是"))</f>
        <v/>
      </c>
      <c r="I95" s="41" t="str">
        <f aca="false">IF($A95="","",SUMIFS(业务流水!$H$5:$H$1504,业务流水!$E$5:$E$1504,"*",业务流水!$D$5:$D$1504,"已交税",业务流水!$C$5:$C$1504,$A95,业务流水!$Z$5:$Z$1504,"是"))</f>
        <v/>
      </c>
      <c r="J95" s="42" t="str">
        <f aca="false">IF($A95="","",$H95-$I95)</f>
        <v/>
      </c>
      <c r="K95" s="41" t="str">
        <f aca="false">IF($A95="","",SUMIFS(业务流水!$H$5:$H$1504,业务流水!$F$5:$F$1504,"*",业务流水!$D$5:$D$1504,"挂靠代收",业务流水!$C$5:$C$1504,$A95,业务流水!$Z$5:$Z$1504,"是"))</f>
        <v/>
      </c>
      <c r="L95" s="42" t="str">
        <f aca="false">IF($A95="","",$C95-$K95)</f>
        <v/>
      </c>
      <c r="M95" s="41" t="str">
        <f aca="false">IF($A95="","",SUMIFS(业务流水!$H$5:$H$1504,业务流水!$E$5:$E$1504,"*",业务流水!$D$5:$D$1504,"我方收款",业务流水!$C$5:$C$1504,$A95,业务流水!$Z$5:$Z$1504,"是"))</f>
        <v/>
      </c>
      <c r="N95" s="43" t="str">
        <f aca="false">IF($A95="","",$K95-$M95)</f>
        <v/>
      </c>
      <c r="O95" s="41" t="str">
        <f aca="false">IF($A95="","",SUMIFS(业务流水!$H$5:$H$1504,业务流水!$F$5:$F$1504,"*",业务流水!$D$5:$D$1504,"管理费结算",业务流水!$C$5:$C$1504,$A95,业务流水!$Z$5:$Z$1504,"是"))</f>
        <v/>
      </c>
      <c r="P95" s="41" t="str">
        <f aca="false">IF($A95="","",SUMIFS(业务流水!$H$5:$H$1504,业务流水!$E$5:$E$1504,"*",业务流水!$D$5:$D$1504,"扣质保金",业务流水!$C$5:$C$1504,$A95,业务流水!$Z$5:$Z$1504,"是"))</f>
        <v/>
      </c>
    </row>
    <row r="96" customFormat="false" ht="15.75" hidden="false" customHeight="true" outlineLevel="0" collapsed="false">
      <c r="A96" s="32" t="str">
        <f aca="false">IF(项目档案!$A96="","",项目档案!$A96)</f>
        <v/>
      </c>
      <c r="B96" s="40" t="str">
        <f aca="false">IF($A96="","",项目档案!$B96)</f>
        <v/>
      </c>
      <c r="C96" s="41" t="str">
        <f aca="false">IF($A96="","",SUMIFS(业务流水!$H$5:$H$1504,业务流水!$E$5:$E$1504,"*",业务流水!$D$5:$D$1504,"销项开票",业务流水!$C$5:$C$1504,$A96,业务流水!$Z$5:$Z$1504,"是"))</f>
        <v/>
      </c>
      <c r="D96" s="41" t="str">
        <f aca="false">IF($A96="","",SUMIFS(业务流水!$O$5:$O$1504,业务流水!$E$5:$E$1504,"*",业务流水!$D$5:$D$1504,"销项开票",业务流水!$C$5:$C$1504,$A96,业务流水!$Z$5:$Z$1504,"是"))</f>
        <v/>
      </c>
      <c r="E96" s="41" t="str">
        <f aca="false">IF($A96="","",SUMIFS(业务流水!$P$5:$P$1504,业务流水!$E$5:$E$1504,"*",业务流水!$D$5:$D$1504,"销项开票",业务流水!$C$5:$C$1504,$A96,业务流水!$Z$5:$Z$1504,"是"))</f>
        <v/>
      </c>
      <c r="F96" s="41" t="str">
        <f aca="false">IF($A96="","",SUMIFS(业务流水!$H$5:$H$1504,业务流水!$F$5:$F$1504,"*",业务流水!$D$5:$D$1504,"成本票",业务流水!$C$5:$C$1504,$A96,业务流水!$Z$5:$Z$1504,"是")+SUMIFS(业务流水!$H$5:$H$1504,业务流水!$F$5:$F$1504,"*",业务流水!$D$5:$D$1504,"销项开票",业务流水!$C$5:$C$1504,$A96,业务流水!$Z$5:$Z$1504,"是"))</f>
        <v/>
      </c>
      <c r="G96" s="42" t="str">
        <f aca="false">IF($A96="","",$E96-$F96)</f>
        <v/>
      </c>
      <c r="H96" s="41" t="str">
        <f aca="false">IF($A96="","",SUMIFS(业务流水!$W$5:$W$1504,业务流水!$E$5:$E$1504,"*",业务流水!$D$5:$D$1504,"销项开票",业务流水!$C$5:$C$1504,$A96,业务流水!$Z$5:$Z$1504,"是"))</f>
        <v/>
      </c>
      <c r="I96" s="41" t="str">
        <f aca="false">IF($A96="","",SUMIFS(业务流水!$H$5:$H$1504,业务流水!$E$5:$E$1504,"*",业务流水!$D$5:$D$1504,"已交税",业务流水!$C$5:$C$1504,$A96,业务流水!$Z$5:$Z$1504,"是"))</f>
        <v/>
      </c>
      <c r="J96" s="42" t="str">
        <f aca="false">IF($A96="","",$H96-$I96)</f>
        <v/>
      </c>
      <c r="K96" s="41" t="str">
        <f aca="false">IF($A96="","",SUMIFS(业务流水!$H$5:$H$1504,业务流水!$F$5:$F$1504,"*",业务流水!$D$5:$D$1504,"挂靠代收",业务流水!$C$5:$C$1504,$A96,业务流水!$Z$5:$Z$1504,"是"))</f>
        <v/>
      </c>
      <c r="L96" s="42" t="str">
        <f aca="false">IF($A96="","",$C96-$K96)</f>
        <v/>
      </c>
      <c r="M96" s="41" t="str">
        <f aca="false">IF($A96="","",SUMIFS(业务流水!$H$5:$H$1504,业务流水!$E$5:$E$1504,"*",业务流水!$D$5:$D$1504,"我方收款",业务流水!$C$5:$C$1504,$A96,业务流水!$Z$5:$Z$1504,"是"))</f>
        <v/>
      </c>
      <c r="N96" s="43" t="str">
        <f aca="false">IF($A96="","",$K96-$M96)</f>
        <v/>
      </c>
      <c r="O96" s="41" t="str">
        <f aca="false">IF($A96="","",SUMIFS(业务流水!$H$5:$H$1504,业务流水!$F$5:$F$1504,"*",业务流水!$D$5:$D$1504,"管理费结算",业务流水!$C$5:$C$1504,$A96,业务流水!$Z$5:$Z$1504,"是"))</f>
        <v/>
      </c>
      <c r="P96" s="41" t="str">
        <f aca="false">IF($A96="","",SUMIFS(业务流水!$H$5:$H$1504,业务流水!$E$5:$E$1504,"*",业务流水!$D$5:$D$1504,"扣质保金",业务流水!$C$5:$C$1504,$A96,业务流水!$Z$5:$Z$1504,"是"))</f>
        <v/>
      </c>
    </row>
    <row r="97" customFormat="false" ht="15.75" hidden="false" customHeight="true" outlineLevel="0" collapsed="false">
      <c r="A97" s="32" t="str">
        <f aca="false">IF(项目档案!$A97="","",项目档案!$A97)</f>
        <v/>
      </c>
      <c r="B97" s="40" t="str">
        <f aca="false">IF($A97="","",项目档案!$B97)</f>
        <v/>
      </c>
      <c r="C97" s="41" t="str">
        <f aca="false">IF($A97="","",SUMIFS(业务流水!$H$5:$H$1504,业务流水!$E$5:$E$1504,"*",业务流水!$D$5:$D$1504,"销项开票",业务流水!$C$5:$C$1504,$A97,业务流水!$Z$5:$Z$1504,"是"))</f>
        <v/>
      </c>
      <c r="D97" s="41" t="str">
        <f aca="false">IF($A97="","",SUMIFS(业务流水!$O$5:$O$1504,业务流水!$E$5:$E$1504,"*",业务流水!$D$5:$D$1504,"销项开票",业务流水!$C$5:$C$1504,$A97,业务流水!$Z$5:$Z$1504,"是"))</f>
        <v/>
      </c>
      <c r="E97" s="41" t="str">
        <f aca="false">IF($A97="","",SUMIFS(业务流水!$P$5:$P$1504,业务流水!$E$5:$E$1504,"*",业务流水!$D$5:$D$1504,"销项开票",业务流水!$C$5:$C$1504,$A97,业务流水!$Z$5:$Z$1504,"是"))</f>
        <v/>
      </c>
      <c r="F97" s="41" t="str">
        <f aca="false">IF($A97="","",SUMIFS(业务流水!$H$5:$H$1504,业务流水!$F$5:$F$1504,"*",业务流水!$D$5:$D$1504,"成本票",业务流水!$C$5:$C$1504,$A97,业务流水!$Z$5:$Z$1504,"是")+SUMIFS(业务流水!$H$5:$H$1504,业务流水!$F$5:$F$1504,"*",业务流水!$D$5:$D$1504,"销项开票",业务流水!$C$5:$C$1504,$A97,业务流水!$Z$5:$Z$1504,"是"))</f>
        <v/>
      </c>
      <c r="G97" s="42" t="str">
        <f aca="false">IF($A97="","",$E97-$F97)</f>
        <v/>
      </c>
      <c r="H97" s="41" t="str">
        <f aca="false">IF($A97="","",SUMIFS(业务流水!$W$5:$W$1504,业务流水!$E$5:$E$1504,"*",业务流水!$D$5:$D$1504,"销项开票",业务流水!$C$5:$C$1504,$A97,业务流水!$Z$5:$Z$1504,"是"))</f>
        <v/>
      </c>
      <c r="I97" s="41" t="str">
        <f aca="false">IF($A97="","",SUMIFS(业务流水!$H$5:$H$1504,业务流水!$E$5:$E$1504,"*",业务流水!$D$5:$D$1504,"已交税",业务流水!$C$5:$C$1504,$A97,业务流水!$Z$5:$Z$1504,"是"))</f>
        <v/>
      </c>
      <c r="J97" s="42" t="str">
        <f aca="false">IF($A97="","",$H97-$I97)</f>
        <v/>
      </c>
      <c r="K97" s="41" t="str">
        <f aca="false">IF($A97="","",SUMIFS(业务流水!$H$5:$H$1504,业务流水!$F$5:$F$1504,"*",业务流水!$D$5:$D$1504,"挂靠代收",业务流水!$C$5:$C$1504,$A97,业务流水!$Z$5:$Z$1504,"是"))</f>
        <v/>
      </c>
      <c r="L97" s="42" t="str">
        <f aca="false">IF($A97="","",$C97-$K97)</f>
        <v/>
      </c>
      <c r="M97" s="41" t="str">
        <f aca="false">IF($A97="","",SUMIFS(业务流水!$H$5:$H$1504,业务流水!$E$5:$E$1504,"*",业务流水!$D$5:$D$1504,"我方收款",业务流水!$C$5:$C$1504,$A97,业务流水!$Z$5:$Z$1504,"是"))</f>
        <v/>
      </c>
      <c r="N97" s="43" t="str">
        <f aca="false">IF($A97="","",$K97-$M97)</f>
        <v/>
      </c>
      <c r="O97" s="41" t="str">
        <f aca="false">IF($A97="","",SUMIFS(业务流水!$H$5:$H$1504,业务流水!$F$5:$F$1504,"*",业务流水!$D$5:$D$1504,"管理费结算",业务流水!$C$5:$C$1504,$A97,业务流水!$Z$5:$Z$1504,"是"))</f>
        <v/>
      </c>
      <c r="P97" s="41" t="str">
        <f aca="false">IF($A97="","",SUMIFS(业务流水!$H$5:$H$1504,业务流水!$E$5:$E$1504,"*",业务流水!$D$5:$D$1504,"扣质保金",业务流水!$C$5:$C$1504,$A97,业务流水!$Z$5:$Z$1504,"是"))</f>
        <v/>
      </c>
    </row>
    <row r="98" customFormat="false" ht="15.75" hidden="false" customHeight="true" outlineLevel="0" collapsed="false">
      <c r="A98" s="32" t="str">
        <f aca="false">IF(项目档案!$A98="","",项目档案!$A98)</f>
        <v/>
      </c>
      <c r="B98" s="40" t="str">
        <f aca="false">IF($A98="","",项目档案!$B98)</f>
        <v/>
      </c>
      <c r="C98" s="41" t="str">
        <f aca="false">IF($A98="","",SUMIFS(业务流水!$H$5:$H$1504,业务流水!$E$5:$E$1504,"*",业务流水!$D$5:$D$1504,"销项开票",业务流水!$C$5:$C$1504,$A98,业务流水!$Z$5:$Z$1504,"是"))</f>
        <v/>
      </c>
      <c r="D98" s="41" t="str">
        <f aca="false">IF($A98="","",SUMIFS(业务流水!$O$5:$O$1504,业务流水!$E$5:$E$1504,"*",业务流水!$D$5:$D$1504,"销项开票",业务流水!$C$5:$C$1504,$A98,业务流水!$Z$5:$Z$1504,"是"))</f>
        <v/>
      </c>
      <c r="E98" s="41" t="str">
        <f aca="false">IF($A98="","",SUMIFS(业务流水!$P$5:$P$1504,业务流水!$E$5:$E$1504,"*",业务流水!$D$5:$D$1504,"销项开票",业务流水!$C$5:$C$1504,$A98,业务流水!$Z$5:$Z$1504,"是"))</f>
        <v/>
      </c>
      <c r="F98" s="41" t="str">
        <f aca="false">IF($A98="","",SUMIFS(业务流水!$H$5:$H$1504,业务流水!$F$5:$F$1504,"*",业务流水!$D$5:$D$1504,"成本票",业务流水!$C$5:$C$1504,$A98,业务流水!$Z$5:$Z$1504,"是")+SUMIFS(业务流水!$H$5:$H$1504,业务流水!$F$5:$F$1504,"*",业务流水!$D$5:$D$1504,"销项开票",业务流水!$C$5:$C$1504,$A98,业务流水!$Z$5:$Z$1504,"是"))</f>
        <v/>
      </c>
      <c r="G98" s="42" t="str">
        <f aca="false">IF($A98="","",$E98-$F98)</f>
        <v/>
      </c>
      <c r="H98" s="41" t="str">
        <f aca="false">IF($A98="","",SUMIFS(业务流水!$W$5:$W$1504,业务流水!$E$5:$E$1504,"*",业务流水!$D$5:$D$1504,"销项开票",业务流水!$C$5:$C$1504,$A98,业务流水!$Z$5:$Z$1504,"是"))</f>
        <v/>
      </c>
      <c r="I98" s="41" t="str">
        <f aca="false">IF($A98="","",SUMIFS(业务流水!$H$5:$H$1504,业务流水!$E$5:$E$1504,"*",业务流水!$D$5:$D$1504,"已交税",业务流水!$C$5:$C$1504,$A98,业务流水!$Z$5:$Z$1504,"是"))</f>
        <v/>
      </c>
      <c r="J98" s="42" t="str">
        <f aca="false">IF($A98="","",$H98-$I98)</f>
        <v/>
      </c>
      <c r="K98" s="41" t="str">
        <f aca="false">IF($A98="","",SUMIFS(业务流水!$H$5:$H$1504,业务流水!$F$5:$F$1504,"*",业务流水!$D$5:$D$1504,"挂靠代收",业务流水!$C$5:$C$1504,$A98,业务流水!$Z$5:$Z$1504,"是"))</f>
        <v/>
      </c>
      <c r="L98" s="42" t="str">
        <f aca="false">IF($A98="","",$C98-$K98)</f>
        <v/>
      </c>
      <c r="M98" s="41" t="str">
        <f aca="false">IF($A98="","",SUMIFS(业务流水!$H$5:$H$1504,业务流水!$E$5:$E$1504,"*",业务流水!$D$5:$D$1504,"我方收款",业务流水!$C$5:$C$1504,$A98,业务流水!$Z$5:$Z$1504,"是"))</f>
        <v/>
      </c>
      <c r="N98" s="43" t="str">
        <f aca="false">IF($A98="","",$K98-$M98)</f>
        <v/>
      </c>
      <c r="O98" s="41" t="str">
        <f aca="false">IF($A98="","",SUMIFS(业务流水!$H$5:$H$1504,业务流水!$F$5:$F$1504,"*",业务流水!$D$5:$D$1504,"管理费结算",业务流水!$C$5:$C$1504,$A98,业务流水!$Z$5:$Z$1504,"是"))</f>
        <v/>
      </c>
      <c r="P98" s="41" t="str">
        <f aca="false">IF($A98="","",SUMIFS(业务流水!$H$5:$H$1504,业务流水!$E$5:$E$1504,"*",业务流水!$D$5:$D$1504,"扣质保金",业务流水!$C$5:$C$1504,$A98,业务流水!$Z$5:$Z$1504,"是"))</f>
        <v/>
      </c>
    </row>
    <row r="99" customFormat="false" ht="15.75" hidden="false" customHeight="true" outlineLevel="0" collapsed="false">
      <c r="A99" s="32" t="str">
        <f aca="false">IF(项目档案!$A99="","",项目档案!$A99)</f>
        <v/>
      </c>
      <c r="B99" s="40" t="str">
        <f aca="false">IF($A99="","",项目档案!$B99)</f>
        <v/>
      </c>
      <c r="C99" s="41" t="str">
        <f aca="false">IF($A99="","",SUMIFS(业务流水!$H$5:$H$1504,业务流水!$E$5:$E$1504,"*",业务流水!$D$5:$D$1504,"销项开票",业务流水!$C$5:$C$1504,$A99,业务流水!$Z$5:$Z$1504,"是"))</f>
        <v/>
      </c>
      <c r="D99" s="41" t="str">
        <f aca="false">IF($A99="","",SUMIFS(业务流水!$O$5:$O$1504,业务流水!$E$5:$E$1504,"*",业务流水!$D$5:$D$1504,"销项开票",业务流水!$C$5:$C$1504,$A99,业务流水!$Z$5:$Z$1504,"是"))</f>
        <v/>
      </c>
      <c r="E99" s="41" t="str">
        <f aca="false">IF($A99="","",SUMIFS(业务流水!$P$5:$P$1504,业务流水!$E$5:$E$1504,"*",业务流水!$D$5:$D$1504,"销项开票",业务流水!$C$5:$C$1504,$A99,业务流水!$Z$5:$Z$1504,"是"))</f>
        <v/>
      </c>
      <c r="F99" s="41" t="str">
        <f aca="false">IF($A99="","",SUMIFS(业务流水!$H$5:$H$1504,业务流水!$F$5:$F$1504,"*",业务流水!$D$5:$D$1504,"成本票",业务流水!$C$5:$C$1504,$A99,业务流水!$Z$5:$Z$1504,"是")+SUMIFS(业务流水!$H$5:$H$1504,业务流水!$F$5:$F$1504,"*",业务流水!$D$5:$D$1504,"销项开票",业务流水!$C$5:$C$1504,$A99,业务流水!$Z$5:$Z$1504,"是"))</f>
        <v/>
      </c>
      <c r="G99" s="42" t="str">
        <f aca="false">IF($A99="","",$E99-$F99)</f>
        <v/>
      </c>
      <c r="H99" s="41" t="str">
        <f aca="false">IF($A99="","",SUMIFS(业务流水!$W$5:$W$1504,业务流水!$E$5:$E$1504,"*",业务流水!$D$5:$D$1504,"销项开票",业务流水!$C$5:$C$1504,$A99,业务流水!$Z$5:$Z$1504,"是"))</f>
        <v/>
      </c>
      <c r="I99" s="41" t="str">
        <f aca="false">IF($A99="","",SUMIFS(业务流水!$H$5:$H$1504,业务流水!$E$5:$E$1504,"*",业务流水!$D$5:$D$1504,"已交税",业务流水!$C$5:$C$1504,$A99,业务流水!$Z$5:$Z$1504,"是"))</f>
        <v/>
      </c>
      <c r="J99" s="42" t="str">
        <f aca="false">IF($A99="","",$H99-$I99)</f>
        <v/>
      </c>
      <c r="K99" s="41" t="str">
        <f aca="false">IF($A99="","",SUMIFS(业务流水!$H$5:$H$1504,业务流水!$F$5:$F$1504,"*",业务流水!$D$5:$D$1504,"挂靠代收",业务流水!$C$5:$C$1504,$A99,业务流水!$Z$5:$Z$1504,"是"))</f>
        <v/>
      </c>
      <c r="L99" s="42" t="str">
        <f aca="false">IF($A99="","",$C99-$K99)</f>
        <v/>
      </c>
      <c r="M99" s="41" t="str">
        <f aca="false">IF($A99="","",SUMIFS(业务流水!$H$5:$H$1504,业务流水!$E$5:$E$1504,"*",业务流水!$D$5:$D$1504,"我方收款",业务流水!$C$5:$C$1504,$A99,业务流水!$Z$5:$Z$1504,"是"))</f>
        <v/>
      </c>
      <c r="N99" s="43" t="str">
        <f aca="false">IF($A99="","",$K99-$M99)</f>
        <v/>
      </c>
      <c r="O99" s="41" t="str">
        <f aca="false">IF($A99="","",SUMIFS(业务流水!$H$5:$H$1504,业务流水!$F$5:$F$1504,"*",业务流水!$D$5:$D$1504,"管理费结算",业务流水!$C$5:$C$1504,$A99,业务流水!$Z$5:$Z$1504,"是"))</f>
        <v/>
      </c>
      <c r="P99" s="41" t="str">
        <f aca="false">IF($A99="","",SUMIFS(业务流水!$H$5:$H$1504,业务流水!$E$5:$E$1504,"*",业务流水!$D$5:$D$1504,"扣质保金",业务流水!$C$5:$C$1504,$A99,业务流水!$Z$5:$Z$1504,"是"))</f>
        <v/>
      </c>
    </row>
    <row r="100" customFormat="false" ht="15.75" hidden="false" customHeight="true" outlineLevel="0" collapsed="false">
      <c r="A100" s="32" t="str">
        <f aca="false">IF(项目档案!$A100="","",项目档案!$A100)</f>
        <v/>
      </c>
      <c r="B100" s="40" t="str">
        <f aca="false">IF($A100="","",项目档案!$B100)</f>
        <v/>
      </c>
      <c r="C100" s="41" t="str">
        <f aca="false">IF($A100="","",SUMIFS(业务流水!$H$5:$H$1504,业务流水!$E$5:$E$1504,"*",业务流水!$D$5:$D$1504,"销项开票",业务流水!$C$5:$C$1504,$A100,业务流水!$Z$5:$Z$1504,"是"))</f>
        <v/>
      </c>
      <c r="D100" s="41" t="str">
        <f aca="false">IF($A100="","",SUMIFS(业务流水!$O$5:$O$1504,业务流水!$E$5:$E$1504,"*",业务流水!$D$5:$D$1504,"销项开票",业务流水!$C$5:$C$1504,$A100,业务流水!$Z$5:$Z$1504,"是"))</f>
        <v/>
      </c>
      <c r="E100" s="41" t="str">
        <f aca="false">IF($A100="","",SUMIFS(业务流水!$P$5:$P$1504,业务流水!$E$5:$E$1504,"*",业务流水!$D$5:$D$1504,"销项开票",业务流水!$C$5:$C$1504,$A100,业务流水!$Z$5:$Z$1504,"是"))</f>
        <v/>
      </c>
      <c r="F100" s="41" t="str">
        <f aca="false">IF($A100="","",SUMIFS(业务流水!$H$5:$H$1504,业务流水!$F$5:$F$1504,"*",业务流水!$D$5:$D$1504,"成本票",业务流水!$C$5:$C$1504,$A100,业务流水!$Z$5:$Z$1504,"是")+SUMIFS(业务流水!$H$5:$H$1504,业务流水!$F$5:$F$1504,"*",业务流水!$D$5:$D$1504,"销项开票",业务流水!$C$5:$C$1504,$A100,业务流水!$Z$5:$Z$1504,"是"))</f>
        <v/>
      </c>
      <c r="G100" s="42" t="str">
        <f aca="false">IF($A100="","",$E100-$F100)</f>
        <v/>
      </c>
      <c r="H100" s="41" t="str">
        <f aca="false">IF($A100="","",SUMIFS(业务流水!$W$5:$W$1504,业务流水!$E$5:$E$1504,"*",业务流水!$D$5:$D$1504,"销项开票",业务流水!$C$5:$C$1504,$A100,业务流水!$Z$5:$Z$1504,"是"))</f>
        <v/>
      </c>
      <c r="I100" s="41" t="str">
        <f aca="false">IF($A100="","",SUMIFS(业务流水!$H$5:$H$1504,业务流水!$E$5:$E$1504,"*",业务流水!$D$5:$D$1504,"已交税",业务流水!$C$5:$C$1504,$A100,业务流水!$Z$5:$Z$1504,"是"))</f>
        <v/>
      </c>
      <c r="J100" s="42" t="str">
        <f aca="false">IF($A100="","",$H100-$I100)</f>
        <v/>
      </c>
      <c r="K100" s="41" t="str">
        <f aca="false">IF($A100="","",SUMIFS(业务流水!$H$5:$H$1504,业务流水!$F$5:$F$1504,"*",业务流水!$D$5:$D$1504,"挂靠代收",业务流水!$C$5:$C$1504,$A100,业务流水!$Z$5:$Z$1504,"是"))</f>
        <v/>
      </c>
      <c r="L100" s="42" t="str">
        <f aca="false">IF($A100="","",$C100-$K100)</f>
        <v/>
      </c>
      <c r="M100" s="41" t="str">
        <f aca="false">IF($A100="","",SUMIFS(业务流水!$H$5:$H$1504,业务流水!$E$5:$E$1504,"*",业务流水!$D$5:$D$1504,"我方收款",业务流水!$C$5:$C$1504,$A100,业务流水!$Z$5:$Z$1504,"是"))</f>
        <v/>
      </c>
      <c r="N100" s="43" t="str">
        <f aca="false">IF($A100="","",$K100-$M100)</f>
        <v/>
      </c>
      <c r="O100" s="41" t="str">
        <f aca="false">IF($A100="","",SUMIFS(业务流水!$H$5:$H$1504,业务流水!$F$5:$F$1504,"*",业务流水!$D$5:$D$1504,"管理费结算",业务流水!$C$5:$C$1504,$A100,业务流水!$Z$5:$Z$1504,"是"))</f>
        <v/>
      </c>
      <c r="P100" s="41" t="str">
        <f aca="false">IF($A100="","",SUMIFS(业务流水!$H$5:$H$1504,业务流水!$E$5:$E$1504,"*",业务流水!$D$5:$D$1504,"扣质保金",业务流水!$C$5:$C$1504,$A100,业务流水!$Z$5:$Z$1504,"是"))</f>
        <v/>
      </c>
    </row>
    <row r="101" customFormat="false" ht="15.75" hidden="false" customHeight="true" outlineLevel="0" collapsed="false">
      <c r="A101" s="32" t="str">
        <f aca="false">IF(项目档案!$A101="","",项目档案!$A101)</f>
        <v/>
      </c>
      <c r="B101" s="40" t="str">
        <f aca="false">IF($A101="","",项目档案!$B101)</f>
        <v/>
      </c>
      <c r="C101" s="41" t="str">
        <f aca="false">IF($A101="","",SUMIFS(业务流水!$H$5:$H$1504,业务流水!$E$5:$E$1504,"*",业务流水!$D$5:$D$1504,"销项开票",业务流水!$C$5:$C$1504,$A101,业务流水!$Z$5:$Z$1504,"是"))</f>
        <v/>
      </c>
      <c r="D101" s="41" t="str">
        <f aca="false">IF($A101="","",SUMIFS(业务流水!$O$5:$O$1504,业务流水!$E$5:$E$1504,"*",业务流水!$D$5:$D$1504,"销项开票",业务流水!$C$5:$C$1504,$A101,业务流水!$Z$5:$Z$1504,"是"))</f>
        <v/>
      </c>
      <c r="E101" s="41" t="str">
        <f aca="false">IF($A101="","",SUMIFS(业务流水!$P$5:$P$1504,业务流水!$E$5:$E$1504,"*",业务流水!$D$5:$D$1504,"销项开票",业务流水!$C$5:$C$1504,$A101,业务流水!$Z$5:$Z$1504,"是"))</f>
        <v/>
      </c>
      <c r="F101" s="41" t="str">
        <f aca="false">IF($A101="","",SUMIFS(业务流水!$H$5:$H$1504,业务流水!$F$5:$F$1504,"*",业务流水!$D$5:$D$1504,"成本票",业务流水!$C$5:$C$1504,$A101,业务流水!$Z$5:$Z$1504,"是")+SUMIFS(业务流水!$H$5:$H$1504,业务流水!$F$5:$F$1504,"*",业务流水!$D$5:$D$1504,"销项开票",业务流水!$C$5:$C$1504,$A101,业务流水!$Z$5:$Z$1504,"是"))</f>
        <v/>
      </c>
      <c r="G101" s="42" t="str">
        <f aca="false">IF($A101="","",$E101-$F101)</f>
        <v/>
      </c>
      <c r="H101" s="41" t="str">
        <f aca="false">IF($A101="","",SUMIFS(业务流水!$W$5:$W$1504,业务流水!$E$5:$E$1504,"*",业务流水!$D$5:$D$1504,"销项开票",业务流水!$C$5:$C$1504,$A101,业务流水!$Z$5:$Z$1504,"是"))</f>
        <v/>
      </c>
      <c r="I101" s="41" t="str">
        <f aca="false">IF($A101="","",SUMIFS(业务流水!$H$5:$H$1504,业务流水!$E$5:$E$1504,"*",业务流水!$D$5:$D$1504,"已交税",业务流水!$C$5:$C$1504,$A101,业务流水!$Z$5:$Z$1504,"是"))</f>
        <v/>
      </c>
      <c r="J101" s="42" t="str">
        <f aca="false">IF($A101="","",$H101-$I101)</f>
        <v/>
      </c>
      <c r="K101" s="41" t="str">
        <f aca="false">IF($A101="","",SUMIFS(业务流水!$H$5:$H$1504,业务流水!$F$5:$F$1504,"*",业务流水!$D$5:$D$1504,"挂靠代收",业务流水!$C$5:$C$1504,$A101,业务流水!$Z$5:$Z$1504,"是"))</f>
        <v/>
      </c>
      <c r="L101" s="42" t="str">
        <f aca="false">IF($A101="","",$C101-$K101)</f>
        <v/>
      </c>
      <c r="M101" s="41" t="str">
        <f aca="false">IF($A101="","",SUMIFS(业务流水!$H$5:$H$1504,业务流水!$E$5:$E$1504,"*",业务流水!$D$5:$D$1504,"我方收款",业务流水!$C$5:$C$1504,$A101,业务流水!$Z$5:$Z$1504,"是"))</f>
        <v/>
      </c>
      <c r="N101" s="43" t="str">
        <f aca="false">IF($A101="","",$K101-$M101)</f>
        <v/>
      </c>
      <c r="O101" s="41" t="str">
        <f aca="false">IF($A101="","",SUMIFS(业务流水!$H$5:$H$1504,业务流水!$F$5:$F$1504,"*",业务流水!$D$5:$D$1504,"管理费结算",业务流水!$C$5:$C$1504,$A101,业务流水!$Z$5:$Z$1504,"是"))</f>
        <v/>
      </c>
      <c r="P101" s="41" t="str">
        <f aca="false">IF($A101="","",SUMIFS(业务流水!$H$5:$H$1504,业务流水!$E$5:$E$1504,"*",业务流水!$D$5:$D$1504,"扣质保金",业务流水!$C$5:$C$1504,$A101,业务流水!$Z$5:$Z$1504,"是"))</f>
        <v/>
      </c>
    </row>
    <row r="102" customFormat="false" ht="15.75" hidden="false" customHeight="true" outlineLevel="0" collapsed="false">
      <c r="A102" s="32" t="str">
        <f aca="false">IF(项目档案!$A102="","",项目档案!$A102)</f>
        <v/>
      </c>
      <c r="B102" s="40" t="str">
        <f aca="false">IF($A102="","",项目档案!$B102)</f>
        <v/>
      </c>
      <c r="C102" s="41" t="str">
        <f aca="false">IF($A102="","",SUMIFS(业务流水!$H$5:$H$1504,业务流水!$E$5:$E$1504,"*",业务流水!$D$5:$D$1504,"销项开票",业务流水!$C$5:$C$1504,$A102,业务流水!$Z$5:$Z$1504,"是"))</f>
        <v/>
      </c>
      <c r="D102" s="41" t="str">
        <f aca="false">IF($A102="","",SUMIFS(业务流水!$O$5:$O$1504,业务流水!$E$5:$E$1504,"*",业务流水!$D$5:$D$1504,"销项开票",业务流水!$C$5:$C$1504,$A102,业务流水!$Z$5:$Z$1504,"是"))</f>
        <v/>
      </c>
      <c r="E102" s="41" t="str">
        <f aca="false">IF($A102="","",SUMIFS(业务流水!$P$5:$P$1504,业务流水!$E$5:$E$1504,"*",业务流水!$D$5:$D$1504,"销项开票",业务流水!$C$5:$C$1504,$A102,业务流水!$Z$5:$Z$1504,"是"))</f>
        <v/>
      </c>
      <c r="F102" s="41" t="str">
        <f aca="false">IF($A102="","",SUMIFS(业务流水!$H$5:$H$1504,业务流水!$F$5:$F$1504,"*",业务流水!$D$5:$D$1504,"成本票",业务流水!$C$5:$C$1504,$A102,业务流水!$Z$5:$Z$1504,"是")+SUMIFS(业务流水!$H$5:$H$1504,业务流水!$F$5:$F$1504,"*",业务流水!$D$5:$D$1504,"销项开票",业务流水!$C$5:$C$1504,$A102,业务流水!$Z$5:$Z$1504,"是"))</f>
        <v/>
      </c>
      <c r="G102" s="42" t="str">
        <f aca="false">IF($A102="","",$E102-$F102)</f>
        <v/>
      </c>
      <c r="H102" s="41" t="str">
        <f aca="false">IF($A102="","",SUMIFS(业务流水!$W$5:$W$1504,业务流水!$E$5:$E$1504,"*",业务流水!$D$5:$D$1504,"销项开票",业务流水!$C$5:$C$1504,$A102,业务流水!$Z$5:$Z$1504,"是"))</f>
        <v/>
      </c>
      <c r="I102" s="41" t="str">
        <f aca="false">IF($A102="","",SUMIFS(业务流水!$H$5:$H$1504,业务流水!$E$5:$E$1504,"*",业务流水!$D$5:$D$1504,"已交税",业务流水!$C$5:$C$1504,$A102,业务流水!$Z$5:$Z$1504,"是"))</f>
        <v/>
      </c>
      <c r="J102" s="42" t="str">
        <f aca="false">IF($A102="","",$H102-$I102)</f>
        <v/>
      </c>
      <c r="K102" s="41" t="str">
        <f aca="false">IF($A102="","",SUMIFS(业务流水!$H$5:$H$1504,业务流水!$F$5:$F$1504,"*",业务流水!$D$5:$D$1504,"挂靠代收",业务流水!$C$5:$C$1504,$A102,业务流水!$Z$5:$Z$1504,"是"))</f>
        <v/>
      </c>
      <c r="L102" s="42" t="str">
        <f aca="false">IF($A102="","",$C102-$K102)</f>
        <v/>
      </c>
      <c r="M102" s="41" t="str">
        <f aca="false">IF($A102="","",SUMIFS(业务流水!$H$5:$H$1504,业务流水!$E$5:$E$1504,"*",业务流水!$D$5:$D$1504,"我方收款",业务流水!$C$5:$C$1504,$A102,业务流水!$Z$5:$Z$1504,"是"))</f>
        <v/>
      </c>
      <c r="N102" s="43" t="str">
        <f aca="false">IF($A102="","",$K102-$M102)</f>
        <v/>
      </c>
      <c r="O102" s="41" t="str">
        <f aca="false">IF($A102="","",SUMIFS(业务流水!$H$5:$H$1504,业务流水!$F$5:$F$1504,"*",业务流水!$D$5:$D$1504,"管理费结算",业务流水!$C$5:$C$1504,$A102,业务流水!$Z$5:$Z$1504,"是"))</f>
        <v/>
      </c>
      <c r="P102" s="41" t="str">
        <f aca="false">IF($A102="","",SUMIFS(业务流水!$H$5:$H$1504,业务流水!$E$5:$E$1504,"*",业务流水!$D$5:$D$1504,"扣质保金",业务流水!$C$5:$C$1504,$A102,业务流水!$Z$5:$Z$1504,"是"))</f>
        <v/>
      </c>
    </row>
    <row r="103" customFormat="false" ht="15.75" hidden="false" customHeight="true" outlineLevel="0" collapsed="false">
      <c r="A103" s="32" t="str">
        <f aca="false">IF(项目档案!$A103="","",项目档案!$A103)</f>
        <v/>
      </c>
      <c r="B103" s="40" t="str">
        <f aca="false">IF($A103="","",项目档案!$B103)</f>
        <v/>
      </c>
      <c r="C103" s="41" t="str">
        <f aca="false">IF($A103="","",SUMIFS(业务流水!$H$5:$H$1504,业务流水!$E$5:$E$1504,"*",业务流水!$D$5:$D$1504,"销项开票",业务流水!$C$5:$C$1504,$A103,业务流水!$Z$5:$Z$1504,"是"))</f>
        <v/>
      </c>
      <c r="D103" s="41" t="str">
        <f aca="false">IF($A103="","",SUMIFS(业务流水!$O$5:$O$1504,业务流水!$E$5:$E$1504,"*",业务流水!$D$5:$D$1504,"销项开票",业务流水!$C$5:$C$1504,$A103,业务流水!$Z$5:$Z$1504,"是"))</f>
        <v/>
      </c>
      <c r="E103" s="41" t="str">
        <f aca="false">IF($A103="","",SUMIFS(业务流水!$P$5:$P$1504,业务流水!$E$5:$E$1504,"*",业务流水!$D$5:$D$1504,"销项开票",业务流水!$C$5:$C$1504,$A103,业务流水!$Z$5:$Z$1504,"是"))</f>
        <v/>
      </c>
      <c r="F103" s="41" t="str">
        <f aca="false">IF($A103="","",SUMIFS(业务流水!$H$5:$H$1504,业务流水!$F$5:$F$1504,"*",业务流水!$D$5:$D$1504,"成本票",业务流水!$C$5:$C$1504,$A103,业务流水!$Z$5:$Z$1504,"是")+SUMIFS(业务流水!$H$5:$H$1504,业务流水!$F$5:$F$1504,"*",业务流水!$D$5:$D$1504,"销项开票",业务流水!$C$5:$C$1504,$A103,业务流水!$Z$5:$Z$1504,"是"))</f>
        <v/>
      </c>
      <c r="G103" s="42" t="str">
        <f aca="false">IF($A103="","",$E103-$F103)</f>
        <v/>
      </c>
      <c r="H103" s="41" t="str">
        <f aca="false">IF($A103="","",SUMIFS(业务流水!$W$5:$W$1504,业务流水!$E$5:$E$1504,"*",业务流水!$D$5:$D$1504,"销项开票",业务流水!$C$5:$C$1504,$A103,业务流水!$Z$5:$Z$1504,"是"))</f>
        <v/>
      </c>
      <c r="I103" s="41" t="str">
        <f aca="false">IF($A103="","",SUMIFS(业务流水!$H$5:$H$1504,业务流水!$E$5:$E$1504,"*",业务流水!$D$5:$D$1504,"已交税",业务流水!$C$5:$C$1504,$A103,业务流水!$Z$5:$Z$1504,"是"))</f>
        <v/>
      </c>
      <c r="J103" s="42" t="str">
        <f aca="false">IF($A103="","",$H103-$I103)</f>
        <v/>
      </c>
      <c r="K103" s="41" t="str">
        <f aca="false">IF($A103="","",SUMIFS(业务流水!$H$5:$H$1504,业务流水!$F$5:$F$1504,"*",业务流水!$D$5:$D$1504,"挂靠代收",业务流水!$C$5:$C$1504,$A103,业务流水!$Z$5:$Z$1504,"是"))</f>
        <v/>
      </c>
      <c r="L103" s="42" t="str">
        <f aca="false">IF($A103="","",$C103-$K103)</f>
        <v/>
      </c>
      <c r="M103" s="41" t="str">
        <f aca="false">IF($A103="","",SUMIFS(业务流水!$H$5:$H$1504,业务流水!$E$5:$E$1504,"*",业务流水!$D$5:$D$1504,"我方收款",业务流水!$C$5:$C$1504,$A103,业务流水!$Z$5:$Z$1504,"是"))</f>
        <v/>
      </c>
      <c r="N103" s="43" t="str">
        <f aca="false">IF($A103="","",$K103-$M103)</f>
        <v/>
      </c>
      <c r="O103" s="41" t="str">
        <f aca="false">IF($A103="","",SUMIFS(业务流水!$H$5:$H$1504,业务流水!$F$5:$F$1504,"*",业务流水!$D$5:$D$1504,"管理费结算",业务流水!$C$5:$C$1504,$A103,业务流水!$Z$5:$Z$1504,"是"))</f>
        <v/>
      </c>
      <c r="P103" s="41" t="str">
        <f aca="false">IF($A103="","",SUMIFS(业务流水!$H$5:$H$1504,业务流水!$E$5:$E$1504,"*",业务流水!$D$5:$D$1504,"扣质保金",业务流水!$C$5:$C$1504,$A103,业务流水!$Z$5:$Z$1504,"是"))</f>
        <v/>
      </c>
    </row>
    <row r="104" customFormat="false" ht="15.75" hidden="false" customHeight="true" outlineLevel="0" collapsed="false">
      <c r="A104" s="32" t="str">
        <f aca="false">IF(项目档案!$A104="","",项目档案!$A104)</f>
        <v/>
      </c>
      <c r="B104" s="40" t="str">
        <f aca="false">IF($A104="","",项目档案!$B104)</f>
        <v/>
      </c>
      <c r="C104" s="41" t="str">
        <f aca="false">IF($A104="","",SUMIFS(业务流水!$H$5:$H$1504,业务流水!$E$5:$E$1504,"*",业务流水!$D$5:$D$1504,"销项开票",业务流水!$C$5:$C$1504,$A104,业务流水!$Z$5:$Z$1504,"是"))</f>
        <v/>
      </c>
      <c r="D104" s="41" t="str">
        <f aca="false">IF($A104="","",SUMIFS(业务流水!$O$5:$O$1504,业务流水!$E$5:$E$1504,"*",业务流水!$D$5:$D$1504,"销项开票",业务流水!$C$5:$C$1504,$A104,业务流水!$Z$5:$Z$1504,"是"))</f>
        <v/>
      </c>
      <c r="E104" s="41" t="str">
        <f aca="false">IF($A104="","",SUMIFS(业务流水!$P$5:$P$1504,业务流水!$E$5:$E$1504,"*",业务流水!$D$5:$D$1504,"销项开票",业务流水!$C$5:$C$1504,$A104,业务流水!$Z$5:$Z$1504,"是"))</f>
        <v/>
      </c>
      <c r="F104" s="41" t="str">
        <f aca="false">IF($A104="","",SUMIFS(业务流水!$H$5:$H$1504,业务流水!$F$5:$F$1504,"*",业务流水!$D$5:$D$1504,"成本票",业务流水!$C$5:$C$1504,$A104,业务流水!$Z$5:$Z$1504,"是")+SUMIFS(业务流水!$H$5:$H$1504,业务流水!$F$5:$F$1504,"*",业务流水!$D$5:$D$1504,"销项开票",业务流水!$C$5:$C$1504,$A104,业务流水!$Z$5:$Z$1504,"是"))</f>
        <v/>
      </c>
      <c r="G104" s="42" t="str">
        <f aca="false">IF($A104="","",$E104-$F104)</f>
        <v/>
      </c>
      <c r="H104" s="41" t="str">
        <f aca="false">IF($A104="","",SUMIFS(业务流水!$W$5:$W$1504,业务流水!$E$5:$E$1504,"*",业务流水!$D$5:$D$1504,"销项开票",业务流水!$C$5:$C$1504,$A104,业务流水!$Z$5:$Z$1504,"是"))</f>
        <v/>
      </c>
      <c r="I104" s="41" t="str">
        <f aca="false">IF($A104="","",SUMIFS(业务流水!$H$5:$H$1504,业务流水!$E$5:$E$1504,"*",业务流水!$D$5:$D$1504,"已交税",业务流水!$C$5:$C$1504,$A104,业务流水!$Z$5:$Z$1504,"是"))</f>
        <v/>
      </c>
      <c r="J104" s="42" t="str">
        <f aca="false">IF($A104="","",$H104-$I104)</f>
        <v/>
      </c>
      <c r="K104" s="41" t="str">
        <f aca="false">IF($A104="","",SUMIFS(业务流水!$H$5:$H$1504,业务流水!$F$5:$F$1504,"*",业务流水!$D$5:$D$1504,"挂靠代收",业务流水!$C$5:$C$1504,$A104,业务流水!$Z$5:$Z$1504,"是"))</f>
        <v/>
      </c>
      <c r="L104" s="42" t="str">
        <f aca="false">IF($A104="","",$C104-$K104)</f>
        <v/>
      </c>
      <c r="M104" s="41" t="str">
        <f aca="false">IF($A104="","",SUMIFS(业务流水!$H$5:$H$1504,业务流水!$E$5:$E$1504,"*",业务流水!$D$5:$D$1504,"我方收款",业务流水!$C$5:$C$1504,$A104,业务流水!$Z$5:$Z$1504,"是"))</f>
        <v/>
      </c>
      <c r="N104" s="43" t="str">
        <f aca="false">IF($A104="","",$K104-$M104)</f>
        <v/>
      </c>
      <c r="O104" s="41" t="str">
        <f aca="false">IF($A104="","",SUMIFS(业务流水!$H$5:$H$1504,业务流水!$F$5:$F$1504,"*",业务流水!$D$5:$D$1504,"管理费结算",业务流水!$C$5:$C$1504,$A104,业务流水!$Z$5:$Z$1504,"是"))</f>
        <v/>
      </c>
      <c r="P104" s="41" t="str">
        <f aca="false">IF($A104="","",SUMIFS(业务流水!$H$5:$H$1504,业务流水!$E$5:$E$1504,"*",业务流水!$D$5:$D$1504,"扣质保金",业务流水!$C$5:$C$1504,$A104,业务流水!$Z$5:$Z$1504,"是"))</f>
        <v/>
      </c>
    </row>
    <row r="105" customFormat="false" ht="15.75" hidden="false" customHeight="true" outlineLevel="0" collapsed="false">
      <c r="A105" s="32" t="str">
        <f aca="false">IF(项目档案!$A105="","",项目档案!$A105)</f>
        <v/>
      </c>
      <c r="B105" s="40" t="str">
        <f aca="false">IF($A105="","",项目档案!$B105)</f>
        <v/>
      </c>
      <c r="C105" s="41" t="str">
        <f aca="false">IF($A105="","",SUMIFS(业务流水!$H$5:$H$1504,业务流水!$E$5:$E$1504,"*",业务流水!$D$5:$D$1504,"销项开票",业务流水!$C$5:$C$1504,$A105,业务流水!$Z$5:$Z$1504,"是"))</f>
        <v/>
      </c>
      <c r="D105" s="41" t="str">
        <f aca="false">IF($A105="","",SUMIFS(业务流水!$O$5:$O$1504,业务流水!$E$5:$E$1504,"*",业务流水!$D$5:$D$1504,"销项开票",业务流水!$C$5:$C$1504,$A105,业务流水!$Z$5:$Z$1504,"是"))</f>
        <v/>
      </c>
      <c r="E105" s="41" t="str">
        <f aca="false">IF($A105="","",SUMIFS(业务流水!$P$5:$P$1504,业务流水!$E$5:$E$1504,"*",业务流水!$D$5:$D$1504,"销项开票",业务流水!$C$5:$C$1504,$A105,业务流水!$Z$5:$Z$1504,"是"))</f>
        <v/>
      </c>
      <c r="F105" s="41" t="str">
        <f aca="false">IF($A105="","",SUMIFS(业务流水!$H$5:$H$1504,业务流水!$F$5:$F$1504,"*",业务流水!$D$5:$D$1504,"成本票",业务流水!$C$5:$C$1504,$A105,业务流水!$Z$5:$Z$1504,"是")+SUMIFS(业务流水!$H$5:$H$1504,业务流水!$F$5:$F$1504,"*",业务流水!$D$5:$D$1504,"销项开票",业务流水!$C$5:$C$1504,$A105,业务流水!$Z$5:$Z$1504,"是"))</f>
        <v/>
      </c>
      <c r="G105" s="42" t="str">
        <f aca="false">IF($A105="","",$E105-$F105)</f>
        <v/>
      </c>
      <c r="H105" s="41" t="str">
        <f aca="false">IF($A105="","",SUMIFS(业务流水!$W$5:$W$1504,业务流水!$E$5:$E$1504,"*",业务流水!$D$5:$D$1504,"销项开票",业务流水!$C$5:$C$1504,$A105,业务流水!$Z$5:$Z$1504,"是"))</f>
        <v/>
      </c>
      <c r="I105" s="41" t="str">
        <f aca="false">IF($A105="","",SUMIFS(业务流水!$H$5:$H$1504,业务流水!$E$5:$E$1504,"*",业务流水!$D$5:$D$1504,"已交税",业务流水!$C$5:$C$1504,$A105,业务流水!$Z$5:$Z$1504,"是"))</f>
        <v/>
      </c>
      <c r="J105" s="42" t="str">
        <f aca="false">IF($A105="","",$H105-$I105)</f>
        <v/>
      </c>
      <c r="K105" s="41" t="str">
        <f aca="false">IF($A105="","",SUMIFS(业务流水!$H$5:$H$1504,业务流水!$F$5:$F$1504,"*",业务流水!$D$5:$D$1504,"挂靠代收",业务流水!$C$5:$C$1504,$A105,业务流水!$Z$5:$Z$1504,"是"))</f>
        <v/>
      </c>
      <c r="L105" s="42" t="str">
        <f aca="false">IF($A105="","",$C105-$K105)</f>
        <v/>
      </c>
      <c r="M105" s="41" t="str">
        <f aca="false">IF($A105="","",SUMIFS(业务流水!$H$5:$H$1504,业务流水!$E$5:$E$1504,"*",业务流水!$D$5:$D$1504,"我方收款",业务流水!$C$5:$C$1504,$A105,业务流水!$Z$5:$Z$1504,"是"))</f>
        <v/>
      </c>
      <c r="N105" s="43" t="str">
        <f aca="false">IF($A105="","",$K105-$M105)</f>
        <v/>
      </c>
      <c r="O105" s="41" t="str">
        <f aca="false">IF($A105="","",SUMIFS(业务流水!$H$5:$H$1504,业务流水!$F$5:$F$1504,"*",业务流水!$D$5:$D$1504,"管理费结算",业务流水!$C$5:$C$1504,$A105,业务流水!$Z$5:$Z$1504,"是"))</f>
        <v/>
      </c>
      <c r="P105" s="41" t="str">
        <f aca="false">IF($A105="","",SUMIFS(业务流水!$H$5:$H$1504,业务流水!$E$5:$E$1504,"*",业务流水!$D$5:$D$1504,"扣质保金",业务流水!$C$5:$C$1504,$A105,业务流水!$Z$5:$Z$1504,"是"))</f>
        <v/>
      </c>
    </row>
    <row r="106" customFormat="false" ht="15.75" hidden="false" customHeight="true" outlineLevel="0" collapsed="false">
      <c r="A106" s="32" t="str">
        <f aca="false">IF(项目档案!$A106="","",项目档案!$A106)</f>
        <v/>
      </c>
      <c r="B106" s="40" t="str">
        <f aca="false">IF($A106="","",项目档案!$B106)</f>
        <v/>
      </c>
      <c r="C106" s="41" t="str">
        <f aca="false">IF($A106="","",SUMIFS(业务流水!$H$5:$H$1504,业务流水!$E$5:$E$1504,"*",业务流水!$D$5:$D$1504,"销项开票",业务流水!$C$5:$C$1504,$A106,业务流水!$Z$5:$Z$1504,"是"))</f>
        <v/>
      </c>
      <c r="D106" s="41" t="str">
        <f aca="false">IF($A106="","",SUMIFS(业务流水!$O$5:$O$1504,业务流水!$E$5:$E$1504,"*",业务流水!$D$5:$D$1504,"销项开票",业务流水!$C$5:$C$1504,$A106,业务流水!$Z$5:$Z$1504,"是"))</f>
        <v/>
      </c>
      <c r="E106" s="41" t="str">
        <f aca="false">IF($A106="","",SUMIFS(业务流水!$P$5:$P$1504,业务流水!$E$5:$E$1504,"*",业务流水!$D$5:$D$1504,"销项开票",业务流水!$C$5:$C$1504,$A106,业务流水!$Z$5:$Z$1504,"是"))</f>
        <v/>
      </c>
      <c r="F106" s="41" t="str">
        <f aca="false">IF($A106="","",SUMIFS(业务流水!$H$5:$H$1504,业务流水!$F$5:$F$1504,"*",业务流水!$D$5:$D$1504,"成本票",业务流水!$C$5:$C$1504,$A106,业务流水!$Z$5:$Z$1504,"是")+SUMIFS(业务流水!$H$5:$H$1504,业务流水!$F$5:$F$1504,"*",业务流水!$D$5:$D$1504,"销项开票",业务流水!$C$5:$C$1504,$A106,业务流水!$Z$5:$Z$1504,"是"))</f>
        <v/>
      </c>
      <c r="G106" s="42" t="str">
        <f aca="false">IF($A106="","",$E106-$F106)</f>
        <v/>
      </c>
      <c r="H106" s="41" t="str">
        <f aca="false">IF($A106="","",SUMIFS(业务流水!$W$5:$W$1504,业务流水!$E$5:$E$1504,"*",业务流水!$D$5:$D$1504,"销项开票",业务流水!$C$5:$C$1504,$A106,业务流水!$Z$5:$Z$1504,"是"))</f>
        <v/>
      </c>
      <c r="I106" s="41" t="str">
        <f aca="false">IF($A106="","",SUMIFS(业务流水!$H$5:$H$1504,业务流水!$E$5:$E$1504,"*",业务流水!$D$5:$D$1504,"已交税",业务流水!$C$5:$C$1504,$A106,业务流水!$Z$5:$Z$1504,"是"))</f>
        <v/>
      </c>
      <c r="J106" s="42" t="str">
        <f aca="false">IF($A106="","",$H106-$I106)</f>
        <v/>
      </c>
      <c r="K106" s="41" t="str">
        <f aca="false">IF($A106="","",SUMIFS(业务流水!$H$5:$H$1504,业务流水!$F$5:$F$1504,"*",业务流水!$D$5:$D$1504,"挂靠代收",业务流水!$C$5:$C$1504,$A106,业务流水!$Z$5:$Z$1504,"是"))</f>
        <v/>
      </c>
      <c r="L106" s="42" t="str">
        <f aca="false">IF($A106="","",$C106-$K106)</f>
        <v/>
      </c>
      <c r="M106" s="41" t="str">
        <f aca="false">IF($A106="","",SUMIFS(业务流水!$H$5:$H$1504,业务流水!$E$5:$E$1504,"*",业务流水!$D$5:$D$1504,"我方收款",业务流水!$C$5:$C$1504,$A106,业务流水!$Z$5:$Z$1504,"是"))</f>
        <v/>
      </c>
      <c r="N106" s="43" t="str">
        <f aca="false">IF($A106="","",$K106-$M106)</f>
        <v/>
      </c>
      <c r="O106" s="41" t="str">
        <f aca="false">IF($A106="","",SUMIFS(业务流水!$H$5:$H$1504,业务流水!$F$5:$F$1504,"*",业务流水!$D$5:$D$1504,"管理费结算",业务流水!$C$5:$C$1504,$A106,业务流水!$Z$5:$Z$1504,"是"))</f>
        <v/>
      </c>
      <c r="P106" s="41" t="str">
        <f aca="false">IF($A106="","",SUMIFS(业务流水!$H$5:$H$1504,业务流水!$E$5:$E$1504,"*",业务流水!$D$5:$D$1504,"扣质保金",业务流水!$C$5:$C$1504,$A106,业务流水!$Z$5:$Z$1504,"是"))</f>
        <v/>
      </c>
    </row>
    <row r="107" customFormat="false" ht="15.75" hidden="false" customHeight="true" outlineLevel="0" collapsed="false">
      <c r="A107" s="32" t="str">
        <f aca="false">IF(项目档案!$A107="","",项目档案!$A107)</f>
        <v/>
      </c>
      <c r="B107" s="40" t="str">
        <f aca="false">IF($A107="","",项目档案!$B107)</f>
        <v/>
      </c>
      <c r="C107" s="41" t="str">
        <f aca="false">IF($A107="","",SUMIFS(业务流水!$H$5:$H$1504,业务流水!$E$5:$E$1504,"*",业务流水!$D$5:$D$1504,"销项开票",业务流水!$C$5:$C$1504,$A107,业务流水!$Z$5:$Z$1504,"是"))</f>
        <v/>
      </c>
      <c r="D107" s="41" t="str">
        <f aca="false">IF($A107="","",SUMIFS(业务流水!$O$5:$O$1504,业务流水!$E$5:$E$1504,"*",业务流水!$D$5:$D$1504,"销项开票",业务流水!$C$5:$C$1504,$A107,业务流水!$Z$5:$Z$1504,"是"))</f>
        <v/>
      </c>
      <c r="E107" s="41" t="str">
        <f aca="false">IF($A107="","",SUMIFS(业务流水!$P$5:$P$1504,业务流水!$E$5:$E$1504,"*",业务流水!$D$5:$D$1504,"销项开票",业务流水!$C$5:$C$1504,$A107,业务流水!$Z$5:$Z$1504,"是"))</f>
        <v/>
      </c>
      <c r="F107" s="41" t="str">
        <f aca="false">IF($A107="","",SUMIFS(业务流水!$H$5:$H$1504,业务流水!$F$5:$F$1504,"*",业务流水!$D$5:$D$1504,"成本票",业务流水!$C$5:$C$1504,$A107,业务流水!$Z$5:$Z$1504,"是")+SUMIFS(业务流水!$H$5:$H$1504,业务流水!$F$5:$F$1504,"*",业务流水!$D$5:$D$1504,"销项开票",业务流水!$C$5:$C$1504,$A107,业务流水!$Z$5:$Z$1504,"是"))</f>
        <v/>
      </c>
      <c r="G107" s="42" t="str">
        <f aca="false">IF($A107="","",$E107-$F107)</f>
        <v/>
      </c>
      <c r="H107" s="41" t="str">
        <f aca="false">IF($A107="","",SUMIFS(业务流水!$W$5:$W$1504,业务流水!$E$5:$E$1504,"*",业务流水!$D$5:$D$1504,"销项开票",业务流水!$C$5:$C$1504,$A107,业务流水!$Z$5:$Z$1504,"是"))</f>
        <v/>
      </c>
      <c r="I107" s="41" t="str">
        <f aca="false">IF($A107="","",SUMIFS(业务流水!$H$5:$H$1504,业务流水!$E$5:$E$1504,"*",业务流水!$D$5:$D$1504,"已交税",业务流水!$C$5:$C$1504,$A107,业务流水!$Z$5:$Z$1504,"是"))</f>
        <v/>
      </c>
      <c r="J107" s="42" t="str">
        <f aca="false">IF($A107="","",$H107-$I107)</f>
        <v/>
      </c>
      <c r="K107" s="41" t="str">
        <f aca="false">IF($A107="","",SUMIFS(业务流水!$H$5:$H$1504,业务流水!$F$5:$F$1504,"*",业务流水!$D$5:$D$1504,"挂靠代收",业务流水!$C$5:$C$1504,$A107,业务流水!$Z$5:$Z$1504,"是"))</f>
        <v/>
      </c>
      <c r="L107" s="42" t="str">
        <f aca="false">IF($A107="","",$C107-$K107)</f>
        <v/>
      </c>
      <c r="M107" s="41" t="str">
        <f aca="false">IF($A107="","",SUMIFS(业务流水!$H$5:$H$1504,业务流水!$E$5:$E$1504,"*",业务流水!$D$5:$D$1504,"我方收款",业务流水!$C$5:$C$1504,$A107,业务流水!$Z$5:$Z$1504,"是"))</f>
        <v/>
      </c>
      <c r="N107" s="43" t="str">
        <f aca="false">IF($A107="","",$K107-$M107)</f>
        <v/>
      </c>
      <c r="O107" s="41" t="str">
        <f aca="false">IF($A107="","",SUMIFS(业务流水!$H$5:$H$1504,业务流水!$F$5:$F$1504,"*",业务流水!$D$5:$D$1504,"管理费结算",业务流水!$C$5:$C$1504,$A107,业务流水!$Z$5:$Z$1504,"是"))</f>
        <v/>
      </c>
      <c r="P107" s="41" t="str">
        <f aca="false">IF($A107="","",SUMIFS(业务流水!$H$5:$H$1504,业务流水!$E$5:$E$1504,"*",业务流水!$D$5:$D$1504,"扣质保金",业务流水!$C$5:$C$1504,$A107,业务流水!$Z$5:$Z$1504,"是"))</f>
        <v/>
      </c>
    </row>
    <row r="108" customFormat="false" ht="15.75" hidden="false" customHeight="true" outlineLevel="0" collapsed="false">
      <c r="A108" s="32" t="str">
        <f aca="false">IF(项目档案!$A108="","",项目档案!$A108)</f>
        <v/>
      </c>
      <c r="B108" s="40" t="str">
        <f aca="false">IF($A108="","",项目档案!$B108)</f>
        <v/>
      </c>
      <c r="C108" s="41" t="str">
        <f aca="false">IF($A108="","",SUMIFS(业务流水!$H$5:$H$1504,业务流水!$E$5:$E$1504,"*",业务流水!$D$5:$D$1504,"销项开票",业务流水!$C$5:$C$1504,$A108,业务流水!$Z$5:$Z$1504,"是"))</f>
        <v/>
      </c>
      <c r="D108" s="41" t="str">
        <f aca="false">IF($A108="","",SUMIFS(业务流水!$O$5:$O$1504,业务流水!$E$5:$E$1504,"*",业务流水!$D$5:$D$1504,"销项开票",业务流水!$C$5:$C$1504,$A108,业务流水!$Z$5:$Z$1504,"是"))</f>
        <v/>
      </c>
      <c r="E108" s="41" t="str">
        <f aca="false">IF($A108="","",SUMIFS(业务流水!$P$5:$P$1504,业务流水!$E$5:$E$1504,"*",业务流水!$D$5:$D$1504,"销项开票",业务流水!$C$5:$C$1504,$A108,业务流水!$Z$5:$Z$1504,"是"))</f>
        <v/>
      </c>
      <c r="F108" s="41" t="str">
        <f aca="false">IF($A108="","",SUMIFS(业务流水!$H$5:$H$1504,业务流水!$F$5:$F$1504,"*",业务流水!$D$5:$D$1504,"成本票",业务流水!$C$5:$C$1504,$A108,业务流水!$Z$5:$Z$1504,"是")+SUMIFS(业务流水!$H$5:$H$1504,业务流水!$F$5:$F$1504,"*",业务流水!$D$5:$D$1504,"销项开票",业务流水!$C$5:$C$1504,$A108,业务流水!$Z$5:$Z$1504,"是"))</f>
        <v/>
      </c>
      <c r="G108" s="42" t="str">
        <f aca="false">IF($A108="","",$E108-$F108)</f>
        <v/>
      </c>
      <c r="H108" s="41" t="str">
        <f aca="false">IF($A108="","",SUMIFS(业务流水!$W$5:$W$1504,业务流水!$E$5:$E$1504,"*",业务流水!$D$5:$D$1504,"销项开票",业务流水!$C$5:$C$1504,$A108,业务流水!$Z$5:$Z$1504,"是"))</f>
        <v/>
      </c>
      <c r="I108" s="41" t="str">
        <f aca="false">IF($A108="","",SUMIFS(业务流水!$H$5:$H$1504,业务流水!$E$5:$E$1504,"*",业务流水!$D$5:$D$1504,"已交税",业务流水!$C$5:$C$1504,$A108,业务流水!$Z$5:$Z$1504,"是"))</f>
        <v/>
      </c>
      <c r="J108" s="42" t="str">
        <f aca="false">IF($A108="","",$H108-$I108)</f>
        <v/>
      </c>
      <c r="K108" s="41" t="str">
        <f aca="false">IF($A108="","",SUMIFS(业务流水!$H$5:$H$1504,业务流水!$F$5:$F$1504,"*",业务流水!$D$5:$D$1504,"挂靠代收",业务流水!$C$5:$C$1504,$A108,业务流水!$Z$5:$Z$1504,"是"))</f>
        <v/>
      </c>
      <c r="L108" s="42" t="str">
        <f aca="false">IF($A108="","",$C108-$K108)</f>
        <v/>
      </c>
      <c r="M108" s="41" t="str">
        <f aca="false">IF($A108="","",SUMIFS(业务流水!$H$5:$H$1504,业务流水!$E$5:$E$1504,"*",业务流水!$D$5:$D$1504,"我方收款",业务流水!$C$5:$C$1504,$A108,业务流水!$Z$5:$Z$1504,"是"))</f>
        <v/>
      </c>
      <c r="N108" s="43" t="str">
        <f aca="false">IF($A108="","",$K108-$M108)</f>
        <v/>
      </c>
      <c r="O108" s="41" t="str">
        <f aca="false">IF($A108="","",SUMIFS(业务流水!$H$5:$H$1504,业务流水!$F$5:$F$1504,"*",业务流水!$D$5:$D$1504,"管理费结算",业务流水!$C$5:$C$1504,$A108,业务流水!$Z$5:$Z$1504,"是"))</f>
        <v/>
      </c>
      <c r="P108" s="41" t="str">
        <f aca="false">IF($A108="","",SUMIFS(业务流水!$H$5:$H$1504,业务流水!$E$5:$E$1504,"*",业务流水!$D$5:$D$1504,"扣质保金",业务流水!$C$5:$C$1504,$A108,业务流水!$Z$5:$Z$1504,"是"))</f>
        <v/>
      </c>
    </row>
    <row r="109" customFormat="false" ht="15.75" hidden="false" customHeight="true" outlineLevel="0" collapsed="false">
      <c r="A109" s="32" t="str">
        <f aca="false">IF(项目档案!$A109="","",项目档案!$A109)</f>
        <v/>
      </c>
      <c r="B109" s="40" t="str">
        <f aca="false">IF($A109="","",项目档案!$B109)</f>
        <v/>
      </c>
      <c r="C109" s="41" t="str">
        <f aca="false">IF($A109="","",SUMIFS(业务流水!$H$5:$H$1504,业务流水!$E$5:$E$1504,"*",业务流水!$D$5:$D$1504,"销项开票",业务流水!$C$5:$C$1504,$A109,业务流水!$Z$5:$Z$1504,"是"))</f>
        <v/>
      </c>
      <c r="D109" s="41" t="str">
        <f aca="false">IF($A109="","",SUMIFS(业务流水!$O$5:$O$1504,业务流水!$E$5:$E$1504,"*",业务流水!$D$5:$D$1504,"销项开票",业务流水!$C$5:$C$1504,$A109,业务流水!$Z$5:$Z$1504,"是"))</f>
        <v/>
      </c>
      <c r="E109" s="41" t="str">
        <f aca="false">IF($A109="","",SUMIFS(业务流水!$P$5:$P$1504,业务流水!$E$5:$E$1504,"*",业务流水!$D$5:$D$1504,"销项开票",业务流水!$C$5:$C$1504,$A109,业务流水!$Z$5:$Z$1504,"是"))</f>
        <v/>
      </c>
      <c r="F109" s="41" t="str">
        <f aca="false">IF($A109="","",SUMIFS(业务流水!$H$5:$H$1504,业务流水!$F$5:$F$1504,"*",业务流水!$D$5:$D$1504,"成本票",业务流水!$C$5:$C$1504,$A109,业务流水!$Z$5:$Z$1504,"是")+SUMIFS(业务流水!$H$5:$H$1504,业务流水!$F$5:$F$1504,"*",业务流水!$D$5:$D$1504,"销项开票",业务流水!$C$5:$C$1504,$A109,业务流水!$Z$5:$Z$1504,"是"))</f>
        <v/>
      </c>
      <c r="G109" s="42" t="str">
        <f aca="false">IF($A109="","",$E109-$F109)</f>
        <v/>
      </c>
      <c r="H109" s="41" t="str">
        <f aca="false">IF($A109="","",SUMIFS(业务流水!$W$5:$W$1504,业务流水!$E$5:$E$1504,"*",业务流水!$D$5:$D$1504,"销项开票",业务流水!$C$5:$C$1504,$A109,业务流水!$Z$5:$Z$1504,"是"))</f>
        <v/>
      </c>
      <c r="I109" s="41" t="str">
        <f aca="false">IF($A109="","",SUMIFS(业务流水!$H$5:$H$1504,业务流水!$E$5:$E$1504,"*",业务流水!$D$5:$D$1504,"已交税",业务流水!$C$5:$C$1504,$A109,业务流水!$Z$5:$Z$1504,"是"))</f>
        <v/>
      </c>
      <c r="J109" s="42" t="str">
        <f aca="false">IF($A109="","",$H109-$I109)</f>
        <v/>
      </c>
      <c r="K109" s="41" t="str">
        <f aca="false">IF($A109="","",SUMIFS(业务流水!$H$5:$H$1504,业务流水!$F$5:$F$1504,"*",业务流水!$D$5:$D$1504,"挂靠代收",业务流水!$C$5:$C$1504,$A109,业务流水!$Z$5:$Z$1504,"是"))</f>
        <v/>
      </c>
      <c r="L109" s="42" t="str">
        <f aca="false">IF($A109="","",$C109-$K109)</f>
        <v/>
      </c>
      <c r="M109" s="41" t="str">
        <f aca="false">IF($A109="","",SUMIFS(业务流水!$H$5:$H$1504,业务流水!$E$5:$E$1504,"*",业务流水!$D$5:$D$1504,"我方收款",业务流水!$C$5:$C$1504,$A109,业务流水!$Z$5:$Z$1504,"是"))</f>
        <v/>
      </c>
      <c r="N109" s="43" t="str">
        <f aca="false">IF($A109="","",$K109-$M109)</f>
        <v/>
      </c>
      <c r="O109" s="41" t="str">
        <f aca="false">IF($A109="","",SUMIFS(业务流水!$H$5:$H$1504,业务流水!$F$5:$F$1504,"*",业务流水!$D$5:$D$1504,"管理费结算",业务流水!$C$5:$C$1504,$A109,业务流水!$Z$5:$Z$1504,"是"))</f>
        <v/>
      </c>
      <c r="P109" s="41" t="str">
        <f aca="false">IF($A109="","",SUMIFS(业务流水!$H$5:$H$1504,业务流水!$E$5:$E$1504,"*",业务流水!$D$5:$D$1504,"扣质保金",业务流水!$C$5:$C$1504,$A109,业务流水!$Z$5:$Z$1504,"是"))</f>
        <v/>
      </c>
    </row>
    <row r="110" customFormat="false" ht="15.75" hidden="false" customHeight="true" outlineLevel="0" collapsed="false">
      <c r="A110" s="32" t="str">
        <f aca="false">IF(项目档案!$A110="","",项目档案!$A110)</f>
        <v/>
      </c>
      <c r="B110" s="40" t="str">
        <f aca="false">IF($A110="","",项目档案!$B110)</f>
        <v/>
      </c>
      <c r="C110" s="41" t="str">
        <f aca="false">IF($A110="","",SUMIFS(业务流水!$H$5:$H$1504,业务流水!$E$5:$E$1504,"*",业务流水!$D$5:$D$1504,"销项开票",业务流水!$C$5:$C$1504,$A110,业务流水!$Z$5:$Z$1504,"是"))</f>
        <v/>
      </c>
      <c r="D110" s="41" t="str">
        <f aca="false">IF($A110="","",SUMIFS(业务流水!$O$5:$O$1504,业务流水!$E$5:$E$1504,"*",业务流水!$D$5:$D$1504,"销项开票",业务流水!$C$5:$C$1504,$A110,业务流水!$Z$5:$Z$1504,"是"))</f>
        <v/>
      </c>
      <c r="E110" s="41" t="str">
        <f aca="false">IF($A110="","",SUMIFS(业务流水!$P$5:$P$1504,业务流水!$E$5:$E$1504,"*",业务流水!$D$5:$D$1504,"销项开票",业务流水!$C$5:$C$1504,$A110,业务流水!$Z$5:$Z$1504,"是"))</f>
        <v/>
      </c>
      <c r="F110" s="41" t="str">
        <f aca="false">IF($A110="","",SUMIFS(业务流水!$H$5:$H$1504,业务流水!$F$5:$F$1504,"*",业务流水!$D$5:$D$1504,"成本票",业务流水!$C$5:$C$1504,$A110,业务流水!$Z$5:$Z$1504,"是")+SUMIFS(业务流水!$H$5:$H$1504,业务流水!$F$5:$F$1504,"*",业务流水!$D$5:$D$1504,"销项开票",业务流水!$C$5:$C$1504,$A110,业务流水!$Z$5:$Z$1504,"是"))</f>
        <v/>
      </c>
      <c r="G110" s="42" t="str">
        <f aca="false">IF($A110="","",$E110-$F110)</f>
        <v/>
      </c>
      <c r="H110" s="41" t="str">
        <f aca="false">IF($A110="","",SUMIFS(业务流水!$W$5:$W$1504,业务流水!$E$5:$E$1504,"*",业务流水!$D$5:$D$1504,"销项开票",业务流水!$C$5:$C$1504,$A110,业务流水!$Z$5:$Z$1504,"是"))</f>
        <v/>
      </c>
      <c r="I110" s="41" t="str">
        <f aca="false">IF($A110="","",SUMIFS(业务流水!$H$5:$H$1504,业务流水!$E$5:$E$1504,"*",业务流水!$D$5:$D$1504,"已交税",业务流水!$C$5:$C$1504,$A110,业务流水!$Z$5:$Z$1504,"是"))</f>
        <v/>
      </c>
      <c r="J110" s="42" t="str">
        <f aca="false">IF($A110="","",$H110-$I110)</f>
        <v/>
      </c>
      <c r="K110" s="41" t="str">
        <f aca="false">IF($A110="","",SUMIFS(业务流水!$H$5:$H$1504,业务流水!$F$5:$F$1504,"*",业务流水!$D$5:$D$1504,"挂靠代收",业务流水!$C$5:$C$1504,$A110,业务流水!$Z$5:$Z$1504,"是"))</f>
        <v/>
      </c>
      <c r="L110" s="42" t="str">
        <f aca="false">IF($A110="","",$C110-$K110)</f>
        <v/>
      </c>
      <c r="M110" s="41" t="str">
        <f aca="false">IF($A110="","",SUMIFS(业务流水!$H$5:$H$1504,业务流水!$E$5:$E$1504,"*",业务流水!$D$5:$D$1504,"我方收款",业务流水!$C$5:$C$1504,$A110,业务流水!$Z$5:$Z$1504,"是"))</f>
        <v/>
      </c>
      <c r="N110" s="43" t="str">
        <f aca="false">IF($A110="","",$K110-$M110)</f>
        <v/>
      </c>
      <c r="O110" s="41" t="str">
        <f aca="false">IF($A110="","",SUMIFS(业务流水!$H$5:$H$1504,业务流水!$F$5:$F$1504,"*",业务流水!$D$5:$D$1504,"管理费结算",业务流水!$C$5:$C$1504,$A110,业务流水!$Z$5:$Z$1504,"是"))</f>
        <v/>
      </c>
      <c r="P110" s="41" t="str">
        <f aca="false">IF($A110="","",SUMIFS(业务流水!$H$5:$H$1504,业务流水!$E$5:$E$1504,"*",业务流水!$D$5:$D$1504,"扣质保金",业务流水!$C$5:$C$1504,$A110,业务流水!$Z$5:$Z$1504,"是"))</f>
        <v/>
      </c>
    </row>
    <row r="111" customFormat="false" ht="15.75" hidden="false" customHeight="true" outlineLevel="0" collapsed="false">
      <c r="A111" s="32" t="str">
        <f aca="false">IF(项目档案!$A111="","",项目档案!$A111)</f>
        <v/>
      </c>
      <c r="B111" s="40" t="str">
        <f aca="false">IF($A111="","",项目档案!$B111)</f>
        <v/>
      </c>
      <c r="C111" s="41" t="str">
        <f aca="false">IF($A111="","",SUMIFS(业务流水!$H$5:$H$1504,业务流水!$E$5:$E$1504,"*",业务流水!$D$5:$D$1504,"销项开票",业务流水!$C$5:$C$1504,$A111,业务流水!$Z$5:$Z$1504,"是"))</f>
        <v/>
      </c>
      <c r="D111" s="41" t="str">
        <f aca="false">IF($A111="","",SUMIFS(业务流水!$O$5:$O$1504,业务流水!$E$5:$E$1504,"*",业务流水!$D$5:$D$1504,"销项开票",业务流水!$C$5:$C$1504,$A111,业务流水!$Z$5:$Z$1504,"是"))</f>
        <v/>
      </c>
      <c r="E111" s="41" t="str">
        <f aca="false">IF($A111="","",SUMIFS(业务流水!$P$5:$P$1504,业务流水!$E$5:$E$1504,"*",业务流水!$D$5:$D$1504,"销项开票",业务流水!$C$5:$C$1504,$A111,业务流水!$Z$5:$Z$1504,"是"))</f>
        <v/>
      </c>
      <c r="F111" s="41" t="str">
        <f aca="false">IF($A111="","",SUMIFS(业务流水!$H$5:$H$1504,业务流水!$F$5:$F$1504,"*",业务流水!$D$5:$D$1504,"成本票",业务流水!$C$5:$C$1504,$A111,业务流水!$Z$5:$Z$1504,"是")+SUMIFS(业务流水!$H$5:$H$1504,业务流水!$F$5:$F$1504,"*",业务流水!$D$5:$D$1504,"销项开票",业务流水!$C$5:$C$1504,$A111,业务流水!$Z$5:$Z$1504,"是"))</f>
        <v/>
      </c>
      <c r="G111" s="42" t="str">
        <f aca="false">IF($A111="","",$E111-$F111)</f>
        <v/>
      </c>
      <c r="H111" s="41" t="str">
        <f aca="false">IF($A111="","",SUMIFS(业务流水!$W$5:$W$1504,业务流水!$E$5:$E$1504,"*",业务流水!$D$5:$D$1504,"销项开票",业务流水!$C$5:$C$1504,$A111,业务流水!$Z$5:$Z$1504,"是"))</f>
        <v/>
      </c>
      <c r="I111" s="41" t="str">
        <f aca="false">IF($A111="","",SUMIFS(业务流水!$H$5:$H$1504,业务流水!$E$5:$E$1504,"*",业务流水!$D$5:$D$1504,"已交税",业务流水!$C$5:$C$1504,$A111,业务流水!$Z$5:$Z$1504,"是"))</f>
        <v/>
      </c>
      <c r="J111" s="42" t="str">
        <f aca="false">IF($A111="","",$H111-$I111)</f>
        <v/>
      </c>
      <c r="K111" s="41" t="str">
        <f aca="false">IF($A111="","",SUMIFS(业务流水!$H$5:$H$1504,业务流水!$F$5:$F$1504,"*",业务流水!$D$5:$D$1504,"挂靠代收",业务流水!$C$5:$C$1504,$A111,业务流水!$Z$5:$Z$1504,"是"))</f>
        <v/>
      </c>
      <c r="L111" s="42" t="str">
        <f aca="false">IF($A111="","",$C111-$K111)</f>
        <v/>
      </c>
      <c r="M111" s="41" t="str">
        <f aca="false">IF($A111="","",SUMIFS(业务流水!$H$5:$H$1504,业务流水!$E$5:$E$1504,"*",业务流水!$D$5:$D$1504,"我方收款",业务流水!$C$5:$C$1504,$A111,业务流水!$Z$5:$Z$1504,"是"))</f>
        <v/>
      </c>
      <c r="N111" s="43" t="str">
        <f aca="false">IF($A111="","",$K111-$M111)</f>
        <v/>
      </c>
      <c r="O111" s="41" t="str">
        <f aca="false">IF($A111="","",SUMIFS(业务流水!$H$5:$H$1504,业务流水!$F$5:$F$1504,"*",业务流水!$D$5:$D$1504,"管理费结算",业务流水!$C$5:$C$1504,$A111,业务流水!$Z$5:$Z$1504,"是"))</f>
        <v/>
      </c>
      <c r="P111" s="41" t="str">
        <f aca="false">IF($A111="","",SUMIFS(业务流水!$H$5:$H$1504,业务流水!$E$5:$E$1504,"*",业务流水!$D$5:$D$1504,"扣质保金",业务流水!$C$5:$C$1504,$A111,业务流水!$Z$5:$Z$1504,"是"))</f>
        <v/>
      </c>
    </row>
    <row r="112" customFormat="false" ht="15.75" hidden="false" customHeight="true" outlineLevel="0" collapsed="false">
      <c r="A112" s="32" t="str">
        <f aca="false">IF(项目档案!$A112="","",项目档案!$A112)</f>
        <v/>
      </c>
      <c r="B112" s="40" t="str">
        <f aca="false">IF($A112="","",项目档案!$B112)</f>
        <v/>
      </c>
      <c r="C112" s="41" t="str">
        <f aca="false">IF($A112="","",SUMIFS(业务流水!$H$5:$H$1504,业务流水!$E$5:$E$1504,"*",业务流水!$D$5:$D$1504,"销项开票",业务流水!$C$5:$C$1504,$A112,业务流水!$Z$5:$Z$1504,"是"))</f>
        <v/>
      </c>
      <c r="D112" s="41" t="str">
        <f aca="false">IF($A112="","",SUMIFS(业务流水!$O$5:$O$1504,业务流水!$E$5:$E$1504,"*",业务流水!$D$5:$D$1504,"销项开票",业务流水!$C$5:$C$1504,$A112,业务流水!$Z$5:$Z$1504,"是"))</f>
        <v/>
      </c>
      <c r="E112" s="41" t="str">
        <f aca="false">IF($A112="","",SUMIFS(业务流水!$P$5:$P$1504,业务流水!$E$5:$E$1504,"*",业务流水!$D$5:$D$1504,"销项开票",业务流水!$C$5:$C$1504,$A112,业务流水!$Z$5:$Z$1504,"是"))</f>
        <v/>
      </c>
      <c r="F112" s="41" t="str">
        <f aca="false">IF($A112="","",SUMIFS(业务流水!$H$5:$H$1504,业务流水!$F$5:$F$1504,"*",业务流水!$D$5:$D$1504,"成本票",业务流水!$C$5:$C$1504,$A112,业务流水!$Z$5:$Z$1504,"是")+SUMIFS(业务流水!$H$5:$H$1504,业务流水!$F$5:$F$1504,"*",业务流水!$D$5:$D$1504,"销项开票",业务流水!$C$5:$C$1504,$A112,业务流水!$Z$5:$Z$1504,"是"))</f>
        <v/>
      </c>
      <c r="G112" s="42" t="str">
        <f aca="false">IF($A112="","",$E112-$F112)</f>
        <v/>
      </c>
      <c r="H112" s="41" t="str">
        <f aca="false">IF($A112="","",SUMIFS(业务流水!$W$5:$W$1504,业务流水!$E$5:$E$1504,"*",业务流水!$D$5:$D$1504,"销项开票",业务流水!$C$5:$C$1504,$A112,业务流水!$Z$5:$Z$1504,"是"))</f>
        <v/>
      </c>
      <c r="I112" s="41" t="str">
        <f aca="false">IF($A112="","",SUMIFS(业务流水!$H$5:$H$1504,业务流水!$E$5:$E$1504,"*",业务流水!$D$5:$D$1504,"已交税",业务流水!$C$5:$C$1504,$A112,业务流水!$Z$5:$Z$1504,"是"))</f>
        <v/>
      </c>
      <c r="J112" s="42" t="str">
        <f aca="false">IF($A112="","",$H112-$I112)</f>
        <v/>
      </c>
      <c r="K112" s="41" t="str">
        <f aca="false">IF($A112="","",SUMIFS(业务流水!$H$5:$H$1504,业务流水!$F$5:$F$1504,"*",业务流水!$D$5:$D$1504,"挂靠代收",业务流水!$C$5:$C$1504,$A112,业务流水!$Z$5:$Z$1504,"是"))</f>
        <v/>
      </c>
      <c r="L112" s="42" t="str">
        <f aca="false">IF($A112="","",$C112-$K112)</f>
        <v/>
      </c>
      <c r="M112" s="41" t="str">
        <f aca="false">IF($A112="","",SUMIFS(业务流水!$H$5:$H$1504,业务流水!$E$5:$E$1504,"*",业务流水!$D$5:$D$1504,"我方收款",业务流水!$C$5:$C$1504,$A112,业务流水!$Z$5:$Z$1504,"是"))</f>
        <v/>
      </c>
      <c r="N112" s="43" t="str">
        <f aca="false">IF($A112="","",$K112-$M112)</f>
        <v/>
      </c>
      <c r="O112" s="41" t="str">
        <f aca="false">IF($A112="","",SUMIFS(业务流水!$H$5:$H$1504,业务流水!$F$5:$F$1504,"*",业务流水!$D$5:$D$1504,"管理费结算",业务流水!$C$5:$C$1504,$A112,业务流水!$Z$5:$Z$1504,"是"))</f>
        <v/>
      </c>
      <c r="P112" s="41" t="str">
        <f aca="false">IF($A112="","",SUMIFS(业务流水!$H$5:$H$1504,业务流水!$E$5:$E$1504,"*",业务流水!$D$5:$D$1504,"扣质保金",业务流水!$C$5:$C$1504,$A112,业务流水!$Z$5:$Z$1504,"是"))</f>
        <v/>
      </c>
    </row>
    <row r="113" customFormat="false" ht="15.75" hidden="false" customHeight="true" outlineLevel="0" collapsed="false">
      <c r="A113" s="32" t="str">
        <f aca="false">IF(项目档案!$A113="","",项目档案!$A113)</f>
        <v/>
      </c>
      <c r="B113" s="40" t="str">
        <f aca="false">IF($A113="","",项目档案!$B113)</f>
        <v/>
      </c>
      <c r="C113" s="41" t="str">
        <f aca="false">IF($A113="","",SUMIFS(业务流水!$H$5:$H$1504,业务流水!$E$5:$E$1504,"*",业务流水!$D$5:$D$1504,"销项开票",业务流水!$C$5:$C$1504,$A113,业务流水!$Z$5:$Z$1504,"是"))</f>
        <v/>
      </c>
      <c r="D113" s="41" t="str">
        <f aca="false">IF($A113="","",SUMIFS(业务流水!$O$5:$O$1504,业务流水!$E$5:$E$1504,"*",业务流水!$D$5:$D$1504,"销项开票",业务流水!$C$5:$C$1504,$A113,业务流水!$Z$5:$Z$1504,"是"))</f>
        <v/>
      </c>
      <c r="E113" s="41" t="str">
        <f aca="false">IF($A113="","",SUMIFS(业务流水!$P$5:$P$1504,业务流水!$E$5:$E$1504,"*",业务流水!$D$5:$D$1504,"销项开票",业务流水!$C$5:$C$1504,$A113,业务流水!$Z$5:$Z$1504,"是"))</f>
        <v/>
      </c>
      <c r="F113" s="41" t="str">
        <f aca="false">IF($A113="","",SUMIFS(业务流水!$H$5:$H$1504,业务流水!$F$5:$F$1504,"*",业务流水!$D$5:$D$1504,"成本票",业务流水!$C$5:$C$1504,$A113,业务流水!$Z$5:$Z$1504,"是")+SUMIFS(业务流水!$H$5:$H$1504,业务流水!$F$5:$F$1504,"*",业务流水!$D$5:$D$1504,"销项开票",业务流水!$C$5:$C$1504,$A113,业务流水!$Z$5:$Z$1504,"是"))</f>
        <v/>
      </c>
      <c r="G113" s="42" t="str">
        <f aca="false">IF($A113="","",$E113-$F113)</f>
        <v/>
      </c>
      <c r="H113" s="41" t="str">
        <f aca="false">IF($A113="","",SUMIFS(业务流水!$W$5:$W$1504,业务流水!$E$5:$E$1504,"*",业务流水!$D$5:$D$1504,"销项开票",业务流水!$C$5:$C$1504,$A113,业务流水!$Z$5:$Z$1504,"是"))</f>
        <v/>
      </c>
      <c r="I113" s="41" t="str">
        <f aca="false">IF($A113="","",SUMIFS(业务流水!$H$5:$H$1504,业务流水!$E$5:$E$1504,"*",业务流水!$D$5:$D$1504,"已交税",业务流水!$C$5:$C$1504,$A113,业务流水!$Z$5:$Z$1504,"是"))</f>
        <v/>
      </c>
      <c r="J113" s="42" t="str">
        <f aca="false">IF($A113="","",$H113-$I113)</f>
        <v/>
      </c>
      <c r="K113" s="41" t="str">
        <f aca="false">IF($A113="","",SUMIFS(业务流水!$H$5:$H$1504,业务流水!$F$5:$F$1504,"*",业务流水!$D$5:$D$1504,"挂靠代收",业务流水!$C$5:$C$1504,$A113,业务流水!$Z$5:$Z$1504,"是"))</f>
        <v/>
      </c>
      <c r="L113" s="42" t="str">
        <f aca="false">IF($A113="","",$C113-$K113)</f>
        <v/>
      </c>
      <c r="M113" s="41" t="str">
        <f aca="false">IF($A113="","",SUMIFS(业务流水!$H$5:$H$1504,业务流水!$E$5:$E$1504,"*",业务流水!$D$5:$D$1504,"我方收款",业务流水!$C$5:$C$1504,$A113,业务流水!$Z$5:$Z$1504,"是"))</f>
        <v/>
      </c>
      <c r="N113" s="43" t="str">
        <f aca="false">IF($A113="","",$K113-$M113)</f>
        <v/>
      </c>
      <c r="O113" s="41" t="str">
        <f aca="false">IF($A113="","",SUMIFS(业务流水!$H$5:$H$1504,业务流水!$F$5:$F$1504,"*",业务流水!$D$5:$D$1504,"管理费结算",业务流水!$C$5:$C$1504,$A113,业务流水!$Z$5:$Z$1504,"是"))</f>
        <v/>
      </c>
      <c r="P113" s="41" t="str">
        <f aca="false">IF($A113="","",SUMIFS(业务流水!$H$5:$H$1504,业务流水!$E$5:$E$1504,"*",业务流水!$D$5:$D$1504,"扣质保金",业务流水!$C$5:$C$1504,$A113,业务流水!$Z$5:$Z$1504,"是"))</f>
        <v/>
      </c>
    </row>
    <row r="114" customFormat="false" ht="15.75" hidden="false" customHeight="true" outlineLevel="0" collapsed="false">
      <c r="A114" s="32" t="str">
        <f aca="false">IF(项目档案!$A114="","",项目档案!$A114)</f>
        <v/>
      </c>
      <c r="B114" s="40" t="str">
        <f aca="false">IF($A114="","",项目档案!$B114)</f>
        <v/>
      </c>
      <c r="C114" s="41" t="str">
        <f aca="false">IF($A114="","",SUMIFS(业务流水!$H$5:$H$1504,业务流水!$E$5:$E$1504,"*",业务流水!$D$5:$D$1504,"销项开票",业务流水!$C$5:$C$1504,$A114,业务流水!$Z$5:$Z$1504,"是"))</f>
        <v/>
      </c>
      <c r="D114" s="41" t="str">
        <f aca="false">IF($A114="","",SUMIFS(业务流水!$O$5:$O$1504,业务流水!$E$5:$E$1504,"*",业务流水!$D$5:$D$1504,"销项开票",业务流水!$C$5:$C$1504,$A114,业务流水!$Z$5:$Z$1504,"是"))</f>
        <v/>
      </c>
      <c r="E114" s="41" t="str">
        <f aca="false">IF($A114="","",SUMIFS(业务流水!$P$5:$P$1504,业务流水!$E$5:$E$1504,"*",业务流水!$D$5:$D$1504,"销项开票",业务流水!$C$5:$C$1504,$A114,业务流水!$Z$5:$Z$1504,"是"))</f>
        <v/>
      </c>
      <c r="F114" s="41" t="str">
        <f aca="false">IF($A114="","",SUMIFS(业务流水!$H$5:$H$1504,业务流水!$F$5:$F$1504,"*",业务流水!$D$5:$D$1504,"成本票",业务流水!$C$5:$C$1504,$A114,业务流水!$Z$5:$Z$1504,"是")+SUMIFS(业务流水!$H$5:$H$1504,业务流水!$F$5:$F$1504,"*",业务流水!$D$5:$D$1504,"销项开票",业务流水!$C$5:$C$1504,$A114,业务流水!$Z$5:$Z$1504,"是"))</f>
        <v/>
      </c>
      <c r="G114" s="42" t="str">
        <f aca="false">IF($A114="","",$E114-$F114)</f>
        <v/>
      </c>
      <c r="H114" s="41" t="str">
        <f aca="false">IF($A114="","",SUMIFS(业务流水!$W$5:$W$1504,业务流水!$E$5:$E$1504,"*",业务流水!$D$5:$D$1504,"销项开票",业务流水!$C$5:$C$1504,$A114,业务流水!$Z$5:$Z$1504,"是"))</f>
        <v/>
      </c>
      <c r="I114" s="41" t="str">
        <f aca="false">IF($A114="","",SUMIFS(业务流水!$H$5:$H$1504,业务流水!$E$5:$E$1504,"*",业务流水!$D$5:$D$1504,"已交税",业务流水!$C$5:$C$1504,$A114,业务流水!$Z$5:$Z$1504,"是"))</f>
        <v/>
      </c>
      <c r="J114" s="42" t="str">
        <f aca="false">IF($A114="","",$H114-$I114)</f>
        <v/>
      </c>
      <c r="K114" s="41" t="str">
        <f aca="false">IF($A114="","",SUMIFS(业务流水!$H$5:$H$1504,业务流水!$F$5:$F$1504,"*",业务流水!$D$5:$D$1504,"挂靠代收",业务流水!$C$5:$C$1504,$A114,业务流水!$Z$5:$Z$1504,"是"))</f>
        <v/>
      </c>
      <c r="L114" s="42" t="str">
        <f aca="false">IF($A114="","",$C114-$K114)</f>
        <v/>
      </c>
      <c r="M114" s="41" t="str">
        <f aca="false">IF($A114="","",SUMIFS(业务流水!$H$5:$H$1504,业务流水!$E$5:$E$1504,"*",业务流水!$D$5:$D$1504,"我方收款",业务流水!$C$5:$C$1504,$A114,业务流水!$Z$5:$Z$1504,"是"))</f>
        <v/>
      </c>
      <c r="N114" s="43" t="str">
        <f aca="false">IF($A114="","",$K114-$M114)</f>
        <v/>
      </c>
      <c r="O114" s="41" t="str">
        <f aca="false">IF($A114="","",SUMIFS(业务流水!$H$5:$H$1504,业务流水!$F$5:$F$1504,"*",业务流水!$D$5:$D$1504,"管理费结算",业务流水!$C$5:$C$1504,$A114,业务流水!$Z$5:$Z$1504,"是"))</f>
        <v/>
      </c>
      <c r="P114" s="41" t="str">
        <f aca="false">IF($A114="","",SUMIFS(业务流水!$H$5:$H$1504,业务流水!$E$5:$E$1504,"*",业务流水!$D$5:$D$1504,"扣质保金",业务流水!$C$5:$C$1504,$A114,业务流水!$Z$5:$Z$1504,"是"))</f>
        <v/>
      </c>
    </row>
    <row r="115" customFormat="false" ht="15.75" hidden="false" customHeight="true" outlineLevel="0" collapsed="false">
      <c r="A115" s="32" t="str">
        <f aca="false">IF(项目档案!$A115="","",项目档案!$A115)</f>
        <v/>
      </c>
      <c r="B115" s="40" t="str">
        <f aca="false">IF($A115="","",项目档案!$B115)</f>
        <v/>
      </c>
      <c r="C115" s="41" t="str">
        <f aca="false">IF($A115="","",SUMIFS(业务流水!$H$5:$H$1504,业务流水!$E$5:$E$1504,"*",业务流水!$D$5:$D$1504,"销项开票",业务流水!$C$5:$C$1504,$A115,业务流水!$Z$5:$Z$1504,"是"))</f>
        <v/>
      </c>
      <c r="D115" s="41" t="str">
        <f aca="false">IF($A115="","",SUMIFS(业务流水!$O$5:$O$1504,业务流水!$E$5:$E$1504,"*",业务流水!$D$5:$D$1504,"销项开票",业务流水!$C$5:$C$1504,$A115,业务流水!$Z$5:$Z$1504,"是"))</f>
        <v/>
      </c>
      <c r="E115" s="41" t="str">
        <f aca="false">IF($A115="","",SUMIFS(业务流水!$P$5:$P$1504,业务流水!$E$5:$E$1504,"*",业务流水!$D$5:$D$1504,"销项开票",业务流水!$C$5:$C$1504,$A115,业务流水!$Z$5:$Z$1504,"是"))</f>
        <v/>
      </c>
      <c r="F115" s="41" t="str">
        <f aca="false">IF($A115="","",SUMIFS(业务流水!$H$5:$H$1504,业务流水!$F$5:$F$1504,"*",业务流水!$D$5:$D$1504,"成本票",业务流水!$C$5:$C$1504,$A115,业务流水!$Z$5:$Z$1504,"是")+SUMIFS(业务流水!$H$5:$H$1504,业务流水!$F$5:$F$1504,"*",业务流水!$D$5:$D$1504,"销项开票",业务流水!$C$5:$C$1504,$A115,业务流水!$Z$5:$Z$1504,"是"))</f>
        <v/>
      </c>
      <c r="G115" s="42" t="str">
        <f aca="false">IF($A115="","",$E115-$F115)</f>
        <v/>
      </c>
      <c r="H115" s="41" t="str">
        <f aca="false">IF($A115="","",SUMIFS(业务流水!$W$5:$W$1504,业务流水!$E$5:$E$1504,"*",业务流水!$D$5:$D$1504,"销项开票",业务流水!$C$5:$C$1504,$A115,业务流水!$Z$5:$Z$1504,"是"))</f>
        <v/>
      </c>
      <c r="I115" s="41" t="str">
        <f aca="false">IF($A115="","",SUMIFS(业务流水!$H$5:$H$1504,业务流水!$E$5:$E$1504,"*",业务流水!$D$5:$D$1504,"已交税",业务流水!$C$5:$C$1504,$A115,业务流水!$Z$5:$Z$1504,"是"))</f>
        <v/>
      </c>
      <c r="J115" s="42" t="str">
        <f aca="false">IF($A115="","",$H115-$I115)</f>
        <v/>
      </c>
      <c r="K115" s="41" t="str">
        <f aca="false">IF($A115="","",SUMIFS(业务流水!$H$5:$H$1504,业务流水!$F$5:$F$1504,"*",业务流水!$D$5:$D$1504,"挂靠代收",业务流水!$C$5:$C$1504,$A115,业务流水!$Z$5:$Z$1504,"是"))</f>
        <v/>
      </c>
      <c r="L115" s="42" t="str">
        <f aca="false">IF($A115="","",$C115-$K115)</f>
        <v/>
      </c>
      <c r="M115" s="41" t="str">
        <f aca="false">IF($A115="","",SUMIFS(业务流水!$H$5:$H$1504,业务流水!$E$5:$E$1504,"*",业务流水!$D$5:$D$1504,"我方收款",业务流水!$C$5:$C$1504,$A115,业务流水!$Z$5:$Z$1504,"是"))</f>
        <v/>
      </c>
      <c r="N115" s="43" t="str">
        <f aca="false">IF($A115="","",$K115-$M115)</f>
        <v/>
      </c>
      <c r="O115" s="41" t="str">
        <f aca="false">IF($A115="","",SUMIFS(业务流水!$H$5:$H$1504,业务流水!$F$5:$F$1504,"*",业务流水!$D$5:$D$1504,"管理费结算",业务流水!$C$5:$C$1504,$A115,业务流水!$Z$5:$Z$1504,"是"))</f>
        <v/>
      </c>
      <c r="P115" s="41" t="str">
        <f aca="false">IF($A115="","",SUMIFS(业务流水!$H$5:$H$1504,业务流水!$E$5:$E$1504,"*",业务流水!$D$5:$D$1504,"扣质保金",业务流水!$C$5:$C$1504,$A115,业务流水!$Z$5:$Z$1504,"是"))</f>
        <v/>
      </c>
    </row>
    <row r="116" customFormat="false" ht="15.75" hidden="false" customHeight="true" outlineLevel="0" collapsed="false">
      <c r="A116" s="32" t="str">
        <f aca="false">IF(项目档案!$A116="","",项目档案!$A116)</f>
        <v/>
      </c>
      <c r="B116" s="40" t="str">
        <f aca="false">IF($A116="","",项目档案!$B116)</f>
        <v/>
      </c>
      <c r="C116" s="41" t="str">
        <f aca="false">IF($A116="","",SUMIFS(业务流水!$H$5:$H$1504,业务流水!$E$5:$E$1504,"*",业务流水!$D$5:$D$1504,"销项开票",业务流水!$C$5:$C$1504,$A116,业务流水!$Z$5:$Z$1504,"是"))</f>
        <v/>
      </c>
      <c r="D116" s="41" t="str">
        <f aca="false">IF($A116="","",SUMIFS(业务流水!$O$5:$O$1504,业务流水!$E$5:$E$1504,"*",业务流水!$D$5:$D$1504,"销项开票",业务流水!$C$5:$C$1504,$A116,业务流水!$Z$5:$Z$1504,"是"))</f>
        <v/>
      </c>
      <c r="E116" s="41" t="str">
        <f aca="false">IF($A116="","",SUMIFS(业务流水!$P$5:$P$1504,业务流水!$E$5:$E$1504,"*",业务流水!$D$5:$D$1504,"销项开票",业务流水!$C$5:$C$1504,$A116,业务流水!$Z$5:$Z$1504,"是"))</f>
        <v/>
      </c>
      <c r="F116" s="41" t="str">
        <f aca="false">IF($A116="","",SUMIFS(业务流水!$H$5:$H$1504,业务流水!$F$5:$F$1504,"*",业务流水!$D$5:$D$1504,"成本票",业务流水!$C$5:$C$1504,$A116,业务流水!$Z$5:$Z$1504,"是")+SUMIFS(业务流水!$H$5:$H$1504,业务流水!$F$5:$F$1504,"*",业务流水!$D$5:$D$1504,"销项开票",业务流水!$C$5:$C$1504,$A116,业务流水!$Z$5:$Z$1504,"是"))</f>
        <v/>
      </c>
      <c r="G116" s="42" t="str">
        <f aca="false">IF($A116="","",$E116-$F116)</f>
        <v/>
      </c>
      <c r="H116" s="41" t="str">
        <f aca="false">IF($A116="","",SUMIFS(业务流水!$W$5:$W$1504,业务流水!$E$5:$E$1504,"*",业务流水!$D$5:$D$1504,"销项开票",业务流水!$C$5:$C$1504,$A116,业务流水!$Z$5:$Z$1504,"是"))</f>
        <v/>
      </c>
      <c r="I116" s="41" t="str">
        <f aca="false">IF($A116="","",SUMIFS(业务流水!$H$5:$H$1504,业务流水!$E$5:$E$1504,"*",业务流水!$D$5:$D$1504,"已交税",业务流水!$C$5:$C$1504,$A116,业务流水!$Z$5:$Z$1504,"是"))</f>
        <v/>
      </c>
      <c r="J116" s="42" t="str">
        <f aca="false">IF($A116="","",$H116-$I116)</f>
        <v/>
      </c>
      <c r="K116" s="41" t="str">
        <f aca="false">IF($A116="","",SUMIFS(业务流水!$H$5:$H$1504,业务流水!$F$5:$F$1504,"*",业务流水!$D$5:$D$1504,"挂靠代收",业务流水!$C$5:$C$1504,$A116,业务流水!$Z$5:$Z$1504,"是"))</f>
        <v/>
      </c>
      <c r="L116" s="42" t="str">
        <f aca="false">IF($A116="","",$C116-$K116)</f>
        <v/>
      </c>
      <c r="M116" s="41" t="str">
        <f aca="false">IF($A116="","",SUMIFS(业务流水!$H$5:$H$1504,业务流水!$E$5:$E$1504,"*",业务流水!$D$5:$D$1504,"我方收款",业务流水!$C$5:$C$1504,$A116,业务流水!$Z$5:$Z$1504,"是"))</f>
        <v/>
      </c>
      <c r="N116" s="43" t="str">
        <f aca="false">IF($A116="","",$K116-$M116)</f>
        <v/>
      </c>
      <c r="O116" s="41" t="str">
        <f aca="false">IF($A116="","",SUMIFS(业务流水!$H$5:$H$1504,业务流水!$F$5:$F$1504,"*",业务流水!$D$5:$D$1504,"管理费结算",业务流水!$C$5:$C$1504,$A116,业务流水!$Z$5:$Z$1504,"是"))</f>
        <v/>
      </c>
      <c r="P116" s="41" t="str">
        <f aca="false">IF($A116="","",SUMIFS(业务流水!$H$5:$H$1504,业务流水!$E$5:$E$1504,"*",业务流水!$D$5:$D$1504,"扣质保金",业务流水!$C$5:$C$1504,$A116,业务流水!$Z$5:$Z$1504,"是"))</f>
        <v/>
      </c>
    </row>
    <row r="117" customFormat="false" ht="15.75" hidden="false" customHeight="true" outlineLevel="0" collapsed="false">
      <c r="A117" s="32" t="str">
        <f aca="false">IF(项目档案!$A117="","",项目档案!$A117)</f>
        <v/>
      </c>
      <c r="B117" s="40" t="str">
        <f aca="false">IF($A117="","",项目档案!$B117)</f>
        <v/>
      </c>
      <c r="C117" s="41" t="str">
        <f aca="false">IF($A117="","",SUMIFS(业务流水!$H$5:$H$1504,业务流水!$E$5:$E$1504,"*",业务流水!$D$5:$D$1504,"销项开票",业务流水!$C$5:$C$1504,$A117,业务流水!$Z$5:$Z$1504,"是"))</f>
        <v/>
      </c>
      <c r="D117" s="41" t="str">
        <f aca="false">IF($A117="","",SUMIFS(业务流水!$O$5:$O$1504,业务流水!$E$5:$E$1504,"*",业务流水!$D$5:$D$1504,"销项开票",业务流水!$C$5:$C$1504,$A117,业务流水!$Z$5:$Z$1504,"是"))</f>
        <v/>
      </c>
      <c r="E117" s="41" t="str">
        <f aca="false">IF($A117="","",SUMIFS(业务流水!$P$5:$P$1504,业务流水!$E$5:$E$1504,"*",业务流水!$D$5:$D$1504,"销项开票",业务流水!$C$5:$C$1504,$A117,业务流水!$Z$5:$Z$1504,"是"))</f>
        <v/>
      </c>
      <c r="F117" s="41" t="str">
        <f aca="false">IF($A117="","",SUMIFS(业务流水!$H$5:$H$1504,业务流水!$F$5:$F$1504,"*",业务流水!$D$5:$D$1504,"成本票",业务流水!$C$5:$C$1504,$A117,业务流水!$Z$5:$Z$1504,"是")+SUMIFS(业务流水!$H$5:$H$1504,业务流水!$F$5:$F$1504,"*",业务流水!$D$5:$D$1504,"销项开票",业务流水!$C$5:$C$1504,$A117,业务流水!$Z$5:$Z$1504,"是"))</f>
        <v/>
      </c>
      <c r="G117" s="42" t="str">
        <f aca="false">IF($A117="","",$E117-$F117)</f>
        <v/>
      </c>
      <c r="H117" s="41" t="str">
        <f aca="false">IF($A117="","",SUMIFS(业务流水!$W$5:$W$1504,业务流水!$E$5:$E$1504,"*",业务流水!$D$5:$D$1504,"销项开票",业务流水!$C$5:$C$1504,$A117,业务流水!$Z$5:$Z$1504,"是"))</f>
        <v/>
      </c>
      <c r="I117" s="41" t="str">
        <f aca="false">IF($A117="","",SUMIFS(业务流水!$H$5:$H$1504,业务流水!$E$5:$E$1504,"*",业务流水!$D$5:$D$1504,"已交税",业务流水!$C$5:$C$1504,$A117,业务流水!$Z$5:$Z$1504,"是"))</f>
        <v/>
      </c>
      <c r="J117" s="42" t="str">
        <f aca="false">IF($A117="","",$H117-$I117)</f>
        <v/>
      </c>
      <c r="K117" s="41" t="str">
        <f aca="false">IF($A117="","",SUMIFS(业务流水!$H$5:$H$1504,业务流水!$F$5:$F$1504,"*",业务流水!$D$5:$D$1504,"挂靠代收",业务流水!$C$5:$C$1504,$A117,业务流水!$Z$5:$Z$1504,"是"))</f>
        <v/>
      </c>
      <c r="L117" s="42" t="str">
        <f aca="false">IF($A117="","",$C117-$K117)</f>
        <v/>
      </c>
      <c r="M117" s="41" t="str">
        <f aca="false">IF($A117="","",SUMIFS(业务流水!$H$5:$H$1504,业务流水!$E$5:$E$1504,"*",业务流水!$D$5:$D$1504,"我方收款",业务流水!$C$5:$C$1504,$A117,业务流水!$Z$5:$Z$1504,"是"))</f>
        <v/>
      </c>
      <c r="N117" s="43" t="str">
        <f aca="false">IF($A117="","",$K117-$M117)</f>
        <v/>
      </c>
      <c r="O117" s="41" t="str">
        <f aca="false">IF($A117="","",SUMIFS(业务流水!$H$5:$H$1504,业务流水!$F$5:$F$1504,"*",业务流水!$D$5:$D$1504,"管理费结算",业务流水!$C$5:$C$1504,$A117,业务流水!$Z$5:$Z$1504,"是"))</f>
        <v/>
      </c>
      <c r="P117" s="41" t="str">
        <f aca="false">IF($A117="","",SUMIFS(业务流水!$H$5:$H$1504,业务流水!$E$5:$E$1504,"*",业务流水!$D$5:$D$1504,"扣质保金",业务流水!$C$5:$C$1504,$A117,业务流水!$Z$5:$Z$1504,"是"))</f>
        <v/>
      </c>
    </row>
    <row r="118" customFormat="false" ht="15.75" hidden="false" customHeight="true" outlineLevel="0" collapsed="false">
      <c r="A118" s="32" t="str">
        <f aca="false">IF(项目档案!$A118="","",项目档案!$A118)</f>
        <v/>
      </c>
      <c r="B118" s="40" t="str">
        <f aca="false">IF($A118="","",项目档案!$B118)</f>
        <v/>
      </c>
      <c r="C118" s="41" t="str">
        <f aca="false">IF($A118="","",SUMIFS(业务流水!$H$5:$H$1504,业务流水!$E$5:$E$1504,"*",业务流水!$D$5:$D$1504,"销项开票",业务流水!$C$5:$C$1504,$A118,业务流水!$Z$5:$Z$1504,"是"))</f>
        <v/>
      </c>
      <c r="D118" s="41" t="str">
        <f aca="false">IF($A118="","",SUMIFS(业务流水!$O$5:$O$1504,业务流水!$E$5:$E$1504,"*",业务流水!$D$5:$D$1504,"销项开票",业务流水!$C$5:$C$1504,$A118,业务流水!$Z$5:$Z$1504,"是"))</f>
        <v/>
      </c>
      <c r="E118" s="41" t="str">
        <f aca="false">IF($A118="","",SUMIFS(业务流水!$P$5:$P$1504,业务流水!$E$5:$E$1504,"*",业务流水!$D$5:$D$1504,"销项开票",业务流水!$C$5:$C$1504,$A118,业务流水!$Z$5:$Z$1504,"是"))</f>
        <v/>
      </c>
      <c r="F118" s="41" t="str">
        <f aca="false">IF($A118="","",SUMIFS(业务流水!$H$5:$H$1504,业务流水!$F$5:$F$1504,"*",业务流水!$D$5:$D$1504,"成本票",业务流水!$C$5:$C$1504,$A118,业务流水!$Z$5:$Z$1504,"是")+SUMIFS(业务流水!$H$5:$H$1504,业务流水!$F$5:$F$1504,"*",业务流水!$D$5:$D$1504,"销项开票",业务流水!$C$5:$C$1504,$A118,业务流水!$Z$5:$Z$1504,"是"))</f>
        <v/>
      </c>
      <c r="G118" s="42" t="str">
        <f aca="false">IF($A118="","",$E118-$F118)</f>
        <v/>
      </c>
      <c r="H118" s="41" t="str">
        <f aca="false">IF($A118="","",SUMIFS(业务流水!$W$5:$W$1504,业务流水!$E$5:$E$1504,"*",业务流水!$D$5:$D$1504,"销项开票",业务流水!$C$5:$C$1504,$A118,业务流水!$Z$5:$Z$1504,"是"))</f>
        <v/>
      </c>
      <c r="I118" s="41" t="str">
        <f aca="false">IF($A118="","",SUMIFS(业务流水!$H$5:$H$1504,业务流水!$E$5:$E$1504,"*",业务流水!$D$5:$D$1504,"已交税",业务流水!$C$5:$C$1504,$A118,业务流水!$Z$5:$Z$1504,"是"))</f>
        <v/>
      </c>
      <c r="J118" s="42" t="str">
        <f aca="false">IF($A118="","",$H118-$I118)</f>
        <v/>
      </c>
      <c r="K118" s="41" t="str">
        <f aca="false">IF($A118="","",SUMIFS(业务流水!$H$5:$H$1504,业务流水!$F$5:$F$1504,"*",业务流水!$D$5:$D$1504,"挂靠代收",业务流水!$C$5:$C$1504,$A118,业务流水!$Z$5:$Z$1504,"是"))</f>
        <v/>
      </c>
      <c r="L118" s="42" t="str">
        <f aca="false">IF($A118="","",$C118-$K118)</f>
        <v/>
      </c>
      <c r="M118" s="41" t="str">
        <f aca="false">IF($A118="","",SUMIFS(业务流水!$H$5:$H$1504,业务流水!$E$5:$E$1504,"*",业务流水!$D$5:$D$1504,"我方收款",业务流水!$C$5:$C$1504,$A118,业务流水!$Z$5:$Z$1504,"是"))</f>
        <v/>
      </c>
      <c r="N118" s="43" t="str">
        <f aca="false">IF($A118="","",$K118-$M118)</f>
        <v/>
      </c>
      <c r="O118" s="41" t="str">
        <f aca="false">IF($A118="","",SUMIFS(业务流水!$H$5:$H$1504,业务流水!$F$5:$F$1504,"*",业务流水!$D$5:$D$1504,"管理费结算",业务流水!$C$5:$C$1504,$A118,业务流水!$Z$5:$Z$1504,"是"))</f>
        <v/>
      </c>
      <c r="P118" s="41" t="str">
        <f aca="false">IF($A118="","",SUMIFS(业务流水!$H$5:$H$1504,业务流水!$E$5:$E$1504,"*",业务流水!$D$5:$D$1504,"扣质保金",业务流水!$C$5:$C$1504,$A118,业务流水!$Z$5:$Z$1504,"是"))</f>
        <v/>
      </c>
    </row>
    <row r="119" customFormat="false" ht="15.75" hidden="false" customHeight="true" outlineLevel="0" collapsed="false">
      <c r="A119" s="32" t="str">
        <f aca="false">IF(项目档案!$A119="","",项目档案!$A119)</f>
        <v/>
      </c>
      <c r="B119" s="40" t="str">
        <f aca="false">IF($A119="","",项目档案!$B119)</f>
        <v/>
      </c>
      <c r="C119" s="41" t="str">
        <f aca="false">IF($A119="","",SUMIFS(业务流水!$H$5:$H$1504,业务流水!$E$5:$E$1504,"*",业务流水!$D$5:$D$1504,"销项开票",业务流水!$C$5:$C$1504,$A119,业务流水!$Z$5:$Z$1504,"是"))</f>
        <v/>
      </c>
      <c r="D119" s="41" t="str">
        <f aca="false">IF($A119="","",SUMIFS(业务流水!$O$5:$O$1504,业务流水!$E$5:$E$1504,"*",业务流水!$D$5:$D$1504,"销项开票",业务流水!$C$5:$C$1504,$A119,业务流水!$Z$5:$Z$1504,"是"))</f>
        <v/>
      </c>
      <c r="E119" s="41" t="str">
        <f aca="false">IF($A119="","",SUMIFS(业务流水!$P$5:$P$1504,业务流水!$E$5:$E$1504,"*",业务流水!$D$5:$D$1504,"销项开票",业务流水!$C$5:$C$1504,$A119,业务流水!$Z$5:$Z$1504,"是"))</f>
        <v/>
      </c>
      <c r="F119" s="41" t="str">
        <f aca="false">IF($A119="","",SUMIFS(业务流水!$H$5:$H$1504,业务流水!$F$5:$F$1504,"*",业务流水!$D$5:$D$1504,"成本票",业务流水!$C$5:$C$1504,$A119,业务流水!$Z$5:$Z$1504,"是")+SUMIFS(业务流水!$H$5:$H$1504,业务流水!$F$5:$F$1504,"*",业务流水!$D$5:$D$1504,"销项开票",业务流水!$C$5:$C$1504,$A119,业务流水!$Z$5:$Z$1504,"是"))</f>
        <v/>
      </c>
      <c r="G119" s="42" t="str">
        <f aca="false">IF($A119="","",$E119-$F119)</f>
        <v/>
      </c>
      <c r="H119" s="41" t="str">
        <f aca="false">IF($A119="","",SUMIFS(业务流水!$W$5:$W$1504,业务流水!$E$5:$E$1504,"*",业务流水!$D$5:$D$1504,"销项开票",业务流水!$C$5:$C$1504,$A119,业务流水!$Z$5:$Z$1504,"是"))</f>
        <v/>
      </c>
      <c r="I119" s="41" t="str">
        <f aca="false">IF($A119="","",SUMIFS(业务流水!$H$5:$H$1504,业务流水!$E$5:$E$1504,"*",业务流水!$D$5:$D$1504,"已交税",业务流水!$C$5:$C$1504,$A119,业务流水!$Z$5:$Z$1504,"是"))</f>
        <v/>
      </c>
      <c r="J119" s="42" t="str">
        <f aca="false">IF($A119="","",$H119-$I119)</f>
        <v/>
      </c>
      <c r="K119" s="41" t="str">
        <f aca="false">IF($A119="","",SUMIFS(业务流水!$H$5:$H$1504,业务流水!$F$5:$F$1504,"*",业务流水!$D$5:$D$1504,"挂靠代收",业务流水!$C$5:$C$1504,$A119,业务流水!$Z$5:$Z$1504,"是"))</f>
        <v/>
      </c>
      <c r="L119" s="42" t="str">
        <f aca="false">IF($A119="","",$C119-$K119)</f>
        <v/>
      </c>
      <c r="M119" s="41" t="str">
        <f aca="false">IF($A119="","",SUMIFS(业务流水!$H$5:$H$1504,业务流水!$E$5:$E$1504,"*",业务流水!$D$5:$D$1504,"我方收款",业务流水!$C$5:$C$1504,$A119,业务流水!$Z$5:$Z$1504,"是"))</f>
        <v/>
      </c>
      <c r="N119" s="43" t="str">
        <f aca="false">IF($A119="","",$K119-$M119)</f>
        <v/>
      </c>
      <c r="O119" s="41" t="str">
        <f aca="false">IF($A119="","",SUMIFS(业务流水!$H$5:$H$1504,业务流水!$F$5:$F$1504,"*",业务流水!$D$5:$D$1504,"管理费结算",业务流水!$C$5:$C$1504,$A119,业务流水!$Z$5:$Z$1504,"是"))</f>
        <v/>
      </c>
      <c r="P119" s="41" t="str">
        <f aca="false">IF($A119="","",SUMIFS(业务流水!$H$5:$H$1504,业务流水!$E$5:$E$1504,"*",业务流水!$D$5:$D$1504,"扣质保金",业务流水!$C$5:$C$1504,$A119,业务流水!$Z$5:$Z$1504,"是"))</f>
        <v/>
      </c>
    </row>
    <row r="120" customFormat="false" ht="15.75" hidden="false" customHeight="true" outlineLevel="0" collapsed="false">
      <c r="A120" s="32" t="str">
        <f aca="false">IF(项目档案!$A120="","",项目档案!$A120)</f>
        <v/>
      </c>
      <c r="B120" s="40" t="str">
        <f aca="false">IF($A120="","",项目档案!$B120)</f>
        <v/>
      </c>
      <c r="C120" s="41" t="str">
        <f aca="false">IF($A120="","",SUMIFS(业务流水!$H$5:$H$1504,业务流水!$E$5:$E$1504,"*",业务流水!$D$5:$D$1504,"销项开票",业务流水!$C$5:$C$1504,$A120,业务流水!$Z$5:$Z$1504,"是"))</f>
        <v/>
      </c>
      <c r="D120" s="41" t="str">
        <f aca="false">IF($A120="","",SUMIFS(业务流水!$O$5:$O$1504,业务流水!$E$5:$E$1504,"*",业务流水!$D$5:$D$1504,"销项开票",业务流水!$C$5:$C$1504,$A120,业务流水!$Z$5:$Z$1504,"是"))</f>
        <v/>
      </c>
      <c r="E120" s="41" t="str">
        <f aca="false">IF($A120="","",SUMIFS(业务流水!$P$5:$P$1504,业务流水!$E$5:$E$1504,"*",业务流水!$D$5:$D$1504,"销项开票",业务流水!$C$5:$C$1504,$A120,业务流水!$Z$5:$Z$1504,"是"))</f>
        <v/>
      </c>
      <c r="F120" s="41" t="str">
        <f aca="false">IF($A120="","",SUMIFS(业务流水!$H$5:$H$1504,业务流水!$F$5:$F$1504,"*",业务流水!$D$5:$D$1504,"成本票",业务流水!$C$5:$C$1504,$A120,业务流水!$Z$5:$Z$1504,"是")+SUMIFS(业务流水!$H$5:$H$1504,业务流水!$F$5:$F$1504,"*",业务流水!$D$5:$D$1504,"销项开票",业务流水!$C$5:$C$1504,$A120,业务流水!$Z$5:$Z$1504,"是"))</f>
        <v/>
      </c>
      <c r="G120" s="42" t="str">
        <f aca="false">IF($A120="","",$E120-$F120)</f>
        <v/>
      </c>
      <c r="H120" s="41" t="str">
        <f aca="false">IF($A120="","",SUMIFS(业务流水!$W$5:$W$1504,业务流水!$E$5:$E$1504,"*",业务流水!$D$5:$D$1504,"销项开票",业务流水!$C$5:$C$1504,$A120,业务流水!$Z$5:$Z$1504,"是"))</f>
        <v/>
      </c>
      <c r="I120" s="41" t="str">
        <f aca="false">IF($A120="","",SUMIFS(业务流水!$H$5:$H$1504,业务流水!$E$5:$E$1504,"*",业务流水!$D$5:$D$1504,"已交税",业务流水!$C$5:$C$1504,$A120,业务流水!$Z$5:$Z$1504,"是"))</f>
        <v/>
      </c>
      <c r="J120" s="42" t="str">
        <f aca="false">IF($A120="","",$H120-$I120)</f>
        <v/>
      </c>
      <c r="K120" s="41" t="str">
        <f aca="false">IF($A120="","",SUMIFS(业务流水!$H$5:$H$1504,业务流水!$F$5:$F$1504,"*",业务流水!$D$5:$D$1504,"挂靠代收",业务流水!$C$5:$C$1504,$A120,业务流水!$Z$5:$Z$1504,"是"))</f>
        <v/>
      </c>
      <c r="L120" s="42" t="str">
        <f aca="false">IF($A120="","",$C120-$K120)</f>
        <v/>
      </c>
      <c r="M120" s="41" t="str">
        <f aca="false">IF($A120="","",SUMIFS(业务流水!$H$5:$H$1504,业务流水!$E$5:$E$1504,"*",业务流水!$D$5:$D$1504,"我方收款",业务流水!$C$5:$C$1504,$A120,业务流水!$Z$5:$Z$1504,"是"))</f>
        <v/>
      </c>
      <c r="N120" s="43" t="str">
        <f aca="false">IF($A120="","",$K120-$M120)</f>
        <v/>
      </c>
      <c r="O120" s="41" t="str">
        <f aca="false">IF($A120="","",SUMIFS(业务流水!$H$5:$H$1504,业务流水!$F$5:$F$1504,"*",业务流水!$D$5:$D$1504,"管理费结算",业务流水!$C$5:$C$1504,$A120,业务流水!$Z$5:$Z$1504,"是"))</f>
        <v/>
      </c>
      <c r="P120" s="41" t="str">
        <f aca="false">IF($A120="","",SUMIFS(业务流水!$H$5:$H$1504,业务流水!$E$5:$E$1504,"*",业务流水!$D$5:$D$1504,"扣质保金",业务流水!$C$5:$C$1504,$A120,业务流水!$Z$5:$Z$1504,"是"))</f>
        <v/>
      </c>
    </row>
    <row r="121" customFormat="false" ht="15.75" hidden="false" customHeight="true" outlineLevel="0" collapsed="false">
      <c r="A121" s="32" t="str">
        <f aca="false">IF(项目档案!$A121="","",项目档案!$A121)</f>
        <v/>
      </c>
      <c r="B121" s="40" t="str">
        <f aca="false">IF($A121="","",项目档案!$B121)</f>
        <v/>
      </c>
      <c r="C121" s="41" t="str">
        <f aca="false">IF($A121="","",SUMIFS(业务流水!$H$5:$H$1504,业务流水!$E$5:$E$1504,"*",业务流水!$D$5:$D$1504,"销项开票",业务流水!$C$5:$C$1504,$A121,业务流水!$Z$5:$Z$1504,"是"))</f>
        <v/>
      </c>
      <c r="D121" s="41" t="str">
        <f aca="false">IF($A121="","",SUMIFS(业务流水!$O$5:$O$1504,业务流水!$E$5:$E$1504,"*",业务流水!$D$5:$D$1504,"销项开票",业务流水!$C$5:$C$1504,$A121,业务流水!$Z$5:$Z$1504,"是"))</f>
        <v/>
      </c>
      <c r="E121" s="41" t="str">
        <f aca="false">IF($A121="","",SUMIFS(业务流水!$P$5:$P$1504,业务流水!$E$5:$E$1504,"*",业务流水!$D$5:$D$1504,"销项开票",业务流水!$C$5:$C$1504,$A121,业务流水!$Z$5:$Z$1504,"是"))</f>
        <v/>
      </c>
      <c r="F121" s="41" t="str">
        <f aca="false">IF($A121="","",SUMIFS(业务流水!$H$5:$H$1504,业务流水!$F$5:$F$1504,"*",业务流水!$D$5:$D$1504,"成本票",业务流水!$C$5:$C$1504,$A121,业务流水!$Z$5:$Z$1504,"是")+SUMIFS(业务流水!$H$5:$H$1504,业务流水!$F$5:$F$1504,"*",业务流水!$D$5:$D$1504,"销项开票",业务流水!$C$5:$C$1504,$A121,业务流水!$Z$5:$Z$1504,"是"))</f>
        <v/>
      </c>
      <c r="G121" s="42" t="str">
        <f aca="false">IF($A121="","",$E121-$F121)</f>
        <v/>
      </c>
      <c r="H121" s="41" t="str">
        <f aca="false">IF($A121="","",SUMIFS(业务流水!$W$5:$W$1504,业务流水!$E$5:$E$1504,"*",业务流水!$D$5:$D$1504,"销项开票",业务流水!$C$5:$C$1504,$A121,业务流水!$Z$5:$Z$1504,"是"))</f>
        <v/>
      </c>
      <c r="I121" s="41" t="str">
        <f aca="false">IF($A121="","",SUMIFS(业务流水!$H$5:$H$1504,业务流水!$E$5:$E$1504,"*",业务流水!$D$5:$D$1504,"已交税",业务流水!$C$5:$C$1504,$A121,业务流水!$Z$5:$Z$1504,"是"))</f>
        <v/>
      </c>
      <c r="J121" s="42" t="str">
        <f aca="false">IF($A121="","",$H121-$I121)</f>
        <v/>
      </c>
      <c r="K121" s="41" t="str">
        <f aca="false">IF($A121="","",SUMIFS(业务流水!$H$5:$H$1504,业务流水!$F$5:$F$1504,"*",业务流水!$D$5:$D$1504,"挂靠代收",业务流水!$C$5:$C$1504,$A121,业务流水!$Z$5:$Z$1504,"是"))</f>
        <v/>
      </c>
      <c r="L121" s="42" t="str">
        <f aca="false">IF($A121="","",$C121-$K121)</f>
        <v/>
      </c>
      <c r="M121" s="41" t="str">
        <f aca="false">IF($A121="","",SUMIFS(业务流水!$H$5:$H$1504,业务流水!$E$5:$E$1504,"*",业务流水!$D$5:$D$1504,"我方收款",业务流水!$C$5:$C$1504,$A121,业务流水!$Z$5:$Z$1504,"是"))</f>
        <v/>
      </c>
      <c r="N121" s="43" t="str">
        <f aca="false">IF($A121="","",$K121-$M121)</f>
        <v/>
      </c>
      <c r="O121" s="41" t="str">
        <f aca="false">IF($A121="","",SUMIFS(业务流水!$H$5:$H$1504,业务流水!$F$5:$F$1504,"*",业务流水!$D$5:$D$1504,"管理费结算",业务流水!$C$5:$C$1504,$A121,业务流水!$Z$5:$Z$1504,"是"))</f>
        <v/>
      </c>
      <c r="P121" s="41" t="str">
        <f aca="false">IF($A121="","",SUMIFS(业务流水!$H$5:$H$1504,业务流水!$E$5:$E$1504,"*",业务流水!$D$5:$D$1504,"扣质保金",业务流水!$C$5:$C$1504,$A121,业务流水!$Z$5:$Z$1504,"是"))</f>
        <v/>
      </c>
    </row>
    <row r="122" customFormat="false" ht="15.75" hidden="false" customHeight="true" outlineLevel="0" collapsed="false">
      <c r="A122" s="32" t="str">
        <f aca="false">IF(项目档案!$A122="","",项目档案!$A122)</f>
        <v/>
      </c>
      <c r="B122" s="40" t="str">
        <f aca="false">IF($A122="","",项目档案!$B122)</f>
        <v/>
      </c>
      <c r="C122" s="41" t="str">
        <f aca="false">IF($A122="","",SUMIFS(业务流水!$H$5:$H$1504,业务流水!$E$5:$E$1504,"*",业务流水!$D$5:$D$1504,"销项开票",业务流水!$C$5:$C$1504,$A122,业务流水!$Z$5:$Z$1504,"是"))</f>
        <v/>
      </c>
      <c r="D122" s="41" t="str">
        <f aca="false">IF($A122="","",SUMIFS(业务流水!$O$5:$O$1504,业务流水!$E$5:$E$1504,"*",业务流水!$D$5:$D$1504,"销项开票",业务流水!$C$5:$C$1504,$A122,业务流水!$Z$5:$Z$1504,"是"))</f>
        <v/>
      </c>
      <c r="E122" s="41" t="str">
        <f aca="false">IF($A122="","",SUMIFS(业务流水!$P$5:$P$1504,业务流水!$E$5:$E$1504,"*",业务流水!$D$5:$D$1504,"销项开票",业务流水!$C$5:$C$1504,$A122,业务流水!$Z$5:$Z$1504,"是"))</f>
        <v/>
      </c>
      <c r="F122" s="41" t="str">
        <f aca="false">IF($A122="","",SUMIFS(业务流水!$H$5:$H$1504,业务流水!$F$5:$F$1504,"*",业务流水!$D$5:$D$1504,"成本票",业务流水!$C$5:$C$1504,$A122,业务流水!$Z$5:$Z$1504,"是")+SUMIFS(业务流水!$H$5:$H$1504,业务流水!$F$5:$F$1504,"*",业务流水!$D$5:$D$1504,"销项开票",业务流水!$C$5:$C$1504,$A122,业务流水!$Z$5:$Z$1504,"是"))</f>
        <v/>
      </c>
      <c r="G122" s="42" t="str">
        <f aca="false">IF($A122="","",$E122-$F122)</f>
        <v/>
      </c>
      <c r="H122" s="41" t="str">
        <f aca="false">IF($A122="","",SUMIFS(业务流水!$W$5:$W$1504,业务流水!$E$5:$E$1504,"*",业务流水!$D$5:$D$1504,"销项开票",业务流水!$C$5:$C$1504,$A122,业务流水!$Z$5:$Z$1504,"是"))</f>
        <v/>
      </c>
      <c r="I122" s="41" t="str">
        <f aca="false">IF($A122="","",SUMIFS(业务流水!$H$5:$H$1504,业务流水!$E$5:$E$1504,"*",业务流水!$D$5:$D$1504,"已交税",业务流水!$C$5:$C$1504,$A122,业务流水!$Z$5:$Z$1504,"是"))</f>
        <v/>
      </c>
      <c r="J122" s="42" t="str">
        <f aca="false">IF($A122="","",$H122-$I122)</f>
        <v/>
      </c>
      <c r="K122" s="41" t="str">
        <f aca="false">IF($A122="","",SUMIFS(业务流水!$H$5:$H$1504,业务流水!$F$5:$F$1504,"*",业务流水!$D$5:$D$1504,"挂靠代收",业务流水!$C$5:$C$1504,$A122,业务流水!$Z$5:$Z$1504,"是"))</f>
        <v/>
      </c>
      <c r="L122" s="42" t="str">
        <f aca="false">IF($A122="","",$C122-$K122)</f>
        <v/>
      </c>
      <c r="M122" s="41" t="str">
        <f aca="false">IF($A122="","",SUMIFS(业务流水!$H$5:$H$1504,业务流水!$E$5:$E$1504,"*",业务流水!$D$5:$D$1504,"我方收款",业务流水!$C$5:$C$1504,$A122,业务流水!$Z$5:$Z$1504,"是"))</f>
        <v/>
      </c>
      <c r="N122" s="43" t="str">
        <f aca="false">IF($A122="","",$K122-$M122)</f>
        <v/>
      </c>
      <c r="O122" s="41" t="str">
        <f aca="false">IF($A122="","",SUMIFS(业务流水!$H$5:$H$1504,业务流水!$F$5:$F$1504,"*",业务流水!$D$5:$D$1504,"管理费结算",业务流水!$C$5:$C$1504,$A122,业务流水!$Z$5:$Z$1504,"是"))</f>
        <v/>
      </c>
      <c r="P122" s="41" t="str">
        <f aca="false">IF($A122="","",SUMIFS(业务流水!$H$5:$H$1504,业务流水!$E$5:$E$1504,"*",业务流水!$D$5:$D$1504,"扣质保金",业务流水!$C$5:$C$1504,$A122,业务流水!$Z$5:$Z$1504,"是"))</f>
        <v/>
      </c>
    </row>
    <row r="123" customFormat="false" ht="15.75" hidden="false" customHeight="true" outlineLevel="0" collapsed="false">
      <c r="A123" s="32" t="str">
        <f aca="false">IF(项目档案!$A123="","",项目档案!$A123)</f>
        <v/>
      </c>
      <c r="B123" s="40" t="str">
        <f aca="false">IF($A123="","",项目档案!$B123)</f>
        <v/>
      </c>
      <c r="C123" s="41" t="str">
        <f aca="false">IF($A123="","",SUMIFS(业务流水!$H$5:$H$1504,业务流水!$E$5:$E$1504,"*",业务流水!$D$5:$D$1504,"销项开票",业务流水!$C$5:$C$1504,$A123,业务流水!$Z$5:$Z$1504,"是"))</f>
        <v/>
      </c>
      <c r="D123" s="41" t="str">
        <f aca="false">IF($A123="","",SUMIFS(业务流水!$O$5:$O$1504,业务流水!$E$5:$E$1504,"*",业务流水!$D$5:$D$1504,"销项开票",业务流水!$C$5:$C$1504,$A123,业务流水!$Z$5:$Z$1504,"是"))</f>
        <v/>
      </c>
      <c r="E123" s="41" t="str">
        <f aca="false">IF($A123="","",SUMIFS(业务流水!$P$5:$P$1504,业务流水!$E$5:$E$1504,"*",业务流水!$D$5:$D$1504,"销项开票",业务流水!$C$5:$C$1504,$A123,业务流水!$Z$5:$Z$1504,"是"))</f>
        <v/>
      </c>
      <c r="F123" s="41" t="str">
        <f aca="false">IF($A123="","",SUMIFS(业务流水!$H$5:$H$1504,业务流水!$F$5:$F$1504,"*",业务流水!$D$5:$D$1504,"成本票",业务流水!$C$5:$C$1504,$A123,业务流水!$Z$5:$Z$1504,"是")+SUMIFS(业务流水!$H$5:$H$1504,业务流水!$F$5:$F$1504,"*",业务流水!$D$5:$D$1504,"销项开票",业务流水!$C$5:$C$1504,$A123,业务流水!$Z$5:$Z$1504,"是"))</f>
        <v/>
      </c>
      <c r="G123" s="42" t="str">
        <f aca="false">IF($A123="","",$E123-$F123)</f>
        <v/>
      </c>
      <c r="H123" s="41" t="str">
        <f aca="false">IF($A123="","",SUMIFS(业务流水!$W$5:$W$1504,业务流水!$E$5:$E$1504,"*",业务流水!$D$5:$D$1504,"销项开票",业务流水!$C$5:$C$1504,$A123,业务流水!$Z$5:$Z$1504,"是"))</f>
        <v/>
      </c>
      <c r="I123" s="41" t="str">
        <f aca="false">IF($A123="","",SUMIFS(业务流水!$H$5:$H$1504,业务流水!$E$5:$E$1504,"*",业务流水!$D$5:$D$1504,"已交税",业务流水!$C$5:$C$1504,$A123,业务流水!$Z$5:$Z$1504,"是"))</f>
        <v/>
      </c>
      <c r="J123" s="42" t="str">
        <f aca="false">IF($A123="","",$H123-$I123)</f>
        <v/>
      </c>
      <c r="K123" s="41" t="str">
        <f aca="false">IF($A123="","",SUMIFS(业务流水!$H$5:$H$1504,业务流水!$F$5:$F$1504,"*",业务流水!$D$5:$D$1504,"挂靠代收",业务流水!$C$5:$C$1504,$A123,业务流水!$Z$5:$Z$1504,"是"))</f>
        <v/>
      </c>
      <c r="L123" s="42" t="str">
        <f aca="false">IF($A123="","",$C123-$K123)</f>
        <v/>
      </c>
      <c r="M123" s="41" t="str">
        <f aca="false">IF($A123="","",SUMIFS(业务流水!$H$5:$H$1504,业务流水!$E$5:$E$1504,"*",业务流水!$D$5:$D$1504,"我方收款",业务流水!$C$5:$C$1504,$A123,业务流水!$Z$5:$Z$1504,"是"))</f>
        <v/>
      </c>
      <c r="N123" s="43" t="str">
        <f aca="false">IF($A123="","",$K123-$M123)</f>
        <v/>
      </c>
      <c r="O123" s="41" t="str">
        <f aca="false">IF($A123="","",SUMIFS(业务流水!$H$5:$H$1504,业务流水!$F$5:$F$1504,"*",业务流水!$D$5:$D$1504,"管理费结算",业务流水!$C$5:$C$1504,$A123,业务流水!$Z$5:$Z$1504,"是"))</f>
        <v/>
      </c>
      <c r="P123" s="41" t="str">
        <f aca="false">IF($A123="","",SUMIFS(业务流水!$H$5:$H$1504,业务流水!$E$5:$E$1504,"*",业务流水!$D$5:$D$1504,"扣质保金",业务流水!$C$5:$C$1504,$A123,业务流水!$Z$5:$Z$1504,"是"))</f>
        <v/>
      </c>
    </row>
    <row r="124" customFormat="false" ht="15.75" hidden="false" customHeight="true" outlineLevel="0" collapsed="false">
      <c r="A124" s="32" t="str">
        <f aca="false">IF(项目档案!$A124="","",项目档案!$A124)</f>
        <v/>
      </c>
      <c r="B124" s="40" t="str">
        <f aca="false">IF($A124="","",项目档案!$B124)</f>
        <v/>
      </c>
      <c r="C124" s="41" t="str">
        <f aca="false">IF($A124="","",SUMIFS(业务流水!$H$5:$H$1504,业务流水!$E$5:$E$1504,"*",业务流水!$D$5:$D$1504,"销项开票",业务流水!$C$5:$C$1504,$A124,业务流水!$Z$5:$Z$1504,"是"))</f>
        <v/>
      </c>
      <c r="D124" s="41" t="str">
        <f aca="false">IF($A124="","",SUMIFS(业务流水!$O$5:$O$1504,业务流水!$E$5:$E$1504,"*",业务流水!$D$5:$D$1504,"销项开票",业务流水!$C$5:$C$1504,$A124,业务流水!$Z$5:$Z$1504,"是"))</f>
        <v/>
      </c>
      <c r="E124" s="41" t="str">
        <f aca="false">IF($A124="","",SUMIFS(业务流水!$P$5:$P$1504,业务流水!$E$5:$E$1504,"*",业务流水!$D$5:$D$1504,"销项开票",业务流水!$C$5:$C$1504,$A124,业务流水!$Z$5:$Z$1504,"是"))</f>
        <v/>
      </c>
      <c r="F124" s="41" t="str">
        <f aca="false">IF($A124="","",SUMIFS(业务流水!$H$5:$H$1504,业务流水!$F$5:$F$1504,"*",业务流水!$D$5:$D$1504,"成本票",业务流水!$C$5:$C$1504,$A124,业务流水!$Z$5:$Z$1504,"是")+SUMIFS(业务流水!$H$5:$H$1504,业务流水!$F$5:$F$1504,"*",业务流水!$D$5:$D$1504,"销项开票",业务流水!$C$5:$C$1504,$A124,业务流水!$Z$5:$Z$1504,"是"))</f>
        <v/>
      </c>
      <c r="G124" s="42" t="str">
        <f aca="false">IF($A124="","",$E124-$F124)</f>
        <v/>
      </c>
      <c r="H124" s="41" t="str">
        <f aca="false">IF($A124="","",SUMIFS(业务流水!$W$5:$W$1504,业务流水!$E$5:$E$1504,"*",业务流水!$D$5:$D$1504,"销项开票",业务流水!$C$5:$C$1504,$A124,业务流水!$Z$5:$Z$1504,"是"))</f>
        <v/>
      </c>
      <c r="I124" s="41" t="str">
        <f aca="false">IF($A124="","",SUMIFS(业务流水!$H$5:$H$1504,业务流水!$E$5:$E$1504,"*",业务流水!$D$5:$D$1504,"已交税",业务流水!$C$5:$C$1504,$A124,业务流水!$Z$5:$Z$1504,"是"))</f>
        <v/>
      </c>
      <c r="J124" s="42" t="str">
        <f aca="false">IF($A124="","",$H124-$I124)</f>
        <v/>
      </c>
      <c r="K124" s="41" t="str">
        <f aca="false">IF($A124="","",SUMIFS(业务流水!$H$5:$H$1504,业务流水!$F$5:$F$1504,"*",业务流水!$D$5:$D$1504,"挂靠代收",业务流水!$C$5:$C$1504,$A124,业务流水!$Z$5:$Z$1504,"是"))</f>
        <v/>
      </c>
      <c r="L124" s="42" t="str">
        <f aca="false">IF($A124="","",$C124-$K124)</f>
        <v/>
      </c>
      <c r="M124" s="41" t="str">
        <f aca="false">IF($A124="","",SUMIFS(业务流水!$H$5:$H$1504,业务流水!$E$5:$E$1504,"*",业务流水!$D$5:$D$1504,"我方收款",业务流水!$C$5:$C$1504,$A124,业务流水!$Z$5:$Z$1504,"是"))</f>
        <v/>
      </c>
      <c r="N124" s="43" t="str">
        <f aca="false">IF($A124="","",$K124-$M124)</f>
        <v/>
      </c>
      <c r="O124" s="41" t="str">
        <f aca="false">IF($A124="","",SUMIFS(业务流水!$H$5:$H$1504,业务流水!$F$5:$F$1504,"*",业务流水!$D$5:$D$1504,"管理费结算",业务流水!$C$5:$C$1504,$A124,业务流水!$Z$5:$Z$1504,"是"))</f>
        <v/>
      </c>
      <c r="P124" s="41" t="str">
        <f aca="false">IF($A124="","",SUMIFS(业务流水!$H$5:$H$1504,业务流水!$E$5:$E$1504,"*",业务流水!$D$5:$D$1504,"扣质保金",业务流水!$C$5:$C$1504,$A124,业务流水!$Z$5:$Z$1504,"是"))</f>
        <v/>
      </c>
    </row>
    <row r="125" customFormat="false" ht="15.75" hidden="false" customHeight="true" outlineLevel="0" collapsed="false">
      <c r="A125" s="32" t="str">
        <f aca="false">IF(项目档案!$A125="","",项目档案!$A125)</f>
        <v/>
      </c>
      <c r="B125" s="40" t="str">
        <f aca="false">IF($A125="","",项目档案!$B125)</f>
        <v/>
      </c>
      <c r="C125" s="41" t="str">
        <f aca="false">IF($A125="","",SUMIFS(业务流水!$H$5:$H$1504,业务流水!$E$5:$E$1504,"*",业务流水!$D$5:$D$1504,"销项开票",业务流水!$C$5:$C$1504,$A125,业务流水!$Z$5:$Z$1504,"是"))</f>
        <v/>
      </c>
      <c r="D125" s="41" t="str">
        <f aca="false">IF($A125="","",SUMIFS(业务流水!$O$5:$O$1504,业务流水!$E$5:$E$1504,"*",业务流水!$D$5:$D$1504,"销项开票",业务流水!$C$5:$C$1504,$A125,业务流水!$Z$5:$Z$1504,"是"))</f>
        <v/>
      </c>
      <c r="E125" s="41" t="str">
        <f aca="false">IF($A125="","",SUMIFS(业务流水!$P$5:$P$1504,业务流水!$E$5:$E$1504,"*",业务流水!$D$5:$D$1504,"销项开票",业务流水!$C$5:$C$1504,$A125,业务流水!$Z$5:$Z$1504,"是"))</f>
        <v/>
      </c>
      <c r="F125" s="41" t="str">
        <f aca="false">IF($A125="","",SUMIFS(业务流水!$H$5:$H$1504,业务流水!$F$5:$F$1504,"*",业务流水!$D$5:$D$1504,"成本票",业务流水!$C$5:$C$1504,$A125,业务流水!$Z$5:$Z$1504,"是")+SUMIFS(业务流水!$H$5:$H$1504,业务流水!$F$5:$F$1504,"*",业务流水!$D$5:$D$1504,"销项开票",业务流水!$C$5:$C$1504,$A125,业务流水!$Z$5:$Z$1504,"是"))</f>
        <v/>
      </c>
      <c r="G125" s="42" t="str">
        <f aca="false">IF($A125="","",$E125-$F125)</f>
        <v/>
      </c>
      <c r="H125" s="41" t="str">
        <f aca="false">IF($A125="","",SUMIFS(业务流水!$W$5:$W$1504,业务流水!$E$5:$E$1504,"*",业务流水!$D$5:$D$1504,"销项开票",业务流水!$C$5:$C$1504,$A125,业务流水!$Z$5:$Z$1504,"是"))</f>
        <v/>
      </c>
      <c r="I125" s="41" t="str">
        <f aca="false">IF($A125="","",SUMIFS(业务流水!$H$5:$H$1504,业务流水!$E$5:$E$1504,"*",业务流水!$D$5:$D$1504,"已交税",业务流水!$C$5:$C$1504,$A125,业务流水!$Z$5:$Z$1504,"是"))</f>
        <v/>
      </c>
      <c r="J125" s="42" t="str">
        <f aca="false">IF($A125="","",$H125-$I125)</f>
        <v/>
      </c>
      <c r="K125" s="41" t="str">
        <f aca="false">IF($A125="","",SUMIFS(业务流水!$H$5:$H$1504,业务流水!$F$5:$F$1504,"*",业务流水!$D$5:$D$1504,"挂靠代收",业务流水!$C$5:$C$1504,$A125,业务流水!$Z$5:$Z$1504,"是"))</f>
        <v/>
      </c>
      <c r="L125" s="42" t="str">
        <f aca="false">IF($A125="","",$C125-$K125)</f>
        <v/>
      </c>
      <c r="M125" s="41" t="str">
        <f aca="false">IF($A125="","",SUMIFS(业务流水!$H$5:$H$1504,业务流水!$E$5:$E$1504,"*",业务流水!$D$5:$D$1504,"我方收款",业务流水!$C$5:$C$1504,$A125,业务流水!$Z$5:$Z$1504,"是"))</f>
        <v/>
      </c>
      <c r="N125" s="43" t="str">
        <f aca="false">IF($A125="","",$K125-$M125)</f>
        <v/>
      </c>
      <c r="O125" s="41" t="str">
        <f aca="false">IF($A125="","",SUMIFS(业务流水!$H$5:$H$1504,业务流水!$F$5:$F$1504,"*",业务流水!$D$5:$D$1504,"管理费结算",业务流水!$C$5:$C$1504,$A125,业务流水!$Z$5:$Z$1504,"是"))</f>
        <v/>
      </c>
      <c r="P125" s="41" t="str">
        <f aca="false">IF($A125="","",SUMIFS(业务流水!$H$5:$H$1504,业务流水!$E$5:$E$1504,"*",业务流水!$D$5:$D$1504,"扣质保金",业务流水!$C$5:$C$1504,$A125,业务流水!$Z$5:$Z$1504,"是"))</f>
        <v/>
      </c>
    </row>
    <row r="126" customFormat="false" ht="15.75" hidden="false" customHeight="true" outlineLevel="0" collapsed="false">
      <c r="A126" s="32" t="str">
        <f aca="false">IF(项目档案!$A126="","",项目档案!$A126)</f>
        <v/>
      </c>
      <c r="B126" s="40" t="str">
        <f aca="false">IF($A126="","",项目档案!$B126)</f>
        <v/>
      </c>
      <c r="C126" s="41" t="str">
        <f aca="false">IF($A126="","",SUMIFS(业务流水!$H$5:$H$1504,业务流水!$E$5:$E$1504,"*",业务流水!$D$5:$D$1504,"销项开票",业务流水!$C$5:$C$1504,$A126,业务流水!$Z$5:$Z$1504,"是"))</f>
        <v/>
      </c>
      <c r="D126" s="41" t="str">
        <f aca="false">IF($A126="","",SUMIFS(业务流水!$O$5:$O$1504,业务流水!$E$5:$E$1504,"*",业务流水!$D$5:$D$1504,"销项开票",业务流水!$C$5:$C$1504,$A126,业务流水!$Z$5:$Z$1504,"是"))</f>
        <v/>
      </c>
      <c r="E126" s="41" t="str">
        <f aca="false">IF($A126="","",SUMIFS(业务流水!$P$5:$P$1504,业务流水!$E$5:$E$1504,"*",业务流水!$D$5:$D$1504,"销项开票",业务流水!$C$5:$C$1504,$A126,业务流水!$Z$5:$Z$1504,"是"))</f>
        <v/>
      </c>
      <c r="F126" s="41" t="str">
        <f aca="false">IF($A126="","",SUMIFS(业务流水!$H$5:$H$1504,业务流水!$F$5:$F$1504,"*",业务流水!$D$5:$D$1504,"成本票",业务流水!$C$5:$C$1504,$A126,业务流水!$Z$5:$Z$1504,"是")+SUMIFS(业务流水!$H$5:$H$1504,业务流水!$F$5:$F$1504,"*",业务流水!$D$5:$D$1504,"销项开票",业务流水!$C$5:$C$1504,$A126,业务流水!$Z$5:$Z$1504,"是"))</f>
        <v/>
      </c>
      <c r="G126" s="42" t="str">
        <f aca="false">IF($A126="","",$E126-$F126)</f>
        <v/>
      </c>
      <c r="H126" s="41" t="str">
        <f aca="false">IF($A126="","",SUMIFS(业务流水!$W$5:$W$1504,业务流水!$E$5:$E$1504,"*",业务流水!$D$5:$D$1504,"销项开票",业务流水!$C$5:$C$1504,$A126,业务流水!$Z$5:$Z$1504,"是"))</f>
        <v/>
      </c>
      <c r="I126" s="41" t="str">
        <f aca="false">IF($A126="","",SUMIFS(业务流水!$H$5:$H$1504,业务流水!$E$5:$E$1504,"*",业务流水!$D$5:$D$1504,"已交税",业务流水!$C$5:$C$1504,$A126,业务流水!$Z$5:$Z$1504,"是"))</f>
        <v/>
      </c>
      <c r="J126" s="42" t="str">
        <f aca="false">IF($A126="","",$H126-$I126)</f>
        <v/>
      </c>
      <c r="K126" s="41" t="str">
        <f aca="false">IF($A126="","",SUMIFS(业务流水!$H$5:$H$1504,业务流水!$F$5:$F$1504,"*",业务流水!$D$5:$D$1504,"挂靠代收",业务流水!$C$5:$C$1504,$A126,业务流水!$Z$5:$Z$1504,"是"))</f>
        <v/>
      </c>
      <c r="L126" s="42" t="str">
        <f aca="false">IF($A126="","",$C126-$K126)</f>
        <v/>
      </c>
      <c r="M126" s="41" t="str">
        <f aca="false">IF($A126="","",SUMIFS(业务流水!$H$5:$H$1504,业务流水!$E$5:$E$1504,"*",业务流水!$D$5:$D$1504,"我方收款",业务流水!$C$5:$C$1504,$A126,业务流水!$Z$5:$Z$1504,"是"))</f>
        <v/>
      </c>
      <c r="N126" s="43" t="str">
        <f aca="false">IF($A126="","",$K126-$M126)</f>
        <v/>
      </c>
      <c r="O126" s="41" t="str">
        <f aca="false">IF($A126="","",SUMIFS(业务流水!$H$5:$H$1504,业务流水!$F$5:$F$1504,"*",业务流水!$D$5:$D$1504,"管理费结算",业务流水!$C$5:$C$1504,$A126,业务流水!$Z$5:$Z$1504,"是"))</f>
        <v/>
      </c>
      <c r="P126" s="41" t="str">
        <f aca="false">IF($A126="","",SUMIFS(业务流水!$H$5:$H$1504,业务流水!$E$5:$E$1504,"*",业务流水!$D$5:$D$1504,"扣质保金",业务流水!$C$5:$C$1504,$A126,业务流水!$Z$5:$Z$1504,"是"))</f>
        <v/>
      </c>
    </row>
    <row r="127" customFormat="false" ht="15.75" hidden="false" customHeight="true" outlineLevel="0" collapsed="false">
      <c r="A127" s="32" t="str">
        <f aca="false">IF(项目档案!$A127="","",项目档案!$A127)</f>
        <v/>
      </c>
      <c r="B127" s="40" t="str">
        <f aca="false">IF($A127="","",项目档案!$B127)</f>
        <v/>
      </c>
      <c r="C127" s="41" t="str">
        <f aca="false">IF($A127="","",SUMIFS(业务流水!$H$5:$H$1504,业务流水!$E$5:$E$1504,"*",业务流水!$D$5:$D$1504,"销项开票",业务流水!$C$5:$C$1504,$A127,业务流水!$Z$5:$Z$1504,"是"))</f>
        <v/>
      </c>
      <c r="D127" s="41" t="str">
        <f aca="false">IF($A127="","",SUMIFS(业务流水!$O$5:$O$1504,业务流水!$E$5:$E$1504,"*",业务流水!$D$5:$D$1504,"销项开票",业务流水!$C$5:$C$1504,$A127,业务流水!$Z$5:$Z$1504,"是"))</f>
        <v/>
      </c>
      <c r="E127" s="41" t="str">
        <f aca="false">IF($A127="","",SUMIFS(业务流水!$P$5:$P$1504,业务流水!$E$5:$E$1504,"*",业务流水!$D$5:$D$1504,"销项开票",业务流水!$C$5:$C$1504,$A127,业务流水!$Z$5:$Z$1504,"是"))</f>
        <v/>
      </c>
      <c r="F127" s="41" t="str">
        <f aca="false">IF($A127="","",SUMIFS(业务流水!$H$5:$H$1504,业务流水!$F$5:$F$1504,"*",业务流水!$D$5:$D$1504,"成本票",业务流水!$C$5:$C$1504,$A127,业务流水!$Z$5:$Z$1504,"是")+SUMIFS(业务流水!$H$5:$H$1504,业务流水!$F$5:$F$1504,"*",业务流水!$D$5:$D$1504,"销项开票",业务流水!$C$5:$C$1504,$A127,业务流水!$Z$5:$Z$1504,"是"))</f>
        <v/>
      </c>
      <c r="G127" s="42" t="str">
        <f aca="false">IF($A127="","",$E127-$F127)</f>
        <v/>
      </c>
      <c r="H127" s="41" t="str">
        <f aca="false">IF($A127="","",SUMIFS(业务流水!$W$5:$W$1504,业务流水!$E$5:$E$1504,"*",业务流水!$D$5:$D$1504,"销项开票",业务流水!$C$5:$C$1504,$A127,业务流水!$Z$5:$Z$1504,"是"))</f>
        <v/>
      </c>
      <c r="I127" s="41" t="str">
        <f aca="false">IF($A127="","",SUMIFS(业务流水!$H$5:$H$1504,业务流水!$E$5:$E$1504,"*",业务流水!$D$5:$D$1504,"已交税",业务流水!$C$5:$C$1504,$A127,业务流水!$Z$5:$Z$1504,"是"))</f>
        <v/>
      </c>
      <c r="J127" s="42" t="str">
        <f aca="false">IF($A127="","",$H127-$I127)</f>
        <v/>
      </c>
      <c r="K127" s="41" t="str">
        <f aca="false">IF($A127="","",SUMIFS(业务流水!$H$5:$H$1504,业务流水!$F$5:$F$1504,"*",业务流水!$D$5:$D$1504,"挂靠代收",业务流水!$C$5:$C$1504,$A127,业务流水!$Z$5:$Z$1504,"是"))</f>
        <v/>
      </c>
      <c r="L127" s="42" t="str">
        <f aca="false">IF($A127="","",$C127-$K127)</f>
        <v/>
      </c>
      <c r="M127" s="41" t="str">
        <f aca="false">IF($A127="","",SUMIFS(业务流水!$H$5:$H$1504,业务流水!$E$5:$E$1504,"*",业务流水!$D$5:$D$1504,"我方收款",业务流水!$C$5:$C$1504,$A127,业务流水!$Z$5:$Z$1504,"是"))</f>
        <v/>
      </c>
      <c r="N127" s="43" t="str">
        <f aca="false">IF($A127="","",$K127-$M127)</f>
        <v/>
      </c>
      <c r="O127" s="41" t="str">
        <f aca="false">IF($A127="","",SUMIFS(业务流水!$H$5:$H$1504,业务流水!$F$5:$F$1504,"*",业务流水!$D$5:$D$1504,"管理费结算",业务流水!$C$5:$C$1504,$A127,业务流水!$Z$5:$Z$1504,"是"))</f>
        <v/>
      </c>
      <c r="P127" s="41" t="str">
        <f aca="false">IF($A127="","",SUMIFS(业务流水!$H$5:$H$1504,业务流水!$E$5:$E$1504,"*",业务流水!$D$5:$D$1504,"扣质保金",业务流水!$C$5:$C$1504,$A127,业务流水!$Z$5:$Z$1504,"是"))</f>
        <v/>
      </c>
    </row>
    <row r="128" customFormat="false" ht="15.75" hidden="false" customHeight="true" outlineLevel="0" collapsed="false">
      <c r="A128" s="32" t="str">
        <f aca="false">IF(项目档案!$A128="","",项目档案!$A128)</f>
        <v/>
      </c>
      <c r="B128" s="40" t="str">
        <f aca="false">IF($A128="","",项目档案!$B128)</f>
        <v/>
      </c>
      <c r="C128" s="41" t="str">
        <f aca="false">IF($A128="","",SUMIFS(业务流水!$H$5:$H$1504,业务流水!$E$5:$E$1504,"*",业务流水!$D$5:$D$1504,"销项开票",业务流水!$C$5:$C$1504,$A128,业务流水!$Z$5:$Z$1504,"是"))</f>
        <v/>
      </c>
      <c r="D128" s="41" t="str">
        <f aca="false">IF($A128="","",SUMIFS(业务流水!$O$5:$O$1504,业务流水!$E$5:$E$1504,"*",业务流水!$D$5:$D$1504,"销项开票",业务流水!$C$5:$C$1504,$A128,业务流水!$Z$5:$Z$1504,"是"))</f>
        <v/>
      </c>
      <c r="E128" s="41" t="str">
        <f aca="false">IF($A128="","",SUMIFS(业务流水!$P$5:$P$1504,业务流水!$E$5:$E$1504,"*",业务流水!$D$5:$D$1504,"销项开票",业务流水!$C$5:$C$1504,$A128,业务流水!$Z$5:$Z$1504,"是"))</f>
        <v/>
      </c>
      <c r="F128" s="41" t="str">
        <f aca="false">IF($A128="","",SUMIFS(业务流水!$H$5:$H$1504,业务流水!$F$5:$F$1504,"*",业务流水!$D$5:$D$1504,"成本票",业务流水!$C$5:$C$1504,$A128,业务流水!$Z$5:$Z$1504,"是")+SUMIFS(业务流水!$H$5:$H$1504,业务流水!$F$5:$F$1504,"*",业务流水!$D$5:$D$1504,"销项开票",业务流水!$C$5:$C$1504,$A128,业务流水!$Z$5:$Z$1504,"是"))</f>
        <v/>
      </c>
      <c r="G128" s="42" t="str">
        <f aca="false">IF($A128="","",$E128-$F128)</f>
        <v/>
      </c>
      <c r="H128" s="41" t="str">
        <f aca="false">IF($A128="","",SUMIFS(业务流水!$W$5:$W$1504,业务流水!$E$5:$E$1504,"*",业务流水!$D$5:$D$1504,"销项开票",业务流水!$C$5:$C$1504,$A128,业务流水!$Z$5:$Z$1504,"是"))</f>
        <v/>
      </c>
      <c r="I128" s="41" t="str">
        <f aca="false">IF($A128="","",SUMIFS(业务流水!$H$5:$H$1504,业务流水!$E$5:$E$1504,"*",业务流水!$D$5:$D$1504,"已交税",业务流水!$C$5:$C$1504,$A128,业务流水!$Z$5:$Z$1504,"是"))</f>
        <v/>
      </c>
      <c r="J128" s="42" t="str">
        <f aca="false">IF($A128="","",$H128-$I128)</f>
        <v/>
      </c>
      <c r="K128" s="41" t="str">
        <f aca="false">IF($A128="","",SUMIFS(业务流水!$H$5:$H$1504,业务流水!$F$5:$F$1504,"*",业务流水!$D$5:$D$1504,"挂靠代收",业务流水!$C$5:$C$1504,$A128,业务流水!$Z$5:$Z$1504,"是"))</f>
        <v/>
      </c>
      <c r="L128" s="42" t="str">
        <f aca="false">IF($A128="","",$C128-$K128)</f>
        <v/>
      </c>
      <c r="M128" s="41" t="str">
        <f aca="false">IF($A128="","",SUMIFS(业务流水!$H$5:$H$1504,业务流水!$E$5:$E$1504,"*",业务流水!$D$5:$D$1504,"我方收款",业务流水!$C$5:$C$1504,$A128,业务流水!$Z$5:$Z$1504,"是"))</f>
        <v/>
      </c>
      <c r="N128" s="43" t="str">
        <f aca="false">IF($A128="","",$K128-$M128)</f>
        <v/>
      </c>
      <c r="O128" s="41" t="str">
        <f aca="false">IF($A128="","",SUMIFS(业务流水!$H$5:$H$1504,业务流水!$F$5:$F$1504,"*",业务流水!$D$5:$D$1504,"管理费结算",业务流水!$C$5:$C$1504,$A128,业务流水!$Z$5:$Z$1504,"是"))</f>
        <v/>
      </c>
      <c r="P128" s="41" t="str">
        <f aca="false">IF($A128="","",SUMIFS(业务流水!$H$5:$H$1504,业务流水!$E$5:$E$1504,"*",业务流水!$D$5:$D$1504,"扣质保金",业务流水!$C$5:$C$1504,$A128,业务流水!$Z$5:$Z$1504,"是"))</f>
        <v/>
      </c>
    </row>
    <row r="129" customFormat="false" ht="15.75" hidden="false" customHeight="true" outlineLevel="0" collapsed="false">
      <c r="A129" s="32" t="str">
        <f aca="false">IF(项目档案!$A129="","",项目档案!$A129)</f>
        <v/>
      </c>
      <c r="B129" s="40" t="str">
        <f aca="false">IF($A129="","",项目档案!$B129)</f>
        <v/>
      </c>
      <c r="C129" s="41" t="str">
        <f aca="false">IF($A129="","",SUMIFS(业务流水!$H$5:$H$1504,业务流水!$E$5:$E$1504,"*",业务流水!$D$5:$D$1504,"销项开票",业务流水!$C$5:$C$1504,$A129,业务流水!$Z$5:$Z$1504,"是"))</f>
        <v/>
      </c>
      <c r="D129" s="41" t="str">
        <f aca="false">IF($A129="","",SUMIFS(业务流水!$O$5:$O$1504,业务流水!$E$5:$E$1504,"*",业务流水!$D$5:$D$1504,"销项开票",业务流水!$C$5:$C$1504,$A129,业务流水!$Z$5:$Z$1504,"是"))</f>
        <v/>
      </c>
      <c r="E129" s="41" t="str">
        <f aca="false">IF($A129="","",SUMIFS(业务流水!$P$5:$P$1504,业务流水!$E$5:$E$1504,"*",业务流水!$D$5:$D$1504,"销项开票",业务流水!$C$5:$C$1504,$A129,业务流水!$Z$5:$Z$1504,"是"))</f>
        <v/>
      </c>
      <c r="F129" s="41" t="str">
        <f aca="false">IF($A129="","",SUMIFS(业务流水!$H$5:$H$1504,业务流水!$F$5:$F$1504,"*",业务流水!$D$5:$D$1504,"成本票",业务流水!$C$5:$C$1504,$A129,业务流水!$Z$5:$Z$1504,"是")+SUMIFS(业务流水!$H$5:$H$1504,业务流水!$F$5:$F$1504,"*",业务流水!$D$5:$D$1504,"销项开票",业务流水!$C$5:$C$1504,$A129,业务流水!$Z$5:$Z$1504,"是"))</f>
        <v/>
      </c>
      <c r="G129" s="42" t="str">
        <f aca="false">IF($A129="","",$E129-$F129)</f>
        <v/>
      </c>
      <c r="H129" s="41" t="str">
        <f aca="false">IF($A129="","",SUMIFS(业务流水!$W$5:$W$1504,业务流水!$E$5:$E$1504,"*",业务流水!$D$5:$D$1504,"销项开票",业务流水!$C$5:$C$1504,$A129,业务流水!$Z$5:$Z$1504,"是"))</f>
        <v/>
      </c>
      <c r="I129" s="41" t="str">
        <f aca="false">IF($A129="","",SUMIFS(业务流水!$H$5:$H$1504,业务流水!$E$5:$E$1504,"*",业务流水!$D$5:$D$1504,"已交税",业务流水!$C$5:$C$1504,$A129,业务流水!$Z$5:$Z$1504,"是"))</f>
        <v/>
      </c>
      <c r="J129" s="42" t="str">
        <f aca="false">IF($A129="","",$H129-$I129)</f>
        <v/>
      </c>
      <c r="K129" s="41" t="str">
        <f aca="false">IF($A129="","",SUMIFS(业务流水!$H$5:$H$1504,业务流水!$F$5:$F$1504,"*",业务流水!$D$5:$D$1504,"挂靠代收",业务流水!$C$5:$C$1504,$A129,业务流水!$Z$5:$Z$1504,"是"))</f>
        <v/>
      </c>
      <c r="L129" s="42" t="str">
        <f aca="false">IF($A129="","",$C129-$K129)</f>
        <v/>
      </c>
      <c r="M129" s="41" t="str">
        <f aca="false">IF($A129="","",SUMIFS(业务流水!$H$5:$H$1504,业务流水!$E$5:$E$1504,"*",业务流水!$D$5:$D$1504,"我方收款",业务流水!$C$5:$C$1504,$A129,业务流水!$Z$5:$Z$1504,"是"))</f>
        <v/>
      </c>
      <c r="N129" s="43" t="str">
        <f aca="false">IF($A129="","",$K129-$M129)</f>
        <v/>
      </c>
      <c r="O129" s="41" t="str">
        <f aca="false">IF($A129="","",SUMIFS(业务流水!$H$5:$H$1504,业务流水!$F$5:$F$1504,"*",业务流水!$D$5:$D$1504,"管理费结算",业务流水!$C$5:$C$1504,$A129,业务流水!$Z$5:$Z$1504,"是"))</f>
        <v/>
      </c>
      <c r="P129" s="41" t="str">
        <f aca="false">IF($A129="","",SUMIFS(业务流水!$H$5:$H$1504,业务流水!$E$5:$E$1504,"*",业务流水!$D$5:$D$1504,"扣质保金",业务流水!$C$5:$C$1504,$A129,业务流水!$Z$5:$Z$1504,"是"))</f>
        <v/>
      </c>
    </row>
    <row r="130" customFormat="false" ht="15.75" hidden="false" customHeight="true" outlineLevel="0" collapsed="false">
      <c r="A130" s="32" t="str">
        <f aca="false">IF(项目档案!$A130="","",项目档案!$A130)</f>
        <v/>
      </c>
      <c r="B130" s="40" t="str">
        <f aca="false">IF($A130="","",项目档案!$B130)</f>
        <v/>
      </c>
      <c r="C130" s="41" t="str">
        <f aca="false">IF($A130="","",SUMIFS(业务流水!$H$5:$H$1504,业务流水!$E$5:$E$1504,"*",业务流水!$D$5:$D$1504,"销项开票",业务流水!$C$5:$C$1504,$A130,业务流水!$Z$5:$Z$1504,"是"))</f>
        <v/>
      </c>
      <c r="D130" s="41" t="str">
        <f aca="false">IF($A130="","",SUMIFS(业务流水!$O$5:$O$1504,业务流水!$E$5:$E$1504,"*",业务流水!$D$5:$D$1504,"销项开票",业务流水!$C$5:$C$1504,$A130,业务流水!$Z$5:$Z$1504,"是"))</f>
        <v/>
      </c>
      <c r="E130" s="41" t="str">
        <f aca="false">IF($A130="","",SUMIFS(业务流水!$P$5:$P$1504,业务流水!$E$5:$E$1504,"*",业务流水!$D$5:$D$1504,"销项开票",业务流水!$C$5:$C$1504,$A130,业务流水!$Z$5:$Z$1504,"是"))</f>
        <v/>
      </c>
      <c r="F130" s="41" t="str">
        <f aca="false">IF($A130="","",SUMIFS(业务流水!$H$5:$H$1504,业务流水!$F$5:$F$1504,"*",业务流水!$D$5:$D$1504,"成本票",业务流水!$C$5:$C$1504,$A130,业务流水!$Z$5:$Z$1504,"是")+SUMIFS(业务流水!$H$5:$H$1504,业务流水!$F$5:$F$1504,"*",业务流水!$D$5:$D$1504,"销项开票",业务流水!$C$5:$C$1504,$A130,业务流水!$Z$5:$Z$1504,"是"))</f>
        <v/>
      </c>
      <c r="G130" s="42" t="str">
        <f aca="false">IF($A130="","",$E130-$F130)</f>
        <v/>
      </c>
      <c r="H130" s="41" t="str">
        <f aca="false">IF($A130="","",SUMIFS(业务流水!$W$5:$W$1504,业务流水!$E$5:$E$1504,"*",业务流水!$D$5:$D$1504,"销项开票",业务流水!$C$5:$C$1504,$A130,业务流水!$Z$5:$Z$1504,"是"))</f>
        <v/>
      </c>
      <c r="I130" s="41" t="str">
        <f aca="false">IF($A130="","",SUMIFS(业务流水!$H$5:$H$1504,业务流水!$E$5:$E$1504,"*",业务流水!$D$5:$D$1504,"已交税",业务流水!$C$5:$C$1504,$A130,业务流水!$Z$5:$Z$1504,"是"))</f>
        <v/>
      </c>
      <c r="J130" s="42" t="str">
        <f aca="false">IF($A130="","",$H130-$I130)</f>
        <v/>
      </c>
      <c r="K130" s="41" t="str">
        <f aca="false">IF($A130="","",SUMIFS(业务流水!$H$5:$H$1504,业务流水!$F$5:$F$1504,"*",业务流水!$D$5:$D$1504,"挂靠代收",业务流水!$C$5:$C$1504,$A130,业务流水!$Z$5:$Z$1504,"是"))</f>
        <v/>
      </c>
      <c r="L130" s="42" t="str">
        <f aca="false">IF($A130="","",$C130-$K130)</f>
        <v/>
      </c>
      <c r="M130" s="41" t="str">
        <f aca="false">IF($A130="","",SUMIFS(业务流水!$H$5:$H$1504,业务流水!$E$5:$E$1504,"*",业务流水!$D$5:$D$1504,"我方收款",业务流水!$C$5:$C$1504,$A130,业务流水!$Z$5:$Z$1504,"是"))</f>
        <v/>
      </c>
      <c r="N130" s="43" t="str">
        <f aca="false">IF($A130="","",$K130-$M130)</f>
        <v/>
      </c>
      <c r="O130" s="41" t="str">
        <f aca="false">IF($A130="","",SUMIFS(业务流水!$H$5:$H$1504,业务流水!$F$5:$F$1504,"*",业务流水!$D$5:$D$1504,"管理费结算",业务流水!$C$5:$C$1504,$A130,业务流水!$Z$5:$Z$1504,"是"))</f>
        <v/>
      </c>
      <c r="P130" s="41" t="str">
        <f aca="false">IF($A130="","",SUMIFS(业务流水!$H$5:$H$1504,业务流水!$E$5:$E$1504,"*",业务流水!$D$5:$D$1504,"扣质保金",业务流水!$C$5:$C$1504,$A130,业务流水!$Z$5:$Z$1504,"是"))</f>
        <v/>
      </c>
    </row>
    <row r="131" customFormat="false" ht="15.75" hidden="false" customHeight="true" outlineLevel="0" collapsed="false">
      <c r="A131" s="32" t="str">
        <f aca="false">IF(项目档案!$A131="","",项目档案!$A131)</f>
        <v/>
      </c>
      <c r="B131" s="40" t="str">
        <f aca="false">IF($A131="","",项目档案!$B131)</f>
        <v/>
      </c>
      <c r="C131" s="41" t="str">
        <f aca="false">IF($A131="","",SUMIFS(业务流水!$H$5:$H$1504,业务流水!$E$5:$E$1504,"*",业务流水!$D$5:$D$1504,"销项开票",业务流水!$C$5:$C$1504,$A131,业务流水!$Z$5:$Z$1504,"是"))</f>
        <v/>
      </c>
      <c r="D131" s="41" t="str">
        <f aca="false">IF($A131="","",SUMIFS(业务流水!$O$5:$O$1504,业务流水!$E$5:$E$1504,"*",业务流水!$D$5:$D$1504,"销项开票",业务流水!$C$5:$C$1504,$A131,业务流水!$Z$5:$Z$1504,"是"))</f>
        <v/>
      </c>
      <c r="E131" s="41" t="str">
        <f aca="false">IF($A131="","",SUMIFS(业务流水!$P$5:$P$1504,业务流水!$E$5:$E$1504,"*",业务流水!$D$5:$D$1504,"销项开票",业务流水!$C$5:$C$1504,$A131,业务流水!$Z$5:$Z$1504,"是"))</f>
        <v/>
      </c>
      <c r="F131" s="41" t="str">
        <f aca="false">IF($A131="","",SUMIFS(业务流水!$H$5:$H$1504,业务流水!$F$5:$F$1504,"*",业务流水!$D$5:$D$1504,"成本票",业务流水!$C$5:$C$1504,$A131,业务流水!$Z$5:$Z$1504,"是")+SUMIFS(业务流水!$H$5:$H$1504,业务流水!$F$5:$F$1504,"*",业务流水!$D$5:$D$1504,"销项开票",业务流水!$C$5:$C$1504,$A131,业务流水!$Z$5:$Z$1504,"是"))</f>
        <v/>
      </c>
      <c r="G131" s="42" t="str">
        <f aca="false">IF($A131="","",$E131-$F131)</f>
        <v/>
      </c>
      <c r="H131" s="41" t="str">
        <f aca="false">IF($A131="","",SUMIFS(业务流水!$W$5:$W$1504,业务流水!$E$5:$E$1504,"*",业务流水!$D$5:$D$1504,"销项开票",业务流水!$C$5:$C$1504,$A131,业务流水!$Z$5:$Z$1504,"是"))</f>
        <v/>
      </c>
      <c r="I131" s="41" t="str">
        <f aca="false">IF($A131="","",SUMIFS(业务流水!$H$5:$H$1504,业务流水!$E$5:$E$1504,"*",业务流水!$D$5:$D$1504,"已交税",业务流水!$C$5:$C$1504,$A131,业务流水!$Z$5:$Z$1504,"是"))</f>
        <v/>
      </c>
      <c r="J131" s="42" t="str">
        <f aca="false">IF($A131="","",$H131-$I131)</f>
        <v/>
      </c>
      <c r="K131" s="41" t="str">
        <f aca="false">IF($A131="","",SUMIFS(业务流水!$H$5:$H$1504,业务流水!$F$5:$F$1504,"*",业务流水!$D$5:$D$1504,"挂靠代收",业务流水!$C$5:$C$1504,$A131,业务流水!$Z$5:$Z$1504,"是"))</f>
        <v/>
      </c>
      <c r="L131" s="42" t="str">
        <f aca="false">IF($A131="","",$C131-$K131)</f>
        <v/>
      </c>
      <c r="M131" s="41" t="str">
        <f aca="false">IF($A131="","",SUMIFS(业务流水!$H$5:$H$1504,业务流水!$E$5:$E$1504,"*",业务流水!$D$5:$D$1504,"我方收款",业务流水!$C$5:$C$1504,$A131,业务流水!$Z$5:$Z$1504,"是"))</f>
        <v/>
      </c>
      <c r="N131" s="43" t="str">
        <f aca="false">IF($A131="","",$K131-$M131)</f>
        <v/>
      </c>
      <c r="O131" s="41" t="str">
        <f aca="false">IF($A131="","",SUMIFS(业务流水!$H$5:$H$1504,业务流水!$F$5:$F$1504,"*",业务流水!$D$5:$D$1504,"管理费结算",业务流水!$C$5:$C$1504,$A131,业务流水!$Z$5:$Z$1504,"是"))</f>
        <v/>
      </c>
      <c r="P131" s="41" t="str">
        <f aca="false">IF($A131="","",SUMIFS(业务流水!$H$5:$H$1504,业务流水!$E$5:$E$1504,"*",业务流水!$D$5:$D$1504,"扣质保金",业务流水!$C$5:$C$1504,$A131,业务流水!$Z$5:$Z$1504,"是"))</f>
        <v/>
      </c>
    </row>
    <row r="132" customFormat="false" ht="15.75" hidden="false" customHeight="true" outlineLevel="0" collapsed="false">
      <c r="A132" s="32" t="str">
        <f aca="false">IF(项目档案!$A132="","",项目档案!$A132)</f>
        <v/>
      </c>
      <c r="B132" s="40" t="str">
        <f aca="false">IF($A132="","",项目档案!$B132)</f>
        <v/>
      </c>
      <c r="C132" s="41" t="str">
        <f aca="false">IF($A132="","",SUMIFS(业务流水!$H$5:$H$1504,业务流水!$E$5:$E$1504,"*",业务流水!$D$5:$D$1504,"销项开票",业务流水!$C$5:$C$1504,$A132,业务流水!$Z$5:$Z$1504,"是"))</f>
        <v/>
      </c>
      <c r="D132" s="41" t="str">
        <f aca="false">IF($A132="","",SUMIFS(业务流水!$O$5:$O$1504,业务流水!$E$5:$E$1504,"*",业务流水!$D$5:$D$1504,"销项开票",业务流水!$C$5:$C$1504,$A132,业务流水!$Z$5:$Z$1504,"是"))</f>
        <v/>
      </c>
      <c r="E132" s="41" t="str">
        <f aca="false">IF($A132="","",SUMIFS(业务流水!$P$5:$P$1504,业务流水!$E$5:$E$1504,"*",业务流水!$D$5:$D$1504,"销项开票",业务流水!$C$5:$C$1504,$A132,业务流水!$Z$5:$Z$1504,"是"))</f>
        <v/>
      </c>
      <c r="F132" s="41" t="str">
        <f aca="false">IF($A132="","",SUMIFS(业务流水!$H$5:$H$1504,业务流水!$F$5:$F$1504,"*",业务流水!$D$5:$D$1504,"成本票",业务流水!$C$5:$C$1504,$A132,业务流水!$Z$5:$Z$1504,"是")+SUMIFS(业务流水!$H$5:$H$1504,业务流水!$F$5:$F$1504,"*",业务流水!$D$5:$D$1504,"销项开票",业务流水!$C$5:$C$1504,$A132,业务流水!$Z$5:$Z$1504,"是"))</f>
        <v/>
      </c>
      <c r="G132" s="42" t="str">
        <f aca="false">IF($A132="","",$E132-$F132)</f>
        <v/>
      </c>
      <c r="H132" s="41" t="str">
        <f aca="false">IF($A132="","",SUMIFS(业务流水!$W$5:$W$1504,业务流水!$E$5:$E$1504,"*",业务流水!$D$5:$D$1504,"销项开票",业务流水!$C$5:$C$1504,$A132,业务流水!$Z$5:$Z$1504,"是"))</f>
        <v/>
      </c>
      <c r="I132" s="41" t="str">
        <f aca="false">IF($A132="","",SUMIFS(业务流水!$H$5:$H$1504,业务流水!$E$5:$E$1504,"*",业务流水!$D$5:$D$1504,"已交税",业务流水!$C$5:$C$1504,$A132,业务流水!$Z$5:$Z$1504,"是"))</f>
        <v/>
      </c>
      <c r="J132" s="42" t="str">
        <f aca="false">IF($A132="","",$H132-$I132)</f>
        <v/>
      </c>
      <c r="K132" s="41" t="str">
        <f aca="false">IF($A132="","",SUMIFS(业务流水!$H$5:$H$1504,业务流水!$F$5:$F$1504,"*",业务流水!$D$5:$D$1504,"挂靠代收",业务流水!$C$5:$C$1504,$A132,业务流水!$Z$5:$Z$1504,"是"))</f>
        <v/>
      </c>
      <c r="L132" s="42" t="str">
        <f aca="false">IF($A132="","",$C132-$K132)</f>
        <v/>
      </c>
      <c r="M132" s="41" t="str">
        <f aca="false">IF($A132="","",SUMIFS(业务流水!$H$5:$H$1504,业务流水!$E$5:$E$1504,"*",业务流水!$D$5:$D$1504,"我方收款",业务流水!$C$5:$C$1504,$A132,业务流水!$Z$5:$Z$1504,"是"))</f>
        <v/>
      </c>
      <c r="N132" s="43" t="str">
        <f aca="false">IF($A132="","",$K132-$M132)</f>
        <v/>
      </c>
      <c r="O132" s="41" t="str">
        <f aca="false">IF($A132="","",SUMIFS(业务流水!$H$5:$H$1504,业务流水!$F$5:$F$1504,"*",业务流水!$D$5:$D$1504,"管理费结算",业务流水!$C$5:$C$1504,$A132,业务流水!$Z$5:$Z$1504,"是"))</f>
        <v/>
      </c>
      <c r="P132" s="41" t="str">
        <f aca="false">IF($A132="","",SUMIFS(业务流水!$H$5:$H$1504,业务流水!$E$5:$E$1504,"*",业务流水!$D$5:$D$1504,"扣质保金",业务流水!$C$5:$C$1504,$A132,业务流水!$Z$5:$Z$1504,"是"))</f>
        <v/>
      </c>
    </row>
    <row r="133" customFormat="false" ht="15.75" hidden="false" customHeight="true" outlineLevel="0" collapsed="false">
      <c r="A133" s="32" t="str">
        <f aca="false">IF(项目档案!$A133="","",项目档案!$A133)</f>
        <v/>
      </c>
      <c r="B133" s="40" t="str">
        <f aca="false">IF($A133="","",项目档案!$B133)</f>
        <v/>
      </c>
      <c r="C133" s="41" t="str">
        <f aca="false">IF($A133="","",SUMIFS(业务流水!$H$5:$H$1504,业务流水!$E$5:$E$1504,"*",业务流水!$D$5:$D$1504,"销项开票",业务流水!$C$5:$C$1504,$A133,业务流水!$Z$5:$Z$1504,"是"))</f>
        <v/>
      </c>
      <c r="D133" s="41" t="str">
        <f aca="false">IF($A133="","",SUMIFS(业务流水!$O$5:$O$1504,业务流水!$E$5:$E$1504,"*",业务流水!$D$5:$D$1504,"销项开票",业务流水!$C$5:$C$1504,$A133,业务流水!$Z$5:$Z$1504,"是"))</f>
        <v/>
      </c>
      <c r="E133" s="41" t="str">
        <f aca="false">IF($A133="","",SUMIFS(业务流水!$P$5:$P$1504,业务流水!$E$5:$E$1504,"*",业务流水!$D$5:$D$1504,"销项开票",业务流水!$C$5:$C$1504,$A133,业务流水!$Z$5:$Z$1504,"是"))</f>
        <v/>
      </c>
      <c r="F133" s="41" t="str">
        <f aca="false">IF($A133="","",SUMIFS(业务流水!$H$5:$H$1504,业务流水!$F$5:$F$1504,"*",业务流水!$D$5:$D$1504,"成本票",业务流水!$C$5:$C$1504,$A133,业务流水!$Z$5:$Z$1504,"是")+SUMIFS(业务流水!$H$5:$H$1504,业务流水!$F$5:$F$1504,"*",业务流水!$D$5:$D$1504,"销项开票",业务流水!$C$5:$C$1504,$A133,业务流水!$Z$5:$Z$1504,"是"))</f>
        <v/>
      </c>
      <c r="G133" s="42" t="str">
        <f aca="false">IF($A133="","",$E133-$F133)</f>
        <v/>
      </c>
      <c r="H133" s="41" t="str">
        <f aca="false">IF($A133="","",SUMIFS(业务流水!$W$5:$W$1504,业务流水!$E$5:$E$1504,"*",业务流水!$D$5:$D$1504,"销项开票",业务流水!$C$5:$C$1504,$A133,业务流水!$Z$5:$Z$1504,"是"))</f>
        <v/>
      </c>
      <c r="I133" s="41" t="str">
        <f aca="false">IF($A133="","",SUMIFS(业务流水!$H$5:$H$1504,业务流水!$E$5:$E$1504,"*",业务流水!$D$5:$D$1504,"已交税",业务流水!$C$5:$C$1504,$A133,业务流水!$Z$5:$Z$1504,"是"))</f>
        <v/>
      </c>
      <c r="J133" s="42" t="str">
        <f aca="false">IF($A133="","",$H133-$I133)</f>
        <v/>
      </c>
      <c r="K133" s="41" t="str">
        <f aca="false">IF($A133="","",SUMIFS(业务流水!$H$5:$H$1504,业务流水!$F$5:$F$1504,"*",业务流水!$D$5:$D$1504,"挂靠代收",业务流水!$C$5:$C$1504,$A133,业务流水!$Z$5:$Z$1504,"是"))</f>
        <v/>
      </c>
      <c r="L133" s="42" t="str">
        <f aca="false">IF($A133="","",$C133-$K133)</f>
        <v/>
      </c>
      <c r="M133" s="41" t="str">
        <f aca="false">IF($A133="","",SUMIFS(业务流水!$H$5:$H$1504,业务流水!$E$5:$E$1504,"*",业务流水!$D$5:$D$1504,"我方收款",业务流水!$C$5:$C$1504,$A133,业务流水!$Z$5:$Z$1504,"是"))</f>
        <v/>
      </c>
      <c r="N133" s="43" t="str">
        <f aca="false">IF($A133="","",$K133-$M133)</f>
        <v/>
      </c>
      <c r="O133" s="41" t="str">
        <f aca="false">IF($A133="","",SUMIFS(业务流水!$H$5:$H$1504,业务流水!$F$5:$F$1504,"*",业务流水!$D$5:$D$1504,"管理费结算",业务流水!$C$5:$C$1504,$A133,业务流水!$Z$5:$Z$1504,"是"))</f>
        <v/>
      </c>
      <c r="P133" s="41" t="str">
        <f aca="false">IF($A133="","",SUMIFS(业务流水!$H$5:$H$1504,业务流水!$E$5:$E$1504,"*",业务流水!$D$5:$D$1504,"扣质保金",业务流水!$C$5:$C$1504,$A133,业务流水!$Z$5:$Z$1504,"是"))</f>
        <v/>
      </c>
    </row>
    <row r="134" customFormat="false" ht="15.75" hidden="false" customHeight="true" outlineLevel="0" collapsed="false">
      <c r="A134" s="32" t="str">
        <f aca="false">IF(项目档案!$A134="","",项目档案!$A134)</f>
        <v/>
      </c>
      <c r="B134" s="40" t="str">
        <f aca="false">IF($A134="","",项目档案!$B134)</f>
        <v/>
      </c>
      <c r="C134" s="41" t="str">
        <f aca="false">IF($A134="","",SUMIFS(业务流水!$H$5:$H$1504,业务流水!$E$5:$E$1504,"*",业务流水!$D$5:$D$1504,"销项开票",业务流水!$C$5:$C$1504,$A134,业务流水!$Z$5:$Z$1504,"是"))</f>
        <v/>
      </c>
      <c r="D134" s="41" t="str">
        <f aca="false">IF($A134="","",SUMIFS(业务流水!$O$5:$O$1504,业务流水!$E$5:$E$1504,"*",业务流水!$D$5:$D$1504,"销项开票",业务流水!$C$5:$C$1504,$A134,业务流水!$Z$5:$Z$1504,"是"))</f>
        <v/>
      </c>
      <c r="E134" s="41" t="str">
        <f aca="false">IF($A134="","",SUMIFS(业务流水!$P$5:$P$1504,业务流水!$E$5:$E$1504,"*",业务流水!$D$5:$D$1504,"销项开票",业务流水!$C$5:$C$1504,$A134,业务流水!$Z$5:$Z$1504,"是"))</f>
        <v/>
      </c>
      <c r="F134" s="41" t="str">
        <f aca="false">IF($A134="","",SUMIFS(业务流水!$H$5:$H$1504,业务流水!$F$5:$F$1504,"*",业务流水!$D$5:$D$1504,"成本票",业务流水!$C$5:$C$1504,$A134,业务流水!$Z$5:$Z$1504,"是")+SUMIFS(业务流水!$H$5:$H$1504,业务流水!$F$5:$F$1504,"*",业务流水!$D$5:$D$1504,"销项开票",业务流水!$C$5:$C$1504,$A134,业务流水!$Z$5:$Z$1504,"是"))</f>
        <v/>
      </c>
      <c r="G134" s="42" t="str">
        <f aca="false">IF($A134="","",$E134-$F134)</f>
        <v/>
      </c>
      <c r="H134" s="41" t="str">
        <f aca="false">IF($A134="","",SUMIFS(业务流水!$W$5:$W$1504,业务流水!$E$5:$E$1504,"*",业务流水!$D$5:$D$1504,"销项开票",业务流水!$C$5:$C$1504,$A134,业务流水!$Z$5:$Z$1504,"是"))</f>
        <v/>
      </c>
      <c r="I134" s="41" t="str">
        <f aca="false">IF($A134="","",SUMIFS(业务流水!$H$5:$H$1504,业务流水!$E$5:$E$1504,"*",业务流水!$D$5:$D$1504,"已交税",业务流水!$C$5:$C$1504,$A134,业务流水!$Z$5:$Z$1504,"是"))</f>
        <v/>
      </c>
      <c r="J134" s="42" t="str">
        <f aca="false">IF($A134="","",$H134-$I134)</f>
        <v/>
      </c>
      <c r="K134" s="41" t="str">
        <f aca="false">IF($A134="","",SUMIFS(业务流水!$H$5:$H$1504,业务流水!$F$5:$F$1504,"*",业务流水!$D$5:$D$1504,"挂靠代收",业务流水!$C$5:$C$1504,$A134,业务流水!$Z$5:$Z$1504,"是"))</f>
        <v/>
      </c>
      <c r="L134" s="42" t="str">
        <f aca="false">IF($A134="","",$C134-$K134)</f>
        <v/>
      </c>
      <c r="M134" s="41" t="str">
        <f aca="false">IF($A134="","",SUMIFS(业务流水!$H$5:$H$1504,业务流水!$E$5:$E$1504,"*",业务流水!$D$5:$D$1504,"我方收款",业务流水!$C$5:$C$1504,$A134,业务流水!$Z$5:$Z$1504,"是"))</f>
        <v/>
      </c>
      <c r="N134" s="43" t="str">
        <f aca="false">IF($A134="","",$K134-$M134)</f>
        <v/>
      </c>
      <c r="O134" s="41" t="str">
        <f aca="false">IF($A134="","",SUMIFS(业务流水!$H$5:$H$1504,业务流水!$F$5:$F$1504,"*",业务流水!$D$5:$D$1504,"管理费结算",业务流水!$C$5:$C$1504,$A134,业务流水!$Z$5:$Z$1504,"是"))</f>
        <v/>
      </c>
      <c r="P134" s="41" t="str">
        <f aca="false">IF($A134="","",SUMIFS(业务流水!$H$5:$H$1504,业务流水!$E$5:$E$1504,"*",业务流水!$D$5:$D$1504,"扣质保金",业务流水!$C$5:$C$1504,$A134,业务流水!$Z$5:$Z$1504,"是"))</f>
        <v/>
      </c>
    </row>
    <row r="135" customFormat="false" ht="15.75" hidden="false" customHeight="true" outlineLevel="0" collapsed="false">
      <c r="A135" s="32" t="str">
        <f aca="false">IF(项目档案!$A135="","",项目档案!$A135)</f>
        <v/>
      </c>
      <c r="B135" s="40" t="str">
        <f aca="false">IF($A135="","",项目档案!$B135)</f>
        <v/>
      </c>
      <c r="C135" s="41" t="str">
        <f aca="false">IF($A135="","",SUMIFS(业务流水!$H$5:$H$1504,业务流水!$E$5:$E$1504,"*",业务流水!$D$5:$D$1504,"销项开票",业务流水!$C$5:$C$1504,$A135,业务流水!$Z$5:$Z$1504,"是"))</f>
        <v/>
      </c>
      <c r="D135" s="41" t="str">
        <f aca="false">IF($A135="","",SUMIFS(业务流水!$O$5:$O$1504,业务流水!$E$5:$E$1504,"*",业务流水!$D$5:$D$1504,"销项开票",业务流水!$C$5:$C$1504,$A135,业务流水!$Z$5:$Z$1504,"是"))</f>
        <v/>
      </c>
      <c r="E135" s="41" t="str">
        <f aca="false">IF($A135="","",SUMIFS(业务流水!$P$5:$P$1504,业务流水!$E$5:$E$1504,"*",业务流水!$D$5:$D$1504,"销项开票",业务流水!$C$5:$C$1504,$A135,业务流水!$Z$5:$Z$1504,"是"))</f>
        <v/>
      </c>
      <c r="F135" s="41" t="str">
        <f aca="false">IF($A135="","",SUMIFS(业务流水!$H$5:$H$1504,业务流水!$F$5:$F$1504,"*",业务流水!$D$5:$D$1504,"成本票",业务流水!$C$5:$C$1504,$A135,业务流水!$Z$5:$Z$1504,"是")+SUMIFS(业务流水!$H$5:$H$1504,业务流水!$F$5:$F$1504,"*",业务流水!$D$5:$D$1504,"销项开票",业务流水!$C$5:$C$1504,$A135,业务流水!$Z$5:$Z$1504,"是"))</f>
        <v/>
      </c>
      <c r="G135" s="42" t="str">
        <f aca="false">IF($A135="","",$E135-$F135)</f>
        <v/>
      </c>
      <c r="H135" s="41" t="str">
        <f aca="false">IF($A135="","",SUMIFS(业务流水!$W$5:$W$1504,业务流水!$E$5:$E$1504,"*",业务流水!$D$5:$D$1504,"销项开票",业务流水!$C$5:$C$1504,$A135,业务流水!$Z$5:$Z$1504,"是"))</f>
        <v/>
      </c>
      <c r="I135" s="41" t="str">
        <f aca="false">IF($A135="","",SUMIFS(业务流水!$H$5:$H$1504,业务流水!$E$5:$E$1504,"*",业务流水!$D$5:$D$1504,"已交税",业务流水!$C$5:$C$1504,$A135,业务流水!$Z$5:$Z$1504,"是"))</f>
        <v/>
      </c>
      <c r="J135" s="42" t="str">
        <f aca="false">IF($A135="","",$H135-$I135)</f>
        <v/>
      </c>
      <c r="K135" s="41" t="str">
        <f aca="false">IF($A135="","",SUMIFS(业务流水!$H$5:$H$1504,业务流水!$F$5:$F$1504,"*",业务流水!$D$5:$D$1504,"挂靠代收",业务流水!$C$5:$C$1504,$A135,业务流水!$Z$5:$Z$1504,"是"))</f>
        <v/>
      </c>
      <c r="L135" s="42" t="str">
        <f aca="false">IF($A135="","",$C135-$K135)</f>
        <v/>
      </c>
      <c r="M135" s="41" t="str">
        <f aca="false">IF($A135="","",SUMIFS(业务流水!$H$5:$H$1504,业务流水!$E$5:$E$1504,"*",业务流水!$D$5:$D$1504,"我方收款",业务流水!$C$5:$C$1504,$A135,业务流水!$Z$5:$Z$1504,"是"))</f>
        <v/>
      </c>
      <c r="N135" s="43" t="str">
        <f aca="false">IF($A135="","",$K135-$M135)</f>
        <v/>
      </c>
      <c r="O135" s="41" t="str">
        <f aca="false">IF($A135="","",SUMIFS(业务流水!$H$5:$H$1504,业务流水!$F$5:$F$1504,"*",业务流水!$D$5:$D$1504,"管理费结算",业务流水!$C$5:$C$1504,$A135,业务流水!$Z$5:$Z$1504,"是"))</f>
        <v/>
      </c>
      <c r="P135" s="41" t="str">
        <f aca="false">IF($A135="","",SUMIFS(业务流水!$H$5:$H$1504,业务流水!$E$5:$E$1504,"*",业务流水!$D$5:$D$1504,"扣质保金",业务流水!$C$5:$C$1504,$A135,业务流水!$Z$5:$Z$1504,"是"))</f>
        <v/>
      </c>
    </row>
    <row r="136" customFormat="false" ht="15.75" hidden="false" customHeight="true" outlineLevel="0" collapsed="false">
      <c r="A136" s="32" t="str">
        <f aca="false">IF(项目档案!$A136="","",项目档案!$A136)</f>
        <v/>
      </c>
      <c r="B136" s="40" t="str">
        <f aca="false">IF($A136="","",项目档案!$B136)</f>
        <v/>
      </c>
      <c r="C136" s="41" t="str">
        <f aca="false">IF($A136="","",SUMIFS(业务流水!$H$5:$H$1504,业务流水!$E$5:$E$1504,"*",业务流水!$D$5:$D$1504,"销项开票",业务流水!$C$5:$C$1504,$A136,业务流水!$Z$5:$Z$1504,"是"))</f>
        <v/>
      </c>
      <c r="D136" s="41" t="str">
        <f aca="false">IF($A136="","",SUMIFS(业务流水!$O$5:$O$1504,业务流水!$E$5:$E$1504,"*",业务流水!$D$5:$D$1504,"销项开票",业务流水!$C$5:$C$1504,$A136,业务流水!$Z$5:$Z$1504,"是"))</f>
        <v/>
      </c>
      <c r="E136" s="41" t="str">
        <f aca="false">IF($A136="","",SUMIFS(业务流水!$P$5:$P$1504,业务流水!$E$5:$E$1504,"*",业务流水!$D$5:$D$1504,"销项开票",业务流水!$C$5:$C$1504,$A136,业务流水!$Z$5:$Z$1504,"是"))</f>
        <v/>
      </c>
      <c r="F136" s="41" t="str">
        <f aca="false">IF($A136="","",SUMIFS(业务流水!$H$5:$H$1504,业务流水!$F$5:$F$1504,"*",业务流水!$D$5:$D$1504,"成本票",业务流水!$C$5:$C$1504,$A136,业务流水!$Z$5:$Z$1504,"是")+SUMIFS(业务流水!$H$5:$H$1504,业务流水!$F$5:$F$1504,"*",业务流水!$D$5:$D$1504,"销项开票",业务流水!$C$5:$C$1504,$A136,业务流水!$Z$5:$Z$1504,"是"))</f>
        <v/>
      </c>
      <c r="G136" s="42" t="str">
        <f aca="false">IF($A136="","",$E136-$F136)</f>
        <v/>
      </c>
      <c r="H136" s="41" t="str">
        <f aca="false">IF($A136="","",SUMIFS(业务流水!$W$5:$W$1504,业务流水!$E$5:$E$1504,"*",业务流水!$D$5:$D$1504,"销项开票",业务流水!$C$5:$C$1504,$A136,业务流水!$Z$5:$Z$1504,"是"))</f>
        <v/>
      </c>
      <c r="I136" s="41" t="str">
        <f aca="false">IF($A136="","",SUMIFS(业务流水!$H$5:$H$1504,业务流水!$E$5:$E$1504,"*",业务流水!$D$5:$D$1504,"已交税",业务流水!$C$5:$C$1504,$A136,业务流水!$Z$5:$Z$1504,"是"))</f>
        <v/>
      </c>
      <c r="J136" s="42" t="str">
        <f aca="false">IF($A136="","",$H136-$I136)</f>
        <v/>
      </c>
      <c r="K136" s="41" t="str">
        <f aca="false">IF($A136="","",SUMIFS(业务流水!$H$5:$H$1504,业务流水!$F$5:$F$1504,"*",业务流水!$D$5:$D$1504,"挂靠代收",业务流水!$C$5:$C$1504,$A136,业务流水!$Z$5:$Z$1504,"是"))</f>
        <v/>
      </c>
      <c r="L136" s="42" t="str">
        <f aca="false">IF($A136="","",$C136-$K136)</f>
        <v/>
      </c>
      <c r="M136" s="41" t="str">
        <f aca="false">IF($A136="","",SUMIFS(业务流水!$H$5:$H$1504,业务流水!$E$5:$E$1504,"*",业务流水!$D$5:$D$1504,"我方收款",业务流水!$C$5:$C$1504,$A136,业务流水!$Z$5:$Z$1504,"是"))</f>
        <v/>
      </c>
      <c r="N136" s="43" t="str">
        <f aca="false">IF($A136="","",$K136-$M136)</f>
        <v/>
      </c>
      <c r="O136" s="41" t="str">
        <f aca="false">IF($A136="","",SUMIFS(业务流水!$H$5:$H$1504,业务流水!$F$5:$F$1504,"*",业务流水!$D$5:$D$1504,"管理费结算",业务流水!$C$5:$C$1504,$A136,业务流水!$Z$5:$Z$1504,"是"))</f>
        <v/>
      </c>
      <c r="P136" s="41" t="str">
        <f aca="false">IF($A136="","",SUMIFS(业务流水!$H$5:$H$1504,业务流水!$E$5:$E$1504,"*",业务流水!$D$5:$D$1504,"扣质保金",业务流水!$C$5:$C$1504,$A136,业务流水!$Z$5:$Z$1504,"是"))</f>
        <v/>
      </c>
    </row>
    <row r="137" customFormat="false" ht="15.75" hidden="false" customHeight="true" outlineLevel="0" collapsed="false">
      <c r="A137" s="32" t="str">
        <f aca="false">IF(项目档案!$A137="","",项目档案!$A137)</f>
        <v/>
      </c>
      <c r="B137" s="40" t="str">
        <f aca="false">IF($A137="","",项目档案!$B137)</f>
        <v/>
      </c>
      <c r="C137" s="41" t="str">
        <f aca="false">IF($A137="","",SUMIFS(业务流水!$H$5:$H$1504,业务流水!$E$5:$E$1504,"*",业务流水!$D$5:$D$1504,"销项开票",业务流水!$C$5:$C$1504,$A137,业务流水!$Z$5:$Z$1504,"是"))</f>
        <v/>
      </c>
      <c r="D137" s="41" t="str">
        <f aca="false">IF($A137="","",SUMIFS(业务流水!$O$5:$O$1504,业务流水!$E$5:$E$1504,"*",业务流水!$D$5:$D$1504,"销项开票",业务流水!$C$5:$C$1504,$A137,业务流水!$Z$5:$Z$1504,"是"))</f>
        <v/>
      </c>
      <c r="E137" s="41" t="str">
        <f aca="false">IF($A137="","",SUMIFS(业务流水!$P$5:$P$1504,业务流水!$E$5:$E$1504,"*",业务流水!$D$5:$D$1504,"销项开票",业务流水!$C$5:$C$1504,$A137,业务流水!$Z$5:$Z$1504,"是"))</f>
        <v/>
      </c>
      <c r="F137" s="41" t="str">
        <f aca="false">IF($A137="","",SUMIFS(业务流水!$H$5:$H$1504,业务流水!$F$5:$F$1504,"*",业务流水!$D$5:$D$1504,"成本票",业务流水!$C$5:$C$1504,$A137,业务流水!$Z$5:$Z$1504,"是")+SUMIFS(业务流水!$H$5:$H$1504,业务流水!$F$5:$F$1504,"*",业务流水!$D$5:$D$1504,"销项开票",业务流水!$C$5:$C$1504,$A137,业务流水!$Z$5:$Z$1504,"是"))</f>
        <v/>
      </c>
      <c r="G137" s="42" t="str">
        <f aca="false">IF($A137="","",$E137-$F137)</f>
        <v/>
      </c>
      <c r="H137" s="41" t="str">
        <f aca="false">IF($A137="","",SUMIFS(业务流水!$W$5:$W$1504,业务流水!$E$5:$E$1504,"*",业务流水!$D$5:$D$1504,"销项开票",业务流水!$C$5:$C$1504,$A137,业务流水!$Z$5:$Z$1504,"是"))</f>
        <v/>
      </c>
      <c r="I137" s="41" t="str">
        <f aca="false">IF($A137="","",SUMIFS(业务流水!$H$5:$H$1504,业务流水!$E$5:$E$1504,"*",业务流水!$D$5:$D$1504,"已交税",业务流水!$C$5:$C$1504,$A137,业务流水!$Z$5:$Z$1504,"是"))</f>
        <v/>
      </c>
      <c r="J137" s="42" t="str">
        <f aca="false">IF($A137="","",$H137-$I137)</f>
        <v/>
      </c>
      <c r="K137" s="41" t="str">
        <f aca="false">IF($A137="","",SUMIFS(业务流水!$H$5:$H$1504,业务流水!$F$5:$F$1504,"*",业务流水!$D$5:$D$1504,"挂靠代收",业务流水!$C$5:$C$1504,$A137,业务流水!$Z$5:$Z$1504,"是"))</f>
        <v/>
      </c>
      <c r="L137" s="42" t="str">
        <f aca="false">IF($A137="","",$C137-$K137)</f>
        <v/>
      </c>
      <c r="M137" s="41" t="str">
        <f aca="false">IF($A137="","",SUMIFS(业务流水!$H$5:$H$1504,业务流水!$E$5:$E$1504,"*",业务流水!$D$5:$D$1504,"我方收款",业务流水!$C$5:$C$1504,$A137,业务流水!$Z$5:$Z$1504,"是"))</f>
        <v/>
      </c>
      <c r="N137" s="43" t="str">
        <f aca="false">IF($A137="","",$K137-$M137)</f>
        <v/>
      </c>
      <c r="O137" s="41" t="str">
        <f aca="false">IF($A137="","",SUMIFS(业务流水!$H$5:$H$1504,业务流水!$F$5:$F$1504,"*",业务流水!$D$5:$D$1504,"管理费结算",业务流水!$C$5:$C$1504,$A137,业务流水!$Z$5:$Z$1504,"是"))</f>
        <v/>
      </c>
      <c r="P137" s="41" t="str">
        <f aca="false">IF($A137="","",SUMIFS(业务流水!$H$5:$H$1504,业务流水!$E$5:$E$1504,"*",业务流水!$D$5:$D$1504,"扣质保金",业务流水!$C$5:$C$1504,$A137,业务流水!$Z$5:$Z$1504,"是"))</f>
        <v/>
      </c>
    </row>
    <row r="138" customFormat="false" ht="15.75" hidden="false" customHeight="true" outlineLevel="0" collapsed="false">
      <c r="A138" s="32" t="str">
        <f aca="false">IF(项目档案!$A138="","",项目档案!$A138)</f>
        <v/>
      </c>
      <c r="B138" s="40" t="str">
        <f aca="false">IF($A138="","",项目档案!$B138)</f>
        <v/>
      </c>
      <c r="C138" s="41" t="str">
        <f aca="false">IF($A138="","",SUMIFS(业务流水!$H$5:$H$1504,业务流水!$E$5:$E$1504,"*",业务流水!$D$5:$D$1504,"销项开票",业务流水!$C$5:$C$1504,$A138,业务流水!$Z$5:$Z$1504,"是"))</f>
        <v/>
      </c>
      <c r="D138" s="41" t="str">
        <f aca="false">IF($A138="","",SUMIFS(业务流水!$O$5:$O$1504,业务流水!$E$5:$E$1504,"*",业务流水!$D$5:$D$1504,"销项开票",业务流水!$C$5:$C$1504,$A138,业务流水!$Z$5:$Z$1504,"是"))</f>
        <v/>
      </c>
      <c r="E138" s="41" t="str">
        <f aca="false">IF($A138="","",SUMIFS(业务流水!$P$5:$P$1504,业务流水!$E$5:$E$1504,"*",业务流水!$D$5:$D$1504,"销项开票",业务流水!$C$5:$C$1504,$A138,业务流水!$Z$5:$Z$1504,"是"))</f>
        <v/>
      </c>
      <c r="F138" s="41" t="str">
        <f aca="false">IF($A138="","",SUMIFS(业务流水!$H$5:$H$1504,业务流水!$F$5:$F$1504,"*",业务流水!$D$5:$D$1504,"成本票",业务流水!$C$5:$C$1504,$A138,业务流水!$Z$5:$Z$1504,"是")+SUMIFS(业务流水!$H$5:$H$1504,业务流水!$F$5:$F$1504,"*",业务流水!$D$5:$D$1504,"销项开票",业务流水!$C$5:$C$1504,$A138,业务流水!$Z$5:$Z$1504,"是"))</f>
        <v/>
      </c>
      <c r="G138" s="42" t="str">
        <f aca="false">IF($A138="","",$E138-$F138)</f>
        <v/>
      </c>
      <c r="H138" s="41" t="str">
        <f aca="false">IF($A138="","",SUMIFS(业务流水!$W$5:$W$1504,业务流水!$E$5:$E$1504,"*",业务流水!$D$5:$D$1504,"销项开票",业务流水!$C$5:$C$1504,$A138,业务流水!$Z$5:$Z$1504,"是"))</f>
        <v/>
      </c>
      <c r="I138" s="41" t="str">
        <f aca="false">IF($A138="","",SUMIFS(业务流水!$H$5:$H$1504,业务流水!$E$5:$E$1504,"*",业务流水!$D$5:$D$1504,"已交税",业务流水!$C$5:$C$1504,$A138,业务流水!$Z$5:$Z$1504,"是"))</f>
        <v/>
      </c>
      <c r="J138" s="42" t="str">
        <f aca="false">IF($A138="","",$H138-$I138)</f>
        <v/>
      </c>
      <c r="K138" s="41" t="str">
        <f aca="false">IF($A138="","",SUMIFS(业务流水!$H$5:$H$1504,业务流水!$F$5:$F$1504,"*",业务流水!$D$5:$D$1504,"挂靠代收",业务流水!$C$5:$C$1504,$A138,业务流水!$Z$5:$Z$1504,"是"))</f>
        <v/>
      </c>
      <c r="L138" s="42" t="str">
        <f aca="false">IF($A138="","",$C138-$K138)</f>
        <v/>
      </c>
      <c r="M138" s="41" t="str">
        <f aca="false">IF($A138="","",SUMIFS(业务流水!$H$5:$H$1504,业务流水!$E$5:$E$1504,"*",业务流水!$D$5:$D$1504,"我方收款",业务流水!$C$5:$C$1504,$A138,业务流水!$Z$5:$Z$1504,"是"))</f>
        <v/>
      </c>
      <c r="N138" s="43" t="str">
        <f aca="false">IF($A138="","",$K138-$M138)</f>
        <v/>
      </c>
      <c r="O138" s="41" t="str">
        <f aca="false">IF($A138="","",SUMIFS(业务流水!$H$5:$H$1504,业务流水!$F$5:$F$1504,"*",业务流水!$D$5:$D$1504,"管理费结算",业务流水!$C$5:$C$1504,$A138,业务流水!$Z$5:$Z$1504,"是"))</f>
        <v/>
      </c>
      <c r="P138" s="41" t="str">
        <f aca="false">IF($A138="","",SUMIFS(业务流水!$H$5:$H$1504,业务流水!$E$5:$E$1504,"*",业务流水!$D$5:$D$1504,"扣质保金",业务流水!$C$5:$C$1504,$A138,业务流水!$Z$5:$Z$1504,"是"))</f>
        <v/>
      </c>
    </row>
    <row r="139" customFormat="false" ht="15.75" hidden="false" customHeight="true" outlineLevel="0" collapsed="false">
      <c r="A139" s="32" t="str">
        <f aca="false">IF(项目档案!$A139="","",项目档案!$A139)</f>
        <v/>
      </c>
      <c r="B139" s="40" t="str">
        <f aca="false">IF($A139="","",项目档案!$B139)</f>
        <v/>
      </c>
      <c r="C139" s="41" t="str">
        <f aca="false">IF($A139="","",SUMIFS(业务流水!$H$5:$H$1504,业务流水!$E$5:$E$1504,"*",业务流水!$D$5:$D$1504,"销项开票",业务流水!$C$5:$C$1504,$A139,业务流水!$Z$5:$Z$1504,"是"))</f>
        <v/>
      </c>
      <c r="D139" s="41" t="str">
        <f aca="false">IF($A139="","",SUMIFS(业务流水!$O$5:$O$1504,业务流水!$E$5:$E$1504,"*",业务流水!$D$5:$D$1504,"销项开票",业务流水!$C$5:$C$1504,$A139,业务流水!$Z$5:$Z$1504,"是"))</f>
        <v/>
      </c>
      <c r="E139" s="41" t="str">
        <f aca="false">IF($A139="","",SUMIFS(业务流水!$P$5:$P$1504,业务流水!$E$5:$E$1504,"*",业务流水!$D$5:$D$1504,"销项开票",业务流水!$C$5:$C$1504,$A139,业务流水!$Z$5:$Z$1504,"是"))</f>
        <v/>
      </c>
      <c r="F139" s="41" t="str">
        <f aca="false">IF($A139="","",SUMIFS(业务流水!$H$5:$H$1504,业务流水!$F$5:$F$1504,"*",业务流水!$D$5:$D$1504,"成本票",业务流水!$C$5:$C$1504,$A139,业务流水!$Z$5:$Z$1504,"是")+SUMIFS(业务流水!$H$5:$H$1504,业务流水!$F$5:$F$1504,"*",业务流水!$D$5:$D$1504,"销项开票",业务流水!$C$5:$C$1504,$A139,业务流水!$Z$5:$Z$1504,"是"))</f>
        <v/>
      </c>
      <c r="G139" s="42" t="str">
        <f aca="false">IF($A139="","",$E139-$F139)</f>
        <v/>
      </c>
      <c r="H139" s="41" t="str">
        <f aca="false">IF($A139="","",SUMIFS(业务流水!$W$5:$W$1504,业务流水!$E$5:$E$1504,"*",业务流水!$D$5:$D$1504,"销项开票",业务流水!$C$5:$C$1504,$A139,业务流水!$Z$5:$Z$1504,"是"))</f>
        <v/>
      </c>
      <c r="I139" s="41" t="str">
        <f aca="false">IF($A139="","",SUMIFS(业务流水!$H$5:$H$1504,业务流水!$E$5:$E$1504,"*",业务流水!$D$5:$D$1504,"已交税",业务流水!$C$5:$C$1504,$A139,业务流水!$Z$5:$Z$1504,"是"))</f>
        <v/>
      </c>
      <c r="J139" s="42" t="str">
        <f aca="false">IF($A139="","",$H139-$I139)</f>
        <v/>
      </c>
      <c r="K139" s="41" t="str">
        <f aca="false">IF($A139="","",SUMIFS(业务流水!$H$5:$H$1504,业务流水!$F$5:$F$1504,"*",业务流水!$D$5:$D$1504,"挂靠代收",业务流水!$C$5:$C$1504,$A139,业务流水!$Z$5:$Z$1504,"是"))</f>
        <v/>
      </c>
      <c r="L139" s="42" t="str">
        <f aca="false">IF($A139="","",$C139-$K139)</f>
        <v/>
      </c>
      <c r="M139" s="41" t="str">
        <f aca="false">IF($A139="","",SUMIFS(业务流水!$H$5:$H$1504,业务流水!$E$5:$E$1504,"*",业务流水!$D$5:$D$1504,"我方收款",业务流水!$C$5:$C$1504,$A139,业务流水!$Z$5:$Z$1504,"是"))</f>
        <v/>
      </c>
      <c r="N139" s="43" t="str">
        <f aca="false">IF($A139="","",$K139-$M139)</f>
        <v/>
      </c>
      <c r="O139" s="41" t="str">
        <f aca="false">IF($A139="","",SUMIFS(业务流水!$H$5:$H$1504,业务流水!$F$5:$F$1504,"*",业务流水!$D$5:$D$1504,"管理费结算",业务流水!$C$5:$C$1504,$A139,业务流水!$Z$5:$Z$1504,"是"))</f>
        <v/>
      </c>
      <c r="P139" s="41" t="str">
        <f aca="false">IF($A139="","",SUMIFS(业务流水!$H$5:$H$1504,业务流水!$E$5:$E$1504,"*",业务流水!$D$5:$D$1504,"扣质保金",业务流水!$C$5:$C$1504,$A139,业务流水!$Z$5:$Z$1504,"是"))</f>
        <v/>
      </c>
    </row>
    <row r="140" customFormat="false" ht="15.75" hidden="false" customHeight="true" outlineLevel="0" collapsed="false">
      <c r="A140" s="32" t="str">
        <f aca="false">IF(项目档案!$A140="","",项目档案!$A140)</f>
        <v/>
      </c>
      <c r="B140" s="40" t="str">
        <f aca="false">IF($A140="","",项目档案!$B140)</f>
        <v/>
      </c>
      <c r="C140" s="41" t="str">
        <f aca="false">IF($A140="","",SUMIFS(业务流水!$H$5:$H$1504,业务流水!$E$5:$E$1504,"*",业务流水!$D$5:$D$1504,"销项开票",业务流水!$C$5:$C$1504,$A140,业务流水!$Z$5:$Z$1504,"是"))</f>
        <v/>
      </c>
      <c r="D140" s="41" t="str">
        <f aca="false">IF($A140="","",SUMIFS(业务流水!$O$5:$O$1504,业务流水!$E$5:$E$1504,"*",业务流水!$D$5:$D$1504,"销项开票",业务流水!$C$5:$C$1504,$A140,业务流水!$Z$5:$Z$1504,"是"))</f>
        <v/>
      </c>
      <c r="E140" s="41" t="str">
        <f aca="false">IF($A140="","",SUMIFS(业务流水!$P$5:$P$1504,业务流水!$E$5:$E$1504,"*",业务流水!$D$5:$D$1504,"销项开票",业务流水!$C$5:$C$1504,$A140,业务流水!$Z$5:$Z$1504,"是"))</f>
        <v/>
      </c>
      <c r="F140" s="41" t="str">
        <f aca="false">IF($A140="","",SUMIFS(业务流水!$H$5:$H$1504,业务流水!$F$5:$F$1504,"*",业务流水!$D$5:$D$1504,"成本票",业务流水!$C$5:$C$1504,$A140,业务流水!$Z$5:$Z$1504,"是")+SUMIFS(业务流水!$H$5:$H$1504,业务流水!$F$5:$F$1504,"*",业务流水!$D$5:$D$1504,"销项开票",业务流水!$C$5:$C$1504,$A140,业务流水!$Z$5:$Z$1504,"是"))</f>
        <v/>
      </c>
      <c r="G140" s="42" t="str">
        <f aca="false">IF($A140="","",$E140-$F140)</f>
        <v/>
      </c>
      <c r="H140" s="41" t="str">
        <f aca="false">IF($A140="","",SUMIFS(业务流水!$W$5:$W$1504,业务流水!$E$5:$E$1504,"*",业务流水!$D$5:$D$1504,"销项开票",业务流水!$C$5:$C$1504,$A140,业务流水!$Z$5:$Z$1504,"是"))</f>
        <v/>
      </c>
      <c r="I140" s="41" t="str">
        <f aca="false">IF($A140="","",SUMIFS(业务流水!$H$5:$H$1504,业务流水!$E$5:$E$1504,"*",业务流水!$D$5:$D$1504,"已交税",业务流水!$C$5:$C$1504,$A140,业务流水!$Z$5:$Z$1504,"是"))</f>
        <v/>
      </c>
      <c r="J140" s="42" t="str">
        <f aca="false">IF($A140="","",$H140-$I140)</f>
        <v/>
      </c>
      <c r="K140" s="41" t="str">
        <f aca="false">IF($A140="","",SUMIFS(业务流水!$H$5:$H$1504,业务流水!$F$5:$F$1504,"*",业务流水!$D$5:$D$1504,"挂靠代收",业务流水!$C$5:$C$1504,$A140,业务流水!$Z$5:$Z$1504,"是"))</f>
        <v/>
      </c>
      <c r="L140" s="42" t="str">
        <f aca="false">IF($A140="","",$C140-$K140)</f>
        <v/>
      </c>
      <c r="M140" s="41" t="str">
        <f aca="false">IF($A140="","",SUMIFS(业务流水!$H$5:$H$1504,业务流水!$E$5:$E$1504,"*",业务流水!$D$5:$D$1504,"我方收款",业务流水!$C$5:$C$1504,$A140,业务流水!$Z$5:$Z$1504,"是"))</f>
        <v/>
      </c>
      <c r="N140" s="43" t="str">
        <f aca="false">IF($A140="","",$K140-$M140)</f>
        <v/>
      </c>
      <c r="O140" s="41" t="str">
        <f aca="false">IF($A140="","",SUMIFS(业务流水!$H$5:$H$1504,业务流水!$F$5:$F$1504,"*",业务流水!$D$5:$D$1504,"管理费结算",业务流水!$C$5:$C$1504,$A140,业务流水!$Z$5:$Z$1504,"是"))</f>
        <v/>
      </c>
      <c r="P140" s="41" t="str">
        <f aca="false">IF($A140="","",SUMIFS(业务流水!$H$5:$H$1504,业务流水!$E$5:$E$1504,"*",业务流水!$D$5:$D$1504,"扣质保金",业务流水!$C$5:$C$1504,$A140,业务流水!$Z$5:$Z$1504,"是"))</f>
        <v/>
      </c>
    </row>
    <row r="141" customFormat="false" ht="15.75" hidden="false" customHeight="true" outlineLevel="0" collapsed="false">
      <c r="A141" s="32" t="str">
        <f aca="false">IF(项目档案!$A141="","",项目档案!$A141)</f>
        <v/>
      </c>
      <c r="B141" s="40" t="str">
        <f aca="false">IF($A141="","",项目档案!$B141)</f>
        <v/>
      </c>
      <c r="C141" s="41" t="str">
        <f aca="false">IF($A141="","",SUMIFS(业务流水!$H$5:$H$1504,业务流水!$E$5:$E$1504,"*",业务流水!$D$5:$D$1504,"销项开票",业务流水!$C$5:$C$1504,$A141,业务流水!$Z$5:$Z$1504,"是"))</f>
        <v/>
      </c>
      <c r="D141" s="41" t="str">
        <f aca="false">IF($A141="","",SUMIFS(业务流水!$O$5:$O$1504,业务流水!$E$5:$E$1504,"*",业务流水!$D$5:$D$1504,"销项开票",业务流水!$C$5:$C$1504,$A141,业务流水!$Z$5:$Z$1504,"是"))</f>
        <v/>
      </c>
      <c r="E141" s="41" t="str">
        <f aca="false">IF($A141="","",SUMIFS(业务流水!$P$5:$P$1504,业务流水!$E$5:$E$1504,"*",业务流水!$D$5:$D$1504,"销项开票",业务流水!$C$5:$C$1504,$A141,业务流水!$Z$5:$Z$1504,"是"))</f>
        <v/>
      </c>
      <c r="F141" s="41" t="str">
        <f aca="false">IF($A141="","",SUMIFS(业务流水!$H$5:$H$1504,业务流水!$F$5:$F$1504,"*",业务流水!$D$5:$D$1504,"成本票",业务流水!$C$5:$C$1504,$A141,业务流水!$Z$5:$Z$1504,"是")+SUMIFS(业务流水!$H$5:$H$1504,业务流水!$F$5:$F$1504,"*",业务流水!$D$5:$D$1504,"销项开票",业务流水!$C$5:$C$1504,$A141,业务流水!$Z$5:$Z$1504,"是"))</f>
        <v/>
      </c>
      <c r="G141" s="42" t="str">
        <f aca="false">IF($A141="","",$E141-$F141)</f>
        <v/>
      </c>
      <c r="H141" s="41" t="str">
        <f aca="false">IF($A141="","",SUMIFS(业务流水!$W$5:$W$1504,业务流水!$E$5:$E$1504,"*",业务流水!$D$5:$D$1504,"销项开票",业务流水!$C$5:$C$1504,$A141,业务流水!$Z$5:$Z$1504,"是"))</f>
        <v/>
      </c>
      <c r="I141" s="41" t="str">
        <f aca="false">IF($A141="","",SUMIFS(业务流水!$H$5:$H$1504,业务流水!$E$5:$E$1504,"*",业务流水!$D$5:$D$1504,"已交税",业务流水!$C$5:$C$1504,$A141,业务流水!$Z$5:$Z$1504,"是"))</f>
        <v/>
      </c>
      <c r="J141" s="42" t="str">
        <f aca="false">IF($A141="","",$H141-$I141)</f>
        <v/>
      </c>
      <c r="K141" s="41" t="str">
        <f aca="false">IF($A141="","",SUMIFS(业务流水!$H$5:$H$1504,业务流水!$F$5:$F$1504,"*",业务流水!$D$5:$D$1504,"挂靠代收",业务流水!$C$5:$C$1504,$A141,业务流水!$Z$5:$Z$1504,"是"))</f>
        <v/>
      </c>
      <c r="L141" s="42" t="str">
        <f aca="false">IF($A141="","",$C141-$K141)</f>
        <v/>
      </c>
      <c r="M141" s="41" t="str">
        <f aca="false">IF($A141="","",SUMIFS(业务流水!$H$5:$H$1504,业务流水!$E$5:$E$1504,"*",业务流水!$D$5:$D$1504,"我方收款",业务流水!$C$5:$C$1504,$A141,业务流水!$Z$5:$Z$1504,"是"))</f>
        <v/>
      </c>
      <c r="N141" s="43" t="str">
        <f aca="false">IF($A141="","",$K141-$M141)</f>
        <v/>
      </c>
      <c r="O141" s="41" t="str">
        <f aca="false">IF($A141="","",SUMIFS(业务流水!$H$5:$H$1504,业务流水!$F$5:$F$1504,"*",业务流水!$D$5:$D$1504,"管理费结算",业务流水!$C$5:$C$1504,$A141,业务流水!$Z$5:$Z$1504,"是"))</f>
        <v/>
      </c>
      <c r="P141" s="41" t="str">
        <f aca="false">IF($A141="","",SUMIFS(业务流水!$H$5:$H$1504,业务流水!$E$5:$E$1504,"*",业务流水!$D$5:$D$1504,"扣质保金",业务流水!$C$5:$C$1504,$A141,业务流水!$Z$5:$Z$1504,"是"))</f>
        <v/>
      </c>
    </row>
    <row r="142" customFormat="false" ht="15.75" hidden="false" customHeight="true" outlineLevel="0" collapsed="false">
      <c r="A142" s="32" t="str">
        <f aca="false">IF(项目档案!$A142="","",项目档案!$A142)</f>
        <v/>
      </c>
      <c r="B142" s="40" t="str">
        <f aca="false">IF($A142="","",项目档案!$B142)</f>
        <v/>
      </c>
      <c r="C142" s="41" t="str">
        <f aca="false">IF($A142="","",SUMIFS(业务流水!$H$5:$H$1504,业务流水!$E$5:$E$1504,"*",业务流水!$D$5:$D$1504,"销项开票",业务流水!$C$5:$C$1504,$A142,业务流水!$Z$5:$Z$1504,"是"))</f>
        <v/>
      </c>
      <c r="D142" s="41" t="str">
        <f aca="false">IF($A142="","",SUMIFS(业务流水!$O$5:$O$1504,业务流水!$E$5:$E$1504,"*",业务流水!$D$5:$D$1504,"销项开票",业务流水!$C$5:$C$1504,$A142,业务流水!$Z$5:$Z$1504,"是"))</f>
        <v/>
      </c>
      <c r="E142" s="41" t="str">
        <f aca="false">IF($A142="","",SUMIFS(业务流水!$P$5:$P$1504,业务流水!$E$5:$E$1504,"*",业务流水!$D$5:$D$1504,"销项开票",业务流水!$C$5:$C$1504,$A142,业务流水!$Z$5:$Z$1504,"是"))</f>
        <v/>
      </c>
      <c r="F142" s="41" t="str">
        <f aca="false">IF($A142="","",SUMIFS(业务流水!$H$5:$H$1504,业务流水!$F$5:$F$1504,"*",业务流水!$D$5:$D$1504,"成本票",业务流水!$C$5:$C$1504,$A142,业务流水!$Z$5:$Z$1504,"是")+SUMIFS(业务流水!$H$5:$H$1504,业务流水!$F$5:$F$1504,"*",业务流水!$D$5:$D$1504,"销项开票",业务流水!$C$5:$C$1504,$A142,业务流水!$Z$5:$Z$1504,"是"))</f>
        <v/>
      </c>
      <c r="G142" s="42" t="str">
        <f aca="false">IF($A142="","",$E142-$F142)</f>
        <v/>
      </c>
      <c r="H142" s="41" t="str">
        <f aca="false">IF($A142="","",SUMIFS(业务流水!$W$5:$W$1504,业务流水!$E$5:$E$1504,"*",业务流水!$D$5:$D$1504,"销项开票",业务流水!$C$5:$C$1504,$A142,业务流水!$Z$5:$Z$1504,"是"))</f>
        <v/>
      </c>
      <c r="I142" s="41" t="str">
        <f aca="false">IF($A142="","",SUMIFS(业务流水!$H$5:$H$1504,业务流水!$E$5:$E$1504,"*",业务流水!$D$5:$D$1504,"已交税",业务流水!$C$5:$C$1504,$A142,业务流水!$Z$5:$Z$1504,"是"))</f>
        <v/>
      </c>
      <c r="J142" s="42" t="str">
        <f aca="false">IF($A142="","",$H142-$I142)</f>
        <v/>
      </c>
      <c r="K142" s="41" t="str">
        <f aca="false">IF($A142="","",SUMIFS(业务流水!$H$5:$H$1504,业务流水!$F$5:$F$1504,"*",业务流水!$D$5:$D$1504,"挂靠代收",业务流水!$C$5:$C$1504,$A142,业务流水!$Z$5:$Z$1504,"是"))</f>
        <v/>
      </c>
      <c r="L142" s="42" t="str">
        <f aca="false">IF($A142="","",$C142-$K142)</f>
        <v/>
      </c>
      <c r="M142" s="41" t="str">
        <f aca="false">IF($A142="","",SUMIFS(业务流水!$H$5:$H$1504,业务流水!$E$5:$E$1504,"*",业务流水!$D$5:$D$1504,"我方收款",业务流水!$C$5:$C$1504,$A142,业务流水!$Z$5:$Z$1504,"是"))</f>
        <v/>
      </c>
      <c r="N142" s="43" t="str">
        <f aca="false">IF($A142="","",$K142-$M142)</f>
        <v/>
      </c>
      <c r="O142" s="41" t="str">
        <f aca="false">IF($A142="","",SUMIFS(业务流水!$H$5:$H$1504,业务流水!$F$5:$F$1504,"*",业务流水!$D$5:$D$1504,"管理费结算",业务流水!$C$5:$C$1504,$A142,业务流水!$Z$5:$Z$1504,"是"))</f>
        <v/>
      </c>
      <c r="P142" s="41" t="str">
        <f aca="false">IF($A142="","",SUMIFS(业务流水!$H$5:$H$1504,业务流水!$E$5:$E$1504,"*",业务流水!$D$5:$D$1504,"扣质保金",业务流水!$C$5:$C$1504,$A142,业务流水!$Z$5:$Z$1504,"是"))</f>
        <v/>
      </c>
    </row>
    <row r="143" customFormat="false" ht="15.75" hidden="false" customHeight="true" outlineLevel="0" collapsed="false">
      <c r="A143" s="32" t="str">
        <f aca="false">IF(项目档案!$A143="","",项目档案!$A143)</f>
        <v/>
      </c>
      <c r="B143" s="40" t="str">
        <f aca="false">IF($A143="","",项目档案!$B143)</f>
        <v/>
      </c>
      <c r="C143" s="41" t="str">
        <f aca="false">IF($A143="","",SUMIFS(业务流水!$H$5:$H$1504,业务流水!$E$5:$E$1504,"*",业务流水!$D$5:$D$1504,"销项开票",业务流水!$C$5:$C$1504,$A143,业务流水!$Z$5:$Z$1504,"是"))</f>
        <v/>
      </c>
      <c r="D143" s="41" t="str">
        <f aca="false">IF($A143="","",SUMIFS(业务流水!$O$5:$O$1504,业务流水!$E$5:$E$1504,"*",业务流水!$D$5:$D$1504,"销项开票",业务流水!$C$5:$C$1504,$A143,业务流水!$Z$5:$Z$1504,"是"))</f>
        <v/>
      </c>
      <c r="E143" s="41" t="str">
        <f aca="false">IF($A143="","",SUMIFS(业务流水!$P$5:$P$1504,业务流水!$E$5:$E$1504,"*",业务流水!$D$5:$D$1504,"销项开票",业务流水!$C$5:$C$1504,$A143,业务流水!$Z$5:$Z$1504,"是"))</f>
        <v/>
      </c>
      <c r="F143" s="41" t="str">
        <f aca="false">IF($A143="","",SUMIFS(业务流水!$H$5:$H$1504,业务流水!$F$5:$F$1504,"*",业务流水!$D$5:$D$1504,"成本票",业务流水!$C$5:$C$1504,$A143,业务流水!$Z$5:$Z$1504,"是")+SUMIFS(业务流水!$H$5:$H$1504,业务流水!$F$5:$F$1504,"*",业务流水!$D$5:$D$1504,"销项开票",业务流水!$C$5:$C$1504,$A143,业务流水!$Z$5:$Z$1504,"是"))</f>
        <v/>
      </c>
      <c r="G143" s="42" t="str">
        <f aca="false">IF($A143="","",$E143-$F143)</f>
        <v/>
      </c>
      <c r="H143" s="41" t="str">
        <f aca="false">IF($A143="","",SUMIFS(业务流水!$W$5:$W$1504,业务流水!$E$5:$E$1504,"*",业务流水!$D$5:$D$1504,"销项开票",业务流水!$C$5:$C$1504,$A143,业务流水!$Z$5:$Z$1504,"是"))</f>
        <v/>
      </c>
      <c r="I143" s="41" t="str">
        <f aca="false">IF($A143="","",SUMIFS(业务流水!$H$5:$H$1504,业务流水!$E$5:$E$1504,"*",业务流水!$D$5:$D$1504,"已交税",业务流水!$C$5:$C$1504,$A143,业务流水!$Z$5:$Z$1504,"是"))</f>
        <v/>
      </c>
      <c r="J143" s="42" t="str">
        <f aca="false">IF($A143="","",$H143-$I143)</f>
        <v/>
      </c>
      <c r="K143" s="41" t="str">
        <f aca="false">IF($A143="","",SUMIFS(业务流水!$H$5:$H$1504,业务流水!$F$5:$F$1504,"*",业务流水!$D$5:$D$1504,"挂靠代收",业务流水!$C$5:$C$1504,$A143,业务流水!$Z$5:$Z$1504,"是"))</f>
        <v/>
      </c>
      <c r="L143" s="42" t="str">
        <f aca="false">IF($A143="","",$C143-$K143)</f>
        <v/>
      </c>
      <c r="M143" s="41" t="str">
        <f aca="false">IF($A143="","",SUMIFS(业务流水!$H$5:$H$1504,业务流水!$E$5:$E$1504,"*",业务流水!$D$5:$D$1504,"我方收款",业务流水!$C$5:$C$1504,$A143,业务流水!$Z$5:$Z$1504,"是"))</f>
        <v/>
      </c>
      <c r="N143" s="43" t="str">
        <f aca="false">IF($A143="","",$K143-$M143)</f>
        <v/>
      </c>
      <c r="O143" s="41" t="str">
        <f aca="false">IF($A143="","",SUMIFS(业务流水!$H$5:$H$1504,业务流水!$F$5:$F$1504,"*",业务流水!$D$5:$D$1504,"管理费结算",业务流水!$C$5:$C$1504,$A143,业务流水!$Z$5:$Z$1504,"是"))</f>
        <v/>
      </c>
      <c r="P143" s="41" t="str">
        <f aca="false">IF($A143="","",SUMIFS(业务流水!$H$5:$H$1504,业务流水!$E$5:$E$1504,"*",业务流水!$D$5:$D$1504,"扣质保金",业务流水!$C$5:$C$1504,$A143,业务流水!$Z$5:$Z$1504,"是"))</f>
        <v/>
      </c>
    </row>
    <row r="144" customFormat="false" ht="15.75" hidden="false" customHeight="true" outlineLevel="0" collapsed="false">
      <c r="A144" s="32" t="str">
        <f aca="false">IF(项目档案!$A144="","",项目档案!$A144)</f>
        <v/>
      </c>
      <c r="B144" s="40" t="str">
        <f aca="false">IF($A144="","",项目档案!$B144)</f>
        <v/>
      </c>
      <c r="C144" s="41" t="str">
        <f aca="false">IF($A144="","",SUMIFS(业务流水!$H$5:$H$1504,业务流水!$E$5:$E$1504,"*",业务流水!$D$5:$D$1504,"销项开票",业务流水!$C$5:$C$1504,$A144,业务流水!$Z$5:$Z$1504,"是"))</f>
        <v/>
      </c>
      <c r="D144" s="41" t="str">
        <f aca="false">IF($A144="","",SUMIFS(业务流水!$O$5:$O$1504,业务流水!$E$5:$E$1504,"*",业务流水!$D$5:$D$1504,"销项开票",业务流水!$C$5:$C$1504,$A144,业务流水!$Z$5:$Z$1504,"是"))</f>
        <v/>
      </c>
      <c r="E144" s="41" t="str">
        <f aca="false">IF($A144="","",SUMIFS(业务流水!$P$5:$P$1504,业务流水!$E$5:$E$1504,"*",业务流水!$D$5:$D$1504,"销项开票",业务流水!$C$5:$C$1504,$A144,业务流水!$Z$5:$Z$1504,"是"))</f>
        <v/>
      </c>
      <c r="F144" s="41" t="str">
        <f aca="false">IF($A144="","",SUMIFS(业务流水!$H$5:$H$1504,业务流水!$F$5:$F$1504,"*",业务流水!$D$5:$D$1504,"成本票",业务流水!$C$5:$C$1504,$A144,业务流水!$Z$5:$Z$1504,"是")+SUMIFS(业务流水!$H$5:$H$1504,业务流水!$F$5:$F$1504,"*",业务流水!$D$5:$D$1504,"销项开票",业务流水!$C$5:$C$1504,$A144,业务流水!$Z$5:$Z$1504,"是"))</f>
        <v/>
      </c>
      <c r="G144" s="42" t="str">
        <f aca="false">IF($A144="","",$E144-$F144)</f>
        <v/>
      </c>
      <c r="H144" s="41" t="str">
        <f aca="false">IF($A144="","",SUMIFS(业务流水!$W$5:$W$1504,业务流水!$E$5:$E$1504,"*",业务流水!$D$5:$D$1504,"销项开票",业务流水!$C$5:$C$1504,$A144,业务流水!$Z$5:$Z$1504,"是"))</f>
        <v/>
      </c>
      <c r="I144" s="41" t="str">
        <f aca="false">IF($A144="","",SUMIFS(业务流水!$H$5:$H$1504,业务流水!$E$5:$E$1504,"*",业务流水!$D$5:$D$1504,"已交税",业务流水!$C$5:$C$1504,$A144,业务流水!$Z$5:$Z$1504,"是"))</f>
        <v/>
      </c>
      <c r="J144" s="42" t="str">
        <f aca="false">IF($A144="","",$H144-$I144)</f>
        <v/>
      </c>
      <c r="K144" s="41" t="str">
        <f aca="false">IF($A144="","",SUMIFS(业务流水!$H$5:$H$1504,业务流水!$F$5:$F$1504,"*",业务流水!$D$5:$D$1504,"挂靠代收",业务流水!$C$5:$C$1504,$A144,业务流水!$Z$5:$Z$1504,"是"))</f>
        <v/>
      </c>
      <c r="L144" s="42" t="str">
        <f aca="false">IF($A144="","",$C144-$K144)</f>
        <v/>
      </c>
      <c r="M144" s="41" t="str">
        <f aca="false">IF($A144="","",SUMIFS(业务流水!$H$5:$H$1504,业务流水!$E$5:$E$1504,"*",业务流水!$D$5:$D$1504,"我方收款",业务流水!$C$5:$C$1504,$A144,业务流水!$Z$5:$Z$1504,"是"))</f>
        <v/>
      </c>
      <c r="N144" s="43" t="str">
        <f aca="false">IF($A144="","",$K144-$M144)</f>
        <v/>
      </c>
      <c r="O144" s="41" t="str">
        <f aca="false">IF($A144="","",SUMIFS(业务流水!$H$5:$H$1504,业务流水!$F$5:$F$1504,"*",业务流水!$D$5:$D$1504,"管理费结算",业务流水!$C$5:$C$1504,$A144,业务流水!$Z$5:$Z$1504,"是"))</f>
        <v/>
      </c>
      <c r="P144" s="41" t="str">
        <f aca="false">IF($A144="","",SUMIFS(业务流水!$H$5:$H$1504,业务流水!$E$5:$E$1504,"*",业务流水!$D$5:$D$1504,"扣质保金",业务流水!$C$5:$C$1504,$A144,业务流水!$Z$5:$Z$1504,"是"))</f>
        <v/>
      </c>
    </row>
    <row r="145" customFormat="false" ht="15.75" hidden="false" customHeight="true" outlineLevel="0" collapsed="false">
      <c r="A145" s="32" t="str">
        <f aca="false">IF(项目档案!$A145="","",项目档案!$A145)</f>
        <v/>
      </c>
      <c r="B145" s="40" t="str">
        <f aca="false">IF($A145="","",项目档案!$B145)</f>
        <v/>
      </c>
      <c r="C145" s="41" t="str">
        <f aca="false">IF($A145="","",SUMIFS(业务流水!$H$5:$H$1504,业务流水!$E$5:$E$1504,"*",业务流水!$D$5:$D$1504,"销项开票",业务流水!$C$5:$C$1504,$A145,业务流水!$Z$5:$Z$1504,"是"))</f>
        <v/>
      </c>
      <c r="D145" s="41" t="str">
        <f aca="false">IF($A145="","",SUMIFS(业务流水!$O$5:$O$1504,业务流水!$E$5:$E$1504,"*",业务流水!$D$5:$D$1504,"销项开票",业务流水!$C$5:$C$1504,$A145,业务流水!$Z$5:$Z$1504,"是"))</f>
        <v/>
      </c>
      <c r="E145" s="41" t="str">
        <f aca="false">IF($A145="","",SUMIFS(业务流水!$P$5:$P$1504,业务流水!$E$5:$E$1504,"*",业务流水!$D$5:$D$1504,"销项开票",业务流水!$C$5:$C$1504,$A145,业务流水!$Z$5:$Z$1504,"是"))</f>
        <v/>
      </c>
      <c r="F145" s="41" t="str">
        <f aca="false">IF($A145="","",SUMIFS(业务流水!$H$5:$H$1504,业务流水!$F$5:$F$1504,"*",业务流水!$D$5:$D$1504,"成本票",业务流水!$C$5:$C$1504,$A145,业务流水!$Z$5:$Z$1504,"是")+SUMIFS(业务流水!$H$5:$H$1504,业务流水!$F$5:$F$1504,"*",业务流水!$D$5:$D$1504,"销项开票",业务流水!$C$5:$C$1504,$A145,业务流水!$Z$5:$Z$1504,"是"))</f>
        <v/>
      </c>
      <c r="G145" s="42" t="str">
        <f aca="false">IF($A145="","",$E145-$F145)</f>
        <v/>
      </c>
      <c r="H145" s="41" t="str">
        <f aca="false">IF($A145="","",SUMIFS(业务流水!$W$5:$W$1504,业务流水!$E$5:$E$1504,"*",业务流水!$D$5:$D$1504,"销项开票",业务流水!$C$5:$C$1504,$A145,业务流水!$Z$5:$Z$1504,"是"))</f>
        <v/>
      </c>
      <c r="I145" s="41" t="str">
        <f aca="false">IF($A145="","",SUMIFS(业务流水!$H$5:$H$1504,业务流水!$E$5:$E$1504,"*",业务流水!$D$5:$D$1504,"已交税",业务流水!$C$5:$C$1504,$A145,业务流水!$Z$5:$Z$1504,"是"))</f>
        <v/>
      </c>
      <c r="J145" s="42" t="str">
        <f aca="false">IF($A145="","",$H145-$I145)</f>
        <v/>
      </c>
      <c r="K145" s="41" t="str">
        <f aca="false">IF($A145="","",SUMIFS(业务流水!$H$5:$H$1504,业务流水!$F$5:$F$1504,"*",业务流水!$D$5:$D$1504,"挂靠代收",业务流水!$C$5:$C$1504,$A145,业务流水!$Z$5:$Z$1504,"是"))</f>
        <v/>
      </c>
      <c r="L145" s="42" t="str">
        <f aca="false">IF($A145="","",$C145-$K145)</f>
        <v/>
      </c>
      <c r="M145" s="41" t="str">
        <f aca="false">IF($A145="","",SUMIFS(业务流水!$H$5:$H$1504,业务流水!$E$5:$E$1504,"*",业务流水!$D$5:$D$1504,"我方收款",业务流水!$C$5:$C$1504,$A145,业务流水!$Z$5:$Z$1504,"是"))</f>
        <v/>
      </c>
      <c r="N145" s="43" t="str">
        <f aca="false">IF($A145="","",$K145-$M145)</f>
        <v/>
      </c>
      <c r="O145" s="41" t="str">
        <f aca="false">IF($A145="","",SUMIFS(业务流水!$H$5:$H$1504,业务流水!$F$5:$F$1504,"*",业务流水!$D$5:$D$1504,"管理费结算",业务流水!$C$5:$C$1504,$A145,业务流水!$Z$5:$Z$1504,"是"))</f>
        <v/>
      </c>
      <c r="P145" s="41" t="str">
        <f aca="false">IF($A145="","",SUMIFS(业务流水!$H$5:$H$1504,业务流水!$E$5:$E$1504,"*",业务流水!$D$5:$D$1504,"扣质保金",业务流水!$C$5:$C$1504,$A145,业务流水!$Z$5:$Z$1504,"是"))</f>
        <v/>
      </c>
    </row>
    <row r="146" customFormat="false" ht="15.75" hidden="false" customHeight="true" outlineLevel="0" collapsed="false">
      <c r="A146" s="32" t="str">
        <f aca="false">IF(项目档案!$A146="","",项目档案!$A146)</f>
        <v/>
      </c>
      <c r="B146" s="40" t="str">
        <f aca="false">IF($A146="","",项目档案!$B146)</f>
        <v/>
      </c>
      <c r="C146" s="41" t="str">
        <f aca="false">IF($A146="","",SUMIFS(业务流水!$H$5:$H$1504,业务流水!$E$5:$E$1504,"*",业务流水!$D$5:$D$1504,"销项开票",业务流水!$C$5:$C$1504,$A146,业务流水!$Z$5:$Z$1504,"是"))</f>
        <v/>
      </c>
      <c r="D146" s="41" t="str">
        <f aca="false">IF($A146="","",SUMIFS(业务流水!$O$5:$O$1504,业务流水!$E$5:$E$1504,"*",业务流水!$D$5:$D$1504,"销项开票",业务流水!$C$5:$C$1504,$A146,业务流水!$Z$5:$Z$1504,"是"))</f>
        <v/>
      </c>
      <c r="E146" s="41" t="str">
        <f aca="false">IF($A146="","",SUMIFS(业务流水!$P$5:$P$1504,业务流水!$E$5:$E$1504,"*",业务流水!$D$5:$D$1504,"销项开票",业务流水!$C$5:$C$1504,$A146,业务流水!$Z$5:$Z$1504,"是"))</f>
        <v/>
      </c>
      <c r="F146" s="41" t="str">
        <f aca="false">IF($A146="","",SUMIFS(业务流水!$H$5:$H$1504,业务流水!$F$5:$F$1504,"*",业务流水!$D$5:$D$1504,"成本票",业务流水!$C$5:$C$1504,$A146,业务流水!$Z$5:$Z$1504,"是")+SUMIFS(业务流水!$H$5:$H$1504,业务流水!$F$5:$F$1504,"*",业务流水!$D$5:$D$1504,"销项开票",业务流水!$C$5:$C$1504,$A146,业务流水!$Z$5:$Z$1504,"是"))</f>
        <v/>
      </c>
      <c r="G146" s="42" t="str">
        <f aca="false">IF($A146="","",$E146-$F146)</f>
        <v/>
      </c>
      <c r="H146" s="41" t="str">
        <f aca="false">IF($A146="","",SUMIFS(业务流水!$W$5:$W$1504,业务流水!$E$5:$E$1504,"*",业务流水!$D$5:$D$1504,"销项开票",业务流水!$C$5:$C$1504,$A146,业务流水!$Z$5:$Z$1504,"是"))</f>
        <v/>
      </c>
      <c r="I146" s="41" t="str">
        <f aca="false">IF($A146="","",SUMIFS(业务流水!$H$5:$H$1504,业务流水!$E$5:$E$1504,"*",业务流水!$D$5:$D$1504,"已交税",业务流水!$C$5:$C$1504,$A146,业务流水!$Z$5:$Z$1504,"是"))</f>
        <v/>
      </c>
      <c r="J146" s="42" t="str">
        <f aca="false">IF($A146="","",$H146-$I146)</f>
        <v/>
      </c>
      <c r="K146" s="41" t="str">
        <f aca="false">IF($A146="","",SUMIFS(业务流水!$H$5:$H$1504,业务流水!$F$5:$F$1504,"*",业务流水!$D$5:$D$1504,"挂靠代收",业务流水!$C$5:$C$1504,$A146,业务流水!$Z$5:$Z$1504,"是"))</f>
        <v/>
      </c>
      <c r="L146" s="42" t="str">
        <f aca="false">IF($A146="","",$C146-$K146)</f>
        <v/>
      </c>
      <c r="M146" s="41" t="str">
        <f aca="false">IF($A146="","",SUMIFS(业务流水!$H$5:$H$1504,业务流水!$E$5:$E$1504,"*",业务流水!$D$5:$D$1504,"我方收款",业务流水!$C$5:$C$1504,$A146,业务流水!$Z$5:$Z$1504,"是"))</f>
        <v/>
      </c>
      <c r="N146" s="43" t="str">
        <f aca="false">IF($A146="","",$K146-$M146)</f>
        <v/>
      </c>
      <c r="O146" s="41" t="str">
        <f aca="false">IF($A146="","",SUMIFS(业务流水!$H$5:$H$1504,业务流水!$F$5:$F$1504,"*",业务流水!$D$5:$D$1504,"管理费结算",业务流水!$C$5:$C$1504,$A146,业务流水!$Z$5:$Z$1504,"是"))</f>
        <v/>
      </c>
      <c r="P146" s="41" t="str">
        <f aca="false">IF($A146="","",SUMIFS(业务流水!$H$5:$H$1504,业务流水!$E$5:$E$1504,"*",业务流水!$D$5:$D$1504,"扣质保金",业务流水!$C$5:$C$1504,$A146,业务流水!$Z$5:$Z$1504,"是"))</f>
        <v/>
      </c>
    </row>
    <row r="147" customFormat="false" ht="15.75" hidden="false" customHeight="true" outlineLevel="0" collapsed="false">
      <c r="A147" s="32" t="str">
        <f aca="false">IF(项目档案!$A147="","",项目档案!$A147)</f>
        <v/>
      </c>
      <c r="B147" s="40" t="str">
        <f aca="false">IF($A147="","",项目档案!$B147)</f>
        <v/>
      </c>
      <c r="C147" s="41" t="str">
        <f aca="false">IF($A147="","",SUMIFS(业务流水!$H$5:$H$1504,业务流水!$E$5:$E$1504,"*",业务流水!$D$5:$D$1504,"销项开票",业务流水!$C$5:$C$1504,$A147,业务流水!$Z$5:$Z$1504,"是"))</f>
        <v/>
      </c>
      <c r="D147" s="41" t="str">
        <f aca="false">IF($A147="","",SUMIFS(业务流水!$O$5:$O$1504,业务流水!$E$5:$E$1504,"*",业务流水!$D$5:$D$1504,"销项开票",业务流水!$C$5:$C$1504,$A147,业务流水!$Z$5:$Z$1504,"是"))</f>
        <v/>
      </c>
      <c r="E147" s="41" t="str">
        <f aca="false">IF($A147="","",SUMIFS(业务流水!$P$5:$P$1504,业务流水!$E$5:$E$1504,"*",业务流水!$D$5:$D$1504,"销项开票",业务流水!$C$5:$C$1504,$A147,业务流水!$Z$5:$Z$1504,"是"))</f>
        <v/>
      </c>
      <c r="F147" s="41" t="str">
        <f aca="false">IF($A147="","",SUMIFS(业务流水!$H$5:$H$1504,业务流水!$F$5:$F$1504,"*",业务流水!$D$5:$D$1504,"成本票",业务流水!$C$5:$C$1504,$A147,业务流水!$Z$5:$Z$1504,"是")+SUMIFS(业务流水!$H$5:$H$1504,业务流水!$F$5:$F$1504,"*",业务流水!$D$5:$D$1504,"销项开票",业务流水!$C$5:$C$1504,$A147,业务流水!$Z$5:$Z$1504,"是"))</f>
        <v/>
      </c>
      <c r="G147" s="42" t="str">
        <f aca="false">IF($A147="","",$E147-$F147)</f>
        <v/>
      </c>
      <c r="H147" s="41" t="str">
        <f aca="false">IF($A147="","",SUMIFS(业务流水!$W$5:$W$1504,业务流水!$E$5:$E$1504,"*",业务流水!$D$5:$D$1504,"销项开票",业务流水!$C$5:$C$1504,$A147,业务流水!$Z$5:$Z$1504,"是"))</f>
        <v/>
      </c>
      <c r="I147" s="41" t="str">
        <f aca="false">IF($A147="","",SUMIFS(业务流水!$H$5:$H$1504,业务流水!$E$5:$E$1504,"*",业务流水!$D$5:$D$1504,"已交税",业务流水!$C$5:$C$1504,$A147,业务流水!$Z$5:$Z$1504,"是"))</f>
        <v/>
      </c>
      <c r="J147" s="42" t="str">
        <f aca="false">IF($A147="","",$H147-$I147)</f>
        <v/>
      </c>
      <c r="K147" s="41" t="str">
        <f aca="false">IF($A147="","",SUMIFS(业务流水!$H$5:$H$1504,业务流水!$F$5:$F$1504,"*",业务流水!$D$5:$D$1504,"挂靠代收",业务流水!$C$5:$C$1504,$A147,业务流水!$Z$5:$Z$1504,"是"))</f>
        <v/>
      </c>
      <c r="L147" s="42" t="str">
        <f aca="false">IF($A147="","",$C147-$K147)</f>
        <v/>
      </c>
      <c r="M147" s="41" t="str">
        <f aca="false">IF($A147="","",SUMIFS(业务流水!$H$5:$H$1504,业务流水!$E$5:$E$1504,"*",业务流水!$D$5:$D$1504,"我方收款",业务流水!$C$5:$C$1504,$A147,业务流水!$Z$5:$Z$1504,"是"))</f>
        <v/>
      </c>
      <c r="N147" s="43" t="str">
        <f aca="false">IF($A147="","",$K147-$M147)</f>
        <v/>
      </c>
      <c r="O147" s="41" t="str">
        <f aca="false">IF($A147="","",SUMIFS(业务流水!$H$5:$H$1504,业务流水!$F$5:$F$1504,"*",业务流水!$D$5:$D$1504,"管理费结算",业务流水!$C$5:$C$1504,$A147,业务流水!$Z$5:$Z$1504,"是"))</f>
        <v/>
      </c>
      <c r="P147" s="41" t="str">
        <f aca="false">IF($A147="","",SUMIFS(业务流水!$H$5:$H$1504,业务流水!$E$5:$E$1504,"*",业务流水!$D$5:$D$1504,"扣质保金",业务流水!$C$5:$C$1504,$A147,业务流水!$Z$5:$Z$1504,"是"))</f>
        <v/>
      </c>
    </row>
    <row r="148" customFormat="false" ht="15.75" hidden="false" customHeight="true" outlineLevel="0" collapsed="false">
      <c r="A148" s="32" t="str">
        <f aca="false">IF(项目档案!$A148="","",项目档案!$A148)</f>
        <v/>
      </c>
      <c r="B148" s="40" t="str">
        <f aca="false">IF($A148="","",项目档案!$B148)</f>
        <v/>
      </c>
      <c r="C148" s="41" t="str">
        <f aca="false">IF($A148="","",SUMIFS(业务流水!$H$5:$H$1504,业务流水!$E$5:$E$1504,"*",业务流水!$D$5:$D$1504,"销项开票",业务流水!$C$5:$C$1504,$A148,业务流水!$Z$5:$Z$1504,"是"))</f>
        <v/>
      </c>
      <c r="D148" s="41" t="str">
        <f aca="false">IF($A148="","",SUMIFS(业务流水!$O$5:$O$1504,业务流水!$E$5:$E$1504,"*",业务流水!$D$5:$D$1504,"销项开票",业务流水!$C$5:$C$1504,$A148,业务流水!$Z$5:$Z$1504,"是"))</f>
        <v/>
      </c>
      <c r="E148" s="41" t="str">
        <f aca="false">IF($A148="","",SUMIFS(业务流水!$P$5:$P$1504,业务流水!$E$5:$E$1504,"*",业务流水!$D$5:$D$1504,"销项开票",业务流水!$C$5:$C$1504,$A148,业务流水!$Z$5:$Z$1504,"是"))</f>
        <v/>
      </c>
      <c r="F148" s="41" t="str">
        <f aca="false">IF($A148="","",SUMIFS(业务流水!$H$5:$H$1504,业务流水!$F$5:$F$1504,"*",业务流水!$D$5:$D$1504,"成本票",业务流水!$C$5:$C$1504,$A148,业务流水!$Z$5:$Z$1504,"是")+SUMIFS(业务流水!$H$5:$H$1504,业务流水!$F$5:$F$1504,"*",业务流水!$D$5:$D$1504,"销项开票",业务流水!$C$5:$C$1504,$A148,业务流水!$Z$5:$Z$1504,"是"))</f>
        <v/>
      </c>
      <c r="G148" s="42" t="str">
        <f aca="false">IF($A148="","",$E148-$F148)</f>
        <v/>
      </c>
      <c r="H148" s="41" t="str">
        <f aca="false">IF($A148="","",SUMIFS(业务流水!$W$5:$W$1504,业务流水!$E$5:$E$1504,"*",业务流水!$D$5:$D$1504,"销项开票",业务流水!$C$5:$C$1504,$A148,业务流水!$Z$5:$Z$1504,"是"))</f>
        <v/>
      </c>
      <c r="I148" s="41" t="str">
        <f aca="false">IF($A148="","",SUMIFS(业务流水!$H$5:$H$1504,业务流水!$E$5:$E$1504,"*",业务流水!$D$5:$D$1504,"已交税",业务流水!$C$5:$C$1504,$A148,业务流水!$Z$5:$Z$1504,"是"))</f>
        <v/>
      </c>
      <c r="J148" s="42" t="str">
        <f aca="false">IF($A148="","",$H148-$I148)</f>
        <v/>
      </c>
      <c r="K148" s="41" t="str">
        <f aca="false">IF($A148="","",SUMIFS(业务流水!$H$5:$H$1504,业务流水!$F$5:$F$1504,"*",业务流水!$D$5:$D$1504,"挂靠代收",业务流水!$C$5:$C$1504,$A148,业务流水!$Z$5:$Z$1504,"是"))</f>
        <v/>
      </c>
      <c r="L148" s="42" t="str">
        <f aca="false">IF($A148="","",$C148-$K148)</f>
        <v/>
      </c>
      <c r="M148" s="41" t="str">
        <f aca="false">IF($A148="","",SUMIFS(业务流水!$H$5:$H$1504,业务流水!$E$5:$E$1504,"*",业务流水!$D$5:$D$1504,"我方收款",业务流水!$C$5:$C$1504,$A148,业务流水!$Z$5:$Z$1504,"是"))</f>
        <v/>
      </c>
      <c r="N148" s="43" t="str">
        <f aca="false">IF($A148="","",$K148-$M148)</f>
        <v/>
      </c>
      <c r="O148" s="41" t="str">
        <f aca="false">IF($A148="","",SUMIFS(业务流水!$H$5:$H$1504,业务流水!$F$5:$F$1504,"*",业务流水!$D$5:$D$1504,"管理费结算",业务流水!$C$5:$C$1504,$A148,业务流水!$Z$5:$Z$1504,"是"))</f>
        <v/>
      </c>
      <c r="P148" s="41" t="str">
        <f aca="false">IF($A148="","",SUMIFS(业务流水!$H$5:$H$1504,业务流水!$E$5:$E$1504,"*",业务流水!$D$5:$D$1504,"扣质保金",业务流水!$C$5:$C$1504,$A148,业务流水!$Z$5:$Z$1504,"是"))</f>
        <v/>
      </c>
    </row>
    <row r="149" customFormat="false" ht="15.75" hidden="false" customHeight="true" outlineLevel="0" collapsed="false">
      <c r="A149" s="32" t="str">
        <f aca="false">IF(项目档案!$A149="","",项目档案!$A149)</f>
        <v/>
      </c>
      <c r="B149" s="40" t="str">
        <f aca="false">IF($A149="","",项目档案!$B149)</f>
        <v/>
      </c>
      <c r="C149" s="41" t="str">
        <f aca="false">IF($A149="","",SUMIFS(业务流水!$H$5:$H$1504,业务流水!$E$5:$E$1504,"*",业务流水!$D$5:$D$1504,"销项开票",业务流水!$C$5:$C$1504,$A149,业务流水!$Z$5:$Z$1504,"是"))</f>
        <v/>
      </c>
      <c r="D149" s="41" t="str">
        <f aca="false">IF($A149="","",SUMIFS(业务流水!$O$5:$O$1504,业务流水!$E$5:$E$1504,"*",业务流水!$D$5:$D$1504,"销项开票",业务流水!$C$5:$C$1504,$A149,业务流水!$Z$5:$Z$1504,"是"))</f>
        <v/>
      </c>
      <c r="E149" s="41" t="str">
        <f aca="false">IF($A149="","",SUMIFS(业务流水!$P$5:$P$1504,业务流水!$E$5:$E$1504,"*",业务流水!$D$5:$D$1504,"销项开票",业务流水!$C$5:$C$1504,$A149,业务流水!$Z$5:$Z$1504,"是"))</f>
        <v/>
      </c>
      <c r="F149" s="41" t="str">
        <f aca="false">IF($A149="","",SUMIFS(业务流水!$H$5:$H$1504,业务流水!$F$5:$F$1504,"*",业务流水!$D$5:$D$1504,"成本票",业务流水!$C$5:$C$1504,$A149,业务流水!$Z$5:$Z$1504,"是")+SUMIFS(业务流水!$H$5:$H$1504,业务流水!$F$5:$F$1504,"*",业务流水!$D$5:$D$1504,"销项开票",业务流水!$C$5:$C$1504,$A149,业务流水!$Z$5:$Z$1504,"是"))</f>
        <v/>
      </c>
      <c r="G149" s="42" t="str">
        <f aca="false">IF($A149="","",$E149-$F149)</f>
        <v/>
      </c>
      <c r="H149" s="41" t="str">
        <f aca="false">IF($A149="","",SUMIFS(业务流水!$W$5:$W$1504,业务流水!$E$5:$E$1504,"*",业务流水!$D$5:$D$1504,"销项开票",业务流水!$C$5:$C$1504,$A149,业务流水!$Z$5:$Z$1504,"是"))</f>
        <v/>
      </c>
      <c r="I149" s="41" t="str">
        <f aca="false">IF($A149="","",SUMIFS(业务流水!$H$5:$H$1504,业务流水!$E$5:$E$1504,"*",业务流水!$D$5:$D$1504,"已交税",业务流水!$C$5:$C$1504,$A149,业务流水!$Z$5:$Z$1504,"是"))</f>
        <v/>
      </c>
      <c r="J149" s="42" t="str">
        <f aca="false">IF($A149="","",$H149-$I149)</f>
        <v/>
      </c>
      <c r="K149" s="41" t="str">
        <f aca="false">IF($A149="","",SUMIFS(业务流水!$H$5:$H$1504,业务流水!$F$5:$F$1504,"*",业务流水!$D$5:$D$1504,"挂靠代收",业务流水!$C$5:$C$1504,$A149,业务流水!$Z$5:$Z$1504,"是"))</f>
        <v/>
      </c>
      <c r="L149" s="42" t="str">
        <f aca="false">IF($A149="","",$C149-$K149)</f>
        <v/>
      </c>
      <c r="M149" s="41" t="str">
        <f aca="false">IF($A149="","",SUMIFS(业务流水!$H$5:$H$1504,业务流水!$E$5:$E$1504,"*",业务流水!$D$5:$D$1504,"我方收款",业务流水!$C$5:$C$1504,$A149,业务流水!$Z$5:$Z$1504,"是"))</f>
        <v/>
      </c>
      <c r="N149" s="43" t="str">
        <f aca="false">IF($A149="","",$K149-$M149)</f>
        <v/>
      </c>
      <c r="O149" s="41" t="str">
        <f aca="false">IF($A149="","",SUMIFS(业务流水!$H$5:$H$1504,业务流水!$F$5:$F$1504,"*",业务流水!$D$5:$D$1504,"管理费结算",业务流水!$C$5:$C$1504,$A149,业务流水!$Z$5:$Z$1504,"是"))</f>
        <v/>
      </c>
      <c r="P149" s="41" t="str">
        <f aca="false">IF($A149="","",SUMIFS(业务流水!$H$5:$H$1504,业务流水!$E$5:$E$1504,"*",业务流水!$D$5:$D$1504,"扣质保金",业务流水!$C$5:$C$1504,$A149,业务流水!$Z$5:$Z$1504,"是"))</f>
        <v/>
      </c>
    </row>
    <row r="150" customFormat="false" ht="15.75" hidden="false" customHeight="true" outlineLevel="0" collapsed="false">
      <c r="A150" s="32" t="str">
        <f aca="false">IF(项目档案!$A150="","",项目档案!$A150)</f>
        <v/>
      </c>
      <c r="B150" s="40" t="str">
        <f aca="false">IF($A150="","",项目档案!$B150)</f>
        <v/>
      </c>
      <c r="C150" s="41" t="str">
        <f aca="false">IF($A150="","",SUMIFS(业务流水!$H$5:$H$1504,业务流水!$E$5:$E$1504,"*",业务流水!$D$5:$D$1504,"销项开票",业务流水!$C$5:$C$1504,$A150,业务流水!$Z$5:$Z$1504,"是"))</f>
        <v/>
      </c>
      <c r="D150" s="41" t="str">
        <f aca="false">IF($A150="","",SUMIFS(业务流水!$O$5:$O$1504,业务流水!$E$5:$E$1504,"*",业务流水!$D$5:$D$1504,"销项开票",业务流水!$C$5:$C$1504,$A150,业务流水!$Z$5:$Z$1504,"是"))</f>
        <v/>
      </c>
      <c r="E150" s="41" t="str">
        <f aca="false">IF($A150="","",SUMIFS(业务流水!$P$5:$P$1504,业务流水!$E$5:$E$1504,"*",业务流水!$D$5:$D$1504,"销项开票",业务流水!$C$5:$C$1504,$A150,业务流水!$Z$5:$Z$1504,"是"))</f>
        <v/>
      </c>
      <c r="F150" s="41" t="str">
        <f aca="false">IF($A150="","",SUMIFS(业务流水!$H$5:$H$1504,业务流水!$F$5:$F$1504,"*",业务流水!$D$5:$D$1504,"成本票",业务流水!$C$5:$C$1504,$A150,业务流水!$Z$5:$Z$1504,"是")+SUMIFS(业务流水!$H$5:$H$1504,业务流水!$F$5:$F$1504,"*",业务流水!$D$5:$D$1504,"销项开票",业务流水!$C$5:$C$1504,$A150,业务流水!$Z$5:$Z$1504,"是"))</f>
        <v/>
      </c>
      <c r="G150" s="42" t="str">
        <f aca="false">IF($A150="","",$E150-$F150)</f>
        <v/>
      </c>
      <c r="H150" s="41" t="str">
        <f aca="false">IF($A150="","",SUMIFS(业务流水!$W$5:$W$1504,业务流水!$E$5:$E$1504,"*",业务流水!$D$5:$D$1504,"销项开票",业务流水!$C$5:$C$1504,$A150,业务流水!$Z$5:$Z$1504,"是"))</f>
        <v/>
      </c>
      <c r="I150" s="41" t="str">
        <f aca="false">IF($A150="","",SUMIFS(业务流水!$H$5:$H$1504,业务流水!$E$5:$E$1504,"*",业务流水!$D$5:$D$1504,"已交税",业务流水!$C$5:$C$1504,$A150,业务流水!$Z$5:$Z$1504,"是"))</f>
        <v/>
      </c>
      <c r="J150" s="42" t="str">
        <f aca="false">IF($A150="","",$H150-$I150)</f>
        <v/>
      </c>
      <c r="K150" s="41" t="str">
        <f aca="false">IF($A150="","",SUMIFS(业务流水!$H$5:$H$1504,业务流水!$F$5:$F$1504,"*",业务流水!$D$5:$D$1504,"挂靠代收",业务流水!$C$5:$C$1504,$A150,业务流水!$Z$5:$Z$1504,"是"))</f>
        <v/>
      </c>
      <c r="L150" s="42" t="str">
        <f aca="false">IF($A150="","",$C150-$K150)</f>
        <v/>
      </c>
      <c r="M150" s="41" t="str">
        <f aca="false">IF($A150="","",SUMIFS(业务流水!$H$5:$H$1504,业务流水!$E$5:$E$1504,"*",业务流水!$D$5:$D$1504,"我方收款",业务流水!$C$5:$C$1504,$A150,业务流水!$Z$5:$Z$1504,"是"))</f>
        <v/>
      </c>
      <c r="N150" s="43" t="str">
        <f aca="false">IF($A150="","",$K150-$M150)</f>
        <v/>
      </c>
      <c r="O150" s="41" t="str">
        <f aca="false">IF($A150="","",SUMIFS(业务流水!$H$5:$H$1504,业务流水!$F$5:$F$1504,"*",业务流水!$D$5:$D$1504,"管理费结算",业务流水!$C$5:$C$1504,$A150,业务流水!$Z$5:$Z$1504,"是"))</f>
        <v/>
      </c>
      <c r="P150" s="41" t="str">
        <f aca="false">IF($A150="","",SUMIFS(业务流水!$H$5:$H$1504,业务流水!$E$5:$E$1504,"*",业务流水!$D$5:$D$1504,"扣质保金",业务流水!$C$5:$C$1504,$A150,业务流水!$Z$5:$Z$1504,"是"))</f>
        <v/>
      </c>
    </row>
    <row r="151" customFormat="false" ht="15.75" hidden="false" customHeight="true" outlineLevel="0" collapsed="false">
      <c r="A151" s="32" t="str">
        <f aca="false">IF(项目档案!$A151="","",项目档案!$A151)</f>
        <v/>
      </c>
      <c r="B151" s="40" t="str">
        <f aca="false">IF($A151="","",项目档案!$B151)</f>
        <v/>
      </c>
      <c r="C151" s="41" t="str">
        <f aca="false">IF($A151="","",SUMIFS(业务流水!$H$5:$H$1504,业务流水!$E$5:$E$1504,"*",业务流水!$D$5:$D$1504,"销项开票",业务流水!$C$5:$C$1504,$A151,业务流水!$Z$5:$Z$1504,"是"))</f>
        <v/>
      </c>
      <c r="D151" s="41" t="str">
        <f aca="false">IF($A151="","",SUMIFS(业务流水!$O$5:$O$1504,业务流水!$E$5:$E$1504,"*",业务流水!$D$5:$D$1504,"销项开票",业务流水!$C$5:$C$1504,$A151,业务流水!$Z$5:$Z$1504,"是"))</f>
        <v/>
      </c>
      <c r="E151" s="41" t="str">
        <f aca="false">IF($A151="","",SUMIFS(业务流水!$P$5:$P$1504,业务流水!$E$5:$E$1504,"*",业务流水!$D$5:$D$1504,"销项开票",业务流水!$C$5:$C$1504,$A151,业务流水!$Z$5:$Z$1504,"是"))</f>
        <v/>
      </c>
      <c r="F151" s="41" t="str">
        <f aca="false">IF($A151="","",SUMIFS(业务流水!$H$5:$H$1504,业务流水!$F$5:$F$1504,"*",业务流水!$D$5:$D$1504,"成本票",业务流水!$C$5:$C$1504,$A151,业务流水!$Z$5:$Z$1504,"是")+SUMIFS(业务流水!$H$5:$H$1504,业务流水!$F$5:$F$1504,"*",业务流水!$D$5:$D$1504,"销项开票",业务流水!$C$5:$C$1504,$A151,业务流水!$Z$5:$Z$1504,"是"))</f>
        <v/>
      </c>
      <c r="G151" s="42" t="str">
        <f aca="false">IF($A151="","",$E151-$F151)</f>
        <v/>
      </c>
      <c r="H151" s="41" t="str">
        <f aca="false">IF($A151="","",SUMIFS(业务流水!$W$5:$W$1504,业务流水!$E$5:$E$1504,"*",业务流水!$D$5:$D$1504,"销项开票",业务流水!$C$5:$C$1504,$A151,业务流水!$Z$5:$Z$1504,"是"))</f>
        <v/>
      </c>
      <c r="I151" s="41" t="str">
        <f aca="false">IF($A151="","",SUMIFS(业务流水!$H$5:$H$1504,业务流水!$E$5:$E$1504,"*",业务流水!$D$5:$D$1504,"已交税",业务流水!$C$5:$C$1504,$A151,业务流水!$Z$5:$Z$1504,"是"))</f>
        <v/>
      </c>
      <c r="J151" s="42" t="str">
        <f aca="false">IF($A151="","",$H151-$I151)</f>
        <v/>
      </c>
      <c r="K151" s="41" t="str">
        <f aca="false">IF($A151="","",SUMIFS(业务流水!$H$5:$H$1504,业务流水!$F$5:$F$1504,"*",业务流水!$D$5:$D$1504,"挂靠代收",业务流水!$C$5:$C$1504,$A151,业务流水!$Z$5:$Z$1504,"是"))</f>
        <v/>
      </c>
      <c r="L151" s="42" t="str">
        <f aca="false">IF($A151="","",$C151-$K151)</f>
        <v/>
      </c>
      <c r="M151" s="41" t="str">
        <f aca="false">IF($A151="","",SUMIFS(业务流水!$H$5:$H$1504,业务流水!$E$5:$E$1504,"*",业务流水!$D$5:$D$1504,"我方收款",业务流水!$C$5:$C$1504,$A151,业务流水!$Z$5:$Z$1504,"是"))</f>
        <v/>
      </c>
      <c r="N151" s="43" t="str">
        <f aca="false">IF($A151="","",$K151-$M151)</f>
        <v/>
      </c>
      <c r="O151" s="41" t="str">
        <f aca="false">IF($A151="","",SUMIFS(业务流水!$H$5:$H$1504,业务流水!$F$5:$F$1504,"*",业务流水!$D$5:$D$1504,"管理费结算",业务流水!$C$5:$C$1504,$A151,业务流水!$Z$5:$Z$1504,"是"))</f>
        <v/>
      </c>
      <c r="P151" s="41" t="str">
        <f aca="false">IF($A151="","",SUMIFS(业务流水!$H$5:$H$1504,业务流水!$E$5:$E$1504,"*",业务流水!$D$5:$D$1504,"扣质保金",业务流水!$C$5:$C$1504,$A151,业务流水!$Z$5:$Z$1504,"是"))</f>
        <v/>
      </c>
    </row>
    <row r="152" customFormat="false" ht="15.75" hidden="false" customHeight="true" outlineLevel="0" collapsed="false">
      <c r="A152" s="32" t="str">
        <f aca="false">IF(项目档案!$A152="","",项目档案!$A152)</f>
        <v/>
      </c>
      <c r="B152" s="40" t="str">
        <f aca="false">IF($A152="","",项目档案!$B152)</f>
        <v/>
      </c>
      <c r="C152" s="41" t="str">
        <f aca="false">IF($A152="","",SUMIFS(业务流水!$H$5:$H$1504,业务流水!$E$5:$E$1504,"*",业务流水!$D$5:$D$1504,"销项开票",业务流水!$C$5:$C$1504,$A152,业务流水!$Z$5:$Z$1504,"是"))</f>
        <v/>
      </c>
      <c r="D152" s="41" t="str">
        <f aca="false">IF($A152="","",SUMIFS(业务流水!$O$5:$O$1504,业务流水!$E$5:$E$1504,"*",业务流水!$D$5:$D$1504,"销项开票",业务流水!$C$5:$C$1504,$A152,业务流水!$Z$5:$Z$1504,"是"))</f>
        <v/>
      </c>
      <c r="E152" s="41" t="str">
        <f aca="false">IF($A152="","",SUMIFS(业务流水!$P$5:$P$1504,业务流水!$E$5:$E$1504,"*",业务流水!$D$5:$D$1504,"销项开票",业务流水!$C$5:$C$1504,$A152,业务流水!$Z$5:$Z$1504,"是"))</f>
        <v/>
      </c>
      <c r="F152" s="41" t="str">
        <f aca="false">IF($A152="","",SUMIFS(业务流水!$H$5:$H$1504,业务流水!$F$5:$F$1504,"*",业务流水!$D$5:$D$1504,"成本票",业务流水!$C$5:$C$1504,$A152,业务流水!$Z$5:$Z$1504,"是")+SUMIFS(业务流水!$H$5:$H$1504,业务流水!$F$5:$F$1504,"*",业务流水!$D$5:$D$1504,"销项开票",业务流水!$C$5:$C$1504,$A152,业务流水!$Z$5:$Z$1504,"是"))</f>
        <v/>
      </c>
      <c r="G152" s="42" t="str">
        <f aca="false">IF($A152="","",$E152-$F152)</f>
        <v/>
      </c>
      <c r="H152" s="41" t="str">
        <f aca="false">IF($A152="","",SUMIFS(业务流水!$W$5:$W$1504,业务流水!$E$5:$E$1504,"*",业务流水!$D$5:$D$1504,"销项开票",业务流水!$C$5:$C$1504,$A152,业务流水!$Z$5:$Z$1504,"是"))</f>
        <v/>
      </c>
      <c r="I152" s="41" t="str">
        <f aca="false">IF($A152="","",SUMIFS(业务流水!$H$5:$H$1504,业务流水!$E$5:$E$1504,"*",业务流水!$D$5:$D$1504,"已交税",业务流水!$C$5:$C$1504,$A152,业务流水!$Z$5:$Z$1504,"是"))</f>
        <v/>
      </c>
      <c r="J152" s="42" t="str">
        <f aca="false">IF($A152="","",$H152-$I152)</f>
        <v/>
      </c>
      <c r="K152" s="41" t="str">
        <f aca="false">IF($A152="","",SUMIFS(业务流水!$H$5:$H$1504,业务流水!$F$5:$F$1504,"*",业务流水!$D$5:$D$1504,"挂靠代收",业务流水!$C$5:$C$1504,$A152,业务流水!$Z$5:$Z$1504,"是"))</f>
        <v/>
      </c>
      <c r="L152" s="42" t="str">
        <f aca="false">IF($A152="","",$C152-$K152)</f>
        <v/>
      </c>
      <c r="M152" s="41" t="str">
        <f aca="false">IF($A152="","",SUMIFS(业务流水!$H$5:$H$1504,业务流水!$E$5:$E$1504,"*",业务流水!$D$5:$D$1504,"我方收款",业务流水!$C$5:$C$1504,$A152,业务流水!$Z$5:$Z$1504,"是"))</f>
        <v/>
      </c>
      <c r="N152" s="43" t="str">
        <f aca="false">IF($A152="","",$K152-$M152)</f>
        <v/>
      </c>
      <c r="O152" s="41" t="str">
        <f aca="false">IF($A152="","",SUMIFS(业务流水!$H$5:$H$1504,业务流水!$F$5:$F$1504,"*",业务流水!$D$5:$D$1504,"管理费结算",业务流水!$C$5:$C$1504,$A152,业务流水!$Z$5:$Z$1504,"是"))</f>
        <v/>
      </c>
      <c r="P152" s="41" t="str">
        <f aca="false">IF($A152="","",SUMIFS(业务流水!$H$5:$H$1504,业务流水!$E$5:$E$1504,"*",业务流水!$D$5:$D$1504,"扣质保金",业务流水!$C$5:$C$1504,$A152,业务流水!$Z$5:$Z$1504,"是"))</f>
        <v/>
      </c>
    </row>
    <row r="153" customFormat="false" ht="15.75" hidden="false" customHeight="true" outlineLevel="0" collapsed="false">
      <c r="A153" s="32" t="str">
        <f aca="false">IF(项目档案!$A153="","",项目档案!$A153)</f>
        <v/>
      </c>
      <c r="B153" s="40" t="str">
        <f aca="false">IF($A153="","",项目档案!$B153)</f>
        <v/>
      </c>
      <c r="C153" s="41" t="str">
        <f aca="false">IF($A153="","",SUMIFS(业务流水!$H$5:$H$1504,业务流水!$E$5:$E$1504,"*",业务流水!$D$5:$D$1504,"销项开票",业务流水!$C$5:$C$1504,$A153,业务流水!$Z$5:$Z$1504,"是"))</f>
        <v/>
      </c>
      <c r="D153" s="41" t="str">
        <f aca="false">IF($A153="","",SUMIFS(业务流水!$O$5:$O$1504,业务流水!$E$5:$E$1504,"*",业务流水!$D$5:$D$1504,"销项开票",业务流水!$C$5:$C$1504,$A153,业务流水!$Z$5:$Z$1504,"是"))</f>
        <v/>
      </c>
      <c r="E153" s="41" t="str">
        <f aca="false">IF($A153="","",SUMIFS(业务流水!$P$5:$P$1504,业务流水!$E$5:$E$1504,"*",业务流水!$D$5:$D$1504,"销项开票",业务流水!$C$5:$C$1504,$A153,业务流水!$Z$5:$Z$1504,"是"))</f>
        <v/>
      </c>
      <c r="F153" s="41" t="str">
        <f aca="false">IF($A153="","",SUMIFS(业务流水!$H$5:$H$1504,业务流水!$F$5:$F$1504,"*",业务流水!$D$5:$D$1504,"成本票",业务流水!$C$5:$C$1504,$A153,业务流水!$Z$5:$Z$1504,"是")+SUMIFS(业务流水!$H$5:$H$1504,业务流水!$F$5:$F$1504,"*",业务流水!$D$5:$D$1504,"销项开票",业务流水!$C$5:$C$1504,$A153,业务流水!$Z$5:$Z$1504,"是"))</f>
        <v/>
      </c>
      <c r="G153" s="42" t="str">
        <f aca="false">IF($A153="","",$E153-$F153)</f>
        <v/>
      </c>
      <c r="H153" s="41" t="str">
        <f aca="false">IF($A153="","",SUMIFS(业务流水!$W$5:$W$1504,业务流水!$E$5:$E$1504,"*",业务流水!$D$5:$D$1504,"销项开票",业务流水!$C$5:$C$1504,$A153,业务流水!$Z$5:$Z$1504,"是"))</f>
        <v/>
      </c>
      <c r="I153" s="41" t="str">
        <f aca="false">IF($A153="","",SUMIFS(业务流水!$H$5:$H$1504,业务流水!$E$5:$E$1504,"*",业务流水!$D$5:$D$1504,"已交税",业务流水!$C$5:$C$1504,$A153,业务流水!$Z$5:$Z$1504,"是"))</f>
        <v/>
      </c>
      <c r="J153" s="42" t="str">
        <f aca="false">IF($A153="","",$H153-$I153)</f>
        <v/>
      </c>
      <c r="K153" s="41" t="str">
        <f aca="false">IF($A153="","",SUMIFS(业务流水!$H$5:$H$1504,业务流水!$F$5:$F$1504,"*",业务流水!$D$5:$D$1504,"挂靠代收",业务流水!$C$5:$C$1504,$A153,业务流水!$Z$5:$Z$1504,"是"))</f>
        <v/>
      </c>
      <c r="L153" s="42" t="str">
        <f aca="false">IF($A153="","",$C153-$K153)</f>
        <v/>
      </c>
      <c r="M153" s="41" t="str">
        <f aca="false">IF($A153="","",SUMIFS(业务流水!$H$5:$H$1504,业务流水!$E$5:$E$1504,"*",业务流水!$D$5:$D$1504,"我方收款",业务流水!$C$5:$C$1504,$A153,业务流水!$Z$5:$Z$1504,"是"))</f>
        <v/>
      </c>
      <c r="N153" s="43" t="str">
        <f aca="false">IF($A153="","",$K153-$M153)</f>
        <v/>
      </c>
      <c r="O153" s="41" t="str">
        <f aca="false">IF($A153="","",SUMIFS(业务流水!$H$5:$H$1504,业务流水!$F$5:$F$1504,"*",业务流水!$D$5:$D$1504,"管理费结算",业务流水!$C$5:$C$1504,$A153,业务流水!$Z$5:$Z$1504,"是"))</f>
        <v/>
      </c>
      <c r="P153" s="41" t="str">
        <f aca="false">IF($A153="","",SUMIFS(业务流水!$H$5:$H$1504,业务流水!$E$5:$E$1504,"*",业务流水!$D$5:$D$1504,"扣质保金",业务流水!$C$5:$C$1504,$A153,业务流水!$Z$5:$Z$1504,"是"))</f>
        <v/>
      </c>
    </row>
    <row r="154" customFormat="false" ht="15.75" hidden="false" customHeight="true" outlineLevel="0" collapsed="false">
      <c r="A154" s="32" t="str">
        <f aca="false">IF(项目档案!$A154="","",项目档案!$A154)</f>
        <v/>
      </c>
      <c r="B154" s="40" t="str">
        <f aca="false">IF($A154="","",项目档案!$B154)</f>
        <v/>
      </c>
      <c r="C154" s="41" t="str">
        <f aca="false">IF($A154="","",SUMIFS(业务流水!$H$5:$H$1504,业务流水!$E$5:$E$1504,"*",业务流水!$D$5:$D$1504,"销项开票",业务流水!$C$5:$C$1504,$A154,业务流水!$Z$5:$Z$1504,"是"))</f>
        <v/>
      </c>
      <c r="D154" s="41" t="str">
        <f aca="false">IF($A154="","",SUMIFS(业务流水!$O$5:$O$1504,业务流水!$E$5:$E$1504,"*",业务流水!$D$5:$D$1504,"销项开票",业务流水!$C$5:$C$1504,$A154,业务流水!$Z$5:$Z$1504,"是"))</f>
        <v/>
      </c>
      <c r="E154" s="41" t="str">
        <f aca="false">IF($A154="","",SUMIFS(业务流水!$P$5:$P$1504,业务流水!$E$5:$E$1504,"*",业务流水!$D$5:$D$1504,"销项开票",业务流水!$C$5:$C$1504,$A154,业务流水!$Z$5:$Z$1504,"是"))</f>
        <v/>
      </c>
      <c r="F154" s="41" t="str">
        <f aca="false">IF($A154="","",SUMIFS(业务流水!$H$5:$H$1504,业务流水!$F$5:$F$1504,"*",业务流水!$D$5:$D$1504,"成本票",业务流水!$C$5:$C$1504,$A154,业务流水!$Z$5:$Z$1504,"是")+SUMIFS(业务流水!$H$5:$H$1504,业务流水!$F$5:$F$1504,"*",业务流水!$D$5:$D$1504,"销项开票",业务流水!$C$5:$C$1504,$A154,业务流水!$Z$5:$Z$1504,"是"))</f>
        <v/>
      </c>
      <c r="G154" s="42" t="str">
        <f aca="false">IF($A154="","",$E154-$F154)</f>
        <v/>
      </c>
      <c r="H154" s="41" t="str">
        <f aca="false">IF($A154="","",SUMIFS(业务流水!$W$5:$W$1504,业务流水!$E$5:$E$1504,"*",业务流水!$D$5:$D$1504,"销项开票",业务流水!$C$5:$C$1504,$A154,业务流水!$Z$5:$Z$1504,"是"))</f>
        <v/>
      </c>
      <c r="I154" s="41" t="str">
        <f aca="false">IF($A154="","",SUMIFS(业务流水!$H$5:$H$1504,业务流水!$E$5:$E$1504,"*",业务流水!$D$5:$D$1504,"已交税",业务流水!$C$5:$C$1504,$A154,业务流水!$Z$5:$Z$1504,"是"))</f>
        <v/>
      </c>
      <c r="J154" s="42" t="str">
        <f aca="false">IF($A154="","",$H154-$I154)</f>
        <v/>
      </c>
      <c r="K154" s="41" t="str">
        <f aca="false">IF($A154="","",SUMIFS(业务流水!$H$5:$H$1504,业务流水!$F$5:$F$1504,"*",业务流水!$D$5:$D$1504,"挂靠代收",业务流水!$C$5:$C$1504,$A154,业务流水!$Z$5:$Z$1504,"是"))</f>
        <v/>
      </c>
      <c r="L154" s="42" t="str">
        <f aca="false">IF($A154="","",$C154-$K154)</f>
        <v/>
      </c>
      <c r="M154" s="41" t="str">
        <f aca="false">IF($A154="","",SUMIFS(业务流水!$H$5:$H$1504,业务流水!$E$5:$E$1504,"*",业务流水!$D$5:$D$1504,"我方收款",业务流水!$C$5:$C$1504,$A154,业务流水!$Z$5:$Z$1504,"是"))</f>
        <v/>
      </c>
      <c r="N154" s="43" t="str">
        <f aca="false">IF($A154="","",$K154-$M154)</f>
        <v/>
      </c>
      <c r="O154" s="41" t="str">
        <f aca="false">IF($A154="","",SUMIFS(业务流水!$H$5:$H$1504,业务流水!$F$5:$F$1504,"*",业务流水!$D$5:$D$1504,"管理费结算",业务流水!$C$5:$C$1504,$A154,业务流水!$Z$5:$Z$1504,"是"))</f>
        <v/>
      </c>
      <c r="P154" s="41" t="str">
        <f aca="false">IF($A154="","",SUMIFS(业务流水!$H$5:$H$1504,业务流水!$E$5:$E$1504,"*",业务流水!$D$5:$D$1504,"扣质保金",业务流水!$C$5:$C$1504,$A154,业务流水!$Z$5:$Z$1504,"是"))</f>
        <v/>
      </c>
    </row>
    <row r="155" customFormat="false" ht="15.75" hidden="false" customHeight="true" outlineLevel="0" collapsed="false">
      <c r="A155" s="32" t="str">
        <f aca="false">IF(项目档案!$A155="","",项目档案!$A155)</f>
        <v/>
      </c>
      <c r="B155" s="40" t="str">
        <f aca="false">IF($A155="","",项目档案!$B155)</f>
        <v/>
      </c>
      <c r="C155" s="41" t="str">
        <f aca="false">IF($A155="","",SUMIFS(业务流水!$H$5:$H$1504,业务流水!$E$5:$E$1504,"*",业务流水!$D$5:$D$1504,"销项开票",业务流水!$C$5:$C$1504,$A155,业务流水!$Z$5:$Z$1504,"是"))</f>
        <v/>
      </c>
      <c r="D155" s="41" t="str">
        <f aca="false">IF($A155="","",SUMIFS(业务流水!$O$5:$O$1504,业务流水!$E$5:$E$1504,"*",业务流水!$D$5:$D$1504,"销项开票",业务流水!$C$5:$C$1504,$A155,业务流水!$Z$5:$Z$1504,"是"))</f>
        <v/>
      </c>
      <c r="E155" s="41" t="str">
        <f aca="false">IF($A155="","",SUMIFS(业务流水!$P$5:$P$1504,业务流水!$E$5:$E$1504,"*",业务流水!$D$5:$D$1504,"销项开票",业务流水!$C$5:$C$1504,$A155,业务流水!$Z$5:$Z$1504,"是"))</f>
        <v/>
      </c>
      <c r="F155" s="41" t="str">
        <f aca="false">IF($A155="","",SUMIFS(业务流水!$H$5:$H$1504,业务流水!$F$5:$F$1504,"*",业务流水!$D$5:$D$1504,"成本票",业务流水!$C$5:$C$1504,$A155,业务流水!$Z$5:$Z$1504,"是")+SUMIFS(业务流水!$H$5:$H$1504,业务流水!$F$5:$F$1504,"*",业务流水!$D$5:$D$1504,"销项开票",业务流水!$C$5:$C$1504,$A155,业务流水!$Z$5:$Z$1504,"是"))</f>
        <v/>
      </c>
      <c r="G155" s="42" t="str">
        <f aca="false">IF($A155="","",$E155-$F155)</f>
        <v/>
      </c>
      <c r="H155" s="41" t="str">
        <f aca="false">IF($A155="","",SUMIFS(业务流水!$W$5:$W$1504,业务流水!$E$5:$E$1504,"*",业务流水!$D$5:$D$1504,"销项开票",业务流水!$C$5:$C$1504,$A155,业务流水!$Z$5:$Z$1504,"是"))</f>
        <v/>
      </c>
      <c r="I155" s="41" t="str">
        <f aca="false">IF($A155="","",SUMIFS(业务流水!$H$5:$H$1504,业务流水!$E$5:$E$1504,"*",业务流水!$D$5:$D$1504,"已交税",业务流水!$C$5:$C$1504,$A155,业务流水!$Z$5:$Z$1504,"是"))</f>
        <v/>
      </c>
      <c r="J155" s="42" t="str">
        <f aca="false">IF($A155="","",$H155-$I155)</f>
        <v/>
      </c>
      <c r="K155" s="41" t="str">
        <f aca="false">IF($A155="","",SUMIFS(业务流水!$H$5:$H$1504,业务流水!$F$5:$F$1504,"*",业务流水!$D$5:$D$1504,"挂靠代收",业务流水!$C$5:$C$1504,$A155,业务流水!$Z$5:$Z$1504,"是"))</f>
        <v/>
      </c>
      <c r="L155" s="42" t="str">
        <f aca="false">IF($A155="","",$C155-$K155)</f>
        <v/>
      </c>
      <c r="M155" s="41" t="str">
        <f aca="false">IF($A155="","",SUMIFS(业务流水!$H$5:$H$1504,业务流水!$E$5:$E$1504,"*",业务流水!$D$5:$D$1504,"我方收款",业务流水!$C$5:$C$1504,$A155,业务流水!$Z$5:$Z$1504,"是"))</f>
        <v/>
      </c>
      <c r="N155" s="43" t="str">
        <f aca="false">IF($A155="","",$K155-$M155)</f>
        <v/>
      </c>
      <c r="O155" s="41" t="str">
        <f aca="false">IF($A155="","",SUMIFS(业务流水!$H$5:$H$1504,业务流水!$F$5:$F$1504,"*",业务流水!$D$5:$D$1504,"管理费结算",业务流水!$C$5:$C$1504,$A155,业务流水!$Z$5:$Z$1504,"是"))</f>
        <v/>
      </c>
      <c r="P155" s="41" t="str">
        <f aca="false">IF($A155="","",SUMIFS(业务流水!$H$5:$H$1504,业务流水!$E$5:$E$1504,"*",业务流水!$D$5:$D$1504,"扣质保金",业务流水!$C$5:$C$1504,$A155,业务流水!$Z$5:$Z$1504,"是"))</f>
        <v/>
      </c>
    </row>
    <row r="156" customFormat="false" ht="15.75" hidden="false" customHeight="true" outlineLevel="0" collapsed="false">
      <c r="A156" s="32" t="str">
        <f aca="false">IF(项目档案!$A156="","",项目档案!$A156)</f>
        <v/>
      </c>
      <c r="B156" s="40" t="str">
        <f aca="false">IF($A156="","",项目档案!$B156)</f>
        <v/>
      </c>
      <c r="C156" s="41" t="str">
        <f aca="false">IF($A156="","",SUMIFS(业务流水!$H$5:$H$1504,业务流水!$E$5:$E$1504,"*",业务流水!$D$5:$D$1504,"销项开票",业务流水!$C$5:$C$1504,$A156,业务流水!$Z$5:$Z$1504,"是"))</f>
        <v/>
      </c>
      <c r="D156" s="41" t="str">
        <f aca="false">IF($A156="","",SUMIFS(业务流水!$O$5:$O$1504,业务流水!$E$5:$E$1504,"*",业务流水!$D$5:$D$1504,"销项开票",业务流水!$C$5:$C$1504,$A156,业务流水!$Z$5:$Z$1504,"是"))</f>
        <v/>
      </c>
      <c r="E156" s="41" t="str">
        <f aca="false">IF($A156="","",SUMIFS(业务流水!$P$5:$P$1504,业务流水!$E$5:$E$1504,"*",业务流水!$D$5:$D$1504,"销项开票",业务流水!$C$5:$C$1504,$A156,业务流水!$Z$5:$Z$1504,"是"))</f>
        <v/>
      </c>
      <c r="F156" s="41" t="str">
        <f aca="false">IF($A156="","",SUMIFS(业务流水!$H$5:$H$1504,业务流水!$F$5:$F$1504,"*",业务流水!$D$5:$D$1504,"成本票",业务流水!$C$5:$C$1504,$A156,业务流水!$Z$5:$Z$1504,"是")+SUMIFS(业务流水!$H$5:$H$1504,业务流水!$F$5:$F$1504,"*",业务流水!$D$5:$D$1504,"销项开票",业务流水!$C$5:$C$1504,$A156,业务流水!$Z$5:$Z$1504,"是"))</f>
        <v/>
      </c>
      <c r="G156" s="42" t="str">
        <f aca="false">IF($A156="","",$E156-$F156)</f>
        <v/>
      </c>
      <c r="H156" s="41" t="str">
        <f aca="false">IF($A156="","",SUMIFS(业务流水!$W$5:$W$1504,业务流水!$E$5:$E$1504,"*",业务流水!$D$5:$D$1504,"销项开票",业务流水!$C$5:$C$1504,$A156,业务流水!$Z$5:$Z$1504,"是"))</f>
        <v/>
      </c>
      <c r="I156" s="41" t="str">
        <f aca="false">IF($A156="","",SUMIFS(业务流水!$H$5:$H$1504,业务流水!$E$5:$E$1504,"*",业务流水!$D$5:$D$1504,"已交税",业务流水!$C$5:$C$1504,$A156,业务流水!$Z$5:$Z$1504,"是"))</f>
        <v/>
      </c>
      <c r="J156" s="42" t="str">
        <f aca="false">IF($A156="","",$H156-$I156)</f>
        <v/>
      </c>
      <c r="K156" s="41" t="str">
        <f aca="false">IF($A156="","",SUMIFS(业务流水!$H$5:$H$1504,业务流水!$F$5:$F$1504,"*",业务流水!$D$5:$D$1504,"挂靠代收",业务流水!$C$5:$C$1504,$A156,业务流水!$Z$5:$Z$1504,"是"))</f>
        <v/>
      </c>
      <c r="L156" s="42" t="str">
        <f aca="false">IF($A156="","",$C156-$K156)</f>
        <v/>
      </c>
      <c r="M156" s="41" t="str">
        <f aca="false">IF($A156="","",SUMIFS(业务流水!$H$5:$H$1504,业务流水!$E$5:$E$1504,"*",业务流水!$D$5:$D$1504,"我方收款",业务流水!$C$5:$C$1504,$A156,业务流水!$Z$5:$Z$1504,"是"))</f>
        <v/>
      </c>
      <c r="N156" s="43" t="str">
        <f aca="false">IF($A156="","",$K156-$M156)</f>
        <v/>
      </c>
      <c r="O156" s="41" t="str">
        <f aca="false">IF($A156="","",SUMIFS(业务流水!$H$5:$H$1504,业务流水!$F$5:$F$1504,"*",业务流水!$D$5:$D$1504,"管理费结算",业务流水!$C$5:$C$1504,$A156,业务流水!$Z$5:$Z$1504,"是"))</f>
        <v/>
      </c>
      <c r="P156" s="41" t="str">
        <f aca="false">IF($A156="","",SUMIFS(业务流水!$H$5:$H$1504,业务流水!$E$5:$E$1504,"*",业务流水!$D$5:$D$1504,"扣质保金",业务流水!$C$5:$C$1504,$A156,业务流水!$Z$5:$Z$1504,"是"))</f>
        <v/>
      </c>
    </row>
    <row r="157" customFormat="false" ht="15.75" hidden="false" customHeight="true" outlineLevel="0" collapsed="false">
      <c r="A157" s="32" t="str">
        <f aca="false">IF(项目档案!$A157="","",项目档案!$A157)</f>
        <v/>
      </c>
      <c r="B157" s="40" t="str">
        <f aca="false">IF($A157="","",项目档案!$B157)</f>
        <v/>
      </c>
      <c r="C157" s="41" t="str">
        <f aca="false">IF($A157="","",SUMIFS(业务流水!$H$5:$H$1504,业务流水!$E$5:$E$1504,"*",业务流水!$D$5:$D$1504,"销项开票",业务流水!$C$5:$C$1504,$A157,业务流水!$Z$5:$Z$1504,"是"))</f>
        <v/>
      </c>
      <c r="D157" s="41" t="str">
        <f aca="false">IF($A157="","",SUMIFS(业务流水!$O$5:$O$1504,业务流水!$E$5:$E$1504,"*",业务流水!$D$5:$D$1504,"销项开票",业务流水!$C$5:$C$1504,$A157,业务流水!$Z$5:$Z$1504,"是"))</f>
        <v/>
      </c>
      <c r="E157" s="41" t="str">
        <f aca="false">IF($A157="","",SUMIFS(业务流水!$P$5:$P$1504,业务流水!$E$5:$E$1504,"*",业务流水!$D$5:$D$1504,"销项开票",业务流水!$C$5:$C$1504,$A157,业务流水!$Z$5:$Z$1504,"是"))</f>
        <v/>
      </c>
      <c r="F157" s="41" t="str">
        <f aca="false">IF($A157="","",SUMIFS(业务流水!$H$5:$H$1504,业务流水!$F$5:$F$1504,"*",业务流水!$D$5:$D$1504,"成本票",业务流水!$C$5:$C$1504,$A157,业务流水!$Z$5:$Z$1504,"是")+SUMIFS(业务流水!$H$5:$H$1504,业务流水!$F$5:$F$1504,"*",业务流水!$D$5:$D$1504,"销项开票",业务流水!$C$5:$C$1504,$A157,业务流水!$Z$5:$Z$1504,"是"))</f>
        <v/>
      </c>
      <c r="G157" s="42" t="str">
        <f aca="false">IF($A157="","",$E157-$F157)</f>
        <v/>
      </c>
      <c r="H157" s="41" t="str">
        <f aca="false">IF($A157="","",SUMIFS(业务流水!$W$5:$W$1504,业务流水!$E$5:$E$1504,"*",业务流水!$D$5:$D$1504,"销项开票",业务流水!$C$5:$C$1504,$A157,业务流水!$Z$5:$Z$1504,"是"))</f>
        <v/>
      </c>
      <c r="I157" s="41" t="str">
        <f aca="false">IF($A157="","",SUMIFS(业务流水!$H$5:$H$1504,业务流水!$E$5:$E$1504,"*",业务流水!$D$5:$D$1504,"已交税",业务流水!$C$5:$C$1504,$A157,业务流水!$Z$5:$Z$1504,"是"))</f>
        <v/>
      </c>
      <c r="J157" s="42" t="str">
        <f aca="false">IF($A157="","",$H157-$I157)</f>
        <v/>
      </c>
      <c r="K157" s="41" t="str">
        <f aca="false">IF($A157="","",SUMIFS(业务流水!$H$5:$H$1504,业务流水!$F$5:$F$1504,"*",业务流水!$D$5:$D$1504,"挂靠代收",业务流水!$C$5:$C$1504,$A157,业务流水!$Z$5:$Z$1504,"是"))</f>
        <v/>
      </c>
      <c r="L157" s="42" t="str">
        <f aca="false">IF($A157="","",$C157-$K157)</f>
        <v/>
      </c>
      <c r="M157" s="41" t="str">
        <f aca="false">IF($A157="","",SUMIFS(业务流水!$H$5:$H$1504,业务流水!$E$5:$E$1504,"*",业务流水!$D$5:$D$1504,"我方收款",业务流水!$C$5:$C$1504,$A157,业务流水!$Z$5:$Z$1504,"是"))</f>
        <v/>
      </c>
      <c r="N157" s="43" t="str">
        <f aca="false">IF($A157="","",$K157-$M157)</f>
        <v/>
      </c>
      <c r="O157" s="41" t="str">
        <f aca="false">IF($A157="","",SUMIFS(业务流水!$H$5:$H$1504,业务流水!$F$5:$F$1504,"*",业务流水!$D$5:$D$1504,"管理费结算",业务流水!$C$5:$C$1504,$A157,业务流水!$Z$5:$Z$1504,"是"))</f>
        <v/>
      </c>
      <c r="P157" s="41" t="str">
        <f aca="false">IF($A157="","",SUMIFS(业务流水!$H$5:$H$1504,业务流水!$E$5:$E$1504,"*",业务流水!$D$5:$D$1504,"扣质保金",业务流水!$C$5:$C$1504,$A157,业务流水!$Z$5:$Z$1504,"是"))</f>
        <v/>
      </c>
    </row>
    <row r="158" customFormat="false" ht="15.75" hidden="false" customHeight="true" outlineLevel="0" collapsed="false">
      <c r="A158" s="32" t="str">
        <f aca="false">IF(项目档案!$A158="","",项目档案!$A158)</f>
        <v/>
      </c>
      <c r="B158" s="40" t="str">
        <f aca="false">IF($A158="","",项目档案!$B158)</f>
        <v/>
      </c>
      <c r="C158" s="41" t="str">
        <f aca="false">IF($A158="","",SUMIFS(业务流水!$H$5:$H$1504,业务流水!$E$5:$E$1504,"*",业务流水!$D$5:$D$1504,"销项开票",业务流水!$C$5:$C$1504,$A158,业务流水!$Z$5:$Z$1504,"是"))</f>
        <v/>
      </c>
      <c r="D158" s="41" t="str">
        <f aca="false">IF($A158="","",SUMIFS(业务流水!$O$5:$O$1504,业务流水!$E$5:$E$1504,"*",业务流水!$D$5:$D$1504,"销项开票",业务流水!$C$5:$C$1504,$A158,业务流水!$Z$5:$Z$1504,"是"))</f>
        <v/>
      </c>
      <c r="E158" s="41" t="str">
        <f aca="false">IF($A158="","",SUMIFS(业务流水!$P$5:$P$1504,业务流水!$E$5:$E$1504,"*",业务流水!$D$5:$D$1504,"销项开票",业务流水!$C$5:$C$1504,$A158,业务流水!$Z$5:$Z$1504,"是"))</f>
        <v/>
      </c>
      <c r="F158" s="41" t="str">
        <f aca="false">IF($A158="","",SUMIFS(业务流水!$H$5:$H$1504,业务流水!$F$5:$F$1504,"*",业务流水!$D$5:$D$1504,"成本票",业务流水!$C$5:$C$1504,$A158,业务流水!$Z$5:$Z$1504,"是")+SUMIFS(业务流水!$H$5:$H$1504,业务流水!$F$5:$F$1504,"*",业务流水!$D$5:$D$1504,"销项开票",业务流水!$C$5:$C$1504,$A158,业务流水!$Z$5:$Z$1504,"是"))</f>
        <v/>
      </c>
      <c r="G158" s="42" t="str">
        <f aca="false">IF($A158="","",$E158-$F158)</f>
        <v/>
      </c>
      <c r="H158" s="41" t="str">
        <f aca="false">IF($A158="","",SUMIFS(业务流水!$W$5:$W$1504,业务流水!$E$5:$E$1504,"*",业务流水!$D$5:$D$1504,"销项开票",业务流水!$C$5:$C$1504,$A158,业务流水!$Z$5:$Z$1504,"是"))</f>
        <v/>
      </c>
      <c r="I158" s="41" t="str">
        <f aca="false">IF($A158="","",SUMIFS(业务流水!$H$5:$H$1504,业务流水!$E$5:$E$1504,"*",业务流水!$D$5:$D$1504,"已交税",业务流水!$C$5:$C$1504,$A158,业务流水!$Z$5:$Z$1504,"是"))</f>
        <v/>
      </c>
      <c r="J158" s="42" t="str">
        <f aca="false">IF($A158="","",$H158-$I158)</f>
        <v/>
      </c>
      <c r="K158" s="41" t="str">
        <f aca="false">IF($A158="","",SUMIFS(业务流水!$H$5:$H$1504,业务流水!$F$5:$F$1504,"*",业务流水!$D$5:$D$1504,"挂靠代收",业务流水!$C$5:$C$1504,$A158,业务流水!$Z$5:$Z$1504,"是"))</f>
        <v/>
      </c>
      <c r="L158" s="42" t="str">
        <f aca="false">IF($A158="","",$C158-$K158)</f>
        <v/>
      </c>
      <c r="M158" s="41" t="str">
        <f aca="false">IF($A158="","",SUMIFS(业务流水!$H$5:$H$1504,业务流水!$E$5:$E$1504,"*",业务流水!$D$5:$D$1504,"我方收款",业务流水!$C$5:$C$1504,$A158,业务流水!$Z$5:$Z$1504,"是"))</f>
        <v/>
      </c>
      <c r="N158" s="43" t="str">
        <f aca="false">IF($A158="","",$K158-$M158)</f>
        <v/>
      </c>
      <c r="O158" s="41" t="str">
        <f aca="false">IF($A158="","",SUMIFS(业务流水!$H$5:$H$1504,业务流水!$F$5:$F$1504,"*",业务流水!$D$5:$D$1504,"管理费结算",业务流水!$C$5:$C$1504,$A158,业务流水!$Z$5:$Z$1504,"是"))</f>
        <v/>
      </c>
      <c r="P158" s="41" t="str">
        <f aca="false">IF($A158="","",SUMIFS(业务流水!$H$5:$H$1504,业务流水!$E$5:$E$1504,"*",业务流水!$D$5:$D$1504,"扣质保金",业务流水!$C$5:$C$1504,$A158,业务流水!$Z$5:$Z$1504,"是"))</f>
        <v/>
      </c>
    </row>
    <row r="159" customFormat="false" ht="15.75" hidden="false" customHeight="true" outlineLevel="0" collapsed="false">
      <c r="A159" s="32" t="str">
        <f aca="false">IF(项目档案!$A159="","",项目档案!$A159)</f>
        <v/>
      </c>
      <c r="B159" s="40" t="str">
        <f aca="false">IF($A159="","",项目档案!$B159)</f>
        <v/>
      </c>
      <c r="C159" s="41" t="str">
        <f aca="false">IF($A159="","",SUMIFS(业务流水!$H$5:$H$1504,业务流水!$E$5:$E$1504,"*",业务流水!$D$5:$D$1504,"销项开票",业务流水!$C$5:$C$1504,$A159,业务流水!$Z$5:$Z$1504,"是"))</f>
        <v/>
      </c>
      <c r="D159" s="41" t="str">
        <f aca="false">IF($A159="","",SUMIFS(业务流水!$O$5:$O$1504,业务流水!$E$5:$E$1504,"*",业务流水!$D$5:$D$1504,"销项开票",业务流水!$C$5:$C$1504,$A159,业务流水!$Z$5:$Z$1504,"是"))</f>
        <v/>
      </c>
      <c r="E159" s="41" t="str">
        <f aca="false">IF($A159="","",SUMIFS(业务流水!$P$5:$P$1504,业务流水!$E$5:$E$1504,"*",业务流水!$D$5:$D$1504,"销项开票",业务流水!$C$5:$C$1504,$A159,业务流水!$Z$5:$Z$1504,"是"))</f>
        <v/>
      </c>
      <c r="F159" s="41" t="str">
        <f aca="false">IF($A159="","",SUMIFS(业务流水!$H$5:$H$1504,业务流水!$F$5:$F$1504,"*",业务流水!$D$5:$D$1504,"成本票",业务流水!$C$5:$C$1504,$A159,业务流水!$Z$5:$Z$1504,"是")+SUMIFS(业务流水!$H$5:$H$1504,业务流水!$F$5:$F$1504,"*",业务流水!$D$5:$D$1504,"销项开票",业务流水!$C$5:$C$1504,$A159,业务流水!$Z$5:$Z$1504,"是"))</f>
        <v/>
      </c>
      <c r="G159" s="42" t="str">
        <f aca="false">IF($A159="","",$E159-$F159)</f>
        <v/>
      </c>
      <c r="H159" s="41" t="str">
        <f aca="false">IF($A159="","",SUMIFS(业务流水!$W$5:$W$1504,业务流水!$E$5:$E$1504,"*",业务流水!$D$5:$D$1504,"销项开票",业务流水!$C$5:$C$1504,$A159,业务流水!$Z$5:$Z$1504,"是"))</f>
        <v/>
      </c>
      <c r="I159" s="41" t="str">
        <f aca="false">IF($A159="","",SUMIFS(业务流水!$H$5:$H$1504,业务流水!$E$5:$E$1504,"*",业务流水!$D$5:$D$1504,"已交税",业务流水!$C$5:$C$1504,$A159,业务流水!$Z$5:$Z$1504,"是"))</f>
        <v/>
      </c>
      <c r="J159" s="42" t="str">
        <f aca="false">IF($A159="","",$H159-$I159)</f>
        <v/>
      </c>
      <c r="K159" s="41" t="str">
        <f aca="false">IF($A159="","",SUMIFS(业务流水!$H$5:$H$1504,业务流水!$F$5:$F$1504,"*",业务流水!$D$5:$D$1504,"挂靠代收",业务流水!$C$5:$C$1504,$A159,业务流水!$Z$5:$Z$1504,"是"))</f>
        <v/>
      </c>
      <c r="L159" s="42" t="str">
        <f aca="false">IF($A159="","",$C159-$K159)</f>
        <v/>
      </c>
      <c r="M159" s="41" t="str">
        <f aca="false">IF($A159="","",SUMIFS(业务流水!$H$5:$H$1504,业务流水!$E$5:$E$1504,"*",业务流水!$D$5:$D$1504,"我方收款",业务流水!$C$5:$C$1504,$A159,业务流水!$Z$5:$Z$1504,"是"))</f>
        <v/>
      </c>
      <c r="N159" s="43" t="str">
        <f aca="false">IF($A159="","",$K159-$M159)</f>
        <v/>
      </c>
      <c r="O159" s="41" t="str">
        <f aca="false">IF($A159="","",SUMIFS(业务流水!$H$5:$H$1504,业务流水!$F$5:$F$1504,"*",业务流水!$D$5:$D$1504,"管理费结算",业务流水!$C$5:$C$1504,$A159,业务流水!$Z$5:$Z$1504,"是"))</f>
        <v/>
      </c>
      <c r="P159" s="41" t="str">
        <f aca="false">IF($A159="","",SUMIFS(业务流水!$H$5:$H$1504,业务流水!$E$5:$E$1504,"*",业务流水!$D$5:$D$1504,"扣质保金",业务流水!$C$5:$C$1504,$A159,业务流水!$Z$5:$Z$1504,"是"))</f>
        <v/>
      </c>
    </row>
    <row r="160" customFormat="false" ht="15.75" hidden="false" customHeight="true" outlineLevel="0" collapsed="false">
      <c r="A160" s="32" t="str">
        <f aca="false">IF(项目档案!$A160="","",项目档案!$A160)</f>
        <v/>
      </c>
      <c r="B160" s="40" t="str">
        <f aca="false">IF($A160="","",项目档案!$B160)</f>
        <v/>
      </c>
      <c r="C160" s="41" t="str">
        <f aca="false">IF($A160="","",SUMIFS(业务流水!$H$5:$H$1504,业务流水!$E$5:$E$1504,"*",业务流水!$D$5:$D$1504,"销项开票",业务流水!$C$5:$C$1504,$A160,业务流水!$Z$5:$Z$1504,"是"))</f>
        <v/>
      </c>
      <c r="D160" s="41" t="str">
        <f aca="false">IF($A160="","",SUMIFS(业务流水!$O$5:$O$1504,业务流水!$E$5:$E$1504,"*",业务流水!$D$5:$D$1504,"销项开票",业务流水!$C$5:$C$1504,$A160,业务流水!$Z$5:$Z$1504,"是"))</f>
        <v/>
      </c>
      <c r="E160" s="41" t="str">
        <f aca="false">IF($A160="","",SUMIFS(业务流水!$P$5:$P$1504,业务流水!$E$5:$E$1504,"*",业务流水!$D$5:$D$1504,"销项开票",业务流水!$C$5:$C$1504,$A160,业务流水!$Z$5:$Z$1504,"是"))</f>
        <v/>
      </c>
      <c r="F160" s="41" t="str">
        <f aca="false">IF($A160="","",SUMIFS(业务流水!$H$5:$H$1504,业务流水!$F$5:$F$1504,"*",业务流水!$D$5:$D$1504,"成本票",业务流水!$C$5:$C$1504,$A160,业务流水!$Z$5:$Z$1504,"是")+SUMIFS(业务流水!$H$5:$H$1504,业务流水!$F$5:$F$1504,"*",业务流水!$D$5:$D$1504,"销项开票",业务流水!$C$5:$C$1504,$A160,业务流水!$Z$5:$Z$1504,"是"))</f>
        <v/>
      </c>
      <c r="G160" s="42" t="str">
        <f aca="false">IF($A160="","",$E160-$F160)</f>
        <v/>
      </c>
      <c r="H160" s="41" t="str">
        <f aca="false">IF($A160="","",SUMIFS(业务流水!$W$5:$W$1504,业务流水!$E$5:$E$1504,"*",业务流水!$D$5:$D$1504,"销项开票",业务流水!$C$5:$C$1504,$A160,业务流水!$Z$5:$Z$1504,"是"))</f>
        <v/>
      </c>
      <c r="I160" s="41" t="str">
        <f aca="false">IF($A160="","",SUMIFS(业务流水!$H$5:$H$1504,业务流水!$E$5:$E$1504,"*",业务流水!$D$5:$D$1504,"已交税",业务流水!$C$5:$C$1504,$A160,业务流水!$Z$5:$Z$1504,"是"))</f>
        <v/>
      </c>
      <c r="J160" s="42" t="str">
        <f aca="false">IF($A160="","",$H160-$I160)</f>
        <v/>
      </c>
      <c r="K160" s="41" t="str">
        <f aca="false">IF($A160="","",SUMIFS(业务流水!$H$5:$H$1504,业务流水!$F$5:$F$1504,"*",业务流水!$D$5:$D$1504,"挂靠代收",业务流水!$C$5:$C$1504,$A160,业务流水!$Z$5:$Z$1504,"是"))</f>
        <v/>
      </c>
      <c r="L160" s="42" t="str">
        <f aca="false">IF($A160="","",$C160-$K160)</f>
        <v/>
      </c>
      <c r="M160" s="41" t="str">
        <f aca="false">IF($A160="","",SUMIFS(业务流水!$H$5:$H$1504,业务流水!$E$5:$E$1504,"*",业务流水!$D$5:$D$1504,"我方收款",业务流水!$C$5:$C$1504,$A160,业务流水!$Z$5:$Z$1504,"是"))</f>
        <v/>
      </c>
      <c r="N160" s="43" t="str">
        <f aca="false">IF($A160="","",$K160-$M160)</f>
        <v/>
      </c>
      <c r="O160" s="41" t="str">
        <f aca="false">IF($A160="","",SUMIFS(业务流水!$H$5:$H$1504,业务流水!$F$5:$F$1504,"*",业务流水!$D$5:$D$1504,"管理费结算",业务流水!$C$5:$C$1504,$A160,业务流水!$Z$5:$Z$1504,"是"))</f>
        <v/>
      </c>
      <c r="P160" s="41" t="str">
        <f aca="false">IF($A160="","",SUMIFS(业务流水!$H$5:$H$1504,业务流水!$E$5:$E$1504,"*",业务流水!$D$5:$D$1504,"扣质保金",业务流水!$C$5:$C$1504,$A160,业务流水!$Z$5:$Z$1504,"是"))</f>
        <v/>
      </c>
    </row>
    <row r="161" customFormat="false" ht="15.75" hidden="false" customHeight="true" outlineLevel="0" collapsed="false">
      <c r="A161" s="32" t="str">
        <f aca="false">IF(项目档案!$A161="","",项目档案!$A161)</f>
        <v/>
      </c>
      <c r="B161" s="40" t="str">
        <f aca="false">IF($A161="","",项目档案!$B161)</f>
        <v/>
      </c>
      <c r="C161" s="41" t="str">
        <f aca="false">IF($A161="","",SUMIFS(业务流水!$H$5:$H$1504,业务流水!$E$5:$E$1504,"*",业务流水!$D$5:$D$1504,"销项开票",业务流水!$C$5:$C$1504,$A161,业务流水!$Z$5:$Z$1504,"是"))</f>
        <v/>
      </c>
      <c r="D161" s="41" t="str">
        <f aca="false">IF($A161="","",SUMIFS(业务流水!$O$5:$O$1504,业务流水!$E$5:$E$1504,"*",业务流水!$D$5:$D$1504,"销项开票",业务流水!$C$5:$C$1504,$A161,业务流水!$Z$5:$Z$1504,"是"))</f>
        <v/>
      </c>
      <c r="E161" s="41" t="str">
        <f aca="false">IF($A161="","",SUMIFS(业务流水!$P$5:$P$1504,业务流水!$E$5:$E$1504,"*",业务流水!$D$5:$D$1504,"销项开票",业务流水!$C$5:$C$1504,$A161,业务流水!$Z$5:$Z$1504,"是"))</f>
        <v/>
      </c>
      <c r="F161" s="41" t="str">
        <f aca="false">IF($A161="","",SUMIFS(业务流水!$H$5:$H$1504,业务流水!$F$5:$F$1504,"*",业务流水!$D$5:$D$1504,"成本票",业务流水!$C$5:$C$1504,$A161,业务流水!$Z$5:$Z$1504,"是")+SUMIFS(业务流水!$H$5:$H$1504,业务流水!$F$5:$F$1504,"*",业务流水!$D$5:$D$1504,"销项开票",业务流水!$C$5:$C$1504,$A161,业务流水!$Z$5:$Z$1504,"是"))</f>
        <v/>
      </c>
      <c r="G161" s="42" t="str">
        <f aca="false">IF($A161="","",$E161-$F161)</f>
        <v/>
      </c>
      <c r="H161" s="41" t="str">
        <f aca="false">IF($A161="","",SUMIFS(业务流水!$W$5:$W$1504,业务流水!$E$5:$E$1504,"*",业务流水!$D$5:$D$1504,"销项开票",业务流水!$C$5:$C$1504,$A161,业务流水!$Z$5:$Z$1504,"是"))</f>
        <v/>
      </c>
      <c r="I161" s="41" t="str">
        <f aca="false">IF($A161="","",SUMIFS(业务流水!$H$5:$H$1504,业务流水!$E$5:$E$1504,"*",业务流水!$D$5:$D$1504,"已交税",业务流水!$C$5:$C$1504,$A161,业务流水!$Z$5:$Z$1504,"是"))</f>
        <v/>
      </c>
      <c r="J161" s="42" t="str">
        <f aca="false">IF($A161="","",$H161-$I161)</f>
        <v/>
      </c>
      <c r="K161" s="41" t="str">
        <f aca="false">IF($A161="","",SUMIFS(业务流水!$H$5:$H$1504,业务流水!$F$5:$F$1504,"*",业务流水!$D$5:$D$1504,"挂靠代收",业务流水!$C$5:$C$1504,$A161,业务流水!$Z$5:$Z$1504,"是"))</f>
        <v/>
      </c>
      <c r="L161" s="42" t="str">
        <f aca="false">IF($A161="","",$C161-$K161)</f>
        <v/>
      </c>
      <c r="M161" s="41" t="str">
        <f aca="false">IF($A161="","",SUMIFS(业务流水!$H$5:$H$1504,业务流水!$E$5:$E$1504,"*",业务流水!$D$5:$D$1504,"我方收款",业务流水!$C$5:$C$1504,$A161,业务流水!$Z$5:$Z$1504,"是"))</f>
        <v/>
      </c>
      <c r="N161" s="43" t="str">
        <f aca="false">IF($A161="","",$K161-$M161)</f>
        <v/>
      </c>
      <c r="O161" s="41" t="str">
        <f aca="false">IF($A161="","",SUMIFS(业务流水!$H$5:$H$1504,业务流水!$F$5:$F$1504,"*",业务流水!$D$5:$D$1504,"管理费结算",业务流水!$C$5:$C$1504,$A161,业务流水!$Z$5:$Z$1504,"是"))</f>
        <v/>
      </c>
      <c r="P161" s="41" t="str">
        <f aca="false">IF($A161="","",SUMIFS(业务流水!$H$5:$H$1504,业务流水!$E$5:$E$1504,"*",业务流水!$D$5:$D$1504,"扣质保金",业务流水!$C$5:$C$1504,$A161,业务流水!$Z$5:$Z$1504,"是"))</f>
        <v/>
      </c>
    </row>
    <row r="162" customFormat="false" ht="15.75" hidden="false" customHeight="true" outlineLevel="0" collapsed="false">
      <c r="A162" s="32" t="str">
        <f aca="false">IF(项目档案!$A162="","",项目档案!$A162)</f>
        <v/>
      </c>
      <c r="B162" s="40" t="str">
        <f aca="false">IF($A162="","",项目档案!$B162)</f>
        <v/>
      </c>
      <c r="C162" s="41" t="str">
        <f aca="false">IF($A162="","",SUMIFS(业务流水!$H$5:$H$1504,业务流水!$E$5:$E$1504,"*",业务流水!$D$5:$D$1504,"销项开票",业务流水!$C$5:$C$1504,$A162,业务流水!$Z$5:$Z$1504,"是"))</f>
        <v/>
      </c>
      <c r="D162" s="41" t="str">
        <f aca="false">IF($A162="","",SUMIFS(业务流水!$O$5:$O$1504,业务流水!$E$5:$E$1504,"*",业务流水!$D$5:$D$1504,"销项开票",业务流水!$C$5:$C$1504,$A162,业务流水!$Z$5:$Z$1504,"是"))</f>
        <v/>
      </c>
      <c r="E162" s="41" t="str">
        <f aca="false">IF($A162="","",SUMIFS(业务流水!$P$5:$P$1504,业务流水!$E$5:$E$1504,"*",业务流水!$D$5:$D$1504,"销项开票",业务流水!$C$5:$C$1504,$A162,业务流水!$Z$5:$Z$1504,"是"))</f>
        <v/>
      </c>
      <c r="F162" s="41" t="str">
        <f aca="false">IF($A162="","",SUMIFS(业务流水!$H$5:$H$1504,业务流水!$F$5:$F$1504,"*",业务流水!$D$5:$D$1504,"成本票",业务流水!$C$5:$C$1504,$A162,业务流水!$Z$5:$Z$1504,"是")+SUMIFS(业务流水!$H$5:$H$1504,业务流水!$F$5:$F$1504,"*",业务流水!$D$5:$D$1504,"销项开票",业务流水!$C$5:$C$1504,$A162,业务流水!$Z$5:$Z$1504,"是"))</f>
        <v/>
      </c>
      <c r="G162" s="42" t="str">
        <f aca="false">IF($A162="","",$E162-$F162)</f>
        <v/>
      </c>
      <c r="H162" s="41" t="str">
        <f aca="false">IF($A162="","",SUMIFS(业务流水!$W$5:$W$1504,业务流水!$E$5:$E$1504,"*",业务流水!$D$5:$D$1504,"销项开票",业务流水!$C$5:$C$1504,$A162,业务流水!$Z$5:$Z$1504,"是"))</f>
        <v/>
      </c>
      <c r="I162" s="41" t="str">
        <f aca="false">IF($A162="","",SUMIFS(业务流水!$H$5:$H$1504,业务流水!$E$5:$E$1504,"*",业务流水!$D$5:$D$1504,"已交税",业务流水!$C$5:$C$1504,$A162,业务流水!$Z$5:$Z$1504,"是"))</f>
        <v/>
      </c>
      <c r="J162" s="42" t="str">
        <f aca="false">IF($A162="","",$H162-$I162)</f>
        <v/>
      </c>
      <c r="K162" s="41" t="str">
        <f aca="false">IF($A162="","",SUMIFS(业务流水!$H$5:$H$1504,业务流水!$F$5:$F$1504,"*",业务流水!$D$5:$D$1504,"挂靠代收",业务流水!$C$5:$C$1504,$A162,业务流水!$Z$5:$Z$1504,"是"))</f>
        <v/>
      </c>
      <c r="L162" s="42" t="str">
        <f aca="false">IF($A162="","",$C162-$K162)</f>
        <v/>
      </c>
      <c r="M162" s="41" t="str">
        <f aca="false">IF($A162="","",SUMIFS(业务流水!$H$5:$H$1504,业务流水!$E$5:$E$1504,"*",业务流水!$D$5:$D$1504,"我方收款",业务流水!$C$5:$C$1504,$A162,业务流水!$Z$5:$Z$1504,"是"))</f>
        <v/>
      </c>
      <c r="N162" s="43" t="str">
        <f aca="false">IF($A162="","",$K162-$M162)</f>
        <v/>
      </c>
      <c r="O162" s="41" t="str">
        <f aca="false">IF($A162="","",SUMIFS(业务流水!$H$5:$H$1504,业务流水!$F$5:$F$1504,"*",业务流水!$D$5:$D$1504,"管理费结算",业务流水!$C$5:$C$1504,$A162,业务流水!$Z$5:$Z$1504,"是"))</f>
        <v/>
      </c>
      <c r="P162" s="41" t="str">
        <f aca="false">IF($A162="","",SUMIFS(业务流水!$H$5:$H$1504,业务流水!$E$5:$E$1504,"*",业务流水!$D$5:$D$1504,"扣质保金",业务流水!$C$5:$C$1504,$A162,业务流水!$Z$5:$Z$1504,"是"))</f>
        <v/>
      </c>
    </row>
    <row r="163" customFormat="false" ht="15.75" hidden="false" customHeight="true" outlineLevel="0" collapsed="false">
      <c r="A163" s="32" t="str">
        <f aca="false">IF(项目档案!$A163="","",项目档案!$A163)</f>
        <v/>
      </c>
      <c r="B163" s="40" t="str">
        <f aca="false">IF($A163="","",项目档案!$B163)</f>
        <v/>
      </c>
      <c r="C163" s="41" t="str">
        <f aca="false">IF($A163="","",SUMIFS(业务流水!$H$5:$H$1504,业务流水!$E$5:$E$1504,"*",业务流水!$D$5:$D$1504,"销项开票",业务流水!$C$5:$C$1504,$A163,业务流水!$Z$5:$Z$1504,"是"))</f>
        <v/>
      </c>
      <c r="D163" s="41" t="str">
        <f aca="false">IF($A163="","",SUMIFS(业务流水!$O$5:$O$1504,业务流水!$E$5:$E$1504,"*",业务流水!$D$5:$D$1504,"销项开票",业务流水!$C$5:$C$1504,$A163,业务流水!$Z$5:$Z$1504,"是"))</f>
        <v/>
      </c>
      <c r="E163" s="41" t="str">
        <f aca="false">IF($A163="","",SUMIFS(业务流水!$P$5:$P$1504,业务流水!$E$5:$E$1504,"*",业务流水!$D$5:$D$1504,"销项开票",业务流水!$C$5:$C$1504,$A163,业务流水!$Z$5:$Z$1504,"是"))</f>
        <v/>
      </c>
      <c r="F163" s="41" t="str">
        <f aca="false">IF($A163="","",SUMIFS(业务流水!$H$5:$H$1504,业务流水!$F$5:$F$1504,"*",业务流水!$D$5:$D$1504,"成本票",业务流水!$C$5:$C$1504,$A163,业务流水!$Z$5:$Z$1504,"是")+SUMIFS(业务流水!$H$5:$H$1504,业务流水!$F$5:$F$1504,"*",业务流水!$D$5:$D$1504,"销项开票",业务流水!$C$5:$C$1504,$A163,业务流水!$Z$5:$Z$1504,"是"))</f>
        <v/>
      </c>
      <c r="G163" s="42" t="str">
        <f aca="false">IF($A163="","",$E163-$F163)</f>
        <v/>
      </c>
      <c r="H163" s="41" t="str">
        <f aca="false">IF($A163="","",SUMIFS(业务流水!$W$5:$W$1504,业务流水!$E$5:$E$1504,"*",业务流水!$D$5:$D$1504,"销项开票",业务流水!$C$5:$C$1504,$A163,业务流水!$Z$5:$Z$1504,"是"))</f>
        <v/>
      </c>
      <c r="I163" s="41" t="str">
        <f aca="false">IF($A163="","",SUMIFS(业务流水!$H$5:$H$1504,业务流水!$E$5:$E$1504,"*",业务流水!$D$5:$D$1504,"已交税",业务流水!$C$5:$C$1504,$A163,业务流水!$Z$5:$Z$1504,"是"))</f>
        <v/>
      </c>
      <c r="J163" s="42" t="str">
        <f aca="false">IF($A163="","",$H163-$I163)</f>
        <v/>
      </c>
      <c r="K163" s="41" t="str">
        <f aca="false">IF($A163="","",SUMIFS(业务流水!$H$5:$H$1504,业务流水!$F$5:$F$1504,"*",业务流水!$D$5:$D$1504,"挂靠代收",业务流水!$C$5:$C$1504,$A163,业务流水!$Z$5:$Z$1504,"是"))</f>
        <v/>
      </c>
      <c r="L163" s="42" t="str">
        <f aca="false">IF($A163="","",$C163-$K163)</f>
        <v/>
      </c>
      <c r="M163" s="41" t="str">
        <f aca="false">IF($A163="","",SUMIFS(业务流水!$H$5:$H$1504,业务流水!$E$5:$E$1504,"*",业务流水!$D$5:$D$1504,"我方收款",业务流水!$C$5:$C$1504,$A163,业务流水!$Z$5:$Z$1504,"是"))</f>
        <v/>
      </c>
      <c r="N163" s="43" t="str">
        <f aca="false">IF($A163="","",$K163-$M163)</f>
        <v/>
      </c>
      <c r="O163" s="41" t="str">
        <f aca="false">IF($A163="","",SUMIFS(业务流水!$H$5:$H$1504,业务流水!$F$5:$F$1504,"*",业务流水!$D$5:$D$1504,"管理费结算",业务流水!$C$5:$C$1504,$A163,业务流水!$Z$5:$Z$1504,"是"))</f>
        <v/>
      </c>
      <c r="P163" s="41" t="str">
        <f aca="false">IF($A163="","",SUMIFS(业务流水!$H$5:$H$1504,业务流水!$E$5:$E$1504,"*",业务流水!$D$5:$D$1504,"扣质保金",业务流水!$C$5:$C$1504,$A163,业务流水!$Z$5:$Z$1504,"是"))</f>
        <v/>
      </c>
    </row>
    <row r="164" customFormat="false" ht="15.75" hidden="false" customHeight="true" outlineLevel="0" collapsed="false">
      <c r="A164" s="32" t="str">
        <f aca="false">IF(项目档案!$A164="","",项目档案!$A164)</f>
        <v/>
      </c>
      <c r="B164" s="40" t="str">
        <f aca="false">IF($A164="","",项目档案!$B164)</f>
        <v/>
      </c>
      <c r="C164" s="41" t="str">
        <f aca="false">IF($A164="","",SUMIFS(业务流水!$H$5:$H$1504,业务流水!$E$5:$E$1504,"*",业务流水!$D$5:$D$1504,"销项开票",业务流水!$C$5:$C$1504,$A164,业务流水!$Z$5:$Z$1504,"是"))</f>
        <v/>
      </c>
      <c r="D164" s="41" t="str">
        <f aca="false">IF($A164="","",SUMIFS(业务流水!$O$5:$O$1504,业务流水!$E$5:$E$1504,"*",业务流水!$D$5:$D$1504,"销项开票",业务流水!$C$5:$C$1504,$A164,业务流水!$Z$5:$Z$1504,"是"))</f>
        <v/>
      </c>
      <c r="E164" s="41" t="str">
        <f aca="false">IF($A164="","",SUMIFS(业务流水!$P$5:$P$1504,业务流水!$E$5:$E$1504,"*",业务流水!$D$5:$D$1504,"销项开票",业务流水!$C$5:$C$1504,$A164,业务流水!$Z$5:$Z$1504,"是"))</f>
        <v/>
      </c>
      <c r="F164" s="41" t="str">
        <f aca="false">IF($A164="","",SUMIFS(业务流水!$H$5:$H$1504,业务流水!$F$5:$F$1504,"*",业务流水!$D$5:$D$1504,"成本票",业务流水!$C$5:$C$1504,$A164,业务流水!$Z$5:$Z$1504,"是")+SUMIFS(业务流水!$H$5:$H$1504,业务流水!$F$5:$F$1504,"*",业务流水!$D$5:$D$1504,"销项开票",业务流水!$C$5:$C$1504,$A164,业务流水!$Z$5:$Z$1504,"是"))</f>
        <v/>
      </c>
      <c r="G164" s="42" t="str">
        <f aca="false">IF($A164="","",$E164-$F164)</f>
        <v/>
      </c>
      <c r="H164" s="41" t="str">
        <f aca="false">IF($A164="","",SUMIFS(业务流水!$W$5:$W$1504,业务流水!$E$5:$E$1504,"*",业务流水!$D$5:$D$1504,"销项开票",业务流水!$C$5:$C$1504,$A164,业务流水!$Z$5:$Z$1504,"是"))</f>
        <v/>
      </c>
      <c r="I164" s="41" t="str">
        <f aca="false">IF($A164="","",SUMIFS(业务流水!$H$5:$H$1504,业务流水!$E$5:$E$1504,"*",业务流水!$D$5:$D$1504,"已交税",业务流水!$C$5:$C$1504,$A164,业务流水!$Z$5:$Z$1504,"是"))</f>
        <v/>
      </c>
      <c r="J164" s="42" t="str">
        <f aca="false">IF($A164="","",$H164-$I164)</f>
        <v/>
      </c>
      <c r="K164" s="41" t="str">
        <f aca="false">IF($A164="","",SUMIFS(业务流水!$H$5:$H$1504,业务流水!$F$5:$F$1504,"*",业务流水!$D$5:$D$1504,"挂靠代收",业务流水!$C$5:$C$1504,$A164,业务流水!$Z$5:$Z$1504,"是"))</f>
        <v/>
      </c>
      <c r="L164" s="42" t="str">
        <f aca="false">IF($A164="","",$C164-$K164)</f>
        <v/>
      </c>
      <c r="M164" s="41" t="str">
        <f aca="false">IF($A164="","",SUMIFS(业务流水!$H$5:$H$1504,业务流水!$E$5:$E$1504,"*",业务流水!$D$5:$D$1504,"我方收款",业务流水!$C$5:$C$1504,$A164,业务流水!$Z$5:$Z$1504,"是"))</f>
        <v/>
      </c>
      <c r="N164" s="43" t="str">
        <f aca="false">IF($A164="","",$K164-$M164)</f>
        <v/>
      </c>
      <c r="O164" s="41" t="str">
        <f aca="false">IF($A164="","",SUMIFS(业务流水!$H$5:$H$1504,业务流水!$F$5:$F$1504,"*",业务流水!$D$5:$D$1504,"管理费结算",业务流水!$C$5:$C$1504,$A164,业务流水!$Z$5:$Z$1504,"是"))</f>
        <v/>
      </c>
      <c r="P164" s="41" t="str">
        <f aca="false">IF($A164="","",SUMIFS(业务流水!$H$5:$H$1504,业务流水!$E$5:$E$1504,"*",业务流水!$D$5:$D$1504,"扣质保金",业务流水!$C$5:$C$1504,$A164,业务流水!$Z$5:$Z$1504,"是"))</f>
        <v/>
      </c>
    </row>
    <row r="165" customFormat="false" ht="15.75" hidden="false" customHeight="true" outlineLevel="0" collapsed="false">
      <c r="A165" s="32" t="str">
        <f aca="false">IF(项目档案!$A165="","",项目档案!$A165)</f>
        <v/>
      </c>
      <c r="B165" s="40" t="str">
        <f aca="false">IF($A165="","",项目档案!$B165)</f>
        <v/>
      </c>
      <c r="C165" s="41" t="str">
        <f aca="false">IF($A165="","",SUMIFS(业务流水!$H$5:$H$1504,业务流水!$E$5:$E$1504,"*",业务流水!$D$5:$D$1504,"销项开票",业务流水!$C$5:$C$1504,$A165,业务流水!$Z$5:$Z$1504,"是"))</f>
        <v/>
      </c>
      <c r="D165" s="41" t="str">
        <f aca="false">IF($A165="","",SUMIFS(业务流水!$O$5:$O$1504,业务流水!$E$5:$E$1504,"*",业务流水!$D$5:$D$1504,"销项开票",业务流水!$C$5:$C$1504,$A165,业务流水!$Z$5:$Z$1504,"是"))</f>
        <v/>
      </c>
      <c r="E165" s="41" t="str">
        <f aca="false">IF($A165="","",SUMIFS(业务流水!$P$5:$P$1504,业务流水!$E$5:$E$1504,"*",业务流水!$D$5:$D$1504,"销项开票",业务流水!$C$5:$C$1504,$A165,业务流水!$Z$5:$Z$1504,"是"))</f>
        <v/>
      </c>
      <c r="F165" s="41" t="str">
        <f aca="false">IF($A165="","",SUMIFS(业务流水!$H$5:$H$1504,业务流水!$F$5:$F$1504,"*",业务流水!$D$5:$D$1504,"成本票",业务流水!$C$5:$C$1504,$A165,业务流水!$Z$5:$Z$1504,"是")+SUMIFS(业务流水!$H$5:$H$1504,业务流水!$F$5:$F$1504,"*",业务流水!$D$5:$D$1504,"销项开票",业务流水!$C$5:$C$1504,$A165,业务流水!$Z$5:$Z$1504,"是"))</f>
        <v/>
      </c>
      <c r="G165" s="42" t="str">
        <f aca="false">IF($A165="","",$E165-$F165)</f>
        <v/>
      </c>
      <c r="H165" s="41" t="str">
        <f aca="false">IF($A165="","",SUMIFS(业务流水!$W$5:$W$1504,业务流水!$E$5:$E$1504,"*",业务流水!$D$5:$D$1504,"销项开票",业务流水!$C$5:$C$1504,$A165,业务流水!$Z$5:$Z$1504,"是"))</f>
        <v/>
      </c>
      <c r="I165" s="41" t="str">
        <f aca="false">IF($A165="","",SUMIFS(业务流水!$H$5:$H$1504,业务流水!$E$5:$E$1504,"*",业务流水!$D$5:$D$1504,"已交税",业务流水!$C$5:$C$1504,$A165,业务流水!$Z$5:$Z$1504,"是"))</f>
        <v/>
      </c>
      <c r="J165" s="42" t="str">
        <f aca="false">IF($A165="","",$H165-$I165)</f>
        <v/>
      </c>
      <c r="K165" s="41" t="str">
        <f aca="false">IF($A165="","",SUMIFS(业务流水!$H$5:$H$1504,业务流水!$F$5:$F$1504,"*",业务流水!$D$5:$D$1504,"挂靠代收",业务流水!$C$5:$C$1504,$A165,业务流水!$Z$5:$Z$1504,"是"))</f>
        <v/>
      </c>
      <c r="L165" s="42" t="str">
        <f aca="false">IF($A165="","",$C165-$K165)</f>
        <v/>
      </c>
      <c r="M165" s="41" t="str">
        <f aca="false">IF($A165="","",SUMIFS(业务流水!$H$5:$H$1504,业务流水!$E$5:$E$1504,"*",业务流水!$D$5:$D$1504,"我方收款",业务流水!$C$5:$C$1504,$A165,业务流水!$Z$5:$Z$1504,"是"))</f>
        <v/>
      </c>
      <c r="N165" s="43" t="str">
        <f aca="false">IF($A165="","",$K165-$M165)</f>
        <v/>
      </c>
      <c r="O165" s="41" t="str">
        <f aca="false">IF($A165="","",SUMIFS(业务流水!$H$5:$H$1504,业务流水!$F$5:$F$1504,"*",业务流水!$D$5:$D$1504,"管理费结算",业务流水!$C$5:$C$1504,$A165,业务流水!$Z$5:$Z$1504,"是"))</f>
        <v/>
      </c>
      <c r="P165" s="41" t="str">
        <f aca="false">IF($A165="","",SUMIFS(业务流水!$H$5:$H$1504,业务流水!$E$5:$E$1504,"*",业务流水!$D$5:$D$1504,"扣质保金",业务流水!$C$5:$C$1504,$A165,业务流水!$Z$5:$Z$1504,"是"))</f>
        <v/>
      </c>
    </row>
    <row r="166" customFormat="false" ht="15.75" hidden="false" customHeight="true" outlineLevel="0" collapsed="false">
      <c r="A166" s="32" t="str">
        <f aca="false">IF(项目档案!$A166="","",项目档案!$A166)</f>
        <v/>
      </c>
      <c r="B166" s="40" t="str">
        <f aca="false">IF($A166="","",项目档案!$B166)</f>
        <v/>
      </c>
      <c r="C166" s="41" t="str">
        <f aca="false">IF($A166="","",SUMIFS(业务流水!$H$5:$H$1504,业务流水!$E$5:$E$1504,"*",业务流水!$D$5:$D$1504,"销项开票",业务流水!$C$5:$C$1504,$A166,业务流水!$Z$5:$Z$1504,"是"))</f>
        <v/>
      </c>
      <c r="D166" s="41" t="str">
        <f aca="false">IF($A166="","",SUMIFS(业务流水!$O$5:$O$1504,业务流水!$E$5:$E$1504,"*",业务流水!$D$5:$D$1504,"销项开票",业务流水!$C$5:$C$1504,$A166,业务流水!$Z$5:$Z$1504,"是"))</f>
        <v/>
      </c>
      <c r="E166" s="41" t="str">
        <f aca="false">IF($A166="","",SUMIFS(业务流水!$P$5:$P$1504,业务流水!$E$5:$E$1504,"*",业务流水!$D$5:$D$1504,"销项开票",业务流水!$C$5:$C$1504,$A166,业务流水!$Z$5:$Z$1504,"是"))</f>
        <v/>
      </c>
      <c r="F166" s="41" t="str">
        <f aca="false">IF($A166="","",SUMIFS(业务流水!$H$5:$H$1504,业务流水!$F$5:$F$1504,"*",业务流水!$D$5:$D$1504,"成本票",业务流水!$C$5:$C$1504,$A166,业务流水!$Z$5:$Z$1504,"是")+SUMIFS(业务流水!$H$5:$H$1504,业务流水!$F$5:$F$1504,"*",业务流水!$D$5:$D$1504,"销项开票",业务流水!$C$5:$C$1504,$A166,业务流水!$Z$5:$Z$1504,"是"))</f>
        <v/>
      </c>
      <c r="G166" s="42" t="str">
        <f aca="false">IF($A166="","",$E166-$F166)</f>
        <v/>
      </c>
      <c r="H166" s="41" t="str">
        <f aca="false">IF($A166="","",SUMIFS(业务流水!$W$5:$W$1504,业务流水!$E$5:$E$1504,"*",业务流水!$D$5:$D$1504,"销项开票",业务流水!$C$5:$C$1504,$A166,业务流水!$Z$5:$Z$1504,"是"))</f>
        <v/>
      </c>
      <c r="I166" s="41" t="str">
        <f aca="false">IF($A166="","",SUMIFS(业务流水!$H$5:$H$1504,业务流水!$E$5:$E$1504,"*",业务流水!$D$5:$D$1504,"已交税",业务流水!$C$5:$C$1504,$A166,业务流水!$Z$5:$Z$1504,"是"))</f>
        <v/>
      </c>
      <c r="J166" s="42" t="str">
        <f aca="false">IF($A166="","",$H166-$I166)</f>
        <v/>
      </c>
      <c r="K166" s="41" t="str">
        <f aca="false">IF($A166="","",SUMIFS(业务流水!$H$5:$H$1504,业务流水!$F$5:$F$1504,"*",业务流水!$D$5:$D$1504,"挂靠代收",业务流水!$C$5:$C$1504,$A166,业务流水!$Z$5:$Z$1504,"是"))</f>
        <v/>
      </c>
      <c r="L166" s="42" t="str">
        <f aca="false">IF($A166="","",$C166-$K166)</f>
        <v/>
      </c>
      <c r="M166" s="41" t="str">
        <f aca="false">IF($A166="","",SUMIFS(业务流水!$H$5:$H$1504,业务流水!$E$5:$E$1504,"*",业务流水!$D$5:$D$1504,"我方收款",业务流水!$C$5:$C$1504,$A166,业务流水!$Z$5:$Z$1504,"是"))</f>
        <v/>
      </c>
      <c r="N166" s="43" t="str">
        <f aca="false">IF($A166="","",$K166-$M166)</f>
        <v/>
      </c>
      <c r="O166" s="41" t="str">
        <f aca="false">IF($A166="","",SUMIFS(业务流水!$H$5:$H$1504,业务流水!$F$5:$F$1504,"*",业务流水!$D$5:$D$1504,"管理费结算",业务流水!$C$5:$C$1504,$A166,业务流水!$Z$5:$Z$1504,"是"))</f>
        <v/>
      </c>
      <c r="P166" s="41" t="str">
        <f aca="false">IF($A166="","",SUMIFS(业务流水!$H$5:$H$1504,业务流水!$E$5:$E$1504,"*",业务流水!$D$5:$D$1504,"扣质保金",业务流水!$C$5:$C$1504,$A166,业务流水!$Z$5:$Z$1504,"是"))</f>
        <v/>
      </c>
    </row>
    <row r="167" customFormat="false" ht="15.75" hidden="false" customHeight="true" outlineLevel="0" collapsed="false">
      <c r="A167" s="32" t="str">
        <f aca="false">IF(项目档案!$A167="","",项目档案!$A167)</f>
        <v/>
      </c>
      <c r="B167" s="40" t="str">
        <f aca="false">IF($A167="","",项目档案!$B167)</f>
        <v/>
      </c>
      <c r="C167" s="41" t="str">
        <f aca="false">IF($A167="","",SUMIFS(业务流水!$H$5:$H$1504,业务流水!$E$5:$E$1504,"*",业务流水!$D$5:$D$1504,"销项开票",业务流水!$C$5:$C$1504,$A167,业务流水!$Z$5:$Z$1504,"是"))</f>
        <v/>
      </c>
      <c r="D167" s="41" t="str">
        <f aca="false">IF($A167="","",SUMIFS(业务流水!$O$5:$O$1504,业务流水!$E$5:$E$1504,"*",业务流水!$D$5:$D$1504,"销项开票",业务流水!$C$5:$C$1504,$A167,业务流水!$Z$5:$Z$1504,"是"))</f>
        <v/>
      </c>
      <c r="E167" s="41" t="str">
        <f aca="false">IF($A167="","",SUMIFS(业务流水!$P$5:$P$1504,业务流水!$E$5:$E$1504,"*",业务流水!$D$5:$D$1504,"销项开票",业务流水!$C$5:$C$1504,$A167,业务流水!$Z$5:$Z$1504,"是"))</f>
        <v/>
      </c>
      <c r="F167" s="41" t="str">
        <f aca="false">IF($A167="","",SUMIFS(业务流水!$H$5:$H$1504,业务流水!$F$5:$F$1504,"*",业务流水!$D$5:$D$1504,"成本票",业务流水!$C$5:$C$1504,$A167,业务流水!$Z$5:$Z$1504,"是")+SUMIFS(业务流水!$H$5:$H$1504,业务流水!$F$5:$F$1504,"*",业务流水!$D$5:$D$1504,"销项开票",业务流水!$C$5:$C$1504,$A167,业务流水!$Z$5:$Z$1504,"是"))</f>
        <v/>
      </c>
      <c r="G167" s="42" t="str">
        <f aca="false">IF($A167="","",$E167-$F167)</f>
        <v/>
      </c>
      <c r="H167" s="41" t="str">
        <f aca="false">IF($A167="","",SUMIFS(业务流水!$W$5:$W$1504,业务流水!$E$5:$E$1504,"*",业务流水!$D$5:$D$1504,"销项开票",业务流水!$C$5:$C$1504,$A167,业务流水!$Z$5:$Z$1504,"是"))</f>
        <v/>
      </c>
      <c r="I167" s="41" t="str">
        <f aca="false">IF($A167="","",SUMIFS(业务流水!$H$5:$H$1504,业务流水!$E$5:$E$1504,"*",业务流水!$D$5:$D$1504,"已交税",业务流水!$C$5:$C$1504,$A167,业务流水!$Z$5:$Z$1504,"是"))</f>
        <v/>
      </c>
      <c r="J167" s="42" t="str">
        <f aca="false">IF($A167="","",$H167-$I167)</f>
        <v/>
      </c>
      <c r="K167" s="41" t="str">
        <f aca="false">IF($A167="","",SUMIFS(业务流水!$H$5:$H$1504,业务流水!$F$5:$F$1504,"*",业务流水!$D$5:$D$1504,"挂靠代收",业务流水!$C$5:$C$1504,$A167,业务流水!$Z$5:$Z$1504,"是"))</f>
        <v/>
      </c>
      <c r="L167" s="42" t="str">
        <f aca="false">IF($A167="","",$C167-$K167)</f>
        <v/>
      </c>
      <c r="M167" s="41" t="str">
        <f aca="false">IF($A167="","",SUMIFS(业务流水!$H$5:$H$1504,业务流水!$E$5:$E$1504,"*",业务流水!$D$5:$D$1504,"我方收款",业务流水!$C$5:$C$1504,$A167,业务流水!$Z$5:$Z$1504,"是"))</f>
        <v/>
      </c>
      <c r="N167" s="43" t="str">
        <f aca="false">IF($A167="","",$K167-$M167)</f>
        <v/>
      </c>
      <c r="O167" s="41" t="str">
        <f aca="false">IF($A167="","",SUMIFS(业务流水!$H$5:$H$1504,业务流水!$F$5:$F$1504,"*",业务流水!$D$5:$D$1504,"管理费结算",业务流水!$C$5:$C$1504,$A167,业务流水!$Z$5:$Z$1504,"是"))</f>
        <v/>
      </c>
      <c r="P167" s="41" t="str">
        <f aca="false">IF($A167="","",SUMIFS(业务流水!$H$5:$H$1504,业务流水!$E$5:$E$1504,"*",业务流水!$D$5:$D$1504,"扣质保金",业务流水!$C$5:$C$1504,$A167,业务流水!$Z$5:$Z$1504,"是"))</f>
        <v/>
      </c>
    </row>
    <row r="168" customFormat="false" ht="15.75" hidden="false" customHeight="true" outlineLevel="0" collapsed="false">
      <c r="A168" s="32" t="str">
        <f aca="false">IF(项目档案!$A168="","",项目档案!$A168)</f>
        <v/>
      </c>
      <c r="B168" s="40" t="str">
        <f aca="false">IF($A168="","",项目档案!$B168)</f>
        <v/>
      </c>
      <c r="C168" s="41" t="str">
        <f aca="false">IF($A168="","",SUMIFS(业务流水!$H$5:$H$1504,业务流水!$E$5:$E$1504,"*",业务流水!$D$5:$D$1504,"销项开票",业务流水!$C$5:$C$1504,$A168,业务流水!$Z$5:$Z$1504,"是"))</f>
        <v/>
      </c>
      <c r="D168" s="41" t="str">
        <f aca="false">IF($A168="","",SUMIFS(业务流水!$O$5:$O$1504,业务流水!$E$5:$E$1504,"*",业务流水!$D$5:$D$1504,"销项开票",业务流水!$C$5:$C$1504,$A168,业务流水!$Z$5:$Z$1504,"是"))</f>
        <v/>
      </c>
      <c r="E168" s="41" t="str">
        <f aca="false">IF($A168="","",SUMIFS(业务流水!$P$5:$P$1504,业务流水!$E$5:$E$1504,"*",业务流水!$D$5:$D$1504,"销项开票",业务流水!$C$5:$C$1504,$A168,业务流水!$Z$5:$Z$1504,"是"))</f>
        <v/>
      </c>
      <c r="F168" s="41" t="str">
        <f aca="false">IF($A168="","",SUMIFS(业务流水!$H$5:$H$1504,业务流水!$F$5:$F$1504,"*",业务流水!$D$5:$D$1504,"成本票",业务流水!$C$5:$C$1504,$A168,业务流水!$Z$5:$Z$1504,"是")+SUMIFS(业务流水!$H$5:$H$1504,业务流水!$F$5:$F$1504,"*",业务流水!$D$5:$D$1504,"销项开票",业务流水!$C$5:$C$1504,$A168,业务流水!$Z$5:$Z$1504,"是"))</f>
        <v/>
      </c>
      <c r="G168" s="42" t="str">
        <f aca="false">IF($A168="","",$E168-$F168)</f>
        <v/>
      </c>
      <c r="H168" s="41" t="str">
        <f aca="false">IF($A168="","",SUMIFS(业务流水!$W$5:$W$1504,业务流水!$E$5:$E$1504,"*",业务流水!$D$5:$D$1504,"销项开票",业务流水!$C$5:$C$1504,$A168,业务流水!$Z$5:$Z$1504,"是"))</f>
        <v/>
      </c>
      <c r="I168" s="41" t="str">
        <f aca="false">IF($A168="","",SUMIFS(业务流水!$H$5:$H$1504,业务流水!$E$5:$E$1504,"*",业务流水!$D$5:$D$1504,"已交税",业务流水!$C$5:$C$1504,$A168,业务流水!$Z$5:$Z$1504,"是"))</f>
        <v/>
      </c>
      <c r="J168" s="42" t="str">
        <f aca="false">IF($A168="","",$H168-$I168)</f>
        <v/>
      </c>
      <c r="K168" s="41" t="str">
        <f aca="false">IF($A168="","",SUMIFS(业务流水!$H$5:$H$1504,业务流水!$F$5:$F$1504,"*",业务流水!$D$5:$D$1504,"挂靠代收",业务流水!$C$5:$C$1504,$A168,业务流水!$Z$5:$Z$1504,"是"))</f>
        <v/>
      </c>
      <c r="L168" s="42" t="str">
        <f aca="false">IF($A168="","",$C168-$K168)</f>
        <v/>
      </c>
      <c r="M168" s="41" t="str">
        <f aca="false">IF($A168="","",SUMIFS(业务流水!$H$5:$H$1504,业务流水!$E$5:$E$1504,"*",业务流水!$D$5:$D$1504,"我方收款",业务流水!$C$5:$C$1504,$A168,业务流水!$Z$5:$Z$1504,"是"))</f>
        <v/>
      </c>
      <c r="N168" s="43" t="str">
        <f aca="false">IF($A168="","",$K168-$M168)</f>
        <v/>
      </c>
      <c r="O168" s="41" t="str">
        <f aca="false">IF($A168="","",SUMIFS(业务流水!$H$5:$H$1504,业务流水!$F$5:$F$1504,"*",业务流水!$D$5:$D$1504,"管理费结算",业务流水!$C$5:$C$1504,$A168,业务流水!$Z$5:$Z$1504,"是"))</f>
        <v/>
      </c>
      <c r="P168" s="41" t="str">
        <f aca="false">IF($A168="","",SUMIFS(业务流水!$H$5:$H$1504,业务流水!$E$5:$E$1504,"*",业务流水!$D$5:$D$1504,"扣质保金",业务流水!$C$5:$C$1504,$A168,业务流水!$Z$5:$Z$1504,"是"))</f>
        <v/>
      </c>
    </row>
    <row r="169" customFormat="false" ht="15.75" hidden="false" customHeight="true" outlineLevel="0" collapsed="false">
      <c r="A169" s="32" t="str">
        <f aca="false">IF(项目档案!$A169="","",项目档案!$A169)</f>
        <v/>
      </c>
      <c r="B169" s="40" t="str">
        <f aca="false">IF($A169="","",项目档案!$B169)</f>
        <v/>
      </c>
      <c r="C169" s="41" t="str">
        <f aca="false">IF($A169="","",SUMIFS(业务流水!$H$5:$H$1504,业务流水!$E$5:$E$1504,"*",业务流水!$D$5:$D$1504,"销项开票",业务流水!$C$5:$C$1504,$A169,业务流水!$Z$5:$Z$1504,"是"))</f>
        <v/>
      </c>
      <c r="D169" s="41" t="str">
        <f aca="false">IF($A169="","",SUMIFS(业务流水!$O$5:$O$1504,业务流水!$E$5:$E$1504,"*",业务流水!$D$5:$D$1504,"销项开票",业务流水!$C$5:$C$1504,$A169,业务流水!$Z$5:$Z$1504,"是"))</f>
        <v/>
      </c>
      <c r="E169" s="41" t="str">
        <f aca="false">IF($A169="","",SUMIFS(业务流水!$P$5:$P$1504,业务流水!$E$5:$E$1504,"*",业务流水!$D$5:$D$1504,"销项开票",业务流水!$C$5:$C$1504,$A169,业务流水!$Z$5:$Z$1504,"是"))</f>
        <v/>
      </c>
      <c r="F169" s="41" t="str">
        <f aca="false">IF($A169="","",SUMIFS(业务流水!$H$5:$H$1504,业务流水!$F$5:$F$1504,"*",业务流水!$D$5:$D$1504,"成本票",业务流水!$C$5:$C$1504,$A169,业务流水!$Z$5:$Z$1504,"是")+SUMIFS(业务流水!$H$5:$H$1504,业务流水!$F$5:$F$1504,"*",业务流水!$D$5:$D$1504,"销项开票",业务流水!$C$5:$C$1504,$A169,业务流水!$Z$5:$Z$1504,"是"))</f>
        <v/>
      </c>
      <c r="G169" s="42" t="str">
        <f aca="false">IF($A169="","",$E169-$F169)</f>
        <v/>
      </c>
      <c r="H169" s="41" t="str">
        <f aca="false">IF($A169="","",SUMIFS(业务流水!$W$5:$W$1504,业务流水!$E$5:$E$1504,"*",业务流水!$D$5:$D$1504,"销项开票",业务流水!$C$5:$C$1504,$A169,业务流水!$Z$5:$Z$1504,"是"))</f>
        <v/>
      </c>
      <c r="I169" s="41" t="str">
        <f aca="false">IF($A169="","",SUMIFS(业务流水!$H$5:$H$1504,业务流水!$E$5:$E$1504,"*",业务流水!$D$5:$D$1504,"已交税",业务流水!$C$5:$C$1504,$A169,业务流水!$Z$5:$Z$1504,"是"))</f>
        <v/>
      </c>
      <c r="J169" s="42" t="str">
        <f aca="false">IF($A169="","",$H169-$I169)</f>
        <v/>
      </c>
      <c r="K169" s="41" t="str">
        <f aca="false">IF($A169="","",SUMIFS(业务流水!$H$5:$H$1504,业务流水!$F$5:$F$1504,"*",业务流水!$D$5:$D$1504,"挂靠代收",业务流水!$C$5:$C$1504,$A169,业务流水!$Z$5:$Z$1504,"是"))</f>
        <v/>
      </c>
      <c r="L169" s="42" t="str">
        <f aca="false">IF($A169="","",$C169-$K169)</f>
        <v/>
      </c>
      <c r="M169" s="41" t="str">
        <f aca="false">IF($A169="","",SUMIFS(业务流水!$H$5:$H$1504,业务流水!$E$5:$E$1504,"*",业务流水!$D$5:$D$1504,"我方收款",业务流水!$C$5:$C$1504,$A169,业务流水!$Z$5:$Z$1504,"是"))</f>
        <v/>
      </c>
      <c r="N169" s="43" t="str">
        <f aca="false">IF($A169="","",$K169-$M169)</f>
        <v/>
      </c>
      <c r="O169" s="41" t="str">
        <f aca="false">IF($A169="","",SUMIFS(业务流水!$H$5:$H$1504,业务流水!$F$5:$F$1504,"*",业务流水!$D$5:$D$1504,"管理费结算",业务流水!$C$5:$C$1504,$A169,业务流水!$Z$5:$Z$1504,"是"))</f>
        <v/>
      </c>
      <c r="P169" s="41" t="str">
        <f aca="false">IF($A169="","",SUMIFS(业务流水!$H$5:$H$1504,业务流水!$E$5:$E$1504,"*",业务流水!$D$5:$D$1504,"扣质保金",业务流水!$C$5:$C$1504,$A169,业务流水!$Z$5:$Z$1504,"是"))</f>
        <v/>
      </c>
    </row>
    <row r="170" customFormat="false" ht="15.75" hidden="false" customHeight="true" outlineLevel="0" collapsed="false">
      <c r="A170" s="32" t="str">
        <f aca="false">IF(项目档案!$A170="","",项目档案!$A170)</f>
        <v/>
      </c>
      <c r="B170" s="40" t="str">
        <f aca="false">IF($A170="","",项目档案!$B170)</f>
        <v/>
      </c>
      <c r="C170" s="41" t="str">
        <f aca="false">IF($A170="","",SUMIFS(业务流水!$H$5:$H$1504,业务流水!$E$5:$E$1504,"*",业务流水!$D$5:$D$1504,"销项开票",业务流水!$C$5:$C$1504,$A170,业务流水!$Z$5:$Z$1504,"是"))</f>
        <v/>
      </c>
      <c r="D170" s="41" t="str">
        <f aca="false">IF($A170="","",SUMIFS(业务流水!$O$5:$O$1504,业务流水!$E$5:$E$1504,"*",业务流水!$D$5:$D$1504,"销项开票",业务流水!$C$5:$C$1504,$A170,业务流水!$Z$5:$Z$1504,"是"))</f>
        <v/>
      </c>
      <c r="E170" s="41" t="str">
        <f aca="false">IF($A170="","",SUMIFS(业务流水!$P$5:$P$1504,业务流水!$E$5:$E$1504,"*",业务流水!$D$5:$D$1504,"销项开票",业务流水!$C$5:$C$1504,$A170,业务流水!$Z$5:$Z$1504,"是"))</f>
        <v/>
      </c>
      <c r="F170" s="41" t="str">
        <f aca="false">IF($A170="","",SUMIFS(业务流水!$H$5:$H$1504,业务流水!$F$5:$F$1504,"*",业务流水!$D$5:$D$1504,"成本票",业务流水!$C$5:$C$1504,$A170,业务流水!$Z$5:$Z$1504,"是")+SUMIFS(业务流水!$H$5:$H$1504,业务流水!$F$5:$F$1504,"*",业务流水!$D$5:$D$1504,"销项开票",业务流水!$C$5:$C$1504,$A170,业务流水!$Z$5:$Z$1504,"是"))</f>
        <v/>
      </c>
      <c r="G170" s="42" t="str">
        <f aca="false">IF($A170="","",$E170-$F170)</f>
        <v/>
      </c>
      <c r="H170" s="41" t="str">
        <f aca="false">IF($A170="","",SUMIFS(业务流水!$W$5:$W$1504,业务流水!$E$5:$E$1504,"*",业务流水!$D$5:$D$1504,"销项开票",业务流水!$C$5:$C$1504,$A170,业务流水!$Z$5:$Z$1504,"是"))</f>
        <v/>
      </c>
      <c r="I170" s="41" t="str">
        <f aca="false">IF($A170="","",SUMIFS(业务流水!$H$5:$H$1504,业务流水!$E$5:$E$1504,"*",业务流水!$D$5:$D$1504,"已交税",业务流水!$C$5:$C$1504,$A170,业务流水!$Z$5:$Z$1504,"是"))</f>
        <v/>
      </c>
      <c r="J170" s="42" t="str">
        <f aca="false">IF($A170="","",$H170-$I170)</f>
        <v/>
      </c>
      <c r="K170" s="41" t="str">
        <f aca="false">IF($A170="","",SUMIFS(业务流水!$H$5:$H$1504,业务流水!$F$5:$F$1504,"*",业务流水!$D$5:$D$1504,"挂靠代收",业务流水!$C$5:$C$1504,$A170,业务流水!$Z$5:$Z$1504,"是"))</f>
        <v/>
      </c>
      <c r="L170" s="42" t="str">
        <f aca="false">IF($A170="","",$C170-$K170)</f>
        <v/>
      </c>
      <c r="M170" s="41" t="str">
        <f aca="false">IF($A170="","",SUMIFS(业务流水!$H$5:$H$1504,业务流水!$E$5:$E$1504,"*",业务流水!$D$5:$D$1504,"我方收款",业务流水!$C$5:$C$1504,$A170,业务流水!$Z$5:$Z$1504,"是"))</f>
        <v/>
      </c>
      <c r="N170" s="43" t="str">
        <f aca="false">IF($A170="","",$K170-$M170)</f>
        <v/>
      </c>
      <c r="O170" s="41" t="str">
        <f aca="false">IF($A170="","",SUMIFS(业务流水!$H$5:$H$1504,业务流水!$F$5:$F$1504,"*",业务流水!$D$5:$D$1504,"管理费结算",业务流水!$C$5:$C$1504,$A170,业务流水!$Z$5:$Z$1504,"是"))</f>
        <v/>
      </c>
      <c r="P170" s="41" t="str">
        <f aca="false">IF($A170="","",SUMIFS(业务流水!$H$5:$H$1504,业务流水!$E$5:$E$1504,"*",业务流水!$D$5:$D$1504,"扣质保金",业务流水!$C$5:$C$1504,$A170,业务流水!$Z$5:$Z$1504,"是"))</f>
        <v/>
      </c>
    </row>
    <row r="171" customFormat="false" ht="15.75" hidden="false" customHeight="true" outlineLevel="0" collapsed="false">
      <c r="A171" s="32" t="str">
        <f aca="false">IF(项目档案!$A171="","",项目档案!$A171)</f>
        <v/>
      </c>
      <c r="B171" s="40" t="str">
        <f aca="false">IF($A171="","",项目档案!$B171)</f>
        <v/>
      </c>
      <c r="C171" s="41" t="str">
        <f aca="false">IF($A171="","",SUMIFS(业务流水!$H$5:$H$1504,业务流水!$E$5:$E$1504,"*",业务流水!$D$5:$D$1504,"销项开票",业务流水!$C$5:$C$1504,$A171,业务流水!$Z$5:$Z$1504,"是"))</f>
        <v/>
      </c>
      <c r="D171" s="41" t="str">
        <f aca="false">IF($A171="","",SUMIFS(业务流水!$O$5:$O$1504,业务流水!$E$5:$E$1504,"*",业务流水!$D$5:$D$1504,"销项开票",业务流水!$C$5:$C$1504,$A171,业务流水!$Z$5:$Z$1504,"是"))</f>
        <v/>
      </c>
      <c r="E171" s="41" t="str">
        <f aca="false">IF($A171="","",SUMIFS(业务流水!$P$5:$P$1504,业务流水!$E$5:$E$1504,"*",业务流水!$D$5:$D$1504,"销项开票",业务流水!$C$5:$C$1504,$A171,业务流水!$Z$5:$Z$1504,"是"))</f>
        <v/>
      </c>
      <c r="F171" s="41" t="str">
        <f aca="false">IF($A171="","",SUMIFS(业务流水!$H$5:$H$1504,业务流水!$F$5:$F$1504,"*",业务流水!$D$5:$D$1504,"成本票",业务流水!$C$5:$C$1504,$A171,业务流水!$Z$5:$Z$1504,"是")+SUMIFS(业务流水!$H$5:$H$1504,业务流水!$F$5:$F$1504,"*",业务流水!$D$5:$D$1504,"销项开票",业务流水!$C$5:$C$1504,$A171,业务流水!$Z$5:$Z$1504,"是"))</f>
        <v/>
      </c>
      <c r="G171" s="42" t="str">
        <f aca="false">IF($A171="","",$E171-$F171)</f>
        <v/>
      </c>
      <c r="H171" s="41" t="str">
        <f aca="false">IF($A171="","",SUMIFS(业务流水!$W$5:$W$1504,业务流水!$E$5:$E$1504,"*",业务流水!$D$5:$D$1504,"销项开票",业务流水!$C$5:$C$1504,$A171,业务流水!$Z$5:$Z$1504,"是"))</f>
        <v/>
      </c>
      <c r="I171" s="41" t="str">
        <f aca="false">IF($A171="","",SUMIFS(业务流水!$H$5:$H$1504,业务流水!$E$5:$E$1504,"*",业务流水!$D$5:$D$1504,"已交税",业务流水!$C$5:$C$1504,$A171,业务流水!$Z$5:$Z$1504,"是"))</f>
        <v/>
      </c>
      <c r="J171" s="42" t="str">
        <f aca="false">IF($A171="","",$H171-$I171)</f>
        <v/>
      </c>
      <c r="K171" s="41" t="str">
        <f aca="false">IF($A171="","",SUMIFS(业务流水!$H$5:$H$1504,业务流水!$F$5:$F$1504,"*",业务流水!$D$5:$D$1504,"挂靠代收",业务流水!$C$5:$C$1504,$A171,业务流水!$Z$5:$Z$1504,"是"))</f>
        <v/>
      </c>
      <c r="L171" s="42" t="str">
        <f aca="false">IF($A171="","",$C171-$K171)</f>
        <v/>
      </c>
      <c r="M171" s="41" t="str">
        <f aca="false">IF($A171="","",SUMIFS(业务流水!$H$5:$H$1504,业务流水!$E$5:$E$1504,"*",业务流水!$D$5:$D$1504,"我方收款",业务流水!$C$5:$C$1504,$A171,业务流水!$Z$5:$Z$1504,"是"))</f>
        <v/>
      </c>
      <c r="N171" s="43" t="str">
        <f aca="false">IF($A171="","",$K171-$M171)</f>
        <v/>
      </c>
      <c r="O171" s="41" t="str">
        <f aca="false">IF($A171="","",SUMIFS(业务流水!$H$5:$H$1504,业务流水!$F$5:$F$1504,"*",业务流水!$D$5:$D$1504,"管理费结算",业务流水!$C$5:$C$1504,$A171,业务流水!$Z$5:$Z$1504,"是"))</f>
        <v/>
      </c>
      <c r="P171" s="41" t="str">
        <f aca="false">IF($A171="","",SUMIFS(业务流水!$H$5:$H$1504,业务流水!$E$5:$E$1504,"*",业务流水!$D$5:$D$1504,"扣质保金",业务流水!$C$5:$C$1504,$A171,业务流水!$Z$5:$Z$1504,"是"))</f>
        <v/>
      </c>
    </row>
    <row r="172" customFormat="false" ht="15.75" hidden="false" customHeight="true" outlineLevel="0" collapsed="false">
      <c r="A172" s="32" t="str">
        <f aca="false">IF(项目档案!$A172="","",项目档案!$A172)</f>
        <v/>
      </c>
      <c r="B172" s="40" t="str">
        <f aca="false">IF($A172="","",项目档案!$B172)</f>
        <v/>
      </c>
      <c r="C172" s="41" t="str">
        <f aca="false">IF($A172="","",SUMIFS(业务流水!$H$5:$H$1504,业务流水!$E$5:$E$1504,"*",业务流水!$D$5:$D$1504,"销项开票",业务流水!$C$5:$C$1504,$A172,业务流水!$Z$5:$Z$1504,"是"))</f>
        <v/>
      </c>
      <c r="D172" s="41" t="str">
        <f aca="false">IF($A172="","",SUMIFS(业务流水!$O$5:$O$1504,业务流水!$E$5:$E$1504,"*",业务流水!$D$5:$D$1504,"销项开票",业务流水!$C$5:$C$1504,$A172,业务流水!$Z$5:$Z$1504,"是"))</f>
        <v/>
      </c>
      <c r="E172" s="41" t="str">
        <f aca="false">IF($A172="","",SUMIFS(业务流水!$P$5:$P$1504,业务流水!$E$5:$E$1504,"*",业务流水!$D$5:$D$1504,"销项开票",业务流水!$C$5:$C$1504,$A172,业务流水!$Z$5:$Z$1504,"是"))</f>
        <v/>
      </c>
      <c r="F172" s="41" t="str">
        <f aca="false">IF($A172="","",SUMIFS(业务流水!$H$5:$H$1504,业务流水!$F$5:$F$1504,"*",业务流水!$D$5:$D$1504,"成本票",业务流水!$C$5:$C$1504,$A172,业务流水!$Z$5:$Z$1504,"是")+SUMIFS(业务流水!$H$5:$H$1504,业务流水!$F$5:$F$1504,"*",业务流水!$D$5:$D$1504,"销项开票",业务流水!$C$5:$C$1504,$A172,业务流水!$Z$5:$Z$1504,"是"))</f>
        <v/>
      </c>
      <c r="G172" s="42" t="str">
        <f aca="false">IF($A172="","",$E172-$F172)</f>
        <v/>
      </c>
      <c r="H172" s="41" t="str">
        <f aca="false">IF($A172="","",SUMIFS(业务流水!$W$5:$W$1504,业务流水!$E$5:$E$1504,"*",业务流水!$D$5:$D$1504,"销项开票",业务流水!$C$5:$C$1504,$A172,业务流水!$Z$5:$Z$1504,"是"))</f>
        <v/>
      </c>
      <c r="I172" s="41" t="str">
        <f aca="false">IF($A172="","",SUMIFS(业务流水!$H$5:$H$1504,业务流水!$E$5:$E$1504,"*",业务流水!$D$5:$D$1504,"已交税",业务流水!$C$5:$C$1504,$A172,业务流水!$Z$5:$Z$1504,"是"))</f>
        <v/>
      </c>
      <c r="J172" s="42" t="str">
        <f aca="false">IF($A172="","",$H172-$I172)</f>
        <v/>
      </c>
      <c r="K172" s="41" t="str">
        <f aca="false">IF($A172="","",SUMIFS(业务流水!$H$5:$H$1504,业务流水!$F$5:$F$1504,"*",业务流水!$D$5:$D$1504,"挂靠代收",业务流水!$C$5:$C$1504,$A172,业务流水!$Z$5:$Z$1504,"是"))</f>
        <v/>
      </c>
      <c r="L172" s="42" t="str">
        <f aca="false">IF($A172="","",$C172-$K172)</f>
        <v/>
      </c>
      <c r="M172" s="41" t="str">
        <f aca="false">IF($A172="","",SUMIFS(业务流水!$H$5:$H$1504,业务流水!$E$5:$E$1504,"*",业务流水!$D$5:$D$1504,"我方收款",业务流水!$C$5:$C$1504,$A172,业务流水!$Z$5:$Z$1504,"是"))</f>
        <v/>
      </c>
      <c r="N172" s="43" t="str">
        <f aca="false">IF($A172="","",$K172-$M172)</f>
        <v/>
      </c>
      <c r="O172" s="41" t="str">
        <f aca="false">IF($A172="","",SUMIFS(业务流水!$H$5:$H$1504,业务流水!$F$5:$F$1504,"*",业务流水!$D$5:$D$1504,"管理费结算",业务流水!$C$5:$C$1504,$A172,业务流水!$Z$5:$Z$1504,"是"))</f>
        <v/>
      </c>
      <c r="P172" s="41" t="str">
        <f aca="false">IF($A172="","",SUMIFS(业务流水!$H$5:$H$1504,业务流水!$E$5:$E$1504,"*",业务流水!$D$5:$D$1504,"扣质保金",业务流水!$C$5:$C$1504,$A172,业务流水!$Z$5:$Z$1504,"是"))</f>
        <v/>
      </c>
    </row>
    <row r="173" customFormat="false" ht="15.75" hidden="false" customHeight="true" outlineLevel="0" collapsed="false">
      <c r="A173" s="32" t="str">
        <f aca="false">IF(项目档案!$A173="","",项目档案!$A173)</f>
        <v/>
      </c>
      <c r="B173" s="40" t="str">
        <f aca="false">IF($A173="","",项目档案!$B173)</f>
        <v/>
      </c>
      <c r="C173" s="41" t="str">
        <f aca="false">IF($A173="","",SUMIFS(业务流水!$H$5:$H$1504,业务流水!$E$5:$E$1504,"*",业务流水!$D$5:$D$1504,"销项开票",业务流水!$C$5:$C$1504,$A173,业务流水!$Z$5:$Z$1504,"是"))</f>
        <v/>
      </c>
      <c r="D173" s="41" t="str">
        <f aca="false">IF($A173="","",SUMIFS(业务流水!$O$5:$O$1504,业务流水!$E$5:$E$1504,"*",业务流水!$D$5:$D$1504,"销项开票",业务流水!$C$5:$C$1504,$A173,业务流水!$Z$5:$Z$1504,"是"))</f>
        <v/>
      </c>
      <c r="E173" s="41" t="str">
        <f aca="false">IF($A173="","",SUMIFS(业务流水!$P$5:$P$1504,业务流水!$E$5:$E$1504,"*",业务流水!$D$5:$D$1504,"销项开票",业务流水!$C$5:$C$1504,$A173,业务流水!$Z$5:$Z$1504,"是"))</f>
        <v/>
      </c>
      <c r="F173" s="41" t="str">
        <f aca="false">IF($A173="","",SUMIFS(业务流水!$H$5:$H$1504,业务流水!$F$5:$F$1504,"*",业务流水!$D$5:$D$1504,"成本票",业务流水!$C$5:$C$1504,$A173,业务流水!$Z$5:$Z$1504,"是")+SUMIFS(业务流水!$H$5:$H$1504,业务流水!$F$5:$F$1504,"*",业务流水!$D$5:$D$1504,"销项开票",业务流水!$C$5:$C$1504,$A173,业务流水!$Z$5:$Z$1504,"是"))</f>
        <v/>
      </c>
      <c r="G173" s="42" t="str">
        <f aca="false">IF($A173="","",$E173-$F173)</f>
        <v/>
      </c>
      <c r="H173" s="41" t="str">
        <f aca="false">IF($A173="","",SUMIFS(业务流水!$W$5:$W$1504,业务流水!$E$5:$E$1504,"*",业务流水!$D$5:$D$1504,"销项开票",业务流水!$C$5:$C$1504,$A173,业务流水!$Z$5:$Z$1504,"是"))</f>
        <v/>
      </c>
      <c r="I173" s="41" t="str">
        <f aca="false">IF($A173="","",SUMIFS(业务流水!$H$5:$H$1504,业务流水!$E$5:$E$1504,"*",业务流水!$D$5:$D$1504,"已交税",业务流水!$C$5:$C$1504,$A173,业务流水!$Z$5:$Z$1504,"是"))</f>
        <v/>
      </c>
      <c r="J173" s="42" t="str">
        <f aca="false">IF($A173="","",$H173-$I173)</f>
        <v/>
      </c>
      <c r="K173" s="41" t="str">
        <f aca="false">IF($A173="","",SUMIFS(业务流水!$H$5:$H$1504,业务流水!$F$5:$F$1504,"*",业务流水!$D$5:$D$1504,"挂靠代收",业务流水!$C$5:$C$1504,$A173,业务流水!$Z$5:$Z$1504,"是"))</f>
        <v/>
      </c>
      <c r="L173" s="42" t="str">
        <f aca="false">IF($A173="","",$C173-$K173)</f>
        <v/>
      </c>
      <c r="M173" s="41" t="str">
        <f aca="false">IF($A173="","",SUMIFS(业务流水!$H$5:$H$1504,业务流水!$E$5:$E$1504,"*",业务流水!$D$5:$D$1504,"我方收款",业务流水!$C$5:$C$1504,$A173,业务流水!$Z$5:$Z$1504,"是"))</f>
        <v/>
      </c>
      <c r="N173" s="43" t="str">
        <f aca="false">IF($A173="","",$K173-$M173)</f>
        <v/>
      </c>
      <c r="O173" s="41" t="str">
        <f aca="false">IF($A173="","",SUMIFS(业务流水!$H$5:$H$1504,业务流水!$F$5:$F$1504,"*",业务流水!$D$5:$D$1504,"管理费结算",业务流水!$C$5:$C$1504,$A173,业务流水!$Z$5:$Z$1504,"是"))</f>
        <v/>
      </c>
      <c r="P173" s="41" t="str">
        <f aca="false">IF($A173="","",SUMIFS(业务流水!$H$5:$H$1504,业务流水!$E$5:$E$1504,"*",业务流水!$D$5:$D$1504,"扣质保金",业务流水!$C$5:$C$1504,$A173,业务流水!$Z$5:$Z$1504,"是"))</f>
        <v/>
      </c>
    </row>
    <row r="174" customFormat="false" ht="15.75" hidden="false" customHeight="true" outlineLevel="0" collapsed="false">
      <c r="A174" s="32" t="str">
        <f aca="false">IF(项目档案!$A174="","",项目档案!$A174)</f>
        <v/>
      </c>
      <c r="B174" s="40" t="str">
        <f aca="false">IF($A174="","",项目档案!$B174)</f>
        <v/>
      </c>
      <c r="C174" s="41" t="str">
        <f aca="false">IF($A174="","",SUMIFS(业务流水!$H$5:$H$1504,业务流水!$E$5:$E$1504,"*",业务流水!$D$5:$D$1504,"销项开票",业务流水!$C$5:$C$1504,$A174,业务流水!$Z$5:$Z$1504,"是"))</f>
        <v/>
      </c>
      <c r="D174" s="41" t="str">
        <f aca="false">IF($A174="","",SUMIFS(业务流水!$O$5:$O$1504,业务流水!$E$5:$E$1504,"*",业务流水!$D$5:$D$1504,"销项开票",业务流水!$C$5:$C$1504,$A174,业务流水!$Z$5:$Z$1504,"是"))</f>
        <v/>
      </c>
      <c r="E174" s="41" t="str">
        <f aca="false">IF($A174="","",SUMIFS(业务流水!$P$5:$P$1504,业务流水!$E$5:$E$1504,"*",业务流水!$D$5:$D$1504,"销项开票",业务流水!$C$5:$C$1504,$A174,业务流水!$Z$5:$Z$1504,"是"))</f>
        <v/>
      </c>
      <c r="F174" s="41" t="str">
        <f aca="false">IF($A174="","",SUMIFS(业务流水!$H$5:$H$1504,业务流水!$F$5:$F$1504,"*",业务流水!$D$5:$D$1504,"成本票",业务流水!$C$5:$C$1504,$A174,业务流水!$Z$5:$Z$1504,"是")+SUMIFS(业务流水!$H$5:$H$1504,业务流水!$F$5:$F$1504,"*",业务流水!$D$5:$D$1504,"销项开票",业务流水!$C$5:$C$1504,$A174,业务流水!$Z$5:$Z$1504,"是"))</f>
        <v/>
      </c>
      <c r="G174" s="42" t="str">
        <f aca="false">IF($A174="","",$E174-$F174)</f>
        <v/>
      </c>
      <c r="H174" s="41" t="str">
        <f aca="false">IF($A174="","",SUMIFS(业务流水!$W$5:$W$1504,业务流水!$E$5:$E$1504,"*",业务流水!$D$5:$D$1504,"销项开票",业务流水!$C$5:$C$1504,$A174,业务流水!$Z$5:$Z$1504,"是"))</f>
        <v/>
      </c>
      <c r="I174" s="41" t="str">
        <f aca="false">IF($A174="","",SUMIFS(业务流水!$H$5:$H$1504,业务流水!$E$5:$E$1504,"*",业务流水!$D$5:$D$1504,"已交税",业务流水!$C$5:$C$1504,$A174,业务流水!$Z$5:$Z$1504,"是"))</f>
        <v/>
      </c>
      <c r="J174" s="42" t="str">
        <f aca="false">IF($A174="","",$H174-$I174)</f>
        <v/>
      </c>
      <c r="K174" s="41" t="str">
        <f aca="false">IF($A174="","",SUMIFS(业务流水!$H$5:$H$1504,业务流水!$F$5:$F$1504,"*",业务流水!$D$5:$D$1504,"挂靠代收",业务流水!$C$5:$C$1504,$A174,业务流水!$Z$5:$Z$1504,"是"))</f>
        <v/>
      </c>
      <c r="L174" s="42" t="str">
        <f aca="false">IF($A174="","",$C174-$K174)</f>
        <v/>
      </c>
      <c r="M174" s="41" t="str">
        <f aca="false">IF($A174="","",SUMIFS(业务流水!$H$5:$H$1504,业务流水!$E$5:$E$1504,"*",业务流水!$D$5:$D$1504,"我方收款",业务流水!$C$5:$C$1504,$A174,业务流水!$Z$5:$Z$1504,"是"))</f>
        <v/>
      </c>
      <c r="N174" s="43" t="str">
        <f aca="false">IF($A174="","",$K174-$M174)</f>
        <v/>
      </c>
      <c r="O174" s="41" t="str">
        <f aca="false">IF($A174="","",SUMIFS(业务流水!$H$5:$H$1504,业务流水!$F$5:$F$1504,"*",业务流水!$D$5:$D$1504,"管理费结算",业务流水!$C$5:$C$1504,$A174,业务流水!$Z$5:$Z$1504,"是"))</f>
        <v/>
      </c>
      <c r="P174" s="41" t="str">
        <f aca="false">IF($A174="","",SUMIFS(业务流水!$H$5:$H$1504,业务流水!$E$5:$E$1504,"*",业务流水!$D$5:$D$1504,"扣质保金",业务流水!$C$5:$C$1504,$A174,业务流水!$Z$5:$Z$1504,"是"))</f>
        <v/>
      </c>
    </row>
    <row r="175" customFormat="false" ht="15.75" hidden="false" customHeight="true" outlineLevel="0" collapsed="false">
      <c r="A175" s="32" t="str">
        <f aca="false">IF(项目档案!$A175="","",项目档案!$A175)</f>
        <v/>
      </c>
      <c r="B175" s="40" t="str">
        <f aca="false">IF($A175="","",项目档案!$B175)</f>
        <v/>
      </c>
      <c r="C175" s="41" t="str">
        <f aca="false">IF($A175="","",SUMIFS(业务流水!$H$5:$H$1504,业务流水!$E$5:$E$1504,"*",业务流水!$D$5:$D$1504,"销项开票",业务流水!$C$5:$C$1504,$A175,业务流水!$Z$5:$Z$1504,"是"))</f>
        <v/>
      </c>
      <c r="D175" s="41" t="str">
        <f aca="false">IF($A175="","",SUMIFS(业务流水!$O$5:$O$1504,业务流水!$E$5:$E$1504,"*",业务流水!$D$5:$D$1504,"销项开票",业务流水!$C$5:$C$1504,$A175,业务流水!$Z$5:$Z$1504,"是"))</f>
        <v/>
      </c>
      <c r="E175" s="41" t="str">
        <f aca="false">IF($A175="","",SUMIFS(业务流水!$P$5:$P$1504,业务流水!$E$5:$E$1504,"*",业务流水!$D$5:$D$1504,"销项开票",业务流水!$C$5:$C$1504,$A175,业务流水!$Z$5:$Z$1504,"是"))</f>
        <v/>
      </c>
      <c r="F175" s="41" t="str">
        <f aca="false">IF($A175="","",SUMIFS(业务流水!$H$5:$H$1504,业务流水!$F$5:$F$1504,"*",业务流水!$D$5:$D$1504,"成本票",业务流水!$C$5:$C$1504,$A175,业务流水!$Z$5:$Z$1504,"是")+SUMIFS(业务流水!$H$5:$H$1504,业务流水!$F$5:$F$1504,"*",业务流水!$D$5:$D$1504,"销项开票",业务流水!$C$5:$C$1504,$A175,业务流水!$Z$5:$Z$1504,"是"))</f>
        <v/>
      </c>
      <c r="G175" s="42" t="str">
        <f aca="false">IF($A175="","",$E175-$F175)</f>
        <v/>
      </c>
      <c r="H175" s="41" t="str">
        <f aca="false">IF($A175="","",SUMIFS(业务流水!$W$5:$W$1504,业务流水!$E$5:$E$1504,"*",业务流水!$D$5:$D$1504,"销项开票",业务流水!$C$5:$C$1504,$A175,业务流水!$Z$5:$Z$1504,"是"))</f>
        <v/>
      </c>
      <c r="I175" s="41" t="str">
        <f aca="false">IF($A175="","",SUMIFS(业务流水!$H$5:$H$1504,业务流水!$E$5:$E$1504,"*",业务流水!$D$5:$D$1504,"已交税",业务流水!$C$5:$C$1504,$A175,业务流水!$Z$5:$Z$1504,"是"))</f>
        <v/>
      </c>
      <c r="J175" s="42" t="str">
        <f aca="false">IF($A175="","",$H175-$I175)</f>
        <v/>
      </c>
      <c r="K175" s="41" t="str">
        <f aca="false">IF($A175="","",SUMIFS(业务流水!$H$5:$H$1504,业务流水!$F$5:$F$1504,"*",业务流水!$D$5:$D$1504,"挂靠代收",业务流水!$C$5:$C$1504,$A175,业务流水!$Z$5:$Z$1504,"是"))</f>
        <v/>
      </c>
      <c r="L175" s="42" t="str">
        <f aca="false">IF($A175="","",$C175-$K175)</f>
        <v/>
      </c>
      <c r="M175" s="41" t="str">
        <f aca="false">IF($A175="","",SUMIFS(业务流水!$H$5:$H$1504,业务流水!$E$5:$E$1504,"*",业务流水!$D$5:$D$1504,"我方收款",业务流水!$C$5:$C$1504,$A175,业务流水!$Z$5:$Z$1504,"是"))</f>
        <v/>
      </c>
      <c r="N175" s="43" t="str">
        <f aca="false">IF($A175="","",$K175-$M175)</f>
        <v/>
      </c>
      <c r="O175" s="41" t="str">
        <f aca="false">IF($A175="","",SUMIFS(业务流水!$H$5:$H$1504,业务流水!$F$5:$F$1504,"*",业务流水!$D$5:$D$1504,"管理费结算",业务流水!$C$5:$C$1504,$A175,业务流水!$Z$5:$Z$1504,"是"))</f>
        <v/>
      </c>
      <c r="P175" s="41" t="str">
        <f aca="false">IF($A175="","",SUMIFS(业务流水!$H$5:$H$1504,业务流水!$E$5:$E$1504,"*",业务流水!$D$5:$D$1504,"扣质保金",业务流水!$C$5:$C$1504,$A175,业务流水!$Z$5:$Z$1504,"是"))</f>
        <v/>
      </c>
    </row>
    <row r="176" customFormat="false" ht="15.75" hidden="false" customHeight="true" outlineLevel="0" collapsed="false">
      <c r="A176" s="32" t="str">
        <f aca="false">IF(项目档案!$A176="","",项目档案!$A176)</f>
        <v/>
      </c>
      <c r="B176" s="40" t="str">
        <f aca="false">IF($A176="","",项目档案!$B176)</f>
        <v/>
      </c>
      <c r="C176" s="41" t="str">
        <f aca="false">IF($A176="","",SUMIFS(业务流水!$H$5:$H$1504,业务流水!$E$5:$E$1504,"*",业务流水!$D$5:$D$1504,"销项开票",业务流水!$C$5:$C$1504,$A176,业务流水!$Z$5:$Z$1504,"是"))</f>
        <v/>
      </c>
      <c r="D176" s="41" t="str">
        <f aca="false">IF($A176="","",SUMIFS(业务流水!$O$5:$O$1504,业务流水!$E$5:$E$1504,"*",业务流水!$D$5:$D$1504,"销项开票",业务流水!$C$5:$C$1504,$A176,业务流水!$Z$5:$Z$1504,"是"))</f>
        <v/>
      </c>
      <c r="E176" s="41" t="str">
        <f aca="false">IF($A176="","",SUMIFS(业务流水!$P$5:$P$1504,业务流水!$E$5:$E$1504,"*",业务流水!$D$5:$D$1504,"销项开票",业务流水!$C$5:$C$1504,$A176,业务流水!$Z$5:$Z$1504,"是"))</f>
        <v/>
      </c>
      <c r="F176" s="41" t="str">
        <f aca="false">IF($A176="","",SUMIFS(业务流水!$H$5:$H$1504,业务流水!$F$5:$F$1504,"*",业务流水!$D$5:$D$1504,"成本票",业务流水!$C$5:$C$1504,$A176,业务流水!$Z$5:$Z$1504,"是")+SUMIFS(业务流水!$H$5:$H$1504,业务流水!$F$5:$F$1504,"*",业务流水!$D$5:$D$1504,"销项开票",业务流水!$C$5:$C$1504,$A176,业务流水!$Z$5:$Z$1504,"是"))</f>
        <v/>
      </c>
      <c r="G176" s="42" t="str">
        <f aca="false">IF($A176="","",$E176-$F176)</f>
        <v/>
      </c>
      <c r="H176" s="41" t="str">
        <f aca="false">IF($A176="","",SUMIFS(业务流水!$W$5:$W$1504,业务流水!$E$5:$E$1504,"*",业务流水!$D$5:$D$1504,"销项开票",业务流水!$C$5:$C$1504,$A176,业务流水!$Z$5:$Z$1504,"是"))</f>
        <v/>
      </c>
      <c r="I176" s="41" t="str">
        <f aca="false">IF($A176="","",SUMIFS(业务流水!$H$5:$H$1504,业务流水!$E$5:$E$1504,"*",业务流水!$D$5:$D$1504,"已交税",业务流水!$C$5:$C$1504,$A176,业务流水!$Z$5:$Z$1504,"是"))</f>
        <v/>
      </c>
      <c r="J176" s="42" t="str">
        <f aca="false">IF($A176="","",$H176-$I176)</f>
        <v/>
      </c>
      <c r="K176" s="41" t="str">
        <f aca="false">IF($A176="","",SUMIFS(业务流水!$H$5:$H$1504,业务流水!$F$5:$F$1504,"*",业务流水!$D$5:$D$1504,"挂靠代收",业务流水!$C$5:$C$1504,$A176,业务流水!$Z$5:$Z$1504,"是"))</f>
        <v/>
      </c>
      <c r="L176" s="42" t="str">
        <f aca="false">IF($A176="","",$C176-$K176)</f>
        <v/>
      </c>
      <c r="M176" s="41" t="str">
        <f aca="false">IF($A176="","",SUMIFS(业务流水!$H$5:$H$1504,业务流水!$E$5:$E$1504,"*",业务流水!$D$5:$D$1504,"我方收款",业务流水!$C$5:$C$1504,$A176,业务流水!$Z$5:$Z$1504,"是"))</f>
        <v/>
      </c>
      <c r="N176" s="43" t="str">
        <f aca="false">IF($A176="","",$K176-$M176)</f>
        <v/>
      </c>
      <c r="O176" s="41" t="str">
        <f aca="false">IF($A176="","",SUMIFS(业务流水!$H$5:$H$1504,业务流水!$F$5:$F$1504,"*",业务流水!$D$5:$D$1504,"管理费结算",业务流水!$C$5:$C$1504,$A176,业务流水!$Z$5:$Z$1504,"是"))</f>
        <v/>
      </c>
      <c r="P176" s="41" t="str">
        <f aca="false">IF($A176="","",SUMIFS(业务流水!$H$5:$H$1504,业务流水!$E$5:$E$1504,"*",业务流水!$D$5:$D$1504,"扣质保金",业务流水!$C$5:$C$1504,$A176,业务流水!$Z$5:$Z$1504,"是"))</f>
        <v/>
      </c>
    </row>
    <row r="177" customFormat="false" ht="15.75" hidden="false" customHeight="true" outlineLevel="0" collapsed="false">
      <c r="A177" s="32" t="str">
        <f aca="false">IF(项目档案!$A177="","",项目档案!$A177)</f>
        <v/>
      </c>
      <c r="B177" s="40" t="str">
        <f aca="false">IF($A177="","",项目档案!$B177)</f>
        <v/>
      </c>
      <c r="C177" s="41" t="str">
        <f aca="false">IF($A177="","",SUMIFS(业务流水!$H$5:$H$1504,业务流水!$E$5:$E$1504,"*",业务流水!$D$5:$D$1504,"销项开票",业务流水!$C$5:$C$1504,$A177,业务流水!$Z$5:$Z$1504,"是"))</f>
        <v/>
      </c>
      <c r="D177" s="41" t="str">
        <f aca="false">IF($A177="","",SUMIFS(业务流水!$O$5:$O$1504,业务流水!$E$5:$E$1504,"*",业务流水!$D$5:$D$1504,"销项开票",业务流水!$C$5:$C$1504,$A177,业务流水!$Z$5:$Z$1504,"是"))</f>
        <v/>
      </c>
      <c r="E177" s="41" t="str">
        <f aca="false">IF($A177="","",SUMIFS(业务流水!$P$5:$P$1504,业务流水!$E$5:$E$1504,"*",业务流水!$D$5:$D$1504,"销项开票",业务流水!$C$5:$C$1504,$A177,业务流水!$Z$5:$Z$1504,"是"))</f>
        <v/>
      </c>
      <c r="F177" s="41" t="str">
        <f aca="false">IF($A177="","",SUMIFS(业务流水!$H$5:$H$1504,业务流水!$F$5:$F$1504,"*",业务流水!$D$5:$D$1504,"成本票",业务流水!$C$5:$C$1504,$A177,业务流水!$Z$5:$Z$1504,"是")+SUMIFS(业务流水!$H$5:$H$1504,业务流水!$F$5:$F$1504,"*",业务流水!$D$5:$D$1504,"销项开票",业务流水!$C$5:$C$1504,$A177,业务流水!$Z$5:$Z$1504,"是"))</f>
        <v/>
      </c>
      <c r="G177" s="42" t="str">
        <f aca="false">IF($A177="","",$E177-$F177)</f>
        <v/>
      </c>
      <c r="H177" s="41" t="str">
        <f aca="false">IF($A177="","",SUMIFS(业务流水!$W$5:$W$1504,业务流水!$E$5:$E$1504,"*",业务流水!$D$5:$D$1504,"销项开票",业务流水!$C$5:$C$1504,$A177,业务流水!$Z$5:$Z$1504,"是"))</f>
        <v/>
      </c>
      <c r="I177" s="41" t="str">
        <f aca="false">IF($A177="","",SUMIFS(业务流水!$H$5:$H$1504,业务流水!$E$5:$E$1504,"*",业务流水!$D$5:$D$1504,"已交税",业务流水!$C$5:$C$1504,$A177,业务流水!$Z$5:$Z$1504,"是"))</f>
        <v/>
      </c>
      <c r="J177" s="42" t="str">
        <f aca="false">IF($A177="","",$H177-$I177)</f>
        <v/>
      </c>
      <c r="K177" s="41" t="str">
        <f aca="false">IF($A177="","",SUMIFS(业务流水!$H$5:$H$1504,业务流水!$F$5:$F$1504,"*",业务流水!$D$5:$D$1504,"挂靠代收",业务流水!$C$5:$C$1504,$A177,业务流水!$Z$5:$Z$1504,"是"))</f>
        <v/>
      </c>
      <c r="L177" s="42" t="str">
        <f aca="false">IF($A177="","",$C177-$K177)</f>
        <v/>
      </c>
      <c r="M177" s="41" t="str">
        <f aca="false">IF($A177="","",SUMIFS(业务流水!$H$5:$H$1504,业务流水!$E$5:$E$1504,"*",业务流水!$D$5:$D$1504,"我方收款",业务流水!$C$5:$C$1504,$A177,业务流水!$Z$5:$Z$1504,"是"))</f>
        <v/>
      </c>
      <c r="N177" s="43" t="str">
        <f aca="false">IF($A177="","",$K177-$M177)</f>
        <v/>
      </c>
      <c r="O177" s="41" t="str">
        <f aca="false">IF($A177="","",SUMIFS(业务流水!$H$5:$H$1504,业务流水!$F$5:$F$1504,"*",业务流水!$D$5:$D$1504,"管理费结算",业务流水!$C$5:$C$1504,$A177,业务流水!$Z$5:$Z$1504,"是"))</f>
        <v/>
      </c>
      <c r="P177" s="41" t="str">
        <f aca="false">IF($A177="","",SUMIFS(业务流水!$H$5:$H$1504,业务流水!$E$5:$E$1504,"*",业务流水!$D$5:$D$1504,"扣质保金",业务流水!$C$5:$C$1504,$A177,业务流水!$Z$5:$Z$1504,"是"))</f>
        <v/>
      </c>
    </row>
    <row r="178" customFormat="false" ht="15.75" hidden="false" customHeight="true" outlineLevel="0" collapsed="false">
      <c r="A178" s="32" t="str">
        <f aca="false">IF(项目档案!$A178="","",项目档案!$A178)</f>
        <v/>
      </c>
      <c r="B178" s="40" t="str">
        <f aca="false">IF($A178="","",项目档案!$B178)</f>
        <v/>
      </c>
      <c r="C178" s="41" t="str">
        <f aca="false">IF($A178="","",SUMIFS(业务流水!$H$5:$H$1504,业务流水!$E$5:$E$1504,"*",业务流水!$D$5:$D$1504,"销项开票",业务流水!$C$5:$C$1504,$A178,业务流水!$Z$5:$Z$1504,"是"))</f>
        <v/>
      </c>
      <c r="D178" s="41" t="str">
        <f aca="false">IF($A178="","",SUMIFS(业务流水!$O$5:$O$1504,业务流水!$E$5:$E$1504,"*",业务流水!$D$5:$D$1504,"销项开票",业务流水!$C$5:$C$1504,$A178,业务流水!$Z$5:$Z$1504,"是"))</f>
        <v/>
      </c>
      <c r="E178" s="41" t="str">
        <f aca="false">IF($A178="","",SUMIFS(业务流水!$P$5:$P$1504,业务流水!$E$5:$E$1504,"*",业务流水!$D$5:$D$1504,"销项开票",业务流水!$C$5:$C$1504,$A178,业务流水!$Z$5:$Z$1504,"是"))</f>
        <v/>
      </c>
      <c r="F178" s="41" t="str">
        <f aca="false">IF($A178="","",SUMIFS(业务流水!$H$5:$H$1504,业务流水!$F$5:$F$1504,"*",业务流水!$D$5:$D$1504,"成本票",业务流水!$C$5:$C$1504,$A178,业务流水!$Z$5:$Z$1504,"是")+SUMIFS(业务流水!$H$5:$H$1504,业务流水!$F$5:$F$1504,"*",业务流水!$D$5:$D$1504,"销项开票",业务流水!$C$5:$C$1504,$A178,业务流水!$Z$5:$Z$1504,"是"))</f>
        <v/>
      </c>
      <c r="G178" s="42" t="str">
        <f aca="false">IF($A178="","",$E178-$F178)</f>
        <v/>
      </c>
      <c r="H178" s="41" t="str">
        <f aca="false">IF($A178="","",SUMIFS(业务流水!$W$5:$W$1504,业务流水!$E$5:$E$1504,"*",业务流水!$D$5:$D$1504,"销项开票",业务流水!$C$5:$C$1504,$A178,业务流水!$Z$5:$Z$1504,"是"))</f>
        <v/>
      </c>
      <c r="I178" s="41" t="str">
        <f aca="false">IF($A178="","",SUMIFS(业务流水!$H$5:$H$1504,业务流水!$E$5:$E$1504,"*",业务流水!$D$5:$D$1504,"已交税",业务流水!$C$5:$C$1504,$A178,业务流水!$Z$5:$Z$1504,"是"))</f>
        <v/>
      </c>
      <c r="J178" s="42" t="str">
        <f aca="false">IF($A178="","",$H178-$I178)</f>
        <v/>
      </c>
      <c r="K178" s="41" t="str">
        <f aca="false">IF($A178="","",SUMIFS(业务流水!$H$5:$H$1504,业务流水!$F$5:$F$1504,"*",业务流水!$D$5:$D$1504,"挂靠代收",业务流水!$C$5:$C$1504,$A178,业务流水!$Z$5:$Z$1504,"是"))</f>
        <v/>
      </c>
      <c r="L178" s="42" t="str">
        <f aca="false">IF($A178="","",$C178-$K178)</f>
        <v/>
      </c>
      <c r="M178" s="41" t="str">
        <f aca="false">IF($A178="","",SUMIFS(业务流水!$H$5:$H$1504,业务流水!$E$5:$E$1504,"*",业务流水!$D$5:$D$1504,"我方收款",业务流水!$C$5:$C$1504,$A178,业务流水!$Z$5:$Z$1504,"是"))</f>
        <v/>
      </c>
      <c r="N178" s="43" t="str">
        <f aca="false">IF($A178="","",$K178-$M178)</f>
        <v/>
      </c>
      <c r="O178" s="41" t="str">
        <f aca="false">IF($A178="","",SUMIFS(业务流水!$H$5:$H$1504,业务流水!$F$5:$F$1504,"*",业务流水!$D$5:$D$1504,"管理费结算",业务流水!$C$5:$C$1504,$A178,业务流水!$Z$5:$Z$1504,"是"))</f>
        <v/>
      </c>
      <c r="P178" s="41" t="str">
        <f aca="false">IF($A178="","",SUMIFS(业务流水!$H$5:$H$1504,业务流水!$E$5:$E$1504,"*",业务流水!$D$5:$D$1504,"扣质保金",业务流水!$C$5:$C$1504,$A178,业务流水!$Z$5:$Z$1504,"是"))</f>
        <v/>
      </c>
    </row>
    <row r="179" customFormat="false" ht="15.75" hidden="false" customHeight="true" outlineLevel="0" collapsed="false">
      <c r="A179" s="32" t="str">
        <f aca="false">IF(项目档案!$A179="","",项目档案!$A179)</f>
        <v/>
      </c>
      <c r="B179" s="40" t="str">
        <f aca="false">IF($A179="","",项目档案!$B179)</f>
        <v/>
      </c>
      <c r="C179" s="41" t="str">
        <f aca="false">IF($A179="","",SUMIFS(业务流水!$H$5:$H$1504,业务流水!$E$5:$E$1504,"*",业务流水!$D$5:$D$1504,"销项开票",业务流水!$C$5:$C$1504,$A179,业务流水!$Z$5:$Z$1504,"是"))</f>
        <v/>
      </c>
      <c r="D179" s="41" t="str">
        <f aca="false">IF($A179="","",SUMIFS(业务流水!$O$5:$O$1504,业务流水!$E$5:$E$1504,"*",业务流水!$D$5:$D$1504,"销项开票",业务流水!$C$5:$C$1504,$A179,业务流水!$Z$5:$Z$1504,"是"))</f>
        <v/>
      </c>
      <c r="E179" s="41" t="str">
        <f aca="false">IF($A179="","",SUMIFS(业务流水!$P$5:$P$1504,业务流水!$E$5:$E$1504,"*",业务流水!$D$5:$D$1504,"销项开票",业务流水!$C$5:$C$1504,$A179,业务流水!$Z$5:$Z$1504,"是"))</f>
        <v/>
      </c>
      <c r="F179" s="41" t="str">
        <f aca="false">IF($A179="","",SUMIFS(业务流水!$H$5:$H$1504,业务流水!$F$5:$F$1504,"*",业务流水!$D$5:$D$1504,"成本票",业务流水!$C$5:$C$1504,$A179,业务流水!$Z$5:$Z$1504,"是")+SUMIFS(业务流水!$H$5:$H$1504,业务流水!$F$5:$F$1504,"*",业务流水!$D$5:$D$1504,"销项开票",业务流水!$C$5:$C$1504,$A179,业务流水!$Z$5:$Z$1504,"是"))</f>
        <v/>
      </c>
      <c r="G179" s="42" t="str">
        <f aca="false">IF($A179="","",$E179-$F179)</f>
        <v/>
      </c>
      <c r="H179" s="41" t="str">
        <f aca="false">IF($A179="","",SUMIFS(业务流水!$W$5:$W$1504,业务流水!$E$5:$E$1504,"*",业务流水!$D$5:$D$1504,"销项开票",业务流水!$C$5:$C$1504,$A179,业务流水!$Z$5:$Z$1504,"是"))</f>
        <v/>
      </c>
      <c r="I179" s="41" t="str">
        <f aca="false">IF($A179="","",SUMIFS(业务流水!$H$5:$H$1504,业务流水!$E$5:$E$1504,"*",业务流水!$D$5:$D$1504,"已交税",业务流水!$C$5:$C$1504,$A179,业务流水!$Z$5:$Z$1504,"是"))</f>
        <v/>
      </c>
      <c r="J179" s="42" t="str">
        <f aca="false">IF($A179="","",$H179-$I179)</f>
        <v/>
      </c>
      <c r="K179" s="41" t="str">
        <f aca="false">IF($A179="","",SUMIFS(业务流水!$H$5:$H$1504,业务流水!$F$5:$F$1504,"*",业务流水!$D$5:$D$1504,"挂靠代收",业务流水!$C$5:$C$1504,$A179,业务流水!$Z$5:$Z$1504,"是"))</f>
        <v/>
      </c>
      <c r="L179" s="42" t="str">
        <f aca="false">IF($A179="","",$C179-$K179)</f>
        <v/>
      </c>
      <c r="M179" s="41" t="str">
        <f aca="false">IF($A179="","",SUMIFS(业务流水!$H$5:$H$1504,业务流水!$E$5:$E$1504,"*",业务流水!$D$5:$D$1504,"我方收款",业务流水!$C$5:$C$1504,$A179,业务流水!$Z$5:$Z$1504,"是"))</f>
        <v/>
      </c>
      <c r="N179" s="43" t="str">
        <f aca="false">IF($A179="","",$K179-$M179)</f>
        <v/>
      </c>
      <c r="O179" s="41" t="str">
        <f aca="false">IF($A179="","",SUMIFS(业务流水!$H$5:$H$1504,业务流水!$F$5:$F$1504,"*",业务流水!$D$5:$D$1504,"管理费结算",业务流水!$C$5:$C$1504,$A179,业务流水!$Z$5:$Z$1504,"是"))</f>
        <v/>
      </c>
      <c r="P179" s="41" t="str">
        <f aca="false">IF($A179="","",SUMIFS(业务流水!$H$5:$H$1504,业务流水!$E$5:$E$1504,"*",业务流水!$D$5:$D$1504,"扣质保金",业务流水!$C$5:$C$1504,$A179,业务流水!$Z$5:$Z$1504,"是"))</f>
        <v/>
      </c>
    </row>
    <row r="180" customFormat="false" ht="15.75" hidden="false" customHeight="true" outlineLevel="0" collapsed="false">
      <c r="A180" s="32" t="str">
        <f aca="false">IF(项目档案!$A180="","",项目档案!$A180)</f>
        <v/>
      </c>
      <c r="B180" s="40" t="str">
        <f aca="false">IF($A180="","",项目档案!$B180)</f>
        <v/>
      </c>
      <c r="C180" s="41" t="str">
        <f aca="false">IF($A180="","",SUMIFS(业务流水!$H$5:$H$1504,业务流水!$E$5:$E$1504,"*",业务流水!$D$5:$D$1504,"销项开票",业务流水!$C$5:$C$1504,$A180,业务流水!$Z$5:$Z$1504,"是"))</f>
        <v/>
      </c>
      <c r="D180" s="41" t="str">
        <f aca="false">IF($A180="","",SUMIFS(业务流水!$O$5:$O$1504,业务流水!$E$5:$E$1504,"*",业务流水!$D$5:$D$1504,"销项开票",业务流水!$C$5:$C$1504,$A180,业务流水!$Z$5:$Z$1504,"是"))</f>
        <v/>
      </c>
      <c r="E180" s="41" t="str">
        <f aca="false">IF($A180="","",SUMIFS(业务流水!$P$5:$P$1504,业务流水!$E$5:$E$1504,"*",业务流水!$D$5:$D$1504,"销项开票",业务流水!$C$5:$C$1504,$A180,业务流水!$Z$5:$Z$1504,"是"))</f>
        <v/>
      </c>
      <c r="F180" s="41" t="str">
        <f aca="false">IF($A180="","",SUMIFS(业务流水!$H$5:$H$1504,业务流水!$F$5:$F$1504,"*",业务流水!$D$5:$D$1504,"成本票",业务流水!$C$5:$C$1504,$A180,业务流水!$Z$5:$Z$1504,"是")+SUMIFS(业务流水!$H$5:$H$1504,业务流水!$F$5:$F$1504,"*",业务流水!$D$5:$D$1504,"销项开票",业务流水!$C$5:$C$1504,$A180,业务流水!$Z$5:$Z$1504,"是"))</f>
        <v/>
      </c>
      <c r="G180" s="42" t="str">
        <f aca="false">IF($A180="","",$E180-$F180)</f>
        <v/>
      </c>
      <c r="H180" s="41" t="str">
        <f aca="false">IF($A180="","",SUMIFS(业务流水!$W$5:$W$1504,业务流水!$E$5:$E$1504,"*",业务流水!$D$5:$D$1504,"销项开票",业务流水!$C$5:$C$1504,$A180,业务流水!$Z$5:$Z$1504,"是"))</f>
        <v/>
      </c>
      <c r="I180" s="41" t="str">
        <f aca="false">IF($A180="","",SUMIFS(业务流水!$H$5:$H$1504,业务流水!$E$5:$E$1504,"*",业务流水!$D$5:$D$1504,"已交税",业务流水!$C$5:$C$1504,$A180,业务流水!$Z$5:$Z$1504,"是"))</f>
        <v/>
      </c>
      <c r="J180" s="42" t="str">
        <f aca="false">IF($A180="","",$H180-$I180)</f>
        <v/>
      </c>
      <c r="K180" s="41" t="str">
        <f aca="false">IF($A180="","",SUMIFS(业务流水!$H$5:$H$1504,业务流水!$F$5:$F$1504,"*",业务流水!$D$5:$D$1504,"挂靠代收",业务流水!$C$5:$C$1504,$A180,业务流水!$Z$5:$Z$1504,"是"))</f>
        <v/>
      </c>
      <c r="L180" s="42" t="str">
        <f aca="false">IF($A180="","",$C180-$K180)</f>
        <v/>
      </c>
      <c r="M180" s="41" t="str">
        <f aca="false">IF($A180="","",SUMIFS(业务流水!$H$5:$H$1504,业务流水!$E$5:$E$1504,"*",业务流水!$D$5:$D$1504,"我方收款",业务流水!$C$5:$C$1504,$A180,业务流水!$Z$5:$Z$1504,"是"))</f>
        <v/>
      </c>
      <c r="N180" s="43" t="str">
        <f aca="false">IF($A180="","",$K180-$M180)</f>
        <v/>
      </c>
      <c r="O180" s="41" t="str">
        <f aca="false">IF($A180="","",SUMIFS(业务流水!$H$5:$H$1504,业务流水!$F$5:$F$1504,"*",业务流水!$D$5:$D$1504,"管理费结算",业务流水!$C$5:$C$1504,$A180,业务流水!$Z$5:$Z$1504,"是"))</f>
        <v/>
      </c>
      <c r="P180" s="41" t="str">
        <f aca="false">IF($A180="","",SUMIFS(业务流水!$H$5:$H$1504,业务流水!$E$5:$E$1504,"*",业务流水!$D$5:$D$1504,"扣质保金",业务流水!$C$5:$C$1504,$A180,业务流水!$Z$5:$Z$1504,"是"))</f>
        <v/>
      </c>
    </row>
    <row r="181" customFormat="false" ht="15.75" hidden="false" customHeight="true" outlineLevel="0" collapsed="false">
      <c r="A181" s="32" t="str">
        <f aca="false">IF(项目档案!$A181="","",项目档案!$A181)</f>
        <v/>
      </c>
      <c r="B181" s="40" t="str">
        <f aca="false">IF($A181="","",项目档案!$B181)</f>
        <v/>
      </c>
      <c r="C181" s="41" t="str">
        <f aca="false">IF($A181="","",SUMIFS(业务流水!$H$5:$H$1504,业务流水!$E$5:$E$1504,"*",业务流水!$D$5:$D$1504,"销项开票",业务流水!$C$5:$C$1504,$A181,业务流水!$Z$5:$Z$1504,"是"))</f>
        <v/>
      </c>
      <c r="D181" s="41" t="str">
        <f aca="false">IF($A181="","",SUMIFS(业务流水!$O$5:$O$1504,业务流水!$E$5:$E$1504,"*",业务流水!$D$5:$D$1504,"销项开票",业务流水!$C$5:$C$1504,$A181,业务流水!$Z$5:$Z$1504,"是"))</f>
        <v/>
      </c>
      <c r="E181" s="41" t="str">
        <f aca="false">IF($A181="","",SUMIFS(业务流水!$P$5:$P$1504,业务流水!$E$5:$E$1504,"*",业务流水!$D$5:$D$1504,"销项开票",业务流水!$C$5:$C$1504,$A181,业务流水!$Z$5:$Z$1504,"是"))</f>
        <v/>
      </c>
      <c r="F181" s="41" t="str">
        <f aca="false">IF($A181="","",SUMIFS(业务流水!$H$5:$H$1504,业务流水!$F$5:$F$1504,"*",业务流水!$D$5:$D$1504,"成本票",业务流水!$C$5:$C$1504,$A181,业务流水!$Z$5:$Z$1504,"是")+SUMIFS(业务流水!$H$5:$H$1504,业务流水!$F$5:$F$1504,"*",业务流水!$D$5:$D$1504,"销项开票",业务流水!$C$5:$C$1504,$A181,业务流水!$Z$5:$Z$1504,"是"))</f>
        <v/>
      </c>
      <c r="G181" s="42" t="str">
        <f aca="false">IF($A181="","",$E181-$F181)</f>
        <v/>
      </c>
      <c r="H181" s="41" t="str">
        <f aca="false">IF($A181="","",SUMIFS(业务流水!$W$5:$W$1504,业务流水!$E$5:$E$1504,"*",业务流水!$D$5:$D$1504,"销项开票",业务流水!$C$5:$C$1504,$A181,业务流水!$Z$5:$Z$1504,"是"))</f>
        <v/>
      </c>
      <c r="I181" s="41" t="str">
        <f aca="false">IF($A181="","",SUMIFS(业务流水!$H$5:$H$1504,业务流水!$E$5:$E$1504,"*",业务流水!$D$5:$D$1504,"已交税",业务流水!$C$5:$C$1504,$A181,业务流水!$Z$5:$Z$1504,"是"))</f>
        <v/>
      </c>
      <c r="J181" s="42" t="str">
        <f aca="false">IF($A181="","",$H181-$I181)</f>
        <v/>
      </c>
      <c r="K181" s="41" t="str">
        <f aca="false">IF($A181="","",SUMIFS(业务流水!$H$5:$H$1504,业务流水!$F$5:$F$1504,"*",业务流水!$D$5:$D$1504,"挂靠代收",业务流水!$C$5:$C$1504,$A181,业务流水!$Z$5:$Z$1504,"是"))</f>
        <v/>
      </c>
      <c r="L181" s="42" t="str">
        <f aca="false">IF($A181="","",$C181-$K181)</f>
        <v/>
      </c>
      <c r="M181" s="41" t="str">
        <f aca="false">IF($A181="","",SUMIFS(业务流水!$H$5:$H$1504,业务流水!$E$5:$E$1504,"*",业务流水!$D$5:$D$1504,"我方收款",业务流水!$C$5:$C$1504,$A181,业务流水!$Z$5:$Z$1504,"是"))</f>
        <v/>
      </c>
      <c r="N181" s="43" t="str">
        <f aca="false">IF($A181="","",$K181-$M181)</f>
        <v/>
      </c>
      <c r="O181" s="41" t="str">
        <f aca="false">IF($A181="","",SUMIFS(业务流水!$H$5:$H$1504,业务流水!$F$5:$F$1504,"*",业务流水!$D$5:$D$1504,"管理费结算",业务流水!$C$5:$C$1504,$A181,业务流水!$Z$5:$Z$1504,"是"))</f>
        <v/>
      </c>
      <c r="P181" s="41" t="str">
        <f aca="false">IF($A181="","",SUMIFS(业务流水!$H$5:$H$1504,业务流水!$E$5:$E$1504,"*",业务流水!$D$5:$D$1504,"扣质保金",业务流水!$C$5:$C$1504,$A181,业务流水!$Z$5:$Z$1504,"是"))</f>
        <v/>
      </c>
    </row>
    <row r="182" customFormat="false" ht="15.75" hidden="false" customHeight="true" outlineLevel="0" collapsed="false">
      <c r="A182" s="32" t="str">
        <f aca="false">IF(项目档案!$A182="","",项目档案!$A182)</f>
        <v/>
      </c>
      <c r="B182" s="40" t="str">
        <f aca="false">IF($A182="","",项目档案!$B182)</f>
        <v/>
      </c>
      <c r="C182" s="41" t="str">
        <f aca="false">IF($A182="","",SUMIFS(业务流水!$H$5:$H$1504,业务流水!$E$5:$E$1504,"*",业务流水!$D$5:$D$1504,"销项开票",业务流水!$C$5:$C$1504,$A182,业务流水!$Z$5:$Z$1504,"是"))</f>
        <v/>
      </c>
      <c r="D182" s="41" t="str">
        <f aca="false">IF($A182="","",SUMIFS(业务流水!$O$5:$O$1504,业务流水!$E$5:$E$1504,"*",业务流水!$D$5:$D$1504,"销项开票",业务流水!$C$5:$C$1504,$A182,业务流水!$Z$5:$Z$1504,"是"))</f>
        <v/>
      </c>
      <c r="E182" s="41" t="str">
        <f aca="false">IF($A182="","",SUMIFS(业务流水!$P$5:$P$1504,业务流水!$E$5:$E$1504,"*",业务流水!$D$5:$D$1504,"销项开票",业务流水!$C$5:$C$1504,$A182,业务流水!$Z$5:$Z$1504,"是"))</f>
        <v/>
      </c>
      <c r="F182" s="41" t="str">
        <f aca="false">IF($A182="","",SUMIFS(业务流水!$H$5:$H$1504,业务流水!$F$5:$F$1504,"*",业务流水!$D$5:$D$1504,"成本票",业务流水!$C$5:$C$1504,$A182,业务流水!$Z$5:$Z$1504,"是")+SUMIFS(业务流水!$H$5:$H$1504,业务流水!$F$5:$F$1504,"*",业务流水!$D$5:$D$1504,"销项开票",业务流水!$C$5:$C$1504,$A182,业务流水!$Z$5:$Z$1504,"是"))</f>
        <v/>
      </c>
      <c r="G182" s="42" t="str">
        <f aca="false">IF($A182="","",$E182-$F182)</f>
        <v/>
      </c>
      <c r="H182" s="41" t="str">
        <f aca="false">IF($A182="","",SUMIFS(业务流水!$W$5:$W$1504,业务流水!$E$5:$E$1504,"*",业务流水!$D$5:$D$1504,"销项开票",业务流水!$C$5:$C$1504,$A182,业务流水!$Z$5:$Z$1504,"是"))</f>
        <v/>
      </c>
      <c r="I182" s="41" t="str">
        <f aca="false">IF($A182="","",SUMIFS(业务流水!$H$5:$H$1504,业务流水!$E$5:$E$1504,"*",业务流水!$D$5:$D$1504,"已交税",业务流水!$C$5:$C$1504,$A182,业务流水!$Z$5:$Z$1504,"是"))</f>
        <v/>
      </c>
      <c r="J182" s="42" t="str">
        <f aca="false">IF($A182="","",$H182-$I182)</f>
        <v/>
      </c>
      <c r="K182" s="41" t="str">
        <f aca="false">IF($A182="","",SUMIFS(业务流水!$H$5:$H$1504,业务流水!$F$5:$F$1504,"*",业务流水!$D$5:$D$1504,"挂靠代收",业务流水!$C$5:$C$1504,$A182,业务流水!$Z$5:$Z$1504,"是"))</f>
        <v/>
      </c>
      <c r="L182" s="42" t="str">
        <f aca="false">IF($A182="","",$C182-$K182)</f>
        <v/>
      </c>
      <c r="M182" s="41" t="str">
        <f aca="false">IF($A182="","",SUMIFS(业务流水!$H$5:$H$1504,业务流水!$E$5:$E$1504,"*",业务流水!$D$5:$D$1504,"我方收款",业务流水!$C$5:$C$1504,$A182,业务流水!$Z$5:$Z$1504,"是"))</f>
        <v/>
      </c>
      <c r="N182" s="43" t="str">
        <f aca="false">IF($A182="","",$K182-$M182)</f>
        <v/>
      </c>
      <c r="O182" s="41" t="str">
        <f aca="false">IF($A182="","",SUMIFS(业务流水!$H$5:$H$1504,业务流水!$F$5:$F$1504,"*",业务流水!$D$5:$D$1504,"管理费结算",业务流水!$C$5:$C$1504,$A182,业务流水!$Z$5:$Z$1504,"是"))</f>
        <v/>
      </c>
      <c r="P182" s="41" t="str">
        <f aca="false">IF($A182="","",SUMIFS(业务流水!$H$5:$H$1504,业务流水!$E$5:$E$1504,"*",业务流水!$D$5:$D$1504,"扣质保金",业务流水!$C$5:$C$1504,$A182,业务流水!$Z$5:$Z$1504,"是"))</f>
        <v/>
      </c>
    </row>
    <row r="183" customFormat="false" ht="15.75" hidden="false" customHeight="true" outlineLevel="0" collapsed="false">
      <c r="A183" s="32" t="str">
        <f aca="false">IF(项目档案!$A183="","",项目档案!$A183)</f>
        <v/>
      </c>
      <c r="B183" s="40" t="str">
        <f aca="false">IF($A183="","",项目档案!$B183)</f>
        <v/>
      </c>
      <c r="C183" s="41" t="str">
        <f aca="false">IF($A183="","",SUMIFS(业务流水!$H$5:$H$1504,业务流水!$E$5:$E$1504,"*",业务流水!$D$5:$D$1504,"销项开票",业务流水!$C$5:$C$1504,$A183,业务流水!$Z$5:$Z$1504,"是"))</f>
        <v/>
      </c>
      <c r="D183" s="41" t="str">
        <f aca="false">IF($A183="","",SUMIFS(业务流水!$O$5:$O$1504,业务流水!$E$5:$E$1504,"*",业务流水!$D$5:$D$1504,"销项开票",业务流水!$C$5:$C$1504,$A183,业务流水!$Z$5:$Z$1504,"是"))</f>
        <v/>
      </c>
      <c r="E183" s="41" t="str">
        <f aca="false">IF($A183="","",SUMIFS(业务流水!$P$5:$P$1504,业务流水!$E$5:$E$1504,"*",业务流水!$D$5:$D$1504,"销项开票",业务流水!$C$5:$C$1504,$A183,业务流水!$Z$5:$Z$1504,"是"))</f>
        <v/>
      </c>
      <c r="F183" s="41" t="str">
        <f aca="false">IF($A183="","",SUMIFS(业务流水!$H$5:$H$1504,业务流水!$F$5:$F$1504,"*",业务流水!$D$5:$D$1504,"成本票",业务流水!$C$5:$C$1504,$A183,业务流水!$Z$5:$Z$1504,"是")+SUMIFS(业务流水!$H$5:$H$1504,业务流水!$F$5:$F$1504,"*",业务流水!$D$5:$D$1504,"销项开票",业务流水!$C$5:$C$1504,$A183,业务流水!$Z$5:$Z$1504,"是"))</f>
        <v/>
      </c>
      <c r="G183" s="42" t="str">
        <f aca="false">IF($A183="","",$E183-$F183)</f>
        <v/>
      </c>
      <c r="H183" s="41" t="str">
        <f aca="false">IF($A183="","",SUMIFS(业务流水!$W$5:$W$1504,业务流水!$E$5:$E$1504,"*",业务流水!$D$5:$D$1504,"销项开票",业务流水!$C$5:$C$1504,$A183,业务流水!$Z$5:$Z$1504,"是"))</f>
        <v/>
      </c>
      <c r="I183" s="41" t="str">
        <f aca="false">IF($A183="","",SUMIFS(业务流水!$H$5:$H$1504,业务流水!$E$5:$E$1504,"*",业务流水!$D$5:$D$1504,"已交税",业务流水!$C$5:$C$1504,$A183,业务流水!$Z$5:$Z$1504,"是"))</f>
        <v/>
      </c>
      <c r="J183" s="42" t="str">
        <f aca="false">IF($A183="","",$H183-$I183)</f>
        <v/>
      </c>
      <c r="K183" s="41" t="str">
        <f aca="false">IF($A183="","",SUMIFS(业务流水!$H$5:$H$1504,业务流水!$F$5:$F$1504,"*",业务流水!$D$5:$D$1504,"挂靠代收",业务流水!$C$5:$C$1504,$A183,业务流水!$Z$5:$Z$1504,"是"))</f>
        <v/>
      </c>
      <c r="L183" s="42" t="str">
        <f aca="false">IF($A183="","",$C183-$K183)</f>
        <v/>
      </c>
      <c r="M183" s="41" t="str">
        <f aca="false">IF($A183="","",SUMIFS(业务流水!$H$5:$H$1504,业务流水!$E$5:$E$1504,"*",业务流水!$D$5:$D$1504,"我方收款",业务流水!$C$5:$C$1504,$A183,业务流水!$Z$5:$Z$1504,"是"))</f>
        <v/>
      </c>
      <c r="N183" s="43" t="str">
        <f aca="false">IF($A183="","",$K183-$M183)</f>
        <v/>
      </c>
      <c r="O183" s="41" t="str">
        <f aca="false">IF($A183="","",SUMIFS(业务流水!$H$5:$H$1504,业务流水!$F$5:$F$1504,"*",业务流水!$D$5:$D$1504,"管理费结算",业务流水!$C$5:$C$1504,$A183,业务流水!$Z$5:$Z$1504,"是"))</f>
        <v/>
      </c>
      <c r="P183" s="41" t="str">
        <f aca="false">IF($A183="","",SUMIFS(业务流水!$H$5:$H$1504,业务流水!$E$5:$E$1504,"*",业务流水!$D$5:$D$1504,"扣质保金",业务流水!$C$5:$C$1504,$A183,业务流水!$Z$5:$Z$1504,"是"))</f>
        <v/>
      </c>
    </row>
    <row r="184" customFormat="false" ht="15.75" hidden="false" customHeight="true" outlineLevel="0" collapsed="false">
      <c r="A184" s="32" t="str">
        <f aca="false">IF(项目档案!$A184="","",项目档案!$A184)</f>
        <v/>
      </c>
      <c r="B184" s="40" t="str">
        <f aca="false">IF($A184="","",项目档案!$B184)</f>
        <v/>
      </c>
      <c r="C184" s="41" t="str">
        <f aca="false">IF($A184="","",SUMIFS(业务流水!$H$5:$H$1504,业务流水!$E$5:$E$1504,"*",业务流水!$D$5:$D$1504,"销项开票",业务流水!$C$5:$C$1504,$A184,业务流水!$Z$5:$Z$1504,"是"))</f>
        <v/>
      </c>
      <c r="D184" s="41" t="str">
        <f aca="false">IF($A184="","",SUMIFS(业务流水!$O$5:$O$1504,业务流水!$E$5:$E$1504,"*",业务流水!$D$5:$D$1504,"销项开票",业务流水!$C$5:$C$1504,$A184,业务流水!$Z$5:$Z$1504,"是"))</f>
        <v/>
      </c>
      <c r="E184" s="41" t="str">
        <f aca="false">IF($A184="","",SUMIFS(业务流水!$P$5:$P$1504,业务流水!$E$5:$E$1504,"*",业务流水!$D$5:$D$1504,"销项开票",业务流水!$C$5:$C$1504,$A184,业务流水!$Z$5:$Z$1504,"是"))</f>
        <v/>
      </c>
      <c r="F184" s="41" t="str">
        <f aca="false">IF($A184="","",SUMIFS(业务流水!$H$5:$H$1504,业务流水!$F$5:$F$1504,"*",业务流水!$D$5:$D$1504,"成本票",业务流水!$C$5:$C$1504,$A184,业务流水!$Z$5:$Z$1504,"是")+SUMIFS(业务流水!$H$5:$H$1504,业务流水!$F$5:$F$1504,"*",业务流水!$D$5:$D$1504,"销项开票",业务流水!$C$5:$C$1504,$A184,业务流水!$Z$5:$Z$1504,"是"))</f>
        <v/>
      </c>
      <c r="G184" s="42" t="str">
        <f aca="false">IF($A184="","",$E184-$F184)</f>
        <v/>
      </c>
      <c r="H184" s="41" t="str">
        <f aca="false">IF($A184="","",SUMIFS(业务流水!$W$5:$W$1504,业务流水!$E$5:$E$1504,"*",业务流水!$D$5:$D$1504,"销项开票",业务流水!$C$5:$C$1504,$A184,业务流水!$Z$5:$Z$1504,"是"))</f>
        <v/>
      </c>
      <c r="I184" s="41" t="str">
        <f aca="false">IF($A184="","",SUMIFS(业务流水!$H$5:$H$1504,业务流水!$E$5:$E$1504,"*",业务流水!$D$5:$D$1504,"已交税",业务流水!$C$5:$C$1504,$A184,业务流水!$Z$5:$Z$1504,"是"))</f>
        <v/>
      </c>
      <c r="J184" s="42" t="str">
        <f aca="false">IF($A184="","",$H184-$I184)</f>
        <v/>
      </c>
      <c r="K184" s="41" t="str">
        <f aca="false">IF($A184="","",SUMIFS(业务流水!$H$5:$H$1504,业务流水!$F$5:$F$1504,"*",业务流水!$D$5:$D$1504,"挂靠代收",业务流水!$C$5:$C$1504,$A184,业务流水!$Z$5:$Z$1504,"是"))</f>
        <v/>
      </c>
      <c r="L184" s="42" t="str">
        <f aca="false">IF($A184="","",$C184-$K184)</f>
        <v/>
      </c>
      <c r="M184" s="41" t="str">
        <f aca="false">IF($A184="","",SUMIFS(业务流水!$H$5:$H$1504,业务流水!$E$5:$E$1504,"*",业务流水!$D$5:$D$1504,"我方收款",业务流水!$C$5:$C$1504,$A184,业务流水!$Z$5:$Z$1504,"是"))</f>
        <v/>
      </c>
      <c r="N184" s="43" t="str">
        <f aca="false">IF($A184="","",$K184-$M184)</f>
        <v/>
      </c>
      <c r="O184" s="41" t="str">
        <f aca="false">IF($A184="","",SUMIFS(业务流水!$H$5:$H$1504,业务流水!$F$5:$F$1504,"*",业务流水!$D$5:$D$1504,"管理费结算",业务流水!$C$5:$C$1504,$A184,业务流水!$Z$5:$Z$1504,"是"))</f>
        <v/>
      </c>
      <c r="P184" s="41" t="str">
        <f aca="false">IF($A184="","",SUMIFS(业务流水!$H$5:$H$1504,业务流水!$E$5:$E$1504,"*",业务流水!$D$5:$D$1504,"扣质保金",业务流水!$C$5:$C$1504,$A184,业务流水!$Z$5:$Z$1504,"是"))</f>
        <v/>
      </c>
    </row>
    <row r="185" customFormat="false" ht="15.75" hidden="false" customHeight="true" outlineLevel="0" collapsed="false">
      <c r="A185" s="32" t="str">
        <f aca="false">IF(项目档案!$A185="","",项目档案!$A185)</f>
        <v/>
      </c>
      <c r="B185" s="40" t="str">
        <f aca="false">IF($A185="","",项目档案!$B185)</f>
        <v/>
      </c>
      <c r="C185" s="41" t="str">
        <f aca="false">IF($A185="","",SUMIFS(业务流水!$H$5:$H$1504,业务流水!$E$5:$E$1504,"*",业务流水!$D$5:$D$1504,"销项开票",业务流水!$C$5:$C$1504,$A185,业务流水!$Z$5:$Z$1504,"是"))</f>
        <v/>
      </c>
      <c r="D185" s="41" t="str">
        <f aca="false">IF($A185="","",SUMIFS(业务流水!$O$5:$O$1504,业务流水!$E$5:$E$1504,"*",业务流水!$D$5:$D$1504,"销项开票",业务流水!$C$5:$C$1504,$A185,业务流水!$Z$5:$Z$1504,"是"))</f>
        <v/>
      </c>
      <c r="E185" s="41" t="str">
        <f aca="false">IF($A185="","",SUMIFS(业务流水!$P$5:$P$1504,业务流水!$E$5:$E$1504,"*",业务流水!$D$5:$D$1504,"销项开票",业务流水!$C$5:$C$1504,$A185,业务流水!$Z$5:$Z$1504,"是"))</f>
        <v/>
      </c>
      <c r="F185" s="41" t="str">
        <f aca="false">IF($A185="","",SUMIFS(业务流水!$H$5:$H$1504,业务流水!$F$5:$F$1504,"*",业务流水!$D$5:$D$1504,"成本票",业务流水!$C$5:$C$1504,$A185,业务流水!$Z$5:$Z$1504,"是")+SUMIFS(业务流水!$H$5:$H$1504,业务流水!$F$5:$F$1504,"*",业务流水!$D$5:$D$1504,"销项开票",业务流水!$C$5:$C$1504,$A185,业务流水!$Z$5:$Z$1504,"是"))</f>
        <v/>
      </c>
      <c r="G185" s="42" t="str">
        <f aca="false">IF($A185="","",$E185-$F185)</f>
        <v/>
      </c>
      <c r="H185" s="41" t="str">
        <f aca="false">IF($A185="","",SUMIFS(业务流水!$W$5:$W$1504,业务流水!$E$5:$E$1504,"*",业务流水!$D$5:$D$1504,"销项开票",业务流水!$C$5:$C$1504,$A185,业务流水!$Z$5:$Z$1504,"是"))</f>
        <v/>
      </c>
      <c r="I185" s="41" t="str">
        <f aca="false">IF($A185="","",SUMIFS(业务流水!$H$5:$H$1504,业务流水!$E$5:$E$1504,"*",业务流水!$D$5:$D$1504,"已交税",业务流水!$C$5:$C$1504,$A185,业务流水!$Z$5:$Z$1504,"是"))</f>
        <v/>
      </c>
      <c r="J185" s="42" t="str">
        <f aca="false">IF($A185="","",$H185-$I185)</f>
        <v/>
      </c>
      <c r="K185" s="41" t="str">
        <f aca="false">IF($A185="","",SUMIFS(业务流水!$H$5:$H$1504,业务流水!$F$5:$F$1504,"*",业务流水!$D$5:$D$1504,"挂靠代收",业务流水!$C$5:$C$1504,$A185,业务流水!$Z$5:$Z$1504,"是"))</f>
        <v/>
      </c>
      <c r="L185" s="42" t="str">
        <f aca="false">IF($A185="","",$C185-$K185)</f>
        <v/>
      </c>
      <c r="M185" s="41" t="str">
        <f aca="false">IF($A185="","",SUMIFS(业务流水!$H$5:$H$1504,业务流水!$E$5:$E$1504,"*",业务流水!$D$5:$D$1504,"我方收款",业务流水!$C$5:$C$1504,$A185,业务流水!$Z$5:$Z$1504,"是"))</f>
        <v/>
      </c>
      <c r="N185" s="43" t="str">
        <f aca="false">IF($A185="","",$K185-$M185)</f>
        <v/>
      </c>
      <c r="O185" s="41" t="str">
        <f aca="false">IF($A185="","",SUMIFS(业务流水!$H$5:$H$1504,业务流水!$F$5:$F$1504,"*",业务流水!$D$5:$D$1504,"管理费结算",业务流水!$C$5:$C$1504,$A185,业务流水!$Z$5:$Z$1504,"是"))</f>
        <v/>
      </c>
      <c r="P185" s="41" t="str">
        <f aca="false">IF($A185="","",SUMIFS(业务流水!$H$5:$H$1504,业务流水!$E$5:$E$1504,"*",业务流水!$D$5:$D$1504,"扣质保金",业务流水!$C$5:$C$1504,$A185,业务流水!$Z$5:$Z$1504,"是"))</f>
        <v/>
      </c>
    </row>
    <row r="186" customFormat="false" ht="15.75" hidden="false" customHeight="true" outlineLevel="0" collapsed="false">
      <c r="A186" s="32" t="str">
        <f aca="false">IF(项目档案!$A186="","",项目档案!$A186)</f>
        <v/>
      </c>
      <c r="B186" s="40" t="str">
        <f aca="false">IF($A186="","",项目档案!$B186)</f>
        <v/>
      </c>
      <c r="C186" s="41" t="str">
        <f aca="false">IF($A186="","",SUMIFS(业务流水!$H$5:$H$1504,业务流水!$E$5:$E$1504,"*",业务流水!$D$5:$D$1504,"销项开票",业务流水!$C$5:$C$1504,$A186,业务流水!$Z$5:$Z$1504,"是"))</f>
        <v/>
      </c>
      <c r="D186" s="41" t="str">
        <f aca="false">IF($A186="","",SUMIFS(业务流水!$O$5:$O$1504,业务流水!$E$5:$E$1504,"*",业务流水!$D$5:$D$1504,"销项开票",业务流水!$C$5:$C$1504,$A186,业务流水!$Z$5:$Z$1504,"是"))</f>
        <v/>
      </c>
      <c r="E186" s="41" t="str">
        <f aca="false">IF($A186="","",SUMIFS(业务流水!$P$5:$P$1504,业务流水!$E$5:$E$1504,"*",业务流水!$D$5:$D$1504,"销项开票",业务流水!$C$5:$C$1504,$A186,业务流水!$Z$5:$Z$1504,"是"))</f>
        <v/>
      </c>
      <c r="F186" s="41" t="str">
        <f aca="false">IF($A186="","",SUMIFS(业务流水!$H$5:$H$1504,业务流水!$F$5:$F$1504,"*",业务流水!$D$5:$D$1504,"成本票",业务流水!$C$5:$C$1504,$A186,业务流水!$Z$5:$Z$1504,"是")+SUMIFS(业务流水!$H$5:$H$1504,业务流水!$F$5:$F$1504,"*",业务流水!$D$5:$D$1504,"销项开票",业务流水!$C$5:$C$1504,$A186,业务流水!$Z$5:$Z$1504,"是"))</f>
        <v/>
      </c>
      <c r="G186" s="42" t="str">
        <f aca="false">IF($A186="","",$E186-$F186)</f>
        <v/>
      </c>
      <c r="H186" s="41" t="str">
        <f aca="false">IF($A186="","",SUMIFS(业务流水!$W$5:$W$1504,业务流水!$E$5:$E$1504,"*",业务流水!$D$5:$D$1504,"销项开票",业务流水!$C$5:$C$1504,$A186,业务流水!$Z$5:$Z$1504,"是"))</f>
        <v/>
      </c>
      <c r="I186" s="41" t="str">
        <f aca="false">IF($A186="","",SUMIFS(业务流水!$H$5:$H$1504,业务流水!$E$5:$E$1504,"*",业务流水!$D$5:$D$1504,"已交税",业务流水!$C$5:$C$1504,$A186,业务流水!$Z$5:$Z$1504,"是"))</f>
        <v/>
      </c>
      <c r="J186" s="42" t="str">
        <f aca="false">IF($A186="","",$H186-$I186)</f>
        <v/>
      </c>
      <c r="K186" s="41" t="str">
        <f aca="false">IF($A186="","",SUMIFS(业务流水!$H$5:$H$1504,业务流水!$F$5:$F$1504,"*",业务流水!$D$5:$D$1504,"挂靠代收",业务流水!$C$5:$C$1504,$A186,业务流水!$Z$5:$Z$1504,"是"))</f>
        <v/>
      </c>
      <c r="L186" s="42" t="str">
        <f aca="false">IF($A186="","",$C186-$K186)</f>
        <v/>
      </c>
      <c r="M186" s="41" t="str">
        <f aca="false">IF($A186="","",SUMIFS(业务流水!$H$5:$H$1504,业务流水!$E$5:$E$1504,"*",业务流水!$D$5:$D$1504,"我方收款",业务流水!$C$5:$C$1504,$A186,业务流水!$Z$5:$Z$1504,"是"))</f>
        <v/>
      </c>
      <c r="N186" s="43" t="str">
        <f aca="false">IF($A186="","",$K186-$M186)</f>
        <v/>
      </c>
      <c r="O186" s="41" t="str">
        <f aca="false">IF($A186="","",SUMIFS(业务流水!$H$5:$H$1504,业务流水!$F$5:$F$1504,"*",业务流水!$D$5:$D$1504,"管理费结算",业务流水!$C$5:$C$1504,$A186,业务流水!$Z$5:$Z$1504,"是"))</f>
        <v/>
      </c>
      <c r="P186" s="41" t="str">
        <f aca="false">IF($A186="","",SUMIFS(业务流水!$H$5:$H$1504,业务流水!$E$5:$E$1504,"*",业务流水!$D$5:$D$1504,"扣质保金",业务流水!$C$5:$C$1504,$A186,业务流水!$Z$5:$Z$1504,"是"))</f>
        <v/>
      </c>
    </row>
    <row r="187" customFormat="false" ht="15.75" hidden="false" customHeight="true" outlineLevel="0" collapsed="false">
      <c r="A187" s="32" t="str">
        <f aca="false">IF(项目档案!$A187="","",项目档案!$A187)</f>
        <v/>
      </c>
      <c r="B187" s="40" t="str">
        <f aca="false">IF($A187="","",项目档案!$B187)</f>
        <v/>
      </c>
      <c r="C187" s="41" t="str">
        <f aca="false">IF($A187="","",SUMIFS(业务流水!$H$5:$H$1504,业务流水!$E$5:$E$1504,"*",业务流水!$D$5:$D$1504,"销项开票",业务流水!$C$5:$C$1504,$A187,业务流水!$Z$5:$Z$1504,"是"))</f>
        <v/>
      </c>
      <c r="D187" s="41" t="str">
        <f aca="false">IF($A187="","",SUMIFS(业务流水!$O$5:$O$1504,业务流水!$E$5:$E$1504,"*",业务流水!$D$5:$D$1504,"销项开票",业务流水!$C$5:$C$1504,$A187,业务流水!$Z$5:$Z$1504,"是"))</f>
        <v/>
      </c>
      <c r="E187" s="41" t="str">
        <f aca="false">IF($A187="","",SUMIFS(业务流水!$P$5:$P$1504,业务流水!$E$5:$E$1504,"*",业务流水!$D$5:$D$1504,"销项开票",业务流水!$C$5:$C$1504,$A187,业务流水!$Z$5:$Z$1504,"是"))</f>
        <v/>
      </c>
      <c r="F187" s="41" t="str">
        <f aca="false">IF($A187="","",SUMIFS(业务流水!$H$5:$H$1504,业务流水!$F$5:$F$1504,"*",业务流水!$D$5:$D$1504,"成本票",业务流水!$C$5:$C$1504,$A187,业务流水!$Z$5:$Z$1504,"是")+SUMIFS(业务流水!$H$5:$H$1504,业务流水!$F$5:$F$1504,"*",业务流水!$D$5:$D$1504,"销项开票",业务流水!$C$5:$C$1504,$A187,业务流水!$Z$5:$Z$1504,"是"))</f>
        <v/>
      </c>
      <c r="G187" s="42" t="str">
        <f aca="false">IF($A187="","",$E187-$F187)</f>
        <v/>
      </c>
      <c r="H187" s="41" t="str">
        <f aca="false">IF($A187="","",SUMIFS(业务流水!$W$5:$W$1504,业务流水!$E$5:$E$1504,"*",业务流水!$D$5:$D$1504,"销项开票",业务流水!$C$5:$C$1504,$A187,业务流水!$Z$5:$Z$1504,"是"))</f>
        <v/>
      </c>
      <c r="I187" s="41" t="str">
        <f aca="false">IF($A187="","",SUMIFS(业务流水!$H$5:$H$1504,业务流水!$E$5:$E$1504,"*",业务流水!$D$5:$D$1504,"已交税",业务流水!$C$5:$C$1504,$A187,业务流水!$Z$5:$Z$1504,"是"))</f>
        <v/>
      </c>
      <c r="J187" s="42" t="str">
        <f aca="false">IF($A187="","",$H187-$I187)</f>
        <v/>
      </c>
      <c r="K187" s="41" t="str">
        <f aca="false">IF($A187="","",SUMIFS(业务流水!$H$5:$H$1504,业务流水!$F$5:$F$1504,"*",业务流水!$D$5:$D$1504,"挂靠代收",业务流水!$C$5:$C$1504,$A187,业务流水!$Z$5:$Z$1504,"是"))</f>
        <v/>
      </c>
      <c r="L187" s="42" t="str">
        <f aca="false">IF($A187="","",$C187-$K187)</f>
        <v/>
      </c>
      <c r="M187" s="41" t="str">
        <f aca="false">IF($A187="","",SUMIFS(业务流水!$H$5:$H$1504,业务流水!$E$5:$E$1504,"*",业务流水!$D$5:$D$1504,"我方收款",业务流水!$C$5:$C$1504,$A187,业务流水!$Z$5:$Z$1504,"是"))</f>
        <v/>
      </c>
      <c r="N187" s="43" t="str">
        <f aca="false">IF($A187="","",$K187-$M187)</f>
        <v/>
      </c>
      <c r="O187" s="41" t="str">
        <f aca="false">IF($A187="","",SUMIFS(业务流水!$H$5:$H$1504,业务流水!$F$5:$F$1504,"*",业务流水!$D$5:$D$1504,"管理费结算",业务流水!$C$5:$C$1504,$A187,业务流水!$Z$5:$Z$1504,"是"))</f>
        <v/>
      </c>
      <c r="P187" s="41" t="str">
        <f aca="false">IF($A187="","",SUMIFS(业务流水!$H$5:$H$1504,业务流水!$E$5:$E$1504,"*",业务流水!$D$5:$D$1504,"扣质保金",业务流水!$C$5:$C$1504,$A187,业务流水!$Z$5:$Z$1504,"是"))</f>
        <v/>
      </c>
    </row>
    <row r="188" customFormat="false" ht="15.75" hidden="false" customHeight="true" outlineLevel="0" collapsed="false">
      <c r="A188" s="32" t="str">
        <f aca="false">IF(项目档案!$A188="","",项目档案!$A188)</f>
        <v/>
      </c>
      <c r="B188" s="40" t="str">
        <f aca="false">IF($A188="","",项目档案!$B188)</f>
        <v/>
      </c>
      <c r="C188" s="41" t="str">
        <f aca="false">IF($A188="","",SUMIFS(业务流水!$H$5:$H$1504,业务流水!$E$5:$E$1504,"*",业务流水!$D$5:$D$1504,"销项开票",业务流水!$C$5:$C$1504,$A188,业务流水!$Z$5:$Z$1504,"是"))</f>
        <v/>
      </c>
      <c r="D188" s="41" t="str">
        <f aca="false">IF($A188="","",SUMIFS(业务流水!$O$5:$O$1504,业务流水!$E$5:$E$1504,"*",业务流水!$D$5:$D$1504,"销项开票",业务流水!$C$5:$C$1504,$A188,业务流水!$Z$5:$Z$1504,"是"))</f>
        <v/>
      </c>
      <c r="E188" s="41" t="str">
        <f aca="false">IF($A188="","",SUMIFS(业务流水!$P$5:$P$1504,业务流水!$E$5:$E$1504,"*",业务流水!$D$5:$D$1504,"销项开票",业务流水!$C$5:$C$1504,$A188,业务流水!$Z$5:$Z$1504,"是"))</f>
        <v/>
      </c>
      <c r="F188" s="41" t="str">
        <f aca="false">IF($A188="","",SUMIFS(业务流水!$H$5:$H$1504,业务流水!$F$5:$F$1504,"*",业务流水!$D$5:$D$1504,"成本票",业务流水!$C$5:$C$1504,$A188,业务流水!$Z$5:$Z$1504,"是")+SUMIFS(业务流水!$H$5:$H$1504,业务流水!$F$5:$F$1504,"*",业务流水!$D$5:$D$1504,"销项开票",业务流水!$C$5:$C$1504,$A188,业务流水!$Z$5:$Z$1504,"是"))</f>
        <v/>
      </c>
      <c r="G188" s="42" t="str">
        <f aca="false">IF($A188="","",$E188-$F188)</f>
        <v/>
      </c>
      <c r="H188" s="41" t="str">
        <f aca="false">IF($A188="","",SUMIFS(业务流水!$W$5:$W$1504,业务流水!$E$5:$E$1504,"*",业务流水!$D$5:$D$1504,"销项开票",业务流水!$C$5:$C$1504,$A188,业务流水!$Z$5:$Z$1504,"是"))</f>
        <v/>
      </c>
      <c r="I188" s="41" t="str">
        <f aca="false">IF($A188="","",SUMIFS(业务流水!$H$5:$H$1504,业务流水!$E$5:$E$1504,"*",业务流水!$D$5:$D$1504,"已交税",业务流水!$C$5:$C$1504,$A188,业务流水!$Z$5:$Z$1504,"是"))</f>
        <v/>
      </c>
      <c r="J188" s="42" t="str">
        <f aca="false">IF($A188="","",$H188-$I188)</f>
        <v/>
      </c>
      <c r="K188" s="41" t="str">
        <f aca="false">IF($A188="","",SUMIFS(业务流水!$H$5:$H$1504,业务流水!$F$5:$F$1504,"*",业务流水!$D$5:$D$1504,"挂靠代收",业务流水!$C$5:$C$1504,$A188,业务流水!$Z$5:$Z$1504,"是"))</f>
        <v/>
      </c>
      <c r="L188" s="42" t="str">
        <f aca="false">IF($A188="","",$C188-$K188)</f>
        <v/>
      </c>
      <c r="M188" s="41" t="str">
        <f aca="false">IF($A188="","",SUMIFS(业务流水!$H$5:$H$1504,业务流水!$E$5:$E$1504,"*",业务流水!$D$5:$D$1504,"我方收款",业务流水!$C$5:$C$1504,$A188,业务流水!$Z$5:$Z$1504,"是"))</f>
        <v/>
      </c>
      <c r="N188" s="43" t="str">
        <f aca="false">IF($A188="","",$K188-$M188)</f>
        <v/>
      </c>
      <c r="O188" s="41" t="str">
        <f aca="false">IF($A188="","",SUMIFS(业务流水!$H$5:$H$1504,业务流水!$F$5:$F$1504,"*",业务流水!$D$5:$D$1504,"管理费结算",业务流水!$C$5:$C$1504,$A188,业务流水!$Z$5:$Z$1504,"是"))</f>
        <v/>
      </c>
      <c r="P188" s="41" t="str">
        <f aca="false">IF($A188="","",SUMIFS(业务流水!$H$5:$H$1504,业务流水!$E$5:$E$1504,"*",业务流水!$D$5:$D$1504,"扣质保金",业务流水!$C$5:$C$1504,$A188,业务流水!$Z$5:$Z$1504,"是"))</f>
        <v/>
      </c>
    </row>
    <row r="189" customFormat="false" ht="15.75" hidden="false" customHeight="true" outlineLevel="0" collapsed="false">
      <c r="A189" s="32" t="str">
        <f aca="false">IF(项目档案!$A189="","",项目档案!$A189)</f>
        <v/>
      </c>
      <c r="B189" s="40" t="str">
        <f aca="false">IF($A189="","",项目档案!$B189)</f>
        <v/>
      </c>
      <c r="C189" s="41" t="str">
        <f aca="false">IF($A189="","",SUMIFS(业务流水!$H$5:$H$1504,业务流水!$E$5:$E$1504,"*",业务流水!$D$5:$D$1504,"销项开票",业务流水!$C$5:$C$1504,$A189,业务流水!$Z$5:$Z$1504,"是"))</f>
        <v/>
      </c>
      <c r="D189" s="41" t="str">
        <f aca="false">IF($A189="","",SUMIFS(业务流水!$O$5:$O$1504,业务流水!$E$5:$E$1504,"*",业务流水!$D$5:$D$1504,"销项开票",业务流水!$C$5:$C$1504,$A189,业务流水!$Z$5:$Z$1504,"是"))</f>
        <v/>
      </c>
      <c r="E189" s="41" t="str">
        <f aca="false">IF($A189="","",SUMIFS(业务流水!$P$5:$P$1504,业务流水!$E$5:$E$1504,"*",业务流水!$D$5:$D$1504,"销项开票",业务流水!$C$5:$C$1504,$A189,业务流水!$Z$5:$Z$1504,"是"))</f>
        <v/>
      </c>
      <c r="F189" s="41" t="str">
        <f aca="false">IF($A189="","",SUMIFS(业务流水!$H$5:$H$1504,业务流水!$F$5:$F$1504,"*",业务流水!$D$5:$D$1504,"成本票",业务流水!$C$5:$C$1504,$A189,业务流水!$Z$5:$Z$1504,"是")+SUMIFS(业务流水!$H$5:$H$1504,业务流水!$F$5:$F$1504,"*",业务流水!$D$5:$D$1504,"销项开票",业务流水!$C$5:$C$1504,$A189,业务流水!$Z$5:$Z$1504,"是"))</f>
        <v/>
      </c>
      <c r="G189" s="42" t="str">
        <f aca="false">IF($A189="","",$E189-$F189)</f>
        <v/>
      </c>
      <c r="H189" s="41" t="str">
        <f aca="false">IF($A189="","",SUMIFS(业务流水!$W$5:$W$1504,业务流水!$E$5:$E$1504,"*",业务流水!$D$5:$D$1504,"销项开票",业务流水!$C$5:$C$1504,$A189,业务流水!$Z$5:$Z$1504,"是"))</f>
        <v/>
      </c>
      <c r="I189" s="41" t="str">
        <f aca="false">IF($A189="","",SUMIFS(业务流水!$H$5:$H$1504,业务流水!$E$5:$E$1504,"*",业务流水!$D$5:$D$1504,"已交税",业务流水!$C$5:$C$1504,$A189,业务流水!$Z$5:$Z$1504,"是"))</f>
        <v/>
      </c>
      <c r="J189" s="42" t="str">
        <f aca="false">IF($A189="","",$H189-$I189)</f>
        <v/>
      </c>
      <c r="K189" s="41" t="str">
        <f aca="false">IF($A189="","",SUMIFS(业务流水!$H$5:$H$1504,业务流水!$F$5:$F$1504,"*",业务流水!$D$5:$D$1504,"挂靠代收",业务流水!$C$5:$C$1504,$A189,业务流水!$Z$5:$Z$1504,"是"))</f>
        <v/>
      </c>
      <c r="L189" s="42" t="str">
        <f aca="false">IF($A189="","",$C189-$K189)</f>
        <v/>
      </c>
      <c r="M189" s="41" t="str">
        <f aca="false">IF($A189="","",SUMIFS(业务流水!$H$5:$H$1504,业务流水!$E$5:$E$1504,"*",业务流水!$D$5:$D$1504,"我方收款",业务流水!$C$5:$C$1504,$A189,业务流水!$Z$5:$Z$1504,"是"))</f>
        <v/>
      </c>
      <c r="N189" s="43" t="str">
        <f aca="false">IF($A189="","",$K189-$M189)</f>
        <v/>
      </c>
      <c r="O189" s="41" t="str">
        <f aca="false">IF($A189="","",SUMIFS(业务流水!$H$5:$H$1504,业务流水!$F$5:$F$1504,"*",业务流水!$D$5:$D$1504,"管理费结算",业务流水!$C$5:$C$1504,$A189,业务流水!$Z$5:$Z$1504,"是"))</f>
        <v/>
      </c>
      <c r="P189" s="41" t="str">
        <f aca="false">IF($A189="","",SUMIFS(业务流水!$H$5:$H$1504,业务流水!$E$5:$E$1504,"*",业务流水!$D$5:$D$1504,"扣质保金",业务流水!$C$5:$C$1504,$A189,业务流水!$Z$5:$Z$1504,"是"))</f>
        <v/>
      </c>
    </row>
    <row r="190" customFormat="false" ht="15.75" hidden="false" customHeight="true" outlineLevel="0" collapsed="false">
      <c r="A190" s="32" t="str">
        <f aca="false">IF(项目档案!$A190="","",项目档案!$A190)</f>
        <v/>
      </c>
      <c r="B190" s="40" t="str">
        <f aca="false">IF($A190="","",项目档案!$B190)</f>
        <v/>
      </c>
      <c r="C190" s="41" t="str">
        <f aca="false">IF($A190="","",SUMIFS(业务流水!$H$5:$H$1504,业务流水!$E$5:$E$1504,"*",业务流水!$D$5:$D$1504,"销项开票",业务流水!$C$5:$C$1504,$A190,业务流水!$Z$5:$Z$1504,"是"))</f>
        <v/>
      </c>
      <c r="D190" s="41" t="str">
        <f aca="false">IF($A190="","",SUMIFS(业务流水!$O$5:$O$1504,业务流水!$E$5:$E$1504,"*",业务流水!$D$5:$D$1504,"销项开票",业务流水!$C$5:$C$1504,$A190,业务流水!$Z$5:$Z$1504,"是"))</f>
        <v/>
      </c>
      <c r="E190" s="41" t="str">
        <f aca="false">IF($A190="","",SUMIFS(业务流水!$P$5:$P$1504,业务流水!$E$5:$E$1504,"*",业务流水!$D$5:$D$1504,"销项开票",业务流水!$C$5:$C$1504,$A190,业务流水!$Z$5:$Z$1504,"是"))</f>
        <v/>
      </c>
      <c r="F190" s="41" t="str">
        <f aca="false">IF($A190="","",SUMIFS(业务流水!$H$5:$H$1504,业务流水!$F$5:$F$1504,"*",业务流水!$D$5:$D$1504,"成本票",业务流水!$C$5:$C$1504,$A190,业务流水!$Z$5:$Z$1504,"是")+SUMIFS(业务流水!$H$5:$H$1504,业务流水!$F$5:$F$1504,"*",业务流水!$D$5:$D$1504,"销项开票",业务流水!$C$5:$C$1504,$A190,业务流水!$Z$5:$Z$1504,"是"))</f>
        <v/>
      </c>
      <c r="G190" s="42" t="str">
        <f aca="false">IF($A190="","",$E190-$F190)</f>
        <v/>
      </c>
      <c r="H190" s="41" t="str">
        <f aca="false">IF($A190="","",SUMIFS(业务流水!$W$5:$W$1504,业务流水!$E$5:$E$1504,"*",业务流水!$D$5:$D$1504,"销项开票",业务流水!$C$5:$C$1504,$A190,业务流水!$Z$5:$Z$1504,"是"))</f>
        <v/>
      </c>
      <c r="I190" s="41" t="str">
        <f aca="false">IF($A190="","",SUMIFS(业务流水!$H$5:$H$1504,业务流水!$E$5:$E$1504,"*",业务流水!$D$5:$D$1504,"已交税",业务流水!$C$5:$C$1504,$A190,业务流水!$Z$5:$Z$1504,"是"))</f>
        <v/>
      </c>
      <c r="J190" s="42" t="str">
        <f aca="false">IF($A190="","",$H190-$I190)</f>
        <v/>
      </c>
      <c r="K190" s="41" t="str">
        <f aca="false">IF($A190="","",SUMIFS(业务流水!$H$5:$H$1504,业务流水!$F$5:$F$1504,"*",业务流水!$D$5:$D$1504,"挂靠代收",业务流水!$C$5:$C$1504,$A190,业务流水!$Z$5:$Z$1504,"是"))</f>
        <v/>
      </c>
      <c r="L190" s="42" t="str">
        <f aca="false">IF($A190="","",$C190-$K190)</f>
        <v/>
      </c>
      <c r="M190" s="41" t="str">
        <f aca="false">IF($A190="","",SUMIFS(业务流水!$H$5:$H$1504,业务流水!$E$5:$E$1504,"*",业务流水!$D$5:$D$1504,"我方收款",业务流水!$C$5:$C$1504,$A190,业务流水!$Z$5:$Z$1504,"是"))</f>
        <v/>
      </c>
      <c r="N190" s="43" t="str">
        <f aca="false">IF($A190="","",$K190-$M190)</f>
        <v/>
      </c>
      <c r="O190" s="41" t="str">
        <f aca="false">IF($A190="","",SUMIFS(业务流水!$H$5:$H$1504,业务流水!$F$5:$F$1504,"*",业务流水!$D$5:$D$1504,"管理费结算",业务流水!$C$5:$C$1504,$A190,业务流水!$Z$5:$Z$1504,"是"))</f>
        <v/>
      </c>
      <c r="P190" s="41" t="str">
        <f aca="false">IF($A190="","",SUMIFS(业务流水!$H$5:$H$1504,业务流水!$E$5:$E$1504,"*",业务流水!$D$5:$D$1504,"扣质保金",业务流水!$C$5:$C$1504,$A190,业务流水!$Z$5:$Z$1504,"是"))</f>
        <v/>
      </c>
    </row>
    <row r="191" customFormat="false" ht="15.75" hidden="false" customHeight="true" outlineLevel="0" collapsed="false">
      <c r="A191" s="32" t="str">
        <f aca="false">IF(项目档案!$A191="","",项目档案!$A191)</f>
        <v/>
      </c>
      <c r="B191" s="40" t="str">
        <f aca="false">IF($A191="","",项目档案!$B191)</f>
        <v/>
      </c>
      <c r="C191" s="41" t="str">
        <f aca="false">IF($A191="","",SUMIFS(业务流水!$H$5:$H$1504,业务流水!$E$5:$E$1504,"*",业务流水!$D$5:$D$1504,"销项开票",业务流水!$C$5:$C$1504,$A191,业务流水!$Z$5:$Z$1504,"是"))</f>
        <v/>
      </c>
      <c r="D191" s="41" t="str">
        <f aca="false">IF($A191="","",SUMIFS(业务流水!$O$5:$O$1504,业务流水!$E$5:$E$1504,"*",业务流水!$D$5:$D$1504,"销项开票",业务流水!$C$5:$C$1504,$A191,业务流水!$Z$5:$Z$1504,"是"))</f>
        <v/>
      </c>
      <c r="E191" s="41" t="str">
        <f aca="false">IF($A191="","",SUMIFS(业务流水!$P$5:$P$1504,业务流水!$E$5:$E$1504,"*",业务流水!$D$5:$D$1504,"销项开票",业务流水!$C$5:$C$1504,$A191,业务流水!$Z$5:$Z$1504,"是"))</f>
        <v/>
      </c>
      <c r="F191" s="41" t="str">
        <f aca="false">IF($A191="","",SUMIFS(业务流水!$H$5:$H$1504,业务流水!$F$5:$F$1504,"*",业务流水!$D$5:$D$1504,"成本票",业务流水!$C$5:$C$1504,$A191,业务流水!$Z$5:$Z$1504,"是")+SUMIFS(业务流水!$H$5:$H$1504,业务流水!$F$5:$F$1504,"*",业务流水!$D$5:$D$1504,"销项开票",业务流水!$C$5:$C$1504,$A191,业务流水!$Z$5:$Z$1504,"是"))</f>
        <v/>
      </c>
      <c r="G191" s="42" t="str">
        <f aca="false">IF($A191="","",$E191-$F191)</f>
        <v/>
      </c>
      <c r="H191" s="41" t="str">
        <f aca="false">IF($A191="","",SUMIFS(业务流水!$W$5:$W$1504,业务流水!$E$5:$E$1504,"*",业务流水!$D$5:$D$1504,"销项开票",业务流水!$C$5:$C$1504,$A191,业务流水!$Z$5:$Z$1504,"是"))</f>
        <v/>
      </c>
      <c r="I191" s="41" t="str">
        <f aca="false">IF($A191="","",SUMIFS(业务流水!$H$5:$H$1504,业务流水!$E$5:$E$1504,"*",业务流水!$D$5:$D$1504,"已交税",业务流水!$C$5:$C$1504,$A191,业务流水!$Z$5:$Z$1504,"是"))</f>
        <v/>
      </c>
      <c r="J191" s="42" t="str">
        <f aca="false">IF($A191="","",$H191-$I191)</f>
        <v/>
      </c>
      <c r="K191" s="41" t="str">
        <f aca="false">IF($A191="","",SUMIFS(业务流水!$H$5:$H$1504,业务流水!$F$5:$F$1504,"*",业务流水!$D$5:$D$1504,"挂靠代收",业务流水!$C$5:$C$1504,$A191,业务流水!$Z$5:$Z$1504,"是"))</f>
        <v/>
      </c>
      <c r="L191" s="42" t="str">
        <f aca="false">IF($A191="","",$C191-$K191)</f>
        <v/>
      </c>
      <c r="M191" s="41" t="str">
        <f aca="false">IF($A191="","",SUMIFS(业务流水!$H$5:$H$1504,业务流水!$E$5:$E$1504,"*",业务流水!$D$5:$D$1504,"我方收款",业务流水!$C$5:$C$1504,$A191,业务流水!$Z$5:$Z$1504,"是"))</f>
        <v/>
      </c>
      <c r="N191" s="43" t="str">
        <f aca="false">IF($A191="","",$K191-$M191)</f>
        <v/>
      </c>
      <c r="O191" s="41" t="str">
        <f aca="false">IF($A191="","",SUMIFS(业务流水!$H$5:$H$1504,业务流水!$F$5:$F$1504,"*",业务流水!$D$5:$D$1504,"管理费结算",业务流水!$C$5:$C$1504,$A191,业务流水!$Z$5:$Z$1504,"是"))</f>
        <v/>
      </c>
      <c r="P191" s="41" t="str">
        <f aca="false">IF($A191="","",SUMIFS(业务流水!$H$5:$H$1504,业务流水!$E$5:$E$1504,"*",业务流水!$D$5:$D$1504,"扣质保金",业务流水!$C$5:$C$1504,$A191,业务流水!$Z$5:$Z$1504,"是"))</f>
        <v/>
      </c>
    </row>
    <row r="192" customFormat="false" ht="15.75" hidden="false" customHeight="true" outlineLevel="0" collapsed="false">
      <c r="A192" s="32" t="str">
        <f aca="false">IF(项目档案!$A192="","",项目档案!$A192)</f>
        <v/>
      </c>
      <c r="B192" s="40" t="str">
        <f aca="false">IF($A192="","",项目档案!$B192)</f>
        <v/>
      </c>
      <c r="C192" s="41" t="str">
        <f aca="false">IF($A192="","",SUMIFS(业务流水!$H$5:$H$1504,业务流水!$E$5:$E$1504,"*",业务流水!$D$5:$D$1504,"销项开票",业务流水!$C$5:$C$1504,$A192,业务流水!$Z$5:$Z$1504,"是"))</f>
        <v/>
      </c>
      <c r="D192" s="41" t="str">
        <f aca="false">IF($A192="","",SUMIFS(业务流水!$O$5:$O$1504,业务流水!$E$5:$E$1504,"*",业务流水!$D$5:$D$1504,"销项开票",业务流水!$C$5:$C$1504,$A192,业务流水!$Z$5:$Z$1504,"是"))</f>
        <v/>
      </c>
      <c r="E192" s="41" t="str">
        <f aca="false">IF($A192="","",SUMIFS(业务流水!$P$5:$P$1504,业务流水!$E$5:$E$1504,"*",业务流水!$D$5:$D$1504,"销项开票",业务流水!$C$5:$C$1504,$A192,业务流水!$Z$5:$Z$1504,"是"))</f>
        <v/>
      </c>
      <c r="F192" s="41" t="str">
        <f aca="false">IF($A192="","",SUMIFS(业务流水!$H$5:$H$1504,业务流水!$F$5:$F$1504,"*",业务流水!$D$5:$D$1504,"成本票",业务流水!$C$5:$C$1504,$A192,业务流水!$Z$5:$Z$1504,"是")+SUMIFS(业务流水!$H$5:$H$1504,业务流水!$F$5:$F$1504,"*",业务流水!$D$5:$D$1504,"销项开票",业务流水!$C$5:$C$1504,$A192,业务流水!$Z$5:$Z$1504,"是"))</f>
        <v/>
      </c>
      <c r="G192" s="42" t="str">
        <f aca="false">IF($A192="","",$E192-$F192)</f>
        <v/>
      </c>
      <c r="H192" s="41" t="str">
        <f aca="false">IF($A192="","",SUMIFS(业务流水!$W$5:$W$1504,业务流水!$E$5:$E$1504,"*",业务流水!$D$5:$D$1504,"销项开票",业务流水!$C$5:$C$1504,$A192,业务流水!$Z$5:$Z$1504,"是"))</f>
        <v/>
      </c>
      <c r="I192" s="41" t="str">
        <f aca="false">IF($A192="","",SUMIFS(业务流水!$H$5:$H$1504,业务流水!$E$5:$E$1504,"*",业务流水!$D$5:$D$1504,"已交税",业务流水!$C$5:$C$1504,$A192,业务流水!$Z$5:$Z$1504,"是"))</f>
        <v/>
      </c>
      <c r="J192" s="42" t="str">
        <f aca="false">IF($A192="","",$H192-$I192)</f>
        <v/>
      </c>
      <c r="K192" s="41" t="str">
        <f aca="false">IF($A192="","",SUMIFS(业务流水!$H$5:$H$1504,业务流水!$F$5:$F$1504,"*",业务流水!$D$5:$D$1504,"挂靠代收",业务流水!$C$5:$C$1504,$A192,业务流水!$Z$5:$Z$1504,"是"))</f>
        <v/>
      </c>
      <c r="L192" s="42" t="str">
        <f aca="false">IF($A192="","",$C192-$K192)</f>
        <v/>
      </c>
      <c r="M192" s="41" t="str">
        <f aca="false">IF($A192="","",SUMIFS(业务流水!$H$5:$H$1504,业务流水!$E$5:$E$1504,"*",业务流水!$D$5:$D$1504,"我方收款",业务流水!$C$5:$C$1504,$A192,业务流水!$Z$5:$Z$1504,"是"))</f>
        <v/>
      </c>
      <c r="N192" s="43" t="str">
        <f aca="false">IF($A192="","",$K192-$M192)</f>
        <v/>
      </c>
      <c r="O192" s="41" t="str">
        <f aca="false">IF($A192="","",SUMIFS(业务流水!$H$5:$H$1504,业务流水!$F$5:$F$1504,"*",业务流水!$D$5:$D$1504,"管理费结算",业务流水!$C$5:$C$1504,$A192,业务流水!$Z$5:$Z$1504,"是"))</f>
        <v/>
      </c>
      <c r="P192" s="41" t="str">
        <f aca="false">IF($A192="","",SUMIFS(业务流水!$H$5:$H$1504,业务流水!$E$5:$E$1504,"*",业务流水!$D$5:$D$1504,"扣质保金",业务流水!$C$5:$C$1504,$A192,业务流水!$Z$5:$Z$1504,"是"))</f>
        <v/>
      </c>
    </row>
    <row r="193" customFormat="false" ht="15.75" hidden="false" customHeight="true" outlineLevel="0" collapsed="false">
      <c r="A193" s="32" t="str">
        <f aca="false">IF(项目档案!$A193="","",项目档案!$A193)</f>
        <v/>
      </c>
      <c r="B193" s="40" t="str">
        <f aca="false">IF($A193="","",项目档案!$B193)</f>
        <v/>
      </c>
      <c r="C193" s="41" t="str">
        <f aca="false">IF($A193="","",SUMIFS(业务流水!$H$5:$H$1504,业务流水!$E$5:$E$1504,"*",业务流水!$D$5:$D$1504,"销项开票",业务流水!$C$5:$C$1504,$A193,业务流水!$Z$5:$Z$1504,"是"))</f>
        <v/>
      </c>
      <c r="D193" s="41" t="str">
        <f aca="false">IF($A193="","",SUMIFS(业务流水!$O$5:$O$1504,业务流水!$E$5:$E$1504,"*",业务流水!$D$5:$D$1504,"销项开票",业务流水!$C$5:$C$1504,$A193,业务流水!$Z$5:$Z$1504,"是"))</f>
        <v/>
      </c>
      <c r="E193" s="41" t="str">
        <f aca="false">IF($A193="","",SUMIFS(业务流水!$P$5:$P$1504,业务流水!$E$5:$E$1504,"*",业务流水!$D$5:$D$1504,"销项开票",业务流水!$C$5:$C$1504,$A193,业务流水!$Z$5:$Z$1504,"是"))</f>
        <v/>
      </c>
      <c r="F193" s="41" t="str">
        <f aca="false">IF($A193="","",SUMIFS(业务流水!$H$5:$H$1504,业务流水!$F$5:$F$1504,"*",业务流水!$D$5:$D$1504,"成本票",业务流水!$C$5:$C$1504,$A193,业务流水!$Z$5:$Z$1504,"是")+SUMIFS(业务流水!$H$5:$H$1504,业务流水!$F$5:$F$1504,"*",业务流水!$D$5:$D$1504,"销项开票",业务流水!$C$5:$C$1504,$A193,业务流水!$Z$5:$Z$1504,"是"))</f>
        <v/>
      </c>
      <c r="G193" s="42" t="str">
        <f aca="false">IF($A193="","",$E193-$F193)</f>
        <v/>
      </c>
      <c r="H193" s="41" t="str">
        <f aca="false">IF($A193="","",SUMIFS(业务流水!$W$5:$W$1504,业务流水!$E$5:$E$1504,"*",业务流水!$D$5:$D$1504,"销项开票",业务流水!$C$5:$C$1504,$A193,业务流水!$Z$5:$Z$1504,"是"))</f>
        <v/>
      </c>
      <c r="I193" s="41" t="str">
        <f aca="false">IF($A193="","",SUMIFS(业务流水!$H$5:$H$1504,业务流水!$E$5:$E$1504,"*",业务流水!$D$5:$D$1504,"已交税",业务流水!$C$5:$C$1504,$A193,业务流水!$Z$5:$Z$1504,"是"))</f>
        <v/>
      </c>
      <c r="J193" s="42" t="str">
        <f aca="false">IF($A193="","",$H193-$I193)</f>
        <v/>
      </c>
      <c r="K193" s="41" t="str">
        <f aca="false">IF($A193="","",SUMIFS(业务流水!$H$5:$H$1504,业务流水!$F$5:$F$1504,"*",业务流水!$D$5:$D$1504,"挂靠代收",业务流水!$C$5:$C$1504,$A193,业务流水!$Z$5:$Z$1504,"是"))</f>
        <v/>
      </c>
      <c r="L193" s="42" t="str">
        <f aca="false">IF($A193="","",$C193-$K193)</f>
        <v/>
      </c>
      <c r="M193" s="41" t="str">
        <f aca="false">IF($A193="","",SUMIFS(业务流水!$H$5:$H$1504,业务流水!$E$5:$E$1504,"*",业务流水!$D$5:$D$1504,"我方收款",业务流水!$C$5:$C$1504,$A193,业务流水!$Z$5:$Z$1504,"是"))</f>
        <v/>
      </c>
      <c r="N193" s="43" t="str">
        <f aca="false">IF($A193="","",$K193-$M193)</f>
        <v/>
      </c>
      <c r="O193" s="41" t="str">
        <f aca="false">IF($A193="","",SUMIFS(业务流水!$H$5:$H$1504,业务流水!$F$5:$F$1504,"*",业务流水!$D$5:$D$1504,"管理费结算",业务流水!$C$5:$C$1504,$A193,业务流水!$Z$5:$Z$1504,"是"))</f>
        <v/>
      </c>
      <c r="P193" s="41" t="str">
        <f aca="false">IF($A193="","",SUMIFS(业务流水!$H$5:$H$1504,业务流水!$E$5:$E$1504,"*",业务流水!$D$5:$D$1504,"扣质保金",业务流水!$C$5:$C$1504,$A193,业务流水!$Z$5:$Z$1504,"是"))</f>
        <v/>
      </c>
    </row>
    <row r="194" customFormat="false" ht="15.75" hidden="false" customHeight="true" outlineLevel="0" collapsed="false">
      <c r="A194" s="32" t="str">
        <f aca="false">IF(项目档案!$A194="","",项目档案!$A194)</f>
        <v/>
      </c>
      <c r="B194" s="40" t="str">
        <f aca="false">IF($A194="","",项目档案!$B194)</f>
        <v/>
      </c>
      <c r="C194" s="41" t="str">
        <f aca="false">IF($A194="","",SUMIFS(业务流水!$H$5:$H$1504,业务流水!$E$5:$E$1504,"*",业务流水!$D$5:$D$1504,"销项开票",业务流水!$C$5:$C$1504,$A194,业务流水!$Z$5:$Z$1504,"是"))</f>
        <v/>
      </c>
      <c r="D194" s="41" t="str">
        <f aca="false">IF($A194="","",SUMIFS(业务流水!$O$5:$O$1504,业务流水!$E$5:$E$1504,"*",业务流水!$D$5:$D$1504,"销项开票",业务流水!$C$5:$C$1504,$A194,业务流水!$Z$5:$Z$1504,"是"))</f>
        <v/>
      </c>
      <c r="E194" s="41" t="str">
        <f aca="false">IF($A194="","",SUMIFS(业务流水!$P$5:$P$1504,业务流水!$E$5:$E$1504,"*",业务流水!$D$5:$D$1504,"销项开票",业务流水!$C$5:$C$1504,$A194,业务流水!$Z$5:$Z$1504,"是"))</f>
        <v/>
      </c>
      <c r="F194" s="41" t="str">
        <f aca="false">IF($A194="","",SUMIFS(业务流水!$H$5:$H$1504,业务流水!$F$5:$F$1504,"*",业务流水!$D$5:$D$1504,"成本票",业务流水!$C$5:$C$1504,$A194,业务流水!$Z$5:$Z$1504,"是")+SUMIFS(业务流水!$H$5:$H$1504,业务流水!$F$5:$F$1504,"*",业务流水!$D$5:$D$1504,"销项开票",业务流水!$C$5:$C$1504,$A194,业务流水!$Z$5:$Z$1504,"是"))</f>
        <v/>
      </c>
      <c r="G194" s="42" t="str">
        <f aca="false">IF($A194="","",$E194-$F194)</f>
        <v/>
      </c>
      <c r="H194" s="41" t="str">
        <f aca="false">IF($A194="","",SUMIFS(业务流水!$W$5:$W$1504,业务流水!$E$5:$E$1504,"*",业务流水!$D$5:$D$1504,"销项开票",业务流水!$C$5:$C$1504,$A194,业务流水!$Z$5:$Z$1504,"是"))</f>
        <v/>
      </c>
      <c r="I194" s="41" t="str">
        <f aca="false">IF($A194="","",SUMIFS(业务流水!$H$5:$H$1504,业务流水!$E$5:$E$1504,"*",业务流水!$D$5:$D$1504,"已交税",业务流水!$C$5:$C$1504,$A194,业务流水!$Z$5:$Z$1504,"是"))</f>
        <v/>
      </c>
      <c r="J194" s="42" t="str">
        <f aca="false">IF($A194="","",$H194-$I194)</f>
        <v/>
      </c>
      <c r="K194" s="41" t="str">
        <f aca="false">IF($A194="","",SUMIFS(业务流水!$H$5:$H$1504,业务流水!$F$5:$F$1504,"*",业务流水!$D$5:$D$1504,"挂靠代收",业务流水!$C$5:$C$1504,$A194,业务流水!$Z$5:$Z$1504,"是"))</f>
        <v/>
      </c>
      <c r="L194" s="42" t="str">
        <f aca="false">IF($A194="","",$C194-$K194)</f>
        <v/>
      </c>
      <c r="M194" s="41" t="str">
        <f aca="false">IF($A194="","",SUMIFS(业务流水!$H$5:$H$1504,业务流水!$E$5:$E$1504,"*",业务流水!$D$5:$D$1504,"我方收款",业务流水!$C$5:$C$1504,$A194,业务流水!$Z$5:$Z$1504,"是"))</f>
        <v/>
      </c>
      <c r="N194" s="43" t="str">
        <f aca="false">IF($A194="","",$K194-$M194)</f>
        <v/>
      </c>
      <c r="O194" s="41" t="str">
        <f aca="false">IF($A194="","",SUMIFS(业务流水!$H$5:$H$1504,业务流水!$F$5:$F$1504,"*",业务流水!$D$5:$D$1504,"管理费结算",业务流水!$C$5:$C$1504,$A194,业务流水!$Z$5:$Z$1504,"是"))</f>
        <v/>
      </c>
      <c r="P194" s="41" t="str">
        <f aca="false">IF($A194="","",SUMIFS(业务流水!$H$5:$H$1504,业务流水!$E$5:$E$1504,"*",业务流水!$D$5:$D$1504,"扣质保金",业务流水!$C$5:$C$1504,$A194,业务流水!$Z$5:$Z$1504,"是"))</f>
        <v/>
      </c>
    </row>
    <row r="195" customFormat="false" ht="15.75" hidden="false" customHeight="true" outlineLevel="0" collapsed="false">
      <c r="A195" s="32" t="str">
        <f aca="false">IF(项目档案!$A195="","",项目档案!$A195)</f>
        <v/>
      </c>
      <c r="B195" s="40" t="str">
        <f aca="false">IF($A195="","",项目档案!$B195)</f>
        <v/>
      </c>
      <c r="C195" s="41" t="str">
        <f aca="false">IF($A195="","",SUMIFS(业务流水!$H$5:$H$1504,业务流水!$E$5:$E$1504,"*",业务流水!$D$5:$D$1504,"销项开票",业务流水!$C$5:$C$1504,$A195,业务流水!$Z$5:$Z$1504,"是"))</f>
        <v/>
      </c>
      <c r="D195" s="41" t="str">
        <f aca="false">IF($A195="","",SUMIFS(业务流水!$O$5:$O$1504,业务流水!$E$5:$E$1504,"*",业务流水!$D$5:$D$1504,"销项开票",业务流水!$C$5:$C$1504,$A195,业务流水!$Z$5:$Z$1504,"是"))</f>
        <v/>
      </c>
      <c r="E195" s="41" t="str">
        <f aca="false">IF($A195="","",SUMIFS(业务流水!$P$5:$P$1504,业务流水!$E$5:$E$1504,"*",业务流水!$D$5:$D$1504,"销项开票",业务流水!$C$5:$C$1504,$A195,业务流水!$Z$5:$Z$1504,"是"))</f>
        <v/>
      </c>
      <c r="F195" s="41" t="str">
        <f aca="false">IF($A195="","",SUMIFS(业务流水!$H$5:$H$1504,业务流水!$F$5:$F$1504,"*",业务流水!$D$5:$D$1504,"成本票",业务流水!$C$5:$C$1504,$A195,业务流水!$Z$5:$Z$1504,"是")+SUMIFS(业务流水!$H$5:$H$1504,业务流水!$F$5:$F$1504,"*",业务流水!$D$5:$D$1504,"销项开票",业务流水!$C$5:$C$1504,$A195,业务流水!$Z$5:$Z$1504,"是"))</f>
        <v/>
      </c>
      <c r="G195" s="42" t="str">
        <f aca="false">IF($A195="","",$E195-$F195)</f>
        <v/>
      </c>
      <c r="H195" s="41" t="str">
        <f aca="false">IF($A195="","",SUMIFS(业务流水!$W$5:$W$1504,业务流水!$E$5:$E$1504,"*",业务流水!$D$5:$D$1504,"销项开票",业务流水!$C$5:$C$1504,$A195,业务流水!$Z$5:$Z$1504,"是"))</f>
        <v/>
      </c>
      <c r="I195" s="41" t="str">
        <f aca="false">IF($A195="","",SUMIFS(业务流水!$H$5:$H$1504,业务流水!$E$5:$E$1504,"*",业务流水!$D$5:$D$1504,"已交税",业务流水!$C$5:$C$1504,$A195,业务流水!$Z$5:$Z$1504,"是"))</f>
        <v/>
      </c>
      <c r="J195" s="42" t="str">
        <f aca="false">IF($A195="","",$H195-$I195)</f>
        <v/>
      </c>
      <c r="K195" s="41" t="str">
        <f aca="false">IF($A195="","",SUMIFS(业务流水!$H$5:$H$1504,业务流水!$F$5:$F$1504,"*",业务流水!$D$5:$D$1504,"挂靠代收",业务流水!$C$5:$C$1504,$A195,业务流水!$Z$5:$Z$1504,"是"))</f>
        <v/>
      </c>
      <c r="L195" s="42" t="str">
        <f aca="false">IF($A195="","",$C195-$K195)</f>
        <v/>
      </c>
      <c r="M195" s="41" t="str">
        <f aca="false">IF($A195="","",SUMIFS(业务流水!$H$5:$H$1504,业务流水!$E$5:$E$1504,"*",业务流水!$D$5:$D$1504,"我方收款",业务流水!$C$5:$C$1504,$A195,业务流水!$Z$5:$Z$1504,"是"))</f>
        <v/>
      </c>
      <c r="N195" s="43" t="str">
        <f aca="false">IF($A195="","",$K195-$M195)</f>
        <v/>
      </c>
      <c r="O195" s="41" t="str">
        <f aca="false">IF($A195="","",SUMIFS(业务流水!$H$5:$H$1504,业务流水!$F$5:$F$1504,"*",业务流水!$D$5:$D$1504,"管理费结算",业务流水!$C$5:$C$1504,$A195,业务流水!$Z$5:$Z$1504,"是"))</f>
        <v/>
      </c>
      <c r="P195" s="41" t="str">
        <f aca="false">IF($A195="","",SUMIFS(业务流水!$H$5:$H$1504,业务流水!$E$5:$E$1504,"*",业务流水!$D$5:$D$1504,"扣质保金",业务流水!$C$5:$C$1504,$A195,业务流水!$Z$5:$Z$1504,"是"))</f>
        <v/>
      </c>
    </row>
    <row r="196" customFormat="false" ht="15.75" hidden="false" customHeight="true" outlineLevel="0" collapsed="false">
      <c r="A196" s="32" t="str">
        <f aca="false">IF(项目档案!$A196="","",项目档案!$A196)</f>
        <v/>
      </c>
      <c r="B196" s="40" t="str">
        <f aca="false">IF($A196="","",项目档案!$B196)</f>
        <v/>
      </c>
      <c r="C196" s="41" t="str">
        <f aca="false">IF($A196="","",SUMIFS(业务流水!$H$5:$H$1504,业务流水!$E$5:$E$1504,"*",业务流水!$D$5:$D$1504,"销项开票",业务流水!$C$5:$C$1504,$A196,业务流水!$Z$5:$Z$1504,"是"))</f>
        <v/>
      </c>
      <c r="D196" s="41" t="str">
        <f aca="false">IF($A196="","",SUMIFS(业务流水!$O$5:$O$1504,业务流水!$E$5:$E$1504,"*",业务流水!$D$5:$D$1504,"销项开票",业务流水!$C$5:$C$1504,$A196,业务流水!$Z$5:$Z$1504,"是"))</f>
        <v/>
      </c>
      <c r="E196" s="41" t="str">
        <f aca="false">IF($A196="","",SUMIFS(业务流水!$P$5:$P$1504,业务流水!$E$5:$E$1504,"*",业务流水!$D$5:$D$1504,"销项开票",业务流水!$C$5:$C$1504,$A196,业务流水!$Z$5:$Z$1504,"是"))</f>
        <v/>
      </c>
      <c r="F196" s="41" t="str">
        <f aca="false">IF($A196="","",SUMIFS(业务流水!$H$5:$H$1504,业务流水!$F$5:$F$1504,"*",业务流水!$D$5:$D$1504,"成本票",业务流水!$C$5:$C$1504,$A196,业务流水!$Z$5:$Z$1504,"是")+SUMIFS(业务流水!$H$5:$H$1504,业务流水!$F$5:$F$1504,"*",业务流水!$D$5:$D$1504,"销项开票",业务流水!$C$5:$C$1504,$A196,业务流水!$Z$5:$Z$1504,"是"))</f>
        <v/>
      </c>
      <c r="G196" s="42" t="str">
        <f aca="false">IF($A196="","",$E196-$F196)</f>
        <v/>
      </c>
      <c r="H196" s="41" t="str">
        <f aca="false">IF($A196="","",SUMIFS(业务流水!$W$5:$W$1504,业务流水!$E$5:$E$1504,"*",业务流水!$D$5:$D$1504,"销项开票",业务流水!$C$5:$C$1504,$A196,业务流水!$Z$5:$Z$1504,"是"))</f>
        <v/>
      </c>
      <c r="I196" s="41" t="str">
        <f aca="false">IF($A196="","",SUMIFS(业务流水!$H$5:$H$1504,业务流水!$E$5:$E$1504,"*",业务流水!$D$5:$D$1504,"已交税",业务流水!$C$5:$C$1504,$A196,业务流水!$Z$5:$Z$1504,"是"))</f>
        <v/>
      </c>
      <c r="J196" s="42" t="str">
        <f aca="false">IF($A196="","",$H196-$I196)</f>
        <v/>
      </c>
      <c r="K196" s="41" t="str">
        <f aca="false">IF($A196="","",SUMIFS(业务流水!$H$5:$H$1504,业务流水!$F$5:$F$1504,"*",业务流水!$D$5:$D$1504,"挂靠代收",业务流水!$C$5:$C$1504,$A196,业务流水!$Z$5:$Z$1504,"是"))</f>
        <v/>
      </c>
      <c r="L196" s="42" t="str">
        <f aca="false">IF($A196="","",$C196-$K196)</f>
        <v/>
      </c>
      <c r="M196" s="41" t="str">
        <f aca="false">IF($A196="","",SUMIFS(业务流水!$H$5:$H$1504,业务流水!$E$5:$E$1504,"*",业务流水!$D$5:$D$1504,"我方收款",业务流水!$C$5:$C$1504,$A196,业务流水!$Z$5:$Z$1504,"是"))</f>
        <v/>
      </c>
      <c r="N196" s="43" t="str">
        <f aca="false">IF($A196="","",$K196-$M196)</f>
        <v/>
      </c>
      <c r="O196" s="41" t="str">
        <f aca="false">IF($A196="","",SUMIFS(业务流水!$H$5:$H$1504,业务流水!$F$5:$F$1504,"*",业务流水!$D$5:$D$1504,"管理费结算",业务流水!$C$5:$C$1504,$A196,业务流水!$Z$5:$Z$1504,"是"))</f>
        <v/>
      </c>
      <c r="P196" s="41" t="str">
        <f aca="false">IF($A196="","",SUMIFS(业务流水!$H$5:$H$1504,业务流水!$E$5:$E$1504,"*",业务流水!$D$5:$D$1504,"扣质保金",业务流水!$C$5:$C$1504,$A196,业务流水!$Z$5:$Z$1504,"是"))</f>
        <v/>
      </c>
    </row>
    <row r="197" customFormat="false" ht="15.75" hidden="false" customHeight="true" outlineLevel="0" collapsed="false">
      <c r="A197" s="32" t="str">
        <f aca="false">IF(项目档案!$A197="","",项目档案!$A197)</f>
        <v/>
      </c>
      <c r="B197" s="40" t="str">
        <f aca="false">IF($A197="","",项目档案!$B197)</f>
        <v/>
      </c>
      <c r="C197" s="41" t="str">
        <f aca="false">IF($A197="","",SUMIFS(业务流水!$H$5:$H$1504,业务流水!$E$5:$E$1504,"*",业务流水!$D$5:$D$1504,"销项开票",业务流水!$C$5:$C$1504,$A197,业务流水!$Z$5:$Z$1504,"是"))</f>
        <v/>
      </c>
      <c r="D197" s="41" t="str">
        <f aca="false">IF($A197="","",SUMIFS(业务流水!$O$5:$O$1504,业务流水!$E$5:$E$1504,"*",业务流水!$D$5:$D$1504,"销项开票",业务流水!$C$5:$C$1504,$A197,业务流水!$Z$5:$Z$1504,"是"))</f>
        <v/>
      </c>
      <c r="E197" s="41" t="str">
        <f aca="false">IF($A197="","",SUMIFS(业务流水!$P$5:$P$1504,业务流水!$E$5:$E$1504,"*",业务流水!$D$5:$D$1504,"销项开票",业务流水!$C$5:$C$1504,$A197,业务流水!$Z$5:$Z$1504,"是"))</f>
        <v/>
      </c>
      <c r="F197" s="41" t="str">
        <f aca="false">IF($A197="","",SUMIFS(业务流水!$H$5:$H$1504,业务流水!$F$5:$F$1504,"*",业务流水!$D$5:$D$1504,"成本票",业务流水!$C$5:$C$1504,$A197,业务流水!$Z$5:$Z$1504,"是")+SUMIFS(业务流水!$H$5:$H$1504,业务流水!$F$5:$F$1504,"*",业务流水!$D$5:$D$1504,"销项开票",业务流水!$C$5:$C$1504,$A197,业务流水!$Z$5:$Z$1504,"是"))</f>
        <v/>
      </c>
      <c r="G197" s="42" t="str">
        <f aca="false">IF($A197="","",$E197-$F197)</f>
        <v/>
      </c>
      <c r="H197" s="41" t="str">
        <f aca="false">IF($A197="","",SUMIFS(业务流水!$W$5:$W$1504,业务流水!$E$5:$E$1504,"*",业务流水!$D$5:$D$1504,"销项开票",业务流水!$C$5:$C$1504,$A197,业务流水!$Z$5:$Z$1504,"是"))</f>
        <v/>
      </c>
      <c r="I197" s="41" t="str">
        <f aca="false">IF($A197="","",SUMIFS(业务流水!$H$5:$H$1504,业务流水!$E$5:$E$1504,"*",业务流水!$D$5:$D$1504,"已交税",业务流水!$C$5:$C$1504,$A197,业务流水!$Z$5:$Z$1504,"是"))</f>
        <v/>
      </c>
      <c r="J197" s="42" t="str">
        <f aca="false">IF($A197="","",$H197-$I197)</f>
        <v/>
      </c>
      <c r="K197" s="41" t="str">
        <f aca="false">IF($A197="","",SUMIFS(业务流水!$H$5:$H$1504,业务流水!$F$5:$F$1504,"*",业务流水!$D$5:$D$1504,"挂靠代收",业务流水!$C$5:$C$1504,$A197,业务流水!$Z$5:$Z$1504,"是"))</f>
        <v/>
      </c>
      <c r="L197" s="42" t="str">
        <f aca="false">IF($A197="","",$C197-$K197)</f>
        <v/>
      </c>
      <c r="M197" s="41" t="str">
        <f aca="false">IF($A197="","",SUMIFS(业务流水!$H$5:$H$1504,业务流水!$E$5:$E$1504,"*",业务流水!$D$5:$D$1504,"我方收款",业务流水!$C$5:$C$1504,$A197,业务流水!$Z$5:$Z$1504,"是"))</f>
        <v/>
      </c>
      <c r="N197" s="43" t="str">
        <f aca="false">IF($A197="","",$K197-$M197)</f>
        <v/>
      </c>
      <c r="O197" s="41" t="str">
        <f aca="false">IF($A197="","",SUMIFS(业务流水!$H$5:$H$1504,业务流水!$F$5:$F$1504,"*",业务流水!$D$5:$D$1504,"管理费结算",业务流水!$C$5:$C$1504,$A197,业务流水!$Z$5:$Z$1504,"是"))</f>
        <v/>
      </c>
      <c r="P197" s="41" t="str">
        <f aca="false">IF($A197="","",SUMIFS(业务流水!$H$5:$H$1504,业务流水!$E$5:$E$1504,"*",业务流水!$D$5:$D$1504,"扣质保金",业务流水!$C$5:$C$1504,$A197,业务流水!$Z$5:$Z$1504,"是"))</f>
        <v/>
      </c>
    </row>
    <row r="198" customFormat="false" ht="15.75" hidden="false" customHeight="true" outlineLevel="0" collapsed="false">
      <c r="A198" s="32" t="str">
        <f aca="false">IF(项目档案!$A198="","",项目档案!$A198)</f>
        <v/>
      </c>
      <c r="B198" s="40" t="str">
        <f aca="false">IF($A198="","",项目档案!$B198)</f>
        <v/>
      </c>
      <c r="C198" s="41" t="str">
        <f aca="false">IF($A198="","",SUMIFS(业务流水!$H$5:$H$1504,业务流水!$E$5:$E$1504,"*",业务流水!$D$5:$D$1504,"销项开票",业务流水!$C$5:$C$1504,$A198,业务流水!$Z$5:$Z$1504,"是"))</f>
        <v/>
      </c>
      <c r="D198" s="41" t="str">
        <f aca="false">IF($A198="","",SUMIFS(业务流水!$O$5:$O$1504,业务流水!$E$5:$E$1504,"*",业务流水!$D$5:$D$1504,"销项开票",业务流水!$C$5:$C$1504,$A198,业务流水!$Z$5:$Z$1504,"是"))</f>
        <v/>
      </c>
      <c r="E198" s="41" t="str">
        <f aca="false">IF($A198="","",SUMIFS(业务流水!$P$5:$P$1504,业务流水!$E$5:$E$1504,"*",业务流水!$D$5:$D$1504,"销项开票",业务流水!$C$5:$C$1504,$A198,业务流水!$Z$5:$Z$1504,"是"))</f>
        <v/>
      </c>
      <c r="F198" s="41" t="str">
        <f aca="false">IF($A198="","",SUMIFS(业务流水!$H$5:$H$1504,业务流水!$F$5:$F$1504,"*",业务流水!$D$5:$D$1504,"成本票",业务流水!$C$5:$C$1504,$A198,业务流水!$Z$5:$Z$1504,"是")+SUMIFS(业务流水!$H$5:$H$1504,业务流水!$F$5:$F$1504,"*",业务流水!$D$5:$D$1504,"销项开票",业务流水!$C$5:$C$1504,$A198,业务流水!$Z$5:$Z$1504,"是"))</f>
        <v/>
      </c>
      <c r="G198" s="42" t="str">
        <f aca="false">IF($A198="","",$E198-$F198)</f>
        <v/>
      </c>
      <c r="H198" s="41" t="str">
        <f aca="false">IF($A198="","",SUMIFS(业务流水!$W$5:$W$1504,业务流水!$E$5:$E$1504,"*",业务流水!$D$5:$D$1504,"销项开票",业务流水!$C$5:$C$1504,$A198,业务流水!$Z$5:$Z$1504,"是"))</f>
        <v/>
      </c>
      <c r="I198" s="41" t="str">
        <f aca="false">IF($A198="","",SUMIFS(业务流水!$H$5:$H$1504,业务流水!$E$5:$E$1504,"*",业务流水!$D$5:$D$1504,"已交税",业务流水!$C$5:$C$1504,$A198,业务流水!$Z$5:$Z$1504,"是"))</f>
        <v/>
      </c>
      <c r="J198" s="42" t="str">
        <f aca="false">IF($A198="","",$H198-$I198)</f>
        <v/>
      </c>
      <c r="K198" s="41" t="str">
        <f aca="false">IF($A198="","",SUMIFS(业务流水!$H$5:$H$1504,业务流水!$F$5:$F$1504,"*",业务流水!$D$5:$D$1504,"挂靠代收",业务流水!$C$5:$C$1504,$A198,业务流水!$Z$5:$Z$1504,"是"))</f>
        <v/>
      </c>
      <c r="L198" s="42" t="str">
        <f aca="false">IF($A198="","",$C198-$K198)</f>
        <v/>
      </c>
      <c r="M198" s="41" t="str">
        <f aca="false">IF($A198="","",SUMIFS(业务流水!$H$5:$H$1504,业务流水!$E$5:$E$1504,"*",业务流水!$D$5:$D$1504,"我方收款",业务流水!$C$5:$C$1504,$A198,业务流水!$Z$5:$Z$1504,"是"))</f>
        <v/>
      </c>
      <c r="N198" s="43" t="str">
        <f aca="false">IF($A198="","",$K198-$M198)</f>
        <v/>
      </c>
      <c r="O198" s="41" t="str">
        <f aca="false">IF($A198="","",SUMIFS(业务流水!$H$5:$H$1504,业务流水!$F$5:$F$1504,"*",业务流水!$D$5:$D$1504,"管理费结算",业务流水!$C$5:$C$1504,$A198,业务流水!$Z$5:$Z$1504,"是"))</f>
        <v/>
      </c>
      <c r="P198" s="41" t="str">
        <f aca="false">IF($A198="","",SUMIFS(业务流水!$H$5:$H$1504,业务流水!$E$5:$E$1504,"*",业务流水!$D$5:$D$1504,"扣质保金",业务流水!$C$5:$C$1504,$A198,业务流水!$Z$5:$Z$1504,"是"))</f>
        <v/>
      </c>
    </row>
    <row r="199" customFormat="false" ht="15.75" hidden="false" customHeight="true" outlineLevel="0" collapsed="false">
      <c r="A199" s="32" t="str">
        <f aca="false">IF(项目档案!$A199="","",项目档案!$A199)</f>
        <v/>
      </c>
      <c r="B199" s="40" t="str">
        <f aca="false">IF($A199="","",项目档案!$B199)</f>
        <v/>
      </c>
      <c r="C199" s="41" t="str">
        <f aca="false">IF($A199="","",SUMIFS(业务流水!$H$5:$H$1504,业务流水!$E$5:$E$1504,"*",业务流水!$D$5:$D$1504,"销项开票",业务流水!$C$5:$C$1504,$A199,业务流水!$Z$5:$Z$1504,"是"))</f>
        <v/>
      </c>
      <c r="D199" s="41" t="str">
        <f aca="false">IF($A199="","",SUMIFS(业务流水!$O$5:$O$1504,业务流水!$E$5:$E$1504,"*",业务流水!$D$5:$D$1504,"销项开票",业务流水!$C$5:$C$1504,$A199,业务流水!$Z$5:$Z$1504,"是"))</f>
        <v/>
      </c>
      <c r="E199" s="41" t="str">
        <f aca="false">IF($A199="","",SUMIFS(业务流水!$P$5:$P$1504,业务流水!$E$5:$E$1504,"*",业务流水!$D$5:$D$1504,"销项开票",业务流水!$C$5:$C$1504,$A199,业务流水!$Z$5:$Z$1504,"是"))</f>
        <v/>
      </c>
      <c r="F199" s="41" t="str">
        <f aca="false">IF($A199="","",SUMIFS(业务流水!$H$5:$H$1504,业务流水!$F$5:$F$1504,"*",业务流水!$D$5:$D$1504,"成本票",业务流水!$C$5:$C$1504,$A199,业务流水!$Z$5:$Z$1504,"是")+SUMIFS(业务流水!$H$5:$H$1504,业务流水!$F$5:$F$1504,"*",业务流水!$D$5:$D$1504,"销项开票",业务流水!$C$5:$C$1504,$A199,业务流水!$Z$5:$Z$1504,"是"))</f>
        <v/>
      </c>
      <c r="G199" s="42" t="str">
        <f aca="false">IF($A199="","",$E199-$F199)</f>
        <v/>
      </c>
      <c r="H199" s="41" t="str">
        <f aca="false">IF($A199="","",SUMIFS(业务流水!$W$5:$W$1504,业务流水!$E$5:$E$1504,"*",业务流水!$D$5:$D$1504,"销项开票",业务流水!$C$5:$C$1504,$A199,业务流水!$Z$5:$Z$1504,"是"))</f>
        <v/>
      </c>
      <c r="I199" s="41" t="str">
        <f aca="false">IF($A199="","",SUMIFS(业务流水!$H$5:$H$1504,业务流水!$E$5:$E$1504,"*",业务流水!$D$5:$D$1504,"已交税",业务流水!$C$5:$C$1504,$A199,业务流水!$Z$5:$Z$1504,"是"))</f>
        <v/>
      </c>
      <c r="J199" s="42" t="str">
        <f aca="false">IF($A199="","",$H199-$I199)</f>
        <v/>
      </c>
      <c r="K199" s="41" t="str">
        <f aca="false">IF($A199="","",SUMIFS(业务流水!$H$5:$H$1504,业务流水!$F$5:$F$1504,"*",业务流水!$D$5:$D$1504,"挂靠代收",业务流水!$C$5:$C$1504,$A199,业务流水!$Z$5:$Z$1504,"是"))</f>
        <v/>
      </c>
      <c r="L199" s="42" t="str">
        <f aca="false">IF($A199="","",$C199-$K199)</f>
        <v/>
      </c>
      <c r="M199" s="41" t="str">
        <f aca="false">IF($A199="","",SUMIFS(业务流水!$H$5:$H$1504,业务流水!$E$5:$E$1504,"*",业务流水!$D$5:$D$1504,"我方收款",业务流水!$C$5:$C$1504,$A199,业务流水!$Z$5:$Z$1504,"是"))</f>
        <v/>
      </c>
      <c r="N199" s="43" t="str">
        <f aca="false">IF($A199="","",$K199-$M199)</f>
        <v/>
      </c>
      <c r="O199" s="41" t="str">
        <f aca="false">IF($A199="","",SUMIFS(业务流水!$H$5:$H$1504,业务流水!$F$5:$F$1504,"*",业务流水!$D$5:$D$1504,"管理费结算",业务流水!$C$5:$C$1504,$A199,业务流水!$Z$5:$Z$1504,"是"))</f>
        <v/>
      </c>
      <c r="P199" s="41" t="str">
        <f aca="false">IF($A199="","",SUMIFS(业务流水!$H$5:$H$1504,业务流水!$E$5:$E$1504,"*",业务流水!$D$5:$D$1504,"扣质保金",业务流水!$C$5:$C$1504,$A199,业务流水!$Z$5:$Z$1504,"是"))</f>
        <v/>
      </c>
    </row>
    <row r="200" customFormat="false" ht="15.75" hidden="false" customHeight="true" outlineLevel="0" collapsed="false">
      <c r="A200" s="32" t="str">
        <f aca="false">IF(项目档案!$A200="","",项目档案!$A200)</f>
        <v/>
      </c>
      <c r="B200" s="40" t="str">
        <f aca="false">IF($A200="","",项目档案!$B200)</f>
        <v/>
      </c>
      <c r="C200" s="41" t="str">
        <f aca="false">IF($A200="","",SUMIFS(业务流水!$H$5:$H$1504,业务流水!$E$5:$E$1504,"*",业务流水!$D$5:$D$1504,"销项开票",业务流水!$C$5:$C$1504,$A200,业务流水!$Z$5:$Z$1504,"是"))</f>
        <v/>
      </c>
      <c r="D200" s="41" t="str">
        <f aca="false">IF($A200="","",SUMIFS(业务流水!$O$5:$O$1504,业务流水!$E$5:$E$1504,"*",业务流水!$D$5:$D$1504,"销项开票",业务流水!$C$5:$C$1504,$A200,业务流水!$Z$5:$Z$1504,"是"))</f>
        <v/>
      </c>
      <c r="E200" s="41" t="str">
        <f aca="false">IF($A200="","",SUMIFS(业务流水!$P$5:$P$1504,业务流水!$E$5:$E$1504,"*",业务流水!$D$5:$D$1504,"销项开票",业务流水!$C$5:$C$1504,$A200,业务流水!$Z$5:$Z$1504,"是"))</f>
        <v/>
      </c>
      <c r="F200" s="41" t="str">
        <f aca="false">IF($A200="","",SUMIFS(业务流水!$H$5:$H$1504,业务流水!$F$5:$F$1504,"*",业务流水!$D$5:$D$1504,"成本票",业务流水!$C$5:$C$1504,$A200,业务流水!$Z$5:$Z$1504,"是")+SUMIFS(业务流水!$H$5:$H$1504,业务流水!$F$5:$F$1504,"*",业务流水!$D$5:$D$1504,"销项开票",业务流水!$C$5:$C$1504,$A200,业务流水!$Z$5:$Z$1504,"是"))</f>
        <v/>
      </c>
      <c r="G200" s="42" t="str">
        <f aca="false">IF($A200="","",$E200-$F200)</f>
        <v/>
      </c>
      <c r="H200" s="41" t="str">
        <f aca="false">IF($A200="","",SUMIFS(业务流水!$W$5:$W$1504,业务流水!$E$5:$E$1504,"*",业务流水!$D$5:$D$1504,"销项开票",业务流水!$C$5:$C$1504,$A200,业务流水!$Z$5:$Z$1504,"是"))</f>
        <v/>
      </c>
      <c r="I200" s="41" t="str">
        <f aca="false">IF($A200="","",SUMIFS(业务流水!$H$5:$H$1504,业务流水!$E$5:$E$1504,"*",业务流水!$D$5:$D$1504,"已交税",业务流水!$C$5:$C$1504,$A200,业务流水!$Z$5:$Z$1504,"是"))</f>
        <v/>
      </c>
      <c r="J200" s="42" t="str">
        <f aca="false">IF($A200="","",$H200-$I200)</f>
        <v/>
      </c>
      <c r="K200" s="41" t="str">
        <f aca="false">IF($A200="","",SUMIFS(业务流水!$H$5:$H$1504,业务流水!$F$5:$F$1504,"*",业务流水!$D$5:$D$1504,"挂靠代收",业务流水!$C$5:$C$1504,$A200,业务流水!$Z$5:$Z$1504,"是"))</f>
        <v/>
      </c>
      <c r="L200" s="42" t="str">
        <f aca="false">IF($A200="","",$C200-$K200)</f>
        <v/>
      </c>
      <c r="M200" s="41" t="str">
        <f aca="false">IF($A200="","",SUMIFS(业务流水!$H$5:$H$1504,业务流水!$E$5:$E$1504,"*",业务流水!$D$5:$D$1504,"我方收款",业务流水!$C$5:$C$1504,$A200,业务流水!$Z$5:$Z$1504,"是"))</f>
        <v/>
      </c>
      <c r="N200" s="43" t="str">
        <f aca="false">IF($A200="","",$K200-$M200)</f>
        <v/>
      </c>
      <c r="O200" s="41" t="str">
        <f aca="false">IF($A200="","",SUMIFS(业务流水!$H$5:$H$1504,业务流水!$F$5:$F$1504,"*",业务流水!$D$5:$D$1504,"管理费结算",业务流水!$C$5:$C$1504,$A200,业务流水!$Z$5:$Z$1504,"是"))</f>
        <v/>
      </c>
      <c r="P200" s="41" t="str">
        <f aca="false">IF($A200="","",SUMIFS(业务流水!$H$5:$H$1504,业务流水!$E$5:$E$1504,"*",业务流水!$D$5:$D$1504,"扣质保金",业务流水!$C$5:$C$1504,$A200,业务流水!$Z$5:$Z$1504,"是"))</f>
        <v/>
      </c>
    </row>
    <row r="201" customFormat="false" ht="15.75" hidden="false" customHeight="true" outlineLevel="0" collapsed="false">
      <c r="A201" s="32" t="str">
        <f aca="false">IF(项目档案!$A201="","",项目档案!$A201)</f>
        <v/>
      </c>
      <c r="B201" s="40" t="str">
        <f aca="false">IF($A201="","",项目档案!$B201)</f>
        <v/>
      </c>
      <c r="C201" s="41" t="str">
        <f aca="false">IF($A201="","",SUMIFS(业务流水!$H$5:$H$1504,业务流水!$E$5:$E$1504,"*",业务流水!$D$5:$D$1504,"销项开票",业务流水!$C$5:$C$1504,$A201,业务流水!$Z$5:$Z$1504,"是"))</f>
        <v/>
      </c>
      <c r="D201" s="41" t="str">
        <f aca="false">IF($A201="","",SUMIFS(业务流水!$O$5:$O$1504,业务流水!$E$5:$E$1504,"*",业务流水!$D$5:$D$1504,"销项开票",业务流水!$C$5:$C$1504,$A201,业务流水!$Z$5:$Z$1504,"是"))</f>
        <v/>
      </c>
      <c r="E201" s="41" t="str">
        <f aca="false">IF($A201="","",SUMIFS(业务流水!$P$5:$P$1504,业务流水!$E$5:$E$1504,"*",业务流水!$D$5:$D$1504,"销项开票",业务流水!$C$5:$C$1504,$A201,业务流水!$Z$5:$Z$1504,"是"))</f>
        <v/>
      </c>
      <c r="F201" s="41" t="str">
        <f aca="false">IF($A201="","",SUMIFS(业务流水!$H$5:$H$1504,业务流水!$F$5:$F$1504,"*",业务流水!$D$5:$D$1504,"成本票",业务流水!$C$5:$C$1504,$A201,业务流水!$Z$5:$Z$1504,"是")+SUMIFS(业务流水!$H$5:$H$1504,业务流水!$F$5:$F$1504,"*",业务流水!$D$5:$D$1504,"销项开票",业务流水!$C$5:$C$1504,$A201,业务流水!$Z$5:$Z$1504,"是"))</f>
        <v/>
      </c>
      <c r="G201" s="42" t="str">
        <f aca="false">IF($A201="","",$E201-$F201)</f>
        <v/>
      </c>
      <c r="H201" s="41" t="str">
        <f aca="false">IF($A201="","",SUMIFS(业务流水!$W$5:$W$1504,业务流水!$E$5:$E$1504,"*",业务流水!$D$5:$D$1504,"销项开票",业务流水!$C$5:$C$1504,$A201,业务流水!$Z$5:$Z$1504,"是"))</f>
        <v/>
      </c>
      <c r="I201" s="41" t="str">
        <f aca="false">IF($A201="","",SUMIFS(业务流水!$H$5:$H$1504,业务流水!$E$5:$E$1504,"*",业务流水!$D$5:$D$1504,"已交税",业务流水!$C$5:$C$1504,$A201,业务流水!$Z$5:$Z$1504,"是"))</f>
        <v/>
      </c>
      <c r="J201" s="42" t="str">
        <f aca="false">IF($A201="","",$H201-$I201)</f>
        <v/>
      </c>
      <c r="K201" s="41" t="str">
        <f aca="false">IF($A201="","",SUMIFS(业务流水!$H$5:$H$1504,业务流水!$F$5:$F$1504,"*",业务流水!$D$5:$D$1504,"挂靠代收",业务流水!$C$5:$C$1504,$A201,业务流水!$Z$5:$Z$1504,"是"))</f>
        <v/>
      </c>
      <c r="L201" s="42" t="str">
        <f aca="false">IF($A201="","",$C201-$K201)</f>
        <v/>
      </c>
      <c r="M201" s="41" t="str">
        <f aca="false">IF($A201="","",SUMIFS(业务流水!$H$5:$H$1504,业务流水!$E$5:$E$1504,"*",业务流水!$D$5:$D$1504,"我方收款",业务流水!$C$5:$C$1504,$A201,业务流水!$Z$5:$Z$1504,"是"))</f>
        <v/>
      </c>
      <c r="N201" s="43" t="str">
        <f aca="false">IF($A201="","",$K201-$M201)</f>
        <v/>
      </c>
      <c r="O201" s="41" t="str">
        <f aca="false">IF($A201="","",SUMIFS(业务流水!$H$5:$H$1504,业务流水!$F$5:$F$1504,"*",业务流水!$D$5:$D$1504,"管理费结算",业务流水!$C$5:$C$1504,$A201,业务流水!$Z$5:$Z$1504,"是"))</f>
        <v/>
      </c>
      <c r="P201" s="41" t="str">
        <f aca="false">IF($A201="","",SUMIFS(业务流水!$H$5:$H$1504,业务流水!$E$5:$E$1504,"*",业务流水!$D$5:$D$1504,"扣质保金",业务流水!$C$5:$C$1504,$A201,业务流水!$Z$5:$Z$1504,"是"))</f>
        <v/>
      </c>
    </row>
    <row r="202" customFormat="false" ht="15.75" hidden="false" customHeight="true" outlineLevel="0" collapsed="false">
      <c r="A202" s="32" t="str">
        <f aca="false">IF(项目档案!$A202="","",项目档案!$A202)</f>
        <v/>
      </c>
      <c r="B202" s="40" t="str">
        <f aca="false">IF($A202="","",项目档案!$B202)</f>
        <v/>
      </c>
      <c r="C202" s="41" t="str">
        <f aca="false">IF($A202="","",SUMIFS(业务流水!$H$5:$H$1504,业务流水!$E$5:$E$1504,"*",业务流水!$D$5:$D$1504,"销项开票",业务流水!$C$5:$C$1504,$A202,业务流水!$Z$5:$Z$1504,"是"))</f>
        <v/>
      </c>
      <c r="D202" s="41" t="str">
        <f aca="false">IF($A202="","",SUMIFS(业务流水!$O$5:$O$1504,业务流水!$E$5:$E$1504,"*",业务流水!$D$5:$D$1504,"销项开票",业务流水!$C$5:$C$1504,$A202,业务流水!$Z$5:$Z$1504,"是"))</f>
        <v/>
      </c>
      <c r="E202" s="41" t="str">
        <f aca="false">IF($A202="","",SUMIFS(业务流水!$P$5:$P$1504,业务流水!$E$5:$E$1504,"*",业务流水!$D$5:$D$1504,"销项开票",业务流水!$C$5:$C$1504,$A202,业务流水!$Z$5:$Z$1504,"是"))</f>
        <v/>
      </c>
      <c r="F202" s="41" t="str">
        <f aca="false">IF($A202="","",SUMIFS(业务流水!$H$5:$H$1504,业务流水!$F$5:$F$1504,"*",业务流水!$D$5:$D$1504,"成本票",业务流水!$C$5:$C$1504,$A202,业务流水!$Z$5:$Z$1504,"是")+SUMIFS(业务流水!$H$5:$H$1504,业务流水!$F$5:$F$1504,"*",业务流水!$D$5:$D$1504,"销项开票",业务流水!$C$5:$C$1504,$A202,业务流水!$Z$5:$Z$1504,"是"))</f>
        <v/>
      </c>
      <c r="G202" s="42" t="str">
        <f aca="false">IF($A202="","",$E202-$F202)</f>
        <v/>
      </c>
      <c r="H202" s="41" t="str">
        <f aca="false">IF($A202="","",SUMIFS(业务流水!$W$5:$W$1504,业务流水!$E$5:$E$1504,"*",业务流水!$D$5:$D$1504,"销项开票",业务流水!$C$5:$C$1504,$A202,业务流水!$Z$5:$Z$1504,"是"))</f>
        <v/>
      </c>
      <c r="I202" s="41" t="str">
        <f aca="false">IF($A202="","",SUMIFS(业务流水!$H$5:$H$1504,业务流水!$E$5:$E$1504,"*",业务流水!$D$5:$D$1504,"已交税",业务流水!$C$5:$C$1504,$A202,业务流水!$Z$5:$Z$1504,"是"))</f>
        <v/>
      </c>
      <c r="J202" s="42" t="str">
        <f aca="false">IF($A202="","",$H202-$I202)</f>
        <v/>
      </c>
      <c r="K202" s="41" t="str">
        <f aca="false">IF($A202="","",SUMIFS(业务流水!$H$5:$H$1504,业务流水!$F$5:$F$1504,"*",业务流水!$D$5:$D$1504,"挂靠代收",业务流水!$C$5:$C$1504,$A202,业务流水!$Z$5:$Z$1504,"是"))</f>
        <v/>
      </c>
      <c r="L202" s="42" t="str">
        <f aca="false">IF($A202="","",$C202-$K202)</f>
        <v/>
      </c>
      <c r="M202" s="41" t="str">
        <f aca="false">IF($A202="","",SUMIFS(业务流水!$H$5:$H$1504,业务流水!$E$5:$E$1504,"*",业务流水!$D$5:$D$1504,"我方收款",业务流水!$C$5:$C$1504,$A202,业务流水!$Z$5:$Z$1504,"是"))</f>
        <v/>
      </c>
      <c r="N202" s="43" t="str">
        <f aca="false">IF($A202="","",$K202-$M202)</f>
        <v/>
      </c>
      <c r="O202" s="41" t="str">
        <f aca="false">IF($A202="","",SUMIFS(业务流水!$H$5:$H$1504,业务流水!$F$5:$F$1504,"*",业务流水!$D$5:$D$1504,"管理费结算",业务流水!$C$5:$C$1504,$A202,业务流水!$Z$5:$Z$1504,"是"))</f>
        <v/>
      </c>
      <c r="P202" s="41" t="str">
        <f aca="false">IF($A202="","",SUMIFS(业务流水!$H$5:$H$1504,业务流水!$E$5:$E$1504,"*",业务流水!$D$5:$D$1504,"扣质保金",业务流水!$C$5:$C$1504,$A202,业务流水!$Z$5:$Z$1504,"是"))</f>
        <v/>
      </c>
    </row>
    <row r="203" customFormat="false" ht="15.75" hidden="false" customHeight="true" outlineLevel="0" collapsed="false">
      <c r="A203" s="32" t="str">
        <f aca="false">IF(项目档案!$A203="","",项目档案!$A203)</f>
        <v/>
      </c>
      <c r="B203" s="40" t="str">
        <f aca="false">IF($A203="","",项目档案!$B203)</f>
        <v/>
      </c>
      <c r="C203" s="41" t="str">
        <f aca="false">IF($A203="","",SUMIFS(业务流水!$H$5:$H$1504,业务流水!$E$5:$E$1504,"*",业务流水!$D$5:$D$1504,"销项开票",业务流水!$C$5:$C$1504,$A203,业务流水!$Z$5:$Z$1504,"是"))</f>
        <v/>
      </c>
      <c r="D203" s="41" t="str">
        <f aca="false">IF($A203="","",SUMIFS(业务流水!$O$5:$O$1504,业务流水!$E$5:$E$1504,"*",业务流水!$D$5:$D$1504,"销项开票",业务流水!$C$5:$C$1504,$A203,业务流水!$Z$5:$Z$1504,"是"))</f>
        <v/>
      </c>
      <c r="E203" s="41" t="str">
        <f aca="false">IF($A203="","",SUMIFS(业务流水!$P$5:$P$1504,业务流水!$E$5:$E$1504,"*",业务流水!$D$5:$D$1504,"销项开票",业务流水!$C$5:$C$1504,$A203,业务流水!$Z$5:$Z$1504,"是"))</f>
        <v/>
      </c>
      <c r="F203" s="41" t="str">
        <f aca="false">IF($A203="","",SUMIFS(业务流水!$H$5:$H$1504,业务流水!$F$5:$F$1504,"*",业务流水!$D$5:$D$1504,"成本票",业务流水!$C$5:$C$1504,$A203,业务流水!$Z$5:$Z$1504,"是")+SUMIFS(业务流水!$H$5:$H$1504,业务流水!$F$5:$F$1504,"*",业务流水!$D$5:$D$1504,"销项开票",业务流水!$C$5:$C$1504,$A203,业务流水!$Z$5:$Z$1504,"是"))</f>
        <v/>
      </c>
      <c r="G203" s="42" t="str">
        <f aca="false">IF($A203="","",$E203-$F203)</f>
        <v/>
      </c>
      <c r="H203" s="41" t="str">
        <f aca="false">IF($A203="","",SUMIFS(业务流水!$W$5:$W$1504,业务流水!$E$5:$E$1504,"*",业务流水!$D$5:$D$1504,"销项开票",业务流水!$C$5:$C$1504,$A203,业务流水!$Z$5:$Z$1504,"是"))</f>
        <v/>
      </c>
      <c r="I203" s="41" t="str">
        <f aca="false">IF($A203="","",SUMIFS(业务流水!$H$5:$H$1504,业务流水!$E$5:$E$1504,"*",业务流水!$D$5:$D$1504,"已交税",业务流水!$C$5:$C$1504,$A203,业务流水!$Z$5:$Z$1504,"是"))</f>
        <v/>
      </c>
      <c r="J203" s="42" t="str">
        <f aca="false">IF($A203="","",$H203-$I203)</f>
        <v/>
      </c>
      <c r="K203" s="41" t="str">
        <f aca="false">IF($A203="","",SUMIFS(业务流水!$H$5:$H$1504,业务流水!$F$5:$F$1504,"*",业务流水!$D$5:$D$1504,"挂靠代收",业务流水!$C$5:$C$1504,$A203,业务流水!$Z$5:$Z$1504,"是"))</f>
        <v/>
      </c>
      <c r="L203" s="42" t="str">
        <f aca="false">IF($A203="","",$C203-$K203)</f>
        <v/>
      </c>
      <c r="M203" s="41" t="str">
        <f aca="false">IF($A203="","",SUMIFS(业务流水!$H$5:$H$1504,业务流水!$E$5:$E$1504,"*",业务流水!$D$5:$D$1504,"我方收款",业务流水!$C$5:$C$1504,$A203,业务流水!$Z$5:$Z$1504,"是"))</f>
        <v/>
      </c>
      <c r="N203" s="43" t="str">
        <f aca="false">IF($A203="","",$K203-$M203)</f>
        <v/>
      </c>
      <c r="O203" s="41" t="str">
        <f aca="false">IF($A203="","",SUMIFS(业务流水!$H$5:$H$1504,业务流水!$F$5:$F$1504,"*",业务流水!$D$5:$D$1504,"管理费结算",业务流水!$C$5:$C$1504,$A203,业务流水!$Z$5:$Z$1504,"是"))</f>
        <v/>
      </c>
      <c r="P203" s="41" t="str">
        <f aca="false">IF($A203="","",SUMIFS(业务流水!$H$5:$H$1504,业务流水!$E$5:$E$1504,"*",业务流水!$D$5:$D$1504,"扣质保金",业务流水!$C$5:$C$1504,$A203,业务流水!$Z$5:$Z$1504,"是"))</f>
        <v/>
      </c>
    </row>
    <row r="204" customFormat="false" ht="15.75" hidden="false" customHeight="true" outlineLevel="0" collapsed="false">
      <c r="A204" s="32" t="str">
        <f aca="false">IF(项目档案!$A204="","",项目档案!$A204)</f>
        <v/>
      </c>
      <c r="B204" s="40" t="str">
        <f aca="false">IF($A204="","",项目档案!$B204)</f>
        <v/>
      </c>
      <c r="C204" s="41" t="str">
        <f aca="false">IF($A204="","",SUMIFS(业务流水!$H$5:$H$1504,业务流水!$E$5:$E$1504,"*",业务流水!$D$5:$D$1504,"销项开票",业务流水!$C$5:$C$1504,$A204,业务流水!$Z$5:$Z$1504,"是"))</f>
        <v/>
      </c>
      <c r="D204" s="41" t="str">
        <f aca="false">IF($A204="","",SUMIFS(业务流水!$O$5:$O$1504,业务流水!$E$5:$E$1504,"*",业务流水!$D$5:$D$1504,"销项开票",业务流水!$C$5:$C$1504,$A204,业务流水!$Z$5:$Z$1504,"是"))</f>
        <v/>
      </c>
      <c r="E204" s="41" t="str">
        <f aca="false">IF($A204="","",SUMIFS(业务流水!$P$5:$P$1504,业务流水!$E$5:$E$1504,"*",业务流水!$D$5:$D$1504,"销项开票",业务流水!$C$5:$C$1504,$A204,业务流水!$Z$5:$Z$1504,"是"))</f>
        <v/>
      </c>
      <c r="F204" s="41" t="str">
        <f aca="false">IF($A204="","",SUMIFS(业务流水!$H$5:$H$1504,业务流水!$F$5:$F$1504,"*",业务流水!$D$5:$D$1504,"成本票",业务流水!$C$5:$C$1504,$A204,业务流水!$Z$5:$Z$1504,"是")+SUMIFS(业务流水!$H$5:$H$1504,业务流水!$F$5:$F$1504,"*",业务流水!$D$5:$D$1504,"销项开票",业务流水!$C$5:$C$1504,$A204,业务流水!$Z$5:$Z$1504,"是"))</f>
        <v/>
      </c>
      <c r="G204" s="42" t="str">
        <f aca="false">IF($A204="","",$E204-$F204)</f>
        <v/>
      </c>
      <c r="H204" s="41" t="str">
        <f aca="false">IF($A204="","",SUMIFS(业务流水!$W$5:$W$1504,业务流水!$E$5:$E$1504,"*",业务流水!$D$5:$D$1504,"销项开票",业务流水!$C$5:$C$1504,$A204,业务流水!$Z$5:$Z$1504,"是"))</f>
        <v/>
      </c>
      <c r="I204" s="41" t="str">
        <f aca="false">IF($A204="","",SUMIFS(业务流水!$H$5:$H$1504,业务流水!$E$5:$E$1504,"*",业务流水!$D$5:$D$1504,"已交税",业务流水!$C$5:$C$1504,$A204,业务流水!$Z$5:$Z$1504,"是"))</f>
        <v/>
      </c>
      <c r="J204" s="42" t="str">
        <f aca="false">IF($A204="","",$H204-$I204)</f>
        <v/>
      </c>
      <c r="K204" s="41" t="str">
        <f aca="false">IF($A204="","",SUMIFS(业务流水!$H$5:$H$1504,业务流水!$F$5:$F$1504,"*",业务流水!$D$5:$D$1504,"挂靠代收",业务流水!$C$5:$C$1504,$A204,业务流水!$Z$5:$Z$1504,"是"))</f>
        <v/>
      </c>
      <c r="L204" s="42" t="str">
        <f aca="false">IF($A204="","",$C204-$K204)</f>
        <v/>
      </c>
      <c r="M204" s="41" t="str">
        <f aca="false">IF($A204="","",SUMIFS(业务流水!$H$5:$H$1504,业务流水!$E$5:$E$1504,"*",业务流水!$D$5:$D$1504,"我方收款",业务流水!$C$5:$C$1504,$A204,业务流水!$Z$5:$Z$1504,"是"))</f>
        <v/>
      </c>
      <c r="N204" s="43" t="str">
        <f aca="false">IF($A204="","",$K204-$M204)</f>
        <v/>
      </c>
      <c r="O204" s="41" t="str">
        <f aca="false">IF($A204="","",SUMIFS(业务流水!$H$5:$H$1504,业务流水!$F$5:$F$1504,"*",业务流水!$D$5:$D$1504,"管理费结算",业务流水!$C$5:$C$1504,$A204,业务流水!$Z$5:$Z$1504,"是"))</f>
        <v/>
      </c>
      <c r="P204" s="41" t="str">
        <f aca="false">IF($A204="","",SUMIFS(业务流水!$H$5:$H$1504,业务流水!$E$5:$E$1504,"*",业务流水!$D$5:$D$1504,"扣质保金",业务流水!$C$5:$C$1504,$A204,业务流水!$Z$5:$Z$1504,"是"))</f>
        <v/>
      </c>
    </row>
    <row r="205" customFormat="false" ht="15.75" hidden="false" customHeight="true" outlineLevel="0" collapsed="false">
      <c r="A205" s="32" t="str">
        <f aca="false">IF(项目档案!$A205="","",项目档案!$A205)</f>
        <v/>
      </c>
      <c r="B205" s="40" t="str">
        <f aca="false">IF($A205="","",项目档案!$B205)</f>
        <v/>
      </c>
      <c r="C205" s="41" t="str">
        <f aca="false">IF($A205="","",SUMIFS(业务流水!$H$5:$H$1504,业务流水!$E$5:$E$1504,"*",业务流水!$D$5:$D$1504,"销项开票",业务流水!$C$5:$C$1504,$A205,业务流水!$Z$5:$Z$1504,"是"))</f>
        <v/>
      </c>
      <c r="D205" s="41" t="str">
        <f aca="false">IF($A205="","",SUMIFS(业务流水!$O$5:$O$1504,业务流水!$E$5:$E$1504,"*",业务流水!$D$5:$D$1504,"销项开票",业务流水!$C$5:$C$1504,$A205,业务流水!$Z$5:$Z$1504,"是"))</f>
        <v/>
      </c>
      <c r="E205" s="41" t="str">
        <f aca="false">IF($A205="","",SUMIFS(业务流水!$P$5:$P$1504,业务流水!$E$5:$E$1504,"*",业务流水!$D$5:$D$1504,"销项开票",业务流水!$C$5:$C$1504,$A205,业务流水!$Z$5:$Z$1504,"是"))</f>
        <v/>
      </c>
      <c r="F205" s="41" t="str">
        <f aca="false">IF($A205="","",SUMIFS(业务流水!$H$5:$H$1504,业务流水!$F$5:$F$1504,"*",业务流水!$D$5:$D$1504,"成本票",业务流水!$C$5:$C$1504,$A205,业务流水!$Z$5:$Z$1504,"是")+SUMIFS(业务流水!$H$5:$H$1504,业务流水!$F$5:$F$1504,"*",业务流水!$D$5:$D$1504,"销项开票",业务流水!$C$5:$C$1504,$A205,业务流水!$Z$5:$Z$1504,"是"))</f>
        <v/>
      </c>
      <c r="G205" s="42" t="str">
        <f aca="false">IF($A205="","",$E205-$F205)</f>
        <v/>
      </c>
      <c r="H205" s="41" t="str">
        <f aca="false">IF($A205="","",SUMIFS(业务流水!$W$5:$W$1504,业务流水!$E$5:$E$1504,"*",业务流水!$D$5:$D$1504,"销项开票",业务流水!$C$5:$C$1504,$A205,业务流水!$Z$5:$Z$1504,"是"))</f>
        <v/>
      </c>
      <c r="I205" s="41" t="str">
        <f aca="false">IF($A205="","",SUMIFS(业务流水!$H$5:$H$1504,业务流水!$E$5:$E$1504,"*",业务流水!$D$5:$D$1504,"已交税",业务流水!$C$5:$C$1504,$A205,业务流水!$Z$5:$Z$1504,"是"))</f>
        <v/>
      </c>
      <c r="J205" s="42" t="str">
        <f aca="false">IF($A205="","",$H205-$I205)</f>
        <v/>
      </c>
      <c r="K205" s="41" t="str">
        <f aca="false">IF($A205="","",SUMIFS(业务流水!$H$5:$H$1504,业务流水!$F$5:$F$1504,"*",业务流水!$D$5:$D$1504,"挂靠代收",业务流水!$C$5:$C$1504,$A205,业务流水!$Z$5:$Z$1504,"是"))</f>
        <v/>
      </c>
      <c r="L205" s="42" t="str">
        <f aca="false">IF($A205="","",$C205-$K205)</f>
        <v/>
      </c>
      <c r="M205" s="41" t="str">
        <f aca="false">IF($A205="","",SUMIFS(业务流水!$H$5:$H$1504,业务流水!$E$5:$E$1504,"*",业务流水!$D$5:$D$1504,"我方收款",业务流水!$C$5:$C$1504,$A205,业务流水!$Z$5:$Z$1504,"是"))</f>
        <v/>
      </c>
      <c r="N205" s="43" t="str">
        <f aca="false">IF($A205="","",$K205-$M205)</f>
        <v/>
      </c>
      <c r="O205" s="41" t="str">
        <f aca="false">IF($A205="","",SUMIFS(业务流水!$H$5:$H$1504,业务流水!$F$5:$F$1504,"*",业务流水!$D$5:$D$1504,"管理费结算",业务流水!$C$5:$C$1504,$A205,业务流水!$Z$5:$Z$1504,"是"))</f>
        <v/>
      </c>
      <c r="P205" s="41" t="str">
        <f aca="false">IF($A205="","",SUMIFS(业务流水!$H$5:$H$1504,业务流水!$E$5:$E$1504,"*",业务流水!$D$5:$D$1504,"扣质保金",业务流水!$C$5:$C$1504,$A205,业务流水!$Z$5:$Z$1504,"是"))</f>
        <v/>
      </c>
    </row>
    <row r="206" customFormat="false" ht="15.75" hidden="false" customHeight="true" outlineLevel="0" collapsed="false">
      <c r="A206" s="32" t="str">
        <f aca="false">IF(项目档案!$A206="","",项目档案!$A206)</f>
        <v/>
      </c>
      <c r="B206" s="40" t="str">
        <f aca="false">IF($A206="","",项目档案!$B206)</f>
        <v/>
      </c>
      <c r="C206" s="41" t="str">
        <f aca="false">IF($A206="","",SUMIFS(业务流水!$H$5:$H$1504,业务流水!$E$5:$E$1504,"*",业务流水!$D$5:$D$1504,"销项开票",业务流水!$C$5:$C$1504,$A206,业务流水!$Z$5:$Z$1504,"是"))</f>
        <v/>
      </c>
      <c r="D206" s="41" t="str">
        <f aca="false">IF($A206="","",SUMIFS(业务流水!$O$5:$O$1504,业务流水!$E$5:$E$1504,"*",业务流水!$D$5:$D$1504,"销项开票",业务流水!$C$5:$C$1504,$A206,业务流水!$Z$5:$Z$1504,"是"))</f>
        <v/>
      </c>
      <c r="E206" s="41" t="str">
        <f aca="false">IF($A206="","",SUMIFS(业务流水!$P$5:$P$1504,业务流水!$E$5:$E$1504,"*",业务流水!$D$5:$D$1504,"销项开票",业务流水!$C$5:$C$1504,$A206,业务流水!$Z$5:$Z$1504,"是"))</f>
        <v/>
      </c>
      <c r="F206" s="41" t="str">
        <f aca="false">IF($A206="","",SUMIFS(业务流水!$H$5:$H$1504,业务流水!$F$5:$F$1504,"*",业务流水!$D$5:$D$1504,"成本票",业务流水!$C$5:$C$1504,$A206,业务流水!$Z$5:$Z$1504,"是")+SUMIFS(业务流水!$H$5:$H$1504,业务流水!$F$5:$F$1504,"*",业务流水!$D$5:$D$1504,"销项开票",业务流水!$C$5:$C$1504,$A206,业务流水!$Z$5:$Z$1504,"是"))</f>
        <v/>
      </c>
      <c r="G206" s="42" t="str">
        <f aca="false">IF($A206="","",$E206-$F206)</f>
        <v/>
      </c>
      <c r="H206" s="41" t="str">
        <f aca="false">IF($A206="","",SUMIFS(业务流水!$W$5:$W$1504,业务流水!$E$5:$E$1504,"*",业务流水!$D$5:$D$1504,"销项开票",业务流水!$C$5:$C$1504,$A206,业务流水!$Z$5:$Z$1504,"是"))</f>
        <v/>
      </c>
      <c r="I206" s="41" t="str">
        <f aca="false">IF($A206="","",SUMIFS(业务流水!$H$5:$H$1504,业务流水!$E$5:$E$1504,"*",业务流水!$D$5:$D$1504,"已交税",业务流水!$C$5:$C$1504,$A206,业务流水!$Z$5:$Z$1504,"是"))</f>
        <v/>
      </c>
      <c r="J206" s="42" t="str">
        <f aca="false">IF($A206="","",$H206-$I206)</f>
        <v/>
      </c>
      <c r="K206" s="41" t="str">
        <f aca="false">IF($A206="","",SUMIFS(业务流水!$H$5:$H$1504,业务流水!$F$5:$F$1504,"*",业务流水!$D$5:$D$1504,"挂靠代收",业务流水!$C$5:$C$1504,$A206,业务流水!$Z$5:$Z$1504,"是"))</f>
        <v/>
      </c>
      <c r="L206" s="42" t="str">
        <f aca="false">IF($A206="","",$C206-$K206)</f>
        <v/>
      </c>
      <c r="M206" s="41" t="str">
        <f aca="false">IF($A206="","",SUMIFS(业务流水!$H$5:$H$1504,业务流水!$E$5:$E$1504,"*",业务流水!$D$5:$D$1504,"我方收款",业务流水!$C$5:$C$1504,$A206,业务流水!$Z$5:$Z$1504,"是"))</f>
        <v/>
      </c>
      <c r="N206" s="43" t="str">
        <f aca="false">IF($A206="","",$K206-$M206)</f>
        <v/>
      </c>
      <c r="O206" s="41" t="str">
        <f aca="false">IF($A206="","",SUMIFS(业务流水!$H$5:$H$1504,业务流水!$F$5:$F$1504,"*",业务流水!$D$5:$D$1504,"管理费结算",业务流水!$C$5:$C$1504,$A206,业务流水!$Z$5:$Z$1504,"是"))</f>
        <v/>
      </c>
      <c r="P206" s="41" t="str">
        <f aca="false">IF($A206="","",SUMIFS(业务流水!$H$5:$H$1504,业务流水!$E$5:$E$1504,"*",业务流水!$D$5:$D$1504,"扣质保金",业务流水!$C$5:$C$1504,$A206,业务流水!$Z$5:$Z$1504,"是"))</f>
        <v/>
      </c>
    </row>
    <row r="207" customFormat="false" ht="15.75" hidden="false" customHeight="true" outlineLevel="0" collapsed="false">
      <c r="A207" s="32" t="str">
        <f aca="false">IF(项目档案!$A207="","",项目档案!$A207)</f>
        <v/>
      </c>
      <c r="B207" s="40" t="str">
        <f aca="false">IF($A207="","",项目档案!$B207)</f>
        <v/>
      </c>
      <c r="C207" s="41" t="str">
        <f aca="false">IF($A207="","",SUMIFS(业务流水!$H$5:$H$1504,业务流水!$E$5:$E$1504,"*",业务流水!$D$5:$D$1504,"销项开票",业务流水!$C$5:$C$1504,$A207,业务流水!$Z$5:$Z$1504,"是"))</f>
        <v/>
      </c>
      <c r="D207" s="41" t="str">
        <f aca="false">IF($A207="","",SUMIFS(业务流水!$O$5:$O$1504,业务流水!$E$5:$E$1504,"*",业务流水!$D$5:$D$1504,"销项开票",业务流水!$C$5:$C$1504,$A207,业务流水!$Z$5:$Z$1504,"是"))</f>
        <v/>
      </c>
      <c r="E207" s="41" t="str">
        <f aca="false">IF($A207="","",SUMIFS(业务流水!$P$5:$P$1504,业务流水!$E$5:$E$1504,"*",业务流水!$D$5:$D$1504,"销项开票",业务流水!$C$5:$C$1504,$A207,业务流水!$Z$5:$Z$1504,"是"))</f>
        <v/>
      </c>
      <c r="F207" s="41" t="str">
        <f aca="false">IF($A207="","",SUMIFS(业务流水!$H$5:$H$1504,业务流水!$F$5:$F$1504,"*",业务流水!$D$5:$D$1504,"成本票",业务流水!$C$5:$C$1504,$A207,业务流水!$Z$5:$Z$1504,"是")+SUMIFS(业务流水!$H$5:$H$1504,业务流水!$F$5:$F$1504,"*",业务流水!$D$5:$D$1504,"销项开票",业务流水!$C$5:$C$1504,$A207,业务流水!$Z$5:$Z$1504,"是"))</f>
        <v/>
      </c>
      <c r="G207" s="42" t="str">
        <f aca="false">IF($A207="","",$E207-$F207)</f>
        <v/>
      </c>
      <c r="H207" s="41" t="str">
        <f aca="false">IF($A207="","",SUMIFS(业务流水!$W$5:$W$1504,业务流水!$E$5:$E$1504,"*",业务流水!$D$5:$D$1504,"销项开票",业务流水!$C$5:$C$1504,$A207,业务流水!$Z$5:$Z$1504,"是"))</f>
        <v/>
      </c>
      <c r="I207" s="41" t="str">
        <f aca="false">IF($A207="","",SUMIFS(业务流水!$H$5:$H$1504,业务流水!$E$5:$E$1504,"*",业务流水!$D$5:$D$1504,"已交税",业务流水!$C$5:$C$1504,$A207,业务流水!$Z$5:$Z$1504,"是"))</f>
        <v/>
      </c>
      <c r="J207" s="42" t="str">
        <f aca="false">IF($A207="","",$H207-$I207)</f>
        <v/>
      </c>
      <c r="K207" s="41" t="str">
        <f aca="false">IF($A207="","",SUMIFS(业务流水!$H$5:$H$1504,业务流水!$F$5:$F$1504,"*",业务流水!$D$5:$D$1504,"挂靠代收",业务流水!$C$5:$C$1504,$A207,业务流水!$Z$5:$Z$1504,"是"))</f>
        <v/>
      </c>
      <c r="L207" s="42" t="str">
        <f aca="false">IF($A207="","",$C207-$K207)</f>
        <v/>
      </c>
      <c r="M207" s="41" t="str">
        <f aca="false">IF($A207="","",SUMIFS(业务流水!$H$5:$H$1504,业务流水!$E$5:$E$1504,"*",业务流水!$D$5:$D$1504,"我方收款",业务流水!$C$5:$C$1504,$A207,业务流水!$Z$5:$Z$1504,"是"))</f>
        <v/>
      </c>
      <c r="N207" s="43" t="str">
        <f aca="false">IF($A207="","",$K207-$M207)</f>
        <v/>
      </c>
      <c r="O207" s="41" t="str">
        <f aca="false">IF($A207="","",SUMIFS(业务流水!$H$5:$H$1504,业务流水!$F$5:$F$1504,"*",业务流水!$D$5:$D$1504,"管理费结算",业务流水!$C$5:$C$1504,$A207,业务流水!$Z$5:$Z$1504,"是"))</f>
        <v/>
      </c>
      <c r="P207" s="41" t="str">
        <f aca="false">IF($A207="","",SUMIFS(业务流水!$H$5:$H$1504,业务流水!$E$5:$E$1504,"*",业务流水!$D$5:$D$1504,"扣质保金",业务流水!$C$5:$C$1504,$A207,业务流水!$Z$5:$Z$1504,"是"))</f>
        <v/>
      </c>
    </row>
    <row r="208" customFormat="false" ht="15.75" hidden="false" customHeight="true" outlineLevel="0" collapsed="false">
      <c r="A208" s="32" t="str">
        <f aca="false">IF(项目档案!$A208="","",项目档案!$A208)</f>
        <v/>
      </c>
      <c r="B208" s="40" t="str">
        <f aca="false">IF($A208="","",项目档案!$B208)</f>
        <v/>
      </c>
      <c r="C208" s="41" t="str">
        <f aca="false">IF($A208="","",SUMIFS(业务流水!$H$5:$H$1504,业务流水!$E$5:$E$1504,"*",业务流水!$D$5:$D$1504,"销项开票",业务流水!$C$5:$C$1504,$A208,业务流水!$Z$5:$Z$1504,"是"))</f>
        <v/>
      </c>
      <c r="D208" s="41" t="str">
        <f aca="false">IF($A208="","",SUMIFS(业务流水!$O$5:$O$1504,业务流水!$E$5:$E$1504,"*",业务流水!$D$5:$D$1504,"销项开票",业务流水!$C$5:$C$1504,$A208,业务流水!$Z$5:$Z$1504,"是"))</f>
        <v/>
      </c>
      <c r="E208" s="41" t="str">
        <f aca="false">IF($A208="","",SUMIFS(业务流水!$P$5:$P$1504,业务流水!$E$5:$E$1504,"*",业务流水!$D$5:$D$1504,"销项开票",业务流水!$C$5:$C$1504,$A208,业务流水!$Z$5:$Z$1504,"是"))</f>
        <v/>
      </c>
      <c r="F208" s="41" t="str">
        <f aca="false">IF($A208="","",SUMIFS(业务流水!$H$5:$H$1504,业务流水!$F$5:$F$1504,"*",业务流水!$D$5:$D$1504,"成本票",业务流水!$C$5:$C$1504,$A208,业务流水!$Z$5:$Z$1504,"是")+SUMIFS(业务流水!$H$5:$H$1504,业务流水!$F$5:$F$1504,"*",业务流水!$D$5:$D$1504,"销项开票",业务流水!$C$5:$C$1504,$A208,业务流水!$Z$5:$Z$1504,"是"))</f>
        <v/>
      </c>
      <c r="G208" s="42" t="str">
        <f aca="false">IF($A208="","",$E208-$F208)</f>
        <v/>
      </c>
      <c r="H208" s="41" t="str">
        <f aca="false">IF($A208="","",SUMIFS(业务流水!$W$5:$W$1504,业务流水!$E$5:$E$1504,"*",业务流水!$D$5:$D$1504,"销项开票",业务流水!$C$5:$C$1504,$A208,业务流水!$Z$5:$Z$1504,"是"))</f>
        <v/>
      </c>
      <c r="I208" s="41" t="str">
        <f aca="false">IF($A208="","",SUMIFS(业务流水!$H$5:$H$1504,业务流水!$E$5:$E$1504,"*",业务流水!$D$5:$D$1504,"已交税",业务流水!$C$5:$C$1504,$A208,业务流水!$Z$5:$Z$1504,"是"))</f>
        <v/>
      </c>
      <c r="J208" s="42" t="str">
        <f aca="false">IF($A208="","",$H208-$I208)</f>
        <v/>
      </c>
      <c r="K208" s="41" t="str">
        <f aca="false">IF($A208="","",SUMIFS(业务流水!$H$5:$H$1504,业务流水!$F$5:$F$1504,"*",业务流水!$D$5:$D$1504,"挂靠代收",业务流水!$C$5:$C$1504,$A208,业务流水!$Z$5:$Z$1504,"是"))</f>
        <v/>
      </c>
      <c r="L208" s="42" t="str">
        <f aca="false">IF($A208="","",$C208-$K208)</f>
        <v/>
      </c>
      <c r="M208" s="41" t="str">
        <f aca="false">IF($A208="","",SUMIFS(业务流水!$H$5:$H$1504,业务流水!$E$5:$E$1504,"*",业务流水!$D$5:$D$1504,"我方收款",业务流水!$C$5:$C$1504,$A208,业务流水!$Z$5:$Z$1504,"是"))</f>
        <v/>
      </c>
      <c r="N208" s="43" t="str">
        <f aca="false">IF($A208="","",$K208-$M208)</f>
        <v/>
      </c>
      <c r="O208" s="41" t="str">
        <f aca="false">IF($A208="","",SUMIFS(业务流水!$H$5:$H$1504,业务流水!$F$5:$F$1504,"*",业务流水!$D$5:$D$1504,"管理费结算",业务流水!$C$5:$C$1504,$A208,业务流水!$Z$5:$Z$1504,"是"))</f>
        <v/>
      </c>
      <c r="P208" s="41" t="str">
        <f aca="false">IF($A208="","",SUMIFS(业务流水!$H$5:$H$1504,业务流水!$E$5:$E$1504,"*",业务流水!$D$5:$D$1504,"扣质保金",业务流水!$C$5:$C$1504,$A208,业务流水!$Z$5:$Z$1504,"是"))</f>
        <v/>
      </c>
    </row>
    <row r="209" customFormat="false" ht="15.75" hidden="false" customHeight="true" outlineLevel="0" collapsed="false">
      <c r="A209" s="32" t="str">
        <f aca="false">IF(项目档案!$A209="","",项目档案!$A209)</f>
        <v/>
      </c>
      <c r="B209" s="40" t="str">
        <f aca="false">IF($A209="","",项目档案!$B209)</f>
        <v/>
      </c>
      <c r="C209" s="41" t="str">
        <f aca="false">IF($A209="","",SUMIFS(业务流水!$H$5:$H$1504,业务流水!$E$5:$E$1504,"*",业务流水!$D$5:$D$1504,"销项开票",业务流水!$C$5:$C$1504,$A209,业务流水!$Z$5:$Z$1504,"是"))</f>
        <v/>
      </c>
      <c r="D209" s="41" t="str">
        <f aca="false">IF($A209="","",SUMIFS(业务流水!$O$5:$O$1504,业务流水!$E$5:$E$1504,"*",业务流水!$D$5:$D$1504,"销项开票",业务流水!$C$5:$C$1504,$A209,业务流水!$Z$5:$Z$1504,"是"))</f>
        <v/>
      </c>
      <c r="E209" s="41" t="str">
        <f aca="false">IF($A209="","",SUMIFS(业务流水!$P$5:$P$1504,业务流水!$E$5:$E$1504,"*",业务流水!$D$5:$D$1504,"销项开票",业务流水!$C$5:$C$1504,$A209,业务流水!$Z$5:$Z$1504,"是"))</f>
        <v/>
      </c>
      <c r="F209" s="41" t="str">
        <f aca="false">IF($A209="","",SUMIFS(业务流水!$H$5:$H$1504,业务流水!$F$5:$F$1504,"*",业务流水!$D$5:$D$1504,"成本票",业务流水!$C$5:$C$1504,$A209,业务流水!$Z$5:$Z$1504,"是")+SUMIFS(业务流水!$H$5:$H$1504,业务流水!$F$5:$F$1504,"*",业务流水!$D$5:$D$1504,"销项开票",业务流水!$C$5:$C$1504,$A209,业务流水!$Z$5:$Z$1504,"是"))</f>
        <v/>
      </c>
      <c r="G209" s="42" t="str">
        <f aca="false">IF($A209="","",$E209-$F209)</f>
        <v/>
      </c>
      <c r="H209" s="41" t="str">
        <f aca="false">IF($A209="","",SUMIFS(业务流水!$W$5:$W$1504,业务流水!$E$5:$E$1504,"*",业务流水!$D$5:$D$1504,"销项开票",业务流水!$C$5:$C$1504,$A209,业务流水!$Z$5:$Z$1504,"是"))</f>
        <v/>
      </c>
      <c r="I209" s="41" t="str">
        <f aca="false">IF($A209="","",SUMIFS(业务流水!$H$5:$H$1504,业务流水!$E$5:$E$1504,"*",业务流水!$D$5:$D$1504,"已交税",业务流水!$C$5:$C$1504,$A209,业务流水!$Z$5:$Z$1504,"是"))</f>
        <v/>
      </c>
      <c r="J209" s="42" t="str">
        <f aca="false">IF($A209="","",$H209-$I209)</f>
        <v/>
      </c>
      <c r="K209" s="41" t="str">
        <f aca="false">IF($A209="","",SUMIFS(业务流水!$H$5:$H$1504,业务流水!$F$5:$F$1504,"*",业务流水!$D$5:$D$1504,"挂靠代收",业务流水!$C$5:$C$1504,$A209,业务流水!$Z$5:$Z$1504,"是"))</f>
        <v/>
      </c>
      <c r="L209" s="42" t="str">
        <f aca="false">IF($A209="","",$C209-$K209)</f>
        <v/>
      </c>
      <c r="M209" s="41" t="str">
        <f aca="false">IF($A209="","",SUMIFS(业务流水!$H$5:$H$1504,业务流水!$E$5:$E$1504,"*",业务流水!$D$5:$D$1504,"我方收款",业务流水!$C$5:$C$1504,$A209,业务流水!$Z$5:$Z$1504,"是"))</f>
        <v/>
      </c>
      <c r="N209" s="43" t="str">
        <f aca="false">IF($A209="","",$K209-$M209)</f>
        <v/>
      </c>
      <c r="O209" s="41" t="str">
        <f aca="false">IF($A209="","",SUMIFS(业务流水!$H$5:$H$1504,业务流水!$F$5:$F$1504,"*",业务流水!$D$5:$D$1504,"管理费结算",业务流水!$C$5:$C$1504,$A209,业务流水!$Z$5:$Z$1504,"是"))</f>
        <v/>
      </c>
      <c r="P209" s="41" t="str">
        <f aca="false">IF($A209="","",SUMIFS(业务流水!$H$5:$H$1504,业务流水!$E$5:$E$1504,"*",业务流水!$D$5:$D$1504,"扣质保金",业务流水!$C$5:$C$1504,$A209,业务流水!$Z$5:$Z$1504,"是"))</f>
        <v/>
      </c>
    </row>
    <row r="210" customFormat="false" ht="15.75" hidden="false" customHeight="true" outlineLevel="0" collapsed="false">
      <c r="A210" s="32" t="str">
        <f aca="false">IF(项目档案!$A210="","",项目档案!$A210)</f>
        <v/>
      </c>
      <c r="B210" s="40" t="str">
        <f aca="false">IF($A210="","",项目档案!$B210)</f>
        <v/>
      </c>
      <c r="C210" s="41" t="str">
        <f aca="false">IF($A210="","",SUMIFS(业务流水!$H$5:$H$1504,业务流水!$E$5:$E$1504,"*",业务流水!$D$5:$D$1504,"销项开票",业务流水!$C$5:$C$1504,$A210,业务流水!$Z$5:$Z$1504,"是"))</f>
        <v/>
      </c>
      <c r="D210" s="41" t="str">
        <f aca="false">IF($A210="","",SUMIFS(业务流水!$O$5:$O$1504,业务流水!$E$5:$E$1504,"*",业务流水!$D$5:$D$1504,"销项开票",业务流水!$C$5:$C$1504,$A210,业务流水!$Z$5:$Z$1504,"是"))</f>
        <v/>
      </c>
      <c r="E210" s="41" t="str">
        <f aca="false">IF($A210="","",SUMIFS(业务流水!$P$5:$P$1504,业务流水!$E$5:$E$1504,"*",业务流水!$D$5:$D$1504,"销项开票",业务流水!$C$5:$C$1504,$A210,业务流水!$Z$5:$Z$1504,"是"))</f>
        <v/>
      </c>
      <c r="F210" s="41" t="str">
        <f aca="false">IF($A210="","",SUMIFS(业务流水!$H$5:$H$1504,业务流水!$F$5:$F$1504,"*",业务流水!$D$5:$D$1504,"成本票",业务流水!$C$5:$C$1504,$A210,业务流水!$Z$5:$Z$1504,"是")+SUMIFS(业务流水!$H$5:$H$1504,业务流水!$F$5:$F$1504,"*",业务流水!$D$5:$D$1504,"销项开票",业务流水!$C$5:$C$1504,$A210,业务流水!$Z$5:$Z$1504,"是"))</f>
        <v/>
      </c>
      <c r="G210" s="42" t="str">
        <f aca="false">IF($A210="","",$E210-$F210)</f>
        <v/>
      </c>
      <c r="H210" s="41" t="str">
        <f aca="false">IF($A210="","",SUMIFS(业务流水!$W$5:$W$1504,业务流水!$E$5:$E$1504,"*",业务流水!$D$5:$D$1504,"销项开票",业务流水!$C$5:$C$1504,$A210,业务流水!$Z$5:$Z$1504,"是"))</f>
        <v/>
      </c>
      <c r="I210" s="41" t="str">
        <f aca="false">IF($A210="","",SUMIFS(业务流水!$H$5:$H$1504,业务流水!$E$5:$E$1504,"*",业务流水!$D$5:$D$1504,"已交税",业务流水!$C$5:$C$1504,$A210,业务流水!$Z$5:$Z$1504,"是"))</f>
        <v/>
      </c>
      <c r="J210" s="42" t="str">
        <f aca="false">IF($A210="","",$H210-$I210)</f>
        <v/>
      </c>
      <c r="K210" s="41" t="str">
        <f aca="false">IF($A210="","",SUMIFS(业务流水!$H$5:$H$1504,业务流水!$F$5:$F$1504,"*",业务流水!$D$5:$D$1504,"挂靠代收",业务流水!$C$5:$C$1504,$A210,业务流水!$Z$5:$Z$1504,"是"))</f>
        <v/>
      </c>
      <c r="L210" s="42" t="str">
        <f aca="false">IF($A210="","",$C210-$K210)</f>
        <v/>
      </c>
      <c r="M210" s="41" t="str">
        <f aca="false">IF($A210="","",SUMIFS(业务流水!$H$5:$H$1504,业务流水!$E$5:$E$1504,"*",业务流水!$D$5:$D$1504,"我方收款",业务流水!$C$5:$C$1504,$A210,业务流水!$Z$5:$Z$1504,"是"))</f>
        <v/>
      </c>
      <c r="N210" s="43" t="str">
        <f aca="false">IF($A210="","",$K210-$M210)</f>
        <v/>
      </c>
      <c r="O210" s="41" t="str">
        <f aca="false">IF($A210="","",SUMIFS(业务流水!$H$5:$H$1504,业务流水!$F$5:$F$1504,"*",业务流水!$D$5:$D$1504,"管理费结算",业务流水!$C$5:$C$1504,$A210,业务流水!$Z$5:$Z$1504,"是"))</f>
        <v/>
      </c>
      <c r="P210" s="41" t="str">
        <f aca="false">IF($A210="","",SUMIFS(业务流水!$H$5:$H$1504,业务流水!$E$5:$E$1504,"*",业务流水!$D$5:$D$1504,"扣质保金",业务流水!$C$5:$C$1504,$A210,业务流水!$Z$5:$Z$1504,"是"))</f>
        <v/>
      </c>
    </row>
    <row r="211" customFormat="false" ht="15.75" hidden="false" customHeight="true" outlineLevel="0" collapsed="false">
      <c r="A211" s="32" t="str">
        <f aca="false">IF(项目档案!$A211="","",项目档案!$A211)</f>
        <v/>
      </c>
      <c r="B211" s="40" t="str">
        <f aca="false">IF($A211="","",项目档案!$B211)</f>
        <v/>
      </c>
      <c r="C211" s="41" t="str">
        <f aca="false">IF($A211="","",SUMIFS(业务流水!$H$5:$H$1504,业务流水!$E$5:$E$1504,"*",业务流水!$D$5:$D$1504,"销项开票",业务流水!$C$5:$C$1504,$A211,业务流水!$Z$5:$Z$1504,"是"))</f>
        <v/>
      </c>
      <c r="D211" s="41" t="str">
        <f aca="false">IF($A211="","",SUMIFS(业务流水!$O$5:$O$1504,业务流水!$E$5:$E$1504,"*",业务流水!$D$5:$D$1504,"销项开票",业务流水!$C$5:$C$1504,$A211,业务流水!$Z$5:$Z$1504,"是"))</f>
        <v/>
      </c>
      <c r="E211" s="41" t="str">
        <f aca="false">IF($A211="","",SUMIFS(业务流水!$P$5:$P$1504,业务流水!$E$5:$E$1504,"*",业务流水!$D$5:$D$1504,"销项开票",业务流水!$C$5:$C$1504,$A211,业务流水!$Z$5:$Z$1504,"是"))</f>
        <v/>
      </c>
      <c r="F211" s="41" t="str">
        <f aca="false">IF($A211="","",SUMIFS(业务流水!$H$5:$H$1504,业务流水!$F$5:$F$1504,"*",业务流水!$D$5:$D$1504,"成本票",业务流水!$C$5:$C$1504,$A211,业务流水!$Z$5:$Z$1504,"是")+SUMIFS(业务流水!$H$5:$H$1504,业务流水!$F$5:$F$1504,"*",业务流水!$D$5:$D$1504,"销项开票",业务流水!$C$5:$C$1504,$A211,业务流水!$Z$5:$Z$1504,"是"))</f>
        <v/>
      </c>
      <c r="G211" s="42" t="str">
        <f aca="false">IF($A211="","",$E211-$F211)</f>
        <v/>
      </c>
      <c r="H211" s="41" t="str">
        <f aca="false">IF($A211="","",SUMIFS(业务流水!$W$5:$W$1504,业务流水!$E$5:$E$1504,"*",业务流水!$D$5:$D$1504,"销项开票",业务流水!$C$5:$C$1504,$A211,业务流水!$Z$5:$Z$1504,"是"))</f>
        <v/>
      </c>
      <c r="I211" s="41" t="str">
        <f aca="false">IF($A211="","",SUMIFS(业务流水!$H$5:$H$1504,业务流水!$E$5:$E$1504,"*",业务流水!$D$5:$D$1504,"已交税",业务流水!$C$5:$C$1504,$A211,业务流水!$Z$5:$Z$1504,"是"))</f>
        <v/>
      </c>
      <c r="J211" s="42" t="str">
        <f aca="false">IF($A211="","",$H211-$I211)</f>
        <v/>
      </c>
      <c r="K211" s="41" t="str">
        <f aca="false">IF($A211="","",SUMIFS(业务流水!$H$5:$H$1504,业务流水!$F$5:$F$1504,"*",业务流水!$D$5:$D$1504,"挂靠代收",业务流水!$C$5:$C$1504,$A211,业务流水!$Z$5:$Z$1504,"是"))</f>
        <v/>
      </c>
      <c r="L211" s="42" t="str">
        <f aca="false">IF($A211="","",$C211-$K211)</f>
        <v/>
      </c>
      <c r="M211" s="41" t="str">
        <f aca="false">IF($A211="","",SUMIFS(业务流水!$H$5:$H$1504,业务流水!$E$5:$E$1504,"*",业务流水!$D$5:$D$1504,"我方收款",业务流水!$C$5:$C$1504,$A211,业务流水!$Z$5:$Z$1504,"是"))</f>
        <v/>
      </c>
      <c r="N211" s="43" t="str">
        <f aca="false">IF($A211="","",$K211-$M211)</f>
        <v/>
      </c>
      <c r="O211" s="41" t="str">
        <f aca="false">IF($A211="","",SUMIFS(业务流水!$H$5:$H$1504,业务流水!$F$5:$F$1504,"*",业务流水!$D$5:$D$1504,"管理费结算",业务流水!$C$5:$C$1504,$A211,业务流水!$Z$5:$Z$1504,"是"))</f>
        <v/>
      </c>
      <c r="P211" s="41" t="str">
        <f aca="false">IF($A211="","",SUMIFS(业务流水!$H$5:$H$1504,业务流水!$E$5:$E$1504,"*",业务流水!$D$5:$D$1504,"扣质保金",业务流水!$C$5:$C$1504,$A211,业务流水!$Z$5:$Z$1504,"是"))</f>
        <v/>
      </c>
    </row>
    <row r="212" customFormat="false" ht="15.75" hidden="false" customHeight="true" outlineLevel="0" collapsed="false">
      <c r="A212" s="32" t="str">
        <f aca="false">IF(项目档案!$A212="","",项目档案!$A212)</f>
        <v/>
      </c>
      <c r="B212" s="40" t="str">
        <f aca="false">IF($A212="","",项目档案!$B212)</f>
        <v/>
      </c>
      <c r="C212" s="41" t="str">
        <f aca="false">IF($A212="","",SUMIFS(业务流水!$H$5:$H$1504,业务流水!$E$5:$E$1504,"*",业务流水!$D$5:$D$1504,"销项开票",业务流水!$C$5:$C$1504,$A212,业务流水!$Z$5:$Z$1504,"是"))</f>
        <v/>
      </c>
      <c r="D212" s="41" t="str">
        <f aca="false">IF($A212="","",SUMIFS(业务流水!$O$5:$O$1504,业务流水!$E$5:$E$1504,"*",业务流水!$D$5:$D$1504,"销项开票",业务流水!$C$5:$C$1504,$A212,业务流水!$Z$5:$Z$1504,"是"))</f>
        <v/>
      </c>
      <c r="E212" s="41" t="str">
        <f aca="false">IF($A212="","",SUMIFS(业务流水!$P$5:$P$1504,业务流水!$E$5:$E$1504,"*",业务流水!$D$5:$D$1504,"销项开票",业务流水!$C$5:$C$1504,$A212,业务流水!$Z$5:$Z$1504,"是"))</f>
        <v/>
      </c>
      <c r="F212" s="41" t="str">
        <f aca="false">IF($A212="","",SUMIFS(业务流水!$H$5:$H$1504,业务流水!$F$5:$F$1504,"*",业务流水!$D$5:$D$1504,"成本票",业务流水!$C$5:$C$1504,$A212,业务流水!$Z$5:$Z$1504,"是")+SUMIFS(业务流水!$H$5:$H$1504,业务流水!$F$5:$F$1504,"*",业务流水!$D$5:$D$1504,"销项开票",业务流水!$C$5:$C$1504,$A212,业务流水!$Z$5:$Z$1504,"是"))</f>
        <v/>
      </c>
      <c r="G212" s="42" t="str">
        <f aca="false">IF($A212="","",$E212-$F212)</f>
        <v/>
      </c>
      <c r="H212" s="41" t="str">
        <f aca="false">IF($A212="","",SUMIFS(业务流水!$W$5:$W$1504,业务流水!$E$5:$E$1504,"*",业务流水!$D$5:$D$1504,"销项开票",业务流水!$C$5:$C$1504,$A212,业务流水!$Z$5:$Z$1504,"是"))</f>
        <v/>
      </c>
      <c r="I212" s="41" t="str">
        <f aca="false">IF($A212="","",SUMIFS(业务流水!$H$5:$H$1504,业务流水!$E$5:$E$1504,"*",业务流水!$D$5:$D$1504,"已交税",业务流水!$C$5:$C$1504,$A212,业务流水!$Z$5:$Z$1504,"是"))</f>
        <v/>
      </c>
      <c r="J212" s="42" t="str">
        <f aca="false">IF($A212="","",$H212-$I212)</f>
        <v/>
      </c>
      <c r="K212" s="41" t="str">
        <f aca="false">IF($A212="","",SUMIFS(业务流水!$H$5:$H$1504,业务流水!$F$5:$F$1504,"*",业务流水!$D$5:$D$1504,"挂靠代收",业务流水!$C$5:$C$1504,$A212,业务流水!$Z$5:$Z$1504,"是"))</f>
        <v/>
      </c>
      <c r="L212" s="42" t="str">
        <f aca="false">IF($A212="","",$C212-$K212)</f>
        <v/>
      </c>
      <c r="M212" s="41" t="str">
        <f aca="false">IF($A212="","",SUMIFS(业务流水!$H$5:$H$1504,业务流水!$E$5:$E$1504,"*",业务流水!$D$5:$D$1504,"我方收款",业务流水!$C$5:$C$1504,$A212,业务流水!$Z$5:$Z$1504,"是"))</f>
        <v/>
      </c>
      <c r="N212" s="43" t="str">
        <f aca="false">IF($A212="","",$K212-$M212)</f>
        <v/>
      </c>
      <c r="O212" s="41" t="str">
        <f aca="false">IF($A212="","",SUMIFS(业务流水!$H$5:$H$1504,业务流水!$F$5:$F$1504,"*",业务流水!$D$5:$D$1504,"管理费结算",业务流水!$C$5:$C$1504,$A212,业务流水!$Z$5:$Z$1504,"是"))</f>
        <v/>
      </c>
      <c r="P212" s="41" t="str">
        <f aca="false">IF($A212="","",SUMIFS(业务流水!$H$5:$H$1504,业务流水!$E$5:$E$1504,"*",业务流水!$D$5:$D$1504,"扣质保金",业务流水!$C$5:$C$1504,$A212,业务流水!$Z$5:$Z$1504,"是"))</f>
        <v/>
      </c>
    </row>
    <row r="213" customFormat="false" ht="15.75" hidden="false" customHeight="true" outlineLevel="0" collapsed="false">
      <c r="A213" s="32" t="str">
        <f aca="false">IF(项目档案!$A213="","",项目档案!$A213)</f>
        <v/>
      </c>
      <c r="B213" s="40" t="str">
        <f aca="false">IF($A213="","",项目档案!$B213)</f>
        <v/>
      </c>
      <c r="C213" s="41" t="str">
        <f aca="false">IF($A213="","",SUMIFS(业务流水!$H$5:$H$1504,业务流水!$E$5:$E$1504,"*",业务流水!$D$5:$D$1504,"销项开票",业务流水!$C$5:$C$1504,$A213,业务流水!$Z$5:$Z$1504,"是"))</f>
        <v/>
      </c>
      <c r="D213" s="41" t="str">
        <f aca="false">IF($A213="","",SUMIFS(业务流水!$O$5:$O$1504,业务流水!$E$5:$E$1504,"*",业务流水!$D$5:$D$1504,"销项开票",业务流水!$C$5:$C$1504,$A213,业务流水!$Z$5:$Z$1504,"是"))</f>
        <v/>
      </c>
      <c r="E213" s="41" t="str">
        <f aca="false">IF($A213="","",SUMIFS(业务流水!$P$5:$P$1504,业务流水!$E$5:$E$1504,"*",业务流水!$D$5:$D$1504,"销项开票",业务流水!$C$5:$C$1504,$A213,业务流水!$Z$5:$Z$1504,"是"))</f>
        <v/>
      </c>
      <c r="F213" s="41" t="str">
        <f aca="false">IF($A213="","",SUMIFS(业务流水!$H$5:$H$1504,业务流水!$F$5:$F$1504,"*",业务流水!$D$5:$D$1504,"成本票",业务流水!$C$5:$C$1504,$A213,业务流水!$Z$5:$Z$1504,"是")+SUMIFS(业务流水!$H$5:$H$1504,业务流水!$F$5:$F$1504,"*",业务流水!$D$5:$D$1504,"销项开票",业务流水!$C$5:$C$1504,$A213,业务流水!$Z$5:$Z$1504,"是"))</f>
        <v/>
      </c>
      <c r="G213" s="42" t="str">
        <f aca="false">IF($A213="","",$E213-$F213)</f>
        <v/>
      </c>
      <c r="H213" s="41" t="str">
        <f aca="false">IF($A213="","",SUMIFS(业务流水!$W$5:$W$1504,业务流水!$E$5:$E$1504,"*",业务流水!$D$5:$D$1504,"销项开票",业务流水!$C$5:$C$1504,$A213,业务流水!$Z$5:$Z$1504,"是"))</f>
        <v/>
      </c>
      <c r="I213" s="41" t="str">
        <f aca="false">IF($A213="","",SUMIFS(业务流水!$H$5:$H$1504,业务流水!$E$5:$E$1504,"*",业务流水!$D$5:$D$1504,"已交税",业务流水!$C$5:$C$1504,$A213,业务流水!$Z$5:$Z$1504,"是"))</f>
        <v/>
      </c>
      <c r="J213" s="42" t="str">
        <f aca="false">IF($A213="","",$H213-$I213)</f>
        <v/>
      </c>
      <c r="K213" s="41" t="str">
        <f aca="false">IF($A213="","",SUMIFS(业务流水!$H$5:$H$1504,业务流水!$F$5:$F$1504,"*",业务流水!$D$5:$D$1504,"挂靠代收",业务流水!$C$5:$C$1504,$A213,业务流水!$Z$5:$Z$1504,"是"))</f>
        <v/>
      </c>
      <c r="L213" s="42" t="str">
        <f aca="false">IF($A213="","",$C213-$K213)</f>
        <v/>
      </c>
      <c r="M213" s="41" t="str">
        <f aca="false">IF($A213="","",SUMIFS(业务流水!$H$5:$H$1504,业务流水!$E$5:$E$1504,"*",业务流水!$D$5:$D$1504,"我方收款",业务流水!$C$5:$C$1504,$A213,业务流水!$Z$5:$Z$1504,"是"))</f>
        <v/>
      </c>
      <c r="N213" s="43" t="str">
        <f aca="false">IF($A213="","",$K213-$M213)</f>
        <v/>
      </c>
      <c r="O213" s="41" t="str">
        <f aca="false">IF($A213="","",SUMIFS(业务流水!$H$5:$H$1504,业务流水!$F$5:$F$1504,"*",业务流水!$D$5:$D$1504,"管理费结算",业务流水!$C$5:$C$1504,$A213,业务流水!$Z$5:$Z$1504,"是"))</f>
        <v/>
      </c>
      <c r="P213" s="41" t="str">
        <f aca="false">IF($A213="","",SUMIFS(业务流水!$H$5:$H$1504,业务流水!$E$5:$E$1504,"*",业务流水!$D$5:$D$1504,"扣质保金",业务流水!$C$5:$C$1504,$A213,业务流水!$Z$5:$Z$1504,"是"))</f>
        <v/>
      </c>
    </row>
    <row r="214" customFormat="false" ht="15.75" hidden="false" customHeight="true" outlineLevel="0" collapsed="false">
      <c r="A214" s="32" t="str">
        <f aca="false">IF(项目档案!$A214="","",项目档案!$A214)</f>
        <v/>
      </c>
      <c r="B214" s="40" t="str">
        <f aca="false">IF($A214="","",项目档案!$B214)</f>
        <v/>
      </c>
      <c r="C214" s="41" t="str">
        <f aca="false">IF($A214="","",SUMIFS(业务流水!$H$5:$H$1504,业务流水!$E$5:$E$1504,"*",业务流水!$D$5:$D$1504,"销项开票",业务流水!$C$5:$C$1504,$A214,业务流水!$Z$5:$Z$1504,"是"))</f>
        <v/>
      </c>
      <c r="D214" s="41" t="str">
        <f aca="false">IF($A214="","",SUMIFS(业务流水!$O$5:$O$1504,业务流水!$E$5:$E$1504,"*",业务流水!$D$5:$D$1504,"销项开票",业务流水!$C$5:$C$1504,$A214,业务流水!$Z$5:$Z$1504,"是"))</f>
        <v/>
      </c>
      <c r="E214" s="41" t="str">
        <f aca="false">IF($A214="","",SUMIFS(业务流水!$P$5:$P$1504,业务流水!$E$5:$E$1504,"*",业务流水!$D$5:$D$1504,"销项开票",业务流水!$C$5:$C$1504,$A214,业务流水!$Z$5:$Z$1504,"是"))</f>
        <v/>
      </c>
      <c r="F214" s="41" t="str">
        <f aca="false">IF($A214="","",SUMIFS(业务流水!$H$5:$H$1504,业务流水!$F$5:$F$1504,"*",业务流水!$D$5:$D$1504,"成本票",业务流水!$C$5:$C$1504,$A214,业务流水!$Z$5:$Z$1504,"是")+SUMIFS(业务流水!$H$5:$H$1504,业务流水!$F$5:$F$1504,"*",业务流水!$D$5:$D$1504,"销项开票",业务流水!$C$5:$C$1504,$A214,业务流水!$Z$5:$Z$1504,"是"))</f>
        <v/>
      </c>
      <c r="G214" s="42" t="str">
        <f aca="false">IF($A214="","",$E214-$F214)</f>
        <v/>
      </c>
      <c r="H214" s="41" t="str">
        <f aca="false">IF($A214="","",SUMIFS(业务流水!$W$5:$W$1504,业务流水!$E$5:$E$1504,"*",业务流水!$D$5:$D$1504,"销项开票",业务流水!$C$5:$C$1504,$A214,业务流水!$Z$5:$Z$1504,"是"))</f>
        <v/>
      </c>
      <c r="I214" s="41" t="str">
        <f aca="false">IF($A214="","",SUMIFS(业务流水!$H$5:$H$1504,业务流水!$E$5:$E$1504,"*",业务流水!$D$5:$D$1504,"已交税",业务流水!$C$5:$C$1504,$A214,业务流水!$Z$5:$Z$1504,"是"))</f>
        <v/>
      </c>
      <c r="J214" s="42" t="str">
        <f aca="false">IF($A214="","",$H214-$I214)</f>
        <v/>
      </c>
      <c r="K214" s="41" t="str">
        <f aca="false">IF($A214="","",SUMIFS(业务流水!$H$5:$H$1504,业务流水!$F$5:$F$1504,"*",业务流水!$D$5:$D$1504,"挂靠代收",业务流水!$C$5:$C$1504,$A214,业务流水!$Z$5:$Z$1504,"是"))</f>
        <v/>
      </c>
      <c r="L214" s="42" t="str">
        <f aca="false">IF($A214="","",$C214-$K214)</f>
        <v/>
      </c>
      <c r="M214" s="41" t="str">
        <f aca="false">IF($A214="","",SUMIFS(业务流水!$H$5:$H$1504,业务流水!$E$5:$E$1504,"*",业务流水!$D$5:$D$1504,"我方收款",业务流水!$C$5:$C$1504,$A214,业务流水!$Z$5:$Z$1504,"是"))</f>
        <v/>
      </c>
      <c r="N214" s="43" t="str">
        <f aca="false">IF($A214="","",$K214-$M214)</f>
        <v/>
      </c>
      <c r="O214" s="41" t="str">
        <f aca="false">IF($A214="","",SUMIFS(业务流水!$H$5:$H$1504,业务流水!$F$5:$F$1504,"*",业务流水!$D$5:$D$1504,"管理费结算",业务流水!$C$5:$C$1504,$A214,业务流水!$Z$5:$Z$1504,"是"))</f>
        <v/>
      </c>
      <c r="P214" s="41" t="str">
        <f aca="false">IF($A214="","",SUMIFS(业务流水!$H$5:$H$1504,业务流水!$E$5:$E$1504,"*",业务流水!$D$5:$D$1504,"扣质保金",业务流水!$C$5:$C$1504,$A214,业务流水!$Z$5:$Z$1504,"是"))</f>
        <v/>
      </c>
    </row>
    <row r="215" customFormat="false" ht="15.75" hidden="false" customHeight="true" outlineLevel="0" collapsed="false">
      <c r="A215" s="32" t="str">
        <f aca="false">IF(项目档案!$A215="","",项目档案!$A215)</f>
        <v/>
      </c>
      <c r="B215" s="40" t="str">
        <f aca="false">IF($A215="","",项目档案!$B215)</f>
        <v/>
      </c>
      <c r="C215" s="41" t="str">
        <f aca="false">IF($A215="","",SUMIFS(业务流水!$H$5:$H$1504,业务流水!$E$5:$E$1504,"*",业务流水!$D$5:$D$1504,"销项开票",业务流水!$C$5:$C$1504,$A215,业务流水!$Z$5:$Z$1504,"是"))</f>
        <v/>
      </c>
      <c r="D215" s="41" t="str">
        <f aca="false">IF($A215="","",SUMIFS(业务流水!$O$5:$O$1504,业务流水!$E$5:$E$1504,"*",业务流水!$D$5:$D$1504,"销项开票",业务流水!$C$5:$C$1504,$A215,业务流水!$Z$5:$Z$1504,"是"))</f>
        <v/>
      </c>
      <c r="E215" s="41" t="str">
        <f aca="false">IF($A215="","",SUMIFS(业务流水!$P$5:$P$1504,业务流水!$E$5:$E$1504,"*",业务流水!$D$5:$D$1504,"销项开票",业务流水!$C$5:$C$1504,$A215,业务流水!$Z$5:$Z$1504,"是"))</f>
        <v/>
      </c>
      <c r="F215" s="41" t="str">
        <f aca="false">IF($A215="","",SUMIFS(业务流水!$H$5:$H$1504,业务流水!$F$5:$F$1504,"*",业务流水!$D$5:$D$1504,"成本票",业务流水!$C$5:$C$1504,$A215,业务流水!$Z$5:$Z$1504,"是")+SUMIFS(业务流水!$H$5:$H$1504,业务流水!$F$5:$F$1504,"*",业务流水!$D$5:$D$1504,"销项开票",业务流水!$C$5:$C$1504,$A215,业务流水!$Z$5:$Z$1504,"是"))</f>
        <v/>
      </c>
      <c r="G215" s="42" t="str">
        <f aca="false">IF($A215="","",$E215-$F215)</f>
        <v/>
      </c>
      <c r="H215" s="41" t="str">
        <f aca="false">IF($A215="","",SUMIFS(业务流水!$W$5:$W$1504,业务流水!$E$5:$E$1504,"*",业务流水!$D$5:$D$1504,"销项开票",业务流水!$C$5:$C$1504,$A215,业务流水!$Z$5:$Z$1504,"是"))</f>
        <v/>
      </c>
      <c r="I215" s="41" t="str">
        <f aca="false">IF($A215="","",SUMIFS(业务流水!$H$5:$H$1504,业务流水!$E$5:$E$1504,"*",业务流水!$D$5:$D$1504,"已交税",业务流水!$C$5:$C$1504,$A215,业务流水!$Z$5:$Z$1504,"是"))</f>
        <v/>
      </c>
      <c r="J215" s="42" t="str">
        <f aca="false">IF($A215="","",$H215-$I215)</f>
        <v/>
      </c>
      <c r="K215" s="41" t="str">
        <f aca="false">IF($A215="","",SUMIFS(业务流水!$H$5:$H$1504,业务流水!$F$5:$F$1504,"*",业务流水!$D$5:$D$1504,"挂靠代收",业务流水!$C$5:$C$1504,$A215,业务流水!$Z$5:$Z$1504,"是"))</f>
        <v/>
      </c>
      <c r="L215" s="42" t="str">
        <f aca="false">IF($A215="","",$C215-$K215)</f>
        <v/>
      </c>
      <c r="M215" s="41" t="str">
        <f aca="false">IF($A215="","",SUMIFS(业务流水!$H$5:$H$1504,业务流水!$E$5:$E$1504,"*",业务流水!$D$5:$D$1504,"我方收款",业务流水!$C$5:$C$1504,$A215,业务流水!$Z$5:$Z$1504,"是"))</f>
        <v/>
      </c>
      <c r="N215" s="43" t="str">
        <f aca="false">IF($A215="","",$K215-$M215)</f>
        <v/>
      </c>
      <c r="O215" s="41" t="str">
        <f aca="false">IF($A215="","",SUMIFS(业务流水!$H$5:$H$1504,业务流水!$F$5:$F$1504,"*",业务流水!$D$5:$D$1504,"管理费结算",业务流水!$C$5:$C$1504,$A215,业务流水!$Z$5:$Z$1504,"是"))</f>
        <v/>
      </c>
      <c r="P215" s="41" t="str">
        <f aca="false">IF($A215="","",SUMIFS(业务流水!$H$5:$H$1504,业务流水!$E$5:$E$1504,"*",业务流水!$D$5:$D$1504,"扣质保金",业务流水!$C$5:$C$1504,$A215,业务流水!$Z$5:$Z$1504,"是"))</f>
        <v/>
      </c>
    </row>
    <row r="216" customFormat="false" ht="15.75" hidden="false" customHeight="true" outlineLevel="0" collapsed="false">
      <c r="A216" s="32" t="str">
        <f aca="false">IF(项目档案!$A216="","",项目档案!$A216)</f>
        <v/>
      </c>
      <c r="B216" s="40" t="str">
        <f aca="false">IF($A216="","",项目档案!$B216)</f>
        <v/>
      </c>
      <c r="C216" s="41" t="str">
        <f aca="false">IF($A216="","",SUMIFS(业务流水!$H$5:$H$1504,业务流水!$E$5:$E$1504,"*",业务流水!$D$5:$D$1504,"销项开票",业务流水!$C$5:$C$1504,$A216,业务流水!$Z$5:$Z$1504,"是"))</f>
        <v/>
      </c>
      <c r="D216" s="41" t="str">
        <f aca="false">IF($A216="","",SUMIFS(业务流水!$O$5:$O$1504,业务流水!$E$5:$E$1504,"*",业务流水!$D$5:$D$1504,"销项开票",业务流水!$C$5:$C$1504,$A216,业务流水!$Z$5:$Z$1504,"是"))</f>
        <v/>
      </c>
      <c r="E216" s="41" t="str">
        <f aca="false">IF($A216="","",SUMIFS(业务流水!$P$5:$P$1504,业务流水!$E$5:$E$1504,"*",业务流水!$D$5:$D$1504,"销项开票",业务流水!$C$5:$C$1504,$A216,业务流水!$Z$5:$Z$1504,"是"))</f>
        <v/>
      </c>
      <c r="F216" s="41" t="str">
        <f aca="false">IF($A216="","",SUMIFS(业务流水!$H$5:$H$1504,业务流水!$F$5:$F$1504,"*",业务流水!$D$5:$D$1504,"成本票",业务流水!$C$5:$C$1504,$A216,业务流水!$Z$5:$Z$1504,"是")+SUMIFS(业务流水!$H$5:$H$1504,业务流水!$F$5:$F$1504,"*",业务流水!$D$5:$D$1504,"销项开票",业务流水!$C$5:$C$1504,$A216,业务流水!$Z$5:$Z$1504,"是"))</f>
        <v/>
      </c>
      <c r="G216" s="42" t="str">
        <f aca="false">IF($A216="","",$E216-$F216)</f>
        <v/>
      </c>
      <c r="H216" s="41" t="str">
        <f aca="false">IF($A216="","",SUMIFS(业务流水!$W$5:$W$1504,业务流水!$E$5:$E$1504,"*",业务流水!$D$5:$D$1504,"销项开票",业务流水!$C$5:$C$1504,$A216,业务流水!$Z$5:$Z$1504,"是"))</f>
        <v/>
      </c>
      <c r="I216" s="41" t="str">
        <f aca="false">IF($A216="","",SUMIFS(业务流水!$H$5:$H$1504,业务流水!$E$5:$E$1504,"*",业务流水!$D$5:$D$1504,"已交税",业务流水!$C$5:$C$1504,$A216,业务流水!$Z$5:$Z$1504,"是"))</f>
        <v/>
      </c>
      <c r="J216" s="42" t="str">
        <f aca="false">IF($A216="","",$H216-$I216)</f>
        <v/>
      </c>
      <c r="K216" s="41" t="str">
        <f aca="false">IF($A216="","",SUMIFS(业务流水!$H$5:$H$1504,业务流水!$F$5:$F$1504,"*",业务流水!$D$5:$D$1504,"挂靠代收",业务流水!$C$5:$C$1504,$A216,业务流水!$Z$5:$Z$1504,"是"))</f>
        <v/>
      </c>
      <c r="L216" s="42" t="str">
        <f aca="false">IF($A216="","",$C216-$K216)</f>
        <v/>
      </c>
      <c r="M216" s="41" t="str">
        <f aca="false">IF($A216="","",SUMIFS(业务流水!$H$5:$H$1504,业务流水!$E$5:$E$1504,"*",业务流水!$D$5:$D$1504,"我方收款",业务流水!$C$5:$C$1504,$A216,业务流水!$Z$5:$Z$1504,"是"))</f>
        <v/>
      </c>
      <c r="N216" s="43" t="str">
        <f aca="false">IF($A216="","",$K216-$M216)</f>
        <v/>
      </c>
      <c r="O216" s="41" t="str">
        <f aca="false">IF($A216="","",SUMIFS(业务流水!$H$5:$H$1504,业务流水!$F$5:$F$1504,"*",业务流水!$D$5:$D$1504,"管理费结算",业务流水!$C$5:$C$1504,$A216,业务流水!$Z$5:$Z$1504,"是"))</f>
        <v/>
      </c>
      <c r="P216" s="41" t="str">
        <f aca="false">IF($A216="","",SUMIFS(业务流水!$H$5:$H$1504,业务流水!$E$5:$E$1504,"*",业务流水!$D$5:$D$1504,"扣质保金",业务流水!$C$5:$C$1504,$A216,业务流水!$Z$5:$Z$1504,"是"))</f>
        <v/>
      </c>
    </row>
    <row r="217" customFormat="false" ht="15.75" hidden="false" customHeight="true" outlineLevel="0" collapsed="false">
      <c r="A217" s="32" t="str">
        <f aca="false">IF(项目档案!$A217="","",项目档案!$A217)</f>
        <v/>
      </c>
      <c r="B217" s="40" t="str">
        <f aca="false">IF($A217="","",项目档案!$B217)</f>
        <v/>
      </c>
      <c r="C217" s="41" t="str">
        <f aca="false">IF($A217="","",SUMIFS(业务流水!$H$5:$H$1504,业务流水!$E$5:$E$1504,"*",业务流水!$D$5:$D$1504,"销项开票",业务流水!$C$5:$C$1504,$A217,业务流水!$Z$5:$Z$1504,"是"))</f>
        <v/>
      </c>
      <c r="D217" s="41" t="str">
        <f aca="false">IF($A217="","",SUMIFS(业务流水!$O$5:$O$1504,业务流水!$E$5:$E$1504,"*",业务流水!$D$5:$D$1504,"销项开票",业务流水!$C$5:$C$1504,$A217,业务流水!$Z$5:$Z$1504,"是"))</f>
        <v/>
      </c>
      <c r="E217" s="41" t="str">
        <f aca="false">IF($A217="","",SUMIFS(业务流水!$P$5:$P$1504,业务流水!$E$5:$E$1504,"*",业务流水!$D$5:$D$1504,"销项开票",业务流水!$C$5:$C$1504,$A217,业务流水!$Z$5:$Z$1504,"是"))</f>
        <v/>
      </c>
      <c r="F217" s="41" t="str">
        <f aca="false">IF($A217="","",SUMIFS(业务流水!$H$5:$H$1504,业务流水!$F$5:$F$1504,"*",业务流水!$D$5:$D$1504,"成本票",业务流水!$C$5:$C$1504,$A217,业务流水!$Z$5:$Z$1504,"是")+SUMIFS(业务流水!$H$5:$H$1504,业务流水!$F$5:$F$1504,"*",业务流水!$D$5:$D$1504,"销项开票",业务流水!$C$5:$C$1504,$A217,业务流水!$Z$5:$Z$1504,"是"))</f>
        <v/>
      </c>
      <c r="G217" s="42" t="str">
        <f aca="false">IF($A217="","",$E217-$F217)</f>
        <v/>
      </c>
      <c r="H217" s="41" t="str">
        <f aca="false">IF($A217="","",SUMIFS(业务流水!$W$5:$W$1504,业务流水!$E$5:$E$1504,"*",业务流水!$D$5:$D$1504,"销项开票",业务流水!$C$5:$C$1504,$A217,业务流水!$Z$5:$Z$1504,"是"))</f>
        <v/>
      </c>
      <c r="I217" s="41" t="str">
        <f aca="false">IF($A217="","",SUMIFS(业务流水!$H$5:$H$1504,业务流水!$E$5:$E$1504,"*",业务流水!$D$5:$D$1504,"已交税",业务流水!$C$5:$C$1504,$A217,业务流水!$Z$5:$Z$1504,"是"))</f>
        <v/>
      </c>
      <c r="J217" s="42" t="str">
        <f aca="false">IF($A217="","",$H217-$I217)</f>
        <v/>
      </c>
      <c r="K217" s="41" t="str">
        <f aca="false">IF($A217="","",SUMIFS(业务流水!$H$5:$H$1504,业务流水!$F$5:$F$1504,"*",业务流水!$D$5:$D$1504,"挂靠代收",业务流水!$C$5:$C$1504,$A217,业务流水!$Z$5:$Z$1504,"是"))</f>
        <v/>
      </c>
      <c r="L217" s="42" t="str">
        <f aca="false">IF($A217="","",$C217-$K217)</f>
        <v/>
      </c>
      <c r="M217" s="41" t="str">
        <f aca="false">IF($A217="","",SUMIFS(业务流水!$H$5:$H$1504,业务流水!$E$5:$E$1504,"*",业务流水!$D$5:$D$1504,"我方收款",业务流水!$C$5:$C$1504,$A217,业务流水!$Z$5:$Z$1504,"是"))</f>
        <v/>
      </c>
      <c r="N217" s="43" t="str">
        <f aca="false">IF($A217="","",$K217-$M217)</f>
        <v/>
      </c>
      <c r="O217" s="41" t="str">
        <f aca="false">IF($A217="","",SUMIFS(业务流水!$H$5:$H$1504,业务流水!$F$5:$F$1504,"*",业务流水!$D$5:$D$1504,"管理费结算",业务流水!$C$5:$C$1504,$A217,业务流水!$Z$5:$Z$1504,"是"))</f>
        <v/>
      </c>
      <c r="P217" s="41" t="str">
        <f aca="false">IF($A217="","",SUMIFS(业务流水!$H$5:$H$1504,业务流水!$E$5:$E$1504,"*",业务流水!$D$5:$D$1504,"扣质保金",业务流水!$C$5:$C$1504,$A217,业务流水!$Z$5:$Z$1504,"是"))</f>
        <v/>
      </c>
    </row>
    <row r="218" customFormat="false" ht="15.75" hidden="false" customHeight="true" outlineLevel="0" collapsed="false">
      <c r="A218" s="32" t="str">
        <f aca="false">IF(项目档案!$A218="","",项目档案!$A218)</f>
        <v/>
      </c>
      <c r="B218" s="40" t="str">
        <f aca="false">IF($A218="","",项目档案!$B218)</f>
        <v/>
      </c>
      <c r="C218" s="41" t="str">
        <f aca="false">IF($A218="","",SUMIFS(业务流水!$H$5:$H$1504,业务流水!$E$5:$E$1504,"*",业务流水!$D$5:$D$1504,"销项开票",业务流水!$C$5:$C$1504,$A218,业务流水!$Z$5:$Z$1504,"是"))</f>
        <v/>
      </c>
      <c r="D218" s="41" t="str">
        <f aca="false">IF($A218="","",SUMIFS(业务流水!$O$5:$O$1504,业务流水!$E$5:$E$1504,"*",业务流水!$D$5:$D$1504,"销项开票",业务流水!$C$5:$C$1504,$A218,业务流水!$Z$5:$Z$1504,"是"))</f>
        <v/>
      </c>
      <c r="E218" s="41" t="str">
        <f aca="false">IF($A218="","",SUMIFS(业务流水!$P$5:$P$1504,业务流水!$E$5:$E$1504,"*",业务流水!$D$5:$D$1504,"销项开票",业务流水!$C$5:$C$1504,$A218,业务流水!$Z$5:$Z$1504,"是"))</f>
        <v/>
      </c>
      <c r="F218" s="41" t="str">
        <f aca="false">IF($A218="","",SUMIFS(业务流水!$H$5:$H$1504,业务流水!$F$5:$F$1504,"*",业务流水!$D$5:$D$1504,"成本票",业务流水!$C$5:$C$1504,$A218,业务流水!$Z$5:$Z$1504,"是")+SUMIFS(业务流水!$H$5:$H$1504,业务流水!$F$5:$F$1504,"*",业务流水!$D$5:$D$1504,"销项开票",业务流水!$C$5:$C$1504,$A218,业务流水!$Z$5:$Z$1504,"是"))</f>
        <v/>
      </c>
      <c r="G218" s="42" t="str">
        <f aca="false">IF($A218="","",$E218-$F218)</f>
        <v/>
      </c>
      <c r="H218" s="41" t="str">
        <f aca="false">IF($A218="","",SUMIFS(业务流水!$W$5:$W$1504,业务流水!$E$5:$E$1504,"*",业务流水!$D$5:$D$1504,"销项开票",业务流水!$C$5:$C$1504,$A218,业务流水!$Z$5:$Z$1504,"是"))</f>
        <v/>
      </c>
      <c r="I218" s="41" t="str">
        <f aca="false">IF($A218="","",SUMIFS(业务流水!$H$5:$H$1504,业务流水!$E$5:$E$1504,"*",业务流水!$D$5:$D$1504,"已交税",业务流水!$C$5:$C$1504,$A218,业务流水!$Z$5:$Z$1504,"是"))</f>
        <v/>
      </c>
      <c r="J218" s="42" t="str">
        <f aca="false">IF($A218="","",$H218-$I218)</f>
        <v/>
      </c>
      <c r="K218" s="41" t="str">
        <f aca="false">IF($A218="","",SUMIFS(业务流水!$H$5:$H$1504,业务流水!$F$5:$F$1504,"*",业务流水!$D$5:$D$1504,"挂靠代收",业务流水!$C$5:$C$1504,$A218,业务流水!$Z$5:$Z$1504,"是"))</f>
        <v/>
      </c>
      <c r="L218" s="42" t="str">
        <f aca="false">IF($A218="","",$C218-$K218)</f>
        <v/>
      </c>
      <c r="M218" s="41" t="str">
        <f aca="false">IF($A218="","",SUMIFS(业务流水!$H$5:$H$1504,业务流水!$E$5:$E$1504,"*",业务流水!$D$5:$D$1504,"我方收款",业务流水!$C$5:$C$1504,$A218,业务流水!$Z$5:$Z$1504,"是"))</f>
        <v/>
      </c>
      <c r="N218" s="43" t="str">
        <f aca="false">IF($A218="","",$K218-$M218)</f>
        <v/>
      </c>
      <c r="O218" s="41" t="str">
        <f aca="false">IF($A218="","",SUMIFS(业务流水!$H$5:$H$1504,业务流水!$F$5:$F$1504,"*",业务流水!$D$5:$D$1504,"管理费结算",业务流水!$C$5:$C$1504,$A218,业务流水!$Z$5:$Z$1504,"是"))</f>
        <v/>
      </c>
      <c r="P218" s="41" t="str">
        <f aca="false">IF($A218="","",SUMIFS(业务流水!$H$5:$H$1504,业务流水!$E$5:$E$1504,"*",业务流水!$D$5:$D$1504,"扣质保金",业务流水!$C$5:$C$1504,$A218,业务流水!$Z$5:$Z$1504,"是"))</f>
        <v/>
      </c>
    </row>
    <row r="219" customFormat="false" ht="15.75" hidden="false" customHeight="true" outlineLevel="0" collapsed="false">
      <c r="A219" s="32" t="str">
        <f aca="false">IF(项目档案!$A219="","",项目档案!$A219)</f>
        <v/>
      </c>
      <c r="B219" s="40" t="str">
        <f aca="false">IF($A219="","",项目档案!$B219)</f>
        <v/>
      </c>
      <c r="C219" s="41" t="str">
        <f aca="false">IF($A219="","",SUMIFS(业务流水!$H$5:$H$1504,业务流水!$E$5:$E$1504,"*",业务流水!$D$5:$D$1504,"销项开票",业务流水!$C$5:$C$1504,$A219,业务流水!$Z$5:$Z$1504,"是"))</f>
        <v/>
      </c>
      <c r="D219" s="41" t="str">
        <f aca="false">IF($A219="","",SUMIFS(业务流水!$O$5:$O$1504,业务流水!$E$5:$E$1504,"*",业务流水!$D$5:$D$1504,"销项开票",业务流水!$C$5:$C$1504,$A219,业务流水!$Z$5:$Z$1504,"是"))</f>
        <v/>
      </c>
      <c r="E219" s="41" t="str">
        <f aca="false">IF($A219="","",SUMIFS(业务流水!$P$5:$P$1504,业务流水!$E$5:$E$1504,"*",业务流水!$D$5:$D$1504,"销项开票",业务流水!$C$5:$C$1504,$A219,业务流水!$Z$5:$Z$1504,"是"))</f>
        <v/>
      </c>
      <c r="F219" s="41" t="str">
        <f aca="false">IF($A219="","",SUMIFS(业务流水!$H$5:$H$1504,业务流水!$F$5:$F$1504,"*",业务流水!$D$5:$D$1504,"成本票",业务流水!$C$5:$C$1504,$A219,业务流水!$Z$5:$Z$1504,"是")+SUMIFS(业务流水!$H$5:$H$1504,业务流水!$F$5:$F$1504,"*",业务流水!$D$5:$D$1504,"销项开票",业务流水!$C$5:$C$1504,$A219,业务流水!$Z$5:$Z$1504,"是"))</f>
        <v/>
      </c>
      <c r="G219" s="42" t="str">
        <f aca="false">IF($A219="","",$E219-$F219)</f>
        <v/>
      </c>
      <c r="H219" s="41" t="str">
        <f aca="false">IF($A219="","",SUMIFS(业务流水!$W$5:$W$1504,业务流水!$E$5:$E$1504,"*",业务流水!$D$5:$D$1504,"销项开票",业务流水!$C$5:$C$1504,$A219,业务流水!$Z$5:$Z$1504,"是"))</f>
        <v/>
      </c>
      <c r="I219" s="41" t="str">
        <f aca="false">IF($A219="","",SUMIFS(业务流水!$H$5:$H$1504,业务流水!$E$5:$E$1504,"*",业务流水!$D$5:$D$1504,"已交税",业务流水!$C$5:$C$1504,$A219,业务流水!$Z$5:$Z$1504,"是"))</f>
        <v/>
      </c>
      <c r="J219" s="42" t="str">
        <f aca="false">IF($A219="","",$H219-$I219)</f>
        <v/>
      </c>
      <c r="K219" s="41" t="str">
        <f aca="false">IF($A219="","",SUMIFS(业务流水!$H$5:$H$1504,业务流水!$F$5:$F$1504,"*",业务流水!$D$5:$D$1504,"挂靠代收",业务流水!$C$5:$C$1504,$A219,业务流水!$Z$5:$Z$1504,"是"))</f>
        <v/>
      </c>
      <c r="L219" s="42" t="str">
        <f aca="false">IF($A219="","",$C219-$K219)</f>
        <v/>
      </c>
      <c r="M219" s="41" t="str">
        <f aca="false">IF($A219="","",SUMIFS(业务流水!$H$5:$H$1504,业务流水!$E$5:$E$1504,"*",业务流水!$D$5:$D$1504,"我方收款",业务流水!$C$5:$C$1504,$A219,业务流水!$Z$5:$Z$1504,"是"))</f>
        <v/>
      </c>
      <c r="N219" s="43" t="str">
        <f aca="false">IF($A219="","",$K219-$M219)</f>
        <v/>
      </c>
      <c r="O219" s="41" t="str">
        <f aca="false">IF($A219="","",SUMIFS(业务流水!$H$5:$H$1504,业务流水!$F$5:$F$1504,"*",业务流水!$D$5:$D$1504,"管理费结算",业务流水!$C$5:$C$1504,$A219,业务流水!$Z$5:$Z$1504,"是"))</f>
        <v/>
      </c>
      <c r="P219" s="41" t="str">
        <f aca="false">IF($A219="","",SUMIFS(业务流水!$H$5:$H$1504,业务流水!$E$5:$E$1504,"*",业务流水!$D$5:$D$1504,"扣质保金",业务流水!$C$5:$C$1504,$A219,业务流水!$Z$5:$Z$1504,"是"))</f>
        <v/>
      </c>
    </row>
    <row r="220" customFormat="false" ht="15.75" hidden="false" customHeight="true" outlineLevel="0" collapsed="false">
      <c r="A220" s="32" t="str">
        <f aca="false">IF(项目档案!$A220="","",项目档案!$A220)</f>
        <v/>
      </c>
      <c r="B220" s="40" t="str">
        <f aca="false">IF($A220="","",项目档案!$B220)</f>
        <v/>
      </c>
      <c r="C220" s="41" t="str">
        <f aca="false">IF($A220="","",SUMIFS(业务流水!$H$5:$H$1504,业务流水!$E$5:$E$1504,"*",业务流水!$D$5:$D$1504,"销项开票",业务流水!$C$5:$C$1504,$A220,业务流水!$Z$5:$Z$1504,"是"))</f>
        <v/>
      </c>
      <c r="D220" s="41" t="str">
        <f aca="false">IF($A220="","",SUMIFS(业务流水!$O$5:$O$1504,业务流水!$E$5:$E$1504,"*",业务流水!$D$5:$D$1504,"销项开票",业务流水!$C$5:$C$1504,$A220,业务流水!$Z$5:$Z$1504,"是"))</f>
        <v/>
      </c>
      <c r="E220" s="41" t="str">
        <f aca="false">IF($A220="","",SUMIFS(业务流水!$P$5:$P$1504,业务流水!$E$5:$E$1504,"*",业务流水!$D$5:$D$1504,"销项开票",业务流水!$C$5:$C$1504,$A220,业务流水!$Z$5:$Z$1504,"是"))</f>
        <v/>
      </c>
      <c r="F220" s="41" t="str">
        <f aca="false">IF($A220="","",SUMIFS(业务流水!$H$5:$H$1504,业务流水!$F$5:$F$1504,"*",业务流水!$D$5:$D$1504,"成本票",业务流水!$C$5:$C$1504,$A220,业务流水!$Z$5:$Z$1504,"是")+SUMIFS(业务流水!$H$5:$H$1504,业务流水!$F$5:$F$1504,"*",业务流水!$D$5:$D$1504,"销项开票",业务流水!$C$5:$C$1504,$A220,业务流水!$Z$5:$Z$1504,"是"))</f>
        <v/>
      </c>
      <c r="G220" s="42" t="str">
        <f aca="false">IF($A220="","",$E220-$F220)</f>
        <v/>
      </c>
      <c r="H220" s="41" t="str">
        <f aca="false">IF($A220="","",SUMIFS(业务流水!$W$5:$W$1504,业务流水!$E$5:$E$1504,"*",业务流水!$D$5:$D$1504,"销项开票",业务流水!$C$5:$C$1504,$A220,业务流水!$Z$5:$Z$1504,"是"))</f>
        <v/>
      </c>
      <c r="I220" s="41" t="str">
        <f aca="false">IF($A220="","",SUMIFS(业务流水!$H$5:$H$1504,业务流水!$E$5:$E$1504,"*",业务流水!$D$5:$D$1504,"已交税",业务流水!$C$5:$C$1504,$A220,业务流水!$Z$5:$Z$1504,"是"))</f>
        <v/>
      </c>
      <c r="J220" s="42" t="str">
        <f aca="false">IF($A220="","",$H220-$I220)</f>
        <v/>
      </c>
      <c r="K220" s="41" t="str">
        <f aca="false">IF($A220="","",SUMIFS(业务流水!$H$5:$H$1504,业务流水!$F$5:$F$1504,"*",业务流水!$D$5:$D$1504,"挂靠代收",业务流水!$C$5:$C$1504,$A220,业务流水!$Z$5:$Z$1504,"是"))</f>
        <v/>
      </c>
      <c r="L220" s="42" t="str">
        <f aca="false">IF($A220="","",$C220-$K220)</f>
        <v/>
      </c>
      <c r="M220" s="41" t="str">
        <f aca="false">IF($A220="","",SUMIFS(业务流水!$H$5:$H$1504,业务流水!$E$5:$E$1504,"*",业务流水!$D$5:$D$1504,"我方收款",业务流水!$C$5:$C$1504,$A220,业务流水!$Z$5:$Z$1504,"是"))</f>
        <v/>
      </c>
      <c r="N220" s="43" t="str">
        <f aca="false">IF($A220="","",$K220-$M220)</f>
        <v/>
      </c>
      <c r="O220" s="41" t="str">
        <f aca="false">IF($A220="","",SUMIFS(业务流水!$H$5:$H$1504,业务流水!$F$5:$F$1504,"*",业务流水!$D$5:$D$1504,"管理费结算",业务流水!$C$5:$C$1504,$A220,业务流水!$Z$5:$Z$1504,"是"))</f>
        <v/>
      </c>
      <c r="P220" s="41" t="str">
        <f aca="false">IF($A220="","",SUMIFS(业务流水!$H$5:$H$1504,业务流水!$E$5:$E$1504,"*",业务流水!$D$5:$D$1504,"扣质保金",业务流水!$C$5:$C$1504,$A220,业务流水!$Z$5:$Z$1504,"是"))</f>
        <v/>
      </c>
    </row>
    <row r="221" customFormat="false" ht="15.75" hidden="false" customHeight="true" outlineLevel="0" collapsed="false">
      <c r="A221" s="32" t="str">
        <f aca="false">IF(项目档案!$A221="","",项目档案!$A221)</f>
        <v/>
      </c>
      <c r="B221" s="40" t="str">
        <f aca="false">IF($A221="","",项目档案!$B221)</f>
        <v/>
      </c>
      <c r="C221" s="41" t="str">
        <f aca="false">IF($A221="","",SUMIFS(业务流水!$H$5:$H$1504,业务流水!$E$5:$E$1504,"*",业务流水!$D$5:$D$1504,"销项开票",业务流水!$C$5:$C$1504,$A221,业务流水!$Z$5:$Z$1504,"是"))</f>
        <v/>
      </c>
      <c r="D221" s="41" t="str">
        <f aca="false">IF($A221="","",SUMIFS(业务流水!$O$5:$O$1504,业务流水!$E$5:$E$1504,"*",业务流水!$D$5:$D$1504,"销项开票",业务流水!$C$5:$C$1504,$A221,业务流水!$Z$5:$Z$1504,"是"))</f>
        <v/>
      </c>
      <c r="E221" s="41" t="str">
        <f aca="false">IF($A221="","",SUMIFS(业务流水!$P$5:$P$1504,业务流水!$E$5:$E$1504,"*",业务流水!$D$5:$D$1504,"销项开票",业务流水!$C$5:$C$1504,$A221,业务流水!$Z$5:$Z$1504,"是"))</f>
        <v/>
      </c>
      <c r="F221" s="41" t="str">
        <f aca="false">IF($A221="","",SUMIFS(业务流水!$H$5:$H$1504,业务流水!$F$5:$F$1504,"*",业务流水!$D$5:$D$1504,"成本票",业务流水!$C$5:$C$1504,$A221,业务流水!$Z$5:$Z$1504,"是")+SUMIFS(业务流水!$H$5:$H$1504,业务流水!$F$5:$F$1504,"*",业务流水!$D$5:$D$1504,"销项开票",业务流水!$C$5:$C$1504,$A221,业务流水!$Z$5:$Z$1504,"是"))</f>
        <v/>
      </c>
      <c r="G221" s="42" t="str">
        <f aca="false">IF($A221="","",$E221-$F221)</f>
        <v/>
      </c>
      <c r="H221" s="41" t="str">
        <f aca="false">IF($A221="","",SUMIFS(业务流水!$W$5:$W$1504,业务流水!$E$5:$E$1504,"*",业务流水!$D$5:$D$1504,"销项开票",业务流水!$C$5:$C$1504,$A221,业务流水!$Z$5:$Z$1504,"是"))</f>
        <v/>
      </c>
      <c r="I221" s="41" t="str">
        <f aca="false">IF($A221="","",SUMIFS(业务流水!$H$5:$H$1504,业务流水!$E$5:$E$1504,"*",业务流水!$D$5:$D$1504,"已交税",业务流水!$C$5:$C$1504,$A221,业务流水!$Z$5:$Z$1504,"是"))</f>
        <v/>
      </c>
      <c r="J221" s="42" t="str">
        <f aca="false">IF($A221="","",$H221-$I221)</f>
        <v/>
      </c>
      <c r="K221" s="41" t="str">
        <f aca="false">IF($A221="","",SUMIFS(业务流水!$H$5:$H$1504,业务流水!$F$5:$F$1504,"*",业务流水!$D$5:$D$1504,"挂靠代收",业务流水!$C$5:$C$1504,$A221,业务流水!$Z$5:$Z$1504,"是"))</f>
        <v/>
      </c>
      <c r="L221" s="42" t="str">
        <f aca="false">IF($A221="","",$C221-$K221)</f>
        <v/>
      </c>
      <c r="M221" s="41" t="str">
        <f aca="false">IF($A221="","",SUMIFS(业务流水!$H$5:$H$1504,业务流水!$E$5:$E$1504,"*",业务流水!$D$5:$D$1504,"我方收款",业务流水!$C$5:$C$1504,$A221,业务流水!$Z$5:$Z$1504,"是"))</f>
        <v/>
      </c>
      <c r="N221" s="43" t="str">
        <f aca="false">IF($A221="","",$K221-$M221)</f>
        <v/>
      </c>
      <c r="O221" s="41" t="str">
        <f aca="false">IF($A221="","",SUMIFS(业务流水!$H$5:$H$1504,业务流水!$F$5:$F$1504,"*",业务流水!$D$5:$D$1504,"管理费结算",业务流水!$C$5:$C$1504,$A221,业务流水!$Z$5:$Z$1504,"是"))</f>
        <v/>
      </c>
      <c r="P221" s="41" t="str">
        <f aca="false">IF($A221="","",SUMIFS(业务流水!$H$5:$H$1504,业务流水!$E$5:$E$1504,"*",业务流水!$D$5:$D$1504,"扣质保金",业务流水!$C$5:$C$1504,$A221,业务流水!$Z$5:$Z$1504,"是"))</f>
        <v/>
      </c>
    </row>
    <row r="222" customFormat="false" ht="15.75" hidden="false" customHeight="true" outlineLevel="0" collapsed="false">
      <c r="A222" s="32" t="str">
        <f aca="false">IF(项目档案!$A222="","",项目档案!$A222)</f>
        <v/>
      </c>
      <c r="B222" s="40" t="str">
        <f aca="false">IF($A222="","",项目档案!$B222)</f>
        <v/>
      </c>
      <c r="C222" s="41" t="str">
        <f aca="false">IF($A222="","",SUMIFS(业务流水!$H$5:$H$1504,业务流水!$E$5:$E$1504,"*",业务流水!$D$5:$D$1504,"销项开票",业务流水!$C$5:$C$1504,$A222,业务流水!$Z$5:$Z$1504,"是"))</f>
        <v/>
      </c>
      <c r="D222" s="41" t="str">
        <f aca="false">IF($A222="","",SUMIFS(业务流水!$O$5:$O$1504,业务流水!$E$5:$E$1504,"*",业务流水!$D$5:$D$1504,"销项开票",业务流水!$C$5:$C$1504,$A222,业务流水!$Z$5:$Z$1504,"是"))</f>
        <v/>
      </c>
      <c r="E222" s="41" t="str">
        <f aca="false">IF($A222="","",SUMIFS(业务流水!$P$5:$P$1504,业务流水!$E$5:$E$1504,"*",业务流水!$D$5:$D$1504,"销项开票",业务流水!$C$5:$C$1504,$A222,业务流水!$Z$5:$Z$1504,"是"))</f>
        <v/>
      </c>
      <c r="F222" s="41" t="str">
        <f aca="false">IF($A222="","",SUMIFS(业务流水!$H$5:$H$1504,业务流水!$F$5:$F$1504,"*",业务流水!$D$5:$D$1504,"成本票",业务流水!$C$5:$C$1504,$A222,业务流水!$Z$5:$Z$1504,"是")+SUMIFS(业务流水!$H$5:$H$1504,业务流水!$F$5:$F$1504,"*",业务流水!$D$5:$D$1504,"销项开票",业务流水!$C$5:$C$1504,$A222,业务流水!$Z$5:$Z$1504,"是"))</f>
        <v/>
      </c>
      <c r="G222" s="42" t="str">
        <f aca="false">IF($A222="","",$E222-$F222)</f>
        <v/>
      </c>
      <c r="H222" s="41" t="str">
        <f aca="false">IF($A222="","",SUMIFS(业务流水!$W$5:$W$1504,业务流水!$E$5:$E$1504,"*",业务流水!$D$5:$D$1504,"销项开票",业务流水!$C$5:$C$1504,$A222,业务流水!$Z$5:$Z$1504,"是"))</f>
        <v/>
      </c>
      <c r="I222" s="41" t="str">
        <f aca="false">IF($A222="","",SUMIFS(业务流水!$H$5:$H$1504,业务流水!$E$5:$E$1504,"*",业务流水!$D$5:$D$1504,"已交税",业务流水!$C$5:$C$1504,$A222,业务流水!$Z$5:$Z$1504,"是"))</f>
        <v/>
      </c>
      <c r="J222" s="42" t="str">
        <f aca="false">IF($A222="","",$H222-$I222)</f>
        <v/>
      </c>
      <c r="K222" s="41" t="str">
        <f aca="false">IF($A222="","",SUMIFS(业务流水!$H$5:$H$1504,业务流水!$F$5:$F$1504,"*",业务流水!$D$5:$D$1504,"挂靠代收",业务流水!$C$5:$C$1504,$A222,业务流水!$Z$5:$Z$1504,"是"))</f>
        <v/>
      </c>
      <c r="L222" s="42" t="str">
        <f aca="false">IF($A222="","",$C222-$K222)</f>
        <v/>
      </c>
      <c r="M222" s="41" t="str">
        <f aca="false">IF($A222="","",SUMIFS(业务流水!$H$5:$H$1504,业务流水!$E$5:$E$1504,"*",业务流水!$D$5:$D$1504,"我方收款",业务流水!$C$5:$C$1504,$A222,业务流水!$Z$5:$Z$1504,"是"))</f>
        <v/>
      </c>
      <c r="N222" s="43" t="str">
        <f aca="false">IF($A222="","",$K222-$M222)</f>
        <v/>
      </c>
      <c r="O222" s="41" t="str">
        <f aca="false">IF($A222="","",SUMIFS(业务流水!$H$5:$H$1504,业务流水!$F$5:$F$1504,"*",业务流水!$D$5:$D$1504,"管理费结算",业务流水!$C$5:$C$1504,$A222,业务流水!$Z$5:$Z$1504,"是"))</f>
        <v/>
      </c>
      <c r="P222" s="41" t="str">
        <f aca="false">IF($A222="","",SUMIFS(业务流水!$H$5:$H$1504,业务流水!$E$5:$E$1504,"*",业务流水!$D$5:$D$1504,"扣质保金",业务流水!$C$5:$C$1504,$A222,业务流水!$Z$5:$Z$1504,"是"))</f>
        <v/>
      </c>
    </row>
    <row r="223" customFormat="false" ht="15.75" hidden="false" customHeight="true" outlineLevel="0" collapsed="false">
      <c r="A223" s="32" t="str">
        <f aca="false">IF(项目档案!$A223="","",项目档案!$A223)</f>
        <v/>
      </c>
      <c r="B223" s="40" t="str">
        <f aca="false">IF($A223="","",项目档案!$B223)</f>
        <v/>
      </c>
      <c r="C223" s="41" t="str">
        <f aca="false">IF($A223="","",SUMIFS(业务流水!$H$5:$H$1504,业务流水!$E$5:$E$1504,"*",业务流水!$D$5:$D$1504,"销项开票",业务流水!$C$5:$C$1504,$A223,业务流水!$Z$5:$Z$1504,"是"))</f>
        <v/>
      </c>
      <c r="D223" s="41" t="str">
        <f aca="false">IF($A223="","",SUMIFS(业务流水!$O$5:$O$1504,业务流水!$E$5:$E$1504,"*",业务流水!$D$5:$D$1504,"销项开票",业务流水!$C$5:$C$1504,$A223,业务流水!$Z$5:$Z$1504,"是"))</f>
        <v/>
      </c>
      <c r="E223" s="41" t="str">
        <f aca="false">IF($A223="","",SUMIFS(业务流水!$P$5:$P$1504,业务流水!$E$5:$E$1504,"*",业务流水!$D$5:$D$1504,"销项开票",业务流水!$C$5:$C$1504,$A223,业务流水!$Z$5:$Z$1504,"是"))</f>
        <v/>
      </c>
      <c r="F223" s="41" t="str">
        <f aca="false">IF($A223="","",SUMIFS(业务流水!$H$5:$H$1504,业务流水!$F$5:$F$1504,"*",业务流水!$D$5:$D$1504,"成本票",业务流水!$C$5:$C$1504,$A223,业务流水!$Z$5:$Z$1504,"是")+SUMIFS(业务流水!$H$5:$H$1504,业务流水!$F$5:$F$1504,"*",业务流水!$D$5:$D$1504,"销项开票",业务流水!$C$5:$C$1504,$A223,业务流水!$Z$5:$Z$1504,"是"))</f>
        <v/>
      </c>
      <c r="G223" s="42" t="str">
        <f aca="false">IF($A223="","",$E223-$F223)</f>
        <v/>
      </c>
      <c r="H223" s="41" t="str">
        <f aca="false">IF($A223="","",SUMIFS(业务流水!$W$5:$W$1504,业务流水!$E$5:$E$1504,"*",业务流水!$D$5:$D$1504,"销项开票",业务流水!$C$5:$C$1504,$A223,业务流水!$Z$5:$Z$1504,"是"))</f>
        <v/>
      </c>
      <c r="I223" s="41" t="str">
        <f aca="false">IF($A223="","",SUMIFS(业务流水!$H$5:$H$1504,业务流水!$E$5:$E$1504,"*",业务流水!$D$5:$D$1504,"已交税",业务流水!$C$5:$C$1504,$A223,业务流水!$Z$5:$Z$1504,"是"))</f>
        <v/>
      </c>
      <c r="J223" s="42" t="str">
        <f aca="false">IF($A223="","",$H223-$I223)</f>
        <v/>
      </c>
      <c r="K223" s="41" t="str">
        <f aca="false">IF($A223="","",SUMIFS(业务流水!$H$5:$H$1504,业务流水!$F$5:$F$1504,"*",业务流水!$D$5:$D$1504,"挂靠代收",业务流水!$C$5:$C$1504,$A223,业务流水!$Z$5:$Z$1504,"是"))</f>
        <v/>
      </c>
      <c r="L223" s="42" t="str">
        <f aca="false">IF($A223="","",$C223-$K223)</f>
        <v/>
      </c>
      <c r="M223" s="41" t="str">
        <f aca="false">IF($A223="","",SUMIFS(业务流水!$H$5:$H$1504,业务流水!$E$5:$E$1504,"*",业务流水!$D$5:$D$1504,"我方收款",业务流水!$C$5:$C$1504,$A223,业务流水!$Z$5:$Z$1504,"是"))</f>
        <v/>
      </c>
      <c r="N223" s="43" t="str">
        <f aca="false">IF($A223="","",$K223-$M223)</f>
        <v/>
      </c>
      <c r="O223" s="41" t="str">
        <f aca="false">IF($A223="","",SUMIFS(业务流水!$H$5:$H$1504,业务流水!$F$5:$F$1504,"*",业务流水!$D$5:$D$1504,"管理费结算",业务流水!$C$5:$C$1504,$A223,业务流水!$Z$5:$Z$1504,"是"))</f>
        <v/>
      </c>
      <c r="P223" s="41" t="str">
        <f aca="false">IF($A223="","",SUMIFS(业务流水!$H$5:$H$1504,业务流水!$E$5:$E$1504,"*",业务流水!$D$5:$D$1504,"扣质保金",业务流水!$C$5:$C$1504,$A223,业务流水!$Z$5:$Z$1504,"是"))</f>
        <v/>
      </c>
    </row>
    <row r="224" customFormat="false" ht="15.75" hidden="false" customHeight="true" outlineLevel="0" collapsed="false">
      <c r="A224" s="32" t="str">
        <f aca="false">IF(项目档案!$A224="","",项目档案!$A224)</f>
        <v/>
      </c>
      <c r="B224" s="40" t="str">
        <f aca="false">IF($A224="","",项目档案!$B224)</f>
        <v/>
      </c>
      <c r="C224" s="41" t="str">
        <f aca="false">IF($A224="","",SUMIFS(业务流水!$H$5:$H$1504,业务流水!$E$5:$E$1504,"*",业务流水!$D$5:$D$1504,"销项开票",业务流水!$C$5:$C$1504,$A224,业务流水!$Z$5:$Z$1504,"是"))</f>
        <v/>
      </c>
      <c r="D224" s="41" t="str">
        <f aca="false">IF($A224="","",SUMIFS(业务流水!$O$5:$O$1504,业务流水!$E$5:$E$1504,"*",业务流水!$D$5:$D$1504,"销项开票",业务流水!$C$5:$C$1504,$A224,业务流水!$Z$5:$Z$1504,"是"))</f>
        <v/>
      </c>
      <c r="E224" s="41" t="str">
        <f aca="false">IF($A224="","",SUMIFS(业务流水!$P$5:$P$1504,业务流水!$E$5:$E$1504,"*",业务流水!$D$5:$D$1504,"销项开票",业务流水!$C$5:$C$1504,$A224,业务流水!$Z$5:$Z$1504,"是"))</f>
        <v/>
      </c>
      <c r="F224" s="41" t="str">
        <f aca="false">IF($A224="","",SUMIFS(业务流水!$H$5:$H$1504,业务流水!$F$5:$F$1504,"*",业务流水!$D$5:$D$1504,"成本票",业务流水!$C$5:$C$1504,$A224,业务流水!$Z$5:$Z$1504,"是")+SUMIFS(业务流水!$H$5:$H$1504,业务流水!$F$5:$F$1504,"*",业务流水!$D$5:$D$1504,"销项开票",业务流水!$C$5:$C$1504,$A224,业务流水!$Z$5:$Z$1504,"是"))</f>
        <v/>
      </c>
      <c r="G224" s="42" t="str">
        <f aca="false">IF($A224="","",$E224-$F224)</f>
        <v/>
      </c>
      <c r="H224" s="41" t="str">
        <f aca="false">IF($A224="","",SUMIFS(业务流水!$W$5:$W$1504,业务流水!$E$5:$E$1504,"*",业务流水!$D$5:$D$1504,"销项开票",业务流水!$C$5:$C$1504,$A224,业务流水!$Z$5:$Z$1504,"是"))</f>
        <v/>
      </c>
      <c r="I224" s="41" t="str">
        <f aca="false">IF($A224="","",SUMIFS(业务流水!$H$5:$H$1504,业务流水!$E$5:$E$1504,"*",业务流水!$D$5:$D$1504,"已交税",业务流水!$C$5:$C$1504,$A224,业务流水!$Z$5:$Z$1504,"是"))</f>
        <v/>
      </c>
      <c r="J224" s="42" t="str">
        <f aca="false">IF($A224="","",$H224-$I224)</f>
        <v/>
      </c>
      <c r="K224" s="41" t="str">
        <f aca="false">IF($A224="","",SUMIFS(业务流水!$H$5:$H$1504,业务流水!$F$5:$F$1504,"*",业务流水!$D$5:$D$1504,"挂靠代收",业务流水!$C$5:$C$1504,$A224,业务流水!$Z$5:$Z$1504,"是"))</f>
        <v/>
      </c>
      <c r="L224" s="42" t="str">
        <f aca="false">IF($A224="","",$C224-$K224)</f>
        <v/>
      </c>
      <c r="M224" s="41" t="str">
        <f aca="false">IF($A224="","",SUMIFS(业务流水!$H$5:$H$1504,业务流水!$E$5:$E$1504,"*",业务流水!$D$5:$D$1504,"我方收款",业务流水!$C$5:$C$1504,$A224,业务流水!$Z$5:$Z$1504,"是"))</f>
        <v/>
      </c>
      <c r="N224" s="43" t="str">
        <f aca="false">IF($A224="","",$K224-$M224)</f>
        <v/>
      </c>
      <c r="O224" s="41" t="str">
        <f aca="false">IF($A224="","",SUMIFS(业务流水!$H$5:$H$1504,业务流水!$F$5:$F$1504,"*",业务流水!$D$5:$D$1504,"管理费结算",业务流水!$C$5:$C$1504,$A224,业务流水!$Z$5:$Z$1504,"是"))</f>
        <v/>
      </c>
      <c r="P224" s="41" t="str">
        <f aca="false">IF($A224="","",SUMIFS(业务流水!$H$5:$H$1504,业务流水!$E$5:$E$1504,"*",业务流水!$D$5:$D$1504,"扣质保金",业务流水!$C$5:$C$1504,$A224,业务流水!$Z$5:$Z$1504,"是"))</f>
        <v/>
      </c>
    </row>
    <row r="225" customFormat="false" ht="15.75" hidden="false" customHeight="true" outlineLevel="0" collapsed="false">
      <c r="A225" s="32" t="str">
        <f aca="false">IF(项目档案!$A225="","",项目档案!$A225)</f>
        <v/>
      </c>
      <c r="B225" s="40" t="str">
        <f aca="false">IF($A225="","",项目档案!$B225)</f>
        <v/>
      </c>
      <c r="C225" s="41" t="str">
        <f aca="false">IF($A225="","",SUMIFS(业务流水!$H$5:$H$1504,业务流水!$E$5:$E$1504,"*",业务流水!$D$5:$D$1504,"销项开票",业务流水!$C$5:$C$1504,$A225,业务流水!$Z$5:$Z$1504,"是"))</f>
        <v/>
      </c>
      <c r="D225" s="41" t="str">
        <f aca="false">IF($A225="","",SUMIFS(业务流水!$O$5:$O$1504,业务流水!$E$5:$E$1504,"*",业务流水!$D$5:$D$1504,"销项开票",业务流水!$C$5:$C$1504,$A225,业务流水!$Z$5:$Z$1504,"是"))</f>
        <v/>
      </c>
      <c r="E225" s="41" t="str">
        <f aca="false">IF($A225="","",SUMIFS(业务流水!$P$5:$P$1504,业务流水!$E$5:$E$1504,"*",业务流水!$D$5:$D$1504,"销项开票",业务流水!$C$5:$C$1504,$A225,业务流水!$Z$5:$Z$1504,"是"))</f>
        <v/>
      </c>
      <c r="F225" s="41" t="str">
        <f aca="false">IF($A225="","",SUMIFS(业务流水!$H$5:$H$1504,业务流水!$F$5:$F$1504,"*",业务流水!$D$5:$D$1504,"成本票",业务流水!$C$5:$C$1504,$A225,业务流水!$Z$5:$Z$1504,"是")+SUMIFS(业务流水!$H$5:$H$1504,业务流水!$F$5:$F$1504,"*",业务流水!$D$5:$D$1504,"销项开票",业务流水!$C$5:$C$1504,$A225,业务流水!$Z$5:$Z$1504,"是"))</f>
        <v/>
      </c>
      <c r="G225" s="42" t="str">
        <f aca="false">IF($A225="","",$E225-$F225)</f>
        <v/>
      </c>
      <c r="H225" s="41" t="str">
        <f aca="false">IF($A225="","",SUMIFS(业务流水!$W$5:$W$1504,业务流水!$E$5:$E$1504,"*",业务流水!$D$5:$D$1504,"销项开票",业务流水!$C$5:$C$1504,$A225,业务流水!$Z$5:$Z$1504,"是"))</f>
        <v/>
      </c>
      <c r="I225" s="41" t="str">
        <f aca="false">IF($A225="","",SUMIFS(业务流水!$H$5:$H$1504,业务流水!$E$5:$E$1504,"*",业务流水!$D$5:$D$1504,"已交税",业务流水!$C$5:$C$1504,$A225,业务流水!$Z$5:$Z$1504,"是"))</f>
        <v/>
      </c>
      <c r="J225" s="42" t="str">
        <f aca="false">IF($A225="","",$H225-$I225)</f>
        <v/>
      </c>
      <c r="K225" s="41" t="str">
        <f aca="false">IF($A225="","",SUMIFS(业务流水!$H$5:$H$1504,业务流水!$F$5:$F$1504,"*",业务流水!$D$5:$D$1504,"挂靠代收",业务流水!$C$5:$C$1504,$A225,业务流水!$Z$5:$Z$1504,"是"))</f>
        <v/>
      </c>
      <c r="L225" s="42" t="str">
        <f aca="false">IF($A225="","",$C225-$K225)</f>
        <v/>
      </c>
      <c r="M225" s="41" t="str">
        <f aca="false">IF($A225="","",SUMIFS(业务流水!$H$5:$H$1504,业务流水!$E$5:$E$1504,"*",业务流水!$D$5:$D$1504,"我方收款",业务流水!$C$5:$C$1504,$A225,业务流水!$Z$5:$Z$1504,"是"))</f>
        <v/>
      </c>
      <c r="N225" s="43" t="str">
        <f aca="false">IF($A225="","",$K225-$M225)</f>
        <v/>
      </c>
      <c r="O225" s="41" t="str">
        <f aca="false">IF($A225="","",SUMIFS(业务流水!$H$5:$H$1504,业务流水!$F$5:$F$1504,"*",业务流水!$D$5:$D$1504,"管理费结算",业务流水!$C$5:$C$1504,$A225,业务流水!$Z$5:$Z$1504,"是"))</f>
        <v/>
      </c>
      <c r="P225" s="41" t="str">
        <f aca="false">IF($A225="","",SUMIFS(业务流水!$H$5:$H$1504,业务流水!$E$5:$E$1504,"*",业务流水!$D$5:$D$1504,"扣质保金",业务流水!$C$5:$C$1504,$A225,业务流水!$Z$5:$Z$1504,"是"))</f>
        <v/>
      </c>
    </row>
    <row r="226" customFormat="false" ht="15.75" hidden="false" customHeight="true" outlineLevel="0" collapsed="false">
      <c r="A226" s="32" t="str">
        <f aca="false">IF(项目档案!$A226="","",项目档案!$A226)</f>
        <v/>
      </c>
      <c r="B226" s="40" t="str">
        <f aca="false">IF($A226="","",项目档案!$B226)</f>
        <v/>
      </c>
      <c r="C226" s="41" t="str">
        <f aca="false">IF($A226="","",SUMIFS(业务流水!$H$5:$H$1504,业务流水!$E$5:$E$1504,"*",业务流水!$D$5:$D$1504,"销项开票",业务流水!$C$5:$C$1504,$A226,业务流水!$Z$5:$Z$1504,"是"))</f>
        <v/>
      </c>
      <c r="D226" s="41" t="str">
        <f aca="false">IF($A226="","",SUMIFS(业务流水!$O$5:$O$1504,业务流水!$E$5:$E$1504,"*",业务流水!$D$5:$D$1504,"销项开票",业务流水!$C$5:$C$1504,$A226,业务流水!$Z$5:$Z$1504,"是"))</f>
        <v/>
      </c>
      <c r="E226" s="41" t="str">
        <f aca="false">IF($A226="","",SUMIFS(业务流水!$P$5:$P$1504,业务流水!$E$5:$E$1504,"*",业务流水!$D$5:$D$1504,"销项开票",业务流水!$C$5:$C$1504,$A226,业务流水!$Z$5:$Z$1504,"是"))</f>
        <v/>
      </c>
      <c r="F226" s="41" t="str">
        <f aca="false">IF($A226="","",SUMIFS(业务流水!$H$5:$H$1504,业务流水!$F$5:$F$1504,"*",业务流水!$D$5:$D$1504,"成本票",业务流水!$C$5:$C$1504,$A226,业务流水!$Z$5:$Z$1504,"是")+SUMIFS(业务流水!$H$5:$H$1504,业务流水!$F$5:$F$1504,"*",业务流水!$D$5:$D$1504,"销项开票",业务流水!$C$5:$C$1504,$A226,业务流水!$Z$5:$Z$1504,"是"))</f>
        <v/>
      </c>
      <c r="G226" s="42" t="str">
        <f aca="false">IF($A226="","",$E226-$F226)</f>
        <v/>
      </c>
      <c r="H226" s="41" t="str">
        <f aca="false">IF($A226="","",SUMIFS(业务流水!$W$5:$W$1504,业务流水!$E$5:$E$1504,"*",业务流水!$D$5:$D$1504,"销项开票",业务流水!$C$5:$C$1504,$A226,业务流水!$Z$5:$Z$1504,"是"))</f>
        <v/>
      </c>
      <c r="I226" s="41" t="str">
        <f aca="false">IF($A226="","",SUMIFS(业务流水!$H$5:$H$1504,业务流水!$E$5:$E$1504,"*",业务流水!$D$5:$D$1504,"已交税",业务流水!$C$5:$C$1504,$A226,业务流水!$Z$5:$Z$1504,"是"))</f>
        <v/>
      </c>
      <c r="J226" s="42" t="str">
        <f aca="false">IF($A226="","",$H226-$I226)</f>
        <v/>
      </c>
      <c r="K226" s="41" t="str">
        <f aca="false">IF($A226="","",SUMIFS(业务流水!$H$5:$H$1504,业务流水!$F$5:$F$1504,"*",业务流水!$D$5:$D$1504,"挂靠代收",业务流水!$C$5:$C$1504,$A226,业务流水!$Z$5:$Z$1504,"是"))</f>
        <v/>
      </c>
      <c r="L226" s="42" t="str">
        <f aca="false">IF($A226="","",$C226-$K226)</f>
        <v/>
      </c>
      <c r="M226" s="41" t="str">
        <f aca="false">IF($A226="","",SUMIFS(业务流水!$H$5:$H$1504,业务流水!$E$5:$E$1504,"*",业务流水!$D$5:$D$1504,"我方收款",业务流水!$C$5:$C$1504,$A226,业务流水!$Z$5:$Z$1504,"是"))</f>
        <v/>
      </c>
      <c r="N226" s="43" t="str">
        <f aca="false">IF($A226="","",$K226-$M226)</f>
        <v/>
      </c>
      <c r="O226" s="41" t="str">
        <f aca="false">IF($A226="","",SUMIFS(业务流水!$H$5:$H$1504,业务流水!$F$5:$F$1504,"*",业务流水!$D$5:$D$1504,"管理费结算",业务流水!$C$5:$C$1504,$A226,业务流水!$Z$5:$Z$1504,"是"))</f>
        <v/>
      </c>
      <c r="P226" s="41" t="str">
        <f aca="false">IF($A226="","",SUMIFS(业务流水!$H$5:$H$1504,业务流水!$E$5:$E$1504,"*",业务流水!$D$5:$D$1504,"扣质保金",业务流水!$C$5:$C$1504,$A226,业务流水!$Z$5:$Z$1504,"是"))</f>
        <v/>
      </c>
    </row>
    <row r="227" customFormat="false" ht="15.75" hidden="false" customHeight="true" outlineLevel="0" collapsed="false">
      <c r="A227" s="32" t="str">
        <f aca="false">IF(项目档案!$A227="","",项目档案!$A227)</f>
        <v/>
      </c>
      <c r="B227" s="40" t="str">
        <f aca="false">IF($A227="","",项目档案!$B227)</f>
        <v/>
      </c>
      <c r="C227" s="41" t="str">
        <f aca="false">IF($A227="","",SUMIFS(业务流水!$H$5:$H$1504,业务流水!$E$5:$E$1504,"*",业务流水!$D$5:$D$1504,"销项开票",业务流水!$C$5:$C$1504,$A227,业务流水!$Z$5:$Z$1504,"是"))</f>
        <v/>
      </c>
      <c r="D227" s="41" t="str">
        <f aca="false">IF($A227="","",SUMIFS(业务流水!$O$5:$O$1504,业务流水!$E$5:$E$1504,"*",业务流水!$D$5:$D$1504,"销项开票",业务流水!$C$5:$C$1504,$A227,业务流水!$Z$5:$Z$1504,"是"))</f>
        <v/>
      </c>
      <c r="E227" s="41" t="str">
        <f aca="false">IF($A227="","",SUMIFS(业务流水!$P$5:$P$1504,业务流水!$E$5:$E$1504,"*",业务流水!$D$5:$D$1504,"销项开票",业务流水!$C$5:$C$1504,$A227,业务流水!$Z$5:$Z$1504,"是"))</f>
        <v/>
      </c>
      <c r="F227" s="41" t="str">
        <f aca="false">IF($A227="","",SUMIFS(业务流水!$H$5:$H$1504,业务流水!$F$5:$F$1504,"*",业务流水!$D$5:$D$1504,"成本票",业务流水!$C$5:$C$1504,$A227,业务流水!$Z$5:$Z$1504,"是")+SUMIFS(业务流水!$H$5:$H$1504,业务流水!$F$5:$F$1504,"*",业务流水!$D$5:$D$1504,"销项开票",业务流水!$C$5:$C$1504,$A227,业务流水!$Z$5:$Z$1504,"是"))</f>
        <v/>
      </c>
      <c r="G227" s="42" t="str">
        <f aca="false">IF($A227="","",$E227-$F227)</f>
        <v/>
      </c>
      <c r="H227" s="41" t="str">
        <f aca="false">IF($A227="","",SUMIFS(业务流水!$W$5:$W$1504,业务流水!$E$5:$E$1504,"*",业务流水!$D$5:$D$1504,"销项开票",业务流水!$C$5:$C$1504,$A227,业务流水!$Z$5:$Z$1504,"是"))</f>
        <v/>
      </c>
      <c r="I227" s="41" t="str">
        <f aca="false">IF($A227="","",SUMIFS(业务流水!$H$5:$H$1504,业务流水!$E$5:$E$1504,"*",业务流水!$D$5:$D$1504,"已交税",业务流水!$C$5:$C$1504,$A227,业务流水!$Z$5:$Z$1504,"是"))</f>
        <v/>
      </c>
      <c r="J227" s="42" t="str">
        <f aca="false">IF($A227="","",$H227-$I227)</f>
        <v/>
      </c>
      <c r="K227" s="41" t="str">
        <f aca="false">IF($A227="","",SUMIFS(业务流水!$H$5:$H$1504,业务流水!$F$5:$F$1504,"*",业务流水!$D$5:$D$1504,"挂靠代收",业务流水!$C$5:$C$1504,$A227,业务流水!$Z$5:$Z$1504,"是"))</f>
        <v/>
      </c>
      <c r="L227" s="42" t="str">
        <f aca="false">IF($A227="","",$C227-$K227)</f>
        <v/>
      </c>
      <c r="M227" s="41" t="str">
        <f aca="false">IF($A227="","",SUMIFS(业务流水!$H$5:$H$1504,业务流水!$E$5:$E$1504,"*",业务流水!$D$5:$D$1504,"我方收款",业务流水!$C$5:$C$1504,$A227,业务流水!$Z$5:$Z$1504,"是"))</f>
        <v/>
      </c>
      <c r="N227" s="43" t="str">
        <f aca="false">IF($A227="","",$K227-$M227)</f>
        <v/>
      </c>
      <c r="O227" s="41" t="str">
        <f aca="false">IF($A227="","",SUMIFS(业务流水!$H$5:$H$1504,业务流水!$F$5:$F$1504,"*",业务流水!$D$5:$D$1504,"管理费结算",业务流水!$C$5:$C$1504,$A227,业务流水!$Z$5:$Z$1504,"是"))</f>
        <v/>
      </c>
      <c r="P227" s="41" t="str">
        <f aca="false">IF($A227="","",SUMIFS(业务流水!$H$5:$H$1504,业务流水!$E$5:$E$1504,"*",业务流水!$D$5:$D$1504,"扣质保金",业务流水!$C$5:$C$1504,$A227,业务流水!$Z$5:$Z$1504,"是"))</f>
        <v/>
      </c>
    </row>
    <row r="228" customFormat="false" ht="15.75" hidden="false" customHeight="true" outlineLevel="0" collapsed="false">
      <c r="A228" s="32" t="str">
        <f aca="false">IF(项目档案!$A228="","",项目档案!$A228)</f>
        <v/>
      </c>
      <c r="B228" s="40" t="str">
        <f aca="false">IF($A228="","",项目档案!$B228)</f>
        <v/>
      </c>
      <c r="C228" s="41" t="str">
        <f aca="false">IF($A228="","",SUMIFS(业务流水!$H$5:$H$1504,业务流水!$E$5:$E$1504,"*",业务流水!$D$5:$D$1504,"销项开票",业务流水!$C$5:$C$1504,$A228,业务流水!$Z$5:$Z$1504,"是"))</f>
        <v/>
      </c>
      <c r="D228" s="41" t="str">
        <f aca="false">IF($A228="","",SUMIFS(业务流水!$O$5:$O$1504,业务流水!$E$5:$E$1504,"*",业务流水!$D$5:$D$1504,"销项开票",业务流水!$C$5:$C$1504,$A228,业务流水!$Z$5:$Z$1504,"是"))</f>
        <v/>
      </c>
      <c r="E228" s="41" t="str">
        <f aca="false">IF($A228="","",SUMIFS(业务流水!$P$5:$P$1504,业务流水!$E$5:$E$1504,"*",业务流水!$D$5:$D$1504,"销项开票",业务流水!$C$5:$C$1504,$A228,业务流水!$Z$5:$Z$1504,"是"))</f>
        <v/>
      </c>
      <c r="F228" s="41" t="str">
        <f aca="false">IF($A228="","",SUMIFS(业务流水!$H$5:$H$1504,业务流水!$F$5:$F$1504,"*",业务流水!$D$5:$D$1504,"成本票",业务流水!$C$5:$C$1504,$A228,业务流水!$Z$5:$Z$1504,"是")+SUMIFS(业务流水!$H$5:$H$1504,业务流水!$F$5:$F$1504,"*",业务流水!$D$5:$D$1504,"销项开票",业务流水!$C$5:$C$1504,$A228,业务流水!$Z$5:$Z$1504,"是"))</f>
        <v/>
      </c>
      <c r="G228" s="42" t="str">
        <f aca="false">IF($A228="","",$E228-$F228)</f>
        <v/>
      </c>
      <c r="H228" s="41" t="str">
        <f aca="false">IF($A228="","",SUMIFS(业务流水!$W$5:$W$1504,业务流水!$E$5:$E$1504,"*",业务流水!$D$5:$D$1504,"销项开票",业务流水!$C$5:$C$1504,$A228,业务流水!$Z$5:$Z$1504,"是"))</f>
        <v/>
      </c>
      <c r="I228" s="41" t="str">
        <f aca="false">IF($A228="","",SUMIFS(业务流水!$H$5:$H$1504,业务流水!$E$5:$E$1504,"*",业务流水!$D$5:$D$1504,"已交税",业务流水!$C$5:$C$1504,$A228,业务流水!$Z$5:$Z$1504,"是"))</f>
        <v/>
      </c>
      <c r="J228" s="42" t="str">
        <f aca="false">IF($A228="","",$H228-$I228)</f>
        <v/>
      </c>
      <c r="K228" s="41" t="str">
        <f aca="false">IF($A228="","",SUMIFS(业务流水!$H$5:$H$1504,业务流水!$F$5:$F$1504,"*",业务流水!$D$5:$D$1504,"挂靠代收",业务流水!$C$5:$C$1504,$A228,业务流水!$Z$5:$Z$1504,"是"))</f>
        <v/>
      </c>
      <c r="L228" s="42" t="str">
        <f aca="false">IF($A228="","",$C228-$K228)</f>
        <v/>
      </c>
      <c r="M228" s="41" t="str">
        <f aca="false">IF($A228="","",SUMIFS(业务流水!$H$5:$H$1504,业务流水!$E$5:$E$1504,"*",业务流水!$D$5:$D$1504,"我方收款",业务流水!$C$5:$C$1504,$A228,业务流水!$Z$5:$Z$1504,"是"))</f>
        <v/>
      </c>
      <c r="N228" s="43" t="str">
        <f aca="false">IF($A228="","",$K228-$M228)</f>
        <v/>
      </c>
      <c r="O228" s="41" t="str">
        <f aca="false">IF($A228="","",SUMIFS(业务流水!$H$5:$H$1504,业务流水!$F$5:$F$1504,"*",业务流水!$D$5:$D$1504,"管理费结算",业务流水!$C$5:$C$1504,$A228,业务流水!$Z$5:$Z$1504,"是"))</f>
        <v/>
      </c>
      <c r="P228" s="41" t="str">
        <f aca="false">IF($A228="","",SUMIFS(业务流水!$H$5:$H$1504,业务流水!$E$5:$E$1504,"*",业务流水!$D$5:$D$1504,"扣质保金",业务流水!$C$5:$C$1504,$A228,业务流水!$Z$5:$Z$1504,"是"))</f>
        <v/>
      </c>
    </row>
    <row r="229" customFormat="false" ht="15.75" hidden="false" customHeight="true" outlineLevel="0" collapsed="false">
      <c r="A229" s="32" t="str">
        <f aca="false">IF(项目档案!$A229="","",项目档案!$A229)</f>
        <v/>
      </c>
      <c r="B229" s="40" t="str">
        <f aca="false">IF($A229="","",项目档案!$B229)</f>
        <v/>
      </c>
      <c r="C229" s="41" t="str">
        <f aca="false">IF($A229="","",SUMIFS(业务流水!$H$5:$H$1504,业务流水!$E$5:$E$1504,"*",业务流水!$D$5:$D$1504,"销项开票",业务流水!$C$5:$C$1504,$A229,业务流水!$Z$5:$Z$1504,"是"))</f>
        <v/>
      </c>
      <c r="D229" s="41" t="str">
        <f aca="false">IF($A229="","",SUMIFS(业务流水!$O$5:$O$1504,业务流水!$E$5:$E$1504,"*",业务流水!$D$5:$D$1504,"销项开票",业务流水!$C$5:$C$1504,$A229,业务流水!$Z$5:$Z$1504,"是"))</f>
        <v/>
      </c>
      <c r="E229" s="41" t="str">
        <f aca="false">IF($A229="","",SUMIFS(业务流水!$P$5:$P$1504,业务流水!$E$5:$E$1504,"*",业务流水!$D$5:$D$1504,"销项开票",业务流水!$C$5:$C$1504,$A229,业务流水!$Z$5:$Z$1504,"是"))</f>
        <v/>
      </c>
      <c r="F229" s="41" t="str">
        <f aca="false">IF($A229="","",SUMIFS(业务流水!$H$5:$H$1504,业务流水!$F$5:$F$1504,"*",业务流水!$D$5:$D$1504,"成本票",业务流水!$C$5:$C$1504,$A229,业务流水!$Z$5:$Z$1504,"是")+SUMIFS(业务流水!$H$5:$H$1504,业务流水!$F$5:$F$1504,"*",业务流水!$D$5:$D$1504,"销项开票",业务流水!$C$5:$C$1504,$A229,业务流水!$Z$5:$Z$1504,"是"))</f>
        <v/>
      </c>
      <c r="G229" s="42" t="str">
        <f aca="false">IF($A229="","",$E229-$F229)</f>
        <v/>
      </c>
      <c r="H229" s="41" t="str">
        <f aca="false">IF($A229="","",SUMIFS(业务流水!$W$5:$W$1504,业务流水!$E$5:$E$1504,"*",业务流水!$D$5:$D$1504,"销项开票",业务流水!$C$5:$C$1504,$A229,业务流水!$Z$5:$Z$1504,"是"))</f>
        <v/>
      </c>
      <c r="I229" s="41" t="str">
        <f aca="false">IF($A229="","",SUMIFS(业务流水!$H$5:$H$1504,业务流水!$E$5:$E$1504,"*",业务流水!$D$5:$D$1504,"已交税",业务流水!$C$5:$C$1504,$A229,业务流水!$Z$5:$Z$1504,"是"))</f>
        <v/>
      </c>
      <c r="J229" s="42" t="str">
        <f aca="false">IF($A229="","",$H229-$I229)</f>
        <v/>
      </c>
      <c r="K229" s="41" t="str">
        <f aca="false">IF($A229="","",SUMIFS(业务流水!$H$5:$H$1504,业务流水!$F$5:$F$1504,"*",业务流水!$D$5:$D$1504,"挂靠代收",业务流水!$C$5:$C$1504,$A229,业务流水!$Z$5:$Z$1504,"是"))</f>
        <v/>
      </c>
      <c r="L229" s="42" t="str">
        <f aca="false">IF($A229="","",$C229-$K229)</f>
        <v/>
      </c>
      <c r="M229" s="41" t="str">
        <f aca="false">IF($A229="","",SUMIFS(业务流水!$H$5:$H$1504,业务流水!$E$5:$E$1504,"*",业务流水!$D$5:$D$1504,"我方收款",业务流水!$C$5:$C$1504,$A229,业务流水!$Z$5:$Z$1504,"是"))</f>
        <v/>
      </c>
      <c r="N229" s="43" t="str">
        <f aca="false">IF($A229="","",$K229-$M229)</f>
        <v/>
      </c>
      <c r="O229" s="41" t="str">
        <f aca="false">IF($A229="","",SUMIFS(业务流水!$H$5:$H$1504,业务流水!$F$5:$F$1504,"*",业务流水!$D$5:$D$1504,"管理费结算",业务流水!$C$5:$C$1504,$A229,业务流水!$Z$5:$Z$1504,"是"))</f>
        <v/>
      </c>
      <c r="P229" s="41" t="str">
        <f aca="false">IF($A229="","",SUMIFS(业务流水!$H$5:$H$1504,业务流水!$E$5:$E$1504,"*",业务流水!$D$5:$D$1504,"扣质保金",业务流水!$C$5:$C$1504,$A229,业务流水!$Z$5:$Z$1504,"是"))</f>
        <v/>
      </c>
    </row>
    <row r="230" customFormat="false" ht="15.75" hidden="false" customHeight="true" outlineLevel="0" collapsed="false">
      <c r="A230" s="32" t="str">
        <f aca="false">IF(项目档案!$A230="","",项目档案!$A230)</f>
        <v/>
      </c>
      <c r="B230" s="40" t="str">
        <f aca="false">IF($A230="","",项目档案!$B230)</f>
        <v/>
      </c>
      <c r="C230" s="41" t="str">
        <f aca="false">IF($A230="","",SUMIFS(业务流水!$H$5:$H$1504,业务流水!$E$5:$E$1504,"*",业务流水!$D$5:$D$1504,"销项开票",业务流水!$C$5:$C$1504,$A230,业务流水!$Z$5:$Z$1504,"是"))</f>
        <v/>
      </c>
      <c r="D230" s="41" t="str">
        <f aca="false">IF($A230="","",SUMIFS(业务流水!$O$5:$O$1504,业务流水!$E$5:$E$1504,"*",业务流水!$D$5:$D$1504,"销项开票",业务流水!$C$5:$C$1504,$A230,业务流水!$Z$5:$Z$1504,"是"))</f>
        <v/>
      </c>
      <c r="E230" s="41" t="str">
        <f aca="false">IF($A230="","",SUMIFS(业务流水!$P$5:$P$1504,业务流水!$E$5:$E$1504,"*",业务流水!$D$5:$D$1504,"销项开票",业务流水!$C$5:$C$1504,$A230,业务流水!$Z$5:$Z$1504,"是"))</f>
        <v/>
      </c>
      <c r="F230" s="41" t="str">
        <f aca="false">IF($A230="","",SUMIFS(业务流水!$H$5:$H$1504,业务流水!$F$5:$F$1504,"*",业务流水!$D$5:$D$1504,"成本票",业务流水!$C$5:$C$1504,$A230,业务流水!$Z$5:$Z$1504,"是")+SUMIFS(业务流水!$H$5:$H$1504,业务流水!$F$5:$F$1504,"*",业务流水!$D$5:$D$1504,"销项开票",业务流水!$C$5:$C$1504,$A230,业务流水!$Z$5:$Z$1504,"是"))</f>
        <v/>
      </c>
      <c r="G230" s="42" t="str">
        <f aca="false">IF($A230="","",$E230-$F230)</f>
        <v/>
      </c>
      <c r="H230" s="41" t="str">
        <f aca="false">IF($A230="","",SUMIFS(业务流水!$W$5:$W$1504,业务流水!$E$5:$E$1504,"*",业务流水!$D$5:$D$1504,"销项开票",业务流水!$C$5:$C$1504,$A230,业务流水!$Z$5:$Z$1504,"是"))</f>
        <v/>
      </c>
      <c r="I230" s="41" t="str">
        <f aca="false">IF($A230="","",SUMIFS(业务流水!$H$5:$H$1504,业务流水!$E$5:$E$1504,"*",业务流水!$D$5:$D$1504,"已交税",业务流水!$C$5:$C$1504,$A230,业务流水!$Z$5:$Z$1504,"是"))</f>
        <v/>
      </c>
      <c r="J230" s="42" t="str">
        <f aca="false">IF($A230="","",$H230-$I230)</f>
        <v/>
      </c>
      <c r="K230" s="41" t="str">
        <f aca="false">IF($A230="","",SUMIFS(业务流水!$H$5:$H$1504,业务流水!$F$5:$F$1504,"*",业务流水!$D$5:$D$1504,"挂靠代收",业务流水!$C$5:$C$1504,$A230,业务流水!$Z$5:$Z$1504,"是"))</f>
        <v/>
      </c>
      <c r="L230" s="42" t="str">
        <f aca="false">IF($A230="","",$C230-$K230)</f>
        <v/>
      </c>
      <c r="M230" s="41" t="str">
        <f aca="false">IF($A230="","",SUMIFS(业务流水!$H$5:$H$1504,业务流水!$E$5:$E$1504,"*",业务流水!$D$5:$D$1504,"我方收款",业务流水!$C$5:$C$1504,$A230,业务流水!$Z$5:$Z$1504,"是"))</f>
        <v/>
      </c>
      <c r="N230" s="43" t="str">
        <f aca="false">IF($A230="","",$K230-$M230)</f>
        <v/>
      </c>
      <c r="O230" s="41" t="str">
        <f aca="false">IF($A230="","",SUMIFS(业务流水!$H$5:$H$1504,业务流水!$F$5:$F$1504,"*",业务流水!$D$5:$D$1504,"管理费结算",业务流水!$C$5:$C$1504,$A230,业务流水!$Z$5:$Z$1504,"是"))</f>
        <v/>
      </c>
      <c r="P230" s="41" t="str">
        <f aca="false">IF($A230="","",SUMIFS(业务流水!$H$5:$H$1504,业务流水!$E$5:$E$1504,"*",业务流水!$D$5:$D$1504,"扣质保金",业务流水!$C$5:$C$1504,$A230,业务流水!$Z$5:$Z$1504,"是"))</f>
        <v/>
      </c>
    </row>
    <row r="231" customFormat="false" ht="15.75" hidden="false" customHeight="true" outlineLevel="0" collapsed="false">
      <c r="A231" s="32" t="str">
        <f aca="false">IF(项目档案!$A231="","",项目档案!$A231)</f>
        <v/>
      </c>
      <c r="B231" s="40" t="str">
        <f aca="false">IF($A231="","",项目档案!$B231)</f>
        <v/>
      </c>
      <c r="C231" s="41" t="str">
        <f aca="false">IF($A231="","",SUMIFS(业务流水!$H$5:$H$1504,业务流水!$E$5:$E$1504,"*",业务流水!$D$5:$D$1504,"销项开票",业务流水!$C$5:$C$1504,$A231,业务流水!$Z$5:$Z$1504,"是"))</f>
        <v/>
      </c>
      <c r="D231" s="41" t="str">
        <f aca="false">IF($A231="","",SUMIFS(业务流水!$O$5:$O$1504,业务流水!$E$5:$E$1504,"*",业务流水!$D$5:$D$1504,"销项开票",业务流水!$C$5:$C$1504,$A231,业务流水!$Z$5:$Z$1504,"是"))</f>
        <v/>
      </c>
      <c r="E231" s="41" t="str">
        <f aca="false">IF($A231="","",SUMIFS(业务流水!$P$5:$P$1504,业务流水!$E$5:$E$1504,"*",业务流水!$D$5:$D$1504,"销项开票",业务流水!$C$5:$C$1504,$A231,业务流水!$Z$5:$Z$1504,"是"))</f>
        <v/>
      </c>
      <c r="F231" s="41" t="str">
        <f aca="false">IF($A231="","",SUMIFS(业务流水!$H$5:$H$1504,业务流水!$F$5:$F$1504,"*",业务流水!$D$5:$D$1504,"成本票",业务流水!$C$5:$C$1504,$A231,业务流水!$Z$5:$Z$1504,"是")+SUMIFS(业务流水!$H$5:$H$1504,业务流水!$F$5:$F$1504,"*",业务流水!$D$5:$D$1504,"销项开票",业务流水!$C$5:$C$1504,$A231,业务流水!$Z$5:$Z$1504,"是"))</f>
        <v/>
      </c>
      <c r="G231" s="42" t="str">
        <f aca="false">IF($A231="","",$E231-$F231)</f>
        <v/>
      </c>
      <c r="H231" s="41" t="str">
        <f aca="false">IF($A231="","",SUMIFS(业务流水!$W$5:$W$1504,业务流水!$E$5:$E$1504,"*",业务流水!$D$5:$D$1504,"销项开票",业务流水!$C$5:$C$1504,$A231,业务流水!$Z$5:$Z$1504,"是"))</f>
        <v/>
      </c>
      <c r="I231" s="41" t="str">
        <f aca="false">IF($A231="","",SUMIFS(业务流水!$H$5:$H$1504,业务流水!$E$5:$E$1504,"*",业务流水!$D$5:$D$1504,"已交税",业务流水!$C$5:$C$1504,$A231,业务流水!$Z$5:$Z$1504,"是"))</f>
        <v/>
      </c>
      <c r="J231" s="42" t="str">
        <f aca="false">IF($A231="","",$H231-$I231)</f>
        <v/>
      </c>
      <c r="K231" s="41" t="str">
        <f aca="false">IF($A231="","",SUMIFS(业务流水!$H$5:$H$1504,业务流水!$F$5:$F$1504,"*",业务流水!$D$5:$D$1504,"挂靠代收",业务流水!$C$5:$C$1504,$A231,业务流水!$Z$5:$Z$1504,"是"))</f>
        <v/>
      </c>
      <c r="L231" s="42" t="str">
        <f aca="false">IF($A231="","",$C231-$K231)</f>
        <v/>
      </c>
      <c r="M231" s="41" t="str">
        <f aca="false">IF($A231="","",SUMIFS(业务流水!$H$5:$H$1504,业务流水!$E$5:$E$1504,"*",业务流水!$D$5:$D$1504,"我方收款",业务流水!$C$5:$C$1504,$A231,业务流水!$Z$5:$Z$1504,"是"))</f>
        <v/>
      </c>
      <c r="N231" s="43" t="str">
        <f aca="false">IF($A231="","",$K231-$M231)</f>
        <v/>
      </c>
      <c r="O231" s="41" t="str">
        <f aca="false">IF($A231="","",SUMIFS(业务流水!$H$5:$H$1504,业务流水!$F$5:$F$1504,"*",业务流水!$D$5:$D$1504,"管理费结算",业务流水!$C$5:$C$1504,$A231,业务流水!$Z$5:$Z$1504,"是"))</f>
        <v/>
      </c>
      <c r="P231" s="41" t="str">
        <f aca="false">IF($A231="","",SUMIFS(业务流水!$H$5:$H$1504,业务流水!$E$5:$E$1504,"*",业务流水!$D$5:$D$1504,"扣质保金",业务流水!$C$5:$C$1504,$A231,业务流水!$Z$5:$Z$1504,"是"))</f>
        <v/>
      </c>
    </row>
    <row r="232" customFormat="false" ht="15.75" hidden="false" customHeight="true" outlineLevel="0" collapsed="false">
      <c r="A232" s="32" t="str">
        <f aca="false">IF(项目档案!$A232="","",项目档案!$A232)</f>
        <v/>
      </c>
      <c r="B232" s="40" t="str">
        <f aca="false">IF($A232="","",项目档案!$B232)</f>
        <v/>
      </c>
      <c r="C232" s="41" t="str">
        <f aca="false">IF($A232="","",SUMIFS(业务流水!$H$5:$H$1504,业务流水!$E$5:$E$1504,"*",业务流水!$D$5:$D$1504,"销项开票",业务流水!$C$5:$C$1504,$A232,业务流水!$Z$5:$Z$1504,"是"))</f>
        <v/>
      </c>
      <c r="D232" s="41" t="str">
        <f aca="false">IF($A232="","",SUMIFS(业务流水!$O$5:$O$1504,业务流水!$E$5:$E$1504,"*",业务流水!$D$5:$D$1504,"销项开票",业务流水!$C$5:$C$1504,$A232,业务流水!$Z$5:$Z$1504,"是"))</f>
        <v/>
      </c>
      <c r="E232" s="41" t="str">
        <f aca="false">IF($A232="","",SUMIFS(业务流水!$P$5:$P$1504,业务流水!$E$5:$E$1504,"*",业务流水!$D$5:$D$1504,"销项开票",业务流水!$C$5:$C$1504,$A232,业务流水!$Z$5:$Z$1504,"是"))</f>
        <v/>
      </c>
      <c r="F232" s="41" t="str">
        <f aca="false">IF($A232="","",SUMIFS(业务流水!$H$5:$H$1504,业务流水!$F$5:$F$1504,"*",业务流水!$D$5:$D$1504,"成本票",业务流水!$C$5:$C$1504,$A232,业务流水!$Z$5:$Z$1504,"是")+SUMIFS(业务流水!$H$5:$H$1504,业务流水!$F$5:$F$1504,"*",业务流水!$D$5:$D$1504,"销项开票",业务流水!$C$5:$C$1504,$A232,业务流水!$Z$5:$Z$1504,"是"))</f>
        <v/>
      </c>
      <c r="G232" s="42" t="str">
        <f aca="false">IF($A232="","",$E232-$F232)</f>
        <v/>
      </c>
      <c r="H232" s="41" t="str">
        <f aca="false">IF($A232="","",SUMIFS(业务流水!$W$5:$W$1504,业务流水!$E$5:$E$1504,"*",业务流水!$D$5:$D$1504,"销项开票",业务流水!$C$5:$C$1504,$A232,业务流水!$Z$5:$Z$1504,"是"))</f>
        <v/>
      </c>
      <c r="I232" s="41" t="str">
        <f aca="false">IF($A232="","",SUMIFS(业务流水!$H$5:$H$1504,业务流水!$E$5:$E$1504,"*",业务流水!$D$5:$D$1504,"已交税",业务流水!$C$5:$C$1504,$A232,业务流水!$Z$5:$Z$1504,"是"))</f>
        <v/>
      </c>
      <c r="J232" s="42" t="str">
        <f aca="false">IF($A232="","",$H232-$I232)</f>
        <v/>
      </c>
      <c r="K232" s="41" t="str">
        <f aca="false">IF($A232="","",SUMIFS(业务流水!$H$5:$H$1504,业务流水!$F$5:$F$1504,"*",业务流水!$D$5:$D$1504,"挂靠代收",业务流水!$C$5:$C$1504,$A232,业务流水!$Z$5:$Z$1504,"是"))</f>
        <v/>
      </c>
      <c r="L232" s="42" t="str">
        <f aca="false">IF($A232="","",$C232-$K232)</f>
        <v/>
      </c>
      <c r="M232" s="41" t="str">
        <f aca="false">IF($A232="","",SUMIFS(业务流水!$H$5:$H$1504,业务流水!$E$5:$E$1504,"*",业务流水!$D$5:$D$1504,"我方收款",业务流水!$C$5:$C$1504,$A232,业务流水!$Z$5:$Z$1504,"是"))</f>
        <v/>
      </c>
      <c r="N232" s="43" t="str">
        <f aca="false">IF($A232="","",$K232-$M232)</f>
        <v/>
      </c>
      <c r="O232" s="41" t="str">
        <f aca="false">IF($A232="","",SUMIFS(业务流水!$H$5:$H$1504,业务流水!$F$5:$F$1504,"*",业务流水!$D$5:$D$1504,"管理费结算",业务流水!$C$5:$C$1504,$A232,业务流水!$Z$5:$Z$1504,"是"))</f>
        <v/>
      </c>
      <c r="P232" s="41" t="str">
        <f aca="false">IF($A232="","",SUMIFS(业务流水!$H$5:$H$1504,业务流水!$E$5:$E$1504,"*",业务流水!$D$5:$D$1504,"扣质保金",业务流水!$C$5:$C$1504,$A232,业务流水!$Z$5:$Z$1504,"是"))</f>
        <v/>
      </c>
    </row>
    <row r="233" customFormat="false" ht="15.75" hidden="false" customHeight="true" outlineLevel="0" collapsed="false">
      <c r="A233" s="32" t="str">
        <f aca="false">IF(项目档案!$A233="","",项目档案!$A233)</f>
        <v/>
      </c>
      <c r="B233" s="40" t="str">
        <f aca="false">IF($A233="","",项目档案!$B233)</f>
        <v/>
      </c>
      <c r="C233" s="41" t="str">
        <f aca="false">IF($A233="","",SUMIFS(业务流水!$H$5:$H$1504,业务流水!$E$5:$E$1504,"*",业务流水!$D$5:$D$1504,"销项开票",业务流水!$C$5:$C$1504,$A233,业务流水!$Z$5:$Z$1504,"是"))</f>
        <v/>
      </c>
      <c r="D233" s="41" t="str">
        <f aca="false">IF($A233="","",SUMIFS(业务流水!$O$5:$O$1504,业务流水!$E$5:$E$1504,"*",业务流水!$D$5:$D$1504,"销项开票",业务流水!$C$5:$C$1504,$A233,业务流水!$Z$5:$Z$1504,"是"))</f>
        <v/>
      </c>
      <c r="E233" s="41" t="str">
        <f aca="false">IF($A233="","",SUMIFS(业务流水!$P$5:$P$1504,业务流水!$E$5:$E$1504,"*",业务流水!$D$5:$D$1504,"销项开票",业务流水!$C$5:$C$1504,$A233,业务流水!$Z$5:$Z$1504,"是"))</f>
        <v/>
      </c>
      <c r="F233" s="41" t="str">
        <f aca="false">IF($A233="","",SUMIFS(业务流水!$H$5:$H$1504,业务流水!$F$5:$F$1504,"*",业务流水!$D$5:$D$1504,"成本票",业务流水!$C$5:$C$1504,$A233,业务流水!$Z$5:$Z$1504,"是")+SUMIFS(业务流水!$H$5:$H$1504,业务流水!$F$5:$F$1504,"*",业务流水!$D$5:$D$1504,"销项开票",业务流水!$C$5:$C$1504,$A233,业务流水!$Z$5:$Z$1504,"是"))</f>
        <v/>
      </c>
      <c r="G233" s="42" t="str">
        <f aca="false">IF($A233="","",$E233-$F233)</f>
        <v/>
      </c>
      <c r="H233" s="41" t="str">
        <f aca="false">IF($A233="","",SUMIFS(业务流水!$W$5:$W$1504,业务流水!$E$5:$E$1504,"*",业务流水!$D$5:$D$1504,"销项开票",业务流水!$C$5:$C$1504,$A233,业务流水!$Z$5:$Z$1504,"是"))</f>
        <v/>
      </c>
      <c r="I233" s="41" t="str">
        <f aca="false">IF($A233="","",SUMIFS(业务流水!$H$5:$H$1504,业务流水!$E$5:$E$1504,"*",业务流水!$D$5:$D$1504,"已交税",业务流水!$C$5:$C$1504,$A233,业务流水!$Z$5:$Z$1504,"是"))</f>
        <v/>
      </c>
      <c r="J233" s="42" t="str">
        <f aca="false">IF($A233="","",$H233-$I233)</f>
        <v/>
      </c>
      <c r="K233" s="41" t="str">
        <f aca="false">IF($A233="","",SUMIFS(业务流水!$H$5:$H$1504,业务流水!$F$5:$F$1504,"*",业务流水!$D$5:$D$1504,"挂靠代收",业务流水!$C$5:$C$1504,$A233,业务流水!$Z$5:$Z$1504,"是"))</f>
        <v/>
      </c>
      <c r="L233" s="42" t="str">
        <f aca="false">IF($A233="","",$C233-$K233)</f>
        <v/>
      </c>
      <c r="M233" s="41" t="str">
        <f aca="false">IF($A233="","",SUMIFS(业务流水!$H$5:$H$1504,业务流水!$E$5:$E$1504,"*",业务流水!$D$5:$D$1504,"我方收款",业务流水!$C$5:$C$1504,$A233,业务流水!$Z$5:$Z$1504,"是"))</f>
        <v/>
      </c>
      <c r="N233" s="43" t="str">
        <f aca="false">IF($A233="","",$K233-$M233)</f>
        <v/>
      </c>
      <c r="O233" s="41" t="str">
        <f aca="false">IF($A233="","",SUMIFS(业务流水!$H$5:$H$1504,业务流水!$F$5:$F$1504,"*",业务流水!$D$5:$D$1504,"管理费结算",业务流水!$C$5:$C$1504,$A233,业务流水!$Z$5:$Z$1504,"是"))</f>
        <v/>
      </c>
      <c r="P233" s="41" t="str">
        <f aca="false">IF($A233="","",SUMIFS(业务流水!$H$5:$H$1504,业务流水!$E$5:$E$1504,"*",业务流水!$D$5:$D$1504,"扣质保金",业务流水!$C$5:$C$1504,$A233,业务流水!$Z$5:$Z$1504,"是"))</f>
        <v/>
      </c>
    </row>
    <row r="234" customFormat="false" ht="15.75" hidden="false" customHeight="true" outlineLevel="0" collapsed="false">
      <c r="A234" s="32" t="str">
        <f aca="false">IF(项目档案!$A234="","",项目档案!$A234)</f>
        <v/>
      </c>
      <c r="B234" s="40" t="str">
        <f aca="false">IF($A234="","",项目档案!$B234)</f>
        <v/>
      </c>
      <c r="C234" s="41" t="str">
        <f aca="false">IF($A234="","",SUMIFS(业务流水!$H$5:$H$1504,业务流水!$E$5:$E$1504,"*",业务流水!$D$5:$D$1504,"销项开票",业务流水!$C$5:$C$1504,$A234,业务流水!$Z$5:$Z$1504,"是"))</f>
        <v/>
      </c>
      <c r="D234" s="41" t="str">
        <f aca="false">IF($A234="","",SUMIFS(业务流水!$O$5:$O$1504,业务流水!$E$5:$E$1504,"*",业务流水!$D$5:$D$1504,"销项开票",业务流水!$C$5:$C$1504,$A234,业务流水!$Z$5:$Z$1504,"是"))</f>
        <v/>
      </c>
      <c r="E234" s="41" t="str">
        <f aca="false">IF($A234="","",SUMIFS(业务流水!$P$5:$P$1504,业务流水!$E$5:$E$1504,"*",业务流水!$D$5:$D$1504,"销项开票",业务流水!$C$5:$C$1504,$A234,业务流水!$Z$5:$Z$1504,"是"))</f>
        <v/>
      </c>
      <c r="F234" s="41" t="str">
        <f aca="false">IF($A234="","",SUMIFS(业务流水!$H$5:$H$1504,业务流水!$F$5:$F$1504,"*",业务流水!$D$5:$D$1504,"成本票",业务流水!$C$5:$C$1504,$A234,业务流水!$Z$5:$Z$1504,"是")+SUMIFS(业务流水!$H$5:$H$1504,业务流水!$F$5:$F$1504,"*",业务流水!$D$5:$D$1504,"销项开票",业务流水!$C$5:$C$1504,$A234,业务流水!$Z$5:$Z$1504,"是"))</f>
        <v/>
      </c>
      <c r="G234" s="42" t="str">
        <f aca="false">IF($A234="","",$E234-$F234)</f>
        <v/>
      </c>
      <c r="H234" s="41" t="str">
        <f aca="false">IF($A234="","",SUMIFS(业务流水!$W$5:$W$1504,业务流水!$E$5:$E$1504,"*",业务流水!$D$5:$D$1504,"销项开票",业务流水!$C$5:$C$1504,$A234,业务流水!$Z$5:$Z$1504,"是"))</f>
        <v/>
      </c>
      <c r="I234" s="41" t="str">
        <f aca="false">IF($A234="","",SUMIFS(业务流水!$H$5:$H$1504,业务流水!$E$5:$E$1504,"*",业务流水!$D$5:$D$1504,"已交税",业务流水!$C$5:$C$1504,$A234,业务流水!$Z$5:$Z$1504,"是"))</f>
        <v/>
      </c>
      <c r="J234" s="42" t="str">
        <f aca="false">IF($A234="","",$H234-$I234)</f>
        <v/>
      </c>
      <c r="K234" s="41" t="str">
        <f aca="false">IF($A234="","",SUMIFS(业务流水!$H$5:$H$1504,业务流水!$F$5:$F$1504,"*",业务流水!$D$5:$D$1504,"挂靠代收",业务流水!$C$5:$C$1504,$A234,业务流水!$Z$5:$Z$1504,"是"))</f>
        <v/>
      </c>
      <c r="L234" s="42" t="str">
        <f aca="false">IF($A234="","",$C234-$K234)</f>
        <v/>
      </c>
      <c r="M234" s="41" t="str">
        <f aca="false">IF($A234="","",SUMIFS(业务流水!$H$5:$H$1504,业务流水!$E$5:$E$1504,"*",业务流水!$D$5:$D$1504,"我方收款",业务流水!$C$5:$C$1504,$A234,业务流水!$Z$5:$Z$1504,"是"))</f>
        <v/>
      </c>
      <c r="N234" s="43" t="str">
        <f aca="false">IF($A234="","",$K234-$M234)</f>
        <v/>
      </c>
      <c r="O234" s="41" t="str">
        <f aca="false">IF($A234="","",SUMIFS(业务流水!$H$5:$H$1504,业务流水!$F$5:$F$1504,"*",业务流水!$D$5:$D$1504,"管理费结算",业务流水!$C$5:$C$1504,$A234,业务流水!$Z$5:$Z$1504,"是"))</f>
        <v/>
      </c>
      <c r="P234" s="41" t="str">
        <f aca="false">IF($A234="","",SUMIFS(业务流水!$H$5:$H$1504,业务流水!$E$5:$E$1504,"*",业务流水!$D$5:$D$1504,"扣质保金",业务流水!$C$5:$C$1504,$A234,业务流水!$Z$5:$Z$1504,"是"))</f>
        <v/>
      </c>
    </row>
    <row r="235" customFormat="false" ht="15.75" hidden="false" customHeight="true" outlineLevel="0" collapsed="false">
      <c r="A235" s="32" t="str">
        <f aca="false">IF(项目档案!$A235="","",项目档案!$A235)</f>
        <v/>
      </c>
      <c r="B235" s="40" t="str">
        <f aca="false">IF($A235="","",项目档案!$B235)</f>
        <v/>
      </c>
      <c r="C235" s="41" t="str">
        <f aca="false">IF($A235="","",SUMIFS(业务流水!$H$5:$H$1504,业务流水!$E$5:$E$1504,"*",业务流水!$D$5:$D$1504,"销项开票",业务流水!$C$5:$C$1504,$A235,业务流水!$Z$5:$Z$1504,"是"))</f>
        <v/>
      </c>
      <c r="D235" s="41" t="str">
        <f aca="false">IF($A235="","",SUMIFS(业务流水!$O$5:$O$1504,业务流水!$E$5:$E$1504,"*",业务流水!$D$5:$D$1504,"销项开票",业务流水!$C$5:$C$1504,$A235,业务流水!$Z$5:$Z$1504,"是"))</f>
        <v/>
      </c>
      <c r="E235" s="41" t="str">
        <f aca="false">IF($A235="","",SUMIFS(业务流水!$P$5:$P$1504,业务流水!$E$5:$E$1504,"*",业务流水!$D$5:$D$1504,"销项开票",业务流水!$C$5:$C$1504,$A235,业务流水!$Z$5:$Z$1504,"是"))</f>
        <v/>
      </c>
      <c r="F235" s="41" t="str">
        <f aca="false">IF($A235="","",SUMIFS(业务流水!$H$5:$H$1504,业务流水!$F$5:$F$1504,"*",业务流水!$D$5:$D$1504,"成本票",业务流水!$C$5:$C$1504,$A235,业务流水!$Z$5:$Z$1504,"是")+SUMIFS(业务流水!$H$5:$H$1504,业务流水!$F$5:$F$1504,"*",业务流水!$D$5:$D$1504,"销项开票",业务流水!$C$5:$C$1504,$A235,业务流水!$Z$5:$Z$1504,"是"))</f>
        <v/>
      </c>
      <c r="G235" s="42" t="str">
        <f aca="false">IF($A235="","",$E235-$F235)</f>
        <v/>
      </c>
      <c r="H235" s="41" t="str">
        <f aca="false">IF($A235="","",SUMIFS(业务流水!$W$5:$W$1504,业务流水!$E$5:$E$1504,"*",业务流水!$D$5:$D$1504,"销项开票",业务流水!$C$5:$C$1504,$A235,业务流水!$Z$5:$Z$1504,"是"))</f>
        <v/>
      </c>
      <c r="I235" s="41" t="str">
        <f aca="false">IF($A235="","",SUMIFS(业务流水!$H$5:$H$1504,业务流水!$E$5:$E$1504,"*",业务流水!$D$5:$D$1504,"已交税",业务流水!$C$5:$C$1504,$A235,业务流水!$Z$5:$Z$1504,"是"))</f>
        <v/>
      </c>
      <c r="J235" s="42" t="str">
        <f aca="false">IF($A235="","",$H235-$I235)</f>
        <v/>
      </c>
      <c r="K235" s="41" t="str">
        <f aca="false">IF($A235="","",SUMIFS(业务流水!$H$5:$H$1504,业务流水!$F$5:$F$1504,"*",业务流水!$D$5:$D$1504,"挂靠代收",业务流水!$C$5:$C$1504,$A235,业务流水!$Z$5:$Z$1504,"是"))</f>
        <v/>
      </c>
      <c r="L235" s="42" t="str">
        <f aca="false">IF($A235="","",$C235-$K235)</f>
        <v/>
      </c>
      <c r="M235" s="41" t="str">
        <f aca="false">IF($A235="","",SUMIFS(业务流水!$H$5:$H$1504,业务流水!$E$5:$E$1504,"*",业务流水!$D$5:$D$1504,"我方收款",业务流水!$C$5:$C$1504,$A235,业务流水!$Z$5:$Z$1504,"是"))</f>
        <v/>
      </c>
      <c r="N235" s="43" t="str">
        <f aca="false">IF($A235="","",$K235-$M235)</f>
        <v/>
      </c>
      <c r="O235" s="41" t="str">
        <f aca="false">IF($A235="","",SUMIFS(业务流水!$H$5:$H$1504,业务流水!$F$5:$F$1504,"*",业务流水!$D$5:$D$1504,"管理费结算",业务流水!$C$5:$C$1504,$A235,业务流水!$Z$5:$Z$1504,"是"))</f>
        <v/>
      </c>
      <c r="P235" s="41" t="str">
        <f aca="false">IF($A235="","",SUMIFS(业务流水!$H$5:$H$1504,业务流水!$E$5:$E$1504,"*",业务流水!$D$5:$D$1504,"扣质保金",业务流水!$C$5:$C$1504,$A235,业务流水!$Z$5:$Z$1504,"是"))</f>
        <v/>
      </c>
    </row>
    <row r="236" customFormat="false" ht="15.75" hidden="false" customHeight="true" outlineLevel="0" collapsed="false">
      <c r="A236" s="32" t="str">
        <f aca="false">IF(项目档案!$A236="","",项目档案!$A236)</f>
        <v/>
      </c>
      <c r="B236" s="40" t="str">
        <f aca="false">IF($A236="","",项目档案!$B236)</f>
        <v/>
      </c>
      <c r="C236" s="41" t="str">
        <f aca="false">IF($A236="","",SUMIFS(业务流水!$H$5:$H$1504,业务流水!$E$5:$E$1504,"*",业务流水!$D$5:$D$1504,"销项开票",业务流水!$C$5:$C$1504,$A236,业务流水!$Z$5:$Z$1504,"是"))</f>
        <v/>
      </c>
      <c r="D236" s="41" t="str">
        <f aca="false">IF($A236="","",SUMIFS(业务流水!$O$5:$O$1504,业务流水!$E$5:$E$1504,"*",业务流水!$D$5:$D$1504,"销项开票",业务流水!$C$5:$C$1504,$A236,业务流水!$Z$5:$Z$1504,"是"))</f>
        <v/>
      </c>
      <c r="E236" s="41" t="str">
        <f aca="false">IF($A236="","",SUMIFS(业务流水!$P$5:$P$1504,业务流水!$E$5:$E$1504,"*",业务流水!$D$5:$D$1504,"销项开票",业务流水!$C$5:$C$1504,$A236,业务流水!$Z$5:$Z$1504,"是"))</f>
        <v/>
      </c>
      <c r="F236" s="41" t="str">
        <f aca="false">IF($A236="","",SUMIFS(业务流水!$H$5:$H$1504,业务流水!$F$5:$F$1504,"*",业务流水!$D$5:$D$1504,"成本票",业务流水!$C$5:$C$1504,$A236,业务流水!$Z$5:$Z$1504,"是")+SUMIFS(业务流水!$H$5:$H$1504,业务流水!$F$5:$F$1504,"*",业务流水!$D$5:$D$1504,"销项开票",业务流水!$C$5:$C$1504,$A236,业务流水!$Z$5:$Z$1504,"是"))</f>
        <v/>
      </c>
      <c r="G236" s="42" t="str">
        <f aca="false">IF($A236="","",$E236-$F236)</f>
        <v/>
      </c>
      <c r="H236" s="41" t="str">
        <f aca="false">IF($A236="","",SUMIFS(业务流水!$W$5:$W$1504,业务流水!$E$5:$E$1504,"*",业务流水!$D$5:$D$1504,"销项开票",业务流水!$C$5:$C$1504,$A236,业务流水!$Z$5:$Z$1504,"是"))</f>
        <v/>
      </c>
      <c r="I236" s="41" t="str">
        <f aca="false">IF($A236="","",SUMIFS(业务流水!$H$5:$H$1504,业务流水!$E$5:$E$1504,"*",业务流水!$D$5:$D$1504,"已交税",业务流水!$C$5:$C$1504,$A236,业务流水!$Z$5:$Z$1504,"是"))</f>
        <v/>
      </c>
      <c r="J236" s="42" t="str">
        <f aca="false">IF($A236="","",$H236-$I236)</f>
        <v/>
      </c>
      <c r="K236" s="41" t="str">
        <f aca="false">IF($A236="","",SUMIFS(业务流水!$H$5:$H$1504,业务流水!$F$5:$F$1504,"*",业务流水!$D$5:$D$1504,"挂靠代收",业务流水!$C$5:$C$1504,$A236,业务流水!$Z$5:$Z$1504,"是"))</f>
        <v/>
      </c>
      <c r="L236" s="42" t="str">
        <f aca="false">IF($A236="","",$C236-$K236)</f>
        <v/>
      </c>
      <c r="M236" s="41" t="str">
        <f aca="false">IF($A236="","",SUMIFS(业务流水!$H$5:$H$1504,业务流水!$E$5:$E$1504,"*",业务流水!$D$5:$D$1504,"我方收款",业务流水!$C$5:$C$1504,$A236,业务流水!$Z$5:$Z$1504,"是"))</f>
        <v/>
      </c>
      <c r="N236" s="43" t="str">
        <f aca="false">IF($A236="","",$K236-$M236)</f>
        <v/>
      </c>
      <c r="O236" s="41" t="str">
        <f aca="false">IF($A236="","",SUMIFS(业务流水!$H$5:$H$1504,业务流水!$F$5:$F$1504,"*",业务流水!$D$5:$D$1504,"管理费结算",业务流水!$C$5:$C$1504,$A236,业务流水!$Z$5:$Z$1504,"是"))</f>
        <v/>
      </c>
      <c r="P236" s="41" t="str">
        <f aca="false">IF($A236="","",SUMIFS(业务流水!$H$5:$H$1504,业务流水!$E$5:$E$1504,"*",业务流水!$D$5:$D$1504,"扣质保金",业务流水!$C$5:$C$1504,$A236,业务流水!$Z$5:$Z$1504,"是"))</f>
        <v/>
      </c>
    </row>
    <row r="237" customFormat="false" ht="15.75" hidden="false" customHeight="true" outlineLevel="0" collapsed="false">
      <c r="A237" s="32" t="str">
        <f aca="false">IF(项目档案!$A237="","",项目档案!$A237)</f>
        <v/>
      </c>
      <c r="B237" s="40" t="str">
        <f aca="false">IF($A237="","",项目档案!$B237)</f>
        <v/>
      </c>
      <c r="C237" s="41" t="str">
        <f aca="false">IF($A237="","",SUMIFS(业务流水!$H$5:$H$1504,业务流水!$E$5:$E$1504,"*",业务流水!$D$5:$D$1504,"销项开票",业务流水!$C$5:$C$1504,$A237,业务流水!$Z$5:$Z$1504,"是"))</f>
        <v/>
      </c>
      <c r="D237" s="41" t="str">
        <f aca="false">IF($A237="","",SUMIFS(业务流水!$O$5:$O$1504,业务流水!$E$5:$E$1504,"*",业务流水!$D$5:$D$1504,"销项开票",业务流水!$C$5:$C$1504,$A237,业务流水!$Z$5:$Z$1504,"是"))</f>
        <v/>
      </c>
      <c r="E237" s="41" t="str">
        <f aca="false">IF($A237="","",SUMIFS(业务流水!$P$5:$P$1504,业务流水!$E$5:$E$1504,"*",业务流水!$D$5:$D$1504,"销项开票",业务流水!$C$5:$C$1504,$A237,业务流水!$Z$5:$Z$1504,"是"))</f>
        <v/>
      </c>
      <c r="F237" s="41" t="str">
        <f aca="false">IF($A237="","",SUMIFS(业务流水!$H$5:$H$1504,业务流水!$F$5:$F$1504,"*",业务流水!$D$5:$D$1504,"成本票",业务流水!$C$5:$C$1504,$A237,业务流水!$Z$5:$Z$1504,"是")+SUMIFS(业务流水!$H$5:$H$1504,业务流水!$F$5:$F$1504,"*",业务流水!$D$5:$D$1504,"销项开票",业务流水!$C$5:$C$1504,$A237,业务流水!$Z$5:$Z$1504,"是"))</f>
        <v/>
      </c>
      <c r="G237" s="42" t="str">
        <f aca="false">IF($A237="","",$E237-$F237)</f>
        <v/>
      </c>
      <c r="H237" s="41" t="str">
        <f aca="false">IF($A237="","",SUMIFS(业务流水!$W$5:$W$1504,业务流水!$E$5:$E$1504,"*",业务流水!$D$5:$D$1504,"销项开票",业务流水!$C$5:$C$1504,$A237,业务流水!$Z$5:$Z$1504,"是"))</f>
        <v/>
      </c>
      <c r="I237" s="41" t="str">
        <f aca="false">IF($A237="","",SUMIFS(业务流水!$H$5:$H$1504,业务流水!$E$5:$E$1504,"*",业务流水!$D$5:$D$1504,"已交税",业务流水!$C$5:$C$1504,$A237,业务流水!$Z$5:$Z$1504,"是"))</f>
        <v/>
      </c>
      <c r="J237" s="42" t="str">
        <f aca="false">IF($A237="","",$H237-$I237)</f>
        <v/>
      </c>
      <c r="K237" s="41" t="str">
        <f aca="false">IF($A237="","",SUMIFS(业务流水!$H$5:$H$1504,业务流水!$F$5:$F$1504,"*",业务流水!$D$5:$D$1504,"挂靠代收",业务流水!$C$5:$C$1504,$A237,业务流水!$Z$5:$Z$1504,"是"))</f>
        <v/>
      </c>
      <c r="L237" s="42" t="str">
        <f aca="false">IF($A237="","",$C237-$K237)</f>
        <v/>
      </c>
      <c r="M237" s="41" t="str">
        <f aca="false">IF($A237="","",SUMIFS(业务流水!$H$5:$H$1504,业务流水!$E$5:$E$1504,"*",业务流水!$D$5:$D$1504,"我方收款",业务流水!$C$5:$C$1504,$A237,业务流水!$Z$5:$Z$1504,"是"))</f>
        <v/>
      </c>
      <c r="N237" s="43" t="str">
        <f aca="false">IF($A237="","",$K237-$M237)</f>
        <v/>
      </c>
      <c r="O237" s="41" t="str">
        <f aca="false">IF($A237="","",SUMIFS(业务流水!$H$5:$H$1504,业务流水!$F$5:$F$1504,"*",业务流水!$D$5:$D$1504,"管理费结算",业务流水!$C$5:$C$1504,$A237,业务流水!$Z$5:$Z$1504,"是"))</f>
        <v/>
      </c>
      <c r="P237" s="41" t="str">
        <f aca="false">IF($A237="","",SUMIFS(业务流水!$H$5:$H$1504,业务流水!$E$5:$E$1504,"*",业务流水!$D$5:$D$1504,"扣质保金",业务流水!$C$5:$C$1504,$A237,业务流水!$Z$5:$Z$1504,"是"))</f>
        <v/>
      </c>
    </row>
    <row r="238" customFormat="false" ht="15.75" hidden="false" customHeight="true" outlineLevel="0" collapsed="false">
      <c r="A238" s="32" t="str">
        <f aca="false">IF(项目档案!$A238="","",项目档案!$A238)</f>
        <v/>
      </c>
      <c r="B238" s="40" t="str">
        <f aca="false">IF($A238="","",项目档案!$B238)</f>
        <v/>
      </c>
      <c r="C238" s="41" t="str">
        <f aca="false">IF($A238="","",SUMIFS(业务流水!$H$5:$H$1504,业务流水!$E$5:$E$1504,"*",业务流水!$D$5:$D$1504,"销项开票",业务流水!$C$5:$C$1504,$A238,业务流水!$Z$5:$Z$1504,"是"))</f>
        <v/>
      </c>
      <c r="D238" s="41" t="str">
        <f aca="false">IF($A238="","",SUMIFS(业务流水!$O$5:$O$1504,业务流水!$E$5:$E$1504,"*",业务流水!$D$5:$D$1504,"销项开票",业务流水!$C$5:$C$1504,$A238,业务流水!$Z$5:$Z$1504,"是"))</f>
        <v/>
      </c>
      <c r="E238" s="41" t="str">
        <f aca="false">IF($A238="","",SUMIFS(业务流水!$P$5:$P$1504,业务流水!$E$5:$E$1504,"*",业务流水!$D$5:$D$1504,"销项开票",业务流水!$C$5:$C$1504,$A238,业务流水!$Z$5:$Z$1504,"是"))</f>
        <v/>
      </c>
      <c r="F238" s="41" t="str">
        <f aca="false">IF($A238="","",SUMIFS(业务流水!$H$5:$H$1504,业务流水!$F$5:$F$1504,"*",业务流水!$D$5:$D$1504,"成本票",业务流水!$C$5:$C$1504,$A238,业务流水!$Z$5:$Z$1504,"是")+SUMIFS(业务流水!$H$5:$H$1504,业务流水!$F$5:$F$1504,"*",业务流水!$D$5:$D$1504,"销项开票",业务流水!$C$5:$C$1504,$A238,业务流水!$Z$5:$Z$1504,"是"))</f>
        <v/>
      </c>
      <c r="G238" s="42" t="str">
        <f aca="false">IF($A238="","",$E238-$F238)</f>
        <v/>
      </c>
      <c r="H238" s="41" t="str">
        <f aca="false">IF($A238="","",SUMIFS(业务流水!$W$5:$W$1504,业务流水!$E$5:$E$1504,"*",业务流水!$D$5:$D$1504,"销项开票",业务流水!$C$5:$C$1504,$A238,业务流水!$Z$5:$Z$1504,"是"))</f>
        <v/>
      </c>
      <c r="I238" s="41" t="str">
        <f aca="false">IF($A238="","",SUMIFS(业务流水!$H$5:$H$1504,业务流水!$E$5:$E$1504,"*",业务流水!$D$5:$D$1504,"已交税",业务流水!$C$5:$C$1504,$A238,业务流水!$Z$5:$Z$1504,"是"))</f>
        <v/>
      </c>
      <c r="J238" s="42" t="str">
        <f aca="false">IF($A238="","",$H238-$I238)</f>
        <v/>
      </c>
      <c r="K238" s="41" t="str">
        <f aca="false">IF($A238="","",SUMIFS(业务流水!$H$5:$H$1504,业务流水!$F$5:$F$1504,"*",业务流水!$D$5:$D$1504,"挂靠代收",业务流水!$C$5:$C$1504,$A238,业务流水!$Z$5:$Z$1504,"是"))</f>
        <v/>
      </c>
      <c r="L238" s="42" t="str">
        <f aca="false">IF($A238="","",$C238-$K238)</f>
        <v/>
      </c>
      <c r="M238" s="41" t="str">
        <f aca="false">IF($A238="","",SUMIFS(业务流水!$H$5:$H$1504,业务流水!$E$5:$E$1504,"*",业务流水!$D$5:$D$1504,"我方收款",业务流水!$C$5:$C$1504,$A238,业务流水!$Z$5:$Z$1504,"是"))</f>
        <v/>
      </c>
      <c r="N238" s="43" t="str">
        <f aca="false">IF($A238="","",$K238-$M238)</f>
        <v/>
      </c>
      <c r="O238" s="41" t="str">
        <f aca="false">IF($A238="","",SUMIFS(业务流水!$H$5:$H$1504,业务流水!$F$5:$F$1504,"*",业务流水!$D$5:$D$1504,"管理费结算",业务流水!$C$5:$C$1504,$A238,业务流水!$Z$5:$Z$1504,"是"))</f>
        <v/>
      </c>
      <c r="P238" s="41" t="str">
        <f aca="false">IF($A238="","",SUMIFS(业务流水!$H$5:$H$1504,业务流水!$E$5:$E$1504,"*",业务流水!$D$5:$D$1504,"扣质保金",业务流水!$C$5:$C$1504,$A238,业务流水!$Z$5:$Z$1504,"是"))</f>
        <v/>
      </c>
    </row>
    <row r="239" customFormat="false" ht="15.75" hidden="false" customHeight="true" outlineLevel="0" collapsed="false">
      <c r="A239" s="32" t="str">
        <f aca="false">IF(项目档案!$A239="","",项目档案!$A239)</f>
        <v/>
      </c>
      <c r="B239" s="40" t="str">
        <f aca="false">IF($A239="","",项目档案!$B239)</f>
        <v/>
      </c>
      <c r="C239" s="41" t="str">
        <f aca="false">IF($A239="","",SUMIFS(业务流水!$H$5:$H$1504,业务流水!$E$5:$E$1504,"*",业务流水!$D$5:$D$1504,"销项开票",业务流水!$C$5:$C$1504,$A239,业务流水!$Z$5:$Z$1504,"是"))</f>
        <v/>
      </c>
      <c r="D239" s="41" t="str">
        <f aca="false">IF($A239="","",SUMIFS(业务流水!$O$5:$O$1504,业务流水!$E$5:$E$1504,"*",业务流水!$D$5:$D$1504,"销项开票",业务流水!$C$5:$C$1504,$A239,业务流水!$Z$5:$Z$1504,"是"))</f>
        <v/>
      </c>
      <c r="E239" s="41" t="str">
        <f aca="false">IF($A239="","",SUMIFS(业务流水!$P$5:$P$1504,业务流水!$E$5:$E$1504,"*",业务流水!$D$5:$D$1504,"销项开票",业务流水!$C$5:$C$1504,$A239,业务流水!$Z$5:$Z$1504,"是"))</f>
        <v/>
      </c>
      <c r="F239" s="41" t="str">
        <f aca="false">IF($A239="","",SUMIFS(业务流水!$H$5:$H$1504,业务流水!$F$5:$F$1504,"*",业务流水!$D$5:$D$1504,"成本票",业务流水!$C$5:$C$1504,$A239,业务流水!$Z$5:$Z$1504,"是")+SUMIFS(业务流水!$H$5:$H$1504,业务流水!$F$5:$F$1504,"*",业务流水!$D$5:$D$1504,"销项开票",业务流水!$C$5:$C$1504,$A239,业务流水!$Z$5:$Z$1504,"是"))</f>
        <v/>
      </c>
      <c r="G239" s="42" t="str">
        <f aca="false">IF($A239="","",$E239-$F239)</f>
        <v/>
      </c>
      <c r="H239" s="41" t="str">
        <f aca="false">IF($A239="","",SUMIFS(业务流水!$W$5:$W$1504,业务流水!$E$5:$E$1504,"*",业务流水!$D$5:$D$1504,"销项开票",业务流水!$C$5:$C$1504,$A239,业务流水!$Z$5:$Z$1504,"是"))</f>
        <v/>
      </c>
      <c r="I239" s="41" t="str">
        <f aca="false">IF($A239="","",SUMIFS(业务流水!$H$5:$H$1504,业务流水!$E$5:$E$1504,"*",业务流水!$D$5:$D$1504,"已交税",业务流水!$C$5:$C$1504,$A239,业务流水!$Z$5:$Z$1504,"是"))</f>
        <v/>
      </c>
      <c r="J239" s="42" t="str">
        <f aca="false">IF($A239="","",$H239-$I239)</f>
        <v/>
      </c>
      <c r="K239" s="41" t="str">
        <f aca="false">IF($A239="","",SUMIFS(业务流水!$H$5:$H$1504,业务流水!$F$5:$F$1504,"*",业务流水!$D$5:$D$1504,"挂靠代收",业务流水!$C$5:$C$1504,$A239,业务流水!$Z$5:$Z$1504,"是"))</f>
        <v/>
      </c>
      <c r="L239" s="42" t="str">
        <f aca="false">IF($A239="","",$C239-$K239)</f>
        <v/>
      </c>
      <c r="M239" s="41" t="str">
        <f aca="false">IF($A239="","",SUMIFS(业务流水!$H$5:$H$1504,业务流水!$E$5:$E$1504,"*",业务流水!$D$5:$D$1504,"我方收款",业务流水!$C$5:$C$1504,$A239,业务流水!$Z$5:$Z$1504,"是"))</f>
        <v/>
      </c>
      <c r="N239" s="43" t="str">
        <f aca="false">IF($A239="","",$K239-$M239)</f>
        <v/>
      </c>
      <c r="O239" s="41" t="str">
        <f aca="false">IF($A239="","",SUMIFS(业务流水!$H$5:$H$1504,业务流水!$F$5:$F$1504,"*",业务流水!$D$5:$D$1504,"管理费结算",业务流水!$C$5:$C$1504,$A239,业务流水!$Z$5:$Z$1504,"是"))</f>
        <v/>
      </c>
      <c r="P239" s="41" t="str">
        <f aca="false">IF($A239="","",SUMIFS(业务流水!$H$5:$H$1504,业务流水!$E$5:$E$1504,"*",业务流水!$D$5:$D$1504,"扣质保金",业务流水!$C$5:$C$1504,$A239,业务流水!$Z$5:$Z$1504,"是"))</f>
        <v/>
      </c>
    </row>
    <row r="240" customFormat="false" ht="15.75" hidden="false" customHeight="true" outlineLevel="0" collapsed="false">
      <c r="A240" s="32" t="str">
        <f aca="false">IF(项目档案!$A240="","",项目档案!$A240)</f>
        <v/>
      </c>
      <c r="B240" s="40" t="str">
        <f aca="false">IF($A240="","",项目档案!$B240)</f>
        <v/>
      </c>
      <c r="C240" s="41" t="str">
        <f aca="false">IF($A240="","",SUMIFS(业务流水!$H$5:$H$1504,业务流水!$E$5:$E$1504,"*",业务流水!$D$5:$D$1504,"销项开票",业务流水!$C$5:$C$1504,$A240,业务流水!$Z$5:$Z$1504,"是"))</f>
        <v/>
      </c>
      <c r="D240" s="41" t="str">
        <f aca="false">IF($A240="","",SUMIFS(业务流水!$O$5:$O$1504,业务流水!$E$5:$E$1504,"*",业务流水!$D$5:$D$1504,"销项开票",业务流水!$C$5:$C$1504,$A240,业务流水!$Z$5:$Z$1504,"是"))</f>
        <v/>
      </c>
      <c r="E240" s="41" t="str">
        <f aca="false">IF($A240="","",SUMIFS(业务流水!$P$5:$P$1504,业务流水!$E$5:$E$1504,"*",业务流水!$D$5:$D$1504,"销项开票",业务流水!$C$5:$C$1504,$A240,业务流水!$Z$5:$Z$1504,"是"))</f>
        <v/>
      </c>
      <c r="F240" s="41" t="str">
        <f aca="false">IF($A240="","",SUMIFS(业务流水!$H$5:$H$1504,业务流水!$F$5:$F$1504,"*",业务流水!$D$5:$D$1504,"成本票",业务流水!$C$5:$C$1504,$A240,业务流水!$Z$5:$Z$1504,"是")+SUMIFS(业务流水!$H$5:$H$1504,业务流水!$F$5:$F$1504,"*",业务流水!$D$5:$D$1504,"销项开票",业务流水!$C$5:$C$1504,$A240,业务流水!$Z$5:$Z$1504,"是"))</f>
        <v/>
      </c>
      <c r="G240" s="42" t="str">
        <f aca="false">IF($A240="","",$E240-$F240)</f>
        <v/>
      </c>
      <c r="H240" s="41" t="str">
        <f aca="false">IF($A240="","",SUMIFS(业务流水!$W$5:$W$1504,业务流水!$E$5:$E$1504,"*",业务流水!$D$5:$D$1504,"销项开票",业务流水!$C$5:$C$1504,$A240,业务流水!$Z$5:$Z$1504,"是"))</f>
        <v/>
      </c>
      <c r="I240" s="41" t="str">
        <f aca="false">IF($A240="","",SUMIFS(业务流水!$H$5:$H$1504,业务流水!$E$5:$E$1504,"*",业务流水!$D$5:$D$1504,"已交税",业务流水!$C$5:$C$1504,$A240,业务流水!$Z$5:$Z$1504,"是"))</f>
        <v/>
      </c>
      <c r="J240" s="42" t="str">
        <f aca="false">IF($A240="","",$H240-$I240)</f>
        <v/>
      </c>
      <c r="K240" s="41" t="str">
        <f aca="false">IF($A240="","",SUMIFS(业务流水!$H$5:$H$1504,业务流水!$F$5:$F$1504,"*",业务流水!$D$5:$D$1504,"挂靠代收",业务流水!$C$5:$C$1504,$A240,业务流水!$Z$5:$Z$1504,"是"))</f>
        <v/>
      </c>
      <c r="L240" s="42" t="str">
        <f aca="false">IF($A240="","",$C240-$K240)</f>
        <v/>
      </c>
      <c r="M240" s="41" t="str">
        <f aca="false">IF($A240="","",SUMIFS(业务流水!$H$5:$H$1504,业务流水!$E$5:$E$1504,"*",业务流水!$D$5:$D$1504,"我方收款",业务流水!$C$5:$C$1504,$A240,业务流水!$Z$5:$Z$1504,"是"))</f>
        <v/>
      </c>
      <c r="N240" s="43" t="str">
        <f aca="false">IF($A240="","",$K240-$M240)</f>
        <v/>
      </c>
      <c r="O240" s="41" t="str">
        <f aca="false">IF($A240="","",SUMIFS(业务流水!$H$5:$H$1504,业务流水!$F$5:$F$1504,"*",业务流水!$D$5:$D$1504,"管理费结算",业务流水!$C$5:$C$1504,$A240,业务流水!$Z$5:$Z$1504,"是"))</f>
        <v/>
      </c>
      <c r="P240" s="41" t="str">
        <f aca="false">IF($A240="","",SUMIFS(业务流水!$H$5:$H$1504,业务流水!$E$5:$E$1504,"*",业务流水!$D$5:$D$1504,"扣质保金",业务流水!$C$5:$C$1504,$A240,业务流水!$Z$5:$Z$1504,"是"))</f>
        <v/>
      </c>
    </row>
    <row r="241" customFormat="false" ht="15.75" hidden="false" customHeight="true" outlineLevel="0" collapsed="false">
      <c r="A241" s="32" t="str">
        <f aca="false">IF(项目档案!$A241="","",项目档案!$A241)</f>
        <v/>
      </c>
      <c r="B241" s="40" t="str">
        <f aca="false">IF($A241="","",项目档案!$B241)</f>
        <v/>
      </c>
      <c r="C241" s="41" t="str">
        <f aca="false">IF($A241="","",SUMIFS(业务流水!$H$5:$H$1504,业务流水!$E$5:$E$1504,"*",业务流水!$D$5:$D$1504,"销项开票",业务流水!$C$5:$C$1504,$A241,业务流水!$Z$5:$Z$1504,"是"))</f>
        <v/>
      </c>
      <c r="D241" s="41" t="str">
        <f aca="false">IF($A241="","",SUMIFS(业务流水!$O$5:$O$1504,业务流水!$E$5:$E$1504,"*",业务流水!$D$5:$D$1504,"销项开票",业务流水!$C$5:$C$1504,$A241,业务流水!$Z$5:$Z$1504,"是"))</f>
        <v/>
      </c>
      <c r="E241" s="41" t="str">
        <f aca="false">IF($A241="","",SUMIFS(业务流水!$P$5:$P$1504,业务流水!$E$5:$E$1504,"*",业务流水!$D$5:$D$1504,"销项开票",业务流水!$C$5:$C$1504,$A241,业务流水!$Z$5:$Z$1504,"是"))</f>
        <v/>
      </c>
      <c r="F241" s="41" t="str">
        <f aca="false">IF($A241="","",SUMIFS(业务流水!$H$5:$H$1504,业务流水!$F$5:$F$1504,"*",业务流水!$D$5:$D$1504,"成本票",业务流水!$C$5:$C$1504,$A241,业务流水!$Z$5:$Z$1504,"是")+SUMIFS(业务流水!$H$5:$H$1504,业务流水!$F$5:$F$1504,"*",业务流水!$D$5:$D$1504,"销项开票",业务流水!$C$5:$C$1504,$A241,业务流水!$Z$5:$Z$1504,"是"))</f>
        <v/>
      </c>
      <c r="G241" s="42" t="str">
        <f aca="false">IF($A241="","",$E241-$F241)</f>
        <v/>
      </c>
      <c r="H241" s="41" t="str">
        <f aca="false">IF($A241="","",SUMIFS(业务流水!$W$5:$W$1504,业务流水!$E$5:$E$1504,"*",业务流水!$D$5:$D$1504,"销项开票",业务流水!$C$5:$C$1504,$A241,业务流水!$Z$5:$Z$1504,"是"))</f>
        <v/>
      </c>
      <c r="I241" s="41" t="str">
        <f aca="false">IF($A241="","",SUMIFS(业务流水!$H$5:$H$1504,业务流水!$E$5:$E$1504,"*",业务流水!$D$5:$D$1504,"已交税",业务流水!$C$5:$C$1504,$A241,业务流水!$Z$5:$Z$1504,"是"))</f>
        <v/>
      </c>
      <c r="J241" s="42" t="str">
        <f aca="false">IF($A241="","",$H241-$I241)</f>
        <v/>
      </c>
      <c r="K241" s="41" t="str">
        <f aca="false">IF($A241="","",SUMIFS(业务流水!$H$5:$H$1504,业务流水!$F$5:$F$1504,"*",业务流水!$D$5:$D$1504,"挂靠代收",业务流水!$C$5:$C$1504,$A241,业务流水!$Z$5:$Z$1504,"是"))</f>
        <v/>
      </c>
      <c r="L241" s="42" t="str">
        <f aca="false">IF($A241="","",$C241-$K241)</f>
        <v/>
      </c>
      <c r="M241" s="41" t="str">
        <f aca="false">IF($A241="","",SUMIFS(业务流水!$H$5:$H$1504,业务流水!$E$5:$E$1504,"*",业务流水!$D$5:$D$1504,"我方收款",业务流水!$C$5:$C$1504,$A241,业务流水!$Z$5:$Z$1504,"是"))</f>
        <v/>
      </c>
      <c r="N241" s="43" t="str">
        <f aca="false">IF($A241="","",$K241-$M241)</f>
        <v/>
      </c>
      <c r="O241" s="41" t="str">
        <f aca="false">IF($A241="","",SUMIFS(业务流水!$H$5:$H$1504,业务流水!$F$5:$F$1504,"*",业务流水!$D$5:$D$1504,"管理费结算",业务流水!$C$5:$C$1504,$A241,业务流水!$Z$5:$Z$1504,"是"))</f>
        <v/>
      </c>
      <c r="P241" s="41" t="str">
        <f aca="false">IF($A241="","",SUMIFS(业务流水!$H$5:$H$1504,业务流水!$E$5:$E$1504,"*",业务流水!$D$5:$D$1504,"扣质保金",业务流水!$C$5:$C$1504,$A241,业务流水!$Z$5:$Z$1504,"是"))</f>
        <v/>
      </c>
    </row>
    <row r="242" customFormat="false" ht="15.75" hidden="false" customHeight="true" outlineLevel="0" collapsed="false">
      <c r="A242" s="32" t="str">
        <f aca="false">IF(项目档案!$A242="","",项目档案!$A242)</f>
        <v/>
      </c>
      <c r="B242" s="40" t="str">
        <f aca="false">IF($A242="","",项目档案!$B242)</f>
        <v/>
      </c>
      <c r="C242" s="41" t="str">
        <f aca="false">IF($A242="","",SUMIFS(业务流水!$H$5:$H$1504,业务流水!$E$5:$E$1504,"*",业务流水!$D$5:$D$1504,"销项开票",业务流水!$C$5:$C$1504,$A242,业务流水!$Z$5:$Z$1504,"是"))</f>
        <v/>
      </c>
      <c r="D242" s="41" t="str">
        <f aca="false">IF($A242="","",SUMIFS(业务流水!$O$5:$O$1504,业务流水!$E$5:$E$1504,"*",业务流水!$D$5:$D$1504,"销项开票",业务流水!$C$5:$C$1504,$A242,业务流水!$Z$5:$Z$1504,"是"))</f>
        <v/>
      </c>
      <c r="E242" s="41" t="str">
        <f aca="false">IF($A242="","",SUMIFS(业务流水!$P$5:$P$1504,业务流水!$E$5:$E$1504,"*",业务流水!$D$5:$D$1504,"销项开票",业务流水!$C$5:$C$1504,$A242,业务流水!$Z$5:$Z$1504,"是"))</f>
        <v/>
      </c>
      <c r="F242" s="41" t="str">
        <f aca="false">IF($A242="","",SUMIFS(业务流水!$H$5:$H$1504,业务流水!$F$5:$F$1504,"*",业务流水!$D$5:$D$1504,"成本票",业务流水!$C$5:$C$1504,$A242,业务流水!$Z$5:$Z$1504,"是")+SUMIFS(业务流水!$H$5:$H$1504,业务流水!$F$5:$F$1504,"*",业务流水!$D$5:$D$1504,"销项开票",业务流水!$C$5:$C$1504,$A242,业务流水!$Z$5:$Z$1504,"是"))</f>
        <v/>
      </c>
      <c r="G242" s="42" t="str">
        <f aca="false">IF($A242="","",$E242-$F242)</f>
        <v/>
      </c>
      <c r="H242" s="41" t="str">
        <f aca="false">IF($A242="","",SUMIFS(业务流水!$W$5:$W$1504,业务流水!$E$5:$E$1504,"*",业务流水!$D$5:$D$1504,"销项开票",业务流水!$C$5:$C$1504,$A242,业务流水!$Z$5:$Z$1504,"是"))</f>
        <v/>
      </c>
      <c r="I242" s="41" t="str">
        <f aca="false">IF($A242="","",SUMIFS(业务流水!$H$5:$H$1504,业务流水!$E$5:$E$1504,"*",业务流水!$D$5:$D$1504,"已交税",业务流水!$C$5:$C$1504,$A242,业务流水!$Z$5:$Z$1504,"是"))</f>
        <v/>
      </c>
      <c r="J242" s="42" t="str">
        <f aca="false">IF($A242="","",$H242-$I242)</f>
        <v/>
      </c>
      <c r="K242" s="41" t="str">
        <f aca="false">IF($A242="","",SUMIFS(业务流水!$H$5:$H$1504,业务流水!$F$5:$F$1504,"*",业务流水!$D$5:$D$1504,"挂靠代收",业务流水!$C$5:$C$1504,$A242,业务流水!$Z$5:$Z$1504,"是"))</f>
        <v/>
      </c>
      <c r="L242" s="42" t="str">
        <f aca="false">IF($A242="","",$C242-$K242)</f>
        <v/>
      </c>
      <c r="M242" s="41" t="str">
        <f aca="false">IF($A242="","",SUMIFS(业务流水!$H$5:$H$1504,业务流水!$E$5:$E$1504,"*",业务流水!$D$5:$D$1504,"我方收款",业务流水!$C$5:$C$1504,$A242,业务流水!$Z$5:$Z$1504,"是"))</f>
        <v/>
      </c>
      <c r="N242" s="43" t="str">
        <f aca="false">IF($A242="","",$K242-$M242)</f>
        <v/>
      </c>
      <c r="O242" s="41" t="str">
        <f aca="false">IF($A242="","",SUMIFS(业务流水!$H$5:$H$1504,业务流水!$F$5:$F$1504,"*",业务流水!$D$5:$D$1504,"管理费结算",业务流水!$C$5:$C$1504,$A242,业务流水!$Z$5:$Z$1504,"是"))</f>
        <v/>
      </c>
      <c r="P242" s="41" t="str">
        <f aca="false">IF($A242="","",SUMIFS(业务流水!$H$5:$H$1504,业务流水!$E$5:$E$1504,"*",业务流水!$D$5:$D$1504,"扣质保金",业务流水!$C$5:$C$1504,$A242,业务流水!$Z$5:$Z$1504,"是"))</f>
        <v/>
      </c>
    </row>
    <row r="243" customFormat="false" ht="15.75" hidden="false" customHeight="true" outlineLevel="0" collapsed="false">
      <c r="A243" s="32" t="str">
        <f aca="false">IF(项目档案!$A243="","",项目档案!$A243)</f>
        <v/>
      </c>
      <c r="B243" s="40" t="str">
        <f aca="false">IF($A243="","",项目档案!$B243)</f>
        <v/>
      </c>
      <c r="C243" s="41" t="str">
        <f aca="false">IF($A243="","",SUMIFS(业务流水!$H$5:$H$1504,业务流水!$E$5:$E$1504,"*",业务流水!$D$5:$D$1504,"销项开票",业务流水!$C$5:$C$1504,$A243,业务流水!$Z$5:$Z$1504,"是"))</f>
        <v/>
      </c>
      <c r="D243" s="41" t="str">
        <f aca="false">IF($A243="","",SUMIFS(业务流水!$O$5:$O$1504,业务流水!$E$5:$E$1504,"*",业务流水!$D$5:$D$1504,"销项开票",业务流水!$C$5:$C$1504,$A243,业务流水!$Z$5:$Z$1504,"是"))</f>
        <v/>
      </c>
      <c r="E243" s="41" t="str">
        <f aca="false">IF($A243="","",SUMIFS(业务流水!$P$5:$P$1504,业务流水!$E$5:$E$1504,"*",业务流水!$D$5:$D$1504,"销项开票",业务流水!$C$5:$C$1504,$A243,业务流水!$Z$5:$Z$1504,"是"))</f>
        <v/>
      </c>
      <c r="F243" s="41" t="str">
        <f aca="false">IF($A243="","",SUMIFS(业务流水!$H$5:$H$1504,业务流水!$F$5:$F$1504,"*",业务流水!$D$5:$D$1504,"成本票",业务流水!$C$5:$C$1504,$A243,业务流水!$Z$5:$Z$1504,"是")+SUMIFS(业务流水!$H$5:$H$1504,业务流水!$F$5:$F$1504,"*",业务流水!$D$5:$D$1504,"销项开票",业务流水!$C$5:$C$1504,$A243,业务流水!$Z$5:$Z$1504,"是"))</f>
        <v/>
      </c>
      <c r="G243" s="42" t="str">
        <f aca="false">IF($A243="","",$E243-$F243)</f>
        <v/>
      </c>
      <c r="H243" s="41" t="str">
        <f aca="false">IF($A243="","",SUMIFS(业务流水!$W$5:$W$1504,业务流水!$E$5:$E$1504,"*",业务流水!$D$5:$D$1504,"销项开票",业务流水!$C$5:$C$1504,$A243,业务流水!$Z$5:$Z$1504,"是"))</f>
        <v/>
      </c>
      <c r="I243" s="41" t="str">
        <f aca="false">IF($A243="","",SUMIFS(业务流水!$H$5:$H$1504,业务流水!$E$5:$E$1504,"*",业务流水!$D$5:$D$1504,"已交税",业务流水!$C$5:$C$1504,$A243,业务流水!$Z$5:$Z$1504,"是"))</f>
        <v/>
      </c>
      <c r="J243" s="42" t="str">
        <f aca="false">IF($A243="","",$H243-$I243)</f>
        <v/>
      </c>
      <c r="K243" s="41" t="str">
        <f aca="false">IF($A243="","",SUMIFS(业务流水!$H$5:$H$1504,业务流水!$F$5:$F$1504,"*",业务流水!$D$5:$D$1504,"挂靠代收",业务流水!$C$5:$C$1504,$A243,业务流水!$Z$5:$Z$1504,"是"))</f>
        <v/>
      </c>
      <c r="L243" s="42" t="str">
        <f aca="false">IF($A243="","",$C243-$K243)</f>
        <v/>
      </c>
      <c r="M243" s="41" t="str">
        <f aca="false">IF($A243="","",SUMIFS(业务流水!$H$5:$H$1504,业务流水!$E$5:$E$1504,"*",业务流水!$D$5:$D$1504,"我方收款",业务流水!$C$5:$C$1504,$A243,业务流水!$Z$5:$Z$1504,"是"))</f>
        <v/>
      </c>
      <c r="N243" s="43" t="str">
        <f aca="false">IF($A243="","",$K243-$M243)</f>
        <v/>
      </c>
      <c r="O243" s="41" t="str">
        <f aca="false">IF($A243="","",SUMIFS(业务流水!$H$5:$H$1504,业务流水!$F$5:$F$1504,"*",业务流水!$D$5:$D$1504,"管理费结算",业务流水!$C$5:$C$1504,$A243,业务流水!$Z$5:$Z$1504,"是"))</f>
        <v/>
      </c>
      <c r="P243" s="41" t="str">
        <f aca="false">IF($A243="","",SUMIFS(业务流水!$H$5:$H$1504,业务流水!$E$5:$E$1504,"*",业务流水!$D$5:$D$1504,"扣质保金",业务流水!$C$5:$C$1504,$A243,业务流水!$Z$5:$Z$1504,"是"))</f>
        <v/>
      </c>
    </row>
    <row r="244" customFormat="false" ht="15.75" hidden="false" customHeight="true" outlineLevel="0" collapsed="false">
      <c r="A244" s="32" t="str">
        <f aca="false">IF(项目档案!$A244="","",项目档案!$A244)</f>
        <v/>
      </c>
      <c r="B244" s="40" t="str">
        <f aca="false">IF($A244="","",项目档案!$B244)</f>
        <v/>
      </c>
      <c r="C244" s="41" t="str">
        <f aca="false">IF($A244="","",SUMIFS(业务流水!$H$5:$H$1504,业务流水!$E$5:$E$1504,"*",业务流水!$D$5:$D$1504,"销项开票",业务流水!$C$5:$C$1504,$A244,业务流水!$Z$5:$Z$1504,"是"))</f>
        <v/>
      </c>
      <c r="D244" s="41" t="str">
        <f aca="false">IF($A244="","",SUMIFS(业务流水!$O$5:$O$1504,业务流水!$E$5:$E$1504,"*",业务流水!$D$5:$D$1504,"销项开票",业务流水!$C$5:$C$1504,$A244,业务流水!$Z$5:$Z$1504,"是"))</f>
        <v/>
      </c>
      <c r="E244" s="41" t="str">
        <f aca="false">IF($A244="","",SUMIFS(业务流水!$P$5:$P$1504,业务流水!$E$5:$E$1504,"*",业务流水!$D$5:$D$1504,"销项开票",业务流水!$C$5:$C$1504,$A244,业务流水!$Z$5:$Z$1504,"是"))</f>
        <v/>
      </c>
      <c r="F244" s="41" t="str">
        <f aca="false">IF($A244="","",SUMIFS(业务流水!$H$5:$H$1504,业务流水!$F$5:$F$1504,"*",业务流水!$D$5:$D$1504,"成本票",业务流水!$C$5:$C$1504,$A244,业务流水!$Z$5:$Z$1504,"是")+SUMIFS(业务流水!$H$5:$H$1504,业务流水!$F$5:$F$1504,"*",业务流水!$D$5:$D$1504,"销项开票",业务流水!$C$5:$C$1504,$A244,业务流水!$Z$5:$Z$1504,"是"))</f>
        <v/>
      </c>
      <c r="G244" s="42" t="str">
        <f aca="false">IF($A244="","",$E244-$F244)</f>
        <v/>
      </c>
      <c r="H244" s="41" t="str">
        <f aca="false">IF($A244="","",SUMIFS(业务流水!$W$5:$W$1504,业务流水!$E$5:$E$1504,"*",业务流水!$D$5:$D$1504,"销项开票",业务流水!$C$5:$C$1504,$A244,业务流水!$Z$5:$Z$1504,"是"))</f>
        <v/>
      </c>
      <c r="I244" s="41" t="str">
        <f aca="false">IF($A244="","",SUMIFS(业务流水!$H$5:$H$1504,业务流水!$E$5:$E$1504,"*",业务流水!$D$5:$D$1504,"已交税",业务流水!$C$5:$C$1504,$A244,业务流水!$Z$5:$Z$1504,"是"))</f>
        <v/>
      </c>
      <c r="J244" s="42" t="str">
        <f aca="false">IF($A244="","",$H244-$I244)</f>
        <v/>
      </c>
      <c r="K244" s="41" t="str">
        <f aca="false">IF($A244="","",SUMIFS(业务流水!$H$5:$H$1504,业务流水!$F$5:$F$1504,"*",业务流水!$D$5:$D$1504,"挂靠代收",业务流水!$C$5:$C$1504,$A244,业务流水!$Z$5:$Z$1504,"是"))</f>
        <v/>
      </c>
      <c r="L244" s="42" t="str">
        <f aca="false">IF($A244="","",$C244-$K244)</f>
        <v/>
      </c>
      <c r="M244" s="41" t="str">
        <f aca="false">IF($A244="","",SUMIFS(业务流水!$H$5:$H$1504,业务流水!$E$5:$E$1504,"*",业务流水!$D$5:$D$1504,"我方收款",业务流水!$C$5:$C$1504,$A244,业务流水!$Z$5:$Z$1504,"是"))</f>
        <v/>
      </c>
      <c r="N244" s="43" t="str">
        <f aca="false">IF($A244="","",$K244-$M244)</f>
        <v/>
      </c>
      <c r="O244" s="41" t="str">
        <f aca="false">IF($A244="","",SUMIFS(业务流水!$H$5:$H$1504,业务流水!$F$5:$F$1504,"*",业务流水!$D$5:$D$1504,"管理费结算",业务流水!$C$5:$C$1504,$A244,业务流水!$Z$5:$Z$1504,"是"))</f>
        <v/>
      </c>
      <c r="P244" s="41" t="str">
        <f aca="false">IF($A244="","",SUMIFS(业务流水!$H$5:$H$1504,业务流水!$E$5:$E$1504,"*",业务流水!$D$5:$D$1504,"扣质保金",业务流水!$C$5:$C$1504,$A244,业务流水!$Z$5:$Z$1504,"是"))</f>
        <v/>
      </c>
    </row>
    <row r="245" customFormat="false" ht="15.75" hidden="false" customHeight="true" outlineLevel="0" collapsed="false">
      <c r="A245" s="32" t="str">
        <f aca="false">IF(项目档案!$A245="","",项目档案!$A245)</f>
        <v/>
      </c>
      <c r="B245" s="40" t="str">
        <f aca="false">IF($A245="","",项目档案!$B245)</f>
        <v/>
      </c>
      <c r="C245" s="41" t="str">
        <f aca="false">IF($A245="","",SUMIFS(业务流水!$H$5:$H$1504,业务流水!$E$5:$E$1504,"*",业务流水!$D$5:$D$1504,"销项开票",业务流水!$C$5:$C$1504,$A245,业务流水!$Z$5:$Z$1504,"是"))</f>
        <v/>
      </c>
      <c r="D245" s="41" t="str">
        <f aca="false">IF($A245="","",SUMIFS(业务流水!$O$5:$O$1504,业务流水!$E$5:$E$1504,"*",业务流水!$D$5:$D$1504,"销项开票",业务流水!$C$5:$C$1504,$A245,业务流水!$Z$5:$Z$1504,"是"))</f>
        <v/>
      </c>
      <c r="E245" s="41" t="str">
        <f aca="false">IF($A245="","",SUMIFS(业务流水!$P$5:$P$1504,业务流水!$E$5:$E$1504,"*",业务流水!$D$5:$D$1504,"销项开票",业务流水!$C$5:$C$1504,$A245,业务流水!$Z$5:$Z$1504,"是"))</f>
        <v/>
      </c>
      <c r="F245" s="41" t="str">
        <f aca="false">IF($A245="","",SUMIFS(业务流水!$H$5:$H$1504,业务流水!$F$5:$F$1504,"*",业务流水!$D$5:$D$1504,"成本票",业务流水!$C$5:$C$1504,$A245,业务流水!$Z$5:$Z$1504,"是")+SUMIFS(业务流水!$H$5:$H$1504,业务流水!$F$5:$F$1504,"*",业务流水!$D$5:$D$1504,"销项开票",业务流水!$C$5:$C$1504,$A245,业务流水!$Z$5:$Z$1504,"是"))</f>
        <v/>
      </c>
      <c r="G245" s="42" t="str">
        <f aca="false">IF($A245="","",$E245-$F245)</f>
        <v/>
      </c>
      <c r="H245" s="41" t="str">
        <f aca="false">IF($A245="","",SUMIFS(业务流水!$W$5:$W$1504,业务流水!$E$5:$E$1504,"*",业务流水!$D$5:$D$1504,"销项开票",业务流水!$C$5:$C$1504,$A245,业务流水!$Z$5:$Z$1504,"是"))</f>
        <v/>
      </c>
      <c r="I245" s="41" t="str">
        <f aca="false">IF($A245="","",SUMIFS(业务流水!$H$5:$H$1504,业务流水!$E$5:$E$1504,"*",业务流水!$D$5:$D$1504,"已交税",业务流水!$C$5:$C$1504,$A245,业务流水!$Z$5:$Z$1504,"是"))</f>
        <v/>
      </c>
      <c r="J245" s="42" t="str">
        <f aca="false">IF($A245="","",$H245-$I245)</f>
        <v/>
      </c>
      <c r="K245" s="41" t="str">
        <f aca="false">IF($A245="","",SUMIFS(业务流水!$H$5:$H$1504,业务流水!$F$5:$F$1504,"*",业务流水!$D$5:$D$1504,"挂靠代收",业务流水!$C$5:$C$1504,$A245,业务流水!$Z$5:$Z$1504,"是"))</f>
        <v/>
      </c>
      <c r="L245" s="42" t="str">
        <f aca="false">IF($A245="","",$C245-$K245)</f>
        <v/>
      </c>
      <c r="M245" s="41" t="str">
        <f aca="false">IF($A245="","",SUMIFS(业务流水!$H$5:$H$1504,业务流水!$E$5:$E$1504,"*",业务流水!$D$5:$D$1504,"我方收款",业务流水!$C$5:$C$1504,$A245,业务流水!$Z$5:$Z$1504,"是"))</f>
        <v/>
      </c>
      <c r="N245" s="43" t="str">
        <f aca="false">IF($A245="","",$K245-$M245)</f>
        <v/>
      </c>
      <c r="O245" s="41" t="str">
        <f aca="false">IF($A245="","",SUMIFS(业务流水!$H$5:$H$1504,业务流水!$F$5:$F$1504,"*",业务流水!$D$5:$D$1504,"管理费结算",业务流水!$C$5:$C$1504,$A245,业务流水!$Z$5:$Z$1504,"是"))</f>
        <v/>
      </c>
      <c r="P245" s="41" t="str">
        <f aca="false">IF($A245="","",SUMIFS(业务流水!$H$5:$H$1504,业务流水!$E$5:$E$1504,"*",业务流水!$D$5:$D$1504,"扣质保金",业务流水!$C$5:$C$1504,$A245,业务流水!$Z$5:$Z$1504,"是"))</f>
        <v/>
      </c>
    </row>
    <row r="246" customFormat="false" ht="15.75" hidden="false" customHeight="true" outlineLevel="0" collapsed="false">
      <c r="A246" s="32" t="str">
        <f aca="false">IF(项目档案!$A246="","",项目档案!$A246)</f>
        <v/>
      </c>
      <c r="B246" s="40" t="str">
        <f aca="false">IF($A246="","",项目档案!$B246)</f>
        <v/>
      </c>
      <c r="C246" s="41" t="str">
        <f aca="false">IF($A246="","",SUMIFS(业务流水!$H$5:$H$1504,业务流水!$E$5:$E$1504,"*",业务流水!$D$5:$D$1504,"销项开票",业务流水!$C$5:$C$1504,$A246,业务流水!$Z$5:$Z$1504,"是"))</f>
        <v/>
      </c>
      <c r="D246" s="41" t="str">
        <f aca="false">IF($A246="","",SUMIFS(业务流水!$O$5:$O$1504,业务流水!$E$5:$E$1504,"*",业务流水!$D$5:$D$1504,"销项开票",业务流水!$C$5:$C$1504,$A246,业务流水!$Z$5:$Z$1504,"是"))</f>
        <v/>
      </c>
      <c r="E246" s="41" t="str">
        <f aca="false">IF($A246="","",SUMIFS(业务流水!$P$5:$P$1504,业务流水!$E$5:$E$1504,"*",业务流水!$D$5:$D$1504,"销项开票",业务流水!$C$5:$C$1504,$A246,业务流水!$Z$5:$Z$1504,"是"))</f>
        <v/>
      </c>
      <c r="F246" s="41" t="str">
        <f aca="false">IF($A246="","",SUMIFS(业务流水!$H$5:$H$1504,业务流水!$F$5:$F$1504,"*",业务流水!$D$5:$D$1504,"成本票",业务流水!$C$5:$C$1504,$A246,业务流水!$Z$5:$Z$1504,"是")+SUMIFS(业务流水!$H$5:$H$1504,业务流水!$F$5:$F$1504,"*",业务流水!$D$5:$D$1504,"销项开票",业务流水!$C$5:$C$1504,$A246,业务流水!$Z$5:$Z$1504,"是"))</f>
        <v/>
      </c>
      <c r="G246" s="42" t="str">
        <f aca="false">IF($A246="","",$E246-$F246)</f>
        <v/>
      </c>
      <c r="H246" s="41" t="str">
        <f aca="false">IF($A246="","",SUMIFS(业务流水!$W$5:$W$1504,业务流水!$E$5:$E$1504,"*",业务流水!$D$5:$D$1504,"销项开票",业务流水!$C$5:$C$1504,$A246,业务流水!$Z$5:$Z$1504,"是"))</f>
        <v/>
      </c>
      <c r="I246" s="41" t="str">
        <f aca="false">IF($A246="","",SUMIFS(业务流水!$H$5:$H$1504,业务流水!$E$5:$E$1504,"*",业务流水!$D$5:$D$1504,"已交税",业务流水!$C$5:$C$1504,$A246,业务流水!$Z$5:$Z$1504,"是"))</f>
        <v/>
      </c>
      <c r="J246" s="42" t="str">
        <f aca="false">IF($A246="","",$H246-$I246)</f>
        <v/>
      </c>
      <c r="K246" s="41" t="str">
        <f aca="false">IF($A246="","",SUMIFS(业务流水!$H$5:$H$1504,业务流水!$F$5:$F$1504,"*",业务流水!$D$5:$D$1504,"挂靠代收",业务流水!$C$5:$C$1504,$A246,业务流水!$Z$5:$Z$1504,"是"))</f>
        <v/>
      </c>
      <c r="L246" s="42" t="str">
        <f aca="false">IF($A246="","",$C246-$K246)</f>
        <v/>
      </c>
      <c r="M246" s="41" t="str">
        <f aca="false">IF($A246="","",SUMIFS(业务流水!$H$5:$H$1504,业务流水!$E$5:$E$1504,"*",业务流水!$D$5:$D$1504,"我方收款",业务流水!$C$5:$C$1504,$A246,业务流水!$Z$5:$Z$1504,"是"))</f>
        <v/>
      </c>
      <c r="N246" s="43" t="str">
        <f aca="false">IF($A246="","",$K246-$M246)</f>
        <v/>
      </c>
      <c r="O246" s="41" t="str">
        <f aca="false">IF($A246="","",SUMIFS(业务流水!$H$5:$H$1504,业务流水!$F$5:$F$1504,"*",业务流水!$D$5:$D$1504,"管理费结算",业务流水!$C$5:$C$1504,$A246,业务流水!$Z$5:$Z$1504,"是"))</f>
        <v/>
      </c>
      <c r="P246" s="41" t="str">
        <f aca="false">IF($A246="","",SUMIFS(业务流水!$H$5:$H$1504,业务流水!$E$5:$E$1504,"*",业务流水!$D$5:$D$1504,"扣质保金",业务流水!$C$5:$C$1504,$A246,业务流水!$Z$5:$Z$1504,"是"))</f>
        <v/>
      </c>
    </row>
    <row r="247" customFormat="false" ht="15.75" hidden="false" customHeight="true" outlineLevel="0" collapsed="false">
      <c r="A247" s="32" t="str">
        <f aca="false">IF(项目档案!$A247="","",项目档案!$A247)</f>
        <v/>
      </c>
      <c r="B247" s="40" t="str">
        <f aca="false">IF($A247="","",项目档案!$B247)</f>
        <v/>
      </c>
      <c r="C247" s="41" t="str">
        <f aca="false">IF($A247="","",SUMIFS(业务流水!$H$5:$H$1504,业务流水!$E$5:$E$1504,"*",业务流水!$D$5:$D$1504,"销项开票",业务流水!$C$5:$C$1504,$A247,业务流水!$Z$5:$Z$1504,"是"))</f>
        <v/>
      </c>
      <c r="D247" s="41" t="str">
        <f aca="false">IF($A247="","",SUMIFS(业务流水!$O$5:$O$1504,业务流水!$E$5:$E$1504,"*",业务流水!$D$5:$D$1504,"销项开票",业务流水!$C$5:$C$1504,$A247,业务流水!$Z$5:$Z$1504,"是"))</f>
        <v/>
      </c>
      <c r="E247" s="41" t="str">
        <f aca="false">IF($A247="","",SUMIFS(业务流水!$P$5:$P$1504,业务流水!$E$5:$E$1504,"*",业务流水!$D$5:$D$1504,"销项开票",业务流水!$C$5:$C$1504,$A247,业务流水!$Z$5:$Z$1504,"是"))</f>
        <v/>
      </c>
      <c r="F247" s="41" t="str">
        <f aca="false">IF($A247="","",SUMIFS(业务流水!$H$5:$H$1504,业务流水!$F$5:$F$1504,"*",业务流水!$D$5:$D$1504,"成本票",业务流水!$C$5:$C$1504,$A247,业务流水!$Z$5:$Z$1504,"是")+SUMIFS(业务流水!$H$5:$H$1504,业务流水!$F$5:$F$1504,"*",业务流水!$D$5:$D$1504,"销项开票",业务流水!$C$5:$C$1504,$A247,业务流水!$Z$5:$Z$1504,"是"))</f>
        <v/>
      </c>
      <c r="G247" s="42" t="str">
        <f aca="false">IF($A247="","",$E247-$F247)</f>
        <v/>
      </c>
      <c r="H247" s="41" t="str">
        <f aca="false">IF($A247="","",SUMIFS(业务流水!$W$5:$W$1504,业务流水!$E$5:$E$1504,"*",业务流水!$D$5:$D$1504,"销项开票",业务流水!$C$5:$C$1504,$A247,业务流水!$Z$5:$Z$1504,"是"))</f>
        <v/>
      </c>
      <c r="I247" s="41" t="str">
        <f aca="false">IF($A247="","",SUMIFS(业务流水!$H$5:$H$1504,业务流水!$E$5:$E$1504,"*",业务流水!$D$5:$D$1504,"已交税",业务流水!$C$5:$C$1504,$A247,业务流水!$Z$5:$Z$1504,"是"))</f>
        <v/>
      </c>
      <c r="J247" s="42" t="str">
        <f aca="false">IF($A247="","",$H247-$I247)</f>
        <v/>
      </c>
      <c r="K247" s="41" t="str">
        <f aca="false">IF($A247="","",SUMIFS(业务流水!$H$5:$H$1504,业务流水!$F$5:$F$1504,"*",业务流水!$D$5:$D$1504,"挂靠代收",业务流水!$C$5:$C$1504,$A247,业务流水!$Z$5:$Z$1504,"是"))</f>
        <v/>
      </c>
      <c r="L247" s="42" t="str">
        <f aca="false">IF($A247="","",$C247-$K247)</f>
        <v/>
      </c>
      <c r="M247" s="41" t="str">
        <f aca="false">IF($A247="","",SUMIFS(业务流水!$H$5:$H$1504,业务流水!$E$5:$E$1504,"*",业务流水!$D$5:$D$1504,"我方收款",业务流水!$C$5:$C$1504,$A247,业务流水!$Z$5:$Z$1504,"是"))</f>
        <v/>
      </c>
      <c r="N247" s="43" t="str">
        <f aca="false">IF($A247="","",$K247-$M247)</f>
        <v/>
      </c>
      <c r="O247" s="41" t="str">
        <f aca="false">IF($A247="","",SUMIFS(业务流水!$H$5:$H$1504,业务流水!$F$5:$F$1504,"*",业务流水!$D$5:$D$1504,"管理费结算",业务流水!$C$5:$C$1504,$A247,业务流水!$Z$5:$Z$1504,"是"))</f>
        <v/>
      </c>
      <c r="P247" s="41" t="str">
        <f aca="false">IF($A247="","",SUMIFS(业务流水!$H$5:$H$1504,业务流水!$E$5:$E$1504,"*",业务流水!$D$5:$D$1504,"扣质保金",业务流水!$C$5:$C$1504,$A247,业务流水!$Z$5:$Z$1504,"是"))</f>
        <v/>
      </c>
    </row>
    <row r="248" customFormat="false" ht="15.75" hidden="false" customHeight="true" outlineLevel="0" collapsed="false">
      <c r="A248" s="32" t="str">
        <f aca="false">IF(项目档案!$A248="","",项目档案!$A248)</f>
        <v/>
      </c>
      <c r="B248" s="40" t="str">
        <f aca="false">IF($A248="","",项目档案!$B248)</f>
        <v/>
      </c>
      <c r="C248" s="41" t="str">
        <f aca="false">IF($A248="","",SUMIFS(业务流水!$H$5:$H$1504,业务流水!$E$5:$E$1504,"*",业务流水!$D$5:$D$1504,"销项开票",业务流水!$C$5:$C$1504,$A248,业务流水!$Z$5:$Z$1504,"是"))</f>
        <v/>
      </c>
      <c r="D248" s="41" t="str">
        <f aca="false">IF($A248="","",SUMIFS(业务流水!$O$5:$O$1504,业务流水!$E$5:$E$1504,"*",业务流水!$D$5:$D$1504,"销项开票",业务流水!$C$5:$C$1504,$A248,业务流水!$Z$5:$Z$1504,"是"))</f>
        <v/>
      </c>
      <c r="E248" s="41" t="str">
        <f aca="false">IF($A248="","",SUMIFS(业务流水!$P$5:$P$1504,业务流水!$E$5:$E$1504,"*",业务流水!$D$5:$D$1504,"销项开票",业务流水!$C$5:$C$1504,$A248,业务流水!$Z$5:$Z$1504,"是"))</f>
        <v/>
      </c>
      <c r="F248" s="41" t="str">
        <f aca="false">IF($A248="","",SUMIFS(业务流水!$H$5:$H$1504,业务流水!$F$5:$F$1504,"*",业务流水!$D$5:$D$1504,"成本票",业务流水!$C$5:$C$1504,$A248,业务流水!$Z$5:$Z$1504,"是")+SUMIFS(业务流水!$H$5:$H$1504,业务流水!$F$5:$F$1504,"*",业务流水!$D$5:$D$1504,"销项开票",业务流水!$C$5:$C$1504,$A248,业务流水!$Z$5:$Z$1504,"是"))</f>
        <v/>
      </c>
      <c r="G248" s="42" t="str">
        <f aca="false">IF($A248="","",$E248-$F248)</f>
        <v/>
      </c>
      <c r="H248" s="41" t="str">
        <f aca="false">IF($A248="","",SUMIFS(业务流水!$W$5:$W$1504,业务流水!$E$5:$E$1504,"*",业务流水!$D$5:$D$1504,"销项开票",业务流水!$C$5:$C$1504,$A248,业务流水!$Z$5:$Z$1504,"是"))</f>
        <v/>
      </c>
      <c r="I248" s="41" t="str">
        <f aca="false">IF($A248="","",SUMIFS(业务流水!$H$5:$H$1504,业务流水!$E$5:$E$1504,"*",业务流水!$D$5:$D$1504,"已交税",业务流水!$C$5:$C$1504,$A248,业务流水!$Z$5:$Z$1504,"是"))</f>
        <v/>
      </c>
      <c r="J248" s="42" t="str">
        <f aca="false">IF($A248="","",$H248-$I248)</f>
        <v/>
      </c>
      <c r="K248" s="41" t="str">
        <f aca="false">IF($A248="","",SUMIFS(业务流水!$H$5:$H$1504,业务流水!$F$5:$F$1504,"*",业务流水!$D$5:$D$1504,"挂靠代收",业务流水!$C$5:$C$1504,$A248,业务流水!$Z$5:$Z$1504,"是"))</f>
        <v/>
      </c>
      <c r="L248" s="42" t="str">
        <f aca="false">IF($A248="","",$C248-$K248)</f>
        <v/>
      </c>
      <c r="M248" s="41" t="str">
        <f aca="false">IF($A248="","",SUMIFS(业务流水!$H$5:$H$1504,业务流水!$E$5:$E$1504,"*",业务流水!$D$5:$D$1504,"我方收款",业务流水!$C$5:$C$1504,$A248,业务流水!$Z$5:$Z$1504,"是"))</f>
        <v/>
      </c>
      <c r="N248" s="43" t="str">
        <f aca="false">IF($A248="","",$K248-$M248)</f>
        <v/>
      </c>
      <c r="O248" s="41" t="str">
        <f aca="false">IF($A248="","",SUMIFS(业务流水!$H$5:$H$1504,业务流水!$F$5:$F$1504,"*",业务流水!$D$5:$D$1504,"管理费结算",业务流水!$C$5:$C$1504,$A248,业务流水!$Z$5:$Z$1504,"是"))</f>
        <v/>
      </c>
      <c r="P248" s="41" t="str">
        <f aca="false">IF($A248="","",SUMIFS(业务流水!$H$5:$H$1504,业务流水!$E$5:$E$1504,"*",业务流水!$D$5:$D$1504,"扣质保金",业务流水!$C$5:$C$1504,$A248,业务流水!$Z$5:$Z$1504,"是"))</f>
        <v/>
      </c>
    </row>
    <row r="249" customFormat="false" ht="15.75" hidden="false" customHeight="true" outlineLevel="0" collapsed="false">
      <c r="A249" s="32" t="str">
        <f aca="false">IF(项目档案!$A249="","",项目档案!$A249)</f>
        <v/>
      </c>
      <c r="B249" s="40" t="str">
        <f aca="false">IF($A249="","",项目档案!$B249)</f>
        <v/>
      </c>
      <c r="C249" s="41" t="str">
        <f aca="false">IF($A249="","",SUMIFS(业务流水!$H$5:$H$1504,业务流水!$E$5:$E$1504,"*",业务流水!$D$5:$D$1504,"销项开票",业务流水!$C$5:$C$1504,$A249,业务流水!$Z$5:$Z$1504,"是"))</f>
        <v/>
      </c>
      <c r="D249" s="41" t="str">
        <f aca="false">IF($A249="","",SUMIFS(业务流水!$O$5:$O$1504,业务流水!$E$5:$E$1504,"*",业务流水!$D$5:$D$1504,"销项开票",业务流水!$C$5:$C$1504,$A249,业务流水!$Z$5:$Z$1504,"是"))</f>
        <v/>
      </c>
      <c r="E249" s="41" t="str">
        <f aca="false">IF($A249="","",SUMIFS(业务流水!$P$5:$P$1504,业务流水!$E$5:$E$1504,"*",业务流水!$D$5:$D$1504,"销项开票",业务流水!$C$5:$C$1504,$A249,业务流水!$Z$5:$Z$1504,"是"))</f>
        <v/>
      </c>
      <c r="F249" s="41" t="str">
        <f aca="false">IF($A249="","",SUMIFS(业务流水!$H$5:$H$1504,业务流水!$F$5:$F$1504,"*",业务流水!$D$5:$D$1504,"成本票",业务流水!$C$5:$C$1504,$A249,业务流水!$Z$5:$Z$1504,"是")+SUMIFS(业务流水!$H$5:$H$1504,业务流水!$F$5:$F$1504,"*",业务流水!$D$5:$D$1504,"销项开票",业务流水!$C$5:$C$1504,$A249,业务流水!$Z$5:$Z$1504,"是"))</f>
        <v/>
      </c>
      <c r="G249" s="42" t="str">
        <f aca="false">IF($A249="","",$E249-$F249)</f>
        <v/>
      </c>
      <c r="H249" s="41" t="str">
        <f aca="false">IF($A249="","",SUMIFS(业务流水!$W$5:$W$1504,业务流水!$E$5:$E$1504,"*",业务流水!$D$5:$D$1504,"销项开票",业务流水!$C$5:$C$1504,$A249,业务流水!$Z$5:$Z$1504,"是"))</f>
        <v/>
      </c>
      <c r="I249" s="41" t="str">
        <f aca="false">IF($A249="","",SUMIFS(业务流水!$H$5:$H$1504,业务流水!$E$5:$E$1504,"*",业务流水!$D$5:$D$1504,"已交税",业务流水!$C$5:$C$1504,$A249,业务流水!$Z$5:$Z$1504,"是"))</f>
        <v/>
      </c>
      <c r="J249" s="42" t="str">
        <f aca="false">IF($A249="","",$H249-$I249)</f>
        <v/>
      </c>
      <c r="K249" s="41" t="str">
        <f aca="false">IF($A249="","",SUMIFS(业务流水!$H$5:$H$1504,业务流水!$F$5:$F$1504,"*",业务流水!$D$5:$D$1504,"挂靠代收",业务流水!$C$5:$C$1504,$A249,业务流水!$Z$5:$Z$1504,"是"))</f>
        <v/>
      </c>
      <c r="L249" s="42" t="str">
        <f aca="false">IF($A249="","",$C249-$K249)</f>
        <v/>
      </c>
      <c r="M249" s="41" t="str">
        <f aca="false">IF($A249="","",SUMIFS(业务流水!$H$5:$H$1504,业务流水!$E$5:$E$1504,"*",业务流水!$D$5:$D$1504,"我方收款",业务流水!$C$5:$C$1504,$A249,业务流水!$Z$5:$Z$1504,"是"))</f>
        <v/>
      </c>
      <c r="N249" s="43" t="str">
        <f aca="false">IF($A249="","",$K249-$M249)</f>
        <v/>
      </c>
      <c r="O249" s="41" t="str">
        <f aca="false">IF($A249="","",SUMIFS(业务流水!$H$5:$H$1504,业务流水!$F$5:$F$1504,"*",业务流水!$D$5:$D$1504,"管理费结算",业务流水!$C$5:$C$1504,$A249,业务流水!$Z$5:$Z$1504,"是"))</f>
        <v/>
      </c>
      <c r="P249" s="41" t="str">
        <f aca="false">IF($A249="","",SUMIFS(业务流水!$H$5:$H$1504,业务流水!$E$5:$E$1504,"*",业务流水!$D$5:$D$1504,"扣质保金",业务流水!$C$5:$C$1504,$A249,业务流水!$Z$5:$Z$1504,"是"))</f>
        <v/>
      </c>
    </row>
    <row r="250" customFormat="false" ht="15.75" hidden="false" customHeight="true" outlineLevel="0" collapsed="false">
      <c r="A250" s="32" t="str">
        <f aca="false">IF(项目档案!$A250="","",项目档案!$A250)</f>
        <v/>
      </c>
      <c r="B250" s="40" t="str">
        <f aca="false">IF($A250="","",项目档案!$B250)</f>
        <v/>
      </c>
      <c r="C250" s="41" t="str">
        <f aca="false">IF($A250="","",SUMIFS(业务流水!$H$5:$H$1504,业务流水!$E$5:$E$1504,"*",业务流水!$D$5:$D$1504,"销项开票",业务流水!$C$5:$C$1504,$A250,业务流水!$Z$5:$Z$1504,"是"))</f>
        <v/>
      </c>
      <c r="D250" s="41" t="str">
        <f aca="false">IF($A250="","",SUMIFS(业务流水!$O$5:$O$1504,业务流水!$E$5:$E$1504,"*",业务流水!$D$5:$D$1504,"销项开票",业务流水!$C$5:$C$1504,$A250,业务流水!$Z$5:$Z$1504,"是"))</f>
        <v/>
      </c>
      <c r="E250" s="41" t="str">
        <f aca="false">IF($A250="","",SUMIFS(业务流水!$P$5:$P$1504,业务流水!$E$5:$E$1504,"*",业务流水!$D$5:$D$1504,"销项开票",业务流水!$C$5:$C$1504,$A250,业务流水!$Z$5:$Z$1504,"是"))</f>
        <v/>
      </c>
      <c r="F250" s="41" t="str">
        <f aca="false">IF($A250="","",SUMIFS(业务流水!$H$5:$H$1504,业务流水!$F$5:$F$1504,"*",业务流水!$D$5:$D$1504,"成本票",业务流水!$C$5:$C$1504,$A250,业务流水!$Z$5:$Z$1504,"是")+SUMIFS(业务流水!$H$5:$H$1504,业务流水!$F$5:$F$1504,"*",业务流水!$D$5:$D$1504,"销项开票",业务流水!$C$5:$C$1504,$A250,业务流水!$Z$5:$Z$1504,"是"))</f>
        <v/>
      </c>
      <c r="G250" s="42" t="str">
        <f aca="false">IF($A250="","",$E250-$F250)</f>
        <v/>
      </c>
      <c r="H250" s="41" t="str">
        <f aca="false">IF($A250="","",SUMIFS(业务流水!$W$5:$W$1504,业务流水!$E$5:$E$1504,"*",业务流水!$D$5:$D$1504,"销项开票",业务流水!$C$5:$C$1504,$A250,业务流水!$Z$5:$Z$1504,"是"))</f>
        <v/>
      </c>
      <c r="I250" s="41" t="str">
        <f aca="false">IF($A250="","",SUMIFS(业务流水!$H$5:$H$1504,业务流水!$E$5:$E$1504,"*",业务流水!$D$5:$D$1504,"已交税",业务流水!$C$5:$C$1504,$A250,业务流水!$Z$5:$Z$1504,"是"))</f>
        <v/>
      </c>
      <c r="J250" s="42" t="str">
        <f aca="false">IF($A250="","",$H250-$I250)</f>
        <v/>
      </c>
      <c r="K250" s="41" t="str">
        <f aca="false">IF($A250="","",SUMIFS(业务流水!$H$5:$H$1504,业务流水!$F$5:$F$1504,"*",业务流水!$D$5:$D$1504,"挂靠代收",业务流水!$C$5:$C$1504,$A250,业务流水!$Z$5:$Z$1504,"是"))</f>
        <v/>
      </c>
      <c r="L250" s="42" t="str">
        <f aca="false">IF($A250="","",$C250-$K250)</f>
        <v/>
      </c>
      <c r="M250" s="41" t="str">
        <f aca="false">IF($A250="","",SUMIFS(业务流水!$H$5:$H$1504,业务流水!$E$5:$E$1504,"*",业务流水!$D$5:$D$1504,"我方收款",业务流水!$C$5:$C$1504,$A250,业务流水!$Z$5:$Z$1504,"是"))</f>
        <v/>
      </c>
      <c r="N250" s="43" t="str">
        <f aca="false">IF($A250="","",$K250-$M250)</f>
        <v/>
      </c>
      <c r="O250" s="41" t="str">
        <f aca="false">IF($A250="","",SUMIFS(业务流水!$H$5:$H$1504,业务流水!$F$5:$F$1504,"*",业务流水!$D$5:$D$1504,"管理费结算",业务流水!$C$5:$C$1504,$A250,业务流水!$Z$5:$Z$1504,"是"))</f>
        <v/>
      </c>
      <c r="P250" s="41" t="str">
        <f aca="false">IF($A250="","",SUMIFS(业务流水!$H$5:$H$1504,业务流水!$E$5:$E$1504,"*",业务流水!$D$5:$D$1504,"扣质保金",业务流水!$C$5:$C$1504,$A250,业务流水!$Z$5:$Z$1504,"是"))</f>
        <v/>
      </c>
    </row>
    <row r="251" customFormat="false" ht="15.75" hidden="false" customHeight="true" outlineLevel="0" collapsed="false">
      <c r="A251" s="32" t="str">
        <f aca="false">IF(项目档案!$A251="","",项目档案!$A251)</f>
        <v/>
      </c>
      <c r="B251" s="40" t="str">
        <f aca="false">IF($A251="","",项目档案!$B251)</f>
        <v/>
      </c>
      <c r="C251" s="41" t="str">
        <f aca="false">IF($A251="","",SUMIFS(业务流水!$H$5:$H$1504,业务流水!$E$5:$E$1504,"*",业务流水!$D$5:$D$1504,"销项开票",业务流水!$C$5:$C$1504,$A251,业务流水!$Z$5:$Z$1504,"是"))</f>
        <v/>
      </c>
      <c r="D251" s="41" t="str">
        <f aca="false">IF($A251="","",SUMIFS(业务流水!$O$5:$O$1504,业务流水!$E$5:$E$1504,"*",业务流水!$D$5:$D$1504,"销项开票",业务流水!$C$5:$C$1504,$A251,业务流水!$Z$5:$Z$1504,"是"))</f>
        <v/>
      </c>
      <c r="E251" s="41" t="str">
        <f aca="false">IF($A251="","",SUMIFS(业务流水!$P$5:$P$1504,业务流水!$E$5:$E$1504,"*",业务流水!$D$5:$D$1504,"销项开票",业务流水!$C$5:$C$1504,$A251,业务流水!$Z$5:$Z$1504,"是"))</f>
        <v/>
      </c>
      <c r="F251" s="41" t="str">
        <f aca="false">IF($A251="","",SUMIFS(业务流水!$H$5:$H$1504,业务流水!$F$5:$F$1504,"*",业务流水!$D$5:$D$1504,"成本票",业务流水!$C$5:$C$1504,$A251,业务流水!$Z$5:$Z$1504,"是")+SUMIFS(业务流水!$H$5:$H$1504,业务流水!$F$5:$F$1504,"*",业务流水!$D$5:$D$1504,"销项开票",业务流水!$C$5:$C$1504,$A251,业务流水!$Z$5:$Z$1504,"是"))</f>
        <v/>
      </c>
      <c r="G251" s="42" t="str">
        <f aca="false">IF($A251="","",$E251-$F251)</f>
        <v/>
      </c>
      <c r="H251" s="41" t="str">
        <f aca="false">IF($A251="","",SUMIFS(业务流水!$W$5:$W$1504,业务流水!$E$5:$E$1504,"*",业务流水!$D$5:$D$1504,"销项开票",业务流水!$C$5:$C$1504,$A251,业务流水!$Z$5:$Z$1504,"是"))</f>
        <v/>
      </c>
      <c r="I251" s="41" t="str">
        <f aca="false">IF($A251="","",SUMIFS(业务流水!$H$5:$H$1504,业务流水!$E$5:$E$1504,"*",业务流水!$D$5:$D$1504,"已交税",业务流水!$C$5:$C$1504,$A251,业务流水!$Z$5:$Z$1504,"是"))</f>
        <v/>
      </c>
      <c r="J251" s="42" t="str">
        <f aca="false">IF($A251="","",$H251-$I251)</f>
        <v/>
      </c>
      <c r="K251" s="41" t="str">
        <f aca="false">IF($A251="","",SUMIFS(业务流水!$H$5:$H$1504,业务流水!$F$5:$F$1504,"*",业务流水!$D$5:$D$1504,"挂靠代收",业务流水!$C$5:$C$1504,$A251,业务流水!$Z$5:$Z$1504,"是"))</f>
        <v/>
      </c>
      <c r="L251" s="42" t="str">
        <f aca="false">IF($A251="","",$C251-$K251)</f>
        <v/>
      </c>
      <c r="M251" s="41" t="str">
        <f aca="false">IF($A251="","",SUMIFS(业务流水!$H$5:$H$1504,业务流水!$E$5:$E$1504,"*",业务流水!$D$5:$D$1504,"我方收款",业务流水!$C$5:$C$1504,$A251,业务流水!$Z$5:$Z$1504,"是"))</f>
        <v/>
      </c>
      <c r="N251" s="43" t="str">
        <f aca="false">IF($A251="","",$K251-$M251)</f>
        <v/>
      </c>
      <c r="O251" s="41" t="str">
        <f aca="false">IF($A251="","",SUMIFS(业务流水!$H$5:$H$1504,业务流水!$F$5:$F$1504,"*",业务流水!$D$5:$D$1504,"管理费结算",业务流水!$C$5:$C$1504,$A251,业务流水!$Z$5:$Z$1504,"是"))</f>
        <v/>
      </c>
      <c r="P251" s="41" t="str">
        <f aca="false">IF($A251="","",SUMIFS(业务流水!$H$5:$H$1504,业务流水!$E$5:$E$1504,"*",业务流水!$D$5:$D$1504,"扣质保金",业务流水!$C$5:$C$1504,$A251,业务流水!$Z$5:$Z$1504,"是"))</f>
        <v/>
      </c>
    </row>
    <row r="252" customFormat="false" ht="15.75" hidden="false" customHeight="true" outlineLevel="0" collapsed="false">
      <c r="A252" s="32" t="str">
        <f aca="false">IF(项目档案!$A252="","",项目档案!$A252)</f>
        <v/>
      </c>
      <c r="B252" s="40" t="str">
        <f aca="false">IF($A252="","",项目档案!$B252)</f>
        <v/>
      </c>
      <c r="C252" s="41" t="str">
        <f aca="false">IF($A252="","",SUMIFS(业务流水!$H$5:$H$1504,业务流水!$E$5:$E$1504,"*",业务流水!$D$5:$D$1504,"销项开票",业务流水!$C$5:$C$1504,$A252,业务流水!$Z$5:$Z$1504,"是"))</f>
        <v/>
      </c>
      <c r="D252" s="41" t="str">
        <f aca="false">IF($A252="","",SUMIFS(业务流水!$O$5:$O$1504,业务流水!$E$5:$E$1504,"*",业务流水!$D$5:$D$1504,"销项开票",业务流水!$C$5:$C$1504,$A252,业务流水!$Z$5:$Z$1504,"是"))</f>
        <v/>
      </c>
      <c r="E252" s="41" t="str">
        <f aca="false">IF($A252="","",SUMIFS(业务流水!$P$5:$P$1504,业务流水!$E$5:$E$1504,"*",业务流水!$D$5:$D$1504,"销项开票",业务流水!$C$5:$C$1504,$A252,业务流水!$Z$5:$Z$1504,"是"))</f>
        <v/>
      </c>
      <c r="F252" s="41" t="str">
        <f aca="false">IF($A252="","",SUMIFS(业务流水!$H$5:$H$1504,业务流水!$F$5:$F$1504,"*",业务流水!$D$5:$D$1504,"成本票",业务流水!$C$5:$C$1504,$A252,业务流水!$Z$5:$Z$1504,"是")+SUMIFS(业务流水!$H$5:$H$1504,业务流水!$F$5:$F$1504,"*",业务流水!$D$5:$D$1504,"销项开票",业务流水!$C$5:$C$1504,$A252,业务流水!$Z$5:$Z$1504,"是"))</f>
        <v/>
      </c>
      <c r="G252" s="42" t="str">
        <f aca="false">IF($A252="","",$E252-$F252)</f>
        <v/>
      </c>
      <c r="H252" s="41" t="str">
        <f aca="false">IF($A252="","",SUMIFS(业务流水!$W$5:$W$1504,业务流水!$E$5:$E$1504,"*",业务流水!$D$5:$D$1504,"销项开票",业务流水!$C$5:$C$1504,$A252,业务流水!$Z$5:$Z$1504,"是"))</f>
        <v/>
      </c>
      <c r="I252" s="41" t="str">
        <f aca="false">IF($A252="","",SUMIFS(业务流水!$H$5:$H$1504,业务流水!$E$5:$E$1504,"*",业务流水!$D$5:$D$1504,"已交税",业务流水!$C$5:$C$1504,$A252,业务流水!$Z$5:$Z$1504,"是"))</f>
        <v/>
      </c>
      <c r="J252" s="42" t="str">
        <f aca="false">IF($A252="","",$H252-$I252)</f>
        <v/>
      </c>
      <c r="K252" s="41" t="str">
        <f aca="false">IF($A252="","",SUMIFS(业务流水!$H$5:$H$1504,业务流水!$F$5:$F$1504,"*",业务流水!$D$5:$D$1504,"挂靠代收",业务流水!$C$5:$C$1504,$A252,业务流水!$Z$5:$Z$1504,"是"))</f>
        <v/>
      </c>
      <c r="L252" s="42" t="str">
        <f aca="false">IF($A252="","",$C252-$K252)</f>
        <v/>
      </c>
      <c r="M252" s="41" t="str">
        <f aca="false">IF($A252="","",SUMIFS(业务流水!$H$5:$H$1504,业务流水!$E$5:$E$1504,"*",业务流水!$D$5:$D$1504,"我方收款",业务流水!$C$5:$C$1504,$A252,业务流水!$Z$5:$Z$1504,"是"))</f>
        <v/>
      </c>
      <c r="N252" s="43" t="str">
        <f aca="false">IF($A252="","",$K252-$M252)</f>
        <v/>
      </c>
      <c r="O252" s="41" t="str">
        <f aca="false">IF($A252="","",SUMIFS(业务流水!$H$5:$H$1504,业务流水!$F$5:$F$1504,"*",业务流水!$D$5:$D$1504,"管理费结算",业务流水!$C$5:$C$1504,$A252,业务流水!$Z$5:$Z$1504,"是"))</f>
        <v/>
      </c>
      <c r="P252" s="41" t="str">
        <f aca="false">IF($A252="","",SUMIFS(业务流水!$H$5:$H$1504,业务流水!$E$5:$E$1504,"*",业务流水!$D$5:$D$1504,"扣质保金",业务流水!$C$5:$C$1504,$A252,业务流水!$Z$5:$Z$1504,"是"))</f>
        <v/>
      </c>
    </row>
    <row r="253" customFormat="false" ht="15.75" hidden="false" customHeight="true" outlineLevel="0" collapsed="false">
      <c r="A253" s="32" t="str">
        <f aca="false">IF(项目档案!$A253="","",项目档案!$A253)</f>
        <v/>
      </c>
      <c r="B253" s="40" t="str">
        <f aca="false">IF($A253="","",项目档案!$B253)</f>
        <v/>
      </c>
      <c r="C253" s="41" t="str">
        <f aca="false">IF($A253="","",SUMIFS(业务流水!$H$5:$H$1504,业务流水!$E$5:$E$1504,"*",业务流水!$D$5:$D$1504,"销项开票",业务流水!$C$5:$C$1504,$A253,业务流水!$Z$5:$Z$1504,"是"))</f>
        <v/>
      </c>
      <c r="D253" s="41" t="str">
        <f aca="false">IF($A253="","",SUMIFS(业务流水!$O$5:$O$1504,业务流水!$E$5:$E$1504,"*",业务流水!$D$5:$D$1504,"销项开票",业务流水!$C$5:$C$1504,$A253,业务流水!$Z$5:$Z$1504,"是"))</f>
        <v/>
      </c>
      <c r="E253" s="41" t="str">
        <f aca="false">IF($A253="","",SUMIFS(业务流水!$P$5:$P$1504,业务流水!$E$5:$E$1504,"*",业务流水!$D$5:$D$1504,"销项开票",业务流水!$C$5:$C$1504,$A253,业务流水!$Z$5:$Z$1504,"是"))</f>
        <v/>
      </c>
      <c r="F253" s="41" t="str">
        <f aca="false">IF($A253="","",SUMIFS(业务流水!$H$5:$H$1504,业务流水!$F$5:$F$1504,"*",业务流水!$D$5:$D$1504,"成本票",业务流水!$C$5:$C$1504,$A253,业务流水!$Z$5:$Z$1504,"是")+SUMIFS(业务流水!$H$5:$H$1504,业务流水!$F$5:$F$1504,"*",业务流水!$D$5:$D$1504,"销项开票",业务流水!$C$5:$C$1504,$A253,业务流水!$Z$5:$Z$1504,"是"))</f>
        <v/>
      </c>
      <c r="G253" s="42" t="str">
        <f aca="false">IF($A253="","",$E253-$F253)</f>
        <v/>
      </c>
      <c r="H253" s="41" t="str">
        <f aca="false">IF($A253="","",SUMIFS(业务流水!$W$5:$W$1504,业务流水!$E$5:$E$1504,"*",业务流水!$D$5:$D$1504,"销项开票",业务流水!$C$5:$C$1504,$A253,业务流水!$Z$5:$Z$1504,"是"))</f>
        <v/>
      </c>
      <c r="I253" s="41" t="str">
        <f aca="false">IF($A253="","",SUMIFS(业务流水!$H$5:$H$1504,业务流水!$E$5:$E$1504,"*",业务流水!$D$5:$D$1504,"已交税",业务流水!$C$5:$C$1504,$A253,业务流水!$Z$5:$Z$1504,"是"))</f>
        <v/>
      </c>
      <c r="J253" s="42" t="str">
        <f aca="false">IF($A253="","",$H253-$I253)</f>
        <v/>
      </c>
      <c r="K253" s="41" t="str">
        <f aca="false">IF($A253="","",SUMIFS(业务流水!$H$5:$H$1504,业务流水!$F$5:$F$1504,"*",业务流水!$D$5:$D$1504,"挂靠代收",业务流水!$C$5:$C$1504,$A253,业务流水!$Z$5:$Z$1504,"是"))</f>
        <v/>
      </c>
      <c r="L253" s="42" t="str">
        <f aca="false">IF($A253="","",$C253-$K253)</f>
        <v/>
      </c>
      <c r="M253" s="41" t="str">
        <f aca="false">IF($A253="","",SUMIFS(业务流水!$H$5:$H$1504,业务流水!$E$5:$E$1504,"*",业务流水!$D$5:$D$1504,"我方收款",业务流水!$C$5:$C$1504,$A253,业务流水!$Z$5:$Z$1504,"是"))</f>
        <v/>
      </c>
      <c r="N253" s="43" t="str">
        <f aca="false">IF($A253="","",$K253-$M253)</f>
        <v/>
      </c>
      <c r="O253" s="41" t="str">
        <f aca="false">IF($A253="","",SUMIFS(业务流水!$H$5:$H$1504,业务流水!$F$5:$F$1504,"*",业务流水!$D$5:$D$1504,"管理费结算",业务流水!$C$5:$C$1504,$A253,业务流水!$Z$5:$Z$1504,"是"))</f>
        <v/>
      </c>
      <c r="P253" s="41" t="str">
        <f aca="false">IF($A253="","",SUMIFS(业务流水!$H$5:$H$1504,业务流水!$E$5:$E$1504,"*",业务流水!$D$5:$D$1504,"扣质保金",业务流水!$C$5:$C$1504,$A253,业务流水!$Z$5:$Z$1504,"是"))</f>
        <v/>
      </c>
    </row>
    <row r="254" customFormat="false" ht="15.75" hidden="false" customHeight="true" outlineLevel="0" collapsed="false">
      <c r="A254" s="32" t="str">
        <f aca="false">IF(项目档案!$A254="","",项目档案!$A254)</f>
        <v/>
      </c>
      <c r="B254" s="40" t="str">
        <f aca="false">IF($A254="","",项目档案!$B254)</f>
        <v/>
      </c>
      <c r="C254" s="41" t="str">
        <f aca="false">IF($A254="","",SUMIFS(业务流水!$H$5:$H$1504,业务流水!$E$5:$E$1504,"*",业务流水!$D$5:$D$1504,"销项开票",业务流水!$C$5:$C$1504,$A254,业务流水!$Z$5:$Z$1504,"是"))</f>
        <v/>
      </c>
      <c r="D254" s="41" t="str">
        <f aca="false">IF($A254="","",SUMIFS(业务流水!$O$5:$O$1504,业务流水!$E$5:$E$1504,"*",业务流水!$D$5:$D$1504,"销项开票",业务流水!$C$5:$C$1504,$A254,业务流水!$Z$5:$Z$1504,"是"))</f>
        <v/>
      </c>
      <c r="E254" s="41" t="str">
        <f aca="false">IF($A254="","",SUMIFS(业务流水!$P$5:$P$1504,业务流水!$E$5:$E$1504,"*",业务流水!$D$5:$D$1504,"销项开票",业务流水!$C$5:$C$1504,$A254,业务流水!$Z$5:$Z$1504,"是"))</f>
        <v/>
      </c>
      <c r="F254" s="41" t="str">
        <f aca="false">IF($A254="","",SUMIFS(业务流水!$H$5:$H$1504,业务流水!$F$5:$F$1504,"*",业务流水!$D$5:$D$1504,"成本票",业务流水!$C$5:$C$1504,$A254,业务流水!$Z$5:$Z$1504,"是")+SUMIFS(业务流水!$H$5:$H$1504,业务流水!$F$5:$F$1504,"*",业务流水!$D$5:$D$1504,"销项开票",业务流水!$C$5:$C$1504,$A254,业务流水!$Z$5:$Z$1504,"是"))</f>
        <v/>
      </c>
      <c r="G254" s="42" t="str">
        <f aca="false">IF($A254="","",$E254-$F254)</f>
        <v/>
      </c>
      <c r="H254" s="41" t="str">
        <f aca="false">IF($A254="","",SUMIFS(业务流水!$W$5:$W$1504,业务流水!$E$5:$E$1504,"*",业务流水!$D$5:$D$1504,"销项开票",业务流水!$C$5:$C$1504,$A254,业务流水!$Z$5:$Z$1504,"是"))</f>
        <v/>
      </c>
      <c r="I254" s="41" t="str">
        <f aca="false">IF($A254="","",SUMIFS(业务流水!$H$5:$H$1504,业务流水!$E$5:$E$1504,"*",业务流水!$D$5:$D$1504,"已交税",业务流水!$C$5:$C$1504,$A254,业务流水!$Z$5:$Z$1504,"是"))</f>
        <v/>
      </c>
      <c r="J254" s="42" t="str">
        <f aca="false">IF($A254="","",$H254-$I254)</f>
        <v/>
      </c>
      <c r="K254" s="41" t="str">
        <f aca="false">IF($A254="","",SUMIFS(业务流水!$H$5:$H$1504,业务流水!$F$5:$F$1504,"*",业务流水!$D$5:$D$1504,"挂靠代收",业务流水!$C$5:$C$1504,$A254,业务流水!$Z$5:$Z$1504,"是"))</f>
        <v/>
      </c>
      <c r="L254" s="42" t="str">
        <f aca="false">IF($A254="","",$C254-$K254)</f>
        <v/>
      </c>
      <c r="M254" s="41" t="str">
        <f aca="false">IF($A254="","",SUMIFS(业务流水!$H$5:$H$1504,业务流水!$E$5:$E$1504,"*",业务流水!$D$5:$D$1504,"我方收款",业务流水!$C$5:$C$1504,$A254,业务流水!$Z$5:$Z$1504,"是"))</f>
        <v/>
      </c>
      <c r="N254" s="43" t="str">
        <f aca="false">IF($A254="","",$K254-$M254)</f>
        <v/>
      </c>
      <c r="O254" s="41" t="str">
        <f aca="false">IF($A254="","",SUMIFS(业务流水!$H$5:$H$1504,业务流水!$F$5:$F$1504,"*",业务流水!$D$5:$D$1504,"管理费结算",业务流水!$C$5:$C$1504,$A254,业务流水!$Z$5:$Z$1504,"是"))</f>
        <v/>
      </c>
      <c r="P254" s="41" t="str">
        <f aca="false">IF($A254="","",SUMIFS(业务流水!$H$5:$H$1504,业务流水!$E$5:$E$1504,"*",业务流水!$D$5:$D$1504,"扣质保金",业务流水!$C$5:$C$1504,$A254,业务流水!$Z$5:$Z$1504,"是"))</f>
        <v/>
      </c>
    </row>
    <row r="255" customFormat="false" ht="15.75" hidden="false" customHeight="true" outlineLevel="0" collapsed="false">
      <c r="A255" s="32" t="str">
        <f aca="false">IF(项目档案!$A255="","",项目档案!$A255)</f>
        <v/>
      </c>
      <c r="B255" s="40" t="str">
        <f aca="false">IF($A255="","",项目档案!$B255)</f>
        <v/>
      </c>
      <c r="C255" s="41" t="str">
        <f aca="false">IF($A255="","",SUMIFS(业务流水!$H$5:$H$1504,业务流水!$E$5:$E$1504,"*",业务流水!$D$5:$D$1504,"销项开票",业务流水!$C$5:$C$1504,$A255,业务流水!$Z$5:$Z$1504,"是"))</f>
        <v/>
      </c>
      <c r="D255" s="41" t="str">
        <f aca="false">IF($A255="","",SUMIFS(业务流水!$O$5:$O$1504,业务流水!$E$5:$E$1504,"*",业务流水!$D$5:$D$1504,"销项开票",业务流水!$C$5:$C$1504,$A255,业务流水!$Z$5:$Z$1504,"是"))</f>
        <v/>
      </c>
      <c r="E255" s="41" t="str">
        <f aca="false">IF($A255="","",SUMIFS(业务流水!$P$5:$P$1504,业务流水!$E$5:$E$1504,"*",业务流水!$D$5:$D$1504,"销项开票",业务流水!$C$5:$C$1504,$A255,业务流水!$Z$5:$Z$1504,"是"))</f>
        <v/>
      </c>
      <c r="F255" s="41" t="str">
        <f aca="false">IF($A255="","",SUMIFS(业务流水!$H$5:$H$1504,业务流水!$F$5:$F$1504,"*",业务流水!$D$5:$D$1504,"成本票",业务流水!$C$5:$C$1504,$A255,业务流水!$Z$5:$Z$1504,"是")+SUMIFS(业务流水!$H$5:$H$1504,业务流水!$F$5:$F$1504,"*",业务流水!$D$5:$D$1504,"销项开票",业务流水!$C$5:$C$1504,$A255,业务流水!$Z$5:$Z$1504,"是"))</f>
        <v/>
      </c>
      <c r="G255" s="42" t="str">
        <f aca="false">IF($A255="","",$E255-$F255)</f>
        <v/>
      </c>
      <c r="H255" s="41" t="str">
        <f aca="false">IF($A255="","",SUMIFS(业务流水!$W$5:$W$1504,业务流水!$E$5:$E$1504,"*",业务流水!$D$5:$D$1504,"销项开票",业务流水!$C$5:$C$1504,$A255,业务流水!$Z$5:$Z$1504,"是"))</f>
        <v/>
      </c>
      <c r="I255" s="41" t="str">
        <f aca="false">IF($A255="","",SUMIFS(业务流水!$H$5:$H$1504,业务流水!$E$5:$E$1504,"*",业务流水!$D$5:$D$1504,"已交税",业务流水!$C$5:$C$1504,$A255,业务流水!$Z$5:$Z$1504,"是"))</f>
        <v/>
      </c>
      <c r="J255" s="42" t="str">
        <f aca="false">IF($A255="","",$H255-$I255)</f>
        <v/>
      </c>
      <c r="K255" s="41" t="str">
        <f aca="false">IF($A255="","",SUMIFS(业务流水!$H$5:$H$1504,业务流水!$F$5:$F$1504,"*",业务流水!$D$5:$D$1504,"挂靠代收",业务流水!$C$5:$C$1504,$A255,业务流水!$Z$5:$Z$1504,"是"))</f>
        <v/>
      </c>
      <c r="L255" s="42" t="str">
        <f aca="false">IF($A255="","",$C255-$K255)</f>
        <v/>
      </c>
      <c r="M255" s="41" t="str">
        <f aca="false">IF($A255="","",SUMIFS(业务流水!$H$5:$H$1504,业务流水!$E$5:$E$1504,"*",业务流水!$D$5:$D$1504,"我方收款",业务流水!$C$5:$C$1504,$A255,业务流水!$Z$5:$Z$1504,"是"))</f>
        <v/>
      </c>
      <c r="N255" s="43" t="str">
        <f aca="false">IF($A255="","",$K255-$M255)</f>
        <v/>
      </c>
      <c r="O255" s="41" t="str">
        <f aca="false">IF($A255="","",SUMIFS(业务流水!$H$5:$H$1504,业务流水!$F$5:$F$1504,"*",业务流水!$D$5:$D$1504,"管理费结算",业务流水!$C$5:$C$1504,$A255,业务流水!$Z$5:$Z$1504,"是"))</f>
        <v/>
      </c>
      <c r="P255" s="41" t="str">
        <f aca="false">IF($A255="","",SUMIFS(业务流水!$H$5:$H$1504,业务流水!$E$5:$E$1504,"*",业务流水!$D$5:$D$1504,"扣质保金",业务流水!$C$5:$C$1504,$A255,业务流水!$Z$5:$Z$1504,"是"))</f>
        <v/>
      </c>
    </row>
    <row r="256" customFormat="false" ht="15" hidden="false" customHeight="false" outlineLevel="0" collapsed="false">
      <c r="A256" s="44" t="s">
        <v>694</v>
      </c>
      <c r="B256" s="44"/>
      <c r="C256" s="45" t="n">
        <f aca="false">SUM(C6:C255)</f>
        <v>3699249.31</v>
      </c>
      <c r="D256" s="45" t="n">
        <f aca="false">SUM(D6:D255)</f>
        <v>161496.82</v>
      </c>
      <c r="E256" s="45" t="n">
        <f aca="false">SUM(E6:E255)</f>
        <v>3537752.49</v>
      </c>
      <c r="F256" s="45" t="n">
        <f aca="false">SUM(F6:F255)</f>
        <v>5107714.8</v>
      </c>
      <c r="G256" s="45" t="n">
        <f aca="false">SUM(G6:G255)</f>
        <v>-1569962.31</v>
      </c>
      <c r="H256" s="45" t="n">
        <f aca="false">SUM(H6:H255)</f>
        <v>144095.36</v>
      </c>
      <c r="I256" s="45" t="n">
        <f aca="false">SUM(I6:I255)</f>
        <v>72078.92</v>
      </c>
      <c r="J256" s="45" t="n">
        <f aca="false">SUM(J6:J255)</f>
        <v>72016.44</v>
      </c>
      <c r="K256" s="45" t="n">
        <f aca="false">SUM(K6:K255)</f>
        <v>1853826.63</v>
      </c>
      <c r="L256" s="45" t="n">
        <f aca="false">SUM(L6:L255)</f>
        <v>1845422.68</v>
      </c>
      <c r="M256" s="45" t="n">
        <f aca="false">SUM(M6:M255)</f>
        <v>1528476.28</v>
      </c>
      <c r="N256" s="45" t="n">
        <f aca="false">SUM(N6:N255)</f>
        <v>325350.35</v>
      </c>
      <c r="O256" s="45" t="n">
        <f aca="false">SUM(O6:O255)</f>
        <v>94849.41</v>
      </c>
      <c r="P256" s="45" t="n">
        <f aca="false">SUM(P6:P255)</f>
        <v>521.43</v>
      </c>
    </row>
  </sheetData>
  <autoFilter ref="A5:P255"/>
  <mergeCells count="2">
    <mergeCell ref="A1:P1"/>
    <mergeCell ref="A2:P2"/>
  </mergeCells>
  <conditionalFormatting sqref="N6:N255">
    <cfRule type="expression" priority="2" aboveAverage="0" equalAverage="0" bottom="0" percent="0" rank="0" text="" dxfId="12">
      <formula>$N6&gt;0.01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Q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0"/>
    <col collapsed="false" customWidth="true" hidden="false" outlineLevel="0" max="16" min="3" style="0" width="14"/>
    <col collapsed="false" customWidth="true" hidden="false" outlineLevel="0" max="17" min="17" style="0" width="10"/>
  </cols>
  <sheetData>
    <row r="1" customFormat="false" ht="25.5" hidden="false" customHeight="true" outlineLevel="0" collapsed="false">
      <c r="A1" s="17" t="s">
        <v>697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</row>
    <row r="2" customFormat="false" ht="15" hidden="false" customHeight="true" outlineLevel="0" collapsed="false">
      <c r="A2" s="19" t="s">
        <v>698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</row>
    <row r="3" customFormat="false" ht="15" hidden="false" customHeight="false" outlineLevel="0" collapsed="false">
      <c r="A3" s="46" t="s">
        <v>699</v>
      </c>
      <c r="B3" s="47" t="s">
        <v>117</v>
      </c>
    </row>
    <row r="5" customFormat="false" ht="30" hidden="false" customHeight="true" outlineLevel="0" collapsed="false">
      <c r="A5" s="20" t="s">
        <v>72</v>
      </c>
      <c r="B5" s="20" t="s">
        <v>140</v>
      </c>
      <c r="C5" s="20" t="s">
        <v>684</v>
      </c>
      <c r="D5" s="20" t="s">
        <v>685</v>
      </c>
      <c r="E5" s="20" t="s">
        <v>686</v>
      </c>
      <c r="F5" s="20" t="s">
        <v>687</v>
      </c>
      <c r="G5" s="20" t="s">
        <v>688</v>
      </c>
      <c r="H5" s="20" t="s">
        <v>10</v>
      </c>
      <c r="I5" s="20" t="s">
        <v>11</v>
      </c>
      <c r="J5" s="20" t="s">
        <v>12</v>
      </c>
      <c r="K5" s="20" t="s">
        <v>689</v>
      </c>
      <c r="L5" s="20" t="s">
        <v>690</v>
      </c>
      <c r="M5" s="20" t="s">
        <v>691</v>
      </c>
      <c r="N5" s="20" t="s">
        <v>692</v>
      </c>
      <c r="O5" s="20" t="s">
        <v>693</v>
      </c>
      <c r="P5" s="20" t="s">
        <v>396</v>
      </c>
      <c r="Q5" s="20" t="s">
        <v>700</v>
      </c>
    </row>
    <row r="6" customFormat="false" ht="15.75" hidden="false" customHeight="true" outlineLevel="0" collapsed="false">
      <c r="A6" s="32" t="str">
        <f aca="false">IF(项目档案!$A6="","",项目档案!$A6)</f>
        <v>A001</v>
      </c>
      <c r="B6" s="40" t="str">
        <f aca="false">IF($A6="","",项目档案!$B6)</f>
        <v>2025-2026年度工程用施工机具等租赁服务（重庆铜梁10kV大太线老旧线路改造工程）</v>
      </c>
      <c r="C6" s="41" t="n">
        <f aca="false">IF($A6="","",SUMIFS(业务流水!$H$5:$H$1504,业务流水!$E$5:$E$1504,$B$3,业务流水!$D$5:$D$1504,"销项开票",业务流水!$C$5:$C$1504,$A6,业务流水!$Z$5:$Z$1504,"是"))</f>
        <v>0</v>
      </c>
      <c r="D6" s="41" t="n">
        <f aca="false">IF($A6="","",SUMIFS(业务流水!$O$5:$O$1504,业务流水!$E$5:$E$1504,$B$3,业务流水!$D$5:$D$1504,"销项开票",业务流水!$C$5:$C$1504,$A6,业务流水!$Z$5:$Z$1504,"是"))</f>
        <v>0</v>
      </c>
      <c r="E6" s="41" t="n">
        <f aca="false">IF($A6="","",SUMIFS(业务流水!$P$5:$P$1504,业务流水!$E$5:$E$1504,$B$3,业务流水!$D$5:$D$1504,"销项开票",业务流水!$C$5:$C$1504,$A6,业务流水!$Z$5:$Z$1504,"是"))</f>
        <v>0</v>
      </c>
      <c r="F6" s="41" t="n">
        <f aca="false">IF($A6="","",SUMIFS(业务流水!$H$5:$H$1504,业务流水!$F$5:$F$1504,$B$3,业务流水!$D$5:$D$1504,"成本票",业务流水!$C$5:$C$1504,$A6,业务流水!$Z$5:$Z$1504,"是")+SUMIFS(业务流水!$H$5:$H$1504,业务流水!$F$5:$F$1504,$B$3,业务流水!$D$5:$D$1504,"销项开票",业务流水!$C$5:$C$1504,$A6,业务流水!$Z$5:$Z$1504,"是"))</f>
        <v>0</v>
      </c>
      <c r="G6" s="42" t="n">
        <f aca="false">IF($A6="","",$E6-$F6)</f>
        <v>0</v>
      </c>
      <c r="H6" s="41" t="n">
        <f aca="false">IF($A6="","",SUMIFS(业务流水!$W$5:$W$1504,业务流水!$E$5:$E$1504,$B$3,业务流水!$D$5:$D$1504,"销项开票",业务流水!$C$5:$C$1504,$A6,业务流水!$Z$5:$Z$1504,"是"))</f>
        <v>0</v>
      </c>
      <c r="I6" s="41" t="n">
        <f aca="false">IF($A6="","",SUMIFS(业务流水!$H$5:$H$1504,业务流水!$E$5:$E$1504,$B$3,业务流水!$D$5:$D$1504,"已交税",业务流水!$C$5:$C$1504,$A6,业务流水!$Z$5:$Z$1504,"是"))</f>
        <v>0</v>
      </c>
      <c r="J6" s="42" t="n">
        <f aca="false">IF($A6="","",$H6-$I6)</f>
        <v>0</v>
      </c>
      <c r="K6" s="41" t="n">
        <f aca="false">IF($A6="","",SUMIFS(业务流水!$H$5:$H$1504,业务流水!$F$5:$F$1504,$B$3,业务流水!$D$5:$D$1504,"挂靠代收",业务流水!$C$5:$C$1504,$A6,业务流水!$Z$5:$Z$1504,"是"))</f>
        <v>0</v>
      </c>
      <c r="L6" s="42" t="n">
        <f aca="false">IF($A6="","",$C6-$K6)</f>
        <v>0</v>
      </c>
      <c r="M6" s="41" t="n">
        <f aca="false">IF($A6="","",SUMIFS(业务流水!$H$5:$H$1504,业务流水!$E$5:$E$1504,$B$3,业务流水!$D$5:$D$1504,"我方收款",业务流水!$C$5:$C$1504,$A6,业务流水!$Z$5:$Z$1504,"是"))</f>
        <v>0</v>
      </c>
      <c r="N6" s="43" t="n">
        <f aca="false">IF($A6="","",$K6-$M6)</f>
        <v>0</v>
      </c>
      <c r="O6" s="41" t="n">
        <f aca="false">IF($A6="","",SUMIFS(业务流水!$H$5:$H$1504,业务流水!$F$5:$F$1504,$B$3,业务流水!$D$5:$D$1504,"管理费结算",业务流水!$C$5:$C$1504,$A6,业务流水!$Z$5:$Z$1504,"是"))</f>
        <v>0</v>
      </c>
      <c r="P6" s="41" t="n">
        <f aca="false">IF($A6="","",SUMIFS(业务流水!$H$5:$H$1504,业务流水!$E$5:$E$1504,$B$3,业务流水!$D$5:$D$1504,"扣质保金",业务流水!$C$5:$C$1504,$A6,业务流水!$Z$5:$Z$1504,"是"))</f>
        <v>0</v>
      </c>
      <c r="Q6" s="48" t="str">
        <f aca="false">IF($A6="","",IF(SUM($C6:$F6)+SUM($K6:$M6)=0,"无","有"))</f>
        <v>无</v>
      </c>
    </row>
    <row r="7" customFormat="false" ht="15.75" hidden="false" customHeight="true" outlineLevel="0" collapsed="false">
      <c r="A7" s="32" t="str">
        <f aca="false">IF(项目档案!$A7="","",项目档案!$A7)</f>
        <v>A002</v>
      </c>
      <c r="B7" s="40" t="str">
        <f aca="false">IF($A7="","",项目档案!$B7)</f>
        <v>重庆铜梁10kV梧桐村4.5.6社台区重过载治理工程等23个项目(2025年配网6批、业扩5批民能施工）(重庆铜梁10kV侣新线凤飞7社台区重过载治理工程)</v>
      </c>
      <c r="C7" s="41" t="n">
        <f aca="false">IF($A7="","",SUMIFS(业务流水!$H$5:$H$1504,业务流水!$E$5:$E$1504,$B$3,业务流水!$D$5:$D$1504,"销项开票",业务流水!$C$5:$C$1504,$A7,业务流水!$Z$5:$Z$1504,"是"))</f>
        <v>252343.27</v>
      </c>
      <c r="D7" s="41" t="n">
        <f aca="false">IF($A7="","",SUMIFS(业务流水!$O$5:$O$1504,业务流水!$E$5:$E$1504,$B$3,业务流水!$D$5:$D$1504,"销项开票",业务流水!$C$5:$C$1504,$A7,业务流水!$Z$5:$Z$1504,"是"))</f>
        <v>5046.87</v>
      </c>
      <c r="E7" s="41" t="n">
        <f aca="false">IF($A7="","",SUMIFS(业务流水!$P$5:$P$1504,业务流水!$E$5:$E$1504,$B$3,业务流水!$D$5:$D$1504,"销项开票",业务流水!$C$5:$C$1504,$A7,业务流水!$Z$5:$Z$1504,"是"))</f>
        <v>247296.4</v>
      </c>
      <c r="F7" s="41" t="n">
        <f aca="false">IF($A7="","",SUMIFS(业务流水!$H$5:$H$1504,业务流水!$F$5:$F$1504,$B$3,业务流水!$D$5:$D$1504,"成本票",业务流水!$C$5:$C$1504,$A7,业务流水!$Z$5:$Z$1504,"是")+SUMIFS(业务流水!$H$5:$H$1504,业务流水!$F$5:$F$1504,$B$3,业务流水!$D$5:$D$1504,"销项开票",业务流水!$C$5:$C$1504,$A7,业务流水!$Z$5:$Z$1504,"是"))</f>
        <v>0</v>
      </c>
      <c r="G7" s="42" t="n">
        <f aca="false">IF($A7="","",$E7-$F7)</f>
        <v>247296.4</v>
      </c>
      <c r="H7" s="41" t="n">
        <f aca="false">IF($A7="","",SUMIFS(业务流水!$W$5:$W$1504,业务流水!$E$5:$E$1504,$B$3,业务流水!$D$5:$D$1504,"销项开票",业务流水!$C$5:$C$1504,$A7,业务流水!$Z$5:$Z$1504,"是"))</f>
        <v>8280.78</v>
      </c>
      <c r="I7" s="41" t="n">
        <f aca="false">IF($A7="","",SUMIFS(业务流水!$H$5:$H$1504,业务流水!$E$5:$E$1504,$B$3,业务流水!$D$5:$D$1504,"已交税",业务流水!$C$5:$C$1504,$A7,业务流水!$Z$5:$Z$1504,"是"))</f>
        <v>0</v>
      </c>
      <c r="J7" s="42" t="n">
        <f aca="false">IF($A7="","",$H7-$I7)</f>
        <v>8280.78</v>
      </c>
      <c r="K7" s="41" t="n">
        <f aca="false">IF($A7="","",SUMIFS(业务流水!$H$5:$H$1504,业务流水!$F$5:$F$1504,$B$3,业务流水!$D$5:$D$1504,"挂靠代收",业务流水!$C$5:$C$1504,$A7,业务流水!$Z$5:$Z$1504,"是"))</f>
        <v>257460</v>
      </c>
      <c r="L7" s="42" t="n">
        <f aca="false">IF($A7="","",$C7-$K7)</f>
        <v>-5116.73000000001</v>
      </c>
      <c r="M7" s="41" t="n">
        <f aca="false">IF($A7="","",SUMIFS(业务流水!$H$5:$H$1504,业务流水!$E$5:$E$1504,$B$3,业务流水!$D$5:$D$1504,"我方收款",业务流水!$C$5:$C$1504,$A7,业务流水!$Z$5:$Z$1504,"是"))</f>
        <v>257460</v>
      </c>
      <c r="N7" s="43" t="n">
        <f aca="false">IF($A7="","",$K7-$M7)</f>
        <v>0</v>
      </c>
      <c r="O7" s="41" t="n">
        <f aca="false">IF($A7="","",SUMIFS(业务流水!$H$5:$H$1504,业务流水!$F$5:$F$1504,$B$3,业务流水!$D$5:$D$1504,"管理费结算",业务流水!$C$5:$C$1504,$A7,业务流水!$Z$5:$Z$1504,"是"))</f>
        <v>0</v>
      </c>
      <c r="P7" s="41" t="n">
        <f aca="false">IF($A7="","",SUMIFS(业务流水!$H$5:$H$1504,业务流水!$E$5:$E$1504,$B$3,业务流水!$D$5:$D$1504,"扣质保金",业务流水!$C$5:$C$1504,$A7,业务流水!$Z$5:$Z$1504,"是"))</f>
        <v>0</v>
      </c>
      <c r="Q7" s="48" t="str">
        <f aca="false">IF($A7="","",IF(SUM($C7:$F7)+SUM($K7:$M7)=0,"无","有"))</f>
        <v>有</v>
      </c>
    </row>
    <row r="8" customFormat="false" ht="15.75" hidden="false" customHeight="true" outlineLevel="0" collapsed="false">
      <c r="A8" s="32" t="str">
        <f aca="false">IF(项目档案!$A8="","",项目档案!$A8)</f>
        <v>A003</v>
      </c>
      <c r="B8" s="40" t="str">
        <f aca="false">IF($A8="","",项目档案!$B8)</f>
        <v>重庆铜梁10kV平双线新建联络工程</v>
      </c>
      <c r="C8" s="41" t="n">
        <f aca="false">IF($A8="","",SUMIFS(业务流水!$H$5:$H$1504,业务流水!$E$5:$E$1504,$B$3,业务流水!$D$5:$D$1504,"销项开票",业务流水!$C$5:$C$1504,$A8,业务流水!$Z$5:$Z$1504,"是"))</f>
        <v>0</v>
      </c>
      <c r="D8" s="41" t="n">
        <f aca="false">IF($A8="","",SUMIFS(业务流水!$O$5:$O$1504,业务流水!$E$5:$E$1504,$B$3,业务流水!$D$5:$D$1504,"销项开票",业务流水!$C$5:$C$1504,$A8,业务流水!$Z$5:$Z$1504,"是"))</f>
        <v>0</v>
      </c>
      <c r="E8" s="41" t="n">
        <f aca="false">IF($A8="","",SUMIFS(业务流水!$P$5:$P$1504,业务流水!$E$5:$E$1504,$B$3,业务流水!$D$5:$D$1504,"销项开票",业务流水!$C$5:$C$1504,$A8,业务流水!$Z$5:$Z$1504,"是"))</f>
        <v>0</v>
      </c>
      <c r="F8" s="41" t="n">
        <f aca="false">IF($A8="","",SUMIFS(业务流水!$H$5:$H$1504,业务流水!$F$5:$F$1504,$B$3,业务流水!$D$5:$D$1504,"成本票",业务流水!$C$5:$C$1504,$A8,业务流水!$Z$5:$Z$1504,"是")+SUMIFS(业务流水!$H$5:$H$1504,业务流水!$F$5:$F$1504,$B$3,业务流水!$D$5:$D$1504,"销项开票",业务流水!$C$5:$C$1504,$A8,业务流水!$Z$5:$Z$1504,"是"))</f>
        <v>0</v>
      </c>
      <c r="G8" s="42" t="n">
        <f aca="false">IF($A8="","",$E8-$F8)</f>
        <v>0</v>
      </c>
      <c r="H8" s="41" t="n">
        <f aca="false">IF($A8="","",SUMIFS(业务流水!$W$5:$W$1504,业务流水!$E$5:$E$1504,$B$3,业务流水!$D$5:$D$1504,"销项开票",业务流水!$C$5:$C$1504,$A8,业务流水!$Z$5:$Z$1504,"是"))</f>
        <v>0</v>
      </c>
      <c r="I8" s="41" t="n">
        <f aca="false">IF($A8="","",SUMIFS(业务流水!$H$5:$H$1504,业务流水!$E$5:$E$1504,$B$3,业务流水!$D$5:$D$1504,"已交税",业务流水!$C$5:$C$1504,$A8,业务流水!$Z$5:$Z$1504,"是"))</f>
        <v>0</v>
      </c>
      <c r="J8" s="42" t="n">
        <f aca="false">IF($A8="","",$H8-$I8)</f>
        <v>0</v>
      </c>
      <c r="K8" s="41" t="n">
        <f aca="false">IF($A8="","",SUMIFS(业务流水!$H$5:$H$1504,业务流水!$F$5:$F$1504,$B$3,业务流水!$D$5:$D$1504,"挂靠代收",业务流水!$C$5:$C$1504,$A8,业务流水!$Z$5:$Z$1504,"是"))</f>
        <v>0</v>
      </c>
      <c r="L8" s="42" t="n">
        <f aca="false">IF($A8="","",$C8-$K8)</f>
        <v>0</v>
      </c>
      <c r="M8" s="41" t="n">
        <f aca="false">IF($A8="","",SUMIFS(业务流水!$H$5:$H$1504,业务流水!$E$5:$E$1504,$B$3,业务流水!$D$5:$D$1504,"我方收款",业务流水!$C$5:$C$1504,$A8,业务流水!$Z$5:$Z$1504,"是"))</f>
        <v>0</v>
      </c>
      <c r="N8" s="43" t="n">
        <f aca="false">IF($A8="","",$K8-$M8)</f>
        <v>0</v>
      </c>
      <c r="O8" s="41" t="n">
        <f aca="false">IF($A8="","",SUMIFS(业务流水!$H$5:$H$1504,业务流水!$F$5:$F$1504,$B$3,业务流水!$D$5:$D$1504,"管理费结算",业务流水!$C$5:$C$1504,$A8,业务流水!$Z$5:$Z$1504,"是"))</f>
        <v>0</v>
      </c>
      <c r="P8" s="41" t="n">
        <f aca="false">IF($A8="","",SUMIFS(业务流水!$H$5:$H$1504,业务流水!$E$5:$E$1504,$B$3,业务流水!$D$5:$D$1504,"扣质保金",业务流水!$C$5:$C$1504,$A8,业务流水!$Z$5:$Z$1504,"是"))</f>
        <v>0</v>
      </c>
      <c r="Q8" s="48" t="str">
        <f aca="false">IF($A8="","",IF(SUM($C8:$F8)+SUM($K8:$M8)=0,"无","有"))</f>
        <v>无</v>
      </c>
    </row>
    <row r="9" customFormat="false" ht="15.75" hidden="false" customHeight="true" outlineLevel="0" collapsed="false">
      <c r="A9" s="32" t="str">
        <f aca="false">IF(项目档案!$A9="","",项目档案!$A9)</f>
        <v>A004</v>
      </c>
      <c r="B9" s="40" t="str">
        <f aca="false">IF($A9="","",项目档案!$B9)</f>
        <v>重庆铜梁10kV水羊线金鸡3（4）社台区重过载治理工程</v>
      </c>
      <c r="C9" s="41" t="n">
        <f aca="false">IF($A9="","",SUMIFS(业务流水!$H$5:$H$1504,业务流水!$E$5:$E$1504,$B$3,业务流水!$D$5:$D$1504,"销项开票",业务流水!$C$5:$C$1504,$A9,业务流水!$Z$5:$Z$1504,"是"))</f>
        <v>57991</v>
      </c>
      <c r="D9" s="41" t="n">
        <f aca="false">IF($A9="","",SUMIFS(业务流水!$O$5:$O$1504,业务流水!$E$5:$E$1504,$B$3,业务流水!$D$5:$D$1504,"销项开票",业务流水!$C$5:$C$1504,$A9,业务流水!$Z$5:$Z$1504,"是"))</f>
        <v>1159.82</v>
      </c>
      <c r="E9" s="41" t="n">
        <f aca="false">IF($A9="","",SUMIFS(业务流水!$P$5:$P$1504,业务流水!$E$5:$E$1504,$B$3,业务流水!$D$5:$D$1504,"销项开票",业务流水!$C$5:$C$1504,$A9,业务流水!$Z$5:$Z$1504,"是"))</f>
        <v>56831.18</v>
      </c>
      <c r="F9" s="41" t="n">
        <f aca="false">IF($A9="","",SUMIFS(业务流水!$H$5:$H$1504,业务流水!$F$5:$F$1504,$B$3,业务流水!$D$5:$D$1504,"成本票",业务流水!$C$5:$C$1504,$A9,业务流水!$Z$5:$Z$1504,"是")+SUMIFS(业务流水!$H$5:$H$1504,业务流水!$F$5:$F$1504,$B$3,业务流水!$D$5:$D$1504,"销项开票",业务流水!$C$5:$C$1504,$A9,业务流水!$Z$5:$Z$1504,"是"))</f>
        <v>0</v>
      </c>
      <c r="G9" s="42" t="n">
        <f aca="false">IF($A9="","",$E9-$F9)</f>
        <v>56831.18</v>
      </c>
      <c r="H9" s="41" t="n">
        <f aca="false">IF($A9="","",SUMIFS(业务流水!$W$5:$W$1504,业务流水!$E$5:$E$1504,$B$3,业务流水!$D$5:$D$1504,"销项开票",业务流水!$C$5:$C$1504,$A9,业务流水!$Z$5:$Z$1504,"是"))</f>
        <v>1903</v>
      </c>
      <c r="I9" s="41" t="n">
        <f aca="false">IF($A9="","",SUMIFS(业务流水!$H$5:$H$1504,业务流水!$E$5:$E$1504,$B$3,业务流水!$D$5:$D$1504,"已交税",业务流水!$C$5:$C$1504,$A9,业务流水!$Z$5:$Z$1504,"是"))</f>
        <v>0</v>
      </c>
      <c r="J9" s="42" t="n">
        <f aca="false">IF($A9="","",$H9-$I9)</f>
        <v>1903</v>
      </c>
      <c r="K9" s="41" t="n">
        <f aca="false">IF($A9="","",SUMIFS(业务流水!$H$5:$H$1504,业务流水!$F$5:$F$1504,$B$3,业务流水!$D$5:$D$1504,"挂靠代收",业务流水!$C$5:$C$1504,$A9,业务流水!$Z$5:$Z$1504,"是"))</f>
        <v>0</v>
      </c>
      <c r="L9" s="42" t="n">
        <f aca="false">IF($A9="","",$C9-$K9)</f>
        <v>57991</v>
      </c>
      <c r="M9" s="41" t="n">
        <f aca="false">IF($A9="","",SUMIFS(业务流水!$H$5:$H$1504,业务流水!$E$5:$E$1504,$B$3,业务流水!$D$5:$D$1504,"我方收款",业务流水!$C$5:$C$1504,$A9,业务流水!$Z$5:$Z$1504,"是"))</f>
        <v>0</v>
      </c>
      <c r="N9" s="43" t="n">
        <f aca="false">IF($A9="","",$K9-$M9)</f>
        <v>0</v>
      </c>
      <c r="O9" s="41" t="n">
        <f aca="false">IF($A9="","",SUMIFS(业务流水!$H$5:$H$1504,业务流水!$F$5:$F$1504,$B$3,业务流水!$D$5:$D$1504,"管理费结算",业务流水!$C$5:$C$1504,$A9,业务流水!$Z$5:$Z$1504,"是"))</f>
        <v>0</v>
      </c>
      <c r="P9" s="41" t="n">
        <f aca="false">IF($A9="","",SUMIFS(业务流水!$H$5:$H$1504,业务流水!$E$5:$E$1504,$B$3,业务流水!$D$5:$D$1504,"扣质保金",业务流水!$C$5:$C$1504,$A9,业务流水!$Z$5:$Z$1504,"是"))</f>
        <v>0</v>
      </c>
      <c r="Q9" s="48" t="str">
        <f aca="false">IF($A9="","",IF(SUM($C9:$F9)+SUM($K9:$M9)=0,"无","有"))</f>
        <v>有</v>
      </c>
    </row>
    <row r="10" customFormat="false" ht="15.75" hidden="false" customHeight="true" outlineLevel="0" collapsed="false">
      <c r="A10" s="32" t="str">
        <f aca="false">IF(项目档案!$A10="","",项目档案!$A10)</f>
        <v>A005</v>
      </c>
      <c r="B10" s="40" t="str">
        <f aca="false">IF($A10="","",项目档案!$B10)</f>
        <v>重庆铜梁10kV龙羊线七佛4社台区重过载治理工程</v>
      </c>
      <c r="C10" s="41" t="n">
        <f aca="false">IF($A10="","",SUMIFS(业务流水!$H$5:$H$1504,业务流水!$E$5:$E$1504,$B$3,业务流水!$D$5:$D$1504,"销项开票",业务流水!$C$5:$C$1504,$A10,业务流水!$Z$5:$Z$1504,"是"))</f>
        <v>49074</v>
      </c>
      <c r="D10" s="41" t="n">
        <f aca="false">IF($A10="","",SUMIFS(业务流水!$O$5:$O$1504,业务流水!$E$5:$E$1504,$B$3,业务流水!$D$5:$D$1504,"销项开票",业务流水!$C$5:$C$1504,$A10,业务流水!$Z$5:$Z$1504,"是"))</f>
        <v>981.48</v>
      </c>
      <c r="E10" s="41" t="n">
        <f aca="false">IF($A10="","",SUMIFS(业务流水!$P$5:$P$1504,业务流水!$E$5:$E$1504,$B$3,业务流水!$D$5:$D$1504,"销项开票",业务流水!$C$5:$C$1504,$A10,业务流水!$Z$5:$Z$1504,"是"))</f>
        <v>48092.52</v>
      </c>
      <c r="F10" s="41" t="n">
        <f aca="false">IF($A10="","",SUMIFS(业务流水!$H$5:$H$1504,业务流水!$F$5:$F$1504,$B$3,业务流水!$D$5:$D$1504,"成本票",业务流水!$C$5:$C$1504,$A10,业务流水!$Z$5:$Z$1504,"是")+SUMIFS(业务流水!$H$5:$H$1504,业务流水!$F$5:$F$1504,$B$3,业务流水!$D$5:$D$1504,"销项开票",业务流水!$C$5:$C$1504,$A10,业务流水!$Z$5:$Z$1504,"是"))</f>
        <v>0</v>
      </c>
      <c r="G10" s="42" t="n">
        <f aca="false">IF($A10="","",$E10-$F10)</f>
        <v>48092.52</v>
      </c>
      <c r="H10" s="41" t="n">
        <f aca="false">IF($A10="","",SUMIFS(业务流水!$W$5:$W$1504,业务流水!$E$5:$E$1504,$B$3,业务流水!$D$5:$D$1504,"销项开票",业务流水!$C$5:$C$1504,$A10,业务流水!$Z$5:$Z$1504,"是"))</f>
        <v>1610.39</v>
      </c>
      <c r="I10" s="41" t="n">
        <f aca="false">IF($A10="","",SUMIFS(业务流水!$H$5:$H$1504,业务流水!$E$5:$E$1504,$B$3,业务流水!$D$5:$D$1504,"已交税",业务流水!$C$5:$C$1504,$A10,业务流水!$Z$5:$Z$1504,"是"))</f>
        <v>0</v>
      </c>
      <c r="J10" s="42" t="n">
        <f aca="false">IF($A10="","",$H10-$I10)</f>
        <v>1610.39</v>
      </c>
      <c r="K10" s="41" t="n">
        <f aca="false">IF($A10="","",SUMIFS(业务流水!$H$5:$H$1504,业务流水!$F$5:$F$1504,$B$3,业务流水!$D$5:$D$1504,"挂靠代收",业务流水!$C$5:$C$1504,$A10,业务流水!$Z$5:$Z$1504,"是"))</f>
        <v>0</v>
      </c>
      <c r="L10" s="42" t="n">
        <f aca="false">IF($A10="","",$C10-$K10)</f>
        <v>49074</v>
      </c>
      <c r="M10" s="41" t="n">
        <f aca="false">IF($A10="","",SUMIFS(业务流水!$H$5:$H$1504,业务流水!$E$5:$E$1504,$B$3,业务流水!$D$5:$D$1504,"我方收款",业务流水!$C$5:$C$1504,$A10,业务流水!$Z$5:$Z$1504,"是"))</f>
        <v>0</v>
      </c>
      <c r="N10" s="43" t="n">
        <f aca="false">IF($A10="","",$K10-$M10)</f>
        <v>0</v>
      </c>
      <c r="O10" s="41" t="n">
        <f aca="false">IF($A10="","",SUMIFS(业务流水!$H$5:$H$1504,业务流水!$F$5:$F$1504,$B$3,业务流水!$D$5:$D$1504,"管理费结算",业务流水!$C$5:$C$1504,$A10,业务流水!$Z$5:$Z$1504,"是"))</f>
        <v>0</v>
      </c>
      <c r="P10" s="41" t="n">
        <f aca="false">IF($A10="","",SUMIFS(业务流水!$H$5:$H$1504,业务流水!$E$5:$E$1504,$B$3,业务流水!$D$5:$D$1504,"扣质保金",业务流水!$C$5:$C$1504,$A10,业务流水!$Z$5:$Z$1504,"是"))</f>
        <v>0</v>
      </c>
      <c r="Q10" s="48" t="str">
        <f aca="false">IF($A10="","",IF(SUM($C10:$F10)+SUM($K10:$M10)=0,"无","有"))</f>
        <v>有</v>
      </c>
    </row>
    <row r="11" customFormat="false" ht="15.75" hidden="false" customHeight="true" outlineLevel="0" collapsed="false">
      <c r="A11" s="32" t="str">
        <f aca="false">IF(项目档案!$A11="","",项目档案!$A11)</f>
        <v>A006</v>
      </c>
      <c r="B11" s="40" t="str">
        <f aca="false">IF($A11="","",项目档案!$B11)</f>
        <v>重庆铜梁10kV少柏线池塘4社柱台区电压越限治理工程</v>
      </c>
      <c r="C11" s="41" t="n">
        <f aca="false">IF($A11="","",SUMIFS(业务流水!$H$5:$H$1504,业务流水!$E$5:$E$1504,$B$3,业务流水!$D$5:$D$1504,"销项开票",业务流水!$C$5:$C$1504,$A11,业务流水!$Z$5:$Z$1504,"是"))</f>
        <v>78842</v>
      </c>
      <c r="D11" s="41" t="n">
        <f aca="false">IF($A11="","",SUMIFS(业务流水!$O$5:$O$1504,业务流水!$E$5:$E$1504,$B$3,业务流水!$D$5:$D$1504,"销项开票",业务流水!$C$5:$C$1504,$A11,业务流水!$Z$5:$Z$1504,"是"))</f>
        <v>1576.84</v>
      </c>
      <c r="E11" s="41" t="n">
        <f aca="false">IF($A11="","",SUMIFS(业务流水!$P$5:$P$1504,业务流水!$E$5:$E$1504,$B$3,业务流水!$D$5:$D$1504,"销项开票",业务流水!$C$5:$C$1504,$A11,业务流水!$Z$5:$Z$1504,"是"))</f>
        <v>77265.16</v>
      </c>
      <c r="F11" s="41" t="n">
        <f aca="false">IF($A11="","",SUMIFS(业务流水!$H$5:$H$1504,业务流水!$F$5:$F$1504,$B$3,业务流水!$D$5:$D$1504,"成本票",业务流水!$C$5:$C$1504,$A11,业务流水!$Z$5:$Z$1504,"是")+SUMIFS(业务流水!$H$5:$H$1504,业务流水!$F$5:$F$1504,$B$3,业务流水!$D$5:$D$1504,"销项开票",业务流水!$C$5:$C$1504,$A11,业务流水!$Z$5:$Z$1504,"是"))</f>
        <v>0</v>
      </c>
      <c r="G11" s="42" t="n">
        <f aca="false">IF($A11="","",$E11-$F11)</f>
        <v>77265.16</v>
      </c>
      <c r="H11" s="41" t="n">
        <f aca="false">IF($A11="","",SUMIFS(业务流水!$W$5:$W$1504,业务流水!$E$5:$E$1504,$B$3,业务流水!$D$5:$D$1504,"销项开票",业务流水!$C$5:$C$1504,$A11,业务流水!$Z$5:$Z$1504,"是"))</f>
        <v>2587.24</v>
      </c>
      <c r="I11" s="41" t="n">
        <f aca="false">IF($A11="","",SUMIFS(业务流水!$H$5:$H$1504,业务流水!$E$5:$E$1504,$B$3,业务流水!$D$5:$D$1504,"已交税",业务流水!$C$5:$C$1504,$A11,业务流水!$Z$5:$Z$1504,"是"))</f>
        <v>0</v>
      </c>
      <c r="J11" s="42" t="n">
        <f aca="false">IF($A11="","",$H11-$I11)</f>
        <v>2587.24</v>
      </c>
      <c r="K11" s="41" t="n">
        <f aca="false">IF($A11="","",SUMIFS(业务流水!$H$5:$H$1504,业务流水!$F$5:$F$1504,$B$3,业务流水!$D$5:$D$1504,"挂靠代收",业务流水!$C$5:$C$1504,$A11,业务流水!$Z$5:$Z$1504,"是"))</f>
        <v>0</v>
      </c>
      <c r="L11" s="42" t="n">
        <f aca="false">IF($A11="","",$C11-$K11)</f>
        <v>78842</v>
      </c>
      <c r="M11" s="41" t="n">
        <f aca="false">IF($A11="","",SUMIFS(业务流水!$H$5:$H$1504,业务流水!$E$5:$E$1504,$B$3,业务流水!$D$5:$D$1504,"我方收款",业务流水!$C$5:$C$1504,$A11,业务流水!$Z$5:$Z$1504,"是"))</f>
        <v>0</v>
      </c>
      <c r="N11" s="43" t="n">
        <f aca="false">IF($A11="","",$K11-$M11)</f>
        <v>0</v>
      </c>
      <c r="O11" s="41" t="n">
        <f aca="false">IF($A11="","",SUMIFS(业务流水!$H$5:$H$1504,业务流水!$F$5:$F$1504,$B$3,业务流水!$D$5:$D$1504,"管理费结算",业务流水!$C$5:$C$1504,$A11,业务流水!$Z$5:$Z$1504,"是"))</f>
        <v>0</v>
      </c>
      <c r="P11" s="41" t="n">
        <f aca="false">IF($A11="","",SUMIFS(业务流水!$H$5:$H$1504,业务流水!$E$5:$E$1504,$B$3,业务流水!$D$5:$D$1504,"扣质保金",业务流水!$C$5:$C$1504,$A11,业务流水!$Z$5:$Z$1504,"是"))</f>
        <v>0</v>
      </c>
      <c r="Q11" s="48" t="str">
        <f aca="false">IF($A11="","",IF(SUM($C11:$F11)+SUM($K11:$M11)=0,"无","有"))</f>
        <v>有</v>
      </c>
    </row>
    <row r="12" customFormat="false" ht="15.75" hidden="false" customHeight="true" outlineLevel="0" collapsed="false">
      <c r="A12" s="32" t="str">
        <f aca="false">IF(项目档案!$A12="","",项目档案!$A12)</f>
        <v>A007</v>
      </c>
      <c r="B12" s="40" t="str">
        <f aca="false">IF($A12="","",项目档案!$B12)</f>
        <v>重庆铜梁10kV少柏线团山7.6.11社台区电压越限治理工程</v>
      </c>
      <c r="C12" s="41" t="n">
        <f aca="false">IF($A12="","",SUMIFS(业务流水!$H$5:$H$1504,业务流水!$E$5:$E$1504,$B$3,业务流水!$D$5:$D$1504,"销项开票",业务流水!$C$5:$C$1504,$A12,业务流水!$Z$5:$Z$1504,"是"))</f>
        <v>79113</v>
      </c>
      <c r="D12" s="41" t="n">
        <f aca="false">IF($A12="","",SUMIFS(业务流水!$O$5:$O$1504,业务流水!$E$5:$E$1504,$B$3,业务流水!$D$5:$D$1504,"销项开票",业务流水!$C$5:$C$1504,$A12,业务流水!$Z$5:$Z$1504,"是"))</f>
        <v>1582.26</v>
      </c>
      <c r="E12" s="41" t="n">
        <f aca="false">IF($A12="","",SUMIFS(业务流水!$P$5:$P$1504,业务流水!$E$5:$E$1504,$B$3,业务流水!$D$5:$D$1504,"销项开票",业务流水!$C$5:$C$1504,$A12,业务流水!$Z$5:$Z$1504,"是"))</f>
        <v>77530.74</v>
      </c>
      <c r="F12" s="41" t="n">
        <f aca="false">IF($A12="","",SUMIFS(业务流水!$H$5:$H$1504,业务流水!$F$5:$F$1504,$B$3,业务流水!$D$5:$D$1504,"成本票",业务流水!$C$5:$C$1504,$A12,业务流水!$Z$5:$Z$1504,"是")+SUMIFS(业务流水!$H$5:$H$1504,业务流水!$F$5:$F$1504,$B$3,业务流水!$D$5:$D$1504,"销项开票",业务流水!$C$5:$C$1504,$A12,业务流水!$Z$5:$Z$1504,"是"))</f>
        <v>0</v>
      </c>
      <c r="G12" s="42" t="n">
        <f aca="false">IF($A12="","",$E12-$F12)</f>
        <v>77530.74</v>
      </c>
      <c r="H12" s="41" t="n">
        <f aca="false">IF($A12="","",SUMIFS(业务流水!$W$5:$W$1504,业务流水!$E$5:$E$1504,$B$3,业务流水!$D$5:$D$1504,"销项开票",业务流水!$C$5:$C$1504,$A12,业务流水!$Z$5:$Z$1504,"是"))</f>
        <v>2596.14</v>
      </c>
      <c r="I12" s="41" t="n">
        <f aca="false">IF($A12="","",SUMIFS(业务流水!$H$5:$H$1504,业务流水!$E$5:$E$1504,$B$3,业务流水!$D$5:$D$1504,"已交税",业务流水!$C$5:$C$1504,$A12,业务流水!$Z$5:$Z$1504,"是"))</f>
        <v>0</v>
      </c>
      <c r="J12" s="42" t="n">
        <f aca="false">IF($A12="","",$H12-$I12)</f>
        <v>2596.14</v>
      </c>
      <c r="K12" s="41" t="n">
        <f aca="false">IF($A12="","",SUMIFS(业务流水!$H$5:$H$1504,业务流水!$F$5:$F$1504,$B$3,业务流水!$D$5:$D$1504,"挂靠代收",业务流水!$C$5:$C$1504,$A12,业务流水!$Z$5:$Z$1504,"是"))</f>
        <v>0</v>
      </c>
      <c r="L12" s="42" t="n">
        <f aca="false">IF($A12="","",$C12-$K12)</f>
        <v>79113</v>
      </c>
      <c r="M12" s="41" t="n">
        <f aca="false">IF($A12="","",SUMIFS(业务流水!$H$5:$H$1504,业务流水!$E$5:$E$1504,$B$3,业务流水!$D$5:$D$1504,"我方收款",业务流水!$C$5:$C$1504,$A12,业务流水!$Z$5:$Z$1504,"是"))</f>
        <v>0</v>
      </c>
      <c r="N12" s="43" t="n">
        <f aca="false">IF($A12="","",$K12-$M12)</f>
        <v>0</v>
      </c>
      <c r="O12" s="41" t="n">
        <f aca="false">IF($A12="","",SUMIFS(业务流水!$H$5:$H$1504,业务流水!$F$5:$F$1504,$B$3,业务流水!$D$5:$D$1504,"管理费结算",业务流水!$C$5:$C$1504,$A12,业务流水!$Z$5:$Z$1504,"是"))</f>
        <v>0</v>
      </c>
      <c r="P12" s="41" t="n">
        <f aca="false">IF($A12="","",SUMIFS(业务流水!$H$5:$H$1504,业务流水!$E$5:$E$1504,$B$3,业务流水!$D$5:$D$1504,"扣质保金",业务流水!$C$5:$C$1504,$A12,业务流水!$Z$5:$Z$1504,"是"))</f>
        <v>0</v>
      </c>
      <c r="Q12" s="48" t="str">
        <f aca="false">IF($A12="","",IF(SUM($C12:$F12)+SUM($K12:$M12)=0,"无","有"))</f>
        <v>有</v>
      </c>
    </row>
    <row r="13" customFormat="false" ht="15.75" hidden="false" customHeight="true" outlineLevel="0" collapsed="false">
      <c r="A13" s="32" t="str">
        <f aca="false">IF(项目档案!$A13="","",项目档案!$A13)</f>
        <v>A008</v>
      </c>
      <c r="B13" s="40" t="str">
        <f aca="false">IF($A13="","",项目档案!$B13)</f>
        <v>重庆铜梁10kV平凉线惠丰9社等4个台区重过载治理工程</v>
      </c>
      <c r="C13" s="41" t="n">
        <f aca="false">IF($A13="","",SUMIFS(业务流水!$H$5:$H$1504,业务流水!$E$5:$E$1504,$B$3,业务流水!$D$5:$D$1504,"销项开票",业务流水!$C$5:$C$1504,$A13,业务流水!$Z$5:$Z$1504,"是"))</f>
        <v>237041.25</v>
      </c>
      <c r="D13" s="41" t="n">
        <f aca="false">IF($A13="","",SUMIFS(业务流水!$O$5:$O$1504,业务流水!$E$5:$E$1504,$B$3,业务流水!$D$5:$D$1504,"销项开票",业务流水!$C$5:$C$1504,$A13,业务流水!$Z$5:$Z$1504,"是"))</f>
        <v>4740.84</v>
      </c>
      <c r="E13" s="41" t="n">
        <f aca="false">IF($A13="","",SUMIFS(业务流水!$P$5:$P$1504,业务流水!$E$5:$E$1504,$B$3,业务流水!$D$5:$D$1504,"销项开票",业务流水!$C$5:$C$1504,$A13,业务流水!$Z$5:$Z$1504,"是"))</f>
        <v>232300.41</v>
      </c>
      <c r="F13" s="41" t="n">
        <f aca="false">IF($A13="","",SUMIFS(业务流水!$H$5:$H$1504,业务流水!$F$5:$F$1504,$B$3,业务流水!$D$5:$D$1504,"成本票",业务流水!$C$5:$C$1504,$A13,业务流水!$Z$5:$Z$1504,"是")+SUMIFS(业务流水!$H$5:$H$1504,业务流水!$F$5:$F$1504,$B$3,业务流水!$D$5:$D$1504,"销项开票",业务流水!$C$5:$C$1504,$A13,业务流水!$Z$5:$Z$1504,"是"))</f>
        <v>364755.02</v>
      </c>
      <c r="G13" s="42" t="n">
        <f aca="false">IF($A13="","",$E13-$F13)</f>
        <v>-132454.61</v>
      </c>
      <c r="H13" s="41" t="n">
        <f aca="false">IF($A13="","",SUMIFS(业务流水!$W$5:$W$1504,业务流水!$E$5:$E$1504,$B$3,业务流水!$D$5:$D$1504,"销项开票",业务流水!$C$5:$C$1504,$A13,业务流水!$Z$5:$Z$1504,"是"))</f>
        <v>7778.63</v>
      </c>
      <c r="I13" s="41" t="n">
        <f aca="false">IF($A13="","",SUMIFS(业务流水!$H$5:$H$1504,业务流水!$E$5:$E$1504,$B$3,业务流水!$D$5:$D$1504,"已交税",业务流水!$C$5:$C$1504,$A13,业务流水!$Z$5:$Z$1504,"是"))</f>
        <v>12213.85</v>
      </c>
      <c r="J13" s="42" t="n">
        <f aca="false">IF($A13="","",$H13-$I13)</f>
        <v>-4435.22</v>
      </c>
      <c r="K13" s="41" t="n">
        <f aca="false">IF($A13="","",SUMIFS(业务流水!$H$5:$H$1504,业务流水!$F$5:$F$1504,$B$3,业务流水!$D$5:$D$1504,"挂靠代收",业务流水!$C$5:$C$1504,$A13,业务流水!$Z$5:$Z$1504,"是"))</f>
        <v>372199</v>
      </c>
      <c r="L13" s="42" t="n">
        <f aca="false">IF($A13="","",$C13-$K13)</f>
        <v>-135157.75</v>
      </c>
      <c r="M13" s="41" t="n">
        <f aca="false">IF($A13="","",SUMIFS(业务流水!$H$5:$H$1504,业务流水!$E$5:$E$1504,$B$3,业务流水!$D$5:$D$1504,"我方收款",业务流水!$C$5:$C$1504,$A13,业务流水!$Z$5:$Z$1504,"是"))</f>
        <v>364755.02</v>
      </c>
      <c r="N13" s="43" t="n">
        <f aca="false">IF($A13="","",$K13-$M13)</f>
        <v>7443.97999999998</v>
      </c>
      <c r="O13" s="41" t="n">
        <f aca="false">IF($A13="","",SUMIFS(业务流水!$H$5:$H$1504,业务流水!$F$5:$F$1504,$B$3,业务流水!$D$5:$D$1504,"管理费结算",业务流水!$C$5:$C$1504,$A13,业务流水!$Z$5:$Z$1504,"是"))</f>
        <v>7443.98</v>
      </c>
      <c r="P13" s="41" t="n">
        <f aca="false">IF($A13="","",SUMIFS(业务流水!$H$5:$H$1504,业务流水!$E$5:$E$1504,$B$3,业务流水!$D$5:$D$1504,"扣质保金",业务流水!$C$5:$C$1504,$A13,业务流水!$Z$5:$Z$1504,"是"))</f>
        <v>0</v>
      </c>
      <c r="Q13" s="48" t="str">
        <f aca="false">IF($A13="","",IF(SUM($C13:$F13)+SUM($K13:$M13)=0,"无","有"))</f>
        <v>有</v>
      </c>
    </row>
    <row r="14" customFormat="false" ht="15.75" hidden="false" customHeight="true" outlineLevel="0" collapsed="false">
      <c r="A14" s="32" t="str">
        <f aca="false">IF(项目档案!$A14="","",项目档案!$A14)</f>
        <v>A009</v>
      </c>
      <c r="B14" s="40" t="str">
        <f aca="false">IF($A14="","",项目档案!$B14)</f>
        <v>重庆铜梁10kV少柏线社田1.6.7社台区重过载治理工程（机械费）</v>
      </c>
      <c r="C14" s="41" t="n">
        <f aca="false">IF($A14="","",SUMIFS(业务流水!$H$5:$H$1504,业务流水!$E$5:$E$1504,$B$3,业务流水!$D$5:$D$1504,"销项开票",业务流水!$C$5:$C$1504,$A14,业务流水!$Z$5:$Z$1504,"是"))</f>
        <v>0</v>
      </c>
      <c r="D14" s="41" t="n">
        <f aca="false">IF($A14="","",SUMIFS(业务流水!$O$5:$O$1504,业务流水!$E$5:$E$1504,$B$3,业务流水!$D$5:$D$1504,"销项开票",业务流水!$C$5:$C$1504,$A14,业务流水!$Z$5:$Z$1504,"是"))</f>
        <v>0</v>
      </c>
      <c r="E14" s="41" t="n">
        <f aca="false">IF($A14="","",SUMIFS(业务流水!$P$5:$P$1504,业务流水!$E$5:$E$1504,$B$3,业务流水!$D$5:$D$1504,"销项开票",业务流水!$C$5:$C$1504,$A14,业务流水!$Z$5:$Z$1504,"是"))</f>
        <v>0</v>
      </c>
      <c r="F14" s="41" t="n">
        <f aca="false">IF($A14="","",SUMIFS(业务流水!$H$5:$H$1504,业务流水!$F$5:$F$1504,$B$3,业务流水!$D$5:$D$1504,"成本票",业务流水!$C$5:$C$1504,$A14,业务流水!$Z$5:$Z$1504,"是")+SUMIFS(业务流水!$H$5:$H$1504,业务流水!$F$5:$F$1504,$B$3,业务流水!$D$5:$D$1504,"销项开票",业务流水!$C$5:$C$1504,$A14,业务流水!$Z$5:$Z$1504,"是"))</f>
        <v>0</v>
      </c>
      <c r="G14" s="42" t="n">
        <f aca="false">IF($A14="","",$E14-$F14)</f>
        <v>0</v>
      </c>
      <c r="H14" s="41" t="n">
        <f aca="false">IF($A14="","",SUMIFS(业务流水!$W$5:$W$1504,业务流水!$E$5:$E$1504,$B$3,业务流水!$D$5:$D$1504,"销项开票",业务流水!$C$5:$C$1504,$A14,业务流水!$Z$5:$Z$1504,"是"))</f>
        <v>0</v>
      </c>
      <c r="I14" s="41" t="n">
        <f aca="false">IF($A14="","",SUMIFS(业务流水!$H$5:$H$1504,业务流水!$E$5:$E$1504,$B$3,业务流水!$D$5:$D$1504,"已交税",业务流水!$C$5:$C$1504,$A14,业务流水!$Z$5:$Z$1504,"是"))</f>
        <v>0</v>
      </c>
      <c r="J14" s="42" t="n">
        <f aca="false">IF($A14="","",$H14-$I14)</f>
        <v>0</v>
      </c>
      <c r="K14" s="41" t="n">
        <f aca="false">IF($A14="","",SUMIFS(业务流水!$H$5:$H$1504,业务流水!$F$5:$F$1504,$B$3,业务流水!$D$5:$D$1504,"挂靠代收",业务流水!$C$5:$C$1504,$A14,业务流水!$Z$5:$Z$1504,"是"))</f>
        <v>0</v>
      </c>
      <c r="L14" s="42" t="n">
        <f aca="false">IF($A14="","",$C14-$K14)</f>
        <v>0</v>
      </c>
      <c r="M14" s="41" t="n">
        <f aca="false">IF($A14="","",SUMIFS(业务流水!$H$5:$H$1504,业务流水!$E$5:$E$1504,$B$3,业务流水!$D$5:$D$1504,"我方收款",业务流水!$C$5:$C$1504,$A14,业务流水!$Z$5:$Z$1504,"是"))</f>
        <v>0</v>
      </c>
      <c r="N14" s="43" t="n">
        <f aca="false">IF($A14="","",$K14-$M14)</f>
        <v>0</v>
      </c>
      <c r="O14" s="41" t="n">
        <f aca="false">IF($A14="","",SUMIFS(业务流水!$H$5:$H$1504,业务流水!$F$5:$F$1504,$B$3,业务流水!$D$5:$D$1504,"管理费结算",业务流水!$C$5:$C$1504,$A14,业务流水!$Z$5:$Z$1504,"是"))</f>
        <v>0</v>
      </c>
      <c r="P14" s="41" t="n">
        <f aca="false">IF($A14="","",SUMIFS(业务流水!$H$5:$H$1504,业务流水!$E$5:$E$1504,$B$3,业务流水!$D$5:$D$1504,"扣质保金",业务流水!$C$5:$C$1504,$A14,业务流水!$Z$5:$Z$1504,"是"))</f>
        <v>0</v>
      </c>
      <c r="Q14" s="48" t="str">
        <f aca="false">IF($A14="","",IF(SUM($C14:$F14)+SUM($K14:$M14)=0,"无","有"))</f>
        <v>无</v>
      </c>
    </row>
    <row r="15" customFormat="false" ht="15.75" hidden="false" customHeight="true" outlineLevel="0" collapsed="false">
      <c r="A15" s="32" t="str">
        <f aca="false">IF(项目档案!$A15="","",项目档案!$A15)</f>
        <v>A010</v>
      </c>
      <c r="B15" s="40" t="str">
        <f aca="false">IF($A15="","",项目档案!$B15)</f>
        <v>重庆铜梁10kV大科新建联络工程（机械费）</v>
      </c>
      <c r="C15" s="41" t="n">
        <f aca="false">IF($A15="","",SUMIFS(业务流水!$H$5:$H$1504,业务流水!$E$5:$E$1504,$B$3,业务流水!$D$5:$D$1504,"销项开票",业务流水!$C$5:$C$1504,$A15,业务流水!$Z$5:$Z$1504,"是"))</f>
        <v>0</v>
      </c>
      <c r="D15" s="41" t="n">
        <f aca="false">IF($A15="","",SUMIFS(业务流水!$O$5:$O$1504,业务流水!$E$5:$E$1504,$B$3,业务流水!$D$5:$D$1504,"销项开票",业务流水!$C$5:$C$1504,$A15,业务流水!$Z$5:$Z$1504,"是"))</f>
        <v>0</v>
      </c>
      <c r="E15" s="41" t="n">
        <f aca="false">IF($A15="","",SUMIFS(业务流水!$P$5:$P$1504,业务流水!$E$5:$E$1504,$B$3,业务流水!$D$5:$D$1504,"销项开票",业务流水!$C$5:$C$1504,$A15,业务流水!$Z$5:$Z$1504,"是"))</f>
        <v>0</v>
      </c>
      <c r="F15" s="41" t="n">
        <f aca="false">IF($A15="","",SUMIFS(业务流水!$H$5:$H$1504,业务流水!$F$5:$F$1504,$B$3,业务流水!$D$5:$D$1504,"成本票",业务流水!$C$5:$C$1504,$A15,业务流水!$Z$5:$Z$1504,"是")+SUMIFS(业务流水!$H$5:$H$1504,业务流水!$F$5:$F$1504,$B$3,业务流水!$D$5:$D$1504,"销项开票",业务流水!$C$5:$C$1504,$A15,业务流水!$Z$5:$Z$1504,"是"))</f>
        <v>0</v>
      </c>
      <c r="G15" s="42" t="n">
        <f aca="false">IF($A15="","",$E15-$F15)</f>
        <v>0</v>
      </c>
      <c r="H15" s="41" t="n">
        <f aca="false">IF($A15="","",SUMIFS(业务流水!$W$5:$W$1504,业务流水!$E$5:$E$1504,$B$3,业务流水!$D$5:$D$1504,"销项开票",业务流水!$C$5:$C$1504,$A15,业务流水!$Z$5:$Z$1504,"是"))</f>
        <v>0</v>
      </c>
      <c r="I15" s="41" t="n">
        <f aca="false">IF($A15="","",SUMIFS(业务流水!$H$5:$H$1504,业务流水!$E$5:$E$1504,$B$3,业务流水!$D$5:$D$1504,"已交税",业务流水!$C$5:$C$1504,$A15,业务流水!$Z$5:$Z$1504,"是"))</f>
        <v>0</v>
      </c>
      <c r="J15" s="42" t="n">
        <f aca="false">IF($A15="","",$H15-$I15)</f>
        <v>0</v>
      </c>
      <c r="K15" s="41" t="n">
        <f aca="false">IF($A15="","",SUMIFS(业务流水!$H$5:$H$1504,业务流水!$F$5:$F$1504,$B$3,业务流水!$D$5:$D$1504,"挂靠代收",业务流水!$C$5:$C$1504,$A15,业务流水!$Z$5:$Z$1504,"是"))</f>
        <v>0</v>
      </c>
      <c r="L15" s="42" t="n">
        <f aca="false">IF($A15="","",$C15-$K15)</f>
        <v>0</v>
      </c>
      <c r="M15" s="41" t="n">
        <f aca="false">IF($A15="","",SUMIFS(业务流水!$H$5:$H$1504,业务流水!$E$5:$E$1504,$B$3,业务流水!$D$5:$D$1504,"我方收款",业务流水!$C$5:$C$1504,$A15,业务流水!$Z$5:$Z$1504,"是"))</f>
        <v>0</v>
      </c>
      <c r="N15" s="43" t="n">
        <f aca="false">IF($A15="","",$K15-$M15)</f>
        <v>0</v>
      </c>
      <c r="O15" s="41" t="n">
        <f aca="false">IF($A15="","",SUMIFS(业务流水!$H$5:$H$1504,业务流水!$F$5:$F$1504,$B$3,业务流水!$D$5:$D$1504,"管理费结算",业务流水!$C$5:$C$1504,$A15,业务流水!$Z$5:$Z$1504,"是"))</f>
        <v>0</v>
      </c>
      <c r="P15" s="41" t="n">
        <f aca="false">IF($A15="","",SUMIFS(业务流水!$H$5:$H$1504,业务流水!$E$5:$E$1504,$B$3,业务流水!$D$5:$D$1504,"扣质保金",业务流水!$C$5:$C$1504,$A15,业务流水!$Z$5:$Z$1504,"是"))</f>
        <v>0</v>
      </c>
      <c r="Q15" s="48" t="str">
        <f aca="false">IF($A15="","",IF(SUM($C15:$F15)+SUM($K15:$M15)=0,"无","有"))</f>
        <v>无</v>
      </c>
    </row>
    <row r="16" customFormat="false" ht="15.75" hidden="false" customHeight="true" outlineLevel="0" collapsed="false">
      <c r="A16" s="32" t="str">
        <f aca="false">IF(项目档案!$A16="","",项目档案!$A16)</f>
        <v>A011</v>
      </c>
      <c r="B16" s="40" t="str">
        <f aca="false">IF($A16="","",项目档案!$B16)</f>
        <v>重庆铜梁10kV大岭线新建联络工程（机械费）</v>
      </c>
      <c r="C16" s="41" t="n">
        <f aca="false">IF($A16="","",SUMIFS(业务流水!$H$5:$H$1504,业务流水!$E$5:$E$1504,$B$3,业务流水!$D$5:$D$1504,"销项开票",业务流水!$C$5:$C$1504,$A16,业务流水!$Z$5:$Z$1504,"是"))</f>
        <v>0</v>
      </c>
      <c r="D16" s="41" t="n">
        <f aca="false">IF($A16="","",SUMIFS(业务流水!$O$5:$O$1504,业务流水!$E$5:$E$1504,$B$3,业务流水!$D$5:$D$1504,"销项开票",业务流水!$C$5:$C$1504,$A16,业务流水!$Z$5:$Z$1504,"是"))</f>
        <v>0</v>
      </c>
      <c r="E16" s="41" t="n">
        <f aca="false">IF($A16="","",SUMIFS(业务流水!$P$5:$P$1504,业务流水!$E$5:$E$1504,$B$3,业务流水!$D$5:$D$1504,"销项开票",业务流水!$C$5:$C$1504,$A16,业务流水!$Z$5:$Z$1504,"是"))</f>
        <v>0</v>
      </c>
      <c r="F16" s="41" t="n">
        <f aca="false">IF($A16="","",SUMIFS(业务流水!$H$5:$H$1504,业务流水!$F$5:$F$1504,$B$3,业务流水!$D$5:$D$1504,"成本票",业务流水!$C$5:$C$1504,$A16,业务流水!$Z$5:$Z$1504,"是")+SUMIFS(业务流水!$H$5:$H$1504,业务流水!$F$5:$F$1504,$B$3,业务流水!$D$5:$D$1504,"销项开票",业务流水!$C$5:$C$1504,$A16,业务流水!$Z$5:$Z$1504,"是"))</f>
        <v>0</v>
      </c>
      <c r="G16" s="42" t="n">
        <f aca="false">IF($A16="","",$E16-$F16)</f>
        <v>0</v>
      </c>
      <c r="H16" s="41" t="n">
        <f aca="false">IF($A16="","",SUMIFS(业务流水!$W$5:$W$1504,业务流水!$E$5:$E$1504,$B$3,业务流水!$D$5:$D$1504,"销项开票",业务流水!$C$5:$C$1504,$A16,业务流水!$Z$5:$Z$1504,"是"))</f>
        <v>0</v>
      </c>
      <c r="I16" s="41" t="n">
        <f aca="false">IF($A16="","",SUMIFS(业务流水!$H$5:$H$1504,业务流水!$E$5:$E$1504,$B$3,业务流水!$D$5:$D$1504,"已交税",业务流水!$C$5:$C$1504,$A16,业务流水!$Z$5:$Z$1504,"是"))</f>
        <v>0</v>
      </c>
      <c r="J16" s="42" t="n">
        <f aca="false">IF($A16="","",$H16-$I16)</f>
        <v>0</v>
      </c>
      <c r="K16" s="41" t="n">
        <f aca="false">IF($A16="","",SUMIFS(业务流水!$H$5:$H$1504,业务流水!$F$5:$F$1504,$B$3,业务流水!$D$5:$D$1504,"挂靠代收",业务流水!$C$5:$C$1504,$A16,业务流水!$Z$5:$Z$1504,"是"))</f>
        <v>0</v>
      </c>
      <c r="L16" s="42" t="n">
        <f aca="false">IF($A16="","",$C16-$K16)</f>
        <v>0</v>
      </c>
      <c r="M16" s="41" t="n">
        <f aca="false">IF($A16="","",SUMIFS(业务流水!$H$5:$H$1504,业务流水!$E$5:$E$1504,$B$3,业务流水!$D$5:$D$1504,"我方收款",业务流水!$C$5:$C$1504,$A16,业务流水!$Z$5:$Z$1504,"是"))</f>
        <v>0</v>
      </c>
      <c r="N16" s="43" t="n">
        <f aca="false">IF($A16="","",$K16-$M16)</f>
        <v>0</v>
      </c>
      <c r="O16" s="41" t="n">
        <f aca="false">IF($A16="","",SUMIFS(业务流水!$H$5:$H$1504,业务流水!$F$5:$F$1504,$B$3,业务流水!$D$5:$D$1504,"管理费结算",业务流水!$C$5:$C$1504,$A16,业务流水!$Z$5:$Z$1504,"是"))</f>
        <v>0</v>
      </c>
      <c r="P16" s="41" t="n">
        <f aca="false">IF($A16="","",SUMIFS(业务流水!$H$5:$H$1504,业务流水!$E$5:$E$1504,$B$3,业务流水!$D$5:$D$1504,"扣质保金",业务流水!$C$5:$C$1504,$A16,业务流水!$Z$5:$Z$1504,"是"))</f>
        <v>0</v>
      </c>
      <c r="Q16" s="48" t="str">
        <f aca="false">IF($A16="","",IF(SUM($C16:$F16)+SUM($K16:$M16)=0,"无","有"))</f>
        <v>无</v>
      </c>
    </row>
    <row r="17" customFormat="false" ht="15.75" hidden="false" customHeight="true" outlineLevel="0" collapsed="false">
      <c r="A17" s="32" t="str">
        <f aca="false">IF(项目档案!$A17="","",项目档案!$A17)</f>
        <v>A012</v>
      </c>
      <c r="B17" s="40" t="str">
        <f aca="false">IF($A17="","",项目档案!$B17)</f>
        <v>重庆铜梁重庆物华天宝镀膜科技有限公司10kV业扩配套工程（机械费）</v>
      </c>
      <c r="C17" s="41" t="n">
        <f aca="false">IF($A17="","",SUMIFS(业务流水!$H$5:$H$1504,业务流水!$E$5:$E$1504,$B$3,业务流水!$D$5:$D$1504,"销项开票",业务流水!$C$5:$C$1504,$A17,业务流水!$Z$5:$Z$1504,"是"))</f>
        <v>0</v>
      </c>
      <c r="D17" s="41" t="n">
        <f aca="false">IF($A17="","",SUMIFS(业务流水!$O$5:$O$1504,业务流水!$E$5:$E$1504,$B$3,业务流水!$D$5:$D$1504,"销项开票",业务流水!$C$5:$C$1504,$A17,业务流水!$Z$5:$Z$1504,"是"))</f>
        <v>0</v>
      </c>
      <c r="E17" s="41" t="n">
        <f aca="false">IF($A17="","",SUMIFS(业务流水!$P$5:$P$1504,业务流水!$E$5:$E$1504,$B$3,业务流水!$D$5:$D$1504,"销项开票",业务流水!$C$5:$C$1504,$A17,业务流水!$Z$5:$Z$1504,"是"))</f>
        <v>0</v>
      </c>
      <c r="F17" s="41" t="n">
        <f aca="false">IF($A17="","",SUMIFS(业务流水!$H$5:$H$1504,业务流水!$F$5:$F$1504,$B$3,业务流水!$D$5:$D$1504,"成本票",业务流水!$C$5:$C$1504,$A17,业务流水!$Z$5:$Z$1504,"是")+SUMIFS(业务流水!$H$5:$H$1504,业务流水!$F$5:$F$1504,$B$3,业务流水!$D$5:$D$1504,"销项开票",业务流水!$C$5:$C$1504,$A17,业务流水!$Z$5:$Z$1504,"是"))</f>
        <v>0</v>
      </c>
      <c r="G17" s="42" t="n">
        <f aca="false">IF($A17="","",$E17-$F17)</f>
        <v>0</v>
      </c>
      <c r="H17" s="41" t="n">
        <f aca="false">IF($A17="","",SUMIFS(业务流水!$W$5:$W$1504,业务流水!$E$5:$E$1504,$B$3,业务流水!$D$5:$D$1504,"销项开票",业务流水!$C$5:$C$1504,$A17,业务流水!$Z$5:$Z$1504,"是"))</f>
        <v>0</v>
      </c>
      <c r="I17" s="41" t="n">
        <f aca="false">IF($A17="","",SUMIFS(业务流水!$H$5:$H$1504,业务流水!$E$5:$E$1504,$B$3,业务流水!$D$5:$D$1504,"已交税",业务流水!$C$5:$C$1504,$A17,业务流水!$Z$5:$Z$1504,"是"))</f>
        <v>0</v>
      </c>
      <c r="J17" s="42" t="n">
        <f aca="false">IF($A17="","",$H17-$I17)</f>
        <v>0</v>
      </c>
      <c r="K17" s="41" t="n">
        <f aca="false">IF($A17="","",SUMIFS(业务流水!$H$5:$H$1504,业务流水!$F$5:$F$1504,$B$3,业务流水!$D$5:$D$1504,"挂靠代收",业务流水!$C$5:$C$1504,$A17,业务流水!$Z$5:$Z$1504,"是"))</f>
        <v>0</v>
      </c>
      <c r="L17" s="42" t="n">
        <f aca="false">IF($A17="","",$C17-$K17)</f>
        <v>0</v>
      </c>
      <c r="M17" s="41" t="n">
        <f aca="false">IF($A17="","",SUMIFS(业务流水!$H$5:$H$1504,业务流水!$E$5:$E$1504,$B$3,业务流水!$D$5:$D$1504,"我方收款",业务流水!$C$5:$C$1504,$A17,业务流水!$Z$5:$Z$1504,"是"))</f>
        <v>0</v>
      </c>
      <c r="N17" s="43" t="n">
        <f aca="false">IF($A17="","",$K17-$M17)</f>
        <v>0</v>
      </c>
      <c r="O17" s="41" t="n">
        <f aca="false">IF($A17="","",SUMIFS(业务流水!$H$5:$H$1504,业务流水!$F$5:$F$1504,$B$3,业务流水!$D$5:$D$1504,"管理费结算",业务流水!$C$5:$C$1504,$A17,业务流水!$Z$5:$Z$1504,"是"))</f>
        <v>0</v>
      </c>
      <c r="P17" s="41" t="n">
        <f aca="false">IF($A17="","",SUMIFS(业务流水!$H$5:$H$1504,业务流水!$E$5:$E$1504,$B$3,业务流水!$D$5:$D$1504,"扣质保金",业务流水!$C$5:$C$1504,$A17,业务流水!$Z$5:$Z$1504,"是"))</f>
        <v>0</v>
      </c>
      <c r="Q17" s="48" t="str">
        <f aca="false">IF($A17="","",IF(SUM($C17:$F17)+SUM($K17:$M17)=0,"无","有"))</f>
        <v>无</v>
      </c>
    </row>
    <row r="18" customFormat="false" ht="15.75" hidden="false" customHeight="true" outlineLevel="0" collapsed="false">
      <c r="A18" s="32" t="str">
        <f aca="false">IF(项目档案!$A18="","",项目档案!$A18)</f>
        <v>A013</v>
      </c>
      <c r="B18" s="40" t="str">
        <f aca="false">IF($A18="","",项目档案!$B18)</f>
        <v>1</v>
      </c>
      <c r="C18" s="41" t="n">
        <f aca="false">IF($A18="","",SUMIFS(业务流水!$H$5:$H$1504,业务流水!$E$5:$E$1504,$B$3,业务流水!$D$5:$D$1504,"销项开票",业务流水!$C$5:$C$1504,$A18,业务流水!$Z$5:$Z$1504,"是"))</f>
        <v>0</v>
      </c>
      <c r="D18" s="41" t="n">
        <f aca="false">IF($A18="","",SUMIFS(业务流水!$O$5:$O$1504,业务流水!$E$5:$E$1504,$B$3,业务流水!$D$5:$D$1504,"销项开票",业务流水!$C$5:$C$1504,$A18,业务流水!$Z$5:$Z$1504,"是"))</f>
        <v>0</v>
      </c>
      <c r="E18" s="41" t="n">
        <f aca="false">IF($A18="","",SUMIFS(业务流水!$P$5:$P$1504,业务流水!$E$5:$E$1504,$B$3,业务流水!$D$5:$D$1504,"销项开票",业务流水!$C$5:$C$1504,$A18,业务流水!$Z$5:$Z$1504,"是"))</f>
        <v>0</v>
      </c>
      <c r="F18" s="41" t="n">
        <f aca="false">IF($A18="","",SUMIFS(业务流水!$H$5:$H$1504,业务流水!$F$5:$F$1504,$B$3,业务流水!$D$5:$D$1504,"成本票",业务流水!$C$5:$C$1504,$A18,业务流水!$Z$5:$Z$1504,"是")+SUMIFS(业务流水!$H$5:$H$1504,业务流水!$F$5:$F$1504,$B$3,业务流水!$D$5:$D$1504,"销项开票",业务流水!$C$5:$C$1504,$A18,业务流水!$Z$5:$Z$1504,"是"))</f>
        <v>0</v>
      </c>
      <c r="G18" s="42" t="n">
        <f aca="false">IF($A18="","",$E18-$F18)</f>
        <v>0</v>
      </c>
      <c r="H18" s="41" t="n">
        <f aca="false">IF($A18="","",SUMIFS(业务流水!$W$5:$W$1504,业务流水!$E$5:$E$1504,$B$3,业务流水!$D$5:$D$1504,"销项开票",业务流水!$C$5:$C$1504,$A18,业务流水!$Z$5:$Z$1504,"是"))</f>
        <v>0</v>
      </c>
      <c r="I18" s="41" t="n">
        <f aca="false">IF($A18="","",SUMIFS(业务流水!$H$5:$H$1504,业务流水!$E$5:$E$1504,$B$3,业务流水!$D$5:$D$1504,"已交税",业务流水!$C$5:$C$1504,$A18,业务流水!$Z$5:$Z$1504,"是"))</f>
        <v>0</v>
      </c>
      <c r="J18" s="42" t="n">
        <f aca="false">IF($A18="","",$H18-$I18)</f>
        <v>0</v>
      </c>
      <c r="K18" s="41" t="n">
        <f aca="false">IF($A18="","",SUMIFS(业务流水!$H$5:$H$1504,业务流水!$F$5:$F$1504,$B$3,业务流水!$D$5:$D$1504,"挂靠代收",业务流水!$C$5:$C$1504,$A18,业务流水!$Z$5:$Z$1504,"是"))</f>
        <v>0</v>
      </c>
      <c r="L18" s="42" t="n">
        <f aca="false">IF($A18="","",$C18-$K18)</f>
        <v>0</v>
      </c>
      <c r="M18" s="41" t="n">
        <f aca="false">IF($A18="","",SUMIFS(业务流水!$H$5:$H$1504,业务流水!$E$5:$E$1504,$B$3,业务流水!$D$5:$D$1504,"我方收款",业务流水!$C$5:$C$1504,$A18,业务流水!$Z$5:$Z$1504,"是"))</f>
        <v>0</v>
      </c>
      <c r="N18" s="43" t="n">
        <f aca="false">IF($A18="","",$K18-$M18)</f>
        <v>0</v>
      </c>
      <c r="O18" s="41" t="n">
        <f aca="false">IF($A18="","",SUMIFS(业务流水!$H$5:$H$1504,业务流水!$F$5:$F$1504,$B$3,业务流水!$D$5:$D$1504,"管理费结算",业务流水!$C$5:$C$1504,$A18,业务流水!$Z$5:$Z$1504,"是"))</f>
        <v>0</v>
      </c>
      <c r="P18" s="41" t="n">
        <f aca="false">IF($A18="","",SUMIFS(业务流水!$H$5:$H$1504,业务流水!$E$5:$E$1504,$B$3,业务流水!$D$5:$D$1504,"扣质保金",业务流水!$C$5:$C$1504,$A18,业务流水!$Z$5:$Z$1504,"是"))</f>
        <v>0</v>
      </c>
      <c r="Q18" s="48" t="str">
        <f aca="false">IF($A18="","",IF(SUM($C18:$F18)+SUM($K18:$M18)=0,"无","有"))</f>
        <v>无</v>
      </c>
    </row>
    <row r="19" customFormat="false" ht="15.75" hidden="false" customHeight="true" outlineLevel="0" collapsed="false">
      <c r="A19" s="32" t="str">
        <f aca="false">IF(项目档案!$A19="","",项目档案!$A19)</f>
        <v>A014</v>
      </c>
      <c r="B19" s="40" t="str">
        <f aca="false">IF($A19="","",项目档案!$B19)</f>
        <v>重庆民能实业有限公司2025-2026年度工程用特种设备租赁服务框架采购（铜梁公司2025年成本类优化营商环境项目（安居所张绍华等10个低压业扩项目）（机械费）</v>
      </c>
      <c r="C19" s="41" t="n">
        <f aca="false">IF($A19="","",SUMIFS(业务流水!$H$5:$H$1504,业务流水!$E$5:$E$1504,$B$3,业务流水!$D$5:$D$1504,"销项开票",业务流水!$C$5:$C$1504,$A19,业务流水!$Z$5:$Z$1504,"是"))</f>
        <v>0</v>
      </c>
      <c r="D19" s="41" t="n">
        <f aca="false">IF($A19="","",SUMIFS(业务流水!$O$5:$O$1504,业务流水!$E$5:$E$1504,$B$3,业务流水!$D$5:$D$1504,"销项开票",业务流水!$C$5:$C$1504,$A19,业务流水!$Z$5:$Z$1504,"是"))</f>
        <v>0</v>
      </c>
      <c r="E19" s="41" t="n">
        <f aca="false">IF($A19="","",SUMIFS(业务流水!$P$5:$P$1504,业务流水!$E$5:$E$1504,$B$3,业务流水!$D$5:$D$1504,"销项开票",业务流水!$C$5:$C$1504,$A19,业务流水!$Z$5:$Z$1504,"是"))</f>
        <v>0</v>
      </c>
      <c r="F19" s="41" t="n">
        <f aca="false">IF($A19="","",SUMIFS(业务流水!$H$5:$H$1504,业务流水!$F$5:$F$1504,$B$3,业务流水!$D$5:$D$1504,"成本票",业务流水!$C$5:$C$1504,$A19,业务流水!$Z$5:$Z$1504,"是")+SUMIFS(业务流水!$H$5:$H$1504,业务流水!$F$5:$F$1504,$B$3,业务流水!$D$5:$D$1504,"销项开票",业务流水!$C$5:$C$1504,$A19,业务流水!$Z$5:$Z$1504,"是"))</f>
        <v>0</v>
      </c>
      <c r="G19" s="42" t="n">
        <f aca="false">IF($A19="","",$E19-$F19)</f>
        <v>0</v>
      </c>
      <c r="H19" s="41" t="n">
        <f aca="false">IF($A19="","",SUMIFS(业务流水!$W$5:$W$1504,业务流水!$E$5:$E$1504,$B$3,业务流水!$D$5:$D$1504,"销项开票",业务流水!$C$5:$C$1504,$A19,业务流水!$Z$5:$Z$1504,"是"))</f>
        <v>0</v>
      </c>
      <c r="I19" s="41" t="n">
        <f aca="false">IF($A19="","",SUMIFS(业务流水!$H$5:$H$1504,业务流水!$E$5:$E$1504,$B$3,业务流水!$D$5:$D$1504,"已交税",业务流水!$C$5:$C$1504,$A19,业务流水!$Z$5:$Z$1504,"是"))</f>
        <v>0</v>
      </c>
      <c r="J19" s="42" t="n">
        <f aca="false">IF($A19="","",$H19-$I19)</f>
        <v>0</v>
      </c>
      <c r="K19" s="41" t="n">
        <f aca="false">IF($A19="","",SUMIFS(业务流水!$H$5:$H$1504,业务流水!$F$5:$F$1504,$B$3,业务流水!$D$5:$D$1504,"挂靠代收",业务流水!$C$5:$C$1504,$A19,业务流水!$Z$5:$Z$1504,"是"))</f>
        <v>0</v>
      </c>
      <c r="L19" s="42" t="n">
        <f aca="false">IF($A19="","",$C19-$K19)</f>
        <v>0</v>
      </c>
      <c r="M19" s="41" t="n">
        <f aca="false">IF($A19="","",SUMIFS(业务流水!$H$5:$H$1504,业务流水!$E$5:$E$1504,$B$3,业务流水!$D$5:$D$1504,"我方收款",业务流水!$C$5:$C$1504,$A19,业务流水!$Z$5:$Z$1504,"是"))</f>
        <v>0</v>
      </c>
      <c r="N19" s="43" t="n">
        <f aca="false">IF($A19="","",$K19-$M19)</f>
        <v>0</v>
      </c>
      <c r="O19" s="41" t="n">
        <f aca="false">IF($A19="","",SUMIFS(业务流水!$H$5:$H$1504,业务流水!$F$5:$F$1504,$B$3,业务流水!$D$5:$D$1504,"管理费结算",业务流水!$C$5:$C$1504,$A19,业务流水!$Z$5:$Z$1504,"是"))</f>
        <v>0</v>
      </c>
      <c r="P19" s="41" t="n">
        <f aca="false">IF($A19="","",SUMIFS(业务流水!$H$5:$H$1504,业务流水!$E$5:$E$1504,$B$3,业务流水!$D$5:$D$1504,"扣质保金",业务流水!$C$5:$C$1504,$A19,业务流水!$Z$5:$Z$1504,"是"))</f>
        <v>0</v>
      </c>
      <c r="Q19" s="48" t="str">
        <f aca="false">IF($A19="","",IF(SUM($C19:$F19)+SUM($K19:$M19)=0,"无","有"))</f>
        <v>无</v>
      </c>
    </row>
    <row r="20" customFormat="false" ht="15.75" hidden="false" customHeight="true" outlineLevel="0" collapsed="false">
      <c r="A20" s="32" t="str">
        <f aca="false">IF(项目档案!$A20="","",项目档案!$A20)</f>
        <v>A015</v>
      </c>
      <c r="B20" s="40" t="str">
        <f aca="false">IF($A20="","",项目档案!$B20)</f>
        <v>重庆民能实业有限公司2025-2026年度工程用特种设备租赁服务框架采购、铜梁公司2026年配电专业应急抢修抢险等外包项目(围塘5社等台区3个隐患治理项目。大桥7.8社等台区3个应急抢修项目)机械费</v>
      </c>
      <c r="C20" s="41" t="n">
        <f aca="false">IF($A20="","",SUMIFS(业务流水!$H$5:$H$1504,业务流水!$E$5:$E$1504,$B$3,业务流水!$D$5:$D$1504,"销项开票",业务流水!$C$5:$C$1504,$A20,业务流水!$Z$5:$Z$1504,"是"))</f>
        <v>0</v>
      </c>
      <c r="D20" s="41" t="n">
        <f aca="false">IF($A20="","",SUMIFS(业务流水!$O$5:$O$1504,业务流水!$E$5:$E$1504,$B$3,业务流水!$D$5:$D$1504,"销项开票",业务流水!$C$5:$C$1504,$A20,业务流水!$Z$5:$Z$1504,"是"))</f>
        <v>0</v>
      </c>
      <c r="E20" s="41" t="n">
        <f aca="false">IF($A20="","",SUMIFS(业务流水!$P$5:$P$1504,业务流水!$E$5:$E$1504,$B$3,业务流水!$D$5:$D$1504,"销项开票",业务流水!$C$5:$C$1504,$A20,业务流水!$Z$5:$Z$1504,"是"))</f>
        <v>0</v>
      </c>
      <c r="F20" s="41" t="n">
        <f aca="false">IF($A20="","",SUMIFS(业务流水!$H$5:$H$1504,业务流水!$F$5:$F$1504,$B$3,业务流水!$D$5:$D$1504,"成本票",业务流水!$C$5:$C$1504,$A20,业务流水!$Z$5:$Z$1504,"是")+SUMIFS(业务流水!$H$5:$H$1504,业务流水!$F$5:$F$1504,$B$3,业务流水!$D$5:$D$1504,"销项开票",业务流水!$C$5:$C$1504,$A20,业务流水!$Z$5:$Z$1504,"是"))</f>
        <v>0</v>
      </c>
      <c r="G20" s="42" t="n">
        <f aca="false">IF($A20="","",$E20-$F20)</f>
        <v>0</v>
      </c>
      <c r="H20" s="41" t="n">
        <f aca="false">IF($A20="","",SUMIFS(业务流水!$W$5:$W$1504,业务流水!$E$5:$E$1504,$B$3,业务流水!$D$5:$D$1504,"销项开票",业务流水!$C$5:$C$1504,$A20,业务流水!$Z$5:$Z$1504,"是"))</f>
        <v>0</v>
      </c>
      <c r="I20" s="41" t="n">
        <f aca="false">IF($A20="","",SUMIFS(业务流水!$H$5:$H$1504,业务流水!$E$5:$E$1504,$B$3,业务流水!$D$5:$D$1504,"已交税",业务流水!$C$5:$C$1504,$A20,业务流水!$Z$5:$Z$1504,"是"))</f>
        <v>0</v>
      </c>
      <c r="J20" s="42" t="n">
        <f aca="false">IF($A20="","",$H20-$I20)</f>
        <v>0</v>
      </c>
      <c r="K20" s="41" t="n">
        <f aca="false">IF($A20="","",SUMIFS(业务流水!$H$5:$H$1504,业务流水!$F$5:$F$1504,$B$3,业务流水!$D$5:$D$1504,"挂靠代收",业务流水!$C$5:$C$1504,$A20,业务流水!$Z$5:$Z$1504,"是"))</f>
        <v>0</v>
      </c>
      <c r="L20" s="42" t="n">
        <f aca="false">IF($A20="","",$C20-$K20)</f>
        <v>0</v>
      </c>
      <c r="M20" s="41" t="n">
        <f aca="false">IF($A20="","",SUMIFS(业务流水!$H$5:$H$1504,业务流水!$E$5:$E$1504,$B$3,业务流水!$D$5:$D$1504,"我方收款",业务流水!$C$5:$C$1504,$A20,业务流水!$Z$5:$Z$1504,"是"))</f>
        <v>0</v>
      </c>
      <c r="N20" s="43" t="n">
        <f aca="false">IF($A20="","",$K20-$M20)</f>
        <v>0</v>
      </c>
      <c r="O20" s="41" t="n">
        <f aca="false">IF($A20="","",SUMIFS(业务流水!$H$5:$H$1504,业务流水!$F$5:$F$1504,$B$3,业务流水!$D$5:$D$1504,"管理费结算",业务流水!$C$5:$C$1504,$A20,业务流水!$Z$5:$Z$1504,"是"))</f>
        <v>0</v>
      </c>
      <c r="P20" s="41" t="n">
        <f aca="false">IF($A20="","",SUMIFS(业务流水!$H$5:$H$1504,业务流水!$E$5:$E$1504,$B$3,业务流水!$D$5:$D$1504,"扣质保金",业务流水!$C$5:$C$1504,$A20,业务流水!$Z$5:$Z$1504,"是"))</f>
        <v>0</v>
      </c>
      <c r="Q20" s="48" t="str">
        <f aca="false">IF($A20="","",IF(SUM($C20:$F20)+SUM($K20:$M20)=0,"无","有"))</f>
        <v>无</v>
      </c>
    </row>
    <row r="21" customFormat="false" ht="15.75" hidden="false" customHeight="true" outlineLevel="0" collapsed="false">
      <c r="A21" s="32" t="str">
        <f aca="false">IF(项目档案!$A21="","",项目档案!$A21)</f>
        <v>A016</v>
      </c>
      <c r="B21" s="40" t="str">
        <f aca="false">IF($A21="","",项目档案!$B21)</f>
        <v>2025-2026年度工程用特种设备租赁服务框架采购、峰盛模具ZBW-250KVA箱变拆除工程（机械费）</v>
      </c>
      <c r="C21" s="41" t="n">
        <f aca="false">IF($A21="","",SUMIFS(业务流水!$H$5:$H$1504,业务流水!$E$5:$E$1504,$B$3,业务流水!$D$5:$D$1504,"销项开票",业务流水!$C$5:$C$1504,$A21,业务流水!$Z$5:$Z$1504,"是"))</f>
        <v>0</v>
      </c>
      <c r="D21" s="41" t="n">
        <f aca="false">IF($A21="","",SUMIFS(业务流水!$O$5:$O$1504,业务流水!$E$5:$E$1504,$B$3,业务流水!$D$5:$D$1504,"销项开票",业务流水!$C$5:$C$1504,$A21,业务流水!$Z$5:$Z$1504,"是"))</f>
        <v>0</v>
      </c>
      <c r="E21" s="41" t="n">
        <f aca="false">IF($A21="","",SUMIFS(业务流水!$P$5:$P$1504,业务流水!$E$5:$E$1504,$B$3,业务流水!$D$5:$D$1504,"销项开票",业务流水!$C$5:$C$1504,$A21,业务流水!$Z$5:$Z$1504,"是"))</f>
        <v>0</v>
      </c>
      <c r="F21" s="41" t="n">
        <f aca="false">IF($A21="","",SUMIFS(业务流水!$H$5:$H$1504,业务流水!$F$5:$F$1504,$B$3,业务流水!$D$5:$D$1504,"成本票",业务流水!$C$5:$C$1504,$A21,业务流水!$Z$5:$Z$1504,"是")+SUMIFS(业务流水!$H$5:$H$1504,业务流水!$F$5:$F$1504,$B$3,业务流水!$D$5:$D$1504,"销项开票",业务流水!$C$5:$C$1504,$A21,业务流水!$Z$5:$Z$1504,"是"))</f>
        <v>0</v>
      </c>
      <c r="G21" s="42" t="n">
        <f aca="false">IF($A21="","",$E21-$F21)</f>
        <v>0</v>
      </c>
      <c r="H21" s="41" t="n">
        <f aca="false">IF($A21="","",SUMIFS(业务流水!$W$5:$W$1504,业务流水!$E$5:$E$1504,$B$3,业务流水!$D$5:$D$1504,"销项开票",业务流水!$C$5:$C$1504,$A21,业务流水!$Z$5:$Z$1504,"是"))</f>
        <v>0</v>
      </c>
      <c r="I21" s="41" t="n">
        <f aca="false">IF($A21="","",SUMIFS(业务流水!$H$5:$H$1504,业务流水!$E$5:$E$1504,$B$3,业务流水!$D$5:$D$1504,"已交税",业务流水!$C$5:$C$1504,$A21,业务流水!$Z$5:$Z$1504,"是"))</f>
        <v>0</v>
      </c>
      <c r="J21" s="42" t="n">
        <f aca="false">IF($A21="","",$H21-$I21)</f>
        <v>0</v>
      </c>
      <c r="K21" s="41" t="n">
        <f aca="false">IF($A21="","",SUMIFS(业务流水!$H$5:$H$1504,业务流水!$F$5:$F$1504,$B$3,业务流水!$D$5:$D$1504,"挂靠代收",业务流水!$C$5:$C$1504,$A21,业务流水!$Z$5:$Z$1504,"是"))</f>
        <v>0</v>
      </c>
      <c r="L21" s="42" t="n">
        <f aca="false">IF($A21="","",$C21-$K21)</f>
        <v>0</v>
      </c>
      <c r="M21" s="41" t="n">
        <f aca="false">IF($A21="","",SUMIFS(业务流水!$H$5:$H$1504,业务流水!$E$5:$E$1504,$B$3,业务流水!$D$5:$D$1504,"我方收款",业务流水!$C$5:$C$1504,$A21,业务流水!$Z$5:$Z$1504,"是"))</f>
        <v>0</v>
      </c>
      <c r="N21" s="43" t="n">
        <f aca="false">IF($A21="","",$K21-$M21)</f>
        <v>0</v>
      </c>
      <c r="O21" s="41" t="n">
        <f aca="false">IF($A21="","",SUMIFS(业务流水!$H$5:$H$1504,业务流水!$F$5:$F$1504,$B$3,业务流水!$D$5:$D$1504,"管理费结算",业务流水!$C$5:$C$1504,$A21,业务流水!$Z$5:$Z$1504,"是"))</f>
        <v>0</v>
      </c>
      <c r="P21" s="41" t="n">
        <f aca="false">IF($A21="","",SUMIFS(业务流水!$H$5:$H$1504,业务流水!$E$5:$E$1504,$B$3,业务流水!$D$5:$D$1504,"扣质保金",业务流水!$C$5:$C$1504,$A21,业务流水!$Z$5:$Z$1504,"是"))</f>
        <v>0</v>
      </c>
      <c r="Q21" s="48" t="str">
        <f aca="false">IF($A21="","",IF(SUM($C21:$F21)+SUM($K21:$M21)=0,"无","有"))</f>
        <v>无</v>
      </c>
    </row>
    <row r="22" customFormat="false" ht="15.75" hidden="false" customHeight="true" outlineLevel="0" collapsed="false">
      <c r="A22" s="32" t="str">
        <f aca="false">IF(项目档案!$A22="","",项目档案!$A22)</f>
        <v>A017</v>
      </c>
      <c r="B22" s="40" t="str">
        <f aca="false">IF($A22="","",项目档案!$B22)</f>
        <v>重庆民能实业有限公司2025-2026年度工程用特种设备租赁服务框架采购-铜梁公司2025年成本类优化营商环境项目（平滩所何银强等5个低压业扩工程）</v>
      </c>
      <c r="C22" s="41" t="n">
        <f aca="false">IF($A22="","",SUMIFS(业务流水!$H$5:$H$1504,业务流水!$E$5:$E$1504,$B$3,业务流水!$D$5:$D$1504,"销项开票",业务流水!$C$5:$C$1504,$A22,业务流水!$Z$5:$Z$1504,"是"))</f>
        <v>16859.55</v>
      </c>
      <c r="D22" s="41" t="n">
        <f aca="false">IF($A22="","",SUMIFS(业务流水!$O$5:$O$1504,业务流水!$E$5:$E$1504,$B$3,业务流水!$D$5:$D$1504,"销项开票",业务流水!$C$5:$C$1504,$A22,业务流水!$Z$5:$Z$1504,"是"))</f>
        <v>337.19</v>
      </c>
      <c r="E22" s="41" t="n">
        <f aca="false">IF($A22="","",SUMIFS(业务流水!$P$5:$P$1504,业务流水!$E$5:$E$1504,$B$3,业务流水!$D$5:$D$1504,"销项开票",业务流水!$C$5:$C$1504,$A22,业务流水!$Z$5:$Z$1504,"是"))</f>
        <v>16522.36</v>
      </c>
      <c r="F22" s="41" t="n">
        <f aca="false">IF($A22="","",SUMIFS(业务流水!$H$5:$H$1504,业务流水!$F$5:$F$1504,$B$3,业务流水!$D$5:$D$1504,"成本票",业务流水!$C$5:$C$1504,$A22,业务流水!$Z$5:$Z$1504,"是")+SUMIFS(业务流水!$H$5:$H$1504,业务流水!$F$5:$F$1504,$B$3,业务流水!$D$5:$D$1504,"销项开票",业务流水!$C$5:$C$1504,$A22,业务流水!$Z$5:$Z$1504,"是"))</f>
        <v>0</v>
      </c>
      <c r="G22" s="42" t="n">
        <f aca="false">IF($A22="","",$E22-$F22)</f>
        <v>16522.36</v>
      </c>
      <c r="H22" s="41" t="n">
        <f aca="false">IF($A22="","",SUMIFS(业务流水!$W$5:$W$1504,业务流水!$E$5:$E$1504,$B$3,业务流水!$D$5:$D$1504,"销项开票",业务流水!$C$5:$C$1504,$A22,业务流水!$Z$5:$Z$1504,"是"))</f>
        <v>553.25</v>
      </c>
      <c r="I22" s="41" t="n">
        <f aca="false">IF($A22="","",SUMIFS(业务流水!$H$5:$H$1504,业务流水!$E$5:$E$1504,$B$3,业务流水!$D$5:$D$1504,"已交税",业务流水!$C$5:$C$1504,$A22,业务流水!$Z$5:$Z$1504,"是"))</f>
        <v>0</v>
      </c>
      <c r="J22" s="42" t="n">
        <f aca="false">IF($A22="","",$H22-$I22)</f>
        <v>553.25</v>
      </c>
      <c r="K22" s="41" t="n">
        <f aca="false">IF($A22="","",SUMIFS(业务流水!$H$5:$H$1504,业务流水!$F$5:$F$1504,$B$3,业务流水!$D$5:$D$1504,"挂靠代收",业务流水!$C$5:$C$1504,$A22,业务流水!$Z$5:$Z$1504,"是"))</f>
        <v>16500</v>
      </c>
      <c r="L22" s="42" t="n">
        <f aca="false">IF($A22="","",$C22-$K22)</f>
        <v>359.549999999999</v>
      </c>
      <c r="M22" s="41" t="n">
        <f aca="false">IF($A22="","",SUMIFS(业务流水!$H$5:$H$1504,业务流水!$E$5:$E$1504,$B$3,业务流水!$D$5:$D$1504,"我方收款",业务流水!$C$5:$C$1504,$A22,业务流水!$Z$5:$Z$1504,"是"))</f>
        <v>0</v>
      </c>
      <c r="N22" s="43" t="n">
        <f aca="false">IF($A22="","",$K22-$M22)</f>
        <v>16500</v>
      </c>
      <c r="O22" s="41" t="n">
        <f aca="false">IF($A22="","",SUMIFS(业务流水!$H$5:$H$1504,业务流水!$F$5:$F$1504,$B$3,业务流水!$D$5:$D$1504,"管理费结算",业务流水!$C$5:$C$1504,$A22,业务流水!$Z$5:$Z$1504,"是"))</f>
        <v>0</v>
      </c>
      <c r="P22" s="41" t="n">
        <f aca="false">IF($A22="","",SUMIFS(业务流水!$H$5:$H$1504,业务流水!$E$5:$E$1504,$B$3,业务流水!$D$5:$D$1504,"扣质保金",业务流水!$C$5:$C$1504,$A22,业务流水!$Z$5:$Z$1504,"是"))</f>
        <v>0</v>
      </c>
      <c r="Q22" s="48" t="str">
        <f aca="false">IF($A22="","",IF(SUM($C22:$F22)+SUM($K22:$M22)=0,"无","有"))</f>
        <v>有</v>
      </c>
    </row>
    <row r="23" customFormat="false" ht="15.75" hidden="false" customHeight="true" outlineLevel="0" collapsed="false">
      <c r="A23" s="32" t="str">
        <f aca="false">IF(项目档案!$A23="","",项目档案!$A23)</f>
        <v>A018</v>
      </c>
      <c r="B23" s="40" t="str">
        <f aca="false">IF($A23="","",项目档案!$B23)</f>
        <v>重庆德誉佳实业有限公司2025-2026年度工程用特种设备租赁服务框架采购-铜梁公司2025年成本类优化营商环境项目（平滩所何银强等5个低压业扩工程）</v>
      </c>
      <c r="C23" s="41" t="n">
        <f aca="false">IF($A23="","",SUMIFS(业务流水!$H$5:$H$1504,业务流水!$E$5:$E$1504,$B$3,业务流水!$D$5:$D$1504,"销项开票",业务流水!$C$5:$C$1504,$A23,业务流水!$Z$5:$Z$1504,"是"))</f>
        <v>0</v>
      </c>
      <c r="D23" s="41" t="n">
        <f aca="false">IF($A23="","",SUMIFS(业务流水!$O$5:$O$1504,业务流水!$E$5:$E$1504,$B$3,业务流水!$D$5:$D$1504,"销项开票",业务流水!$C$5:$C$1504,$A23,业务流水!$Z$5:$Z$1504,"是"))</f>
        <v>0</v>
      </c>
      <c r="E23" s="41" t="n">
        <f aca="false">IF($A23="","",SUMIFS(业务流水!$P$5:$P$1504,业务流水!$E$5:$E$1504,$B$3,业务流水!$D$5:$D$1504,"销项开票",业务流水!$C$5:$C$1504,$A23,业务流水!$Z$5:$Z$1504,"是"))</f>
        <v>0</v>
      </c>
      <c r="F23" s="41" t="n">
        <f aca="false">IF($A23="","",SUMIFS(业务流水!$H$5:$H$1504,业务流水!$F$5:$F$1504,$B$3,业务流水!$D$5:$D$1504,"成本票",业务流水!$C$5:$C$1504,$A23,业务流水!$Z$5:$Z$1504,"是")+SUMIFS(业务流水!$H$5:$H$1504,业务流水!$F$5:$F$1504,$B$3,业务流水!$D$5:$D$1504,"销项开票",业务流水!$C$5:$C$1504,$A23,业务流水!$Z$5:$Z$1504,"是"))</f>
        <v>0</v>
      </c>
      <c r="G23" s="42" t="n">
        <f aca="false">IF($A23="","",$E23-$F23)</f>
        <v>0</v>
      </c>
      <c r="H23" s="41" t="n">
        <f aca="false">IF($A23="","",SUMIFS(业务流水!$W$5:$W$1504,业务流水!$E$5:$E$1504,$B$3,业务流水!$D$5:$D$1504,"销项开票",业务流水!$C$5:$C$1504,$A23,业务流水!$Z$5:$Z$1504,"是"))</f>
        <v>0</v>
      </c>
      <c r="I23" s="41" t="n">
        <f aca="false">IF($A23="","",SUMIFS(业务流水!$H$5:$H$1504,业务流水!$E$5:$E$1504,$B$3,业务流水!$D$5:$D$1504,"已交税",业务流水!$C$5:$C$1504,$A23,业务流水!$Z$5:$Z$1504,"是"))</f>
        <v>0</v>
      </c>
      <c r="J23" s="42" t="n">
        <f aca="false">IF($A23="","",$H23-$I23)</f>
        <v>0</v>
      </c>
      <c r="K23" s="41" t="n">
        <f aca="false">IF($A23="","",SUMIFS(业务流水!$H$5:$H$1504,业务流水!$F$5:$F$1504,$B$3,业务流水!$D$5:$D$1504,"挂靠代收",业务流水!$C$5:$C$1504,$A23,业务流水!$Z$5:$Z$1504,"是"))</f>
        <v>0</v>
      </c>
      <c r="L23" s="42" t="n">
        <f aca="false">IF($A23="","",$C23-$K23)</f>
        <v>0</v>
      </c>
      <c r="M23" s="41" t="n">
        <f aca="false">IF($A23="","",SUMIFS(业务流水!$H$5:$H$1504,业务流水!$E$5:$E$1504,$B$3,业务流水!$D$5:$D$1504,"我方收款",业务流水!$C$5:$C$1504,$A23,业务流水!$Z$5:$Z$1504,"是"))</f>
        <v>0</v>
      </c>
      <c r="N23" s="43" t="n">
        <f aca="false">IF($A23="","",$K23-$M23)</f>
        <v>0</v>
      </c>
      <c r="O23" s="41" t="n">
        <f aca="false">IF($A23="","",SUMIFS(业务流水!$H$5:$H$1504,业务流水!$F$5:$F$1504,$B$3,业务流水!$D$5:$D$1504,"管理费结算",业务流水!$C$5:$C$1504,$A23,业务流水!$Z$5:$Z$1504,"是"))</f>
        <v>0</v>
      </c>
      <c r="P23" s="41" t="n">
        <f aca="false">IF($A23="","",SUMIFS(业务流水!$H$5:$H$1504,业务流水!$E$5:$E$1504,$B$3,业务流水!$D$5:$D$1504,"扣质保金",业务流水!$C$5:$C$1504,$A23,业务流水!$Z$5:$Z$1504,"是"))</f>
        <v>0</v>
      </c>
      <c r="Q23" s="48" t="str">
        <f aca="false">IF($A23="","",IF(SUM($C23:$F23)+SUM($K23:$M23)=0,"无","有"))</f>
        <v>无</v>
      </c>
    </row>
    <row r="24" customFormat="false" ht="15.75" hidden="false" customHeight="true" outlineLevel="0" collapsed="false">
      <c r="A24" s="32" t="str">
        <f aca="false">IF(项目档案!$A24="","",项目档案!$A24)</f>
        <v>A019</v>
      </c>
      <c r="B24" s="40" t="str">
        <f aca="false">IF($A24="","",项目档案!$B24)</f>
        <v>重庆德誉佳实业有限公司2025-2026年度工程用施工机具等租赁服务框架采购（国网重庆铜梁公司110kV金湖东西电缆改造）</v>
      </c>
      <c r="C24" s="41" t="n">
        <f aca="false">IF($A24="","",SUMIFS(业务流水!$H$5:$H$1504,业务流水!$E$5:$E$1504,$B$3,业务流水!$D$5:$D$1504,"销项开票",业务流水!$C$5:$C$1504,$A24,业务流水!$Z$5:$Z$1504,"是"))</f>
        <v>0</v>
      </c>
      <c r="D24" s="41" t="n">
        <f aca="false">IF($A24="","",SUMIFS(业务流水!$O$5:$O$1504,业务流水!$E$5:$E$1504,$B$3,业务流水!$D$5:$D$1504,"销项开票",业务流水!$C$5:$C$1504,$A24,业务流水!$Z$5:$Z$1504,"是"))</f>
        <v>0</v>
      </c>
      <c r="E24" s="41" t="n">
        <f aca="false">IF($A24="","",SUMIFS(业务流水!$P$5:$P$1504,业务流水!$E$5:$E$1504,$B$3,业务流水!$D$5:$D$1504,"销项开票",业务流水!$C$5:$C$1504,$A24,业务流水!$Z$5:$Z$1504,"是"))</f>
        <v>0</v>
      </c>
      <c r="F24" s="41" t="n">
        <f aca="false">IF($A24="","",SUMIFS(业务流水!$H$5:$H$1504,业务流水!$F$5:$F$1504,$B$3,业务流水!$D$5:$D$1504,"成本票",业务流水!$C$5:$C$1504,$A24,业务流水!$Z$5:$Z$1504,"是")+SUMIFS(业务流水!$H$5:$H$1504,业务流水!$F$5:$F$1504,$B$3,业务流水!$D$5:$D$1504,"销项开票",业务流水!$C$5:$C$1504,$A24,业务流水!$Z$5:$Z$1504,"是"))</f>
        <v>0</v>
      </c>
      <c r="G24" s="42" t="n">
        <f aca="false">IF($A24="","",$E24-$F24)</f>
        <v>0</v>
      </c>
      <c r="H24" s="41" t="n">
        <f aca="false">IF($A24="","",SUMIFS(业务流水!$W$5:$W$1504,业务流水!$E$5:$E$1504,$B$3,业务流水!$D$5:$D$1504,"销项开票",业务流水!$C$5:$C$1504,$A24,业务流水!$Z$5:$Z$1504,"是"))</f>
        <v>0</v>
      </c>
      <c r="I24" s="41" t="n">
        <f aca="false">IF($A24="","",SUMIFS(业务流水!$H$5:$H$1504,业务流水!$E$5:$E$1504,$B$3,业务流水!$D$5:$D$1504,"已交税",业务流水!$C$5:$C$1504,$A24,业务流水!$Z$5:$Z$1504,"是"))</f>
        <v>0</v>
      </c>
      <c r="J24" s="42" t="n">
        <f aca="false">IF($A24="","",$H24-$I24)</f>
        <v>0</v>
      </c>
      <c r="K24" s="41" t="n">
        <f aca="false">IF($A24="","",SUMIFS(业务流水!$H$5:$H$1504,业务流水!$F$5:$F$1504,$B$3,业务流水!$D$5:$D$1504,"挂靠代收",业务流水!$C$5:$C$1504,$A24,业务流水!$Z$5:$Z$1504,"是"))</f>
        <v>0</v>
      </c>
      <c r="L24" s="42" t="n">
        <f aca="false">IF($A24="","",$C24-$K24)</f>
        <v>0</v>
      </c>
      <c r="M24" s="41" t="n">
        <f aca="false">IF($A24="","",SUMIFS(业务流水!$H$5:$H$1504,业务流水!$E$5:$E$1504,$B$3,业务流水!$D$5:$D$1504,"我方收款",业务流水!$C$5:$C$1504,$A24,业务流水!$Z$5:$Z$1504,"是"))</f>
        <v>0</v>
      </c>
      <c r="N24" s="43" t="n">
        <f aca="false">IF($A24="","",$K24-$M24)</f>
        <v>0</v>
      </c>
      <c r="O24" s="41" t="n">
        <f aca="false">IF($A24="","",SUMIFS(业务流水!$H$5:$H$1504,业务流水!$F$5:$F$1504,$B$3,业务流水!$D$5:$D$1504,"管理费结算",业务流水!$C$5:$C$1504,$A24,业务流水!$Z$5:$Z$1504,"是"))</f>
        <v>0</v>
      </c>
      <c r="P24" s="41" t="n">
        <f aca="false">IF($A24="","",SUMIFS(业务流水!$H$5:$H$1504,业务流水!$E$5:$E$1504,$B$3,业务流水!$D$5:$D$1504,"扣质保金",业务流水!$C$5:$C$1504,$A24,业务流水!$Z$5:$Z$1504,"是"))</f>
        <v>0</v>
      </c>
      <c r="Q24" s="48" t="str">
        <f aca="false">IF($A24="","",IF(SUM($C24:$F24)+SUM($K24:$M24)=0,"无","有"))</f>
        <v>无</v>
      </c>
    </row>
    <row r="25" customFormat="false" ht="15.75" hidden="false" customHeight="true" outlineLevel="0" collapsed="false">
      <c r="A25" s="32" t="str">
        <f aca="false">IF(项目档案!$A25="","",项目档案!$A25)</f>
        <v>A020</v>
      </c>
      <c r="B25" s="40" t="str">
        <f aca="false">IF($A25="","",项目档案!$B25)</f>
        <v>重庆民能实业有限公司2025-2026年度工程用施工机具等租赁服务框架采购（国网重庆铜梁公司110kV金湖东西电缆改造）</v>
      </c>
      <c r="C25" s="41" t="n">
        <f aca="false">IF($A25="","",SUMIFS(业务流水!$H$5:$H$1504,业务流水!$E$5:$E$1504,$B$3,业务流水!$D$5:$D$1504,"销项开票",业务流水!$C$5:$C$1504,$A25,业务流水!$Z$5:$Z$1504,"是"))</f>
        <v>200745.45</v>
      </c>
      <c r="D25" s="41" t="n">
        <f aca="false">IF($A25="","",SUMIFS(业务流水!$O$5:$O$1504,业务流水!$E$5:$E$1504,$B$3,业务流水!$D$5:$D$1504,"销项开票",业务流水!$C$5:$C$1504,$A25,业务流水!$Z$5:$Z$1504,"是"))</f>
        <v>4014.91</v>
      </c>
      <c r="E25" s="41" t="n">
        <f aca="false">IF($A25="","",SUMIFS(业务流水!$P$5:$P$1504,业务流水!$E$5:$E$1504,$B$3,业务流水!$D$5:$D$1504,"销项开票",业务流水!$C$5:$C$1504,$A25,业务流水!$Z$5:$Z$1504,"是"))</f>
        <v>196730.54</v>
      </c>
      <c r="F25" s="41" t="n">
        <f aca="false">IF($A25="","",SUMIFS(业务流水!$H$5:$H$1504,业务流水!$F$5:$F$1504,$B$3,业务流水!$D$5:$D$1504,"成本票",业务流水!$C$5:$C$1504,$A25,业务流水!$Z$5:$Z$1504,"是")+SUMIFS(业务流水!$H$5:$H$1504,业务流水!$F$5:$F$1504,$B$3,业务流水!$D$5:$D$1504,"销项开票",业务流水!$C$5:$C$1504,$A25,业务流水!$Z$5:$Z$1504,"是"))</f>
        <v>102882.15</v>
      </c>
      <c r="G25" s="42" t="n">
        <f aca="false">IF($A25="","",$E25-$F25)</f>
        <v>93848.39</v>
      </c>
      <c r="H25" s="41" t="n">
        <f aca="false">IF($A25="","",SUMIFS(业务流水!$W$5:$W$1504,业务流水!$E$5:$E$1504,$B$3,业务流水!$D$5:$D$1504,"销项开票",业务流水!$C$5:$C$1504,$A25,业务流水!$Z$5:$Z$1504,"是"))</f>
        <v>6587.56</v>
      </c>
      <c r="I25" s="41" t="n">
        <f aca="false">IF($A25="","",SUMIFS(业务流水!$H$5:$H$1504,业务流水!$E$5:$E$1504,$B$3,业务流水!$D$5:$D$1504,"已交税",业务流水!$C$5:$C$1504,$A25,业务流水!$Z$5:$Z$1504,"是"))</f>
        <v>3211.43</v>
      </c>
      <c r="J25" s="42" t="n">
        <f aca="false">IF($A25="","",$H25-$I25)</f>
        <v>3376.13</v>
      </c>
      <c r="K25" s="41" t="n">
        <f aca="false">IF($A25="","",SUMIFS(业务流水!$H$5:$H$1504,业务流水!$F$5:$F$1504,$B$3,业务流水!$D$5:$D$1504,"挂靠代收",业务流水!$C$5:$C$1504,$A25,业务流水!$Z$5:$Z$1504,"是"))</f>
        <v>192000</v>
      </c>
      <c r="L25" s="42" t="n">
        <f aca="false">IF($A25="","",$C25-$K25)</f>
        <v>8745.44999999998</v>
      </c>
      <c r="M25" s="41" t="n">
        <f aca="false">IF($A25="","",SUMIFS(业务流水!$H$5:$H$1504,业务流水!$E$5:$E$1504,$B$3,业务流水!$D$5:$D$1504,"我方收款",业务流水!$C$5:$C$1504,$A25,业务流水!$Z$5:$Z$1504,"是"))</f>
        <v>192000</v>
      </c>
      <c r="N25" s="43" t="n">
        <f aca="false">IF($A25="","",$K25-$M25)</f>
        <v>0</v>
      </c>
      <c r="O25" s="41" t="n">
        <f aca="false">IF($A25="","",SUMIFS(业务流水!$H$5:$H$1504,业务流水!$F$5:$F$1504,$B$3,业务流水!$D$5:$D$1504,"管理费结算",业务流水!$C$5:$C$1504,$A25,业务流水!$Z$5:$Z$1504,"是"))</f>
        <v>0</v>
      </c>
      <c r="P25" s="41" t="n">
        <f aca="false">IF($A25="","",SUMIFS(业务流水!$H$5:$H$1504,业务流水!$E$5:$E$1504,$B$3,业务流水!$D$5:$D$1504,"扣质保金",业务流水!$C$5:$C$1504,$A25,业务流水!$Z$5:$Z$1504,"是"))</f>
        <v>0</v>
      </c>
      <c r="Q25" s="48" t="str">
        <f aca="false">IF($A25="","",IF(SUM($C25:$F25)+SUM($K25:$M25)=0,"无","有"))</f>
        <v>有</v>
      </c>
    </row>
    <row r="26" customFormat="false" ht="15.75" hidden="false" customHeight="true" outlineLevel="0" collapsed="false">
      <c r="A26" s="32" t="str">
        <f aca="false">IF(项目档案!$A26="","",项目档案!$A26)</f>
        <v>A021</v>
      </c>
      <c r="B26" s="40" t="str">
        <f aca="false">IF($A26="","",项目档案!$B26)</f>
        <v>铜梁区园区屋顶分布式光伏发电建设项目-10kV电力新建工程（康欣3W，泓普7W）</v>
      </c>
      <c r="C26" s="41" t="n">
        <f aca="false">IF($A26="","",SUMIFS(业务流水!$H$5:$H$1504,业务流水!$E$5:$E$1504,$B$3,业务流水!$D$5:$D$1504,"销项开票",业务流水!$C$5:$C$1504,$A26,业务流水!$Z$5:$Z$1504,"是"))</f>
        <v>0</v>
      </c>
      <c r="D26" s="41" t="n">
        <f aca="false">IF($A26="","",SUMIFS(业务流水!$O$5:$O$1504,业务流水!$E$5:$E$1504,$B$3,业务流水!$D$5:$D$1504,"销项开票",业务流水!$C$5:$C$1504,$A26,业务流水!$Z$5:$Z$1504,"是"))</f>
        <v>0</v>
      </c>
      <c r="E26" s="41" t="n">
        <f aca="false">IF($A26="","",SUMIFS(业务流水!$P$5:$P$1504,业务流水!$E$5:$E$1504,$B$3,业务流水!$D$5:$D$1504,"销项开票",业务流水!$C$5:$C$1504,$A26,业务流水!$Z$5:$Z$1504,"是"))</f>
        <v>0</v>
      </c>
      <c r="F26" s="41" t="n">
        <f aca="false">IF($A26="","",SUMIFS(业务流水!$H$5:$H$1504,业务流水!$F$5:$F$1504,$B$3,业务流水!$D$5:$D$1504,"成本票",业务流水!$C$5:$C$1504,$A26,业务流水!$Z$5:$Z$1504,"是")+SUMIFS(业务流水!$H$5:$H$1504,业务流水!$F$5:$F$1504,$B$3,业务流水!$D$5:$D$1504,"销项开票",业务流水!$C$5:$C$1504,$A26,业务流水!$Z$5:$Z$1504,"是"))</f>
        <v>0</v>
      </c>
      <c r="G26" s="42" t="n">
        <f aca="false">IF($A26="","",$E26-$F26)</f>
        <v>0</v>
      </c>
      <c r="H26" s="41" t="n">
        <f aca="false">IF($A26="","",SUMIFS(业务流水!$W$5:$W$1504,业务流水!$E$5:$E$1504,$B$3,业务流水!$D$5:$D$1504,"销项开票",业务流水!$C$5:$C$1504,$A26,业务流水!$Z$5:$Z$1504,"是"))</f>
        <v>0</v>
      </c>
      <c r="I26" s="41" t="n">
        <f aca="false">IF($A26="","",SUMIFS(业务流水!$H$5:$H$1504,业务流水!$E$5:$E$1504,$B$3,业务流水!$D$5:$D$1504,"已交税",业务流水!$C$5:$C$1504,$A26,业务流水!$Z$5:$Z$1504,"是"))</f>
        <v>0</v>
      </c>
      <c r="J26" s="42" t="n">
        <f aca="false">IF($A26="","",$H26-$I26)</f>
        <v>0</v>
      </c>
      <c r="K26" s="41" t="n">
        <f aca="false">IF($A26="","",SUMIFS(业务流水!$H$5:$H$1504,业务流水!$F$5:$F$1504,$B$3,业务流水!$D$5:$D$1504,"挂靠代收",业务流水!$C$5:$C$1504,$A26,业务流水!$Z$5:$Z$1504,"是"))</f>
        <v>0</v>
      </c>
      <c r="L26" s="42" t="n">
        <f aca="false">IF($A26="","",$C26-$K26)</f>
        <v>0</v>
      </c>
      <c r="M26" s="41" t="n">
        <f aca="false">IF($A26="","",SUMIFS(业务流水!$H$5:$H$1504,业务流水!$E$5:$E$1504,$B$3,业务流水!$D$5:$D$1504,"我方收款",业务流水!$C$5:$C$1504,$A26,业务流水!$Z$5:$Z$1504,"是"))</f>
        <v>0</v>
      </c>
      <c r="N26" s="43" t="n">
        <f aca="false">IF($A26="","",$K26-$M26)</f>
        <v>0</v>
      </c>
      <c r="O26" s="41" t="n">
        <f aca="false">IF($A26="","",SUMIFS(业务流水!$H$5:$H$1504,业务流水!$F$5:$F$1504,$B$3,业务流水!$D$5:$D$1504,"管理费结算",业务流水!$C$5:$C$1504,$A26,业务流水!$Z$5:$Z$1504,"是"))</f>
        <v>0</v>
      </c>
      <c r="P26" s="41" t="n">
        <f aca="false">IF($A26="","",SUMIFS(业务流水!$H$5:$H$1504,业务流水!$E$5:$E$1504,$B$3,业务流水!$D$5:$D$1504,"扣质保金",业务流水!$C$5:$C$1504,$A26,业务流水!$Z$5:$Z$1504,"是"))</f>
        <v>0</v>
      </c>
      <c r="Q26" s="48" t="str">
        <f aca="false">IF($A26="","",IF(SUM($C26:$F26)+SUM($K26:$M26)=0,"无","有"))</f>
        <v>无</v>
      </c>
    </row>
    <row r="27" customFormat="false" ht="15.75" hidden="false" customHeight="true" outlineLevel="0" collapsed="false">
      <c r="A27" s="32" t="str">
        <f aca="false">IF(项目档案!$A27="","",项目档案!$A27)</f>
        <v>A022</v>
      </c>
      <c r="B27" s="40" t="str">
        <f aca="false">IF($A27="","",项目档案!$B27)</f>
        <v>铜梁区园区屋顶分布式光伏发电建设项目-10kV电力新建工程（康欣3W，泓普6W）</v>
      </c>
      <c r="C27" s="41" t="n">
        <f aca="false">IF($A27="","",SUMIFS(业务流水!$H$5:$H$1504,业务流水!$E$5:$E$1504,$B$3,业务流水!$D$5:$D$1504,"销项开票",业务流水!$C$5:$C$1504,$A27,业务流水!$Z$5:$Z$1504,"是"))</f>
        <v>136500</v>
      </c>
      <c r="D27" s="41" t="n">
        <f aca="false">IF($A27="","",SUMIFS(业务流水!$O$5:$O$1504,业务流水!$E$5:$E$1504,$B$3,业务流水!$D$5:$D$1504,"销项开票",业务流水!$C$5:$C$1504,$A27,业务流水!$Z$5:$Z$1504,"是"))</f>
        <v>4830</v>
      </c>
      <c r="E27" s="41" t="n">
        <f aca="false">IF($A27="","",SUMIFS(业务流水!$P$5:$P$1504,业务流水!$E$5:$E$1504,$B$3,业务流水!$D$5:$D$1504,"销项开票",业务流水!$C$5:$C$1504,$A27,业务流水!$Z$5:$Z$1504,"是"))</f>
        <v>131670</v>
      </c>
      <c r="F27" s="41" t="n">
        <f aca="false">IF($A27="","",SUMIFS(业务流水!$H$5:$H$1504,业务流水!$F$5:$F$1504,$B$3,业务流水!$D$5:$D$1504,"成本票",业务流水!$C$5:$C$1504,$A27,业务流水!$Z$5:$Z$1504,"是")+SUMIFS(业务流水!$H$5:$H$1504,业务流水!$F$5:$F$1504,$B$3,业务流水!$D$5:$D$1504,"销项开票",业务流水!$C$5:$C$1504,$A27,业务流水!$Z$5:$Z$1504,"是"))</f>
        <v>0</v>
      </c>
      <c r="G27" s="42" t="n">
        <f aca="false">IF($A27="","",$E27-$F27)</f>
        <v>131670</v>
      </c>
      <c r="H27" s="41" t="n">
        <f aca="false">IF($A27="","",SUMIFS(业务流水!$W$5:$W$1504,业务流水!$E$5:$E$1504,$B$3,业务流水!$D$5:$D$1504,"销项开票",业务流水!$C$5:$C$1504,$A27,业务流水!$Z$5:$Z$1504,"是"))</f>
        <v>4479.31</v>
      </c>
      <c r="I27" s="41" t="n">
        <f aca="false">IF($A27="","",SUMIFS(业务流水!$H$5:$H$1504,业务流水!$E$5:$E$1504,$B$3,业务流水!$D$5:$D$1504,"已交税",业务流水!$C$5:$C$1504,$A27,业务流水!$Z$5:$Z$1504,"是"))</f>
        <v>0</v>
      </c>
      <c r="J27" s="42" t="n">
        <f aca="false">IF($A27="","",$H27-$I27)</f>
        <v>4479.31</v>
      </c>
      <c r="K27" s="41" t="n">
        <f aca="false">IF($A27="","",SUMIFS(业务流水!$H$5:$H$1504,业务流水!$F$5:$F$1504,$B$3,业务流水!$D$5:$D$1504,"挂靠代收",业务流水!$C$5:$C$1504,$A27,业务流水!$Z$5:$Z$1504,"是"))</f>
        <v>70000</v>
      </c>
      <c r="L27" s="42" t="n">
        <f aca="false">IF($A27="","",$C27-$K27)</f>
        <v>66500</v>
      </c>
      <c r="M27" s="41" t="n">
        <f aca="false">IF($A27="","",SUMIFS(业务流水!$H$5:$H$1504,业务流水!$E$5:$E$1504,$B$3,业务流水!$D$5:$D$1504,"我方收款",业务流水!$C$5:$C$1504,$A27,业务流水!$Z$5:$Z$1504,"是"))</f>
        <v>74539.92</v>
      </c>
      <c r="N27" s="43" t="n">
        <f aca="false">IF($A27="","",$K27-$M27)</f>
        <v>-4539.92</v>
      </c>
      <c r="O27" s="41" t="n">
        <f aca="false">IF($A27="","",SUMIFS(业务流水!$H$5:$H$1504,业务流水!$F$5:$F$1504,$B$3,业务流水!$D$5:$D$1504,"管理费结算",业务流水!$C$5:$C$1504,$A27,业务流水!$Z$5:$Z$1504,"是"))</f>
        <v>3500</v>
      </c>
      <c r="P27" s="41" t="n">
        <f aca="false">IF($A27="","",SUMIFS(业务流水!$H$5:$H$1504,业务流水!$E$5:$E$1504,$B$3,业务流水!$D$5:$D$1504,"扣质保金",业务流水!$C$5:$C$1504,$A27,业务流水!$Z$5:$Z$1504,"是"))</f>
        <v>0</v>
      </c>
      <c r="Q27" s="48" t="str">
        <f aca="false">IF($A27="","",IF(SUM($C27:$F27)+SUM($K27:$M27)=0,"无","有"))</f>
        <v>有</v>
      </c>
    </row>
    <row r="28" customFormat="false" ht="15.75" hidden="false" customHeight="true" outlineLevel="0" collapsed="false">
      <c r="A28" s="32" t="str">
        <f aca="false">IF(项目档案!$A28="","",项目档案!$A28)</f>
        <v>A023</v>
      </c>
      <c r="B28" s="40" t="str">
        <f aca="false">IF($A28="","",项目档案!$B28)</f>
        <v>围龙镇巴岳农庄项目(桥亭水云居项目)双电源工程</v>
      </c>
      <c r="C28" s="41" t="n">
        <f aca="false">IF($A28="","",SUMIFS(业务流水!$H$5:$H$1504,业务流水!$E$5:$E$1504,$B$3,业务流水!$D$5:$D$1504,"销项开票",业务流水!$C$5:$C$1504,$A28,业务流水!$Z$5:$Z$1504,"是"))</f>
        <v>50000</v>
      </c>
      <c r="D28" s="41" t="n">
        <f aca="false">IF($A28="","",SUMIFS(业务流水!$O$5:$O$1504,业务流水!$E$5:$E$1504,$B$3,业务流水!$D$5:$D$1504,"销项开票",业务流水!$C$5:$C$1504,$A28,业务流水!$Z$5:$Z$1504,"是"))</f>
        <v>1000</v>
      </c>
      <c r="E28" s="41" t="n">
        <f aca="false">IF($A28="","",SUMIFS(业务流水!$P$5:$P$1504,业务流水!$E$5:$E$1504,$B$3,业务流水!$D$5:$D$1504,"销项开票",业务流水!$C$5:$C$1504,$A28,业务流水!$Z$5:$Z$1504,"是"))</f>
        <v>49000</v>
      </c>
      <c r="F28" s="41" t="n">
        <f aca="false">IF($A28="","",SUMIFS(业务流水!$H$5:$H$1504,业务流水!$F$5:$F$1504,$B$3,业务流水!$D$5:$D$1504,"成本票",业务流水!$C$5:$C$1504,$A28,业务流水!$Z$5:$Z$1504,"是")+SUMIFS(业务流水!$H$5:$H$1504,业务流水!$F$5:$F$1504,$B$3,业务流水!$D$5:$D$1504,"销项开票",业务流水!$C$5:$C$1504,$A28,业务流水!$Z$5:$Z$1504,"是"))</f>
        <v>50000</v>
      </c>
      <c r="G28" s="42" t="n">
        <f aca="false">IF($A28="","",$E28-$F28)</f>
        <v>-1000</v>
      </c>
      <c r="H28" s="41" t="n">
        <f aca="false">IF($A28="","",SUMIFS(业务流水!$W$5:$W$1504,业务流水!$E$5:$E$1504,$B$3,业务流水!$D$5:$D$1504,"销项开票",业务流水!$C$5:$C$1504,$A28,业务流水!$Z$5:$Z$1504,"是"))</f>
        <v>1640.78</v>
      </c>
      <c r="I28" s="41" t="n">
        <f aca="false">IF($A28="","",SUMIFS(业务流水!$H$5:$H$1504,业务流水!$E$5:$E$1504,$B$3,业务流水!$D$5:$D$1504,"已交税",业务流水!$C$5:$C$1504,$A28,业务流水!$Z$5:$Z$1504,"是"))</f>
        <v>0</v>
      </c>
      <c r="J28" s="42" t="n">
        <f aca="false">IF($A28="","",$H28-$I28)</f>
        <v>1640.78</v>
      </c>
      <c r="K28" s="41" t="n">
        <f aca="false">IF($A28="","",SUMIFS(业务流水!$H$5:$H$1504,业务流水!$F$5:$F$1504,$B$3,业务流水!$D$5:$D$1504,"挂靠代收",业务流水!$C$5:$C$1504,$A28,业务流水!$Z$5:$Z$1504,"是"))</f>
        <v>0</v>
      </c>
      <c r="L28" s="42" t="n">
        <f aca="false">IF($A28="","",$C28-$K28)</f>
        <v>50000</v>
      </c>
      <c r="M28" s="41" t="n">
        <f aca="false">IF($A28="","",SUMIFS(业务流水!$H$5:$H$1504,业务流水!$E$5:$E$1504,$B$3,业务流水!$D$5:$D$1504,"我方收款",业务流水!$C$5:$C$1504,$A28,业务流水!$Z$5:$Z$1504,"是"))</f>
        <v>3300.86</v>
      </c>
      <c r="N28" s="43" t="n">
        <f aca="false">IF($A28="","",$K28-$M28)</f>
        <v>-3300.86</v>
      </c>
      <c r="O28" s="41" t="n">
        <f aca="false">IF($A28="","",SUMIFS(业务流水!$H$5:$H$1504,业务流水!$F$5:$F$1504,$B$3,业务流水!$D$5:$D$1504,"管理费结算",业务流水!$C$5:$C$1504,$A28,业务流水!$Z$5:$Z$1504,"是"))</f>
        <v>0</v>
      </c>
      <c r="P28" s="41" t="n">
        <f aca="false">IF($A28="","",SUMIFS(业务流水!$H$5:$H$1504,业务流水!$E$5:$E$1504,$B$3,业务流水!$D$5:$D$1504,"扣质保金",业务流水!$C$5:$C$1504,$A28,业务流水!$Z$5:$Z$1504,"是"))</f>
        <v>0</v>
      </c>
      <c r="Q28" s="48" t="str">
        <f aca="false">IF($A28="","",IF(SUM($C28:$F28)+SUM($K28:$M28)=0,"无","有"))</f>
        <v>有</v>
      </c>
    </row>
    <row r="29" customFormat="false" ht="15.75" hidden="false" customHeight="true" outlineLevel="0" collapsed="false">
      <c r="A29" s="32" t="str">
        <f aca="false">IF(项目档案!$A29="","",项目档案!$A29)</f>
        <v>A024</v>
      </c>
      <c r="B29" s="40" t="str">
        <f aca="false">IF($A29="","",项目档案!$B29)</f>
        <v>铜梁公司2026年配电专业应急抢修抢险等外包项目（黄荆4社等台区4个隐患治理项目、三湾1.2社等台区2个应急抢修项目)</v>
      </c>
      <c r="C29" s="41" t="n">
        <f aca="false">IF($A29="","",SUMIFS(业务流水!$H$5:$H$1504,业务流水!$E$5:$E$1504,$B$3,业务流水!$D$5:$D$1504,"销项开票",业务流水!$C$5:$C$1504,$A29,业务流水!$Z$5:$Z$1504,"是"))</f>
        <v>0</v>
      </c>
      <c r="D29" s="41" t="n">
        <f aca="false">IF($A29="","",SUMIFS(业务流水!$O$5:$O$1504,业务流水!$E$5:$E$1504,$B$3,业务流水!$D$5:$D$1504,"销项开票",业务流水!$C$5:$C$1504,$A29,业务流水!$Z$5:$Z$1504,"是"))</f>
        <v>0</v>
      </c>
      <c r="E29" s="41" t="n">
        <f aca="false">IF($A29="","",SUMIFS(业务流水!$P$5:$P$1504,业务流水!$E$5:$E$1504,$B$3,业务流水!$D$5:$D$1504,"销项开票",业务流水!$C$5:$C$1504,$A29,业务流水!$Z$5:$Z$1504,"是"))</f>
        <v>0</v>
      </c>
      <c r="F29" s="41" t="n">
        <f aca="false">IF($A29="","",SUMIFS(业务流水!$H$5:$H$1504,业务流水!$F$5:$F$1504,$B$3,业务流水!$D$5:$D$1504,"成本票",业务流水!$C$5:$C$1504,$A29,业务流水!$Z$5:$Z$1504,"是")+SUMIFS(业务流水!$H$5:$H$1504,业务流水!$F$5:$F$1504,$B$3,业务流水!$D$5:$D$1504,"销项开票",业务流水!$C$5:$C$1504,$A29,业务流水!$Z$5:$Z$1504,"是"))</f>
        <v>0</v>
      </c>
      <c r="G29" s="42" t="n">
        <f aca="false">IF($A29="","",$E29-$F29)</f>
        <v>0</v>
      </c>
      <c r="H29" s="41" t="n">
        <f aca="false">IF($A29="","",SUMIFS(业务流水!$W$5:$W$1504,业务流水!$E$5:$E$1504,$B$3,业务流水!$D$5:$D$1504,"销项开票",业务流水!$C$5:$C$1504,$A29,业务流水!$Z$5:$Z$1504,"是"))</f>
        <v>0</v>
      </c>
      <c r="I29" s="41" t="n">
        <f aca="false">IF($A29="","",SUMIFS(业务流水!$H$5:$H$1504,业务流水!$E$5:$E$1504,$B$3,业务流水!$D$5:$D$1504,"已交税",业务流水!$C$5:$C$1504,$A29,业务流水!$Z$5:$Z$1504,"是"))</f>
        <v>0</v>
      </c>
      <c r="J29" s="42" t="n">
        <f aca="false">IF($A29="","",$H29-$I29)</f>
        <v>0</v>
      </c>
      <c r="K29" s="41" t="n">
        <f aca="false">IF($A29="","",SUMIFS(业务流水!$H$5:$H$1504,业务流水!$F$5:$F$1504,$B$3,业务流水!$D$5:$D$1504,"挂靠代收",业务流水!$C$5:$C$1504,$A29,业务流水!$Z$5:$Z$1504,"是"))</f>
        <v>0</v>
      </c>
      <c r="L29" s="42" t="n">
        <f aca="false">IF($A29="","",$C29-$K29)</f>
        <v>0</v>
      </c>
      <c r="M29" s="41" t="n">
        <f aca="false">IF($A29="","",SUMIFS(业务流水!$H$5:$H$1504,业务流水!$E$5:$E$1504,$B$3,业务流水!$D$5:$D$1504,"我方收款",业务流水!$C$5:$C$1504,$A29,业务流水!$Z$5:$Z$1504,"是"))</f>
        <v>0</v>
      </c>
      <c r="N29" s="43" t="n">
        <f aca="false">IF($A29="","",$K29-$M29)</f>
        <v>0</v>
      </c>
      <c r="O29" s="41" t="n">
        <f aca="false">IF($A29="","",SUMIFS(业务流水!$H$5:$H$1504,业务流水!$F$5:$F$1504,$B$3,业务流水!$D$5:$D$1504,"管理费结算",业务流水!$C$5:$C$1504,$A29,业务流水!$Z$5:$Z$1504,"是"))</f>
        <v>0</v>
      </c>
      <c r="P29" s="41" t="n">
        <f aca="false">IF($A29="","",SUMIFS(业务流水!$H$5:$H$1504,业务流水!$E$5:$E$1504,$B$3,业务流水!$D$5:$D$1504,"扣质保金",业务流水!$C$5:$C$1504,$A29,业务流水!$Z$5:$Z$1504,"是"))</f>
        <v>0</v>
      </c>
      <c r="Q29" s="48" t="str">
        <f aca="false">IF($A29="","",IF(SUM($C29:$F29)+SUM($K29:$M29)=0,"无","有"))</f>
        <v>无</v>
      </c>
    </row>
    <row r="30" customFormat="false" ht="15.75" hidden="false" customHeight="true" outlineLevel="0" collapsed="false">
      <c r="A30" s="32" t="str">
        <f aca="false">IF(项目档案!$A30="","",项目档案!$A30)</f>
        <v>A025</v>
      </c>
      <c r="B30" s="40" t="str">
        <f aca="false">IF($A30="","",项目档案!$B30)</f>
        <v>重庆铜梁10kV梧桐村4.5.6社台区重过载治理工程等23个项目(2025年配网6批、业扩5批民能施工)(重庆铜梁10kV侣新线铜安1社台区重过载治理工程)</v>
      </c>
      <c r="C30" s="41" t="n">
        <f aca="false">IF($A30="","",SUMIFS(业务流水!$H$5:$H$1504,业务流水!$E$5:$E$1504,$B$3,业务流水!$D$5:$D$1504,"销项开票",业务流水!$C$5:$C$1504,$A30,业务流水!$Z$5:$Z$1504,"是"))</f>
        <v>21690.88</v>
      </c>
      <c r="D30" s="41" t="n">
        <f aca="false">IF($A30="","",SUMIFS(业务流水!$O$5:$O$1504,业务流水!$E$5:$E$1504,$B$3,业务流水!$D$5:$D$1504,"销项开票",业务流水!$C$5:$C$1504,$A30,业务流水!$Z$5:$Z$1504,"是"))</f>
        <v>433.82</v>
      </c>
      <c r="E30" s="41" t="n">
        <f aca="false">IF($A30="","",SUMIFS(业务流水!$P$5:$P$1504,业务流水!$E$5:$E$1504,$B$3,业务流水!$D$5:$D$1504,"销项开票",业务流水!$C$5:$C$1504,$A30,业务流水!$Z$5:$Z$1504,"是"))</f>
        <v>21257.06</v>
      </c>
      <c r="F30" s="41" t="n">
        <f aca="false">IF($A30="","",SUMIFS(业务流水!$H$5:$H$1504,业务流水!$F$5:$F$1504,$B$3,业务流水!$D$5:$D$1504,"成本票",业务流水!$C$5:$C$1504,$A30,业务流水!$Z$5:$Z$1504,"是")+SUMIFS(业务流水!$H$5:$H$1504,业务流水!$F$5:$F$1504,$B$3,业务流水!$D$5:$D$1504,"销项开票",业务流水!$C$5:$C$1504,$A30,业务流水!$Z$5:$Z$1504,"是"))</f>
        <v>0</v>
      </c>
      <c r="G30" s="42" t="n">
        <f aca="false">IF($A30="","",$E30-$F30)</f>
        <v>21257.06</v>
      </c>
      <c r="H30" s="41" t="n">
        <f aca="false">IF($A30="","",SUMIFS(业务流水!$W$5:$W$1504,业务流水!$E$5:$E$1504,$B$3,业务流水!$D$5:$D$1504,"销项开票",业务流水!$C$5:$C$1504,$A30,业务流水!$Z$5:$Z$1504,"是"))</f>
        <v>711.8</v>
      </c>
      <c r="I30" s="41" t="n">
        <f aca="false">IF($A30="","",SUMIFS(业务流水!$H$5:$H$1504,业务流水!$E$5:$E$1504,$B$3,业务流水!$D$5:$D$1504,"已交税",业务流水!$C$5:$C$1504,$A30,业务流水!$Z$5:$Z$1504,"是"))</f>
        <v>0</v>
      </c>
      <c r="J30" s="42" t="n">
        <f aca="false">IF($A30="","",$H30-$I30)</f>
        <v>711.8</v>
      </c>
      <c r="K30" s="41" t="n">
        <f aca="false">IF($A30="","",SUMIFS(业务流水!$H$5:$H$1504,业务流水!$F$5:$F$1504,$B$3,业务流水!$D$5:$D$1504,"挂靠代收",业务流水!$C$5:$C$1504,$A30,业务流水!$Z$5:$Z$1504,"是"))</f>
        <v>0</v>
      </c>
      <c r="L30" s="42" t="n">
        <f aca="false">IF($A30="","",$C30-$K30)</f>
        <v>21690.88</v>
      </c>
      <c r="M30" s="41" t="n">
        <f aca="false">IF($A30="","",SUMIFS(业务流水!$H$5:$H$1504,业务流水!$E$5:$E$1504,$B$3,业务流水!$D$5:$D$1504,"我方收款",业务流水!$C$5:$C$1504,$A30,业务流水!$Z$5:$Z$1504,"是"))</f>
        <v>0</v>
      </c>
      <c r="N30" s="43" t="n">
        <f aca="false">IF($A30="","",$K30-$M30)</f>
        <v>0</v>
      </c>
      <c r="O30" s="41" t="n">
        <f aca="false">IF($A30="","",SUMIFS(业务流水!$H$5:$H$1504,业务流水!$F$5:$F$1504,$B$3,业务流水!$D$5:$D$1504,"管理费结算",业务流水!$C$5:$C$1504,$A30,业务流水!$Z$5:$Z$1504,"是"))</f>
        <v>0</v>
      </c>
      <c r="P30" s="41" t="n">
        <f aca="false">IF($A30="","",SUMIFS(业务流水!$H$5:$H$1504,业务流水!$E$5:$E$1504,$B$3,业务流水!$D$5:$D$1504,"扣质保金",业务流水!$C$5:$C$1504,$A30,业务流水!$Z$5:$Z$1504,"是"))</f>
        <v>0</v>
      </c>
      <c r="Q30" s="48" t="str">
        <f aca="false">IF($A30="","",IF(SUM($C30:$F30)+SUM($K30:$M30)=0,"无","有"))</f>
        <v>有</v>
      </c>
    </row>
    <row r="31" customFormat="false" ht="15.75" hidden="false" customHeight="true" outlineLevel="0" collapsed="false">
      <c r="A31" s="32" t="str">
        <f aca="false">IF(项目档案!$A31="","",项目档案!$A31)</f>
        <v>A026</v>
      </c>
      <c r="B31" s="40" t="str">
        <f aca="false">IF($A31="","",项目档案!$B31)</f>
        <v>重庆铜梁10kV梧桐村4.5.6社台区重过载治理工程等23个项目(2025年配网6批、业扩5批民能施工)(重庆铜梁10kV侣新线铜安9社台区重过载治理工程)</v>
      </c>
      <c r="C31" s="41" t="n">
        <f aca="false">IF($A31="","",SUMIFS(业务流水!$H$5:$H$1504,业务流水!$E$5:$E$1504,$B$3,业务流水!$D$5:$D$1504,"销项开票",业务流水!$C$5:$C$1504,$A31,业务流水!$Z$5:$Z$1504,"是"))</f>
        <v>17748.73</v>
      </c>
      <c r="D31" s="41" t="n">
        <f aca="false">IF($A31="","",SUMIFS(业务流水!$O$5:$O$1504,业务流水!$E$5:$E$1504,$B$3,业务流水!$D$5:$D$1504,"销项开票",业务流水!$C$5:$C$1504,$A31,业务流水!$Z$5:$Z$1504,"是"))</f>
        <v>354.97</v>
      </c>
      <c r="E31" s="41" t="n">
        <f aca="false">IF($A31="","",SUMIFS(业务流水!$P$5:$P$1504,业务流水!$E$5:$E$1504,$B$3,业务流水!$D$5:$D$1504,"销项开票",业务流水!$C$5:$C$1504,$A31,业务流水!$Z$5:$Z$1504,"是"))</f>
        <v>17393.76</v>
      </c>
      <c r="F31" s="41" t="n">
        <f aca="false">IF($A31="","",SUMIFS(业务流水!$H$5:$H$1504,业务流水!$F$5:$F$1504,$B$3,业务流水!$D$5:$D$1504,"成本票",业务流水!$C$5:$C$1504,$A31,业务流水!$Z$5:$Z$1504,"是")+SUMIFS(业务流水!$H$5:$H$1504,业务流水!$F$5:$F$1504,$B$3,业务流水!$D$5:$D$1504,"销项开票",业务流水!$C$5:$C$1504,$A31,业务流水!$Z$5:$Z$1504,"是"))</f>
        <v>0</v>
      </c>
      <c r="G31" s="42" t="n">
        <f aca="false">IF($A31="","",$E31-$F31)</f>
        <v>17393.76</v>
      </c>
      <c r="H31" s="41" t="n">
        <f aca="false">IF($A31="","",SUMIFS(业务流水!$W$5:$W$1504,业务流水!$E$5:$E$1504,$B$3,业务流水!$D$5:$D$1504,"销项开票",业务流水!$C$5:$C$1504,$A31,业务流水!$Z$5:$Z$1504,"是"))</f>
        <v>582.43</v>
      </c>
      <c r="I31" s="41" t="n">
        <f aca="false">IF($A31="","",SUMIFS(业务流水!$H$5:$H$1504,业务流水!$E$5:$E$1504,$B$3,业务流水!$D$5:$D$1504,"已交税",业务流水!$C$5:$C$1504,$A31,业务流水!$Z$5:$Z$1504,"是"))</f>
        <v>0</v>
      </c>
      <c r="J31" s="42" t="n">
        <f aca="false">IF($A31="","",$H31-$I31)</f>
        <v>582.43</v>
      </c>
      <c r="K31" s="41" t="n">
        <f aca="false">IF($A31="","",SUMIFS(业务流水!$H$5:$H$1504,业务流水!$F$5:$F$1504,$B$3,业务流水!$D$5:$D$1504,"挂靠代收",业务流水!$C$5:$C$1504,$A31,业务流水!$Z$5:$Z$1504,"是"))</f>
        <v>0</v>
      </c>
      <c r="L31" s="42" t="n">
        <f aca="false">IF($A31="","",$C31-$K31)</f>
        <v>17748.73</v>
      </c>
      <c r="M31" s="41" t="n">
        <f aca="false">IF($A31="","",SUMIFS(业务流水!$H$5:$H$1504,业务流水!$E$5:$E$1504,$B$3,业务流水!$D$5:$D$1504,"我方收款",业务流水!$C$5:$C$1504,$A31,业务流水!$Z$5:$Z$1504,"是"))</f>
        <v>0</v>
      </c>
      <c r="N31" s="43" t="n">
        <f aca="false">IF($A31="","",$K31-$M31)</f>
        <v>0</v>
      </c>
      <c r="O31" s="41" t="n">
        <f aca="false">IF($A31="","",SUMIFS(业务流水!$H$5:$H$1504,业务流水!$F$5:$F$1504,$B$3,业务流水!$D$5:$D$1504,"管理费结算",业务流水!$C$5:$C$1504,$A31,业务流水!$Z$5:$Z$1504,"是"))</f>
        <v>0</v>
      </c>
      <c r="P31" s="41" t="n">
        <f aca="false">IF($A31="","",SUMIFS(业务流水!$H$5:$H$1504,业务流水!$E$5:$E$1504,$B$3,业务流水!$D$5:$D$1504,"扣质保金",业务流水!$C$5:$C$1504,$A31,业务流水!$Z$5:$Z$1504,"是"))</f>
        <v>0</v>
      </c>
      <c r="Q31" s="48" t="str">
        <f aca="false">IF($A31="","",IF(SUM($C31:$F31)+SUM($K31:$M31)=0,"无","有"))</f>
        <v>有</v>
      </c>
    </row>
    <row r="32" customFormat="false" ht="15.75" hidden="false" customHeight="true" outlineLevel="0" collapsed="false">
      <c r="A32" s="32" t="str">
        <f aca="false">IF(项目档案!$A32="","",项目档案!$A32)</f>
        <v>A027</v>
      </c>
      <c r="B32" s="40" t="str">
        <f aca="false">IF($A32="","",项目档案!$B32)</f>
        <v>重庆铜梁10kV梧桐村4.5.6社台区重过载治理工程等23个项目(2025年配网6批、业扩5批民能施工)(重庆铜梁10kV平双线群益7社台区重过载治理工程)</v>
      </c>
      <c r="C32" s="41" t="n">
        <f aca="false">IF($A32="","",SUMIFS(业务流水!$H$5:$H$1504,业务流水!$E$5:$E$1504,$B$3,业务流水!$D$5:$D$1504,"销项开票",业务流水!$C$5:$C$1504,$A32,业务流水!$Z$5:$Z$1504,"是"))</f>
        <v>4432.25</v>
      </c>
      <c r="D32" s="41" t="n">
        <f aca="false">IF($A32="","",SUMIFS(业务流水!$O$5:$O$1504,业务流水!$E$5:$E$1504,$B$3,业务流水!$D$5:$D$1504,"销项开票",业务流水!$C$5:$C$1504,$A32,业务流水!$Z$5:$Z$1504,"是"))</f>
        <v>88.65</v>
      </c>
      <c r="E32" s="41" t="n">
        <f aca="false">IF($A32="","",SUMIFS(业务流水!$P$5:$P$1504,业务流水!$E$5:$E$1504,$B$3,业务流水!$D$5:$D$1504,"销项开票",业务流水!$C$5:$C$1504,$A32,业务流水!$Z$5:$Z$1504,"是"))</f>
        <v>4343.6</v>
      </c>
      <c r="F32" s="41" t="n">
        <f aca="false">IF($A32="","",SUMIFS(业务流水!$H$5:$H$1504,业务流水!$F$5:$F$1504,$B$3,业务流水!$D$5:$D$1504,"成本票",业务流水!$C$5:$C$1504,$A32,业务流水!$Z$5:$Z$1504,"是")+SUMIFS(业务流水!$H$5:$H$1504,业务流水!$F$5:$F$1504,$B$3,业务流水!$D$5:$D$1504,"销项开票",业务流水!$C$5:$C$1504,$A32,业务流水!$Z$5:$Z$1504,"是"))</f>
        <v>0</v>
      </c>
      <c r="G32" s="42" t="n">
        <f aca="false">IF($A32="","",$E32-$F32)</f>
        <v>4343.6</v>
      </c>
      <c r="H32" s="41" t="n">
        <f aca="false">IF($A32="","",SUMIFS(业务流水!$W$5:$W$1504,业务流水!$E$5:$E$1504,$B$3,业务流水!$D$5:$D$1504,"销项开票",业务流水!$C$5:$C$1504,$A32,业务流水!$Z$5:$Z$1504,"是"))</f>
        <v>145.45</v>
      </c>
      <c r="I32" s="41" t="n">
        <f aca="false">IF($A32="","",SUMIFS(业务流水!$H$5:$H$1504,业务流水!$E$5:$E$1504,$B$3,业务流水!$D$5:$D$1504,"已交税",业务流水!$C$5:$C$1504,$A32,业务流水!$Z$5:$Z$1504,"是"))</f>
        <v>0</v>
      </c>
      <c r="J32" s="42" t="n">
        <f aca="false">IF($A32="","",$H32-$I32)</f>
        <v>145.45</v>
      </c>
      <c r="K32" s="41" t="n">
        <f aca="false">IF($A32="","",SUMIFS(业务流水!$H$5:$H$1504,业务流水!$F$5:$F$1504,$B$3,业务流水!$D$5:$D$1504,"挂靠代收",业务流水!$C$5:$C$1504,$A32,业务流水!$Z$5:$Z$1504,"是"))</f>
        <v>0</v>
      </c>
      <c r="L32" s="42" t="n">
        <f aca="false">IF($A32="","",$C32-$K32)</f>
        <v>4432.25</v>
      </c>
      <c r="M32" s="41" t="n">
        <f aca="false">IF($A32="","",SUMIFS(业务流水!$H$5:$H$1504,业务流水!$E$5:$E$1504,$B$3,业务流水!$D$5:$D$1504,"我方收款",业务流水!$C$5:$C$1504,$A32,业务流水!$Z$5:$Z$1504,"是"))</f>
        <v>0</v>
      </c>
      <c r="N32" s="43" t="n">
        <f aca="false">IF($A32="","",$K32-$M32)</f>
        <v>0</v>
      </c>
      <c r="O32" s="41" t="n">
        <f aca="false">IF($A32="","",SUMIFS(业务流水!$H$5:$H$1504,业务流水!$F$5:$F$1504,$B$3,业务流水!$D$5:$D$1504,"管理费结算",业务流水!$C$5:$C$1504,$A32,业务流水!$Z$5:$Z$1504,"是"))</f>
        <v>0</v>
      </c>
      <c r="P32" s="41" t="n">
        <f aca="false">IF($A32="","",SUMIFS(业务流水!$H$5:$H$1504,业务流水!$E$5:$E$1504,$B$3,业务流水!$D$5:$D$1504,"扣质保金",业务流水!$C$5:$C$1504,$A32,业务流水!$Z$5:$Z$1504,"是"))</f>
        <v>0</v>
      </c>
      <c r="Q32" s="48" t="str">
        <f aca="false">IF($A32="","",IF(SUM($C32:$F32)+SUM($K32:$M32)=0,"无","有"))</f>
        <v>有</v>
      </c>
    </row>
    <row r="33" customFormat="false" ht="15.75" hidden="false" customHeight="true" outlineLevel="0" collapsed="false">
      <c r="A33" s="32" t="str">
        <f aca="false">IF(项目档案!$A33="","",项目档案!$A33)</f>
        <v>A028</v>
      </c>
      <c r="B33" s="40" t="str">
        <f aca="false">IF($A33="","",项目档案!$B33)</f>
        <v>重庆铜梁10kV梧桐村4.5.6社台区重过载治理工程等23个项目(2025年配网6批、业扩5批民能施工)(重庆铜梁10kV平镇线新桥社台区重过载治理工程)</v>
      </c>
      <c r="C33" s="41" t="n">
        <f aca="false">IF($A33="","",SUMIFS(业务流水!$H$5:$H$1504,业务流水!$E$5:$E$1504,$B$3,业务流水!$D$5:$D$1504,"销项开票",业务流水!$C$5:$C$1504,$A33,业务流水!$Z$5:$Z$1504,"是"))</f>
        <v>10830.93</v>
      </c>
      <c r="D33" s="41" t="n">
        <f aca="false">IF($A33="","",SUMIFS(业务流水!$O$5:$O$1504,业务流水!$E$5:$E$1504,$B$3,业务流水!$D$5:$D$1504,"销项开票",业务流水!$C$5:$C$1504,$A33,业务流水!$Z$5:$Z$1504,"是"))</f>
        <v>216.62</v>
      </c>
      <c r="E33" s="41" t="n">
        <f aca="false">IF($A33="","",SUMIFS(业务流水!$P$5:$P$1504,业务流水!$E$5:$E$1504,$B$3,业务流水!$D$5:$D$1504,"销项开票",业务流水!$C$5:$C$1504,$A33,业务流水!$Z$5:$Z$1504,"是"))</f>
        <v>10614.31</v>
      </c>
      <c r="F33" s="41" t="n">
        <f aca="false">IF($A33="","",SUMIFS(业务流水!$H$5:$H$1504,业务流水!$F$5:$F$1504,$B$3,业务流水!$D$5:$D$1504,"成本票",业务流水!$C$5:$C$1504,$A33,业务流水!$Z$5:$Z$1504,"是")+SUMIFS(业务流水!$H$5:$H$1504,业务流水!$F$5:$F$1504,$B$3,业务流水!$D$5:$D$1504,"销项开票",业务流水!$C$5:$C$1504,$A33,业务流水!$Z$5:$Z$1504,"是"))</f>
        <v>0</v>
      </c>
      <c r="G33" s="42" t="n">
        <f aca="false">IF($A33="","",$E33-$F33)</f>
        <v>10614.31</v>
      </c>
      <c r="H33" s="41" t="n">
        <f aca="false">IF($A33="","",SUMIFS(业务流水!$W$5:$W$1504,业务流水!$E$5:$E$1504,$B$3,业务流水!$D$5:$D$1504,"销项开票",业务流水!$C$5:$C$1504,$A33,业务流水!$Z$5:$Z$1504,"是"))</f>
        <v>355.42</v>
      </c>
      <c r="I33" s="41" t="n">
        <f aca="false">IF($A33="","",SUMIFS(业务流水!$H$5:$H$1504,业务流水!$E$5:$E$1504,$B$3,业务流水!$D$5:$D$1504,"已交税",业务流水!$C$5:$C$1504,$A33,业务流水!$Z$5:$Z$1504,"是"))</f>
        <v>0</v>
      </c>
      <c r="J33" s="42" t="n">
        <f aca="false">IF($A33="","",$H33-$I33)</f>
        <v>355.42</v>
      </c>
      <c r="K33" s="41" t="n">
        <f aca="false">IF($A33="","",SUMIFS(业务流水!$H$5:$H$1504,业务流水!$F$5:$F$1504,$B$3,业务流水!$D$5:$D$1504,"挂靠代收",业务流水!$C$5:$C$1504,$A33,业务流水!$Z$5:$Z$1504,"是"))</f>
        <v>0</v>
      </c>
      <c r="L33" s="42" t="n">
        <f aca="false">IF($A33="","",$C33-$K33)</f>
        <v>10830.93</v>
      </c>
      <c r="M33" s="41" t="n">
        <f aca="false">IF($A33="","",SUMIFS(业务流水!$H$5:$H$1504,业务流水!$E$5:$E$1504,$B$3,业务流水!$D$5:$D$1504,"我方收款",业务流水!$C$5:$C$1504,$A33,业务流水!$Z$5:$Z$1504,"是"))</f>
        <v>0</v>
      </c>
      <c r="N33" s="43" t="n">
        <f aca="false">IF($A33="","",$K33-$M33)</f>
        <v>0</v>
      </c>
      <c r="O33" s="41" t="n">
        <f aca="false">IF($A33="","",SUMIFS(业务流水!$H$5:$H$1504,业务流水!$F$5:$F$1504,$B$3,业务流水!$D$5:$D$1504,"管理费结算",业务流水!$C$5:$C$1504,$A33,业务流水!$Z$5:$Z$1504,"是"))</f>
        <v>0</v>
      </c>
      <c r="P33" s="41" t="n">
        <f aca="false">IF($A33="","",SUMIFS(业务流水!$H$5:$H$1504,业务流水!$E$5:$E$1504,$B$3,业务流水!$D$5:$D$1504,"扣质保金",业务流水!$C$5:$C$1504,$A33,业务流水!$Z$5:$Z$1504,"是"))</f>
        <v>0</v>
      </c>
      <c r="Q33" s="48" t="str">
        <f aca="false">IF($A33="","",IF(SUM($C33:$F33)+SUM($K33:$M33)=0,"无","有"))</f>
        <v>有</v>
      </c>
    </row>
    <row r="34" customFormat="false" ht="15.75" hidden="false" customHeight="true" outlineLevel="0" collapsed="false">
      <c r="A34" s="32" t="str">
        <f aca="false">IF(项目档案!$A34="","",项目档案!$A34)</f>
        <v>A029</v>
      </c>
      <c r="B34" s="40" t="str">
        <f aca="false">IF($A34="","",项目档案!$B34)</f>
        <v>重庆铜梁10kV梧桐村4.5.6社台区重过载治理工程等23个项目(2025年配网6批、业扩5批德誉佳施工)(重庆铜梁10kV侣新线铜安1社台区重过载治理工程)</v>
      </c>
      <c r="C34" s="41" t="n">
        <f aca="false">IF($A34="","",SUMIFS(业务流水!$H$5:$H$1504,业务流水!$E$5:$E$1504,$B$3,业务流水!$D$5:$D$1504,"销项开票",业务流水!$C$5:$C$1504,$A34,业务流水!$Z$5:$Z$1504,"是"))</f>
        <v>0</v>
      </c>
      <c r="D34" s="41" t="n">
        <f aca="false">IF($A34="","",SUMIFS(业务流水!$O$5:$O$1504,业务流水!$E$5:$E$1504,$B$3,业务流水!$D$5:$D$1504,"销项开票",业务流水!$C$5:$C$1504,$A34,业务流水!$Z$5:$Z$1504,"是"))</f>
        <v>0</v>
      </c>
      <c r="E34" s="41" t="n">
        <f aca="false">IF($A34="","",SUMIFS(业务流水!$P$5:$P$1504,业务流水!$E$5:$E$1504,$B$3,业务流水!$D$5:$D$1504,"销项开票",业务流水!$C$5:$C$1504,$A34,业务流水!$Z$5:$Z$1504,"是"))</f>
        <v>0</v>
      </c>
      <c r="F34" s="41" t="n">
        <f aca="false">IF($A34="","",SUMIFS(业务流水!$H$5:$H$1504,业务流水!$F$5:$F$1504,$B$3,业务流水!$D$5:$D$1504,"成本票",业务流水!$C$5:$C$1504,$A34,业务流水!$Z$5:$Z$1504,"是")+SUMIFS(业务流水!$H$5:$H$1504,业务流水!$F$5:$F$1504,$B$3,业务流水!$D$5:$D$1504,"销项开票",业务流水!$C$5:$C$1504,$A34,业务流水!$Z$5:$Z$1504,"是"))</f>
        <v>0</v>
      </c>
      <c r="G34" s="42" t="n">
        <f aca="false">IF($A34="","",$E34-$F34)</f>
        <v>0</v>
      </c>
      <c r="H34" s="41" t="n">
        <f aca="false">IF($A34="","",SUMIFS(业务流水!$W$5:$W$1504,业务流水!$E$5:$E$1504,$B$3,业务流水!$D$5:$D$1504,"销项开票",业务流水!$C$5:$C$1504,$A34,业务流水!$Z$5:$Z$1504,"是"))</f>
        <v>0</v>
      </c>
      <c r="I34" s="41" t="n">
        <f aca="false">IF($A34="","",SUMIFS(业务流水!$H$5:$H$1504,业务流水!$E$5:$E$1504,$B$3,业务流水!$D$5:$D$1504,"已交税",业务流水!$C$5:$C$1504,$A34,业务流水!$Z$5:$Z$1504,"是"))</f>
        <v>0</v>
      </c>
      <c r="J34" s="42" t="n">
        <f aca="false">IF($A34="","",$H34-$I34)</f>
        <v>0</v>
      </c>
      <c r="K34" s="41" t="n">
        <f aca="false">IF($A34="","",SUMIFS(业务流水!$H$5:$H$1504,业务流水!$F$5:$F$1504,$B$3,业务流水!$D$5:$D$1504,"挂靠代收",业务流水!$C$5:$C$1504,$A34,业务流水!$Z$5:$Z$1504,"是"))</f>
        <v>0</v>
      </c>
      <c r="L34" s="42" t="n">
        <f aca="false">IF($A34="","",$C34-$K34)</f>
        <v>0</v>
      </c>
      <c r="M34" s="41" t="n">
        <f aca="false">IF($A34="","",SUMIFS(业务流水!$H$5:$H$1504,业务流水!$E$5:$E$1504,$B$3,业务流水!$D$5:$D$1504,"我方收款",业务流水!$C$5:$C$1504,$A34,业务流水!$Z$5:$Z$1504,"是"))</f>
        <v>0</v>
      </c>
      <c r="N34" s="43" t="n">
        <f aca="false">IF($A34="","",$K34-$M34)</f>
        <v>0</v>
      </c>
      <c r="O34" s="41" t="n">
        <f aca="false">IF($A34="","",SUMIFS(业务流水!$H$5:$H$1504,业务流水!$F$5:$F$1504,$B$3,业务流水!$D$5:$D$1504,"管理费结算",业务流水!$C$5:$C$1504,$A34,业务流水!$Z$5:$Z$1504,"是"))</f>
        <v>0</v>
      </c>
      <c r="P34" s="41" t="n">
        <f aca="false">IF($A34="","",SUMIFS(业务流水!$H$5:$H$1504,业务流水!$E$5:$E$1504,$B$3,业务流水!$D$5:$D$1504,"扣质保金",业务流水!$C$5:$C$1504,$A34,业务流水!$Z$5:$Z$1504,"是"))</f>
        <v>0</v>
      </c>
      <c r="Q34" s="48" t="str">
        <f aca="false">IF($A34="","",IF(SUM($C34:$F34)+SUM($K34:$M34)=0,"无","有"))</f>
        <v>无</v>
      </c>
    </row>
    <row r="35" customFormat="false" ht="15.75" hidden="false" customHeight="true" outlineLevel="0" collapsed="false">
      <c r="A35" s="32" t="str">
        <f aca="false">IF(项目档案!$A35="","",项目档案!$A35)</f>
        <v>A030</v>
      </c>
      <c r="B35" s="40" t="str">
        <f aca="false">IF($A35="","",项目档案!$B35)</f>
        <v>重庆铜梁10kV梧桐村4.5.6社台区重过载治理工程等23个项目(2025年配网6批、业扩5批德誉佳施工)(重庆铜梁10kV侣新线铜安9社台区重过载治理工程)</v>
      </c>
      <c r="C35" s="41" t="n">
        <f aca="false">IF($A35="","",SUMIFS(业务流水!$H$5:$H$1504,业务流水!$E$5:$E$1504,$B$3,业务流水!$D$5:$D$1504,"销项开票",业务流水!$C$5:$C$1504,$A35,业务流水!$Z$5:$Z$1504,"是"))</f>
        <v>0</v>
      </c>
      <c r="D35" s="41" t="n">
        <f aca="false">IF($A35="","",SUMIFS(业务流水!$O$5:$O$1504,业务流水!$E$5:$E$1504,$B$3,业务流水!$D$5:$D$1504,"销项开票",业务流水!$C$5:$C$1504,$A35,业务流水!$Z$5:$Z$1504,"是"))</f>
        <v>0</v>
      </c>
      <c r="E35" s="41" t="n">
        <f aca="false">IF($A35="","",SUMIFS(业务流水!$P$5:$P$1504,业务流水!$E$5:$E$1504,$B$3,业务流水!$D$5:$D$1504,"销项开票",业务流水!$C$5:$C$1504,$A35,业务流水!$Z$5:$Z$1504,"是"))</f>
        <v>0</v>
      </c>
      <c r="F35" s="41" t="n">
        <f aca="false">IF($A35="","",SUMIFS(业务流水!$H$5:$H$1504,业务流水!$F$5:$F$1504,$B$3,业务流水!$D$5:$D$1504,"成本票",业务流水!$C$5:$C$1504,$A35,业务流水!$Z$5:$Z$1504,"是")+SUMIFS(业务流水!$H$5:$H$1504,业务流水!$F$5:$F$1504,$B$3,业务流水!$D$5:$D$1504,"销项开票",业务流水!$C$5:$C$1504,$A35,业务流水!$Z$5:$Z$1504,"是"))</f>
        <v>0</v>
      </c>
      <c r="G35" s="42" t="n">
        <f aca="false">IF($A35="","",$E35-$F35)</f>
        <v>0</v>
      </c>
      <c r="H35" s="41" t="n">
        <f aca="false">IF($A35="","",SUMIFS(业务流水!$W$5:$W$1504,业务流水!$E$5:$E$1504,$B$3,业务流水!$D$5:$D$1504,"销项开票",业务流水!$C$5:$C$1504,$A35,业务流水!$Z$5:$Z$1504,"是"))</f>
        <v>0</v>
      </c>
      <c r="I35" s="41" t="n">
        <f aca="false">IF($A35="","",SUMIFS(业务流水!$H$5:$H$1504,业务流水!$E$5:$E$1504,$B$3,业务流水!$D$5:$D$1504,"已交税",业务流水!$C$5:$C$1504,$A35,业务流水!$Z$5:$Z$1504,"是"))</f>
        <v>0</v>
      </c>
      <c r="J35" s="42" t="n">
        <f aca="false">IF($A35="","",$H35-$I35)</f>
        <v>0</v>
      </c>
      <c r="K35" s="41" t="n">
        <f aca="false">IF($A35="","",SUMIFS(业务流水!$H$5:$H$1504,业务流水!$F$5:$F$1504,$B$3,业务流水!$D$5:$D$1504,"挂靠代收",业务流水!$C$5:$C$1504,$A35,业务流水!$Z$5:$Z$1504,"是"))</f>
        <v>0</v>
      </c>
      <c r="L35" s="42" t="n">
        <f aca="false">IF($A35="","",$C35-$K35)</f>
        <v>0</v>
      </c>
      <c r="M35" s="41" t="n">
        <f aca="false">IF($A35="","",SUMIFS(业务流水!$H$5:$H$1504,业务流水!$E$5:$E$1504,$B$3,业务流水!$D$5:$D$1504,"我方收款",业务流水!$C$5:$C$1504,$A35,业务流水!$Z$5:$Z$1504,"是"))</f>
        <v>0</v>
      </c>
      <c r="N35" s="43" t="n">
        <f aca="false">IF($A35="","",$K35-$M35)</f>
        <v>0</v>
      </c>
      <c r="O35" s="41" t="n">
        <f aca="false">IF($A35="","",SUMIFS(业务流水!$H$5:$H$1504,业务流水!$F$5:$F$1504,$B$3,业务流水!$D$5:$D$1504,"管理费结算",业务流水!$C$5:$C$1504,$A35,业务流水!$Z$5:$Z$1504,"是"))</f>
        <v>0</v>
      </c>
      <c r="P35" s="41" t="n">
        <f aca="false">IF($A35="","",SUMIFS(业务流水!$H$5:$H$1504,业务流水!$E$5:$E$1504,$B$3,业务流水!$D$5:$D$1504,"扣质保金",业务流水!$C$5:$C$1504,$A35,业务流水!$Z$5:$Z$1504,"是"))</f>
        <v>0</v>
      </c>
      <c r="Q35" s="48" t="str">
        <f aca="false">IF($A35="","",IF(SUM($C35:$F35)+SUM($K35:$M35)=0,"无","有"))</f>
        <v>无</v>
      </c>
    </row>
    <row r="36" customFormat="false" ht="15.75" hidden="false" customHeight="true" outlineLevel="0" collapsed="false">
      <c r="A36" s="32" t="str">
        <f aca="false">IF(项目档案!$A36="","",项目档案!$A36)</f>
        <v>A031</v>
      </c>
      <c r="B36" s="40" t="str">
        <f aca="false">IF($A36="","",项目档案!$B36)</f>
        <v>重庆铜梁10kV梧桐村4.5.6社台区重过载治理工程等23个项目(2025年配网6批、业扩5批德誉佳施工)(重庆铜梁10kV平双线群益7社台区重过载治理工程)</v>
      </c>
      <c r="C36" s="41" t="n">
        <f aca="false">IF($A36="","",SUMIFS(业务流水!$H$5:$H$1504,业务流水!$E$5:$E$1504,$B$3,业务流水!$D$5:$D$1504,"销项开票",业务流水!$C$5:$C$1504,$A36,业务流水!$Z$5:$Z$1504,"是"))</f>
        <v>0</v>
      </c>
      <c r="D36" s="41" t="n">
        <f aca="false">IF($A36="","",SUMIFS(业务流水!$O$5:$O$1504,业务流水!$E$5:$E$1504,$B$3,业务流水!$D$5:$D$1504,"销项开票",业务流水!$C$5:$C$1504,$A36,业务流水!$Z$5:$Z$1504,"是"))</f>
        <v>0</v>
      </c>
      <c r="E36" s="41" t="n">
        <f aca="false">IF($A36="","",SUMIFS(业务流水!$P$5:$P$1504,业务流水!$E$5:$E$1504,$B$3,业务流水!$D$5:$D$1504,"销项开票",业务流水!$C$5:$C$1504,$A36,业务流水!$Z$5:$Z$1504,"是"))</f>
        <v>0</v>
      </c>
      <c r="F36" s="41" t="n">
        <f aca="false">IF($A36="","",SUMIFS(业务流水!$H$5:$H$1504,业务流水!$F$5:$F$1504,$B$3,业务流水!$D$5:$D$1504,"成本票",业务流水!$C$5:$C$1504,$A36,业务流水!$Z$5:$Z$1504,"是")+SUMIFS(业务流水!$H$5:$H$1504,业务流水!$F$5:$F$1504,$B$3,业务流水!$D$5:$D$1504,"销项开票",业务流水!$C$5:$C$1504,$A36,业务流水!$Z$5:$Z$1504,"是"))</f>
        <v>0</v>
      </c>
      <c r="G36" s="42" t="n">
        <f aca="false">IF($A36="","",$E36-$F36)</f>
        <v>0</v>
      </c>
      <c r="H36" s="41" t="n">
        <f aca="false">IF($A36="","",SUMIFS(业务流水!$W$5:$W$1504,业务流水!$E$5:$E$1504,$B$3,业务流水!$D$5:$D$1504,"销项开票",业务流水!$C$5:$C$1504,$A36,业务流水!$Z$5:$Z$1504,"是"))</f>
        <v>0</v>
      </c>
      <c r="I36" s="41" t="n">
        <f aca="false">IF($A36="","",SUMIFS(业务流水!$H$5:$H$1504,业务流水!$E$5:$E$1504,$B$3,业务流水!$D$5:$D$1504,"已交税",业务流水!$C$5:$C$1504,$A36,业务流水!$Z$5:$Z$1504,"是"))</f>
        <v>0</v>
      </c>
      <c r="J36" s="42" t="n">
        <f aca="false">IF($A36="","",$H36-$I36)</f>
        <v>0</v>
      </c>
      <c r="K36" s="41" t="n">
        <f aca="false">IF($A36="","",SUMIFS(业务流水!$H$5:$H$1504,业务流水!$F$5:$F$1504,$B$3,业务流水!$D$5:$D$1504,"挂靠代收",业务流水!$C$5:$C$1504,$A36,业务流水!$Z$5:$Z$1504,"是"))</f>
        <v>0</v>
      </c>
      <c r="L36" s="42" t="n">
        <f aca="false">IF($A36="","",$C36-$K36)</f>
        <v>0</v>
      </c>
      <c r="M36" s="41" t="n">
        <f aca="false">IF($A36="","",SUMIFS(业务流水!$H$5:$H$1504,业务流水!$E$5:$E$1504,$B$3,业务流水!$D$5:$D$1504,"我方收款",业务流水!$C$5:$C$1504,$A36,业务流水!$Z$5:$Z$1504,"是"))</f>
        <v>0</v>
      </c>
      <c r="N36" s="43" t="n">
        <f aca="false">IF($A36="","",$K36-$M36)</f>
        <v>0</v>
      </c>
      <c r="O36" s="41" t="n">
        <f aca="false">IF($A36="","",SUMIFS(业务流水!$H$5:$H$1504,业务流水!$F$5:$F$1504,$B$3,业务流水!$D$5:$D$1504,"管理费结算",业务流水!$C$5:$C$1504,$A36,业务流水!$Z$5:$Z$1504,"是"))</f>
        <v>0</v>
      </c>
      <c r="P36" s="41" t="n">
        <f aca="false">IF($A36="","",SUMIFS(业务流水!$H$5:$H$1504,业务流水!$E$5:$E$1504,$B$3,业务流水!$D$5:$D$1504,"扣质保金",业务流水!$C$5:$C$1504,$A36,业务流水!$Z$5:$Z$1504,"是"))</f>
        <v>0</v>
      </c>
      <c r="Q36" s="48" t="str">
        <f aca="false">IF($A36="","",IF(SUM($C36:$F36)+SUM($K36:$M36)=0,"无","有"))</f>
        <v>无</v>
      </c>
    </row>
    <row r="37" customFormat="false" ht="15.75" hidden="false" customHeight="true" outlineLevel="0" collapsed="false">
      <c r="A37" s="32" t="str">
        <f aca="false">IF(项目档案!$A37="","",项目档案!$A37)</f>
        <v>A032</v>
      </c>
      <c r="B37" s="40" t="str">
        <f aca="false">IF($A37="","",项目档案!$B37)</f>
        <v>重庆铜梁10kV梧桐村4.5.6社台区重过载治理工程等23个项目(2025年配网6批、业扩5批德誉佳施工)(重庆铜梁10kV平镇线新桥社台区重过载治理工程)</v>
      </c>
      <c r="C37" s="41" t="n">
        <f aca="false">IF($A37="","",SUMIFS(业务流水!$H$5:$H$1504,业务流水!$E$5:$E$1504,$B$3,业务流水!$D$5:$D$1504,"销项开票",业务流水!$C$5:$C$1504,$A37,业务流水!$Z$5:$Z$1504,"是"))</f>
        <v>0</v>
      </c>
      <c r="D37" s="41" t="n">
        <f aca="false">IF($A37="","",SUMIFS(业务流水!$O$5:$O$1504,业务流水!$E$5:$E$1504,$B$3,业务流水!$D$5:$D$1504,"销项开票",业务流水!$C$5:$C$1504,$A37,业务流水!$Z$5:$Z$1504,"是"))</f>
        <v>0</v>
      </c>
      <c r="E37" s="41" t="n">
        <f aca="false">IF($A37="","",SUMIFS(业务流水!$P$5:$P$1504,业务流水!$E$5:$E$1504,$B$3,业务流水!$D$5:$D$1504,"销项开票",业务流水!$C$5:$C$1504,$A37,业务流水!$Z$5:$Z$1504,"是"))</f>
        <v>0</v>
      </c>
      <c r="F37" s="41" t="n">
        <f aca="false">IF($A37="","",SUMIFS(业务流水!$H$5:$H$1504,业务流水!$F$5:$F$1504,$B$3,业务流水!$D$5:$D$1504,"成本票",业务流水!$C$5:$C$1504,$A37,业务流水!$Z$5:$Z$1504,"是")+SUMIFS(业务流水!$H$5:$H$1504,业务流水!$F$5:$F$1504,$B$3,业务流水!$D$5:$D$1504,"销项开票",业务流水!$C$5:$C$1504,$A37,业务流水!$Z$5:$Z$1504,"是"))</f>
        <v>0</v>
      </c>
      <c r="G37" s="42" t="n">
        <f aca="false">IF($A37="","",$E37-$F37)</f>
        <v>0</v>
      </c>
      <c r="H37" s="41" t="n">
        <f aca="false">IF($A37="","",SUMIFS(业务流水!$W$5:$W$1504,业务流水!$E$5:$E$1504,$B$3,业务流水!$D$5:$D$1504,"销项开票",业务流水!$C$5:$C$1504,$A37,业务流水!$Z$5:$Z$1504,"是"))</f>
        <v>0</v>
      </c>
      <c r="I37" s="41" t="n">
        <f aca="false">IF($A37="","",SUMIFS(业务流水!$H$5:$H$1504,业务流水!$E$5:$E$1504,$B$3,业务流水!$D$5:$D$1504,"已交税",业务流水!$C$5:$C$1504,$A37,业务流水!$Z$5:$Z$1504,"是"))</f>
        <v>0</v>
      </c>
      <c r="J37" s="42" t="n">
        <f aca="false">IF($A37="","",$H37-$I37)</f>
        <v>0</v>
      </c>
      <c r="K37" s="41" t="n">
        <f aca="false">IF($A37="","",SUMIFS(业务流水!$H$5:$H$1504,业务流水!$F$5:$F$1504,$B$3,业务流水!$D$5:$D$1504,"挂靠代收",业务流水!$C$5:$C$1504,$A37,业务流水!$Z$5:$Z$1504,"是"))</f>
        <v>0</v>
      </c>
      <c r="L37" s="42" t="n">
        <f aca="false">IF($A37="","",$C37-$K37)</f>
        <v>0</v>
      </c>
      <c r="M37" s="41" t="n">
        <f aca="false">IF($A37="","",SUMIFS(业务流水!$H$5:$H$1504,业务流水!$E$5:$E$1504,$B$3,业务流水!$D$5:$D$1504,"我方收款",业务流水!$C$5:$C$1504,$A37,业务流水!$Z$5:$Z$1504,"是"))</f>
        <v>0</v>
      </c>
      <c r="N37" s="43" t="n">
        <f aca="false">IF($A37="","",$K37-$M37)</f>
        <v>0</v>
      </c>
      <c r="O37" s="41" t="n">
        <f aca="false">IF($A37="","",SUMIFS(业务流水!$H$5:$H$1504,业务流水!$F$5:$F$1504,$B$3,业务流水!$D$5:$D$1504,"管理费结算",业务流水!$C$5:$C$1504,$A37,业务流水!$Z$5:$Z$1504,"是"))</f>
        <v>0</v>
      </c>
      <c r="P37" s="41" t="n">
        <f aca="false">IF($A37="","",SUMIFS(业务流水!$H$5:$H$1504,业务流水!$E$5:$E$1504,$B$3,业务流水!$D$5:$D$1504,"扣质保金",业务流水!$C$5:$C$1504,$A37,业务流水!$Z$5:$Z$1504,"是"))</f>
        <v>0</v>
      </c>
      <c r="Q37" s="48" t="str">
        <f aca="false">IF($A37="","",IF(SUM($C37:$F37)+SUM($K37:$M37)=0,"无","有"))</f>
        <v>无</v>
      </c>
    </row>
    <row r="38" customFormat="false" ht="15.75" hidden="false" customHeight="true" outlineLevel="0" collapsed="false">
      <c r="A38" s="32" t="str">
        <f aca="false">IF(项目档案!$A38="","",项目档案!$A38)</f>
        <v>A033</v>
      </c>
      <c r="B38" s="40" t="str">
        <f aca="false">IF($A38="","",项目档案!$B38)</f>
        <v>重庆铜梁10kV梧桐村4.5.6社台区重过载治理工程等23个项目(2025年配网6批、业扩5批德誉佳施工）(重庆铜梁10kV侣新线凤飞7社台区重过载治理工程)</v>
      </c>
      <c r="C38" s="41" t="n">
        <f aca="false">IF($A38="","",SUMIFS(业务流水!$H$5:$H$1504,业务流水!$E$5:$E$1504,$B$3,业务流水!$D$5:$D$1504,"销项开票",业务流水!$C$5:$C$1504,$A38,业务流水!$Z$5:$Z$1504,"是"))</f>
        <v>0</v>
      </c>
      <c r="D38" s="41" t="n">
        <f aca="false">IF($A38="","",SUMIFS(业务流水!$O$5:$O$1504,业务流水!$E$5:$E$1504,$B$3,业务流水!$D$5:$D$1504,"销项开票",业务流水!$C$5:$C$1504,$A38,业务流水!$Z$5:$Z$1504,"是"))</f>
        <v>0</v>
      </c>
      <c r="E38" s="41" t="n">
        <f aca="false">IF($A38="","",SUMIFS(业务流水!$P$5:$P$1504,业务流水!$E$5:$E$1504,$B$3,业务流水!$D$5:$D$1504,"销项开票",业务流水!$C$5:$C$1504,$A38,业务流水!$Z$5:$Z$1504,"是"))</f>
        <v>0</v>
      </c>
      <c r="F38" s="41" t="n">
        <f aca="false">IF($A38="","",SUMIFS(业务流水!$H$5:$H$1504,业务流水!$F$5:$F$1504,$B$3,业务流水!$D$5:$D$1504,"成本票",业务流水!$C$5:$C$1504,$A38,业务流水!$Z$5:$Z$1504,"是")+SUMIFS(业务流水!$H$5:$H$1504,业务流水!$F$5:$F$1504,$B$3,业务流水!$D$5:$D$1504,"销项开票",业务流水!$C$5:$C$1504,$A38,业务流水!$Z$5:$Z$1504,"是"))</f>
        <v>0</v>
      </c>
      <c r="G38" s="42" t="n">
        <f aca="false">IF($A38="","",$E38-$F38)</f>
        <v>0</v>
      </c>
      <c r="H38" s="41" t="n">
        <f aca="false">IF($A38="","",SUMIFS(业务流水!$W$5:$W$1504,业务流水!$E$5:$E$1504,$B$3,业务流水!$D$5:$D$1504,"销项开票",业务流水!$C$5:$C$1504,$A38,业务流水!$Z$5:$Z$1504,"是"))</f>
        <v>0</v>
      </c>
      <c r="I38" s="41" t="n">
        <f aca="false">IF($A38="","",SUMIFS(业务流水!$H$5:$H$1504,业务流水!$E$5:$E$1504,$B$3,业务流水!$D$5:$D$1504,"已交税",业务流水!$C$5:$C$1504,$A38,业务流水!$Z$5:$Z$1504,"是"))</f>
        <v>0</v>
      </c>
      <c r="J38" s="42" t="n">
        <f aca="false">IF($A38="","",$H38-$I38)</f>
        <v>0</v>
      </c>
      <c r="K38" s="41" t="n">
        <f aca="false">IF($A38="","",SUMIFS(业务流水!$H$5:$H$1504,业务流水!$F$5:$F$1504,$B$3,业务流水!$D$5:$D$1504,"挂靠代收",业务流水!$C$5:$C$1504,$A38,业务流水!$Z$5:$Z$1504,"是"))</f>
        <v>0</v>
      </c>
      <c r="L38" s="42" t="n">
        <f aca="false">IF($A38="","",$C38-$K38)</f>
        <v>0</v>
      </c>
      <c r="M38" s="41" t="n">
        <f aca="false">IF($A38="","",SUMIFS(业务流水!$H$5:$H$1504,业务流水!$E$5:$E$1504,$B$3,业务流水!$D$5:$D$1504,"我方收款",业务流水!$C$5:$C$1504,$A38,业务流水!$Z$5:$Z$1504,"是"))</f>
        <v>0</v>
      </c>
      <c r="N38" s="43" t="n">
        <f aca="false">IF($A38="","",$K38-$M38)</f>
        <v>0</v>
      </c>
      <c r="O38" s="41" t="n">
        <f aca="false">IF($A38="","",SUMIFS(业务流水!$H$5:$H$1504,业务流水!$F$5:$F$1504,$B$3,业务流水!$D$5:$D$1504,"管理费结算",业务流水!$C$5:$C$1504,$A38,业务流水!$Z$5:$Z$1504,"是"))</f>
        <v>0</v>
      </c>
      <c r="P38" s="41" t="n">
        <f aca="false">IF($A38="","",SUMIFS(业务流水!$H$5:$H$1504,业务流水!$E$5:$E$1504,$B$3,业务流水!$D$5:$D$1504,"扣质保金",业务流水!$C$5:$C$1504,$A38,业务流水!$Z$5:$Z$1504,"是"))</f>
        <v>0</v>
      </c>
      <c r="Q38" s="48" t="str">
        <f aca="false">IF($A38="","",IF(SUM($C38:$F38)+SUM($K38:$M38)=0,"无","有"))</f>
        <v>无</v>
      </c>
    </row>
    <row r="39" customFormat="false" ht="15.75" hidden="false" customHeight="true" outlineLevel="0" collapsed="false">
      <c r="A39" s="32" t="str">
        <f aca="false">IF(项目档案!$A39="","",项目档案!$A39)</f>
        <v>A034</v>
      </c>
      <c r="B39" s="40" t="str">
        <f aca="false">IF($A39="","",项目档案!$B39)</f>
        <v>铜梁公司2026年配电专业应急抢修抢险等外包项目（永嘉所许家3社1等台区2个隐患治理项目）</v>
      </c>
      <c r="C39" s="41" t="n">
        <f aca="false">IF($A39="","",SUMIFS(业务流水!$H$5:$H$1504,业务流水!$E$5:$E$1504,$B$3,业务流水!$D$5:$D$1504,"销项开票",业务流水!$C$5:$C$1504,$A39,业务流水!$Z$5:$Z$1504,"是"))</f>
        <v>0</v>
      </c>
      <c r="D39" s="41" t="n">
        <f aca="false">IF($A39="","",SUMIFS(业务流水!$O$5:$O$1504,业务流水!$E$5:$E$1504,$B$3,业务流水!$D$5:$D$1504,"销项开票",业务流水!$C$5:$C$1504,$A39,业务流水!$Z$5:$Z$1504,"是"))</f>
        <v>0</v>
      </c>
      <c r="E39" s="41" t="n">
        <f aca="false">IF($A39="","",SUMIFS(业务流水!$P$5:$P$1504,业务流水!$E$5:$E$1504,$B$3,业务流水!$D$5:$D$1504,"销项开票",业务流水!$C$5:$C$1504,$A39,业务流水!$Z$5:$Z$1504,"是"))</f>
        <v>0</v>
      </c>
      <c r="F39" s="41" t="n">
        <f aca="false">IF($A39="","",SUMIFS(业务流水!$H$5:$H$1504,业务流水!$F$5:$F$1504,$B$3,业务流水!$D$5:$D$1504,"成本票",业务流水!$C$5:$C$1504,$A39,业务流水!$Z$5:$Z$1504,"是")+SUMIFS(业务流水!$H$5:$H$1504,业务流水!$F$5:$F$1504,$B$3,业务流水!$D$5:$D$1504,"销项开票",业务流水!$C$5:$C$1504,$A39,业务流水!$Z$5:$Z$1504,"是"))</f>
        <v>0</v>
      </c>
      <c r="G39" s="42" t="n">
        <f aca="false">IF($A39="","",$E39-$F39)</f>
        <v>0</v>
      </c>
      <c r="H39" s="41" t="n">
        <f aca="false">IF($A39="","",SUMIFS(业务流水!$W$5:$W$1504,业务流水!$E$5:$E$1504,$B$3,业务流水!$D$5:$D$1504,"销项开票",业务流水!$C$5:$C$1504,$A39,业务流水!$Z$5:$Z$1504,"是"))</f>
        <v>0</v>
      </c>
      <c r="I39" s="41" t="n">
        <f aca="false">IF($A39="","",SUMIFS(业务流水!$H$5:$H$1504,业务流水!$E$5:$E$1504,$B$3,业务流水!$D$5:$D$1504,"已交税",业务流水!$C$5:$C$1504,$A39,业务流水!$Z$5:$Z$1504,"是"))</f>
        <v>0</v>
      </c>
      <c r="J39" s="42" t="n">
        <f aca="false">IF($A39="","",$H39-$I39)</f>
        <v>0</v>
      </c>
      <c r="K39" s="41" t="n">
        <f aca="false">IF($A39="","",SUMIFS(业务流水!$H$5:$H$1504,业务流水!$F$5:$F$1504,$B$3,业务流水!$D$5:$D$1504,"挂靠代收",业务流水!$C$5:$C$1504,$A39,业务流水!$Z$5:$Z$1504,"是"))</f>
        <v>0</v>
      </c>
      <c r="L39" s="42" t="n">
        <f aca="false">IF($A39="","",$C39-$K39)</f>
        <v>0</v>
      </c>
      <c r="M39" s="41" t="n">
        <f aca="false">IF($A39="","",SUMIFS(业务流水!$H$5:$H$1504,业务流水!$E$5:$E$1504,$B$3,业务流水!$D$5:$D$1504,"我方收款",业务流水!$C$5:$C$1504,$A39,业务流水!$Z$5:$Z$1504,"是"))</f>
        <v>0</v>
      </c>
      <c r="N39" s="43" t="n">
        <f aca="false">IF($A39="","",$K39-$M39)</f>
        <v>0</v>
      </c>
      <c r="O39" s="41" t="n">
        <f aca="false">IF($A39="","",SUMIFS(业务流水!$H$5:$H$1504,业务流水!$F$5:$F$1504,$B$3,业务流水!$D$5:$D$1504,"管理费结算",业务流水!$C$5:$C$1504,$A39,业务流水!$Z$5:$Z$1504,"是"))</f>
        <v>0</v>
      </c>
      <c r="P39" s="41" t="n">
        <f aca="false">IF($A39="","",SUMIFS(业务流水!$H$5:$H$1504,业务流水!$E$5:$E$1504,$B$3,业务流水!$D$5:$D$1504,"扣质保金",业务流水!$C$5:$C$1504,$A39,业务流水!$Z$5:$Z$1504,"是"))</f>
        <v>0</v>
      </c>
      <c r="Q39" s="48" t="str">
        <f aca="false">IF($A39="","",IF(SUM($C39:$F39)+SUM($K39:$M39)=0,"无","有"))</f>
        <v>无</v>
      </c>
    </row>
    <row r="40" customFormat="false" ht="15.75" hidden="false" customHeight="true" outlineLevel="0" collapsed="false">
      <c r="A40" s="32" t="str">
        <f aca="false">IF(项目档案!$A40="","",项目档案!$A40)</f>
        <v>A035</v>
      </c>
      <c r="B40" s="40" t="str">
        <f aca="false">IF($A40="","",项目档案!$B40)</f>
        <v>铜梁公司2026年配电专业应急抢修抢险等外包项目（永嘉所义和8社等台区3个对地不足隐患治理项目）</v>
      </c>
      <c r="C40" s="41" t="n">
        <f aca="false">IF($A40="","",SUMIFS(业务流水!$H$5:$H$1504,业务流水!$E$5:$E$1504,$B$3,业务流水!$D$5:$D$1504,"销项开票",业务流水!$C$5:$C$1504,$A40,业务流水!$Z$5:$Z$1504,"是"))</f>
        <v>0</v>
      </c>
      <c r="D40" s="41" t="n">
        <f aca="false">IF($A40="","",SUMIFS(业务流水!$O$5:$O$1504,业务流水!$E$5:$E$1504,$B$3,业务流水!$D$5:$D$1504,"销项开票",业务流水!$C$5:$C$1504,$A40,业务流水!$Z$5:$Z$1504,"是"))</f>
        <v>0</v>
      </c>
      <c r="E40" s="41" t="n">
        <f aca="false">IF($A40="","",SUMIFS(业务流水!$P$5:$P$1504,业务流水!$E$5:$E$1504,$B$3,业务流水!$D$5:$D$1504,"销项开票",业务流水!$C$5:$C$1504,$A40,业务流水!$Z$5:$Z$1504,"是"))</f>
        <v>0</v>
      </c>
      <c r="F40" s="41" t="n">
        <f aca="false">IF($A40="","",SUMIFS(业务流水!$H$5:$H$1504,业务流水!$F$5:$F$1504,$B$3,业务流水!$D$5:$D$1504,"成本票",业务流水!$C$5:$C$1504,$A40,业务流水!$Z$5:$Z$1504,"是")+SUMIFS(业务流水!$H$5:$H$1504,业务流水!$F$5:$F$1504,$B$3,业务流水!$D$5:$D$1504,"销项开票",业务流水!$C$5:$C$1504,$A40,业务流水!$Z$5:$Z$1504,"是"))</f>
        <v>0</v>
      </c>
      <c r="G40" s="42" t="n">
        <f aca="false">IF($A40="","",$E40-$F40)</f>
        <v>0</v>
      </c>
      <c r="H40" s="41" t="n">
        <f aca="false">IF($A40="","",SUMIFS(业务流水!$W$5:$W$1504,业务流水!$E$5:$E$1504,$B$3,业务流水!$D$5:$D$1504,"销项开票",业务流水!$C$5:$C$1504,$A40,业务流水!$Z$5:$Z$1504,"是"))</f>
        <v>0</v>
      </c>
      <c r="I40" s="41" t="n">
        <f aca="false">IF($A40="","",SUMIFS(业务流水!$H$5:$H$1504,业务流水!$E$5:$E$1504,$B$3,业务流水!$D$5:$D$1504,"已交税",业务流水!$C$5:$C$1504,$A40,业务流水!$Z$5:$Z$1504,"是"))</f>
        <v>0</v>
      </c>
      <c r="J40" s="42" t="n">
        <f aca="false">IF($A40="","",$H40-$I40)</f>
        <v>0</v>
      </c>
      <c r="K40" s="41" t="n">
        <f aca="false">IF($A40="","",SUMIFS(业务流水!$H$5:$H$1504,业务流水!$F$5:$F$1504,$B$3,业务流水!$D$5:$D$1504,"挂靠代收",业务流水!$C$5:$C$1504,$A40,业务流水!$Z$5:$Z$1504,"是"))</f>
        <v>0</v>
      </c>
      <c r="L40" s="42" t="n">
        <f aca="false">IF($A40="","",$C40-$K40)</f>
        <v>0</v>
      </c>
      <c r="M40" s="41" t="n">
        <f aca="false">IF($A40="","",SUMIFS(业务流水!$H$5:$H$1504,业务流水!$E$5:$E$1504,$B$3,业务流水!$D$5:$D$1504,"我方收款",业务流水!$C$5:$C$1504,$A40,业务流水!$Z$5:$Z$1504,"是"))</f>
        <v>0</v>
      </c>
      <c r="N40" s="43" t="n">
        <f aca="false">IF($A40="","",$K40-$M40)</f>
        <v>0</v>
      </c>
      <c r="O40" s="41" t="n">
        <f aca="false">IF($A40="","",SUMIFS(业务流水!$H$5:$H$1504,业务流水!$F$5:$F$1504,$B$3,业务流水!$D$5:$D$1504,"管理费结算",业务流水!$C$5:$C$1504,$A40,业务流水!$Z$5:$Z$1504,"是"))</f>
        <v>0</v>
      </c>
      <c r="P40" s="41" t="n">
        <f aca="false">IF($A40="","",SUMIFS(业务流水!$H$5:$H$1504,业务流水!$E$5:$E$1504,$B$3,业务流水!$D$5:$D$1504,"扣质保金",业务流水!$C$5:$C$1504,$A40,业务流水!$Z$5:$Z$1504,"是"))</f>
        <v>0</v>
      </c>
      <c r="Q40" s="48" t="str">
        <f aca="false">IF($A40="","",IF(SUM($C40:$F40)+SUM($K40:$M40)=0,"无","有"))</f>
        <v>无</v>
      </c>
    </row>
    <row r="41" customFormat="false" ht="15.75" hidden="false" customHeight="true" outlineLevel="0" collapsed="false">
      <c r="A41" s="32" t="str">
        <f aca="false">IF(项目档案!$A41="","",项目档案!$A41)</f>
        <v>A036</v>
      </c>
      <c r="B41" s="40" t="str">
        <f aca="false">IF($A41="","",项目档案!$B41)</f>
        <v>铜梁公司2026年配电专业应急抢修抢险等外包项目（永嘉所高丰3社等台区4个应急抢修项目）</v>
      </c>
      <c r="C41" s="41" t="n">
        <f aca="false">IF($A41="","",SUMIFS(业务流水!$H$5:$H$1504,业务流水!$E$5:$E$1504,$B$3,业务流水!$D$5:$D$1504,"销项开票",业务流水!$C$5:$C$1504,$A41,业务流水!$Z$5:$Z$1504,"是"))</f>
        <v>0</v>
      </c>
      <c r="D41" s="41" t="n">
        <f aca="false">IF($A41="","",SUMIFS(业务流水!$O$5:$O$1504,业务流水!$E$5:$E$1504,$B$3,业务流水!$D$5:$D$1504,"销项开票",业务流水!$C$5:$C$1504,$A41,业务流水!$Z$5:$Z$1504,"是"))</f>
        <v>0</v>
      </c>
      <c r="E41" s="41" t="n">
        <f aca="false">IF($A41="","",SUMIFS(业务流水!$P$5:$P$1504,业务流水!$E$5:$E$1504,$B$3,业务流水!$D$5:$D$1504,"销项开票",业务流水!$C$5:$C$1504,$A41,业务流水!$Z$5:$Z$1504,"是"))</f>
        <v>0</v>
      </c>
      <c r="F41" s="41" t="n">
        <f aca="false">IF($A41="","",SUMIFS(业务流水!$H$5:$H$1504,业务流水!$F$5:$F$1504,$B$3,业务流水!$D$5:$D$1504,"成本票",业务流水!$C$5:$C$1504,$A41,业务流水!$Z$5:$Z$1504,"是")+SUMIFS(业务流水!$H$5:$H$1504,业务流水!$F$5:$F$1504,$B$3,业务流水!$D$5:$D$1504,"销项开票",业务流水!$C$5:$C$1504,$A41,业务流水!$Z$5:$Z$1504,"是"))</f>
        <v>0</v>
      </c>
      <c r="G41" s="42" t="n">
        <f aca="false">IF($A41="","",$E41-$F41)</f>
        <v>0</v>
      </c>
      <c r="H41" s="41" t="n">
        <f aca="false">IF($A41="","",SUMIFS(业务流水!$W$5:$W$1504,业务流水!$E$5:$E$1504,$B$3,业务流水!$D$5:$D$1504,"销项开票",业务流水!$C$5:$C$1504,$A41,业务流水!$Z$5:$Z$1504,"是"))</f>
        <v>0</v>
      </c>
      <c r="I41" s="41" t="n">
        <f aca="false">IF($A41="","",SUMIFS(业务流水!$H$5:$H$1504,业务流水!$E$5:$E$1504,$B$3,业务流水!$D$5:$D$1504,"已交税",业务流水!$C$5:$C$1504,$A41,业务流水!$Z$5:$Z$1504,"是"))</f>
        <v>0</v>
      </c>
      <c r="J41" s="42" t="n">
        <f aca="false">IF($A41="","",$H41-$I41)</f>
        <v>0</v>
      </c>
      <c r="K41" s="41" t="n">
        <f aca="false">IF($A41="","",SUMIFS(业务流水!$H$5:$H$1504,业务流水!$F$5:$F$1504,$B$3,业务流水!$D$5:$D$1504,"挂靠代收",业务流水!$C$5:$C$1504,$A41,业务流水!$Z$5:$Z$1504,"是"))</f>
        <v>0</v>
      </c>
      <c r="L41" s="42" t="n">
        <f aca="false">IF($A41="","",$C41-$K41)</f>
        <v>0</v>
      </c>
      <c r="M41" s="41" t="n">
        <f aca="false">IF($A41="","",SUMIFS(业务流水!$H$5:$H$1504,业务流水!$E$5:$E$1504,$B$3,业务流水!$D$5:$D$1504,"我方收款",业务流水!$C$5:$C$1504,$A41,业务流水!$Z$5:$Z$1504,"是"))</f>
        <v>0</v>
      </c>
      <c r="N41" s="43" t="n">
        <f aca="false">IF($A41="","",$K41-$M41)</f>
        <v>0</v>
      </c>
      <c r="O41" s="41" t="n">
        <f aca="false">IF($A41="","",SUMIFS(业务流水!$H$5:$H$1504,业务流水!$F$5:$F$1504,$B$3,业务流水!$D$5:$D$1504,"管理费结算",业务流水!$C$5:$C$1504,$A41,业务流水!$Z$5:$Z$1504,"是"))</f>
        <v>0</v>
      </c>
      <c r="P41" s="41" t="n">
        <f aca="false">IF($A41="","",SUMIFS(业务流水!$H$5:$H$1504,业务流水!$E$5:$E$1504,$B$3,业务流水!$D$5:$D$1504,"扣质保金",业务流水!$C$5:$C$1504,$A41,业务流水!$Z$5:$Z$1504,"是"))</f>
        <v>0</v>
      </c>
      <c r="Q41" s="48" t="str">
        <f aca="false">IF($A41="","",IF(SUM($C41:$F41)+SUM($K41:$M41)=0,"无","有"))</f>
        <v>无</v>
      </c>
    </row>
    <row r="42" customFormat="false" ht="15.75" hidden="false" customHeight="true" outlineLevel="0" collapsed="false">
      <c r="A42" s="32" t="str">
        <f aca="false">IF(项目档案!$A42="","",项目档案!$A42)</f>
        <v>A037</v>
      </c>
      <c r="B42" s="40" t="str">
        <f aca="false">IF($A42="","",项目档案!$B42)</f>
        <v>铜梁公司2026年35kV输电专业应急抢修检修外包项目（输电运检中心2026年35kV线路接地隐患消除等3个项目）</v>
      </c>
      <c r="C42" s="41" t="n">
        <f aca="false">IF($A42="","",SUMIFS(业务流水!$H$5:$H$1504,业务流水!$E$5:$E$1504,$B$3,业务流水!$D$5:$D$1504,"销项开票",业务流水!$C$5:$C$1504,$A42,业务流水!$Z$5:$Z$1504,"是"))</f>
        <v>0</v>
      </c>
      <c r="D42" s="41" t="n">
        <f aca="false">IF($A42="","",SUMIFS(业务流水!$O$5:$O$1504,业务流水!$E$5:$E$1504,$B$3,业务流水!$D$5:$D$1504,"销项开票",业务流水!$C$5:$C$1504,$A42,业务流水!$Z$5:$Z$1504,"是"))</f>
        <v>0</v>
      </c>
      <c r="E42" s="41" t="n">
        <f aca="false">IF($A42="","",SUMIFS(业务流水!$P$5:$P$1504,业务流水!$E$5:$E$1504,$B$3,业务流水!$D$5:$D$1504,"销项开票",业务流水!$C$5:$C$1504,$A42,业务流水!$Z$5:$Z$1504,"是"))</f>
        <v>0</v>
      </c>
      <c r="F42" s="41" t="n">
        <f aca="false">IF($A42="","",SUMIFS(业务流水!$H$5:$H$1504,业务流水!$F$5:$F$1504,$B$3,业务流水!$D$5:$D$1504,"成本票",业务流水!$C$5:$C$1504,$A42,业务流水!$Z$5:$Z$1504,"是")+SUMIFS(业务流水!$H$5:$H$1504,业务流水!$F$5:$F$1504,$B$3,业务流水!$D$5:$D$1504,"销项开票",业务流水!$C$5:$C$1504,$A42,业务流水!$Z$5:$Z$1504,"是"))</f>
        <v>0</v>
      </c>
      <c r="G42" s="42" t="n">
        <f aca="false">IF($A42="","",$E42-$F42)</f>
        <v>0</v>
      </c>
      <c r="H42" s="41" t="n">
        <f aca="false">IF($A42="","",SUMIFS(业务流水!$W$5:$W$1504,业务流水!$E$5:$E$1504,$B$3,业务流水!$D$5:$D$1504,"销项开票",业务流水!$C$5:$C$1504,$A42,业务流水!$Z$5:$Z$1504,"是"))</f>
        <v>0</v>
      </c>
      <c r="I42" s="41" t="n">
        <f aca="false">IF($A42="","",SUMIFS(业务流水!$H$5:$H$1504,业务流水!$E$5:$E$1504,$B$3,业务流水!$D$5:$D$1504,"已交税",业务流水!$C$5:$C$1504,$A42,业务流水!$Z$5:$Z$1504,"是"))</f>
        <v>0</v>
      </c>
      <c r="J42" s="42" t="n">
        <f aca="false">IF($A42="","",$H42-$I42)</f>
        <v>0</v>
      </c>
      <c r="K42" s="41" t="n">
        <f aca="false">IF($A42="","",SUMIFS(业务流水!$H$5:$H$1504,业务流水!$F$5:$F$1504,$B$3,业务流水!$D$5:$D$1504,"挂靠代收",业务流水!$C$5:$C$1504,$A42,业务流水!$Z$5:$Z$1504,"是"))</f>
        <v>0</v>
      </c>
      <c r="L42" s="42" t="n">
        <f aca="false">IF($A42="","",$C42-$K42)</f>
        <v>0</v>
      </c>
      <c r="M42" s="41" t="n">
        <f aca="false">IF($A42="","",SUMIFS(业务流水!$H$5:$H$1504,业务流水!$E$5:$E$1504,$B$3,业务流水!$D$5:$D$1504,"我方收款",业务流水!$C$5:$C$1504,$A42,业务流水!$Z$5:$Z$1504,"是"))</f>
        <v>0</v>
      </c>
      <c r="N42" s="43" t="n">
        <f aca="false">IF($A42="","",$K42-$M42)</f>
        <v>0</v>
      </c>
      <c r="O42" s="41" t="n">
        <f aca="false">IF($A42="","",SUMIFS(业务流水!$H$5:$H$1504,业务流水!$F$5:$F$1504,$B$3,业务流水!$D$5:$D$1504,"管理费结算",业务流水!$C$5:$C$1504,$A42,业务流水!$Z$5:$Z$1504,"是"))</f>
        <v>0</v>
      </c>
      <c r="P42" s="41" t="n">
        <f aca="false">IF($A42="","",SUMIFS(业务流水!$H$5:$H$1504,业务流水!$E$5:$E$1504,$B$3,业务流水!$D$5:$D$1504,"扣质保金",业务流水!$C$5:$C$1504,$A42,业务流水!$Z$5:$Z$1504,"是"))</f>
        <v>0</v>
      </c>
      <c r="Q42" s="48" t="str">
        <f aca="false">IF($A42="","",IF(SUM($C42:$F42)+SUM($K42:$M42)=0,"无","有"))</f>
        <v>无</v>
      </c>
    </row>
    <row r="43" customFormat="false" ht="15.75" hidden="false" customHeight="true" outlineLevel="0" collapsed="false">
      <c r="A43" s="32" t="str">
        <f aca="false">IF(项目档案!$A43="","",项目档案!$A43)</f>
        <v>A038</v>
      </c>
      <c r="B43" s="40" t="str">
        <f aca="false">IF($A43="","",项目档案!$B43)</f>
        <v>铜梁公司2026年配电专业应急抢修抢险等外包项目（永嘉所10kV西新线等2条线路综合检修项目）</v>
      </c>
      <c r="C43" s="41" t="n">
        <f aca="false">IF($A43="","",SUMIFS(业务流水!$H$5:$H$1504,业务流水!$E$5:$E$1504,$B$3,业务流水!$D$5:$D$1504,"销项开票",业务流水!$C$5:$C$1504,$A43,业务流水!$Z$5:$Z$1504,"是"))</f>
        <v>0</v>
      </c>
      <c r="D43" s="41" t="n">
        <f aca="false">IF($A43="","",SUMIFS(业务流水!$O$5:$O$1504,业务流水!$E$5:$E$1504,$B$3,业务流水!$D$5:$D$1504,"销项开票",业务流水!$C$5:$C$1504,$A43,业务流水!$Z$5:$Z$1504,"是"))</f>
        <v>0</v>
      </c>
      <c r="E43" s="41" t="n">
        <f aca="false">IF($A43="","",SUMIFS(业务流水!$P$5:$P$1504,业务流水!$E$5:$E$1504,$B$3,业务流水!$D$5:$D$1504,"销项开票",业务流水!$C$5:$C$1504,$A43,业务流水!$Z$5:$Z$1504,"是"))</f>
        <v>0</v>
      </c>
      <c r="F43" s="41" t="n">
        <f aca="false">IF($A43="","",SUMIFS(业务流水!$H$5:$H$1504,业务流水!$F$5:$F$1504,$B$3,业务流水!$D$5:$D$1504,"成本票",业务流水!$C$5:$C$1504,$A43,业务流水!$Z$5:$Z$1504,"是")+SUMIFS(业务流水!$H$5:$H$1504,业务流水!$F$5:$F$1504,$B$3,业务流水!$D$5:$D$1504,"销项开票",业务流水!$C$5:$C$1504,$A43,业务流水!$Z$5:$Z$1504,"是"))</f>
        <v>0</v>
      </c>
      <c r="G43" s="42" t="n">
        <f aca="false">IF($A43="","",$E43-$F43)</f>
        <v>0</v>
      </c>
      <c r="H43" s="41" t="n">
        <f aca="false">IF($A43="","",SUMIFS(业务流水!$W$5:$W$1504,业务流水!$E$5:$E$1504,$B$3,业务流水!$D$5:$D$1504,"销项开票",业务流水!$C$5:$C$1504,$A43,业务流水!$Z$5:$Z$1504,"是"))</f>
        <v>0</v>
      </c>
      <c r="I43" s="41" t="n">
        <f aca="false">IF($A43="","",SUMIFS(业务流水!$H$5:$H$1504,业务流水!$E$5:$E$1504,$B$3,业务流水!$D$5:$D$1504,"已交税",业务流水!$C$5:$C$1504,$A43,业务流水!$Z$5:$Z$1504,"是"))</f>
        <v>0</v>
      </c>
      <c r="J43" s="42" t="n">
        <f aca="false">IF($A43="","",$H43-$I43)</f>
        <v>0</v>
      </c>
      <c r="K43" s="41" t="n">
        <f aca="false">IF($A43="","",SUMIFS(业务流水!$H$5:$H$1504,业务流水!$F$5:$F$1504,$B$3,业务流水!$D$5:$D$1504,"挂靠代收",业务流水!$C$5:$C$1504,$A43,业务流水!$Z$5:$Z$1504,"是"))</f>
        <v>0</v>
      </c>
      <c r="L43" s="42" t="n">
        <f aca="false">IF($A43="","",$C43-$K43)</f>
        <v>0</v>
      </c>
      <c r="M43" s="41" t="n">
        <f aca="false">IF($A43="","",SUMIFS(业务流水!$H$5:$H$1504,业务流水!$E$5:$E$1504,$B$3,业务流水!$D$5:$D$1504,"我方收款",业务流水!$C$5:$C$1504,$A43,业务流水!$Z$5:$Z$1504,"是"))</f>
        <v>0</v>
      </c>
      <c r="N43" s="43" t="n">
        <f aca="false">IF($A43="","",$K43-$M43)</f>
        <v>0</v>
      </c>
      <c r="O43" s="41" t="n">
        <f aca="false">IF($A43="","",SUMIFS(业务流水!$H$5:$H$1504,业务流水!$F$5:$F$1504,$B$3,业务流水!$D$5:$D$1504,"管理费结算",业务流水!$C$5:$C$1504,$A43,业务流水!$Z$5:$Z$1504,"是"))</f>
        <v>0</v>
      </c>
      <c r="P43" s="41" t="n">
        <f aca="false">IF($A43="","",SUMIFS(业务流水!$H$5:$H$1504,业务流水!$E$5:$E$1504,$B$3,业务流水!$D$5:$D$1504,"扣质保金",业务流水!$C$5:$C$1504,$A43,业务流水!$Z$5:$Z$1504,"是"))</f>
        <v>0</v>
      </c>
      <c r="Q43" s="48" t="str">
        <f aca="false">IF($A43="","",IF(SUM($C43:$F43)+SUM($K43:$M43)=0,"无","有"))</f>
        <v>无</v>
      </c>
    </row>
    <row r="44" customFormat="false" ht="15.75" hidden="false" customHeight="true" outlineLevel="0" collapsed="false">
      <c r="A44" s="32" t="str">
        <f aca="false">IF(项目档案!$A44="","",项目档案!$A44)</f>
        <v>A039</v>
      </c>
      <c r="B44" s="40" t="str">
        <f aca="false">IF($A44="","",项目档案!$B44)</f>
        <v>重庆民能实业有限公司2025-2026年度工程用特种设备租赁服务框架采购(铜梁公司2026年配电专业应急抢修抢险等外包项目(永嘉所许家3
社1等台区2个隐患治理项目))</v>
      </c>
      <c r="C44" s="41" t="n">
        <f aca="false">IF($A44="","",SUMIFS(业务流水!$H$5:$H$1504,业务流水!$E$5:$E$1504,$B$3,业务流水!$D$5:$D$1504,"销项开票",业务流水!$C$5:$C$1504,$A44,业务流水!$Z$5:$Z$1504,"是"))</f>
        <v>0</v>
      </c>
      <c r="D44" s="41" t="n">
        <f aca="false">IF($A44="","",SUMIFS(业务流水!$O$5:$O$1504,业务流水!$E$5:$E$1504,$B$3,业务流水!$D$5:$D$1504,"销项开票",业务流水!$C$5:$C$1504,$A44,业务流水!$Z$5:$Z$1504,"是"))</f>
        <v>0</v>
      </c>
      <c r="E44" s="41" t="n">
        <f aca="false">IF($A44="","",SUMIFS(业务流水!$P$5:$P$1504,业务流水!$E$5:$E$1504,$B$3,业务流水!$D$5:$D$1504,"销项开票",业务流水!$C$5:$C$1504,$A44,业务流水!$Z$5:$Z$1504,"是"))</f>
        <v>0</v>
      </c>
      <c r="F44" s="41" t="n">
        <f aca="false">IF($A44="","",SUMIFS(业务流水!$H$5:$H$1504,业务流水!$F$5:$F$1504,$B$3,业务流水!$D$5:$D$1504,"成本票",业务流水!$C$5:$C$1504,$A44,业务流水!$Z$5:$Z$1504,"是")+SUMIFS(业务流水!$H$5:$H$1504,业务流水!$F$5:$F$1504,$B$3,业务流水!$D$5:$D$1504,"销项开票",业务流水!$C$5:$C$1504,$A44,业务流水!$Z$5:$Z$1504,"是"))</f>
        <v>0</v>
      </c>
      <c r="G44" s="42" t="n">
        <f aca="false">IF($A44="","",$E44-$F44)</f>
        <v>0</v>
      </c>
      <c r="H44" s="41" t="n">
        <f aca="false">IF($A44="","",SUMIFS(业务流水!$W$5:$W$1504,业务流水!$E$5:$E$1504,$B$3,业务流水!$D$5:$D$1504,"销项开票",业务流水!$C$5:$C$1504,$A44,业务流水!$Z$5:$Z$1504,"是"))</f>
        <v>0</v>
      </c>
      <c r="I44" s="41" t="n">
        <f aca="false">IF($A44="","",SUMIFS(业务流水!$H$5:$H$1504,业务流水!$E$5:$E$1504,$B$3,业务流水!$D$5:$D$1504,"已交税",业务流水!$C$5:$C$1504,$A44,业务流水!$Z$5:$Z$1504,"是"))</f>
        <v>0</v>
      </c>
      <c r="J44" s="42" t="n">
        <f aca="false">IF($A44="","",$H44-$I44)</f>
        <v>0</v>
      </c>
      <c r="K44" s="41" t="n">
        <f aca="false">IF($A44="","",SUMIFS(业务流水!$H$5:$H$1504,业务流水!$F$5:$F$1504,$B$3,业务流水!$D$5:$D$1504,"挂靠代收",业务流水!$C$5:$C$1504,$A44,业务流水!$Z$5:$Z$1504,"是"))</f>
        <v>0</v>
      </c>
      <c r="L44" s="42" t="n">
        <f aca="false">IF($A44="","",$C44-$K44)</f>
        <v>0</v>
      </c>
      <c r="M44" s="41" t="n">
        <f aca="false">IF($A44="","",SUMIFS(业务流水!$H$5:$H$1504,业务流水!$E$5:$E$1504,$B$3,业务流水!$D$5:$D$1504,"我方收款",业务流水!$C$5:$C$1504,$A44,业务流水!$Z$5:$Z$1504,"是"))</f>
        <v>0</v>
      </c>
      <c r="N44" s="43" t="n">
        <f aca="false">IF($A44="","",$K44-$M44)</f>
        <v>0</v>
      </c>
      <c r="O44" s="41" t="n">
        <f aca="false">IF($A44="","",SUMIFS(业务流水!$H$5:$H$1504,业务流水!$F$5:$F$1504,$B$3,业务流水!$D$5:$D$1504,"管理费结算",业务流水!$C$5:$C$1504,$A44,业务流水!$Z$5:$Z$1504,"是"))</f>
        <v>0</v>
      </c>
      <c r="P44" s="41" t="n">
        <f aca="false">IF($A44="","",SUMIFS(业务流水!$H$5:$H$1504,业务流水!$E$5:$E$1504,$B$3,业务流水!$D$5:$D$1504,"扣质保金",业务流水!$C$5:$C$1504,$A44,业务流水!$Z$5:$Z$1504,"是"))</f>
        <v>0</v>
      </c>
      <c r="Q44" s="48" t="str">
        <f aca="false">IF($A44="","",IF(SUM($C44:$F44)+SUM($K44:$M44)=0,"无","有"))</f>
        <v>无</v>
      </c>
    </row>
    <row r="45" customFormat="false" ht="15.75" hidden="false" customHeight="true" outlineLevel="0" collapsed="false">
      <c r="A45" s="32" t="str">
        <f aca="false">IF(项目档案!$A45="","",项目档案!$A45)</f>
        <v>A040</v>
      </c>
      <c r="B45" s="40" t="str">
        <f aca="false">IF($A45="","",项目档案!$B45)</f>
        <v>重庆民能实业有限公司2025-2026年度工程用特种设备租赁服务框架采购(铜梁公司2026年配电专业应急抢修抢险等外包项目(永嘉所高丰3
社等台区4个应急抢修项目))</v>
      </c>
      <c r="C45" s="41" t="n">
        <f aca="false">IF($A45="","",SUMIFS(业务流水!$H$5:$H$1504,业务流水!$E$5:$E$1504,$B$3,业务流水!$D$5:$D$1504,"销项开票",业务流水!$C$5:$C$1504,$A45,业务流水!$Z$5:$Z$1504,"是"))</f>
        <v>0</v>
      </c>
      <c r="D45" s="41" t="n">
        <f aca="false">IF($A45="","",SUMIFS(业务流水!$O$5:$O$1504,业务流水!$E$5:$E$1504,$B$3,业务流水!$D$5:$D$1504,"销项开票",业务流水!$C$5:$C$1504,$A45,业务流水!$Z$5:$Z$1504,"是"))</f>
        <v>0</v>
      </c>
      <c r="E45" s="41" t="n">
        <f aca="false">IF($A45="","",SUMIFS(业务流水!$P$5:$P$1504,业务流水!$E$5:$E$1504,$B$3,业务流水!$D$5:$D$1504,"销项开票",业务流水!$C$5:$C$1504,$A45,业务流水!$Z$5:$Z$1504,"是"))</f>
        <v>0</v>
      </c>
      <c r="F45" s="41" t="n">
        <f aca="false">IF($A45="","",SUMIFS(业务流水!$H$5:$H$1504,业务流水!$F$5:$F$1504,$B$3,业务流水!$D$5:$D$1504,"成本票",业务流水!$C$5:$C$1504,$A45,业务流水!$Z$5:$Z$1504,"是")+SUMIFS(业务流水!$H$5:$H$1504,业务流水!$F$5:$F$1504,$B$3,业务流水!$D$5:$D$1504,"销项开票",业务流水!$C$5:$C$1504,$A45,业务流水!$Z$5:$Z$1504,"是"))</f>
        <v>0</v>
      </c>
      <c r="G45" s="42" t="n">
        <f aca="false">IF($A45="","",$E45-$F45)</f>
        <v>0</v>
      </c>
      <c r="H45" s="41" t="n">
        <f aca="false">IF($A45="","",SUMIFS(业务流水!$W$5:$W$1504,业务流水!$E$5:$E$1504,$B$3,业务流水!$D$5:$D$1504,"销项开票",业务流水!$C$5:$C$1504,$A45,业务流水!$Z$5:$Z$1504,"是"))</f>
        <v>0</v>
      </c>
      <c r="I45" s="41" t="n">
        <f aca="false">IF($A45="","",SUMIFS(业务流水!$H$5:$H$1504,业务流水!$E$5:$E$1504,$B$3,业务流水!$D$5:$D$1504,"已交税",业务流水!$C$5:$C$1504,$A45,业务流水!$Z$5:$Z$1504,"是"))</f>
        <v>0</v>
      </c>
      <c r="J45" s="42" t="n">
        <f aca="false">IF($A45="","",$H45-$I45)</f>
        <v>0</v>
      </c>
      <c r="K45" s="41" t="n">
        <f aca="false">IF($A45="","",SUMIFS(业务流水!$H$5:$H$1504,业务流水!$F$5:$F$1504,$B$3,业务流水!$D$5:$D$1504,"挂靠代收",业务流水!$C$5:$C$1504,$A45,业务流水!$Z$5:$Z$1504,"是"))</f>
        <v>0</v>
      </c>
      <c r="L45" s="42" t="n">
        <f aca="false">IF($A45="","",$C45-$K45)</f>
        <v>0</v>
      </c>
      <c r="M45" s="41" t="n">
        <f aca="false">IF($A45="","",SUMIFS(业务流水!$H$5:$H$1504,业务流水!$E$5:$E$1504,$B$3,业务流水!$D$5:$D$1504,"我方收款",业务流水!$C$5:$C$1504,$A45,业务流水!$Z$5:$Z$1504,"是"))</f>
        <v>0</v>
      </c>
      <c r="N45" s="43" t="n">
        <f aca="false">IF($A45="","",$K45-$M45)</f>
        <v>0</v>
      </c>
      <c r="O45" s="41" t="n">
        <f aca="false">IF($A45="","",SUMIFS(业务流水!$H$5:$H$1504,业务流水!$F$5:$F$1504,$B$3,业务流水!$D$5:$D$1504,"管理费结算",业务流水!$C$5:$C$1504,$A45,业务流水!$Z$5:$Z$1504,"是"))</f>
        <v>0</v>
      </c>
      <c r="P45" s="41" t="n">
        <f aca="false">IF($A45="","",SUMIFS(业务流水!$H$5:$H$1504,业务流水!$E$5:$E$1504,$B$3,业务流水!$D$5:$D$1504,"扣质保金",业务流水!$C$5:$C$1504,$A45,业务流水!$Z$5:$Z$1504,"是"))</f>
        <v>0</v>
      </c>
      <c r="Q45" s="48" t="str">
        <f aca="false">IF($A45="","",IF(SUM($C45:$F45)+SUM($K45:$M45)=0,"无","有"))</f>
        <v>无</v>
      </c>
    </row>
    <row r="46" customFormat="false" ht="15.75" hidden="false" customHeight="true" outlineLevel="0" collapsed="false">
      <c r="A46" s="32" t="str">
        <f aca="false">IF(项目档案!$A46="","",项目档案!$A46)</f>
        <v>A041</v>
      </c>
      <c r="B46" s="40" t="str">
        <f aca="false">IF($A46="","",项目档案!$B46)</f>
        <v>重庆民能实业有限公司2025-2026年度工程用特种设备租赁服务框架采购(铜梁公司2026年配电专业应急抢修抢险等外包项目(永嘉所义和8
社等台区3个对地不足隐患治理项目))</v>
      </c>
      <c r="C46" s="41" t="n">
        <f aca="false">IF($A46="","",SUMIFS(业务流水!$H$5:$H$1504,业务流水!$E$5:$E$1504,$B$3,业务流水!$D$5:$D$1504,"销项开票",业务流水!$C$5:$C$1504,$A46,业务流水!$Z$5:$Z$1504,"是"))</f>
        <v>0</v>
      </c>
      <c r="D46" s="41" t="n">
        <f aca="false">IF($A46="","",SUMIFS(业务流水!$O$5:$O$1504,业务流水!$E$5:$E$1504,$B$3,业务流水!$D$5:$D$1504,"销项开票",业务流水!$C$5:$C$1504,$A46,业务流水!$Z$5:$Z$1504,"是"))</f>
        <v>0</v>
      </c>
      <c r="E46" s="41" t="n">
        <f aca="false">IF($A46="","",SUMIFS(业务流水!$P$5:$P$1504,业务流水!$E$5:$E$1504,$B$3,业务流水!$D$5:$D$1504,"销项开票",业务流水!$C$5:$C$1504,$A46,业务流水!$Z$5:$Z$1504,"是"))</f>
        <v>0</v>
      </c>
      <c r="F46" s="41" t="n">
        <f aca="false">IF($A46="","",SUMIFS(业务流水!$H$5:$H$1504,业务流水!$F$5:$F$1504,$B$3,业务流水!$D$5:$D$1504,"成本票",业务流水!$C$5:$C$1504,$A46,业务流水!$Z$5:$Z$1504,"是")+SUMIFS(业务流水!$H$5:$H$1504,业务流水!$F$5:$F$1504,$B$3,业务流水!$D$5:$D$1504,"销项开票",业务流水!$C$5:$C$1504,$A46,业务流水!$Z$5:$Z$1504,"是"))</f>
        <v>0</v>
      </c>
      <c r="G46" s="42" t="n">
        <f aca="false">IF($A46="","",$E46-$F46)</f>
        <v>0</v>
      </c>
      <c r="H46" s="41" t="n">
        <f aca="false">IF($A46="","",SUMIFS(业务流水!$W$5:$W$1504,业务流水!$E$5:$E$1504,$B$3,业务流水!$D$5:$D$1504,"销项开票",业务流水!$C$5:$C$1504,$A46,业务流水!$Z$5:$Z$1504,"是"))</f>
        <v>0</v>
      </c>
      <c r="I46" s="41" t="n">
        <f aca="false">IF($A46="","",SUMIFS(业务流水!$H$5:$H$1504,业务流水!$E$5:$E$1504,$B$3,业务流水!$D$5:$D$1504,"已交税",业务流水!$C$5:$C$1504,$A46,业务流水!$Z$5:$Z$1504,"是"))</f>
        <v>0</v>
      </c>
      <c r="J46" s="42" t="n">
        <f aca="false">IF($A46="","",$H46-$I46)</f>
        <v>0</v>
      </c>
      <c r="K46" s="41" t="n">
        <f aca="false">IF($A46="","",SUMIFS(业务流水!$H$5:$H$1504,业务流水!$F$5:$F$1504,$B$3,业务流水!$D$5:$D$1504,"挂靠代收",业务流水!$C$5:$C$1504,$A46,业务流水!$Z$5:$Z$1504,"是"))</f>
        <v>0</v>
      </c>
      <c r="L46" s="42" t="n">
        <f aca="false">IF($A46="","",$C46-$K46)</f>
        <v>0</v>
      </c>
      <c r="M46" s="41" t="n">
        <f aca="false">IF($A46="","",SUMIFS(业务流水!$H$5:$H$1504,业务流水!$E$5:$E$1504,$B$3,业务流水!$D$5:$D$1504,"我方收款",业务流水!$C$5:$C$1504,$A46,业务流水!$Z$5:$Z$1504,"是"))</f>
        <v>0</v>
      </c>
      <c r="N46" s="43" t="n">
        <f aca="false">IF($A46="","",$K46-$M46)</f>
        <v>0</v>
      </c>
      <c r="O46" s="41" t="n">
        <f aca="false">IF($A46="","",SUMIFS(业务流水!$H$5:$H$1504,业务流水!$F$5:$F$1504,$B$3,业务流水!$D$5:$D$1504,"管理费结算",业务流水!$C$5:$C$1504,$A46,业务流水!$Z$5:$Z$1504,"是"))</f>
        <v>0</v>
      </c>
      <c r="P46" s="41" t="n">
        <f aca="false">IF($A46="","",SUMIFS(业务流水!$H$5:$H$1504,业务流水!$E$5:$E$1504,$B$3,业务流水!$D$5:$D$1504,"扣质保金",业务流水!$C$5:$C$1504,$A46,业务流水!$Z$5:$Z$1504,"是"))</f>
        <v>0</v>
      </c>
      <c r="Q46" s="48" t="str">
        <f aca="false">IF($A46="","",IF(SUM($C46:$F46)+SUM($K46:$M46)=0,"无","有"))</f>
        <v>无</v>
      </c>
    </row>
    <row r="47" customFormat="false" ht="15.75" hidden="false" customHeight="true" outlineLevel="0" collapsed="false">
      <c r="A47" s="32" t="str">
        <f aca="false">IF(项目档案!$A47="","",项目档案!$A47)</f>
        <v>A042</v>
      </c>
      <c r="B47" s="40" t="str">
        <f aca="false">IF($A47="","",项目档案!$B47)</f>
        <v>重庆民能实业有限公司2025-2026年度工程用特种设备租赁服务框架采购(铜梁公司2026年35kV输电专业应急抢修检修外包项目(输电运检中心2026年35kV线路接地隐患消除等3个项目))</v>
      </c>
      <c r="C47" s="41" t="n">
        <f aca="false">IF($A47="","",SUMIFS(业务流水!$H$5:$H$1504,业务流水!$E$5:$E$1504,$B$3,业务流水!$D$5:$D$1504,"销项开票",业务流水!$C$5:$C$1504,$A47,业务流水!$Z$5:$Z$1504,"是"))</f>
        <v>0</v>
      </c>
      <c r="D47" s="41" t="n">
        <f aca="false">IF($A47="","",SUMIFS(业务流水!$O$5:$O$1504,业务流水!$E$5:$E$1504,$B$3,业务流水!$D$5:$D$1504,"销项开票",业务流水!$C$5:$C$1504,$A47,业务流水!$Z$5:$Z$1504,"是"))</f>
        <v>0</v>
      </c>
      <c r="E47" s="41" t="n">
        <f aca="false">IF($A47="","",SUMIFS(业务流水!$P$5:$P$1504,业务流水!$E$5:$E$1504,$B$3,业务流水!$D$5:$D$1504,"销项开票",业务流水!$C$5:$C$1504,$A47,业务流水!$Z$5:$Z$1504,"是"))</f>
        <v>0</v>
      </c>
      <c r="F47" s="41" t="n">
        <f aca="false">IF($A47="","",SUMIFS(业务流水!$H$5:$H$1504,业务流水!$F$5:$F$1504,$B$3,业务流水!$D$5:$D$1504,"成本票",业务流水!$C$5:$C$1504,$A47,业务流水!$Z$5:$Z$1504,"是")+SUMIFS(业务流水!$H$5:$H$1504,业务流水!$F$5:$F$1504,$B$3,业务流水!$D$5:$D$1504,"销项开票",业务流水!$C$5:$C$1504,$A47,业务流水!$Z$5:$Z$1504,"是"))</f>
        <v>0</v>
      </c>
      <c r="G47" s="42" t="n">
        <f aca="false">IF($A47="","",$E47-$F47)</f>
        <v>0</v>
      </c>
      <c r="H47" s="41" t="n">
        <f aca="false">IF($A47="","",SUMIFS(业务流水!$W$5:$W$1504,业务流水!$E$5:$E$1504,$B$3,业务流水!$D$5:$D$1504,"销项开票",业务流水!$C$5:$C$1504,$A47,业务流水!$Z$5:$Z$1504,"是"))</f>
        <v>0</v>
      </c>
      <c r="I47" s="41" t="n">
        <f aca="false">IF($A47="","",SUMIFS(业务流水!$H$5:$H$1504,业务流水!$E$5:$E$1504,$B$3,业务流水!$D$5:$D$1504,"已交税",业务流水!$C$5:$C$1504,$A47,业务流水!$Z$5:$Z$1504,"是"))</f>
        <v>0</v>
      </c>
      <c r="J47" s="42" t="n">
        <f aca="false">IF($A47="","",$H47-$I47)</f>
        <v>0</v>
      </c>
      <c r="K47" s="41" t="n">
        <f aca="false">IF($A47="","",SUMIFS(业务流水!$H$5:$H$1504,业务流水!$F$5:$F$1504,$B$3,业务流水!$D$5:$D$1504,"挂靠代收",业务流水!$C$5:$C$1504,$A47,业务流水!$Z$5:$Z$1504,"是"))</f>
        <v>0</v>
      </c>
      <c r="L47" s="42" t="n">
        <f aca="false">IF($A47="","",$C47-$K47)</f>
        <v>0</v>
      </c>
      <c r="M47" s="41" t="n">
        <f aca="false">IF($A47="","",SUMIFS(业务流水!$H$5:$H$1504,业务流水!$E$5:$E$1504,$B$3,业务流水!$D$5:$D$1504,"我方收款",业务流水!$C$5:$C$1504,$A47,业务流水!$Z$5:$Z$1504,"是"))</f>
        <v>0</v>
      </c>
      <c r="N47" s="43" t="n">
        <f aca="false">IF($A47="","",$K47-$M47)</f>
        <v>0</v>
      </c>
      <c r="O47" s="41" t="n">
        <f aca="false">IF($A47="","",SUMIFS(业务流水!$H$5:$H$1504,业务流水!$F$5:$F$1504,$B$3,业务流水!$D$5:$D$1504,"管理费结算",业务流水!$C$5:$C$1504,$A47,业务流水!$Z$5:$Z$1504,"是"))</f>
        <v>0</v>
      </c>
      <c r="P47" s="41" t="n">
        <f aca="false">IF($A47="","",SUMIFS(业务流水!$H$5:$H$1504,业务流水!$E$5:$E$1504,$B$3,业务流水!$D$5:$D$1504,"扣质保金",业务流水!$C$5:$C$1504,$A47,业务流水!$Z$5:$Z$1504,"是"))</f>
        <v>0</v>
      </c>
      <c r="Q47" s="48" t="str">
        <f aca="false">IF($A47="","",IF(SUM($C47:$F47)+SUM($K47:$M47)=0,"无","有"))</f>
        <v>无</v>
      </c>
    </row>
    <row r="48" customFormat="false" ht="15.75" hidden="false" customHeight="true" outlineLevel="0" collapsed="false">
      <c r="A48" s="32" t="str">
        <f aca="false">IF(项目档案!$A48="","",项目档案!$A48)</f>
        <v>A043</v>
      </c>
      <c r="B48" s="40" t="str">
        <f aca="false">IF($A48="","",项目档案!$B48)</f>
        <v>重庆民能实业有限公司2025-2026年度工程用特种设备租赁服务框架采购(10kV少盘线哨楼村支线#1杆线路迁改工程)</v>
      </c>
      <c r="C48" s="41" t="n">
        <f aca="false">IF($A48="","",SUMIFS(业务流水!$H$5:$H$1504,业务流水!$E$5:$E$1504,$B$3,业务流水!$D$5:$D$1504,"销项开票",业务流水!$C$5:$C$1504,$A48,业务流水!$Z$5:$Z$1504,"是"))</f>
        <v>0</v>
      </c>
      <c r="D48" s="41" t="n">
        <f aca="false">IF($A48="","",SUMIFS(业务流水!$O$5:$O$1504,业务流水!$E$5:$E$1504,$B$3,业务流水!$D$5:$D$1504,"销项开票",业务流水!$C$5:$C$1504,$A48,业务流水!$Z$5:$Z$1504,"是"))</f>
        <v>0</v>
      </c>
      <c r="E48" s="41" t="n">
        <f aca="false">IF($A48="","",SUMIFS(业务流水!$P$5:$P$1504,业务流水!$E$5:$E$1504,$B$3,业务流水!$D$5:$D$1504,"销项开票",业务流水!$C$5:$C$1504,$A48,业务流水!$Z$5:$Z$1504,"是"))</f>
        <v>0</v>
      </c>
      <c r="F48" s="41" t="n">
        <f aca="false">IF($A48="","",SUMIFS(业务流水!$H$5:$H$1504,业务流水!$F$5:$F$1504,$B$3,业务流水!$D$5:$D$1504,"成本票",业务流水!$C$5:$C$1504,$A48,业务流水!$Z$5:$Z$1504,"是")+SUMIFS(业务流水!$H$5:$H$1504,业务流水!$F$5:$F$1504,$B$3,业务流水!$D$5:$D$1504,"销项开票",业务流水!$C$5:$C$1504,$A48,业务流水!$Z$5:$Z$1504,"是"))</f>
        <v>0</v>
      </c>
      <c r="G48" s="42" t="n">
        <f aca="false">IF($A48="","",$E48-$F48)</f>
        <v>0</v>
      </c>
      <c r="H48" s="41" t="n">
        <f aca="false">IF($A48="","",SUMIFS(业务流水!$W$5:$W$1504,业务流水!$E$5:$E$1504,$B$3,业务流水!$D$5:$D$1504,"销项开票",业务流水!$C$5:$C$1504,$A48,业务流水!$Z$5:$Z$1504,"是"))</f>
        <v>0</v>
      </c>
      <c r="I48" s="41" t="n">
        <f aca="false">IF($A48="","",SUMIFS(业务流水!$H$5:$H$1504,业务流水!$E$5:$E$1504,$B$3,业务流水!$D$5:$D$1504,"已交税",业务流水!$C$5:$C$1504,$A48,业务流水!$Z$5:$Z$1504,"是"))</f>
        <v>0</v>
      </c>
      <c r="J48" s="42" t="n">
        <f aca="false">IF($A48="","",$H48-$I48)</f>
        <v>0</v>
      </c>
      <c r="K48" s="41" t="n">
        <f aca="false">IF($A48="","",SUMIFS(业务流水!$H$5:$H$1504,业务流水!$F$5:$F$1504,$B$3,业务流水!$D$5:$D$1504,"挂靠代收",业务流水!$C$5:$C$1504,$A48,业务流水!$Z$5:$Z$1504,"是"))</f>
        <v>0</v>
      </c>
      <c r="L48" s="42" t="n">
        <f aca="false">IF($A48="","",$C48-$K48)</f>
        <v>0</v>
      </c>
      <c r="M48" s="41" t="n">
        <f aca="false">IF($A48="","",SUMIFS(业务流水!$H$5:$H$1504,业务流水!$E$5:$E$1504,$B$3,业务流水!$D$5:$D$1504,"我方收款",业务流水!$C$5:$C$1504,$A48,业务流水!$Z$5:$Z$1504,"是"))</f>
        <v>0</v>
      </c>
      <c r="N48" s="43" t="n">
        <f aca="false">IF($A48="","",$K48-$M48)</f>
        <v>0</v>
      </c>
      <c r="O48" s="41" t="n">
        <f aca="false">IF($A48="","",SUMIFS(业务流水!$H$5:$H$1504,业务流水!$F$5:$F$1504,$B$3,业务流水!$D$5:$D$1504,"管理费结算",业务流水!$C$5:$C$1504,$A48,业务流水!$Z$5:$Z$1504,"是"))</f>
        <v>0</v>
      </c>
      <c r="P48" s="41" t="n">
        <f aca="false">IF($A48="","",SUMIFS(业务流水!$H$5:$H$1504,业务流水!$E$5:$E$1504,$B$3,业务流水!$D$5:$D$1504,"扣质保金",业务流水!$C$5:$C$1504,$A48,业务流水!$Z$5:$Z$1504,"是"))</f>
        <v>0</v>
      </c>
      <c r="Q48" s="48" t="str">
        <f aca="false">IF($A48="","",IF(SUM($C48:$F48)+SUM($K48:$M48)=0,"无","有"))</f>
        <v>无</v>
      </c>
    </row>
    <row r="49" customFormat="false" ht="15.75" hidden="false" customHeight="true" outlineLevel="0" collapsed="false">
      <c r="A49" s="32" t="str">
        <f aca="false">IF(项目档案!$A49="","",项目档案!$A49)</f>
        <v>A044</v>
      </c>
      <c r="B49" s="40" t="str">
        <f aca="false">IF($A49="","",项目档案!$B49)</f>
        <v>重庆民能实业有限公司2025-2026年度工程用特种设备租赁服务框架采购(铜梁公司2026年配电专业应急抢修抢险等外包项目(永嘉所许家3社1等台区2个隐患治理项目）)</v>
      </c>
      <c r="C49" s="41" t="n">
        <f aca="false">IF($A49="","",SUMIFS(业务流水!$H$5:$H$1504,业务流水!$E$5:$E$1504,$B$3,业务流水!$D$5:$D$1504,"销项开票",业务流水!$C$5:$C$1504,$A49,业务流水!$Z$5:$Z$1504,"是"))</f>
        <v>0</v>
      </c>
      <c r="D49" s="41" t="n">
        <f aca="false">IF($A49="","",SUMIFS(业务流水!$O$5:$O$1504,业务流水!$E$5:$E$1504,$B$3,业务流水!$D$5:$D$1504,"销项开票",业务流水!$C$5:$C$1504,$A49,业务流水!$Z$5:$Z$1504,"是"))</f>
        <v>0</v>
      </c>
      <c r="E49" s="41" t="n">
        <f aca="false">IF($A49="","",SUMIFS(业务流水!$P$5:$P$1504,业务流水!$E$5:$E$1504,$B$3,业务流水!$D$5:$D$1504,"销项开票",业务流水!$C$5:$C$1504,$A49,业务流水!$Z$5:$Z$1504,"是"))</f>
        <v>0</v>
      </c>
      <c r="F49" s="41" t="n">
        <f aca="false">IF($A49="","",SUMIFS(业务流水!$H$5:$H$1504,业务流水!$F$5:$F$1504,$B$3,业务流水!$D$5:$D$1504,"成本票",业务流水!$C$5:$C$1504,$A49,业务流水!$Z$5:$Z$1504,"是")+SUMIFS(业务流水!$H$5:$H$1504,业务流水!$F$5:$F$1504,$B$3,业务流水!$D$5:$D$1504,"销项开票",业务流水!$C$5:$C$1504,$A49,业务流水!$Z$5:$Z$1504,"是"))</f>
        <v>0</v>
      </c>
      <c r="G49" s="42" t="n">
        <f aca="false">IF($A49="","",$E49-$F49)</f>
        <v>0</v>
      </c>
      <c r="H49" s="41" t="n">
        <f aca="false">IF($A49="","",SUMIFS(业务流水!$W$5:$W$1504,业务流水!$E$5:$E$1504,$B$3,业务流水!$D$5:$D$1504,"销项开票",业务流水!$C$5:$C$1504,$A49,业务流水!$Z$5:$Z$1504,"是"))</f>
        <v>0</v>
      </c>
      <c r="I49" s="41" t="n">
        <f aca="false">IF($A49="","",SUMIFS(业务流水!$H$5:$H$1504,业务流水!$E$5:$E$1504,$B$3,业务流水!$D$5:$D$1504,"已交税",业务流水!$C$5:$C$1504,$A49,业务流水!$Z$5:$Z$1504,"是"))</f>
        <v>0</v>
      </c>
      <c r="J49" s="42" t="n">
        <f aca="false">IF($A49="","",$H49-$I49)</f>
        <v>0</v>
      </c>
      <c r="K49" s="41" t="n">
        <f aca="false">IF($A49="","",SUMIFS(业务流水!$H$5:$H$1504,业务流水!$F$5:$F$1504,$B$3,业务流水!$D$5:$D$1504,"挂靠代收",业务流水!$C$5:$C$1504,$A49,业务流水!$Z$5:$Z$1504,"是"))</f>
        <v>0</v>
      </c>
      <c r="L49" s="42" t="n">
        <f aca="false">IF($A49="","",$C49-$K49)</f>
        <v>0</v>
      </c>
      <c r="M49" s="41" t="n">
        <f aca="false">IF($A49="","",SUMIFS(业务流水!$H$5:$H$1504,业务流水!$E$5:$E$1504,$B$3,业务流水!$D$5:$D$1504,"我方收款",业务流水!$C$5:$C$1504,$A49,业务流水!$Z$5:$Z$1504,"是"))</f>
        <v>0</v>
      </c>
      <c r="N49" s="43" t="n">
        <f aca="false">IF($A49="","",$K49-$M49)</f>
        <v>0</v>
      </c>
      <c r="O49" s="41" t="n">
        <f aca="false">IF($A49="","",SUMIFS(业务流水!$H$5:$H$1504,业务流水!$F$5:$F$1504,$B$3,业务流水!$D$5:$D$1504,"管理费结算",业务流水!$C$5:$C$1504,$A49,业务流水!$Z$5:$Z$1504,"是"))</f>
        <v>0</v>
      </c>
      <c r="P49" s="41" t="n">
        <f aca="false">IF($A49="","",SUMIFS(业务流水!$H$5:$H$1504,业务流水!$E$5:$E$1504,$B$3,业务流水!$D$5:$D$1504,"扣质保金",业务流水!$C$5:$C$1504,$A49,业务流水!$Z$5:$Z$1504,"是"))</f>
        <v>0</v>
      </c>
      <c r="Q49" s="48" t="str">
        <f aca="false">IF($A49="","",IF(SUM($C49:$F49)+SUM($K49:$M49)=0,"无","有"))</f>
        <v>无</v>
      </c>
    </row>
    <row r="50" customFormat="false" ht="15.75" hidden="false" customHeight="true" outlineLevel="0" collapsed="false">
      <c r="A50" s="32" t="str">
        <f aca="false">IF(项目档案!$A50="","",项目档案!$A50)</f>
        <v>A045</v>
      </c>
      <c r="B50" s="40" t="str">
        <f aca="false">IF($A50="","",项目档案!$B50)</f>
        <v>重庆民能实业有限公司2025-2026年度工程用特种设备租赁服务框架采购(铜梁公司2026年配电专业应急抢修抢险等外包项目(永嘉所高丰3社等台区4个应急抢修项目))</v>
      </c>
      <c r="C50" s="41" t="n">
        <f aca="false">IF($A50="","",SUMIFS(业务流水!$H$5:$H$1504,业务流水!$E$5:$E$1504,$B$3,业务流水!$D$5:$D$1504,"销项开票",业务流水!$C$5:$C$1504,$A50,业务流水!$Z$5:$Z$1504,"是"))</f>
        <v>0</v>
      </c>
      <c r="D50" s="41" t="n">
        <f aca="false">IF($A50="","",SUMIFS(业务流水!$O$5:$O$1504,业务流水!$E$5:$E$1504,$B$3,业务流水!$D$5:$D$1504,"销项开票",业务流水!$C$5:$C$1504,$A50,业务流水!$Z$5:$Z$1504,"是"))</f>
        <v>0</v>
      </c>
      <c r="E50" s="41" t="n">
        <f aca="false">IF($A50="","",SUMIFS(业务流水!$P$5:$P$1504,业务流水!$E$5:$E$1504,$B$3,业务流水!$D$5:$D$1504,"销项开票",业务流水!$C$5:$C$1504,$A50,业务流水!$Z$5:$Z$1504,"是"))</f>
        <v>0</v>
      </c>
      <c r="F50" s="41" t="n">
        <f aca="false">IF($A50="","",SUMIFS(业务流水!$H$5:$H$1504,业务流水!$F$5:$F$1504,$B$3,业务流水!$D$5:$D$1504,"成本票",业务流水!$C$5:$C$1504,$A50,业务流水!$Z$5:$Z$1504,"是")+SUMIFS(业务流水!$H$5:$H$1504,业务流水!$F$5:$F$1504,$B$3,业务流水!$D$5:$D$1504,"销项开票",业务流水!$C$5:$C$1504,$A50,业务流水!$Z$5:$Z$1504,"是"))</f>
        <v>0</v>
      </c>
      <c r="G50" s="42" t="n">
        <f aca="false">IF($A50="","",$E50-$F50)</f>
        <v>0</v>
      </c>
      <c r="H50" s="41" t="n">
        <f aca="false">IF($A50="","",SUMIFS(业务流水!$W$5:$W$1504,业务流水!$E$5:$E$1504,$B$3,业务流水!$D$5:$D$1504,"销项开票",业务流水!$C$5:$C$1504,$A50,业务流水!$Z$5:$Z$1504,"是"))</f>
        <v>0</v>
      </c>
      <c r="I50" s="41" t="n">
        <f aca="false">IF($A50="","",SUMIFS(业务流水!$H$5:$H$1504,业务流水!$E$5:$E$1504,$B$3,业务流水!$D$5:$D$1504,"已交税",业务流水!$C$5:$C$1504,$A50,业务流水!$Z$5:$Z$1504,"是"))</f>
        <v>0</v>
      </c>
      <c r="J50" s="42" t="n">
        <f aca="false">IF($A50="","",$H50-$I50)</f>
        <v>0</v>
      </c>
      <c r="K50" s="41" t="n">
        <f aca="false">IF($A50="","",SUMIFS(业务流水!$H$5:$H$1504,业务流水!$F$5:$F$1504,$B$3,业务流水!$D$5:$D$1504,"挂靠代收",业务流水!$C$5:$C$1504,$A50,业务流水!$Z$5:$Z$1504,"是"))</f>
        <v>0</v>
      </c>
      <c r="L50" s="42" t="n">
        <f aca="false">IF($A50="","",$C50-$K50)</f>
        <v>0</v>
      </c>
      <c r="M50" s="41" t="n">
        <f aca="false">IF($A50="","",SUMIFS(业务流水!$H$5:$H$1504,业务流水!$E$5:$E$1504,$B$3,业务流水!$D$5:$D$1504,"我方收款",业务流水!$C$5:$C$1504,$A50,业务流水!$Z$5:$Z$1504,"是"))</f>
        <v>0</v>
      </c>
      <c r="N50" s="43" t="n">
        <f aca="false">IF($A50="","",$K50-$M50)</f>
        <v>0</v>
      </c>
      <c r="O50" s="41" t="n">
        <f aca="false">IF($A50="","",SUMIFS(业务流水!$H$5:$H$1504,业务流水!$F$5:$F$1504,$B$3,业务流水!$D$5:$D$1504,"管理费结算",业务流水!$C$5:$C$1504,$A50,业务流水!$Z$5:$Z$1504,"是"))</f>
        <v>0</v>
      </c>
      <c r="P50" s="41" t="n">
        <f aca="false">IF($A50="","",SUMIFS(业务流水!$H$5:$H$1504,业务流水!$E$5:$E$1504,$B$3,业务流水!$D$5:$D$1504,"扣质保金",业务流水!$C$5:$C$1504,$A50,业务流水!$Z$5:$Z$1504,"是"))</f>
        <v>0</v>
      </c>
      <c r="Q50" s="48" t="str">
        <f aca="false">IF($A50="","",IF(SUM($C50:$F50)+SUM($K50:$M50)=0,"无","有"))</f>
        <v>无</v>
      </c>
    </row>
    <row r="51" customFormat="false" ht="15.75" hidden="false" customHeight="true" outlineLevel="0" collapsed="false">
      <c r="A51" s="32" t="str">
        <f aca="false">IF(项目档案!$A51="","",项目档案!$A51)</f>
        <v>A046</v>
      </c>
      <c r="B51" s="40" t="str">
        <f aca="false">IF($A51="","",项目档案!$B51)</f>
        <v>重庆民能实业有限公司2025-2026年度工程用特种设备租赁服务框架采购(铜梁公司2026年配电专业应急抢修抢险等外包项目(永嘉所义和8社等台区3个对地不足隐患治理项目)）</v>
      </c>
      <c r="C51" s="41" t="n">
        <f aca="false">IF($A51="","",SUMIFS(业务流水!$H$5:$H$1504,业务流水!$E$5:$E$1504,$B$3,业务流水!$D$5:$D$1504,"销项开票",业务流水!$C$5:$C$1504,$A51,业务流水!$Z$5:$Z$1504,"是"))</f>
        <v>0</v>
      </c>
      <c r="D51" s="41" t="n">
        <f aca="false">IF($A51="","",SUMIFS(业务流水!$O$5:$O$1504,业务流水!$E$5:$E$1504,$B$3,业务流水!$D$5:$D$1504,"销项开票",业务流水!$C$5:$C$1504,$A51,业务流水!$Z$5:$Z$1504,"是"))</f>
        <v>0</v>
      </c>
      <c r="E51" s="41" t="n">
        <f aca="false">IF($A51="","",SUMIFS(业务流水!$P$5:$P$1504,业务流水!$E$5:$E$1504,$B$3,业务流水!$D$5:$D$1504,"销项开票",业务流水!$C$5:$C$1504,$A51,业务流水!$Z$5:$Z$1504,"是"))</f>
        <v>0</v>
      </c>
      <c r="F51" s="41" t="n">
        <f aca="false">IF($A51="","",SUMIFS(业务流水!$H$5:$H$1504,业务流水!$F$5:$F$1504,$B$3,业务流水!$D$5:$D$1504,"成本票",业务流水!$C$5:$C$1504,$A51,业务流水!$Z$5:$Z$1504,"是")+SUMIFS(业务流水!$H$5:$H$1504,业务流水!$F$5:$F$1504,$B$3,业务流水!$D$5:$D$1504,"销项开票",业务流水!$C$5:$C$1504,$A51,业务流水!$Z$5:$Z$1504,"是"))</f>
        <v>0</v>
      </c>
      <c r="G51" s="42" t="n">
        <f aca="false">IF($A51="","",$E51-$F51)</f>
        <v>0</v>
      </c>
      <c r="H51" s="41" t="n">
        <f aca="false">IF($A51="","",SUMIFS(业务流水!$W$5:$W$1504,业务流水!$E$5:$E$1504,$B$3,业务流水!$D$5:$D$1504,"销项开票",业务流水!$C$5:$C$1504,$A51,业务流水!$Z$5:$Z$1504,"是"))</f>
        <v>0</v>
      </c>
      <c r="I51" s="41" t="n">
        <f aca="false">IF($A51="","",SUMIFS(业务流水!$H$5:$H$1504,业务流水!$E$5:$E$1504,$B$3,业务流水!$D$5:$D$1504,"已交税",业务流水!$C$5:$C$1504,$A51,业务流水!$Z$5:$Z$1504,"是"))</f>
        <v>0</v>
      </c>
      <c r="J51" s="42" t="n">
        <f aca="false">IF($A51="","",$H51-$I51)</f>
        <v>0</v>
      </c>
      <c r="K51" s="41" t="n">
        <f aca="false">IF($A51="","",SUMIFS(业务流水!$H$5:$H$1504,业务流水!$F$5:$F$1504,$B$3,业务流水!$D$5:$D$1504,"挂靠代收",业务流水!$C$5:$C$1504,$A51,业务流水!$Z$5:$Z$1504,"是"))</f>
        <v>0</v>
      </c>
      <c r="L51" s="42" t="n">
        <f aca="false">IF($A51="","",$C51-$K51)</f>
        <v>0</v>
      </c>
      <c r="M51" s="41" t="n">
        <f aca="false">IF($A51="","",SUMIFS(业务流水!$H$5:$H$1504,业务流水!$E$5:$E$1504,$B$3,业务流水!$D$5:$D$1504,"我方收款",业务流水!$C$5:$C$1504,$A51,业务流水!$Z$5:$Z$1504,"是"))</f>
        <v>0</v>
      </c>
      <c r="N51" s="43" t="n">
        <f aca="false">IF($A51="","",$K51-$M51)</f>
        <v>0</v>
      </c>
      <c r="O51" s="41" t="n">
        <f aca="false">IF($A51="","",SUMIFS(业务流水!$H$5:$H$1504,业务流水!$F$5:$F$1504,$B$3,业务流水!$D$5:$D$1504,"管理费结算",业务流水!$C$5:$C$1504,$A51,业务流水!$Z$5:$Z$1504,"是"))</f>
        <v>0</v>
      </c>
      <c r="P51" s="41" t="n">
        <f aca="false">IF($A51="","",SUMIFS(业务流水!$H$5:$H$1504,业务流水!$E$5:$E$1504,$B$3,业务流水!$D$5:$D$1504,"扣质保金",业务流水!$C$5:$C$1504,$A51,业务流水!$Z$5:$Z$1504,"是"))</f>
        <v>0</v>
      </c>
      <c r="Q51" s="48" t="str">
        <f aca="false">IF($A51="","",IF(SUM($C51:$F51)+SUM($K51:$M51)=0,"无","有"))</f>
        <v>无</v>
      </c>
    </row>
    <row r="52" customFormat="false" ht="15.75" hidden="false" customHeight="true" outlineLevel="0" collapsed="false">
      <c r="A52" s="32" t="str">
        <f aca="false">IF(项目档案!$A52="","",项目档案!$A52)</f>
        <v>A047</v>
      </c>
      <c r="B52" s="40" t="str">
        <f aca="false">IF($A52="","",项目档案!$B52)</f>
        <v>重庆民能实业有限公司2025-2026年度工程用特种设备租赁服务框架采购(铜梁公司2026年35kV输电专业应急抢修检修外包项目(输电运检中心2026年35kV线路接地隐患消除等3个项目)）</v>
      </c>
      <c r="C52" s="41" t="n">
        <f aca="false">IF($A52="","",SUMIFS(业务流水!$H$5:$H$1504,业务流水!$E$5:$E$1504,$B$3,业务流水!$D$5:$D$1504,"销项开票",业务流水!$C$5:$C$1504,$A52,业务流水!$Z$5:$Z$1504,"是"))</f>
        <v>0</v>
      </c>
      <c r="D52" s="41" t="n">
        <f aca="false">IF($A52="","",SUMIFS(业务流水!$O$5:$O$1504,业务流水!$E$5:$E$1504,$B$3,业务流水!$D$5:$D$1504,"销项开票",业务流水!$C$5:$C$1504,$A52,业务流水!$Z$5:$Z$1504,"是"))</f>
        <v>0</v>
      </c>
      <c r="E52" s="41" t="n">
        <f aca="false">IF($A52="","",SUMIFS(业务流水!$P$5:$P$1504,业务流水!$E$5:$E$1504,$B$3,业务流水!$D$5:$D$1504,"销项开票",业务流水!$C$5:$C$1504,$A52,业务流水!$Z$5:$Z$1504,"是"))</f>
        <v>0</v>
      </c>
      <c r="F52" s="41" t="n">
        <f aca="false">IF($A52="","",SUMIFS(业务流水!$H$5:$H$1504,业务流水!$F$5:$F$1504,$B$3,业务流水!$D$5:$D$1504,"成本票",业务流水!$C$5:$C$1504,$A52,业务流水!$Z$5:$Z$1504,"是")+SUMIFS(业务流水!$H$5:$H$1504,业务流水!$F$5:$F$1504,$B$3,业务流水!$D$5:$D$1504,"销项开票",业务流水!$C$5:$C$1504,$A52,业务流水!$Z$5:$Z$1504,"是"))</f>
        <v>0</v>
      </c>
      <c r="G52" s="42" t="n">
        <f aca="false">IF($A52="","",$E52-$F52)</f>
        <v>0</v>
      </c>
      <c r="H52" s="41" t="n">
        <f aca="false">IF($A52="","",SUMIFS(业务流水!$W$5:$W$1504,业务流水!$E$5:$E$1504,$B$3,业务流水!$D$5:$D$1504,"销项开票",业务流水!$C$5:$C$1504,$A52,业务流水!$Z$5:$Z$1504,"是"))</f>
        <v>0</v>
      </c>
      <c r="I52" s="41" t="n">
        <f aca="false">IF($A52="","",SUMIFS(业务流水!$H$5:$H$1504,业务流水!$E$5:$E$1504,$B$3,业务流水!$D$5:$D$1504,"已交税",业务流水!$C$5:$C$1504,$A52,业务流水!$Z$5:$Z$1504,"是"))</f>
        <v>0</v>
      </c>
      <c r="J52" s="42" t="n">
        <f aca="false">IF($A52="","",$H52-$I52)</f>
        <v>0</v>
      </c>
      <c r="K52" s="41" t="n">
        <f aca="false">IF($A52="","",SUMIFS(业务流水!$H$5:$H$1504,业务流水!$F$5:$F$1504,$B$3,业务流水!$D$5:$D$1504,"挂靠代收",业务流水!$C$5:$C$1504,$A52,业务流水!$Z$5:$Z$1504,"是"))</f>
        <v>0</v>
      </c>
      <c r="L52" s="42" t="n">
        <f aca="false">IF($A52="","",$C52-$K52)</f>
        <v>0</v>
      </c>
      <c r="M52" s="41" t="n">
        <f aca="false">IF($A52="","",SUMIFS(业务流水!$H$5:$H$1504,业务流水!$E$5:$E$1504,$B$3,业务流水!$D$5:$D$1504,"我方收款",业务流水!$C$5:$C$1504,$A52,业务流水!$Z$5:$Z$1504,"是"))</f>
        <v>0</v>
      </c>
      <c r="N52" s="43" t="n">
        <f aca="false">IF($A52="","",$K52-$M52)</f>
        <v>0</v>
      </c>
      <c r="O52" s="41" t="n">
        <f aca="false">IF($A52="","",SUMIFS(业务流水!$H$5:$H$1504,业务流水!$F$5:$F$1504,$B$3,业务流水!$D$5:$D$1504,"管理费结算",业务流水!$C$5:$C$1504,$A52,业务流水!$Z$5:$Z$1504,"是"))</f>
        <v>0</v>
      </c>
      <c r="P52" s="41" t="n">
        <f aca="false">IF($A52="","",SUMIFS(业务流水!$H$5:$H$1504,业务流水!$E$5:$E$1504,$B$3,业务流水!$D$5:$D$1504,"扣质保金",业务流水!$C$5:$C$1504,$A52,业务流水!$Z$5:$Z$1504,"是"))</f>
        <v>0</v>
      </c>
      <c r="Q52" s="48" t="str">
        <f aca="false">IF($A52="","",IF(SUM($C52:$F52)+SUM($K52:$M52)=0,"无","有"))</f>
        <v>无</v>
      </c>
    </row>
    <row r="53" customFormat="false" ht="15.75" hidden="false" customHeight="true" outlineLevel="0" collapsed="false">
      <c r="A53" s="32" t="str">
        <f aca="false">IF(项目档案!$A53="","",项目档案!$A53)</f>
        <v>A048</v>
      </c>
      <c r="B53" s="40" t="str">
        <f aca="false">IF($A53="","",项目档案!$B53)</f>
        <v>重庆民能实业有限公司2025-2026年度工程用特种设备租赁服务框架采购(铜梁公司2026年配电专业应急抢修抢险等外包项目(永嘉所许家3社1等台区2个隐患治理项目))</v>
      </c>
      <c r="C53" s="41" t="n">
        <f aca="false">IF($A53="","",SUMIFS(业务流水!$H$5:$H$1504,业务流水!$E$5:$E$1504,$B$3,业务流水!$D$5:$D$1504,"销项开票",业务流水!$C$5:$C$1504,$A53,业务流水!$Z$5:$Z$1504,"是"))</f>
        <v>0</v>
      </c>
      <c r="D53" s="41" t="n">
        <f aca="false">IF($A53="","",SUMIFS(业务流水!$O$5:$O$1504,业务流水!$E$5:$E$1504,$B$3,业务流水!$D$5:$D$1504,"销项开票",业务流水!$C$5:$C$1504,$A53,业务流水!$Z$5:$Z$1504,"是"))</f>
        <v>0</v>
      </c>
      <c r="E53" s="41" t="n">
        <f aca="false">IF($A53="","",SUMIFS(业务流水!$P$5:$P$1504,业务流水!$E$5:$E$1504,$B$3,业务流水!$D$5:$D$1504,"销项开票",业务流水!$C$5:$C$1504,$A53,业务流水!$Z$5:$Z$1504,"是"))</f>
        <v>0</v>
      </c>
      <c r="F53" s="41" t="n">
        <f aca="false">IF($A53="","",SUMIFS(业务流水!$H$5:$H$1504,业务流水!$F$5:$F$1504,$B$3,业务流水!$D$5:$D$1504,"成本票",业务流水!$C$5:$C$1504,$A53,业务流水!$Z$5:$Z$1504,"是")+SUMIFS(业务流水!$H$5:$H$1504,业务流水!$F$5:$F$1504,$B$3,业务流水!$D$5:$D$1504,"销项开票",业务流水!$C$5:$C$1504,$A53,业务流水!$Z$5:$Z$1504,"是"))</f>
        <v>0</v>
      </c>
      <c r="G53" s="42" t="n">
        <f aca="false">IF($A53="","",$E53-$F53)</f>
        <v>0</v>
      </c>
      <c r="H53" s="41" t="n">
        <f aca="false">IF($A53="","",SUMIFS(业务流水!$W$5:$W$1504,业务流水!$E$5:$E$1504,$B$3,业务流水!$D$5:$D$1504,"销项开票",业务流水!$C$5:$C$1504,$A53,业务流水!$Z$5:$Z$1504,"是"))</f>
        <v>0</v>
      </c>
      <c r="I53" s="41" t="n">
        <f aca="false">IF($A53="","",SUMIFS(业务流水!$H$5:$H$1504,业务流水!$E$5:$E$1504,$B$3,业务流水!$D$5:$D$1504,"已交税",业务流水!$C$5:$C$1504,$A53,业务流水!$Z$5:$Z$1504,"是"))</f>
        <v>0</v>
      </c>
      <c r="J53" s="42" t="n">
        <f aca="false">IF($A53="","",$H53-$I53)</f>
        <v>0</v>
      </c>
      <c r="K53" s="41" t="n">
        <f aca="false">IF($A53="","",SUMIFS(业务流水!$H$5:$H$1504,业务流水!$F$5:$F$1504,$B$3,业务流水!$D$5:$D$1504,"挂靠代收",业务流水!$C$5:$C$1504,$A53,业务流水!$Z$5:$Z$1504,"是"))</f>
        <v>0</v>
      </c>
      <c r="L53" s="42" t="n">
        <f aca="false">IF($A53="","",$C53-$K53)</f>
        <v>0</v>
      </c>
      <c r="M53" s="41" t="n">
        <f aca="false">IF($A53="","",SUMIFS(业务流水!$H$5:$H$1504,业务流水!$E$5:$E$1504,$B$3,业务流水!$D$5:$D$1504,"我方收款",业务流水!$C$5:$C$1504,$A53,业务流水!$Z$5:$Z$1504,"是"))</f>
        <v>0</v>
      </c>
      <c r="N53" s="43" t="n">
        <f aca="false">IF($A53="","",$K53-$M53)</f>
        <v>0</v>
      </c>
      <c r="O53" s="41" t="n">
        <f aca="false">IF($A53="","",SUMIFS(业务流水!$H$5:$H$1504,业务流水!$F$5:$F$1504,$B$3,业务流水!$D$5:$D$1504,"管理费结算",业务流水!$C$5:$C$1504,$A53,业务流水!$Z$5:$Z$1504,"是"))</f>
        <v>0</v>
      </c>
      <c r="P53" s="41" t="n">
        <f aca="false">IF($A53="","",SUMIFS(业务流水!$H$5:$H$1504,业务流水!$E$5:$E$1504,$B$3,业务流水!$D$5:$D$1504,"扣质保金",业务流水!$C$5:$C$1504,$A53,业务流水!$Z$5:$Z$1504,"是"))</f>
        <v>0</v>
      </c>
      <c r="Q53" s="48" t="str">
        <f aca="false">IF($A53="","",IF(SUM($C53:$F53)+SUM($K53:$M53)=0,"无","有"))</f>
        <v>无</v>
      </c>
    </row>
    <row r="54" customFormat="false" ht="15.75" hidden="false" customHeight="true" outlineLevel="0" collapsed="false">
      <c r="A54" s="32" t="str">
        <f aca="false">IF(项目档案!$A54="","",项目档案!$A54)</f>
        <v>A049</v>
      </c>
      <c r="B54" s="40" t="str">
        <f aca="false">IF($A54="","",项目档案!$B54)</f>
        <v>重庆民能实业有限公司2025-2026年度工程用特种设备租赁服务框架采购(铜梁公司2026年配电专业应急抢修抢险等外包项目(永嘉所义和8社等台区3个对地不足隐患治理项目))</v>
      </c>
      <c r="C54" s="41" t="n">
        <f aca="false">IF($A54="","",SUMIFS(业务流水!$H$5:$H$1504,业务流水!$E$5:$E$1504,$B$3,业务流水!$D$5:$D$1504,"销项开票",业务流水!$C$5:$C$1504,$A54,业务流水!$Z$5:$Z$1504,"是"))</f>
        <v>0</v>
      </c>
      <c r="D54" s="41" t="n">
        <f aca="false">IF($A54="","",SUMIFS(业务流水!$O$5:$O$1504,业务流水!$E$5:$E$1504,$B$3,业务流水!$D$5:$D$1504,"销项开票",业务流水!$C$5:$C$1504,$A54,业务流水!$Z$5:$Z$1504,"是"))</f>
        <v>0</v>
      </c>
      <c r="E54" s="41" t="n">
        <f aca="false">IF($A54="","",SUMIFS(业务流水!$P$5:$P$1504,业务流水!$E$5:$E$1504,$B$3,业务流水!$D$5:$D$1504,"销项开票",业务流水!$C$5:$C$1504,$A54,业务流水!$Z$5:$Z$1504,"是"))</f>
        <v>0</v>
      </c>
      <c r="F54" s="41" t="n">
        <f aca="false">IF($A54="","",SUMIFS(业务流水!$H$5:$H$1504,业务流水!$F$5:$F$1504,$B$3,业务流水!$D$5:$D$1504,"成本票",业务流水!$C$5:$C$1504,$A54,业务流水!$Z$5:$Z$1504,"是")+SUMIFS(业务流水!$H$5:$H$1504,业务流水!$F$5:$F$1504,$B$3,业务流水!$D$5:$D$1504,"销项开票",业务流水!$C$5:$C$1504,$A54,业务流水!$Z$5:$Z$1504,"是"))</f>
        <v>0</v>
      </c>
      <c r="G54" s="42" t="n">
        <f aca="false">IF($A54="","",$E54-$F54)</f>
        <v>0</v>
      </c>
      <c r="H54" s="41" t="n">
        <f aca="false">IF($A54="","",SUMIFS(业务流水!$W$5:$W$1504,业务流水!$E$5:$E$1504,$B$3,业务流水!$D$5:$D$1504,"销项开票",业务流水!$C$5:$C$1504,$A54,业务流水!$Z$5:$Z$1504,"是"))</f>
        <v>0</v>
      </c>
      <c r="I54" s="41" t="n">
        <f aca="false">IF($A54="","",SUMIFS(业务流水!$H$5:$H$1504,业务流水!$E$5:$E$1504,$B$3,业务流水!$D$5:$D$1504,"已交税",业务流水!$C$5:$C$1504,$A54,业务流水!$Z$5:$Z$1504,"是"))</f>
        <v>0</v>
      </c>
      <c r="J54" s="42" t="n">
        <f aca="false">IF($A54="","",$H54-$I54)</f>
        <v>0</v>
      </c>
      <c r="K54" s="41" t="n">
        <f aca="false">IF($A54="","",SUMIFS(业务流水!$H$5:$H$1504,业务流水!$F$5:$F$1504,$B$3,业务流水!$D$5:$D$1504,"挂靠代收",业务流水!$C$5:$C$1504,$A54,业务流水!$Z$5:$Z$1504,"是"))</f>
        <v>0</v>
      </c>
      <c r="L54" s="42" t="n">
        <f aca="false">IF($A54="","",$C54-$K54)</f>
        <v>0</v>
      </c>
      <c r="M54" s="41" t="n">
        <f aca="false">IF($A54="","",SUMIFS(业务流水!$H$5:$H$1504,业务流水!$E$5:$E$1504,$B$3,业务流水!$D$5:$D$1504,"我方收款",业务流水!$C$5:$C$1504,$A54,业务流水!$Z$5:$Z$1504,"是"))</f>
        <v>0</v>
      </c>
      <c r="N54" s="43" t="n">
        <f aca="false">IF($A54="","",$K54-$M54)</f>
        <v>0</v>
      </c>
      <c r="O54" s="41" t="n">
        <f aca="false">IF($A54="","",SUMIFS(业务流水!$H$5:$H$1504,业务流水!$F$5:$F$1504,$B$3,业务流水!$D$5:$D$1504,"管理费结算",业务流水!$C$5:$C$1504,$A54,业务流水!$Z$5:$Z$1504,"是"))</f>
        <v>0</v>
      </c>
      <c r="P54" s="41" t="n">
        <f aca="false">IF($A54="","",SUMIFS(业务流水!$H$5:$H$1504,业务流水!$E$5:$E$1504,$B$3,业务流水!$D$5:$D$1504,"扣质保金",业务流水!$C$5:$C$1504,$A54,业务流水!$Z$5:$Z$1504,"是"))</f>
        <v>0</v>
      </c>
      <c r="Q54" s="48" t="str">
        <f aca="false">IF($A54="","",IF(SUM($C54:$F54)+SUM($K54:$M54)=0,"无","有"))</f>
        <v>无</v>
      </c>
    </row>
    <row r="55" customFormat="false" ht="15.75" hidden="false" customHeight="true" outlineLevel="0" collapsed="false">
      <c r="A55" s="32" t="str">
        <f aca="false">IF(项目档案!$A55="","",项目档案!$A55)</f>
        <v>A050</v>
      </c>
      <c r="B55" s="40" t="str">
        <f aca="false">IF($A55="","",项目档案!$B55)</f>
        <v>重庆市铜梁区锦绣花园A区居民供电设施改造工程</v>
      </c>
      <c r="C55" s="41" t="n">
        <f aca="false">IF($A55="","",SUMIFS(业务流水!$H$5:$H$1504,业务流水!$E$5:$E$1504,$B$3,业务流水!$D$5:$D$1504,"销项开票",业务流水!$C$5:$C$1504,$A55,业务流水!$Z$5:$Z$1504,"是"))</f>
        <v>0</v>
      </c>
      <c r="D55" s="41" t="n">
        <f aca="false">IF($A55="","",SUMIFS(业务流水!$O$5:$O$1504,业务流水!$E$5:$E$1504,$B$3,业务流水!$D$5:$D$1504,"销项开票",业务流水!$C$5:$C$1504,$A55,业务流水!$Z$5:$Z$1504,"是"))</f>
        <v>0</v>
      </c>
      <c r="E55" s="41" t="n">
        <f aca="false">IF($A55="","",SUMIFS(业务流水!$P$5:$P$1504,业务流水!$E$5:$E$1504,$B$3,业务流水!$D$5:$D$1504,"销项开票",业务流水!$C$5:$C$1504,$A55,业务流水!$Z$5:$Z$1504,"是"))</f>
        <v>0</v>
      </c>
      <c r="F55" s="41" t="n">
        <f aca="false">IF($A55="","",SUMIFS(业务流水!$H$5:$H$1504,业务流水!$F$5:$F$1504,$B$3,业务流水!$D$5:$D$1504,"成本票",业务流水!$C$5:$C$1504,$A55,业务流水!$Z$5:$Z$1504,"是")+SUMIFS(业务流水!$H$5:$H$1504,业务流水!$F$5:$F$1504,$B$3,业务流水!$D$5:$D$1504,"销项开票",业务流水!$C$5:$C$1504,$A55,业务流水!$Z$5:$Z$1504,"是"))</f>
        <v>0</v>
      </c>
      <c r="G55" s="42" t="n">
        <f aca="false">IF($A55="","",$E55-$F55)</f>
        <v>0</v>
      </c>
      <c r="H55" s="41" t="n">
        <f aca="false">IF($A55="","",SUMIFS(业务流水!$W$5:$W$1504,业务流水!$E$5:$E$1504,$B$3,业务流水!$D$5:$D$1504,"销项开票",业务流水!$C$5:$C$1504,$A55,业务流水!$Z$5:$Z$1504,"是"))</f>
        <v>0</v>
      </c>
      <c r="I55" s="41" t="n">
        <f aca="false">IF($A55="","",SUMIFS(业务流水!$H$5:$H$1504,业务流水!$E$5:$E$1504,$B$3,业务流水!$D$5:$D$1504,"已交税",业务流水!$C$5:$C$1504,$A55,业务流水!$Z$5:$Z$1504,"是"))</f>
        <v>0</v>
      </c>
      <c r="J55" s="42" t="n">
        <f aca="false">IF($A55="","",$H55-$I55)</f>
        <v>0</v>
      </c>
      <c r="K55" s="41" t="n">
        <f aca="false">IF($A55="","",SUMIFS(业务流水!$H$5:$H$1504,业务流水!$F$5:$F$1504,$B$3,业务流水!$D$5:$D$1504,"挂靠代收",业务流水!$C$5:$C$1504,$A55,业务流水!$Z$5:$Z$1504,"是"))</f>
        <v>0</v>
      </c>
      <c r="L55" s="42" t="n">
        <f aca="false">IF($A55="","",$C55-$K55)</f>
        <v>0</v>
      </c>
      <c r="M55" s="41" t="n">
        <f aca="false">IF($A55="","",SUMIFS(业务流水!$H$5:$H$1504,业务流水!$E$5:$E$1504,$B$3,业务流水!$D$5:$D$1504,"我方收款",业务流水!$C$5:$C$1504,$A55,业务流水!$Z$5:$Z$1504,"是"))</f>
        <v>0</v>
      </c>
      <c r="N55" s="43" t="n">
        <f aca="false">IF($A55="","",$K55-$M55)</f>
        <v>0</v>
      </c>
      <c r="O55" s="41" t="n">
        <f aca="false">IF($A55="","",SUMIFS(业务流水!$H$5:$H$1504,业务流水!$F$5:$F$1504,$B$3,业务流水!$D$5:$D$1504,"管理费结算",业务流水!$C$5:$C$1504,$A55,业务流水!$Z$5:$Z$1504,"是"))</f>
        <v>0</v>
      </c>
      <c r="P55" s="41" t="n">
        <f aca="false">IF($A55="","",SUMIFS(业务流水!$H$5:$H$1504,业务流水!$E$5:$E$1504,$B$3,业务流水!$D$5:$D$1504,"扣质保金",业务流水!$C$5:$C$1504,$A55,业务流水!$Z$5:$Z$1504,"是"))</f>
        <v>0</v>
      </c>
      <c r="Q55" s="48" t="str">
        <f aca="false">IF($A55="","",IF(SUM($C55:$F55)+SUM($K55:$M55)=0,"无","有"))</f>
        <v>无</v>
      </c>
    </row>
    <row r="56" customFormat="false" ht="15.75" hidden="false" customHeight="true" outlineLevel="0" collapsed="false">
      <c r="A56" s="32" t="str">
        <f aca="false">IF(项目档案!$A56="","",项目档案!$A56)</f>
        <v>A051</v>
      </c>
      <c r="B56" s="40" t="str">
        <f aca="false">IF($A56="","",项目档案!$B56)</f>
        <v>2025-2026年度工程用特种设备租赁服务框架采购(10kV少盘线哨楼村支线#1杆线路迁改
工程)</v>
      </c>
      <c r="C56" s="41" t="n">
        <f aca="false">IF($A56="","",SUMIFS(业务流水!$H$5:$H$1504,业务流水!$E$5:$E$1504,$B$3,业务流水!$D$5:$D$1504,"销项开票",业务流水!$C$5:$C$1504,$A56,业务流水!$Z$5:$Z$1504,"是"))</f>
        <v>0</v>
      </c>
      <c r="D56" s="41" t="n">
        <f aca="false">IF($A56="","",SUMIFS(业务流水!$O$5:$O$1504,业务流水!$E$5:$E$1504,$B$3,业务流水!$D$5:$D$1504,"销项开票",业务流水!$C$5:$C$1504,$A56,业务流水!$Z$5:$Z$1504,"是"))</f>
        <v>0</v>
      </c>
      <c r="E56" s="41" t="n">
        <f aca="false">IF($A56="","",SUMIFS(业务流水!$P$5:$P$1504,业务流水!$E$5:$E$1504,$B$3,业务流水!$D$5:$D$1504,"销项开票",业务流水!$C$5:$C$1504,$A56,业务流水!$Z$5:$Z$1504,"是"))</f>
        <v>0</v>
      </c>
      <c r="F56" s="41" t="n">
        <f aca="false">IF($A56="","",SUMIFS(业务流水!$H$5:$H$1504,业务流水!$F$5:$F$1504,$B$3,业务流水!$D$5:$D$1504,"成本票",业务流水!$C$5:$C$1504,$A56,业务流水!$Z$5:$Z$1504,"是")+SUMIFS(业务流水!$H$5:$H$1504,业务流水!$F$5:$F$1504,$B$3,业务流水!$D$5:$D$1504,"销项开票",业务流水!$C$5:$C$1504,$A56,业务流水!$Z$5:$Z$1504,"是"))</f>
        <v>0</v>
      </c>
      <c r="G56" s="42" t="n">
        <f aca="false">IF($A56="","",$E56-$F56)</f>
        <v>0</v>
      </c>
      <c r="H56" s="41" t="n">
        <f aca="false">IF($A56="","",SUMIFS(业务流水!$W$5:$W$1504,业务流水!$E$5:$E$1504,$B$3,业务流水!$D$5:$D$1504,"销项开票",业务流水!$C$5:$C$1504,$A56,业务流水!$Z$5:$Z$1504,"是"))</f>
        <v>0</v>
      </c>
      <c r="I56" s="41" t="n">
        <f aca="false">IF($A56="","",SUMIFS(业务流水!$H$5:$H$1504,业务流水!$E$5:$E$1504,$B$3,业务流水!$D$5:$D$1504,"已交税",业务流水!$C$5:$C$1504,$A56,业务流水!$Z$5:$Z$1504,"是"))</f>
        <v>0</v>
      </c>
      <c r="J56" s="42" t="n">
        <f aca="false">IF($A56="","",$H56-$I56)</f>
        <v>0</v>
      </c>
      <c r="K56" s="41" t="n">
        <f aca="false">IF($A56="","",SUMIFS(业务流水!$H$5:$H$1504,业务流水!$F$5:$F$1504,$B$3,业务流水!$D$5:$D$1504,"挂靠代收",业务流水!$C$5:$C$1504,$A56,业务流水!$Z$5:$Z$1504,"是"))</f>
        <v>0</v>
      </c>
      <c r="L56" s="42" t="n">
        <f aca="false">IF($A56="","",$C56-$K56)</f>
        <v>0</v>
      </c>
      <c r="M56" s="41" t="n">
        <f aca="false">IF($A56="","",SUMIFS(业务流水!$H$5:$H$1504,业务流水!$E$5:$E$1504,$B$3,业务流水!$D$5:$D$1504,"我方收款",业务流水!$C$5:$C$1504,$A56,业务流水!$Z$5:$Z$1504,"是"))</f>
        <v>0</v>
      </c>
      <c r="N56" s="43" t="n">
        <f aca="false">IF($A56="","",$K56-$M56)</f>
        <v>0</v>
      </c>
      <c r="O56" s="41" t="n">
        <f aca="false">IF($A56="","",SUMIFS(业务流水!$H$5:$H$1504,业务流水!$F$5:$F$1504,$B$3,业务流水!$D$5:$D$1504,"管理费结算",业务流水!$C$5:$C$1504,$A56,业务流水!$Z$5:$Z$1504,"是"))</f>
        <v>0</v>
      </c>
      <c r="P56" s="41" t="n">
        <f aca="false">IF($A56="","",SUMIFS(业务流水!$H$5:$H$1504,业务流水!$E$5:$E$1504,$B$3,业务流水!$D$5:$D$1504,"扣质保金",业务流水!$C$5:$C$1504,$A56,业务流水!$Z$5:$Z$1504,"是"))</f>
        <v>0</v>
      </c>
      <c r="Q56" s="48" t="str">
        <f aca="false">IF($A56="","",IF(SUM($C56:$F56)+SUM($K56:$M56)=0,"无","有"))</f>
        <v>无</v>
      </c>
    </row>
    <row r="57" customFormat="false" ht="15.75" hidden="false" customHeight="true" outlineLevel="0" collapsed="false">
      <c r="A57" s="32" t="str">
        <f aca="false">IF(项目档案!$A57="","",项目档案!$A57)</f>
        <v>A052</v>
      </c>
      <c r="B57" s="40" t="str">
        <f aca="false">IF($A57="","",项目档案!$B57)</f>
        <v>铜梁公司2026年配电专业应急抢修抢险等外包项目（永嘉所义和8社等台区3个对地不足隐患治理项目)</v>
      </c>
      <c r="C57" s="41" t="n">
        <f aca="false">IF($A57="","",SUMIFS(业务流水!$H$5:$H$1504,业务流水!$E$5:$E$1504,$B$3,业务流水!$D$5:$D$1504,"销项开票",业务流水!$C$5:$C$1504,$A57,业务流水!$Z$5:$Z$1504,"是"))</f>
        <v>0</v>
      </c>
      <c r="D57" s="41" t="n">
        <f aca="false">IF($A57="","",SUMIFS(业务流水!$O$5:$O$1504,业务流水!$E$5:$E$1504,$B$3,业务流水!$D$5:$D$1504,"销项开票",业务流水!$C$5:$C$1504,$A57,业务流水!$Z$5:$Z$1504,"是"))</f>
        <v>0</v>
      </c>
      <c r="E57" s="41" t="n">
        <f aca="false">IF($A57="","",SUMIFS(业务流水!$P$5:$P$1504,业务流水!$E$5:$E$1504,$B$3,业务流水!$D$5:$D$1504,"销项开票",业务流水!$C$5:$C$1504,$A57,业务流水!$Z$5:$Z$1504,"是"))</f>
        <v>0</v>
      </c>
      <c r="F57" s="41" t="n">
        <f aca="false">IF($A57="","",SUMIFS(业务流水!$H$5:$H$1504,业务流水!$F$5:$F$1504,$B$3,业务流水!$D$5:$D$1504,"成本票",业务流水!$C$5:$C$1504,$A57,业务流水!$Z$5:$Z$1504,"是")+SUMIFS(业务流水!$H$5:$H$1504,业务流水!$F$5:$F$1504,$B$3,业务流水!$D$5:$D$1504,"销项开票",业务流水!$C$5:$C$1504,$A57,业务流水!$Z$5:$Z$1504,"是"))</f>
        <v>0</v>
      </c>
      <c r="G57" s="42" t="n">
        <f aca="false">IF($A57="","",$E57-$F57)</f>
        <v>0</v>
      </c>
      <c r="H57" s="41" t="n">
        <f aca="false">IF($A57="","",SUMIFS(业务流水!$W$5:$W$1504,业务流水!$E$5:$E$1504,$B$3,业务流水!$D$5:$D$1504,"销项开票",业务流水!$C$5:$C$1504,$A57,业务流水!$Z$5:$Z$1504,"是"))</f>
        <v>0</v>
      </c>
      <c r="I57" s="41" t="n">
        <f aca="false">IF($A57="","",SUMIFS(业务流水!$H$5:$H$1504,业务流水!$E$5:$E$1504,$B$3,业务流水!$D$5:$D$1504,"已交税",业务流水!$C$5:$C$1504,$A57,业务流水!$Z$5:$Z$1504,"是"))</f>
        <v>0</v>
      </c>
      <c r="J57" s="42" t="n">
        <f aca="false">IF($A57="","",$H57-$I57)</f>
        <v>0</v>
      </c>
      <c r="K57" s="41" t="n">
        <f aca="false">IF($A57="","",SUMIFS(业务流水!$H$5:$H$1504,业务流水!$F$5:$F$1504,$B$3,业务流水!$D$5:$D$1504,"挂靠代收",业务流水!$C$5:$C$1504,$A57,业务流水!$Z$5:$Z$1504,"是"))</f>
        <v>0</v>
      </c>
      <c r="L57" s="42" t="n">
        <f aca="false">IF($A57="","",$C57-$K57)</f>
        <v>0</v>
      </c>
      <c r="M57" s="41" t="n">
        <f aca="false">IF($A57="","",SUMIFS(业务流水!$H$5:$H$1504,业务流水!$E$5:$E$1504,$B$3,业务流水!$D$5:$D$1504,"我方收款",业务流水!$C$5:$C$1504,$A57,业务流水!$Z$5:$Z$1504,"是"))</f>
        <v>0</v>
      </c>
      <c r="N57" s="43" t="n">
        <f aca="false">IF($A57="","",$K57-$M57)</f>
        <v>0</v>
      </c>
      <c r="O57" s="41" t="n">
        <f aca="false">IF($A57="","",SUMIFS(业务流水!$H$5:$H$1504,业务流水!$F$5:$F$1504,$B$3,业务流水!$D$5:$D$1504,"管理费结算",业务流水!$C$5:$C$1504,$A57,业务流水!$Z$5:$Z$1504,"是"))</f>
        <v>0</v>
      </c>
      <c r="P57" s="41" t="n">
        <f aca="false">IF($A57="","",SUMIFS(业务流水!$H$5:$H$1504,业务流水!$E$5:$E$1504,$B$3,业务流水!$D$5:$D$1504,"扣质保金",业务流水!$C$5:$C$1504,$A57,业务流水!$Z$5:$Z$1504,"是"))</f>
        <v>0</v>
      </c>
      <c r="Q57" s="48" t="str">
        <f aca="false">IF($A57="","",IF(SUM($C57:$F57)+SUM($K57:$M57)=0,"无","有"))</f>
        <v>无</v>
      </c>
    </row>
    <row r="58" customFormat="false" ht="15.75" hidden="false" customHeight="true" outlineLevel="0" collapsed="false">
      <c r="A58" s="32" t="str">
        <f aca="false">IF(项目档案!$A58="","",项目档案!$A58)</f>
        <v>A053</v>
      </c>
      <c r="B58" s="40" t="str">
        <f aca="false">IF($A58="","",项目档案!$B58)</f>
        <v>铜梁公司2026年35kV输电专业应急抢修检修外包项目(输电运检中心2026年35kV线路接地隐患消除等3项目)</v>
      </c>
      <c r="C58" s="41" t="n">
        <f aca="false">IF($A58="","",SUMIFS(业务流水!$H$5:$H$1504,业务流水!$E$5:$E$1504,$B$3,业务流水!$D$5:$D$1504,"销项开票",业务流水!$C$5:$C$1504,$A58,业务流水!$Z$5:$Z$1504,"是"))</f>
        <v>0</v>
      </c>
      <c r="D58" s="41" t="n">
        <f aca="false">IF($A58="","",SUMIFS(业务流水!$O$5:$O$1504,业务流水!$E$5:$E$1504,$B$3,业务流水!$D$5:$D$1504,"销项开票",业务流水!$C$5:$C$1504,$A58,业务流水!$Z$5:$Z$1504,"是"))</f>
        <v>0</v>
      </c>
      <c r="E58" s="41" t="n">
        <f aca="false">IF($A58="","",SUMIFS(业务流水!$P$5:$P$1504,业务流水!$E$5:$E$1504,$B$3,业务流水!$D$5:$D$1504,"销项开票",业务流水!$C$5:$C$1504,$A58,业务流水!$Z$5:$Z$1504,"是"))</f>
        <v>0</v>
      </c>
      <c r="F58" s="41" t="n">
        <f aca="false">IF($A58="","",SUMIFS(业务流水!$H$5:$H$1504,业务流水!$F$5:$F$1504,$B$3,业务流水!$D$5:$D$1504,"成本票",业务流水!$C$5:$C$1504,$A58,业务流水!$Z$5:$Z$1504,"是")+SUMIFS(业务流水!$H$5:$H$1504,业务流水!$F$5:$F$1504,$B$3,业务流水!$D$5:$D$1504,"销项开票",业务流水!$C$5:$C$1504,$A58,业务流水!$Z$5:$Z$1504,"是"))</f>
        <v>0</v>
      </c>
      <c r="G58" s="42" t="n">
        <f aca="false">IF($A58="","",$E58-$F58)</f>
        <v>0</v>
      </c>
      <c r="H58" s="41" t="n">
        <f aca="false">IF($A58="","",SUMIFS(业务流水!$W$5:$W$1504,业务流水!$E$5:$E$1504,$B$3,业务流水!$D$5:$D$1504,"销项开票",业务流水!$C$5:$C$1504,$A58,业务流水!$Z$5:$Z$1504,"是"))</f>
        <v>0</v>
      </c>
      <c r="I58" s="41" t="n">
        <f aca="false">IF($A58="","",SUMIFS(业务流水!$H$5:$H$1504,业务流水!$E$5:$E$1504,$B$3,业务流水!$D$5:$D$1504,"已交税",业务流水!$C$5:$C$1504,$A58,业务流水!$Z$5:$Z$1504,"是"))</f>
        <v>0</v>
      </c>
      <c r="J58" s="42" t="n">
        <f aca="false">IF($A58="","",$H58-$I58)</f>
        <v>0</v>
      </c>
      <c r="K58" s="41" t="n">
        <f aca="false">IF($A58="","",SUMIFS(业务流水!$H$5:$H$1504,业务流水!$F$5:$F$1504,$B$3,业务流水!$D$5:$D$1504,"挂靠代收",业务流水!$C$5:$C$1504,$A58,业务流水!$Z$5:$Z$1504,"是"))</f>
        <v>0</v>
      </c>
      <c r="L58" s="42" t="n">
        <f aca="false">IF($A58="","",$C58-$K58)</f>
        <v>0</v>
      </c>
      <c r="M58" s="41" t="n">
        <f aca="false">IF($A58="","",SUMIFS(业务流水!$H$5:$H$1504,业务流水!$E$5:$E$1504,$B$3,业务流水!$D$5:$D$1504,"我方收款",业务流水!$C$5:$C$1504,$A58,业务流水!$Z$5:$Z$1504,"是"))</f>
        <v>0</v>
      </c>
      <c r="N58" s="43" t="n">
        <f aca="false">IF($A58="","",$K58-$M58)</f>
        <v>0</v>
      </c>
      <c r="O58" s="41" t="n">
        <f aca="false">IF($A58="","",SUMIFS(业务流水!$H$5:$H$1504,业务流水!$F$5:$F$1504,$B$3,业务流水!$D$5:$D$1504,"管理费结算",业务流水!$C$5:$C$1504,$A58,业务流水!$Z$5:$Z$1504,"是"))</f>
        <v>0</v>
      </c>
      <c r="P58" s="41" t="n">
        <f aca="false">IF($A58="","",SUMIFS(业务流水!$H$5:$H$1504,业务流水!$E$5:$E$1504,$B$3,业务流水!$D$5:$D$1504,"扣质保金",业务流水!$C$5:$C$1504,$A58,业务流水!$Z$5:$Z$1504,"是"))</f>
        <v>0</v>
      </c>
      <c r="Q58" s="48" t="str">
        <f aca="false">IF($A58="","",IF(SUM($C58:$F58)+SUM($K58:$M58)=0,"无","有"))</f>
        <v>无</v>
      </c>
    </row>
    <row r="59" customFormat="false" ht="15.75" hidden="false" customHeight="true" outlineLevel="0" collapsed="false">
      <c r="A59" s="32" t="str">
        <f aca="false">IF(项目档案!$A59="","",项目档案!$A59)</f>
        <v>A054</v>
      </c>
      <c r="B59" s="40" t="str">
        <f aca="false">IF($A59="","",项目档案!$B59)</f>
        <v>重庆市铜梁区滨河东路68小区居民供电设施改造工程</v>
      </c>
      <c r="C59" s="41" t="n">
        <f aca="false">IF($A59="","",SUMIFS(业务流水!$H$5:$H$1504,业务流水!$E$5:$E$1504,$B$3,业务流水!$D$5:$D$1504,"销项开票",业务流水!$C$5:$C$1504,$A59,业务流水!$Z$5:$Z$1504,"是"))</f>
        <v>0</v>
      </c>
      <c r="D59" s="41" t="n">
        <f aca="false">IF($A59="","",SUMIFS(业务流水!$O$5:$O$1504,业务流水!$E$5:$E$1504,$B$3,业务流水!$D$5:$D$1504,"销项开票",业务流水!$C$5:$C$1504,$A59,业务流水!$Z$5:$Z$1504,"是"))</f>
        <v>0</v>
      </c>
      <c r="E59" s="41" t="n">
        <f aca="false">IF($A59="","",SUMIFS(业务流水!$P$5:$P$1504,业务流水!$E$5:$E$1504,$B$3,业务流水!$D$5:$D$1504,"销项开票",业务流水!$C$5:$C$1504,$A59,业务流水!$Z$5:$Z$1504,"是"))</f>
        <v>0</v>
      </c>
      <c r="F59" s="41" t="n">
        <f aca="false">IF($A59="","",SUMIFS(业务流水!$H$5:$H$1504,业务流水!$F$5:$F$1504,$B$3,业务流水!$D$5:$D$1504,"成本票",业务流水!$C$5:$C$1504,$A59,业务流水!$Z$5:$Z$1504,"是")+SUMIFS(业务流水!$H$5:$H$1504,业务流水!$F$5:$F$1504,$B$3,业务流水!$D$5:$D$1504,"销项开票",业务流水!$C$5:$C$1504,$A59,业务流水!$Z$5:$Z$1504,"是"))</f>
        <v>0</v>
      </c>
      <c r="G59" s="42" t="n">
        <f aca="false">IF($A59="","",$E59-$F59)</f>
        <v>0</v>
      </c>
      <c r="H59" s="41" t="n">
        <f aca="false">IF($A59="","",SUMIFS(业务流水!$W$5:$W$1504,业务流水!$E$5:$E$1504,$B$3,业务流水!$D$5:$D$1504,"销项开票",业务流水!$C$5:$C$1504,$A59,业务流水!$Z$5:$Z$1504,"是"))</f>
        <v>0</v>
      </c>
      <c r="I59" s="41" t="n">
        <f aca="false">IF($A59="","",SUMIFS(业务流水!$H$5:$H$1504,业务流水!$E$5:$E$1504,$B$3,业务流水!$D$5:$D$1504,"已交税",业务流水!$C$5:$C$1504,$A59,业务流水!$Z$5:$Z$1504,"是"))</f>
        <v>0</v>
      </c>
      <c r="J59" s="42" t="n">
        <f aca="false">IF($A59="","",$H59-$I59)</f>
        <v>0</v>
      </c>
      <c r="K59" s="41" t="n">
        <f aca="false">IF($A59="","",SUMIFS(业务流水!$H$5:$H$1504,业务流水!$F$5:$F$1504,$B$3,业务流水!$D$5:$D$1504,"挂靠代收",业务流水!$C$5:$C$1504,$A59,业务流水!$Z$5:$Z$1504,"是"))</f>
        <v>0</v>
      </c>
      <c r="L59" s="42" t="n">
        <f aca="false">IF($A59="","",$C59-$K59)</f>
        <v>0</v>
      </c>
      <c r="M59" s="41" t="n">
        <f aca="false">IF($A59="","",SUMIFS(业务流水!$H$5:$H$1504,业务流水!$E$5:$E$1504,$B$3,业务流水!$D$5:$D$1504,"我方收款",业务流水!$C$5:$C$1504,$A59,业务流水!$Z$5:$Z$1504,"是"))</f>
        <v>0</v>
      </c>
      <c r="N59" s="43" t="n">
        <f aca="false">IF($A59="","",$K59-$M59)</f>
        <v>0</v>
      </c>
      <c r="O59" s="41" t="n">
        <f aca="false">IF($A59="","",SUMIFS(业务流水!$H$5:$H$1504,业务流水!$F$5:$F$1504,$B$3,业务流水!$D$5:$D$1504,"管理费结算",业务流水!$C$5:$C$1504,$A59,业务流水!$Z$5:$Z$1504,"是"))</f>
        <v>0</v>
      </c>
      <c r="P59" s="41" t="n">
        <f aca="false">IF($A59="","",SUMIFS(业务流水!$H$5:$H$1504,业务流水!$E$5:$E$1504,$B$3,业务流水!$D$5:$D$1504,"扣质保金",业务流水!$C$5:$C$1504,$A59,业务流水!$Z$5:$Z$1504,"是"))</f>
        <v>0</v>
      </c>
      <c r="Q59" s="48" t="str">
        <f aca="false">IF($A59="","",IF(SUM($C59:$F59)+SUM($K59:$M59)=0,"无","有"))</f>
        <v>无</v>
      </c>
    </row>
    <row r="60" customFormat="false" ht="15.75" hidden="false" customHeight="true" outlineLevel="0" collapsed="false">
      <c r="A60" s="32" t="str">
        <f aca="false">IF(项目档案!$A60="","",项目档案!$A60)</f>
        <v>A055</v>
      </c>
      <c r="B60" s="40" t="str">
        <f aca="false">IF($A60="","",项目档案!$B60)</f>
        <v>重庆市铜梁区新华商住楼居民供电设施改造工程</v>
      </c>
      <c r="C60" s="41" t="n">
        <f aca="false">IF($A60="","",SUMIFS(业务流水!$H$5:$H$1504,业务流水!$E$5:$E$1504,$B$3,业务流水!$D$5:$D$1504,"销项开票",业务流水!$C$5:$C$1504,$A60,业务流水!$Z$5:$Z$1504,"是"))</f>
        <v>0</v>
      </c>
      <c r="D60" s="41" t="n">
        <f aca="false">IF($A60="","",SUMIFS(业务流水!$O$5:$O$1504,业务流水!$E$5:$E$1504,$B$3,业务流水!$D$5:$D$1504,"销项开票",业务流水!$C$5:$C$1504,$A60,业务流水!$Z$5:$Z$1504,"是"))</f>
        <v>0</v>
      </c>
      <c r="E60" s="41" t="n">
        <f aca="false">IF($A60="","",SUMIFS(业务流水!$P$5:$P$1504,业务流水!$E$5:$E$1504,$B$3,业务流水!$D$5:$D$1504,"销项开票",业务流水!$C$5:$C$1504,$A60,业务流水!$Z$5:$Z$1504,"是"))</f>
        <v>0</v>
      </c>
      <c r="F60" s="41" t="n">
        <f aca="false">IF($A60="","",SUMIFS(业务流水!$H$5:$H$1504,业务流水!$F$5:$F$1504,$B$3,业务流水!$D$5:$D$1504,"成本票",业务流水!$C$5:$C$1504,$A60,业务流水!$Z$5:$Z$1504,"是")+SUMIFS(业务流水!$H$5:$H$1504,业务流水!$F$5:$F$1504,$B$3,业务流水!$D$5:$D$1504,"销项开票",业务流水!$C$5:$C$1504,$A60,业务流水!$Z$5:$Z$1504,"是"))</f>
        <v>0</v>
      </c>
      <c r="G60" s="42" t="n">
        <f aca="false">IF($A60="","",$E60-$F60)</f>
        <v>0</v>
      </c>
      <c r="H60" s="41" t="n">
        <f aca="false">IF($A60="","",SUMIFS(业务流水!$W$5:$W$1504,业务流水!$E$5:$E$1504,$B$3,业务流水!$D$5:$D$1504,"销项开票",业务流水!$C$5:$C$1504,$A60,业务流水!$Z$5:$Z$1504,"是"))</f>
        <v>0</v>
      </c>
      <c r="I60" s="41" t="n">
        <f aca="false">IF($A60="","",SUMIFS(业务流水!$H$5:$H$1504,业务流水!$E$5:$E$1504,$B$3,业务流水!$D$5:$D$1504,"已交税",业务流水!$C$5:$C$1504,$A60,业务流水!$Z$5:$Z$1504,"是"))</f>
        <v>0</v>
      </c>
      <c r="J60" s="42" t="n">
        <f aca="false">IF($A60="","",$H60-$I60)</f>
        <v>0</v>
      </c>
      <c r="K60" s="41" t="n">
        <f aca="false">IF($A60="","",SUMIFS(业务流水!$H$5:$H$1504,业务流水!$F$5:$F$1504,$B$3,业务流水!$D$5:$D$1504,"挂靠代收",业务流水!$C$5:$C$1504,$A60,业务流水!$Z$5:$Z$1504,"是"))</f>
        <v>0</v>
      </c>
      <c r="L60" s="42" t="n">
        <f aca="false">IF($A60="","",$C60-$K60)</f>
        <v>0</v>
      </c>
      <c r="M60" s="41" t="n">
        <f aca="false">IF($A60="","",SUMIFS(业务流水!$H$5:$H$1504,业务流水!$E$5:$E$1504,$B$3,业务流水!$D$5:$D$1504,"我方收款",业务流水!$C$5:$C$1504,$A60,业务流水!$Z$5:$Z$1504,"是"))</f>
        <v>0</v>
      </c>
      <c r="N60" s="43" t="n">
        <f aca="false">IF($A60="","",$K60-$M60)</f>
        <v>0</v>
      </c>
      <c r="O60" s="41" t="n">
        <f aca="false">IF($A60="","",SUMIFS(业务流水!$H$5:$H$1504,业务流水!$F$5:$F$1504,$B$3,业务流水!$D$5:$D$1504,"管理费结算",业务流水!$C$5:$C$1504,$A60,业务流水!$Z$5:$Z$1504,"是"))</f>
        <v>0</v>
      </c>
      <c r="P60" s="41" t="n">
        <f aca="false">IF($A60="","",SUMIFS(业务流水!$H$5:$H$1504,业务流水!$E$5:$E$1504,$B$3,业务流水!$D$5:$D$1504,"扣质保金",业务流水!$C$5:$C$1504,$A60,业务流水!$Z$5:$Z$1504,"是"))</f>
        <v>0</v>
      </c>
      <c r="Q60" s="48" t="str">
        <f aca="false">IF($A60="","",IF(SUM($C60:$F60)+SUM($K60:$M60)=0,"无","有"))</f>
        <v>无</v>
      </c>
    </row>
    <row r="61" customFormat="false" ht="15.75" hidden="false" customHeight="true" outlineLevel="0" collapsed="false">
      <c r="A61" s="32" t="str">
        <f aca="false">IF(项目档案!$A61="","",项目档案!$A61)</f>
        <v>A056</v>
      </c>
      <c r="B61" s="40" t="str">
        <f aca="false">IF($A61="","",项目档案!$B61)</f>
        <v>铜梁公司2026年配电专业应急抢修抢险等外包项目(永嘉所许家3社1等台区2个隐患治理项目)</v>
      </c>
      <c r="C61" s="41" t="n">
        <f aca="false">IF($A61="","",SUMIFS(业务流水!$H$5:$H$1504,业务流水!$E$5:$E$1504,$B$3,业务流水!$D$5:$D$1504,"销项开票",业务流水!$C$5:$C$1504,$A61,业务流水!$Z$5:$Z$1504,"是"))</f>
        <v>0</v>
      </c>
      <c r="D61" s="41" t="n">
        <f aca="false">IF($A61="","",SUMIFS(业务流水!$O$5:$O$1504,业务流水!$E$5:$E$1504,$B$3,业务流水!$D$5:$D$1504,"销项开票",业务流水!$C$5:$C$1504,$A61,业务流水!$Z$5:$Z$1504,"是"))</f>
        <v>0</v>
      </c>
      <c r="E61" s="41" t="n">
        <f aca="false">IF($A61="","",SUMIFS(业务流水!$P$5:$P$1504,业务流水!$E$5:$E$1504,$B$3,业务流水!$D$5:$D$1504,"销项开票",业务流水!$C$5:$C$1504,$A61,业务流水!$Z$5:$Z$1504,"是"))</f>
        <v>0</v>
      </c>
      <c r="F61" s="41" t="n">
        <f aca="false">IF($A61="","",SUMIFS(业务流水!$H$5:$H$1504,业务流水!$F$5:$F$1504,$B$3,业务流水!$D$5:$D$1504,"成本票",业务流水!$C$5:$C$1504,$A61,业务流水!$Z$5:$Z$1504,"是")+SUMIFS(业务流水!$H$5:$H$1504,业务流水!$F$5:$F$1504,$B$3,业务流水!$D$5:$D$1504,"销项开票",业务流水!$C$5:$C$1504,$A61,业务流水!$Z$5:$Z$1504,"是"))</f>
        <v>0</v>
      </c>
      <c r="G61" s="42" t="n">
        <f aca="false">IF($A61="","",$E61-$F61)</f>
        <v>0</v>
      </c>
      <c r="H61" s="41" t="n">
        <f aca="false">IF($A61="","",SUMIFS(业务流水!$W$5:$W$1504,业务流水!$E$5:$E$1504,$B$3,业务流水!$D$5:$D$1504,"销项开票",业务流水!$C$5:$C$1504,$A61,业务流水!$Z$5:$Z$1504,"是"))</f>
        <v>0</v>
      </c>
      <c r="I61" s="41" t="n">
        <f aca="false">IF($A61="","",SUMIFS(业务流水!$H$5:$H$1504,业务流水!$E$5:$E$1504,$B$3,业务流水!$D$5:$D$1504,"已交税",业务流水!$C$5:$C$1504,$A61,业务流水!$Z$5:$Z$1504,"是"))</f>
        <v>0</v>
      </c>
      <c r="J61" s="42" t="n">
        <f aca="false">IF($A61="","",$H61-$I61)</f>
        <v>0</v>
      </c>
      <c r="K61" s="41" t="n">
        <f aca="false">IF($A61="","",SUMIFS(业务流水!$H$5:$H$1504,业务流水!$F$5:$F$1504,$B$3,业务流水!$D$5:$D$1504,"挂靠代收",业务流水!$C$5:$C$1504,$A61,业务流水!$Z$5:$Z$1504,"是"))</f>
        <v>0</v>
      </c>
      <c r="L61" s="42" t="n">
        <f aca="false">IF($A61="","",$C61-$K61)</f>
        <v>0</v>
      </c>
      <c r="M61" s="41" t="n">
        <f aca="false">IF($A61="","",SUMIFS(业务流水!$H$5:$H$1504,业务流水!$E$5:$E$1504,$B$3,业务流水!$D$5:$D$1504,"我方收款",业务流水!$C$5:$C$1504,$A61,业务流水!$Z$5:$Z$1504,"是"))</f>
        <v>0</v>
      </c>
      <c r="N61" s="43" t="n">
        <f aca="false">IF($A61="","",$K61-$M61)</f>
        <v>0</v>
      </c>
      <c r="O61" s="41" t="n">
        <f aca="false">IF($A61="","",SUMIFS(业务流水!$H$5:$H$1504,业务流水!$F$5:$F$1504,$B$3,业务流水!$D$5:$D$1504,"管理费结算",业务流水!$C$5:$C$1504,$A61,业务流水!$Z$5:$Z$1504,"是"))</f>
        <v>0</v>
      </c>
      <c r="P61" s="41" t="n">
        <f aca="false">IF($A61="","",SUMIFS(业务流水!$H$5:$H$1504,业务流水!$E$5:$E$1504,$B$3,业务流水!$D$5:$D$1504,"扣质保金",业务流水!$C$5:$C$1504,$A61,业务流水!$Z$5:$Z$1504,"是"))</f>
        <v>0</v>
      </c>
      <c r="Q61" s="48" t="str">
        <f aca="false">IF($A61="","",IF(SUM($C61:$F61)+SUM($K61:$M61)=0,"无","有"))</f>
        <v>无</v>
      </c>
    </row>
    <row r="62" customFormat="false" ht="15.75" hidden="false" customHeight="true" outlineLevel="0" collapsed="false">
      <c r="A62" s="32" t="str">
        <f aca="false">IF(项目档案!$A62="","",项目档案!$A62)</f>
        <v>A057</v>
      </c>
      <c r="B62" s="40" t="str">
        <f aca="false">IF($A62="","",项目档案!$B62)</f>
        <v>华润电力重庆能源铜梁平滩农光互补项目220kV升压站PC工程</v>
      </c>
      <c r="C62" s="41" t="n">
        <f aca="false">IF($A62="","",SUMIFS(业务流水!$H$5:$H$1504,业务流水!$E$5:$E$1504,$B$3,业务流水!$D$5:$D$1504,"销项开票",业务流水!$C$5:$C$1504,$A62,业务流水!$Z$5:$Z$1504,"是"))</f>
        <v>0</v>
      </c>
      <c r="D62" s="41" t="n">
        <f aca="false">IF($A62="","",SUMIFS(业务流水!$O$5:$O$1504,业务流水!$E$5:$E$1504,$B$3,业务流水!$D$5:$D$1504,"销项开票",业务流水!$C$5:$C$1504,$A62,业务流水!$Z$5:$Z$1504,"是"))</f>
        <v>0</v>
      </c>
      <c r="E62" s="41" t="n">
        <f aca="false">IF($A62="","",SUMIFS(业务流水!$P$5:$P$1504,业务流水!$E$5:$E$1504,$B$3,业务流水!$D$5:$D$1504,"销项开票",业务流水!$C$5:$C$1504,$A62,业务流水!$Z$5:$Z$1504,"是"))</f>
        <v>0</v>
      </c>
      <c r="F62" s="41" t="n">
        <f aca="false">IF($A62="","",SUMIFS(业务流水!$H$5:$H$1504,业务流水!$F$5:$F$1504,$B$3,业务流水!$D$5:$D$1504,"成本票",业务流水!$C$5:$C$1504,$A62,业务流水!$Z$5:$Z$1504,"是")+SUMIFS(业务流水!$H$5:$H$1504,业务流水!$F$5:$F$1504,$B$3,业务流水!$D$5:$D$1504,"销项开票",业务流水!$C$5:$C$1504,$A62,业务流水!$Z$5:$Z$1504,"是"))</f>
        <v>0</v>
      </c>
      <c r="G62" s="42" t="n">
        <f aca="false">IF($A62="","",$E62-$F62)</f>
        <v>0</v>
      </c>
      <c r="H62" s="41" t="n">
        <f aca="false">IF($A62="","",SUMIFS(业务流水!$W$5:$W$1504,业务流水!$E$5:$E$1504,$B$3,业务流水!$D$5:$D$1504,"销项开票",业务流水!$C$5:$C$1504,$A62,业务流水!$Z$5:$Z$1504,"是"))</f>
        <v>0</v>
      </c>
      <c r="I62" s="41" t="n">
        <f aca="false">IF($A62="","",SUMIFS(业务流水!$H$5:$H$1504,业务流水!$E$5:$E$1504,$B$3,业务流水!$D$5:$D$1504,"已交税",业务流水!$C$5:$C$1504,$A62,业务流水!$Z$5:$Z$1504,"是"))</f>
        <v>0</v>
      </c>
      <c r="J62" s="42" t="n">
        <f aca="false">IF($A62="","",$H62-$I62)</f>
        <v>0</v>
      </c>
      <c r="K62" s="41" t="n">
        <f aca="false">IF($A62="","",SUMIFS(业务流水!$H$5:$H$1504,业务流水!$F$5:$F$1504,$B$3,业务流水!$D$5:$D$1504,"挂靠代收",业务流水!$C$5:$C$1504,$A62,业务流水!$Z$5:$Z$1504,"是"))</f>
        <v>0</v>
      </c>
      <c r="L62" s="42" t="n">
        <f aca="false">IF($A62="","",$C62-$K62)</f>
        <v>0</v>
      </c>
      <c r="M62" s="41" t="n">
        <f aca="false">IF($A62="","",SUMIFS(业务流水!$H$5:$H$1504,业务流水!$E$5:$E$1504,$B$3,业务流水!$D$5:$D$1504,"我方收款",业务流水!$C$5:$C$1504,$A62,业务流水!$Z$5:$Z$1504,"是"))</f>
        <v>0</v>
      </c>
      <c r="N62" s="43" t="n">
        <f aca="false">IF($A62="","",$K62-$M62)</f>
        <v>0</v>
      </c>
      <c r="O62" s="41" t="n">
        <f aca="false">IF($A62="","",SUMIFS(业务流水!$H$5:$H$1504,业务流水!$F$5:$F$1504,$B$3,业务流水!$D$5:$D$1504,"管理费结算",业务流水!$C$5:$C$1504,$A62,业务流水!$Z$5:$Z$1504,"是"))</f>
        <v>0</v>
      </c>
      <c r="P62" s="41" t="n">
        <f aca="false">IF($A62="","",SUMIFS(业务流水!$H$5:$H$1504,业务流水!$E$5:$E$1504,$B$3,业务流水!$D$5:$D$1504,"扣质保金",业务流水!$C$5:$C$1504,$A62,业务流水!$Z$5:$Z$1504,"是"))</f>
        <v>0</v>
      </c>
      <c r="Q62" s="48" t="str">
        <f aca="false">IF($A62="","",IF(SUM($C62:$F62)+SUM($K62:$M62)=0,"无","有"))</f>
        <v>无</v>
      </c>
    </row>
    <row r="63" customFormat="false" ht="15.75" hidden="false" customHeight="true" outlineLevel="0" collapsed="false">
      <c r="A63" s="32" t="str">
        <f aca="false">IF(项目档案!$A63="","",项目档案!$A63)</f>
        <v>A058</v>
      </c>
      <c r="B63" s="40" t="str">
        <f aca="false">IF($A63="","",项目档案!$B63)</f>
        <v>重庆稷博汇物流有限公司10kV充电桩新装用电工程</v>
      </c>
      <c r="C63" s="41" t="n">
        <f aca="false">IF($A63="","",SUMIFS(业务流水!$H$5:$H$1504,业务流水!$E$5:$E$1504,$B$3,业务流水!$D$5:$D$1504,"销项开票",业务流水!$C$5:$C$1504,$A63,业务流水!$Z$5:$Z$1504,"是"))</f>
        <v>7068.84</v>
      </c>
      <c r="D63" s="41" t="n">
        <f aca="false">IF($A63="","",SUMIFS(业务流水!$O$5:$O$1504,业务流水!$E$5:$E$1504,$B$3,业务流水!$D$5:$D$1504,"销项开票",业务流水!$C$5:$C$1504,$A63,业务流水!$Z$5:$Z$1504,"是"))</f>
        <v>141.37</v>
      </c>
      <c r="E63" s="41" t="n">
        <f aca="false">IF($A63="","",SUMIFS(业务流水!$P$5:$P$1504,业务流水!$E$5:$E$1504,$B$3,业务流水!$D$5:$D$1504,"销项开票",业务流水!$C$5:$C$1504,$A63,业务流水!$Z$5:$Z$1504,"是"))</f>
        <v>6927.47</v>
      </c>
      <c r="F63" s="41" t="n">
        <f aca="false">IF($A63="","",SUMIFS(业务流水!$H$5:$H$1504,业务流水!$F$5:$F$1504,$B$3,业务流水!$D$5:$D$1504,"成本票",业务流水!$C$5:$C$1504,$A63,业务流水!$Z$5:$Z$1504,"是")+SUMIFS(业务流水!$H$5:$H$1504,业务流水!$F$5:$F$1504,$B$3,业务流水!$D$5:$D$1504,"销项开票",业务流水!$C$5:$C$1504,$A63,业务流水!$Z$5:$Z$1504,"是"))</f>
        <v>0</v>
      </c>
      <c r="G63" s="42" t="n">
        <f aca="false">IF($A63="","",$E63-$F63)</f>
        <v>6927.47</v>
      </c>
      <c r="H63" s="41" t="n">
        <f aca="false">IF($A63="","",SUMIFS(业务流水!$W$5:$W$1504,业务流水!$E$5:$E$1504,$B$3,业务流水!$D$5:$D$1504,"销项开票",业务流水!$C$5:$C$1504,$A63,业务流水!$Z$5:$Z$1504,"是"))</f>
        <v>231.95</v>
      </c>
      <c r="I63" s="41" t="n">
        <f aca="false">IF($A63="","",SUMIFS(业务流水!$H$5:$H$1504,业务流水!$E$5:$E$1504,$B$3,业务流水!$D$5:$D$1504,"已交税",业务流水!$C$5:$C$1504,$A63,业务流水!$Z$5:$Z$1504,"是"))</f>
        <v>0</v>
      </c>
      <c r="J63" s="42" t="n">
        <f aca="false">IF($A63="","",$H63-$I63)</f>
        <v>231.95</v>
      </c>
      <c r="K63" s="41" t="n">
        <f aca="false">IF($A63="","",SUMIFS(业务流水!$H$5:$H$1504,业务流水!$F$5:$F$1504,$B$3,业务流水!$D$5:$D$1504,"挂靠代收",业务流水!$C$5:$C$1504,$A63,业务流水!$Z$5:$Z$1504,"是"))</f>
        <v>0</v>
      </c>
      <c r="L63" s="42" t="n">
        <f aca="false">IF($A63="","",$C63-$K63)</f>
        <v>7068.84</v>
      </c>
      <c r="M63" s="41" t="n">
        <f aca="false">IF($A63="","",SUMIFS(业务流水!$H$5:$H$1504,业务流水!$E$5:$E$1504,$B$3,业务流水!$D$5:$D$1504,"我方收款",业务流水!$C$5:$C$1504,$A63,业务流水!$Z$5:$Z$1504,"是"))</f>
        <v>0</v>
      </c>
      <c r="N63" s="43" t="n">
        <f aca="false">IF($A63="","",$K63-$M63)</f>
        <v>0</v>
      </c>
      <c r="O63" s="41" t="n">
        <f aca="false">IF($A63="","",SUMIFS(业务流水!$H$5:$H$1504,业务流水!$F$5:$F$1504,$B$3,业务流水!$D$5:$D$1504,"管理费结算",业务流水!$C$5:$C$1504,$A63,业务流水!$Z$5:$Z$1504,"是"))</f>
        <v>0</v>
      </c>
      <c r="P63" s="41" t="n">
        <f aca="false">IF($A63="","",SUMIFS(业务流水!$H$5:$H$1504,业务流水!$E$5:$E$1504,$B$3,业务流水!$D$5:$D$1504,"扣质保金",业务流水!$C$5:$C$1504,$A63,业务流水!$Z$5:$Z$1504,"是"))</f>
        <v>0</v>
      </c>
      <c r="Q63" s="48" t="str">
        <f aca="false">IF($A63="","",IF(SUM($C63:$F63)+SUM($K63:$M63)=0,"无","有"))</f>
        <v>有</v>
      </c>
    </row>
    <row r="64" customFormat="false" ht="15.75" hidden="false" customHeight="true" outlineLevel="0" collapsed="false">
      <c r="A64" s="32" t="str">
        <f aca="false">IF(项目档案!$A64="","",项目档案!$A64)</f>
        <v>A059</v>
      </c>
      <c r="B64" s="40" t="str">
        <f aca="false">IF($A64="","",项目档案!$B64)</f>
        <v>（新项目：请填项目全称）</v>
      </c>
      <c r="C64" s="41" t="n">
        <f aca="false">IF($A64="","",SUMIFS(业务流水!$H$5:$H$1504,业务流水!$E$5:$E$1504,$B$3,业务流水!$D$5:$D$1504,"销项开票",业务流水!$C$5:$C$1504,$A64,业务流水!$Z$5:$Z$1504,"是"))</f>
        <v>0</v>
      </c>
      <c r="D64" s="41" t="n">
        <f aca="false">IF($A64="","",SUMIFS(业务流水!$O$5:$O$1504,业务流水!$E$5:$E$1504,$B$3,业务流水!$D$5:$D$1504,"销项开票",业务流水!$C$5:$C$1504,$A64,业务流水!$Z$5:$Z$1504,"是"))</f>
        <v>0</v>
      </c>
      <c r="E64" s="41" t="n">
        <f aca="false">IF($A64="","",SUMIFS(业务流水!$P$5:$P$1504,业务流水!$E$5:$E$1504,$B$3,业务流水!$D$5:$D$1504,"销项开票",业务流水!$C$5:$C$1504,$A64,业务流水!$Z$5:$Z$1504,"是"))</f>
        <v>0</v>
      </c>
      <c r="F64" s="41" t="n">
        <f aca="false">IF($A64="","",SUMIFS(业务流水!$H$5:$H$1504,业务流水!$F$5:$F$1504,$B$3,业务流水!$D$5:$D$1504,"成本票",业务流水!$C$5:$C$1504,$A64,业务流水!$Z$5:$Z$1504,"是")+SUMIFS(业务流水!$H$5:$H$1504,业务流水!$F$5:$F$1504,$B$3,业务流水!$D$5:$D$1504,"销项开票",业务流水!$C$5:$C$1504,$A64,业务流水!$Z$5:$Z$1504,"是"))</f>
        <v>0</v>
      </c>
      <c r="G64" s="42" t="n">
        <f aca="false">IF($A64="","",$E64-$F64)</f>
        <v>0</v>
      </c>
      <c r="H64" s="41" t="n">
        <f aca="false">IF($A64="","",SUMIFS(业务流水!$W$5:$W$1504,业务流水!$E$5:$E$1504,$B$3,业务流水!$D$5:$D$1504,"销项开票",业务流水!$C$5:$C$1504,$A64,业务流水!$Z$5:$Z$1504,"是"))</f>
        <v>0</v>
      </c>
      <c r="I64" s="41" t="n">
        <f aca="false">IF($A64="","",SUMIFS(业务流水!$H$5:$H$1504,业务流水!$E$5:$E$1504,$B$3,业务流水!$D$5:$D$1504,"已交税",业务流水!$C$5:$C$1504,$A64,业务流水!$Z$5:$Z$1504,"是"))</f>
        <v>0</v>
      </c>
      <c r="J64" s="42" t="n">
        <f aca="false">IF($A64="","",$H64-$I64)</f>
        <v>0</v>
      </c>
      <c r="K64" s="41" t="n">
        <f aca="false">IF($A64="","",SUMIFS(业务流水!$H$5:$H$1504,业务流水!$F$5:$F$1504,$B$3,业务流水!$D$5:$D$1504,"挂靠代收",业务流水!$C$5:$C$1504,$A64,业务流水!$Z$5:$Z$1504,"是"))</f>
        <v>0</v>
      </c>
      <c r="L64" s="42" t="n">
        <f aca="false">IF($A64="","",$C64-$K64)</f>
        <v>0</v>
      </c>
      <c r="M64" s="41" t="n">
        <f aca="false">IF($A64="","",SUMIFS(业务流水!$H$5:$H$1504,业务流水!$E$5:$E$1504,$B$3,业务流水!$D$5:$D$1504,"我方收款",业务流水!$C$5:$C$1504,$A64,业务流水!$Z$5:$Z$1504,"是"))</f>
        <v>0</v>
      </c>
      <c r="N64" s="43" t="n">
        <f aca="false">IF($A64="","",$K64-$M64)</f>
        <v>0</v>
      </c>
      <c r="O64" s="41" t="n">
        <f aca="false">IF($A64="","",SUMIFS(业务流水!$H$5:$H$1504,业务流水!$F$5:$F$1504,$B$3,业务流水!$D$5:$D$1504,"管理费结算",业务流水!$C$5:$C$1504,$A64,业务流水!$Z$5:$Z$1504,"是"))</f>
        <v>0</v>
      </c>
      <c r="P64" s="41" t="n">
        <f aca="false">IF($A64="","",SUMIFS(业务流水!$H$5:$H$1504,业务流水!$E$5:$E$1504,$B$3,业务流水!$D$5:$D$1504,"扣质保金",业务流水!$C$5:$C$1504,$A64,业务流水!$Z$5:$Z$1504,"是"))</f>
        <v>0</v>
      </c>
      <c r="Q64" s="48" t="str">
        <f aca="false">IF($A64="","",IF(SUM($C64:$F64)+SUM($K64:$M64)=0,"无","有"))</f>
        <v>无</v>
      </c>
    </row>
    <row r="65" customFormat="false" ht="15.75" hidden="false" customHeight="true" outlineLevel="0" collapsed="false">
      <c r="A65" s="32" t="str">
        <f aca="false">IF(项目档案!$A65="","",项目档案!$A65)</f>
        <v>A060</v>
      </c>
      <c r="B65" s="40" t="str">
        <f aca="false">IF($A65="","",项目档案!$B65)</f>
        <v>华润电力重庆能源铜梁平滩农光互补项目219kV升压站PC工程</v>
      </c>
      <c r="C65" s="41" t="n">
        <f aca="false">IF($A65="","",SUMIFS(业务流水!$H$5:$H$1504,业务流水!$E$5:$E$1504,$B$3,业务流水!$D$5:$D$1504,"销项开票",业务流水!$C$5:$C$1504,$A65,业务流水!$Z$5:$Z$1504,"是"))</f>
        <v>0</v>
      </c>
      <c r="D65" s="41" t="n">
        <f aca="false">IF($A65="","",SUMIFS(业务流水!$O$5:$O$1504,业务流水!$E$5:$E$1504,$B$3,业务流水!$D$5:$D$1504,"销项开票",业务流水!$C$5:$C$1504,$A65,业务流水!$Z$5:$Z$1504,"是"))</f>
        <v>0</v>
      </c>
      <c r="E65" s="41" t="n">
        <f aca="false">IF($A65="","",SUMIFS(业务流水!$P$5:$P$1504,业务流水!$E$5:$E$1504,$B$3,业务流水!$D$5:$D$1504,"销项开票",业务流水!$C$5:$C$1504,$A65,业务流水!$Z$5:$Z$1504,"是"))</f>
        <v>0</v>
      </c>
      <c r="F65" s="41" t="n">
        <f aca="false">IF($A65="","",SUMIFS(业务流水!$H$5:$H$1504,业务流水!$F$5:$F$1504,$B$3,业务流水!$D$5:$D$1504,"成本票",业务流水!$C$5:$C$1504,$A65,业务流水!$Z$5:$Z$1504,"是")+SUMIFS(业务流水!$H$5:$H$1504,业务流水!$F$5:$F$1504,$B$3,业务流水!$D$5:$D$1504,"销项开票",业务流水!$C$5:$C$1504,$A65,业务流水!$Z$5:$Z$1504,"是"))</f>
        <v>0</v>
      </c>
      <c r="G65" s="42" t="n">
        <f aca="false">IF($A65="","",$E65-$F65)</f>
        <v>0</v>
      </c>
      <c r="H65" s="41" t="n">
        <f aca="false">IF($A65="","",SUMIFS(业务流水!$W$5:$W$1504,业务流水!$E$5:$E$1504,$B$3,业务流水!$D$5:$D$1504,"销项开票",业务流水!$C$5:$C$1504,$A65,业务流水!$Z$5:$Z$1504,"是"))</f>
        <v>0</v>
      </c>
      <c r="I65" s="41" t="n">
        <f aca="false">IF($A65="","",SUMIFS(业务流水!$H$5:$H$1504,业务流水!$E$5:$E$1504,$B$3,业务流水!$D$5:$D$1504,"已交税",业务流水!$C$5:$C$1504,$A65,业务流水!$Z$5:$Z$1504,"是"))</f>
        <v>0</v>
      </c>
      <c r="J65" s="42" t="n">
        <f aca="false">IF($A65="","",$H65-$I65)</f>
        <v>0</v>
      </c>
      <c r="K65" s="41" t="n">
        <f aca="false">IF($A65="","",SUMIFS(业务流水!$H$5:$H$1504,业务流水!$F$5:$F$1504,$B$3,业务流水!$D$5:$D$1504,"挂靠代收",业务流水!$C$5:$C$1504,$A65,业务流水!$Z$5:$Z$1504,"是"))</f>
        <v>0</v>
      </c>
      <c r="L65" s="42" t="n">
        <f aca="false">IF($A65="","",$C65-$K65)</f>
        <v>0</v>
      </c>
      <c r="M65" s="41" t="n">
        <f aca="false">IF($A65="","",SUMIFS(业务流水!$H$5:$H$1504,业务流水!$E$5:$E$1504,$B$3,业务流水!$D$5:$D$1504,"我方收款",业务流水!$C$5:$C$1504,$A65,业务流水!$Z$5:$Z$1504,"是"))</f>
        <v>0</v>
      </c>
      <c r="N65" s="43" t="n">
        <f aca="false">IF($A65="","",$K65-$M65)</f>
        <v>0</v>
      </c>
      <c r="O65" s="41" t="n">
        <f aca="false">IF($A65="","",SUMIFS(业务流水!$H$5:$H$1504,业务流水!$F$5:$F$1504,$B$3,业务流水!$D$5:$D$1504,"管理费结算",业务流水!$C$5:$C$1504,$A65,业务流水!$Z$5:$Z$1504,"是"))</f>
        <v>0</v>
      </c>
      <c r="P65" s="41" t="n">
        <f aca="false">IF($A65="","",SUMIFS(业务流水!$H$5:$H$1504,业务流水!$E$5:$E$1504,$B$3,业务流水!$D$5:$D$1504,"扣质保金",业务流水!$C$5:$C$1504,$A65,业务流水!$Z$5:$Z$1504,"是"))</f>
        <v>0</v>
      </c>
      <c r="Q65" s="48" t="str">
        <f aca="false">IF($A65="","",IF(SUM($C65:$F65)+SUM($K65:$M65)=0,"无","有"))</f>
        <v>无</v>
      </c>
    </row>
    <row r="66" customFormat="false" ht="15.75" hidden="false" customHeight="true" outlineLevel="0" collapsed="false">
      <c r="A66" s="32" t="str">
        <f aca="false">IF(项目档案!$A66="","",项目档案!$A66)</f>
        <v>A061</v>
      </c>
      <c r="B66" s="40" t="str">
        <f aca="false">IF($A66="","",项目档案!$B66)</f>
        <v>重庆民能实业有限公司2025-2026年度工程用特种设备租赁服务框架采购（华润电力重庆能源铜梁平滩农光互补项目220kV升压站PC工程）</v>
      </c>
      <c r="C66" s="41" t="n">
        <f aca="false">IF($A66="","",SUMIFS(业务流水!$H$5:$H$1504,业务流水!$E$5:$E$1504,$B$3,业务流水!$D$5:$D$1504,"销项开票",业务流水!$C$5:$C$1504,$A66,业务流水!$Z$5:$Z$1504,"是"))</f>
        <v>0</v>
      </c>
      <c r="D66" s="41" t="n">
        <f aca="false">IF($A66="","",SUMIFS(业务流水!$O$5:$O$1504,业务流水!$E$5:$E$1504,$B$3,业务流水!$D$5:$D$1504,"销项开票",业务流水!$C$5:$C$1504,$A66,业务流水!$Z$5:$Z$1504,"是"))</f>
        <v>0</v>
      </c>
      <c r="E66" s="41" t="n">
        <f aca="false">IF($A66="","",SUMIFS(业务流水!$P$5:$P$1504,业务流水!$E$5:$E$1504,$B$3,业务流水!$D$5:$D$1504,"销项开票",业务流水!$C$5:$C$1504,$A66,业务流水!$Z$5:$Z$1504,"是"))</f>
        <v>0</v>
      </c>
      <c r="F66" s="41" t="n">
        <f aca="false">IF($A66="","",SUMIFS(业务流水!$H$5:$H$1504,业务流水!$F$5:$F$1504,$B$3,业务流水!$D$5:$D$1504,"成本票",业务流水!$C$5:$C$1504,$A66,业务流水!$Z$5:$Z$1504,"是")+SUMIFS(业务流水!$H$5:$H$1504,业务流水!$F$5:$F$1504,$B$3,业务流水!$D$5:$D$1504,"销项开票",业务流水!$C$5:$C$1504,$A66,业务流水!$Z$5:$Z$1504,"是"))</f>
        <v>0</v>
      </c>
      <c r="G66" s="42" t="n">
        <f aca="false">IF($A66="","",$E66-$F66)</f>
        <v>0</v>
      </c>
      <c r="H66" s="41" t="n">
        <f aca="false">IF($A66="","",SUMIFS(业务流水!$W$5:$W$1504,业务流水!$E$5:$E$1504,$B$3,业务流水!$D$5:$D$1504,"销项开票",业务流水!$C$5:$C$1504,$A66,业务流水!$Z$5:$Z$1504,"是"))</f>
        <v>0</v>
      </c>
      <c r="I66" s="41" t="n">
        <f aca="false">IF($A66="","",SUMIFS(业务流水!$H$5:$H$1504,业务流水!$E$5:$E$1504,$B$3,业务流水!$D$5:$D$1504,"已交税",业务流水!$C$5:$C$1504,$A66,业务流水!$Z$5:$Z$1504,"是"))</f>
        <v>0</v>
      </c>
      <c r="J66" s="42" t="n">
        <f aca="false">IF($A66="","",$H66-$I66)</f>
        <v>0</v>
      </c>
      <c r="K66" s="41" t="n">
        <f aca="false">IF($A66="","",SUMIFS(业务流水!$H$5:$H$1504,业务流水!$F$5:$F$1504,$B$3,业务流水!$D$5:$D$1504,"挂靠代收",业务流水!$C$5:$C$1504,$A66,业务流水!$Z$5:$Z$1504,"是"))</f>
        <v>0</v>
      </c>
      <c r="L66" s="42" t="n">
        <f aca="false">IF($A66="","",$C66-$K66)</f>
        <v>0</v>
      </c>
      <c r="M66" s="41" t="n">
        <f aca="false">IF($A66="","",SUMIFS(业务流水!$H$5:$H$1504,业务流水!$E$5:$E$1504,$B$3,业务流水!$D$5:$D$1504,"我方收款",业务流水!$C$5:$C$1504,$A66,业务流水!$Z$5:$Z$1504,"是"))</f>
        <v>0</v>
      </c>
      <c r="N66" s="43" t="n">
        <f aca="false">IF($A66="","",$K66-$M66)</f>
        <v>0</v>
      </c>
      <c r="O66" s="41" t="n">
        <f aca="false">IF($A66="","",SUMIFS(业务流水!$H$5:$H$1504,业务流水!$F$5:$F$1504,$B$3,业务流水!$D$5:$D$1504,"管理费结算",业务流水!$C$5:$C$1504,$A66,业务流水!$Z$5:$Z$1504,"是"))</f>
        <v>0</v>
      </c>
      <c r="P66" s="41" t="n">
        <f aca="false">IF($A66="","",SUMIFS(业务流水!$H$5:$H$1504,业务流水!$E$5:$E$1504,$B$3,业务流水!$D$5:$D$1504,"扣质保金",业务流水!$C$5:$C$1504,$A66,业务流水!$Z$5:$Z$1504,"是"))</f>
        <v>0</v>
      </c>
      <c r="Q66" s="48" t="str">
        <f aca="false">IF($A66="","",IF(SUM($C66:$F66)+SUM($K66:$M66)=0,"无","有"))</f>
        <v>无</v>
      </c>
    </row>
    <row r="67" customFormat="false" ht="15.75" hidden="false" customHeight="true" outlineLevel="0" collapsed="false">
      <c r="A67" s="32" t="str">
        <f aca="false">IF(项目档案!$A67="","",项目档案!$A67)</f>
        <v>A062</v>
      </c>
      <c r="B67" s="40" t="str">
        <f aca="false">IF($A67="","",项目档案!$B67)</f>
        <v>重庆民能实业有 限公司
2025-2026年度工程用特种设
备租赁服务框架采购（重庆稷
博汇物流有 限公司10kV充电桩
新装用电工程）</v>
      </c>
      <c r="C67" s="41" t="n">
        <f aca="false">IF($A67="","",SUMIFS(业务流水!$H$5:$H$1504,业务流水!$E$5:$E$1504,$B$3,业务流水!$D$5:$D$1504,"销项开票",业务流水!$C$5:$C$1504,$A67,业务流水!$Z$5:$Z$1504,"是"))</f>
        <v>0</v>
      </c>
      <c r="D67" s="41" t="n">
        <f aca="false">IF($A67="","",SUMIFS(业务流水!$O$5:$O$1504,业务流水!$E$5:$E$1504,$B$3,业务流水!$D$5:$D$1504,"销项开票",业务流水!$C$5:$C$1504,$A67,业务流水!$Z$5:$Z$1504,"是"))</f>
        <v>0</v>
      </c>
      <c r="E67" s="41" t="n">
        <f aca="false">IF($A67="","",SUMIFS(业务流水!$P$5:$P$1504,业务流水!$E$5:$E$1504,$B$3,业务流水!$D$5:$D$1504,"销项开票",业务流水!$C$5:$C$1504,$A67,业务流水!$Z$5:$Z$1504,"是"))</f>
        <v>0</v>
      </c>
      <c r="F67" s="41" t="n">
        <f aca="false">IF($A67="","",SUMIFS(业务流水!$H$5:$H$1504,业务流水!$F$5:$F$1504,$B$3,业务流水!$D$5:$D$1504,"成本票",业务流水!$C$5:$C$1504,$A67,业务流水!$Z$5:$Z$1504,"是")+SUMIFS(业务流水!$H$5:$H$1504,业务流水!$F$5:$F$1504,$B$3,业务流水!$D$5:$D$1504,"销项开票",业务流水!$C$5:$C$1504,$A67,业务流水!$Z$5:$Z$1504,"是"))</f>
        <v>0</v>
      </c>
      <c r="G67" s="42" t="n">
        <f aca="false">IF($A67="","",$E67-$F67)</f>
        <v>0</v>
      </c>
      <c r="H67" s="41" t="n">
        <f aca="false">IF($A67="","",SUMIFS(业务流水!$W$5:$W$1504,业务流水!$E$5:$E$1504,$B$3,业务流水!$D$5:$D$1504,"销项开票",业务流水!$C$5:$C$1504,$A67,业务流水!$Z$5:$Z$1504,"是"))</f>
        <v>0</v>
      </c>
      <c r="I67" s="41" t="n">
        <f aca="false">IF($A67="","",SUMIFS(业务流水!$H$5:$H$1504,业务流水!$E$5:$E$1504,$B$3,业务流水!$D$5:$D$1504,"已交税",业务流水!$C$5:$C$1504,$A67,业务流水!$Z$5:$Z$1504,"是"))</f>
        <v>0</v>
      </c>
      <c r="J67" s="42" t="n">
        <f aca="false">IF($A67="","",$H67-$I67)</f>
        <v>0</v>
      </c>
      <c r="K67" s="41" t="n">
        <f aca="false">IF($A67="","",SUMIFS(业务流水!$H$5:$H$1504,业务流水!$F$5:$F$1504,$B$3,业务流水!$D$5:$D$1504,"挂靠代收",业务流水!$C$5:$C$1504,$A67,业务流水!$Z$5:$Z$1504,"是"))</f>
        <v>0</v>
      </c>
      <c r="L67" s="42" t="n">
        <f aca="false">IF($A67="","",$C67-$K67)</f>
        <v>0</v>
      </c>
      <c r="M67" s="41" t="n">
        <f aca="false">IF($A67="","",SUMIFS(业务流水!$H$5:$H$1504,业务流水!$E$5:$E$1504,$B$3,业务流水!$D$5:$D$1504,"我方收款",业务流水!$C$5:$C$1504,$A67,业务流水!$Z$5:$Z$1504,"是"))</f>
        <v>0</v>
      </c>
      <c r="N67" s="43" t="n">
        <f aca="false">IF($A67="","",$K67-$M67)</f>
        <v>0</v>
      </c>
      <c r="O67" s="41" t="n">
        <f aca="false">IF($A67="","",SUMIFS(业务流水!$H$5:$H$1504,业务流水!$F$5:$F$1504,$B$3,业务流水!$D$5:$D$1504,"管理费结算",业务流水!$C$5:$C$1504,$A67,业务流水!$Z$5:$Z$1504,"是"))</f>
        <v>0</v>
      </c>
      <c r="P67" s="41" t="n">
        <f aca="false">IF($A67="","",SUMIFS(业务流水!$H$5:$H$1504,业务流水!$E$5:$E$1504,$B$3,业务流水!$D$5:$D$1504,"扣质保金",业务流水!$C$5:$C$1504,$A67,业务流水!$Z$5:$Z$1504,"是"))</f>
        <v>0</v>
      </c>
      <c r="Q67" s="48" t="str">
        <f aca="false">IF($A67="","",IF(SUM($C67:$F67)+SUM($K67:$M67)=0,"无","有"))</f>
        <v>无</v>
      </c>
    </row>
    <row r="68" customFormat="false" ht="15.75" hidden="false" customHeight="true" outlineLevel="0" collapsed="false">
      <c r="A68" s="32" t="str">
        <f aca="false">IF(项目档案!$A68="","",项目档案!$A68)</f>
        <v>A063</v>
      </c>
      <c r="B68" s="40" t="str">
        <f aca="false">IF($A68="","",项目档案!$B68)</f>
        <v>项目名称：重庆民能实业有限公司2025-2026年度工程用特种设备租赁服务框架采购（铜梁公司2026年配电专业应急抢修抢险等外包项目
（永嘉所10kV西新线等2条线路综合检修项目））</v>
      </c>
      <c r="C68" s="41" t="n">
        <f aca="false">IF($A68="","",SUMIFS(业务流水!$H$5:$H$1504,业务流水!$E$5:$E$1504,$B$3,业务流水!$D$5:$D$1504,"销项开票",业务流水!$C$5:$C$1504,$A68,业务流水!$Z$5:$Z$1504,"是"))</f>
        <v>0</v>
      </c>
      <c r="D68" s="41" t="n">
        <f aca="false">IF($A68="","",SUMIFS(业务流水!$O$5:$O$1504,业务流水!$E$5:$E$1504,$B$3,业务流水!$D$5:$D$1504,"销项开票",业务流水!$C$5:$C$1504,$A68,业务流水!$Z$5:$Z$1504,"是"))</f>
        <v>0</v>
      </c>
      <c r="E68" s="41" t="n">
        <f aca="false">IF($A68="","",SUMIFS(业务流水!$P$5:$P$1504,业务流水!$E$5:$E$1504,$B$3,业务流水!$D$5:$D$1504,"销项开票",业务流水!$C$5:$C$1504,$A68,业务流水!$Z$5:$Z$1504,"是"))</f>
        <v>0</v>
      </c>
      <c r="F68" s="41" t="n">
        <f aca="false">IF($A68="","",SUMIFS(业务流水!$H$5:$H$1504,业务流水!$F$5:$F$1504,$B$3,业务流水!$D$5:$D$1504,"成本票",业务流水!$C$5:$C$1504,$A68,业务流水!$Z$5:$Z$1504,"是")+SUMIFS(业务流水!$H$5:$H$1504,业务流水!$F$5:$F$1504,$B$3,业务流水!$D$5:$D$1504,"销项开票",业务流水!$C$5:$C$1504,$A68,业务流水!$Z$5:$Z$1504,"是"))</f>
        <v>0</v>
      </c>
      <c r="G68" s="42" t="n">
        <f aca="false">IF($A68="","",$E68-$F68)</f>
        <v>0</v>
      </c>
      <c r="H68" s="41" t="n">
        <f aca="false">IF($A68="","",SUMIFS(业务流水!$W$5:$W$1504,业务流水!$E$5:$E$1504,$B$3,业务流水!$D$5:$D$1504,"销项开票",业务流水!$C$5:$C$1504,$A68,业务流水!$Z$5:$Z$1504,"是"))</f>
        <v>0</v>
      </c>
      <c r="I68" s="41" t="n">
        <f aca="false">IF($A68="","",SUMIFS(业务流水!$H$5:$H$1504,业务流水!$E$5:$E$1504,$B$3,业务流水!$D$5:$D$1504,"已交税",业务流水!$C$5:$C$1504,$A68,业务流水!$Z$5:$Z$1504,"是"))</f>
        <v>0</v>
      </c>
      <c r="J68" s="42" t="n">
        <f aca="false">IF($A68="","",$H68-$I68)</f>
        <v>0</v>
      </c>
      <c r="K68" s="41" t="n">
        <f aca="false">IF($A68="","",SUMIFS(业务流水!$H$5:$H$1504,业务流水!$F$5:$F$1504,$B$3,业务流水!$D$5:$D$1504,"挂靠代收",业务流水!$C$5:$C$1504,$A68,业务流水!$Z$5:$Z$1504,"是"))</f>
        <v>0</v>
      </c>
      <c r="L68" s="42" t="n">
        <f aca="false">IF($A68="","",$C68-$K68)</f>
        <v>0</v>
      </c>
      <c r="M68" s="41" t="n">
        <f aca="false">IF($A68="","",SUMIFS(业务流水!$H$5:$H$1504,业务流水!$E$5:$E$1504,$B$3,业务流水!$D$5:$D$1504,"我方收款",业务流水!$C$5:$C$1504,$A68,业务流水!$Z$5:$Z$1504,"是"))</f>
        <v>0</v>
      </c>
      <c r="N68" s="43" t="n">
        <f aca="false">IF($A68="","",$K68-$M68)</f>
        <v>0</v>
      </c>
      <c r="O68" s="41" t="n">
        <f aca="false">IF($A68="","",SUMIFS(业务流水!$H$5:$H$1504,业务流水!$F$5:$F$1504,$B$3,业务流水!$D$5:$D$1504,"管理费结算",业务流水!$C$5:$C$1504,$A68,业务流水!$Z$5:$Z$1504,"是"))</f>
        <v>0</v>
      </c>
      <c r="P68" s="41" t="n">
        <f aca="false">IF($A68="","",SUMIFS(业务流水!$H$5:$H$1504,业务流水!$E$5:$E$1504,$B$3,业务流水!$D$5:$D$1504,"扣质保金",业务流水!$C$5:$C$1504,$A68,业务流水!$Z$5:$Z$1504,"是"))</f>
        <v>0</v>
      </c>
      <c r="Q68" s="48" t="str">
        <f aca="false">IF($A68="","",IF(SUM($C68:$F68)+SUM($K68:$M68)=0,"无","有"))</f>
        <v>无</v>
      </c>
    </row>
    <row r="69" customFormat="false" ht="15.75" hidden="false" customHeight="true" outlineLevel="0" collapsed="false">
      <c r="A69" s="32" t="str">
        <f aca="false">IF(项目档案!$A69="","",项目档案!$A69)</f>
        <v/>
      </c>
      <c r="B69" s="40" t="str">
        <f aca="false">IF($A69="","",项目档案!$B69)</f>
        <v/>
      </c>
      <c r="C69" s="41" t="str">
        <f aca="false">IF($A69="","",SUMIFS(业务流水!$H$5:$H$1504,业务流水!$E$5:$E$1504,$B$3,业务流水!$D$5:$D$1504,"销项开票",业务流水!$C$5:$C$1504,$A69,业务流水!$Z$5:$Z$1504,"是"))</f>
        <v/>
      </c>
      <c r="D69" s="41" t="str">
        <f aca="false">IF($A69="","",SUMIFS(业务流水!$O$5:$O$1504,业务流水!$E$5:$E$1504,$B$3,业务流水!$D$5:$D$1504,"销项开票",业务流水!$C$5:$C$1504,$A69,业务流水!$Z$5:$Z$1504,"是"))</f>
        <v/>
      </c>
      <c r="E69" s="41" t="str">
        <f aca="false">IF($A69="","",SUMIFS(业务流水!$P$5:$P$1504,业务流水!$E$5:$E$1504,$B$3,业务流水!$D$5:$D$1504,"销项开票",业务流水!$C$5:$C$1504,$A69,业务流水!$Z$5:$Z$1504,"是"))</f>
        <v/>
      </c>
      <c r="F69" s="41" t="str">
        <f aca="false">IF($A69="","",SUMIFS(业务流水!$H$5:$H$1504,业务流水!$F$5:$F$1504,$B$3,业务流水!$D$5:$D$1504,"成本票",业务流水!$C$5:$C$1504,$A69,业务流水!$Z$5:$Z$1504,"是")+SUMIFS(业务流水!$H$5:$H$1504,业务流水!$F$5:$F$1504,$B$3,业务流水!$D$5:$D$1504,"销项开票",业务流水!$C$5:$C$1504,$A69,业务流水!$Z$5:$Z$1504,"是"))</f>
        <v/>
      </c>
      <c r="G69" s="42" t="str">
        <f aca="false">IF($A69="","",$E69-$F69)</f>
        <v/>
      </c>
      <c r="H69" s="41" t="str">
        <f aca="false">IF($A69="","",SUMIFS(业务流水!$W$5:$W$1504,业务流水!$E$5:$E$1504,$B$3,业务流水!$D$5:$D$1504,"销项开票",业务流水!$C$5:$C$1504,$A69,业务流水!$Z$5:$Z$1504,"是"))</f>
        <v/>
      </c>
      <c r="I69" s="41" t="str">
        <f aca="false">IF($A69="","",SUMIFS(业务流水!$H$5:$H$1504,业务流水!$E$5:$E$1504,$B$3,业务流水!$D$5:$D$1504,"已交税",业务流水!$C$5:$C$1504,$A69,业务流水!$Z$5:$Z$1504,"是"))</f>
        <v/>
      </c>
      <c r="J69" s="42" t="str">
        <f aca="false">IF($A69="","",$H69-$I69)</f>
        <v/>
      </c>
      <c r="K69" s="41" t="str">
        <f aca="false">IF($A69="","",SUMIFS(业务流水!$H$5:$H$1504,业务流水!$F$5:$F$1504,$B$3,业务流水!$D$5:$D$1504,"挂靠代收",业务流水!$C$5:$C$1504,$A69,业务流水!$Z$5:$Z$1504,"是"))</f>
        <v/>
      </c>
      <c r="L69" s="42" t="str">
        <f aca="false">IF($A69="","",$C69-$K69)</f>
        <v/>
      </c>
      <c r="M69" s="41" t="str">
        <f aca="false">IF($A69="","",SUMIFS(业务流水!$H$5:$H$1504,业务流水!$E$5:$E$1504,$B$3,业务流水!$D$5:$D$1504,"我方收款",业务流水!$C$5:$C$1504,$A69,业务流水!$Z$5:$Z$1504,"是"))</f>
        <v/>
      </c>
      <c r="N69" s="43" t="str">
        <f aca="false">IF($A69="","",$K69-$M69)</f>
        <v/>
      </c>
      <c r="O69" s="41" t="str">
        <f aca="false">IF($A69="","",SUMIFS(业务流水!$H$5:$H$1504,业务流水!$F$5:$F$1504,$B$3,业务流水!$D$5:$D$1504,"管理费结算",业务流水!$C$5:$C$1504,$A69,业务流水!$Z$5:$Z$1504,"是"))</f>
        <v/>
      </c>
      <c r="P69" s="41" t="str">
        <f aca="false">IF($A69="","",SUMIFS(业务流水!$H$5:$H$1504,业务流水!$E$5:$E$1504,$B$3,业务流水!$D$5:$D$1504,"扣质保金",业务流水!$C$5:$C$1504,$A69,业务流水!$Z$5:$Z$1504,"是"))</f>
        <v/>
      </c>
      <c r="Q69" s="48" t="str">
        <f aca="false">IF($A69="","",IF(SUM($C69:$F69)+SUM($K69:$M69)=0,"无","有"))</f>
        <v/>
      </c>
    </row>
    <row r="70" customFormat="false" ht="15.75" hidden="false" customHeight="true" outlineLevel="0" collapsed="false">
      <c r="A70" s="32" t="str">
        <f aca="false">IF(项目档案!$A70="","",项目档案!$A70)</f>
        <v/>
      </c>
      <c r="B70" s="40" t="str">
        <f aca="false">IF($A70="","",项目档案!$B70)</f>
        <v/>
      </c>
      <c r="C70" s="41" t="str">
        <f aca="false">IF($A70="","",SUMIFS(业务流水!$H$5:$H$1504,业务流水!$E$5:$E$1504,$B$3,业务流水!$D$5:$D$1504,"销项开票",业务流水!$C$5:$C$1504,$A70,业务流水!$Z$5:$Z$1504,"是"))</f>
        <v/>
      </c>
      <c r="D70" s="41" t="str">
        <f aca="false">IF($A70="","",SUMIFS(业务流水!$O$5:$O$1504,业务流水!$E$5:$E$1504,$B$3,业务流水!$D$5:$D$1504,"销项开票",业务流水!$C$5:$C$1504,$A70,业务流水!$Z$5:$Z$1504,"是"))</f>
        <v/>
      </c>
      <c r="E70" s="41" t="str">
        <f aca="false">IF($A70="","",SUMIFS(业务流水!$P$5:$P$1504,业务流水!$E$5:$E$1504,$B$3,业务流水!$D$5:$D$1504,"销项开票",业务流水!$C$5:$C$1504,$A70,业务流水!$Z$5:$Z$1504,"是"))</f>
        <v/>
      </c>
      <c r="F70" s="41" t="str">
        <f aca="false">IF($A70="","",SUMIFS(业务流水!$H$5:$H$1504,业务流水!$F$5:$F$1504,$B$3,业务流水!$D$5:$D$1504,"成本票",业务流水!$C$5:$C$1504,$A70,业务流水!$Z$5:$Z$1504,"是")+SUMIFS(业务流水!$H$5:$H$1504,业务流水!$F$5:$F$1504,$B$3,业务流水!$D$5:$D$1504,"销项开票",业务流水!$C$5:$C$1504,$A70,业务流水!$Z$5:$Z$1504,"是"))</f>
        <v/>
      </c>
      <c r="G70" s="42" t="str">
        <f aca="false">IF($A70="","",$E70-$F70)</f>
        <v/>
      </c>
      <c r="H70" s="41" t="str">
        <f aca="false">IF($A70="","",SUMIFS(业务流水!$W$5:$W$1504,业务流水!$E$5:$E$1504,$B$3,业务流水!$D$5:$D$1504,"销项开票",业务流水!$C$5:$C$1504,$A70,业务流水!$Z$5:$Z$1504,"是"))</f>
        <v/>
      </c>
      <c r="I70" s="41" t="str">
        <f aca="false">IF($A70="","",SUMIFS(业务流水!$H$5:$H$1504,业务流水!$E$5:$E$1504,$B$3,业务流水!$D$5:$D$1504,"已交税",业务流水!$C$5:$C$1504,$A70,业务流水!$Z$5:$Z$1504,"是"))</f>
        <v/>
      </c>
      <c r="J70" s="42" t="str">
        <f aca="false">IF($A70="","",$H70-$I70)</f>
        <v/>
      </c>
      <c r="K70" s="41" t="str">
        <f aca="false">IF($A70="","",SUMIFS(业务流水!$H$5:$H$1504,业务流水!$F$5:$F$1504,$B$3,业务流水!$D$5:$D$1504,"挂靠代收",业务流水!$C$5:$C$1504,$A70,业务流水!$Z$5:$Z$1504,"是"))</f>
        <v/>
      </c>
      <c r="L70" s="42" t="str">
        <f aca="false">IF($A70="","",$C70-$K70)</f>
        <v/>
      </c>
      <c r="M70" s="41" t="str">
        <f aca="false">IF($A70="","",SUMIFS(业务流水!$H$5:$H$1504,业务流水!$E$5:$E$1504,$B$3,业务流水!$D$5:$D$1504,"我方收款",业务流水!$C$5:$C$1504,$A70,业务流水!$Z$5:$Z$1504,"是"))</f>
        <v/>
      </c>
      <c r="N70" s="43" t="str">
        <f aca="false">IF($A70="","",$K70-$M70)</f>
        <v/>
      </c>
      <c r="O70" s="41" t="str">
        <f aca="false">IF($A70="","",SUMIFS(业务流水!$H$5:$H$1504,业务流水!$F$5:$F$1504,$B$3,业务流水!$D$5:$D$1504,"管理费结算",业务流水!$C$5:$C$1504,$A70,业务流水!$Z$5:$Z$1504,"是"))</f>
        <v/>
      </c>
      <c r="P70" s="41" t="str">
        <f aca="false">IF($A70="","",SUMIFS(业务流水!$H$5:$H$1504,业务流水!$E$5:$E$1504,$B$3,业务流水!$D$5:$D$1504,"扣质保金",业务流水!$C$5:$C$1504,$A70,业务流水!$Z$5:$Z$1504,"是"))</f>
        <v/>
      </c>
      <c r="Q70" s="48" t="str">
        <f aca="false">IF($A70="","",IF(SUM($C70:$F70)+SUM($K70:$M70)=0,"无","有"))</f>
        <v/>
      </c>
    </row>
    <row r="71" customFormat="false" ht="15.75" hidden="false" customHeight="true" outlineLevel="0" collapsed="false">
      <c r="A71" s="32" t="str">
        <f aca="false">IF(项目档案!$A71="","",项目档案!$A71)</f>
        <v/>
      </c>
      <c r="B71" s="40" t="str">
        <f aca="false">IF($A71="","",项目档案!$B71)</f>
        <v/>
      </c>
      <c r="C71" s="41" t="str">
        <f aca="false">IF($A71="","",SUMIFS(业务流水!$H$5:$H$1504,业务流水!$E$5:$E$1504,$B$3,业务流水!$D$5:$D$1504,"销项开票",业务流水!$C$5:$C$1504,$A71,业务流水!$Z$5:$Z$1504,"是"))</f>
        <v/>
      </c>
      <c r="D71" s="41" t="str">
        <f aca="false">IF($A71="","",SUMIFS(业务流水!$O$5:$O$1504,业务流水!$E$5:$E$1504,$B$3,业务流水!$D$5:$D$1504,"销项开票",业务流水!$C$5:$C$1504,$A71,业务流水!$Z$5:$Z$1504,"是"))</f>
        <v/>
      </c>
      <c r="E71" s="41" t="str">
        <f aca="false">IF($A71="","",SUMIFS(业务流水!$P$5:$P$1504,业务流水!$E$5:$E$1504,$B$3,业务流水!$D$5:$D$1504,"销项开票",业务流水!$C$5:$C$1504,$A71,业务流水!$Z$5:$Z$1504,"是"))</f>
        <v/>
      </c>
      <c r="F71" s="41" t="str">
        <f aca="false">IF($A71="","",SUMIFS(业务流水!$H$5:$H$1504,业务流水!$F$5:$F$1504,$B$3,业务流水!$D$5:$D$1504,"成本票",业务流水!$C$5:$C$1504,$A71,业务流水!$Z$5:$Z$1504,"是")+SUMIFS(业务流水!$H$5:$H$1504,业务流水!$F$5:$F$1504,$B$3,业务流水!$D$5:$D$1504,"销项开票",业务流水!$C$5:$C$1504,$A71,业务流水!$Z$5:$Z$1504,"是"))</f>
        <v/>
      </c>
      <c r="G71" s="42" t="str">
        <f aca="false">IF($A71="","",$E71-$F71)</f>
        <v/>
      </c>
      <c r="H71" s="41" t="str">
        <f aca="false">IF($A71="","",SUMIFS(业务流水!$W$5:$W$1504,业务流水!$E$5:$E$1504,$B$3,业务流水!$D$5:$D$1504,"销项开票",业务流水!$C$5:$C$1504,$A71,业务流水!$Z$5:$Z$1504,"是"))</f>
        <v/>
      </c>
      <c r="I71" s="41" t="str">
        <f aca="false">IF($A71="","",SUMIFS(业务流水!$H$5:$H$1504,业务流水!$E$5:$E$1504,$B$3,业务流水!$D$5:$D$1504,"已交税",业务流水!$C$5:$C$1504,$A71,业务流水!$Z$5:$Z$1504,"是"))</f>
        <v/>
      </c>
      <c r="J71" s="42" t="str">
        <f aca="false">IF($A71="","",$H71-$I71)</f>
        <v/>
      </c>
      <c r="K71" s="41" t="str">
        <f aca="false">IF($A71="","",SUMIFS(业务流水!$H$5:$H$1504,业务流水!$F$5:$F$1504,$B$3,业务流水!$D$5:$D$1504,"挂靠代收",业务流水!$C$5:$C$1504,$A71,业务流水!$Z$5:$Z$1504,"是"))</f>
        <v/>
      </c>
      <c r="L71" s="42" t="str">
        <f aca="false">IF($A71="","",$C71-$K71)</f>
        <v/>
      </c>
      <c r="M71" s="41" t="str">
        <f aca="false">IF($A71="","",SUMIFS(业务流水!$H$5:$H$1504,业务流水!$E$5:$E$1504,$B$3,业务流水!$D$5:$D$1504,"我方收款",业务流水!$C$5:$C$1504,$A71,业务流水!$Z$5:$Z$1504,"是"))</f>
        <v/>
      </c>
      <c r="N71" s="43" t="str">
        <f aca="false">IF($A71="","",$K71-$M71)</f>
        <v/>
      </c>
      <c r="O71" s="41" t="str">
        <f aca="false">IF($A71="","",SUMIFS(业务流水!$H$5:$H$1504,业务流水!$F$5:$F$1504,$B$3,业务流水!$D$5:$D$1504,"管理费结算",业务流水!$C$5:$C$1504,$A71,业务流水!$Z$5:$Z$1504,"是"))</f>
        <v/>
      </c>
      <c r="P71" s="41" t="str">
        <f aca="false">IF($A71="","",SUMIFS(业务流水!$H$5:$H$1504,业务流水!$E$5:$E$1504,$B$3,业务流水!$D$5:$D$1504,"扣质保金",业务流水!$C$5:$C$1504,$A71,业务流水!$Z$5:$Z$1504,"是"))</f>
        <v/>
      </c>
      <c r="Q71" s="48" t="str">
        <f aca="false">IF($A71="","",IF(SUM($C71:$F71)+SUM($K71:$M71)=0,"无","有"))</f>
        <v/>
      </c>
    </row>
    <row r="72" customFormat="false" ht="15.75" hidden="false" customHeight="true" outlineLevel="0" collapsed="false">
      <c r="A72" s="32" t="str">
        <f aca="false">IF(项目档案!$A72="","",项目档案!$A72)</f>
        <v/>
      </c>
      <c r="B72" s="40" t="str">
        <f aca="false">IF($A72="","",项目档案!$B72)</f>
        <v/>
      </c>
      <c r="C72" s="41" t="str">
        <f aca="false">IF($A72="","",SUMIFS(业务流水!$H$5:$H$1504,业务流水!$E$5:$E$1504,$B$3,业务流水!$D$5:$D$1504,"销项开票",业务流水!$C$5:$C$1504,$A72,业务流水!$Z$5:$Z$1504,"是"))</f>
        <v/>
      </c>
      <c r="D72" s="41" t="str">
        <f aca="false">IF($A72="","",SUMIFS(业务流水!$O$5:$O$1504,业务流水!$E$5:$E$1504,$B$3,业务流水!$D$5:$D$1504,"销项开票",业务流水!$C$5:$C$1504,$A72,业务流水!$Z$5:$Z$1504,"是"))</f>
        <v/>
      </c>
      <c r="E72" s="41" t="str">
        <f aca="false">IF($A72="","",SUMIFS(业务流水!$P$5:$P$1504,业务流水!$E$5:$E$1504,$B$3,业务流水!$D$5:$D$1504,"销项开票",业务流水!$C$5:$C$1504,$A72,业务流水!$Z$5:$Z$1504,"是"))</f>
        <v/>
      </c>
      <c r="F72" s="41" t="str">
        <f aca="false">IF($A72="","",SUMIFS(业务流水!$H$5:$H$1504,业务流水!$F$5:$F$1504,$B$3,业务流水!$D$5:$D$1504,"成本票",业务流水!$C$5:$C$1504,$A72,业务流水!$Z$5:$Z$1504,"是")+SUMIFS(业务流水!$H$5:$H$1504,业务流水!$F$5:$F$1504,$B$3,业务流水!$D$5:$D$1504,"销项开票",业务流水!$C$5:$C$1504,$A72,业务流水!$Z$5:$Z$1504,"是"))</f>
        <v/>
      </c>
      <c r="G72" s="42" t="str">
        <f aca="false">IF($A72="","",$E72-$F72)</f>
        <v/>
      </c>
      <c r="H72" s="41" t="str">
        <f aca="false">IF($A72="","",SUMIFS(业务流水!$W$5:$W$1504,业务流水!$E$5:$E$1504,$B$3,业务流水!$D$5:$D$1504,"销项开票",业务流水!$C$5:$C$1504,$A72,业务流水!$Z$5:$Z$1504,"是"))</f>
        <v/>
      </c>
      <c r="I72" s="41" t="str">
        <f aca="false">IF($A72="","",SUMIFS(业务流水!$H$5:$H$1504,业务流水!$E$5:$E$1504,$B$3,业务流水!$D$5:$D$1504,"已交税",业务流水!$C$5:$C$1504,$A72,业务流水!$Z$5:$Z$1504,"是"))</f>
        <v/>
      </c>
      <c r="J72" s="42" t="str">
        <f aca="false">IF($A72="","",$H72-$I72)</f>
        <v/>
      </c>
      <c r="K72" s="41" t="str">
        <f aca="false">IF($A72="","",SUMIFS(业务流水!$H$5:$H$1504,业务流水!$F$5:$F$1504,$B$3,业务流水!$D$5:$D$1504,"挂靠代收",业务流水!$C$5:$C$1504,$A72,业务流水!$Z$5:$Z$1504,"是"))</f>
        <v/>
      </c>
      <c r="L72" s="42" t="str">
        <f aca="false">IF($A72="","",$C72-$K72)</f>
        <v/>
      </c>
      <c r="M72" s="41" t="str">
        <f aca="false">IF($A72="","",SUMIFS(业务流水!$H$5:$H$1504,业务流水!$E$5:$E$1504,$B$3,业务流水!$D$5:$D$1504,"我方收款",业务流水!$C$5:$C$1504,$A72,业务流水!$Z$5:$Z$1504,"是"))</f>
        <v/>
      </c>
      <c r="N72" s="43" t="str">
        <f aca="false">IF($A72="","",$K72-$M72)</f>
        <v/>
      </c>
      <c r="O72" s="41" t="str">
        <f aca="false">IF($A72="","",SUMIFS(业务流水!$H$5:$H$1504,业务流水!$F$5:$F$1504,$B$3,业务流水!$D$5:$D$1504,"管理费结算",业务流水!$C$5:$C$1504,$A72,业务流水!$Z$5:$Z$1504,"是"))</f>
        <v/>
      </c>
      <c r="P72" s="41" t="str">
        <f aca="false">IF($A72="","",SUMIFS(业务流水!$H$5:$H$1504,业务流水!$E$5:$E$1504,$B$3,业务流水!$D$5:$D$1504,"扣质保金",业务流水!$C$5:$C$1504,$A72,业务流水!$Z$5:$Z$1504,"是"))</f>
        <v/>
      </c>
      <c r="Q72" s="48" t="str">
        <f aca="false">IF($A72="","",IF(SUM($C72:$F72)+SUM($K72:$M72)=0,"无","有"))</f>
        <v/>
      </c>
    </row>
    <row r="73" customFormat="false" ht="15.75" hidden="false" customHeight="true" outlineLevel="0" collapsed="false">
      <c r="A73" s="32" t="str">
        <f aca="false">IF(项目档案!$A73="","",项目档案!$A73)</f>
        <v/>
      </c>
      <c r="B73" s="40" t="str">
        <f aca="false">IF($A73="","",项目档案!$B73)</f>
        <v/>
      </c>
      <c r="C73" s="41" t="str">
        <f aca="false">IF($A73="","",SUMIFS(业务流水!$H$5:$H$1504,业务流水!$E$5:$E$1504,$B$3,业务流水!$D$5:$D$1504,"销项开票",业务流水!$C$5:$C$1504,$A73,业务流水!$Z$5:$Z$1504,"是"))</f>
        <v/>
      </c>
      <c r="D73" s="41" t="str">
        <f aca="false">IF($A73="","",SUMIFS(业务流水!$O$5:$O$1504,业务流水!$E$5:$E$1504,$B$3,业务流水!$D$5:$D$1504,"销项开票",业务流水!$C$5:$C$1504,$A73,业务流水!$Z$5:$Z$1504,"是"))</f>
        <v/>
      </c>
      <c r="E73" s="41" t="str">
        <f aca="false">IF($A73="","",SUMIFS(业务流水!$P$5:$P$1504,业务流水!$E$5:$E$1504,$B$3,业务流水!$D$5:$D$1504,"销项开票",业务流水!$C$5:$C$1504,$A73,业务流水!$Z$5:$Z$1504,"是"))</f>
        <v/>
      </c>
      <c r="F73" s="41" t="str">
        <f aca="false">IF($A73="","",SUMIFS(业务流水!$H$5:$H$1504,业务流水!$F$5:$F$1504,$B$3,业务流水!$D$5:$D$1504,"成本票",业务流水!$C$5:$C$1504,$A73,业务流水!$Z$5:$Z$1504,"是")+SUMIFS(业务流水!$H$5:$H$1504,业务流水!$F$5:$F$1504,$B$3,业务流水!$D$5:$D$1504,"销项开票",业务流水!$C$5:$C$1504,$A73,业务流水!$Z$5:$Z$1504,"是"))</f>
        <v/>
      </c>
      <c r="G73" s="42" t="str">
        <f aca="false">IF($A73="","",$E73-$F73)</f>
        <v/>
      </c>
      <c r="H73" s="41" t="str">
        <f aca="false">IF($A73="","",SUMIFS(业务流水!$W$5:$W$1504,业务流水!$E$5:$E$1504,$B$3,业务流水!$D$5:$D$1504,"销项开票",业务流水!$C$5:$C$1504,$A73,业务流水!$Z$5:$Z$1504,"是"))</f>
        <v/>
      </c>
      <c r="I73" s="41" t="str">
        <f aca="false">IF($A73="","",SUMIFS(业务流水!$H$5:$H$1504,业务流水!$E$5:$E$1504,$B$3,业务流水!$D$5:$D$1504,"已交税",业务流水!$C$5:$C$1504,$A73,业务流水!$Z$5:$Z$1504,"是"))</f>
        <v/>
      </c>
      <c r="J73" s="42" t="str">
        <f aca="false">IF($A73="","",$H73-$I73)</f>
        <v/>
      </c>
      <c r="K73" s="41" t="str">
        <f aca="false">IF($A73="","",SUMIFS(业务流水!$H$5:$H$1504,业务流水!$F$5:$F$1504,$B$3,业务流水!$D$5:$D$1504,"挂靠代收",业务流水!$C$5:$C$1504,$A73,业务流水!$Z$5:$Z$1504,"是"))</f>
        <v/>
      </c>
      <c r="L73" s="42" t="str">
        <f aca="false">IF($A73="","",$C73-$K73)</f>
        <v/>
      </c>
      <c r="M73" s="41" t="str">
        <f aca="false">IF($A73="","",SUMIFS(业务流水!$H$5:$H$1504,业务流水!$E$5:$E$1504,$B$3,业务流水!$D$5:$D$1504,"我方收款",业务流水!$C$5:$C$1504,$A73,业务流水!$Z$5:$Z$1504,"是"))</f>
        <v/>
      </c>
      <c r="N73" s="43" t="str">
        <f aca="false">IF($A73="","",$K73-$M73)</f>
        <v/>
      </c>
      <c r="O73" s="41" t="str">
        <f aca="false">IF($A73="","",SUMIFS(业务流水!$H$5:$H$1504,业务流水!$F$5:$F$1504,$B$3,业务流水!$D$5:$D$1504,"管理费结算",业务流水!$C$5:$C$1504,$A73,业务流水!$Z$5:$Z$1504,"是"))</f>
        <v/>
      </c>
      <c r="P73" s="41" t="str">
        <f aca="false">IF($A73="","",SUMIFS(业务流水!$H$5:$H$1504,业务流水!$E$5:$E$1504,$B$3,业务流水!$D$5:$D$1504,"扣质保金",业务流水!$C$5:$C$1504,$A73,业务流水!$Z$5:$Z$1504,"是"))</f>
        <v/>
      </c>
      <c r="Q73" s="48" t="str">
        <f aca="false">IF($A73="","",IF(SUM($C73:$F73)+SUM($K73:$M73)=0,"无","有"))</f>
        <v/>
      </c>
    </row>
    <row r="74" customFormat="false" ht="15.75" hidden="false" customHeight="true" outlineLevel="0" collapsed="false">
      <c r="A74" s="32" t="str">
        <f aca="false">IF(项目档案!$A74="","",项目档案!$A74)</f>
        <v/>
      </c>
      <c r="B74" s="40" t="str">
        <f aca="false">IF($A74="","",项目档案!$B74)</f>
        <v/>
      </c>
      <c r="C74" s="41" t="str">
        <f aca="false">IF($A74="","",SUMIFS(业务流水!$H$5:$H$1504,业务流水!$E$5:$E$1504,$B$3,业务流水!$D$5:$D$1504,"销项开票",业务流水!$C$5:$C$1504,$A74,业务流水!$Z$5:$Z$1504,"是"))</f>
        <v/>
      </c>
      <c r="D74" s="41" t="str">
        <f aca="false">IF($A74="","",SUMIFS(业务流水!$O$5:$O$1504,业务流水!$E$5:$E$1504,$B$3,业务流水!$D$5:$D$1504,"销项开票",业务流水!$C$5:$C$1504,$A74,业务流水!$Z$5:$Z$1504,"是"))</f>
        <v/>
      </c>
      <c r="E74" s="41" t="str">
        <f aca="false">IF($A74="","",SUMIFS(业务流水!$P$5:$P$1504,业务流水!$E$5:$E$1504,$B$3,业务流水!$D$5:$D$1504,"销项开票",业务流水!$C$5:$C$1504,$A74,业务流水!$Z$5:$Z$1504,"是"))</f>
        <v/>
      </c>
      <c r="F74" s="41" t="str">
        <f aca="false">IF($A74="","",SUMIFS(业务流水!$H$5:$H$1504,业务流水!$F$5:$F$1504,$B$3,业务流水!$D$5:$D$1504,"成本票",业务流水!$C$5:$C$1504,$A74,业务流水!$Z$5:$Z$1504,"是")+SUMIFS(业务流水!$H$5:$H$1504,业务流水!$F$5:$F$1504,$B$3,业务流水!$D$5:$D$1504,"销项开票",业务流水!$C$5:$C$1504,$A74,业务流水!$Z$5:$Z$1504,"是"))</f>
        <v/>
      </c>
      <c r="G74" s="42" t="str">
        <f aca="false">IF($A74="","",$E74-$F74)</f>
        <v/>
      </c>
      <c r="H74" s="41" t="str">
        <f aca="false">IF($A74="","",SUMIFS(业务流水!$W$5:$W$1504,业务流水!$E$5:$E$1504,$B$3,业务流水!$D$5:$D$1504,"销项开票",业务流水!$C$5:$C$1504,$A74,业务流水!$Z$5:$Z$1504,"是"))</f>
        <v/>
      </c>
      <c r="I74" s="41" t="str">
        <f aca="false">IF($A74="","",SUMIFS(业务流水!$H$5:$H$1504,业务流水!$E$5:$E$1504,$B$3,业务流水!$D$5:$D$1504,"已交税",业务流水!$C$5:$C$1504,$A74,业务流水!$Z$5:$Z$1504,"是"))</f>
        <v/>
      </c>
      <c r="J74" s="42" t="str">
        <f aca="false">IF($A74="","",$H74-$I74)</f>
        <v/>
      </c>
      <c r="K74" s="41" t="str">
        <f aca="false">IF($A74="","",SUMIFS(业务流水!$H$5:$H$1504,业务流水!$F$5:$F$1504,$B$3,业务流水!$D$5:$D$1504,"挂靠代收",业务流水!$C$5:$C$1504,$A74,业务流水!$Z$5:$Z$1504,"是"))</f>
        <v/>
      </c>
      <c r="L74" s="42" t="str">
        <f aca="false">IF($A74="","",$C74-$K74)</f>
        <v/>
      </c>
      <c r="M74" s="41" t="str">
        <f aca="false">IF($A74="","",SUMIFS(业务流水!$H$5:$H$1504,业务流水!$E$5:$E$1504,$B$3,业务流水!$D$5:$D$1504,"我方收款",业务流水!$C$5:$C$1504,$A74,业务流水!$Z$5:$Z$1504,"是"))</f>
        <v/>
      </c>
      <c r="N74" s="43" t="str">
        <f aca="false">IF($A74="","",$K74-$M74)</f>
        <v/>
      </c>
      <c r="O74" s="41" t="str">
        <f aca="false">IF($A74="","",SUMIFS(业务流水!$H$5:$H$1504,业务流水!$F$5:$F$1504,$B$3,业务流水!$D$5:$D$1504,"管理费结算",业务流水!$C$5:$C$1504,$A74,业务流水!$Z$5:$Z$1504,"是"))</f>
        <v/>
      </c>
      <c r="P74" s="41" t="str">
        <f aca="false">IF($A74="","",SUMIFS(业务流水!$H$5:$H$1504,业务流水!$E$5:$E$1504,$B$3,业务流水!$D$5:$D$1504,"扣质保金",业务流水!$C$5:$C$1504,$A74,业务流水!$Z$5:$Z$1504,"是"))</f>
        <v/>
      </c>
      <c r="Q74" s="48" t="str">
        <f aca="false">IF($A74="","",IF(SUM($C74:$F74)+SUM($K74:$M74)=0,"无","有"))</f>
        <v/>
      </c>
    </row>
    <row r="75" customFormat="false" ht="15.75" hidden="false" customHeight="true" outlineLevel="0" collapsed="false">
      <c r="A75" s="32" t="str">
        <f aca="false">IF(项目档案!$A75="","",项目档案!$A75)</f>
        <v/>
      </c>
      <c r="B75" s="40" t="str">
        <f aca="false">IF($A75="","",项目档案!$B75)</f>
        <v/>
      </c>
      <c r="C75" s="41" t="str">
        <f aca="false">IF($A75="","",SUMIFS(业务流水!$H$5:$H$1504,业务流水!$E$5:$E$1504,$B$3,业务流水!$D$5:$D$1504,"销项开票",业务流水!$C$5:$C$1504,$A75,业务流水!$Z$5:$Z$1504,"是"))</f>
        <v/>
      </c>
      <c r="D75" s="41" t="str">
        <f aca="false">IF($A75="","",SUMIFS(业务流水!$O$5:$O$1504,业务流水!$E$5:$E$1504,$B$3,业务流水!$D$5:$D$1504,"销项开票",业务流水!$C$5:$C$1504,$A75,业务流水!$Z$5:$Z$1504,"是"))</f>
        <v/>
      </c>
      <c r="E75" s="41" t="str">
        <f aca="false">IF($A75="","",SUMIFS(业务流水!$P$5:$P$1504,业务流水!$E$5:$E$1504,$B$3,业务流水!$D$5:$D$1504,"销项开票",业务流水!$C$5:$C$1504,$A75,业务流水!$Z$5:$Z$1504,"是"))</f>
        <v/>
      </c>
      <c r="F75" s="41" t="str">
        <f aca="false">IF($A75="","",SUMIFS(业务流水!$H$5:$H$1504,业务流水!$F$5:$F$1504,$B$3,业务流水!$D$5:$D$1504,"成本票",业务流水!$C$5:$C$1504,$A75,业务流水!$Z$5:$Z$1504,"是")+SUMIFS(业务流水!$H$5:$H$1504,业务流水!$F$5:$F$1504,$B$3,业务流水!$D$5:$D$1504,"销项开票",业务流水!$C$5:$C$1504,$A75,业务流水!$Z$5:$Z$1504,"是"))</f>
        <v/>
      </c>
      <c r="G75" s="42" t="str">
        <f aca="false">IF($A75="","",$E75-$F75)</f>
        <v/>
      </c>
      <c r="H75" s="41" t="str">
        <f aca="false">IF($A75="","",SUMIFS(业务流水!$W$5:$W$1504,业务流水!$E$5:$E$1504,$B$3,业务流水!$D$5:$D$1504,"销项开票",业务流水!$C$5:$C$1504,$A75,业务流水!$Z$5:$Z$1504,"是"))</f>
        <v/>
      </c>
      <c r="I75" s="41" t="str">
        <f aca="false">IF($A75="","",SUMIFS(业务流水!$H$5:$H$1504,业务流水!$E$5:$E$1504,$B$3,业务流水!$D$5:$D$1504,"已交税",业务流水!$C$5:$C$1504,$A75,业务流水!$Z$5:$Z$1504,"是"))</f>
        <v/>
      </c>
      <c r="J75" s="42" t="str">
        <f aca="false">IF($A75="","",$H75-$I75)</f>
        <v/>
      </c>
      <c r="K75" s="41" t="str">
        <f aca="false">IF($A75="","",SUMIFS(业务流水!$H$5:$H$1504,业务流水!$F$5:$F$1504,$B$3,业务流水!$D$5:$D$1504,"挂靠代收",业务流水!$C$5:$C$1504,$A75,业务流水!$Z$5:$Z$1504,"是"))</f>
        <v/>
      </c>
      <c r="L75" s="42" t="str">
        <f aca="false">IF($A75="","",$C75-$K75)</f>
        <v/>
      </c>
      <c r="M75" s="41" t="str">
        <f aca="false">IF($A75="","",SUMIFS(业务流水!$H$5:$H$1504,业务流水!$E$5:$E$1504,$B$3,业务流水!$D$5:$D$1504,"我方收款",业务流水!$C$5:$C$1504,$A75,业务流水!$Z$5:$Z$1504,"是"))</f>
        <v/>
      </c>
      <c r="N75" s="43" t="str">
        <f aca="false">IF($A75="","",$K75-$M75)</f>
        <v/>
      </c>
      <c r="O75" s="41" t="str">
        <f aca="false">IF($A75="","",SUMIFS(业务流水!$H$5:$H$1504,业务流水!$F$5:$F$1504,$B$3,业务流水!$D$5:$D$1504,"管理费结算",业务流水!$C$5:$C$1504,$A75,业务流水!$Z$5:$Z$1504,"是"))</f>
        <v/>
      </c>
      <c r="P75" s="41" t="str">
        <f aca="false">IF($A75="","",SUMIFS(业务流水!$H$5:$H$1504,业务流水!$E$5:$E$1504,$B$3,业务流水!$D$5:$D$1504,"扣质保金",业务流水!$C$5:$C$1504,$A75,业务流水!$Z$5:$Z$1504,"是"))</f>
        <v/>
      </c>
      <c r="Q75" s="48" t="str">
        <f aca="false">IF($A75="","",IF(SUM($C75:$F75)+SUM($K75:$M75)=0,"无","有"))</f>
        <v/>
      </c>
    </row>
    <row r="76" customFormat="false" ht="15.75" hidden="false" customHeight="true" outlineLevel="0" collapsed="false">
      <c r="A76" s="32" t="str">
        <f aca="false">IF(项目档案!$A76="","",项目档案!$A76)</f>
        <v/>
      </c>
      <c r="B76" s="40" t="str">
        <f aca="false">IF($A76="","",项目档案!$B76)</f>
        <v/>
      </c>
      <c r="C76" s="41" t="str">
        <f aca="false">IF($A76="","",SUMIFS(业务流水!$H$5:$H$1504,业务流水!$E$5:$E$1504,$B$3,业务流水!$D$5:$D$1504,"销项开票",业务流水!$C$5:$C$1504,$A76,业务流水!$Z$5:$Z$1504,"是"))</f>
        <v/>
      </c>
      <c r="D76" s="41" t="str">
        <f aca="false">IF($A76="","",SUMIFS(业务流水!$O$5:$O$1504,业务流水!$E$5:$E$1504,$B$3,业务流水!$D$5:$D$1504,"销项开票",业务流水!$C$5:$C$1504,$A76,业务流水!$Z$5:$Z$1504,"是"))</f>
        <v/>
      </c>
      <c r="E76" s="41" t="str">
        <f aca="false">IF($A76="","",SUMIFS(业务流水!$P$5:$P$1504,业务流水!$E$5:$E$1504,$B$3,业务流水!$D$5:$D$1504,"销项开票",业务流水!$C$5:$C$1504,$A76,业务流水!$Z$5:$Z$1504,"是"))</f>
        <v/>
      </c>
      <c r="F76" s="41" t="str">
        <f aca="false">IF($A76="","",SUMIFS(业务流水!$H$5:$H$1504,业务流水!$F$5:$F$1504,$B$3,业务流水!$D$5:$D$1504,"成本票",业务流水!$C$5:$C$1504,$A76,业务流水!$Z$5:$Z$1504,"是")+SUMIFS(业务流水!$H$5:$H$1504,业务流水!$F$5:$F$1504,$B$3,业务流水!$D$5:$D$1504,"销项开票",业务流水!$C$5:$C$1504,$A76,业务流水!$Z$5:$Z$1504,"是"))</f>
        <v/>
      </c>
      <c r="G76" s="42" t="str">
        <f aca="false">IF($A76="","",$E76-$F76)</f>
        <v/>
      </c>
      <c r="H76" s="41" t="str">
        <f aca="false">IF($A76="","",SUMIFS(业务流水!$W$5:$W$1504,业务流水!$E$5:$E$1504,$B$3,业务流水!$D$5:$D$1504,"销项开票",业务流水!$C$5:$C$1504,$A76,业务流水!$Z$5:$Z$1504,"是"))</f>
        <v/>
      </c>
      <c r="I76" s="41" t="str">
        <f aca="false">IF($A76="","",SUMIFS(业务流水!$H$5:$H$1504,业务流水!$E$5:$E$1504,$B$3,业务流水!$D$5:$D$1504,"已交税",业务流水!$C$5:$C$1504,$A76,业务流水!$Z$5:$Z$1504,"是"))</f>
        <v/>
      </c>
      <c r="J76" s="42" t="str">
        <f aca="false">IF($A76="","",$H76-$I76)</f>
        <v/>
      </c>
      <c r="K76" s="41" t="str">
        <f aca="false">IF($A76="","",SUMIFS(业务流水!$H$5:$H$1504,业务流水!$F$5:$F$1504,$B$3,业务流水!$D$5:$D$1504,"挂靠代收",业务流水!$C$5:$C$1504,$A76,业务流水!$Z$5:$Z$1504,"是"))</f>
        <v/>
      </c>
      <c r="L76" s="42" t="str">
        <f aca="false">IF($A76="","",$C76-$K76)</f>
        <v/>
      </c>
      <c r="M76" s="41" t="str">
        <f aca="false">IF($A76="","",SUMIFS(业务流水!$H$5:$H$1504,业务流水!$E$5:$E$1504,$B$3,业务流水!$D$5:$D$1504,"我方收款",业务流水!$C$5:$C$1504,$A76,业务流水!$Z$5:$Z$1504,"是"))</f>
        <v/>
      </c>
      <c r="N76" s="43" t="str">
        <f aca="false">IF($A76="","",$K76-$M76)</f>
        <v/>
      </c>
      <c r="O76" s="41" t="str">
        <f aca="false">IF($A76="","",SUMIFS(业务流水!$H$5:$H$1504,业务流水!$F$5:$F$1504,$B$3,业务流水!$D$5:$D$1504,"管理费结算",业务流水!$C$5:$C$1504,$A76,业务流水!$Z$5:$Z$1504,"是"))</f>
        <v/>
      </c>
      <c r="P76" s="41" t="str">
        <f aca="false">IF($A76="","",SUMIFS(业务流水!$H$5:$H$1504,业务流水!$E$5:$E$1504,$B$3,业务流水!$D$5:$D$1504,"扣质保金",业务流水!$C$5:$C$1504,$A76,业务流水!$Z$5:$Z$1504,"是"))</f>
        <v/>
      </c>
      <c r="Q76" s="48" t="str">
        <f aca="false">IF($A76="","",IF(SUM($C76:$F76)+SUM($K76:$M76)=0,"无","有"))</f>
        <v/>
      </c>
    </row>
    <row r="77" customFormat="false" ht="15.75" hidden="false" customHeight="true" outlineLevel="0" collapsed="false">
      <c r="A77" s="32" t="str">
        <f aca="false">IF(项目档案!$A77="","",项目档案!$A77)</f>
        <v/>
      </c>
      <c r="B77" s="40" t="str">
        <f aca="false">IF($A77="","",项目档案!$B77)</f>
        <v/>
      </c>
      <c r="C77" s="41" t="str">
        <f aca="false">IF($A77="","",SUMIFS(业务流水!$H$5:$H$1504,业务流水!$E$5:$E$1504,$B$3,业务流水!$D$5:$D$1504,"销项开票",业务流水!$C$5:$C$1504,$A77,业务流水!$Z$5:$Z$1504,"是"))</f>
        <v/>
      </c>
      <c r="D77" s="41" t="str">
        <f aca="false">IF($A77="","",SUMIFS(业务流水!$O$5:$O$1504,业务流水!$E$5:$E$1504,$B$3,业务流水!$D$5:$D$1504,"销项开票",业务流水!$C$5:$C$1504,$A77,业务流水!$Z$5:$Z$1504,"是"))</f>
        <v/>
      </c>
      <c r="E77" s="41" t="str">
        <f aca="false">IF($A77="","",SUMIFS(业务流水!$P$5:$P$1504,业务流水!$E$5:$E$1504,$B$3,业务流水!$D$5:$D$1504,"销项开票",业务流水!$C$5:$C$1504,$A77,业务流水!$Z$5:$Z$1504,"是"))</f>
        <v/>
      </c>
      <c r="F77" s="41" t="str">
        <f aca="false">IF($A77="","",SUMIFS(业务流水!$H$5:$H$1504,业务流水!$F$5:$F$1504,$B$3,业务流水!$D$5:$D$1504,"成本票",业务流水!$C$5:$C$1504,$A77,业务流水!$Z$5:$Z$1504,"是")+SUMIFS(业务流水!$H$5:$H$1504,业务流水!$F$5:$F$1504,$B$3,业务流水!$D$5:$D$1504,"销项开票",业务流水!$C$5:$C$1504,$A77,业务流水!$Z$5:$Z$1504,"是"))</f>
        <v/>
      </c>
      <c r="G77" s="42" t="str">
        <f aca="false">IF($A77="","",$E77-$F77)</f>
        <v/>
      </c>
      <c r="H77" s="41" t="str">
        <f aca="false">IF($A77="","",SUMIFS(业务流水!$W$5:$W$1504,业务流水!$E$5:$E$1504,$B$3,业务流水!$D$5:$D$1504,"销项开票",业务流水!$C$5:$C$1504,$A77,业务流水!$Z$5:$Z$1504,"是"))</f>
        <v/>
      </c>
      <c r="I77" s="41" t="str">
        <f aca="false">IF($A77="","",SUMIFS(业务流水!$H$5:$H$1504,业务流水!$E$5:$E$1504,$B$3,业务流水!$D$5:$D$1504,"已交税",业务流水!$C$5:$C$1504,$A77,业务流水!$Z$5:$Z$1504,"是"))</f>
        <v/>
      </c>
      <c r="J77" s="42" t="str">
        <f aca="false">IF($A77="","",$H77-$I77)</f>
        <v/>
      </c>
      <c r="K77" s="41" t="str">
        <f aca="false">IF($A77="","",SUMIFS(业务流水!$H$5:$H$1504,业务流水!$F$5:$F$1504,$B$3,业务流水!$D$5:$D$1504,"挂靠代收",业务流水!$C$5:$C$1504,$A77,业务流水!$Z$5:$Z$1504,"是"))</f>
        <v/>
      </c>
      <c r="L77" s="42" t="str">
        <f aca="false">IF($A77="","",$C77-$K77)</f>
        <v/>
      </c>
      <c r="M77" s="41" t="str">
        <f aca="false">IF($A77="","",SUMIFS(业务流水!$H$5:$H$1504,业务流水!$E$5:$E$1504,$B$3,业务流水!$D$5:$D$1504,"我方收款",业务流水!$C$5:$C$1504,$A77,业务流水!$Z$5:$Z$1504,"是"))</f>
        <v/>
      </c>
      <c r="N77" s="43" t="str">
        <f aca="false">IF($A77="","",$K77-$M77)</f>
        <v/>
      </c>
      <c r="O77" s="41" t="str">
        <f aca="false">IF($A77="","",SUMIFS(业务流水!$H$5:$H$1504,业务流水!$F$5:$F$1504,$B$3,业务流水!$D$5:$D$1504,"管理费结算",业务流水!$C$5:$C$1504,$A77,业务流水!$Z$5:$Z$1504,"是"))</f>
        <v/>
      </c>
      <c r="P77" s="41" t="str">
        <f aca="false">IF($A77="","",SUMIFS(业务流水!$H$5:$H$1504,业务流水!$E$5:$E$1504,$B$3,业务流水!$D$5:$D$1504,"扣质保金",业务流水!$C$5:$C$1504,$A77,业务流水!$Z$5:$Z$1504,"是"))</f>
        <v/>
      </c>
      <c r="Q77" s="48" t="str">
        <f aca="false">IF($A77="","",IF(SUM($C77:$F77)+SUM($K77:$M77)=0,"无","有"))</f>
        <v/>
      </c>
    </row>
    <row r="78" customFormat="false" ht="15.75" hidden="false" customHeight="true" outlineLevel="0" collapsed="false">
      <c r="A78" s="32" t="str">
        <f aca="false">IF(项目档案!$A78="","",项目档案!$A78)</f>
        <v/>
      </c>
      <c r="B78" s="40" t="str">
        <f aca="false">IF($A78="","",项目档案!$B78)</f>
        <v/>
      </c>
      <c r="C78" s="41" t="str">
        <f aca="false">IF($A78="","",SUMIFS(业务流水!$H$5:$H$1504,业务流水!$E$5:$E$1504,$B$3,业务流水!$D$5:$D$1504,"销项开票",业务流水!$C$5:$C$1504,$A78,业务流水!$Z$5:$Z$1504,"是"))</f>
        <v/>
      </c>
      <c r="D78" s="41" t="str">
        <f aca="false">IF($A78="","",SUMIFS(业务流水!$O$5:$O$1504,业务流水!$E$5:$E$1504,$B$3,业务流水!$D$5:$D$1504,"销项开票",业务流水!$C$5:$C$1504,$A78,业务流水!$Z$5:$Z$1504,"是"))</f>
        <v/>
      </c>
      <c r="E78" s="41" t="str">
        <f aca="false">IF($A78="","",SUMIFS(业务流水!$P$5:$P$1504,业务流水!$E$5:$E$1504,$B$3,业务流水!$D$5:$D$1504,"销项开票",业务流水!$C$5:$C$1504,$A78,业务流水!$Z$5:$Z$1504,"是"))</f>
        <v/>
      </c>
      <c r="F78" s="41" t="str">
        <f aca="false">IF($A78="","",SUMIFS(业务流水!$H$5:$H$1504,业务流水!$F$5:$F$1504,$B$3,业务流水!$D$5:$D$1504,"成本票",业务流水!$C$5:$C$1504,$A78,业务流水!$Z$5:$Z$1504,"是")+SUMIFS(业务流水!$H$5:$H$1504,业务流水!$F$5:$F$1504,$B$3,业务流水!$D$5:$D$1504,"销项开票",业务流水!$C$5:$C$1504,$A78,业务流水!$Z$5:$Z$1504,"是"))</f>
        <v/>
      </c>
      <c r="G78" s="42" t="str">
        <f aca="false">IF($A78="","",$E78-$F78)</f>
        <v/>
      </c>
      <c r="H78" s="41" t="str">
        <f aca="false">IF($A78="","",SUMIFS(业务流水!$W$5:$W$1504,业务流水!$E$5:$E$1504,$B$3,业务流水!$D$5:$D$1504,"销项开票",业务流水!$C$5:$C$1504,$A78,业务流水!$Z$5:$Z$1504,"是"))</f>
        <v/>
      </c>
      <c r="I78" s="41" t="str">
        <f aca="false">IF($A78="","",SUMIFS(业务流水!$H$5:$H$1504,业务流水!$E$5:$E$1504,$B$3,业务流水!$D$5:$D$1504,"已交税",业务流水!$C$5:$C$1504,$A78,业务流水!$Z$5:$Z$1504,"是"))</f>
        <v/>
      </c>
      <c r="J78" s="42" t="str">
        <f aca="false">IF($A78="","",$H78-$I78)</f>
        <v/>
      </c>
      <c r="K78" s="41" t="str">
        <f aca="false">IF($A78="","",SUMIFS(业务流水!$H$5:$H$1504,业务流水!$F$5:$F$1504,$B$3,业务流水!$D$5:$D$1504,"挂靠代收",业务流水!$C$5:$C$1504,$A78,业务流水!$Z$5:$Z$1504,"是"))</f>
        <v/>
      </c>
      <c r="L78" s="42" t="str">
        <f aca="false">IF($A78="","",$C78-$K78)</f>
        <v/>
      </c>
      <c r="M78" s="41" t="str">
        <f aca="false">IF($A78="","",SUMIFS(业务流水!$H$5:$H$1504,业务流水!$E$5:$E$1504,$B$3,业务流水!$D$5:$D$1504,"我方收款",业务流水!$C$5:$C$1504,$A78,业务流水!$Z$5:$Z$1504,"是"))</f>
        <v/>
      </c>
      <c r="N78" s="43" t="str">
        <f aca="false">IF($A78="","",$K78-$M78)</f>
        <v/>
      </c>
      <c r="O78" s="41" t="str">
        <f aca="false">IF($A78="","",SUMIFS(业务流水!$H$5:$H$1504,业务流水!$F$5:$F$1504,$B$3,业务流水!$D$5:$D$1504,"管理费结算",业务流水!$C$5:$C$1504,$A78,业务流水!$Z$5:$Z$1504,"是"))</f>
        <v/>
      </c>
      <c r="P78" s="41" t="str">
        <f aca="false">IF($A78="","",SUMIFS(业务流水!$H$5:$H$1504,业务流水!$E$5:$E$1504,$B$3,业务流水!$D$5:$D$1504,"扣质保金",业务流水!$C$5:$C$1504,$A78,业务流水!$Z$5:$Z$1504,"是"))</f>
        <v/>
      </c>
      <c r="Q78" s="48" t="str">
        <f aca="false">IF($A78="","",IF(SUM($C78:$F78)+SUM($K78:$M78)=0,"无","有"))</f>
        <v/>
      </c>
    </row>
    <row r="79" customFormat="false" ht="15.75" hidden="false" customHeight="true" outlineLevel="0" collapsed="false">
      <c r="A79" s="32" t="str">
        <f aca="false">IF(项目档案!$A79="","",项目档案!$A79)</f>
        <v/>
      </c>
      <c r="B79" s="40" t="str">
        <f aca="false">IF($A79="","",项目档案!$B79)</f>
        <v/>
      </c>
      <c r="C79" s="41" t="str">
        <f aca="false">IF($A79="","",SUMIFS(业务流水!$H$5:$H$1504,业务流水!$E$5:$E$1504,$B$3,业务流水!$D$5:$D$1504,"销项开票",业务流水!$C$5:$C$1504,$A79,业务流水!$Z$5:$Z$1504,"是"))</f>
        <v/>
      </c>
      <c r="D79" s="41" t="str">
        <f aca="false">IF($A79="","",SUMIFS(业务流水!$O$5:$O$1504,业务流水!$E$5:$E$1504,$B$3,业务流水!$D$5:$D$1504,"销项开票",业务流水!$C$5:$C$1504,$A79,业务流水!$Z$5:$Z$1504,"是"))</f>
        <v/>
      </c>
      <c r="E79" s="41" t="str">
        <f aca="false">IF($A79="","",SUMIFS(业务流水!$P$5:$P$1504,业务流水!$E$5:$E$1504,$B$3,业务流水!$D$5:$D$1504,"销项开票",业务流水!$C$5:$C$1504,$A79,业务流水!$Z$5:$Z$1504,"是"))</f>
        <v/>
      </c>
      <c r="F79" s="41" t="str">
        <f aca="false">IF($A79="","",SUMIFS(业务流水!$H$5:$H$1504,业务流水!$F$5:$F$1504,$B$3,业务流水!$D$5:$D$1504,"成本票",业务流水!$C$5:$C$1504,$A79,业务流水!$Z$5:$Z$1504,"是")+SUMIFS(业务流水!$H$5:$H$1504,业务流水!$F$5:$F$1504,$B$3,业务流水!$D$5:$D$1504,"销项开票",业务流水!$C$5:$C$1504,$A79,业务流水!$Z$5:$Z$1504,"是"))</f>
        <v/>
      </c>
      <c r="G79" s="42" t="str">
        <f aca="false">IF($A79="","",$E79-$F79)</f>
        <v/>
      </c>
      <c r="H79" s="41" t="str">
        <f aca="false">IF($A79="","",SUMIFS(业务流水!$W$5:$W$1504,业务流水!$E$5:$E$1504,$B$3,业务流水!$D$5:$D$1504,"销项开票",业务流水!$C$5:$C$1504,$A79,业务流水!$Z$5:$Z$1504,"是"))</f>
        <v/>
      </c>
      <c r="I79" s="41" t="str">
        <f aca="false">IF($A79="","",SUMIFS(业务流水!$H$5:$H$1504,业务流水!$E$5:$E$1504,$B$3,业务流水!$D$5:$D$1504,"已交税",业务流水!$C$5:$C$1504,$A79,业务流水!$Z$5:$Z$1504,"是"))</f>
        <v/>
      </c>
      <c r="J79" s="42" t="str">
        <f aca="false">IF($A79="","",$H79-$I79)</f>
        <v/>
      </c>
      <c r="K79" s="41" t="str">
        <f aca="false">IF($A79="","",SUMIFS(业务流水!$H$5:$H$1504,业务流水!$F$5:$F$1504,$B$3,业务流水!$D$5:$D$1504,"挂靠代收",业务流水!$C$5:$C$1504,$A79,业务流水!$Z$5:$Z$1504,"是"))</f>
        <v/>
      </c>
      <c r="L79" s="42" t="str">
        <f aca="false">IF($A79="","",$C79-$K79)</f>
        <v/>
      </c>
      <c r="M79" s="41" t="str">
        <f aca="false">IF($A79="","",SUMIFS(业务流水!$H$5:$H$1504,业务流水!$E$5:$E$1504,$B$3,业务流水!$D$5:$D$1504,"我方收款",业务流水!$C$5:$C$1504,$A79,业务流水!$Z$5:$Z$1504,"是"))</f>
        <v/>
      </c>
      <c r="N79" s="43" t="str">
        <f aca="false">IF($A79="","",$K79-$M79)</f>
        <v/>
      </c>
      <c r="O79" s="41" t="str">
        <f aca="false">IF($A79="","",SUMIFS(业务流水!$H$5:$H$1504,业务流水!$F$5:$F$1504,$B$3,业务流水!$D$5:$D$1504,"管理费结算",业务流水!$C$5:$C$1504,$A79,业务流水!$Z$5:$Z$1504,"是"))</f>
        <v/>
      </c>
      <c r="P79" s="41" t="str">
        <f aca="false">IF($A79="","",SUMIFS(业务流水!$H$5:$H$1504,业务流水!$E$5:$E$1504,$B$3,业务流水!$D$5:$D$1504,"扣质保金",业务流水!$C$5:$C$1504,$A79,业务流水!$Z$5:$Z$1504,"是"))</f>
        <v/>
      </c>
      <c r="Q79" s="48" t="str">
        <f aca="false">IF($A79="","",IF(SUM($C79:$F79)+SUM($K79:$M79)=0,"无","有"))</f>
        <v/>
      </c>
    </row>
    <row r="80" customFormat="false" ht="15.75" hidden="false" customHeight="true" outlineLevel="0" collapsed="false">
      <c r="A80" s="32" t="str">
        <f aca="false">IF(项目档案!$A80="","",项目档案!$A80)</f>
        <v/>
      </c>
      <c r="B80" s="40" t="str">
        <f aca="false">IF($A80="","",项目档案!$B80)</f>
        <v/>
      </c>
      <c r="C80" s="41" t="str">
        <f aca="false">IF($A80="","",SUMIFS(业务流水!$H$5:$H$1504,业务流水!$E$5:$E$1504,$B$3,业务流水!$D$5:$D$1504,"销项开票",业务流水!$C$5:$C$1504,$A80,业务流水!$Z$5:$Z$1504,"是"))</f>
        <v/>
      </c>
      <c r="D80" s="41" t="str">
        <f aca="false">IF($A80="","",SUMIFS(业务流水!$O$5:$O$1504,业务流水!$E$5:$E$1504,$B$3,业务流水!$D$5:$D$1504,"销项开票",业务流水!$C$5:$C$1504,$A80,业务流水!$Z$5:$Z$1504,"是"))</f>
        <v/>
      </c>
      <c r="E80" s="41" t="str">
        <f aca="false">IF($A80="","",SUMIFS(业务流水!$P$5:$P$1504,业务流水!$E$5:$E$1504,$B$3,业务流水!$D$5:$D$1504,"销项开票",业务流水!$C$5:$C$1504,$A80,业务流水!$Z$5:$Z$1504,"是"))</f>
        <v/>
      </c>
      <c r="F80" s="41" t="str">
        <f aca="false">IF($A80="","",SUMIFS(业务流水!$H$5:$H$1504,业务流水!$F$5:$F$1504,$B$3,业务流水!$D$5:$D$1504,"成本票",业务流水!$C$5:$C$1504,$A80,业务流水!$Z$5:$Z$1504,"是")+SUMIFS(业务流水!$H$5:$H$1504,业务流水!$F$5:$F$1504,$B$3,业务流水!$D$5:$D$1504,"销项开票",业务流水!$C$5:$C$1504,$A80,业务流水!$Z$5:$Z$1504,"是"))</f>
        <v/>
      </c>
      <c r="G80" s="42" t="str">
        <f aca="false">IF($A80="","",$E80-$F80)</f>
        <v/>
      </c>
      <c r="H80" s="41" t="str">
        <f aca="false">IF($A80="","",SUMIFS(业务流水!$W$5:$W$1504,业务流水!$E$5:$E$1504,$B$3,业务流水!$D$5:$D$1504,"销项开票",业务流水!$C$5:$C$1504,$A80,业务流水!$Z$5:$Z$1504,"是"))</f>
        <v/>
      </c>
      <c r="I80" s="41" t="str">
        <f aca="false">IF($A80="","",SUMIFS(业务流水!$H$5:$H$1504,业务流水!$E$5:$E$1504,$B$3,业务流水!$D$5:$D$1504,"已交税",业务流水!$C$5:$C$1504,$A80,业务流水!$Z$5:$Z$1504,"是"))</f>
        <v/>
      </c>
      <c r="J80" s="42" t="str">
        <f aca="false">IF($A80="","",$H80-$I80)</f>
        <v/>
      </c>
      <c r="K80" s="41" t="str">
        <f aca="false">IF($A80="","",SUMIFS(业务流水!$H$5:$H$1504,业务流水!$F$5:$F$1504,$B$3,业务流水!$D$5:$D$1504,"挂靠代收",业务流水!$C$5:$C$1504,$A80,业务流水!$Z$5:$Z$1504,"是"))</f>
        <v/>
      </c>
      <c r="L80" s="42" t="str">
        <f aca="false">IF($A80="","",$C80-$K80)</f>
        <v/>
      </c>
      <c r="M80" s="41" t="str">
        <f aca="false">IF($A80="","",SUMIFS(业务流水!$H$5:$H$1504,业务流水!$E$5:$E$1504,$B$3,业务流水!$D$5:$D$1504,"我方收款",业务流水!$C$5:$C$1504,$A80,业务流水!$Z$5:$Z$1504,"是"))</f>
        <v/>
      </c>
      <c r="N80" s="43" t="str">
        <f aca="false">IF($A80="","",$K80-$M80)</f>
        <v/>
      </c>
      <c r="O80" s="41" t="str">
        <f aca="false">IF($A80="","",SUMIFS(业务流水!$H$5:$H$1504,业务流水!$F$5:$F$1504,$B$3,业务流水!$D$5:$D$1504,"管理费结算",业务流水!$C$5:$C$1504,$A80,业务流水!$Z$5:$Z$1504,"是"))</f>
        <v/>
      </c>
      <c r="P80" s="41" t="str">
        <f aca="false">IF($A80="","",SUMIFS(业务流水!$H$5:$H$1504,业务流水!$E$5:$E$1504,$B$3,业务流水!$D$5:$D$1504,"扣质保金",业务流水!$C$5:$C$1504,$A80,业务流水!$Z$5:$Z$1504,"是"))</f>
        <v/>
      </c>
      <c r="Q80" s="48" t="str">
        <f aca="false">IF($A80="","",IF(SUM($C80:$F80)+SUM($K80:$M80)=0,"无","有"))</f>
        <v/>
      </c>
    </row>
    <row r="81" customFormat="false" ht="15.75" hidden="false" customHeight="true" outlineLevel="0" collapsed="false">
      <c r="A81" s="32" t="str">
        <f aca="false">IF(项目档案!$A81="","",项目档案!$A81)</f>
        <v/>
      </c>
      <c r="B81" s="40" t="str">
        <f aca="false">IF($A81="","",项目档案!$B81)</f>
        <v/>
      </c>
      <c r="C81" s="41" t="str">
        <f aca="false">IF($A81="","",SUMIFS(业务流水!$H$5:$H$1504,业务流水!$E$5:$E$1504,$B$3,业务流水!$D$5:$D$1504,"销项开票",业务流水!$C$5:$C$1504,$A81,业务流水!$Z$5:$Z$1504,"是"))</f>
        <v/>
      </c>
      <c r="D81" s="41" t="str">
        <f aca="false">IF($A81="","",SUMIFS(业务流水!$O$5:$O$1504,业务流水!$E$5:$E$1504,$B$3,业务流水!$D$5:$D$1504,"销项开票",业务流水!$C$5:$C$1504,$A81,业务流水!$Z$5:$Z$1504,"是"))</f>
        <v/>
      </c>
      <c r="E81" s="41" t="str">
        <f aca="false">IF($A81="","",SUMIFS(业务流水!$P$5:$P$1504,业务流水!$E$5:$E$1504,$B$3,业务流水!$D$5:$D$1504,"销项开票",业务流水!$C$5:$C$1504,$A81,业务流水!$Z$5:$Z$1504,"是"))</f>
        <v/>
      </c>
      <c r="F81" s="41" t="str">
        <f aca="false">IF($A81="","",SUMIFS(业务流水!$H$5:$H$1504,业务流水!$F$5:$F$1504,$B$3,业务流水!$D$5:$D$1504,"成本票",业务流水!$C$5:$C$1504,$A81,业务流水!$Z$5:$Z$1504,"是")+SUMIFS(业务流水!$H$5:$H$1504,业务流水!$F$5:$F$1504,$B$3,业务流水!$D$5:$D$1504,"销项开票",业务流水!$C$5:$C$1504,$A81,业务流水!$Z$5:$Z$1504,"是"))</f>
        <v/>
      </c>
      <c r="G81" s="42" t="str">
        <f aca="false">IF($A81="","",$E81-$F81)</f>
        <v/>
      </c>
      <c r="H81" s="41" t="str">
        <f aca="false">IF($A81="","",SUMIFS(业务流水!$W$5:$W$1504,业务流水!$E$5:$E$1504,$B$3,业务流水!$D$5:$D$1504,"销项开票",业务流水!$C$5:$C$1504,$A81,业务流水!$Z$5:$Z$1504,"是"))</f>
        <v/>
      </c>
      <c r="I81" s="41" t="str">
        <f aca="false">IF($A81="","",SUMIFS(业务流水!$H$5:$H$1504,业务流水!$E$5:$E$1504,$B$3,业务流水!$D$5:$D$1504,"已交税",业务流水!$C$5:$C$1504,$A81,业务流水!$Z$5:$Z$1504,"是"))</f>
        <v/>
      </c>
      <c r="J81" s="42" t="str">
        <f aca="false">IF($A81="","",$H81-$I81)</f>
        <v/>
      </c>
      <c r="K81" s="41" t="str">
        <f aca="false">IF($A81="","",SUMIFS(业务流水!$H$5:$H$1504,业务流水!$F$5:$F$1504,$B$3,业务流水!$D$5:$D$1504,"挂靠代收",业务流水!$C$5:$C$1504,$A81,业务流水!$Z$5:$Z$1504,"是"))</f>
        <v/>
      </c>
      <c r="L81" s="42" t="str">
        <f aca="false">IF($A81="","",$C81-$K81)</f>
        <v/>
      </c>
      <c r="M81" s="41" t="str">
        <f aca="false">IF($A81="","",SUMIFS(业务流水!$H$5:$H$1504,业务流水!$E$5:$E$1504,$B$3,业务流水!$D$5:$D$1504,"我方收款",业务流水!$C$5:$C$1504,$A81,业务流水!$Z$5:$Z$1504,"是"))</f>
        <v/>
      </c>
      <c r="N81" s="43" t="str">
        <f aca="false">IF($A81="","",$K81-$M81)</f>
        <v/>
      </c>
      <c r="O81" s="41" t="str">
        <f aca="false">IF($A81="","",SUMIFS(业务流水!$H$5:$H$1504,业务流水!$F$5:$F$1504,$B$3,业务流水!$D$5:$D$1504,"管理费结算",业务流水!$C$5:$C$1504,$A81,业务流水!$Z$5:$Z$1504,"是"))</f>
        <v/>
      </c>
      <c r="P81" s="41" t="str">
        <f aca="false">IF($A81="","",SUMIFS(业务流水!$H$5:$H$1504,业务流水!$E$5:$E$1504,$B$3,业务流水!$D$5:$D$1504,"扣质保金",业务流水!$C$5:$C$1504,$A81,业务流水!$Z$5:$Z$1504,"是"))</f>
        <v/>
      </c>
      <c r="Q81" s="48" t="str">
        <f aca="false">IF($A81="","",IF(SUM($C81:$F81)+SUM($K81:$M81)=0,"无","有"))</f>
        <v/>
      </c>
    </row>
    <row r="82" customFormat="false" ht="15.75" hidden="false" customHeight="true" outlineLevel="0" collapsed="false">
      <c r="A82" s="32" t="str">
        <f aca="false">IF(项目档案!$A82="","",项目档案!$A82)</f>
        <v/>
      </c>
      <c r="B82" s="40" t="str">
        <f aca="false">IF($A82="","",项目档案!$B82)</f>
        <v/>
      </c>
      <c r="C82" s="41" t="str">
        <f aca="false">IF($A82="","",SUMIFS(业务流水!$H$5:$H$1504,业务流水!$E$5:$E$1504,$B$3,业务流水!$D$5:$D$1504,"销项开票",业务流水!$C$5:$C$1504,$A82,业务流水!$Z$5:$Z$1504,"是"))</f>
        <v/>
      </c>
      <c r="D82" s="41" t="str">
        <f aca="false">IF($A82="","",SUMIFS(业务流水!$O$5:$O$1504,业务流水!$E$5:$E$1504,$B$3,业务流水!$D$5:$D$1504,"销项开票",业务流水!$C$5:$C$1504,$A82,业务流水!$Z$5:$Z$1504,"是"))</f>
        <v/>
      </c>
      <c r="E82" s="41" t="str">
        <f aca="false">IF($A82="","",SUMIFS(业务流水!$P$5:$P$1504,业务流水!$E$5:$E$1504,$B$3,业务流水!$D$5:$D$1504,"销项开票",业务流水!$C$5:$C$1504,$A82,业务流水!$Z$5:$Z$1504,"是"))</f>
        <v/>
      </c>
      <c r="F82" s="41" t="str">
        <f aca="false">IF($A82="","",SUMIFS(业务流水!$H$5:$H$1504,业务流水!$F$5:$F$1504,$B$3,业务流水!$D$5:$D$1504,"成本票",业务流水!$C$5:$C$1504,$A82,业务流水!$Z$5:$Z$1504,"是")+SUMIFS(业务流水!$H$5:$H$1504,业务流水!$F$5:$F$1504,$B$3,业务流水!$D$5:$D$1504,"销项开票",业务流水!$C$5:$C$1504,$A82,业务流水!$Z$5:$Z$1504,"是"))</f>
        <v/>
      </c>
      <c r="G82" s="42" t="str">
        <f aca="false">IF($A82="","",$E82-$F82)</f>
        <v/>
      </c>
      <c r="H82" s="41" t="str">
        <f aca="false">IF($A82="","",SUMIFS(业务流水!$W$5:$W$1504,业务流水!$E$5:$E$1504,$B$3,业务流水!$D$5:$D$1504,"销项开票",业务流水!$C$5:$C$1504,$A82,业务流水!$Z$5:$Z$1504,"是"))</f>
        <v/>
      </c>
      <c r="I82" s="41" t="str">
        <f aca="false">IF($A82="","",SUMIFS(业务流水!$H$5:$H$1504,业务流水!$E$5:$E$1504,$B$3,业务流水!$D$5:$D$1504,"已交税",业务流水!$C$5:$C$1504,$A82,业务流水!$Z$5:$Z$1504,"是"))</f>
        <v/>
      </c>
      <c r="J82" s="42" t="str">
        <f aca="false">IF($A82="","",$H82-$I82)</f>
        <v/>
      </c>
      <c r="K82" s="41" t="str">
        <f aca="false">IF($A82="","",SUMIFS(业务流水!$H$5:$H$1504,业务流水!$F$5:$F$1504,$B$3,业务流水!$D$5:$D$1504,"挂靠代收",业务流水!$C$5:$C$1504,$A82,业务流水!$Z$5:$Z$1504,"是"))</f>
        <v/>
      </c>
      <c r="L82" s="42" t="str">
        <f aca="false">IF($A82="","",$C82-$K82)</f>
        <v/>
      </c>
      <c r="M82" s="41" t="str">
        <f aca="false">IF($A82="","",SUMIFS(业务流水!$H$5:$H$1504,业务流水!$E$5:$E$1504,$B$3,业务流水!$D$5:$D$1504,"我方收款",业务流水!$C$5:$C$1504,$A82,业务流水!$Z$5:$Z$1504,"是"))</f>
        <v/>
      </c>
      <c r="N82" s="43" t="str">
        <f aca="false">IF($A82="","",$K82-$M82)</f>
        <v/>
      </c>
      <c r="O82" s="41" t="str">
        <f aca="false">IF($A82="","",SUMIFS(业务流水!$H$5:$H$1504,业务流水!$F$5:$F$1504,$B$3,业务流水!$D$5:$D$1504,"管理费结算",业务流水!$C$5:$C$1504,$A82,业务流水!$Z$5:$Z$1504,"是"))</f>
        <v/>
      </c>
      <c r="P82" s="41" t="str">
        <f aca="false">IF($A82="","",SUMIFS(业务流水!$H$5:$H$1504,业务流水!$E$5:$E$1504,$B$3,业务流水!$D$5:$D$1504,"扣质保金",业务流水!$C$5:$C$1504,$A82,业务流水!$Z$5:$Z$1504,"是"))</f>
        <v/>
      </c>
      <c r="Q82" s="48" t="str">
        <f aca="false">IF($A82="","",IF(SUM($C82:$F82)+SUM($K82:$M82)=0,"无","有"))</f>
        <v/>
      </c>
    </row>
    <row r="83" customFormat="false" ht="15.75" hidden="false" customHeight="true" outlineLevel="0" collapsed="false">
      <c r="A83" s="32" t="str">
        <f aca="false">IF(项目档案!$A83="","",项目档案!$A83)</f>
        <v/>
      </c>
      <c r="B83" s="40" t="str">
        <f aca="false">IF($A83="","",项目档案!$B83)</f>
        <v/>
      </c>
      <c r="C83" s="41" t="str">
        <f aca="false">IF($A83="","",SUMIFS(业务流水!$H$5:$H$1504,业务流水!$E$5:$E$1504,$B$3,业务流水!$D$5:$D$1504,"销项开票",业务流水!$C$5:$C$1504,$A83,业务流水!$Z$5:$Z$1504,"是"))</f>
        <v/>
      </c>
      <c r="D83" s="41" t="str">
        <f aca="false">IF($A83="","",SUMIFS(业务流水!$O$5:$O$1504,业务流水!$E$5:$E$1504,$B$3,业务流水!$D$5:$D$1504,"销项开票",业务流水!$C$5:$C$1504,$A83,业务流水!$Z$5:$Z$1504,"是"))</f>
        <v/>
      </c>
      <c r="E83" s="41" t="str">
        <f aca="false">IF($A83="","",SUMIFS(业务流水!$P$5:$P$1504,业务流水!$E$5:$E$1504,$B$3,业务流水!$D$5:$D$1504,"销项开票",业务流水!$C$5:$C$1504,$A83,业务流水!$Z$5:$Z$1504,"是"))</f>
        <v/>
      </c>
      <c r="F83" s="41" t="str">
        <f aca="false">IF($A83="","",SUMIFS(业务流水!$H$5:$H$1504,业务流水!$F$5:$F$1504,$B$3,业务流水!$D$5:$D$1504,"成本票",业务流水!$C$5:$C$1504,$A83,业务流水!$Z$5:$Z$1504,"是")+SUMIFS(业务流水!$H$5:$H$1504,业务流水!$F$5:$F$1504,$B$3,业务流水!$D$5:$D$1504,"销项开票",业务流水!$C$5:$C$1504,$A83,业务流水!$Z$5:$Z$1504,"是"))</f>
        <v/>
      </c>
      <c r="G83" s="42" t="str">
        <f aca="false">IF($A83="","",$E83-$F83)</f>
        <v/>
      </c>
      <c r="H83" s="41" t="str">
        <f aca="false">IF($A83="","",SUMIFS(业务流水!$W$5:$W$1504,业务流水!$E$5:$E$1504,$B$3,业务流水!$D$5:$D$1504,"销项开票",业务流水!$C$5:$C$1504,$A83,业务流水!$Z$5:$Z$1504,"是"))</f>
        <v/>
      </c>
      <c r="I83" s="41" t="str">
        <f aca="false">IF($A83="","",SUMIFS(业务流水!$H$5:$H$1504,业务流水!$E$5:$E$1504,$B$3,业务流水!$D$5:$D$1504,"已交税",业务流水!$C$5:$C$1504,$A83,业务流水!$Z$5:$Z$1504,"是"))</f>
        <v/>
      </c>
      <c r="J83" s="42" t="str">
        <f aca="false">IF($A83="","",$H83-$I83)</f>
        <v/>
      </c>
      <c r="K83" s="41" t="str">
        <f aca="false">IF($A83="","",SUMIFS(业务流水!$H$5:$H$1504,业务流水!$F$5:$F$1504,$B$3,业务流水!$D$5:$D$1504,"挂靠代收",业务流水!$C$5:$C$1504,$A83,业务流水!$Z$5:$Z$1504,"是"))</f>
        <v/>
      </c>
      <c r="L83" s="42" t="str">
        <f aca="false">IF($A83="","",$C83-$K83)</f>
        <v/>
      </c>
      <c r="M83" s="41" t="str">
        <f aca="false">IF($A83="","",SUMIFS(业务流水!$H$5:$H$1504,业务流水!$E$5:$E$1504,$B$3,业务流水!$D$5:$D$1504,"我方收款",业务流水!$C$5:$C$1504,$A83,业务流水!$Z$5:$Z$1504,"是"))</f>
        <v/>
      </c>
      <c r="N83" s="43" t="str">
        <f aca="false">IF($A83="","",$K83-$M83)</f>
        <v/>
      </c>
      <c r="O83" s="41" t="str">
        <f aca="false">IF($A83="","",SUMIFS(业务流水!$H$5:$H$1504,业务流水!$F$5:$F$1504,$B$3,业务流水!$D$5:$D$1504,"管理费结算",业务流水!$C$5:$C$1504,$A83,业务流水!$Z$5:$Z$1504,"是"))</f>
        <v/>
      </c>
      <c r="P83" s="41" t="str">
        <f aca="false">IF($A83="","",SUMIFS(业务流水!$H$5:$H$1504,业务流水!$E$5:$E$1504,$B$3,业务流水!$D$5:$D$1504,"扣质保金",业务流水!$C$5:$C$1504,$A83,业务流水!$Z$5:$Z$1504,"是"))</f>
        <v/>
      </c>
      <c r="Q83" s="48" t="str">
        <f aca="false">IF($A83="","",IF(SUM($C83:$F83)+SUM($K83:$M83)=0,"无","有"))</f>
        <v/>
      </c>
    </row>
    <row r="84" customFormat="false" ht="15.75" hidden="false" customHeight="true" outlineLevel="0" collapsed="false">
      <c r="A84" s="32" t="str">
        <f aca="false">IF(项目档案!$A84="","",项目档案!$A84)</f>
        <v/>
      </c>
      <c r="B84" s="40" t="str">
        <f aca="false">IF($A84="","",项目档案!$B84)</f>
        <v/>
      </c>
      <c r="C84" s="41" t="str">
        <f aca="false">IF($A84="","",SUMIFS(业务流水!$H$5:$H$1504,业务流水!$E$5:$E$1504,$B$3,业务流水!$D$5:$D$1504,"销项开票",业务流水!$C$5:$C$1504,$A84,业务流水!$Z$5:$Z$1504,"是"))</f>
        <v/>
      </c>
      <c r="D84" s="41" t="str">
        <f aca="false">IF($A84="","",SUMIFS(业务流水!$O$5:$O$1504,业务流水!$E$5:$E$1504,$B$3,业务流水!$D$5:$D$1504,"销项开票",业务流水!$C$5:$C$1504,$A84,业务流水!$Z$5:$Z$1504,"是"))</f>
        <v/>
      </c>
      <c r="E84" s="41" t="str">
        <f aca="false">IF($A84="","",SUMIFS(业务流水!$P$5:$P$1504,业务流水!$E$5:$E$1504,$B$3,业务流水!$D$5:$D$1504,"销项开票",业务流水!$C$5:$C$1504,$A84,业务流水!$Z$5:$Z$1504,"是"))</f>
        <v/>
      </c>
      <c r="F84" s="41" t="str">
        <f aca="false">IF($A84="","",SUMIFS(业务流水!$H$5:$H$1504,业务流水!$F$5:$F$1504,$B$3,业务流水!$D$5:$D$1504,"成本票",业务流水!$C$5:$C$1504,$A84,业务流水!$Z$5:$Z$1504,"是")+SUMIFS(业务流水!$H$5:$H$1504,业务流水!$F$5:$F$1504,$B$3,业务流水!$D$5:$D$1504,"销项开票",业务流水!$C$5:$C$1504,$A84,业务流水!$Z$5:$Z$1504,"是"))</f>
        <v/>
      </c>
      <c r="G84" s="42" t="str">
        <f aca="false">IF($A84="","",$E84-$F84)</f>
        <v/>
      </c>
      <c r="H84" s="41" t="str">
        <f aca="false">IF($A84="","",SUMIFS(业务流水!$W$5:$W$1504,业务流水!$E$5:$E$1504,$B$3,业务流水!$D$5:$D$1504,"销项开票",业务流水!$C$5:$C$1504,$A84,业务流水!$Z$5:$Z$1504,"是"))</f>
        <v/>
      </c>
      <c r="I84" s="41" t="str">
        <f aca="false">IF($A84="","",SUMIFS(业务流水!$H$5:$H$1504,业务流水!$E$5:$E$1504,$B$3,业务流水!$D$5:$D$1504,"已交税",业务流水!$C$5:$C$1504,$A84,业务流水!$Z$5:$Z$1504,"是"))</f>
        <v/>
      </c>
      <c r="J84" s="42" t="str">
        <f aca="false">IF($A84="","",$H84-$I84)</f>
        <v/>
      </c>
      <c r="K84" s="41" t="str">
        <f aca="false">IF($A84="","",SUMIFS(业务流水!$H$5:$H$1504,业务流水!$F$5:$F$1504,$B$3,业务流水!$D$5:$D$1504,"挂靠代收",业务流水!$C$5:$C$1504,$A84,业务流水!$Z$5:$Z$1504,"是"))</f>
        <v/>
      </c>
      <c r="L84" s="42" t="str">
        <f aca="false">IF($A84="","",$C84-$K84)</f>
        <v/>
      </c>
      <c r="M84" s="41" t="str">
        <f aca="false">IF($A84="","",SUMIFS(业务流水!$H$5:$H$1504,业务流水!$E$5:$E$1504,$B$3,业务流水!$D$5:$D$1504,"我方收款",业务流水!$C$5:$C$1504,$A84,业务流水!$Z$5:$Z$1504,"是"))</f>
        <v/>
      </c>
      <c r="N84" s="43" t="str">
        <f aca="false">IF($A84="","",$K84-$M84)</f>
        <v/>
      </c>
      <c r="O84" s="41" t="str">
        <f aca="false">IF($A84="","",SUMIFS(业务流水!$H$5:$H$1504,业务流水!$F$5:$F$1504,$B$3,业务流水!$D$5:$D$1504,"管理费结算",业务流水!$C$5:$C$1504,$A84,业务流水!$Z$5:$Z$1504,"是"))</f>
        <v/>
      </c>
      <c r="P84" s="41" t="str">
        <f aca="false">IF($A84="","",SUMIFS(业务流水!$H$5:$H$1504,业务流水!$E$5:$E$1504,$B$3,业务流水!$D$5:$D$1504,"扣质保金",业务流水!$C$5:$C$1504,$A84,业务流水!$Z$5:$Z$1504,"是"))</f>
        <v/>
      </c>
      <c r="Q84" s="48" t="str">
        <f aca="false">IF($A84="","",IF(SUM($C84:$F84)+SUM($K84:$M84)=0,"无","有"))</f>
        <v/>
      </c>
    </row>
    <row r="85" customFormat="false" ht="15.75" hidden="false" customHeight="true" outlineLevel="0" collapsed="false">
      <c r="A85" s="32" t="str">
        <f aca="false">IF(项目档案!$A85="","",项目档案!$A85)</f>
        <v/>
      </c>
      <c r="B85" s="40" t="str">
        <f aca="false">IF($A85="","",项目档案!$B85)</f>
        <v/>
      </c>
      <c r="C85" s="41" t="str">
        <f aca="false">IF($A85="","",SUMIFS(业务流水!$H$5:$H$1504,业务流水!$E$5:$E$1504,$B$3,业务流水!$D$5:$D$1504,"销项开票",业务流水!$C$5:$C$1504,$A85,业务流水!$Z$5:$Z$1504,"是"))</f>
        <v/>
      </c>
      <c r="D85" s="41" t="str">
        <f aca="false">IF($A85="","",SUMIFS(业务流水!$O$5:$O$1504,业务流水!$E$5:$E$1504,$B$3,业务流水!$D$5:$D$1504,"销项开票",业务流水!$C$5:$C$1504,$A85,业务流水!$Z$5:$Z$1504,"是"))</f>
        <v/>
      </c>
      <c r="E85" s="41" t="str">
        <f aca="false">IF($A85="","",SUMIFS(业务流水!$P$5:$P$1504,业务流水!$E$5:$E$1504,$B$3,业务流水!$D$5:$D$1504,"销项开票",业务流水!$C$5:$C$1504,$A85,业务流水!$Z$5:$Z$1504,"是"))</f>
        <v/>
      </c>
      <c r="F85" s="41" t="str">
        <f aca="false">IF($A85="","",SUMIFS(业务流水!$H$5:$H$1504,业务流水!$F$5:$F$1504,$B$3,业务流水!$D$5:$D$1504,"成本票",业务流水!$C$5:$C$1504,$A85,业务流水!$Z$5:$Z$1504,"是")+SUMIFS(业务流水!$H$5:$H$1504,业务流水!$F$5:$F$1504,$B$3,业务流水!$D$5:$D$1504,"销项开票",业务流水!$C$5:$C$1504,$A85,业务流水!$Z$5:$Z$1504,"是"))</f>
        <v/>
      </c>
      <c r="G85" s="42" t="str">
        <f aca="false">IF($A85="","",$E85-$F85)</f>
        <v/>
      </c>
      <c r="H85" s="41" t="str">
        <f aca="false">IF($A85="","",SUMIFS(业务流水!$W$5:$W$1504,业务流水!$E$5:$E$1504,$B$3,业务流水!$D$5:$D$1504,"销项开票",业务流水!$C$5:$C$1504,$A85,业务流水!$Z$5:$Z$1504,"是"))</f>
        <v/>
      </c>
      <c r="I85" s="41" t="str">
        <f aca="false">IF($A85="","",SUMIFS(业务流水!$H$5:$H$1504,业务流水!$E$5:$E$1504,$B$3,业务流水!$D$5:$D$1504,"已交税",业务流水!$C$5:$C$1504,$A85,业务流水!$Z$5:$Z$1504,"是"))</f>
        <v/>
      </c>
      <c r="J85" s="42" t="str">
        <f aca="false">IF($A85="","",$H85-$I85)</f>
        <v/>
      </c>
      <c r="K85" s="41" t="str">
        <f aca="false">IF($A85="","",SUMIFS(业务流水!$H$5:$H$1504,业务流水!$F$5:$F$1504,$B$3,业务流水!$D$5:$D$1504,"挂靠代收",业务流水!$C$5:$C$1504,$A85,业务流水!$Z$5:$Z$1504,"是"))</f>
        <v/>
      </c>
      <c r="L85" s="42" t="str">
        <f aca="false">IF($A85="","",$C85-$K85)</f>
        <v/>
      </c>
      <c r="M85" s="41" t="str">
        <f aca="false">IF($A85="","",SUMIFS(业务流水!$H$5:$H$1504,业务流水!$E$5:$E$1504,$B$3,业务流水!$D$5:$D$1504,"我方收款",业务流水!$C$5:$C$1504,$A85,业务流水!$Z$5:$Z$1504,"是"))</f>
        <v/>
      </c>
      <c r="N85" s="43" t="str">
        <f aca="false">IF($A85="","",$K85-$M85)</f>
        <v/>
      </c>
      <c r="O85" s="41" t="str">
        <f aca="false">IF($A85="","",SUMIFS(业务流水!$H$5:$H$1504,业务流水!$F$5:$F$1504,$B$3,业务流水!$D$5:$D$1504,"管理费结算",业务流水!$C$5:$C$1504,$A85,业务流水!$Z$5:$Z$1504,"是"))</f>
        <v/>
      </c>
      <c r="P85" s="41" t="str">
        <f aca="false">IF($A85="","",SUMIFS(业务流水!$H$5:$H$1504,业务流水!$E$5:$E$1504,$B$3,业务流水!$D$5:$D$1504,"扣质保金",业务流水!$C$5:$C$1504,$A85,业务流水!$Z$5:$Z$1504,"是"))</f>
        <v/>
      </c>
      <c r="Q85" s="48" t="str">
        <f aca="false">IF($A85="","",IF(SUM($C85:$F85)+SUM($K85:$M85)=0,"无","有"))</f>
        <v/>
      </c>
    </row>
    <row r="86" customFormat="false" ht="15.75" hidden="false" customHeight="true" outlineLevel="0" collapsed="false">
      <c r="A86" s="32" t="str">
        <f aca="false">IF(项目档案!$A86="","",项目档案!$A86)</f>
        <v/>
      </c>
      <c r="B86" s="40" t="str">
        <f aca="false">IF($A86="","",项目档案!$B86)</f>
        <v/>
      </c>
      <c r="C86" s="41" t="str">
        <f aca="false">IF($A86="","",SUMIFS(业务流水!$H$5:$H$1504,业务流水!$E$5:$E$1504,$B$3,业务流水!$D$5:$D$1504,"销项开票",业务流水!$C$5:$C$1504,$A86,业务流水!$Z$5:$Z$1504,"是"))</f>
        <v/>
      </c>
      <c r="D86" s="41" t="str">
        <f aca="false">IF($A86="","",SUMIFS(业务流水!$O$5:$O$1504,业务流水!$E$5:$E$1504,$B$3,业务流水!$D$5:$D$1504,"销项开票",业务流水!$C$5:$C$1504,$A86,业务流水!$Z$5:$Z$1504,"是"))</f>
        <v/>
      </c>
      <c r="E86" s="41" t="str">
        <f aca="false">IF($A86="","",SUMIFS(业务流水!$P$5:$P$1504,业务流水!$E$5:$E$1504,$B$3,业务流水!$D$5:$D$1504,"销项开票",业务流水!$C$5:$C$1504,$A86,业务流水!$Z$5:$Z$1504,"是"))</f>
        <v/>
      </c>
      <c r="F86" s="41" t="str">
        <f aca="false">IF($A86="","",SUMIFS(业务流水!$H$5:$H$1504,业务流水!$F$5:$F$1504,$B$3,业务流水!$D$5:$D$1504,"成本票",业务流水!$C$5:$C$1504,$A86,业务流水!$Z$5:$Z$1504,"是")+SUMIFS(业务流水!$H$5:$H$1504,业务流水!$F$5:$F$1504,$B$3,业务流水!$D$5:$D$1504,"销项开票",业务流水!$C$5:$C$1504,$A86,业务流水!$Z$5:$Z$1504,"是"))</f>
        <v/>
      </c>
      <c r="G86" s="42" t="str">
        <f aca="false">IF($A86="","",$E86-$F86)</f>
        <v/>
      </c>
      <c r="H86" s="41" t="str">
        <f aca="false">IF($A86="","",SUMIFS(业务流水!$W$5:$W$1504,业务流水!$E$5:$E$1504,$B$3,业务流水!$D$5:$D$1504,"销项开票",业务流水!$C$5:$C$1504,$A86,业务流水!$Z$5:$Z$1504,"是"))</f>
        <v/>
      </c>
      <c r="I86" s="41" t="str">
        <f aca="false">IF($A86="","",SUMIFS(业务流水!$H$5:$H$1504,业务流水!$E$5:$E$1504,$B$3,业务流水!$D$5:$D$1504,"已交税",业务流水!$C$5:$C$1504,$A86,业务流水!$Z$5:$Z$1504,"是"))</f>
        <v/>
      </c>
      <c r="J86" s="42" t="str">
        <f aca="false">IF($A86="","",$H86-$I86)</f>
        <v/>
      </c>
      <c r="K86" s="41" t="str">
        <f aca="false">IF($A86="","",SUMIFS(业务流水!$H$5:$H$1504,业务流水!$F$5:$F$1504,$B$3,业务流水!$D$5:$D$1504,"挂靠代收",业务流水!$C$5:$C$1504,$A86,业务流水!$Z$5:$Z$1504,"是"))</f>
        <v/>
      </c>
      <c r="L86" s="42" t="str">
        <f aca="false">IF($A86="","",$C86-$K86)</f>
        <v/>
      </c>
      <c r="M86" s="41" t="str">
        <f aca="false">IF($A86="","",SUMIFS(业务流水!$H$5:$H$1504,业务流水!$E$5:$E$1504,$B$3,业务流水!$D$5:$D$1504,"我方收款",业务流水!$C$5:$C$1504,$A86,业务流水!$Z$5:$Z$1504,"是"))</f>
        <v/>
      </c>
      <c r="N86" s="43" t="str">
        <f aca="false">IF($A86="","",$K86-$M86)</f>
        <v/>
      </c>
      <c r="O86" s="41" t="str">
        <f aca="false">IF($A86="","",SUMIFS(业务流水!$H$5:$H$1504,业务流水!$F$5:$F$1504,$B$3,业务流水!$D$5:$D$1504,"管理费结算",业务流水!$C$5:$C$1504,$A86,业务流水!$Z$5:$Z$1504,"是"))</f>
        <v/>
      </c>
      <c r="P86" s="41" t="str">
        <f aca="false">IF($A86="","",SUMIFS(业务流水!$H$5:$H$1504,业务流水!$E$5:$E$1504,$B$3,业务流水!$D$5:$D$1504,"扣质保金",业务流水!$C$5:$C$1504,$A86,业务流水!$Z$5:$Z$1504,"是"))</f>
        <v/>
      </c>
      <c r="Q86" s="48" t="str">
        <f aca="false">IF($A86="","",IF(SUM($C86:$F86)+SUM($K86:$M86)=0,"无","有"))</f>
        <v/>
      </c>
    </row>
    <row r="87" customFormat="false" ht="15.75" hidden="false" customHeight="true" outlineLevel="0" collapsed="false">
      <c r="A87" s="32" t="str">
        <f aca="false">IF(项目档案!$A87="","",项目档案!$A87)</f>
        <v/>
      </c>
      <c r="B87" s="40" t="str">
        <f aca="false">IF($A87="","",项目档案!$B87)</f>
        <v/>
      </c>
      <c r="C87" s="41" t="str">
        <f aca="false">IF($A87="","",SUMIFS(业务流水!$H$5:$H$1504,业务流水!$E$5:$E$1504,$B$3,业务流水!$D$5:$D$1504,"销项开票",业务流水!$C$5:$C$1504,$A87,业务流水!$Z$5:$Z$1504,"是"))</f>
        <v/>
      </c>
      <c r="D87" s="41" t="str">
        <f aca="false">IF($A87="","",SUMIFS(业务流水!$O$5:$O$1504,业务流水!$E$5:$E$1504,$B$3,业务流水!$D$5:$D$1504,"销项开票",业务流水!$C$5:$C$1504,$A87,业务流水!$Z$5:$Z$1504,"是"))</f>
        <v/>
      </c>
      <c r="E87" s="41" t="str">
        <f aca="false">IF($A87="","",SUMIFS(业务流水!$P$5:$P$1504,业务流水!$E$5:$E$1504,$B$3,业务流水!$D$5:$D$1504,"销项开票",业务流水!$C$5:$C$1504,$A87,业务流水!$Z$5:$Z$1504,"是"))</f>
        <v/>
      </c>
      <c r="F87" s="41" t="str">
        <f aca="false">IF($A87="","",SUMIFS(业务流水!$H$5:$H$1504,业务流水!$F$5:$F$1504,$B$3,业务流水!$D$5:$D$1504,"成本票",业务流水!$C$5:$C$1504,$A87,业务流水!$Z$5:$Z$1504,"是")+SUMIFS(业务流水!$H$5:$H$1504,业务流水!$F$5:$F$1504,$B$3,业务流水!$D$5:$D$1504,"销项开票",业务流水!$C$5:$C$1504,$A87,业务流水!$Z$5:$Z$1504,"是"))</f>
        <v/>
      </c>
      <c r="G87" s="42" t="str">
        <f aca="false">IF($A87="","",$E87-$F87)</f>
        <v/>
      </c>
      <c r="H87" s="41" t="str">
        <f aca="false">IF($A87="","",SUMIFS(业务流水!$W$5:$W$1504,业务流水!$E$5:$E$1504,$B$3,业务流水!$D$5:$D$1504,"销项开票",业务流水!$C$5:$C$1504,$A87,业务流水!$Z$5:$Z$1504,"是"))</f>
        <v/>
      </c>
      <c r="I87" s="41" t="str">
        <f aca="false">IF($A87="","",SUMIFS(业务流水!$H$5:$H$1504,业务流水!$E$5:$E$1504,$B$3,业务流水!$D$5:$D$1504,"已交税",业务流水!$C$5:$C$1504,$A87,业务流水!$Z$5:$Z$1504,"是"))</f>
        <v/>
      </c>
      <c r="J87" s="42" t="str">
        <f aca="false">IF($A87="","",$H87-$I87)</f>
        <v/>
      </c>
      <c r="K87" s="41" t="str">
        <f aca="false">IF($A87="","",SUMIFS(业务流水!$H$5:$H$1504,业务流水!$F$5:$F$1504,$B$3,业务流水!$D$5:$D$1504,"挂靠代收",业务流水!$C$5:$C$1504,$A87,业务流水!$Z$5:$Z$1504,"是"))</f>
        <v/>
      </c>
      <c r="L87" s="42" t="str">
        <f aca="false">IF($A87="","",$C87-$K87)</f>
        <v/>
      </c>
      <c r="M87" s="41" t="str">
        <f aca="false">IF($A87="","",SUMIFS(业务流水!$H$5:$H$1504,业务流水!$E$5:$E$1504,$B$3,业务流水!$D$5:$D$1504,"我方收款",业务流水!$C$5:$C$1504,$A87,业务流水!$Z$5:$Z$1504,"是"))</f>
        <v/>
      </c>
      <c r="N87" s="43" t="str">
        <f aca="false">IF($A87="","",$K87-$M87)</f>
        <v/>
      </c>
      <c r="O87" s="41" t="str">
        <f aca="false">IF($A87="","",SUMIFS(业务流水!$H$5:$H$1504,业务流水!$F$5:$F$1504,$B$3,业务流水!$D$5:$D$1504,"管理费结算",业务流水!$C$5:$C$1504,$A87,业务流水!$Z$5:$Z$1504,"是"))</f>
        <v/>
      </c>
      <c r="P87" s="41" t="str">
        <f aca="false">IF($A87="","",SUMIFS(业务流水!$H$5:$H$1504,业务流水!$E$5:$E$1504,$B$3,业务流水!$D$5:$D$1504,"扣质保金",业务流水!$C$5:$C$1504,$A87,业务流水!$Z$5:$Z$1504,"是"))</f>
        <v/>
      </c>
      <c r="Q87" s="48" t="str">
        <f aca="false">IF($A87="","",IF(SUM($C87:$F87)+SUM($K87:$M87)=0,"无","有"))</f>
        <v/>
      </c>
    </row>
    <row r="88" customFormat="false" ht="15.75" hidden="false" customHeight="true" outlineLevel="0" collapsed="false">
      <c r="A88" s="32" t="str">
        <f aca="false">IF(项目档案!$A88="","",项目档案!$A88)</f>
        <v/>
      </c>
      <c r="B88" s="40" t="str">
        <f aca="false">IF($A88="","",项目档案!$B88)</f>
        <v/>
      </c>
      <c r="C88" s="41" t="str">
        <f aca="false">IF($A88="","",SUMIFS(业务流水!$H$5:$H$1504,业务流水!$E$5:$E$1504,$B$3,业务流水!$D$5:$D$1504,"销项开票",业务流水!$C$5:$C$1504,$A88,业务流水!$Z$5:$Z$1504,"是"))</f>
        <v/>
      </c>
      <c r="D88" s="41" t="str">
        <f aca="false">IF($A88="","",SUMIFS(业务流水!$O$5:$O$1504,业务流水!$E$5:$E$1504,$B$3,业务流水!$D$5:$D$1504,"销项开票",业务流水!$C$5:$C$1504,$A88,业务流水!$Z$5:$Z$1504,"是"))</f>
        <v/>
      </c>
      <c r="E88" s="41" t="str">
        <f aca="false">IF($A88="","",SUMIFS(业务流水!$P$5:$P$1504,业务流水!$E$5:$E$1504,$B$3,业务流水!$D$5:$D$1504,"销项开票",业务流水!$C$5:$C$1504,$A88,业务流水!$Z$5:$Z$1504,"是"))</f>
        <v/>
      </c>
      <c r="F88" s="41" t="str">
        <f aca="false">IF($A88="","",SUMIFS(业务流水!$H$5:$H$1504,业务流水!$F$5:$F$1504,$B$3,业务流水!$D$5:$D$1504,"成本票",业务流水!$C$5:$C$1504,$A88,业务流水!$Z$5:$Z$1504,"是")+SUMIFS(业务流水!$H$5:$H$1504,业务流水!$F$5:$F$1504,$B$3,业务流水!$D$5:$D$1504,"销项开票",业务流水!$C$5:$C$1504,$A88,业务流水!$Z$5:$Z$1504,"是"))</f>
        <v/>
      </c>
      <c r="G88" s="42" t="str">
        <f aca="false">IF($A88="","",$E88-$F88)</f>
        <v/>
      </c>
      <c r="H88" s="41" t="str">
        <f aca="false">IF($A88="","",SUMIFS(业务流水!$W$5:$W$1504,业务流水!$E$5:$E$1504,$B$3,业务流水!$D$5:$D$1504,"销项开票",业务流水!$C$5:$C$1504,$A88,业务流水!$Z$5:$Z$1504,"是"))</f>
        <v/>
      </c>
      <c r="I88" s="41" t="str">
        <f aca="false">IF($A88="","",SUMIFS(业务流水!$H$5:$H$1504,业务流水!$E$5:$E$1504,$B$3,业务流水!$D$5:$D$1504,"已交税",业务流水!$C$5:$C$1504,$A88,业务流水!$Z$5:$Z$1504,"是"))</f>
        <v/>
      </c>
      <c r="J88" s="42" t="str">
        <f aca="false">IF($A88="","",$H88-$I88)</f>
        <v/>
      </c>
      <c r="K88" s="41" t="str">
        <f aca="false">IF($A88="","",SUMIFS(业务流水!$H$5:$H$1504,业务流水!$F$5:$F$1504,$B$3,业务流水!$D$5:$D$1504,"挂靠代收",业务流水!$C$5:$C$1504,$A88,业务流水!$Z$5:$Z$1504,"是"))</f>
        <v/>
      </c>
      <c r="L88" s="42" t="str">
        <f aca="false">IF($A88="","",$C88-$K88)</f>
        <v/>
      </c>
      <c r="M88" s="41" t="str">
        <f aca="false">IF($A88="","",SUMIFS(业务流水!$H$5:$H$1504,业务流水!$E$5:$E$1504,$B$3,业务流水!$D$5:$D$1504,"我方收款",业务流水!$C$5:$C$1504,$A88,业务流水!$Z$5:$Z$1504,"是"))</f>
        <v/>
      </c>
      <c r="N88" s="43" t="str">
        <f aca="false">IF($A88="","",$K88-$M88)</f>
        <v/>
      </c>
      <c r="O88" s="41" t="str">
        <f aca="false">IF($A88="","",SUMIFS(业务流水!$H$5:$H$1504,业务流水!$F$5:$F$1504,$B$3,业务流水!$D$5:$D$1504,"管理费结算",业务流水!$C$5:$C$1504,$A88,业务流水!$Z$5:$Z$1504,"是"))</f>
        <v/>
      </c>
      <c r="P88" s="41" t="str">
        <f aca="false">IF($A88="","",SUMIFS(业务流水!$H$5:$H$1504,业务流水!$E$5:$E$1504,$B$3,业务流水!$D$5:$D$1504,"扣质保金",业务流水!$C$5:$C$1504,$A88,业务流水!$Z$5:$Z$1504,"是"))</f>
        <v/>
      </c>
      <c r="Q88" s="48" t="str">
        <f aca="false">IF($A88="","",IF(SUM($C88:$F88)+SUM($K88:$M88)=0,"无","有"))</f>
        <v/>
      </c>
    </row>
    <row r="89" customFormat="false" ht="15.75" hidden="false" customHeight="true" outlineLevel="0" collapsed="false">
      <c r="A89" s="32" t="str">
        <f aca="false">IF(项目档案!$A89="","",项目档案!$A89)</f>
        <v/>
      </c>
      <c r="B89" s="40" t="str">
        <f aca="false">IF($A89="","",项目档案!$B89)</f>
        <v/>
      </c>
      <c r="C89" s="41" t="str">
        <f aca="false">IF($A89="","",SUMIFS(业务流水!$H$5:$H$1504,业务流水!$E$5:$E$1504,$B$3,业务流水!$D$5:$D$1504,"销项开票",业务流水!$C$5:$C$1504,$A89,业务流水!$Z$5:$Z$1504,"是"))</f>
        <v/>
      </c>
      <c r="D89" s="41" t="str">
        <f aca="false">IF($A89="","",SUMIFS(业务流水!$O$5:$O$1504,业务流水!$E$5:$E$1504,$B$3,业务流水!$D$5:$D$1504,"销项开票",业务流水!$C$5:$C$1504,$A89,业务流水!$Z$5:$Z$1504,"是"))</f>
        <v/>
      </c>
      <c r="E89" s="41" t="str">
        <f aca="false">IF($A89="","",SUMIFS(业务流水!$P$5:$P$1504,业务流水!$E$5:$E$1504,$B$3,业务流水!$D$5:$D$1504,"销项开票",业务流水!$C$5:$C$1504,$A89,业务流水!$Z$5:$Z$1504,"是"))</f>
        <v/>
      </c>
      <c r="F89" s="41" t="str">
        <f aca="false">IF($A89="","",SUMIFS(业务流水!$H$5:$H$1504,业务流水!$F$5:$F$1504,$B$3,业务流水!$D$5:$D$1504,"成本票",业务流水!$C$5:$C$1504,$A89,业务流水!$Z$5:$Z$1504,"是")+SUMIFS(业务流水!$H$5:$H$1504,业务流水!$F$5:$F$1504,$B$3,业务流水!$D$5:$D$1504,"销项开票",业务流水!$C$5:$C$1504,$A89,业务流水!$Z$5:$Z$1504,"是"))</f>
        <v/>
      </c>
      <c r="G89" s="42" t="str">
        <f aca="false">IF($A89="","",$E89-$F89)</f>
        <v/>
      </c>
      <c r="H89" s="41" t="str">
        <f aca="false">IF($A89="","",SUMIFS(业务流水!$W$5:$W$1504,业务流水!$E$5:$E$1504,$B$3,业务流水!$D$5:$D$1504,"销项开票",业务流水!$C$5:$C$1504,$A89,业务流水!$Z$5:$Z$1504,"是"))</f>
        <v/>
      </c>
      <c r="I89" s="41" t="str">
        <f aca="false">IF($A89="","",SUMIFS(业务流水!$H$5:$H$1504,业务流水!$E$5:$E$1504,$B$3,业务流水!$D$5:$D$1504,"已交税",业务流水!$C$5:$C$1504,$A89,业务流水!$Z$5:$Z$1504,"是"))</f>
        <v/>
      </c>
      <c r="J89" s="42" t="str">
        <f aca="false">IF($A89="","",$H89-$I89)</f>
        <v/>
      </c>
      <c r="K89" s="41" t="str">
        <f aca="false">IF($A89="","",SUMIFS(业务流水!$H$5:$H$1504,业务流水!$F$5:$F$1504,$B$3,业务流水!$D$5:$D$1504,"挂靠代收",业务流水!$C$5:$C$1504,$A89,业务流水!$Z$5:$Z$1504,"是"))</f>
        <v/>
      </c>
      <c r="L89" s="42" t="str">
        <f aca="false">IF($A89="","",$C89-$K89)</f>
        <v/>
      </c>
      <c r="M89" s="41" t="str">
        <f aca="false">IF($A89="","",SUMIFS(业务流水!$H$5:$H$1504,业务流水!$E$5:$E$1504,$B$3,业务流水!$D$5:$D$1504,"我方收款",业务流水!$C$5:$C$1504,$A89,业务流水!$Z$5:$Z$1504,"是"))</f>
        <v/>
      </c>
      <c r="N89" s="43" t="str">
        <f aca="false">IF($A89="","",$K89-$M89)</f>
        <v/>
      </c>
      <c r="O89" s="41" t="str">
        <f aca="false">IF($A89="","",SUMIFS(业务流水!$H$5:$H$1504,业务流水!$F$5:$F$1504,$B$3,业务流水!$D$5:$D$1504,"管理费结算",业务流水!$C$5:$C$1504,$A89,业务流水!$Z$5:$Z$1504,"是"))</f>
        <v/>
      </c>
      <c r="P89" s="41" t="str">
        <f aca="false">IF($A89="","",SUMIFS(业务流水!$H$5:$H$1504,业务流水!$E$5:$E$1504,$B$3,业务流水!$D$5:$D$1504,"扣质保金",业务流水!$C$5:$C$1504,$A89,业务流水!$Z$5:$Z$1504,"是"))</f>
        <v/>
      </c>
      <c r="Q89" s="48" t="str">
        <f aca="false">IF($A89="","",IF(SUM($C89:$F89)+SUM($K89:$M89)=0,"无","有"))</f>
        <v/>
      </c>
    </row>
    <row r="90" customFormat="false" ht="15.75" hidden="false" customHeight="true" outlineLevel="0" collapsed="false">
      <c r="A90" s="32" t="str">
        <f aca="false">IF(项目档案!$A90="","",项目档案!$A90)</f>
        <v/>
      </c>
      <c r="B90" s="40" t="str">
        <f aca="false">IF($A90="","",项目档案!$B90)</f>
        <v/>
      </c>
      <c r="C90" s="41" t="str">
        <f aca="false">IF($A90="","",SUMIFS(业务流水!$H$5:$H$1504,业务流水!$E$5:$E$1504,$B$3,业务流水!$D$5:$D$1504,"销项开票",业务流水!$C$5:$C$1504,$A90,业务流水!$Z$5:$Z$1504,"是"))</f>
        <v/>
      </c>
      <c r="D90" s="41" t="str">
        <f aca="false">IF($A90="","",SUMIFS(业务流水!$O$5:$O$1504,业务流水!$E$5:$E$1504,$B$3,业务流水!$D$5:$D$1504,"销项开票",业务流水!$C$5:$C$1504,$A90,业务流水!$Z$5:$Z$1504,"是"))</f>
        <v/>
      </c>
      <c r="E90" s="41" t="str">
        <f aca="false">IF($A90="","",SUMIFS(业务流水!$P$5:$P$1504,业务流水!$E$5:$E$1504,$B$3,业务流水!$D$5:$D$1504,"销项开票",业务流水!$C$5:$C$1504,$A90,业务流水!$Z$5:$Z$1504,"是"))</f>
        <v/>
      </c>
      <c r="F90" s="41" t="str">
        <f aca="false">IF($A90="","",SUMIFS(业务流水!$H$5:$H$1504,业务流水!$F$5:$F$1504,$B$3,业务流水!$D$5:$D$1504,"成本票",业务流水!$C$5:$C$1504,$A90,业务流水!$Z$5:$Z$1504,"是")+SUMIFS(业务流水!$H$5:$H$1504,业务流水!$F$5:$F$1504,$B$3,业务流水!$D$5:$D$1504,"销项开票",业务流水!$C$5:$C$1504,$A90,业务流水!$Z$5:$Z$1504,"是"))</f>
        <v/>
      </c>
      <c r="G90" s="42" t="str">
        <f aca="false">IF($A90="","",$E90-$F90)</f>
        <v/>
      </c>
      <c r="H90" s="41" t="str">
        <f aca="false">IF($A90="","",SUMIFS(业务流水!$W$5:$W$1504,业务流水!$E$5:$E$1504,$B$3,业务流水!$D$5:$D$1504,"销项开票",业务流水!$C$5:$C$1504,$A90,业务流水!$Z$5:$Z$1504,"是"))</f>
        <v/>
      </c>
      <c r="I90" s="41" t="str">
        <f aca="false">IF($A90="","",SUMIFS(业务流水!$H$5:$H$1504,业务流水!$E$5:$E$1504,$B$3,业务流水!$D$5:$D$1504,"已交税",业务流水!$C$5:$C$1504,$A90,业务流水!$Z$5:$Z$1504,"是"))</f>
        <v/>
      </c>
      <c r="J90" s="42" t="str">
        <f aca="false">IF($A90="","",$H90-$I90)</f>
        <v/>
      </c>
      <c r="K90" s="41" t="str">
        <f aca="false">IF($A90="","",SUMIFS(业务流水!$H$5:$H$1504,业务流水!$F$5:$F$1504,$B$3,业务流水!$D$5:$D$1504,"挂靠代收",业务流水!$C$5:$C$1504,$A90,业务流水!$Z$5:$Z$1504,"是"))</f>
        <v/>
      </c>
      <c r="L90" s="42" t="str">
        <f aca="false">IF($A90="","",$C90-$K90)</f>
        <v/>
      </c>
      <c r="M90" s="41" t="str">
        <f aca="false">IF($A90="","",SUMIFS(业务流水!$H$5:$H$1504,业务流水!$E$5:$E$1504,$B$3,业务流水!$D$5:$D$1504,"我方收款",业务流水!$C$5:$C$1504,$A90,业务流水!$Z$5:$Z$1504,"是"))</f>
        <v/>
      </c>
      <c r="N90" s="43" t="str">
        <f aca="false">IF($A90="","",$K90-$M90)</f>
        <v/>
      </c>
      <c r="O90" s="41" t="str">
        <f aca="false">IF($A90="","",SUMIFS(业务流水!$H$5:$H$1504,业务流水!$F$5:$F$1504,$B$3,业务流水!$D$5:$D$1504,"管理费结算",业务流水!$C$5:$C$1504,$A90,业务流水!$Z$5:$Z$1504,"是"))</f>
        <v/>
      </c>
      <c r="P90" s="41" t="str">
        <f aca="false">IF($A90="","",SUMIFS(业务流水!$H$5:$H$1504,业务流水!$E$5:$E$1504,$B$3,业务流水!$D$5:$D$1504,"扣质保金",业务流水!$C$5:$C$1504,$A90,业务流水!$Z$5:$Z$1504,"是"))</f>
        <v/>
      </c>
      <c r="Q90" s="48" t="str">
        <f aca="false">IF($A90="","",IF(SUM($C90:$F90)+SUM($K90:$M90)=0,"无","有"))</f>
        <v/>
      </c>
    </row>
    <row r="91" customFormat="false" ht="15.75" hidden="false" customHeight="true" outlineLevel="0" collapsed="false">
      <c r="A91" s="32" t="str">
        <f aca="false">IF(项目档案!$A91="","",项目档案!$A91)</f>
        <v/>
      </c>
      <c r="B91" s="40" t="str">
        <f aca="false">IF($A91="","",项目档案!$B91)</f>
        <v/>
      </c>
      <c r="C91" s="41" t="str">
        <f aca="false">IF($A91="","",SUMIFS(业务流水!$H$5:$H$1504,业务流水!$E$5:$E$1504,$B$3,业务流水!$D$5:$D$1504,"销项开票",业务流水!$C$5:$C$1504,$A91,业务流水!$Z$5:$Z$1504,"是"))</f>
        <v/>
      </c>
      <c r="D91" s="41" t="str">
        <f aca="false">IF($A91="","",SUMIFS(业务流水!$O$5:$O$1504,业务流水!$E$5:$E$1504,$B$3,业务流水!$D$5:$D$1504,"销项开票",业务流水!$C$5:$C$1504,$A91,业务流水!$Z$5:$Z$1504,"是"))</f>
        <v/>
      </c>
      <c r="E91" s="41" t="str">
        <f aca="false">IF($A91="","",SUMIFS(业务流水!$P$5:$P$1504,业务流水!$E$5:$E$1504,$B$3,业务流水!$D$5:$D$1504,"销项开票",业务流水!$C$5:$C$1504,$A91,业务流水!$Z$5:$Z$1504,"是"))</f>
        <v/>
      </c>
      <c r="F91" s="41" t="str">
        <f aca="false">IF($A91="","",SUMIFS(业务流水!$H$5:$H$1504,业务流水!$F$5:$F$1504,$B$3,业务流水!$D$5:$D$1504,"成本票",业务流水!$C$5:$C$1504,$A91,业务流水!$Z$5:$Z$1504,"是")+SUMIFS(业务流水!$H$5:$H$1504,业务流水!$F$5:$F$1504,$B$3,业务流水!$D$5:$D$1504,"销项开票",业务流水!$C$5:$C$1504,$A91,业务流水!$Z$5:$Z$1504,"是"))</f>
        <v/>
      </c>
      <c r="G91" s="42" t="str">
        <f aca="false">IF($A91="","",$E91-$F91)</f>
        <v/>
      </c>
      <c r="H91" s="41" t="str">
        <f aca="false">IF($A91="","",SUMIFS(业务流水!$W$5:$W$1504,业务流水!$E$5:$E$1504,$B$3,业务流水!$D$5:$D$1504,"销项开票",业务流水!$C$5:$C$1504,$A91,业务流水!$Z$5:$Z$1504,"是"))</f>
        <v/>
      </c>
      <c r="I91" s="41" t="str">
        <f aca="false">IF($A91="","",SUMIFS(业务流水!$H$5:$H$1504,业务流水!$E$5:$E$1504,$B$3,业务流水!$D$5:$D$1504,"已交税",业务流水!$C$5:$C$1504,$A91,业务流水!$Z$5:$Z$1504,"是"))</f>
        <v/>
      </c>
      <c r="J91" s="42" t="str">
        <f aca="false">IF($A91="","",$H91-$I91)</f>
        <v/>
      </c>
      <c r="K91" s="41" t="str">
        <f aca="false">IF($A91="","",SUMIFS(业务流水!$H$5:$H$1504,业务流水!$F$5:$F$1504,$B$3,业务流水!$D$5:$D$1504,"挂靠代收",业务流水!$C$5:$C$1504,$A91,业务流水!$Z$5:$Z$1504,"是"))</f>
        <v/>
      </c>
      <c r="L91" s="42" t="str">
        <f aca="false">IF($A91="","",$C91-$K91)</f>
        <v/>
      </c>
      <c r="M91" s="41" t="str">
        <f aca="false">IF($A91="","",SUMIFS(业务流水!$H$5:$H$1504,业务流水!$E$5:$E$1504,$B$3,业务流水!$D$5:$D$1504,"我方收款",业务流水!$C$5:$C$1504,$A91,业务流水!$Z$5:$Z$1504,"是"))</f>
        <v/>
      </c>
      <c r="N91" s="43" t="str">
        <f aca="false">IF($A91="","",$K91-$M91)</f>
        <v/>
      </c>
      <c r="O91" s="41" t="str">
        <f aca="false">IF($A91="","",SUMIFS(业务流水!$H$5:$H$1504,业务流水!$F$5:$F$1504,$B$3,业务流水!$D$5:$D$1504,"管理费结算",业务流水!$C$5:$C$1504,$A91,业务流水!$Z$5:$Z$1504,"是"))</f>
        <v/>
      </c>
      <c r="P91" s="41" t="str">
        <f aca="false">IF($A91="","",SUMIFS(业务流水!$H$5:$H$1504,业务流水!$E$5:$E$1504,$B$3,业务流水!$D$5:$D$1504,"扣质保金",业务流水!$C$5:$C$1504,$A91,业务流水!$Z$5:$Z$1504,"是"))</f>
        <v/>
      </c>
      <c r="Q91" s="48" t="str">
        <f aca="false">IF($A91="","",IF(SUM($C91:$F91)+SUM($K91:$M91)=0,"无","有"))</f>
        <v/>
      </c>
    </row>
    <row r="92" customFormat="false" ht="15.75" hidden="false" customHeight="true" outlineLevel="0" collapsed="false">
      <c r="A92" s="32" t="str">
        <f aca="false">IF(项目档案!$A92="","",项目档案!$A92)</f>
        <v/>
      </c>
      <c r="B92" s="40" t="str">
        <f aca="false">IF($A92="","",项目档案!$B92)</f>
        <v/>
      </c>
      <c r="C92" s="41" t="str">
        <f aca="false">IF($A92="","",SUMIFS(业务流水!$H$5:$H$1504,业务流水!$E$5:$E$1504,$B$3,业务流水!$D$5:$D$1504,"销项开票",业务流水!$C$5:$C$1504,$A92,业务流水!$Z$5:$Z$1504,"是"))</f>
        <v/>
      </c>
      <c r="D92" s="41" t="str">
        <f aca="false">IF($A92="","",SUMIFS(业务流水!$O$5:$O$1504,业务流水!$E$5:$E$1504,$B$3,业务流水!$D$5:$D$1504,"销项开票",业务流水!$C$5:$C$1504,$A92,业务流水!$Z$5:$Z$1504,"是"))</f>
        <v/>
      </c>
      <c r="E92" s="41" t="str">
        <f aca="false">IF($A92="","",SUMIFS(业务流水!$P$5:$P$1504,业务流水!$E$5:$E$1504,$B$3,业务流水!$D$5:$D$1504,"销项开票",业务流水!$C$5:$C$1504,$A92,业务流水!$Z$5:$Z$1504,"是"))</f>
        <v/>
      </c>
      <c r="F92" s="41" t="str">
        <f aca="false">IF($A92="","",SUMIFS(业务流水!$H$5:$H$1504,业务流水!$F$5:$F$1504,$B$3,业务流水!$D$5:$D$1504,"成本票",业务流水!$C$5:$C$1504,$A92,业务流水!$Z$5:$Z$1504,"是")+SUMIFS(业务流水!$H$5:$H$1504,业务流水!$F$5:$F$1504,$B$3,业务流水!$D$5:$D$1504,"销项开票",业务流水!$C$5:$C$1504,$A92,业务流水!$Z$5:$Z$1504,"是"))</f>
        <v/>
      </c>
      <c r="G92" s="42" t="str">
        <f aca="false">IF($A92="","",$E92-$F92)</f>
        <v/>
      </c>
      <c r="H92" s="41" t="str">
        <f aca="false">IF($A92="","",SUMIFS(业务流水!$W$5:$W$1504,业务流水!$E$5:$E$1504,$B$3,业务流水!$D$5:$D$1504,"销项开票",业务流水!$C$5:$C$1504,$A92,业务流水!$Z$5:$Z$1504,"是"))</f>
        <v/>
      </c>
      <c r="I92" s="41" t="str">
        <f aca="false">IF($A92="","",SUMIFS(业务流水!$H$5:$H$1504,业务流水!$E$5:$E$1504,$B$3,业务流水!$D$5:$D$1504,"已交税",业务流水!$C$5:$C$1504,$A92,业务流水!$Z$5:$Z$1504,"是"))</f>
        <v/>
      </c>
      <c r="J92" s="42" t="str">
        <f aca="false">IF($A92="","",$H92-$I92)</f>
        <v/>
      </c>
      <c r="K92" s="41" t="str">
        <f aca="false">IF($A92="","",SUMIFS(业务流水!$H$5:$H$1504,业务流水!$F$5:$F$1504,$B$3,业务流水!$D$5:$D$1504,"挂靠代收",业务流水!$C$5:$C$1504,$A92,业务流水!$Z$5:$Z$1504,"是"))</f>
        <v/>
      </c>
      <c r="L92" s="42" t="str">
        <f aca="false">IF($A92="","",$C92-$K92)</f>
        <v/>
      </c>
      <c r="M92" s="41" t="str">
        <f aca="false">IF($A92="","",SUMIFS(业务流水!$H$5:$H$1504,业务流水!$E$5:$E$1504,$B$3,业务流水!$D$5:$D$1504,"我方收款",业务流水!$C$5:$C$1504,$A92,业务流水!$Z$5:$Z$1504,"是"))</f>
        <v/>
      </c>
      <c r="N92" s="43" t="str">
        <f aca="false">IF($A92="","",$K92-$M92)</f>
        <v/>
      </c>
      <c r="O92" s="41" t="str">
        <f aca="false">IF($A92="","",SUMIFS(业务流水!$H$5:$H$1504,业务流水!$F$5:$F$1504,$B$3,业务流水!$D$5:$D$1504,"管理费结算",业务流水!$C$5:$C$1504,$A92,业务流水!$Z$5:$Z$1504,"是"))</f>
        <v/>
      </c>
      <c r="P92" s="41" t="str">
        <f aca="false">IF($A92="","",SUMIFS(业务流水!$H$5:$H$1504,业务流水!$E$5:$E$1504,$B$3,业务流水!$D$5:$D$1504,"扣质保金",业务流水!$C$5:$C$1504,$A92,业务流水!$Z$5:$Z$1504,"是"))</f>
        <v/>
      </c>
      <c r="Q92" s="48" t="str">
        <f aca="false">IF($A92="","",IF(SUM($C92:$F92)+SUM($K92:$M92)=0,"无","有"))</f>
        <v/>
      </c>
    </row>
    <row r="93" customFormat="false" ht="15.75" hidden="false" customHeight="true" outlineLevel="0" collapsed="false">
      <c r="A93" s="32" t="str">
        <f aca="false">IF(项目档案!$A93="","",项目档案!$A93)</f>
        <v/>
      </c>
      <c r="B93" s="40" t="str">
        <f aca="false">IF($A93="","",项目档案!$B93)</f>
        <v/>
      </c>
      <c r="C93" s="41" t="str">
        <f aca="false">IF($A93="","",SUMIFS(业务流水!$H$5:$H$1504,业务流水!$E$5:$E$1504,$B$3,业务流水!$D$5:$D$1504,"销项开票",业务流水!$C$5:$C$1504,$A93,业务流水!$Z$5:$Z$1504,"是"))</f>
        <v/>
      </c>
      <c r="D93" s="41" t="str">
        <f aca="false">IF($A93="","",SUMIFS(业务流水!$O$5:$O$1504,业务流水!$E$5:$E$1504,$B$3,业务流水!$D$5:$D$1504,"销项开票",业务流水!$C$5:$C$1504,$A93,业务流水!$Z$5:$Z$1504,"是"))</f>
        <v/>
      </c>
      <c r="E93" s="41" t="str">
        <f aca="false">IF($A93="","",SUMIFS(业务流水!$P$5:$P$1504,业务流水!$E$5:$E$1504,$B$3,业务流水!$D$5:$D$1504,"销项开票",业务流水!$C$5:$C$1504,$A93,业务流水!$Z$5:$Z$1504,"是"))</f>
        <v/>
      </c>
      <c r="F93" s="41" t="str">
        <f aca="false">IF($A93="","",SUMIFS(业务流水!$H$5:$H$1504,业务流水!$F$5:$F$1504,$B$3,业务流水!$D$5:$D$1504,"成本票",业务流水!$C$5:$C$1504,$A93,业务流水!$Z$5:$Z$1504,"是")+SUMIFS(业务流水!$H$5:$H$1504,业务流水!$F$5:$F$1504,$B$3,业务流水!$D$5:$D$1504,"销项开票",业务流水!$C$5:$C$1504,$A93,业务流水!$Z$5:$Z$1504,"是"))</f>
        <v/>
      </c>
      <c r="G93" s="42" t="str">
        <f aca="false">IF($A93="","",$E93-$F93)</f>
        <v/>
      </c>
      <c r="H93" s="41" t="str">
        <f aca="false">IF($A93="","",SUMIFS(业务流水!$W$5:$W$1504,业务流水!$E$5:$E$1504,$B$3,业务流水!$D$5:$D$1504,"销项开票",业务流水!$C$5:$C$1504,$A93,业务流水!$Z$5:$Z$1504,"是"))</f>
        <v/>
      </c>
      <c r="I93" s="41" t="str">
        <f aca="false">IF($A93="","",SUMIFS(业务流水!$H$5:$H$1504,业务流水!$E$5:$E$1504,$B$3,业务流水!$D$5:$D$1504,"已交税",业务流水!$C$5:$C$1504,$A93,业务流水!$Z$5:$Z$1504,"是"))</f>
        <v/>
      </c>
      <c r="J93" s="42" t="str">
        <f aca="false">IF($A93="","",$H93-$I93)</f>
        <v/>
      </c>
      <c r="K93" s="41" t="str">
        <f aca="false">IF($A93="","",SUMIFS(业务流水!$H$5:$H$1504,业务流水!$F$5:$F$1504,$B$3,业务流水!$D$5:$D$1504,"挂靠代收",业务流水!$C$5:$C$1504,$A93,业务流水!$Z$5:$Z$1504,"是"))</f>
        <v/>
      </c>
      <c r="L93" s="42" t="str">
        <f aca="false">IF($A93="","",$C93-$K93)</f>
        <v/>
      </c>
      <c r="M93" s="41" t="str">
        <f aca="false">IF($A93="","",SUMIFS(业务流水!$H$5:$H$1504,业务流水!$E$5:$E$1504,$B$3,业务流水!$D$5:$D$1504,"我方收款",业务流水!$C$5:$C$1504,$A93,业务流水!$Z$5:$Z$1504,"是"))</f>
        <v/>
      </c>
      <c r="N93" s="43" t="str">
        <f aca="false">IF($A93="","",$K93-$M93)</f>
        <v/>
      </c>
      <c r="O93" s="41" t="str">
        <f aca="false">IF($A93="","",SUMIFS(业务流水!$H$5:$H$1504,业务流水!$F$5:$F$1504,$B$3,业务流水!$D$5:$D$1504,"管理费结算",业务流水!$C$5:$C$1504,$A93,业务流水!$Z$5:$Z$1504,"是"))</f>
        <v/>
      </c>
      <c r="P93" s="41" t="str">
        <f aca="false">IF($A93="","",SUMIFS(业务流水!$H$5:$H$1504,业务流水!$E$5:$E$1504,$B$3,业务流水!$D$5:$D$1504,"扣质保金",业务流水!$C$5:$C$1504,$A93,业务流水!$Z$5:$Z$1504,"是"))</f>
        <v/>
      </c>
      <c r="Q93" s="48" t="str">
        <f aca="false">IF($A93="","",IF(SUM($C93:$F93)+SUM($K93:$M93)=0,"无","有"))</f>
        <v/>
      </c>
    </row>
    <row r="94" customFormat="false" ht="15.75" hidden="false" customHeight="true" outlineLevel="0" collapsed="false">
      <c r="A94" s="32" t="str">
        <f aca="false">IF(项目档案!$A94="","",项目档案!$A94)</f>
        <v/>
      </c>
      <c r="B94" s="40" t="str">
        <f aca="false">IF($A94="","",项目档案!$B94)</f>
        <v/>
      </c>
      <c r="C94" s="41" t="str">
        <f aca="false">IF($A94="","",SUMIFS(业务流水!$H$5:$H$1504,业务流水!$E$5:$E$1504,$B$3,业务流水!$D$5:$D$1504,"销项开票",业务流水!$C$5:$C$1504,$A94,业务流水!$Z$5:$Z$1504,"是"))</f>
        <v/>
      </c>
      <c r="D94" s="41" t="str">
        <f aca="false">IF($A94="","",SUMIFS(业务流水!$O$5:$O$1504,业务流水!$E$5:$E$1504,$B$3,业务流水!$D$5:$D$1504,"销项开票",业务流水!$C$5:$C$1504,$A94,业务流水!$Z$5:$Z$1504,"是"))</f>
        <v/>
      </c>
      <c r="E94" s="41" t="str">
        <f aca="false">IF($A94="","",SUMIFS(业务流水!$P$5:$P$1504,业务流水!$E$5:$E$1504,$B$3,业务流水!$D$5:$D$1504,"销项开票",业务流水!$C$5:$C$1504,$A94,业务流水!$Z$5:$Z$1504,"是"))</f>
        <v/>
      </c>
      <c r="F94" s="41" t="str">
        <f aca="false">IF($A94="","",SUMIFS(业务流水!$H$5:$H$1504,业务流水!$F$5:$F$1504,$B$3,业务流水!$D$5:$D$1504,"成本票",业务流水!$C$5:$C$1504,$A94,业务流水!$Z$5:$Z$1504,"是")+SUMIFS(业务流水!$H$5:$H$1504,业务流水!$F$5:$F$1504,$B$3,业务流水!$D$5:$D$1504,"销项开票",业务流水!$C$5:$C$1504,$A94,业务流水!$Z$5:$Z$1504,"是"))</f>
        <v/>
      </c>
      <c r="G94" s="42" t="str">
        <f aca="false">IF($A94="","",$E94-$F94)</f>
        <v/>
      </c>
      <c r="H94" s="41" t="str">
        <f aca="false">IF($A94="","",SUMIFS(业务流水!$W$5:$W$1504,业务流水!$E$5:$E$1504,$B$3,业务流水!$D$5:$D$1504,"销项开票",业务流水!$C$5:$C$1504,$A94,业务流水!$Z$5:$Z$1504,"是"))</f>
        <v/>
      </c>
      <c r="I94" s="41" t="str">
        <f aca="false">IF($A94="","",SUMIFS(业务流水!$H$5:$H$1504,业务流水!$E$5:$E$1504,$B$3,业务流水!$D$5:$D$1504,"已交税",业务流水!$C$5:$C$1504,$A94,业务流水!$Z$5:$Z$1504,"是"))</f>
        <v/>
      </c>
      <c r="J94" s="42" t="str">
        <f aca="false">IF($A94="","",$H94-$I94)</f>
        <v/>
      </c>
      <c r="K94" s="41" t="str">
        <f aca="false">IF($A94="","",SUMIFS(业务流水!$H$5:$H$1504,业务流水!$F$5:$F$1504,$B$3,业务流水!$D$5:$D$1504,"挂靠代收",业务流水!$C$5:$C$1504,$A94,业务流水!$Z$5:$Z$1504,"是"))</f>
        <v/>
      </c>
      <c r="L94" s="42" t="str">
        <f aca="false">IF($A94="","",$C94-$K94)</f>
        <v/>
      </c>
      <c r="M94" s="41" t="str">
        <f aca="false">IF($A94="","",SUMIFS(业务流水!$H$5:$H$1504,业务流水!$E$5:$E$1504,$B$3,业务流水!$D$5:$D$1504,"我方收款",业务流水!$C$5:$C$1504,$A94,业务流水!$Z$5:$Z$1504,"是"))</f>
        <v/>
      </c>
      <c r="N94" s="43" t="str">
        <f aca="false">IF($A94="","",$K94-$M94)</f>
        <v/>
      </c>
      <c r="O94" s="41" t="str">
        <f aca="false">IF($A94="","",SUMIFS(业务流水!$H$5:$H$1504,业务流水!$F$5:$F$1504,$B$3,业务流水!$D$5:$D$1504,"管理费结算",业务流水!$C$5:$C$1504,$A94,业务流水!$Z$5:$Z$1504,"是"))</f>
        <v/>
      </c>
      <c r="P94" s="41" t="str">
        <f aca="false">IF($A94="","",SUMIFS(业务流水!$H$5:$H$1504,业务流水!$E$5:$E$1504,$B$3,业务流水!$D$5:$D$1504,"扣质保金",业务流水!$C$5:$C$1504,$A94,业务流水!$Z$5:$Z$1504,"是"))</f>
        <v/>
      </c>
      <c r="Q94" s="48" t="str">
        <f aca="false">IF($A94="","",IF(SUM($C94:$F94)+SUM($K94:$M94)=0,"无","有"))</f>
        <v/>
      </c>
    </row>
    <row r="95" customFormat="false" ht="15.75" hidden="false" customHeight="true" outlineLevel="0" collapsed="false">
      <c r="A95" s="32" t="str">
        <f aca="false">IF(项目档案!$A95="","",项目档案!$A95)</f>
        <v/>
      </c>
      <c r="B95" s="40" t="str">
        <f aca="false">IF($A95="","",项目档案!$B95)</f>
        <v/>
      </c>
      <c r="C95" s="41" t="str">
        <f aca="false">IF($A95="","",SUMIFS(业务流水!$H$5:$H$1504,业务流水!$E$5:$E$1504,$B$3,业务流水!$D$5:$D$1504,"销项开票",业务流水!$C$5:$C$1504,$A95,业务流水!$Z$5:$Z$1504,"是"))</f>
        <v/>
      </c>
      <c r="D95" s="41" t="str">
        <f aca="false">IF($A95="","",SUMIFS(业务流水!$O$5:$O$1504,业务流水!$E$5:$E$1504,$B$3,业务流水!$D$5:$D$1504,"销项开票",业务流水!$C$5:$C$1504,$A95,业务流水!$Z$5:$Z$1504,"是"))</f>
        <v/>
      </c>
      <c r="E95" s="41" t="str">
        <f aca="false">IF($A95="","",SUMIFS(业务流水!$P$5:$P$1504,业务流水!$E$5:$E$1504,$B$3,业务流水!$D$5:$D$1504,"销项开票",业务流水!$C$5:$C$1504,$A95,业务流水!$Z$5:$Z$1504,"是"))</f>
        <v/>
      </c>
      <c r="F95" s="41" t="str">
        <f aca="false">IF($A95="","",SUMIFS(业务流水!$H$5:$H$1504,业务流水!$F$5:$F$1504,$B$3,业务流水!$D$5:$D$1504,"成本票",业务流水!$C$5:$C$1504,$A95,业务流水!$Z$5:$Z$1504,"是")+SUMIFS(业务流水!$H$5:$H$1504,业务流水!$F$5:$F$1504,$B$3,业务流水!$D$5:$D$1504,"销项开票",业务流水!$C$5:$C$1504,$A95,业务流水!$Z$5:$Z$1504,"是"))</f>
        <v/>
      </c>
      <c r="G95" s="42" t="str">
        <f aca="false">IF($A95="","",$E95-$F95)</f>
        <v/>
      </c>
      <c r="H95" s="41" t="str">
        <f aca="false">IF($A95="","",SUMIFS(业务流水!$W$5:$W$1504,业务流水!$E$5:$E$1504,$B$3,业务流水!$D$5:$D$1504,"销项开票",业务流水!$C$5:$C$1504,$A95,业务流水!$Z$5:$Z$1504,"是"))</f>
        <v/>
      </c>
      <c r="I95" s="41" t="str">
        <f aca="false">IF($A95="","",SUMIFS(业务流水!$H$5:$H$1504,业务流水!$E$5:$E$1504,$B$3,业务流水!$D$5:$D$1504,"已交税",业务流水!$C$5:$C$1504,$A95,业务流水!$Z$5:$Z$1504,"是"))</f>
        <v/>
      </c>
      <c r="J95" s="42" t="str">
        <f aca="false">IF($A95="","",$H95-$I95)</f>
        <v/>
      </c>
      <c r="K95" s="41" t="str">
        <f aca="false">IF($A95="","",SUMIFS(业务流水!$H$5:$H$1504,业务流水!$F$5:$F$1504,$B$3,业务流水!$D$5:$D$1504,"挂靠代收",业务流水!$C$5:$C$1504,$A95,业务流水!$Z$5:$Z$1504,"是"))</f>
        <v/>
      </c>
      <c r="L95" s="42" t="str">
        <f aca="false">IF($A95="","",$C95-$K95)</f>
        <v/>
      </c>
      <c r="M95" s="41" t="str">
        <f aca="false">IF($A95="","",SUMIFS(业务流水!$H$5:$H$1504,业务流水!$E$5:$E$1504,$B$3,业务流水!$D$5:$D$1504,"我方收款",业务流水!$C$5:$C$1504,$A95,业务流水!$Z$5:$Z$1504,"是"))</f>
        <v/>
      </c>
      <c r="N95" s="43" t="str">
        <f aca="false">IF($A95="","",$K95-$M95)</f>
        <v/>
      </c>
      <c r="O95" s="41" t="str">
        <f aca="false">IF($A95="","",SUMIFS(业务流水!$H$5:$H$1504,业务流水!$F$5:$F$1504,$B$3,业务流水!$D$5:$D$1504,"管理费结算",业务流水!$C$5:$C$1504,$A95,业务流水!$Z$5:$Z$1504,"是"))</f>
        <v/>
      </c>
      <c r="P95" s="41" t="str">
        <f aca="false">IF($A95="","",SUMIFS(业务流水!$H$5:$H$1504,业务流水!$E$5:$E$1504,$B$3,业务流水!$D$5:$D$1504,"扣质保金",业务流水!$C$5:$C$1504,$A95,业务流水!$Z$5:$Z$1504,"是"))</f>
        <v/>
      </c>
      <c r="Q95" s="48" t="str">
        <f aca="false">IF($A95="","",IF(SUM($C95:$F95)+SUM($K95:$M95)=0,"无","有"))</f>
        <v/>
      </c>
    </row>
    <row r="96" customFormat="false" ht="15.75" hidden="false" customHeight="true" outlineLevel="0" collapsed="false">
      <c r="A96" s="32" t="str">
        <f aca="false">IF(项目档案!$A96="","",项目档案!$A96)</f>
        <v/>
      </c>
      <c r="B96" s="40" t="str">
        <f aca="false">IF($A96="","",项目档案!$B96)</f>
        <v/>
      </c>
      <c r="C96" s="41" t="str">
        <f aca="false">IF($A96="","",SUMIFS(业务流水!$H$5:$H$1504,业务流水!$E$5:$E$1504,$B$3,业务流水!$D$5:$D$1504,"销项开票",业务流水!$C$5:$C$1504,$A96,业务流水!$Z$5:$Z$1504,"是"))</f>
        <v/>
      </c>
      <c r="D96" s="41" t="str">
        <f aca="false">IF($A96="","",SUMIFS(业务流水!$O$5:$O$1504,业务流水!$E$5:$E$1504,$B$3,业务流水!$D$5:$D$1504,"销项开票",业务流水!$C$5:$C$1504,$A96,业务流水!$Z$5:$Z$1504,"是"))</f>
        <v/>
      </c>
      <c r="E96" s="41" t="str">
        <f aca="false">IF($A96="","",SUMIFS(业务流水!$P$5:$P$1504,业务流水!$E$5:$E$1504,$B$3,业务流水!$D$5:$D$1504,"销项开票",业务流水!$C$5:$C$1504,$A96,业务流水!$Z$5:$Z$1504,"是"))</f>
        <v/>
      </c>
      <c r="F96" s="41" t="str">
        <f aca="false">IF($A96="","",SUMIFS(业务流水!$H$5:$H$1504,业务流水!$F$5:$F$1504,$B$3,业务流水!$D$5:$D$1504,"成本票",业务流水!$C$5:$C$1504,$A96,业务流水!$Z$5:$Z$1504,"是")+SUMIFS(业务流水!$H$5:$H$1504,业务流水!$F$5:$F$1504,$B$3,业务流水!$D$5:$D$1504,"销项开票",业务流水!$C$5:$C$1504,$A96,业务流水!$Z$5:$Z$1504,"是"))</f>
        <v/>
      </c>
      <c r="G96" s="42" t="str">
        <f aca="false">IF($A96="","",$E96-$F96)</f>
        <v/>
      </c>
      <c r="H96" s="41" t="str">
        <f aca="false">IF($A96="","",SUMIFS(业务流水!$W$5:$W$1504,业务流水!$E$5:$E$1504,$B$3,业务流水!$D$5:$D$1504,"销项开票",业务流水!$C$5:$C$1504,$A96,业务流水!$Z$5:$Z$1504,"是"))</f>
        <v/>
      </c>
      <c r="I96" s="41" t="str">
        <f aca="false">IF($A96="","",SUMIFS(业务流水!$H$5:$H$1504,业务流水!$E$5:$E$1504,$B$3,业务流水!$D$5:$D$1504,"已交税",业务流水!$C$5:$C$1504,$A96,业务流水!$Z$5:$Z$1504,"是"))</f>
        <v/>
      </c>
      <c r="J96" s="42" t="str">
        <f aca="false">IF($A96="","",$H96-$I96)</f>
        <v/>
      </c>
      <c r="K96" s="41" t="str">
        <f aca="false">IF($A96="","",SUMIFS(业务流水!$H$5:$H$1504,业务流水!$F$5:$F$1504,$B$3,业务流水!$D$5:$D$1504,"挂靠代收",业务流水!$C$5:$C$1504,$A96,业务流水!$Z$5:$Z$1504,"是"))</f>
        <v/>
      </c>
      <c r="L96" s="42" t="str">
        <f aca="false">IF($A96="","",$C96-$K96)</f>
        <v/>
      </c>
      <c r="M96" s="41" t="str">
        <f aca="false">IF($A96="","",SUMIFS(业务流水!$H$5:$H$1504,业务流水!$E$5:$E$1504,$B$3,业务流水!$D$5:$D$1504,"我方收款",业务流水!$C$5:$C$1504,$A96,业务流水!$Z$5:$Z$1504,"是"))</f>
        <v/>
      </c>
      <c r="N96" s="43" t="str">
        <f aca="false">IF($A96="","",$K96-$M96)</f>
        <v/>
      </c>
      <c r="O96" s="41" t="str">
        <f aca="false">IF($A96="","",SUMIFS(业务流水!$H$5:$H$1504,业务流水!$F$5:$F$1504,$B$3,业务流水!$D$5:$D$1504,"管理费结算",业务流水!$C$5:$C$1504,$A96,业务流水!$Z$5:$Z$1504,"是"))</f>
        <v/>
      </c>
      <c r="P96" s="41" t="str">
        <f aca="false">IF($A96="","",SUMIFS(业务流水!$H$5:$H$1504,业务流水!$E$5:$E$1504,$B$3,业务流水!$D$5:$D$1504,"扣质保金",业务流水!$C$5:$C$1504,$A96,业务流水!$Z$5:$Z$1504,"是"))</f>
        <v/>
      </c>
      <c r="Q96" s="48" t="str">
        <f aca="false">IF($A96="","",IF(SUM($C96:$F96)+SUM($K96:$M96)=0,"无","有"))</f>
        <v/>
      </c>
    </row>
    <row r="97" customFormat="false" ht="15.75" hidden="false" customHeight="true" outlineLevel="0" collapsed="false">
      <c r="A97" s="32" t="str">
        <f aca="false">IF(项目档案!$A97="","",项目档案!$A97)</f>
        <v/>
      </c>
      <c r="B97" s="40" t="str">
        <f aca="false">IF($A97="","",项目档案!$B97)</f>
        <v/>
      </c>
      <c r="C97" s="41" t="str">
        <f aca="false">IF($A97="","",SUMIFS(业务流水!$H$5:$H$1504,业务流水!$E$5:$E$1504,$B$3,业务流水!$D$5:$D$1504,"销项开票",业务流水!$C$5:$C$1504,$A97,业务流水!$Z$5:$Z$1504,"是"))</f>
        <v/>
      </c>
      <c r="D97" s="41" t="str">
        <f aca="false">IF($A97="","",SUMIFS(业务流水!$O$5:$O$1504,业务流水!$E$5:$E$1504,$B$3,业务流水!$D$5:$D$1504,"销项开票",业务流水!$C$5:$C$1504,$A97,业务流水!$Z$5:$Z$1504,"是"))</f>
        <v/>
      </c>
      <c r="E97" s="41" t="str">
        <f aca="false">IF($A97="","",SUMIFS(业务流水!$P$5:$P$1504,业务流水!$E$5:$E$1504,$B$3,业务流水!$D$5:$D$1504,"销项开票",业务流水!$C$5:$C$1504,$A97,业务流水!$Z$5:$Z$1504,"是"))</f>
        <v/>
      </c>
      <c r="F97" s="41" t="str">
        <f aca="false">IF($A97="","",SUMIFS(业务流水!$H$5:$H$1504,业务流水!$F$5:$F$1504,$B$3,业务流水!$D$5:$D$1504,"成本票",业务流水!$C$5:$C$1504,$A97,业务流水!$Z$5:$Z$1504,"是")+SUMIFS(业务流水!$H$5:$H$1504,业务流水!$F$5:$F$1504,$B$3,业务流水!$D$5:$D$1504,"销项开票",业务流水!$C$5:$C$1504,$A97,业务流水!$Z$5:$Z$1504,"是"))</f>
        <v/>
      </c>
      <c r="G97" s="42" t="str">
        <f aca="false">IF($A97="","",$E97-$F97)</f>
        <v/>
      </c>
      <c r="H97" s="41" t="str">
        <f aca="false">IF($A97="","",SUMIFS(业务流水!$W$5:$W$1504,业务流水!$E$5:$E$1504,$B$3,业务流水!$D$5:$D$1504,"销项开票",业务流水!$C$5:$C$1504,$A97,业务流水!$Z$5:$Z$1504,"是"))</f>
        <v/>
      </c>
      <c r="I97" s="41" t="str">
        <f aca="false">IF($A97="","",SUMIFS(业务流水!$H$5:$H$1504,业务流水!$E$5:$E$1504,$B$3,业务流水!$D$5:$D$1504,"已交税",业务流水!$C$5:$C$1504,$A97,业务流水!$Z$5:$Z$1504,"是"))</f>
        <v/>
      </c>
      <c r="J97" s="42" t="str">
        <f aca="false">IF($A97="","",$H97-$I97)</f>
        <v/>
      </c>
      <c r="K97" s="41" t="str">
        <f aca="false">IF($A97="","",SUMIFS(业务流水!$H$5:$H$1504,业务流水!$F$5:$F$1504,$B$3,业务流水!$D$5:$D$1504,"挂靠代收",业务流水!$C$5:$C$1504,$A97,业务流水!$Z$5:$Z$1504,"是"))</f>
        <v/>
      </c>
      <c r="L97" s="42" t="str">
        <f aca="false">IF($A97="","",$C97-$K97)</f>
        <v/>
      </c>
      <c r="M97" s="41" t="str">
        <f aca="false">IF($A97="","",SUMIFS(业务流水!$H$5:$H$1504,业务流水!$E$5:$E$1504,$B$3,业务流水!$D$5:$D$1504,"我方收款",业务流水!$C$5:$C$1504,$A97,业务流水!$Z$5:$Z$1504,"是"))</f>
        <v/>
      </c>
      <c r="N97" s="43" t="str">
        <f aca="false">IF($A97="","",$K97-$M97)</f>
        <v/>
      </c>
      <c r="O97" s="41" t="str">
        <f aca="false">IF($A97="","",SUMIFS(业务流水!$H$5:$H$1504,业务流水!$F$5:$F$1504,$B$3,业务流水!$D$5:$D$1504,"管理费结算",业务流水!$C$5:$C$1504,$A97,业务流水!$Z$5:$Z$1504,"是"))</f>
        <v/>
      </c>
      <c r="P97" s="41" t="str">
        <f aca="false">IF($A97="","",SUMIFS(业务流水!$H$5:$H$1504,业务流水!$E$5:$E$1504,$B$3,业务流水!$D$5:$D$1504,"扣质保金",业务流水!$C$5:$C$1504,$A97,业务流水!$Z$5:$Z$1504,"是"))</f>
        <v/>
      </c>
      <c r="Q97" s="48" t="str">
        <f aca="false">IF($A97="","",IF(SUM($C97:$F97)+SUM($K97:$M97)=0,"无","有"))</f>
        <v/>
      </c>
    </row>
    <row r="98" customFormat="false" ht="15.75" hidden="false" customHeight="true" outlineLevel="0" collapsed="false">
      <c r="A98" s="32" t="str">
        <f aca="false">IF(项目档案!$A98="","",项目档案!$A98)</f>
        <v/>
      </c>
      <c r="B98" s="40" t="str">
        <f aca="false">IF($A98="","",项目档案!$B98)</f>
        <v/>
      </c>
      <c r="C98" s="41" t="str">
        <f aca="false">IF($A98="","",SUMIFS(业务流水!$H$5:$H$1504,业务流水!$E$5:$E$1504,$B$3,业务流水!$D$5:$D$1504,"销项开票",业务流水!$C$5:$C$1504,$A98,业务流水!$Z$5:$Z$1504,"是"))</f>
        <v/>
      </c>
      <c r="D98" s="41" t="str">
        <f aca="false">IF($A98="","",SUMIFS(业务流水!$O$5:$O$1504,业务流水!$E$5:$E$1504,$B$3,业务流水!$D$5:$D$1504,"销项开票",业务流水!$C$5:$C$1504,$A98,业务流水!$Z$5:$Z$1504,"是"))</f>
        <v/>
      </c>
      <c r="E98" s="41" t="str">
        <f aca="false">IF($A98="","",SUMIFS(业务流水!$P$5:$P$1504,业务流水!$E$5:$E$1504,$B$3,业务流水!$D$5:$D$1504,"销项开票",业务流水!$C$5:$C$1504,$A98,业务流水!$Z$5:$Z$1504,"是"))</f>
        <v/>
      </c>
      <c r="F98" s="41" t="str">
        <f aca="false">IF($A98="","",SUMIFS(业务流水!$H$5:$H$1504,业务流水!$F$5:$F$1504,$B$3,业务流水!$D$5:$D$1504,"成本票",业务流水!$C$5:$C$1504,$A98,业务流水!$Z$5:$Z$1504,"是")+SUMIFS(业务流水!$H$5:$H$1504,业务流水!$F$5:$F$1504,$B$3,业务流水!$D$5:$D$1504,"销项开票",业务流水!$C$5:$C$1504,$A98,业务流水!$Z$5:$Z$1504,"是"))</f>
        <v/>
      </c>
      <c r="G98" s="42" t="str">
        <f aca="false">IF($A98="","",$E98-$F98)</f>
        <v/>
      </c>
      <c r="H98" s="41" t="str">
        <f aca="false">IF($A98="","",SUMIFS(业务流水!$W$5:$W$1504,业务流水!$E$5:$E$1504,$B$3,业务流水!$D$5:$D$1504,"销项开票",业务流水!$C$5:$C$1504,$A98,业务流水!$Z$5:$Z$1504,"是"))</f>
        <v/>
      </c>
      <c r="I98" s="41" t="str">
        <f aca="false">IF($A98="","",SUMIFS(业务流水!$H$5:$H$1504,业务流水!$E$5:$E$1504,$B$3,业务流水!$D$5:$D$1504,"已交税",业务流水!$C$5:$C$1504,$A98,业务流水!$Z$5:$Z$1504,"是"))</f>
        <v/>
      </c>
      <c r="J98" s="42" t="str">
        <f aca="false">IF($A98="","",$H98-$I98)</f>
        <v/>
      </c>
      <c r="K98" s="41" t="str">
        <f aca="false">IF($A98="","",SUMIFS(业务流水!$H$5:$H$1504,业务流水!$F$5:$F$1504,$B$3,业务流水!$D$5:$D$1504,"挂靠代收",业务流水!$C$5:$C$1504,$A98,业务流水!$Z$5:$Z$1504,"是"))</f>
        <v/>
      </c>
      <c r="L98" s="42" t="str">
        <f aca="false">IF($A98="","",$C98-$K98)</f>
        <v/>
      </c>
      <c r="M98" s="41" t="str">
        <f aca="false">IF($A98="","",SUMIFS(业务流水!$H$5:$H$1504,业务流水!$E$5:$E$1504,$B$3,业务流水!$D$5:$D$1504,"我方收款",业务流水!$C$5:$C$1504,$A98,业务流水!$Z$5:$Z$1504,"是"))</f>
        <v/>
      </c>
      <c r="N98" s="43" t="str">
        <f aca="false">IF($A98="","",$K98-$M98)</f>
        <v/>
      </c>
      <c r="O98" s="41" t="str">
        <f aca="false">IF($A98="","",SUMIFS(业务流水!$H$5:$H$1504,业务流水!$F$5:$F$1504,$B$3,业务流水!$D$5:$D$1504,"管理费结算",业务流水!$C$5:$C$1504,$A98,业务流水!$Z$5:$Z$1504,"是"))</f>
        <v/>
      </c>
      <c r="P98" s="41" t="str">
        <f aca="false">IF($A98="","",SUMIFS(业务流水!$H$5:$H$1504,业务流水!$E$5:$E$1504,$B$3,业务流水!$D$5:$D$1504,"扣质保金",业务流水!$C$5:$C$1504,$A98,业务流水!$Z$5:$Z$1504,"是"))</f>
        <v/>
      </c>
      <c r="Q98" s="48" t="str">
        <f aca="false">IF($A98="","",IF(SUM($C98:$F98)+SUM($K98:$M98)=0,"无","有"))</f>
        <v/>
      </c>
    </row>
    <row r="99" customFormat="false" ht="15.75" hidden="false" customHeight="true" outlineLevel="0" collapsed="false">
      <c r="A99" s="32" t="str">
        <f aca="false">IF(项目档案!$A99="","",项目档案!$A99)</f>
        <v/>
      </c>
      <c r="B99" s="40" t="str">
        <f aca="false">IF($A99="","",项目档案!$B99)</f>
        <v/>
      </c>
      <c r="C99" s="41" t="str">
        <f aca="false">IF($A99="","",SUMIFS(业务流水!$H$5:$H$1504,业务流水!$E$5:$E$1504,$B$3,业务流水!$D$5:$D$1504,"销项开票",业务流水!$C$5:$C$1504,$A99,业务流水!$Z$5:$Z$1504,"是"))</f>
        <v/>
      </c>
      <c r="D99" s="41" t="str">
        <f aca="false">IF($A99="","",SUMIFS(业务流水!$O$5:$O$1504,业务流水!$E$5:$E$1504,$B$3,业务流水!$D$5:$D$1504,"销项开票",业务流水!$C$5:$C$1504,$A99,业务流水!$Z$5:$Z$1504,"是"))</f>
        <v/>
      </c>
      <c r="E99" s="41" t="str">
        <f aca="false">IF($A99="","",SUMIFS(业务流水!$P$5:$P$1504,业务流水!$E$5:$E$1504,$B$3,业务流水!$D$5:$D$1504,"销项开票",业务流水!$C$5:$C$1504,$A99,业务流水!$Z$5:$Z$1504,"是"))</f>
        <v/>
      </c>
      <c r="F99" s="41" t="str">
        <f aca="false">IF($A99="","",SUMIFS(业务流水!$H$5:$H$1504,业务流水!$F$5:$F$1504,$B$3,业务流水!$D$5:$D$1504,"成本票",业务流水!$C$5:$C$1504,$A99,业务流水!$Z$5:$Z$1504,"是")+SUMIFS(业务流水!$H$5:$H$1504,业务流水!$F$5:$F$1504,$B$3,业务流水!$D$5:$D$1504,"销项开票",业务流水!$C$5:$C$1504,$A99,业务流水!$Z$5:$Z$1504,"是"))</f>
        <v/>
      </c>
      <c r="G99" s="42" t="str">
        <f aca="false">IF($A99="","",$E99-$F99)</f>
        <v/>
      </c>
      <c r="H99" s="41" t="str">
        <f aca="false">IF($A99="","",SUMIFS(业务流水!$W$5:$W$1504,业务流水!$E$5:$E$1504,$B$3,业务流水!$D$5:$D$1504,"销项开票",业务流水!$C$5:$C$1504,$A99,业务流水!$Z$5:$Z$1504,"是"))</f>
        <v/>
      </c>
      <c r="I99" s="41" t="str">
        <f aca="false">IF($A99="","",SUMIFS(业务流水!$H$5:$H$1504,业务流水!$E$5:$E$1504,$B$3,业务流水!$D$5:$D$1504,"已交税",业务流水!$C$5:$C$1504,$A99,业务流水!$Z$5:$Z$1504,"是"))</f>
        <v/>
      </c>
      <c r="J99" s="42" t="str">
        <f aca="false">IF($A99="","",$H99-$I99)</f>
        <v/>
      </c>
      <c r="K99" s="41" t="str">
        <f aca="false">IF($A99="","",SUMIFS(业务流水!$H$5:$H$1504,业务流水!$F$5:$F$1504,$B$3,业务流水!$D$5:$D$1504,"挂靠代收",业务流水!$C$5:$C$1504,$A99,业务流水!$Z$5:$Z$1504,"是"))</f>
        <v/>
      </c>
      <c r="L99" s="42" t="str">
        <f aca="false">IF($A99="","",$C99-$K99)</f>
        <v/>
      </c>
      <c r="M99" s="41" t="str">
        <f aca="false">IF($A99="","",SUMIFS(业务流水!$H$5:$H$1504,业务流水!$E$5:$E$1504,$B$3,业务流水!$D$5:$D$1504,"我方收款",业务流水!$C$5:$C$1504,$A99,业务流水!$Z$5:$Z$1504,"是"))</f>
        <v/>
      </c>
      <c r="N99" s="43" t="str">
        <f aca="false">IF($A99="","",$K99-$M99)</f>
        <v/>
      </c>
      <c r="O99" s="41" t="str">
        <f aca="false">IF($A99="","",SUMIFS(业务流水!$H$5:$H$1504,业务流水!$F$5:$F$1504,$B$3,业务流水!$D$5:$D$1504,"管理费结算",业务流水!$C$5:$C$1504,$A99,业务流水!$Z$5:$Z$1504,"是"))</f>
        <v/>
      </c>
      <c r="P99" s="41" t="str">
        <f aca="false">IF($A99="","",SUMIFS(业务流水!$H$5:$H$1504,业务流水!$E$5:$E$1504,$B$3,业务流水!$D$5:$D$1504,"扣质保金",业务流水!$C$5:$C$1504,$A99,业务流水!$Z$5:$Z$1504,"是"))</f>
        <v/>
      </c>
      <c r="Q99" s="48" t="str">
        <f aca="false">IF($A99="","",IF(SUM($C99:$F99)+SUM($K99:$M99)=0,"无","有"))</f>
        <v/>
      </c>
    </row>
    <row r="100" customFormat="false" ht="15.75" hidden="false" customHeight="true" outlineLevel="0" collapsed="false">
      <c r="A100" s="32" t="str">
        <f aca="false">IF(项目档案!$A100="","",项目档案!$A100)</f>
        <v/>
      </c>
      <c r="B100" s="40" t="str">
        <f aca="false">IF($A100="","",项目档案!$B100)</f>
        <v/>
      </c>
      <c r="C100" s="41" t="str">
        <f aca="false">IF($A100="","",SUMIFS(业务流水!$H$5:$H$1504,业务流水!$E$5:$E$1504,$B$3,业务流水!$D$5:$D$1504,"销项开票",业务流水!$C$5:$C$1504,$A100,业务流水!$Z$5:$Z$1504,"是"))</f>
        <v/>
      </c>
      <c r="D100" s="41" t="str">
        <f aca="false">IF($A100="","",SUMIFS(业务流水!$O$5:$O$1504,业务流水!$E$5:$E$1504,$B$3,业务流水!$D$5:$D$1504,"销项开票",业务流水!$C$5:$C$1504,$A100,业务流水!$Z$5:$Z$1504,"是"))</f>
        <v/>
      </c>
      <c r="E100" s="41" t="str">
        <f aca="false">IF($A100="","",SUMIFS(业务流水!$P$5:$P$1504,业务流水!$E$5:$E$1504,$B$3,业务流水!$D$5:$D$1504,"销项开票",业务流水!$C$5:$C$1504,$A100,业务流水!$Z$5:$Z$1504,"是"))</f>
        <v/>
      </c>
      <c r="F100" s="41" t="str">
        <f aca="false">IF($A100="","",SUMIFS(业务流水!$H$5:$H$1504,业务流水!$F$5:$F$1504,$B$3,业务流水!$D$5:$D$1504,"成本票",业务流水!$C$5:$C$1504,$A100,业务流水!$Z$5:$Z$1504,"是")+SUMIFS(业务流水!$H$5:$H$1504,业务流水!$F$5:$F$1504,$B$3,业务流水!$D$5:$D$1504,"销项开票",业务流水!$C$5:$C$1504,$A100,业务流水!$Z$5:$Z$1504,"是"))</f>
        <v/>
      </c>
      <c r="G100" s="42" t="str">
        <f aca="false">IF($A100="","",$E100-$F100)</f>
        <v/>
      </c>
      <c r="H100" s="41" t="str">
        <f aca="false">IF($A100="","",SUMIFS(业务流水!$W$5:$W$1504,业务流水!$E$5:$E$1504,$B$3,业务流水!$D$5:$D$1504,"销项开票",业务流水!$C$5:$C$1504,$A100,业务流水!$Z$5:$Z$1504,"是"))</f>
        <v/>
      </c>
      <c r="I100" s="41" t="str">
        <f aca="false">IF($A100="","",SUMIFS(业务流水!$H$5:$H$1504,业务流水!$E$5:$E$1504,$B$3,业务流水!$D$5:$D$1504,"已交税",业务流水!$C$5:$C$1504,$A100,业务流水!$Z$5:$Z$1504,"是"))</f>
        <v/>
      </c>
      <c r="J100" s="42" t="str">
        <f aca="false">IF($A100="","",$H100-$I100)</f>
        <v/>
      </c>
      <c r="K100" s="41" t="str">
        <f aca="false">IF($A100="","",SUMIFS(业务流水!$H$5:$H$1504,业务流水!$F$5:$F$1504,$B$3,业务流水!$D$5:$D$1504,"挂靠代收",业务流水!$C$5:$C$1504,$A100,业务流水!$Z$5:$Z$1504,"是"))</f>
        <v/>
      </c>
      <c r="L100" s="42" t="str">
        <f aca="false">IF($A100="","",$C100-$K100)</f>
        <v/>
      </c>
      <c r="M100" s="41" t="str">
        <f aca="false">IF($A100="","",SUMIFS(业务流水!$H$5:$H$1504,业务流水!$E$5:$E$1504,$B$3,业务流水!$D$5:$D$1504,"我方收款",业务流水!$C$5:$C$1504,$A100,业务流水!$Z$5:$Z$1504,"是"))</f>
        <v/>
      </c>
      <c r="N100" s="43" t="str">
        <f aca="false">IF($A100="","",$K100-$M100)</f>
        <v/>
      </c>
      <c r="O100" s="41" t="str">
        <f aca="false">IF($A100="","",SUMIFS(业务流水!$H$5:$H$1504,业务流水!$F$5:$F$1504,$B$3,业务流水!$D$5:$D$1504,"管理费结算",业务流水!$C$5:$C$1504,$A100,业务流水!$Z$5:$Z$1504,"是"))</f>
        <v/>
      </c>
      <c r="P100" s="41" t="str">
        <f aca="false">IF($A100="","",SUMIFS(业务流水!$H$5:$H$1504,业务流水!$E$5:$E$1504,$B$3,业务流水!$D$5:$D$1504,"扣质保金",业务流水!$C$5:$C$1504,$A100,业务流水!$Z$5:$Z$1504,"是"))</f>
        <v/>
      </c>
      <c r="Q100" s="48" t="str">
        <f aca="false">IF($A100="","",IF(SUM($C100:$F100)+SUM($K100:$M100)=0,"无","有"))</f>
        <v/>
      </c>
    </row>
    <row r="101" customFormat="false" ht="15.75" hidden="false" customHeight="true" outlineLevel="0" collapsed="false">
      <c r="A101" s="32" t="str">
        <f aca="false">IF(项目档案!$A101="","",项目档案!$A101)</f>
        <v/>
      </c>
      <c r="B101" s="40" t="str">
        <f aca="false">IF($A101="","",项目档案!$B101)</f>
        <v/>
      </c>
      <c r="C101" s="41" t="str">
        <f aca="false">IF($A101="","",SUMIFS(业务流水!$H$5:$H$1504,业务流水!$E$5:$E$1504,$B$3,业务流水!$D$5:$D$1504,"销项开票",业务流水!$C$5:$C$1504,$A101,业务流水!$Z$5:$Z$1504,"是"))</f>
        <v/>
      </c>
      <c r="D101" s="41" t="str">
        <f aca="false">IF($A101="","",SUMIFS(业务流水!$O$5:$O$1504,业务流水!$E$5:$E$1504,$B$3,业务流水!$D$5:$D$1504,"销项开票",业务流水!$C$5:$C$1504,$A101,业务流水!$Z$5:$Z$1504,"是"))</f>
        <v/>
      </c>
      <c r="E101" s="41" t="str">
        <f aca="false">IF($A101="","",SUMIFS(业务流水!$P$5:$P$1504,业务流水!$E$5:$E$1504,$B$3,业务流水!$D$5:$D$1504,"销项开票",业务流水!$C$5:$C$1504,$A101,业务流水!$Z$5:$Z$1504,"是"))</f>
        <v/>
      </c>
      <c r="F101" s="41" t="str">
        <f aca="false">IF($A101="","",SUMIFS(业务流水!$H$5:$H$1504,业务流水!$F$5:$F$1504,$B$3,业务流水!$D$5:$D$1504,"成本票",业务流水!$C$5:$C$1504,$A101,业务流水!$Z$5:$Z$1504,"是")+SUMIFS(业务流水!$H$5:$H$1504,业务流水!$F$5:$F$1504,$B$3,业务流水!$D$5:$D$1504,"销项开票",业务流水!$C$5:$C$1504,$A101,业务流水!$Z$5:$Z$1504,"是"))</f>
        <v/>
      </c>
      <c r="G101" s="42" t="str">
        <f aca="false">IF($A101="","",$E101-$F101)</f>
        <v/>
      </c>
      <c r="H101" s="41" t="str">
        <f aca="false">IF($A101="","",SUMIFS(业务流水!$W$5:$W$1504,业务流水!$E$5:$E$1504,$B$3,业务流水!$D$5:$D$1504,"销项开票",业务流水!$C$5:$C$1504,$A101,业务流水!$Z$5:$Z$1504,"是"))</f>
        <v/>
      </c>
      <c r="I101" s="41" t="str">
        <f aca="false">IF($A101="","",SUMIFS(业务流水!$H$5:$H$1504,业务流水!$E$5:$E$1504,$B$3,业务流水!$D$5:$D$1504,"已交税",业务流水!$C$5:$C$1504,$A101,业务流水!$Z$5:$Z$1504,"是"))</f>
        <v/>
      </c>
      <c r="J101" s="42" t="str">
        <f aca="false">IF($A101="","",$H101-$I101)</f>
        <v/>
      </c>
      <c r="K101" s="41" t="str">
        <f aca="false">IF($A101="","",SUMIFS(业务流水!$H$5:$H$1504,业务流水!$F$5:$F$1504,$B$3,业务流水!$D$5:$D$1504,"挂靠代收",业务流水!$C$5:$C$1504,$A101,业务流水!$Z$5:$Z$1504,"是"))</f>
        <v/>
      </c>
      <c r="L101" s="42" t="str">
        <f aca="false">IF($A101="","",$C101-$K101)</f>
        <v/>
      </c>
      <c r="M101" s="41" t="str">
        <f aca="false">IF($A101="","",SUMIFS(业务流水!$H$5:$H$1504,业务流水!$E$5:$E$1504,$B$3,业务流水!$D$5:$D$1504,"我方收款",业务流水!$C$5:$C$1504,$A101,业务流水!$Z$5:$Z$1504,"是"))</f>
        <v/>
      </c>
      <c r="N101" s="43" t="str">
        <f aca="false">IF($A101="","",$K101-$M101)</f>
        <v/>
      </c>
      <c r="O101" s="41" t="str">
        <f aca="false">IF($A101="","",SUMIFS(业务流水!$H$5:$H$1504,业务流水!$F$5:$F$1504,$B$3,业务流水!$D$5:$D$1504,"管理费结算",业务流水!$C$5:$C$1504,$A101,业务流水!$Z$5:$Z$1504,"是"))</f>
        <v/>
      </c>
      <c r="P101" s="41" t="str">
        <f aca="false">IF($A101="","",SUMIFS(业务流水!$H$5:$H$1504,业务流水!$E$5:$E$1504,$B$3,业务流水!$D$5:$D$1504,"扣质保金",业务流水!$C$5:$C$1504,$A101,业务流水!$Z$5:$Z$1504,"是"))</f>
        <v/>
      </c>
      <c r="Q101" s="48" t="str">
        <f aca="false">IF($A101="","",IF(SUM($C101:$F101)+SUM($K101:$M101)=0,"无","有"))</f>
        <v/>
      </c>
    </row>
    <row r="102" customFormat="false" ht="15.75" hidden="false" customHeight="true" outlineLevel="0" collapsed="false">
      <c r="A102" s="32" t="str">
        <f aca="false">IF(项目档案!$A102="","",项目档案!$A102)</f>
        <v/>
      </c>
      <c r="B102" s="40" t="str">
        <f aca="false">IF($A102="","",项目档案!$B102)</f>
        <v/>
      </c>
      <c r="C102" s="41" t="str">
        <f aca="false">IF($A102="","",SUMIFS(业务流水!$H$5:$H$1504,业务流水!$E$5:$E$1504,$B$3,业务流水!$D$5:$D$1504,"销项开票",业务流水!$C$5:$C$1504,$A102,业务流水!$Z$5:$Z$1504,"是"))</f>
        <v/>
      </c>
      <c r="D102" s="41" t="str">
        <f aca="false">IF($A102="","",SUMIFS(业务流水!$O$5:$O$1504,业务流水!$E$5:$E$1504,$B$3,业务流水!$D$5:$D$1504,"销项开票",业务流水!$C$5:$C$1504,$A102,业务流水!$Z$5:$Z$1504,"是"))</f>
        <v/>
      </c>
      <c r="E102" s="41" t="str">
        <f aca="false">IF($A102="","",SUMIFS(业务流水!$P$5:$P$1504,业务流水!$E$5:$E$1504,$B$3,业务流水!$D$5:$D$1504,"销项开票",业务流水!$C$5:$C$1504,$A102,业务流水!$Z$5:$Z$1504,"是"))</f>
        <v/>
      </c>
      <c r="F102" s="41" t="str">
        <f aca="false">IF($A102="","",SUMIFS(业务流水!$H$5:$H$1504,业务流水!$F$5:$F$1504,$B$3,业务流水!$D$5:$D$1504,"成本票",业务流水!$C$5:$C$1504,$A102,业务流水!$Z$5:$Z$1504,"是")+SUMIFS(业务流水!$H$5:$H$1504,业务流水!$F$5:$F$1504,$B$3,业务流水!$D$5:$D$1504,"销项开票",业务流水!$C$5:$C$1504,$A102,业务流水!$Z$5:$Z$1504,"是"))</f>
        <v/>
      </c>
      <c r="G102" s="42" t="str">
        <f aca="false">IF($A102="","",$E102-$F102)</f>
        <v/>
      </c>
      <c r="H102" s="41" t="str">
        <f aca="false">IF($A102="","",SUMIFS(业务流水!$W$5:$W$1504,业务流水!$E$5:$E$1504,$B$3,业务流水!$D$5:$D$1504,"销项开票",业务流水!$C$5:$C$1504,$A102,业务流水!$Z$5:$Z$1504,"是"))</f>
        <v/>
      </c>
      <c r="I102" s="41" t="str">
        <f aca="false">IF($A102="","",SUMIFS(业务流水!$H$5:$H$1504,业务流水!$E$5:$E$1504,$B$3,业务流水!$D$5:$D$1504,"已交税",业务流水!$C$5:$C$1504,$A102,业务流水!$Z$5:$Z$1504,"是"))</f>
        <v/>
      </c>
      <c r="J102" s="42" t="str">
        <f aca="false">IF($A102="","",$H102-$I102)</f>
        <v/>
      </c>
      <c r="K102" s="41" t="str">
        <f aca="false">IF($A102="","",SUMIFS(业务流水!$H$5:$H$1504,业务流水!$F$5:$F$1504,$B$3,业务流水!$D$5:$D$1504,"挂靠代收",业务流水!$C$5:$C$1504,$A102,业务流水!$Z$5:$Z$1504,"是"))</f>
        <v/>
      </c>
      <c r="L102" s="42" t="str">
        <f aca="false">IF($A102="","",$C102-$K102)</f>
        <v/>
      </c>
      <c r="M102" s="41" t="str">
        <f aca="false">IF($A102="","",SUMIFS(业务流水!$H$5:$H$1504,业务流水!$E$5:$E$1504,$B$3,业务流水!$D$5:$D$1504,"我方收款",业务流水!$C$5:$C$1504,$A102,业务流水!$Z$5:$Z$1504,"是"))</f>
        <v/>
      </c>
      <c r="N102" s="43" t="str">
        <f aca="false">IF($A102="","",$K102-$M102)</f>
        <v/>
      </c>
      <c r="O102" s="41" t="str">
        <f aca="false">IF($A102="","",SUMIFS(业务流水!$H$5:$H$1504,业务流水!$F$5:$F$1504,$B$3,业务流水!$D$5:$D$1504,"管理费结算",业务流水!$C$5:$C$1504,$A102,业务流水!$Z$5:$Z$1504,"是"))</f>
        <v/>
      </c>
      <c r="P102" s="41" t="str">
        <f aca="false">IF($A102="","",SUMIFS(业务流水!$H$5:$H$1504,业务流水!$E$5:$E$1504,$B$3,业务流水!$D$5:$D$1504,"扣质保金",业务流水!$C$5:$C$1504,$A102,业务流水!$Z$5:$Z$1504,"是"))</f>
        <v/>
      </c>
      <c r="Q102" s="48" t="str">
        <f aca="false">IF($A102="","",IF(SUM($C102:$F102)+SUM($K102:$M102)=0,"无","有"))</f>
        <v/>
      </c>
    </row>
    <row r="103" customFormat="false" ht="15.75" hidden="false" customHeight="true" outlineLevel="0" collapsed="false">
      <c r="A103" s="32" t="str">
        <f aca="false">IF(项目档案!$A103="","",项目档案!$A103)</f>
        <v/>
      </c>
      <c r="B103" s="40" t="str">
        <f aca="false">IF($A103="","",项目档案!$B103)</f>
        <v/>
      </c>
      <c r="C103" s="41" t="str">
        <f aca="false">IF($A103="","",SUMIFS(业务流水!$H$5:$H$1504,业务流水!$E$5:$E$1504,$B$3,业务流水!$D$5:$D$1504,"销项开票",业务流水!$C$5:$C$1504,$A103,业务流水!$Z$5:$Z$1504,"是"))</f>
        <v/>
      </c>
      <c r="D103" s="41" t="str">
        <f aca="false">IF($A103="","",SUMIFS(业务流水!$O$5:$O$1504,业务流水!$E$5:$E$1504,$B$3,业务流水!$D$5:$D$1504,"销项开票",业务流水!$C$5:$C$1504,$A103,业务流水!$Z$5:$Z$1504,"是"))</f>
        <v/>
      </c>
      <c r="E103" s="41" t="str">
        <f aca="false">IF($A103="","",SUMIFS(业务流水!$P$5:$P$1504,业务流水!$E$5:$E$1504,$B$3,业务流水!$D$5:$D$1504,"销项开票",业务流水!$C$5:$C$1504,$A103,业务流水!$Z$5:$Z$1504,"是"))</f>
        <v/>
      </c>
      <c r="F103" s="41" t="str">
        <f aca="false">IF($A103="","",SUMIFS(业务流水!$H$5:$H$1504,业务流水!$F$5:$F$1504,$B$3,业务流水!$D$5:$D$1504,"成本票",业务流水!$C$5:$C$1504,$A103,业务流水!$Z$5:$Z$1504,"是")+SUMIFS(业务流水!$H$5:$H$1504,业务流水!$F$5:$F$1504,$B$3,业务流水!$D$5:$D$1504,"销项开票",业务流水!$C$5:$C$1504,$A103,业务流水!$Z$5:$Z$1504,"是"))</f>
        <v/>
      </c>
      <c r="G103" s="42" t="str">
        <f aca="false">IF($A103="","",$E103-$F103)</f>
        <v/>
      </c>
      <c r="H103" s="41" t="str">
        <f aca="false">IF($A103="","",SUMIFS(业务流水!$W$5:$W$1504,业务流水!$E$5:$E$1504,$B$3,业务流水!$D$5:$D$1504,"销项开票",业务流水!$C$5:$C$1504,$A103,业务流水!$Z$5:$Z$1504,"是"))</f>
        <v/>
      </c>
      <c r="I103" s="41" t="str">
        <f aca="false">IF($A103="","",SUMIFS(业务流水!$H$5:$H$1504,业务流水!$E$5:$E$1504,$B$3,业务流水!$D$5:$D$1504,"已交税",业务流水!$C$5:$C$1504,$A103,业务流水!$Z$5:$Z$1504,"是"))</f>
        <v/>
      </c>
      <c r="J103" s="42" t="str">
        <f aca="false">IF($A103="","",$H103-$I103)</f>
        <v/>
      </c>
      <c r="K103" s="41" t="str">
        <f aca="false">IF($A103="","",SUMIFS(业务流水!$H$5:$H$1504,业务流水!$F$5:$F$1504,$B$3,业务流水!$D$5:$D$1504,"挂靠代收",业务流水!$C$5:$C$1504,$A103,业务流水!$Z$5:$Z$1504,"是"))</f>
        <v/>
      </c>
      <c r="L103" s="42" t="str">
        <f aca="false">IF($A103="","",$C103-$K103)</f>
        <v/>
      </c>
      <c r="M103" s="41" t="str">
        <f aca="false">IF($A103="","",SUMIFS(业务流水!$H$5:$H$1504,业务流水!$E$5:$E$1504,$B$3,业务流水!$D$5:$D$1504,"我方收款",业务流水!$C$5:$C$1504,$A103,业务流水!$Z$5:$Z$1504,"是"))</f>
        <v/>
      </c>
      <c r="N103" s="43" t="str">
        <f aca="false">IF($A103="","",$K103-$M103)</f>
        <v/>
      </c>
      <c r="O103" s="41" t="str">
        <f aca="false">IF($A103="","",SUMIFS(业务流水!$H$5:$H$1504,业务流水!$F$5:$F$1504,$B$3,业务流水!$D$5:$D$1504,"管理费结算",业务流水!$C$5:$C$1504,$A103,业务流水!$Z$5:$Z$1504,"是"))</f>
        <v/>
      </c>
      <c r="P103" s="41" t="str">
        <f aca="false">IF($A103="","",SUMIFS(业务流水!$H$5:$H$1504,业务流水!$E$5:$E$1504,$B$3,业务流水!$D$5:$D$1504,"扣质保金",业务流水!$C$5:$C$1504,$A103,业务流水!$Z$5:$Z$1504,"是"))</f>
        <v/>
      </c>
      <c r="Q103" s="48" t="str">
        <f aca="false">IF($A103="","",IF(SUM($C103:$F103)+SUM($K103:$M103)=0,"无","有"))</f>
        <v/>
      </c>
    </row>
    <row r="104" customFormat="false" ht="15.75" hidden="false" customHeight="true" outlineLevel="0" collapsed="false">
      <c r="A104" s="32" t="str">
        <f aca="false">IF(项目档案!$A104="","",项目档案!$A104)</f>
        <v/>
      </c>
      <c r="B104" s="40" t="str">
        <f aca="false">IF($A104="","",项目档案!$B104)</f>
        <v/>
      </c>
      <c r="C104" s="41" t="str">
        <f aca="false">IF($A104="","",SUMIFS(业务流水!$H$5:$H$1504,业务流水!$E$5:$E$1504,$B$3,业务流水!$D$5:$D$1504,"销项开票",业务流水!$C$5:$C$1504,$A104,业务流水!$Z$5:$Z$1504,"是"))</f>
        <v/>
      </c>
      <c r="D104" s="41" t="str">
        <f aca="false">IF($A104="","",SUMIFS(业务流水!$O$5:$O$1504,业务流水!$E$5:$E$1504,$B$3,业务流水!$D$5:$D$1504,"销项开票",业务流水!$C$5:$C$1504,$A104,业务流水!$Z$5:$Z$1504,"是"))</f>
        <v/>
      </c>
      <c r="E104" s="41" t="str">
        <f aca="false">IF($A104="","",SUMIFS(业务流水!$P$5:$P$1504,业务流水!$E$5:$E$1504,$B$3,业务流水!$D$5:$D$1504,"销项开票",业务流水!$C$5:$C$1504,$A104,业务流水!$Z$5:$Z$1504,"是"))</f>
        <v/>
      </c>
      <c r="F104" s="41" t="str">
        <f aca="false">IF($A104="","",SUMIFS(业务流水!$H$5:$H$1504,业务流水!$F$5:$F$1504,$B$3,业务流水!$D$5:$D$1504,"成本票",业务流水!$C$5:$C$1504,$A104,业务流水!$Z$5:$Z$1504,"是")+SUMIFS(业务流水!$H$5:$H$1504,业务流水!$F$5:$F$1504,$B$3,业务流水!$D$5:$D$1504,"销项开票",业务流水!$C$5:$C$1504,$A104,业务流水!$Z$5:$Z$1504,"是"))</f>
        <v/>
      </c>
      <c r="G104" s="42" t="str">
        <f aca="false">IF($A104="","",$E104-$F104)</f>
        <v/>
      </c>
      <c r="H104" s="41" t="str">
        <f aca="false">IF($A104="","",SUMIFS(业务流水!$W$5:$W$1504,业务流水!$E$5:$E$1504,$B$3,业务流水!$D$5:$D$1504,"销项开票",业务流水!$C$5:$C$1504,$A104,业务流水!$Z$5:$Z$1504,"是"))</f>
        <v/>
      </c>
      <c r="I104" s="41" t="str">
        <f aca="false">IF($A104="","",SUMIFS(业务流水!$H$5:$H$1504,业务流水!$E$5:$E$1504,$B$3,业务流水!$D$5:$D$1504,"已交税",业务流水!$C$5:$C$1504,$A104,业务流水!$Z$5:$Z$1504,"是"))</f>
        <v/>
      </c>
      <c r="J104" s="42" t="str">
        <f aca="false">IF($A104="","",$H104-$I104)</f>
        <v/>
      </c>
      <c r="K104" s="41" t="str">
        <f aca="false">IF($A104="","",SUMIFS(业务流水!$H$5:$H$1504,业务流水!$F$5:$F$1504,$B$3,业务流水!$D$5:$D$1504,"挂靠代收",业务流水!$C$5:$C$1504,$A104,业务流水!$Z$5:$Z$1504,"是"))</f>
        <v/>
      </c>
      <c r="L104" s="42" t="str">
        <f aca="false">IF($A104="","",$C104-$K104)</f>
        <v/>
      </c>
      <c r="M104" s="41" t="str">
        <f aca="false">IF($A104="","",SUMIFS(业务流水!$H$5:$H$1504,业务流水!$E$5:$E$1504,$B$3,业务流水!$D$5:$D$1504,"我方收款",业务流水!$C$5:$C$1504,$A104,业务流水!$Z$5:$Z$1504,"是"))</f>
        <v/>
      </c>
      <c r="N104" s="43" t="str">
        <f aca="false">IF($A104="","",$K104-$M104)</f>
        <v/>
      </c>
      <c r="O104" s="41" t="str">
        <f aca="false">IF($A104="","",SUMIFS(业务流水!$H$5:$H$1504,业务流水!$F$5:$F$1504,$B$3,业务流水!$D$5:$D$1504,"管理费结算",业务流水!$C$5:$C$1504,$A104,业务流水!$Z$5:$Z$1504,"是"))</f>
        <v/>
      </c>
      <c r="P104" s="41" t="str">
        <f aca="false">IF($A104="","",SUMIFS(业务流水!$H$5:$H$1504,业务流水!$E$5:$E$1504,$B$3,业务流水!$D$5:$D$1504,"扣质保金",业务流水!$C$5:$C$1504,$A104,业务流水!$Z$5:$Z$1504,"是"))</f>
        <v/>
      </c>
      <c r="Q104" s="48" t="str">
        <f aca="false">IF($A104="","",IF(SUM($C104:$F104)+SUM($K104:$M104)=0,"无","有"))</f>
        <v/>
      </c>
    </row>
    <row r="105" customFormat="false" ht="15.75" hidden="false" customHeight="true" outlineLevel="0" collapsed="false">
      <c r="A105" s="32" t="str">
        <f aca="false">IF(项目档案!$A105="","",项目档案!$A105)</f>
        <v/>
      </c>
      <c r="B105" s="40" t="str">
        <f aca="false">IF($A105="","",项目档案!$B105)</f>
        <v/>
      </c>
      <c r="C105" s="41" t="str">
        <f aca="false">IF($A105="","",SUMIFS(业务流水!$H$5:$H$1504,业务流水!$E$5:$E$1504,$B$3,业务流水!$D$5:$D$1504,"销项开票",业务流水!$C$5:$C$1504,$A105,业务流水!$Z$5:$Z$1504,"是"))</f>
        <v/>
      </c>
      <c r="D105" s="41" t="str">
        <f aca="false">IF($A105="","",SUMIFS(业务流水!$O$5:$O$1504,业务流水!$E$5:$E$1504,$B$3,业务流水!$D$5:$D$1504,"销项开票",业务流水!$C$5:$C$1504,$A105,业务流水!$Z$5:$Z$1504,"是"))</f>
        <v/>
      </c>
      <c r="E105" s="41" t="str">
        <f aca="false">IF($A105="","",SUMIFS(业务流水!$P$5:$P$1504,业务流水!$E$5:$E$1504,$B$3,业务流水!$D$5:$D$1504,"销项开票",业务流水!$C$5:$C$1504,$A105,业务流水!$Z$5:$Z$1504,"是"))</f>
        <v/>
      </c>
      <c r="F105" s="41" t="str">
        <f aca="false">IF($A105="","",SUMIFS(业务流水!$H$5:$H$1504,业务流水!$F$5:$F$1504,$B$3,业务流水!$D$5:$D$1504,"成本票",业务流水!$C$5:$C$1504,$A105,业务流水!$Z$5:$Z$1504,"是")+SUMIFS(业务流水!$H$5:$H$1504,业务流水!$F$5:$F$1504,$B$3,业务流水!$D$5:$D$1504,"销项开票",业务流水!$C$5:$C$1504,$A105,业务流水!$Z$5:$Z$1504,"是"))</f>
        <v/>
      </c>
      <c r="G105" s="42" t="str">
        <f aca="false">IF($A105="","",$E105-$F105)</f>
        <v/>
      </c>
      <c r="H105" s="41" t="str">
        <f aca="false">IF($A105="","",SUMIFS(业务流水!$W$5:$W$1504,业务流水!$E$5:$E$1504,$B$3,业务流水!$D$5:$D$1504,"销项开票",业务流水!$C$5:$C$1504,$A105,业务流水!$Z$5:$Z$1504,"是"))</f>
        <v/>
      </c>
      <c r="I105" s="41" t="str">
        <f aca="false">IF($A105="","",SUMIFS(业务流水!$H$5:$H$1504,业务流水!$E$5:$E$1504,$B$3,业务流水!$D$5:$D$1504,"已交税",业务流水!$C$5:$C$1504,$A105,业务流水!$Z$5:$Z$1504,"是"))</f>
        <v/>
      </c>
      <c r="J105" s="42" t="str">
        <f aca="false">IF($A105="","",$H105-$I105)</f>
        <v/>
      </c>
      <c r="K105" s="41" t="str">
        <f aca="false">IF($A105="","",SUMIFS(业务流水!$H$5:$H$1504,业务流水!$F$5:$F$1504,$B$3,业务流水!$D$5:$D$1504,"挂靠代收",业务流水!$C$5:$C$1504,$A105,业务流水!$Z$5:$Z$1504,"是"))</f>
        <v/>
      </c>
      <c r="L105" s="42" t="str">
        <f aca="false">IF($A105="","",$C105-$K105)</f>
        <v/>
      </c>
      <c r="M105" s="41" t="str">
        <f aca="false">IF($A105="","",SUMIFS(业务流水!$H$5:$H$1504,业务流水!$E$5:$E$1504,$B$3,业务流水!$D$5:$D$1504,"我方收款",业务流水!$C$5:$C$1504,$A105,业务流水!$Z$5:$Z$1504,"是"))</f>
        <v/>
      </c>
      <c r="N105" s="43" t="str">
        <f aca="false">IF($A105="","",$K105-$M105)</f>
        <v/>
      </c>
      <c r="O105" s="41" t="str">
        <f aca="false">IF($A105="","",SUMIFS(业务流水!$H$5:$H$1504,业务流水!$F$5:$F$1504,$B$3,业务流水!$D$5:$D$1504,"管理费结算",业务流水!$C$5:$C$1504,$A105,业务流水!$Z$5:$Z$1504,"是"))</f>
        <v/>
      </c>
      <c r="P105" s="41" t="str">
        <f aca="false">IF($A105="","",SUMIFS(业务流水!$H$5:$H$1504,业务流水!$E$5:$E$1504,$B$3,业务流水!$D$5:$D$1504,"扣质保金",业务流水!$C$5:$C$1504,$A105,业务流水!$Z$5:$Z$1504,"是"))</f>
        <v/>
      </c>
      <c r="Q105" s="48" t="str">
        <f aca="false">IF($A105="","",IF(SUM($C105:$F105)+SUM($K105:$M105)=0,"无","有"))</f>
        <v/>
      </c>
    </row>
    <row r="106" customFormat="false" ht="15.75" hidden="false" customHeight="true" outlineLevel="0" collapsed="false">
      <c r="A106" s="32" t="str">
        <f aca="false">IF(项目档案!$A106="","",项目档案!$A106)</f>
        <v/>
      </c>
      <c r="B106" s="40" t="str">
        <f aca="false">IF($A106="","",项目档案!$B106)</f>
        <v/>
      </c>
      <c r="C106" s="41" t="str">
        <f aca="false">IF($A106="","",SUMIFS(业务流水!$H$5:$H$1504,业务流水!$E$5:$E$1504,$B$3,业务流水!$D$5:$D$1504,"销项开票",业务流水!$C$5:$C$1504,$A106,业务流水!$Z$5:$Z$1504,"是"))</f>
        <v/>
      </c>
      <c r="D106" s="41" t="str">
        <f aca="false">IF($A106="","",SUMIFS(业务流水!$O$5:$O$1504,业务流水!$E$5:$E$1504,$B$3,业务流水!$D$5:$D$1504,"销项开票",业务流水!$C$5:$C$1504,$A106,业务流水!$Z$5:$Z$1504,"是"))</f>
        <v/>
      </c>
      <c r="E106" s="41" t="str">
        <f aca="false">IF($A106="","",SUMIFS(业务流水!$P$5:$P$1504,业务流水!$E$5:$E$1504,$B$3,业务流水!$D$5:$D$1504,"销项开票",业务流水!$C$5:$C$1504,$A106,业务流水!$Z$5:$Z$1504,"是"))</f>
        <v/>
      </c>
      <c r="F106" s="41" t="str">
        <f aca="false">IF($A106="","",SUMIFS(业务流水!$H$5:$H$1504,业务流水!$F$5:$F$1504,$B$3,业务流水!$D$5:$D$1504,"成本票",业务流水!$C$5:$C$1504,$A106,业务流水!$Z$5:$Z$1504,"是")+SUMIFS(业务流水!$H$5:$H$1504,业务流水!$F$5:$F$1504,$B$3,业务流水!$D$5:$D$1504,"销项开票",业务流水!$C$5:$C$1504,$A106,业务流水!$Z$5:$Z$1504,"是"))</f>
        <v/>
      </c>
      <c r="G106" s="42" t="str">
        <f aca="false">IF($A106="","",$E106-$F106)</f>
        <v/>
      </c>
      <c r="H106" s="41" t="str">
        <f aca="false">IF($A106="","",SUMIFS(业务流水!$W$5:$W$1504,业务流水!$E$5:$E$1504,$B$3,业务流水!$D$5:$D$1504,"销项开票",业务流水!$C$5:$C$1504,$A106,业务流水!$Z$5:$Z$1504,"是"))</f>
        <v/>
      </c>
      <c r="I106" s="41" t="str">
        <f aca="false">IF($A106="","",SUMIFS(业务流水!$H$5:$H$1504,业务流水!$E$5:$E$1504,$B$3,业务流水!$D$5:$D$1504,"已交税",业务流水!$C$5:$C$1504,$A106,业务流水!$Z$5:$Z$1504,"是"))</f>
        <v/>
      </c>
      <c r="J106" s="42" t="str">
        <f aca="false">IF($A106="","",$H106-$I106)</f>
        <v/>
      </c>
      <c r="K106" s="41" t="str">
        <f aca="false">IF($A106="","",SUMIFS(业务流水!$H$5:$H$1504,业务流水!$F$5:$F$1504,$B$3,业务流水!$D$5:$D$1504,"挂靠代收",业务流水!$C$5:$C$1504,$A106,业务流水!$Z$5:$Z$1504,"是"))</f>
        <v/>
      </c>
      <c r="L106" s="42" t="str">
        <f aca="false">IF($A106="","",$C106-$K106)</f>
        <v/>
      </c>
      <c r="M106" s="41" t="str">
        <f aca="false">IF($A106="","",SUMIFS(业务流水!$H$5:$H$1504,业务流水!$E$5:$E$1504,$B$3,业务流水!$D$5:$D$1504,"我方收款",业务流水!$C$5:$C$1504,$A106,业务流水!$Z$5:$Z$1504,"是"))</f>
        <v/>
      </c>
      <c r="N106" s="43" t="str">
        <f aca="false">IF($A106="","",$K106-$M106)</f>
        <v/>
      </c>
      <c r="O106" s="41" t="str">
        <f aca="false">IF($A106="","",SUMIFS(业务流水!$H$5:$H$1504,业务流水!$F$5:$F$1504,$B$3,业务流水!$D$5:$D$1504,"管理费结算",业务流水!$C$5:$C$1504,$A106,业务流水!$Z$5:$Z$1504,"是"))</f>
        <v/>
      </c>
      <c r="P106" s="41" t="str">
        <f aca="false">IF($A106="","",SUMIFS(业务流水!$H$5:$H$1504,业务流水!$E$5:$E$1504,$B$3,业务流水!$D$5:$D$1504,"扣质保金",业务流水!$C$5:$C$1504,$A106,业务流水!$Z$5:$Z$1504,"是"))</f>
        <v/>
      </c>
      <c r="Q106" s="48" t="str">
        <f aca="false">IF($A106="","",IF(SUM($C106:$F106)+SUM($K106:$M106)=0,"无","有"))</f>
        <v/>
      </c>
    </row>
    <row r="107" customFormat="false" ht="15.75" hidden="false" customHeight="true" outlineLevel="0" collapsed="false">
      <c r="A107" s="32" t="str">
        <f aca="false">IF(项目档案!$A107="","",项目档案!$A107)</f>
        <v/>
      </c>
      <c r="B107" s="40" t="str">
        <f aca="false">IF($A107="","",项目档案!$B107)</f>
        <v/>
      </c>
      <c r="C107" s="41" t="str">
        <f aca="false">IF($A107="","",SUMIFS(业务流水!$H$5:$H$1504,业务流水!$E$5:$E$1504,$B$3,业务流水!$D$5:$D$1504,"销项开票",业务流水!$C$5:$C$1504,$A107,业务流水!$Z$5:$Z$1504,"是"))</f>
        <v/>
      </c>
      <c r="D107" s="41" t="str">
        <f aca="false">IF($A107="","",SUMIFS(业务流水!$O$5:$O$1504,业务流水!$E$5:$E$1504,$B$3,业务流水!$D$5:$D$1504,"销项开票",业务流水!$C$5:$C$1504,$A107,业务流水!$Z$5:$Z$1504,"是"))</f>
        <v/>
      </c>
      <c r="E107" s="41" t="str">
        <f aca="false">IF($A107="","",SUMIFS(业务流水!$P$5:$P$1504,业务流水!$E$5:$E$1504,$B$3,业务流水!$D$5:$D$1504,"销项开票",业务流水!$C$5:$C$1504,$A107,业务流水!$Z$5:$Z$1504,"是"))</f>
        <v/>
      </c>
      <c r="F107" s="41" t="str">
        <f aca="false">IF($A107="","",SUMIFS(业务流水!$H$5:$H$1504,业务流水!$F$5:$F$1504,$B$3,业务流水!$D$5:$D$1504,"成本票",业务流水!$C$5:$C$1504,$A107,业务流水!$Z$5:$Z$1504,"是")+SUMIFS(业务流水!$H$5:$H$1504,业务流水!$F$5:$F$1504,$B$3,业务流水!$D$5:$D$1504,"销项开票",业务流水!$C$5:$C$1504,$A107,业务流水!$Z$5:$Z$1504,"是"))</f>
        <v/>
      </c>
      <c r="G107" s="42" t="str">
        <f aca="false">IF($A107="","",$E107-$F107)</f>
        <v/>
      </c>
      <c r="H107" s="41" t="str">
        <f aca="false">IF($A107="","",SUMIFS(业务流水!$W$5:$W$1504,业务流水!$E$5:$E$1504,$B$3,业务流水!$D$5:$D$1504,"销项开票",业务流水!$C$5:$C$1504,$A107,业务流水!$Z$5:$Z$1504,"是"))</f>
        <v/>
      </c>
      <c r="I107" s="41" t="str">
        <f aca="false">IF($A107="","",SUMIFS(业务流水!$H$5:$H$1504,业务流水!$E$5:$E$1504,$B$3,业务流水!$D$5:$D$1504,"已交税",业务流水!$C$5:$C$1504,$A107,业务流水!$Z$5:$Z$1504,"是"))</f>
        <v/>
      </c>
      <c r="J107" s="42" t="str">
        <f aca="false">IF($A107="","",$H107-$I107)</f>
        <v/>
      </c>
      <c r="K107" s="41" t="str">
        <f aca="false">IF($A107="","",SUMIFS(业务流水!$H$5:$H$1504,业务流水!$F$5:$F$1504,$B$3,业务流水!$D$5:$D$1504,"挂靠代收",业务流水!$C$5:$C$1504,$A107,业务流水!$Z$5:$Z$1504,"是"))</f>
        <v/>
      </c>
      <c r="L107" s="42" t="str">
        <f aca="false">IF($A107="","",$C107-$K107)</f>
        <v/>
      </c>
      <c r="M107" s="41" t="str">
        <f aca="false">IF($A107="","",SUMIFS(业务流水!$H$5:$H$1504,业务流水!$E$5:$E$1504,$B$3,业务流水!$D$5:$D$1504,"我方收款",业务流水!$C$5:$C$1504,$A107,业务流水!$Z$5:$Z$1504,"是"))</f>
        <v/>
      </c>
      <c r="N107" s="43" t="str">
        <f aca="false">IF($A107="","",$K107-$M107)</f>
        <v/>
      </c>
      <c r="O107" s="41" t="str">
        <f aca="false">IF($A107="","",SUMIFS(业务流水!$H$5:$H$1504,业务流水!$F$5:$F$1504,$B$3,业务流水!$D$5:$D$1504,"管理费结算",业务流水!$C$5:$C$1504,$A107,业务流水!$Z$5:$Z$1504,"是"))</f>
        <v/>
      </c>
      <c r="P107" s="41" t="str">
        <f aca="false">IF($A107="","",SUMIFS(业务流水!$H$5:$H$1504,业务流水!$E$5:$E$1504,$B$3,业务流水!$D$5:$D$1504,"扣质保金",业务流水!$C$5:$C$1504,$A107,业务流水!$Z$5:$Z$1504,"是"))</f>
        <v/>
      </c>
      <c r="Q107" s="48" t="str">
        <f aca="false">IF($A107="","",IF(SUM($C107:$F107)+SUM($K107:$M107)=0,"无","有"))</f>
        <v/>
      </c>
    </row>
    <row r="108" customFormat="false" ht="15.75" hidden="false" customHeight="true" outlineLevel="0" collapsed="false">
      <c r="A108" s="32" t="str">
        <f aca="false">IF(项目档案!$A108="","",项目档案!$A108)</f>
        <v/>
      </c>
      <c r="B108" s="40" t="str">
        <f aca="false">IF($A108="","",项目档案!$B108)</f>
        <v/>
      </c>
      <c r="C108" s="41" t="str">
        <f aca="false">IF($A108="","",SUMIFS(业务流水!$H$5:$H$1504,业务流水!$E$5:$E$1504,$B$3,业务流水!$D$5:$D$1504,"销项开票",业务流水!$C$5:$C$1504,$A108,业务流水!$Z$5:$Z$1504,"是"))</f>
        <v/>
      </c>
      <c r="D108" s="41" t="str">
        <f aca="false">IF($A108="","",SUMIFS(业务流水!$O$5:$O$1504,业务流水!$E$5:$E$1504,$B$3,业务流水!$D$5:$D$1504,"销项开票",业务流水!$C$5:$C$1504,$A108,业务流水!$Z$5:$Z$1504,"是"))</f>
        <v/>
      </c>
      <c r="E108" s="41" t="str">
        <f aca="false">IF($A108="","",SUMIFS(业务流水!$P$5:$P$1504,业务流水!$E$5:$E$1504,$B$3,业务流水!$D$5:$D$1504,"销项开票",业务流水!$C$5:$C$1504,$A108,业务流水!$Z$5:$Z$1504,"是"))</f>
        <v/>
      </c>
      <c r="F108" s="41" t="str">
        <f aca="false">IF($A108="","",SUMIFS(业务流水!$H$5:$H$1504,业务流水!$F$5:$F$1504,$B$3,业务流水!$D$5:$D$1504,"成本票",业务流水!$C$5:$C$1504,$A108,业务流水!$Z$5:$Z$1504,"是")+SUMIFS(业务流水!$H$5:$H$1504,业务流水!$F$5:$F$1504,$B$3,业务流水!$D$5:$D$1504,"销项开票",业务流水!$C$5:$C$1504,$A108,业务流水!$Z$5:$Z$1504,"是"))</f>
        <v/>
      </c>
      <c r="G108" s="42" t="str">
        <f aca="false">IF($A108="","",$E108-$F108)</f>
        <v/>
      </c>
      <c r="H108" s="41" t="str">
        <f aca="false">IF($A108="","",SUMIFS(业务流水!$W$5:$W$1504,业务流水!$E$5:$E$1504,$B$3,业务流水!$D$5:$D$1504,"销项开票",业务流水!$C$5:$C$1504,$A108,业务流水!$Z$5:$Z$1504,"是"))</f>
        <v/>
      </c>
      <c r="I108" s="41" t="str">
        <f aca="false">IF($A108="","",SUMIFS(业务流水!$H$5:$H$1504,业务流水!$E$5:$E$1504,$B$3,业务流水!$D$5:$D$1504,"已交税",业务流水!$C$5:$C$1504,$A108,业务流水!$Z$5:$Z$1504,"是"))</f>
        <v/>
      </c>
      <c r="J108" s="42" t="str">
        <f aca="false">IF($A108="","",$H108-$I108)</f>
        <v/>
      </c>
      <c r="K108" s="41" t="str">
        <f aca="false">IF($A108="","",SUMIFS(业务流水!$H$5:$H$1504,业务流水!$F$5:$F$1504,$B$3,业务流水!$D$5:$D$1504,"挂靠代收",业务流水!$C$5:$C$1504,$A108,业务流水!$Z$5:$Z$1504,"是"))</f>
        <v/>
      </c>
      <c r="L108" s="42" t="str">
        <f aca="false">IF($A108="","",$C108-$K108)</f>
        <v/>
      </c>
      <c r="M108" s="41" t="str">
        <f aca="false">IF($A108="","",SUMIFS(业务流水!$H$5:$H$1504,业务流水!$E$5:$E$1504,$B$3,业务流水!$D$5:$D$1504,"我方收款",业务流水!$C$5:$C$1504,$A108,业务流水!$Z$5:$Z$1504,"是"))</f>
        <v/>
      </c>
      <c r="N108" s="43" t="str">
        <f aca="false">IF($A108="","",$K108-$M108)</f>
        <v/>
      </c>
      <c r="O108" s="41" t="str">
        <f aca="false">IF($A108="","",SUMIFS(业务流水!$H$5:$H$1504,业务流水!$F$5:$F$1504,$B$3,业务流水!$D$5:$D$1504,"管理费结算",业务流水!$C$5:$C$1504,$A108,业务流水!$Z$5:$Z$1504,"是"))</f>
        <v/>
      </c>
      <c r="P108" s="41" t="str">
        <f aca="false">IF($A108="","",SUMIFS(业务流水!$H$5:$H$1504,业务流水!$E$5:$E$1504,$B$3,业务流水!$D$5:$D$1504,"扣质保金",业务流水!$C$5:$C$1504,$A108,业务流水!$Z$5:$Z$1504,"是"))</f>
        <v/>
      </c>
      <c r="Q108" s="48" t="str">
        <f aca="false">IF($A108="","",IF(SUM($C108:$F108)+SUM($K108:$M108)=0,"无","有"))</f>
        <v/>
      </c>
    </row>
    <row r="109" customFormat="false" ht="15.75" hidden="false" customHeight="true" outlineLevel="0" collapsed="false">
      <c r="A109" s="32" t="str">
        <f aca="false">IF(项目档案!$A109="","",项目档案!$A109)</f>
        <v/>
      </c>
      <c r="B109" s="40" t="str">
        <f aca="false">IF($A109="","",项目档案!$B109)</f>
        <v/>
      </c>
      <c r="C109" s="41" t="str">
        <f aca="false">IF($A109="","",SUMIFS(业务流水!$H$5:$H$1504,业务流水!$E$5:$E$1504,$B$3,业务流水!$D$5:$D$1504,"销项开票",业务流水!$C$5:$C$1504,$A109,业务流水!$Z$5:$Z$1504,"是"))</f>
        <v/>
      </c>
      <c r="D109" s="41" t="str">
        <f aca="false">IF($A109="","",SUMIFS(业务流水!$O$5:$O$1504,业务流水!$E$5:$E$1504,$B$3,业务流水!$D$5:$D$1504,"销项开票",业务流水!$C$5:$C$1504,$A109,业务流水!$Z$5:$Z$1504,"是"))</f>
        <v/>
      </c>
      <c r="E109" s="41" t="str">
        <f aca="false">IF($A109="","",SUMIFS(业务流水!$P$5:$P$1504,业务流水!$E$5:$E$1504,$B$3,业务流水!$D$5:$D$1504,"销项开票",业务流水!$C$5:$C$1504,$A109,业务流水!$Z$5:$Z$1504,"是"))</f>
        <v/>
      </c>
      <c r="F109" s="41" t="str">
        <f aca="false">IF($A109="","",SUMIFS(业务流水!$H$5:$H$1504,业务流水!$F$5:$F$1504,$B$3,业务流水!$D$5:$D$1504,"成本票",业务流水!$C$5:$C$1504,$A109,业务流水!$Z$5:$Z$1504,"是")+SUMIFS(业务流水!$H$5:$H$1504,业务流水!$F$5:$F$1504,$B$3,业务流水!$D$5:$D$1504,"销项开票",业务流水!$C$5:$C$1504,$A109,业务流水!$Z$5:$Z$1504,"是"))</f>
        <v/>
      </c>
      <c r="G109" s="42" t="str">
        <f aca="false">IF($A109="","",$E109-$F109)</f>
        <v/>
      </c>
      <c r="H109" s="41" t="str">
        <f aca="false">IF($A109="","",SUMIFS(业务流水!$W$5:$W$1504,业务流水!$E$5:$E$1504,$B$3,业务流水!$D$5:$D$1504,"销项开票",业务流水!$C$5:$C$1504,$A109,业务流水!$Z$5:$Z$1504,"是"))</f>
        <v/>
      </c>
      <c r="I109" s="41" t="str">
        <f aca="false">IF($A109="","",SUMIFS(业务流水!$H$5:$H$1504,业务流水!$E$5:$E$1504,$B$3,业务流水!$D$5:$D$1504,"已交税",业务流水!$C$5:$C$1504,$A109,业务流水!$Z$5:$Z$1504,"是"))</f>
        <v/>
      </c>
      <c r="J109" s="42" t="str">
        <f aca="false">IF($A109="","",$H109-$I109)</f>
        <v/>
      </c>
      <c r="K109" s="41" t="str">
        <f aca="false">IF($A109="","",SUMIFS(业务流水!$H$5:$H$1504,业务流水!$F$5:$F$1504,$B$3,业务流水!$D$5:$D$1504,"挂靠代收",业务流水!$C$5:$C$1504,$A109,业务流水!$Z$5:$Z$1504,"是"))</f>
        <v/>
      </c>
      <c r="L109" s="42" t="str">
        <f aca="false">IF($A109="","",$C109-$K109)</f>
        <v/>
      </c>
      <c r="M109" s="41" t="str">
        <f aca="false">IF($A109="","",SUMIFS(业务流水!$H$5:$H$1504,业务流水!$E$5:$E$1504,$B$3,业务流水!$D$5:$D$1504,"我方收款",业务流水!$C$5:$C$1504,$A109,业务流水!$Z$5:$Z$1504,"是"))</f>
        <v/>
      </c>
      <c r="N109" s="43" t="str">
        <f aca="false">IF($A109="","",$K109-$M109)</f>
        <v/>
      </c>
      <c r="O109" s="41" t="str">
        <f aca="false">IF($A109="","",SUMIFS(业务流水!$H$5:$H$1504,业务流水!$F$5:$F$1504,$B$3,业务流水!$D$5:$D$1504,"管理费结算",业务流水!$C$5:$C$1504,$A109,业务流水!$Z$5:$Z$1504,"是"))</f>
        <v/>
      </c>
      <c r="P109" s="41" t="str">
        <f aca="false">IF($A109="","",SUMIFS(业务流水!$H$5:$H$1504,业务流水!$E$5:$E$1504,$B$3,业务流水!$D$5:$D$1504,"扣质保金",业务流水!$C$5:$C$1504,$A109,业务流水!$Z$5:$Z$1504,"是"))</f>
        <v/>
      </c>
      <c r="Q109" s="48" t="str">
        <f aca="false">IF($A109="","",IF(SUM($C109:$F109)+SUM($K109:$M109)=0,"无","有"))</f>
        <v/>
      </c>
    </row>
    <row r="110" customFormat="false" ht="15.75" hidden="false" customHeight="true" outlineLevel="0" collapsed="false">
      <c r="A110" s="32" t="str">
        <f aca="false">IF(项目档案!$A110="","",项目档案!$A110)</f>
        <v/>
      </c>
      <c r="B110" s="40" t="str">
        <f aca="false">IF($A110="","",项目档案!$B110)</f>
        <v/>
      </c>
      <c r="C110" s="41" t="str">
        <f aca="false">IF($A110="","",SUMIFS(业务流水!$H$5:$H$1504,业务流水!$E$5:$E$1504,$B$3,业务流水!$D$5:$D$1504,"销项开票",业务流水!$C$5:$C$1504,$A110,业务流水!$Z$5:$Z$1504,"是"))</f>
        <v/>
      </c>
      <c r="D110" s="41" t="str">
        <f aca="false">IF($A110="","",SUMIFS(业务流水!$O$5:$O$1504,业务流水!$E$5:$E$1504,$B$3,业务流水!$D$5:$D$1504,"销项开票",业务流水!$C$5:$C$1504,$A110,业务流水!$Z$5:$Z$1504,"是"))</f>
        <v/>
      </c>
      <c r="E110" s="41" t="str">
        <f aca="false">IF($A110="","",SUMIFS(业务流水!$P$5:$P$1504,业务流水!$E$5:$E$1504,$B$3,业务流水!$D$5:$D$1504,"销项开票",业务流水!$C$5:$C$1504,$A110,业务流水!$Z$5:$Z$1504,"是"))</f>
        <v/>
      </c>
      <c r="F110" s="41" t="str">
        <f aca="false">IF($A110="","",SUMIFS(业务流水!$H$5:$H$1504,业务流水!$F$5:$F$1504,$B$3,业务流水!$D$5:$D$1504,"成本票",业务流水!$C$5:$C$1504,$A110,业务流水!$Z$5:$Z$1504,"是")+SUMIFS(业务流水!$H$5:$H$1504,业务流水!$F$5:$F$1504,$B$3,业务流水!$D$5:$D$1504,"销项开票",业务流水!$C$5:$C$1504,$A110,业务流水!$Z$5:$Z$1504,"是"))</f>
        <v/>
      </c>
      <c r="G110" s="42" t="str">
        <f aca="false">IF($A110="","",$E110-$F110)</f>
        <v/>
      </c>
      <c r="H110" s="41" t="str">
        <f aca="false">IF($A110="","",SUMIFS(业务流水!$W$5:$W$1504,业务流水!$E$5:$E$1504,$B$3,业务流水!$D$5:$D$1504,"销项开票",业务流水!$C$5:$C$1504,$A110,业务流水!$Z$5:$Z$1504,"是"))</f>
        <v/>
      </c>
      <c r="I110" s="41" t="str">
        <f aca="false">IF($A110="","",SUMIFS(业务流水!$H$5:$H$1504,业务流水!$E$5:$E$1504,$B$3,业务流水!$D$5:$D$1504,"已交税",业务流水!$C$5:$C$1504,$A110,业务流水!$Z$5:$Z$1504,"是"))</f>
        <v/>
      </c>
      <c r="J110" s="42" t="str">
        <f aca="false">IF($A110="","",$H110-$I110)</f>
        <v/>
      </c>
      <c r="K110" s="41" t="str">
        <f aca="false">IF($A110="","",SUMIFS(业务流水!$H$5:$H$1504,业务流水!$F$5:$F$1504,$B$3,业务流水!$D$5:$D$1504,"挂靠代收",业务流水!$C$5:$C$1504,$A110,业务流水!$Z$5:$Z$1504,"是"))</f>
        <v/>
      </c>
      <c r="L110" s="42" t="str">
        <f aca="false">IF($A110="","",$C110-$K110)</f>
        <v/>
      </c>
      <c r="M110" s="41" t="str">
        <f aca="false">IF($A110="","",SUMIFS(业务流水!$H$5:$H$1504,业务流水!$E$5:$E$1504,$B$3,业务流水!$D$5:$D$1504,"我方收款",业务流水!$C$5:$C$1504,$A110,业务流水!$Z$5:$Z$1504,"是"))</f>
        <v/>
      </c>
      <c r="N110" s="43" t="str">
        <f aca="false">IF($A110="","",$K110-$M110)</f>
        <v/>
      </c>
      <c r="O110" s="41" t="str">
        <f aca="false">IF($A110="","",SUMIFS(业务流水!$H$5:$H$1504,业务流水!$F$5:$F$1504,$B$3,业务流水!$D$5:$D$1504,"管理费结算",业务流水!$C$5:$C$1504,$A110,业务流水!$Z$5:$Z$1504,"是"))</f>
        <v/>
      </c>
      <c r="P110" s="41" t="str">
        <f aca="false">IF($A110="","",SUMIFS(业务流水!$H$5:$H$1504,业务流水!$E$5:$E$1504,$B$3,业务流水!$D$5:$D$1504,"扣质保金",业务流水!$C$5:$C$1504,$A110,业务流水!$Z$5:$Z$1504,"是"))</f>
        <v/>
      </c>
      <c r="Q110" s="48" t="str">
        <f aca="false">IF($A110="","",IF(SUM($C110:$F110)+SUM($K110:$M110)=0,"无","有"))</f>
        <v/>
      </c>
    </row>
    <row r="111" customFormat="false" ht="15.75" hidden="false" customHeight="true" outlineLevel="0" collapsed="false">
      <c r="A111" s="32" t="str">
        <f aca="false">IF(项目档案!$A111="","",项目档案!$A111)</f>
        <v/>
      </c>
      <c r="B111" s="40" t="str">
        <f aca="false">IF($A111="","",项目档案!$B111)</f>
        <v/>
      </c>
      <c r="C111" s="41" t="str">
        <f aca="false">IF($A111="","",SUMIFS(业务流水!$H$5:$H$1504,业务流水!$E$5:$E$1504,$B$3,业务流水!$D$5:$D$1504,"销项开票",业务流水!$C$5:$C$1504,$A111,业务流水!$Z$5:$Z$1504,"是"))</f>
        <v/>
      </c>
      <c r="D111" s="41" t="str">
        <f aca="false">IF($A111="","",SUMIFS(业务流水!$O$5:$O$1504,业务流水!$E$5:$E$1504,$B$3,业务流水!$D$5:$D$1504,"销项开票",业务流水!$C$5:$C$1504,$A111,业务流水!$Z$5:$Z$1504,"是"))</f>
        <v/>
      </c>
      <c r="E111" s="41" t="str">
        <f aca="false">IF($A111="","",SUMIFS(业务流水!$P$5:$P$1504,业务流水!$E$5:$E$1504,$B$3,业务流水!$D$5:$D$1504,"销项开票",业务流水!$C$5:$C$1504,$A111,业务流水!$Z$5:$Z$1504,"是"))</f>
        <v/>
      </c>
      <c r="F111" s="41" t="str">
        <f aca="false">IF($A111="","",SUMIFS(业务流水!$H$5:$H$1504,业务流水!$F$5:$F$1504,$B$3,业务流水!$D$5:$D$1504,"成本票",业务流水!$C$5:$C$1504,$A111,业务流水!$Z$5:$Z$1504,"是")+SUMIFS(业务流水!$H$5:$H$1504,业务流水!$F$5:$F$1504,$B$3,业务流水!$D$5:$D$1504,"销项开票",业务流水!$C$5:$C$1504,$A111,业务流水!$Z$5:$Z$1504,"是"))</f>
        <v/>
      </c>
      <c r="G111" s="42" t="str">
        <f aca="false">IF($A111="","",$E111-$F111)</f>
        <v/>
      </c>
      <c r="H111" s="41" t="str">
        <f aca="false">IF($A111="","",SUMIFS(业务流水!$W$5:$W$1504,业务流水!$E$5:$E$1504,$B$3,业务流水!$D$5:$D$1504,"销项开票",业务流水!$C$5:$C$1504,$A111,业务流水!$Z$5:$Z$1504,"是"))</f>
        <v/>
      </c>
      <c r="I111" s="41" t="str">
        <f aca="false">IF($A111="","",SUMIFS(业务流水!$H$5:$H$1504,业务流水!$E$5:$E$1504,$B$3,业务流水!$D$5:$D$1504,"已交税",业务流水!$C$5:$C$1504,$A111,业务流水!$Z$5:$Z$1504,"是"))</f>
        <v/>
      </c>
      <c r="J111" s="42" t="str">
        <f aca="false">IF($A111="","",$H111-$I111)</f>
        <v/>
      </c>
      <c r="K111" s="41" t="str">
        <f aca="false">IF($A111="","",SUMIFS(业务流水!$H$5:$H$1504,业务流水!$F$5:$F$1504,$B$3,业务流水!$D$5:$D$1504,"挂靠代收",业务流水!$C$5:$C$1504,$A111,业务流水!$Z$5:$Z$1504,"是"))</f>
        <v/>
      </c>
      <c r="L111" s="42" t="str">
        <f aca="false">IF($A111="","",$C111-$K111)</f>
        <v/>
      </c>
      <c r="M111" s="41" t="str">
        <f aca="false">IF($A111="","",SUMIFS(业务流水!$H$5:$H$1504,业务流水!$E$5:$E$1504,$B$3,业务流水!$D$5:$D$1504,"我方收款",业务流水!$C$5:$C$1504,$A111,业务流水!$Z$5:$Z$1504,"是"))</f>
        <v/>
      </c>
      <c r="N111" s="43" t="str">
        <f aca="false">IF($A111="","",$K111-$M111)</f>
        <v/>
      </c>
      <c r="O111" s="41" t="str">
        <f aca="false">IF($A111="","",SUMIFS(业务流水!$H$5:$H$1504,业务流水!$F$5:$F$1504,$B$3,业务流水!$D$5:$D$1504,"管理费结算",业务流水!$C$5:$C$1504,$A111,业务流水!$Z$5:$Z$1504,"是"))</f>
        <v/>
      </c>
      <c r="P111" s="41" t="str">
        <f aca="false">IF($A111="","",SUMIFS(业务流水!$H$5:$H$1504,业务流水!$E$5:$E$1504,$B$3,业务流水!$D$5:$D$1504,"扣质保金",业务流水!$C$5:$C$1504,$A111,业务流水!$Z$5:$Z$1504,"是"))</f>
        <v/>
      </c>
      <c r="Q111" s="48" t="str">
        <f aca="false">IF($A111="","",IF(SUM($C111:$F111)+SUM($K111:$M111)=0,"无","有"))</f>
        <v/>
      </c>
    </row>
    <row r="112" customFormat="false" ht="15.75" hidden="false" customHeight="true" outlineLevel="0" collapsed="false">
      <c r="A112" s="32" t="str">
        <f aca="false">IF(项目档案!$A112="","",项目档案!$A112)</f>
        <v/>
      </c>
      <c r="B112" s="40" t="str">
        <f aca="false">IF($A112="","",项目档案!$B112)</f>
        <v/>
      </c>
      <c r="C112" s="41" t="str">
        <f aca="false">IF($A112="","",SUMIFS(业务流水!$H$5:$H$1504,业务流水!$E$5:$E$1504,$B$3,业务流水!$D$5:$D$1504,"销项开票",业务流水!$C$5:$C$1504,$A112,业务流水!$Z$5:$Z$1504,"是"))</f>
        <v/>
      </c>
      <c r="D112" s="41" t="str">
        <f aca="false">IF($A112="","",SUMIFS(业务流水!$O$5:$O$1504,业务流水!$E$5:$E$1504,$B$3,业务流水!$D$5:$D$1504,"销项开票",业务流水!$C$5:$C$1504,$A112,业务流水!$Z$5:$Z$1504,"是"))</f>
        <v/>
      </c>
      <c r="E112" s="41" t="str">
        <f aca="false">IF($A112="","",SUMIFS(业务流水!$P$5:$P$1504,业务流水!$E$5:$E$1504,$B$3,业务流水!$D$5:$D$1504,"销项开票",业务流水!$C$5:$C$1504,$A112,业务流水!$Z$5:$Z$1504,"是"))</f>
        <v/>
      </c>
      <c r="F112" s="41" t="str">
        <f aca="false">IF($A112="","",SUMIFS(业务流水!$H$5:$H$1504,业务流水!$F$5:$F$1504,$B$3,业务流水!$D$5:$D$1504,"成本票",业务流水!$C$5:$C$1504,$A112,业务流水!$Z$5:$Z$1504,"是")+SUMIFS(业务流水!$H$5:$H$1504,业务流水!$F$5:$F$1504,$B$3,业务流水!$D$5:$D$1504,"销项开票",业务流水!$C$5:$C$1504,$A112,业务流水!$Z$5:$Z$1504,"是"))</f>
        <v/>
      </c>
      <c r="G112" s="42" t="str">
        <f aca="false">IF($A112="","",$E112-$F112)</f>
        <v/>
      </c>
      <c r="H112" s="41" t="str">
        <f aca="false">IF($A112="","",SUMIFS(业务流水!$W$5:$W$1504,业务流水!$E$5:$E$1504,$B$3,业务流水!$D$5:$D$1504,"销项开票",业务流水!$C$5:$C$1504,$A112,业务流水!$Z$5:$Z$1504,"是"))</f>
        <v/>
      </c>
      <c r="I112" s="41" t="str">
        <f aca="false">IF($A112="","",SUMIFS(业务流水!$H$5:$H$1504,业务流水!$E$5:$E$1504,$B$3,业务流水!$D$5:$D$1504,"已交税",业务流水!$C$5:$C$1504,$A112,业务流水!$Z$5:$Z$1504,"是"))</f>
        <v/>
      </c>
      <c r="J112" s="42" t="str">
        <f aca="false">IF($A112="","",$H112-$I112)</f>
        <v/>
      </c>
      <c r="K112" s="41" t="str">
        <f aca="false">IF($A112="","",SUMIFS(业务流水!$H$5:$H$1504,业务流水!$F$5:$F$1504,$B$3,业务流水!$D$5:$D$1504,"挂靠代收",业务流水!$C$5:$C$1504,$A112,业务流水!$Z$5:$Z$1504,"是"))</f>
        <v/>
      </c>
      <c r="L112" s="42" t="str">
        <f aca="false">IF($A112="","",$C112-$K112)</f>
        <v/>
      </c>
      <c r="M112" s="41" t="str">
        <f aca="false">IF($A112="","",SUMIFS(业务流水!$H$5:$H$1504,业务流水!$E$5:$E$1504,$B$3,业务流水!$D$5:$D$1504,"我方收款",业务流水!$C$5:$C$1504,$A112,业务流水!$Z$5:$Z$1504,"是"))</f>
        <v/>
      </c>
      <c r="N112" s="43" t="str">
        <f aca="false">IF($A112="","",$K112-$M112)</f>
        <v/>
      </c>
      <c r="O112" s="41" t="str">
        <f aca="false">IF($A112="","",SUMIFS(业务流水!$H$5:$H$1504,业务流水!$F$5:$F$1504,$B$3,业务流水!$D$5:$D$1504,"管理费结算",业务流水!$C$5:$C$1504,$A112,业务流水!$Z$5:$Z$1504,"是"))</f>
        <v/>
      </c>
      <c r="P112" s="41" t="str">
        <f aca="false">IF($A112="","",SUMIFS(业务流水!$H$5:$H$1504,业务流水!$E$5:$E$1504,$B$3,业务流水!$D$5:$D$1504,"扣质保金",业务流水!$C$5:$C$1504,$A112,业务流水!$Z$5:$Z$1504,"是"))</f>
        <v/>
      </c>
      <c r="Q112" s="48" t="str">
        <f aca="false">IF($A112="","",IF(SUM($C112:$F112)+SUM($K112:$M112)=0,"无","有"))</f>
        <v/>
      </c>
    </row>
    <row r="113" customFormat="false" ht="15.75" hidden="false" customHeight="true" outlineLevel="0" collapsed="false">
      <c r="A113" s="32" t="str">
        <f aca="false">IF(项目档案!$A113="","",项目档案!$A113)</f>
        <v/>
      </c>
      <c r="B113" s="40" t="str">
        <f aca="false">IF($A113="","",项目档案!$B113)</f>
        <v/>
      </c>
      <c r="C113" s="41" t="str">
        <f aca="false">IF($A113="","",SUMIFS(业务流水!$H$5:$H$1504,业务流水!$E$5:$E$1504,$B$3,业务流水!$D$5:$D$1504,"销项开票",业务流水!$C$5:$C$1504,$A113,业务流水!$Z$5:$Z$1504,"是"))</f>
        <v/>
      </c>
      <c r="D113" s="41" t="str">
        <f aca="false">IF($A113="","",SUMIFS(业务流水!$O$5:$O$1504,业务流水!$E$5:$E$1504,$B$3,业务流水!$D$5:$D$1504,"销项开票",业务流水!$C$5:$C$1504,$A113,业务流水!$Z$5:$Z$1504,"是"))</f>
        <v/>
      </c>
      <c r="E113" s="41" t="str">
        <f aca="false">IF($A113="","",SUMIFS(业务流水!$P$5:$P$1504,业务流水!$E$5:$E$1504,$B$3,业务流水!$D$5:$D$1504,"销项开票",业务流水!$C$5:$C$1504,$A113,业务流水!$Z$5:$Z$1504,"是"))</f>
        <v/>
      </c>
      <c r="F113" s="41" t="str">
        <f aca="false">IF($A113="","",SUMIFS(业务流水!$H$5:$H$1504,业务流水!$F$5:$F$1504,$B$3,业务流水!$D$5:$D$1504,"成本票",业务流水!$C$5:$C$1504,$A113,业务流水!$Z$5:$Z$1504,"是")+SUMIFS(业务流水!$H$5:$H$1504,业务流水!$F$5:$F$1504,$B$3,业务流水!$D$5:$D$1504,"销项开票",业务流水!$C$5:$C$1504,$A113,业务流水!$Z$5:$Z$1504,"是"))</f>
        <v/>
      </c>
      <c r="G113" s="42" t="str">
        <f aca="false">IF($A113="","",$E113-$F113)</f>
        <v/>
      </c>
      <c r="H113" s="41" t="str">
        <f aca="false">IF($A113="","",SUMIFS(业务流水!$W$5:$W$1504,业务流水!$E$5:$E$1504,$B$3,业务流水!$D$5:$D$1504,"销项开票",业务流水!$C$5:$C$1504,$A113,业务流水!$Z$5:$Z$1504,"是"))</f>
        <v/>
      </c>
      <c r="I113" s="41" t="str">
        <f aca="false">IF($A113="","",SUMIFS(业务流水!$H$5:$H$1504,业务流水!$E$5:$E$1504,$B$3,业务流水!$D$5:$D$1504,"已交税",业务流水!$C$5:$C$1504,$A113,业务流水!$Z$5:$Z$1504,"是"))</f>
        <v/>
      </c>
      <c r="J113" s="42" t="str">
        <f aca="false">IF($A113="","",$H113-$I113)</f>
        <v/>
      </c>
      <c r="K113" s="41" t="str">
        <f aca="false">IF($A113="","",SUMIFS(业务流水!$H$5:$H$1504,业务流水!$F$5:$F$1504,$B$3,业务流水!$D$5:$D$1504,"挂靠代收",业务流水!$C$5:$C$1504,$A113,业务流水!$Z$5:$Z$1504,"是"))</f>
        <v/>
      </c>
      <c r="L113" s="42" t="str">
        <f aca="false">IF($A113="","",$C113-$K113)</f>
        <v/>
      </c>
      <c r="M113" s="41" t="str">
        <f aca="false">IF($A113="","",SUMIFS(业务流水!$H$5:$H$1504,业务流水!$E$5:$E$1504,$B$3,业务流水!$D$5:$D$1504,"我方收款",业务流水!$C$5:$C$1504,$A113,业务流水!$Z$5:$Z$1504,"是"))</f>
        <v/>
      </c>
      <c r="N113" s="43" t="str">
        <f aca="false">IF($A113="","",$K113-$M113)</f>
        <v/>
      </c>
      <c r="O113" s="41" t="str">
        <f aca="false">IF($A113="","",SUMIFS(业务流水!$H$5:$H$1504,业务流水!$F$5:$F$1504,$B$3,业务流水!$D$5:$D$1504,"管理费结算",业务流水!$C$5:$C$1504,$A113,业务流水!$Z$5:$Z$1504,"是"))</f>
        <v/>
      </c>
      <c r="P113" s="41" t="str">
        <f aca="false">IF($A113="","",SUMIFS(业务流水!$H$5:$H$1504,业务流水!$E$5:$E$1504,$B$3,业务流水!$D$5:$D$1504,"扣质保金",业务流水!$C$5:$C$1504,$A113,业务流水!$Z$5:$Z$1504,"是"))</f>
        <v/>
      </c>
      <c r="Q113" s="48" t="str">
        <f aca="false">IF($A113="","",IF(SUM($C113:$F113)+SUM($K113:$M113)=0,"无","有"))</f>
        <v/>
      </c>
    </row>
    <row r="114" customFormat="false" ht="15.75" hidden="false" customHeight="true" outlineLevel="0" collapsed="false">
      <c r="A114" s="32" t="str">
        <f aca="false">IF(项目档案!$A114="","",项目档案!$A114)</f>
        <v/>
      </c>
      <c r="B114" s="40" t="str">
        <f aca="false">IF($A114="","",项目档案!$B114)</f>
        <v/>
      </c>
      <c r="C114" s="41" t="str">
        <f aca="false">IF($A114="","",SUMIFS(业务流水!$H$5:$H$1504,业务流水!$E$5:$E$1504,$B$3,业务流水!$D$5:$D$1504,"销项开票",业务流水!$C$5:$C$1504,$A114,业务流水!$Z$5:$Z$1504,"是"))</f>
        <v/>
      </c>
      <c r="D114" s="41" t="str">
        <f aca="false">IF($A114="","",SUMIFS(业务流水!$O$5:$O$1504,业务流水!$E$5:$E$1504,$B$3,业务流水!$D$5:$D$1504,"销项开票",业务流水!$C$5:$C$1504,$A114,业务流水!$Z$5:$Z$1504,"是"))</f>
        <v/>
      </c>
      <c r="E114" s="41" t="str">
        <f aca="false">IF($A114="","",SUMIFS(业务流水!$P$5:$P$1504,业务流水!$E$5:$E$1504,$B$3,业务流水!$D$5:$D$1504,"销项开票",业务流水!$C$5:$C$1504,$A114,业务流水!$Z$5:$Z$1504,"是"))</f>
        <v/>
      </c>
      <c r="F114" s="41" t="str">
        <f aca="false">IF($A114="","",SUMIFS(业务流水!$H$5:$H$1504,业务流水!$F$5:$F$1504,$B$3,业务流水!$D$5:$D$1504,"成本票",业务流水!$C$5:$C$1504,$A114,业务流水!$Z$5:$Z$1504,"是")+SUMIFS(业务流水!$H$5:$H$1504,业务流水!$F$5:$F$1504,$B$3,业务流水!$D$5:$D$1504,"销项开票",业务流水!$C$5:$C$1504,$A114,业务流水!$Z$5:$Z$1504,"是"))</f>
        <v/>
      </c>
      <c r="G114" s="42" t="str">
        <f aca="false">IF($A114="","",$E114-$F114)</f>
        <v/>
      </c>
      <c r="H114" s="41" t="str">
        <f aca="false">IF($A114="","",SUMIFS(业务流水!$W$5:$W$1504,业务流水!$E$5:$E$1504,$B$3,业务流水!$D$5:$D$1504,"销项开票",业务流水!$C$5:$C$1504,$A114,业务流水!$Z$5:$Z$1504,"是"))</f>
        <v/>
      </c>
      <c r="I114" s="41" t="str">
        <f aca="false">IF($A114="","",SUMIFS(业务流水!$H$5:$H$1504,业务流水!$E$5:$E$1504,$B$3,业务流水!$D$5:$D$1504,"已交税",业务流水!$C$5:$C$1504,$A114,业务流水!$Z$5:$Z$1504,"是"))</f>
        <v/>
      </c>
      <c r="J114" s="42" t="str">
        <f aca="false">IF($A114="","",$H114-$I114)</f>
        <v/>
      </c>
      <c r="K114" s="41" t="str">
        <f aca="false">IF($A114="","",SUMIFS(业务流水!$H$5:$H$1504,业务流水!$F$5:$F$1504,$B$3,业务流水!$D$5:$D$1504,"挂靠代收",业务流水!$C$5:$C$1504,$A114,业务流水!$Z$5:$Z$1504,"是"))</f>
        <v/>
      </c>
      <c r="L114" s="42" t="str">
        <f aca="false">IF($A114="","",$C114-$K114)</f>
        <v/>
      </c>
      <c r="M114" s="41" t="str">
        <f aca="false">IF($A114="","",SUMIFS(业务流水!$H$5:$H$1504,业务流水!$E$5:$E$1504,$B$3,业务流水!$D$5:$D$1504,"我方收款",业务流水!$C$5:$C$1504,$A114,业务流水!$Z$5:$Z$1504,"是"))</f>
        <v/>
      </c>
      <c r="N114" s="43" t="str">
        <f aca="false">IF($A114="","",$K114-$M114)</f>
        <v/>
      </c>
      <c r="O114" s="41" t="str">
        <f aca="false">IF($A114="","",SUMIFS(业务流水!$H$5:$H$1504,业务流水!$F$5:$F$1504,$B$3,业务流水!$D$5:$D$1504,"管理费结算",业务流水!$C$5:$C$1504,$A114,业务流水!$Z$5:$Z$1504,"是"))</f>
        <v/>
      </c>
      <c r="P114" s="41" t="str">
        <f aca="false">IF($A114="","",SUMIFS(业务流水!$H$5:$H$1504,业务流水!$E$5:$E$1504,$B$3,业务流水!$D$5:$D$1504,"扣质保金",业务流水!$C$5:$C$1504,$A114,业务流水!$Z$5:$Z$1504,"是"))</f>
        <v/>
      </c>
      <c r="Q114" s="48" t="str">
        <f aca="false">IF($A114="","",IF(SUM($C114:$F114)+SUM($K114:$M114)=0,"无","有"))</f>
        <v/>
      </c>
    </row>
    <row r="115" customFormat="false" ht="15.75" hidden="false" customHeight="true" outlineLevel="0" collapsed="false">
      <c r="A115" s="32" t="str">
        <f aca="false">IF(项目档案!$A115="","",项目档案!$A115)</f>
        <v/>
      </c>
      <c r="B115" s="40" t="str">
        <f aca="false">IF($A115="","",项目档案!$B115)</f>
        <v/>
      </c>
      <c r="C115" s="41" t="str">
        <f aca="false">IF($A115="","",SUMIFS(业务流水!$H$5:$H$1504,业务流水!$E$5:$E$1504,$B$3,业务流水!$D$5:$D$1504,"销项开票",业务流水!$C$5:$C$1504,$A115,业务流水!$Z$5:$Z$1504,"是"))</f>
        <v/>
      </c>
      <c r="D115" s="41" t="str">
        <f aca="false">IF($A115="","",SUMIFS(业务流水!$O$5:$O$1504,业务流水!$E$5:$E$1504,$B$3,业务流水!$D$5:$D$1504,"销项开票",业务流水!$C$5:$C$1504,$A115,业务流水!$Z$5:$Z$1504,"是"))</f>
        <v/>
      </c>
      <c r="E115" s="41" t="str">
        <f aca="false">IF($A115="","",SUMIFS(业务流水!$P$5:$P$1504,业务流水!$E$5:$E$1504,$B$3,业务流水!$D$5:$D$1504,"销项开票",业务流水!$C$5:$C$1504,$A115,业务流水!$Z$5:$Z$1504,"是"))</f>
        <v/>
      </c>
      <c r="F115" s="41" t="str">
        <f aca="false">IF($A115="","",SUMIFS(业务流水!$H$5:$H$1504,业务流水!$F$5:$F$1504,$B$3,业务流水!$D$5:$D$1504,"成本票",业务流水!$C$5:$C$1504,$A115,业务流水!$Z$5:$Z$1504,"是")+SUMIFS(业务流水!$H$5:$H$1504,业务流水!$F$5:$F$1504,$B$3,业务流水!$D$5:$D$1504,"销项开票",业务流水!$C$5:$C$1504,$A115,业务流水!$Z$5:$Z$1504,"是"))</f>
        <v/>
      </c>
      <c r="G115" s="42" t="str">
        <f aca="false">IF($A115="","",$E115-$F115)</f>
        <v/>
      </c>
      <c r="H115" s="41" t="str">
        <f aca="false">IF($A115="","",SUMIFS(业务流水!$W$5:$W$1504,业务流水!$E$5:$E$1504,$B$3,业务流水!$D$5:$D$1504,"销项开票",业务流水!$C$5:$C$1504,$A115,业务流水!$Z$5:$Z$1504,"是"))</f>
        <v/>
      </c>
      <c r="I115" s="41" t="str">
        <f aca="false">IF($A115="","",SUMIFS(业务流水!$H$5:$H$1504,业务流水!$E$5:$E$1504,$B$3,业务流水!$D$5:$D$1504,"已交税",业务流水!$C$5:$C$1504,$A115,业务流水!$Z$5:$Z$1504,"是"))</f>
        <v/>
      </c>
      <c r="J115" s="42" t="str">
        <f aca="false">IF($A115="","",$H115-$I115)</f>
        <v/>
      </c>
      <c r="K115" s="41" t="str">
        <f aca="false">IF($A115="","",SUMIFS(业务流水!$H$5:$H$1504,业务流水!$F$5:$F$1504,$B$3,业务流水!$D$5:$D$1504,"挂靠代收",业务流水!$C$5:$C$1504,$A115,业务流水!$Z$5:$Z$1504,"是"))</f>
        <v/>
      </c>
      <c r="L115" s="42" t="str">
        <f aca="false">IF($A115="","",$C115-$K115)</f>
        <v/>
      </c>
      <c r="M115" s="41" t="str">
        <f aca="false">IF($A115="","",SUMIFS(业务流水!$H$5:$H$1504,业务流水!$E$5:$E$1504,$B$3,业务流水!$D$5:$D$1504,"我方收款",业务流水!$C$5:$C$1504,$A115,业务流水!$Z$5:$Z$1504,"是"))</f>
        <v/>
      </c>
      <c r="N115" s="43" t="str">
        <f aca="false">IF($A115="","",$K115-$M115)</f>
        <v/>
      </c>
      <c r="O115" s="41" t="str">
        <f aca="false">IF($A115="","",SUMIFS(业务流水!$H$5:$H$1504,业务流水!$F$5:$F$1504,$B$3,业务流水!$D$5:$D$1504,"管理费结算",业务流水!$C$5:$C$1504,$A115,业务流水!$Z$5:$Z$1504,"是"))</f>
        <v/>
      </c>
      <c r="P115" s="41" t="str">
        <f aca="false">IF($A115="","",SUMIFS(业务流水!$H$5:$H$1504,业务流水!$E$5:$E$1504,$B$3,业务流水!$D$5:$D$1504,"扣质保金",业务流水!$C$5:$C$1504,$A115,业务流水!$Z$5:$Z$1504,"是"))</f>
        <v/>
      </c>
      <c r="Q115" s="48" t="str">
        <f aca="false">IF($A115="","",IF(SUM($C115:$F115)+SUM($K115:$M115)=0,"无","有"))</f>
        <v/>
      </c>
    </row>
    <row r="116" customFormat="false" ht="15.75" hidden="false" customHeight="true" outlineLevel="0" collapsed="false">
      <c r="A116" s="32" t="str">
        <f aca="false">IF(项目档案!$A116="","",项目档案!$A116)</f>
        <v/>
      </c>
      <c r="B116" s="40" t="str">
        <f aca="false">IF($A116="","",项目档案!$B116)</f>
        <v/>
      </c>
      <c r="C116" s="41" t="str">
        <f aca="false">IF($A116="","",SUMIFS(业务流水!$H$5:$H$1504,业务流水!$E$5:$E$1504,$B$3,业务流水!$D$5:$D$1504,"销项开票",业务流水!$C$5:$C$1504,$A116,业务流水!$Z$5:$Z$1504,"是"))</f>
        <v/>
      </c>
      <c r="D116" s="41" t="str">
        <f aca="false">IF($A116="","",SUMIFS(业务流水!$O$5:$O$1504,业务流水!$E$5:$E$1504,$B$3,业务流水!$D$5:$D$1504,"销项开票",业务流水!$C$5:$C$1504,$A116,业务流水!$Z$5:$Z$1504,"是"))</f>
        <v/>
      </c>
      <c r="E116" s="41" t="str">
        <f aca="false">IF($A116="","",SUMIFS(业务流水!$P$5:$P$1504,业务流水!$E$5:$E$1504,$B$3,业务流水!$D$5:$D$1504,"销项开票",业务流水!$C$5:$C$1504,$A116,业务流水!$Z$5:$Z$1504,"是"))</f>
        <v/>
      </c>
      <c r="F116" s="41" t="str">
        <f aca="false">IF($A116="","",SUMIFS(业务流水!$H$5:$H$1504,业务流水!$F$5:$F$1504,$B$3,业务流水!$D$5:$D$1504,"成本票",业务流水!$C$5:$C$1504,$A116,业务流水!$Z$5:$Z$1504,"是")+SUMIFS(业务流水!$H$5:$H$1504,业务流水!$F$5:$F$1504,$B$3,业务流水!$D$5:$D$1504,"销项开票",业务流水!$C$5:$C$1504,$A116,业务流水!$Z$5:$Z$1504,"是"))</f>
        <v/>
      </c>
      <c r="G116" s="42" t="str">
        <f aca="false">IF($A116="","",$E116-$F116)</f>
        <v/>
      </c>
      <c r="H116" s="41" t="str">
        <f aca="false">IF($A116="","",SUMIFS(业务流水!$W$5:$W$1504,业务流水!$E$5:$E$1504,$B$3,业务流水!$D$5:$D$1504,"销项开票",业务流水!$C$5:$C$1504,$A116,业务流水!$Z$5:$Z$1504,"是"))</f>
        <v/>
      </c>
      <c r="I116" s="41" t="str">
        <f aca="false">IF($A116="","",SUMIFS(业务流水!$H$5:$H$1504,业务流水!$E$5:$E$1504,$B$3,业务流水!$D$5:$D$1504,"已交税",业务流水!$C$5:$C$1504,$A116,业务流水!$Z$5:$Z$1504,"是"))</f>
        <v/>
      </c>
      <c r="J116" s="42" t="str">
        <f aca="false">IF($A116="","",$H116-$I116)</f>
        <v/>
      </c>
      <c r="K116" s="41" t="str">
        <f aca="false">IF($A116="","",SUMIFS(业务流水!$H$5:$H$1504,业务流水!$F$5:$F$1504,$B$3,业务流水!$D$5:$D$1504,"挂靠代收",业务流水!$C$5:$C$1504,$A116,业务流水!$Z$5:$Z$1504,"是"))</f>
        <v/>
      </c>
      <c r="L116" s="42" t="str">
        <f aca="false">IF($A116="","",$C116-$K116)</f>
        <v/>
      </c>
      <c r="M116" s="41" t="str">
        <f aca="false">IF($A116="","",SUMIFS(业务流水!$H$5:$H$1504,业务流水!$E$5:$E$1504,$B$3,业务流水!$D$5:$D$1504,"我方收款",业务流水!$C$5:$C$1504,$A116,业务流水!$Z$5:$Z$1504,"是"))</f>
        <v/>
      </c>
      <c r="N116" s="43" t="str">
        <f aca="false">IF($A116="","",$K116-$M116)</f>
        <v/>
      </c>
      <c r="O116" s="41" t="str">
        <f aca="false">IF($A116="","",SUMIFS(业务流水!$H$5:$H$1504,业务流水!$F$5:$F$1504,$B$3,业务流水!$D$5:$D$1504,"管理费结算",业务流水!$C$5:$C$1504,$A116,业务流水!$Z$5:$Z$1504,"是"))</f>
        <v/>
      </c>
      <c r="P116" s="41" t="str">
        <f aca="false">IF($A116="","",SUMIFS(业务流水!$H$5:$H$1504,业务流水!$E$5:$E$1504,$B$3,业务流水!$D$5:$D$1504,"扣质保金",业务流水!$C$5:$C$1504,$A116,业务流水!$Z$5:$Z$1504,"是"))</f>
        <v/>
      </c>
      <c r="Q116" s="48" t="str">
        <f aca="false">IF($A116="","",IF(SUM($C116:$F116)+SUM($K116:$M116)=0,"无","有"))</f>
        <v/>
      </c>
    </row>
    <row r="117" customFormat="false" ht="15.75" hidden="false" customHeight="true" outlineLevel="0" collapsed="false">
      <c r="A117" s="32" t="str">
        <f aca="false">IF(项目档案!$A117="","",项目档案!$A117)</f>
        <v/>
      </c>
      <c r="B117" s="40" t="str">
        <f aca="false">IF($A117="","",项目档案!$B117)</f>
        <v/>
      </c>
      <c r="C117" s="41" t="str">
        <f aca="false">IF($A117="","",SUMIFS(业务流水!$H$5:$H$1504,业务流水!$E$5:$E$1504,$B$3,业务流水!$D$5:$D$1504,"销项开票",业务流水!$C$5:$C$1504,$A117,业务流水!$Z$5:$Z$1504,"是"))</f>
        <v/>
      </c>
      <c r="D117" s="41" t="str">
        <f aca="false">IF($A117="","",SUMIFS(业务流水!$O$5:$O$1504,业务流水!$E$5:$E$1504,$B$3,业务流水!$D$5:$D$1504,"销项开票",业务流水!$C$5:$C$1504,$A117,业务流水!$Z$5:$Z$1504,"是"))</f>
        <v/>
      </c>
      <c r="E117" s="41" t="str">
        <f aca="false">IF($A117="","",SUMIFS(业务流水!$P$5:$P$1504,业务流水!$E$5:$E$1504,$B$3,业务流水!$D$5:$D$1504,"销项开票",业务流水!$C$5:$C$1504,$A117,业务流水!$Z$5:$Z$1504,"是"))</f>
        <v/>
      </c>
      <c r="F117" s="41" t="str">
        <f aca="false">IF($A117="","",SUMIFS(业务流水!$H$5:$H$1504,业务流水!$F$5:$F$1504,$B$3,业务流水!$D$5:$D$1504,"成本票",业务流水!$C$5:$C$1504,$A117,业务流水!$Z$5:$Z$1504,"是")+SUMIFS(业务流水!$H$5:$H$1504,业务流水!$F$5:$F$1504,$B$3,业务流水!$D$5:$D$1504,"销项开票",业务流水!$C$5:$C$1504,$A117,业务流水!$Z$5:$Z$1504,"是"))</f>
        <v/>
      </c>
      <c r="G117" s="42" t="str">
        <f aca="false">IF($A117="","",$E117-$F117)</f>
        <v/>
      </c>
      <c r="H117" s="41" t="str">
        <f aca="false">IF($A117="","",SUMIFS(业务流水!$W$5:$W$1504,业务流水!$E$5:$E$1504,$B$3,业务流水!$D$5:$D$1504,"销项开票",业务流水!$C$5:$C$1504,$A117,业务流水!$Z$5:$Z$1504,"是"))</f>
        <v/>
      </c>
      <c r="I117" s="41" t="str">
        <f aca="false">IF($A117="","",SUMIFS(业务流水!$H$5:$H$1504,业务流水!$E$5:$E$1504,$B$3,业务流水!$D$5:$D$1504,"已交税",业务流水!$C$5:$C$1504,$A117,业务流水!$Z$5:$Z$1504,"是"))</f>
        <v/>
      </c>
      <c r="J117" s="42" t="str">
        <f aca="false">IF($A117="","",$H117-$I117)</f>
        <v/>
      </c>
      <c r="K117" s="41" t="str">
        <f aca="false">IF($A117="","",SUMIFS(业务流水!$H$5:$H$1504,业务流水!$F$5:$F$1504,$B$3,业务流水!$D$5:$D$1504,"挂靠代收",业务流水!$C$5:$C$1504,$A117,业务流水!$Z$5:$Z$1504,"是"))</f>
        <v/>
      </c>
      <c r="L117" s="42" t="str">
        <f aca="false">IF($A117="","",$C117-$K117)</f>
        <v/>
      </c>
      <c r="M117" s="41" t="str">
        <f aca="false">IF($A117="","",SUMIFS(业务流水!$H$5:$H$1504,业务流水!$E$5:$E$1504,$B$3,业务流水!$D$5:$D$1504,"我方收款",业务流水!$C$5:$C$1504,$A117,业务流水!$Z$5:$Z$1504,"是"))</f>
        <v/>
      </c>
      <c r="N117" s="43" t="str">
        <f aca="false">IF($A117="","",$K117-$M117)</f>
        <v/>
      </c>
      <c r="O117" s="41" t="str">
        <f aca="false">IF($A117="","",SUMIFS(业务流水!$H$5:$H$1504,业务流水!$F$5:$F$1504,$B$3,业务流水!$D$5:$D$1504,"管理费结算",业务流水!$C$5:$C$1504,$A117,业务流水!$Z$5:$Z$1504,"是"))</f>
        <v/>
      </c>
      <c r="P117" s="41" t="str">
        <f aca="false">IF($A117="","",SUMIFS(业务流水!$H$5:$H$1504,业务流水!$E$5:$E$1504,$B$3,业务流水!$D$5:$D$1504,"扣质保金",业务流水!$C$5:$C$1504,$A117,业务流水!$Z$5:$Z$1504,"是"))</f>
        <v/>
      </c>
      <c r="Q117" s="48" t="str">
        <f aca="false">IF($A117="","",IF(SUM($C117:$F117)+SUM($K117:$M117)=0,"无","有"))</f>
        <v/>
      </c>
    </row>
    <row r="118" customFormat="false" ht="15.75" hidden="false" customHeight="true" outlineLevel="0" collapsed="false">
      <c r="A118" s="32" t="str">
        <f aca="false">IF(项目档案!$A118="","",项目档案!$A118)</f>
        <v/>
      </c>
      <c r="B118" s="40" t="str">
        <f aca="false">IF($A118="","",项目档案!$B118)</f>
        <v/>
      </c>
      <c r="C118" s="41" t="str">
        <f aca="false">IF($A118="","",SUMIFS(业务流水!$H$5:$H$1504,业务流水!$E$5:$E$1504,$B$3,业务流水!$D$5:$D$1504,"销项开票",业务流水!$C$5:$C$1504,$A118,业务流水!$Z$5:$Z$1504,"是"))</f>
        <v/>
      </c>
      <c r="D118" s="41" t="str">
        <f aca="false">IF($A118="","",SUMIFS(业务流水!$O$5:$O$1504,业务流水!$E$5:$E$1504,$B$3,业务流水!$D$5:$D$1504,"销项开票",业务流水!$C$5:$C$1504,$A118,业务流水!$Z$5:$Z$1504,"是"))</f>
        <v/>
      </c>
      <c r="E118" s="41" t="str">
        <f aca="false">IF($A118="","",SUMIFS(业务流水!$P$5:$P$1504,业务流水!$E$5:$E$1504,$B$3,业务流水!$D$5:$D$1504,"销项开票",业务流水!$C$5:$C$1504,$A118,业务流水!$Z$5:$Z$1504,"是"))</f>
        <v/>
      </c>
      <c r="F118" s="41" t="str">
        <f aca="false">IF($A118="","",SUMIFS(业务流水!$H$5:$H$1504,业务流水!$F$5:$F$1504,$B$3,业务流水!$D$5:$D$1504,"成本票",业务流水!$C$5:$C$1504,$A118,业务流水!$Z$5:$Z$1504,"是")+SUMIFS(业务流水!$H$5:$H$1504,业务流水!$F$5:$F$1504,$B$3,业务流水!$D$5:$D$1504,"销项开票",业务流水!$C$5:$C$1504,$A118,业务流水!$Z$5:$Z$1504,"是"))</f>
        <v/>
      </c>
      <c r="G118" s="42" t="str">
        <f aca="false">IF($A118="","",$E118-$F118)</f>
        <v/>
      </c>
      <c r="H118" s="41" t="str">
        <f aca="false">IF($A118="","",SUMIFS(业务流水!$W$5:$W$1504,业务流水!$E$5:$E$1504,$B$3,业务流水!$D$5:$D$1504,"销项开票",业务流水!$C$5:$C$1504,$A118,业务流水!$Z$5:$Z$1504,"是"))</f>
        <v/>
      </c>
      <c r="I118" s="41" t="str">
        <f aca="false">IF($A118="","",SUMIFS(业务流水!$H$5:$H$1504,业务流水!$E$5:$E$1504,$B$3,业务流水!$D$5:$D$1504,"已交税",业务流水!$C$5:$C$1504,$A118,业务流水!$Z$5:$Z$1504,"是"))</f>
        <v/>
      </c>
      <c r="J118" s="42" t="str">
        <f aca="false">IF($A118="","",$H118-$I118)</f>
        <v/>
      </c>
      <c r="K118" s="41" t="str">
        <f aca="false">IF($A118="","",SUMIFS(业务流水!$H$5:$H$1504,业务流水!$F$5:$F$1504,$B$3,业务流水!$D$5:$D$1504,"挂靠代收",业务流水!$C$5:$C$1504,$A118,业务流水!$Z$5:$Z$1504,"是"))</f>
        <v/>
      </c>
      <c r="L118" s="42" t="str">
        <f aca="false">IF($A118="","",$C118-$K118)</f>
        <v/>
      </c>
      <c r="M118" s="41" t="str">
        <f aca="false">IF($A118="","",SUMIFS(业务流水!$H$5:$H$1504,业务流水!$E$5:$E$1504,$B$3,业务流水!$D$5:$D$1504,"我方收款",业务流水!$C$5:$C$1504,$A118,业务流水!$Z$5:$Z$1504,"是"))</f>
        <v/>
      </c>
      <c r="N118" s="43" t="str">
        <f aca="false">IF($A118="","",$K118-$M118)</f>
        <v/>
      </c>
      <c r="O118" s="41" t="str">
        <f aca="false">IF($A118="","",SUMIFS(业务流水!$H$5:$H$1504,业务流水!$F$5:$F$1504,$B$3,业务流水!$D$5:$D$1504,"管理费结算",业务流水!$C$5:$C$1504,$A118,业务流水!$Z$5:$Z$1504,"是"))</f>
        <v/>
      </c>
      <c r="P118" s="41" t="str">
        <f aca="false">IF($A118="","",SUMIFS(业务流水!$H$5:$H$1504,业务流水!$E$5:$E$1504,$B$3,业务流水!$D$5:$D$1504,"扣质保金",业务流水!$C$5:$C$1504,$A118,业务流水!$Z$5:$Z$1504,"是"))</f>
        <v/>
      </c>
      <c r="Q118" s="48" t="str">
        <f aca="false">IF($A118="","",IF(SUM($C118:$F118)+SUM($K118:$M118)=0,"无","有"))</f>
        <v/>
      </c>
    </row>
    <row r="119" customFormat="false" ht="15.75" hidden="false" customHeight="true" outlineLevel="0" collapsed="false">
      <c r="A119" s="32" t="str">
        <f aca="false">IF(项目档案!$A119="","",项目档案!$A119)</f>
        <v/>
      </c>
      <c r="B119" s="40" t="str">
        <f aca="false">IF($A119="","",项目档案!$B119)</f>
        <v/>
      </c>
      <c r="C119" s="41" t="str">
        <f aca="false">IF($A119="","",SUMIFS(业务流水!$H$5:$H$1504,业务流水!$E$5:$E$1504,$B$3,业务流水!$D$5:$D$1504,"销项开票",业务流水!$C$5:$C$1504,$A119,业务流水!$Z$5:$Z$1504,"是"))</f>
        <v/>
      </c>
      <c r="D119" s="41" t="str">
        <f aca="false">IF($A119="","",SUMIFS(业务流水!$O$5:$O$1504,业务流水!$E$5:$E$1504,$B$3,业务流水!$D$5:$D$1504,"销项开票",业务流水!$C$5:$C$1504,$A119,业务流水!$Z$5:$Z$1504,"是"))</f>
        <v/>
      </c>
      <c r="E119" s="41" t="str">
        <f aca="false">IF($A119="","",SUMIFS(业务流水!$P$5:$P$1504,业务流水!$E$5:$E$1504,$B$3,业务流水!$D$5:$D$1504,"销项开票",业务流水!$C$5:$C$1504,$A119,业务流水!$Z$5:$Z$1504,"是"))</f>
        <v/>
      </c>
      <c r="F119" s="41" t="str">
        <f aca="false">IF($A119="","",SUMIFS(业务流水!$H$5:$H$1504,业务流水!$F$5:$F$1504,$B$3,业务流水!$D$5:$D$1504,"成本票",业务流水!$C$5:$C$1504,$A119,业务流水!$Z$5:$Z$1504,"是")+SUMIFS(业务流水!$H$5:$H$1504,业务流水!$F$5:$F$1504,$B$3,业务流水!$D$5:$D$1504,"销项开票",业务流水!$C$5:$C$1504,$A119,业务流水!$Z$5:$Z$1504,"是"))</f>
        <v/>
      </c>
      <c r="G119" s="42" t="str">
        <f aca="false">IF($A119="","",$E119-$F119)</f>
        <v/>
      </c>
      <c r="H119" s="41" t="str">
        <f aca="false">IF($A119="","",SUMIFS(业务流水!$W$5:$W$1504,业务流水!$E$5:$E$1504,$B$3,业务流水!$D$5:$D$1504,"销项开票",业务流水!$C$5:$C$1504,$A119,业务流水!$Z$5:$Z$1504,"是"))</f>
        <v/>
      </c>
      <c r="I119" s="41" t="str">
        <f aca="false">IF($A119="","",SUMIFS(业务流水!$H$5:$H$1504,业务流水!$E$5:$E$1504,$B$3,业务流水!$D$5:$D$1504,"已交税",业务流水!$C$5:$C$1504,$A119,业务流水!$Z$5:$Z$1504,"是"))</f>
        <v/>
      </c>
      <c r="J119" s="42" t="str">
        <f aca="false">IF($A119="","",$H119-$I119)</f>
        <v/>
      </c>
      <c r="K119" s="41" t="str">
        <f aca="false">IF($A119="","",SUMIFS(业务流水!$H$5:$H$1504,业务流水!$F$5:$F$1504,$B$3,业务流水!$D$5:$D$1504,"挂靠代收",业务流水!$C$5:$C$1504,$A119,业务流水!$Z$5:$Z$1504,"是"))</f>
        <v/>
      </c>
      <c r="L119" s="42" t="str">
        <f aca="false">IF($A119="","",$C119-$K119)</f>
        <v/>
      </c>
      <c r="M119" s="41" t="str">
        <f aca="false">IF($A119="","",SUMIFS(业务流水!$H$5:$H$1504,业务流水!$E$5:$E$1504,$B$3,业务流水!$D$5:$D$1504,"我方收款",业务流水!$C$5:$C$1504,$A119,业务流水!$Z$5:$Z$1504,"是"))</f>
        <v/>
      </c>
      <c r="N119" s="43" t="str">
        <f aca="false">IF($A119="","",$K119-$M119)</f>
        <v/>
      </c>
      <c r="O119" s="41" t="str">
        <f aca="false">IF($A119="","",SUMIFS(业务流水!$H$5:$H$1504,业务流水!$F$5:$F$1504,$B$3,业务流水!$D$5:$D$1504,"管理费结算",业务流水!$C$5:$C$1504,$A119,业务流水!$Z$5:$Z$1504,"是"))</f>
        <v/>
      </c>
      <c r="P119" s="41" t="str">
        <f aca="false">IF($A119="","",SUMIFS(业务流水!$H$5:$H$1504,业务流水!$E$5:$E$1504,$B$3,业务流水!$D$5:$D$1504,"扣质保金",业务流水!$C$5:$C$1504,$A119,业务流水!$Z$5:$Z$1504,"是"))</f>
        <v/>
      </c>
      <c r="Q119" s="48" t="str">
        <f aca="false">IF($A119="","",IF(SUM($C119:$F119)+SUM($K119:$M119)=0,"无","有"))</f>
        <v/>
      </c>
    </row>
    <row r="120" customFormat="false" ht="15.75" hidden="false" customHeight="true" outlineLevel="0" collapsed="false">
      <c r="A120" s="32" t="str">
        <f aca="false">IF(项目档案!$A120="","",项目档案!$A120)</f>
        <v/>
      </c>
      <c r="B120" s="40" t="str">
        <f aca="false">IF($A120="","",项目档案!$B120)</f>
        <v/>
      </c>
      <c r="C120" s="41" t="str">
        <f aca="false">IF($A120="","",SUMIFS(业务流水!$H$5:$H$1504,业务流水!$E$5:$E$1504,$B$3,业务流水!$D$5:$D$1504,"销项开票",业务流水!$C$5:$C$1504,$A120,业务流水!$Z$5:$Z$1504,"是"))</f>
        <v/>
      </c>
      <c r="D120" s="41" t="str">
        <f aca="false">IF($A120="","",SUMIFS(业务流水!$O$5:$O$1504,业务流水!$E$5:$E$1504,$B$3,业务流水!$D$5:$D$1504,"销项开票",业务流水!$C$5:$C$1504,$A120,业务流水!$Z$5:$Z$1504,"是"))</f>
        <v/>
      </c>
      <c r="E120" s="41" t="str">
        <f aca="false">IF($A120="","",SUMIFS(业务流水!$P$5:$P$1504,业务流水!$E$5:$E$1504,$B$3,业务流水!$D$5:$D$1504,"销项开票",业务流水!$C$5:$C$1504,$A120,业务流水!$Z$5:$Z$1504,"是"))</f>
        <v/>
      </c>
      <c r="F120" s="41" t="str">
        <f aca="false">IF($A120="","",SUMIFS(业务流水!$H$5:$H$1504,业务流水!$F$5:$F$1504,$B$3,业务流水!$D$5:$D$1504,"成本票",业务流水!$C$5:$C$1504,$A120,业务流水!$Z$5:$Z$1504,"是")+SUMIFS(业务流水!$H$5:$H$1504,业务流水!$F$5:$F$1504,$B$3,业务流水!$D$5:$D$1504,"销项开票",业务流水!$C$5:$C$1504,$A120,业务流水!$Z$5:$Z$1504,"是"))</f>
        <v/>
      </c>
      <c r="G120" s="42" t="str">
        <f aca="false">IF($A120="","",$E120-$F120)</f>
        <v/>
      </c>
      <c r="H120" s="41" t="str">
        <f aca="false">IF($A120="","",SUMIFS(业务流水!$W$5:$W$1504,业务流水!$E$5:$E$1504,$B$3,业务流水!$D$5:$D$1504,"销项开票",业务流水!$C$5:$C$1504,$A120,业务流水!$Z$5:$Z$1504,"是"))</f>
        <v/>
      </c>
      <c r="I120" s="41" t="str">
        <f aca="false">IF($A120="","",SUMIFS(业务流水!$H$5:$H$1504,业务流水!$E$5:$E$1504,$B$3,业务流水!$D$5:$D$1504,"已交税",业务流水!$C$5:$C$1504,$A120,业务流水!$Z$5:$Z$1504,"是"))</f>
        <v/>
      </c>
      <c r="J120" s="42" t="str">
        <f aca="false">IF($A120="","",$H120-$I120)</f>
        <v/>
      </c>
      <c r="K120" s="41" t="str">
        <f aca="false">IF($A120="","",SUMIFS(业务流水!$H$5:$H$1504,业务流水!$F$5:$F$1504,$B$3,业务流水!$D$5:$D$1504,"挂靠代收",业务流水!$C$5:$C$1504,$A120,业务流水!$Z$5:$Z$1504,"是"))</f>
        <v/>
      </c>
      <c r="L120" s="42" t="str">
        <f aca="false">IF($A120="","",$C120-$K120)</f>
        <v/>
      </c>
      <c r="M120" s="41" t="str">
        <f aca="false">IF($A120="","",SUMIFS(业务流水!$H$5:$H$1504,业务流水!$E$5:$E$1504,$B$3,业务流水!$D$5:$D$1504,"我方收款",业务流水!$C$5:$C$1504,$A120,业务流水!$Z$5:$Z$1504,"是"))</f>
        <v/>
      </c>
      <c r="N120" s="43" t="str">
        <f aca="false">IF($A120="","",$K120-$M120)</f>
        <v/>
      </c>
      <c r="O120" s="41" t="str">
        <f aca="false">IF($A120="","",SUMIFS(业务流水!$H$5:$H$1504,业务流水!$F$5:$F$1504,$B$3,业务流水!$D$5:$D$1504,"管理费结算",业务流水!$C$5:$C$1504,$A120,业务流水!$Z$5:$Z$1504,"是"))</f>
        <v/>
      </c>
      <c r="P120" s="41" t="str">
        <f aca="false">IF($A120="","",SUMIFS(业务流水!$H$5:$H$1504,业务流水!$E$5:$E$1504,$B$3,业务流水!$D$5:$D$1504,"扣质保金",业务流水!$C$5:$C$1504,$A120,业务流水!$Z$5:$Z$1504,"是"))</f>
        <v/>
      </c>
      <c r="Q120" s="48" t="str">
        <f aca="false">IF($A120="","",IF(SUM($C120:$F120)+SUM($K120:$M120)=0,"无","有"))</f>
        <v/>
      </c>
    </row>
    <row r="121" customFormat="false" ht="15.75" hidden="false" customHeight="true" outlineLevel="0" collapsed="false">
      <c r="A121" s="32" t="str">
        <f aca="false">IF(项目档案!$A121="","",项目档案!$A121)</f>
        <v/>
      </c>
      <c r="B121" s="40" t="str">
        <f aca="false">IF($A121="","",项目档案!$B121)</f>
        <v/>
      </c>
      <c r="C121" s="41" t="str">
        <f aca="false">IF($A121="","",SUMIFS(业务流水!$H$5:$H$1504,业务流水!$E$5:$E$1504,$B$3,业务流水!$D$5:$D$1504,"销项开票",业务流水!$C$5:$C$1504,$A121,业务流水!$Z$5:$Z$1504,"是"))</f>
        <v/>
      </c>
      <c r="D121" s="41" t="str">
        <f aca="false">IF($A121="","",SUMIFS(业务流水!$O$5:$O$1504,业务流水!$E$5:$E$1504,$B$3,业务流水!$D$5:$D$1504,"销项开票",业务流水!$C$5:$C$1504,$A121,业务流水!$Z$5:$Z$1504,"是"))</f>
        <v/>
      </c>
      <c r="E121" s="41" t="str">
        <f aca="false">IF($A121="","",SUMIFS(业务流水!$P$5:$P$1504,业务流水!$E$5:$E$1504,$B$3,业务流水!$D$5:$D$1504,"销项开票",业务流水!$C$5:$C$1504,$A121,业务流水!$Z$5:$Z$1504,"是"))</f>
        <v/>
      </c>
      <c r="F121" s="41" t="str">
        <f aca="false">IF($A121="","",SUMIFS(业务流水!$H$5:$H$1504,业务流水!$F$5:$F$1504,$B$3,业务流水!$D$5:$D$1504,"成本票",业务流水!$C$5:$C$1504,$A121,业务流水!$Z$5:$Z$1504,"是")+SUMIFS(业务流水!$H$5:$H$1504,业务流水!$F$5:$F$1504,$B$3,业务流水!$D$5:$D$1504,"销项开票",业务流水!$C$5:$C$1504,$A121,业务流水!$Z$5:$Z$1504,"是"))</f>
        <v/>
      </c>
      <c r="G121" s="42" t="str">
        <f aca="false">IF($A121="","",$E121-$F121)</f>
        <v/>
      </c>
      <c r="H121" s="41" t="str">
        <f aca="false">IF($A121="","",SUMIFS(业务流水!$W$5:$W$1504,业务流水!$E$5:$E$1504,$B$3,业务流水!$D$5:$D$1504,"销项开票",业务流水!$C$5:$C$1504,$A121,业务流水!$Z$5:$Z$1504,"是"))</f>
        <v/>
      </c>
      <c r="I121" s="41" t="str">
        <f aca="false">IF($A121="","",SUMIFS(业务流水!$H$5:$H$1504,业务流水!$E$5:$E$1504,$B$3,业务流水!$D$5:$D$1504,"已交税",业务流水!$C$5:$C$1504,$A121,业务流水!$Z$5:$Z$1504,"是"))</f>
        <v/>
      </c>
      <c r="J121" s="42" t="str">
        <f aca="false">IF($A121="","",$H121-$I121)</f>
        <v/>
      </c>
      <c r="K121" s="41" t="str">
        <f aca="false">IF($A121="","",SUMIFS(业务流水!$H$5:$H$1504,业务流水!$F$5:$F$1504,$B$3,业务流水!$D$5:$D$1504,"挂靠代收",业务流水!$C$5:$C$1504,$A121,业务流水!$Z$5:$Z$1504,"是"))</f>
        <v/>
      </c>
      <c r="L121" s="42" t="str">
        <f aca="false">IF($A121="","",$C121-$K121)</f>
        <v/>
      </c>
      <c r="M121" s="41" t="str">
        <f aca="false">IF($A121="","",SUMIFS(业务流水!$H$5:$H$1504,业务流水!$E$5:$E$1504,$B$3,业务流水!$D$5:$D$1504,"我方收款",业务流水!$C$5:$C$1504,$A121,业务流水!$Z$5:$Z$1504,"是"))</f>
        <v/>
      </c>
      <c r="N121" s="43" t="str">
        <f aca="false">IF($A121="","",$K121-$M121)</f>
        <v/>
      </c>
      <c r="O121" s="41" t="str">
        <f aca="false">IF($A121="","",SUMIFS(业务流水!$H$5:$H$1504,业务流水!$F$5:$F$1504,$B$3,业务流水!$D$5:$D$1504,"管理费结算",业务流水!$C$5:$C$1504,$A121,业务流水!$Z$5:$Z$1504,"是"))</f>
        <v/>
      </c>
      <c r="P121" s="41" t="str">
        <f aca="false">IF($A121="","",SUMIFS(业务流水!$H$5:$H$1504,业务流水!$E$5:$E$1504,$B$3,业务流水!$D$5:$D$1504,"扣质保金",业务流水!$C$5:$C$1504,$A121,业务流水!$Z$5:$Z$1504,"是"))</f>
        <v/>
      </c>
      <c r="Q121" s="48" t="str">
        <f aca="false">IF($A121="","",IF(SUM($C121:$F121)+SUM($K121:$M121)=0,"无","有"))</f>
        <v/>
      </c>
    </row>
    <row r="122" customFormat="false" ht="15.75" hidden="false" customHeight="true" outlineLevel="0" collapsed="false">
      <c r="A122" s="32" t="str">
        <f aca="false">IF(项目档案!$A122="","",项目档案!$A122)</f>
        <v/>
      </c>
      <c r="B122" s="40" t="str">
        <f aca="false">IF($A122="","",项目档案!$B122)</f>
        <v/>
      </c>
      <c r="C122" s="41" t="str">
        <f aca="false">IF($A122="","",SUMIFS(业务流水!$H$5:$H$1504,业务流水!$E$5:$E$1504,$B$3,业务流水!$D$5:$D$1504,"销项开票",业务流水!$C$5:$C$1504,$A122,业务流水!$Z$5:$Z$1504,"是"))</f>
        <v/>
      </c>
      <c r="D122" s="41" t="str">
        <f aca="false">IF($A122="","",SUMIFS(业务流水!$O$5:$O$1504,业务流水!$E$5:$E$1504,$B$3,业务流水!$D$5:$D$1504,"销项开票",业务流水!$C$5:$C$1504,$A122,业务流水!$Z$5:$Z$1504,"是"))</f>
        <v/>
      </c>
      <c r="E122" s="41" t="str">
        <f aca="false">IF($A122="","",SUMIFS(业务流水!$P$5:$P$1504,业务流水!$E$5:$E$1504,$B$3,业务流水!$D$5:$D$1504,"销项开票",业务流水!$C$5:$C$1504,$A122,业务流水!$Z$5:$Z$1504,"是"))</f>
        <v/>
      </c>
      <c r="F122" s="41" t="str">
        <f aca="false">IF($A122="","",SUMIFS(业务流水!$H$5:$H$1504,业务流水!$F$5:$F$1504,$B$3,业务流水!$D$5:$D$1504,"成本票",业务流水!$C$5:$C$1504,$A122,业务流水!$Z$5:$Z$1504,"是")+SUMIFS(业务流水!$H$5:$H$1504,业务流水!$F$5:$F$1504,$B$3,业务流水!$D$5:$D$1504,"销项开票",业务流水!$C$5:$C$1504,$A122,业务流水!$Z$5:$Z$1504,"是"))</f>
        <v/>
      </c>
      <c r="G122" s="42" t="str">
        <f aca="false">IF($A122="","",$E122-$F122)</f>
        <v/>
      </c>
      <c r="H122" s="41" t="str">
        <f aca="false">IF($A122="","",SUMIFS(业务流水!$W$5:$W$1504,业务流水!$E$5:$E$1504,$B$3,业务流水!$D$5:$D$1504,"销项开票",业务流水!$C$5:$C$1504,$A122,业务流水!$Z$5:$Z$1504,"是"))</f>
        <v/>
      </c>
      <c r="I122" s="41" t="str">
        <f aca="false">IF($A122="","",SUMIFS(业务流水!$H$5:$H$1504,业务流水!$E$5:$E$1504,$B$3,业务流水!$D$5:$D$1504,"已交税",业务流水!$C$5:$C$1504,$A122,业务流水!$Z$5:$Z$1504,"是"))</f>
        <v/>
      </c>
      <c r="J122" s="42" t="str">
        <f aca="false">IF($A122="","",$H122-$I122)</f>
        <v/>
      </c>
      <c r="K122" s="41" t="str">
        <f aca="false">IF($A122="","",SUMIFS(业务流水!$H$5:$H$1504,业务流水!$F$5:$F$1504,$B$3,业务流水!$D$5:$D$1504,"挂靠代收",业务流水!$C$5:$C$1504,$A122,业务流水!$Z$5:$Z$1504,"是"))</f>
        <v/>
      </c>
      <c r="L122" s="42" t="str">
        <f aca="false">IF($A122="","",$C122-$K122)</f>
        <v/>
      </c>
      <c r="M122" s="41" t="str">
        <f aca="false">IF($A122="","",SUMIFS(业务流水!$H$5:$H$1504,业务流水!$E$5:$E$1504,$B$3,业务流水!$D$5:$D$1504,"我方收款",业务流水!$C$5:$C$1504,$A122,业务流水!$Z$5:$Z$1504,"是"))</f>
        <v/>
      </c>
      <c r="N122" s="43" t="str">
        <f aca="false">IF($A122="","",$K122-$M122)</f>
        <v/>
      </c>
      <c r="O122" s="41" t="str">
        <f aca="false">IF($A122="","",SUMIFS(业务流水!$H$5:$H$1504,业务流水!$F$5:$F$1504,$B$3,业务流水!$D$5:$D$1504,"管理费结算",业务流水!$C$5:$C$1504,$A122,业务流水!$Z$5:$Z$1504,"是"))</f>
        <v/>
      </c>
      <c r="P122" s="41" t="str">
        <f aca="false">IF($A122="","",SUMIFS(业务流水!$H$5:$H$1504,业务流水!$E$5:$E$1504,$B$3,业务流水!$D$5:$D$1504,"扣质保金",业务流水!$C$5:$C$1504,$A122,业务流水!$Z$5:$Z$1504,"是"))</f>
        <v/>
      </c>
      <c r="Q122" s="48" t="str">
        <f aca="false">IF($A122="","",IF(SUM($C122:$F122)+SUM($K122:$M122)=0,"无","有"))</f>
        <v/>
      </c>
    </row>
    <row r="123" customFormat="false" ht="15.75" hidden="false" customHeight="true" outlineLevel="0" collapsed="false">
      <c r="A123" s="32" t="str">
        <f aca="false">IF(项目档案!$A123="","",项目档案!$A123)</f>
        <v/>
      </c>
      <c r="B123" s="40" t="str">
        <f aca="false">IF($A123="","",项目档案!$B123)</f>
        <v/>
      </c>
      <c r="C123" s="41" t="str">
        <f aca="false">IF($A123="","",SUMIFS(业务流水!$H$5:$H$1504,业务流水!$E$5:$E$1504,$B$3,业务流水!$D$5:$D$1504,"销项开票",业务流水!$C$5:$C$1504,$A123,业务流水!$Z$5:$Z$1504,"是"))</f>
        <v/>
      </c>
      <c r="D123" s="41" t="str">
        <f aca="false">IF($A123="","",SUMIFS(业务流水!$O$5:$O$1504,业务流水!$E$5:$E$1504,$B$3,业务流水!$D$5:$D$1504,"销项开票",业务流水!$C$5:$C$1504,$A123,业务流水!$Z$5:$Z$1504,"是"))</f>
        <v/>
      </c>
      <c r="E123" s="41" t="str">
        <f aca="false">IF($A123="","",SUMIFS(业务流水!$P$5:$P$1504,业务流水!$E$5:$E$1504,$B$3,业务流水!$D$5:$D$1504,"销项开票",业务流水!$C$5:$C$1504,$A123,业务流水!$Z$5:$Z$1504,"是"))</f>
        <v/>
      </c>
      <c r="F123" s="41" t="str">
        <f aca="false">IF($A123="","",SUMIFS(业务流水!$H$5:$H$1504,业务流水!$F$5:$F$1504,$B$3,业务流水!$D$5:$D$1504,"成本票",业务流水!$C$5:$C$1504,$A123,业务流水!$Z$5:$Z$1504,"是")+SUMIFS(业务流水!$H$5:$H$1504,业务流水!$F$5:$F$1504,$B$3,业务流水!$D$5:$D$1504,"销项开票",业务流水!$C$5:$C$1504,$A123,业务流水!$Z$5:$Z$1504,"是"))</f>
        <v/>
      </c>
      <c r="G123" s="42" t="str">
        <f aca="false">IF($A123="","",$E123-$F123)</f>
        <v/>
      </c>
      <c r="H123" s="41" t="str">
        <f aca="false">IF($A123="","",SUMIFS(业务流水!$W$5:$W$1504,业务流水!$E$5:$E$1504,$B$3,业务流水!$D$5:$D$1504,"销项开票",业务流水!$C$5:$C$1504,$A123,业务流水!$Z$5:$Z$1504,"是"))</f>
        <v/>
      </c>
      <c r="I123" s="41" t="str">
        <f aca="false">IF($A123="","",SUMIFS(业务流水!$H$5:$H$1504,业务流水!$E$5:$E$1504,$B$3,业务流水!$D$5:$D$1504,"已交税",业务流水!$C$5:$C$1504,$A123,业务流水!$Z$5:$Z$1504,"是"))</f>
        <v/>
      </c>
      <c r="J123" s="42" t="str">
        <f aca="false">IF($A123="","",$H123-$I123)</f>
        <v/>
      </c>
      <c r="K123" s="41" t="str">
        <f aca="false">IF($A123="","",SUMIFS(业务流水!$H$5:$H$1504,业务流水!$F$5:$F$1504,$B$3,业务流水!$D$5:$D$1504,"挂靠代收",业务流水!$C$5:$C$1504,$A123,业务流水!$Z$5:$Z$1504,"是"))</f>
        <v/>
      </c>
      <c r="L123" s="42" t="str">
        <f aca="false">IF($A123="","",$C123-$K123)</f>
        <v/>
      </c>
      <c r="M123" s="41" t="str">
        <f aca="false">IF($A123="","",SUMIFS(业务流水!$H$5:$H$1504,业务流水!$E$5:$E$1504,$B$3,业务流水!$D$5:$D$1504,"我方收款",业务流水!$C$5:$C$1504,$A123,业务流水!$Z$5:$Z$1504,"是"))</f>
        <v/>
      </c>
      <c r="N123" s="43" t="str">
        <f aca="false">IF($A123="","",$K123-$M123)</f>
        <v/>
      </c>
      <c r="O123" s="41" t="str">
        <f aca="false">IF($A123="","",SUMIFS(业务流水!$H$5:$H$1504,业务流水!$F$5:$F$1504,$B$3,业务流水!$D$5:$D$1504,"管理费结算",业务流水!$C$5:$C$1504,$A123,业务流水!$Z$5:$Z$1504,"是"))</f>
        <v/>
      </c>
      <c r="P123" s="41" t="str">
        <f aca="false">IF($A123="","",SUMIFS(业务流水!$H$5:$H$1504,业务流水!$E$5:$E$1504,$B$3,业务流水!$D$5:$D$1504,"扣质保金",业务流水!$C$5:$C$1504,$A123,业务流水!$Z$5:$Z$1504,"是"))</f>
        <v/>
      </c>
      <c r="Q123" s="48" t="str">
        <f aca="false">IF($A123="","",IF(SUM($C123:$F123)+SUM($K123:$M123)=0,"无","有"))</f>
        <v/>
      </c>
    </row>
    <row r="124" customFormat="false" ht="15.75" hidden="false" customHeight="true" outlineLevel="0" collapsed="false">
      <c r="A124" s="32" t="str">
        <f aca="false">IF(项目档案!$A124="","",项目档案!$A124)</f>
        <v/>
      </c>
      <c r="B124" s="40" t="str">
        <f aca="false">IF($A124="","",项目档案!$B124)</f>
        <v/>
      </c>
      <c r="C124" s="41" t="str">
        <f aca="false">IF($A124="","",SUMIFS(业务流水!$H$5:$H$1504,业务流水!$E$5:$E$1504,$B$3,业务流水!$D$5:$D$1504,"销项开票",业务流水!$C$5:$C$1504,$A124,业务流水!$Z$5:$Z$1504,"是"))</f>
        <v/>
      </c>
      <c r="D124" s="41" t="str">
        <f aca="false">IF($A124="","",SUMIFS(业务流水!$O$5:$O$1504,业务流水!$E$5:$E$1504,$B$3,业务流水!$D$5:$D$1504,"销项开票",业务流水!$C$5:$C$1504,$A124,业务流水!$Z$5:$Z$1504,"是"))</f>
        <v/>
      </c>
      <c r="E124" s="41" t="str">
        <f aca="false">IF($A124="","",SUMIFS(业务流水!$P$5:$P$1504,业务流水!$E$5:$E$1504,$B$3,业务流水!$D$5:$D$1504,"销项开票",业务流水!$C$5:$C$1504,$A124,业务流水!$Z$5:$Z$1504,"是"))</f>
        <v/>
      </c>
      <c r="F124" s="41" t="str">
        <f aca="false">IF($A124="","",SUMIFS(业务流水!$H$5:$H$1504,业务流水!$F$5:$F$1504,$B$3,业务流水!$D$5:$D$1504,"成本票",业务流水!$C$5:$C$1504,$A124,业务流水!$Z$5:$Z$1504,"是")+SUMIFS(业务流水!$H$5:$H$1504,业务流水!$F$5:$F$1504,$B$3,业务流水!$D$5:$D$1504,"销项开票",业务流水!$C$5:$C$1504,$A124,业务流水!$Z$5:$Z$1504,"是"))</f>
        <v/>
      </c>
      <c r="G124" s="42" t="str">
        <f aca="false">IF($A124="","",$E124-$F124)</f>
        <v/>
      </c>
      <c r="H124" s="41" t="str">
        <f aca="false">IF($A124="","",SUMIFS(业务流水!$W$5:$W$1504,业务流水!$E$5:$E$1504,$B$3,业务流水!$D$5:$D$1504,"销项开票",业务流水!$C$5:$C$1504,$A124,业务流水!$Z$5:$Z$1504,"是"))</f>
        <v/>
      </c>
      <c r="I124" s="41" t="str">
        <f aca="false">IF($A124="","",SUMIFS(业务流水!$H$5:$H$1504,业务流水!$E$5:$E$1504,$B$3,业务流水!$D$5:$D$1504,"已交税",业务流水!$C$5:$C$1504,$A124,业务流水!$Z$5:$Z$1504,"是"))</f>
        <v/>
      </c>
      <c r="J124" s="42" t="str">
        <f aca="false">IF($A124="","",$H124-$I124)</f>
        <v/>
      </c>
      <c r="K124" s="41" t="str">
        <f aca="false">IF($A124="","",SUMIFS(业务流水!$H$5:$H$1504,业务流水!$F$5:$F$1504,$B$3,业务流水!$D$5:$D$1504,"挂靠代收",业务流水!$C$5:$C$1504,$A124,业务流水!$Z$5:$Z$1504,"是"))</f>
        <v/>
      </c>
      <c r="L124" s="42" t="str">
        <f aca="false">IF($A124="","",$C124-$K124)</f>
        <v/>
      </c>
      <c r="M124" s="41" t="str">
        <f aca="false">IF($A124="","",SUMIFS(业务流水!$H$5:$H$1504,业务流水!$E$5:$E$1504,$B$3,业务流水!$D$5:$D$1504,"我方收款",业务流水!$C$5:$C$1504,$A124,业务流水!$Z$5:$Z$1504,"是"))</f>
        <v/>
      </c>
      <c r="N124" s="43" t="str">
        <f aca="false">IF($A124="","",$K124-$M124)</f>
        <v/>
      </c>
      <c r="O124" s="41" t="str">
        <f aca="false">IF($A124="","",SUMIFS(业务流水!$H$5:$H$1504,业务流水!$F$5:$F$1504,$B$3,业务流水!$D$5:$D$1504,"管理费结算",业务流水!$C$5:$C$1504,$A124,业务流水!$Z$5:$Z$1504,"是"))</f>
        <v/>
      </c>
      <c r="P124" s="41" t="str">
        <f aca="false">IF($A124="","",SUMIFS(业务流水!$H$5:$H$1504,业务流水!$E$5:$E$1504,$B$3,业务流水!$D$5:$D$1504,"扣质保金",业务流水!$C$5:$C$1504,$A124,业务流水!$Z$5:$Z$1504,"是"))</f>
        <v/>
      </c>
      <c r="Q124" s="48" t="str">
        <f aca="false">IF($A124="","",IF(SUM($C124:$F124)+SUM($K124:$M124)=0,"无","有"))</f>
        <v/>
      </c>
    </row>
    <row r="125" customFormat="false" ht="15.75" hidden="false" customHeight="true" outlineLevel="0" collapsed="false">
      <c r="A125" s="32" t="str">
        <f aca="false">IF(项目档案!$A125="","",项目档案!$A125)</f>
        <v/>
      </c>
      <c r="B125" s="40" t="str">
        <f aca="false">IF($A125="","",项目档案!$B125)</f>
        <v/>
      </c>
      <c r="C125" s="41" t="str">
        <f aca="false">IF($A125="","",SUMIFS(业务流水!$H$5:$H$1504,业务流水!$E$5:$E$1504,$B$3,业务流水!$D$5:$D$1504,"销项开票",业务流水!$C$5:$C$1504,$A125,业务流水!$Z$5:$Z$1504,"是"))</f>
        <v/>
      </c>
      <c r="D125" s="41" t="str">
        <f aca="false">IF($A125="","",SUMIFS(业务流水!$O$5:$O$1504,业务流水!$E$5:$E$1504,$B$3,业务流水!$D$5:$D$1504,"销项开票",业务流水!$C$5:$C$1504,$A125,业务流水!$Z$5:$Z$1504,"是"))</f>
        <v/>
      </c>
      <c r="E125" s="41" t="str">
        <f aca="false">IF($A125="","",SUMIFS(业务流水!$P$5:$P$1504,业务流水!$E$5:$E$1504,$B$3,业务流水!$D$5:$D$1504,"销项开票",业务流水!$C$5:$C$1504,$A125,业务流水!$Z$5:$Z$1504,"是"))</f>
        <v/>
      </c>
      <c r="F125" s="41" t="str">
        <f aca="false">IF($A125="","",SUMIFS(业务流水!$H$5:$H$1504,业务流水!$F$5:$F$1504,$B$3,业务流水!$D$5:$D$1504,"成本票",业务流水!$C$5:$C$1504,$A125,业务流水!$Z$5:$Z$1504,"是")+SUMIFS(业务流水!$H$5:$H$1504,业务流水!$F$5:$F$1504,$B$3,业务流水!$D$5:$D$1504,"销项开票",业务流水!$C$5:$C$1504,$A125,业务流水!$Z$5:$Z$1504,"是"))</f>
        <v/>
      </c>
      <c r="G125" s="42" t="str">
        <f aca="false">IF($A125="","",$E125-$F125)</f>
        <v/>
      </c>
      <c r="H125" s="41" t="str">
        <f aca="false">IF($A125="","",SUMIFS(业务流水!$W$5:$W$1504,业务流水!$E$5:$E$1504,$B$3,业务流水!$D$5:$D$1504,"销项开票",业务流水!$C$5:$C$1504,$A125,业务流水!$Z$5:$Z$1504,"是"))</f>
        <v/>
      </c>
      <c r="I125" s="41" t="str">
        <f aca="false">IF($A125="","",SUMIFS(业务流水!$H$5:$H$1504,业务流水!$E$5:$E$1504,$B$3,业务流水!$D$5:$D$1504,"已交税",业务流水!$C$5:$C$1504,$A125,业务流水!$Z$5:$Z$1504,"是"))</f>
        <v/>
      </c>
      <c r="J125" s="42" t="str">
        <f aca="false">IF($A125="","",$H125-$I125)</f>
        <v/>
      </c>
      <c r="K125" s="41" t="str">
        <f aca="false">IF($A125="","",SUMIFS(业务流水!$H$5:$H$1504,业务流水!$F$5:$F$1504,$B$3,业务流水!$D$5:$D$1504,"挂靠代收",业务流水!$C$5:$C$1504,$A125,业务流水!$Z$5:$Z$1504,"是"))</f>
        <v/>
      </c>
      <c r="L125" s="42" t="str">
        <f aca="false">IF($A125="","",$C125-$K125)</f>
        <v/>
      </c>
      <c r="M125" s="41" t="str">
        <f aca="false">IF($A125="","",SUMIFS(业务流水!$H$5:$H$1504,业务流水!$E$5:$E$1504,$B$3,业务流水!$D$5:$D$1504,"我方收款",业务流水!$C$5:$C$1504,$A125,业务流水!$Z$5:$Z$1504,"是"))</f>
        <v/>
      </c>
      <c r="N125" s="43" t="str">
        <f aca="false">IF($A125="","",$K125-$M125)</f>
        <v/>
      </c>
      <c r="O125" s="41" t="str">
        <f aca="false">IF($A125="","",SUMIFS(业务流水!$H$5:$H$1504,业务流水!$F$5:$F$1504,$B$3,业务流水!$D$5:$D$1504,"管理费结算",业务流水!$C$5:$C$1504,$A125,业务流水!$Z$5:$Z$1504,"是"))</f>
        <v/>
      </c>
      <c r="P125" s="41" t="str">
        <f aca="false">IF($A125="","",SUMIFS(业务流水!$H$5:$H$1504,业务流水!$E$5:$E$1504,$B$3,业务流水!$D$5:$D$1504,"扣质保金",业务流水!$C$5:$C$1504,$A125,业务流水!$Z$5:$Z$1504,"是"))</f>
        <v/>
      </c>
      <c r="Q125" s="48" t="str">
        <f aca="false">IF($A125="","",IF(SUM($C125:$F125)+SUM($K125:$M125)=0,"无","有"))</f>
        <v/>
      </c>
    </row>
    <row r="126" customFormat="false" ht="15.75" hidden="false" customHeight="true" outlineLevel="0" collapsed="false">
      <c r="A126" s="32" t="str">
        <f aca="false">IF(项目档案!$A126="","",项目档案!$A126)</f>
        <v/>
      </c>
      <c r="B126" s="40" t="str">
        <f aca="false">IF($A126="","",项目档案!$B126)</f>
        <v/>
      </c>
      <c r="C126" s="41" t="str">
        <f aca="false">IF($A126="","",SUMIFS(业务流水!$H$5:$H$1504,业务流水!$E$5:$E$1504,$B$3,业务流水!$D$5:$D$1504,"销项开票",业务流水!$C$5:$C$1504,$A126,业务流水!$Z$5:$Z$1504,"是"))</f>
        <v/>
      </c>
      <c r="D126" s="41" t="str">
        <f aca="false">IF($A126="","",SUMIFS(业务流水!$O$5:$O$1504,业务流水!$E$5:$E$1504,$B$3,业务流水!$D$5:$D$1504,"销项开票",业务流水!$C$5:$C$1504,$A126,业务流水!$Z$5:$Z$1504,"是"))</f>
        <v/>
      </c>
      <c r="E126" s="41" t="str">
        <f aca="false">IF($A126="","",SUMIFS(业务流水!$P$5:$P$1504,业务流水!$E$5:$E$1504,$B$3,业务流水!$D$5:$D$1504,"销项开票",业务流水!$C$5:$C$1504,$A126,业务流水!$Z$5:$Z$1504,"是"))</f>
        <v/>
      </c>
      <c r="F126" s="41" t="str">
        <f aca="false">IF($A126="","",SUMIFS(业务流水!$H$5:$H$1504,业务流水!$F$5:$F$1504,$B$3,业务流水!$D$5:$D$1504,"成本票",业务流水!$C$5:$C$1504,$A126,业务流水!$Z$5:$Z$1504,"是")+SUMIFS(业务流水!$H$5:$H$1504,业务流水!$F$5:$F$1504,$B$3,业务流水!$D$5:$D$1504,"销项开票",业务流水!$C$5:$C$1504,$A126,业务流水!$Z$5:$Z$1504,"是"))</f>
        <v/>
      </c>
      <c r="G126" s="42" t="str">
        <f aca="false">IF($A126="","",$E126-$F126)</f>
        <v/>
      </c>
      <c r="H126" s="41" t="str">
        <f aca="false">IF($A126="","",SUMIFS(业务流水!$W$5:$W$1504,业务流水!$E$5:$E$1504,$B$3,业务流水!$D$5:$D$1504,"销项开票",业务流水!$C$5:$C$1504,$A126,业务流水!$Z$5:$Z$1504,"是"))</f>
        <v/>
      </c>
      <c r="I126" s="41" t="str">
        <f aca="false">IF($A126="","",SUMIFS(业务流水!$H$5:$H$1504,业务流水!$E$5:$E$1504,$B$3,业务流水!$D$5:$D$1504,"已交税",业务流水!$C$5:$C$1504,$A126,业务流水!$Z$5:$Z$1504,"是"))</f>
        <v/>
      </c>
      <c r="J126" s="42" t="str">
        <f aca="false">IF($A126="","",$H126-$I126)</f>
        <v/>
      </c>
      <c r="K126" s="41" t="str">
        <f aca="false">IF($A126="","",SUMIFS(业务流水!$H$5:$H$1504,业务流水!$F$5:$F$1504,$B$3,业务流水!$D$5:$D$1504,"挂靠代收",业务流水!$C$5:$C$1504,$A126,业务流水!$Z$5:$Z$1504,"是"))</f>
        <v/>
      </c>
      <c r="L126" s="42" t="str">
        <f aca="false">IF($A126="","",$C126-$K126)</f>
        <v/>
      </c>
      <c r="M126" s="41" t="str">
        <f aca="false">IF($A126="","",SUMIFS(业务流水!$H$5:$H$1504,业务流水!$E$5:$E$1504,$B$3,业务流水!$D$5:$D$1504,"我方收款",业务流水!$C$5:$C$1504,$A126,业务流水!$Z$5:$Z$1504,"是"))</f>
        <v/>
      </c>
      <c r="N126" s="43" t="str">
        <f aca="false">IF($A126="","",$K126-$M126)</f>
        <v/>
      </c>
      <c r="O126" s="41" t="str">
        <f aca="false">IF($A126="","",SUMIFS(业务流水!$H$5:$H$1504,业务流水!$F$5:$F$1504,$B$3,业务流水!$D$5:$D$1504,"管理费结算",业务流水!$C$5:$C$1504,$A126,业务流水!$Z$5:$Z$1504,"是"))</f>
        <v/>
      </c>
      <c r="P126" s="41" t="str">
        <f aca="false">IF($A126="","",SUMIFS(业务流水!$H$5:$H$1504,业务流水!$E$5:$E$1504,$B$3,业务流水!$D$5:$D$1504,"扣质保金",业务流水!$C$5:$C$1504,$A126,业务流水!$Z$5:$Z$1504,"是"))</f>
        <v/>
      </c>
      <c r="Q126" s="48" t="str">
        <f aca="false">IF($A126="","",IF(SUM($C126:$F126)+SUM($K126:$M126)=0,"无","有"))</f>
        <v/>
      </c>
    </row>
    <row r="127" customFormat="false" ht="15.75" hidden="false" customHeight="true" outlineLevel="0" collapsed="false">
      <c r="A127" s="32" t="str">
        <f aca="false">IF(项目档案!$A127="","",项目档案!$A127)</f>
        <v/>
      </c>
      <c r="B127" s="40" t="str">
        <f aca="false">IF($A127="","",项目档案!$B127)</f>
        <v/>
      </c>
      <c r="C127" s="41" t="str">
        <f aca="false">IF($A127="","",SUMIFS(业务流水!$H$5:$H$1504,业务流水!$E$5:$E$1504,$B$3,业务流水!$D$5:$D$1504,"销项开票",业务流水!$C$5:$C$1504,$A127,业务流水!$Z$5:$Z$1504,"是"))</f>
        <v/>
      </c>
      <c r="D127" s="41" t="str">
        <f aca="false">IF($A127="","",SUMIFS(业务流水!$O$5:$O$1504,业务流水!$E$5:$E$1504,$B$3,业务流水!$D$5:$D$1504,"销项开票",业务流水!$C$5:$C$1504,$A127,业务流水!$Z$5:$Z$1504,"是"))</f>
        <v/>
      </c>
      <c r="E127" s="41" t="str">
        <f aca="false">IF($A127="","",SUMIFS(业务流水!$P$5:$P$1504,业务流水!$E$5:$E$1504,$B$3,业务流水!$D$5:$D$1504,"销项开票",业务流水!$C$5:$C$1504,$A127,业务流水!$Z$5:$Z$1504,"是"))</f>
        <v/>
      </c>
      <c r="F127" s="41" t="str">
        <f aca="false">IF($A127="","",SUMIFS(业务流水!$H$5:$H$1504,业务流水!$F$5:$F$1504,$B$3,业务流水!$D$5:$D$1504,"成本票",业务流水!$C$5:$C$1504,$A127,业务流水!$Z$5:$Z$1504,"是")+SUMIFS(业务流水!$H$5:$H$1504,业务流水!$F$5:$F$1504,$B$3,业务流水!$D$5:$D$1504,"销项开票",业务流水!$C$5:$C$1504,$A127,业务流水!$Z$5:$Z$1504,"是"))</f>
        <v/>
      </c>
      <c r="G127" s="42" t="str">
        <f aca="false">IF($A127="","",$E127-$F127)</f>
        <v/>
      </c>
      <c r="H127" s="41" t="str">
        <f aca="false">IF($A127="","",SUMIFS(业务流水!$W$5:$W$1504,业务流水!$E$5:$E$1504,$B$3,业务流水!$D$5:$D$1504,"销项开票",业务流水!$C$5:$C$1504,$A127,业务流水!$Z$5:$Z$1504,"是"))</f>
        <v/>
      </c>
      <c r="I127" s="41" t="str">
        <f aca="false">IF($A127="","",SUMIFS(业务流水!$H$5:$H$1504,业务流水!$E$5:$E$1504,$B$3,业务流水!$D$5:$D$1504,"已交税",业务流水!$C$5:$C$1504,$A127,业务流水!$Z$5:$Z$1504,"是"))</f>
        <v/>
      </c>
      <c r="J127" s="42" t="str">
        <f aca="false">IF($A127="","",$H127-$I127)</f>
        <v/>
      </c>
      <c r="K127" s="41" t="str">
        <f aca="false">IF($A127="","",SUMIFS(业务流水!$H$5:$H$1504,业务流水!$F$5:$F$1504,$B$3,业务流水!$D$5:$D$1504,"挂靠代收",业务流水!$C$5:$C$1504,$A127,业务流水!$Z$5:$Z$1504,"是"))</f>
        <v/>
      </c>
      <c r="L127" s="42" t="str">
        <f aca="false">IF($A127="","",$C127-$K127)</f>
        <v/>
      </c>
      <c r="M127" s="41" t="str">
        <f aca="false">IF($A127="","",SUMIFS(业务流水!$H$5:$H$1504,业务流水!$E$5:$E$1504,$B$3,业务流水!$D$5:$D$1504,"我方收款",业务流水!$C$5:$C$1504,$A127,业务流水!$Z$5:$Z$1504,"是"))</f>
        <v/>
      </c>
      <c r="N127" s="43" t="str">
        <f aca="false">IF($A127="","",$K127-$M127)</f>
        <v/>
      </c>
      <c r="O127" s="41" t="str">
        <f aca="false">IF($A127="","",SUMIFS(业务流水!$H$5:$H$1504,业务流水!$F$5:$F$1504,$B$3,业务流水!$D$5:$D$1504,"管理费结算",业务流水!$C$5:$C$1504,$A127,业务流水!$Z$5:$Z$1504,"是"))</f>
        <v/>
      </c>
      <c r="P127" s="41" t="str">
        <f aca="false">IF($A127="","",SUMIFS(业务流水!$H$5:$H$1504,业务流水!$E$5:$E$1504,$B$3,业务流水!$D$5:$D$1504,"扣质保金",业务流水!$C$5:$C$1504,$A127,业务流水!$Z$5:$Z$1504,"是"))</f>
        <v/>
      </c>
      <c r="Q127" s="48" t="str">
        <f aca="false">IF($A127="","",IF(SUM($C127:$F127)+SUM($K127:$M127)=0,"无","有"))</f>
        <v/>
      </c>
    </row>
    <row r="128" customFormat="false" ht="15.75" hidden="false" customHeight="true" outlineLevel="0" collapsed="false">
      <c r="A128" s="32" t="str">
        <f aca="false">IF(项目档案!$A128="","",项目档案!$A128)</f>
        <v/>
      </c>
      <c r="B128" s="40" t="str">
        <f aca="false">IF($A128="","",项目档案!$B128)</f>
        <v/>
      </c>
      <c r="C128" s="41" t="str">
        <f aca="false">IF($A128="","",SUMIFS(业务流水!$H$5:$H$1504,业务流水!$E$5:$E$1504,$B$3,业务流水!$D$5:$D$1504,"销项开票",业务流水!$C$5:$C$1504,$A128,业务流水!$Z$5:$Z$1504,"是"))</f>
        <v/>
      </c>
      <c r="D128" s="41" t="str">
        <f aca="false">IF($A128="","",SUMIFS(业务流水!$O$5:$O$1504,业务流水!$E$5:$E$1504,$B$3,业务流水!$D$5:$D$1504,"销项开票",业务流水!$C$5:$C$1504,$A128,业务流水!$Z$5:$Z$1504,"是"))</f>
        <v/>
      </c>
      <c r="E128" s="41" t="str">
        <f aca="false">IF($A128="","",SUMIFS(业务流水!$P$5:$P$1504,业务流水!$E$5:$E$1504,$B$3,业务流水!$D$5:$D$1504,"销项开票",业务流水!$C$5:$C$1504,$A128,业务流水!$Z$5:$Z$1504,"是"))</f>
        <v/>
      </c>
      <c r="F128" s="41" t="str">
        <f aca="false">IF($A128="","",SUMIFS(业务流水!$H$5:$H$1504,业务流水!$F$5:$F$1504,$B$3,业务流水!$D$5:$D$1504,"成本票",业务流水!$C$5:$C$1504,$A128,业务流水!$Z$5:$Z$1504,"是")+SUMIFS(业务流水!$H$5:$H$1504,业务流水!$F$5:$F$1504,$B$3,业务流水!$D$5:$D$1504,"销项开票",业务流水!$C$5:$C$1504,$A128,业务流水!$Z$5:$Z$1504,"是"))</f>
        <v/>
      </c>
      <c r="G128" s="42" t="str">
        <f aca="false">IF($A128="","",$E128-$F128)</f>
        <v/>
      </c>
      <c r="H128" s="41" t="str">
        <f aca="false">IF($A128="","",SUMIFS(业务流水!$W$5:$W$1504,业务流水!$E$5:$E$1504,$B$3,业务流水!$D$5:$D$1504,"销项开票",业务流水!$C$5:$C$1504,$A128,业务流水!$Z$5:$Z$1504,"是"))</f>
        <v/>
      </c>
      <c r="I128" s="41" t="str">
        <f aca="false">IF($A128="","",SUMIFS(业务流水!$H$5:$H$1504,业务流水!$E$5:$E$1504,$B$3,业务流水!$D$5:$D$1504,"已交税",业务流水!$C$5:$C$1504,$A128,业务流水!$Z$5:$Z$1504,"是"))</f>
        <v/>
      </c>
      <c r="J128" s="42" t="str">
        <f aca="false">IF($A128="","",$H128-$I128)</f>
        <v/>
      </c>
      <c r="K128" s="41" t="str">
        <f aca="false">IF($A128="","",SUMIFS(业务流水!$H$5:$H$1504,业务流水!$F$5:$F$1504,$B$3,业务流水!$D$5:$D$1504,"挂靠代收",业务流水!$C$5:$C$1504,$A128,业务流水!$Z$5:$Z$1504,"是"))</f>
        <v/>
      </c>
      <c r="L128" s="42" t="str">
        <f aca="false">IF($A128="","",$C128-$K128)</f>
        <v/>
      </c>
      <c r="M128" s="41" t="str">
        <f aca="false">IF($A128="","",SUMIFS(业务流水!$H$5:$H$1504,业务流水!$E$5:$E$1504,$B$3,业务流水!$D$5:$D$1504,"我方收款",业务流水!$C$5:$C$1504,$A128,业务流水!$Z$5:$Z$1504,"是"))</f>
        <v/>
      </c>
      <c r="N128" s="43" t="str">
        <f aca="false">IF($A128="","",$K128-$M128)</f>
        <v/>
      </c>
      <c r="O128" s="41" t="str">
        <f aca="false">IF($A128="","",SUMIFS(业务流水!$H$5:$H$1504,业务流水!$F$5:$F$1504,$B$3,业务流水!$D$5:$D$1504,"管理费结算",业务流水!$C$5:$C$1504,$A128,业务流水!$Z$5:$Z$1504,"是"))</f>
        <v/>
      </c>
      <c r="P128" s="41" t="str">
        <f aca="false">IF($A128="","",SUMIFS(业务流水!$H$5:$H$1504,业务流水!$E$5:$E$1504,$B$3,业务流水!$D$5:$D$1504,"扣质保金",业务流水!$C$5:$C$1504,$A128,业务流水!$Z$5:$Z$1504,"是"))</f>
        <v/>
      </c>
      <c r="Q128" s="48" t="str">
        <f aca="false">IF($A128="","",IF(SUM($C128:$F128)+SUM($K128:$M128)=0,"无","有"))</f>
        <v/>
      </c>
    </row>
    <row r="129" customFormat="false" ht="15.75" hidden="false" customHeight="true" outlineLevel="0" collapsed="false">
      <c r="A129" s="32" t="str">
        <f aca="false">IF(项目档案!$A129="","",项目档案!$A129)</f>
        <v/>
      </c>
      <c r="B129" s="40" t="str">
        <f aca="false">IF($A129="","",项目档案!$B129)</f>
        <v/>
      </c>
      <c r="C129" s="41" t="str">
        <f aca="false">IF($A129="","",SUMIFS(业务流水!$H$5:$H$1504,业务流水!$E$5:$E$1504,$B$3,业务流水!$D$5:$D$1504,"销项开票",业务流水!$C$5:$C$1504,$A129,业务流水!$Z$5:$Z$1504,"是"))</f>
        <v/>
      </c>
      <c r="D129" s="41" t="str">
        <f aca="false">IF($A129="","",SUMIFS(业务流水!$O$5:$O$1504,业务流水!$E$5:$E$1504,$B$3,业务流水!$D$5:$D$1504,"销项开票",业务流水!$C$5:$C$1504,$A129,业务流水!$Z$5:$Z$1504,"是"))</f>
        <v/>
      </c>
      <c r="E129" s="41" t="str">
        <f aca="false">IF($A129="","",SUMIFS(业务流水!$P$5:$P$1504,业务流水!$E$5:$E$1504,$B$3,业务流水!$D$5:$D$1504,"销项开票",业务流水!$C$5:$C$1504,$A129,业务流水!$Z$5:$Z$1504,"是"))</f>
        <v/>
      </c>
      <c r="F129" s="41" t="str">
        <f aca="false">IF($A129="","",SUMIFS(业务流水!$H$5:$H$1504,业务流水!$F$5:$F$1504,$B$3,业务流水!$D$5:$D$1504,"成本票",业务流水!$C$5:$C$1504,$A129,业务流水!$Z$5:$Z$1504,"是")+SUMIFS(业务流水!$H$5:$H$1504,业务流水!$F$5:$F$1504,$B$3,业务流水!$D$5:$D$1504,"销项开票",业务流水!$C$5:$C$1504,$A129,业务流水!$Z$5:$Z$1504,"是"))</f>
        <v/>
      </c>
      <c r="G129" s="42" t="str">
        <f aca="false">IF($A129="","",$E129-$F129)</f>
        <v/>
      </c>
      <c r="H129" s="41" t="str">
        <f aca="false">IF($A129="","",SUMIFS(业务流水!$W$5:$W$1504,业务流水!$E$5:$E$1504,$B$3,业务流水!$D$5:$D$1504,"销项开票",业务流水!$C$5:$C$1504,$A129,业务流水!$Z$5:$Z$1504,"是"))</f>
        <v/>
      </c>
      <c r="I129" s="41" t="str">
        <f aca="false">IF($A129="","",SUMIFS(业务流水!$H$5:$H$1504,业务流水!$E$5:$E$1504,$B$3,业务流水!$D$5:$D$1504,"已交税",业务流水!$C$5:$C$1504,$A129,业务流水!$Z$5:$Z$1504,"是"))</f>
        <v/>
      </c>
      <c r="J129" s="42" t="str">
        <f aca="false">IF($A129="","",$H129-$I129)</f>
        <v/>
      </c>
      <c r="K129" s="41" t="str">
        <f aca="false">IF($A129="","",SUMIFS(业务流水!$H$5:$H$1504,业务流水!$F$5:$F$1504,$B$3,业务流水!$D$5:$D$1504,"挂靠代收",业务流水!$C$5:$C$1504,$A129,业务流水!$Z$5:$Z$1504,"是"))</f>
        <v/>
      </c>
      <c r="L129" s="42" t="str">
        <f aca="false">IF($A129="","",$C129-$K129)</f>
        <v/>
      </c>
      <c r="M129" s="41" t="str">
        <f aca="false">IF($A129="","",SUMIFS(业务流水!$H$5:$H$1504,业务流水!$E$5:$E$1504,$B$3,业务流水!$D$5:$D$1504,"我方收款",业务流水!$C$5:$C$1504,$A129,业务流水!$Z$5:$Z$1504,"是"))</f>
        <v/>
      </c>
      <c r="N129" s="43" t="str">
        <f aca="false">IF($A129="","",$K129-$M129)</f>
        <v/>
      </c>
      <c r="O129" s="41" t="str">
        <f aca="false">IF($A129="","",SUMIFS(业务流水!$H$5:$H$1504,业务流水!$F$5:$F$1504,$B$3,业务流水!$D$5:$D$1504,"管理费结算",业务流水!$C$5:$C$1504,$A129,业务流水!$Z$5:$Z$1504,"是"))</f>
        <v/>
      </c>
      <c r="P129" s="41" t="str">
        <f aca="false">IF($A129="","",SUMIFS(业务流水!$H$5:$H$1504,业务流水!$E$5:$E$1504,$B$3,业务流水!$D$5:$D$1504,"扣质保金",业务流水!$C$5:$C$1504,$A129,业务流水!$Z$5:$Z$1504,"是"))</f>
        <v/>
      </c>
      <c r="Q129" s="48" t="str">
        <f aca="false">IF($A129="","",IF(SUM($C129:$F129)+SUM($K129:$M129)=0,"无","有"))</f>
        <v/>
      </c>
    </row>
    <row r="130" customFormat="false" ht="15.75" hidden="false" customHeight="true" outlineLevel="0" collapsed="false">
      <c r="A130" s="32" t="str">
        <f aca="false">IF(项目档案!$A130="","",项目档案!$A130)</f>
        <v/>
      </c>
      <c r="B130" s="40" t="str">
        <f aca="false">IF($A130="","",项目档案!$B130)</f>
        <v/>
      </c>
      <c r="C130" s="41" t="str">
        <f aca="false">IF($A130="","",SUMIFS(业务流水!$H$5:$H$1504,业务流水!$E$5:$E$1504,$B$3,业务流水!$D$5:$D$1504,"销项开票",业务流水!$C$5:$C$1504,$A130,业务流水!$Z$5:$Z$1504,"是"))</f>
        <v/>
      </c>
      <c r="D130" s="41" t="str">
        <f aca="false">IF($A130="","",SUMIFS(业务流水!$O$5:$O$1504,业务流水!$E$5:$E$1504,$B$3,业务流水!$D$5:$D$1504,"销项开票",业务流水!$C$5:$C$1504,$A130,业务流水!$Z$5:$Z$1504,"是"))</f>
        <v/>
      </c>
      <c r="E130" s="41" t="str">
        <f aca="false">IF($A130="","",SUMIFS(业务流水!$P$5:$P$1504,业务流水!$E$5:$E$1504,$B$3,业务流水!$D$5:$D$1504,"销项开票",业务流水!$C$5:$C$1504,$A130,业务流水!$Z$5:$Z$1504,"是"))</f>
        <v/>
      </c>
      <c r="F130" s="41" t="str">
        <f aca="false">IF($A130="","",SUMIFS(业务流水!$H$5:$H$1504,业务流水!$F$5:$F$1504,$B$3,业务流水!$D$5:$D$1504,"成本票",业务流水!$C$5:$C$1504,$A130,业务流水!$Z$5:$Z$1504,"是")+SUMIFS(业务流水!$H$5:$H$1504,业务流水!$F$5:$F$1504,$B$3,业务流水!$D$5:$D$1504,"销项开票",业务流水!$C$5:$C$1504,$A130,业务流水!$Z$5:$Z$1504,"是"))</f>
        <v/>
      </c>
      <c r="G130" s="42" t="str">
        <f aca="false">IF($A130="","",$E130-$F130)</f>
        <v/>
      </c>
      <c r="H130" s="41" t="str">
        <f aca="false">IF($A130="","",SUMIFS(业务流水!$W$5:$W$1504,业务流水!$E$5:$E$1504,$B$3,业务流水!$D$5:$D$1504,"销项开票",业务流水!$C$5:$C$1504,$A130,业务流水!$Z$5:$Z$1504,"是"))</f>
        <v/>
      </c>
      <c r="I130" s="41" t="str">
        <f aca="false">IF($A130="","",SUMIFS(业务流水!$H$5:$H$1504,业务流水!$E$5:$E$1504,$B$3,业务流水!$D$5:$D$1504,"已交税",业务流水!$C$5:$C$1504,$A130,业务流水!$Z$5:$Z$1504,"是"))</f>
        <v/>
      </c>
      <c r="J130" s="42" t="str">
        <f aca="false">IF($A130="","",$H130-$I130)</f>
        <v/>
      </c>
      <c r="K130" s="41" t="str">
        <f aca="false">IF($A130="","",SUMIFS(业务流水!$H$5:$H$1504,业务流水!$F$5:$F$1504,$B$3,业务流水!$D$5:$D$1504,"挂靠代收",业务流水!$C$5:$C$1504,$A130,业务流水!$Z$5:$Z$1504,"是"))</f>
        <v/>
      </c>
      <c r="L130" s="42" t="str">
        <f aca="false">IF($A130="","",$C130-$K130)</f>
        <v/>
      </c>
      <c r="M130" s="41" t="str">
        <f aca="false">IF($A130="","",SUMIFS(业务流水!$H$5:$H$1504,业务流水!$E$5:$E$1504,$B$3,业务流水!$D$5:$D$1504,"我方收款",业务流水!$C$5:$C$1504,$A130,业务流水!$Z$5:$Z$1504,"是"))</f>
        <v/>
      </c>
      <c r="N130" s="43" t="str">
        <f aca="false">IF($A130="","",$K130-$M130)</f>
        <v/>
      </c>
      <c r="O130" s="41" t="str">
        <f aca="false">IF($A130="","",SUMIFS(业务流水!$H$5:$H$1504,业务流水!$F$5:$F$1504,$B$3,业务流水!$D$5:$D$1504,"管理费结算",业务流水!$C$5:$C$1504,$A130,业务流水!$Z$5:$Z$1504,"是"))</f>
        <v/>
      </c>
      <c r="P130" s="41" t="str">
        <f aca="false">IF($A130="","",SUMIFS(业务流水!$H$5:$H$1504,业务流水!$E$5:$E$1504,$B$3,业务流水!$D$5:$D$1504,"扣质保金",业务流水!$C$5:$C$1504,$A130,业务流水!$Z$5:$Z$1504,"是"))</f>
        <v/>
      </c>
      <c r="Q130" s="48" t="str">
        <f aca="false">IF($A130="","",IF(SUM($C130:$F130)+SUM($K130:$M130)=0,"无","有"))</f>
        <v/>
      </c>
    </row>
    <row r="131" customFormat="false" ht="15.75" hidden="false" customHeight="true" outlineLevel="0" collapsed="false">
      <c r="A131" s="32" t="str">
        <f aca="false">IF(项目档案!$A131="","",项目档案!$A131)</f>
        <v/>
      </c>
      <c r="B131" s="40" t="str">
        <f aca="false">IF($A131="","",项目档案!$B131)</f>
        <v/>
      </c>
      <c r="C131" s="41" t="str">
        <f aca="false">IF($A131="","",SUMIFS(业务流水!$H$5:$H$1504,业务流水!$E$5:$E$1504,$B$3,业务流水!$D$5:$D$1504,"销项开票",业务流水!$C$5:$C$1504,$A131,业务流水!$Z$5:$Z$1504,"是"))</f>
        <v/>
      </c>
      <c r="D131" s="41" t="str">
        <f aca="false">IF($A131="","",SUMIFS(业务流水!$O$5:$O$1504,业务流水!$E$5:$E$1504,$B$3,业务流水!$D$5:$D$1504,"销项开票",业务流水!$C$5:$C$1504,$A131,业务流水!$Z$5:$Z$1504,"是"))</f>
        <v/>
      </c>
      <c r="E131" s="41" t="str">
        <f aca="false">IF($A131="","",SUMIFS(业务流水!$P$5:$P$1504,业务流水!$E$5:$E$1504,$B$3,业务流水!$D$5:$D$1504,"销项开票",业务流水!$C$5:$C$1504,$A131,业务流水!$Z$5:$Z$1504,"是"))</f>
        <v/>
      </c>
      <c r="F131" s="41" t="str">
        <f aca="false">IF($A131="","",SUMIFS(业务流水!$H$5:$H$1504,业务流水!$F$5:$F$1504,$B$3,业务流水!$D$5:$D$1504,"成本票",业务流水!$C$5:$C$1504,$A131,业务流水!$Z$5:$Z$1504,"是")+SUMIFS(业务流水!$H$5:$H$1504,业务流水!$F$5:$F$1504,$B$3,业务流水!$D$5:$D$1504,"销项开票",业务流水!$C$5:$C$1504,$A131,业务流水!$Z$5:$Z$1504,"是"))</f>
        <v/>
      </c>
      <c r="G131" s="42" t="str">
        <f aca="false">IF($A131="","",$E131-$F131)</f>
        <v/>
      </c>
      <c r="H131" s="41" t="str">
        <f aca="false">IF($A131="","",SUMIFS(业务流水!$W$5:$W$1504,业务流水!$E$5:$E$1504,$B$3,业务流水!$D$5:$D$1504,"销项开票",业务流水!$C$5:$C$1504,$A131,业务流水!$Z$5:$Z$1504,"是"))</f>
        <v/>
      </c>
      <c r="I131" s="41" t="str">
        <f aca="false">IF($A131="","",SUMIFS(业务流水!$H$5:$H$1504,业务流水!$E$5:$E$1504,$B$3,业务流水!$D$5:$D$1504,"已交税",业务流水!$C$5:$C$1504,$A131,业务流水!$Z$5:$Z$1504,"是"))</f>
        <v/>
      </c>
      <c r="J131" s="42" t="str">
        <f aca="false">IF($A131="","",$H131-$I131)</f>
        <v/>
      </c>
      <c r="K131" s="41" t="str">
        <f aca="false">IF($A131="","",SUMIFS(业务流水!$H$5:$H$1504,业务流水!$F$5:$F$1504,$B$3,业务流水!$D$5:$D$1504,"挂靠代收",业务流水!$C$5:$C$1504,$A131,业务流水!$Z$5:$Z$1504,"是"))</f>
        <v/>
      </c>
      <c r="L131" s="42" t="str">
        <f aca="false">IF($A131="","",$C131-$K131)</f>
        <v/>
      </c>
      <c r="M131" s="41" t="str">
        <f aca="false">IF($A131="","",SUMIFS(业务流水!$H$5:$H$1504,业务流水!$E$5:$E$1504,$B$3,业务流水!$D$5:$D$1504,"我方收款",业务流水!$C$5:$C$1504,$A131,业务流水!$Z$5:$Z$1504,"是"))</f>
        <v/>
      </c>
      <c r="N131" s="43" t="str">
        <f aca="false">IF($A131="","",$K131-$M131)</f>
        <v/>
      </c>
      <c r="O131" s="41" t="str">
        <f aca="false">IF($A131="","",SUMIFS(业务流水!$H$5:$H$1504,业务流水!$F$5:$F$1504,$B$3,业务流水!$D$5:$D$1504,"管理费结算",业务流水!$C$5:$C$1504,$A131,业务流水!$Z$5:$Z$1504,"是"))</f>
        <v/>
      </c>
      <c r="P131" s="41" t="str">
        <f aca="false">IF($A131="","",SUMIFS(业务流水!$H$5:$H$1504,业务流水!$E$5:$E$1504,$B$3,业务流水!$D$5:$D$1504,"扣质保金",业务流水!$C$5:$C$1504,$A131,业务流水!$Z$5:$Z$1504,"是"))</f>
        <v/>
      </c>
      <c r="Q131" s="48" t="str">
        <f aca="false">IF($A131="","",IF(SUM($C131:$F131)+SUM($K131:$M131)=0,"无","有"))</f>
        <v/>
      </c>
    </row>
    <row r="132" customFormat="false" ht="15.75" hidden="false" customHeight="true" outlineLevel="0" collapsed="false">
      <c r="A132" s="32" t="str">
        <f aca="false">IF(项目档案!$A132="","",项目档案!$A132)</f>
        <v/>
      </c>
      <c r="B132" s="40" t="str">
        <f aca="false">IF($A132="","",项目档案!$B132)</f>
        <v/>
      </c>
      <c r="C132" s="41" t="str">
        <f aca="false">IF($A132="","",SUMIFS(业务流水!$H$5:$H$1504,业务流水!$E$5:$E$1504,$B$3,业务流水!$D$5:$D$1504,"销项开票",业务流水!$C$5:$C$1504,$A132,业务流水!$Z$5:$Z$1504,"是"))</f>
        <v/>
      </c>
      <c r="D132" s="41" t="str">
        <f aca="false">IF($A132="","",SUMIFS(业务流水!$O$5:$O$1504,业务流水!$E$5:$E$1504,$B$3,业务流水!$D$5:$D$1504,"销项开票",业务流水!$C$5:$C$1504,$A132,业务流水!$Z$5:$Z$1504,"是"))</f>
        <v/>
      </c>
      <c r="E132" s="41" t="str">
        <f aca="false">IF($A132="","",SUMIFS(业务流水!$P$5:$P$1504,业务流水!$E$5:$E$1504,$B$3,业务流水!$D$5:$D$1504,"销项开票",业务流水!$C$5:$C$1504,$A132,业务流水!$Z$5:$Z$1504,"是"))</f>
        <v/>
      </c>
      <c r="F132" s="41" t="str">
        <f aca="false">IF($A132="","",SUMIFS(业务流水!$H$5:$H$1504,业务流水!$F$5:$F$1504,$B$3,业务流水!$D$5:$D$1504,"成本票",业务流水!$C$5:$C$1504,$A132,业务流水!$Z$5:$Z$1504,"是")+SUMIFS(业务流水!$H$5:$H$1504,业务流水!$F$5:$F$1504,$B$3,业务流水!$D$5:$D$1504,"销项开票",业务流水!$C$5:$C$1504,$A132,业务流水!$Z$5:$Z$1504,"是"))</f>
        <v/>
      </c>
      <c r="G132" s="42" t="str">
        <f aca="false">IF($A132="","",$E132-$F132)</f>
        <v/>
      </c>
      <c r="H132" s="41" t="str">
        <f aca="false">IF($A132="","",SUMIFS(业务流水!$W$5:$W$1504,业务流水!$E$5:$E$1504,$B$3,业务流水!$D$5:$D$1504,"销项开票",业务流水!$C$5:$C$1504,$A132,业务流水!$Z$5:$Z$1504,"是"))</f>
        <v/>
      </c>
      <c r="I132" s="41" t="str">
        <f aca="false">IF($A132="","",SUMIFS(业务流水!$H$5:$H$1504,业务流水!$E$5:$E$1504,$B$3,业务流水!$D$5:$D$1504,"已交税",业务流水!$C$5:$C$1504,$A132,业务流水!$Z$5:$Z$1504,"是"))</f>
        <v/>
      </c>
      <c r="J132" s="42" t="str">
        <f aca="false">IF($A132="","",$H132-$I132)</f>
        <v/>
      </c>
      <c r="K132" s="41" t="str">
        <f aca="false">IF($A132="","",SUMIFS(业务流水!$H$5:$H$1504,业务流水!$F$5:$F$1504,$B$3,业务流水!$D$5:$D$1504,"挂靠代收",业务流水!$C$5:$C$1504,$A132,业务流水!$Z$5:$Z$1504,"是"))</f>
        <v/>
      </c>
      <c r="L132" s="42" t="str">
        <f aca="false">IF($A132="","",$C132-$K132)</f>
        <v/>
      </c>
      <c r="M132" s="41" t="str">
        <f aca="false">IF($A132="","",SUMIFS(业务流水!$H$5:$H$1504,业务流水!$E$5:$E$1504,$B$3,业务流水!$D$5:$D$1504,"我方收款",业务流水!$C$5:$C$1504,$A132,业务流水!$Z$5:$Z$1504,"是"))</f>
        <v/>
      </c>
      <c r="N132" s="43" t="str">
        <f aca="false">IF($A132="","",$K132-$M132)</f>
        <v/>
      </c>
      <c r="O132" s="41" t="str">
        <f aca="false">IF($A132="","",SUMIFS(业务流水!$H$5:$H$1504,业务流水!$F$5:$F$1504,$B$3,业务流水!$D$5:$D$1504,"管理费结算",业务流水!$C$5:$C$1504,$A132,业务流水!$Z$5:$Z$1504,"是"))</f>
        <v/>
      </c>
      <c r="P132" s="41" t="str">
        <f aca="false">IF($A132="","",SUMIFS(业务流水!$H$5:$H$1504,业务流水!$E$5:$E$1504,$B$3,业务流水!$D$5:$D$1504,"扣质保金",业务流水!$C$5:$C$1504,$A132,业务流水!$Z$5:$Z$1504,"是"))</f>
        <v/>
      </c>
      <c r="Q132" s="48" t="str">
        <f aca="false">IF($A132="","",IF(SUM($C132:$F132)+SUM($K132:$M132)=0,"无","有"))</f>
        <v/>
      </c>
    </row>
    <row r="133" customFormat="false" ht="15.75" hidden="false" customHeight="true" outlineLevel="0" collapsed="false">
      <c r="A133" s="32" t="str">
        <f aca="false">IF(项目档案!$A133="","",项目档案!$A133)</f>
        <v/>
      </c>
      <c r="B133" s="40" t="str">
        <f aca="false">IF($A133="","",项目档案!$B133)</f>
        <v/>
      </c>
      <c r="C133" s="41" t="str">
        <f aca="false">IF($A133="","",SUMIFS(业务流水!$H$5:$H$1504,业务流水!$E$5:$E$1504,$B$3,业务流水!$D$5:$D$1504,"销项开票",业务流水!$C$5:$C$1504,$A133,业务流水!$Z$5:$Z$1504,"是"))</f>
        <v/>
      </c>
      <c r="D133" s="41" t="str">
        <f aca="false">IF($A133="","",SUMIFS(业务流水!$O$5:$O$1504,业务流水!$E$5:$E$1504,$B$3,业务流水!$D$5:$D$1504,"销项开票",业务流水!$C$5:$C$1504,$A133,业务流水!$Z$5:$Z$1504,"是"))</f>
        <v/>
      </c>
      <c r="E133" s="41" t="str">
        <f aca="false">IF($A133="","",SUMIFS(业务流水!$P$5:$P$1504,业务流水!$E$5:$E$1504,$B$3,业务流水!$D$5:$D$1504,"销项开票",业务流水!$C$5:$C$1504,$A133,业务流水!$Z$5:$Z$1504,"是"))</f>
        <v/>
      </c>
      <c r="F133" s="41" t="str">
        <f aca="false">IF($A133="","",SUMIFS(业务流水!$H$5:$H$1504,业务流水!$F$5:$F$1504,$B$3,业务流水!$D$5:$D$1504,"成本票",业务流水!$C$5:$C$1504,$A133,业务流水!$Z$5:$Z$1504,"是")+SUMIFS(业务流水!$H$5:$H$1504,业务流水!$F$5:$F$1504,$B$3,业务流水!$D$5:$D$1504,"销项开票",业务流水!$C$5:$C$1504,$A133,业务流水!$Z$5:$Z$1504,"是"))</f>
        <v/>
      </c>
      <c r="G133" s="42" t="str">
        <f aca="false">IF($A133="","",$E133-$F133)</f>
        <v/>
      </c>
      <c r="H133" s="41" t="str">
        <f aca="false">IF($A133="","",SUMIFS(业务流水!$W$5:$W$1504,业务流水!$E$5:$E$1504,$B$3,业务流水!$D$5:$D$1504,"销项开票",业务流水!$C$5:$C$1504,$A133,业务流水!$Z$5:$Z$1504,"是"))</f>
        <v/>
      </c>
      <c r="I133" s="41" t="str">
        <f aca="false">IF($A133="","",SUMIFS(业务流水!$H$5:$H$1504,业务流水!$E$5:$E$1504,$B$3,业务流水!$D$5:$D$1504,"已交税",业务流水!$C$5:$C$1504,$A133,业务流水!$Z$5:$Z$1504,"是"))</f>
        <v/>
      </c>
      <c r="J133" s="42" t="str">
        <f aca="false">IF($A133="","",$H133-$I133)</f>
        <v/>
      </c>
      <c r="K133" s="41" t="str">
        <f aca="false">IF($A133="","",SUMIFS(业务流水!$H$5:$H$1504,业务流水!$F$5:$F$1504,$B$3,业务流水!$D$5:$D$1504,"挂靠代收",业务流水!$C$5:$C$1504,$A133,业务流水!$Z$5:$Z$1504,"是"))</f>
        <v/>
      </c>
      <c r="L133" s="42" t="str">
        <f aca="false">IF($A133="","",$C133-$K133)</f>
        <v/>
      </c>
      <c r="M133" s="41" t="str">
        <f aca="false">IF($A133="","",SUMIFS(业务流水!$H$5:$H$1504,业务流水!$E$5:$E$1504,$B$3,业务流水!$D$5:$D$1504,"我方收款",业务流水!$C$5:$C$1504,$A133,业务流水!$Z$5:$Z$1504,"是"))</f>
        <v/>
      </c>
      <c r="N133" s="43" t="str">
        <f aca="false">IF($A133="","",$K133-$M133)</f>
        <v/>
      </c>
      <c r="O133" s="41" t="str">
        <f aca="false">IF($A133="","",SUMIFS(业务流水!$H$5:$H$1504,业务流水!$F$5:$F$1504,$B$3,业务流水!$D$5:$D$1504,"管理费结算",业务流水!$C$5:$C$1504,$A133,业务流水!$Z$5:$Z$1504,"是"))</f>
        <v/>
      </c>
      <c r="P133" s="41" t="str">
        <f aca="false">IF($A133="","",SUMIFS(业务流水!$H$5:$H$1504,业务流水!$E$5:$E$1504,$B$3,业务流水!$D$5:$D$1504,"扣质保金",业务流水!$C$5:$C$1504,$A133,业务流水!$Z$5:$Z$1504,"是"))</f>
        <v/>
      </c>
      <c r="Q133" s="48" t="str">
        <f aca="false">IF($A133="","",IF(SUM($C133:$F133)+SUM($K133:$M133)=0,"无","有"))</f>
        <v/>
      </c>
    </row>
    <row r="134" customFormat="false" ht="15.75" hidden="false" customHeight="true" outlineLevel="0" collapsed="false">
      <c r="A134" s="32" t="str">
        <f aca="false">IF(项目档案!$A134="","",项目档案!$A134)</f>
        <v/>
      </c>
      <c r="B134" s="40" t="str">
        <f aca="false">IF($A134="","",项目档案!$B134)</f>
        <v/>
      </c>
      <c r="C134" s="41" t="str">
        <f aca="false">IF($A134="","",SUMIFS(业务流水!$H$5:$H$1504,业务流水!$E$5:$E$1504,$B$3,业务流水!$D$5:$D$1504,"销项开票",业务流水!$C$5:$C$1504,$A134,业务流水!$Z$5:$Z$1504,"是"))</f>
        <v/>
      </c>
      <c r="D134" s="41" t="str">
        <f aca="false">IF($A134="","",SUMIFS(业务流水!$O$5:$O$1504,业务流水!$E$5:$E$1504,$B$3,业务流水!$D$5:$D$1504,"销项开票",业务流水!$C$5:$C$1504,$A134,业务流水!$Z$5:$Z$1504,"是"))</f>
        <v/>
      </c>
      <c r="E134" s="41" t="str">
        <f aca="false">IF($A134="","",SUMIFS(业务流水!$P$5:$P$1504,业务流水!$E$5:$E$1504,$B$3,业务流水!$D$5:$D$1504,"销项开票",业务流水!$C$5:$C$1504,$A134,业务流水!$Z$5:$Z$1504,"是"))</f>
        <v/>
      </c>
      <c r="F134" s="41" t="str">
        <f aca="false">IF($A134="","",SUMIFS(业务流水!$H$5:$H$1504,业务流水!$F$5:$F$1504,$B$3,业务流水!$D$5:$D$1504,"成本票",业务流水!$C$5:$C$1504,$A134,业务流水!$Z$5:$Z$1504,"是")+SUMIFS(业务流水!$H$5:$H$1504,业务流水!$F$5:$F$1504,$B$3,业务流水!$D$5:$D$1504,"销项开票",业务流水!$C$5:$C$1504,$A134,业务流水!$Z$5:$Z$1504,"是"))</f>
        <v/>
      </c>
      <c r="G134" s="42" t="str">
        <f aca="false">IF($A134="","",$E134-$F134)</f>
        <v/>
      </c>
      <c r="H134" s="41" t="str">
        <f aca="false">IF($A134="","",SUMIFS(业务流水!$W$5:$W$1504,业务流水!$E$5:$E$1504,$B$3,业务流水!$D$5:$D$1504,"销项开票",业务流水!$C$5:$C$1504,$A134,业务流水!$Z$5:$Z$1504,"是"))</f>
        <v/>
      </c>
      <c r="I134" s="41" t="str">
        <f aca="false">IF($A134="","",SUMIFS(业务流水!$H$5:$H$1504,业务流水!$E$5:$E$1504,$B$3,业务流水!$D$5:$D$1504,"已交税",业务流水!$C$5:$C$1504,$A134,业务流水!$Z$5:$Z$1504,"是"))</f>
        <v/>
      </c>
      <c r="J134" s="42" t="str">
        <f aca="false">IF($A134="","",$H134-$I134)</f>
        <v/>
      </c>
      <c r="K134" s="41" t="str">
        <f aca="false">IF($A134="","",SUMIFS(业务流水!$H$5:$H$1504,业务流水!$F$5:$F$1504,$B$3,业务流水!$D$5:$D$1504,"挂靠代收",业务流水!$C$5:$C$1504,$A134,业务流水!$Z$5:$Z$1504,"是"))</f>
        <v/>
      </c>
      <c r="L134" s="42" t="str">
        <f aca="false">IF($A134="","",$C134-$K134)</f>
        <v/>
      </c>
      <c r="M134" s="41" t="str">
        <f aca="false">IF($A134="","",SUMIFS(业务流水!$H$5:$H$1504,业务流水!$E$5:$E$1504,$B$3,业务流水!$D$5:$D$1504,"我方收款",业务流水!$C$5:$C$1504,$A134,业务流水!$Z$5:$Z$1504,"是"))</f>
        <v/>
      </c>
      <c r="N134" s="43" t="str">
        <f aca="false">IF($A134="","",$K134-$M134)</f>
        <v/>
      </c>
      <c r="O134" s="41" t="str">
        <f aca="false">IF($A134="","",SUMIFS(业务流水!$H$5:$H$1504,业务流水!$F$5:$F$1504,$B$3,业务流水!$D$5:$D$1504,"管理费结算",业务流水!$C$5:$C$1504,$A134,业务流水!$Z$5:$Z$1504,"是"))</f>
        <v/>
      </c>
      <c r="P134" s="41" t="str">
        <f aca="false">IF($A134="","",SUMIFS(业务流水!$H$5:$H$1504,业务流水!$E$5:$E$1504,$B$3,业务流水!$D$5:$D$1504,"扣质保金",业务流水!$C$5:$C$1504,$A134,业务流水!$Z$5:$Z$1504,"是"))</f>
        <v/>
      </c>
      <c r="Q134" s="48" t="str">
        <f aca="false">IF($A134="","",IF(SUM($C134:$F134)+SUM($K134:$M134)=0,"无","有"))</f>
        <v/>
      </c>
    </row>
    <row r="135" customFormat="false" ht="15.75" hidden="false" customHeight="true" outlineLevel="0" collapsed="false">
      <c r="A135" s="32" t="str">
        <f aca="false">IF(项目档案!$A135="","",项目档案!$A135)</f>
        <v/>
      </c>
      <c r="B135" s="40" t="str">
        <f aca="false">IF($A135="","",项目档案!$B135)</f>
        <v/>
      </c>
      <c r="C135" s="41" t="str">
        <f aca="false">IF($A135="","",SUMIFS(业务流水!$H$5:$H$1504,业务流水!$E$5:$E$1504,$B$3,业务流水!$D$5:$D$1504,"销项开票",业务流水!$C$5:$C$1504,$A135,业务流水!$Z$5:$Z$1504,"是"))</f>
        <v/>
      </c>
      <c r="D135" s="41" t="str">
        <f aca="false">IF($A135="","",SUMIFS(业务流水!$O$5:$O$1504,业务流水!$E$5:$E$1504,$B$3,业务流水!$D$5:$D$1504,"销项开票",业务流水!$C$5:$C$1504,$A135,业务流水!$Z$5:$Z$1504,"是"))</f>
        <v/>
      </c>
      <c r="E135" s="41" t="str">
        <f aca="false">IF($A135="","",SUMIFS(业务流水!$P$5:$P$1504,业务流水!$E$5:$E$1504,$B$3,业务流水!$D$5:$D$1504,"销项开票",业务流水!$C$5:$C$1504,$A135,业务流水!$Z$5:$Z$1504,"是"))</f>
        <v/>
      </c>
      <c r="F135" s="41" t="str">
        <f aca="false">IF($A135="","",SUMIFS(业务流水!$H$5:$H$1504,业务流水!$F$5:$F$1504,$B$3,业务流水!$D$5:$D$1504,"成本票",业务流水!$C$5:$C$1504,$A135,业务流水!$Z$5:$Z$1504,"是")+SUMIFS(业务流水!$H$5:$H$1504,业务流水!$F$5:$F$1504,$B$3,业务流水!$D$5:$D$1504,"销项开票",业务流水!$C$5:$C$1504,$A135,业务流水!$Z$5:$Z$1504,"是"))</f>
        <v/>
      </c>
      <c r="G135" s="42" t="str">
        <f aca="false">IF($A135="","",$E135-$F135)</f>
        <v/>
      </c>
      <c r="H135" s="41" t="str">
        <f aca="false">IF($A135="","",SUMIFS(业务流水!$W$5:$W$1504,业务流水!$E$5:$E$1504,$B$3,业务流水!$D$5:$D$1504,"销项开票",业务流水!$C$5:$C$1504,$A135,业务流水!$Z$5:$Z$1504,"是"))</f>
        <v/>
      </c>
      <c r="I135" s="41" t="str">
        <f aca="false">IF($A135="","",SUMIFS(业务流水!$H$5:$H$1504,业务流水!$E$5:$E$1504,$B$3,业务流水!$D$5:$D$1504,"已交税",业务流水!$C$5:$C$1504,$A135,业务流水!$Z$5:$Z$1504,"是"))</f>
        <v/>
      </c>
      <c r="J135" s="42" t="str">
        <f aca="false">IF($A135="","",$H135-$I135)</f>
        <v/>
      </c>
      <c r="K135" s="41" t="str">
        <f aca="false">IF($A135="","",SUMIFS(业务流水!$H$5:$H$1504,业务流水!$F$5:$F$1504,$B$3,业务流水!$D$5:$D$1504,"挂靠代收",业务流水!$C$5:$C$1504,$A135,业务流水!$Z$5:$Z$1504,"是"))</f>
        <v/>
      </c>
      <c r="L135" s="42" t="str">
        <f aca="false">IF($A135="","",$C135-$K135)</f>
        <v/>
      </c>
      <c r="M135" s="41" t="str">
        <f aca="false">IF($A135="","",SUMIFS(业务流水!$H$5:$H$1504,业务流水!$E$5:$E$1504,$B$3,业务流水!$D$5:$D$1504,"我方收款",业务流水!$C$5:$C$1504,$A135,业务流水!$Z$5:$Z$1504,"是"))</f>
        <v/>
      </c>
      <c r="N135" s="43" t="str">
        <f aca="false">IF($A135="","",$K135-$M135)</f>
        <v/>
      </c>
      <c r="O135" s="41" t="str">
        <f aca="false">IF($A135="","",SUMIFS(业务流水!$H$5:$H$1504,业务流水!$F$5:$F$1504,$B$3,业务流水!$D$5:$D$1504,"管理费结算",业务流水!$C$5:$C$1504,$A135,业务流水!$Z$5:$Z$1504,"是"))</f>
        <v/>
      </c>
      <c r="P135" s="41" t="str">
        <f aca="false">IF($A135="","",SUMIFS(业务流水!$H$5:$H$1504,业务流水!$E$5:$E$1504,$B$3,业务流水!$D$5:$D$1504,"扣质保金",业务流水!$C$5:$C$1504,$A135,业务流水!$Z$5:$Z$1504,"是"))</f>
        <v/>
      </c>
      <c r="Q135" s="48" t="str">
        <f aca="false">IF($A135="","",IF(SUM($C135:$F135)+SUM($K135:$M135)=0,"无","有"))</f>
        <v/>
      </c>
    </row>
    <row r="136" customFormat="false" ht="15.75" hidden="false" customHeight="true" outlineLevel="0" collapsed="false">
      <c r="A136" s="32" t="str">
        <f aca="false">IF(项目档案!$A136="","",项目档案!$A136)</f>
        <v/>
      </c>
      <c r="B136" s="40" t="str">
        <f aca="false">IF($A136="","",项目档案!$B136)</f>
        <v/>
      </c>
      <c r="C136" s="41" t="str">
        <f aca="false">IF($A136="","",SUMIFS(业务流水!$H$5:$H$1504,业务流水!$E$5:$E$1504,$B$3,业务流水!$D$5:$D$1504,"销项开票",业务流水!$C$5:$C$1504,$A136,业务流水!$Z$5:$Z$1504,"是"))</f>
        <v/>
      </c>
      <c r="D136" s="41" t="str">
        <f aca="false">IF($A136="","",SUMIFS(业务流水!$O$5:$O$1504,业务流水!$E$5:$E$1504,$B$3,业务流水!$D$5:$D$1504,"销项开票",业务流水!$C$5:$C$1504,$A136,业务流水!$Z$5:$Z$1504,"是"))</f>
        <v/>
      </c>
      <c r="E136" s="41" t="str">
        <f aca="false">IF($A136="","",SUMIFS(业务流水!$P$5:$P$1504,业务流水!$E$5:$E$1504,$B$3,业务流水!$D$5:$D$1504,"销项开票",业务流水!$C$5:$C$1504,$A136,业务流水!$Z$5:$Z$1504,"是"))</f>
        <v/>
      </c>
      <c r="F136" s="41" t="str">
        <f aca="false">IF($A136="","",SUMIFS(业务流水!$H$5:$H$1504,业务流水!$F$5:$F$1504,$B$3,业务流水!$D$5:$D$1504,"成本票",业务流水!$C$5:$C$1504,$A136,业务流水!$Z$5:$Z$1504,"是")+SUMIFS(业务流水!$H$5:$H$1504,业务流水!$F$5:$F$1504,$B$3,业务流水!$D$5:$D$1504,"销项开票",业务流水!$C$5:$C$1504,$A136,业务流水!$Z$5:$Z$1504,"是"))</f>
        <v/>
      </c>
      <c r="G136" s="42" t="str">
        <f aca="false">IF($A136="","",$E136-$F136)</f>
        <v/>
      </c>
      <c r="H136" s="41" t="str">
        <f aca="false">IF($A136="","",SUMIFS(业务流水!$W$5:$W$1504,业务流水!$E$5:$E$1504,$B$3,业务流水!$D$5:$D$1504,"销项开票",业务流水!$C$5:$C$1504,$A136,业务流水!$Z$5:$Z$1504,"是"))</f>
        <v/>
      </c>
      <c r="I136" s="41" t="str">
        <f aca="false">IF($A136="","",SUMIFS(业务流水!$H$5:$H$1504,业务流水!$E$5:$E$1504,$B$3,业务流水!$D$5:$D$1504,"已交税",业务流水!$C$5:$C$1504,$A136,业务流水!$Z$5:$Z$1504,"是"))</f>
        <v/>
      </c>
      <c r="J136" s="42" t="str">
        <f aca="false">IF($A136="","",$H136-$I136)</f>
        <v/>
      </c>
      <c r="K136" s="41" t="str">
        <f aca="false">IF($A136="","",SUMIFS(业务流水!$H$5:$H$1504,业务流水!$F$5:$F$1504,$B$3,业务流水!$D$5:$D$1504,"挂靠代收",业务流水!$C$5:$C$1504,$A136,业务流水!$Z$5:$Z$1504,"是"))</f>
        <v/>
      </c>
      <c r="L136" s="42" t="str">
        <f aca="false">IF($A136="","",$C136-$K136)</f>
        <v/>
      </c>
      <c r="M136" s="41" t="str">
        <f aca="false">IF($A136="","",SUMIFS(业务流水!$H$5:$H$1504,业务流水!$E$5:$E$1504,$B$3,业务流水!$D$5:$D$1504,"我方收款",业务流水!$C$5:$C$1504,$A136,业务流水!$Z$5:$Z$1504,"是"))</f>
        <v/>
      </c>
      <c r="N136" s="43" t="str">
        <f aca="false">IF($A136="","",$K136-$M136)</f>
        <v/>
      </c>
      <c r="O136" s="41" t="str">
        <f aca="false">IF($A136="","",SUMIFS(业务流水!$H$5:$H$1504,业务流水!$F$5:$F$1504,$B$3,业务流水!$D$5:$D$1504,"管理费结算",业务流水!$C$5:$C$1504,$A136,业务流水!$Z$5:$Z$1504,"是"))</f>
        <v/>
      </c>
      <c r="P136" s="41" t="str">
        <f aca="false">IF($A136="","",SUMIFS(业务流水!$H$5:$H$1504,业务流水!$E$5:$E$1504,$B$3,业务流水!$D$5:$D$1504,"扣质保金",业务流水!$C$5:$C$1504,$A136,业务流水!$Z$5:$Z$1504,"是"))</f>
        <v/>
      </c>
      <c r="Q136" s="48" t="str">
        <f aca="false">IF($A136="","",IF(SUM($C136:$F136)+SUM($K136:$M136)=0,"无","有"))</f>
        <v/>
      </c>
    </row>
    <row r="137" customFormat="false" ht="15.75" hidden="false" customHeight="true" outlineLevel="0" collapsed="false">
      <c r="A137" s="32" t="str">
        <f aca="false">IF(项目档案!$A137="","",项目档案!$A137)</f>
        <v/>
      </c>
      <c r="B137" s="40" t="str">
        <f aca="false">IF($A137="","",项目档案!$B137)</f>
        <v/>
      </c>
      <c r="C137" s="41" t="str">
        <f aca="false">IF($A137="","",SUMIFS(业务流水!$H$5:$H$1504,业务流水!$E$5:$E$1504,$B$3,业务流水!$D$5:$D$1504,"销项开票",业务流水!$C$5:$C$1504,$A137,业务流水!$Z$5:$Z$1504,"是"))</f>
        <v/>
      </c>
      <c r="D137" s="41" t="str">
        <f aca="false">IF($A137="","",SUMIFS(业务流水!$O$5:$O$1504,业务流水!$E$5:$E$1504,$B$3,业务流水!$D$5:$D$1504,"销项开票",业务流水!$C$5:$C$1504,$A137,业务流水!$Z$5:$Z$1504,"是"))</f>
        <v/>
      </c>
      <c r="E137" s="41" t="str">
        <f aca="false">IF($A137="","",SUMIFS(业务流水!$P$5:$P$1504,业务流水!$E$5:$E$1504,$B$3,业务流水!$D$5:$D$1504,"销项开票",业务流水!$C$5:$C$1504,$A137,业务流水!$Z$5:$Z$1504,"是"))</f>
        <v/>
      </c>
      <c r="F137" s="41" t="str">
        <f aca="false">IF($A137="","",SUMIFS(业务流水!$H$5:$H$1504,业务流水!$F$5:$F$1504,$B$3,业务流水!$D$5:$D$1504,"成本票",业务流水!$C$5:$C$1504,$A137,业务流水!$Z$5:$Z$1504,"是")+SUMIFS(业务流水!$H$5:$H$1504,业务流水!$F$5:$F$1504,$B$3,业务流水!$D$5:$D$1504,"销项开票",业务流水!$C$5:$C$1504,$A137,业务流水!$Z$5:$Z$1504,"是"))</f>
        <v/>
      </c>
      <c r="G137" s="42" t="str">
        <f aca="false">IF($A137="","",$E137-$F137)</f>
        <v/>
      </c>
      <c r="H137" s="41" t="str">
        <f aca="false">IF($A137="","",SUMIFS(业务流水!$W$5:$W$1504,业务流水!$E$5:$E$1504,$B$3,业务流水!$D$5:$D$1504,"销项开票",业务流水!$C$5:$C$1504,$A137,业务流水!$Z$5:$Z$1504,"是"))</f>
        <v/>
      </c>
      <c r="I137" s="41" t="str">
        <f aca="false">IF($A137="","",SUMIFS(业务流水!$H$5:$H$1504,业务流水!$E$5:$E$1504,$B$3,业务流水!$D$5:$D$1504,"已交税",业务流水!$C$5:$C$1504,$A137,业务流水!$Z$5:$Z$1504,"是"))</f>
        <v/>
      </c>
      <c r="J137" s="42" t="str">
        <f aca="false">IF($A137="","",$H137-$I137)</f>
        <v/>
      </c>
      <c r="K137" s="41" t="str">
        <f aca="false">IF($A137="","",SUMIFS(业务流水!$H$5:$H$1504,业务流水!$F$5:$F$1504,$B$3,业务流水!$D$5:$D$1504,"挂靠代收",业务流水!$C$5:$C$1504,$A137,业务流水!$Z$5:$Z$1504,"是"))</f>
        <v/>
      </c>
      <c r="L137" s="42" t="str">
        <f aca="false">IF($A137="","",$C137-$K137)</f>
        <v/>
      </c>
      <c r="M137" s="41" t="str">
        <f aca="false">IF($A137="","",SUMIFS(业务流水!$H$5:$H$1504,业务流水!$E$5:$E$1504,$B$3,业务流水!$D$5:$D$1504,"我方收款",业务流水!$C$5:$C$1504,$A137,业务流水!$Z$5:$Z$1504,"是"))</f>
        <v/>
      </c>
      <c r="N137" s="43" t="str">
        <f aca="false">IF($A137="","",$K137-$M137)</f>
        <v/>
      </c>
      <c r="O137" s="41" t="str">
        <f aca="false">IF($A137="","",SUMIFS(业务流水!$H$5:$H$1504,业务流水!$F$5:$F$1504,$B$3,业务流水!$D$5:$D$1504,"管理费结算",业务流水!$C$5:$C$1504,$A137,业务流水!$Z$5:$Z$1504,"是"))</f>
        <v/>
      </c>
      <c r="P137" s="41" t="str">
        <f aca="false">IF($A137="","",SUMIFS(业务流水!$H$5:$H$1504,业务流水!$E$5:$E$1504,$B$3,业务流水!$D$5:$D$1504,"扣质保金",业务流水!$C$5:$C$1504,$A137,业务流水!$Z$5:$Z$1504,"是"))</f>
        <v/>
      </c>
      <c r="Q137" s="48" t="str">
        <f aca="false">IF($A137="","",IF(SUM($C137:$F137)+SUM($K137:$M137)=0,"无","有"))</f>
        <v/>
      </c>
    </row>
    <row r="138" customFormat="false" ht="15.75" hidden="false" customHeight="true" outlineLevel="0" collapsed="false">
      <c r="A138" s="32" t="str">
        <f aca="false">IF(项目档案!$A138="","",项目档案!$A138)</f>
        <v/>
      </c>
      <c r="B138" s="40" t="str">
        <f aca="false">IF($A138="","",项目档案!$B138)</f>
        <v/>
      </c>
      <c r="C138" s="41" t="str">
        <f aca="false">IF($A138="","",SUMIFS(业务流水!$H$5:$H$1504,业务流水!$E$5:$E$1504,$B$3,业务流水!$D$5:$D$1504,"销项开票",业务流水!$C$5:$C$1504,$A138,业务流水!$Z$5:$Z$1504,"是"))</f>
        <v/>
      </c>
      <c r="D138" s="41" t="str">
        <f aca="false">IF($A138="","",SUMIFS(业务流水!$O$5:$O$1504,业务流水!$E$5:$E$1504,$B$3,业务流水!$D$5:$D$1504,"销项开票",业务流水!$C$5:$C$1504,$A138,业务流水!$Z$5:$Z$1504,"是"))</f>
        <v/>
      </c>
      <c r="E138" s="41" t="str">
        <f aca="false">IF($A138="","",SUMIFS(业务流水!$P$5:$P$1504,业务流水!$E$5:$E$1504,$B$3,业务流水!$D$5:$D$1504,"销项开票",业务流水!$C$5:$C$1504,$A138,业务流水!$Z$5:$Z$1504,"是"))</f>
        <v/>
      </c>
      <c r="F138" s="41" t="str">
        <f aca="false">IF($A138="","",SUMIFS(业务流水!$H$5:$H$1504,业务流水!$F$5:$F$1504,$B$3,业务流水!$D$5:$D$1504,"成本票",业务流水!$C$5:$C$1504,$A138,业务流水!$Z$5:$Z$1504,"是")+SUMIFS(业务流水!$H$5:$H$1504,业务流水!$F$5:$F$1504,$B$3,业务流水!$D$5:$D$1504,"销项开票",业务流水!$C$5:$C$1504,$A138,业务流水!$Z$5:$Z$1504,"是"))</f>
        <v/>
      </c>
      <c r="G138" s="42" t="str">
        <f aca="false">IF($A138="","",$E138-$F138)</f>
        <v/>
      </c>
      <c r="H138" s="41" t="str">
        <f aca="false">IF($A138="","",SUMIFS(业务流水!$W$5:$W$1504,业务流水!$E$5:$E$1504,$B$3,业务流水!$D$5:$D$1504,"销项开票",业务流水!$C$5:$C$1504,$A138,业务流水!$Z$5:$Z$1504,"是"))</f>
        <v/>
      </c>
      <c r="I138" s="41" t="str">
        <f aca="false">IF($A138="","",SUMIFS(业务流水!$H$5:$H$1504,业务流水!$E$5:$E$1504,$B$3,业务流水!$D$5:$D$1504,"已交税",业务流水!$C$5:$C$1504,$A138,业务流水!$Z$5:$Z$1504,"是"))</f>
        <v/>
      </c>
      <c r="J138" s="42" t="str">
        <f aca="false">IF($A138="","",$H138-$I138)</f>
        <v/>
      </c>
      <c r="K138" s="41" t="str">
        <f aca="false">IF($A138="","",SUMIFS(业务流水!$H$5:$H$1504,业务流水!$F$5:$F$1504,$B$3,业务流水!$D$5:$D$1504,"挂靠代收",业务流水!$C$5:$C$1504,$A138,业务流水!$Z$5:$Z$1504,"是"))</f>
        <v/>
      </c>
      <c r="L138" s="42" t="str">
        <f aca="false">IF($A138="","",$C138-$K138)</f>
        <v/>
      </c>
      <c r="M138" s="41" t="str">
        <f aca="false">IF($A138="","",SUMIFS(业务流水!$H$5:$H$1504,业务流水!$E$5:$E$1504,$B$3,业务流水!$D$5:$D$1504,"我方收款",业务流水!$C$5:$C$1504,$A138,业务流水!$Z$5:$Z$1504,"是"))</f>
        <v/>
      </c>
      <c r="N138" s="43" t="str">
        <f aca="false">IF($A138="","",$K138-$M138)</f>
        <v/>
      </c>
      <c r="O138" s="41" t="str">
        <f aca="false">IF($A138="","",SUMIFS(业务流水!$H$5:$H$1504,业务流水!$F$5:$F$1504,$B$3,业务流水!$D$5:$D$1504,"管理费结算",业务流水!$C$5:$C$1504,$A138,业务流水!$Z$5:$Z$1504,"是"))</f>
        <v/>
      </c>
      <c r="P138" s="41" t="str">
        <f aca="false">IF($A138="","",SUMIFS(业务流水!$H$5:$H$1504,业务流水!$E$5:$E$1504,$B$3,业务流水!$D$5:$D$1504,"扣质保金",业务流水!$C$5:$C$1504,$A138,业务流水!$Z$5:$Z$1504,"是"))</f>
        <v/>
      </c>
      <c r="Q138" s="48" t="str">
        <f aca="false">IF($A138="","",IF(SUM($C138:$F138)+SUM($K138:$M138)=0,"无","有"))</f>
        <v/>
      </c>
    </row>
    <row r="139" customFormat="false" ht="15.75" hidden="false" customHeight="true" outlineLevel="0" collapsed="false">
      <c r="A139" s="32" t="str">
        <f aca="false">IF(项目档案!$A139="","",项目档案!$A139)</f>
        <v/>
      </c>
      <c r="B139" s="40" t="str">
        <f aca="false">IF($A139="","",项目档案!$B139)</f>
        <v/>
      </c>
      <c r="C139" s="41" t="str">
        <f aca="false">IF($A139="","",SUMIFS(业务流水!$H$5:$H$1504,业务流水!$E$5:$E$1504,$B$3,业务流水!$D$5:$D$1504,"销项开票",业务流水!$C$5:$C$1504,$A139,业务流水!$Z$5:$Z$1504,"是"))</f>
        <v/>
      </c>
      <c r="D139" s="41" t="str">
        <f aca="false">IF($A139="","",SUMIFS(业务流水!$O$5:$O$1504,业务流水!$E$5:$E$1504,$B$3,业务流水!$D$5:$D$1504,"销项开票",业务流水!$C$5:$C$1504,$A139,业务流水!$Z$5:$Z$1504,"是"))</f>
        <v/>
      </c>
      <c r="E139" s="41" t="str">
        <f aca="false">IF($A139="","",SUMIFS(业务流水!$P$5:$P$1504,业务流水!$E$5:$E$1504,$B$3,业务流水!$D$5:$D$1504,"销项开票",业务流水!$C$5:$C$1504,$A139,业务流水!$Z$5:$Z$1504,"是"))</f>
        <v/>
      </c>
      <c r="F139" s="41" t="str">
        <f aca="false">IF($A139="","",SUMIFS(业务流水!$H$5:$H$1504,业务流水!$F$5:$F$1504,$B$3,业务流水!$D$5:$D$1504,"成本票",业务流水!$C$5:$C$1504,$A139,业务流水!$Z$5:$Z$1504,"是")+SUMIFS(业务流水!$H$5:$H$1504,业务流水!$F$5:$F$1504,$B$3,业务流水!$D$5:$D$1504,"销项开票",业务流水!$C$5:$C$1504,$A139,业务流水!$Z$5:$Z$1504,"是"))</f>
        <v/>
      </c>
      <c r="G139" s="42" t="str">
        <f aca="false">IF($A139="","",$E139-$F139)</f>
        <v/>
      </c>
      <c r="H139" s="41" t="str">
        <f aca="false">IF($A139="","",SUMIFS(业务流水!$W$5:$W$1504,业务流水!$E$5:$E$1504,$B$3,业务流水!$D$5:$D$1504,"销项开票",业务流水!$C$5:$C$1504,$A139,业务流水!$Z$5:$Z$1504,"是"))</f>
        <v/>
      </c>
      <c r="I139" s="41" t="str">
        <f aca="false">IF($A139="","",SUMIFS(业务流水!$H$5:$H$1504,业务流水!$E$5:$E$1504,$B$3,业务流水!$D$5:$D$1504,"已交税",业务流水!$C$5:$C$1504,$A139,业务流水!$Z$5:$Z$1504,"是"))</f>
        <v/>
      </c>
      <c r="J139" s="42" t="str">
        <f aca="false">IF($A139="","",$H139-$I139)</f>
        <v/>
      </c>
      <c r="K139" s="41" t="str">
        <f aca="false">IF($A139="","",SUMIFS(业务流水!$H$5:$H$1504,业务流水!$F$5:$F$1504,$B$3,业务流水!$D$5:$D$1504,"挂靠代收",业务流水!$C$5:$C$1504,$A139,业务流水!$Z$5:$Z$1504,"是"))</f>
        <v/>
      </c>
      <c r="L139" s="42" t="str">
        <f aca="false">IF($A139="","",$C139-$K139)</f>
        <v/>
      </c>
      <c r="M139" s="41" t="str">
        <f aca="false">IF($A139="","",SUMIFS(业务流水!$H$5:$H$1504,业务流水!$E$5:$E$1504,$B$3,业务流水!$D$5:$D$1504,"我方收款",业务流水!$C$5:$C$1504,$A139,业务流水!$Z$5:$Z$1504,"是"))</f>
        <v/>
      </c>
      <c r="N139" s="43" t="str">
        <f aca="false">IF($A139="","",$K139-$M139)</f>
        <v/>
      </c>
      <c r="O139" s="41" t="str">
        <f aca="false">IF($A139="","",SUMIFS(业务流水!$H$5:$H$1504,业务流水!$F$5:$F$1504,$B$3,业务流水!$D$5:$D$1504,"管理费结算",业务流水!$C$5:$C$1504,$A139,业务流水!$Z$5:$Z$1504,"是"))</f>
        <v/>
      </c>
      <c r="P139" s="41" t="str">
        <f aca="false">IF($A139="","",SUMIFS(业务流水!$H$5:$H$1504,业务流水!$E$5:$E$1504,$B$3,业务流水!$D$5:$D$1504,"扣质保金",业务流水!$C$5:$C$1504,$A139,业务流水!$Z$5:$Z$1504,"是"))</f>
        <v/>
      </c>
      <c r="Q139" s="48" t="str">
        <f aca="false">IF($A139="","",IF(SUM($C139:$F139)+SUM($K139:$M139)=0,"无","有"))</f>
        <v/>
      </c>
    </row>
    <row r="140" customFormat="false" ht="15.75" hidden="false" customHeight="true" outlineLevel="0" collapsed="false">
      <c r="A140" s="32" t="str">
        <f aca="false">IF(项目档案!$A140="","",项目档案!$A140)</f>
        <v/>
      </c>
      <c r="B140" s="40" t="str">
        <f aca="false">IF($A140="","",项目档案!$B140)</f>
        <v/>
      </c>
      <c r="C140" s="41" t="str">
        <f aca="false">IF($A140="","",SUMIFS(业务流水!$H$5:$H$1504,业务流水!$E$5:$E$1504,$B$3,业务流水!$D$5:$D$1504,"销项开票",业务流水!$C$5:$C$1504,$A140,业务流水!$Z$5:$Z$1504,"是"))</f>
        <v/>
      </c>
      <c r="D140" s="41" t="str">
        <f aca="false">IF($A140="","",SUMIFS(业务流水!$O$5:$O$1504,业务流水!$E$5:$E$1504,$B$3,业务流水!$D$5:$D$1504,"销项开票",业务流水!$C$5:$C$1504,$A140,业务流水!$Z$5:$Z$1504,"是"))</f>
        <v/>
      </c>
      <c r="E140" s="41" t="str">
        <f aca="false">IF($A140="","",SUMIFS(业务流水!$P$5:$P$1504,业务流水!$E$5:$E$1504,$B$3,业务流水!$D$5:$D$1504,"销项开票",业务流水!$C$5:$C$1504,$A140,业务流水!$Z$5:$Z$1504,"是"))</f>
        <v/>
      </c>
      <c r="F140" s="41" t="str">
        <f aca="false">IF($A140="","",SUMIFS(业务流水!$H$5:$H$1504,业务流水!$F$5:$F$1504,$B$3,业务流水!$D$5:$D$1504,"成本票",业务流水!$C$5:$C$1504,$A140,业务流水!$Z$5:$Z$1504,"是")+SUMIFS(业务流水!$H$5:$H$1504,业务流水!$F$5:$F$1504,$B$3,业务流水!$D$5:$D$1504,"销项开票",业务流水!$C$5:$C$1504,$A140,业务流水!$Z$5:$Z$1504,"是"))</f>
        <v/>
      </c>
      <c r="G140" s="42" t="str">
        <f aca="false">IF($A140="","",$E140-$F140)</f>
        <v/>
      </c>
      <c r="H140" s="41" t="str">
        <f aca="false">IF($A140="","",SUMIFS(业务流水!$W$5:$W$1504,业务流水!$E$5:$E$1504,$B$3,业务流水!$D$5:$D$1504,"销项开票",业务流水!$C$5:$C$1504,$A140,业务流水!$Z$5:$Z$1504,"是"))</f>
        <v/>
      </c>
      <c r="I140" s="41" t="str">
        <f aca="false">IF($A140="","",SUMIFS(业务流水!$H$5:$H$1504,业务流水!$E$5:$E$1504,$B$3,业务流水!$D$5:$D$1504,"已交税",业务流水!$C$5:$C$1504,$A140,业务流水!$Z$5:$Z$1504,"是"))</f>
        <v/>
      </c>
      <c r="J140" s="42" t="str">
        <f aca="false">IF($A140="","",$H140-$I140)</f>
        <v/>
      </c>
      <c r="K140" s="41" t="str">
        <f aca="false">IF($A140="","",SUMIFS(业务流水!$H$5:$H$1504,业务流水!$F$5:$F$1504,$B$3,业务流水!$D$5:$D$1504,"挂靠代收",业务流水!$C$5:$C$1504,$A140,业务流水!$Z$5:$Z$1504,"是"))</f>
        <v/>
      </c>
      <c r="L140" s="42" t="str">
        <f aca="false">IF($A140="","",$C140-$K140)</f>
        <v/>
      </c>
      <c r="M140" s="41" t="str">
        <f aca="false">IF($A140="","",SUMIFS(业务流水!$H$5:$H$1504,业务流水!$E$5:$E$1504,$B$3,业务流水!$D$5:$D$1504,"我方收款",业务流水!$C$5:$C$1504,$A140,业务流水!$Z$5:$Z$1504,"是"))</f>
        <v/>
      </c>
      <c r="N140" s="43" t="str">
        <f aca="false">IF($A140="","",$K140-$M140)</f>
        <v/>
      </c>
      <c r="O140" s="41" t="str">
        <f aca="false">IF($A140="","",SUMIFS(业务流水!$H$5:$H$1504,业务流水!$F$5:$F$1504,$B$3,业务流水!$D$5:$D$1504,"管理费结算",业务流水!$C$5:$C$1504,$A140,业务流水!$Z$5:$Z$1504,"是"))</f>
        <v/>
      </c>
      <c r="P140" s="41" t="str">
        <f aca="false">IF($A140="","",SUMIFS(业务流水!$H$5:$H$1504,业务流水!$E$5:$E$1504,$B$3,业务流水!$D$5:$D$1504,"扣质保金",业务流水!$C$5:$C$1504,$A140,业务流水!$Z$5:$Z$1504,"是"))</f>
        <v/>
      </c>
      <c r="Q140" s="48" t="str">
        <f aca="false">IF($A140="","",IF(SUM($C140:$F140)+SUM($K140:$M140)=0,"无","有"))</f>
        <v/>
      </c>
    </row>
    <row r="141" customFormat="false" ht="15.75" hidden="false" customHeight="true" outlineLevel="0" collapsed="false">
      <c r="A141" s="32" t="str">
        <f aca="false">IF(项目档案!$A141="","",项目档案!$A141)</f>
        <v/>
      </c>
      <c r="B141" s="40" t="str">
        <f aca="false">IF($A141="","",项目档案!$B141)</f>
        <v/>
      </c>
      <c r="C141" s="41" t="str">
        <f aca="false">IF($A141="","",SUMIFS(业务流水!$H$5:$H$1504,业务流水!$E$5:$E$1504,$B$3,业务流水!$D$5:$D$1504,"销项开票",业务流水!$C$5:$C$1504,$A141,业务流水!$Z$5:$Z$1504,"是"))</f>
        <v/>
      </c>
      <c r="D141" s="41" t="str">
        <f aca="false">IF($A141="","",SUMIFS(业务流水!$O$5:$O$1504,业务流水!$E$5:$E$1504,$B$3,业务流水!$D$5:$D$1504,"销项开票",业务流水!$C$5:$C$1504,$A141,业务流水!$Z$5:$Z$1504,"是"))</f>
        <v/>
      </c>
      <c r="E141" s="41" t="str">
        <f aca="false">IF($A141="","",SUMIFS(业务流水!$P$5:$P$1504,业务流水!$E$5:$E$1504,$B$3,业务流水!$D$5:$D$1504,"销项开票",业务流水!$C$5:$C$1504,$A141,业务流水!$Z$5:$Z$1504,"是"))</f>
        <v/>
      </c>
      <c r="F141" s="41" t="str">
        <f aca="false">IF($A141="","",SUMIFS(业务流水!$H$5:$H$1504,业务流水!$F$5:$F$1504,$B$3,业务流水!$D$5:$D$1504,"成本票",业务流水!$C$5:$C$1504,$A141,业务流水!$Z$5:$Z$1504,"是")+SUMIFS(业务流水!$H$5:$H$1504,业务流水!$F$5:$F$1504,$B$3,业务流水!$D$5:$D$1504,"销项开票",业务流水!$C$5:$C$1504,$A141,业务流水!$Z$5:$Z$1504,"是"))</f>
        <v/>
      </c>
      <c r="G141" s="42" t="str">
        <f aca="false">IF($A141="","",$E141-$F141)</f>
        <v/>
      </c>
      <c r="H141" s="41" t="str">
        <f aca="false">IF($A141="","",SUMIFS(业务流水!$W$5:$W$1504,业务流水!$E$5:$E$1504,$B$3,业务流水!$D$5:$D$1504,"销项开票",业务流水!$C$5:$C$1504,$A141,业务流水!$Z$5:$Z$1504,"是"))</f>
        <v/>
      </c>
      <c r="I141" s="41" t="str">
        <f aca="false">IF($A141="","",SUMIFS(业务流水!$H$5:$H$1504,业务流水!$E$5:$E$1504,$B$3,业务流水!$D$5:$D$1504,"已交税",业务流水!$C$5:$C$1504,$A141,业务流水!$Z$5:$Z$1504,"是"))</f>
        <v/>
      </c>
      <c r="J141" s="42" t="str">
        <f aca="false">IF($A141="","",$H141-$I141)</f>
        <v/>
      </c>
      <c r="K141" s="41" t="str">
        <f aca="false">IF($A141="","",SUMIFS(业务流水!$H$5:$H$1504,业务流水!$F$5:$F$1504,$B$3,业务流水!$D$5:$D$1504,"挂靠代收",业务流水!$C$5:$C$1504,$A141,业务流水!$Z$5:$Z$1504,"是"))</f>
        <v/>
      </c>
      <c r="L141" s="42" t="str">
        <f aca="false">IF($A141="","",$C141-$K141)</f>
        <v/>
      </c>
      <c r="M141" s="41" t="str">
        <f aca="false">IF($A141="","",SUMIFS(业务流水!$H$5:$H$1504,业务流水!$E$5:$E$1504,$B$3,业务流水!$D$5:$D$1504,"我方收款",业务流水!$C$5:$C$1504,$A141,业务流水!$Z$5:$Z$1504,"是"))</f>
        <v/>
      </c>
      <c r="N141" s="43" t="str">
        <f aca="false">IF($A141="","",$K141-$M141)</f>
        <v/>
      </c>
      <c r="O141" s="41" t="str">
        <f aca="false">IF($A141="","",SUMIFS(业务流水!$H$5:$H$1504,业务流水!$F$5:$F$1504,$B$3,业务流水!$D$5:$D$1504,"管理费结算",业务流水!$C$5:$C$1504,$A141,业务流水!$Z$5:$Z$1504,"是"))</f>
        <v/>
      </c>
      <c r="P141" s="41" t="str">
        <f aca="false">IF($A141="","",SUMIFS(业务流水!$H$5:$H$1504,业务流水!$E$5:$E$1504,$B$3,业务流水!$D$5:$D$1504,"扣质保金",业务流水!$C$5:$C$1504,$A141,业务流水!$Z$5:$Z$1504,"是"))</f>
        <v/>
      </c>
      <c r="Q141" s="48" t="str">
        <f aca="false">IF($A141="","",IF(SUM($C141:$F141)+SUM($K141:$M141)=0,"无","有"))</f>
        <v/>
      </c>
    </row>
    <row r="142" customFormat="false" ht="15.75" hidden="false" customHeight="true" outlineLevel="0" collapsed="false">
      <c r="A142" s="32" t="str">
        <f aca="false">IF(项目档案!$A142="","",项目档案!$A142)</f>
        <v/>
      </c>
      <c r="B142" s="40" t="str">
        <f aca="false">IF($A142="","",项目档案!$B142)</f>
        <v/>
      </c>
      <c r="C142" s="41" t="str">
        <f aca="false">IF($A142="","",SUMIFS(业务流水!$H$5:$H$1504,业务流水!$E$5:$E$1504,$B$3,业务流水!$D$5:$D$1504,"销项开票",业务流水!$C$5:$C$1504,$A142,业务流水!$Z$5:$Z$1504,"是"))</f>
        <v/>
      </c>
      <c r="D142" s="41" t="str">
        <f aca="false">IF($A142="","",SUMIFS(业务流水!$O$5:$O$1504,业务流水!$E$5:$E$1504,$B$3,业务流水!$D$5:$D$1504,"销项开票",业务流水!$C$5:$C$1504,$A142,业务流水!$Z$5:$Z$1504,"是"))</f>
        <v/>
      </c>
      <c r="E142" s="41" t="str">
        <f aca="false">IF($A142="","",SUMIFS(业务流水!$P$5:$P$1504,业务流水!$E$5:$E$1504,$B$3,业务流水!$D$5:$D$1504,"销项开票",业务流水!$C$5:$C$1504,$A142,业务流水!$Z$5:$Z$1504,"是"))</f>
        <v/>
      </c>
      <c r="F142" s="41" t="str">
        <f aca="false">IF($A142="","",SUMIFS(业务流水!$H$5:$H$1504,业务流水!$F$5:$F$1504,$B$3,业务流水!$D$5:$D$1504,"成本票",业务流水!$C$5:$C$1504,$A142,业务流水!$Z$5:$Z$1504,"是")+SUMIFS(业务流水!$H$5:$H$1504,业务流水!$F$5:$F$1504,$B$3,业务流水!$D$5:$D$1504,"销项开票",业务流水!$C$5:$C$1504,$A142,业务流水!$Z$5:$Z$1504,"是"))</f>
        <v/>
      </c>
      <c r="G142" s="42" t="str">
        <f aca="false">IF($A142="","",$E142-$F142)</f>
        <v/>
      </c>
      <c r="H142" s="41" t="str">
        <f aca="false">IF($A142="","",SUMIFS(业务流水!$W$5:$W$1504,业务流水!$E$5:$E$1504,$B$3,业务流水!$D$5:$D$1504,"销项开票",业务流水!$C$5:$C$1504,$A142,业务流水!$Z$5:$Z$1504,"是"))</f>
        <v/>
      </c>
      <c r="I142" s="41" t="str">
        <f aca="false">IF($A142="","",SUMIFS(业务流水!$H$5:$H$1504,业务流水!$E$5:$E$1504,$B$3,业务流水!$D$5:$D$1504,"已交税",业务流水!$C$5:$C$1504,$A142,业务流水!$Z$5:$Z$1504,"是"))</f>
        <v/>
      </c>
      <c r="J142" s="42" t="str">
        <f aca="false">IF($A142="","",$H142-$I142)</f>
        <v/>
      </c>
      <c r="K142" s="41" t="str">
        <f aca="false">IF($A142="","",SUMIFS(业务流水!$H$5:$H$1504,业务流水!$F$5:$F$1504,$B$3,业务流水!$D$5:$D$1504,"挂靠代收",业务流水!$C$5:$C$1504,$A142,业务流水!$Z$5:$Z$1504,"是"))</f>
        <v/>
      </c>
      <c r="L142" s="42" t="str">
        <f aca="false">IF($A142="","",$C142-$K142)</f>
        <v/>
      </c>
      <c r="M142" s="41" t="str">
        <f aca="false">IF($A142="","",SUMIFS(业务流水!$H$5:$H$1504,业务流水!$E$5:$E$1504,$B$3,业务流水!$D$5:$D$1504,"我方收款",业务流水!$C$5:$C$1504,$A142,业务流水!$Z$5:$Z$1504,"是"))</f>
        <v/>
      </c>
      <c r="N142" s="43" t="str">
        <f aca="false">IF($A142="","",$K142-$M142)</f>
        <v/>
      </c>
      <c r="O142" s="41" t="str">
        <f aca="false">IF($A142="","",SUMIFS(业务流水!$H$5:$H$1504,业务流水!$F$5:$F$1504,$B$3,业务流水!$D$5:$D$1504,"管理费结算",业务流水!$C$5:$C$1504,$A142,业务流水!$Z$5:$Z$1504,"是"))</f>
        <v/>
      </c>
      <c r="P142" s="41" t="str">
        <f aca="false">IF($A142="","",SUMIFS(业务流水!$H$5:$H$1504,业务流水!$E$5:$E$1504,$B$3,业务流水!$D$5:$D$1504,"扣质保金",业务流水!$C$5:$C$1504,$A142,业务流水!$Z$5:$Z$1504,"是"))</f>
        <v/>
      </c>
      <c r="Q142" s="48" t="str">
        <f aca="false">IF($A142="","",IF(SUM($C142:$F142)+SUM($K142:$M142)=0,"无","有"))</f>
        <v/>
      </c>
    </row>
    <row r="143" customFormat="false" ht="15.75" hidden="false" customHeight="true" outlineLevel="0" collapsed="false">
      <c r="A143" s="32" t="str">
        <f aca="false">IF(项目档案!$A143="","",项目档案!$A143)</f>
        <v/>
      </c>
      <c r="B143" s="40" t="str">
        <f aca="false">IF($A143="","",项目档案!$B143)</f>
        <v/>
      </c>
      <c r="C143" s="41" t="str">
        <f aca="false">IF($A143="","",SUMIFS(业务流水!$H$5:$H$1504,业务流水!$E$5:$E$1504,$B$3,业务流水!$D$5:$D$1504,"销项开票",业务流水!$C$5:$C$1504,$A143,业务流水!$Z$5:$Z$1504,"是"))</f>
        <v/>
      </c>
      <c r="D143" s="41" t="str">
        <f aca="false">IF($A143="","",SUMIFS(业务流水!$O$5:$O$1504,业务流水!$E$5:$E$1504,$B$3,业务流水!$D$5:$D$1504,"销项开票",业务流水!$C$5:$C$1504,$A143,业务流水!$Z$5:$Z$1504,"是"))</f>
        <v/>
      </c>
      <c r="E143" s="41" t="str">
        <f aca="false">IF($A143="","",SUMIFS(业务流水!$P$5:$P$1504,业务流水!$E$5:$E$1504,$B$3,业务流水!$D$5:$D$1504,"销项开票",业务流水!$C$5:$C$1504,$A143,业务流水!$Z$5:$Z$1504,"是"))</f>
        <v/>
      </c>
      <c r="F143" s="41" t="str">
        <f aca="false">IF($A143="","",SUMIFS(业务流水!$H$5:$H$1504,业务流水!$F$5:$F$1504,$B$3,业务流水!$D$5:$D$1504,"成本票",业务流水!$C$5:$C$1504,$A143,业务流水!$Z$5:$Z$1504,"是")+SUMIFS(业务流水!$H$5:$H$1504,业务流水!$F$5:$F$1504,$B$3,业务流水!$D$5:$D$1504,"销项开票",业务流水!$C$5:$C$1504,$A143,业务流水!$Z$5:$Z$1504,"是"))</f>
        <v/>
      </c>
      <c r="G143" s="42" t="str">
        <f aca="false">IF($A143="","",$E143-$F143)</f>
        <v/>
      </c>
      <c r="H143" s="41" t="str">
        <f aca="false">IF($A143="","",SUMIFS(业务流水!$W$5:$W$1504,业务流水!$E$5:$E$1504,$B$3,业务流水!$D$5:$D$1504,"销项开票",业务流水!$C$5:$C$1504,$A143,业务流水!$Z$5:$Z$1504,"是"))</f>
        <v/>
      </c>
      <c r="I143" s="41" t="str">
        <f aca="false">IF($A143="","",SUMIFS(业务流水!$H$5:$H$1504,业务流水!$E$5:$E$1504,$B$3,业务流水!$D$5:$D$1504,"已交税",业务流水!$C$5:$C$1504,$A143,业务流水!$Z$5:$Z$1504,"是"))</f>
        <v/>
      </c>
      <c r="J143" s="42" t="str">
        <f aca="false">IF($A143="","",$H143-$I143)</f>
        <v/>
      </c>
      <c r="K143" s="41" t="str">
        <f aca="false">IF($A143="","",SUMIFS(业务流水!$H$5:$H$1504,业务流水!$F$5:$F$1504,$B$3,业务流水!$D$5:$D$1504,"挂靠代收",业务流水!$C$5:$C$1504,$A143,业务流水!$Z$5:$Z$1504,"是"))</f>
        <v/>
      </c>
      <c r="L143" s="42" t="str">
        <f aca="false">IF($A143="","",$C143-$K143)</f>
        <v/>
      </c>
      <c r="M143" s="41" t="str">
        <f aca="false">IF($A143="","",SUMIFS(业务流水!$H$5:$H$1504,业务流水!$E$5:$E$1504,$B$3,业务流水!$D$5:$D$1504,"我方收款",业务流水!$C$5:$C$1504,$A143,业务流水!$Z$5:$Z$1504,"是"))</f>
        <v/>
      </c>
      <c r="N143" s="43" t="str">
        <f aca="false">IF($A143="","",$K143-$M143)</f>
        <v/>
      </c>
      <c r="O143" s="41" t="str">
        <f aca="false">IF($A143="","",SUMIFS(业务流水!$H$5:$H$1504,业务流水!$F$5:$F$1504,$B$3,业务流水!$D$5:$D$1504,"管理费结算",业务流水!$C$5:$C$1504,$A143,业务流水!$Z$5:$Z$1504,"是"))</f>
        <v/>
      </c>
      <c r="P143" s="41" t="str">
        <f aca="false">IF($A143="","",SUMIFS(业务流水!$H$5:$H$1504,业务流水!$E$5:$E$1504,$B$3,业务流水!$D$5:$D$1504,"扣质保金",业务流水!$C$5:$C$1504,$A143,业务流水!$Z$5:$Z$1504,"是"))</f>
        <v/>
      </c>
      <c r="Q143" s="48" t="str">
        <f aca="false">IF($A143="","",IF(SUM($C143:$F143)+SUM($K143:$M143)=0,"无","有"))</f>
        <v/>
      </c>
    </row>
    <row r="144" customFormat="false" ht="15.75" hidden="false" customHeight="true" outlineLevel="0" collapsed="false">
      <c r="A144" s="32" t="str">
        <f aca="false">IF(项目档案!$A144="","",项目档案!$A144)</f>
        <v/>
      </c>
      <c r="B144" s="40" t="str">
        <f aca="false">IF($A144="","",项目档案!$B144)</f>
        <v/>
      </c>
      <c r="C144" s="41" t="str">
        <f aca="false">IF($A144="","",SUMIFS(业务流水!$H$5:$H$1504,业务流水!$E$5:$E$1504,$B$3,业务流水!$D$5:$D$1504,"销项开票",业务流水!$C$5:$C$1504,$A144,业务流水!$Z$5:$Z$1504,"是"))</f>
        <v/>
      </c>
      <c r="D144" s="41" t="str">
        <f aca="false">IF($A144="","",SUMIFS(业务流水!$O$5:$O$1504,业务流水!$E$5:$E$1504,$B$3,业务流水!$D$5:$D$1504,"销项开票",业务流水!$C$5:$C$1504,$A144,业务流水!$Z$5:$Z$1504,"是"))</f>
        <v/>
      </c>
      <c r="E144" s="41" t="str">
        <f aca="false">IF($A144="","",SUMIFS(业务流水!$P$5:$P$1504,业务流水!$E$5:$E$1504,$B$3,业务流水!$D$5:$D$1504,"销项开票",业务流水!$C$5:$C$1504,$A144,业务流水!$Z$5:$Z$1504,"是"))</f>
        <v/>
      </c>
      <c r="F144" s="41" t="str">
        <f aca="false">IF($A144="","",SUMIFS(业务流水!$H$5:$H$1504,业务流水!$F$5:$F$1504,$B$3,业务流水!$D$5:$D$1504,"成本票",业务流水!$C$5:$C$1504,$A144,业务流水!$Z$5:$Z$1504,"是")+SUMIFS(业务流水!$H$5:$H$1504,业务流水!$F$5:$F$1504,$B$3,业务流水!$D$5:$D$1504,"销项开票",业务流水!$C$5:$C$1504,$A144,业务流水!$Z$5:$Z$1504,"是"))</f>
        <v/>
      </c>
      <c r="G144" s="42" t="str">
        <f aca="false">IF($A144="","",$E144-$F144)</f>
        <v/>
      </c>
      <c r="H144" s="41" t="str">
        <f aca="false">IF($A144="","",SUMIFS(业务流水!$W$5:$W$1504,业务流水!$E$5:$E$1504,$B$3,业务流水!$D$5:$D$1504,"销项开票",业务流水!$C$5:$C$1504,$A144,业务流水!$Z$5:$Z$1504,"是"))</f>
        <v/>
      </c>
      <c r="I144" s="41" t="str">
        <f aca="false">IF($A144="","",SUMIFS(业务流水!$H$5:$H$1504,业务流水!$E$5:$E$1504,$B$3,业务流水!$D$5:$D$1504,"已交税",业务流水!$C$5:$C$1504,$A144,业务流水!$Z$5:$Z$1504,"是"))</f>
        <v/>
      </c>
      <c r="J144" s="42" t="str">
        <f aca="false">IF($A144="","",$H144-$I144)</f>
        <v/>
      </c>
      <c r="K144" s="41" t="str">
        <f aca="false">IF($A144="","",SUMIFS(业务流水!$H$5:$H$1504,业务流水!$F$5:$F$1504,$B$3,业务流水!$D$5:$D$1504,"挂靠代收",业务流水!$C$5:$C$1504,$A144,业务流水!$Z$5:$Z$1504,"是"))</f>
        <v/>
      </c>
      <c r="L144" s="42" t="str">
        <f aca="false">IF($A144="","",$C144-$K144)</f>
        <v/>
      </c>
      <c r="M144" s="41" t="str">
        <f aca="false">IF($A144="","",SUMIFS(业务流水!$H$5:$H$1504,业务流水!$E$5:$E$1504,$B$3,业务流水!$D$5:$D$1504,"我方收款",业务流水!$C$5:$C$1504,$A144,业务流水!$Z$5:$Z$1504,"是"))</f>
        <v/>
      </c>
      <c r="N144" s="43" t="str">
        <f aca="false">IF($A144="","",$K144-$M144)</f>
        <v/>
      </c>
      <c r="O144" s="41" t="str">
        <f aca="false">IF($A144="","",SUMIFS(业务流水!$H$5:$H$1504,业务流水!$F$5:$F$1504,$B$3,业务流水!$D$5:$D$1504,"管理费结算",业务流水!$C$5:$C$1504,$A144,业务流水!$Z$5:$Z$1504,"是"))</f>
        <v/>
      </c>
      <c r="P144" s="41" t="str">
        <f aca="false">IF($A144="","",SUMIFS(业务流水!$H$5:$H$1504,业务流水!$E$5:$E$1504,$B$3,业务流水!$D$5:$D$1504,"扣质保金",业务流水!$C$5:$C$1504,$A144,业务流水!$Z$5:$Z$1504,"是"))</f>
        <v/>
      </c>
      <c r="Q144" s="48" t="str">
        <f aca="false">IF($A144="","",IF(SUM($C144:$F144)+SUM($K144:$M144)=0,"无","有"))</f>
        <v/>
      </c>
    </row>
    <row r="145" customFormat="false" ht="15.75" hidden="false" customHeight="true" outlineLevel="0" collapsed="false">
      <c r="A145" s="32" t="str">
        <f aca="false">IF(项目档案!$A145="","",项目档案!$A145)</f>
        <v/>
      </c>
      <c r="B145" s="40" t="str">
        <f aca="false">IF($A145="","",项目档案!$B145)</f>
        <v/>
      </c>
      <c r="C145" s="41" t="str">
        <f aca="false">IF($A145="","",SUMIFS(业务流水!$H$5:$H$1504,业务流水!$E$5:$E$1504,$B$3,业务流水!$D$5:$D$1504,"销项开票",业务流水!$C$5:$C$1504,$A145,业务流水!$Z$5:$Z$1504,"是"))</f>
        <v/>
      </c>
      <c r="D145" s="41" t="str">
        <f aca="false">IF($A145="","",SUMIFS(业务流水!$O$5:$O$1504,业务流水!$E$5:$E$1504,$B$3,业务流水!$D$5:$D$1504,"销项开票",业务流水!$C$5:$C$1504,$A145,业务流水!$Z$5:$Z$1504,"是"))</f>
        <v/>
      </c>
      <c r="E145" s="41" t="str">
        <f aca="false">IF($A145="","",SUMIFS(业务流水!$P$5:$P$1504,业务流水!$E$5:$E$1504,$B$3,业务流水!$D$5:$D$1504,"销项开票",业务流水!$C$5:$C$1504,$A145,业务流水!$Z$5:$Z$1504,"是"))</f>
        <v/>
      </c>
      <c r="F145" s="41" t="str">
        <f aca="false">IF($A145="","",SUMIFS(业务流水!$H$5:$H$1504,业务流水!$F$5:$F$1504,$B$3,业务流水!$D$5:$D$1504,"成本票",业务流水!$C$5:$C$1504,$A145,业务流水!$Z$5:$Z$1504,"是")+SUMIFS(业务流水!$H$5:$H$1504,业务流水!$F$5:$F$1504,$B$3,业务流水!$D$5:$D$1504,"销项开票",业务流水!$C$5:$C$1504,$A145,业务流水!$Z$5:$Z$1504,"是"))</f>
        <v/>
      </c>
      <c r="G145" s="42" t="str">
        <f aca="false">IF($A145="","",$E145-$F145)</f>
        <v/>
      </c>
      <c r="H145" s="41" t="str">
        <f aca="false">IF($A145="","",SUMIFS(业务流水!$W$5:$W$1504,业务流水!$E$5:$E$1504,$B$3,业务流水!$D$5:$D$1504,"销项开票",业务流水!$C$5:$C$1504,$A145,业务流水!$Z$5:$Z$1504,"是"))</f>
        <v/>
      </c>
      <c r="I145" s="41" t="str">
        <f aca="false">IF($A145="","",SUMIFS(业务流水!$H$5:$H$1504,业务流水!$E$5:$E$1504,$B$3,业务流水!$D$5:$D$1504,"已交税",业务流水!$C$5:$C$1504,$A145,业务流水!$Z$5:$Z$1504,"是"))</f>
        <v/>
      </c>
      <c r="J145" s="42" t="str">
        <f aca="false">IF($A145="","",$H145-$I145)</f>
        <v/>
      </c>
      <c r="K145" s="41" t="str">
        <f aca="false">IF($A145="","",SUMIFS(业务流水!$H$5:$H$1504,业务流水!$F$5:$F$1504,$B$3,业务流水!$D$5:$D$1504,"挂靠代收",业务流水!$C$5:$C$1504,$A145,业务流水!$Z$5:$Z$1504,"是"))</f>
        <v/>
      </c>
      <c r="L145" s="42" t="str">
        <f aca="false">IF($A145="","",$C145-$K145)</f>
        <v/>
      </c>
      <c r="M145" s="41" t="str">
        <f aca="false">IF($A145="","",SUMIFS(业务流水!$H$5:$H$1504,业务流水!$E$5:$E$1504,$B$3,业务流水!$D$5:$D$1504,"我方收款",业务流水!$C$5:$C$1504,$A145,业务流水!$Z$5:$Z$1504,"是"))</f>
        <v/>
      </c>
      <c r="N145" s="43" t="str">
        <f aca="false">IF($A145="","",$K145-$M145)</f>
        <v/>
      </c>
      <c r="O145" s="41" t="str">
        <f aca="false">IF($A145="","",SUMIFS(业务流水!$H$5:$H$1504,业务流水!$F$5:$F$1504,$B$3,业务流水!$D$5:$D$1504,"管理费结算",业务流水!$C$5:$C$1504,$A145,业务流水!$Z$5:$Z$1504,"是"))</f>
        <v/>
      </c>
      <c r="P145" s="41" t="str">
        <f aca="false">IF($A145="","",SUMIFS(业务流水!$H$5:$H$1504,业务流水!$E$5:$E$1504,$B$3,业务流水!$D$5:$D$1504,"扣质保金",业务流水!$C$5:$C$1504,$A145,业务流水!$Z$5:$Z$1504,"是"))</f>
        <v/>
      </c>
      <c r="Q145" s="48" t="str">
        <f aca="false">IF($A145="","",IF(SUM($C145:$F145)+SUM($K145:$M145)=0,"无","有"))</f>
        <v/>
      </c>
    </row>
    <row r="146" customFormat="false" ht="15.75" hidden="false" customHeight="true" outlineLevel="0" collapsed="false">
      <c r="A146" s="32" t="str">
        <f aca="false">IF(项目档案!$A146="","",项目档案!$A146)</f>
        <v/>
      </c>
      <c r="B146" s="40" t="str">
        <f aca="false">IF($A146="","",项目档案!$B146)</f>
        <v/>
      </c>
      <c r="C146" s="41" t="str">
        <f aca="false">IF($A146="","",SUMIFS(业务流水!$H$5:$H$1504,业务流水!$E$5:$E$1504,$B$3,业务流水!$D$5:$D$1504,"销项开票",业务流水!$C$5:$C$1504,$A146,业务流水!$Z$5:$Z$1504,"是"))</f>
        <v/>
      </c>
      <c r="D146" s="41" t="str">
        <f aca="false">IF($A146="","",SUMIFS(业务流水!$O$5:$O$1504,业务流水!$E$5:$E$1504,$B$3,业务流水!$D$5:$D$1504,"销项开票",业务流水!$C$5:$C$1504,$A146,业务流水!$Z$5:$Z$1504,"是"))</f>
        <v/>
      </c>
      <c r="E146" s="41" t="str">
        <f aca="false">IF($A146="","",SUMIFS(业务流水!$P$5:$P$1504,业务流水!$E$5:$E$1504,$B$3,业务流水!$D$5:$D$1504,"销项开票",业务流水!$C$5:$C$1504,$A146,业务流水!$Z$5:$Z$1504,"是"))</f>
        <v/>
      </c>
      <c r="F146" s="41" t="str">
        <f aca="false">IF($A146="","",SUMIFS(业务流水!$H$5:$H$1504,业务流水!$F$5:$F$1504,$B$3,业务流水!$D$5:$D$1504,"成本票",业务流水!$C$5:$C$1504,$A146,业务流水!$Z$5:$Z$1504,"是")+SUMIFS(业务流水!$H$5:$H$1504,业务流水!$F$5:$F$1504,$B$3,业务流水!$D$5:$D$1504,"销项开票",业务流水!$C$5:$C$1504,$A146,业务流水!$Z$5:$Z$1504,"是"))</f>
        <v/>
      </c>
      <c r="G146" s="42" t="str">
        <f aca="false">IF($A146="","",$E146-$F146)</f>
        <v/>
      </c>
      <c r="H146" s="41" t="str">
        <f aca="false">IF($A146="","",SUMIFS(业务流水!$W$5:$W$1504,业务流水!$E$5:$E$1504,$B$3,业务流水!$D$5:$D$1504,"销项开票",业务流水!$C$5:$C$1504,$A146,业务流水!$Z$5:$Z$1504,"是"))</f>
        <v/>
      </c>
      <c r="I146" s="41" t="str">
        <f aca="false">IF($A146="","",SUMIFS(业务流水!$H$5:$H$1504,业务流水!$E$5:$E$1504,$B$3,业务流水!$D$5:$D$1504,"已交税",业务流水!$C$5:$C$1504,$A146,业务流水!$Z$5:$Z$1504,"是"))</f>
        <v/>
      </c>
      <c r="J146" s="42" t="str">
        <f aca="false">IF($A146="","",$H146-$I146)</f>
        <v/>
      </c>
      <c r="K146" s="41" t="str">
        <f aca="false">IF($A146="","",SUMIFS(业务流水!$H$5:$H$1504,业务流水!$F$5:$F$1504,$B$3,业务流水!$D$5:$D$1504,"挂靠代收",业务流水!$C$5:$C$1504,$A146,业务流水!$Z$5:$Z$1504,"是"))</f>
        <v/>
      </c>
      <c r="L146" s="42" t="str">
        <f aca="false">IF($A146="","",$C146-$K146)</f>
        <v/>
      </c>
      <c r="M146" s="41" t="str">
        <f aca="false">IF($A146="","",SUMIFS(业务流水!$H$5:$H$1504,业务流水!$E$5:$E$1504,$B$3,业务流水!$D$5:$D$1504,"我方收款",业务流水!$C$5:$C$1504,$A146,业务流水!$Z$5:$Z$1504,"是"))</f>
        <v/>
      </c>
      <c r="N146" s="43" t="str">
        <f aca="false">IF($A146="","",$K146-$M146)</f>
        <v/>
      </c>
      <c r="O146" s="41" t="str">
        <f aca="false">IF($A146="","",SUMIFS(业务流水!$H$5:$H$1504,业务流水!$F$5:$F$1504,$B$3,业务流水!$D$5:$D$1504,"管理费结算",业务流水!$C$5:$C$1504,$A146,业务流水!$Z$5:$Z$1504,"是"))</f>
        <v/>
      </c>
      <c r="P146" s="41" t="str">
        <f aca="false">IF($A146="","",SUMIFS(业务流水!$H$5:$H$1504,业务流水!$E$5:$E$1504,$B$3,业务流水!$D$5:$D$1504,"扣质保金",业务流水!$C$5:$C$1504,$A146,业务流水!$Z$5:$Z$1504,"是"))</f>
        <v/>
      </c>
      <c r="Q146" s="48" t="str">
        <f aca="false">IF($A146="","",IF(SUM($C146:$F146)+SUM($K146:$M146)=0,"无","有"))</f>
        <v/>
      </c>
    </row>
    <row r="147" customFormat="false" ht="15.75" hidden="false" customHeight="true" outlineLevel="0" collapsed="false">
      <c r="A147" s="32" t="str">
        <f aca="false">IF(项目档案!$A147="","",项目档案!$A147)</f>
        <v/>
      </c>
      <c r="B147" s="40" t="str">
        <f aca="false">IF($A147="","",项目档案!$B147)</f>
        <v/>
      </c>
      <c r="C147" s="41" t="str">
        <f aca="false">IF($A147="","",SUMIFS(业务流水!$H$5:$H$1504,业务流水!$E$5:$E$1504,$B$3,业务流水!$D$5:$D$1504,"销项开票",业务流水!$C$5:$C$1504,$A147,业务流水!$Z$5:$Z$1504,"是"))</f>
        <v/>
      </c>
      <c r="D147" s="41" t="str">
        <f aca="false">IF($A147="","",SUMIFS(业务流水!$O$5:$O$1504,业务流水!$E$5:$E$1504,$B$3,业务流水!$D$5:$D$1504,"销项开票",业务流水!$C$5:$C$1504,$A147,业务流水!$Z$5:$Z$1504,"是"))</f>
        <v/>
      </c>
      <c r="E147" s="41" t="str">
        <f aca="false">IF($A147="","",SUMIFS(业务流水!$P$5:$P$1504,业务流水!$E$5:$E$1504,$B$3,业务流水!$D$5:$D$1504,"销项开票",业务流水!$C$5:$C$1504,$A147,业务流水!$Z$5:$Z$1504,"是"))</f>
        <v/>
      </c>
      <c r="F147" s="41" t="str">
        <f aca="false">IF($A147="","",SUMIFS(业务流水!$H$5:$H$1504,业务流水!$F$5:$F$1504,$B$3,业务流水!$D$5:$D$1504,"成本票",业务流水!$C$5:$C$1504,$A147,业务流水!$Z$5:$Z$1504,"是")+SUMIFS(业务流水!$H$5:$H$1504,业务流水!$F$5:$F$1504,$B$3,业务流水!$D$5:$D$1504,"销项开票",业务流水!$C$5:$C$1504,$A147,业务流水!$Z$5:$Z$1504,"是"))</f>
        <v/>
      </c>
      <c r="G147" s="42" t="str">
        <f aca="false">IF($A147="","",$E147-$F147)</f>
        <v/>
      </c>
      <c r="H147" s="41" t="str">
        <f aca="false">IF($A147="","",SUMIFS(业务流水!$W$5:$W$1504,业务流水!$E$5:$E$1504,$B$3,业务流水!$D$5:$D$1504,"销项开票",业务流水!$C$5:$C$1504,$A147,业务流水!$Z$5:$Z$1504,"是"))</f>
        <v/>
      </c>
      <c r="I147" s="41" t="str">
        <f aca="false">IF($A147="","",SUMIFS(业务流水!$H$5:$H$1504,业务流水!$E$5:$E$1504,$B$3,业务流水!$D$5:$D$1504,"已交税",业务流水!$C$5:$C$1504,$A147,业务流水!$Z$5:$Z$1504,"是"))</f>
        <v/>
      </c>
      <c r="J147" s="42" t="str">
        <f aca="false">IF($A147="","",$H147-$I147)</f>
        <v/>
      </c>
      <c r="K147" s="41" t="str">
        <f aca="false">IF($A147="","",SUMIFS(业务流水!$H$5:$H$1504,业务流水!$F$5:$F$1504,$B$3,业务流水!$D$5:$D$1504,"挂靠代收",业务流水!$C$5:$C$1504,$A147,业务流水!$Z$5:$Z$1504,"是"))</f>
        <v/>
      </c>
      <c r="L147" s="42" t="str">
        <f aca="false">IF($A147="","",$C147-$K147)</f>
        <v/>
      </c>
      <c r="M147" s="41" t="str">
        <f aca="false">IF($A147="","",SUMIFS(业务流水!$H$5:$H$1504,业务流水!$E$5:$E$1504,$B$3,业务流水!$D$5:$D$1504,"我方收款",业务流水!$C$5:$C$1504,$A147,业务流水!$Z$5:$Z$1504,"是"))</f>
        <v/>
      </c>
      <c r="N147" s="43" t="str">
        <f aca="false">IF($A147="","",$K147-$M147)</f>
        <v/>
      </c>
      <c r="O147" s="41" t="str">
        <f aca="false">IF($A147="","",SUMIFS(业务流水!$H$5:$H$1504,业务流水!$F$5:$F$1504,$B$3,业务流水!$D$5:$D$1504,"管理费结算",业务流水!$C$5:$C$1504,$A147,业务流水!$Z$5:$Z$1504,"是"))</f>
        <v/>
      </c>
      <c r="P147" s="41" t="str">
        <f aca="false">IF($A147="","",SUMIFS(业务流水!$H$5:$H$1504,业务流水!$E$5:$E$1504,$B$3,业务流水!$D$5:$D$1504,"扣质保金",业务流水!$C$5:$C$1504,$A147,业务流水!$Z$5:$Z$1504,"是"))</f>
        <v/>
      </c>
      <c r="Q147" s="48" t="str">
        <f aca="false">IF($A147="","",IF(SUM($C147:$F147)+SUM($K147:$M147)=0,"无","有"))</f>
        <v/>
      </c>
    </row>
    <row r="148" customFormat="false" ht="15.75" hidden="false" customHeight="true" outlineLevel="0" collapsed="false">
      <c r="A148" s="32" t="str">
        <f aca="false">IF(项目档案!$A148="","",项目档案!$A148)</f>
        <v/>
      </c>
      <c r="B148" s="40" t="str">
        <f aca="false">IF($A148="","",项目档案!$B148)</f>
        <v/>
      </c>
      <c r="C148" s="41" t="str">
        <f aca="false">IF($A148="","",SUMIFS(业务流水!$H$5:$H$1504,业务流水!$E$5:$E$1504,$B$3,业务流水!$D$5:$D$1504,"销项开票",业务流水!$C$5:$C$1504,$A148,业务流水!$Z$5:$Z$1504,"是"))</f>
        <v/>
      </c>
      <c r="D148" s="41" t="str">
        <f aca="false">IF($A148="","",SUMIFS(业务流水!$O$5:$O$1504,业务流水!$E$5:$E$1504,$B$3,业务流水!$D$5:$D$1504,"销项开票",业务流水!$C$5:$C$1504,$A148,业务流水!$Z$5:$Z$1504,"是"))</f>
        <v/>
      </c>
      <c r="E148" s="41" t="str">
        <f aca="false">IF($A148="","",SUMIFS(业务流水!$P$5:$P$1504,业务流水!$E$5:$E$1504,$B$3,业务流水!$D$5:$D$1504,"销项开票",业务流水!$C$5:$C$1504,$A148,业务流水!$Z$5:$Z$1504,"是"))</f>
        <v/>
      </c>
      <c r="F148" s="41" t="str">
        <f aca="false">IF($A148="","",SUMIFS(业务流水!$H$5:$H$1504,业务流水!$F$5:$F$1504,$B$3,业务流水!$D$5:$D$1504,"成本票",业务流水!$C$5:$C$1504,$A148,业务流水!$Z$5:$Z$1504,"是")+SUMIFS(业务流水!$H$5:$H$1504,业务流水!$F$5:$F$1504,$B$3,业务流水!$D$5:$D$1504,"销项开票",业务流水!$C$5:$C$1504,$A148,业务流水!$Z$5:$Z$1504,"是"))</f>
        <v/>
      </c>
      <c r="G148" s="42" t="str">
        <f aca="false">IF($A148="","",$E148-$F148)</f>
        <v/>
      </c>
      <c r="H148" s="41" t="str">
        <f aca="false">IF($A148="","",SUMIFS(业务流水!$W$5:$W$1504,业务流水!$E$5:$E$1504,$B$3,业务流水!$D$5:$D$1504,"销项开票",业务流水!$C$5:$C$1504,$A148,业务流水!$Z$5:$Z$1504,"是"))</f>
        <v/>
      </c>
      <c r="I148" s="41" t="str">
        <f aca="false">IF($A148="","",SUMIFS(业务流水!$H$5:$H$1504,业务流水!$E$5:$E$1504,$B$3,业务流水!$D$5:$D$1504,"已交税",业务流水!$C$5:$C$1504,$A148,业务流水!$Z$5:$Z$1504,"是"))</f>
        <v/>
      </c>
      <c r="J148" s="42" t="str">
        <f aca="false">IF($A148="","",$H148-$I148)</f>
        <v/>
      </c>
      <c r="K148" s="41" t="str">
        <f aca="false">IF($A148="","",SUMIFS(业务流水!$H$5:$H$1504,业务流水!$F$5:$F$1504,$B$3,业务流水!$D$5:$D$1504,"挂靠代收",业务流水!$C$5:$C$1504,$A148,业务流水!$Z$5:$Z$1504,"是"))</f>
        <v/>
      </c>
      <c r="L148" s="42" t="str">
        <f aca="false">IF($A148="","",$C148-$K148)</f>
        <v/>
      </c>
      <c r="M148" s="41" t="str">
        <f aca="false">IF($A148="","",SUMIFS(业务流水!$H$5:$H$1504,业务流水!$E$5:$E$1504,$B$3,业务流水!$D$5:$D$1504,"我方收款",业务流水!$C$5:$C$1504,$A148,业务流水!$Z$5:$Z$1504,"是"))</f>
        <v/>
      </c>
      <c r="N148" s="43" t="str">
        <f aca="false">IF($A148="","",$K148-$M148)</f>
        <v/>
      </c>
      <c r="O148" s="41" t="str">
        <f aca="false">IF($A148="","",SUMIFS(业务流水!$H$5:$H$1504,业务流水!$F$5:$F$1504,$B$3,业务流水!$D$5:$D$1504,"管理费结算",业务流水!$C$5:$C$1504,$A148,业务流水!$Z$5:$Z$1504,"是"))</f>
        <v/>
      </c>
      <c r="P148" s="41" t="str">
        <f aca="false">IF($A148="","",SUMIFS(业务流水!$H$5:$H$1504,业务流水!$E$5:$E$1504,$B$3,业务流水!$D$5:$D$1504,"扣质保金",业务流水!$C$5:$C$1504,$A148,业务流水!$Z$5:$Z$1504,"是"))</f>
        <v/>
      </c>
      <c r="Q148" s="48" t="str">
        <f aca="false">IF($A148="","",IF(SUM($C148:$F148)+SUM($K148:$M148)=0,"无","有"))</f>
        <v/>
      </c>
    </row>
    <row r="149" customFormat="false" ht="15.75" hidden="false" customHeight="true" outlineLevel="0" collapsed="false">
      <c r="A149" s="32" t="str">
        <f aca="false">IF(项目档案!$A149="","",项目档案!$A149)</f>
        <v/>
      </c>
      <c r="B149" s="40" t="str">
        <f aca="false">IF($A149="","",项目档案!$B149)</f>
        <v/>
      </c>
      <c r="C149" s="41" t="str">
        <f aca="false">IF($A149="","",SUMIFS(业务流水!$H$5:$H$1504,业务流水!$E$5:$E$1504,$B$3,业务流水!$D$5:$D$1504,"销项开票",业务流水!$C$5:$C$1504,$A149,业务流水!$Z$5:$Z$1504,"是"))</f>
        <v/>
      </c>
      <c r="D149" s="41" t="str">
        <f aca="false">IF($A149="","",SUMIFS(业务流水!$O$5:$O$1504,业务流水!$E$5:$E$1504,$B$3,业务流水!$D$5:$D$1504,"销项开票",业务流水!$C$5:$C$1504,$A149,业务流水!$Z$5:$Z$1504,"是"))</f>
        <v/>
      </c>
      <c r="E149" s="41" t="str">
        <f aca="false">IF($A149="","",SUMIFS(业务流水!$P$5:$P$1504,业务流水!$E$5:$E$1504,$B$3,业务流水!$D$5:$D$1504,"销项开票",业务流水!$C$5:$C$1504,$A149,业务流水!$Z$5:$Z$1504,"是"))</f>
        <v/>
      </c>
      <c r="F149" s="41" t="str">
        <f aca="false">IF($A149="","",SUMIFS(业务流水!$H$5:$H$1504,业务流水!$F$5:$F$1504,$B$3,业务流水!$D$5:$D$1504,"成本票",业务流水!$C$5:$C$1504,$A149,业务流水!$Z$5:$Z$1504,"是")+SUMIFS(业务流水!$H$5:$H$1504,业务流水!$F$5:$F$1504,$B$3,业务流水!$D$5:$D$1504,"销项开票",业务流水!$C$5:$C$1504,$A149,业务流水!$Z$5:$Z$1504,"是"))</f>
        <v/>
      </c>
      <c r="G149" s="42" t="str">
        <f aca="false">IF($A149="","",$E149-$F149)</f>
        <v/>
      </c>
      <c r="H149" s="41" t="str">
        <f aca="false">IF($A149="","",SUMIFS(业务流水!$W$5:$W$1504,业务流水!$E$5:$E$1504,$B$3,业务流水!$D$5:$D$1504,"销项开票",业务流水!$C$5:$C$1504,$A149,业务流水!$Z$5:$Z$1504,"是"))</f>
        <v/>
      </c>
      <c r="I149" s="41" t="str">
        <f aca="false">IF($A149="","",SUMIFS(业务流水!$H$5:$H$1504,业务流水!$E$5:$E$1504,$B$3,业务流水!$D$5:$D$1504,"已交税",业务流水!$C$5:$C$1504,$A149,业务流水!$Z$5:$Z$1504,"是"))</f>
        <v/>
      </c>
      <c r="J149" s="42" t="str">
        <f aca="false">IF($A149="","",$H149-$I149)</f>
        <v/>
      </c>
      <c r="K149" s="41" t="str">
        <f aca="false">IF($A149="","",SUMIFS(业务流水!$H$5:$H$1504,业务流水!$F$5:$F$1504,$B$3,业务流水!$D$5:$D$1504,"挂靠代收",业务流水!$C$5:$C$1504,$A149,业务流水!$Z$5:$Z$1504,"是"))</f>
        <v/>
      </c>
      <c r="L149" s="42" t="str">
        <f aca="false">IF($A149="","",$C149-$K149)</f>
        <v/>
      </c>
      <c r="M149" s="41" t="str">
        <f aca="false">IF($A149="","",SUMIFS(业务流水!$H$5:$H$1504,业务流水!$E$5:$E$1504,$B$3,业务流水!$D$5:$D$1504,"我方收款",业务流水!$C$5:$C$1504,$A149,业务流水!$Z$5:$Z$1504,"是"))</f>
        <v/>
      </c>
      <c r="N149" s="43" t="str">
        <f aca="false">IF($A149="","",$K149-$M149)</f>
        <v/>
      </c>
      <c r="O149" s="41" t="str">
        <f aca="false">IF($A149="","",SUMIFS(业务流水!$H$5:$H$1504,业务流水!$F$5:$F$1504,$B$3,业务流水!$D$5:$D$1504,"管理费结算",业务流水!$C$5:$C$1504,$A149,业务流水!$Z$5:$Z$1504,"是"))</f>
        <v/>
      </c>
      <c r="P149" s="41" t="str">
        <f aca="false">IF($A149="","",SUMIFS(业务流水!$H$5:$H$1504,业务流水!$E$5:$E$1504,$B$3,业务流水!$D$5:$D$1504,"扣质保金",业务流水!$C$5:$C$1504,$A149,业务流水!$Z$5:$Z$1504,"是"))</f>
        <v/>
      </c>
      <c r="Q149" s="48" t="str">
        <f aca="false">IF($A149="","",IF(SUM($C149:$F149)+SUM($K149:$M149)=0,"无","有"))</f>
        <v/>
      </c>
    </row>
    <row r="150" customFormat="false" ht="15.75" hidden="false" customHeight="true" outlineLevel="0" collapsed="false">
      <c r="A150" s="32" t="str">
        <f aca="false">IF(项目档案!$A150="","",项目档案!$A150)</f>
        <v/>
      </c>
      <c r="B150" s="40" t="str">
        <f aca="false">IF($A150="","",项目档案!$B150)</f>
        <v/>
      </c>
      <c r="C150" s="41" t="str">
        <f aca="false">IF($A150="","",SUMIFS(业务流水!$H$5:$H$1504,业务流水!$E$5:$E$1504,$B$3,业务流水!$D$5:$D$1504,"销项开票",业务流水!$C$5:$C$1504,$A150,业务流水!$Z$5:$Z$1504,"是"))</f>
        <v/>
      </c>
      <c r="D150" s="41" t="str">
        <f aca="false">IF($A150="","",SUMIFS(业务流水!$O$5:$O$1504,业务流水!$E$5:$E$1504,$B$3,业务流水!$D$5:$D$1504,"销项开票",业务流水!$C$5:$C$1504,$A150,业务流水!$Z$5:$Z$1504,"是"))</f>
        <v/>
      </c>
      <c r="E150" s="41" t="str">
        <f aca="false">IF($A150="","",SUMIFS(业务流水!$P$5:$P$1504,业务流水!$E$5:$E$1504,$B$3,业务流水!$D$5:$D$1504,"销项开票",业务流水!$C$5:$C$1504,$A150,业务流水!$Z$5:$Z$1504,"是"))</f>
        <v/>
      </c>
      <c r="F150" s="41" t="str">
        <f aca="false">IF($A150="","",SUMIFS(业务流水!$H$5:$H$1504,业务流水!$F$5:$F$1504,$B$3,业务流水!$D$5:$D$1504,"成本票",业务流水!$C$5:$C$1504,$A150,业务流水!$Z$5:$Z$1504,"是")+SUMIFS(业务流水!$H$5:$H$1504,业务流水!$F$5:$F$1504,$B$3,业务流水!$D$5:$D$1504,"销项开票",业务流水!$C$5:$C$1504,$A150,业务流水!$Z$5:$Z$1504,"是"))</f>
        <v/>
      </c>
      <c r="G150" s="42" t="str">
        <f aca="false">IF($A150="","",$E150-$F150)</f>
        <v/>
      </c>
      <c r="H150" s="41" t="str">
        <f aca="false">IF($A150="","",SUMIFS(业务流水!$W$5:$W$1504,业务流水!$E$5:$E$1504,$B$3,业务流水!$D$5:$D$1504,"销项开票",业务流水!$C$5:$C$1504,$A150,业务流水!$Z$5:$Z$1504,"是"))</f>
        <v/>
      </c>
      <c r="I150" s="41" t="str">
        <f aca="false">IF($A150="","",SUMIFS(业务流水!$H$5:$H$1504,业务流水!$E$5:$E$1504,$B$3,业务流水!$D$5:$D$1504,"已交税",业务流水!$C$5:$C$1504,$A150,业务流水!$Z$5:$Z$1504,"是"))</f>
        <v/>
      </c>
      <c r="J150" s="42" t="str">
        <f aca="false">IF($A150="","",$H150-$I150)</f>
        <v/>
      </c>
      <c r="K150" s="41" t="str">
        <f aca="false">IF($A150="","",SUMIFS(业务流水!$H$5:$H$1504,业务流水!$F$5:$F$1504,$B$3,业务流水!$D$5:$D$1504,"挂靠代收",业务流水!$C$5:$C$1504,$A150,业务流水!$Z$5:$Z$1504,"是"))</f>
        <v/>
      </c>
      <c r="L150" s="42" t="str">
        <f aca="false">IF($A150="","",$C150-$K150)</f>
        <v/>
      </c>
      <c r="M150" s="41" t="str">
        <f aca="false">IF($A150="","",SUMIFS(业务流水!$H$5:$H$1504,业务流水!$E$5:$E$1504,$B$3,业务流水!$D$5:$D$1504,"我方收款",业务流水!$C$5:$C$1504,$A150,业务流水!$Z$5:$Z$1504,"是"))</f>
        <v/>
      </c>
      <c r="N150" s="43" t="str">
        <f aca="false">IF($A150="","",$K150-$M150)</f>
        <v/>
      </c>
      <c r="O150" s="41" t="str">
        <f aca="false">IF($A150="","",SUMIFS(业务流水!$H$5:$H$1504,业务流水!$F$5:$F$1504,$B$3,业务流水!$D$5:$D$1504,"管理费结算",业务流水!$C$5:$C$1504,$A150,业务流水!$Z$5:$Z$1504,"是"))</f>
        <v/>
      </c>
      <c r="P150" s="41" t="str">
        <f aca="false">IF($A150="","",SUMIFS(业务流水!$H$5:$H$1504,业务流水!$E$5:$E$1504,$B$3,业务流水!$D$5:$D$1504,"扣质保金",业务流水!$C$5:$C$1504,$A150,业务流水!$Z$5:$Z$1504,"是"))</f>
        <v/>
      </c>
      <c r="Q150" s="48" t="str">
        <f aca="false">IF($A150="","",IF(SUM($C150:$F150)+SUM($K150:$M150)=0,"无","有"))</f>
        <v/>
      </c>
    </row>
    <row r="151" customFormat="false" ht="15.75" hidden="false" customHeight="true" outlineLevel="0" collapsed="false">
      <c r="A151" s="32" t="str">
        <f aca="false">IF(项目档案!$A151="","",项目档案!$A151)</f>
        <v/>
      </c>
      <c r="B151" s="40" t="str">
        <f aca="false">IF($A151="","",项目档案!$B151)</f>
        <v/>
      </c>
      <c r="C151" s="41" t="str">
        <f aca="false">IF($A151="","",SUMIFS(业务流水!$H$5:$H$1504,业务流水!$E$5:$E$1504,$B$3,业务流水!$D$5:$D$1504,"销项开票",业务流水!$C$5:$C$1504,$A151,业务流水!$Z$5:$Z$1504,"是"))</f>
        <v/>
      </c>
      <c r="D151" s="41" t="str">
        <f aca="false">IF($A151="","",SUMIFS(业务流水!$O$5:$O$1504,业务流水!$E$5:$E$1504,$B$3,业务流水!$D$5:$D$1504,"销项开票",业务流水!$C$5:$C$1504,$A151,业务流水!$Z$5:$Z$1504,"是"))</f>
        <v/>
      </c>
      <c r="E151" s="41" t="str">
        <f aca="false">IF($A151="","",SUMIFS(业务流水!$P$5:$P$1504,业务流水!$E$5:$E$1504,$B$3,业务流水!$D$5:$D$1504,"销项开票",业务流水!$C$5:$C$1504,$A151,业务流水!$Z$5:$Z$1504,"是"))</f>
        <v/>
      </c>
      <c r="F151" s="41" t="str">
        <f aca="false">IF($A151="","",SUMIFS(业务流水!$H$5:$H$1504,业务流水!$F$5:$F$1504,$B$3,业务流水!$D$5:$D$1504,"成本票",业务流水!$C$5:$C$1504,$A151,业务流水!$Z$5:$Z$1504,"是")+SUMIFS(业务流水!$H$5:$H$1504,业务流水!$F$5:$F$1504,$B$3,业务流水!$D$5:$D$1504,"销项开票",业务流水!$C$5:$C$1504,$A151,业务流水!$Z$5:$Z$1504,"是"))</f>
        <v/>
      </c>
      <c r="G151" s="42" t="str">
        <f aca="false">IF($A151="","",$E151-$F151)</f>
        <v/>
      </c>
      <c r="H151" s="41" t="str">
        <f aca="false">IF($A151="","",SUMIFS(业务流水!$W$5:$W$1504,业务流水!$E$5:$E$1504,$B$3,业务流水!$D$5:$D$1504,"销项开票",业务流水!$C$5:$C$1504,$A151,业务流水!$Z$5:$Z$1504,"是"))</f>
        <v/>
      </c>
      <c r="I151" s="41" t="str">
        <f aca="false">IF($A151="","",SUMIFS(业务流水!$H$5:$H$1504,业务流水!$E$5:$E$1504,$B$3,业务流水!$D$5:$D$1504,"已交税",业务流水!$C$5:$C$1504,$A151,业务流水!$Z$5:$Z$1504,"是"))</f>
        <v/>
      </c>
      <c r="J151" s="42" t="str">
        <f aca="false">IF($A151="","",$H151-$I151)</f>
        <v/>
      </c>
      <c r="K151" s="41" t="str">
        <f aca="false">IF($A151="","",SUMIFS(业务流水!$H$5:$H$1504,业务流水!$F$5:$F$1504,$B$3,业务流水!$D$5:$D$1504,"挂靠代收",业务流水!$C$5:$C$1504,$A151,业务流水!$Z$5:$Z$1504,"是"))</f>
        <v/>
      </c>
      <c r="L151" s="42" t="str">
        <f aca="false">IF($A151="","",$C151-$K151)</f>
        <v/>
      </c>
      <c r="M151" s="41" t="str">
        <f aca="false">IF($A151="","",SUMIFS(业务流水!$H$5:$H$1504,业务流水!$E$5:$E$1504,$B$3,业务流水!$D$5:$D$1504,"我方收款",业务流水!$C$5:$C$1504,$A151,业务流水!$Z$5:$Z$1504,"是"))</f>
        <v/>
      </c>
      <c r="N151" s="43" t="str">
        <f aca="false">IF($A151="","",$K151-$M151)</f>
        <v/>
      </c>
      <c r="O151" s="41" t="str">
        <f aca="false">IF($A151="","",SUMIFS(业务流水!$H$5:$H$1504,业务流水!$F$5:$F$1504,$B$3,业务流水!$D$5:$D$1504,"管理费结算",业务流水!$C$5:$C$1504,$A151,业务流水!$Z$5:$Z$1504,"是"))</f>
        <v/>
      </c>
      <c r="P151" s="41" t="str">
        <f aca="false">IF($A151="","",SUMIFS(业务流水!$H$5:$H$1504,业务流水!$E$5:$E$1504,$B$3,业务流水!$D$5:$D$1504,"扣质保金",业务流水!$C$5:$C$1504,$A151,业务流水!$Z$5:$Z$1504,"是"))</f>
        <v/>
      </c>
      <c r="Q151" s="48" t="str">
        <f aca="false">IF($A151="","",IF(SUM($C151:$F151)+SUM($K151:$M151)=0,"无","有"))</f>
        <v/>
      </c>
    </row>
    <row r="152" customFormat="false" ht="15.75" hidden="false" customHeight="true" outlineLevel="0" collapsed="false">
      <c r="A152" s="32" t="str">
        <f aca="false">IF(项目档案!$A152="","",项目档案!$A152)</f>
        <v/>
      </c>
      <c r="B152" s="40" t="str">
        <f aca="false">IF($A152="","",项目档案!$B152)</f>
        <v/>
      </c>
      <c r="C152" s="41" t="str">
        <f aca="false">IF($A152="","",SUMIFS(业务流水!$H$5:$H$1504,业务流水!$E$5:$E$1504,$B$3,业务流水!$D$5:$D$1504,"销项开票",业务流水!$C$5:$C$1504,$A152,业务流水!$Z$5:$Z$1504,"是"))</f>
        <v/>
      </c>
      <c r="D152" s="41" t="str">
        <f aca="false">IF($A152="","",SUMIFS(业务流水!$O$5:$O$1504,业务流水!$E$5:$E$1504,$B$3,业务流水!$D$5:$D$1504,"销项开票",业务流水!$C$5:$C$1504,$A152,业务流水!$Z$5:$Z$1504,"是"))</f>
        <v/>
      </c>
      <c r="E152" s="41" t="str">
        <f aca="false">IF($A152="","",SUMIFS(业务流水!$P$5:$P$1504,业务流水!$E$5:$E$1504,$B$3,业务流水!$D$5:$D$1504,"销项开票",业务流水!$C$5:$C$1504,$A152,业务流水!$Z$5:$Z$1504,"是"))</f>
        <v/>
      </c>
      <c r="F152" s="41" t="str">
        <f aca="false">IF($A152="","",SUMIFS(业务流水!$H$5:$H$1504,业务流水!$F$5:$F$1504,$B$3,业务流水!$D$5:$D$1504,"成本票",业务流水!$C$5:$C$1504,$A152,业务流水!$Z$5:$Z$1504,"是")+SUMIFS(业务流水!$H$5:$H$1504,业务流水!$F$5:$F$1504,$B$3,业务流水!$D$5:$D$1504,"销项开票",业务流水!$C$5:$C$1504,$A152,业务流水!$Z$5:$Z$1504,"是"))</f>
        <v/>
      </c>
      <c r="G152" s="42" t="str">
        <f aca="false">IF($A152="","",$E152-$F152)</f>
        <v/>
      </c>
      <c r="H152" s="41" t="str">
        <f aca="false">IF($A152="","",SUMIFS(业务流水!$W$5:$W$1504,业务流水!$E$5:$E$1504,$B$3,业务流水!$D$5:$D$1504,"销项开票",业务流水!$C$5:$C$1504,$A152,业务流水!$Z$5:$Z$1504,"是"))</f>
        <v/>
      </c>
      <c r="I152" s="41" t="str">
        <f aca="false">IF($A152="","",SUMIFS(业务流水!$H$5:$H$1504,业务流水!$E$5:$E$1504,$B$3,业务流水!$D$5:$D$1504,"已交税",业务流水!$C$5:$C$1504,$A152,业务流水!$Z$5:$Z$1504,"是"))</f>
        <v/>
      </c>
      <c r="J152" s="42" t="str">
        <f aca="false">IF($A152="","",$H152-$I152)</f>
        <v/>
      </c>
      <c r="K152" s="41" t="str">
        <f aca="false">IF($A152="","",SUMIFS(业务流水!$H$5:$H$1504,业务流水!$F$5:$F$1504,$B$3,业务流水!$D$5:$D$1504,"挂靠代收",业务流水!$C$5:$C$1504,$A152,业务流水!$Z$5:$Z$1504,"是"))</f>
        <v/>
      </c>
      <c r="L152" s="42" t="str">
        <f aca="false">IF($A152="","",$C152-$K152)</f>
        <v/>
      </c>
      <c r="M152" s="41" t="str">
        <f aca="false">IF($A152="","",SUMIFS(业务流水!$H$5:$H$1504,业务流水!$E$5:$E$1504,$B$3,业务流水!$D$5:$D$1504,"我方收款",业务流水!$C$5:$C$1504,$A152,业务流水!$Z$5:$Z$1504,"是"))</f>
        <v/>
      </c>
      <c r="N152" s="43" t="str">
        <f aca="false">IF($A152="","",$K152-$M152)</f>
        <v/>
      </c>
      <c r="O152" s="41" t="str">
        <f aca="false">IF($A152="","",SUMIFS(业务流水!$H$5:$H$1504,业务流水!$F$5:$F$1504,$B$3,业务流水!$D$5:$D$1504,"管理费结算",业务流水!$C$5:$C$1504,$A152,业务流水!$Z$5:$Z$1504,"是"))</f>
        <v/>
      </c>
      <c r="P152" s="41" t="str">
        <f aca="false">IF($A152="","",SUMIFS(业务流水!$H$5:$H$1504,业务流水!$E$5:$E$1504,$B$3,业务流水!$D$5:$D$1504,"扣质保金",业务流水!$C$5:$C$1504,$A152,业务流水!$Z$5:$Z$1504,"是"))</f>
        <v/>
      </c>
      <c r="Q152" s="48" t="str">
        <f aca="false">IF($A152="","",IF(SUM($C152:$F152)+SUM($K152:$M152)=0,"无","有"))</f>
        <v/>
      </c>
    </row>
    <row r="153" customFormat="false" ht="15.75" hidden="false" customHeight="true" outlineLevel="0" collapsed="false">
      <c r="A153" s="32" t="str">
        <f aca="false">IF(项目档案!$A153="","",项目档案!$A153)</f>
        <v/>
      </c>
      <c r="B153" s="40" t="str">
        <f aca="false">IF($A153="","",项目档案!$B153)</f>
        <v/>
      </c>
      <c r="C153" s="41" t="str">
        <f aca="false">IF($A153="","",SUMIFS(业务流水!$H$5:$H$1504,业务流水!$E$5:$E$1504,$B$3,业务流水!$D$5:$D$1504,"销项开票",业务流水!$C$5:$C$1504,$A153,业务流水!$Z$5:$Z$1504,"是"))</f>
        <v/>
      </c>
      <c r="D153" s="41" t="str">
        <f aca="false">IF($A153="","",SUMIFS(业务流水!$O$5:$O$1504,业务流水!$E$5:$E$1504,$B$3,业务流水!$D$5:$D$1504,"销项开票",业务流水!$C$5:$C$1504,$A153,业务流水!$Z$5:$Z$1504,"是"))</f>
        <v/>
      </c>
      <c r="E153" s="41" t="str">
        <f aca="false">IF($A153="","",SUMIFS(业务流水!$P$5:$P$1504,业务流水!$E$5:$E$1504,$B$3,业务流水!$D$5:$D$1504,"销项开票",业务流水!$C$5:$C$1504,$A153,业务流水!$Z$5:$Z$1504,"是"))</f>
        <v/>
      </c>
      <c r="F153" s="41" t="str">
        <f aca="false">IF($A153="","",SUMIFS(业务流水!$H$5:$H$1504,业务流水!$F$5:$F$1504,$B$3,业务流水!$D$5:$D$1504,"成本票",业务流水!$C$5:$C$1504,$A153,业务流水!$Z$5:$Z$1504,"是")+SUMIFS(业务流水!$H$5:$H$1504,业务流水!$F$5:$F$1504,$B$3,业务流水!$D$5:$D$1504,"销项开票",业务流水!$C$5:$C$1504,$A153,业务流水!$Z$5:$Z$1504,"是"))</f>
        <v/>
      </c>
      <c r="G153" s="42" t="str">
        <f aca="false">IF($A153="","",$E153-$F153)</f>
        <v/>
      </c>
      <c r="H153" s="41" t="str">
        <f aca="false">IF($A153="","",SUMIFS(业务流水!$W$5:$W$1504,业务流水!$E$5:$E$1504,$B$3,业务流水!$D$5:$D$1504,"销项开票",业务流水!$C$5:$C$1504,$A153,业务流水!$Z$5:$Z$1504,"是"))</f>
        <v/>
      </c>
      <c r="I153" s="41" t="str">
        <f aca="false">IF($A153="","",SUMIFS(业务流水!$H$5:$H$1504,业务流水!$E$5:$E$1504,$B$3,业务流水!$D$5:$D$1504,"已交税",业务流水!$C$5:$C$1504,$A153,业务流水!$Z$5:$Z$1504,"是"))</f>
        <v/>
      </c>
      <c r="J153" s="42" t="str">
        <f aca="false">IF($A153="","",$H153-$I153)</f>
        <v/>
      </c>
      <c r="K153" s="41" t="str">
        <f aca="false">IF($A153="","",SUMIFS(业务流水!$H$5:$H$1504,业务流水!$F$5:$F$1504,$B$3,业务流水!$D$5:$D$1504,"挂靠代收",业务流水!$C$5:$C$1504,$A153,业务流水!$Z$5:$Z$1504,"是"))</f>
        <v/>
      </c>
      <c r="L153" s="42" t="str">
        <f aca="false">IF($A153="","",$C153-$K153)</f>
        <v/>
      </c>
      <c r="M153" s="41" t="str">
        <f aca="false">IF($A153="","",SUMIFS(业务流水!$H$5:$H$1504,业务流水!$E$5:$E$1504,$B$3,业务流水!$D$5:$D$1504,"我方收款",业务流水!$C$5:$C$1504,$A153,业务流水!$Z$5:$Z$1504,"是"))</f>
        <v/>
      </c>
      <c r="N153" s="43" t="str">
        <f aca="false">IF($A153="","",$K153-$M153)</f>
        <v/>
      </c>
      <c r="O153" s="41" t="str">
        <f aca="false">IF($A153="","",SUMIFS(业务流水!$H$5:$H$1504,业务流水!$F$5:$F$1504,$B$3,业务流水!$D$5:$D$1504,"管理费结算",业务流水!$C$5:$C$1504,$A153,业务流水!$Z$5:$Z$1504,"是"))</f>
        <v/>
      </c>
      <c r="P153" s="41" t="str">
        <f aca="false">IF($A153="","",SUMIFS(业务流水!$H$5:$H$1504,业务流水!$E$5:$E$1504,$B$3,业务流水!$D$5:$D$1504,"扣质保金",业务流水!$C$5:$C$1504,$A153,业务流水!$Z$5:$Z$1504,"是"))</f>
        <v/>
      </c>
      <c r="Q153" s="48" t="str">
        <f aca="false">IF($A153="","",IF(SUM($C153:$F153)+SUM($K153:$M153)=0,"无","有"))</f>
        <v/>
      </c>
    </row>
    <row r="154" customFormat="false" ht="15.75" hidden="false" customHeight="true" outlineLevel="0" collapsed="false">
      <c r="A154" s="32" t="str">
        <f aca="false">IF(项目档案!$A154="","",项目档案!$A154)</f>
        <v/>
      </c>
      <c r="B154" s="40" t="str">
        <f aca="false">IF($A154="","",项目档案!$B154)</f>
        <v/>
      </c>
      <c r="C154" s="41" t="str">
        <f aca="false">IF($A154="","",SUMIFS(业务流水!$H$5:$H$1504,业务流水!$E$5:$E$1504,$B$3,业务流水!$D$5:$D$1504,"销项开票",业务流水!$C$5:$C$1504,$A154,业务流水!$Z$5:$Z$1504,"是"))</f>
        <v/>
      </c>
      <c r="D154" s="41" t="str">
        <f aca="false">IF($A154="","",SUMIFS(业务流水!$O$5:$O$1504,业务流水!$E$5:$E$1504,$B$3,业务流水!$D$5:$D$1504,"销项开票",业务流水!$C$5:$C$1504,$A154,业务流水!$Z$5:$Z$1504,"是"))</f>
        <v/>
      </c>
      <c r="E154" s="41" t="str">
        <f aca="false">IF($A154="","",SUMIFS(业务流水!$P$5:$P$1504,业务流水!$E$5:$E$1504,$B$3,业务流水!$D$5:$D$1504,"销项开票",业务流水!$C$5:$C$1504,$A154,业务流水!$Z$5:$Z$1504,"是"))</f>
        <v/>
      </c>
      <c r="F154" s="41" t="str">
        <f aca="false">IF($A154="","",SUMIFS(业务流水!$H$5:$H$1504,业务流水!$F$5:$F$1504,$B$3,业务流水!$D$5:$D$1504,"成本票",业务流水!$C$5:$C$1504,$A154,业务流水!$Z$5:$Z$1504,"是")+SUMIFS(业务流水!$H$5:$H$1504,业务流水!$F$5:$F$1504,$B$3,业务流水!$D$5:$D$1504,"销项开票",业务流水!$C$5:$C$1504,$A154,业务流水!$Z$5:$Z$1504,"是"))</f>
        <v/>
      </c>
      <c r="G154" s="42" t="str">
        <f aca="false">IF($A154="","",$E154-$F154)</f>
        <v/>
      </c>
      <c r="H154" s="41" t="str">
        <f aca="false">IF($A154="","",SUMIFS(业务流水!$W$5:$W$1504,业务流水!$E$5:$E$1504,$B$3,业务流水!$D$5:$D$1504,"销项开票",业务流水!$C$5:$C$1504,$A154,业务流水!$Z$5:$Z$1504,"是"))</f>
        <v/>
      </c>
      <c r="I154" s="41" t="str">
        <f aca="false">IF($A154="","",SUMIFS(业务流水!$H$5:$H$1504,业务流水!$E$5:$E$1504,$B$3,业务流水!$D$5:$D$1504,"已交税",业务流水!$C$5:$C$1504,$A154,业务流水!$Z$5:$Z$1504,"是"))</f>
        <v/>
      </c>
      <c r="J154" s="42" t="str">
        <f aca="false">IF($A154="","",$H154-$I154)</f>
        <v/>
      </c>
      <c r="K154" s="41" t="str">
        <f aca="false">IF($A154="","",SUMIFS(业务流水!$H$5:$H$1504,业务流水!$F$5:$F$1504,$B$3,业务流水!$D$5:$D$1504,"挂靠代收",业务流水!$C$5:$C$1504,$A154,业务流水!$Z$5:$Z$1504,"是"))</f>
        <v/>
      </c>
      <c r="L154" s="42" t="str">
        <f aca="false">IF($A154="","",$C154-$K154)</f>
        <v/>
      </c>
      <c r="M154" s="41" t="str">
        <f aca="false">IF($A154="","",SUMIFS(业务流水!$H$5:$H$1504,业务流水!$E$5:$E$1504,$B$3,业务流水!$D$5:$D$1504,"我方收款",业务流水!$C$5:$C$1504,$A154,业务流水!$Z$5:$Z$1504,"是"))</f>
        <v/>
      </c>
      <c r="N154" s="43" t="str">
        <f aca="false">IF($A154="","",$K154-$M154)</f>
        <v/>
      </c>
      <c r="O154" s="41" t="str">
        <f aca="false">IF($A154="","",SUMIFS(业务流水!$H$5:$H$1504,业务流水!$F$5:$F$1504,$B$3,业务流水!$D$5:$D$1504,"管理费结算",业务流水!$C$5:$C$1504,$A154,业务流水!$Z$5:$Z$1504,"是"))</f>
        <v/>
      </c>
      <c r="P154" s="41" t="str">
        <f aca="false">IF($A154="","",SUMIFS(业务流水!$H$5:$H$1504,业务流水!$E$5:$E$1504,$B$3,业务流水!$D$5:$D$1504,"扣质保金",业务流水!$C$5:$C$1504,$A154,业务流水!$Z$5:$Z$1504,"是"))</f>
        <v/>
      </c>
      <c r="Q154" s="48" t="str">
        <f aca="false">IF($A154="","",IF(SUM($C154:$F154)+SUM($K154:$M154)=0,"无","有"))</f>
        <v/>
      </c>
    </row>
    <row r="155" customFormat="false" ht="15.75" hidden="false" customHeight="true" outlineLevel="0" collapsed="false">
      <c r="A155" s="32" t="str">
        <f aca="false">IF(项目档案!$A155="","",项目档案!$A155)</f>
        <v/>
      </c>
      <c r="B155" s="40" t="str">
        <f aca="false">IF($A155="","",项目档案!$B155)</f>
        <v/>
      </c>
      <c r="C155" s="41" t="str">
        <f aca="false">IF($A155="","",SUMIFS(业务流水!$H$5:$H$1504,业务流水!$E$5:$E$1504,$B$3,业务流水!$D$5:$D$1504,"销项开票",业务流水!$C$5:$C$1504,$A155,业务流水!$Z$5:$Z$1504,"是"))</f>
        <v/>
      </c>
      <c r="D155" s="41" t="str">
        <f aca="false">IF($A155="","",SUMIFS(业务流水!$O$5:$O$1504,业务流水!$E$5:$E$1504,$B$3,业务流水!$D$5:$D$1504,"销项开票",业务流水!$C$5:$C$1504,$A155,业务流水!$Z$5:$Z$1504,"是"))</f>
        <v/>
      </c>
      <c r="E155" s="41" t="str">
        <f aca="false">IF($A155="","",SUMIFS(业务流水!$P$5:$P$1504,业务流水!$E$5:$E$1504,$B$3,业务流水!$D$5:$D$1504,"销项开票",业务流水!$C$5:$C$1504,$A155,业务流水!$Z$5:$Z$1504,"是"))</f>
        <v/>
      </c>
      <c r="F155" s="41" t="str">
        <f aca="false">IF($A155="","",SUMIFS(业务流水!$H$5:$H$1504,业务流水!$F$5:$F$1504,$B$3,业务流水!$D$5:$D$1504,"成本票",业务流水!$C$5:$C$1504,$A155,业务流水!$Z$5:$Z$1504,"是")+SUMIFS(业务流水!$H$5:$H$1504,业务流水!$F$5:$F$1504,$B$3,业务流水!$D$5:$D$1504,"销项开票",业务流水!$C$5:$C$1504,$A155,业务流水!$Z$5:$Z$1504,"是"))</f>
        <v/>
      </c>
      <c r="G155" s="42" t="str">
        <f aca="false">IF($A155="","",$E155-$F155)</f>
        <v/>
      </c>
      <c r="H155" s="41" t="str">
        <f aca="false">IF($A155="","",SUMIFS(业务流水!$W$5:$W$1504,业务流水!$E$5:$E$1504,$B$3,业务流水!$D$5:$D$1504,"销项开票",业务流水!$C$5:$C$1504,$A155,业务流水!$Z$5:$Z$1504,"是"))</f>
        <v/>
      </c>
      <c r="I155" s="41" t="str">
        <f aca="false">IF($A155="","",SUMIFS(业务流水!$H$5:$H$1504,业务流水!$E$5:$E$1504,$B$3,业务流水!$D$5:$D$1504,"已交税",业务流水!$C$5:$C$1504,$A155,业务流水!$Z$5:$Z$1504,"是"))</f>
        <v/>
      </c>
      <c r="J155" s="42" t="str">
        <f aca="false">IF($A155="","",$H155-$I155)</f>
        <v/>
      </c>
      <c r="K155" s="41" t="str">
        <f aca="false">IF($A155="","",SUMIFS(业务流水!$H$5:$H$1504,业务流水!$F$5:$F$1504,$B$3,业务流水!$D$5:$D$1504,"挂靠代收",业务流水!$C$5:$C$1504,$A155,业务流水!$Z$5:$Z$1504,"是"))</f>
        <v/>
      </c>
      <c r="L155" s="42" t="str">
        <f aca="false">IF($A155="","",$C155-$K155)</f>
        <v/>
      </c>
      <c r="M155" s="41" t="str">
        <f aca="false">IF($A155="","",SUMIFS(业务流水!$H$5:$H$1504,业务流水!$E$5:$E$1504,$B$3,业务流水!$D$5:$D$1504,"我方收款",业务流水!$C$5:$C$1504,$A155,业务流水!$Z$5:$Z$1504,"是"))</f>
        <v/>
      </c>
      <c r="N155" s="43" t="str">
        <f aca="false">IF($A155="","",$K155-$M155)</f>
        <v/>
      </c>
      <c r="O155" s="41" t="str">
        <f aca="false">IF($A155="","",SUMIFS(业务流水!$H$5:$H$1504,业务流水!$F$5:$F$1504,$B$3,业务流水!$D$5:$D$1504,"管理费结算",业务流水!$C$5:$C$1504,$A155,业务流水!$Z$5:$Z$1504,"是"))</f>
        <v/>
      </c>
      <c r="P155" s="41" t="str">
        <f aca="false">IF($A155="","",SUMIFS(业务流水!$H$5:$H$1504,业务流水!$E$5:$E$1504,$B$3,业务流水!$D$5:$D$1504,"扣质保金",业务流水!$C$5:$C$1504,$A155,业务流水!$Z$5:$Z$1504,"是"))</f>
        <v/>
      </c>
      <c r="Q155" s="48" t="str">
        <f aca="false">IF($A155="","",IF(SUM($C155:$F155)+SUM($K155:$M155)=0,"无","有"))</f>
        <v/>
      </c>
    </row>
    <row r="156" customFormat="false" ht="15.75" hidden="false" customHeight="true" outlineLevel="0" collapsed="false">
      <c r="A156" s="32" t="str">
        <f aca="false">IF(项目档案!$A156="","",项目档案!$A156)</f>
        <v/>
      </c>
      <c r="B156" s="40" t="str">
        <f aca="false">IF($A156="","",项目档案!$B156)</f>
        <v/>
      </c>
      <c r="C156" s="41" t="str">
        <f aca="false">IF($A156="","",SUMIFS(业务流水!$H$5:$H$1504,业务流水!$E$5:$E$1504,$B$3,业务流水!$D$5:$D$1504,"销项开票",业务流水!$C$5:$C$1504,$A156,业务流水!$Z$5:$Z$1504,"是"))</f>
        <v/>
      </c>
      <c r="D156" s="41" t="str">
        <f aca="false">IF($A156="","",SUMIFS(业务流水!$O$5:$O$1504,业务流水!$E$5:$E$1504,$B$3,业务流水!$D$5:$D$1504,"销项开票",业务流水!$C$5:$C$1504,$A156,业务流水!$Z$5:$Z$1504,"是"))</f>
        <v/>
      </c>
      <c r="E156" s="41" t="str">
        <f aca="false">IF($A156="","",SUMIFS(业务流水!$P$5:$P$1504,业务流水!$E$5:$E$1504,$B$3,业务流水!$D$5:$D$1504,"销项开票",业务流水!$C$5:$C$1504,$A156,业务流水!$Z$5:$Z$1504,"是"))</f>
        <v/>
      </c>
      <c r="F156" s="41" t="str">
        <f aca="false">IF($A156="","",SUMIFS(业务流水!$H$5:$H$1504,业务流水!$F$5:$F$1504,$B$3,业务流水!$D$5:$D$1504,"成本票",业务流水!$C$5:$C$1504,$A156,业务流水!$Z$5:$Z$1504,"是")+SUMIFS(业务流水!$H$5:$H$1504,业务流水!$F$5:$F$1504,$B$3,业务流水!$D$5:$D$1504,"销项开票",业务流水!$C$5:$C$1504,$A156,业务流水!$Z$5:$Z$1504,"是"))</f>
        <v/>
      </c>
      <c r="G156" s="42" t="str">
        <f aca="false">IF($A156="","",$E156-$F156)</f>
        <v/>
      </c>
      <c r="H156" s="41" t="str">
        <f aca="false">IF($A156="","",SUMIFS(业务流水!$W$5:$W$1504,业务流水!$E$5:$E$1504,$B$3,业务流水!$D$5:$D$1504,"销项开票",业务流水!$C$5:$C$1504,$A156,业务流水!$Z$5:$Z$1504,"是"))</f>
        <v/>
      </c>
      <c r="I156" s="41" t="str">
        <f aca="false">IF($A156="","",SUMIFS(业务流水!$H$5:$H$1504,业务流水!$E$5:$E$1504,$B$3,业务流水!$D$5:$D$1504,"已交税",业务流水!$C$5:$C$1504,$A156,业务流水!$Z$5:$Z$1504,"是"))</f>
        <v/>
      </c>
      <c r="J156" s="42" t="str">
        <f aca="false">IF($A156="","",$H156-$I156)</f>
        <v/>
      </c>
      <c r="K156" s="41" t="str">
        <f aca="false">IF($A156="","",SUMIFS(业务流水!$H$5:$H$1504,业务流水!$F$5:$F$1504,$B$3,业务流水!$D$5:$D$1504,"挂靠代收",业务流水!$C$5:$C$1504,$A156,业务流水!$Z$5:$Z$1504,"是"))</f>
        <v/>
      </c>
      <c r="L156" s="42" t="str">
        <f aca="false">IF($A156="","",$C156-$K156)</f>
        <v/>
      </c>
      <c r="M156" s="41" t="str">
        <f aca="false">IF($A156="","",SUMIFS(业务流水!$H$5:$H$1504,业务流水!$E$5:$E$1504,$B$3,业务流水!$D$5:$D$1504,"我方收款",业务流水!$C$5:$C$1504,$A156,业务流水!$Z$5:$Z$1504,"是"))</f>
        <v/>
      </c>
      <c r="N156" s="43" t="str">
        <f aca="false">IF($A156="","",$K156-$M156)</f>
        <v/>
      </c>
      <c r="O156" s="41" t="str">
        <f aca="false">IF($A156="","",SUMIFS(业务流水!$H$5:$H$1504,业务流水!$F$5:$F$1504,$B$3,业务流水!$D$5:$D$1504,"管理费结算",业务流水!$C$5:$C$1504,$A156,业务流水!$Z$5:$Z$1504,"是"))</f>
        <v/>
      </c>
      <c r="P156" s="41" t="str">
        <f aca="false">IF($A156="","",SUMIFS(业务流水!$H$5:$H$1504,业务流水!$E$5:$E$1504,$B$3,业务流水!$D$5:$D$1504,"扣质保金",业务流水!$C$5:$C$1504,$A156,业务流水!$Z$5:$Z$1504,"是"))</f>
        <v/>
      </c>
      <c r="Q156" s="48" t="str">
        <f aca="false">IF($A156="","",IF(SUM($C156:$F156)+SUM($K156:$M156)=0,"无","有"))</f>
        <v/>
      </c>
    </row>
    <row r="157" customFormat="false" ht="15.75" hidden="false" customHeight="true" outlineLevel="0" collapsed="false">
      <c r="A157" s="32" t="str">
        <f aca="false">IF(项目档案!$A157="","",项目档案!$A157)</f>
        <v/>
      </c>
      <c r="B157" s="40" t="str">
        <f aca="false">IF($A157="","",项目档案!$B157)</f>
        <v/>
      </c>
      <c r="C157" s="41" t="str">
        <f aca="false">IF($A157="","",SUMIFS(业务流水!$H$5:$H$1504,业务流水!$E$5:$E$1504,$B$3,业务流水!$D$5:$D$1504,"销项开票",业务流水!$C$5:$C$1504,$A157,业务流水!$Z$5:$Z$1504,"是"))</f>
        <v/>
      </c>
      <c r="D157" s="41" t="str">
        <f aca="false">IF($A157="","",SUMIFS(业务流水!$O$5:$O$1504,业务流水!$E$5:$E$1504,$B$3,业务流水!$D$5:$D$1504,"销项开票",业务流水!$C$5:$C$1504,$A157,业务流水!$Z$5:$Z$1504,"是"))</f>
        <v/>
      </c>
      <c r="E157" s="41" t="str">
        <f aca="false">IF($A157="","",SUMIFS(业务流水!$P$5:$P$1504,业务流水!$E$5:$E$1504,$B$3,业务流水!$D$5:$D$1504,"销项开票",业务流水!$C$5:$C$1504,$A157,业务流水!$Z$5:$Z$1504,"是"))</f>
        <v/>
      </c>
      <c r="F157" s="41" t="str">
        <f aca="false">IF($A157="","",SUMIFS(业务流水!$H$5:$H$1504,业务流水!$F$5:$F$1504,$B$3,业务流水!$D$5:$D$1504,"成本票",业务流水!$C$5:$C$1504,$A157,业务流水!$Z$5:$Z$1504,"是")+SUMIFS(业务流水!$H$5:$H$1504,业务流水!$F$5:$F$1504,$B$3,业务流水!$D$5:$D$1504,"销项开票",业务流水!$C$5:$C$1504,$A157,业务流水!$Z$5:$Z$1504,"是"))</f>
        <v/>
      </c>
      <c r="G157" s="42" t="str">
        <f aca="false">IF($A157="","",$E157-$F157)</f>
        <v/>
      </c>
      <c r="H157" s="41" t="str">
        <f aca="false">IF($A157="","",SUMIFS(业务流水!$W$5:$W$1504,业务流水!$E$5:$E$1504,$B$3,业务流水!$D$5:$D$1504,"销项开票",业务流水!$C$5:$C$1504,$A157,业务流水!$Z$5:$Z$1504,"是"))</f>
        <v/>
      </c>
      <c r="I157" s="41" t="str">
        <f aca="false">IF($A157="","",SUMIFS(业务流水!$H$5:$H$1504,业务流水!$E$5:$E$1504,$B$3,业务流水!$D$5:$D$1504,"已交税",业务流水!$C$5:$C$1504,$A157,业务流水!$Z$5:$Z$1504,"是"))</f>
        <v/>
      </c>
      <c r="J157" s="42" t="str">
        <f aca="false">IF($A157="","",$H157-$I157)</f>
        <v/>
      </c>
      <c r="K157" s="41" t="str">
        <f aca="false">IF($A157="","",SUMIFS(业务流水!$H$5:$H$1504,业务流水!$F$5:$F$1504,$B$3,业务流水!$D$5:$D$1504,"挂靠代收",业务流水!$C$5:$C$1504,$A157,业务流水!$Z$5:$Z$1504,"是"))</f>
        <v/>
      </c>
      <c r="L157" s="42" t="str">
        <f aca="false">IF($A157="","",$C157-$K157)</f>
        <v/>
      </c>
      <c r="M157" s="41" t="str">
        <f aca="false">IF($A157="","",SUMIFS(业务流水!$H$5:$H$1504,业务流水!$E$5:$E$1504,$B$3,业务流水!$D$5:$D$1504,"我方收款",业务流水!$C$5:$C$1504,$A157,业务流水!$Z$5:$Z$1504,"是"))</f>
        <v/>
      </c>
      <c r="N157" s="43" t="str">
        <f aca="false">IF($A157="","",$K157-$M157)</f>
        <v/>
      </c>
      <c r="O157" s="41" t="str">
        <f aca="false">IF($A157="","",SUMIFS(业务流水!$H$5:$H$1504,业务流水!$F$5:$F$1504,$B$3,业务流水!$D$5:$D$1504,"管理费结算",业务流水!$C$5:$C$1504,$A157,业务流水!$Z$5:$Z$1504,"是"))</f>
        <v/>
      </c>
      <c r="P157" s="41" t="str">
        <f aca="false">IF($A157="","",SUMIFS(业务流水!$H$5:$H$1504,业务流水!$E$5:$E$1504,$B$3,业务流水!$D$5:$D$1504,"扣质保金",业务流水!$C$5:$C$1504,$A157,业务流水!$Z$5:$Z$1504,"是"))</f>
        <v/>
      </c>
      <c r="Q157" s="48" t="str">
        <f aca="false">IF($A157="","",IF(SUM($C157:$F157)+SUM($K157:$M157)=0,"无","有"))</f>
        <v/>
      </c>
    </row>
    <row r="158" customFormat="false" ht="15.75" hidden="false" customHeight="true" outlineLevel="0" collapsed="false">
      <c r="A158" s="32" t="str">
        <f aca="false">IF(项目档案!$A158="","",项目档案!$A158)</f>
        <v/>
      </c>
      <c r="B158" s="40" t="str">
        <f aca="false">IF($A158="","",项目档案!$B158)</f>
        <v/>
      </c>
      <c r="C158" s="41" t="str">
        <f aca="false">IF($A158="","",SUMIFS(业务流水!$H$5:$H$1504,业务流水!$E$5:$E$1504,$B$3,业务流水!$D$5:$D$1504,"销项开票",业务流水!$C$5:$C$1504,$A158,业务流水!$Z$5:$Z$1504,"是"))</f>
        <v/>
      </c>
      <c r="D158" s="41" t="str">
        <f aca="false">IF($A158="","",SUMIFS(业务流水!$O$5:$O$1504,业务流水!$E$5:$E$1504,$B$3,业务流水!$D$5:$D$1504,"销项开票",业务流水!$C$5:$C$1504,$A158,业务流水!$Z$5:$Z$1504,"是"))</f>
        <v/>
      </c>
      <c r="E158" s="41" t="str">
        <f aca="false">IF($A158="","",SUMIFS(业务流水!$P$5:$P$1504,业务流水!$E$5:$E$1504,$B$3,业务流水!$D$5:$D$1504,"销项开票",业务流水!$C$5:$C$1504,$A158,业务流水!$Z$5:$Z$1504,"是"))</f>
        <v/>
      </c>
      <c r="F158" s="41" t="str">
        <f aca="false">IF($A158="","",SUMIFS(业务流水!$H$5:$H$1504,业务流水!$F$5:$F$1504,$B$3,业务流水!$D$5:$D$1504,"成本票",业务流水!$C$5:$C$1504,$A158,业务流水!$Z$5:$Z$1504,"是")+SUMIFS(业务流水!$H$5:$H$1504,业务流水!$F$5:$F$1504,$B$3,业务流水!$D$5:$D$1504,"销项开票",业务流水!$C$5:$C$1504,$A158,业务流水!$Z$5:$Z$1504,"是"))</f>
        <v/>
      </c>
      <c r="G158" s="42" t="str">
        <f aca="false">IF($A158="","",$E158-$F158)</f>
        <v/>
      </c>
      <c r="H158" s="41" t="str">
        <f aca="false">IF($A158="","",SUMIFS(业务流水!$W$5:$W$1504,业务流水!$E$5:$E$1504,$B$3,业务流水!$D$5:$D$1504,"销项开票",业务流水!$C$5:$C$1504,$A158,业务流水!$Z$5:$Z$1504,"是"))</f>
        <v/>
      </c>
      <c r="I158" s="41" t="str">
        <f aca="false">IF($A158="","",SUMIFS(业务流水!$H$5:$H$1504,业务流水!$E$5:$E$1504,$B$3,业务流水!$D$5:$D$1504,"已交税",业务流水!$C$5:$C$1504,$A158,业务流水!$Z$5:$Z$1504,"是"))</f>
        <v/>
      </c>
      <c r="J158" s="42" t="str">
        <f aca="false">IF($A158="","",$H158-$I158)</f>
        <v/>
      </c>
      <c r="K158" s="41" t="str">
        <f aca="false">IF($A158="","",SUMIFS(业务流水!$H$5:$H$1504,业务流水!$F$5:$F$1504,$B$3,业务流水!$D$5:$D$1504,"挂靠代收",业务流水!$C$5:$C$1504,$A158,业务流水!$Z$5:$Z$1504,"是"))</f>
        <v/>
      </c>
      <c r="L158" s="42" t="str">
        <f aca="false">IF($A158="","",$C158-$K158)</f>
        <v/>
      </c>
      <c r="M158" s="41" t="str">
        <f aca="false">IF($A158="","",SUMIFS(业务流水!$H$5:$H$1504,业务流水!$E$5:$E$1504,$B$3,业务流水!$D$5:$D$1504,"我方收款",业务流水!$C$5:$C$1504,$A158,业务流水!$Z$5:$Z$1504,"是"))</f>
        <v/>
      </c>
      <c r="N158" s="43" t="str">
        <f aca="false">IF($A158="","",$K158-$M158)</f>
        <v/>
      </c>
      <c r="O158" s="41" t="str">
        <f aca="false">IF($A158="","",SUMIFS(业务流水!$H$5:$H$1504,业务流水!$F$5:$F$1504,$B$3,业务流水!$D$5:$D$1504,"管理费结算",业务流水!$C$5:$C$1504,$A158,业务流水!$Z$5:$Z$1504,"是"))</f>
        <v/>
      </c>
      <c r="P158" s="41" t="str">
        <f aca="false">IF($A158="","",SUMIFS(业务流水!$H$5:$H$1504,业务流水!$E$5:$E$1504,$B$3,业务流水!$D$5:$D$1504,"扣质保金",业务流水!$C$5:$C$1504,$A158,业务流水!$Z$5:$Z$1504,"是"))</f>
        <v/>
      </c>
      <c r="Q158" s="48" t="str">
        <f aca="false">IF($A158="","",IF(SUM($C158:$F158)+SUM($K158:$M158)=0,"无","有"))</f>
        <v/>
      </c>
    </row>
    <row r="159" customFormat="false" ht="15.75" hidden="false" customHeight="true" outlineLevel="0" collapsed="false">
      <c r="A159" s="32" t="str">
        <f aca="false">IF(项目档案!$A159="","",项目档案!$A159)</f>
        <v/>
      </c>
      <c r="B159" s="40" t="str">
        <f aca="false">IF($A159="","",项目档案!$B159)</f>
        <v/>
      </c>
      <c r="C159" s="41" t="str">
        <f aca="false">IF($A159="","",SUMIFS(业务流水!$H$5:$H$1504,业务流水!$E$5:$E$1504,$B$3,业务流水!$D$5:$D$1504,"销项开票",业务流水!$C$5:$C$1504,$A159,业务流水!$Z$5:$Z$1504,"是"))</f>
        <v/>
      </c>
      <c r="D159" s="41" t="str">
        <f aca="false">IF($A159="","",SUMIFS(业务流水!$O$5:$O$1504,业务流水!$E$5:$E$1504,$B$3,业务流水!$D$5:$D$1504,"销项开票",业务流水!$C$5:$C$1504,$A159,业务流水!$Z$5:$Z$1504,"是"))</f>
        <v/>
      </c>
      <c r="E159" s="41" t="str">
        <f aca="false">IF($A159="","",SUMIFS(业务流水!$P$5:$P$1504,业务流水!$E$5:$E$1504,$B$3,业务流水!$D$5:$D$1504,"销项开票",业务流水!$C$5:$C$1504,$A159,业务流水!$Z$5:$Z$1504,"是"))</f>
        <v/>
      </c>
      <c r="F159" s="41" t="str">
        <f aca="false">IF($A159="","",SUMIFS(业务流水!$H$5:$H$1504,业务流水!$F$5:$F$1504,$B$3,业务流水!$D$5:$D$1504,"成本票",业务流水!$C$5:$C$1504,$A159,业务流水!$Z$5:$Z$1504,"是")+SUMIFS(业务流水!$H$5:$H$1504,业务流水!$F$5:$F$1504,$B$3,业务流水!$D$5:$D$1504,"销项开票",业务流水!$C$5:$C$1504,$A159,业务流水!$Z$5:$Z$1504,"是"))</f>
        <v/>
      </c>
      <c r="G159" s="42" t="str">
        <f aca="false">IF($A159="","",$E159-$F159)</f>
        <v/>
      </c>
      <c r="H159" s="41" t="str">
        <f aca="false">IF($A159="","",SUMIFS(业务流水!$W$5:$W$1504,业务流水!$E$5:$E$1504,$B$3,业务流水!$D$5:$D$1504,"销项开票",业务流水!$C$5:$C$1504,$A159,业务流水!$Z$5:$Z$1504,"是"))</f>
        <v/>
      </c>
      <c r="I159" s="41" t="str">
        <f aca="false">IF($A159="","",SUMIFS(业务流水!$H$5:$H$1504,业务流水!$E$5:$E$1504,$B$3,业务流水!$D$5:$D$1504,"已交税",业务流水!$C$5:$C$1504,$A159,业务流水!$Z$5:$Z$1504,"是"))</f>
        <v/>
      </c>
      <c r="J159" s="42" t="str">
        <f aca="false">IF($A159="","",$H159-$I159)</f>
        <v/>
      </c>
      <c r="K159" s="41" t="str">
        <f aca="false">IF($A159="","",SUMIFS(业务流水!$H$5:$H$1504,业务流水!$F$5:$F$1504,$B$3,业务流水!$D$5:$D$1504,"挂靠代收",业务流水!$C$5:$C$1504,$A159,业务流水!$Z$5:$Z$1504,"是"))</f>
        <v/>
      </c>
      <c r="L159" s="42" t="str">
        <f aca="false">IF($A159="","",$C159-$K159)</f>
        <v/>
      </c>
      <c r="M159" s="41" t="str">
        <f aca="false">IF($A159="","",SUMIFS(业务流水!$H$5:$H$1504,业务流水!$E$5:$E$1504,$B$3,业务流水!$D$5:$D$1504,"我方收款",业务流水!$C$5:$C$1504,$A159,业务流水!$Z$5:$Z$1504,"是"))</f>
        <v/>
      </c>
      <c r="N159" s="43" t="str">
        <f aca="false">IF($A159="","",$K159-$M159)</f>
        <v/>
      </c>
      <c r="O159" s="41" t="str">
        <f aca="false">IF($A159="","",SUMIFS(业务流水!$H$5:$H$1504,业务流水!$F$5:$F$1504,$B$3,业务流水!$D$5:$D$1504,"管理费结算",业务流水!$C$5:$C$1504,$A159,业务流水!$Z$5:$Z$1504,"是"))</f>
        <v/>
      </c>
      <c r="P159" s="41" t="str">
        <f aca="false">IF($A159="","",SUMIFS(业务流水!$H$5:$H$1504,业务流水!$E$5:$E$1504,$B$3,业务流水!$D$5:$D$1504,"扣质保金",业务流水!$C$5:$C$1504,$A159,业务流水!$Z$5:$Z$1504,"是"))</f>
        <v/>
      </c>
      <c r="Q159" s="48" t="str">
        <f aca="false">IF($A159="","",IF(SUM($C159:$F159)+SUM($K159:$M159)=0,"无","有"))</f>
        <v/>
      </c>
    </row>
    <row r="160" customFormat="false" ht="15.75" hidden="false" customHeight="true" outlineLevel="0" collapsed="false">
      <c r="A160" s="32" t="str">
        <f aca="false">IF(项目档案!$A160="","",项目档案!$A160)</f>
        <v/>
      </c>
      <c r="B160" s="40" t="str">
        <f aca="false">IF($A160="","",项目档案!$B160)</f>
        <v/>
      </c>
      <c r="C160" s="41" t="str">
        <f aca="false">IF($A160="","",SUMIFS(业务流水!$H$5:$H$1504,业务流水!$E$5:$E$1504,$B$3,业务流水!$D$5:$D$1504,"销项开票",业务流水!$C$5:$C$1504,$A160,业务流水!$Z$5:$Z$1504,"是"))</f>
        <v/>
      </c>
      <c r="D160" s="41" t="str">
        <f aca="false">IF($A160="","",SUMIFS(业务流水!$O$5:$O$1504,业务流水!$E$5:$E$1504,$B$3,业务流水!$D$5:$D$1504,"销项开票",业务流水!$C$5:$C$1504,$A160,业务流水!$Z$5:$Z$1504,"是"))</f>
        <v/>
      </c>
      <c r="E160" s="41" t="str">
        <f aca="false">IF($A160="","",SUMIFS(业务流水!$P$5:$P$1504,业务流水!$E$5:$E$1504,$B$3,业务流水!$D$5:$D$1504,"销项开票",业务流水!$C$5:$C$1504,$A160,业务流水!$Z$5:$Z$1504,"是"))</f>
        <v/>
      </c>
      <c r="F160" s="41" t="str">
        <f aca="false">IF($A160="","",SUMIFS(业务流水!$H$5:$H$1504,业务流水!$F$5:$F$1504,$B$3,业务流水!$D$5:$D$1504,"成本票",业务流水!$C$5:$C$1504,$A160,业务流水!$Z$5:$Z$1504,"是")+SUMIFS(业务流水!$H$5:$H$1504,业务流水!$F$5:$F$1504,$B$3,业务流水!$D$5:$D$1504,"销项开票",业务流水!$C$5:$C$1504,$A160,业务流水!$Z$5:$Z$1504,"是"))</f>
        <v/>
      </c>
      <c r="G160" s="42" t="str">
        <f aca="false">IF($A160="","",$E160-$F160)</f>
        <v/>
      </c>
      <c r="H160" s="41" t="str">
        <f aca="false">IF($A160="","",SUMIFS(业务流水!$W$5:$W$1504,业务流水!$E$5:$E$1504,$B$3,业务流水!$D$5:$D$1504,"销项开票",业务流水!$C$5:$C$1504,$A160,业务流水!$Z$5:$Z$1504,"是"))</f>
        <v/>
      </c>
      <c r="I160" s="41" t="str">
        <f aca="false">IF($A160="","",SUMIFS(业务流水!$H$5:$H$1504,业务流水!$E$5:$E$1504,$B$3,业务流水!$D$5:$D$1504,"已交税",业务流水!$C$5:$C$1504,$A160,业务流水!$Z$5:$Z$1504,"是"))</f>
        <v/>
      </c>
      <c r="J160" s="42" t="str">
        <f aca="false">IF($A160="","",$H160-$I160)</f>
        <v/>
      </c>
      <c r="K160" s="41" t="str">
        <f aca="false">IF($A160="","",SUMIFS(业务流水!$H$5:$H$1504,业务流水!$F$5:$F$1504,$B$3,业务流水!$D$5:$D$1504,"挂靠代收",业务流水!$C$5:$C$1504,$A160,业务流水!$Z$5:$Z$1504,"是"))</f>
        <v/>
      </c>
      <c r="L160" s="42" t="str">
        <f aca="false">IF($A160="","",$C160-$K160)</f>
        <v/>
      </c>
      <c r="M160" s="41" t="str">
        <f aca="false">IF($A160="","",SUMIFS(业务流水!$H$5:$H$1504,业务流水!$E$5:$E$1504,$B$3,业务流水!$D$5:$D$1504,"我方收款",业务流水!$C$5:$C$1504,$A160,业务流水!$Z$5:$Z$1504,"是"))</f>
        <v/>
      </c>
      <c r="N160" s="43" t="str">
        <f aca="false">IF($A160="","",$K160-$M160)</f>
        <v/>
      </c>
      <c r="O160" s="41" t="str">
        <f aca="false">IF($A160="","",SUMIFS(业务流水!$H$5:$H$1504,业务流水!$F$5:$F$1504,$B$3,业务流水!$D$5:$D$1504,"管理费结算",业务流水!$C$5:$C$1504,$A160,业务流水!$Z$5:$Z$1504,"是"))</f>
        <v/>
      </c>
      <c r="P160" s="41" t="str">
        <f aca="false">IF($A160="","",SUMIFS(业务流水!$H$5:$H$1504,业务流水!$E$5:$E$1504,$B$3,业务流水!$D$5:$D$1504,"扣质保金",业务流水!$C$5:$C$1504,$A160,业务流水!$Z$5:$Z$1504,"是"))</f>
        <v/>
      </c>
      <c r="Q160" s="48" t="str">
        <f aca="false">IF($A160="","",IF(SUM($C160:$F160)+SUM($K160:$M160)=0,"无","有"))</f>
        <v/>
      </c>
    </row>
    <row r="161" customFormat="false" ht="15.75" hidden="false" customHeight="true" outlineLevel="0" collapsed="false">
      <c r="A161" s="32" t="str">
        <f aca="false">IF(项目档案!$A161="","",项目档案!$A161)</f>
        <v/>
      </c>
      <c r="B161" s="40" t="str">
        <f aca="false">IF($A161="","",项目档案!$B161)</f>
        <v/>
      </c>
      <c r="C161" s="41" t="str">
        <f aca="false">IF($A161="","",SUMIFS(业务流水!$H$5:$H$1504,业务流水!$E$5:$E$1504,$B$3,业务流水!$D$5:$D$1504,"销项开票",业务流水!$C$5:$C$1504,$A161,业务流水!$Z$5:$Z$1504,"是"))</f>
        <v/>
      </c>
      <c r="D161" s="41" t="str">
        <f aca="false">IF($A161="","",SUMIFS(业务流水!$O$5:$O$1504,业务流水!$E$5:$E$1504,$B$3,业务流水!$D$5:$D$1504,"销项开票",业务流水!$C$5:$C$1504,$A161,业务流水!$Z$5:$Z$1504,"是"))</f>
        <v/>
      </c>
      <c r="E161" s="41" t="str">
        <f aca="false">IF($A161="","",SUMIFS(业务流水!$P$5:$P$1504,业务流水!$E$5:$E$1504,$B$3,业务流水!$D$5:$D$1504,"销项开票",业务流水!$C$5:$C$1504,$A161,业务流水!$Z$5:$Z$1504,"是"))</f>
        <v/>
      </c>
      <c r="F161" s="41" t="str">
        <f aca="false">IF($A161="","",SUMIFS(业务流水!$H$5:$H$1504,业务流水!$F$5:$F$1504,$B$3,业务流水!$D$5:$D$1504,"成本票",业务流水!$C$5:$C$1504,$A161,业务流水!$Z$5:$Z$1504,"是")+SUMIFS(业务流水!$H$5:$H$1504,业务流水!$F$5:$F$1504,$B$3,业务流水!$D$5:$D$1504,"销项开票",业务流水!$C$5:$C$1504,$A161,业务流水!$Z$5:$Z$1504,"是"))</f>
        <v/>
      </c>
      <c r="G161" s="42" t="str">
        <f aca="false">IF($A161="","",$E161-$F161)</f>
        <v/>
      </c>
      <c r="H161" s="41" t="str">
        <f aca="false">IF($A161="","",SUMIFS(业务流水!$W$5:$W$1504,业务流水!$E$5:$E$1504,$B$3,业务流水!$D$5:$D$1504,"销项开票",业务流水!$C$5:$C$1504,$A161,业务流水!$Z$5:$Z$1504,"是"))</f>
        <v/>
      </c>
      <c r="I161" s="41" t="str">
        <f aca="false">IF($A161="","",SUMIFS(业务流水!$H$5:$H$1504,业务流水!$E$5:$E$1504,$B$3,业务流水!$D$5:$D$1504,"已交税",业务流水!$C$5:$C$1504,$A161,业务流水!$Z$5:$Z$1504,"是"))</f>
        <v/>
      </c>
      <c r="J161" s="42" t="str">
        <f aca="false">IF($A161="","",$H161-$I161)</f>
        <v/>
      </c>
      <c r="K161" s="41" t="str">
        <f aca="false">IF($A161="","",SUMIFS(业务流水!$H$5:$H$1504,业务流水!$F$5:$F$1504,$B$3,业务流水!$D$5:$D$1504,"挂靠代收",业务流水!$C$5:$C$1504,$A161,业务流水!$Z$5:$Z$1504,"是"))</f>
        <v/>
      </c>
      <c r="L161" s="42" t="str">
        <f aca="false">IF($A161="","",$C161-$K161)</f>
        <v/>
      </c>
      <c r="M161" s="41" t="str">
        <f aca="false">IF($A161="","",SUMIFS(业务流水!$H$5:$H$1504,业务流水!$E$5:$E$1504,$B$3,业务流水!$D$5:$D$1504,"我方收款",业务流水!$C$5:$C$1504,$A161,业务流水!$Z$5:$Z$1504,"是"))</f>
        <v/>
      </c>
      <c r="N161" s="43" t="str">
        <f aca="false">IF($A161="","",$K161-$M161)</f>
        <v/>
      </c>
      <c r="O161" s="41" t="str">
        <f aca="false">IF($A161="","",SUMIFS(业务流水!$H$5:$H$1504,业务流水!$F$5:$F$1504,$B$3,业务流水!$D$5:$D$1504,"管理费结算",业务流水!$C$5:$C$1504,$A161,业务流水!$Z$5:$Z$1504,"是"))</f>
        <v/>
      </c>
      <c r="P161" s="41" t="str">
        <f aca="false">IF($A161="","",SUMIFS(业务流水!$H$5:$H$1504,业务流水!$E$5:$E$1504,$B$3,业务流水!$D$5:$D$1504,"扣质保金",业务流水!$C$5:$C$1504,$A161,业务流水!$Z$5:$Z$1504,"是"))</f>
        <v/>
      </c>
      <c r="Q161" s="48" t="str">
        <f aca="false">IF($A161="","",IF(SUM($C161:$F161)+SUM($K161:$M161)=0,"无","有"))</f>
        <v/>
      </c>
    </row>
    <row r="162" customFormat="false" ht="15.75" hidden="false" customHeight="true" outlineLevel="0" collapsed="false">
      <c r="A162" s="32" t="str">
        <f aca="false">IF(项目档案!$A162="","",项目档案!$A162)</f>
        <v/>
      </c>
      <c r="B162" s="40" t="str">
        <f aca="false">IF($A162="","",项目档案!$B162)</f>
        <v/>
      </c>
      <c r="C162" s="41" t="str">
        <f aca="false">IF($A162="","",SUMIFS(业务流水!$H$5:$H$1504,业务流水!$E$5:$E$1504,$B$3,业务流水!$D$5:$D$1504,"销项开票",业务流水!$C$5:$C$1504,$A162,业务流水!$Z$5:$Z$1504,"是"))</f>
        <v/>
      </c>
      <c r="D162" s="41" t="str">
        <f aca="false">IF($A162="","",SUMIFS(业务流水!$O$5:$O$1504,业务流水!$E$5:$E$1504,$B$3,业务流水!$D$5:$D$1504,"销项开票",业务流水!$C$5:$C$1504,$A162,业务流水!$Z$5:$Z$1504,"是"))</f>
        <v/>
      </c>
      <c r="E162" s="41" t="str">
        <f aca="false">IF($A162="","",SUMIFS(业务流水!$P$5:$P$1504,业务流水!$E$5:$E$1504,$B$3,业务流水!$D$5:$D$1504,"销项开票",业务流水!$C$5:$C$1504,$A162,业务流水!$Z$5:$Z$1504,"是"))</f>
        <v/>
      </c>
      <c r="F162" s="41" t="str">
        <f aca="false">IF($A162="","",SUMIFS(业务流水!$H$5:$H$1504,业务流水!$F$5:$F$1504,$B$3,业务流水!$D$5:$D$1504,"成本票",业务流水!$C$5:$C$1504,$A162,业务流水!$Z$5:$Z$1504,"是")+SUMIFS(业务流水!$H$5:$H$1504,业务流水!$F$5:$F$1504,$B$3,业务流水!$D$5:$D$1504,"销项开票",业务流水!$C$5:$C$1504,$A162,业务流水!$Z$5:$Z$1504,"是"))</f>
        <v/>
      </c>
      <c r="G162" s="42" t="str">
        <f aca="false">IF($A162="","",$E162-$F162)</f>
        <v/>
      </c>
      <c r="H162" s="41" t="str">
        <f aca="false">IF($A162="","",SUMIFS(业务流水!$W$5:$W$1504,业务流水!$E$5:$E$1504,$B$3,业务流水!$D$5:$D$1504,"销项开票",业务流水!$C$5:$C$1504,$A162,业务流水!$Z$5:$Z$1504,"是"))</f>
        <v/>
      </c>
      <c r="I162" s="41" t="str">
        <f aca="false">IF($A162="","",SUMIFS(业务流水!$H$5:$H$1504,业务流水!$E$5:$E$1504,$B$3,业务流水!$D$5:$D$1504,"已交税",业务流水!$C$5:$C$1504,$A162,业务流水!$Z$5:$Z$1504,"是"))</f>
        <v/>
      </c>
      <c r="J162" s="42" t="str">
        <f aca="false">IF($A162="","",$H162-$I162)</f>
        <v/>
      </c>
      <c r="K162" s="41" t="str">
        <f aca="false">IF($A162="","",SUMIFS(业务流水!$H$5:$H$1504,业务流水!$F$5:$F$1504,$B$3,业务流水!$D$5:$D$1504,"挂靠代收",业务流水!$C$5:$C$1504,$A162,业务流水!$Z$5:$Z$1504,"是"))</f>
        <v/>
      </c>
      <c r="L162" s="42" t="str">
        <f aca="false">IF($A162="","",$C162-$K162)</f>
        <v/>
      </c>
      <c r="M162" s="41" t="str">
        <f aca="false">IF($A162="","",SUMIFS(业务流水!$H$5:$H$1504,业务流水!$E$5:$E$1504,$B$3,业务流水!$D$5:$D$1504,"我方收款",业务流水!$C$5:$C$1504,$A162,业务流水!$Z$5:$Z$1504,"是"))</f>
        <v/>
      </c>
      <c r="N162" s="43" t="str">
        <f aca="false">IF($A162="","",$K162-$M162)</f>
        <v/>
      </c>
      <c r="O162" s="41" t="str">
        <f aca="false">IF($A162="","",SUMIFS(业务流水!$H$5:$H$1504,业务流水!$F$5:$F$1504,$B$3,业务流水!$D$5:$D$1504,"管理费结算",业务流水!$C$5:$C$1504,$A162,业务流水!$Z$5:$Z$1504,"是"))</f>
        <v/>
      </c>
      <c r="P162" s="41" t="str">
        <f aca="false">IF($A162="","",SUMIFS(业务流水!$H$5:$H$1504,业务流水!$E$5:$E$1504,$B$3,业务流水!$D$5:$D$1504,"扣质保金",业务流水!$C$5:$C$1504,$A162,业务流水!$Z$5:$Z$1504,"是"))</f>
        <v/>
      </c>
      <c r="Q162" s="48" t="str">
        <f aca="false">IF($A162="","",IF(SUM($C162:$F162)+SUM($K162:$M162)=0,"无","有"))</f>
        <v/>
      </c>
    </row>
    <row r="163" customFormat="false" ht="15.75" hidden="false" customHeight="true" outlineLevel="0" collapsed="false">
      <c r="A163" s="32" t="str">
        <f aca="false">IF(项目档案!$A163="","",项目档案!$A163)</f>
        <v/>
      </c>
      <c r="B163" s="40" t="str">
        <f aca="false">IF($A163="","",项目档案!$B163)</f>
        <v/>
      </c>
      <c r="C163" s="41" t="str">
        <f aca="false">IF($A163="","",SUMIFS(业务流水!$H$5:$H$1504,业务流水!$E$5:$E$1504,$B$3,业务流水!$D$5:$D$1504,"销项开票",业务流水!$C$5:$C$1504,$A163,业务流水!$Z$5:$Z$1504,"是"))</f>
        <v/>
      </c>
      <c r="D163" s="41" t="str">
        <f aca="false">IF($A163="","",SUMIFS(业务流水!$O$5:$O$1504,业务流水!$E$5:$E$1504,$B$3,业务流水!$D$5:$D$1504,"销项开票",业务流水!$C$5:$C$1504,$A163,业务流水!$Z$5:$Z$1504,"是"))</f>
        <v/>
      </c>
      <c r="E163" s="41" t="str">
        <f aca="false">IF($A163="","",SUMIFS(业务流水!$P$5:$P$1504,业务流水!$E$5:$E$1504,$B$3,业务流水!$D$5:$D$1504,"销项开票",业务流水!$C$5:$C$1504,$A163,业务流水!$Z$5:$Z$1504,"是"))</f>
        <v/>
      </c>
      <c r="F163" s="41" t="str">
        <f aca="false">IF($A163="","",SUMIFS(业务流水!$H$5:$H$1504,业务流水!$F$5:$F$1504,$B$3,业务流水!$D$5:$D$1504,"成本票",业务流水!$C$5:$C$1504,$A163,业务流水!$Z$5:$Z$1504,"是")+SUMIFS(业务流水!$H$5:$H$1504,业务流水!$F$5:$F$1504,$B$3,业务流水!$D$5:$D$1504,"销项开票",业务流水!$C$5:$C$1504,$A163,业务流水!$Z$5:$Z$1504,"是"))</f>
        <v/>
      </c>
      <c r="G163" s="42" t="str">
        <f aca="false">IF($A163="","",$E163-$F163)</f>
        <v/>
      </c>
      <c r="H163" s="41" t="str">
        <f aca="false">IF($A163="","",SUMIFS(业务流水!$W$5:$W$1504,业务流水!$E$5:$E$1504,$B$3,业务流水!$D$5:$D$1504,"销项开票",业务流水!$C$5:$C$1504,$A163,业务流水!$Z$5:$Z$1504,"是"))</f>
        <v/>
      </c>
      <c r="I163" s="41" t="str">
        <f aca="false">IF($A163="","",SUMIFS(业务流水!$H$5:$H$1504,业务流水!$E$5:$E$1504,$B$3,业务流水!$D$5:$D$1504,"已交税",业务流水!$C$5:$C$1504,$A163,业务流水!$Z$5:$Z$1504,"是"))</f>
        <v/>
      </c>
      <c r="J163" s="42" t="str">
        <f aca="false">IF($A163="","",$H163-$I163)</f>
        <v/>
      </c>
      <c r="K163" s="41" t="str">
        <f aca="false">IF($A163="","",SUMIFS(业务流水!$H$5:$H$1504,业务流水!$F$5:$F$1504,$B$3,业务流水!$D$5:$D$1504,"挂靠代收",业务流水!$C$5:$C$1504,$A163,业务流水!$Z$5:$Z$1504,"是"))</f>
        <v/>
      </c>
      <c r="L163" s="42" t="str">
        <f aca="false">IF($A163="","",$C163-$K163)</f>
        <v/>
      </c>
      <c r="M163" s="41" t="str">
        <f aca="false">IF($A163="","",SUMIFS(业务流水!$H$5:$H$1504,业务流水!$E$5:$E$1504,$B$3,业务流水!$D$5:$D$1504,"我方收款",业务流水!$C$5:$C$1504,$A163,业务流水!$Z$5:$Z$1504,"是"))</f>
        <v/>
      </c>
      <c r="N163" s="43" t="str">
        <f aca="false">IF($A163="","",$K163-$M163)</f>
        <v/>
      </c>
      <c r="O163" s="41" t="str">
        <f aca="false">IF($A163="","",SUMIFS(业务流水!$H$5:$H$1504,业务流水!$F$5:$F$1504,$B$3,业务流水!$D$5:$D$1504,"管理费结算",业务流水!$C$5:$C$1504,$A163,业务流水!$Z$5:$Z$1504,"是"))</f>
        <v/>
      </c>
      <c r="P163" s="41" t="str">
        <f aca="false">IF($A163="","",SUMIFS(业务流水!$H$5:$H$1504,业务流水!$E$5:$E$1504,$B$3,业务流水!$D$5:$D$1504,"扣质保金",业务流水!$C$5:$C$1504,$A163,业务流水!$Z$5:$Z$1504,"是"))</f>
        <v/>
      </c>
      <c r="Q163" s="48" t="str">
        <f aca="false">IF($A163="","",IF(SUM($C163:$F163)+SUM($K163:$M163)=0,"无","有"))</f>
        <v/>
      </c>
    </row>
    <row r="164" customFormat="false" ht="15.75" hidden="false" customHeight="true" outlineLevel="0" collapsed="false">
      <c r="A164" s="32" t="str">
        <f aca="false">IF(项目档案!$A164="","",项目档案!$A164)</f>
        <v/>
      </c>
      <c r="B164" s="40" t="str">
        <f aca="false">IF($A164="","",项目档案!$B164)</f>
        <v/>
      </c>
      <c r="C164" s="41" t="str">
        <f aca="false">IF($A164="","",SUMIFS(业务流水!$H$5:$H$1504,业务流水!$E$5:$E$1504,$B$3,业务流水!$D$5:$D$1504,"销项开票",业务流水!$C$5:$C$1504,$A164,业务流水!$Z$5:$Z$1504,"是"))</f>
        <v/>
      </c>
      <c r="D164" s="41" t="str">
        <f aca="false">IF($A164="","",SUMIFS(业务流水!$O$5:$O$1504,业务流水!$E$5:$E$1504,$B$3,业务流水!$D$5:$D$1504,"销项开票",业务流水!$C$5:$C$1504,$A164,业务流水!$Z$5:$Z$1504,"是"))</f>
        <v/>
      </c>
      <c r="E164" s="41" t="str">
        <f aca="false">IF($A164="","",SUMIFS(业务流水!$P$5:$P$1504,业务流水!$E$5:$E$1504,$B$3,业务流水!$D$5:$D$1504,"销项开票",业务流水!$C$5:$C$1504,$A164,业务流水!$Z$5:$Z$1504,"是"))</f>
        <v/>
      </c>
      <c r="F164" s="41" t="str">
        <f aca="false">IF($A164="","",SUMIFS(业务流水!$H$5:$H$1504,业务流水!$F$5:$F$1504,$B$3,业务流水!$D$5:$D$1504,"成本票",业务流水!$C$5:$C$1504,$A164,业务流水!$Z$5:$Z$1504,"是")+SUMIFS(业务流水!$H$5:$H$1504,业务流水!$F$5:$F$1504,$B$3,业务流水!$D$5:$D$1504,"销项开票",业务流水!$C$5:$C$1504,$A164,业务流水!$Z$5:$Z$1504,"是"))</f>
        <v/>
      </c>
      <c r="G164" s="42" t="str">
        <f aca="false">IF($A164="","",$E164-$F164)</f>
        <v/>
      </c>
      <c r="H164" s="41" t="str">
        <f aca="false">IF($A164="","",SUMIFS(业务流水!$W$5:$W$1504,业务流水!$E$5:$E$1504,$B$3,业务流水!$D$5:$D$1504,"销项开票",业务流水!$C$5:$C$1504,$A164,业务流水!$Z$5:$Z$1504,"是"))</f>
        <v/>
      </c>
      <c r="I164" s="41" t="str">
        <f aca="false">IF($A164="","",SUMIFS(业务流水!$H$5:$H$1504,业务流水!$E$5:$E$1504,$B$3,业务流水!$D$5:$D$1504,"已交税",业务流水!$C$5:$C$1504,$A164,业务流水!$Z$5:$Z$1504,"是"))</f>
        <v/>
      </c>
      <c r="J164" s="42" t="str">
        <f aca="false">IF($A164="","",$H164-$I164)</f>
        <v/>
      </c>
      <c r="K164" s="41" t="str">
        <f aca="false">IF($A164="","",SUMIFS(业务流水!$H$5:$H$1504,业务流水!$F$5:$F$1504,$B$3,业务流水!$D$5:$D$1504,"挂靠代收",业务流水!$C$5:$C$1504,$A164,业务流水!$Z$5:$Z$1504,"是"))</f>
        <v/>
      </c>
      <c r="L164" s="42" t="str">
        <f aca="false">IF($A164="","",$C164-$K164)</f>
        <v/>
      </c>
      <c r="M164" s="41" t="str">
        <f aca="false">IF($A164="","",SUMIFS(业务流水!$H$5:$H$1504,业务流水!$E$5:$E$1504,$B$3,业务流水!$D$5:$D$1504,"我方收款",业务流水!$C$5:$C$1504,$A164,业务流水!$Z$5:$Z$1504,"是"))</f>
        <v/>
      </c>
      <c r="N164" s="43" t="str">
        <f aca="false">IF($A164="","",$K164-$M164)</f>
        <v/>
      </c>
      <c r="O164" s="41" t="str">
        <f aca="false">IF($A164="","",SUMIFS(业务流水!$H$5:$H$1504,业务流水!$F$5:$F$1504,$B$3,业务流水!$D$5:$D$1504,"管理费结算",业务流水!$C$5:$C$1504,$A164,业务流水!$Z$5:$Z$1504,"是"))</f>
        <v/>
      </c>
      <c r="P164" s="41" t="str">
        <f aca="false">IF($A164="","",SUMIFS(业务流水!$H$5:$H$1504,业务流水!$E$5:$E$1504,$B$3,业务流水!$D$5:$D$1504,"扣质保金",业务流水!$C$5:$C$1504,$A164,业务流水!$Z$5:$Z$1504,"是"))</f>
        <v/>
      </c>
      <c r="Q164" s="48" t="str">
        <f aca="false">IF($A164="","",IF(SUM($C164:$F164)+SUM($K164:$M164)=0,"无","有"))</f>
        <v/>
      </c>
    </row>
    <row r="165" customFormat="false" ht="15.75" hidden="false" customHeight="true" outlineLevel="0" collapsed="false">
      <c r="A165" s="32" t="str">
        <f aca="false">IF(项目档案!$A165="","",项目档案!$A165)</f>
        <v/>
      </c>
      <c r="B165" s="40" t="str">
        <f aca="false">IF($A165="","",项目档案!$B165)</f>
        <v/>
      </c>
      <c r="C165" s="41" t="str">
        <f aca="false">IF($A165="","",SUMIFS(业务流水!$H$5:$H$1504,业务流水!$E$5:$E$1504,$B$3,业务流水!$D$5:$D$1504,"销项开票",业务流水!$C$5:$C$1504,$A165,业务流水!$Z$5:$Z$1504,"是"))</f>
        <v/>
      </c>
      <c r="D165" s="41" t="str">
        <f aca="false">IF($A165="","",SUMIFS(业务流水!$O$5:$O$1504,业务流水!$E$5:$E$1504,$B$3,业务流水!$D$5:$D$1504,"销项开票",业务流水!$C$5:$C$1504,$A165,业务流水!$Z$5:$Z$1504,"是"))</f>
        <v/>
      </c>
      <c r="E165" s="41" t="str">
        <f aca="false">IF($A165="","",SUMIFS(业务流水!$P$5:$P$1504,业务流水!$E$5:$E$1504,$B$3,业务流水!$D$5:$D$1504,"销项开票",业务流水!$C$5:$C$1504,$A165,业务流水!$Z$5:$Z$1504,"是"))</f>
        <v/>
      </c>
      <c r="F165" s="41" t="str">
        <f aca="false">IF($A165="","",SUMIFS(业务流水!$H$5:$H$1504,业务流水!$F$5:$F$1504,$B$3,业务流水!$D$5:$D$1504,"成本票",业务流水!$C$5:$C$1504,$A165,业务流水!$Z$5:$Z$1504,"是")+SUMIFS(业务流水!$H$5:$H$1504,业务流水!$F$5:$F$1504,$B$3,业务流水!$D$5:$D$1504,"销项开票",业务流水!$C$5:$C$1504,$A165,业务流水!$Z$5:$Z$1504,"是"))</f>
        <v/>
      </c>
      <c r="G165" s="42" t="str">
        <f aca="false">IF($A165="","",$E165-$F165)</f>
        <v/>
      </c>
      <c r="H165" s="41" t="str">
        <f aca="false">IF($A165="","",SUMIFS(业务流水!$W$5:$W$1504,业务流水!$E$5:$E$1504,$B$3,业务流水!$D$5:$D$1504,"销项开票",业务流水!$C$5:$C$1504,$A165,业务流水!$Z$5:$Z$1504,"是"))</f>
        <v/>
      </c>
      <c r="I165" s="41" t="str">
        <f aca="false">IF($A165="","",SUMIFS(业务流水!$H$5:$H$1504,业务流水!$E$5:$E$1504,$B$3,业务流水!$D$5:$D$1504,"已交税",业务流水!$C$5:$C$1504,$A165,业务流水!$Z$5:$Z$1504,"是"))</f>
        <v/>
      </c>
      <c r="J165" s="42" t="str">
        <f aca="false">IF($A165="","",$H165-$I165)</f>
        <v/>
      </c>
      <c r="K165" s="41" t="str">
        <f aca="false">IF($A165="","",SUMIFS(业务流水!$H$5:$H$1504,业务流水!$F$5:$F$1504,$B$3,业务流水!$D$5:$D$1504,"挂靠代收",业务流水!$C$5:$C$1504,$A165,业务流水!$Z$5:$Z$1504,"是"))</f>
        <v/>
      </c>
      <c r="L165" s="42" t="str">
        <f aca="false">IF($A165="","",$C165-$K165)</f>
        <v/>
      </c>
      <c r="M165" s="41" t="str">
        <f aca="false">IF($A165="","",SUMIFS(业务流水!$H$5:$H$1504,业务流水!$E$5:$E$1504,$B$3,业务流水!$D$5:$D$1504,"我方收款",业务流水!$C$5:$C$1504,$A165,业务流水!$Z$5:$Z$1504,"是"))</f>
        <v/>
      </c>
      <c r="N165" s="43" t="str">
        <f aca="false">IF($A165="","",$K165-$M165)</f>
        <v/>
      </c>
      <c r="O165" s="41" t="str">
        <f aca="false">IF($A165="","",SUMIFS(业务流水!$H$5:$H$1504,业务流水!$F$5:$F$1504,$B$3,业务流水!$D$5:$D$1504,"管理费结算",业务流水!$C$5:$C$1504,$A165,业务流水!$Z$5:$Z$1504,"是"))</f>
        <v/>
      </c>
      <c r="P165" s="41" t="str">
        <f aca="false">IF($A165="","",SUMIFS(业务流水!$H$5:$H$1504,业务流水!$E$5:$E$1504,$B$3,业务流水!$D$5:$D$1504,"扣质保金",业务流水!$C$5:$C$1504,$A165,业务流水!$Z$5:$Z$1504,"是"))</f>
        <v/>
      </c>
      <c r="Q165" s="48" t="str">
        <f aca="false">IF($A165="","",IF(SUM($C165:$F165)+SUM($K165:$M165)=0,"无","有"))</f>
        <v/>
      </c>
    </row>
    <row r="166" customFormat="false" ht="15.75" hidden="false" customHeight="true" outlineLevel="0" collapsed="false">
      <c r="A166" s="32" t="str">
        <f aca="false">IF(项目档案!$A166="","",项目档案!$A166)</f>
        <v/>
      </c>
      <c r="B166" s="40" t="str">
        <f aca="false">IF($A166="","",项目档案!$B166)</f>
        <v/>
      </c>
      <c r="C166" s="41" t="str">
        <f aca="false">IF($A166="","",SUMIFS(业务流水!$H$5:$H$1504,业务流水!$E$5:$E$1504,$B$3,业务流水!$D$5:$D$1504,"销项开票",业务流水!$C$5:$C$1504,$A166,业务流水!$Z$5:$Z$1504,"是"))</f>
        <v/>
      </c>
      <c r="D166" s="41" t="str">
        <f aca="false">IF($A166="","",SUMIFS(业务流水!$O$5:$O$1504,业务流水!$E$5:$E$1504,$B$3,业务流水!$D$5:$D$1504,"销项开票",业务流水!$C$5:$C$1504,$A166,业务流水!$Z$5:$Z$1504,"是"))</f>
        <v/>
      </c>
      <c r="E166" s="41" t="str">
        <f aca="false">IF($A166="","",SUMIFS(业务流水!$P$5:$P$1504,业务流水!$E$5:$E$1504,$B$3,业务流水!$D$5:$D$1504,"销项开票",业务流水!$C$5:$C$1504,$A166,业务流水!$Z$5:$Z$1504,"是"))</f>
        <v/>
      </c>
      <c r="F166" s="41" t="str">
        <f aca="false">IF($A166="","",SUMIFS(业务流水!$H$5:$H$1504,业务流水!$F$5:$F$1504,$B$3,业务流水!$D$5:$D$1504,"成本票",业务流水!$C$5:$C$1504,$A166,业务流水!$Z$5:$Z$1504,"是")+SUMIFS(业务流水!$H$5:$H$1504,业务流水!$F$5:$F$1504,$B$3,业务流水!$D$5:$D$1504,"销项开票",业务流水!$C$5:$C$1504,$A166,业务流水!$Z$5:$Z$1504,"是"))</f>
        <v/>
      </c>
      <c r="G166" s="42" t="str">
        <f aca="false">IF($A166="","",$E166-$F166)</f>
        <v/>
      </c>
      <c r="H166" s="41" t="str">
        <f aca="false">IF($A166="","",SUMIFS(业务流水!$W$5:$W$1504,业务流水!$E$5:$E$1504,$B$3,业务流水!$D$5:$D$1504,"销项开票",业务流水!$C$5:$C$1504,$A166,业务流水!$Z$5:$Z$1504,"是"))</f>
        <v/>
      </c>
      <c r="I166" s="41" t="str">
        <f aca="false">IF($A166="","",SUMIFS(业务流水!$H$5:$H$1504,业务流水!$E$5:$E$1504,$B$3,业务流水!$D$5:$D$1504,"已交税",业务流水!$C$5:$C$1504,$A166,业务流水!$Z$5:$Z$1504,"是"))</f>
        <v/>
      </c>
      <c r="J166" s="42" t="str">
        <f aca="false">IF($A166="","",$H166-$I166)</f>
        <v/>
      </c>
      <c r="K166" s="41" t="str">
        <f aca="false">IF($A166="","",SUMIFS(业务流水!$H$5:$H$1504,业务流水!$F$5:$F$1504,$B$3,业务流水!$D$5:$D$1504,"挂靠代收",业务流水!$C$5:$C$1504,$A166,业务流水!$Z$5:$Z$1504,"是"))</f>
        <v/>
      </c>
      <c r="L166" s="42" t="str">
        <f aca="false">IF($A166="","",$C166-$K166)</f>
        <v/>
      </c>
      <c r="M166" s="41" t="str">
        <f aca="false">IF($A166="","",SUMIFS(业务流水!$H$5:$H$1504,业务流水!$E$5:$E$1504,$B$3,业务流水!$D$5:$D$1504,"我方收款",业务流水!$C$5:$C$1504,$A166,业务流水!$Z$5:$Z$1504,"是"))</f>
        <v/>
      </c>
      <c r="N166" s="43" t="str">
        <f aca="false">IF($A166="","",$K166-$M166)</f>
        <v/>
      </c>
      <c r="O166" s="41" t="str">
        <f aca="false">IF($A166="","",SUMIFS(业务流水!$H$5:$H$1504,业务流水!$F$5:$F$1504,$B$3,业务流水!$D$5:$D$1504,"管理费结算",业务流水!$C$5:$C$1504,$A166,业务流水!$Z$5:$Z$1504,"是"))</f>
        <v/>
      </c>
      <c r="P166" s="41" t="str">
        <f aca="false">IF($A166="","",SUMIFS(业务流水!$H$5:$H$1504,业务流水!$E$5:$E$1504,$B$3,业务流水!$D$5:$D$1504,"扣质保金",业务流水!$C$5:$C$1504,$A166,业务流水!$Z$5:$Z$1504,"是"))</f>
        <v/>
      </c>
      <c r="Q166" s="48" t="str">
        <f aca="false">IF($A166="","",IF(SUM($C166:$F166)+SUM($K166:$M166)=0,"无","有"))</f>
        <v/>
      </c>
    </row>
    <row r="167" customFormat="false" ht="15.75" hidden="false" customHeight="true" outlineLevel="0" collapsed="false">
      <c r="A167" s="32" t="str">
        <f aca="false">IF(项目档案!$A167="","",项目档案!$A167)</f>
        <v/>
      </c>
      <c r="B167" s="40" t="str">
        <f aca="false">IF($A167="","",项目档案!$B167)</f>
        <v/>
      </c>
      <c r="C167" s="41" t="str">
        <f aca="false">IF($A167="","",SUMIFS(业务流水!$H$5:$H$1504,业务流水!$E$5:$E$1504,$B$3,业务流水!$D$5:$D$1504,"销项开票",业务流水!$C$5:$C$1504,$A167,业务流水!$Z$5:$Z$1504,"是"))</f>
        <v/>
      </c>
      <c r="D167" s="41" t="str">
        <f aca="false">IF($A167="","",SUMIFS(业务流水!$O$5:$O$1504,业务流水!$E$5:$E$1504,$B$3,业务流水!$D$5:$D$1504,"销项开票",业务流水!$C$5:$C$1504,$A167,业务流水!$Z$5:$Z$1504,"是"))</f>
        <v/>
      </c>
      <c r="E167" s="41" t="str">
        <f aca="false">IF($A167="","",SUMIFS(业务流水!$P$5:$P$1504,业务流水!$E$5:$E$1504,$B$3,业务流水!$D$5:$D$1504,"销项开票",业务流水!$C$5:$C$1504,$A167,业务流水!$Z$5:$Z$1504,"是"))</f>
        <v/>
      </c>
      <c r="F167" s="41" t="str">
        <f aca="false">IF($A167="","",SUMIFS(业务流水!$H$5:$H$1504,业务流水!$F$5:$F$1504,$B$3,业务流水!$D$5:$D$1504,"成本票",业务流水!$C$5:$C$1504,$A167,业务流水!$Z$5:$Z$1504,"是")+SUMIFS(业务流水!$H$5:$H$1504,业务流水!$F$5:$F$1504,$B$3,业务流水!$D$5:$D$1504,"销项开票",业务流水!$C$5:$C$1504,$A167,业务流水!$Z$5:$Z$1504,"是"))</f>
        <v/>
      </c>
      <c r="G167" s="42" t="str">
        <f aca="false">IF($A167="","",$E167-$F167)</f>
        <v/>
      </c>
      <c r="H167" s="41" t="str">
        <f aca="false">IF($A167="","",SUMIFS(业务流水!$W$5:$W$1504,业务流水!$E$5:$E$1504,$B$3,业务流水!$D$5:$D$1504,"销项开票",业务流水!$C$5:$C$1504,$A167,业务流水!$Z$5:$Z$1504,"是"))</f>
        <v/>
      </c>
      <c r="I167" s="41" t="str">
        <f aca="false">IF($A167="","",SUMIFS(业务流水!$H$5:$H$1504,业务流水!$E$5:$E$1504,$B$3,业务流水!$D$5:$D$1504,"已交税",业务流水!$C$5:$C$1504,$A167,业务流水!$Z$5:$Z$1504,"是"))</f>
        <v/>
      </c>
      <c r="J167" s="42" t="str">
        <f aca="false">IF($A167="","",$H167-$I167)</f>
        <v/>
      </c>
      <c r="K167" s="41" t="str">
        <f aca="false">IF($A167="","",SUMIFS(业务流水!$H$5:$H$1504,业务流水!$F$5:$F$1504,$B$3,业务流水!$D$5:$D$1504,"挂靠代收",业务流水!$C$5:$C$1504,$A167,业务流水!$Z$5:$Z$1504,"是"))</f>
        <v/>
      </c>
      <c r="L167" s="42" t="str">
        <f aca="false">IF($A167="","",$C167-$K167)</f>
        <v/>
      </c>
      <c r="M167" s="41" t="str">
        <f aca="false">IF($A167="","",SUMIFS(业务流水!$H$5:$H$1504,业务流水!$E$5:$E$1504,$B$3,业务流水!$D$5:$D$1504,"我方收款",业务流水!$C$5:$C$1504,$A167,业务流水!$Z$5:$Z$1504,"是"))</f>
        <v/>
      </c>
      <c r="N167" s="43" t="str">
        <f aca="false">IF($A167="","",$K167-$M167)</f>
        <v/>
      </c>
      <c r="O167" s="41" t="str">
        <f aca="false">IF($A167="","",SUMIFS(业务流水!$H$5:$H$1504,业务流水!$F$5:$F$1504,$B$3,业务流水!$D$5:$D$1504,"管理费结算",业务流水!$C$5:$C$1504,$A167,业务流水!$Z$5:$Z$1504,"是"))</f>
        <v/>
      </c>
      <c r="P167" s="41" t="str">
        <f aca="false">IF($A167="","",SUMIFS(业务流水!$H$5:$H$1504,业务流水!$E$5:$E$1504,$B$3,业务流水!$D$5:$D$1504,"扣质保金",业务流水!$C$5:$C$1504,$A167,业务流水!$Z$5:$Z$1504,"是"))</f>
        <v/>
      </c>
      <c r="Q167" s="48" t="str">
        <f aca="false">IF($A167="","",IF(SUM($C167:$F167)+SUM($K167:$M167)=0,"无","有"))</f>
        <v/>
      </c>
    </row>
    <row r="168" customFormat="false" ht="15.75" hidden="false" customHeight="true" outlineLevel="0" collapsed="false">
      <c r="A168" s="32" t="str">
        <f aca="false">IF(项目档案!$A168="","",项目档案!$A168)</f>
        <v/>
      </c>
      <c r="B168" s="40" t="str">
        <f aca="false">IF($A168="","",项目档案!$B168)</f>
        <v/>
      </c>
      <c r="C168" s="41" t="str">
        <f aca="false">IF($A168="","",SUMIFS(业务流水!$H$5:$H$1504,业务流水!$E$5:$E$1504,$B$3,业务流水!$D$5:$D$1504,"销项开票",业务流水!$C$5:$C$1504,$A168,业务流水!$Z$5:$Z$1504,"是"))</f>
        <v/>
      </c>
      <c r="D168" s="41" t="str">
        <f aca="false">IF($A168="","",SUMIFS(业务流水!$O$5:$O$1504,业务流水!$E$5:$E$1504,$B$3,业务流水!$D$5:$D$1504,"销项开票",业务流水!$C$5:$C$1504,$A168,业务流水!$Z$5:$Z$1504,"是"))</f>
        <v/>
      </c>
      <c r="E168" s="41" t="str">
        <f aca="false">IF($A168="","",SUMIFS(业务流水!$P$5:$P$1504,业务流水!$E$5:$E$1504,$B$3,业务流水!$D$5:$D$1504,"销项开票",业务流水!$C$5:$C$1504,$A168,业务流水!$Z$5:$Z$1504,"是"))</f>
        <v/>
      </c>
      <c r="F168" s="41" t="str">
        <f aca="false">IF($A168="","",SUMIFS(业务流水!$H$5:$H$1504,业务流水!$F$5:$F$1504,$B$3,业务流水!$D$5:$D$1504,"成本票",业务流水!$C$5:$C$1504,$A168,业务流水!$Z$5:$Z$1504,"是")+SUMIFS(业务流水!$H$5:$H$1504,业务流水!$F$5:$F$1504,$B$3,业务流水!$D$5:$D$1504,"销项开票",业务流水!$C$5:$C$1504,$A168,业务流水!$Z$5:$Z$1504,"是"))</f>
        <v/>
      </c>
      <c r="G168" s="42" t="str">
        <f aca="false">IF($A168="","",$E168-$F168)</f>
        <v/>
      </c>
      <c r="H168" s="41" t="str">
        <f aca="false">IF($A168="","",SUMIFS(业务流水!$W$5:$W$1504,业务流水!$E$5:$E$1504,$B$3,业务流水!$D$5:$D$1504,"销项开票",业务流水!$C$5:$C$1504,$A168,业务流水!$Z$5:$Z$1504,"是"))</f>
        <v/>
      </c>
      <c r="I168" s="41" t="str">
        <f aca="false">IF($A168="","",SUMIFS(业务流水!$H$5:$H$1504,业务流水!$E$5:$E$1504,$B$3,业务流水!$D$5:$D$1504,"已交税",业务流水!$C$5:$C$1504,$A168,业务流水!$Z$5:$Z$1504,"是"))</f>
        <v/>
      </c>
      <c r="J168" s="42" t="str">
        <f aca="false">IF($A168="","",$H168-$I168)</f>
        <v/>
      </c>
      <c r="K168" s="41" t="str">
        <f aca="false">IF($A168="","",SUMIFS(业务流水!$H$5:$H$1504,业务流水!$F$5:$F$1504,$B$3,业务流水!$D$5:$D$1504,"挂靠代收",业务流水!$C$5:$C$1504,$A168,业务流水!$Z$5:$Z$1504,"是"))</f>
        <v/>
      </c>
      <c r="L168" s="42" t="str">
        <f aca="false">IF($A168="","",$C168-$K168)</f>
        <v/>
      </c>
      <c r="M168" s="41" t="str">
        <f aca="false">IF($A168="","",SUMIFS(业务流水!$H$5:$H$1504,业务流水!$E$5:$E$1504,$B$3,业务流水!$D$5:$D$1504,"我方收款",业务流水!$C$5:$C$1504,$A168,业务流水!$Z$5:$Z$1504,"是"))</f>
        <v/>
      </c>
      <c r="N168" s="43" t="str">
        <f aca="false">IF($A168="","",$K168-$M168)</f>
        <v/>
      </c>
      <c r="O168" s="41" t="str">
        <f aca="false">IF($A168="","",SUMIFS(业务流水!$H$5:$H$1504,业务流水!$F$5:$F$1504,$B$3,业务流水!$D$5:$D$1504,"管理费结算",业务流水!$C$5:$C$1504,$A168,业务流水!$Z$5:$Z$1504,"是"))</f>
        <v/>
      </c>
      <c r="P168" s="41" t="str">
        <f aca="false">IF($A168="","",SUMIFS(业务流水!$H$5:$H$1504,业务流水!$E$5:$E$1504,$B$3,业务流水!$D$5:$D$1504,"扣质保金",业务流水!$C$5:$C$1504,$A168,业务流水!$Z$5:$Z$1504,"是"))</f>
        <v/>
      </c>
      <c r="Q168" s="48" t="str">
        <f aca="false">IF($A168="","",IF(SUM($C168:$F168)+SUM($K168:$M168)=0,"无","有"))</f>
        <v/>
      </c>
    </row>
    <row r="169" customFormat="false" ht="15.75" hidden="false" customHeight="true" outlineLevel="0" collapsed="false">
      <c r="A169" s="32" t="str">
        <f aca="false">IF(项目档案!$A169="","",项目档案!$A169)</f>
        <v/>
      </c>
      <c r="B169" s="40" t="str">
        <f aca="false">IF($A169="","",项目档案!$B169)</f>
        <v/>
      </c>
      <c r="C169" s="41" t="str">
        <f aca="false">IF($A169="","",SUMIFS(业务流水!$H$5:$H$1504,业务流水!$E$5:$E$1504,$B$3,业务流水!$D$5:$D$1504,"销项开票",业务流水!$C$5:$C$1504,$A169,业务流水!$Z$5:$Z$1504,"是"))</f>
        <v/>
      </c>
      <c r="D169" s="41" t="str">
        <f aca="false">IF($A169="","",SUMIFS(业务流水!$O$5:$O$1504,业务流水!$E$5:$E$1504,$B$3,业务流水!$D$5:$D$1504,"销项开票",业务流水!$C$5:$C$1504,$A169,业务流水!$Z$5:$Z$1504,"是"))</f>
        <v/>
      </c>
      <c r="E169" s="41" t="str">
        <f aca="false">IF($A169="","",SUMIFS(业务流水!$P$5:$P$1504,业务流水!$E$5:$E$1504,$B$3,业务流水!$D$5:$D$1504,"销项开票",业务流水!$C$5:$C$1504,$A169,业务流水!$Z$5:$Z$1504,"是"))</f>
        <v/>
      </c>
      <c r="F169" s="41" t="str">
        <f aca="false">IF($A169="","",SUMIFS(业务流水!$H$5:$H$1504,业务流水!$F$5:$F$1504,$B$3,业务流水!$D$5:$D$1504,"成本票",业务流水!$C$5:$C$1504,$A169,业务流水!$Z$5:$Z$1504,"是")+SUMIFS(业务流水!$H$5:$H$1504,业务流水!$F$5:$F$1504,$B$3,业务流水!$D$5:$D$1504,"销项开票",业务流水!$C$5:$C$1504,$A169,业务流水!$Z$5:$Z$1504,"是"))</f>
        <v/>
      </c>
      <c r="G169" s="42" t="str">
        <f aca="false">IF($A169="","",$E169-$F169)</f>
        <v/>
      </c>
      <c r="H169" s="41" t="str">
        <f aca="false">IF($A169="","",SUMIFS(业务流水!$W$5:$W$1504,业务流水!$E$5:$E$1504,$B$3,业务流水!$D$5:$D$1504,"销项开票",业务流水!$C$5:$C$1504,$A169,业务流水!$Z$5:$Z$1504,"是"))</f>
        <v/>
      </c>
      <c r="I169" s="41" t="str">
        <f aca="false">IF($A169="","",SUMIFS(业务流水!$H$5:$H$1504,业务流水!$E$5:$E$1504,$B$3,业务流水!$D$5:$D$1504,"已交税",业务流水!$C$5:$C$1504,$A169,业务流水!$Z$5:$Z$1504,"是"))</f>
        <v/>
      </c>
      <c r="J169" s="42" t="str">
        <f aca="false">IF($A169="","",$H169-$I169)</f>
        <v/>
      </c>
      <c r="K169" s="41" t="str">
        <f aca="false">IF($A169="","",SUMIFS(业务流水!$H$5:$H$1504,业务流水!$F$5:$F$1504,$B$3,业务流水!$D$5:$D$1504,"挂靠代收",业务流水!$C$5:$C$1504,$A169,业务流水!$Z$5:$Z$1504,"是"))</f>
        <v/>
      </c>
      <c r="L169" s="42" t="str">
        <f aca="false">IF($A169="","",$C169-$K169)</f>
        <v/>
      </c>
      <c r="M169" s="41" t="str">
        <f aca="false">IF($A169="","",SUMIFS(业务流水!$H$5:$H$1504,业务流水!$E$5:$E$1504,$B$3,业务流水!$D$5:$D$1504,"我方收款",业务流水!$C$5:$C$1504,$A169,业务流水!$Z$5:$Z$1504,"是"))</f>
        <v/>
      </c>
      <c r="N169" s="43" t="str">
        <f aca="false">IF($A169="","",$K169-$M169)</f>
        <v/>
      </c>
      <c r="O169" s="41" t="str">
        <f aca="false">IF($A169="","",SUMIFS(业务流水!$H$5:$H$1504,业务流水!$F$5:$F$1504,$B$3,业务流水!$D$5:$D$1504,"管理费结算",业务流水!$C$5:$C$1504,$A169,业务流水!$Z$5:$Z$1504,"是"))</f>
        <v/>
      </c>
      <c r="P169" s="41" t="str">
        <f aca="false">IF($A169="","",SUMIFS(业务流水!$H$5:$H$1504,业务流水!$E$5:$E$1504,$B$3,业务流水!$D$5:$D$1504,"扣质保金",业务流水!$C$5:$C$1504,$A169,业务流水!$Z$5:$Z$1504,"是"))</f>
        <v/>
      </c>
      <c r="Q169" s="48" t="str">
        <f aca="false">IF($A169="","",IF(SUM($C169:$F169)+SUM($K169:$M169)=0,"无","有"))</f>
        <v/>
      </c>
    </row>
    <row r="170" customFormat="false" ht="15.75" hidden="false" customHeight="true" outlineLevel="0" collapsed="false">
      <c r="A170" s="32" t="str">
        <f aca="false">IF(项目档案!$A170="","",项目档案!$A170)</f>
        <v/>
      </c>
      <c r="B170" s="40" t="str">
        <f aca="false">IF($A170="","",项目档案!$B170)</f>
        <v/>
      </c>
      <c r="C170" s="41" t="str">
        <f aca="false">IF($A170="","",SUMIFS(业务流水!$H$5:$H$1504,业务流水!$E$5:$E$1504,$B$3,业务流水!$D$5:$D$1504,"销项开票",业务流水!$C$5:$C$1504,$A170,业务流水!$Z$5:$Z$1504,"是"))</f>
        <v/>
      </c>
      <c r="D170" s="41" t="str">
        <f aca="false">IF($A170="","",SUMIFS(业务流水!$O$5:$O$1504,业务流水!$E$5:$E$1504,$B$3,业务流水!$D$5:$D$1504,"销项开票",业务流水!$C$5:$C$1504,$A170,业务流水!$Z$5:$Z$1504,"是"))</f>
        <v/>
      </c>
      <c r="E170" s="41" t="str">
        <f aca="false">IF($A170="","",SUMIFS(业务流水!$P$5:$P$1504,业务流水!$E$5:$E$1504,$B$3,业务流水!$D$5:$D$1504,"销项开票",业务流水!$C$5:$C$1504,$A170,业务流水!$Z$5:$Z$1504,"是"))</f>
        <v/>
      </c>
      <c r="F170" s="41" t="str">
        <f aca="false">IF($A170="","",SUMIFS(业务流水!$H$5:$H$1504,业务流水!$F$5:$F$1504,$B$3,业务流水!$D$5:$D$1504,"成本票",业务流水!$C$5:$C$1504,$A170,业务流水!$Z$5:$Z$1504,"是")+SUMIFS(业务流水!$H$5:$H$1504,业务流水!$F$5:$F$1504,$B$3,业务流水!$D$5:$D$1504,"销项开票",业务流水!$C$5:$C$1504,$A170,业务流水!$Z$5:$Z$1504,"是"))</f>
        <v/>
      </c>
      <c r="G170" s="42" t="str">
        <f aca="false">IF($A170="","",$E170-$F170)</f>
        <v/>
      </c>
      <c r="H170" s="41" t="str">
        <f aca="false">IF($A170="","",SUMIFS(业务流水!$W$5:$W$1504,业务流水!$E$5:$E$1504,$B$3,业务流水!$D$5:$D$1504,"销项开票",业务流水!$C$5:$C$1504,$A170,业务流水!$Z$5:$Z$1504,"是"))</f>
        <v/>
      </c>
      <c r="I170" s="41" t="str">
        <f aca="false">IF($A170="","",SUMIFS(业务流水!$H$5:$H$1504,业务流水!$E$5:$E$1504,$B$3,业务流水!$D$5:$D$1504,"已交税",业务流水!$C$5:$C$1504,$A170,业务流水!$Z$5:$Z$1504,"是"))</f>
        <v/>
      </c>
      <c r="J170" s="42" t="str">
        <f aca="false">IF($A170="","",$H170-$I170)</f>
        <v/>
      </c>
      <c r="K170" s="41" t="str">
        <f aca="false">IF($A170="","",SUMIFS(业务流水!$H$5:$H$1504,业务流水!$F$5:$F$1504,$B$3,业务流水!$D$5:$D$1504,"挂靠代收",业务流水!$C$5:$C$1504,$A170,业务流水!$Z$5:$Z$1504,"是"))</f>
        <v/>
      </c>
      <c r="L170" s="42" t="str">
        <f aca="false">IF($A170="","",$C170-$K170)</f>
        <v/>
      </c>
      <c r="M170" s="41" t="str">
        <f aca="false">IF($A170="","",SUMIFS(业务流水!$H$5:$H$1504,业务流水!$E$5:$E$1504,$B$3,业务流水!$D$5:$D$1504,"我方收款",业务流水!$C$5:$C$1504,$A170,业务流水!$Z$5:$Z$1504,"是"))</f>
        <v/>
      </c>
      <c r="N170" s="43" t="str">
        <f aca="false">IF($A170="","",$K170-$M170)</f>
        <v/>
      </c>
      <c r="O170" s="41" t="str">
        <f aca="false">IF($A170="","",SUMIFS(业务流水!$H$5:$H$1504,业务流水!$F$5:$F$1504,$B$3,业务流水!$D$5:$D$1504,"管理费结算",业务流水!$C$5:$C$1504,$A170,业务流水!$Z$5:$Z$1504,"是"))</f>
        <v/>
      </c>
      <c r="P170" s="41" t="str">
        <f aca="false">IF($A170="","",SUMIFS(业务流水!$H$5:$H$1504,业务流水!$E$5:$E$1504,$B$3,业务流水!$D$5:$D$1504,"扣质保金",业务流水!$C$5:$C$1504,$A170,业务流水!$Z$5:$Z$1504,"是"))</f>
        <v/>
      </c>
      <c r="Q170" s="48" t="str">
        <f aca="false">IF($A170="","",IF(SUM($C170:$F170)+SUM($K170:$M170)=0,"无","有"))</f>
        <v/>
      </c>
    </row>
    <row r="171" customFormat="false" ht="15.75" hidden="false" customHeight="true" outlineLevel="0" collapsed="false">
      <c r="A171" s="32" t="str">
        <f aca="false">IF(项目档案!$A171="","",项目档案!$A171)</f>
        <v/>
      </c>
      <c r="B171" s="40" t="str">
        <f aca="false">IF($A171="","",项目档案!$B171)</f>
        <v/>
      </c>
      <c r="C171" s="41" t="str">
        <f aca="false">IF($A171="","",SUMIFS(业务流水!$H$5:$H$1504,业务流水!$E$5:$E$1504,$B$3,业务流水!$D$5:$D$1504,"销项开票",业务流水!$C$5:$C$1504,$A171,业务流水!$Z$5:$Z$1504,"是"))</f>
        <v/>
      </c>
      <c r="D171" s="41" t="str">
        <f aca="false">IF($A171="","",SUMIFS(业务流水!$O$5:$O$1504,业务流水!$E$5:$E$1504,$B$3,业务流水!$D$5:$D$1504,"销项开票",业务流水!$C$5:$C$1504,$A171,业务流水!$Z$5:$Z$1504,"是"))</f>
        <v/>
      </c>
      <c r="E171" s="41" t="str">
        <f aca="false">IF($A171="","",SUMIFS(业务流水!$P$5:$P$1504,业务流水!$E$5:$E$1504,$B$3,业务流水!$D$5:$D$1504,"销项开票",业务流水!$C$5:$C$1504,$A171,业务流水!$Z$5:$Z$1504,"是"))</f>
        <v/>
      </c>
      <c r="F171" s="41" t="str">
        <f aca="false">IF($A171="","",SUMIFS(业务流水!$H$5:$H$1504,业务流水!$F$5:$F$1504,$B$3,业务流水!$D$5:$D$1504,"成本票",业务流水!$C$5:$C$1504,$A171,业务流水!$Z$5:$Z$1504,"是")+SUMIFS(业务流水!$H$5:$H$1504,业务流水!$F$5:$F$1504,$B$3,业务流水!$D$5:$D$1504,"销项开票",业务流水!$C$5:$C$1504,$A171,业务流水!$Z$5:$Z$1504,"是"))</f>
        <v/>
      </c>
      <c r="G171" s="42" t="str">
        <f aca="false">IF($A171="","",$E171-$F171)</f>
        <v/>
      </c>
      <c r="H171" s="41" t="str">
        <f aca="false">IF($A171="","",SUMIFS(业务流水!$W$5:$W$1504,业务流水!$E$5:$E$1504,$B$3,业务流水!$D$5:$D$1504,"销项开票",业务流水!$C$5:$C$1504,$A171,业务流水!$Z$5:$Z$1504,"是"))</f>
        <v/>
      </c>
      <c r="I171" s="41" t="str">
        <f aca="false">IF($A171="","",SUMIFS(业务流水!$H$5:$H$1504,业务流水!$E$5:$E$1504,$B$3,业务流水!$D$5:$D$1504,"已交税",业务流水!$C$5:$C$1504,$A171,业务流水!$Z$5:$Z$1504,"是"))</f>
        <v/>
      </c>
      <c r="J171" s="42" t="str">
        <f aca="false">IF($A171="","",$H171-$I171)</f>
        <v/>
      </c>
      <c r="K171" s="41" t="str">
        <f aca="false">IF($A171="","",SUMIFS(业务流水!$H$5:$H$1504,业务流水!$F$5:$F$1504,$B$3,业务流水!$D$5:$D$1504,"挂靠代收",业务流水!$C$5:$C$1504,$A171,业务流水!$Z$5:$Z$1504,"是"))</f>
        <v/>
      </c>
      <c r="L171" s="42" t="str">
        <f aca="false">IF($A171="","",$C171-$K171)</f>
        <v/>
      </c>
      <c r="M171" s="41" t="str">
        <f aca="false">IF($A171="","",SUMIFS(业务流水!$H$5:$H$1504,业务流水!$E$5:$E$1504,$B$3,业务流水!$D$5:$D$1504,"我方收款",业务流水!$C$5:$C$1504,$A171,业务流水!$Z$5:$Z$1504,"是"))</f>
        <v/>
      </c>
      <c r="N171" s="43" t="str">
        <f aca="false">IF($A171="","",$K171-$M171)</f>
        <v/>
      </c>
      <c r="O171" s="41" t="str">
        <f aca="false">IF($A171="","",SUMIFS(业务流水!$H$5:$H$1504,业务流水!$F$5:$F$1504,$B$3,业务流水!$D$5:$D$1504,"管理费结算",业务流水!$C$5:$C$1504,$A171,业务流水!$Z$5:$Z$1504,"是"))</f>
        <v/>
      </c>
      <c r="P171" s="41" t="str">
        <f aca="false">IF($A171="","",SUMIFS(业务流水!$H$5:$H$1504,业务流水!$E$5:$E$1504,$B$3,业务流水!$D$5:$D$1504,"扣质保金",业务流水!$C$5:$C$1504,$A171,业务流水!$Z$5:$Z$1504,"是"))</f>
        <v/>
      </c>
      <c r="Q171" s="48" t="str">
        <f aca="false">IF($A171="","",IF(SUM($C171:$F171)+SUM($K171:$M171)=0,"无","有"))</f>
        <v/>
      </c>
    </row>
    <row r="172" customFormat="false" ht="15.75" hidden="false" customHeight="true" outlineLevel="0" collapsed="false">
      <c r="A172" s="32" t="str">
        <f aca="false">IF(项目档案!$A172="","",项目档案!$A172)</f>
        <v/>
      </c>
      <c r="B172" s="40" t="str">
        <f aca="false">IF($A172="","",项目档案!$B172)</f>
        <v/>
      </c>
      <c r="C172" s="41" t="str">
        <f aca="false">IF($A172="","",SUMIFS(业务流水!$H$5:$H$1504,业务流水!$E$5:$E$1504,$B$3,业务流水!$D$5:$D$1504,"销项开票",业务流水!$C$5:$C$1504,$A172,业务流水!$Z$5:$Z$1504,"是"))</f>
        <v/>
      </c>
      <c r="D172" s="41" t="str">
        <f aca="false">IF($A172="","",SUMIFS(业务流水!$O$5:$O$1504,业务流水!$E$5:$E$1504,$B$3,业务流水!$D$5:$D$1504,"销项开票",业务流水!$C$5:$C$1504,$A172,业务流水!$Z$5:$Z$1504,"是"))</f>
        <v/>
      </c>
      <c r="E172" s="41" t="str">
        <f aca="false">IF($A172="","",SUMIFS(业务流水!$P$5:$P$1504,业务流水!$E$5:$E$1504,$B$3,业务流水!$D$5:$D$1504,"销项开票",业务流水!$C$5:$C$1504,$A172,业务流水!$Z$5:$Z$1504,"是"))</f>
        <v/>
      </c>
      <c r="F172" s="41" t="str">
        <f aca="false">IF($A172="","",SUMIFS(业务流水!$H$5:$H$1504,业务流水!$F$5:$F$1504,$B$3,业务流水!$D$5:$D$1504,"成本票",业务流水!$C$5:$C$1504,$A172,业务流水!$Z$5:$Z$1504,"是")+SUMIFS(业务流水!$H$5:$H$1504,业务流水!$F$5:$F$1504,$B$3,业务流水!$D$5:$D$1504,"销项开票",业务流水!$C$5:$C$1504,$A172,业务流水!$Z$5:$Z$1504,"是"))</f>
        <v/>
      </c>
      <c r="G172" s="42" t="str">
        <f aca="false">IF($A172="","",$E172-$F172)</f>
        <v/>
      </c>
      <c r="H172" s="41" t="str">
        <f aca="false">IF($A172="","",SUMIFS(业务流水!$W$5:$W$1504,业务流水!$E$5:$E$1504,$B$3,业务流水!$D$5:$D$1504,"销项开票",业务流水!$C$5:$C$1504,$A172,业务流水!$Z$5:$Z$1504,"是"))</f>
        <v/>
      </c>
      <c r="I172" s="41" t="str">
        <f aca="false">IF($A172="","",SUMIFS(业务流水!$H$5:$H$1504,业务流水!$E$5:$E$1504,$B$3,业务流水!$D$5:$D$1504,"已交税",业务流水!$C$5:$C$1504,$A172,业务流水!$Z$5:$Z$1504,"是"))</f>
        <v/>
      </c>
      <c r="J172" s="42" t="str">
        <f aca="false">IF($A172="","",$H172-$I172)</f>
        <v/>
      </c>
      <c r="K172" s="41" t="str">
        <f aca="false">IF($A172="","",SUMIFS(业务流水!$H$5:$H$1504,业务流水!$F$5:$F$1504,$B$3,业务流水!$D$5:$D$1504,"挂靠代收",业务流水!$C$5:$C$1504,$A172,业务流水!$Z$5:$Z$1504,"是"))</f>
        <v/>
      </c>
      <c r="L172" s="42" t="str">
        <f aca="false">IF($A172="","",$C172-$K172)</f>
        <v/>
      </c>
      <c r="M172" s="41" t="str">
        <f aca="false">IF($A172="","",SUMIFS(业务流水!$H$5:$H$1504,业务流水!$E$5:$E$1504,$B$3,业务流水!$D$5:$D$1504,"我方收款",业务流水!$C$5:$C$1504,$A172,业务流水!$Z$5:$Z$1504,"是"))</f>
        <v/>
      </c>
      <c r="N172" s="43" t="str">
        <f aca="false">IF($A172="","",$K172-$M172)</f>
        <v/>
      </c>
      <c r="O172" s="41" t="str">
        <f aca="false">IF($A172="","",SUMIFS(业务流水!$H$5:$H$1504,业务流水!$F$5:$F$1504,$B$3,业务流水!$D$5:$D$1504,"管理费结算",业务流水!$C$5:$C$1504,$A172,业务流水!$Z$5:$Z$1504,"是"))</f>
        <v/>
      </c>
      <c r="P172" s="41" t="str">
        <f aca="false">IF($A172="","",SUMIFS(业务流水!$H$5:$H$1504,业务流水!$E$5:$E$1504,$B$3,业务流水!$D$5:$D$1504,"扣质保金",业务流水!$C$5:$C$1504,$A172,业务流水!$Z$5:$Z$1504,"是"))</f>
        <v/>
      </c>
      <c r="Q172" s="48" t="str">
        <f aca="false">IF($A172="","",IF(SUM($C172:$F172)+SUM($K172:$M172)=0,"无","有"))</f>
        <v/>
      </c>
    </row>
    <row r="173" customFormat="false" ht="15.75" hidden="false" customHeight="true" outlineLevel="0" collapsed="false">
      <c r="A173" s="32" t="str">
        <f aca="false">IF(项目档案!$A173="","",项目档案!$A173)</f>
        <v/>
      </c>
      <c r="B173" s="40" t="str">
        <f aca="false">IF($A173="","",项目档案!$B173)</f>
        <v/>
      </c>
      <c r="C173" s="41" t="str">
        <f aca="false">IF($A173="","",SUMIFS(业务流水!$H$5:$H$1504,业务流水!$E$5:$E$1504,$B$3,业务流水!$D$5:$D$1504,"销项开票",业务流水!$C$5:$C$1504,$A173,业务流水!$Z$5:$Z$1504,"是"))</f>
        <v/>
      </c>
      <c r="D173" s="41" t="str">
        <f aca="false">IF($A173="","",SUMIFS(业务流水!$O$5:$O$1504,业务流水!$E$5:$E$1504,$B$3,业务流水!$D$5:$D$1504,"销项开票",业务流水!$C$5:$C$1504,$A173,业务流水!$Z$5:$Z$1504,"是"))</f>
        <v/>
      </c>
      <c r="E173" s="41" t="str">
        <f aca="false">IF($A173="","",SUMIFS(业务流水!$P$5:$P$1504,业务流水!$E$5:$E$1504,$B$3,业务流水!$D$5:$D$1504,"销项开票",业务流水!$C$5:$C$1504,$A173,业务流水!$Z$5:$Z$1504,"是"))</f>
        <v/>
      </c>
      <c r="F173" s="41" t="str">
        <f aca="false">IF($A173="","",SUMIFS(业务流水!$H$5:$H$1504,业务流水!$F$5:$F$1504,$B$3,业务流水!$D$5:$D$1504,"成本票",业务流水!$C$5:$C$1504,$A173,业务流水!$Z$5:$Z$1504,"是")+SUMIFS(业务流水!$H$5:$H$1504,业务流水!$F$5:$F$1504,$B$3,业务流水!$D$5:$D$1504,"销项开票",业务流水!$C$5:$C$1504,$A173,业务流水!$Z$5:$Z$1504,"是"))</f>
        <v/>
      </c>
      <c r="G173" s="42" t="str">
        <f aca="false">IF($A173="","",$E173-$F173)</f>
        <v/>
      </c>
      <c r="H173" s="41" t="str">
        <f aca="false">IF($A173="","",SUMIFS(业务流水!$W$5:$W$1504,业务流水!$E$5:$E$1504,$B$3,业务流水!$D$5:$D$1504,"销项开票",业务流水!$C$5:$C$1504,$A173,业务流水!$Z$5:$Z$1504,"是"))</f>
        <v/>
      </c>
      <c r="I173" s="41" t="str">
        <f aca="false">IF($A173="","",SUMIFS(业务流水!$H$5:$H$1504,业务流水!$E$5:$E$1504,$B$3,业务流水!$D$5:$D$1504,"已交税",业务流水!$C$5:$C$1504,$A173,业务流水!$Z$5:$Z$1504,"是"))</f>
        <v/>
      </c>
      <c r="J173" s="42" t="str">
        <f aca="false">IF($A173="","",$H173-$I173)</f>
        <v/>
      </c>
      <c r="K173" s="41" t="str">
        <f aca="false">IF($A173="","",SUMIFS(业务流水!$H$5:$H$1504,业务流水!$F$5:$F$1504,$B$3,业务流水!$D$5:$D$1504,"挂靠代收",业务流水!$C$5:$C$1504,$A173,业务流水!$Z$5:$Z$1504,"是"))</f>
        <v/>
      </c>
      <c r="L173" s="42" t="str">
        <f aca="false">IF($A173="","",$C173-$K173)</f>
        <v/>
      </c>
      <c r="M173" s="41" t="str">
        <f aca="false">IF($A173="","",SUMIFS(业务流水!$H$5:$H$1504,业务流水!$E$5:$E$1504,$B$3,业务流水!$D$5:$D$1504,"我方收款",业务流水!$C$5:$C$1504,$A173,业务流水!$Z$5:$Z$1504,"是"))</f>
        <v/>
      </c>
      <c r="N173" s="43" t="str">
        <f aca="false">IF($A173="","",$K173-$M173)</f>
        <v/>
      </c>
      <c r="O173" s="41" t="str">
        <f aca="false">IF($A173="","",SUMIFS(业务流水!$H$5:$H$1504,业务流水!$F$5:$F$1504,$B$3,业务流水!$D$5:$D$1504,"管理费结算",业务流水!$C$5:$C$1504,$A173,业务流水!$Z$5:$Z$1504,"是"))</f>
        <v/>
      </c>
      <c r="P173" s="41" t="str">
        <f aca="false">IF($A173="","",SUMIFS(业务流水!$H$5:$H$1504,业务流水!$E$5:$E$1504,$B$3,业务流水!$D$5:$D$1504,"扣质保金",业务流水!$C$5:$C$1504,$A173,业务流水!$Z$5:$Z$1504,"是"))</f>
        <v/>
      </c>
      <c r="Q173" s="48" t="str">
        <f aca="false">IF($A173="","",IF(SUM($C173:$F173)+SUM($K173:$M173)=0,"无","有"))</f>
        <v/>
      </c>
    </row>
    <row r="174" customFormat="false" ht="15.75" hidden="false" customHeight="true" outlineLevel="0" collapsed="false">
      <c r="A174" s="32" t="str">
        <f aca="false">IF(项目档案!$A174="","",项目档案!$A174)</f>
        <v/>
      </c>
      <c r="B174" s="40" t="str">
        <f aca="false">IF($A174="","",项目档案!$B174)</f>
        <v/>
      </c>
      <c r="C174" s="41" t="str">
        <f aca="false">IF($A174="","",SUMIFS(业务流水!$H$5:$H$1504,业务流水!$E$5:$E$1504,$B$3,业务流水!$D$5:$D$1504,"销项开票",业务流水!$C$5:$C$1504,$A174,业务流水!$Z$5:$Z$1504,"是"))</f>
        <v/>
      </c>
      <c r="D174" s="41" t="str">
        <f aca="false">IF($A174="","",SUMIFS(业务流水!$O$5:$O$1504,业务流水!$E$5:$E$1504,$B$3,业务流水!$D$5:$D$1504,"销项开票",业务流水!$C$5:$C$1504,$A174,业务流水!$Z$5:$Z$1504,"是"))</f>
        <v/>
      </c>
      <c r="E174" s="41" t="str">
        <f aca="false">IF($A174="","",SUMIFS(业务流水!$P$5:$P$1504,业务流水!$E$5:$E$1504,$B$3,业务流水!$D$5:$D$1504,"销项开票",业务流水!$C$5:$C$1504,$A174,业务流水!$Z$5:$Z$1504,"是"))</f>
        <v/>
      </c>
      <c r="F174" s="41" t="str">
        <f aca="false">IF($A174="","",SUMIFS(业务流水!$H$5:$H$1504,业务流水!$F$5:$F$1504,$B$3,业务流水!$D$5:$D$1504,"成本票",业务流水!$C$5:$C$1504,$A174,业务流水!$Z$5:$Z$1504,"是")+SUMIFS(业务流水!$H$5:$H$1504,业务流水!$F$5:$F$1504,$B$3,业务流水!$D$5:$D$1504,"销项开票",业务流水!$C$5:$C$1504,$A174,业务流水!$Z$5:$Z$1504,"是"))</f>
        <v/>
      </c>
      <c r="G174" s="42" t="str">
        <f aca="false">IF($A174="","",$E174-$F174)</f>
        <v/>
      </c>
      <c r="H174" s="41" t="str">
        <f aca="false">IF($A174="","",SUMIFS(业务流水!$W$5:$W$1504,业务流水!$E$5:$E$1504,$B$3,业务流水!$D$5:$D$1504,"销项开票",业务流水!$C$5:$C$1504,$A174,业务流水!$Z$5:$Z$1504,"是"))</f>
        <v/>
      </c>
      <c r="I174" s="41" t="str">
        <f aca="false">IF($A174="","",SUMIFS(业务流水!$H$5:$H$1504,业务流水!$E$5:$E$1504,$B$3,业务流水!$D$5:$D$1504,"已交税",业务流水!$C$5:$C$1504,$A174,业务流水!$Z$5:$Z$1504,"是"))</f>
        <v/>
      </c>
      <c r="J174" s="42" t="str">
        <f aca="false">IF($A174="","",$H174-$I174)</f>
        <v/>
      </c>
      <c r="K174" s="41" t="str">
        <f aca="false">IF($A174="","",SUMIFS(业务流水!$H$5:$H$1504,业务流水!$F$5:$F$1504,$B$3,业务流水!$D$5:$D$1504,"挂靠代收",业务流水!$C$5:$C$1504,$A174,业务流水!$Z$5:$Z$1504,"是"))</f>
        <v/>
      </c>
      <c r="L174" s="42" t="str">
        <f aca="false">IF($A174="","",$C174-$K174)</f>
        <v/>
      </c>
      <c r="M174" s="41" t="str">
        <f aca="false">IF($A174="","",SUMIFS(业务流水!$H$5:$H$1504,业务流水!$E$5:$E$1504,$B$3,业务流水!$D$5:$D$1504,"我方收款",业务流水!$C$5:$C$1504,$A174,业务流水!$Z$5:$Z$1504,"是"))</f>
        <v/>
      </c>
      <c r="N174" s="43" t="str">
        <f aca="false">IF($A174="","",$K174-$M174)</f>
        <v/>
      </c>
      <c r="O174" s="41" t="str">
        <f aca="false">IF($A174="","",SUMIFS(业务流水!$H$5:$H$1504,业务流水!$F$5:$F$1504,$B$3,业务流水!$D$5:$D$1504,"管理费结算",业务流水!$C$5:$C$1504,$A174,业务流水!$Z$5:$Z$1504,"是"))</f>
        <v/>
      </c>
      <c r="P174" s="41" t="str">
        <f aca="false">IF($A174="","",SUMIFS(业务流水!$H$5:$H$1504,业务流水!$E$5:$E$1504,$B$3,业务流水!$D$5:$D$1504,"扣质保金",业务流水!$C$5:$C$1504,$A174,业务流水!$Z$5:$Z$1504,"是"))</f>
        <v/>
      </c>
      <c r="Q174" s="48" t="str">
        <f aca="false">IF($A174="","",IF(SUM($C174:$F174)+SUM($K174:$M174)=0,"无","有"))</f>
        <v/>
      </c>
    </row>
    <row r="175" customFormat="false" ht="15.75" hidden="false" customHeight="true" outlineLevel="0" collapsed="false">
      <c r="A175" s="32" t="str">
        <f aca="false">IF(项目档案!$A175="","",项目档案!$A175)</f>
        <v/>
      </c>
      <c r="B175" s="40" t="str">
        <f aca="false">IF($A175="","",项目档案!$B175)</f>
        <v/>
      </c>
      <c r="C175" s="41" t="str">
        <f aca="false">IF($A175="","",SUMIFS(业务流水!$H$5:$H$1504,业务流水!$E$5:$E$1504,$B$3,业务流水!$D$5:$D$1504,"销项开票",业务流水!$C$5:$C$1504,$A175,业务流水!$Z$5:$Z$1504,"是"))</f>
        <v/>
      </c>
      <c r="D175" s="41" t="str">
        <f aca="false">IF($A175="","",SUMIFS(业务流水!$O$5:$O$1504,业务流水!$E$5:$E$1504,$B$3,业务流水!$D$5:$D$1504,"销项开票",业务流水!$C$5:$C$1504,$A175,业务流水!$Z$5:$Z$1504,"是"))</f>
        <v/>
      </c>
      <c r="E175" s="41" t="str">
        <f aca="false">IF($A175="","",SUMIFS(业务流水!$P$5:$P$1504,业务流水!$E$5:$E$1504,$B$3,业务流水!$D$5:$D$1504,"销项开票",业务流水!$C$5:$C$1504,$A175,业务流水!$Z$5:$Z$1504,"是"))</f>
        <v/>
      </c>
      <c r="F175" s="41" t="str">
        <f aca="false">IF($A175="","",SUMIFS(业务流水!$H$5:$H$1504,业务流水!$F$5:$F$1504,$B$3,业务流水!$D$5:$D$1504,"成本票",业务流水!$C$5:$C$1504,$A175,业务流水!$Z$5:$Z$1504,"是")+SUMIFS(业务流水!$H$5:$H$1504,业务流水!$F$5:$F$1504,$B$3,业务流水!$D$5:$D$1504,"销项开票",业务流水!$C$5:$C$1504,$A175,业务流水!$Z$5:$Z$1504,"是"))</f>
        <v/>
      </c>
      <c r="G175" s="42" t="str">
        <f aca="false">IF($A175="","",$E175-$F175)</f>
        <v/>
      </c>
      <c r="H175" s="41" t="str">
        <f aca="false">IF($A175="","",SUMIFS(业务流水!$W$5:$W$1504,业务流水!$E$5:$E$1504,$B$3,业务流水!$D$5:$D$1504,"销项开票",业务流水!$C$5:$C$1504,$A175,业务流水!$Z$5:$Z$1504,"是"))</f>
        <v/>
      </c>
      <c r="I175" s="41" t="str">
        <f aca="false">IF($A175="","",SUMIFS(业务流水!$H$5:$H$1504,业务流水!$E$5:$E$1504,$B$3,业务流水!$D$5:$D$1504,"已交税",业务流水!$C$5:$C$1504,$A175,业务流水!$Z$5:$Z$1504,"是"))</f>
        <v/>
      </c>
      <c r="J175" s="42" t="str">
        <f aca="false">IF($A175="","",$H175-$I175)</f>
        <v/>
      </c>
      <c r="K175" s="41" t="str">
        <f aca="false">IF($A175="","",SUMIFS(业务流水!$H$5:$H$1504,业务流水!$F$5:$F$1504,$B$3,业务流水!$D$5:$D$1504,"挂靠代收",业务流水!$C$5:$C$1504,$A175,业务流水!$Z$5:$Z$1504,"是"))</f>
        <v/>
      </c>
      <c r="L175" s="42" t="str">
        <f aca="false">IF($A175="","",$C175-$K175)</f>
        <v/>
      </c>
      <c r="M175" s="41" t="str">
        <f aca="false">IF($A175="","",SUMIFS(业务流水!$H$5:$H$1504,业务流水!$E$5:$E$1504,$B$3,业务流水!$D$5:$D$1504,"我方收款",业务流水!$C$5:$C$1504,$A175,业务流水!$Z$5:$Z$1504,"是"))</f>
        <v/>
      </c>
      <c r="N175" s="43" t="str">
        <f aca="false">IF($A175="","",$K175-$M175)</f>
        <v/>
      </c>
      <c r="O175" s="41" t="str">
        <f aca="false">IF($A175="","",SUMIFS(业务流水!$H$5:$H$1504,业务流水!$F$5:$F$1504,$B$3,业务流水!$D$5:$D$1504,"管理费结算",业务流水!$C$5:$C$1504,$A175,业务流水!$Z$5:$Z$1504,"是"))</f>
        <v/>
      </c>
      <c r="P175" s="41" t="str">
        <f aca="false">IF($A175="","",SUMIFS(业务流水!$H$5:$H$1504,业务流水!$E$5:$E$1504,$B$3,业务流水!$D$5:$D$1504,"扣质保金",业务流水!$C$5:$C$1504,$A175,业务流水!$Z$5:$Z$1504,"是"))</f>
        <v/>
      </c>
      <c r="Q175" s="48" t="str">
        <f aca="false">IF($A175="","",IF(SUM($C175:$F175)+SUM($K175:$M175)=0,"无","有"))</f>
        <v/>
      </c>
    </row>
    <row r="176" customFormat="false" ht="15.75" hidden="false" customHeight="true" outlineLevel="0" collapsed="false">
      <c r="A176" s="32" t="str">
        <f aca="false">IF(项目档案!$A176="","",项目档案!$A176)</f>
        <v/>
      </c>
      <c r="B176" s="40" t="str">
        <f aca="false">IF($A176="","",项目档案!$B176)</f>
        <v/>
      </c>
      <c r="C176" s="41" t="str">
        <f aca="false">IF($A176="","",SUMIFS(业务流水!$H$5:$H$1504,业务流水!$E$5:$E$1504,$B$3,业务流水!$D$5:$D$1504,"销项开票",业务流水!$C$5:$C$1504,$A176,业务流水!$Z$5:$Z$1504,"是"))</f>
        <v/>
      </c>
      <c r="D176" s="41" t="str">
        <f aca="false">IF($A176="","",SUMIFS(业务流水!$O$5:$O$1504,业务流水!$E$5:$E$1504,$B$3,业务流水!$D$5:$D$1504,"销项开票",业务流水!$C$5:$C$1504,$A176,业务流水!$Z$5:$Z$1504,"是"))</f>
        <v/>
      </c>
      <c r="E176" s="41" t="str">
        <f aca="false">IF($A176="","",SUMIFS(业务流水!$P$5:$P$1504,业务流水!$E$5:$E$1504,$B$3,业务流水!$D$5:$D$1504,"销项开票",业务流水!$C$5:$C$1504,$A176,业务流水!$Z$5:$Z$1504,"是"))</f>
        <v/>
      </c>
      <c r="F176" s="41" t="str">
        <f aca="false">IF($A176="","",SUMIFS(业务流水!$H$5:$H$1504,业务流水!$F$5:$F$1504,$B$3,业务流水!$D$5:$D$1504,"成本票",业务流水!$C$5:$C$1504,$A176,业务流水!$Z$5:$Z$1504,"是")+SUMIFS(业务流水!$H$5:$H$1504,业务流水!$F$5:$F$1504,$B$3,业务流水!$D$5:$D$1504,"销项开票",业务流水!$C$5:$C$1504,$A176,业务流水!$Z$5:$Z$1504,"是"))</f>
        <v/>
      </c>
      <c r="G176" s="42" t="str">
        <f aca="false">IF($A176="","",$E176-$F176)</f>
        <v/>
      </c>
      <c r="H176" s="41" t="str">
        <f aca="false">IF($A176="","",SUMIFS(业务流水!$W$5:$W$1504,业务流水!$E$5:$E$1504,$B$3,业务流水!$D$5:$D$1504,"销项开票",业务流水!$C$5:$C$1504,$A176,业务流水!$Z$5:$Z$1504,"是"))</f>
        <v/>
      </c>
      <c r="I176" s="41" t="str">
        <f aca="false">IF($A176="","",SUMIFS(业务流水!$H$5:$H$1504,业务流水!$E$5:$E$1504,$B$3,业务流水!$D$5:$D$1504,"已交税",业务流水!$C$5:$C$1504,$A176,业务流水!$Z$5:$Z$1504,"是"))</f>
        <v/>
      </c>
      <c r="J176" s="42" t="str">
        <f aca="false">IF($A176="","",$H176-$I176)</f>
        <v/>
      </c>
      <c r="K176" s="41" t="str">
        <f aca="false">IF($A176="","",SUMIFS(业务流水!$H$5:$H$1504,业务流水!$F$5:$F$1504,$B$3,业务流水!$D$5:$D$1504,"挂靠代收",业务流水!$C$5:$C$1504,$A176,业务流水!$Z$5:$Z$1504,"是"))</f>
        <v/>
      </c>
      <c r="L176" s="42" t="str">
        <f aca="false">IF($A176="","",$C176-$K176)</f>
        <v/>
      </c>
      <c r="M176" s="41" t="str">
        <f aca="false">IF($A176="","",SUMIFS(业务流水!$H$5:$H$1504,业务流水!$E$5:$E$1504,$B$3,业务流水!$D$5:$D$1504,"我方收款",业务流水!$C$5:$C$1504,$A176,业务流水!$Z$5:$Z$1504,"是"))</f>
        <v/>
      </c>
      <c r="N176" s="43" t="str">
        <f aca="false">IF($A176="","",$K176-$M176)</f>
        <v/>
      </c>
      <c r="O176" s="41" t="str">
        <f aca="false">IF($A176="","",SUMIFS(业务流水!$H$5:$H$1504,业务流水!$F$5:$F$1504,$B$3,业务流水!$D$5:$D$1504,"管理费结算",业务流水!$C$5:$C$1504,$A176,业务流水!$Z$5:$Z$1504,"是"))</f>
        <v/>
      </c>
      <c r="P176" s="41" t="str">
        <f aca="false">IF($A176="","",SUMIFS(业务流水!$H$5:$H$1504,业务流水!$E$5:$E$1504,$B$3,业务流水!$D$5:$D$1504,"扣质保金",业务流水!$C$5:$C$1504,$A176,业务流水!$Z$5:$Z$1504,"是"))</f>
        <v/>
      </c>
      <c r="Q176" s="48" t="str">
        <f aca="false">IF($A176="","",IF(SUM($C176:$F176)+SUM($K176:$M176)=0,"无","有"))</f>
        <v/>
      </c>
    </row>
    <row r="177" customFormat="false" ht="15.75" hidden="false" customHeight="true" outlineLevel="0" collapsed="false">
      <c r="A177" s="32" t="str">
        <f aca="false">IF(项目档案!$A177="","",项目档案!$A177)</f>
        <v/>
      </c>
      <c r="B177" s="40" t="str">
        <f aca="false">IF($A177="","",项目档案!$B177)</f>
        <v/>
      </c>
      <c r="C177" s="41" t="str">
        <f aca="false">IF($A177="","",SUMIFS(业务流水!$H$5:$H$1504,业务流水!$E$5:$E$1504,$B$3,业务流水!$D$5:$D$1504,"销项开票",业务流水!$C$5:$C$1504,$A177,业务流水!$Z$5:$Z$1504,"是"))</f>
        <v/>
      </c>
      <c r="D177" s="41" t="str">
        <f aca="false">IF($A177="","",SUMIFS(业务流水!$O$5:$O$1504,业务流水!$E$5:$E$1504,$B$3,业务流水!$D$5:$D$1504,"销项开票",业务流水!$C$5:$C$1504,$A177,业务流水!$Z$5:$Z$1504,"是"))</f>
        <v/>
      </c>
      <c r="E177" s="41" t="str">
        <f aca="false">IF($A177="","",SUMIFS(业务流水!$P$5:$P$1504,业务流水!$E$5:$E$1504,$B$3,业务流水!$D$5:$D$1504,"销项开票",业务流水!$C$5:$C$1504,$A177,业务流水!$Z$5:$Z$1504,"是"))</f>
        <v/>
      </c>
      <c r="F177" s="41" t="str">
        <f aca="false">IF($A177="","",SUMIFS(业务流水!$H$5:$H$1504,业务流水!$F$5:$F$1504,$B$3,业务流水!$D$5:$D$1504,"成本票",业务流水!$C$5:$C$1504,$A177,业务流水!$Z$5:$Z$1504,"是")+SUMIFS(业务流水!$H$5:$H$1504,业务流水!$F$5:$F$1504,$B$3,业务流水!$D$5:$D$1504,"销项开票",业务流水!$C$5:$C$1504,$A177,业务流水!$Z$5:$Z$1504,"是"))</f>
        <v/>
      </c>
      <c r="G177" s="42" t="str">
        <f aca="false">IF($A177="","",$E177-$F177)</f>
        <v/>
      </c>
      <c r="H177" s="41" t="str">
        <f aca="false">IF($A177="","",SUMIFS(业务流水!$W$5:$W$1504,业务流水!$E$5:$E$1504,$B$3,业务流水!$D$5:$D$1504,"销项开票",业务流水!$C$5:$C$1504,$A177,业务流水!$Z$5:$Z$1504,"是"))</f>
        <v/>
      </c>
      <c r="I177" s="41" t="str">
        <f aca="false">IF($A177="","",SUMIFS(业务流水!$H$5:$H$1504,业务流水!$E$5:$E$1504,$B$3,业务流水!$D$5:$D$1504,"已交税",业务流水!$C$5:$C$1504,$A177,业务流水!$Z$5:$Z$1504,"是"))</f>
        <v/>
      </c>
      <c r="J177" s="42" t="str">
        <f aca="false">IF($A177="","",$H177-$I177)</f>
        <v/>
      </c>
      <c r="K177" s="41" t="str">
        <f aca="false">IF($A177="","",SUMIFS(业务流水!$H$5:$H$1504,业务流水!$F$5:$F$1504,$B$3,业务流水!$D$5:$D$1504,"挂靠代收",业务流水!$C$5:$C$1504,$A177,业务流水!$Z$5:$Z$1504,"是"))</f>
        <v/>
      </c>
      <c r="L177" s="42" t="str">
        <f aca="false">IF($A177="","",$C177-$K177)</f>
        <v/>
      </c>
      <c r="M177" s="41" t="str">
        <f aca="false">IF($A177="","",SUMIFS(业务流水!$H$5:$H$1504,业务流水!$E$5:$E$1504,$B$3,业务流水!$D$5:$D$1504,"我方收款",业务流水!$C$5:$C$1504,$A177,业务流水!$Z$5:$Z$1504,"是"))</f>
        <v/>
      </c>
      <c r="N177" s="43" t="str">
        <f aca="false">IF($A177="","",$K177-$M177)</f>
        <v/>
      </c>
      <c r="O177" s="41" t="str">
        <f aca="false">IF($A177="","",SUMIFS(业务流水!$H$5:$H$1504,业务流水!$F$5:$F$1504,$B$3,业务流水!$D$5:$D$1504,"管理费结算",业务流水!$C$5:$C$1504,$A177,业务流水!$Z$5:$Z$1504,"是"))</f>
        <v/>
      </c>
      <c r="P177" s="41" t="str">
        <f aca="false">IF($A177="","",SUMIFS(业务流水!$H$5:$H$1504,业务流水!$E$5:$E$1504,$B$3,业务流水!$D$5:$D$1504,"扣质保金",业务流水!$C$5:$C$1504,$A177,业务流水!$Z$5:$Z$1504,"是"))</f>
        <v/>
      </c>
      <c r="Q177" s="48" t="str">
        <f aca="false">IF($A177="","",IF(SUM($C177:$F177)+SUM($K177:$M177)=0,"无","有"))</f>
        <v/>
      </c>
    </row>
    <row r="178" customFormat="false" ht="15.75" hidden="false" customHeight="true" outlineLevel="0" collapsed="false">
      <c r="A178" s="32" t="str">
        <f aca="false">IF(项目档案!$A178="","",项目档案!$A178)</f>
        <v/>
      </c>
      <c r="B178" s="40" t="str">
        <f aca="false">IF($A178="","",项目档案!$B178)</f>
        <v/>
      </c>
      <c r="C178" s="41" t="str">
        <f aca="false">IF($A178="","",SUMIFS(业务流水!$H$5:$H$1504,业务流水!$E$5:$E$1504,$B$3,业务流水!$D$5:$D$1504,"销项开票",业务流水!$C$5:$C$1504,$A178,业务流水!$Z$5:$Z$1504,"是"))</f>
        <v/>
      </c>
      <c r="D178" s="41" t="str">
        <f aca="false">IF($A178="","",SUMIFS(业务流水!$O$5:$O$1504,业务流水!$E$5:$E$1504,$B$3,业务流水!$D$5:$D$1504,"销项开票",业务流水!$C$5:$C$1504,$A178,业务流水!$Z$5:$Z$1504,"是"))</f>
        <v/>
      </c>
      <c r="E178" s="41" t="str">
        <f aca="false">IF($A178="","",SUMIFS(业务流水!$P$5:$P$1504,业务流水!$E$5:$E$1504,$B$3,业务流水!$D$5:$D$1504,"销项开票",业务流水!$C$5:$C$1504,$A178,业务流水!$Z$5:$Z$1504,"是"))</f>
        <v/>
      </c>
      <c r="F178" s="41" t="str">
        <f aca="false">IF($A178="","",SUMIFS(业务流水!$H$5:$H$1504,业务流水!$F$5:$F$1504,$B$3,业务流水!$D$5:$D$1504,"成本票",业务流水!$C$5:$C$1504,$A178,业务流水!$Z$5:$Z$1504,"是")+SUMIFS(业务流水!$H$5:$H$1504,业务流水!$F$5:$F$1504,$B$3,业务流水!$D$5:$D$1504,"销项开票",业务流水!$C$5:$C$1504,$A178,业务流水!$Z$5:$Z$1504,"是"))</f>
        <v/>
      </c>
      <c r="G178" s="42" t="str">
        <f aca="false">IF($A178="","",$E178-$F178)</f>
        <v/>
      </c>
      <c r="H178" s="41" t="str">
        <f aca="false">IF($A178="","",SUMIFS(业务流水!$W$5:$W$1504,业务流水!$E$5:$E$1504,$B$3,业务流水!$D$5:$D$1504,"销项开票",业务流水!$C$5:$C$1504,$A178,业务流水!$Z$5:$Z$1504,"是"))</f>
        <v/>
      </c>
      <c r="I178" s="41" t="str">
        <f aca="false">IF($A178="","",SUMIFS(业务流水!$H$5:$H$1504,业务流水!$E$5:$E$1504,$B$3,业务流水!$D$5:$D$1504,"已交税",业务流水!$C$5:$C$1504,$A178,业务流水!$Z$5:$Z$1504,"是"))</f>
        <v/>
      </c>
      <c r="J178" s="42" t="str">
        <f aca="false">IF($A178="","",$H178-$I178)</f>
        <v/>
      </c>
      <c r="K178" s="41" t="str">
        <f aca="false">IF($A178="","",SUMIFS(业务流水!$H$5:$H$1504,业务流水!$F$5:$F$1504,$B$3,业务流水!$D$5:$D$1504,"挂靠代收",业务流水!$C$5:$C$1504,$A178,业务流水!$Z$5:$Z$1504,"是"))</f>
        <v/>
      </c>
      <c r="L178" s="42" t="str">
        <f aca="false">IF($A178="","",$C178-$K178)</f>
        <v/>
      </c>
      <c r="M178" s="41" t="str">
        <f aca="false">IF($A178="","",SUMIFS(业务流水!$H$5:$H$1504,业务流水!$E$5:$E$1504,$B$3,业务流水!$D$5:$D$1504,"我方收款",业务流水!$C$5:$C$1504,$A178,业务流水!$Z$5:$Z$1504,"是"))</f>
        <v/>
      </c>
      <c r="N178" s="43" t="str">
        <f aca="false">IF($A178="","",$K178-$M178)</f>
        <v/>
      </c>
      <c r="O178" s="41" t="str">
        <f aca="false">IF($A178="","",SUMIFS(业务流水!$H$5:$H$1504,业务流水!$F$5:$F$1504,$B$3,业务流水!$D$5:$D$1504,"管理费结算",业务流水!$C$5:$C$1504,$A178,业务流水!$Z$5:$Z$1504,"是"))</f>
        <v/>
      </c>
      <c r="P178" s="41" t="str">
        <f aca="false">IF($A178="","",SUMIFS(业务流水!$H$5:$H$1504,业务流水!$E$5:$E$1504,$B$3,业务流水!$D$5:$D$1504,"扣质保金",业务流水!$C$5:$C$1504,$A178,业务流水!$Z$5:$Z$1504,"是"))</f>
        <v/>
      </c>
      <c r="Q178" s="48" t="str">
        <f aca="false">IF($A178="","",IF(SUM($C178:$F178)+SUM($K178:$M178)=0,"无","有"))</f>
        <v/>
      </c>
    </row>
    <row r="179" customFormat="false" ht="15.75" hidden="false" customHeight="true" outlineLevel="0" collapsed="false">
      <c r="A179" s="32" t="str">
        <f aca="false">IF(项目档案!$A179="","",项目档案!$A179)</f>
        <v/>
      </c>
      <c r="B179" s="40" t="str">
        <f aca="false">IF($A179="","",项目档案!$B179)</f>
        <v/>
      </c>
      <c r="C179" s="41" t="str">
        <f aca="false">IF($A179="","",SUMIFS(业务流水!$H$5:$H$1504,业务流水!$E$5:$E$1504,$B$3,业务流水!$D$5:$D$1504,"销项开票",业务流水!$C$5:$C$1504,$A179,业务流水!$Z$5:$Z$1504,"是"))</f>
        <v/>
      </c>
      <c r="D179" s="41" t="str">
        <f aca="false">IF($A179="","",SUMIFS(业务流水!$O$5:$O$1504,业务流水!$E$5:$E$1504,$B$3,业务流水!$D$5:$D$1504,"销项开票",业务流水!$C$5:$C$1504,$A179,业务流水!$Z$5:$Z$1504,"是"))</f>
        <v/>
      </c>
      <c r="E179" s="41" t="str">
        <f aca="false">IF($A179="","",SUMIFS(业务流水!$P$5:$P$1504,业务流水!$E$5:$E$1504,$B$3,业务流水!$D$5:$D$1504,"销项开票",业务流水!$C$5:$C$1504,$A179,业务流水!$Z$5:$Z$1504,"是"))</f>
        <v/>
      </c>
      <c r="F179" s="41" t="str">
        <f aca="false">IF($A179="","",SUMIFS(业务流水!$H$5:$H$1504,业务流水!$F$5:$F$1504,$B$3,业务流水!$D$5:$D$1504,"成本票",业务流水!$C$5:$C$1504,$A179,业务流水!$Z$5:$Z$1504,"是")+SUMIFS(业务流水!$H$5:$H$1504,业务流水!$F$5:$F$1504,$B$3,业务流水!$D$5:$D$1504,"销项开票",业务流水!$C$5:$C$1504,$A179,业务流水!$Z$5:$Z$1504,"是"))</f>
        <v/>
      </c>
      <c r="G179" s="42" t="str">
        <f aca="false">IF($A179="","",$E179-$F179)</f>
        <v/>
      </c>
      <c r="H179" s="41" t="str">
        <f aca="false">IF($A179="","",SUMIFS(业务流水!$W$5:$W$1504,业务流水!$E$5:$E$1504,$B$3,业务流水!$D$5:$D$1504,"销项开票",业务流水!$C$5:$C$1504,$A179,业务流水!$Z$5:$Z$1504,"是"))</f>
        <v/>
      </c>
      <c r="I179" s="41" t="str">
        <f aca="false">IF($A179="","",SUMIFS(业务流水!$H$5:$H$1504,业务流水!$E$5:$E$1504,$B$3,业务流水!$D$5:$D$1504,"已交税",业务流水!$C$5:$C$1504,$A179,业务流水!$Z$5:$Z$1504,"是"))</f>
        <v/>
      </c>
      <c r="J179" s="42" t="str">
        <f aca="false">IF($A179="","",$H179-$I179)</f>
        <v/>
      </c>
      <c r="K179" s="41" t="str">
        <f aca="false">IF($A179="","",SUMIFS(业务流水!$H$5:$H$1504,业务流水!$F$5:$F$1504,$B$3,业务流水!$D$5:$D$1504,"挂靠代收",业务流水!$C$5:$C$1504,$A179,业务流水!$Z$5:$Z$1504,"是"))</f>
        <v/>
      </c>
      <c r="L179" s="42" t="str">
        <f aca="false">IF($A179="","",$C179-$K179)</f>
        <v/>
      </c>
      <c r="M179" s="41" t="str">
        <f aca="false">IF($A179="","",SUMIFS(业务流水!$H$5:$H$1504,业务流水!$E$5:$E$1504,$B$3,业务流水!$D$5:$D$1504,"我方收款",业务流水!$C$5:$C$1504,$A179,业务流水!$Z$5:$Z$1504,"是"))</f>
        <v/>
      </c>
      <c r="N179" s="43" t="str">
        <f aca="false">IF($A179="","",$K179-$M179)</f>
        <v/>
      </c>
      <c r="O179" s="41" t="str">
        <f aca="false">IF($A179="","",SUMIFS(业务流水!$H$5:$H$1504,业务流水!$F$5:$F$1504,$B$3,业务流水!$D$5:$D$1504,"管理费结算",业务流水!$C$5:$C$1504,$A179,业务流水!$Z$5:$Z$1504,"是"))</f>
        <v/>
      </c>
      <c r="P179" s="41" t="str">
        <f aca="false">IF($A179="","",SUMIFS(业务流水!$H$5:$H$1504,业务流水!$E$5:$E$1504,$B$3,业务流水!$D$5:$D$1504,"扣质保金",业务流水!$C$5:$C$1504,$A179,业务流水!$Z$5:$Z$1504,"是"))</f>
        <v/>
      </c>
      <c r="Q179" s="48" t="str">
        <f aca="false">IF($A179="","",IF(SUM($C179:$F179)+SUM($K179:$M179)=0,"无","有"))</f>
        <v/>
      </c>
    </row>
    <row r="180" customFormat="false" ht="15.75" hidden="false" customHeight="true" outlineLevel="0" collapsed="false">
      <c r="A180" s="32" t="str">
        <f aca="false">IF(项目档案!$A180="","",项目档案!$A180)</f>
        <v/>
      </c>
      <c r="B180" s="40" t="str">
        <f aca="false">IF($A180="","",项目档案!$B180)</f>
        <v/>
      </c>
      <c r="C180" s="41" t="str">
        <f aca="false">IF($A180="","",SUMIFS(业务流水!$H$5:$H$1504,业务流水!$E$5:$E$1504,$B$3,业务流水!$D$5:$D$1504,"销项开票",业务流水!$C$5:$C$1504,$A180,业务流水!$Z$5:$Z$1504,"是"))</f>
        <v/>
      </c>
      <c r="D180" s="41" t="str">
        <f aca="false">IF($A180="","",SUMIFS(业务流水!$O$5:$O$1504,业务流水!$E$5:$E$1504,$B$3,业务流水!$D$5:$D$1504,"销项开票",业务流水!$C$5:$C$1504,$A180,业务流水!$Z$5:$Z$1504,"是"))</f>
        <v/>
      </c>
      <c r="E180" s="41" t="str">
        <f aca="false">IF($A180="","",SUMIFS(业务流水!$P$5:$P$1504,业务流水!$E$5:$E$1504,$B$3,业务流水!$D$5:$D$1504,"销项开票",业务流水!$C$5:$C$1504,$A180,业务流水!$Z$5:$Z$1504,"是"))</f>
        <v/>
      </c>
      <c r="F180" s="41" t="str">
        <f aca="false">IF($A180="","",SUMIFS(业务流水!$H$5:$H$1504,业务流水!$F$5:$F$1504,$B$3,业务流水!$D$5:$D$1504,"成本票",业务流水!$C$5:$C$1504,$A180,业务流水!$Z$5:$Z$1504,"是")+SUMIFS(业务流水!$H$5:$H$1504,业务流水!$F$5:$F$1504,$B$3,业务流水!$D$5:$D$1504,"销项开票",业务流水!$C$5:$C$1504,$A180,业务流水!$Z$5:$Z$1504,"是"))</f>
        <v/>
      </c>
      <c r="G180" s="42" t="str">
        <f aca="false">IF($A180="","",$E180-$F180)</f>
        <v/>
      </c>
      <c r="H180" s="41" t="str">
        <f aca="false">IF($A180="","",SUMIFS(业务流水!$W$5:$W$1504,业务流水!$E$5:$E$1504,$B$3,业务流水!$D$5:$D$1504,"销项开票",业务流水!$C$5:$C$1504,$A180,业务流水!$Z$5:$Z$1504,"是"))</f>
        <v/>
      </c>
      <c r="I180" s="41" t="str">
        <f aca="false">IF($A180="","",SUMIFS(业务流水!$H$5:$H$1504,业务流水!$E$5:$E$1504,$B$3,业务流水!$D$5:$D$1504,"已交税",业务流水!$C$5:$C$1504,$A180,业务流水!$Z$5:$Z$1504,"是"))</f>
        <v/>
      </c>
      <c r="J180" s="42" t="str">
        <f aca="false">IF($A180="","",$H180-$I180)</f>
        <v/>
      </c>
      <c r="K180" s="41" t="str">
        <f aca="false">IF($A180="","",SUMIFS(业务流水!$H$5:$H$1504,业务流水!$F$5:$F$1504,$B$3,业务流水!$D$5:$D$1504,"挂靠代收",业务流水!$C$5:$C$1504,$A180,业务流水!$Z$5:$Z$1504,"是"))</f>
        <v/>
      </c>
      <c r="L180" s="42" t="str">
        <f aca="false">IF($A180="","",$C180-$K180)</f>
        <v/>
      </c>
      <c r="M180" s="41" t="str">
        <f aca="false">IF($A180="","",SUMIFS(业务流水!$H$5:$H$1504,业务流水!$E$5:$E$1504,$B$3,业务流水!$D$5:$D$1504,"我方收款",业务流水!$C$5:$C$1504,$A180,业务流水!$Z$5:$Z$1504,"是"))</f>
        <v/>
      </c>
      <c r="N180" s="43" t="str">
        <f aca="false">IF($A180="","",$K180-$M180)</f>
        <v/>
      </c>
      <c r="O180" s="41" t="str">
        <f aca="false">IF($A180="","",SUMIFS(业务流水!$H$5:$H$1504,业务流水!$F$5:$F$1504,$B$3,业务流水!$D$5:$D$1504,"管理费结算",业务流水!$C$5:$C$1504,$A180,业务流水!$Z$5:$Z$1504,"是"))</f>
        <v/>
      </c>
      <c r="P180" s="41" t="str">
        <f aca="false">IF($A180="","",SUMIFS(业务流水!$H$5:$H$1504,业务流水!$E$5:$E$1504,$B$3,业务流水!$D$5:$D$1504,"扣质保金",业务流水!$C$5:$C$1504,$A180,业务流水!$Z$5:$Z$1504,"是"))</f>
        <v/>
      </c>
      <c r="Q180" s="48" t="str">
        <f aca="false">IF($A180="","",IF(SUM($C180:$F180)+SUM($K180:$M180)=0,"无","有"))</f>
        <v/>
      </c>
    </row>
    <row r="181" customFormat="false" ht="15.75" hidden="false" customHeight="true" outlineLevel="0" collapsed="false">
      <c r="A181" s="32" t="str">
        <f aca="false">IF(项目档案!$A181="","",项目档案!$A181)</f>
        <v/>
      </c>
      <c r="B181" s="40" t="str">
        <f aca="false">IF($A181="","",项目档案!$B181)</f>
        <v/>
      </c>
      <c r="C181" s="41" t="str">
        <f aca="false">IF($A181="","",SUMIFS(业务流水!$H$5:$H$1504,业务流水!$E$5:$E$1504,$B$3,业务流水!$D$5:$D$1504,"销项开票",业务流水!$C$5:$C$1504,$A181,业务流水!$Z$5:$Z$1504,"是"))</f>
        <v/>
      </c>
      <c r="D181" s="41" t="str">
        <f aca="false">IF($A181="","",SUMIFS(业务流水!$O$5:$O$1504,业务流水!$E$5:$E$1504,$B$3,业务流水!$D$5:$D$1504,"销项开票",业务流水!$C$5:$C$1504,$A181,业务流水!$Z$5:$Z$1504,"是"))</f>
        <v/>
      </c>
      <c r="E181" s="41" t="str">
        <f aca="false">IF($A181="","",SUMIFS(业务流水!$P$5:$P$1504,业务流水!$E$5:$E$1504,$B$3,业务流水!$D$5:$D$1504,"销项开票",业务流水!$C$5:$C$1504,$A181,业务流水!$Z$5:$Z$1504,"是"))</f>
        <v/>
      </c>
      <c r="F181" s="41" t="str">
        <f aca="false">IF($A181="","",SUMIFS(业务流水!$H$5:$H$1504,业务流水!$F$5:$F$1504,$B$3,业务流水!$D$5:$D$1504,"成本票",业务流水!$C$5:$C$1504,$A181,业务流水!$Z$5:$Z$1504,"是")+SUMIFS(业务流水!$H$5:$H$1504,业务流水!$F$5:$F$1504,$B$3,业务流水!$D$5:$D$1504,"销项开票",业务流水!$C$5:$C$1504,$A181,业务流水!$Z$5:$Z$1504,"是"))</f>
        <v/>
      </c>
      <c r="G181" s="42" t="str">
        <f aca="false">IF($A181="","",$E181-$F181)</f>
        <v/>
      </c>
      <c r="H181" s="41" t="str">
        <f aca="false">IF($A181="","",SUMIFS(业务流水!$W$5:$W$1504,业务流水!$E$5:$E$1504,$B$3,业务流水!$D$5:$D$1504,"销项开票",业务流水!$C$5:$C$1504,$A181,业务流水!$Z$5:$Z$1504,"是"))</f>
        <v/>
      </c>
      <c r="I181" s="41" t="str">
        <f aca="false">IF($A181="","",SUMIFS(业务流水!$H$5:$H$1504,业务流水!$E$5:$E$1504,$B$3,业务流水!$D$5:$D$1504,"已交税",业务流水!$C$5:$C$1504,$A181,业务流水!$Z$5:$Z$1504,"是"))</f>
        <v/>
      </c>
      <c r="J181" s="42" t="str">
        <f aca="false">IF($A181="","",$H181-$I181)</f>
        <v/>
      </c>
      <c r="K181" s="41" t="str">
        <f aca="false">IF($A181="","",SUMIFS(业务流水!$H$5:$H$1504,业务流水!$F$5:$F$1504,$B$3,业务流水!$D$5:$D$1504,"挂靠代收",业务流水!$C$5:$C$1504,$A181,业务流水!$Z$5:$Z$1504,"是"))</f>
        <v/>
      </c>
      <c r="L181" s="42" t="str">
        <f aca="false">IF($A181="","",$C181-$K181)</f>
        <v/>
      </c>
      <c r="M181" s="41" t="str">
        <f aca="false">IF($A181="","",SUMIFS(业务流水!$H$5:$H$1504,业务流水!$E$5:$E$1504,$B$3,业务流水!$D$5:$D$1504,"我方收款",业务流水!$C$5:$C$1504,$A181,业务流水!$Z$5:$Z$1504,"是"))</f>
        <v/>
      </c>
      <c r="N181" s="43" t="str">
        <f aca="false">IF($A181="","",$K181-$M181)</f>
        <v/>
      </c>
      <c r="O181" s="41" t="str">
        <f aca="false">IF($A181="","",SUMIFS(业务流水!$H$5:$H$1504,业务流水!$F$5:$F$1504,$B$3,业务流水!$D$5:$D$1504,"管理费结算",业务流水!$C$5:$C$1504,$A181,业务流水!$Z$5:$Z$1504,"是"))</f>
        <v/>
      </c>
      <c r="P181" s="41" t="str">
        <f aca="false">IF($A181="","",SUMIFS(业务流水!$H$5:$H$1504,业务流水!$E$5:$E$1504,$B$3,业务流水!$D$5:$D$1504,"扣质保金",业务流水!$C$5:$C$1504,$A181,业务流水!$Z$5:$Z$1504,"是"))</f>
        <v/>
      </c>
      <c r="Q181" s="48" t="str">
        <f aca="false">IF($A181="","",IF(SUM($C181:$F181)+SUM($K181:$M181)=0,"无","有"))</f>
        <v/>
      </c>
    </row>
    <row r="182" customFormat="false" ht="15.75" hidden="false" customHeight="true" outlineLevel="0" collapsed="false">
      <c r="A182" s="32" t="str">
        <f aca="false">IF(项目档案!$A182="","",项目档案!$A182)</f>
        <v/>
      </c>
      <c r="B182" s="40" t="str">
        <f aca="false">IF($A182="","",项目档案!$B182)</f>
        <v/>
      </c>
      <c r="C182" s="41" t="str">
        <f aca="false">IF($A182="","",SUMIFS(业务流水!$H$5:$H$1504,业务流水!$E$5:$E$1504,$B$3,业务流水!$D$5:$D$1504,"销项开票",业务流水!$C$5:$C$1504,$A182,业务流水!$Z$5:$Z$1504,"是"))</f>
        <v/>
      </c>
      <c r="D182" s="41" t="str">
        <f aca="false">IF($A182="","",SUMIFS(业务流水!$O$5:$O$1504,业务流水!$E$5:$E$1504,$B$3,业务流水!$D$5:$D$1504,"销项开票",业务流水!$C$5:$C$1504,$A182,业务流水!$Z$5:$Z$1504,"是"))</f>
        <v/>
      </c>
      <c r="E182" s="41" t="str">
        <f aca="false">IF($A182="","",SUMIFS(业务流水!$P$5:$P$1504,业务流水!$E$5:$E$1504,$B$3,业务流水!$D$5:$D$1504,"销项开票",业务流水!$C$5:$C$1504,$A182,业务流水!$Z$5:$Z$1504,"是"))</f>
        <v/>
      </c>
      <c r="F182" s="41" t="str">
        <f aca="false">IF($A182="","",SUMIFS(业务流水!$H$5:$H$1504,业务流水!$F$5:$F$1504,$B$3,业务流水!$D$5:$D$1504,"成本票",业务流水!$C$5:$C$1504,$A182,业务流水!$Z$5:$Z$1504,"是")+SUMIFS(业务流水!$H$5:$H$1504,业务流水!$F$5:$F$1504,$B$3,业务流水!$D$5:$D$1504,"销项开票",业务流水!$C$5:$C$1504,$A182,业务流水!$Z$5:$Z$1504,"是"))</f>
        <v/>
      </c>
      <c r="G182" s="42" t="str">
        <f aca="false">IF($A182="","",$E182-$F182)</f>
        <v/>
      </c>
      <c r="H182" s="41" t="str">
        <f aca="false">IF($A182="","",SUMIFS(业务流水!$W$5:$W$1504,业务流水!$E$5:$E$1504,$B$3,业务流水!$D$5:$D$1504,"销项开票",业务流水!$C$5:$C$1504,$A182,业务流水!$Z$5:$Z$1504,"是"))</f>
        <v/>
      </c>
      <c r="I182" s="41" t="str">
        <f aca="false">IF($A182="","",SUMIFS(业务流水!$H$5:$H$1504,业务流水!$E$5:$E$1504,$B$3,业务流水!$D$5:$D$1504,"已交税",业务流水!$C$5:$C$1504,$A182,业务流水!$Z$5:$Z$1504,"是"))</f>
        <v/>
      </c>
      <c r="J182" s="42" t="str">
        <f aca="false">IF($A182="","",$H182-$I182)</f>
        <v/>
      </c>
      <c r="K182" s="41" t="str">
        <f aca="false">IF($A182="","",SUMIFS(业务流水!$H$5:$H$1504,业务流水!$F$5:$F$1504,$B$3,业务流水!$D$5:$D$1504,"挂靠代收",业务流水!$C$5:$C$1504,$A182,业务流水!$Z$5:$Z$1504,"是"))</f>
        <v/>
      </c>
      <c r="L182" s="42" t="str">
        <f aca="false">IF($A182="","",$C182-$K182)</f>
        <v/>
      </c>
      <c r="M182" s="41" t="str">
        <f aca="false">IF($A182="","",SUMIFS(业务流水!$H$5:$H$1504,业务流水!$E$5:$E$1504,$B$3,业务流水!$D$5:$D$1504,"我方收款",业务流水!$C$5:$C$1504,$A182,业务流水!$Z$5:$Z$1504,"是"))</f>
        <v/>
      </c>
      <c r="N182" s="43" t="str">
        <f aca="false">IF($A182="","",$K182-$M182)</f>
        <v/>
      </c>
      <c r="O182" s="41" t="str">
        <f aca="false">IF($A182="","",SUMIFS(业务流水!$H$5:$H$1504,业务流水!$F$5:$F$1504,$B$3,业务流水!$D$5:$D$1504,"管理费结算",业务流水!$C$5:$C$1504,$A182,业务流水!$Z$5:$Z$1504,"是"))</f>
        <v/>
      </c>
      <c r="P182" s="41" t="str">
        <f aca="false">IF($A182="","",SUMIFS(业务流水!$H$5:$H$1504,业务流水!$E$5:$E$1504,$B$3,业务流水!$D$5:$D$1504,"扣质保金",业务流水!$C$5:$C$1504,$A182,业务流水!$Z$5:$Z$1504,"是"))</f>
        <v/>
      </c>
      <c r="Q182" s="48" t="str">
        <f aca="false">IF($A182="","",IF(SUM($C182:$F182)+SUM($K182:$M182)=0,"无","有"))</f>
        <v/>
      </c>
    </row>
    <row r="183" customFormat="false" ht="15.75" hidden="false" customHeight="true" outlineLevel="0" collapsed="false">
      <c r="A183" s="32" t="str">
        <f aca="false">IF(项目档案!$A183="","",项目档案!$A183)</f>
        <v/>
      </c>
      <c r="B183" s="40" t="str">
        <f aca="false">IF($A183="","",项目档案!$B183)</f>
        <v/>
      </c>
      <c r="C183" s="41" t="str">
        <f aca="false">IF($A183="","",SUMIFS(业务流水!$H$5:$H$1504,业务流水!$E$5:$E$1504,$B$3,业务流水!$D$5:$D$1504,"销项开票",业务流水!$C$5:$C$1504,$A183,业务流水!$Z$5:$Z$1504,"是"))</f>
        <v/>
      </c>
      <c r="D183" s="41" t="str">
        <f aca="false">IF($A183="","",SUMIFS(业务流水!$O$5:$O$1504,业务流水!$E$5:$E$1504,$B$3,业务流水!$D$5:$D$1504,"销项开票",业务流水!$C$5:$C$1504,$A183,业务流水!$Z$5:$Z$1504,"是"))</f>
        <v/>
      </c>
      <c r="E183" s="41" t="str">
        <f aca="false">IF($A183="","",SUMIFS(业务流水!$P$5:$P$1504,业务流水!$E$5:$E$1504,$B$3,业务流水!$D$5:$D$1504,"销项开票",业务流水!$C$5:$C$1504,$A183,业务流水!$Z$5:$Z$1504,"是"))</f>
        <v/>
      </c>
      <c r="F183" s="41" t="str">
        <f aca="false">IF($A183="","",SUMIFS(业务流水!$H$5:$H$1504,业务流水!$F$5:$F$1504,$B$3,业务流水!$D$5:$D$1504,"成本票",业务流水!$C$5:$C$1504,$A183,业务流水!$Z$5:$Z$1504,"是")+SUMIFS(业务流水!$H$5:$H$1504,业务流水!$F$5:$F$1504,$B$3,业务流水!$D$5:$D$1504,"销项开票",业务流水!$C$5:$C$1504,$A183,业务流水!$Z$5:$Z$1504,"是"))</f>
        <v/>
      </c>
      <c r="G183" s="42" t="str">
        <f aca="false">IF($A183="","",$E183-$F183)</f>
        <v/>
      </c>
      <c r="H183" s="41" t="str">
        <f aca="false">IF($A183="","",SUMIFS(业务流水!$W$5:$W$1504,业务流水!$E$5:$E$1504,$B$3,业务流水!$D$5:$D$1504,"销项开票",业务流水!$C$5:$C$1504,$A183,业务流水!$Z$5:$Z$1504,"是"))</f>
        <v/>
      </c>
      <c r="I183" s="41" t="str">
        <f aca="false">IF($A183="","",SUMIFS(业务流水!$H$5:$H$1504,业务流水!$E$5:$E$1504,$B$3,业务流水!$D$5:$D$1504,"已交税",业务流水!$C$5:$C$1504,$A183,业务流水!$Z$5:$Z$1504,"是"))</f>
        <v/>
      </c>
      <c r="J183" s="42" t="str">
        <f aca="false">IF($A183="","",$H183-$I183)</f>
        <v/>
      </c>
      <c r="K183" s="41" t="str">
        <f aca="false">IF($A183="","",SUMIFS(业务流水!$H$5:$H$1504,业务流水!$F$5:$F$1504,$B$3,业务流水!$D$5:$D$1504,"挂靠代收",业务流水!$C$5:$C$1504,$A183,业务流水!$Z$5:$Z$1504,"是"))</f>
        <v/>
      </c>
      <c r="L183" s="42" t="str">
        <f aca="false">IF($A183="","",$C183-$K183)</f>
        <v/>
      </c>
      <c r="M183" s="41" t="str">
        <f aca="false">IF($A183="","",SUMIFS(业务流水!$H$5:$H$1504,业务流水!$E$5:$E$1504,$B$3,业务流水!$D$5:$D$1504,"我方收款",业务流水!$C$5:$C$1504,$A183,业务流水!$Z$5:$Z$1504,"是"))</f>
        <v/>
      </c>
      <c r="N183" s="43" t="str">
        <f aca="false">IF($A183="","",$K183-$M183)</f>
        <v/>
      </c>
      <c r="O183" s="41" t="str">
        <f aca="false">IF($A183="","",SUMIFS(业务流水!$H$5:$H$1504,业务流水!$F$5:$F$1504,$B$3,业务流水!$D$5:$D$1504,"管理费结算",业务流水!$C$5:$C$1504,$A183,业务流水!$Z$5:$Z$1504,"是"))</f>
        <v/>
      </c>
      <c r="P183" s="41" t="str">
        <f aca="false">IF($A183="","",SUMIFS(业务流水!$H$5:$H$1504,业务流水!$E$5:$E$1504,$B$3,业务流水!$D$5:$D$1504,"扣质保金",业务流水!$C$5:$C$1504,$A183,业务流水!$Z$5:$Z$1504,"是"))</f>
        <v/>
      </c>
      <c r="Q183" s="48" t="str">
        <f aca="false">IF($A183="","",IF(SUM($C183:$F183)+SUM($K183:$M183)=0,"无","有"))</f>
        <v/>
      </c>
    </row>
    <row r="184" customFormat="false" ht="15.75" hidden="false" customHeight="true" outlineLevel="0" collapsed="false">
      <c r="A184" s="32" t="str">
        <f aca="false">IF(项目档案!$A184="","",项目档案!$A184)</f>
        <v/>
      </c>
      <c r="B184" s="40" t="str">
        <f aca="false">IF($A184="","",项目档案!$B184)</f>
        <v/>
      </c>
      <c r="C184" s="41" t="str">
        <f aca="false">IF($A184="","",SUMIFS(业务流水!$H$5:$H$1504,业务流水!$E$5:$E$1504,$B$3,业务流水!$D$5:$D$1504,"销项开票",业务流水!$C$5:$C$1504,$A184,业务流水!$Z$5:$Z$1504,"是"))</f>
        <v/>
      </c>
      <c r="D184" s="41" t="str">
        <f aca="false">IF($A184="","",SUMIFS(业务流水!$O$5:$O$1504,业务流水!$E$5:$E$1504,$B$3,业务流水!$D$5:$D$1504,"销项开票",业务流水!$C$5:$C$1504,$A184,业务流水!$Z$5:$Z$1504,"是"))</f>
        <v/>
      </c>
      <c r="E184" s="41" t="str">
        <f aca="false">IF($A184="","",SUMIFS(业务流水!$P$5:$P$1504,业务流水!$E$5:$E$1504,$B$3,业务流水!$D$5:$D$1504,"销项开票",业务流水!$C$5:$C$1504,$A184,业务流水!$Z$5:$Z$1504,"是"))</f>
        <v/>
      </c>
      <c r="F184" s="41" t="str">
        <f aca="false">IF($A184="","",SUMIFS(业务流水!$H$5:$H$1504,业务流水!$F$5:$F$1504,$B$3,业务流水!$D$5:$D$1504,"成本票",业务流水!$C$5:$C$1504,$A184,业务流水!$Z$5:$Z$1504,"是")+SUMIFS(业务流水!$H$5:$H$1504,业务流水!$F$5:$F$1504,$B$3,业务流水!$D$5:$D$1504,"销项开票",业务流水!$C$5:$C$1504,$A184,业务流水!$Z$5:$Z$1504,"是"))</f>
        <v/>
      </c>
      <c r="G184" s="42" t="str">
        <f aca="false">IF($A184="","",$E184-$F184)</f>
        <v/>
      </c>
      <c r="H184" s="41" t="str">
        <f aca="false">IF($A184="","",SUMIFS(业务流水!$W$5:$W$1504,业务流水!$E$5:$E$1504,$B$3,业务流水!$D$5:$D$1504,"销项开票",业务流水!$C$5:$C$1504,$A184,业务流水!$Z$5:$Z$1504,"是"))</f>
        <v/>
      </c>
      <c r="I184" s="41" t="str">
        <f aca="false">IF($A184="","",SUMIFS(业务流水!$H$5:$H$1504,业务流水!$E$5:$E$1504,$B$3,业务流水!$D$5:$D$1504,"已交税",业务流水!$C$5:$C$1504,$A184,业务流水!$Z$5:$Z$1504,"是"))</f>
        <v/>
      </c>
      <c r="J184" s="42" t="str">
        <f aca="false">IF($A184="","",$H184-$I184)</f>
        <v/>
      </c>
      <c r="K184" s="41" t="str">
        <f aca="false">IF($A184="","",SUMIFS(业务流水!$H$5:$H$1504,业务流水!$F$5:$F$1504,$B$3,业务流水!$D$5:$D$1504,"挂靠代收",业务流水!$C$5:$C$1504,$A184,业务流水!$Z$5:$Z$1504,"是"))</f>
        <v/>
      </c>
      <c r="L184" s="42" t="str">
        <f aca="false">IF($A184="","",$C184-$K184)</f>
        <v/>
      </c>
      <c r="M184" s="41" t="str">
        <f aca="false">IF($A184="","",SUMIFS(业务流水!$H$5:$H$1504,业务流水!$E$5:$E$1504,$B$3,业务流水!$D$5:$D$1504,"我方收款",业务流水!$C$5:$C$1504,$A184,业务流水!$Z$5:$Z$1504,"是"))</f>
        <v/>
      </c>
      <c r="N184" s="43" t="str">
        <f aca="false">IF($A184="","",$K184-$M184)</f>
        <v/>
      </c>
      <c r="O184" s="41" t="str">
        <f aca="false">IF($A184="","",SUMIFS(业务流水!$H$5:$H$1504,业务流水!$F$5:$F$1504,$B$3,业务流水!$D$5:$D$1504,"管理费结算",业务流水!$C$5:$C$1504,$A184,业务流水!$Z$5:$Z$1504,"是"))</f>
        <v/>
      </c>
      <c r="P184" s="41" t="str">
        <f aca="false">IF($A184="","",SUMIFS(业务流水!$H$5:$H$1504,业务流水!$E$5:$E$1504,$B$3,业务流水!$D$5:$D$1504,"扣质保金",业务流水!$C$5:$C$1504,$A184,业务流水!$Z$5:$Z$1504,"是"))</f>
        <v/>
      </c>
      <c r="Q184" s="48" t="str">
        <f aca="false">IF($A184="","",IF(SUM($C184:$F184)+SUM($K184:$M184)=0,"无","有"))</f>
        <v/>
      </c>
    </row>
    <row r="185" customFormat="false" ht="15.75" hidden="false" customHeight="true" outlineLevel="0" collapsed="false">
      <c r="A185" s="32" t="str">
        <f aca="false">IF(项目档案!$A185="","",项目档案!$A185)</f>
        <v/>
      </c>
      <c r="B185" s="40" t="str">
        <f aca="false">IF($A185="","",项目档案!$B185)</f>
        <v/>
      </c>
      <c r="C185" s="41" t="str">
        <f aca="false">IF($A185="","",SUMIFS(业务流水!$H$5:$H$1504,业务流水!$E$5:$E$1504,$B$3,业务流水!$D$5:$D$1504,"销项开票",业务流水!$C$5:$C$1504,$A185,业务流水!$Z$5:$Z$1504,"是"))</f>
        <v/>
      </c>
      <c r="D185" s="41" t="str">
        <f aca="false">IF($A185="","",SUMIFS(业务流水!$O$5:$O$1504,业务流水!$E$5:$E$1504,$B$3,业务流水!$D$5:$D$1504,"销项开票",业务流水!$C$5:$C$1504,$A185,业务流水!$Z$5:$Z$1504,"是"))</f>
        <v/>
      </c>
      <c r="E185" s="41" t="str">
        <f aca="false">IF($A185="","",SUMIFS(业务流水!$P$5:$P$1504,业务流水!$E$5:$E$1504,$B$3,业务流水!$D$5:$D$1504,"销项开票",业务流水!$C$5:$C$1504,$A185,业务流水!$Z$5:$Z$1504,"是"))</f>
        <v/>
      </c>
      <c r="F185" s="41" t="str">
        <f aca="false">IF($A185="","",SUMIFS(业务流水!$H$5:$H$1504,业务流水!$F$5:$F$1504,$B$3,业务流水!$D$5:$D$1504,"成本票",业务流水!$C$5:$C$1504,$A185,业务流水!$Z$5:$Z$1504,"是")+SUMIFS(业务流水!$H$5:$H$1504,业务流水!$F$5:$F$1504,$B$3,业务流水!$D$5:$D$1504,"销项开票",业务流水!$C$5:$C$1504,$A185,业务流水!$Z$5:$Z$1504,"是"))</f>
        <v/>
      </c>
      <c r="G185" s="42" t="str">
        <f aca="false">IF($A185="","",$E185-$F185)</f>
        <v/>
      </c>
      <c r="H185" s="41" t="str">
        <f aca="false">IF($A185="","",SUMIFS(业务流水!$W$5:$W$1504,业务流水!$E$5:$E$1504,$B$3,业务流水!$D$5:$D$1504,"销项开票",业务流水!$C$5:$C$1504,$A185,业务流水!$Z$5:$Z$1504,"是"))</f>
        <v/>
      </c>
      <c r="I185" s="41" t="str">
        <f aca="false">IF($A185="","",SUMIFS(业务流水!$H$5:$H$1504,业务流水!$E$5:$E$1504,$B$3,业务流水!$D$5:$D$1504,"已交税",业务流水!$C$5:$C$1504,$A185,业务流水!$Z$5:$Z$1504,"是"))</f>
        <v/>
      </c>
      <c r="J185" s="42" t="str">
        <f aca="false">IF($A185="","",$H185-$I185)</f>
        <v/>
      </c>
      <c r="K185" s="41" t="str">
        <f aca="false">IF($A185="","",SUMIFS(业务流水!$H$5:$H$1504,业务流水!$F$5:$F$1504,$B$3,业务流水!$D$5:$D$1504,"挂靠代收",业务流水!$C$5:$C$1504,$A185,业务流水!$Z$5:$Z$1504,"是"))</f>
        <v/>
      </c>
      <c r="L185" s="42" t="str">
        <f aca="false">IF($A185="","",$C185-$K185)</f>
        <v/>
      </c>
      <c r="M185" s="41" t="str">
        <f aca="false">IF($A185="","",SUMIFS(业务流水!$H$5:$H$1504,业务流水!$E$5:$E$1504,$B$3,业务流水!$D$5:$D$1504,"我方收款",业务流水!$C$5:$C$1504,$A185,业务流水!$Z$5:$Z$1504,"是"))</f>
        <v/>
      </c>
      <c r="N185" s="43" t="str">
        <f aca="false">IF($A185="","",$K185-$M185)</f>
        <v/>
      </c>
      <c r="O185" s="41" t="str">
        <f aca="false">IF($A185="","",SUMIFS(业务流水!$H$5:$H$1504,业务流水!$F$5:$F$1504,$B$3,业务流水!$D$5:$D$1504,"管理费结算",业务流水!$C$5:$C$1504,$A185,业务流水!$Z$5:$Z$1504,"是"))</f>
        <v/>
      </c>
      <c r="P185" s="41" t="str">
        <f aca="false">IF($A185="","",SUMIFS(业务流水!$H$5:$H$1504,业务流水!$E$5:$E$1504,$B$3,业务流水!$D$5:$D$1504,"扣质保金",业务流水!$C$5:$C$1504,$A185,业务流水!$Z$5:$Z$1504,"是"))</f>
        <v/>
      </c>
      <c r="Q185" s="48" t="str">
        <f aca="false">IF($A185="","",IF(SUM($C185:$F185)+SUM($K185:$M185)=0,"无","有"))</f>
        <v/>
      </c>
    </row>
    <row r="186" customFormat="false" ht="15.75" hidden="false" customHeight="true" outlineLevel="0" collapsed="false">
      <c r="A186" s="32" t="str">
        <f aca="false">IF(项目档案!$A186="","",项目档案!$A186)</f>
        <v/>
      </c>
      <c r="B186" s="40" t="str">
        <f aca="false">IF($A186="","",项目档案!$B186)</f>
        <v/>
      </c>
      <c r="C186" s="41" t="str">
        <f aca="false">IF($A186="","",SUMIFS(业务流水!$H$5:$H$1504,业务流水!$E$5:$E$1504,$B$3,业务流水!$D$5:$D$1504,"销项开票",业务流水!$C$5:$C$1504,$A186,业务流水!$Z$5:$Z$1504,"是"))</f>
        <v/>
      </c>
      <c r="D186" s="41" t="str">
        <f aca="false">IF($A186="","",SUMIFS(业务流水!$O$5:$O$1504,业务流水!$E$5:$E$1504,$B$3,业务流水!$D$5:$D$1504,"销项开票",业务流水!$C$5:$C$1504,$A186,业务流水!$Z$5:$Z$1504,"是"))</f>
        <v/>
      </c>
      <c r="E186" s="41" t="str">
        <f aca="false">IF($A186="","",SUMIFS(业务流水!$P$5:$P$1504,业务流水!$E$5:$E$1504,$B$3,业务流水!$D$5:$D$1504,"销项开票",业务流水!$C$5:$C$1504,$A186,业务流水!$Z$5:$Z$1504,"是"))</f>
        <v/>
      </c>
      <c r="F186" s="41" t="str">
        <f aca="false">IF($A186="","",SUMIFS(业务流水!$H$5:$H$1504,业务流水!$F$5:$F$1504,$B$3,业务流水!$D$5:$D$1504,"成本票",业务流水!$C$5:$C$1504,$A186,业务流水!$Z$5:$Z$1504,"是")+SUMIFS(业务流水!$H$5:$H$1504,业务流水!$F$5:$F$1504,$B$3,业务流水!$D$5:$D$1504,"销项开票",业务流水!$C$5:$C$1504,$A186,业务流水!$Z$5:$Z$1504,"是"))</f>
        <v/>
      </c>
      <c r="G186" s="42" t="str">
        <f aca="false">IF($A186="","",$E186-$F186)</f>
        <v/>
      </c>
      <c r="H186" s="41" t="str">
        <f aca="false">IF($A186="","",SUMIFS(业务流水!$W$5:$W$1504,业务流水!$E$5:$E$1504,$B$3,业务流水!$D$5:$D$1504,"销项开票",业务流水!$C$5:$C$1504,$A186,业务流水!$Z$5:$Z$1504,"是"))</f>
        <v/>
      </c>
      <c r="I186" s="41" t="str">
        <f aca="false">IF($A186="","",SUMIFS(业务流水!$H$5:$H$1504,业务流水!$E$5:$E$1504,$B$3,业务流水!$D$5:$D$1504,"已交税",业务流水!$C$5:$C$1504,$A186,业务流水!$Z$5:$Z$1504,"是"))</f>
        <v/>
      </c>
      <c r="J186" s="42" t="str">
        <f aca="false">IF($A186="","",$H186-$I186)</f>
        <v/>
      </c>
      <c r="K186" s="41" t="str">
        <f aca="false">IF($A186="","",SUMIFS(业务流水!$H$5:$H$1504,业务流水!$F$5:$F$1504,$B$3,业务流水!$D$5:$D$1504,"挂靠代收",业务流水!$C$5:$C$1504,$A186,业务流水!$Z$5:$Z$1504,"是"))</f>
        <v/>
      </c>
      <c r="L186" s="42" t="str">
        <f aca="false">IF($A186="","",$C186-$K186)</f>
        <v/>
      </c>
      <c r="M186" s="41" t="str">
        <f aca="false">IF($A186="","",SUMIFS(业务流水!$H$5:$H$1504,业务流水!$E$5:$E$1504,$B$3,业务流水!$D$5:$D$1504,"我方收款",业务流水!$C$5:$C$1504,$A186,业务流水!$Z$5:$Z$1504,"是"))</f>
        <v/>
      </c>
      <c r="N186" s="43" t="str">
        <f aca="false">IF($A186="","",$K186-$M186)</f>
        <v/>
      </c>
      <c r="O186" s="41" t="str">
        <f aca="false">IF($A186="","",SUMIFS(业务流水!$H$5:$H$1504,业务流水!$F$5:$F$1504,$B$3,业务流水!$D$5:$D$1504,"管理费结算",业务流水!$C$5:$C$1504,$A186,业务流水!$Z$5:$Z$1504,"是"))</f>
        <v/>
      </c>
      <c r="P186" s="41" t="str">
        <f aca="false">IF($A186="","",SUMIFS(业务流水!$H$5:$H$1504,业务流水!$E$5:$E$1504,$B$3,业务流水!$D$5:$D$1504,"扣质保金",业务流水!$C$5:$C$1504,$A186,业务流水!$Z$5:$Z$1504,"是"))</f>
        <v/>
      </c>
      <c r="Q186" s="48" t="str">
        <f aca="false">IF($A186="","",IF(SUM($C186:$F186)+SUM($K186:$M186)=0,"无","有"))</f>
        <v/>
      </c>
    </row>
    <row r="187" customFormat="false" ht="15.75" hidden="false" customHeight="true" outlineLevel="0" collapsed="false">
      <c r="A187" s="32" t="str">
        <f aca="false">IF(项目档案!$A187="","",项目档案!$A187)</f>
        <v/>
      </c>
      <c r="B187" s="40" t="str">
        <f aca="false">IF($A187="","",项目档案!$B187)</f>
        <v/>
      </c>
      <c r="C187" s="41" t="str">
        <f aca="false">IF($A187="","",SUMIFS(业务流水!$H$5:$H$1504,业务流水!$E$5:$E$1504,$B$3,业务流水!$D$5:$D$1504,"销项开票",业务流水!$C$5:$C$1504,$A187,业务流水!$Z$5:$Z$1504,"是"))</f>
        <v/>
      </c>
      <c r="D187" s="41" t="str">
        <f aca="false">IF($A187="","",SUMIFS(业务流水!$O$5:$O$1504,业务流水!$E$5:$E$1504,$B$3,业务流水!$D$5:$D$1504,"销项开票",业务流水!$C$5:$C$1504,$A187,业务流水!$Z$5:$Z$1504,"是"))</f>
        <v/>
      </c>
      <c r="E187" s="41" t="str">
        <f aca="false">IF($A187="","",SUMIFS(业务流水!$P$5:$P$1504,业务流水!$E$5:$E$1504,$B$3,业务流水!$D$5:$D$1504,"销项开票",业务流水!$C$5:$C$1504,$A187,业务流水!$Z$5:$Z$1504,"是"))</f>
        <v/>
      </c>
      <c r="F187" s="41" t="str">
        <f aca="false">IF($A187="","",SUMIFS(业务流水!$H$5:$H$1504,业务流水!$F$5:$F$1504,$B$3,业务流水!$D$5:$D$1504,"成本票",业务流水!$C$5:$C$1504,$A187,业务流水!$Z$5:$Z$1504,"是")+SUMIFS(业务流水!$H$5:$H$1504,业务流水!$F$5:$F$1504,$B$3,业务流水!$D$5:$D$1504,"销项开票",业务流水!$C$5:$C$1504,$A187,业务流水!$Z$5:$Z$1504,"是"))</f>
        <v/>
      </c>
      <c r="G187" s="42" t="str">
        <f aca="false">IF($A187="","",$E187-$F187)</f>
        <v/>
      </c>
      <c r="H187" s="41" t="str">
        <f aca="false">IF($A187="","",SUMIFS(业务流水!$W$5:$W$1504,业务流水!$E$5:$E$1504,$B$3,业务流水!$D$5:$D$1504,"销项开票",业务流水!$C$5:$C$1504,$A187,业务流水!$Z$5:$Z$1504,"是"))</f>
        <v/>
      </c>
      <c r="I187" s="41" t="str">
        <f aca="false">IF($A187="","",SUMIFS(业务流水!$H$5:$H$1504,业务流水!$E$5:$E$1504,$B$3,业务流水!$D$5:$D$1504,"已交税",业务流水!$C$5:$C$1504,$A187,业务流水!$Z$5:$Z$1504,"是"))</f>
        <v/>
      </c>
      <c r="J187" s="42" t="str">
        <f aca="false">IF($A187="","",$H187-$I187)</f>
        <v/>
      </c>
      <c r="K187" s="41" t="str">
        <f aca="false">IF($A187="","",SUMIFS(业务流水!$H$5:$H$1504,业务流水!$F$5:$F$1504,$B$3,业务流水!$D$5:$D$1504,"挂靠代收",业务流水!$C$5:$C$1504,$A187,业务流水!$Z$5:$Z$1504,"是"))</f>
        <v/>
      </c>
      <c r="L187" s="42" t="str">
        <f aca="false">IF($A187="","",$C187-$K187)</f>
        <v/>
      </c>
      <c r="M187" s="41" t="str">
        <f aca="false">IF($A187="","",SUMIFS(业务流水!$H$5:$H$1504,业务流水!$E$5:$E$1504,$B$3,业务流水!$D$5:$D$1504,"我方收款",业务流水!$C$5:$C$1504,$A187,业务流水!$Z$5:$Z$1504,"是"))</f>
        <v/>
      </c>
      <c r="N187" s="43" t="str">
        <f aca="false">IF($A187="","",$K187-$M187)</f>
        <v/>
      </c>
      <c r="O187" s="41" t="str">
        <f aca="false">IF($A187="","",SUMIFS(业务流水!$H$5:$H$1504,业务流水!$F$5:$F$1504,$B$3,业务流水!$D$5:$D$1504,"管理费结算",业务流水!$C$5:$C$1504,$A187,业务流水!$Z$5:$Z$1504,"是"))</f>
        <v/>
      </c>
      <c r="P187" s="41" t="str">
        <f aca="false">IF($A187="","",SUMIFS(业务流水!$H$5:$H$1504,业务流水!$E$5:$E$1504,$B$3,业务流水!$D$5:$D$1504,"扣质保金",业务流水!$C$5:$C$1504,$A187,业务流水!$Z$5:$Z$1504,"是"))</f>
        <v/>
      </c>
      <c r="Q187" s="48" t="str">
        <f aca="false">IF($A187="","",IF(SUM($C187:$F187)+SUM($K187:$M187)=0,"无","有"))</f>
        <v/>
      </c>
    </row>
    <row r="188" customFormat="false" ht="15.75" hidden="false" customHeight="true" outlineLevel="0" collapsed="false">
      <c r="A188" s="32" t="str">
        <f aca="false">IF(项目档案!$A188="","",项目档案!$A188)</f>
        <v/>
      </c>
      <c r="B188" s="40" t="str">
        <f aca="false">IF($A188="","",项目档案!$B188)</f>
        <v/>
      </c>
      <c r="C188" s="41" t="str">
        <f aca="false">IF($A188="","",SUMIFS(业务流水!$H$5:$H$1504,业务流水!$E$5:$E$1504,$B$3,业务流水!$D$5:$D$1504,"销项开票",业务流水!$C$5:$C$1504,$A188,业务流水!$Z$5:$Z$1504,"是"))</f>
        <v/>
      </c>
      <c r="D188" s="41" t="str">
        <f aca="false">IF($A188="","",SUMIFS(业务流水!$O$5:$O$1504,业务流水!$E$5:$E$1504,$B$3,业务流水!$D$5:$D$1504,"销项开票",业务流水!$C$5:$C$1504,$A188,业务流水!$Z$5:$Z$1504,"是"))</f>
        <v/>
      </c>
      <c r="E188" s="41" t="str">
        <f aca="false">IF($A188="","",SUMIFS(业务流水!$P$5:$P$1504,业务流水!$E$5:$E$1504,$B$3,业务流水!$D$5:$D$1504,"销项开票",业务流水!$C$5:$C$1504,$A188,业务流水!$Z$5:$Z$1504,"是"))</f>
        <v/>
      </c>
      <c r="F188" s="41" t="str">
        <f aca="false">IF($A188="","",SUMIFS(业务流水!$H$5:$H$1504,业务流水!$F$5:$F$1504,$B$3,业务流水!$D$5:$D$1504,"成本票",业务流水!$C$5:$C$1504,$A188,业务流水!$Z$5:$Z$1504,"是")+SUMIFS(业务流水!$H$5:$H$1504,业务流水!$F$5:$F$1504,$B$3,业务流水!$D$5:$D$1504,"销项开票",业务流水!$C$5:$C$1504,$A188,业务流水!$Z$5:$Z$1504,"是"))</f>
        <v/>
      </c>
      <c r="G188" s="42" t="str">
        <f aca="false">IF($A188="","",$E188-$F188)</f>
        <v/>
      </c>
      <c r="H188" s="41" t="str">
        <f aca="false">IF($A188="","",SUMIFS(业务流水!$W$5:$W$1504,业务流水!$E$5:$E$1504,$B$3,业务流水!$D$5:$D$1504,"销项开票",业务流水!$C$5:$C$1504,$A188,业务流水!$Z$5:$Z$1504,"是"))</f>
        <v/>
      </c>
      <c r="I188" s="41" t="str">
        <f aca="false">IF($A188="","",SUMIFS(业务流水!$H$5:$H$1504,业务流水!$E$5:$E$1504,$B$3,业务流水!$D$5:$D$1504,"已交税",业务流水!$C$5:$C$1504,$A188,业务流水!$Z$5:$Z$1504,"是"))</f>
        <v/>
      </c>
      <c r="J188" s="42" t="str">
        <f aca="false">IF($A188="","",$H188-$I188)</f>
        <v/>
      </c>
      <c r="K188" s="41" t="str">
        <f aca="false">IF($A188="","",SUMIFS(业务流水!$H$5:$H$1504,业务流水!$F$5:$F$1504,$B$3,业务流水!$D$5:$D$1504,"挂靠代收",业务流水!$C$5:$C$1504,$A188,业务流水!$Z$5:$Z$1504,"是"))</f>
        <v/>
      </c>
      <c r="L188" s="42" t="str">
        <f aca="false">IF($A188="","",$C188-$K188)</f>
        <v/>
      </c>
      <c r="M188" s="41" t="str">
        <f aca="false">IF($A188="","",SUMIFS(业务流水!$H$5:$H$1504,业务流水!$E$5:$E$1504,$B$3,业务流水!$D$5:$D$1504,"我方收款",业务流水!$C$5:$C$1504,$A188,业务流水!$Z$5:$Z$1504,"是"))</f>
        <v/>
      </c>
      <c r="N188" s="43" t="str">
        <f aca="false">IF($A188="","",$K188-$M188)</f>
        <v/>
      </c>
      <c r="O188" s="41" t="str">
        <f aca="false">IF($A188="","",SUMIFS(业务流水!$H$5:$H$1504,业务流水!$F$5:$F$1504,$B$3,业务流水!$D$5:$D$1504,"管理费结算",业务流水!$C$5:$C$1504,$A188,业务流水!$Z$5:$Z$1504,"是"))</f>
        <v/>
      </c>
      <c r="P188" s="41" t="str">
        <f aca="false">IF($A188="","",SUMIFS(业务流水!$H$5:$H$1504,业务流水!$E$5:$E$1504,$B$3,业务流水!$D$5:$D$1504,"扣质保金",业务流水!$C$5:$C$1504,$A188,业务流水!$Z$5:$Z$1504,"是"))</f>
        <v/>
      </c>
      <c r="Q188" s="48" t="str">
        <f aca="false">IF($A188="","",IF(SUM($C188:$F188)+SUM($K188:$M188)=0,"无","有"))</f>
        <v/>
      </c>
    </row>
    <row r="189" customFormat="false" ht="15.75" hidden="false" customHeight="true" outlineLevel="0" collapsed="false">
      <c r="A189" s="32" t="str">
        <f aca="false">IF(项目档案!$A189="","",项目档案!$A189)</f>
        <v/>
      </c>
      <c r="B189" s="40" t="str">
        <f aca="false">IF($A189="","",项目档案!$B189)</f>
        <v/>
      </c>
      <c r="C189" s="41" t="str">
        <f aca="false">IF($A189="","",SUMIFS(业务流水!$H$5:$H$1504,业务流水!$E$5:$E$1504,$B$3,业务流水!$D$5:$D$1504,"销项开票",业务流水!$C$5:$C$1504,$A189,业务流水!$Z$5:$Z$1504,"是"))</f>
        <v/>
      </c>
      <c r="D189" s="41" t="str">
        <f aca="false">IF($A189="","",SUMIFS(业务流水!$O$5:$O$1504,业务流水!$E$5:$E$1504,$B$3,业务流水!$D$5:$D$1504,"销项开票",业务流水!$C$5:$C$1504,$A189,业务流水!$Z$5:$Z$1504,"是"))</f>
        <v/>
      </c>
      <c r="E189" s="41" t="str">
        <f aca="false">IF($A189="","",SUMIFS(业务流水!$P$5:$P$1504,业务流水!$E$5:$E$1504,$B$3,业务流水!$D$5:$D$1504,"销项开票",业务流水!$C$5:$C$1504,$A189,业务流水!$Z$5:$Z$1504,"是"))</f>
        <v/>
      </c>
      <c r="F189" s="41" t="str">
        <f aca="false">IF($A189="","",SUMIFS(业务流水!$H$5:$H$1504,业务流水!$F$5:$F$1504,$B$3,业务流水!$D$5:$D$1504,"成本票",业务流水!$C$5:$C$1504,$A189,业务流水!$Z$5:$Z$1504,"是")+SUMIFS(业务流水!$H$5:$H$1504,业务流水!$F$5:$F$1504,$B$3,业务流水!$D$5:$D$1504,"销项开票",业务流水!$C$5:$C$1504,$A189,业务流水!$Z$5:$Z$1504,"是"))</f>
        <v/>
      </c>
      <c r="G189" s="42" t="str">
        <f aca="false">IF($A189="","",$E189-$F189)</f>
        <v/>
      </c>
      <c r="H189" s="41" t="str">
        <f aca="false">IF($A189="","",SUMIFS(业务流水!$W$5:$W$1504,业务流水!$E$5:$E$1504,$B$3,业务流水!$D$5:$D$1504,"销项开票",业务流水!$C$5:$C$1504,$A189,业务流水!$Z$5:$Z$1504,"是"))</f>
        <v/>
      </c>
      <c r="I189" s="41" t="str">
        <f aca="false">IF($A189="","",SUMIFS(业务流水!$H$5:$H$1504,业务流水!$E$5:$E$1504,$B$3,业务流水!$D$5:$D$1504,"已交税",业务流水!$C$5:$C$1504,$A189,业务流水!$Z$5:$Z$1504,"是"))</f>
        <v/>
      </c>
      <c r="J189" s="42" t="str">
        <f aca="false">IF($A189="","",$H189-$I189)</f>
        <v/>
      </c>
      <c r="K189" s="41" t="str">
        <f aca="false">IF($A189="","",SUMIFS(业务流水!$H$5:$H$1504,业务流水!$F$5:$F$1504,$B$3,业务流水!$D$5:$D$1504,"挂靠代收",业务流水!$C$5:$C$1504,$A189,业务流水!$Z$5:$Z$1504,"是"))</f>
        <v/>
      </c>
      <c r="L189" s="42" t="str">
        <f aca="false">IF($A189="","",$C189-$K189)</f>
        <v/>
      </c>
      <c r="M189" s="41" t="str">
        <f aca="false">IF($A189="","",SUMIFS(业务流水!$H$5:$H$1504,业务流水!$E$5:$E$1504,$B$3,业务流水!$D$5:$D$1504,"我方收款",业务流水!$C$5:$C$1504,$A189,业务流水!$Z$5:$Z$1504,"是"))</f>
        <v/>
      </c>
      <c r="N189" s="43" t="str">
        <f aca="false">IF($A189="","",$K189-$M189)</f>
        <v/>
      </c>
      <c r="O189" s="41" t="str">
        <f aca="false">IF($A189="","",SUMIFS(业务流水!$H$5:$H$1504,业务流水!$F$5:$F$1504,$B$3,业务流水!$D$5:$D$1504,"管理费结算",业务流水!$C$5:$C$1504,$A189,业务流水!$Z$5:$Z$1504,"是"))</f>
        <v/>
      </c>
      <c r="P189" s="41" t="str">
        <f aca="false">IF($A189="","",SUMIFS(业务流水!$H$5:$H$1504,业务流水!$E$5:$E$1504,$B$3,业务流水!$D$5:$D$1504,"扣质保金",业务流水!$C$5:$C$1504,$A189,业务流水!$Z$5:$Z$1504,"是"))</f>
        <v/>
      </c>
      <c r="Q189" s="48" t="str">
        <f aca="false">IF($A189="","",IF(SUM($C189:$F189)+SUM($K189:$M189)=0,"无","有"))</f>
        <v/>
      </c>
    </row>
    <row r="190" customFormat="false" ht="15.75" hidden="false" customHeight="true" outlineLevel="0" collapsed="false">
      <c r="A190" s="32" t="str">
        <f aca="false">IF(项目档案!$A190="","",项目档案!$A190)</f>
        <v/>
      </c>
      <c r="B190" s="40" t="str">
        <f aca="false">IF($A190="","",项目档案!$B190)</f>
        <v/>
      </c>
      <c r="C190" s="41" t="str">
        <f aca="false">IF($A190="","",SUMIFS(业务流水!$H$5:$H$1504,业务流水!$E$5:$E$1504,$B$3,业务流水!$D$5:$D$1504,"销项开票",业务流水!$C$5:$C$1504,$A190,业务流水!$Z$5:$Z$1504,"是"))</f>
        <v/>
      </c>
      <c r="D190" s="41" t="str">
        <f aca="false">IF($A190="","",SUMIFS(业务流水!$O$5:$O$1504,业务流水!$E$5:$E$1504,$B$3,业务流水!$D$5:$D$1504,"销项开票",业务流水!$C$5:$C$1504,$A190,业务流水!$Z$5:$Z$1504,"是"))</f>
        <v/>
      </c>
      <c r="E190" s="41" t="str">
        <f aca="false">IF($A190="","",SUMIFS(业务流水!$P$5:$P$1504,业务流水!$E$5:$E$1504,$B$3,业务流水!$D$5:$D$1504,"销项开票",业务流水!$C$5:$C$1504,$A190,业务流水!$Z$5:$Z$1504,"是"))</f>
        <v/>
      </c>
      <c r="F190" s="41" t="str">
        <f aca="false">IF($A190="","",SUMIFS(业务流水!$H$5:$H$1504,业务流水!$F$5:$F$1504,$B$3,业务流水!$D$5:$D$1504,"成本票",业务流水!$C$5:$C$1504,$A190,业务流水!$Z$5:$Z$1504,"是")+SUMIFS(业务流水!$H$5:$H$1504,业务流水!$F$5:$F$1504,$B$3,业务流水!$D$5:$D$1504,"销项开票",业务流水!$C$5:$C$1504,$A190,业务流水!$Z$5:$Z$1504,"是"))</f>
        <v/>
      </c>
      <c r="G190" s="42" t="str">
        <f aca="false">IF($A190="","",$E190-$F190)</f>
        <v/>
      </c>
      <c r="H190" s="41" t="str">
        <f aca="false">IF($A190="","",SUMIFS(业务流水!$W$5:$W$1504,业务流水!$E$5:$E$1504,$B$3,业务流水!$D$5:$D$1504,"销项开票",业务流水!$C$5:$C$1504,$A190,业务流水!$Z$5:$Z$1504,"是"))</f>
        <v/>
      </c>
      <c r="I190" s="41" t="str">
        <f aca="false">IF($A190="","",SUMIFS(业务流水!$H$5:$H$1504,业务流水!$E$5:$E$1504,$B$3,业务流水!$D$5:$D$1504,"已交税",业务流水!$C$5:$C$1504,$A190,业务流水!$Z$5:$Z$1504,"是"))</f>
        <v/>
      </c>
      <c r="J190" s="42" t="str">
        <f aca="false">IF($A190="","",$H190-$I190)</f>
        <v/>
      </c>
      <c r="K190" s="41" t="str">
        <f aca="false">IF($A190="","",SUMIFS(业务流水!$H$5:$H$1504,业务流水!$F$5:$F$1504,$B$3,业务流水!$D$5:$D$1504,"挂靠代收",业务流水!$C$5:$C$1504,$A190,业务流水!$Z$5:$Z$1504,"是"))</f>
        <v/>
      </c>
      <c r="L190" s="42" t="str">
        <f aca="false">IF($A190="","",$C190-$K190)</f>
        <v/>
      </c>
      <c r="M190" s="41" t="str">
        <f aca="false">IF($A190="","",SUMIFS(业务流水!$H$5:$H$1504,业务流水!$E$5:$E$1504,$B$3,业务流水!$D$5:$D$1504,"我方收款",业务流水!$C$5:$C$1504,$A190,业务流水!$Z$5:$Z$1504,"是"))</f>
        <v/>
      </c>
      <c r="N190" s="43" t="str">
        <f aca="false">IF($A190="","",$K190-$M190)</f>
        <v/>
      </c>
      <c r="O190" s="41" t="str">
        <f aca="false">IF($A190="","",SUMIFS(业务流水!$H$5:$H$1504,业务流水!$F$5:$F$1504,$B$3,业务流水!$D$5:$D$1504,"管理费结算",业务流水!$C$5:$C$1504,$A190,业务流水!$Z$5:$Z$1504,"是"))</f>
        <v/>
      </c>
      <c r="P190" s="41" t="str">
        <f aca="false">IF($A190="","",SUMIFS(业务流水!$H$5:$H$1504,业务流水!$E$5:$E$1504,$B$3,业务流水!$D$5:$D$1504,"扣质保金",业务流水!$C$5:$C$1504,$A190,业务流水!$Z$5:$Z$1504,"是"))</f>
        <v/>
      </c>
      <c r="Q190" s="48" t="str">
        <f aca="false">IF($A190="","",IF(SUM($C190:$F190)+SUM($K190:$M190)=0,"无","有"))</f>
        <v/>
      </c>
    </row>
    <row r="191" customFormat="false" ht="15.75" hidden="false" customHeight="true" outlineLevel="0" collapsed="false">
      <c r="A191" s="32" t="str">
        <f aca="false">IF(项目档案!$A191="","",项目档案!$A191)</f>
        <v/>
      </c>
      <c r="B191" s="40" t="str">
        <f aca="false">IF($A191="","",项目档案!$B191)</f>
        <v/>
      </c>
      <c r="C191" s="41" t="str">
        <f aca="false">IF($A191="","",SUMIFS(业务流水!$H$5:$H$1504,业务流水!$E$5:$E$1504,$B$3,业务流水!$D$5:$D$1504,"销项开票",业务流水!$C$5:$C$1504,$A191,业务流水!$Z$5:$Z$1504,"是"))</f>
        <v/>
      </c>
      <c r="D191" s="41" t="str">
        <f aca="false">IF($A191="","",SUMIFS(业务流水!$O$5:$O$1504,业务流水!$E$5:$E$1504,$B$3,业务流水!$D$5:$D$1504,"销项开票",业务流水!$C$5:$C$1504,$A191,业务流水!$Z$5:$Z$1504,"是"))</f>
        <v/>
      </c>
      <c r="E191" s="41" t="str">
        <f aca="false">IF($A191="","",SUMIFS(业务流水!$P$5:$P$1504,业务流水!$E$5:$E$1504,$B$3,业务流水!$D$5:$D$1504,"销项开票",业务流水!$C$5:$C$1504,$A191,业务流水!$Z$5:$Z$1504,"是"))</f>
        <v/>
      </c>
      <c r="F191" s="41" t="str">
        <f aca="false">IF($A191="","",SUMIFS(业务流水!$H$5:$H$1504,业务流水!$F$5:$F$1504,$B$3,业务流水!$D$5:$D$1504,"成本票",业务流水!$C$5:$C$1504,$A191,业务流水!$Z$5:$Z$1504,"是")+SUMIFS(业务流水!$H$5:$H$1504,业务流水!$F$5:$F$1504,$B$3,业务流水!$D$5:$D$1504,"销项开票",业务流水!$C$5:$C$1504,$A191,业务流水!$Z$5:$Z$1504,"是"))</f>
        <v/>
      </c>
      <c r="G191" s="42" t="str">
        <f aca="false">IF($A191="","",$E191-$F191)</f>
        <v/>
      </c>
      <c r="H191" s="41" t="str">
        <f aca="false">IF($A191="","",SUMIFS(业务流水!$W$5:$W$1504,业务流水!$E$5:$E$1504,$B$3,业务流水!$D$5:$D$1504,"销项开票",业务流水!$C$5:$C$1504,$A191,业务流水!$Z$5:$Z$1504,"是"))</f>
        <v/>
      </c>
      <c r="I191" s="41" t="str">
        <f aca="false">IF($A191="","",SUMIFS(业务流水!$H$5:$H$1504,业务流水!$E$5:$E$1504,$B$3,业务流水!$D$5:$D$1504,"已交税",业务流水!$C$5:$C$1504,$A191,业务流水!$Z$5:$Z$1504,"是"))</f>
        <v/>
      </c>
      <c r="J191" s="42" t="str">
        <f aca="false">IF($A191="","",$H191-$I191)</f>
        <v/>
      </c>
      <c r="K191" s="41" t="str">
        <f aca="false">IF($A191="","",SUMIFS(业务流水!$H$5:$H$1504,业务流水!$F$5:$F$1504,$B$3,业务流水!$D$5:$D$1504,"挂靠代收",业务流水!$C$5:$C$1504,$A191,业务流水!$Z$5:$Z$1504,"是"))</f>
        <v/>
      </c>
      <c r="L191" s="42" t="str">
        <f aca="false">IF($A191="","",$C191-$K191)</f>
        <v/>
      </c>
      <c r="M191" s="41" t="str">
        <f aca="false">IF($A191="","",SUMIFS(业务流水!$H$5:$H$1504,业务流水!$E$5:$E$1504,$B$3,业务流水!$D$5:$D$1504,"我方收款",业务流水!$C$5:$C$1504,$A191,业务流水!$Z$5:$Z$1504,"是"))</f>
        <v/>
      </c>
      <c r="N191" s="43" t="str">
        <f aca="false">IF($A191="","",$K191-$M191)</f>
        <v/>
      </c>
      <c r="O191" s="41" t="str">
        <f aca="false">IF($A191="","",SUMIFS(业务流水!$H$5:$H$1504,业务流水!$F$5:$F$1504,$B$3,业务流水!$D$5:$D$1504,"管理费结算",业务流水!$C$5:$C$1504,$A191,业务流水!$Z$5:$Z$1504,"是"))</f>
        <v/>
      </c>
      <c r="P191" s="41" t="str">
        <f aca="false">IF($A191="","",SUMIFS(业务流水!$H$5:$H$1504,业务流水!$E$5:$E$1504,$B$3,业务流水!$D$5:$D$1504,"扣质保金",业务流水!$C$5:$C$1504,$A191,业务流水!$Z$5:$Z$1504,"是"))</f>
        <v/>
      </c>
      <c r="Q191" s="48" t="str">
        <f aca="false">IF($A191="","",IF(SUM($C191:$F191)+SUM($K191:$M191)=0,"无","有"))</f>
        <v/>
      </c>
    </row>
    <row r="192" customFormat="false" ht="15.75" hidden="false" customHeight="true" outlineLevel="0" collapsed="false">
      <c r="A192" s="32" t="str">
        <f aca="false">IF(项目档案!$A192="","",项目档案!$A192)</f>
        <v/>
      </c>
      <c r="B192" s="40" t="str">
        <f aca="false">IF($A192="","",项目档案!$B192)</f>
        <v/>
      </c>
      <c r="C192" s="41" t="str">
        <f aca="false">IF($A192="","",SUMIFS(业务流水!$H$5:$H$1504,业务流水!$E$5:$E$1504,$B$3,业务流水!$D$5:$D$1504,"销项开票",业务流水!$C$5:$C$1504,$A192,业务流水!$Z$5:$Z$1504,"是"))</f>
        <v/>
      </c>
      <c r="D192" s="41" t="str">
        <f aca="false">IF($A192="","",SUMIFS(业务流水!$O$5:$O$1504,业务流水!$E$5:$E$1504,$B$3,业务流水!$D$5:$D$1504,"销项开票",业务流水!$C$5:$C$1504,$A192,业务流水!$Z$5:$Z$1504,"是"))</f>
        <v/>
      </c>
      <c r="E192" s="41" t="str">
        <f aca="false">IF($A192="","",SUMIFS(业务流水!$P$5:$P$1504,业务流水!$E$5:$E$1504,$B$3,业务流水!$D$5:$D$1504,"销项开票",业务流水!$C$5:$C$1504,$A192,业务流水!$Z$5:$Z$1504,"是"))</f>
        <v/>
      </c>
      <c r="F192" s="41" t="str">
        <f aca="false">IF($A192="","",SUMIFS(业务流水!$H$5:$H$1504,业务流水!$F$5:$F$1504,$B$3,业务流水!$D$5:$D$1504,"成本票",业务流水!$C$5:$C$1504,$A192,业务流水!$Z$5:$Z$1504,"是")+SUMIFS(业务流水!$H$5:$H$1504,业务流水!$F$5:$F$1504,$B$3,业务流水!$D$5:$D$1504,"销项开票",业务流水!$C$5:$C$1504,$A192,业务流水!$Z$5:$Z$1504,"是"))</f>
        <v/>
      </c>
      <c r="G192" s="42" t="str">
        <f aca="false">IF($A192="","",$E192-$F192)</f>
        <v/>
      </c>
      <c r="H192" s="41" t="str">
        <f aca="false">IF($A192="","",SUMIFS(业务流水!$W$5:$W$1504,业务流水!$E$5:$E$1504,$B$3,业务流水!$D$5:$D$1504,"销项开票",业务流水!$C$5:$C$1504,$A192,业务流水!$Z$5:$Z$1504,"是"))</f>
        <v/>
      </c>
      <c r="I192" s="41" t="str">
        <f aca="false">IF($A192="","",SUMIFS(业务流水!$H$5:$H$1504,业务流水!$E$5:$E$1504,$B$3,业务流水!$D$5:$D$1504,"已交税",业务流水!$C$5:$C$1504,$A192,业务流水!$Z$5:$Z$1504,"是"))</f>
        <v/>
      </c>
      <c r="J192" s="42" t="str">
        <f aca="false">IF($A192="","",$H192-$I192)</f>
        <v/>
      </c>
      <c r="K192" s="41" t="str">
        <f aca="false">IF($A192="","",SUMIFS(业务流水!$H$5:$H$1504,业务流水!$F$5:$F$1504,$B$3,业务流水!$D$5:$D$1504,"挂靠代收",业务流水!$C$5:$C$1504,$A192,业务流水!$Z$5:$Z$1504,"是"))</f>
        <v/>
      </c>
      <c r="L192" s="42" t="str">
        <f aca="false">IF($A192="","",$C192-$K192)</f>
        <v/>
      </c>
      <c r="M192" s="41" t="str">
        <f aca="false">IF($A192="","",SUMIFS(业务流水!$H$5:$H$1504,业务流水!$E$5:$E$1504,$B$3,业务流水!$D$5:$D$1504,"我方收款",业务流水!$C$5:$C$1504,$A192,业务流水!$Z$5:$Z$1504,"是"))</f>
        <v/>
      </c>
      <c r="N192" s="43" t="str">
        <f aca="false">IF($A192="","",$K192-$M192)</f>
        <v/>
      </c>
      <c r="O192" s="41" t="str">
        <f aca="false">IF($A192="","",SUMIFS(业务流水!$H$5:$H$1504,业务流水!$F$5:$F$1504,$B$3,业务流水!$D$5:$D$1504,"管理费结算",业务流水!$C$5:$C$1504,$A192,业务流水!$Z$5:$Z$1504,"是"))</f>
        <v/>
      </c>
      <c r="P192" s="41" t="str">
        <f aca="false">IF($A192="","",SUMIFS(业务流水!$H$5:$H$1504,业务流水!$E$5:$E$1504,$B$3,业务流水!$D$5:$D$1504,"扣质保金",业务流水!$C$5:$C$1504,$A192,业务流水!$Z$5:$Z$1504,"是"))</f>
        <v/>
      </c>
      <c r="Q192" s="48" t="str">
        <f aca="false">IF($A192="","",IF(SUM($C192:$F192)+SUM($K192:$M192)=0,"无","有"))</f>
        <v/>
      </c>
    </row>
    <row r="193" customFormat="false" ht="15.75" hidden="false" customHeight="true" outlineLevel="0" collapsed="false">
      <c r="A193" s="32" t="str">
        <f aca="false">IF(项目档案!$A193="","",项目档案!$A193)</f>
        <v/>
      </c>
      <c r="B193" s="40" t="str">
        <f aca="false">IF($A193="","",项目档案!$B193)</f>
        <v/>
      </c>
      <c r="C193" s="41" t="str">
        <f aca="false">IF($A193="","",SUMIFS(业务流水!$H$5:$H$1504,业务流水!$E$5:$E$1504,$B$3,业务流水!$D$5:$D$1504,"销项开票",业务流水!$C$5:$C$1504,$A193,业务流水!$Z$5:$Z$1504,"是"))</f>
        <v/>
      </c>
      <c r="D193" s="41" t="str">
        <f aca="false">IF($A193="","",SUMIFS(业务流水!$O$5:$O$1504,业务流水!$E$5:$E$1504,$B$3,业务流水!$D$5:$D$1504,"销项开票",业务流水!$C$5:$C$1504,$A193,业务流水!$Z$5:$Z$1504,"是"))</f>
        <v/>
      </c>
      <c r="E193" s="41" t="str">
        <f aca="false">IF($A193="","",SUMIFS(业务流水!$P$5:$P$1504,业务流水!$E$5:$E$1504,$B$3,业务流水!$D$5:$D$1504,"销项开票",业务流水!$C$5:$C$1504,$A193,业务流水!$Z$5:$Z$1504,"是"))</f>
        <v/>
      </c>
      <c r="F193" s="41" t="str">
        <f aca="false">IF($A193="","",SUMIFS(业务流水!$H$5:$H$1504,业务流水!$F$5:$F$1504,$B$3,业务流水!$D$5:$D$1504,"成本票",业务流水!$C$5:$C$1504,$A193,业务流水!$Z$5:$Z$1504,"是")+SUMIFS(业务流水!$H$5:$H$1504,业务流水!$F$5:$F$1504,$B$3,业务流水!$D$5:$D$1504,"销项开票",业务流水!$C$5:$C$1504,$A193,业务流水!$Z$5:$Z$1504,"是"))</f>
        <v/>
      </c>
      <c r="G193" s="42" t="str">
        <f aca="false">IF($A193="","",$E193-$F193)</f>
        <v/>
      </c>
      <c r="H193" s="41" t="str">
        <f aca="false">IF($A193="","",SUMIFS(业务流水!$W$5:$W$1504,业务流水!$E$5:$E$1504,$B$3,业务流水!$D$5:$D$1504,"销项开票",业务流水!$C$5:$C$1504,$A193,业务流水!$Z$5:$Z$1504,"是"))</f>
        <v/>
      </c>
      <c r="I193" s="41" t="str">
        <f aca="false">IF($A193="","",SUMIFS(业务流水!$H$5:$H$1504,业务流水!$E$5:$E$1504,$B$3,业务流水!$D$5:$D$1504,"已交税",业务流水!$C$5:$C$1504,$A193,业务流水!$Z$5:$Z$1504,"是"))</f>
        <v/>
      </c>
      <c r="J193" s="42" t="str">
        <f aca="false">IF($A193="","",$H193-$I193)</f>
        <v/>
      </c>
      <c r="K193" s="41" t="str">
        <f aca="false">IF($A193="","",SUMIFS(业务流水!$H$5:$H$1504,业务流水!$F$5:$F$1504,$B$3,业务流水!$D$5:$D$1504,"挂靠代收",业务流水!$C$5:$C$1504,$A193,业务流水!$Z$5:$Z$1504,"是"))</f>
        <v/>
      </c>
      <c r="L193" s="42" t="str">
        <f aca="false">IF($A193="","",$C193-$K193)</f>
        <v/>
      </c>
      <c r="M193" s="41" t="str">
        <f aca="false">IF($A193="","",SUMIFS(业务流水!$H$5:$H$1504,业务流水!$E$5:$E$1504,$B$3,业务流水!$D$5:$D$1504,"我方收款",业务流水!$C$5:$C$1504,$A193,业务流水!$Z$5:$Z$1504,"是"))</f>
        <v/>
      </c>
      <c r="N193" s="43" t="str">
        <f aca="false">IF($A193="","",$K193-$M193)</f>
        <v/>
      </c>
      <c r="O193" s="41" t="str">
        <f aca="false">IF($A193="","",SUMIFS(业务流水!$H$5:$H$1504,业务流水!$F$5:$F$1504,$B$3,业务流水!$D$5:$D$1504,"管理费结算",业务流水!$C$5:$C$1504,$A193,业务流水!$Z$5:$Z$1504,"是"))</f>
        <v/>
      </c>
      <c r="P193" s="41" t="str">
        <f aca="false">IF($A193="","",SUMIFS(业务流水!$H$5:$H$1504,业务流水!$E$5:$E$1504,$B$3,业务流水!$D$5:$D$1504,"扣质保金",业务流水!$C$5:$C$1504,$A193,业务流水!$Z$5:$Z$1504,"是"))</f>
        <v/>
      </c>
      <c r="Q193" s="48" t="str">
        <f aca="false">IF($A193="","",IF(SUM($C193:$F193)+SUM($K193:$M193)=0,"无","有"))</f>
        <v/>
      </c>
    </row>
    <row r="194" customFormat="false" ht="15.75" hidden="false" customHeight="true" outlineLevel="0" collapsed="false">
      <c r="A194" s="32" t="str">
        <f aca="false">IF(项目档案!$A194="","",项目档案!$A194)</f>
        <v/>
      </c>
      <c r="B194" s="40" t="str">
        <f aca="false">IF($A194="","",项目档案!$B194)</f>
        <v/>
      </c>
      <c r="C194" s="41" t="str">
        <f aca="false">IF($A194="","",SUMIFS(业务流水!$H$5:$H$1504,业务流水!$E$5:$E$1504,$B$3,业务流水!$D$5:$D$1504,"销项开票",业务流水!$C$5:$C$1504,$A194,业务流水!$Z$5:$Z$1504,"是"))</f>
        <v/>
      </c>
      <c r="D194" s="41" t="str">
        <f aca="false">IF($A194="","",SUMIFS(业务流水!$O$5:$O$1504,业务流水!$E$5:$E$1504,$B$3,业务流水!$D$5:$D$1504,"销项开票",业务流水!$C$5:$C$1504,$A194,业务流水!$Z$5:$Z$1504,"是"))</f>
        <v/>
      </c>
      <c r="E194" s="41" t="str">
        <f aca="false">IF($A194="","",SUMIFS(业务流水!$P$5:$P$1504,业务流水!$E$5:$E$1504,$B$3,业务流水!$D$5:$D$1504,"销项开票",业务流水!$C$5:$C$1504,$A194,业务流水!$Z$5:$Z$1504,"是"))</f>
        <v/>
      </c>
      <c r="F194" s="41" t="str">
        <f aca="false">IF($A194="","",SUMIFS(业务流水!$H$5:$H$1504,业务流水!$F$5:$F$1504,$B$3,业务流水!$D$5:$D$1504,"成本票",业务流水!$C$5:$C$1504,$A194,业务流水!$Z$5:$Z$1504,"是")+SUMIFS(业务流水!$H$5:$H$1504,业务流水!$F$5:$F$1504,$B$3,业务流水!$D$5:$D$1504,"销项开票",业务流水!$C$5:$C$1504,$A194,业务流水!$Z$5:$Z$1504,"是"))</f>
        <v/>
      </c>
      <c r="G194" s="42" t="str">
        <f aca="false">IF($A194="","",$E194-$F194)</f>
        <v/>
      </c>
      <c r="H194" s="41" t="str">
        <f aca="false">IF($A194="","",SUMIFS(业务流水!$W$5:$W$1504,业务流水!$E$5:$E$1504,$B$3,业务流水!$D$5:$D$1504,"销项开票",业务流水!$C$5:$C$1504,$A194,业务流水!$Z$5:$Z$1504,"是"))</f>
        <v/>
      </c>
      <c r="I194" s="41" t="str">
        <f aca="false">IF($A194="","",SUMIFS(业务流水!$H$5:$H$1504,业务流水!$E$5:$E$1504,$B$3,业务流水!$D$5:$D$1504,"已交税",业务流水!$C$5:$C$1504,$A194,业务流水!$Z$5:$Z$1504,"是"))</f>
        <v/>
      </c>
      <c r="J194" s="42" t="str">
        <f aca="false">IF($A194="","",$H194-$I194)</f>
        <v/>
      </c>
      <c r="K194" s="41" t="str">
        <f aca="false">IF($A194="","",SUMIFS(业务流水!$H$5:$H$1504,业务流水!$F$5:$F$1504,$B$3,业务流水!$D$5:$D$1504,"挂靠代收",业务流水!$C$5:$C$1504,$A194,业务流水!$Z$5:$Z$1504,"是"))</f>
        <v/>
      </c>
      <c r="L194" s="42" t="str">
        <f aca="false">IF($A194="","",$C194-$K194)</f>
        <v/>
      </c>
      <c r="M194" s="41" t="str">
        <f aca="false">IF($A194="","",SUMIFS(业务流水!$H$5:$H$1504,业务流水!$E$5:$E$1504,$B$3,业务流水!$D$5:$D$1504,"我方收款",业务流水!$C$5:$C$1504,$A194,业务流水!$Z$5:$Z$1504,"是"))</f>
        <v/>
      </c>
      <c r="N194" s="43" t="str">
        <f aca="false">IF($A194="","",$K194-$M194)</f>
        <v/>
      </c>
      <c r="O194" s="41" t="str">
        <f aca="false">IF($A194="","",SUMIFS(业务流水!$H$5:$H$1504,业务流水!$F$5:$F$1504,$B$3,业务流水!$D$5:$D$1504,"管理费结算",业务流水!$C$5:$C$1504,$A194,业务流水!$Z$5:$Z$1504,"是"))</f>
        <v/>
      </c>
      <c r="P194" s="41" t="str">
        <f aca="false">IF($A194="","",SUMIFS(业务流水!$H$5:$H$1504,业务流水!$E$5:$E$1504,$B$3,业务流水!$D$5:$D$1504,"扣质保金",业务流水!$C$5:$C$1504,$A194,业务流水!$Z$5:$Z$1504,"是"))</f>
        <v/>
      </c>
      <c r="Q194" s="48" t="str">
        <f aca="false">IF($A194="","",IF(SUM($C194:$F194)+SUM($K194:$M194)=0,"无","有"))</f>
        <v/>
      </c>
    </row>
    <row r="195" customFormat="false" ht="15.75" hidden="false" customHeight="true" outlineLevel="0" collapsed="false">
      <c r="A195" s="32" t="str">
        <f aca="false">IF(项目档案!$A195="","",项目档案!$A195)</f>
        <v/>
      </c>
      <c r="B195" s="40" t="str">
        <f aca="false">IF($A195="","",项目档案!$B195)</f>
        <v/>
      </c>
      <c r="C195" s="41" t="str">
        <f aca="false">IF($A195="","",SUMIFS(业务流水!$H$5:$H$1504,业务流水!$E$5:$E$1504,$B$3,业务流水!$D$5:$D$1504,"销项开票",业务流水!$C$5:$C$1504,$A195,业务流水!$Z$5:$Z$1504,"是"))</f>
        <v/>
      </c>
      <c r="D195" s="41" t="str">
        <f aca="false">IF($A195="","",SUMIFS(业务流水!$O$5:$O$1504,业务流水!$E$5:$E$1504,$B$3,业务流水!$D$5:$D$1504,"销项开票",业务流水!$C$5:$C$1504,$A195,业务流水!$Z$5:$Z$1504,"是"))</f>
        <v/>
      </c>
      <c r="E195" s="41" t="str">
        <f aca="false">IF($A195="","",SUMIFS(业务流水!$P$5:$P$1504,业务流水!$E$5:$E$1504,$B$3,业务流水!$D$5:$D$1504,"销项开票",业务流水!$C$5:$C$1504,$A195,业务流水!$Z$5:$Z$1504,"是"))</f>
        <v/>
      </c>
      <c r="F195" s="41" t="str">
        <f aca="false">IF($A195="","",SUMIFS(业务流水!$H$5:$H$1504,业务流水!$F$5:$F$1504,$B$3,业务流水!$D$5:$D$1504,"成本票",业务流水!$C$5:$C$1504,$A195,业务流水!$Z$5:$Z$1504,"是")+SUMIFS(业务流水!$H$5:$H$1504,业务流水!$F$5:$F$1504,$B$3,业务流水!$D$5:$D$1504,"销项开票",业务流水!$C$5:$C$1504,$A195,业务流水!$Z$5:$Z$1504,"是"))</f>
        <v/>
      </c>
      <c r="G195" s="42" t="str">
        <f aca="false">IF($A195="","",$E195-$F195)</f>
        <v/>
      </c>
      <c r="H195" s="41" t="str">
        <f aca="false">IF($A195="","",SUMIFS(业务流水!$W$5:$W$1504,业务流水!$E$5:$E$1504,$B$3,业务流水!$D$5:$D$1504,"销项开票",业务流水!$C$5:$C$1504,$A195,业务流水!$Z$5:$Z$1504,"是"))</f>
        <v/>
      </c>
      <c r="I195" s="41" t="str">
        <f aca="false">IF($A195="","",SUMIFS(业务流水!$H$5:$H$1504,业务流水!$E$5:$E$1504,$B$3,业务流水!$D$5:$D$1504,"已交税",业务流水!$C$5:$C$1504,$A195,业务流水!$Z$5:$Z$1504,"是"))</f>
        <v/>
      </c>
      <c r="J195" s="42" t="str">
        <f aca="false">IF($A195="","",$H195-$I195)</f>
        <v/>
      </c>
      <c r="K195" s="41" t="str">
        <f aca="false">IF($A195="","",SUMIFS(业务流水!$H$5:$H$1504,业务流水!$F$5:$F$1504,$B$3,业务流水!$D$5:$D$1504,"挂靠代收",业务流水!$C$5:$C$1504,$A195,业务流水!$Z$5:$Z$1504,"是"))</f>
        <v/>
      </c>
      <c r="L195" s="42" t="str">
        <f aca="false">IF($A195="","",$C195-$K195)</f>
        <v/>
      </c>
      <c r="M195" s="41" t="str">
        <f aca="false">IF($A195="","",SUMIFS(业务流水!$H$5:$H$1504,业务流水!$E$5:$E$1504,$B$3,业务流水!$D$5:$D$1504,"我方收款",业务流水!$C$5:$C$1504,$A195,业务流水!$Z$5:$Z$1504,"是"))</f>
        <v/>
      </c>
      <c r="N195" s="43" t="str">
        <f aca="false">IF($A195="","",$K195-$M195)</f>
        <v/>
      </c>
      <c r="O195" s="41" t="str">
        <f aca="false">IF($A195="","",SUMIFS(业务流水!$H$5:$H$1504,业务流水!$F$5:$F$1504,$B$3,业务流水!$D$5:$D$1504,"管理费结算",业务流水!$C$5:$C$1504,$A195,业务流水!$Z$5:$Z$1504,"是"))</f>
        <v/>
      </c>
      <c r="P195" s="41" t="str">
        <f aca="false">IF($A195="","",SUMIFS(业务流水!$H$5:$H$1504,业务流水!$E$5:$E$1504,$B$3,业务流水!$D$5:$D$1504,"扣质保金",业务流水!$C$5:$C$1504,$A195,业务流水!$Z$5:$Z$1504,"是"))</f>
        <v/>
      </c>
      <c r="Q195" s="48" t="str">
        <f aca="false">IF($A195="","",IF(SUM($C195:$F195)+SUM($K195:$M195)=0,"无","有"))</f>
        <v/>
      </c>
    </row>
    <row r="196" customFormat="false" ht="15.75" hidden="false" customHeight="true" outlineLevel="0" collapsed="false">
      <c r="A196" s="32" t="str">
        <f aca="false">IF(项目档案!$A196="","",项目档案!$A196)</f>
        <v/>
      </c>
      <c r="B196" s="40" t="str">
        <f aca="false">IF($A196="","",项目档案!$B196)</f>
        <v/>
      </c>
      <c r="C196" s="41" t="str">
        <f aca="false">IF($A196="","",SUMIFS(业务流水!$H$5:$H$1504,业务流水!$E$5:$E$1504,$B$3,业务流水!$D$5:$D$1504,"销项开票",业务流水!$C$5:$C$1504,$A196,业务流水!$Z$5:$Z$1504,"是"))</f>
        <v/>
      </c>
      <c r="D196" s="41" t="str">
        <f aca="false">IF($A196="","",SUMIFS(业务流水!$O$5:$O$1504,业务流水!$E$5:$E$1504,$B$3,业务流水!$D$5:$D$1504,"销项开票",业务流水!$C$5:$C$1504,$A196,业务流水!$Z$5:$Z$1504,"是"))</f>
        <v/>
      </c>
      <c r="E196" s="41" t="str">
        <f aca="false">IF($A196="","",SUMIFS(业务流水!$P$5:$P$1504,业务流水!$E$5:$E$1504,$B$3,业务流水!$D$5:$D$1504,"销项开票",业务流水!$C$5:$C$1504,$A196,业务流水!$Z$5:$Z$1504,"是"))</f>
        <v/>
      </c>
      <c r="F196" s="41" t="str">
        <f aca="false">IF($A196="","",SUMIFS(业务流水!$H$5:$H$1504,业务流水!$F$5:$F$1504,$B$3,业务流水!$D$5:$D$1504,"成本票",业务流水!$C$5:$C$1504,$A196,业务流水!$Z$5:$Z$1504,"是")+SUMIFS(业务流水!$H$5:$H$1504,业务流水!$F$5:$F$1504,$B$3,业务流水!$D$5:$D$1504,"销项开票",业务流水!$C$5:$C$1504,$A196,业务流水!$Z$5:$Z$1504,"是"))</f>
        <v/>
      </c>
      <c r="G196" s="42" t="str">
        <f aca="false">IF($A196="","",$E196-$F196)</f>
        <v/>
      </c>
      <c r="H196" s="41" t="str">
        <f aca="false">IF($A196="","",SUMIFS(业务流水!$W$5:$W$1504,业务流水!$E$5:$E$1504,$B$3,业务流水!$D$5:$D$1504,"销项开票",业务流水!$C$5:$C$1504,$A196,业务流水!$Z$5:$Z$1504,"是"))</f>
        <v/>
      </c>
      <c r="I196" s="41" t="str">
        <f aca="false">IF($A196="","",SUMIFS(业务流水!$H$5:$H$1504,业务流水!$E$5:$E$1504,$B$3,业务流水!$D$5:$D$1504,"已交税",业务流水!$C$5:$C$1504,$A196,业务流水!$Z$5:$Z$1504,"是"))</f>
        <v/>
      </c>
      <c r="J196" s="42" t="str">
        <f aca="false">IF($A196="","",$H196-$I196)</f>
        <v/>
      </c>
      <c r="K196" s="41" t="str">
        <f aca="false">IF($A196="","",SUMIFS(业务流水!$H$5:$H$1504,业务流水!$F$5:$F$1504,$B$3,业务流水!$D$5:$D$1504,"挂靠代收",业务流水!$C$5:$C$1504,$A196,业务流水!$Z$5:$Z$1504,"是"))</f>
        <v/>
      </c>
      <c r="L196" s="42" t="str">
        <f aca="false">IF($A196="","",$C196-$K196)</f>
        <v/>
      </c>
      <c r="M196" s="41" t="str">
        <f aca="false">IF($A196="","",SUMIFS(业务流水!$H$5:$H$1504,业务流水!$E$5:$E$1504,$B$3,业务流水!$D$5:$D$1504,"我方收款",业务流水!$C$5:$C$1504,$A196,业务流水!$Z$5:$Z$1504,"是"))</f>
        <v/>
      </c>
      <c r="N196" s="43" t="str">
        <f aca="false">IF($A196="","",$K196-$M196)</f>
        <v/>
      </c>
      <c r="O196" s="41" t="str">
        <f aca="false">IF($A196="","",SUMIFS(业务流水!$H$5:$H$1504,业务流水!$F$5:$F$1504,$B$3,业务流水!$D$5:$D$1504,"管理费结算",业务流水!$C$5:$C$1504,$A196,业务流水!$Z$5:$Z$1504,"是"))</f>
        <v/>
      </c>
      <c r="P196" s="41" t="str">
        <f aca="false">IF($A196="","",SUMIFS(业务流水!$H$5:$H$1504,业务流水!$E$5:$E$1504,$B$3,业务流水!$D$5:$D$1504,"扣质保金",业务流水!$C$5:$C$1504,$A196,业务流水!$Z$5:$Z$1504,"是"))</f>
        <v/>
      </c>
      <c r="Q196" s="48" t="str">
        <f aca="false">IF($A196="","",IF(SUM($C196:$F196)+SUM($K196:$M196)=0,"无","有"))</f>
        <v/>
      </c>
    </row>
    <row r="197" customFormat="false" ht="15.75" hidden="false" customHeight="true" outlineLevel="0" collapsed="false">
      <c r="A197" s="32" t="str">
        <f aca="false">IF(项目档案!$A197="","",项目档案!$A197)</f>
        <v/>
      </c>
      <c r="B197" s="40" t="str">
        <f aca="false">IF($A197="","",项目档案!$B197)</f>
        <v/>
      </c>
      <c r="C197" s="41" t="str">
        <f aca="false">IF($A197="","",SUMIFS(业务流水!$H$5:$H$1504,业务流水!$E$5:$E$1504,$B$3,业务流水!$D$5:$D$1504,"销项开票",业务流水!$C$5:$C$1504,$A197,业务流水!$Z$5:$Z$1504,"是"))</f>
        <v/>
      </c>
      <c r="D197" s="41" t="str">
        <f aca="false">IF($A197="","",SUMIFS(业务流水!$O$5:$O$1504,业务流水!$E$5:$E$1504,$B$3,业务流水!$D$5:$D$1504,"销项开票",业务流水!$C$5:$C$1504,$A197,业务流水!$Z$5:$Z$1504,"是"))</f>
        <v/>
      </c>
      <c r="E197" s="41" t="str">
        <f aca="false">IF($A197="","",SUMIFS(业务流水!$P$5:$P$1504,业务流水!$E$5:$E$1504,$B$3,业务流水!$D$5:$D$1504,"销项开票",业务流水!$C$5:$C$1504,$A197,业务流水!$Z$5:$Z$1504,"是"))</f>
        <v/>
      </c>
      <c r="F197" s="41" t="str">
        <f aca="false">IF($A197="","",SUMIFS(业务流水!$H$5:$H$1504,业务流水!$F$5:$F$1504,$B$3,业务流水!$D$5:$D$1504,"成本票",业务流水!$C$5:$C$1504,$A197,业务流水!$Z$5:$Z$1504,"是")+SUMIFS(业务流水!$H$5:$H$1504,业务流水!$F$5:$F$1504,$B$3,业务流水!$D$5:$D$1504,"销项开票",业务流水!$C$5:$C$1504,$A197,业务流水!$Z$5:$Z$1504,"是"))</f>
        <v/>
      </c>
      <c r="G197" s="42" t="str">
        <f aca="false">IF($A197="","",$E197-$F197)</f>
        <v/>
      </c>
      <c r="H197" s="41" t="str">
        <f aca="false">IF($A197="","",SUMIFS(业务流水!$W$5:$W$1504,业务流水!$E$5:$E$1504,$B$3,业务流水!$D$5:$D$1504,"销项开票",业务流水!$C$5:$C$1504,$A197,业务流水!$Z$5:$Z$1504,"是"))</f>
        <v/>
      </c>
      <c r="I197" s="41" t="str">
        <f aca="false">IF($A197="","",SUMIFS(业务流水!$H$5:$H$1504,业务流水!$E$5:$E$1504,$B$3,业务流水!$D$5:$D$1504,"已交税",业务流水!$C$5:$C$1504,$A197,业务流水!$Z$5:$Z$1504,"是"))</f>
        <v/>
      </c>
      <c r="J197" s="42" t="str">
        <f aca="false">IF($A197="","",$H197-$I197)</f>
        <v/>
      </c>
      <c r="K197" s="41" t="str">
        <f aca="false">IF($A197="","",SUMIFS(业务流水!$H$5:$H$1504,业务流水!$F$5:$F$1504,$B$3,业务流水!$D$5:$D$1504,"挂靠代收",业务流水!$C$5:$C$1504,$A197,业务流水!$Z$5:$Z$1504,"是"))</f>
        <v/>
      </c>
      <c r="L197" s="42" t="str">
        <f aca="false">IF($A197="","",$C197-$K197)</f>
        <v/>
      </c>
      <c r="M197" s="41" t="str">
        <f aca="false">IF($A197="","",SUMIFS(业务流水!$H$5:$H$1504,业务流水!$E$5:$E$1504,$B$3,业务流水!$D$5:$D$1504,"我方收款",业务流水!$C$5:$C$1504,$A197,业务流水!$Z$5:$Z$1504,"是"))</f>
        <v/>
      </c>
      <c r="N197" s="43" t="str">
        <f aca="false">IF($A197="","",$K197-$M197)</f>
        <v/>
      </c>
      <c r="O197" s="41" t="str">
        <f aca="false">IF($A197="","",SUMIFS(业务流水!$H$5:$H$1504,业务流水!$F$5:$F$1504,$B$3,业务流水!$D$5:$D$1504,"管理费结算",业务流水!$C$5:$C$1504,$A197,业务流水!$Z$5:$Z$1504,"是"))</f>
        <v/>
      </c>
      <c r="P197" s="41" t="str">
        <f aca="false">IF($A197="","",SUMIFS(业务流水!$H$5:$H$1504,业务流水!$E$5:$E$1504,$B$3,业务流水!$D$5:$D$1504,"扣质保金",业务流水!$C$5:$C$1504,$A197,业务流水!$Z$5:$Z$1504,"是"))</f>
        <v/>
      </c>
      <c r="Q197" s="48" t="str">
        <f aca="false">IF($A197="","",IF(SUM($C197:$F197)+SUM($K197:$M197)=0,"无","有"))</f>
        <v/>
      </c>
    </row>
    <row r="198" customFormat="false" ht="15.75" hidden="false" customHeight="true" outlineLevel="0" collapsed="false">
      <c r="A198" s="32" t="str">
        <f aca="false">IF(项目档案!$A198="","",项目档案!$A198)</f>
        <v/>
      </c>
      <c r="B198" s="40" t="str">
        <f aca="false">IF($A198="","",项目档案!$B198)</f>
        <v/>
      </c>
      <c r="C198" s="41" t="str">
        <f aca="false">IF($A198="","",SUMIFS(业务流水!$H$5:$H$1504,业务流水!$E$5:$E$1504,$B$3,业务流水!$D$5:$D$1504,"销项开票",业务流水!$C$5:$C$1504,$A198,业务流水!$Z$5:$Z$1504,"是"))</f>
        <v/>
      </c>
      <c r="D198" s="41" t="str">
        <f aca="false">IF($A198="","",SUMIFS(业务流水!$O$5:$O$1504,业务流水!$E$5:$E$1504,$B$3,业务流水!$D$5:$D$1504,"销项开票",业务流水!$C$5:$C$1504,$A198,业务流水!$Z$5:$Z$1504,"是"))</f>
        <v/>
      </c>
      <c r="E198" s="41" t="str">
        <f aca="false">IF($A198="","",SUMIFS(业务流水!$P$5:$P$1504,业务流水!$E$5:$E$1504,$B$3,业务流水!$D$5:$D$1504,"销项开票",业务流水!$C$5:$C$1504,$A198,业务流水!$Z$5:$Z$1504,"是"))</f>
        <v/>
      </c>
      <c r="F198" s="41" t="str">
        <f aca="false">IF($A198="","",SUMIFS(业务流水!$H$5:$H$1504,业务流水!$F$5:$F$1504,$B$3,业务流水!$D$5:$D$1504,"成本票",业务流水!$C$5:$C$1504,$A198,业务流水!$Z$5:$Z$1504,"是")+SUMIFS(业务流水!$H$5:$H$1504,业务流水!$F$5:$F$1504,$B$3,业务流水!$D$5:$D$1504,"销项开票",业务流水!$C$5:$C$1504,$A198,业务流水!$Z$5:$Z$1504,"是"))</f>
        <v/>
      </c>
      <c r="G198" s="42" t="str">
        <f aca="false">IF($A198="","",$E198-$F198)</f>
        <v/>
      </c>
      <c r="H198" s="41" t="str">
        <f aca="false">IF($A198="","",SUMIFS(业务流水!$W$5:$W$1504,业务流水!$E$5:$E$1504,$B$3,业务流水!$D$5:$D$1504,"销项开票",业务流水!$C$5:$C$1504,$A198,业务流水!$Z$5:$Z$1504,"是"))</f>
        <v/>
      </c>
      <c r="I198" s="41" t="str">
        <f aca="false">IF($A198="","",SUMIFS(业务流水!$H$5:$H$1504,业务流水!$E$5:$E$1504,$B$3,业务流水!$D$5:$D$1504,"已交税",业务流水!$C$5:$C$1504,$A198,业务流水!$Z$5:$Z$1504,"是"))</f>
        <v/>
      </c>
      <c r="J198" s="42" t="str">
        <f aca="false">IF($A198="","",$H198-$I198)</f>
        <v/>
      </c>
      <c r="K198" s="41" t="str">
        <f aca="false">IF($A198="","",SUMIFS(业务流水!$H$5:$H$1504,业务流水!$F$5:$F$1504,$B$3,业务流水!$D$5:$D$1504,"挂靠代收",业务流水!$C$5:$C$1504,$A198,业务流水!$Z$5:$Z$1504,"是"))</f>
        <v/>
      </c>
      <c r="L198" s="42" t="str">
        <f aca="false">IF($A198="","",$C198-$K198)</f>
        <v/>
      </c>
      <c r="M198" s="41" t="str">
        <f aca="false">IF($A198="","",SUMIFS(业务流水!$H$5:$H$1504,业务流水!$E$5:$E$1504,$B$3,业务流水!$D$5:$D$1504,"我方收款",业务流水!$C$5:$C$1504,$A198,业务流水!$Z$5:$Z$1504,"是"))</f>
        <v/>
      </c>
      <c r="N198" s="43" t="str">
        <f aca="false">IF($A198="","",$K198-$M198)</f>
        <v/>
      </c>
      <c r="O198" s="41" t="str">
        <f aca="false">IF($A198="","",SUMIFS(业务流水!$H$5:$H$1504,业务流水!$F$5:$F$1504,$B$3,业务流水!$D$5:$D$1504,"管理费结算",业务流水!$C$5:$C$1504,$A198,业务流水!$Z$5:$Z$1504,"是"))</f>
        <v/>
      </c>
      <c r="P198" s="41" t="str">
        <f aca="false">IF($A198="","",SUMIFS(业务流水!$H$5:$H$1504,业务流水!$E$5:$E$1504,$B$3,业务流水!$D$5:$D$1504,"扣质保金",业务流水!$C$5:$C$1504,$A198,业务流水!$Z$5:$Z$1504,"是"))</f>
        <v/>
      </c>
      <c r="Q198" s="48" t="str">
        <f aca="false">IF($A198="","",IF(SUM($C198:$F198)+SUM($K198:$M198)=0,"无","有"))</f>
        <v/>
      </c>
    </row>
    <row r="199" customFormat="false" ht="15.75" hidden="false" customHeight="true" outlineLevel="0" collapsed="false">
      <c r="A199" s="32" t="str">
        <f aca="false">IF(项目档案!$A199="","",项目档案!$A199)</f>
        <v/>
      </c>
      <c r="B199" s="40" t="str">
        <f aca="false">IF($A199="","",项目档案!$B199)</f>
        <v/>
      </c>
      <c r="C199" s="41" t="str">
        <f aca="false">IF($A199="","",SUMIFS(业务流水!$H$5:$H$1504,业务流水!$E$5:$E$1504,$B$3,业务流水!$D$5:$D$1504,"销项开票",业务流水!$C$5:$C$1504,$A199,业务流水!$Z$5:$Z$1504,"是"))</f>
        <v/>
      </c>
      <c r="D199" s="41" t="str">
        <f aca="false">IF($A199="","",SUMIFS(业务流水!$O$5:$O$1504,业务流水!$E$5:$E$1504,$B$3,业务流水!$D$5:$D$1504,"销项开票",业务流水!$C$5:$C$1504,$A199,业务流水!$Z$5:$Z$1504,"是"))</f>
        <v/>
      </c>
      <c r="E199" s="41" t="str">
        <f aca="false">IF($A199="","",SUMIFS(业务流水!$P$5:$P$1504,业务流水!$E$5:$E$1504,$B$3,业务流水!$D$5:$D$1504,"销项开票",业务流水!$C$5:$C$1504,$A199,业务流水!$Z$5:$Z$1504,"是"))</f>
        <v/>
      </c>
      <c r="F199" s="41" t="str">
        <f aca="false">IF($A199="","",SUMIFS(业务流水!$H$5:$H$1504,业务流水!$F$5:$F$1504,$B$3,业务流水!$D$5:$D$1504,"成本票",业务流水!$C$5:$C$1504,$A199,业务流水!$Z$5:$Z$1504,"是")+SUMIFS(业务流水!$H$5:$H$1504,业务流水!$F$5:$F$1504,$B$3,业务流水!$D$5:$D$1504,"销项开票",业务流水!$C$5:$C$1504,$A199,业务流水!$Z$5:$Z$1504,"是"))</f>
        <v/>
      </c>
      <c r="G199" s="42" t="str">
        <f aca="false">IF($A199="","",$E199-$F199)</f>
        <v/>
      </c>
      <c r="H199" s="41" t="str">
        <f aca="false">IF($A199="","",SUMIFS(业务流水!$W$5:$W$1504,业务流水!$E$5:$E$1504,$B$3,业务流水!$D$5:$D$1504,"销项开票",业务流水!$C$5:$C$1504,$A199,业务流水!$Z$5:$Z$1504,"是"))</f>
        <v/>
      </c>
      <c r="I199" s="41" t="str">
        <f aca="false">IF($A199="","",SUMIFS(业务流水!$H$5:$H$1504,业务流水!$E$5:$E$1504,$B$3,业务流水!$D$5:$D$1504,"已交税",业务流水!$C$5:$C$1504,$A199,业务流水!$Z$5:$Z$1504,"是"))</f>
        <v/>
      </c>
      <c r="J199" s="42" t="str">
        <f aca="false">IF($A199="","",$H199-$I199)</f>
        <v/>
      </c>
      <c r="K199" s="41" t="str">
        <f aca="false">IF($A199="","",SUMIFS(业务流水!$H$5:$H$1504,业务流水!$F$5:$F$1504,$B$3,业务流水!$D$5:$D$1504,"挂靠代收",业务流水!$C$5:$C$1504,$A199,业务流水!$Z$5:$Z$1504,"是"))</f>
        <v/>
      </c>
      <c r="L199" s="42" t="str">
        <f aca="false">IF($A199="","",$C199-$K199)</f>
        <v/>
      </c>
      <c r="M199" s="41" t="str">
        <f aca="false">IF($A199="","",SUMIFS(业务流水!$H$5:$H$1504,业务流水!$E$5:$E$1504,$B$3,业务流水!$D$5:$D$1504,"我方收款",业务流水!$C$5:$C$1504,$A199,业务流水!$Z$5:$Z$1504,"是"))</f>
        <v/>
      </c>
      <c r="N199" s="43" t="str">
        <f aca="false">IF($A199="","",$K199-$M199)</f>
        <v/>
      </c>
      <c r="O199" s="41" t="str">
        <f aca="false">IF($A199="","",SUMIFS(业务流水!$H$5:$H$1504,业务流水!$F$5:$F$1504,$B$3,业务流水!$D$5:$D$1504,"管理费结算",业务流水!$C$5:$C$1504,$A199,业务流水!$Z$5:$Z$1504,"是"))</f>
        <v/>
      </c>
      <c r="P199" s="41" t="str">
        <f aca="false">IF($A199="","",SUMIFS(业务流水!$H$5:$H$1504,业务流水!$E$5:$E$1504,$B$3,业务流水!$D$5:$D$1504,"扣质保金",业务流水!$C$5:$C$1504,$A199,业务流水!$Z$5:$Z$1504,"是"))</f>
        <v/>
      </c>
      <c r="Q199" s="48" t="str">
        <f aca="false">IF($A199="","",IF(SUM($C199:$F199)+SUM($K199:$M199)=0,"无","有"))</f>
        <v/>
      </c>
    </row>
    <row r="200" customFormat="false" ht="15.75" hidden="false" customHeight="true" outlineLevel="0" collapsed="false">
      <c r="A200" s="32" t="str">
        <f aca="false">IF(项目档案!$A200="","",项目档案!$A200)</f>
        <v/>
      </c>
      <c r="B200" s="40" t="str">
        <f aca="false">IF($A200="","",项目档案!$B200)</f>
        <v/>
      </c>
      <c r="C200" s="41" t="str">
        <f aca="false">IF($A200="","",SUMIFS(业务流水!$H$5:$H$1504,业务流水!$E$5:$E$1504,$B$3,业务流水!$D$5:$D$1504,"销项开票",业务流水!$C$5:$C$1504,$A200,业务流水!$Z$5:$Z$1504,"是"))</f>
        <v/>
      </c>
      <c r="D200" s="41" t="str">
        <f aca="false">IF($A200="","",SUMIFS(业务流水!$O$5:$O$1504,业务流水!$E$5:$E$1504,$B$3,业务流水!$D$5:$D$1504,"销项开票",业务流水!$C$5:$C$1504,$A200,业务流水!$Z$5:$Z$1504,"是"))</f>
        <v/>
      </c>
      <c r="E200" s="41" t="str">
        <f aca="false">IF($A200="","",SUMIFS(业务流水!$P$5:$P$1504,业务流水!$E$5:$E$1504,$B$3,业务流水!$D$5:$D$1504,"销项开票",业务流水!$C$5:$C$1504,$A200,业务流水!$Z$5:$Z$1504,"是"))</f>
        <v/>
      </c>
      <c r="F200" s="41" t="str">
        <f aca="false">IF($A200="","",SUMIFS(业务流水!$H$5:$H$1504,业务流水!$F$5:$F$1504,$B$3,业务流水!$D$5:$D$1504,"成本票",业务流水!$C$5:$C$1504,$A200,业务流水!$Z$5:$Z$1504,"是")+SUMIFS(业务流水!$H$5:$H$1504,业务流水!$F$5:$F$1504,$B$3,业务流水!$D$5:$D$1504,"销项开票",业务流水!$C$5:$C$1504,$A200,业务流水!$Z$5:$Z$1504,"是"))</f>
        <v/>
      </c>
      <c r="G200" s="42" t="str">
        <f aca="false">IF($A200="","",$E200-$F200)</f>
        <v/>
      </c>
      <c r="H200" s="41" t="str">
        <f aca="false">IF($A200="","",SUMIFS(业务流水!$W$5:$W$1504,业务流水!$E$5:$E$1504,$B$3,业务流水!$D$5:$D$1504,"销项开票",业务流水!$C$5:$C$1504,$A200,业务流水!$Z$5:$Z$1504,"是"))</f>
        <v/>
      </c>
      <c r="I200" s="41" t="str">
        <f aca="false">IF($A200="","",SUMIFS(业务流水!$H$5:$H$1504,业务流水!$E$5:$E$1504,$B$3,业务流水!$D$5:$D$1504,"已交税",业务流水!$C$5:$C$1504,$A200,业务流水!$Z$5:$Z$1504,"是"))</f>
        <v/>
      </c>
      <c r="J200" s="42" t="str">
        <f aca="false">IF($A200="","",$H200-$I200)</f>
        <v/>
      </c>
      <c r="K200" s="41" t="str">
        <f aca="false">IF($A200="","",SUMIFS(业务流水!$H$5:$H$1504,业务流水!$F$5:$F$1504,$B$3,业务流水!$D$5:$D$1504,"挂靠代收",业务流水!$C$5:$C$1504,$A200,业务流水!$Z$5:$Z$1504,"是"))</f>
        <v/>
      </c>
      <c r="L200" s="42" t="str">
        <f aca="false">IF($A200="","",$C200-$K200)</f>
        <v/>
      </c>
      <c r="M200" s="41" t="str">
        <f aca="false">IF($A200="","",SUMIFS(业务流水!$H$5:$H$1504,业务流水!$E$5:$E$1504,$B$3,业务流水!$D$5:$D$1504,"我方收款",业务流水!$C$5:$C$1504,$A200,业务流水!$Z$5:$Z$1504,"是"))</f>
        <v/>
      </c>
      <c r="N200" s="43" t="str">
        <f aca="false">IF($A200="","",$K200-$M200)</f>
        <v/>
      </c>
      <c r="O200" s="41" t="str">
        <f aca="false">IF($A200="","",SUMIFS(业务流水!$H$5:$H$1504,业务流水!$F$5:$F$1504,$B$3,业务流水!$D$5:$D$1504,"管理费结算",业务流水!$C$5:$C$1504,$A200,业务流水!$Z$5:$Z$1504,"是"))</f>
        <v/>
      </c>
      <c r="P200" s="41" t="str">
        <f aca="false">IF($A200="","",SUMIFS(业务流水!$H$5:$H$1504,业务流水!$E$5:$E$1504,$B$3,业务流水!$D$5:$D$1504,"扣质保金",业务流水!$C$5:$C$1504,$A200,业务流水!$Z$5:$Z$1504,"是"))</f>
        <v/>
      </c>
      <c r="Q200" s="48" t="str">
        <f aca="false">IF($A200="","",IF(SUM($C200:$F200)+SUM($K200:$M200)=0,"无","有"))</f>
        <v/>
      </c>
    </row>
    <row r="201" customFormat="false" ht="15.75" hidden="false" customHeight="true" outlineLevel="0" collapsed="false">
      <c r="A201" s="32" t="str">
        <f aca="false">IF(项目档案!$A201="","",项目档案!$A201)</f>
        <v/>
      </c>
      <c r="B201" s="40" t="str">
        <f aca="false">IF($A201="","",项目档案!$B201)</f>
        <v/>
      </c>
      <c r="C201" s="41" t="str">
        <f aca="false">IF($A201="","",SUMIFS(业务流水!$H$5:$H$1504,业务流水!$E$5:$E$1504,$B$3,业务流水!$D$5:$D$1504,"销项开票",业务流水!$C$5:$C$1504,$A201,业务流水!$Z$5:$Z$1504,"是"))</f>
        <v/>
      </c>
      <c r="D201" s="41" t="str">
        <f aca="false">IF($A201="","",SUMIFS(业务流水!$O$5:$O$1504,业务流水!$E$5:$E$1504,$B$3,业务流水!$D$5:$D$1504,"销项开票",业务流水!$C$5:$C$1504,$A201,业务流水!$Z$5:$Z$1504,"是"))</f>
        <v/>
      </c>
      <c r="E201" s="41" t="str">
        <f aca="false">IF($A201="","",SUMIFS(业务流水!$P$5:$P$1504,业务流水!$E$5:$E$1504,$B$3,业务流水!$D$5:$D$1504,"销项开票",业务流水!$C$5:$C$1504,$A201,业务流水!$Z$5:$Z$1504,"是"))</f>
        <v/>
      </c>
      <c r="F201" s="41" t="str">
        <f aca="false">IF($A201="","",SUMIFS(业务流水!$H$5:$H$1504,业务流水!$F$5:$F$1504,$B$3,业务流水!$D$5:$D$1504,"成本票",业务流水!$C$5:$C$1504,$A201,业务流水!$Z$5:$Z$1504,"是")+SUMIFS(业务流水!$H$5:$H$1504,业务流水!$F$5:$F$1504,$B$3,业务流水!$D$5:$D$1504,"销项开票",业务流水!$C$5:$C$1504,$A201,业务流水!$Z$5:$Z$1504,"是"))</f>
        <v/>
      </c>
      <c r="G201" s="42" t="str">
        <f aca="false">IF($A201="","",$E201-$F201)</f>
        <v/>
      </c>
      <c r="H201" s="41" t="str">
        <f aca="false">IF($A201="","",SUMIFS(业务流水!$W$5:$W$1504,业务流水!$E$5:$E$1504,$B$3,业务流水!$D$5:$D$1504,"销项开票",业务流水!$C$5:$C$1504,$A201,业务流水!$Z$5:$Z$1504,"是"))</f>
        <v/>
      </c>
      <c r="I201" s="41" t="str">
        <f aca="false">IF($A201="","",SUMIFS(业务流水!$H$5:$H$1504,业务流水!$E$5:$E$1504,$B$3,业务流水!$D$5:$D$1504,"已交税",业务流水!$C$5:$C$1504,$A201,业务流水!$Z$5:$Z$1504,"是"))</f>
        <v/>
      </c>
      <c r="J201" s="42" t="str">
        <f aca="false">IF($A201="","",$H201-$I201)</f>
        <v/>
      </c>
      <c r="K201" s="41" t="str">
        <f aca="false">IF($A201="","",SUMIFS(业务流水!$H$5:$H$1504,业务流水!$F$5:$F$1504,$B$3,业务流水!$D$5:$D$1504,"挂靠代收",业务流水!$C$5:$C$1504,$A201,业务流水!$Z$5:$Z$1504,"是"))</f>
        <v/>
      </c>
      <c r="L201" s="42" t="str">
        <f aca="false">IF($A201="","",$C201-$K201)</f>
        <v/>
      </c>
      <c r="M201" s="41" t="str">
        <f aca="false">IF($A201="","",SUMIFS(业务流水!$H$5:$H$1504,业务流水!$E$5:$E$1504,$B$3,业务流水!$D$5:$D$1504,"我方收款",业务流水!$C$5:$C$1504,$A201,业务流水!$Z$5:$Z$1504,"是"))</f>
        <v/>
      </c>
      <c r="N201" s="43" t="str">
        <f aca="false">IF($A201="","",$K201-$M201)</f>
        <v/>
      </c>
      <c r="O201" s="41" t="str">
        <f aca="false">IF($A201="","",SUMIFS(业务流水!$H$5:$H$1504,业务流水!$F$5:$F$1504,$B$3,业务流水!$D$5:$D$1504,"管理费结算",业务流水!$C$5:$C$1504,$A201,业务流水!$Z$5:$Z$1504,"是"))</f>
        <v/>
      </c>
      <c r="P201" s="41" t="str">
        <f aca="false">IF($A201="","",SUMIFS(业务流水!$H$5:$H$1504,业务流水!$E$5:$E$1504,$B$3,业务流水!$D$5:$D$1504,"扣质保金",业务流水!$C$5:$C$1504,$A201,业务流水!$Z$5:$Z$1504,"是"))</f>
        <v/>
      </c>
      <c r="Q201" s="48" t="str">
        <f aca="false">IF($A201="","",IF(SUM($C201:$F201)+SUM($K201:$M201)=0,"无","有"))</f>
        <v/>
      </c>
    </row>
    <row r="202" customFormat="false" ht="15.75" hidden="false" customHeight="true" outlineLevel="0" collapsed="false">
      <c r="A202" s="32" t="str">
        <f aca="false">IF(项目档案!$A202="","",项目档案!$A202)</f>
        <v/>
      </c>
      <c r="B202" s="40" t="str">
        <f aca="false">IF($A202="","",项目档案!$B202)</f>
        <v/>
      </c>
      <c r="C202" s="41" t="str">
        <f aca="false">IF($A202="","",SUMIFS(业务流水!$H$5:$H$1504,业务流水!$E$5:$E$1504,$B$3,业务流水!$D$5:$D$1504,"销项开票",业务流水!$C$5:$C$1504,$A202,业务流水!$Z$5:$Z$1504,"是"))</f>
        <v/>
      </c>
      <c r="D202" s="41" t="str">
        <f aca="false">IF($A202="","",SUMIFS(业务流水!$O$5:$O$1504,业务流水!$E$5:$E$1504,$B$3,业务流水!$D$5:$D$1504,"销项开票",业务流水!$C$5:$C$1504,$A202,业务流水!$Z$5:$Z$1504,"是"))</f>
        <v/>
      </c>
      <c r="E202" s="41" t="str">
        <f aca="false">IF($A202="","",SUMIFS(业务流水!$P$5:$P$1504,业务流水!$E$5:$E$1504,$B$3,业务流水!$D$5:$D$1504,"销项开票",业务流水!$C$5:$C$1504,$A202,业务流水!$Z$5:$Z$1504,"是"))</f>
        <v/>
      </c>
      <c r="F202" s="41" t="str">
        <f aca="false">IF($A202="","",SUMIFS(业务流水!$H$5:$H$1504,业务流水!$F$5:$F$1504,$B$3,业务流水!$D$5:$D$1504,"成本票",业务流水!$C$5:$C$1504,$A202,业务流水!$Z$5:$Z$1504,"是")+SUMIFS(业务流水!$H$5:$H$1504,业务流水!$F$5:$F$1504,$B$3,业务流水!$D$5:$D$1504,"销项开票",业务流水!$C$5:$C$1504,$A202,业务流水!$Z$5:$Z$1504,"是"))</f>
        <v/>
      </c>
      <c r="G202" s="42" t="str">
        <f aca="false">IF($A202="","",$E202-$F202)</f>
        <v/>
      </c>
      <c r="H202" s="41" t="str">
        <f aca="false">IF($A202="","",SUMIFS(业务流水!$W$5:$W$1504,业务流水!$E$5:$E$1504,$B$3,业务流水!$D$5:$D$1504,"销项开票",业务流水!$C$5:$C$1504,$A202,业务流水!$Z$5:$Z$1504,"是"))</f>
        <v/>
      </c>
      <c r="I202" s="41" t="str">
        <f aca="false">IF($A202="","",SUMIFS(业务流水!$H$5:$H$1504,业务流水!$E$5:$E$1504,$B$3,业务流水!$D$5:$D$1504,"已交税",业务流水!$C$5:$C$1504,$A202,业务流水!$Z$5:$Z$1504,"是"))</f>
        <v/>
      </c>
      <c r="J202" s="42" t="str">
        <f aca="false">IF($A202="","",$H202-$I202)</f>
        <v/>
      </c>
      <c r="K202" s="41" t="str">
        <f aca="false">IF($A202="","",SUMIFS(业务流水!$H$5:$H$1504,业务流水!$F$5:$F$1504,$B$3,业务流水!$D$5:$D$1504,"挂靠代收",业务流水!$C$5:$C$1504,$A202,业务流水!$Z$5:$Z$1504,"是"))</f>
        <v/>
      </c>
      <c r="L202" s="42" t="str">
        <f aca="false">IF($A202="","",$C202-$K202)</f>
        <v/>
      </c>
      <c r="M202" s="41" t="str">
        <f aca="false">IF($A202="","",SUMIFS(业务流水!$H$5:$H$1504,业务流水!$E$5:$E$1504,$B$3,业务流水!$D$5:$D$1504,"我方收款",业务流水!$C$5:$C$1504,$A202,业务流水!$Z$5:$Z$1504,"是"))</f>
        <v/>
      </c>
      <c r="N202" s="43" t="str">
        <f aca="false">IF($A202="","",$K202-$M202)</f>
        <v/>
      </c>
      <c r="O202" s="41" t="str">
        <f aca="false">IF($A202="","",SUMIFS(业务流水!$H$5:$H$1504,业务流水!$F$5:$F$1504,$B$3,业务流水!$D$5:$D$1504,"管理费结算",业务流水!$C$5:$C$1504,$A202,业务流水!$Z$5:$Z$1504,"是"))</f>
        <v/>
      </c>
      <c r="P202" s="41" t="str">
        <f aca="false">IF($A202="","",SUMIFS(业务流水!$H$5:$H$1504,业务流水!$E$5:$E$1504,$B$3,业务流水!$D$5:$D$1504,"扣质保金",业务流水!$C$5:$C$1504,$A202,业务流水!$Z$5:$Z$1504,"是"))</f>
        <v/>
      </c>
      <c r="Q202" s="48" t="str">
        <f aca="false">IF($A202="","",IF(SUM($C202:$F202)+SUM($K202:$M202)=0,"无","有"))</f>
        <v/>
      </c>
    </row>
    <row r="203" customFormat="false" ht="15.75" hidden="false" customHeight="true" outlineLevel="0" collapsed="false">
      <c r="A203" s="32" t="str">
        <f aca="false">IF(项目档案!$A203="","",项目档案!$A203)</f>
        <v/>
      </c>
      <c r="B203" s="40" t="str">
        <f aca="false">IF($A203="","",项目档案!$B203)</f>
        <v/>
      </c>
      <c r="C203" s="41" t="str">
        <f aca="false">IF($A203="","",SUMIFS(业务流水!$H$5:$H$1504,业务流水!$E$5:$E$1504,$B$3,业务流水!$D$5:$D$1504,"销项开票",业务流水!$C$5:$C$1504,$A203,业务流水!$Z$5:$Z$1504,"是"))</f>
        <v/>
      </c>
      <c r="D203" s="41" t="str">
        <f aca="false">IF($A203="","",SUMIFS(业务流水!$O$5:$O$1504,业务流水!$E$5:$E$1504,$B$3,业务流水!$D$5:$D$1504,"销项开票",业务流水!$C$5:$C$1504,$A203,业务流水!$Z$5:$Z$1504,"是"))</f>
        <v/>
      </c>
      <c r="E203" s="41" t="str">
        <f aca="false">IF($A203="","",SUMIFS(业务流水!$P$5:$P$1504,业务流水!$E$5:$E$1504,$B$3,业务流水!$D$5:$D$1504,"销项开票",业务流水!$C$5:$C$1504,$A203,业务流水!$Z$5:$Z$1504,"是"))</f>
        <v/>
      </c>
      <c r="F203" s="41" t="str">
        <f aca="false">IF($A203="","",SUMIFS(业务流水!$H$5:$H$1504,业务流水!$F$5:$F$1504,$B$3,业务流水!$D$5:$D$1504,"成本票",业务流水!$C$5:$C$1504,$A203,业务流水!$Z$5:$Z$1504,"是")+SUMIFS(业务流水!$H$5:$H$1504,业务流水!$F$5:$F$1504,$B$3,业务流水!$D$5:$D$1504,"销项开票",业务流水!$C$5:$C$1504,$A203,业务流水!$Z$5:$Z$1504,"是"))</f>
        <v/>
      </c>
      <c r="G203" s="42" t="str">
        <f aca="false">IF($A203="","",$E203-$F203)</f>
        <v/>
      </c>
      <c r="H203" s="41" t="str">
        <f aca="false">IF($A203="","",SUMIFS(业务流水!$W$5:$W$1504,业务流水!$E$5:$E$1504,$B$3,业务流水!$D$5:$D$1504,"销项开票",业务流水!$C$5:$C$1504,$A203,业务流水!$Z$5:$Z$1504,"是"))</f>
        <v/>
      </c>
      <c r="I203" s="41" t="str">
        <f aca="false">IF($A203="","",SUMIFS(业务流水!$H$5:$H$1504,业务流水!$E$5:$E$1504,$B$3,业务流水!$D$5:$D$1504,"已交税",业务流水!$C$5:$C$1504,$A203,业务流水!$Z$5:$Z$1504,"是"))</f>
        <v/>
      </c>
      <c r="J203" s="42" t="str">
        <f aca="false">IF($A203="","",$H203-$I203)</f>
        <v/>
      </c>
      <c r="K203" s="41" t="str">
        <f aca="false">IF($A203="","",SUMIFS(业务流水!$H$5:$H$1504,业务流水!$F$5:$F$1504,$B$3,业务流水!$D$5:$D$1504,"挂靠代收",业务流水!$C$5:$C$1504,$A203,业务流水!$Z$5:$Z$1504,"是"))</f>
        <v/>
      </c>
      <c r="L203" s="42" t="str">
        <f aca="false">IF($A203="","",$C203-$K203)</f>
        <v/>
      </c>
      <c r="M203" s="41" t="str">
        <f aca="false">IF($A203="","",SUMIFS(业务流水!$H$5:$H$1504,业务流水!$E$5:$E$1504,$B$3,业务流水!$D$5:$D$1504,"我方收款",业务流水!$C$5:$C$1504,$A203,业务流水!$Z$5:$Z$1504,"是"))</f>
        <v/>
      </c>
      <c r="N203" s="43" t="str">
        <f aca="false">IF($A203="","",$K203-$M203)</f>
        <v/>
      </c>
      <c r="O203" s="41" t="str">
        <f aca="false">IF($A203="","",SUMIFS(业务流水!$H$5:$H$1504,业务流水!$F$5:$F$1504,$B$3,业务流水!$D$5:$D$1504,"管理费结算",业务流水!$C$5:$C$1504,$A203,业务流水!$Z$5:$Z$1504,"是"))</f>
        <v/>
      </c>
      <c r="P203" s="41" t="str">
        <f aca="false">IF($A203="","",SUMIFS(业务流水!$H$5:$H$1504,业务流水!$E$5:$E$1504,$B$3,业务流水!$D$5:$D$1504,"扣质保金",业务流水!$C$5:$C$1504,$A203,业务流水!$Z$5:$Z$1504,"是"))</f>
        <v/>
      </c>
      <c r="Q203" s="48" t="str">
        <f aca="false">IF($A203="","",IF(SUM($C203:$F203)+SUM($K203:$M203)=0,"无","有"))</f>
        <v/>
      </c>
    </row>
    <row r="204" customFormat="false" ht="15.75" hidden="false" customHeight="true" outlineLevel="0" collapsed="false">
      <c r="A204" s="32" t="str">
        <f aca="false">IF(项目档案!$A204="","",项目档案!$A204)</f>
        <v/>
      </c>
      <c r="B204" s="40" t="str">
        <f aca="false">IF($A204="","",项目档案!$B204)</f>
        <v/>
      </c>
      <c r="C204" s="41" t="str">
        <f aca="false">IF($A204="","",SUMIFS(业务流水!$H$5:$H$1504,业务流水!$E$5:$E$1504,$B$3,业务流水!$D$5:$D$1504,"销项开票",业务流水!$C$5:$C$1504,$A204,业务流水!$Z$5:$Z$1504,"是"))</f>
        <v/>
      </c>
      <c r="D204" s="41" t="str">
        <f aca="false">IF($A204="","",SUMIFS(业务流水!$O$5:$O$1504,业务流水!$E$5:$E$1504,$B$3,业务流水!$D$5:$D$1504,"销项开票",业务流水!$C$5:$C$1504,$A204,业务流水!$Z$5:$Z$1504,"是"))</f>
        <v/>
      </c>
      <c r="E204" s="41" t="str">
        <f aca="false">IF($A204="","",SUMIFS(业务流水!$P$5:$P$1504,业务流水!$E$5:$E$1504,$B$3,业务流水!$D$5:$D$1504,"销项开票",业务流水!$C$5:$C$1504,$A204,业务流水!$Z$5:$Z$1504,"是"))</f>
        <v/>
      </c>
      <c r="F204" s="41" t="str">
        <f aca="false">IF($A204="","",SUMIFS(业务流水!$H$5:$H$1504,业务流水!$F$5:$F$1504,$B$3,业务流水!$D$5:$D$1504,"成本票",业务流水!$C$5:$C$1504,$A204,业务流水!$Z$5:$Z$1504,"是")+SUMIFS(业务流水!$H$5:$H$1504,业务流水!$F$5:$F$1504,$B$3,业务流水!$D$5:$D$1504,"销项开票",业务流水!$C$5:$C$1504,$A204,业务流水!$Z$5:$Z$1504,"是"))</f>
        <v/>
      </c>
      <c r="G204" s="42" t="str">
        <f aca="false">IF($A204="","",$E204-$F204)</f>
        <v/>
      </c>
      <c r="H204" s="41" t="str">
        <f aca="false">IF($A204="","",SUMIFS(业务流水!$W$5:$W$1504,业务流水!$E$5:$E$1504,$B$3,业务流水!$D$5:$D$1504,"销项开票",业务流水!$C$5:$C$1504,$A204,业务流水!$Z$5:$Z$1504,"是"))</f>
        <v/>
      </c>
      <c r="I204" s="41" t="str">
        <f aca="false">IF($A204="","",SUMIFS(业务流水!$H$5:$H$1504,业务流水!$E$5:$E$1504,$B$3,业务流水!$D$5:$D$1504,"已交税",业务流水!$C$5:$C$1504,$A204,业务流水!$Z$5:$Z$1504,"是"))</f>
        <v/>
      </c>
      <c r="J204" s="42" t="str">
        <f aca="false">IF($A204="","",$H204-$I204)</f>
        <v/>
      </c>
      <c r="K204" s="41" t="str">
        <f aca="false">IF($A204="","",SUMIFS(业务流水!$H$5:$H$1504,业务流水!$F$5:$F$1504,$B$3,业务流水!$D$5:$D$1504,"挂靠代收",业务流水!$C$5:$C$1504,$A204,业务流水!$Z$5:$Z$1504,"是"))</f>
        <v/>
      </c>
      <c r="L204" s="42" t="str">
        <f aca="false">IF($A204="","",$C204-$K204)</f>
        <v/>
      </c>
      <c r="M204" s="41" t="str">
        <f aca="false">IF($A204="","",SUMIFS(业务流水!$H$5:$H$1504,业务流水!$E$5:$E$1504,$B$3,业务流水!$D$5:$D$1504,"我方收款",业务流水!$C$5:$C$1504,$A204,业务流水!$Z$5:$Z$1504,"是"))</f>
        <v/>
      </c>
      <c r="N204" s="43" t="str">
        <f aca="false">IF($A204="","",$K204-$M204)</f>
        <v/>
      </c>
      <c r="O204" s="41" t="str">
        <f aca="false">IF($A204="","",SUMIFS(业务流水!$H$5:$H$1504,业务流水!$F$5:$F$1504,$B$3,业务流水!$D$5:$D$1504,"管理费结算",业务流水!$C$5:$C$1504,$A204,业务流水!$Z$5:$Z$1504,"是"))</f>
        <v/>
      </c>
      <c r="P204" s="41" t="str">
        <f aca="false">IF($A204="","",SUMIFS(业务流水!$H$5:$H$1504,业务流水!$E$5:$E$1504,$B$3,业务流水!$D$5:$D$1504,"扣质保金",业务流水!$C$5:$C$1504,$A204,业务流水!$Z$5:$Z$1504,"是"))</f>
        <v/>
      </c>
      <c r="Q204" s="48" t="str">
        <f aca="false">IF($A204="","",IF(SUM($C204:$F204)+SUM($K204:$M204)=0,"无","有"))</f>
        <v/>
      </c>
    </row>
    <row r="205" customFormat="false" ht="15.75" hidden="false" customHeight="true" outlineLevel="0" collapsed="false">
      <c r="A205" s="32" t="str">
        <f aca="false">IF(项目档案!$A205="","",项目档案!$A205)</f>
        <v/>
      </c>
      <c r="B205" s="40" t="str">
        <f aca="false">IF($A205="","",项目档案!$B205)</f>
        <v/>
      </c>
      <c r="C205" s="41" t="str">
        <f aca="false">IF($A205="","",SUMIFS(业务流水!$H$5:$H$1504,业务流水!$E$5:$E$1504,$B$3,业务流水!$D$5:$D$1504,"销项开票",业务流水!$C$5:$C$1504,$A205,业务流水!$Z$5:$Z$1504,"是"))</f>
        <v/>
      </c>
      <c r="D205" s="41" t="str">
        <f aca="false">IF($A205="","",SUMIFS(业务流水!$O$5:$O$1504,业务流水!$E$5:$E$1504,$B$3,业务流水!$D$5:$D$1504,"销项开票",业务流水!$C$5:$C$1504,$A205,业务流水!$Z$5:$Z$1504,"是"))</f>
        <v/>
      </c>
      <c r="E205" s="41" t="str">
        <f aca="false">IF($A205="","",SUMIFS(业务流水!$P$5:$P$1504,业务流水!$E$5:$E$1504,$B$3,业务流水!$D$5:$D$1504,"销项开票",业务流水!$C$5:$C$1504,$A205,业务流水!$Z$5:$Z$1504,"是"))</f>
        <v/>
      </c>
      <c r="F205" s="41" t="str">
        <f aca="false">IF($A205="","",SUMIFS(业务流水!$H$5:$H$1504,业务流水!$F$5:$F$1504,$B$3,业务流水!$D$5:$D$1504,"成本票",业务流水!$C$5:$C$1504,$A205,业务流水!$Z$5:$Z$1504,"是")+SUMIFS(业务流水!$H$5:$H$1504,业务流水!$F$5:$F$1504,$B$3,业务流水!$D$5:$D$1504,"销项开票",业务流水!$C$5:$C$1504,$A205,业务流水!$Z$5:$Z$1504,"是"))</f>
        <v/>
      </c>
      <c r="G205" s="42" t="str">
        <f aca="false">IF($A205="","",$E205-$F205)</f>
        <v/>
      </c>
      <c r="H205" s="41" t="str">
        <f aca="false">IF($A205="","",SUMIFS(业务流水!$W$5:$W$1504,业务流水!$E$5:$E$1504,$B$3,业务流水!$D$5:$D$1504,"销项开票",业务流水!$C$5:$C$1504,$A205,业务流水!$Z$5:$Z$1504,"是"))</f>
        <v/>
      </c>
      <c r="I205" s="41" t="str">
        <f aca="false">IF($A205="","",SUMIFS(业务流水!$H$5:$H$1504,业务流水!$E$5:$E$1504,$B$3,业务流水!$D$5:$D$1504,"已交税",业务流水!$C$5:$C$1504,$A205,业务流水!$Z$5:$Z$1504,"是"))</f>
        <v/>
      </c>
      <c r="J205" s="42" t="str">
        <f aca="false">IF($A205="","",$H205-$I205)</f>
        <v/>
      </c>
      <c r="K205" s="41" t="str">
        <f aca="false">IF($A205="","",SUMIFS(业务流水!$H$5:$H$1504,业务流水!$F$5:$F$1504,$B$3,业务流水!$D$5:$D$1504,"挂靠代收",业务流水!$C$5:$C$1504,$A205,业务流水!$Z$5:$Z$1504,"是"))</f>
        <v/>
      </c>
      <c r="L205" s="42" t="str">
        <f aca="false">IF($A205="","",$C205-$K205)</f>
        <v/>
      </c>
      <c r="M205" s="41" t="str">
        <f aca="false">IF($A205="","",SUMIFS(业务流水!$H$5:$H$1504,业务流水!$E$5:$E$1504,$B$3,业务流水!$D$5:$D$1504,"我方收款",业务流水!$C$5:$C$1504,$A205,业务流水!$Z$5:$Z$1504,"是"))</f>
        <v/>
      </c>
      <c r="N205" s="43" t="str">
        <f aca="false">IF($A205="","",$K205-$M205)</f>
        <v/>
      </c>
      <c r="O205" s="41" t="str">
        <f aca="false">IF($A205="","",SUMIFS(业务流水!$H$5:$H$1504,业务流水!$F$5:$F$1504,$B$3,业务流水!$D$5:$D$1504,"管理费结算",业务流水!$C$5:$C$1504,$A205,业务流水!$Z$5:$Z$1504,"是"))</f>
        <v/>
      </c>
      <c r="P205" s="41" t="str">
        <f aca="false">IF($A205="","",SUMIFS(业务流水!$H$5:$H$1504,业务流水!$E$5:$E$1504,$B$3,业务流水!$D$5:$D$1504,"扣质保金",业务流水!$C$5:$C$1504,$A205,业务流水!$Z$5:$Z$1504,"是"))</f>
        <v/>
      </c>
      <c r="Q205" s="48" t="str">
        <f aca="false">IF($A205="","",IF(SUM($C205:$F205)+SUM($K205:$M205)=0,"无","有"))</f>
        <v/>
      </c>
    </row>
    <row r="206" customFormat="false" ht="15.75" hidden="false" customHeight="true" outlineLevel="0" collapsed="false">
      <c r="A206" s="32" t="str">
        <f aca="false">IF(项目档案!$A206="","",项目档案!$A206)</f>
        <v/>
      </c>
      <c r="B206" s="40" t="str">
        <f aca="false">IF($A206="","",项目档案!$B206)</f>
        <v/>
      </c>
      <c r="C206" s="41" t="str">
        <f aca="false">IF($A206="","",SUMIFS(业务流水!$H$5:$H$1504,业务流水!$E$5:$E$1504,$B$3,业务流水!$D$5:$D$1504,"销项开票",业务流水!$C$5:$C$1504,$A206,业务流水!$Z$5:$Z$1504,"是"))</f>
        <v/>
      </c>
      <c r="D206" s="41" t="str">
        <f aca="false">IF($A206="","",SUMIFS(业务流水!$O$5:$O$1504,业务流水!$E$5:$E$1504,$B$3,业务流水!$D$5:$D$1504,"销项开票",业务流水!$C$5:$C$1504,$A206,业务流水!$Z$5:$Z$1504,"是"))</f>
        <v/>
      </c>
      <c r="E206" s="41" t="str">
        <f aca="false">IF($A206="","",SUMIFS(业务流水!$P$5:$P$1504,业务流水!$E$5:$E$1504,$B$3,业务流水!$D$5:$D$1504,"销项开票",业务流水!$C$5:$C$1504,$A206,业务流水!$Z$5:$Z$1504,"是"))</f>
        <v/>
      </c>
      <c r="F206" s="41" t="str">
        <f aca="false">IF($A206="","",SUMIFS(业务流水!$H$5:$H$1504,业务流水!$F$5:$F$1504,$B$3,业务流水!$D$5:$D$1504,"成本票",业务流水!$C$5:$C$1504,$A206,业务流水!$Z$5:$Z$1504,"是")+SUMIFS(业务流水!$H$5:$H$1504,业务流水!$F$5:$F$1504,$B$3,业务流水!$D$5:$D$1504,"销项开票",业务流水!$C$5:$C$1504,$A206,业务流水!$Z$5:$Z$1504,"是"))</f>
        <v/>
      </c>
      <c r="G206" s="42" t="str">
        <f aca="false">IF($A206="","",$E206-$F206)</f>
        <v/>
      </c>
      <c r="H206" s="41" t="str">
        <f aca="false">IF($A206="","",SUMIFS(业务流水!$W$5:$W$1504,业务流水!$E$5:$E$1504,$B$3,业务流水!$D$5:$D$1504,"销项开票",业务流水!$C$5:$C$1504,$A206,业务流水!$Z$5:$Z$1504,"是"))</f>
        <v/>
      </c>
      <c r="I206" s="41" t="str">
        <f aca="false">IF($A206="","",SUMIFS(业务流水!$H$5:$H$1504,业务流水!$E$5:$E$1504,$B$3,业务流水!$D$5:$D$1504,"已交税",业务流水!$C$5:$C$1504,$A206,业务流水!$Z$5:$Z$1504,"是"))</f>
        <v/>
      </c>
      <c r="J206" s="42" t="str">
        <f aca="false">IF($A206="","",$H206-$I206)</f>
        <v/>
      </c>
      <c r="K206" s="41" t="str">
        <f aca="false">IF($A206="","",SUMIFS(业务流水!$H$5:$H$1504,业务流水!$F$5:$F$1504,$B$3,业务流水!$D$5:$D$1504,"挂靠代收",业务流水!$C$5:$C$1504,$A206,业务流水!$Z$5:$Z$1504,"是"))</f>
        <v/>
      </c>
      <c r="L206" s="42" t="str">
        <f aca="false">IF($A206="","",$C206-$K206)</f>
        <v/>
      </c>
      <c r="M206" s="41" t="str">
        <f aca="false">IF($A206="","",SUMIFS(业务流水!$H$5:$H$1504,业务流水!$E$5:$E$1504,$B$3,业务流水!$D$5:$D$1504,"我方收款",业务流水!$C$5:$C$1504,$A206,业务流水!$Z$5:$Z$1504,"是"))</f>
        <v/>
      </c>
      <c r="N206" s="43" t="str">
        <f aca="false">IF($A206="","",$K206-$M206)</f>
        <v/>
      </c>
      <c r="O206" s="41" t="str">
        <f aca="false">IF($A206="","",SUMIFS(业务流水!$H$5:$H$1504,业务流水!$F$5:$F$1504,$B$3,业务流水!$D$5:$D$1504,"管理费结算",业务流水!$C$5:$C$1504,$A206,业务流水!$Z$5:$Z$1504,"是"))</f>
        <v/>
      </c>
      <c r="P206" s="41" t="str">
        <f aca="false">IF($A206="","",SUMIFS(业务流水!$H$5:$H$1504,业务流水!$E$5:$E$1504,$B$3,业务流水!$D$5:$D$1504,"扣质保金",业务流水!$C$5:$C$1504,$A206,业务流水!$Z$5:$Z$1504,"是"))</f>
        <v/>
      </c>
      <c r="Q206" s="48" t="str">
        <f aca="false">IF($A206="","",IF(SUM($C206:$F206)+SUM($K206:$M206)=0,"无","有"))</f>
        <v/>
      </c>
    </row>
    <row r="207" customFormat="false" ht="15.75" hidden="false" customHeight="true" outlineLevel="0" collapsed="false">
      <c r="A207" s="32" t="str">
        <f aca="false">IF(项目档案!$A207="","",项目档案!$A207)</f>
        <v/>
      </c>
      <c r="B207" s="40" t="str">
        <f aca="false">IF($A207="","",项目档案!$B207)</f>
        <v/>
      </c>
      <c r="C207" s="41" t="str">
        <f aca="false">IF($A207="","",SUMIFS(业务流水!$H$5:$H$1504,业务流水!$E$5:$E$1504,$B$3,业务流水!$D$5:$D$1504,"销项开票",业务流水!$C$5:$C$1504,$A207,业务流水!$Z$5:$Z$1504,"是"))</f>
        <v/>
      </c>
      <c r="D207" s="41" t="str">
        <f aca="false">IF($A207="","",SUMIFS(业务流水!$O$5:$O$1504,业务流水!$E$5:$E$1504,$B$3,业务流水!$D$5:$D$1504,"销项开票",业务流水!$C$5:$C$1504,$A207,业务流水!$Z$5:$Z$1504,"是"))</f>
        <v/>
      </c>
      <c r="E207" s="41" t="str">
        <f aca="false">IF($A207="","",SUMIFS(业务流水!$P$5:$P$1504,业务流水!$E$5:$E$1504,$B$3,业务流水!$D$5:$D$1504,"销项开票",业务流水!$C$5:$C$1504,$A207,业务流水!$Z$5:$Z$1504,"是"))</f>
        <v/>
      </c>
      <c r="F207" s="41" t="str">
        <f aca="false">IF($A207="","",SUMIFS(业务流水!$H$5:$H$1504,业务流水!$F$5:$F$1504,$B$3,业务流水!$D$5:$D$1504,"成本票",业务流水!$C$5:$C$1504,$A207,业务流水!$Z$5:$Z$1504,"是")+SUMIFS(业务流水!$H$5:$H$1504,业务流水!$F$5:$F$1504,$B$3,业务流水!$D$5:$D$1504,"销项开票",业务流水!$C$5:$C$1504,$A207,业务流水!$Z$5:$Z$1504,"是"))</f>
        <v/>
      </c>
      <c r="G207" s="42" t="str">
        <f aca="false">IF($A207="","",$E207-$F207)</f>
        <v/>
      </c>
      <c r="H207" s="41" t="str">
        <f aca="false">IF($A207="","",SUMIFS(业务流水!$W$5:$W$1504,业务流水!$E$5:$E$1504,$B$3,业务流水!$D$5:$D$1504,"销项开票",业务流水!$C$5:$C$1504,$A207,业务流水!$Z$5:$Z$1504,"是"))</f>
        <v/>
      </c>
      <c r="I207" s="41" t="str">
        <f aca="false">IF($A207="","",SUMIFS(业务流水!$H$5:$H$1504,业务流水!$E$5:$E$1504,$B$3,业务流水!$D$5:$D$1504,"已交税",业务流水!$C$5:$C$1504,$A207,业务流水!$Z$5:$Z$1504,"是"))</f>
        <v/>
      </c>
      <c r="J207" s="42" t="str">
        <f aca="false">IF($A207="","",$H207-$I207)</f>
        <v/>
      </c>
      <c r="K207" s="41" t="str">
        <f aca="false">IF($A207="","",SUMIFS(业务流水!$H$5:$H$1504,业务流水!$F$5:$F$1504,$B$3,业务流水!$D$5:$D$1504,"挂靠代收",业务流水!$C$5:$C$1504,$A207,业务流水!$Z$5:$Z$1504,"是"))</f>
        <v/>
      </c>
      <c r="L207" s="42" t="str">
        <f aca="false">IF($A207="","",$C207-$K207)</f>
        <v/>
      </c>
      <c r="M207" s="41" t="str">
        <f aca="false">IF($A207="","",SUMIFS(业务流水!$H$5:$H$1504,业务流水!$E$5:$E$1504,$B$3,业务流水!$D$5:$D$1504,"我方收款",业务流水!$C$5:$C$1504,$A207,业务流水!$Z$5:$Z$1504,"是"))</f>
        <v/>
      </c>
      <c r="N207" s="43" t="str">
        <f aca="false">IF($A207="","",$K207-$M207)</f>
        <v/>
      </c>
      <c r="O207" s="41" t="str">
        <f aca="false">IF($A207="","",SUMIFS(业务流水!$H$5:$H$1504,业务流水!$F$5:$F$1504,$B$3,业务流水!$D$5:$D$1504,"管理费结算",业务流水!$C$5:$C$1504,$A207,业务流水!$Z$5:$Z$1504,"是"))</f>
        <v/>
      </c>
      <c r="P207" s="41" t="str">
        <f aca="false">IF($A207="","",SUMIFS(业务流水!$H$5:$H$1504,业务流水!$E$5:$E$1504,$B$3,业务流水!$D$5:$D$1504,"扣质保金",业务流水!$C$5:$C$1504,$A207,业务流水!$Z$5:$Z$1504,"是"))</f>
        <v/>
      </c>
      <c r="Q207" s="48" t="str">
        <f aca="false">IF($A207="","",IF(SUM($C207:$F207)+SUM($K207:$M207)=0,"无","有"))</f>
        <v/>
      </c>
    </row>
    <row r="208" customFormat="false" ht="15.75" hidden="false" customHeight="true" outlineLevel="0" collapsed="false">
      <c r="A208" s="32" t="str">
        <f aca="false">IF(项目档案!$A208="","",项目档案!$A208)</f>
        <v/>
      </c>
      <c r="B208" s="40" t="str">
        <f aca="false">IF($A208="","",项目档案!$B208)</f>
        <v/>
      </c>
      <c r="C208" s="41" t="str">
        <f aca="false">IF($A208="","",SUMIFS(业务流水!$H$5:$H$1504,业务流水!$E$5:$E$1504,$B$3,业务流水!$D$5:$D$1504,"销项开票",业务流水!$C$5:$C$1504,$A208,业务流水!$Z$5:$Z$1504,"是"))</f>
        <v/>
      </c>
      <c r="D208" s="41" t="str">
        <f aca="false">IF($A208="","",SUMIFS(业务流水!$O$5:$O$1504,业务流水!$E$5:$E$1504,$B$3,业务流水!$D$5:$D$1504,"销项开票",业务流水!$C$5:$C$1504,$A208,业务流水!$Z$5:$Z$1504,"是"))</f>
        <v/>
      </c>
      <c r="E208" s="41" t="str">
        <f aca="false">IF($A208="","",SUMIFS(业务流水!$P$5:$P$1504,业务流水!$E$5:$E$1504,$B$3,业务流水!$D$5:$D$1504,"销项开票",业务流水!$C$5:$C$1504,$A208,业务流水!$Z$5:$Z$1504,"是"))</f>
        <v/>
      </c>
      <c r="F208" s="41" t="str">
        <f aca="false">IF($A208="","",SUMIFS(业务流水!$H$5:$H$1504,业务流水!$F$5:$F$1504,$B$3,业务流水!$D$5:$D$1504,"成本票",业务流水!$C$5:$C$1504,$A208,业务流水!$Z$5:$Z$1504,"是")+SUMIFS(业务流水!$H$5:$H$1504,业务流水!$F$5:$F$1504,$B$3,业务流水!$D$5:$D$1504,"销项开票",业务流水!$C$5:$C$1504,$A208,业务流水!$Z$5:$Z$1504,"是"))</f>
        <v/>
      </c>
      <c r="G208" s="42" t="str">
        <f aca="false">IF($A208="","",$E208-$F208)</f>
        <v/>
      </c>
      <c r="H208" s="41" t="str">
        <f aca="false">IF($A208="","",SUMIFS(业务流水!$W$5:$W$1504,业务流水!$E$5:$E$1504,$B$3,业务流水!$D$5:$D$1504,"销项开票",业务流水!$C$5:$C$1504,$A208,业务流水!$Z$5:$Z$1504,"是"))</f>
        <v/>
      </c>
      <c r="I208" s="41" t="str">
        <f aca="false">IF($A208="","",SUMIFS(业务流水!$H$5:$H$1504,业务流水!$E$5:$E$1504,$B$3,业务流水!$D$5:$D$1504,"已交税",业务流水!$C$5:$C$1504,$A208,业务流水!$Z$5:$Z$1504,"是"))</f>
        <v/>
      </c>
      <c r="J208" s="42" t="str">
        <f aca="false">IF($A208="","",$H208-$I208)</f>
        <v/>
      </c>
      <c r="K208" s="41" t="str">
        <f aca="false">IF($A208="","",SUMIFS(业务流水!$H$5:$H$1504,业务流水!$F$5:$F$1504,$B$3,业务流水!$D$5:$D$1504,"挂靠代收",业务流水!$C$5:$C$1504,$A208,业务流水!$Z$5:$Z$1504,"是"))</f>
        <v/>
      </c>
      <c r="L208" s="42" t="str">
        <f aca="false">IF($A208="","",$C208-$K208)</f>
        <v/>
      </c>
      <c r="M208" s="41" t="str">
        <f aca="false">IF($A208="","",SUMIFS(业务流水!$H$5:$H$1504,业务流水!$E$5:$E$1504,$B$3,业务流水!$D$5:$D$1504,"我方收款",业务流水!$C$5:$C$1504,$A208,业务流水!$Z$5:$Z$1504,"是"))</f>
        <v/>
      </c>
      <c r="N208" s="43" t="str">
        <f aca="false">IF($A208="","",$K208-$M208)</f>
        <v/>
      </c>
      <c r="O208" s="41" t="str">
        <f aca="false">IF($A208="","",SUMIFS(业务流水!$H$5:$H$1504,业务流水!$F$5:$F$1504,$B$3,业务流水!$D$5:$D$1504,"管理费结算",业务流水!$C$5:$C$1504,$A208,业务流水!$Z$5:$Z$1504,"是"))</f>
        <v/>
      </c>
      <c r="P208" s="41" t="str">
        <f aca="false">IF($A208="","",SUMIFS(业务流水!$H$5:$H$1504,业务流水!$E$5:$E$1504,$B$3,业务流水!$D$5:$D$1504,"扣质保金",业务流水!$C$5:$C$1504,$A208,业务流水!$Z$5:$Z$1504,"是"))</f>
        <v/>
      </c>
      <c r="Q208" s="48" t="str">
        <f aca="false">IF($A208="","",IF(SUM($C208:$F208)+SUM($K208:$M208)=0,"无","有"))</f>
        <v/>
      </c>
    </row>
    <row r="209" customFormat="false" ht="15.75" hidden="false" customHeight="true" outlineLevel="0" collapsed="false">
      <c r="A209" s="32" t="str">
        <f aca="false">IF(项目档案!$A209="","",项目档案!$A209)</f>
        <v/>
      </c>
      <c r="B209" s="40" t="str">
        <f aca="false">IF($A209="","",项目档案!$B209)</f>
        <v/>
      </c>
      <c r="C209" s="41" t="str">
        <f aca="false">IF($A209="","",SUMIFS(业务流水!$H$5:$H$1504,业务流水!$E$5:$E$1504,$B$3,业务流水!$D$5:$D$1504,"销项开票",业务流水!$C$5:$C$1504,$A209,业务流水!$Z$5:$Z$1504,"是"))</f>
        <v/>
      </c>
      <c r="D209" s="41" t="str">
        <f aca="false">IF($A209="","",SUMIFS(业务流水!$O$5:$O$1504,业务流水!$E$5:$E$1504,$B$3,业务流水!$D$5:$D$1504,"销项开票",业务流水!$C$5:$C$1504,$A209,业务流水!$Z$5:$Z$1504,"是"))</f>
        <v/>
      </c>
      <c r="E209" s="41" t="str">
        <f aca="false">IF($A209="","",SUMIFS(业务流水!$P$5:$P$1504,业务流水!$E$5:$E$1504,$B$3,业务流水!$D$5:$D$1504,"销项开票",业务流水!$C$5:$C$1504,$A209,业务流水!$Z$5:$Z$1504,"是"))</f>
        <v/>
      </c>
      <c r="F209" s="41" t="str">
        <f aca="false">IF($A209="","",SUMIFS(业务流水!$H$5:$H$1504,业务流水!$F$5:$F$1504,$B$3,业务流水!$D$5:$D$1504,"成本票",业务流水!$C$5:$C$1504,$A209,业务流水!$Z$5:$Z$1504,"是")+SUMIFS(业务流水!$H$5:$H$1504,业务流水!$F$5:$F$1504,$B$3,业务流水!$D$5:$D$1504,"销项开票",业务流水!$C$5:$C$1504,$A209,业务流水!$Z$5:$Z$1504,"是"))</f>
        <v/>
      </c>
      <c r="G209" s="42" t="str">
        <f aca="false">IF($A209="","",$E209-$F209)</f>
        <v/>
      </c>
      <c r="H209" s="41" t="str">
        <f aca="false">IF($A209="","",SUMIFS(业务流水!$W$5:$W$1504,业务流水!$E$5:$E$1504,$B$3,业务流水!$D$5:$D$1504,"销项开票",业务流水!$C$5:$C$1504,$A209,业务流水!$Z$5:$Z$1504,"是"))</f>
        <v/>
      </c>
      <c r="I209" s="41" t="str">
        <f aca="false">IF($A209="","",SUMIFS(业务流水!$H$5:$H$1504,业务流水!$E$5:$E$1504,$B$3,业务流水!$D$5:$D$1504,"已交税",业务流水!$C$5:$C$1504,$A209,业务流水!$Z$5:$Z$1504,"是"))</f>
        <v/>
      </c>
      <c r="J209" s="42" t="str">
        <f aca="false">IF($A209="","",$H209-$I209)</f>
        <v/>
      </c>
      <c r="K209" s="41" t="str">
        <f aca="false">IF($A209="","",SUMIFS(业务流水!$H$5:$H$1504,业务流水!$F$5:$F$1504,$B$3,业务流水!$D$5:$D$1504,"挂靠代收",业务流水!$C$5:$C$1504,$A209,业务流水!$Z$5:$Z$1504,"是"))</f>
        <v/>
      </c>
      <c r="L209" s="42" t="str">
        <f aca="false">IF($A209="","",$C209-$K209)</f>
        <v/>
      </c>
      <c r="M209" s="41" t="str">
        <f aca="false">IF($A209="","",SUMIFS(业务流水!$H$5:$H$1504,业务流水!$E$5:$E$1504,$B$3,业务流水!$D$5:$D$1504,"我方收款",业务流水!$C$5:$C$1504,$A209,业务流水!$Z$5:$Z$1504,"是"))</f>
        <v/>
      </c>
      <c r="N209" s="43" t="str">
        <f aca="false">IF($A209="","",$K209-$M209)</f>
        <v/>
      </c>
      <c r="O209" s="41" t="str">
        <f aca="false">IF($A209="","",SUMIFS(业务流水!$H$5:$H$1504,业务流水!$F$5:$F$1504,$B$3,业务流水!$D$5:$D$1504,"管理费结算",业务流水!$C$5:$C$1504,$A209,业务流水!$Z$5:$Z$1504,"是"))</f>
        <v/>
      </c>
      <c r="P209" s="41" t="str">
        <f aca="false">IF($A209="","",SUMIFS(业务流水!$H$5:$H$1504,业务流水!$E$5:$E$1504,$B$3,业务流水!$D$5:$D$1504,"扣质保金",业务流水!$C$5:$C$1504,$A209,业务流水!$Z$5:$Z$1504,"是"))</f>
        <v/>
      </c>
      <c r="Q209" s="48" t="str">
        <f aca="false">IF($A209="","",IF(SUM($C209:$F209)+SUM($K209:$M209)=0,"无","有"))</f>
        <v/>
      </c>
    </row>
    <row r="210" customFormat="false" ht="15.75" hidden="false" customHeight="true" outlineLevel="0" collapsed="false">
      <c r="A210" s="32" t="str">
        <f aca="false">IF(项目档案!$A210="","",项目档案!$A210)</f>
        <v/>
      </c>
      <c r="B210" s="40" t="str">
        <f aca="false">IF($A210="","",项目档案!$B210)</f>
        <v/>
      </c>
      <c r="C210" s="41" t="str">
        <f aca="false">IF($A210="","",SUMIFS(业务流水!$H$5:$H$1504,业务流水!$E$5:$E$1504,$B$3,业务流水!$D$5:$D$1504,"销项开票",业务流水!$C$5:$C$1504,$A210,业务流水!$Z$5:$Z$1504,"是"))</f>
        <v/>
      </c>
      <c r="D210" s="41" t="str">
        <f aca="false">IF($A210="","",SUMIFS(业务流水!$O$5:$O$1504,业务流水!$E$5:$E$1504,$B$3,业务流水!$D$5:$D$1504,"销项开票",业务流水!$C$5:$C$1504,$A210,业务流水!$Z$5:$Z$1504,"是"))</f>
        <v/>
      </c>
      <c r="E210" s="41" t="str">
        <f aca="false">IF($A210="","",SUMIFS(业务流水!$P$5:$P$1504,业务流水!$E$5:$E$1504,$B$3,业务流水!$D$5:$D$1504,"销项开票",业务流水!$C$5:$C$1504,$A210,业务流水!$Z$5:$Z$1504,"是"))</f>
        <v/>
      </c>
      <c r="F210" s="41" t="str">
        <f aca="false">IF($A210="","",SUMIFS(业务流水!$H$5:$H$1504,业务流水!$F$5:$F$1504,$B$3,业务流水!$D$5:$D$1504,"成本票",业务流水!$C$5:$C$1504,$A210,业务流水!$Z$5:$Z$1504,"是")+SUMIFS(业务流水!$H$5:$H$1504,业务流水!$F$5:$F$1504,$B$3,业务流水!$D$5:$D$1504,"销项开票",业务流水!$C$5:$C$1504,$A210,业务流水!$Z$5:$Z$1504,"是"))</f>
        <v/>
      </c>
      <c r="G210" s="42" t="str">
        <f aca="false">IF($A210="","",$E210-$F210)</f>
        <v/>
      </c>
      <c r="H210" s="41" t="str">
        <f aca="false">IF($A210="","",SUMIFS(业务流水!$W$5:$W$1504,业务流水!$E$5:$E$1504,$B$3,业务流水!$D$5:$D$1504,"销项开票",业务流水!$C$5:$C$1504,$A210,业务流水!$Z$5:$Z$1504,"是"))</f>
        <v/>
      </c>
      <c r="I210" s="41" t="str">
        <f aca="false">IF($A210="","",SUMIFS(业务流水!$H$5:$H$1504,业务流水!$E$5:$E$1504,$B$3,业务流水!$D$5:$D$1504,"已交税",业务流水!$C$5:$C$1504,$A210,业务流水!$Z$5:$Z$1504,"是"))</f>
        <v/>
      </c>
      <c r="J210" s="42" t="str">
        <f aca="false">IF($A210="","",$H210-$I210)</f>
        <v/>
      </c>
      <c r="K210" s="41" t="str">
        <f aca="false">IF($A210="","",SUMIFS(业务流水!$H$5:$H$1504,业务流水!$F$5:$F$1504,$B$3,业务流水!$D$5:$D$1504,"挂靠代收",业务流水!$C$5:$C$1504,$A210,业务流水!$Z$5:$Z$1504,"是"))</f>
        <v/>
      </c>
      <c r="L210" s="42" t="str">
        <f aca="false">IF($A210="","",$C210-$K210)</f>
        <v/>
      </c>
      <c r="M210" s="41" t="str">
        <f aca="false">IF($A210="","",SUMIFS(业务流水!$H$5:$H$1504,业务流水!$E$5:$E$1504,$B$3,业务流水!$D$5:$D$1504,"我方收款",业务流水!$C$5:$C$1504,$A210,业务流水!$Z$5:$Z$1504,"是"))</f>
        <v/>
      </c>
      <c r="N210" s="43" t="str">
        <f aca="false">IF($A210="","",$K210-$M210)</f>
        <v/>
      </c>
      <c r="O210" s="41" t="str">
        <f aca="false">IF($A210="","",SUMIFS(业务流水!$H$5:$H$1504,业务流水!$F$5:$F$1504,$B$3,业务流水!$D$5:$D$1504,"管理费结算",业务流水!$C$5:$C$1504,$A210,业务流水!$Z$5:$Z$1504,"是"))</f>
        <v/>
      </c>
      <c r="P210" s="41" t="str">
        <f aca="false">IF($A210="","",SUMIFS(业务流水!$H$5:$H$1504,业务流水!$E$5:$E$1504,$B$3,业务流水!$D$5:$D$1504,"扣质保金",业务流水!$C$5:$C$1504,$A210,业务流水!$Z$5:$Z$1504,"是"))</f>
        <v/>
      </c>
      <c r="Q210" s="48" t="str">
        <f aca="false">IF($A210="","",IF(SUM($C210:$F210)+SUM($K210:$M210)=0,"无","有"))</f>
        <v/>
      </c>
    </row>
    <row r="211" customFormat="false" ht="15.75" hidden="false" customHeight="true" outlineLevel="0" collapsed="false">
      <c r="A211" s="32" t="str">
        <f aca="false">IF(项目档案!$A211="","",项目档案!$A211)</f>
        <v/>
      </c>
      <c r="B211" s="40" t="str">
        <f aca="false">IF($A211="","",项目档案!$B211)</f>
        <v/>
      </c>
      <c r="C211" s="41" t="str">
        <f aca="false">IF($A211="","",SUMIFS(业务流水!$H$5:$H$1504,业务流水!$E$5:$E$1504,$B$3,业务流水!$D$5:$D$1504,"销项开票",业务流水!$C$5:$C$1504,$A211,业务流水!$Z$5:$Z$1504,"是"))</f>
        <v/>
      </c>
      <c r="D211" s="41" t="str">
        <f aca="false">IF($A211="","",SUMIFS(业务流水!$O$5:$O$1504,业务流水!$E$5:$E$1504,$B$3,业务流水!$D$5:$D$1504,"销项开票",业务流水!$C$5:$C$1504,$A211,业务流水!$Z$5:$Z$1504,"是"))</f>
        <v/>
      </c>
      <c r="E211" s="41" t="str">
        <f aca="false">IF($A211="","",SUMIFS(业务流水!$P$5:$P$1504,业务流水!$E$5:$E$1504,$B$3,业务流水!$D$5:$D$1504,"销项开票",业务流水!$C$5:$C$1504,$A211,业务流水!$Z$5:$Z$1504,"是"))</f>
        <v/>
      </c>
      <c r="F211" s="41" t="str">
        <f aca="false">IF($A211="","",SUMIFS(业务流水!$H$5:$H$1504,业务流水!$F$5:$F$1504,$B$3,业务流水!$D$5:$D$1504,"成本票",业务流水!$C$5:$C$1504,$A211,业务流水!$Z$5:$Z$1504,"是")+SUMIFS(业务流水!$H$5:$H$1504,业务流水!$F$5:$F$1504,$B$3,业务流水!$D$5:$D$1504,"销项开票",业务流水!$C$5:$C$1504,$A211,业务流水!$Z$5:$Z$1504,"是"))</f>
        <v/>
      </c>
      <c r="G211" s="42" t="str">
        <f aca="false">IF($A211="","",$E211-$F211)</f>
        <v/>
      </c>
      <c r="H211" s="41" t="str">
        <f aca="false">IF($A211="","",SUMIFS(业务流水!$W$5:$W$1504,业务流水!$E$5:$E$1504,$B$3,业务流水!$D$5:$D$1504,"销项开票",业务流水!$C$5:$C$1504,$A211,业务流水!$Z$5:$Z$1504,"是"))</f>
        <v/>
      </c>
      <c r="I211" s="41" t="str">
        <f aca="false">IF($A211="","",SUMIFS(业务流水!$H$5:$H$1504,业务流水!$E$5:$E$1504,$B$3,业务流水!$D$5:$D$1504,"已交税",业务流水!$C$5:$C$1504,$A211,业务流水!$Z$5:$Z$1504,"是"))</f>
        <v/>
      </c>
      <c r="J211" s="42" t="str">
        <f aca="false">IF($A211="","",$H211-$I211)</f>
        <v/>
      </c>
      <c r="K211" s="41" t="str">
        <f aca="false">IF($A211="","",SUMIFS(业务流水!$H$5:$H$1504,业务流水!$F$5:$F$1504,$B$3,业务流水!$D$5:$D$1504,"挂靠代收",业务流水!$C$5:$C$1504,$A211,业务流水!$Z$5:$Z$1504,"是"))</f>
        <v/>
      </c>
      <c r="L211" s="42" t="str">
        <f aca="false">IF($A211="","",$C211-$K211)</f>
        <v/>
      </c>
      <c r="M211" s="41" t="str">
        <f aca="false">IF($A211="","",SUMIFS(业务流水!$H$5:$H$1504,业务流水!$E$5:$E$1504,$B$3,业务流水!$D$5:$D$1504,"我方收款",业务流水!$C$5:$C$1504,$A211,业务流水!$Z$5:$Z$1504,"是"))</f>
        <v/>
      </c>
      <c r="N211" s="43" t="str">
        <f aca="false">IF($A211="","",$K211-$M211)</f>
        <v/>
      </c>
      <c r="O211" s="41" t="str">
        <f aca="false">IF($A211="","",SUMIFS(业务流水!$H$5:$H$1504,业务流水!$F$5:$F$1504,$B$3,业务流水!$D$5:$D$1504,"管理费结算",业务流水!$C$5:$C$1504,$A211,业务流水!$Z$5:$Z$1504,"是"))</f>
        <v/>
      </c>
      <c r="P211" s="41" t="str">
        <f aca="false">IF($A211="","",SUMIFS(业务流水!$H$5:$H$1504,业务流水!$E$5:$E$1504,$B$3,业务流水!$D$5:$D$1504,"扣质保金",业务流水!$C$5:$C$1504,$A211,业务流水!$Z$5:$Z$1504,"是"))</f>
        <v/>
      </c>
      <c r="Q211" s="48" t="str">
        <f aca="false">IF($A211="","",IF(SUM($C211:$F211)+SUM($K211:$M211)=0,"无","有"))</f>
        <v/>
      </c>
    </row>
    <row r="212" customFormat="false" ht="15.75" hidden="false" customHeight="true" outlineLevel="0" collapsed="false">
      <c r="A212" s="32" t="str">
        <f aca="false">IF(项目档案!$A212="","",项目档案!$A212)</f>
        <v/>
      </c>
      <c r="B212" s="40" t="str">
        <f aca="false">IF($A212="","",项目档案!$B212)</f>
        <v/>
      </c>
      <c r="C212" s="41" t="str">
        <f aca="false">IF($A212="","",SUMIFS(业务流水!$H$5:$H$1504,业务流水!$E$5:$E$1504,$B$3,业务流水!$D$5:$D$1504,"销项开票",业务流水!$C$5:$C$1504,$A212,业务流水!$Z$5:$Z$1504,"是"))</f>
        <v/>
      </c>
      <c r="D212" s="41" t="str">
        <f aca="false">IF($A212="","",SUMIFS(业务流水!$O$5:$O$1504,业务流水!$E$5:$E$1504,$B$3,业务流水!$D$5:$D$1504,"销项开票",业务流水!$C$5:$C$1504,$A212,业务流水!$Z$5:$Z$1504,"是"))</f>
        <v/>
      </c>
      <c r="E212" s="41" t="str">
        <f aca="false">IF($A212="","",SUMIFS(业务流水!$P$5:$P$1504,业务流水!$E$5:$E$1504,$B$3,业务流水!$D$5:$D$1504,"销项开票",业务流水!$C$5:$C$1504,$A212,业务流水!$Z$5:$Z$1504,"是"))</f>
        <v/>
      </c>
      <c r="F212" s="41" t="str">
        <f aca="false">IF($A212="","",SUMIFS(业务流水!$H$5:$H$1504,业务流水!$F$5:$F$1504,$B$3,业务流水!$D$5:$D$1504,"成本票",业务流水!$C$5:$C$1504,$A212,业务流水!$Z$5:$Z$1504,"是")+SUMIFS(业务流水!$H$5:$H$1504,业务流水!$F$5:$F$1504,$B$3,业务流水!$D$5:$D$1504,"销项开票",业务流水!$C$5:$C$1504,$A212,业务流水!$Z$5:$Z$1504,"是"))</f>
        <v/>
      </c>
      <c r="G212" s="42" t="str">
        <f aca="false">IF($A212="","",$E212-$F212)</f>
        <v/>
      </c>
      <c r="H212" s="41" t="str">
        <f aca="false">IF($A212="","",SUMIFS(业务流水!$W$5:$W$1504,业务流水!$E$5:$E$1504,$B$3,业务流水!$D$5:$D$1504,"销项开票",业务流水!$C$5:$C$1504,$A212,业务流水!$Z$5:$Z$1504,"是"))</f>
        <v/>
      </c>
      <c r="I212" s="41" t="str">
        <f aca="false">IF($A212="","",SUMIFS(业务流水!$H$5:$H$1504,业务流水!$E$5:$E$1504,$B$3,业务流水!$D$5:$D$1504,"已交税",业务流水!$C$5:$C$1504,$A212,业务流水!$Z$5:$Z$1504,"是"))</f>
        <v/>
      </c>
      <c r="J212" s="42" t="str">
        <f aca="false">IF($A212="","",$H212-$I212)</f>
        <v/>
      </c>
      <c r="K212" s="41" t="str">
        <f aca="false">IF($A212="","",SUMIFS(业务流水!$H$5:$H$1504,业务流水!$F$5:$F$1504,$B$3,业务流水!$D$5:$D$1504,"挂靠代收",业务流水!$C$5:$C$1504,$A212,业务流水!$Z$5:$Z$1504,"是"))</f>
        <v/>
      </c>
      <c r="L212" s="42" t="str">
        <f aca="false">IF($A212="","",$C212-$K212)</f>
        <v/>
      </c>
      <c r="M212" s="41" t="str">
        <f aca="false">IF($A212="","",SUMIFS(业务流水!$H$5:$H$1504,业务流水!$E$5:$E$1504,$B$3,业务流水!$D$5:$D$1504,"我方收款",业务流水!$C$5:$C$1504,$A212,业务流水!$Z$5:$Z$1504,"是"))</f>
        <v/>
      </c>
      <c r="N212" s="43" t="str">
        <f aca="false">IF($A212="","",$K212-$M212)</f>
        <v/>
      </c>
      <c r="O212" s="41" t="str">
        <f aca="false">IF($A212="","",SUMIFS(业务流水!$H$5:$H$1504,业务流水!$F$5:$F$1504,$B$3,业务流水!$D$5:$D$1504,"管理费结算",业务流水!$C$5:$C$1504,$A212,业务流水!$Z$5:$Z$1504,"是"))</f>
        <v/>
      </c>
      <c r="P212" s="41" t="str">
        <f aca="false">IF($A212="","",SUMIFS(业务流水!$H$5:$H$1504,业务流水!$E$5:$E$1504,$B$3,业务流水!$D$5:$D$1504,"扣质保金",业务流水!$C$5:$C$1504,$A212,业务流水!$Z$5:$Z$1504,"是"))</f>
        <v/>
      </c>
      <c r="Q212" s="48" t="str">
        <f aca="false">IF($A212="","",IF(SUM($C212:$F212)+SUM($K212:$M212)=0,"无","有"))</f>
        <v/>
      </c>
    </row>
    <row r="213" customFormat="false" ht="15.75" hidden="false" customHeight="true" outlineLevel="0" collapsed="false">
      <c r="A213" s="32" t="str">
        <f aca="false">IF(项目档案!$A213="","",项目档案!$A213)</f>
        <v/>
      </c>
      <c r="B213" s="40" t="str">
        <f aca="false">IF($A213="","",项目档案!$B213)</f>
        <v/>
      </c>
      <c r="C213" s="41" t="str">
        <f aca="false">IF($A213="","",SUMIFS(业务流水!$H$5:$H$1504,业务流水!$E$5:$E$1504,$B$3,业务流水!$D$5:$D$1504,"销项开票",业务流水!$C$5:$C$1504,$A213,业务流水!$Z$5:$Z$1504,"是"))</f>
        <v/>
      </c>
      <c r="D213" s="41" t="str">
        <f aca="false">IF($A213="","",SUMIFS(业务流水!$O$5:$O$1504,业务流水!$E$5:$E$1504,$B$3,业务流水!$D$5:$D$1504,"销项开票",业务流水!$C$5:$C$1504,$A213,业务流水!$Z$5:$Z$1504,"是"))</f>
        <v/>
      </c>
      <c r="E213" s="41" t="str">
        <f aca="false">IF($A213="","",SUMIFS(业务流水!$P$5:$P$1504,业务流水!$E$5:$E$1504,$B$3,业务流水!$D$5:$D$1504,"销项开票",业务流水!$C$5:$C$1504,$A213,业务流水!$Z$5:$Z$1504,"是"))</f>
        <v/>
      </c>
      <c r="F213" s="41" t="str">
        <f aca="false">IF($A213="","",SUMIFS(业务流水!$H$5:$H$1504,业务流水!$F$5:$F$1504,$B$3,业务流水!$D$5:$D$1504,"成本票",业务流水!$C$5:$C$1504,$A213,业务流水!$Z$5:$Z$1504,"是")+SUMIFS(业务流水!$H$5:$H$1504,业务流水!$F$5:$F$1504,$B$3,业务流水!$D$5:$D$1504,"销项开票",业务流水!$C$5:$C$1504,$A213,业务流水!$Z$5:$Z$1504,"是"))</f>
        <v/>
      </c>
      <c r="G213" s="42" t="str">
        <f aca="false">IF($A213="","",$E213-$F213)</f>
        <v/>
      </c>
      <c r="H213" s="41" t="str">
        <f aca="false">IF($A213="","",SUMIFS(业务流水!$W$5:$W$1504,业务流水!$E$5:$E$1504,$B$3,业务流水!$D$5:$D$1504,"销项开票",业务流水!$C$5:$C$1504,$A213,业务流水!$Z$5:$Z$1504,"是"))</f>
        <v/>
      </c>
      <c r="I213" s="41" t="str">
        <f aca="false">IF($A213="","",SUMIFS(业务流水!$H$5:$H$1504,业务流水!$E$5:$E$1504,$B$3,业务流水!$D$5:$D$1504,"已交税",业务流水!$C$5:$C$1504,$A213,业务流水!$Z$5:$Z$1504,"是"))</f>
        <v/>
      </c>
      <c r="J213" s="42" t="str">
        <f aca="false">IF($A213="","",$H213-$I213)</f>
        <v/>
      </c>
      <c r="K213" s="41" t="str">
        <f aca="false">IF($A213="","",SUMIFS(业务流水!$H$5:$H$1504,业务流水!$F$5:$F$1504,$B$3,业务流水!$D$5:$D$1504,"挂靠代收",业务流水!$C$5:$C$1504,$A213,业务流水!$Z$5:$Z$1504,"是"))</f>
        <v/>
      </c>
      <c r="L213" s="42" t="str">
        <f aca="false">IF($A213="","",$C213-$K213)</f>
        <v/>
      </c>
      <c r="M213" s="41" t="str">
        <f aca="false">IF($A213="","",SUMIFS(业务流水!$H$5:$H$1504,业务流水!$E$5:$E$1504,$B$3,业务流水!$D$5:$D$1504,"我方收款",业务流水!$C$5:$C$1504,$A213,业务流水!$Z$5:$Z$1504,"是"))</f>
        <v/>
      </c>
      <c r="N213" s="43" t="str">
        <f aca="false">IF($A213="","",$K213-$M213)</f>
        <v/>
      </c>
      <c r="O213" s="41" t="str">
        <f aca="false">IF($A213="","",SUMIFS(业务流水!$H$5:$H$1504,业务流水!$F$5:$F$1504,$B$3,业务流水!$D$5:$D$1504,"管理费结算",业务流水!$C$5:$C$1504,$A213,业务流水!$Z$5:$Z$1504,"是"))</f>
        <v/>
      </c>
      <c r="P213" s="41" t="str">
        <f aca="false">IF($A213="","",SUMIFS(业务流水!$H$5:$H$1504,业务流水!$E$5:$E$1504,$B$3,业务流水!$D$5:$D$1504,"扣质保金",业务流水!$C$5:$C$1504,$A213,业务流水!$Z$5:$Z$1504,"是"))</f>
        <v/>
      </c>
      <c r="Q213" s="48" t="str">
        <f aca="false">IF($A213="","",IF(SUM($C213:$F213)+SUM($K213:$M213)=0,"无","有"))</f>
        <v/>
      </c>
    </row>
    <row r="214" customFormat="false" ht="15.75" hidden="false" customHeight="true" outlineLevel="0" collapsed="false">
      <c r="A214" s="32" t="str">
        <f aca="false">IF(项目档案!$A214="","",项目档案!$A214)</f>
        <v/>
      </c>
      <c r="B214" s="40" t="str">
        <f aca="false">IF($A214="","",项目档案!$B214)</f>
        <v/>
      </c>
      <c r="C214" s="41" t="str">
        <f aca="false">IF($A214="","",SUMIFS(业务流水!$H$5:$H$1504,业务流水!$E$5:$E$1504,$B$3,业务流水!$D$5:$D$1504,"销项开票",业务流水!$C$5:$C$1504,$A214,业务流水!$Z$5:$Z$1504,"是"))</f>
        <v/>
      </c>
      <c r="D214" s="41" t="str">
        <f aca="false">IF($A214="","",SUMIFS(业务流水!$O$5:$O$1504,业务流水!$E$5:$E$1504,$B$3,业务流水!$D$5:$D$1504,"销项开票",业务流水!$C$5:$C$1504,$A214,业务流水!$Z$5:$Z$1504,"是"))</f>
        <v/>
      </c>
      <c r="E214" s="41" t="str">
        <f aca="false">IF($A214="","",SUMIFS(业务流水!$P$5:$P$1504,业务流水!$E$5:$E$1504,$B$3,业务流水!$D$5:$D$1504,"销项开票",业务流水!$C$5:$C$1504,$A214,业务流水!$Z$5:$Z$1504,"是"))</f>
        <v/>
      </c>
      <c r="F214" s="41" t="str">
        <f aca="false">IF($A214="","",SUMIFS(业务流水!$H$5:$H$1504,业务流水!$F$5:$F$1504,$B$3,业务流水!$D$5:$D$1504,"成本票",业务流水!$C$5:$C$1504,$A214,业务流水!$Z$5:$Z$1504,"是")+SUMIFS(业务流水!$H$5:$H$1504,业务流水!$F$5:$F$1504,$B$3,业务流水!$D$5:$D$1504,"销项开票",业务流水!$C$5:$C$1504,$A214,业务流水!$Z$5:$Z$1504,"是"))</f>
        <v/>
      </c>
      <c r="G214" s="42" t="str">
        <f aca="false">IF($A214="","",$E214-$F214)</f>
        <v/>
      </c>
      <c r="H214" s="41" t="str">
        <f aca="false">IF($A214="","",SUMIFS(业务流水!$W$5:$W$1504,业务流水!$E$5:$E$1504,$B$3,业务流水!$D$5:$D$1504,"销项开票",业务流水!$C$5:$C$1504,$A214,业务流水!$Z$5:$Z$1504,"是"))</f>
        <v/>
      </c>
      <c r="I214" s="41" t="str">
        <f aca="false">IF($A214="","",SUMIFS(业务流水!$H$5:$H$1504,业务流水!$E$5:$E$1504,$B$3,业务流水!$D$5:$D$1504,"已交税",业务流水!$C$5:$C$1504,$A214,业务流水!$Z$5:$Z$1504,"是"))</f>
        <v/>
      </c>
      <c r="J214" s="42" t="str">
        <f aca="false">IF($A214="","",$H214-$I214)</f>
        <v/>
      </c>
      <c r="K214" s="41" t="str">
        <f aca="false">IF($A214="","",SUMIFS(业务流水!$H$5:$H$1504,业务流水!$F$5:$F$1504,$B$3,业务流水!$D$5:$D$1504,"挂靠代收",业务流水!$C$5:$C$1504,$A214,业务流水!$Z$5:$Z$1504,"是"))</f>
        <v/>
      </c>
      <c r="L214" s="42" t="str">
        <f aca="false">IF($A214="","",$C214-$K214)</f>
        <v/>
      </c>
      <c r="M214" s="41" t="str">
        <f aca="false">IF($A214="","",SUMIFS(业务流水!$H$5:$H$1504,业务流水!$E$5:$E$1504,$B$3,业务流水!$D$5:$D$1504,"我方收款",业务流水!$C$5:$C$1504,$A214,业务流水!$Z$5:$Z$1504,"是"))</f>
        <v/>
      </c>
      <c r="N214" s="43" t="str">
        <f aca="false">IF($A214="","",$K214-$M214)</f>
        <v/>
      </c>
      <c r="O214" s="41" t="str">
        <f aca="false">IF($A214="","",SUMIFS(业务流水!$H$5:$H$1504,业务流水!$F$5:$F$1504,$B$3,业务流水!$D$5:$D$1504,"管理费结算",业务流水!$C$5:$C$1504,$A214,业务流水!$Z$5:$Z$1504,"是"))</f>
        <v/>
      </c>
      <c r="P214" s="41" t="str">
        <f aca="false">IF($A214="","",SUMIFS(业务流水!$H$5:$H$1504,业务流水!$E$5:$E$1504,$B$3,业务流水!$D$5:$D$1504,"扣质保金",业务流水!$C$5:$C$1504,$A214,业务流水!$Z$5:$Z$1504,"是"))</f>
        <v/>
      </c>
      <c r="Q214" s="48" t="str">
        <f aca="false">IF($A214="","",IF(SUM($C214:$F214)+SUM($K214:$M214)=0,"无","有"))</f>
        <v/>
      </c>
    </row>
    <row r="215" customFormat="false" ht="15.75" hidden="false" customHeight="true" outlineLevel="0" collapsed="false">
      <c r="A215" s="32" t="str">
        <f aca="false">IF(项目档案!$A215="","",项目档案!$A215)</f>
        <v/>
      </c>
      <c r="B215" s="40" t="str">
        <f aca="false">IF($A215="","",项目档案!$B215)</f>
        <v/>
      </c>
      <c r="C215" s="41" t="str">
        <f aca="false">IF($A215="","",SUMIFS(业务流水!$H$5:$H$1504,业务流水!$E$5:$E$1504,$B$3,业务流水!$D$5:$D$1504,"销项开票",业务流水!$C$5:$C$1504,$A215,业务流水!$Z$5:$Z$1504,"是"))</f>
        <v/>
      </c>
      <c r="D215" s="41" t="str">
        <f aca="false">IF($A215="","",SUMIFS(业务流水!$O$5:$O$1504,业务流水!$E$5:$E$1504,$B$3,业务流水!$D$5:$D$1504,"销项开票",业务流水!$C$5:$C$1504,$A215,业务流水!$Z$5:$Z$1504,"是"))</f>
        <v/>
      </c>
      <c r="E215" s="41" t="str">
        <f aca="false">IF($A215="","",SUMIFS(业务流水!$P$5:$P$1504,业务流水!$E$5:$E$1504,$B$3,业务流水!$D$5:$D$1504,"销项开票",业务流水!$C$5:$C$1504,$A215,业务流水!$Z$5:$Z$1504,"是"))</f>
        <v/>
      </c>
      <c r="F215" s="41" t="str">
        <f aca="false">IF($A215="","",SUMIFS(业务流水!$H$5:$H$1504,业务流水!$F$5:$F$1504,$B$3,业务流水!$D$5:$D$1504,"成本票",业务流水!$C$5:$C$1504,$A215,业务流水!$Z$5:$Z$1504,"是")+SUMIFS(业务流水!$H$5:$H$1504,业务流水!$F$5:$F$1504,$B$3,业务流水!$D$5:$D$1504,"销项开票",业务流水!$C$5:$C$1504,$A215,业务流水!$Z$5:$Z$1504,"是"))</f>
        <v/>
      </c>
      <c r="G215" s="42" t="str">
        <f aca="false">IF($A215="","",$E215-$F215)</f>
        <v/>
      </c>
      <c r="H215" s="41" t="str">
        <f aca="false">IF($A215="","",SUMIFS(业务流水!$W$5:$W$1504,业务流水!$E$5:$E$1504,$B$3,业务流水!$D$5:$D$1504,"销项开票",业务流水!$C$5:$C$1504,$A215,业务流水!$Z$5:$Z$1504,"是"))</f>
        <v/>
      </c>
      <c r="I215" s="41" t="str">
        <f aca="false">IF($A215="","",SUMIFS(业务流水!$H$5:$H$1504,业务流水!$E$5:$E$1504,$B$3,业务流水!$D$5:$D$1504,"已交税",业务流水!$C$5:$C$1504,$A215,业务流水!$Z$5:$Z$1504,"是"))</f>
        <v/>
      </c>
      <c r="J215" s="42" t="str">
        <f aca="false">IF($A215="","",$H215-$I215)</f>
        <v/>
      </c>
      <c r="K215" s="41" t="str">
        <f aca="false">IF($A215="","",SUMIFS(业务流水!$H$5:$H$1504,业务流水!$F$5:$F$1504,$B$3,业务流水!$D$5:$D$1504,"挂靠代收",业务流水!$C$5:$C$1504,$A215,业务流水!$Z$5:$Z$1504,"是"))</f>
        <v/>
      </c>
      <c r="L215" s="42" t="str">
        <f aca="false">IF($A215="","",$C215-$K215)</f>
        <v/>
      </c>
      <c r="M215" s="41" t="str">
        <f aca="false">IF($A215="","",SUMIFS(业务流水!$H$5:$H$1504,业务流水!$E$5:$E$1504,$B$3,业务流水!$D$5:$D$1504,"我方收款",业务流水!$C$5:$C$1504,$A215,业务流水!$Z$5:$Z$1504,"是"))</f>
        <v/>
      </c>
      <c r="N215" s="43" t="str">
        <f aca="false">IF($A215="","",$K215-$M215)</f>
        <v/>
      </c>
      <c r="O215" s="41" t="str">
        <f aca="false">IF($A215="","",SUMIFS(业务流水!$H$5:$H$1504,业务流水!$F$5:$F$1504,$B$3,业务流水!$D$5:$D$1504,"管理费结算",业务流水!$C$5:$C$1504,$A215,业务流水!$Z$5:$Z$1504,"是"))</f>
        <v/>
      </c>
      <c r="P215" s="41" t="str">
        <f aca="false">IF($A215="","",SUMIFS(业务流水!$H$5:$H$1504,业务流水!$E$5:$E$1504,$B$3,业务流水!$D$5:$D$1504,"扣质保金",业务流水!$C$5:$C$1504,$A215,业务流水!$Z$5:$Z$1504,"是"))</f>
        <v/>
      </c>
      <c r="Q215" s="48" t="str">
        <f aca="false">IF($A215="","",IF(SUM($C215:$F215)+SUM($K215:$M215)=0,"无","有"))</f>
        <v/>
      </c>
    </row>
    <row r="216" customFormat="false" ht="15.75" hidden="false" customHeight="true" outlineLevel="0" collapsed="false">
      <c r="A216" s="32" t="str">
        <f aca="false">IF(项目档案!$A216="","",项目档案!$A216)</f>
        <v/>
      </c>
      <c r="B216" s="40" t="str">
        <f aca="false">IF($A216="","",项目档案!$B216)</f>
        <v/>
      </c>
      <c r="C216" s="41" t="str">
        <f aca="false">IF($A216="","",SUMIFS(业务流水!$H$5:$H$1504,业务流水!$E$5:$E$1504,$B$3,业务流水!$D$5:$D$1504,"销项开票",业务流水!$C$5:$C$1504,$A216,业务流水!$Z$5:$Z$1504,"是"))</f>
        <v/>
      </c>
      <c r="D216" s="41" t="str">
        <f aca="false">IF($A216="","",SUMIFS(业务流水!$O$5:$O$1504,业务流水!$E$5:$E$1504,$B$3,业务流水!$D$5:$D$1504,"销项开票",业务流水!$C$5:$C$1504,$A216,业务流水!$Z$5:$Z$1504,"是"))</f>
        <v/>
      </c>
      <c r="E216" s="41" t="str">
        <f aca="false">IF($A216="","",SUMIFS(业务流水!$P$5:$P$1504,业务流水!$E$5:$E$1504,$B$3,业务流水!$D$5:$D$1504,"销项开票",业务流水!$C$5:$C$1504,$A216,业务流水!$Z$5:$Z$1504,"是"))</f>
        <v/>
      </c>
      <c r="F216" s="41" t="str">
        <f aca="false">IF($A216="","",SUMIFS(业务流水!$H$5:$H$1504,业务流水!$F$5:$F$1504,$B$3,业务流水!$D$5:$D$1504,"成本票",业务流水!$C$5:$C$1504,$A216,业务流水!$Z$5:$Z$1504,"是")+SUMIFS(业务流水!$H$5:$H$1504,业务流水!$F$5:$F$1504,$B$3,业务流水!$D$5:$D$1504,"销项开票",业务流水!$C$5:$C$1504,$A216,业务流水!$Z$5:$Z$1504,"是"))</f>
        <v/>
      </c>
      <c r="G216" s="42" t="str">
        <f aca="false">IF($A216="","",$E216-$F216)</f>
        <v/>
      </c>
      <c r="H216" s="41" t="str">
        <f aca="false">IF($A216="","",SUMIFS(业务流水!$W$5:$W$1504,业务流水!$E$5:$E$1504,$B$3,业务流水!$D$5:$D$1504,"销项开票",业务流水!$C$5:$C$1504,$A216,业务流水!$Z$5:$Z$1504,"是"))</f>
        <v/>
      </c>
      <c r="I216" s="41" t="str">
        <f aca="false">IF($A216="","",SUMIFS(业务流水!$H$5:$H$1504,业务流水!$E$5:$E$1504,$B$3,业务流水!$D$5:$D$1504,"已交税",业务流水!$C$5:$C$1504,$A216,业务流水!$Z$5:$Z$1504,"是"))</f>
        <v/>
      </c>
      <c r="J216" s="42" t="str">
        <f aca="false">IF($A216="","",$H216-$I216)</f>
        <v/>
      </c>
      <c r="K216" s="41" t="str">
        <f aca="false">IF($A216="","",SUMIFS(业务流水!$H$5:$H$1504,业务流水!$F$5:$F$1504,$B$3,业务流水!$D$5:$D$1504,"挂靠代收",业务流水!$C$5:$C$1504,$A216,业务流水!$Z$5:$Z$1504,"是"))</f>
        <v/>
      </c>
      <c r="L216" s="42" t="str">
        <f aca="false">IF($A216="","",$C216-$K216)</f>
        <v/>
      </c>
      <c r="M216" s="41" t="str">
        <f aca="false">IF($A216="","",SUMIFS(业务流水!$H$5:$H$1504,业务流水!$E$5:$E$1504,$B$3,业务流水!$D$5:$D$1504,"我方收款",业务流水!$C$5:$C$1504,$A216,业务流水!$Z$5:$Z$1504,"是"))</f>
        <v/>
      </c>
      <c r="N216" s="43" t="str">
        <f aca="false">IF($A216="","",$K216-$M216)</f>
        <v/>
      </c>
      <c r="O216" s="41" t="str">
        <f aca="false">IF($A216="","",SUMIFS(业务流水!$H$5:$H$1504,业务流水!$F$5:$F$1504,$B$3,业务流水!$D$5:$D$1504,"管理费结算",业务流水!$C$5:$C$1504,$A216,业务流水!$Z$5:$Z$1504,"是"))</f>
        <v/>
      </c>
      <c r="P216" s="41" t="str">
        <f aca="false">IF($A216="","",SUMIFS(业务流水!$H$5:$H$1504,业务流水!$E$5:$E$1504,$B$3,业务流水!$D$5:$D$1504,"扣质保金",业务流水!$C$5:$C$1504,$A216,业务流水!$Z$5:$Z$1504,"是"))</f>
        <v/>
      </c>
      <c r="Q216" s="48" t="str">
        <f aca="false">IF($A216="","",IF(SUM($C216:$F216)+SUM($K216:$M216)=0,"无","有"))</f>
        <v/>
      </c>
    </row>
    <row r="217" customFormat="false" ht="15.75" hidden="false" customHeight="true" outlineLevel="0" collapsed="false">
      <c r="A217" s="32" t="str">
        <f aca="false">IF(项目档案!$A217="","",项目档案!$A217)</f>
        <v/>
      </c>
      <c r="B217" s="40" t="str">
        <f aca="false">IF($A217="","",项目档案!$B217)</f>
        <v/>
      </c>
      <c r="C217" s="41" t="str">
        <f aca="false">IF($A217="","",SUMIFS(业务流水!$H$5:$H$1504,业务流水!$E$5:$E$1504,$B$3,业务流水!$D$5:$D$1504,"销项开票",业务流水!$C$5:$C$1504,$A217,业务流水!$Z$5:$Z$1504,"是"))</f>
        <v/>
      </c>
      <c r="D217" s="41" t="str">
        <f aca="false">IF($A217="","",SUMIFS(业务流水!$O$5:$O$1504,业务流水!$E$5:$E$1504,$B$3,业务流水!$D$5:$D$1504,"销项开票",业务流水!$C$5:$C$1504,$A217,业务流水!$Z$5:$Z$1504,"是"))</f>
        <v/>
      </c>
      <c r="E217" s="41" t="str">
        <f aca="false">IF($A217="","",SUMIFS(业务流水!$P$5:$P$1504,业务流水!$E$5:$E$1504,$B$3,业务流水!$D$5:$D$1504,"销项开票",业务流水!$C$5:$C$1504,$A217,业务流水!$Z$5:$Z$1504,"是"))</f>
        <v/>
      </c>
      <c r="F217" s="41" t="str">
        <f aca="false">IF($A217="","",SUMIFS(业务流水!$H$5:$H$1504,业务流水!$F$5:$F$1504,$B$3,业务流水!$D$5:$D$1504,"成本票",业务流水!$C$5:$C$1504,$A217,业务流水!$Z$5:$Z$1504,"是")+SUMIFS(业务流水!$H$5:$H$1504,业务流水!$F$5:$F$1504,$B$3,业务流水!$D$5:$D$1504,"销项开票",业务流水!$C$5:$C$1504,$A217,业务流水!$Z$5:$Z$1504,"是"))</f>
        <v/>
      </c>
      <c r="G217" s="42" t="str">
        <f aca="false">IF($A217="","",$E217-$F217)</f>
        <v/>
      </c>
      <c r="H217" s="41" t="str">
        <f aca="false">IF($A217="","",SUMIFS(业务流水!$W$5:$W$1504,业务流水!$E$5:$E$1504,$B$3,业务流水!$D$5:$D$1504,"销项开票",业务流水!$C$5:$C$1504,$A217,业务流水!$Z$5:$Z$1504,"是"))</f>
        <v/>
      </c>
      <c r="I217" s="41" t="str">
        <f aca="false">IF($A217="","",SUMIFS(业务流水!$H$5:$H$1504,业务流水!$E$5:$E$1504,$B$3,业务流水!$D$5:$D$1504,"已交税",业务流水!$C$5:$C$1504,$A217,业务流水!$Z$5:$Z$1504,"是"))</f>
        <v/>
      </c>
      <c r="J217" s="42" t="str">
        <f aca="false">IF($A217="","",$H217-$I217)</f>
        <v/>
      </c>
      <c r="K217" s="41" t="str">
        <f aca="false">IF($A217="","",SUMIFS(业务流水!$H$5:$H$1504,业务流水!$F$5:$F$1504,$B$3,业务流水!$D$5:$D$1504,"挂靠代收",业务流水!$C$5:$C$1504,$A217,业务流水!$Z$5:$Z$1504,"是"))</f>
        <v/>
      </c>
      <c r="L217" s="42" t="str">
        <f aca="false">IF($A217="","",$C217-$K217)</f>
        <v/>
      </c>
      <c r="M217" s="41" t="str">
        <f aca="false">IF($A217="","",SUMIFS(业务流水!$H$5:$H$1504,业务流水!$E$5:$E$1504,$B$3,业务流水!$D$5:$D$1504,"我方收款",业务流水!$C$5:$C$1504,$A217,业务流水!$Z$5:$Z$1504,"是"))</f>
        <v/>
      </c>
      <c r="N217" s="43" t="str">
        <f aca="false">IF($A217="","",$K217-$M217)</f>
        <v/>
      </c>
      <c r="O217" s="41" t="str">
        <f aca="false">IF($A217="","",SUMIFS(业务流水!$H$5:$H$1504,业务流水!$F$5:$F$1504,$B$3,业务流水!$D$5:$D$1504,"管理费结算",业务流水!$C$5:$C$1504,$A217,业务流水!$Z$5:$Z$1504,"是"))</f>
        <v/>
      </c>
      <c r="P217" s="41" t="str">
        <f aca="false">IF($A217="","",SUMIFS(业务流水!$H$5:$H$1504,业务流水!$E$5:$E$1504,$B$3,业务流水!$D$5:$D$1504,"扣质保金",业务流水!$C$5:$C$1504,$A217,业务流水!$Z$5:$Z$1504,"是"))</f>
        <v/>
      </c>
      <c r="Q217" s="48" t="str">
        <f aca="false">IF($A217="","",IF(SUM($C217:$F217)+SUM($K217:$M217)=0,"无","有"))</f>
        <v/>
      </c>
    </row>
    <row r="218" customFormat="false" ht="15.75" hidden="false" customHeight="true" outlineLevel="0" collapsed="false">
      <c r="A218" s="32" t="str">
        <f aca="false">IF(项目档案!$A218="","",项目档案!$A218)</f>
        <v/>
      </c>
      <c r="B218" s="40" t="str">
        <f aca="false">IF($A218="","",项目档案!$B218)</f>
        <v/>
      </c>
      <c r="C218" s="41" t="str">
        <f aca="false">IF($A218="","",SUMIFS(业务流水!$H$5:$H$1504,业务流水!$E$5:$E$1504,$B$3,业务流水!$D$5:$D$1504,"销项开票",业务流水!$C$5:$C$1504,$A218,业务流水!$Z$5:$Z$1504,"是"))</f>
        <v/>
      </c>
      <c r="D218" s="41" t="str">
        <f aca="false">IF($A218="","",SUMIFS(业务流水!$O$5:$O$1504,业务流水!$E$5:$E$1504,$B$3,业务流水!$D$5:$D$1504,"销项开票",业务流水!$C$5:$C$1504,$A218,业务流水!$Z$5:$Z$1504,"是"))</f>
        <v/>
      </c>
      <c r="E218" s="41" t="str">
        <f aca="false">IF($A218="","",SUMIFS(业务流水!$P$5:$P$1504,业务流水!$E$5:$E$1504,$B$3,业务流水!$D$5:$D$1504,"销项开票",业务流水!$C$5:$C$1504,$A218,业务流水!$Z$5:$Z$1504,"是"))</f>
        <v/>
      </c>
      <c r="F218" s="41" t="str">
        <f aca="false">IF($A218="","",SUMIFS(业务流水!$H$5:$H$1504,业务流水!$F$5:$F$1504,$B$3,业务流水!$D$5:$D$1504,"成本票",业务流水!$C$5:$C$1504,$A218,业务流水!$Z$5:$Z$1504,"是")+SUMIFS(业务流水!$H$5:$H$1504,业务流水!$F$5:$F$1504,$B$3,业务流水!$D$5:$D$1504,"销项开票",业务流水!$C$5:$C$1504,$A218,业务流水!$Z$5:$Z$1504,"是"))</f>
        <v/>
      </c>
      <c r="G218" s="42" t="str">
        <f aca="false">IF($A218="","",$E218-$F218)</f>
        <v/>
      </c>
      <c r="H218" s="41" t="str">
        <f aca="false">IF($A218="","",SUMIFS(业务流水!$W$5:$W$1504,业务流水!$E$5:$E$1504,$B$3,业务流水!$D$5:$D$1504,"销项开票",业务流水!$C$5:$C$1504,$A218,业务流水!$Z$5:$Z$1504,"是"))</f>
        <v/>
      </c>
      <c r="I218" s="41" t="str">
        <f aca="false">IF($A218="","",SUMIFS(业务流水!$H$5:$H$1504,业务流水!$E$5:$E$1504,$B$3,业务流水!$D$5:$D$1504,"已交税",业务流水!$C$5:$C$1504,$A218,业务流水!$Z$5:$Z$1504,"是"))</f>
        <v/>
      </c>
      <c r="J218" s="42" t="str">
        <f aca="false">IF($A218="","",$H218-$I218)</f>
        <v/>
      </c>
      <c r="K218" s="41" t="str">
        <f aca="false">IF($A218="","",SUMIFS(业务流水!$H$5:$H$1504,业务流水!$F$5:$F$1504,$B$3,业务流水!$D$5:$D$1504,"挂靠代收",业务流水!$C$5:$C$1504,$A218,业务流水!$Z$5:$Z$1504,"是"))</f>
        <v/>
      </c>
      <c r="L218" s="42" t="str">
        <f aca="false">IF($A218="","",$C218-$K218)</f>
        <v/>
      </c>
      <c r="M218" s="41" t="str">
        <f aca="false">IF($A218="","",SUMIFS(业务流水!$H$5:$H$1504,业务流水!$E$5:$E$1504,$B$3,业务流水!$D$5:$D$1504,"我方收款",业务流水!$C$5:$C$1504,$A218,业务流水!$Z$5:$Z$1504,"是"))</f>
        <v/>
      </c>
      <c r="N218" s="43" t="str">
        <f aca="false">IF($A218="","",$K218-$M218)</f>
        <v/>
      </c>
      <c r="O218" s="41" t="str">
        <f aca="false">IF($A218="","",SUMIFS(业务流水!$H$5:$H$1504,业务流水!$F$5:$F$1504,$B$3,业务流水!$D$5:$D$1504,"管理费结算",业务流水!$C$5:$C$1504,$A218,业务流水!$Z$5:$Z$1504,"是"))</f>
        <v/>
      </c>
      <c r="P218" s="41" t="str">
        <f aca="false">IF($A218="","",SUMIFS(业务流水!$H$5:$H$1504,业务流水!$E$5:$E$1504,$B$3,业务流水!$D$5:$D$1504,"扣质保金",业务流水!$C$5:$C$1504,$A218,业务流水!$Z$5:$Z$1504,"是"))</f>
        <v/>
      </c>
      <c r="Q218" s="48" t="str">
        <f aca="false">IF($A218="","",IF(SUM($C218:$F218)+SUM($K218:$M218)=0,"无","有"))</f>
        <v/>
      </c>
    </row>
    <row r="219" customFormat="false" ht="15.75" hidden="false" customHeight="true" outlineLevel="0" collapsed="false">
      <c r="A219" s="32" t="str">
        <f aca="false">IF(项目档案!$A219="","",项目档案!$A219)</f>
        <v/>
      </c>
      <c r="B219" s="40" t="str">
        <f aca="false">IF($A219="","",项目档案!$B219)</f>
        <v/>
      </c>
      <c r="C219" s="41" t="str">
        <f aca="false">IF($A219="","",SUMIFS(业务流水!$H$5:$H$1504,业务流水!$E$5:$E$1504,$B$3,业务流水!$D$5:$D$1504,"销项开票",业务流水!$C$5:$C$1504,$A219,业务流水!$Z$5:$Z$1504,"是"))</f>
        <v/>
      </c>
      <c r="D219" s="41" t="str">
        <f aca="false">IF($A219="","",SUMIFS(业务流水!$O$5:$O$1504,业务流水!$E$5:$E$1504,$B$3,业务流水!$D$5:$D$1504,"销项开票",业务流水!$C$5:$C$1504,$A219,业务流水!$Z$5:$Z$1504,"是"))</f>
        <v/>
      </c>
      <c r="E219" s="41" t="str">
        <f aca="false">IF($A219="","",SUMIFS(业务流水!$P$5:$P$1504,业务流水!$E$5:$E$1504,$B$3,业务流水!$D$5:$D$1504,"销项开票",业务流水!$C$5:$C$1504,$A219,业务流水!$Z$5:$Z$1504,"是"))</f>
        <v/>
      </c>
      <c r="F219" s="41" t="str">
        <f aca="false">IF($A219="","",SUMIFS(业务流水!$H$5:$H$1504,业务流水!$F$5:$F$1504,$B$3,业务流水!$D$5:$D$1504,"成本票",业务流水!$C$5:$C$1504,$A219,业务流水!$Z$5:$Z$1504,"是")+SUMIFS(业务流水!$H$5:$H$1504,业务流水!$F$5:$F$1504,$B$3,业务流水!$D$5:$D$1504,"销项开票",业务流水!$C$5:$C$1504,$A219,业务流水!$Z$5:$Z$1504,"是"))</f>
        <v/>
      </c>
      <c r="G219" s="42" t="str">
        <f aca="false">IF($A219="","",$E219-$F219)</f>
        <v/>
      </c>
      <c r="H219" s="41" t="str">
        <f aca="false">IF($A219="","",SUMIFS(业务流水!$W$5:$W$1504,业务流水!$E$5:$E$1504,$B$3,业务流水!$D$5:$D$1504,"销项开票",业务流水!$C$5:$C$1504,$A219,业务流水!$Z$5:$Z$1504,"是"))</f>
        <v/>
      </c>
      <c r="I219" s="41" t="str">
        <f aca="false">IF($A219="","",SUMIFS(业务流水!$H$5:$H$1504,业务流水!$E$5:$E$1504,$B$3,业务流水!$D$5:$D$1504,"已交税",业务流水!$C$5:$C$1504,$A219,业务流水!$Z$5:$Z$1504,"是"))</f>
        <v/>
      </c>
      <c r="J219" s="42" t="str">
        <f aca="false">IF($A219="","",$H219-$I219)</f>
        <v/>
      </c>
      <c r="K219" s="41" t="str">
        <f aca="false">IF($A219="","",SUMIFS(业务流水!$H$5:$H$1504,业务流水!$F$5:$F$1504,$B$3,业务流水!$D$5:$D$1504,"挂靠代收",业务流水!$C$5:$C$1504,$A219,业务流水!$Z$5:$Z$1504,"是"))</f>
        <v/>
      </c>
      <c r="L219" s="42" t="str">
        <f aca="false">IF($A219="","",$C219-$K219)</f>
        <v/>
      </c>
      <c r="M219" s="41" t="str">
        <f aca="false">IF($A219="","",SUMIFS(业务流水!$H$5:$H$1504,业务流水!$E$5:$E$1504,$B$3,业务流水!$D$5:$D$1504,"我方收款",业务流水!$C$5:$C$1504,$A219,业务流水!$Z$5:$Z$1504,"是"))</f>
        <v/>
      </c>
      <c r="N219" s="43" t="str">
        <f aca="false">IF($A219="","",$K219-$M219)</f>
        <v/>
      </c>
      <c r="O219" s="41" t="str">
        <f aca="false">IF($A219="","",SUMIFS(业务流水!$H$5:$H$1504,业务流水!$F$5:$F$1504,$B$3,业务流水!$D$5:$D$1504,"管理费结算",业务流水!$C$5:$C$1504,$A219,业务流水!$Z$5:$Z$1504,"是"))</f>
        <v/>
      </c>
      <c r="P219" s="41" t="str">
        <f aca="false">IF($A219="","",SUMIFS(业务流水!$H$5:$H$1504,业务流水!$E$5:$E$1504,$B$3,业务流水!$D$5:$D$1504,"扣质保金",业务流水!$C$5:$C$1504,$A219,业务流水!$Z$5:$Z$1504,"是"))</f>
        <v/>
      </c>
      <c r="Q219" s="48" t="str">
        <f aca="false">IF($A219="","",IF(SUM($C219:$F219)+SUM($K219:$M219)=0,"无","有"))</f>
        <v/>
      </c>
    </row>
    <row r="220" customFormat="false" ht="15.75" hidden="false" customHeight="true" outlineLevel="0" collapsed="false">
      <c r="A220" s="32" t="str">
        <f aca="false">IF(项目档案!$A220="","",项目档案!$A220)</f>
        <v/>
      </c>
      <c r="B220" s="40" t="str">
        <f aca="false">IF($A220="","",项目档案!$B220)</f>
        <v/>
      </c>
      <c r="C220" s="41" t="str">
        <f aca="false">IF($A220="","",SUMIFS(业务流水!$H$5:$H$1504,业务流水!$E$5:$E$1504,$B$3,业务流水!$D$5:$D$1504,"销项开票",业务流水!$C$5:$C$1504,$A220,业务流水!$Z$5:$Z$1504,"是"))</f>
        <v/>
      </c>
      <c r="D220" s="41" t="str">
        <f aca="false">IF($A220="","",SUMIFS(业务流水!$O$5:$O$1504,业务流水!$E$5:$E$1504,$B$3,业务流水!$D$5:$D$1504,"销项开票",业务流水!$C$5:$C$1504,$A220,业务流水!$Z$5:$Z$1504,"是"))</f>
        <v/>
      </c>
      <c r="E220" s="41" t="str">
        <f aca="false">IF($A220="","",SUMIFS(业务流水!$P$5:$P$1504,业务流水!$E$5:$E$1504,$B$3,业务流水!$D$5:$D$1504,"销项开票",业务流水!$C$5:$C$1504,$A220,业务流水!$Z$5:$Z$1504,"是"))</f>
        <v/>
      </c>
      <c r="F220" s="41" t="str">
        <f aca="false">IF($A220="","",SUMIFS(业务流水!$H$5:$H$1504,业务流水!$F$5:$F$1504,$B$3,业务流水!$D$5:$D$1504,"成本票",业务流水!$C$5:$C$1504,$A220,业务流水!$Z$5:$Z$1504,"是")+SUMIFS(业务流水!$H$5:$H$1504,业务流水!$F$5:$F$1504,$B$3,业务流水!$D$5:$D$1504,"销项开票",业务流水!$C$5:$C$1504,$A220,业务流水!$Z$5:$Z$1504,"是"))</f>
        <v/>
      </c>
      <c r="G220" s="42" t="str">
        <f aca="false">IF($A220="","",$E220-$F220)</f>
        <v/>
      </c>
      <c r="H220" s="41" t="str">
        <f aca="false">IF($A220="","",SUMIFS(业务流水!$W$5:$W$1504,业务流水!$E$5:$E$1504,$B$3,业务流水!$D$5:$D$1504,"销项开票",业务流水!$C$5:$C$1504,$A220,业务流水!$Z$5:$Z$1504,"是"))</f>
        <v/>
      </c>
      <c r="I220" s="41" t="str">
        <f aca="false">IF($A220="","",SUMIFS(业务流水!$H$5:$H$1504,业务流水!$E$5:$E$1504,$B$3,业务流水!$D$5:$D$1504,"已交税",业务流水!$C$5:$C$1504,$A220,业务流水!$Z$5:$Z$1504,"是"))</f>
        <v/>
      </c>
      <c r="J220" s="42" t="str">
        <f aca="false">IF($A220="","",$H220-$I220)</f>
        <v/>
      </c>
      <c r="K220" s="41" t="str">
        <f aca="false">IF($A220="","",SUMIFS(业务流水!$H$5:$H$1504,业务流水!$F$5:$F$1504,$B$3,业务流水!$D$5:$D$1504,"挂靠代收",业务流水!$C$5:$C$1504,$A220,业务流水!$Z$5:$Z$1504,"是"))</f>
        <v/>
      </c>
      <c r="L220" s="42" t="str">
        <f aca="false">IF($A220="","",$C220-$K220)</f>
        <v/>
      </c>
      <c r="M220" s="41" t="str">
        <f aca="false">IF($A220="","",SUMIFS(业务流水!$H$5:$H$1504,业务流水!$E$5:$E$1504,$B$3,业务流水!$D$5:$D$1504,"我方收款",业务流水!$C$5:$C$1504,$A220,业务流水!$Z$5:$Z$1504,"是"))</f>
        <v/>
      </c>
      <c r="N220" s="43" t="str">
        <f aca="false">IF($A220="","",$K220-$M220)</f>
        <v/>
      </c>
      <c r="O220" s="41" t="str">
        <f aca="false">IF($A220="","",SUMIFS(业务流水!$H$5:$H$1504,业务流水!$F$5:$F$1504,$B$3,业务流水!$D$5:$D$1504,"管理费结算",业务流水!$C$5:$C$1504,$A220,业务流水!$Z$5:$Z$1504,"是"))</f>
        <v/>
      </c>
      <c r="P220" s="41" t="str">
        <f aca="false">IF($A220="","",SUMIFS(业务流水!$H$5:$H$1504,业务流水!$E$5:$E$1504,$B$3,业务流水!$D$5:$D$1504,"扣质保金",业务流水!$C$5:$C$1504,$A220,业务流水!$Z$5:$Z$1504,"是"))</f>
        <v/>
      </c>
      <c r="Q220" s="48" t="str">
        <f aca="false">IF($A220="","",IF(SUM($C220:$F220)+SUM($K220:$M220)=0,"无","有"))</f>
        <v/>
      </c>
    </row>
    <row r="221" customFormat="false" ht="15.75" hidden="false" customHeight="true" outlineLevel="0" collapsed="false">
      <c r="A221" s="32" t="str">
        <f aca="false">IF(项目档案!$A221="","",项目档案!$A221)</f>
        <v/>
      </c>
      <c r="B221" s="40" t="str">
        <f aca="false">IF($A221="","",项目档案!$B221)</f>
        <v/>
      </c>
      <c r="C221" s="41" t="str">
        <f aca="false">IF($A221="","",SUMIFS(业务流水!$H$5:$H$1504,业务流水!$E$5:$E$1504,$B$3,业务流水!$D$5:$D$1504,"销项开票",业务流水!$C$5:$C$1504,$A221,业务流水!$Z$5:$Z$1504,"是"))</f>
        <v/>
      </c>
      <c r="D221" s="41" t="str">
        <f aca="false">IF($A221="","",SUMIFS(业务流水!$O$5:$O$1504,业务流水!$E$5:$E$1504,$B$3,业务流水!$D$5:$D$1504,"销项开票",业务流水!$C$5:$C$1504,$A221,业务流水!$Z$5:$Z$1504,"是"))</f>
        <v/>
      </c>
      <c r="E221" s="41" t="str">
        <f aca="false">IF($A221="","",SUMIFS(业务流水!$P$5:$P$1504,业务流水!$E$5:$E$1504,$B$3,业务流水!$D$5:$D$1504,"销项开票",业务流水!$C$5:$C$1504,$A221,业务流水!$Z$5:$Z$1504,"是"))</f>
        <v/>
      </c>
      <c r="F221" s="41" t="str">
        <f aca="false">IF($A221="","",SUMIFS(业务流水!$H$5:$H$1504,业务流水!$F$5:$F$1504,$B$3,业务流水!$D$5:$D$1504,"成本票",业务流水!$C$5:$C$1504,$A221,业务流水!$Z$5:$Z$1504,"是")+SUMIFS(业务流水!$H$5:$H$1504,业务流水!$F$5:$F$1504,$B$3,业务流水!$D$5:$D$1504,"销项开票",业务流水!$C$5:$C$1504,$A221,业务流水!$Z$5:$Z$1504,"是"))</f>
        <v/>
      </c>
      <c r="G221" s="42" t="str">
        <f aca="false">IF($A221="","",$E221-$F221)</f>
        <v/>
      </c>
      <c r="H221" s="41" t="str">
        <f aca="false">IF($A221="","",SUMIFS(业务流水!$W$5:$W$1504,业务流水!$E$5:$E$1504,$B$3,业务流水!$D$5:$D$1504,"销项开票",业务流水!$C$5:$C$1504,$A221,业务流水!$Z$5:$Z$1504,"是"))</f>
        <v/>
      </c>
      <c r="I221" s="41" t="str">
        <f aca="false">IF($A221="","",SUMIFS(业务流水!$H$5:$H$1504,业务流水!$E$5:$E$1504,$B$3,业务流水!$D$5:$D$1504,"已交税",业务流水!$C$5:$C$1504,$A221,业务流水!$Z$5:$Z$1504,"是"))</f>
        <v/>
      </c>
      <c r="J221" s="42" t="str">
        <f aca="false">IF($A221="","",$H221-$I221)</f>
        <v/>
      </c>
      <c r="K221" s="41" t="str">
        <f aca="false">IF($A221="","",SUMIFS(业务流水!$H$5:$H$1504,业务流水!$F$5:$F$1504,$B$3,业务流水!$D$5:$D$1504,"挂靠代收",业务流水!$C$5:$C$1504,$A221,业务流水!$Z$5:$Z$1504,"是"))</f>
        <v/>
      </c>
      <c r="L221" s="42" t="str">
        <f aca="false">IF($A221="","",$C221-$K221)</f>
        <v/>
      </c>
      <c r="M221" s="41" t="str">
        <f aca="false">IF($A221="","",SUMIFS(业务流水!$H$5:$H$1504,业务流水!$E$5:$E$1504,$B$3,业务流水!$D$5:$D$1504,"我方收款",业务流水!$C$5:$C$1504,$A221,业务流水!$Z$5:$Z$1504,"是"))</f>
        <v/>
      </c>
      <c r="N221" s="43" t="str">
        <f aca="false">IF($A221="","",$K221-$M221)</f>
        <v/>
      </c>
      <c r="O221" s="41" t="str">
        <f aca="false">IF($A221="","",SUMIFS(业务流水!$H$5:$H$1504,业务流水!$F$5:$F$1504,$B$3,业务流水!$D$5:$D$1504,"管理费结算",业务流水!$C$5:$C$1504,$A221,业务流水!$Z$5:$Z$1504,"是"))</f>
        <v/>
      </c>
      <c r="P221" s="41" t="str">
        <f aca="false">IF($A221="","",SUMIFS(业务流水!$H$5:$H$1504,业务流水!$E$5:$E$1504,$B$3,业务流水!$D$5:$D$1504,"扣质保金",业务流水!$C$5:$C$1504,$A221,业务流水!$Z$5:$Z$1504,"是"))</f>
        <v/>
      </c>
      <c r="Q221" s="48" t="str">
        <f aca="false">IF($A221="","",IF(SUM($C221:$F221)+SUM($K221:$M221)=0,"无","有"))</f>
        <v/>
      </c>
    </row>
    <row r="222" customFormat="false" ht="15.75" hidden="false" customHeight="true" outlineLevel="0" collapsed="false">
      <c r="A222" s="32" t="str">
        <f aca="false">IF(项目档案!$A222="","",项目档案!$A222)</f>
        <v/>
      </c>
      <c r="B222" s="40" t="str">
        <f aca="false">IF($A222="","",项目档案!$B222)</f>
        <v/>
      </c>
      <c r="C222" s="41" t="str">
        <f aca="false">IF($A222="","",SUMIFS(业务流水!$H$5:$H$1504,业务流水!$E$5:$E$1504,$B$3,业务流水!$D$5:$D$1504,"销项开票",业务流水!$C$5:$C$1504,$A222,业务流水!$Z$5:$Z$1504,"是"))</f>
        <v/>
      </c>
      <c r="D222" s="41" t="str">
        <f aca="false">IF($A222="","",SUMIFS(业务流水!$O$5:$O$1504,业务流水!$E$5:$E$1504,$B$3,业务流水!$D$5:$D$1504,"销项开票",业务流水!$C$5:$C$1504,$A222,业务流水!$Z$5:$Z$1504,"是"))</f>
        <v/>
      </c>
      <c r="E222" s="41" t="str">
        <f aca="false">IF($A222="","",SUMIFS(业务流水!$P$5:$P$1504,业务流水!$E$5:$E$1504,$B$3,业务流水!$D$5:$D$1504,"销项开票",业务流水!$C$5:$C$1504,$A222,业务流水!$Z$5:$Z$1504,"是"))</f>
        <v/>
      </c>
      <c r="F222" s="41" t="str">
        <f aca="false">IF($A222="","",SUMIFS(业务流水!$H$5:$H$1504,业务流水!$F$5:$F$1504,$B$3,业务流水!$D$5:$D$1504,"成本票",业务流水!$C$5:$C$1504,$A222,业务流水!$Z$5:$Z$1504,"是")+SUMIFS(业务流水!$H$5:$H$1504,业务流水!$F$5:$F$1504,$B$3,业务流水!$D$5:$D$1504,"销项开票",业务流水!$C$5:$C$1504,$A222,业务流水!$Z$5:$Z$1504,"是"))</f>
        <v/>
      </c>
      <c r="G222" s="42" t="str">
        <f aca="false">IF($A222="","",$E222-$F222)</f>
        <v/>
      </c>
      <c r="H222" s="41" t="str">
        <f aca="false">IF($A222="","",SUMIFS(业务流水!$W$5:$W$1504,业务流水!$E$5:$E$1504,$B$3,业务流水!$D$5:$D$1504,"销项开票",业务流水!$C$5:$C$1504,$A222,业务流水!$Z$5:$Z$1504,"是"))</f>
        <v/>
      </c>
      <c r="I222" s="41" t="str">
        <f aca="false">IF($A222="","",SUMIFS(业务流水!$H$5:$H$1504,业务流水!$E$5:$E$1504,$B$3,业务流水!$D$5:$D$1504,"已交税",业务流水!$C$5:$C$1504,$A222,业务流水!$Z$5:$Z$1504,"是"))</f>
        <v/>
      </c>
      <c r="J222" s="42" t="str">
        <f aca="false">IF($A222="","",$H222-$I222)</f>
        <v/>
      </c>
      <c r="K222" s="41" t="str">
        <f aca="false">IF($A222="","",SUMIFS(业务流水!$H$5:$H$1504,业务流水!$F$5:$F$1504,$B$3,业务流水!$D$5:$D$1504,"挂靠代收",业务流水!$C$5:$C$1504,$A222,业务流水!$Z$5:$Z$1504,"是"))</f>
        <v/>
      </c>
      <c r="L222" s="42" t="str">
        <f aca="false">IF($A222="","",$C222-$K222)</f>
        <v/>
      </c>
      <c r="M222" s="41" t="str">
        <f aca="false">IF($A222="","",SUMIFS(业务流水!$H$5:$H$1504,业务流水!$E$5:$E$1504,$B$3,业务流水!$D$5:$D$1504,"我方收款",业务流水!$C$5:$C$1504,$A222,业务流水!$Z$5:$Z$1504,"是"))</f>
        <v/>
      </c>
      <c r="N222" s="43" t="str">
        <f aca="false">IF($A222="","",$K222-$M222)</f>
        <v/>
      </c>
      <c r="O222" s="41" t="str">
        <f aca="false">IF($A222="","",SUMIFS(业务流水!$H$5:$H$1504,业务流水!$F$5:$F$1504,$B$3,业务流水!$D$5:$D$1504,"管理费结算",业务流水!$C$5:$C$1504,$A222,业务流水!$Z$5:$Z$1504,"是"))</f>
        <v/>
      </c>
      <c r="P222" s="41" t="str">
        <f aca="false">IF($A222="","",SUMIFS(业务流水!$H$5:$H$1504,业务流水!$E$5:$E$1504,$B$3,业务流水!$D$5:$D$1504,"扣质保金",业务流水!$C$5:$C$1504,$A222,业务流水!$Z$5:$Z$1504,"是"))</f>
        <v/>
      </c>
      <c r="Q222" s="48" t="str">
        <f aca="false">IF($A222="","",IF(SUM($C222:$F222)+SUM($K222:$M222)=0,"无","有"))</f>
        <v/>
      </c>
    </row>
    <row r="223" customFormat="false" ht="15.75" hidden="false" customHeight="true" outlineLevel="0" collapsed="false">
      <c r="A223" s="32" t="str">
        <f aca="false">IF(项目档案!$A223="","",项目档案!$A223)</f>
        <v/>
      </c>
      <c r="B223" s="40" t="str">
        <f aca="false">IF($A223="","",项目档案!$B223)</f>
        <v/>
      </c>
      <c r="C223" s="41" t="str">
        <f aca="false">IF($A223="","",SUMIFS(业务流水!$H$5:$H$1504,业务流水!$E$5:$E$1504,$B$3,业务流水!$D$5:$D$1504,"销项开票",业务流水!$C$5:$C$1504,$A223,业务流水!$Z$5:$Z$1504,"是"))</f>
        <v/>
      </c>
      <c r="D223" s="41" t="str">
        <f aca="false">IF($A223="","",SUMIFS(业务流水!$O$5:$O$1504,业务流水!$E$5:$E$1504,$B$3,业务流水!$D$5:$D$1504,"销项开票",业务流水!$C$5:$C$1504,$A223,业务流水!$Z$5:$Z$1504,"是"))</f>
        <v/>
      </c>
      <c r="E223" s="41" t="str">
        <f aca="false">IF($A223="","",SUMIFS(业务流水!$P$5:$P$1504,业务流水!$E$5:$E$1504,$B$3,业务流水!$D$5:$D$1504,"销项开票",业务流水!$C$5:$C$1504,$A223,业务流水!$Z$5:$Z$1504,"是"))</f>
        <v/>
      </c>
      <c r="F223" s="41" t="str">
        <f aca="false">IF($A223="","",SUMIFS(业务流水!$H$5:$H$1504,业务流水!$F$5:$F$1504,$B$3,业务流水!$D$5:$D$1504,"成本票",业务流水!$C$5:$C$1504,$A223,业务流水!$Z$5:$Z$1504,"是")+SUMIFS(业务流水!$H$5:$H$1504,业务流水!$F$5:$F$1504,$B$3,业务流水!$D$5:$D$1504,"销项开票",业务流水!$C$5:$C$1504,$A223,业务流水!$Z$5:$Z$1504,"是"))</f>
        <v/>
      </c>
      <c r="G223" s="42" t="str">
        <f aca="false">IF($A223="","",$E223-$F223)</f>
        <v/>
      </c>
      <c r="H223" s="41" t="str">
        <f aca="false">IF($A223="","",SUMIFS(业务流水!$W$5:$W$1504,业务流水!$E$5:$E$1504,$B$3,业务流水!$D$5:$D$1504,"销项开票",业务流水!$C$5:$C$1504,$A223,业务流水!$Z$5:$Z$1504,"是"))</f>
        <v/>
      </c>
      <c r="I223" s="41" t="str">
        <f aca="false">IF($A223="","",SUMIFS(业务流水!$H$5:$H$1504,业务流水!$E$5:$E$1504,$B$3,业务流水!$D$5:$D$1504,"已交税",业务流水!$C$5:$C$1504,$A223,业务流水!$Z$5:$Z$1504,"是"))</f>
        <v/>
      </c>
      <c r="J223" s="42" t="str">
        <f aca="false">IF($A223="","",$H223-$I223)</f>
        <v/>
      </c>
      <c r="K223" s="41" t="str">
        <f aca="false">IF($A223="","",SUMIFS(业务流水!$H$5:$H$1504,业务流水!$F$5:$F$1504,$B$3,业务流水!$D$5:$D$1504,"挂靠代收",业务流水!$C$5:$C$1504,$A223,业务流水!$Z$5:$Z$1504,"是"))</f>
        <v/>
      </c>
      <c r="L223" s="42" t="str">
        <f aca="false">IF($A223="","",$C223-$K223)</f>
        <v/>
      </c>
      <c r="M223" s="41" t="str">
        <f aca="false">IF($A223="","",SUMIFS(业务流水!$H$5:$H$1504,业务流水!$E$5:$E$1504,$B$3,业务流水!$D$5:$D$1504,"我方收款",业务流水!$C$5:$C$1504,$A223,业务流水!$Z$5:$Z$1504,"是"))</f>
        <v/>
      </c>
      <c r="N223" s="43" t="str">
        <f aca="false">IF($A223="","",$K223-$M223)</f>
        <v/>
      </c>
      <c r="O223" s="41" t="str">
        <f aca="false">IF($A223="","",SUMIFS(业务流水!$H$5:$H$1504,业务流水!$F$5:$F$1504,$B$3,业务流水!$D$5:$D$1504,"管理费结算",业务流水!$C$5:$C$1504,$A223,业务流水!$Z$5:$Z$1504,"是"))</f>
        <v/>
      </c>
      <c r="P223" s="41" t="str">
        <f aca="false">IF($A223="","",SUMIFS(业务流水!$H$5:$H$1504,业务流水!$E$5:$E$1504,$B$3,业务流水!$D$5:$D$1504,"扣质保金",业务流水!$C$5:$C$1504,$A223,业务流水!$Z$5:$Z$1504,"是"))</f>
        <v/>
      </c>
      <c r="Q223" s="48" t="str">
        <f aca="false">IF($A223="","",IF(SUM($C223:$F223)+SUM($K223:$M223)=0,"无","有"))</f>
        <v/>
      </c>
    </row>
    <row r="224" customFormat="false" ht="15.75" hidden="false" customHeight="true" outlineLevel="0" collapsed="false">
      <c r="A224" s="32" t="str">
        <f aca="false">IF(项目档案!$A224="","",项目档案!$A224)</f>
        <v/>
      </c>
      <c r="B224" s="40" t="str">
        <f aca="false">IF($A224="","",项目档案!$B224)</f>
        <v/>
      </c>
      <c r="C224" s="41" t="str">
        <f aca="false">IF($A224="","",SUMIFS(业务流水!$H$5:$H$1504,业务流水!$E$5:$E$1504,$B$3,业务流水!$D$5:$D$1504,"销项开票",业务流水!$C$5:$C$1504,$A224,业务流水!$Z$5:$Z$1504,"是"))</f>
        <v/>
      </c>
      <c r="D224" s="41" t="str">
        <f aca="false">IF($A224="","",SUMIFS(业务流水!$O$5:$O$1504,业务流水!$E$5:$E$1504,$B$3,业务流水!$D$5:$D$1504,"销项开票",业务流水!$C$5:$C$1504,$A224,业务流水!$Z$5:$Z$1504,"是"))</f>
        <v/>
      </c>
      <c r="E224" s="41" t="str">
        <f aca="false">IF($A224="","",SUMIFS(业务流水!$P$5:$P$1504,业务流水!$E$5:$E$1504,$B$3,业务流水!$D$5:$D$1504,"销项开票",业务流水!$C$5:$C$1504,$A224,业务流水!$Z$5:$Z$1504,"是"))</f>
        <v/>
      </c>
      <c r="F224" s="41" t="str">
        <f aca="false">IF($A224="","",SUMIFS(业务流水!$H$5:$H$1504,业务流水!$F$5:$F$1504,$B$3,业务流水!$D$5:$D$1504,"成本票",业务流水!$C$5:$C$1504,$A224,业务流水!$Z$5:$Z$1504,"是")+SUMIFS(业务流水!$H$5:$H$1504,业务流水!$F$5:$F$1504,$B$3,业务流水!$D$5:$D$1504,"销项开票",业务流水!$C$5:$C$1504,$A224,业务流水!$Z$5:$Z$1504,"是"))</f>
        <v/>
      </c>
      <c r="G224" s="42" t="str">
        <f aca="false">IF($A224="","",$E224-$F224)</f>
        <v/>
      </c>
      <c r="H224" s="41" t="str">
        <f aca="false">IF($A224="","",SUMIFS(业务流水!$W$5:$W$1504,业务流水!$E$5:$E$1504,$B$3,业务流水!$D$5:$D$1504,"销项开票",业务流水!$C$5:$C$1504,$A224,业务流水!$Z$5:$Z$1504,"是"))</f>
        <v/>
      </c>
      <c r="I224" s="41" t="str">
        <f aca="false">IF($A224="","",SUMIFS(业务流水!$H$5:$H$1504,业务流水!$E$5:$E$1504,$B$3,业务流水!$D$5:$D$1504,"已交税",业务流水!$C$5:$C$1504,$A224,业务流水!$Z$5:$Z$1504,"是"))</f>
        <v/>
      </c>
      <c r="J224" s="42" t="str">
        <f aca="false">IF($A224="","",$H224-$I224)</f>
        <v/>
      </c>
      <c r="K224" s="41" t="str">
        <f aca="false">IF($A224="","",SUMIFS(业务流水!$H$5:$H$1504,业务流水!$F$5:$F$1504,$B$3,业务流水!$D$5:$D$1504,"挂靠代收",业务流水!$C$5:$C$1504,$A224,业务流水!$Z$5:$Z$1504,"是"))</f>
        <v/>
      </c>
      <c r="L224" s="42" t="str">
        <f aca="false">IF($A224="","",$C224-$K224)</f>
        <v/>
      </c>
      <c r="M224" s="41" t="str">
        <f aca="false">IF($A224="","",SUMIFS(业务流水!$H$5:$H$1504,业务流水!$E$5:$E$1504,$B$3,业务流水!$D$5:$D$1504,"我方收款",业务流水!$C$5:$C$1504,$A224,业务流水!$Z$5:$Z$1504,"是"))</f>
        <v/>
      </c>
      <c r="N224" s="43" t="str">
        <f aca="false">IF($A224="","",$K224-$M224)</f>
        <v/>
      </c>
      <c r="O224" s="41" t="str">
        <f aca="false">IF($A224="","",SUMIFS(业务流水!$H$5:$H$1504,业务流水!$F$5:$F$1504,$B$3,业务流水!$D$5:$D$1504,"管理费结算",业务流水!$C$5:$C$1504,$A224,业务流水!$Z$5:$Z$1504,"是"))</f>
        <v/>
      </c>
      <c r="P224" s="41" t="str">
        <f aca="false">IF($A224="","",SUMIFS(业务流水!$H$5:$H$1504,业务流水!$E$5:$E$1504,$B$3,业务流水!$D$5:$D$1504,"扣质保金",业务流水!$C$5:$C$1504,$A224,业务流水!$Z$5:$Z$1504,"是"))</f>
        <v/>
      </c>
      <c r="Q224" s="48" t="str">
        <f aca="false">IF($A224="","",IF(SUM($C224:$F224)+SUM($K224:$M224)=0,"无","有"))</f>
        <v/>
      </c>
    </row>
    <row r="225" customFormat="false" ht="15.75" hidden="false" customHeight="true" outlineLevel="0" collapsed="false">
      <c r="A225" s="32" t="str">
        <f aca="false">IF(项目档案!$A225="","",项目档案!$A225)</f>
        <v/>
      </c>
      <c r="B225" s="40" t="str">
        <f aca="false">IF($A225="","",项目档案!$B225)</f>
        <v/>
      </c>
      <c r="C225" s="41" t="str">
        <f aca="false">IF($A225="","",SUMIFS(业务流水!$H$5:$H$1504,业务流水!$E$5:$E$1504,$B$3,业务流水!$D$5:$D$1504,"销项开票",业务流水!$C$5:$C$1504,$A225,业务流水!$Z$5:$Z$1504,"是"))</f>
        <v/>
      </c>
      <c r="D225" s="41" t="str">
        <f aca="false">IF($A225="","",SUMIFS(业务流水!$O$5:$O$1504,业务流水!$E$5:$E$1504,$B$3,业务流水!$D$5:$D$1504,"销项开票",业务流水!$C$5:$C$1504,$A225,业务流水!$Z$5:$Z$1504,"是"))</f>
        <v/>
      </c>
      <c r="E225" s="41" t="str">
        <f aca="false">IF($A225="","",SUMIFS(业务流水!$P$5:$P$1504,业务流水!$E$5:$E$1504,$B$3,业务流水!$D$5:$D$1504,"销项开票",业务流水!$C$5:$C$1504,$A225,业务流水!$Z$5:$Z$1504,"是"))</f>
        <v/>
      </c>
      <c r="F225" s="41" t="str">
        <f aca="false">IF($A225="","",SUMIFS(业务流水!$H$5:$H$1504,业务流水!$F$5:$F$1504,$B$3,业务流水!$D$5:$D$1504,"成本票",业务流水!$C$5:$C$1504,$A225,业务流水!$Z$5:$Z$1504,"是")+SUMIFS(业务流水!$H$5:$H$1504,业务流水!$F$5:$F$1504,$B$3,业务流水!$D$5:$D$1504,"销项开票",业务流水!$C$5:$C$1504,$A225,业务流水!$Z$5:$Z$1504,"是"))</f>
        <v/>
      </c>
      <c r="G225" s="42" t="str">
        <f aca="false">IF($A225="","",$E225-$F225)</f>
        <v/>
      </c>
      <c r="H225" s="41" t="str">
        <f aca="false">IF($A225="","",SUMIFS(业务流水!$W$5:$W$1504,业务流水!$E$5:$E$1504,$B$3,业务流水!$D$5:$D$1504,"销项开票",业务流水!$C$5:$C$1504,$A225,业务流水!$Z$5:$Z$1504,"是"))</f>
        <v/>
      </c>
      <c r="I225" s="41" t="str">
        <f aca="false">IF($A225="","",SUMIFS(业务流水!$H$5:$H$1504,业务流水!$E$5:$E$1504,$B$3,业务流水!$D$5:$D$1504,"已交税",业务流水!$C$5:$C$1504,$A225,业务流水!$Z$5:$Z$1504,"是"))</f>
        <v/>
      </c>
      <c r="J225" s="42" t="str">
        <f aca="false">IF($A225="","",$H225-$I225)</f>
        <v/>
      </c>
      <c r="K225" s="41" t="str">
        <f aca="false">IF($A225="","",SUMIFS(业务流水!$H$5:$H$1504,业务流水!$F$5:$F$1504,$B$3,业务流水!$D$5:$D$1504,"挂靠代收",业务流水!$C$5:$C$1504,$A225,业务流水!$Z$5:$Z$1504,"是"))</f>
        <v/>
      </c>
      <c r="L225" s="42" t="str">
        <f aca="false">IF($A225="","",$C225-$K225)</f>
        <v/>
      </c>
      <c r="M225" s="41" t="str">
        <f aca="false">IF($A225="","",SUMIFS(业务流水!$H$5:$H$1504,业务流水!$E$5:$E$1504,$B$3,业务流水!$D$5:$D$1504,"我方收款",业务流水!$C$5:$C$1504,$A225,业务流水!$Z$5:$Z$1504,"是"))</f>
        <v/>
      </c>
      <c r="N225" s="43" t="str">
        <f aca="false">IF($A225="","",$K225-$M225)</f>
        <v/>
      </c>
      <c r="O225" s="41" t="str">
        <f aca="false">IF($A225="","",SUMIFS(业务流水!$H$5:$H$1504,业务流水!$F$5:$F$1504,$B$3,业务流水!$D$5:$D$1504,"管理费结算",业务流水!$C$5:$C$1504,$A225,业务流水!$Z$5:$Z$1504,"是"))</f>
        <v/>
      </c>
      <c r="P225" s="41" t="str">
        <f aca="false">IF($A225="","",SUMIFS(业务流水!$H$5:$H$1504,业务流水!$E$5:$E$1504,$B$3,业务流水!$D$5:$D$1504,"扣质保金",业务流水!$C$5:$C$1504,$A225,业务流水!$Z$5:$Z$1504,"是"))</f>
        <v/>
      </c>
      <c r="Q225" s="48" t="str">
        <f aca="false">IF($A225="","",IF(SUM($C225:$F225)+SUM($K225:$M225)=0,"无","有"))</f>
        <v/>
      </c>
    </row>
    <row r="226" customFormat="false" ht="15.75" hidden="false" customHeight="true" outlineLevel="0" collapsed="false">
      <c r="A226" s="32" t="str">
        <f aca="false">IF(项目档案!$A226="","",项目档案!$A226)</f>
        <v/>
      </c>
      <c r="B226" s="40" t="str">
        <f aca="false">IF($A226="","",项目档案!$B226)</f>
        <v/>
      </c>
      <c r="C226" s="41" t="str">
        <f aca="false">IF($A226="","",SUMIFS(业务流水!$H$5:$H$1504,业务流水!$E$5:$E$1504,$B$3,业务流水!$D$5:$D$1504,"销项开票",业务流水!$C$5:$C$1504,$A226,业务流水!$Z$5:$Z$1504,"是"))</f>
        <v/>
      </c>
      <c r="D226" s="41" t="str">
        <f aca="false">IF($A226="","",SUMIFS(业务流水!$O$5:$O$1504,业务流水!$E$5:$E$1504,$B$3,业务流水!$D$5:$D$1504,"销项开票",业务流水!$C$5:$C$1504,$A226,业务流水!$Z$5:$Z$1504,"是"))</f>
        <v/>
      </c>
      <c r="E226" s="41" t="str">
        <f aca="false">IF($A226="","",SUMIFS(业务流水!$P$5:$P$1504,业务流水!$E$5:$E$1504,$B$3,业务流水!$D$5:$D$1504,"销项开票",业务流水!$C$5:$C$1504,$A226,业务流水!$Z$5:$Z$1504,"是"))</f>
        <v/>
      </c>
      <c r="F226" s="41" t="str">
        <f aca="false">IF($A226="","",SUMIFS(业务流水!$H$5:$H$1504,业务流水!$F$5:$F$1504,$B$3,业务流水!$D$5:$D$1504,"成本票",业务流水!$C$5:$C$1504,$A226,业务流水!$Z$5:$Z$1504,"是")+SUMIFS(业务流水!$H$5:$H$1504,业务流水!$F$5:$F$1504,$B$3,业务流水!$D$5:$D$1504,"销项开票",业务流水!$C$5:$C$1504,$A226,业务流水!$Z$5:$Z$1504,"是"))</f>
        <v/>
      </c>
      <c r="G226" s="42" t="str">
        <f aca="false">IF($A226="","",$E226-$F226)</f>
        <v/>
      </c>
      <c r="H226" s="41" t="str">
        <f aca="false">IF($A226="","",SUMIFS(业务流水!$W$5:$W$1504,业务流水!$E$5:$E$1504,$B$3,业务流水!$D$5:$D$1504,"销项开票",业务流水!$C$5:$C$1504,$A226,业务流水!$Z$5:$Z$1504,"是"))</f>
        <v/>
      </c>
      <c r="I226" s="41" t="str">
        <f aca="false">IF($A226="","",SUMIFS(业务流水!$H$5:$H$1504,业务流水!$E$5:$E$1504,$B$3,业务流水!$D$5:$D$1504,"已交税",业务流水!$C$5:$C$1504,$A226,业务流水!$Z$5:$Z$1504,"是"))</f>
        <v/>
      </c>
      <c r="J226" s="42" t="str">
        <f aca="false">IF($A226="","",$H226-$I226)</f>
        <v/>
      </c>
      <c r="K226" s="41" t="str">
        <f aca="false">IF($A226="","",SUMIFS(业务流水!$H$5:$H$1504,业务流水!$F$5:$F$1504,$B$3,业务流水!$D$5:$D$1504,"挂靠代收",业务流水!$C$5:$C$1504,$A226,业务流水!$Z$5:$Z$1504,"是"))</f>
        <v/>
      </c>
      <c r="L226" s="42" t="str">
        <f aca="false">IF($A226="","",$C226-$K226)</f>
        <v/>
      </c>
      <c r="M226" s="41" t="str">
        <f aca="false">IF($A226="","",SUMIFS(业务流水!$H$5:$H$1504,业务流水!$E$5:$E$1504,$B$3,业务流水!$D$5:$D$1504,"我方收款",业务流水!$C$5:$C$1504,$A226,业务流水!$Z$5:$Z$1504,"是"))</f>
        <v/>
      </c>
      <c r="N226" s="43" t="str">
        <f aca="false">IF($A226="","",$K226-$M226)</f>
        <v/>
      </c>
      <c r="O226" s="41" t="str">
        <f aca="false">IF($A226="","",SUMIFS(业务流水!$H$5:$H$1504,业务流水!$F$5:$F$1504,$B$3,业务流水!$D$5:$D$1504,"管理费结算",业务流水!$C$5:$C$1504,$A226,业务流水!$Z$5:$Z$1504,"是"))</f>
        <v/>
      </c>
      <c r="P226" s="41" t="str">
        <f aca="false">IF($A226="","",SUMIFS(业务流水!$H$5:$H$1504,业务流水!$E$5:$E$1504,$B$3,业务流水!$D$5:$D$1504,"扣质保金",业务流水!$C$5:$C$1504,$A226,业务流水!$Z$5:$Z$1504,"是"))</f>
        <v/>
      </c>
      <c r="Q226" s="48" t="str">
        <f aca="false">IF($A226="","",IF(SUM($C226:$F226)+SUM($K226:$M226)=0,"无","有"))</f>
        <v/>
      </c>
    </row>
    <row r="227" customFormat="false" ht="15.75" hidden="false" customHeight="true" outlineLevel="0" collapsed="false">
      <c r="A227" s="32" t="str">
        <f aca="false">IF(项目档案!$A227="","",项目档案!$A227)</f>
        <v/>
      </c>
      <c r="B227" s="40" t="str">
        <f aca="false">IF($A227="","",项目档案!$B227)</f>
        <v/>
      </c>
      <c r="C227" s="41" t="str">
        <f aca="false">IF($A227="","",SUMIFS(业务流水!$H$5:$H$1504,业务流水!$E$5:$E$1504,$B$3,业务流水!$D$5:$D$1504,"销项开票",业务流水!$C$5:$C$1504,$A227,业务流水!$Z$5:$Z$1504,"是"))</f>
        <v/>
      </c>
      <c r="D227" s="41" t="str">
        <f aca="false">IF($A227="","",SUMIFS(业务流水!$O$5:$O$1504,业务流水!$E$5:$E$1504,$B$3,业务流水!$D$5:$D$1504,"销项开票",业务流水!$C$5:$C$1504,$A227,业务流水!$Z$5:$Z$1504,"是"))</f>
        <v/>
      </c>
      <c r="E227" s="41" t="str">
        <f aca="false">IF($A227="","",SUMIFS(业务流水!$P$5:$P$1504,业务流水!$E$5:$E$1504,$B$3,业务流水!$D$5:$D$1504,"销项开票",业务流水!$C$5:$C$1504,$A227,业务流水!$Z$5:$Z$1504,"是"))</f>
        <v/>
      </c>
      <c r="F227" s="41" t="str">
        <f aca="false">IF($A227="","",SUMIFS(业务流水!$H$5:$H$1504,业务流水!$F$5:$F$1504,$B$3,业务流水!$D$5:$D$1504,"成本票",业务流水!$C$5:$C$1504,$A227,业务流水!$Z$5:$Z$1504,"是")+SUMIFS(业务流水!$H$5:$H$1504,业务流水!$F$5:$F$1504,$B$3,业务流水!$D$5:$D$1504,"销项开票",业务流水!$C$5:$C$1504,$A227,业务流水!$Z$5:$Z$1504,"是"))</f>
        <v/>
      </c>
      <c r="G227" s="42" t="str">
        <f aca="false">IF($A227="","",$E227-$F227)</f>
        <v/>
      </c>
      <c r="H227" s="41" t="str">
        <f aca="false">IF($A227="","",SUMIFS(业务流水!$W$5:$W$1504,业务流水!$E$5:$E$1504,$B$3,业务流水!$D$5:$D$1504,"销项开票",业务流水!$C$5:$C$1504,$A227,业务流水!$Z$5:$Z$1504,"是"))</f>
        <v/>
      </c>
      <c r="I227" s="41" t="str">
        <f aca="false">IF($A227="","",SUMIFS(业务流水!$H$5:$H$1504,业务流水!$E$5:$E$1504,$B$3,业务流水!$D$5:$D$1504,"已交税",业务流水!$C$5:$C$1504,$A227,业务流水!$Z$5:$Z$1504,"是"))</f>
        <v/>
      </c>
      <c r="J227" s="42" t="str">
        <f aca="false">IF($A227="","",$H227-$I227)</f>
        <v/>
      </c>
      <c r="K227" s="41" t="str">
        <f aca="false">IF($A227="","",SUMIFS(业务流水!$H$5:$H$1504,业务流水!$F$5:$F$1504,$B$3,业务流水!$D$5:$D$1504,"挂靠代收",业务流水!$C$5:$C$1504,$A227,业务流水!$Z$5:$Z$1504,"是"))</f>
        <v/>
      </c>
      <c r="L227" s="42" t="str">
        <f aca="false">IF($A227="","",$C227-$K227)</f>
        <v/>
      </c>
      <c r="M227" s="41" t="str">
        <f aca="false">IF($A227="","",SUMIFS(业务流水!$H$5:$H$1504,业务流水!$E$5:$E$1504,$B$3,业务流水!$D$5:$D$1504,"我方收款",业务流水!$C$5:$C$1504,$A227,业务流水!$Z$5:$Z$1504,"是"))</f>
        <v/>
      </c>
      <c r="N227" s="43" t="str">
        <f aca="false">IF($A227="","",$K227-$M227)</f>
        <v/>
      </c>
      <c r="O227" s="41" t="str">
        <f aca="false">IF($A227="","",SUMIFS(业务流水!$H$5:$H$1504,业务流水!$F$5:$F$1504,$B$3,业务流水!$D$5:$D$1504,"管理费结算",业务流水!$C$5:$C$1504,$A227,业务流水!$Z$5:$Z$1504,"是"))</f>
        <v/>
      </c>
      <c r="P227" s="41" t="str">
        <f aca="false">IF($A227="","",SUMIFS(业务流水!$H$5:$H$1504,业务流水!$E$5:$E$1504,$B$3,业务流水!$D$5:$D$1504,"扣质保金",业务流水!$C$5:$C$1504,$A227,业务流水!$Z$5:$Z$1504,"是"))</f>
        <v/>
      </c>
      <c r="Q227" s="48" t="str">
        <f aca="false">IF($A227="","",IF(SUM($C227:$F227)+SUM($K227:$M227)=0,"无","有"))</f>
        <v/>
      </c>
    </row>
    <row r="228" customFormat="false" ht="15.75" hidden="false" customHeight="true" outlineLevel="0" collapsed="false">
      <c r="A228" s="32" t="str">
        <f aca="false">IF(项目档案!$A228="","",项目档案!$A228)</f>
        <v/>
      </c>
      <c r="B228" s="40" t="str">
        <f aca="false">IF($A228="","",项目档案!$B228)</f>
        <v/>
      </c>
      <c r="C228" s="41" t="str">
        <f aca="false">IF($A228="","",SUMIFS(业务流水!$H$5:$H$1504,业务流水!$E$5:$E$1504,$B$3,业务流水!$D$5:$D$1504,"销项开票",业务流水!$C$5:$C$1504,$A228,业务流水!$Z$5:$Z$1504,"是"))</f>
        <v/>
      </c>
      <c r="D228" s="41" t="str">
        <f aca="false">IF($A228="","",SUMIFS(业务流水!$O$5:$O$1504,业务流水!$E$5:$E$1504,$B$3,业务流水!$D$5:$D$1504,"销项开票",业务流水!$C$5:$C$1504,$A228,业务流水!$Z$5:$Z$1504,"是"))</f>
        <v/>
      </c>
      <c r="E228" s="41" t="str">
        <f aca="false">IF($A228="","",SUMIFS(业务流水!$P$5:$P$1504,业务流水!$E$5:$E$1504,$B$3,业务流水!$D$5:$D$1504,"销项开票",业务流水!$C$5:$C$1504,$A228,业务流水!$Z$5:$Z$1504,"是"))</f>
        <v/>
      </c>
      <c r="F228" s="41" t="str">
        <f aca="false">IF($A228="","",SUMIFS(业务流水!$H$5:$H$1504,业务流水!$F$5:$F$1504,$B$3,业务流水!$D$5:$D$1504,"成本票",业务流水!$C$5:$C$1504,$A228,业务流水!$Z$5:$Z$1504,"是")+SUMIFS(业务流水!$H$5:$H$1504,业务流水!$F$5:$F$1504,$B$3,业务流水!$D$5:$D$1504,"销项开票",业务流水!$C$5:$C$1504,$A228,业务流水!$Z$5:$Z$1504,"是"))</f>
        <v/>
      </c>
      <c r="G228" s="42" t="str">
        <f aca="false">IF($A228="","",$E228-$F228)</f>
        <v/>
      </c>
      <c r="H228" s="41" t="str">
        <f aca="false">IF($A228="","",SUMIFS(业务流水!$W$5:$W$1504,业务流水!$E$5:$E$1504,$B$3,业务流水!$D$5:$D$1504,"销项开票",业务流水!$C$5:$C$1504,$A228,业务流水!$Z$5:$Z$1504,"是"))</f>
        <v/>
      </c>
      <c r="I228" s="41" t="str">
        <f aca="false">IF($A228="","",SUMIFS(业务流水!$H$5:$H$1504,业务流水!$E$5:$E$1504,$B$3,业务流水!$D$5:$D$1504,"已交税",业务流水!$C$5:$C$1504,$A228,业务流水!$Z$5:$Z$1504,"是"))</f>
        <v/>
      </c>
      <c r="J228" s="42" t="str">
        <f aca="false">IF($A228="","",$H228-$I228)</f>
        <v/>
      </c>
      <c r="K228" s="41" t="str">
        <f aca="false">IF($A228="","",SUMIFS(业务流水!$H$5:$H$1504,业务流水!$F$5:$F$1504,$B$3,业务流水!$D$5:$D$1504,"挂靠代收",业务流水!$C$5:$C$1504,$A228,业务流水!$Z$5:$Z$1504,"是"))</f>
        <v/>
      </c>
      <c r="L228" s="42" t="str">
        <f aca="false">IF($A228="","",$C228-$K228)</f>
        <v/>
      </c>
      <c r="M228" s="41" t="str">
        <f aca="false">IF($A228="","",SUMIFS(业务流水!$H$5:$H$1504,业务流水!$E$5:$E$1504,$B$3,业务流水!$D$5:$D$1504,"我方收款",业务流水!$C$5:$C$1504,$A228,业务流水!$Z$5:$Z$1504,"是"))</f>
        <v/>
      </c>
      <c r="N228" s="43" t="str">
        <f aca="false">IF($A228="","",$K228-$M228)</f>
        <v/>
      </c>
      <c r="O228" s="41" t="str">
        <f aca="false">IF($A228="","",SUMIFS(业务流水!$H$5:$H$1504,业务流水!$F$5:$F$1504,$B$3,业务流水!$D$5:$D$1504,"管理费结算",业务流水!$C$5:$C$1504,$A228,业务流水!$Z$5:$Z$1504,"是"))</f>
        <v/>
      </c>
      <c r="P228" s="41" t="str">
        <f aca="false">IF($A228="","",SUMIFS(业务流水!$H$5:$H$1504,业务流水!$E$5:$E$1504,$B$3,业务流水!$D$5:$D$1504,"扣质保金",业务流水!$C$5:$C$1504,$A228,业务流水!$Z$5:$Z$1504,"是"))</f>
        <v/>
      </c>
      <c r="Q228" s="48" t="str">
        <f aca="false">IF($A228="","",IF(SUM($C228:$F228)+SUM($K228:$M228)=0,"无","有"))</f>
        <v/>
      </c>
    </row>
    <row r="229" customFormat="false" ht="15.75" hidden="false" customHeight="true" outlineLevel="0" collapsed="false">
      <c r="A229" s="32" t="str">
        <f aca="false">IF(项目档案!$A229="","",项目档案!$A229)</f>
        <v/>
      </c>
      <c r="B229" s="40" t="str">
        <f aca="false">IF($A229="","",项目档案!$B229)</f>
        <v/>
      </c>
      <c r="C229" s="41" t="str">
        <f aca="false">IF($A229="","",SUMIFS(业务流水!$H$5:$H$1504,业务流水!$E$5:$E$1504,$B$3,业务流水!$D$5:$D$1504,"销项开票",业务流水!$C$5:$C$1504,$A229,业务流水!$Z$5:$Z$1504,"是"))</f>
        <v/>
      </c>
      <c r="D229" s="41" t="str">
        <f aca="false">IF($A229="","",SUMIFS(业务流水!$O$5:$O$1504,业务流水!$E$5:$E$1504,$B$3,业务流水!$D$5:$D$1504,"销项开票",业务流水!$C$5:$C$1504,$A229,业务流水!$Z$5:$Z$1504,"是"))</f>
        <v/>
      </c>
      <c r="E229" s="41" t="str">
        <f aca="false">IF($A229="","",SUMIFS(业务流水!$P$5:$P$1504,业务流水!$E$5:$E$1504,$B$3,业务流水!$D$5:$D$1504,"销项开票",业务流水!$C$5:$C$1504,$A229,业务流水!$Z$5:$Z$1504,"是"))</f>
        <v/>
      </c>
      <c r="F229" s="41" t="str">
        <f aca="false">IF($A229="","",SUMIFS(业务流水!$H$5:$H$1504,业务流水!$F$5:$F$1504,$B$3,业务流水!$D$5:$D$1504,"成本票",业务流水!$C$5:$C$1504,$A229,业务流水!$Z$5:$Z$1504,"是")+SUMIFS(业务流水!$H$5:$H$1504,业务流水!$F$5:$F$1504,$B$3,业务流水!$D$5:$D$1504,"销项开票",业务流水!$C$5:$C$1504,$A229,业务流水!$Z$5:$Z$1504,"是"))</f>
        <v/>
      </c>
      <c r="G229" s="42" t="str">
        <f aca="false">IF($A229="","",$E229-$F229)</f>
        <v/>
      </c>
      <c r="H229" s="41" t="str">
        <f aca="false">IF($A229="","",SUMIFS(业务流水!$W$5:$W$1504,业务流水!$E$5:$E$1504,$B$3,业务流水!$D$5:$D$1504,"销项开票",业务流水!$C$5:$C$1504,$A229,业务流水!$Z$5:$Z$1504,"是"))</f>
        <v/>
      </c>
      <c r="I229" s="41" t="str">
        <f aca="false">IF($A229="","",SUMIFS(业务流水!$H$5:$H$1504,业务流水!$E$5:$E$1504,$B$3,业务流水!$D$5:$D$1504,"已交税",业务流水!$C$5:$C$1504,$A229,业务流水!$Z$5:$Z$1504,"是"))</f>
        <v/>
      </c>
      <c r="J229" s="42" t="str">
        <f aca="false">IF($A229="","",$H229-$I229)</f>
        <v/>
      </c>
      <c r="K229" s="41" t="str">
        <f aca="false">IF($A229="","",SUMIFS(业务流水!$H$5:$H$1504,业务流水!$F$5:$F$1504,$B$3,业务流水!$D$5:$D$1504,"挂靠代收",业务流水!$C$5:$C$1504,$A229,业务流水!$Z$5:$Z$1504,"是"))</f>
        <v/>
      </c>
      <c r="L229" s="42" t="str">
        <f aca="false">IF($A229="","",$C229-$K229)</f>
        <v/>
      </c>
      <c r="M229" s="41" t="str">
        <f aca="false">IF($A229="","",SUMIFS(业务流水!$H$5:$H$1504,业务流水!$E$5:$E$1504,$B$3,业务流水!$D$5:$D$1504,"我方收款",业务流水!$C$5:$C$1504,$A229,业务流水!$Z$5:$Z$1504,"是"))</f>
        <v/>
      </c>
      <c r="N229" s="43" t="str">
        <f aca="false">IF($A229="","",$K229-$M229)</f>
        <v/>
      </c>
      <c r="O229" s="41" t="str">
        <f aca="false">IF($A229="","",SUMIFS(业务流水!$H$5:$H$1504,业务流水!$F$5:$F$1504,$B$3,业务流水!$D$5:$D$1504,"管理费结算",业务流水!$C$5:$C$1504,$A229,业务流水!$Z$5:$Z$1504,"是"))</f>
        <v/>
      </c>
      <c r="P229" s="41" t="str">
        <f aca="false">IF($A229="","",SUMIFS(业务流水!$H$5:$H$1504,业务流水!$E$5:$E$1504,$B$3,业务流水!$D$5:$D$1504,"扣质保金",业务流水!$C$5:$C$1504,$A229,业务流水!$Z$5:$Z$1504,"是"))</f>
        <v/>
      </c>
      <c r="Q229" s="48" t="str">
        <f aca="false">IF($A229="","",IF(SUM($C229:$F229)+SUM($K229:$M229)=0,"无","有"))</f>
        <v/>
      </c>
    </row>
    <row r="230" customFormat="false" ht="15.75" hidden="false" customHeight="true" outlineLevel="0" collapsed="false">
      <c r="A230" s="32" t="str">
        <f aca="false">IF(项目档案!$A230="","",项目档案!$A230)</f>
        <v/>
      </c>
      <c r="B230" s="40" t="str">
        <f aca="false">IF($A230="","",项目档案!$B230)</f>
        <v/>
      </c>
      <c r="C230" s="41" t="str">
        <f aca="false">IF($A230="","",SUMIFS(业务流水!$H$5:$H$1504,业务流水!$E$5:$E$1504,$B$3,业务流水!$D$5:$D$1504,"销项开票",业务流水!$C$5:$C$1504,$A230,业务流水!$Z$5:$Z$1504,"是"))</f>
        <v/>
      </c>
      <c r="D230" s="41" t="str">
        <f aca="false">IF($A230="","",SUMIFS(业务流水!$O$5:$O$1504,业务流水!$E$5:$E$1504,$B$3,业务流水!$D$5:$D$1504,"销项开票",业务流水!$C$5:$C$1504,$A230,业务流水!$Z$5:$Z$1504,"是"))</f>
        <v/>
      </c>
      <c r="E230" s="41" t="str">
        <f aca="false">IF($A230="","",SUMIFS(业务流水!$P$5:$P$1504,业务流水!$E$5:$E$1504,$B$3,业务流水!$D$5:$D$1504,"销项开票",业务流水!$C$5:$C$1504,$A230,业务流水!$Z$5:$Z$1504,"是"))</f>
        <v/>
      </c>
      <c r="F230" s="41" t="str">
        <f aca="false">IF($A230="","",SUMIFS(业务流水!$H$5:$H$1504,业务流水!$F$5:$F$1504,$B$3,业务流水!$D$5:$D$1504,"成本票",业务流水!$C$5:$C$1504,$A230,业务流水!$Z$5:$Z$1504,"是")+SUMIFS(业务流水!$H$5:$H$1504,业务流水!$F$5:$F$1504,$B$3,业务流水!$D$5:$D$1504,"销项开票",业务流水!$C$5:$C$1504,$A230,业务流水!$Z$5:$Z$1504,"是"))</f>
        <v/>
      </c>
      <c r="G230" s="42" t="str">
        <f aca="false">IF($A230="","",$E230-$F230)</f>
        <v/>
      </c>
      <c r="H230" s="41" t="str">
        <f aca="false">IF($A230="","",SUMIFS(业务流水!$W$5:$W$1504,业务流水!$E$5:$E$1504,$B$3,业务流水!$D$5:$D$1504,"销项开票",业务流水!$C$5:$C$1504,$A230,业务流水!$Z$5:$Z$1504,"是"))</f>
        <v/>
      </c>
      <c r="I230" s="41" t="str">
        <f aca="false">IF($A230="","",SUMIFS(业务流水!$H$5:$H$1504,业务流水!$E$5:$E$1504,$B$3,业务流水!$D$5:$D$1504,"已交税",业务流水!$C$5:$C$1504,$A230,业务流水!$Z$5:$Z$1504,"是"))</f>
        <v/>
      </c>
      <c r="J230" s="42" t="str">
        <f aca="false">IF($A230="","",$H230-$I230)</f>
        <v/>
      </c>
      <c r="K230" s="41" t="str">
        <f aca="false">IF($A230="","",SUMIFS(业务流水!$H$5:$H$1504,业务流水!$F$5:$F$1504,$B$3,业务流水!$D$5:$D$1504,"挂靠代收",业务流水!$C$5:$C$1504,$A230,业务流水!$Z$5:$Z$1504,"是"))</f>
        <v/>
      </c>
      <c r="L230" s="42" t="str">
        <f aca="false">IF($A230="","",$C230-$K230)</f>
        <v/>
      </c>
      <c r="M230" s="41" t="str">
        <f aca="false">IF($A230="","",SUMIFS(业务流水!$H$5:$H$1504,业务流水!$E$5:$E$1504,$B$3,业务流水!$D$5:$D$1504,"我方收款",业务流水!$C$5:$C$1504,$A230,业务流水!$Z$5:$Z$1504,"是"))</f>
        <v/>
      </c>
      <c r="N230" s="43" t="str">
        <f aca="false">IF($A230="","",$K230-$M230)</f>
        <v/>
      </c>
      <c r="O230" s="41" t="str">
        <f aca="false">IF($A230="","",SUMIFS(业务流水!$H$5:$H$1504,业务流水!$F$5:$F$1504,$B$3,业务流水!$D$5:$D$1504,"管理费结算",业务流水!$C$5:$C$1504,$A230,业务流水!$Z$5:$Z$1504,"是"))</f>
        <v/>
      </c>
      <c r="P230" s="41" t="str">
        <f aca="false">IF($A230="","",SUMIFS(业务流水!$H$5:$H$1504,业务流水!$E$5:$E$1504,$B$3,业务流水!$D$5:$D$1504,"扣质保金",业务流水!$C$5:$C$1504,$A230,业务流水!$Z$5:$Z$1504,"是"))</f>
        <v/>
      </c>
      <c r="Q230" s="48" t="str">
        <f aca="false">IF($A230="","",IF(SUM($C230:$F230)+SUM($K230:$M230)=0,"无","有"))</f>
        <v/>
      </c>
    </row>
    <row r="231" customFormat="false" ht="15.75" hidden="false" customHeight="true" outlineLevel="0" collapsed="false">
      <c r="A231" s="32" t="str">
        <f aca="false">IF(项目档案!$A231="","",项目档案!$A231)</f>
        <v/>
      </c>
      <c r="B231" s="40" t="str">
        <f aca="false">IF($A231="","",项目档案!$B231)</f>
        <v/>
      </c>
      <c r="C231" s="41" t="str">
        <f aca="false">IF($A231="","",SUMIFS(业务流水!$H$5:$H$1504,业务流水!$E$5:$E$1504,$B$3,业务流水!$D$5:$D$1504,"销项开票",业务流水!$C$5:$C$1504,$A231,业务流水!$Z$5:$Z$1504,"是"))</f>
        <v/>
      </c>
      <c r="D231" s="41" t="str">
        <f aca="false">IF($A231="","",SUMIFS(业务流水!$O$5:$O$1504,业务流水!$E$5:$E$1504,$B$3,业务流水!$D$5:$D$1504,"销项开票",业务流水!$C$5:$C$1504,$A231,业务流水!$Z$5:$Z$1504,"是"))</f>
        <v/>
      </c>
      <c r="E231" s="41" t="str">
        <f aca="false">IF($A231="","",SUMIFS(业务流水!$P$5:$P$1504,业务流水!$E$5:$E$1504,$B$3,业务流水!$D$5:$D$1504,"销项开票",业务流水!$C$5:$C$1504,$A231,业务流水!$Z$5:$Z$1504,"是"))</f>
        <v/>
      </c>
      <c r="F231" s="41" t="str">
        <f aca="false">IF($A231="","",SUMIFS(业务流水!$H$5:$H$1504,业务流水!$F$5:$F$1504,$B$3,业务流水!$D$5:$D$1504,"成本票",业务流水!$C$5:$C$1504,$A231,业务流水!$Z$5:$Z$1504,"是")+SUMIFS(业务流水!$H$5:$H$1504,业务流水!$F$5:$F$1504,$B$3,业务流水!$D$5:$D$1504,"销项开票",业务流水!$C$5:$C$1504,$A231,业务流水!$Z$5:$Z$1504,"是"))</f>
        <v/>
      </c>
      <c r="G231" s="42" t="str">
        <f aca="false">IF($A231="","",$E231-$F231)</f>
        <v/>
      </c>
      <c r="H231" s="41" t="str">
        <f aca="false">IF($A231="","",SUMIFS(业务流水!$W$5:$W$1504,业务流水!$E$5:$E$1504,$B$3,业务流水!$D$5:$D$1504,"销项开票",业务流水!$C$5:$C$1504,$A231,业务流水!$Z$5:$Z$1504,"是"))</f>
        <v/>
      </c>
      <c r="I231" s="41" t="str">
        <f aca="false">IF($A231="","",SUMIFS(业务流水!$H$5:$H$1504,业务流水!$E$5:$E$1504,$B$3,业务流水!$D$5:$D$1504,"已交税",业务流水!$C$5:$C$1504,$A231,业务流水!$Z$5:$Z$1504,"是"))</f>
        <v/>
      </c>
      <c r="J231" s="42" t="str">
        <f aca="false">IF($A231="","",$H231-$I231)</f>
        <v/>
      </c>
      <c r="K231" s="41" t="str">
        <f aca="false">IF($A231="","",SUMIFS(业务流水!$H$5:$H$1504,业务流水!$F$5:$F$1504,$B$3,业务流水!$D$5:$D$1504,"挂靠代收",业务流水!$C$5:$C$1504,$A231,业务流水!$Z$5:$Z$1504,"是"))</f>
        <v/>
      </c>
      <c r="L231" s="42" t="str">
        <f aca="false">IF($A231="","",$C231-$K231)</f>
        <v/>
      </c>
      <c r="M231" s="41" t="str">
        <f aca="false">IF($A231="","",SUMIFS(业务流水!$H$5:$H$1504,业务流水!$E$5:$E$1504,$B$3,业务流水!$D$5:$D$1504,"我方收款",业务流水!$C$5:$C$1504,$A231,业务流水!$Z$5:$Z$1504,"是"))</f>
        <v/>
      </c>
      <c r="N231" s="43" t="str">
        <f aca="false">IF($A231="","",$K231-$M231)</f>
        <v/>
      </c>
      <c r="O231" s="41" t="str">
        <f aca="false">IF($A231="","",SUMIFS(业务流水!$H$5:$H$1504,业务流水!$F$5:$F$1504,$B$3,业务流水!$D$5:$D$1504,"管理费结算",业务流水!$C$5:$C$1504,$A231,业务流水!$Z$5:$Z$1504,"是"))</f>
        <v/>
      </c>
      <c r="P231" s="41" t="str">
        <f aca="false">IF($A231="","",SUMIFS(业务流水!$H$5:$H$1504,业务流水!$E$5:$E$1504,$B$3,业务流水!$D$5:$D$1504,"扣质保金",业务流水!$C$5:$C$1504,$A231,业务流水!$Z$5:$Z$1504,"是"))</f>
        <v/>
      </c>
      <c r="Q231" s="48" t="str">
        <f aca="false">IF($A231="","",IF(SUM($C231:$F231)+SUM($K231:$M231)=0,"无","有"))</f>
        <v/>
      </c>
    </row>
    <row r="232" customFormat="false" ht="15.75" hidden="false" customHeight="true" outlineLevel="0" collapsed="false">
      <c r="A232" s="32" t="str">
        <f aca="false">IF(项目档案!$A232="","",项目档案!$A232)</f>
        <v/>
      </c>
      <c r="B232" s="40" t="str">
        <f aca="false">IF($A232="","",项目档案!$B232)</f>
        <v/>
      </c>
      <c r="C232" s="41" t="str">
        <f aca="false">IF($A232="","",SUMIFS(业务流水!$H$5:$H$1504,业务流水!$E$5:$E$1504,$B$3,业务流水!$D$5:$D$1504,"销项开票",业务流水!$C$5:$C$1504,$A232,业务流水!$Z$5:$Z$1504,"是"))</f>
        <v/>
      </c>
      <c r="D232" s="41" t="str">
        <f aca="false">IF($A232="","",SUMIFS(业务流水!$O$5:$O$1504,业务流水!$E$5:$E$1504,$B$3,业务流水!$D$5:$D$1504,"销项开票",业务流水!$C$5:$C$1504,$A232,业务流水!$Z$5:$Z$1504,"是"))</f>
        <v/>
      </c>
      <c r="E232" s="41" t="str">
        <f aca="false">IF($A232="","",SUMIFS(业务流水!$P$5:$P$1504,业务流水!$E$5:$E$1504,$B$3,业务流水!$D$5:$D$1504,"销项开票",业务流水!$C$5:$C$1504,$A232,业务流水!$Z$5:$Z$1504,"是"))</f>
        <v/>
      </c>
      <c r="F232" s="41" t="str">
        <f aca="false">IF($A232="","",SUMIFS(业务流水!$H$5:$H$1504,业务流水!$F$5:$F$1504,$B$3,业务流水!$D$5:$D$1504,"成本票",业务流水!$C$5:$C$1504,$A232,业务流水!$Z$5:$Z$1504,"是")+SUMIFS(业务流水!$H$5:$H$1504,业务流水!$F$5:$F$1504,$B$3,业务流水!$D$5:$D$1504,"销项开票",业务流水!$C$5:$C$1504,$A232,业务流水!$Z$5:$Z$1504,"是"))</f>
        <v/>
      </c>
      <c r="G232" s="42" t="str">
        <f aca="false">IF($A232="","",$E232-$F232)</f>
        <v/>
      </c>
      <c r="H232" s="41" t="str">
        <f aca="false">IF($A232="","",SUMIFS(业务流水!$W$5:$W$1504,业务流水!$E$5:$E$1504,$B$3,业务流水!$D$5:$D$1504,"销项开票",业务流水!$C$5:$C$1504,$A232,业务流水!$Z$5:$Z$1504,"是"))</f>
        <v/>
      </c>
      <c r="I232" s="41" t="str">
        <f aca="false">IF($A232="","",SUMIFS(业务流水!$H$5:$H$1504,业务流水!$E$5:$E$1504,$B$3,业务流水!$D$5:$D$1504,"已交税",业务流水!$C$5:$C$1504,$A232,业务流水!$Z$5:$Z$1504,"是"))</f>
        <v/>
      </c>
      <c r="J232" s="42" t="str">
        <f aca="false">IF($A232="","",$H232-$I232)</f>
        <v/>
      </c>
      <c r="K232" s="41" t="str">
        <f aca="false">IF($A232="","",SUMIFS(业务流水!$H$5:$H$1504,业务流水!$F$5:$F$1504,$B$3,业务流水!$D$5:$D$1504,"挂靠代收",业务流水!$C$5:$C$1504,$A232,业务流水!$Z$5:$Z$1504,"是"))</f>
        <v/>
      </c>
      <c r="L232" s="42" t="str">
        <f aca="false">IF($A232="","",$C232-$K232)</f>
        <v/>
      </c>
      <c r="M232" s="41" t="str">
        <f aca="false">IF($A232="","",SUMIFS(业务流水!$H$5:$H$1504,业务流水!$E$5:$E$1504,$B$3,业务流水!$D$5:$D$1504,"我方收款",业务流水!$C$5:$C$1504,$A232,业务流水!$Z$5:$Z$1504,"是"))</f>
        <v/>
      </c>
      <c r="N232" s="43" t="str">
        <f aca="false">IF($A232="","",$K232-$M232)</f>
        <v/>
      </c>
      <c r="O232" s="41" t="str">
        <f aca="false">IF($A232="","",SUMIFS(业务流水!$H$5:$H$1504,业务流水!$F$5:$F$1504,$B$3,业务流水!$D$5:$D$1504,"管理费结算",业务流水!$C$5:$C$1504,$A232,业务流水!$Z$5:$Z$1504,"是"))</f>
        <v/>
      </c>
      <c r="P232" s="41" t="str">
        <f aca="false">IF($A232="","",SUMIFS(业务流水!$H$5:$H$1504,业务流水!$E$5:$E$1504,$B$3,业务流水!$D$5:$D$1504,"扣质保金",业务流水!$C$5:$C$1504,$A232,业务流水!$Z$5:$Z$1504,"是"))</f>
        <v/>
      </c>
      <c r="Q232" s="48" t="str">
        <f aca="false">IF($A232="","",IF(SUM($C232:$F232)+SUM($K232:$M232)=0,"无","有"))</f>
        <v/>
      </c>
    </row>
    <row r="233" customFormat="false" ht="15.75" hidden="false" customHeight="true" outlineLevel="0" collapsed="false">
      <c r="A233" s="32" t="str">
        <f aca="false">IF(项目档案!$A233="","",项目档案!$A233)</f>
        <v/>
      </c>
      <c r="B233" s="40" t="str">
        <f aca="false">IF($A233="","",项目档案!$B233)</f>
        <v/>
      </c>
      <c r="C233" s="41" t="str">
        <f aca="false">IF($A233="","",SUMIFS(业务流水!$H$5:$H$1504,业务流水!$E$5:$E$1504,$B$3,业务流水!$D$5:$D$1504,"销项开票",业务流水!$C$5:$C$1504,$A233,业务流水!$Z$5:$Z$1504,"是"))</f>
        <v/>
      </c>
      <c r="D233" s="41" t="str">
        <f aca="false">IF($A233="","",SUMIFS(业务流水!$O$5:$O$1504,业务流水!$E$5:$E$1504,$B$3,业务流水!$D$5:$D$1504,"销项开票",业务流水!$C$5:$C$1504,$A233,业务流水!$Z$5:$Z$1504,"是"))</f>
        <v/>
      </c>
      <c r="E233" s="41" t="str">
        <f aca="false">IF($A233="","",SUMIFS(业务流水!$P$5:$P$1504,业务流水!$E$5:$E$1504,$B$3,业务流水!$D$5:$D$1504,"销项开票",业务流水!$C$5:$C$1504,$A233,业务流水!$Z$5:$Z$1504,"是"))</f>
        <v/>
      </c>
      <c r="F233" s="41" t="str">
        <f aca="false">IF($A233="","",SUMIFS(业务流水!$H$5:$H$1504,业务流水!$F$5:$F$1504,$B$3,业务流水!$D$5:$D$1504,"成本票",业务流水!$C$5:$C$1504,$A233,业务流水!$Z$5:$Z$1504,"是")+SUMIFS(业务流水!$H$5:$H$1504,业务流水!$F$5:$F$1504,$B$3,业务流水!$D$5:$D$1504,"销项开票",业务流水!$C$5:$C$1504,$A233,业务流水!$Z$5:$Z$1504,"是"))</f>
        <v/>
      </c>
      <c r="G233" s="42" t="str">
        <f aca="false">IF($A233="","",$E233-$F233)</f>
        <v/>
      </c>
      <c r="H233" s="41" t="str">
        <f aca="false">IF($A233="","",SUMIFS(业务流水!$W$5:$W$1504,业务流水!$E$5:$E$1504,$B$3,业务流水!$D$5:$D$1504,"销项开票",业务流水!$C$5:$C$1504,$A233,业务流水!$Z$5:$Z$1504,"是"))</f>
        <v/>
      </c>
      <c r="I233" s="41" t="str">
        <f aca="false">IF($A233="","",SUMIFS(业务流水!$H$5:$H$1504,业务流水!$E$5:$E$1504,$B$3,业务流水!$D$5:$D$1504,"已交税",业务流水!$C$5:$C$1504,$A233,业务流水!$Z$5:$Z$1504,"是"))</f>
        <v/>
      </c>
      <c r="J233" s="42" t="str">
        <f aca="false">IF($A233="","",$H233-$I233)</f>
        <v/>
      </c>
      <c r="K233" s="41" t="str">
        <f aca="false">IF($A233="","",SUMIFS(业务流水!$H$5:$H$1504,业务流水!$F$5:$F$1504,$B$3,业务流水!$D$5:$D$1504,"挂靠代收",业务流水!$C$5:$C$1504,$A233,业务流水!$Z$5:$Z$1504,"是"))</f>
        <v/>
      </c>
      <c r="L233" s="42" t="str">
        <f aca="false">IF($A233="","",$C233-$K233)</f>
        <v/>
      </c>
      <c r="M233" s="41" t="str">
        <f aca="false">IF($A233="","",SUMIFS(业务流水!$H$5:$H$1504,业务流水!$E$5:$E$1504,$B$3,业务流水!$D$5:$D$1504,"我方收款",业务流水!$C$5:$C$1504,$A233,业务流水!$Z$5:$Z$1504,"是"))</f>
        <v/>
      </c>
      <c r="N233" s="43" t="str">
        <f aca="false">IF($A233="","",$K233-$M233)</f>
        <v/>
      </c>
      <c r="O233" s="41" t="str">
        <f aca="false">IF($A233="","",SUMIFS(业务流水!$H$5:$H$1504,业务流水!$F$5:$F$1504,$B$3,业务流水!$D$5:$D$1504,"管理费结算",业务流水!$C$5:$C$1504,$A233,业务流水!$Z$5:$Z$1504,"是"))</f>
        <v/>
      </c>
      <c r="P233" s="41" t="str">
        <f aca="false">IF($A233="","",SUMIFS(业务流水!$H$5:$H$1504,业务流水!$E$5:$E$1504,$B$3,业务流水!$D$5:$D$1504,"扣质保金",业务流水!$C$5:$C$1504,$A233,业务流水!$Z$5:$Z$1504,"是"))</f>
        <v/>
      </c>
      <c r="Q233" s="48" t="str">
        <f aca="false">IF($A233="","",IF(SUM($C233:$F233)+SUM($K233:$M233)=0,"无","有"))</f>
        <v/>
      </c>
    </row>
    <row r="234" customFormat="false" ht="15.75" hidden="false" customHeight="true" outlineLevel="0" collapsed="false">
      <c r="A234" s="32" t="str">
        <f aca="false">IF(项目档案!$A234="","",项目档案!$A234)</f>
        <v/>
      </c>
      <c r="B234" s="40" t="str">
        <f aca="false">IF($A234="","",项目档案!$B234)</f>
        <v/>
      </c>
      <c r="C234" s="41" t="str">
        <f aca="false">IF($A234="","",SUMIFS(业务流水!$H$5:$H$1504,业务流水!$E$5:$E$1504,$B$3,业务流水!$D$5:$D$1504,"销项开票",业务流水!$C$5:$C$1504,$A234,业务流水!$Z$5:$Z$1504,"是"))</f>
        <v/>
      </c>
      <c r="D234" s="41" t="str">
        <f aca="false">IF($A234="","",SUMIFS(业务流水!$O$5:$O$1504,业务流水!$E$5:$E$1504,$B$3,业务流水!$D$5:$D$1504,"销项开票",业务流水!$C$5:$C$1504,$A234,业务流水!$Z$5:$Z$1504,"是"))</f>
        <v/>
      </c>
      <c r="E234" s="41" t="str">
        <f aca="false">IF($A234="","",SUMIFS(业务流水!$P$5:$P$1504,业务流水!$E$5:$E$1504,$B$3,业务流水!$D$5:$D$1504,"销项开票",业务流水!$C$5:$C$1504,$A234,业务流水!$Z$5:$Z$1504,"是"))</f>
        <v/>
      </c>
      <c r="F234" s="41" t="str">
        <f aca="false">IF($A234="","",SUMIFS(业务流水!$H$5:$H$1504,业务流水!$F$5:$F$1504,$B$3,业务流水!$D$5:$D$1504,"成本票",业务流水!$C$5:$C$1504,$A234,业务流水!$Z$5:$Z$1504,"是")+SUMIFS(业务流水!$H$5:$H$1504,业务流水!$F$5:$F$1504,$B$3,业务流水!$D$5:$D$1504,"销项开票",业务流水!$C$5:$C$1504,$A234,业务流水!$Z$5:$Z$1504,"是"))</f>
        <v/>
      </c>
      <c r="G234" s="42" t="str">
        <f aca="false">IF($A234="","",$E234-$F234)</f>
        <v/>
      </c>
      <c r="H234" s="41" t="str">
        <f aca="false">IF($A234="","",SUMIFS(业务流水!$W$5:$W$1504,业务流水!$E$5:$E$1504,$B$3,业务流水!$D$5:$D$1504,"销项开票",业务流水!$C$5:$C$1504,$A234,业务流水!$Z$5:$Z$1504,"是"))</f>
        <v/>
      </c>
      <c r="I234" s="41" t="str">
        <f aca="false">IF($A234="","",SUMIFS(业务流水!$H$5:$H$1504,业务流水!$E$5:$E$1504,$B$3,业务流水!$D$5:$D$1504,"已交税",业务流水!$C$5:$C$1504,$A234,业务流水!$Z$5:$Z$1504,"是"))</f>
        <v/>
      </c>
      <c r="J234" s="42" t="str">
        <f aca="false">IF($A234="","",$H234-$I234)</f>
        <v/>
      </c>
      <c r="K234" s="41" t="str">
        <f aca="false">IF($A234="","",SUMIFS(业务流水!$H$5:$H$1504,业务流水!$F$5:$F$1504,$B$3,业务流水!$D$5:$D$1504,"挂靠代收",业务流水!$C$5:$C$1504,$A234,业务流水!$Z$5:$Z$1504,"是"))</f>
        <v/>
      </c>
      <c r="L234" s="42" t="str">
        <f aca="false">IF($A234="","",$C234-$K234)</f>
        <v/>
      </c>
      <c r="M234" s="41" t="str">
        <f aca="false">IF($A234="","",SUMIFS(业务流水!$H$5:$H$1504,业务流水!$E$5:$E$1504,$B$3,业务流水!$D$5:$D$1504,"我方收款",业务流水!$C$5:$C$1504,$A234,业务流水!$Z$5:$Z$1504,"是"))</f>
        <v/>
      </c>
      <c r="N234" s="43" t="str">
        <f aca="false">IF($A234="","",$K234-$M234)</f>
        <v/>
      </c>
      <c r="O234" s="41" t="str">
        <f aca="false">IF($A234="","",SUMIFS(业务流水!$H$5:$H$1504,业务流水!$F$5:$F$1504,$B$3,业务流水!$D$5:$D$1504,"管理费结算",业务流水!$C$5:$C$1504,$A234,业务流水!$Z$5:$Z$1504,"是"))</f>
        <v/>
      </c>
      <c r="P234" s="41" t="str">
        <f aca="false">IF($A234="","",SUMIFS(业务流水!$H$5:$H$1504,业务流水!$E$5:$E$1504,$B$3,业务流水!$D$5:$D$1504,"扣质保金",业务流水!$C$5:$C$1504,$A234,业务流水!$Z$5:$Z$1504,"是"))</f>
        <v/>
      </c>
      <c r="Q234" s="48" t="str">
        <f aca="false">IF($A234="","",IF(SUM($C234:$F234)+SUM($K234:$M234)=0,"无","有"))</f>
        <v/>
      </c>
    </row>
    <row r="235" customFormat="false" ht="15.75" hidden="false" customHeight="true" outlineLevel="0" collapsed="false">
      <c r="A235" s="32" t="str">
        <f aca="false">IF(项目档案!$A235="","",项目档案!$A235)</f>
        <v/>
      </c>
      <c r="B235" s="40" t="str">
        <f aca="false">IF($A235="","",项目档案!$B235)</f>
        <v/>
      </c>
      <c r="C235" s="41" t="str">
        <f aca="false">IF($A235="","",SUMIFS(业务流水!$H$5:$H$1504,业务流水!$E$5:$E$1504,$B$3,业务流水!$D$5:$D$1504,"销项开票",业务流水!$C$5:$C$1504,$A235,业务流水!$Z$5:$Z$1504,"是"))</f>
        <v/>
      </c>
      <c r="D235" s="41" t="str">
        <f aca="false">IF($A235="","",SUMIFS(业务流水!$O$5:$O$1504,业务流水!$E$5:$E$1504,$B$3,业务流水!$D$5:$D$1504,"销项开票",业务流水!$C$5:$C$1504,$A235,业务流水!$Z$5:$Z$1504,"是"))</f>
        <v/>
      </c>
      <c r="E235" s="41" t="str">
        <f aca="false">IF($A235="","",SUMIFS(业务流水!$P$5:$P$1504,业务流水!$E$5:$E$1504,$B$3,业务流水!$D$5:$D$1504,"销项开票",业务流水!$C$5:$C$1504,$A235,业务流水!$Z$5:$Z$1504,"是"))</f>
        <v/>
      </c>
      <c r="F235" s="41" t="str">
        <f aca="false">IF($A235="","",SUMIFS(业务流水!$H$5:$H$1504,业务流水!$F$5:$F$1504,$B$3,业务流水!$D$5:$D$1504,"成本票",业务流水!$C$5:$C$1504,$A235,业务流水!$Z$5:$Z$1504,"是")+SUMIFS(业务流水!$H$5:$H$1504,业务流水!$F$5:$F$1504,$B$3,业务流水!$D$5:$D$1504,"销项开票",业务流水!$C$5:$C$1504,$A235,业务流水!$Z$5:$Z$1504,"是"))</f>
        <v/>
      </c>
      <c r="G235" s="42" t="str">
        <f aca="false">IF($A235="","",$E235-$F235)</f>
        <v/>
      </c>
      <c r="H235" s="41" t="str">
        <f aca="false">IF($A235="","",SUMIFS(业务流水!$W$5:$W$1504,业务流水!$E$5:$E$1504,$B$3,业务流水!$D$5:$D$1504,"销项开票",业务流水!$C$5:$C$1504,$A235,业务流水!$Z$5:$Z$1504,"是"))</f>
        <v/>
      </c>
      <c r="I235" s="41" t="str">
        <f aca="false">IF($A235="","",SUMIFS(业务流水!$H$5:$H$1504,业务流水!$E$5:$E$1504,$B$3,业务流水!$D$5:$D$1504,"已交税",业务流水!$C$5:$C$1504,$A235,业务流水!$Z$5:$Z$1504,"是"))</f>
        <v/>
      </c>
      <c r="J235" s="42" t="str">
        <f aca="false">IF($A235="","",$H235-$I235)</f>
        <v/>
      </c>
      <c r="K235" s="41" t="str">
        <f aca="false">IF($A235="","",SUMIFS(业务流水!$H$5:$H$1504,业务流水!$F$5:$F$1504,$B$3,业务流水!$D$5:$D$1504,"挂靠代收",业务流水!$C$5:$C$1504,$A235,业务流水!$Z$5:$Z$1504,"是"))</f>
        <v/>
      </c>
      <c r="L235" s="42" t="str">
        <f aca="false">IF($A235="","",$C235-$K235)</f>
        <v/>
      </c>
      <c r="M235" s="41" t="str">
        <f aca="false">IF($A235="","",SUMIFS(业务流水!$H$5:$H$1504,业务流水!$E$5:$E$1504,$B$3,业务流水!$D$5:$D$1504,"我方收款",业务流水!$C$5:$C$1504,$A235,业务流水!$Z$5:$Z$1504,"是"))</f>
        <v/>
      </c>
      <c r="N235" s="43" t="str">
        <f aca="false">IF($A235="","",$K235-$M235)</f>
        <v/>
      </c>
      <c r="O235" s="41" t="str">
        <f aca="false">IF($A235="","",SUMIFS(业务流水!$H$5:$H$1504,业务流水!$F$5:$F$1504,$B$3,业务流水!$D$5:$D$1504,"管理费结算",业务流水!$C$5:$C$1504,$A235,业务流水!$Z$5:$Z$1504,"是"))</f>
        <v/>
      </c>
      <c r="P235" s="41" t="str">
        <f aca="false">IF($A235="","",SUMIFS(业务流水!$H$5:$H$1504,业务流水!$E$5:$E$1504,$B$3,业务流水!$D$5:$D$1504,"扣质保金",业务流水!$C$5:$C$1504,$A235,业务流水!$Z$5:$Z$1504,"是"))</f>
        <v/>
      </c>
      <c r="Q235" s="48" t="str">
        <f aca="false">IF($A235="","",IF(SUM($C235:$F235)+SUM($K235:$M235)=0,"无","有"))</f>
        <v/>
      </c>
    </row>
    <row r="236" customFormat="false" ht="15.75" hidden="false" customHeight="true" outlineLevel="0" collapsed="false">
      <c r="A236" s="32" t="str">
        <f aca="false">IF(项目档案!$A236="","",项目档案!$A236)</f>
        <v/>
      </c>
      <c r="B236" s="40" t="str">
        <f aca="false">IF($A236="","",项目档案!$B236)</f>
        <v/>
      </c>
      <c r="C236" s="41" t="str">
        <f aca="false">IF($A236="","",SUMIFS(业务流水!$H$5:$H$1504,业务流水!$E$5:$E$1504,$B$3,业务流水!$D$5:$D$1504,"销项开票",业务流水!$C$5:$C$1504,$A236,业务流水!$Z$5:$Z$1504,"是"))</f>
        <v/>
      </c>
      <c r="D236" s="41" t="str">
        <f aca="false">IF($A236="","",SUMIFS(业务流水!$O$5:$O$1504,业务流水!$E$5:$E$1504,$B$3,业务流水!$D$5:$D$1504,"销项开票",业务流水!$C$5:$C$1504,$A236,业务流水!$Z$5:$Z$1504,"是"))</f>
        <v/>
      </c>
      <c r="E236" s="41" t="str">
        <f aca="false">IF($A236="","",SUMIFS(业务流水!$P$5:$P$1504,业务流水!$E$5:$E$1504,$B$3,业务流水!$D$5:$D$1504,"销项开票",业务流水!$C$5:$C$1504,$A236,业务流水!$Z$5:$Z$1504,"是"))</f>
        <v/>
      </c>
      <c r="F236" s="41" t="str">
        <f aca="false">IF($A236="","",SUMIFS(业务流水!$H$5:$H$1504,业务流水!$F$5:$F$1504,$B$3,业务流水!$D$5:$D$1504,"成本票",业务流水!$C$5:$C$1504,$A236,业务流水!$Z$5:$Z$1504,"是")+SUMIFS(业务流水!$H$5:$H$1504,业务流水!$F$5:$F$1504,$B$3,业务流水!$D$5:$D$1504,"销项开票",业务流水!$C$5:$C$1504,$A236,业务流水!$Z$5:$Z$1504,"是"))</f>
        <v/>
      </c>
      <c r="G236" s="42" t="str">
        <f aca="false">IF($A236="","",$E236-$F236)</f>
        <v/>
      </c>
      <c r="H236" s="41" t="str">
        <f aca="false">IF($A236="","",SUMIFS(业务流水!$W$5:$W$1504,业务流水!$E$5:$E$1504,$B$3,业务流水!$D$5:$D$1504,"销项开票",业务流水!$C$5:$C$1504,$A236,业务流水!$Z$5:$Z$1504,"是"))</f>
        <v/>
      </c>
      <c r="I236" s="41" t="str">
        <f aca="false">IF($A236="","",SUMIFS(业务流水!$H$5:$H$1504,业务流水!$E$5:$E$1504,$B$3,业务流水!$D$5:$D$1504,"已交税",业务流水!$C$5:$C$1504,$A236,业务流水!$Z$5:$Z$1504,"是"))</f>
        <v/>
      </c>
      <c r="J236" s="42" t="str">
        <f aca="false">IF($A236="","",$H236-$I236)</f>
        <v/>
      </c>
      <c r="K236" s="41" t="str">
        <f aca="false">IF($A236="","",SUMIFS(业务流水!$H$5:$H$1504,业务流水!$F$5:$F$1504,$B$3,业务流水!$D$5:$D$1504,"挂靠代收",业务流水!$C$5:$C$1504,$A236,业务流水!$Z$5:$Z$1504,"是"))</f>
        <v/>
      </c>
      <c r="L236" s="42" t="str">
        <f aca="false">IF($A236="","",$C236-$K236)</f>
        <v/>
      </c>
      <c r="M236" s="41" t="str">
        <f aca="false">IF($A236="","",SUMIFS(业务流水!$H$5:$H$1504,业务流水!$E$5:$E$1504,$B$3,业务流水!$D$5:$D$1504,"我方收款",业务流水!$C$5:$C$1504,$A236,业务流水!$Z$5:$Z$1504,"是"))</f>
        <v/>
      </c>
      <c r="N236" s="43" t="str">
        <f aca="false">IF($A236="","",$K236-$M236)</f>
        <v/>
      </c>
      <c r="O236" s="41" t="str">
        <f aca="false">IF($A236="","",SUMIFS(业务流水!$H$5:$H$1504,业务流水!$F$5:$F$1504,$B$3,业务流水!$D$5:$D$1504,"管理费结算",业务流水!$C$5:$C$1504,$A236,业务流水!$Z$5:$Z$1504,"是"))</f>
        <v/>
      </c>
      <c r="P236" s="41" t="str">
        <f aca="false">IF($A236="","",SUMIFS(业务流水!$H$5:$H$1504,业务流水!$E$5:$E$1504,$B$3,业务流水!$D$5:$D$1504,"扣质保金",业务流水!$C$5:$C$1504,$A236,业务流水!$Z$5:$Z$1504,"是"))</f>
        <v/>
      </c>
      <c r="Q236" s="48" t="str">
        <f aca="false">IF($A236="","",IF(SUM($C236:$F236)+SUM($K236:$M236)=0,"无","有"))</f>
        <v/>
      </c>
    </row>
    <row r="237" customFormat="false" ht="15.75" hidden="false" customHeight="true" outlineLevel="0" collapsed="false">
      <c r="A237" s="32" t="str">
        <f aca="false">IF(项目档案!$A237="","",项目档案!$A237)</f>
        <v/>
      </c>
      <c r="B237" s="40" t="str">
        <f aca="false">IF($A237="","",项目档案!$B237)</f>
        <v/>
      </c>
      <c r="C237" s="41" t="str">
        <f aca="false">IF($A237="","",SUMIFS(业务流水!$H$5:$H$1504,业务流水!$E$5:$E$1504,$B$3,业务流水!$D$5:$D$1504,"销项开票",业务流水!$C$5:$C$1504,$A237,业务流水!$Z$5:$Z$1504,"是"))</f>
        <v/>
      </c>
      <c r="D237" s="41" t="str">
        <f aca="false">IF($A237="","",SUMIFS(业务流水!$O$5:$O$1504,业务流水!$E$5:$E$1504,$B$3,业务流水!$D$5:$D$1504,"销项开票",业务流水!$C$5:$C$1504,$A237,业务流水!$Z$5:$Z$1504,"是"))</f>
        <v/>
      </c>
      <c r="E237" s="41" t="str">
        <f aca="false">IF($A237="","",SUMIFS(业务流水!$P$5:$P$1504,业务流水!$E$5:$E$1504,$B$3,业务流水!$D$5:$D$1504,"销项开票",业务流水!$C$5:$C$1504,$A237,业务流水!$Z$5:$Z$1504,"是"))</f>
        <v/>
      </c>
      <c r="F237" s="41" t="str">
        <f aca="false">IF($A237="","",SUMIFS(业务流水!$H$5:$H$1504,业务流水!$F$5:$F$1504,$B$3,业务流水!$D$5:$D$1504,"成本票",业务流水!$C$5:$C$1504,$A237,业务流水!$Z$5:$Z$1504,"是")+SUMIFS(业务流水!$H$5:$H$1504,业务流水!$F$5:$F$1504,$B$3,业务流水!$D$5:$D$1504,"销项开票",业务流水!$C$5:$C$1504,$A237,业务流水!$Z$5:$Z$1504,"是"))</f>
        <v/>
      </c>
      <c r="G237" s="42" t="str">
        <f aca="false">IF($A237="","",$E237-$F237)</f>
        <v/>
      </c>
      <c r="H237" s="41" t="str">
        <f aca="false">IF($A237="","",SUMIFS(业务流水!$W$5:$W$1504,业务流水!$E$5:$E$1504,$B$3,业务流水!$D$5:$D$1504,"销项开票",业务流水!$C$5:$C$1504,$A237,业务流水!$Z$5:$Z$1504,"是"))</f>
        <v/>
      </c>
      <c r="I237" s="41" t="str">
        <f aca="false">IF($A237="","",SUMIFS(业务流水!$H$5:$H$1504,业务流水!$E$5:$E$1504,$B$3,业务流水!$D$5:$D$1504,"已交税",业务流水!$C$5:$C$1504,$A237,业务流水!$Z$5:$Z$1504,"是"))</f>
        <v/>
      </c>
      <c r="J237" s="42" t="str">
        <f aca="false">IF($A237="","",$H237-$I237)</f>
        <v/>
      </c>
      <c r="K237" s="41" t="str">
        <f aca="false">IF($A237="","",SUMIFS(业务流水!$H$5:$H$1504,业务流水!$F$5:$F$1504,$B$3,业务流水!$D$5:$D$1504,"挂靠代收",业务流水!$C$5:$C$1504,$A237,业务流水!$Z$5:$Z$1504,"是"))</f>
        <v/>
      </c>
      <c r="L237" s="42" t="str">
        <f aca="false">IF($A237="","",$C237-$K237)</f>
        <v/>
      </c>
      <c r="M237" s="41" t="str">
        <f aca="false">IF($A237="","",SUMIFS(业务流水!$H$5:$H$1504,业务流水!$E$5:$E$1504,$B$3,业务流水!$D$5:$D$1504,"我方收款",业务流水!$C$5:$C$1504,$A237,业务流水!$Z$5:$Z$1504,"是"))</f>
        <v/>
      </c>
      <c r="N237" s="43" t="str">
        <f aca="false">IF($A237="","",$K237-$M237)</f>
        <v/>
      </c>
      <c r="O237" s="41" t="str">
        <f aca="false">IF($A237="","",SUMIFS(业务流水!$H$5:$H$1504,业务流水!$F$5:$F$1504,$B$3,业务流水!$D$5:$D$1504,"管理费结算",业务流水!$C$5:$C$1504,$A237,业务流水!$Z$5:$Z$1504,"是"))</f>
        <v/>
      </c>
      <c r="P237" s="41" t="str">
        <f aca="false">IF($A237="","",SUMIFS(业务流水!$H$5:$H$1504,业务流水!$E$5:$E$1504,$B$3,业务流水!$D$5:$D$1504,"扣质保金",业务流水!$C$5:$C$1504,$A237,业务流水!$Z$5:$Z$1504,"是"))</f>
        <v/>
      </c>
      <c r="Q237" s="48" t="str">
        <f aca="false">IF($A237="","",IF(SUM($C237:$F237)+SUM($K237:$M237)=0,"无","有"))</f>
        <v/>
      </c>
    </row>
    <row r="238" customFormat="false" ht="15.75" hidden="false" customHeight="true" outlineLevel="0" collapsed="false">
      <c r="A238" s="32" t="str">
        <f aca="false">IF(项目档案!$A238="","",项目档案!$A238)</f>
        <v/>
      </c>
      <c r="B238" s="40" t="str">
        <f aca="false">IF($A238="","",项目档案!$B238)</f>
        <v/>
      </c>
      <c r="C238" s="41" t="str">
        <f aca="false">IF($A238="","",SUMIFS(业务流水!$H$5:$H$1504,业务流水!$E$5:$E$1504,$B$3,业务流水!$D$5:$D$1504,"销项开票",业务流水!$C$5:$C$1504,$A238,业务流水!$Z$5:$Z$1504,"是"))</f>
        <v/>
      </c>
      <c r="D238" s="41" t="str">
        <f aca="false">IF($A238="","",SUMIFS(业务流水!$O$5:$O$1504,业务流水!$E$5:$E$1504,$B$3,业务流水!$D$5:$D$1504,"销项开票",业务流水!$C$5:$C$1504,$A238,业务流水!$Z$5:$Z$1504,"是"))</f>
        <v/>
      </c>
      <c r="E238" s="41" t="str">
        <f aca="false">IF($A238="","",SUMIFS(业务流水!$P$5:$P$1504,业务流水!$E$5:$E$1504,$B$3,业务流水!$D$5:$D$1504,"销项开票",业务流水!$C$5:$C$1504,$A238,业务流水!$Z$5:$Z$1504,"是"))</f>
        <v/>
      </c>
      <c r="F238" s="41" t="str">
        <f aca="false">IF($A238="","",SUMIFS(业务流水!$H$5:$H$1504,业务流水!$F$5:$F$1504,$B$3,业务流水!$D$5:$D$1504,"成本票",业务流水!$C$5:$C$1504,$A238,业务流水!$Z$5:$Z$1504,"是")+SUMIFS(业务流水!$H$5:$H$1504,业务流水!$F$5:$F$1504,$B$3,业务流水!$D$5:$D$1504,"销项开票",业务流水!$C$5:$C$1504,$A238,业务流水!$Z$5:$Z$1504,"是"))</f>
        <v/>
      </c>
      <c r="G238" s="42" t="str">
        <f aca="false">IF($A238="","",$E238-$F238)</f>
        <v/>
      </c>
      <c r="H238" s="41" t="str">
        <f aca="false">IF($A238="","",SUMIFS(业务流水!$W$5:$W$1504,业务流水!$E$5:$E$1504,$B$3,业务流水!$D$5:$D$1504,"销项开票",业务流水!$C$5:$C$1504,$A238,业务流水!$Z$5:$Z$1504,"是"))</f>
        <v/>
      </c>
      <c r="I238" s="41" t="str">
        <f aca="false">IF($A238="","",SUMIFS(业务流水!$H$5:$H$1504,业务流水!$E$5:$E$1504,$B$3,业务流水!$D$5:$D$1504,"已交税",业务流水!$C$5:$C$1504,$A238,业务流水!$Z$5:$Z$1504,"是"))</f>
        <v/>
      </c>
      <c r="J238" s="42" t="str">
        <f aca="false">IF($A238="","",$H238-$I238)</f>
        <v/>
      </c>
      <c r="K238" s="41" t="str">
        <f aca="false">IF($A238="","",SUMIFS(业务流水!$H$5:$H$1504,业务流水!$F$5:$F$1504,$B$3,业务流水!$D$5:$D$1504,"挂靠代收",业务流水!$C$5:$C$1504,$A238,业务流水!$Z$5:$Z$1504,"是"))</f>
        <v/>
      </c>
      <c r="L238" s="42" t="str">
        <f aca="false">IF($A238="","",$C238-$K238)</f>
        <v/>
      </c>
      <c r="M238" s="41" t="str">
        <f aca="false">IF($A238="","",SUMIFS(业务流水!$H$5:$H$1504,业务流水!$E$5:$E$1504,$B$3,业务流水!$D$5:$D$1504,"我方收款",业务流水!$C$5:$C$1504,$A238,业务流水!$Z$5:$Z$1504,"是"))</f>
        <v/>
      </c>
      <c r="N238" s="43" t="str">
        <f aca="false">IF($A238="","",$K238-$M238)</f>
        <v/>
      </c>
      <c r="O238" s="41" t="str">
        <f aca="false">IF($A238="","",SUMIFS(业务流水!$H$5:$H$1504,业务流水!$F$5:$F$1504,$B$3,业务流水!$D$5:$D$1504,"管理费结算",业务流水!$C$5:$C$1504,$A238,业务流水!$Z$5:$Z$1504,"是"))</f>
        <v/>
      </c>
      <c r="P238" s="41" t="str">
        <f aca="false">IF($A238="","",SUMIFS(业务流水!$H$5:$H$1504,业务流水!$E$5:$E$1504,$B$3,业务流水!$D$5:$D$1504,"扣质保金",业务流水!$C$5:$C$1504,$A238,业务流水!$Z$5:$Z$1504,"是"))</f>
        <v/>
      </c>
      <c r="Q238" s="48" t="str">
        <f aca="false">IF($A238="","",IF(SUM($C238:$F238)+SUM($K238:$M238)=0,"无","有"))</f>
        <v/>
      </c>
    </row>
    <row r="239" customFormat="false" ht="15.75" hidden="false" customHeight="true" outlineLevel="0" collapsed="false">
      <c r="A239" s="32" t="str">
        <f aca="false">IF(项目档案!$A239="","",项目档案!$A239)</f>
        <v/>
      </c>
      <c r="B239" s="40" t="str">
        <f aca="false">IF($A239="","",项目档案!$B239)</f>
        <v/>
      </c>
      <c r="C239" s="41" t="str">
        <f aca="false">IF($A239="","",SUMIFS(业务流水!$H$5:$H$1504,业务流水!$E$5:$E$1504,$B$3,业务流水!$D$5:$D$1504,"销项开票",业务流水!$C$5:$C$1504,$A239,业务流水!$Z$5:$Z$1504,"是"))</f>
        <v/>
      </c>
      <c r="D239" s="41" t="str">
        <f aca="false">IF($A239="","",SUMIFS(业务流水!$O$5:$O$1504,业务流水!$E$5:$E$1504,$B$3,业务流水!$D$5:$D$1504,"销项开票",业务流水!$C$5:$C$1504,$A239,业务流水!$Z$5:$Z$1504,"是"))</f>
        <v/>
      </c>
      <c r="E239" s="41" t="str">
        <f aca="false">IF($A239="","",SUMIFS(业务流水!$P$5:$P$1504,业务流水!$E$5:$E$1504,$B$3,业务流水!$D$5:$D$1504,"销项开票",业务流水!$C$5:$C$1504,$A239,业务流水!$Z$5:$Z$1504,"是"))</f>
        <v/>
      </c>
      <c r="F239" s="41" t="str">
        <f aca="false">IF($A239="","",SUMIFS(业务流水!$H$5:$H$1504,业务流水!$F$5:$F$1504,$B$3,业务流水!$D$5:$D$1504,"成本票",业务流水!$C$5:$C$1504,$A239,业务流水!$Z$5:$Z$1504,"是")+SUMIFS(业务流水!$H$5:$H$1504,业务流水!$F$5:$F$1504,$B$3,业务流水!$D$5:$D$1504,"销项开票",业务流水!$C$5:$C$1504,$A239,业务流水!$Z$5:$Z$1504,"是"))</f>
        <v/>
      </c>
      <c r="G239" s="42" t="str">
        <f aca="false">IF($A239="","",$E239-$F239)</f>
        <v/>
      </c>
      <c r="H239" s="41" t="str">
        <f aca="false">IF($A239="","",SUMIFS(业务流水!$W$5:$W$1504,业务流水!$E$5:$E$1504,$B$3,业务流水!$D$5:$D$1504,"销项开票",业务流水!$C$5:$C$1504,$A239,业务流水!$Z$5:$Z$1504,"是"))</f>
        <v/>
      </c>
      <c r="I239" s="41" t="str">
        <f aca="false">IF($A239="","",SUMIFS(业务流水!$H$5:$H$1504,业务流水!$E$5:$E$1504,$B$3,业务流水!$D$5:$D$1504,"已交税",业务流水!$C$5:$C$1504,$A239,业务流水!$Z$5:$Z$1504,"是"))</f>
        <v/>
      </c>
      <c r="J239" s="42" t="str">
        <f aca="false">IF($A239="","",$H239-$I239)</f>
        <v/>
      </c>
      <c r="K239" s="41" t="str">
        <f aca="false">IF($A239="","",SUMIFS(业务流水!$H$5:$H$1504,业务流水!$F$5:$F$1504,$B$3,业务流水!$D$5:$D$1504,"挂靠代收",业务流水!$C$5:$C$1504,$A239,业务流水!$Z$5:$Z$1504,"是"))</f>
        <v/>
      </c>
      <c r="L239" s="42" t="str">
        <f aca="false">IF($A239="","",$C239-$K239)</f>
        <v/>
      </c>
      <c r="M239" s="41" t="str">
        <f aca="false">IF($A239="","",SUMIFS(业务流水!$H$5:$H$1504,业务流水!$E$5:$E$1504,$B$3,业务流水!$D$5:$D$1504,"我方收款",业务流水!$C$5:$C$1504,$A239,业务流水!$Z$5:$Z$1504,"是"))</f>
        <v/>
      </c>
      <c r="N239" s="43" t="str">
        <f aca="false">IF($A239="","",$K239-$M239)</f>
        <v/>
      </c>
      <c r="O239" s="41" t="str">
        <f aca="false">IF($A239="","",SUMIFS(业务流水!$H$5:$H$1504,业务流水!$F$5:$F$1504,$B$3,业务流水!$D$5:$D$1504,"管理费结算",业务流水!$C$5:$C$1504,$A239,业务流水!$Z$5:$Z$1504,"是"))</f>
        <v/>
      </c>
      <c r="P239" s="41" t="str">
        <f aca="false">IF($A239="","",SUMIFS(业务流水!$H$5:$H$1504,业务流水!$E$5:$E$1504,$B$3,业务流水!$D$5:$D$1504,"扣质保金",业务流水!$C$5:$C$1504,$A239,业务流水!$Z$5:$Z$1504,"是"))</f>
        <v/>
      </c>
      <c r="Q239" s="48" t="str">
        <f aca="false">IF($A239="","",IF(SUM($C239:$F239)+SUM($K239:$M239)=0,"无","有"))</f>
        <v/>
      </c>
    </row>
    <row r="240" customFormat="false" ht="15.75" hidden="false" customHeight="true" outlineLevel="0" collapsed="false">
      <c r="A240" s="32" t="str">
        <f aca="false">IF(项目档案!$A240="","",项目档案!$A240)</f>
        <v/>
      </c>
      <c r="B240" s="40" t="str">
        <f aca="false">IF($A240="","",项目档案!$B240)</f>
        <v/>
      </c>
      <c r="C240" s="41" t="str">
        <f aca="false">IF($A240="","",SUMIFS(业务流水!$H$5:$H$1504,业务流水!$E$5:$E$1504,$B$3,业务流水!$D$5:$D$1504,"销项开票",业务流水!$C$5:$C$1504,$A240,业务流水!$Z$5:$Z$1504,"是"))</f>
        <v/>
      </c>
      <c r="D240" s="41" t="str">
        <f aca="false">IF($A240="","",SUMIFS(业务流水!$O$5:$O$1504,业务流水!$E$5:$E$1504,$B$3,业务流水!$D$5:$D$1504,"销项开票",业务流水!$C$5:$C$1504,$A240,业务流水!$Z$5:$Z$1504,"是"))</f>
        <v/>
      </c>
      <c r="E240" s="41" t="str">
        <f aca="false">IF($A240="","",SUMIFS(业务流水!$P$5:$P$1504,业务流水!$E$5:$E$1504,$B$3,业务流水!$D$5:$D$1504,"销项开票",业务流水!$C$5:$C$1504,$A240,业务流水!$Z$5:$Z$1504,"是"))</f>
        <v/>
      </c>
      <c r="F240" s="41" t="str">
        <f aca="false">IF($A240="","",SUMIFS(业务流水!$H$5:$H$1504,业务流水!$F$5:$F$1504,$B$3,业务流水!$D$5:$D$1504,"成本票",业务流水!$C$5:$C$1504,$A240,业务流水!$Z$5:$Z$1504,"是")+SUMIFS(业务流水!$H$5:$H$1504,业务流水!$F$5:$F$1504,$B$3,业务流水!$D$5:$D$1504,"销项开票",业务流水!$C$5:$C$1504,$A240,业务流水!$Z$5:$Z$1504,"是"))</f>
        <v/>
      </c>
      <c r="G240" s="42" t="str">
        <f aca="false">IF($A240="","",$E240-$F240)</f>
        <v/>
      </c>
      <c r="H240" s="41" t="str">
        <f aca="false">IF($A240="","",SUMIFS(业务流水!$W$5:$W$1504,业务流水!$E$5:$E$1504,$B$3,业务流水!$D$5:$D$1504,"销项开票",业务流水!$C$5:$C$1504,$A240,业务流水!$Z$5:$Z$1504,"是"))</f>
        <v/>
      </c>
      <c r="I240" s="41" t="str">
        <f aca="false">IF($A240="","",SUMIFS(业务流水!$H$5:$H$1504,业务流水!$E$5:$E$1504,$B$3,业务流水!$D$5:$D$1504,"已交税",业务流水!$C$5:$C$1504,$A240,业务流水!$Z$5:$Z$1504,"是"))</f>
        <v/>
      </c>
      <c r="J240" s="42" t="str">
        <f aca="false">IF($A240="","",$H240-$I240)</f>
        <v/>
      </c>
      <c r="K240" s="41" t="str">
        <f aca="false">IF($A240="","",SUMIFS(业务流水!$H$5:$H$1504,业务流水!$F$5:$F$1504,$B$3,业务流水!$D$5:$D$1504,"挂靠代收",业务流水!$C$5:$C$1504,$A240,业务流水!$Z$5:$Z$1504,"是"))</f>
        <v/>
      </c>
      <c r="L240" s="42" t="str">
        <f aca="false">IF($A240="","",$C240-$K240)</f>
        <v/>
      </c>
      <c r="M240" s="41" t="str">
        <f aca="false">IF($A240="","",SUMIFS(业务流水!$H$5:$H$1504,业务流水!$E$5:$E$1504,$B$3,业务流水!$D$5:$D$1504,"我方收款",业务流水!$C$5:$C$1504,$A240,业务流水!$Z$5:$Z$1504,"是"))</f>
        <v/>
      </c>
      <c r="N240" s="43" t="str">
        <f aca="false">IF($A240="","",$K240-$M240)</f>
        <v/>
      </c>
      <c r="O240" s="41" t="str">
        <f aca="false">IF($A240="","",SUMIFS(业务流水!$H$5:$H$1504,业务流水!$F$5:$F$1504,$B$3,业务流水!$D$5:$D$1504,"管理费结算",业务流水!$C$5:$C$1504,$A240,业务流水!$Z$5:$Z$1504,"是"))</f>
        <v/>
      </c>
      <c r="P240" s="41" t="str">
        <f aca="false">IF($A240="","",SUMIFS(业务流水!$H$5:$H$1504,业务流水!$E$5:$E$1504,$B$3,业务流水!$D$5:$D$1504,"扣质保金",业务流水!$C$5:$C$1504,$A240,业务流水!$Z$5:$Z$1504,"是"))</f>
        <v/>
      </c>
      <c r="Q240" s="48" t="str">
        <f aca="false">IF($A240="","",IF(SUM($C240:$F240)+SUM($K240:$M240)=0,"无","有"))</f>
        <v/>
      </c>
    </row>
    <row r="241" customFormat="false" ht="15.75" hidden="false" customHeight="true" outlineLevel="0" collapsed="false">
      <c r="A241" s="32" t="str">
        <f aca="false">IF(项目档案!$A241="","",项目档案!$A241)</f>
        <v/>
      </c>
      <c r="B241" s="40" t="str">
        <f aca="false">IF($A241="","",项目档案!$B241)</f>
        <v/>
      </c>
      <c r="C241" s="41" t="str">
        <f aca="false">IF($A241="","",SUMIFS(业务流水!$H$5:$H$1504,业务流水!$E$5:$E$1504,$B$3,业务流水!$D$5:$D$1504,"销项开票",业务流水!$C$5:$C$1504,$A241,业务流水!$Z$5:$Z$1504,"是"))</f>
        <v/>
      </c>
      <c r="D241" s="41" t="str">
        <f aca="false">IF($A241="","",SUMIFS(业务流水!$O$5:$O$1504,业务流水!$E$5:$E$1504,$B$3,业务流水!$D$5:$D$1504,"销项开票",业务流水!$C$5:$C$1504,$A241,业务流水!$Z$5:$Z$1504,"是"))</f>
        <v/>
      </c>
      <c r="E241" s="41" t="str">
        <f aca="false">IF($A241="","",SUMIFS(业务流水!$P$5:$P$1504,业务流水!$E$5:$E$1504,$B$3,业务流水!$D$5:$D$1504,"销项开票",业务流水!$C$5:$C$1504,$A241,业务流水!$Z$5:$Z$1504,"是"))</f>
        <v/>
      </c>
      <c r="F241" s="41" t="str">
        <f aca="false">IF($A241="","",SUMIFS(业务流水!$H$5:$H$1504,业务流水!$F$5:$F$1504,$B$3,业务流水!$D$5:$D$1504,"成本票",业务流水!$C$5:$C$1504,$A241,业务流水!$Z$5:$Z$1504,"是")+SUMIFS(业务流水!$H$5:$H$1504,业务流水!$F$5:$F$1504,$B$3,业务流水!$D$5:$D$1504,"销项开票",业务流水!$C$5:$C$1504,$A241,业务流水!$Z$5:$Z$1504,"是"))</f>
        <v/>
      </c>
      <c r="G241" s="42" t="str">
        <f aca="false">IF($A241="","",$E241-$F241)</f>
        <v/>
      </c>
      <c r="H241" s="41" t="str">
        <f aca="false">IF($A241="","",SUMIFS(业务流水!$W$5:$W$1504,业务流水!$E$5:$E$1504,$B$3,业务流水!$D$5:$D$1504,"销项开票",业务流水!$C$5:$C$1504,$A241,业务流水!$Z$5:$Z$1504,"是"))</f>
        <v/>
      </c>
      <c r="I241" s="41" t="str">
        <f aca="false">IF($A241="","",SUMIFS(业务流水!$H$5:$H$1504,业务流水!$E$5:$E$1504,$B$3,业务流水!$D$5:$D$1504,"已交税",业务流水!$C$5:$C$1504,$A241,业务流水!$Z$5:$Z$1504,"是"))</f>
        <v/>
      </c>
      <c r="J241" s="42" t="str">
        <f aca="false">IF($A241="","",$H241-$I241)</f>
        <v/>
      </c>
      <c r="K241" s="41" t="str">
        <f aca="false">IF($A241="","",SUMIFS(业务流水!$H$5:$H$1504,业务流水!$F$5:$F$1504,$B$3,业务流水!$D$5:$D$1504,"挂靠代收",业务流水!$C$5:$C$1504,$A241,业务流水!$Z$5:$Z$1504,"是"))</f>
        <v/>
      </c>
      <c r="L241" s="42" t="str">
        <f aca="false">IF($A241="","",$C241-$K241)</f>
        <v/>
      </c>
      <c r="M241" s="41" t="str">
        <f aca="false">IF($A241="","",SUMIFS(业务流水!$H$5:$H$1504,业务流水!$E$5:$E$1504,$B$3,业务流水!$D$5:$D$1504,"我方收款",业务流水!$C$5:$C$1504,$A241,业务流水!$Z$5:$Z$1504,"是"))</f>
        <v/>
      </c>
      <c r="N241" s="43" t="str">
        <f aca="false">IF($A241="","",$K241-$M241)</f>
        <v/>
      </c>
      <c r="O241" s="41" t="str">
        <f aca="false">IF($A241="","",SUMIFS(业务流水!$H$5:$H$1504,业务流水!$F$5:$F$1504,$B$3,业务流水!$D$5:$D$1504,"管理费结算",业务流水!$C$5:$C$1504,$A241,业务流水!$Z$5:$Z$1504,"是"))</f>
        <v/>
      </c>
      <c r="P241" s="41" t="str">
        <f aca="false">IF($A241="","",SUMIFS(业务流水!$H$5:$H$1504,业务流水!$E$5:$E$1504,$B$3,业务流水!$D$5:$D$1504,"扣质保金",业务流水!$C$5:$C$1504,$A241,业务流水!$Z$5:$Z$1504,"是"))</f>
        <v/>
      </c>
      <c r="Q241" s="48" t="str">
        <f aca="false">IF($A241="","",IF(SUM($C241:$F241)+SUM($K241:$M241)=0,"无","有"))</f>
        <v/>
      </c>
    </row>
    <row r="242" customFormat="false" ht="15.75" hidden="false" customHeight="true" outlineLevel="0" collapsed="false">
      <c r="A242" s="32" t="str">
        <f aca="false">IF(项目档案!$A242="","",项目档案!$A242)</f>
        <v/>
      </c>
      <c r="B242" s="40" t="str">
        <f aca="false">IF($A242="","",项目档案!$B242)</f>
        <v/>
      </c>
      <c r="C242" s="41" t="str">
        <f aca="false">IF($A242="","",SUMIFS(业务流水!$H$5:$H$1504,业务流水!$E$5:$E$1504,$B$3,业务流水!$D$5:$D$1504,"销项开票",业务流水!$C$5:$C$1504,$A242,业务流水!$Z$5:$Z$1504,"是"))</f>
        <v/>
      </c>
      <c r="D242" s="41" t="str">
        <f aca="false">IF($A242="","",SUMIFS(业务流水!$O$5:$O$1504,业务流水!$E$5:$E$1504,$B$3,业务流水!$D$5:$D$1504,"销项开票",业务流水!$C$5:$C$1504,$A242,业务流水!$Z$5:$Z$1504,"是"))</f>
        <v/>
      </c>
      <c r="E242" s="41" t="str">
        <f aca="false">IF($A242="","",SUMIFS(业务流水!$P$5:$P$1504,业务流水!$E$5:$E$1504,$B$3,业务流水!$D$5:$D$1504,"销项开票",业务流水!$C$5:$C$1504,$A242,业务流水!$Z$5:$Z$1504,"是"))</f>
        <v/>
      </c>
      <c r="F242" s="41" t="str">
        <f aca="false">IF($A242="","",SUMIFS(业务流水!$H$5:$H$1504,业务流水!$F$5:$F$1504,$B$3,业务流水!$D$5:$D$1504,"成本票",业务流水!$C$5:$C$1504,$A242,业务流水!$Z$5:$Z$1504,"是")+SUMIFS(业务流水!$H$5:$H$1504,业务流水!$F$5:$F$1504,$B$3,业务流水!$D$5:$D$1504,"销项开票",业务流水!$C$5:$C$1504,$A242,业务流水!$Z$5:$Z$1504,"是"))</f>
        <v/>
      </c>
      <c r="G242" s="42" t="str">
        <f aca="false">IF($A242="","",$E242-$F242)</f>
        <v/>
      </c>
      <c r="H242" s="41" t="str">
        <f aca="false">IF($A242="","",SUMIFS(业务流水!$W$5:$W$1504,业务流水!$E$5:$E$1504,$B$3,业务流水!$D$5:$D$1504,"销项开票",业务流水!$C$5:$C$1504,$A242,业务流水!$Z$5:$Z$1504,"是"))</f>
        <v/>
      </c>
      <c r="I242" s="41" t="str">
        <f aca="false">IF($A242="","",SUMIFS(业务流水!$H$5:$H$1504,业务流水!$E$5:$E$1504,$B$3,业务流水!$D$5:$D$1504,"已交税",业务流水!$C$5:$C$1504,$A242,业务流水!$Z$5:$Z$1504,"是"))</f>
        <v/>
      </c>
      <c r="J242" s="42" t="str">
        <f aca="false">IF($A242="","",$H242-$I242)</f>
        <v/>
      </c>
      <c r="K242" s="41" t="str">
        <f aca="false">IF($A242="","",SUMIFS(业务流水!$H$5:$H$1504,业务流水!$F$5:$F$1504,$B$3,业务流水!$D$5:$D$1504,"挂靠代收",业务流水!$C$5:$C$1504,$A242,业务流水!$Z$5:$Z$1504,"是"))</f>
        <v/>
      </c>
      <c r="L242" s="42" t="str">
        <f aca="false">IF($A242="","",$C242-$K242)</f>
        <v/>
      </c>
      <c r="M242" s="41" t="str">
        <f aca="false">IF($A242="","",SUMIFS(业务流水!$H$5:$H$1504,业务流水!$E$5:$E$1504,$B$3,业务流水!$D$5:$D$1504,"我方收款",业务流水!$C$5:$C$1504,$A242,业务流水!$Z$5:$Z$1504,"是"))</f>
        <v/>
      </c>
      <c r="N242" s="43" t="str">
        <f aca="false">IF($A242="","",$K242-$M242)</f>
        <v/>
      </c>
      <c r="O242" s="41" t="str">
        <f aca="false">IF($A242="","",SUMIFS(业务流水!$H$5:$H$1504,业务流水!$F$5:$F$1504,$B$3,业务流水!$D$5:$D$1504,"管理费结算",业务流水!$C$5:$C$1504,$A242,业务流水!$Z$5:$Z$1504,"是"))</f>
        <v/>
      </c>
      <c r="P242" s="41" t="str">
        <f aca="false">IF($A242="","",SUMIFS(业务流水!$H$5:$H$1504,业务流水!$E$5:$E$1504,$B$3,业务流水!$D$5:$D$1504,"扣质保金",业务流水!$C$5:$C$1504,$A242,业务流水!$Z$5:$Z$1504,"是"))</f>
        <v/>
      </c>
      <c r="Q242" s="48" t="str">
        <f aca="false">IF($A242="","",IF(SUM($C242:$F242)+SUM($K242:$M242)=0,"无","有"))</f>
        <v/>
      </c>
    </row>
    <row r="243" customFormat="false" ht="15.75" hidden="false" customHeight="true" outlineLevel="0" collapsed="false">
      <c r="A243" s="32" t="str">
        <f aca="false">IF(项目档案!$A243="","",项目档案!$A243)</f>
        <v/>
      </c>
      <c r="B243" s="40" t="str">
        <f aca="false">IF($A243="","",项目档案!$B243)</f>
        <v/>
      </c>
      <c r="C243" s="41" t="str">
        <f aca="false">IF($A243="","",SUMIFS(业务流水!$H$5:$H$1504,业务流水!$E$5:$E$1504,$B$3,业务流水!$D$5:$D$1504,"销项开票",业务流水!$C$5:$C$1504,$A243,业务流水!$Z$5:$Z$1504,"是"))</f>
        <v/>
      </c>
      <c r="D243" s="41" t="str">
        <f aca="false">IF($A243="","",SUMIFS(业务流水!$O$5:$O$1504,业务流水!$E$5:$E$1504,$B$3,业务流水!$D$5:$D$1504,"销项开票",业务流水!$C$5:$C$1504,$A243,业务流水!$Z$5:$Z$1504,"是"))</f>
        <v/>
      </c>
      <c r="E243" s="41" t="str">
        <f aca="false">IF($A243="","",SUMIFS(业务流水!$P$5:$P$1504,业务流水!$E$5:$E$1504,$B$3,业务流水!$D$5:$D$1504,"销项开票",业务流水!$C$5:$C$1504,$A243,业务流水!$Z$5:$Z$1504,"是"))</f>
        <v/>
      </c>
      <c r="F243" s="41" t="str">
        <f aca="false">IF($A243="","",SUMIFS(业务流水!$H$5:$H$1504,业务流水!$F$5:$F$1504,$B$3,业务流水!$D$5:$D$1504,"成本票",业务流水!$C$5:$C$1504,$A243,业务流水!$Z$5:$Z$1504,"是")+SUMIFS(业务流水!$H$5:$H$1504,业务流水!$F$5:$F$1504,$B$3,业务流水!$D$5:$D$1504,"销项开票",业务流水!$C$5:$C$1504,$A243,业务流水!$Z$5:$Z$1504,"是"))</f>
        <v/>
      </c>
      <c r="G243" s="42" t="str">
        <f aca="false">IF($A243="","",$E243-$F243)</f>
        <v/>
      </c>
      <c r="H243" s="41" t="str">
        <f aca="false">IF($A243="","",SUMIFS(业务流水!$W$5:$W$1504,业务流水!$E$5:$E$1504,$B$3,业务流水!$D$5:$D$1504,"销项开票",业务流水!$C$5:$C$1504,$A243,业务流水!$Z$5:$Z$1504,"是"))</f>
        <v/>
      </c>
      <c r="I243" s="41" t="str">
        <f aca="false">IF($A243="","",SUMIFS(业务流水!$H$5:$H$1504,业务流水!$E$5:$E$1504,$B$3,业务流水!$D$5:$D$1504,"已交税",业务流水!$C$5:$C$1504,$A243,业务流水!$Z$5:$Z$1504,"是"))</f>
        <v/>
      </c>
      <c r="J243" s="42" t="str">
        <f aca="false">IF($A243="","",$H243-$I243)</f>
        <v/>
      </c>
      <c r="K243" s="41" t="str">
        <f aca="false">IF($A243="","",SUMIFS(业务流水!$H$5:$H$1504,业务流水!$F$5:$F$1504,$B$3,业务流水!$D$5:$D$1504,"挂靠代收",业务流水!$C$5:$C$1504,$A243,业务流水!$Z$5:$Z$1504,"是"))</f>
        <v/>
      </c>
      <c r="L243" s="42" t="str">
        <f aca="false">IF($A243="","",$C243-$K243)</f>
        <v/>
      </c>
      <c r="M243" s="41" t="str">
        <f aca="false">IF($A243="","",SUMIFS(业务流水!$H$5:$H$1504,业务流水!$E$5:$E$1504,$B$3,业务流水!$D$5:$D$1504,"我方收款",业务流水!$C$5:$C$1504,$A243,业务流水!$Z$5:$Z$1504,"是"))</f>
        <v/>
      </c>
      <c r="N243" s="43" t="str">
        <f aca="false">IF($A243="","",$K243-$M243)</f>
        <v/>
      </c>
      <c r="O243" s="41" t="str">
        <f aca="false">IF($A243="","",SUMIFS(业务流水!$H$5:$H$1504,业务流水!$F$5:$F$1504,$B$3,业务流水!$D$5:$D$1504,"管理费结算",业务流水!$C$5:$C$1504,$A243,业务流水!$Z$5:$Z$1504,"是"))</f>
        <v/>
      </c>
      <c r="P243" s="41" t="str">
        <f aca="false">IF($A243="","",SUMIFS(业务流水!$H$5:$H$1504,业务流水!$E$5:$E$1504,$B$3,业务流水!$D$5:$D$1504,"扣质保金",业务流水!$C$5:$C$1504,$A243,业务流水!$Z$5:$Z$1504,"是"))</f>
        <v/>
      </c>
      <c r="Q243" s="48" t="str">
        <f aca="false">IF($A243="","",IF(SUM($C243:$F243)+SUM($K243:$M243)=0,"无","有"))</f>
        <v/>
      </c>
    </row>
    <row r="244" customFormat="false" ht="15.75" hidden="false" customHeight="true" outlineLevel="0" collapsed="false">
      <c r="A244" s="32" t="str">
        <f aca="false">IF(项目档案!$A244="","",项目档案!$A244)</f>
        <v/>
      </c>
      <c r="B244" s="40" t="str">
        <f aca="false">IF($A244="","",项目档案!$B244)</f>
        <v/>
      </c>
      <c r="C244" s="41" t="str">
        <f aca="false">IF($A244="","",SUMIFS(业务流水!$H$5:$H$1504,业务流水!$E$5:$E$1504,$B$3,业务流水!$D$5:$D$1504,"销项开票",业务流水!$C$5:$C$1504,$A244,业务流水!$Z$5:$Z$1504,"是"))</f>
        <v/>
      </c>
      <c r="D244" s="41" t="str">
        <f aca="false">IF($A244="","",SUMIFS(业务流水!$O$5:$O$1504,业务流水!$E$5:$E$1504,$B$3,业务流水!$D$5:$D$1504,"销项开票",业务流水!$C$5:$C$1504,$A244,业务流水!$Z$5:$Z$1504,"是"))</f>
        <v/>
      </c>
      <c r="E244" s="41" t="str">
        <f aca="false">IF($A244="","",SUMIFS(业务流水!$P$5:$P$1504,业务流水!$E$5:$E$1504,$B$3,业务流水!$D$5:$D$1504,"销项开票",业务流水!$C$5:$C$1504,$A244,业务流水!$Z$5:$Z$1504,"是"))</f>
        <v/>
      </c>
      <c r="F244" s="41" t="str">
        <f aca="false">IF($A244="","",SUMIFS(业务流水!$H$5:$H$1504,业务流水!$F$5:$F$1504,$B$3,业务流水!$D$5:$D$1504,"成本票",业务流水!$C$5:$C$1504,$A244,业务流水!$Z$5:$Z$1504,"是")+SUMIFS(业务流水!$H$5:$H$1504,业务流水!$F$5:$F$1504,$B$3,业务流水!$D$5:$D$1504,"销项开票",业务流水!$C$5:$C$1504,$A244,业务流水!$Z$5:$Z$1504,"是"))</f>
        <v/>
      </c>
      <c r="G244" s="42" t="str">
        <f aca="false">IF($A244="","",$E244-$F244)</f>
        <v/>
      </c>
      <c r="H244" s="41" t="str">
        <f aca="false">IF($A244="","",SUMIFS(业务流水!$W$5:$W$1504,业务流水!$E$5:$E$1504,$B$3,业务流水!$D$5:$D$1504,"销项开票",业务流水!$C$5:$C$1504,$A244,业务流水!$Z$5:$Z$1504,"是"))</f>
        <v/>
      </c>
      <c r="I244" s="41" t="str">
        <f aca="false">IF($A244="","",SUMIFS(业务流水!$H$5:$H$1504,业务流水!$E$5:$E$1504,$B$3,业务流水!$D$5:$D$1504,"已交税",业务流水!$C$5:$C$1504,$A244,业务流水!$Z$5:$Z$1504,"是"))</f>
        <v/>
      </c>
      <c r="J244" s="42" t="str">
        <f aca="false">IF($A244="","",$H244-$I244)</f>
        <v/>
      </c>
      <c r="K244" s="41" t="str">
        <f aca="false">IF($A244="","",SUMIFS(业务流水!$H$5:$H$1504,业务流水!$F$5:$F$1504,$B$3,业务流水!$D$5:$D$1504,"挂靠代收",业务流水!$C$5:$C$1504,$A244,业务流水!$Z$5:$Z$1504,"是"))</f>
        <v/>
      </c>
      <c r="L244" s="42" t="str">
        <f aca="false">IF($A244="","",$C244-$K244)</f>
        <v/>
      </c>
      <c r="M244" s="41" t="str">
        <f aca="false">IF($A244="","",SUMIFS(业务流水!$H$5:$H$1504,业务流水!$E$5:$E$1504,$B$3,业务流水!$D$5:$D$1504,"我方收款",业务流水!$C$5:$C$1504,$A244,业务流水!$Z$5:$Z$1504,"是"))</f>
        <v/>
      </c>
      <c r="N244" s="43" t="str">
        <f aca="false">IF($A244="","",$K244-$M244)</f>
        <v/>
      </c>
      <c r="O244" s="41" t="str">
        <f aca="false">IF($A244="","",SUMIFS(业务流水!$H$5:$H$1504,业务流水!$F$5:$F$1504,$B$3,业务流水!$D$5:$D$1504,"管理费结算",业务流水!$C$5:$C$1504,$A244,业务流水!$Z$5:$Z$1504,"是"))</f>
        <v/>
      </c>
      <c r="P244" s="41" t="str">
        <f aca="false">IF($A244="","",SUMIFS(业务流水!$H$5:$H$1504,业务流水!$E$5:$E$1504,$B$3,业务流水!$D$5:$D$1504,"扣质保金",业务流水!$C$5:$C$1504,$A244,业务流水!$Z$5:$Z$1504,"是"))</f>
        <v/>
      </c>
      <c r="Q244" s="48" t="str">
        <f aca="false">IF($A244="","",IF(SUM($C244:$F244)+SUM($K244:$M244)=0,"无","有"))</f>
        <v/>
      </c>
    </row>
    <row r="245" customFormat="false" ht="15.75" hidden="false" customHeight="true" outlineLevel="0" collapsed="false">
      <c r="A245" s="32" t="str">
        <f aca="false">IF(项目档案!$A245="","",项目档案!$A245)</f>
        <v/>
      </c>
      <c r="B245" s="40" t="str">
        <f aca="false">IF($A245="","",项目档案!$B245)</f>
        <v/>
      </c>
      <c r="C245" s="41" t="str">
        <f aca="false">IF($A245="","",SUMIFS(业务流水!$H$5:$H$1504,业务流水!$E$5:$E$1504,$B$3,业务流水!$D$5:$D$1504,"销项开票",业务流水!$C$5:$C$1504,$A245,业务流水!$Z$5:$Z$1504,"是"))</f>
        <v/>
      </c>
      <c r="D245" s="41" t="str">
        <f aca="false">IF($A245="","",SUMIFS(业务流水!$O$5:$O$1504,业务流水!$E$5:$E$1504,$B$3,业务流水!$D$5:$D$1504,"销项开票",业务流水!$C$5:$C$1504,$A245,业务流水!$Z$5:$Z$1504,"是"))</f>
        <v/>
      </c>
      <c r="E245" s="41" t="str">
        <f aca="false">IF($A245="","",SUMIFS(业务流水!$P$5:$P$1504,业务流水!$E$5:$E$1504,$B$3,业务流水!$D$5:$D$1504,"销项开票",业务流水!$C$5:$C$1504,$A245,业务流水!$Z$5:$Z$1504,"是"))</f>
        <v/>
      </c>
      <c r="F245" s="41" t="str">
        <f aca="false">IF($A245="","",SUMIFS(业务流水!$H$5:$H$1504,业务流水!$F$5:$F$1504,$B$3,业务流水!$D$5:$D$1504,"成本票",业务流水!$C$5:$C$1504,$A245,业务流水!$Z$5:$Z$1504,"是")+SUMIFS(业务流水!$H$5:$H$1504,业务流水!$F$5:$F$1504,$B$3,业务流水!$D$5:$D$1504,"销项开票",业务流水!$C$5:$C$1504,$A245,业务流水!$Z$5:$Z$1504,"是"))</f>
        <v/>
      </c>
      <c r="G245" s="42" t="str">
        <f aca="false">IF($A245="","",$E245-$F245)</f>
        <v/>
      </c>
      <c r="H245" s="41" t="str">
        <f aca="false">IF($A245="","",SUMIFS(业务流水!$W$5:$W$1504,业务流水!$E$5:$E$1504,$B$3,业务流水!$D$5:$D$1504,"销项开票",业务流水!$C$5:$C$1504,$A245,业务流水!$Z$5:$Z$1504,"是"))</f>
        <v/>
      </c>
      <c r="I245" s="41" t="str">
        <f aca="false">IF($A245="","",SUMIFS(业务流水!$H$5:$H$1504,业务流水!$E$5:$E$1504,$B$3,业务流水!$D$5:$D$1504,"已交税",业务流水!$C$5:$C$1504,$A245,业务流水!$Z$5:$Z$1504,"是"))</f>
        <v/>
      </c>
      <c r="J245" s="42" t="str">
        <f aca="false">IF($A245="","",$H245-$I245)</f>
        <v/>
      </c>
      <c r="K245" s="41" t="str">
        <f aca="false">IF($A245="","",SUMIFS(业务流水!$H$5:$H$1504,业务流水!$F$5:$F$1504,$B$3,业务流水!$D$5:$D$1504,"挂靠代收",业务流水!$C$5:$C$1504,$A245,业务流水!$Z$5:$Z$1504,"是"))</f>
        <v/>
      </c>
      <c r="L245" s="42" t="str">
        <f aca="false">IF($A245="","",$C245-$K245)</f>
        <v/>
      </c>
      <c r="M245" s="41" t="str">
        <f aca="false">IF($A245="","",SUMIFS(业务流水!$H$5:$H$1504,业务流水!$E$5:$E$1504,$B$3,业务流水!$D$5:$D$1504,"我方收款",业务流水!$C$5:$C$1504,$A245,业务流水!$Z$5:$Z$1504,"是"))</f>
        <v/>
      </c>
      <c r="N245" s="43" t="str">
        <f aca="false">IF($A245="","",$K245-$M245)</f>
        <v/>
      </c>
      <c r="O245" s="41" t="str">
        <f aca="false">IF($A245="","",SUMIFS(业务流水!$H$5:$H$1504,业务流水!$F$5:$F$1504,$B$3,业务流水!$D$5:$D$1504,"管理费结算",业务流水!$C$5:$C$1504,$A245,业务流水!$Z$5:$Z$1504,"是"))</f>
        <v/>
      </c>
      <c r="P245" s="41" t="str">
        <f aca="false">IF($A245="","",SUMIFS(业务流水!$H$5:$H$1504,业务流水!$E$5:$E$1504,$B$3,业务流水!$D$5:$D$1504,"扣质保金",业务流水!$C$5:$C$1504,$A245,业务流水!$Z$5:$Z$1504,"是"))</f>
        <v/>
      </c>
      <c r="Q245" s="48" t="str">
        <f aca="false">IF($A245="","",IF(SUM($C245:$F245)+SUM($K245:$M245)=0,"无","有"))</f>
        <v/>
      </c>
    </row>
    <row r="246" customFormat="false" ht="15.75" hidden="false" customHeight="true" outlineLevel="0" collapsed="false">
      <c r="A246" s="32" t="str">
        <f aca="false">IF(项目档案!$A246="","",项目档案!$A246)</f>
        <v/>
      </c>
      <c r="B246" s="40" t="str">
        <f aca="false">IF($A246="","",项目档案!$B246)</f>
        <v/>
      </c>
      <c r="C246" s="41" t="str">
        <f aca="false">IF($A246="","",SUMIFS(业务流水!$H$5:$H$1504,业务流水!$E$5:$E$1504,$B$3,业务流水!$D$5:$D$1504,"销项开票",业务流水!$C$5:$C$1504,$A246,业务流水!$Z$5:$Z$1504,"是"))</f>
        <v/>
      </c>
      <c r="D246" s="41" t="str">
        <f aca="false">IF($A246="","",SUMIFS(业务流水!$O$5:$O$1504,业务流水!$E$5:$E$1504,$B$3,业务流水!$D$5:$D$1504,"销项开票",业务流水!$C$5:$C$1504,$A246,业务流水!$Z$5:$Z$1504,"是"))</f>
        <v/>
      </c>
      <c r="E246" s="41" t="str">
        <f aca="false">IF($A246="","",SUMIFS(业务流水!$P$5:$P$1504,业务流水!$E$5:$E$1504,$B$3,业务流水!$D$5:$D$1504,"销项开票",业务流水!$C$5:$C$1504,$A246,业务流水!$Z$5:$Z$1504,"是"))</f>
        <v/>
      </c>
      <c r="F246" s="41" t="str">
        <f aca="false">IF($A246="","",SUMIFS(业务流水!$H$5:$H$1504,业务流水!$F$5:$F$1504,$B$3,业务流水!$D$5:$D$1504,"成本票",业务流水!$C$5:$C$1504,$A246,业务流水!$Z$5:$Z$1504,"是")+SUMIFS(业务流水!$H$5:$H$1504,业务流水!$F$5:$F$1504,$B$3,业务流水!$D$5:$D$1504,"销项开票",业务流水!$C$5:$C$1504,$A246,业务流水!$Z$5:$Z$1504,"是"))</f>
        <v/>
      </c>
      <c r="G246" s="42" t="str">
        <f aca="false">IF($A246="","",$E246-$F246)</f>
        <v/>
      </c>
      <c r="H246" s="41" t="str">
        <f aca="false">IF($A246="","",SUMIFS(业务流水!$W$5:$W$1504,业务流水!$E$5:$E$1504,$B$3,业务流水!$D$5:$D$1504,"销项开票",业务流水!$C$5:$C$1504,$A246,业务流水!$Z$5:$Z$1504,"是"))</f>
        <v/>
      </c>
      <c r="I246" s="41" t="str">
        <f aca="false">IF($A246="","",SUMIFS(业务流水!$H$5:$H$1504,业务流水!$E$5:$E$1504,$B$3,业务流水!$D$5:$D$1504,"已交税",业务流水!$C$5:$C$1504,$A246,业务流水!$Z$5:$Z$1504,"是"))</f>
        <v/>
      </c>
      <c r="J246" s="42" t="str">
        <f aca="false">IF($A246="","",$H246-$I246)</f>
        <v/>
      </c>
      <c r="K246" s="41" t="str">
        <f aca="false">IF($A246="","",SUMIFS(业务流水!$H$5:$H$1504,业务流水!$F$5:$F$1504,$B$3,业务流水!$D$5:$D$1504,"挂靠代收",业务流水!$C$5:$C$1504,$A246,业务流水!$Z$5:$Z$1504,"是"))</f>
        <v/>
      </c>
      <c r="L246" s="42" t="str">
        <f aca="false">IF($A246="","",$C246-$K246)</f>
        <v/>
      </c>
      <c r="M246" s="41" t="str">
        <f aca="false">IF($A246="","",SUMIFS(业务流水!$H$5:$H$1504,业务流水!$E$5:$E$1504,$B$3,业务流水!$D$5:$D$1504,"我方收款",业务流水!$C$5:$C$1504,$A246,业务流水!$Z$5:$Z$1504,"是"))</f>
        <v/>
      </c>
      <c r="N246" s="43" t="str">
        <f aca="false">IF($A246="","",$K246-$M246)</f>
        <v/>
      </c>
      <c r="O246" s="41" t="str">
        <f aca="false">IF($A246="","",SUMIFS(业务流水!$H$5:$H$1504,业务流水!$F$5:$F$1504,$B$3,业务流水!$D$5:$D$1504,"管理费结算",业务流水!$C$5:$C$1504,$A246,业务流水!$Z$5:$Z$1504,"是"))</f>
        <v/>
      </c>
      <c r="P246" s="41" t="str">
        <f aca="false">IF($A246="","",SUMIFS(业务流水!$H$5:$H$1504,业务流水!$E$5:$E$1504,$B$3,业务流水!$D$5:$D$1504,"扣质保金",业务流水!$C$5:$C$1504,$A246,业务流水!$Z$5:$Z$1504,"是"))</f>
        <v/>
      </c>
      <c r="Q246" s="48" t="str">
        <f aca="false">IF($A246="","",IF(SUM($C246:$F246)+SUM($K246:$M246)=0,"无","有"))</f>
        <v/>
      </c>
    </row>
    <row r="247" customFormat="false" ht="15.75" hidden="false" customHeight="true" outlineLevel="0" collapsed="false">
      <c r="A247" s="32" t="str">
        <f aca="false">IF(项目档案!$A247="","",项目档案!$A247)</f>
        <v/>
      </c>
      <c r="B247" s="40" t="str">
        <f aca="false">IF($A247="","",项目档案!$B247)</f>
        <v/>
      </c>
      <c r="C247" s="41" t="str">
        <f aca="false">IF($A247="","",SUMIFS(业务流水!$H$5:$H$1504,业务流水!$E$5:$E$1504,$B$3,业务流水!$D$5:$D$1504,"销项开票",业务流水!$C$5:$C$1504,$A247,业务流水!$Z$5:$Z$1504,"是"))</f>
        <v/>
      </c>
      <c r="D247" s="41" t="str">
        <f aca="false">IF($A247="","",SUMIFS(业务流水!$O$5:$O$1504,业务流水!$E$5:$E$1504,$B$3,业务流水!$D$5:$D$1504,"销项开票",业务流水!$C$5:$C$1504,$A247,业务流水!$Z$5:$Z$1504,"是"))</f>
        <v/>
      </c>
      <c r="E247" s="41" t="str">
        <f aca="false">IF($A247="","",SUMIFS(业务流水!$P$5:$P$1504,业务流水!$E$5:$E$1504,$B$3,业务流水!$D$5:$D$1504,"销项开票",业务流水!$C$5:$C$1504,$A247,业务流水!$Z$5:$Z$1504,"是"))</f>
        <v/>
      </c>
      <c r="F247" s="41" t="str">
        <f aca="false">IF($A247="","",SUMIFS(业务流水!$H$5:$H$1504,业务流水!$F$5:$F$1504,$B$3,业务流水!$D$5:$D$1504,"成本票",业务流水!$C$5:$C$1504,$A247,业务流水!$Z$5:$Z$1504,"是")+SUMIFS(业务流水!$H$5:$H$1504,业务流水!$F$5:$F$1504,$B$3,业务流水!$D$5:$D$1504,"销项开票",业务流水!$C$5:$C$1504,$A247,业务流水!$Z$5:$Z$1504,"是"))</f>
        <v/>
      </c>
      <c r="G247" s="42" t="str">
        <f aca="false">IF($A247="","",$E247-$F247)</f>
        <v/>
      </c>
      <c r="H247" s="41" t="str">
        <f aca="false">IF($A247="","",SUMIFS(业务流水!$W$5:$W$1504,业务流水!$E$5:$E$1504,$B$3,业务流水!$D$5:$D$1504,"销项开票",业务流水!$C$5:$C$1504,$A247,业务流水!$Z$5:$Z$1504,"是"))</f>
        <v/>
      </c>
      <c r="I247" s="41" t="str">
        <f aca="false">IF($A247="","",SUMIFS(业务流水!$H$5:$H$1504,业务流水!$E$5:$E$1504,$B$3,业务流水!$D$5:$D$1504,"已交税",业务流水!$C$5:$C$1504,$A247,业务流水!$Z$5:$Z$1504,"是"))</f>
        <v/>
      </c>
      <c r="J247" s="42" t="str">
        <f aca="false">IF($A247="","",$H247-$I247)</f>
        <v/>
      </c>
      <c r="K247" s="41" t="str">
        <f aca="false">IF($A247="","",SUMIFS(业务流水!$H$5:$H$1504,业务流水!$F$5:$F$1504,$B$3,业务流水!$D$5:$D$1504,"挂靠代收",业务流水!$C$5:$C$1504,$A247,业务流水!$Z$5:$Z$1504,"是"))</f>
        <v/>
      </c>
      <c r="L247" s="42" t="str">
        <f aca="false">IF($A247="","",$C247-$K247)</f>
        <v/>
      </c>
      <c r="M247" s="41" t="str">
        <f aca="false">IF($A247="","",SUMIFS(业务流水!$H$5:$H$1504,业务流水!$E$5:$E$1504,$B$3,业务流水!$D$5:$D$1504,"我方收款",业务流水!$C$5:$C$1504,$A247,业务流水!$Z$5:$Z$1504,"是"))</f>
        <v/>
      </c>
      <c r="N247" s="43" t="str">
        <f aca="false">IF($A247="","",$K247-$M247)</f>
        <v/>
      </c>
      <c r="O247" s="41" t="str">
        <f aca="false">IF($A247="","",SUMIFS(业务流水!$H$5:$H$1504,业务流水!$F$5:$F$1504,$B$3,业务流水!$D$5:$D$1504,"管理费结算",业务流水!$C$5:$C$1504,$A247,业务流水!$Z$5:$Z$1504,"是"))</f>
        <v/>
      </c>
      <c r="P247" s="41" t="str">
        <f aca="false">IF($A247="","",SUMIFS(业务流水!$H$5:$H$1504,业务流水!$E$5:$E$1504,$B$3,业务流水!$D$5:$D$1504,"扣质保金",业务流水!$C$5:$C$1504,$A247,业务流水!$Z$5:$Z$1504,"是"))</f>
        <v/>
      </c>
      <c r="Q247" s="48" t="str">
        <f aca="false">IF($A247="","",IF(SUM($C247:$F247)+SUM($K247:$M247)=0,"无","有"))</f>
        <v/>
      </c>
    </row>
    <row r="248" customFormat="false" ht="15.75" hidden="false" customHeight="true" outlineLevel="0" collapsed="false">
      <c r="A248" s="32" t="str">
        <f aca="false">IF(项目档案!$A248="","",项目档案!$A248)</f>
        <v/>
      </c>
      <c r="B248" s="40" t="str">
        <f aca="false">IF($A248="","",项目档案!$B248)</f>
        <v/>
      </c>
      <c r="C248" s="41" t="str">
        <f aca="false">IF($A248="","",SUMIFS(业务流水!$H$5:$H$1504,业务流水!$E$5:$E$1504,$B$3,业务流水!$D$5:$D$1504,"销项开票",业务流水!$C$5:$C$1504,$A248,业务流水!$Z$5:$Z$1504,"是"))</f>
        <v/>
      </c>
      <c r="D248" s="41" t="str">
        <f aca="false">IF($A248="","",SUMIFS(业务流水!$O$5:$O$1504,业务流水!$E$5:$E$1504,$B$3,业务流水!$D$5:$D$1504,"销项开票",业务流水!$C$5:$C$1504,$A248,业务流水!$Z$5:$Z$1504,"是"))</f>
        <v/>
      </c>
      <c r="E248" s="41" t="str">
        <f aca="false">IF($A248="","",SUMIFS(业务流水!$P$5:$P$1504,业务流水!$E$5:$E$1504,$B$3,业务流水!$D$5:$D$1504,"销项开票",业务流水!$C$5:$C$1504,$A248,业务流水!$Z$5:$Z$1504,"是"))</f>
        <v/>
      </c>
      <c r="F248" s="41" t="str">
        <f aca="false">IF($A248="","",SUMIFS(业务流水!$H$5:$H$1504,业务流水!$F$5:$F$1504,$B$3,业务流水!$D$5:$D$1504,"成本票",业务流水!$C$5:$C$1504,$A248,业务流水!$Z$5:$Z$1504,"是")+SUMIFS(业务流水!$H$5:$H$1504,业务流水!$F$5:$F$1504,$B$3,业务流水!$D$5:$D$1504,"销项开票",业务流水!$C$5:$C$1504,$A248,业务流水!$Z$5:$Z$1504,"是"))</f>
        <v/>
      </c>
      <c r="G248" s="42" t="str">
        <f aca="false">IF($A248="","",$E248-$F248)</f>
        <v/>
      </c>
      <c r="H248" s="41" t="str">
        <f aca="false">IF($A248="","",SUMIFS(业务流水!$W$5:$W$1504,业务流水!$E$5:$E$1504,$B$3,业务流水!$D$5:$D$1504,"销项开票",业务流水!$C$5:$C$1504,$A248,业务流水!$Z$5:$Z$1504,"是"))</f>
        <v/>
      </c>
      <c r="I248" s="41" t="str">
        <f aca="false">IF($A248="","",SUMIFS(业务流水!$H$5:$H$1504,业务流水!$E$5:$E$1504,$B$3,业务流水!$D$5:$D$1504,"已交税",业务流水!$C$5:$C$1504,$A248,业务流水!$Z$5:$Z$1504,"是"))</f>
        <v/>
      </c>
      <c r="J248" s="42" t="str">
        <f aca="false">IF($A248="","",$H248-$I248)</f>
        <v/>
      </c>
      <c r="K248" s="41" t="str">
        <f aca="false">IF($A248="","",SUMIFS(业务流水!$H$5:$H$1504,业务流水!$F$5:$F$1504,$B$3,业务流水!$D$5:$D$1504,"挂靠代收",业务流水!$C$5:$C$1504,$A248,业务流水!$Z$5:$Z$1504,"是"))</f>
        <v/>
      </c>
      <c r="L248" s="42" t="str">
        <f aca="false">IF($A248="","",$C248-$K248)</f>
        <v/>
      </c>
      <c r="M248" s="41" t="str">
        <f aca="false">IF($A248="","",SUMIFS(业务流水!$H$5:$H$1504,业务流水!$E$5:$E$1504,$B$3,业务流水!$D$5:$D$1504,"我方收款",业务流水!$C$5:$C$1504,$A248,业务流水!$Z$5:$Z$1504,"是"))</f>
        <v/>
      </c>
      <c r="N248" s="43" t="str">
        <f aca="false">IF($A248="","",$K248-$M248)</f>
        <v/>
      </c>
      <c r="O248" s="41" t="str">
        <f aca="false">IF($A248="","",SUMIFS(业务流水!$H$5:$H$1504,业务流水!$F$5:$F$1504,$B$3,业务流水!$D$5:$D$1504,"管理费结算",业务流水!$C$5:$C$1504,$A248,业务流水!$Z$5:$Z$1504,"是"))</f>
        <v/>
      </c>
      <c r="P248" s="41" t="str">
        <f aca="false">IF($A248="","",SUMIFS(业务流水!$H$5:$H$1504,业务流水!$E$5:$E$1504,$B$3,业务流水!$D$5:$D$1504,"扣质保金",业务流水!$C$5:$C$1504,$A248,业务流水!$Z$5:$Z$1504,"是"))</f>
        <v/>
      </c>
      <c r="Q248" s="48" t="str">
        <f aca="false">IF($A248="","",IF(SUM($C248:$F248)+SUM($K248:$M248)=0,"无","有"))</f>
        <v/>
      </c>
    </row>
    <row r="249" customFormat="false" ht="15.75" hidden="false" customHeight="true" outlineLevel="0" collapsed="false">
      <c r="A249" s="32" t="str">
        <f aca="false">IF(项目档案!$A249="","",项目档案!$A249)</f>
        <v/>
      </c>
      <c r="B249" s="40" t="str">
        <f aca="false">IF($A249="","",项目档案!$B249)</f>
        <v/>
      </c>
      <c r="C249" s="41" t="str">
        <f aca="false">IF($A249="","",SUMIFS(业务流水!$H$5:$H$1504,业务流水!$E$5:$E$1504,$B$3,业务流水!$D$5:$D$1504,"销项开票",业务流水!$C$5:$C$1504,$A249,业务流水!$Z$5:$Z$1504,"是"))</f>
        <v/>
      </c>
      <c r="D249" s="41" t="str">
        <f aca="false">IF($A249="","",SUMIFS(业务流水!$O$5:$O$1504,业务流水!$E$5:$E$1504,$B$3,业务流水!$D$5:$D$1504,"销项开票",业务流水!$C$5:$C$1504,$A249,业务流水!$Z$5:$Z$1504,"是"))</f>
        <v/>
      </c>
      <c r="E249" s="41" t="str">
        <f aca="false">IF($A249="","",SUMIFS(业务流水!$P$5:$P$1504,业务流水!$E$5:$E$1504,$B$3,业务流水!$D$5:$D$1504,"销项开票",业务流水!$C$5:$C$1504,$A249,业务流水!$Z$5:$Z$1504,"是"))</f>
        <v/>
      </c>
      <c r="F249" s="41" t="str">
        <f aca="false">IF($A249="","",SUMIFS(业务流水!$H$5:$H$1504,业务流水!$F$5:$F$1504,$B$3,业务流水!$D$5:$D$1504,"成本票",业务流水!$C$5:$C$1504,$A249,业务流水!$Z$5:$Z$1504,"是")+SUMIFS(业务流水!$H$5:$H$1504,业务流水!$F$5:$F$1504,$B$3,业务流水!$D$5:$D$1504,"销项开票",业务流水!$C$5:$C$1504,$A249,业务流水!$Z$5:$Z$1504,"是"))</f>
        <v/>
      </c>
      <c r="G249" s="42" t="str">
        <f aca="false">IF($A249="","",$E249-$F249)</f>
        <v/>
      </c>
      <c r="H249" s="41" t="str">
        <f aca="false">IF($A249="","",SUMIFS(业务流水!$W$5:$W$1504,业务流水!$E$5:$E$1504,$B$3,业务流水!$D$5:$D$1504,"销项开票",业务流水!$C$5:$C$1504,$A249,业务流水!$Z$5:$Z$1504,"是"))</f>
        <v/>
      </c>
      <c r="I249" s="41" t="str">
        <f aca="false">IF($A249="","",SUMIFS(业务流水!$H$5:$H$1504,业务流水!$E$5:$E$1504,$B$3,业务流水!$D$5:$D$1504,"已交税",业务流水!$C$5:$C$1504,$A249,业务流水!$Z$5:$Z$1504,"是"))</f>
        <v/>
      </c>
      <c r="J249" s="42" t="str">
        <f aca="false">IF($A249="","",$H249-$I249)</f>
        <v/>
      </c>
      <c r="K249" s="41" t="str">
        <f aca="false">IF($A249="","",SUMIFS(业务流水!$H$5:$H$1504,业务流水!$F$5:$F$1504,$B$3,业务流水!$D$5:$D$1504,"挂靠代收",业务流水!$C$5:$C$1504,$A249,业务流水!$Z$5:$Z$1504,"是"))</f>
        <v/>
      </c>
      <c r="L249" s="42" t="str">
        <f aca="false">IF($A249="","",$C249-$K249)</f>
        <v/>
      </c>
      <c r="M249" s="41" t="str">
        <f aca="false">IF($A249="","",SUMIFS(业务流水!$H$5:$H$1504,业务流水!$E$5:$E$1504,$B$3,业务流水!$D$5:$D$1504,"我方收款",业务流水!$C$5:$C$1504,$A249,业务流水!$Z$5:$Z$1504,"是"))</f>
        <v/>
      </c>
      <c r="N249" s="43" t="str">
        <f aca="false">IF($A249="","",$K249-$M249)</f>
        <v/>
      </c>
      <c r="O249" s="41" t="str">
        <f aca="false">IF($A249="","",SUMIFS(业务流水!$H$5:$H$1504,业务流水!$F$5:$F$1504,$B$3,业务流水!$D$5:$D$1504,"管理费结算",业务流水!$C$5:$C$1504,$A249,业务流水!$Z$5:$Z$1504,"是"))</f>
        <v/>
      </c>
      <c r="P249" s="41" t="str">
        <f aca="false">IF($A249="","",SUMIFS(业务流水!$H$5:$H$1504,业务流水!$E$5:$E$1504,$B$3,业务流水!$D$5:$D$1504,"扣质保金",业务流水!$C$5:$C$1504,$A249,业务流水!$Z$5:$Z$1504,"是"))</f>
        <v/>
      </c>
      <c r="Q249" s="48" t="str">
        <f aca="false">IF($A249="","",IF(SUM($C249:$F249)+SUM($K249:$M249)=0,"无","有"))</f>
        <v/>
      </c>
    </row>
    <row r="250" customFormat="false" ht="15.75" hidden="false" customHeight="true" outlineLevel="0" collapsed="false">
      <c r="A250" s="32" t="str">
        <f aca="false">IF(项目档案!$A250="","",项目档案!$A250)</f>
        <v/>
      </c>
      <c r="B250" s="40" t="str">
        <f aca="false">IF($A250="","",项目档案!$B250)</f>
        <v/>
      </c>
      <c r="C250" s="41" t="str">
        <f aca="false">IF($A250="","",SUMIFS(业务流水!$H$5:$H$1504,业务流水!$E$5:$E$1504,$B$3,业务流水!$D$5:$D$1504,"销项开票",业务流水!$C$5:$C$1504,$A250,业务流水!$Z$5:$Z$1504,"是"))</f>
        <v/>
      </c>
      <c r="D250" s="41" t="str">
        <f aca="false">IF($A250="","",SUMIFS(业务流水!$O$5:$O$1504,业务流水!$E$5:$E$1504,$B$3,业务流水!$D$5:$D$1504,"销项开票",业务流水!$C$5:$C$1504,$A250,业务流水!$Z$5:$Z$1504,"是"))</f>
        <v/>
      </c>
      <c r="E250" s="41" t="str">
        <f aca="false">IF($A250="","",SUMIFS(业务流水!$P$5:$P$1504,业务流水!$E$5:$E$1504,$B$3,业务流水!$D$5:$D$1504,"销项开票",业务流水!$C$5:$C$1504,$A250,业务流水!$Z$5:$Z$1504,"是"))</f>
        <v/>
      </c>
      <c r="F250" s="41" t="str">
        <f aca="false">IF($A250="","",SUMIFS(业务流水!$H$5:$H$1504,业务流水!$F$5:$F$1504,$B$3,业务流水!$D$5:$D$1504,"成本票",业务流水!$C$5:$C$1504,$A250,业务流水!$Z$5:$Z$1504,"是")+SUMIFS(业务流水!$H$5:$H$1504,业务流水!$F$5:$F$1504,$B$3,业务流水!$D$5:$D$1504,"销项开票",业务流水!$C$5:$C$1504,$A250,业务流水!$Z$5:$Z$1504,"是"))</f>
        <v/>
      </c>
      <c r="G250" s="42" t="str">
        <f aca="false">IF($A250="","",$E250-$F250)</f>
        <v/>
      </c>
      <c r="H250" s="41" t="str">
        <f aca="false">IF($A250="","",SUMIFS(业务流水!$W$5:$W$1504,业务流水!$E$5:$E$1504,$B$3,业务流水!$D$5:$D$1504,"销项开票",业务流水!$C$5:$C$1504,$A250,业务流水!$Z$5:$Z$1504,"是"))</f>
        <v/>
      </c>
      <c r="I250" s="41" t="str">
        <f aca="false">IF($A250="","",SUMIFS(业务流水!$H$5:$H$1504,业务流水!$E$5:$E$1504,$B$3,业务流水!$D$5:$D$1504,"已交税",业务流水!$C$5:$C$1504,$A250,业务流水!$Z$5:$Z$1504,"是"))</f>
        <v/>
      </c>
      <c r="J250" s="42" t="str">
        <f aca="false">IF($A250="","",$H250-$I250)</f>
        <v/>
      </c>
      <c r="K250" s="41" t="str">
        <f aca="false">IF($A250="","",SUMIFS(业务流水!$H$5:$H$1504,业务流水!$F$5:$F$1504,$B$3,业务流水!$D$5:$D$1504,"挂靠代收",业务流水!$C$5:$C$1504,$A250,业务流水!$Z$5:$Z$1504,"是"))</f>
        <v/>
      </c>
      <c r="L250" s="42" t="str">
        <f aca="false">IF($A250="","",$C250-$K250)</f>
        <v/>
      </c>
      <c r="M250" s="41" t="str">
        <f aca="false">IF($A250="","",SUMIFS(业务流水!$H$5:$H$1504,业务流水!$E$5:$E$1504,$B$3,业务流水!$D$5:$D$1504,"我方收款",业务流水!$C$5:$C$1504,$A250,业务流水!$Z$5:$Z$1504,"是"))</f>
        <v/>
      </c>
      <c r="N250" s="43" t="str">
        <f aca="false">IF($A250="","",$K250-$M250)</f>
        <v/>
      </c>
      <c r="O250" s="41" t="str">
        <f aca="false">IF($A250="","",SUMIFS(业务流水!$H$5:$H$1504,业务流水!$F$5:$F$1504,$B$3,业务流水!$D$5:$D$1504,"管理费结算",业务流水!$C$5:$C$1504,$A250,业务流水!$Z$5:$Z$1504,"是"))</f>
        <v/>
      </c>
      <c r="P250" s="41" t="str">
        <f aca="false">IF($A250="","",SUMIFS(业务流水!$H$5:$H$1504,业务流水!$E$5:$E$1504,$B$3,业务流水!$D$5:$D$1504,"扣质保金",业务流水!$C$5:$C$1504,$A250,业务流水!$Z$5:$Z$1504,"是"))</f>
        <v/>
      </c>
      <c r="Q250" s="48" t="str">
        <f aca="false">IF($A250="","",IF(SUM($C250:$F250)+SUM($K250:$M250)=0,"无","有"))</f>
        <v/>
      </c>
    </row>
    <row r="251" customFormat="false" ht="15.75" hidden="false" customHeight="true" outlineLevel="0" collapsed="false">
      <c r="A251" s="32" t="str">
        <f aca="false">IF(项目档案!$A251="","",项目档案!$A251)</f>
        <v/>
      </c>
      <c r="B251" s="40" t="str">
        <f aca="false">IF($A251="","",项目档案!$B251)</f>
        <v/>
      </c>
      <c r="C251" s="41" t="str">
        <f aca="false">IF($A251="","",SUMIFS(业务流水!$H$5:$H$1504,业务流水!$E$5:$E$1504,$B$3,业务流水!$D$5:$D$1504,"销项开票",业务流水!$C$5:$C$1504,$A251,业务流水!$Z$5:$Z$1504,"是"))</f>
        <v/>
      </c>
      <c r="D251" s="41" t="str">
        <f aca="false">IF($A251="","",SUMIFS(业务流水!$O$5:$O$1504,业务流水!$E$5:$E$1504,$B$3,业务流水!$D$5:$D$1504,"销项开票",业务流水!$C$5:$C$1504,$A251,业务流水!$Z$5:$Z$1504,"是"))</f>
        <v/>
      </c>
      <c r="E251" s="41" t="str">
        <f aca="false">IF($A251="","",SUMIFS(业务流水!$P$5:$P$1504,业务流水!$E$5:$E$1504,$B$3,业务流水!$D$5:$D$1504,"销项开票",业务流水!$C$5:$C$1504,$A251,业务流水!$Z$5:$Z$1504,"是"))</f>
        <v/>
      </c>
      <c r="F251" s="41" t="str">
        <f aca="false">IF($A251="","",SUMIFS(业务流水!$H$5:$H$1504,业务流水!$F$5:$F$1504,$B$3,业务流水!$D$5:$D$1504,"成本票",业务流水!$C$5:$C$1504,$A251,业务流水!$Z$5:$Z$1504,"是")+SUMIFS(业务流水!$H$5:$H$1504,业务流水!$F$5:$F$1504,$B$3,业务流水!$D$5:$D$1504,"销项开票",业务流水!$C$5:$C$1504,$A251,业务流水!$Z$5:$Z$1504,"是"))</f>
        <v/>
      </c>
      <c r="G251" s="42" t="str">
        <f aca="false">IF($A251="","",$E251-$F251)</f>
        <v/>
      </c>
      <c r="H251" s="41" t="str">
        <f aca="false">IF($A251="","",SUMIFS(业务流水!$W$5:$W$1504,业务流水!$E$5:$E$1504,$B$3,业务流水!$D$5:$D$1504,"销项开票",业务流水!$C$5:$C$1504,$A251,业务流水!$Z$5:$Z$1504,"是"))</f>
        <v/>
      </c>
      <c r="I251" s="41" t="str">
        <f aca="false">IF($A251="","",SUMIFS(业务流水!$H$5:$H$1504,业务流水!$E$5:$E$1504,$B$3,业务流水!$D$5:$D$1504,"已交税",业务流水!$C$5:$C$1504,$A251,业务流水!$Z$5:$Z$1504,"是"))</f>
        <v/>
      </c>
      <c r="J251" s="42" t="str">
        <f aca="false">IF($A251="","",$H251-$I251)</f>
        <v/>
      </c>
      <c r="K251" s="41" t="str">
        <f aca="false">IF($A251="","",SUMIFS(业务流水!$H$5:$H$1504,业务流水!$F$5:$F$1504,$B$3,业务流水!$D$5:$D$1504,"挂靠代收",业务流水!$C$5:$C$1504,$A251,业务流水!$Z$5:$Z$1504,"是"))</f>
        <v/>
      </c>
      <c r="L251" s="42" t="str">
        <f aca="false">IF($A251="","",$C251-$K251)</f>
        <v/>
      </c>
      <c r="M251" s="41" t="str">
        <f aca="false">IF($A251="","",SUMIFS(业务流水!$H$5:$H$1504,业务流水!$E$5:$E$1504,$B$3,业务流水!$D$5:$D$1504,"我方收款",业务流水!$C$5:$C$1504,$A251,业务流水!$Z$5:$Z$1504,"是"))</f>
        <v/>
      </c>
      <c r="N251" s="43" t="str">
        <f aca="false">IF($A251="","",$K251-$M251)</f>
        <v/>
      </c>
      <c r="O251" s="41" t="str">
        <f aca="false">IF($A251="","",SUMIFS(业务流水!$H$5:$H$1504,业务流水!$F$5:$F$1504,$B$3,业务流水!$D$5:$D$1504,"管理费结算",业务流水!$C$5:$C$1504,$A251,业务流水!$Z$5:$Z$1504,"是"))</f>
        <v/>
      </c>
      <c r="P251" s="41" t="str">
        <f aca="false">IF($A251="","",SUMIFS(业务流水!$H$5:$H$1504,业务流水!$E$5:$E$1504,$B$3,业务流水!$D$5:$D$1504,"扣质保金",业务流水!$C$5:$C$1504,$A251,业务流水!$Z$5:$Z$1504,"是"))</f>
        <v/>
      </c>
      <c r="Q251" s="48" t="str">
        <f aca="false">IF($A251="","",IF(SUM($C251:$F251)+SUM($K251:$M251)=0,"无","有"))</f>
        <v/>
      </c>
    </row>
    <row r="252" customFormat="false" ht="15.75" hidden="false" customHeight="true" outlineLevel="0" collapsed="false">
      <c r="A252" s="32" t="str">
        <f aca="false">IF(项目档案!$A252="","",项目档案!$A252)</f>
        <v/>
      </c>
      <c r="B252" s="40" t="str">
        <f aca="false">IF($A252="","",项目档案!$B252)</f>
        <v/>
      </c>
      <c r="C252" s="41" t="str">
        <f aca="false">IF($A252="","",SUMIFS(业务流水!$H$5:$H$1504,业务流水!$E$5:$E$1504,$B$3,业务流水!$D$5:$D$1504,"销项开票",业务流水!$C$5:$C$1504,$A252,业务流水!$Z$5:$Z$1504,"是"))</f>
        <v/>
      </c>
      <c r="D252" s="41" t="str">
        <f aca="false">IF($A252="","",SUMIFS(业务流水!$O$5:$O$1504,业务流水!$E$5:$E$1504,$B$3,业务流水!$D$5:$D$1504,"销项开票",业务流水!$C$5:$C$1504,$A252,业务流水!$Z$5:$Z$1504,"是"))</f>
        <v/>
      </c>
      <c r="E252" s="41" t="str">
        <f aca="false">IF($A252="","",SUMIFS(业务流水!$P$5:$P$1504,业务流水!$E$5:$E$1504,$B$3,业务流水!$D$5:$D$1504,"销项开票",业务流水!$C$5:$C$1504,$A252,业务流水!$Z$5:$Z$1504,"是"))</f>
        <v/>
      </c>
      <c r="F252" s="41" t="str">
        <f aca="false">IF($A252="","",SUMIFS(业务流水!$H$5:$H$1504,业务流水!$F$5:$F$1504,$B$3,业务流水!$D$5:$D$1504,"成本票",业务流水!$C$5:$C$1504,$A252,业务流水!$Z$5:$Z$1504,"是")+SUMIFS(业务流水!$H$5:$H$1504,业务流水!$F$5:$F$1504,$B$3,业务流水!$D$5:$D$1504,"销项开票",业务流水!$C$5:$C$1504,$A252,业务流水!$Z$5:$Z$1504,"是"))</f>
        <v/>
      </c>
      <c r="G252" s="42" t="str">
        <f aca="false">IF($A252="","",$E252-$F252)</f>
        <v/>
      </c>
      <c r="H252" s="41" t="str">
        <f aca="false">IF($A252="","",SUMIFS(业务流水!$W$5:$W$1504,业务流水!$E$5:$E$1504,$B$3,业务流水!$D$5:$D$1504,"销项开票",业务流水!$C$5:$C$1504,$A252,业务流水!$Z$5:$Z$1504,"是"))</f>
        <v/>
      </c>
      <c r="I252" s="41" t="str">
        <f aca="false">IF($A252="","",SUMIFS(业务流水!$H$5:$H$1504,业务流水!$E$5:$E$1504,$B$3,业务流水!$D$5:$D$1504,"已交税",业务流水!$C$5:$C$1504,$A252,业务流水!$Z$5:$Z$1504,"是"))</f>
        <v/>
      </c>
      <c r="J252" s="42" t="str">
        <f aca="false">IF($A252="","",$H252-$I252)</f>
        <v/>
      </c>
      <c r="K252" s="41" t="str">
        <f aca="false">IF($A252="","",SUMIFS(业务流水!$H$5:$H$1504,业务流水!$F$5:$F$1504,$B$3,业务流水!$D$5:$D$1504,"挂靠代收",业务流水!$C$5:$C$1504,$A252,业务流水!$Z$5:$Z$1504,"是"))</f>
        <v/>
      </c>
      <c r="L252" s="42" t="str">
        <f aca="false">IF($A252="","",$C252-$K252)</f>
        <v/>
      </c>
      <c r="M252" s="41" t="str">
        <f aca="false">IF($A252="","",SUMIFS(业务流水!$H$5:$H$1504,业务流水!$E$5:$E$1504,$B$3,业务流水!$D$5:$D$1504,"我方收款",业务流水!$C$5:$C$1504,$A252,业务流水!$Z$5:$Z$1504,"是"))</f>
        <v/>
      </c>
      <c r="N252" s="43" t="str">
        <f aca="false">IF($A252="","",$K252-$M252)</f>
        <v/>
      </c>
      <c r="O252" s="41" t="str">
        <f aca="false">IF($A252="","",SUMIFS(业务流水!$H$5:$H$1504,业务流水!$F$5:$F$1504,$B$3,业务流水!$D$5:$D$1504,"管理费结算",业务流水!$C$5:$C$1504,$A252,业务流水!$Z$5:$Z$1504,"是"))</f>
        <v/>
      </c>
      <c r="P252" s="41" t="str">
        <f aca="false">IF($A252="","",SUMIFS(业务流水!$H$5:$H$1504,业务流水!$E$5:$E$1504,$B$3,业务流水!$D$5:$D$1504,"扣质保金",业务流水!$C$5:$C$1504,$A252,业务流水!$Z$5:$Z$1504,"是"))</f>
        <v/>
      </c>
      <c r="Q252" s="48" t="str">
        <f aca="false">IF($A252="","",IF(SUM($C252:$F252)+SUM($K252:$M252)=0,"无","有"))</f>
        <v/>
      </c>
    </row>
    <row r="253" customFormat="false" ht="15.75" hidden="false" customHeight="true" outlineLevel="0" collapsed="false">
      <c r="A253" s="32" t="str">
        <f aca="false">IF(项目档案!$A253="","",项目档案!$A253)</f>
        <v/>
      </c>
      <c r="B253" s="40" t="str">
        <f aca="false">IF($A253="","",项目档案!$B253)</f>
        <v/>
      </c>
      <c r="C253" s="41" t="str">
        <f aca="false">IF($A253="","",SUMIFS(业务流水!$H$5:$H$1504,业务流水!$E$5:$E$1504,$B$3,业务流水!$D$5:$D$1504,"销项开票",业务流水!$C$5:$C$1504,$A253,业务流水!$Z$5:$Z$1504,"是"))</f>
        <v/>
      </c>
      <c r="D253" s="41" t="str">
        <f aca="false">IF($A253="","",SUMIFS(业务流水!$O$5:$O$1504,业务流水!$E$5:$E$1504,$B$3,业务流水!$D$5:$D$1504,"销项开票",业务流水!$C$5:$C$1504,$A253,业务流水!$Z$5:$Z$1504,"是"))</f>
        <v/>
      </c>
      <c r="E253" s="41" t="str">
        <f aca="false">IF($A253="","",SUMIFS(业务流水!$P$5:$P$1504,业务流水!$E$5:$E$1504,$B$3,业务流水!$D$5:$D$1504,"销项开票",业务流水!$C$5:$C$1504,$A253,业务流水!$Z$5:$Z$1504,"是"))</f>
        <v/>
      </c>
      <c r="F253" s="41" t="str">
        <f aca="false">IF($A253="","",SUMIFS(业务流水!$H$5:$H$1504,业务流水!$F$5:$F$1504,$B$3,业务流水!$D$5:$D$1504,"成本票",业务流水!$C$5:$C$1504,$A253,业务流水!$Z$5:$Z$1504,"是")+SUMIFS(业务流水!$H$5:$H$1504,业务流水!$F$5:$F$1504,$B$3,业务流水!$D$5:$D$1504,"销项开票",业务流水!$C$5:$C$1504,$A253,业务流水!$Z$5:$Z$1504,"是"))</f>
        <v/>
      </c>
      <c r="G253" s="42" t="str">
        <f aca="false">IF($A253="","",$E253-$F253)</f>
        <v/>
      </c>
      <c r="H253" s="41" t="str">
        <f aca="false">IF($A253="","",SUMIFS(业务流水!$W$5:$W$1504,业务流水!$E$5:$E$1504,$B$3,业务流水!$D$5:$D$1504,"销项开票",业务流水!$C$5:$C$1504,$A253,业务流水!$Z$5:$Z$1504,"是"))</f>
        <v/>
      </c>
      <c r="I253" s="41" t="str">
        <f aca="false">IF($A253="","",SUMIFS(业务流水!$H$5:$H$1504,业务流水!$E$5:$E$1504,$B$3,业务流水!$D$5:$D$1504,"已交税",业务流水!$C$5:$C$1504,$A253,业务流水!$Z$5:$Z$1504,"是"))</f>
        <v/>
      </c>
      <c r="J253" s="42" t="str">
        <f aca="false">IF($A253="","",$H253-$I253)</f>
        <v/>
      </c>
      <c r="K253" s="41" t="str">
        <f aca="false">IF($A253="","",SUMIFS(业务流水!$H$5:$H$1504,业务流水!$F$5:$F$1504,$B$3,业务流水!$D$5:$D$1504,"挂靠代收",业务流水!$C$5:$C$1504,$A253,业务流水!$Z$5:$Z$1504,"是"))</f>
        <v/>
      </c>
      <c r="L253" s="42" t="str">
        <f aca="false">IF($A253="","",$C253-$K253)</f>
        <v/>
      </c>
      <c r="M253" s="41" t="str">
        <f aca="false">IF($A253="","",SUMIFS(业务流水!$H$5:$H$1504,业务流水!$E$5:$E$1504,$B$3,业务流水!$D$5:$D$1504,"我方收款",业务流水!$C$5:$C$1504,$A253,业务流水!$Z$5:$Z$1504,"是"))</f>
        <v/>
      </c>
      <c r="N253" s="43" t="str">
        <f aca="false">IF($A253="","",$K253-$M253)</f>
        <v/>
      </c>
      <c r="O253" s="41" t="str">
        <f aca="false">IF($A253="","",SUMIFS(业务流水!$H$5:$H$1504,业务流水!$F$5:$F$1504,$B$3,业务流水!$D$5:$D$1504,"管理费结算",业务流水!$C$5:$C$1504,$A253,业务流水!$Z$5:$Z$1504,"是"))</f>
        <v/>
      </c>
      <c r="P253" s="41" t="str">
        <f aca="false">IF($A253="","",SUMIFS(业务流水!$H$5:$H$1504,业务流水!$E$5:$E$1504,$B$3,业务流水!$D$5:$D$1504,"扣质保金",业务流水!$C$5:$C$1504,$A253,业务流水!$Z$5:$Z$1504,"是"))</f>
        <v/>
      </c>
      <c r="Q253" s="48" t="str">
        <f aca="false">IF($A253="","",IF(SUM($C253:$F253)+SUM($K253:$M253)=0,"无","有"))</f>
        <v/>
      </c>
    </row>
    <row r="254" customFormat="false" ht="15.75" hidden="false" customHeight="true" outlineLevel="0" collapsed="false">
      <c r="A254" s="32" t="str">
        <f aca="false">IF(项目档案!$A254="","",项目档案!$A254)</f>
        <v/>
      </c>
      <c r="B254" s="40" t="str">
        <f aca="false">IF($A254="","",项目档案!$B254)</f>
        <v/>
      </c>
      <c r="C254" s="41" t="str">
        <f aca="false">IF($A254="","",SUMIFS(业务流水!$H$5:$H$1504,业务流水!$E$5:$E$1504,$B$3,业务流水!$D$5:$D$1504,"销项开票",业务流水!$C$5:$C$1504,$A254,业务流水!$Z$5:$Z$1504,"是"))</f>
        <v/>
      </c>
      <c r="D254" s="41" t="str">
        <f aca="false">IF($A254="","",SUMIFS(业务流水!$O$5:$O$1504,业务流水!$E$5:$E$1504,$B$3,业务流水!$D$5:$D$1504,"销项开票",业务流水!$C$5:$C$1504,$A254,业务流水!$Z$5:$Z$1504,"是"))</f>
        <v/>
      </c>
      <c r="E254" s="41" t="str">
        <f aca="false">IF($A254="","",SUMIFS(业务流水!$P$5:$P$1504,业务流水!$E$5:$E$1504,$B$3,业务流水!$D$5:$D$1504,"销项开票",业务流水!$C$5:$C$1504,$A254,业务流水!$Z$5:$Z$1504,"是"))</f>
        <v/>
      </c>
      <c r="F254" s="41" t="str">
        <f aca="false">IF($A254="","",SUMIFS(业务流水!$H$5:$H$1504,业务流水!$F$5:$F$1504,$B$3,业务流水!$D$5:$D$1504,"成本票",业务流水!$C$5:$C$1504,$A254,业务流水!$Z$5:$Z$1504,"是")+SUMIFS(业务流水!$H$5:$H$1504,业务流水!$F$5:$F$1504,$B$3,业务流水!$D$5:$D$1504,"销项开票",业务流水!$C$5:$C$1504,$A254,业务流水!$Z$5:$Z$1504,"是"))</f>
        <v/>
      </c>
      <c r="G254" s="42" t="str">
        <f aca="false">IF($A254="","",$E254-$F254)</f>
        <v/>
      </c>
      <c r="H254" s="41" t="str">
        <f aca="false">IF($A254="","",SUMIFS(业务流水!$W$5:$W$1504,业务流水!$E$5:$E$1504,$B$3,业务流水!$D$5:$D$1504,"销项开票",业务流水!$C$5:$C$1504,$A254,业务流水!$Z$5:$Z$1504,"是"))</f>
        <v/>
      </c>
      <c r="I254" s="41" t="str">
        <f aca="false">IF($A254="","",SUMIFS(业务流水!$H$5:$H$1504,业务流水!$E$5:$E$1504,$B$3,业务流水!$D$5:$D$1504,"已交税",业务流水!$C$5:$C$1504,$A254,业务流水!$Z$5:$Z$1504,"是"))</f>
        <v/>
      </c>
      <c r="J254" s="42" t="str">
        <f aca="false">IF($A254="","",$H254-$I254)</f>
        <v/>
      </c>
      <c r="K254" s="41" t="str">
        <f aca="false">IF($A254="","",SUMIFS(业务流水!$H$5:$H$1504,业务流水!$F$5:$F$1504,$B$3,业务流水!$D$5:$D$1504,"挂靠代收",业务流水!$C$5:$C$1504,$A254,业务流水!$Z$5:$Z$1504,"是"))</f>
        <v/>
      </c>
      <c r="L254" s="42" t="str">
        <f aca="false">IF($A254="","",$C254-$K254)</f>
        <v/>
      </c>
      <c r="M254" s="41" t="str">
        <f aca="false">IF($A254="","",SUMIFS(业务流水!$H$5:$H$1504,业务流水!$E$5:$E$1504,$B$3,业务流水!$D$5:$D$1504,"我方收款",业务流水!$C$5:$C$1504,$A254,业务流水!$Z$5:$Z$1504,"是"))</f>
        <v/>
      </c>
      <c r="N254" s="43" t="str">
        <f aca="false">IF($A254="","",$K254-$M254)</f>
        <v/>
      </c>
      <c r="O254" s="41" t="str">
        <f aca="false">IF($A254="","",SUMIFS(业务流水!$H$5:$H$1504,业务流水!$F$5:$F$1504,$B$3,业务流水!$D$5:$D$1504,"管理费结算",业务流水!$C$5:$C$1504,$A254,业务流水!$Z$5:$Z$1504,"是"))</f>
        <v/>
      </c>
      <c r="P254" s="41" t="str">
        <f aca="false">IF($A254="","",SUMIFS(业务流水!$H$5:$H$1504,业务流水!$E$5:$E$1504,$B$3,业务流水!$D$5:$D$1504,"扣质保金",业务流水!$C$5:$C$1504,$A254,业务流水!$Z$5:$Z$1504,"是"))</f>
        <v/>
      </c>
      <c r="Q254" s="48" t="str">
        <f aca="false">IF($A254="","",IF(SUM($C254:$F254)+SUM($K254:$M254)=0,"无","有"))</f>
        <v/>
      </c>
    </row>
    <row r="255" customFormat="false" ht="15.75" hidden="false" customHeight="true" outlineLevel="0" collapsed="false">
      <c r="A255" s="32" t="str">
        <f aca="false">IF(项目档案!$A255="","",项目档案!$A255)</f>
        <v/>
      </c>
      <c r="B255" s="40" t="str">
        <f aca="false">IF($A255="","",项目档案!$B255)</f>
        <v/>
      </c>
      <c r="C255" s="41" t="str">
        <f aca="false">IF($A255="","",SUMIFS(业务流水!$H$5:$H$1504,业务流水!$E$5:$E$1504,$B$3,业务流水!$D$5:$D$1504,"销项开票",业务流水!$C$5:$C$1504,$A255,业务流水!$Z$5:$Z$1504,"是"))</f>
        <v/>
      </c>
      <c r="D255" s="41" t="str">
        <f aca="false">IF($A255="","",SUMIFS(业务流水!$O$5:$O$1504,业务流水!$E$5:$E$1504,$B$3,业务流水!$D$5:$D$1504,"销项开票",业务流水!$C$5:$C$1504,$A255,业务流水!$Z$5:$Z$1504,"是"))</f>
        <v/>
      </c>
      <c r="E255" s="41" t="str">
        <f aca="false">IF($A255="","",SUMIFS(业务流水!$P$5:$P$1504,业务流水!$E$5:$E$1504,$B$3,业务流水!$D$5:$D$1504,"销项开票",业务流水!$C$5:$C$1504,$A255,业务流水!$Z$5:$Z$1504,"是"))</f>
        <v/>
      </c>
      <c r="F255" s="41" t="str">
        <f aca="false">IF($A255="","",SUMIFS(业务流水!$H$5:$H$1504,业务流水!$F$5:$F$1504,$B$3,业务流水!$D$5:$D$1504,"成本票",业务流水!$C$5:$C$1504,$A255,业务流水!$Z$5:$Z$1504,"是")+SUMIFS(业务流水!$H$5:$H$1504,业务流水!$F$5:$F$1504,$B$3,业务流水!$D$5:$D$1504,"销项开票",业务流水!$C$5:$C$1504,$A255,业务流水!$Z$5:$Z$1504,"是"))</f>
        <v/>
      </c>
      <c r="G255" s="42" t="str">
        <f aca="false">IF($A255="","",$E255-$F255)</f>
        <v/>
      </c>
      <c r="H255" s="41" t="str">
        <f aca="false">IF($A255="","",SUMIFS(业务流水!$W$5:$W$1504,业务流水!$E$5:$E$1504,$B$3,业务流水!$D$5:$D$1504,"销项开票",业务流水!$C$5:$C$1504,$A255,业务流水!$Z$5:$Z$1504,"是"))</f>
        <v/>
      </c>
      <c r="I255" s="41" t="str">
        <f aca="false">IF($A255="","",SUMIFS(业务流水!$H$5:$H$1504,业务流水!$E$5:$E$1504,$B$3,业务流水!$D$5:$D$1504,"已交税",业务流水!$C$5:$C$1504,$A255,业务流水!$Z$5:$Z$1504,"是"))</f>
        <v/>
      </c>
      <c r="J255" s="42" t="str">
        <f aca="false">IF($A255="","",$H255-$I255)</f>
        <v/>
      </c>
      <c r="K255" s="41" t="str">
        <f aca="false">IF($A255="","",SUMIFS(业务流水!$H$5:$H$1504,业务流水!$F$5:$F$1504,$B$3,业务流水!$D$5:$D$1504,"挂靠代收",业务流水!$C$5:$C$1504,$A255,业务流水!$Z$5:$Z$1504,"是"))</f>
        <v/>
      </c>
      <c r="L255" s="42" t="str">
        <f aca="false">IF($A255="","",$C255-$K255)</f>
        <v/>
      </c>
      <c r="M255" s="41" t="str">
        <f aca="false">IF($A255="","",SUMIFS(业务流水!$H$5:$H$1504,业务流水!$E$5:$E$1504,$B$3,业务流水!$D$5:$D$1504,"我方收款",业务流水!$C$5:$C$1504,$A255,业务流水!$Z$5:$Z$1504,"是"))</f>
        <v/>
      </c>
      <c r="N255" s="43" t="str">
        <f aca="false">IF($A255="","",$K255-$M255)</f>
        <v/>
      </c>
      <c r="O255" s="41" t="str">
        <f aca="false">IF($A255="","",SUMIFS(业务流水!$H$5:$H$1504,业务流水!$F$5:$F$1504,$B$3,业务流水!$D$5:$D$1504,"管理费结算",业务流水!$C$5:$C$1504,$A255,业务流水!$Z$5:$Z$1504,"是"))</f>
        <v/>
      </c>
      <c r="P255" s="41" t="str">
        <f aca="false">IF($A255="","",SUMIFS(业务流水!$H$5:$H$1504,业务流水!$E$5:$E$1504,$B$3,业务流水!$D$5:$D$1504,"扣质保金",业务流水!$C$5:$C$1504,$A255,业务流水!$Z$5:$Z$1504,"是"))</f>
        <v/>
      </c>
      <c r="Q255" s="48" t="str">
        <f aca="false">IF($A255="","",IF(SUM($C255:$F255)+SUM($K255:$M255)=0,"无","有"))</f>
        <v/>
      </c>
    </row>
    <row r="256" customFormat="false" ht="15.75" hidden="false" customHeight="true" outlineLevel="0" collapsed="false">
      <c r="A256" s="32" t="str">
        <f aca="false">IF(项目档案!$A256="","",项目档案!$A256)</f>
        <v/>
      </c>
      <c r="B256" s="40" t="str">
        <f aca="false">IF($A256="","",项目档案!$B256)</f>
        <v/>
      </c>
      <c r="C256" s="41" t="str">
        <f aca="false">IF($A256="","",SUMIFS(业务流水!$H$5:$H$1504,业务流水!$E$5:$E$1504,$B$3,业务流水!$D$5:$D$1504,"销项开票",业务流水!$C$5:$C$1504,$A256,业务流水!$Z$5:$Z$1504,"是"))</f>
        <v/>
      </c>
      <c r="D256" s="41" t="str">
        <f aca="false">IF($A256="","",SUMIFS(业务流水!$O$5:$O$1504,业务流水!$E$5:$E$1504,$B$3,业务流水!$D$5:$D$1504,"销项开票",业务流水!$C$5:$C$1504,$A256,业务流水!$Z$5:$Z$1504,"是"))</f>
        <v/>
      </c>
      <c r="E256" s="41" t="str">
        <f aca="false">IF($A256="","",SUMIFS(业务流水!$P$5:$P$1504,业务流水!$E$5:$E$1504,$B$3,业务流水!$D$5:$D$1504,"销项开票",业务流水!$C$5:$C$1504,$A256,业务流水!$Z$5:$Z$1504,"是"))</f>
        <v/>
      </c>
      <c r="F256" s="41" t="str">
        <f aca="false">IF($A256="","",SUMIFS(业务流水!$H$5:$H$1504,业务流水!$F$5:$F$1504,$B$3,业务流水!$D$5:$D$1504,"成本票",业务流水!$C$5:$C$1504,$A256,业务流水!$Z$5:$Z$1504,"是")+SUMIFS(业务流水!$H$5:$H$1504,业务流水!$F$5:$F$1504,$B$3,业务流水!$D$5:$D$1504,"销项开票",业务流水!$C$5:$C$1504,$A256,业务流水!$Z$5:$Z$1504,"是"))</f>
        <v/>
      </c>
      <c r="G256" s="42" t="str">
        <f aca="false">IF($A256="","",$E256-$F256)</f>
        <v/>
      </c>
      <c r="H256" s="41" t="str">
        <f aca="false">IF($A256="","",SUMIFS(业务流水!$W$5:$W$1504,业务流水!$E$5:$E$1504,$B$3,业务流水!$D$5:$D$1504,"销项开票",业务流水!$C$5:$C$1504,$A256,业务流水!$Z$5:$Z$1504,"是"))</f>
        <v/>
      </c>
      <c r="I256" s="41" t="str">
        <f aca="false">IF($A256="","",SUMIFS(业务流水!$H$5:$H$1504,业务流水!$E$5:$E$1504,$B$3,业务流水!$D$5:$D$1504,"已交税",业务流水!$C$5:$C$1504,$A256,业务流水!$Z$5:$Z$1504,"是"))</f>
        <v/>
      </c>
      <c r="J256" s="42" t="str">
        <f aca="false">IF($A256="","",$H256-$I256)</f>
        <v/>
      </c>
      <c r="K256" s="41" t="str">
        <f aca="false">IF($A256="","",SUMIFS(业务流水!$H$5:$H$1504,业务流水!$F$5:$F$1504,$B$3,业务流水!$D$5:$D$1504,"挂靠代收",业务流水!$C$5:$C$1504,$A256,业务流水!$Z$5:$Z$1504,"是"))</f>
        <v/>
      </c>
      <c r="L256" s="42" t="str">
        <f aca="false">IF($A256="","",$C256-$K256)</f>
        <v/>
      </c>
      <c r="M256" s="41" t="str">
        <f aca="false">IF($A256="","",SUMIFS(业务流水!$H$5:$H$1504,业务流水!$E$5:$E$1504,$B$3,业务流水!$D$5:$D$1504,"我方收款",业务流水!$C$5:$C$1504,$A256,业务流水!$Z$5:$Z$1504,"是"))</f>
        <v/>
      </c>
      <c r="N256" s="43" t="str">
        <f aca="false">IF($A256="","",$K256-$M256)</f>
        <v/>
      </c>
      <c r="O256" s="41" t="str">
        <f aca="false">IF($A256="","",SUMIFS(业务流水!$H$5:$H$1504,业务流水!$F$5:$F$1504,$B$3,业务流水!$D$5:$D$1504,"管理费结算",业务流水!$C$5:$C$1504,$A256,业务流水!$Z$5:$Z$1504,"是"))</f>
        <v/>
      </c>
      <c r="P256" s="41" t="str">
        <f aca="false">IF($A256="","",SUMIFS(业务流水!$H$5:$H$1504,业务流水!$E$5:$E$1504,$B$3,业务流水!$D$5:$D$1504,"扣质保金",业务流水!$C$5:$C$1504,$A256,业务流水!$Z$5:$Z$1504,"是"))</f>
        <v/>
      </c>
      <c r="Q256" s="48" t="str">
        <f aca="false">IF($A256="","",IF(SUM($C256:$F256)+SUM($K256:$M256)=0,"无","有"))</f>
        <v/>
      </c>
    </row>
    <row r="257" customFormat="false" ht="15.75" hidden="false" customHeight="true" outlineLevel="0" collapsed="false">
      <c r="A257" s="32" t="str">
        <f aca="false">IF(项目档案!$A257="","",项目档案!$A257)</f>
        <v/>
      </c>
      <c r="B257" s="40" t="str">
        <f aca="false">IF($A257="","",项目档案!$B257)</f>
        <v/>
      </c>
      <c r="C257" s="41" t="str">
        <f aca="false">IF($A257="","",SUMIFS(业务流水!$H$5:$H$1504,业务流水!$E$5:$E$1504,$B$3,业务流水!$D$5:$D$1504,"销项开票",业务流水!$C$5:$C$1504,$A257,业务流水!$Z$5:$Z$1504,"是"))</f>
        <v/>
      </c>
      <c r="D257" s="41" t="str">
        <f aca="false">IF($A257="","",SUMIFS(业务流水!$O$5:$O$1504,业务流水!$E$5:$E$1504,$B$3,业务流水!$D$5:$D$1504,"销项开票",业务流水!$C$5:$C$1504,$A257,业务流水!$Z$5:$Z$1504,"是"))</f>
        <v/>
      </c>
      <c r="E257" s="41" t="str">
        <f aca="false">IF($A257="","",SUMIFS(业务流水!$P$5:$P$1504,业务流水!$E$5:$E$1504,$B$3,业务流水!$D$5:$D$1504,"销项开票",业务流水!$C$5:$C$1504,$A257,业务流水!$Z$5:$Z$1504,"是"))</f>
        <v/>
      </c>
      <c r="F257" s="41" t="str">
        <f aca="false">IF($A257="","",SUMIFS(业务流水!$H$5:$H$1504,业务流水!$F$5:$F$1504,$B$3,业务流水!$D$5:$D$1504,"成本票",业务流水!$C$5:$C$1504,$A257,业务流水!$Z$5:$Z$1504,"是")+SUMIFS(业务流水!$H$5:$H$1504,业务流水!$F$5:$F$1504,$B$3,业务流水!$D$5:$D$1504,"销项开票",业务流水!$C$5:$C$1504,$A257,业务流水!$Z$5:$Z$1504,"是"))</f>
        <v/>
      </c>
      <c r="G257" s="42" t="str">
        <f aca="false">IF($A257="","",$E257-$F257)</f>
        <v/>
      </c>
      <c r="H257" s="41" t="str">
        <f aca="false">IF($A257="","",SUMIFS(业务流水!$W$5:$W$1504,业务流水!$E$5:$E$1504,$B$3,业务流水!$D$5:$D$1504,"销项开票",业务流水!$C$5:$C$1504,$A257,业务流水!$Z$5:$Z$1504,"是"))</f>
        <v/>
      </c>
      <c r="I257" s="41" t="str">
        <f aca="false">IF($A257="","",SUMIFS(业务流水!$H$5:$H$1504,业务流水!$E$5:$E$1504,$B$3,业务流水!$D$5:$D$1504,"已交税",业务流水!$C$5:$C$1504,$A257,业务流水!$Z$5:$Z$1504,"是"))</f>
        <v/>
      </c>
      <c r="J257" s="42" t="str">
        <f aca="false">IF($A257="","",$H257-$I257)</f>
        <v/>
      </c>
      <c r="K257" s="41" t="str">
        <f aca="false">IF($A257="","",SUMIFS(业务流水!$H$5:$H$1504,业务流水!$F$5:$F$1504,$B$3,业务流水!$D$5:$D$1504,"挂靠代收",业务流水!$C$5:$C$1504,$A257,业务流水!$Z$5:$Z$1504,"是"))</f>
        <v/>
      </c>
      <c r="L257" s="42" t="str">
        <f aca="false">IF($A257="","",$C257-$K257)</f>
        <v/>
      </c>
      <c r="M257" s="41" t="str">
        <f aca="false">IF($A257="","",SUMIFS(业务流水!$H$5:$H$1504,业务流水!$E$5:$E$1504,$B$3,业务流水!$D$5:$D$1504,"我方收款",业务流水!$C$5:$C$1504,$A257,业务流水!$Z$5:$Z$1504,"是"))</f>
        <v/>
      </c>
      <c r="N257" s="43" t="str">
        <f aca="false">IF($A257="","",$K257-$M257)</f>
        <v/>
      </c>
      <c r="O257" s="41" t="str">
        <f aca="false">IF($A257="","",SUMIFS(业务流水!$H$5:$H$1504,业务流水!$F$5:$F$1504,$B$3,业务流水!$D$5:$D$1504,"管理费结算",业务流水!$C$5:$C$1504,$A257,业务流水!$Z$5:$Z$1504,"是"))</f>
        <v/>
      </c>
      <c r="P257" s="41" t="str">
        <f aca="false">IF($A257="","",SUMIFS(业务流水!$H$5:$H$1504,业务流水!$E$5:$E$1504,$B$3,业务流水!$D$5:$D$1504,"扣质保金",业务流水!$C$5:$C$1504,$A257,业务流水!$Z$5:$Z$1504,"是"))</f>
        <v/>
      </c>
      <c r="Q257" s="48" t="str">
        <f aca="false">IF($A257="","",IF(SUM($C257:$F257)+SUM($K257:$M257)=0,"无","有"))</f>
        <v/>
      </c>
    </row>
    <row r="258" customFormat="false" ht="15.75" hidden="false" customHeight="true" outlineLevel="0" collapsed="false">
      <c r="A258" s="32" t="str">
        <f aca="false">IF(项目档案!$A258="","",项目档案!$A258)</f>
        <v/>
      </c>
      <c r="B258" s="40" t="str">
        <f aca="false">IF($A258="","",项目档案!$B258)</f>
        <v/>
      </c>
      <c r="C258" s="41" t="str">
        <f aca="false">IF($A258="","",SUMIFS(业务流水!$H$5:$H$1504,业务流水!$E$5:$E$1504,$B$3,业务流水!$D$5:$D$1504,"销项开票",业务流水!$C$5:$C$1504,$A258,业务流水!$Z$5:$Z$1504,"是"))</f>
        <v/>
      </c>
      <c r="D258" s="41" t="str">
        <f aca="false">IF($A258="","",SUMIFS(业务流水!$O$5:$O$1504,业务流水!$E$5:$E$1504,$B$3,业务流水!$D$5:$D$1504,"销项开票",业务流水!$C$5:$C$1504,$A258,业务流水!$Z$5:$Z$1504,"是"))</f>
        <v/>
      </c>
      <c r="E258" s="41" t="str">
        <f aca="false">IF($A258="","",SUMIFS(业务流水!$P$5:$P$1504,业务流水!$E$5:$E$1504,$B$3,业务流水!$D$5:$D$1504,"销项开票",业务流水!$C$5:$C$1504,$A258,业务流水!$Z$5:$Z$1504,"是"))</f>
        <v/>
      </c>
      <c r="F258" s="41" t="str">
        <f aca="false">IF($A258="","",SUMIFS(业务流水!$H$5:$H$1504,业务流水!$F$5:$F$1504,$B$3,业务流水!$D$5:$D$1504,"成本票",业务流水!$C$5:$C$1504,$A258,业务流水!$Z$5:$Z$1504,"是")+SUMIFS(业务流水!$H$5:$H$1504,业务流水!$F$5:$F$1504,$B$3,业务流水!$D$5:$D$1504,"销项开票",业务流水!$C$5:$C$1504,$A258,业务流水!$Z$5:$Z$1504,"是"))</f>
        <v/>
      </c>
      <c r="G258" s="42" t="str">
        <f aca="false">IF($A258="","",$E258-$F258)</f>
        <v/>
      </c>
      <c r="H258" s="41" t="str">
        <f aca="false">IF($A258="","",SUMIFS(业务流水!$W$5:$W$1504,业务流水!$E$5:$E$1504,$B$3,业务流水!$D$5:$D$1504,"销项开票",业务流水!$C$5:$C$1504,$A258,业务流水!$Z$5:$Z$1504,"是"))</f>
        <v/>
      </c>
      <c r="I258" s="41" t="str">
        <f aca="false">IF($A258="","",SUMIFS(业务流水!$H$5:$H$1504,业务流水!$E$5:$E$1504,$B$3,业务流水!$D$5:$D$1504,"已交税",业务流水!$C$5:$C$1504,$A258,业务流水!$Z$5:$Z$1504,"是"))</f>
        <v/>
      </c>
      <c r="J258" s="42" t="str">
        <f aca="false">IF($A258="","",$H258-$I258)</f>
        <v/>
      </c>
      <c r="K258" s="41" t="str">
        <f aca="false">IF($A258="","",SUMIFS(业务流水!$H$5:$H$1504,业务流水!$F$5:$F$1504,$B$3,业务流水!$D$5:$D$1504,"挂靠代收",业务流水!$C$5:$C$1504,$A258,业务流水!$Z$5:$Z$1504,"是"))</f>
        <v/>
      </c>
      <c r="L258" s="42" t="str">
        <f aca="false">IF($A258="","",$C258-$K258)</f>
        <v/>
      </c>
      <c r="M258" s="41" t="str">
        <f aca="false">IF($A258="","",SUMIFS(业务流水!$H$5:$H$1504,业务流水!$E$5:$E$1504,$B$3,业务流水!$D$5:$D$1504,"我方收款",业务流水!$C$5:$C$1504,$A258,业务流水!$Z$5:$Z$1504,"是"))</f>
        <v/>
      </c>
      <c r="N258" s="43" t="str">
        <f aca="false">IF($A258="","",$K258-$M258)</f>
        <v/>
      </c>
      <c r="O258" s="41" t="str">
        <f aca="false">IF($A258="","",SUMIFS(业务流水!$H$5:$H$1504,业务流水!$F$5:$F$1504,$B$3,业务流水!$D$5:$D$1504,"管理费结算",业务流水!$C$5:$C$1504,$A258,业务流水!$Z$5:$Z$1504,"是"))</f>
        <v/>
      </c>
      <c r="P258" s="41" t="str">
        <f aca="false">IF($A258="","",SUMIFS(业务流水!$H$5:$H$1504,业务流水!$E$5:$E$1504,$B$3,业务流水!$D$5:$D$1504,"扣质保金",业务流水!$C$5:$C$1504,$A258,业务流水!$Z$5:$Z$1504,"是"))</f>
        <v/>
      </c>
      <c r="Q258" s="48" t="str">
        <f aca="false">IF($A258="","",IF(SUM($C258:$F258)+SUM($K258:$M258)=0,"无","有"))</f>
        <v/>
      </c>
    </row>
    <row r="259" customFormat="false" ht="15.75" hidden="false" customHeight="true" outlineLevel="0" collapsed="false">
      <c r="A259" s="32" t="str">
        <f aca="false">IF(项目档案!$A259="","",项目档案!$A259)</f>
        <v/>
      </c>
      <c r="B259" s="40" t="str">
        <f aca="false">IF($A259="","",项目档案!$B259)</f>
        <v/>
      </c>
      <c r="C259" s="41" t="str">
        <f aca="false">IF($A259="","",SUMIFS(业务流水!$H$5:$H$1504,业务流水!$E$5:$E$1504,$B$3,业务流水!$D$5:$D$1504,"销项开票",业务流水!$C$5:$C$1504,$A259,业务流水!$Z$5:$Z$1504,"是"))</f>
        <v/>
      </c>
      <c r="D259" s="41" t="str">
        <f aca="false">IF($A259="","",SUMIFS(业务流水!$O$5:$O$1504,业务流水!$E$5:$E$1504,$B$3,业务流水!$D$5:$D$1504,"销项开票",业务流水!$C$5:$C$1504,$A259,业务流水!$Z$5:$Z$1504,"是"))</f>
        <v/>
      </c>
      <c r="E259" s="41" t="str">
        <f aca="false">IF($A259="","",SUMIFS(业务流水!$P$5:$P$1504,业务流水!$E$5:$E$1504,$B$3,业务流水!$D$5:$D$1504,"销项开票",业务流水!$C$5:$C$1504,$A259,业务流水!$Z$5:$Z$1504,"是"))</f>
        <v/>
      </c>
      <c r="F259" s="41" t="str">
        <f aca="false">IF($A259="","",SUMIFS(业务流水!$H$5:$H$1504,业务流水!$F$5:$F$1504,$B$3,业务流水!$D$5:$D$1504,"成本票",业务流水!$C$5:$C$1504,$A259,业务流水!$Z$5:$Z$1504,"是")+SUMIFS(业务流水!$H$5:$H$1504,业务流水!$F$5:$F$1504,$B$3,业务流水!$D$5:$D$1504,"销项开票",业务流水!$C$5:$C$1504,$A259,业务流水!$Z$5:$Z$1504,"是"))</f>
        <v/>
      </c>
      <c r="G259" s="42" t="str">
        <f aca="false">IF($A259="","",$E259-$F259)</f>
        <v/>
      </c>
      <c r="H259" s="41" t="str">
        <f aca="false">IF($A259="","",SUMIFS(业务流水!$W$5:$W$1504,业务流水!$E$5:$E$1504,$B$3,业务流水!$D$5:$D$1504,"销项开票",业务流水!$C$5:$C$1504,$A259,业务流水!$Z$5:$Z$1504,"是"))</f>
        <v/>
      </c>
      <c r="I259" s="41" t="str">
        <f aca="false">IF($A259="","",SUMIFS(业务流水!$H$5:$H$1504,业务流水!$E$5:$E$1504,$B$3,业务流水!$D$5:$D$1504,"已交税",业务流水!$C$5:$C$1504,$A259,业务流水!$Z$5:$Z$1504,"是"))</f>
        <v/>
      </c>
      <c r="J259" s="42" t="str">
        <f aca="false">IF($A259="","",$H259-$I259)</f>
        <v/>
      </c>
      <c r="K259" s="41" t="str">
        <f aca="false">IF($A259="","",SUMIFS(业务流水!$H$5:$H$1504,业务流水!$F$5:$F$1504,$B$3,业务流水!$D$5:$D$1504,"挂靠代收",业务流水!$C$5:$C$1504,$A259,业务流水!$Z$5:$Z$1504,"是"))</f>
        <v/>
      </c>
      <c r="L259" s="42" t="str">
        <f aca="false">IF($A259="","",$C259-$K259)</f>
        <v/>
      </c>
      <c r="M259" s="41" t="str">
        <f aca="false">IF($A259="","",SUMIFS(业务流水!$H$5:$H$1504,业务流水!$E$5:$E$1504,$B$3,业务流水!$D$5:$D$1504,"我方收款",业务流水!$C$5:$C$1504,$A259,业务流水!$Z$5:$Z$1504,"是"))</f>
        <v/>
      </c>
      <c r="N259" s="43" t="str">
        <f aca="false">IF($A259="","",$K259-$M259)</f>
        <v/>
      </c>
      <c r="O259" s="41" t="str">
        <f aca="false">IF($A259="","",SUMIFS(业务流水!$H$5:$H$1504,业务流水!$F$5:$F$1504,$B$3,业务流水!$D$5:$D$1504,"管理费结算",业务流水!$C$5:$C$1504,$A259,业务流水!$Z$5:$Z$1504,"是"))</f>
        <v/>
      </c>
      <c r="P259" s="41" t="str">
        <f aca="false">IF($A259="","",SUMIFS(业务流水!$H$5:$H$1504,业务流水!$E$5:$E$1504,$B$3,业务流水!$D$5:$D$1504,"扣质保金",业务流水!$C$5:$C$1504,$A259,业务流水!$Z$5:$Z$1504,"是"))</f>
        <v/>
      </c>
      <c r="Q259" s="48" t="str">
        <f aca="false">IF($A259="","",IF(SUM($C259:$F259)+SUM($K259:$M259)=0,"无","有"))</f>
        <v/>
      </c>
    </row>
    <row r="260" customFormat="false" ht="15.75" hidden="false" customHeight="true" outlineLevel="0" collapsed="false">
      <c r="A260" s="32" t="str">
        <f aca="false">IF(项目档案!$A260="","",项目档案!$A260)</f>
        <v/>
      </c>
      <c r="B260" s="40" t="str">
        <f aca="false">IF($A260="","",项目档案!$B260)</f>
        <v/>
      </c>
      <c r="C260" s="41" t="str">
        <f aca="false">IF($A260="","",SUMIFS(业务流水!$H$5:$H$1504,业务流水!$E$5:$E$1504,$B$3,业务流水!$D$5:$D$1504,"销项开票",业务流水!$C$5:$C$1504,$A260,业务流水!$Z$5:$Z$1504,"是"))</f>
        <v/>
      </c>
      <c r="D260" s="41" t="str">
        <f aca="false">IF($A260="","",SUMIFS(业务流水!$O$5:$O$1504,业务流水!$E$5:$E$1504,$B$3,业务流水!$D$5:$D$1504,"销项开票",业务流水!$C$5:$C$1504,$A260,业务流水!$Z$5:$Z$1504,"是"))</f>
        <v/>
      </c>
      <c r="E260" s="41" t="str">
        <f aca="false">IF($A260="","",SUMIFS(业务流水!$P$5:$P$1504,业务流水!$E$5:$E$1504,$B$3,业务流水!$D$5:$D$1504,"销项开票",业务流水!$C$5:$C$1504,$A260,业务流水!$Z$5:$Z$1504,"是"))</f>
        <v/>
      </c>
      <c r="F260" s="41" t="str">
        <f aca="false">IF($A260="","",SUMIFS(业务流水!$H$5:$H$1504,业务流水!$F$5:$F$1504,$B$3,业务流水!$D$5:$D$1504,"成本票",业务流水!$C$5:$C$1504,$A260,业务流水!$Z$5:$Z$1504,"是")+SUMIFS(业务流水!$H$5:$H$1504,业务流水!$F$5:$F$1504,$B$3,业务流水!$D$5:$D$1504,"销项开票",业务流水!$C$5:$C$1504,$A260,业务流水!$Z$5:$Z$1504,"是"))</f>
        <v/>
      </c>
      <c r="G260" s="42" t="str">
        <f aca="false">IF($A260="","",$E260-$F260)</f>
        <v/>
      </c>
      <c r="H260" s="41" t="str">
        <f aca="false">IF($A260="","",SUMIFS(业务流水!$W$5:$W$1504,业务流水!$E$5:$E$1504,$B$3,业务流水!$D$5:$D$1504,"销项开票",业务流水!$C$5:$C$1504,$A260,业务流水!$Z$5:$Z$1504,"是"))</f>
        <v/>
      </c>
      <c r="I260" s="41" t="str">
        <f aca="false">IF($A260="","",SUMIFS(业务流水!$H$5:$H$1504,业务流水!$E$5:$E$1504,$B$3,业务流水!$D$5:$D$1504,"已交税",业务流水!$C$5:$C$1504,$A260,业务流水!$Z$5:$Z$1504,"是"))</f>
        <v/>
      </c>
      <c r="J260" s="42" t="str">
        <f aca="false">IF($A260="","",$H260-$I260)</f>
        <v/>
      </c>
      <c r="K260" s="41" t="str">
        <f aca="false">IF($A260="","",SUMIFS(业务流水!$H$5:$H$1504,业务流水!$F$5:$F$1504,$B$3,业务流水!$D$5:$D$1504,"挂靠代收",业务流水!$C$5:$C$1504,$A260,业务流水!$Z$5:$Z$1504,"是"))</f>
        <v/>
      </c>
      <c r="L260" s="42" t="str">
        <f aca="false">IF($A260="","",$C260-$K260)</f>
        <v/>
      </c>
      <c r="M260" s="41" t="str">
        <f aca="false">IF($A260="","",SUMIFS(业务流水!$H$5:$H$1504,业务流水!$E$5:$E$1504,$B$3,业务流水!$D$5:$D$1504,"我方收款",业务流水!$C$5:$C$1504,$A260,业务流水!$Z$5:$Z$1504,"是"))</f>
        <v/>
      </c>
      <c r="N260" s="43" t="str">
        <f aca="false">IF($A260="","",$K260-$M260)</f>
        <v/>
      </c>
      <c r="O260" s="41" t="str">
        <f aca="false">IF($A260="","",SUMIFS(业务流水!$H$5:$H$1504,业务流水!$F$5:$F$1504,$B$3,业务流水!$D$5:$D$1504,"管理费结算",业务流水!$C$5:$C$1504,$A260,业务流水!$Z$5:$Z$1504,"是"))</f>
        <v/>
      </c>
      <c r="P260" s="41" t="str">
        <f aca="false">IF($A260="","",SUMIFS(业务流水!$H$5:$H$1504,业务流水!$E$5:$E$1504,$B$3,业务流水!$D$5:$D$1504,"扣质保金",业务流水!$C$5:$C$1504,$A260,业务流水!$Z$5:$Z$1504,"是"))</f>
        <v/>
      </c>
      <c r="Q260" s="48" t="str">
        <f aca="false">IF($A260="","",IF(SUM($C260:$F260)+SUM($K260:$M260)=0,"无","有"))</f>
        <v/>
      </c>
    </row>
    <row r="261" customFormat="false" ht="15.75" hidden="false" customHeight="true" outlineLevel="0" collapsed="false">
      <c r="A261" s="32" t="str">
        <f aca="false">IF(项目档案!$A261="","",项目档案!$A261)</f>
        <v/>
      </c>
      <c r="B261" s="40" t="str">
        <f aca="false">IF($A261="","",项目档案!$B261)</f>
        <v/>
      </c>
      <c r="C261" s="41" t="str">
        <f aca="false">IF($A261="","",SUMIFS(业务流水!$H$5:$H$1504,业务流水!$E$5:$E$1504,$B$3,业务流水!$D$5:$D$1504,"销项开票",业务流水!$C$5:$C$1504,$A261,业务流水!$Z$5:$Z$1504,"是"))</f>
        <v/>
      </c>
      <c r="D261" s="41" t="str">
        <f aca="false">IF($A261="","",SUMIFS(业务流水!$O$5:$O$1504,业务流水!$E$5:$E$1504,$B$3,业务流水!$D$5:$D$1504,"销项开票",业务流水!$C$5:$C$1504,$A261,业务流水!$Z$5:$Z$1504,"是"))</f>
        <v/>
      </c>
      <c r="E261" s="41" t="str">
        <f aca="false">IF($A261="","",SUMIFS(业务流水!$P$5:$P$1504,业务流水!$E$5:$E$1504,$B$3,业务流水!$D$5:$D$1504,"销项开票",业务流水!$C$5:$C$1504,$A261,业务流水!$Z$5:$Z$1504,"是"))</f>
        <v/>
      </c>
      <c r="F261" s="41" t="str">
        <f aca="false">IF($A261="","",SUMIFS(业务流水!$H$5:$H$1504,业务流水!$F$5:$F$1504,$B$3,业务流水!$D$5:$D$1504,"成本票",业务流水!$C$5:$C$1504,$A261,业务流水!$Z$5:$Z$1504,"是")+SUMIFS(业务流水!$H$5:$H$1504,业务流水!$F$5:$F$1504,$B$3,业务流水!$D$5:$D$1504,"销项开票",业务流水!$C$5:$C$1504,$A261,业务流水!$Z$5:$Z$1504,"是"))</f>
        <v/>
      </c>
      <c r="G261" s="42" t="str">
        <f aca="false">IF($A261="","",$E261-$F261)</f>
        <v/>
      </c>
      <c r="H261" s="41" t="str">
        <f aca="false">IF($A261="","",SUMIFS(业务流水!$W$5:$W$1504,业务流水!$E$5:$E$1504,$B$3,业务流水!$D$5:$D$1504,"销项开票",业务流水!$C$5:$C$1504,$A261,业务流水!$Z$5:$Z$1504,"是"))</f>
        <v/>
      </c>
      <c r="I261" s="41" t="str">
        <f aca="false">IF($A261="","",SUMIFS(业务流水!$H$5:$H$1504,业务流水!$E$5:$E$1504,$B$3,业务流水!$D$5:$D$1504,"已交税",业务流水!$C$5:$C$1504,$A261,业务流水!$Z$5:$Z$1504,"是"))</f>
        <v/>
      </c>
      <c r="J261" s="42" t="str">
        <f aca="false">IF($A261="","",$H261-$I261)</f>
        <v/>
      </c>
      <c r="K261" s="41" t="str">
        <f aca="false">IF($A261="","",SUMIFS(业务流水!$H$5:$H$1504,业务流水!$F$5:$F$1504,$B$3,业务流水!$D$5:$D$1504,"挂靠代收",业务流水!$C$5:$C$1504,$A261,业务流水!$Z$5:$Z$1504,"是"))</f>
        <v/>
      </c>
      <c r="L261" s="42" t="str">
        <f aca="false">IF($A261="","",$C261-$K261)</f>
        <v/>
      </c>
      <c r="M261" s="41" t="str">
        <f aca="false">IF($A261="","",SUMIFS(业务流水!$H$5:$H$1504,业务流水!$E$5:$E$1504,$B$3,业务流水!$D$5:$D$1504,"我方收款",业务流水!$C$5:$C$1504,$A261,业务流水!$Z$5:$Z$1504,"是"))</f>
        <v/>
      </c>
      <c r="N261" s="43" t="str">
        <f aca="false">IF($A261="","",$K261-$M261)</f>
        <v/>
      </c>
      <c r="O261" s="41" t="str">
        <f aca="false">IF($A261="","",SUMIFS(业务流水!$H$5:$H$1504,业务流水!$F$5:$F$1504,$B$3,业务流水!$D$5:$D$1504,"管理费结算",业务流水!$C$5:$C$1504,$A261,业务流水!$Z$5:$Z$1504,"是"))</f>
        <v/>
      </c>
      <c r="P261" s="41" t="str">
        <f aca="false">IF($A261="","",SUMIFS(业务流水!$H$5:$H$1504,业务流水!$E$5:$E$1504,$B$3,业务流水!$D$5:$D$1504,"扣质保金",业务流水!$C$5:$C$1504,$A261,业务流水!$Z$5:$Z$1504,"是"))</f>
        <v/>
      </c>
      <c r="Q261" s="48" t="str">
        <f aca="false">IF($A261="","",IF(SUM($C261:$F261)+SUM($K261:$M261)=0,"无","有"))</f>
        <v/>
      </c>
    </row>
    <row r="262" customFormat="false" ht="15.75" hidden="false" customHeight="true" outlineLevel="0" collapsed="false">
      <c r="A262" s="32" t="str">
        <f aca="false">IF(项目档案!$A262="","",项目档案!$A262)</f>
        <v/>
      </c>
      <c r="B262" s="40" t="str">
        <f aca="false">IF($A262="","",项目档案!$B262)</f>
        <v/>
      </c>
      <c r="C262" s="41" t="str">
        <f aca="false">IF($A262="","",SUMIFS(业务流水!$H$5:$H$1504,业务流水!$E$5:$E$1504,$B$3,业务流水!$D$5:$D$1504,"销项开票",业务流水!$C$5:$C$1504,$A262,业务流水!$Z$5:$Z$1504,"是"))</f>
        <v/>
      </c>
      <c r="D262" s="41" t="str">
        <f aca="false">IF($A262="","",SUMIFS(业务流水!$O$5:$O$1504,业务流水!$E$5:$E$1504,$B$3,业务流水!$D$5:$D$1504,"销项开票",业务流水!$C$5:$C$1504,$A262,业务流水!$Z$5:$Z$1504,"是"))</f>
        <v/>
      </c>
      <c r="E262" s="41" t="str">
        <f aca="false">IF($A262="","",SUMIFS(业务流水!$P$5:$P$1504,业务流水!$E$5:$E$1504,$B$3,业务流水!$D$5:$D$1504,"销项开票",业务流水!$C$5:$C$1504,$A262,业务流水!$Z$5:$Z$1504,"是"))</f>
        <v/>
      </c>
      <c r="F262" s="41" t="str">
        <f aca="false">IF($A262="","",SUMIFS(业务流水!$H$5:$H$1504,业务流水!$F$5:$F$1504,$B$3,业务流水!$D$5:$D$1504,"成本票",业务流水!$C$5:$C$1504,$A262,业务流水!$Z$5:$Z$1504,"是")+SUMIFS(业务流水!$H$5:$H$1504,业务流水!$F$5:$F$1504,$B$3,业务流水!$D$5:$D$1504,"销项开票",业务流水!$C$5:$C$1504,$A262,业务流水!$Z$5:$Z$1504,"是"))</f>
        <v/>
      </c>
      <c r="G262" s="42" t="str">
        <f aca="false">IF($A262="","",$E262-$F262)</f>
        <v/>
      </c>
      <c r="H262" s="41" t="str">
        <f aca="false">IF($A262="","",SUMIFS(业务流水!$W$5:$W$1504,业务流水!$E$5:$E$1504,$B$3,业务流水!$D$5:$D$1504,"销项开票",业务流水!$C$5:$C$1504,$A262,业务流水!$Z$5:$Z$1504,"是"))</f>
        <v/>
      </c>
      <c r="I262" s="41" t="str">
        <f aca="false">IF($A262="","",SUMIFS(业务流水!$H$5:$H$1504,业务流水!$E$5:$E$1504,$B$3,业务流水!$D$5:$D$1504,"已交税",业务流水!$C$5:$C$1504,$A262,业务流水!$Z$5:$Z$1504,"是"))</f>
        <v/>
      </c>
      <c r="J262" s="42" t="str">
        <f aca="false">IF($A262="","",$H262-$I262)</f>
        <v/>
      </c>
      <c r="K262" s="41" t="str">
        <f aca="false">IF($A262="","",SUMIFS(业务流水!$H$5:$H$1504,业务流水!$F$5:$F$1504,$B$3,业务流水!$D$5:$D$1504,"挂靠代收",业务流水!$C$5:$C$1504,$A262,业务流水!$Z$5:$Z$1504,"是"))</f>
        <v/>
      </c>
      <c r="L262" s="42" t="str">
        <f aca="false">IF($A262="","",$C262-$K262)</f>
        <v/>
      </c>
      <c r="M262" s="41" t="str">
        <f aca="false">IF($A262="","",SUMIFS(业务流水!$H$5:$H$1504,业务流水!$E$5:$E$1504,$B$3,业务流水!$D$5:$D$1504,"我方收款",业务流水!$C$5:$C$1504,$A262,业务流水!$Z$5:$Z$1504,"是"))</f>
        <v/>
      </c>
      <c r="N262" s="43" t="str">
        <f aca="false">IF($A262="","",$K262-$M262)</f>
        <v/>
      </c>
      <c r="O262" s="41" t="str">
        <f aca="false">IF($A262="","",SUMIFS(业务流水!$H$5:$H$1504,业务流水!$F$5:$F$1504,$B$3,业务流水!$D$5:$D$1504,"管理费结算",业务流水!$C$5:$C$1504,$A262,业务流水!$Z$5:$Z$1504,"是"))</f>
        <v/>
      </c>
      <c r="P262" s="41" t="str">
        <f aca="false">IF($A262="","",SUMIFS(业务流水!$H$5:$H$1504,业务流水!$E$5:$E$1504,$B$3,业务流水!$D$5:$D$1504,"扣质保金",业务流水!$C$5:$C$1504,$A262,业务流水!$Z$5:$Z$1504,"是"))</f>
        <v/>
      </c>
      <c r="Q262" s="48" t="str">
        <f aca="false">IF($A262="","",IF(SUM($C262:$F262)+SUM($K262:$M262)=0,"无","有"))</f>
        <v/>
      </c>
    </row>
    <row r="263" customFormat="false" ht="15.75" hidden="false" customHeight="true" outlineLevel="0" collapsed="false">
      <c r="A263" s="32" t="str">
        <f aca="false">IF(项目档案!$A263="","",项目档案!$A263)</f>
        <v/>
      </c>
      <c r="B263" s="40" t="str">
        <f aca="false">IF($A263="","",项目档案!$B263)</f>
        <v/>
      </c>
      <c r="C263" s="41" t="str">
        <f aca="false">IF($A263="","",SUMIFS(业务流水!$H$5:$H$1504,业务流水!$E$5:$E$1504,$B$3,业务流水!$D$5:$D$1504,"销项开票",业务流水!$C$5:$C$1504,$A263,业务流水!$Z$5:$Z$1504,"是"))</f>
        <v/>
      </c>
      <c r="D263" s="41" t="str">
        <f aca="false">IF($A263="","",SUMIFS(业务流水!$O$5:$O$1504,业务流水!$E$5:$E$1504,$B$3,业务流水!$D$5:$D$1504,"销项开票",业务流水!$C$5:$C$1504,$A263,业务流水!$Z$5:$Z$1504,"是"))</f>
        <v/>
      </c>
      <c r="E263" s="41" t="str">
        <f aca="false">IF($A263="","",SUMIFS(业务流水!$P$5:$P$1504,业务流水!$E$5:$E$1504,$B$3,业务流水!$D$5:$D$1504,"销项开票",业务流水!$C$5:$C$1504,$A263,业务流水!$Z$5:$Z$1504,"是"))</f>
        <v/>
      </c>
      <c r="F263" s="41" t="str">
        <f aca="false">IF($A263="","",SUMIFS(业务流水!$H$5:$H$1504,业务流水!$F$5:$F$1504,$B$3,业务流水!$D$5:$D$1504,"成本票",业务流水!$C$5:$C$1504,$A263,业务流水!$Z$5:$Z$1504,"是")+SUMIFS(业务流水!$H$5:$H$1504,业务流水!$F$5:$F$1504,$B$3,业务流水!$D$5:$D$1504,"销项开票",业务流水!$C$5:$C$1504,$A263,业务流水!$Z$5:$Z$1504,"是"))</f>
        <v/>
      </c>
      <c r="G263" s="42" t="str">
        <f aca="false">IF($A263="","",$E263-$F263)</f>
        <v/>
      </c>
      <c r="H263" s="41" t="str">
        <f aca="false">IF($A263="","",SUMIFS(业务流水!$W$5:$W$1504,业务流水!$E$5:$E$1504,$B$3,业务流水!$D$5:$D$1504,"销项开票",业务流水!$C$5:$C$1504,$A263,业务流水!$Z$5:$Z$1504,"是"))</f>
        <v/>
      </c>
      <c r="I263" s="41" t="str">
        <f aca="false">IF($A263="","",SUMIFS(业务流水!$H$5:$H$1504,业务流水!$E$5:$E$1504,$B$3,业务流水!$D$5:$D$1504,"已交税",业务流水!$C$5:$C$1504,$A263,业务流水!$Z$5:$Z$1504,"是"))</f>
        <v/>
      </c>
      <c r="J263" s="42" t="str">
        <f aca="false">IF($A263="","",$H263-$I263)</f>
        <v/>
      </c>
      <c r="K263" s="41" t="str">
        <f aca="false">IF($A263="","",SUMIFS(业务流水!$H$5:$H$1504,业务流水!$F$5:$F$1504,$B$3,业务流水!$D$5:$D$1504,"挂靠代收",业务流水!$C$5:$C$1504,$A263,业务流水!$Z$5:$Z$1504,"是"))</f>
        <v/>
      </c>
      <c r="L263" s="42" t="str">
        <f aca="false">IF($A263="","",$C263-$K263)</f>
        <v/>
      </c>
      <c r="M263" s="41" t="str">
        <f aca="false">IF($A263="","",SUMIFS(业务流水!$H$5:$H$1504,业务流水!$E$5:$E$1504,$B$3,业务流水!$D$5:$D$1504,"我方收款",业务流水!$C$5:$C$1504,$A263,业务流水!$Z$5:$Z$1504,"是"))</f>
        <v/>
      </c>
      <c r="N263" s="43" t="str">
        <f aca="false">IF($A263="","",$K263-$M263)</f>
        <v/>
      </c>
      <c r="O263" s="41" t="str">
        <f aca="false">IF($A263="","",SUMIFS(业务流水!$H$5:$H$1504,业务流水!$F$5:$F$1504,$B$3,业务流水!$D$5:$D$1504,"管理费结算",业务流水!$C$5:$C$1504,$A263,业务流水!$Z$5:$Z$1504,"是"))</f>
        <v/>
      </c>
      <c r="P263" s="41" t="str">
        <f aca="false">IF($A263="","",SUMIFS(业务流水!$H$5:$H$1504,业务流水!$E$5:$E$1504,$B$3,业务流水!$D$5:$D$1504,"扣质保金",业务流水!$C$5:$C$1504,$A263,业务流水!$Z$5:$Z$1504,"是"))</f>
        <v/>
      </c>
      <c r="Q263" s="48" t="str">
        <f aca="false">IF($A263="","",IF(SUM($C263:$F263)+SUM($K263:$M263)=0,"无","有"))</f>
        <v/>
      </c>
    </row>
    <row r="264" customFormat="false" ht="15.75" hidden="false" customHeight="true" outlineLevel="0" collapsed="false">
      <c r="A264" s="32" t="str">
        <f aca="false">IF(项目档案!$A264="","",项目档案!$A264)</f>
        <v/>
      </c>
      <c r="B264" s="40" t="str">
        <f aca="false">IF($A264="","",项目档案!$B264)</f>
        <v/>
      </c>
      <c r="C264" s="41" t="str">
        <f aca="false">IF($A264="","",SUMIFS(业务流水!$H$5:$H$1504,业务流水!$E$5:$E$1504,$B$3,业务流水!$D$5:$D$1504,"销项开票",业务流水!$C$5:$C$1504,$A264,业务流水!$Z$5:$Z$1504,"是"))</f>
        <v/>
      </c>
      <c r="D264" s="41" t="str">
        <f aca="false">IF($A264="","",SUMIFS(业务流水!$O$5:$O$1504,业务流水!$E$5:$E$1504,$B$3,业务流水!$D$5:$D$1504,"销项开票",业务流水!$C$5:$C$1504,$A264,业务流水!$Z$5:$Z$1504,"是"))</f>
        <v/>
      </c>
      <c r="E264" s="41" t="str">
        <f aca="false">IF($A264="","",SUMIFS(业务流水!$P$5:$P$1504,业务流水!$E$5:$E$1504,$B$3,业务流水!$D$5:$D$1504,"销项开票",业务流水!$C$5:$C$1504,$A264,业务流水!$Z$5:$Z$1504,"是"))</f>
        <v/>
      </c>
      <c r="F264" s="41" t="str">
        <f aca="false">IF($A264="","",SUMIFS(业务流水!$H$5:$H$1504,业务流水!$F$5:$F$1504,$B$3,业务流水!$D$5:$D$1504,"成本票",业务流水!$C$5:$C$1504,$A264,业务流水!$Z$5:$Z$1504,"是")+SUMIFS(业务流水!$H$5:$H$1504,业务流水!$F$5:$F$1504,$B$3,业务流水!$D$5:$D$1504,"销项开票",业务流水!$C$5:$C$1504,$A264,业务流水!$Z$5:$Z$1504,"是"))</f>
        <v/>
      </c>
      <c r="G264" s="42" t="str">
        <f aca="false">IF($A264="","",$E264-$F264)</f>
        <v/>
      </c>
      <c r="H264" s="41" t="str">
        <f aca="false">IF($A264="","",SUMIFS(业务流水!$W$5:$W$1504,业务流水!$E$5:$E$1504,$B$3,业务流水!$D$5:$D$1504,"销项开票",业务流水!$C$5:$C$1504,$A264,业务流水!$Z$5:$Z$1504,"是"))</f>
        <v/>
      </c>
      <c r="I264" s="41" t="str">
        <f aca="false">IF($A264="","",SUMIFS(业务流水!$H$5:$H$1504,业务流水!$E$5:$E$1504,$B$3,业务流水!$D$5:$D$1504,"已交税",业务流水!$C$5:$C$1504,$A264,业务流水!$Z$5:$Z$1504,"是"))</f>
        <v/>
      </c>
      <c r="J264" s="42" t="str">
        <f aca="false">IF($A264="","",$H264-$I264)</f>
        <v/>
      </c>
      <c r="K264" s="41" t="str">
        <f aca="false">IF($A264="","",SUMIFS(业务流水!$H$5:$H$1504,业务流水!$F$5:$F$1504,$B$3,业务流水!$D$5:$D$1504,"挂靠代收",业务流水!$C$5:$C$1504,$A264,业务流水!$Z$5:$Z$1504,"是"))</f>
        <v/>
      </c>
      <c r="L264" s="42" t="str">
        <f aca="false">IF($A264="","",$C264-$K264)</f>
        <v/>
      </c>
      <c r="M264" s="41" t="str">
        <f aca="false">IF($A264="","",SUMIFS(业务流水!$H$5:$H$1504,业务流水!$E$5:$E$1504,$B$3,业务流水!$D$5:$D$1504,"我方收款",业务流水!$C$5:$C$1504,$A264,业务流水!$Z$5:$Z$1504,"是"))</f>
        <v/>
      </c>
      <c r="N264" s="43" t="str">
        <f aca="false">IF($A264="","",$K264-$M264)</f>
        <v/>
      </c>
      <c r="O264" s="41" t="str">
        <f aca="false">IF($A264="","",SUMIFS(业务流水!$H$5:$H$1504,业务流水!$F$5:$F$1504,$B$3,业务流水!$D$5:$D$1504,"管理费结算",业务流水!$C$5:$C$1504,$A264,业务流水!$Z$5:$Z$1504,"是"))</f>
        <v/>
      </c>
      <c r="P264" s="41" t="str">
        <f aca="false">IF($A264="","",SUMIFS(业务流水!$H$5:$H$1504,业务流水!$E$5:$E$1504,$B$3,业务流水!$D$5:$D$1504,"扣质保金",业务流水!$C$5:$C$1504,$A264,业务流水!$Z$5:$Z$1504,"是"))</f>
        <v/>
      </c>
      <c r="Q264" s="48" t="str">
        <f aca="false">IF($A264="","",IF(SUM($C264:$F264)+SUM($K264:$M264)=0,"无","有"))</f>
        <v/>
      </c>
    </row>
    <row r="265" customFormat="false" ht="15.75" hidden="false" customHeight="true" outlineLevel="0" collapsed="false">
      <c r="A265" s="32" t="str">
        <f aca="false">IF(项目档案!$A265="","",项目档案!$A265)</f>
        <v/>
      </c>
      <c r="B265" s="40" t="str">
        <f aca="false">IF($A265="","",项目档案!$B265)</f>
        <v/>
      </c>
      <c r="C265" s="41" t="str">
        <f aca="false">IF($A265="","",SUMIFS(业务流水!$H$5:$H$1504,业务流水!$E$5:$E$1504,$B$3,业务流水!$D$5:$D$1504,"销项开票",业务流水!$C$5:$C$1504,$A265,业务流水!$Z$5:$Z$1504,"是"))</f>
        <v/>
      </c>
      <c r="D265" s="41" t="str">
        <f aca="false">IF($A265="","",SUMIFS(业务流水!$O$5:$O$1504,业务流水!$E$5:$E$1504,$B$3,业务流水!$D$5:$D$1504,"销项开票",业务流水!$C$5:$C$1504,$A265,业务流水!$Z$5:$Z$1504,"是"))</f>
        <v/>
      </c>
      <c r="E265" s="41" t="str">
        <f aca="false">IF($A265="","",SUMIFS(业务流水!$P$5:$P$1504,业务流水!$E$5:$E$1504,$B$3,业务流水!$D$5:$D$1504,"销项开票",业务流水!$C$5:$C$1504,$A265,业务流水!$Z$5:$Z$1504,"是"))</f>
        <v/>
      </c>
      <c r="F265" s="41" t="str">
        <f aca="false">IF($A265="","",SUMIFS(业务流水!$H$5:$H$1504,业务流水!$F$5:$F$1504,$B$3,业务流水!$D$5:$D$1504,"成本票",业务流水!$C$5:$C$1504,$A265,业务流水!$Z$5:$Z$1504,"是")+SUMIFS(业务流水!$H$5:$H$1504,业务流水!$F$5:$F$1504,$B$3,业务流水!$D$5:$D$1504,"销项开票",业务流水!$C$5:$C$1504,$A265,业务流水!$Z$5:$Z$1504,"是"))</f>
        <v/>
      </c>
      <c r="G265" s="42" t="str">
        <f aca="false">IF($A265="","",$E265-$F265)</f>
        <v/>
      </c>
      <c r="H265" s="41" t="str">
        <f aca="false">IF($A265="","",SUMIFS(业务流水!$W$5:$W$1504,业务流水!$E$5:$E$1504,$B$3,业务流水!$D$5:$D$1504,"销项开票",业务流水!$C$5:$C$1504,$A265,业务流水!$Z$5:$Z$1504,"是"))</f>
        <v/>
      </c>
      <c r="I265" s="41" t="str">
        <f aca="false">IF($A265="","",SUMIFS(业务流水!$H$5:$H$1504,业务流水!$E$5:$E$1504,$B$3,业务流水!$D$5:$D$1504,"已交税",业务流水!$C$5:$C$1504,$A265,业务流水!$Z$5:$Z$1504,"是"))</f>
        <v/>
      </c>
      <c r="J265" s="42" t="str">
        <f aca="false">IF($A265="","",$H265-$I265)</f>
        <v/>
      </c>
      <c r="K265" s="41" t="str">
        <f aca="false">IF($A265="","",SUMIFS(业务流水!$H$5:$H$1504,业务流水!$F$5:$F$1504,$B$3,业务流水!$D$5:$D$1504,"挂靠代收",业务流水!$C$5:$C$1504,$A265,业务流水!$Z$5:$Z$1504,"是"))</f>
        <v/>
      </c>
      <c r="L265" s="42" t="str">
        <f aca="false">IF($A265="","",$C265-$K265)</f>
        <v/>
      </c>
      <c r="M265" s="41" t="str">
        <f aca="false">IF($A265="","",SUMIFS(业务流水!$H$5:$H$1504,业务流水!$E$5:$E$1504,$B$3,业务流水!$D$5:$D$1504,"我方收款",业务流水!$C$5:$C$1504,$A265,业务流水!$Z$5:$Z$1504,"是"))</f>
        <v/>
      </c>
      <c r="N265" s="43" t="str">
        <f aca="false">IF($A265="","",$K265-$M265)</f>
        <v/>
      </c>
      <c r="O265" s="41" t="str">
        <f aca="false">IF($A265="","",SUMIFS(业务流水!$H$5:$H$1504,业务流水!$F$5:$F$1504,$B$3,业务流水!$D$5:$D$1504,"管理费结算",业务流水!$C$5:$C$1504,$A265,业务流水!$Z$5:$Z$1504,"是"))</f>
        <v/>
      </c>
      <c r="P265" s="41" t="str">
        <f aca="false">IF($A265="","",SUMIFS(业务流水!$H$5:$H$1504,业务流水!$E$5:$E$1504,$B$3,业务流水!$D$5:$D$1504,"扣质保金",业务流水!$C$5:$C$1504,$A265,业务流水!$Z$5:$Z$1504,"是"))</f>
        <v/>
      </c>
      <c r="Q265" s="48" t="str">
        <f aca="false">IF($A265="","",IF(SUM($C265:$F265)+SUM($K265:$M265)=0,"无","有"))</f>
        <v/>
      </c>
    </row>
    <row r="266" customFormat="false" ht="15.75" hidden="false" customHeight="true" outlineLevel="0" collapsed="false">
      <c r="A266" s="32" t="str">
        <f aca="false">IF(项目档案!$A266="","",项目档案!$A266)</f>
        <v/>
      </c>
      <c r="B266" s="40" t="str">
        <f aca="false">IF($A266="","",项目档案!$B266)</f>
        <v/>
      </c>
      <c r="C266" s="41" t="str">
        <f aca="false">IF($A266="","",SUMIFS(业务流水!$H$5:$H$1504,业务流水!$E$5:$E$1504,$B$3,业务流水!$D$5:$D$1504,"销项开票",业务流水!$C$5:$C$1504,$A266,业务流水!$Z$5:$Z$1504,"是"))</f>
        <v/>
      </c>
      <c r="D266" s="41" t="str">
        <f aca="false">IF($A266="","",SUMIFS(业务流水!$O$5:$O$1504,业务流水!$E$5:$E$1504,$B$3,业务流水!$D$5:$D$1504,"销项开票",业务流水!$C$5:$C$1504,$A266,业务流水!$Z$5:$Z$1504,"是"))</f>
        <v/>
      </c>
      <c r="E266" s="41" t="str">
        <f aca="false">IF($A266="","",SUMIFS(业务流水!$P$5:$P$1504,业务流水!$E$5:$E$1504,$B$3,业务流水!$D$5:$D$1504,"销项开票",业务流水!$C$5:$C$1504,$A266,业务流水!$Z$5:$Z$1504,"是"))</f>
        <v/>
      </c>
      <c r="F266" s="41" t="str">
        <f aca="false">IF($A266="","",SUMIFS(业务流水!$H$5:$H$1504,业务流水!$F$5:$F$1504,$B$3,业务流水!$D$5:$D$1504,"成本票",业务流水!$C$5:$C$1504,$A266,业务流水!$Z$5:$Z$1504,"是")+SUMIFS(业务流水!$H$5:$H$1504,业务流水!$F$5:$F$1504,$B$3,业务流水!$D$5:$D$1504,"销项开票",业务流水!$C$5:$C$1504,$A266,业务流水!$Z$5:$Z$1504,"是"))</f>
        <v/>
      </c>
      <c r="G266" s="42" t="str">
        <f aca="false">IF($A266="","",$E266-$F266)</f>
        <v/>
      </c>
      <c r="H266" s="41" t="str">
        <f aca="false">IF($A266="","",SUMIFS(业务流水!$W$5:$W$1504,业务流水!$E$5:$E$1504,$B$3,业务流水!$D$5:$D$1504,"销项开票",业务流水!$C$5:$C$1504,$A266,业务流水!$Z$5:$Z$1504,"是"))</f>
        <v/>
      </c>
      <c r="I266" s="41" t="str">
        <f aca="false">IF($A266="","",SUMIFS(业务流水!$H$5:$H$1504,业务流水!$E$5:$E$1504,$B$3,业务流水!$D$5:$D$1504,"已交税",业务流水!$C$5:$C$1504,$A266,业务流水!$Z$5:$Z$1504,"是"))</f>
        <v/>
      </c>
      <c r="J266" s="42" t="str">
        <f aca="false">IF($A266="","",$H266-$I266)</f>
        <v/>
      </c>
      <c r="K266" s="41" t="str">
        <f aca="false">IF($A266="","",SUMIFS(业务流水!$H$5:$H$1504,业务流水!$F$5:$F$1504,$B$3,业务流水!$D$5:$D$1504,"挂靠代收",业务流水!$C$5:$C$1504,$A266,业务流水!$Z$5:$Z$1504,"是"))</f>
        <v/>
      </c>
      <c r="L266" s="42" t="str">
        <f aca="false">IF($A266="","",$C266-$K266)</f>
        <v/>
      </c>
      <c r="M266" s="41" t="str">
        <f aca="false">IF($A266="","",SUMIFS(业务流水!$H$5:$H$1504,业务流水!$E$5:$E$1504,$B$3,业务流水!$D$5:$D$1504,"我方收款",业务流水!$C$5:$C$1504,$A266,业务流水!$Z$5:$Z$1504,"是"))</f>
        <v/>
      </c>
      <c r="N266" s="43" t="str">
        <f aca="false">IF($A266="","",$K266-$M266)</f>
        <v/>
      </c>
      <c r="O266" s="41" t="str">
        <f aca="false">IF($A266="","",SUMIFS(业务流水!$H$5:$H$1504,业务流水!$F$5:$F$1504,$B$3,业务流水!$D$5:$D$1504,"管理费结算",业务流水!$C$5:$C$1504,$A266,业务流水!$Z$5:$Z$1504,"是"))</f>
        <v/>
      </c>
      <c r="P266" s="41" t="str">
        <f aca="false">IF($A266="","",SUMIFS(业务流水!$H$5:$H$1504,业务流水!$E$5:$E$1504,$B$3,业务流水!$D$5:$D$1504,"扣质保金",业务流水!$C$5:$C$1504,$A266,业务流水!$Z$5:$Z$1504,"是"))</f>
        <v/>
      </c>
      <c r="Q266" s="48" t="str">
        <f aca="false">IF($A266="","",IF(SUM($C266:$F266)+SUM($K266:$M266)=0,"无","有"))</f>
        <v/>
      </c>
    </row>
    <row r="267" customFormat="false" ht="15.75" hidden="false" customHeight="true" outlineLevel="0" collapsed="false">
      <c r="A267" s="32" t="str">
        <f aca="false">IF(项目档案!$A267="","",项目档案!$A267)</f>
        <v/>
      </c>
      <c r="B267" s="40" t="str">
        <f aca="false">IF($A267="","",项目档案!$B267)</f>
        <v/>
      </c>
      <c r="C267" s="41" t="str">
        <f aca="false">IF($A267="","",SUMIFS(业务流水!$H$5:$H$1504,业务流水!$E$5:$E$1504,$B$3,业务流水!$D$5:$D$1504,"销项开票",业务流水!$C$5:$C$1504,$A267,业务流水!$Z$5:$Z$1504,"是"))</f>
        <v/>
      </c>
      <c r="D267" s="41" t="str">
        <f aca="false">IF($A267="","",SUMIFS(业务流水!$O$5:$O$1504,业务流水!$E$5:$E$1504,$B$3,业务流水!$D$5:$D$1504,"销项开票",业务流水!$C$5:$C$1504,$A267,业务流水!$Z$5:$Z$1504,"是"))</f>
        <v/>
      </c>
      <c r="E267" s="41" t="str">
        <f aca="false">IF($A267="","",SUMIFS(业务流水!$P$5:$P$1504,业务流水!$E$5:$E$1504,$B$3,业务流水!$D$5:$D$1504,"销项开票",业务流水!$C$5:$C$1504,$A267,业务流水!$Z$5:$Z$1504,"是"))</f>
        <v/>
      </c>
      <c r="F267" s="41" t="str">
        <f aca="false">IF($A267="","",SUMIFS(业务流水!$H$5:$H$1504,业务流水!$F$5:$F$1504,$B$3,业务流水!$D$5:$D$1504,"成本票",业务流水!$C$5:$C$1504,$A267,业务流水!$Z$5:$Z$1504,"是")+SUMIFS(业务流水!$H$5:$H$1504,业务流水!$F$5:$F$1504,$B$3,业务流水!$D$5:$D$1504,"销项开票",业务流水!$C$5:$C$1504,$A267,业务流水!$Z$5:$Z$1504,"是"))</f>
        <v/>
      </c>
      <c r="G267" s="42" t="str">
        <f aca="false">IF($A267="","",$E267-$F267)</f>
        <v/>
      </c>
      <c r="H267" s="41" t="str">
        <f aca="false">IF($A267="","",SUMIFS(业务流水!$W$5:$W$1504,业务流水!$E$5:$E$1504,$B$3,业务流水!$D$5:$D$1504,"销项开票",业务流水!$C$5:$C$1504,$A267,业务流水!$Z$5:$Z$1504,"是"))</f>
        <v/>
      </c>
      <c r="I267" s="41" t="str">
        <f aca="false">IF($A267="","",SUMIFS(业务流水!$H$5:$H$1504,业务流水!$E$5:$E$1504,$B$3,业务流水!$D$5:$D$1504,"已交税",业务流水!$C$5:$C$1504,$A267,业务流水!$Z$5:$Z$1504,"是"))</f>
        <v/>
      </c>
      <c r="J267" s="42" t="str">
        <f aca="false">IF($A267="","",$H267-$I267)</f>
        <v/>
      </c>
      <c r="K267" s="41" t="str">
        <f aca="false">IF($A267="","",SUMIFS(业务流水!$H$5:$H$1504,业务流水!$F$5:$F$1504,$B$3,业务流水!$D$5:$D$1504,"挂靠代收",业务流水!$C$5:$C$1504,$A267,业务流水!$Z$5:$Z$1504,"是"))</f>
        <v/>
      </c>
      <c r="L267" s="42" t="str">
        <f aca="false">IF($A267="","",$C267-$K267)</f>
        <v/>
      </c>
      <c r="M267" s="41" t="str">
        <f aca="false">IF($A267="","",SUMIFS(业务流水!$H$5:$H$1504,业务流水!$E$5:$E$1504,$B$3,业务流水!$D$5:$D$1504,"我方收款",业务流水!$C$5:$C$1504,$A267,业务流水!$Z$5:$Z$1504,"是"))</f>
        <v/>
      </c>
      <c r="N267" s="43" t="str">
        <f aca="false">IF($A267="","",$K267-$M267)</f>
        <v/>
      </c>
      <c r="O267" s="41" t="str">
        <f aca="false">IF($A267="","",SUMIFS(业务流水!$H$5:$H$1504,业务流水!$F$5:$F$1504,$B$3,业务流水!$D$5:$D$1504,"管理费结算",业务流水!$C$5:$C$1504,$A267,业务流水!$Z$5:$Z$1504,"是"))</f>
        <v/>
      </c>
      <c r="P267" s="41" t="str">
        <f aca="false">IF($A267="","",SUMIFS(业务流水!$H$5:$H$1504,业务流水!$E$5:$E$1504,$B$3,业务流水!$D$5:$D$1504,"扣质保金",业务流水!$C$5:$C$1504,$A267,业务流水!$Z$5:$Z$1504,"是"))</f>
        <v/>
      </c>
      <c r="Q267" s="48" t="str">
        <f aca="false">IF($A267="","",IF(SUM($C267:$F267)+SUM($K267:$M267)=0,"无","有"))</f>
        <v/>
      </c>
    </row>
    <row r="268" customFormat="false" ht="15.75" hidden="false" customHeight="true" outlineLevel="0" collapsed="false">
      <c r="A268" s="32" t="str">
        <f aca="false">IF(项目档案!$A268="","",项目档案!$A268)</f>
        <v/>
      </c>
      <c r="B268" s="40" t="str">
        <f aca="false">IF($A268="","",项目档案!$B268)</f>
        <v/>
      </c>
      <c r="C268" s="41" t="str">
        <f aca="false">IF($A268="","",SUMIFS(业务流水!$H$5:$H$1504,业务流水!$E$5:$E$1504,$B$3,业务流水!$D$5:$D$1504,"销项开票",业务流水!$C$5:$C$1504,$A268,业务流水!$Z$5:$Z$1504,"是"))</f>
        <v/>
      </c>
      <c r="D268" s="41" t="str">
        <f aca="false">IF($A268="","",SUMIFS(业务流水!$O$5:$O$1504,业务流水!$E$5:$E$1504,$B$3,业务流水!$D$5:$D$1504,"销项开票",业务流水!$C$5:$C$1504,$A268,业务流水!$Z$5:$Z$1504,"是"))</f>
        <v/>
      </c>
      <c r="E268" s="41" t="str">
        <f aca="false">IF($A268="","",SUMIFS(业务流水!$P$5:$P$1504,业务流水!$E$5:$E$1504,$B$3,业务流水!$D$5:$D$1504,"销项开票",业务流水!$C$5:$C$1504,$A268,业务流水!$Z$5:$Z$1504,"是"))</f>
        <v/>
      </c>
      <c r="F268" s="41" t="str">
        <f aca="false">IF($A268="","",SUMIFS(业务流水!$H$5:$H$1504,业务流水!$F$5:$F$1504,$B$3,业务流水!$D$5:$D$1504,"成本票",业务流水!$C$5:$C$1504,$A268,业务流水!$Z$5:$Z$1504,"是")+SUMIFS(业务流水!$H$5:$H$1504,业务流水!$F$5:$F$1504,$B$3,业务流水!$D$5:$D$1504,"销项开票",业务流水!$C$5:$C$1504,$A268,业务流水!$Z$5:$Z$1504,"是"))</f>
        <v/>
      </c>
      <c r="G268" s="42" t="str">
        <f aca="false">IF($A268="","",$E268-$F268)</f>
        <v/>
      </c>
      <c r="H268" s="41" t="str">
        <f aca="false">IF($A268="","",SUMIFS(业务流水!$W$5:$W$1504,业务流水!$E$5:$E$1504,$B$3,业务流水!$D$5:$D$1504,"销项开票",业务流水!$C$5:$C$1504,$A268,业务流水!$Z$5:$Z$1504,"是"))</f>
        <v/>
      </c>
      <c r="I268" s="41" t="str">
        <f aca="false">IF($A268="","",SUMIFS(业务流水!$H$5:$H$1504,业务流水!$E$5:$E$1504,$B$3,业务流水!$D$5:$D$1504,"已交税",业务流水!$C$5:$C$1504,$A268,业务流水!$Z$5:$Z$1504,"是"))</f>
        <v/>
      </c>
      <c r="J268" s="42" t="str">
        <f aca="false">IF($A268="","",$H268-$I268)</f>
        <v/>
      </c>
      <c r="K268" s="41" t="str">
        <f aca="false">IF($A268="","",SUMIFS(业务流水!$H$5:$H$1504,业务流水!$F$5:$F$1504,$B$3,业务流水!$D$5:$D$1504,"挂靠代收",业务流水!$C$5:$C$1504,$A268,业务流水!$Z$5:$Z$1504,"是"))</f>
        <v/>
      </c>
      <c r="L268" s="42" t="str">
        <f aca="false">IF($A268="","",$C268-$K268)</f>
        <v/>
      </c>
      <c r="M268" s="41" t="str">
        <f aca="false">IF($A268="","",SUMIFS(业务流水!$H$5:$H$1504,业务流水!$E$5:$E$1504,$B$3,业务流水!$D$5:$D$1504,"我方收款",业务流水!$C$5:$C$1504,$A268,业务流水!$Z$5:$Z$1504,"是"))</f>
        <v/>
      </c>
      <c r="N268" s="43" t="str">
        <f aca="false">IF($A268="","",$K268-$M268)</f>
        <v/>
      </c>
      <c r="O268" s="41" t="str">
        <f aca="false">IF($A268="","",SUMIFS(业务流水!$H$5:$H$1504,业务流水!$F$5:$F$1504,$B$3,业务流水!$D$5:$D$1504,"管理费结算",业务流水!$C$5:$C$1504,$A268,业务流水!$Z$5:$Z$1504,"是"))</f>
        <v/>
      </c>
      <c r="P268" s="41" t="str">
        <f aca="false">IF($A268="","",SUMIFS(业务流水!$H$5:$H$1504,业务流水!$E$5:$E$1504,$B$3,业务流水!$D$5:$D$1504,"扣质保金",业务流水!$C$5:$C$1504,$A268,业务流水!$Z$5:$Z$1504,"是"))</f>
        <v/>
      </c>
      <c r="Q268" s="48" t="str">
        <f aca="false">IF($A268="","",IF(SUM($C268:$F268)+SUM($K268:$M268)=0,"无","有"))</f>
        <v/>
      </c>
    </row>
    <row r="269" customFormat="false" ht="15.75" hidden="false" customHeight="true" outlineLevel="0" collapsed="false">
      <c r="A269" s="32" t="str">
        <f aca="false">IF(项目档案!$A269="","",项目档案!$A269)</f>
        <v/>
      </c>
      <c r="B269" s="40" t="str">
        <f aca="false">IF($A269="","",项目档案!$B269)</f>
        <v/>
      </c>
      <c r="C269" s="41" t="str">
        <f aca="false">IF($A269="","",SUMIFS(业务流水!$H$5:$H$1504,业务流水!$E$5:$E$1504,$B$3,业务流水!$D$5:$D$1504,"销项开票",业务流水!$C$5:$C$1504,$A269,业务流水!$Z$5:$Z$1504,"是"))</f>
        <v/>
      </c>
      <c r="D269" s="41" t="str">
        <f aca="false">IF($A269="","",SUMIFS(业务流水!$O$5:$O$1504,业务流水!$E$5:$E$1504,$B$3,业务流水!$D$5:$D$1504,"销项开票",业务流水!$C$5:$C$1504,$A269,业务流水!$Z$5:$Z$1504,"是"))</f>
        <v/>
      </c>
      <c r="E269" s="41" t="str">
        <f aca="false">IF($A269="","",SUMIFS(业务流水!$P$5:$P$1504,业务流水!$E$5:$E$1504,$B$3,业务流水!$D$5:$D$1504,"销项开票",业务流水!$C$5:$C$1504,$A269,业务流水!$Z$5:$Z$1504,"是"))</f>
        <v/>
      </c>
      <c r="F269" s="41" t="str">
        <f aca="false">IF($A269="","",SUMIFS(业务流水!$H$5:$H$1504,业务流水!$F$5:$F$1504,$B$3,业务流水!$D$5:$D$1504,"成本票",业务流水!$C$5:$C$1504,$A269,业务流水!$Z$5:$Z$1504,"是")+SUMIFS(业务流水!$H$5:$H$1504,业务流水!$F$5:$F$1504,$B$3,业务流水!$D$5:$D$1504,"销项开票",业务流水!$C$5:$C$1504,$A269,业务流水!$Z$5:$Z$1504,"是"))</f>
        <v/>
      </c>
      <c r="G269" s="42" t="str">
        <f aca="false">IF($A269="","",$E269-$F269)</f>
        <v/>
      </c>
      <c r="H269" s="41" t="str">
        <f aca="false">IF($A269="","",SUMIFS(业务流水!$W$5:$W$1504,业务流水!$E$5:$E$1504,$B$3,业务流水!$D$5:$D$1504,"销项开票",业务流水!$C$5:$C$1504,$A269,业务流水!$Z$5:$Z$1504,"是"))</f>
        <v/>
      </c>
      <c r="I269" s="41" t="str">
        <f aca="false">IF($A269="","",SUMIFS(业务流水!$H$5:$H$1504,业务流水!$E$5:$E$1504,$B$3,业务流水!$D$5:$D$1504,"已交税",业务流水!$C$5:$C$1504,$A269,业务流水!$Z$5:$Z$1504,"是"))</f>
        <v/>
      </c>
      <c r="J269" s="42" t="str">
        <f aca="false">IF($A269="","",$H269-$I269)</f>
        <v/>
      </c>
      <c r="K269" s="41" t="str">
        <f aca="false">IF($A269="","",SUMIFS(业务流水!$H$5:$H$1504,业务流水!$F$5:$F$1504,$B$3,业务流水!$D$5:$D$1504,"挂靠代收",业务流水!$C$5:$C$1504,$A269,业务流水!$Z$5:$Z$1504,"是"))</f>
        <v/>
      </c>
      <c r="L269" s="42" t="str">
        <f aca="false">IF($A269="","",$C269-$K269)</f>
        <v/>
      </c>
      <c r="M269" s="41" t="str">
        <f aca="false">IF($A269="","",SUMIFS(业务流水!$H$5:$H$1504,业务流水!$E$5:$E$1504,$B$3,业务流水!$D$5:$D$1504,"我方收款",业务流水!$C$5:$C$1504,$A269,业务流水!$Z$5:$Z$1504,"是"))</f>
        <v/>
      </c>
      <c r="N269" s="43" t="str">
        <f aca="false">IF($A269="","",$K269-$M269)</f>
        <v/>
      </c>
      <c r="O269" s="41" t="str">
        <f aca="false">IF($A269="","",SUMIFS(业务流水!$H$5:$H$1504,业务流水!$F$5:$F$1504,$B$3,业务流水!$D$5:$D$1504,"管理费结算",业务流水!$C$5:$C$1504,$A269,业务流水!$Z$5:$Z$1504,"是"))</f>
        <v/>
      </c>
      <c r="P269" s="41" t="str">
        <f aca="false">IF($A269="","",SUMIFS(业务流水!$H$5:$H$1504,业务流水!$E$5:$E$1504,$B$3,业务流水!$D$5:$D$1504,"扣质保金",业务流水!$C$5:$C$1504,$A269,业务流水!$Z$5:$Z$1504,"是"))</f>
        <v/>
      </c>
      <c r="Q269" s="48" t="str">
        <f aca="false">IF($A269="","",IF(SUM($C269:$F269)+SUM($K269:$M269)=0,"无","有"))</f>
        <v/>
      </c>
    </row>
    <row r="270" customFormat="false" ht="15.75" hidden="false" customHeight="true" outlineLevel="0" collapsed="false">
      <c r="A270" s="32" t="str">
        <f aca="false">IF(项目档案!$A270="","",项目档案!$A270)</f>
        <v/>
      </c>
      <c r="B270" s="40" t="str">
        <f aca="false">IF($A270="","",项目档案!$B270)</f>
        <v/>
      </c>
      <c r="C270" s="41" t="str">
        <f aca="false">IF($A270="","",SUMIFS(业务流水!$H$5:$H$1504,业务流水!$E$5:$E$1504,$B$3,业务流水!$D$5:$D$1504,"销项开票",业务流水!$C$5:$C$1504,$A270,业务流水!$Z$5:$Z$1504,"是"))</f>
        <v/>
      </c>
      <c r="D270" s="41" t="str">
        <f aca="false">IF($A270="","",SUMIFS(业务流水!$O$5:$O$1504,业务流水!$E$5:$E$1504,$B$3,业务流水!$D$5:$D$1504,"销项开票",业务流水!$C$5:$C$1504,$A270,业务流水!$Z$5:$Z$1504,"是"))</f>
        <v/>
      </c>
      <c r="E270" s="41" t="str">
        <f aca="false">IF($A270="","",SUMIFS(业务流水!$P$5:$P$1504,业务流水!$E$5:$E$1504,$B$3,业务流水!$D$5:$D$1504,"销项开票",业务流水!$C$5:$C$1504,$A270,业务流水!$Z$5:$Z$1504,"是"))</f>
        <v/>
      </c>
      <c r="F270" s="41" t="str">
        <f aca="false">IF($A270="","",SUMIFS(业务流水!$H$5:$H$1504,业务流水!$F$5:$F$1504,$B$3,业务流水!$D$5:$D$1504,"成本票",业务流水!$C$5:$C$1504,$A270,业务流水!$Z$5:$Z$1504,"是")+SUMIFS(业务流水!$H$5:$H$1504,业务流水!$F$5:$F$1504,$B$3,业务流水!$D$5:$D$1504,"销项开票",业务流水!$C$5:$C$1504,$A270,业务流水!$Z$5:$Z$1504,"是"))</f>
        <v/>
      </c>
      <c r="G270" s="42" t="str">
        <f aca="false">IF($A270="","",$E270-$F270)</f>
        <v/>
      </c>
      <c r="H270" s="41" t="str">
        <f aca="false">IF($A270="","",SUMIFS(业务流水!$W$5:$W$1504,业务流水!$E$5:$E$1504,$B$3,业务流水!$D$5:$D$1504,"销项开票",业务流水!$C$5:$C$1504,$A270,业务流水!$Z$5:$Z$1504,"是"))</f>
        <v/>
      </c>
      <c r="I270" s="41" t="str">
        <f aca="false">IF($A270="","",SUMIFS(业务流水!$H$5:$H$1504,业务流水!$E$5:$E$1504,$B$3,业务流水!$D$5:$D$1504,"已交税",业务流水!$C$5:$C$1504,$A270,业务流水!$Z$5:$Z$1504,"是"))</f>
        <v/>
      </c>
      <c r="J270" s="42" t="str">
        <f aca="false">IF($A270="","",$H270-$I270)</f>
        <v/>
      </c>
      <c r="K270" s="41" t="str">
        <f aca="false">IF($A270="","",SUMIFS(业务流水!$H$5:$H$1504,业务流水!$F$5:$F$1504,$B$3,业务流水!$D$5:$D$1504,"挂靠代收",业务流水!$C$5:$C$1504,$A270,业务流水!$Z$5:$Z$1504,"是"))</f>
        <v/>
      </c>
      <c r="L270" s="42" t="str">
        <f aca="false">IF($A270="","",$C270-$K270)</f>
        <v/>
      </c>
      <c r="M270" s="41" t="str">
        <f aca="false">IF($A270="","",SUMIFS(业务流水!$H$5:$H$1504,业务流水!$E$5:$E$1504,$B$3,业务流水!$D$5:$D$1504,"我方收款",业务流水!$C$5:$C$1504,$A270,业务流水!$Z$5:$Z$1504,"是"))</f>
        <v/>
      </c>
      <c r="N270" s="43" t="str">
        <f aca="false">IF($A270="","",$K270-$M270)</f>
        <v/>
      </c>
      <c r="O270" s="41" t="str">
        <f aca="false">IF($A270="","",SUMIFS(业务流水!$H$5:$H$1504,业务流水!$F$5:$F$1504,$B$3,业务流水!$D$5:$D$1504,"管理费结算",业务流水!$C$5:$C$1504,$A270,业务流水!$Z$5:$Z$1504,"是"))</f>
        <v/>
      </c>
      <c r="P270" s="41" t="str">
        <f aca="false">IF($A270="","",SUMIFS(业务流水!$H$5:$H$1504,业务流水!$E$5:$E$1504,$B$3,业务流水!$D$5:$D$1504,"扣质保金",业务流水!$C$5:$C$1504,$A270,业务流水!$Z$5:$Z$1504,"是"))</f>
        <v/>
      </c>
      <c r="Q270" s="48" t="str">
        <f aca="false">IF($A270="","",IF(SUM($C270:$F270)+SUM($K270:$M270)=0,"无","有"))</f>
        <v/>
      </c>
    </row>
    <row r="271" customFormat="false" ht="15.75" hidden="false" customHeight="true" outlineLevel="0" collapsed="false">
      <c r="A271" s="32" t="str">
        <f aca="false">IF(项目档案!$A271="","",项目档案!$A271)</f>
        <v/>
      </c>
      <c r="B271" s="40" t="str">
        <f aca="false">IF($A271="","",项目档案!$B271)</f>
        <v/>
      </c>
      <c r="C271" s="41" t="str">
        <f aca="false">IF($A271="","",SUMIFS(业务流水!$H$5:$H$1504,业务流水!$E$5:$E$1504,$B$3,业务流水!$D$5:$D$1504,"销项开票",业务流水!$C$5:$C$1504,$A271,业务流水!$Z$5:$Z$1504,"是"))</f>
        <v/>
      </c>
      <c r="D271" s="41" t="str">
        <f aca="false">IF($A271="","",SUMIFS(业务流水!$O$5:$O$1504,业务流水!$E$5:$E$1504,$B$3,业务流水!$D$5:$D$1504,"销项开票",业务流水!$C$5:$C$1504,$A271,业务流水!$Z$5:$Z$1504,"是"))</f>
        <v/>
      </c>
      <c r="E271" s="41" t="str">
        <f aca="false">IF($A271="","",SUMIFS(业务流水!$P$5:$P$1504,业务流水!$E$5:$E$1504,$B$3,业务流水!$D$5:$D$1504,"销项开票",业务流水!$C$5:$C$1504,$A271,业务流水!$Z$5:$Z$1504,"是"))</f>
        <v/>
      </c>
      <c r="F271" s="41" t="str">
        <f aca="false">IF($A271="","",SUMIFS(业务流水!$H$5:$H$1504,业务流水!$F$5:$F$1504,$B$3,业务流水!$D$5:$D$1504,"成本票",业务流水!$C$5:$C$1504,$A271,业务流水!$Z$5:$Z$1504,"是")+SUMIFS(业务流水!$H$5:$H$1504,业务流水!$F$5:$F$1504,$B$3,业务流水!$D$5:$D$1504,"销项开票",业务流水!$C$5:$C$1504,$A271,业务流水!$Z$5:$Z$1504,"是"))</f>
        <v/>
      </c>
      <c r="G271" s="42" t="str">
        <f aca="false">IF($A271="","",$E271-$F271)</f>
        <v/>
      </c>
      <c r="H271" s="41" t="str">
        <f aca="false">IF($A271="","",SUMIFS(业务流水!$W$5:$W$1504,业务流水!$E$5:$E$1504,$B$3,业务流水!$D$5:$D$1504,"销项开票",业务流水!$C$5:$C$1504,$A271,业务流水!$Z$5:$Z$1504,"是"))</f>
        <v/>
      </c>
      <c r="I271" s="41" t="str">
        <f aca="false">IF($A271="","",SUMIFS(业务流水!$H$5:$H$1504,业务流水!$E$5:$E$1504,$B$3,业务流水!$D$5:$D$1504,"已交税",业务流水!$C$5:$C$1504,$A271,业务流水!$Z$5:$Z$1504,"是"))</f>
        <v/>
      </c>
      <c r="J271" s="42" t="str">
        <f aca="false">IF($A271="","",$H271-$I271)</f>
        <v/>
      </c>
      <c r="K271" s="41" t="str">
        <f aca="false">IF($A271="","",SUMIFS(业务流水!$H$5:$H$1504,业务流水!$F$5:$F$1504,$B$3,业务流水!$D$5:$D$1504,"挂靠代收",业务流水!$C$5:$C$1504,$A271,业务流水!$Z$5:$Z$1504,"是"))</f>
        <v/>
      </c>
      <c r="L271" s="42" t="str">
        <f aca="false">IF($A271="","",$C271-$K271)</f>
        <v/>
      </c>
      <c r="M271" s="41" t="str">
        <f aca="false">IF($A271="","",SUMIFS(业务流水!$H$5:$H$1504,业务流水!$E$5:$E$1504,$B$3,业务流水!$D$5:$D$1504,"我方收款",业务流水!$C$5:$C$1504,$A271,业务流水!$Z$5:$Z$1504,"是"))</f>
        <v/>
      </c>
      <c r="N271" s="43" t="str">
        <f aca="false">IF($A271="","",$K271-$M271)</f>
        <v/>
      </c>
      <c r="O271" s="41" t="str">
        <f aca="false">IF($A271="","",SUMIFS(业务流水!$H$5:$H$1504,业务流水!$F$5:$F$1504,$B$3,业务流水!$D$5:$D$1504,"管理费结算",业务流水!$C$5:$C$1504,$A271,业务流水!$Z$5:$Z$1504,"是"))</f>
        <v/>
      </c>
      <c r="P271" s="41" t="str">
        <f aca="false">IF($A271="","",SUMIFS(业务流水!$H$5:$H$1504,业务流水!$E$5:$E$1504,$B$3,业务流水!$D$5:$D$1504,"扣质保金",业务流水!$C$5:$C$1504,$A271,业务流水!$Z$5:$Z$1504,"是"))</f>
        <v/>
      </c>
      <c r="Q271" s="48" t="str">
        <f aca="false">IF($A271="","",IF(SUM($C271:$F271)+SUM($K271:$M271)=0,"无","有"))</f>
        <v/>
      </c>
    </row>
    <row r="272" customFormat="false" ht="15.75" hidden="false" customHeight="true" outlineLevel="0" collapsed="false">
      <c r="A272" s="32" t="str">
        <f aca="false">IF(项目档案!$A272="","",项目档案!$A272)</f>
        <v/>
      </c>
      <c r="B272" s="40" t="str">
        <f aca="false">IF($A272="","",项目档案!$B272)</f>
        <v/>
      </c>
      <c r="C272" s="41" t="str">
        <f aca="false">IF($A272="","",SUMIFS(业务流水!$H$5:$H$1504,业务流水!$E$5:$E$1504,$B$3,业务流水!$D$5:$D$1504,"销项开票",业务流水!$C$5:$C$1504,$A272,业务流水!$Z$5:$Z$1504,"是"))</f>
        <v/>
      </c>
      <c r="D272" s="41" t="str">
        <f aca="false">IF($A272="","",SUMIFS(业务流水!$O$5:$O$1504,业务流水!$E$5:$E$1504,$B$3,业务流水!$D$5:$D$1504,"销项开票",业务流水!$C$5:$C$1504,$A272,业务流水!$Z$5:$Z$1504,"是"))</f>
        <v/>
      </c>
      <c r="E272" s="41" t="str">
        <f aca="false">IF($A272="","",SUMIFS(业务流水!$P$5:$P$1504,业务流水!$E$5:$E$1504,$B$3,业务流水!$D$5:$D$1504,"销项开票",业务流水!$C$5:$C$1504,$A272,业务流水!$Z$5:$Z$1504,"是"))</f>
        <v/>
      </c>
      <c r="F272" s="41" t="str">
        <f aca="false">IF($A272="","",SUMIFS(业务流水!$H$5:$H$1504,业务流水!$F$5:$F$1504,$B$3,业务流水!$D$5:$D$1504,"成本票",业务流水!$C$5:$C$1504,$A272,业务流水!$Z$5:$Z$1504,"是")+SUMIFS(业务流水!$H$5:$H$1504,业务流水!$F$5:$F$1504,$B$3,业务流水!$D$5:$D$1504,"销项开票",业务流水!$C$5:$C$1504,$A272,业务流水!$Z$5:$Z$1504,"是"))</f>
        <v/>
      </c>
      <c r="G272" s="42" t="str">
        <f aca="false">IF($A272="","",$E272-$F272)</f>
        <v/>
      </c>
      <c r="H272" s="41" t="str">
        <f aca="false">IF($A272="","",SUMIFS(业务流水!$W$5:$W$1504,业务流水!$E$5:$E$1504,$B$3,业务流水!$D$5:$D$1504,"销项开票",业务流水!$C$5:$C$1504,$A272,业务流水!$Z$5:$Z$1504,"是"))</f>
        <v/>
      </c>
      <c r="I272" s="41" t="str">
        <f aca="false">IF($A272="","",SUMIFS(业务流水!$H$5:$H$1504,业务流水!$E$5:$E$1504,$B$3,业务流水!$D$5:$D$1504,"已交税",业务流水!$C$5:$C$1504,$A272,业务流水!$Z$5:$Z$1504,"是"))</f>
        <v/>
      </c>
      <c r="J272" s="42" t="str">
        <f aca="false">IF($A272="","",$H272-$I272)</f>
        <v/>
      </c>
      <c r="K272" s="41" t="str">
        <f aca="false">IF($A272="","",SUMIFS(业务流水!$H$5:$H$1504,业务流水!$F$5:$F$1504,$B$3,业务流水!$D$5:$D$1504,"挂靠代收",业务流水!$C$5:$C$1504,$A272,业务流水!$Z$5:$Z$1504,"是"))</f>
        <v/>
      </c>
      <c r="L272" s="42" t="str">
        <f aca="false">IF($A272="","",$C272-$K272)</f>
        <v/>
      </c>
      <c r="M272" s="41" t="str">
        <f aca="false">IF($A272="","",SUMIFS(业务流水!$H$5:$H$1504,业务流水!$E$5:$E$1504,$B$3,业务流水!$D$5:$D$1504,"我方收款",业务流水!$C$5:$C$1504,$A272,业务流水!$Z$5:$Z$1504,"是"))</f>
        <v/>
      </c>
      <c r="N272" s="43" t="str">
        <f aca="false">IF($A272="","",$K272-$M272)</f>
        <v/>
      </c>
      <c r="O272" s="41" t="str">
        <f aca="false">IF($A272="","",SUMIFS(业务流水!$H$5:$H$1504,业务流水!$F$5:$F$1504,$B$3,业务流水!$D$5:$D$1504,"管理费结算",业务流水!$C$5:$C$1504,$A272,业务流水!$Z$5:$Z$1504,"是"))</f>
        <v/>
      </c>
      <c r="P272" s="41" t="str">
        <f aca="false">IF($A272="","",SUMIFS(业务流水!$H$5:$H$1504,业务流水!$E$5:$E$1504,$B$3,业务流水!$D$5:$D$1504,"扣质保金",业务流水!$C$5:$C$1504,$A272,业务流水!$Z$5:$Z$1504,"是"))</f>
        <v/>
      </c>
      <c r="Q272" s="48" t="str">
        <f aca="false">IF($A272="","",IF(SUM($C272:$F272)+SUM($K272:$M272)=0,"无","有"))</f>
        <v/>
      </c>
    </row>
    <row r="273" customFormat="false" ht="15.75" hidden="false" customHeight="true" outlineLevel="0" collapsed="false">
      <c r="A273" s="32" t="str">
        <f aca="false">IF(项目档案!$A273="","",项目档案!$A273)</f>
        <v/>
      </c>
      <c r="B273" s="40" t="str">
        <f aca="false">IF($A273="","",项目档案!$B273)</f>
        <v/>
      </c>
      <c r="C273" s="41" t="str">
        <f aca="false">IF($A273="","",SUMIFS(业务流水!$H$5:$H$1504,业务流水!$E$5:$E$1504,$B$3,业务流水!$D$5:$D$1504,"销项开票",业务流水!$C$5:$C$1504,$A273,业务流水!$Z$5:$Z$1504,"是"))</f>
        <v/>
      </c>
      <c r="D273" s="41" t="str">
        <f aca="false">IF($A273="","",SUMIFS(业务流水!$O$5:$O$1504,业务流水!$E$5:$E$1504,$B$3,业务流水!$D$5:$D$1504,"销项开票",业务流水!$C$5:$C$1504,$A273,业务流水!$Z$5:$Z$1504,"是"))</f>
        <v/>
      </c>
      <c r="E273" s="41" t="str">
        <f aca="false">IF($A273="","",SUMIFS(业务流水!$P$5:$P$1504,业务流水!$E$5:$E$1504,$B$3,业务流水!$D$5:$D$1504,"销项开票",业务流水!$C$5:$C$1504,$A273,业务流水!$Z$5:$Z$1504,"是"))</f>
        <v/>
      </c>
      <c r="F273" s="41" t="str">
        <f aca="false">IF($A273="","",SUMIFS(业务流水!$H$5:$H$1504,业务流水!$F$5:$F$1504,$B$3,业务流水!$D$5:$D$1504,"成本票",业务流水!$C$5:$C$1504,$A273,业务流水!$Z$5:$Z$1504,"是")+SUMIFS(业务流水!$H$5:$H$1504,业务流水!$F$5:$F$1504,$B$3,业务流水!$D$5:$D$1504,"销项开票",业务流水!$C$5:$C$1504,$A273,业务流水!$Z$5:$Z$1504,"是"))</f>
        <v/>
      </c>
      <c r="G273" s="42" t="str">
        <f aca="false">IF($A273="","",$E273-$F273)</f>
        <v/>
      </c>
      <c r="H273" s="41" t="str">
        <f aca="false">IF($A273="","",SUMIFS(业务流水!$W$5:$W$1504,业务流水!$E$5:$E$1504,$B$3,业务流水!$D$5:$D$1504,"销项开票",业务流水!$C$5:$C$1504,$A273,业务流水!$Z$5:$Z$1504,"是"))</f>
        <v/>
      </c>
      <c r="I273" s="41" t="str">
        <f aca="false">IF($A273="","",SUMIFS(业务流水!$H$5:$H$1504,业务流水!$E$5:$E$1504,$B$3,业务流水!$D$5:$D$1504,"已交税",业务流水!$C$5:$C$1504,$A273,业务流水!$Z$5:$Z$1504,"是"))</f>
        <v/>
      </c>
      <c r="J273" s="42" t="str">
        <f aca="false">IF($A273="","",$H273-$I273)</f>
        <v/>
      </c>
      <c r="K273" s="41" t="str">
        <f aca="false">IF($A273="","",SUMIFS(业务流水!$H$5:$H$1504,业务流水!$F$5:$F$1504,$B$3,业务流水!$D$5:$D$1504,"挂靠代收",业务流水!$C$5:$C$1504,$A273,业务流水!$Z$5:$Z$1504,"是"))</f>
        <v/>
      </c>
      <c r="L273" s="42" t="str">
        <f aca="false">IF($A273="","",$C273-$K273)</f>
        <v/>
      </c>
      <c r="M273" s="41" t="str">
        <f aca="false">IF($A273="","",SUMIFS(业务流水!$H$5:$H$1504,业务流水!$E$5:$E$1504,$B$3,业务流水!$D$5:$D$1504,"我方收款",业务流水!$C$5:$C$1504,$A273,业务流水!$Z$5:$Z$1504,"是"))</f>
        <v/>
      </c>
      <c r="N273" s="43" t="str">
        <f aca="false">IF($A273="","",$K273-$M273)</f>
        <v/>
      </c>
      <c r="O273" s="41" t="str">
        <f aca="false">IF($A273="","",SUMIFS(业务流水!$H$5:$H$1504,业务流水!$F$5:$F$1504,$B$3,业务流水!$D$5:$D$1504,"管理费结算",业务流水!$C$5:$C$1504,$A273,业务流水!$Z$5:$Z$1504,"是"))</f>
        <v/>
      </c>
      <c r="P273" s="41" t="str">
        <f aca="false">IF($A273="","",SUMIFS(业务流水!$H$5:$H$1504,业务流水!$E$5:$E$1504,$B$3,业务流水!$D$5:$D$1504,"扣质保金",业务流水!$C$5:$C$1504,$A273,业务流水!$Z$5:$Z$1504,"是"))</f>
        <v/>
      </c>
      <c r="Q273" s="48" t="str">
        <f aca="false">IF($A273="","",IF(SUM($C273:$F273)+SUM($K273:$M273)=0,"无","有"))</f>
        <v/>
      </c>
    </row>
    <row r="274" customFormat="false" ht="15.75" hidden="false" customHeight="true" outlineLevel="0" collapsed="false">
      <c r="A274" s="32" t="str">
        <f aca="false">IF(项目档案!$A274="","",项目档案!$A274)</f>
        <v/>
      </c>
      <c r="B274" s="40" t="str">
        <f aca="false">IF($A274="","",项目档案!$B274)</f>
        <v/>
      </c>
      <c r="C274" s="41" t="str">
        <f aca="false">IF($A274="","",SUMIFS(业务流水!$H$5:$H$1504,业务流水!$E$5:$E$1504,$B$3,业务流水!$D$5:$D$1504,"销项开票",业务流水!$C$5:$C$1504,$A274,业务流水!$Z$5:$Z$1504,"是"))</f>
        <v/>
      </c>
      <c r="D274" s="41" t="str">
        <f aca="false">IF($A274="","",SUMIFS(业务流水!$O$5:$O$1504,业务流水!$E$5:$E$1504,$B$3,业务流水!$D$5:$D$1504,"销项开票",业务流水!$C$5:$C$1504,$A274,业务流水!$Z$5:$Z$1504,"是"))</f>
        <v/>
      </c>
      <c r="E274" s="41" t="str">
        <f aca="false">IF($A274="","",SUMIFS(业务流水!$P$5:$P$1504,业务流水!$E$5:$E$1504,$B$3,业务流水!$D$5:$D$1504,"销项开票",业务流水!$C$5:$C$1504,$A274,业务流水!$Z$5:$Z$1504,"是"))</f>
        <v/>
      </c>
      <c r="F274" s="41" t="str">
        <f aca="false">IF($A274="","",SUMIFS(业务流水!$H$5:$H$1504,业务流水!$F$5:$F$1504,$B$3,业务流水!$D$5:$D$1504,"成本票",业务流水!$C$5:$C$1504,$A274,业务流水!$Z$5:$Z$1504,"是")+SUMIFS(业务流水!$H$5:$H$1504,业务流水!$F$5:$F$1504,$B$3,业务流水!$D$5:$D$1504,"销项开票",业务流水!$C$5:$C$1504,$A274,业务流水!$Z$5:$Z$1504,"是"))</f>
        <v/>
      </c>
      <c r="G274" s="42" t="str">
        <f aca="false">IF($A274="","",$E274-$F274)</f>
        <v/>
      </c>
      <c r="H274" s="41" t="str">
        <f aca="false">IF($A274="","",SUMIFS(业务流水!$W$5:$W$1504,业务流水!$E$5:$E$1504,$B$3,业务流水!$D$5:$D$1504,"销项开票",业务流水!$C$5:$C$1504,$A274,业务流水!$Z$5:$Z$1504,"是"))</f>
        <v/>
      </c>
      <c r="I274" s="41" t="str">
        <f aca="false">IF($A274="","",SUMIFS(业务流水!$H$5:$H$1504,业务流水!$E$5:$E$1504,$B$3,业务流水!$D$5:$D$1504,"已交税",业务流水!$C$5:$C$1504,$A274,业务流水!$Z$5:$Z$1504,"是"))</f>
        <v/>
      </c>
      <c r="J274" s="42" t="str">
        <f aca="false">IF($A274="","",$H274-$I274)</f>
        <v/>
      </c>
      <c r="K274" s="41" t="str">
        <f aca="false">IF($A274="","",SUMIFS(业务流水!$H$5:$H$1504,业务流水!$F$5:$F$1504,$B$3,业务流水!$D$5:$D$1504,"挂靠代收",业务流水!$C$5:$C$1504,$A274,业务流水!$Z$5:$Z$1504,"是"))</f>
        <v/>
      </c>
      <c r="L274" s="42" t="str">
        <f aca="false">IF($A274="","",$C274-$K274)</f>
        <v/>
      </c>
      <c r="M274" s="41" t="str">
        <f aca="false">IF($A274="","",SUMIFS(业务流水!$H$5:$H$1504,业务流水!$E$5:$E$1504,$B$3,业务流水!$D$5:$D$1504,"我方收款",业务流水!$C$5:$C$1504,$A274,业务流水!$Z$5:$Z$1504,"是"))</f>
        <v/>
      </c>
      <c r="N274" s="43" t="str">
        <f aca="false">IF($A274="","",$K274-$M274)</f>
        <v/>
      </c>
      <c r="O274" s="41" t="str">
        <f aca="false">IF($A274="","",SUMIFS(业务流水!$H$5:$H$1504,业务流水!$F$5:$F$1504,$B$3,业务流水!$D$5:$D$1504,"管理费结算",业务流水!$C$5:$C$1504,$A274,业务流水!$Z$5:$Z$1504,"是"))</f>
        <v/>
      </c>
      <c r="P274" s="41" t="str">
        <f aca="false">IF($A274="","",SUMIFS(业务流水!$H$5:$H$1504,业务流水!$E$5:$E$1504,$B$3,业务流水!$D$5:$D$1504,"扣质保金",业务流水!$C$5:$C$1504,$A274,业务流水!$Z$5:$Z$1504,"是"))</f>
        <v/>
      </c>
      <c r="Q274" s="48" t="str">
        <f aca="false">IF($A274="","",IF(SUM($C274:$F274)+SUM($K274:$M274)=0,"无","有"))</f>
        <v/>
      </c>
    </row>
    <row r="275" customFormat="false" ht="15.75" hidden="false" customHeight="true" outlineLevel="0" collapsed="false">
      <c r="A275" s="32" t="str">
        <f aca="false">IF(项目档案!$A275="","",项目档案!$A275)</f>
        <v/>
      </c>
      <c r="B275" s="40" t="str">
        <f aca="false">IF($A275="","",项目档案!$B275)</f>
        <v/>
      </c>
      <c r="C275" s="41" t="str">
        <f aca="false">IF($A275="","",SUMIFS(业务流水!$H$5:$H$1504,业务流水!$E$5:$E$1504,$B$3,业务流水!$D$5:$D$1504,"销项开票",业务流水!$C$5:$C$1504,$A275,业务流水!$Z$5:$Z$1504,"是"))</f>
        <v/>
      </c>
      <c r="D275" s="41" t="str">
        <f aca="false">IF($A275="","",SUMIFS(业务流水!$O$5:$O$1504,业务流水!$E$5:$E$1504,$B$3,业务流水!$D$5:$D$1504,"销项开票",业务流水!$C$5:$C$1504,$A275,业务流水!$Z$5:$Z$1504,"是"))</f>
        <v/>
      </c>
      <c r="E275" s="41" t="str">
        <f aca="false">IF($A275="","",SUMIFS(业务流水!$P$5:$P$1504,业务流水!$E$5:$E$1504,$B$3,业务流水!$D$5:$D$1504,"销项开票",业务流水!$C$5:$C$1504,$A275,业务流水!$Z$5:$Z$1504,"是"))</f>
        <v/>
      </c>
      <c r="F275" s="41" t="str">
        <f aca="false">IF($A275="","",SUMIFS(业务流水!$H$5:$H$1504,业务流水!$F$5:$F$1504,$B$3,业务流水!$D$5:$D$1504,"成本票",业务流水!$C$5:$C$1504,$A275,业务流水!$Z$5:$Z$1504,"是")+SUMIFS(业务流水!$H$5:$H$1504,业务流水!$F$5:$F$1504,$B$3,业务流水!$D$5:$D$1504,"销项开票",业务流水!$C$5:$C$1504,$A275,业务流水!$Z$5:$Z$1504,"是"))</f>
        <v/>
      </c>
      <c r="G275" s="42" t="str">
        <f aca="false">IF($A275="","",$E275-$F275)</f>
        <v/>
      </c>
      <c r="H275" s="41" t="str">
        <f aca="false">IF($A275="","",SUMIFS(业务流水!$W$5:$W$1504,业务流水!$E$5:$E$1504,$B$3,业务流水!$D$5:$D$1504,"销项开票",业务流水!$C$5:$C$1504,$A275,业务流水!$Z$5:$Z$1504,"是"))</f>
        <v/>
      </c>
      <c r="I275" s="41" t="str">
        <f aca="false">IF($A275="","",SUMIFS(业务流水!$H$5:$H$1504,业务流水!$E$5:$E$1504,$B$3,业务流水!$D$5:$D$1504,"已交税",业务流水!$C$5:$C$1504,$A275,业务流水!$Z$5:$Z$1504,"是"))</f>
        <v/>
      </c>
      <c r="J275" s="42" t="str">
        <f aca="false">IF($A275="","",$H275-$I275)</f>
        <v/>
      </c>
      <c r="K275" s="41" t="str">
        <f aca="false">IF($A275="","",SUMIFS(业务流水!$H$5:$H$1504,业务流水!$F$5:$F$1504,$B$3,业务流水!$D$5:$D$1504,"挂靠代收",业务流水!$C$5:$C$1504,$A275,业务流水!$Z$5:$Z$1504,"是"))</f>
        <v/>
      </c>
      <c r="L275" s="42" t="str">
        <f aca="false">IF($A275="","",$C275-$K275)</f>
        <v/>
      </c>
      <c r="M275" s="41" t="str">
        <f aca="false">IF($A275="","",SUMIFS(业务流水!$H$5:$H$1504,业务流水!$E$5:$E$1504,$B$3,业务流水!$D$5:$D$1504,"我方收款",业务流水!$C$5:$C$1504,$A275,业务流水!$Z$5:$Z$1504,"是"))</f>
        <v/>
      </c>
      <c r="N275" s="43" t="str">
        <f aca="false">IF($A275="","",$K275-$M275)</f>
        <v/>
      </c>
      <c r="O275" s="41" t="str">
        <f aca="false">IF($A275="","",SUMIFS(业务流水!$H$5:$H$1504,业务流水!$F$5:$F$1504,$B$3,业务流水!$D$5:$D$1504,"管理费结算",业务流水!$C$5:$C$1504,$A275,业务流水!$Z$5:$Z$1504,"是"))</f>
        <v/>
      </c>
      <c r="P275" s="41" t="str">
        <f aca="false">IF($A275="","",SUMIFS(业务流水!$H$5:$H$1504,业务流水!$E$5:$E$1504,$B$3,业务流水!$D$5:$D$1504,"扣质保金",业务流水!$C$5:$C$1504,$A275,业务流水!$Z$5:$Z$1504,"是"))</f>
        <v/>
      </c>
      <c r="Q275" s="48" t="str">
        <f aca="false">IF($A275="","",IF(SUM($C275:$F275)+SUM($K275:$M275)=0,"无","有"))</f>
        <v/>
      </c>
    </row>
    <row r="276" customFormat="false" ht="15.75" hidden="false" customHeight="true" outlineLevel="0" collapsed="false">
      <c r="A276" s="32" t="str">
        <f aca="false">IF(项目档案!$A276="","",项目档案!$A276)</f>
        <v/>
      </c>
      <c r="B276" s="40" t="str">
        <f aca="false">IF($A276="","",项目档案!$B276)</f>
        <v/>
      </c>
      <c r="C276" s="41" t="str">
        <f aca="false">IF($A276="","",SUMIFS(业务流水!$H$5:$H$1504,业务流水!$E$5:$E$1504,$B$3,业务流水!$D$5:$D$1504,"销项开票",业务流水!$C$5:$C$1504,$A276,业务流水!$Z$5:$Z$1504,"是"))</f>
        <v/>
      </c>
      <c r="D276" s="41" t="str">
        <f aca="false">IF($A276="","",SUMIFS(业务流水!$O$5:$O$1504,业务流水!$E$5:$E$1504,$B$3,业务流水!$D$5:$D$1504,"销项开票",业务流水!$C$5:$C$1504,$A276,业务流水!$Z$5:$Z$1504,"是"))</f>
        <v/>
      </c>
      <c r="E276" s="41" t="str">
        <f aca="false">IF($A276="","",SUMIFS(业务流水!$P$5:$P$1504,业务流水!$E$5:$E$1504,$B$3,业务流水!$D$5:$D$1504,"销项开票",业务流水!$C$5:$C$1504,$A276,业务流水!$Z$5:$Z$1504,"是"))</f>
        <v/>
      </c>
      <c r="F276" s="41" t="str">
        <f aca="false">IF($A276="","",SUMIFS(业务流水!$H$5:$H$1504,业务流水!$F$5:$F$1504,$B$3,业务流水!$D$5:$D$1504,"成本票",业务流水!$C$5:$C$1504,$A276,业务流水!$Z$5:$Z$1504,"是")+SUMIFS(业务流水!$H$5:$H$1504,业务流水!$F$5:$F$1504,$B$3,业务流水!$D$5:$D$1504,"销项开票",业务流水!$C$5:$C$1504,$A276,业务流水!$Z$5:$Z$1504,"是"))</f>
        <v/>
      </c>
      <c r="G276" s="42" t="str">
        <f aca="false">IF($A276="","",$E276-$F276)</f>
        <v/>
      </c>
      <c r="H276" s="41" t="str">
        <f aca="false">IF($A276="","",SUMIFS(业务流水!$W$5:$W$1504,业务流水!$E$5:$E$1504,$B$3,业务流水!$D$5:$D$1504,"销项开票",业务流水!$C$5:$C$1504,$A276,业务流水!$Z$5:$Z$1504,"是"))</f>
        <v/>
      </c>
      <c r="I276" s="41" t="str">
        <f aca="false">IF($A276="","",SUMIFS(业务流水!$H$5:$H$1504,业务流水!$E$5:$E$1504,$B$3,业务流水!$D$5:$D$1504,"已交税",业务流水!$C$5:$C$1504,$A276,业务流水!$Z$5:$Z$1504,"是"))</f>
        <v/>
      </c>
      <c r="J276" s="42" t="str">
        <f aca="false">IF($A276="","",$H276-$I276)</f>
        <v/>
      </c>
      <c r="K276" s="41" t="str">
        <f aca="false">IF($A276="","",SUMIFS(业务流水!$H$5:$H$1504,业务流水!$F$5:$F$1504,$B$3,业务流水!$D$5:$D$1504,"挂靠代收",业务流水!$C$5:$C$1504,$A276,业务流水!$Z$5:$Z$1504,"是"))</f>
        <v/>
      </c>
      <c r="L276" s="42" t="str">
        <f aca="false">IF($A276="","",$C276-$K276)</f>
        <v/>
      </c>
      <c r="M276" s="41" t="str">
        <f aca="false">IF($A276="","",SUMIFS(业务流水!$H$5:$H$1504,业务流水!$E$5:$E$1504,$B$3,业务流水!$D$5:$D$1504,"我方收款",业务流水!$C$5:$C$1504,$A276,业务流水!$Z$5:$Z$1504,"是"))</f>
        <v/>
      </c>
      <c r="N276" s="43" t="str">
        <f aca="false">IF($A276="","",$K276-$M276)</f>
        <v/>
      </c>
      <c r="O276" s="41" t="str">
        <f aca="false">IF($A276="","",SUMIFS(业务流水!$H$5:$H$1504,业务流水!$F$5:$F$1504,$B$3,业务流水!$D$5:$D$1504,"管理费结算",业务流水!$C$5:$C$1504,$A276,业务流水!$Z$5:$Z$1504,"是"))</f>
        <v/>
      </c>
      <c r="P276" s="41" t="str">
        <f aca="false">IF($A276="","",SUMIFS(业务流水!$H$5:$H$1504,业务流水!$E$5:$E$1504,$B$3,业务流水!$D$5:$D$1504,"扣质保金",业务流水!$C$5:$C$1504,$A276,业务流水!$Z$5:$Z$1504,"是"))</f>
        <v/>
      </c>
      <c r="Q276" s="48" t="str">
        <f aca="false">IF($A276="","",IF(SUM($C276:$F276)+SUM($K276:$M276)=0,"无","有"))</f>
        <v/>
      </c>
    </row>
    <row r="277" customFormat="false" ht="15.75" hidden="false" customHeight="true" outlineLevel="0" collapsed="false">
      <c r="A277" s="32" t="str">
        <f aca="false">IF(项目档案!$A277="","",项目档案!$A277)</f>
        <v/>
      </c>
      <c r="B277" s="40" t="str">
        <f aca="false">IF($A277="","",项目档案!$B277)</f>
        <v/>
      </c>
      <c r="C277" s="41" t="str">
        <f aca="false">IF($A277="","",SUMIFS(业务流水!$H$5:$H$1504,业务流水!$E$5:$E$1504,$B$3,业务流水!$D$5:$D$1504,"销项开票",业务流水!$C$5:$C$1504,$A277,业务流水!$Z$5:$Z$1504,"是"))</f>
        <v/>
      </c>
      <c r="D277" s="41" t="str">
        <f aca="false">IF($A277="","",SUMIFS(业务流水!$O$5:$O$1504,业务流水!$E$5:$E$1504,$B$3,业务流水!$D$5:$D$1504,"销项开票",业务流水!$C$5:$C$1504,$A277,业务流水!$Z$5:$Z$1504,"是"))</f>
        <v/>
      </c>
      <c r="E277" s="41" t="str">
        <f aca="false">IF($A277="","",SUMIFS(业务流水!$P$5:$P$1504,业务流水!$E$5:$E$1504,$B$3,业务流水!$D$5:$D$1504,"销项开票",业务流水!$C$5:$C$1504,$A277,业务流水!$Z$5:$Z$1504,"是"))</f>
        <v/>
      </c>
      <c r="F277" s="41" t="str">
        <f aca="false">IF($A277="","",SUMIFS(业务流水!$H$5:$H$1504,业务流水!$F$5:$F$1504,$B$3,业务流水!$D$5:$D$1504,"成本票",业务流水!$C$5:$C$1504,$A277,业务流水!$Z$5:$Z$1504,"是")+SUMIFS(业务流水!$H$5:$H$1504,业务流水!$F$5:$F$1504,$B$3,业务流水!$D$5:$D$1504,"销项开票",业务流水!$C$5:$C$1504,$A277,业务流水!$Z$5:$Z$1504,"是"))</f>
        <v/>
      </c>
      <c r="G277" s="42" t="str">
        <f aca="false">IF($A277="","",$E277-$F277)</f>
        <v/>
      </c>
      <c r="H277" s="41" t="str">
        <f aca="false">IF($A277="","",SUMIFS(业务流水!$W$5:$W$1504,业务流水!$E$5:$E$1504,$B$3,业务流水!$D$5:$D$1504,"销项开票",业务流水!$C$5:$C$1504,$A277,业务流水!$Z$5:$Z$1504,"是"))</f>
        <v/>
      </c>
      <c r="I277" s="41" t="str">
        <f aca="false">IF($A277="","",SUMIFS(业务流水!$H$5:$H$1504,业务流水!$E$5:$E$1504,$B$3,业务流水!$D$5:$D$1504,"已交税",业务流水!$C$5:$C$1504,$A277,业务流水!$Z$5:$Z$1504,"是"))</f>
        <v/>
      </c>
      <c r="J277" s="42" t="str">
        <f aca="false">IF($A277="","",$H277-$I277)</f>
        <v/>
      </c>
      <c r="K277" s="41" t="str">
        <f aca="false">IF($A277="","",SUMIFS(业务流水!$H$5:$H$1504,业务流水!$F$5:$F$1504,$B$3,业务流水!$D$5:$D$1504,"挂靠代收",业务流水!$C$5:$C$1504,$A277,业务流水!$Z$5:$Z$1504,"是"))</f>
        <v/>
      </c>
      <c r="L277" s="42" t="str">
        <f aca="false">IF($A277="","",$C277-$K277)</f>
        <v/>
      </c>
      <c r="M277" s="41" t="str">
        <f aca="false">IF($A277="","",SUMIFS(业务流水!$H$5:$H$1504,业务流水!$E$5:$E$1504,$B$3,业务流水!$D$5:$D$1504,"我方收款",业务流水!$C$5:$C$1504,$A277,业务流水!$Z$5:$Z$1504,"是"))</f>
        <v/>
      </c>
      <c r="N277" s="43" t="str">
        <f aca="false">IF($A277="","",$K277-$M277)</f>
        <v/>
      </c>
      <c r="O277" s="41" t="str">
        <f aca="false">IF($A277="","",SUMIFS(业务流水!$H$5:$H$1504,业务流水!$F$5:$F$1504,$B$3,业务流水!$D$5:$D$1504,"管理费结算",业务流水!$C$5:$C$1504,$A277,业务流水!$Z$5:$Z$1504,"是"))</f>
        <v/>
      </c>
      <c r="P277" s="41" t="str">
        <f aca="false">IF($A277="","",SUMIFS(业务流水!$H$5:$H$1504,业务流水!$E$5:$E$1504,$B$3,业务流水!$D$5:$D$1504,"扣质保金",业务流水!$C$5:$C$1504,$A277,业务流水!$Z$5:$Z$1504,"是"))</f>
        <v/>
      </c>
      <c r="Q277" s="48" t="str">
        <f aca="false">IF($A277="","",IF(SUM($C277:$F277)+SUM($K277:$M277)=0,"无","有"))</f>
        <v/>
      </c>
    </row>
    <row r="278" customFormat="false" ht="15.75" hidden="false" customHeight="true" outlineLevel="0" collapsed="false">
      <c r="A278" s="32" t="str">
        <f aca="false">IF(项目档案!$A278="","",项目档案!$A278)</f>
        <v/>
      </c>
      <c r="B278" s="40" t="str">
        <f aca="false">IF($A278="","",项目档案!$B278)</f>
        <v/>
      </c>
      <c r="C278" s="41" t="str">
        <f aca="false">IF($A278="","",SUMIFS(业务流水!$H$5:$H$1504,业务流水!$E$5:$E$1504,$B$3,业务流水!$D$5:$D$1504,"销项开票",业务流水!$C$5:$C$1504,$A278,业务流水!$Z$5:$Z$1504,"是"))</f>
        <v/>
      </c>
      <c r="D278" s="41" t="str">
        <f aca="false">IF($A278="","",SUMIFS(业务流水!$O$5:$O$1504,业务流水!$E$5:$E$1504,$B$3,业务流水!$D$5:$D$1504,"销项开票",业务流水!$C$5:$C$1504,$A278,业务流水!$Z$5:$Z$1504,"是"))</f>
        <v/>
      </c>
      <c r="E278" s="41" t="str">
        <f aca="false">IF($A278="","",SUMIFS(业务流水!$P$5:$P$1504,业务流水!$E$5:$E$1504,$B$3,业务流水!$D$5:$D$1504,"销项开票",业务流水!$C$5:$C$1504,$A278,业务流水!$Z$5:$Z$1504,"是"))</f>
        <v/>
      </c>
      <c r="F278" s="41" t="str">
        <f aca="false">IF($A278="","",SUMIFS(业务流水!$H$5:$H$1504,业务流水!$F$5:$F$1504,$B$3,业务流水!$D$5:$D$1504,"成本票",业务流水!$C$5:$C$1504,$A278,业务流水!$Z$5:$Z$1504,"是")+SUMIFS(业务流水!$H$5:$H$1504,业务流水!$F$5:$F$1504,$B$3,业务流水!$D$5:$D$1504,"销项开票",业务流水!$C$5:$C$1504,$A278,业务流水!$Z$5:$Z$1504,"是"))</f>
        <v/>
      </c>
      <c r="G278" s="42" t="str">
        <f aca="false">IF($A278="","",$E278-$F278)</f>
        <v/>
      </c>
      <c r="H278" s="41" t="str">
        <f aca="false">IF($A278="","",SUMIFS(业务流水!$W$5:$W$1504,业务流水!$E$5:$E$1504,$B$3,业务流水!$D$5:$D$1504,"销项开票",业务流水!$C$5:$C$1504,$A278,业务流水!$Z$5:$Z$1504,"是"))</f>
        <v/>
      </c>
      <c r="I278" s="41" t="str">
        <f aca="false">IF($A278="","",SUMIFS(业务流水!$H$5:$H$1504,业务流水!$E$5:$E$1504,$B$3,业务流水!$D$5:$D$1504,"已交税",业务流水!$C$5:$C$1504,$A278,业务流水!$Z$5:$Z$1504,"是"))</f>
        <v/>
      </c>
      <c r="J278" s="42" t="str">
        <f aca="false">IF($A278="","",$H278-$I278)</f>
        <v/>
      </c>
      <c r="K278" s="41" t="str">
        <f aca="false">IF($A278="","",SUMIFS(业务流水!$H$5:$H$1504,业务流水!$F$5:$F$1504,$B$3,业务流水!$D$5:$D$1504,"挂靠代收",业务流水!$C$5:$C$1504,$A278,业务流水!$Z$5:$Z$1504,"是"))</f>
        <v/>
      </c>
      <c r="L278" s="42" t="str">
        <f aca="false">IF($A278="","",$C278-$K278)</f>
        <v/>
      </c>
      <c r="M278" s="41" t="str">
        <f aca="false">IF($A278="","",SUMIFS(业务流水!$H$5:$H$1504,业务流水!$E$5:$E$1504,$B$3,业务流水!$D$5:$D$1504,"我方收款",业务流水!$C$5:$C$1504,$A278,业务流水!$Z$5:$Z$1504,"是"))</f>
        <v/>
      </c>
      <c r="N278" s="43" t="str">
        <f aca="false">IF($A278="","",$K278-$M278)</f>
        <v/>
      </c>
      <c r="O278" s="41" t="str">
        <f aca="false">IF($A278="","",SUMIFS(业务流水!$H$5:$H$1504,业务流水!$F$5:$F$1504,$B$3,业务流水!$D$5:$D$1504,"管理费结算",业务流水!$C$5:$C$1504,$A278,业务流水!$Z$5:$Z$1504,"是"))</f>
        <v/>
      </c>
      <c r="P278" s="41" t="str">
        <f aca="false">IF($A278="","",SUMIFS(业务流水!$H$5:$H$1504,业务流水!$E$5:$E$1504,$B$3,业务流水!$D$5:$D$1504,"扣质保金",业务流水!$C$5:$C$1504,$A278,业务流水!$Z$5:$Z$1504,"是"))</f>
        <v/>
      </c>
      <c r="Q278" s="48" t="str">
        <f aca="false">IF($A278="","",IF(SUM($C278:$F278)+SUM($K278:$M278)=0,"无","有"))</f>
        <v/>
      </c>
    </row>
    <row r="279" customFormat="false" ht="15.75" hidden="false" customHeight="true" outlineLevel="0" collapsed="false">
      <c r="A279" s="32" t="str">
        <f aca="false">IF(项目档案!$A279="","",项目档案!$A279)</f>
        <v/>
      </c>
      <c r="B279" s="40" t="str">
        <f aca="false">IF($A279="","",项目档案!$B279)</f>
        <v/>
      </c>
      <c r="C279" s="41" t="str">
        <f aca="false">IF($A279="","",SUMIFS(业务流水!$H$5:$H$1504,业务流水!$E$5:$E$1504,$B$3,业务流水!$D$5:$D$1504,"销项开票",业务流水!$C$5:$C$1504,$A279,业务流水!$Z$5:$Z$1504,"是"))</f>
        <v/>
      </c>
      <c r="D279" s="41" t="str">
        <f aca="false">IF($A279="","",SUMIFS(业务流水!$O$5:$O$1504,业务流水!$E$5:$E$1504,$B$3,业务流水!$D$5:$D$1504,"销项开票",业务流水!$C$5:$C$1504,$A279,业务流水!$Z$5:$Z$1504,"是"))</f>
        <v/>
      </c>
      <c r="E279" s="41" t="str">
        <f aca="false">IF($A279="","",SUMIFS(业务流水!$P$5:$P$1504,业务流水!$E$5:$E$1504,$B$3,业务流水!$D$5:$D$1504,"销项开票",业务流水!$C$5:$C$1504,$A279,业务流水!$Z$5:$Z$1504,"是"))</f>
        <v/>
      </c>
      <c r="F279" s="41" t="str">
        <f aca="false">IF($A279="","",SUMIFS(业务流水!$H$5:$H$1504,业务流水!$F$5:$F$1504,$B$3,业务流水!$D$5:$D$1504,"成本票",业务流水!$C$5:$C$1504,$A279,业务流水!$Z$5:$Z$1504,"是")+SUMIFS(业务流水!$H$5:$H$1504,业务流水!$F$5:$F$1504,$B$3,业务流水!$D$5:$D$1504,"销项开票",业务流水!$C$5:$C$1504,$A279,业务流水!$Z$5:$Z$1504,"是"))</f>
        <v/>
      </c>
      <c r="G279" s="42" t="str">
        <f aca="false">IF($A279="","",$E279-$F279)</f>
        <v/>
      </c>
      <c r="H279" s="41" t="str">
        <f aca="false">IF($A279="","",SUMIFS(业务流水!$W$5:$W$1504,业务流水!$E$5:$E$1504,$B$3,业务流水!$D$5:$D$1504,"销项开票",业务流水!$C$5:$C$1504,$A279,业务流水!$Z$5:$Z$1504,"是"))</f>
        <v/>
      </c>
      <c r="I279" s="41" t="str">
        <f aca="false">IF($A279="","",SUMIFS(业务流水!$H$5:$H$1504,业务流水!$E$5:$E$1504,$B$3,业务流水!$D$5:$D$1504,"已交税",业务流水!$C$5:$C$1504,$A279,业务流水!$Z$5:$Z$1504,"是"))</f>
        <v/>
      </c>
      <c r="J279" s="42" t="str">
        <f aca="false">IF($A279="","",$H279-$I279)</f>
        <v/>
      </c>
      <c r="K279" s="41" t="str">
        <f aca="false">IF($A279="","",SUMIFS(业务流水!$H$5:$H$1504,业务流水!$F$5:$F$1504,$B$3,业务流水!$D$5:$D$1504,"挂靠代收",业务流水!$C$5:$C$1504,$A279,业务流水!$Z$5:$Z$1504,"是"))</f>
        <v/>
      </c>
      <c r="L279" s="42" t="str">
        <f aca="false">IF($A279="","",$C279-$K279)</f>
        <v/>
      </c>
      <c r="M279" s="41" t="str">
        <f aca="false">IF($A279="","",SUMIFS(业务流水!$H$5:$H$1504,业务流水!$E$5:$E$1504,$B$3,业务流水!$D$5:$D$1504,"我方收款",业务流水!$C$5:$C$1504,$A279,业务流水!$Z$5:$Z$1504,"是"))</f>
        <v/>
      </c>
      <c r="N279" s="43" t="str">
        <f aca="false">IF($A279="","",$K279-$M279)</f>
        <v/>
      </c>
      <c r="O279" s="41" t="str">
        <f aca="false">IF($A279="","",SUMIFS(业务流水!$H$5:$H$1504,业务流水!$F$5:$F$1504,$B$3,业务流水!$D$5:$D$1504,"管理费结算",业务流水!$C$5:$C$1504,$A279,业务流水!$Z$5:$Z$1504,"是"))</f>
        <v/>
      </c>
      <c r="P279" s="41" t="str">
        <f aca="false">IF($A279="","",SUMIFS(业务流水!$H$5:$H$1504,业务流水!$E$5:$E$1504,$B$3,业务流水!$D$5:$D$1504,"扣质保金",业务流水!$C$5:$C$1504,$A279,业务流水!$Z$5:$Z$1504,"是"))</f>
        <v/>
      </c>
      <c r="Q279" s="48" t="str">
        <f aca="false">IF($A279="","",IF(SUM($C279:$F279)+SUM($K279:$M279)=0,"无","有"))</f>
        <v/>
      </c>
    </row>
    <row r="280" customFormat="false" ht="15.75" hidden="false" customHeight="true" outlineLevel="0" collapsed="false">
      <c r="A280" s="32" t="str">
        <f aca="false">IF(项目档案!$A280="","",项目档案!$A280)</f>
        <v/>
      </c>
      <c r="B280" s="40" t="str">
        <f aca="false">IF($A280="","",项目档案!$B280)</f>
        <v/>
      </c>
      <c r="C280" s="41" t="str">
        <f aca="false">IF($A280="","",SUMIFS(业务流水!$H$5:$H$1504,业务流水!$E$5:$E$1504,$B$3,业务流水!$D$5:$D$1504,"销项开票",业务流水!$C$5:$C$1504,$A280,业务流水!$Z$5:$Z$1504,"是"))</f>
        <v/>
      </c>
      <c r="D280" s="41" t="str">
        <f aca="false">IF($A280="","",SUMIFS(业务流水!$O$5:$O$1504,业务流水!$E$5:$E$1504,$B$3,业务流水!$D$5:$D$1504,"销项开票",业务流水!$C$5:$C$1504,$A280,业务流水!$Z$5:$Z$1504,"是"))</f>
        <v/>
      </c>
      <c r="E280" s="41" t="str">
        <f aca="false">IF($A280="","",SUMIFS(业务流水!$P$5:$P$1504,业务流水!$E$5:$E$1504,$B$3,业务流水!$D$5:$D$1504,"销项开票",业务流水!$C$5:$C$1504,$A280,业务流水!$Z$5:$Z$1504,"是"))</f>
        <v/>
      </c>
      <c r="F280" s="41" t="str">
        <f aca="false">IF($A280="","",SUMIFS(业务流水!$H$5:$H$1504,业务流水!$F$5:$F$1504,$B$3,业务流水!$D$5:$D$1504,"成本票",业务流水!$C$5:$C$1504,$A280,业务流水!$Z$5:$Z$1504,"是")+SUMIFS(业务流水!$H$5:$H$1504,业务流水!$F$5:$F$1504,$B$3,业务流水!$D$5:$D$1504,"销项开票",业务流水!$C$5:$C$1504,$A280,业务流水!$Z$5:$Z$1504,"是"))</f>
        <v/>
      </c>
      <c r="G280" s="42" t="str">
        <f aca="false">IF($A280="","",$E280-$F280)</f>
        <v/>
      </c>
      <c r="H280" s="41" t="str">
        <f aca="false">IF($A280="","",SUMIFS(业务流水!$W$5:$W$1504,业务流水!$E$5:$E$1504,$B$3,业务流水!$D$5:$D$1504,"销项开票",业务流水!$C$5:$C$1504,$A280,业务流水!$Z$5:$Z$1504,"是"))</f>
        <v/>
      </c>
      <c r="I280" s="41" t="str">
        <f aca="false">IF($A280="","",SUMIFS(业务流水!$H$5:$H$1504,业务流水!$E$5:$E$1504,$B$3,业务流水!$D$5:$D$1504,"已交税",业务流水!$C$5:$C$1504,$A280,业务流水!$Z$5:$Z$1504,"是"))</f>
        <v/>
      </c>
      <c r="J280" s="42" t="str">
        <f aca="false">IF($A280="","",$H280-$I280)</f>
        <v/>
      </c>
      <c r="K280" s="41" t="str">
        <f aca="false">IF($A280="","",SUMIFS(业务流水!$H$5:$H$1504,业务流水!$F$5:$F$1504,$B$3,业务流水!$D$5:$D$1504,"挂靠代收",业务流水!$C$5:$C$1504,$A280,业务流水!$Z$5:$Z$1504,"是"))</f>
        <v/>
      </c>
      <c r="L280" s="42" t="str">
        <f aca="false">IF($A280="","",$C280-$K280)</f>
        <v/>
      </c>
      <c r="M280" s="41" t="str">
        <f aca="false">IF($A280="","",SUMIFS(业务流水!$H$5:$H$1504,业务流水!$E$5:$E$1504,$B$3,业务流水!$D$5:$D$1504,"我方收款",业务流水!$C$5:$C$1504,$A280,业务流水!$Z$5:$Z$1504,"是"))</f>
        <v/>
      </c>
      <c r="N280" s="43" t="str">
        <f aca="false">IF($A280="","",$K280-$M280)</f>
        <v/>
      </c>
      <c r="O280" s="41" t="str">
        <f aca="false">IF($A280="","",SUMIFS(业务流水!$H$5:$H$1504,业务流水!$F$5:$F$1504,$B$3,业务流水!$D$5:$D$1504,"管理费结算",业务流水!$C$5:$C$1504,$A280,业务流水!$Z$5:$Z$1504,"是"))</f>
        <v/>
      </c>
      <c r="P280" s="41" t="str">
        <f aca="false">IF($A280="","",SUMIFS(业务流水!$H$5:$H$1504,业务流水!$E$5:$E$1504,$B$3,业务流水!$D$5:$D$1504,"扣质保金",业务流水!$C$5:$C$1504,$A280,业务流水!$Z$5:$Z$1504,"是"))</f>
        <v/>
      </c>
      <c r="Q280" s="48" t="str">
        <f aca="false">IF($A280="","",IF(SUM($C280:$F280)+SUM($K280:$M280)=0,"无","有"))</f>
        <v/>
      </c>
    </row>
    <row r="281" customFormat="false" ht="15.75" hidden="false" customHeight="true" outlineLevel="0" collapsed="false">
      <c r="A281" s="32" t="str">
        <f aca="false">IF(项目档案!$A281="","",项目档案!$A281)</f>
        <v/>
      </c>
      <c r="B281" s="40" t="str">
        <f aca="false">IF($A281="","",项目档案!$B281)</f>
        <v/>
      </c>
      <c r="C281" s="41" t="str">
        <f aca="false">IF($A281="","",SUMIFS(业务流水!$H$5:$H$1504,业务流水!$E$5:$E$1504,$B$3,业务流水!$D$5:$D$1504,"销项开票",业务流水!$C$5:$C$1504,$A281,业务流水!$Z$5:$Z$1504,"是"))</f>
        <v/>
      </c>
      <c r="D281" s="41" t="str">
        <f aca="false">IF($A281="","",SUMIFS(业务流水!$O$5:$O$1504,业务流水!$E$5:$E$1504,$B$3,业务流水!$D$5:$D$1504,"销项开票",业务流水!$C$5:$C$1504,$A281,业务流水!$Z$5:$Z$1504,"是"))</f>
        <v/>
      </c>
      <c r="E281" s="41" t="str">
        <f aca="false">IF($A281="","",SUMIFS(业务流水!$P$5:$P$1504,业务流水!$E$5:$E$1504,$B$3,业务流水!$D$5:$D$1504,"销项开票",业务流水!$C$5:$C$1504,$A281,业务流水!$Z$5:$Z$1504,"是"))</f>
        <v/>
      </c>
      <c r="F281" s="41" t="str">
        <f aca="false">IF($A281="","",SUMIFS(业务流水!$H$5:$H$1504,业务流水!$F$5:$F$1504,$B$3,业务流水!$D$5:$D$1504,"成本票",业务流水!$C$5:$C$1504,$A281,业务流水!$Z$5:$Z$1504,"是")+SUMIFS(业务流水!$H$5:$H$1504,业务流水!$F$5:$F$1504,$B$3,业务流水!$D$5:$D$1504,"销项开票",业务流水!$C$5:$C$1504,$A281,业务流水!$Z$5:$Z$1504,"是"))</f>
        <v/>
      </c>
      <c r="G281" s="42" t="str">
        <f aca="false">IF($A281="","",$E281-$F281)</f>
        <v/>
      </c>
      <c r="H281" s="41" t="str">
        <f aca="false">IF($A281="","",SUMIFS(业务流水!$W$5:$W$1504,业务流水!$E$5:$E$1504,$B$3,业务流水!$D$5:$D$1504,"销项开票",业务流水!$C$5:$C$1504,$A281,业务流水!$Z$5:$Z$1504,"是"))</f>
        <v/>
      </c>
      <c r="I281" s="41" t="str">
        <f aca="false">IF($A281="","",SUMIFS(业务流水!$H$5:$H$1504,业务流水!$E$5:$E$1504,$B$3,业务流水!$D$5:$D$1504,"已交税",业务流水!$C$5:$C$1504,$A281,业务流水!$Z$5:$Z$1504,"是"))</f>
        <v/>
      </c>
      <c r="J281" s="42" t="str">
        <f aca="false">IF($A281="","",$H281-$I281)</f>
        <v/>
      </c>
      <c r="K281" s="41" t="str">
        <f aca="false">IF($A281="","",SUMIFS(业务流水!$H$5:$H$1504,业务流水!$F$5:$F$1504,$B$3,业务流水!$D$5:$D$1504,"挂靠代收",业务流水!$C$5:$C$1504,$A281,业务流水!$Z$5:$Z$1504,"是"))</f>
        <v/>
      </c>
      <c r="L281" s="42" t="str">
        <f aca="false">IF($A281="","",$C281-$K281)</f>
        <v/>
      </c>
      <c r="M281" s="41" t="str">
        <f aca="false">IF($A281="","",SUMIFS(业务流水!$H$5:$H$1504,业务流水!$E$5:$E$1504,$B$3,业务流水!$D$5:$D$1504,"我方收款",业务流水!$C$5:$C$1504,$A281,业务流水!$Z$5:$Z$1504,"是"))</f>
        <v/>
      </c>
      <c r="N281" s="43" t="str">
        <f aca="false">IF($A281="","",$K281-$M281)</f>
        <v/>
      </c>
      <c r="O281" s="41" t="str">
        <f aca="false">IF($A281="","",SUMIFS(业务流水!$H$5:$H$1504,业务流水!$F$5:$F$1504,$B$3,业务流水!$D$5:$D$1504,"管理费结算",业务流水!$C$5:$C$1504,$A281,业务流水!$Z$5:$Z$1504,"是"))</f>
        <v/>
      </c>
      <c r="P281" s="41" t="str">
        <f aca="false">IF($A281="","",SUMIFS(业务流水!$H$5:$H$1504,业务流水!$E$5:$E$1504,$B$3,业务流水!$D$5:$D$1504,"扣质保金",业务流水!$C$5:$C$1504,$A281,业务流水!$Z$5:$Z$1504,"是"))</f>
        <v/>
      </c>
      <c r="Q281" s="48" t="str">
        <f aca="false">IF($A281="","",IF(SUM($C281:$F281)+SUM($K281:$M281)=0,"无","有"))</f>
        <v/>
      </c>
    </row>
    <row r="282" customFormat="false" ht="15.75" hidden="false" customHeight="true" outlineLevel="0" collapsed="false">
      <c r="A282" s="32" t="str">
        <f aca="false">IF(项目档案!$A282="","",项目档案!$A282)</f>
        <v/>
      </c>
      <c r="B282" s="40" t="str">
        <f aca="false">IF($A282="","",项目档案!$B282)</f>
        <v/>
      </c>
      <c r="C282" s="41" t="str">
        <f aca="false">IF($A282="","",SUMIFS(业务流水!$H$5:$H$1504,业务流水!$E$5:$E$1504,$B$3,业务流水!$D$5:$D$1504,"销项开票",业务流水!$C$5:$C$1504,$A282,业务流水!$Z$5:$Z$1504,"是"))</f>
        <v/>
      </c>
      <c r="D282" s="41" t="str">
        <f aca="false">IF($A282="","",SUMIFS(业务流水!$O$5:$O$1504,业务流水!$E$5:$E$1504,$B$3,业务流水!$D$5:$D$1504,"销项开票",业务流水!$C$5:$C$1504,$A282,业务流水!$Z$5:$Z$1504,"是"))</f>
        <v/>
      </c>
      <c r="E282" s="41" t="str">
        <f aca="false">IF($A282="","",SUMIFS(业务流水!$P$5:$P$1504,业务流水!$E$5:$E$1504,$B$3,业务流水!$D$5:$D$1504,"销项开票",业务流水!$C$5:$C$1504,$A282,业务流水!$Z$5:$Z$1504,"是"))</f>
        <v/>
      </c>
      <c r="F282" s="41" t="str">
        <f aca="false">IF($A282="","",SUMIFS(业务流水!$H$5:$H$1504,业务流水!$F$5:$F$1504,$B$3,业务流水!$D$5:$D$1504,"成本票",业务流水!$C$5:$C$1504,$A282,业务流水!$Z$5:$Z$1504,"是")+SUMIFS(业务流水!$H$5:$H$1504,业务流水!$F$5:$F$1504,$B$3,业务流水!$D$5:$D$1504,"销项开票",业务流水!$C$5:$C$1504,$A282,业务流水!$Z$5:$Z$1504,"是"))</f>
        <v/>
      </c>
      <c r="G282" s="42" t="str">
        <f aca="false">IF($A282="","",$E282-$F282)</f>
        <v/>
      </c>
      <c r="H282" s="41" t="str">
        <f aca="false">IF($A282="","",SUMIFS(业务流水!$W$5:$W$1504,业务流水!$E$5:$E$1504,$B$3,业务流水!$D$5:$D$1504,"销项开票",业务流水!$C$5:$C$1504,$A282,业务流水!$Z$5:$Z$1504,"是"))</f>
        <v/>
      </c>
      <c r="I282" s="41" t="str">
        <f aca="false">IF($A282="","",SUMIFS(业务流水!$H$5:$H$1504,业务流水!$E$5:$E$1504,$B$3,业务流水!$D$5:$D$1504,"已交税",业务流水!$C$5:$C$1504,$A282,业务流水!$Z$5:$Z$1504,"是"))</f>
        <v/>
      </c>
      <c r="J282" s="42" t="str">
        <f aca="false">IF($A282="","",$H282-$I282)</f>
        <v/>
      </c>
      <c r="K282" s="41" t="str">
        <f aca="false">IF($A282="","",SUMIFS(业务流水!$H$5:$H$1504,业务流水!$F$5:$F$1504,$B$3,业务流水!$D$5:$D$1504,"挂靠代收",业务流水!$C$5:$C$1504,$A282,业务流水!$Z$5:$Z$1504,"是"))</f>
        <v/>
      </c>
      <c r="L282" s="42" t="str">
        <f aca="false">IF($A282="","",$C282-$K282)</f>
        <v/>
      </c>
      <c r="M282" s="41" t="str">
        <f aca="false">IF($A282="","",SUMIFS(业务流水!$H$5:$H$1504,业务流水!$E$5:$E$1504,$B$3,业务流水!$D$5:$D$1504,"我方收款",业务流水!$C$5:$C$1504,$A282,业务流水!$Z$5:$Z$1504,"是"))</f>
        <v/>
      </c>
      <c r="N282" s="43" t="str">
        <f aca="false">IF($A282="","",$K282-$M282)</f>
        <v/>
      </c>
      <c r="O282" s="41" t="str">
        <f aca="false">IF($A282="","",SUMIFS(业务流水!$H$5:$H$1504,业务流水!$F$5:$F$1504,$B$3,业务流水!$D$5:$D$1504,"管理费结算",业务流水!$C$5:$C$1504,$A282,业务流水!$Z$5:$Z$1504,"是"))</f>
        <v/>
      </c>
      <c r="P282" s="41" t="str">
        <f aca="false">IF($A282="","",SUMIFS(业务流水!$H$5:$H$1504,业务流水!$E$5:$E$1504,$B$3,业务流水!$D$5:$D$1504,"扣质保金",业务流水!$C$5:$C$1504,$A282,业务流水!$Z$5:$Z$1504,"是"))</f>
        <v/>
      </c>
      <c r="Q282" s="48" t="str">
        <f aca="false">IF($A282="","",IF(SUM($C282:$F282)+SUM($K282:$M282)=0,"无","有"))</f>
        <v/>
      </c>
    </row>
    <row r="283" customFormat="false" ht="15.75" hidden="false" customHeight="true" outlineLevel="0" collapsed="false">
      <c r="A283" s="32" t="str">
        <f aca="false">IF(项目档案!$A283="","",项目档案!$A283)</f>
        <v/>
      </c>
      <c r="B283" s="40" t="str">
        <f aca="false">IF($A283="","",项目档案!$B283)</f>
        <v/>
      </c>
      <c r="C283" s="41" t="str">
        <f aca="false">IF($A283="","",SUMIFS(业务流水!$H$5:$H$1504,业务流水!$E$5:$E$1504,$B$3,业务流水!$D$5:$D$1504,"销项开票",业务流水!$C$5:$C$1504,$A283,业务流水!$Z$5:$Z$1504,"是"))</f>
        <v/>
      </c>
      <c r="D283" s="41" t="str">
        <f aca="false">IF($A283="","",SUMIFS(业务流水!$O$5:$O$1504,业务流水!$E$5:$E$1504,$B$3,业务流水!$D$5:$D$1504,"销项开票",业务流水!$C$5:$C$1504,$A283,业务流水!$Z$5:$Z$1504,"是"))</f>
        <v/>
      </c>
      <c r="E283" s="41" t="str">
        <f aca="false">IF($A283="","",SUMIFS(业务流水!$P$5:$P$1504,业务流水!$E$5:$E$1504,$B$3,业务流水!$D$5:$D$1504,"销项开票",业务流水!$C$5:$C$1504,$A283,业务流水!$Z$5:$Z$1504,"是"))</f>
        <v/>
      </c>
      <c r="F283" s="41" t="str">
        <f aca="false">IF($A283="","",SUMIFS(业务流水!$H$5:$H$1504,业务流水!$F$5:$F$1504,$B$3,业务流水!$D$5:$D$1504,"成本票",业务流水!$C$5:$C$1504,$A283,业务流水!$Z$5:$Z$1504,"是")+SUMIFS(业务流水!$H$5:$H$1504,业务流水!$F$5:$F$1504,$B$3,业务流水!$D$5:$D$1504,"销项开票",业务流水!$C$5:$C$1504,$A283,业务流水!$Z$5:$Z$1504,"是"))</f>
        <v/>
      </c>
      <c r="G283" s="42" t="str">
        <f aca="false">IF($A283="","",$E283-$F283)</f>
        <v/>
      </c>
      <c r="H283" s="41" t="str">
        <f aca="false">IF($A283="","",SUMIFS(业务流水!$W$5:$W$1504,业务流水!$E$5:$E$1504,$B$3,业务流水!$D$5:$D$1504,"销项开票",业务流水!$C$5:$C$1504,$A283,业务流水!$Z$5:$Z$1504,"是"))</f>
        <v/>
      </c>
      <c r="I283" s="41" t="str">
        <f aca="false">IF($A283="","",SUMIFS(业务流水!$H$5:$H$1504,业务流水!$E$5:$E$1504,$B$3,业务流水!$D$5:$D$1504,"已交税",业务流水!$C$5:$C$1504,$A283,业务流水!$Z$5:$Z$1504,"是"))</f>
        <v/>
      </c>
      <c r="J283" s="42" t="str">
        <f aca="false">IF($A283="","",$H283-$I283)</f>
        <v/>
      </c>
      <c r="K283" s="41" t="str">
        <f aca="false">IF($A283="","",SUMIFS(业务流水!$H$5:$H$1504,业务流水!$F$5:$F$1504,$B$3,业务流水!$D$5:$D$1504,"挂靠代收",业务流水!$C$5:$C$1504,$A283,业务流水!$Z$5:$Z$1504,"是"))</f>
        <v/>
      </c>
      <c r="L283" s="42" t="str">
        <f aca="false">IF($A283="","",$C283-$K283)</f>
        <v/>
      </c>
      <c r="M283" s="41" t="str">
        <f aca="false">IF($A283="","",SUMIFS(业务流水!$H$5:$H$1504,业务流水!$E$5:$E$1504,$B$3,业务流水!$D$5:$D$1504,"我方收款",业务流水!$C$5:$C$1504,$A283,业务流水!$Z$5:$Z$1504,"是"))</f>
        <v/>
      </c>
      <c r="N283" s="43" t="str">
        <f aca="false">IF($A283="","",$K283-$M283)</f>
        <v/>
      </c>
      <c r="O283" s="41" t="str">
        <f aca="false">IF($A283="","",SUMIFS(业务流水!$H$5:$H$1504,业务流水!$F$5:$F$1504,$B$3,业务流水!$D$5:$D$1504,"管理费结算",业务流水!$C$5:$C$1504,$A283,业务流水!$Z$5:$Z$1504,"是"))</f>
        <v/>
      </c>
      <c r="P283" s="41" t="str">
        <f aca="false">IF($A283="","",SUMIFS(业务流水!$H$5:$H$1504,业务流水!$E$5:$E$1504,$B$3,业务流水!$D$5:$D$1504,"扣质保金",业务流水!$C$5:$C$1504,$A283,业务流水!$Z$5:$Z$1504,"是"))</f>
        <v/>
      </c>
      <c r="Q283" s="48" t="str">
        <f aca="false">IF($A283="","",IF(SUM($C283:$F283)+SUM($K283:$M283)=0,"无","有"))</f>
        <v/>
      </c>
    </row>
    <row r="284" customFormat="false" ht="15.75" hidden="false" customHeight="true" outlineLevel="0" collapsed="false">
      <c r="A284" s="32" t="str">
        <f aca="false">IF(项目档案!$A284="","",项目档案!$A284)</f>
        <v/>
      </c>
      <c r="B284" s="40" t="str">
        <f aca="false">IF($A284="","",项目档案!$B284)</f>
        <v/>
      </c>
      <c r="C284" s="41" t="str">
        <f aca="false">IF($A284="","",SUMIFS(业务流水!$H$5:$H$1504,业务流水!$E$5:$E$1504,$B$3,业务流水!$D$5:$D$1504,"销项开票",业务流水!$C$5:$C$1504,$A284,业务流水!$Z$5:$Z$1504,"是"))</f>
        <v/>
      </c>
      <c r="D284" s="41" t="str">
        <f aca="false">IF($A284="","",SUMIFS(业务流水!$O$5:$O$1504,业务流水!$E$5:$E$1504,$B$3,业务流水!$D$5:$D$1504,"销项开票",业务流水!$C$5:$C$1504,$A284,业务流水!$Z$5:$Z$1504,"是"))</f>
        <v/>
      </c>
      <c r="E284" s="41" t="str">
        <f aca="false">IF($A284="","",SUMIFS(业务流水!$P$5:$P$1504,业务流水!$E$5:$E$1504,$B$3,业务流水!$D$5:$D$1504,"销项开票",业务流水!$C$5:$C$1504,$A284,业务流水!$Z$5:$Z$1504,"是"))</f>
        <v/>
      </c>
      <c r="F284" s="41" t="str">
        <f aca="false">IF($A284="","",SUMIFS(业务流水!$H$5:$H$1504,业务流水!$F$5:$F$1504,$B$3,业务流水!$D$5:$D$1504,"成本票",业务流水!$C$5:$C$1504,$A284,业务流水!$Z$5:$Z$1504,"是")+SUMIFS(业务流水!$H$5:$H$1504,业务流水!$F$5:$F$1504,$B$3,业务流水!$D$5:$D$1504,"销项开票",业务流水!$C$5:$C$1504,$A284,业务流水!$Z$5:$Z$1504,"是"))</f>
        <v/>
      </c>
      <c r="G284" s="42" t="str">
        <f aca="false">IF($A284="","",$E284-$F284)</f>
        <v/>
      </c>
      <c r="H284" s="41" t="str">
        <f aca="false">IF($A284="","",SUMIFS(业务流水!$W$5:$W$1504,业务流水!$E$5:$E$1504,$B$3,业务流水!$D$5:$D$1504,"销项开票",业务流水!$C$5:$C$1504,$A284,业务流水!$Z$5:$Z$1504,"是"))</f>
        <v/>
      </c>
      <c r="I284" s="41" t="str">
        <f aca="false">IF($A284="","",SUMIFS(业务流水!$H$5:$H$1504,业务流水!$E$5:$E$1504,$B$3,业务流水!$D$5:$D$1504,"已交税",业务流水!$C$5:$C$1504,$A284,业务流水!$Z$5:$Z$1504,"是"))</f>
        <v/>
      </c>
      <c r="J284" s="42" t="str">
        <f aca="false">IF($A284="","",$H284-$I284)</f>
        <v/>
      </c>
      <c r="K284" s="41" t="str">
        <f aca="false">IF($A284="","",SUMIFS(业务流水!$H$5:$H$1504,业务流水!$F$5:$F$1504,$B$3,业务流水!$D$5:$D$1504,"挂靠代收",业务流水!$C$5:$C$1504,$A284,业务流水!$Z$5:$Z$1504,"是"))</f>
        <v/>
      </c>
      <c r="L284" s="42" t="str">
        <f aca="false">IF($A284="","",$C284-$K284)</f>
        <v/>
      </c>
      <c r="M284" s="41" t="str">
        <f aca="false">IF($A284="","",SUMIFS(业务流水!$H$5:$H$1504,业务流水!$E$5:$E$1504,$B$3,业务流水!$D$5:$D$1504,"我方收款",业务流水!$C$5:$C$1504,$A284,业务流水!$Z$5:$Z$1504,"是"))</f>
        <v/>
      </c>
      <c r="N284" s="43" t="str">
        <f aca="false">IF($A284="","",$K284-$M284)</f>
        <v/>
      </c>
      <c r="O284" s="41" t="str">
        <f aca="false">IF($A284="","",SUMIFS(业务流水!$H$5:$H$1504,业务流水!$F$5:$F$1504,$B$3,业务流水!$D$5:$D$1504,"管理费结算",业务流水!$C$5:$C$1504,$A284,业务流水!$Z$5:$Z$1504,"是"))</f>
        <v/>
      </c>
      <c r="P284" s="41" t="str">
        <f aca="false">IF($A284="","",SUMIFS(业务流水!$H$5:$H$1504,业务流水!$E$5:$E$1504,$B$3,业务流水!$D$5:$D$1504,"扣质保金",业务流水!$C$5:$C$1504,$A284,业务流水!$Z$5:$Z$1504,"是"))</f>
        <v/>
      </c>
      <c r="Q284" s="48" t="str">
        <f aca="false">IF($A284="","",IF(SUM($C284:$F284)+SUM($K284:$M284)=0,"无","有"))</f>
        <v/>
      </c>
    </row>
    <row r="285" customFormat="false" ht="15.75" hidden="false" customHeight="true" outlineLevel="0" collapsed="false">
      <c r="A285" s="32" t="str">
        <f aca="false">IF(项目档案!$A285="","",项目档案!$A285)</f>
        <v/>
      </c>
      <c r="B285" s="40" t="str">
        <f aca="false">IF($A285="","",项目档案!$B285)</f>
        <v/>
      </c>
      <c r="C285" s="41" t="str">
        <f aca="false">IF($A285="","",SUMIFS(业务流水!$H$5:$H$1504,业务流水!$E$5:$E$1504,$B$3,业务流水!$D$5:$D$1504,"销项开票",业务流水!$C$5:$C$1504,$A285,业务流水!$Z$5:$Z$1504,"是"))</f>
        <v/>
      </c>
      <c r="D285" s="41" t="str">
        <f aca="false">IF($A285="","",SUMIFS(业务流水!$O$5:$O$1504,业务流水!$E$5:$E$1504,$B$3,业务流水!$D$5:$D$1504,"销项开票",业务流水!$C$5:$C$1504,$A285,业务流水!$Z$5:$Z$1504,"是"))</f>
        <v/>
      </c>
      <c r="E285" s="41" t="str">
        <f aca="false">IF($A285="","",SUMIFS(业务流水!$P$5:$P$1504,业务流水!$E$5:$E$1504,$B$3,业务流水!$D$5:$D$1504,"销项开票",业务流水!$C$5:$C$1504,$A285,业务流水!$Z$5:$Z$1504,"是"))</f>
        <v/>
      </c>
      <c r="F285" s="41" t="str">
        <f aca="false">IF($A285="","",SUMIFS(业务流水!$H$5:$H$1504,业务流水!$F$5:$F$1504,$B$3,业务流水!$D$5:$D$1504,"成本票",业务流水!$C$5:$C$1504,$A285,业务流水!$Z$5:$Z$1504,"是")+SUMIFS(业务流水!$H$5:$H$1504,业务流水!$F$5:$F$1504,$B$3,业务流水!$D$5:$D$1504,"销项开票",业务流水!$C$5:$C$1504,$A285,业务流水!$Z$5:$Z$1504,"是"))</f>
        <v/>
      </c>
      <c r="G285" s="42" t="str">
        <f aca="false">IF($A285="","",$E285-$F285)</f>
        <v/>
      </c>
      <c r="H285" s="41" t="str">
        <f aca="false">IF($A285="","",SUMIFS(业务流水!$W$5:$W$1504,业务流水!$E$5:$E$1504,$B$3,业务流水!$D$5:$D$1504,"销项开票",业务流水!$C$5:$C$1504,$A285,业务流水!$Z$5:$Z$1504,"是"))</f>
        <v/>
      </c>
      <c r="I285" s="41" t="str">
        <f aca="false">IF($A285="","",SUMIFS(业务流水!$H$5:$H$1504,业务流水!$E$5:$E$1504,$B$3,业务流水!$D$5:$D$1504,"已交税",业务流水!$C$5:$C$1504,$A285,业务流水!$Z$5:$Z$1504,"是"))</f>
        <v/>
      </c>
      <c r="J285" s="42" t="str">
        <f aca="false">IF($A285="","",$H285-$I285)</f>
        <v/>
      </c>
      <c r="K285" s="41" t="str">
        <f aca="false">IF($A285="","",SUMIFS(业务流水!$H$5:$H$1504,业务流水!$F$5:$F$1504,$B$3,业务流水!$D$5:$D$1504,"挂靠代收",业务流水!$C$5:$C$1504,$A285,业务流水!$Z$5:$Z$1504,"是"))</f>
        <v/>
      </c>
      <c r="L285" s="42" t="str">
        <f aca="false">IF($A285="","",$C285-$K285)</f>
        <v/>
      </c>
      <c r="M285" s="41" t="str">
        <f aca="false">IF($A285="","",SUMIFS(业务流水!$H$5:$H$1504,业务流水!$E$5:$E$1504,$B$3,业务流水!$D$5:$D$1504,"我方收款",业务流水!$C$5:$C$1504,$A285,业务流水!$Z$5:$Z$1504,"是"))</f>
        <v/>
      </c>
      <c r="N285" s="43" t="str">
        <f aca="false">IF($A285="","",$K285-$M285)</f>
        <v/>
      </c>
      <c r="O285" s="41" t="str">
        <f aca="false">IF($A285="","",SUMIFS(业务流水!$H$5:$H$1504,业务流水!$F$5:$F$1504,$B$3,业务流水!$D$5:$D$1504,"管理费结算",业务流水!$C$5:$C$1504,$A285,业务流水!$Z$5:$Z$1504,"是"))</f>
        <v/>
      </c>
      <c r="P285" s="41" t="str">
        <f aca="false">IF($A285="","",SUMIFS(业务流水!$H$5:$H$1504,业务流水!$E$5:$E$1504,$B$3,业务流水!$D$5:$D$1504,"扣质保金",业务流水!$C$5:$C$1504,$A285,业务流水!$Z$5:$Z$1504,"是"))</f>
        <v/>
      </c>
      <c r="Q285" s="48" t="str">
        <f aca="false">IF($A285="","",IF(SUM($C285:$F285)+SUM($K285:$M285)=0,"无","有"))</f>
        <v/>
      </c>
    </row>
    <row r="286" customFormat="false" ht="15.75" hidden="false" customHeight="true" outlineLevel="0" collapsed="false">
      <c r="A286" s="32" t="str">
        <f aca="false">IF(项目档案!$A286="","",项目档案!$A286)</f>
        <v/>
      </c>
      <c r="B286" s="40" t="str">
        <f aca="false">IF($A286="","",项目档案!$B286)</f>
        <v/>
      </c>
      <c r="C286" s="41" t="str">
        <f aca="false">IF($A286="","",SUMIFS(业务流水!$H$5:$H$1504,业务流水!$E$5:$E$1504,$B$3,业务流水!$D$5:$D$1504,"销项开票",业务流水!$C$5:$C$1504,$A286,业务流水!$Z$5:$Z$1504,"是"))</f>
        <v/>
      </c>
      <c r="D286" s="41" t="str">
        <f aca="false">IF($A286="","",SUMIFS(业务流水!$O$5:$O$1504,业务流水!$E$5:$E$1504,$B$3,业务流水!$D$5:$D$1504,"销项开票",业务流水!$C$5:$C$1504,$A286,业务流水!$Z$5:$Z$1504,"是"))</f>
        <v/>
      </c>
      <c r="E286" s="41" t="str">
        <f aca="false">IF($A286="","",SUMIFS(业务流水!$P$5:$P$1504,业务流水!$E$5:$E$1504,$B$3,业务流水!$D$5:$D$1504,"销项开票",业务流水!$C$5:$C$1504,$A286,业务流水!$Z$5:$Z$1504,"是"))</f>
        <v/>
      </c>
      <c r="F286" s="41" t="str">
        <f aca="false">IF($A286="","",SUMIFS(业务流水!$H$5:$H$1504,业务流水!$F$5:$F$1504,$B$3,业务流水!$D$5:$D$1504,"成本票",业务流水!$C$5:$C$1504,$A286,业务流水!$Z$5:$Z$1504,"是")+SUMIFS(业务流水!$H$5:$H$1504,业务流水!$F$5:$F$1504,$B$3,业务流水!$D$5:$D$1504,"销项开票",业务流水!$C$5:$C$1504,$A286,业务流水!$Z$5:$Z$1504,"是"))</f>
        <v/>
      </c>
      <c r="G286" s="42" t="str">
        <f aca="false">IF($A286="","",$E286-$F286)</f>
        <v/>
      </c>
      <c r="H286" s="41" t="str">
        <f aca="false">IF($A286="","",SUMIFS(业务流水!$W$5:$W$1504,业务流水!$E$5:$E$1504,$B$3,业务流水!$D$5:$D$1504,"销项开票",业务流水!$C$5:$C$1504,$A286,业务流水!$Z$5:$Z$1504,"是"))</f>
        <v/>
      </c>
      <c r="I286" s="41" t="str">
        <f aca="false">IF($A286="","",SUMIFS(业务流水!$H$5:$H$1504,业务流水!$E$5:$E$1504,$B$3,业务流水!$D$5:$D$1504,"已交税",业务流水!$C$5:$C$1504,$A286,业务流水!$Z$5:$Z$1504,"是"))</f>
        <v/>
      </c>
      <c r="J286" s="42" t="str">
        <f aca="false">IF($A286="","",$H286-$I286)</f>
        <v/>
      </c>
      <c r="K286" s="41" t="str">
        <f aca="false">IF($A286="","",SUMIFS(业务流水!$H$5:$H$1504,业务流水!$F$5:$F$1504,$B$3,业务流水!$D$5:$D$1504,"挂靠代收",业务流水!$C$5:$C$1504,$A286,业务流水!$Z$5:$Z$1504,"是"))</f>
        <v/>
      </c>
      <c r="L286" s="42" t="str">
        <f aca="false">IF($A286="","",$C286-$K286)</f>
        <v/>
      </c>
      <c r="M286" s="41" t="str">
        <f aca="false">IF($A286="","",SUMIFS(业务流水!$H$5:$H$1504,业务流水!$E$5:$E$1504,$B$3,业务流水!$D$5:$D$1504,"我方收款",业务流水!$C$5:$C$1504,$A286,业务流水!$Z$5:$Z$1504,"是"))</f>
        <v/>
      </c>
      <c r="N286" s="43" t="str">
        <f aca="false">IF($A286="","",$K286-$M286)</f>
        <v/>
      </c>
      <c r="O286" s="41" t="str">
        <f aca="false">IF($A286="","",SUMIFS(业务流水!$H$5:$H$1504,业务流水!$F$5:$F$1504,$B$3,业务流水!$D$5:$D$1504,"管理费结算",业务流水!$C$5:$C$1504,$A286,业务流水!$Z$5:$Z$1504,"是"))</f>
        <v/>
      </c>
      <c r="P286" s="41" t="str">
        <f aca="false">IF($A286="","",SUMIFS(业务流水!$H$5:$H$1504,业务流水!$E$5:$E$1504,$B$3,业务流水!$D$5:$D$1504,"扣质保金",业务流水!$C$5:$C$1504,$A286,业务流水!$Z$5:$Z$1504,"是"))</f>
        <v/>
      </c>
      <c r="Q286" s="48" t="str">
        <f aca="false">IF($A286="","",IF(SUM($C286:$F286)+SUM($K286:$M286)=0,"无","有"))</f>
        <v/>
      </c>
    </row>
    <row r="287" customFormat="false" ht="15.75" hidden="false" customHeight="true" outlineLevel="0" collapsed="false">
      <c r="A287" s="32" t="str">
        <f aca="false">IF(项目档案!$A287="","",项目档案!$A287)</f>
        <v/>
      </c>
      <c r="B287" s="40" t="str">
        <f aca="false">IF($A287="","",项目档案!$B287)</f>
        <v/>
      </c>
      <c r="C287" s="41" t="str">
        <f aca="false">IF($A287="","",SUMIFS(业务流水!$H$5:$H$1504,业务流水!$E$5:$E$1504,$B$3,业务流水!$D$5:$D$1504,"销项开票",业务流水!$C$5:$C$1504,$A287,业务流水!$Z$5:$Z$1504,"是"))</f>
        <v/>
      </c>
      <c r="D287" s="41" t="str">
        <f aca="false">IF($A287="","",SUMIFS(业务流水!$O$5:$O$1504,业务流水!$E$5:$E$1504,$B$3,业务流水!$D$5:$D$1504,"销项开票",业务流水!$C$5:$C$1504,$A287,业务流水!$Z$5:$Z$1504,"是"))</f>
        <v/>
      </c>
      <c r="E287" s="41" t="str">
        <f aca="false">IF($A287="","",SUMIFS(业务流水!$P$5:$P$1504,业务流水!$E$5:$E$1504,$B$3,业务流水!$D$5:$D$1504,"销项开票",业务流水!$C$5:$C$1504,$A287,业务流水!$Z$5:$Z$1504,"是"))</f>
        <v/>
      </c>
      <c r="F287" s="41" t="str">
        <f aca="false">IF($A287="","",SUMIFS(业务流水!$H$5:$H$1504,业务流水!$F$5:$F$1504,$B$3,业务流水!$D$5:$D$1504,"成本票",业务流水!$C$5:$C$1504,$A287,业务流水!$Z$5:$Z$1504,"是")+SUMIFS(业务流水!$H$5:$H$1504,业务流水!$F$5:$F$1504,$B$3,业务流水!$D$5:$D$1504,"销项开票",业务流水!$C$5:$C$1504,$A287,业务流水!$Z$5:$Z$1504,"是"))</f>
        <v/>
      </c>
      <c r="G287" s="42" t="str">
        <f aca="false">IF($A287="","",$E287-$F287)</f>
        <v/>
      </c>
      <c r="H287" s="41" t="str">
        <f aca="false">IF($A287="","",SUMIFS(业务流水!$W$5:$W$1504,业务流水!$E$5:$E$1504,$B$3,业务流水!$D$5:$D$1504,"销项开票",业务流水!$C$5:$C$1504,$A287,业务流水!$Z$5:$Z$1504,"是"))</f>
        <v/>
      </c>
      <c r="I287" s="41" t="str">
        <f aca="false">IF($A287="","",SUMIFS(业务流水!$H$5:$H$1504,业务流水!$E$5:$E$1504,$B$3,业务流水!$D$5:$D$1504,"已交税",业务流水!$C$5:$C$1504,$A287,业务流水!$Z$5:$Z$1504,"是"))</f>
        <v/>
      </c>
      <c r="J287" s="42" t="str">
        <f aca="false">IF($A287="","",$H287-$I287)</f>
        <v/>
      </c>
      <c r="K287" s="41" t="str">
        <f aca="false">IF($A287="","",SUMIFS(业务流水!$H$5:$H$1504,业务流水!$F$5:$F$1504,$B$3,业务流水!$D$5:$D$1504,"挂靠代收",业务流水!$C$5:$C$1504,$A287,业务流水!$Z$5:$Z$1504,"是"))</f>
        <v/>
      </c>
      <c r="L287" s="42" t="str">
        <f aca="false">IF($A287="","",$C287-$K287)</f>
        <v/>
      </c>
      <c r="M287" s="41" t="str">
        <f aca="false">IF($A287="","",SUMIFS(业务流水!$H$5:$H$1504,业务流水!$E$5:$E$1504,$B$3,业务流水!$D$5:$D$1504,"我方收款",业务流水!$C$5:$C$1504,$A287,业务流水!$Z$5:$Z$1504,"是"))</f>
        <v/>
      </c>
      <c r="N287" s="43" t="str">
        <f aca="false">IF($A287="","",$K287-$M287)</f>
        <v/>
      </c>
      <c r="O287" s="41" t="str">
        <f aca="false">IF($A287="","",SUMIFS(业务流水!$H$5:$H$1504,业务流水!$F$5:$F$1504,$B$3,业务流水!$D$5:$D$1504,"管理费结算",业务流水!$C$5:$C$1504,$A287,业务流水!$Z$5:$Z$1504,"是"))</f>
        <v/>
      </c>
      <c r="P287" s="41" t="str">
        <f aca="false">IF($A287="","",SUMIFS(业务流水!$H$5:$H$1504,业务流水!$E$5:$E$1504,$B$3,业务流水!$D$5:$D$1504,"扣质保金",业务流水!$C$5:$C$1504,$A287,业务流水!$Z$5:$Z$1504,"是"))</f>
        <v/>
      </c>
      <c r="Q287" s="48" t="str">
        <f aca="false">IF($A287="","",IF(SUM($C287:$F287)+SUM($K287:$M287)=0,"无","有"))</f>
        <v/>
      </c>
    </row>
    <row r="288" customFormat="false" ht="15.75" hidden="false" customHeight="true" outlineLevel="0" collapsed="false">
      <c r="A288" s="32" t="str">
        <f aca="false">IF(项目档案!$A288="","",项目档案!$A288)</f>
        <v/>
      </c>
      <c r="B288" s="40" t="str">
        <f aca="false">IF($A288="","",项目档案!$B288)</f>
        <v/>
      </c>
      <c r="C288" s="41" t="str">
        <f aca="false">IF($A288="","",SUMIFS(业务流水!$H$5:$H$1504,业务流水!$E$5:$E$1504,$B$3,业务流水!$D$5:$D$1504,"销项开票",业务流水!$C$5:$C$1504,$A288,业务流水!$Z$5:$Z$1504,"是"))</f>
        <v/>
      </c>
      <c r="D288" s="41" t="str">
        <f aca="false">IF($A288="","",SUMIFS(业务流水!$O$5:$O$1504,业务流水!$E$5:$E$1504,$B$3,业务流水!$D$5:$D$1504,"销项开票",业务流水!$C$5:$C$1504,$A288,业务流水!$Z$5:$Z$1504,"是"))</f>
        <v/>
      </c>
      <c r="E288" s="41" t="str">
        <f aca="false">IF($A288="","",SUMIFS(业务流水!$P$5:$P$1504,业务流水!$E$5:$E$1504,$B$3,业务流水!$D$5:$D$1504,"销项开票",业务流水!$C$5:$C$1504,$A288,业务流水!$Z$5:$Z$1504,"是"))</f>
        <v/>
      </c>
      <c r="F288" s="41" t="str">
        <f aca="false">IF($A288="","",SUMIFS(业务流水!$H$5:$H$1504,业务流水!$F$5:$F$1504,$B$3,业务流水!$D$5:$D$1504,"成本票",业务流水!$C$5:$C$1504,$A288,业务流水!$Z$5:$Z$1504,"是")+SUMIFS(业务流水!$H$5:$H$1504,业务流水!$F$5:$F$1504,$B$3,业务流水!$D$5:$D$1504,"销项开票",业务流水!$C$5:$C$1504,$A288,业务流水!$Z$5:$Z$1504,"是"))</f>
        <v/>
      </c>
      <c r="G288" s="42" t="str">
        <f aca="false">IF($A288="","",$E288-$F288)</f>
        <v/>
      </c>
      <c r="H288" s="41" t="str">
        <f aca="false">IF($A288="","",SUMIFS(业务流水!$W$5:$W$1504,业务流水!$E$5:$E$1504,$B$3,业务流水!$D$5:$D$1504,"销项开票",业务流水!$C$5:$C$1504,$A288,业务流水!$Z$5:$Z$1504,"是"))</f>
        <v/>
      </c>
      <c r="I288" s="41" t="str">
        <f aca="false">IF($A288="","",SUMIFS(业务流水!$H$5:$H$1504,业务流水!$E$5:$E$1504,$B$3,业务流水!$D$5:$D$1504,"已交税",业务流水!$C$5:$C$1504,$A288,业务流水!$Z$5:$Z$1504,"是"))</f>
        <v/>
      </c>
      <c r="J288" s="42" t="str">
        <f aca="false">IF($A288="","",$H288-$I288)</f>
        <v/>
      </c>
      <c r="K288" s="41" t="str">
        <f aca="false">IF($A288="","",SUMIFS(业务流水!$H$5:$H$1504,业务流水!$F$5:$F$1504,$B$3,业务流水!$D$5:$D$1504,"挂靠代收",业务流水!$C$5:$C$1504,$A288,业务流水!$Z$5:$Z$1504,"是"))</f>
        <v/>
      </c>
      <c r="L288" s="42" t="str">
        <f aca="false">IF($A288="","",$C288-$K288)</f>
        <v/>
      </c>
      <c r="M288" s="41" t="str">
        <f aca="false">IF($A288="","",SUMIFS(业务流水!$H$5:$H$1504,业务流水!$E$5:$E$1504,$B$3,业务流水!$D$5:$D$1504,"我方收款",业务流水!$C$5:$C$1504,$A288,业务流水!$Z$5:$Z$1504,"是"))</f>
        <v/>
      </c>
      <c r="N288" s="43" t="str">
        <f aca="false">IF($A288="","",$K288-$M288)</f>
        <v/>
      </c>
      <c r="O288" s="41" t="str">
        <f aca="false">IF($A288="","",SUMIFS(业务流水!$H$5:$H$1504,业务流水!$F$5:$F$1504,$B$3,业务流水!$D$5:$D$1504,"管理费结算",业务流水!$C$5:$C$1504,$A288,业务流水!$Z$5:$Z$1504,"是"))</f>
        <v/>
      </c>
      <c r="P288" s="41" t="str">
        <f aca="false">IF($A288="","",SUMIFS(业务流水!$H$5:$H$1504,业务流水!$E$5:$E$1504,$B$3,业务流水!$D$5:$D$1504,"扣质保金",业务流水!$C$5:$C$1504,$A288,业务流水!$Z$5:$Z$1504,"是"))</f>
        <v/>
      </c>
      <c r="Q288" s="48" t="str">
        <f aca="false">IF($A288="","",IF(SUM($C288:$F288)+SUM($K288:$M288)=0,"无","有"))</f>
        <v/>
      </c>
    </row>
    <row r="289" customFormat="false" ht="15.75" hidden="false" customHeight="true" outlineLevel="0" collapsed="false">
      <c r="A289" s="32" t="str">
        <f aca="false">IF(项目档案!$A289="","",项目档案!$A289)</f>
        <v/>
      </c>
      <c r="B289" s="40" t="str">
        <f aca="false">IF($A289="","",项目档案!$B289)</f>
        <v/>
      </c>
      <c r="C289" s="41" t="str">
        <f aca="false">IF($A289="","",SUMIFS(业务流水!$H$5:$H$1504,业务流水!$E$5:$E$1504,$B$3,业务流水!$D$5:$D$1504,"销项开票",业务流水!$C$5:$C$1504,$A289,业务流水!$Z$5:$Z$1504,"是"))</f>
        <v/>
      </c>
      <c r="D289" s="41" t="str">
        <f aca="false">IF($A289="","",SUMIFS(业务流水!$O$5:$O$1504,业务流水!$E$5:$E$1504,$B$3,业务流水!$D$5:$D$1504,"销项开票",业务流水!$C$5:$C$1504,$A289,业务流水!$Z$5:$Z$1504,"是"))</f>
        <v/>
      </c>
      <c r="E289" s="41" t="str">
        <f aca="false">IF($A289="","",SUMIFS(业务流水!$P$5:$P$1504,业务流水!$E$5:$E$1504,$B$3,业务流水!$D$5:$D$1504,"销项开票",业务流水!$C$5:$C$1504,$A289,业务流水!$Z$5:$Z$1504,"是"))</f>
        <v/>
      </c>
      <c r="F289" s="41" t="str">
        <f aca="false">IF($A289="","",SUMIFS(业务流水!$H$5:$H$1504,业务流水!$F$5:$F$1504,$B$3,业务流水!$D$5:$D$1504,"成本票",业务流水!$C$5:$C$1504,$A289,业务流水!$Z$5:$Z$1504,"是")+SUMIFS(业务流水!$H$5:$H$1504,业务流水!$F$5:$F$1504,$B$3,业务流水!$D$5:$D$1504,"销项开票",业务流水!$C$5:$C$1504,$A289,业务流水!$Z$5:$Z$1504,"是"))</f>
        <v/>
      </c>
      <c r="G289" s="42" t="str">
        <f aca="false">IF($A289="","",$E289-$F289)</f>
        <v/>
      </c>
      <c r="H289" s="41" t="str">
        <f aca="false">IF($A289="","",SUMIFS(业务流水!$W$5:$W$1504,业务流水!$E$5:$E$1504,$B$3,业务流水!$D$5:$D$1504,"销项开票",业务流水!$C$5:$C$1504,$A289,业务流水!$Z$5:$Z$1504,"是"))</f>
        <v/>
      </c>
      <c r="I289" s="41" t="str">
        <f aca="false">IF($A289="","",SUMIFS(业务流水!$H$5:$H$1504,业务流水!$E$5:$E$1504,$B$3,业务流水!$D$5:$D$1504,"已交税",业务流水!$C$5:$C$1504,$A289,业务流水!$Z$5:$Z$1504,"是"))</f>
        <v/>
      </c>
      <c r="J289" s="42" t="str">
        <f aca="false">IF($A289="","",$H289-$I289)</f>
        <v/>
      </c>
      <c r="K289" s="41" t="str">
        <f aca="false">IF($A289="","",SUMIFS(业务流水!$H$5:$H$1504,业务流水!$F$5:$F$1504,$B$3,业务流水!$D$5:$D$1504,"挂靠代收",业务流水!$C$5:$C$1504,$A289,业务流水!$Z$5:$Z$1504,"是"))</f>
        <v/>
      </c>
      <c r="L289" s="42" t="str">
        <f aca="false">IF($A289="","",$C289-$K289)</f>
        <v/>
      </c>
      <c r="M289" s="41" t="str">
        <f aca="false">IF($A289="","",SUMIFS(业务流水!$H$5:$H$1504,业务流水!$E$5:$E$1504,$B$3,业务流水!$D$5:$D$1504,"我方收款",业务流水!$C$5:$C$1504,$A289,业务流水!$Z$5:$Z$1504,"是"))</f>
        <v/>
      </c>
      <c r="N289" s="43" t="str">
        <f aca="false">IF($A289="","",$K289-$M289)</f>
        <v/>
      </c>
      <c r="O289" s="41" t="str">
        <f aca="false">IF($A289="","",SUMIFS(业务流水!$H$5:$H$1504,业务流水!$F$5:$F$1504,$B$3,业务流水!$D$5:$D$1504,"管理费结算",业务流水!$C$5:$C$1504,$A289,业务流水!$Z$5:$Z$1504,"是"))</f>
        <v/>
      </c>
      <c r="P289" s="41" t="str">
        <f aca="false">IF($A289="","",SUMIFS(业务流水!$H$5:$H$1504,业务流水!$E$5:$E$1504,$B$3,业务流水!$D$5:$D$1504,"扣质保金",业务流水!$C$5:$C$1504,$A289,业务流水!$Z$5:$Z$1504,"是"))</f>
        <v/>
      </c>
      <c r="Q289" s="48" t="str">
        <f aca="false">IF($A289="","",IF(SUM($C289:$F289)+SUM($K289:$M289)=0,"无","有"))</f>
        <v/>
      </c>
    </row>
    <row r="290" customFormat="false" ht="15.75" hidden="false" customHeight="true" outlineLevel="0" collapsed="false">
      <c r="A290" s="32" t="str">
        <f aca="false">IF(项目档案!$A290="","",项目档案!$A290)</f>
        <v/>
      </c>
      <c r="B290" s="40" t="str">
        <f aca="false">IF($A290="","",项目档案!$B290)</f>
        <v/>
      </c>
      <c r="C290" s="41" t="str">
        <f aca="false">IF($A290="","",SUMIFS(业务流水!$H$5:$H$1504,业务流水!$E$5:$E$1504,$B$3,业务流水!$D$5:$D$1504,"销项开票",业务流水!$C$5:$C$1504,$A290,业务流水!$Z$5:$Z$1504,"是"))</f>
        <v/>
      </c>
      <c r="D290" s="41" t="str">
        <f aca="false">IF($A290="","",SUMIFS(业务流水!$O$5:$O$1504,业务流水!$E$5:$E$1504,$B$3,业务流水!$D$5:$D$1504,"销项开票",业务流水!$C$5:$C$1504,$A290,业务流水!$Z$5:$Z$1504,"是"))</f>
        <v/>
      </c>
      <c r="E290" s="41" t="str">
        <f aca="false">IF($A290="","",SUMIFS(业务流水!$P$5:$P$1504,业务流水!$E$5:$E$1504,$B$3,业务流水!$D$5:$D$1504,"销项开票",业务流水!$C$5:$C$1504,$A290,业务流水!$Z$5:$Z$1504,"是"))</f>
        <v/>
      </c>
      <c r="F290" s="41" t="str">
        <f aca="false">IF($A290="","",SUMIFS(业务流水!$H$5:$H$1504,业务流水!$F$5:$F$1504,$B$3,业务流水!$D$5:$D$1504,"成本票",业务流水!$C$5:$C$1504,$A290,业务流水!$Z$5:$Z$1504,"是")+SUMIFS(业务流水!$H$5:$H$1504,业务流水!$F$5:$F$1504,$B$3,业务流水!$D$5:$D$1504,"销项开票",业务流水!$C$5:$C$1504,$A290,业务流水!$Z$5:$Z$1504,"是"))</f>
        <v/>
      </c>
      <c r="G290" s="42" t="str">
        <f aca="false">IF($A290="","",$E290-$F290)</f>
        <v/>
      </c>
      <c r="H290" s="41" t="str">
        <f aca="false">IF($A290="","",SUMIFS(业务流水!$W$5:$W$1504,业务流水!$E$5:$E$1504,$B$3,业务流水!$D$5:$D$1504,"销项开票",业务流水!$C$5:$C$1504,$A290,业务流水!$Z$5:$Z$1504,"是"))</f>
        <v/>
      </c>
      <c r="I290" s="41" t="str">
        <f aca="false">IF($A290="","",SUMIFS(业务流水!$H$5:$H$1504,业务流水!$E$5:$E$1504,$B$3,业务流水!$D$5:$D$1504,"已交税",业务流水!$C$5:$C$1504,$A290,业务流水!$Z$5:$Z$1504,"是"))</f>
        <v/>
      </c>
      <c r="J290" s="42" t="str">
        <f aca="false">IF($A290="","",$H290-$I290)</f>
        <v/>
      </c>
      <c r="K290" s="41" t="str">
        <f aca="false">IF($A290="","",SUMIFS(业务流水!$H$5:$H$1504,业务流水!$F$5:$F$1504,$B$3,业务流水!$D$5:$D$1504,"挂靠代收",业务流水!$C$5:$C$1504,$A290,业务流水!$Z$5:$Z$1504,"是"))</f>
        <v/>
      </c>
      <c r="L290" s="42" t="str">
        <f aca="false">IF($A290="","",$C290-$K290)</f>
        <v/>
      </c>
      <c r="M290" s="41" t="str">
        <f aca="false">IF($A290="","",SUMIFS(业务流水!$H$5:$H$1504,业务流水!$E$5:$E$1504,$B$3,业务流水!$D$5:$D$1504,"我方收款",业务流水!$C$5:$C$1504,$A290,业务流水!$Z$5:$Z$1504,"是"))</f>
        <v/>
      </c>
      <c r="N290" s="43" t="str">
        <f aca="false">IF($A290="","",$K290-$M290)</f>
        <v/>
      </c>
      <c r="O290" s="41" t="str">
        <f aca="false">IF($A290="","",SUMIFS(业务流水!$H$5:$H$1504,业务流水!$F$5:$F$1504,$B$3,业务流水!$D$5:$D$1504,"管理费结算",业务流水!$C$5:$C$1504,$A290,业务流水!$Z$5:$Z$1504,"是"))</f>
        <v/>
      </c>
      <c r="P290" s="41" t="str">
        <f aca="false">IF($A290="","",SUMIFS(业务流水!$H$5:$H$1504,业务流水!$E$5:$E$1504,$B$3,业务流水!$D$5:$D$1504,"扣质保金",业务流水!$C$5:$C$1504,$A290,业务流水!$Z$5:$Z$1504,"是"))</f>
        <v/>
      </c>
      <c r="Q290" s="48" t="str">
        <f aca="false">IF($A290="","",IF(SUM($C290:$F290)+SUM($K290:$M290)=0,"无","有"))</f>
        <v/>
      </c>
    </row>
    <row r="291" customFormat="false" ht="15.75" hidden="false" customHeight="true" outlineLevel="0" collapsed="false">
      <c r="A291" s="32" t="str">
        <f aca="false">IF(项目档案!$A291="","",项目档案!$A291)</f>
        <v/>
      </c>
      <c r="B291" s="40" t="str">
        <f aca="false">IF($A291="","",项目档案!$B291)</f>
        <v/>
      </c>
      <c r="C291" s="41" t="str">
        <f aca="false">IF($A291="","",SUMIFS(业务流水!$H$5:$H$1504,业务流水!$E$5:$E$1504,$B$3,业务流水!$D$5:$D$1504,"销项开票",业务流水!$C$5:$C$1504,$A291,业务流水!$Z$5:$Z$1504,"是"))</f>
        <v/>
      </c>
      <c r="D291" s="41" t="str">
        <f aca="false">IF($A291="","",SUMIFS(业务流水!$O$5:$O$1504,业务流水!$E$5:$E$1504,$B$3,业务流水!$D$5:$D$1504,"销项开票",业务流水!$C$5:$C$1504,$A291,业务流水!$Z$5:$Z$1504,"是"))</f>
        <v/>
      </c>
      <c r="E291" s="41" t="str">
        <f aca="false">IF($A291="","",SUMIFS(业务流水!$P$5:$P$1504,业务流水!$E$5:$E$1504,$B$3,业务流水!$D$5:$D$1504,"销项开票",业务流水!$C$5:$C$1504,$A291,业务流水!$Z$5:$Z$1504,"是"))</f>
        <v/>
      </c>
      <c r="F291" s="41" t="str">
        <f aca="false">IF($A291="","",SUMIFS(业务流水!$H$5:$H$1504,业务流水!$F$5:$F$1504,$B$3,业务流水!$D$5:$D$1504,"成本票",业务流水!$C$5:$C$1504,$A291,业务流水!$Z$5:$Z$1504,"是")+SUMIFS(业务流水!$H$5:$H$1504,业务流水!$F$5:$F$1504,$B$3,业务流水!$D$5:$D$1504,"销项开票",业务流水!$C$5:$C$1504,$A291,业务流水!$Z$5:$Z$1504,"是"))</f>
        <v/>
      </c>
      <c r="G291" s="42" t="str">
        <f aca="false">IF($A291="","",$E291-$F291)</f>
        <v/>
      </c>
      <c r="H291" s="41" t="str">
        <f aca="false">IF($A291="","",SUMIFS(业务流水!$W$5:$W$1504,业务流水!$E$5:$E$1504,$B$3,业务流水!$D$5:$D$1504,"销项开票",业务流水!$C$5:$C$1504,$A291,业务流水!$Z$5:$Z$1504,"是"))</f>
        <v/>
      </c>
      <c r="I291" s="41" t="str">
        <f aca="false">IF($A291="","",SUMIFS(业务流水!$H$5:$H$1504,业务流水!$E$5:$E$1504,$B$3,业务流水!$D$5:$D$1504,"已交税",业务流水!$C$5:$C$1504,$A291,业务流水!$Z$5:$Z$1504,"是"))</f>
        <v/>
      </c>
      <c r="J291" s="42" t="str">
        <f aca="false">IF($A291="","",$H291-$I291)</f>
        <v/>
      </c>
      <c r="K291" s="41" t="str">
        <f aca="false">IF($A291="","",SUMIFS(业务流水!$H$5:$H$1504,业务流水!$F$5:$F$1504,$B$3,业务流水!$D$5:$D$1504,"挂靠代收",业务流水!$C$5:$C$1504,$A291,业务流水!$Z$5:$Z$1504,"是"))</f>
        <v/>
      </c>
      <c r="L291" s="42" t="str">
        <f aca="false">IF($A291="","",$C291-$K291)</f>
        <v/>
      </c>
      <c r="M291" s="41" t="str">
        <f aca="false">IF($A291="","",SUMIFS(业务流水!$H$5:$H$1504,业务流水!$E$5:$E$1504,$B$3,业务流水!$D$5:$D$1504,"我方收款",业务流水!$C$5:$C$1504,$A291,业务流水!$Z$5:$Z$1504,"是"))</f>
        <v/>
      </c>
      <c r="N291" s="43" t="str">
        <f aca="false">IF($A291="","",$K291-$M291)</f>
        <v/>
      </c>
      <c r="O291" s="41" t="str">
        <f aca="false">IF($A291="","",SUMIFS(业务流水!$H$5:$H$1504,业务流水!$F$5:$F$1504,$B$3,业务流水!$D$5:$D$1504,"管理费结算",业务流水!$C$5:$C$1504,$A291,业务流水!$Z$5:$Z$1504,"是"))</f>
        <v/>
      </c>
      <c r="P291" s="41" t="str">
        <f aca="false">IF($A291="","",SUMIFS(业务流水!$H$5:$H$1504,业务流水!$E$5:$E$1504,$B$3,业务流水!$D$5:$D$1504,"扣质保金",业务流水!$C$5:$C$1504,$A291,业务流水!$Z$5:$Z$1504,"是"))</f>
        <v/>
      </c>
      <c r="Q291" s="48" t="str">
        <f aca="false">IF($A291="","",IF(SUM($C291:$F291)+SUM($K291:$M291)=0,"无","有"))</f>
        <v/>
      </c>
    </row>
    <row r="292" customFormat="false" ht="15.75" hidden="false" customHeight="true" outlineLevel="0" collapsed="false">
      <c r="A292" s="32" t="str">
        <f aca="false">IF(项目档案!$A292="","",项目档案!$A292)</f>
        <v/>
      </c>
      <c r="B292" s="40" t="str">
        <f aca="false">IF($A292="","",项目档案!$B292)</f>
        <v/>
      </c>
      <c r="C292" s="41" t="str">
        <f aca="false">IF($A292="","",SUMIFS(业务流水!$H$5:$H$1504,业务流水!$E$5:$E$1504,$B$3,业务流水!$D$5:$D$1504,"销项开票",业务流水!$C$5:$C$1504,$A292,业务流水!$Z$5:$Z$1504,"是"))</f>
        <v/>
      </c>
      <c r="D292" s="41" t="str">
        <f aca="false">IF($A292="","",SUMIFS(业务流水!$O$5:$O$1504,业务流水!$E$5:$E$1504,$B$3,业务流水!$D$5:$D$1504,"销项开票",业务流水!$C$5:$C$1504,$A292,业务流水!$Z$5:$Z$1504,"是"))</f>
        <v/>
      </c>
      <c r="E292" s="41" t="str">
        <f aca="false">IF($A292="","",SUMIFS(业务流水!$P$5:$P$1504,业务流水!$E$5:$E$1504,$B$3,业务流水!$D$5:$D$1504,"销项开票",业务流水!$C$5:$C$1504,$A292,业务流水!$Z$5:$Z$1504,"是"))</f>
        <v/>
      </c>
      <c r="F292" s="41" t="str">
        <f aca="false">IF($A292="","",SUMIFS(业务流水!$H$5:$H$1504,业务流水!$F$5:$F$1504,$B$3,业务流水!$D$5:$D$1504,"成本票",业务流水!$C$5:$C$1504,$A292,业务流水!$Z$5:$Z$1504,"是")+SUMIFS(业务流水!$H$5:$H$1504,业务流水!$F$5:$F$1504,$B$3,业务流水!$D$5:$D$1504,"销项开票",业务流水!$C$5:$C$1504,$A292,业务流水!$Z$5:$Z$1504,"是"))</f>
        <v/>
      </c>
      <c r="G292" s="42" t="str">
        <f aca="false">IF($A292="","",$E292-$F292)</f>
        <v/>
      </c>
      <c r="H292" s="41" t="str">
        <f aca="false">IF($A292="","",SUMIFS(业务流水!$W$5:$W$1504,业务流水!$E$5:$E$1504,$B$3,业务流水!$D$5:$D$1504,"销项开票",业务流水!$C$5:$C$1504,$A292,业务流水!$Z$5:$Z$1504,"是"))</f>
        <v/>
      </c>
      <c r="I292" s="41" t="str">
        <f aca="false">IF($A292="","",SUMIFS(业务流水!$H$5:$H$1504,业务流水!$E$5:$E$1504,$B$3,业务流水!$D$5:$D$1504,"已交税",业务流水!$C$5:$C$1504,$A292,业务流水!$Z$5:$Z$1504,"是"))</f>
        <v/>
      </c>
      <c r="J292" s="42" t="str">
        <f aca="false">IF($A292="","",$H292-$I292)</f>
        <v/>
      </c>
      <c r="K292" s="41" t="str">
        <f aca="false">IF($A292="","",SUMIFS(业务流水!$H$5:$H$1504,业务流水!$F$5:$F$1504,$B$3,业务流水!$D$5:$D$1504,"挂靠代收",业务流水!$C$5:$C$1504,$A292,业务流水!$Z$5:$Z$1504,"是"))</f>
        <v/>
      </c>
      <c r="L292" s="42" t="str">
        <f aca="false">IF($A292="","",$C292-$K292)</f>
        <v/>
      </c>
      <c r="M292" s="41" t="str">
        <f aca="false">IF($A292="","",SUMIFS(业务流水!$H$5:$H$1504,业务流水!$E$5:$E$1504,$B$3,业务流水!$D$5:$D$1504,"我方收款",业务流水!$C$5:$C$1504,$A292,业务流水!$Z$5:$Z$1504,"是"))</f>
        <v/>
      </c>
      <c r="N292" s="43" t="str">
        <f aca="false">IF($A292="","",$K292-$M292)</f>
        <v/>
      </c>
      <c r="O292" s="41" t="str">
        <f aca="false">IF($A292="","",SUMIFS(业务流水!$H$5:$H$1504,业务流水!$F$5:$F$1504,$B$3,业务流水!$D$5:$D$1504,"管理费结算",业务流水!$C$5:$C$1504,$A292,业务流水!$Z$5:$Z$1504,"是"))</f>
        <v/>
      </c>
      <c r="P292" s="41" t="str">
        <f aca="false">IF($A292="","",SUMIFS(业务流水!$H$5:$H$1504,业务流水!$E$5:$E$1504,$B$3,业务流水!$D$5:$D$1504,"扣质保金",业务流水!$C$5:$C$1504,$A292,业务流水!$Z$5:$Z$1504,"是"))</f>
        <v/>
      </c>
      <c r="Q292" s="48" t="str">
        <f aca="false">IF($A292="","",IF(SUM($C292:$F292)+SUM($K292:$M292)=0,"无","有"))</f>
        <v/>
      </c>
    </row>
    <row r="293" customFormat="false" ht="15.75" hidden="false" customHeight="true" outlineLevel="0" collapsed="false">
      <c r="A293" s="32" t="str">
        <f aca="false">IF(项目档案!$A293="","",项目档案!$A293)</f>
        <v/>
      </c>
      <c r="B293" s="40" t="str">
        <f aca="false">IF($A293="","",项目档案!$B293)</f>
        <v/>
      </c>
      <c r="C293" s="41" t="str">
        <f aca="false">IF($A293="","",SUMIFS(业务流水!$H$5:$H$1504,业务流水!$E$5:$E$1504,$B$3,业务流水!$D$5:$D$1504,"销项开票",业务流水!$C$5:$C$1504,$A293,业务流水!$Z$5:$Z$1504,"是"))</f>
        <v/>
      </c>
      <c r="D293" s="41" t="str">
        <f aca="false">IF($A293="","",SUMIFS(业务流水!$O$5:$O$1504,业务流水!$E$5:$E$1504,$B$3,业务流水!$D$5:$D$1504,"销项开票",业务流水!$C$5:$C$1504,$A293,业务流水!$Z$5:$Z$1504,"是"))</f>
        <v/>
      </c>
      <c r="E293" s="41" t="str">
        <f aca="false">IF($A293="","",SUMIFS(业务流水!$P$5:$P$1504,业务流水!$E$5:$E$1504,$B$3,业务流水!$D$5:$D$1504,"销项开票",业务流水!$C$5:$C$1504,$A293,业务流水!$Z$5:$Z$1504,"是"))</f>
        <v/>
      </c>
      <c r="F293" s="41" t="str">
        <f aca="false">IF($A293="","",SUMIFS(业务流水!$H$5:$H$1504,业务流水!$F$5:$F$1504,$B$3,业务流水!$D$5:$D$1504,"成本票",业务流水!$C$5:$C$1504,$A293,业务流水!$Z$5:$Z$1504,"是")+SUMIFS(业务流水!$H$5:$H$1504,业务流水!$F$5:$F$1504,$B$3,业务流水!$D$5:$D$1504,"销项开票",业务流水!$C$5:$C$1504,$A293,业务流水!$Z$5:$Z$1504,"是"))</f>
        <v/>
      </c>
      <c r="G293" s="42" t="str">
        <f aca="false">IF($A293="","",$E293-$F293)</f>
        <v/>
      </c>
      <c r="H293" s="41" t="str">
        <f aca="false">IF($A293="","",SUMIFS(业务流水!$W$5:$W$1504,业务流水!$E$5:$E$1504,$B$3,业务流水!$D$5:$D$1504,"销项开票",业务流水!$C$5:$C$1504,$A293,业务流水!$Z$5:$Z$1504,"是"))</f>
        <v/>
      </c>
      <c r="I293" s="41" t="str">
        <f aca="false">IF($A293="","",SUMIFS(业务流水!$H$5:$H$1504,业务流水!$E$5:$E$1504,$B$3,业务流水!$D$5:$D$1504,"已交税",业务流水!$C$5:$C$1504,$A293,业务流水!$Z$5:$Z$1504,"是"))</f>
        <v/>
      </c>
      <c r="J293" s="42" t="str">
        <f aca="false">IF($A293="","",$H293-$I293)</f>
        <v/>
      </c>
      <c r="K293" s="41" t="str">
        <f aca="false">IF($A293="","",SUMIFS(业务流水!$H$5:$H$1504,业务流水!$F$5:$F$1504,$B$3,业务流水!$D$5:$D$1504,"挂靠代收",业务流水!$C$5:$C$1504,$A293,业务流水!$Z$5:$Z$1504,"是"))</f>
        <v/>
      </c>
      <c r="L293" s="42" t="str">
        <f aca="false">IF($A293="","",$C293-$K293)</f>
        <v/>
      </c>
      <c r="M293" s="41" t="str">
        <f aca="false">IF($A293="","",SUMIFS(业务流水!$H$5:$H$1504,业务流水!$E$5:$E$1504,$B$3,业务流水!$D$5:$D$1504,"我方收款",业务流水!$C$5:$C$1504,$A293,业务流水!$Z$5:$Z$1504,"是"))</f>
        <v/>
      </c>
      <c r="N293" s="43" t="str">
        <f aca="false">IF($A293="","",$K293-$M293)</f>
        <v/>
      </c>
      <c r="O293" s="41" t="str">
        <f aca="false">IF($A293="","",SUMIFS(业务流水!$H$5:$H$1504,业务流水!$F$5:$F$1504,$B$3,业务流水!$D$5:$D$1504,"管理费结算",业务流水!$C$5:$C$1504,$A293,业务流水!$Z$5:$Z$1504,"是"))</f>
        <v/>
      </c>
      <c r="P293" s="41" t="str">
        <f aca="false">IF($A293="","",SUMIFS(业务流水!$H$5:$H$1504,业务流水!$E$5:$E$1504,$B$3,业务流水!$D$5:$D$1504,"扣质保金",业务流水!$C$5:$C$1504,$A293,业务流水!$Z$5:$Z$1504,"是"))</f>
        <v/>
      </c>
      <c r="Q293" s="48" t="str">
        <f aca="false">IF($A293="","",IF(SUM($C293:$F293)+SUM($K293:$M293)=0,"无","有"))</f>
        <v/>
      </c>
    </row>
    <row r="294" customFormat="false" ht="15.75" hidden="false" customHeight="true" outlineLevel="0" collapsed="false">
      <c r="A294" s="32" t="str">
        <f aca="false">IF(项目档案!$A294="","",项目档案!$A294)</f>
        <v/>
      </c>
      <c r="B294" s="40" t="str">
        <f aca="false">IF($A294="","",项目档案!$B294)</f>
        <v/>
      </c>
      <c r="C294" s="41" t="str">
        <f aca="false">IF($A294="","",SUMIFS(业务流水!$H$5:$H$1504,业务流水!$E$5:$E$1504,$B$3,业务流水!$D$5:$D$1504,"销项开票",业务流水!$C$5:$C$1504,$A294,业务流水!$Z$5:$Z$1504,"是"))</f>
        <v/>
      </c>
      <c r="D294" s="41" t="str">
        <f aca="false">IF($A294="","",SUMIFS(业务流水!$O$5:$O$1504,业务流水!$E$5:$E$1504,$B$3,业务流水!$D$5:$D$1504,"销项开票",业务流水!$C$5:$C$1504,$A294,业务流水!$Z$5:$Z$1504,"是"))</f>
        <v/>
      </c>
      <c r="E294" s="41" t="str">
        <f aca="false">IF($A294="","",SUMIFS(业务流水!$P$5:$P$1504,业务流水!$E$5:$E$1504,$B$3,业务流水!$D$5:$D$1504,"销项开票",业务流水!$C$5:$C$1504,$A294,业务流水!$Z$5:$Z$1504,"是"))</f>
        <v/>
      </c>
      <c r="F294" s="41" t="str">
        <f aca="false">IF($A294="","",SUMIFS(业务流水!$H$5:$H$1504,业务流水!$F$5:$F$1504,$B$3,业务流水!$D$5:$D$1504,"成本票",业务流水!$C$5:$C$1504,$A294,业务流水!$Z$5:$Z$1504,"是")+SUMIFS(业务流水!$H$5:$H$1504,业务流水!$F$5:$F$1504,$B$3,业务流水!$D$5:$D$1504,"销项开票",业务流水!$C$5:$C$1504,$A294,业务流水!$Z$5:$Z$1504,"是"))</f>
        <v/>
      </c>
      <c r="G294" s="42" t="str">
        <f aca="false">IF($A294="","",$E294-$F294)</f>
        <v/>
      </c>
      <c r="H294" s="41" t="str">
        <f aca="false">IF($A294="","",SUMIFS(业务流水!$W$5:$W$1504,业务流水!$E$5:$E$1504,$B$3,业务流水!$D$5:$D$1504,"销项开票",业务流水!$C$5:$C$1504,$A294,业务流水!$Z$5:$Z$1504,"是"))</f>
        <v/>
      </c>
      <c r="I294" s="41" t="str">
        <f aca="false">IF($A294="","",SUMIFS(业务流水!$H$5:$H$1504,业务流水!$E$5:$E$1504,$B$3,业务流水!$D$5:$D$1504,"已交税",业务流水!$C$5:$C$1504,$A294,业务流水!$Z$5:$Z$1504,"是"))</f>
        <v/>
      </c>
      <c r="J294" s="42" t="str">
        <f aca="false">IF($A294="","",$H294-$I294)</f>
        <v/>
      </c>
      <c r="K294" s="41" t="str">
        <f aca="false">IF($A294="","",SUMIFS(业务流水!$H$5:$H$1504,业务流水!$F$5:$F$1504,$B$3,业务流水!$D$5:$D$1504,"挂靠代收",业务流水!$C$5:$C$1504,$A294,业务流水!$Z$5:$Z$1504,"是"))</f>
        <v/>
      </c>
      <c r="L294" s="42" t="str">
        <f aca="false">IF($A294="","",$C294-$K294)</f>
        <v/>
      </c>
      <c r="M294" s="41" t="str">
        <f aca="false">IF($A294="","",SUMIFS(业务流水!$H$5:$H$1504,业务流水!$E$5:$E$1504,$B$3,业务流水!$D$5:$D$1504,"我方收款",业务流水!$C$5:$C$1504,$A294,业务流水!$Z$5:$Z$1504,"是"))</f>
        <v/>
      </c>
      <c r="N294" s="43" t="str">
        <f aca="false">IF($A294="","",$K294-$M294)</f>
        <v/>
      </c>
      <c r="O294" s="41" t="str">
        <f aca="false">IF($A294="","",SUMIFS(业务流水!$H$5:$H$1504,业务流水!$F$5:$F$1504,$B$3,业务流水!$D$5:$D$1504,"管理费结算",业务流水!$C$5:$C$1504,$A294,业务流水!$Z$5:$Z$1504,"是"))</f>
        <v/>
      </c>
      <c r="P294" s="41" t="str">
        <f aca="false">IF($A294="","",SUMIFS(业务流水!$H$5:$H$1504,业务流水!$E$5:$E$1504,$B$3,业务流水!$D$5:$D$1504,"扣质保金",业务流水!$C$5:$C$1504,$A294,业务流水!$Z$5:$Z$1504,"是"))</f>
        <v/>
      </c>
      <c r="Q294" s="48" t="str">
        <f aca="false">IF($A294="","",IF(SUM($C294:$F294)+SUM($K294:$M294)=0,"无","有"))</f>
        <v/>
      </c>
    </row>
    <row r="295" customFormat="false" ht="15.75" hidden="false" customHeight="true" outlineLevel="0" collapsed="false">
      <c r="A295" s="32" t="str">
        <f aca="false">IF(项目档案!$A295="","",项目档案!$A295)</f>
        <v/>
      </c>
      <c r="B295" s="40" t="str">
        <f aca="false">IF($A295="","",项目档案!$B295)</f>
        <v/>
      </c>
      <c r="C295" s="41" t="str">
        <f aca="false">IF($A295="","",SUMIFS(业务流水!$H$5:$H$1504,业务流水!$E$5:$E$1504,$B$3,业务流水!$D$5:$D$1504,"销项开票",业务流水!$C$5:$C$1504,$A295,业务流水!$Z$5:$Z$1504,"是"))</f>
        <v/>
      </c>
      <c r="D295" s="41" t="str">
        <f aca="false">IF($A295="","",SUMIFS(业务流水!$O$5:$O$1504,业务流水!$E$5:$E$1504,$B$3,业务流水!$D$5:$D$1504,"销项开票",业务流水!$C$5:$C$1504,$A295,业务流水!$Z$5:$Z$1504,"是"))</f>
        <v/>
      </c>
      <c r="E295" s="41" t="str">
        <f aca="false">IF($A295="","",SUMIFS(业务流水!$P$5:$P$1504,业务流水!$E$5:$E$1504,$B$3,业务流水!$D$5:$D$1504,"销项开票",业务流水!$C$5:$C$1504,$A295,业务流水!$Z$5:$Z$1504,"是"))</f>
        <v/>
      </c>
      <c r="F295" s="41" t="str">
        <f aca="false">IF($A295="","",SUMIFS(业务流水!$H$5:$H$1504,业务流水!$F$5:$F$1504,$B$3,业务流水!$D$5:$D$1504,"成本票",业务流水!$C$5:$C$1504,$A295,业务流水!$Z$5:$Z$1504,"是")+SUMIFS(业务流水!$H$5:$H$1504,业务流水!$F$5:$F$1504,$B$3,业务流水!$D$5:$D$1504,"销项开票",业务流水!$C$5:$C$1504,$A295,业务流水!$Z$5:$Z$1504,"是"))</f>
        <v/>
      </c>
      <c r="G295" s="42" t="str">
        <f aca="false">IF($A295="","",$E295-$F295)</f>
        <v/>
      </c>
      <c r="H295" s="41" t="str">
        <f aca="false">IF($A295="","",SUMIFS(业务流水!$W$5:$W$1504,业务流水!$E$5:$E$1504,$B$3,业务流水!$D$5:$D$1504,"销项开票",业务流水!$C$5:$C$1504,$A295,业务流水!$Z$5:$Z$1504,"是"))</f>
        <v/>
      </c>
      <c r="I295" s="41" t="str">
        <f aca="false">IF($A295="","",SUMIFS(业务流水!$H$5:$H$1504,业务流水!$E$5:$E$1504,$B$3,业务流水!$D$5:$D$1504,"已交税",业务流水!$C$5:$C$1504,$A295,业务流水!$Z$5:$Z$1504,"是"))</f>
        <v/>
      </c>
      <c r="J295" s="42" t="str">
        <f aca="false">IF($A295="","",$H295-$I295)</f>
        <v/>
      </c>
      <c r="K295" s="41" t="str">
        <f aca="false">IF($A295="","",SUMIFS(业务流水!$H$5:$H$1504,业务流水!$F$5:$F$1504,$B$3,业务流水!$D$5:$D$1504,"挂靠代收",业务流水!$C$5:$C$1504,$A295,业务流水!$Z$5:$Z$1504,"是"))</f>
        <v/>
      </c>
      <c r="L295" s="42" t="str">
        <f aca="false">IF($A295="","",$C295-$K295)</f>
        <v/>
      </c>
      <c r="M295" s="41" t="str">
        <f aca="false">IF($A295="","",SUMIFS(业务流水!$H$5:$H$1504,业务流水!$E$5:$E$1504,$B$3,业务流水!$D$5:$D$1504,"我方收款",业务流水!$C$5:$C$1504,$A295,业务流水!$Z$5:$Z$1504,"是"))</f>
        <v/>
      </c>
      <c r="N295" s="43" t="str">
        <f aca="false">IF($A295="","",$K295-$M295)</f>
        <v/>
      </c>
      <c r="O295" s="41" t="str">
        <f aca="false">IF($A295="","",SUMIFS(业务流水!$H$5:$H$1504,业务流水!$F$5:$F$1504,$B$3,业务流水!$D$5:$D$1504,"管理费结算",业务流水!$C$5:$C$1504,$A295,业务流水!$Z$5:$Z$1504,"是"))</f>
        <v/>
      </c>
      <c r="P295" s="41" t="str">
        <f aca="false">IF($A295="","",SUMIFS(业务流水!$H$5:$H$1504,业务流水!$E$5:$E$1504,$B$3,业务流水!$D$5:$D$1504,"扣质保金",业务流水!$C$5:$C$1504,$A295,业务流水!$Z$5:$Z$1504,"是"))</f>
        <v/>
      </c>
      <c r="Q295" s="48" t="str">
        <f aca="false">IF($A295="","",IF(SUM($C295:$F295)+SUM($K295:$M295)=0,"无","有"))</f>
        <v/>
      </c>
    </row>
    <row r="296" customFormat="false" ht="15.75" hidden="false" customHeight="true" outlineLevel="0" collapsed="false">
      <c r="A296" s="32" t="str">
        <f aca="false">IF(项目档案!$A296="","",项目档案!$A296)</f>
        <v/>
      </c>
      <c r="B296" s="40" t="str">
        <f aca="false">IF($A296="","",项目档案!$B296)</f>
        <v/>
      </c>
      <c r="C296" s="41" t="str">
        <f aca="false">IF($A296="","",SUMIFS(业务流水!$H$5:$H$1504,业务流水!$E$5:$E$1504,$B$3,业务流水!$D$5:$D$1504,"销项开票",业务流水!$C$5:$C$1504,$A296,业务流水!$Z$5:$Z$1504,"是"))</f>
        <v/>
      </c>
      <c r="D296" s="41" t="str">
        <f aca="false">IF($A296="","",SUMIFS(业务流水!$O$5:$O$1504,业务流水!$E$5:$E$1504,$B$3,业务流水!$D$5:$D$1504,"销项开票",业务流水!$C$5:$C$1504,$A296,业务流水!$Z$5:$Z$1504,"是"))</f>
        <v/>
      </c>
      <c r="E296" s="41" t="str">
        <f aca="false">IF($A296="","",SUMIFS(业务流水!$P$5:$P$1504,业务流水!$E$5:$E$1504,$B$3,业务流水!$D$5:$D$1504,"销项开票",业务流水!$C$5:$C$1504,$A296,业务流水!$Z$5:$Z$1504,"是"))</f>
        <v/>
      </c>
      <c r="F296" s="41" t="str">
        <f aca="false">IF($A296="","",SUMIFS(业务流水!$H$5:$H$1504,业务流水!$F$5:$F$1504,$B$3,业务流水!$D$5:$D$1504,"成本票",业务流水!$C$5:$C$1504,$A296,业务流水!$Z$5:$Z$1504,"是")+SUMIFS(业务流水!$H$5:$H$1504,业务流水!$F$5:$F$1504,$B$3,业务流水!$D$5:$D$1504,"销项开票",业务流水!$C$5:$C$1504,$A296,业务流水!$Z$5:$Z$1504,"是"))</f>
        <v/>
      </c>
      <c r="G296" s="42" t="str">
        <f aca="false">IF($A296="","",$E296-$F296)</f>
        <v/>
      </c>
      <c r="H296" s="41" t="str">
        <f aca="false">IF($A296="","",SUMIFS(业务流水!$W$5:$W$1504,业务流水!$E$5:$E$1504,$B$3,业务流水!$D$5:$D$1504,"销项开票",业务流水!$C$5:$C$1504,$A296,业务流水!$Z$5:$Z$1504,"是"))</f>
        <v/>
      </c>
      <c r="I296" s="41" t="str">
        <f aca="false">IF($A296="","",SUMIFS(业务流水!$H$5:$H$1504,业务流水!$E$5:$E$1504,$B$3,业务流水!$D$5:$D$1504,"已交税",业务流水!$C$5:$C$1504,$A296,业务流水!$Z$5:$Z$1504,"是"))</f>
        <v/>
      </c>
      <c r="J296" s="42" t="str">
        <f aca="false">IF($A296="","",$H296-$I296)</f>
        <v/>
      </c>
      <c r="K296" s="41" t="str">
        <f aca="false">IF($A296="","",SUMIFS(业务流水!$H$5:$H$1504,业务流水!$F$5:$F$1504,$B$3,业务流水!$D$5:$D$1504,"挂靠代收",业务流水!$C$5:$C$1504,$A296,业务流水!$Z$5:$Z$1504,"是"))</f>
        <v/>
      </c>
      <c r="L296" s="42" t="str">
        <f aca="false">IF($A296="","",$C296-$K296)</f>
        <v/>
      </c>
      <c r="M296" s="41" t="str">
        <f aca="false">IF($A296="","",SUMIFS(业务流水!$H$5:$H$1504,业务流水!$E$5:$E$1504,$B$3,业务流水!$D$5:$D$1504,"我方收款",业务流水!$C$5:$C$1504,$A296,业务流水!$Z$5:$Z$1504,"是"))</f>
        <v/>
      </c>
      <c r="N296" s="43" t="str">
        <f aca="false">IF($A296="","",$K296-$M296)</f>
        <v/>
      </c>
      <c r="O296" s="41" t="str">
        <f aca="false">IF($A296="","",SUMIFS(业务流水!$H$5:$H$1504,业务流水!$F$5:$F$1504,$B$3,业务流水!$D$5:$D$1504,"管理费结算",业务流水!$C$5:$C$1504,$A296,业务流水!$Z$5:$Z$1504,"是"))</f>
        <v/>
      </c>
      <c r="P296" s="41" t="str">
        <f aca="false">IF($A296="","",SUMIFS(业务流水!$H$5:$H$1504,业务流水!$E$5:$E$1504,$B$3,业务流水!$D$5:$D$1504,"扣质保金",业务流水!$C$5:$C$1504,$A296,业务流水!$Z$5:$Z$1504,"是"))</f>
        <v/>
      </c>
      <c r="Q296" s="48" t="str">
        <f aca="false">IF($A296="","",IF(SUM($C296:$F296)+SUM($K296:$M296)=0,"无","有"))</f>
        <v/>
      </c>
    </row>
    <row r="297" customFormat="false" ht="15.75" hidden="false" customHeight="true" outlineLevel="0" collapsed="false">
      <c r="A297" s="32" t="str">
        <f aca="false">IF(项目档案!$A297="","",项目档案!$A297)</f>
        <v/>
      </c>
      <c r="B297" s="40" t="str">
        <f aca="false">IF($A297="","",项目档案!$B297)</f>
        <v/>
      </c>
      <c r="C297" s="41" t="str">
        <f aca="false">IF($A297="","",SUMIFS(业务流水!$H$5:$H$1504,业务流水!$E$5:$E$1504,$B$3,业务流水!$D$5:$D$1504,"销项开票",业务流水!$C$5:$C$1504,$A297,业务流水!$Z$5:$Z$1504,"是"))</f>
        <v/>
      </c>
      <c r="D297" s="41" t="str">
        <f aca="false">IF($A297="","",SUMIFS(业务流水!$O$5:$O$1504,业务流水!$E$5:$E$1504,$B$3,业务流水!$D$5:$D$1504,"销项开票",业务流水!$C$5:$C$1504,$A297,业务流水!$Z$5:$Z$1504,"是"))</f>
        <v/>
      </c>
      <c r="E297" s="41" t="str">
        <f aca="false">IF($A297="","",SUMIFS(业务流水!$P$5:$P$1504,业务流水!$E$5:$E$1504,$B$3,业务流水!$D$5:$D$1504,"销项开票",业务流水!$C$5:$C$1504,$A297,业务流水!$Z$5:$Z$1504,"是"))</f>
        <v/>
      </c>
      <c r="F297" s="41" t="str">
        <f aca="false">IF($A297="","",SUMIFS(业务流水!$H$5:$H$1504,业务流水!$F$5:$F$1504,$B$3,业务流水!$D$5:$D$1504,"成本票",业务流水!$C$5:$C$1504,$A297,业务流水!$Z$5:$Z$1504,"是")+SUMIFS(业务流水!$H$5:$H$1504,业务流水!$F$5:$F$1504,$B$3,业务流水!$D$5:$D$1504,"销项开票",业务流水!$C$5:$C$1504,$A297,业务流水!$Z$5:$Z$1504,"是"))</f>
        <v/>
      </c>
      <c r="G297" s="42" t="str">
        <f aca="false">IF($A297="","",$E297-$F297)</f>
        <v/>
      </c>
      <c r="H297" s="41" t="str">
        <f aca="false">IF($A297="","",SUMIFS(业务流水!$W$5:$W$1504,业务流水!$E$5:$E$1504,$B$3,业务流水!$D$5:$D$1504,"销项开票",业务流水!$C$5:$C$1504,$A297,业务流水!$Z$5:$Z$1504,"是"))</f>
        <v/>
      </c>
      <c r="I297" s="41" t="str">
        <f aca="false">IF($A297="","",SUMIFS(业务流水!$H$5:$H$1504,业务流水!$E$5:$E$1504,$B$3,业务流水!$D$5:$D$1504,"已交税",业务流水!$C$5:$C$1504,$A297,业务流水!$Z$5:$Z$1504,"是"))</f>
        <v/>
      </c>
      <c r="J297" s="42" t="str">
        <f aca="false">IF($A297="","",$H297-$I297)</f>
        <v/>
      </c>
      <c r="K297" s="41" t="str">
        <f aca="false">IF($A297="","",SUMIFS(业务流水!$H$5:$H$1504,业务流水!$F$5:$F$1504,$B$3,业务流水!$D$5:$D$1504,"挂靠代收",业务流水!$C$5:$C$1504,$A297,业务流水!$Z$5:$Z$1504,"是"))</f>
        <v/>
      </c>
      <c r="L297" s="42" t="str">
        <f aca="false">IF($A297="","",$C297-$K297)</f>
        <v/>
      </c>
      <c r="M297" s="41" t="str">
        <f aca="false">IF($A297="","",SUMIFS(业务流水!$H$5:$H$1504,业务流水!$E$5:$E$1504,$B$3,业务流水!$D$5:$D$1504,"我方收款",业务流水!$C$5:$C$1504,$A297,业务流水!$Z$5:$Z$1504,"是"))</f>
        <v/>
      </c>
      <c r="N297" s="43" t="str">
        <f aca="false">IF($A297="","",$K297-$M297)</f>
        <v/>
      </c>
      <c r="O297" s="41" t="str">
        <f aca="false">IF($A297="","",SUMIFS(业务流水!$H$5:$H$1504,业务流水!$F$5:$F$1504,$B$3,业务流水!$D$5:$D$1504,"管理费结算",业务流水!$C$5:$C$1504,$A297,业务流水!$Z$5:$Z$1504,"是"))</f>
        <v/>
      </c>
      <c r="P297" s="41" t="str">
        <f aca="false">IF($A297="","",SUMIFS(业务流水!$H$5:$H$1504,业务流水!$E$5:$E$1504,$B$3,业务流水!$D$5:$D$1504,"扣质保金",业务流水!$C$5:$C$1504,$A297,业务流水!$Z$5:$Z$1504,"是"))</f>
        <v/>
      </c>
      <c r="Q297" s="48" t="str">
        <f aca="false">IF($A297="","",IF(SUM($C297:$F297)+SUM($K297:$M297)=0,"无","有"))</f>
        <v/>
      </c>
    </row>
    <row r="298" customFormat="false" ht="15.75" hidden="false" customHeight="true" outlineLevel="0" collapsed="false">
      <c r="A298" s="32" t="str">
        <f aca="false">IF(项目档案!$A298="","",项目档案!$A298)</f>
        <v/>
      </c>
      <c r="B298" s="40" t="str">
        <f aca="false">IF($A298="","",项目档案!$B298)</f>
        <v/>
      </c>
      <c r="C298" s="41" t="str">
        <f aca="false">IF($A298="","",SUMIFS(业务流水!$H$5:$H$1504,业务流水!$E$5:$E$1504,$B$3,业务流水!$D$5:$D$1504,"销项开票",业务流水!$C$5:$C$1504,$A298,业务流水!$Z$5:$Z$1504,"是"))</f>
        <v/>
      </c>
      <c r="D298" s="41" t="str">
        <f aca="false">IF($A298="","",SUMIFS(业务流水!$O$5:$O$1504,业务流水!$E$5:$E$1504,$B$3,业务流水!$D$5:$D$1504,"销项开票",业务流水!$C$5:$C$1504,$A298,业务流水!$Z$5:$Z$1504,"是"))</f>
        <v/>
      </c>
      <c r="E298" s="41" t="str">
        <f aca="false">IF($A298="","",SUMIFS(业务流水!$P$5:$P$1504,业务流水!$E$5:$E$1504,$B$3,业务流水!$D$5:$D$1504,"销项开票",业务流水!$C$5:$C$1504,$A298,业务流水!$Z$5:$Z$1504,"是"))</f>
        <v/>
      </c>
      <c r="F298" s="41" t="str">
        <f aca="false">IF($A298="","",SUMIFS(业务流水!$H$5:$H$1504,业务流水!$F$5:$F$1504,$B$3,业务流水!$D$5:$D$1504,"成本票",业务流水!$C$5:$C$1504,$A298,业务流水!$Z$5:$Z$1504,"是")+SUMIFS(业务流水!$H$5:$H$1504,业务流水!$F$5:$F$1504,$B$3,业务流水!$D$5:$D$1504,"销项开票",业务流水!$C$5:$C$1504,$A298,业务流水!$Z$5:$Z$1504,"是"))</f>
        <v/>
      </c>
      <c r="G298" s="42" t="str">
        <f aca="false">IF($A298="","",$E298-$F298)</f>
        <v/>
      </c>
      <c r="H298" s="41" t="str">
        <f aca="false">IF($A298="","",SUMIFS(业务流水!$W$5:$W$1504,业务流水!$E$5:$E$1504,$B$3,业务流水!$D$5:$D$1504,"销项开票",业务流水!$C$5:$C$1504,$A298,业务流水!$Z$5:$Z$1504,"是"))</f>
        <v/>
      </c>
      <c r="I298" s="41" t="str">
        <f aca="false">IF($A298="","",SUMIFS(业务流水!$H$5:$H$1504,业务流水!$E$5:$E$1504,$B$3,业务流水!$D$5:$D$1504,"已交税",业务流水!$C$5:$C$1504,$A298,业务流水!$Z$5:$Z$1504,"是"))</f>
        <v/>
      </c>
      <c r="J298" s="42" t="str">
        <f aca="false">IF($A298="","",$H298-$I298)</f>
        <v/>
      </c>
      <c r="K298" s="41" t="str">
        <f aca="false">IF($A298="","",SUMIFS(业务流水!$H$5:$H$1504,业务流水!$F$5:$F$1504,$B$3,业务流水!$D$5:$D$1504,"挂靠代收",业务流水!$C$5:$C$1504,$A298,业务流水!$Z$5:$Z$1504,"是"))</f>
        <v/>
      </c>
      <c r="L298" s="42" t="str">
        <f aca="false">IF($A298="","",$C298-$K298)</f>
        <v/>
      </c>
      <c r="M298" s="41" t="str">
        <f aca="false">IF($A298="","",SUMIFS(业务流水!$H$5:$H$1504,业务流水!$E$5:$E$1504,$B$3,业务流水!$D$5:$D$1504,"我方收款",业务流水!$C$5:$C$1504,$A298,业务流水!$Z$5:$Z$1504,"是"))</f>
        <v/>
      </c>
      <c r="N298" s="43" t="str">
        <f aca="false">IF($A298="","",$K298-$M298)</f>
        <v/>
      </c>
      <c r="O298" s="41" t="str">
        <f aca="false">IF($A298="","",SUMIFS(业务流水!$H$5:$H$1504,业务流水!$F$5:$F$1504,$B$3,业务流水!$D$5:$D$1504,"管理费结算",业务流水!$C$5:$C$1504,$A298,业务流水!$Z$5:$Z$1504,"是"))</f>
        <v/>
      </c>
      <c r="P298" s="41" t="str">
        <f aca="false">IF($A298="","",SUMIFS(业务流水!$H$5:$H$1504,业务流水!$E$5:$E$1504,$B$3,业务流水!$D$5:$D$1504,"扣质保金",业务流水!$C$5:$C$1504,$A298,业务流水!$Z$5:$Z$1504,"是"))</f>
        <v/>
      </c>
      <c r="Q298" s="48" t="str">
        <f aca="false">IF($A298="","",IF(SUM($C298:$F298)+SUM($K298:$M298)=0,"无","有"))</f>
        <v/>
      </c>
    </row>
    <row r="299" customFormat="false" ht="15.75" hidden="false" customHeight="true" outlineLevel="0" collapsed="false">
      <c r="A299" s="32" t="str">
        <f aca="false">IF(项目档案!$A299="","",项目档案!$A299)</f>
        <v/>
      </c>
      <c r="B299" s="40" t="str">
        <f aca="false">IF($A299="","",项目档案!$B299)</f>
        <v/>
      </c>
      <c r="C299" s="41" t="str">
        <f aca="false">IF($A299="","",SUMIFS(业务流水!$H$5:$H$1504,业务流水!$E$5:$E$1504,$B$3,业务流水!$D$5:$D$1504,"销项开票",业务流水!$C$5:$C$1504,$A299,业务流水!$Z$5:$Z$1504,"是"))</f>
        <v/>
      </c>
      <c r="D299" s="41" t="str">
        <f aca="false">IF($A299="","",SUMIFS(业务流水!$O$5:$O$1504,业务流水!$E$5:$E$1504,$B$3,业务流水!$D$5:$D$1504,"销项开票",业务流水!$C$5:$C$1504,$A299,业务流水!$Z$5:$Z$1504,"是"))</f>
        <v/>
      </c>
      <c r="E299" s="41" t="str">
        <f aca="false">IF($A299="","",SUMIFS(业务流水!$P$5:$P$1504,业务流水!$E$5:$E$1504,$B$3,业务流水!$D$5:$D$1504,"销项开票",业务流水!$C$5:$C$1504,$A299,业务流水!$Z$5:$Z$1504,"是"))</f>
        <v/>
      </c>
      <c r="F299" s="41" t="str">
        <f aca="false">IF($A299="","",SUMIFS(业务流水!$H$5:$H$1504,业务流水!$F$5:$F$1504,$B$3,业务流水!$D$5:$D$1504,"成本票",业务流水!$C$5:$C$1504,$A299,业务流水!$Z$5:$Z$1504,"是")+SUMIFS(业务流水!$H$5:$H$1504,业务流水!$F$5:$F$1504,$B$3,业务流水!$D$5:$D$1504,"销项开票",业务流水!$C$5:$C$1504,$A299,业务流水!$Z$5:$Z$1504,"是"))</f>
        <v/>
      </c>
      <c r="G299" s="42" t="str">
        <f aca="false">IF($A299="","",$E299-$F299)</f>
        <v/>
      </c>
      <c r="H299" s="41" t="str">
        <f aca="false">IF($A299="","",SUMIFS(业务流水!$W$5:$W$1504,业务流水!$E$5:$E$1504,$B$3,业务流水!$D$5:$D$1504,"销项开票",业务流水!$C$5:$C$1504,$A299,业务流水!$Z$5:$Z$1504,"是"))</f>
        <v/>
      </c>
      <c r="I299" s="41" t="str">
        <f aca="false">IF($A299="","",SUMIFS(业务流水!$H$5:$H$1504,业务流水!$E$5:$E$1504,$B$3,业务流水!$D$5:$D$1504,"已交税",业务流水!$C$5:$C$1504,$A299,业务流水!$Z$5:$Z$1504,"是"))</f>
        <v/>
      </c>
      <c r="J299" s="42" t="str">
        <f aca="false">IF($A299="","",$H299-$I299)</f>
        <v/>
      </c>
      <c r="K299" s="41" t="str">
        <f aca="false">IF($A299="","",SUMIFS(业务流水!$H$5:$H$1504,业务流水!$F$5:$F$1504,$B$3,业务流水!$D$5:$D$1504,"挂靠代收",业务流水!$C$5:$C$1504,$A299,业务流水!$Z$5:$Z$1504,"是"))</f>
        <v/>
      </c>
      <c r="L299" s="42" t="str">
        <f aca="false">IF($A299="","",$C299-$K299)</f>
        <v/>
      </c>
      <c r="M299" s="41" t="str">
        <f aca="false">IF($A299="","",SUMIFS(业务流水!$H$5:$H$1504,业务流水!$E$5:$E$1504,$B$3,业务流水!$D$5:$D$1504,"我方收款",业务流水!$C$5:$C$1504,$A299,业务流水!$Z$5:$Z$1504,"是"))</f>
        <v/>
      </c>
      <c r="N299" s="43" t="str">
        <f aca="false">IF($A299="","",$K299-$M299)</f>
        <v/>
      </c>
      <c r="O299" s="41" t="str">
        <f aca="false">IF($A299="","",SUMIFS(业务流水!$H$5:$H$1504,业务流水!$F$5:$F$1504,$B$3,业务流水!$D$5:$D$1504,"管理费结算",业务流水!$C$5:$C$1504,$A299,业务流水!$Z$5:$Z$1504,"是"))</f>
        <v/>
      </c>
      <c r="P299" s="41" t="str">
        <f aca="false">IF($A299="","",SUMIFS(业务流水!$H$5:$H$1504,业务流水!$E$5:$E$1504,$B$3,业务流水!$D$5:$D$1504,"扣质保金",业务流水!$C$5:$C$1504,$A299,业务流水!$Z$5:$Z$1504,"是"))</f>
        <v/>
      </c>
      <c r="Q299" s="48" t="str">
        <f aca="false">IF($A299="","",IF(SUM($C299:$F299)+SUM($K299:$M299)=0,"无","有"))</f>
        <v/>
      </c>
    </row>
    <row r="300" customFormat="false" ht="15.75" hidden="false" customHeight="true" outlineLevel="0" collapsed="false">
      <c r="A300" s="32" t="str">
        <f aca="false">IF(项目档案!$A300="","",项目档案!$A300)</f>
        <v/>
      </c>
      <c r="B300" s="40" t="str">
        <f aca="false">IF($A300="","",项目档案!$B300)</f>
        <v/>
      </c>
      <c r="C300" s="41" t="str">
        <f aca="false">IF($A300="","",SUMIFS(业务流水!$H$5:$H$1504,业务流水!$E$5:$E$1504,$B$3,业务流水!$D$5:$D$1504,"销项开票",业务流水!$C$5:$C$1504,$A300,业务流水!$Z$5:$Z$1504,"是"))</f>
        <v/>
      </c>
      <c r="D300" s="41" t="str">
        <f aca="false">IF($A300="","",SUMIFS(业务流水!$O$5:$O$1504,业务流水!$E$5:$E$1504,$B$3,业务流水!$D$5:$D$1504,"销项开票",业务流水!$C$5:$C$1504,$A300,业务流水!$Z$5:$Z$1504,"是"))</f>
        <v/>
      </c>
      <c r="E300" s="41" t="str">
        <f aca="false">IF($A300="","",SUMIFS(业务流水!$P$5:$P$1504,业务流水!$E$5:$E$1504,$B$3,业务流水!$D$5:$D$1504,"销项开票",业务流水!$C$5:$C$1504,$A300,业务流水!$Z$5:$Z$1504,"是"))</f>
        <v/>
      </c>
      <c r="F300" s="41" t="str">
        <f aca="false">IF($A300="","",SUMIFS(业务流水!$H$5:$H$1504,业务流水!$F$5:$F$1504,$B$3,业务流水!$D$5:$D$1504,"成本票",业务流水!$C$5:$C$1504,$A300,业务流水!$Z$5:$Z$1504,"是")+SUMIFS(业务流水!$H$5:$H$1504,业务流水!$F$5:$F$1504,$B$3,业务流水!$D$5:$D$1504,"销项开票",业务流水!$C$5:$C$1504,$A300,业务流水!$Z$5:$Z$1504,"是"))</f>
        <v/>
      </c>
      <c r="G300" s="42" t="str">
        <f aca="false">IF($A300="","",$E300-$F300)</f>
        <v/>
      </c>
      <c r="H300" s="41" t="str">
        <f aca="false">IF($A300="","",SUMIFS(业务流水!$W$5:$W$1504,业务流水!$E$5:$E$1504,$B$3,业务流水!$D$5:$D$1504,"销项开票",业务流水!$C$5:$C$1504,$A300,业务流水!$Z$5:$Z$1504,"是"))</f>
        <v/>
      </c>
      <c r="I300" s="41" t="str">
        <f aca="false">IF($A300="","",SUMIFS(业务流水!$H$5:$H$1504,业务流水!$E$5:$E$1504,$B$3,业务流水!$D$5:$D$1504,"已交税",业务流水!$C$5:$C$1504,$A300,业务流水!$Z$5:$Z$1504,"是"))</f>
        <v/>
      </c>
      <c r="J300" s="42" t="str">
        <f aca="false">IF($A300="","",$H300-$I300)</f>
        <v/>
      </c>
      <c r="K300" s="41" t="str">
        <f aca="false">IF($A300="","",SUMIFS(业务流水!$H$5:$H$1504,业务流水!$F$5:$F$1504,$B$3,业务流水!$D$5:$D$1504,"挂靠代收",业务流水!$C$5:$C$1504,$A300,业务流水!$Z$5:$Z$1504,"是"))</f>
        <v/>
      </c>
      <c r="L300" s="42" t="str">
        <f aca="false">IF($A300="","",$C300-$K300)</f>
        <v/>
      </c>
      <c r="M300" s="41" t="str">
        <f aca="false">IF($A300="","",SUMIFS(业务流水!$H$5:$H$1504,业务流水!$E$5:$E$1504,$B$3,业务流水!$D$5:$D$1504,"我方收款",业务流水!$C$5:$C$1504,$A300,业务流水!$Z$5:$Z$1504,"是"))</f>
        <v/>
      </c>
      <c r="N300" s="43" t="str">
        <f aca="false">IF($A300="","",$K300-$M300)</f>
        <v/>
      </c>
      <c r="O300" s="41" t="str">
        <f aca="false">IF($A300="","",SUMIFS(业务流水!$H$5:$H$1504,业务流水!$F$5:$F$1504,$B$3,业务流水!$D$5:$D$1504,"管理费结算",业务流水!$C$5:$C$1504,$A300,业务流水!$Z$5:$Z$1504,"是"))</f>
        <v/>
      </c>
      <c r="P300" s="41" t="str">
        <f aca="false">IF($A300="","",SUMIFS(业务流水!$H$5:$H$1504,业务流水!$E$5:$E$1504,$B$3,业务流水!$D$5:$D$1504,"扣质保金",业务流水!$C$5:$C$1504,$A300,业务流水!$Z$5:$Z$1504,"是"))</f>
        <v/>
      </c>
      <c r="Q300" s="48" t="str">
        <f aca="false">IF($A300="","",IF(SUM($C300:$F300)+SUM($K300:$M300)=0,"无","有"))</f>
        <v/>
      </c>
    </row>
    <row r="301" customFormat="false" ht="15.75" hidden="false" customHeight="true" outlineLevel="0" collapsed="false">
      <c r="A301" s="32" t="str">
        <f aca="false">IF(项目档案!$A301="","",项目档案!$A301)</f>
        <v/>
      </c>
      <c r="B301" s="40" t="str">
        <f aca="false">IF($A301="","",项目档案!$B301)</f>
        <v/>
      </c>
      <c r="C301" s="41" t="str">
        <f aca="false">IF($A301="","",SUMIFS(业务流水!$H$5:$H$1504,业务流水!$E$5:$E$1504,$B$3,业务流水!$D$5:$D$1504,"销项开票",业务流水!$C$5:$C$1504,$A301,业务流水!$Z$5:$Z$1504,"是"))</f>
        <v/>
      </c>
      <c r="D301" s="41" t="str">
        <f aca="false">IF($A301="","",SUMIFS(业务流水!$O$5:$O$1504,业务流水!$E$5:$E$1504,$B$3,业务流水!$D$5:$D$1504,"销项开票",业务流水!$C$5:$C$1504,$A301,业务流水!$Z$5:$Z$1504,"是"))</f>
        <v/>
      </c>
      <c r="E301" s="41" t="str">
        <f aca="false">IF($A301="","",SUMIFS(业务流水!$P$5:$P$1504,业务流水!$E$5:$E$1504,$B$3,业务流水!$D$5:$D$1504,"销项开票",业务流水!$C$5:$C$1504,$A301,业务流水!$Z$5:$Z$1504,"是"))</f>
        <v/>
      </c>
      <c r="F301" s="41" t="str">
        <f aca="false">IF($A301="","",SUMIFS(业务流水!$H$5:$H$1504,业务流水!$F$5:$F$1504,$B$3,业务流水!$D$5:$D$1504,"成本票",业务流水!$C$5:$C$1504,$A301,业务流水!$Z$5:$Z$1504,"是")+SUMIFS(业务流水!$H$5:$H$1504,业务流水!$F$5:$F$1504,$B$3,业务流水!$D$5:$D$1504,"销项开票",业务流水!$C$5:$C$1504,$A301,业务流水!$Z$5:$Z$1504,"是"))</f>
        <v/>
      </c>
      <c r="G301" s="42" t="str">
        <f aca="false">IF($A301="","",$E301-$F301)</f>
        <v/>
      </c>
      <c r="H301" s="41" t="str">
        <f aca="false">IF($A301="","",SUMIFS(业务流水!$W$5:$W$1504,业务流水!$E$5:$E$1504,$B$3,业务流水!$D$5:$D$1504,"销项开票",业务流水!$C$5:$C$1504,$A301,业务流水!$Z$5:$Z$1504,"是"))</f>
        <v/>
      </c>
      <c r="I301" s="41" t="str">
        <f aca="false">IF($A301="","",SUMIFS(业务流水!$H$5:$H$1504,业务流水!$E$5:$E$1504,$B$3,业务流水!$D$5:$D$1504,"已交税",业务流水!$C$5:$C$1504,$A301,业务流水!$Z$5:$Z$1504,"是"))</f>
        <v/>
      </c>
      <c r="J301" s="42" t="str">
        <f aca="false">IF($A301="","",$H301-$I301)</f>
        <v/>
      </c>
      <c r="K301" s="41" t="str">
        <f aca="false">IF($A301="","",SUMIFS(业务流水!$H$5:$H$1504,业务流水!$F$5:$F$1504,$B$3,业务流水!$D$5:$D$1504,"挂靠代收",业务流水!$C$5:$C$1504,$A301,业务流水!$Z$5:$Z$1504,"是"))</f>
        <v/>
      </c>
      <c r="L301" s="42" t="str">
        <f aca="false">IF($A301="","",$C301-$K301)</f>
        <v/>
      </c>
      <c r="M301" s="41" t="str">
        <f aca="false">IF($A301="","",SUMIFS(业务流水!$H$5:$H$1504,业务流水!$E$5:$E$1504,$B$3,业务流水!$D$5:$D$1504,"我方收款",业务流水!$C$5:$C$1504,$A301,业务流水!$Z$5:$Z$1504,"是"))</f>
        <v/>
      </c>
      <c r="N301" s="43" t="str">
        <f aca="false">IF($A301="","",$K301-$M301)</f>
        <v/>
      </c>
      <c r="O301" s="41" t="str">
        <f aca="false">IF($A301="","",SUMIFS(业务流水!$H$5:$H$1504,业务流水!$F$5:$F$1504,$B$3,业务流水!$D$5:$D$1504,"管理费结算",业务流水!$C$5:$C$1504,$A301,业务流水!$Z$5:$Z$1504,"是"))</f>
        <v/>
      </c>
      <c r="P301" s="41" t="str">
        <f aca="false">IF($A301="","",SUMIFS(业务流水!$H$5:$H$1504,业务流水!$E$5:$E$1504,$B$3,业务流水!$D$5:$D$1504,"扣质保金",业务流水!$C$5:$C$1504,$A301,业务流水!$Z$5:$Z$1504,"是"))</f>
        <v/>
      </c>
      <c r="Q301" s="48" t="str">
        <f aca="false">IF($A301="","",IF(SUM($C301:$F301)+SUM($K301:$M301)=0,"无","有"))</f>
        <v/>
      </c>
    </row>
    <row r="302" customFormat="false" ht="15.75" hidden="false" customHeight="true" outlineLevel="0" collapsed="false">
      <c r="A302" s="32" t="str">
        <f aca="false">IF(项目档案!$A302="","",项目档案!$A302)</f>
        <v/>
      </c>
      <c r="B302" s="40" t="str">
        <f aca="false">IF($A302="","",项目档案!$B302)</f>
        <v/>
      </c>
      <c r="C302" s="41" t="str">
        <f aca="false">IF($A302="","",SUMIFS(业务流水!$H$5:$H$1504,业务流水!$E$5:$E$1504,$B$3,业务流水!$D$5:$D$1504,"销项开票",业务流水!$C$5:$C$1504,$A302,业务流水!$Z$5:$Z$1504,"是"))</f>
        <v/>
      </c>
      <c r="D302" s="41" t="str">
        <f aca="false">IF($A302="","",SUMIFS(业务流水!$O$5:$O$1504,业务流水!$E$5:$E$1504,$B$3,业务流水!$D$5:$D$1504,"销项开票",业务流水!$C$5:$C$1504,$A302,业务流水!$Z$5:$Z$1504,"是"))</f>
        <v/>
      </c>
      <c r="E302" s="41" t="str">
        <f aca="false">IF($A302="","",SUMIFS(业务流水!$P$5:$P$1504,业务流水!$E$5:$E$1504,$B$3,业务流水!$D$5:$D$1504,"销项开票",业务流水!$C$5:$C$1504,$A302,业务流水!$Z$5:$Z$1504,"是"))</f>
        <v/>
      </c>
      <c r="F302" s="41" t="str">
        <f aca="false">IF($A302="","",SUMIFS(业务流水!$H$5:$H$1504,业务流水!$F$5:$F$1504,$B$3,业务流水!$D$5:$D$1504,"成本票",业务流水!$C$5:$C$1504,$A302,业务流水!$Z$5:$Z$1504,"是")+SUMIFS(业务流水!$H$5:$H$1504,业务流水!$F$5:$F$1504,$B$3,业务流水!$D$5:$D$1504,"销项开票",业务流水!$C$5:$C$1504,$A302,业务流水!$Z$5:$Z$1504,"是"))</f>
        <v/>
      </c>
      <c r="G302" s="42" t="str">
        <f aca="false">IF($A302="","",$E302-$F302)</f>
        <v/>
      </c>
      <c r="H302" s="41" t="str">
        <f aca="false">IF($A302="","",SUMIFS(业务流水!$W$5:$W$1504,业务流水!$E$5:$E$1504,$B$3,业务流水!$D$5:$D$1504,"销项开票",业务流水!$C$5:$C$1504,$A302,业务流水!$Z$5:$Z$1504,"是"))</f>
        <v/>
      </c>
      <c r="I302" s="41" t="str">
        <f aca="false">IF($A302="","",SUMIFS(业务流水!$H$5:$H$1504,业务流水!$E$5:$E$1504,$B$3,业务流水!$D$5:$D$1504,"已交税",业务流水!$C$5:$C$1504,$A302,业务流水!$Z$5:$Z$1504,"是"))</f>
        <v/>
      </c>
      <c r="J302" s="42" t="str">
        <f aca="false">IF($A302="","",$H302-$I302)</f>
        <v/>
      </c>
      <c r="K302" s="41" t="str">
        <f aca="false">IF($A302="","",SUMIFS(业务流水!$H$5:$H$1504,业务流水!$F$5:$F$1504,$B$3,业务流水!$D$5:$D$1504,"挂靠代收",业务流水!$C$5:$C$1504,$A302,业务流水!$Z$5:$Z$1504,"是"))</f>
        <v/>
      </c>
      <c r="L302" s="42" t="str">
        <f aca="false">IF($A302="","",$C302-$K302)</f>
        <v/>
      </c>
      <c r="M302" s="41" t="str">
        <f aca="false">IF($A302="","",SUMIFS(业务流水!$H$5:$H$1504,业务流水!$E$5:$E$1504,$B$3,业务流水!$D$5:$D$1504,"我方收款",业务流水!$C$5:$C$1504,$A302,业务流水!$Z$5:$Z$1504,"是"))</f>
        <v/>
      </c>
      <c r="N302" s="43" t="str">
        <f aca="false">IF($A302="","",$K302-$M302)</f>
        <v/>
      </c>
      <c r="O302" s="41" t="str">
        <f aca="false">IF($A302="","",SUMIFS(业务流水!$H$5:$H$1504,业务流水!$F$5:$F$1504,$B$3,业务流水!$D$5:$D$1504,"管理费结算",业务流水!$C$5:$C$1504,$A302,业务流水!$Z$5:$Z$1504,"是"))</f>
        <v/>
      </c>
      <c r="P302" s="41" t="str">
        <f aca="false">IF($A302="","",SUMIFS(业务流水!$H$5:$H$1504,业务流水!$E$5:$E$1504,$B$3,业务流水!$D$5:$D$1504,"扣质保金",业务流水!$C$5:$C$1504,$A302,业务流水!$Z$5:$Z$1504,"是"))</f>
        <v/>
      </c>
      <c r="Q302" s="48" t="str">
        <f aca="false">IF($A302="","",IF(SUM($C302:$F302)+SUM($K302:$M302)=0,"无","有"))</f>
        <v/>
      </c>
    </row>
    <row r="303" customFormat="false" ht="15.75" hidden="false" customHeight="true" outlineLevel="0" collapsed="false">
      <c r="A303" s="32" t="str">
        <f aca="false">IF(项目档案!$A303="","",项目档案!$A303)</f>
        <v/>
      </c>
      <c r="B303" s="40" t="str">
        <f aca="false">IF($A303="","",项目档案!$B303)</f>
        <v/>
      </c>
      <c r="C303" s="41" t="str">
        <f aca="false">IF($A303="","",SUMIFS(业务流水!$H$5:$H$1504,业务流水!$E$5:$E$1504,$B$3,业务流水!$D$5:$D$1504,"销项开票",业务流水!$C$5:$C$1504,$A303,业务流水!$Z$5:$Z$1504,"是"))</f>
        <v/>
      </c>
      <c r="D303" s="41" t="str">
        <f aca="false">IF($A303="","",SUMIFS(业务流水!$O$5:$O$1504,业务流水!$E$5:$E$1504,$B$3,业务流水!$D$5:$D$1504,"销项开票",业务流水!$C$5:$C$1504,$A303,业务流水!$Z$5:$Z$1504,"是"))</f>
        <v/>
      </c>
      <c r="E303" s="41" t="str">
        <f aca="false">IF($A303="","",SUMIFS(业务流水!$P$5:$P$1504,业务流水!$E$5:$E$1504,$B$3,业务流水!$D$5:$D$1504,"销项开票",业务流水!$C$5:$C$1504,$A303,业务流水!$Z$5:$Z$1504,"是"))</f>
        <v/>
      </c>
      <c r="F303" s="41" t="str">
        <f aca="false">IF($A303="","",SUMIFS(业务流水!$H$5:$H$1504,业务流水!$F$5:$F$1504,$B$3,业务流水!$D$5:$D$1504,"成本票",业务流水!$C$5:$C$1504,$A303,业务流水!$Z$5:$Z$1504,"是")+SUMIFS(业务流水!$H$5:$H$1504,业务流水!$F$5:$F$1504,$B$3,业务流水!$D$5:$D$1504,"销项开票",业务流水!$C$5:$C$1504,$A303,业务流水!$Z$5:$Z$1504,"是"))</f>
        <v/>
      </c>
      <c r="G303" s="42" t="str">
        <f aca="false">IF($A303="","",$E303-$F303)</f>
        <v/>
      </c>
      <c r="H303" s="41" t="str">
        <f aca="false">IF($A303="","",SUMIFS(业务流水!$W$5:$W$1504,业务流水!$E$5:$E$1504,$B$3,业务流水!$D$5:$D$1504,"销项开票",业务流水!$C$5:$C$1504,$A303,业务流水!$Z$5:$Z$1504,"是"))</f>
        <v/>
      </c>
      <c r="I303" s="41" t="str">
        <f aca="false">IF($A303="","",SUMIFS(业务流水!$H$5:$H$1504,业务流水!$E$5:$E$1504,$B$3,业务流水!$D$5:$D$1504,"已交税",业务流水!$C$5:$C$1504,$A303,业务流水!$Z$5:$Z$1504,"是"))</f>
        <v/>
      </c>
      <c r="J303" s="42" t="str">
        <f aca="false">IF($A303="","",$H303-$I303)</f>
        <v/>
      </c>
      <c r="K303" s="41" t="str">
        <f aca="false">IF($A303="","",SUMIFS(业务流水!$H$5:$H$1504,业务流水!$F$5:$F$1504,$B$3,业务流水!$D$5:$D$1504,"挂靠代收",业务流水!$C$5:$C$1504,$A303,业务流水!$Z$5:$Z$1504,"是"))</f>
        <v/>
      </c>
      <c r="L303" s="42" t="str">
        <f aca="false">IF($A303="","",$C303-$K303)</f>
        <v/>
      </c>
      <c r="M303" s="41" t="str">
        <f aca="false">IF($A303="","",SUMIFS(业务流水!$H$5:$H$1504,业务流水!$E$5:$E$1504,$B$3,业务流水!$D$5:$D$1504,"我方收款",业务流水!$C$5:$C$1504,$A303,业务流水!$Z$5:$Z$1504,"是"))</f>
        <v/>
      </c>
      <c r="N303" s="43" t="str">
        <f aca="false">IF($A303="","",$K303-$M303)</f>
        <v/>
      </c>
      <c r="O303" s="41" t="str">
        <f aca="false">IF($A303="","",SUMIFS(业务流水!$H$5:$H$1504,业务流水!$F$5:$F$1504,$B$3,业务流水!$D$5:$D$1504,"管理费结算",业务流水!$C$5:$C$1504,$A303,业务流水!$Z$5:$Z$1504,"是"))</f>
        <v/>
      </c>
      <c r="P303" s="41" t="str">
        <f aca="false">IF($A303="","",SUMIFS(业务流水!$H$5:$H$1504,业务流水!$E$5:$E$1504,$B$3,业务流水!$D$5:$D$1504,"扣质保金",业务流水!$C$5:$C$1504,$A303,业务流水!$Z$5:$Z$1504,"是"))</f>
        <v/>
      </c>
      <c r="Q303" s="48" t="str">
        <f aca="false">IF($A303="","",IF(SUM($C303:$F303)+SUM($K303:$M303)=0,"无","有"))</f>
        <v/>
      </c>
    </row>
    <row r="304" customFormat="false" ht="15.75" hidden="false" customHeight="true" outlineLevel="0" collapsed="false">
      <c r="A304" s="32" t="str">
        <f aca="false">IF(项目档案!$A304="","",项目档案!$A304)</f>
        <v/>
      </c>
      <c r="B304" s="40" t="str">
        <f aca="false">IF($A304="","",项目档案!$B304)</f>
        <v/>
      </c>
      <c r="C304" s="41" t="str">
        <f aca="false">IF($A304="","",SUMIFS(业务流水!$H$5:$H$1504,业务流水!$E$5:$E$1504,$B$3,业务流水!$D$5:$D$1504,"销项开票",业务流水!$C$5:$C$1504,$A304,业务流水!$Z$5:$Z$1504,"是"))</f>
        <v/>
      </c>
      <c r="D304" s="41" t="str">
        <f aca="false">IF($A304="","",SUMIFS(业务流水!$O$5:$O$1504,业务流水!$E$5:$E$1504,$B$3,业务流水!$D$5:$D$1504,"销项开票",业务流水!$C$5:$C$1504,$A304,业务流水!$Z$5:$Z$1504,"是"))</f>
        <v/>
      </c>
      <c r="E304" s="41" t="str">
        <f aca="false">IF($A304="","",SUMIFS(业务流水!$P$5:$P$1504,业务流水!$E$5:$E$1504,$B$3,业务流水!$D$5:$D$1504,"销项开票",业务流水!$C$5:$C$1504,$A304,业务流水!$Z$5:$Z$1504,"是"))</f>
        <v/>
      </c>
      <c r="F304" s="41" t="str">
        <f aca="false">IF($A304="","",SUMIFS(业务流水!$H$5:$H$1504,业务流水!$F$5:$F$1504,$B$3,业务流水!$D$5:$D$1504,"成本票",业务流水!$C$5:$C$1504,$A304,业务流水!$Z$5:$Z$1504,"是")+SUMIFS(业务流水!$H$5:$H$1504,业务流水!$F$5:$F$1504,$B$3,业务流水!$D$5:$D$1504,"销项开票",业务流水!$C$5:$C$1504,$A304,业务流水!$Z$5:$Z$1504,"是"))</f>
        <v/>
      </c>
      <c r="G304" s="42" t="str">
        <f aca="false">IF($A304="","",$E304-$F304)</f>
        <v/>
      </c>
      <c r="H304" s="41" t="str">
        <f aca="false">IF($A304="","",SUMIFS(业务流水!$W$5:$W$1504,业务流水!$E$5:$E$1504,$B$3,业务流水!$D$5:$D$1504,"销项开票",业务流水!$C$5:$C$1504,$A304,业务流水!$Z$5:$Z$1504,"是"))</f>
        <v/>
      </c>
      <c r="I304" s="41" t="str">
        <f aca="false">IF($A304="","",SUMIFS(业务流水!$H$5:$H$1504,业务流水!$E$5:$E$1504,$B$3,业务流水!$D$5:$D$1504,"已交税",业务流水!$C$5:$C$1504,$A304,业务流水!$Z$5:$Z$1504,"是"))</f>
        <v/>
      </c>
      <c r="J304" s="42" t="str">
        <f aca="false">IF($A304="","",$H304-$I304)</f>
        <v/>
      </c>
      <c r="K304" s="41" t="str">
        <f aca="false">IF($A304="","",SUMIFS(业务流水!$H$5:$H$1504,业务流水!$F$5:$F$1504,$B$3,业务流水!$D$5:$D$1504,"挂靠代收",业务流水!$C$5:$C$1504,$A304,业务流水!$Z$5:$Z$1504,"是"))</f>
        <v/>
      </c>
      <c r="L304" s="42" t="str">
        <f aca="false">IF($A304="","",$C304-$K304)</f>
        <v/>
      </c>
      <c r="M304" s="41" t="str">
        <f aca="false">IF($A304="","",SUMIFS(业务流水!$H$5:$H$1504,业务流水!$E$5:$E$1504,$B$3,业务流水!$D$5:$D$1504,"我方收款",业务流水!$C$5:$C$1504,$A304,业务流水!$Z$5:$Z$1504,"是"))</f>
        <v/>
      </c>
      <c r="N304" s="43" t="str">
        <f aca="false">IF($A304="","",$K304-$M304)</f>
        <v/>
      </c>
      <c r="O304" s="41" t="str">
        <f aca="false">IF($A304="","",SUMIFS(业务流水!$H$5:$H$1504,业务流水!$F$5:$F$1504,$B$3,业务流水!$D$5:$D$1504,"管理费结算",业务流水!$C$5:$C$1504,$A304,业务流水!$Z$5:$Z$1504,"是"))</f>
        <v/>
      </c>
      <c r="P304" s="41" t="str">
        <f aca="false">IF($A304="","",SUMIFS(业务流水!$H$5:$H$1504,业务流水!$E$5:$E$1504,$B$3,业务流水!$D$5:$D$1504,"扣质保金",业务流水!$C$5:$C$1504,$A304,业务流水!$Z$5:$Z$1504,"是"))</f>
        <v/>
      </c>
      <c r="Q304" s="48" t="str">
        <f aca="false">IF($A304="","",IF(SUM($C304:$F304)+SUM($K304:$M304)=0,"无","有"))</f>
        <v/>
      </c>
    </row>
    <row r="305" customFormat="false" ht="15.75" hidden="false" customHeight="true" outlineLevel="0" collapsed="false">
      <c r="A305" s="32" t="str">
        <f aca="false">IF(项目档案!$A305="","",项目档案!$A305)</f>
        <v/>
      </c>
      <c r="B305" s="40" t="str">
        <f aca="false">IF($A305="","",项目档案!$B305)</f>
        <v/>
      </c>
      <c r="C305" s="41" t="str">
        <f aca="false">IF($A305="","",SUMIFS(业务流水!$H$5:$H$1504,业务流水!$E$5:$E$1504,$B$3,业务流水!$D$5:$D$1504,"销项开票",业务流水!$C$5:$C$1504,$A305,业务流水!$Z$5:$Z$1504,"是"))</f>
        <v/>
      </c>
      <c r="D305" s="41" t="str">
        <f aca="false">IF($A305="","",SUMIFS(业务流水!$O$5:$O$1504,业务流水!$E$5:$E$1504,$B$3,业务流水!$D$5:$D$1504,"销项开票",业务流水!$C$5:$C$1504,$A305,业务流水!$Z$5:$Z$1504,"是"))</f>
        <v/>
      </c>
      <c r="E305" s="41" t="str">
        <f aca="false">IF($A305="","",SUMIFS(业务流水!$P$5:$P$1504,业务流水!$E$5:$E$1504,$B$3,业务流水!$D$5:$D$1504,"销项开票",业务流水!$C$5:$C$1504,$A305,业务流水!$Z$5:$Z$1504,"是"))</f>
        <v/>
      </c>
      <c r="F305" s="41" t="str">
        <f aca="false">IF($A305="","",SUMIFS(业务流水!$H$5:$H$1504,业务流水!$F$5:$F$1504,$B$3,业务流水!$D$5:$D$1504,"成本票",业务流水!$C$5:$C$1504,$A305,业务流水!$Z$5:$Z$1504,"是")+SUMIFS(业务流水!$H$5:$H$1504,业务流水!$F$5:$F$1504,$B$3,业务流水!$D$5:$D$1504,"销项开票",业务流水!$C$5:$C$1504,$A305,业务流水!$Z$5:$Z$1504,"是"))</f>
        <v/>
      </c>
      <c r="G305" s="42" t="str">
        <f aca="false">IF($A305="","",$E305-$F305)</f>
        <v/>
      </c>
      <c r="H305" s="41" t="str">
        <f aca="false">IF($A305="","",SUMIFS(业务流水!$W$5:$W$1504,业务流水!$E$5:$E$1504,$B$3,业务流水!$D$5:$D$1504,"销项开票",业务流水!$C$5:$C$1504,$A305,业务流水!$Z$5:$Z$1504,"是"))</f>
        <v/>
      </c>
      <c r="I305" s="41" t="str">
        <f aca="false">IF($A305="","",SUMIFS(业务流水!$H$5:$H$1504,业务流水!$E$5:$E$1504,$B$3,业务流水!$D$5:$D$1504,"已交税",业务流水!$C$5:$C$1504,$A305,业务流水!$Z$5:$Z$1504,"是"))</f>
        <v/>
      </c>
      <c r="J305" s="42" t="str">
        <f aca="false">IF($A305="","",$H305-$I305)</f>
        <v/>
      </c>
      <c r="K305" s="41" t="str">
        <f aca="false">IF($A305="","",SUMIFS(业务流水!$H$5:$H$1504,业务流水!$F$5:$F$1504,$B$3,业务流水!$D$5:$D$1504,"挂靠代收",业务流水!$C$5:$C$1504,$A305,业务流水!$Z$5:$Z$1504,"是"))</f>
        <v/>
      </c>
      <c r="L305" s="42" t="str">
        <f aca="false">IF($A305="","",$C305-$K305)</f>
        <v/>
      </c>
      <c r="M305" s="41" t="str">
        <f aca="false">IF($A305="","",SUMIFS(业务流水!$H$5:$H$1504,业务流水!$E$5:$E$1504,$B$3,业务流水!$D$5:$D$1504,"我方收款",业务流水!$C$5:$C$1504,$A305,业务流水!$Z$5:$Z$1504,"是"))</f>
        <v/>
      </c>
      <c r="N305" s="43" t="str">
        <f aca="false">IF($A305="","",$K305-$M305)</f>
        <v/>
      </c>
      <c r="O305" s="41" t="str">
        <f aca="false">IF($A305="","",SUMIFS(业务流水!$H$5:$H$1504,业务流水!$F$5:$F$1504,$B$3,业务流水!$D$5:$D$1504,"管理费结算",业务流水!$C$5:$C$1504,$A305,业务流水!$Z$5:$Z$1504,"是"))</f>
        <v/>
      </c>
      <c r="P305" s="41" t="str">
        <f aca="false">IF($A305="","",SUMIFS(业务流水!$H$5:$H$1504,业务流水!$E$5:$E$1504,$B$3,业务流水!$D$5:$D$1504,"扣质保金",业务流水!$C$5:$C$1504,$A305,业务流水!$Z$5:$Z$1504,"是"))</f>
        <v/>
      </c>
      <c r="Q305" s="48" t="str">
        <f aca="false">IF($A305="","",IF(SUM($C305:$F305)+SUM($K305:$M305)=0,"无","有"))</f>
        <v/>
      </c>
    </row>
    <row r="306" customFormat="false" ht="15.75" hidden="false" customHeight="true" outlineLevel="0" collapsed="false">
      <c r="A306" s="32" t="str">
        <f aca="false">IF(项目档案!$A306="","",项目档案!$A306)</f>
        <v/>
      </c>
      <c r="B306" s="40" t="str">
        <f aca="false">IF($A306="","",项目档案!$B306)</f>
        <v/>
      </c>
      <c r="C306" s="41" t="str">
        <f aca="false">IF($A306="","",SUMIFS(业务流水!$H$5:$H$1504,业务流水!$E$5:$E$1504,$B$3,业务流水!$D$5:$D$1504,"销项开票",业务流水!$C$5:$C$1504,$A306,业务流水!$Z$5:$Z$1504,"是"))</f>
        <v/>
      </c>
      <c r="D306" s="41" t="str">
        <f aca="false">IF($A306="","",SUMIFS(业务流水!$O$5:$O$1504,业务流水!$E$5:$E$1504,$B$3,业务流水!$D$5:$D$1504,"销项开票",业务流水!$C$5:$C$1504,$A306,业务流水!$Z$5:$Z$1504,"是"))</f>
        <v/>
      </c>
      <c r="E306" s="41" t="str">
        <f aca="false">IF($A306="","",SUMIFS(业务流水!$P$5:$P$1504,业务流水!$E$5:$E$1504,$B$3,业务流水!$D$5:$D$1504,"销项开票",业务流水!$C$5:$C$1504,$A306,业务流水!$Z$5:$Z$1504,"是"))</f>
        <v/>
      </c>
      <c r="F306" s="41" t="str">
        <f aca="false">IF($A306="","",SUMIFS(业务流水!$H$5:$H$1504,业务流水!$F$5:$F$1504,$B$3,业务流水!$D$5:$D$1504,"成本票",业务流水!$C$5:$C$1504,$A306,业务流水!$Z$5:$Z$1504,"是")+SUMIFS(业务流水!$H$5:$H$1504,业务流水!$F$5:$F$1504,$B$3,业务流水!$D$5:$D$1504,"销项开票",业务流水!$C$5:$C$1504,$A306,业务流水!$Z$5:$Z$1504,"是"))</f>
        <v/>
      </c>
      <c r="G306" s="42" t="str">
        <f aca="false">IF($A306="","",$E306-$F306)</f>
        <v/>
      </c>
      <c r="H306" s="41" t="str">
        <f aca="false">IF($A306="","",SUMIFS(业务流水!$W$5:$W$1504,业务流水!$E$5:$E$1504,$B$3,业务流水!$D$5:$D$1504,"销项开票",业务流水!$C$5:$C$1504,$A306,业务流水!$Z$5:$Z$1504,"是"))</f>
        <v/>
      </c>
      <c r="I306" s="41" t="str">
        <f aca="false">IF($A306="","",SUMIFS(业务流水!$H$5:$H$1504,业务流水!$E$5:$E$1504,$B$3,业务流水!$D$5:$D$1504,"已交税",业务流水!$C$5:$C$1504,$A306,业务流水!$Z$5:$Z$1504,"是"))</f>
        <v/>
      </c>
      <c r="J306" s="42" t="str">
        <f aca="false">IF($A306="","",$H306-$I306)</f>
        <v/>
      </c>
      <c r="K306" s="41" t="str">
        <f aca="false">IF($A306="","",SUMIFS(业务流水!$H$5:$H$1504,业务流水!$F$5:$F$1504,$B$3,业务流水!$D$5:$D$1504,"挂靠代收",业务流水!$C$5:$C$1504,$A306,业务流水!$Z$5:$Z$1504,"是"))</f>
        <v/>
      </c>
      <c r="L306" s="42" t="str">
        <f aca="false">IF($A306="","",$C306-$K306)</f>
        <v/>
      </c>
      <c r="M306" s="41" t="str">
        <f aca="false">IF($A306="","",SUMIFS(业务流水!$H$5:$H$1504,业务流水!$E$5:$E$1504,$B$3,业务流水!$D$5:$D$1504,"我方收款",业务流水!$C$5:$C$1504,$A306,业务流水!$Z$5:$Z$1504,"是"))</f>
        <v/>
      </c>
      <c r="N306" s="43" t="str">
        <f aca="false">IF($A306="","",$K306-$M306)</f>
        <v/>
      </c>
      <c r="O306" s="41" t="str">
        <f aca="false">IF($A306="","",SUMIFS(业务流水!$H$5:$H$1504,业务流水!$F$5:$F$1504,$B$3,业务流水!$D$5:$D$1504,"管理费结算",业务流水!$C$5:$C$1504,$A306,业务流水!$Z$5:$Z$1504,"是"))</f>
        <v/>
      </c>
      <c r="P306" s="41" t="str">
        <f aca="false">IF($A306="","",SUMIFS(业务流水!$H$5:$H$1504,业务流水!$E$5:$E$1504,$B$3,业务流水!$D$5:$D$1504,"扣质保金",业务流水!$C$5:$C$1504,$A306,业务流水!$Z$5:$Z$1504,"是"))</f>
        <v/>
      </c>
      <c r="Q306" s="48" t="str">
        <f aca="false">IF($A306="","",IF(SUM($C306:$F306)+SUM($K306:$M306)=0,"无","有"))</f>
        <v/>
      </c>
    </row>
    <row r="307" customFormat="false" ht="15.75" hidden="false" customHeight="true" outlineLevel="0" collapsed="false">
      <c r="A307" s="32" t="str">
        <f aca="false">IF(项目档案!$A307="","",项目档案!$A307)</f>
        <v/>
      </c>
      <c r="B307" s="40" t="str">
        <f aca="false">IF($A307="","",项目档案!$B307)</f>
        <v/>
      </c>
      <c r="C307" s="41" t="str">
        <f aca="false">IF($A307="","",SUMIFS(业务流水!$H$5:$H$1504,业务流水!$E$5:$E$1504,$B$3,业务流水!$D$5:$D$1504,"销项开票",业务流水!$C$5:$C$1504,$A307,业务流水!$Z$5:$Z$1504,"是"))</f>
        <v/>
      </c>
      <c r="D307" s="41" t="str">
        <f aca="false">IF($A307="","",SUMIFS(业务流水!$O$5:$O$1504,业务流水!$E$5:$E$1504,$B$3,业务流水!$D$5:$D$1504,"销项开票",业务流水!$C$5:$C$1504,$A307,业务流水!$Z$5:$Z$1504,"是"))</f>
        <v/>
      </c>
      <c r="E307" s="41" t="str">
        <f aca="false">IF($A307="","",SUMIFS(业务流水!$P$5:$P$1504,业务流水!$E$5:$E$1504,$B$3,业务流水!$D$5:$D$1504,"销项开票",业务流水!$C$5:$C$1504,$A307,业务流水!$Z$5:$Z$1504,"是"))</f>
        <v/>
      </c>
      <c r="F307" s="41" t="str">
        <f aca="false">IF($A307="","",SUMIFS(业务流水!$H$5:$H$1504,业务流水!$F$5:$F$1504,$B$3,业务流水!$D$5:$D$1504,"成本票",业务流水!$C$5:$C$1504,$A307,业务流水!$Z$5:$Z$1504,"是")+SUMIFS(业务流水!$H$5:$H$1504,业务流水!$F$5:$F$1504,$B$3,业务流水!$D$5:$D$1504,"销项开票",业务流水!$C$5:$C$1504,$A307,业务流水!$Z$5:$Z$1504,"是"))</f>
        <v/>
      </c>
      <c r="G307" s="42" t="str">
        <f aca="false">IF($A307="","",$E307-$F307)</f>
        <v/>
      </c>
      <c r="H307" s="41" t="str">
        <f aca="false">IF($A307="","",SUMIFS(业务流水!$W$5:$W$1504,业务流水!$E$5:$E$1504,$B$3,业务流水!$D$5:$D$1504,"销项开票",业务流水!$C$5:$C$1504,$A307,业务流水!$Z$5:$Z$1504,"是"))</f>
        <v/>
      </c>
      <c r="I307" s="41" t="str">
        <f aca="false">IF($A307="","",SUMIFS(业务流水!$H$5:$H$1504,业务流水!$E$5:$E$1504,$B$3,业务流水!$D$5:$D$1504,"已交税",业务流水!$C$5:$C$1504,$A307,业务流水!$Z$5:$Z$1504,"是"))</f>
        <v/>
      </c>
      <c r="J307" s="42" t="str">
        <f aca="false">IF($A307="","",$H307-$I307)</f>
        <v/>
      </c>
      <c r="K307" s="41" t="str">
        <f aca="false">IF($A307="","",SUMIFS(业务流水!$H$5:$H$1504,业务流水!$F$5:$F$1504,$B$3,业务流水!$D$5:$D$1504,"挂靠代收",业务流水!$C$5:$C$1504,$A307,业务流水!$Z$5:$Z$1504,"是"))</f>
        <v/>
      </c>
      <c r="L307" s="42" t="str">
        <f aca="false">IF($A307="","",$C307-$K307)</f>
        <v/>
      </c>
      <c r="M307" s="41" t="str">
        <f aca="false">IF($A307="","",SUMIFS(业务流水!$H$5:$H$1504,业务流水!$E$5:$E$1504,$B$3,业务流水!$D$5:$D$1504,"我方收款",业务流水!$C$5:$C$1504,$A307,业务流水!$Z$5:$Z$1504,"是"))</f>
        <v/>
      </c>
      <c r="N307" s="43" t="str">
        <f aca="false">IF($A307="","",$K307-$M307)</f>
        <v/>
      </c>
      <c r="O307" s="41" t="str">
        <f aca="false">IF($A307="","",SUMIFS(业务流水!$H$5:$H$1504,业务流水!$F$5:$F$1504,$B$3,业务流水!$D$5:$D$1504,"管理费结算",业务流水!$C$5:$C$1504,$A307,业务流水!$Z$5:$Z$1504,"是"))</f>
        <v/>
      </c>
      <c r="P307" s="41" t="str">
        <f aca="false">IF($A307="","",SUMIFS(业务流水!$H$5:$H$1504,业务流水!$E$5:$E$1504,$B$3,业务流水!$D$5:$D$1504,"扣质保金",业务流水!$C$5:$C$1504,$A307,业务流水!$Z$5:$Z$1504,"是"))</f>
        <v/>
      </c>
      <c r="Q307" s="48" t="str">
        <f aca="false">IF($A307="","",IF(SUM($C307:$F307)+SUM($K307:$M307)=0,"无","有"))</f>
        <v/>
      </c>
    </row>
    <row r="308" customFormat="false" ht="15.75" hidden="false" customHeight="true" outlineLevel="0" collapsed="false">
      <c r="A308" s="32" t="str">
        <f aca="false">IF(项目档案!$A308="","",项目档案!$A308)</f>
        <v/>
      </c>
      <c r="B308" s="40" t="str">
        <f aca="false">IF($A308="","",项目档案!$B308)</f>
        <v/>
      </c>
      <c r="C308" s="41" t="str">
        <f aca="false">IF($A308="","",SUMIFS(业务流水!$H$5:$H$1504,业务流水!$E$5:$E$1504,$B$3,业务流水!$D$5:$D$1504,"销项开票",业务流水!$C$5:$C$1504,$A308,业务流水!$Z$5:$Z$1504,"是"))</f>
        <v/>
      </c>
      <c r="D308" s="41" t="str">
        <f aca="false">IF($A308="","",SUMIFS(业务流水!$O$5:$O$1504,业务流水!$E$5:$E$1504,$B$3,业务流水!$D$5:$D$1504,"销项开票",业务流水!$C$5:$C$1504,$A308,业务流水!$Z$5:$Z$1504,"是"))</f>
        <v/>
      </c>
      <c r="E308" s="41" t="str">
        <f aca="false">IF($A308="","",SUMIFS(业务流水!$P$5:$P$1504,业务流水!$E$5:$E$1504,$B$3,业务流水!$D$5:$D$1504,"销项开票",业务流水!$C$5:$C$1504,$A308,业务流水!$Z$5:$Z$1504,"是"))</f>
        <v/>
      </c>
      <c r="F308" s="41" t="str">
        <f aca="false">IF($A308="","",SUMIFS(业务流水!$H$5:$H$1504,业务流水!$F$5:$F$1504,$B$3,业务流水!$D$5:$D$1504,"成本票",业务流水!$C$5:$C$1504,$A308,业务流水!$Z$5:$Z$1504,"是")+SUMIFS(业务流水!$H$5:$H$1504,业务流水!$F$5:$F$1504,$B$3,业务流水!$D$5:$D$1504,"销项开票",业务流水!$C$5:$C$1504,$A308,业务流水!$Z$5:$Z$1504,"是"))</f>
        <v/>
      </c>
      <c r="G308" s="42" t="str">
        <f aca="false">IF($A308="","",$E308-$F308)</f>
        <v/>
      </c>
      <c r="H308" s="41" t="str">
        <f aca="false">IF($A308="","",SUMIFS(业务流水!$W$5:$W$1504,业务流水!$E$5:$E$1504,$B$3,业务流水!$D$5:$D$1504,"销项开票",业务流水!$C$5:$C$1504,$A308,业务流水!$Z$5:$Z$1504,"是"))</f>
        <v/>
      </c>
      <c r="I308" s="41" t="str">
        <f aca="false">IF($A308="","",SUMIFS(业务流水!$H$5:$H$1504,业务流水!$E$5:$E$1504,$B$3,业务流水!$D$5:$D$1504,"已交税",业务流水!$C$5:$C$1504,$A308,业务流水!$Z$5:$Z$1504,"是"))</f>
        <v/>
      </c>
      <c r="J308" s="42" t="str">
        <f aca="false">IF($A308="","",$H308-$I308)</f>
        <v/>
      </c>
      <c r="K308" s="41" t="str">
        <f aca="false">IF($A308="","",SUMIFS(业务流水!$H$5:$H$1504,业务流水!$F$5:$F$1504,$B$3,业务流水!$D$5:$D$1504,"挂靠代收",业务流水!$C$5:$C$1504,$A308,业务流水!$Z$5:$Z$1504,"是"))</f>
        <v/>
      </c>
      <c r="L308" s="42" t="str">
        <f aca="false">IF($A308="","",$C308-$K308)</f>
        <v/>
      </c>
      <c r="M308" s="41" t="str">
        <f aca="false">IF($A308="","",SUMIFS(业务流水!$H$5:$H$1504,业务流水!$E$5:$E$1504,$B$3,业务流水!$D$5:$D$1504,"我方收款",业务流水!$C$5:$C$1504,$A308,业务流水!$Z$5:$Z$1504,"是"))</f>
        <v/>
      </c>
      <c r="N308" s="43" t="str">
        <f aca="false">IF($A308="","",$K308-$M308)</f>
        <v/>
      </c>
      <c r="O308" s="41" t="str">
        <f aca="false">IF($A308="","",SUMIFS(业务流水!$H$5:$H$1504,业务流水!$F$5:$F$1504,$B$3,业务流水!$D$5:$D$1504,"管理费结算",业务流水!$C$5:$C$1504,$A308,业务流水!$Z$5:$Z$1504,"是"))</f>
        <v/>
      </c>
      <c r="P308" s="41" t="str">
        <f aca="false">IF($A308="","",SUMIFS(业务流水!$H$5:$H$1504,业务流水!$E$5:$E$1504,$B$3,业务流水!$D$5:$D$1504,"扣质保金",业务流水!$C$5:$C$1504,$A308,业务流水!$Z$5:$Z$1504,"是"))</f>
        <v/>
      </c>
      <c r="Q308" s="48" t="str">
        <f aca="false">IF($A308="","",IF(SUM($C308:$F308)+SUM($K308:$M308)=0,"无","有"))</f>
        <v/>
      </c>
    </row>
    <row r="309" customFormat="false" ht="15.75" hidden="false" customHeight="true" outlineLevel="0" collapsed="false">
      <c r="A309" s="32" t="str">
        <f aca="false">IF(项目档案!$A309="","",项目档案!$A309)</f>
        <v/>
      </c>
      <c r="B309" s="40" t="str">
        <f aca="false">IF($A309="","",项目档案!$B309)</f>
        <v/>
      </c>
      <c r="C309" s="41" t="str">
        <f aca="false">IF($A309="","",SUMIFS(业务流水!$H$5:$H$1504,业务流水!$E$5:$E$1504,$B$3,业务流水!$D$5:$D$1504,"销项开票",业务流水!$C$5:$C$1504,$A309,业务流水!$Z$5:$Z$1504,"是"))</f>
        <v/>
      </c>
      <c r="D309" s="41" t="str">
        <f aca="false">IF($A309="","",SUMIFS(业务流水!$O$5:$O$1504,业务流水!$E$5:$E$1504,$B$3,业务流水!$D$5:$D$1504,"销项开票",业务流水!$C$5:$C$1504,$A309,业务流水!$Z$5:$Z$1504,"是"))</f>
        <v/>
      </c>
      <c r="E309" s="41" t="str">
        <f aca="false">IF($A309="","",SUMIFS(业务流水!$P$5:$P$1504,业务流水!$E$5:$E$1504,$B$3,业务流水!$D$5:$D$1504,"销项开票",业务流水!$C$5:$C$1504,$A309,业务流水!$Z$5:$Z$1504,"是"))</f>
        <v/>
      </c>
      <c r="F309" s="41" t="str">
        <f aca="false">IF($A309="","",SUMIFS(业务流水!$H$5:$H$1504,业务流水!$F$5:$F$1504,$B$3,业务流水!$D$5:$D$1504,"成本票",业务流水!$C$5:$C$1504,$A309,业务流水!$Z$5:$Z$1504,"是")+SUMIFS(业务流水!$H$5:$H$1504,业务流水!$F$5:$F$1504,$B$3,业务流水!$D$5:$D$1504,"销项开票",业务流水!$C$5:$C$1504,$A309,业务流水!$Z$5:$Z$1504,"是"))</f>
        <v/>
      </c>
      <c r="G309" s="42" t="str">
        <f aca="false">IF($A309="","",$E309-$F309)</f>
        <v/>
      </c>
      <c r="H309" s="41" t="str">
        <f aca="false">IF($A309="","",SUMIFS(业务流水!$W$5:$W$1504,业务流水!$E$5:$E$1504,$B$3,业务流水!$D$5:$D$1504,"销项开票",业务流水!$C$5:$C$1504,$A309,业务流水!$Z$5:$Z$1504,"是"))</f>
        <v/>
      </c>
      <c r="I309" s="41" t="str">
        <f aca="false">IF($A309="","",SUMIFS(业务流水!$H$5:$H$1504,业务流水!$E$5:$E$1504,$B$3,业务流水!$D$5:$D$1504,"已交税",业务流水!$C$5:$C$1504,$A309,业务流水!$Z$5:$Z$1504,"是"))</f>
        <v/>
      </c>
      <c r="J309" s="42" t="str">
        <f aca="false">IF($A309="","",$H309-$I309)</f>
        <v/>
      </c>
      <c r="K309" s="41" t="str">
        <f aca="false">IF($A309="","",SUMIFS(业务流水!$H$5:$H$1504,业务流水!$F$5:$F$1504,$B$3,业务流水!$D$5:$D$1504,"挂靠代收",业务流水!$C$5:$C$1504,$A309,业务流水!$Z$5:$Z$1504,"是"))</f>
        <v/>
      </c>
      <c r="L309" s="42" t="str">
        <f aca="false">IF($A309="","",$C309-$K309)</f>
        <v/>
      </c>
      <c r="M309" s="41" t="str">
        <f aca="false">IF($A309="","",SUMIFS(业务流水!$H$5:$H$1504,业务流水!$E$5:$E$1504,$B$3,业务流水!$D$5:$D$1504,"我方收款",业务流水!$C$5:$C$1504,$A309,业务流水!$Z$5:$Z$1504,"是"))</f>
        <v/>
      </c>
      <c r="N309" s="43" t="str">
        <f aca="false">IF($A309="","",$K309-$M309)</f>
        <v/>
      </c>
      <c r="O309" s="41" t="str">
        <f aca="false">IF($A309="","",SUMIFS(业务流水!$H$5:$H$1504,业务流水!$F$5:$F$1504,$B$3,业务流水!$D$5:$D$1504,"管理费结算",业务流水!$C$5:$C$1504,$A309,业务流水!$Z$5:$Z$1504,"是"))</f>
        <v/>
      </c>
      <c r="P309" s="41" t="str">
        <f aca="false">IF($A309="","",SUMIFS(业务流水!$H$5:$H$1504,业务流水!$E$5:$E$1504,$B$3,业务流水!$D$5:$D$1504,"扣质保金",业务流水!$C$5:$C$1504,$A309,业务流水!$Z$5:$Z$1504,"是"))</f>
        <v/>
      </c>
      <c r="Q309" s="48" t="str">
        <f aca="false">IF($A309="","",IF(SUM($C309:$F309)+SUM($K309:$M309)=0,"无","有"))</f>
        <v/>
      </c>
    </row>
    <row r="310" customFormat="false" ht="15.75" hidden="false" customHeight="true" outlineLevel="0" collapsed="false">
      <c r="A310" s="32" t="str">
        <f aca="false">IF(项目档案!$A310="","",项目档案!$A310)</f>
        <v/>
      </c>
      <c r="B310" s="40" t="str">
        <f aca="false">IF($A310="","",项目档案!$B310)</f>
        <v/>
      </c>
      <c r="C310" s="41" t="str">
        <f aca="false">IF($A310="","",SUMIFS(业务流水!$H$5:$H$1504,业务流水!$E$5:$E$1504,$B$3,业务流水!$D$5:$D$1504,"销项开票",业务流水!$C$5:$C$1504,$A310,业务流水!$Z$5:$Z$1504,"是"))</f>
        <v/>
      </c>
      <c r="D310" s="41" t="str">
        <f aca="false">IF($A310="","",SUMIFS(业务流水!$O$5:$O$1504,业务流水!$E$5:$E$1504,$B$3,业务流水!$D$5:$D$1504,"销项开票",业务流水!$C$5:$C$1504,$A310,业务流水!$Z$5:$Z$1504,"是"))</f>
        <v/>
      </c>
      <c r="E310" s="41" t="str">
        <f aca="false">IF($A310="","",SUMIFS(业务流水!$P$5:$P$1504,业务流水!$E$5:$E$1504,$B$3,业务流水!$D$5:$D$1504,"销项开票",业务流水!$C$5:$C$1504,$A310,业务流水!$Z$5:$Z$1504,"是"))</f>
        <v/>
      </c>
      <c r="F310" s="41" t="str">
        <f aca="false">IF($A310="","",SUMIFS(业务流水!$H$5:$H$1504,业务流水!$F$5:$F$1504,$B$3,业务流水!$D$5:$D$1504,"成本票",业务流水!$C$5:$C$1504,$A310,业务流水!$Z$5:$Z$1504,"是")+SUMIFS(业务流水!$H$5:$H$1504,业务流水!$F$5:$F$1504,$B$3,业务流水!$D$5:$D$1504,"销项开票",业务流水!$C$5:$C$1504,$A310,业务流水!$Z$5:$Z$1504,"是"))</f>
        <v/>
      </c>
      <c r="G310" s="42" t="str">
        <f aca="false">IF($A310="","",$E310-$F310)</f>
        <v/>
      </c>
      <c r="H310" s="41" t="str">
        <f aca="false">IF($A310="","",SUMIFS(业务流水!$W$5:$W$1504,业务流水!$E$5:$E$1504,$B$3,业务流水!$D$5:$D$1504,"销项开票",业务流水!$C$5:$C$1504,$A310,业务流水!$Z$5:$Z$1504,"是"))</f>
        <v/>
      </c>
      <c r="I310" s="41" t="str">
        <f aca="false">IF($A310="","",SUMIFS(业务流水!$H$5:$H$1504,业务流水!$E$5:$E$1504,$B$3,业务流水!$D$5:$D$1504,"已交税",业务流水!$C$5:$C$1504,$A310,业务流水!$Z$5:$Z$1504,"是"))</f>
        <v/>
      </c>
      <c r="J310" s="42" t="str">
        <f aca="false">IF($A310="","",$H310-$I310)</f>
        <v/>
      </c>
      <c r="K310" s="41" t="str">
        <f aca="false">IF($A310="","",SUMIFS(业务流水!$H$5:$H$1504,业务流水!$F$5:$F$1504,$B$3,业务流水!$D$5:$D$1504,"挂靠代收",业务流水!$C$5:$C$1504,$A310,业务流水!$Z$5:$Z$1504,"是"))</f>
        <v/>
      </c>
      <c r="L310" s="42" t="str">
        <f aca="false">IF($A310="","",$C310-$K310)</f>
        <v/>
      </c>
      <c r="M310" s="41" t="str">
        <f aca="false">IF($A310="","",SUMIFS(业务流水!$H$5:$H$1504,业务流水!$E$5:$E$1504,$B$3,业务流水!$D$5:$D$1504,"我方收款",业务流水!$C$5:$C$1504,$A310,业务流水!$Z$5:$Z$1504,"是"))</f>
        <v/>
      </c>
      <c r="N310" s="43" t="str">
        <f aca="false">IF($A310="","",$K310-$M310)</f>
        <v/>
      </c>
      <c r="O310" s="41" t="str">
        <f aca="false">IF($A310="","",SUMIFS(业务流水!$H$5:$H$1504,业务流水!$F$5:$F$1504,$B$3,业务流水!$D$5:$D$1504,"管理费结算",业务流水!$C$5:$C$1504,$A310,业务流水!$Z$5:$Z$1504,"是"))</f>
        <v/>
      </c>
      <c r="P310" s="41" t="str">
        <f aca="false">IF($A310="","",SUMIFS(业务流水!$H$5:$H$1504,业务流水!$E$5:$E$1504,$B$3,业务流水!$D$5:$D$1504,"扣质保金",业务流水!$C$5:$C$1504,$A310,业务流水!$Z$5:$Z$1504,"是"))</f>
        <v/>
      </c>
      <c r="Q310" s="48" t="str">
        <f aca="false">IF($A310="","",IF(SUM($C310:$F310)+SUM($K310:$M310)=0,"无","有"))</f>
        <v/>
      </c>
    </row>
    <row r="311" customFormat="false" ht="15.75" hidden="false" customHeight="true" outlineLevel="0" collapsed="false">
      <c r="A311" s="32" t="str">
        <f aca="false">IF(项目档案!$A311="","",项目档案!$A311)</f>
        <v/>
      </c>
      <c r="B311" s="40" t="str">
        <f aca="false">IF($A311="","",项目档案!$B311)</f>
        <v/>
      </c>
      <c r="C311" s="41" t="str">
        <f aca="false">IF($A311="","",SUMIFS(业务流水!$H$5:$H$1504,业务流水!$E$5:$E$1504,$B$3,业务流水!$D$5:$D$1504,"销项开票",业务流水!$C$5:$C$1504,$A311,业务流水!$Z$5:$Z$1504,"是"))</f>
        <v/>
      </c>
      <c r="D311" s="41" t="str">
        <f aca="false">IF($A311="","",SUMIFS(业务流水!$O$5:$O$1504,业务流水!$E$5:$E$1504,$B$3,业务流水!$D$5:$D$1504,"销项开票",业务流水!$C$5:$C$1504,$A311,业务流水!$Z$5:$Z$1504,"是"))</f>
        <v/>
      </c>
      <c r="E311" s="41" t="str">
        <f aca="false">IF($A311="","",SUMIFS(业务流水!$P$5:$P$1504,业务流水!$E$5:$E$1504,$B$3,业务流水!$D$5:$D$1504,"销项开票",业务流水!$C$5:$C$1504,$A311,业务流水!$Z$5:$Z$1504,"是"))</f>
        <v/>
      </c>
      <c r="F311" s="41" t="str">
        <f aca="false">IF($A311="","",SUMIFS(业务流水!$H$5:$H$1504,业务流水!$F$5:$F$1504,$B$3,业务流水!$D$5:$D$1504,"成本票",业务流水!$C$5:$C$1504,$A311,业务流水!$Z$5:$Z$1504,"是")+SUMIFS(业务流水!$H$5:$H$1504,业务流水!$F$5:$F$1504,$B$3,业务流水!$D$5:$D$1504,"销项开票",业务流水!$C$5:$C$1504,$A311,业务流水!$Z$5:$Z$1504,"是"))</f>
        <v/>
      </c>
      <c r="G311" s="42" t="str">
        <f aca="false">IF($A311="","",$E311-$F311)</f>
        <v/>
      </c>
      <c r="H311" s="41" t="str">
        <f aca="false">IF($A311="","",SUMIFS(业务流水!$W$5:$W$1504,业务流水!$E$5:$E$1504,$B$3,业务流水!$D$5:$D$1504,"销项开票",业务流水!$C$5:$C$1504,$A311,业务流水!$Z$5:$Z$1504,"是"))</f>
        <v/>
      </c>
      <c r="I311" s="41" t="str">
        <f aca="false">IF($A311="","",SUMIFS(业务流水!$H$5:$H$1504,业务流水!$E$5:$E$1504,$B$3,业务流水!$D$5:$D$1504,"已交税",业务流水!$C$5:$C$1504,$A311,业务流水!$Z$5:$Z$1504,"是"))</f>
        <v/>
      </c>
      <c r="J311" s="42" t="str">
        <f aca="false">IF($A311="","",$H311-$I311)</f>
        <v/>
      </c>
      <c r="K311" s="41" t="str">
        <f aca="false">IF($A311="","",SUMIFS(业务流水!$H$5:$H$1504,业务流水!$F$5:$F$1504,$B$3,业务流水!$D$5:$D$1504,"挂靠代收",业务流水!$C$5:$C$1504,$A311,业务流水!$Z$5:$Z$1504,"是"))</f>
        <v/>
      </c>
      <c r="L311" s="42" t="str">
        <f aca="false">IF($A311="","",$C311-$K311)</f>
        <v/>
      </c>
      <c r="M311" s="41" t="str">
        <f aca="false">IF($A311="","",SUMIFS(业务流水!$H$5:$H$1504,业务流水!$E$5:$E$1504,$B$3,业务流水!$D$5:$D$1504,"我方收款",业务流水!$C$5:$C$1504,$A311,业务流水!$Z$5:$Z$1504,"是"))</f>
        <v/>
      </c>
      <c r="N311" s="43" t="str">
        <f aca="false">IF($A311="","",$K311-$M311)</f>
        <v/>
      </c>
      <c r="O311" s="41" t="str">
        <f aca="false">IF($A311="","",SUMIFS(业务流水!$H$5:$H$1504,业务流水!$F$5:$F$1504,$B$3,业务流水!$D$5:$D$1504,"管理费结算",业务流水!$C$5:$C$1504,$A311,业务流水!$Z$5:$Z$1504,"是"))</f>
        <v/>
      </c>
      <c r="P311" s="41" t="str">
        <f aca="false">IF($A311="","",SUMIFS(业务流水!$H$5:$H$1504,业务流水!$E$5:$E$1504,$B$3,业务流水!$D$5:$D$1504,"扣质保金",业务流水!$C$5:$C$1504,$A311,业务流水!$Z$5:$Z$1504,"是"))</f>
        <v/>
      </c>
      <c r="Q311" s="48" t="str">
        <f aca="false">IF($A311="","",IF(SUM($C311:$F311)+SUM($K311:$M311)=0,"无","有"))</f>
        <v/>
      </c>
    </row>
    <row r="312" customFormat="false" ht="15.75" hidden="false" customHeight="true" outlineLevel="0" collapsed="false">
      <c r="A312" s="32" t="str">
        <f aca="false">IF(项目档案!$A312="","",项目档案!$A312)</f>
        <v/>
      </c>
      <c r="B312" s="40" t="str">
        <f aca="false">IF($A312="","",项目档案!$B312)</f>
        <v/>
      </c>
      <c r="C312" s="41" t="str">
        <f aca="false">IF($A312="","",SUMIFS(业务流水!$H$5:$H$1504,业务流水!$E$5:$E$1504,$B$3,业务流水!$D$5:$D$1504,"销项开票",业务流水!$C$5:$C$1504,$A312,业务流水!$Z$5:$Z$1504,"是"))</f>
        <v/>
      </c>
      <c r="D312" s="41" t="str">
        <f aca="false">IF($A312="","",SUMIFS(业务流水!$O$5:$O$1504,业务流水!$E$5:$E$1504,$B$3,业务流水!$D$5:$D$1504,"销项开票",业务流水!$C$5:$C$1504,$A312,业务流水!$Z$5:$Z$1504,"是"))</f>
        <v/>
      </c>
      <c r="E312" s="41" t="str">
        <f aca="false">IF($A312="","",SUMIFS(业务流水!$P$5:$P$1504,业务流水!$E$5:$E$1504,$B$3,业务流水!$D$5:$D$1504,"销项开票",业务流水!$C$5:$C$1504,$A312,业务流水!$Z$5:$Z$1504,"是"))</f>
        <v/>
      </c>
      <c r="F312" s="41" t="str">
        <f aca="false">IF($A312="","",SUMIFS(业务流水!$H$5:$H$1504,业务流水!$F$5:$F$1504,$B$3,业务流水!$D$5:$D$1504,"成本票",业务流水!$C$5:$C$1504,$A312,业务流水!$Z$5:$Z$1504,"是")+SUMIFS(业务流水!$H$5:$H$1504,业务流水!$F$5:$F$1504,$B$3,业务流水!$D$5:$D$1504,"销项开票",业务流水!$C$5:$C$1504,$A312,业务流水!$Z$5:$Z$1504,"是"))</f>
        <v/>
      </c>
      <c r="G312" s="42" t="str">
        <f aca="false">IF($A312="","",$E312-$F312)</f>
        <v/>
      </c>
      <c r="H312" s="41" t="str">
        <f aca="false">IF($A312="","",SUMIFS(业务流水!$W$5:$W$1504,业务流水!$E$5:$E$1504,$B$3,业务流水!$D$5:$D$1504,"销项开票",业务流水!$C$5:$C$1504,$A312,业务流水!$Z$5:$Z$1504,"是"))</f>
        <v/>
      </c>
      <c r="I312" s="41" t="str">
        <f aca="false">IF($A312="","",SUMIFS(业务流水!$H$5:$H$1504,业务流水!$E$5:$E$1504,$B$3,业务流水!$D$5:$D$1504,"已交税",业务流水!$C$5:$C$1504,$A312,业务流水!$Z$5:$Z$1504,"是"))</f>
        <v/>
      </c>
      <c r="J312" s="42" t="str">
        <f aca="false">IF($A312="","",$H312-$I312)</f>
        <v/>
      </c>
      <c r="K312" s="41" t="str">
        <f aca="false">IF($A312="","",SUMIFS(业务流水!$H$5:$H$1504,业务流水!$F$5:$F$1504,$B$3,业务流水!$D$5:$D$1504,"挂靠代收",业务流水!$C$5:$C$1504,$A312,业务流水!$Z$5:$Z$1504,"是"))</f>
        <v/>
      </c>
      <c r="L312" s="42" t="str">
        <f aca="false">IF($A312="","",$C312-$K312)</f>
        <v/>
      </c>
      <c r="M312" s="41" t="str">
        <f aca="false">IF($A312="","",SUMIFS(业务流水!$H$5:$H$1504,业务流水!$E$5:$E$1504,$B$3,业务流水!$D$5:$D$1504,"我方收款",业务流水!$C$5:$C$1504,$A312,业务流水!$Z$5:$Z$1504,"是"))</f>
        <v/>
      </c>
      <c r="N312" s="43" t="str">
        <f aca="false">IF($A312="","",$K312-$M312)</f>
        <v/>
      </c>
      <c r="O312" s="41" t="str">
        <f aca="false">IF($A312="","",SUMIFS(业务流水!$H$5:$H$1504,业务流水!$F$5:$F$1504,$B$3,业务流水!$D$5:$D$1504,"管理费结算",业务流水!$C$5:$C$1504,$A312,业务流水!$Z$5:$Z$1504,"是"))</f>
        <v/>
      </c>
      <c r="P312" s="41" t="str">
        <f aca="false">IF($A312="","",SUMIFS(业务流水!$H$5:$H$1504,业务流水!$E$5:$E$1504,$B$3,业务流水!$D$5:$D$1504,"扣质保金",业务流水!$C$5:$C$1504,$A312,业务流水!$Z$5:$Z$1504,"是"))</f>
        <v/>
      </c>
      <c r="Q312" s="48" t="str">
        <f aca="false">IF($A312="","",IF(SUM($C312:$F312)+SUM($K312:$M312)=0,"无","有"))</f>
        <v/>
      </c>
    </row>
    <row r="313" customFormat="false" ht="15.75" hidden="false" customHeight="true" outlineLevel="0" collapsed="false">
      <c r="A313" s="32" t="str">
        <f aca="false">IF(项目档案!$A313="","",项目档案!$A313)</f>
        <v/>
      </c>
      <c r="B313" s="40" t="str">
        <f aca="false">IF($A313="","",项目档案!$B313)</f>
        <v/>
      </c>
      <c r="C313" s="41" t="str">
        <f aca="false">IF($A313="","",SUMIFS(业务流水!$H$5:$H$1504,业务流水!$E$5:$E$1504,$B$3,业务流水!$D$5:$D$1504,"销项开票",业务流水!$C$5:$C$1504,$A313,业务流水!$Z$5:$Z$1504,"是"))</f>
        <v/>
      </c>
      <c r="D313" s="41" t="str">
        <f aca="false">IF($A313="","",SUMIFS(业务流水!$O$5:$O$1504,业务流水!$E$5:$E$1504,$B$3,业务流水!$D$5:$D$1504,"销项开票",业务流水!$C$5:$C$1504,$A313,业务流水!$Z$5:$Z$1504,"是"))</f>
        <v/>
      </c>
      <c r="E313" s="41" t="str">
        <f aca="false">IF($A313="","",SUMIFS(业务流水!$P$5:$P$1504,业务流水!$E$5:$E$1504,$B$3,业务流水!$D$5:$D$1504,"销项开票",业务流水!$C$5:$C$1504,$A313,业务流水!$Z$5:$Z$1504,"是"))</f>
        <v/>
      </c>
      <c r="F313" s="41" t="str">
        <f aca="false">IF($A313="","",SUMIFS(业务流水!$H$5:$H$1504,业务流水!$F$5:$F$1504,$B$3,业务流水!$D$5:$D$1504,"成本票",业务流水!$C$5:$C$1504,$A313,业务流水!$Z$5:$Z$1504,"是")+SUMIFS(业务流水!$H$5:$H$1504,业务流水!$F$5:$F$1504,$B$3,业务流水!$D$5:$D$1504,"销项开票",业务流水!$C$5:$C$1504,$A313,业务流水!$Z$5:$Z$1504,"是"))</f>
        <v/>
      </c>
      <c r="G313" s="42" t="str">
        <f aca="false">IF($A313="","",$E313-$F313)</f>
        <v/>
      </c>
      <c r="H313" s="41" t="str">
        <f aca="false">IF($A313="","",SUMIFS(业务流水!$W$5:$W$1504,业务流水!$E$5:$E$1504,$B$3,业务流水!$D$5:$D$1504,"销项开票",业务流水!$C$5:$C$1504,$A313,业务流水!$Z$5:$Z$1504,"是"))</f>
        <v/>
      </c>
      <c r="I313" s="41" t="str">
        <f aca="false">IF($A313="","",SUMIFS(业务流水!$H$5:$H$1504,业务流水!$E$5:$E$1504,$B$3,业务流水!$D$5:$D$1504,"已交税",业务流水!$C$5:$C$1504,$A313,业务流水!$Z$5:$Z$1504,"是"))</f>
        <v/>
      </c>
      <c r="J313" s="42" t="str">
        <f aca="false">IF($A313="","",$H313-$I313)</f>
        <v/>
      </c>
      <c r="K313" s="41" t="str">
        <f aca="false">IF($A313="","",SUMIFS(业务流水!$H$5:$H$1504,业务流水!$F$5:$F$1504,$B$3,业务流水!$D$5:$D$1504,"挂靠代收",业务流水!$C$5:$C$1504,$A313,业务流水!$Z$5:$Z$1504,"是"))</f>
        <v/>
      </c>
      <c r="L313" s="42" t="str">
        <f aca="false">IF($A313="","",$C313-$K313)</f>
        <v/>
      </c>
      <c r="M313" s="41" t="str">
        <f aca="false">IF($A313="","",SUMIFS(业务流水!$H$5:$H$1504,业务流水!$E$5:$E$1504,$B$3,业务流水!$D$5:$D$1504,"我方收款",业务流水!$C$5:$C$1504,$A313,业务流水!$Z$5:$Z$1504,"是"))</f>
        <v/>
      </c>
      <c r="N313" s="43" t="str">
        <f aca="false">IF($A313="","",$K313-$M313)</f>
        <v/>
      </c>
      <c r="O313" s="41" t="str">
        <f aca="false">IF($A313="","",SUMIFS(业务流水!$H$5:$H$1504,业务流水!$F$5:$F$1504,$B$3,业务流水!$D$5:$D$1504,"管理费结算",业务流水!$C$5:$C$1504,$A313,业务流水!$Z$5:$Z$1504,"是"))</f>
        <v/>
      </c>
      <c r="P313" s="41" t="str">
        <f aca="false">IF($A313="","",SUMIFS(业务流水!$H$5:$H$1504,业务流水!$E$5:$E$1504,$B$3,业务流水!$D$5:$D$1504,"扣质保金",业务流水!$C$5:$C$1504,$A313,业务流水!$Z$5:$Z$1504,"是"))</f>
        <v/>
      </c>
      <c r="Q313" s="48" t="str">
        <f aca="false">IF($A313="","",IF(SUM($C313:$F313)+SUM($K313:$M313)=0,"无","有"))</f>
        <v/>
      </c>
    </row>
    <row r="314" customFormat="false" ht="15.75" hidden="false" customHeight="true" outlineLevel="0" collapsed="false">
      <c r="A314" s="32" t="str">
        <f aca="false">IF(项目档案!$A314="","",项目档案!$A314)</f>
        <v/>
      </c>
      <c r="B314" s="40" t="str">
        <f aca="false">IF($A314="","",项目档案!$B314)</f>
        <v/>
      </c>
      <c r="C314" s="41" t="str">
        <f aca="false">IF($A314="","",SUMIFS(业务流水!$H$5:$H$1504,业务流水!$E$5:$E$1504,$B$3,业务流水!$D$5:$D$1504,"销项开票",业务流水!$C$5:$C$1504,$A314,业务流水!$Z$5:$Z$1504,"是"))</f>
        <v/>
      </c>
      <c r="D314" s="41" t="str">
        <f aca="false">IF($A314="","",SUMIFS(业务流水!$O$5:$O$1504,业务流水!$E$5:$E$1504,$B$3,业务流水!$D$5:$D$1504,"销项开票",业务流水!$C$5:$C$1504,$A314,业务流水!$Z$5:$Z$1504,"是"))</f>
        <v/>
      </c>
      <c r="E314" s="41" t="str">
        <f aca="false">IF($A314="","",SUMIFS(业务流水!$P$5:$P$1504,业务流水!$E$5:$E$1504,$B$3,业务流水!$D$5:$D$1504,"销项开票",业务流水!$C$5:$C$1504,$A314,业务流水!$Z$5:$Z$1504,"是"))</f>
        <v/>
      </c>
      <c r="F314" s="41" t="str">
        <f aca="false">IF($A314="","",SUMIFS(业务流水!$H$5:$H$1504,业务流水!$F$5:$F$1504,$B$3,业务流水!$D$5:$D$1504,"成本票",业务流水!$C$5:$C$1504,$A314,业务流水!$Z$5:$Z$1504,"是")+SUMIFS(业务流水!$H$5:$H$1504,业务流水!$F$5:$F$1504,$B$3,业务流水!$D$5:$D$1504,"销项开票",业务流水!$C$5:$C$1504,$A314,业务流水!$Z$5:$Z$1504,"是"))</f>
        <v/>
      </c>
      <c r="G314" s="42" t="str">
        <f aca="false">IF($A314="","",$E314-$F314)</f>
        <v/>
      </c>
      <c r="H314" s="41" t="str">
        <f aca="false">IF($A314="","",SUMIFS(业务流水!$W$5:$W$1504,业务流水!$E$5:$E$1504,$B$3,业务流水!$D$5:$D$1504,"销项开票",业务流水!$C$5:$C$1504,$A314,业务流水!$Z$5:$Z$1504,"是"))</f>
        <v/>
      </c>
      <c r="I314" s="41" t="str">
        <f aca="false">IF($A314="","",SUMIFS(业务流水!$H$5:$H$1504,业务流水!$E$5:$E$1504,$B$3,业务流水!$D$5:$D$1504,"已交税",业务流水!$C$5:$C$1504,$A314,业务流水!$Z$5:$Z$1504,"是"))</f>
        <v/>
      </c>
      <c r="J314" s="42" t="str">
        <f aca="false">IF($A314="","",$H314-$I314)</f>
        <v/>
      </c>
      <c r="K314" s="41" t="str">
        <f aca="false">IF($A314="","",SUMIFS(业务流水!$H$5:$H$1504,业务流水!$F$5:$F$1504,$B$3,业务流水!$D$5:$D$1504,"挂靠代收",业务流水!$C$5:$C$1504,$A314,业务流水!$Z$5:$Z$1504,"是"))</f>
        <v/>
      </c>
      <c r="L314" s="42" t="str">
        <f aca="false">IF($A314="","",$C314-$K314)</f>
        <v/>
      </c>
      <c r="M314" s="41" t="str">
        <f aca="false">IF($A314="","",SUMIFS(业务流水!$H$5:$H$1504,业务流水!$E$5:$E$1504,$B$3,业务流水!$D$5:$D$1504,"我方收款",业务流水!$C$5:$C$1504,$A314,业务流水!$Z$5:$Z$1504,"是"))</f>
        <v/>
      </c>
      <c r="N314" s="43" t="str">
        <f aca="false">IF($A314="","",$K314-$M314)</f>
        <v/>
      </c>
      <c r="O314" s="41" t="str">
        <f aca="false">IF($A314="","",SUMIFS(业务流水!$H$5:$H$1504,业务流水!$F$5:$F$1504,$B$3,业务流水!$D$5:$D$1504,"管理费结算",业务流水!$C$5:$C$1504,$A314,业务流水!$Z$5:$Z$1504,"是"))</f>
        <v/>
      </c>
      <c r="P314" s="41" t="str">
        <f aca="false">IF($A314="","",SUMIFS(业务流水!$H$5:$H$1504,业务流水!$E$5:$E$1504,$B$3,业务流水!$D$5:$D$1504,"扣质保金",业务流水!$C$5:$C$1504,$A314,业务流水!$Z$5:$Z$1504,"是"))</f>
        <v/>
      </c>
      <c r="Q314" s="48" t="str">
        <f aca="false">IF($A314="","",IF(SUM($C314:$F314)+SUM($K314:$M314)=0,"无","有"))</f>
        <v/>
      </c>
    </row>
    <row r="315" customFormat="false" ht="15.75" hidden="false" customHeight="true" outlineLevel="0" collapsed="false">
      <c r="A315" s="32" t="str">
        <f aca="false">IF(项目档案!$A315="","",项目档案!$A315)</f>
        <v/>
      </c>
      <c r="B315" s="40" t="str">
        <f aca="false">IF($A315="","",项目档案!$B315)</f>
        <v/>
      </c>
      <c r="C315" s="41" t="str">
        <f aca="false">IF($A315="","",SUMIFS(业务流水!$H$5:$H$1504,业务流水!$E$5:$E$1504,$B$3,业务流水!$D$5:$D$1504,"销项开票",业务流水!$C$5:$C$1504,$A315,业务流水!$Z$5:$Z$1504,"是"))</f>
        <v/>
      </c>
      <c r="D315" s="41" t="str">
        <f aca="false">IF($A315="","",SUMIFS(业务流水!$O$5:$O$1504,业务流水!$E$5:$E$1504,$B$3,业务流水!$D$5:$D$1504,"销项开票",业务流水!$C$5:$C$1504,$A315,业务流水!$Z$5:$Z$1504,"是"))</f>
        <v/>
      </c>
      <c r="E315" s="41" t="str">
        <f aca="false">IF($A315="","",SUMIFS(业务流水!$P$5:$P$1504,业务流水!$E$5:$E$1504,$B$3,业务流水!$D$5:$D$1504,"销项开票",业务流水!$C$5:$C$1504,$A315,业务流水!$Z$5:$Z$1504,"是"))</f>
        <v/>
      </c>
      <c r="F315" s="41" t="str">
        <f aca="false">IF($A315="","",SUMIFS(业务流水!$H$5:$H$1504,业务流水!$F$5:$F$1504,$B$3,业务流水!$D$5:$D$1504,"成本票",业务流水!$C$5:$C$1504,$A315,业务流水!$Z$5:$Z$1504,"是")+SUMIFS(业务流水!$H$5:$H$1504,业务流水!$F$5:$F$1504,$B$3,业务流水!$D$5:$D$1504,"销项开票",业务流水!$C$5:$C$1504,$A315,业务流水!$Z$5:$Z$1504,"是"))</f>
        <v/>
      </c>
      <c r="G315" s="42" t="str">
        <f aca="false">IF($A315="","",$E315-$F315)</f>
        <v/>
      </c>
      <c r="H315" s="41" t="str">
        <f aca="false">IF($A315="","",SUMIFS(业务流水!$W$5:$W$1504,业务流水!$E$5:$E$1504,$B$3,业务流水!$D$5:$D$1504,"销项开票",业务流水!$C$5:$C$1504,$A315,业务流水!$Z$5:$Z$1504,"是"))</f>
        <v/>
      </c>
      <c r="I315" s="41" t="str">
        <f aca="false">IF($A315="","",SUMIFS(业务流水!$H$5:$H$1504,业务流水!$E$5:$E$1504,$B$3,业务流水!$D$5:$D$1504,"已交税",业务流水!$C$5:$C$1504,$A315,业务流水!$Z$5:$Z$1504,"是"))</f>
        <v/>
      </c>
      <c r="J315" s="42" t="str">
        <f aca="false">IF($A315="","",$H315-$I315)</f>
        <v/>
      </c>
      <c r="K315" s="41" t="str">
        <f aca="false">IF($A315="","",SUMIFS(业务流水!$H$5:$H$1504,业务流水!$F$5:$F$1504,$B$3,业务流水!$D$5:$D$1504,"挂靠代收",业务流水!$C$5:$C$1504,$A315,业务流水!$Z$5:$Z$1504,"是"))</f>
        <v/>
      </c>
      <c r="L315" s="42" t="str">
        <f aca="false">IF($A315="","",$C315-$K315)</f>
        <v/>
      </c>
      <c r="M315" s="41" t="str">
        <f aca="false">IF($A315="","",SUMIFS(业务流水!$H$5:$H$1504,业务流水!$E$5:$E$1504,$B$3,业务流水!$D$5:$D$1504,"我方收款",业务流水!$C$5:$C$1504,$A315,业务流水!$Z$5:$Z$1504,"是"))</f>
        <v/>
      </c>
      <c r="N315" s="43" t="str">
        <f aca="false">IF($A315="","",$K315-$M315)</f>
        <v/>
      </c>
      <c r="O315" s="41" t="str">
        <f aca="false">IF($A315="","",SUMIFS(业务流水!$H$5:$H$1504,业务流水!$F$5:$F$1504,$B$3,业务流水!$D$5:$D$1504,"管理费结算",业务流水!$C$5:$C$1504,$A315,业务流水!$Z$5:$Z$1504,"是"))</f>
        <v/>
      </c>
      <c r="P315" s="41" t="str">
        <f aca="false">IF($A315="","",SUMIFS(业务流水!$H$5:$H$1504,业务流水!$E$5:$E$1504,$B$3,业务流水!$D$5:$D$1504,"扣质保金",业务流水!$C$5:$C$1504,$A315,业务流水!$Z$5:$Z$1504,"是"))</f>
        <v/>
      </c>
      <c r="Q315" s="48" t="str">
        <f aca="false">IF($A315="","",IF(SUM($C315:$F315)+SUM($K315:$M315)=0,"无","有"))</f>
        <v/>
      </c>
    </row>
    <row r="316" customFormat="false" ht="15.75" hidden="false" customHeight="true" outlineLevel="0" collapsed="false">
      <c r="A316" s="32" t="str">
        <f aca="false">IF(项目档案!$A316="","",项目档案!$A316)</f>
        <v/>
      </c>
      <c r="B316" s="40" t="str">
        <f aca="false">IF($A316="","",项目档案!$B316)</f>
        <v/>
      </c>
      <c r="C316" s="41" t="str">
        <f aca="false">IF($A316="","",SUMIFS(业务流水!$H$5:$H$1504,业务流水!$E$5:$E$1504,$B$3,业务流水!$D$5:$D$1504,"销项开票",业务流水!$C$5:$C$1504,$A316,业务流水!$Z$5:$Z$1504,"是"))</f>
        <v/>
      </c>
      <c r="D316" s="41" t="str">
        <f aca="false">IF($A316="","",SUMIFS(业务流水!$O$5:$O$1504,业务流水!$E$5:$E$1504,$B$3,业务流水!$D$5:$D$1504,"销项开票",业务流水!$C$5:$C$1504,$A316,业务流水!$Z$5:$Z$1504,"是"))</f>
        <v/>
      </c>
      <c r="E316" s="41" t="str">
        <f aca="false">IF($A316="","",SUMIFS(业务流水!$P$5:$P$1504,业务流水!$E$5:$E$1504,$B$3,业务流水!$D$5:$D$1504,"销项开票",业务流水!$C$5:$C$1504,$A316,业务流水!$Z$5:$Z$1504,"是"))</f>
        <v/>
      </c>
      <c r="F316" s="41" t="str">
        <f aca="false">IF($A316="","",SUMIFS(业务流水!$H$5:$H$1504,业务流水!$F$5:$F$1504,$B$3,业务流水!$D$5:$D$1504,"成本票",业务流水!$C$5:$C$1504,$A316,业务流水!$Z$5:$Z$1504,"是")+SUMIFS(业务流水!$H$5:$H$1504,业务流水!$F$5:$F$1504,$B$3,业务流水!$D$5:$D$1504,"销项开票",业务流水!$C$5:$C$1504,$A316,业务流水!$Z$5:$Z$1504,"是"))</f>
        <v/>
      </c>
      <c r="G316" s="42" t="str">
        <f aca="false">IF($A316="","",$E316-$F316)</f>
        <v/>
      </c>
      <c r="H316" s="41" t="str">
        <f aca="false">IF($A316="","",SUMIFS(业务流水!$W$5:$W$1504,业务流水!$E$5:$E$1504,$B$3,业务流水!$D$5:$D$1504,"销项开票",业务流水!$C$5:$C$1504,$A316,业务流水!$Z$5:$Z$1504,"是"))</f>
        <v/>
      </c>
      <c r="I316" s="41" t="str">
        <f aca="false">IF($A316="","",SUMIFS(业务流水!$H$5:$H$1504,业务流水!$E$5:$E$1504,$B$3,业务流水!$D$5:$D$1504,"已交税",业务流水!$C$5:$C$1504,$A316,业务流水!$Z$5:$Z$1504,"是"))</f>
        <v/>
      </c>
      <c r="J316" s="42" t="str">
        <f aca="false">IF($A316="","",$H316-$I316)</f>
        <v/>
      </c>
      <c r="K316" s="41" t="str">
        <f aca="false">IF($A316="","",SUMIFS(业务流水!$H$5:$H$1504,业务流水!$F$5:$F$1504,$B$3,业务流水!$D$5:$D$1504,"挂靠代收",业务流水!$C$5:$C$1504,$A316,业务流水!$Z$5:$Z$1504,"是"))</f>
        <v/>
      </c>
      <c r="L316" s="42" t="str">
        <f aca="false">IF($A316="","",$C316-$K316)</f>
        <v/>
      </c>
      <c r="M316" s="41" t="str">
        <f aca="false">IF($A316="","",SUMIFS(业务流水!$H$5:$H$1504,业务流水!$E$5:$E$1504,$B$3,业务流水!$D$5:$D$1504,"我方收款",业务流水!$C$5:$C$1504,$A316,业务流水!$Z$5:$Z$1504,"是"))</f>
        <v/>
      </c>
      <c r="N316" s="43" t="str">
        <f aca="false">IF($A316="","",$K316-$M316)</f>
        <v/>
      </c>
      <c r="O316" s="41" t="str">
        <f aca="false">IF($A316="","",SUMIFS(业务流水!$H$5:$H$1504,业务流水!$F$5:$F$1504,$B$3,业务流水!$D$5:$D$1504,"管理费结算",业务流水!$C$5:$C$1504,$A316,业务流水!$Z$5:$Z$1504,"是"))</f>
        <v/>
      </c>
      <c r="P316" s="41" t="str">
        <f aca="false">IF($A316="","",SUMIFS(业务流水!$H$5:$H$1504,业务流水!$E$5:$E$1504,$B$3,业务流水!$D$5:$D$1504,"扣质保金",业务流水!$C$5:$C$1504,$A316,业务流水!$Z$5:$Z$1504,"是"))</f>
        <v/>
      </c>
      <c r="Q316" s="48" t="str">
        <f aca="false">IF($A316="","",IF(SUM($C316:$F316)+SUM($K316:$M316)=0,"无","有"))</f>
        <v/>
      </c>
    </row>
    <row r="317" customFormat="false" ht="15.75" hidden="false" customHeight="true" outlineLevel="0" collapsed="false">
      <c r="A317" s="32" t="str">
        <f aca="false">IF(项目档案!$A317="","",项目档案!$A317)</f>
        <v/>
      </c>
      <c r="B317" s="40" t="str">
        <f aca="false">IF($A317="","",项目档案!$B317)</f>
        <v/>
      </c>
      <c r="C317" s="41" t="str">
        <f aca="false">IF($A317="","",SUMIFS(业务流水!$H$5:$H$1504,业务流水!$E$5:$E$1504,$B$3,业务流水!$D$5:$D$1504,"销项开票",业务流水!$C$5:$C$1504,$A317,业务流水!$Z$5:$Z$1504,"是"))</f>
        <v/>
      </c>
      <c r="D317" s="41" t="str">
        <f aca="false">IF($A317="","",SUMIFS(业务流水!$O$5:$O$1504,业务流水!$E$5:$E$1504,$B$3,业务流水!$D$5:$D$1504,"销项开票",业务流水!$C$5:$C$1504,$A317,业务流水!$Z$5:$Z$1504,"是"))</f>
        <v/>
      </c>
      <c r="E317" s="41" t="str">
        <f aca="false">IF($A317="","",SUMIFS(业务流水!$P$5:$P$1504,业务流水!$E$5:$E$1504,$B$3,业务流水!$D$5:$D$1504,"销项开票",业务流水!$C$5:$C$1504,$A317,业务流水!$Z$5:$Z$1504,"是"))</f>
        <v/>
      </c>
      <c r="F317" s="41" t="str">
        <f aca="false">IF($A317="","",SUMIFS(业务流水!$H$5:$H$1504,业务流水!$F$5:$F$1504,$B$3,业务流水!$D$5:$D$1504,"成本票",业务流水!$C$5:$C$1504,$A317,业务流水!$Z$5:$Z$1504,"是")+SUMIFS(业务流水!$H$5:$H$1504,业务流水!$F$5:$F$1504,$B$3,业务流水!$D$5:$D$1504,"销项开票",业务流水!$C$5:$C$1504,$A317,业务流水!$Z$5:$Z$1504,"是"))</f>
        <v/>
      </c>
      <c r="G317" s="42" t="str">
        <f aca="false">IF($A317="","",$E317-$F317)</f>
        <v/>
      </c>
      <c r="H317" s="41" t="str">
        <f aca="false">IF($A317="","",SUMIFS(业务流水!$W$5:$W$1504,业务流水!$E$5:$E$1504,$B$3,业务流水!$D$5:$D$1504,"销项开票",业务流水!$C$5:$C$1504,$A317,业务流水!$Z$5:$Z$1504,"是"))</f>
        <v/>
      </c>
      <c r="I317" s="41" t="str">
        <f aca="false">IF($A317="","",SUMIFS(业务流水!$H$5:$H$1504,业务流水!$E$5:$E$1504,$B$3,业务流水!$D$5:$D$1504,"已交税",业务流水!$C$5:$C$1504,$A317,业务流水!$Z$5:$Z$1504,"是"))</f>
        <v/>
      </c>
      <c r="J317" s="42" t="str">
        <f aca="false">IF($A317="","",$H317-$I317)</f>
        <v/>
      </c>
      <c r="K317" s="41" t="str">
        <f aca="false">IF($A317="","",SUMIFS(业务流水!$H$5:$H$1504,业务流水!$F$5:$F$1504,$B$3,业务流水!$D$5:$D$1504,"挂靠代收",业务流水!$C$5:$C$1504,$A317,业务流水!$Z$5:$Z$1504,"是"))</f>
        <v/>
      </c>
      <c r="L317" s="42" t="str">
        <f aca="false">IF($A317="","",$C317-$K317)</f>
        <v/>
      </c>
      <c r="M317" s="41" t="str">
        <f aca="false">IF($A317="","",SUMIFS(业务流水!$H$5:$H$1504,业务流水!$E$5:$E$1504,$B$3,业务流水!$D$5:$D$1504,"我方收款",业务流水!$C$5:$C$1504,$A317,业务流水!$Z$5:$Z$1504,"是"))</f>
        <v/>
      </c>
      <c r="N317" s="43" t="str">
        <f aca="false">IF($A317="","",$K317-$M317)</f>
        <v/>
      </c>
      <c r="O317" s="41" t="str">
        <f aca="false">IF($A317="","",SUMIFS(业务流水!$H$5:$H$1504,业务流水!$F$5:$F$1504,$B$3,业务流水!$D$5:$D$1504,"管理费结算",业务流水!$C$5:$C$1504,$A317,业务流水!$Z$5:$Z$1504,"是"))</f>
        <v/>
      </c>
      <c r="P317" s="41" t="str">
        <f aca="false">IF($A317="","",SUMIFS(业务流水!$H$5:$H$1504,业务流水!$E$5:$E$1504,$B$3,业务流水!$D$5:$D$1504,"扣质保金",业务流水!$C$5:$C$1504,$A317,业务流水!$Z$5:$Z$1504,"是"))</f>
        <v/>
      </c>
      <c r="Q317" s="48" t="str">
        <f aca="false">IF($A317="","",IF(SUM($C317:$F317)+SUM($K317:$M317)=0,"无","有"))</f>
        <v/>
      </c>
    </row>
    <row r="318" customFormat="false" ht="15.75" hidden="false" customHeight="true" outlineLevel="0" collapsed="false">
      <c r="A318" s="32" t="str">
        <f aca="false">IF(项目档案!$A318="","",项目档案!$A318)</f>
        <v/>
      </c>
      <c r="B318" s="40" t="str">
        <f aca="false">IF($A318="","",项目档案!$B318)</f>
        <v/>
      </c>
      <c r="C318" s="41" t="str">
        <f aca="false">IF($A318="","",SUMIFS(业务流水!$H$5:$H$1504,业务流水!$E$5:$E$1504,$B$3,业务流水!$D$5:$D$1504,"销项开票",业务流水!$C$5:$C$1504,$A318,业务流水!$Z$5:$Z$1504,"是"))</f>
        <v/>
      </c>
      <c r="D318" s="41" t="str">
        <f aca="false">IF($A318="","",SUMIFS(业务流水!$O$5:$O$1504,业务流水!$E$5:$E$1504,$B$3,业务流水!$D$5:$D$1504,"销项开票",业务流水!$C$5:$C$1504,$A318,业务流水!$Z$5:$Z$1504,"是"))</f>
        <v/>
      </c>
      <c r="E318" s="41" t="str">
        <f aca="false">IF($A318="","",SUMIFS(业务流水!$P$5:$P$1504,业务流水!$E$5:$E$1504,$B$3,业务流水!$D$5:$D$1504,"销项开票",业务流水!$C$5:$C$1504,$A318,业务流水!$Z$5:$Z$1504,"是"))</f>
        <v/>
      </c>
      <c r="F318" s="41" t="str">
        <f aca="false">IF($A318="","",SUMIFS(业务流水!$H$5:$H$1504,业务流水!$F$5:$F$1504,$B$3,业务流水!$D$5:$D$1504,"成本票",业务流水!$C$5:$C$1504,$A318,业务流水!$Z$5:$Z$1504,"是")+SUMIFS(业务流水!$H$5:$H$1504,业务流水!$F$5:$F$1504,$B$3,业务流水!$D$5:$D$1504,"销项开票",业务流水!$C$5:$C$1504,$A318,业务流水!$Z$5:$Z$1504,"是"))</f>
        <v/>
      </c>
      <c r="G318" s="42" t="str">
        <f aca="false">IF($A318="","",$E318-$F318)</f>
        <v/>
      </c>
      <c r="H318" s="41" t="str">
        <f aca="false">IF($A318="","",SUMIFS(业务流水!$W$5:$W$1504,业务流水!$E$5:$E$1504,$B$3,业务流水!$D$5:$D$1504,"销项开票",业务流水!$C$5:$C$1504,$A318,业务流水!$Z$5:$Z$1504,"是"))</f>
        <v/>
      </c>
      <c r="I318" s="41" t="str">
        <f aca="false">IF($A318="","",SUMIFS(业务流水!$H$5:$H$1504,业务流水!$E$5:$E$1504,$B$3,业务流水!$D$5:$D$1504,"已交税",业务流水!$C$5:$C$1504,$A318,业务流水!$Z$5:$Z$1504,"是"))</f>
        <v/>
      </c>
      <c r="J318" s="42" t="str">
        <f aca="false">IF($A318="","",$H318-$I318)</f>
        <v/>
      </c>
      <c r="K318" s="41" t="str">
        <f aca="false">IF($A318="","",SUMIFS(业务流水!$H$5:$H$1504,业务流水!$F$5:$F$1504,$B$3,业务流水!$D$5:$D$1504,"挂靠代收",业务流水!$C$5:$C$1504,$A318,业务流水!$Z$5:$Z$1504,"是"))</f>
        <v/>
      </c>
      <c r="L318" s="42" t="str">
        <f aca="false">IF($A318="","",$C318-$K318)</f>
        <v/>
      </c>
      <c r="M318" s="41" t="str">
        <f aca="false">IF($A318="","",SUMIFS(业务流水!$H$5:$H$1504,业务流水!$E$5:$E$1504,$B$3,业务流水!$D$5:$D$1504,"我方收款",业务流水!$C$5:$C$1504,$A318,业务流水!$Z$5:$Z$1504,"是"))</f>
        <v/>
      </c>
      <c r="N318" s="43" t="str">
        <f aca="false">IF($A318="","",$K318-$M318)</f>
        <v/>
      </c>
      <c r="O318" s="41" t="str">
        <f aca="false">IF($A318="","",SUMIFS(业务流水!$H$5:$H$1504,业务流水!$F$5:$F$1504,$B$3,业务流水!$D$5:$D$1504,"管理费结算",业务流水!$C$5:$C$1504,$A318,业务流水!$Z$5:$Z$1504,"是"))</f>
        <v/>
      </c>
      <c r="P318" s="41" t="str">
        <f aca="false">IF($A318="","",SUMIFS(业务流水!$H$5:$H$1504,业务流水!$E$5:$E$1504,$B$3,业务流水!$D$5:$D$1504,"扣质保金",业务流水!$C$5:$C$1504,$A318,业务流水!$Z$5:$Z$1504,"是"))</f>
        <v/>
      </c>
      <c r="Q318" s="48" t="str">
        <f aca="false">IF($A318="","",IF(SUM($C318:$F318)+SUM($K318:$M318)=0,"无","有"))</f>
        <v/>
      </c>
    </row>
    <row r="319" customFormat="false" ht="15.75" hidden="false" customHeight="true" outlineLevel="0" collapsed="false">
      <c r="A319" s="32" t="str">
        <f aca="false">IF(项目档案!$A319="","",项目档案!$A319)</f>
        <v/>
      </c>
      <c r="B319" s="40" t="str">
        <f aca="false">IF($A319="","",项目档案!$B319)</f>
        <v/>
      </c>
      <c r="C319" s="41" t="str">
        <f aca="false">IF($A319="","",SUMIFS(业务流水!$H$5:$H$1504,业务流水!$E$5:$E$1504,$B$3,业务流水!$D$5:$D$1504,"销项开票",业务流水!$C$5:$C$1504,$A319,业务流水!$Z$5:$Z$1504,"是"))</f>
        <v/>
      </c>
      <c r="D319" s="41" t="str">
        <f aca="false">IF($A319="","",SUMIFS(业务流水!$O$5:$O$1504,业务流水!$E$5:$E$1504,$B$3,业务流水!$D$5:$D$1504,"销项开票",业务流水!$C$5:$C$1504,$A319,业务流水!$Z$5:$Z$1504,"是"))</f>
        <v/>
      </c>
      <c r="E319" s="41" t="str">
        <f aca="false">IF($A319="","",SUMIFS(业务流水!$P$5:$P$1504,业务流水!$E$5:$E$1504,$B$3,业务流水!$D$5:$D$1504,"销项开票",业务流水!$C$5:$C$1504,$A319,业务流水!$Z$5:$Z$1504,"是"))</f>
        <v/>
      </c>
      <c r="F319" s="41" t="str">
        <f aca="false">IF($A319="","",SUMIFS(业务流水!$H$5:$H$1504,业务流水!$F$5:$F$1504,$B$3,业务流水!$D$5:$D$1504,"成本票",业务流水!$C$5:$C$1504,$A319,业务流水!$Z$5:$Z$1504,"是")+SUMIFS(业务流水!$H$5:$H$1504,业务流水!$F$5:$F$1504,$B$3,业务流水!$D$5:$D$1504,"销项开票",业务流水!$C$5:$C$1504,$A319,业务流水!$Z$5:$Z$1504,"是"))</f>
        <v/>
      </c>
      <c r="G319" s="42" t="str">
        <f aca="false">IF($A319="","",$E319-$F319)</f>
        <v/>
      </c>
      <c r="H319" s="41" t="str">
        <f aca="false">IF($A319="","",SUMIFS(业务流水!$W$5:$W$1504,业务流水!$E$5:$E$1504,$B$3,业务流水!$D$5:$D$1504,"销项开票",业务流水!$C$5:$C$1504,$A319,业务流水!$Z$5:$Z$1504,"是"))</f>
        <v/>
      </c>
      <c r="I319" s="41" t="str">
        <f aca="false">IF($A319="","",SUMIFS(业务流水!$H$5:$H$1504,业务流水!$E$5:$E$1504,$B$3,业务流水!$D$5:$D$1504,"已交税",业务流水!$C$5:$C$1504,$A319,业务流水!$Z$5:$Z$1504,"是"))</f>
        <v/>
      </c>
      <c r="J319" s="42" t="str">
        <f aca="false">IF($A319="","",$H319-$I319)</f>
        <v/>
      </c>
      <c r="K319" s="41" t="str">
        <f aca="false">IF($A319="","",SUMIFS(业务流水!$H$5:$H$1504,业务流水!$F$5:$F$1504,$B$3,业务流水!$D$5:$D$1504,"挂靠代收",业务流水!$C$5:$C$1504,$A319,业务流水!$Z$5:$Z$1504,"是"))</f>
        <v/>
      </c>
      <c r="L319" s="42" t="str">
        <f aca="false">IF($A319="","",$C319-$K319)</f>
        <v/>
      </c>
      <c r="M319" s="41" t="str">
        <f aca="false">IF($A319="","",SUMIFS(业务流水!$H$5:$H$1504,业务流水!$E$5:$E$1504,$B$3,业务流水!$D$5:$D$1504,"我方收款",业务流水!$C$5:$C$1504,$A319,业务流水!$Z$5:$Z$1504,"是"))</f>
        <v/>
      </c>
      <c r="N319" s="43" t="str">
        <f aca="false">IF($A319="","",$K319-$M319)</f>
        <v/>
      </c>
      <c r="O319" s="41" t="str">
        <f aca="false">IF($A319="","",SUMIFS(业务流水!$H$5:$H$1504,业务流水!$F$5:$F$1504,$B$3,业务流水!$D$5:$D$1504,"管理费结算",业务流水!$C$5:$C$1504,$A319,业务流水!$Z$5:$Z$1504,"是"))</f>
        <v/>
      </c>
      <c r="P319" s="41" t="str">
        <f aca="false">IF($A319="","",SUMIFS(业务流水!$H$5:$H$1504,业务流水!$E$5:$E$1504,$B$3,业务流水!$D$5:$D$1504,"扣质保金",业务流水!$C$5:$C$1504,$A319,业务流水!$Z$5:$Z$1504,"是"))</f>
        <v/>
      </c>
      <c r="Q319" s="48" t="str">
        <f aca="false">IF($A319="","",IF(SUM($C319:$F319)+SUM($K319:$M319)=0,"无","有"))</f>
        <v/>
      </c>
    </row>
    <row r="320" customFormat="false" ht="15.75" hidden="false" customHeight="true" outlineLevel="0" collapsed="false">
      <c r="A320" s="32" t="str">
        <f aca="false">IF(项目档案!$A320="","",项目档案!$A320)</f>
        <v/>
      </c>
      <c r="B320" s="40" t="str">
        <f aca="false">IF($A320="","",项目档案!$B320)</f>
        <v/>
      </c>
      <c r="C320" s="41" t="str">
        <f aca="false">IF($A320="","",SUMIFS(业务流水!$H$5:$H$1504,业务流水!$E$5:$E$1504,$B$3,业务流水!$D$5:$D$1504,"销项开票",业务流水!$C$5:$C$1504,$A320,业务流水!$Z$5:$Z$1504,"是"))</f>
        <v/>
      </c>
      <c r="D320" s="41" t="str">
        <f aca="false">IF($A320="","",SUMIFS(业务流水!$O$5:$O$1504,业务流水!$E$5:$E$1504,$B$3,业务流水!$D$5:$D$1504,"销项开票",业务流水!$C$5:$C$1504,$A320,业务流水!$Z$5:$Z$1504,"是"))</f>
        <v/>
      </c>
      <c r="E320" s="41" t="str">
        <f aca="false">IF($A320="","",SUMIFS(业务流水!$P$5:$P$1504,业务流水!$E$5:$E$1504,$B$3,业务流水!$D$5:$D$1504,"销项开票",业务流水!$C$5:$C$1504,$A320,业务流水!$Z$5:$Z$1504,"是"))</f>
        <v/>
      </c>
      <c r="F320" s="41" t="str">
        <f aca="false">IF($A320="","",SUMIFS(业务流水!$H$5:$H$1504,业务流水!$F$5:$F$1504,$B$3,业务流水!$D$5:$D$1504,"成本票",业务流水!$C$5:$C$1504,$A320,业务流水!$Z$5:$Z$1504,"是")+SUMIFS(业务流水!$H$5:$H$1504,业务流水!$F$5:$F$1504,$B$3,业务流水!$D$5:$D$1504,"销项开票",业务流水!$C$5:$C$1504,$A320,业务流水!$Z$5:$Z$1504,"是"))</f>
        <v/>
      </c>
      <c r="G320" s="42" t="str">
        <f aca="false">IF($A320="","",$E320-$F320)</f>
        <v/>
      </c>
      <c r="H320" s="41" t="str">
        <f aca="false">IF($A320="","",SUMIFS(业务流水!$W$5:$W$1504,业务流水!$E$5:$E$1504,$B$3,业务流水!$D$5:$D$1504,"销项开票",业务流水!$C$5:$C$1504,$A320,业务流水!$Z$5:$Z$1504,"是"))</f>
        <v/>
      </c>
      <c r="I320" s="41" t="str">
        <f aca="false">IF($A320="","",SUMIFS(业务流水!$H$5:$H$1504,业务流水!$E$5:$E$1504,$B$3,业务流水!$D$5:$D$1504,"已交税",业务流水!$C$5:$C$1504,$A320,业务流水!$Z$5:$Z$1504,"是"))</f>
        <v/>
      </c>
      <c r="J320" s="42" t="str">
        <f aca="false">IF($A320="","",$H320-$I320)</f>
        <v/>
      </c>
      <c r="K320" s="41" t="str">
        <f aca="false">IF($A320="","",SUMIFS(业务流水!$H$5:$H$1504,业务流水!$F$5:$F$1504,$B$3,业务流水!$D$5:$D$1504,"挂靠代收",业务流水!$C$5:$C$1504,$A320,业务流水!$Z$5:$Z$1504,"是"))</f>
        <v/>
      </c>
      <c r="L320" s="42" t="str">
        <f aca="false">IF($A320="","",$C320-$K320)</f>
        <v/>
      </c>
      <c r="M320" s="41" t="str">
        <f aca="false">IF($A320="","",SUMIFS(业务流水!$H$5:$H$1504,业务流水!$E$5:$E$1504,$B$3,业务流水!$D$5:$D$1504,"我方收款",业务流水!$C$5:$C$1504,$A320,业务流水!$Z$5:$Z$1504,"是"))</f>
        <v/>
      </c>
      <c r="N320" s="43" t="str">
        <f aca="false">IF($A320="","",$K320-$M320)</f>
        <v/>
      </c>
      <c r="O320" s="41" t="str">
        <f aca="false">IF($A320="","",SUMIFS(业务流水!$H$5:$H$1504,业务流水!$F$5:$F$1504,$B$3,业务流水!$D$5:$D$1504,"管理费结算",业务流水!$C$5:$C$1504,$A320,业务流水!$Z$5:$Z$1504,"是"))</f>
        <v/>
      </c>
      <c r="P320" s="41" t="str">
        <f aca="false">IF($A320="","",SUMIFS(业务流水!$H$5:$H$1504,业务流水!$E$5:$E$1504,$B$3,业务流水!$D$5:$D$1504,"扣质保金",业务流水!$C$5:$C$1504,$A320,业务流水!$Z$5:$Z$1504,"是"))</f>
        <v/>
      </c>
      <c r="Q320" s="48" t="str">
        <f aca="false">IF($A320="","",IF(SUM($C320:$F320)+SUM($K320:$M320)=0,"无","有"))</f>
        <v/>
      </c>
    </row>
    <row r="321" customFormat="false" ht="15.75" hidden="false" customHeight="true" outlineLevel="0" collapsed="false">
      <c r="A321" s="32" t="str">
        <f aca="false">IF(项目档案!$A321="","",项目档案!$A321)</f>
        <v/>
      </c>
      <c r="B321" s="40" t="str">
        <f aca="false">IF($A321="","",项目档案!$B321)</f>
        <v/>
      </c>
      <c r="C321" s="41" t="str">
        <f aca="false">IF($A321="","",SUMIFS(业务流水!$H$5:$H$1504,业务流水!$E$5:$E$1504,$B$3,业务流水!$D$5:$D$1504,"销项开票",业务流水!$C$5:$C$1504,$A321,业务流水!$Z$5:$Z$1504,"是"))</f>
        <v/>
      </c>
      <c r="D321" s="41" t="str">
        <f aca="false">IF($A321="","",SUMIFS(业务流水!$O$5:$O$1504,业务流水!$E$5:$E$1504,$B$3,业务流水!$D$5:$D$1504,"销项开票",业务流水!$C$5:$C$1504,$A321,业务流水!$Z$5:$Z$1504,"是"))</f>
        <v/>
      </c>
      <c r="E321" s="41" t="str">
        <f aca="false">IF($A321="","",SUMIFS(业务流水!$P$5:$P$1504,业务流水!$E$5:$E$1504,$B$3,业务流水!$D$5:$D$1504,"销项开票",业务流水!$C$5:$C$1504,$A321,业务流水!$Z$5:$Z$1504,"是"))</f>
        <v/>
      </c>
      <c r="F321" s="41" t="str">
        <f aca="false">IF($A321="","",SUMIFS(业务流水!$H$5:$H$1504,业务流水!$F$5:$F$1504,$B$3,业务流水!$D$5:$D$1504,"成本票",业务流水!$C$5:$C$1504,$A321,业务流水!$Z$5:$Z$1504,"是")+SUMIFS(业务流水!$H$5:$H$1504,业务流水!$F$5:$F$1504,$B$3,业务流水!$D$5:$D$1504,"销项开票",业务流水!$C$5:$C$1504,$A321,业务流水!$Z$5:$Z$1504,"是"))</f>
        <v/>
      </c>
      <c r="G321" s="42" t="str">
        <f aca="false">IF($A321="","",$E321-$F321)</f>
        <v/>
      </c>
      <c r="H321" s="41" t="str">
        <f aca="false">IF($A321="","",SUMIFS(业务流水!$W$5:$W$1504,业务流水!$E$5:$E$1504,$B$3,业务流水!$D$5:$D$1504,"销项开票",业务流水!$C$5:$C$1504,$A321,业务流水!$Z$5:$Z$1504,"是"))</f>
        <v/>
      </c>
      <c r="I321" s="41" t="str">
        <f aca="false">IF($A321="","",SUMIFS(业务流水!$H$5:$H$1504,业务流水!$E$5:$E$1504,$B$3,业务流水!$D$5:$D$1504,"已交税",业务流水!$C$5:$C$1504,$A321,业务流水!$Z$5:$Z$1504,"是"))</f>
        <v/>
      </c>
      <c r="J321" s="42" t="str">
        <f aca="false">IF($A321="","",$H321-$I321)</f>
        <v/>
      </c>
      <c r="K321" s="41" t="str">
        <f aca="false">IF($A321="","",SUMIFS(业务流水!$H$5:$H$1504,业务流水!$F$5:$F$1504,$B$3,业务流水!$D$5:$D$1504,"挂靠代收",业务流水!$C$5:$C$1504,$A321,业务流水!$Z$5:$Z$1504,"是"))</f>
        <v/>
      </c>
      <c r="L321" s="42" t="str">
        <f aca="false">IF($A321="","",$C321-$K321)</f>
        <v/>
      </c>
      <c r="M321" s="41" t="str">
        <f aca="false">IF($A321="","",SUMIFS(业务流水!$H$5:$H$1504,业务流水!$E$5:$E$1504,$B$3,业务流水!$D$5:$D$1504,"我方收款",业务流水!$C$5:$C$1504,$A321,业务流水!$Z$5:$Z$1504,"是"))</f>
        <v/>
      </c>
      <c r="N321" s="43" t="str">
        <f aca="false">IF($A321="","",$K321-$M321)</f>
        <v/>
      </c>
      <c r="O321" s="41" t="str">
        <f aca="false">IF($A321="","",SUMIFS(业务流水!$H$5:$H$1504,业务流水!$F$5:$F$1504,$B$3,业务流水!$D$5:$D$1504,"管理费结算",业务流水!$C$5:$C$1504,$A321,业务流水!$Z$5:$Z$1504,"是"))</f>
        <v/>
      </c>
      <c r="P321" s="41" t="str">
        <f aca="false">IF($A321="","",SUMIFS(业务流水!$H$5:$H$1504,业务流水!$E$5:$E$1504,$B$3,业务流水!$D$5:$D$1504,"扣质保金",业务流水!$C$5:$C$1504,$A321,业务流水!$Z$5:$Z$1504,"是"))</f>
        <v/>
      </c>
      <c r="Q321" s="48" t="str">
        <f aca="false">IF($A321="","",IF(SUM($C321:$F321)+SUM($K321:$M321)=0,"无","有"))</f>
        <v/>
      </c>
    </row>
    <row r="322" customFormat="false" ht="15.75" hidden="false" customHeight="true" outlineLevel="0" collapsed="false">
      <c r="A322" s="32" t="str">
        <f aca="false">IF(项目档案!$A322="","",项目档案!$A322)</f>
        <v/>
      </c>
      <c r="B322" s="40" t="str">
        <f aca="false">IF($A322="","",项目档案!$B322)</f>
        <v/>
      </c>
      <c r="C322" s="41" t="str">
        <f aca="false">IF($A322="","",SUMIFS(业务流水!$H$5:$H$1504,业务流水!$E$5:$E$1504,$B$3,业务流水!$D$5:$D$1504,"销项开票",业务流水!$C$5:$C$1504,$A322,业务流水!$Z$5:$Z$1504,"是"))</f>
        <v/>
      </c>
      <c r="D322" s="41" t="str">
        <f aca="false">IF($A322="","",SUMIFS(业务流水!$O$5:$O$1504,业务流水!$E$5:$E$1504,$B$3,业务流水!$D$5:$D$1504,"销项开票",业务流水!$C$5:$C$1504,$A322,业务流水!$Z$5:$Z$1504,"是"))</f>
        <v/>
      </c>
      <c r="E322" s="41" t="str">
        <f aca="false">IF($A322="","",SUMIFS(业务流水!$P$5:$P$1504,业务流水!$E$5:$E$1504,$B$3,业务流水!$D$5:$D$1504,"销项开票",业务流水!$C$5:$C$1504,$A322,业务流水!$Z$5:$Z$1504,"是"))</f>
        <v/>
      </c>
      <c r="F322" s="41" t="str">
        <f aca="false">IF($A322="","",SUMIFS(业务流水!$H$5:$H$1504,业务流水!$F$5:$F$1504,$B$3,业务流水!$D$5:$D$1504,"成本票",业务流水!$C$5:$C$1504,$A322,业务流水!$Z$5:$Z$1504,"是")+SUMIFS(业务流水!$H$5:$H$1504,业务流水!$F$5:$F$1504,$B$3,业务流水!$D$5:$D$1504,"销项开票",业务流水!$C$5:$C$1504,$A322,业务流水!$Z$5:$Z$1504,"是"))</f>
        <v/>
      </c>
      <c r="G322" s="42" t="str">
        <f aca="false">IF($A322="","",$E322-$F322)</f>
        <v/>
      </c>
      <c r="H322" s="41" t="str">
        <f aca="false">IF($A322="","",SUMIFS(业务流水!$W$5:$W$1504,业务流水!$E$5:$E$1504,$B$3,业务流水!$D$5:$D$1504,"销项开票",业务流水!$C$5:$C$1504,$A322,业务流水!$Z$5:$Z$1504,"是"))</f>
        <v/>
      </c>
      <c r="I322" s="41" t="str">
        <f aca="false">IF($A322="","",SUMIFS(业务流水!$H$5:$H$1504,业务流水!$E$5:$E$1504,$B$3,业务流水!$D$5:$D$1504,"已交税",业务流水!$C$5:$C$1504,$A322,业务流水!$Z$5:$Z$1504,"是"))</f>
        <v/>
      </c>
      <c r="J322" s="42" t="str">
        <f aca="false">IF($A322="","",$H322-$I322)</f>
        <v/>
      </c>
      <c r="K322" s="41" t="str">
        <f aca="false">IF($A322="","",SUMIFS(业务流水!$H$5:$H$1504,业务流水!$F$5:$F$1504,$B$3,业务流水!$D$5:$D$1504,"挂靠代收",业务流水!$C$5:$C$1504,$A322,业务流水!$Z$5:$Z$1504,"是"))</f>
        <v/>
      </c>
      <c r="L322" s="42" t="str">
        <f aca="false">IF($A322="","",$C322-$K322)</f>
        <v/>
      </c>
      <c r="M322" s="41" t="str">
        <f aca="false">IF($A322="","",SUMIFS(业务流水!$H$5:$H$1504,业务流水!$E$5:$E$1504,$B$3,业务流水!$D$5:$D$1504,"我方收款",业务流水!$C$5:$C$1504,$A322,业务流水!$Z$5:$Z$1504,"是"))</f>
        <v/>
      </c>
      <c r="N322" s="43" t="str">
        <f aca="false">IF($A322="","",$K322-$M322)</f>
        <v/>
      </c>
      <c r="O322" s="41" t="str">
        <f aca="false">IF($A322="","",SUMIFS(业务流水!$H$5:$H$1504,业务流水!$F$5:$F$1504,$B$3,业务流水!$D$5:$D$1504,"管理费结算",业务流水!$C$5:$C$1504,$A322,业务流水!$Z$5:$Z$1504,"是"))</f>
        <v/>
      </c>
      <c r="P322" s="41" t="str">
        <f aca="false">IF($A322="","",SUMIFS(业务流水!$H$5:$H$1504,业务流水!$E$5:$E$1504,$B$3,业务流水!$D$5:$D$1504,"扣质保金",业务流水!$C$5:$C$1504,$A322,业务流水!$Z$5:$Z$1504,"是"))</f>
        <v/>
      </c>
      <c r="Q322" s="48" t="str">
        <f aca="false">IF($A322="","",IF(SUM($C322:$F322)+SUM($K322:$M322)=0,"无","有"))</f>
        <v/>
      </c>
    </row>
    <row r="323" customFormat="false" ht="15.75" hidden="false" customHeight="true" outlineLevel="0" collapsed="false">
      <c r="A323" s="32" t="str">
        <f aca="false">IF(项目档案!$A323="","",项目档案!$A323)</f>
        <v/>
      </c>
      <c r="B323" s="40" t="str">
        <f aca="false">IF($A323="","",项目档案!$B323)</f>
        <v/>
      </c>
      <c r="C323" s="41" t="str">
        <f aca="false">IF($A323="","",SUMIFS(业务流水!$H$5:$H$1504,业务流水!$E$5:$E$1504,$B$3,业务流水!$D$5:$D$1504,"销项开票",业务流水!$C$5:$C$1504,$A323,业务流水!$Z$5:$Z$1504,"是"))</f>
        <v/>
      </c>
      <c r="D323" s="41" t="str">
        <f aca="false">IF($A323="","",SUMIFS(业务流水!$O$5:$O$1504,业务流水!$E$5:$E$1504,$B$3,业务流水!$D$5:$D$1504,"销项开票",业务流水!$C$5:$C$1504,$A323,业务流水!$Z$5:$Z$1504,"是"))</f>
        <v/>
      </c>
      <c r="E323" s="41" t="str">
        <f aca="false">IF($A323="","",SUMIFS(业务流水!$P$5:$P$1504,业务流水!$E$5:$E$1504,$B$3,业务流水!$D$5:$D$1504,"销项开票",业务流水!$C$5:$C$1504,$A323,业务流水!$Z$5:$Z$1504,"是"))</f>
        <v/>
      </c>
      <c r="F323" s="41" t="str">
        <f aca="false">IF($A323="","",SUMIFS(业务流水!$H$5:$H$1504,业务流水!$F$5:$F$1504,$B$3,业务流水!$D$5:$D$1504,"成本票",业务流水!$C$5:$C$1504,$A323,业务流水!$Z$5:$Z$1504,"是")+SUMIFS(业务流水!$H$5:$H$1504,业务流水!$F$5:$F$1504,$B$3,业务流水!$D$5:$D$1504,"销项开票",业务流水!$C$5:$C$1504,$A323,业务流水!$Z$5:$Z$1504,"是"))</f>
        <v/>
      </c>
      <c r="G323" s="42" t="str">
        <f aca="false">IF($A323="","",$E323-$F323)</f>
        <v/>
      </c>
      <c r="H323" s="41" t="str">
        <f aca="false">IF($A323="","",SUMIFS(业务流水!$W$5:$W$1504,业务流水!$E$5:$E$1504,$B$3,业务流水!$D$5:$D$1504,"销项开票",业务流水!$C$5:$C$1504,$A323,业务流水!$Z$5:$Z$1504,"是"))</f>
        <v/>
      </c>
      <c r="I323" s="41" t="str">
        <f aca="false">IF($A323="","",SUMIFS(业务流水!$H$5:$H$1504,业务流水!$E$5:$E$1504,$B$3,业务流水!$D$5:$D$1504,"已交税",业务流水!$C$5:$C$1504,$A323,业务流水!$Z$5:$Z$1504,"是"))</f>
        <v/>
      </c>
      <c r="J323" s="42" t="str">
        <f aca="false">IF($A323="","",$H323-$I323)</f>
        <v/>
      </c>
      <c r="K323" s="41" t="str">
        <f aca="false">IF($A323="","",SUMIFS(业务流水!$H$5:$H$1504,业务流水!$F$5:$F$1504,$B$3,业务流水!$D$5:$D$1504,"挂靠代收",业务流水!$C$5:$C$1504,$A323,业务流水!$Z$5:$Z$1504,"是"))</f>
        <v/>
      </c>
      <c r="L323" s="42" t="str">
        <f aca="false">IF($A323="","",$C323-$K323)</f>
        <v/>
      </c>
      <c r="M323" s="41" t="str">
        <f aca="false">IF($A323="","",SUMIFS(业务流水!$H$5:$H$1504,业务流水!$E$5:$E$1504,$B$3,业务流水!$D$5:$D$1504,"我方收款",业务流水!$C$5:$C$1504,$A323,业务流水!$Z$5:$Z$1504,"是"))</f>
        <v/>
      </c>
      <c r="N323" s="43" t="str">
        <f aca="false">IF($A323="","",$K323-$M323)</f>
        <v/>
      </c>
      <c r="O323" s="41" t="str">
        <f aca="false">IF($A323="","",SUMIFS(业务流水!$H$5:$H$1504,业务流水!$F$5:$F$1504,$B$3,业务流水!$D$5:$D$1504,"管理费结算",业务流水!$C$5:$C$1504,$A323,业务流水!$Z$5:$Z$1504,"是"))</f>
        <v/>
      </c>
      <c r="P323" s="41" t="str">
        <f aca="false">IF($A323="","",SUMIFS(业务流水!$H$5:$H$1504,业务流水!$E$5:$E$1504,$B$3,业务流水!$D$5:$D$1504,"扣质保金",业务流水!$C$5:$C$1504,$A323,业务流水!$Z$5:$Z$1504,"是"))</f>
        <v/>
      </c>
      <c r="Q323" s="48" t="str">
        <f aca="false">IF($A323="","",IF(SUM($C323:$F323)+SUM($K323:$M323)=0,"无","有"))</f>
        <v/>
      </c>
    </row>
    <row r="324" customFormat="false" ht="15.75" hidden="false" customHeight="true" outlineLevel="0" collapsed="false">
      <c r="A324" s="32" t="str">
        <f aca="false">IF(项目档案!$A324="","",项目档案!$A324)</f>
        <v/>
      </c>
      <c r="B324" s="40" t="str">
        <f aca="false">IF($A324="","",项目档案!$B324)</f>
        <v/>
      </c>
      <c r="C324" s="41" t="str">
        <f aca="false">IF($A324="","",SUMIFS(业务流水!$H$5:$H$1504,业务流水!$E$5:$E$1504,$B$3,业务流水!$D$5:$D$1504,"销项开票",业务流水!$C$5:$C$1504,$A324,业务流水!$Z$5:$Z$1504,"是"))</f>
        <v/>
      </c>
      <c r="D324" s="41" t="str">
        <f aca="false">IF($A324="","",SUMIFS(业务流水!$O$5:$O$1504,业务流水!$E$5:$E$1504,$B$3,业务流水!$D$5:$D$1504,"销项开票",业务流水!$C$5:$C$1504,$A324,业务流水!$Z$5:$Z$1504,"是"))</f>
        <v/>
      </c>
      <c r="E324" s="41" t="str">
        <f aca="false">IF($A324="","",SUMIFS(业务流水!$P$5:$P$1504,业务流水!$E$5:$E$1504,$B$3,业务流水!$D$5:$D$1504,"销项开票",业务流水!$C$5:$C$1504,$A324,业务流水!$Z$5:$Z$1504,"是"))</f>
        <v/>
      </c>
      <c r="F324" s="41" t="str">
        <f aca="false">IF($A324="","",SUMIFS(业务流水!$H$5:$H$1504,业务流水!$F$5:$F$1504,$B$3,业务流水!$D$5:$D$1504,"成本票",业务流水!$C$5:$C$1504,$A324,业务流水!$Z$5:$Z$1504,"是")+SUMIFS(业务流水!$H$5:$H$1504,业务流水!$F$5:$F$1504,$B$3,业务流水!$D$5:$D$1504,"销项开票",业务流水!$C$5:$C$1504,$A324,业务流水!$Z$5:$Z$1504,"是"))</f>
        <v/>
      </c>
      <c r="G324" s="42" t="str">
        <f aca="false">IF($A324="","",$E324-$F324)</f>
        <v/>
      </c>
      <c r="H324" s="41" t="str">
        <f aca="false">IF($A324="","",SUMIFS(业务流水!$W$5:$W$1504,业务流水!$E$5:$E$1504,$B$3,业务流水!$D$5:$D$1504,"销项开票",业务流水!$C$5:$C$1504,$A324,业务流水!$Z$5:$Z$1504,"是"))</f>
        <v/>
      </c>
      <c r="I324" s="41" t="str">
        <f aca="false">IF($A324="","",SUMIFS(业务流水!$H$5:$H$1504,业务流水!$E$5:$E$1504,$B$3,业务流水!$D$5:$D$1504,"已交税",业务流水!$C$5:$C$1504,$A324,业务流水!$Z$5:$Z$1504,"是"))</f>
        <v/>
      </c>
      <c r="J324" s="42" t="str">
        <f aca="false">IF($A324="","",$H324-$I324)</f>
        <v/>
      </c>
      <c r="K324" s="41" t="str">
        <f aca="false">IF($A324="","",SUMIFS(业务流水!$H$5:$H$1504,业务流水!$F$5:$F$1504,$B$3,业务流水!$D$5:$D$1504,"挂靠代收",业务流水!$C$5:$C$1504,$A324,业务流水!$Z$5:$Z$1504,"是"))</f>
        <v/>
      </c>
      <c r="L324" s="42" t="str">
        <f aca="false">IF($A324="","",$C324-$K324)</f>
        <v/>
      </c>
      <c r="M324" s="41" t="str">
        <f aca="false">IF($A324="","",SUMIFS(业务流水!$H$5:$H$1504,业务流水!$E$5:$E$1504,$B$3,业务流水!$D$5:$D$1504,"我方收款",业务流水!$C$5:$C$1504,$A324,业务流水!$Z$5:$Z$1504,"是"))</f>
        <v/>
      </c>
      <c r="N324" s="43" t="str">
        <f aca="false">IF($A324="","",$K324-$M324)</f>
        <v/>
      </c>
      <c r="O324" s="41" t="str">
        <f aca="false">IF($A324="","",SUMIFS(业务流水!$H$5:$H$1504,业务流水!$F$5:$F$1504,$B$3,业务流水!$D$5:$D$1504,"管理费结算",业务流水!$C$5:$C$1504,$A324,业务流水!$Z$5:$Z$1504,"是"))</f>
        <v/>
      </c>
      <c r="P324" s="41" t="str">
        <f aca="false">IF($A324="","",SUMIFS(业务流水!$H$5:$H$1504,业务流水!$E$5:$E$1504,$B$3,业务流水!$D$5:$D$1504,"扣质保金",业务流水!$C$5:$C$1504,$A324,业务流水!$Z$5:$Z$1504,"是"))</f>
        <v/>
      </c>
      <c r="Q324" s="48" t="str">
        <f aca="false">IF($A324="","",IF(SUM($C324:$F324)+SUM($K324:$M324)=0,"无","有"))</f>
        <v/>
      </c>
    </row>
    <row r="325" customFormat="false" ht="15.75" hidden="false" customHeight="true" outlineLevel="0" collapsed="false">
      <c r="A325" s="32" t="str">
        <f aca="false">IF(项目档案!$A325="","",项目档案!$A325)</f>
        <v/>
      </c>
      <c r="B325" s="40" t="str">
        <f aca="false">IF($A325="","",项目档案!$B325)</f>
        <v/>
      </c>
      <c r="C325" s="41" t="str">
        <f aca="false">IF($A325="","",SUMIFS(业务流水!$H$5:$H$1504,业务流水!$E$5:$E$1504,$B$3,业务流水!$D$5:$D$1504,"销项开票",业务流水!$C$5:$C$1504,$A325,业务流水!$Z$5:$Z$1504,"是"))</f>
        <v/>
      </c>
      <c r="D325" s="41" t="str">
        <f aca="false">IF($A325="","",SUMIFS(业务流水!$O$5:$O$1504,业务流水!$E$5:$E$1504,$B$3,业务流水!$D$5:$D$1504,"销项开票",业务流水!$C$5:$C$1504,$A325,业务流水!$Z$5:$Z$1504,"是"))</f>
        <v/>
      </c>
      <c r="E325" s="41" t="str">
        <f aca="false">IF($A325="","",SUMIFS(业务流水!$P$5:$P$1504,业务流水!$E$5:$E$1504,$B$3,业务流水!$D$5:$D$1504,"销项开票",业务流水!$C$5:$C$1504,$A325,业务流水!$Z$5:$Z$1504,"是"))</f>
        <v/>
      </c>
      <c r="F325" s="41" t="str">
        <f aca="false">IF($A325="","",SUMIFS(业务流水!$H$5:$H$1504,业务流水!$F$5:$F$1504,$B$3,业务流水!$D$5:$D$1504,"成本票",业务流水!$C$5:$C$1504,$A325,业务流水!$Z$5:$Z$1504,"是")+SUMIFS(业务流水!$H$5:$H$1504,业务流水!$F$5:$F$1504,$B$3,业务流水!$D$5:$D$1504,"销项开票",业务流水!$C$5:$C$1504,$A325,业务流水!$Z$5:$Z$1504,"是"))</f>
        <v/>
      </c>
      <c r="G325" s="42" t="str">
        <f aca="false">IF($A325="","",$E325-$F325)</f>
        <v/>
      </c>
      <c r="H325" s="41" t="str">
        <f aca="false">IF($A325="","",SUMIFS(业务流水!$W$5:$W$1504,业务流水!$E$5:$E$1504,$B$3,业务流水!$D$5:$D$1504,"销项开票",业务流水!$C$5:$C$1504,$A325,业务流水!$Z$5:$Z$1504,"是"))</f>
        <v/>
      </c>
      <c r="I325" s="41" t="str">
        <f aca="false">IF($A325="","",SUMIFS(业务流水!$H$5:$H$1504,业务流水!$E$5:$E$1504,$B$3,业务流水!$D$5:$D$1504,"已交税",业务流水!$C$5:$C$1504,$A325,业务流水!$Z$5:$Z$1504,"是"))</f>
        <v/>
      </c>
      <c r="J325" s="42" t="str">
        <f aca="false">IF($A325="","",$H325-$I325)</f>
        <v/>
      </c>
      <c r="K325" s="41" t="str">
        <f aca="false">IF($A325="","",SUMIFS(业务流水!$H$5:$H$1504,业务流水!$F$5:$F$1504,$B$3,业务流水!$D$5:$D$1504,"挂靠代收",业务流水!$C$5:$C$1504,$A325,业务流水!$Z$5:$Z$1504,"是"))</f>
        <v/>
      </c>
      <c r="L325" s="42" t="str">
        <f aca="false">IF($A325="","",$C325-$K325)</f>
        <v/>
      </c>
      <c r="M325" s="41" t="str">
        <f aca="false">IF($A325="","",SUMIFS(业务流水!$H$5:$H$1504,业务流水!$E$5:$E$1504,$B$3,业务流水!$D$5:$D$1504,"我方收款",业务流水!$C$5:$C$1504,$A325,业务流水!$Z$5:$Z$1504,"是"))</f>
        <v/>
      </c>
      <c r="N325" s="43" t="str">
        <f aca="false">IF($A325="","",$K325-$M325)</f>
        <v/>
      </c>
      <c r="O325" s="41" t="str">
        <f aca="false">IF($A325="","",SUMIFS(业务流水!$H$5:$H$1504,业务流水!$F$5:$F$1504,$B$3,业务流水!$D$5:$D$1504,"管理费结算",业务流水!$C$5:$C$1504,$A325,业务流水!$Z$5:$Z$1504,"是"))</f>
        <v/>
      </c>
      <c r="P325" s="41" t="str">
        <f aca="false">IF($A325="","",SUMIFS(业务流水!$H$5:$H$1504,业务流水!$E$5:$E$1504,$B$3,业务流水!$D$5:$D$1504,"扣质保金",业务流水!$C$5:$C$1504,$A325,业务流水!$Z$5:$Z$1504,"是"))</f>
        <v/>
      </c>
      <c r="Q325" s="48" t="str">
        <f aca="false">IF($A325="","",IF(SUM($C325:$F325)+SUM($K325:$M325)=0,"无","有"))</f>
        <v/>
      </c>
    </row>
    <row r="326" customFormat="false" ht="15.75" hidden="false" customHeight="true" outlineLevel="0" collapsed="false">
      <c r="A326" s="32" t="str">
        <f aca="false">IF(项目档案!$A326="","",项目档案!$A326)</f>
        <v/>
      </c>
      <c r="B326" s="40" t="str">
        <f aca="false">IF($A326="","",项目档案!$B326)</f>
        <v/>
      </c>
      <c r="C326" s="41" t="str">
        <f aca="false">IF($A326="","",SUMIFS(业务流水!$H$5:$H$1504,业务流水!$E$5:$E$1504,$B$3,业务流水!$D$5:$D$1504,"销项开票",业务流水!$C$5:$C$1504,$A326,业务流水!$Z$5:$Z$1504,"是"))</f>
        <v/>
      </c>
      <c r="D326" s="41" t="str">
        <f aca="false">IF($A326="","",SUMIFS(业务流水!$O$5:$O$1504,业务流水!$E$5:$E$1504,$B$3,业务流水!$D$5:$D$1504,"销项开票",业务流水!$C$5:$C$1504,$A326,业务流水!$Z$5:$Z$1504,"是"))</f>
        <v/>
      </c>
      <c r="E326" s="41" t="str">
        <f aca="false">IF($A326="","",SUMIFS(业务流水!$P$5:$P$1504,业务流水!$E$5:$E$1504,$B$3,业务流水!$D$5:$D$1504,"销项开票",业务流水!$C$5:$C$1504,$A326,业务流水!$Z$5:$Z$1504,"是"))</f>
        <v/>
      </c>
      <c r="F326" s="41" t="str">
        <f aca="false">IF($A326="","",SUMIFS(业务流水!$H$5:$H$1504,业务流水!$F$5:$F$1504,$B$3,业务流水!$D$5:$D$1504,"成本票",业务流水!$C$5:$C$1504,$A326,业务流水!$Z$5:$Z$1504,"是")+SUMIFS(业务流水!$H$5:$H$1504,业务流水!$F$5:$F$1504,$B$3,业务流水!$D$5:$D$1504,"销项开票",业务流水!$C$5:$C$1504,$A326,业务流水!$Z$5:$Z$1504,"是"))</f>
        <v/>
      </c>
      <c r="G326" s="42" t="str">
        <f aca="false">IF($A326="","",$E326-$F326)</f>
        <v/>
      </c>
      <c r="H326" s="41" t="str">
        <f aca="false">IF($A326="","",SUMIFS(业务流水!$W$5:$W$1504,业务流水!$E$5:$E$1504,$B$3,业务流水!$D$5:$D$1504,"销项开票",业务流水!$C$5:$C$1504,$A326,业务流水!$Z$5:$Z$1504,"是"))</f>
        <v/>
      </c>
      <c r="I326" s="41" t="str">
        <f aca="false">IF($A326="","",SUMIFS(业务流水!$H$5:$H$1504,业务流水!$E$5:$E$1504,$B$3,业务流水!$D$5:$D$1504,"已交税",业务流水!$C$5:$C$1504,$A326,业务流水!$Z$5:$Z$1504,"是"))</f>
        <v/>
      </c>
      <c r="J326" s="42" t="str">
        <f aca="false">IF($A326="","",$H326-$I326)</f>
        <v/>
      </c>
      <c r="K326" s="41" t="str">
        <f aca="false">IF($A326="","",SUMIFS(业务流水!$H$5:$H$1504,业务流水!$F$5:$F$1504,$B$3,业务流水!$D$5:$D$1504,"挂靠代收",业务流水!$C$5:$C$1504,$A326,业务流水!$Z$5:$Z$1504,"是"))</f>
        <v/>
      </c>
      <c r="L326" s="42" t="str">
        <f aca="false">IF($A326="","",$C326-$K326)</f>
        <v/>
      </c>
      <c r="M326" s="41" t="str">
        <f aca="false">IF($A326="","",SUMIFS(业务流水!$H$5:$H$1504,业务流水!$E$5:$E$1504,$B$3,业务流水!$D$5:$D$1504,"我方收款",业务流水!$C$5:$C$1504,$A326,业务流水!$Z$5:$Z$1504,"是"))</f>
        <v/>
      </c>
      <c r="N326" s="43" t="str">
        <f aca="false">IF($A326="","",$K326-$M326)</f>
        <v/>
      </c>
      <c r="O326" s="41" t="str">
        <f aca="false">IF($A326="","",SUMIFS(业务流水!$H$5:$H$1504,业务流水!$F$5:$F$1504,$B$3,业务流水!$D$5:$D$1504,"管理费结算",业务流水!$C$5:$C$1504,$A326,业务流水!$Z$5:$Z$1504,"是"))</f>
        <v/>
      </c>
      <c r="P326" s="41" t="str">
        <f aca="false">IF($A326="","",SUMIFS(业务流水!$H$5:$H$1504,业务流水!$E$5:$E$1504,$B$3,业务流水!$D$5:$D$1504,"扣质保金",业务流水!$C$5:$C$1504,$A326,业务流水!$Z$5:$Z$1504,"是"))</f>
        <v/>
      </c>
      <c r="Q326" s="48" t="str">
        <f aca="false">IF($A326="","",IF(SUM($C326:$F326)+SUM($K326:$M326)=0,"无","有"))</f>
        <v/>
      </c>
    </row>
    <row r="327" customFormat="false" ht="15.75" hidden="false" customHeight="true" outlineLevel="0" collapsed="false">
      <c r="A327" s="32" t="str">
        <f aca="false">IF(项目档案!$A327="","",项目档案!$A327)</f>
        <v/>
      </c>
      <c r="B327" s="40" t="str">
        <f aca="false">IF($A327="","",项目档案!$B327)</f>
        <v/>
      </c>
      <c r="C327" s="41" t="str">
        <f aca="false">IF($A327="","",SUMIFS(业务流水!$H$5:$H$1504,业务流水!$E$5:$E$1504,$B$3,业务流水!$D$5:$D$1504,"销项开票",业务流水!$C$5:$C$1504,$A327,业务流水!$Z$5:$Z$1504,"是"))</f>
        <v/>
      </c>
      <c r="D327" s="41" t="str">
        <f aca="false">IF($A327="","",SUMIFS(业务流水!$O$5:$O$1504,业务流水!$E$5:$E$1504,$B$3,业务流水!$D$5:$D$1504,"销项开票",业务流水!$C$5:$C$1504,$A327,业务流水!$Z$5:$Z$1504,"是"))</f>
        <v/>
      </c>
      <c r="E327" s="41" t="str">
        <f aca="false">IF($A327="","",SUMIFS(业务流水!$P$5:$P$1504,业务流水!$E$5:$E$1504,$B$3,业务流水!$D$5:$D$1504,"销项开票",业务流水!$C$5:$C$1504,$A327,业务流水!$Z$5:$Z$1504,"是"))</f>
        <v/>
      </c>
      <c r="F327" s="41" t="str">
        <f aca="false">IF($A327="","",SUMIFS(业务流水!$H$5:$H$1504,业务流水!$F$5:$F$1504,$B$3,业务流水!$D$5:$D$1504,"成本票",业务流水!$C$5:$C$1504,$A327,业务流水!$Z$5:$Z$1504,"是")+SUMIFS(业务流水!$H$5:$H$1504,业务流水!$F$5:$F$1504,$B$3,业务流水!$D$5:$D$1504,"销项开票",业务流水!$C$5:$C$1504,$A327,业务流水!$Z$5:$Z$1504,"是"))</f>
        <v/>
      </c>
      <c r="G327" s="42" t="str">
        <f aca="false">IF($A327="","",$E327-$F327)</f>
        <v/>
      </c>
      <c r="H327" s="41" t="str">
        <f aca="false">IF($A327="","",SUMIFS(业务流水!$W$5:$W$1504,业务流水!$E$5:$E$1504,$B$3,业务流水!$D$5:$D$1504,"销项开票",业务流水!$C$5:$C$1504,$A327,业务流水!$Z$5:$Z$1504,"是"))</f>
        <v/>
      </c>
      <c r="I327" s="41" t="str">
        <f aca="false">IF($A327="","",SUMIFS(业务流水!$H$5:$H$1504,业务流水!$E$5:$E$1504,$B$3,业务流水!$D$5:$D$1504,"已交税",业务流水!$C$5:$C$1504,$A327,业务流水!$Z$5:$Z$1504,"是"))</f>
        <v/>
      </c>
      <c r="J327" s="42" t="str">
        <f aca="false">IF($A327="","",$H327-$I327)</f>
        <v/>
      </c>
      <c r="K327" s="41" t="str">
        <f aca="false">IF($A327="","",SUMIFS(业务流水!$H$5:$H$1504,业务流水!$F$5:$F$1504,$B$3,业务流水!$D$5:$D$1504,"挂靠代收",业务流水!$C$5:$C$1504,$A327,业务流水!$Z$5:$Z$1504,"是"))</f>
        <v/>
      </c>
      <c r="L327" s="42" t="str">
        <f aca="false">IF($A327="","",$C327-$K327)</f>
        <v/>
      </c>
      <c r="M327" s="41" t="str">
        <f aca="false">IF($A327="","",SUMIFS(业务流水!$H$5:$H$1504,业务流水!$E$5:$E$1504,$B$3,业务流水!$D$5:$D$1504,"我方收款",业务流水!$C$5:$C$1504,$A327,业务流水!$Z$5:$Z$1504,"是"))</f>
        <v/>
      </c>
      <c r="N327" s="43" t="str">
        <f aca="false">IF($A327="","",$K327-$M327)</f>
        <v/>
      </c>
      <c r="O327" s="41" t="str">
        <f aca="false">IF($A327="","",SUMIFS(业务流水!$H$5:$H$1504,业务流水!$F$5:$F$1504,$B$3,业务流水!$D$5:$D$1504,"管理费结算",业务流水!$C$5:$C$1504,$A327,业务流水!$Z$5:$Z$1504,"是"))</f>
        <v/>
      </c>
      <c r="P327" s="41" t="str">
        <f aca="false">IF($A327="","",SUMIFS(业务流水!$H$5:$H$1504,业务流水!$E$5:$E$1504,$B$3,业务流水!$D$5:$D$1504,"扣质保金",业务流水!$C$5:$C$1504,$A327,业务流水!$Z$5:$Z$1504,"是"))</f>
        <v/>
      </c>
      <c r="Q327" s="48" t="str">
        <f aca="false">IF($A327="","",IF(SUM($C327:$F327)+SUM($K327:$M327)=0,"无","有"))</f>
        <v/>
      </c>
    </row>
    <row r="328" customFormat="false" ht="15.75" hidden="false" customHeight="true" outlineLevel="0" collapsed="false">
      <c r="A328" s="32" t="str">
        <f aca="false">IF(项目档案!$A328="","",项目档案!$A328)</f>
        <v/>
      </c>
      <c r="B328" s="40" t="str">
        <f aca="false">IF($A328="","",项目档案!$B328)</f>
        <v/>
      </c>
      <c r="C328" s="41" t="str">
        <f aca="false">IF($A328="","",SUMIFS(业务流水!$H$5:$H$1504,业务流水!$E$5:$E$1504,$B$3,业务流水!$D$5:$D$1504,"销项开票",业务流水!$C$5:$C$1504,$A328,业务流水!$Z$5:$Z$1504,"是"))</f>
        <v/>
      </c>
      <c r="D328" s="41" t="str">
        <f aca="false">IF($A328="","",SUMIFS(业务流水!$O$5:$O$1504,业务流水!$E$5:$E$1504,$B$3,业务流水!$D$5:$D$1504,"销项开票",业务流水!$C$5:$C$1504,$A328,业务流水!$Z$5:$Z$1504,"是"))</f>
        <v/>
      </c>
      <c r="E328" s="41" t="str">
        <f aca="false">IF($A328="","",SUMIFS(业务流水!$P$5:$P$1504,业务流水!$E$5:$E$1504,$B$3,业务流水!$D$5:$D$1504,"销项开票",业务流水!$C$5:$C$1504,$A328,业务流水!$Z$5:$Z$1504,"是"))</f>
        <v/>
      </c>
      <c r="F328" s="41" t="str">
        <f aca="false">IF($A328="","",SUMIFS(业务流水!$H$5:$H$1504,业务流水!$F$5:$F$1504,$B$3,业务流水!$D$5:$D$1504,"成本票",业务流水!$C$5:$C$1504,$A328,业务流水!$Z$5:$Z$1504,"是")+SUMIFS(业务流水!$H$5:$H$1504,业务流水!$F$5:$F$1504,$B$3,业务流水!$D$5:$D$1504,"销项开票",业务流水!$C$5:$C$1504,$A328,业务流水!$Z$5:$Z$1504,"是"))</f>
        <v/>
      </c>
      <c r="G328" s="42" t="str">
        <f aca="false">IF($A328="","",$E328-$F328)</f>
        <v/>
      </c>
      <c r="H328" s="41" t="str">
        <f aca="false">IF($A328="","",SUMIFS(业务流水!$W$5:$W$1504,业务流水!$E$5:$E$1504,$B$3,业务流水!$D$5:$D$1504,"销项开票",业务流水!$C$5:$C$1504,$A328,业务流水!$Z$5:$Z$1504,"是"))</f>
        <v/>
      </c>
      <c r="I328" s="41" t="str">
        <f aca="false">IF($A328="","",SUMIFS(业务流水!$H$5:$H$1504,业务流水!$E$5:$E$1504,$B$3,业务流水!$D$5:$D$1504,"已交税",业务流水!$C$5:$C$1504,$A328,业务流水!$Z$5:$Z$1504,"是"))</f>
        <v/>
      </c>
      <c r="J328" s="42" t="str">
        <f aca="false">IF($A328="","",$H328-$I328)</f>
        <v/>
      </c>
      <c r="K328" s="41" t="str">
        <f aca="false">IF($A328="","",SUMIFS(业务流水!$H$5:$H$1504,业务流水!$F$5:$F$1504,$B$3,业务流水!$D$5:$D$1504,"挂靠代收",业务流水!$C$5:$C$1504,$A328,业务流水!$Z$5:$Z$1504,"是"))</f>
        <v/>
      </c>
      <c r="L328" s="42" t="str">
        <f aca="false">IF($A328="","",$C328-$K328)</f>
        <v/>
      </c>
      <c r="M328" s="41" t="str">
        <f aca="false">IF($A328="","",SUMIFS(业务流水!$H$5:$H$1504,业务流水!$E$5:$E$1504,$B$3,业务流水!$D$5:$D$1504,"我方收款",业务流水!$C$5:$C$1504,$A328,业务流水!$Z$5:$Z$1504,"是"))</f>
        <v/>
      </c>
      <c r="N328" s="43" t="str">
        <f aca="false">IF($A328="","",$K328-$M328)</f>
        <v/>
      </c>
      <c r="O328" s="41" t="str">
        <f aca="false">IF($A328="","",SUMIFS(业务流水!$H$5:$H$1504,业务流水!$F$5:$F$1504,$B$3,业务流水!$D$5:$D$1504,"管理费结算",业务流水!$C$5:$C$1504,$A328,业务流水!$Z$5:$Z$1504,"是"))</f>
        <v/>
      </c>
      <c r="P328" s="41" t="str">
        <f aca="false">IF($A328="","",SUMIFS(业务流水!$H$5:$H$1504,业务流水!$E$5:$E$1504,$B$3,业务流水!$D$5:$D$1504,"扣质保金",业务流水!$C$5:$C$1504,$A328,业务流水!$Z$5:$Z$1504,"是"))</f>
        <v/>
      </c>
      <c r="Q328" s="48" t="str">
        <f aca="false">IF($A328="","",IF(SUM($C328:$F328)+SUM($K328:$M328)=0,"无","有"))</f>
        <v/>
      </c>
    </row>
    <row r="329" customFormat="false" ht="15.75" hidden="false" customHeight="true" outlineLevel="0" collapsed="false">
      <c r="A329" s="32" t="str">
        <f aca="false">IF(项目档案!$A329="","",项目档案!$A329)</f>
        <v/>
      </c>
      <c r="B329" s="40" t="str">
        <f aca="false">IF($A329="","",项目档案!$B329)</f>
        <v/>
      </c>
      <c r="C329" s="41" t="str">
        <f aca="false">IF($A329="","",SUMIFS(业务流水!$H$5:$H$1504,业务流水!$E$5:$E$1504,$B$3,业务流水!$D$5:$D$1504,"销项开票",业务流水!$C$5:$C$1504,$A329,业务流水!$Z$5:$Z$1504,"是"))</f>
        <v/>
      </c>
      <c r="D329" s="41" t="str">
        <f aca="false">IF($A329="","",SUMIFS(业务流水!$O$5:$O$1504,业务流水!$E$5:$E$1504,$B$3,业务流水!$D$5:$D$1504,"销项开票",业务流水!$C$5:$C$1504,$A329,业务流水!$Z$5:$Z$1504,"是"))</f>
        <v/>
      </c>
      <c r="E329" s="41" t="str">
        <f aca="false">IF($A329="","",SUMIFS(业务流水!$P$5:$P$1504,业务流水!$E$5:$E$1504,$B$3,业务流水!$D$5:$D$1504,"销项开票",业务流水!$C$5:$C$1504,$A329,业务流水!$Z$5:$Z$1504,"是"))</f>
        <v/>
      </c>
      <c r="F329" s="41" t="str">
        <f aca="false">IF($A329="","",SUMIFS(业务流水!$H$5:$H$1504,业务流水!$F$5:$F$1504,$B$3,业务流水!$D$5:$D$1504,"成本票",业务流水!$C$5:$C$1504,$A329,业务流水!$Z$5:$Z$1504,"是")+SUMIFS(业务流水!$H$5:$H$1504,业务流水!$F$5:$F$1504,$B$3,业务流水!$D$5:$D$1504,"销项开票",业务流水!$C$5:$C$1504,$A329,业务流水!$Z$5:$Z$1504,"是"))</f>
        <v/>
      </c>
      <c r="G329" s="42" t="str">
        <f aca="false">IF($A329="","",$E329-$F329)</f>
        <v/>
      </c>
      <c r="H329" s="41" t="str">
        <f aca="false">IF($A329="","",SUMIFS(业务流水!$W$5:$W$1504,业务流水!$E$5:$E$1504,$B$3,业务流水!$D$5:$D$1504,"销项开票",业务流水!$C$5:$C$1504,$A329,业务流水!$Z$5:$Z$1504,"是"))</f>
        <v/>
      </c>
      <c r="I329" s="41" t="str">
        <f aca="false">IF($A329="","",SUMIFS(业务流水!$H$5:$H$1504,业务流水!$E$5:$E$1504,$B$3,业务流水!$D$5:$D$1504,"已交税",业务流水!$C$5:$C$1504,$A329,业务流水!$Z$5:$Z$1504,"是"))</f>
        <v/>
      </c>
      <c r="J329" s="42" t="str">
        <f aca="false">IF($A329="","",$H329-$I329)</f>
        <v/>
      </c>
      <c r="K329" s="41" t="str">
        <f aca="false">IF($A329="","",SUMIFS(业务流水!$H$5:$H$1504,业务流水!$F$5:$F$1504,$B$3,业务流水!$D$5:$D$1504,"挂靠代收",业务流水!$C$5:$C$1504,$A329,业务流水!$Z$5:$Z$1504,"是"))</f>
        <v/>
      </c>
      <c r="L329" s="42" t="str">
        <f aca="false">IF($A329="","",$C329-$K329)</f>
        <v/>
      </c>
      <c r="M329" s="41" t="str">
        <f aca="false">IF($A329="","",SUMIFS(业务流水!$H$5:$H$1504,业务流水!$E$5:$E$1504,$B$3,业务流水!$D$5:$D$1504,"我方收款",业务流水!$C$5:$C$1504,$A329,业务流水!$Z$5:$Z$1504,"是"))</f>
        <v/>
      </c>
      <c r="N329" s="43" t="str">
        <f aca="false">IF($A329="","",$K329-$M329)</f>
        <v/>
      </c>
      <c r="O329" s="41" t="str">
        <f aca="false">IF($A329="","",SUMIFS(业务流水!$H$5:$H$1504,业务流水!$F$5:$F$1504,$B$3,业务流水!$D$5:$D$1504,"管理费结算",业务流水!$C$5:$C$1504,$A329,业务流水!$Z$5:$Z$1504,"是"))</f>
        <v/>
      </c>
      <c r="P329" s="41" t="str">
        <f aca="false">IF($A329="","",SUMIFS(业务流水!$H$5:$H$1504,业务流水!$E$5:$E$1504,$B$3,业务流水!$D$5:$D$1504,"扣质保金",业务流水!$C$5:$C$1504,$A329,业务流水!$Z$5:$Z$1504,"是"))</f>
        <v/>
      </c>
      <c r="Q329" s="48" t="str">
        <f aca="false">IF($A329="","",IF(SUM($C329:$F329)+SUM($K329:$M329)=0,"无","有"))</f>
        <v/>
      </c>
    </row>
    <row r="330" customFormat="false" ht="15.75" hidden="false" customHeight="true" outlineLevel="0" collapsed="false">
      <c r="A330" s="32" t="str">
        <f aca="false">IF(项目档案!$A330="","",项目档案!$A330)</f>
        <v/>
      </c>
      <c r="B330" s="40" t="str">
        <f aca="false">IF($A330="","",项目档案!$B330)</f>
        <v/>
      </c>
      <c r="C330" s="41" t="str">
        <f aca="false">IF($A330="","",SUMIFS(业务流水!$H$5:$H$1504,业务流水!$E$5:$E$1504,$B$3,业务流水!$D$5:$D$1504,"销项开票",业务流水!$C$5:$C$1504,$A330,业务流水!$Z$5:$Z$1504,"是"))</f>
        <v/>
      </c>
      <c r="D330" s="41" t="str">
        <f aca="false">IF($A330="","",SUMIFS(业务流水!$O$5:$O$1504,业务流水!$E$5:$E$1504,$B$3,业务流水!$D$5:$D$1504,"销项开票",业务流水!$C$5:$C$1504,$A330,业务流水!$Z$5:$Z$1504,"是"))</f>
        <v/>
      </c>
      <c r="E330" s="41" t="str">
        <f aca="false">IF($A330="","",SUMIFS(业务流水!$P$5:$P$1504,业务流水!$E$5:$E$1504,$B$3,业务流水!$D$5:$D$1504,"销项开票",业务流水!$C$5:$C$1504,$A330,业务流水!$Z$5:$Z$1504,"是"))</f>
        <v/>
      </c>
      <c r="F330" s="41" t="str">
        <f aca="false">IF($A330="","",SUMIFS(业务流水!$H$5:$H$1504,业务流水!$F$5:$F$1504,$B$3,业务流水!$D$5:$D$1504,"成本票",业务流水!$C$5:$C$1504,$A330,业务流水!$Z$5:$Z$1504,"是")+SUMIFS(业务流水!$H$5:$H$1504,业务流水!$F$5:$F$1504,$B$3,业务流水!$D$5:$D$1504,"销项开票",业务流水!$C$5:$C$1504,$A330,业务流水!$Z$5:$Z$1504,"是"))</f>
        <v/>
      </c>
      <c r="G330" s="42" t="str">
        <f aca="false">IF($A330="","",$E330-$F330)</f>
        <v/>
      </c>
      <c r="H330" s="41" t="str">
        <f aca="false">IF($A330="","",SUMIFS(业务流水!$W$5:$W$1504,业务流水!$E$5:$E$1504,$B$3,业务流水!$D$5:$D$1504,"销项开票",业务流水!$C$5:$C$1504,$A330,业务流水!$Z$5:$Z$1504,"是"))</f>
        <v/>
      </c>
      <c r="I330" s="41" t="str">
        <f aca="false">IF($A330="","",SUMIFS(业务流水!$H$5:$H$1504,业务流水!$E$5:$E$1504,$B$3,业务流水!$D$5:$D$1504,"已交税",业务流水!$C$5:$C$1504,$A330,业务流水!$Z$5:$Z$1504,"是"))</f>
        <v/>
      </c>
      <c r="J330" s="42" t="str">
        <f aca="false">IF($A330="","",$H330-$I330)</f>
        <v/>
      </c>
      <c r="K330" s="41" t="str">
        <f aca="false">IF($A330="","",SUMIFS(业务流水!$H$5:$H$1504,业务流水!$F$5:$F$1504,$B$3,业务流水!$D$5:$D$1504,"挂靠代收",业务流水!$C$5:$C$1504,$A330,业务流水!$Z$5:$Z$1504,"是"))</f>
        <v/>
      </c>
      <c r="L330" s="42" t="str">
        <f aca="false">IF($A330="","",$C330-$K330)</f>
        <v/>
      </c>
      <c r="M330" s="41" t="str">
        <f aca="false">IF($A330="","",SUMIFS(业务流水!$H$5:$H$1504,业务流水!$E$5:$E$1504,$B$3,业务流水!$D$5:$D$1504,"我方收款",业务流水!$C$5:$C$1504,$A330,业务流水!$Z$5:$Z$1504,"是"))</f>
        <v/>
      </c>
      <c r="N330" s="43" t="str">
        <f aca="false">IF($A330="","",$K330-$M330)</f>
        <v/>
      </c>
      <c r="O330" s="41" t="str">
        <f aca="false">IF($A330="","",SUMIFS(业务流水!$H$5:$H$1504,业务流水!$F$5:$F$1504,$B$3,业务流水!$D$5:$D$1504,"管理费结算",业务流水!$C$5:$C$1504,$A330,业务流水!$Z$5:$Z$1504,"是"))</f>
        <v/>
      </c>
      <c r="P330" s="41" t="str">
        <f aca="false">IF($A330="","",SUMIFS(业务流水!$H$5:$H$1504,业务流水!$E$5:$E$1504,$B$3,业务流水!$D$5:$D$1504,"扣质保金",业务流水!$C$5:$C$1504,$A330,业务流水!$Z$5:$Z$1504,"是"))</f>
        <v/>
      </c>
      <c r="Q330" s="48" t="str">
        <f aca="false">IF($A330="","",IF(SUM($C330:$F330)+SUM($K330:$M330)=0,"无","有"))</f>
        <v/>
      </c>
    </row>
    <row r="331" customFormat="false" ht="15.75" hidden="false" customHeight="true" outlineLevel="0" collapsed="false">
      <c r="A331" s="32" t="str">
        <f aca="false">IF(项目档案!$A331="","",项目档案!$A331)</f>
        <v/>
      </c>
      <c r="B331" s="40" t="str">
        <f aca="false">IF($A331="","",项目档案!$B331)</f>
        <v/>
      </c>
      <c r="C331" s="41" t="str">
        <f aca="false">IF($A331="","",SUMIFS(业务流水!$H$5:$H$1504,业务流水!$E$5:$E$1504,$B$3,业务流水!$D$5:$D$1504,"销项开票",业务流水!$C$5:$C$1504,$A331,业务流水!$Z$5:$Z$1504,"是"))</f>
        <v/>
      </c>
      <c r="D331" s="41" t="str">
        <f aca="false">IF($A331="","",SUMIFS(业务流水!$O$5:$O$1504,业务流水!$E$5:$E$1504,$B$3,业务流水!$D$5:$D$1504,"销项开票",业务流水!$C$5:$C$1504,$A331,业务流水!$Z$5:$Z$1504,"是"))</f>
        <v/>
      </c>
      <c r="E331" s="41" t="str">
        <f aca="false">IF($A331="","",SUMIFS(业务流水!$P$5:$P$1504,业务流水!$E$5:$E$1504,$B$3,业务流水!$D$5:$D$1504,"销项开票",业务流水!$C$5:$C$1504,$A331,业务流水!$Z$5:$Z$1504,"是"))</f>
        <v/>
      </c>
      <c r="F331" s="41" t="str">
        <f aca="false">IF($A331="","",SUMIFS(业务流水!$H$5:$H$1504,业务流水!$F$5:$F$1504,$B$3,业务流水!$D$5:$D$1504,"成本票",业务流水!$C$5:$C$1504,$A331,业务流水!$Z$5:$Z$1504,"是")+SUMIFS(业务流水!$H$5:$H$1504,业务流水!$F$5:$F$1504,$B$3,业务流水!$D$5:$D$1504,"销项开票",业务流水!$C$5:$C$1504,$A331,业务流水!$Z$5:$Z$1504,"是"))</f>
        <v/>
      </c>
      <c r="G331" s="42" t="str">
        <f aca="false">IF($A331="","",$E331-$F331)</f>
        <v/>
      </c>
      <c r="H331" s="41" t="str">
        <f aca="false">IF($A331="","",SUMIFS(业务流水!$W$5:$W$1504,业务流水!$E$5:$E$1504,$B$3,业务流水!$D$5:$D$1504,"销项开票",业务流水!$C$5:$C$1504,$A331,业务流水!$Z$5:$Z$1504,"是"))</f>
        <v/>
      </c>
      <c r="I331" s="41" t="str">
        <f aca="false">IF($A331="","",SUMIFS(业务流水!$H$5:$H$1504,业务流水!$E$5:$E$1504,$B$3,业务流水!$D$5:$D$1504,"已交税",业务流水!$C$5:$C$1504,$A331,业务流水!$Z$5:$Z$1504,"是"))</f>
        <v/>
      </c>
      <c r="J331" s="42" t="str">
        <f aca="false">IF($A331="","",$H331-$I331)</f>
        <v/>
      </c>
      <c r="K331" s="41" t="str">
        <f aca="false">IF($A331="","",SUMIFS(业务流水!$H$5:$H$1504,业务流水!$F$5:$F$1504,$B$3,业务流水!$D$5:$D$1504,"挂靠代收",业务流水!$C$5:$C$1504,$A331,业务流水!$Z$5:$Z$1504,"是"))</f>
        <v/>
      </c>
      <c r="L331" s="42" t="str">
        <f aca="false">IF($A331="","",$C331-$K331)</f>
        <v/>
      </c>
      <c r="M331" s="41" t="str">
        <f aca="false">IF($A331="","",SUMIFS(业务流水!$H$5:$H$1504,业务流水!$E$5:$E$1504,$B$3,业务流水!$D$5:$D$1504,"我方收款",业务流水!$C$5:$C$1504,$A331,业务流水!$Z$5:$Z$1504,"是"))</f>
        <v/>
      </c>
      <c r="N331" s="43" t="str">
        <f aca="false">IF($A331="","",$K331-$M331)</f>
        <v/>
      </c>
      <c r="O331" s="41" t="str">
        <f aca="false">IF($A331="","",SUMIFS(业务流水!$H$5:$H$1504,业务流水!$F$5:$F$1504,$B$3,业务流水!$D$5:$D$1504,"管理费结算",业务流水!$C$5:$C$1504,$A331,业务流水!$Z$5:$Z$1504,"是"))</f>
        <v/>
      </c>
      <c r="P331" s="41" t="str">
        <f aca="false">IF($A331="","",SUMIFS(业务流水!$H$5:$H$1504,业务流水!$E$5:$E$1504,$B$3,业务流水!$D$5:$D$1504,"扣质保金",业务流水!$C$5:$C$1504,$A331,业务流水!$Z$5:$Z$1504,"是"))</f>
        <v/>
      </c>
      <c r="Q331" s="48" t="str">
        <f aca="false">IF($A331="","",IF(SUM($C331:$F331)+SUM($K331:$M331)=0,"无","有"))</f>
        <v/>
      </c>
    </row>
    <row r="332" customFormat="false" ht="15.75" hidden="false" customHeight="true" outlineLevel="0" collapsed="false">
      <c r="A332" s="32" t="str">
        <f aca="false">IF(项目档案!$A332="","",项目档案!$A332)</f>
        <v/>
      </c>
      <c r="B332" s="40" t="str">
        <f aca="false">IF($A332="","",项目档案!$B332)</f>
        <v/>
      </c>
      <c r="C332" s="41" t="str">
        <f aca="false">IF($A332="","",SUMIFS(业务流水!$H$5:$H$1504,业务流水!$E$5:$E$1504,$B$3,业务流水!$D$5:$D$1504,"销项开票",业务流水!$C$5:$C$1504,$A332,业务流水!$Z$5:$Z$1504,"是"))</f>
        <v/>
      </c>
      <c r="D332" s="41" t="str">
        <f aca="false">IF($A332="","",SUMIFS(业务流水!$O$5:$O$1504,业务流水!$E$5:$E$1504,$B$3,业务流水!$D$5:$D$1504,"销项开票",业务流水!$C$5:$C$1504,$A332,业务流水!$Z$5:$Z$1504,"是"))</f>
        <v/>
      </c>
      <c r="E332" s="41" t="str">
        <f aca="false">IF($A332="","",SUMIFS(业务流水!$P$5:$P$1504,业务流水!$E$5:$E$1504,$B$3,业务流水!$D$5:$D$1504,"销项开票",业务流水!$C$5:$C$1504,$A332,业务流水!$Z$5:$Z$1504,"是"))</f>
        <v/>
      </c>
      <c r="F332" s="41" t="str">
        <f aca="false">IF($A332="","",SUMIFS(业务流水!$H$5:$H$1504,业务流水!$F$5:$F$1504,$B$3,业务流水!$D$5:$D$1504,"成本票",业务流水!$C$5:$C$1504,$A332,业务流水!$Z$5:$Z$1504,"是")+SUMIFS(业务流水!$H$5:$H$1504,业务流水!$F$5:$F$1504,$B$3,业务流水!$D$5:$D$1504,"销项开票",业务流水!$C$5:$C$1504,$A332,业务流水!$Z$5:$Z$1504,"是"))</f>
        <v/>
      </c>
      <c r="G332" s="42" t="str">
        <f aca="false">IF($A332="","",$E332-$F332)</f>
        <v/>
      </c>
      <c r="H332" s="41" t="str">
        <f aca="false">IF($A332="","",SUMIFS(业务流水!$W$5:$W$1504,业务流水!$E$5:$E$1504,$B$3,业务流水!$D$5:$D$1504,"销项开票",业务流水!$C$5:$C$1504,$A332,业务流水!$Z$5:$Z$1504,"是"))</f>
        <v/>
      </c>
      <c r="I332" s="41" t="str">
        <f aca="false">IF($A332="","",SUMIFS(业务流水!$H$5:$H$1504,业务流水!$E$5:$E$1504,$B$3,业务流水!$D$5:$D$1504,"已交税",业务流水!$C$5:$C$1504,$A332,业务流水!$Z$5:$Z$1504,"是"))</f>
        <v/>
      </c>
      <c r="J332" s="42" t="str">
        <f aca="false">IF($A332="","",$H332-$I332)</f>
        <v/>
      </c>
      <c r="K332" s="41" t="str">
        <f aca="false">IF($A332="","",SUMIFS(业务流水!$H$5:$H$1504,业务流水!$F$5:$F$1504,$B$3,业务流水!$D$5:$D$1504,"挂靠代收",业务流水!$C$5:$C$1504,$A332,业务流水!$Z$5:$Z$1504,"是"))</f>
        <v/>
      </c>
      <c r="L332" s="42" t="str">
        <f aca="false">IF($A332="","",$C332-$K332)</f>
        <v/>
      </c>
      <c r="M332" s="41" t="str">
        <f aca="false">IF($A332="","",SUMIFS(业务流水!$H$5:$H$1504,业务流水!$E$5:$E$1504,$B$3,业务流水!$D$5:$D$1504,"我方收款",业务流水!$C$5:$C$1504,$A332,业务流水!$Z$5:$Z$1504,"是"))</f>
        <v/>
      </c>
      <c r="N332" s="43" t="str">
        <f aca="false">IF($A332="","",$K332-$M332)</f>
        <v/>
      </c>
      <c r="O332" s="41" t="str">
        <f aca="false">IF($A332="","",SUMIFS(业务流水!$H$5:$H$1504,业务流水!$F$5:$F$1504,$B$3,业务流水!$D$5:$D$1504,"管理费结算",业务流水!$C$5:$C$1504,$A332,业务流水!$Z$5:$Z$1504,"是"))</f>
        <v/>
      </c>
      <c r="P332" s="41" t="str">
        <f aca="false">IF($A332="","",SUMIFS(业务流水!$H$5:$H$1504,业务流水!$E$5:$E$1504,$B$3,业务流水!$D$5:$D$1504,"扣质保金",业务流水!$C$5:$C$1504,$A332,业务流水!$Z$5:$Z$1504,"是"))</f>
        <v/>
      </c>
      <c r="Q332" s="48" t="str">
        <f aca="false">IF($A332="","",IF(SUM($C332:$F332)+SUM($K332:$M332)=0,"无","有"))</f>
        <v/>
      </c>
    </row>
    <row r="333" customFormat="false" ht="15.75" hidden="false" customHeight="true" outlineLevel="0" collapsed="false">
      <c r="A333" s="32" t="str">
        <f aca="false">IF(项目档案!$A333="","",项目档案!$A333)</f>
        <v/>
      </c>
      <c r="B333" s="40" t="str">
        <f aca="false">IF($A333="","",项目档案!$B333)</f>
        <v/>
      </c>
      <c r="C333" s="41" t="str">
        <f aca="false">IF($A333="","",SUMIFS(业务流水!$H$5:$H$1504,业务流水!$E$5:$E$1504,$B$3,业务流水!$D$5:$D$1504,"销项开票",业务流水!$C$5:$C$1504,$A333,业务流水!$Z$5:$Z$1504,"是"))</f>
        <v/>
      </c>
      <c r="D333" s="41" t="str">
        <f aca="false">IF($A333="","",SUMIFS(业务流水!$O$5:$O$1504,业务流水!$E$5:$E$1504,$B$3,业务流水!$D$5:$D$1504,"销项开票",业务流水!$C$5:$C$1504,$A333,业务流水!$Z$5:$Z$1504,"是"))</f>
        <v/>
      </c>
      <c r="E333" s="41" t="str">
        <f aca="false">IF($A333="","",SUMIFS(业务流水!$P$5:$P$1504,业务流水!$E$5:$E$1504,$B$3,业务流水!$D$5:$D$1504,"销项开票",业务流水!$C$5:$C$1504,$A333,业务流水!$Z$5:$Z$1504,"是"))</f>
        <v/>
      </c>
      <c r="F333" s="41" t="str">
        <f aca="false">IF($A333="","",SUMIFS(业务流水!$H$5:$H$1504,业务流水!$F$5:$F$1504,$B$3,业务流水!$D$5:$D$1504,"成本票",业务流水!$C$5:$C$1504,$A333,业务流水!$Z$5:$Z$1504,"是")+SUMIFS(业务流水!$H$5:$H$1504,业务流水!$F$5:$F$1504,$B$3,业务流水!$D$5:$D$1504,"销项开票",业务流水!$C$5:$C$1504,$A333,业务流水!$Z$5:$Z$1504,"是"))</f>
        <v/>
      </c>
      <c r="G333" s="42" t="str">
        <f aca="false">IF($A333="","",$E333-$F333)</f>
        <v/>
      </c>
      <c r="H333" s="41" t="str">
        <f aca="false">IF($A333="","",SUMIFS(业务流水!$W$5:$W$1504,业务流水!$E$5:$E$1504,$B$3,业务流水!$D$5:$D$1504,"销项开票",业务流水!$C$5:$C$1504,$A333,业务流水!$Z$5:$Z$1504,"是"))</f>
        <v/>
      </c>
      <c r="I333" s="41" t="str">
        <f aca="false">IF($A333="","",SUMIFS(业务流水!$H$5:$H$1504,业务流水!$E$5:$E$1504,$B$3,业务流水!$D$5:$D$1504,"已交税",业务流水!$C$5:$C$1504,$A333,业务流水!$Z$5:$Z$1504,"是"))</f>
        <v/>
      </c>
      <c r="J333" s="42" t="str">
        <f aca="false">IF($A333="","",$H333-$I333)</f>
        <v/>
      </c>
      <c r="K333" s="41" t="str">
        <f aca="false">IF($A333="","",SUMIFS(业务流水!$H$5:$H$1504,业务流水!$F$5:$F$1504,$B$3,业务流水!$D$5:$D$1504,"挂靠代收",业务流水!$C$5:$C$1504,$A333,业务流水!$Z$5:$Z$1504,"是"))</f>
        <v/>
      </c>
      <c r="L333" s="42" t="str">
        <f aca="false">IF($A333="","",$C333-$K333)</f>
        <v/>
      </c>
      <c r="M333" s="41" t="str">
        <f aca="false">IF($A333="","",SUMIFS(业务流水!$H$5:$H$1504,业务流水!$E$5:$E$1504,$B$3,业务流水!$D$5:$D$1504,"我方收款",业务流水!$C$5:$C$1504,$A333,业务流水!$Z$5:$Z$1504,"是"))</f>
        <v/>
      </c>
      <c r="N333" s="43" t="str">
        <f aca="false">IF($A333="","",$K333-$M333)</f>
        <v/>
      </c>
      <c r="O333" s="41" t="str">
        <f aca="false">IF($A333="","",SUMIFS(业务流水!$H$5:$H$1504,业务流水!$F$5:$F$1504,$B$3,业务流水!$D$5:$D$1504,"管理费结算",业务流水!$C$5:$C$1504,$A333,业务流水!$Z$5:$Z$1504,"是"))</f>
        <v/>
      </c>
      <c r="P333" s="41" t="str">
        <f aca="false">IF($A333="","",SUMIFS(业务流水!$H$5:$H$1504,业务流水!$E$5:$E$1504,$B$3,业务流水!$D$5:$D$1504,"扣质保金",业务流水!$C$5:$C$1504,$A333,业务流水!$Z$5:$Z$1504,"是"))</f>
        <v/>
      </c>
      <c r="Q333" s="48" t="str">
        <f aca="false">IF($A333="","",IF(SUM($C333:$F333)+SUM($K333:$M333)=0,"无","有"))</f>
        <v/>
      </c>
    </row>
    <row r="334" customFormat="false" ht="15.75" hidden="false" customHeight="true" outlineLevel="0" collapsed="false">
      <c r="A334" s="32" t="str">
        <f aca="false">IF(项目档案!$A334="","",项目档案!$A334)</f>
        <v/>
      </c>
      <c r="B334" s="40" t="str">
        <f aca="false">IF($A334="","",项目档案!$B334)</f>
        <v/>
      </c>
      <c r="C334" s="41" t="str">
        <f aca="false">IF($A334="","",SUMIFS(业务流水!$H$5:$H$1504,业务流水!$E$5:$E$1504,$B$3,业务流水!$D$5:$D$1504,"销项开票",业务流水!$C$5:$C$1504,$A334,业务流水!$Z$5:$Z$1504,"是"))</f>
        <v/>
      </c>
      <c r="D334" s="41" t="str">
        <f aca="false">IF($A334="","",SUMIFS(业务流水!$O$5:$O$1504,业务流水!$E$5:$E$1504,$B$3,业务流水!$D$5:$D$1504,"销项开票",业务流水!$C$5:$C$1504,$A334,业务流水!$Z$5:$Z$1504,"是"))</f>
        <v/>
      </c>
      <c r="E334" s="41" t="str">
        <f aca="false">IF($A334="","",SUMIFS(业务流水!$P$5:$P$1504,业务流水!$E$5:$E$1504,$B$3,业务流水!$D$5:$D$1504,"销项开票",业务流水!$C$5:$C$1504,$A334,业务流水!$Z$5:$Z$1504,"是"))</f>
        <v/>
      </c>
      <c r="F334" s="41" t="str">
        <f aca="false">IF($A334="","",SUMIFS(业务流水!$H$5:$H$1504,业务流水!$F$5:$F$1504,$B$3,业务流水!$D$5:$D$1504,"成本票",业务流水!$C$5:$C$1504,$A334,业务流水!$Z$5:$Z$1504,"是")+SUMIFS(业务流水!$H$5:$H$1504,业务流水!$F$5:$F$1504,$B$3,业务流水!$D$5:$D$1504,"销项开票",业务流水!$C$5:$C$1504,$A334,业务流水!$Z$5:$Z$1504,"是"))</f>
        <v/>
      </c>
      <c r="G334" s="42" t="str">
        <f aca="false">IF($A334="","",$E334-$F334)</f>
        <v/>
      </c>
      <c r="H334" s="41" t="str">
        <f aca="false">IF($A334="","",SUMIFS(业务流水!$W$5:$W$1504,业务流水!$E$5:$E$1504,$B$3,业务流水!$D$5:$D$1504,"销项开票",业务流水!$C$5:$C$1504,$A334,业务流水!$Z$5:$Z$1504,"是"))</f>
        <v/>
      </c>
      <c r="I334" s="41" t="str">
        <f aca="false">IF($A334="","",SUMIFS(业务流水!$H$5:$H$1504,业务流水!$E$5:$E$1504,$B$3,业务流水!$D$5:$D$1504,"已交税",业务流水!$C$5:$C$1504,$A334,业务流水!$Z$5:$Z$1504,"是"))</f>
        <v/>
      </c>
      <c r="J334" s="42" t="str">
        <f aca="false">IF($A334="","",$H334-$I334)</f>
        <v/>
      </c>
      <c r="K334" s="41" t="str">
        <f aca="false">IF($A334="","",SUMIFS(业务流水!$H$5:$H$1504,业务流水!$F$5:$F$1504,$B$3,业务流水!$D$5:$D$1504,"挂靠代收",业务流水!$C$5:$C$1504,$A334,业务流水!$Z$5:$Z$1504,"是"))</f>
        <v/>
      </c>
      <c r="L334" s="42" t="str">
        <f aca="false">IF($A334="","",$C334-$K334)</f>
        <v/>
      </c>
      <c r="M334" s="41" t="str">
        <f aca="false">IF($A334="","",SUMIFS(业务流水!$H$5:$H$1504,业务流水!$E$5:$E$1504,$B$3,业务流水!$D$5:$D$1504,"我方收款",业务流水!$C$5:$C$1504,$A334,业务流水!$Z$5:$Z$1504,"是"))</f>
        <v/>
      </c>
      <c r="N334" s="43" t="str">
        <f aca="false">IF($A334="","",$K334-$M334)</f>
        <v/>
      </c>
      <c r="O334" s="41" t="str">
        <f aca="false">IF($A334="","",SUMIFS(业务流水!$H$5:$H$1504,业务流水!$F$5:$F$1504,$B$3,业务流水!$D$5:$D$1504,"管理费结算",业务流水!$C$5:$C$1504,$A334,业务流水!$Z$5:$Z$1504,"是"))</f>
        <v/>
      </c>
      <c r="P334" s="41" t="str">
        <f aca="false">IF($A334="","",SUMIFS(业务流水!$H$5:$H$1504,业务流水!$E$5:$E$1504,$B$3,业务流水!$D$5:$D$1504,"扣质保金",业务流水!$C$5:$C$1504,$A334,业务流水!$Z$5:$Z$1504,"是"))</f>
        <v/>
      </c>
      <c r="Q334" s="48" t="str">
        <f aca="false">IF($A334="","",IF(SUM($C334:$F334)+SUM($K334:$M334)=0,"无","有"))</f>
        <v/>
      </c>
    </row>
    <row r="335" customFormat="false" ht="15.75" hidden="false" customHeight="true" outlineLevel="0" collapsed="false">
      <c r="A335" s="32" t="str">
        <f aca="false">IF(项目档案!$A335="","",项目档案!$A335)</f>
        <v/>
      </c>
      <c r="B335" s="40" t="str">
        <f aca="false">IF($A335="","",项目档案!$B335)</f>
        <v/>
      </c>
      <c r="C335" s="41" t="str">
        <f aca="false">IF($A335="","",SUMIFS(业务流水!$H$5:$H$1504,业务流水!$E$5:$E$1504,$B$3,业务流水!$D$5:$D$1504,"销项开票",业务流水!$C$5:$C$1504,$A335,业务流水!$Z$5:$Z$1504,"是"))</f>
        <v/>
      </c>
      <c r="D335" s="41" t="str">
        <f aca="false">IF($A335="","",SUMIFS(业务流水!$O$5:$O$1504,业务流水!$E$5:$E$1504,$B$3,业务流水!$D$5:$D$1504,"销项开票",业务流水!$C$5:$C$1504,$A335,业务流水!$Z$5:$Z$1504,"是"))</f>
        <v/>
      </c>
      <c r="E335" s="41" t="str">
        <f aca="false">IF($A335="","",SUMIFS(业务流水!$P$5:$P$1504,业务流水!$E$5:$E$1504,$B$3,业务流水!$D$5:$D$1504,"销项开票",业务流水!$C$5:$C$1504,$A335,业务流水!$Z$5:$Z$1504,"是"))</f>
        <v/>
      </c>
      <c r="F335" s="41" t="str">
        <f aca="false">IF($A335="","",SUMIFS(业务流水!$H$5:$H$1504,业务流水!$F$5:$F$1504,$B$3,业务流水!$D$5:$D$1504,"成本票",业务流水!$C$5:$C$1504,$A335,业务流水!$Z$5:$Z$1504,"是")+SUMIFS(业务流水!$H$5:$H$1504,业务流水!$F$5:$F$1504,$B$3,业务流水!$D$5:$D$1504,"销项开票",业务流水!$C$5:$C$1504,$A335,业务流水!$Z$5:$Z$1504,"是"))</f>
        <v/>
      </c>
      <c r="G335" s="42" t="str">
        <f aca="false">IF($A335="","",$E335-$F335)</f>
        <v/>
      </c>
      <c r="H335" s="41" t="str">
        <f aca="false">IF($A335="","",SUMIFS(业务流水!$W$5:$W$1504,业务流水!$E$5:$E$1504,$B$3,业务流水!$D$5:$D$1504,"销项开票",业务流水!$C$5:$C$1504,$A335,业务流水!$Z$5:$Z$1504,"是"))</f>
        <v/>
      </c>
      <c r="I335" s="41" t="str">
        <f aca="false">IF($A335="","",SUMIFS(业务流水!$H$5:$H$1504,业务流水!$E$5:$E$1504,$B$3,业务流水!$D$5:$D$1504,"已交税",业务流水!$C$5:$C$1504,$A335,业务流水!$Z$5:$Z$1504,"是"))</f>
        <v/>
      </c>
      <c r="J335" s="42" t="str">
        <f aca="false">IF($A335="","",$H335-$I335)</f>
        <v/>
      </c>
      <c r="K335" s="41" t="str">
        <f aca="false">IF($A335="","",SUMIFS(业务流水!$H$5:$H$1504,业务流水!$F$5:$F$1504,$B$3,业务流水!$D$5:$D$1504,"挂靠代收",业务流水!$C$5:$C$1504,$A335,业务流水!$Z$5:$Z$1504,"是"))</f>
        <v/>
      </c>
      <c r="L335" s="42" t="str">
        <f aca="false">IF($A335="","",$C335-$K335)</f>
        <v/>
      </c>
      <c r="M335" s="41" t="str">
        <f aca="false">IF($A335="","",SUMIFS(业务流水!$H$5:$H$1504,业务流水!$E$5:$E$1504,$B$3,业务流水!$D$5:$D$1504,"我方收款",业务流水!$C$5:$C$1504,$A335,业务流水!$Z$5:$Z$1504,"是"))</f>
        <v/>
      </c>
      <c r="N335" s="43" t="str">
        <f aca="false">IF($A335="","",$K335-$M335)</f>
        <v/>
      </c>
      <c r="O335" s="41" t="str">
        <f aca="false">IF($A335="","",SUMIFS(业务流水!$H$5:$H$1504,业务流水!$F$5:$F$1504,$B$3,业务流水!$D$5:$D$1504,"管理费结算",业务流水!$C$5:$C$1504,$A335,业务流水!$Z$5:$Z$1504,"是"))</f>
        <v/>
      </c>
      <c r="P335" s="41" t="str">
        <f aca="false">IF($A335="","",SUMIFS(业务流水!$H$5:$H$1504,业务流水!$E$5:$E$1504,$B$3,业务流水!$D$5:$D$1504,"扣质保金",业务流水!$C$5:$C$1504,$A335,业务流水!$Z$5:$Z$1504,"是"))</f>
        <v/>
      </c>
      <c r="Q335" s="48" t="str">
        <f aca="false">IF($A335="","",IF(SUM($C335:$F335)+SUM($K335:$M335)=0,"无","有"))</f>
        <v/>
      </c>
    </row>
    <row r="336" customFormat="false" ht="15.75" hidden="false" customHeight="true" outlineLevel="0" collapsed="false">
      <c r="A336" s="32" t="str">
        <f aca="false">IF(项目档案!$A336="","",项目档案!$A336)</f>
        <v/>
      </c>
      <c r="B336" s="40" t="str">
        <f aca="false">IF($A336="","",项目档案!$B336)</f>
        <v/>
      </c>
      <c r="C336" s="41" t="str">
        <f aca="false">IF($A336="","",SUMIFS(业务流水!$H$5:$H$1504,业务流水!$E$5:$E$1504,$B$3,业务流水!$D$5:$D$1504,"销项开票",业务流水!$C$5:$C$1504,$A336,业务流水!$Z$5:$Z$1504,"是"))</f>
        <v/>
      </c>
      <c r="D336" s="41" t="str">
        <f aca="false">IF($A336="","",SUMIFS(业务流水!$O$5:$O$1504,业务流水!$E$5:$E$1504,$B$3,业务流水!$D$5:$D$1504,"销项开票",业务流水!$C$5:$C$1504,$A336,业务流水!$Z$5:$Z$1504,"是"))</f>
        <v/>
      </c>
      <c r="E336" s="41" t="str">
        <f aca="false">IF($A336="","",SUMIFS(业务流水!$P$5:$P$1504,业务流水!$E$5:$E$1504,$B$3,业务流水!$D$5:$D$1504,"销项开票",业务流水!$C$5:$C$1504,$A336,业务流水!$Z$5:$Z$1504,"是"))</f>
        <v/>
      </c>
      <c r="F336" s="41" t="str">
        <f aca="false">IF($A336="","",SUMIFS(业务流水!$H$5:$H$1504,业务流水!$F$5:$F$1504,$B$3,业务流水!$D$5:$D$1504,"成本票",业务流水!$C$5:$C$1504,$A336,业务流水!$Z$5:$Z$1504,"是")+SUMIFS(业务流水!$H$5:$H$1504,业务流水!$F$5:$F$1504,$B$3,业务流水!$D$5:$D$1504,"销项开票",业务流水!$C$5:$C$1504,$A336,业务流水!$Z$5:$Z$1504,"是"))</f>
        <v/>
      </c>
      <c r="G336" s="42" t="str">
        <f aca="false">IF($A336="","",$E336-$F336)</f>
        <v/>
      </c>
      <c r="H336" s="41" t="str">
        <f aca="false">IF($A336="","",SUMIFS(业务流水!$W$5:$W$1504,业务流水!$E$5:$E$1504,$B$3,业务流水!$D$5:$D$1504,"销项开票",业务流水!$C$5:$C$1504,$A336,业务流水!$Z$5:$Z$1504,"是"))</f>
        <v/>
      </c>
      <c r="I336" s="41" t="str">
        <f aca="false">IF($A336="","",SUMIFS(业务流水!$H$5:$H$1504,业务流水!$E$5:$E$1504,$B$3,业务流水!$D$5:$D$1504,"已交税",业务流水!$C$5:$C$1504,$A336,业务流水!$Z$5:$Z$1504,"是"))</f>
        <v/>
      </c>
      <c r="J336" s="42" t="str">
        <f aca="false">IF($A336="","",$H336-$I336)</f>
        <v/>
      </c>
      <c r="K336" s="41" t="str">
        <f aca="false">IF($A336="","",SUMIFS(业务流水!$H$5:$H$1504,业务流水!$F$5:$F$1504,$B$3,业务流水!$D$5:$D$1504,"挂靠代收",业务流水!$C$5:$C$1504,$A336,业务流水!$Z$5:$Z$1504,"是"))</f>
        <v/>
      </c>
      <c r="L336" s="42" t="str">
        <f aca="false">IF($A336="","",$C336-$K336)</f>
        <v/>
      </c>
      <c r="M336" s="41" t="str">
        <f aca="false">IF($A336="","",SUMIFS(业务流水!$H$5:$H$1504,业务流水!$E$5:$E$1504,$B$3,业务流水!$D$5:$D$1504,"我方收款",业务流水!$C$5:$C$1504,$A336,业务流水!$Z$5:$Z$1504,"是"))</f>
        <v/>
      </c>
      <c r="N336" s="43" t="str">
        <f aca="false">IF($A336="","",$K336-$M336)</f>
        <v/>
      </c>
      <c r="O336" s="41" t="str">
        <f aca="false">IF($A336="","",SUMIFS(业务流水!$H$5:$H$1504,业务流水!$F$5:$F$1504,$B$3,业务流水!$D$5:$D$1504,"管理费结算",业务流水!$C$5:$C$1504,$A336,业务流水!$Z$5:$Z$1504,"是"))</f>
        <v/>
      </c>
      <c r="P336" s="41" t="str">
        <f aca="false">IF($A336="","",SUMIFS(业务流水!$H$5:$H$1504,业务流水!$E$5:$E$1504,$B$3,业务流水!$D$5:$D$1504,"扣质保金",业务流水!$C$5:$C$1504,$A336,业务流水!$Z$5:$Z$1504,"是"))</f>
        <v/>
      </c>
      <c r="Q336" s="48" t="str">
        <f aca="false">IF($A336="","",IF(SUM($C336:$F336)+SUM($K336:$M336)=0,"无","有"))</f>
        <v/>
      </c>
    </row>
    <row r="337" customFormat="false" ht="15.75" hidden="false" customHeight="true" outlineLevel="0" collapsed="false">
      <c r="A337" s="32" t="str">
        <f aca="false">IF(项目档案!$A337="","",项目档案!$A337)</f>
        <v/>
      </c>
      <c r="B337" s="40" t="str">
        <f aca="false">IF($A337="","",项目档案!$B337)</f>
        <v/>
      </c>
      <c r="C337" s="41" t="str">
        <f aca="false">IF($A337="","",SUMIFS(业务流水!$H$5:$H$1504,业务流水!$E$5:$E$1504,$B$3,业务流水!$D$5:$D$1504,"销项开票",业务流水!$C$5:$C$1504,$A337,业务流水!$Z$5:$Z$1504,"是"))</f>
        <v/>
      </c>
      <c r="D337" s="41" t="str">
        <f aca="false">IF($A337="","",SUMIFS(业务流水!$O$5:$O$1504,业务流水!$E$5:$E$1504,$B$3,业务流水!$D$5:$D$1504,"销项开票",业务流水!$C$5:$C$1504,$A337,业务流水!$Z$5:$Z$1504,"是"))</f>
        <v/>
      </c>
      <c r="E337" s="41" t="str">
        <f aca="false">IF($A337="","",SUMIFS(业务流水!$P$5:$P$1504,业务流水!$E$5:$E$1504,$B$3,业务流水!$D$5:$D$1504,"销项开票",业务流水!$C$5:$C$1504,$A337,业务流水!$Z$5:$Z$1504,"是"))</f>
        <v/>
      </c>
      <c r="F337" s="41" t="str">
        <f aca="false">IF($A337="","",SUMIFS(业务流水!$H$5:$H$1504,业务流水!$F$5:$F$1504,$B$3,业务流水!$D$5:$D$1504,"成本票",业务流水!$C$5:$C$1504,$A337,业务流水!$Z$5:$Z$1504,"是")+SUMIFS(业务流水!$H$5:$H$1504,业务流水!$F$5:$F$1504,$B$3,业务流水!$D$5:$D$1504,"销项开票",业务流水!$C$5:$C$1504,$A337,业务流水!$Z$5:$Z$1504,"是"))</f>
        <v/>
      </c>
      <c r="G337" s="42" t="str">
        <f aca="false">IF($A337="","",$E337-$F337)</f>
        <v/>
      </c>
      <c r="H337" s="41" t="str">
        <f aca="false">IF($A337="","",SUMIFS(业务流水!$W$5:$W$1504,业务流水!$E$5:$E$1504,$B$3,业务流水!$D$5:$D$1504,"销项开票",业务流水!$C$5:$C$1504,$A337,业务流水!$Z$5:$Z$1504,"是"))</f>
        <v/>
      </c>
      <c r="I337" s="41" t="str">
        <f aca="false">IF($A337="","",SUMIFS(业务流水!$H$5:$H$1504,业务流水!$E$5:$E$1504,$B$3,业务流水!$D$5:$D$1504,"已交税",业务流水!$C$5:$C$1504,$A337,业务流水!$Z$5:$Z$1504,"是"))</f>
        <v/>
      </c>
      <c r="J337" s="42" t="str">
        <f aca="false">IF($A337="","",$H337-$I337)</f>
        <v/>
      </c>
      <c r="K337" s="41" t="str">
        <f aca="false">IF($A337="","",SUMIFS(业务流水!$H$5:$H$1504,业务流水!$F$5:$F$1504,$B$3,业务流水!$D$5:$D$1504,"挂靠代收",业务流水!$C$5:$C$1504,$A337,业务流水!$Z$5:$Z$1504,"是"))</f>
        <v/>
      </c>
      <c r="L337" s="42" t="str">
        <f aca="false">IF($A337="","",$C337-$K337)</f>
        <v/>
      </c>
      <c r="M337" s="41" t="str">
        <f aca="false">IF($A337="","",SUMIFS(业务流水!$H$5:$H$1504,业务流水!$E$5:$E$1504,$B$3,业务流水!$D$5:$D$1504,"我方收款",业务流水!$C$5:$C$1504,$A337,业务流水!$Z$5:$Z$1504,"是"))</f>
        <v/>
      </c>
      <c r="N337" s="43" t="str">
        <f aca="false">IF($A337="","",$K337-$M337)</f>
        <v/>
      </c>
      <c r="O337" s="41" t="str">
        <f aca="false">IF($A337="","",SUMIFS(业务流水!$H$5:$H$1504,业务流水!$F$5:$F$1504,$B$3,业务流水!$D$5:$D$1504,"管理费结算",业务流水!$C$5:$C$1504,$A337,业务流水!$Z$5:$Z$1504,"是"))</f>
        <v/>
      </c>
      <c r="P337" s="41" t="str">
        <f aca="false">IF($A337="","",SUMIFS(业务流水!$H$5:$H$1504,业务流水!$E$5:$E$1504,$B$3,业务流水!$D$5:$D$1504,"扣质保金",业务流水!$C$5:$C$1504,$A337,业务流水!$Z$5:$Z$1504,"是"))</f>
        <v/>
      </c>
      <c r="Q337" s="48" t="str">
        <f aca="false">IF($A337="","",IF(SUM($C337:$F337)+SUM($K337:$M337)=0,"无","有"))</f>
        <v/>
      </c>
    </row>
    <row r="338" customFormat="false" ht="15.75" hidden="false" customHeight="true" outlineLevel="0" collapsed="false">
      <c r="A338" s="32" t="str">
        <f aca="false">IF(项目档案!$A338="","",项目档案!$A338)</f>
        <v/>
      </c>
      <c r="B338" s="40" t="str">
        <f aca="false">IF($A338="","",项目档案!$B338)</f>
        <v/>
      </c>
      <c r="C338" s="41" t="str">
        <f aca="false">IF($A338="","",SUMIFS(业务流水!$H$5:$H$1504,业务流水!$E$5:$E$1504,$B$3,业务流水!$D$5:$D$1504,"销项开票",业务流水!$C$5:$C$1504,$A338,业务流水!$Z$5:$Z$1504,"是"))</f>
        <v/>
      </c>
      <c r="D338" s="41" t="str">
        <f aca="false">IF($A338="","",SUMIFS(业务流水!$O$5:$O$1504,业务流水!$E$5:$E$1504,$B$3,业务流水!$D$5:$D$1504,"销项开票",业务流水!$C$5:$C$1504,$A338,业务流水!$Z$5:$Z$1504,"是"))</f>
        <v/>
      </c>
      <c r="E338" s="41" t="str">
        <f aca="false">IF($A338="","",SUMIFS(业务流水!$P$5:$P$1504,业务流水!$E$5:$E$1504,$B$3,业务流水!$D$5:$D$1504,"销项开票",业务流水!$C$5:$C$1504,$A338,业务流水!$Z$5:$Z$1504,"是"))</f>
        <v/>
      </c>
      <c r="F338" s="41" t="str">
        <f aca="false">IF($A338="","",SUMIFS(业务流水!$H$5:$H$1504,业务流水!$F$5:$F$1504,$B$3,业务流水!$D$5:$D$1504,"成本票",业务流水!$C$5:$C$1504,$A338,业务流水!$Z$5:$Z$1504,"是")+SUMIFS(业务流水!$H$5:$H$1504,业务流水!$F$5:$F$1504,$B$3,业务流水!$D$5:$D$1504,"销项开票",业务流水!$C$5:$C$1504,$A338,业务流水!$Z$5:$Z$1504,"是"))</f>
        <v/>
      </c>
      <c r="G338" s="42" t="str">
        <f aca="false">IF($A338="","",$E338-$F338)</f>
        <v/>
      </c>
      <c r="H338" s="41" t="str">
        <f aca="false">IF($A338="","",SUMIFS(业务流水!$W$5:$W$1504,业务流水!$E$5:$E$1504,$B$3,业务流水!$D$5:$D$1504,"销项开票",业务流水!$C$5:$C$1504,$A338,业务流水!$Z$5:$Z$1504,"是"))</f>
        <v/>
      </c>
      <c r="I338" s="41" t="str">
        <f aca="false">IF($A338="","",SUMIFS(业务流水!$H$5:$H$1504,业务流水!$E$5:$E$1504,$B$3,业务流水!$D$5:$D$1504,"已交税",业务流水!$C$5:$C$1504,$A338,业务流水!$Z$5:$Z$1504,"是"))</f>
        <v/>
      </c>
      <c r="J338" s="42" t="str">
        <f aca="false">IF($A338="","",$H338-$I338)</f>
        <v/>
      </c>
      <c r="K338" s="41" t="str">
        <f aca="false">IF($A338="","",SUMIFS(业务流水!$H$5:$H$1504,业务流水!$F$5:$F$1504,$B$3,业务流水!$D$5:$D$1504,"挂靠代收",业务流水!$C$5:$C$1504,$A338,业务流水!$Z$5:$Z$1504,"是"))</f>
        <v/>
      </c>
      <c r="L338" s="42" t="str">
        <f aca="false">IF($A338="","",$C338-$K338)</f>
        <v/>
      </c>
      <c r="M338" s="41" t="str">
        <f aca="false">IF($A338="","",SUMIFS(业务流水!$H$5:$H$1504,业务流水!$E$5:$E$1504,$B$3,业务流水!$D$5:$D$1504,"我方收款",业务流水!$C$5:$C$1504,$A338,业务流水!$Z$5:$Z$1504,"是"))</f>
        <v/>
      </c>
      <c r="N338" s="43" t="str">
        <f aca="false">IF($A338="","",$K338-$M338)</f>
        <v/>
      </c>
      <c r="O338" s="41" t="str">
        <f aca="false">IF($A338="","",SUMIFS(业务流水!$H$5:$H$1504,业务流水!$F$5:$F$1504,$B$3,业务流水!$D$5:$D$1504,"管理费结算",业务流水!$C$5:$C$1504,$A338,业务流水!$Z$5:$Z$1504,"是"))</f>
        <v/>
      </c>
      <c r="P338" s="41" t="str">
        <f aca="false">IF($A338="","",SUMIFS(业务流水!$H$5:$H$1504,业务流水!$E$5:$E$1504,$B$3,业务流水!$D$5:$D$1504,"扣质保金",业务流水!$C$5:$C$1504,$A338,业务流水!$Z$5:$Z$1504,"是"))</f>
        <v/>
      </c>
      <c r="Q338" s="48" t="str">
        <f aca="false">IF($A338="","",IF(SUM($C338:$F338)+SUM($K338:$M338)=0,"无","有"))</f>
        <v/>
      </c>
    </row>
    <row r="339" customFormat="false" ht="15.75" hidden="false" customHeight="true" outlineLevel="0" collapsed="false">
      <c r="A339" s="32" t="str">
        <f aca="false">IF(项目档案!$A339="","",项目档案!$A339)</f>
        <v/>
      </c>
      <c r="B339" s="40" t="str">
        <f aca="false">IF($A339="","",项目档案!$B339)</f>
        <v/>
      </c>
      <c r="C339" s="41" t="str">
        <f aca="false">IF($A339="","",SUMIFS(业务流水!$H$5:$H$1504,业务流水!$E$5:$E$1504,$B$3,业务流水!$D$5:$D$1504,"销项开票",业务流水!$C$5:$C$1504,$A339,业务流水!$Z$5:$Z$1504,"是"))</f>
        <v/>
      </c>
      <c r="D339" s="41" t="str">
        <f aca="false">IF($A339="","",SUMIFS(业务流水!$O$5:$O$1504,业务流水!$E$5:$E$1504,$B$3,业务流水!$D$5:$D$1504,"销项开票",业务流水!$C$5:$C$1504,$A339,业务流水!$Z$5:$Z$1504,"是"))</f>
        <v/>
      </c>
      <c r="E339" s="41" t="str">
        <f aca="false">IF($A339="","",SUMIFS(业务流水!$P$5:$P$1504,业务流水!$E$5:$E$1504,$B$3,业务流水!$D$5:$D$1504,"销项开票",业务流水!$C$5:$C$1504,$A339,业务流水!$Z$5:$Z$1504,"是"))</f>
        <v/>
      </c>
      <c r="F339" s="41" t="str">
        <f aca="false">IF($A339="","",SUMIFS(业务流水!$H$5:$H$1504,业务流水!$F$5:$F$1504,$B$3,业务流水!$D$5:$D$1504,"成本票",业务流水!$C$5:$C$1504,$A339,业务流水!$Z$5:$Z$1504,"是")+SUMIFS(业务流水!$H$5:$H$1504,业务流水!$F$5:$F$1504,$B$3,业务流水!$D$5:$D$1504,"销项开票",业务流水!$C$5:$C$1504,$A339,业务流水!$Z$5:$Z$1504,"是"))</f>
        <v/>
      </c>
      <c r="G339" s="42" t="str">
        <f aca="false">IF($A339="","",$E339-$F339)</f>
        <v/>
      </c>
      <c r="H339" s="41" t="str">
        <f aca="false">IF($A339="","",SUMIFS(业务流水!$W$5:$W$1504,业务流水!$E$5:$E$1504,$B$3,业务流水!$D$5:$D$1504,"销项开票",业务流水!$C$5:$C$1504,$A339,业务流水!$Z$5:$Z$1504,"是"))</f>
        <v/>
      </c>
      <c r="I339" s="41" t="str">
        <f aca="false">IF($A339="","",SUMIFS(业务流水!$H$5:$H$1504,业务流水!$E$5:$E$1504,$B$3,业务流水!$D$5:$D$1504,"已交税",业务流水!$C$5:$C$1504,$A339,业务流水!$Z$5:$Z$1504,"是"))</f>
        <v/>
      </c>
      <c r="J339" s="42" t="str">
        <f aca="false">IF($A339="","",$H339-$I339)</f>
        <v/>
      </c>
      <c r="K339" s="41" t="str">
        <f aca="false">IF($A339="","",SUMIFS(业务流水!$H$5:$H$1504,业务流水!$F$5:$F$1504,$B$3,业务流水!$D$5:$D$1504,"挂靠代收",业务流水!$C$5:$C$1504,$A339,业务流水!$Z$5:$Z$1504,"是"))</f>
        <v/>
      </c>
      <c r="L339" s="42" t="str">
        <f aca="false">IF($A339="","",$C339-$K339)</f>
        <v/>
      </c>
      <c r="M339" s="41" t="str">
        <f aca="false">IF($A339="","",SUMIFS(业务流水!$H$5:$H$1504,业务流水!$E$5:$E$1504,$B$3,业务流水!$D$5:$D$1504,"我方收款",业务流水!$C$5:$C$1504,$A339,业务流水!$Z$5:$Z$1504,"是"))</f>
        <v/>
      </c>
      <c r="N339" s="43" t="str">
        <f aca="false">IF($A339="","",$K339-$M339)</f>
        <v/>
      </c>
      <c r="O339" s="41" t="str">
        <f aca="false">IF($A339="","",SUMIFS(业务流水!$H$5:$H$1504,业务流水!$F$5:$F$1504,$B$3,业务流水!$D$5:$D$1504,"管理费结算",业务流水!$C$5:$C$1504,$A339,业务流水!$Z$5:$Z$1504,"是"))</f>
        <v/>
      </c>
      <c r="P339" s="41" t="str">
        <f aca="false">IF($A339="","",SUMIFS(业务流水!$H$5:$H$1504,业务流水!$E$5:$E$1504,$B$3,业务流水!$D$5:$D$1504,"扣质保金",业务流水!$C$5:$C$1504,$A339,业务流水!$Z$5:$Z$1504,"是"))</f>
        <v/>
      </c>
      <c r="Q339" s="48" t="str">
        <f aca="false">IF($A339="","",IF(SUM($C339:$F339)+SUM($K339:$M339)=0,"无","有"))</f>
        <v/>
      </c>
    </row>
    <row r="340" customFormat="false" ht="15.75" hidden="false" customHeight="true" outlineLevel="0" collapsed="false">
      <c r="A340" s="32" t="str">
        <f aca="false">IF(项目档案!$A340="","",项目档案!$A340)</f>
        <v/>
      </c>
      <c r="B340" s="40" t="str">
        <f aca="false">IF($A340="","",项目档案!$B340)</f>
        <v/>
      </c>
      <c r="C340" s="41" t="str">
        <f aca="false">IF($A340="","",SUMIFS(业务流水!$H$5:$H$1504,业务流水!$E$5:$E$1504,$B$3,业务流水!$D$5:$D$1504,"销项开票",业务流水!$C$5:$C$1504,$A340,业务流水!$Z$5:$Z$1504,"是"))</f>
        <v/>
      </c>
      <c r="D340" s="41" t="str">
        <f aca="false">IF($A340="","",SUMIFS(业务流水!$O$5:$O$1504,业务流水!$E$5:$E$1504,$B$3,业务流水!$D$5:$D$1504,"销项开票",业务流水!$C$5:$C$1504,$A340,业务流水!$Z$5:$Z$1504,"是"))</f>
        <v/>
      </c>
      <c r="E340" s="41" t="str">
        <f aca="false">IF($A340="","",SUMIFS(业务流水!$P$5:$P$1504,业务流水!$E$5:$E$1504,$B$3,业务流水!$D$5:$D$1504,"销项开票",业务流水!$C$5:$C$1504,$A340,业务流水!$Z$5:$Z$1504,"是"))</f>
        <v/>
      </c>
      <c r="F340" s="41" t="str">
        <f aca="false">IF($A340="","",SUMIFS(业务流水!$H$5:$H$1504,业务流水!$F$5:$F$1504,$B$3,业务流水!$D$5:$D$1504,"成本票",业务流水!$C$5:$C$1504,$A340,业务流水!$Z$5:$Z$1504,"是")+SUMIFS(业务流水!$H$5:$H$1504,业务流水!$F$5:$F$1504,$B$3,业务流水!$D$5:$D$1504,"销项开票",业务流水!$C$5:$C$1504,$A340,业务流水!$Z$5:$Z$1504,"是"))</f>
        <v/>
      </c>
      <c r="G340" s="42" t="str">
        <f aca="false">IF($A340="","",$E340-$F340)</f>
        <v/>
      </c>
      <c r="H340" s="41" t="str">
        <f aca="false">IF($A340="","",SUMIFS(业务流水!$W$5:$W$1504,业务流水!$E$5:$E$1504,$B$3,业务流水!$D$5:$D$1504,"销项开票",业务流水!$C$5:$C$1504,$A340,业务流水!$Z$5:$Z$1504,"是"))</f>
        <v/>
      </c>
      <c r="I340" s="41" t="str">
        <f aca="false">IF($A340="","",SUMIFS(业务流水!$H$5:$H$1504,业务流水!$E$5:$E$1504,$B$3,业务流水!$D$5:$D$1504,"已交税",业务流水!$C$5:$C$1504,$A340,业务流水!$Z$5:$Z$1504,"是"))</f>
        <v/>
      </c>
      <c r="J340" s="42" t="str">
        <f aca="false">IF($A340="","",$H340-$I340)</f>
        <v/>
      </c>
      <c r="K340" s="41" t="str">
        <f aca="false">IF($A340="","",SUMIFS(业务流水!$H$5:$H$1504,业务流水!$F$5:$F$1504,$B$3,业务流水!$D$5:$D$1504,"挂靠代收",业务流水!$C$5:$C$1504,$A340,业务流水!$Z$5:$Z$1504,"是"))</f>
        <v/>
      </c>
      <c r="L340" s="42" t="str">
        <f aca="false">IF($A340="","",$C340-$K340)</f>
        <v/>
      </c>
      <c r="M340" s="41" t="str">
        <f aca="false">IF($A340="","",SUMIFS(业务流水!$H$5:$H$1504,业务流水!$E$5:$E$1504,$B$3,业务流水!$D$5:$D$1504,"我方收款",业务流水!$C$5:$C$1504,$A340,业务流水!$Z$5:$Z$1504,"是"))</f>
        <v/>
      </c>
      <c r="N340" s="43" t="str">
        <f aca="false">IF($A340="","",$K340-$M340)</f>
        <v/>
      </c>
      <c r="O340" s="41" t="str">
        <f aca="false">IF($A340="","",SUMIFS(业务流水!$H$5:$H$1504,业务流水!$F$5:$F$1504,$B$3,业务流水!$D$5:$D$1504,"管理费结算",业务流水!$C$5:$C$1504,$A340,业务流水!$Z$5:$Z$1504,"是"))</f>
        <v/>
      </c>
      <c r="P340" s="41" t="str">
        <f aca="false">IF($A340="","",SUMIFS(业务流水!$H$5:$H$1504,业务流水!$E$5:$E$1504,$B$3,业务流水!$D$5:$D$1504,"扣质保金",业务流水!$C$5:$C$1504,$A340,业务流水!$Z$5:$Z$1504,"是"))</f>
        <v/>
      </c>
      <c r="Q340" s="48" t="str">
        <f aca="false">IF($A340="","",IF(SUM($C340:$F340)+SUM($K340:$M340)=0,"无","有"))</f>
        <v/>
      </c>
    </row>
    <row r="341" customFormat="false" ht="15.75" hidden="false" customHeight="true" outlineLevel="0" collapsed="false">
      <c r="A341" s="32" t="str">
        <f aca="false">IF(项目档案!$A341="","",项目档案!$A341)</f>
        <v/>
      </c>
      <c r="B341" s="40" t="str">
        <f aca="false">IF($A341="","",项目档案!$B341)</f>
        <v/>
      </c>
      <c r="C341" s="41" t="str">
        <f aca="false">IF($A341="","",SUMIFS(业务流水!$H$5:$H$1504,业务流水!$E$5:$E$1504,$B$3,业务流水!$D$5:$D$1504,"销项开票",业务流水!$C$5:$C$1504,$A341,业务流水!$Z$5:$Z$1504,"是"))</f>
        <v/>
      </c>
      <c r="D341" s="41" t="str">
        <f aca="false">IF($A341="","",SUMIFS(业务流水!$O$5:$O$1504,业务流水!$E$5:$E$1504,$B$3,业务流水!$D$5:$D$1504,"销项开票",业务流水!$C$5:$C$1504,$A341,业务流水!$Z$5:$Z$1504,"是"))</f>
        <v/>
      </c>
      <c r="E341" s="41" t="str">
        <f aca="false">IF($A341="","",SUMIFS(业务流水!$P$5:$P$1504,业务流水!$E$5:$E$1504,$B$3,业务流水!$D$5:$D$1504,"销项开票",业务流水!$C$5:$C$1504,$A341,业务流水!$Z$5:$Z$1504,"是"))</f>
        <v/>
      </c>
      <c r="F341" s="41" t="str">
        <f aca="false">IF($A341="","",SUMIFS(业务流水!$H$5:$H$1504,业务流水!$F$5:$F$1504,$B$3,业务流水!$D$5:$D$1504,"成本票",业务流水!$C$5:$C$1504,$A341,业务流水!$Z$5:$Z$1504,"是")+SUMIFS(业务流水!$H$5:$H$1504,业务流水!$F$5:$F$1504,$B$3,业务流水!$D$5:$D$1504,"销项开票",业务流水!$C$5:$C$1504,$A341,业务流水!$Z$5:$Z$1504,"是"))</f>
        <v/>
      </c>
      <c r="G341" s="42" t="str">
        <f aca="false">IF($A341="","",$E341-$F341)</f>
        <v/>
      </c>
      <c r="H341" s="41" t="str">
        <f aca="false">IF($A341="","",SUMIFS(业务流水!$W$5:$W$1504,业务流水!$E$5:$E$1504,$B$3,业务流水!$D$5:$D$1504,"销项开票",业务流水!$C$5:$C$1504,$A341,业务流水!$Z$5:$Z$1504,"是"))</f>
        <v/>
      </c>
      <c r="I341" s="41" t="str">
        <f aca="false">IF($A341="","",SUMIFS(业务流水!$H$5:$H$1504,业务流水!$E$5:$E$1504,$B$3,业务流水!$D$5:$D$1504,"已交税",业务流水!$C$5:$C$1504,$A341,业务流水!$Z$5:$Z$1504,"是"))</f>
        <v/>
      </c>
      <c r="J341" s="42" t="str">
        <f aca="false">IF($A341="","",$H341-$I341)</f>
        <v/>
      </c>
      <c r="K341" s="41" t="str">
        <f aca="false">IF($A341="","",SUMIFS(业务流水!$H$5:$H$1504,业务流水!$F$5:$F$1504,$B$3,业务流水!$D$5:$D$1504,"挂靠代收",业务流水!$C$5:$C$1504,$A341,业务流水!$Z$5:$Z$1504,"是"))</f>
        <v/>
      </c>
      <c r="L341" s="42" t="str">
        <f aca="false">IF($A341="","",$C341-$K341)</f>
        <v/>
      </c>
      <c r="M341" s="41" t="str">
        <f aca="false">IF($A341="","",SUMIFS(业务流水!$H$5:$H$1504,业务流水!$E$5:$E$1504,$B$3,业务流水!$D$5:$D$1504,"我方收款",业务流水!$C$5:$C$1504,$A341,业务流水!$Z$5:$Z$1504,"是"))</f>
        <v/>
      </c>
      <c r="N341" s="43" t="str">
        <f aca="false">IF($A341="","",$K341-$M341)</f>
        <v/>
      </c>
      <c r="O341" s="41" t="str">
        <f aca="false">IF($A341="","",SUMIFS(业务流水!$H$5:$H$1504,业务流水!$F$5:$F$1504,$B$3,业务流水!$D$5:$D$1504,"管理费结算",业务流水!$C$5:$C$1504,$A341,业务流水!$Z$5:$Z$1504,"是"))</f>
        <v/>
      </c>
      <c r="P341" s="41" t="str">
        <f aca="false">IF($A341="","",SUMIFS(业务流水!$H$5:$H$1504,业务流水!$E$5:$E$1504,$B$3,业务流水!$D$5:$D$1504,"扣质保金",业务流水!$C$5:$C$1504,$A341,业务流水!$Z$5:$Z$1504,"是"))</f>
        <v/>
      </c>
      <c r="Q341" s="48" t="str">
        <f aca="false">IF($A341="","",IF(SUM($C341:$F341)+SUM($K341:$M341)=0,"无","有"))</f>
        <v/>
      </c>
    </row>
    <row r="342" customFormat="false" ht="15.75" hidden="false" customHeight="true" outlineLevel="0" collapsed="false">
      <c r="A342" s="32" t="str">
        <f aca="false">IF(项目档案!$A342="","",项目档案!$A342)</f>
        <v/>
      </c>
      <c r="B342" s="40" t="str">
        <f aca="false">IF($A342="","",项目档案!$B342)</f>
        <v/>
      </c>
      <c r="C342" s="41" t="str">
        <f aca="false">IF($A342="","",SUMIFS(业务流水!$H$5:$H$1504,业务流水!$E$5:$E$1504,$B$3,业务流水!$D$5:$D$1504,"销项开票",业务流水!$C$5:$C$1504,$A342,业务流水!$Z$5:$Z$1504,"是"))</f>
        <v/>
      </c>
      <c r="D342" s="41" t="str">
        <f aca="false">IF($A342="","",SUMIFS(业务流水!$O$5:$O$1504,业务流水!$E$5:$E$1504,$B$3,业务流水!$D$5:$D$1504,"销项开票",业务流水!$C$5:$C$1504,$A342,业务流水!$Z$5:$Z$1504,"是"))</f>
        <v/>
      </c>
      <c r="E342" s="41" t="str">
        <f aca="false">IF($A342="","",SUMIFS(业务流水!$P$5:$P$1504,业务流水!$E$5:$E$1504,$B$3,业务流水!$D$5:$D$1504,"销项开票",业务流水!$C$5:$C$1504,$A342,业务流水!$Z$5:$Z$1504,"是"))</f>
        <v/>
      </c>
      <c r="F342" s="41" t="str">
        <f aca="false">IF($A342="","",SUMIFS(业务流水!$H$5:$H$1504,业务流水!$F$5:$F$1504,$B$3,业务流水!$D$5:$D$1504,"成本票",业务流水!$C$5:$C$1504,$A342,业务流水!$Z$5:$Z$1504,"是")+SUMIFS(业务流水!$H$5:$H$1504,业务流水!$F$5:$F$1504,$B$3,业务流水!$D$5:$D$1504,"销项开票",业务流水!$C$5:$C$1504,$A342,业务流水!$Z$5:$Z$1504,"是"))</f>
        <v/>
      </c>
      <c r="G342" s="42" t="str">
        <f aca="false">IF($A342="","",$E342-$F342)</f>
        <v/>
      </c>
      <c r="H342" s="41" t="str">
        <f aca="false">IF($A342="","",SUMIFS(业务流水!$W$5:$W$1504,业务流水!$E$5:$E$1504,$B$3,业务流水!$D$5:$D$1504,"销项开票",业务流水!$C$5:$C$1504,$A342,业务流水!$Z$5:$Z$1504,"是"))</f>
        <v/>
      </c>
      <c r="I342" s="41" t="str">
        <f aca="false">IF($A342="","",SUMIFS(业务流水!$H$5:$H$1504,业务流水!$E$5:$E$1504,$B$3,业务流水!$D$5:$D$1504,"已交税",业务流水!$C$5:$C$1504,$A342,业务流水!$Z$5:$Z$1504,"是"))</f>
        <v/>
      </c>
      <c r="J342" s="42" t="str">
        <f aca="false">IF($A342="","",$H342-$I342)</f>
        <v/>
      </c>
      <c r="K342" s="41" t="str">
        <f aca="false">IF($A342="","",SUMIFS(业务流水!$H$5:$H$1504,业务流水!$F$5:$F$1504,$B$3,业务流水!$D$5:$D$1504,"挂靠代收",业务流水!$C$5:$C$1504,$A342,业务流水!$Z$5:$Z$1504,"是"))</f>
        <v/>
      </c>
      <c r="L342" s="42" t="str">
        <f aca="false">IF($A342="","",$C342-$K342)</f>
        <v/>
      </c>
      <c r="M342" s="41" t="str">
        <f aca="false">IF($A342="","",SUMIFS(业务流水!$H$5:$H$1504,业务流水!$E$5:$E$1504,$B$3,业务流水!$D$5:$D$1504,"我方收款",业务流水!$C$5:$C$1504,$A342,业务流水!$Z$5:$Z$1504,"是"))</f>
        <v/>
      </c>
      <c r="N342" s="43" t="str">
        <f aca="false">IF($A342="","",$K342-$M342)</f>
        <v/>
      </c>
      <c r="O342" s="41" t="str">
        <f aca="false">IF($A342="","",SUMIFS(业务流水!$H$5:$H$1504,业务流水!$F$5:$F$1504,$B$3,业务流水!$D$5:$D$1504,"管理费结算",业务流水!$C$5:$C$1504,$A342,业务流水!$Z$5:$Z$1504,"是"))</f>
        <v/>
      </c>
      <c r="P342" s="41" t="str">
        <f aca="false">IF($A342="","",SUMIFS(业务流水!$H$5:$H$1504,业务流水!$E$5:$E$1504,$B$3,业务流水!$D$5:$D$1504,"扣质保金",业务流水!$C$5:$C$1504,$A342,业务流水!$Z$5:$Z$1504,"是"))</f>
        <v/>
      </c>
      <c r="Q342" s="48" t="str">
        <f aca="false">IF($A342="","",IF(SUM($C342:$F342)+SUM($K342:$M342)=0,"无","有"))</f>
        <v/>
      </c>
    </row>
    <row r="343" customFormat="false" ht="15.75" hidden="false" customHeight="true" outlineLevel="0" collapsed="false">
      <c r="A343" s="32" t="str">
        <f aca="false">IF(项目档案!$A343="","",项目档案!$A343)</f>
        <v/>
      </c>
      <c r="B343" s="40" t="str">
        <f aca="false">IF($A343="","",项目档案!$B343)</f>
        <v/>
      </c>
      <c r="C343" s="41" t="str">
        <f aca="false">IF($A343="","",SUMIFS(业务流水!$H$5:$H$1504,业务流水!$E$5:$E$1504,$B$3,业务流水!$D$5:$D$1504,"销项开票",业务流水!$C$5:$C$1504,$A343,业务流水!$Z$5:$Z$1504,"是"))</f>
        <v/>
      </c>
      <c r="D343" s="41" t="str">
        <f aca="false">IF($A343="","",SUMIFS(业务流水!$O$5:$O$1504,业务流水!$E$5:$E$1504,$B$3,业务流水!$D$5:$D$1504,"销项开票",业务流水!$C$5:$C$1504,$A343,业务流水!$Z$5:$Z$1504,"是"))</f>
        <v/>
      </c>
      <c r="E343" s="41" t="str">
        <f aca="false">IF($A343="","",SUMIFS(业务流水!$P$5:$P$1504,业务流水!$E$5:$E$1504,$B$3,业务流水!$D$5:$D$1504,"销项开票",业务流水!$C$5:$C$1504,$A343,业务流水!$Z$5:$Z$1504,"是"))</f>
        <v/>
      </c>
      <c r="F343" s="41" t="str">
        <f aca="false">IF($A343="","",SUMIFS(业务流水!$H$5:$H$1504,业务流水!$F$5:$F$1504,$B$3,业务流水!$D$5:$D$1504,"成本票",业务流水!$C$5:$C$1504,$A343,业务流水!$Z$5:$Z$1504,"是")+SUMIFS(业务流水!$H$5:$H$1504,业务流水!$F$5:$F$1504,$B$3,业务流水!$D$5:$D$1504,"销项开票",业务流水!$C$5:$C$1504,$A343,业务流水!$Z$5:$Z$1504,"是"))</f>
        <v/>
      </c>
      <c r="G343" s="42" t="str">
        <f aca="false">IF($A343="","",$E343-$F343)</f>
        <v/>
      </c>
      <c r="H343" s="41" t="str">
        <f aca="false">IF($A343="","",SUMIFS(业务流水!$W$5:$W$1504,业务流水!$E$5:$E$1504,$B$3,业务流水!$D$5:$D$1504,"销项开票",业务流水!$C$5:$C$1504,$A343,业务流水!$Z$5:$Z$1504,"是"))</f>
        <v/>
      </c>
      <c r="I343" s="41" t="str">
        <f aca="false">IF($A343="","",SUMIFS(业务流水!$H$5:$H$1504,业务流水!$E$5:$E$1504,$B$3,业务流水!$D$5:$D$1504,"已交税",业务流水!$C$5:$C$1504,$A343,业务流水!$Z$5:$Z$1504,"是"))</f>
        <v/>
      </c>
      <c r="J343" s="42" t="str">
        <f aca="false">IF($A343="","",$H343-$I343)</f>
        <v/>
      </c>
      <c r="K343" s="41" t="str">
        <f aca="false">IF($A343="","",SUMIFS(业务流水!$H$5:$H$1504,业务流水!$F$5:$F$1504,$B$3,业务流水!$D$5:$D$1504,"挂靠代收",业务流水!$C$5:$C$1504,$A343,业务流水!$Z$5:$Z$1504,"是"))</f>
        <v/>
      </c>
      <c r="L343" s="42" t="str">
        <f aca="false">IF($A343="","",$C343-$K343)</f>
        <v/>
      </c>
      <c r="M343" s="41" t="str">
        <f aca="false">IF($A343="","",SUMIFS(业务流水!$H$5:$H$1504,业务流水!$E$5:$E$1504,$B$3,业务流水!$D$5:$D$1504,"我方收款",业务流水!$C$5:$C$1504,$A343,业务流水!$Z$5:$Z$1504,"是"))</f>
        <v/>
      </c>
      <c r="N343" s="43" t="str">
        <f aca="false">IF($A343="","",$K343-$M343)</f>
        <v/>
      </c>
      <c r="O343" s="41" t="str">
        <f aca="false">IF($A343="","",SUMIFS(业务流水!$H$5:$H$1504,业务流水!$F$5:$F$1504,$B$3,业务流水!$D$5:$D$1504,"管理费结算",业务流水!$C$5:$C$1504,$A343,业务流水!$Z$5:$Z$1504,"是"))</f>
        <v/>
      </c>
      <c r="P343" s="41" t="str">
        <f aca="false">IF($A343="","",SUMIFS(业务流水!$H$5:$H$1504,业务流水!$E$5:$E$1504,$B$3,业务流水!$D$5:$D$1504,"扣质保金",业务流水!$C$5:$C$1504,$A343,业务流水!$Z$5:$Z$1504,"是"))</f>
        <v/>
      </c>
      <c r="Q343" s="48" t="str">
        <f aca="false">IF($A343="","",IF(SUM($C343:$F343)+SUM($K343:$M343)=0,"无","有"))</f>
        <v/>
      </c>
    </row>
    <row r="344" customFormat="false" ht="15.75" hidden="false" customHeight="true" outlineLevel="0" collapsed="false">
      <c r="A344" s="32" t="str">
        <f aca="false">IF(项目档案!$A344="","",项目档案!$A344)</f>
        <v/>
      </c>
      <c r="B344" s="40" t="str">
        <f aca="false">IF($A344="","",项目档案!$B344)</f>
        <v/>
      </c>
      <c r="C344" s="41" t="str">
        <f aca="false">IF($A344="","",SUMIFS(业务流水!$H$5:$H$1504,业务流水!$E$5:$E$1504,$B$3,业务流水!$D$5:$D$1504,"销项开票",业务流水!$C$5:$C$1504,$A344,业务流水!$Z$5:$Z$1504,"是"))</f>
        <v/>
      </c>
      <c r="D344" s="41" t="str">
        <f aca="false">IF($A344="","",SUMIFS(业务流水!$O$5:$O$1504,业务流水!$E$5:$E$1504,$B$3,业务流水!$D$5:$D$1504,"销项开票",业务流水!$C$5:$C$1504,$A344,业务流水!$Z$5:$Z$1504,"是"))</f>
        <v/>
      </c>
      <c r="E344" s="41" t="str">
        <f aca="false">IF($A344="","",SUMIFS(业务流水!$P$5:$P$1504,业务流水!$E$5:$E$1504,$B$3,业务流水!$D$5:$D$1504,"销项开票",业务流水!$C$5:$C$1504,$A344,业务流水!$Z$5:$Z$1504,"是"))</f>
        <v/>
      </c>
      <c r="F344" s="41" t="str">
        <f aca="false">IF($A344="","",SUMIFS(业务流水!$H$5:$H$1504,业务流水!$F$5:$F$1504,$B$3,业务流水!$D$5:$D$1504,"成本票",业务流水!$C$5:$C$1504,$A344,业务流水!$Z$5:$Z$1504,"是")+SUMIFS(业务流水!$H$5:$H$1504,业务流水!$F$5:$F$1504,$B$3,业务流水!$D$5:$D$1504,"销项开票",业务流水!$C$5:$C$1504,$A344,业务流水!$Z$5:$Z$1504,"是"))</f>
        <v/>
      </c>
      <c r="G344" s="42" t="str">
        <f aca="false">IF($A344="","",$E344-$F344)</f>
        <v/>
      </c>
      <c r="H344" s="41" t="str">
        <f aca="false">IF($A344="","",SUMIFS(业务流水!$W$5:$W$1504,业务流水!$E$5:$E$1504,$B$3,业务流水!$D$5:$D$1504,"销项开票",业务流水!$C$5:$C$1504,$A344,业务流水!$Z$5:$Z$1504,"是"))</f>
        <v/>
      </c>
      <c r="I344" s="41" t="str">
        <f aca="false">IF($A344="","",SUMIFS(业务流水!$H$5:$H$1504,业务流水!$E$5:$E$1504,$B$3,业务流水!$D$5:$D$1504,"已交税",业务流水!$C$5:$C$1504,$A344,业务流水!$Z$5:$Z$1504,"是"))</f>
        <v/>
      </c>
      <c r="J344" s="42" t="str">
        <f aca="false">IF($A344="","",$H344-$I344)</f>
        <v/>
      </c>
      <c r="K344" s="41" t="str">
        <f aca="false">IF($A344="","",SUMIFS(业务流水!$H$5:$H$1504,业务流水!$F$5:$F$1504,$B$3,业务流水!$D$5:$D$1504,"挂靠代收",业务流水!$C$5:$C$1504,$A344,业务流水!$Z$5:$Z$1504,"是"))</f>
        <v/>
      </c>
      <c r="L344" s="42" t="str">
        <f aca="false">IF($A344="","",$C344-$K344)</f>
        <v/>
      </c>
      <c r="M344" s="41" t="str">
        <f aca="false">IF($A344="","",SUMIFS(业务流水!$H$5:$H$1504,业务流水!$E$5:$E$1504,$B$3,业务流水!$D$5:$D$1504,"我方收款",业务流水!$C$5:$C$1504,$A344,业务流水!$Z$5:$Z$1504,"是"))</f>
        <v/>
      </c>
      <c r="N344" s="43" t="str">
        <f aca="false">IF($A344="","",$K344-$M344)</f>
        <v/>
      </c>
      <c r="O344" s="41" t="str">
        <f aca="false">IF($A344="","",SUMIFS(业务流水!$H$5:$H$1504,业务流水!$F$5:$F$1504,$B$3,业务流水!$D$5:$D$1504,"管理费结算",业务流水!$C$5:$C$1504,$A344,业务流水!$Z$5:$Z$1504,"是"))</f>
        <v/>
      </c>
      <c r="P344" s="41" t="str">
        <f aca="false">IF($A344="","",SUMIFS(业务流水!$H$5:$H$1504,业务流水!$E$5:$E$1504,$B$3,业务流水!$D$5:$D$1504,"扣质保金",业务流水!$C$5:$C$1504,$A344,业务流水!$Z$5:$Z$1504,"是"))</f>
        <v/>
      </c>
      <c r="Q344" s="48" t="str">
        <f aca="false">IF($A344="","",IF(SUM($C344:$F344)+SUM($K344:$M344)=0,"无","有"))</f>
        <v/>
      </c>
    </row>
    <row r="345" customFormat="false" ht="15.75" hidden="false" customHeight="true" outlineLevel="0" collapsed="false">
      <c r="A345" s="32" t="str">
        <f aca="false">IF(项目档案!$A345="","",项目档案!$A345)</f>
        <v/>
      </c>
      <c r="B345" s="40" t="str">
        <f aca="false">IF($A345="","",项目档案!$B345)</f>
        <v/>
      </c>
      <c r="C345" s="41" t="str">
        <f aca="false">IF($A345="","",SUMIFS(业务流水!$H$5:$H$1504,业务流水!$E$5:$E$1504,$B$3,业务流水!$D$5:$D$1504,"销项开票",业务流水!$C$5:$C$1504,$A345,业务流水!$Z$5:$Z$1504,"是"))</f>
        <v/>
      </c>
      <c r="D345" s="41" t="str">
        <f aca="false">IF($A345="","",SUMIFS(业务流水!$O$5:$O$1504,业务流水!$E$5:$E$1504,$B$3,业务流水!$D$5:$D$1504,"销项开票",业务流水!$C$5:$C$1504,$A345,业务流水!$Z$5:$Z$1504,"是"))</f>
        <v/>
      </c>
      <c r="E345" s="41" t="str">
        <f aca="false">IF($A345="","",SUMIFS(业务流水!$P$5:$P$1504,业务流水!$E$5:$E$1504,$B$3,业务流水!$D$5:$D$1504,"销项开票",业务流水!$C$5:$C$1504,$A345,业务流水!$Z$5:$Z$1504,"是"))</f>
        <v/>
      </c>
      <c r="F345" s="41" t="str">
        <f aca="false">IF($A345="","",SUMIFS(业务流水!$H$5:$H$1504,业务流水!$F$5:$F$1504,$B$3,业务流水!$D$5:$D$1504,"成本票",业务流水!$C$5:$C$1504,$A345,业务流水!$Z$5:$Z$1504,"是")+SUMIFS(业务流水!$H$5:$H$1504,业务流水!$F$5:$F$1504,$B$3,业务流水!$D$5:$D$1504,"销项开票",业务流水!$C$5:$C$1504,$A345,业务流水!$Z$5:$Z$1504,"是"))</f>
        <v/>
      </c>
      <c r="G345" s="42" t="str">
        <f aca="false">IF($A345="","",$E345-$F345)</f>
        <v/>
      </c>
      <c r="H345" s="41" t="str">
        <f aca="false">IF($A345="","",SUMIFS(业务流水!$W$5:$W$1504,业务流水!$E$5:$E$1504,$B$3,业务流水!$D$5:$D$1504,"销项开票",业务流水!$C$5:$C$1504,$A345,业务流水!$Z$5:$Z$1504,"是"))</f>
        <v/>
      </c>
      <c r="I345" s="41" t="str">
        <f aca="false">IF($A345="","",SUMIFS(业务流水!$H$5:$H$1504,业务流水!$E$5:$E$1504,$B$3,业务流水!$D$5:$D$1504,"已交税",业务流水!$C$5:$C$1504,$A345,业务流水!$Z$5:$Z$1504,"是"))</f>
        <v/>
      </c>
      <c r="J345" s="42" t="str">
        <f aca="false">IF($A345="","",$H345-$I345)</f>
        <v/>
      </c>
      <c r="K345" s="41" t="str">
        <f aca="false">IF($A345="","",SUMIFS(业务流水!$H$5:$H$1504,业务流水!$F$5:$F$1504,$B$3,业务流水!$D$5:$D$1504,"挂靠代收",业务流水!$C$5:$C$1504,$A345,业务流水!$Z$5:$Z$1504,"是"))</f>
        <v/>
      </c>
      <c r="L345" s="42" t="str">
        <f aca="false">IF($A345="","",$C345-$K345)</f>
        <v/>
      </c>
      <c r="M345" s="41" t="str">
        <f aca="false">IF($A345="","",SUMIFS(业务流水!$H$5:$H$1504,业务流水!$E$5:$E$1504,$B$3,业务流水!$D$5:$D$1504,"我方收款",业务流水!$C$5:$C$1504,$A345,业务流水!$Z$5:$Z$1504,"是"))</f>
        <v/>
      </c>
      <c r="N345" s="43" t="str">
        <f aca="false">IF($A345="","",$K345-$M345)</f>
        <v/>
      </c>
      <c r="O345" s="41" t="str">
        <f aca="false">IF($A345="","",SUMIFS(业务流水!$H$5:$H$1504,业务流水!$F$5:$F$1504,$B$3,业务流水!$D$5:$D$1504,"管理费结算",业务流水!$C$5:$C$1504,$A345,业务流水!$Z$5:$Z$1504,"是"))</f>
        <v/>
      </c>
      <c r="P345" s="41" t="str">
        <f aca="false">IF($A345="","",SUMIFS(业务流水!$H$5:$H$1504,业务流水!$E$5:$E$1504,$B$3,业务流水!$D$5:$D$1504,"扣质保金",业务流水!$C$5:$C$1504,$A345,业务流水!$Z$5:$Z$1504,"是"))</f>
        <v/>
      </c>
      <c r="Q345" s="48" t="str">
        <f aca="false">IF($A345="","",IF(SUM($C345:$F345)+SUM($K345:$M345)=0,"无","有"))</f>
        <v/>
      </c>
    </row>
    <row r="346" customFormat="false" ht="15.75" hidden="false" customHeight="true" outlineLevel="0" collapsed="false">
      <c r="A346" s="32" t="str">
        <f aca="false">IF(项目档案!$A346="","",项目档案!$A346)</f>
        <v/>
      </c>
      <c r="B346" s="40" t="str">
        <f aca="false">IF($A346="","",项目档案!$B346)</f>
        <v/>
      </c>
      <c r="C346" s="41" t="str">
        <f aca="false">IF($A346="","",SUMIFS(业务流水!$H$5:$H$1504,业务流水!$E$5:$E$1504,$B$3,业务流水!$D$5:$D$1504,"销项开票",业务流水!$C$5:$C$1504,$A346,业务流水!$Z$5:$Z$1504,"是"))</f>
        <v/>
      </c>
      <c r="D346" s="41" t="str">
        <f aca="false">IF($A346="","",SUMIFS(业务流水!$O$5:$O$1504,业务流水!$E$5:$E$1504,$B$3,业务流水!$D$5:$D$1504,"销项开票",业务流水!$C$5:$C$1504,$A346,业务流水!$Z$5:$Z$1504,"是"))</f>
        <v/>
      </c>
      <c r="E346" s="41" t="str">
        <f aca="false">IF($A346="","",SUMIFS(业务流水!$P$5:$P$1504,业务流水!$E$5:$E$1504,$B$3,业务流水!$D$5:$D$1504,"销项开票",业务流水!$C$5:$C$1504,$A346,业务流水!$Z$5:$Z$1504,"是"))</f>
        <v/>
      </c>
      <c r="F346" s="41" t="str">
        <f aca="false">IF($A346="","",SUMIFS(业务流水!$H$5:$H$1504,业务流水!$F$5:$F$1504,$B$3,业务流水!$D$5:$D$1504,"成本票",业务流水!$C$5:$C$1504,$A346,业务流水!$Z$5:$Z$1504,"是")+SUMIFS(业务流水!$H$5:$H$1504,业务流水!$F$5:$F$1504,$B$3,业务流水!$D$5:$D$1504,"销项开票",业务流水!$C$5:$C$1504,$A346,业务流水!$Z$5:$Z$1504,"是"))</f>
        <v/>
      </c>
      <c r="G346" s="42" t="str">
        <f aca="false">IF($A346="","",$E346-$F346)</f>
        <v/>
      </c>
      <c r="H346" s="41" t="str">
        <f aca="false">IF($A346="","",SUMIFS(业务流水!$W$5:$W$1504,业务流水!$E$5:$E$1504,$B$3,业务流水!$D$5:$D$1504,"销项开票",业务流水!$C$5:$C$1504,$A346,业务流水!$Z$5:$Z$1504,"是"))</f>
        <v/>
      </c>
      <c r="I346" s="41" t="str">
        <f aca="false">IF($A346="","",SUMIFS(业务流水!$H$5:$H$1504,业务流水!$E$5:$E$1504,$B$3,业务流水!$D$5:$D$1504,"已交税",业务流水!$C$5:$C$1504,$A346,业务流水!$Z$5:$Z$1504,"是"))</f>
        <v/>
      </c>
      <c r="J346" s="42" t="str">
        <f aca="false">IF($A346="","",$H346-$I346)</f>
        <v/>
      </c>
      <c r="K346" s="41" t="str">
        <f aca="false">IF($A346="","",SUMIFS(业务流水!$H$5:$H$1504,业务流水!$F$5:$F$1504,$B$3,业务流水!$D$5:$D$1504,"挂靠代收",业务流水!$C$5:$C$1504,$A346,业务流水!$Z$5:$Z$1504,"是"))</f>
        <v/>
      </c>
      <c r="L346" s="42" t="str">
        <f aca="false">IF($A346="","",$C346-$K346)</f>
        <v/>
      </c>
      <c r="M346" s="41" t="str">
        <f aca="false">IF($A346="","",SUMIFS(业务流水!$H$5:$H$1504,业务流水!$E$5:$E$1504,$B$3,业务流水!$D$5:$D$1504,"我方收款",业务流水!$C$5:$C$1504,$A346,业务流水!$Z$5:$Z$1504,"是"))</f>
        <v/>
      </c>
      <c r="N346" s="43" t="str">
        <f aca="false">IF($A346="","",$K346-$M346)</f>
        <v/>
      </c>
      <c r="O346" s="41" t="str">
        <f aca="false">IF($A346="","",SUMIFS(业务流水!$H$5:$H$1504,业务流水!$F$5:$F$1504,$B$3,业务流水!$D$5:$D$1504,"管理费结算",业务流水!$C$5:$C$1504,$A346,业务流水!$Z$5:$Z$1504,"是"))</f>
        <v/>
      </c>
      <c r="P346" s="41" t="str">
        <f aca="false">IF($A346="","",SUMIFS(业务流水!$H$5:$H$1504,业务流水!$E$5:$E$1504,$B$3,业务流水!$D$5:$D$1504,"扣质保金",业务流水!$C$5:$C$1504,$A346,业务流水!$Z$5:$Z$1504,"是"))</f>
        <v/>
      </c>
      <c r="Q346" s="48" t="str">
        <f aca="false">IF($A346="","",IF(SUM($C346:$F346)+SUM($K346:$M346)=0,"无","有"))</f>
        <v/>
      </c>
    </row>
    <row r="347" customFormat="false" ht="15.75" hidden="false" customHeight="true" outlineLevel="0" collapsed="false">
      <c r="A347" s="32" t="str">
        <f aca="false">IF(项目档案!$A347="","",项目档案!$A347)</f>
        <v/>
      </c>
      <c r="B347" s="40" t="str">
        <f aca="false">IF($A347="","",项目档案!$B347)</f>
        <v/>
      </c>
      <c r="C347" s="41" t="str">
        <f aca="false">IF($A347="","",SUMIFS(业务流水!$H$5:$H$1504,业务流水!$E$5:$E$1504,$B$3,业务流水!$D$5:$D$1504,"销项开票",业务流水!$C$5:$C$1504,$A347,业务流水!$Z$5:$Z$1504,"是"))</f>
        <v/>
      </c>
      <c r="D347" s="41" t="str">
        <f aca="false">IF($A347="","",SUMIFS(业务流水!$O$5:$O$1504,业务流水!$E$5:$E$1504,$B$3,业务流水!$D$5:$D$1504,"销项开票",业务流水!$C$5:$C$1504,$A347,业务流水!$Z$5:$Z$1504,"是"))</f>
        <v/>
      </c>
      <c r="E347" s="41" t="str">
        <f aca="false">IF($A347="","",SUMIFS(业务流水!$P$5:$P$1504,业务流水!$E$5:$E$1504,$B$3,业务流水!$D$5:$D$1504,"销项开票",业务流水!$C$5:$C$1504,$A347,业务流水!$Z$5:$Z$1504,"是"))</f>
        <v/>
      </c>
      <c r="F347" s="41" t="str">
        <f aca="false">IF($A347="","",SUMIFS(业务流水!$H$5:$H$1504,业务流水!$F$5:$F$1504,$B$3,业务流水!$D$5:$D$1504,"成本票",业务流水!$C$5:$C$1504,$A347,业务流水!$Z$5:$Z$1504,"是")+SUMIFS(业务流水!$H$5:$H$1504,业务流水!$F$5:$F$1504,$B$3,业务流水!$D$5:$D$1504,"销项开票",业务流水!$C$5:$C$1504,$A347,业务流水!$Z$5:$Z$1504,"是"))</f>
        <v/>
      </c>
      <c r="G347" s="42" t="str">
        <f aca="false">IF($A347="","",$E347-$F347)</f>
        <v/>
      </c>
      <c r="H347" s="41" t="str">
        <f aca="false">IF($A347="","",SUMIFS(业务流水!$W$5:$W$1504,业务流水!$E$5:$E$1504,$B$3,业务流水!$D$5:$D$1504,"销项开票",业务流水!$C$5:$C$1504,$A347,业务流水!$Z$5:$Z$1504,"是"))</f>
        <v/>
      </c>
      <c r="I347" s="41" t="str">
        <f aca="false">IF($A347="","",SUMIFS(业务流水!$H$5:$H$1504,业务流水!$E$5:$E$1504,$B$3,业务流水!$D$5:$D$1504,"已交税",业务流水!$C$5:$C$1504,$A347,业务流水!$Z$5:$Z$1504,"是"))</f>
        <v/>
      </c>
      <c r="J347" s="42" t="str">
        <f aca="false">IF($A347="","",$H347-$I347)</f>
        <v/>
      </c>
      <c r="K347" s="41" t="str">
        <f aca="false">IF($A347="","",SUMIFS(业务流水!$H$5:$H$1504,业务流水!$F$5:$F$1504,$B$3,业务流水!$D$5:$D$1504,"挂靠代收",业务流水!$C$5:$C$1504,$A347,业务流水!$Z$5:$Z$1504,"是"))</f>
        <v/>
      </c>
      <c r="L347" s="42" t="str">
        <f aca="false">IF($A347="","",$C347-$K347)</f>
        <v/>
      </c>
      <c r="M347" s="41" t="str">
        <f aca="false">IF($A347="","",SUMIFS(业务流水!$H$5:$H$1504,业务流水!$E$5:$E$1504,$B$3,业务流水!$D$5:$D$1504,"我方收款",业务流水!$C$5:$C$1504,$A347,业务流水!$Z$5:$Z$1504,"是"))</f>
        <v/>
      </c>
      <c r="N347" s="43" t="str">
        <f aca="false">IF($A347="","",$K347-$M347)</f>
        <v/>
      </c>
      <c r="O347" s="41" t="str">
        <f aca="false">IF($A347="","",SUMIFS(业务流水!$H$5:$H$1504,业务流水!$F$5:$F$1504,$B$3,业务流水!$D$5:$D$1504,"管理费结算",业务流水!$C$5:$C$1504,$A347,业务流水!$Z$5:$Z$1504,"是"))</f>
        <v/>
      </c>
      <c r="P347" s="41" t="str">
        <f aca="false">IF($A347="","",SUMIFS(业务流水!$H$5:$H$1504,业务流水!$E$5:$E$1504,$B$3,业务流水!$D$5:$D$1504,"扣质保金",业务流水!$C$5:$C$1504,$A347,业务流水!$Z$5:$Z$1504,"是"))</f>
        <v/>
      </c>
      <c r="Q347" s="48" t="str">
        <f aca="false">IF($A347="","",IF(SUM($C347:$F347)+SUM($K347:$M347)=0,"无","有"))</f>
        <v/>
      </c>
    </row>
    <row r="348" customFormat="false" ht="15.75" hidden="false" customHeight="true" outlineLevel="0" collapsed="false">
      <c r="A348" s="32" t="str">
        <f aca="false">IF(项目档案!$A348="","",项目档案!$A348)</f>
        <v/>
      </c>
      <c r="B348" s="40" t="str">
        <f aca="false">IF($A348="","",项目档案!$B348)</f>
        <v/>
      </c>
      <c r="C348" s="41" t="str">
        <f aca="false">IF($A348="","",SUMIFS(业务流水!$H$5:$H$1504,业务流水!$E$5:$E$1504,$B$3,业务流水!$D$5:$D$1504,"销项开票",业务流水!$C$5:$C$1504,$A348,业务流水!$Z$5:$Z$1504,"是"))</f>
        <v/>
      </c>
      <c r="D348" s="41" t="str">
        <f aca="false">IF($A348="","",SUMIFS(业务流水!$O$5:$O$1504,业务流水!$E$5:$E$1504,$B$3,业务流水!$D$5:$D$1504,"销项开票",业务流水!$C$5:$C$1504,$A348,业务流水!$Z$5:$Z$1504,"是"))</f>
        <v/>
      </c>
      <c r="E348" s="41" t="str">
        <f aca="false">IF($A348="","",SUMIFS(业务流水!$P$5:$P$1504,业务流水!$E$5:$E$1504,$B$3,业务流水!$D$5:$D$1504,"销项开票",业务流水!$C$5:$C$1504,$A348,业务流水!$Z$5:$Z$1504,"是"))</f>
        <v/>
      </c>
      <c r="F348" s="41" t="str">
        <f aca="false">IF($A348="","",SUMIFS(业务流水!$H$5:$H$1504,业务流水!$F$5:$F$1504,$B$3,业务流水!$D$5:$D$1504,"成本票",业务流水!$C$5:$C$1504,$A348,业务流水!$Z$5:$Z$1504,"是")+SUMIFS(业务流水!$H$5:$H$1504,业务流水!$F$5:$F$1504,$B$3,业务流水!$D$5:$D$1504,"销项开票",业务流水!$C$5:$C$1504,$A348,业务流水!$Z$5:$Z$1504,"是"))</f>
        <v/>
      </c>
      <c r="G348" s="42" t="str">
        <f aca="false">IF($A348="","",$E348-$F348)</f>
        <v/>
      </c>
      <c r="H348" s="41" t="str">
        <f aca="false">IF($A348="","",SUMIFS(业务流水!$W$5:$W$1504,业务流水!$E$5:$E$1504,$B$3,业务流水!$D$5:$D$1504,"销项开票",业务流水!$C$5:$C$1504,$A348,业务流水!$Z$5:$Z$1504,"是"))</f>
        <v/>
      </c>
      <c r="I348" s="41" t="str">
        <f aca="false">IF($A348="","",SUMIFS(业务流水!$H$5:$H$1504,业务流水!$E$5:$E$1504,$B$3,业务流水!$D$5:$D$1504,"已交税",业务流水!$C$5:$C$1504,$A348,业务流水!$Z$5:$Z$1504,"是"))</f>
        <v/>
      </c>
      <c r="J348" s="42" t="str">
        <f aca="false">IF($A348="","",$H348-$I348)</f>
        <v/>
      </c>
      <c r="K348" s="41" t="str">
        <f aca="false">IF($A348="","",SUMIFS(业务流水!$H$5:$H$1504,业务流水!$F$5:$F$1504,$B$3,业务流水!$D$5:$D$1504,"挂靠代收",业务流水!$C$5:$C$1504,$A348,业务流水!$Z$5:$Z$1504,"是"))</f>
        <v/>
      </c>
      <c r="L348" s="42" t="str">
        <f aca="false">IF($A348="","",$C348-$K348)</f>
        <v/>
      </c>
      <c r="M348" s="41" t="str">
        <f aca="false">IF($A348="","",SUMIFS(业务流水!$H$5:$H$1504,业务流水!$E$5:$E$1504,$B$3,业务流水!$D$5:$D$1504,"我方收款",业务流水!$C$5:$C$1504,$A348,业务流水!$Z$5:$Z$1504,"是"))</f>
        <v/>
      </c>
      <c r="N348" s="43" t="str">
        <f aca="false">IF($A348="","",$K348-$M348)</f>
        <v/>
      </c>
      <c r="O348" s="41" t="str">
        <f aca="false">IF($A348="","",SUMIFS(业务流水!$H$5:$H$1504,业务流水!$F$5:$F$1504,$B$3,业务流水!$D$5:$D$1504,"管理费结算",业务流水!$C$5:$C$1504,$A348,业务流水!$Z$5:$Z$1504,"是"))</f>
        <v/>
      </c>
      <c r="P348" s="41" t="str">
        <f aca="false">IF($A348="","",SUMIFS(业务流水!$H$5:$H$1504,业务流水!$E$5:$E$1504,$B$3,业务流水!$D$5:$D$1504,"扣质保金",业务流水!$C$5:$C$1504,$A348,业务流水!$Z$5:$Z$1504,"是"))</f>
        <v/>
      </c>
      <c r="Q348" s="48" t="str">
        <f aca="false">IF($A348="","",IF(SUM($C348:$F348)+SUM($K348:$M348)=0,"无","有"))</f>
        <v/>
      </c>
    </row>
    <row r="349" customFormat="false" ht="15.75" hidden="false" customHeight="true" outlineLevel="0" collapsed="false">
      <c r="A349" s="32" t="str">
        <f aca="false">IF(项目档案!$A349="","",项目档案!$A349)</f>
        <v/>
      </c>
      <c r="B349" s="40" t="str">
        <f aca="false">IF($A349="","",项目档案!$B349)</f>
        <v/>
      </c>
      <c r="C349" s="41" t="str">
        <f aca="false">IF($A349="","",SUMIFS(业务流水!$H$5:$H$1504,业务流水!$E$5:$E$1504,$B$3,业务流水!$D$5:$D$1504,"销项开票",业务流水!$C$5:$C$1504,$A349,业务流水!$Z$5:$Z$1504,"是"))</f>
        <v/>
      </c>
      <c r="D349" s="41" t="str">
        <f aca="false">IF($A349="","",SUMIFS(业务流水!$O$5:$O$1504,业务流水!$E$5:$E$1504,$B$3,业务流水!$D$5:$D$1504,"销项开票",业务流水!$C$5:$C$1504,$A349,业务流水!$Z$5:$Z$1504,"是"))</f>
        <v/>
      </c>
      <c r="E349" s="41" t="str">
        <f aca="false">IF($A349="","",SUMIFS(业务流水!$P$5:$P$1504,业务流水!$E$5:$E$1504,$B$3,业务流水!$D$5:$D$1504,"销项开票",业务流水!$C$5:$C$1504,$A349,业务流水!$Z$5:$Z$1504,"是"))</f>
        <v/>
      </c>
      <c r="F349" s="41" t="str">
        <f aca="false">IF($A349="","",SUMIFS(业务流水!$H$5:$H$1504,业务流水!$F$5:$F$1504,$B$3,业务流水!$D$5:$D$1504,"成本票",业务流水!$C$5:$C$1504,$A349,业务流水!$Z$5:$Z$1504,"是")+SUMIFS(业务流水!$H$5:$H$1504,业务流水!$F$5:$F$1504,$B$3,业务流水!$D$5:$D$1504,"销项开票",业务流水!$C$5:$C$1504,$A349,业务流水!$Z$5:$Z$1504,"是"))</f>
        <v/>
      </c>
      <c r="G349" s="42" t="str">
        <f aca="false">IF($A349="","",$E349-$F349)</f>
        <v/>
      </c>
      <c r="H349" s="41" t="str">
        <f aca="false">IF($A349="","",SUMIFS(业务流水!$W$5:$W$1504,业务流水!$E$5:$E$1504,$B$3,业务流水!$D$5:$D$1504,"销项开票",业务流水!$C$5:$C$1504,$A349,业务流水!$Z$5:$Z$1504,"是"))</f>
        <v/>
      </c>
      <c r="I349" s="41" t="str">
        <f aca="false">IF($A349="","",SUMIFS(业务流水!$H$5:$H$1504,业务流水!$E$5:$E$1504,$B$3,业务流水!$D$5:$D$1504,"已交税",业务流水!$C$5:$C$1504,$A349,业务流水!$Z$5:$Z$1504,"是"))</f>
        <v/>
      </c>
      <c r="J349" s="42" t="str">
        <f aca="false">IF($A349="","",$H349-$I349)</f>
        <v/>
      </c>
      <c r="K349" s="41" t="str">
        <f aca="false">IF($A349="","",SUMIFS(业务流水!$H$5:$H$1504,业务流水!$F$5:$F$1504,$B$3,业务流水!$D$5:$D$1504,"挂靠代收",业务流水!$C$5:$C$1504,$A349,业务流水!$Z$5:$Z$1504,"是"))</f>
        <v/>
      </c>
      <c r="L349" s="42" t="str">
        <f aca="false">IF($A349="","",$C349-$K349)</f>
        <v/>
      </c>
      <c r="M349" s="41" t="str">
        <f aca="false">IF($A349="","",SUMIFS(业务流水!$H$5:$H$1504,业务流水!$E$5:$E$1504,$B$3,业务流水!$D$5:$D$1504,"我方收款",业务流水!$C$5:$C$1504,$A349,业务流水!$Z$5:$Z$1504,"是"))</f>
        <v/>
      </c>
      <c r="N349" s="43" t="str">
        <f aca="false">IF($A349="","",$K349-$M349)</f>
        <v/>
      </c>
      <c r="O349" s="41" t="str">
        <f aca="false">IF($A349="","",SUMIFS(业务流水!$H$5:$H$1504,业务流水!$F$5:$F$1504,$B$3,业务流水!$D$5:$D$1504,"管理费结算",业务流水!$C$5:$C$1504,$A349,业务流水!$Z$5:$Z$1504,"是"))</f>
        <v/>
      </c>
      <c r="P349" s="41" t="str">
        <f aca="false">IF($A349="","",SUMIFS(业务流水!$H$5:$H$1504,业务流水!$E$5:$E$1504,$B$3,业务流水!$D$5:$D$1504,"扣质保金",业务流水!$C$5:$C$1504,$A349,业务流水!$Z$5:$Z$1504,"是"))</f>
        <v/>
      </c>
      <c r="Q349" s="48" t="str">
        <f aca="false">IF($A349="","",IF(SUM($C349:$F349)+SUM($K349:$M349)=0,"无","有"))</f>
        <v/>
      </c>
    </row>
    <row r="350" customFormat="false" ht="15.75" hidden="false" customHeight="true" outlineLevel="0" collapsed="false">
      <c r="A350" s="32" t="str">
        <f aca="false">IF(项目档案!$A350="","",项目档案!$A350)</f>
        <v/>
      </c>
      <c r="B350" s="40" t="str">
        <f aca="false">IF($A350="","",项目档案!$B350)</f>
        <v/>
      </c>
      <c r="C350" s="41" t="str">
        <f aca="false">IF($A350="","",SUMIFS(业务流水!$H$5:$H$1504,业务流水!$E$5:$E$1504,$B$3,业务流水!$D$5:$D$1504,"销项开票",业务流水!$C$5:$C$1504,$A350,业务流水!$Z$5:$Z$1504,"是"))</f>
        <v/>
      </c>
      <c r="D350" s="41" t="str">
        <f aca="false">IF($A350="","",SUMIFS(业务流水!$O$5:$O$1504,业务流水!$E$5:$E$1504,$B$3,业务流水!$D$5:$D$1504,"销项开票",业务流水!$C$5:$C$1504,$A350,业务流水!$Z$5:$Z$1504,"是"))</f>
        <v/>
      </c>
      <c r="E350" s="41" t="str">
        <f aca="false">IF($A350="","",SUMIFS(业务流水!$P$5:$P$1504,业务流水!$E$5:$E$1504,$B$3,业务流水!$D$5:$D$1504,"销项开票",业务流水!$C$5:$C$1504,$A350,业务流水!$Z$5:$Z$1504,"是"))</f>
        <v/>
      </c>
      <c r="F350" s="41" t="str">
        <f aca="false">IF($A350="","",SUMIFS(业务流水!$H$5:$H$1504,业务流水!$F$5:$F$1504,$B$3,业务流水!$D$5:$D$1504,"成本票",业务流水!$C$5:$C$1504,$A350,业务流水!$Z$5:$Z$1504,"是")+SUMIFS(业务流水!$H$5:$H$1504,业务流水!$F$5:$F$1504,$B$3,业务流水!$D$5:$D$1504,"销项开票",业务流水!$C$5:$C$1504,$A350,业务流水!$Z$5:$Z$1504,"是"))</f>
        <v/>
      </c>
      <c r="G350" s="42" t="str">
        <f aca="false">IF($A350="","",$E350-$F350)</f>
        <v/>
      </c>
      <c r="H350" s="41" t="str">
        <f aca="false">IF($A350="","",SUMIFS(业务流水!$W$5:$W$1504,业务流水!$E$5:$E$1504,$B$3,业务流水!$D$5:$D$1504,"销项开票",业务流水!$C$5:$C$1504,$A350,业务流水!$Z$5:$Z$1504,"是"))</f>
        <v/>
      </c>
      <c r="I350" s="41" t="str">
        <f aca="false">IF($A350="","",SUMIFS(业务流水!$H$5:$H$1504,业务流水!$E$5:$E$1504,$B$3,业务流水!$D$5:$D$1504,"已交税",业务流水!$C$5:$C$1504,$A350,业务流水!$Z$5:$Z$1504,"是"))</f>
        <v/>
      </c>
      <c r="J350" s="42" t="str">
        <f aca="false">IF($A350="","",$H350-$I350)</f>
        <v/>
      </c>
      <c r="K350" s="41" t="str">
        <f aca="false">IF($A350="","",SUMIFS(业务流水!$H$5:$H$1504,业务流水!$F$5:$F$1504,$B$3,业务流水!$D$5:$D$1504,"挂靠代收",业务流水!$C$5:$C$1504,$A350,业务流水!$Z$5:$Z$1504,"是"))</f>
        <v/>
      </c>
      <c r="L350" s="42" t="str">
        <f aca="false">IF($A350="","",$C350-$K350)</f>
        <v/>
      </c>
      <c r="M350" s="41" t="str">
        <f aca="false">IF($A350="","",SUMIFS(业务流水!$H$5:$H$1504,业务流水!$E$5:$E$1504,$B$3,业务流水!$D$5:$D$1504,"我方收款",业务流水!$C$5:$C$1504,$A350,业务流水!$Z$5:$Z$1504,"是"))</f>
        <v/>
      </c>
      <c r="N350" s="43" t="str">
        <f aca="false">IF($A350="","",$K350-$M350)</f>
        <v/>
      </c>
      <c r="O350" s="41" t="str">
        <f aca="false">IF($A350="","",SUMIFS(业务流水!$H$5:$H$1504,业务流水!$F$5:$F$1504,$B$3,业务流水!$D$5:$D$1504,"管理费结算",业务流水!$C$5:$C$1504,$A350,业务流水!$Z$5:$Z$1504,"是"))</f>
        <v/>
      </c>
      <c r="P350" s="41" t="str">
        <f aca="false">IF($A350="","",SUMIFS(业务流水!$H$5:$H$1504,业务流水!$E$5:$E$1504,$B$3,业务流水!$D$5:$D$1504,"扣质保金",业务流水!$C$5:$C$1504,$A350,业务流水!$Z$5:$Z$1504,"是"))</f>
        <v/>
      </c>
      <c r="Q350" s="48" t="str">
        <f aca="false">IF($A350="","",IF(SUM($C350:$F350)+SUM($K350:$M350)=0,"无","有"))</f>
        <v/>
      </c>
    </row>
    <row r="351" customFormat="false" ht="15.75" hidden="false" customHeight="true" outlineLevel="0" collapsed="false">
      <c r="A351" s="32" t="str">
        <f aca="false">IF(项目档案!$A351="","",项目档案!$A351)</f>
        <v/>
      </c>
      <c r="B351" s="40" t="str">
        <f aca="false">IF($A351="","",项目档案!$B351)</f>
        <v/>
      </c>
      <c r="C351" s="41" t="str">
        <f aca="false">IF($A351="","",SUMIFS(业务流水!$H$5:$H$1504,业务流水!$E$5:$E$1504,$B$3,业务流水!$D$5:$D$1504,"销项开票",业务流水!$C$5:$C$1504,$A351,业务流水!$Z$5:$Z$1504,"是"))</f>
        <v/>
      </c>
      <c r="D351" s="41" t="str">
        <f aca="false">IF($A351="","",SUMIFS(业务流水!$O$5:$O$1504,业务流水!$E$5:$E$1504,$B$3,业务流水!$D$5:$D$1504,"销项开票",业务流水!$C$5:$C$1504,$A351,业务流水!$Z$5:$Z$1504,"是"))</f>
        <v/>
      </c>
      <c r="E351" s="41" t="str">
        <f aca="false">IF($A351="","",SUMIFS(业务流水!$P$5:$P$1504,业务流水!$E$5:$E$1504,$B$3,业务流水!$D$5:$D$1504,"销项开票",业务流水!$C$5:$C$1504,$A351,业务流水!$Z$5:$Z$1504,"是"))</f>
        <v/>
      </c>
      <c r="F351" s="41" t="str">
        <f aca="false">IF($A351="","",SUMIFS(业务流水!$H$5:$H$1504,业务流水!$F$5:$F$1504,$B$3,业务流水!$D$5:$D$1504,"成本票",业务流水!$C$5:$C$1504,$A351,业务流水!$Z$5:$Z$1504,"是")+SUMIFS(业务流水!$H$5:$H$1504,业务流水!$F$5:$F$1504,$B$3,业务流水!$D$5:$D$1504,"销项开票",业务流水!$C$5:$C$1504,$A351,业务流水!$Z$5:$Z$1504,"是"))</f>
        <v/>
      </c>
      <c r="G351" s="42" t="str">
        <f aca="false">IF($A351="","",$E351-$F351)</f>
        <v/>
      </c>
      <c r="H351" s="41" t="str">
        <f aca="false">IF($A351="","",SUMIFS(业务流水!$W$5:$W$1504,业务流水!$E$5:$E$1504,$B$3,业务流水!$D$5:$D$1504,"销项开票",业务流水!$C$5:$C$1504,$A351,业务流水!$Z$5:$Z$1504,"是"))</f>
        <v/>
      </c>
      <c r="I351" s="41" t="str">
        <f aca="false">IF($A351="","",SUMIFS(业务流水!$H$5:$H$1504,业务流水!$E$5:$E$1504,$B$3,业务流水!$D$5:$D$1504,"已交税",业务流水!$C$5:$C$1504,$A351,业务流水!$Z$5:$Z$1504,"是"))</f>
        <v/>
      </c>
      <c r="J351" s="42" t="str">
        <f aca="false">IF($A351="","",$H351-$I351)</f>
        <v/>
      </c>
      <c r="K351" s="41" t="str">
        <f aca="false">IF($A351="","",SUMIFS(业务流水!$H$5:$H$1504,业务流水!$F$5:$F$1504,$B$3,业务流水!$D$5:$D$1504,"挂靠代收",业务流水!$C$5:$C$1504,$A351,业务流水!$Z$5:$Z$1504,"是"))</f>
        <v/>
      </c>
      <c r="L351" s="42" t="str">
        <f aca="false">IF($A351="","",$C351-$K351)</f>
        <v/>
      </c>
      <c r="M351" s="41" t="str">
        <f aca="false">IF($A351="","",SUMIFS(业务流水!$H$5:$H$1504,业务流水!$E$5:$E$1504,$B$3,业务流水!$D$5:$D$1504,"我方收款",业务流水!$C$5:$C$1504,$A351,业务流水!$Z$5:$Z$1504,"是"))</f>
        <v/>
      </c>
      <c r="N351" s="43" t="str">
        <f aca="false">IF($A351="","",$K351-$M351)</f>
        <v/>
      </c>
      <c r="O351" s="41" t="str">
        <f aca="false">IF($A351="","",SUMIFS(业务流水!$H$5:$H$1504,业务流水!$F$5:$F$1504,$B$3,业务流水!$D$5:$D$1504,"管理费结算",业务流水!$C$5:$C$1504,$A351,业务流水!$Z$5:$Z$1504,"是"))</f>
        <v/>
      </c>
      <c r="P351" s="41" t="str">
        <f aca="false">IF($A351="","",SUMIFS(业务流水!$H$5:$H$1504,业务流水!$E$5:$E$1504,$B$3,业务流水!$D$5:$D$1504,"扣质保金",业务流水!$C$5:$C$1504,$A351,业务流水!$Z$5:$Z$1504,"是"))</f>
        <v/>
      </c>
      <c r="Q351" s="48" t="str">
        <f aca="false">IF($A351="","",IF(SUM($C351:$F351)+SUM($K351:$M351)=0,"无","有"))</f>
        <v/>
      </c>
    </row>
    <row r="352" customFormat="false" ht="15.75" hidden="false" customHeight="true" outlineLevel="0" collapsed="false">
      <c r="A352" s="32" t="str">
        <f aca="false">IF(项目档案!$A352="","",项目档案!$A352)</f>
        <v/>
      </c>
      <c r="B352" s="40" t="str">
        <f aca="false">IF($A352="","",项目档案!$B352)</f>
        <v/>
      </c>
      <c r="C352" s="41" t="str">
        <f aca="false">IF($A352="","",SUMIFS(业务流水!$H$5:$H$1504,业务流水!$E$5:$E$1504,$B$3,业务流水!$D$5:$D$1504,"销项开票",业务流水!$C$5:$C$1504,$A352,业务流水!$Z$5:$Z$1504,"是"))</f>
        <v/>
      </c>
      <c r="D352" s="41" t="str">
        <f aca="false">IF($A352="","",SUMIFS(业务流水!$O$5:$O$1504,业务流水!$E$5:$E$1504,$B$3,业务流水!$D$5:$D$1504,"销项开票",业务流水!$C$5:$C$1504,$A352,业务流水!$Z$5:$Z$1504,"是"))</f>
        <v/>
      </c>
      <c r="E352" s="41" t="str">
        <f aca="false">IF($A352="","",SUMIFS(业务流水!$P$5:$P$1504,业务流水!$E$5:$E$1504,$B$3,业务流水!$D$5:$D$1504,"销项开票",业务流水!$C$5:$C$1504,$A352,业务流水!$Z$5:$Z$1504,"是"))</f>
        <v/>
      </c>
      <c r="F352" s="41" t="str">
        <f aca="false">IF($A352="","",SUMIFS(业务流水!$H$5:$H$1504,业务流水!$F$5:$F$1504,$B$3,业务流水!$D$5:$D$1504,"成本票",业务流水!$C$5:$C$1504,$A352,业务流水!$Z$5:$Z$1504,"是")+SUMIFS(业务流水!$H$5:$H$1504,业务流水!$F$5:$F$1504,$B$3,业务流水!$D$5:$D$1504,"销项开票",业务流水!$C$5:$C$1504,$A352,业务流水!$Z$5:$Z$1504,"是"))</f>
        <v/>
      </c>
      <c r="G352" s="42" t="str">
        <f aca="false">IF($A352="","",$E352-$F352)</f>
        <v/>
      </c>
      <c r="H352" s="41" t="str">
        <f aca="false">IF($A352="","",SUMIFS(业务流水!$W$5:$W$1504,业务流水!$E$5:$E$1504,$B$3,业务流水!$D$5:$D$1504,"销项开票",业务流水!$C$5:$C$1504,$A352,业务流水!$Z$5:$Z$1504,"是"))</f>
        <v/>
      </c>
      <c r="I352" s="41" t="str">
        <f aca="false">IF($A352="","",SUMIFS(业务流水!$H$5:$H$1504,业务流水!$E$5:$E$1504,$B$3,业务流水!$D$5:$D$1504,"已交税",业务流水!$C$5:$C$1504,$A352,业务流水!$Z$5:$Z$1504,"是"))</f>
        <v/>
      </c>
      <c r="J352" s="42" t="str">
        <f aca="false">IF($A352="","",$H352-$I352)</f>
        <v/>
      </c>
      <c r="K352" s="41" t="str">
        <f aca="false">IF($A352="","",SUMIFS(业务流水!$H$5:$H$1504,业务流水!$F$5:$F$1504,$B$3,业务流水!$D$5:$D$1504,"挂靠代收",业务流水!$C$5:$C$1504,$A352,业务流水!$Z$5:$Z$1504,"是"))</f>
        <v/>
      </c>
      <c r="L352" s="42" t="str">
        <f aca="false">IF($A352="","",$C352-$K352)</f>
        <v/>
      </c>
      <c r="M352" s="41" t="str">
        <f aca="false">IF($A352="","",SUMIFS(业务流水!$H$5:$H$1504,业务流水!$E$5:$E$1504,$B$3,业务流水!$D$5:$D$1504,"我方收款",业务流水!$C$5:$C$1504,$A352,业务流水!$Z$5:$Z$1504,"是"))</f>
        <v/>
      </c>
      <c r="N352" s="43" t="str">
        <f aca="false">IF($A352="","",$K352-$M352)</f>
        <v/>
      </c>
      <c r="O352" s="41" t="str">
        <f aca="false">IF($A352="","",SUMIFS(业务流水!$H$5:$H$1504,业务流水!$F$5:$F$1504,$B$3,业务流水!$D$5:$D$1504,"管理费结算",业务流水!$C$5:$C$1504,$A352,业务流水!$Z$5:$Z$1504,"是"))</f>
        <v/>
      </c>
      <c r="P352" s="41" t="str">
        <f aca="false">IF($A352="","",SUMIFS(业务流水!$H$5:$H$1504,业务流水!$E$5:$E$1504,$B$3,业务流水!$D$5:$D$1504,"扣质保金",业务流水!$C$5:$C$1504,$A352,业务流水!$Z$5:$Z$1504,"是"))</f>
        <v/>
      </c>
      <c r="Q352" s="48" t="str">
        <f aca="false">IF($A352="","",IF(SUM($C352:$F352)+SUM($K352:$M352)=0,"无","有"))</f>
        <v/>
      </c>
    </row>
    <row r="353" customFormat="false" ht="15.75" hidden="false" customHeight="true" outlineLevel="0" collapsed="false">
      <c r="A353" s="32" t="str">
        <f aca="false">IF(项目档案!$A353="","",项目档案!$A353)</f>
        <v/>
      </c>
      <c r="B353" s="40" t="str">
        <f aca="false">IF($A353="","",项目档案!$B353)</f>
        <v/>
      </c>
      <c r="C353" s="41" t="str">
        <f aca="false">IF($A353="","",SUMIFS(业务流水!$H$5:$H$1504,业务流水!$E$5:$E$1504,$B$3,业务流水!$D$5:$D$1504,"销项开票",业务流水!$C$5:$C$1504,$A353,业务流水!$Z$5:$Z$1504,"是"))</f>
        <v/>
      </c>
      <c r="D353" s="41" t="str">
        <f aca="false">IF($A353="","",SUMIFS(业务流水!$O$5:$O$1504,业务流水!$E$5:$E$1504,$B$3,业务流水!$D$5:$D$1504,"销项开票",业务流水!$C$5:$C$1504,$A353,业务流水!$Z$5:$Z$1504,"是"))</f>
        <v/>
      </c>
      <c r="E353" s="41" t="str">
        <f aca="false">IF($A353="","",SUMIFS(业务流水!$P$5:$P$1504,业务流水!$E$5:$E$1504,$B$3,业务流水!$D$5:$D$1504,"销项开票",业务流水!$C$5:$C$1504,$A353,业务流水!$Z$5:$Z$1504,"是"))</f>
        <v/>
      </c>
      <c r="F353" s="41" t="str">
        <f aca="false">IF($A353="","",SUMIFS(业务流水!$H$5:$H$1504,业务流水!$F$5:$F$1504,$B$3,业务流水!$D$5:$D$1504,"成本票",业务流水!$C$5:$C$1504,$A353,业务流水!$Z$5:$Z$1504,"是")+SUMIFS(业务流水!$H$5:$H$1504,业务流水!$F$5:$F$1504,$B$3,业务流水!$D$5:$D$1504,"销项开票",业务流水!$C$5:$C$1504,$A353,业务流水!$Z$5:$Z$1504,"是"))</f>
        <v/>
      </c>
      <c r="G353" s="42" t="str">
        <f aca="false">IF($A353="","",$E353-$F353)</f>
        <v/>
      </c>
      <c r="H353" s="41" t="str">
        <f aca="false">IF($A353="","",SUMIFS(业务流水!$W$5:$W$1504,业务流水!$E$5:$E$1504,$B$3,业务流水!$D$5:$D$1504,"销项开票",业务流水!$C$5:$C$1504,$A353,业务流水!$Z$5:$Z$1504,"是"))</f>
        <v/>
      </c>
      <c r="I353" s="41" t="str">
        <f aca="false">IF($A353="","",SUMIFS(业务流水!$H$5:$H$1504,业务流水!$E$5:$E$1504,$B$3,业务流水!$D$5:$D$1504,"已交税",业务流水!$C$5:$C$1504,$A353,业务流水!$Z$5:$Z$1504,"是"))</f>
        <v/>
      </c>
      <c r="J353" s="42" t="str">
        <f aca="false">IF($A353="","",$H353-$I353)</f>
        <v/>
      </c>
      <c r="K353" s="41" t="str">
        <f aca="false">IF($A353="","",SUMIFS(业务流水!$H$5:$H$1504,业务流水!$F$5:$F$1504,$B$3,业务流水!$D$5:$D$1504,"挂靠代收",业务流水!$C$5:$C$1504,$A353,业务流水!$Z$5:$Z$1504,"是"))</f>
        <v/>
      </c>
      <c r="L353" s="42" t="str">
        <f aca="false">IF($A353="","",$C353-$K353)</f>
        <v/>
      </c>
      <c r="M353" s="41" t="str">
        <f aca="false">IF($A353="","",SUMIFS(业务流水!$H$5:$H$1504,业务流水!$E$5:$E$1504,$B$3,业务流水!$D$5:$D$1504,"我方收款",业务流水!$C$5:$C$1504,$A353,业务流水!$Z$5:$Z$1504,"是"))</f>
        <v/>
      </c>
      <c r="N353" s="43" t="str">
        <f aca="false">IF($A353="","",$K353-$M353)</f>
        <v/>
      </c>
      <c r="O353" s="41" t="str">
        <f aca="false">IF($A353="","",SUMIFS(业务流水!$H$5:$H$1504,业务流水!$F$5:$F$1504,$B$3,业务流水!$D$5:$D$1504,"管理费结算",业务流水!$C$5:$C$1504,$A353,业务流水!$Z$5:$Z$1504,"是"))</f>
        <v/>
      </c>
      <c r="P353" s="41" t="str">
        <f aca="false">IF($A353="","",SUMIFS(业务流水!$H$5:$H$1504,业务流水!$E$5:$E$1504,$B$3,业务流水!$D$5:$D$1504,"扣质保金",业务流水!$C$5:$C$1504,$A353,业务流水!$Z$5:$Z$1504,"是"))</f>
        <v/>
      </c>
      <c r="Q353" s="48" t="str">
        <f aca="false">IF($A353="","",IF(SUM($C353:$F353)+SUM($K353:$M353)=0,"无","有"))</f>
        <v/>
      </c>
    </row>
    <row r="354" customFormat="false" ht="15.75" hidden="false" customHeight="true" outlineLevel="0" collapsed="false">
      <c r="A354" s="32" t="str">
        <f aca="false">IF(项目档案!$A354="","",项目档案!$A354)</f>
        <v/>
      </c>
      <c r="B354" s="40" t="str">
        <f aca="false">IF($A354="","",项目档案!$B354)</f>
        <v/>
      </c>
      <c r="C354" s="41" t="str">
        <f aca="false">IF($A354="","",SUMIFS(业务流水!$H$5:$H$1504,业务流水!$E$5:$E$1504,$B$3,业务流水!$D$5:$D$1504,"销项开票",业务流水!$C$5:$C$1504,$A354,业务流水!$Z$5:$Z$1504,"是"))</f>
        <v/>
      </c>
      <c r="D354" s="41" t="str">
        <f aca="false">IF($A354="","",SUMIFS(业务流水!$O$5:$O$1504,业务流水!$E$5:$E$1504,$B$3,业务流水!$D$5:$D$1504,"销项开票",业务流水!$C$5:$C$1504,$A354,业务流水!$Z$5:$Z$1504,"是"))</f>
        <v/>
      </c>
      <c r="E354" s="41" t="str">
        <f aca="false">IF($A354="","",SUMIFS(业务流水!$P$5:$P$1504,业务流水!$E$5:$E$1504,$B$3,业务流水!$D$5:$D$1504,"销项开票",业务流水!$C$5:$C$1504,$A354,业务流水!$Z$5:$Z$1504,"是"))</f>
        <v/>
      </c>
      <c r="F354" s="41" t="str">
        <f aca="false">IF($A354="","",SUMIFS(业务流水!$H$5:$H$1504,业务流水!$F$5:$F$1504,$B$3,业务流水!$D$5:$D$1504,"成本票",业务流水!$C$5:$C$1504,$A354,业务流水!$Z$5:$Z$1504,"是")+SUMIFS(业务流水!$H$5:$H$1504,业务流水!$F$5:$F$1504,$B$3,业务流水!$D$5:$D$1504,"销项开票",业务流水!$C$5:$C$1504,$A354,业务流水!$Z$5:$Z$1504,"是"))</f>
        <v/>
      </c>
      <c r="G354" s="42" t="str">
        <f aca="false">IF($A354="","",$E354-$F354)</f>
        <v/>
      </c>
      <c r="H354" s="41" t="str">
        <f aca="false">IF($A354="","",SUMIFS(业务流水!$W$5:$W$1504,业务流水!$E$5:$E$1504,$B$3,业务流水!$D$5:$D$1504,"销项开票",业务流水!$C$5:$C$1504,$A354,业务流水!$Z$5:$Z$1504,"是"))</f>
        <v/>
      </c>
      <c r="I354" s="41" t="str">
        <f aca="false">IF($A354="","",SUMIFS(业务流水!$H$5:$H$1504,业务流水!$E$5:$E$1504,$B$3,业务流水!$D$5:$D$1504,"已交税",业务流水!$C$5:$C$1504,$A354,业务流水!$Z$5:$Z$1504,"是"))</f>
        <v/>
      </c>
      <c r="J354" s="42" t="str">
        <f aca="false">IF($A354="","",$H354-$I354)</f>
        <v/>
      </c>
      <c r="K354" s="41" t="str">
        <f aca="false">IF($A354="","",SUMIFS(业务流水!$H$5:$H$1504,业务流水!$F$5:$F$1504,$B$3,业务流水!$D$5:$D$1504,"挂靠代收",业务流水!$C$5:$C$1504,$A354,业务流水!$Z$5:$Z$1504,"是"))</f>
        <v/>
      </c>
      <c r="L354" s="42" t="str">
        <f aca="false">IF($A354="","",$C354-$K354)</f>
        <v/>
      </c>
      <c r="M354" s="41" t="str">
        <f aca="false">IF($A354="","",SUMIFS(业务流水!$H$5:$H$1504,业务流水!$E$5:$E$1504,$B$3,业务流水!$D$5:$D$1504,"我方收款",业务流水!$C$5:$C$1504,$A354,业务流水!$Z$5:$Z$1504,"是"))</f>
        <v/>
      </c>
      <c r="N354" s="43" t="str">
        <f aca="false">IF($A354="","",$K354-$M354)</f>
        <v/>
      </c>
      <c r="O354" s="41" t="str">
        <f aca="false">IF($A354="","",SUMIFS(业务流水!$H$5:$H$1504,业务流水!$F$5:$F$1504,$B$3,业务流水!$D$5:$D$1504,"管理费结算",业务流水!$C$5:$C$1504,$A354,业务流水!$Z$5:$Z$1504,"是"))</f>
        <v/>
      </c>
      <c r="P354" s="41" t="str">
        <f aca="false">IF($A354="","",SUMIFS(业务流水!$H$5:$H$1504,业务流水!$E$5:$E$1504,$B$3,业务流水!$D$5:$D$1504,"扣质保金",业务流水!$C$5:$C$1504,$A354,业务流水!$Z$5:$Z$1504,"是"))</f>
        <v/>
      </c>
      <c r="Q354" s="48" t="str">
        <f aca="false">IF($A354="","",IF(SUM($C354:$F354)+SUM($K354:$M354)=0,"无","有"))</f>
        <v/>
      </c>
    </row>
    <row r="355" customFormat="false" ht="15.75" hidden="false" customHeight="true" outlineLevel="0" collapsed="false">
      <c r="A355" s="32" t="str">
        <f aca="false">IF(项目档案!$A355="","",项目档案!$A355)</f>
        <v/>
      </c>
      <c r="B355" s="40" t="str">
        <f aca="false">IF($A355="","",项目档案!$B355)</f>
        <v/>
      </c>
      <c r="C355" s="41" t="str">
        <f aca="false">IF($A355="","",SUMIFS(业务流水!$H$5:$H$1504,业务流水!$E$5:$E$1504,$B$3,业务流水!$D$5:$D$1504,"销项开票",业务流水!$C$5:$C$1504,$A355,业务流水!$Z$5:$Z$1504,"是"))</f>
        <v/>
      </c>
      <c r="D355" s="41" t="str">
        <f aca="false">IF($A355="","",SUMIFS(业务流水!$O$5:$O$1504,业务流水!$E$5:$E$1504,$B$3,业务流水!$D$5:$D$1504,"销项开票",业务流水!$C$5:$C$1504,$A355,业务流水!$Z$5:$Z$1504,"是"))</f>
        <v/>
      </c>
      <c r="E355" s="41" t="str">
        <f aca="false">IF($A355="","",SUMIFS(业务流水!$P$5:$P$1504,业务流水!$E$5:$E$1504,$B$3,业务流水!$D$5:$D$1504,"销项开票",业务流水!$C$5:$C$1504,$A355,业务流水!$Z$5:$Z$1504,"是"))</f>
        <v/>
      </c>
      <c r="F355" s="41" t="str">
        <f aca="false">IF($A355="","",SUMIFS(业务流水!$H$5:$H$1504,业务流水!$F$5:$F$1504,$B$3,业务流水!$D$5:$D$1504,"成本票",业务流水!$C$5:$C$1504,$A355,业务流水!$Z$5:$Z$1504,"是")+SUMIFS(业务流水!$H$5:$H$1504,业务流水!$F$5:$F$1504,$B$3,业务流水!$D$5:$D$1504,"销项开票",业务流水!$C$5:$C$1504,$A355,业务流水!$Z$5:$Z$1504,"是"))</f>
        <v/>
      </c>
      <c r="G355" s="42" t="str">
        <f aca="false">IF($A355="","",$E355-$F355)</f>
        <v/>
      </c>
      <c r="H355" s="41" t="str">
        <f aca="false">IF($A355="","",SUMIFS(业务流水!$W$5:$W$1504,业务流水!$E$5:$E$1504,$B$3,业务流水!$D$5:$D$1504,"销项开票",业务流水!$C$5:$C$1504,$A355,业务流水!$Z$5:$Z$1504,"是"))</f>
        <v/>
      </c>
      <c r="I355" s="41" t="str">
        <f aca="false">IF($A355="","",SUMIFS(业务流水!$H$5:$H$1504,业务流水!$E$5:$E$1504,$B$3,业务流水!$D$5:$D$1504,"已交税",业务流水!$C$5:$C$1504,$A355,业务流水!$Z$5:$Z$1504,"是"))</f>
        <v/>
      </c>
      <c r="J355" s="42" t="str">
        <f aca="false">IF($A355="","",$H355-$I355)</f>
        <v/>
      </c>
      <c r="K355" s="41" t="str">
        <f aca="false">IF($A355="","",SUMIFS(业务流水!$H$5:$H$1504,业务流水!$F$5:$F$1504,$B$3,业务流水!$D$5:$D$1504,"挂靠代收",业务流水!$C$5:$C$1504,$A355,业务流水!$Z$5:$Z$1504,"是"))</f>
        <v/>
      </c>
      <c r="L355" s="42" t="str">
        <f aca="false">IF($A355="","",$C355-$K355)</f>
        <v/>
      </c>
      <c r="M355" s="41" t="str">
        <f aca="false">IF($A355="","",SUMIFS(业务流水!$H$5:$H$1504,业务流水!$E$5:$E$1504,$B$3,业务流水!$D$5:$D$1504,"我方收款",业务流水!$C$5:$C$1504,$A355,业务流水!$Z$5:$Z$1504,"是"))</f>
        <v/>
      </c>
      <c r="N355" s="43" t="str">
        <f aca="false">IF($A355="","",$K355-$M355)</f>
        <v/>
      </c>
      <c r="O355" s="41" t="str">
        <f aca="false">IF($A355="","",SUMIFS(业务流水!$H$5:$H$1504,业务流水!$F$5:$F$1504,$B$3,业务流水!$D$5:$D$1504,"管理费结算",业务流水!$C$5:$C$1504,$A355,业务流水!$Z$5:$Z$1504,"是"))</f>
        <v/>
      </c>
      <c r="P355" s="41" t="str">
        <f aca="false">IF($A355="","",SUMIFS(业务流水!$H$5:$H$1504,业务流水!$E$5:$E$1504,$B$3,业务流水!$D$5:$D$1504,"扣质保金",业务流水!$C$5:$C$1504,$A355,业务流水!$Z$5:$Z$1504,"是"))</f>
        <v/>
      </c>
      <c r="Q355" s="48" t="str">
        <f aca="false">IF($A355="","",IF(SUM($C355:$F355)+SUM($K355:$M355)=0,"无","有"))</f>
        <v/>
      </c>
    </row>
    <row r="356" customFormat="false" ht="15.75" hidden="false" customHeight="true" outlineLevel="0" collapsed="false">
      <c r="A356" s="32" t="str">
        <f aca="false">IF(项目档案!$A356="","",项目档案!$A356)</f>
        <v/>
      </c>
      <c r="B356" s="40" t="str">
        <f aca="false">IF($A356="","",项目档案!$B356)</f>
        <v/>
      </c>
      <c r="C356" s="41" t="str">
        <f aca="false">IF($A356="","",SUMIFS(业务流水!$H$5:$H$1504,业务流水!$E$5:$E$1504,$B$3,业务流水!$D$5:$D$1504,"销项开票",业务流水!$C$5:$C$1504,$A356,业务流水!$Z$5:$Z$1504,"是"))</f>
        <v/>
      </c>
      <c r="D356" s="41" t="str">
        <f aca="false">IF($A356="","",SUMIFS(业务流水!$O$5:$O$1504,业务流水!$E$5:$E$1504,$B$3,业务流水!$D$5:$D$1504,"销项开票",业务流水!$C$5:$C$1504,$A356,业务流水!$Z$5:$Z$1504,"是"))</f>
        <v/>
      </c>
      <c r="E356" s="41" t="str">
        <f aca="false">IF($A356="","",SUMIFS(业务流水!$P$5:$P$1504,业务流水!$E$5:$E$1504,$B$3,业务流水!$D$5:$D$1504,"销项开票",业务流水!$C$5:$C$1504,$A356,业务流水!$Z$5:$Z$1504,"是"))</f>
        <v/>
      </c>
      <c r="F356" s="41" t="str">
        <f aca="false">IF($A356="","",SUMIFS(业务流水!$H$5:$H$1504,业务流水!$F$5:$F$1504,$B$3,业务流水!$D$5:$D$1504,"成本票",业务流水!$C$5:$C$1504,$A356,业务流水!$Z$5:$Z$1504,"是")+SUMIFS(业务流水!$H$5:$H$1504,业务流水!$F$5:$F$1504,$B$3,业务流水!$D$5:$D$1504,"销项开票",业务流水!$C$5:$C$1504,$A356,业务流水!$Z$5:$Z$1504,"是"))</f>
        <v/>
      </c>
      <c r="G356" s="42" t="str">
        <f aca="false">IF($A356="","",$E356-$F356)</f>
        <v/>
      </c>
      <c r="H356" s="41" t="str">
        <f aca="false">IF($A356="","",SUMIFS(业务流水!$W$5:$W$1504,业务流水!$E$5:$E$1504,$B$3,业务流水!$D$5:$D$1504,"销项开票",业务流水!$C$5:$C$1504,$A356,业务流水!$Z$5:$Z$1504,"是"))</f>
        <v/>
      </c>
      <c r="I356" s="41" t="str">
        <f aca="false">IF($A356="","",SUMIFS(业务流水!$H$5:$H$1504,业务流水!$E$5:$E$1504,$B$3,业务流水!$D$5:$D$1504,"已交税",业务流水!$C$5:$C$1504,$A356,业务流水!$Z$5:$Z$1504,"是"))</f>
        <v/>
      </c>
      <c r="J356" s="42" t="str">
        <f aca="false">IF($A356="","",$H356-$I356)</f>
        <v/>
      </c>
      <c r="K356" s="41" t="str">
        <f aca="false">IF($A356="","",SUMIFS(业务流水!$H$5:$H$1504,业务流水!$F$5:$F$1504,$B$3,业务流水!$D$5:$D$1504,"挂靠代收",业务流水!$C$5:$C$1504,$A356,业务流水!$Z$5:$Z$1504,"是"))</f>
        <v/>
      </c>
      <c r="L356" s="42" t="str">
        <f aca="false">IF($A356="","",$C356-$K356)</f>
        <v/>
      </c>
      <c r="M356" s="41" t="str">
        <f aca="false">IF($A356="","",SUMIFS(业务流水!$H$5:$H$1504,业务流水!$E$5:$E$1504,$B$3,业务流水!$D$5:$D$1504,"我方收款",业务流水!$C$5:$C$1504,$A356,业务流水!$Z$5:$Z$1504,"是"))</f>
        <v/>
      </c>
      <c r="N356" s="43" t="str">
        <f aca="false">IF($A356="","",$K356-$M356)</f>
        <v/>
      </c>
      <c r="O356" s="41" t="str">
        <f aca="false">IF($A356="","",SUMIFS(业务流水!$H$5:$H$1504,业务流水!$F$5:$F$1504,$B$3,业务流水!$D$5:$D$1504,"管理费结算",业务流水!$C$5:$C$1504,$A356,业务流水!$Z$5:$Z$1504,"是"))</f>
        <v/>
      </c>
      <c r="P356" s="41" t="str">
        <f aca="false">IF($A356="","",SUMIFS(业务流水!$H$5:$H$1504,业务流水!$E$5:$E$1504,$B$3,业务流水!$D$5:$D$1504,"扣质保金",业务流水!$C$5:$C$1504,$A356,业务流水!$Z$5:$Z$1504,"是"))</f>
        <v/>
      </c>
      <c r="Q356" s="48" t="str">
        <f aca="false">IF($A356="","",IF(SUM($C356:$F356)+SUM($K356:$M356)=0,"无","有"))</f>
        <v/>
      </c>
    </row>
    <row r="357" customFormat="false" ht="15.75" hidden="false" customHeight="true" outlineLevel="0" collapsed="false">
      <c r="A357" s="32" t="str">
        <f aca="false">IF(项目档案!$A357="","",项目档案!$A357)</f>
        <v/>
      </c>
      <c r="B357" s="40" t="str">
        <f aca="false">IF($A357="","",项目档案!$B357)</f>
        <v/>
      </c>
      <c r="C357" s="41" t="str">
        <f aca="false">IF($A357="","",SUMIFS(业务流水!$H$5:$H$1504,业务流水!$E$5:$E$1504,$B$3,业务流水!$D$5:$D$1504,"销项开票",业务流水!$C$5:$C$1504,$A357,业务流水!$Z$5:$Z$1504,"是"))</f>
        <v/>
      </c>
      <c r="D357" s="41" t="str">
        <f aca="false">IF($A357="","",SUMIFS(业务流水!$O$5:$O$1504,业务流水!$E$5:$E$1504,$B$3,业务流水!$D$5:$D$1504,"销项开票",业务流水!$C$5:$C$1504,$A357,业务流水!$Z$5:$Z$1504,"是"))</f>
        <v/>
      </c>
      <c r="E357" s="41" t="str">
        <f aca="false">IF($A357="","",SUMIFS(业务流水!$P$5:$P$1504,业务流水!$E$5:$E$1504,$B$3,业务流水!$D$5:$D$1504,"销项开票",业务流水!$C$5:$C$1504,$A357,业务流水!$Z$5:$Z$1504,"是"))</f>
        <v/>
      </c>
      <c r="F357" s="41" t="str">
        <f aca="false">IF($A357="","",SUMIFS(业务流水!$H$5:$H$1504,业务流水!$F$5:$F$1504,$B$3,业务流水!$D$5:$D$1504,"成本票",业务流水!$C$5:$C$1504,$A357,业务流水!$Z$5:$Z$1504,"是")+SUMIFS(业务流水!$H$5:$H$1504,业务流水!$F$5:$F$1504,$B$3,业务流水!$D$5:$D$1504,"销项开票",业务流水!$C$5:$C$1504,$A357,业务流水!$Z$5:$Z$1504,"是"))</f>
        <v/>
      </c>
      <c r="G357" s="42" t="str">
        <f aca="false">IF($A357="","",$E357-$F357)</f>
        <v/>
      </c>
      <c r="H357" s="41" t="str">
        <f aca="false">IF($A357="","",SUMIFS(业务流水!$W$5:$W$1504,业务流水!$E$5:$E$1504,$B$3,业务流水!$D$5:$D$1504,"销项开票",业务流水!$C$5:$C$1504,$A357,业务流水!$Z$5:$Z$1504,"是"))</f>
        <v/>
      </c>
      <c r="I357" s="41" t="str">
        <f aca="false">IF($A357="","",SUMIFS(业务流水!$H$5:$H$1504,业务流水!$E$5:$E$1504,$B$3,业务流水!$D$5:$D$1504,"已交税",业务流水!$C$5:$C$1504,$A357,业务流水!$Z$5:$Z$1504,"是"))</f>
        <v/>
      </c>
      <c r="J357" s="42" t="str">
        <f aca="false">IF($A357="","",$H357-$I357)</f>
        <v/>
      </c>
      <c r="K357" s="41" t="str">
        <f aca="false">IF($A357="","",SUMIFS(业务流水!$H$5:$H$1504,业务流水!$F$5:$F$1504,$B$3,业务流水!$D$5:$D$1504,"挂靠代收",业务流水!$C$5:$C$1504,$A357,业务流水!$Z$5:$Z$1504,"是"))</f>
        <v/>
      </c>
      <c r="L357" s="42" t="str">
        <f aca="false">IF($A357="","",$C357-$K357)</f>
        <v/>
      </c>
      <c r="M357" s="41" t="str">
        <f aca="false">IF($A357="","",SUMIFS(业务流水!$H$5:$H$1504,业务流水!$E$5:$E$1504,$B$3,业务流水!$D$5:$D$1504,"我方收款",业务流水!$C$5:$C$1504,$A357,业务流水!$Z$5:$Z$1504,"是"))</f>
        <v/>
      </c>
      <c r="N357" s="43" t="str">
        <f aca="false">IF($A357="","",$K357-$M357)</f>
        <v/>
      </c>
      <c r="O357" s="41" t="str">
        <f aca="false">IF($A357="","",SUMIFS(业务流水!$H$5:$H$1504,业务流水!$F$5:$F$1504,$B$3,业务流水!$D$5:$D$1504,"管理费结算",业务流水!$C$5:$C$1504,$A357,业务流水!$Z$5:$Z$1504,"是"))</f>
        <v/>
      </c>
      <c r="P357" s="41" t="str">
        <f aca="false">IF($A357="","",SUMIFS(业务流水!$H$5:$H$1504,业务流水!$E$5:$E$1504,$B$3,业务流水!$D$5:$D$1504,"扣质保金",业务流水!$C$5:$C$1504,$A357,业务流水!$Z$5:$Z$1504,"是"))</f>
        <v/>
      </c>
      <c r="Q357" s="48" t="str">
        <f aca="false">IF($A357="","",IF(SUM($C357:$F357)+SUM($K357:$M357)=0,"无","有"))</f>
        <v/>
      </c>
    </row>
    <row r="358" customFormat="false" ht="15.75" hidden="false" customHeight="true" outlineLevel="0" collapsed="false">
      <c r="A358" s="32" t="str">
        <f aca="false">IF(项目档案!$A358="","",项目档案!$A358)</f>
        <v/>
      </c>
      <c r="B358" s="40" t="str">
        <f aca="false">IF($A358="","",项目档案!$B358)</f>
        <v/>
      </c>
      <c r="C358" s="41" t="str">
        <f aca="false">IF($A358="","",SUMIFS(业务流水!$H$5:$H$1504,业务流水!$E$5:$E$1504,$B$3,业务流水!$D$5:$D$1504,"销项开票",业务流水!$C$5:$C$1504,$A358,业务流水!$Z$5:$Z$1504,"是"))</f>
        <v/>
      </c>
      <c r="D358" s="41" t="str">
        <f aca="false">IF($A358="","",SUMIFS(业务流水!$O$5:$O$1504,业务流水!$E$5:$E$1504,$B$3,业务流水!$D$5:$D$1504,"销项开票",业务流水!$C$5:$C$1504,$A358,业务流水!$Z$5:$Z$1504,"是"))</f>
        <v/>
      </c>
      <c r="E358" s="41" t="str">
        <f aca="false">IF($A358="","",SUMIFS(业务流水!$P$5:$P$1504,业务流水!$E$5:$E$1504,$B$3,业务流水!$D$5:$D$1504,"销项开票",业务流水!$C$5:$C$1504,$A358,业务流水!$Z$5:$Z$1504,"是"))</f>
        <v/>
      </c>
      <c r="F358" s="41" t="str">
        <f aca="false">IF($A358="","",SUMIFS(业务流水!$H$5:$H$1504,业务流水!$F$5:$F$1504,$B$3,业务流水!$D$5:$D$1504,"成本票",业务流水!$C$5:$C$1504,$A358,业务流水!$Z$5:$Z$1504,"是")+SUMIFS(业务流水!$H$5:$H$1504,业务流水!$F$5:$F$1504,$B$3,业务流水!$D$5:$D$1504,"销项开票",业务流水!$C$5:$C$1504,$A358,业务流水!$Z$5:$Z$1504,"是"))</f>
        <v/>
      </c>
      <c r="G358" s="42" t="str">
        <f aca="false">IF($A358="","",$E358-$F358)</f>
        <v/>
      </c>
      <c r="H358" s="41" t="str">
        <f aca="false">IF($A358="","",SUMIFS(业务流水!$W$5:$W$1504,业务流水!$E$5:$E$1504,$B$3,业务流水!$D$5:$D$1504,"销项开票",业务流水!$C$5:$C$1504,$A358,业务流水!$Z$5:$Z$1504,"是"))</f>
        <v/>
      </c>
      <c r="I358" s="41" t="str">
        <f aca="false">IF($A358="","",SUMIFS(业务流水!$H$5:$H$1504,业务流水!$E$5:$E$1504,$B$3,业务流水!$D$5:$D$1504,"已交税",业务流水!$C$5:$C$1504,$A358,业务流水!$Z$5:$Z$1504,"是"))</f>
        <v/>
      </c>
      <c r="J358" s="42" t="str">
        <f aca="false">IF($A358="","",$H358-$I358)</f>
        <v/>
      </c>
      <c r="K358" s="41" t="str">
        <f aca="false">IF($A358="","",SUMIFS(业务流水!$H$5:$H$1504,业务流水!$F$5:$F$1504,$B$3,业务流水!$D$5:$D$1504,"挂靠代收",业务流水!$C$5:$C$1504,$A358,业务流水!$Z$5:$Z$1504,"是"))</f>
        <v/>
      </c>
      <c r="L358" s="42" t="str">
        <f aca="false">IF($A358="","",$C358-$K358)</f>
        <v/>
      </c>
      <c r="M358" s="41" t="str">
        <f aca="false">IF($A358="","",SUMIFS(业务流水!$H$5:$H$1504,业务流水!$E$5:$E$1504,$B$3,业务流水!$D$5:$D$1504,"我方收款",业务流水!$C$5:$C$1504,$A358,业务流水!$Z$5:$Z$1504,"是"))</f>
        <v/>
      </c>
      <c r="N358" s="43" t="str">
        <f aca="false">IF($A358="","",$K358-$M358)</f>
        <v/>
      </c>
      <c r="O358" s="41" t="str">
        <f aca="false">IF($A358="","",SUMIFS(业务流水!$H$5:$H$1504,业务流水!$F$5:$F$1504,$B$3,业务流水!$D$5:$D$1504,"管理费结算",业务流水!$C$5:$C$1504,$A358,业务流水!$Z$5:$Z$1504,"是"))</f>
        <v/>
      </c>
      <c r="P358" s="41" t="str">
        <f aca="false">IF($A358="","",SUMIFS(业务流水!$H$5:$H$1504,业务流水!$E$5:$E$1504,$B$3,业务流水!$D$5:$D$1504,"扣质保金",业务流水!$C$5:$C$1504,$A358,业务流水!$Z$5:$Z$1504,"是"))</f>
        <v/>
      </c>
      <c r="Q358" s="48" t="str">
        <f aca="false">IF($A358="","",IF(SUM($C358:$F358)+SUM($K358:$M358)=0,"无","有"))</f>
        <v/>
      </c>
    </row>
    <row r="359" customFormat="false" ht="15.75" hidden="false" customHeight="true" outlineLevel="0" collapsed="false">
      <c r="A359" s="32" t="str">
        <f aca="false">IF(项目档案!$A359="","",项目档案!$A359)</f>
        <v/>
      </c>
      <c r="B359" s="40" t="str">
        <f aca="false">IF($A359="","",项目档案!$B359)</f>
        <v/>
      </c>
      <c r="C359" s="41" t="str">
        <f aca="false">IF($A359="","",SUMIFS(业务流水!$H$5:$H$1504,业务流水!$E$5:$E$1504,$B$3,业务流水!$D$5:$D$1504,"销项开票",业务流水!$C$5:$C$1504,$A359,业务流水!$Z$5:$Z$1504,"是"))</f>
        <v/>
      </c>
      <c r="D359" s="41" t="str">
        <f aca="false">IF($A359="","",SUMIFS(业务流水!$O$5:$O$1504,业务流水!$E$5:$E$1504,$B$3,业务流水!$D$5:$D$1504,"销项开票",业务流水!$C$5:$C$1504,$A359,业务流水!$Z$5:$Z$1504,"是"))</f>
        <v/>
      </c>
      <c r="E359" s="41" t="str">
        <f aca="false">IF($A359="","",SUMIFS(业务流水!$P$5:$P$1504,业务流水!$E$5:$E$1504,$B$3,业务流水!$D$5:$D$1504,"销项开票",业务流水!$C$5:$C$1504,$A359,业务流水!$Z$5:$Z$1504,"是"))</f>
        <v/>
      </c>
      <c r="F359" s="41" t="str">
        <f aca="false">IF($A359="","",SUMIFS(业务流水!$H$5:$H$1504,业务流水!$F$5:$F$1504,$B$3,业务流水!$D$5:$D$1504,"成本票",业务流水!$C$5:$C$1504,$A359,业务流水!$Z$5:$Z$1504,"是")+SUMIFS(业务流水!$H$5:$H$1504,业务流水!$F$5:$F$1504,$B$3,业务流水!$D$5:$D$1504,"销项开票",业务流水!$C$5:$C$1504,$A359,业务流水!$Z$5:$Z$1504,"是"))</f>
        <v/>
      </c>
      <c r="G359" s="42" t="str">
        <f aca="false">IF($A359="","",$E359-$F359)</f>
        <v/>
      </c>
      <c r="H359" s="41" t="str">
        <f aca="false">IF($A359="","",SUMIFS(业务流水!$W$5:$W$1504,业务流水!$E$5:$E$1504,$B$3,业务流水!$D$5:$D$1504,"销项开票",业务流水!$C$5:$C$1504,$A359,业务流水!$Z$5:$Z$1504,"是"))</f>
        <v/>
      </c>
      <c r="I359" s="41" t="str">
        <f aca="false">IF($A359="","",SUMIFS(业务流水!$H$5:$H$1504,业务流水!$E$5:$E$1504,$B$3,业务流水!$D$5:$D$1504,"已交税",业务流水!$C$5:$C$1504,$A359,业务流水!$Z$5:$Z$1504,"是"))</f>
        <v/>
      </c>
      <c r="J359" s="42" t="str">
        <f aca="false">IF($A359="","",$H359-$I359)</f>
        <v/>
      </c>
      <c r="K359" s="41" t="str">
        <f aca="false">IF($A359="","",SUMIFS(业务流水!$H$5:$H$1504,业务流水!$F$5:$F$1504,$B$3,业务流水!$D$5:$D$1504,"挂靠代收",业务流水!$C$5:$C$1504,$A359,业务流水!$Z$5:$Z$1504,"是"))</f>
        <v/>
      </c>
      <c r="L359" s="42" t="str">
        <f aca="false">IF($A359="","",$C359-$K359)</f>
        <v/>
      </c>
      <c r="M359" s="41" t="str">
        <f aca="false">IF($A359="","",SUMIFS(业务流水!$H$5:$H$1504,业务流水!$E$5:$E$1504,$B$3,业务流水!$D$5:$D$1504,"我方收款",业务流水!$C$5:$C$1504,$A359,业务流水!$Z$5:$Z$1504,"是"))</f>
        <v/>
      </c>
      <c r="N359" s="43" t="str">
        <f aca="false">IF($A359="","",$K359-$M359)</f>
        <v/>
      </c>
      <c r="O359" s="41" t="str">
        <f aca="false">IF($A359="","",SUMIFS(业务流水!$H$5:$H$1504,业务流水!$F$5:$F$1504,$B$3,业务流水!$D$5:$D$1504,"管理费结算",业务流水!$C$5:$C$1504,$A359,业务流水!$Z$5:$Z$1504,"是"))</f>
        <v/>
      </c>
      <c r="P359" s="41" t="str">
        <f aca="false">IF($A359="","",SUMIFS(业务流水!$H$5:$H$1504,业务流水!$E$5:$E$1504,$B$3,业务流水!$D$5:$D$1504,"扣质保金",业务流水!$C$5:$C$1504,$A359,业务流水!$Z$5:$Z$1504,"是"))</f>
        <v/>
      </c>
      <c r="Q359" s="48" t="str">
        <f aca="false">IF($A359="","",IF(SUM($C359:$F359)+SUM($K359:$M359)=0,"无","有"))</f>
        <v/>
      </c>
    </row>
    <row r="360" customFormat="false" ht="15.75" hidden="false" customHeight="true" outlineLevel="0" collapsed="false">
      <c r="A360" s="32" t="str">
        <f aca="false">IF(项目档案!$A360="","",项目档案!$A360)</f>
        <v/>
      </c>
      <c r="B360" s="40" t="str">
        <f aca="false">IF($A360="","",项目档案!$B360)</f>
        <v/>
      </c>
      <c r="C360" s="41" t="str">
        <f aca="false">IF($A360="","",SUMIFS(业务流水!$H$5:$H$1504,业务流水!$E$5:$E$1504,$B$3,业务流水!$D$5:$D$1504,"销项开票",业务流水!$C$5:$C$1504,$A360,业务流水!$Z$5:$Z$1504,"是"))</f>
        <v/>
      </c>
      <c r="D360" s="41" t="str">
        <f aca="false">IF($A360="","",SUMIFS(业务流水!$O$5:$O$1504,业务流水!$E$5:$E$1504,$B$3,业务流水!$D$5:$D$1504,"销项开票",业务流水!$C$5:$C$1504,$A360,业务流水!$Z$5:$Z$1504,"是"))</f>
        <v/>
      </c>
      <c r="E360" s="41" t="str">
        <f aca="false">IF($A360="","",SUMIFS(业务流水!$P$5:$P$1504,业务流水!$E$5:$E$1504,$B$3,业务流水!$D$5:$D$1504,"销项开票",业务流水!$C$5:$C$1504,$A360,业务流水!$Z$5:$Z$1504,"是"))</f>
        <v/>
      </c>
      <c r="F360" s="41" t="str">
        <f aca="false">IF($A360="","",SUMIFS(业务流水!$H$5:$H$1504,业务流水!$F$5:$F$1504,$B$3,业务流水!$D$5:$D$1504,"成本票",业务流水!$C$5:$C$1504,$A360,业务流水!$Z$5:$Z$1504,"是")+SUMIFS(业务流水!$H$5:$H$1504,业务流水!$F$5:$F$1504,$B$3,业务流水!$D$5:$D$1504,"销项开票",业务流水!$C$5:$C$1504,$A360,业务流水!$Z$5:$Z$1504,"是"))</f>
        <v/>
      </c>
      <c r="G360" s="42" t="str">
        <f aca="false">IF($A360="","",$E360-$F360)</f>
        <v/>
      </c>
      <c r="H360" s="41" t="str">
        <f aca="false">IF($A360="","",SUMIFS(业务流水!$W$5:$W$1504,业务流水!$E$5:$E$1504,$B$3,业务流水!$D$5:$D$1504,"销项开票",业务流水!$C$5:$C$1504,$A360,业务流水!$Z$5:$Z$1504,"是"))</f>
        <v/>
      </c>
      <c r="I360" s="41" t="str">
        <f aca="false">IF($A360="","",SUMIFS(业务流水!$H$5:$H$1504,业务流水!$E$5:$E$1504,$B$3,业务流水!$D$5:$D$1504,"已交税",业务流水!$C$5:$C$1504,$A360,业务流水!$Z$5:$Z$1504,"是"))</f>
        <v/>
      </c>
      <c r="J360" s="42" t="str">
        <f aca="false">IF($A360="","",$H360-$I360)</f>
        <v/>
      </c>
      <c r="K360" s="41" t="str">
        <f aca="false">IF($A360="","",SUMIFS(业务流水!$H$5:$H$1504,业务流水!$F$5:$F$1504,$B$3,业务流水!$D$5:$D$1504,"挂靠代收",业务流水!$C$5:$C$1504,$A360,业务流水!$Z$5:$Z$1504,"是"))</f>
        <v/>
      </c>
      <c r="L360" s="42" t="str">
        <f aca="false">IF($A360="","",$C360-$K360)</f>
        <v/>
      </c>
      <c r="M360" s="41" t="str">
        <f aca="false">IF($A360="","",SUMIFS(业务流水!$H$5:$H$1504,业务流水!$E$5:$E$1504,$B$3,业务流水!$D$5:$D$1504,"我方收款",业务流水!$C$5:$C$1504,$A360,业务流水!$Z$5:$Z$1504,"是"))</f>
        <v/>
      </c>
      <c r="N360" s="43" t="str">
        <f aca="false">IF($A360="","",$K360-$M360)</f>
        <v/>
      </c>
      <c r="O360" s="41" t="str">
        <f aca="false">IF($A360="","",SUMIFS(业务流水!$H$5:$H$1504,业务流水!$F$5:$F$1504,$B$3,业务流水!$D$5:$D$1504,"管理费结算",业务流水!$C$5:$C$1504,$A360,业务流水!$Z$5:$Z$1504,"是"))</f>
        <v/>
      </c>
      <c r="P360" s="41" t="str">
        <f aca="false">IF($A360="","",SUMIFS(业务流水!$H$5:$H$1504,业务流水!$E$5:$E$1504,$B$3,业务流水!$D$5:$D$1504,"扣质保金",业务流水!$C$5:$C$1504,$A360,业务流水!$Z$5:$Z$1504,"是"))</f>
        <v/>
      </c>
      <c r="Q360" s="48" t="str">
        <f aca="false">IF($A360="","",IF(SUM($C360:$F360)+SUM($K360:$M360)=0,"无","有"))</f>
        <v/>
      </c>
    </row>
    <row r="361" customFormat="false" ht="15.75" hidden="false" customHeight="true" outlineLevel="0" collapsed="false">
      <c r="A361" s="32" t="str">
        <f aca="false">IF(项目档案!$A361="","",项目档案!$A361)</f>
        <v/>
      </c>
      <c r="B361" s="40" t="str">
        <f aca="false">IF($A361="","",项目档案!$B361)</f>
        <v/>
      </c>
      <c r="C361" s="41" t="str">
        <f aca="false">IF($A361="","",SUMIFS(业务流水!$H$5:$H$1504,业务流水!$E$5:$E$1504,$B$3,业务流水!$D$5:$D$1504,"销项开票",业务流水!$C$5:$C$1504,$A361,业务流水!$Z$5:$Z$1504,"是"))</f>
        <v/>
      </c>
      <c r="D361" s="41" t="str">
        <f aca="false">IF($A361="","",SUMIFS(业务流水!$O$5:$O$1504,业务流水!$E$5:$E$1504,$B$3,业务流水!$D$5:$D$1504,"销项开票",业务流水!$C$5:$C$1504,$A361,业务流水!$Z$5:$Z$1504,"是"))</f>
        <v/>
      </c>
      <c r="E361" s="41" t="str">
        <f aca="false">IF($A361="","",SUMIFS(业务流水!$P$5:$P$1504,业务流水!$E$5:$E$1504,$B$3,业务流水!$D$5:$D$1504,"销项开票",业务流水!$C$5:$C$1504,$A361,业务流水!$Z$5:$Z$1504,"是"))</f>
        <v/>
      </c>
      <c r="F361" s="41" t="str">
        <f aca="false">IF($A361="","",SUMIFS(业务流水!$H$5:$H$1504,业务流水!$F$5:$F$1504,$B$3,业务流水!$D$5:$D$1504,"成本票",业务流水!$C$5:$C$1504,$A361,业务流水!$Z$5:$Z$1504,"是")+SUMIFS(业务流水!$H$5:$H$1504,业务流水!$F$5:$F$1504,$B$3,业务流水!$D$5:$D$1504,"销项开票",业务流水!$C$5:$C$1504,$A361,业务流水!$Z$5:$Z$1504,"是"))</f>
        <v/>
      </c>
      <c r="G361" s="42" t="str">
        <f aca="false">IF($A361="","",$E361-$F361)</f>
        <v/>
      </c>
      <c r="H361" s="41" t="str">
        <f aca="false">IF($A361="","",SUMIFS(业务流水!$W$5:$W$1504,业务流水!$E$5:$E$1504,$B$3,业务流水!$D$5:$D$1504,"销项开票",业务流水!$C$5:$C$1504,$A361,业务流水!$Z$5:$Z$1504,"是"))</f>
        <v/>
      </c>
      <c r="I361" s="41" t="str">
        <f aca="false">IF($A361="","",SUMIFS(业务流水!$H$5:$H$1504,业务流水!$E$5:$E$1504,$B$3,业务流水!$D$5:$D$1504,"已交税",业务流水!$C$5:$C$1504,$A361,业务流水!$Z$5:$Z$1504,"是"))</f>
        <v/>
      </c>
      <c r="J361" s="42" t="str">
        <f aca="false">IF($A361="","",$H361-$I361)</f>
        <v/>
      </c>
      <c r="K361" s="41" t="str">
        <f aca="false">IF($A361="","",SUMIFS(业务流水!$H$5:$H$1504,业务流水!$F$5:$F$1504,$B$3,业务流水!$D$5:$D$1504,"挂靠代收",业务流水!$C$5:$C$1504,$A361,业务流水!$Z$5:$Z$1504,"是"))</f>
        <v/>
      </c>
      <c r="L361" s="42" t="str">
        <f aca="false">IF($A361="","",$C361-$K361)</f>
        <v/>
      </c>
      <c r="M361" s="41" t="str">
        <f aca="false">IF($A361="","",SUMIFS(业务流水!$H$5:$H$1504,业务流水!$E$5:$E$1504,$B$3,业务流水!$D$5:$D$1504,"我方收款",业务流水!$C$5:$C$1504,$A361,业务流水!$Z$5:$Z$1504,"是"))</f>
        <v/>
      </c>
      <c r="N361" s="43" t="str">
        <f aca="false">IF($A361="","",$K361-$M361)</f>
        <v/>
      </c>
      <c r="O361" s="41" t="str">
        <f aca="false">IF($A361="","",SUMIFS(业务流水!$H$5:$H$1504,业务流水!$F$5:$F$1504,$B$3,业务流水!$D$5:$D$1504,"管理费结算",业务流水!$C$5:$C$1504,$A361,业务流水!$Z$5:$Z$1504,"是"))</f>
        <v/>
      </c>
      <c r="P361" s="41" t="str">
        <f aca="false">IF($A361="","",SUMIFS(业务流水!$H$5:$H$1504,业务流水!$E$5:$E$1504,$B$3,业务流水!$D$5:$D$1504,"扣质保金",业务流水!$C$5:$C$1504,$A361,业务流水!$Z$5:$Z$1504,"是"))</f>
        <v/>
      </c>
      <c r="Q361" s="48" t="str">
        <f aca="false">IF($A361="","",IF(SUM($C361:$F361)+SUM($K361:$M361)=0,"无","有"))</f>
        <v/>
      </c>
    </row>
    <row r="362" customFormat="false" ht="15.75" hidden="false" customHeight="true" outlineLevel="0" collapsed="false">
      <c r="A362" s="32" t="str">
        <f aca="false">IF(项目档案!$A362="","",项目档案!$A362)</f>
        <v/>
      </c>
      <c r="B362" s="40" t="str">
        <f aca="false">IF($A362="","",项目档案!$B362)</f>
        <v/>
      </c>
      <c r="C362" s="41" t="str">
        <f aca="false">IF($A362="","",SUMIFS(业务流水!$H$5:$H$1504,业务流水!$E$5:$E$1504,$B$3,业务流水!$D$5:$D$1504,"销项开票",业务流水!$C$5:$C$1504,$A362,业务流水!$Z$5:$Z$1504,"是"))</f>
        <v/>
      </c>
      <c r="D362" s="41" t="str">
        <f aca="false">IF($A362="","",SUMIFS(业务流水!$O$5:$O$1504,业务流水!$E$5:$E$1504,$B$3,业务流水!$D$5:$D$1504,"销项开票",业务流水!$C$5:$C$1504,$A362,业务流水!$Z$5:$Z$1504,"是"))</f>
        <v/>
      </c>
      <c r="E362" s="41" t="str">
        <f aca="false">IF($A362="","",SUMIFS(业务流水!$P$5:$P$1504,业务流水!$E$5:$E$1504,$B$3,业务流水!$D$5:$D$1504,"销项开票",业务流水!$C$5:$C$1504,$A362,业务流水!$Z$5:$Z$1504,"是"))</f>
        <v/>
      </c>
      <c r="F362" s="41" t="str">
        <f aca="false">IF($A362="","",SUMIFS(业务流水!$H$5:$H$1504,业务流水!$F$5:$F$1504,$B$3,业务流水!$D$5:$D$1504,"成本票",业务流水!$C$5:$C$1504,$A362,业务流水!$Z$5:$Z$1504,"是")+SUMIFS(业务流水!$H$5:$H$1504,业务流水!$F$5:$F$1504,$B$3,业务流水!$D$5:$D$1504,"销项开票",业务流水!$C$5:$C$1504,$A362,业务流水!$Z$5:$Z$1504,"是"))</f>
        <v/>
      </c>
      <c r="G362" s="42" t="str">
        <f aca="false">IF($A362="","",$E362-$F362)</f>
        <v/>
      </c>
      <c r="H362" s="41" t="str">
        <f aca="false">IF($A362="","",SUMIFS(业务流水!$W$5:$W$1504,业务流水!$E$5:$E$1504,$B$3,业务流水!$D$5:$D$1504,"销项开票",业务流水!$C$5:$C$1504,$A362,业务流水!$Z$5:$Z$1504,"是"))</f>
        <v/>
      </c>
      <c r="I362" s="41" t="str">
        <f aca="false">IF($A362="","",SUMIFS(业务流水!$H$5:$H$1504,业务流水!$E$5:$E$1504,$B$3,业务流水!$D$5:$D$1504,"已交税",业务流水!$C$5:$C$1504,$A362,业务流水!$Z$5:$Z$1504,"是"))</f>
        <v/>
      </c>
      <c r="J362" s="42" t="str">
        <f aca="false">IF($A362="","",$H362-$I362)</f>
        <v/>
      </c>
      <c r="K362" s="41" t="str">
        <f aca="false">IF($A362="","",SUMIFS(业务流水!$H$5:$H$1504,业务流水!$F$5:$F$1504,$B$3,业务流水!$D$5:$D$1504,"挂靠代收",业务流水!$C$5:$C$1504,$A362,业务流水!$Z$5:$Z$1504,"是"))</f>
        <v/>
      </c>
      <c r="L362" s="42" t="str">
        <f aca="false">IF($A362="","",$C362-$K362)</f>
        <v/>
      </c>
      <c r="M362" s="41" t="str">
        <f aca="false">IF($A362="","",SUMIFS(业务流水!$H$5:$H$1504,业务流水!$E$5:$E$1504,$B$3,业务流水!$D$5:$D$1504,"我方收款",业务流水!$C$5:$C$1504,$A362,业务流水!$Z$5:$Z$1504,"是"))</f>
        <v/>
      </c>
      <c r="N362" s="43" t="str">
        <f aca="false">IF($A362="","",$K362-$M362)</f>
        <v/>
      </c>
      <c r="O362" s="41" t="str">
        <f aca="false">IF($A362="","",SUMIFS(业务流水!$H$5:$H$1504,业务流水!$F$5:$F$1504,$B$3,业务流水!$D$5:$D$1504,"管理费结算",业务流水!$C$5:$C$1504,$A362,业务流水!$Z$5:$Z$1504,"是"))</f>
        <v/>
      </c>
      <c r="P362" s="41" t="str">
        <f aca="false">IF($A362="","",SUMIFS(业务流水!$H$5:$H$1504,业务流水!$E$5:$E$1504,$B$3,业务流水!$D$5:$D$1504,"扣质保金",业务流水!$C$5:$C$1504,$A362,业务流水!$Z$5:$Z$1504,"是"))</f>
        <v/>
      </c>
      <c r="Q362" s="48" t="str">
        <f aca="false">IF($A362="","",IF(SUM($C362:$F362)+SUM($K362:$M362)=0,"无","有"))</f>
        <v/>
      </c>
    </row>
    <row r="363" customFormat="false" ht="15.75" hidden="false" customHeight="true" outlineLevel="0" collapsed="false">
      <c r="A363" s="32" t="str">
        <f aca="false">IF(项目档案!$A363="","",项目档案!$A363)</f>
        <v/>
      </c>
      <c r="B363" s="40" t="str">
        <f aca="false">IF($A363="","",项目档案!$B363)</f>
        <v/>
      </c>
      <c r="C363" s="41" t="str">
        <f aca="false">IF($A363="","",SUMIFS(业务流水!$H$5:$H$1504,业务流水!$E$5:$E$1504,$B$3,业务流水!$D$5:$D$1504,"销项开票",业务流水!$C$5:$C$1504,$A363,业务流水!$Z$5:$Z$1504,"是"))</f>
        <v/>
      </c>
      <c r="D363" s="41" t="str">
        <f aca="false">IF($A363="","",SUMIFS(业务流水!$O$5:$O$1504,业务流水!$E$5:$E$1504,$B$3,业务流水!$D$5:$D$1504,"销项开票",业务流水!$C$5:$C$1504,$A363,业务流水!$Z$5:$Z$1504,"是"))</f>
        <v/>
      </c>
      <c r="E363" s="41" t="str">
        <f aca="false">IF($A363="","",SUMIFS(业务流水!$P$5:$P$1504,业务流水!$E$5:$E$1504,$B$3,业务流水!$D$5:$D$1504,"销项开票",业务流水!$C$5:$C$1504,$A363,业务流水!$Z$5:$Z$1504,"是"))</f>
        <v/>
      </c>
      <c r="F363" s="41" t="str">
        <f aca="false">IF($A363="","",SUMIFS(业务流水!$H$5:$H$1504,业务流水!$F$5:$F$1504,$B$3,业务流水!$D$5:$D$1504,"成本票",业务流水!$C$5:$C$1504,$A363,业务流水!$Z$5:$Z$1504,"是")+SUMIFS(业务流水!$H$5:$H$1504,业务流水!$F$5:$F$1504,$B$3,业务流水!$D$5:$D$1504,"销项开票",业务流水!$C$5:$C$1504,$A363,业务流水!$Z$5:$Z$1504,"是"))</f>
        <v/>
      </c>
      <c r="G363" s="42" t="str">
        <f aca="false">IF($A363="","",$E363-$F363)</f>
        <v/>
      </c>
      <c r="H363" s="41" t="str">
        <f aca="false">IF($A363="","",SUMIFS(业务流水!$W$5:$W$1504,业务流水!$E$5:$E$1504,$B$3,业务流水!$D$5:$D$1504,"销项开票",业务流水!$C$5:$C$1504,$A363,业务流水!$Z$5:$Z$1504,"是"))</f>
        <v/>
      </c>
      <c r="I363" s="41" t="str">
        <f aca="false">IF($A363="","",SUMIFS(业务流水!$H$5:$H$1504,业务流水!$E$5:$E$1504,$B$3,业务流水!$D$5:$D$1504,"已交税",业务流水!$C$5:$C$1504,$A363,业务流水!$Z$5:$Z$1504,"是"))</f>
        <v/>
      </c>
      <c r="J363" s="42" t="str">
        <f aca="false">IF($A363="","",$H363-$I363)</f>
        <v/>
      </c>
      <c r="K363" s="41" t="str">
        <f aca="false">IF($A363="","",SUMIFS(业务流水!$H$5:$H$1504,业务流水!$F$5:$F$1504,$B$3,业务流水!$D$5:$D$1504,"挂靠代收",业务流水!$C$5:$C$1504,$A363,业务流水!$Z$5:$Z$1504,"是"))</f>
        <v/>
      </c>
      <c r="L363" s="42" t="str">
        <f aca="false">IF($A363="","",$C363-$K363)</f>
        <v/>
      </c>
      <c r="M363" s="41" t="str">
        <f aca="false">IF($A363="","",SUMIFS(业务流水!$H$5:$H$1504,业务流水!$E$5:$E$1504,$B$3,业务流水!$D$5:$D$1504,"我方收款",业务流水!$C$5:$C$1504,$A363,业务流水!$Z$5:$Z$1504,"是"))</f>
        <v/>
      </c>
      <c r="N363" s="43" t="str">
        <f aca="false">IF($A363="","",$K363-$M363)</f>
        <v/>
      </c>
      <c r="O363" s="41" t="str">
        <f aca="false">IF($A363="","",SUMIFS(业务流水!$H$5:$H$1504,业务流水!$F$5:$F$1504,$B$3,业务流水!$D$5:$D$1504,"管理费结算",业务流水!$C$5:$C$1504,$A363,业务流水!$Z$5:$Z$1504,"是"))</f>
        <v/>
      </c>
      <c r="P363" s="41" t="str">
        <f aca="false">IF($A363="","",SUMIFS(业务流水!$H$5:$H$1504,业务流水!$E$5:$E$1504,$B$3,业务流水!$D$5:$D$1504,"扣质保金",业务流水!$C$5:$C$1504,$A363,业务流水!$Z$5:$Z$1504,"是"))</f>
        <v/>
      </c>
      <c r="Q363" s="48" t="str">
        <f aca="false">IF($A363="","",IF(SUM($C363:$F363)+SUM($K363:$M363)=0,"无","有"))</f>
        <v/>
      </c>
    </row>
    <row r="364" customFormat="false" ht="15.75" hidden="false" customHeight="true" outlineLevel="0" collapsed="false">
      <c r="A364" s="32" t="str">
        <f aca="false">IF(项目档案!$A364="","",项目档案!$A364)</f>
        <v/>
      </c>
      <c r="B364" s="40" t="str">
        <f aca="false">IF($A364="","",项目档案!$B364)</f>
        <v/>
      </c>
      <c r="C364" s="41" t="str">
        <f aca="false">IF($A364="","",SUMIFS(业务流水!$H$5:$H$1504,业务流水!$E$5:$E$1504,$B$3,业务流水!$D$5:$D$1504,"销项开票",业务流水!$C$5:$C$1504,$A364,业务流水!$Z$5:$Z$1504,"是"))</f>
        <v/>
      </c>
      <c r="D364" s="41" t="str">
        <f aca="false">IF($A364="","",SUMIFS(业务流水!$O$5:$O$1504,业务流水!$E$5:$E$1504,$B$3,业务流水!$D$5:$D$1504,"销项开票",业务流水!$C$5:$C$1504,$A364,业务流水!$Z$5:$Z$1504,"是"))</f>
        <v/>
      </c>
      <c r="E364" s="41" t="str">
        <f aca="false">IF($A364="","",SUMIFS(业务流水!$P$5:$P$1504,业务流水!$E$5:$E$1504,$B$3,业务流水!$D$5:$D$1504,"销项开票",业务流水!$C$5:$C$1504,$A364,业务流水!$Z$5:$Z$1504,"是"))</f>
        <v/>
      </c>
      <c r="F364" s="41" t="str">
        <f aca="false">IF($A364="","",SUMIFS(业务流水!$H$5:$H$1504,业务流水!$F$5:$F$1504,$B$3,业务流水!$D$5:$D$1504,"成本票",业务流水!$C$5:$C$1504,$A364,业务流水!$Z$5:$Z$1504,"是")+SUMIFS(业务流水!$H$5:$H$1504,业务流水!$F$5:$F$1504,$B$3,业务流水!$D$5:$D$1504,"销项开票",业务流水!$C$5:$C$1504,$A364,业务流水!$Z$5:$Z$1504,"是"))</f>
        <v/>
      </c>
      <c r="G364" s="42" t="str">
        <f aca="false">IF($A364="","",$E364-$F364)</f>
        <v/>
      </c>
      <c r="H364" s="41" t="str">
        <f aca="false">IF($A364="","",SUMIFS(业务流水!$W$5:$W$1504,业务流水!$E$5:$E$1504,$B$3,业务流水!$D$5:$D$1504,"销项开票",业务流水!$C$5:$C$1504,$A364,业务流水!$Z$5:$Z$1504,"是"))</f>
        <v/>
      </c>
      <c r="I364" s="41" t="str">
        <f aca="false">IF($A364="","",SUMIFS(业务流水!$H$5:$H$1504,业务流水!$E$5:$E$1504,$B$3,业务流水!$D$5:$D$1504,"已交税",业务流水!$C$5:$C$1504,$A364,业务流水!$Z$5:$Z$1504,"是"))</f>
        <v/>
      </c>
      <c r="J364" s="42" t="str">
        <f aca="false">IF($A364="","",$H364-$I364)</f>
        <v/>
      </c>
      <c r="K364" s="41" t="str">
        <f aca="false">IF($A364="","",SUMIFS(业务流水!$H$5:$H$1504,业务流水!$F$5:$F$1504,$B$3,业务流水!$D$5:$D$1504,"挂靠代收",业务流水!$C$5:$C$1504,$A364,业务流水!$Z$5:$Z$1504,"是"))</f>
        <v/>
      </c>
      <c r="L364" s="42" t="str">
        <f aca="false">IF($A364="","",$C364-$K364)</f>
        <v/>
      </c>
      <c r="M364" s="41" t="str">
        <f aca="false">IF($A364="","",SUMIFS(业务流水!$H$5:$H$1504,业务流水!$E$5:$E$1504,$B$3,业务流水!$D$5:$D$1504,"我方收款",业务流水!$C$5:$C$1504,$A364,业务流水!$Z$5:$Z$1504,"是"))</f>
        <v/>
      </c>
      <c r="N364" s="43" t="str">
        <f aca="false">IF($A364="","",$K364-$M364)</f>
        <v/>
      </c>
      <c r="O364" s="41" t="str">
        <f aca="false">IF($A364="","",SUMIFS(业务流水!$H$5:$H$1504,业务流水!$F$5:$F$1504,$B$3,业务流水!$D$5:$D$1504,"管理费结算",业务流水!$C$5:$C$1504,$A364,业务流水!$Z$5:$Z$1504,"是"))</f>
        <v/>
      </c>
      <c r="P364" s="41" t="str">
        <f aca="false">IF($A364="","",SUMIFS(业务流水!$H$5:$H$1504,业务流水!$E$5:$E$1504,$B$3,业务流水!$D$5:$D$1504,"扣质保金",业务流水!$C$5:$C$1504,$A364,业务流水!$Z$5:$Z$1504,"是"))</f>
        <v/>
      </c>
      <c r="Q364" s="48" t="str">
        <f aca="false">IF($A364="","",IF(SUM($C364:$F364)+SUM($K364:$M364)=0,"无","有"))</f>
        <v/>
      </c>
    </row>
    <row r="365" customFormat="false" ht="15.75" hidden="false" customHeight="true" outlineLevel="0" collapsed="false">
      <c r="A365" s="32" t="str">
        <f aca="false">IF(项目档案!$A365="","",项目档案!$A365)</f>
        <v/>
      </c>
      <c r="B365" s="40" t="str">
        <f aca="false">IF($A365="","",项目档案!$B365)</f>
        <v/>
      </c>
      <c r="C365" s="41" t="str">
        <f aca="false">IF($A365="","",SUMIFS(业务流水!$H$5:$H$1504,业务流水!$E$5:$E$1504,$B$3,业务流水!$D$5:$D$1504,"销项开票",业务流水!$C$5:$C$1504,$A365,业务流水!$Z$5:$Z$1504,"是"))</f>
        <v/>
      </c>
      <c r="D365" s="41" t="str">
        <f aca="false">IF($A365="","",SUMIFS(业务流水!$O$5:$O$1504,业务流水!$E$5:$E$1504,$B$3,业务流水!$D$5:$D$1504,"销项开票",业务流水!$C$5:$C$1504,$A365,业务流水!$Z$5:$Z$1504,"是"))</f>
        <v/>
      </c>
      <c r="E365" s="41" t="str">
        <f aca="false">IF($A365="","",SUMIFS(业务流水!$P$5:$P$1504,业务流水!$E$5:$E$1504,$B$3,业务流水!$D$5:$D$1504,"销项开票",业务流水!$C$5:$C$1504,$A365,业务流水!$Z$5:$Z$1504,"是"))</f>
        <v/>
      </c>
      <c r="F365" s="41" t="str">
        <f aca="false">IF($A365="","",SUMIFS(业务流水!$H$5:$H$1504,业务流水!$F$5:$F$1504,$B$3,业务流水!$D$5:$D$1504,"成本票",业务流水!$C$5:$C$1504,$A365,业务流水!$Z$5:$Z$1504,"是")+SUMIFS(业务流水!$H$5:$H$1504,业务流水!$F$5:$F$1504,$B$3,业务流水!$D$5:$D$1504,"销项开票",业务流水!$C$5:$C$1504,$A365,业务流水!$Z$5:$Z$1504,"是"))</f>
        <v/>
      </c>
      <c r="G365" s="42" t="str">
        <f aca="false">IF($A365="","",$E365-$F365)</f>
        <v/>
      </c>
      <c r="H365" s="41" t="str">
        <f aca="false">IF($A365="","",SUMIFS(业务流水!$W$5:$W$1504,业务流水!$E$5:$E$1504,$B$3,业务流水!$D$5:$D$1504,"销项开票",业务流水!$C$5:$C$1504,$A365,业务流水!$Z$5:$Z$1504,"是"))</f>
        <v/>
      </c>
      <c r="I365" s="41" t="str">
        <f aca="false">IF($A365="","",SUMIFS(业务流水!$H$5:$H$1504,业务流水!$E$5:$E$1504,$B$3,业务流水!$D$5:$D$1504,"已交税",业务流水!$C$5:$C$1504,$A365,业务流水!$Z$5:$Z$1504,"是"))</f>
        <v/>
      </c>
      <c r="J365" s="42" t="str">
        <f aca="false">IF($A365="","",$H365-$I365)</f>
        <v/>
      </c>
      <c r="K365" s="41" t="str">
        <f aca="false">IF($A365="","",SUMIFS(业务流水!$H$5:$H$1504,业务流水!$F$5:$F$1504,$B$3,业务流水!$D$5:$D$1504,"挂靠代收",业务流水!$C$5:$C$1504,$A365,业务流水!$Z$5:$Z$1504,"是"))</f>
        <v/>
      </c>
      <c r="L365" s="42" t="str">
        <f aca="false">IF($A365="","",$C365-$K365)</f>
        <v/>
      </c>
      <c r="M365" s="41" t="str">
        <f aca="false">IF($A365="","",SUMIFS(业务流水!$H$5:$H$1504,业务流水!$E$5:$E$1504,$B$3,业务流水!$D$5:$D$1504,"我方收款",业务流水!$C$5:$C$1504,$A365,业务流水!$Z$5:$Z$1504,"是"))</f>
        <v/>
      </c>
      <c r="N365" s="43" t="str">
        <f aca="false">IF($A365="","",$K365-$M365)</f>
        <v/>
      </c>
      <c r="O365" s="41" t="str">
        <f aca="false">IF($A365="","",SUMIFS(业务流水!$H$5:$H$1504,业务流水!$F$5:$F$1504,$B$3,业务流水!$D$5:$D$1504,"管理费结算",业务流水!$C$5:$C$1504,$A365,业务流水!$Z$5:$Z$1504,"是"))</f>
        <v/>
      </c>
      <c r="P365" s="41" t="str">
        <f aca="false">IF($A365="","",SUMIFS(业务流水!$H$5:$H$1504,业务流水!$E$5:$E$1504,$B$3,业务流水!$D$5:$D$1504,"扣质保金",业务流水!$C$5:$C$1504,$A365,业务流水!$Z$5:$Z$1504,"是"))</f>
        <v/>
      </c>
      <c r="Q365" s="48" t="str">
        <f aca="false">IF($A365="","",IF(SUM($C365:$F365)+SUM($K365:$M365)=0,"无","有"))</f>
        <v/>
      </c>
    </row>
    <row r="366" customFormat="false" ht="15.75" hidden="false" customHeight="true" outlineLevel="0" collapsed="false">
      <c r="A366" s="32" t="str">
        <f aca="false">IF(项目档案!$A366="","",项目档案!$A366)</f>
        <v/>
      </c>
      <c r="B366" s="40" t="str">
        <f aca="false">IF($A366="","",项目档案!$B366)</f>
        <v/>
      </c>
      <c r="C366" s="41" t="str">
        <f aca="false">IF($A366="","",SUMIFS(业务流水!$H$5:$H$1504,业务流水!$E$5:$E$1504,$B$3,业务流水!$D$5:$D$1504,"销项开票",业务流水!$C$5:$C$1504,$A366,业务流水!$Z$5:$Z$1504,"是"))</f>
        <v/>
      </c>
      <c r="D366" s="41" t="str">
        <f aca="false">IF($A366="","",SUMIFS(业务流水!$O$5:$O$1504,业务流水!$E$5:$E$1504,$B$3,业务流水!$D$5:$D$1504,"销项开票",业务流水!$C$5:$C$1504,$A366,业务流水!$Z$5:$Z$1504,"是"))</f>
        <v/>
      </c>
      <c r="E366" s="41" t="str">
        <f aca="false">IF($A366="","",SUMIFS(业务流水!$P$5:$P$1504,业务流水!$E$5:$E$1504,$B$3,业务流水!$D$5:$D$1504,"销项开票",业务流水!$C$5:$C$1504,$A366,业务流水!$Z$5:$Z$1504,"是"))</f>
        <v/>
      </c>
      <c r="F366" s="41" t="str">
        <f aca="false">IF($A366="","",SUMIFS(业务流水!$H$5:$H$1504,业务流水!$F$5:$F$1504,$B$3,业务流水!$D$5:$D$1504,"成本票",业务流水!$C$5:$C$1504,$A366,业务流水!$Z$5:$Z$1504,"是")+SUMIFS(业务流水!$H$5:$H$1504,业务流水!$F$5:$F$1504,$B$3,业务流水!$D$5:$D$1504,"销项开票",业务流水!$C$5:$C$1504,$A366,业务流水!$Z$5:$Z$1504,"是"))</f>
        <v/>
      </c>
      <c r="G366" s="42" t="str">
        <f aca="false">IF($A366="","",$E366-$F366)</f>
        <v/>
      </c>
      <c r="H366" s="41" t="str">
        <f aca="false">IF($A366="","",SUMIFS(业务流水!$W$5:$W$1504,业务流水!$E$5:$E$1504,$B$3,业务流水!$D$5:$D$1504,"销项开票",业务流水!$C$5:$C$1504,$A366,业务流水!$Z$5:$Z$1504,"是"))</f>
        <v/>
      </c>
      <c r="I366" s="41" t="str">
        <f aca="false">IF($A366="","",SUMIFS(业务流水!$H$5:$H$1504,业务流水!$E$5:$E$1504,$B$3,业务流水!$D$5:$D$1504,"已交税",业务流水!$C$5:$C$1504,$A366,业务流水!$Z$5:$Z$1504,"是"))</f>
        <v/>
      </c>
      <c r="J366" s="42" t="str">
        <f aca="false">IF($A366="","",$H366-$I366)</f>
        <v/>
      </c>
      <c r="K366" s="41" t="str">
        <f aca="false">IF($A366="","",SUMIFS(业务流水!$H$5:$H$1504,业务流水!$F$5:$F$1504,$B$3,业务流水!$D$5:$D$1504,"挂靠代收",业务流水!$C$5:$C$1504,$A366,业务流水!$Z$5:$Z$1504,"是"))</f>
        <v/>
      </c>
      <c r="L366" s="42" t="str">
        <f aca="false">IF($A366="","",$C366-$K366)</f>
        <v/>
      </c>
      <c r="M366" s="41" t="str">
        <f aca="false">IF($A366="","",SUMIFS(业务流水!$H$5:$H$1504,业务流水!$E$5:$E$1504,$B$3,业务流水!$D$5:$D$1504,"我方收款",业务流水!$C$5:$C$1504,$A366,业务流水!$Z$5:$Z$1504,"是"))</f>
        <v/>
      </c>
      <c r="N366" s="43" t="str">
        <f aca="false">IF($A366="","",$K366-$M366)</f>
        <v/>
      </c>
      <c r="O366" s="41" t="str">
        <f aca="false">IF($A366="","",SUMIFS(业务流水!$H$5:$H$1504,业务流水!$F$5:$F$1504,$B$3,业务流水!$D$5:$D$1504,"管理费结算",业务流水!$C$5:$C$1504,$A366,业务流水!$Z$5:$Z$1504,"是"))</f>
        <v/>
      </c>
      <c r="P366" s="41" t="str">
        <f aca="false">IF($A366="","",SUMIFS(业务流水!$H$5:$H$1504,业务流水!$E$5:$E$1504,$B$3,业务流水!$D$5:$D$1504,"扣质保金",业务流水!$C$5:$C$1504,$A366,业务流水!$Z$5:$Z$1504,"是"))</f>
        <v/>
      </c>
      <c r="Q366" s="48" t="str">
        <f aca="false">IF($A366="","",IF(SUM($C366:$F366)+SUM($K366:$M366)=0,"无","有"))</f>
        <v/>
      </c>
    </row>
    <row r="367" customFormat="false" ht="15.75" hidden="false" customHeight="true" outlineLevel="0" collapsed="false">
      <c r="A367" s="32" t="str">
        <f aca="false">IF(项目档案!$A367="","",项目档案!$A367)</f>
        <v/>
      </c>
      <c r="B367" s="40" t="str">
        <f aca="false">IF($A367="","",项目档案!$B367)</f>
        <v/>
      </c>
      <c r="C367" s="41" t="str">
        <f aca="false">IF($A367="","",SUMIFS(业务流水!$H$5:$H$1504,业务流水!$E$5:$E$1504,$B$3,业务流水!$D$5:$D$1504,"销项开票",业务流水!$C$5:$C$1504,$A367,业务流水!$Z$5:$Z$1504,"是"))</f>
        <v/>
      </c>
      <c r="D367" s="41" t="str">
        <f aca="false">IF($A367="","",SUMIFS(业务流水!$O$5:$O$1504,业务流水!$E$5:$E$1504,$B$3,业务流水!$D$5:$D$1504,"销项开票",业务流水!$C$5:$C$1504,$A367,业务流水!$Z$5:$Z$1504,"是"))</f>
        <v/>
      </c>
      <c r="E367" s="41" t="str">
        <f aca="false">IF($A367="","",SUMIFS(业务流水!$P$5:$P$1504,业务流水!$E$5:$E$1504,$B$3,业务流水!$D$5:$D$1504,"销项开票",业务流水!$C$5:$C$1504,$A367,业务流水!$Z$5:$Z$1504,"是"))</f>
        <v/>
      </c>
      <c r="F367" s="41" t="str">
        <f aca="false">IF($A367="","",SUMIFS(业务流水!$H$5:$H$1504,业务流水!$F$5:$F$1504,$B$3,业务流水!$D$5:$D$1504,"成本票",业务流水!$C$5:$C$1504,$A367,业务流水!$Z$5:$Z$1504,"是")+SUMIFS(业务流水!$H$5:$H$1504,业务流水!$F$5:$F$1504,$B$3,业务流水!$D$5:$D$1504,"销项开票",业务流水!$C$5:$C$1504,$A367,业务流水!$Z$5:$Z$1504,"是"))</f>
        <v/>
      </c>
      <c r="G367" s="42" t="str">
        <f aca="false">IF($A367="","",$E367-$F367)</f>
        <v/>
      </c>
      <c r="H367" s="41" t="str">
        <f aca="false">IF($A367="","",SUMIFS(业务流水!$W$5:$W$1504,业务流水!$E$5:$E$1504,$B$3,业务流水!$D$5:$D$1504,"销项开票",业务流水!$C$5:$C$1504,$A367,业务流水!$Z$5:$Z$1504,"是"))</f>
        <v/>
      </c>
      <c r="I367" s="41" t="str">
        <f aca="false">IF($A367="","",SUMIFS(业务流水!$H$5:$H$1504,业务流水!$E$5:$E$1504,$B$3,业务流水!$D$5:$D$1504,"已交税",业务流水!$C$5:$C$1504,$A367,业务流水!$Z$5:$Z$1504,"是"))</f>
        <v/>
      </c>
      <c r="J367" s="42" t="str">
        <f aca="false">IF($A367="","",$H367-$I367)</f>
        <v/>
      </c>
      <c r="K367" s="41" t="str">
        <f aca="false">IF($A367="","",SUMIFS(业务流水!$H$5:$H$1504,业务流水!$F$5:$F$1504,$B$3,业务流水!$D$5:$D$1504,"挂靠代收",业务流水!$C$5:$C$1504,$A367,业务流水!$Z$5:$Z$1504,"是"))</f>
        <v/>
      </c>
      <c r="L367" s="42" t="str">
        <f aca="false">IF($A367="","",$C367-$K367)</f>
        <v/>
      </c>
      <c r="M367" s="41" t="str">
        <f aca="false">IF($A367="","",SUMIFS(业务流水!$H$5:$H$1504,业务流水!$E$5:$E$1504,$B$3,业务流水!$D$5:$D$1504,"我方收款",业务流水!$C$5:$C$1504,$A367,业务流水!$Z$5:$Z$1504,"是"))</f>
        <v/>
      </c>
      <c r="N367" s="43" t="str">
        <f aca="false">IF($A367="","",$K367-$M367)</f>
        <v/>
      </c>
      <c r="O367" s="41" t="str">
        <f aca="false">IF($A367="","",SUMIFS(业务流水!$H$5:$H$1504,业务流水!$F$5:$F$1504,$B$3,业务流水!$D$5:$D$1504,"管理费结算",业务流水!$C$5:$C$1504,$A367,业务流水!$Z$5:$Z$1504,"是"))</f>
        <v/>
      </c>
      <c r="P367" s="41" t="str">
        <f aca="false">IF($A367="","",SUMIFS(业务流水!$H$5:$H$1504,业务流水!$E$5:$E$1504,$B$3,业务流水!$D$5:$D$1504,"扣质保金",业务流水!$C$5:$C$1504,$A367,业务流水!$Z$5:$Z$1504,"是"))</f>
        <v/>
      </c>
      <c r="Q367" s="48" t="str">
        <f aca="false">IF($A367="","",IF(SUM($C367:$F367)+SUM($K367:$M367)=0,"无","有"))</f>
        <v/>
      </c>
    </row>
    <row r="368" customFormat="false" ht="15.75" hidden="false" customHeight="true" outlineLevel="0" collapsed="false">
      <c r="A368" s="32" t="str">
        <f aca="false">IF(项目档案!$A368="","",项目档案!$A368)</f>
        <v/>
      </c>
      <c r="B368" s="40" t="str">
        <f aca="false">IF($A368="","",项目档案!$B368)</f>
        <v/>
      </c>
      <c r="C368" s="41" t="str">
        <f aca="false">IF($A368="","",SUMIFS(业务流水!$H$5:$H$1504,业务流水!$E$5:$E$1504,$B$3,业务流水!$D$5:$D$1504,"销项开票",业务流水!$C$5:$C$1504,$A368,业务流水!$Z$5:$Z$1504,"是"))</f>
        <v/>
      </c>
      <c r="D368" s="41" t="str">
        <f aca="false">IF($A368="","",SUMIFS(业务流水!$O$5:$O$1504,业务流水!$E$5:$E$1504,$B$3,业务流水!$D$5:$D$1504,"销项开票",业务流水!$C$5:$C$1504,$A368,业务流水!$Z$5:$Z$1504,"是"))</f>
        <v/>
      </c>
      <c r="E368" s="41" t="str">
        <f aca="false">IF($A368="","",SUMIFS(业务流水!$P$5:$P$1504,业务流水!$E$5:$E$1504,$B$3,业务流水!$D$5:$D$1504,"销项开票",业务流水!$C$5:$C$1504,$A368,业务流水!$Z$5:$Z$1504,"是"))</f>
        <v/>
      </c>
      <c r="F368" s="41" t="str">
        <f aca="false">IF($A368="","",SUMIFS(业务流水!$H$5:$H$1504,业务流水!$F$5:$F$1504,$B$3,业务流水!$D$5:$D$1504,"成本票",业务流水!$C$5:$C$1504,$A368,业务流水!$Z$5:$Z$1504,"是")+SUMIFS(业务流水!$H$5:$H$1504,业务流水!$F$5:$F$1504,$B$3,业务流水!$D$5:$D$1504,"销项开票",业务流水!$C$5:$C$1504,$A368,业务流水!$Z$5:$Z$1504,"是"))</f>
        <v/>
      </c>
      <c r="G368" s="42" t="str">
        <f aca="false">IF($A368="","",$E368-$F368)</f>
        <v/>
      </c>
      <c r="H368" s="41" t="str">
        <f aca="false">IF($A368="","",SUMIFS(业务流水!$W$5:$W$1504,业务流水!$E$5:$E$1504,$B$3,业务流水!$D$5:$D$1504,"销项开票",业务流水!$C$5:$C$1504,$A368,业务流水!$Z$5:$Z$1504,"是"))</f>
        <v/>
      </c>
      <c r="I368" s="41" t="str">
        <f aca="false">IF($A368="","",SUMIFS(业务流水!$H$5:$H$1504,业务流水!$E$5:$E$1504,$B$3,业务流水!$D$5:$D$1504,"已交税",业务流水!$C$5:$C$1504,$A368,业务流水!$Z$5:$Z$1504,"是"))</f>
        <v/>
      </c>
      <c r="J368" s="42" t="str">
        <f aca="false">IF($A368="","",$H368-$I368)</f>
        <v/>
      </c>
      <c r="K368" s="41" t="str">
        <f aca="false">IF($A368="","",SUMIFS(业务流水!$H$5:$H$1504,业务流水!$F$5:$F$1504,$B$3,业务流水!$D$5:$D$1504,"挂靠代收",业务流水!$C$5:$C$1504,$A368,业务流水!$Z$5:$Z$1504,"是"))</f>
        <v/>
      </c>
      <c r="L368" s="42" t="str">
        <f aca="false">IF($A368="","",$C368-$K368)</f>
        <v/>
      </c>
      <c r="M368" s="41" t="str">
        <f aca="false">IF($A368="","",SUMIFS(业务流水!$H$5:$H$1504,业务流水!$E$5:$E$1504,$B$3,业务流水!$D$5:$D$1504,"我方收款",业务流水!$C$5:$C$1504,$A368,业务流水!$Z$5:$Z$1504,"是"))</f>
        <v/>
      </c>
      <c r="N368" s="43" t="str">
        <f aca="false">IF($A368="","",$K368-$M368)</f>
        <v/>
      </c>
      <c r="O368" s="41" t="str">
        <f aca="false">IF($A368="","",SUMIFS(业务流水!$H$5:$H$1504,业务流水!$F$5:$F$1504,$B$3,业务流水!$D$5:$D$1504,"管理费结算",业务流水!$C$5:$C$1504,$A368,业务流水!$Z$5:$Z$1504,"是"))</f>
        <v/>
      </c>
      <c r="P368" s="41" t="str">
        <f aca="false">IF($A368="","",SUMIFS(业务流水!$H$5:$H$1504,业务流水!$E$5:$E$1504,$B$3,业务流水!$D$5:$D$1504,"扣质保金",业务流水!$C$5:$C$1504,$A368,业务流水!$Z$5:$Z$1504,"是"))</f>
        <v/>
      </c>
      <c r="Q368" s="48" t="str">
        <f aca="false">IF($A368="","",IF(SUM($C368:$F368)+SUM($K368:$M368)=0,"无","有"))</f>
        <v/>
      </c>
    </row>
    <row r="369" customFormat="false" ht="15.75" hidden="false" customHeight="true" outlineLevel="0" collapsed="false">
      <c r="A369" s="32" t="str">
        <f aca="false">IF(项目档案!$A369="","",项目档案!$A369)</f>
        <v/>
      </c>
      <c r="B369" s="40" t="str">
        <f aca="false">IF($A369="","",项目档案!$B369)</f>
        <v/>
      </c>
      <c r="C369" s="41" t="str">
        <f aca="false">IF($A369="","",SUMIFS(业务流水!$H$5:$H$1504,业务流水!$E$5:$E$1504,$B$3,业务流水!$D$5:$D$1504,"销项开票",业务流水!$C$5:$C$1504,$A369,业务流水!$Z$5:$Z$1504,"是"))</f>
        <v/>
      </c>
      <c r="D369" s="41" t="str">
        <f aca="false">IF($A369="","",SUMIFS(业务流水!$O$5:$O$1504,业务流水!$E$5:$E$1504,$B$3,业务流水!$D$5:$D$1504,"销项开票",业务流水!$C$5:$C$1504,$A369,业务流水!$Z$5:$Z$1504,"是"))</f>
        <v/>
      </c>
      <c r="E369" s="41" t="str">
        <f aca="false">IF($A369="","",SUMIFS(业务流水!$P$5:$P$1504,业务流水!$E$5:$E$1504,$B$3,业务流水!$D$5:$D$1504,"销项开票",业务流水!$C$5:$C$1504,$A369,业务流水!$Z$5:$Z$1504,"是"))</f>
        <v/>
      </c>
      <c r="F369" s="41" t="str">
        <f aca="false">IF($A369="","",SUMIFS(业务流水!$H$5:$H$1504,业务流水!$F$5:$F$1504,$B$3,业务流水!$D$5:$D$1504,"成本票",业务流水!$C$5:$C$1504,$A369,业务流水!$Z$5:$Z$1504,"是")+SUMIFS(业务流水!$H$5:$H$1504,业务流水!$F$5:$F$1504,$B$3,业务流水!$D$5:$D$1504,"销项开票",业务流水!$C$5:$C$1504,$A369,业务流水!$Z$5:$Z$1504,"是"))</f>
        <v/>
      </c>
      <c r="G369" s="42" t="str">
        <f aca="false">IF($A369="","",$E369-$F369)</f>
        <v/>
      </c>
      <c r="H369" s="41" t="str">
        <f aca="false">IF($A369="","",SUMIFS(业务流水!$W$5:$W$1504,业务流水!$E$5:$E$1504,$B$3,业务流水!$D$5:$D$1504,"销项开票",业务流水!$C$5:$C$1504,$A369,业务流水!$Z$5:$Z$1504,"是"))</f>
        <v/>
      </c>
      <c r="I369" s="41" t="str">
        <f aca="false">IF($A369="","",SUMIFS(业务流水!$H$5:$H$1504,业务流水!$E$5:$E$1504,$B$3,业务流水!$D$5:$D$1504,"已交税",业务流水!$C$5:$C$1504,$A369,业务流水!$Z$5:$Z$1504,"是"))</f>
        <v/>
      </c>
      <c r="J369" s="42" t="str">
        <f aca="false">IF($A369="","",$H369-$I369)</f>
        <v/>
      </c>
      <c r="K369" s="41" t="str">
        <f aca="false">IF($A369="","",SUMIFS(业务流水!$H$5:$H$1504,业务流水!$F$5:$F$1504,$B$3,业务流水!$D$5:$D$1504,"挂靠代收",业务流水!$C$5:$C$1504,$A369,业务流水!$Z$5:$Z$1504,"是"))</f>
        <v/>
      </c>
      <c r="L369" s="42" t="str">
        <f aca="false">IF($A369="","",$C369-$K369)</f>
        <v/>
      </c>
      <c r="M369" s="41" t="str">
        <f aca="false">IF($A369="","",SUMIFS(业务流水!$H$5:$H$1504,业务流水!$E$5:$E$1504,$B$3,业务流水!$D$5:$D$1504,"我方收款",业务流水!$C$5:$C$1504,$A369,业务流水!$Z$5:$Z$1504,"是"))</f>
        <v/>
      </c>
      <c r="N369" s="43" t="str">
        <f aca="false">IF($A369="","",$K369-$M369)</f>
        <v/>
      </c>
      <c r="O369" s="41" t="str">
        <f aca="false">IF($A369="","",SUMIFS(业务流水!$H$5:$H$1504,业务流水!$F$5:$F$1504,$B$3,业务流水!$D$5:$D$1504,"管理费结算",业务流水!$C$5:$C$1504,$A369,业务流水!$Z$5:$Z$1504,"是"))</f>
        <v/>
      </c>
      <c r="P369" s="41" t="str">
        <f aca="false">IF($A369="","",SUMIFS(业务流水!$H$5:$H$1504,业务流水!$E$5:$E$1504,$B$3,业务流水!$D$5:$D$1504,"扣质保金",业务流水!$C$5:$C$1504,$A369,业务流水!$Z$5:$Z$1504,"是"))</f>
        <v/>
      </c>
      <c r="Q369" s="48" t="str">
        <f aca="false">IF($A369="","",IF(SUM($C369:$F369)+SUM($K369:$M369)=0,"无","有"))</f>
        <v/>
      </c>
    </row>
    <row r="370" customFormat="false" ht="15.75" hidden="false" customHeight="true" outlineLevel="0" collapsed="false">
      <c r="A370" s="32" t="str">
        <f aca="false">IF(项目档案!$A370="","",项目档案!$A370)</f>
        <v/>
      </c>
      <c r="B370" s="40" t="str">
        <f aca="false">IF($A370="","",项目档案!$B370)</f>
        <v/>
      </c>
      <c r="C370" s="41" t="str">
        <f aca="false">IF($A370="","",SUMIFS(业务流水!$H$5:$H$1504,业务流水!$E$5:$E$1504,$B$3,业务流水!$D$5:$D$1504,"销项开票",业务流水!$C$5:$C$1504,$A370,业务流水!$Z$5:$Z$1504,"是"))</f>
        <v/>
      </c>
      <c r="D370" s="41" t="str">
        <f aca="false">IF($A370="","",SUMIFS(业务流水!$O$5:$O$1504,业务流水!$E$5:$E$1504,$B$3,业务流水!$D$5:$D$1504,"销项开票",业务流水!$C$5:$C$1504,$A370,业务流水!$Z$5:$Z$1504,"是"))</f>
        <v/>
      </c>
      <c r="E370" s="41" t="str">
        <f aca="false">IF($A370="","",SUMIFS(业务流水!$P$5:$P$1504,业务流水!$E$5:$E$1504,$B$3,业务流水!$D$5:$D$1504,"销项开票",业务流水!$C$5:$C$1504,$A370,业务流水!$Z$5:$Z$1504,"是"))</f>
        <v/>
      </c>
      <c r="F370" s="41" t="str">
        <f aca="false">IF($A370="","",SUMIFS(业务流水!$H$5:$H$1504,业务流水!$F$5:$F$1504,$B$3,业务流水!$D$5:$D$1504,"成本票",业务流水!$C$5:$C$1504,$A370,业务流水!$Z$5:$Z$1504,"是")+SUMIFS(业务流水!$H$5:$H$1504,业务流水!$F$5:$F$1504,$B$3,业务流水!$D$5:$D$1504,"销项开票",业务流水!$C$5:$C$1504,$A370,业务流水!$Z$5:$Z$1504,"是"))</f>
        <v/>
      </c>
      <c r="G370" s="42" t="str">
        <f aca="false">IF($A370="","",$E370-$F370)</f>
        <v/>
      </c>
      <c r="H370" s="41" t="str">
        <f aca="false">IF($A370="","",SUMIFS(业务流水!$W$5:$W$1504,业务流水!$E$5:$E$1504,$B$3,业务流水!$D$5:$D$1504,"销项开票",业务流水!$C$5:$C$1504,$A370,业务流水!$Z$5:$Z$1504,"是"))</f>
        <v/>
      </c>
      <c r="I370" s="41" t="str">
        <f aca="false">IF($A370="","",SUMIFS(业务流水!$H$5:$H$1504,业务流水!$E$5:$E$1504,$B$3,业务流水!$D$5:$D$1504,"已交税",业务流水!$C$5:$C$1504,$A370,业务流水!$Z$5:$Z$1504,"是"))</f>
        <v/>
      </c>
      <c r="J370" s="42" t="str">
        <f aca="false">IF($A370="","",$H370-$I370)</f>
        <v/>
      </c>
      <c r="K370" s="41" t="str">
        <f aca="false">IF($A370="","",SUMIFS(业务流水!$H$5:$H$1504,业务流水!$F$5:$F$1504,$B$3,业务流水!$D$5:$D$1504,"挂靠代收",业务流水!$C$5:$C$1504,$A370,业务流水!$Z$5:$Z$1504,"是"))</f>
        <v/>
      </c>
      <c r="L370" s="42" t="str">
        <f aca="false">IF($A370="","",$C370-$K370)</f>
        <v/>
      </c>
      <c r="M370" s="41" t="str">
        <f aca="false">IF($A370="","",SUMIFS(业务流水!$H$5:$H$1504,业务流水!$E$5:$E$1504,$B$3,业务流水!$D$5:$D$1504,"我方收款",业务流水!$C$5:$C$1504,$A370,业务流水!$Z$5:$Z$1504,"是"))</f>
        <v/>
      </c>
      <c r="N370" s="43" t="str">
        <f aca="false">IF($A370="","",$K370-$M370)</f>
        <v/>
      </c>
      <c r="O370" s="41" t="str">
        <f aca="false">IF($A370="","",SUMIFS(业务流水!$H$5:$H$1504,业务流水!$F$5:$F$1504,$B$3,业务流水!$D$5:$D$1504,"管理费结算",业务流水!$C$5:$C$1504,$A370,业务流水!$Z$5:$Z$1504,"是"))</f>
        <v/>
      </c>
      <c r="P370" s="41" t="str">
        <f aca="false">IF($A370="","",SUMIFS(业务流水!$H$5:$H$1504,业务流水!$E$5:$E$1504,$B$3,业务流水!$D$5:$D$1504,"扣质保金",业务流水!$C$5:$C$1504,$A370,业务流水!$Z$5:$Z$1504,"是"))</f>
        <v/>
      </c>
      <c r="Q370" s="48" t="str">
        <f aca="false">IF($A370="","",IF(SUM($C370:$F370)+SUM($K370:$M370)=0,"无","有"))</f>
        <v/>
      </c>
    </row>
    <row r="371" customFormat="false" ht="15.75" hidden="false" customHeight="true" outlineLevel="0" collapsed="false">
      <c r="A371" s="32" t="str">
        <f aca="false">IF(项目档案!$A371="","",项目档案!$A371)</f>
        <v/>
      </c>
      <c r="B371" s="40" t="str">
        <f aca="false">IF($A371="","",项目档案!$B371)</f>
        <v/>
      </c>
      <c r="C371" s="41" t="str">
        <f aca="false">IF($A371="","",SUMIFS(业务流水!$H$5:$H$1504,业务流水!$E$5:$E$1504,$B$3,业务流水!$D$5:$D$1504,"销项开票",业务流水!$C$5:$C$1504,$A371,业务流水!$Z$5:$Z$1504,"是"))</f>
        <v/>
      </c>
      <c r="D371" s="41" t="str">
        <f aca="false">IF($A371="","",SUMIFS(业务流水!$O$5:$O$1504,业务流水!$E$5:$E$1504,$B$3,业务流水!$D$5:$D$1504,"销项开票",业务流水!$C$5:$C$1504,$A371,业务流水!$Z$5:$Z$1504,"是"))</f>
        <v/>
      </c>
      <c r="E371" s="41" t="str">
        <f aca="false">IF($A371="","",SUMIFS(业务流水!$P$5:$P$1504,业务流水!$E$5:$E$1504,$B$3,业务流水!$D$5:$D$1504,"销项开票",业务流水!$C$5:$C$1504,$A371,业务流水!$Z$5:$Z$1504,"是"))</f>
        <v/>
      </c>
      <c r="F371" s="41" t="str">
        <f aca="false">IF($A371="","",SUMIFS(业务流水!$H$5:$H$1504,业务流水!$F$5:$F$1504,$B$3,业务流水!$D$5:$D$1504,"成本票",业务流水!$C$5:$C$1504,$A371,业务流水!$Z$5:$Z$1504,"是")+SUMIFS(业务流水!$H$5:$H$1504,业务流水!$F$5:$F$1504,$B$3,业务流水!$D$5:$D$1504,"销项开票",业务流水!$C$5:$C$1504,$A371,业务流水!$Z$5:$Z$1504,"是"))</f>
        <v/>
      </c>
      <c r="G371" s="42" t="str">
        <f aca="false">IF($A371="","",$E371-$F371)</f>
        <v/>
      </c>
      <c r="H371" s="41" t="str">
        <f aca="false">IF($A371="","",SUMIFS(业务流水!$W$5:$W$1504,业务流水!$E$5:$E$1504,$B$3,业务流水!$D$5:$D$1504,"销项开票",业务流水!$C$5:$C$1504,$A371,业务流水!$Z$5:$Z$1504,"是"))</f>
        <v/>
      </c>
      <c r="I371" s="41" t="str">
        <f aca="false">IF($A371="","",SUMIFS(业务流水!$H$5:$H$1504,业务流水!$E$5:$E$1504,$B$3,业务流水!$D$5:$D$1504,"已交税",业务流水!$C$5:$C$1504,$A371,业务流水!$Z$5:$Z$1504,"是"))</f>
        <v/>
      </c>
      <c r="J371" s="42" t="str">
        <f aca="false">IF($A371="","",$H371-$I371)</f>
        <v/>
      </c>
      <c r="K371" s="41" t="str">
        <f aca="false">IF($A371="","",SUMIFS(业务流水!$H$5:$H$1504,业务流水!$F$5:$F$1504,$B$3,业务流水!$D$5:$D$1504,"挂靠代收",业务流水!$C$5:$C$1504,$A371,业务流水!$Z$5:$Z$1504,"是"))</f>
        <v/>
      </c>
      <c r="L371" s="42" t="str">
        <f aca="false">IF($A371="","",$C371-$K371)</f>
        <v/>
      </c>
      <c r="M371" s="41" t="str">
        <f aca="false">IF($A371="","",SUMIFS(业务流水!$H$5:$H$1504,业务流水!$E$5:$E$1504,$B$3,业务流水!$D$5:$D$1504,"我方收款",业务流水!$C$5:$C$1504,$A371,业务流水!$Z$5:$Z$1504,"是"))</f>
        <v/>
      </c>
      <c r="N371" s="43" t="str">
        <f aca="false">IF($A371="","",$K371-$M371)</f>
        <v/>
      </c>
      <c r="O371" s="41" t="str">
        <f aca="false">IF($A371="","",SUMIFS(业务流水!$H$5:$H$1504,业务流水!$F$5:$F$1504,$B$3,业务流水!$D$5:$D$1504,"管理费结算",业务流水!$C$5:$C$1504,$A371,业务流水!$Z$5:$Z$1504,"是"))</f>
        <v/>
      </c>
      <c r="P371" s="41" t="str">
        <f aca="false">IF($A371="","",SUMIFS(业务流水!$H$5:$H$1504,业务流水!$E$5:$E$1504,$B$3,业务流水!$D$5:$D$1504,"扣质保金",业务流水!$C$5:$C$1504,$A371,业务流水!$Z$5:$Z$1504,"是"))</f>
        <v/>
      </c>
      <c r="Q371" s="48" t="str">
        <f aca="false">IF($A371="","",IF(SUM($C371:$F371)+SUM($K371:$M371)=0,"无","有"))</f>
        <v/>
      </c>
    </row>
    <row r="372" customFormat="false" ht="15.75" hidden="false" customHeight="true" outlineLevel="0" collapsed="false">
      <c r="A372" s="32" t="str">
        <f aca="false">IF(项目档案!$A372="","",项目档案!$A372)</f>
        <v/>
      </c>
      <c r="B372" s="40" t="str">
        <f aca="false">IF($A372="","",项目档案!$B372)</f>
        <v/>
      </c>
      <c r="C372" s="41" t="str">
        <f aca="false">IF($A372="","",SUMIFS(业务流水!$H$5:$H$1504,业务流水!$E$5:$E$1504,$B$3,业务流水!$D$5:$D$1504,"销项开票",业务流水!$C$5:$C$1504,$A372,业务流水!$Z$5:$Z$1504,"是"))</f>
        <v/>
      </c>
      <c r="D372" s="41" t="str">
        <f aca="false">IF($A372="","",SUMIFS(业务流水!$O$5:$O$1504,业务流水!$E$5:$E$1504,$B$3,业务流水!$D$5:$D$1504,"销项开票",业务流水!$C$5:$C$1504,$A372,业务流水!$Z$5:$Z$1504,"是"))</f>
        <v/>
      </c>
      <c r="E372" s="41" t="str">
        <f aca="false">IF($A372="","",SUMIFS(业务流水!$P$5:$P$1504,业务流水!$E$5:$E$1504,$B$3,业务流水!$D$5:$D$1504,"销项开票",业务流水!$C$5:$C$1504,$A372,业务流水!$Z$5:$Z$1504,"是"))</f>
        <v/>
      </c>
      <c r="F372" s="41" t="str">
        <f aca="false">IF($A372="","",SUMIFS(业务流水!$H$5:$H$1504,业务流水!$F$5:$F$1504,$B$3,业务流水!$D$5:$D$1504,"成本票",业务流水!$C$5:$C$1504,$A372,业务流水!$Z$5:$Z$1504,"是")+SUMIFS(业务流水!$H$5:$H$1504,业务流水!$F$5:$F$1504,$B$3,业务流水!$D$5:$D$1504,"销项开票",业务流水!$C$5:$C$1504,$A372,业务流水!$Z$5:$Z$1504,"是"))</f>
        <v/>
      </c>
      <c r="G372" s="42" t="str">
        <f aca="false">IF($A372="","",$E372-$F372)</f>
        <v/>
      </c>
      <c r="H372" s="41" t="str">
        <f aca="false">IF($A372="","",SUMIFS(业务流水!$W$5:$W$1504,业务流水!$E$5:$E$1504,$B$3,业务流水!$D$5:$D$1504,"销项开票",业务流水!$C$5:$C$1504,$A372,业务流水!$Z$5:$Z$1504,"是"))</f>
        <v/>
      </c>
      <c r="I372" s="41" t="str">
        <f aca="false">IF($A372="","",SUMIFS(业务流水!$H$5:$H$1504,业务流水!$E$5:$E$1504,$B$3,业务流水!$D$5:$D$1504,"已交税",业务流水!$C$5:$C$1504,$A372,业务流水!$Z$5:$Z$1504,"是"))</f>
        <v/>
      </c>
      <c r="J372" s="42" t="str">
        <f aca="false">IF($A372="","",$H372-$I372)</f>
        <v/>
      </c>
      <c r="K372" s="41" t="str">
        <f aca="false">IF($A372="","",SUMIFS(业务流水!$H$5:$H$1504,业务流水!$F$5:$F$1504,$B$3,业务流水!$D$5:$D$1504,"挂靠代收",业务流水!$C$5:$C$1504,$A372,业务流水!$Z$5:$Z$1504,"是"))</f>
        <v/>
      </c>
      <c r="L372" s="42" t="str">
        <f aca="false">IF($A372="","",$C372-$K372)</f>
        <v/>
      </c>
      <c r="M372" s="41" t="str">
        <f aca="false">IF($A372="","",SUMIFS(业务流水!$H$5:$H$1504,业务流水!$E$5:$E$1504,$B$3,业务流水!$D$5:$D$1504,"我方收款",业务流水!$C$5:$C$1504,$A372,业务流水!$Z$5:$Z$1504,"是"))</f>
        <v/>
      </c>
      <c r="N372" s="43" t="str">
        <f aca="false">IF($A372="","",$K372-$M372)</f>
        <v/>
      </c>
      <c r="O372" s="41" t="str">
        <f aca="false">IF($A372="","",SUMIFS(业务流水!$H$5:$H$1504,业务流水!$F$5:$F$1504,$B$3,业务流水!$D$5:$D$1504,"管理费结算",业务流水!$C$5:$C$1504,$A372,业务流水!$Z$5:$Z$1504,"是"))</f>
        <v/>
      </c>
      <c r="P372" s="41" t="str">
        <f aca="false">IF($A372="","",SUMIFS(业务流水!$H$5:$H$1504,业务流水!$E$5:$E$1504,$B$3,业务流水!$D$5:$D$1504,"扣质保金",业务流水!$C$5:$C$1504,$A372,业务流水!$Z$5:$Z$1504,"是"))</f>
        <v/>
      </c>
      <c r="Q372" s="48" t="str">
        <f aca="false">IF($A372="","",IF(SUM($C372:$F372)+SUM($K372:$M372)=0,"无","有"))</f>
        <v/>
      </c>
    </row>
    <row r="373" customFormat="false" ht="15.75" hidden="false" customHeight="true" outlineLevel="0" collapsed="false">
      <c r="A373" s="32" t="str">
        <f aca="false">IF(项目档案!$A373="","",项目档案!$A373)</f>
        <v/>
      </c>
      <c r="B373" s="40" t="str">
        <f aca="false">IF($A373="","",项目档案!$B373)</f>
        <v/>
      </c>
      <c r="C373" s="41" t="str">
        <f aca="false">IF($A373="","",SUMIFS(业务流水!$H$5:$H$1504,业务流水!$E$5:$E$1504,$B$3,业务流水!$D$5:$D$1504,"销项开票",业务流水!$C$5:$C$1504,$A373,业务流水!$Z$5:$Z$1504,"是"))</f>
        <v/>
      </c>
      <c r="D373" s="41" t="str">
        <f aca="false">IF($A373="","",SUMIFS(业务流水!$O$5:$O$1504,业务流水!$E$5:$E$1504,$B$3,业务流水!$D$5:$D$1504,"销项开票",业务流水!$C$5:$C$1504,$A373,业务流水!$Z$5:$Z$1504,"是"))</f>
        <v/>
      </c>
      <c r="E373" s="41" t="str">
        <f aca="false">IF($A373="","",SUMIFS(业务流水!$P$5:$P$1504,业务流水!$E$5:$E$1504,$B$3,业务流水!$D$5:$D$1504,"销项开票",业务流水!$C$5:$C$1504,$A373,业务流水!$Z$5:$Z$1504,"是"))</f>
        <v/>
      </c>
      <c r="F373" s="41" t="str">
        <f aca="false">IF($A373="","",SUMIFS(业务流水!$H$5:$H$1504,业务流水!$F$5:$F$1504,$B$3,业务流水!$D$5:$D$1504,"成本票",业务流水!$C$5:$C$1504,$A373,业务流水!$Z$5:$Z$1504,"是")+SUMIFS(业务流水!$H$5:$H$1504,业务流水!$F$5:$F$1504,$B$3,业务流水!$D$5:$D$1504,"销项开票",业务流水!$C$5:$C$1504,$A373,业务流水!$Z$5:$Z$1504,"是"))</f>
        <v/>
      </c>
      <c r="G373" s="42" t="str">
        <f aca="false">IF($A373="","",$E373-$F373)</f>
        <v/>
      </c>
      <c r="H373" s="41" t="str">
        <f aca="false">IF($A373="","",SUMIFS(业务流水!$W$5:$W$1504,业务流水!$E$5:$E$1504,$B$3,业务流水!$D$5:$D$1504,"销项开票",业务流水!$C$5:$C$1504,$A373,业务流水!$Z$5:$Z$1504,"是"))</f>
        <v/>
      </c>
      <c r="I373" s="41" t="str">
        <f aca="false">IF($A373="","",SUMIFS(业务流水!$H$5:$H$1504,业务流水!$E$5:$E$1504,$B$3,业务流水!$D$5:$D$1504,"已交税",业务流水!$C$5:$C$1504,$A373,业务流水!$Z$5:$Z$1504,"是"))</f>
        <v/>
      </c>
      <c r="J373" s="42" t="str">
        <f aca="false">IF($A373="","",$H373-$I373)</f>
        <v/>
      </c>
      <c r="K373" s="41" t="str">
        <f aca="false">IF($A373="","",SUMIFS(业务流水!$H$5:$H$1504,业务流水!$F$5:$F$1504,$B$3,业务流水!$D$5:$D$1504,"挂靠代收",业务流水!$C$5:$C$1504,$A373,业务流水!$Z$5:$Z$1504,"是"))</f>
        <v/>
      </c>
      <c r="L373" s="42" t="str">
        <f aca="false">IF($A373="","",$C373-$K373)</f>
        <v/>
      </c>
      <c r="M373" s="41" t="str">
        <f aca="false">IF($A373="","",SUMIFS(业务流水!$H$5:$H$1504,业务流水!$E$5:$E$1504,$B$3,业务流水!$D$5:$D$1504,"我方收款",业务流水!$C$5:$C$1504,$A373,业务流水!$Z$5:$Z$1504,"是"))</f>
        <v/>
      </c>
      <c r="N373" s="43" t="str">
        <f aca="false">IF($A373="","",$K373-$M373)</f>
        <v/>
      </c>
      <c r="O373" s="41" t="str">
        <f aca="false">IF($A373="","",SUMIFS(业务流水!$H$5:$H$1504,业务流水!$F$5:$F$1504,$B$3,业务流水!$D$5:$D$1504,"管理费结算",业务流水!$C$5:$C$1504,$A373,业务流水!$Z$5:$Z$1504,"是"))</f>
        <v/>
      </c>
      <c r="P373" s="41" t="str">
        <f aca="false">IF($A373="","",SUMIFS(业务流水!$H$5:$H$1504,业务流水!$E$5:$E$1504,$B$3,业务流水!$D$5:$D$1504,"扣质保金",业务流水!$C$5:$C$1504,$A373,业务流水!$Z$5:$Z$1504,"是"))</f>
        <v/>
      </c>
      <c r="Q373" s="48" t="str">
        <f aca="false">IF($A373="","",IF(SUM($C373:$F373)+SUM($K373:$M373)=0,"无","有"))</f>
        <v/>
      </c>
    </row>
    <row r="374" customFormat="false" ht="15.75" hidden="false" customHeight="true" outlineLevel="0" collapsed="false">
      <c r="A374" s="32" t="str">
        <f aca="false">IF(项目档案!$A374="","",项目档案!$A374)</f>
        <v/>
      </c>
      <c r="B374" s="40" t="str">
        <f aca="false">IF($A374="","",项目档案!$B374)</f>
        <v/>
      </c>
      <c r="C374" s="41" t="str">
        <f aca="false">IF($A374="","",SUMIFS(业务流水!$H$5:$H$1504,业务流水!$E$5:$E$1504,$B$3,业务流水!$D$5:$D$1504,"销项开票",业务流水!$C$5:$C$1504,$A374,业务流水!$Z$5:$Z$1504,"是"))</f>
        <v/>
      </c>
      <c r="D374" s="41" t="str">
        <f aca="false">IF($A374="","",SUMIFS(业务流水!$O$5:$O$1504,业务流水!$E$5:$E$1504,$B$3,业务流水!$D$5:$D$1504,"销项开票",业务流水!$C$5:$C$1504,$A374,业务流水!$Z$5:$Z$1504,"是"))</f>
        <v/>
      </c>
      <c r="E374" s="41" t="str">
        <f aca="false">IF($A374="","",SUMIFS(业务流水!$P$5:$P$1504,业务流水!$E$5:$E$1504,$B$3,业务流水!$D$5:$D$1504,"销项开票",业务流水!$C$5:$C$1504,$A374,业务流水!$Z$5:$Z$1504,"是"))</f>
        <v/>
      </c>
      <c r="F374" s="41" t="str">
        <f aca="false">IF($A374="","",SUMIFS(业务流水!$H$5:$H$1504,业务流水!$F$5:$F$1504,$B$3,业务流水!$D$5:$D$1504,"成本票",业务流水!$C$5:$C$1504,$A374,业务流水!$Z$5:$Z$1504,"是")+SUMIFS(业务流水!$H$5:$H$1504,业务流水!$F$5:$F$1504,$B$3,业务流水!$D$5:$D$1504,"销项开票",业务流水!$C$5:$C$1504,$A374,业务流水!$Z$5:$Z$1504,"是"))</f>
        <v/>
      </c>
      <c r="G374" s="42" t="str">
        <f aca="false">IF($A374="","",$E374-$F374)</f>
        <v/>
      </c>
      <c r="H374" s="41" t="str">
        <f aca="false">IF($A374="","",SUMIFS(业务流水!$W$5:$W$1504,业务流水!$E$5:$E$1504,$B$3,业务流水!$D$5:$D$1504,"销项开票",业务流水!$C$5:$C$1504,$A374,业务流水!$Z$5:$Z$1504,"是"))</f>
        <v/>
      </c>
      <c r="I374" s="41" t="str">
        <f aca="false">IF($A374="","",SUMIFS(业务流水!$H$5:$H$1504,业务流水!$E$5:$E$1504,$B$3,业务流水!$D$5:$D$1504,"已交税",业务流水!$C$5:$C$1504,$A374,业务流水!$Z$5:$Z$1504,"是"))</f>
        <v/>
      </c>
      <c r="J374" s="42" t="str">
        <f aca="false">IF($A374="","",$H374-$I374)</f>
        <v/>
      </c>
      <c r="K374" s="41" t="str">
        <f aca="false">IF($A374="","",SUMIFS(业务流水!$H$5:$H$1504,业务流水!$F$5:$F$1504,$B$3,业务流水!$D$5:$D$1504,"挂靠代收",业务流水!$C$5:$C$1504,$A374,业务流水!$Z$5:$Z$1504,"是"))</f>
        <v/>
      </c>
      <c r="L374" s="42" t="str">
        <f aca="false">IF($A374="","",$C374-$K374)</f>
        <v/>
      </c>
      <c r="M374" s="41" t="str">
        <f aca="false">IF($A374="","",SUMIFS(业务流水!$H$5:$H$1504,业务流水!$E$5:$E$1504,$B$3,业务流水!$D$5:$D$1504,"我方收款",业务流水!$C$5:$C$1504,$A374,业务流水!$Z$5:$Z$1504,"是"))</f>
        <v/>
      </c>
      <c r="N374" s="43" t="str">
        <f aca="false">IF($A374="","",$K374-$M374)</f>
        <v/>
      </c>
      <c r="O374" s="41" t="str">
        <f aca="false">IF($A374="","",SUMIFS(业务流水!$H$5:$H$1504,业务流水!$F$5:$F$1504,$B$3,业务流水!$D$5:$D$1504,"管理费结算",业务流水!$C$5:$C$1504,$A374,业务流水!$Z$5:$Z$1504,"是"))</f>
        <v/>
      </c>
      <c r="P374" s="41" t="str">
        <f aca="false">IF($A374="","",SUMIFS(业务流水!$H$5:$H$1504,业务流水!$E$5:$E$1504,$B$3,业务流水!$D$5:$D$1504,"扣质保金",业务流水!$C$5:$C$1504,$A374,业务流水!$Z$5:$Z$1504,"是"))</f>
        <v/>
      </c>
      <c r="Q374" s="48" t="str">
        <f aca="false">IF($A374="","",IF(SUM($C374:$F374)+SUM($K374:$M374)=0,"无","有"))</f>
        <v/>
      </c>
    </row>
    <row r="375" customFormat="false" ht="15.75" hidden="false" customHeight="true" outlineLevel="0" collapsed="false">
      <c r="A375" s="32" t="str">
        <f aca="false">IF(项目档案!$A375="","",项目档案!$A375)</f>
        <v/>
      </c>
      <c r="B375" s="40" t="str">
        <f aca="false">IF($A375="","",项目档案!$B375)</f>
        <v/>
      </c>
      <c r="C375" s="41" t="str">
        <f aca="false">IF($A375="","",SUMIFS(业务流水!$H$5:$H$1504,业务流水!$E$5:$E$1504,$B$3,业务流水!$D$5:$D$1504,"销项开票",业务流水!$C$5:$C$1504,$A375,业务流水!$Z$5:$Z$1504,"是"))</f>
        <v/>
      </c>
      <c r="D375" s="41" t="str">
        <f aca="false">IF($A375="","",SUMIFS(业务流水!$O$5:$O$1504,业务流水!$E$5:$E$1504,$B$3,业务流水!$D$5:$D$1504,"销项开票",业务流水!$C$5:$C$1504,$A375,业务流水!$Z$5:$Z$1504,"是"))</f>
        <v/>
      </c>
      <c r="E375" s="41" t="str">
        <f aca="false">IF($A375="","",SUMIFS(业务流水!$P$5:$P$1504,业务流水!$E$5:$E$1504,$B$3,业务流水!$D$5:$D$1504,"销项开票",业务流水!$C$5:$C$1504,$A375,业务流水!$Z$5:$Z$1504,"是"))</f>
        <v/>
      </c>
      <c r="F375" s="41" t="str">
        <f aca="false">IF($A375="","",SUMIFS(业务流水!$H$5:$H$1504,业务流水!$F$5:$F$1504,$B$3,业务流水!$D$5:$D$1504,"成本票",业务流水!$C$5:$C$1504,$A375,业务流水!$Z$5:$Z$1504,"是")+SUMIFS(业务流水!$H$5:$H$1504,业务流水!$F$5:$F$1504,$B$3,业务流水!$D$5:$D$1504,"销项开票",业务流水!$C$5:$C$1504,$A375,业务流水!$Z$5:$Z$1504,"是"))</f>
        <v/>
      </c>
      <c r="G375" s="42" t="str">
        <f aca="false">IF($A375="","",$E375-$F375)</f>
        <v/>
      </c>
      <c r="H375" s="41" t="str">
        <f aca="false">IF($A375="","",SUMIFS(业务流水!$W$5:$W$1504,业务流水!$E$5:$E$1504,$B$3,业务流水!$D$5:$D$1504,"销项开票",业务流水!$C$5:$C$1504,$A375,业务流水!$Z$5:$Z$1504,"是"))</f>
        <v/>
      </c>
      <c r="I375" s="41" t="str">
        <f aca="false">IF($A375="","",SUMIFS(业务流水!$H$5:$H$1504,业务流水!$E$5:$E$1504,$B$3,业务流水!$D$5:$D$1504,"已交税",业务流水!$C$5:$C$1504,$A375,业务流水!$Z$5:$Z$1504,"是"))</f>
        <v/>
      </c>
      <c r="J375" s="42" t="str">
        <f aca="false">IF($A375="","",$H375-$I375)</f>
        <v/>
      </c>
      <c r="K375" s="41" t="str">
        <f aca="false">IF($A375="","",SUMIFS(业务流水!$H$5:$H$1504,业务流水!$F$5:$F$1504,$B$3,业务流水!$D$5:$D$1504,"挂靠代收",业务流水!$C$5:$C$1504,$A375,业务流水!$Z$5:$Z$1504,"是"))</f>
        <v/>
      </c>
      <c r="L375" s="42" t="str">
        <f aca="false">IF($A375="","",$C375-$K375)</f>
        <v/>
      </c>
      <c r="M375" s="41" t="str">
        <f aca="false">IF($A375="","",SUMIFS(业务流水!$H$5:$H$1504,业务流水!$E$5:$E$1504,$B$3,业务流水!$D$5:$D$1504,"我方收款",业务流水!$C$5:$C$1504,$A375,业务流水!$Z$5:$Z$1504,"是"))</f>
        <v/>
      </c>
      <c r="N375" s="43" t="str">
        <f aca="false">IF($A375="","",$K375-$M375)</f>
        <v/>
      </c>
      <c r="O375" s="41" t="str">
        <f aca="false">IF($A375="","",SUMIFS(业务流水!$H$5:$H$1504,业务流水!$F$5:$F$1504,$B$3,业务流水!$D$5:$D$1504,"管理费结算",业务流水!$C$5:$C$1504,$A375,业务流水!$Z$5:$Z$1504,"是"))</f>
        <v/>
      </c>
      <c r="P375" s="41" t="str">
        <f aca="false">IF($A375="","",SUMIFS(业务流水!$H$5:$H$1504,业务流水!$E$5:$E$1504,$B$3,业务流水!$D$5:$D$1504,"扣质保金",业务流水!$C$5:$C$1504,$A375,业务流水!$Z$5:$Z$1504,"是"))</f>
        <v/>
      </c>
      <c r="Q375" s="48" t="str">
        <f aca="false">IF($A375="","",IF(SUM($C375:$F375)+SUM($K375:$M375)=0,"无","有"))</f>
        <v/>
      </c>
    </row>
    <row r="376" customFormat="false" ht="15.75" hidden="false" customHeight="true" outlineLevel="0" collapsed="false">
      <c r="A376" s="32" t="str">
        <f aca="false">IF(项目档案!$A376="","",项目档案!$A376)</f>
        <v/>
      </c>
      <c r="B376" s="40" t="str">
        <f aca="false">IF($A376="","",项目档案!$B376)</f>
        <v/>
      </c>
      <c r="C376" s="41" t="str">
        <f aca="false">IF($A376="","",SUMIFS(业务流水!$H$5:$H$1504,业务流水!$E$5:$E$1504,$B$3,业务流水!$D$5:$D$1504,"销项开票",业务流水!$C$5:$C$1504,$A376,业务流水!$Z$5:$Z$1504,"是"))</f>
        <v/>
      </c>
      <c r="D376" s="41" t="str">
        <f aca="false">IF($A376="","",SUMIFS(业务流水!$O$5:$O$1504,业务流水!$E$5:$E$1504,$B$3,业务流水!$D$5:$D$1504,"销项开票",业务流水!$C$5:$C$1504,$A376,业务流水!$Z$5:$Z$1504,"是"))</f>
        <v/>
      </c>
      <c r="E376" s="41" t="str">
        <f aca="false">IF($A376="","",SUMIFS(业务流水!$P$5:$P$1504,业务流水!$E$5:$E$1504,$B$3,业务流水!$D$5:$D$1504,"销项开票",业务流水!$C$5:$C$1504,$A376,业务流水!$Z$5:$Z$1504,"是"))</f>
        <v/>
      </c>
      <c r="F376" s="41" t="str">
        <f aca="false">IF($A376="","",SUMIFS(业务流水!$H$5:$H$1504,业务流水!$F$5:$F$1504,$B$3,业务流水!$D$5:$D$1504,"成本票",业务流水!$C$5:$C$1504,$A376,业务流水!$Z$5:$Z$1504,"是")+SUMIFS(业务流水!$H$5:$H$1504,业务流水!$F$5:$F$1504,$B$3,业务流水!$D$5:$D$1504,"销项开票",业务流水!$C$5:$C$1504,$A376,业务流水!$Z$5:$Z$1504,"是"))</f>
        <v/>
      </c>
      <c r="G376" s="42" t="str">
        <f aca="false">IF($A376="","",$E376-$F376)</f>
        <v/>
      </c>
      <c r="H376" s="41" t="str">
        <f aca="false">IF($A376="","",SUMIFS(业务流水!$W$5:$W$1504,业务流水!$E$5:$E$1504,$B$3,业务流水!$D$5:$D$1504,"销项开票",业务流水!$C$5:$C$1504,$A376,业务流水!$Z$5:$Z$1504,"是"))</f>
        <v/>
      </c>
      <c r="I376" s="41" t="str">
        <f aca="false">IF($A376="","",SUMIFS(业务流水!$H$5:$H$1504,业务流水!$E$5:$E$1504,$B$3,业务流水!$D$5:$D$1504,"已交税",业务流水!$C$5:$C$1504,$A376,业务流水!$Z$5:$Z$1504,"是"))</f>
        <v/>
      </c>
      <c r="J376" s="42" t="str">
        <f aca="false">IF($A376="","",$H376-$I376)</f>
        <v/>
      </c>
      <c r="K376" s="41" t="str">
        <f aca="false">IF($A376="","",SUMIFS(业务流水!$H$5:$H$1504,业务流水!$F$5:$F$1504,$B$3,业务流水!$D$5:$D$1504,"挂靠代收",业务流水!$C$5:$C$1504,$A376,业务流水!$Z$5:$Z$1504,"是"))</f>
        <v/>
      </c>
      <c r="L376" s="42" t="str">
        <f aca="false">IF($A376="","",$C376-$K376)</f>
        <v/>
      </c>
      <c r="M376" s="41" t="str">
        <f aca="false">IF($A376="","",SUMIFS(业务流水!$H$5:$H$1504,业务流水!$E$5:$E$1504,$B$3,业务流水!$D$5:$D$1504,"我方收款",业务流水!$C$5:$C$1504,$A376,业务流水!$Z$5:$Z$1504,"是"))</f>
        <v/>
      </c>
      <c r="N376" s="43" t="str">
        <f aca="false">IF($A376="","",$K376-$M376)</f>
        <v/>
      </c>
      <c r="O376" s="41" t="str">
        <f aca="false">IF($A376="","",SUMIFS(业务流水!$H$5:$H$1504,业务流水!$F$5:$F$1504,$B$3,业务流水!$D$5:$D$1504,"管理费结算",业务流水!$C$5:$C$1504,$A376,业务流水!$Z$5:$Z$1504,"是"))</f>
        <v/>
      </c>
      <c r="P376" s="41" t="str">
        <f aca="false">IF($A376="","",SUMIFS(业务流水!$H$5:$H$1504,业务流水!$E$5:$E$1504,$B$3,业务流水!$D$5:$D$1504,"扣质保金",业务流水!$C$5:$C$1504,$A376,业务流水!$Z$5:$Z$1504,"是"))</f>
        <v/>
      </c>
      <c r="Q376" s="48" t="str">
        <f aca="false">IF($A376="","",IF(SUM($C376:$F376)+SUM($K376:$M376)=0,"无","有"))</f>
        <v/>
      </c>
    </row>
    <row r="377" customFormat="false" ht="15.75" hidden="false" customHeight="true" outlineLevel="0" collapsed="false">
      <c r="A377" s="32" t="str">
        <f aca="false">IF(项目档案!$A377="","",项目档案!$A377)</f>
        <v/>
      </c>
      <c r="B377" s="40" t="str">
        <f aca="false">IF($A377="","",项目档案!$B377)</f>
        <v/>
      </c>
      <c r="C377" s="41" t="str">
        <f aca="false">IF($A377="","",SUMIFS(业务流水!$H$5:$H$1504,业务流水!$E$5:$E$1504,$B$3,业务流水!$D$5:$D$1504,"销项开票",业务流水!$C$5:$C$1504,$A377,业务流水!$Z$5:$Z$1504,"是"))</f>
        <v/>
      </c>
      <c r="D377" s="41" t="str">
        <f aca="false">IF($A377="","",SUMIFS(业务流水!$O$5:$O$1504,业务流水!$E$5:$E$1504,$B$3,业务流水!$D$5:$D$1504,"销项开票",业务流水!$C$5:$C$1504,$A377,业务流水!$Z$5:$Z$1504,"是"))</f>
        <v/>
      </c>
      <c r="E377" s="41" t="str">
        <f aca="false">IF($A377="","",SUMIFS(业务流水!$P$5:$P$1504,业务流水!$E$5:$E$1504,$B$3,业务流水!$D$5:$D$1504,"销项开票",业务流水!$C$5:$C$1504,$A377,业务流水!$Z$5:$Z$1504,"是"))</f>
        <v/>
      </c>
      <c r="F377" s="41" t="str">
        <f aca="false">IF($A377="","",SUMIFS(业务流水!$H$5:$H$1504,业务流水!$F$5:$F$1504,$B$3,业务流水!$D$5:$D$1504,"成本票",业务流水!$C$5:$C$1504,$A377,业务流水!$Z$5:$Z$1504,"是")+SUMIFS(业务流水!$H$5:$H$1504,业务流水!$F$5:$F$1504,$B$3,业务流水!$D$5:$D$1504,"销项开票",业务流水!$C$5:$C$1504,$A377,业务流水!$Z$5:$Z$1504,"是"))</f>
        <v/>
      </c>
      <c r="G377" s="42" t="str">
        <f aca="false">IF($A377="","",$E377-$F377)</f>
        <v/>
      </c>
      <c r="H377" s="41" t="str">
        <f aca="false">IF($A377="","",SUMIFS(业务流水!$W$5:$W$1504,业务流水!$E$5:$E$1504,$B$3,业务流水!$D$5:$D$1504,"销项开票",业务流水!$C$5:$C$1504,$A377,业务流水!$Z$5:$Z$1504,"是"))</f>
        <v/>
      </c>
      <c r="I377" s="41" t="str">
        <f aca="false">IF($A377="","",SUMIFS(业务流水!$H$5:$H$1504,业务流水!$E$5:$E$1504,$B$3,业务流水!$D$5:$D$1504,"已交税",业务流水!$C$5:$C$1504,$A377,业务流水!$Z$5:$Z$1504,"是"))</f>
        <v/>
      </c>
      <c r="J377" s="42" t="str">
        <f aca="false">IF($A377="","",$H377-$I377)</f>
        <v/>
      </c>
      <c r="K377" s="41" t="str">
        <f aca="false">IF($A377="","",SUMIFS(业务流水!$H$5:$H$1504,业务流水!$F$5:$F$1504,$B$3,业务流水!$D$5:$D$1504,"挂靠代收",业务流水!$C$5:$C$1504,$A377,业务流水!$Z$5:$Z$1504,"是"))</f>
        <v/>
      </c>
      <c r="L377" s="42" t="str">
        <f aca="false">IF($A377="","",$C377-$K377)</f>
        <v/>
      </c>
      <c r="M377" s="41" t="str">
        <f aca="false">IF($A377="","",SUMIFS(业务流水!$H$5:$H$1504,业务流水!$E$5:$E$1504,$B$3,业务流水!$D$5:$D$1504,"我方收款",业务流水!$C$5:$C$1504,$A377,业务流水!$Z$5:$Z$1504,"是"))</f>
        <v/>
      </c>
      <c r="N377" s="43" t="str">
        <f aca="false">IF($A377="","",$K377-$M377)</f>
        <v/>
      </c>
      <c r="O377" s="41" t="str">
        <f aca="false">IF($A377="","",SUMIFS(业务流水!$H$5:$H$1504,业务流水!$F$5:$F$1504,$B$3,业务流水!$D$5:$D$1504,"管理费结算",业务流水!$C$5:$C$1504,$A377,业务流水!$Z$5:$Z$1504,"是"))</f>
        <v/>
      </c>
      <c r="P377" s="41" t="str">
        <f aca="false">IF($A377="","",SUMIFS(业务流水!$H$5:$H$1504,业务流水!$E$5:$E$1504,$B$3,业务流水!$D$5:$D$1504,"扣质保金",业务流水!$C$5:$C$1504,$A377,业务流水!$Z$5:$Z$1504,"是"))</f>
        <v/>
      </c>
      <c r="Q377" s="48" t="str">
        <f aca="false">IF($A377="","",IF(SUM($C377:$F377)+SUM($K377:$M377)=0,"无","有"))</f>
        <v/>
      </c>
    </row>
    <row r="378" customFormat="false" ht="15.75" hidden="false" customHeight="true" outlineLevel="0" collapsed="false">
      <c r="A378" s="32" t="str">
        <f aca="false">IF(项目档案!$A378="","",项目档案!$A378)</f>
        <v/>
      </c>
      <c r="B378" s="40" t="str">
        <f aca="false">IF($A378="","",项目档案!$B378)</f>
        <v/>
      </c>
      <c r="C378" s="41" t="str">
        <f aca="false">IF($A378="","",SUMIFS(业务流水!$H$5:$H$1504,业务流水!$E$5:$E$1504,$B$3,业务流水!$D$5:$D$1504,"销项开票",业务流水!$C$5:$C$1504,$A378,业务流水!$Z$5:$Z$1504,"是"))</f>
        <v/>
      </c>
      <c r="D378" s="41" t="str">
        <f aca="false">IF($A378="","",SUMIFS(业务流水!$O$5:$O$1504,业务流水!$E$5:$E$1504,$B$3,业务流水!$D$5:$D$1504,"销项开票",业务流水!$C$5:$C$1504,$A378,业务流水!$Z$5:$Z$1504,"是"))</f>
        <v/>
      </c>
      <c r="E378" s="41" t="str">
        <f aca="false">IF($A378="","",SUMIFS(业务流水!$P$5:$P$1504,业务流水!$E$5:$E$1504,$B$3,业务流水!$D$5:$D$1504,"销项开票",业务流水!$C$5:$C$1504,$A378,业务流水!$Z$5:$Z$1504,"是"))</f>
        <v/>
      </c>
      <c r="F378" s="41" t="str">
        <f aca="false">IF($A378="","",SUMIFS(业务流水!$H$5:$H$1504,业务流水!$F$5:$F$1504,$B$3,业务流水!$D$5:$D$1504,"成本票",业务流水!$C$5:$C$1504,$A378,业务流水!$Z$5:$Z$1504,"是")+SUMIFS(业务流水!$H$5:$H$1504,业务流水!$F$5:$F$1504,$B$3,业务流水!$D$5:$D$1504,"销项开票",业务流水!$C$5:$C$1504,$A378,业务流水!$Z$5:$Z$1504,"是"))</f>
        <v/>
      </c>
      <c r="G378" s="42" t="str">
        <f aca="false">IF($A378="","",$E378-$F378)</f>
        <v/>
      </c>
      <c r="H378" s="41" t="str">
        <f aca="false">IF($A378="","",SUMIFS(业务流水!$W$5:$W$1504,业务流水!$E$5:$E$1504,$B$3,业务流水!$D$5:$D$1504,"销项开票",业务流水!$C$5:$C$1504,$A378,业务流水!$Z$5:$Z$1504,"是"))</f>
        <v/>
      </c>
      <c r="I378" s="41" t="str">
        <f aca="false">IF($A378="","",SUMIFS(业务流水!$H$5:$H$1504,业务流水!$E$5:$E$1504,$B$3,业务流水!$D$5:$D$1504,"已交税",业务流水!$C$5:$C$1504,$A378,业务流水!$Z$5:$Z$1504,"是"))</f>
        <v/>
      </c>
      <c r="J378" s="42" t="str">
        <f aca="false">IF($A378="","",$H378-$I378)</f>
        <v/>
      </c>
      <c r="K378" s="41" t="str">
        <f aca="false">IF($A378="","",SUMIFS(业务流水!$H$5:$H$1504,业务流水!$F$5:$F$1504,$B$3,业务流水!$D$5:$D$1504,"挂靠代收",业务流水!$C$5:$C$1504,$A378,业务流水!$Z$5:$Z$1504,"是"))</f>
        <v/>
      </c>
      <c r="L378" s="42" t="str">
        <f aca="false">IF($A378="","",$C378-$K378)</f>
        <v/>
      </c>
      <c r="M378" s="41" t="str">
        <f aca="false">IF($A378="","",SUMIFS(业务流水!$H$5:$H$1504,业务流水!$E$5:$E$1504,$B$3,业务流水!$D$5:$D$1504,"我方收款",业务流水!$C$5:$C$1504,$A378,业务流水!$Z$5:$Z$1504,"是"))</f>
        <v/>
      </c>
      <c r="N378" s="43" t="str">
        <f aca="false">IF($A378="","",$K378-$M378)</f>
        <v/>
      </c>
      <c r="O378" s="41" t="str">
        <f aca="false">IF($A378="","",SUMIFS(业务流水!$H$5:$H$1504,业务流水!$F$5:$F$1504,$B$3,业务流水!$D$5:$D$1504,"管理费结算",业务流水!$C$5:$C$1504,$A378,业务流水!$Z$5:$Z$1504,"是"))</f>
        <v/>
      </c>
      <c r="P378" s="41" t="str">
        <f aca="false">IF($A378="","",SUMIFS(业务流水!$H$5:$H$1504,业务流水!$E$5:$E$1504,$B$3,业务流水!$D$5:$D$1504,"扣质保金",业务流水!$C$5:$C$1504,$A378,业务流水!$Z$5:$Z$1504,"是"))</f>
        <v/>
      </c>
      <c r="Q378" s="48" t="str">
        <f aca="false">IF($A378="","",IF(SUM($C378:$F378)+SUM($K378:$M378)=0,"无","有"))</f>
        <v/>
      </c>
    </row>
    <row r="379" customFormat="false" ht="15.75" hidden="false" customHeight="true" outlineLevel="0" collapsed="false">
      <c r="A379" s="32" t="str">
        <f aca="false">IF(项目档案!$A379="","",项目档案!$A379)</f>
        <v/>
      </c>
      <c r="B379" s="40" t="str">
        <f aca="false">IF($A379="","",项目档案!$B379)</f>
        <v/>
      </c>
      <c r="C379" s="41" t="str">
        <f aca="false">IF($A379="","",SUMIFS(业务流水!$H$5:$H$1504,业务流水!$E$5:$E$1504,$B$3,业务流水!$D$5:$D$1504,"销项开票",业务流水!$C$5:$C$1504,$A379,业务流水!$Z$5:$Z$1504,"是"))</f>
        <v/>
      </c>
      <c r="D379" s="41" t="str">
        <f aca="false">IF($A379="","",SUMIFS(业务流水!$O$5:$O$1504,业务流水!$E$5:$E$1504,$B$3,业务流水!$D$5:$D$1504,"销项开票",业务流水!$C$5:$C$1504,$A379,业务流水!$Z$5:$Z$1504,"是"))</f>
        <v/>
      </c>
      <c r="E379" s="41" t="str">
        <f aca="false">IF($A379="","",SUMIFS(业务流水!$P$5:$P$1504,业务流水!$E$5:$E$1504,$B$3,业务流水!$D$5:$D$1504,"销项开票",业务流水!$C$5:$C$1504,$A379,业务流水!$Z$5:$Z$1504,"是"))</f>
        <v/>
      </c>
      <c r="F379" s="41" t="str">
        <f aca="false">IF($A379="","",SUMIFS(业务流水!$H$5:$H$1504,业务流水!$F$5:$F$1504,$B$3,业务流水!$D$5:$D$1504,"成本票",业务流水!$C$5:$C$1504,$A379,业务流水!$Z$5:$Z$1504,"是")+SUMIFS(业务流水!$H$5:$H$1504,业务流水!$F$5:$F$1504,$B$3,业务流水!$D$5:$D$1504,"销项开票",业务流水!$C$5:$C$1504,$A379,业务流水!$Z$5:$Z$1504,"是"))</f>
        <v/>
      </c>
      <c r="G379" s="42" t="str">
        <f aca="false">IF($A379="","",$E379-$F379)</f>
        <v/>
      </c>
      <c r="H379" s="41" t="str">
        <f aca="false">IF($A379="","",SUMIFS(业务流水!$W$5:$W$1504,业务流水!$E$5:$E$1504,$B$3,业务流水!$D$5:$D$1504,"销项开票",业务流水!$C$5:$C$1504,$A379,业务流水!$Z$5:$Z$1504,"是"))</f>
        <v/>
      </c>
      <c r="I379" s="41" t="str">
        <f aca="false">IF($A379="","",SUMIFS(业务流水!$H$5:$H$1504,业务流水!$E$5:$E$1504,$B$3,业务流水!$D$5:$D$1504,"已交税",业务流水!$C$5:$C$1504,$A379,业务流水!$Z$5:$Z$1504,"是"))</f>
        <v/>
      </c>
      <c r="J379" s="42" t="str">
        <f aca="false">IF($A379="","",$H379-$I379)</f>
        <v/>
      </c>
      <c r="K379" s="41" t="str">
        <f aca="false">IF($A379="","",SUMIFS(业务流水!$H$5:$H$1504,业务流水!$F$5:$F$1504,$B$3,业务流水!$D$5:$D$1504,"挂靠代收",业务流水!$C$5:$C$1504,$A379,业务流水!$Z$5:$Z$1504,"是"))</f>
        <v/>
      </c>
      <c r="L379" s="42" t="str">
        <f aca="false">IF($A379="","",$C379-$K379)</f>
        <v/>
      </c>
      <c r="M379" s="41" t="str">
        <f aca="false">IF($A379="","",SUMIFS(业务流水!$H$5:$H$1504,业务流水!$E$5:$E$1504,$B$3,业务流水!$D$5:$D$1504,"我方收款",业务流水!$C$5:$C$1504,$A379,业务流水!$Z$5:$Z$1504,"是"))</f>
        <v/>
      </c>
      <c r="N379" s="43" t="str">
        <f aca="false">IF($A379="","",$K379-$M379)</f>
        <v/>
      </c>
      <c r="O379" s="41" t="str">
        <f aca="false">IF($A379="","",SUMIFS(业务流水!$H$5:$H$1504,业务流水!$F$5:$F$1504,$B$3,业务流水!$D$5:$D$1504,"管理费结算",业务流水!$C$5:$C$1504,$A379,业务流水!$Z$5:$Z$1504,"是"))</f>
        <v/>
      </c>
      <c r="P379" s="41" t="str">
        <f aca="false">IF($A379="","",SUMIFS(业务流水!$H$5:$H$1504,业务流水!$E$5:$E$1504,$B$3,业务流水!$D$5:$D$1504,"扣质保金",业务流水!$C$5:$C$1504,$A379,业务流水!$Z$5:$Z$1504,"是"))</f>
        <v/>
      </c>
      <c r="Q379" s="48" t="str">
        <f aca="false">IF($A379="","",IF(SUM($C379:$F379)+SUM($K379:$M379)=0,"无","有"))</f>
        <v/>
      </c>
    </row>
    <row r="380" customFormat="false" ht="15.75" hidden="false" customHeight="true" outlineLevel="0" collapsed="false">
      <c r="A380" s="32" t="str">
        <f aca="false">IF(项目档案!$A380="","",项目档案!$A380)</f>
        <v/>
      </c>
      <c r="B380" s="40" t="str">
        <f aca="false">IF($A380="","",项目档案!$B380)</f>
        <v/>
      </c>
      <c r="C380" s="41" t="str">
        <f aca="false">IF($A380="","",SUMIFS(业务流水!$H$5:$H$1504,业务流水!$E$5:$E$1504,$B$3,业务流水!$D$5:$D$1504,"销项开票",业务流水!$C$5:$C$1504,$A380,业务流水!$Z$5:$Z$1504,"是"))</f>
        <v/>
      </c>
      <c r="D380" s="41" t="str">
        <f aca="false">IF($A380="","",SUMIFS(业务流水!$O$5:$O$1504,业务流水!$E$5:$E$1504,$B$3,业务流水!$D$5:$D$1504,"销项开票",业务流水!$C$5:$C$1504,$A380,业务流水!$Z$5:$Z$1504,"是"))</f>
        <v/>
      </c>
      <c r="E380" s="41" t="str">
        <f aca="false">IF($A380="","",SUMIFS(业务流水!$P$5:$P$1504,业务流水!$E$5:$E$1504,$B$3,业务流水!$D$5:$D$1504,"销项开票",业务流水!$C$5:$C$1504,$A380,业务流水!$Z$5:$Z$1504,"是"))</f>
        <v/>
      </c>
      <c r="F380" s="41" t="str">
        <f aca="false">IF($A380="","",SUMIFS(业务流水!$H$5:$H$1504,业务流水!$F$5:$F$1504,$B$3,业务流水!$D$5:$D$1504,"成本票",业务流水!$C$5:$C$1504,$A380,业务流水!$Z$5:$Z$1504,"是")+SUMIFS(业务流水!$H$5:$H$1504,业务流水!$F$5:$F$1504,$B$3,业务流水!$D$5:$D$1504,"销项开票",业务流水!$C$5:$C$1504,$A380,业务流水!$Z$5:$Z$1504,"是"))</f>
        <v/>
      </c>
      <c r="G380" s="42" t="str">
        <f aca="false">IF($A380="","",$E380-$F380)</f>
        <v/>
      </c>
      <c r="H380" s="41" t="str">
        <f aca="false">IF($A380="","",SUMIFS(业务流水!$W$5:$W$1504,业务流水!$E$5:$E$1504,$B$3,业务流水!$D$5:$D$1504,"销项开票",业务流水!$C$5:$C$1504,$A380,业务流水!$Z$5:$Z$1504,"是"))</f>
        <v/>
      </c>
      <c r="I380" s="41" t="str">
        <f aca="false">IF($A380="","",SUMIFS(业务流水!$H$5:$H$1504,业务流水!$E$5:$E$1504,$B$3,业务流水!$D$5:$D$1504,"已交税",业务流水!$C$5:$C$1504,$A380,业务流水!$Z$5:$Z$1504,"是"))</f>
        <v/>
      </c>
      <c r="J380" s="42" t="str">
        <f aca="false">IF($A380="","",$H380-$I380)</f>
        <v/>
      </c>
      <c r="K380" s="41" t="str">
        <f aca="false">IF($A380="","",SUMIFS(业务流水!$H$5:$H$1504,业务流水!$F$5:$F$1504,$B$3,业务流水!$D$5:$D$1504,"挂靠代收",业务流水!$C$5:$C$1504,$A380,业务流水!$Z$5:$Z$1504,"是"))</f>
        <v/>
      </c>
      <c r="L380" s="42" t="str">
        <f aca="false">IF($A380="","",$C380-$K380)</f>
        <v/>
      </c>
      <c r="M380" s="41" t="str">
        <f aca="false">IF($A380="","",SUMIFS(业务流水!$H$5:$H$1504,业务流水!$E$5:$E$1504,$B$3,业务流水!$D$5:$D$1504,"我方收款",业务流水!$C$5:$C$1504,$A380,业务流水!$Z$5:$Z$1504,"是"))</f>
        <v/>
      </c>
      <c r="N380" s="43" t="str">
        <f aca="false">IF($A380="","",$K380-$M380)</f>
        <v/>
      </c>
      <c r="O380" s="41" t="str">
        <f aca="false">IF($A380="","",SUMIFS(业务流水!$H$5:$H$1504,业务流水!$F$5:$F$1504,$B$3,业务流水!$D$5:$D$1504,"管理费结算",业务流水!$C$5:$C$1504,$A380,业务流水!$Z$5:$Z$1504,"是"))</f>
        <v/>
      </c>
      <c r="P380" s="41" t="str">
        <f aca="false">IF($A380="","",SUMIFS(业务流水!$H$5:$H$1504,业务流水!$E$5:$E$1504,$B$3,业务流水!$D$5:$D$1504,"扣质保金",业务流水!$C$5:$C$1504,$A380,业务流水!$Z$5:$Z$1504,"是"))</f>
        <v/>
      </c>
      <c r="Q380" s="48" t="str">
        <f aca="false">IF($A380="","",IF(SUM($C380:$F380)+SUM($K380:$M380)=0,"无","有"))</f>
        <v/>
      </c>
    </row>
    <row r="381" customFormat="false" ht="15.75" hidden="false" customHeight="true" outlineLevel="0" collapsed="false">
      <c r="A381" s="32" t="str">
        <f aca="false">IF(项目档案!$A381="","",项目档案!$A381)</f>
        <v/>
      </c>
      <c r="B381" s="40" t="str">
        <f aca="false">IF($A381="","",项目档案!$B381)</f>
        <v/>
      </c>
      <c r="C381" s="41" t="str">
        <f aca="false">IF($A381="","",SUMIFS(业务流水!$H$5:$H$1504,业务流水!$E$5:$E$1504,$B$3,业务流水!$D$5:$D$1504,"销项开票",业务流水!$C$5:$C$1504,$A381,业务流水!$Z$5:$Z$1504,"是"))</f>
        <v/>
      </c>
      <c r="D381" s="41" t="str">
        <f aca="false">IF($A381="","",SUMIFS(业务流水!$O$5:$O$1504,业务流水!$E$5:$E$1504,$B$3,业务流水!$D$5:$D$1504,"销项开票",业务流水!$C$5:$C$1504,$A381,业务流水!$Z$5:$Z$1504,"是"))</f>
        <v/>
      </c>
      <c r="E381" s="41" t="str">
        <f aca="false">IF($A381="","",SUMIFS(业务流水!$P$5:$P$1504,业务流水!$E$5:$E$1504,$B$3,业务流水!$D$5:$D$1504,"销项开票",业务流水!$C$5:$C$1504,$A381,业务流水!$Z$5:$Z$1504,"是"))</f>
        <v/>
      </c>
      <c r="F381" s="41" t="str">
        <f aca="false">IF($A381="","",SUMIFS(业务流水!$H$5:$H$1504,业务流水!$F$5:$F$1504,$B$3,业务流水!$D$5:$D$1504,"成本票",业务流水!$C$5:$C$1504,$A381,业务流水!$Z$5:$Z$1504,"是")+SUMIFS(业务流水!$H$5:$H$1504,业务流水!$F$5:$F$1504,$B$3,业务流水!$D$5:$D$1504,"销项开票",业务流水!$C$5:$C$1504,$A381,业务流水!$Z$5:$Z$1504,"是"))</f>
        <v/>
      </c>
      <c r="G381" s="42" t="str">
        <f aca="false">IF($A381="","",$E381-$F381)</f>
        <v/>
      </c>
      <c r="H381" s="41" t="str">
        <f aca="false">IF($A381="","",SUMIFS(业务流水!$W$5:$W$1504,业务流水!$E$5:$E$1504,$B$3,业务流水!$D$5:$D$1504,"销项开票",业务流水!$C$5:$C$1504,$A381,业务流水!$Z$5:$Z$1504,"是"))</f>
        <v/>
      </c>
      <c r="I381" s="41" t="str">
        <f aca="false">IF($A381="","",SUMIFS(业务流水!$H$5:$H$1504,业务流水!$E$5:$E$1504,$B$3,业务流水!$D$5:$D$1504,"已交税",业务流水!$C$5:$C$1504,$A381,业务流水!$Z$5:$Z$1504,"是"))</f>
        <v/>
      </c>
      <c r="J381" s="42" t="str">
        <f aca="false">IF($A381="","",$H381-$I381)</f>
        <v/>
      </c>
      <c r="K381" s="41" t="str">
        <f aca="false">IF($A381="","",SUMIFS(业务流水!$H$5:$H$1504,业务流水!$F$5:$F$1504,$B$3,业务流水!$D$5:$D$1504,"挂靠代收",业务流水!$C$5:$C$1504,$A381,业务流水!$Z$5:$Z$1504,"是"))</f>
        <v/>
      </c>
      <c r="L381" s="42" t="str">
        <f aca="false">IF($A381="","",$C381-$K381)</f>
        <v/>
      </c>
      <c r="M381" s="41" t="str">
        <f aca="false">IF($A381="","",SUMIFS(业务流水!$H$5:$H$1504,业务流水!$E$5:$E$1504,$B$3,业务流水!$D$5:$D$1504,"我方收款",业务流水!$C$5:$C$1504,$A381,业务流水!$Z$5:$Z$1504,"是"))</f>
        <v/>
      </c>
      <c r="N381" s="43" t="str">
        <f aca="false">IF($A381="","",$K381-$M381)</f>
        <v/>
      </c>
      <c r="O381" s="41" t="str">
        <f aca="false">IF($A381="","",SUMIFS(业务流水!$H$5:$H$1504,业务流水!$F$5:$F$1504,$B$3,业务流水!$D$5:$D$1504,"管理费结算",业务流水!$C$5:$C$1504,$A381,业务流水!$Z$5:$Z$1504,"是"))</f>
        <v/>
      </c>
      <c r="P381" s="41" t="str">
        <f aca="false">IF($A381="","",SUMIFS(业务流水!$H$5:$H$1504,业务流水!$E$5:$E$1504,$B$3,业务流水!$D$5:$D$1504,"扣质保金",业务流水!$C$5:$C$1504,$A381,业务流水!$Z$5:$Z$1504,"是"))</f>
        <v/>
      </c>
      <c r="Q381" s="48" t="str">
        <f aca="false">IF($A381="","",IF(SUM($C381:$F381)+SUM($K381:$M381)=0,"无","有"))</f>
        <v/>
      </c>
    </row>
    <row r="382" customFormat="false" ht="15.75" hidden="false" customHeight="true" outlineLevel="0" collapsed="false">
      <c r="A382" s="32" t="str">
        <f aca="false">IF(项目档案!$A382="","",项目档案!$A382)</f>
        <v/>
      </c>
      <c r="B382" s="40" t="str">
        <f aca="false">IF($A382="","",项目档案!$B382)</f>
        <v/>
      </c>
      <c r="C382" s="41" t="str">
        <f aca="false">IF($A382="","",SUMIFS(业务流水!$H$5:$H$1504,业务流水!$E$5:$E$1504,$B$3,业务流水!$D$5:$D$1504,"销项开票",业务流水!$C$5:$C$1504,$A382,业务流水!$Z$5:$Z$1504,"是"))</f>
        <v/>
      </c>
      <c r="D382" s="41" t="str">
        <f aca="false">IF($A382="","",SUMIFS(业务流水!$O$5:$O$1504,业务流水!$E$5:$E$1504,$B$3,业务流水!$D$5:$D$1504,"销项开票",业务流水!$C$5:$C$1504,$A382,业务流水!$Z$5:$Z$1504,"是"))</f>
        <v/>
      </c>
      <c r="E382" s="41" t="str">
        <f aca="false">IF($A382="","",SUMIFS(业务流水!$P$5:$P$1504,业务流水!$E$5:$E$1504,$B$3,业务流水!$D$5:$D$1504,"销项开票",业务流水!$C$5:$C$1504,$A382,业务流水!$Z$5:$Z$1504,"是"))</f>
        <v/>
      </c>
      <c r="F382" s="41" t="str">
        <f aca="false">IF($A382="","",SUMIFS(业务流水!$H$5:$H$1504,业务流水!$F$5:$F$1504,$B$3,业务流水!$D$5:$D$1504,"成本票",业务流水!$C$5:$C$1504,$A382,业务流水!$Z$5:$Z$1504,"是")+SUMIFS(业务流水!$H$5:$H$1504,业务流水!$F$5:$F$1504,$B$3,业务流水!$D$5:$D$1504,"销项开票",业务流水!$C$5:$C$1504,$A382,业务流水!$Z$5:$Z$1504,"是"))</f>
        <v/>
      </c>
      <c r="G382" s="42" t="str">
        <f aca="false">IF($A382="","",$E382-$F382)</f>
        <v/>
      </c>
      <c r="H382" s="41" t="str">
        <f aca="false">IF($A382="","",SUMIFS(业务流水!$W$5:$W$1504,业务流水!$E$5:$E$1504,$B$3,业务流水!$D$5:$D$1504,"销项开票",业务流水!$C$5:$C$1504,$A382,业务流水!$Z$5:$Z$1504,"是"))</f>
        <v/>
      </c>
      <c r="I382" s="41" t="str">
        <f aca="false">IF($A382="","",SUMIFS(业务流水!$H$5:$H$1504,业务流水!$E$5:$E$1504,$B$3,业务流水!$D$5:$D$1504,"已交税",业务流水!$C$5:$C$1504,$A382,业务流水!$Z$5:$Z$1504,"是"))</f>
        <v/>
      </c>
      <c r="J382" s="42" t="str">
        <f aca="false">IF($A382="","",$H382-$I382)</f>
        <v/>
      </c>
      <c r="K382" s="41" t="str">
        <f aca="false">IF($A382="","",SUMIFS(业务流水!$H$5:$H$1504,业务流水!$F$5:$F$1504,$B$3,业务流水!$D$5:$D$1504,"挂靠代收",业务流水!$C$5:$C$1504,$A382,业务流水!$Z$5:$Z$1504,"是"))</f>
        <v/>
      </c>
      <c r="L382" s="42" t="str">
        <f aca="false">IF($A382="","",$C382-$K382)</f>
        <v/>
      </c>
      <c r="M382" s="41" t="str">
        <f aca="false">IF($A382="","",SUMIFS(业务流水!$H$5:$H$1504,业务流水!$E$5:$E$1504,$B$3,业务流水!$D$5:$D$1504,"我方收款",业务流水!$C$5:$C$1504,$A382,业务流水!$Z$5:$Z$1504,"是"))</f>
        <v/>
      </c>
      <c r="N382" s="43" t="str">
        <f aca="false">IF($A382="","",$K382-$M382)</f>
        <v/>
      </c>
      <c r="O382" s="41" t="str">
        <f aca="false">IF($A382="","",SUMIFS(业务流水!$H$5:$H$1504,业务流水!$F$5:$F$1504,$B$3,业务流水!$D$5:$D$1504,"管理费结算",业务流水!$C$5:$C$1504,$A382,业务流水!$Z$5:$Z$1504,"是"))</f>
        <v/>
      </c>
      <c r="P382" s="41" t="str">
        <f aca="false">IF($A382="","",SUMIFS(业务流水!$H$5:$H$1504,业务流水!$E$5:$E$1504,$B$3,业务流水!$D$5:$D$1504,"扣质保金",业务流水!$C$5:$C$1504,$A382,业务流水!$Z$5:$Z$1504,"是"))</f>
        <v/>
      </c>
      <c r="Q382" s="48" t="str">
        <f aca="false">IF($A382="","",IF(SUM($C382:$F382)+SUM($K382:$M382)=0,"无","有"))</f>
        <v/>
      </c>
    </row>
    <row r="383" customFormat="false" ht="15.75" hidden="false" customHeight="true" outlineLevel="0" collapsed="false">
      <c r="A383" s="32" t="str">
        <f aca="false">IF(项目档案!$A383="","",项目档案!$A383)</f>
        <v/>
      </c>
      <c r="B383" s="40" t="str">
        <f aca="false">IF($A383="","",项目档案!$B383)</f>
        <v/>
      </c>
      <c r="C383" s="41" t="str">
        <f aca="false">IF($A383="","",SUMIFS(业务流水!$H$5:$H$1504,业务流水!$E$5:$E$1504,$B$3,业务流水!$D$5:$D$1504,"销项开票",业务流水!$C$5:$C$1504,$A383,业务流水!$Z$5:$Z$1504,"是"))</f>
        <v/>
      </c>
      <c r="D383" s="41" t="str">
        <f aca="false">IF($A383="","",SUMIFS(业务流水!$O$5:$O$1504,业务流水!$E$5:$E$1504,$B$3,业务流水!$D$5:$D$1504,"销项开票",业务流水!$C$5:$C$1504,$A383,业务流水!$Z$5:$Z$1504,"是"))</f>
        <v/>
      </c>
      <c r="E383" s="41" t="str">
        <f aca="false">IF($A383="","",SUMIFS(业务流水!$P$5:$P$1504,业务流水!$E$5:$E$1504,$B$3,业务流水!$D$5:$D$1504,"销项开票",业务流水!$C$5:$C$1504,$A383,业务流水!$Z$5:$Z$1504,"是"))</f>
        <v/>
      </c>
      <c r="F383" s="41" t="str">
        <f aca="false">IF($A383="","",SUMIFS(业务流水!$H$5:$H$1504,业务流水!$F$5:$F$1504,$B$3,业务流水!$D$5:$D$1504,"成本票",业务流水!$C$5:$C$1504,$A383,业务流水!$Z$5:$Z$1504,"是")+SUMIFS(业务流水!$H$5:$H$1504,业务流水!$F$5:$F$1504,$B$3,业务流水!$D$5:$D$1504,"销项开票",业务流水!$C$5:$C$1504,$A383,业务流水!$Z$5:$Z$1504,"是"))</f>
        <v/>
      </c>
      <c r="G383" s="42" t="str">
        <f aca="false">IF($A383="","",$E383-$F383)</f>
        <v/>
      </c>
      <c r="H383" s="41" t="str">
        <f aca="false">IF($A383="","",SUMIFS(业务流水!$W$5:$W$1504,业务流水!$E$5:$E$1504,$B$3,业务流水!$D$5:$D$1504,"销项开票",业务流水!$C$5:$C$1504,$A383,业务流水!$Z$5:$Z$1504,"是"))</f>
        <v/>
      </c>
      <c r="I383" s="41" t="str">
        <f aca="false">IF($A383="","",SUMIFS(业务流水!$H$5:$H$1504,业务流水!$E$5:$E$1504,$B$3,业务流水!$D$5:$D$1504,"已交税",业务流水!$C$5:$C$1504,$A383,业务流水!$Z$5:$Z$1504,"是"))</f>
        <v/>
      </c>
      <c r="J383" s="42" t="str">
        <f aca="false">IF($A383="","",$H383-$I383)</f>
        <v/>
      </c>
      <c r="K383" s="41" t="str">
        <f aca="false">IF($A383="","",SUMIFS(业务流水!$H$5:$H$1504,业务流水!$F$5:$F$1504,$B$3,业务流水!$D$5:$D$1504,"挂靠代收",业务流水!$C$5:$C$1504,$A383,业务流水!$Z$5:$Z$1504,"是"))</f>
        <v/>
      </c>
      <c r="L383" s="42" t="str">
        <f aca="false">IF($A383="","",$C383-$K383)</f>
        <v/>
      </c>
      <c r="M383" s="41" t="str">
        <f aca="false">IF($A383="","",SUMIFS(业务流水!$H$5:$H$1504,业务流水!$E$5:$E$1504,$B$3,业务流水!$D$5:$D$1504,"我方收款",业务流水!$C$5:$C$1504,$A383,业务流水!$Z$5:$Z$1504,"是"))</f>
        <v/>
      </c>
      <c r="N383" s="43" t="str">
        <f aca="false">IF($A383="","",$K383-$M383)</f>
        <v/>
      </c>
      <c r="O383" s="41" t="str">
        <f aca="false">IF($A383="","",SUMIFS(业务流水!$H$5:$H$1504,业务流水!$F$5:$F$1504,$B$3,业务流水!$D$5:$D$1504,"管理费结算",业务流水!$C$5:$C$1504,$A383,业务流水!$Z$5:$Z$1504,"是"))</f>
        <v/>
      </c>
      <c r="P383" s="41" t="str">
        <f aca="false">IF($A383="","",SUMIFS(业务流水!$H$5:$H$1504,业务流水!$E$5:$E$1504,$B$3,业务流水!$D$5:$D$1504,"扣质保金",业务流水!$C$5:$C$1504,$A383,业务流水!$Z$5:$Z$1504,"是"))</f>
        <v/>
      </c>
      <c r="Q383" s="48" t="str">
        <f aca="false">IF($A383="","",IF(SUM($C383:$F383)+SUM($K383:$M383)=0,"无","有"))</f>
        <v/>
      </c>
    </row>
    <row r="384" customFormat="false" ht="15.75" hidden="false" customHeight="true" outlineLevel="0" collapsed="false">
      <c r="A384" s="32" t="str">
        <f aca="false">IF(项目档案!$A384="","",项目档案!$A384)</f>
        <v/>
      </c>
      <c r="B384" s="40" t="str">
        <f aca="false">IF($A384="","",项目档案!$B384)</f>
        <v/>
      </c>
      <c r="C384" s="41" t="str">
        <f aca="false">IF($A384="","",SUMIFS(业务流水!$H$5:$H$1504,业务流水!$E$5:$E$1504,$B$3,业务流水!$D$5:$D$1504,"销项开票",业务流水!$C$5:$C$1504,$A384,业务流水!$Z$5:$Z$1504,"是"))</f>
        <v/>
      </c>
      <c r="D384" s="41" t="str">
        <f aca="false">IF($A384="","",SUMIFS(业务流水!$O$5:$O$1504,业务流水!$E$5:$E$1504,$B$3,业务流水!$D$5:$D$1504,"销项开票",业务流水!$C$5:$C$1504,$A384,业务流水!$Z$5:$Z$1504,"是"))</f>
        <v/>
      </c>
      <c r="E384" s="41" t="str">
        <f aca="false">IF($A384="","",SUMIFS(业务流水!$P$5:$P$1504,业务流水!$E$5:$E$1504,$B$3,业务流水!$D$5:$D$1504,"销项开票",业务流水!$C$5:$C$1504,$A384,业务流水!$Z$5:$Z$1504,"是"))</f>
        <v/>
      </c>
      <c r="F384" s="41" t="str">
        <f aca="false">IF($A384="","",SUMIFS(业务流水!$H$5:$H$1504,业务流水!$F$5:$F$1504,$B$3,业务流水!$D$5:$D$1504,"成本票",业务流水!$C$5:$C$1504,$A384,业务流水!$Z$5:$Z$1504,"是")+SUMIFS(业务流水!$H$5:$H$1504,业务流水!$F$5:$F$1504,$B$3,业务流水!$D$5:$D$1504,"销项开票",业务流水!$C$5:$C$1504,$A384,业务流水!$Z$5:$Z$1504,"是"))</f>
        <v/>
      </c>
      <c r="G384" s="42" t="str">
        <f aca="false">IF($A384="","",$E384-$F384)</f>
        <v/>
      </c>
      <c r="H384" s="41" t="str">
        <f aca="false">IF($A384="","",SUMIFS(业务流水!$W$5:$W$1504,业务流水!$E$5:$E$1504,$B$3,业务流水!$D$5:$D$1504,"销项开票",业务流水!$C$5:$C$1504,$A384,业务流水!$Z$5:$Z$1504,"是"))</f>
        <v/>
      </c>
      <c r="I384" s="41" t="str">
        <f aca="false">IF($A384="","",SUMIFS(业务流水!$H$5:$H$1504,业务流水!$E$5:$E$1504,$B$3,业务流水!$D$5:$D$1504,"已交税",业务流水!$C$5:$C$1504,$A384,业务流水!$Z$5:$Z$1504,"是"))</f>
        <v/>
      </c>
      <c r="J384" s="42" t="str">
        <f aca="false">IF($A384="","",$H384-$I384)</f>
        <v/>
      </c>
      <c r="K384" s="41" t="str">
        <f aca="false">IF($A384="","",SUMIFS(业务流水!$H$5:$H$1504,业务流水!$F$5:$F$1504,$B$3,业务流水!$D$5:$D$1504,"挂靠代收",业务流水!$C$5:$C$1504,$A384,业务流水!$Z$5:$Z$1504,"是"))</f>
        <v/>
      </c>
      <c r="L384" s="42" t="str">
        <f aca="false">IF($A384="","",$C384-$K384)</f>
        <v/>
      </c>
      <c r="M384" s="41" t="str">
        <f aca="false">IF($A384="","",SUMIFS(业务流水!$H$5:$H$1504,业务流水!$E$5:$E$1504,$B$3,业务流水!$D$5:$D$1504,"我方收款",业务流水!$C$5:$C$1504,$A384,业务流水!$Z$5:$Z$1504,"是"))</f>
        <v/>
      </c>
      <c r="N384" s="43" t="str">
        <f aca="false">IF($A384="","",$K384-$M384)</f>
        <v/>
      </c>
      <c r="O384" s="41" t="str">
        <f aca="false">IF($A384="","",SUMIFS(业务流水!$H$5:$H$1504,业务流水!$F$5:$F$1504,$B$3,业务流水!$D$5:$D$1504,"管理费结算",业务流水!$C$5:$C$1504,$A384,业务流水!$Z$5:$Z$1504,"是"))</f>
        <v/>
      </c>
      <c r="P384" s="41" t="str">
        <f aca="false">IF($A384="","",SUMIFS(业务流水!$H$5:$H$1504,业务流水!$E$5:$E$1504,$B$3,业务流水!$D$5:$D$1504,"扣质保金",业务流水!$C$5:$C$1504,$A384,业务流水!$Z$5:$Z$1504,"是"))</f>
        <v/>
      </c>
      <c r="Q384" s="48" t="str">
        <f aca="false">IF($A384="","",IF(SUM($C384:$F384)+SUM($K384:$M384)=0,"无","有"))</f>
        <v/>
      </c>
    </row>
    <row r="385" customFormat="false" ht="15.75" hidden="false" customHeight="true" outlineLevel="0" collapsed="false">
      <c r="A385" s="32" t="str">
        <f aca="false">IF(项目档案!$A385="","",项目档案!$A385)</f>
        <v/>
      </c>
      <c r="B385" s="40" t="str">
        <f aca="false">IF($A385="","",项目档案!$B385)</f>
        <v/>
      </c>
      <c r="C385" s="41" t="str">
        <f aca="false">IF($A385="","",SUMIFS(业务流水!$H$5:$H$1504,业务流水!$E$5:$E$1504,$B$3,业务流水!$D$5:$D$1504,"销项开票",业务流水!$C$5:$C$1504,$A385,业务流水!$Z$5:$Z$1504,"是"))</f>
        <v/>
      </c>
      <c r="D385" s="41" t="str">
        <f aca="false">IF($A385="","",SUMIFS(业务流水!$O$5:$O$1504,业务流水!$E$5:$E$1504,$B$3,业务流水!$D$5:$D$1504,"销项开票",业务流水!$C$5:$C$1504,$A385,业务流水!$Z$5:$Z$1504,"是"))</f>
        <v/>
      </c>
      <c r="E385" s="41" t="str">
        <f aca="false">IF($A385="","",SUMIFS(业务流水!$P$5:$P$1504,业务流水!$E$5:$E$1504,$B$3,业务流水!$D$5:$D$1504,"销项开票",业务流水!$C$5:$C$1504,$A385,业务流水!$Z$5:$Z$1504,"是"))</f>
        <v/>
      </c>
      <c r="F385" s="41" t="str">
        <f aca="false">IF($A385="","",SUMIFS(业务流水!$H$5:$H$1504,业务流水!$F$5:$F$1504,$B$3,业务流水!$D$5:$D$1504,"成本票",业务流水!$C$5:$C$1504,$A385,业务流水!$Z$5:$Z$1504,"是")+SUMIFS(业务流水!$H$5:$H$1504,业务流水!$F$5:$F$1504,$B$3,业务流水!$D$5:$D$1504,"销项开票",业务流水!$C$5:$C$1504,$A385,业务流水!$Z$5:$Z$1504,"是"))</f>
        <v/>
      </c>
      <c r="G385" s="42" t="str">
        <f aca="false">IF($A385="","",$E385-$F385)</f>
        <v/>
      </c>
      <c r="H385" s="41" t="str">
        <f aca="false">IF($A385="","",SUMIFS(业务流水!$W$5:$W$1504,业务流水!$E$5:$E$1504,$B$3,业务流水!$D$5:$D$1504,"销项开票",业务流水!$C$5:$C$1504,$A385,业务流水!$Z$5:$Z$1504,"是"))</f>
        <v/>
      </c>
      <c r="I385" s="41" t="str">
        <f aca="false">IF($A385="","",SUMIFS(业务流水!$H$5:$H$1504,业务流水!$E$5:$E$1504,$B$3,业务流水!$D$5:$D$1504,"已交税",业务流水!$C$5:$C$1504,$A385,业务流水!$Z$5:$Z$1504,"是"))</f>
        <v/>
      </c>
      <c r="J385" s="42" t="str">
        <f aca="false">IF($A385="","",$H385-$I385)</f>
        <v/>
      </c>
      <c r="K385" s="41" t="str">
        <f aca="false">IF($A385="","",SUMIFS(业务流水!$H$5:$H$1504,业务流水!$F$5:$F$1504,$B$3,业务流水!$D$5:$D$1504,"挂靠代收",业务流水!$C$5:$C$1504,$A385,业务流水!$Z$5:$Z$1504,"是"))</f>
        <v/>
      </c>
      <c r="L385" s="42" t="str">
        <f aca="false">IF($A385="","",$C385-$K385)</f>
        <v/>
      </c>
      <c r="M385" s="41" t="str">
        <f aca="false">IF($A385="","",SUMIFS(业务流水!$H$5:$H$1504,业务流水!$E$5:$E$1504,$B$3,业务流水!$D$5:$D$1504,"我方收款",业务流水!$C$5:$C$1504,$A385,业务流水!$Z$5:$Z$1504,"是"))</f>
        <v/>
      </c>
      <c r="N385" s="43" t="str">
        <f aca="false">IF($A385="","",$K385-$M385)</f>
        <v/>
      </c>
      <c r="O385" s="41" t="str">
        <f aca="false">IF($A385="","",SUMIFS(业务流水!$H$5:$H$1504,业务流水!$F$5:$F$1504,$B$3,业务流水!$D$5:$D$1504,"管理费结算",业务流水!$C$5:$C$1504,$A385,业务流水!$Z$5:$Z$1504,"是"))</f>
        <v/>
      </c>
      <c r="P385" s="41" t="str">
        <f aca="false">IF($A385="","",SUMIFS(业务流水!$H$5:$H$1504,业务流水!$E$5:$E$1504,$B$3,业务流水!$D$5:$D$1504,"扣质保金",业务流水!$C$5:$C$1504,$A385,业务流水!$Z$5:$Z$1504,"是"))</f>
        <v/>
      </c>
      <c r="Q385" s="48" t="str">
        <f aca="false">IF($A385="","",IF(SUM($C385:$F385)+SUM($K385:$M385)=0,"无","有"))</f>
        <v/>
      </c>
    </row>
    <row r="386" customFormat="false" ht="15.75" hidden="false" customHeight="true" outlineLevel="0" collapsed="false">
      <c r="A386" s="32" t="str">
        <f aca="false">IF(项目档案!$A386="","",项目档案!$A386)</f>
        <v/>
      </c>
      <c r="B386" s="40" t="str">
        <f aca="false">IF($A386="","",项目档案!$B386)</f>
        <v/>
      </c>
      <c r="C386" s="41" t="str">
        <f aca="false">IF($A386="","",SUMIFS(业务流水!$H$5:$H$1504,业务流水!$E$5:$E$1504,$B$3,业务流水!$D$5:$D$1504,"销项开票",业务流水!$C$5:$C$1504,$A386,业务流水!$Z$5:$Z$1504,"是"))</f>
        <v/>
      </c>
      <c r="D386" s="41" t="str">
        <f aca="false">IF($A386="","",SUMIFS(业务流水!$O$5:$O$1504,业务流水!$E$5:$E$1504,$B$3,业务流水!$D$5:$D$1504,"销项开票",业务流水!$C$5:$C$1504,$A386,业务流水!$Z$5:$Z$1504,"是"))</f>
        <v/>
      </c>
      <c r="E386" s="41" t="str">
        <f aca="false">IF($A386="","",SUMIFS(业务流水!$P$5:$P$1504,业务流水!$E$5:$E$1504,$B$3,业务流水!$D$5:$D$1504,"销项开票",业务流水!$C$5:$C$1504,$A386,业务流水!$Z$5:$Z$1504,"是"))</f>
        <v/>
      </c>
      <c r="F386" s="41" t="str">
        <f aca="false">IF($A386="","",SUMIFS(业务流水!$H$5:$H$1504,业务流水!$F$5:$F$1504,$B$3,业务流水!$D$5:$D$1504,"成本票",业务流水!$C$5:$C$1504,$A386,业务流水!$Z$5:$Z$1504,"是")+SUMIFS(业务流水!$H$5:$H$1504,业务流水!$F$5:$F$1504,$B$3,业务流水!$D$5:$D$1504,"销项开票",业务流水!$C$5:$C$1504,$A386,业务流水!$Z$5:$Z$1504,"是"))</f>
        <v/>
      </c>
      <c r="G386" s="42" t="str">
        <f aca="false">IF($A386="","",$E386-$F386)</f>
        <v/>
      </c>
      <c r="H386" s="41" t="str">
        <f aca="false">IF($A386="","",SUMIFS(业务流水!$W$5:$W$1504,业务流水!$E$5:$E$1504,$B$3,业务流水!$D$5:$D$1504,"销项开票",业务流水!$C$5:$C$1504,$A386,业务流水!$Z$5:$Z$1504,"是"))</f>
        <v/>
      </c>
      <c r="I386" s="41" t="str">
        <f aca="false">IF($A386="","",SUMIFS(业务流水!$H$5:$H$1504,业务流水!$E$5:$E$1504,$B$3,业务流水!$D$5:$D$1504,"已交税",业务流水!$C$5:$C$1504,$A386,业务流水!$Z$5:$Z$1504,"是"))</f>
        <v/>
      </c>
      <c r="J386" s="42" t="str">
        <f aca="false">IF($A386="","",$H386-$I386)</f>
        <v/>
      </c>
      <c r="K386" s="41" t="str">
        <f aca="false">IF($A386="","",SUMIFS(业务流水!$H$5:$H$1504,业务流水!$F$5:$F$1504,$B$3,业务流水!$D$5:$D$1504,"挂靠代收",业务流水!$C$5:$C$1504,$A386,业务流水!$Z$5:$Z$1504,"是"))</f>
        <v/>
      </c>
      <c r="L386" s="42" t="str">
        <f aca="false">IF($A386="","",$C386-$K386)</f>
        <v/>
      </c>
      <c r="M386" s="41" t="str">
        <f aca="false">IF($A386="","",SUMIFS(业务流水!$H$5:$H$1504,业务流水!$E$5:$E$1504,$B$3,业务流水!$D$5:$D$1504,"我方收款",业务流水!$C$5:$C$1504,$A386,业务流水!$Z$5:$Z$1504,"是"))</f>
        <v/>
      </c>
      <c r="N386" s="43" t="str">
        <f aca="false">IF($A386="","",$K386-$M386)</f>
        <v/>
      </c>
      <c r="O386" s="41" t="str">
        <f aca="false">IF($A386="","",SUMIFS(业务流水!$H$5:$H$1504,业务流水!$F$5:$F$1504,$B$3,业务流水!$D$5:$D$1504,"管理费结算",业务流水!$C$5:$C$1504,$A386,业务流水!$Z$5:$Z$1504,"是"))</f>
        <v/>
      </c>
      <c r="P386" s="41" t="str">
        <f aca="false">IF($A386="","",SUMIFS(业务流水!$H$5:$H$1504,业务流水!$E$5:$E$1504,$B$3,业务流水!$D$5:$D$1504,"扣质保金",业务流水!$C$5:$C$1504,$A386,业务流水!$Z$5:$Z$1504,"是"))</f>
        <v/>
      </c>
      <c r="Q386" s="48" t="str">
        <f aca="false">IF($A386="","",IF(SUM($C386:$F386)+SUM($K386:$M386)=0,"无","有"))</f>
        <v/>
      </c>
    </row>
    <row r="387" customFormat="false" ht="15.75" hidden="false" customHeight="true" outlineLevel="0" collapsed="false">
      <c r="A387" s="32" t="str">
        <f aca="false">IF(项目档案!$A387="","",项目档案!$A387)</f>
        <v/>
      </c>
      <c r="B387" s="40" t="str">
        <f aca="false">IF($A387="","",项目档案!$B387)</f>
        <v/>
      </c>
      <c r="C387" s="41" t="str">
        <f aca="false">IF($A387="","",SUMIFS(业务流水!$H$5:$H$1504,业务流水!$E$5:$E$1504,$B$3,业务流水!$D$5:$D$1504,"销项开票",业务流水!$C$5:$C$1504,$A387,业务流水!$Z$5:$Z$1504,"是"))</f>
        <v/>
      </c>
      <c r="D387" s="41" t="str">
        <f aca="false">IF($A387="","",SUMIFS(业务流水!$O$5:$O$1504,业务流水!$E$5:$E$1504,$B$3,业务流水!$D$5:$D$1504,"销项开票",业务流水!$C$5:$C$1504,$A387,业务流水!$Z$5:$Z$1504,"是"))</f>
        <v/>
      </c>
      <c r="E387" s="41" t="str">
        <f aca="false">IF($A387="","",SUMIFS(业务流水!$P$5:$P$1504,业务流水!$E$5:$E$1504,$B$3,业务流水!$D$5:$D$1504,"销项开票",业务流水!$C$5:$C$1504,$A387,业务流水!$Z$5:$Z$1504,"是"))</f>
        <v/>
      </c>
      <c r="F387" s="41" t="str">
        <f aca="false">IF($A387="","",SUMIFS(业务流水!$H$5:$H$1504,业务流水!$F$5:$F$1504,$B$3,业务流水!$D$5:$D$1504,"成本票",业务流水!$C$5:$C$1504,$A387,业务流水!$Z$5:$Z$1504,"是")+SUMIFS(业务流水!$H$5:$H$1504,业务流水!$F$5:$F$1504,$B$3,业务流水!$D$5:$D$1504,"销项开票",业务流水!$C$5:$C$1504,$A387,业务流水!$Z$5:$Z$1504,"是"))</f>
        <v/>
      </c>
      <c r="G387" s="42" t="str">
        <f aca="false">IF($A387="","",$E387-$F387)</f>
        <v/>
      </c>
      <c r="H387" s="41" t="str">
        <f aca="false">IF($A387="","",SUMIFS(业务流水!$W$5:$W$1504,业务流水!$E$5:$E$1504,$B$3,业务流水!$D$5:$D$1504,"销项开票",业务流水!$C$5:$C$1504,$A387,业务流水!$Z$5:$Z$1504,"是"))</f>
        <v/>
      </c>
      <c r="I387" s="41" t="str">
        <f aca="false">IF($A387="","",SUMIFS(业务流水!$H$5:$H$1504,业务流水!$E$5:$E$1504,$B$3,业务流水!$D$5:$D$1504,"已交税",业务流水!$C$5:$C$1504,$A387,业务流水!$Z$5:$Z$1504,"是"))</f>
        <v/>
      </c>
      <c r="J387" s="42" t="str">
        <f aca="false">IF($A387="","",$H387-$I387)</f>
        <v/>
      </c>
      <c r="K387" s="41" t="str">
        <f aca="false">IF($A387="","",SUMIFS(业务流水!$H$5:$H$1504,业务流水!$F$5:$F$1504,$B$3,业务流水!$D$5:$D$1504,"挂靠代收",业务流水!$C$5:$C$1504,$A387,业务流水!$Z$5:$Z$1504,"是"))</f>
        <v/>
      </c>
      <c r="L387" s="42" t="str">
        <f aca="false">IF($A387="","",$C387-$K387)</f>
        <v/>
      </c>
      <c r="M387" s="41" t="str">
        <f aca="false">IF($A387="","",SUMIFS(业务流水!$H$5:$H$1504,业务流水!$E$5:$E$1504,$B$3,业务流水!$D$5:$D$1504,"我方收款",业务流水!$C$5:$C$1504,$A387,业务流水!$Z$5:$Z$1504,"是"))</f>
        <v/>
      </c>
      <c r="N387" s="43" t="str">
        <f aca="false">IF($A387="","",$K387-$M387)</f>
        <v/>
      </c>
      <c r="O387" s="41" t="str">
        <f aca="false">IF($A387="","",SUMIFS(业务流水!$H$5:$H$1504,业务流水!$F$5:$F$1504,$B$3,业务流水!$D$5:$D$1504,"管理费结算",业务流水!$C$5:$C$1504,$A387,业务流水!$Z$5:$Z$1504,"是"))</f>
        <v/>
      </c>
      <c r="P387" s="41" t="str">
        <f aca="false">IF($A387="","",SUMIFS(业务流水!$H$5:$H$1504,业务流水!$E$5:$E$1504,$B$3,业务流水!$D$5:$D$1504,"扣质保金",业务流水!$C$5:$C$1504,$A387,业务流水!$Z$5:$Z$1504,"是"))</f>
        <v/>
      </c>
      <c r="Q387" s="48" t="str">
        <f aca="false">IF($A387="","",IF(SUM($C387:$F387)+SUM($K387:$M387)=0,"无","有"))</f>
        <v/>
      </c>
    </row>
    <row r="388" customFormat="false" ht="15.75" hidden="false" customHeight="true" outlineLevel="0" collapsed="false">
      <c r="A388" s="32" t="str">
        <f aca="false">IF(项目档案!$A388="","",项目档案!$A388)</f>
        <v/>
      </c>
      <c r="B388" s="40" t="str">
        <f aca="false">IF($A388="","",项目档案!$B388)</f>
        <v/>
      </c>
      <c r="C388" s="41" t="str">
        <f aca="false">IF($A388="","",SUMIFS(业务流水!$H$5:$H$1504,业务流水!$E$5:$E$1504,$B$3,业务流水!$D$5:$D$1504,"销项开票",业务流水!$C$5:$C$1504,$A388,业务流水!$Z$5:$Z$1504,"是"))</f>
        <v/>
      </c>
      <c r="D388" s="41" t="str">
        <f aca="false">IF($A388="","",SUMIFS(业务流水!$O$5:$O$1504,业务流水!$E$5:$E$1504,$B$3,业务流水!$D$5:$D$1504,"销项开票",业务流水!$C$5:$C$1504,$A388,业务流水!$Z$5:$Z$1504,"是"))</f>
        <v/>
      </c>
      <c r="E388" s="41" t="str">
        <f aca="false">IF($A388="","",SUMIFS(业务流水!$P$5:$P$1504,业务流水!$E$5:$E$1504,$B$3,业务流水!$D$5:$D$1504,"销项开票",业务流水!$C$5:$C$1504,$A388,业务流水!$Z$5:$Z$1504,"是"))</f>
        <v/>
      </c>
      <c r="F388" s="41" t="str">
        <f aca="false">IF($A388="","",SUMIFS(业务流水!$H$5:$H$1504,业务流水!$F$5:$F$1504,$B$3,业务流水!$D$5:$D$1504,"成本票",业务流水!$C$5:$C$1504,$A388,业务流水!$Z$5:$Z$1504,"是")+SUMIFS(业务流水!$H$5:$H$1504,业务流水!$F$5:$F$1504,$B$3,业务流水!$D$5:$D$1504,"销项开票",业务流水!$C$5:$C$1504,$A388,业务流水!$Z$5:$Z$1504,"是"))</f>
        <v/>
      </c>
      <c r="G388" s="42" t="str">
        <f aca="false">IF($A388="","",$E388-$F388)</f>
        <v/>
      </c>
      <c r="H388" s="41" t="str">
        <f aca="false">IF($A388="","",SUMIFS(业务流水!$W$5:$W$1504,业务流水!$E$5:$E$1504,$B$3,业务流水!$D$5:$D$1504,"销项开票",业务流水!$C$5:$C$1504,$A388,业务流水!$Z$5:$Z$1504,"是"))</f>
        <v/>
      </c>
      <c r="I388" s="41" t="str">
        <f aca="false">IF($A388="","",SUMIFS(业务流水!$H$5:$H$1504,业务流水!$E$5:$E$1504,$B$3,业务流水!$D$5:$D$1504,"已交税",业务流水!$C$5:$C$1504,$A388,业务流水!$Z$5:$Z$1504,"是"))</f>
        <v/>
      </c>
      <c r="J388" s="42" t="str">
        <f aca="false">IF($A388="","",$H388-$I388)</f>
        <v/>
      </c>
      <c r="K388" s="41" t="str">
        <f aca="false">IF($A388="","",SUMIFS(业务流水!$H$5:$H$1504,业务流水!$F$5:$F$1504,$B$3,业务流水!$D$5:$D$1504,"挂靠代收",业务流水!$C$5:$C$1504,$A388,业务流水!$Z$5:$Z$1504,"是"))</f>
        <v/>
      </c>
      <c r="L388" s="42" t="str">
        <f aca="false">IF($A388="","",$C388-$K388)</f>
        <v/>
      </c>
      <c r="M388" s="41" t="str">
        <f aca="false">IF($A388="","",SUMIFS(业务流水!$H$5:$H$1504,业务流水!$E$5:$E$1504,$B$3,业务流水!$D$5:$D$1504,"我方收款",业务流水!$C$5:$C$1504,$A388,业务流水!$Z$5:$Z$1504,"是"))</f>
        <v/>
      </c>
      <c r="N388" s="43" t="str">
        <f aca="false">IF($A388="","",$K388-$M388)</f>
        <v/>
      </c>
      <c r="O388" s="41" t="str">
        <f aca="false">IF($A388="","",SUMIFS(业务流水!$H$5:$H$1504,业务流水!$F$5:$F$1504,$B$3,业务流水!$D$5:$D$1504,"管理费结算",业务流水!$C$5:$C$1504,$A388,业务流水!$Z$5:$Z$1504,"是"))</f>
        <v/>
      </c>
      <c r="P388" s="41" t="str">
        <f aca="false">IF($A388="","",SUMIFS(业务流水!$H$5:$H$1504,业务流水!$E$5:$E$1504,$B$3,业务流水!$D$5:$D$1504,"扣质保金",业务流水!$C$5:$C$1504,$A388,业务流水!$Z$5:$Z$1504,"是"))</f>
        <v/>
      </c>
      <c r="Q388" s="48" t="str">
        <f aca="false">IF($A388="","",IF(SUM($C388:$F388)+SUM($K388:$M388)=0,"无","有"))</f>
        <v/>
      </c>
    </row>
    <row r="389" customFormat="false" ht="15.75" hidden="false" customHeight="true" outlineLevel="0" collapsed="false">
      <c r="A389" s="32" t="str">
        <f aca="false">IF(项目档案!$A389="","",项目档案!$A389)</f>
        <v/>
      </c>
      <c r="B389" s="40" t="str">
        <f aca="false">IF($A389="","",项目档案!$B389)</f>
        <v/>
      </c>
      <c r="C389" s="41" t="str">
        <f aca="false">IF($A389="","",SUMIFS(业务流水!$H$5:$H$1504,业务流水!$E$5:$E$1504,$B$3,业务流水!$D$5:$D$1504,"销项开票",业务流水!$C$5:$C$1504,$A389,业务流水!$Z$5:$Z$1504,"是"))</f>
        <v/>
      </c>
      <c r="D389" s="41" t="str">
        <f aca="false">IF($A389="","",SUMIFS(业务流水!$O$5:$O$1504,业务流水!$E$5:$E$1504,$B$3,业务流水!$D$5:$D$1504,"销项开票",业务流水!$C$5:$C$1504,$A389,业务流水!$Z$5:$Z$1504,"是"))</f>
        <v/>
      </c>
      <c r="E389" s="41" t="str">
        <f aca="false">IF($A389="","",SUMIFS(业务流水!$P$5:$P$1504,业务流水!$E$5:$E$1504,$B$3,业务流水!$D$5:$D$1504,"销项开票",业务流水!$C$5:$C$1504,$A389,业务流水!$Z$5:$Z$1504,"是"))</f>
        <v/>
      </c>
      <c r="F389" s="41" t="str">
        <f aca="false">IF($A389="","",SUMIFS(业务流水!$H$5:$H$1504,业务流水!$F$5:$F$1504,$B$3,业务流水!$D$5:$D$1504,"成本票",业务流水!$C$5:$C$1504,$A389,业务流水!$Z$5:$Z$1504,"是")+SUMIFS(业务流水!$H$5:$H$1504,业务流水!$F$5:$F$1504,$B$3,业务流水!$D$5:$D$1504,"销项开票",业务流水!$C$5:$C$1504,$A389,业务流水!$Z$5:$Z$1504,"是"))</f>
        <v/>
      </c>
      <c r="G389" s="42" t="str">
        <f aca="false">IF($A389="","",$E389-$F389)</f>
        <v/>
      </c>
      <c r="H389" s="41" t="str">
        <f aca="false">IF($A389="","",SUMIFS(业务流水!$W$5:$W$1504,业务流水!$E$5:$E$1504,$B$3,业务流水!$D$5:$D$1504,"销项开票",业务流水!$C$5:$C$1504,$A389,业务流水!$Z$5:$Z$1504,"是"))</f>
        <v/>
      </c>
      <c r="I389" s="41" t="str">
        <f aca="false">IF($A389="","",SUMIFS(业务流水!$H$5:$H$1504,业务流水!$E$5:$E$1504,$B$3,业务流水!$D$5:$D$1504,"已交税",业务流水!$C$5:$C$1504,$A389,业务流水!$Z$5:$Z$1504,"是"))</f>
        <v/>
      </c>
      <c r="J389" s="42" t="str">
        <f aca="false">IF($A389="","",$H389-$I389)</f>
        <v/>
      </c>
      <c r="K389" s="41" t="str">
        <f aca="false">IF($A389="","",SUMIFS(业务流水!$H$5:$H$1504,业务流水!$F$5:$F$1504,$B$3,业务流水!$D$5:$D$1504,"挂靠代收",业务流水!$C$5:$C$1504,$A389,业务流水!$Z$5:$Z$1504,"是"))</f>
        <v/>
      </c>
      <c r="L389" s="42" t="str">
        <f aca="false">IF($A389="","",$C389-$K389)</f>
        <v/>
      </c>
      <c r="M389" s="41" t="str">
        <f aca="false">IF($A389="","",SUMIFS(业务流水!$H$5:$H$1504,业务流水!$E$5:$E$1504,$B$3,业务流水!$D$5:$D$1504,"我方收款",业务流水!$C$5:$C$1504,$A389,业务流水!$Z$5:$Z$1504,"是"))</f>
        <v/>
      </c>
      <c r="N389" s="43" t="str">
        <f aca="false">IF($A389="","",$K389-$M389)</f>
        <v/>
      </c>
      <c r="O389" s="41" t="str">
        <f aca="false">IF($A389="","",SUMIFS(业务流水!$H$5:$H$1504,业务流水!$F$5:$F$1504,$B$3,业务流水!$D$5:$D$1504,"管理费结算",业务流水!$C$5:$C$1504,$A389,业务流水!$Z$5:$Z$1504,"是"))</f>
        <v/>
      </c>
      <c r="P389" s="41" t="str">
        <f aca="false">IF($A389="","",SUMIFS(业务流水!$H$5:$H$1504,业务流水!$E$5:$E$1504,$B$3,业务流水!$D$5:$D$1504,"扣质保金",业务流水!$C$5:$C$1504,$A389,业务流水!$Z$5:$Z$1504,"是"))</f>
        <v/>
      </c>
      <c r="Q389" s="48" t="str">
        <f aca="false">IF($A389="","",IF(SUM($C389:$F389)+SUM($K389:$M389)=0,"无","有"))</f>
        <v/>
      </c>
    </row>
    <row r="390" customFormat="false" ht="15.75" hidden="false" customHeight="true" outlineLevel="0" collapsed="false">
      <c r="A390" s="32" t="str">
        <f aca="false">IF(项目档案!$A390="","",项目档案!$A390)</f>
        <v/>
      </c>
      <c r="B390" s="40" t="str">
        <f aca="false">IF($A390="","",项目档案!$B390)</f>
        <v/>
      </c>
      <c r="C390" s="41" t="str">
        <f aca="false">IF($A390="","",SUMIFS(业务流水!$H$5:$H$1504,业务流水!$E$5:$E$1504,$B$3,业务流水!$D$5:$D$1504,"销项开票",业务流水!$C$5:$C$1504,$A390,业务流水!$Z$5:$Z$1504,"是"))</f>
        <v/>
      </c>
      <c r="D390" s="41" t="str">
        <f aca="false">IF($A390="","",SUMIFS(业务流水!$O$5:$O$1504,业务流水!$E$5:$E$1504,$B$3,业务流水!$D$5:$D$1504,"销项开票",业务流水!$C$5:$C$1504,$A390,业务流水!$Z$5:$Z$1504,"是"))</f>
        <v/>
      </c>
      <c r="E390" s="41" t="str">
        <f aca="false">IF($A390="","",SUMIFS(业务流水!$P$5:$P$1504,业务流水!$E$5:$E$1504,$B$3,业务流水!$D$5:$D$1504,"销项开票",业务流水!$C$5:$C$1504,$A390,业务流水!$Z$5:$Z$1504,"是"))</f>
        <v/>
      </c>
      <c r="F390" s="41" t="str">
        <f aca="false">IF($A390="","",SUMIFS(业务流水!$H$5:$H$1504,业务流水!$F$5:$F$1504,$B$3,业务流水!$D$5:$D$1504,"成本票",业务流水!$C$5:$C$1504,$A390,业务流水!$Z$5:$Z$1504,"是")+SUMIFS(业务流水!$H$5:$H$1504,业务流水!$F$5:$F$1504,$B$3,业务流水!$D$5:$D$1504,"销项开票",业务流水!$C$5:$C$1504,$A390,业务流水!$Z$5:$Z$1504,"是"))</f>
        <v/>
      </c>
      <c r="G390" s="42" t="str">
        <f aca="false">IF($A390="","",$E390-$F390)</f>
        <v/>
      </c>
      <c r="H390" s="41" t="str">
        <f aca="false">IF($A390="","",SUMIFS(业务流水!$W$5:$W$1504,业务流水!$E$5:$E$1504,$B$3,业务流水!$D$5:$D$1504,"销项开票",业务流水!$C$5:$C$1504,$A390,业务流水!$Z$5:$Z$1504,"是"))</f>
        <v/>
      </c>
      <c r="I390" s="41" t="str">
        <f aca="false">IF($A390="","",SUMIFS(业务流水!$H$5:$H$1504,业务流水!$E$5:$E$1504,$B$3,业务流水!$D$5:$D$1504,"已交税",业务流水!$C$5:$C$1504,$A390,业务流水!$Z$5:$Z$1504,"是"))</f>
        <v/>
      </c>
      <c r="J390" s="42" t="str">
        <f aca="false">IF($A390="","",$H390-$I390)</f>
        <v/>
      </c>
      <c r="K390" s="41" t="str">
        <f aca="false">IF($A390="","",SUMIFS(业务流水!$H$5:$H$1504,业务流水!$F$5:$F$1504,$B$3,业务流水!$D$5:$D$1504,"挂靠代收",业务流水!$C$5:$C$1504,$A390,业务流水!$Z$5:$Z$1504,"是"))</f>
        <v/>
      </c>
      <c r="L390" s="42" t="str">
        <f aca="false">IF($A390="","",$C390-$K390)</f>
        <v/>
      </c>
      <c r="M390" s="41" t="str">
        <f aca="false">IF($A390="","",SUMIFS(业务流水!$H$5:$H$1504,业务流水!$E$5:$E$1504,$B$3,业务流水!$D$5:$D$1504,"我方收款",业务流水!$C$5:$C$1504,$A390,业务流水!$Z$5:$Z$1504,"是"))</f>
        <v/>
      </c>
      <c r="N390" s="43" t="str">
        <f aca="false">IF($A390="","",$K390-$M390)</f>
        <v/>
      </c>
      <c r="O390" s="41" t="str">
        <f aca="false">IF($A390="","",SUMIFS(业务流水!$H$5:$H$1504,业务流水!$F$5:$F$1504,$B$3,业务流水!$D$5:$D$1504,"管理费结算",业务流水!$C$5:$C$1504,$A390,业务流水!$Z$5:$Z$1504,"是"))</f>
        <v/>
      </c>
      <c r="P390" s="41" t="str">
        <f aca="false">IF($A390="","",SUMIFS(业务流水!$H$5:$H$1504,业务流水!$E$5:$E$1504,$B$3,业务流水!$D$5:$D$1504,"扣质保金",业务流水!$C$5:$C$1504,$A390,业务流水!$Z$5:$Z$1504,"是"))</f>
        <v/>
      </c>
      <c r="Q390" s="48" t="str">
        <f aca="false">IF($A390="","",IF(SUM($C390:$F390)+SUM($K390:$M390)=0,"无","有"))</f>
        <v/>
      </c>
    </row>
    <row r="391" customFormat="false" ht="15.75" hidden="false" customHeight="true" outlineLevel="0" collapsed="false">
      <c r="A391" s="32" t="str">
        <f aca="false">IF(项目档案!$A391="","",项目档案!$A391)</f>
        <v/>
      </c>
      <c r="B391" s="40" t="str">
        <f aca="false">IF($A391="","",项目档案!$B391)</f>
        <v/>
      </c>
      <c r="C391" s="41" t="str">
        <f aca="false">IF($A391="","",SUMIFS(业务流水!$H$5:$H$1504,业务流水!$E$5:$E$1504,$B$3,业务流水!$D$5:$D$1504,"销项开票",业务流水!$C$5:$C$1504,$A391,业务流水!$Z$5:$Z$1504,"是"))</f>
        <v/>
      </c>
      <c r="D391" s="41" t="str">
        <f aca="false">IF($A391="","",SUMIFS(业务流水!$O$5:$O$1504,业务流水!$E$5:$E$1504,$B$3,业务流水!$D$5:$D$1504,"销项开票",业务流水!$C$5:$C$1504,$A391,业务流水!$Z$5:$Z$1504,"是"))</f>
        <v/>
      </c>
      <c r="E391" s="41" t="str">
        <f aca="false">IF($A391="","",SUMIFS(业务流水!$P$5:$P$1504,业务流水!$E$5:$E$1504,$B$3,业务流水!$D$5:$D$1504,"销项开票",业务流水!$C$5:$C$1504,$A391,业务流水!$Z$5:$Z$1504,"是"))</f>
        <v/>
      </c>
      <c r="F391" s="41" t="str">
        <f aca="false">IF($A391="","",SUMIFS(业务流水!$H$5:$H$1504,业务流水!$F$5:$F$1504,$B$3,业务流水!$D$5:$D$1504,"成本票",业务流水!$C$5:$C$1504,$A391,业务流水!$Z$5:$Z$1504,"是")+SUMIFS(业务流水!$H$5:$H$1504,业务流水!$F$5:$F$1504,$B$3,业务流水!$D$5:$D$1504,"销项开票",业务流水!$C$5:$C$1504,$A391,业务流水!$Z$5:$Z$1504,"是"))</f>
        <v/>
      </c>
      <c r="G391" s="42" t="str">
        <f aca="false">IF($A391="","",$E391-$F391)</f>
        <v/>
      </c>
      <c r="H391" s="41" t="str">
        <f aca="false">IF($A391="","",SUMIFS(业务流水!$W$5:$W$1504,业务流水!$E$5:$E$1504,$B$3,业务流水!$D$5:$D$1504,"销项开票",业务流水!$C$5:$C$1504,$A391,业务流水!$Z$5:$Z$1504,"是"))</f>
        <v/>
      </c>
      <c r="I391" s="41" t="str">
        <f aca="false">IF($A391="","",SUMIFS(业务流水!$H$5:$H$1504,业务流水!$E$5:$E$1504,$B$3,业务流水!$D$5:$D$1504,"已交税",业务流水!$C$5:$C$1504,$A391,业务流水!$Z$5:$Z$1504,"是"))</f>
        <v/>
      </c>
      <c r="J391" s="42" t="str">
        <f aca="false">IF($A391="","",$H391-$I391)</f>
        <v/>
      </c>
      <c r="K391" s="41" t="str">
        <f aca="false">IF($A391="","",SUMIFS(业务流水!$H$5:$H$1504,业务流水!$F$5:$F$1504,$B$3,业务流水!$D$5:$D$1504,"挂靠代收",业务流水!$C$5:$C$1504,$A391,业务流水!$Z$5:$Z$1504,"是"))</f>
        <v/>
      </c>
      <c r="L391" s="42" t="str">
        <f aca="false">IF($A391="","",$C391-$K391)</f>
        <v/>
      </c>
      <c r="M391" s="41" t="str">
        <f aca="false">IF($A391="","",SUMIFS(业务流水!$H$5:$H$1504,业务流水!$E$5:$E$1504,$B$3,业务流水!$D$5:$D$1504,"我方收款",业务流水!$C$5:$C$1504,$A391,业务流水!$Z$5:$Z$1504,"是"))</f>
        <v/>
      </c>
      <c r="N391" s="43" t="str">
        <f aca="false">IF($A391="","",$K391-$M391)</f>
        <v/>
      </c>
      <c r="O391" s="41" t="str">
        <f aca="false">IF($A391="","",SUMIFS(业务流水!$H$5:$H$1504,业务流水!$F$5:$F$1504,$B$3,业务流水!$D$5:$D$1504,"管理费结算",业务流水!$C$5:$C$1504,$A391,业务流水!$Z$5:$Z$1504,"是"))</f>
        <v/>
      </c>
      <c r="P391" s="41" t="str">
        <f aca="false">IF($A391="","",SUMIFS(业务流水!$H$5:$H$1504,业务流水!$E$5:$E$1504,$B$3,业务流水!$D$5:$D$1504,"扣质保金",业务流水!$C$5:$C$1504,$A391,业务流水!$Z$5:$Z$1504,"是"))</f>
        <v/>
      </c>
      <c r="Q391" s="48" t="str">
        <f aca="false">IF($A391="","",IF(SUM($C391:$F391)+SUM($K391:$M391)=0,"无","有"))</f>
        <v/>
      </c>
    </row>
    <row r="392" customFormat="false" ht="15.75" hidden="false" customHeight="true" outlineLevel="0" collapsed="false">
      <c r="A392" s="32" t="str">
        <f aca="false">IF(项目档案!$A392="","",项目档案!$A392)</f>
        <v/>
      </c>
      <c r="B392" s="40" t="str">
        <f aca="false">IF($A392="","",项目档案!$B392)</f>
        <v/>
      </c>
      <c r="C392" s="41" t="str">
        <f aca="false">IF($A392="","",SUMIFS(业务流水!$H$5:$H$1504,业务流水!$E$5:$E$1504,$B$3,业务流水!$D$5:$D$1504,"销项开票",业务流水!$C$5:$C$1504,$A392,业务流水!$Z$5:$Z$1504,"是"))</f>
        <v/>
      </c>
      <c r="D392" s="41" t="str">
        <f aca="false">IF($A392="","",SUMIFS(业务流水!$O$5:$O$1504,业务流水!$E$5:$E$1504,$B$3,业务流水!$D$5:$D$1504,"销项开票",业务流水!$C$5:$C$1504,$A392,业务流水!$Z$5:$Z$1504,"是"))</f>
        <v/>
      </c>
      <c r="E392" s="41" t="str">
        <f aca="false">IF($A392="","",SUMIFS(业务流水!$P$5:$P$1504,业务流水!$E$5:$E$1504,$B$3,业务流水!$D$5:$D$1504,"销项开票",业务流水!$C$5:$C$1504,$A392,业务流水!$Z$5:$Z$1504,"是"))</f>
        <v/>
      </c>
      <c r="F392" s="41" t="str">
        <f aca="false">IF($A392="","",SUMIFS(业务流水!$H$5:$H$1504,业务流水!$F$5:$F$1504,$B$3,业务流水!$D$5:$D$1504,"成本票",业务流水!$C$5:$C$1504,$A392,业务流水!$Z$5:$Z$1504,"是")+SUMIFS(业务流水!$H$5:$H$1504,业务流水!$F$5:$F$1504,$B$3,业务流水!$D$5:$D$1504,"销项开票",业务流水!$C$5:$C$1504,$A392,业务流水!$Z$5:$Z$1504,"是"))</f>
        <v/>
      </c>
      <c r="G392" s="42" t="str">
        <f aca="false">IF($A392="","",$E392-$F392)</f>
        <v/>
      </c>
      <c r="H392" s="41" t="str">
        <f aca="false">IF($A392="","",SUMIFS(业务流水!$W$5:$W$1504,业务流水!$E$5:$E$1504,$B$3,业务流水!$D$5:$D$1504,"销项开票",业务流水!$C$5:$C$1504,$A392,业务流水!$Z$5:$Z$1504,"是"))</f>
        <v/>
      </c>
      <c r="I392" s="41" t="str">
        <f aca="false">IF($A392="","",SUMIFS(业务流水!$H$5:$H$1504,业务流水!$E$5:$E$1504,$B$3,业务流水!$D$5:$D$1504,"已交税",业务流水!$C$5:$C$1504,$A392,业务流水!$Z$5:$Z$1504,"是"))</f>
        <v/>
      </c>
      <c r="J392" s="42" t="str">
        <f aca="false">IF($A392="","",$H392-$I392)</f>
        <v/>
      </c>
      <c r="K392" s="41" t="str">
        <f aca="false">IF($A392="","",SUMIFS(业务流水!$H$5:$H$1504,业务流水!$F$5:$F$1504,$B$3,业务流水!$D$5:$D$1504,"挂靠代收",业务流水!$C$5:$C$1504,$A392,业务流水!$Z$5:$Z$1504,"是"))</f>
        <v/>
      </c>
      <c r="L392" s="42" t="str">
        <f aca="false">IF($A392="","",$C392-$K392)</f>
        <v/>
      </c>
      <c r="M392" s="41" t="str">
        <f aca="false">IF($A392="","",SUMIFS(业务流水!$H$5:$H$1504,业务流水!$E$5:$E$1504,$B$3,业务流水!$D$5:$D$1504,"我方收款",业务流水!$C$5:$C$1504,$A392,业务流水!$Z$5:$Z$1504,"是"))</f>
        <v/>
      </c>
      <c r="N392" s="43" t="str">
        <f aca="false">IF($A392="","",$K392-$M392)</f>
        <v/>
      </c>
      <c r="O392" s="41" t="str">
        <f aca="false">IF($A392="","",SUMIFS(业务流水!$H$5:$H$1504,业务流水!$F$5:$F$1504,$B$3,业务流水!$D$5:$D$1504,"管理费结算",业务流水!$C$5:$C$1504,$A392,业务流水!$Z$5:$Z$1504,"是"))</f>
        <v/>
      </c>
      <c r="P392" s="41" t="str">
        <f aca="false">IF($A392="","",SUMIFS(业务流水!$H$5:$H$1504,业务流水!$E$5:$E$1504,$B$3,业务流水!$D$5:$D$1504,"扣质保金",业务流水!$C$5:$C$1504,$A392,业务流水!$Z$5:$Z$1504,"是"))</f>
        <v/>
      </c>
      <c r="Q392" s="48" t="str">
        <f aca="false">IF($A392="","",IF(SUM($C392:$F392)+SUM($K392:$M392)=0,"无","有"))</f>
        <v/>
      </c>
    </row>
    <row r="393" customFormat="false" ht="15.75" hidden="false" customHeight="true" outlineLevel="0" collapsed="false">
      <c r="A393" s="32" t="str">
        <f aca="false">IF(项目档案!$A393="","",项目档案!$A393)</f>
        <v/>
      </c>
      <c r="B393" s="40" t="str">
        <f aca="false">IF($A393="","",项目档案!$B393)</f>
        <v/>
      </c>
      <c r="C393" s="41" t="str">
        <f aca="false">IF($A393="","",SUMIFS(业务流水!$H$5:$H$1504,业务流水!$E$5:$E$1504,$B$3,业务流水!$D$5:$D$1504,"销项开票",业务流水!$C$5:$C$1504,$A393,业务流水!$Z$5:$Z$1504,"是"))</f>
        <v/>
      </c>
      <c r="D393" s="41" t="str">
        <f aca="false">IF($A393="","",SUMIFS(业务流水!$O$5:$O$1504,业务流水!$E$5:$E$1504,$B$3,业务流水!$D$5:$D$1504,"销项开票",业务流水!$C$5:$C$1504,$A393,业务流水!$Z$5:$Z$1504,"是"))</f>
        <v/>
      </c>
      <c r="E393" s="41" t="str">
        <f aca="false">IF($A393="","",SUMIFS(业务流水!$P$5:$P$1504,业务流水!$E$5:$E$1504,$B$3,业务流水!$D$5:$D$1504,"销项开票",业务流水!$C$5:$C$1504,$A393,业务流水!$Z$5:$Z$1504,"是"))</f>
        <v/>
      </c>
      <c r="F393" s="41" t="str">
        <f aca="false">IF($A393="","",SUMIFS(业务流水!$H$5:$H$1504,业务流水!$F$5:$F$1504,$B$3,业务流水!$D$5:$D$1504,"成本票",业务流水!$C$5:$C$1504,$A393,业务流水!$Z$5:$Z$1504,"是")+SUMIFS(业务流水!$H$5:$H$1504,业务流水!$F$5:$F$1504,$B$3,业务流水!$D$5:$D$1504,"销项开票",业务流水!$C$5:$C$1504,$A393,业务流水!$Z$5:$Z$1504,"是"))</f>
        <v/>
      </c>
      <c r="G393" s="42" t="str">
        <f aca="false">IF($A393="","",$E393-$F393)</f>
        <v/>
      </c>
      <c r="H393" s="41" t="str">
        <f aca="false">IF($A393="","",SUMIFS(业务流水!$W$5:$W$1504,业务流水!$E$5:$E$1504,$B$3,业务流水!$D$5:$D$1504,"销项开票",业务流水!$C$5:$C$1504,$A393,业务流水!$Z$5:$Z$1504,"是"))</f>
        <v/>
      </c>
      <c r="I393" s="41" t="str">
        <f aca="false">IF($A393="","",SUMIFS(业务流水!$H$5:$H$1504,业务流水!$E$5:$E$1504,$B$3,业务流水!$D$5:$D$1504,"已交税",业务流水!$C$5:$C$1504,$A393,业务流水!$Z$5:$Z$1504,"是"))</f>
        <v/>
      </c>
      <c r="J393" s="42" t="str">
        <f aca="false">IF($A393="","",$H393-$I393)</f>
        <v/>
      </c>
      <c r="K393" s="41" t="str">
        <f aca="false">IF($A393="","",SUMIFS(业务流水!$H$5:$H$1504,业务流水!$F$5:$F$1504,$B$3,业务流水!$D$5:$D$1504,"挂靠代收",业务流水!$C$5:$C$1504,$A393,业务流水!$Z$5:$Z$1504,"是"))</f>
        <v/>
      </c>
      <c r="L393" s="42" t="str">
        <f aca="false">IF($A393="","",$C393-$K393)</f>
        <v/>
      </c>
      <c r="M393" s="41" t="str">
        <f aca="false">IF($A393="","",SUMIFS(业务流水!$H$5:$H$1504,业务流水!$E$5:$E$1504,$B$3,业务流水!$D$5:$D$1504,"我方收款",业务流水!$C$5:$C$1504,$A393,业务流水!$Z$5:$Z$1504,"是"))</f>
        <v/>
      </c>
      <c r="N393" s="43" t="str">
        <f aca="false">IF($A393="","",$K393-$M393)</f>
        <v/>
      </c>
      <c r="O393" s="41" t="str">
        <f aca="false">IF($A393="","",SUMIFS(业务流水!$H$5:$H$1504,业务流水!$F$5:$F$1504,$B$3,业务流水!$D$5:$D$1504,"管理费结算",业务流水!$C$5:$C$1504,$A393,业务流水!$Z$5:$Z$1504,"是"))</f>
        <v/>
      </c>
      <c r="P393" s="41" t="str">
        <f aca="false">IF($A393="","",SUMIFS(业务流水!$H$5:$H$1504,业务流水!$E$5:$E$1504,$B$3,业务流水!$D$5:$D$1504,"扣质保金",业务流水!$C$5:$C$1504,$A393,业务流水!$Z$5:$Z$1504,"是"))</f>
        <v/>
      </c>
      <c r="Q393" s="48" t="str">
        <f aca="false">IF($A393="","",IF(SUM($C393:$F393)+SUM($K393:$M393)=0,"无","有"))</f>
        <v/>
      </c>
    </row>
    <row r="394" customFormat="false" ht="15.75" hidden="false" customHeight="true" outlineLevel="0" collapsed="false">
      <c r="A394" s="32" t="str">
        <f aca="false">IF(项目档案!$A394="","",项目档案!$A394)</f>
        <v/>
      </c>
      <c r="B394" s="40" t="str">
        <f aca="false">IF($A394="","",项目档案!$B394)</f>
        <v/>
      </c>
      <c r="C394" s="41" t="str">
        <f aca="false">IF($A394="","",SUMIFS(业务流水!$H$5:$H$1504,业务流水!$E$5:$E$1504,$B$3,业务流水!$D$5:$D$1504,"销项开票",业务流水!$C$5:$C$1504,$A394,业务流水!$Z$5:$Z$1504,"是"))</f>
        <v/>
      </c>
      <c r="D394" s="41" t="str">
        <f aca="false">IF($A394="","",SUMIFS(业务流水!$O$5:$O$1504,业务流水!$E$5:$E$1504,$B$3,业务流水!$D$5:$D$1504,"销项开票",业务流水!$C$5:$C$1504,$A394,业务流水!$Z$5:$Z$1504,"是"))</f>
        <v/>
      </c>
      <c r="E394" s="41" t="str">
        <f aca="false">IF($A394="","",SUMIFS(业务流水!$P$5:$P$1504,业务流水!$E$5:$E$1504,$B$3,业务流水!$D$5:$D$1504,"销项开票",业务流水!$C$5:$C$1504,$A394,业务流水!$Z$5:$Z$1504,"是"))</f>
        <v/>
      </c>
      <c r="F394" s="41" t="str">
        <f aca="false">IF($A394="","",SUMIFS(业务流水!$H$5:$H$1504,业务流水!$F$5:$F$1504,$B$3,业务流水!$D$5:$D$1504,"成本票",业务流水!$C$5:$C$1504,$A394,业务流水!$Z$5:$Z$1504,"是")+SUMIFS(业务流水!$H$5:$H$1504,业务流水!$F$5:$F$1504,$B$3,业务流水!$D$5:$D$1504,"销项开票",业务流水!$C$5:$C$1504,$A394,业务流水!$Z$5:$Z$1504,"是"))</f>
        <v/>
      </c>
      <c r="G394" s="42" t="str">
        <f aca="false">IF($A394="","",$E394-$F394)</f>
        <v/>
      </c>
      <c r="H394" s="41" t="str">
        <f aca="false">IF($A394="","",SUMIFS(业务流水!$W$5:$W$1504,业务流水!$E$5:$E$1504,$B$3,业务流水!$D$5:$D$1504,"销项开票",业务流水!$C$5:$C$1504,$A394,业务流水!$Z$5:$Z$1504,"是"))</f>
        <v/>
      </c>
      <c r="I394" s="41" t="str">
        <f aca="false">IF($A394="","",SUMIFS(业务流水!$H$5:$H$1504,业务流水!$E$5:$E$1504,$B$3,业务流水!$D$5:$D$1504,"已交税",业务流水!$C$5:$C$1504,$A394,业务流水!$Z$5:$Z$1504,"是"))</f>
        <v/>
      </c>
      <c r="J394" s="42" t="str">
        <f aca="false">IF($A394="","",$H394-$I394)</f>
        <v/>
      </c>
      <c r="K394" s="41" t="str">
        <f aca="false">IF($A394="","",SUMIFS(业务流水!$H$5:$H$1504,业务流水!$F$5:$F$1504,$B$3,业务流水!$D$5:$D$1504,"挂靠代收",业务流水!$C$5:$C$1504,$A394,业务流水!$Z$5:$Z$1504,"是"))</f>
        <v/>
      </c>
      <c r="L394" s="42" t="str">
        <f aca="false">IF($A394="","",$C394-$K394)</f>
        <v/>
      </c>
      <c r="M394" s="41" t="str">
        <f aca="false">IF($A394="","",SUMIFS(业务流水!$H$5:$H$1504,业务流水!$E$5:$E$1504,$B$3,业务流水!$D$5:$D$1504,"我方收款",业务流水!$C$5:$C$1504,$A394,业务流水!$Z$5:$Z$1504,"是"))</f>
        <v/>
      </c>
      <c r="N394" s="43" t="str">
        <f aca="false">IF($A394="","",$K394-$M394)</f>
        <v/>
      </c>
      <c r="O394" s="41" t="str">
        <f aca="false">IF($A394="","",SUMIFS(业务流水!$H$5:$H$1504,业务流水!$F$5:$F$1504,$B$3,业务流水!$D$5:$D$1504,"管理费结算",业务流水!$C$5:$C$1504,$A394,业务流水!$Z$5:$Z$1504,"是"))</f>
        <v/>
      </c>
      <c r="P394" s="41" t="str">
        <f aca="false">IF($A394="","",SUMIFS(业务流水!$H$5:$H$1504,业务流水!$E$5:$E$1504,$B$3,业务流水!$D$5:$D$1504,"扣质保金",业务流水!$C$5:$C$1504,$A394,业务流水!$Z$5:$Z$1504,"是"))</f>
        <v/>
      </c>
      <c r="Q394" s="48" t="str">
        <f aca="false">IF($A394="","",IF(SUM($C394:$F394)+SUM($K394:$M394)=0,"无","有"))</f>
        <v/>
      </c>
    </row>
    <row r="395" customFormat="false" ht="15.75" hidden="false" customHeight="true" outlineLevel="0" collapsed="false">
      <c r="A395" s="32" t="str">
        <f aca="false">IF(项目档案!$A395="","",项目档案!$A395)</f>
        <v/>
      </c>
      <c r="B395" s="40" t="str">
        <f aca="false">IF($A395="","",项目档案!$B395)</f>
        <v/>
      </c>
      <c r="C395" s="41" t="str">
        <f aca="false">IF($A395="","",SUMIFS(业务流水!$H$5:$H$1504,业务流水!$E$5:$E$1504,$B$3,业务流水!$D$5:$D$1504,"销项开票",业务流水!$C$5:$C$1504,$A395,业务流水!$Z$5:$Z$1504,"是"))</f>
        <v/>
      </c>
      <c r="D395" s="41" t="str">
        <f aca="false">IF($A395="","",SUMIFS(业务流水!$O$5:$O$1504,业务流水!$E$5:$E$1504,$B$3,业务流水!$D$5:$D$1504,"销项开票",业务流水!$C$5:$C$1504,$A395,业务流水!$Z$5:$Z$1504,"是"))</f>
        <v/>
      </c>
      <c r="E395" s="41" t="str">
        <f aca="false">IF($A395="","",SUMIFS(业务流水!$P$5:$P$1504,业务流水!$E$5:$E$1504,$B$3,业务流水!$D$5:$D$1504,"销项开票",业务流水!$C$5:$C$1504,$A395,业务流水!$Z$5:$Z$1504,"是"))</f>
        <v/>
      </c>
      <c r="F395" s="41" t="str">
        <f aca="false">IF($A395="","",SUMIFS(业务流水!$H$5:$H$1504,业务流水!$F$5:$F$1504,$B$3,业务流水!$D$5:$D$1504,"成本票",业务流水!$C$5:$C$1504,$A395,业务流水!$Z$5:$Z$1504,"是")+SUMIFS(业务流水!$H$5:$H$1504,业务流水!$F$5:$F$1504,$B$3,业务流水!$D$5:$D$1504,"销项开票",业务流水!$C$5:$C$1504,$A395,业务流水!$Z$5:$Z$1504,"是"))</f>
        <v/>
      </c>
      <c r="G395" s="42" t="str">
        <f aca="false">IF($A395="","",$E395-$F395)</f>
        <v/>
      </c>
      <c r="H395" s="41" t="str">
        <f aca="false">IF($A395="","",SUMIFS(业务流水!$W$5:$W$1504,业务流水!$E$5:$E$1504,$B$3,业务流水!$D$5:$D$1504,"销项开票",业务流水!$C$5:$C$1504,$A395,业务流水!$Z$5:$Z$1504,"是"))</f>
        <v/>
      </c>
      <c r="I395" s="41" t="str">
        <f aca="false">IF($A395="","",SUMIFS(业务流水!$H$5:$H$1504,业务流水!$E$5:$E$1504,$B$3,业务流水!$D$5:$D$1504,"已交税",业务流水!$C$5:$C$1504,$A395,业务流水!$Z$5:$Z$1504,"是"))</f>
        <v/>
      </c>
      <c r="J395" s="42" t="str">
        <f aca="false">IF($A395="","",$H395-$I395)</f>
        <v/>
      </c>
      <c r="K395" s="41" t="str">
        <f aca="false">IF($A395="","",SUMIFS(业务流水!$H$5:$H$1504,业务流水!$F$5:$F$1504,$B$3,业务流水!$D$5:$D$1504,"挂靠代收",业务流水!$C$5:$C$1504,$A395,业务流水!$Z$5:$Z$1504,"是"))</f>
        <v/>
      </c>
      <c r="L395" s="42" t="str">
        <f aca="false">IF($A395="","",$C395-$K395)</f>
        <v/>
      </c>
      <c r="M395" s="41" t="str">
        <f aca="false">IF($A395="","",SUMIFS(业务流水!$H$5:$H$1504,业务流水!$E$5:$E$1504,$B$3,业务流水!$D$5:$D$1504,"我方收款",业务流水!$C$5:$C$1504,$A395,业务流水!$Z$5:$Z$1504,"是"))</f>
        <v/>
      </c>
      <c r="N395" s="43" t="str">
        <f aca="false">IF($A395="","",$K395-$M395)</f>
        <v/>
      </c>
      <c r="O395" s="41" t="str">
        <f aca="false">IF($A395="","",SUMIFS(业务流水!$H$5:$H$1504,业务流水!$F$5:$F$1504,$B$3,业务流水!$D$5:$D$1504,"管理费结算",业务流水!$C$5:$C$1504,$A395,业务流水!$Z$5:$Z$1504,"是"))</f>
        <v/>
      </c>
      <c r="P395" s="41" t="str">
        <f aca="false">IF($A395="","",SUMIFS(业务流水!$H$5:$H$1504,业务流水!$E$5:$E$1504,$B$3,业务流水!$D$5:$D$1504,"扣质保金",业务流水!$C$5:$C$1504,$A395,业务流水!$Z$5:$Z$1504,"是"))</f>
        <v/>
      </c>
      <c r="Q395" s="48" t="str">
        <f aca="false">IF($A395="","",IF(SUM($C395:$F395)+SUM($K395:$M395)=0,"无","有"))</f>
        <v/>
      </c>
    </row>
    <row r="396" customFormat="false" ht="15.75" hidden="false" customHeight="true" outlineLevel="0" collapsed="false">
      <c r="A396" s="32" t="str">
        <f aca="false">IF(项目档案!$A396="","",项目档案!$A396)</f>
        <v/>
      </c>
      <c r="B396" s="40" t="str">
        <f aca="false">IF($A396="","",项目档案!$B396)</f>
        <v/>
      </c>
      <c r="C396" s="41" t="str">
        <f aca="false">IF($A396="","",SUMIFS(业务流水!$H$5:$H$1504,业务流水!$E$5:$E$1504,$B$3,业务流水!$D$5:$D$1504,"销项开票",业务流水!$C$5:$C$1504,$A396,业务流水!$Z$5:$Z$1504,"是"))</f>
        <v/>
      </c>
      <c r="D396" s="41" t="str">
        <f aca="false">IF($A396="","",SUMIFS(业务流水!$O$5:$O$1504,业务流水!$E$5:$E$1504,$B$3,业务流水!$D$5:$D$1504,"销项开票",业务流水!$C$5:$C$1504,$A396,业务流水!$Z$5:$Z$1504,"是"))</f>
        <v/>
      </c>
      <c r="E396" s="41" t="str">
        <f aca="false">IF($A396="","",SUMIFS(业务流水!$P$5:$P$1504,业务流水!$E$5:$E$1504,$B$3,业务流水!$D$5:$D$1504,"销项开票",业务流水!$C$5:$C$1504,$A396,业务流水!$Z$5:$Z$1504,"是"))</f>
        <v/>
      </c>
      <c r="F396" s="41" t="str">
        <f aca="false">IF($A396="","",SUMIFS(业务流水!$H$5:$H$1504,业务流水!$F$5:$F$1504,$B$3,业务流水!$D$5:$D$1504,"成本票",业务流水!$C$5:$C$1504,$A396,业务流水!$Z$5:$Z$1504,"是")+SUMIFS(业务流水!$H$5:$H$1504,业务流水!$F$5:$F$1504,$B$3,业务流水!$D$5:$D$1504,"销项开票",业务流水!$C$5:$C$1504,$A396,业务流水!$Z$5:$Z$1504,"是"))</f>
        <v/>
      </c>
      <c r="G396" s="42" t="str">
        <f aca="false">IF($A396="","",$E396-$F396)</f>
        <v/>
      </c>
      <c r="H396" s="41" t="str">
        <f aca="false">IF($A396="","",SUMIFS(业务流水!$W$5:$W$1504,业务流水!$E$5:$E$1504,$B$3,业务流水!$D$5:$D$1504,"销项开票",业务流水!$C$5:$C$1504,$A396,业务流水!$Z$5:$Z$1504,"是"))</f>
        <v/>
      </c>
      <c r="I396" s="41" t="str">
        <f aca="false">IF($A396="","",SUMIFS(业务流水!$H$5:$H$1504,业务流水!$E$5:$E$1504,$B$3,业务流水!$D$5:$D$1504,"已交税",业务流水!$C$5:$C$1504,$A396,业务流水!$Z$5:$Z$1504,"是"))</f>
        <v/>
      </c>
      <c r="J396" s="42" t="str">
        <f aca="false">IF($A396="","",$H396-$I396)</f>
        <v/>
      </c>
      <c r="K396" s="41" t="str">
        <f aca="false">IF($A396="","",SUMIFS(业务流水!$H$5:$H$1504,业务流水!$F$5:$F$1504,$B$3,业务流水!$D$5:$D$1504,"挂靠代收",业务流水!$C$5:$C$1504,$A396,业务流水!$Z$5:$Z$1504,"是"))</f>
        <v/>
      </c>
      <c r="L396" s="42" t="str">
        <f aca="false">IF($A396="","",$C396-$K396)</f>
        <v/>
      </c>
      <c r="M396" s="41" t="str">
        <f aca="false">IF($A396="","",SUMIFS(业务流水!$H$5:$H$1504,业务流水!$E$5:$E$1504,$B$3,业务流水!$D$5:$D$1504,"我方收款",业务流水!$C$5:$C$1504,$A396,业务流水!$Z$5:$Z$1504,"是"))</f>
        <v/>
      </c>
      <c r="N396" s="43" t="str">
        <f aca="false">IF($A396="","",$K396-$M396)</f>
        <v/>
      </c>
      <c r="O396" s="41" t="str">
        <f aca="false">IF($A396="","",SUMIFS(业务流水!$H$5:$H$1504,业务流水!$F$5:$F$1504,$B$3,业务流水!$D$5:$D$1504,"管理费结算",业务流水!$C$5:$C$1504,$A396,业务流水!$Z$5:$Z$1504,"是"))</f>
        <v/>
      </c>
      <c r="P396" s="41" t="str">
        <f aca="false">IF($A396="","",SUMIFS(业务流水!$H$5:$H$1504,业务流水!$E$5:$E$1504,$B$3,业务流水!$D$5:$D$1504,"扣质保金",业务流水!$C$5:$C$1504,$A396,业务流水!$Z$5:$Z$1504,"是"))</f>
        <v/>
      </c>
      <c r="Q396" s="48" t="str">
        <f aca="false">IF($A396="","",IF(SUM($C396:$F396)+SUM($K396:$M396)=0,"无","有"))</f>
        <v/>
      </c>
    </row>
    <row r="397" customFormat="false" ht="15.75" hidden="false" customHeight="true" outlineLevel="0" collapsed="false">
      <c r="A397" s="32" t="str">
        <f aca="false">IF(项目档案!$A397="","",项目档案!$A397)</f>
        <v/>
      </c>
      <c r="B397" s="40" t="str">
        <f aca="false">IF($A397="","",项目档案!$B397)</f>
        <v/>
      </c>
      <c r="C397" s="41" t="str">
        <f aca="false">IF($A397="","",SUMIFS(业务流水!$H$5:$H$1504,业务流水!$E$5:$E$1504,$B$3,业务流水!$D$5:$D$1504,"销项开票",业务流水!$C$5:$C$1504,$A397,业务流水!$Z$5:$Z$1504,"是"))</f>
        <v/>
      </c>
      <c r="D397" s="41" t="str">
        <f aca="false">IF($A397="","",SUMIFS(业务流水!$O$5:$O$1504,业务流水!$E$5:$E$1504,$B$3,业务流水!$D$5:$D$1504,"销项开票",业务流水!$C$5:$C$1504,$A397,业务流水!$Z$5:$Z$1504,"是"))</f>
        <v/>
      </c>
      <c r="E397" s="41" t="str">
        <f aca="false">IF($A397="","",SUMIFS(业务流水!$P$5:$P$1504,业务流水!$E$5:$E$1504,$B$3,业务流水!$D$5:$D$1504,"销项开票",业务流水!$C$5:$C$1504,$A397,业务流水!$Z$5:$Z$1504,"是"))</f>
        <v/>
      </c>
      <c r="F397" s="41" t="str">
        <f aca="false">IF($A397="","",SUMIFS(业务流水!$H$5:$H$1504,业务流水!$F$5:$F$1504,$B$3,业务流水!$D$5:$D$1504,"成本票",业务流水!$C$5:$C$1504,$A397,业务流水!$Z$5:$Z$1504,"是")+SUMIFS(业务流水!$H$5:$H$1504,业务流水!$F$5:$F$1504,$B$3,业务流水!$D$5:$D$1504,"销项开票",业务流水!$C$5:$C$1504,$A397,业务流水!$Z$5:$Z$1504,"是"))</f>
        <v/>
      </c>
      <c r="G397" s="42" t="str">
        <f aca="false">IF($A397="","",$E397-$F397)</f>
        <v/>
      </c>
      <c r="H397" s="41" t="str">
        <f aca="false">IF($A397="","",SUMIFS(业务流水!$W$5:$W$1504,业务流水!$E$5:$E$1504,$B$3,业务流水!$D$5:$D$1504,"销项开票",业务流水!$C$5:$C$1504,$A397,业务流水!$Z$5:$Z$1504,"是"))</f>
        <v/>
      </c>
      <c r="I397" s="41" t="str">
        <f aca="false">IF($A397="","",SUMIFS(业务流水!$H$5:$H$1504,业务流水!$E$5:$E$1504,$B$3,业务流水!$D$5:$D$1504,"已交税",业务流水!$C$5:$C$1504,$A397,业务流水!$Z$5:$Z$1504,"是"))</f>
        <v/>
      </c>
      <c r="J397" s="42" t="str">
        <f aca="false">IF($A397="","",$H397-$I397)</f>
        <v/>
      </c>
      <c r="K397" s="41" t="str">
        <f aca="false">IF($A397="","",SUMIFS(业务流水!$H$5:$H$1504,业务流水!$F$5:$F$1504,$B$3,业务流水!$D$5:$D$1504,"挂靠代收",业务流水!$C$5:$C$1504,$A397,业务流水!$Z$5:$Z$1504,"是"))</f>
        <v/>
      </c>
      <c r="L397" s="42" t="str">
        <f aca="false">IF($A397="","",$C397-$K397)</f>
        <v/>
      </c>
      <c r="M397" s="41" t="str">
        <f aca="false">IF($A397="","",SUMIFS(业务流水!$H$5:$H$1504,业务流水!$E$5:$E$1504,$B$3,业务流水!$D$5:$D$1504,"我方收款",业务流水!$C$5:$C$1504,$A397,业务流水!$Z$5:$Z$1504,"是"))</f>
        <v/>
      </c>
      <c r="N397" s="43" t="str">
        <f aca="false">IF($A397="","",$K397-$M397)</f>
        <v/>
      </c>
      <c r="O397" s="41" t="str">
        <f aca="false">IF($A397="","",SUMIFS(业务流水!$H$5:$H$1504,业务流水!$F$5:$F$1504,$B$3,业务流水!$D$5:$D$1504,"管理费结算",业务流水!$C$5:$C$1504,$A397,业务流水!$Z$5:$Z$1504,"是"))</f>
        <v/>
      </c>
      <c r="P397" s="41" t="str">
        <f aca="false">IF($A397="","",SUMIFS(业务流水!$H$5:$H$1504,业务流水!$E$5:$E$1504,$B$3,业务流水!$D$5:$D$1504,"扣质保金",业务流水!$C$5:$C$1504,$A397,业务流水!$Z$5:$Z$1504,"是"))</f>
        <v/>
      </c>
      <c r="Q397" s="48" t="str">
        <f aca="false">IF($A397="","",IF(SUM($C397:$F397)+SUM($K397:$M397)=0,"无","有"))</f>
        <v/>
      </c>
    </row>
    <row r="398" customFormat="false" ht="15.75" hidden="false" customHeight="true" outlineLevel="0" collapsed="false">
      <c r="A398" s="32" t="str">
        <f aca="false">IF(项目档案!$A398="","",项目档案!$A398)</f>
        <v/>
      </c>
      <c r="B398" s="40" t="str">
        <f aca="false">IF($A398="","",项目档案!$B398)</f>
        <v/>
      </c>
      <c r="C398" s="41" t="str">
        <f aca="false">IF($A398="","",SUMIFS(业务流水!$H$5:$H$1504,业务流水!$E$5:$E$1504,$B$3,业务流水!$D$5:$D$1504,"销项开票",业务流水!$C$5:$C$1504,$A398,业务流水!$Z$5:$Z$1504,"是"))</f>
        <v/>
      </c>
      <c r="D398" s="41" t="str">
        <f aca="false">IF($A398="","",SUMIFS(业务流水!$O$5:$O$1504,业务流水!$E$5:$E$1504,$B$3,业务流水!$D$5:$D$1504,"销项开票",业务流水!$C$5:$C$1504,$A398,业务流水!$Z$5:$Z$1504,"是"))</f>
        <v/>
      </c>
      <c r="E398" s="41" t="str">
        <f aca="false">IF($A398="","",SUMIFS(业务流水!$P$5:$P$1504,业务流水!$E$5:$E$1504,$B$3,业务流水!$D$5:$D$1504,"销项开票",业务流水!$C$5:$C$1504,$A398,业务流水!$Z$5:$Z$1504,"是"))</f>
        <v/>
      </c>
      <c r="F398" s="41" t="str">
        <f aca="false">IF($A398="","",SUMIFS(业务流水!$H$5:$H$1504,业务流水!$F$5:$F$1504,$B$3,业务流水!$D$5:$D$1504,"成本票",业务流水!$C$5:$C$1504,$A398,业务流水!$Z$5:$Z$1504,"是")+SUMIFS(业务流水!$H$5:$H$1504,业务流水!$F$5:$F$1504,$B$3,业务流水!$D$5:$D$1504,"销项开票",业务流水!$C$5:$C$1504,$A398,业务流水!$Z$5:$Z$1504,"是"))</f>
        <v/>
      </c>
      <c r="G398" s="42" t="str">
        <f aca="false">IF($A398="","",$E398-$F398)</f>
        <v/>
      </c>
      <c r="H398" s="41" t="str">
        <f aca="false">IF($A398="","",SUMIFS(业务流水!$W$5:$W$1504,业务流水!$E$5:$E$1504,$B$3,业务流水!$D$5:$D$1504,"销项开票",业务流水!$C$5:$C$1504,$A398,业务流水!$Z$5:$Z$1504,"是"))</f>
        <v/>
      </c>
      <c r="I398" s="41" t="str">
        <f aca="false">IF($A398="","",SUMIFS(业务流水!$H$5:$H$1504,业务流水!$E$5:$E$1504,$B$3,业务流水!$D$5:$D$1504,"已交税",业务流水!$C$5:$C$1504,$A398,业务流水!$Z$5:$Z$1504,"是"))</f>
        <v/>
      </c>
      <c r="J398" s="42" t="str">
        <f aca="false">IF($A398="","",$H398-$I398)</f>
        <v/>
      </c>
      <c r="K398" s="41" t="str">
        <f aca="false">IF($A398="","",SUMIFS(业务流水!$H$5:$H$1504,业务流水!$F$5:$F$1504,$B$3,业务流水!$D$5:$D$1504,"挂靠代收",业务流水!$C$5:$C$1504,$A398,业务流水!$Z$5:$Z$1504,"是"))</f>
        <v/>
      </c>
      <c r="L398" s="42" t="str">
        <f aca="false">IF($A398="","",$C398-$K398)</f>
        <v/>
      </c>
      <c r="M398" s="41" t="str">
        <f aca="false">IF($A398="","",SUMIFS(业务流水!$H$5:$H$1504,业务流水!$E$5:$E$1504,$B$3,业务流水!$D$5:$D$1504,"我方收款",业务流水!$C$5:$C$1504,$A398,业务流水!$Z$5:$Z$1504,"是"))</f>
        <v/>
      </c>
      <c r="N398" s="43" t="str">
        <f aca="false">IF($A398="","",$K398-$M398)</f>
        <v/>
      </c>
      <c r="O398" s="41" t="str">
        <f aca="false">IF($A398="","",SUMIFS(业务流水!$H$5:$H$1504,业务流水!$F$5:$F$1504,$B$3,业务流水!$D$5:$D$1504,"管理费结算",业务流水!$C$5:$C$1504,$A398,业务流水!$Z$5:$Z$1504,"是"))</f>
        <v/>
      </c>
      <c r="P398" s="41" t="str">
        <f aca="false">IF($A398="","",SUMIFS(业务流水!$H$5:$H$1504,业务流水!$E$5:$E$1504,$B$3,业务流水!$D$5:$D$1504,"扣质保金",业务流水!$C$5:$C$1504,$A398,业务流水!$Z$5:$Z$1504,"是"))</f>
        <v/>
      </c>
      <c r="Q398" s="48" t="str">
        <f aca="false">IF($A398="","",IF(SUM($C398:$F398)+SUM($K398:$M398)=0,"无","有"))</f>
        <v/>
      </c>
    </row>
    <row r="399" customFormat="false" ht="15.75" hidden="false" customHeight="true" outlineLevel="0" collapsed="false">
      <c r="A399" s="32" t="str">
        <f aca="false">IF(项目档案!$A399="","",项目档案!$A399)</f>
        <v/>
      </c>
      <c r="B399" s="40" t="str">
        <f aca="false">IF($A399="","",项目档案!$B399)</f>
        <v/>
      </c>
      <c r="C399" s="41" t="str">
        <f aca="false">IF($A399="","",SUMIFS(业务流水!$H$5:$H$1504,业务流水!$E$5:$E$1504,$B$3,业务流水!$D$5:$D$1504,"销项开票",业务流水!$C$5:$C$1504,$A399,业务流水!$Z$5:$Z$1504,"是"))</f>
        <v/>
      </c>
      <c r="D399" s="41" t="str">
        <f aca="false">IF($A399="","",SUMIFS(业务流水!$O$5:$O$1504,业务流水!$E$5:$E$1504,$B$3,业务流水!$D$5:$D$1504,"销项开票",业务流水!$C$5:$C$1504,$A399,业务流水!$Z$5:$Z$1504,"是"))</f>
        <v/>
      </c>
      <c r="E399" s="41" t="str">
        <f aca="false">IF($A399="","",SUMIFS(业务流水!$P$5:$P$1504,业务流水!$E$5:$E$1504,$B$3,业务流水!$D$5:$D$1504,"销项开票",业务流水!$C$5:$C$1504,$A399,业务流水!$Z$5:$Z$1504,"是"))</f>
        <v/>
      </c>
      <c r="F399" s="41" t="str">
        <f aca="false">IF($A399="","",SUMIFS(业务流水!$H$5:$H$1504,业务流水!$F$5:$F$1504,$B$3,业务流水!$D$5:$D$1504,"成本票",业务流水!$C$5:$C$1504,$A399,业务流水!$Z$5:$Z$1504,"是")+SUMIFS(业务流水!$H$5:$H$1504,业务流水!$F$5:$F$1504,$B$3,业务流水!$D$5:$D$1504,"销项开票",业务流水!$C$5:$C$1504,$A399,业务流水!$Z$5:$Z$1504,"是"))</f>
        <v/>
      </c>
      <c r="G399" s="42" t="str">
        <f aca="false">IF($A399="","",$E399-$F399)</f>
        <v/>
      </c>
      <c r="H399" s="41" t="str">
        <f aca="false">IF($A399="","",SUMIFS(业务流水!$W$5:$W$1504,业务流水!$E$5:$E$1504,$B$3,业务流水!$D$5:$D$1504,"销项开票",业务流水!$C$5:$C$1504,$A399,业务流水!$Z$5:$Z$1504,"是"))</f>
        <v/>
      </c>
      <c r="I399" s="41" t="str">
        <f aca="false">IF($A399="","",SUMIFS(业务流水!$H$5:$H$1504,业务流水!$E$5:$E$1504,$B$3,业务流水!$D$5:$D$1504,"已交税",业务流水!$C$5:$C$1504,$A399,业务流水!$Z$5:$Z$1504,"是"))</f>
        <v/>
      </c>
      <c r="J399" s="42" t="str">
        <f aca="false">IF($A399="","",$H399-$I399)</f>
        <v/>
      </c>
      <c r="K399" s="41" t="str">
        <f aca="false">IF($A399="","",SUMIFS(业务流水!$H$5:$H$1504,业务流水!$F$5:$F$1504,$B$3,业务流水!$D$5:$D$1504,"挂靠代收",业务流水!$C$5:$C$1504,$A399,业务流水!$Z$5:$Z$1504,"是"))</f>
        <v/>
      </c>
      <c r="L399" s="42" t="str">
        <f aca="false">IF($A399="","",$C399-$K399)</f>
        <v/>
      </c>
      <c r="M399" s="41" t="str">
        <f aca="false">IF($A399="","",SUMIFS(业务流水!$H$5:$H$1504,业务流水!$E$5:$E$1504,$B$3,业务流水!$D$5:$D$1504,"我方收款",业务流水!$C$5:$C$1504,$A399,业务流水!$Z$5:$Z$1504,"是"))</f>
        <v/>
      </c>
      <c r="N399" s="43" t="str">
        <f aca="false">IF($A399="","",$K399-$M399)</f>
        <v/>
      </c>
      <c r="O399" s="41" t="str">
        <f aca="false">IF($A399="","",SUMIFS(业务流水!$H$5:$H$1504,业务流水!$F$5:$F$1504,$B$3,业务流水!$D$5:$D$1504,"管理费结算",业务流水!$C$5:$C$1504,$A399,业务流水!$Z$5:$Z$1504,"是"))</f>
        <v/>
      </c>
      <c r="P399" s="41" t="str">
        <f aca="false">IF($A399="","",SUMIFS(业务流水!$H$5:$H$1504,业务流水!$E$5:$E$1504,$B$3,业务流水!$D$5:$D$1504,"扣质保金",业务流水!$C$5:$C$1504,$A399,业务流水!$Z$5:$Z$1504,"是"))</f>
        <v/>
      </c>
      <c r="Q399" s="48" t="str">
        <f aca="false">IF($A399="","",IF(SUM($C399:$F399)+SUM($K399:$M399)=0,"无","有"))</f>
        <v/>
      </c>
    </row>
    <row r="400" customFormat="false" ht="15.75" hidden="false" customHeight="true" outlineLevel="0" collapsed="false">
      <c r="A400" s="32" t="str">
        <f aca="false">IF(项目档案!$A400="","",项目档案!$A400)</f>
        <v/>
      </c>
      <c r="B400" s="40" t="str">
        <f aca="false">IF($A400="","",项目档案!$B400)</f>
        <v/>
      </c>
      <c r="C400" s="41" t="str">
        <f aca="false">IF($A400="","",SUMIFS(业务流水!$H$5:$H$1504,业务流水!$E$5:$E$1504,$B$3,业务流水!$D$5:$D$1504,"销项开票",业务流水!$C$5:$C$1504,$A400,业务流水!$Z$5:$Z$1504,"是"))</f>
        <v/>
      </c>
      <c r="D400" s="41" t="str">
        <f aca="false">IF($A400="","",SUMIFS(业务流水!$O$5:$O$1504,业务流水!$E$5:$E$1504,$B$3,业务流水!$D$5:$D$1504,"销项开票",业务流水!$C$5:$C$1504,$A400,业务流水!$Z$5:$Z$1504,"是"))</f>
        <v/>
      </c>
      <c r="E400" s="41" t="str">
        <f aca="false">IF($A400="","",SUMIFS(业务流水!$P$5:$P$1504,业务流水!$E$5:$E$1504,$B$3,业务流水!$D$5:$D$1504,"销项开票",业务流水!$C$5:$C$1504,$A400,业务流水!$Z$5:$Z$1504,"是"))</f>
        <v/>
      </c>
      <c r="F400" s="41" t="str">
        <f aca="false">IF($A400="","",SUMIFS(业务流水!$H$5:$H$1504,业务流水!$F$5:$F$1504,$B$3,业务流水!$D$5:$D$1504,"成本票",业务流水!$C$5:$C$1504,$A400,业务流水!$Z$5:$Z$1504,"是")+SUMIFS(业务流水!$H$5:$H$1504,业务流水!$F$5:$F$1504,$B$3,业务流水!$D$5:$D$1504,"销项开票",业务流水!$C$5:$C$1504,$A400,业务流水!$Z$5:$Z$1504,"是"))</f>
        <v/>
      </c>
      <c r="G400" s="42" t="str">
        <f aca="false">IF($A400="","",$E400-$F400)</f>
        <v/>
      </c>
      <c r="H400" s="41" t="str">
        <f aca="false">IF($A400="","",SUMIFS(业务流水!$W$5:$W$1504,业务流水!$E$5:$E$1504,$B$3,业务流水!$D$5:$D$1504,"销项开票",业务流水!$C$5:$C$1504,$A400,业务流水!$Z$5:$Z$1504,"是"))</f>
        <v/>
      </c>
      <c r="I400" s="41" t="str">
        <f aca="false">IF($A400="","",SUMIFS(业务流水!$H$5:$H$1504,业务流水!$E$5:$E$1504,$B$3,业务流水!$D$5:$D$1504,"已交税",业务流水!$C$5:$C$1504,$A400,业务流水!$Z$5:$Z$1504,"是"))</f>
        <v/>
      </c>
      <c r="J400" s="42" t="str">
        <f aca="false">IF($A400="","",$H400-$I400)</f>
        <v/>
      </c>
      <c r="K400" s="41" t="str">
        <f aca="false">IF($A400="","",SUMIFS(业务流水!$H$5:$H$1504,业务流水!$F$5:$F$1504,$B$3,业务流水!$D$5:$D$1504,"挂靠代收",业务流水!$C$5:$C$1504,$A400,业务流水!$Z$5:$Z$1504,"是"))</f>
        <v/>
      </c>
      <c r="L400" s="42" t="str">
        <f aca="false">IF($A400="","",$C400-$K400)</f>
        <v/>
      </c>
      <c r="M400" s="41" t="str">
        <f aca="false">IF($A400="","",SUMIFS(业务流水!$H$5:$H$1504,业务流水!$E$5:$E$1504,$B$3,业务流水!$D$5:$D$1504,"我方收款",业务流水!$C$5:$C$1504,$A400,业务流水!$Z$5:$Z$1504,"是"))</f>
        <v/>
      </c>
      <c r="N400" s="43" t="str">
        <f aca="false">IF($A400="","",$K400-$M400)</f>
        <v/>
      </c>
      <c r="O400" s="41" t="str">
        <f aca="false">IF($A400="","",SUMIFS(业务流水!$H$5:$H$1504,业务流水!$F$5:$F$1504,$B$3,业务流水!$D$5:$D$1504,"管理费结算",业务流水!$C$5:$C$1504,$A400,业务流水!$Z$5:$Z$1504,"是"))</f>
        <v/>
      </c>
      <c r="P400" s="41" t="str">
        <f aca="false">IF($A400="","",SUMIFS(业务流水!$H$5:$H$1504,业务流水!$E$5:$E$1504,$B$3,业务流水!$D$5:$D$1504,"扣质保金",业务流水!$C$5:$C$1504,$A400,业务流水!$Z$5:$Z$1504,"是"))</f>
        <v/>
      </c>
      <c r="Q400" s="48" t="str">
        <f aca="false">IF($A400="","",IF(SUM($C400:$F400)+SUM($K400:$M400)=0,"无","有"))</f>
        <v/>
      </c>
    </row>
    <row r="401" customFormat="false" ht="15.75" hidden="false" customHeight="true" outlineLevel="0" collapsed="false">
      <c r="A401" s="32" t="str">
        <f aca="false">IF(项目档案!$A401="","",项目档案!$A401)</f>
        <v/>
      </c>
      <c r="B401" s="40" t="str">
        <f aca="false">IF($A401="","",项目档案!$B401)</f>
        <v/>
      </c>
      <c r="C401" s="41" t="str">
        <f aca="false">IF($A401="","",SUMIFS(业务流水!$H$5:$H$1504,业务流水!$E$5:$E$1504,$B$3,业务流水!$D$5:$D$1504,"销项开票",业务流水!$C$5:$C$1504,$A401,业务流水!$Z$5:$Z$1504,"是"))</f>
        <v/>
      </c>
      <c r="D401" s="41" t="str">
        <f aca="false">IF($A401="","",SUMIFS(业务流水!$O$5:$O$1504,业务流水!$E$5:$E$1504,$B$3,业务流水!$D$5:$D$1504,"销项开票",业务流水!$C$5:$C$1504,$A401,业务流水!$Z$5:$Z$1504,"是"))</f>
        <v/>
      </c>
      <c r="E401" s="41" t="str">
        <f aca="false">IF($A401="","",SUMIFS(业务流水!$P$5:$P$1504,业务流水!$E$5:$E$1504,$B$3,业务流水!$D$5:$D$1504,"销项开票",业务流水!$C$5:$C$1504,$A401,业务流水!$Z$5:$Z$1504,"是"))</f>
        <v/>
      </c>
      <c r="F401" s="41" t="str">
        <f aca="false">IF($A401="","",SUMIFS(业务流水!$H$5:$H$1504,业务流水!$F$5:$F$1504,$B$3,业务流水!$D$5:$D$1504,"成本票",业务流水!$C$5:$C$1504,$A401,业务流水!$Z$5:$Z$1504,"是")+SUMIFS(业务流水!$H$5:$H$1504,业务流水!$F$5:$F$1504,$B$3,业务流水!$D$5:$D$1504,"销项开票",业务流水!$C$5:$C$1504,$A401,业务流水!$Z$5:$Z$1504,"是"))</f>
        <v/>
      </c>
      <c r="G401" s="42" t="str">
        <f aca="false">IF($A401="","",$E401-$F401)</f>
        <v/>
      </c>
      <c r="H401" s="41" t="str">
        <f aca="false">IF($A401="","",SUMIFS(业务流水!$W$5:$W$1504,业务流水!$E$5:$E$1504,$B$3,业务流水!$D$5:$D$1504,"销项开票",业务流水!$C$5:$C$1504,$A401,业务流水!$Z$5:$Z$1504,"是"))</f>
        <v/>
      </c>
      <c r="I401" s="41" t="str">
        <f aca="false">IF($A401="","",SUMIFS(业务流水!$H$5:$H$1504,业务流水!$E$5:$E$1504,$B$3,业务流水!$D$5:$D$1504,"已交税",业务流水!$C$5:$C$1504,$A401,业务流水!$Z$5:$Z$1504,"是"))</f>
        <v/>
      </c>
      <c r="J401" s="42" t="str">
        <f aca="false">IF($A401="","",$H401-$I401)</f>
        <v/>
      </c>
      <c r="K401" s="41" t="str">
        <f aca="false">IF($A401="","",SUMIFS(业务流水!$H$5:$H$1504,业务流水!$F$5:$F$1504,$B$3,业务流水!$D$5:$D$1504,"挂靠代收",业务流水!$C$5:$C$1504,$A401,业务流水!$Z$5:$Z$1504,"是"))</f>
        <v/>
      </c>
      <c r="L401" s="42" t="str">
        <f aca="false">IF($A401="","",$C401-$K401)</f>
        <v/>
      </c>
      <c r="M401" s="41" t="str">
        <f aca="false">IF($A401="","",SUMIFS(业务流水!$H$5:$H$1504,业务流水!$E$5:$E$1504,$B$3,业务流水!$D$5:$D$1504,"我方收款",业务流水!$C$5:$C$1504,$A401,业务流水!$Z$5:$Z$1504,"是"))</f>
        <v/>
      </c>
      <c r="N401" s="43" t="str">
        <f aca="false">IF($A401="","",$K401-$M401)</f>
        <v/>
      </c>
      <c r="O401" s="41" t="str">
        <f aca="false">IF($A401="","",SUMIFS(业务流水!$H$5:$H$1504,业务流水!$F$5:$F$1504,$B$3,业务流水!$D$5:$D$1504,"管理费结算",业务流水!$C$5:$C$1504,$A401,业务流水!$Z$5:$Z$1504,"是"))</f>
        <v/>
      </c>
      <c r="P401" s="41" t="str">
        <f aca="false">IF($A401="","",SUMIFS(业务流水!$H$5:$H$1504,业务流水!$E$5:$E$1504,$B$3,业务流水!$D$5:$D$1504,"扣质保金",业务流水!$C$5:$C$1504,$A401,业务流水!$Z$5:$Z$1504,"是"))</f>
        <v/>
      </c>
      <c r="Q401" s="48" t="str">
        <f aca="false">IF($A401="","",IF(SUM($C401:$F401)+SUM($K401:$M401)=0,"无","有"))</f>
        <v/>
      </c>
    </row>
    <row r="402" customFormat="false" ht="15.75" hidden="false" customHeight="true" outlineLevel="0" collapsed="false">
      <c r="A402" s="32" t="str">
        <f aca="false">IF(项目档案!$A402="","",项目档案!$A402)</f>
        <v/>
      </c>
      <c r="B402" s="40" t="str">
        <f aca="false">IF($A402="","",项目档案!$B402)</f>
        <v/>
      </c>
      <c r="C402" s="41" t="str">
        <f aca="false">IF($A402="","",SUMIFS(业务流水!$H$5:$H$1504,业务流水!$E$5:$E$1504,$B$3,业务流水!$D$5:$D$1504,"销项开票",业务流水!$C$5:$C$1504,$A402,业务流水!$Z$5:$Z$1504,"是"))</f>
        <v/>
      </c>
      <c r="D402" s="41" t="str">
        <f aca="false">IF($A402="","",SUMIFS(业务流水!$O$5:$O$1504,业务流水!$E$5:$E$1504,$B$3,业务流水!$D$5:$D$1504,"销项开票",业务流水!$C$5:$C$1504,$A402,业务流水!$Z$5:$Z$1504,"是"))</f>
        <v/>
      </c>
      <c r="E402" s="41" t="str">
        <f aca="false">IF($A402="","",SUMIFS(业务流水!$P$5:$P$1504,业务流水!$E$5:$E$1504,$B$3,业务流水!$D$5:$D$1504,"销项开票",业务流水!$C$5:$C$1504,$A402,业务流水!$Z$5:$Z$1504,"是"))</f>
        <v/>
      </c>
      <c r="F402" s="41" t="str">
        <f aca="false">IF($A402="","",SUMIFS(业务流水!$H$5:$H$1504,业务流水!$F$5:$F$1504,$B$3,业务流水!$D$5:$D$1504,"成本票",业务流水!$C$5:$C$1504,$A402,业务流水!$Z$5:$Z$1504,"是")+SUMIFS(业务流水!$H$5:$H$1504,业务流水!$F$5:$F$1504,$B$3,业务流水!$D$5:$D$1504,"销项开票",业务流水!$C$5:$C$1504,$A402,业务流水!$Z$5:$Z$1504,"是"))</f>
        <v/>
      </c>
      <c r="G402" s="42" t="str">
        <f aca="false">IF($A402="","",$E402-$F402)</f>
        <v/>
      </c>
      <c r="H402" s="41" t="str">
        <f aca="false">IF($A402="","",SUMIFS(业务流水!$W$5:$W$1504,业务流水!$E$5:$E$1504,$B$3,业务流水!$D$5:$D$1504,"销项开票",业务流水!$C$5:$C$1504,$A402,业务流水!$Z$5:$Z$1504,"是"))</f>
        <v/>
      </c>
      <c r="I402" s="41" t="str">
        <f aca="false">IF($A402="","",SUMIFS(业务流水!$H$5:$H$1504,业务流水!$E$5:$E$1504,$B$3,业务流水!$D$5:$D$1504,"已交税",业务流水!$C$5:$C$1504,$A402,业务流水!$Z$5:$Z$1504,"是"))</f>
        <v/>
      </c>
      <c r="J402" s="42" t="str">
        <f aca="false">IF($A402="","",$H402-$I402)</f>
        <v/>
      </c>
      <c r="K402" s="41" t="str">
        <f aca="false">IF($A402="","",SUMIFS(业务流水!$H$5:$H$1504,业务流水!$F$5:$F$1504,$B$3,业务流水!$D$5:$D$1504,"挂靠代收",业务流水!$C$5:$C$1504,$A402,业务流水!$Z$5:$Z$1504,"是"))</f>
        <v/>
      </c>
      <c r="L402" s="42" t="str">
        <f aca="false">IF($A402="","",$C402-$K402)</f>
        <v/>
      </c>
      <c r="M402" s="41" t="str">
        <f aca="false">IF($A402="","",SUMIFS(业务流水!$H$5:$H$1504,业务流水!$E$5:$E$1504,$B$3,业务流水!$D$5:$D$1504,"我方收款",业务流水!$C$5:$C$1504,$A402,业务流水!$Z$5:$Z$1504,"是"))</f>
        <v/>
      </c>
      <c r="N402" s="43" t="str">
        <f aca="false">IF($A402="","",$K402-$M402)</f>
        <v/>
      </c>
      <c r="O402" s="41" t="str">
        <f aca="false">IF($A402="","",SUMIFS(业务流水!$H$5:$H$1504,业务流水!$F$5:$F$1504,$B$3,业务流水!$D$5:$D$1504,"管理费结算",业务流水!$C$5:$C$1504,$A402,业务流水!$Z$5:$Z$1504,"是"))</f>
        <v/>
      </c>
      <c r="P402" s="41" t="str">
        <f aca="false">IF($A402="","",SUMIFS(业务流水!$H$5:$H$1504,业务流水!$E$5:$E$1504,$B$3,业务流水!$D$5:$D$1504,"扣质保金",业务流水!$C$5:$C$1504,$A402,业务流水!$Z$5:$Z$1504,"是"))</f>
        <v/>
      </c>
      <c r="Q402" s="48" t="str">
        <f aca="false">IF($A402="","",IF(SUM($C402:$F402)+SUM($K402:$M402)=0,"无","有"))</f>
        <v/>
      </c>
    </row>
    <row r="403" customFormat="false" ht="15.75" hidden="false" customHeight="true" outlineLevel="0" collapsed="false">
      <c r="A403" s="32" t="str">
        <f aca="false">IF(项目档案!$A403="","",项目档案!$A403)</f>
        <v/>
      </c>
      <c r="B403" s="40" t="str">
        <f aca="false">IF($A403="","",项目档案!$B403)</f>
        <v/>
      </c>
      <c r="C403" s="41" t="str">
        <f aca="false">IF($A403="","",SUMIFS(业务流水!$H$5:$H$1504,业务流水!$E$5:$E$1504,$B$3,业务流水!$D$5:$D$1504,"销项开票",业务流水!$C$5:$C$1504,$A403,业务流水!$Z$5:$Z$1504,"是"))</f>
        <v/>
      </c>
      <c r="D403" s="41" t="str">
        <f aca="false">IF($A403="","",SUMIFS(业务流水!$O$5:$O$1504,业务流水!$E$5:$E$1504,$B$3,业务流水!$D$5:$D$1504,"销项开票",业务流水!$C$5:$C$1504,$A403,业务流水!$Z$5:$Z$1504,"是"))</f>
        <v/>
      </c>
      <c r="E403" s="41" t="str">
        <f aca="false">IF($A403="","",SUMIFS(业务流水!$P$5:$P$1504,业务流水!$E$5:$E$1504,$B$3,业务流水!$D$5:$D$1504,"销项开票",业务流水!$C$5:$C$1504,$A403,业务流水!$Z$5:$Z$1504,"是"))</f>
        <v/>
      </c>
      <c r="F403" s="41" t="str">
        <f aca="false">IF($A403="","",SUMIFS(业务流水!$H$5:$H$1504,业务流水!$F$5:$F$1504,$B$3,业务流水!$D$5:$D$1504,"成本票",业务流水!$C$5:$C$1504,$A403,业务流水!$Z$5:$Z$1504,"是")+SUMIFS(业务流水!$H$5:$H$1504,业务流水!$F$5:$F$1504,$B$3,业务流水!$D$5:$D$1504,"销项开票",业务流水!$C$5:$C$1504,$A403,业务流水!$Z$5:$Z$1504,"是"))</f>
        <v/>
      </c>
      <c r="G403" s="42" t="str">
        <f aca="false">IF($A403="","",$E403-$F403)</f>
        <v/>
      </c>
      <c r="H403" s="41" t="str">
        <f aca="false">IF($A403="","",SUMIFS(业务流水!$W$5:$W$1504,业务流水!$E$5:$E$1504,$B$3,业务流水!$D$5:$D$1504,"销项开票",业务流水!$C$5:$C$1504,$A403,业务流水!$Z$5:$Z$1504,"是"))</f>
        <v/>
      </c>
      <c r="I403" s="41" t="str">
        <f aca="false">IF($A403="","",SUMIFS(业务流水!$H$5:$H$1504,业务流水!$E$5:$E$1504,$B$3,业务流水!$D$5:$D$1504,"已交税",业务流水!$C$5:$C$1504,$A403,业务流水!$Z$5:$Z$1504,"是"))</f>
        <v/>
      </c>
      <c r="J403" s="42" t="str">
        <f aca="false">IF($A403="","",$H403-$I403)</f>
        <v/>
      </c>
      <c r="K403" s="41" t="str">
        <f aca="false">IF($A403="","",SUMIFS(业务流水!$H$5:$H$1504,业务流水!$F$5:$F$1504,$B$3,业务流水!$D$5:$D$1504,"挂靠代收",业务流水!$C$5:$C$1504,$A403,业务流水!$Z$5:$Z$1504,"是"))</f>
        <v/>
      </c>
      <c r="L403" s="42" t="str">
        <f aca="false">IF($A403="","",$C403-$K403)</f>
        <v/>
      </c>
      <c r="M403" s="41" t="str">
        <f aca="false">IF($A403="","",SUMIFS(业务流水!$H$5:$H$1504,业务流水!$E$5:$E$1504,$B$3,业务流水!$D$5:$D$1504,"我方收款",业务流水!$C$5:$C$1504,$A403,业务流水!$Z$5:$Z$1504,"是"))</f>
        <v/>
      </c>
      <c r="N403" s="43" t="str">
        <f aca="false">IF($A403="","",$K403-$M403)</f>
        <v/>
      </c>
      <c r="O403" s="41" t="str">
        <f aca="false">IF($A403="","",SUMIFS(业务流水!$H$5:$H$1504,业务流水!$F$5:$F$1504,$B$3,业务流水!$D$5:$D$1504,"管理费结算",业务流水!$C$5:$C$1504,$A403,业务流水!$Z$5:$Z$1504,"是"))</f>
        <v/>
      </c>
      <c r="P403" s="41" t="str">
        <f aca="false">IF($A403="","",SUMIFS(业务流水!$H$5:$H$1504,业务流水!$E$5:$E$1504,$B$3,业务流水!$D$5:$D$1504,"扣质保金",业务流水!$C$5:$C$1504,$A403,业务流水!$Z$5:$Z$1504,"是"))</f>
        <v/>
      </c>
      <c r="Q403" s="48" t="str">
        <f aca="false">IF($A403="","",IF(SUM($C403:$F403)+SUM($K403:$M403)=0,"无","有"))</f>
        <v/>
      </c>
    </row>
    <row r="404" customFormat="false" ht="15.75" hidden="false" customHeight="true" outlineLevel="0" collapsed="false">
      <c r="A404" s="32" t="str">
        <f aca="false">IF(项目档案!$A404="","",项目档案!$A404)</f>
        <v/>
      </c>
      <c r="B404" s="40" t="str">
        <f aca="false">IF($A404="","",项目档案!$B404)</f>
        <v/>
      </c>
      <c r="C404" s="41" t="str">
        <f aca="false">IF($A404="","",SUMIFS(业务流水!$H$5:$H$1504,业务流水!$E$5:$E$1504,$B$3,业务流水!$D$5:$D$1504,"销项开票",业务流水!$C$5:$C$1504,$A404,业务流水!$Z$5:$Z$1504,"是"))</f>
        <v/>
      </c>
      <c r="D404" s="41" t="str">
        <f aca="false">IF($A404="","",SUMIFS(业务流水!$O$5:$O$1504,业务流水!$E$5:$E$1504,$B$3,业务流水!$D$5:$D$1504,"销项开票",业务流水!$C$5:$C$1504,$A404,业务流水!$Z$5:$Z$1504,"是"))</f>
        <v/>
      </c>
      <c r="E404" s="41" t="str">
        <f aca="false">IF($A404="","",SUMIFS(业务流水!$P$5:$P$1504,业务流水!$E$5:$E$1504,$B$3,业务流水!$D$5:$D$1504,"销项开票",业务流水!$C$5:$C$1504,$A404,业务流水!$Z$5:$Z$1504,"是"))</f>
        <v/>
      </c>
      <c r="F404" s="41" t="str">
        <f aca="false">IF($A404="","",SUMIFS(业务流水!$H$5:$H$1504,业务流水!$F$5:$F$1504,$B$3,业务流水!$D$5:$D$1504,"成本票",业务流水!$C$5:$C$1504,$A404,业务流水!$Z$5:$Z$1504,"是")+SUMIFS(业务流水!$H$5:$H$1504,业务流水!$F$5:$F$1504,$B$3,业务流水!$D$5:$D$1504,"销项开票",业务流水!$C$5:$C$1504,$A404,业务流水!$Z$5:$Z$1504,"是"))</f>
        <v/>
      </c>
      <c r="G404" s="42" t="str">
        <f aca="false">IF($A404="","",$E404-$F404)</f>
        <v/>
      </c>
      <c r="H404" s="41" t="str">
        <f aca="false">IF($A404="","",SUMIFS(业务流水!$W$5:$W$1504,业务流水!$E$5:$E$1504,$B$3,业务流水!$D$5:$D$1504,"销项开票",业务流水!$C$5:$C$1504,$A404,业务流水!$Z$5:$Z$1504,"是"))</f>
        <v/>
      </c>
      <c r="I404" s="41" t="str">
        <f aca="false">IF($A404="","",SUMIFS(业务流水!$H$5:$H$1504,业务流水!$E$5:$E$1504,$B$3,业务流水!$D$5:$D$1504,"已交税",业务流水!$C$5:$C$1504,$A404,业务流水!$Z$5:$Z$1504,"是"))</f>
        <v/>
      </c>
      <c r="J404" s="42" t="str">
        <f aca="false">IF($A404="","",$H404-$I404)</f>
        <v/>
      </c>
      <c r="K404" s="41" t="str">
        <f aca="false">IF($A404="","",SUMIFS(业务流水!$H$5:$H$1504,业务流水!$F$5:$F$1504,$B$3,业务流水!$D$5:$D$1504,"挂靠代收",业务流水!$C$5:$C$1504,$A404,业务流水!$Z$5:$Z$1504,"是"))</f>
        <v/>
      </c>
      <c r="L404" s="42" t="str">
        <f aca="false">IF($A404="","",$C404-$K404)</f>
        <v/>
      </c>
      <c r="M404" s="41" t="str">
        <f aca="false">IF($A404="","",SUMIFS(业务流水!$H$5:$H$1504,业务流水!$E$5:$E$1504,$B$3,业务流水!$D$5:$D$1504,"我方收款",业务流水!$C$5:$C$1504,$A404,业务流水!$Z$5:$Z$1504,"是"))</f>
        <v/>
      </c>
      <c r="N404" s="43" t="str">
        <f aca="false">IF($A404="","",$K404-$M404)</f>
        <v/>
      </c>
      <c r="O404" s="41" t="str">
        <f aca="false">IF($A404="","",SUMIFS(业务流水!$H$5:$H$1504,业务流水!$F$5:$F$1504,$B$3,业务流水!$D$5:$D$1504,"管理费结算",业务流水!$C$5:$C$1504,$A404,业务流水!$Z$5:$Z$1504,"是"))</f>
        <v/>
      </c>
      <c r="P404" s="41" t="str">
        <f aca="false">IF($A404="","",SUMIFS(业务流水!$H$5:$H$1504,业务流水!$E$5:$E$1504,$B$3,业务流水!$D$5:$D$1504,"扣质保金",业务流水!$C$5:$C$1504,$A404,业务流水!$Z$5:$Z$1504,"是"))</f>
        <v/>
      </c>
      <c r="Q404" s="48" t="str">
        <f aca="false">IF($A404="","",IF(SUM($C404:$F404)+SUM($K404:$M404)=0,"无","有"))</f>
        <v/>
      </c>
    </row>
    <row r="405" customFormat="false" ht="15.75" hidden="false" customHeight="true" outlineLevel="0" collapsed="false">
      <c r="A405" s="32" t="str">
        <f aca="false">IF(项目档案!$A405="","",项目档案!$A405)</f>
        <v/>
      </c>
      <c r="B405" s="40" t="str">
        <f aca="false">IF($A405="","",项目档案!$B405)</f>
        <v/>
      </c>
      <c r="C405" s="41" t="str">
        <f aca="false">IF($A405="","",SUMIFS(业务流水!$H$5:$H$1504,业务流水!$E$5:$E$1504,$B$3,业务流水!$D$5:$D$1504,"销项开票",业务流水!$C$5:$C$1504,$A405,业务流水!$Z$5:$Z$1504,"是"))</f>
        <v/>
      </c>
      <c r="D405" s="41" t="str">
        <f aca="false">IF($A405="","",SUMIFS(业务流水!$O$5:$O$1504,业务流水!$E$5:$E$1504,$B$3,业务流水!$D$5:$D$1504,"销项开票",业务流水!$C$5:$C$1504,$A405,业务流水!$Z$5:$Z$1504,"是"))</f>
        <v/>
      </c>
      <c r="E405" s="41" t="str">
        <f aca="false">IF($A405="","",SUMIFS(业务流水!$P$5:$P$1504,业务流水!$E$5:$E$1504,$B$3,业务流水!$D$5:$D$1504,"销项开票",业务流水!$C$5:$C$1504,$A405,业务流水!$Z$5:$Z$1504,"是"))</f>
        <v/>
      </c>
      <c r="F405" s="41" t="str">
        <f aca="false">IF($A405="","",SUMIFS(业务流水!$H$5:$H$1504,业务流水!$F$5:$F$1504,$B$3,业务流水!$D$5:$D$1504,"成本票",业务流水!$C$5:$C$1504,$A405,业务流水!$Z$5:$Z$1504,"是")+SUMIFS(业务流水!$H$5:$H$1504,业务流水!$F$5:$F$1504,$B$3,业务流水!$D$5:$D$1504,"销项开票",业务流水!$C$5:$C$1504,$A405,业务流水!$Z$5:$Z$1504,"是"))</f>
        <v/>
      </c>
      <c r="G405" s="42" t="str">
        <f aca="false">IF($A405="","",$E405-$F405)</f>
        <v/>
      </c>
      <c r="H405" s="41" t="str">
        <f aca="false">IF($A405="","",SUMIFS(业务流水!$W$5:$W$1504,业务流水!$E$5:$E$1504,$B$3,业务流水!$D$5:$D$1504,"销项开票",业务流水!$C$5:$C$1504,$A405,业务流水!$Z$5:$Z$1504,"是"))</f>
        <v/>
      </c>
      <c r="I405" s="41" t="str">
        <f aca="false">IF($A405="","",SUMIFS(业务流水!$H$5:$H$1504,业务流水!$E$5:$E$1504,$B$3,业务流水!$D$5:$D$1504,"已交税",业务流水!$C$5:$C$1504,$A405,业务流水!$Z$5:$Z$1504,"是"))</f>
        <v/>
      </c>
      <c r="J405" s="42" t="str">
        <f aca="false">IF($A405="","",$H405-$I405)</f>
        <v/>
      </c>
      <c r="K405" s="41" t="str">
        <f aca="false">IF($A405="","",SUMIFS(业务流水!$H$5:$H$1504,业务流水!$F$5:$F$1504,$B$3,业务流水!$D$5:$D$1504,"挂靠代收",业务流水!$C$5:$C$1504,$A405,业务流水!$Z$5:$Z$1504,"是"))</f>
        <v/>
      </c>
      <c r="L405" s="42" t="str">
        <f aca="false">IF($A405="","",$C405-$K405)</f>
        <v/>
      </c>
      <c r="M405" s="41" t="str">
        <f aca="false">IF($A405="","",SUMIFS(业务流水!$H$5:$H$1504,业务流水!$E$5:$E$1504,$B$3,业务流水!$D$5:$D$1504,"我方收款",业务流水!$C$5:$C$1504,$A405,业务流水!$Z$5:$Z$1504,"是"))</f>
        <v/>
      </c>
      <c r="N405" s="43" t="str">
        <f aca="false">IF($A405="","",$K405-$M405)</f>
        <v/>
      </c>
      <c r="O405" s="41" t="str">
        <f aca="false">IF($A405="","",SUMIFS(业务流水!$H$5:$H$1504,业务流水!$F$5:$F$1504,$B$3,业务流水!$D$5:$D$1504,"管理费结算",业务流水!$C$5:$C$1504,$A405,业务流水!$Z$5:$Z$1504,"是"))</f>
        <v/>
      </c>
      <c r="P405" s="41" t="str">
        <f aca="false">IF($A405="","",SUMIFS(业务流水!$H$5:$H$1504,业务流水!$E$5:$E$1504,$B$3,业务流水!$D$5:$D$1504,"扣质保金",业务流水!$C$5:$C$1504,$A405,业务流水!$Z$5:$Z$1504,"是"))</f>
        <v/>
      </c>
      <c r="Q405" s="48" t="str">
        <f aca="false">IF($A405="","",IF(SUM($C405:$F405)+SUM($K405:$M405)=0,"无","有"))</f>
        <v/>
      </c>
    </row>
    <row r="406" customFormat="false" ht="15" hidden="false" customHeight="false" outlineLevel="0" collapsed="false">
      <c r="A406" s="44" t="s">
        <v>694</v>
      </c>
      <c r="B406" s="44"/>
      <c r="C406" s="45" t="n">
        <f aca="false">SUM(C6:C405)</f>
        <v>1220281.15</v>
      </c>
      <c r="D406" s="45" t="n">
        <f aca="false">SUM(D6:D405)</f>
        <v>26505.64</v>
      </c>
      <c r="E406" s="45" t="n">
        <f aca="false">SUM(E6:E405)</f>
        <v>1193775.51</v>
      </c>
      <c r="F406" s="45" t="n">
        <f aca="false">SUM(F6:F405)</f>
        <v>517637.17</v>
      </c>
      <c r="G406" s="45" t="n">
        <f aca="false">SUM(G6:G405)</f>
        <v>676138.34</v>
      </c>
      <c r="H406" s="45" t="n">
        <f aca="false">SUM(H6:H405)</f>
        <v>40044.13</v>
      </c>
      <c r="I406" s="45" t="n">
        <f aca="false">SUM(I6:I405)</f>
        <v>15425.28</v>
      </c>
      <c r="J406" s="45" t="n">
        <f aca="false">SUM(J6:J405)</f>
        <v>24618.85</v>
      </c>
      <c r="K406" s="45" t="n">
        <f aca="false">SUM(K6:K405)</f>
        <v>908159</v>
      </c>
      <c r="L406" s="45" t="n">
        <f aca="false">SUM(L6:L405)</f>
        <v>312122.15</v>
      </c>
      <c r="M406" s="45" t="n">
        <f aca="false">SUM(M6:M405)</f>
        <v>892055.8</v>
      </c>
      <c r="N406" s="45" t="n">
        <f aca="false">SUM(N6:N405)</f>
        <v>16103.2</v>
      </c>
      <c r="O406" s="45" t="n">
        <f aca="false">SUM(O6:O405)</f>
        <v>10943.98</v>
      </c>
      <c r="P406" s="45" t="n">
        <f aca="false">SUM(P6:P405)</f>
        <v>0</v>
      </c>
      <c r="Q406" s="44"/>
    </row>
  </sheetData>
  <autoFilter ref="A5:Q405"/>
  <mergeCells count="2">
    <mergeCell ref="A1:Q1"/>
    <mergeCell ref="A2:Q2"/>
  </mergeCells>
  <dataValidations count="1">
    <dataValidation allowBlank="true" error="必须选择下拉中已维护的值，手工输入会导致取数错位" errorStyle="stop" errorTitle="请从下拉中选择" operator="between" showDropDown="false" showErrorMessage="true" showInputMessage="false" sqref="B3" type="list">
      <formula1>单位档案!$A$6:$A$35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P2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8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9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1" min="11" style="0" width="9"/>
    <col collapsed="false" customWidth="true" hidden="false" outlineLevel="0" max="12" min="12" style="0" width="13"/>
    <col collapsed="false" customWidth="true" hidden="false" outlineLevel="0" max="13" min="13" style="0" width="15"/>
    <col collapsed="false" customWidth="true" hidden="false" outlineLevel="0" max="15" min="14" style="0" width="14"/>
    <col collapsed="false" customWidth="true" hidden="false" outlineLevel="0" max="16" min="16" style="0" width="11"/>
  </cols>
  <sheetData>
    <row r="1" customFormat="false" ht="25.5" hidden="false" customHeight="true" outlineLevel="0" collapsed="false">
      <c r="A1" s="17" t="s">
        <v>701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</row>
    <row r="2" customFormat="false" ht="15" hidden="false" customHeight="true" outlineLevel="0" collapsed="false">
      <c r="A2" s="19" t="s">
        <v>702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</row>
    <row r="5" customFormat="false" ht="30" hidden="false" customHeight="true" outlineLevel="0" collapsed="false">
      <c r="A5" s="20" t="s">
        <v>72</v>
      </c>
      <c r="B5" s="20" t="s">
        <v>140</v>
      </c>
      <c r="C5" s="20" t="s">
        <v>99</v>
      </c>
      <c r="D5" s="20" t="s">
        <v>141</v>
      </c>
      <c r="E5" s="20" t="s">
        <v>703</v>
      </c>
      <c r="F5" s="20" t="s">
        <v>142</v>
      </c>
      <c r="G5" s="20" t="s">
        <v>704</v>
      </c>
      <c r="H5" s="20" t="s">
        <v>705</v>
      </c>
      <c r="I5" s="20" t="s">
        <v>143</v>
      </c>
      <c r="J5" s="20" t="s">
        <v>706</v>
      </c>
      <c r="K5" s="20" t="s">
        <v>144</v>
      </c>
      <c r="L5" s="20" t="s">
        <v>707</v>
      </c>
      <c r="M5" s="20" t="s">
        <v>708</v>
      </c>
      <c r="N5" s="20" t="s">
        <v>709</v>
      </c>
      <c r="O5" s="20" t="s">
        <v>710</v>
      </c>
      <c r="P5" s="20" t="s">
        <v>95</v>
      </c>
    </row>
    <row r="6" customFormat="false" ht="15.75" hidden="false" customHeight="true" outlineLevel="0" collapsed="false">
      <c r="A6" s="32" t="str">
        <f aca="false">IF(项目档案!$A6="","",项目档案!$A6)</f>
        <v>A001</v>
      </c>
      <c r="B6" s="40" t="str">
        <f aca="false">IF($A6="","",项目档案!$B6)</f>
        <v>2025-2026年度工程用施工机具等租赁服务（重庆铜梁10kV大太线老旧线路改造工程）</v>
      </c>
      <c r="C6" s="32" t="str">
        <f aca="false">IF($A6="","",项目档案!$C6)</f>
        <v>民能</v>
      </c>
      <c r="D6" s="32" t="str">
        <f aca="false">IF($A6="","",项目档案!$D6)</f>
        <v>德誉嘉</v>
      </c>
      <c r="E6" s="41" t="n">
        <f aca="false">IF($A6="","",SUMIFS(业务流水!$H$5:$H$1504,业务流水!$E$5:$E$1504,$D6,业务流水!$D$5:$D$1504,"销项开票",业务流水!$C$5:$C$1504,$A6,业务流水!$Z$5:$Z$1504,"是"))</f>
        <v>132941</v>
      </c>
      <c r="F6" s="49" t="n">
        <f aca="false">IF(OR($A6="",$E6=0),"",SUMIFS(业务流水!$O$5:$O$1504,业务流水!$E$5:$E$1504,$D6,业务流水!$D$5:$D$1504,"销项开票",业务流水!$C$5:$C$1504,$A6,业务流水!$Z$5:$Z$1504,"是")/$E6)</f>
        <v>0.08</v>
      </c>
      <c r="G6" s="41" t="n">
        <f aca="false">IF($A6="","",SUMIFS(业务流水!$O$5:$O$1504,业务流水!$E$5:$E$1504,$D6,业务流水!$D$5:$D$1504,"销项开票",业务流水!$C$5:$C$1504,$A6,业务流水!$Z$5:$Z$1504,"是"))</f>
        <v>10635.28</v>
      </c>
      <c r="H6" s="42" t="n">
        <f aca="false">IF($A6="","",$E6-$G6)</f>
        <v>122305.72</v>
      </c>
      <c r="I6" s="32" t="str">
        <f aca="false">IF($A6="","",项目档案!$F6)</f>
        <v>杰华</v>
      </c>
      <c r="J6" s="41" t="n">
        <f aca="false">IF(OR($A6="",$I6=""),0,SUMIFS(业务流水!$H$5:$H$1504,业务流水!$E$5:$E$1504,$I6,业务流水!$D$5:$D$1504,"销项开票",业务流水!$C$5:$C$1504,$A6,业务流水!$Z$5:$Z$1504,"是"))</f>
        <v>122305.72</v>
      </c>
      <c r="K6" s="49" t="n">
        <f aca="false">IF(OR($A6="",$J6=0),"",SUMIFS(业务流水!$O$5:$O$1504,业务流水!$E$5:$E$1504,$I6,业务流水!$D$5:$D$1504,"销项开票",业务流水!$C$5:$C$1504,$A6,业务流水!$Z$5:$Z$1504,"是")/$J6)</f>
        <v>0.099999983647535</v>
      </c>
      <c r="L6" s="41" t="n">
        <f aca="false">IF(OR($A6="",$I6=""),0,SUMIFS(业务流水!$O$5:$O$1504,业务流水!$E$5:$E$1504,$I6,业务流水!$D$5:$D$1504,"销项开票",业务流水!$C$5:$C$1504,$A6,业务流水!$Z$5:$Z$1504,"是"))</f>
        <v>12230.57</v>
      </c>
      <c r="M6" s="43" t="n">
        <f aca="false">IF($A6="","",IF(AND($I6&lt;&gt;"",$J6&gt;0),$J6-$L6,$H6))</f>
        <v>110075.15</v>
      </c>
      <c r="N6" s="41" t="n">
        <f aca="false">IF($A6="","",SUMIFS(业务流水!$H$5:$H$1504,业务流水!$F$5:$F$1504,"*",业务流水!$D$5:$D$1504,"成本票",业务流水!$C$5:$C$1504,$A6,业务流水!$Z$5:$Z$1504,"是"))</f>
        <v>0</v>
      </c>
      <c r="O6" s="43" t="n">
        <f aca="false">IF($A6="","",ROUND($M6-$N6,2))</f>
        <v>110075.15</v>
      </c>
      <c r="P6" s="33" t="str">
        <f aca="false">IF($A6="","",IF(ABS($O6)&lt;1,"✓ 已开齐",IF($O6&gt;0,"还差成本票","多开了")))</f>
        <v>还差成本票</v>
      </c>
    </row>
    <row r="7" customFormat="false" ht="15.75" hidden="false" customHeight="true" outlineLevel="0" collapsed="false">
      <c r="A7" s="32" t="str">
        <f aca="false">IF(项目档案!$A7="","",项目档案!$A7)</f>
        <v>A002</v>
      </c>
      <c r="B7" s="40" t="str">
        <f aca="false">IF($A7="","",项目档案!$B7)</f>
        <v>重庆铜梁10kV梧桐村4.5.6社台区重过载治理工程等23个项目(2025年配网6批、业扩5批民能施工）(重庆铜梁10kV侣新线凤飞7社台区重过载治理工程)</v>
      </c>
      <c r="C7" s="32" t="str">
        <f aca="false">IF($A7="","",项目档案!$C7)</f>
        <v>民能</v>
      </c>
      <c r="D7" s="32" t="str">
        <f aca="false">IF($A7="","",项目档案!$D7)</f>
        <v>金沁</v>
      </c>
      <c r="E7" s="41" t="n">
        <f aca="false">IF($A7="","",SUMIFS(业务流水!$H$5:$H$1504,业务流水!$E$5:$E$1504,$D7,业务流水!$D$5:$D$1504,"销项开票",业务流水!$C$5:$C$1504,$A7,业务流水!$Z$5:$Z$1504,"是"))</f>
        <v>244379.58</v>
      </c>
      <c r="F7" s="49" t="n">
        <f aca="false">IF(OR($A7="",$E7=0),"",SUMIFS(业务流水!$O$5:$O$1504,业务流水!$E$5:$E$1504,$D7,业务流水!$D$5:$D$1504,"销项开票",业务流水!$C$5:$C$1504,$A7,业务流水!$Z$5:$Z$1504,"是")/$E7)</f>
        <v>0.0500000040919949</v>
      </c>
      <c r="G7" s="41" t="n">
        <f aca="false">IF($A7="","",SUMIFS(业务流水!$O$5:$O$1504,业务流水!$E$5:$E$1504,$D7,业务流水!$D$5:$D$1504,"销项开票",业务流水!$C$5:$C$1504,$A7,业务流水!$Z$5:$Z$1504,"是"))</f>
        <v>12218.98</v>
      </c>
      <c r="H7" s="42" t="n">
        <f aca="false">IF($A7="","",$E7-$G7)</f>
        <v>232160.6</v>
      </c>
      <c r="I7" s="32" t="str">
        <f aca="false">IF($A7="","",项目档案!$F7)</f>
        <v>康欣</v>
      </c>
      <c r="J7" s="41" t="n">
        <f aca="false">IF(OR($A7="",$I7=""),0,SUMIFS(业务流水!$H$5:$H$1504,业务流水!$E$5:$E$1504,$I7,业务流水!$D$5:$D$1504,"销项开票",业务流水!$C$5:$C$1504,$A7,业务流水!$Z$5:$Z$1504,"是"))</f>
        <v>252343.27</v>
      </c>
      <c r="K7" s="49" t="n">
        <f aca="false">IF(OR($A7="",$J7=0),"",SUMIFS(业务流水!$O$5:$O$1504,业务流水!$E$5:$E$1504,$I7,业务流水!$D$5:$D$1504,"销项开票",业务流水!$C$5:$C$1504,$A7,业务流水!$Z$5:$Z$1504,"是")/$J7)</f>
        <v>0.0200000182291368</v>
      </c>
      <c r="L7" s="41" t="n">
        <f aca="false">IF(OR($A7="",$I7=""),0,SUMIFS(业务流水!$O$5:$O$1504,业务流水!$E$5:$E$1504,$I7,业务流水!$D$5:$D$1504,"销项开票",业务流水!$C$5:$C$1504,$A7,业务流水!$Z$5:$Z$1504,"是"))</f>
        <v>5046.87</v>
      </c>
      <c r="M7" s="43" t="n">
        <f aca="false">IF($A7="","",IF(AND($I7&lt;&gt;"",$J7&gt;0),$J7-$L7,$H7))</f>
        <v>247296.4</v>
      </c>
      <c r="N7" s="41" t="n">
        <f aca="false">IF($A7="","",SUMIFS(业务流水!$H$5:$H$1504,业务流水!$F$5:$F$1504,"*",业务流水!$D$5:$D$1504,"成本票",业务流水!$C$5:$C$1504,$A7,业务流水!$Z$5:$Z$1504,"是"))</f>
        <v>0</v>
      </c>
      <c r="O7" s="43" t="n">
        <f aca="false">IF($A7="","",ROUND($M7-$N7,2))</f>
        <v>247296.4</v>
      </c>
      <c r="P7" s="33" t="str">
        <f aca="false">IF($A7="","",IF(ABS($O7)&lt;1,"✓ 已开齐",IF($O7&gt;0,"还差成本票","多开了")))</f>
        <v>还差成本票</v>
      </c>
    </row>
    <row r="8" customFormat="false" ht="15.75" hidden="false" customHeight="true" outlineLevel="0" collapsed="false">
      <c r="A8" s="32" t="str">
        <f aca="false">IF(项目档案!$A8="","",项目档案!$A8)</f>
        <v>A003</v>
      </c>
      <c r="B8" s="40" t="str">
        <f aca="false">IF($A8="","",项目档案!$B8)</f>
        <v>重庆铜梁10kV平双线新建联络工程</v>
      </c>
      <c r="C8" s="32" t="str">
        <f aca="false">IF($A8="","",项目档案!$C8)</f>
        <v>民能</v>
      </c>
      <c r="D8" s="32" t="str">
        <f aca="false">IF($A8="","",项目档案!$D8)</f>
        <v>华城</v>
      </c>
      <c r="E8" s="41" t="n">
        <f aca="false">IF($A8="","",SUMIFS(业务流水!$H$5:$H$1504,业务流水!$E$5:$E$1504,$D8,业务流水!$D$5:$D$1504,"销项开票",业务流水!$C$5:$C$1504,$A8,业务流水!$Z$5:$Z$1504,"是"))</f>
        <v>307680</v>
      </c>
      <c r="F8" s="49" t="n">
        <f aca="false">IF(OR($A8="",$E8=0),"",SUMIFS(业务流水!$O$5:$O$1504,业务流水!$E$5:$E$1504,$D8,业务流水!$D$5:$D$1504,"销项开票",业务流水!$C$5:$C$1504,$A8,业务流水!$Z$5:$Z$1504,"是")/$E8)</f>
        <v>0.02</v>
      </c>
      <c r="G8" s="41" t="n">
        <f aca="false">IF($A8="","",SUMIFS(业务流水!$O$5:$O$1504,业务流水!$E$5:$E$1504,$D8,业务流水!$D$5:$D$1504,"销项开票",业务流水!$C$5:$C$1504,$A8,业务流水!$Z$5:$Z$1504,"是"))</f>
        <v>6153.6</v>
      </c>
      <c r="H8" s="42" t="n">
        <f aca="false">IF($A8="","",$E8-$G8)</f>
        <v>301526.4</v>
      </c>
      <c r="I8" s="32" t="n">
        <f aca="false">IF($A8="","",项目档案!$F8)</f>
        <v>0</v>
      </c>
      <c r="J8" s="41" t="n">
        <f aca="false">IF(OR($A8="",$I8=""),0,SUMIFS(业务流水!$H$5:$H$1504,业务流水!$E$5:$E$1504,$I8,业务流水!$D$5:$D$1504,"销项开票",业务流水!$C$5:$C$1504,$A8,业务流水!$Z$5:$Z$1504,"是"))</f>
        <v>0</v>
      </c>
      <c r="K8" s="49" t="str">
        <f aca="false">IF(OR($A8="",$J8=0),"",SUMIFS(业务流水!$O$5:$O$1504,业务流水!$E$5:$E$1504,$I8,业务流水!$D$5:$D$1504,"销项开票",业务流水!$C$5:$C$1504,$A8,业务流水!$Z$5:$Z$1504,"是")/$J8)</f>
        <v/>
      </c>
      <c r="L8" s="41" t="n">
        <f aca="false">IF(OR($A8="",$I8=""),0,SUMIFS(业务流水!$O$5:$O$1504,业务流水!$E$5:$E$1504,$I8,业务流水!$D$5:$D$1504,"销项开票",业务流水!$C$5:$C$1504,$A8,业务流水!$Z$5:$Z$1504,"是"))</f>
        <v>0</v>
      </c>
      <c r="M8" s="43" t="n">
        <f aca="false">IF($A8="","",IF(AND($I8&lt;&gt;"",$J8&gt;0),$J8-$L8,$H8))</f>
        <v>301526.4</v>
      </c>
      <c r="N8" s="41" t="n">
        <f aca="false">IF($A8="","",SUMIFS(业务流水!$H$5:$H$1504,业务流水!$F$5:$F$1504,"*",业务流水!$D$5:$D$1504,"成本票",业务流水!$C$5:$C$1504,$A8,业务流水!$Z$5:$Z$1504,"是"))</f>
        <v>429639.84</v>
      </c>
      <c r="O8" s="43" t="n">
        <f aca="false">IF($A8="","",ROUND($M8-$N8,2))</f>
        <v>-128113.44</v>
      </c>
      <c r="P8" s="33" t="str">
        <f aca="false">IF($A8="","",IF(ABS($O8)&lt;1,"✓ 已开齐",IF($O8&gt;0,"还差成本票","多开了")))</f>
        <v>多开了</v>
      </c>
    </row>
    <row r="9" customFormat="false" ht="15.75" hidden="false" customHeight="true" outlineLevel="0" collapsed="false">
      <c r="A9" s="32" t="str">
        <f aca="false">IF(项目档案!$A9="","",项目档案!$A9)</f>
        <v>A004</v>
      </c>
      <c r="B9" s="40" t="str">
        <f aca="false">IF($A9="","",项目档案!$B9)</f>
        <v>重庆铜梁10kV水羊线金鸡3（4）社台区重过载治理工程</v>
      </c>
      <c r="C9" s="32" t="str">
        <f aca="false">IF($A9="","",项目档案!$C9)</f>
        <v>民能</v>
      </c>
      <c r="D9" s="32" t="str">
        <f aca="false">IF($A9="","",项目档案!$D9)</f>
        <v>康欣</v>
      </c>
      <c r="E9" s="41" t="n">
        <f aca="false">IF($A9="","",SUMIFS(业务流水!$H$5:$H$1504,业务流水!$E$5:$E$1504,$D9,业务流水!$D$5:$D$1504,"销项开票",业务流水!$C$5:$C$1504,$A9,业务流水!$Z$5:$Z$1504,"是"))</f>
        <v>57991</v>
      </c>
      <c r="F9" s="49" t="n">
        <f aca="false">IF(OR($A9="",$E9=0),"",SUMIFS(业务流水!$O$5:$O$1504,业务流水!$E$5:$E$1504,$D9,业务流水!$D$5:$D$1504,"销项开票",业务流水!$C$5:$C$1504,$A9,业务流水!$Z$5:$Z$1504,"是")/$E9)</f>
        <v>0.02</v>
      </c>
      <c r="G9" s="41" t="n">
        <f aca="false">IF($A9="","",SUMIFS(业务流水!$O$5:$O$1504,业务流水!$E$5:$E$1504,$D9,业务流水!$D$5:$D$1504,"销项开票",业务流水!$C$5:$C$1504,$A9,业务流水!$Z$5:$Z$1504,"是"))</f>
        <v>1159.82</v>
      </c>
      <c r="H9" s="42" t="n">
        <f aca="false">IF($A9="","",$E9-$G9)</f>
        <v>56831.18</v>
      </c>
      <c r="I9" s="32" t="n">
        <f aca="false">IF($A9="","",项目档案!$F9)</f>
        <v>0</v>
      </c>
      <c r="J9" s="41" t="n">
        <f aca="false">IF(OR($A9="",$I9=""),0,SUMIFS(业务流水!$H$5:$H$1504,业务流水!$E$5:$E$1504,$I9,业务流水!$D$5:$D$1504,"销项开票",业务流水!$C$5:$C$1504,$A9,业务流水!$Z$5:$Z$1504,"是"))</f>
        <v>0</v>
      </c>
      <c r="K9" s="49" t="str">
        <f aca="false">IF(OR($A9="",$J9=0),"",SUMIFS(业务流水!$O$5:$O$1504,业务流水!$E$5:$E$1504,$I9,业务流水!$D$5:$D$1504,"销项开票",业务流水!$C$5:$C$1504,$A9,业务流水!$Z$5:$Z$1504,"是")/$J9)</f>
        <v/>
      </c>
      <c r="L9" s="41" t="n">
        <f aca="false">IF(OR($A9="",$I9=""),0,SUMIFS(业务流水!$O$5:$O$1504,业务流水!$E$5:$E$1504,$I9,业务流水!$D$5:$D$1504,"销项开票",业务流水!$C$5:$C$1504,$A9,业务流水!$Z$5:$Z$1504,"是"))</f>
        <v>0</v>
      </c>
      <c r="M9" s="43" t="n">
        <f aca="false">IF($A9="","",IF(AND($I9&lt;&gt;"",$J9&gt;0),$J9-$L9,$H9))</f>
        <v>56831.18</v>
      </c>
      <c r="N9" s="41" t="n">
        <f aca="false">IF($A9="","",SUMIFS(业务流水!$H$5:$H$1504,业务流水!$F$5:$F$1504,"*",业务流水!$D$5:$D$1504,"成本票",业务流水!$C$5:$C$1504,$A9,业务流水!$Z$5:$Z$1504,"是"))</f>
        <v>0</v>
      </c>
      <c r="O9" s="43" t="n">
        <f aca="false">IF($A9="","",ROUND($M9-$N9,2))</f>
        <v>56831.18</v>
      </c>
      <c r="P9" s="33" t="str">
        <f aca="false">IF($A9="","",IF(ABS($O9)&lt;1,"✓ 已开齐",IF($O9&gt;0,"还差成本票","多开了")))</f>
        <v>还差成本票</v>
      </c>
    </row>
    <row r="10" customFormat="false" ht="15.75" hidden="false" customHeight="true" outlineLevel="0" collapsed="false">
      <c r="A10" s="32" t="str">
        <f aca="false">IF(项目档案!$A10="","",项目档案!$A10)</f>
        <v>A005</v>
      </c>
      <c r="B10" s="40" t="str">
        <f aca="false">IF($A10="","",项目档案!$B10)</f>
        <v>重庆铜梁10kV龙羊线七佛4社台区重过载治理工程</v>
      </c>
      <c r="C10" s="32" t="str">
        <f aca="false">IF($A10="","",项目档案!$C10)</f>
        <v>民能</v>
      </c>
      <c r="D10" s="32" t="str">
        <f aca="false">IF($A10="","",项目档案!$D10)</f>
        <v>康欣</v>
      </c>
      <c r="E10" s="41" t="n">
        <f aca="false">IF($A10="","",SUMIFS(业务流水!$H$5:$H$1504,业务流水!$E$5:$E$1504,$D10,业务流水!$D$5:$D$1504,"销项开票",业务流水!$C$5:$C$1504,$A10,业务流水!$Z$5:$Z$1504,"是"))</f>
        <v>49074</v>
      </c>
      <c r="F10" s="49" t="n">
        <f aca="false">IF(OR($A10="",$E10=0),"",SUMIFS(业务流水!$O$5:$O$1504,业务流水!$E$5:$E$1504,$D10,业务流水!$D$5:$D$1504,"销项开票",业务流水!$C$5:$C$1504,$A10,业务流水!$Z$5:$Z$1504,"是")/$E10)</f>
        <v>0.02</v>
      </c>
      <c r="G10" s="41" t="n">
        <f aca="false">IF($A10="","",SUMIFS(业务流水!$O$5:$O$1504,业务流水!$E$5:$E$1504,$D10,业务流水!$D$5:$D$1504,"销项开票",业务流水!$C$5:$C$1504,$A10,业务流水!$Z$5:$Z$1504,"是"))</f>
        <v>981.48</v>
      </c>
      <c r="H10" s="42" t="n">
        <f aca="false">IF($A10="","",$E10-$G10)</f>
        <v>48092.52</v>
      </c>
      <c r="I10" s="32" t="n">
        <f aca="false">IF($A10="","",项目档案!$F10)</f>
        <v>0</v>
      </c>
      <c r="J10" s="41" t="n">
        <f aca="false">IF(OR($A10="",$I10=""),0,SUMIFS(业务流水!$H$5:$H$1504,业务流水!$E$5:$E$1504,$I10,业务流水!$D$5:$D$1504,"销项开票",业务流水!$C$5:$C$1504,$A10,业务流水!$Z$5:$Z$1504,"是"))</f>
        <v>0</v>
      </c>
      <c r="K10" s="49" t="str">
        <f aca="false">IF(OR($A10="",$J10=0),"",SUMIFS(业务流水!$O$5:$O$1504,业务流水!$E$5:$E$1504,$I10,业务流水!$D$5:$D$1504,"销项开票",业务流水!$C$5:$C$1504,$A10,业务流水!$Z$5:$Z$1504,"是")/$J10)</f>
        <v/>
      </c>
      <c r="L10" s="41" t="n">
        <f aca="false">IF(OR($A10="",$I10=""),0,SUMIFS(业务流水!$O$5:$O$1504,业务流水!$E$5:$E$1504,$I10,业务流水!$D$5:$D$1504,"销项开票",业务流水!$C$5:$C$1504,$A10,业务流水!$Z$5:$Z$1504,"是"))</f>
        <v>0</v>
      </c>
      <c r="M10" s="43" t="n">
        <f aca="false">IF($A10="","",IF(AND($I10&lt;&gt;"",$J10&gt;0),$J10-$L10,$H10))</f>
        <v>48092.52</v>
      </c>
      <c r="N10" s="41" t="n">
        <f aca="false">IF($A10="","",SUMIFS(业务流水!$H$5:$H$1504,业务流水!$F$5:$F$1504,"*",业务流水!$D$5:$D$1504,"成本票",业务流水!$C$5:$C$1504,$A10,业务流水!$Z$5:$Z$1504,"是"))</f>
        <v>0</v>
      </c>
      <c r="O10" s="43" t="n">
        <f aca="false">IF($A10="","",ROUND($M10-$N10,2))</f>
        <v>48092.52</v>
      </c>
      <c r="P10" s="33" t="str">
        <f aca="false">IF($A10="","",IF(ABS($O10)&lt;1,"✓ 已开齐",IF($O10&gt;0,"还差成本票","多开了")))</f>
        <v>还差成本票</v>
      </c>
    </row>
    <row r="11" customFormat="false" ht="15.75" hidden="false" customHeight="true" outlineLevel="0" collapsed="false">
      <c r="A11" s="32" t="str">
        <f aca="false">IF(项目档案!$A11="","",项目档案!$A11)</f>
        <v>A006</v>
      </c>
      <c r="B11" s="40" t="str">
        <f aca="false">IF($A11="","",项目档案!$B11)</f>
        <v>重庆铜梁10kV少柏线池塘4社柱台区电压越限治理工程</v>
      </c>
      <c r="C11" s="32" t="str">
        <f aca="false">IF($A11="","",项目档案!$C11)</f>
        <v>民能</v>
      </c>
      <c r="D11" s="32" t="str">
        <f aca="false">IF($A11="","",项目档案!$D11)</f>
        <v>康欣</v>
      </c>
      <c r="E11" s="41" t="n">
        <f aca="false">IF($A11="","",SUMIFS(业务流水!$H$5:$H$1504,业务流水!$E$5:$E$1504,$D11,业务流水!$D$5:$D$1504,"销项开票",业务流水!$C$5:$C$1504,$A11,业务流水!$Z$5:$Z$1504,"是"))</f>
        <v>78842</v>
      </c>
      <c r="F11" s="49" t="n">
        <f aca="false">IF(OR($A11="",$E11=0),"",SUMIFS(业务流水!$O$5:$O$1504,业务流水!$E$5:$E$1504,$D11,业务流水!$D$5:$D$1504,"销项开票",业务流水!$C$5:$C$1504,$A11,业务流水!$Z$5:$Z$1504,"是")/$E11)</f>
        <v>0.02</v>
      </c>
      <c r="G11" s="41" t="n">
        <f aca="false">IF($A11="","",SUMIFS(业务流水!$O$5:$O$1504,业务流水!$E$5:$E$1504,$D11,业务流水!$D$5:$D$1504,"销项开票",业务流水!$C$5:$C$1504,$A11,业务流水!$Z$5:$Z$1504,"是"))</f>
        <v>1576.84</v>
      </c>
      <c r="H11" s="42" t="n">
        <f aca="false">IF($A11="","",$E11-$G11)</f>
        <v>77265.16</v>
      </c>
      <c r="I11" s="32" t="n">
        <f aca="false">IF($A11="","",项目档案!$F11)</f>
        <v>0</v>
      </c>
      <c r="J11" s="41" t="n">
        <f aca="false">IF(OR($A11="",$I11=""),0,SUMIFS(业务流水!$H$5:$H$1504,业务流水!$E$5:$E$1504,$I11,业务流水!$D$5:$D$1504,"销项开票",业务流水!$C$5:$C$1504,$A11,业务流水!$Z$5:$Z$1504,"是"))</f>
        <v>0</v>
      </c>
      <c r="K11" s="49" t="str">
        <f aca="false">IF(OR($A11="",$J11=0),"",SUMIFS(业务流水!$O$5:$O$1504,业务流水!$E$5:$E$1504,$I11,业务流水!$D$5:$D$1504,"销项开票",业务流水!$C$5:$C$1504,$A11,业务流水!$Z$5:$Z$1504,"是")/$J11)</f>
        <v/>
      </c>
      <c r="L11" s="41" t="n">
        <f aca="false">IF(OR($A11="",$I11=""),0,SUMIFS(业务流水!$O$5:$O$1504,业务流水!$E$5:$E$1504,$I11,业务流水!$D$5:$D$1504,"销项开票",业务流水!$C$5:$C$1504,$A11,业务流水!$Z$5:$Z$1504,"是"))</f>
        <v>0</v>
      </c>
      <c r="M11" s="43" t="n">
        <f aca="false">IF($A11="","",IF(AND($I11&lt;&gt;"",$J11&gt;0),$J11-$L11,$H11))</f>
        <v>77265.16</v>
      </c>
      <c r="N11" s="41" t="n">
        <f aca="false">IF($A11="","",SUMIFS(业务流水!$H$5:$H$1504,业务流水!$F$5:$F$1504,"*",业务流水!$D$5:$D$1504,"成本票",业务流水!$C$5:$C$1504,$A11,业务流水!$Z$5:$Z$1504,"是"))</f>
        <v>0</v>
      </c>
      <c r="O11" s="43" t="n">
        <f aca="false">IF($A11="","",ROUND($M11-$N11,2))</f>
        <v>77265.16</v>
      </c>
      <c r="P11" s="33" t="str">
        <f aca="false">IF($A11="","",IF(ABS($O11)&lt;1,"✓ 已开齐",IF($O11&gt;0,"还差成本票","多开了")))</f>
        <v>还差成本票</v>
      </c>
    </row>
    <row r="12" customFormat="false" ht="15.75" hidden="false" customHeight="true" outlineLevel="0" collapsed="false">
      <c r="A12" s="32" t="str">
        <f aca="false">IF(项目档案!$A12="","",项目档案!$A12)</f>
        <v>A007</v>
      </c>
      <c r="B12" s="40" t="str">
        <f aca="false">IF($A12="","",项目档案!$B12)</f>
        <v>重庆铜梁10kV少柏线团山7.6.11社台区电压越限治理工程</v>
      </c>
      <c r="C12" s="32" t="str">
        <f aca="false">IF($A12="","",项目档案!$C12)</f>
        <v>民能</v>
      </c>
      <c r="D12" s="32" t="str">
        <f aca="false">IF($A12="","",项目档案!$D12)</f>
        <v>康欣</v>
      </c>
      <c r="E12" s="41" t="n">
        <f aca="false">IF($A12="","",SUMIFS(业务流水!$H$5:$H$1504,业务流水!$E$5:$E$1504,$D12,业务流水!$D$5:$D$1504,"销项开票",业务流水!$C$5:$C$1504,$A12,业务流水!$Z$5:$Z$1504,"是"))</f>
        <v>79113</v>
      </c>
      <c r="F12" s="49" t="n">
        <f aca="false">IF(OR($A12="",$E12=0),"",SUMIFS(业务流水!$O$5:$O$1504,业务流水!$E$5:$E$1504,$D12,业务流水!$D$5:$D$1504,"销项开票",业务流水!$C$5:$C$1504,$A12,业务流水!$Z$5:$Z$1504,"是")/$E12)</f>
        <v>0.02</v>
      </c>
      <c r="G12" s="41" t="n">
        <f aca="false">IF($A12="","",SUMIFS(业务流水!$O$5:$O$1504,业务流水!$E$5:$E$1504,$D12,业务流水!$D$5:$D$1504,"销项开票",业务流水!$C$5:$C$1504,$A12,业务流水!$Z$5:$Z$1504,"是"))</f>
        <v>1582.26</v>
      </c>
      <c r="H12" s="42" t="n">
        <f aca="false">IF($A12="","",$E12-$G12)</f>
        <v>77530.74</v>
      </c>
      <c r="I12" s="32" t="n">
        <f aca="false">IF($A12="","",项目档案!$F12)</f>
        <v>0</v>
      </c>
      <c r="J12" s="41" t="n">
        <f aca="false">IF(OR($A12="",$I12=""),0,SUMIFS(业务流水!$H$5:$H$1504,业务流水!$E$5:$E$1504,$I12,业务流水!$D$5:$D$1504,"销项开票",业务流水!$C$5:$C$1504,$A12,业务流水!$Z$5:$Z$1504,"是"))</f>
        <v>0</v>
      </c>
      <c r="K12" s="49" t="str">
        <f aca="false">IF(OR($A12="",$J12=0),"",SUMIFS(业务流水!$O$5:$O$1504,业务流水!$E$5:$E$1504,$I12,业务流水!$D$5:$D$1504,"销项开票",业务流水!$C$5:$C$1504,$A12,业务流水!$Z$5:$Z$1504,"是")/$J12)</f>
        <v/>
      </c>
      <c r="L12" s="41" t="n">
        <f aca="false">IF(OR($A12="",$I12=""),0,SUMIFS(业务流水!$O$5:$O$1504,业务流水!$E$5:$E$1504,$I12,业务流水!$D$5:$D$1504,"销项开票",业务流水!$C$5:$C$1504,$A12,业务流水!$Z$5:$Z$1504,"是"))</f>
        <v>0</v>
      </c>
      <c r="M12" s="43" t="n">
        <f aca="false">IF($A12="","",IF(AND($I12&lt;&gt;"",$J12&gt;0),$J12-$L12,$H12))</f>
        <v>77530.74</v>
      </c>
      <c r="N12" s="41" t="n">
        <f aca="false">IF($A12="","",SUMIFS(业务流水!$H$5:$H$1504,业务流水!$F$5:$F$1504,"*",业务流水!$D$5:$D$1504,"成本票",业务流水!$C$5:$C$1504,$A12,业务流水!$Z$5:$Z$1504,"是"))</f>
        <v>0</v>
      </c>
      <c r="O12" s="43" t="n">
        <f aca="false">IF($A12="","",ROUND($M12-$N12,2))</f>
        <v>77530.74</v>
      </c>
      <c r="P12" s="33" t="str">
        <f aca="false">IF($A12="","",IF(ABS($O12)&lt;1,"✓ 已开齐",IF($O12&gt;0,"还差成本票","多开了")))</f>
        <v>还差成本票</v>
      </c>
    </row>
    <row r="13" customFormat="false" ht="15.75" hidden="false" customHeight="true" outlineLevel="0" collapsed="false">
      <c r="A13" s="32" t="str">
        <f aca="false">IF(项目档案!$A13="","",项目档案!$A13)</f>
        <v>A008</v>
      </c>
      <c r="B13" s="40" t="str">
        <f aca="false">IF($A13="","",项目档案!$B13)</f>
        <v>重庆铜梁10kV平凉线惠丰9社等4个台区重过载治理工程</v>
      </c>
      <c r="C13" s="32" t="str">
        <f aca="false">IF($A13="","",项目档案!$C13)</f>
        <v>民能</v>
      </c>
      <c r="D13" s="32" t="str">
        <f aca="false">IF($A13="","",项目档案!$D13)</f>
        <v>康欣</v>
      </c>
      <c r="E13" s="41" t="n">
        <f aca="false">IF($A13="","",SUMIFS(业务流水!$H$5:$H$1504,业务流水!$E$5:$E$1504,$D13,业务流水!$D$5:$D$1504,"销项开票",业务流水!$C$5:$C$1504,$A13,业务流水!$Z$5:$Z$1504,"是"))</f>
        <v>237041.25</v>
      </c>
      <c r="F13" s="49" t="n">
        <f aca="false">IF(OR($A13="",$E13=0),"",SUMIFS(业务流水!$O$5:$O$1504,业务流水!$E$5:$E$1504,$D13,业务流水!$D$5:$D$1504,"销项开票",业务流水!$C$5:$C$1504,$A13,业务流水!$Z$5:$Z$1504,"是")/$E13)</f>
        <v>0.0200000632801253</v>
      </c>
      <c r="G13" s="41" t="n">
        <f aca="false">IF($A13="","",SUMIFS(业务流水!$O$5:$O$1504,业务流水!$E$5:$E$1504,$D13,业务流水!$D$5:$D$1504,"销项开票",业务流水!$C$5:$C$1504,$A13,业务流水!$Z$5:$Z$1504,"是"))</f>
        <v>4740.84</v>
      </c>
      <c r="H13" s="42" t="n">
        <f aca="false">IF($A13="","",$E13-$G13)</f>
        <v>232300.41</v>
      </c>
      <c r="I13" s="32" t="str">
        <f aca="false">IF($A13="","",项目档案!$F13)</f>
        <v>康欣</v>
      </c>
      <c r="J13" s="41" t="n">
        <f aca="false">IF(OR($A13="",$I13=""),0,SUMIFS(业务流水!$H$5:$H$1504,业务流水!$E$5:$E$1504,$I13,业务流水!$D$5:$D$1504,"销项开票",业务流水!$C$5:$C$1504,$A13,业务流水!$Z$5:$Z$1504,"是"))</f>
        <v>237041.25</v>
      </c>
      <c r="K13" s="49" t="n">
        <f aca="false">IF(OR($A13="",$J13=0),"",SUMIFS(业务流水!$O$5:$O$1504,业务流水!$E$5:$E$1504,$I13,业务流水!$D$5:$D$1504,"销项开票",业务流水!$C$5:$C$1504,$A13,业务流水!$Z$5:$Z$1504,"是")/$J13)</f>
        <v>0.0200000632801253</v>
      </c>
      <c r="L13" s="41" t="n">
        <f aca="false">IF(OR($A13="",$I13=""),0,SUMIFS(业务流水!$O$5:$O$1504,业务流水!$E$5:$E$1504,$I13,业务流水!$D$5:$D$1504,"销项开票",业务流水!$C$5:$C$1504,$A13,业务流水!$Z$5:$Z$1504,"是"))</f>
        <v>4740.84</v>
      </c>
      <c r="M13" s="43" t="n">
        <f aca="false">IF($A13="","",IF(AND($I13&lt;&gt;"",$J13&gt;0),$J13-$L13,$H13))</f>
        <v>232300.41</v>
      </c>
      <c r="N13" s="41" t="n">
        <f aca="false">IF($A13="","",SUMIFS(业务流水!$H$5:$H$1504,业务流水!$F$5:$F$1504,"*",业务流水!$D$5:$D$1504,"成本票",业务流水!$C$5:$C$1504,$A13,业务流水!$Z$5:$Z$1504,"是"))</f>
        <v>342993.77</v>
      </c>
      <c r="O13" s="43" t="n">
        <f aca="false">IF($A13="","",ROUND($M13-$N13,2))</f>
        <v>-110693.36</v>
      </c>
      <c r="P13" s="33" t="str">
        <f aca="false">IF($A13="","",IF(ABS($O13)&lt;1,"✓ 已开齐",IF($O13&gt;0,"还差成本票","多开了")))</f>
        <v>多开了</v>
      </c>
    </row>
    <row r="14" customFormat="false" ht="15.75" hidden="false" customHeight="true" outlineLevel="0" collapsed="false">
      <c r="A14" s="32" t="str">
        <f aca="false">IF(项目档案!$A14="","",项目档案!$A14)</f>
        <v>A009</v>
      </c>
      <c r="B14" s="40" t="str">
        <f aca="false">IF($A14="","",项目档案!$B14)</f>
        <v>重庆铜梁10kV少柏线社田1.6.7社台区重过载治理工程（机械费）</v>
      </c>
      <c r="C14" s="32" t="str">
        <f aca="false">IF($A14="","",项目档案!$C14)</f>
        <v>民能</v>
      </c>
      <c r="D14" s="32" t="str">
        <f aca="false">IF($A14="","",项目档案!$D14)</f>
        <v>迅驰</v>
      </c>
      <c r="E14" s="41" t="n">
        <f aca="false">IF($A14="","",SUMIFS(业务流水!$H$5:$H$1504,业务流水!$E$5:$E$1504,$D14,业务流水!$D$5:$D$1504,"销项开票",业务流水!$C$5:$C$1504,$A14,业务流水!$Z$5:$Z$1504,"是"))</f>
        <v>12923.2</v>
      </c>
      <c r="F14" s="49" t="n">
        <f aca="false">IF(OR($A14="",$E14=0),"",SUMIFS(业务流水!$O$5:$O$1504,业务流水!$E$5:$E$1504,$D14,业务流水!$D$5:$D$1504,"销项开票",业务流水!$C$5:$C$1504,$A14,业务流水!$Z$5:$Z$1504,"是")/$E14)</f>
        <v>0.0400001547604308</v>
      </c>
      <c r="G14" s="41" t="n">
        <f aca="false">IF($A14="","",SUMIFS(业务流水!$O$5:$O$1504,业务流水!$E$5:$E$1504,$D14,业务流水!$D$5:$D$1504,"销项开票",业务流水!$C$5:$C$1504,$A14,业务流水!$Z$5:$Z$1504,"是"))</f>
        <v>516.93</v>
      </c>
      <c r="H14" s="42" t="n">
        <f aca="false">IF($A14="","",$E14-$G14)</f>
        <v>12406.27</v>
      </c>
      <c r="I14" s="32" t="n">
        <f aca="false">IF($A14="","",项目档案!$F14)</f>
        <v>0</v>
      </c>
      <c r="J14" s="41" t="n">
        <f aca="false">IF(OR($A14="",$I14=""),0,SUMIFS(业务流水!$H$5:$H$1504,业务流水!$E$5:$E$1504,$I14,业务流水!$D$5:$D$1504,"销项开票",业务流水!$C$5:$C$1504,$A14,业务流水!$Z$5:$Z$1504,"是"))</f>
        <v>0</v>
      </c>
      <c r="K14" s="49" t="str">
        <f aca="false">IF(OR($A14="",$J14=0),"",SUMIFS(业务流水!$O$5:$O$1504,业务流水!$E$5:$E$1504,$I14,业务流水!$D$5:$D$1504,"销项开票",业务流水!$C$5:$C$1504,$A14,业务流水!$Z$5:$Z$1504,"是")/$J14)</f>
        <v/>
      </c>
      <c r="L14" s="41" t="n">
        <f aca="false">IF(OR($A14="",$I14=""),0,SUMIFS(业务流水!$O$5:$O$1504,业务流水!$E$5:$E$1504,$I14,业务流水!$D$5:$D$1504,"销项开票",业务流水!$C$5:$C$1504,$A14,业务流水!$Z$5:$Z$1504,"是"))</f>
        <v>0</v>
      </c>
      <c r="M14" s="43" t="n">
        <f aca="false">IF($A14="","",IF(AND($I14&lt;&gt;"",$J14&gt;0),$J14-$L14,$H14))</f>
        <v>12406.27</v>
      </c>
      <c r="N14" s="41" t="n">
        <f aca="false">IF($A14="","",SUMIFS(业务流水!$H$5:$H$1504,业务流水!$F$5:$F$1504,"*",业务流水!$D$5:$D$1504,"成本票",业务流水!$C$5:$C$1504,$A14,业务流水!$Z$5:$Z$1504,"是"))</f>
        <v>0</v>
      </c>
      <c r="O14" s="43" t="n">
        <f aca="false">IF($A14="","",ROUND($M14-$N14,2))</f>
        <v>12406.27</v>
      </c>
      <c r="P14" s="33" t="str">
        <f aca="false">IF($A14="","",IF(ABS($O14)&lt;1,"✓ 已开齐",IF($O14&gt;0,"还差成本票","多开了")))</f>
        <v>还差成本票</v>
      </c>
    </row>
    <row r="15" customFormat="false" ht="15.75" hidden="false" customHeight="true" outlineLevel="0" collapsed="false">
      <c r="A15" s="32" t="str">
        <f aca="false">IF(项目档案!$A15="","",项目档案!$A15)</f>
        <v>A010</v>
      </c>
      <c r="B15" s="40" t="str">
        <f aca="false">IF($A15="","",项目档案!$B15)</f>
        <v>重庆铜梁10kV大科新建联络工程（机械费）</v>
      </c>
      <c r="C15" s="32" t="str">
        <f aca="false">IF($A15="","",项目档案!$C15)</f>
        <v>民能</v>
      </c>
      <c r="D15" s="32" t="str">
        <f aca="false">IF($A15="","",项目档案!$D15)</f>
        <v>迅驰</v>
      </c>
      <c r="E15" s="41" t="n">
        <f aca="false">IF($A15="","",SUMIFS(业务流水!$H$5:$H$1504,业务流水!$E$5:$E$1504,$D15,业务流水!$D$5:$D$1504,"销项开票",业务流水!$C$5:$C$1504,$A15,业务流水!$Z$5:$Z$1504,"是"))</f>
        <v>3368.7</v>
      </c>
      <c r="F15" s="49" t="n">
        <f aca="false">IF(OR($A15="",$E15=0),"",SUMIFS(业务流水!$O$5:$O$1504,业务流水!$E$5:$E$1504,$D15,业务流水!$D$5:$D$1504,"销项开票",业务流水!$C$5:$C$1504,$A15,业务流水!$Z$5:$Z$1504,"是")/$E15)</f>
        <v>0.0400005937008342</v>
      </c>
      <c r="G15" s="41" t="n">
        <f aca="false">IF($A15="","",SUMIFS(业务流水!$O$5:$O$1504,业务流水!$E$5:$E$1504,$D15,业务流水!$D$5:$D$1504,"销项开票",业务流水!$C$5:$C$1504,$A15,业务流水!$Z$5:$Z$1504,"是"))</f>
        <v>134.75</v>
      </c>
      <c r="H15" s="42" t="n">
        <f aca="false">IF($A15="","",$E15-$G15)</f>
        <v>3233.95</v>
      </c>
      <c r="I15" s="32" t="n">
        <f aca="false">IF($A15="","",项目档案!$F15)</f>
        <v>0</v>
      </c>
      <c r="J15" s="41" t="n">
        <f aca="false">IF(OR($A15="",$I15=""),0,SUMIFS(业务流水!$H$5:$H$1504,业务流水!$E$5:$E$1504,$I15,业务流水!$D$5:$D$1504,"销项开票",业务流水!$C$5:$C$1504,$A15,业务流水!$Z$5:$Z$1504,"是"))</f>
        <v>0</v>
      </c>
      <c r="K15" s="49" t="str">
        <f aca="false">IF(OR($A15="",$J15=0),"",SUMIFS(业务流水!$O$5:$O$1504,业务流水!$E$5:$E$1504,$I15,业务流水!$D$5:$D$1504,"销项开票",业务流水!$C$5:$C$1504,$A15,业务流水!$Z$5:$Z$1504,"是")/$J15)</f>
        <v/>
      </c>
      <c r="L15" s="41" t="n">
        <f aca="false">IF(OR($A15="",$I15=""),0,SUMIFS(业务流水!$O$5:$O$1504,业务流水!$E$5:$E$1504,$I15,业务流水!$D$5:$D$1504,"销项开票",业务流水!$C$5:$C$1504,$A15,业务流水!$Z$5:$Z$1504,"是"))</f>
        <v>0</v>
      </c>
      <c r="M15" s="43" t="n">
        <f aca="false">IF($A15="","",IF(AND($I15&lt;&gt;"",$J15&gt;0),$J15-$L15,$H15))</f>
        <v>3233.95</v>
      </c>
      <c r="N15" s="41" t="n">
        <f aca="false">IF($A15="","",SUMIFS(业务流水!$H$5:$H$1504,业务流水!$F$5:$F$1504,"*",业务流水!$D$5:$D$1504,"成本票",业务流水!$C$5:$C$1504,$A15,业务流水!$Z$5:$Z$1504,"是"))</f>
        <v>0</v>
      </c>
      <c r="O15" s="43" t="n">
        <f aca="false">IF($A15="","",ROUND($M15-$N15,2))</f>
        <v>3233.95</v>
      </c>
      <c r="P15" s="33" t="str">
        <f aca="false">IF($A15="","",IF(ABS($O15)&lt;1,"✓ 已开齐",IF($O15&gt;0,"还差成本票","多开了")))</f>
        <v>还差成本票</v>
      </c>
    </row>
    <row r="16" customFormat="false" ht="15.75" hidden="false" customHeight="true" outlineLevel="0" collapsed="false">
      <c r="A16" s="32" t="str">
        <f aca="false">IF(项目档案!$A16="","",项目档案!$A16)</f>
        <v>A011</v>
      </c>
      <c r="B16" s="40" t="str">
        <f aca="false">IF($A16="","",项目档案!$B16)</f>
        <v>重庆铜梁10kV大岭线新建联络工程（机械费）</v>
      </c>
      <c r="C16" s="32" t="str">
        <f aca="false">IF($A16="","",项目档案!$C16)</f>
        <v>民能</v>
      </c>
      <c r="D16" s="32" t="str">
        <f aca="false">IF($A16="","",项目档案!$D16)</f>
        <v>迅驰</v>
      </c>
      <c r="E16" s="41" t="n">
        <f aca="false">IF($A16="","",SUMIFS(业务流水!$H$5:$H$1504,业务流水!$E$5:$E$1504,$D16,业务流水!$D$5:$D$1504,"销项开票",业务流水!$C$5:$C$1504,$A16,业务流水!$Z$5:$Z$1504,"是"))</f>
        <v>16154</v>
      </c>
      <c r="F16" s="49" t="n">
        <f aca="false">IF(OR($A16="",$E16=0),"",SUMIFS(业务流水!$O$5:$O$1504,业务流水!$E$5:$E$1504,$D16,业务流水!$D$5:$D$1504,"销项开票",业务流水!$C$5:$C$1504,$A16,业务流水!$Z$5:$Z$1504,"是")/$E16)</f>
        <v>0.04</v>
      </c>
      <c r="G16" s="41" t="n">
        <f aca="false">IF($A16="","",SUMIFS(业务流水!$O$5:$O$1504,业务流水!$E$5:$E$1504,$D16,业务流水!$D$5:$D$1504,"销项开票",业务流水!$C$5:$C$1504,$A16,业务流水!$Z$5:$Z$1504,"是"))</f>
        <v>646.16</v>
      </c>
      <c r="H16" s="42" t="n">
        <f aca="false">IF($A16="","",$E16-$G16)</f>
        <v>15507.84</v>
      </c>
      <c r="I16" s="32" t="n">
        <f aca="false">IF($A16="","",项目档案!$F16)</f>
        <v>0</v>
      </c>
      <c r="J16" s="41" t="n">
        <f aca="false">IF(OR($A16="",$I16=""),0,SUMIFS(业务流水!$H$5:$H$1504,业务流水!$E$5:$E$1504,$I16,业务流水!$D$5:$D$1504,"销项开票",业务流水!$C$5:$C$1504,$A16,业务流水!$Z$5:$Z$1504,"是"))</f>
        <v>0</v>
      </c>
      <c r="K16" s="49" t="str">
        <f aca="false">IF(OR($A16="",$J16=0),"",SUMIFS(业务流水!$O$5:$O$1504,业务流水!$E$5:$E$1504,$I16,业务流水!$D$5:$D$1504,"销项开票",业务流水!$C$5:$C$1504,$A16,业务流水!$Z$5:$Z$1504,"是")/$J16)</f>
        <v/>
      </c>
      <c r="L16" s="41" t="n">
        <f aca="false">IF(OR($A16="",$I16=""),0,SUMIFS(业务流水!$O$5:$O$1504,业务流水!$E$5:$E$1504,$I16,业务流水!$D$5:$D$1504,"销项开票",业务流水!$C$5:$C$1504,$A16,业务流水!$Z$5:$Z$1504,"是"))</f>
        <v>0</v>
      </c>
      <c r="M16" s="43" t="n">
        <f aca="false">IF($A16="","",IF(AND($I16&lt;&gt;"",$J16&gt;0),$J16-$L16,$H16))</f>
        <v>15507.84</v>
      </c>
      <c r="N16" s="41" t="n">
        <f aca="false">IF($A16="","",SUMIFS(业务流水!$H$5:$H$1504,业务流水!$F$5:$F$1504,"*",业务流水!$D$5:$D$1504,"成本票",业务流水!$C$5:$C$1504,$A16,业务流水!$Z$5:$Z$1504,"是"))</f>
        <v>0</v>
      </c>
      <c r="O16" s="43" t="n">
        <f aca="false">IF($A16="","",ROUND($M16-$N16,2))</f>
        <v>15507.84</v>
      </c>
      <c r="P16" s="33" t="str">
        <f aca="false">IF($A16="","",IF(ABS($O16)&lt;1,"✓ 已开齐",IF($O16&gt;0,"还差成本票","多开了")))</f>
        <v>还差成本票</v>
      </c>
    </row>
    <row r="17" customFormat="false" ht="15.75" hidden="false" customHeight="true" outlineLevel="0" collapsed="false">
      <c r="A17" s="32" t="str">
        <f aca="false">IF(项目档案!$A17="","",项目档案!$A17)</f>
        <v>A012</v>
      </c>
      <c r="B17" s="40" t="str">
        <f aca="false">IF($A17="","",项目档案!$B17)</f>
        <v>重庆铜梁重庆物华天宝镀膜科技有限公司10kV业扩配套工程（机械费）</v>
      </c>
      <c r="C17" s="32" t="str">
        <f aca="false">IF($A17="","",项目档案!$C17)</f>
        <v>民能</v>
      </c>
      <c r="D17" s="32" t="str">
        <f aca="false">IF($A17="","",项目档案!$D17)</f>
        <v>迅驰</v>
      </c>
      <c r="E17" s="41" t="n">
        <f aca="false">IF($A17="","",SUMIFS(业务流水!$H$5:$H$1504,业务流水!$E$5:$E$1504,$D17,业务流水!$D$5:$D$1504,"销项开票",业务流水!$C$5:$C$1504,$A17,业务流水!$Z$5:$Z$1504,"是"))</f>
        <v>1615.4</v>
      </c>
      <c r="F17" s="49" t="n">
        <f aca="false">IF(OR($A17="",$E17=0),"",SUMIFS(业务流水!$O$5:$O$1504,业务流水!$E$5:$E$1504,$D17,业务流水!$D$5:$D$1504,"销项开票",业务流水!$C$5:$C$1504,$A17,业务流水!$Z$5:$Z$1504,"是")/$E17)</f>
        <v>0.0400024761668937</v>
      </c>
      <c r="G17" s="41" t="n">
        <f aca="false">IF($A17="","",SUMIFS(业务流水!$O$5:$O$1504,业务流水!$E$5:$E$1504,$D17,业务流水!$D$5:$D$1504,"销项开票",业务流水!$C$5:$C$1504,$A17,业务流水!$Z$5:$Z$1504,"是"))</f>
        <v>64.62</v>
      </c>
      <c r="H17" s="42" t="n">
        <f aca="false">IF($A17="","",$E17-$G17)</f>
        <v>1550.78</v>
      </c>
      <c r="I17" s="32" t="n">
        <f aca="false">IF($A17="","",项目档案!$F17)</f>
        <v>0</v>
      </c>
      <c r="J17" s="41" t="n">
        <f aca="false">IF(OR($A17="",$I17=""),0,SUMIFS(业务流水!$H$5:$H$1504,业务流水!$E$5:$E$1504,$I17,业务流水!$D$5:$D$1504,"销项开票",业务流水!$C$5:$C$1504,$A17,业务流水!$Z$5:$Z$1504,"是"))</f>
        <v>0</v>
      </c>
      <c r="K17" s="49" t="str">
        <f aca="false">IF(OR($A17="",$J17=0),"",SUMIFS(业务流水!$O$5:$O$1504,业务流水!$E$5:$E$1504,$I17,业务流水!$D$5:$D$1504,"销项开票",业务流水!$C$5:$C$1504,$A17,业务流水!$Z$5:$Z$1504,"是")/$J17)</f>
        <v/>
      </c>
      <c r="L17" s="41" t="n">
        <f aca="false">IF(OR($A17="",$I17=""),0,SUMIFS(业务流水!$O$5:$O$1504,业务流水!$E$5:$E$1504,$I17,业务流水!$D$5:$D$1504,"销项开票",业务流水!$C$5:$C$1504,$A17,业务流水!$Z$5:$Z$1504,"是"))</f>
        <v>0</v>
      </c>
      <c r="M17" s="43" t="n">
        <f aca="false">IF($A17="","",IF(AND($I17&lt;&gt;"",$J17&gt;0),$J17-$L17,$H17))</f>
        <v>1550.78</v>
      </c>
      <c r="N17" s="41" t="n">
        <f aca="false">IF($A17="","",SUMIFS(业务流水!$H$5:$H$1504,业务流水!$F$5:$F$1504,"*",业务流水!$D$5:$D$1504,"成本票",业务流水!$C$5:$C$1504,$A17,业务流水!$Z$5:$Z$1504,"是"))</f>
        <v>0</v>
      </c>
      <c r="O17" s="43" t="n">
        <f aca="false">IF($A17="","",ROUND($M17-$N17,2))</f>
        <v>1550.78</v>
      </c>
      <c r="P17" s="33" t="str">
        <f aca="false">IF($A17="","",IF(ABS($O17)&lt;1,"✓ 已开齐",IF($O17&gt;0,"还差成本票","多开了")))</f>
        <v>还差成本票</v>
      </c>
    </row>
    <row r="18" customFormat="false" ht="15.75" hidden="false" customHeight="true" outlineLevel="0" collapsed="false">
      <c r="A18" s="32" t="str">
        <f aca="false">IF(项目档案!$A18="","",项目档案!$A18)</f>
        <v>A013</v>
      </c>
      <c r="B18" s="40" t="str">
        <f aca="false">IF($A18="","",项目档案!$B18)</f>
        <v>1</v>
      </c>
      <c r="C18" s="32" t="str">
        <f aca="false">IF($A18="","",项目档案!$C18)</f>
        <v>民能</v>
      </c>
      <c r="D18" s="32" t="str">
        <f aca="false">IF($A18="","",项目档案!$D18)</f>
        <v>迅驰</v>
      </c>
      <c r="E18" s="41" t="n">
        <f aca="false">IF($A18="","",SUMIFS(业务流水!$H$5:$H$1504,业务流水!$E$5:$E$1504,$D18,业务流水!$D$5:$D$1504,"销项开票",业务流水!$C$5:$C$1504,$A18,业务流水!$Z$5:$Z$1504,"是"))</f>
        <v>3230.8</v>
      </c>
      <c r="F18" s="49" t="n">
        <f aca="false">IF(OR($A18="",$E18=0),"",SUMIFS(业务流水!$O$5:$O$1504,业务流水!$E$5:$E$1504,$D18,业务流水!$D$5:$D$1504,"销项开票",业务流水!$C$5:$C$1504,$A18,业务流水!$Z$5:$Z$1504,"是")/$E18)</f>
        <v>0.0399993809582766</v>
      </c>
      <c r="G18" s="41" t="n">
        <f aca="false">IF($A18="","",SUMIFS(业务流水!$O$5:$O$1504,业务流水!$E$5:$E$1504,$D18,业务流水!$D$5:$D$1504,"销项开票",业务流水!$C$5:$C$1504,$A18,业务流水!$Z$5:$Z$1504,"是"))</f>
        <v>129.23</v>
      </c>
      <c r="H18" s="42" t="n">
        <f aca="false">IF($A18="","",$E18-$G18)</f>
        <v>3101.57</v>
      </c>
      <c r="I18" s="32" t="n">
        <f aca="false">IF($A18="","",项目档案!$F18)</f>
        <v>0</v>
      </c>
      <c r="J18" s="41" t="n">
        <f aca="false">IF(OR($A18="",$I18=""),0,SUMIFS(业务流水!$H$5:$H$1504,业务流水!$E$5:$E$1504,$I18,业务流水!$D$5:$D$1504,"销项开票",业务流水!$C$5:$C$1504,$A18,业务流水!$Z$5:$Z$1504,"是"))</f>
        <v>0</v>
      </c>
      <c r="K18" s="49" t="str">
        <f aca="false">IF(OR($A18="",$J18=0),"",SUMIFS(业务流水!$O$5:$O$1504,业务流水!$E$5:$E$1504,$I18,业务流水!$D$5:$D$1504,"销项开票",业务流水!$C$5:$C$1504,$A18,业务流水!$Z$5:$Z$1504,"是")/$J18)</f>
        <v/>
      </c>
      <c r="L18" s="41" t="n">
        <f aca="false">IF(OR($A18="",$I18=""),0,SUMIFS(业务流水!$O$5:$O$1504,业务流水!$E$5:$E$1504,$I18,业务流水!$D$5:$D$1504,"销项开票",业务流水!$C$5:$C$1504,$A18,业务流水!$Z$5:$Z$1504,"是"))</f>
        <v>0</v>
      </c>
      <c r="M18" s="43" t="n">
        <f aca="false">IF($A18="","",IF(AND($I18&lt;&gt;"",$J18&gt;0),$J18-$L18,$H18))</f>
        <v>3101.57</v>
      </c>
      <c r="N18" s="41" t="n">
        <f aca="false">IF($A18="","",SUMIFS(业务流水!$H$5:$H$1504,业务流水!$F$5:$F$1504,"*",业务流水!$D$5:$D$1504,"成本票",业务流水!$C$5:$C$1504,$A18,业务流水!$Z$5:$Z$1504,"是"))</f>
        <v>0</v>
      </c>
      <c r="O18" s="43" t="n">
        <f aca="false">IF($A18="","",ROUND($M18-$N18,2))</f>
        <v>3101.57</v>
      </c>
      <c r="P18" s="33" t="str">
        <f aca="false">IF($A18="","",IF(ABS($O18)&lt;1,"✓ 已开齐",IF($O18&gt;0,"还差成本票","多开了")))</f>
        <v>还差成本票</v>
      </c>
    </row>
    <row r="19" customFormat="false" ht="15.75" hidden="false" customHeight="true" outlineLevel="0" collapsed="false">
      <c r="A19" s="32" t="str">
        <f aca="false">IF(项目档案!$A19="","",项目档案!$A19)</f>
        <v>A014</v>
      </c>
      <c r="B19" s="40" t="str">
        <f aca="false">IF($A19="","",项目档案!$B19)</f>
        <v>重庆民能实业有限公司2025-2026年度工程用特种设备租赁服务框架采购（铜梁公司2025年成本类优化营商环境项目（安居所张绍华等10个低压业扩项目）（机械费）</v>
      </c>
      <c r="C19" s="32" t="str">
        <f aca="false">IF($A19="","",项目档案!$C19)</f>
        <v>民能</v>
      </c>
      <c r="D19" s="32" t="str">
        <f aca="false">IF($A19="","",项目档案!$D19)</f>
        <v>迅驰</v>
      </c>
      <c r="E19" s="41" t="n">
        <f aca="false">IF($A19="","",SUMIFS(业务流水!$H$5:$H$1504,业务流水!$E$5:$E$1504,$D19,业务流水!$D$5:$D$1504,"销项开票",业务流水!$C$5:$C$1504,$A19,业务流水!$Z$5:$Z$1504,"是"))</f>
        <v>3230.8</v>
      </c>
      <c r="F19" s="49" t="n">
        <f aca="false">IF(OR($A19="",$E19=0),"",SUMIFS(业务流水!$O$5:$O$1504,业务流水!$E$5:$E$1504,$D19,业务流水!$D$5:$D$1504,"销项开票",业务流水!$C$5:$C$1504,$A19,业务流水!$Z$5:$Z$1504,"是")/$E19)</f>
        <v>0.0399993809582766</v>
      </c>
      <c r="G19" s="41" t="n">
        <f aca="false">IF($A19="","",SUMIFS(业务流水!$O$5:$O$1504,业务流水!$E$5:$E$1504,$D19,业务流水!$D$5:$D$1504,"销项开票",业务流水!$C$5:$C$1504,$A19,业务流水!$Z$5:$Z$1504,"是"))</f>
        <v>129.23</v>
      </c>
      <c r="H19" s="42" t="n">
        <f aca="false">IF($A19="","",$E19-$G19)</f>
        <v>3101.57</v>
      </c>
      <c r="I19" s="32" t="n">
        <f aca="false">IF($A19="","",项目档案!$F19)</f>
        <v>0</v>
      </c>
      <c r="J19" s="41" t="n">
        <f aca="false">IF(OR($A19="",$I19=""),0,SUMIFS(业务流水!$H$5:$H$1504,业务流水!$E$5:$E$1504,$I19,业务流水!$D$5:$D$1504,"销项开票",业务流水!$C$5:$C$1504,$A19,业务流水!$Z$5:$Z$1504,"是"))</f>
        <v>0</v>
      </c>
      <c r="K19" s="49" t="str">
        <f aca="false">IF(OR($A19="",$J19=0),"",SUMIFS(业务流水!$O$5:$O$1504,业务流水!$E$5:$E$1504,$I19,业务流水!$D$5:$D$1504,"销项开票",业务流水!$C$5:$C$1504,$A19,业务流水!$Z$5:$Z$1504,"是")/$J19)</f>
        <v/>
      </c>
      <c r="L19" s="41" t="n">
        <f aca="false">IF(OR($A19="",$I19=""),0,SUMIFS(业务流水!$O$5:$O$1504,业务流水!$E$5:$E$1504,$I19,业务流水!$D$5:$D$1504,"销项开票",业务流水!$C$5:$C$1504,$A19,业务流水!$Z$5:$Z$1504,"是"))</f>
        <v>0</v>
      </c>
      <c r="M19" s="43" t="n">
        <f aca="false">IF($A19="","",IF(AND($I19&lt;&gt;"",$J19&gt;0),$J19-$L19,$H19))</f>
        <v>3101.57</v>
      </c>
      <c r="N19" s="41" t="n">
        <f aca="false">IF($A19="","",SUMIFS(业务流水!$H$5:$H$1504,业务流水!$F$5:$F$1504,"*",业务流水!$D$5:$D$1504,"成本票",业务流水!$C$5:$C$1504,$A19,业务流水!$Z$5:$Z$1504,"是"))</f>
        <v>0</v>
      </c>
      <c r="O19" s="43" t="n">
        <f aca="false">IF($A19="","",ROUND($M19-$N19,2))</f>
        <v>3101.57</v>
      </c>
      <c r="P19" s="33" t="str">
        <f aca="false">IF($A19="","",IF(ABS($O19)&lt;1,"✓ 已开齐",IF($O19&gt;0,"还差成本票","多开了")))</f>
        <v>还差成本票</v>
      </c>
    </row>
    <row r="20" customFormat="false" ht="15.75" hidden="false" customHeight="true" outlineLevel="0" collapsed="false">
      <c r="A20" s="32" t="str">
        <f aca="false">IF(项目档案!$A20="","",项目档案!$A20)</f>
        <v>A015</v>
      </c>
      <c r="B20" s="40" t="str">
        <f aca="false">IF($A20="","",项目档案!$B20)</f>
        <v>重庆民能实业有限公司2025-2026年度工程用特种设备租赁服务框架采购、铜梁公司2026年配电专业应急抢修抢险等外包项目(围塘5社等台区3个隐患治理项目。大桥7.8社等台区3个应急抢修项目)机械费</v>
      </c>
      <c r="C20" s="32" t="str">
        <f aca="false">IF($A20="","",项目档案!$C20)</f>
        <v>民能</v>
      </c>
      <c r="D20" s="32" t="str">
        <f aca="false">IF($A20="","",项目档案!$D20)</f>
        <v>迅驰</v>
      </c>
      <c r="E20" s="41" t="n">
        <f aca="false">IF($A20="","",SUMIFS(业务流水!$H$5:$H$1504,业务流水!$E$5:$E$1504,$D20,业务流水!$D$5:$D$1504,"销项开票",业务流水!$C$5:$C$1504,$A20,业务流水!$Z$5:$Z$1504,"是"))</f>
        <v>2423.1</v>
      </c>
      <c r="F20" s="49" t="n">
        <f aca="false">IF(OR($A20="",$E20=0),"",SUMIFS(业务流水!$O$5:$O$1504,业务流水!$E$5:$E$1504,$D20,业务流水!$D$5:$D$1504,"销项开票",业务流水!$C$5:$C$1504,$A20,业务流水!$Z$5:$Z$1504,"是")/$E20)</f>
        <v>0.0399983492220709</v>
      </c>
      <c r="G20" s="41" t="n">
        <f aca="false">IF($A20="","",SUMIFS(业务流水!$O$5:$O$1504,业务流水!$E$5:$E$1504,$D20,业务流水!$D$5:$D$1504,"销项开票",业务流水!$C$5:$C$1504,$A20,业务流水!$Z$5:$Z$1504,"是"))</f>
        <v>96.92</v>
      </c>
      <c r="H20" s="42" t="n">
        <f aca="false">IF($A20="","",$E20-$G20)</f>
        <v>2326.18</v>
      </c>
      <c r="I20" s="32" t="n">
        <f aca="false">IF($A20="","",项目档案!$F20)</f>
        <v>0</v>
      </c>
      <c r="J20" s="41" t="n">
        <f aca="false">IF(OR($A20="",$I20=""),0,SUMIFS(业务流水!$H$5:$H$1504,业务流水!$E$5:$E$1504,$I20,业务流水!$D$5:$D$1504,"销项开票",业务流水!$C$5:$C$1504,$A20,业务流水!$Z$5:$Z$1504,"是"))</f>
        <v>0</v>
      </c>
      <c r="K20" s="49" t="str">
        <f aca="false">IF(OR($A20="",$J20=0),"",SUMIFS(业务流水!$O$5:$O$1504,业务流水!$E$5:$E$1504,$I20,业务流水!$D$5:$D$1504,"销项开票",业务流水!$C$5:$C$1504,$A20,业务流水!$Z$5:$Z$1504,"是")/$J20)</f>
        <v/>
      </c>
      <c r="L20" s="41" t="n">
        <f aca="false">IF(OR($A20="",$I20=""),0,SUMIFS(业务流水!$O$5:$O$1504,业务流水!$E$5:$E$1504,$I20,业务流水!$D$5:$D$1504,"销项开票",业务流水!$C$5:$C$1504,$A20,业务流水!$Z$5:$Z$1504,"是"))</f>
        <v>0</v>
      </c>
      <c r="M20" s="43" t="n">
        <f aca="false">IF($A20="","",IF(AND($I20&lt;&gt;"",$J20&gt;0),$J20-$L20,$H20))</f>
        <v>2326.18</v>
      </c>
      <c r="N20" s="41" t="n">
        <f aca="false">IF($A20="","",SUMIFS(业务流水!$H$5:$H$1504,业务流水!$F$5:$F$1504,"*",业务流水!$D$5:$D$1504,"成本票",业务流水!$C$5:$C$1504,$A20,业务流水!$Z$5:$Z$1504,"是"))</f>
        <v>0</v>
      </c>
      <c r="O20" s="43" t="n">
        <f aca="false">IF($A20="","",ROUND($M20-$N20,2))</f>
        <v>2326.18</v>
      </c>
      <c r="P20" s="33" t="str">
        <f aca="false">IF($A20="","",IF(ABS($O20)&lt;1,"✓ 已开齐",IF($O20&gt;0,"还差成本票","多开了")))</f>
        <v>还差成本票</v>
      </c>
    </row>
    <row r="21" customFormat="false" ht="15.75" hidden="false" customHeight="true" outlineLevel="0" collapsed="false">
      <c r="A21" s="32" t="str">
        <f aca="false">IF(项目档案!$A21="","",项目档案!$A21)</f>
        <v>A016</v>
      </c>
      <c r="B21" s="40" t="str">
        <f aca="false">IF($A21="","",项目档案!$B21)</f>
        <v>2025-2026年度工程用特种设备租赁服务框架采购、峰盛模具ZBW-250KVA箱变拆除工程（机械费）</v>
      </c>
      <c r="C21" s="32" t="str">
        <f aca="false">IF($A21="","",项目档案!$C21)</f>
        <v>民能</v>
      </c>
      <c r="D21" s="32" t="str">
        <f aca="false">IF($A21="","",项目档案!$D21)</f>
        <v>迅驰</v>
      </c>
      <c r="E21" s="41" t="n">
        <f aca="false">IF($A21="","",SUMIFS(业务流水!$H$5:$H$1504,业务流水!$E$5:$E$1504,$D21,业务流水!$D$5:$D$1504,"销项开票",业务流水!$C$5:$C$1504,$A21,业务流水!$Z$5:$Z$1504,"是"))</f>
        <v>880.39</v>
      </c>
      <c r="F21" s="49" t="n">
        <f aca="false">IF(OR($A21="",$E21=0),"",SUMIFS(业务流水!$O$5:$O$1504,业务流水!$E$5:$E$1504,$D21,业务流水!$D$5:$D$1504,"销项开票",业务流水!$C$5:$C$1504,$A21,业务流水!$Z$5:$Z$1504,"是")/$E21)</f>
        <v>0.0400049977850725</v>
      </c>
      <c r="G21" s="41" t="n">
        <f aca="false">IF($A21="","",SUMIFS(业务流水!$O$5:$O$1504,业务流水!$E$5:$E$1504,$D21,业务流水!$D$5:$D$1504,"销项开票",业务流水!$C$5:$C$1504,$A21,业务流水!$Z$5:$Z$1504,"是"))</f>
        <v>35.22</v>
      </c>
      <c r="H21" s="42" t="n">
        <f aca="false">IF($A21="","",$E21-$G21)</f>
        <v>845.17</v>
      </c>
      <c r="I21" s="32" t="n">
        <f aca="false">IF($A21="","",项目档案!$F21)</f>
        <v>0</v>
      </c>
      <c r="J21" s="41" t="n">
        <f aca="false">IF(OR($A21="",$I21=""),0,SUMIFS(业务流水!$H$5:$H$1504,业务流水!$E$5:$E$1504,$I21,业务流水!$D$5:$D$1504,"销项开票",业务流水!$C$5:$C$1504,$A21,业务流水!$Z$5:$Z$1504,"是"))</f>
        <v>0</v>
      </c>
      <c r="K21" s="49" t="str">
        <f aca="false">IF(OR($A21="",$J21=0),"",SUMIFS(业务流水!$O$5:$O$1504,业务流水!$E$5:$E$1504,$I21,业务流水!$D$5:$D$1504,"销项开票",业务流水!$C$5:$C$1504,$A21,业务流水!$Z$5:$Z$1504,"是")/$J21)</f>
        <v/>
      </c>
      <c r="L21" s="41" t="n">
        <f aca="false">IF(OR($A21="",$I21=""),0,SUMIFS(业务流水!$O$5:$O$1504,业务流水!$E$5:$E$1504,$I21,业务流水!$D$5:$D$1504,"销项开票",业务流水!$C$5:$C$1504,$A21,业务流水!$Z$5:$Z$1504,"是"))</f>
        <v>0</v>
      </c>
      <c r="M21" s="43" t="n">
        <f aca="false">IF($A21="","",IF(AND($I21&lt;&gt;"",$J21&gt;0),$J21-$L21,$H21))</f>
        <v>845.17</v>
      </c>
      <c r="N21" s="41" t="n">
        <f aca="false">IF($A21="","",SUMIFS(业务流水!$H$5:$H$1504,业务流水!$F$5:$F$1504,"*",业务流水!$D$5:$D$1504,"成本票",业务流水!$C$5:$C$1504,$A21,业务流水!$Z$5:$Z$1504,"是"))</f>
        <v>42073.33</v>
      </c>
      <c r="O21" s="43" t="n">
        <f aca="false">IF($A21="","",ROUND($M21-$N21,2))</f>
        <v>-41228.16</v>
      </c>
      <c r="P21" s="33" t="str">
        <f aca="false">IF($A21="","",IF(ABS($O21)&lt;1,"✓ 已开齐",IF($O21&gt;0,"还差成本票","多开了")))</f>
        <v>多开了</v>
      </c>
    </row>
    <row r="22" customFormat="false" ht="15.75" hidden="false" customHeight="true" outlineLevel="0" collapsed="false">
      <c r="A22" s="32" t="str">
        <f aca="false">IF(项目档案!$A22="","",项目档案!$A22)</f>
        <v>A017</v>
      </c>
      <c r="B22" s="40" t="str">
        <f aca="false">IF($A22="","",项目档案!$B22)</f>
        <v>重庆民能实业有限公司2025-2026年度工程用特种设备租赁服务框架采购-铜梁公司2025年成本类优化营商环境项目（平滩所何银强等5个低压业扩工程）</v>
      </c>
      <c r="C22" s="32" t="str">
        <f aca="false">IF($A22="","",项目档案!$C22)</f>
        <v>民能</v>
      </c>
      <c r="D22" s="32" t="str">
        <f aca="false">IF($A22="","",项目档案!$D22)</f>
        <v>金沁</v>
      </c>
      <c r="E22" s="41" t="n">
        <f aca="false">IF($A22="","",SUMIFS(业务流水!$H$5:$H$1504,业务流水!$E$5:$E$1504,$D22,业务流水!$D$5:$D$1504,"销项开票",业务流水!$C$5:$C$1504,$A22,业务流水!$Z$5:$Z$1504,"是"))</f>
        <v>17380.98</v>
      </c>
      <c r="F22" s="49" t="n">
        <f aca="false">IF(OR($A22="",$E22=0),"",SUMIFS(业务流水!$O$5:$O$1504,业务流水!$E$5:$E$1504,$D22,业务流水!$D$5:$D$1504,"销项开票",业务流水!$C$5:$C$1504,$A22,业务流水!$Z$5:$Z$1504,"是")/$E22)</f>
        <v>0.0300000345204931</v>
      </c>
      <c r="G22" s="41" t="n">
        <f aca="false">IF($A22="","",SUMIFS(业务流水!$O$5:$O$1504,业务流水!$E$5:$E$1504,$D22,业务流水!$D$5:$D$1504,"销项开票",业务流水!$C$5:$C$1504,$A22,业务流水!$Z$5:$Z$1504,"是"))</f>
        <v>521.43</v>
      </c>
      <c r="H22" s="42" t="n">
        <f aca="false">IF($A22="","",$E22-$G22)</f>
        <v>16859.55</v>
      </c>
      <c r="I22" s="32" t="str">
        <f aca="false">IF($A22="","",项目档案!$F22)</f>
        <v>康欣</v>
      </c>
      <c r="J22" s="41" t="n">
        <f aca="false">IF(OR($A22="",$I22=""),0,SUMIFS(业务流水!$H$5:$H$1504,业务流水!$E$5:$E$1504,$I22,业务流水!$D$5:$D$1504,"销项开票",业务流水!$C$5:$C$1504,$A22,业务流水!$Z$5:$Z$1504,"是"))</f>
        <v>16859.55</v>
      </c>
      <c r="K22" s="49" t="n">
        <f aca="false">IF(OR($A22="",$J22=0),"",SUMIFS(业务流水!$O$5:$O$1504,业务流水!$E$5:$E$1504,$I22,业务流水!$D$5:$D$1504,"销项开票",业务流水!$C$5:$C$1504,$A22,业务流水!$Z$5:$Z$1504,"是")/$J22)</f>
        <v>0.0199999406864359</v>
      </c>
      <c r="L22" s="41" t="n">
        <f aca="false">IF(OR($A22="",$I22=""),0,SUMIFS(业务流水!$O$5:$O$1504,业务流水!$E$5:$E$1504,$I22,业务流水!$D$5:$D$1504,"销项开票",业务流水!$C$5:$C$1504,$A22,业务流水!$Z$5:$Z$1504,"是"))</f>
        <v>337.19</v>
      </c>
      <c r="M22" s="43" t="n">
        <f aca="false">IF($A22="","",IF(AND($I22&lt;&gt;"",$J22&gt;0),$J22-$L22,$H22))</f>
        <v>16522.36</v>
      </c>
      <c r="N22" s="41" t="n">
        <f aca="false">IF($A22="","",SUMIFS(业务流水!$H$5:$H$1504,业务流水!$F$5:$F$1504,"*",业务流水!$D$5:$D$1504,"成本票",业务流水!$C$5:$C$1504,$A22,业务流水!$Z$5:$Z$1504,"是"))</f>
        <v>133690.89</v>
      </c>
      <c r="O22" s="43" t="n">
        <f aca="false">IF($A22="","",ROUND($M22-$N22,2))</f>
        <v>-117168.53</v>
      </c>
      <c r="P22" s="33" t="str">
        <f aca="false">IF($A22="","",IF(ABS($O22)&lt;1,"✓ 已开齐",IF($O22&gt;0,"还差成本票","多开了")))</f>
        <v>多开了</v>
      </c>
    </row>
    <row r="23" customFormat="false" ht="15.75" hidden="false" customHeight="true" outlineLevel="0" collapsed="false">
      <c r="A23" s="32" t="str">
        <f aca="false">IF(项目档案!$A23="","",项目档案!$A23)</f>
        <v>A018</v>
      </c>
      <c r="B23" s="40" t="str">
        <f aca="false">IF($A23="","",项目档案!$B23)</f>
        <v>重庆德誉佳实业有限公司2025-2026年度工程用特种设备租赁服务框架采购-铜梁公司2025年成本类优化营商环境项目（平滩所何银强等5个低压业扩工程）</v>
      </c>
      <c r="C23" s="32" t="str">
        <f aca="false">IF($A23="","",项目档案!$C23)</f>
        <v>民能</v>
      </c>
      <c r="D23" s="32" t="str">
        <f aca="false">IF($A23="","",项目档案!$D23)</f>
        <v>德誉嘉</v>
      </c>
      <c r="E23" s="41" t="n">
        <f aca="false">IF($A23="","",SUMIFS(业务流水!$H$5:$H$1504,业务流水!$E$5:$E$1504,$D23,业务流水!$D$5:$D$1504,"销项开票",业务流水!$C$5:$C$1504,$A23,业务流水!$Z$5:$Z$1504,"是"))</f>
        <v>5794.03</v>
      </c>
      <c r="F23" s="49" t="n">
        <f aca="false">IF(OR($A23="",$E23=0),"",SUMIFS(业务流水!$O$5:$O$1504,业务流水!$E$5:$E$1504,$D23,业务流水!$D$5:$D$1504,"销项开票",业务流水!$C$5:$C$1504,$A23,业务流水!$Z$5:$Z$1504,"是")/$E23)</f>
        <v>0.0799995857805362</v>
      </c>
      <c r="G23" s="41" t="n">
        <f aca="false">IF($A23="","",SUMIFS(业务流水!$O$5:$O$1504,业务流水!$E$5:$E$1504,$D23,业务流水!$D$5:$D$1504,"销项开票",业务流水!$C$5:$C$1504,$A23,业务流水!$Z$5:$Z$1504,"是"))</f>
        <v>463.52</v>
      </c>
      <c r="H23" s="42" t="n">
        <f aca="false">IF($A23="","",$E23-$G23)</f>
        <v>5330.51</v>
      </c>
      <c r="I23" s="32" t="str">
        <f aca="false">IF($A23="","",项目档案!$F23)</f>
        <v>安锐</v>
      </c>
      <c r="J23" s="41" t="n">
        <f aca="false">IF(OR($A23="",$I23=""),0,SUMIFS(业务流水!$H$5:$H$1504,业务流水!$E$5:$E$1504,$I23,业务流水!$D$5:$D$1504,"销项开票",业务流水!$C$5:$C$1504,$A23,业务流水!$Z$5:$Z$1504,"是"))</f>
        <v>5330.51</v>
      </c>
      <c r="K23" s="49" t="n">
        <f aca="false">IF(OR($A23="",$J23=0),"",SUMIFS(业务流水!$O$5:$O$1504,业务流水!$E$5:$E$1504,$I23,业务流水!$D$5:$D$1504,"销项开票",业务流水!$C$5:$C$1504,$A23,业务流水!$Z$5:$Z$1504,"是")/$J23)</f>
        <v>0.0199999624801379</v>
      </c>
      <c r="L23" s="41" t="n">
        <f aca="false">IF(OR($A23="",$I23=""),0,SUMIFS(业务流水!$O$5:$O$1504,业务流水!$E$5:$E$1504,$I23,业务流水!$D$5:$D$1504,"销项开票",业务流水!$C$5:$C$1504,$A23,业务流水!$Z$5:$Z$1504,"是"))</f>
        <v>106.61</v>
      </c>
      <c r="M23" s="43" t="n">
        <f aca="false">IF($A23="","",IF(AND($I23&lt;&gt;"",$J23&gt;0),$J23-$L23,$H23))</f>
        <v>5223.9</v>
      </c>
      <c r="N23" s="41" t="n">
        <f aca="false">IF($A23="","",SUMIFS(业务流水!$H$5:$H$1504,业务流水!$F$5:$F$1504,"*",业务流水!$D$5:$D$1504,"成本票",业务流水!$C$5:$C$1504,$A23,业务流水!$Z$5:$Z$1504,"是"))</f>
        <v>3177.22</v>
      </c>
      <c r="O23" s="43" t="n">
        <f aca="false">IF($A23="","",ROUND($M23-$N23,2))</f>
        <v>2046.68</v>
      </c>
      <c r="P23" s="33" t="str">
        <f aca="false">IF($A23="","",IF(ABS($O23)&lt;1,"✓ 已开齐",IF($O23&gt;0,"还差成本票","多开了")))</f>
        <v>还差成本票</v>
      </c>
    </row>
    <row r="24" customFormat="false" ht="15.75" hidden="false" customHeight="true" outlineLevel="0" collapsed="false">
      <c r="A24" s="32" t="str">
        <f aca="false">IF(项目档案!$A24="","",项目档案!$A24)</f>
        <v>A019</v>
      </c>
      <c r="B24" s="40" t="str">
        <f aca="false">IF($A24="","",项目档案!$B24)</f>
        <v>重庆德誉佳实业有限公司2025-2026年度工程用施工机具等租赁服务框架采购（国网重庆铜梁公司110kV金湖东西电缆改造）</v>
      </c>
      <c r="C24" s="32" t="str">
        <f aca="false">IF($A24="","",项目档案!$C24)</f>
        <v>民能</v>
      </c>
      <c r="D24" s="32" t="str">
        <f aca="false">IF($A24="","",项目档案!$D24)</f>
        <v>德誉嘉</v>
      </c>
      <c r="E24" s="41" t="n">
        <f aca="false">IF($A24="","",SUMIFS(业务流水!$H$5:$H$1504,业务流水!$E$5:$E$1504,$D24,业务流水!$D$5:$D$1504,"销项开票",业务流水!$C$5:$C$1504,$A24,业务流水!$Z$5:$Z$1504,"是"))</f>
        <v>151710</v>
      </c>
      <c r="F24" s="49" t="n">
        <f aca="false">IF(OR($A24="",$E24=0),"",SUMIFS(业务流水!$O$5:$O$1504,业务流水!$E$5:$E$1504,$D24,业务流水!$D$5:$D$1504,"销项开票",业务流水!$C$5:$C$1504,$A24,业务流水!$Z$5:$Z$1504,"是")/$E24)</f>
        <v>0.08</v>
      </c>
      <c r="G24" s="41" t="n">
        <f aca="false">IF($A24="","",SUMIFS(业务流水!$O$5:$O$1504,业务流水!$E$5:$E$1504,$D24,业务流水!$D$5:$D$1504,"销项开票",业务流水!$C$5:$C$1504,$A24,业务流水!$Z$5:$Z$1504,"是"))</f>
        <v>12136.8</v>
      </c>
      <c r="H24" s="42" t="n">
        <f aca="false">IF($A24="","",$E24-$G24)</f>
        <v>139573.2</v>
      </c>
      <c r="I24" s="32" t="n">
        <f aca="false">IF($A24="","",项目档案!$F24)</f>
        <v>0</v>
      </c>
      <c r="J24" s="41" t="n">
        <f aca="false">IF(OR($A24="",$I24=""),0,SUMIFS(业务流水!$H$5:$H$1504,业务流水!$E$5:$E$1504,$I24,业务流水!$D$5:$D$1504,"销项开票",业务流水!$C$5:$C$1504,$A24,业务流水!$Z$5:$Z$1504,"是"))</f>
        <v>0</v>
      </c>
      <c r="K24" s="49" t="str">
        <f aca="false">IF(OR($A24="",$J24=0),"",SUMIFS(业务流水!$O$5:$O$1504,业务流水!$E$5:$E$1504,$I24,业务流水!$D$5:$D$1504,"销项开票",业务流水!$C$5:$C$1504,$A24,业务流水!$Z$5:$Z$1504,"是")/$J24)</f>
        <v/>
      </c>
      <c r="L24" s="41" t="n">
        <f aca="false">IF(OR($A24="",$I24=""),0,SUMIFS(业务流水!$O$5:$O$1504,业务流水!$E$5:$E$1504,$I24,业务流水!$D$5:$D$1504,"销项开票",业务流水!$C$5:$C$1504,$A24,业务流水!$Z$5:$Z$1504,"是"))</f>
        <v>0</v>
      </c>
      <c r="M24" s="43" t="n">
        <f aca="false">IF($A24="","",IF(AND($I24&lt;&gt;"",$J24&gt;0),$J24-$L24,$H24))</f>
        <v>139573.2</v>
      </c>
      <c r="N24" s="41" t="n">
        <f aca="false">IF($A24="","",SUMIFS(业务流水!$H$5:$H$1504,业务流水!$F$5:$F$1504,"*",业务流水!$D$5:$D$1504,"成本票",业务流水!$C$5:$C$1504,$A24,业务流水!$Z$5:$Z$1504,"是"))</f>
        <v>139573.2</v>
      </c>
      <c r="O24" s="43" t="n">
        <f aca="false">IF($A24="","",ROUND($M24-$N24,2))</f>
        <v>0</v>
      </c>
      <c r="P24" s="33" t="str">
        <f aca="false">IF($A24="","",IF(ABS($O24)&lt;1,"✓ 已开齐",IF($O24&gt;0,"还差成本票","多开了")))</f>
        <v>✓ 已开齐</v>
      </c>
    </row>
    <row r="25" customFormat="false" ht="15.75" hidden="false" customHeight="true" outlineLevel="0" collapsed="false">
      <c r="A25" s="32" t="str">
        <f aca="false">IF(项目档案!$A25="","",项目档案!$A25)</f>
        <v>A020</v>
      </c>
      <c r="B25" s="40" t="str">
        <f aca="false">IF($A25="","",项目档案!$B25)</f>
        <v>重庆民能实业有限公司2025-2026年度工程用施工机具等租赁服务框架采购（国网重庆铜梁公司110kV金湖东西电缆改造）</v>
      </c>
      <c r="C25" s="32" t="str">
        <f aca="false">IF($A25="","",项目档案!$C25)</f>
        <v>民能</v>
      </c>
      <c r="D25" s="32" t="str">
        <f aca="false">IF($A25="","",项目档案!$D25)</f>
        <v>金沁</v>
      </c>
      <c r="E25" s="41" t="n">
        <f aca="false">IF($A25="","",SUMIFS(业务流水!$H$5:$H$1504,业务流水!$E$5:$E$1504,$D25,业务流水!$D$5:$D$1504,"销项开票",业务流水!$C$5:$C$1504,$A25,业务流水!$Z$5:$Z$1504,"是"))</f>
        <v>314193.15</v>
      </c>
      <c r="F25" s="49" t="n">
        <f aca="false">IF(OR($A25="",$E25=0),"",SUMIFS(业务流水!$O$5:$O$1504,业务流水!$E$5:$E$1504,$D25,业务流水!$D$5:$D$1504,"销项开票",业务流水!$C$5:$C$1504,$A25,业务流水!$Z$5:$Z$1504,"是")/$E25)</f>
        <v>0.0500000079568889</v>
      </c>
      <c r="G25" s="41" t="n">
        <f aca="false">IF($A25="","",SUMIFS(业务流水!$O$5:$O$1504,业务流水!$E$5:$E$1504,$D25,业务流水!$D$5:$D$1504,"销项开票",业务流水!$C$5:$C$1504,$A25,业务流水!$Z$5:$Z$1504,"是"))</f>
        <v>15709.66</v>
      </c>
      <c r="H25" s="42" t="n">
        <f aca="false">IF($A25="","",$E25-$G25)</f>
        <v>298483.49</v>
      </c>
      <c r="I25" s="32" t="str">
        <f aca="false">IF($A25="","",项目档案!$F25)</f>
        <v>康欣</v>
      </c>
      <c r="J25" s="41" t="n">
        <f aca="false">IF(OR($A25="",$I25=""),0,SUMIFS(业务流水!$H$5:$H$1504,业务流水!$E$5:$E$1504,$I25,业务流水!$D$5:$D$1504,"销项开票",业务流水!$C$5:$C$1504,$A25,业务流水!$Z$5:$Z$1504,"是"))</f>
        <v>200745.45</v>
      </c>
      <c r="K25" s="49" t="n">
        <f aca="false">IF(OR($A25="",$J25=0),"",SUMIFS(业务流水!$O$5:$O$1504,业务流水!$E$5:$E$1504,$I25,业务流水!$D$5:$D$1504,"销项开票",业务流水!$C$5:$C$1504,$A25,业务流水!$Z$5:$Z$1504,"是")/$J25)</f>
        <v>0.020000004981433</v>
      </c>
      <c r="L25" s="41" t="n">
        <f aca="false">IF(OR($A25="",$I25=""),0,SUMIFS(业务流水!$O$5:$O$1504,业务流水!$E$5:$E$1504,$I25,业务流水!$D$5:$D$1504,"销项开票",业务流水!$C$5:$C$1504,$A25,业务流水!$Z$5:$Z$1504,"是"))</f>
        <v>4014.91</v>
      </c>
      <c r="M25" s="43" t="n">
        <f aca="false">IF($A25="","",IF(AND($I25&lt;&gt;"",$J25&gt;0),$J25-$L25,$H25))</f>
        <v>196730.54</v>
      </c>
      <c r="N25" s="41" t="n">
        <f aca="false">IF($A25="","",SUMIFS(业务流水!$H$5:$H$1504,业务流水!$F$5:$F$1504,"*",业务流水!$D$5:$D$1504,"成本票",业务流水!$C$5:$C$1504,$A25,业务流水!$Z$5:$Z$1504,"是"))</f>
        <v>139949.67</v>
      </c>
      <c r="O25" s="43" t="n">
        <f aca="false">IF($A25="","",ROUND($M25-$N25,2))</f>
        <v>56780.87</v>
      </c>
      <c r="P25" s="33" t="str">
        <f aca="false">IF($A25="","",IF(ABS($O25)&lt;1,"✓ 已开齐",IF($O25&gt;0,"还差成本票","多开了")))</f>
        <v>还差成本票</v>
      </c>
    </row>
    <row r="26" customFormat="false" ht="15.75" hidden="false" customHeight="true" outlineLevel="0" collapsed="false">
      <c r="A26" s="32" t="str">
        <f aca="false">IF(项目档案!$A26="","",项目档案!$A26)</f>
        <v>A021</v>
      </c>
      <c r="B26" s="40" t="str">
        <f aca="false">IF($A26="","",项目档案!$B26)</f>
        <v>铜梁区园区屋顶分布式光伏发电建设项目-10kV电力新建工程（康欣3W，泓普7W）</v>
      </c>
      <c r="C26" s="32" t="str">
        <f aca="false">IF($A26="","",项目档案!$C26)</f>
        <v>民能</v>
      </c>
      <c r="D26" s="32" t="str">
        <f aca="false">IF($A26="","",项目档案!$D26)</f>
        <v>金沁</v>
      </c>
      <c r="E26" s="41" t="n">
        <f aca="false">IF($A26="","",SUMIFS(业务流水!$H$5:$H$1504,业务流水!$E$5:$E$1504,$D26,业务流水!$D$5:$D$1504,"销项开票",业务流水!$C$5:$C$1504,$A26,业务流水!$Z$5:$Z$1504,"是"))</f>
        <v>70000</v>
      </c>
      <c r="F26" s="49" t="n">
        <f aca="false">IF(OR($A26="",$E26=0),"",SUMIFS(业务流水!$O$5:$O$1504,业务流水!$E$5:$E$1504,$D26,业务流水!$D$5:$D$1504,"销项开票",业务流水!$C$5:$C$1504,$A26,业务流水!$Z$5:$Z$1504,"是")/$E26)</f>
        <v>0.05</v>
      </c>
      <c r="G26" s="41" t="n">
        <f aca="false">IF($A26="","",SUMIFS(业务流水!$O$5:$O$1504,业务流水!$E$5:$E$1504,$D26,业务流水!$D$5:$D$1504,"销项开票",业务流水!$C$5:$C$1504,$A26,业务流水!$Z$5:$Z$1504,"是"))</f>
        <v>3500</v>
      </c>
      <c r="H26" s="42" t="n">
        <f aca="false">IF($A26="","",$E26-$G26)</f>
        <v>66500</v>
      </c>
      <c r="I26" s="32" t="n">
        <f aca="false">IF($A26="","",项目档案!$F26)</f>
        <v>0</v>
      </c>
      <c r="J26" s="41" t="n">
        <f aca="false">IF(OR($A26="",$I26=""),0,SUMIFS(业务流水!$H$5:$H$1504,业务流水!$E$5:$E$1504,$I26,业务流水!$D$5:$D$1504,"销项开票",业务流水!$C$5:$C$1504,$A26,业务流水!$Z$5:$Z$1504,"是"))</f>
        <v>0</v>
      </c>
      <c r="K26" s="49" t="str">
        <f aca="false">IF(OR($A26="",$J26=0),"",SUMIFS(业务流水!$O$5:$O$1504,业务流水!$E$5:$E$1504,$I26,业务流水!$D$5:$D$1504,"销项开票",业务流水!$C$5:$C$1504,$A26,业务流水!$Z$5:$Z$1504,"是")/$J26)</f>
        <v/>
      </c>
      <c r="L26" s="41" t="n">
        <f aca="false">IF(OR($A26="",$I26=""),0,SUMIFS(业务流水!$O$5:$O$1504,业务流水!$E$5:$E$1504,$I26,业务流水!$D$5:$D$1504,"销项开票",业务流水!$C$5:$C$1504,$A26,业务流水!$Z$5:$Z$1504,"是"))</f>
        <v>0</v>
      </c>
      <c r="M26" s="43" t="n">
        <f aca="false">IF($A26="","",IF(AND($I26&lt;&gt;"",$J26&gt;0),$J26-$L26,$H26))</f>
        <v>66500</v>
      </c>
      <c r="N26" s="41" t="n">
        <f aca="false">IF($A26="","",SUMIFS(业务流水!$H$5:$H$1504,业务流水!$F$5:$F$1504,"*",业务流水!$D$5:$D$1504,"成本票",业务流水!$C$5:$C$1504,$A26,业务流水!$Z$5:$Z$1504,"是"))</f>
        <v>0</v>
      </c>
      <c r="O26" s="43" t="n">
        <f aca="false">IF($A26="","",ROUND($M26-$N26,2))</f>
        <v>66500</v>
      </c>
      <c r="P26" s="33" t="str">
        <f aca="false">IF($A26="","",IF(ABS($O26)&lt;1,"✓ 已开齐",IF($O26&gt;0,"还差成本票","多开了")))</f>
        <v>还差成本票</v>
      </c>
    </row>
    <row r="27" customFormat="false" ht="15.75" hidden="false" customHeight="true" outlineLevel="0" collapsed="false">
      <c r="A27" s="32" t="str">
        <f aca="false">IF(项目档案!$A27="","",项目档案!$A27)</f>
        <v>A022</v>
      </c>
      <c r="B27" s="40" t="str">
        <f aca="false">IF($A27="","",项目档案!$B27)</f>
        <v>铜梁区园区屋顶分布式光伏发电建设项目-10kV电力新建工程（康欣3W，泓普6W）</v>
      </c>
      <c r="C27" s="32" t="str">
        <f aca="false">IF($A27="","",项目档案!$C27)</f>
        <v>民能</v>
      </c>
      <c r="D27" s="32" t="str">
        <f aca="false">IF($A27="","",项目档案!$D27)</f>
        <v>康欣</v>
      </c>
      <c r="E27" s="41" t="n">
        <f aca="false">IF($A27="","",SUMIFS(业务流水!$H$5:$H$1504,业务流水!$E$5:$E$1504,$D27,业务流水!$D$5:$D$1504,"销项开票",业务流水!$C$5:$C$1504,$A27,业务流水!$Z$5:$Z$1504,"是"))</f>
        <v>136500</v>
      </c>
      <c r="F27" s="49" t="n">
        <f aca="false">IF(OR($A27="",$E27=0),"",SUMIFS(业务流水!$O$5:$O$1504,业务流水!$E$5:$E$1504,$D27,业务流水!$D$5:$D$1504,"销项开票",业务流水!$C$5:$C$1504,$A27,业务流水!$Z$5:$Z$1504,"是")/$E27)</f>
        <v>0.0353846153846154</v>
      </c>
      <c r="G27" s="41" t="n">
        <f aca="false">IF($A27="","",SUMIFS(业务流水!$O$5:$O$1504,业务流水!$E$5:$E$1504,$D27,业务流水!$D$5:$D$1504,"销项开票",业务流水!$C$5:$C$1504,$A27,业务流水!$Z$5:$Z$1504,"是"))</f>
        <v>4830</v>
      </c>
      <c r="H27" s="42" t="n">
        <f aca="false">IF($A27="","",$E27-$G27)</f>
        <v>131670</v>
      </c>
      <c r="I27" s="32" t="n">
        <f aca="false">IF($A27="","",项目档案!$F27)</f>
        <v>0</v>
      </c>
      <c r="J27" s="41" t="n">
        <f aca="false">IF(OR($A27="",$I27=""),0,SUMIFS(业务流水!$H$5:$H$1504,业务流水!$E$5:$E$1504,$I27,业务流水!$D$5:$D$1504,"销项开票",业务流水!$C$5:$C$1504,$A27,业务流水!$Z$5:$Z$1504,"是"))</f>
        <v>0</v>
      </c>
      <c r="K27" s="49" t="str">
        <f aca="false">IF(OR($A27="",$J27=0),"",SUMIFS(业务流水!$O$5:$O$1504,业务流水!$E$5:$E$1504,$I27,业务流水!$D$5:$D$1504,"销项开票",业务流水!$C$5:$C$1504,$A27,业务流水!$Z$5:$Z$1504,"是")/$J27)</f>
        <v/>
      </c>
      <c r="L27" s="41" t="n">
        <f aca="false">IF(OR($A27="",$I27=""),0,SUMIFS(业务流水!$O$5:$O$1504,业务流水!$E$5:$E$1504,$I27,业务流水!$D$5:$D$1504,"销项开票",业务流水!$C$5:$C$1504,$A27,业务流水!$Z$5:$Z$1504,"是"))</f>
        <v>0</v>
      </c>
      <c r="M27" s="43" t="n">
        <f aca="false">IF($A27="","",IF(AND($I27&lt;&gt;"",$J27&gt;0),$J27-$L27,$H27))</f>
        <v>131670</v>
      </c>
      <c r="N27" s="41" t="n">
        <f aca="false">IF($A27="","",SUMIFS(业务流水!$H$5:$H$1504,业务流水!$F$5:$F$1504,"*",业务流水!$D$5:$D$1504,"成本票",业务流水!$C$5:$C$1504,$A27,业务流水!$Z$5:$Z$1504,"是"))</f>
        <v>0</v>
      </c>
      <c r="O27" s="43" t="n">
        <f aca="false">IF($A27="","",ROUND($M27-$N27,2))</f>
        <v>131670</v>
      </c>
      <c r="P27" s="33" t="str">
        <f aca="false">IF($A27="","",IF(ABS($O27)&lt;1,"✓ 已开齐",IF($O27&gt;0,"还差成本票","多开了")))</f>
        <v>还差成本票</v>
      </c>
    </row>
    <row r="28" customFormat="false" ht="15.75" hidden="false" customHeight="true" outlineLevel="0" collapsed="false">
      <c r="A28" s="32" t="str">
        <f aca="false">IF(项目档案!$A28="","",项目档案!$A28)</f>
        <v>A023</v>
      </c>
      <c r="B28" s="40" t="str">
        <f aca="false">IF($A28="","",项目档案!$B28)</f>
        <v>围龙镇巴岳农庄项目(桥亭水云居项目)双电源工程</v>
      </c>
      <c r="C28" s="32" t="str">
        <f aca="false">IF($A28="","",项目档案!$C28)</f>
        <v>民能</v>
      </c>
      <c r="D28" s="32" t="str">
        <f aca="false">IF($A28="","",项目档案!$D28)</f>
        <v>康欣</v>
      </c>
      <c r="E28" s="41" t="n">
        <f aca="false">IF($A28="","",SUMIFS(业务流水!$H$5:$H$1504,业务流水!$E$5:$E$1504,$D28,业务流水!$D$5:$D$1504,"销项开票",业务流水!$C$5:$C$1504,$A28,业务流水!$Z$5:$Z$1504,"是"))</f>
        <v>50000</v>
      </c>
      <c r="F28" s="49" t="n">
        <f aca="false">IF(OR($A28="",$E28=0),"",SUMIFS(业务流水!$O$5:$O$1504,业务流水!$E$5:$E$1504,$D28,业务流水!$D$5:$D$1504,"销项开票",业务流水!$C$5:$C$1504,$A28,业务流水!$Z$5:$Z$1504,"是")/$E28)</f>
        <v>0.02</v>
      </c>
      <c r="G28" s="41" t="n">
        <f aca="false">IF($A28="","",SUMIFS(业务流水!$O$5:$O$1504,业务流水!$E$5:$E$1504,$D28,业务流水!$D$5:$D$1504,"销项开票",业务流水!$C$5:$C$1504,$A28,业务流水!$Z$5:$Z$1504,"是"))</f>
        <v>1000</v>
      </c>
      <c r="H28" s="42" t="n">
        <f aca="false">IF($A28="","",$E28-$G28)</f>
        <v>49000</v>
      </c>
      <c r="I28" s="32" t="n">
        <f aca="false">IF($A28="","",项目档案!$F28)</f>
        <v>0</v>
      </c>
      <c r="J28" s="41" t="n">
        <f aca="false">IF(OR($A28="",$I28=""),0,SUMIFS(业务流水!$H$5:$H$1504,业务流水!$E$5:$E$1504,$I28,业务流水!$D$5:$D$1504,"销项开票",业务流水!$C$5:$C$1504,$A28,业务流水!$Z$5:$Z$1504,"是"))</f>
        <v>0</v>
      </c>
      <c r="K28" s="49" t="str">
        <f aca="false">IF(OR($A28="",$J28=0),"",SUMIFS(业务流水!$O$5:$O$1504,业务流水!$E$5:$E$1504,$I28,业务流水!$D$5:$D$1504,"销项开票",业务流水!$C$5:$C$1504,$A28,业务流水!$Z$5:$Z$1504,"是")/$J28)</f>
        <v/>
      </c>
      <c r="L28" s="41" t="n">
        <f aca="false">IF(OR($A28="",$I28=""),0,SUMIFS(业务流水!$O$5:$O$1504,业务流水!$E$5:$E$1504,$I28,业务流水!$D$5:$D$1504,"销项开票",业务流水!$C$5:$C$1504,$A28,业务流水!$Z$5:$Z$1504,"是"))</f>
        <v>0</v>
      </c>
      <c r="M28" s="43" t="n">
        <f aca="false">IF($A28="","",IF(AND($I28&lt;&gt;"",$J28&gt;0),$J28-$L28,$H28))</f>
        <v>49000</v>
      </c>
      <c r="N28" s="41" t="n">
        <f aca="false">IF($A28="","",SUMIFS(业务流水!$H$5:$H$1504,业务流水!$F$5:$F$1504,"*",业务流水!$D$5:$D$1504,"成本票",业务流水!$C$5:$C$1504,$A28,业务流水!$Z$5:$Z$1504,"是"))</f>
        <v>50000</v>
      </c>
      <c r="O28" s="43" t="n">
        <f aca="false">IF($A28="","",ROUND($M28-$N28,2))</f>
        <v>-1000</v>
      </c>
      <c r="P28" s="33" t="str">
        <f aca="false">IF($A28="","",IF(ABS($O28)&lt;1,"✓ 已开齐",IF($O28&gt;0,"还差成本票","多开了")))</f>
        <v>多开了</v>
      </c>
    </row>
    <row r="29" customFormat="false" ht="15.75" hidden="false" customHeight="true" outlineLevel="0" collapsed="false">
      <c r="A29" s="32" t="str">
        <f aca="false">IF(项目档案!$A29="","",项目档案!$A29)</f>
        <v>A024</v>
      </c>
      <c r="B29" s="40" t="str">
        <f aca="false">IF($A29="","",项目档案!$B29)</f>
        <v>铜梁公司2026年配电专业应急抢修抢险等外包项目（黄荆4社等台区4个隐患治理项目、三湾1.2社等台区2个应急抢修项目)</v>
      </c>
      <c r="C29" s="32" t="str">
        <f aca="false">IF($A29="","",项目档案!$C29)</f>
        <v>民能</v>
      </c>
      <c r="D29" s="32" t="str">
        <f aca="false">IF($A29="","",项目档案!$D29)</f>
        <v>华城</v>
      </c>
      <c r="E29" s="41" t="n">
        <f aca="false">IF($A29="","",SUMIFS(业务流水!$H$5:$H$1504,业务流水!$E$5:$E$1504,$D29,业务流水!$D$5:$D$1504,"销项开票",业务流水!$C$5:$C$1504,$A29,业务流水!$Z$5:$Z$1504,"是"))</f>
        <v>6701.38</v>
      </c>
      <c r="F29" s="49" t="n">
        <f aca="false">IF(OR($A29="",$E29=0),"",SUMIFS(业务流水!$O$5:$O$1504,业务流水!$E$5:$E$1504,$D29,业务流水!$D$5:$D$1504,"销项开票",业务流水!$C$5:$C$1504,$A29,业务流水!$Z$5:$Z$1504,"是")/$E29)</f>
        <v>0.0200003581351901</v>
      </c>
      <c r="G29" s="41" t="n">
        <f aca="false">IF($A29="","",SUMIFS(业务流水!$O$5:$O$1504,业务流水!$E$5:$E$1504,$D29,业务流水!$D$5:$D$1504,"销项开票",业务流水!$C$5:$C$1504,$A29,业务流水!$Z$5:$Z$1504,"是"))</f>
        <v>134.03</v>
      </c>
      <c r="H29" s="42" t="n">
        <f aca="false">IF($A29="","",$E29-$G29)</f>
        <v>6567.35</v>
      </c>
      <c r="I29" s="32" t="n">
        <f aca="false">IF($A29="","",项目档案!$F29)</f>
        <v>0</v>
      </c>
      <c r="J29" s="41" t="n">
        <f aca="false">IF(OR($A29="",$I29=""),0,SUMIFS(业务流水!$H$5:$H$1504,业务流水!$E$5:$E$1504,$I29,业务流水!$D$5:$D$1504,"销项开票",业务流水!$C$5:$C$1504,$A29,业务流水!$Z$5:$Z$1504,"是"))</f>
        <v>0</v>
      </c>
      <c r="K29" s="49" t="str">
        <f aca="false">IF(OR($A29="",$J29=0),"",SUMIFS(业务流水!$O$5:$O$1504,业务流水!$E$5:$E$1504,$I29,业务流水!$D$5:$D$1504,"销项开票",业务流水!$C$5:$C$1504,$A29,业务流水!$Z$5:$Z$1504,"是")/$J29)</f>
        <v/>
      </c>
      <c r="L29" s="41" t="n">
        <f aca="false">IF(OR($A29="",$I29=""),0,SUMIFS(业务流水!$O$5:$O$1504,业务流水!$E$5:$E$1504,$I29,业务流水!$D$5:$D$1504,"销项开票",业务流水!$C$5:$C$1504,$A29,业务流水!$Z$5:$Z$1504,"是"))</f>
        <v>0</v>
      </c>
      <c r="M29" s="43" t="n">
        <f aca="false">IF($A29="","",IF(AND($I29&lt;&gt;"",$J29&gt;0),$J29-$L29,$H29))</f>
        <v>6567.35</v>
      </c>
      <c r="N29" s="41" t="n">
        <f aca="false">IF($A29="","",SUMIFS(业务流水!$H$5:$H$1504,业务流水!$F$5:$F$1504,"*",业务流水!$D$5:$D$1504,"成本票",业务流水!$C$5:$C$1504,$A29,业务流水!$Z$5:$Z$1504,"是"))</f>
        <v>56055.12</v>
      </c>
      <c r="O29" s="43" t="n">
        <f aca="false">IF($A29="","",ROUND($M29-$N29,2))</f>
        <v>-49487.77</v>
      </c>
      <c r="P29" s="33" t="str">
        <f aca="false">IF($A29="","",IF(ABS($O29)&lt;1,"✓ 已开齐",IF($O29&gt;0,"还差成本票","多开了")))</f>
        <v>多开了</v>
      </c>
    </row>
    <row r="30" customFormat="false" ht="15.75" hidden="false" customHeight="true" outlineLevel="0" collapsed="false">
      <c r="A30" s="32" t="str">
        <f aca="false">IF(项目档案!$A30="","",项目档案!$A30)</f>
        <v>A025</v>
      </c>
      <c r="B30" s="40" t="str">
        <f aca="false">IF($A30="","",项目档案!$B30)</f>
        <v>重庆铜梁10kV梧桐村4.5.6社台区重过载治理工程等23个项目(2025年配网6批、业扩5批民能施工)(重庆铜梁10kV侣新线铜安1社台区重过载治理工程)</v>
      </c>
      <c r="C30" s="32" t="str">
        <f aca="false">IF($A30="","",项目档案!$C30)</f>
        <v>民能</v>
      </c>
      <c r="D30" s="32" t="str">
        <f aca="false">IF($A30="","",项目档案!$D30)</f>
        <v>金沁</v>
      </c>
      <c r="E30" s="41" t="n">
        <f aca="false">IF($A30="","",SUMIFS(业务流水!$H$5:$H$1504,业务流水!$E$5:$E$1504,$D30,业务流水!$D$5:$D$1504,"销项开票",业务流水!$C$5:$C$1504,$A30,业务流水!$Z$5:$Z$1504,"是"))</f>
        <v>22832.51</v>
      </c>
      <c r="F30" s="49" t="n">
        <f aca="false">IF(OR($A30="",$E30=0),"",SUMIFS(业务流水!$O$5:$O$1504,业务流水!$E$5:$E$1504,$D30,业务流水!$D$5:$D$1504,"销项开票",业务流水!$C$5:$C$1504,$A30,业务流水!$Z$5:$Z$1504,"是")/$E30)</f>
        <v>0.0500001970873986</v>
      </c>
      <c r="G30" s="41" t="n">
        <f aca="false">IF($A30="","",SUMIFS(业务流水!$O$5:$O$1504,业务流水!$E$5:$E$1504,$D30,业务流水!$D$5:$D$1504,"销项开票",业务流水!$C$5:$C$1504,$A30,业务流水!$Z$5:$Z$1504,"是"))</f>
        <v>1141.63</v>
      </c>
      <c r="H30" s="42" t="n">
        <f aca="false">IF($A30="","",$E30-$G30)</f>
        <v>21690.88</v>
      </c>
      <c r="I30" s="32" t="str">
        <f aca="false">IF($A30="","",项目档案!$F30)</f>
        <v>康欣</v>
      </c>
      <c r="J30" s="41" t="n">
        <f aca="false">IF(OR($A30="",$I30=""),0,SUMIFS(业务流水!$H$5:$H$1504,业务流水!$E$5:$E$1504,$I30,业务流水!$D$5:$D$1504,"销项开票",业务流水!$C$5:$C$1504,$A30,业务流水!$Z$5:$Z$1504,"是"))</f>
        <v>21690.88</v>
      </c>
      <c r="K30" s="49" t="n">
        <f aca="false">IF(OR($A30="",$J30=0),"",SUMIFS(业务流水!$O$5:$O$1504,业务流水!$E$5:$E$1504,$I30,业务流水!$D$5:$D$1504,"销项开票",业务流水!$C$5:$C$1504,$A30,业务流水!$Z$5:$Z$1504,"是")/$J30)</f>
        <v>0.0200001106455801</v>
      </c>
      <c r="L30" s="41" t="n">
        <f aca="false">IF(OR($A30="",$I30=""),0,SUMIFS(业务流水!$O$5:$O$1504,业务流水!$E$5:$E$1504,$I30,业务流水!$D$5:$D$1504,"销项开票",业务流水!$C$5:$C$1504,$A30,业务流水!$Z$5:$Z$1504,"是"))</f>
        <v>433.82</v>
      </c>
      <c r="M30" s="43" t="n">
        <f aca="false">IF($A30="","",IF(AND($I30&lt;&gt;"",$J30&gt;0),$J30-$L30,$H30))</f>
        <v>21257.06</v>
      </c>
      <c r="N30" s="41" t="n">
        <f aca="false">IF($A30="","",SUMIFS(业务流水!$H$5:$H$1504,业务流水!$F$5:$F$1504,"*",业务流水!$D$5:$D$1504,"成本票",业务流水!$C$5:$C$1504,$A30,业务流水!$Z$5:$Z$1504,"是"))</f>
        <v>0</v>
      </c>
      <c r="O30" s="43" t="n">
        <f aca="false">IF($A30="","",ROUND($M30-$N30,2))</f>
        <v>21257.06</v>
      </c>
      <c r="P30" s="33" t="str">
        <f aca="false">IF($A30="","",IF(ABS($O30)&lt;1,"✓ 已开齐",IF($O30&gt;0,"还差成本票","多开了")))</f>
        <v>还差成本票</v>
      </c>
    </row>
    <row r="31" customFormat="false" ht="15.75" hidden="false" customHeight="true" outlineLevel="0" collapsed="false">
      <c r="A31" s="32" t="str">
        <f aca="false">IF(项目档案!$A31="","",项目档案!$A31)</f>
        <v>A026</v>
      </c>
      <c r="B31" s="40" t="str">
        <f aca="false">IF($A31="","",项目档案!$B31)</f>
        <v>重庆铜梁10kV梧桐村4.5.6社台区重过载治理工程等23个项目(2025年配网6批、业扩5批民能施工)(重庆铜梁10kV侣新线铜安9社台区重过载治理工程)</v>
      </c>
      <c r="C31" s="32" t="str">
        <f aca="false">IF($A31="","",项目档案!$C31)</f>
        <v>民能</v>
      </c>
      <c r="D31" s="32" t="str">
        <f aca="false">IF($A31="","",项目档案!$D31)</f>
        <v>金沁</v>
      </c>
      <c r="E31" s="41" t="n">
        <f aca="false">IF($A31="","",SUMIFS(业务流水!$H$5:$H$1504,业务流水!$E$5:$E$1504,$D31,业务流水!$D$5:$D$1504,"销项开票",业务流水!$C$5:$C$1504,$A31,业务流水!$Z$5:$Z$1504,"是"))</f>
        <v>18682.87</v>
      </c>
      <c r="F31" s="49" t="n">
        <f aca="false">IF(OR($A31="",$E31=0),"",SUMIFS(业务流水!$O$5:$O$1504,业务流水!$E$5:$E$1504,$D31,业务流水!$D$5:$D$1504,"销项开票",业务流水!$C$5:$C$1504,$A31,业务流水!$Z$5:$Z$1504,"是")/$E31)</f>
        <v>0.0499998126626155</v>
      </c>
      <c r="G31" s="41" t="n">
        <f aca="false">IF($A31="","",SUMIFS(业务流水!$O$5:$O$1504,业务流水!$E$5:$E$1504,$D31,业务流水!$D$5:$D$1504,"销项开票",业务流水!$C$5:$C$1504,$A31,业务流水!$Z$5:$Z$1504,"是"))</f>
        <v>934.14</v>
      </c>
      <c r="H31" s="42" t="n">
        <f aca="false">IF($A31="","",$E31-$G31)</f>
        <v>17748.73</v>
      </c>
      <c r="I31" s="32" t="str">
        <f aca="false">IF($A31="","",项目档案!$F31)</f>
        <v>康欣</v>
      </c>
      <c r="J31" s="41" t="n">
        <f aca="false">IF(OR($A31="",$I31=""),0,SUMIFS(业务流水!$H$5:$H$1504,业务流水!$E$5:$E$1504,$I31,业务流水!$D$5:$D$1504,"销项开票",业务流水!$C$5:$C$1504,$A31,业务流水!$Z$5:$Z$1504,"是"))</f>
        <v>17748.73</v>
      </c>
      <c r="K31" s="49" t="n">
        <f aca="false">IF(OR($A31="",$J31=0),"",SUMIFS(业务流水!$O$5:$O$1504,业务流水!$E$5:$E$1504,$I31,业务流水!$D$5:$D$1504,"销项开票",业务流水!$C$5:$C$1504,$A31,业务流水!$Z$5:$Z$1504,"是")/$J31)</f>
        <v>0.0199997408265267</v>
      </c>
      <c r="L31" s="41" t="n">
        <f aca="false">IF(OR($A31="",$I31=""),0,SUMIFS(业务流水!$O$5:$O$1504,业务流水!$E$5:$E$1504,$I31,业务流水!$D$5:$D$1504,"销项开票",业务流水!$C$5:$C$1504,$A31,业务流水!$Z$5:$Z$1504,"是"))</f>
        <v>354.97</v>
      </c>
      <c r="M31" s="43" t="n">
        <f aca="false">IF($A31="","",IF(AND($I31&lt;&gt;"",$J31&gt;0),$J31-$L31,$H31))</f>
        <v>17393.76</v>
      </c>
      <c r="N31" s="41" t="n">
        <f aca="false">IF($A31="","",SUMIFS(业务流水!$H$5:$H$1504,业务流水!$F$5:$F$1504,"*",业务流水!$D$5:$D$1504,"成本票",业务流水!$C$5:$C$1504,$A31,业务流水!$Z$5:$Z$1504,"是"))</f>
        <v>0</v>
      </c>
      <c r="O31" s="43" t="n">
        <f aca="false">IF($A31="","",ROUND($M31-$N31,2))</f>
        <v>17393.76</v>
      </c>
      <c r="P31" s="33" t="str">
        <f aca="false">IF($A31="","",IF(ABS($O31)&lt;1,"✓ 已开齐",IF($O31&gt;0,"还差成本票","多开了")))</f>
        <v>还差成本票</v>
      </c>
    </row>
    <row r="32" customFormat="false" ht="15.75" hidden="false" customHeight="true" outlineLevel="0" collapsed="false">
      <c r="A32" s="32" t="str">
        <f aca="false">IF(项目档案!$A32="","",项目档案!$A32)</f>
        <v>A027</v>
      </c>
      <c r="B32" s="40" t="str">
        <f aca="false">IF($A32="","",项目档案!$B32)</f>
        <v>重庆铜梁10kV梧桐村4.5.6社台区重过载治理工程等23个项目(2025年配网6批、业扩5批民能施工)(重庆铜梁10kV平双线群益7社台区重过载治理工程)</v>
      </c>
      <c r="C32" s="32" t="str">
        <f aca="false">IF($A32="","",项目档案!$C32)</f>
        <v>民能</v>
      </c>
      <c r="D32" s="32" t="str">
        <f aca="false">IF($A32="","",项目档案!$D32)</f>
        <v>金沁</v>
      </c>
      <c r="E32" s="41" t="n">
        <f aca="false">IF($A32="","",SUMIFS(业务流水!$H$5:$H$1504,业务流水!$E$5:$E$1504,$D32,业务流水!$D$5:$D$1504,"销项开票",业务流水!$C$5:$C$1504,$A32,业务流水!$Z$5:$Z$1504,"是"))</f>
        <v>4665.53</v>
      </c>
      <c r="F32" s="49" t="n">
        <f aca="false">IF(OR($A32="",$E32=0),"",SUMIFS(业务流水!$O$5:$O$1504,业务流水!$E$5:$E$1504,$D32,业务流水!$D$5:$D$1504,"销项开票",业务流水!$C$5:$C$1504,$A32,业务流水!$Z$5:$Z$1504,"是")/$E32)</f>
        <v>0.0500007501827231</v>
      </c>
      <c r="G32" s="41" t="n">
        <f aca="false">IF($A32="","",SUMIFS(业务流水!$O$5:$O$1504,业务流水!$E$5:$E$1504,$D32,业务流水!$D$5:$D$1504,"销项开票",业务流水!$C$5:$C$1504,$A32,业务流水!$Z$5:$Z$1504,"是"))</f>
        <v>233.28</v>
      </c>
      <c r="H32" s="42" t="n">
        <f aca="false">IF($A32="","",$E32-$G32)</f>
        <v>4432.25</v>
      </c>
      <c r="I32" s="32" t="str">
        <f aca="false">IF($A32="","",项目档案!$F32)</f>
        <v>康欣</v>
      </c>
      <c r="J32" s="41" t="n">
        <f aca="false">IF(OR($A32="",$I32=""),0,SUMIFS(业务流水!$H$5:$H$1504,业务流水!$E$5:$E$1504,$I32,业务流水!$D$5:$D$1504,"销项开票",业务流水!$C$5:$C$1504,$A32,业务流水!$Z$5:$Z$1504,"是"))</f>
        <v>4432.25</v>
      </c>
      <c r="K32" s="49" t="n">
        <f aca="false">IF(OR($A32="",$J32=0),"",SUMIFS(业务流水!$O$5:$O$1504,业务流水!$E$5:$E$1504,$I32,业务流水!$D$5:$D$1504,"销项开票",业务流水!$C$5:$C$1504,$A32,业务流水!$Z$5:$Z$1504,"是")/$J32)</f>
        <v>0.0200011280952112</v>
      </c>
      <c r="L32" s="41" t="n">
        <f aca="false">IF(OR($A32="",$I32=""),0,SUMIFS(业务流水!$O$5:$O$1504,业务流水!$E$5:$E$1504,$I32,业务流水!$D$5:$D$1504,"销项开票",业务流水!$C$5:$C$1504,$A32,业务流水!$Z$5:$Z$1504,"是"))</f>
        <v>88.65</v>
      </c>
      <c r="M32" s="43" t="n">
        <f aca="false">IF($A32="","",IF(AND($I32&lt;&gt;"",$J32&gt;0),$J32-$L32,$H32))</f>
        <v>4343.6</v>
      </c>
      <c r="N32" s="41" t="n">
        <f aca="false">IF($A32="","",SUMIFS(业务流水!$H$5:$H$1504,业务流水!$F$5:$F$1504,"*",业务流水!$D$5:$D$1504,"成本票",业务流水!$C$5:$C$1504,$A32,业务流水!$Z$5:$Z$1504,"是"))</f>
        <v>0</v>
      </c>
      <c r="O32" s="43" t="n">
        <f aca="false">IF($A32="","",ROUND($M32-$N32,2))</f>
        <v>4343.6</v>
      </c>
      <c r="P32" s="33" t="str">
        <f aca="false">IF($A32="","",IF(ABS($O32)&lt;1,"✓ 已开齐",IF($O32&gt;0,"还差成本票","多开了")))</f>
        <v>还差成本票</v>
      </c>
    </row>
    <row r="33" customFormat="false" ht="15.75" hidden="false" customHeight="true" outlineLevel="0" collapsed="false">
      <c r="A33" s="32" t="str">
        <f aca="false">IF(项目档案!$A33="","",项目档案!$A33)</f>
        <v>A028</v>
      </c>
      <c r="B33" s="40" t="str">
        <f aca="false">IF($A33="","",项目档案!$B33)</f>
        <v>重庆铜梁10kV梧桐村4.5.6社台区重过载治理工程等23个项目(2025年配网6批、业扩5批民能施工)(重庆铜梁10kV平镇线新桥社台区重过载治理工程)</v>
      </c>
      <c r="C33" s="32" t="str">
        <f aca="false">IF($A33="","",项目档案!$C33)</f>
        <v>民能</v>
      </c>
      <c r="D33" s="32" t="str">
        <f aca="false">IF($A33="","",项目档案!$D33)</f>
        <v>金沁</v>
      </c>
      <c r="E33" s="41" t="n">
        <f aca="false">IF($A33="","",SUMIFS(业务流水!$H$5:$H$1504,业务流水!$E$5:$E$1504,$D33,业务流水!$D$5:$D$1504,"销项开票",业务流水!$C$5:$C$1504,$A33,业务流水!$Z$5:$Z$1504,"是"))</f>
        <v>11400.98</v>
      </c>
      <c r="F33" s="49" t="n">
        <f aca="false">IF(OR($A33="",$E33=0),"",SUMIFS(业务流水!$O$5:$O$1504,业务流水!$E$5:$E$1504,$D33,业务流水!$D$5:$D$1504,"销项开票",业务流水!$C$5:$C$1504,$A33,业务流水!$Z$5:$Z$1504,"是")/$E33)</f>
        <v>0.0500000877117581</v>
      </c>
      <c r="G33" s="41" t="n">
        <f aca="false">IF($A33="","",SUMIFS(业务流水!$O$5:$O$1504,业务流水!$E$5:$E$1504,$D33,业务流水!$D$5:$D$1504,"销项开票",业务流水!$C$5:$C$1504,$A33,业务流水!$Z$5:$Z$1504,"是"))</f>
        <v>570.05</v>
      </c>
      <c r="H33" s="42" t="n">
        <f aca="false">IF($A33="","",$E33-$G33)</f>
        <v>10830.93</v>
      </c>
      <c r="I33" s="32" t="str">
        <f aca="false">IF($A33="","",项目档案!$F33)</f>
        <v>康欣</v>
      </c>
      <c r="J33" s="41" t="n">
        <f aca="false">IF(OR($A33="",$I33=""),0,SUMIFS(业务流水!$H$5:$H$1504,业务流水!$E$5:$E$1504,$I33,业务流水!$D$5:$D$1504,"销项开票",业务流水!$C$5:$C$1504,$A33,业务流水!$Z$5:$Z$1504,"是"))</f>
        <v>10830.93</v>
      </c>
      <c r="K33" s="49" t="n">
        <f aca="false">IF(OR($A33="",$J33=0),"",SUMIFS(业务流水!$O$5:$O$1504,业务流水!$E$5:$E$1504,$I33,业务流水!$D$5:$D$1504,"销项开票",业务流水!$C$5:$C$1504,$A33,业务流水!$Z$5:$Z$1504,"是")/$J33)</f>
        <v>0.0200001292594449</v>
      </c>
      <c r="L33" s="41" t="n">
        <f aca="false">IF(OR($A33="",$I33=""),0,SUMIFS(业务流水!$O$5:$O$1504,业务流水!$E$5:$E$1504,$I33,业务流水!$D$5:$D$1504,"销项开票",业务流水!$C$5:$C$1504,$A33,业务流水!$Z$5:$Z$1504,"是"))</f>
        <v>216.62</v>
      </c>
      <c r="M33" s="43" t="n">
        <f aca="false">IF($A33="","",IF(AND($I33&lt;&gt;"",$J33&gt;0),$J33-$L33,$H33))</f>
        <v>10614.31</v>
      </c>
      <c r="N33" s="41" t="n">
        <f aca="false">IF($A33="","",SUMIFS(业务流水!$H$5:$H$1504,业务流水!$F$5:$F$1504,"*",业务流水!$D$5:$D$1504,"成本票",业务流水!$C$5:$C$1504,$A33,业务流水!$Z$5:$Z$1504,"是"))</f>
        <v>0</v>
      </c>
      <c r="O33" s="43" t="n">
        <f aca="false">IF($A33="","",ROUND($M33-$N33,2))</f>
        <v>10614.31</v>
      </c>
      <c r="P33" s="33" t="str">
        <f aca="false">IF($A33="","",IF(ABS($O33)&lt;1,"✓ 已开齐",IF($O33&gt;0,"还差成本票","多开了")))</f>
        <v>还差成本票</v>
      </c>
    </row>
    <row r="34" customFormat="false" ht="15.75" hidden="false" customHeight="true" outlineLevel="0" collapsed="false">
      <c r="A34" s="32" t="str">
        <f aca="false">IF(项目档案!$A34="","",项目档案!$A34)</f>
        <v>A029</v>
      </c>
      <c r="B34" s="40" t="str">
        <f aca="false">IF($A34="","",项目档案!$B34)</f>
        <v>重庆铜梁10kV梧桐村4.5.6社台区重过载治理工程等23个项目(2025年配网6批、业扩5批德誉佳施工)(重庆铜梁10kV侣新线铜安1社台区重过载治理工程)</v>
      </c>
      <c r="C34" s="32" t="str">
        <f aca="false">IF($A34="","",项目档案!$C34)</f>
        <v>民能</v>
      </c>
      <c r="D34" s="32" t="str">
        <f aca="false">IF($A34="","",项目档案!$D34)</f>
        <v>德誉嘉</v>
      </c>
      <c r="E34" s="41" t="n">
        <f aca="false">IF($A34="","",SUMIFS(业务流水!$H$5:$H$1504,业务流水!$E$5:$E$1504,$D34,业务流水!$D$5:$D$1504,"销项开票",业务流水!$C$5:$C$1504,$A34,业务流水!$Z$5:$Z$1504,"是"))</f>
        <v>9704.24</v>
      </c>
      <c r="F34" s="49" t="n">
        <f aca="false">IF(OR($A34="",$E34=0),"",SUMIFS(业务流水!$O$5:$O$1504,业务流水!$E$5:$E$1504,$D34,业务流水!$D$5:$D$1504,"销项开票",业务流水!$C$5:$C$1504,$A34,业务流水!$Z$5:$Z$1504,"是")/$E34)</f>
        <v>0.080000082438192</v>
      </c>
      <c r="G34" s="41" t="n">
        <f aca="false">IF($A34="","",SUMIFS(业务流水!$O$5:$O$1504,业务流水!$E$5:$E$1504,$D34,业务流水!$D$5:$D$1504,"销项开票",业务流水!$C$5:$C$1504,$A34,业务流水!$Z$5:$Z$1504,"是"))</f>
        <v>776.34</v>
      </c>
      <c r="H34" s="42" t="n">
        <f aca="false">IF($A34="","",$E34-$G34)</f>
        <v>8927.9</v>
      </c>
      <c r="I34" s="32" t="n">
        <f aca="false">IF($A34="","",项目档案!$F34)</f>
        <v>0</v>
      </c>
      <c r="J34" s="41" t="n">
        <f aca="false">IF(OR($A34="",$I34=""),0,SUMIFS(业务流水!$H$5:$H$1504,业务流水!$E$5:$E$1504,$I34,业务流水!$D$5:$D$1504,"销项开票",业务流水!$C$5:$C$1504,$A34,业务流水!$Z$5:$Z$1504,"是"))</f>
        <v>0</v>
      </c>
      <c r="K34" s="49" t="str">
        <f aca="false">IF(OR($A34="",$J34=0),"",SUMIFS(业务流水!$O$5:$O$1504,业务流水!$E$5:$E$1504,$I34,业务流水!$D$5:$D$1504,"销项开票",业务流水!$C$5:$C$1504,$A34,业务流水!$Z$5:$Z$1504,"是")/$J34)</f>
        <v/>
      </c>
      <c r="L34" s="41" t="n">
        <f aca="false">IF(OR($A34="",$I34=""),0,SUMIFS(业务流水!$O$5:$O$1504,业务流水!$E$5:$E$1504,$I34,业务流水!$D$5:$D$1504,"销项开票",业务流水!$C$5:$C$1504,$A34,业务流水!$Z$5:$Z$1504,"是"))</f>
        <v>0</v>
      </c>
      <c r="M34" s="43" t="n">
        <f aca="false">IF($A34="","",IF(AND($I34&lt;&gt;"",$J34&gt;0),$J34-$L34,$H34))</f>
        <v>8927.9</v>
      </c>
      <c r="N34" s="41" t="n">
        <f aca="false">IF($A34="","",SUMIFS(业务流水!$H$5:$H$1504,业务流水!$F$5:$F$1504,"*",业务流水!$D$5:$D$1504,"成本票",业务流水!$C$5:$C$1504,$A34,业务流水!$Z$5:$Z$1504,"是"))</f>
        <v>0</v>
      </c>
      <c r="O34" s="43" t="n">
        <f aca="false">IF($A34="","",ROUND($M34-$N34,2))</f>
        <v>8927.9</v>
      </c>
      <c r="P34" s="33" t="str">
        <f aca="false">IF($A34="","",IF(ABS($O34)&lt;1,"✓ 已开齐",IF($O34&gt;0,"还差成本票","多开了")))</f>
        <v>还差成本票</v>
      </c>
    </row>
    <row r="35" customFormat="false" ht="15.75" hidden="false" customHeight="true" outlineLevel="0" collapsed="false">
      <c r="A35" s="32" t="str">
        <f aca="false">IF(项目档案!$A35="","",项目档案!$A35)</f>
        <v>A030</v>
      </c>
      <c r="B35" s="40" t="str">
        <f aca="false">IF($A35="","",项目档案!$B35)</f>
        <v>重庆铜梁10kV梧桐村4.5.6社台区重过载治理工程等23个项目(2025年配网6批、业扩5批德誉佳施工)(重庆铜梁10kV侣新线铜安9社台区重过载治理工程)</v>
      </c>
      <c r="C35" s="32" t="str">
        <f aca="false">IF($A35="","",项目档案!$C35)</f>
        <v>民能</v>
      </c>
      <c r="D35" s="32" t="str">
        <f aca="false">IF($A35="","",项目档案!$D35)</f>
        <v>德誉嘉</v>
      </c>
      <c r="E35" s="41" t="n">
        <f aca="false">IF($A35="","",SUMIFS(业务流水!$H$5:$H$1504,业务流水!$E$5:$E$1504,$D35,业务流水!$D$5:$D$1504,"销项开票",业务流水!$C$5:$C$1504,$A35,业务流水!$Z$5:$Z$1504,"是"))</f>
        <v>8972.71</v>
      </c>
      <c r="F35" s="49" t="n">
        <f aca="false">IF(OR($A35="",$E35=0),"",SUMIFS(业务流水!$O$5:$O$1504,业务流水!$E$5:$E$1504,$D35,业务流水!$D$5:$D$1504,"销项开票",业务流水!$C$5:$C$1504,$A35,业务流水!$Z$5:$Z$1504,"是")/$E35)</f>
        <v>0.0800003566369581</v>
      </c>
      <c r="G35" s="41" t="n">
        <f aca="false">IF($A35="","",SUMIFS(业务流水!$O$5:$O$1504,业务流水!$E$5:$E$1504,$D35,业务流水!$D$5:$D$1504,"销项开票",业务流水!$C$5:$C$1504,$A35,业务流水!$Z$5:$Z$1504,"是"))</f>
        <v>717.82</v>
      </c>
      <c r="H35" s="42" t="n">
        <f aca="false">IF($A35="","",$E35-$G35)</f>
        <v>8254.89</v>
      </c>
      <c r="I35" s="32" t="n">
        <f aca="false">IF($A35="","",项目档案!$F35)</f>
        <v>0</v>
      </c>
      <c r="J35" s="41" t="n">
        <f aca="false">IF(OR($A35="",$I35=""),0,SUMIFS(业务流水!$H$5:$H$1504,业务流水!$E$5:$E$1504,$I35,业务流水!$D$5:$D$1504,"销项开票",业务流水!$C$5:$C$1504,$A35,业务流水!$Z$5:$Z$1504,"是"))</f>
        <v>0</v>
      </c>
      <c r="K35" s="49" t="str">
        <f aca="false">IF(OR($A35="",$J35=0),"",SUMIFS(业务流水!$O$5:$O$1504,业务流水!$E$5:$E$1504,$I35,业务流水!$D$5:$D$1504,"销项开票",业务流水!$C$5:$C$1504,$A35,业务流水!$Z$5:$Z$1504,"是")/$J35)</f>
        <v/>
      </c>
      <c r="L35" s="41" t="n">
        <f aca="false">IF(OR($A35="",$I35=""),0,SUMIFS(业务流水!$O$5:$O$1504,业务流水!$E$5:$E$1504,$I35,业务流水!$D$5:$D$1504,"销项开票",业务流水!$C$5:$C$1504,$A35,业务流水!$Z$5:$Z$1504,"是"))</f>
        <v>0</v>
      </c>
      <c r="M35" s="43" t="n">
        <f aca="false">IF($A35="","",IF(AND($I35&lt;&gt;"",$J35&gt;0),$J35-$L35,$H35))</f>
        <v>8254.89</v>
      </c>
      <c r="N35" s="41" t="n">
        <f aca="false">IF($A35="","",SUMIFS(业务流水!$H$5:$H$1504,业务流水!$F$5:$F$1504,"*",业务流水!$D$5:$D$1504,"成本票",业务流水!$C$5:$C$1504,$A35,业务流水!$Z$5:$Z$1504,"是"))</f>
        <v>0</v>
      </c>
      <c r="O35" s="43" t="n">
        <f aca="false">IF($A35="","",ROUND($M35-$N35,2))</f>
        <v>8254.89</v>
      </c>
      <c r="P35" s="33" t="str">
        <f aca="false">IF($A35="","",IF(ABS($O35)&lt;1,"✓ 已开齐",IF($O35&gt;0,"还差成本票","多开了")))</f>
        <v>还差成本票</v>
      </c>
    </row>
    <row r="36" customFormat="false" ht="15.75" hidden="false" customHeight="true" outlineLevel="0" collapsed="false">
      <c r="A36" s="32" t="str">
        <f aca="false">IF(项目档案!$A36="","",项目档案!$A36)</f>
        <v>A031</v>
      </c>
      <c r="B36" s="40" t="str">
        <f aca="false">IF($A36="","",项目档案!$B36)</f>
        <v>重庆铜梁10kV梧桐村4.5.6社台区重过载治理工程等23个项目(2025年配网6批、业扩5批德誉佳施工)(重庆铜梁10kV平双线群益7社台区重过载治理工程)</v>
      </c>
      <c r="C36" s="32" t="str">
        <f aca="false">IF($A36="","",项目档案!$C36)</f>
        <v>民能</v>
      </c>
      <c r="D36" s="32" t="str">
        <f aca="false">IF($A36="","",项目档案!$D36)</f>
        <v>德誉嘉</v>
      </c>
      <c r="E36" s="41" t="n">
        <f aca="false">IF($A36="","",SUMIFS(业务流水!$H$5:$H$1504,业务流水!$E$5:$E$1504,$D36,业务流水!$D$5:$D$1504,"销项开票",业务流水!$C$5:$C$1504,$A36,业务流水!$Z$5:$Z$1504,"是"))</f>
        <v>2056.75</v>
      </c>
      <c r="F36" s="49" t="n">
        <f aca="false">IF(OR($A36="",$E36=0),"",SUMIFS(业务流水!$O$5:$O$1504,业务流水!$E$5:$E$1504,$D36,业务流水!$D$5:$D$1504,"销项开票",业务流水!$C$5:$C$1504,$A36,业务流水!$Z$5:$Z$1504,"是")/$E36)</f>
        <v>0.08</v>
      </c>
      <c r="G36" s="41" t="n">
        <f aca="false">IF($A36="","",SUMIFS(业务流水!$O$5:$O$1504,业务流水!$E$5:$E$1504,$D36,业务流水!$D$5:$D$1504,"销项开票",业务流水!$C$5:$C$1504,$A36,业务流水!$Z$5:$Z$1504,"是"))</f>
        <v>164.54</v>
      </c>
      <c r="H36" s="42" t="n">
        <f aca="false">IF($A36="","",$E36-$G36)</f>
        <v>1892.21</v>
      </c>
      <c r="I36" s="32" t="n">
        <f aca="false">IF($A36="","",项目档案!$F36)</f>
        <v>0</v>
      </c>
      <c r="J36" s="41" t="n">
        <f aca="false">IF(OR($A36="",$I36=""),0,SUMIFS(业务流水!$H$5:$H$1504,业务流水!$E$5:$E$1504,$I36,业务流水!$D$5:$D$1504,"销项开票",业务流水!$C$5:$C$1504,$A36,业务流水!$Z$5:$Z$1504,"是"))</f>
        <v>0</v>
      </c>
      <c r="K36" s="49" t="str">
        <f aca="false">IF(OR($A36="",$J36=0),"",SUMIFS(业务流水!$O$5:$O$1504,业务流水!$E$5:$E$1504,$I36,业务流水!$D$5:$D$1504,"销项开票",业务流水!$C$5:$C$1504,$A36,业务流水!$Z$5:$Z$1504,"是")/$J36)</f>
        <v/>
      </c>
      <c r="L36" s="41" t="n">
        <f aca="false">IF(OR($A36="",$I36=""),0,SUMIFS(业务流水!$O$5:$O$1504,业务流水!$E$5:$E$1504,$I36,业务流水!$D$5:$D$1504,"销项开票",业务流水!$C$5:$C$1504,$A36,业务流水!$Z$5:$Z$1504,"是"))</f>
        <v>0</v>
      </c>
      <c r="M36" s="43" t="n">
        <f aca="false">IF($A36="","",IF(AND($I36&lt;&gt;"",$J36&gt;0),$J36-$L36,$H36))</f>
        <v>1892.21</v>
      </c>
      <c r="N36" s="41" t="n">
        <f aca="false">IF($A36="","",SUMIFS(业务流水!$H$5:$H$1504,业务流水!$F$5:$F$1504,"*",业务流水!$D$5:$D$1504,"成本票",业务流水!$C$5:$C$1504,$A36,业务流水!$Z$5:$Z$1504,"是"))</f>
        <v>0</v>
      </c>
      <c r="O36" s="43" t="n">
        <f aca="false">IF($A36="","",ROUND($M36-$N36,2))</f>
        <v>1892.21</v>
      </c>
      <c r="P36" s="33" t="str">
        <f aca="false">IF($A36="","",IF(ABS($O36)&lt;1,"✓ 已开齐",IF($O36&gt;0,"还差成本票","多开了")))</f>
        <v>还差成本票</v>
      </c>
    </row>
    <row r="37" customFormat="false" ht="15.75" hidden="false" customHeight="true" outlineLevel="0" collapsed="false">
      <c r="A37" s="32" t="str">
        <f aca="false">IF(项目档案!$A37="","",项目档案!$A37)</f>
        <v>A032</v>
      </c>
      <c r="B37" s="40" t="str">
        <f aca="false">IF($A37="","",项目档案!$B37)</f>
        <v>重庆铜梁10kV梧桐村4.5.6社台区重过载治理工程等23个项目(2025年配网6批、业扩5批德誉佳施工)(重庆铜梁10kV平镇线新桥社台区重过载治理工程)</v>
      </c>
      <c r="C37" s="32" t="str">
        <f aca="false">IF($A37="","",项目档案!$C37)</f>
        <v>民能</v>
      </c>
      <c r="D37" s="32" t="str">
        <f aca="false">IF($A37="","",项目档案!$D37)</f>
        <v>德誉嘉</v>
      </c>
      <c r="E37" s="41" t="n">
        <f aca="false">IF($A37="","",SUMIFS(业务流水!$H$5:$H$1504,业务流水!$E$5:$E$1504,$D37,业务流水!$D$5:$D$1504,"销项开票",业务流水!$C$5:$C$1504,$A37,业务流水!$Z$5:$Z$1504,"是"))</f>
        <v>5618.58</v>
      </c>
      <c r="F37" s="49" t="n">
        <f aca="false">IF(OR($A37="",$E37=0),"",SUMIFS(业务流水!$O$5:$O$1504,业务流水!$E$5:$E$1504,$D37,业务流水!$D$5:$D$1504,"销项开票",业务流水!$C$5:$C$1504,$A37,业务流水!$Z$5:$Z$1504,"是")/$E37)</f>
        <v>0.080000640731288</v>
      </c>
      <c r="G37" s="41" t="n">
        <f aca="false">IF($A37="","",SUMIFS(业务流水!$O$5:$O$1504,业务流水!$E$5:$E$1504,$D37,业务流水!$D$5:$D$1504,"销项开票",业务流水!$C$5:$C$1504,$A37,业务流水!$Z$5:$Z$1504,"是"))</f>
        <v>449.49</v>
      </c>
      <c r="H37" s="42" t="n">
        <f aca="false">IF($A37="","",$E37-$G37)</f>
        <v>5169.09</v>
      </c>
      <c r="I37" s="32" t="n">
        <f aca="false">IF($A37="","",项目档案!$F37)</f>
        <v>0</v>
      </c>
      <c r="J37" s="41" t="n">
        <f aca="false">IF(OR($A37="",$I37=""),0,SUMIFS(业务流水!$H$5:$H$1504,业务流水!$E$5:$E$1504,$I37,业务流水!$D$5:$D$1504,"销项开票",业务流水!$C$5:$C$1504,$A37,业务流水!$Z$5:$Z$1504,"是"))</f>
        <v>0</v>
      </c>
      <c r="K37" s="49" t="str">
        <f aca="false">IF(OR($A37="",$J37=0),"",SUMIFS(业务流水!$O$5:$O$1504,业务流水!$E$5:$E$1504,$I37,业务流水!$D$5:$D$1504,"销项开票",业务流水!$C$5:$C$1504,$A37,业务流水!$Z$5:$Z$1504,"是")/$J37)</f>
        <v/>
      </c>
      <c r="L37" s="41" t="n">
        <f aca="false">IF(OR($A37="",$I37=""),0,SUMIFS(业务流水!$O$5:$O$1504,业务流水!$E$5:$E$1504,$I37,业务流水!$D$5:$D$1504,"销项开票",业务流水!$C$5:$C$1504,$A37,业务流水!$Z$5:$Z$1504,"是"))</f>
        <v>0</v>
      </c>
      <c r="M37" s="43" t="n">
        <f aca="false">IF($A37="","",IF(AND($I37&lt;&gt;"",$J37&gt;0),$J37-$L37,$H37))</f>
        <v>5169.09</v>
      </c>
      <c r="N37" s="41" t="n">
        <f aca="false">IF($A37="","",SUMIFS(业务流水!$H$5:$H$1504,业务流水!$F$5:$F$1504,"*",业务流水!$D$5:$D$1504,"成本票",业务流水!$C$5:$C$1504,$A37,业务流水!$Z$5:$Z$1504,"是"))</f>
        <v>0</v>
      </c>
      <c r="O37" s="43" t="n">
        <f aca="false">IF($A37="","",ROUND($M37-$N37,2))</f>
        <v>5169.09</v>
      </c>
      <c r="P37" s="33" t="str">
        <f aca="false">IF($A37="","",IF(ABS($O37)&lt;1,"✓ 已开齐",IF($O37&gt;0,"还差成本票","多开了")))</f>
        <v>还差成本票</v>
      </c>
    </row>
    <row r="38" customFormat="false" ht="15.75" hidden="false" customHeight="true" outlineLevel="0" collapsed="false">
      <c r="A38" s="32" t="str">
        <f aca="false">IF(项目档案!$A38="","",项目档案!$A38)</f>
        <v>A033</v>
      </c>
      <c r="B38" s="40" t="str">
        <f aca="false">IF($A38="","",项目档案!$B38)</f>
        <v>重庆铜梁10kV梧桐村4.5.6社台区重过载治理工程等23个项目(2025年配网6批、业扩5批德誉佳施工）(重庆铜梁10kV侣新线凤飞7社台区重过载治理工程)</v>
      </c>
      <c r="C38" s="32" t="str">
        <f aca="false">IF($A38="","",项目档案!$C38)</f>
        <v>民能</v>
      </c>
      <c r="D38" s="32" t="str">
        <f aca="false">IF($A38="","",项目档案!$D38)</f>
        <v>德誉嘉</v>
      </c>
      <c r="E38" s="41" t="n">
        <f aca="false">IF($A38="","",SUMIFS(业务流水!$H$5:$H$1504,业务流水!$E$5:$E$1504,$D38,业务流水!$D$5:$D$1504,"销项开票",业务流水!$C$5:$C$1504,$A38,业务流水!$Z$5:$Z$1504,"是"))</f>
        <v>6328.34</v>
      </c>
      <c r="F38" s="49" t="n">
        <f aca="false">IF(OR($A38="",$E38=0),"",SUMIFS(业务流水!$O$5:$O$1504,业务流水!$E$5:$E$1504,$D38,业务流水!$D$5:$D$1504,"销项开票",业务流水!$C$5:$C$1504,$A38,业务流水!$Z$5:$Z$1504,"是")/$E38)</f>
        <v>0.0800004424541033</v>
      </c>
      <c r="G38" s="41" t="n">
        <f aca="false">IF($A38="","",SUMIFS(业务流水!$O$5:$O$1504,业务流水!$E$5:$E$1504,$D38,业务流水!$D$5:$D$1504,"销项开票",业务流水!$C$5:$C$1504,$A38,业务流水!$Z$5:$Z$1504,"是"))</f>
        <v>506.27</v>
      </c>
      <c r="H38" s="42" t="n">
        <f aca="false">IF($A38="","",$E38-$G38)</f>
        <v>5822.07</v>
      </c>
      <c r="I38" s="32" t="n">
        <f aca="false">IF($A38="","",项目档案!$F38)</f>
        <v>0</v>
      </c>
      <c r="J38" s="41" t="n">
        <f aca="false">IF(OR($A38="",$I38=""),0,SUMIFS(业务流水!$H$5:$H$1504,业务流水!$E$5:$E$1504,$I38,业务流水!$D$5:$D$1504,"销项开票",业务流水!$C$5:$C$1504,$A38,业务流水!$Z$5:$Z$1504,"是"))</f>
        <v>0</v>
      </c>
      <c r="K38" s="49" t="str">
        <f aca="false">IF(OR($A38="",$J38=0),"",SUMIFS(业务流水!$O$5:$O$1504,业务流水!$E$5:$E$1504,$I38,业务流水!$D$5:$D$1504,"销项开票",业务流水!$C$5:$C$1504,$A38,业务流水!$Z$5:$Z$1504,"是")/$J38)</f>
        <v/>
      </c>
      <c r="L38" s="41" t="n">
        <f aca="false">IF(OR($A38="",$I38=""),0,SUMIFS(业务流水!$O$5:$O$1504,业务流水!$E$5:$E$1504,$I38,业务流水!$D$5:$D$1504,"销项开票",业务流水!$C$5:$C$1504,$A38,业务流水!$Z$5:$Z$1504,"是"))</f>
        <v>0</v>
      </c>
      <c r="M38" s="43" t="n">
        <f aca="false">IF($A38="","",IF(AND($I38&lt;&gt;"",$J38&gt;0),$J38-$L38,$H38))</f>
        <v>5822.07</v>
      </c>
      <c r="N38" s="41" t="n">
        <f aca="false">IF($A38="","",SUMIFS(业务流水!$H$5:$H$1504,业务流水!$F$5:$F$1504,"*",业务流水!$D$5:$D$1504,"成本票",业务流水!$C$5:$C$1504,$A38,业务流水!$Z$5:$Z$1504,"是"))</f>
        <v>0</v>
      </c>
      <c r="O38" s="43" t="n">
        <f aca="false">IF($A38="","",ROUND($M38-$N38,2))</f>
        <v>5822.07</v>
      </c>
      <c r="P38" s="33" t="str">
        <f aca="false">IF($A38="","",IF(ABS($O38)&lt;1,"✓ 已开齐",IF($O38&gt;0,"还差成本票","多开了")))</f>
        <v>还差成本票</v>
      </c>
    </row>
    <row r="39" customFormat="false" ht="15.75" hidden="false" customHeight="true" outlineLevel="0" collapsed="false">
      <c r="A39" s="32" t="str">
        <f aca="false">IF(项目档案!$A39="","",项目档案!$A39)</f>
        <v>A034</v>
      </c>
      <c r="B39" s="40" t="str">
        <f aca="false">IF($A39="","",项目档案!$B39)</f>
        <v>铜梁公司2026年配电专业应急抢修抢险等外包项目（永嘉所许家3社1等台区2个隐患治理项目）</v>
      </c>
      <c r="C39" s="32" t="str">
        <f aca="false">IF($A39="","",项目档案!$C39)</f>
        <v>民能</v>
      </c>
      <c r="D39" s="32" t="str">
        <f aca="false">IF($A39="","",项目档案!$D39)</f>
        <v>华城</v>
      </c>
      <c r="E39" s="41" t="n">
        <f aca="false">IF($A39="","",SUMIFS(业务流水!$H$5:$H$1504,业务流水!$E$5:$E$1504,$D39,业务流水!$D$5:$D$1504,"销项开票",业务流水!$C$5:$C$1504,$A39,业务流水!$Z$5:$Z$1504,"是"))</f>
        <v>3801.93</v>
      </c>
      <c r="F39" s="49" t="n">
        <f aca="false">IF(OR($A39="",$E39=0),"",SUMIFS(业务流水!$O$5:$O$1504,业务流水!$E$5:$E$1504,$D39,业务流水!$D$5:$D$1504,"销项开票",业务流水!$C$5:$C$1504,$A39,业务流水!$Z$5:$Z$1504,"是")/$E39)</f>
        <v>0.0200003682340285</v>
      </c>
      <c r="G39" s="41" t="n">
        <f aca="false">IF($A39="","",SUMIFS(业务流水!$O$5:$O$1504,业务流水!$E$5:$E$1504,$D39,业务流水!$D$5:$D$1504,"销项开票",业务流水!$C$5:$C$1504,$A39,业务流水!$Z$5:$Z$1504,"是"))</f>
        <v>76.04</v>
      </c>
      <c r="H39" s="42" t="n">
        <f aca="false">IF($A39="","",$E39-$G39)</f>
        <v>3725.89</v>
      </c>
      <c r="I39" s="32" t="n">
        <f aca="false">IF($A39="","",项目档案!$F39)</f>
        <v>0</v>
      </c>
      <c r="J39" s="41" t="n">
        <f aca="false">IF(OR($A39="",$I39=""),0,SUMIFS(业务流水!$H$5:$H$1504,业务流水!$E$5:$E$1504,$I39,业务流水!$D$5:$D$1504,"销项开票",业务流水!$C$5:$C$1504,$A39,业务流水!$Z$5:$Z$1504,"是"))</f>
        <v>0</v>
      </c>
      <c r="K39" s="49" t="str">
        <f aca="false">IF(OR($A39="",$J39=0),"",SUMIFS(业务流水!$O$5:$O$1504,业务流水!$E$5:$E$1504,$I39,业务流水!$D$5:$D$1504,"销项开票",业务流水!$C$5:$C$1504,$A39,业务流水!$Z$5:$Z$1504,"是")/$J39)</f>
        <v/>
      </c>
      <c r="L39" s="41" t="n">
        <f aca="false">IF(OR($A39="",$I39=""),0,SUMIFS(业务流水!$O$5:$O$1504,业务流水!$E$5:$E$1504,$I39,业务流水!$D$5:$D$1504,"销项开票",业务流水!$C$5:$C$1504,$A39,业务流水!$Z$5:$Z$1504,"是"))</f>
        <v>0</v>
      </c>
      <c r="M39" s="43" t="n">
        <f aca="false">IF($A39="","",IF(AND($I39&lt;&gt;"",$J39&gt;0),$J39-$L39,$H39))</f>
        <v>3725.89</v>
      </c>
      <c r="N39" s="41" t="n">
        <f aca="false">IF($A39="","",SUMIFS(业务流水!$H$5:$H$1504,业务流水!$F$5:$F$1504,"*",业务流水!$D$5:$D$1504,"成本票",业务流水!$C$5:$C$1504,$A39,业务流水!$Z$5:$Z$1504,"是"))</f>
        <v>0</v>
      </c>
      <c r="O39" s="43" t="n">
        <f aca="false">IF($A39="","",ROUND($M39-$N39,2))</f>
        <v>3725.89</v>
      </c>
      <c r="P39" s="33" t="str">
        <f aca="false">IF($A39="","",IF(ABS($O39)&lt;1,"✓ 已开齐",IF($O39&gt;0,"还差成本票","多开了")))</f>
        <v>还差成本票</v>
      </c>
    </row>
    <row r="40" customFormat="false" ht="15.75" hidden="false" customHeight="true" outlineLevel="0" collapsed="false">
      <c r="A40" s="32" t="str">
        <f aca="false">IF(项目档案!$A40="","",项目档案!$A40)</f>
        <v>A035</v>
      </c>
      <c r="B40" s="40" t="str">
        <f aca="false">IF($A40="","",项目档案!$B40)</f>
        <v>铜梁公司2026年配电专业应急抢修抢险等外包项目（永嘉所义和8社等台区3个对地不足隐患治理项目）</v>
      </c>
      <c r="C40" s="32" t="str">
        <f aca="false">IF($A40="","",项目档案!$C40)</f>
        <v>民能</v>
      </c>
      <c r="D40" s="32" t="str">
        <f aca="false">IF($A40="","",项目档案!$D40)</f>
        <v>华城</v>
      </c>
      <c r="E40" s="41" t="n">
        <f aca="false">IF($A40="","",SUMIFS(业务流水!$H$5:$H$1504,业务流水!$E$5:$E$1504,$D40,业务流水!$D$5:$D$1504,"销项开票",业务流水!$C$5:$C$1504,$A40,业务流水!$Z$5:$Z$1504,"是"))</f>
        <v>5842.18</v>
      </c>
      <c r="F40" s="49" t="n">
        <f aca="false">IF(OR($A40="",$E40=0),"",SUMIFS(业务流水!$O$5:$O$1504,业务流水!$E$5:$E$1504,$D40,业务流水!$D$5:$D$1504,"销项开票",业务流水!$C$5:$C$1504,$A40,业务流水!$Z$5:$Z$1504,"是")/$E40)</f>
        <v>0.0199993837916668</v>
      </c>
      <c r="G40" s="41" t="n">
        <f aca="false">IF($A40="","",SUMIFS(业务流水!$O$5:$O$1504,业务流水!$E$5:$E$1504,$D40,业务流水!$D$5:$D$1504,"销项开票",业务流水!$C$5:$C$1504,$A40,业务流水!$Z$5:$Z$1504,"是"))</f>
        <v>116.84</v>
      </c>
      <c r="H40" s="42" t="n">
        <f aca="false">IF($A40="","",$E40-$G40)</f>
        <v>5725.34</v>
      </c>
      <c r="I40" s="32" t="n">
        <f aca="false">IF($A40="","",项目档案!$F40)</f>
        <v>0</v>
      </c>
      <c r="J40" s="41" t="n">
        <f aca="false">IF(OR($A40="",$I40=""),0,SUMIFS(业务流水!$H$5:$H$1504,业务流水!$E$5:$E$1504,$I40,业务流水!$D$5:$D$1504,"销项开票",业务流水!$C$5:$C$1504,$A40,业务流水!$Z$5:$Z$1504,"是"))</f>
        <v>0</v>
      </c>
      <c r="K40" s="49" t="str">
        <f aca="false">IF(OR($A40="",$J40=0),"",SUMIFS(业务流水!$O$5:$O$1504,业务流水!$E$5:$E$1504,$I40,业务流水!$D$5:$D$1504,"销项开票",业务流水!$C$5:$C$1504,$A40,业务流水!$Z$5:$Z$1504,"是")/$J40)</f>
        <v/>
      </c>
      <c r="L40" s="41" t="n">
        <f aca="false">IF(OR($A40="",$I40=""),0,SUMIFS(业务流水!$O$5:$O$1504,业务流水!$E$5:$E$1504,$I40,业务流水!$D$5:$D$1504,"销项开票",业务流水!$C$5:$C$1504,$A40,业务流水!$Z$5:$Z$1504,"是"))</f>
        <v>0</v>
      </c>
      <c r="M40" s="43" t="n">
        <f aca="false">IF($A40="","",IF(AND($I40&lt;&gt;"",$J40&gt;0),$J40-$L40,$H40))</f>
        <v>5725.34</v>
      </c>
      <c r="N40" s="41" t="n">
        <f aca="false">IF($A40="","",SUMIFS(业务流水!$H$5:$H$1504,业务流水!$F$5:$F$1504,"*",业务流水!$D$5:$D$1504,"成本票",业务流水!$C$5:$C$1504,$A40,业务流水!$Z$5:$Z$1504,"是"))</f>
        <v>0</v>
      </c>
      <c r="O40" s="43" t="n">
        <f aca="false">IF($A40="","",ROUND($M40-$N40,2))</f>
        <v>5725.34</v>
      </c>
      <c r="P40" s="33" t="str">
        <f aca="false">IF($A40="","",IF(ABS($O40)&lt;1,"✓ 已开齐",IF($O40&gt;0,"还差成本票","多开了")))</f>
        <v>还差成本票</v>
      </c>
    </row>
    <row r="41" customFormat="false" ht="15.75" hidden="false" customHeight="true" outlineLevel="0" collapsed="false">
      <c r="A41" s="32" t="str">
        <f aca="false">IF(项目档案!$A41="","",项目档案!$A41)</f>
        <v>A036</v>
      </c>
      <c r="B41" s="40" t="str">
        <f aca="false">IF($A41="","",项目档案!$B41)</f>
        <v>铜梁公司2026年配电专业应急抢修抢险等外包项目（永嘉所高丰3社等台区4个应急抢修项目）</v>
      </c>
      <c r="C41" s="32" t="str">
        <f aca="false">IF($A41="","",项目档案!$C41)</f>
        <v>民能</v>
      </c>
      <c r="D41" s="32" t="str">
        <f aca="false">IF($A41="","",项目档案!$D41)</f>
        <v>华城</v>
      </c>
      <c r="E41" s="41" t="n">
        <f aca="false">IF($A41="","",SUMIFS(业务流水!$H$5:$H$1504,业务流水!$E$5:$E$1504,$D41,业务流水!$D$5:$D$1504,"销项开票",业务流水!$C$5:$C$1504,$A41,业务流水!$Z$5:$Z$1504,"是"))</f>
        <v>5861.71</v>
      </c>
      <c r="F41" s="49" t="n">
        <f aca="false">IF(OR($A41="",$E41=0),"",SUMIFS(业务流水!$O$5:$O$1504,业务流水!$E$5:$E$1504,$D41,业务流水!$D$5:$D$1504,"销项开票",业务流水!$C$5:$C$1504,$A41,业务流水!$Z$5:$Z$1504,"是")/$E41)</f>
        <v>0.0199992834855358</v>
      </c>
      <c r="G41" s="41" t="n">
        <f aca="false">IF($A41="","",SUMIFS(业务流水!$O$5:$O$1504,业务流水!$E$5:$E$1504,$D41,业务流水!$D$5:$D$1504,"销项开票",业务流水!$C$5:$C$1504,$A41,业务流水!$Z$5:$Z$1504,"是"))</f>
        <v>117.23</v>
      </c>
      <c r="H41" s="42" t="n">
        <f aca="false">IF($A41="","",$E41-$G41)</f>
        <v>5744.48</v>
      </c>
      <c r="I41" s="32" t="n">
        <f aca="false">IF($A41="","",项目档案!$F41)</f>
        <v>0</v>
      </c>
      <c r="J41" s="41" t="n">
        <f aca="false">IF(OR($A41="",$I41=""),0,SUMIFS(业务流水!$H$5:$H$1504,业务流水!$E$5:$E$1504,$I41,业务流水!$D$5:$D$1504,"销项开票",业务流水!$C$5:$C$1504,$A41,业务流水!$Z$5:$Z$1504,"是"))</f>
        <v>0</v>
      </c>
      <c r="K41" s="49" t="str">
        <f aca="false">IF(OR($A41="",$J41=0),"",SUMIFS(业务流水!$O$5:$O$1504,业务流水!$E$5:$E$1504,$I41,业务流水!$D$5:$D$1504,"销项开票",业务流水!$C$5:$C$1504,$A41,业务流水!$Z$5:$Z$1504,"是")/$J41)</f>
        <v/>
      </c>
      <c r="L41" s="41" t="n">
        <f aca="false">IF(OR($A41="",$I41=""),0,SUMIFS(业务流水!$O$5:$O$1504,业务流水!$E$5:$E$1504,$I41,业务流水!$D$5:$D$1504,"销项开票",业务流水!$C$5:$C$1504,$A41,业务流水!$Z$5:$Z$1504,"是"))</f>
        <v>0</v>
      </c>
      <c r="M41" s="43" t="n">
        <f aca="false">IF($A41="","",IF(AND($I41&lt;&gt;"",$J41&gt;0),$J41-$L41,$H41))</f>
        <v>5744.48</v>
      </c>
      <c r="N41" s="41" t="n">
        <f aca="false">IF($A41="","",SUMIFS(业务流水!$H$5:$H$1504,业务流水!$F$5:$F$1504,"*",业务流水!$D$5:$D$1504,"成本票",业务流水!$C$5:$C$1504,$A41,业务流水!$Z$5:$Z$1504,"是"))</f>
        <v>0</v>
      </c>
      <c r="O41" s="43" t="n">
        <f aca="false">IF($A41="","",ROUND($M41-$N41,2))</f>
        <v>5744.48</v>
      </c>
      <c r="P41" s="33" t="str">
        <f aca="false">IF($A41="","",IF(ABS($O41)&lt;1,"✓ 已开齐",IF($O41&gt;0,"还差成本票","多开了")))</f>
        <v>还差成本票</v>
      </c>
    </row>
    <row r="42" customFormat="false" ht="15.75" hidden="false" customHeight="true" outlineLevel="0" collapsed="false">
      <c r="A42" s="32" t="str">
        <f aca="false">IF(项目档案!$A42="","",项目档案!$A42)</f>
        <v>A037</v>
      </c>
      <c r="B42" s="40" t="str">
        <f aca="false">IF($A42="","",项目档案!$B42)</f>
        <v>铜梁公司2026年35kV输电专业应急抢修检修外包项目（输电运检中心2026年35kV线路接地隐患消除等3个项目）</v>
      </c>
      <c r="C42" s="32" t="str">
        <f aca="false">IF($A42="","",项目档案!$C42)</f>
        <v>民能</v>
      </c>
      <c r="D42" s="32" t="str">
        <f aca="false">IF($A42="","",项目档案!$D42)</f>
        <v>华城</v>
      </c>
      <c r="E42" s="41" t="n">
        <f aca="false">IF($A42="","",SUMIFS(业务流水!$H$5:$H$1504,业务流水!$E$5:$E$1504,$D42,业务流水!$D$5:$D$1504,"销项开票",业务流水!$C$5:$C$1504,$A42,业务流水!$Z$5:$Z$1504,"是"))</f>
        <v>6168.71</v>
      </c>
      <c r="F42" s="49" t="n">
        <f aca="false">IF(OR($A42="",$E42=0),"",SUMIFS(业务流水!$O$5:$O$1504,业务流水!$E$5:$E$1504,$D42,业务流水!$D$5:$D$1504,"销项开票",业务流水!$C$5:$C$1504,$A42,业务流水!$Z$5:$Z$1504,"是")/$E42)</f>
        <v>0.0199993191445213</v>
      </c>
      <c r="G42" s="41" t="n">
        <f aca="false">IF($A42="","",SUMIFS(业务流水!$O$5:$O$1504,业务流水!$E$5:$E$1504,$D42,业务流水!$D$5:$D$1504,"销项开票",业务流水!$C$5:$C$1504,$A42,业务流水!$Z$5:$Z$1504,"是"))</f>
        <v>123.37</v>
      </c>
      <c r="H42" s="42" t="n">
        <f aca="false">IF($A42="","",$E42-$G42)</f>
        <v>6045.34</v>
      </c>
      <c r="I42" s="32" t="n">
        <f aca="false">IF($A42="","",项目档案!$F42)</f>
        <v>0</v>
      </c>
      <c r="J42" s="41" t="n">
        <f aca="false">IF(OR($A42="",$I42=""),0,SUMIFS(业务流水!$H$5:$H$1504,业务流水!$E$5:$E$1504,$I42,业务流水!$D$5:$D$1504,"销项开票",业务流水!$C$5:$C$1504,$A42,业务流水!$Z$5:$Z$1504,"是"))</f>
        <v>0</v>
      </c>
      <c r="K42" s="49" t="str">
        <f aca="false">IF(OR($A42="",$J42=0),"",SUMIFS(业务流水!$O$5:$O$1504,业务流水!$E$5:$E$1504,$I42,业务流水!$D$5:$D$1504,"销项开票",业务流水!$C$5:$C$1504,$A42,业务流水!$Z$5:$Z$1504,"是")/$J42)</f>
        <v/>
      </c>
      <c r="L42" s="41" t="n">
        <f aca="false">IF(OR($A42="",$I42=""),0,SUMIFS(业务流水!$O$5:$O$1504,业务流水!$E$5:$E$1504,$I42,业务流水!$D$5:$D$1504,"销项开票",业务流水!$C$5:$C$1504,$A42,业务流水!$Z$5:$Z$1504,"是"))</f>
        <v>0</v>
      </c>
      <c r="M42" s="43" t="n">
        <f aca="false">IF($A42="","",IF(AND($I42&lt;&gt;"",$J42&gt;0),$J42-$L42,$H42))</f>
        <v>6045.34</v>
      </c>
      <c r="N42" s="41" t="n">
        <f aca="false">IF($A42="","",SUMIFS(业务流水!$H$5:$H$1504,业务流水!$F$5:$F$1504,"*",业务流水!$D$5:$D$1504,"成本票",业务流水!$C$5:$C$1504,$A42,业务流水!$Z$5:$Z$1504,"是"))</f>
        <v>0</v>
      </c>
      <c r="O42" s="43" t="n">
        <f aca="false">IF($A42="","",ROUND($M42-$N42,2))</f>
        <v>6045.34</v>
      </c>
      <c r="P42" s="33" t="str">
        <f aca="false">IF($A42="","",IF(ABS($O42)&lt;1,"✓ 已开齐",IF($O42&gt;0,"还差成本票","多开了")))</f>
        <v>还差成本票</v>
      </c>
    </row>
    <row r="43" customFormat="false" ht="15.75" hidden="false" customHeight="true" outlineLevel="0" collapsed="false">
      <c r="A43" s="32" t="str">
        <f aca="false">IF(项目档案!$A43="","",项目档案!$A43)</f>
        <v>A038</v>
      </c>
      <c r="B43" s="40" t="str">
        <f aca="false">IF($A43="","",项目档案!$B43)</f>
        <v>铜梁公司2026年配电专业应急抢修抢险等外包项目（永嘉所10kV西新线等2条线路综合检修项目）</v>
      </c>
      <c r="C43" s="32" t="str">
        <f aca="false">IF($A43="","",项目档案!$C43)</f>
        <v>民能</v>
      </c>
      <c r="D43" s="32" t="str">
        <f aca="false">IF($A43="","",项目档案!$D43)</f>
        <v>华城</v>
      </c>
      <c r="E43" s="41" t="n">
        <f aca="false">IF($A43="","",SUMIFS(业务流水!$H$5:$H$1504,业务流水!$E$5:$E$1504,$D43,业务流水!$D$5:$D$1504,"销项开票",业务流水!$C$5:$C$1504,$A43,业务流水!$Z$5:$Z$1504,"是"))</f>
        <v>2764.33</v>
      </c>
      <c r="F43" s="49" t="n">
        <f aca="false">IF(OR($A43="",$E43=0),"",SUMIFS(业务流水!$O$5:$O$1504,业务流水!$E$5:$E$1504,$D43,业务流水!$D$5:$D$1504,"销项开票",业务流水!$C$5:$C$1504,$A43,业务流水!$Z$5:$Z$1504,"是")/$E43)</f>
        <v>0.0200012299544555</v>
      </c>
      <c r="G43" s="41" t="n">
        <f aca="false">IF($A43="","",SUMIFS(业务流水!$O$5:$O$1504,业务流水!$E$5:$E$1504,$D43,业务流水!$D$5:$D$1504,"销项开票",业务流水!$C$5:$C$1504,$A43,业务流水!$Z$5:$Z$1504,"是"))</f>
        <v>55.29</v>
      </c>
      <c r="H43" s="42" t="n">
        <f aca="false">IF($A43="","",$E43-$G43)</f>
        <v>2709.04</v>
      </c>
      <c r="I43" s="32" t="n">
        <f aca="false">IF($A43="","",项目档案!$F43)</f>
        <v>0</v>
      </c>
      <c r="J43" s="41" t="n">
        <f aca="false">IF(OR($A43="",$I43=""),0,SUMIFS(业务流水!$H$5:$H$1504,业务流水!$E$5:$E$1504,$I43,业务流水!$D$5:$D$1504,"销项开票",业务流水!$C$5:$C$1504,$A43,业务流水!$Z$5:$Z$1504,"是"))</f>
        <v>0</v>
      </c>
      <c r="K43" s="49" t="str">
        <f aca="false">IF(OR($A43="",$J43=0),"",SUMIFS(业务流水!$O$5:$O$1504,业务流水!$E$5:$E$1504,$I43,业务流水!$D$5:$D$1504,"销项开票",业务流水!$C$5:$C$1504,$A43,业务流水!$Z$5:$Z$1504,"是")/$J43)</f>
        <v/>
      </c>
      <c r="L43" s="41" t="n">
        <f aca="false">IF(OR($A43="",$I43=""),0,SUMIFS(业务流水!$O$5:$O$1504,业务流水!$E$5:$E$1504,$I43,业务流水!$D$5:$D$1504,"销项开票",业务流水!$C$5:$C$1504,$A43,业务流水!$Z$5:$Z$1504,"是"))</f>
        <v>0</v>
      </c>
      <c r="M43" s="43" t="n">
        <f aca="false">IF($A43="","",IF(AND($I43&lt;&gt;"",$J43&gt;0),$J43-$L43,$H43))</f>
        <v>2709.04</v>
      </c>
      <c r="N43" s="41" t="n">
        <f aca="false">IF($A43="","",SUMIFS(业务流水!$H$5:$H$1504,业务流水!$F$5:$F$1504,"*",业务流水!$D$5:$D$1504,"成本票",业务流水!$C$5:$C$1504,$A43,业务流水!$Z$5:$Z$1504,"是"))</f>
        <v>2709.04</v>
      </c>
      <c r="O43" s="43" t="n">
        <f aca="false">IF($A43="","",ROUND($M43-$N43,2))</f>
        <v>0</v>
      </c>
      <c r="P43" s="33" t="str">
        <f aca="false">IF($A43="","",IF(ABS($O43)&lt;1,"✓ 已开齐",IF($O43&gt;0,"还差成本票","多开了")))</f>
        <v>✓ 已开齐</v>
      </c>
    </row>
    <row r="44" customFormat="false" ht="15.75" hidden="false" customHeight="true" outlineLevel="0" collapsed="false">
      <c r="A44" s="32" t="str">
        <f aca="false">IF(项目档案!$A44="","",项目档案!$A44)</f>
        <v>A039</v>
      </c>
      <c r="B44" s="40" t="str">
        <f aca="false">IF($A44="","",项目档案!$B44)</f>
        <v>重庆民能实业有限公司2025-2026年度工程用特种设备租赁服务框架采购(铜梁公司2026年配电专业应急抢修抢险等外包项目(永嘉所许家3
社1等台区2个隐患治理项目))</v>
      </c>
      <c r="C44" s="32" t="str">
        <f aca="false">IF($A44="","",项目档案!$C44)</f>
        <v>民能</v>
      </c>
      <c r="D44" s="32" t="str">
        <f aca="false">IF($A44="","",项目档案!$D44)</f>
        <v>德誉嘉</v>
      </c>
      <c r="E44" s="41" t="n">
        <f aca="false">IF($A44="","",SUMIFS(业务流水!$H$5:$H$1504,业务流水!$E$5:$E$1504,$D44,业务流水!$D$5:$D$1504,"销项开票",业务流水!$C$5:$C$1504,$A44,业务流水!$Z$5:$Z$1504,"是"))</f>
        <v>1238.05</v>
      </c>
      <c r="F44" s="49" t="n">
        <f aca="false">IF(OR($A44="",$E44=0),"",SUMIFS(业务流水!$O$5:$O$1504,业务流水!$E$5:$E$1504,$D44,业务流水!$D$5:$D$1504,"销项开票",业务流水!$C$5:$C$1504,$A44,业务流水!$Z$5:$Z$1504,"是")/$E44)</f>
        <v>0.0399983845563588</v>
      </c>
      <c r="G44" s="41" t="n">
        <f aca="false">IF($A44="","",SUMIFS(业务流水!$O$5:$O$1504,业务流水!$E$5:$E$1504,$D44,业务流水!$D$5:$D$1504,"销项开票",业务流水!$C$5:$C$1504,$A44,业务流水!$Z$5:$Z$1504,"是"))</f>
        <v>49.52</v>
      </c>
      <c r="H44" s="42" t="n">
        <f aca="false">IF($A44="","",$E44-$G44)</f>
        <v>1188.53</v>
      </c>
      <c r="I44" s="32" t="n">
        <f aca="false">IF($A44="","",项目档案!$F44)</f>
        <v>0</v>
      </c>
      <c r="J44" s="41" t="n">
        <f aca="false">IF(OR($A44="",$I44=""),0,SUMIFS(业务流水!$H$5:$H$1504,业务流水!$E$5:$E$1504,$I44,业务流水!$D$5:$D$1504,"销项开票",业务流水!$C$5:$C$1504,$A44,业务流水!$Z$5:$Z$1504,"是"))</f>
        <v>0</v>
      </c>
      <c r="K44" s="49" t="str">
        <f aca="false">IF(OR($A44="",$J44=0),"",SUMIFS(业务流水!$O$5:$O$1504,业务流水!$E$5:$E$1504,$I44,业务流水!$D$5:$D$1504,"销项开票",业务流水!$C$5:$C$1504,$A44,业务流水!$Z$5:$Z$1504,"是")/$J44)</f>
        <v/>
      </c>
      <c r="L44" s="41" t="n">
        <f aca="false">IF(OR($A44="",$I44=""),0,SUMIFS(业务流水!$O$5:$O$1504,业务流水!$E$5:$E$1504,$I44,业务流水!$D$5:$D$1504,"销项开票",业务流水!$C$5:$C$1504,$A44,业务流水!$Z$5:$Z$1504,"是"))</f>
        <v>0</v>
      </c>
      <c r="M44" s="43" t="n">
        <f aca="false">IF($A44="","",IF(AND($I44&lt;&gt;"",$J44&gt;0),$J44-$L44,$H44))</f>
        <v>1188.53</v>
      </c>
      <c r="N44" s="41" t="n">
        <f aca="false">IF($A44="","",SUMIFS(业务流水!$H$5:$H$1504,业务流水!$F$5:$F$1504,"*",业务流水!$D$5:$D$1504,"成本票",业务流水!$C$5:$C$1504,$A44,业务流水!$Z$5:$Z$1504,"是"))</f>
        <v>0</v>
      </c>
      <c r="O44" s="43" t="n">
        <f aca="false">IF($A44="","",ROUND($M44-$N44,2))</f>
        <v>1188.53</v>
      </c>
      <c r="P44" s="33" t="str">
        <f aca="false">IF($A44="","",IF(ABS($O44)&lt;1,"✓ 已开齐",IF($O44&gt;0,"还差成本票","多开了")))</f>
        <v>还差成本票</v>
      </c>
    </row>
    <row r="45" customFormat="false" ht="15.75" hidden="false" customHeight="true" outlineLevel="0" collapsed="false">
      <c r="A45" s="32" t="str">
        <f aca="false">IF(项目档案!$A45="","",项目档案!$A45)</f>
        <v>A040</v>
      </c>
      <c r="B45" s="40" t="str">
        <f aca="false">IF($A45="","",项目档案!$B45)</f>
        <v>重庆民能实业有限公司2025-2026年度工程用特种设备租赁服务框架采购(铜梁公司2026年配电专业应急抢修抢险等外包项目(永嘉所高丰3
社等台区4个应急抢修项目))</v>
      </c>
      <c r="C45" s="32" t="str">
        <f aca="false">IF($A45="","",项目档案!$C45)</f>
        <v>民能</v>
      </c>
      <c r="D45" s="32" t="str">
        <f aca="false">IF($A45="","",项目档案!$D45)</f>
        <v>德誉嘉</v>
      </c>
      <c r="E45" s="41" t="n">
        <f aca="false">IF($A45="","",SUMIFS(业务流水!$H$5:$H$1504,业务流水!$E$5:$E$1504,$D45,业务流水!$D$5:$D$1504,"销项开票",业务流水!$C$5:$C$1504,$A45,业务流水!$Z$5:$Z$1504,"是"))</f>
        <v>2562.52</v>
      </c>
      <c r="F45" s="49" t="n">
        <f aca="false">IF(OR($A45="",$E45=0),"",SUMIFS(业务流水!$O$5:$O$1504,业务流水!$E$5:$E$1504,$D45,业务流水!$D$5:$D$1504,"销项开票",业务流水!$C$5:$C$1504,$A45,业务流水!$Z$5:$Z$1504,"是")/$E45)</f>
        <v>0.0399996878073147</v>
      </c>
      <c r="G45" s="41" t="n">
        <f aca="false">IF($A45="","",SUMIFS(业务流水!$O$5:$O$1504,业务流水!$E$5:$E$1504,$D45,业务流水!$D$5:$D$1504,"销项开票",业务流水!$C$5:$C$1504,$A45,业务流水!$Z$5:$Z$1504,"是"))</f>
        <v>102.5</v>
      </c>
      <c r="H45" s="42" t="n">
        <f aca="false">IF($A45="","",$E45-$G45)</f>
        <v>2460.02</v>
      </c>
      <c r="I45" s="32" t="n">
        <f aca="false">IF($A45="","",项目档案!$F45)</f>
        <v>0</v>
      </c>
      <c r="J45" s="41" t="n">
        <f aca="false">IF(OR($A45="",$I45=""),0,SUMIFS(业务流水!$H$5:$H$1504,业务流水!$E$5:$E$1504,$I45,业务流水!$D$5:$D$1504,"销项开票",业务流水!$C$5:$C$1504,$A45,业务流水!$Z$5:$Z$1504,"是"))</f>
        <v>0</v>
      </c>
      <c r="K45" s="49" t="str">
        <f aca="false">IF(OR($A45="",$J45=0),"",SUMIFS(业务流水!$O$5:$O$1504,业务流水!$E$5:$E$1504,$I45,业务流水!$D$5:$D$1504,"销项开票",业务流水!$C$5:$C$1504,$A45,业务流水!$Z$5:$Z$1504,"是")/$J45)</f>
        <v/>
      </c>
      <c r="L45" s="41" t="n">
        <f aca="false">IF(OR($A45="",$I45=""),0,SUMIFS(业务流水!$O$5:$O$1504,业务流水!$E$5:$E$1504,$I45,业务流水!$D$5:$D$1504,"销项开票",业务流水!$C$5:$C$1504,$A45,业务流水!$Z$5:$Z$1504,"是"))</f>
        <v>0</v>
      </c>
      <c r="M45" s="43" t="n">
        <f aca="false">IF($A45="","",IF(AND($I45&lt;&gt;"",$J45&gt;0),$J45-$L45,$H45))</f>
        <v>2460.02</v>
      </c>
      <c r="N45" s="41" t="n">
        <f aca="false">IF($A45="","",SUMIFS(业务流水!$H$5:$H$1504,业务流水!$F$5:$F$1504,"*",业务流水!$D$5:$D$1504,"成本票",业务流水!$C$5:$C$1504,$A45,业务流水!$Z$5:$Z$1504,"是"))</f>
        <v>0</v>
      </c>
      <c r="O45" s="43" t="n">
        <f aca="false">IF($A45="","",ROUND($M45-$N45,2))</f>
        <v>2460.02</v>
      </c>
      <c r="P45" s="33" t="str">
        <f aca="false">IF($A45="","",IF(ABS($O45)&lt;1,"✓ 已开齐",IF($O45&gt;0,"还差成本票","多开了")))</f>
        <v>还差成本票</v>
      </c>
    </row>
    <row r="46" customFormat="false" ht="15.75" hidden="false" customHeight="true" outlineLevel="0" collapsed="false">
      <c r="A46" s="32" t="str">
        <f aca="false">IF(项目档案!$A46="","",项目档案!$A46)</f>
        <v>A041</v>
      </c>
      <c r="B46" s="40" t="str">
        <f aca="false">IF($A46="","",项目档案!$B46)</f>
        <v>重庆民能实业有限公司2025-2026年度工程用特种设备租赁服务框架采购(铜梁公司2026年配电专业应急抢修抢险等外包项目(永嘉所义和8
社等台区3个对地不足隐患治理项目))</v>
      </c>
      <c r="C46" s="32" t="str">
        <f aca="false">IF($A46="","",项目档案!$C46)</f>
        <v>民能</v>
      </c>
      <c r="D46" s="32" t="str">
        <f aca="false">IF($A46="","",项目档案!$D46)</f>
        <v>德誉嘉</v>
      </c>
      <c r="E46" s="41" t="n">
        <f aca="false">IF($A46="","",SUMIFS(业务流水!$H$5:$H$1504,业务流水!$E$5:$E$1504,$D46,业务流水!$D$5:$D$1504,"销项开票",业务流水!$C$5:$C$1504,$A46,业务流水!$Z$5:$Z$1504,"是"))</f>
        <v>1622.53</v>
      </c>
      <c r="F46" s="49" t="n">
        <f aca="false">IF(OR($A46="",$E46=0),"",SUMIFS(业务流水!$O$5:$O$1504,业务流水!$E$5:$E$1504,$D46,业务流水!$D$5:$D$1504,"销项开票",业务流水!$C$5:$C$1504,$A46,业务流水!$Z$5:$Z$1504,"是")/$E46)</f>
        <v>0.0399992604142913</v>
      </c>
      <c r="G46" s="41" t="n">
        <f aca="false">IF($A46="","",SUMIFS(业务流水!$O$5:$O$1504,业务流水!$E$5:$E$1504,$D46,业务流水!$D$5:$D$1504,"销项开票",业务流水!$C$5:$C$1504,$A46,业务流水!$Z$5:$Z$1504,"是"))</f>
        <v>64.9</v>
      </c>
      <c r="H46" s="42" t="n">
        <f aca="false">IF($A46="","",$E46-$G46)</f>
        <v>1557.63</v>
      </c>
      <c r="I46" s="32" t="n">
        <f aca="false">IF($A46="","",项目档案!$F46)</f>
        <v>0</v>
      </c>
      <c r="J46" s="41" t="n">
        <f aca="false">IF(OR($A46="",$I46=""),0,SUMIFS(业务流水!$H$5:$H$1504,业务流水!$E$5:$E$1504,$I46,业务流水!$D$5:$D$1504,"销项开票",业务流水!$C$5:$C$1504,$A46,业务流水!$Z$5:$Z$1504,"是"))</f>
        <v>0</v>
      </c>
      <c r="K46" s="49" t="str">
        <f aca="false">IF(OR($A46="",$J46=0),"",SUMIFS(业务流水!$O$5:$O$1504,业务流水!$E$5:$E$1504,$I46,业务流水!$D$5:$D$1504,"销项开票",业务流水!$C$5:$C$1504,$A46,业务流水!$Z$5:$Z$1504,"是")/$J46)</f>
        <v/>
      </c>
      <c r="L46" s="41" t="n">
        <f aca="false">IF(OR($A46="",$I46=""),0,SUMIFS(业务流水!$O$5:$O$1504,业务流水!$E$5:$E$1504,$I46,业务流水!$D$5:$D$1504,"销项开票",业务流水!$C$5:$C$1504,$A46,业务流水!$Z$5:$Z$1504,"是"))</f>
        <v>0</v>
      </c>
      <c r="M46" s="43" t="n">
        <f aca="false">IF($A46="","",IF(AND($I46&lt;&gt;"",$J46&gt;0),$J46-$L46,$H46))</f>
        <v>1557.63</v>
      </c>
      <c r="N46" s="41" t="n">
        <f aca="false">IF($A46="","",SUMIFS(业务流水!$H$5:$H$1504,业务流水!$F$5:$F$1504,"*",业务流水!$D$5:$D$1504,"成本票",业务流水!$C$5:$C$1504,$A46,业务流水!$Z$5:$Z$1504,"是"))</f>
        <v>0</v>
      </c>
      <c r="O46" s="43" t="n">
        <f aca="false">IF($A46="","",ROUND($M46-$N46,2))</f>
        <v>1557.63</v>
      </c>
      <c r="P46" s="33" t="str">
        <f aca="false">IF($A46="","",IF(ABS($O46)&lt;1,"✓ 已开齐",IF($O46&gt;0,"还差成本票","多开了")))</f>
        <v>还差成本票</v>
      </c>
    </row>
    <row r="47" customFormat="false" ht="15.75" hidden="false" customHeight="true" outlineLevel="0" collapsed="false">
      <c r="A47" s="32" t="str">
        <f aca="false">IF(项目档案!$A47="","",项目档案!$A47)</f>
        <v>A042</v>
      </c>
      <c r="B47" s="40" t="str">
        <f aca="false">IF($A47="","",项目档案!$B47)</f>
        <v>重庆民能实业有限公司2025-2026年度工程用特种设备租赁服务框架采购(铜梁公司2026年35kV输电专业应急抢修检修外包项目(输电运检中心2026年35kV线路接地隐患消除等3个项目))</v>
      </c>
      <c r="C47" s="32" t="str">
        <f aca="false">IF($A47="","",项目档案!$C47)</f>
        <v>民能</v>
      </c>
      <c r="D47" s="32" t="str">
        <f aca="false">IF($A47="","",项目档案!$D47)</f>
        <v>德誉嘉</v>
      </c>
      <c r="E47" s="41" t="n">
        <f aca="false">IF($A47="","",SUMIFS(业务流水!$H$5:$H$1504,业务流水!$E$5:$E$1504,$D47,业务流水!$D$5:$D$1504,"销项开票",业务流水!$C$5:$C$1504,$A47,业务流水!$Z$5:$Z$1504,"是"))</f>
        <v>2244.63</v>
      </c>
      <c r="F47" s="49" t="n">
        <f aca="false">IF(OR($A47="",$E47=0),"",SUMIFS(业务流水!$O$5:$O$1504,业务流水!$E$5:$E$1504,$D47,业务流水!$D$5:$D$1504,"销项开票",业务流水!$C$5:$C$1504,$A47,业务流水!$Z$5:$Z$1504,"是")/$E47)</f>
        <v>0.0400021384370698</v>
      </c>
      <c r="G47" s="41" t="n">
        <f aca="false">IF($A47="","",SUMIFS(业务流水!$O$5:$O$1504,业务流水!$E$5:$E$1504,$D47,业务流水!$D$5:$D$1504,"销项开票",业务流水!$C$5:$C$1504,$A47,业务流水!$Z$5:$Z$1504,"是"))</f>
        <v>89.79</v>
      </c>
      <c r="H47" s="42" t="n">
        <f aca="false">IF($A47="","",$E47-$G47)</f>
        <v>2154.84</v>
      </c>
      <c r="I47" s="32" t="n">
        <f aca="false">IF($A47="","",项目档案!$F47)</f>
        <v>0</v>
      </c>
      <c r="J47" s="41" t="n">
        <f aca="false">IF(OR($A47="",$I47=""),0,SUMIFS(业务流水!$H$5:$H$1504,业务流水!$E$5:$E$1504,$I47,业务流水!$D$5:$D$1504,"销项开票",业务流水!$C$5:$C$1504,$A47,业务流水!$Z$5:$Z$1504,"是"))</f>
        <v>0</v>
      </c>
      <c r="K47" s="49" t="str">
        <f aca="false">IF(OR($A47="",$J47=0),"",SUMIFS(业务流水!$O$5:$O$1504,业务流水!$E$5:$E$1504,$I47,业务流水!$D$5:$D$1504,"销项开票",业务流水!$C$5:$C$1504,$A47,业务流水!$Z$5:$Z$1504,"是")/$J47)</f>
        <v/>
      </c>
      <c r="L47" s="41" t="n">
        <f aca="false">IF(OR($A47="",$I47=""),0,SUMIFS(业务流水!$O$5:$O$1504,业务流水!$E$5:$E$1504,$I47,业务流水!$D$5:$D$1504,"销项开票",业务流水!$C$5:$C$1504,$A47,业务流水!$Z$5:$Z$1504,"是"))</f>
        <v>0</v>
      </c>
      <c r="M47" s="43" t="n">
        <f aca="false">IF($A47="","",IF(AND($I47&lt;&gt;"",$J47&gt;0),$J47-$L47,$H47))</f>
        <v>2154.84</v>
      </c>
      <c r="N47" s="41" t="n">
        <f aca="false">IF($A47="","",SUMIFS(业务流水!$H$5:$H$1504,业务流水!$F$5:$F$1504,"*",业务流水!$D$5:$D$1504,"成本票",业务流水!$C$5:$C$1504,$A47,业务流水!$Z$5:$Z$1504,"是"))</f>
        <v>2154.85</v>
      </c>
      <c r="O47" s="43" t="n">
        <f aca="false">IF($A47="","",ROUND($M47-$N47,2))</f>
        <v>-0.01</v>
      </c>
      <c r="P47" s="33" t="str">
        <f aca="false">IF($A47="","",IF(ABS($O47)&lt;1,"✓ 已开齐",IF($O47&gt;0,"还差成本票","多开了")))</f>
        <v>✓ 已开齐</v>
      </c>
    </row>
    <row r="48" customFormat="false" ht="15.75" hidden="false" customHeight="true" outlineLevel="0" collapsed="false">
      <c r="A48" s="32" t="str">
        <f aca="false">IF(项目档案!$A48="","",项目档案!$A48)</f>
        <v>A043</v>
      </c>
      <c r="B48" s="40" t="str">
        <f aca="false">IF($A48="","",项目档案!$B48)</f>
        <v>重庆民能实业有限公司2025-2026年度工程用特种设备租赁服务框架采购(10kV少盘线哨楼村支线#1杆线路迁改工程)</v>
      </c>
      <c r="C48" s="32" t="str">
        <f aca="false">IF($A48="","",项目档案!$C48)</f>
        <v>民能</v>
      </c>
      <c r="D48" s="32" t="str">
        <f aca="false">IF($A48="","",项目档案!$D48)</f>
        <v>德誉嘉</v>
      </c>
      <c r="E48" s="41" t="n">
        <f aca="false">IF($A48="","",SUMIFS(业务流水!$H$5:$H$1504,业务流水!$E$5:$E$1504,$D48,业务流水!$D$5:$D$1504,"销项开票",业务流水!$C$5:$C$1504,$A48,业务流水!$Z$5:$Z$1504,"是"))</f>
        <v>5515.4</v>
      </c>
      <c r="F48" s="49" t="n">
        <f aca="false">IF(OR($A48="",$E48=0),"",SUMIFS(业务流水!$O$5:$O$1504,业务流水!$E$5:$E$1504,$D48,业务流水!$D$5:$D$1504,"销项开票",业务流水!$C$5:$C$1504,$A48,业务流水!$Z$5:$Z$1504,"是")/$E48)</f>
        <v>0.0799996373789752</v>
      </c>
      <c r="G48" s="41" t="n">
        <f aca="false">IF($A48="","",SUMIFS(业务流水!$O$5:$O$1504,业务流水!$E$5:$E$1504,$D48,业务流水!$D$5:$D$1504,"销项开票",业务流水!$C$5:$C$1504,$A48,业务流水!$Z$5:$Z$1504,"是"))</f>
        <v>441.23</v>
      </c>
      <c r="H48" s="42" t="n">
        <f aca="false">IF($A48="","",$E48-$G48)</f>
        <v>5074.17</v>
      </c>
      <c r="I48" s="32" t="n">
        <f aca="false">IF($A48="","",项目档案!$F48)</f>
        <v>0</v>
      </c>
      <c r="J48" s="41" t="n">
        <f aca="false">IF(OR($A48="",$I48=""),0,SUMIFS(业务流水!$H$5:$H$1504,业务流水!$E$5:$E$1504,$I48,业务流水!$D$5:$D$1504,"销项开票",业务流水!$C$5:$C$1504,$A48,业务流水!$Z$5:$Z$1504,"是"))</f>
        <v>0</v>
      </c>
      <c r="K48" s="49" t="str">
        <f aca="false">IF(OR($A48="",$J48=0),"",SUMIFS(业务流水!$O$5:$O$1504,业务流水!$E$5:$E$1504,$I48,业务流水!$D$5:$D$1504,"销项开票",业务流水!$C$5:$C$1504,$A48,业务流水!$Z$5:$Z$1504,"是")/$J48)</f>
        <v/>
      </c>
      <c r="L48" s="41" t="n">
        <f aca="false">IF(OR($A48="",$I48=""),0,SUMIFS(业务流水!$O$5:$O$1504,业务流水!$E$5:$E$1504,$I48,业务流水!$D$5:$D$1504,"销项开票",业务流水!$C$5:$C$1504,$A48,业务流水!$Z$5:$Z$1504,"是"))</f>
        <v>0</v>
      </c>
      <c r="M48" s="43" t="n">
        <f aca="false">IF($A48="","",IF(AND($I48&lt;&gt;"",$J48&gt;0),$J48-$L48,$H48))</f>
        <v>5074.17</v>
      </c>
      <c r="N48" s="41" t="n">
        <f aca="false">IF($A48="","",SUMIFS(业务流水!$H$5:$H$1504,业务流水!$F$5:$F$1504,"*",业务流水!$D$5:$D$1504,"成本票",业务流水!$C$5:$C$1504,$A48,业务流水!$Z$5:$Z$1504,"是"))</f>
        <v>5074.17</v>
      </c>
      <c r="O48" s="43" t="n">
        <f aca="false">IF($A48="","",ROUND($M48-$N48,2))</f>
        <v>0</v>
      </c>
      <c r="P48" s="33" t="str">
        <f aca="false">IF($A48="","",IF(ABS($O48)&lt;1,"✓ 已开齐",IF($O48&gt;0,"还差成本票","多开了")))</f>
        <v>✓ 已开齐</v>
      </c>
    </row>
    <row r="49" customFormat="false" ht="15.75" hidden="false" customHeight="true" outlineLevel="0" collapsed="false">
      <c r="A49" s="32" t="str">
        <f aca="false">IF(项目档案!$A49="","",项目档案!$A49)</f>
        <v>A044</v>
      </c>
      <c r="B49" s="40" t="str">
        <f aca="false">IF($A49="","",项目档案!$B49)</f>
        <v>重庆民能实业有限公司2025-2026年度工程用特种设备租赁服务框架采购(铜梁公司2026年配电专业应急抢修抢险等外包项目(永嘉所许家3社1等台区2个隐患治理项目）)</v>
      </c>
      <c r="C49" s="32" t="str">
        <f aca="false">IF($A49="","",项目档案!$C49)</f>
        <v>民能</v>
      </c>
      <c r="D49" s="32" t="str">
        <f aca="false">IF($A49="","",项目档案!$D49)</f>
        <v>德誉嘉</v>
      </c>
      <c r="E49" s="41" t="n">
        <f aca="false">IF($A49="","",SUMIFS(业务流水!$H$5:$H$1504,业务流水!$E$5:$E$1504,$D49,业务流水!$D$5:$D$1504,"销项开票",业务流水!$C$5:$C$1504,$A49,业务流水!$Z$5:$Z$1504,"是"))</f>
        <v>908.16</v>
      </c>
      <c r="F49" s="49" t="n">
        <f aca="false">IF(OR($A49="",$E49=0),"",SUMIFS(业务流水!$O$5:$O$1504,业务流水!$E$5:$E$1504,$D49,业务流水!$D$5:$D$1504,"销项开票",业务流水!$C$5:$C$1504,$A49,业务流水!$Z$5:$Z$1504,"是")/$E49)</f>
        <v>0.0400039640591966</v>
      </c>
      <c r="G49" s="41" t="n">
        <f aca="false">IF($A49="","",SUMIFS(业务流水!$O$5:$O$1504,业务流水!$E$5:$E$1504,$D49,业务流水!$D$5:$D$1504,"销项开票",业务流水!$C$5:$C$1504,$A49,业务流水!$Z$5:$Z$1504,"是"))</f>
        <v>36.33</v>
      </c>
      <c r="H49" s="42" t="n">
        <f aca="false">IF($A49="","",$E49-$G49)</f>
        <v>871.83</v>
      </c>
      <c r="I49" s="32" t="n">
        <f aca="false">IF($A49="","",项目档案!$F49)</f>
        <v>0</v>
      </c>
      <c r="J49" s="41" t="n">
        <f aca="false">IF(OR($A49="",$I49=""),0,SUMIFS(业务流水!$H$5:$H$1504,业务流水!$E$5:$E$1504,$I49,业务流水!$D$5:$D$1504,"销项开票",业务流水!$C$5:$C$1504,$A49,业务流水!$Z$5:$Z$1504,"是"))</f>
        <v>0</v>
      </c>
      <c r="K49" s="49" t="str">
        <f aca="false">IF(OR($A49="",$J49=0),"",SUMIFS(业务流水!$O$5:$O$1504,业务流水!$E$5:$E$1504,$I49,业务流水!$D$5:$D$1504,"销项开票",业务流水!$C$5:$C$1504,$A49,业务流水!$Z$5:$Z$1504,"是")/$J49)</f>
        <v/>
      </c>
      <c r="L49" s="41" t="n">
        <f aca="false">IF(OR($A49="",$I49=""),0,SUMIFS(业务流水!$O$5:$O$1504,业务流水!$E$5:$E$1504,$I49,业务流水!$D$5:$D$1504,"销项开票",业务流水!$C$5:$C$1504,$A49,业务流水!$Z$5:$Z$1504,"是"))</f>
        <v>0</v>
      </c>
      <c r="M49" s="43" t="n">
        <f aca="false">IF($A49="","",IF(AND($I49&lt;&gt;"",$J49&gt;0),$J49-$L49,$H49))</f>
        <v>871.83</v>
      </c>
      <c r="N49" s="41" t="n">
        <f aca="false">IF($A49="","",SUMIFS(业务流水!$H$5:$H$1504,业务流水!$F$5:$F$1504,"*",业务流水!$D$5:$D$1504,"成本票",业务流水!$C$5:$C$1504,$A49,业务流水!$Z$5:$Z$1504,"是"))</f>
        <v>871.83</v>
      </c>
      <c r="O49" s="43" t="n">
        <f aca="false">IF($A49="","",ROUND($M49-$N49,2))</f>
        <v>0</v>
      </c>
      <c r="P49" s="33" t="str">
        <f aca="false">IF($A49="","",IF(ABS($O49)&lt;1,"✓ 已开齐",IF($O49&gt;0,"还差成本票","多开了")))</f>
        <v>✓ 已开齐</v>
      </c>
    </row>
    <row r="50" customFormat="false" ht="15.75" hidden="false" customHeight="true" outlineLevel="0" collapsed="false">
      <c r="A50" s="32" t="str">
        <f aca="false">IF(项目档案!$A50="","",项目档案!$A50)</f>
        <v>A045</v>
      </c>
      <c r="B50" s="40" t="str">
        <f aca="false">IF($A50="","",项目档案!$B50)</f>
        <v>重庆民能实业有限公司2025-2026年度工程用特种设备租赁服务框架采购(铜梁公司2026年配电专业应急抢修抢险等外包项目(永嘉所高丰3社等台区4个应急抢修项目))</v>
      </c>
      <c r="C50" s="32" t="str">
        <f aca="false">IF($A50="","",项目档案!$C50)</f>
        <v>民能</v>
      </c>
      <c r="D50" s="32" t="str">
        <f aca="false">IF($A50="","",项目档案!$D50)</f>
        <v>德誉嘉</v>
      </c>
      <c r="E50" s="41" t="n">
        <f aca="false">IF($A50="","",SUMIFS(业务流水!$H$5:$H$1504,业务流水!$E$5:$E$1504,$D50,业务流水!$D$5:$D$1504,"销项开票",业务流水!$C$5:$C$1504,$A50,业务流水!$Z$5:$Z$1504,"是"))</f>
        <v>1664.96</v>
      </c>
      <c r="F50" s="49" t="n">
        <f aca="false">IF(OR($A50="",$E50=0),"",SUMIFS(业务流水!$O$5:$O$1504,业务流水!$E$5:$E$1504,$D50,业务流水!$D$5:$D$1504,"销项开票",业务流水!$C$5:$C$1504,$A50,业务流水!$Z$5:$Z$1504,"是")/$E50)</f>
        <v>0.0400009609840477</v>
      </c>
      <c r="G50" s="41" t="n">
        <f aca="false">IF($A50="","",SUMIFS(业务流水!$O$5:$O$1504,业务流水!$E$5:$E$1504,$D50,业务流水!$D$5:$D$1504,"销项开票",业务流水!$C$5:$C$1504,$A50,业务流水!$Z$5:$Z$1504,"是"))</f>
        <v>66.6</v>
      </c>
      <c r="H50" s="42" t="n">
        <f aca="false">IF($A50="","",$E50-$G50)</f>
        <v>1598.36</v>
      </c>
      <c r="I50" s="32" t="n">
        <f aca="false">IF($A50="","",项目档案!$F50)</f>
        <v>0</v>
      </c>
      <c r="J50" s="41" t="n">
        <f aca="false">IF(OR($A50="",$I50=""),0,SUMIFS(业务流水!$H$5:$H$1504,业务流水!$E$5:$E$1504,$I50,业务流水!$D$5:$D$1504,"销项开票",业务流水!$C$5:$C$1504,$A50,业务流水!$Z$5:$Z$1504,"是"))</f>
        <v>0</v>
      </c>
      <c r="K50" s="49" t="str">
        <f aca="false">IF(OR($A50="",$J50=0),"",SUMIFS(业务流水!$O$5:$O$1504,业务流水!$E$5:$E$1504,$I50,业务流水!$D$5:$D$1504,"销项开票",业务流水!$C$5:$C$1504,$A50,业务流水!$Z$5:$Z$1504,"是")/$J50)</f>
        <v/>
      </c>
      <c r="L50" s="41" t="n">
        <f aca="false">IF(OR($A50="",$I50=""),0,SUMIFS(业务流水!$O$5:$O$1504,业务流水!$E$5:$E$1504,$I50,业务流水!$D$5:$D$1504,"销项开票",业务流水!$C$5:$C$1504,$A50,业务流水!$Z$5:$Z$1504,"是"))</f>
        <v>0</v>
      </c>
      <c r="M50" s="43" t="n">
        <f aca="false">IF($A50="","",IF(AND($I50&lt;&gt;"",$J50&gt;0),$J50-$L50,$H50))</f>
        <v>1598.36</v>
      </c>
      <c r="N50" s="41" t="n">
        <f aca="false">IF($A50="","",SUMIFS(业务流水!$H$5:$H$1504,业务流水!$F$5:$F$1504,"*",业务流水!$D$5:$D$1504,"成本票",业务流水!$C$5:$C$1504,$A50,业务流水!$Z$5:$Z$1504,"是"))</f>
        <v>4058.38</v>
      </c>
      <c r="O50" s="43" t="n">
        <f aca="false">IF($A50="","",ROUND($M50-$N50,2))</f>
        <v>-2460.02</v>
      </c>
      <c r="P50" s="33" t="str">
        <f aca="false">IF($A50="","",IF(ABS($O50)&lt;1,"✓ 已开齐",IF($O50&gt;0,"还差成本票","多开了")))</f>
        <v>多开了</v>
      </c>
    </row>
    <row r="51" customFormat="false" ht="15.75" hidden="false" customHeight="true" outlineLevel="0" collapsed="false">
      <c r="A51" s="32" t="str">
        <f aca="false">IF(项目档案!$A51="","",项目档案!$A51)</f>
        <v>A046</v>
      </c>
      <c r="B51" s="40" t="str">
        <f aca="false">IF($A51="","",项目档案!$B51)</f>
        <v>重庆民能实业有限公司2025-2026年度工程用特种设备租赁服务框架采购(铜梁公司2026年配电专业应急抢修抢险等外包项目(永嘉所义和8社等台区3个对地不足隐患治理项目)）</v>
      </c>
      <c r="C51" s="32" t="str">
        <f aca="false">IF($A51="","",项目档案!$C51)</f>
        <v>民能</v>
      </c>
      <c r="D51" s="32" t="str">
        <f aca="false">IF($A51="","",项目档案!$D51)</f>
        <v>德誉嘉</v>
      </c>
      <c r="E51" s="41" t="n">
        <f aca="false">IF($A51="","",SUMIFS(业务流水!$H$5:$H$1504,业务流水!$E$5:$E$1504,$D51,业务流水!$D$5:$D$1504,"销项开票",业务流水!$C$5:$C$1504,$A51,业务流水!$Z$5:$Z$1504,"是"))</f>
        <v>1513.6</v>
      </c>
      <c r="F51" s="49" t="n">
        <f aca="false">IF(OR($A51="",$E51=0),"",SUMIFS(业务流水!$O$5:$O$1504,业务流水!$E$5:$E$1504,$D51,业务流水!$D$5:$D$1504,"销项开票",业务流水!$C$5:$C$1504,$A51,业务流水!$Z$5:$Z$1504,"是")/$E51)</f>
        <v>0.0399973572938689</v>
      </c>
      <c r="G51" s="41" t="n">
        <f aca="false">IF($A51="","",SUMIFS(业务流水!$O$5:$O$1504,业务流水!$E$5:$E$1504,$D51,业务流水!$D$5:$D$1504,"销项开票",业务流水!$C$5:$C$1504,$A51,业务流水!$Z$5:$Z$1504,"是"))</f>
        <v>60.54</v>
      </c>
      <c r="H51" s="42" t="n">
        <f aca="false">IF($A51="","",$E51-$G51)</f>
        <v>1453.06</v>
      </c>
      <c r="I51" s="32" t="n">
        <f aca="false">IF($A51="","",项目档案!$F51)</f>
        <v>0</v>
      </c>
      <c r="J51" s="41" t="n">
        <f aca="false">IF(OR($A51="",$I51=""),0,SUMIFS(业务流水!$H$5:$H$1504,业务流水!$E$5:$E$1504,$I51,业务流水!$D$5:$D$1504,"销项开票",业务流水!$C$5:$C$1504,$A51,业务流水!$Z$5:$Z$1504,"是"))</f>
        <v>0</v>
      </c>
      <c r="K51" s="49" t="str">
        <f aca="false">IF(OR($A51="",$J51=0),"",SUMIFS(业务流水!$O$5:$O$1504,业务流水!$E$5:$E$1504,$I51,业务流水!$D$5:$D$1504,"销项开票",业务流水!$C$5:$C$1504,$A51,业务流水!$Z$5:$Z$1504,"是")/$J51)</f>
        <v/>
      </c>
      <c r="L51" s="41" t="n">
        <f aca="false">IF(OR($A51="",$I51=""),0,SUMIFS(业务流水!$O$5:$O$1504,业务流水!$E$5:$E$1504,$I51,业务流水!$D$5:$D$1504,"销项开票",业务流水!$C$5:$C$1504,$A51,业务流水!$Z$5:$Z$1504,"是"))</f>
        <v>0</v>
      </c>
      <c r="M51" s="43" t="n">
        <f aca="false">IF($A51="","",IF(AND($I51&lt;&gt;"",$J51&gt;0),$J51-$L51,$H51))</f>
        <v>1453.06</v>
      </c>
      <c r="N51" s="41" t="n">
        <f aca="false">IF($A51="","",SUMIFS(业务流水!$H$5:$H$1504,业务流水!$F$5:$F$1504,"*",业务流水!$D$5:$D$1504,"成本票",业务流水!$C$5:$C$1504,$A51,业务流水!$Z$5:$Z$1504,"是"))</f>
        <v>1453.06</v>
      </c>
      <c r="O51" s="43" t="n">
        <f aca="false">IF($A51="","",ROUND($M51-$N51,2))</f>
        <v>0</v>
      </c>
      <c r="P51" s="33" t="str">
        <f aca="false">IF($A51="","",IF(ABS($O51)&lt;1,"✓ 已开齐",IF($O51&gt;0,"还差成本票","多开了")))</f>
        <v>✓ 已开齐</v>
      </c>
    </row>
    <row r="52" customFormat="false" ht="15.75" hidden="false" customHeight="true" outlineLevel="0" collapsed="false">
      <c r="A52" s="32" t="str">
        <f aca="false">IF(项目档案!$A52="","",项目档案!$A52)</f>
        <v>A047</v>
      </c>
      <c r="B52" s="40" t="str">
        <f aca="false">IF($A52="","",项目档案!$B52)</f>
        <v>重庆民能实业有限公司2025-2026年度工程用特种设备租赁服务框架采购(铜梁公司2026年35kV输电专业应急抢修检修外包项目(输电运检中心2026年35kV线路接地隐患消除等3个项目)）</v>
      </c>
      <c r="C52" s="32" t="str">
        <f aca="false">IF($A52="","",项目档案!$C52)</f>
        <v>民能</v>
      </c>
      <c r="D52" s="32" t="str">
        <f aca="false">IF($A52="","",项目档案!$D52)</f>
        <v>德誉嘉</v>
      </c>
      <c r="E52" s="41" t="n">
        <f aca="false">IF($A52="","",SUMIFS(业务流水!$H$5:$H$1504,业务流水!$E$5:$E$1504,$D52,业务流水!$D$5:$D$1504,"销项开票",业务流水!$C$5:$C$1504,$A52,业务流水!$Z$5:$Z$1504,"是"))</f>
        <v>1816.32</v>
      </c>
      <c r="F52" s="49" t="n">
        <f aca="false">IF(OR($A52="",$E52=0),"",SUMIFS(业务流水!$O$5:$O$1504,业务流水!$E$5:$E$1504,$D52,业务流水!$D$5:$D$1504,"销项开票",业务流水!$C$5:$C$1504,$A52,业务流水!$Z$5:$Z$1504,"是")/$E52)</f>
        <v>0.0399984584214235</v>
      </c>
      <c r="G52" s="41" t="n">
        <f aca="false">IF($A52="","",SUMIFS(业务流水!$O$5:$O$1504,业务流水!$E$5:$E$1504,$D52,业务流水!$D$5:$D$1504,"销项开票",业务流水!$C$5:$C$1504,$A52,业务流水!$Z$5:$Z$1504,"是"))</f>
        <v>72.65</v>
      </c>
      <c r="H52" s="42" t="n">
        <f aca="false">IF($A52="","",$E52-$G52)</f>
        <v>1743.67</v>
      </c>
      <c r="I52" s="32" t="n">
        <f aca="false">IF($A52="","",项目档案!$F52)</f>
        <v>0</v>
      </c>
      <c r="J52" s="41" t="n">
        <f aca="false">IF(OR($A52="",$I52=""),0,SUMIFS(业务流水!$H$5:$H$1504,业务流水!$E$5:$E$1504,$I52,业务流水!$D$5:$D$1504,"销项开票",业务流水!$C$5:$C$1504,$A52,业务流水!$Z$5:$Z$1504,"是"))</f>
        <v>0</v>
      </c>
      <c r="K52" s="49" t="str">
        <f aca="false">IF(OR($A52="",$J52=0),"",SUMIFS(业务流水!$O$5:$O$1504,业务流水!$E$5:$E$1504,$I52,业务流水!$D$5:$D$1504,"销项开票",业务流水!$C$5:$C$1504,$A52,业务流水!$Z$5:$Z$1504,"是")/$J52)</f>
        <v/>
      </c>
      <c r="L52" s="41" t="n">
        <f aca="false">IF(OR($A52="",$I52=""),0,SUMIFS(业务流水!$O$5:$O$1504,业务流水!$E$5:$E$1504,$I52,业务流水!$D$5:$D$1504,"销项开票",业务流水!$C$5:$C$1504,$A52,业务流水!$Z$5:$Z$1504,"是"))</f>
        <v>0</v>
      </c>
      <c r="M52" s="43" t="n">
        <f aca="false">IF($A52="","",IF(AND($I52&lt;&gt;"",$J52&gt;0),$J52-$L52,$H52))</f>
        <v>1743.67</v>
      </c>
      <c r="N52" s="41" t="n">
        <f aca="false">IF($A52="","",SUMIFS(业务流水!$H$5:$H$1504,业务流水!$F$5:$F$1504,"*",业务流水!$D$5:$D$1504,"成本票",业务流水!$C$5:$C$1504,$A52,业务流水!$Z$5:$Z$1504,"是"))</f>
        <v>1743.67</v>
      </c>
      <c r="O52" s="43" t="n">
        <f aca="false">IF($A52="","",ROUND($M52-$N52,2))</f>
        <v>0</v>
      </c>
      <c r="P52" s="33" t="str">
        <f aca="false">IF($A52="","",IF(ABS($O52)&lt;1,"✓ 已开齐",IF($O52&gt;0,"还差成本票","多开了")))</f>
        <v>✓ 已开齐</v>
      </c>
    </row>
    <row r="53" customFormat="false" ht="15.75" hidden="false" customHeight="true" outlineLevel="0" collapsed="false">
      <c r="A53" s="32" t="str">
        <f aca="false">IF(项目档案!$A53="","",项目档案!$A53)</f>
        <v>A048</v>
      </c>
      <c r="B53" s="40" t="str">
        <f aca="false">IF($A53="","",项目档案!$B53)</f>
        <v>重庆民能实业有限公司2025-2026年度工程用特种设备租赁服务框架采购(铜梁公司2026年配电专业应急抢修抢险等外包项目(永嘉所许家3社1等台区2个隐患治理项目))</v>
      </c>
      <c r="C53" s="32" t="str">
        <f aca="false">IF($A53="","",项目档案!$C53)</f>
        <v>民能</v>
      </c>
      <c r="D53" s="32" t="str">
        <f aca="false">IF($A53="","",项目档案!$D53)</f>
        <v>德誉嘉</v>
      </c>
      <c r="E53" s="41" t="n">
        <f aca="false">IF($A53="","",SUMIFS(业务流水!$H$5:$H$1504,业务流水!$E$5:$E$1504,$D53,业务流水!$D$5:$D$1504,"销项开票",业务流水!$C$5:$C$1504,$A53,业务流水!$Z$5:$Z$1504,"是"))</f>
        <v>0</v>
      </c>
      <c r="F53" s="49" t="str">
        <f aca="false">IF(OR($A53="",$E53=0),"",SUMIFS(业务流水!$O$5:$O$1504,业务流水!$E$5:$E$1504,$D53,业务流水!$D$5:$D$1504,"销项开票",业务流水!$C$5:$C$1504,$A53,业务流水!$Z$5:$Z$1504,"是")/$E53)</f>
        <v/>
      </c>
      <c r="G53" s="41" t="n">
        <f aca="false">IF($A53="","",SUMIFS(业务流水!$O$5:$O$1504,业务流水!$E$5:$E$1504,$D53,业务流水!$D$5:$D$1504,"销项开票",业务流水!$C$5:$C$1504,$A53,业务流水!$Z$5:$Z$1504,"是"))</f>
        <v>0</v>
      </c>
      <c r="H53" s="42" t="n">
        <f aca="false">IF($A53="","",$E53-$G53)</f>
        <v>0</v>
      </c>
      <c r="I53" s="32" t="n">
        <f aca="false">IF($A53="","",项目档案!$F53)</f>
        <v>0</v>
      </c>
      <c r="J53" s="41" t="n">
        <f aca="false">IF(OR($A53="",$I53=""),0,SUMIFS(业务流水!$H$5:$H$1504,业务流水!$E$5:$E$1504,$I53,业务流水!$D$5:$D$1504,"销项开票",业务流水!$C$5:$C$1504,$A53,业务流水!$Z$5:$Z$1504,"是"))</f>
        <v>0</v>
      </c>
      <c r="K53" s="49" t="str">
        <f aca="false">IF(OR($A53="",$J53=0),"",SUMIFS(业务流水!$O$5:$O$1504,业务流水!$E$5:$E$1504,$I53,业务流水!$D$5:$D$1504,"销项开票",业务流水!$C$5:$C$1504,$A53,业务流水!$Z$5:$Z$1504,"是")/$J53)</f>
        <v/>
      </c>
      <c r="L53" s="41" t="n">
        <f aca="false">IF(OR($A53="",$I53=""),0,SUMIFS(业务流水!$O$5:$O$1504,业务流水!$E$5:$E$1504,$I53,业务流水!$D$5:$D$1504,"销项开票",业务流水!$C$5:$C$1504,$A53,业务流水!$Z$5:$Z$1504,"是"))</f>
        <v>0</v>
      </c>
      <c r="M53" s="43" t="n">
        <f aca="false">IF($A53="","",IF(AND($I53&lt;&gt;"",$J53&gt;0),$J53-$L53,$H53))</f>
        <v>0</v>
      </c>
      <c r="N53" s="41" t="n">
        <f aca="false">IF($A53="","",SUMIFS(业务流水!$H$5:$H$1504,业务流水!$F$5:$F$1504,"*",业务流水!$D$5:$D$1504,"成本票",业务流水!$C$5:$C$1504,$A53,业务流水!$Z$5:$Z$1504,"是"))</f>
        <v>1188.53</v>
      </c>
      <c r="O53" s="43" t="n">
        <f aca="false">IF($A53="","",ROUND($M53-$N53,2))</f>
        <v>-1188.53</v>
      </c>
      <c r="P53" s="33" t="str">
        <f aca="false">IF($A53="","",IF(ABS($O53)&lt;1,"✓ 已开齐",IF($O53&gt;0,"还差成本票","多开了")))</f>
        <v>多开了</v>
      </c>
    </row>
    <row r="54" customFormat="false" ht="15.75" hidden="false" customHeight="true" outlineLevel="0" collapsed="false">
      <c r="A54" s="32" t="str">
        <f aca="false">IF(项目档案!$A54="","",项目档案!$A54)</f>
        <v>A049</v>
      </c>
      <c r="B54" s="40" t="str">
        <f aca="false">IF($A54="","",项目档案!$B54)</f>
        <v>重庆民能实业有限公司2025-2026年度工程用特种设备租赁服务框架采购(铜梁公司2026年配电专业应急抢修抢险等外包项目(永嘉所义和8社等台区3个对地不足隐患治理项目))</v>
      </c>
      <c r="C54" s="32" t="str">
        <f aca="false">IF($A54="","",项目档案!$C54)</f>
        <v>民能</v>
      </c>
      <c r="D54" s="32" t="str">
        <f aca="false">IF($A54="","",项目档案!$D54)</f>
        <v>德誉嘉</v>
      </c>
      <c r="E54" s="41" t="n">
        <f aca="false">IF($A54="","",SUMIFS(业务流水!$H$5:$H$1504,业务流水!$E$5:$E$1504,$D54,业务流水!$D$5:$D$1504,"销项开票",业务流水!$C$5:$C$1504,$A54,业务流水!$Z$5:$Z$1504,"是"))</f>
        <v>0</v>
      </c>
      <c r="F54" s="49" t="str">
        <f aca="false">IF(OR($A54="",$E54=0),"",SUMIFS(业务流水!$O$5:$O$1504,业务流水!$E$5:$E$1504,$D54,业务流水!$D$5:$D$1504,"销项开票",业务流水!$C$5:$C$1504,$A54,业务流水!$Z$5:$Z$1504,"是")/$E54)</f>
        <v/>
      </c>
      <c r="G54" s="41" t="n">
        <f aca="false">IF($A54="","",SUMIFS(业务流水!$O$5:$O$1504,业务流水!$E$5:$E$1504,$D54,业务流水!$D$5:$D$1504,"销项开票",业务流水!$C$5:$C$1504,$A54,业务流水!$Z$5:$Z$1504,"是"))</f>
        <v>0</v>
      </c>
      <c r="H54" s="42" t="n">
        <f aca="false">IF($A54="","",$E54-$G54)</f>
        <v>0</v>
      </c>
      <c r="I54" s="32" t="n">
        <f aca="false">IF($A54="","",项目档案!$F54)</f>
        <v>0</v>
      </c>
      <c r="J54" s="41" t="n">
        <f aca="false">IF(OR($A54="",$I54=""),0,SUMIFS(业务流水!$H$5:$H$1504,业务流水!$E$5:$E$1504,$I54,业务流水!$D$5:$D$1504,"销项开票",业务流水!$C$5:$C$1504,$A54,业务流水!$Z$5:$Z$1504,"是"))</f>
        <v>0</v>
      </c>
      <c r="K54" s="49" t="str">
        <f aca="false">IF(OR($A54="",$J54=0),"",SUMIFS(业务流水!$O$5:$O$1504,业务流水!$E$5:$E$1504,$I54,业务流水!$D$5:$D$1504,"销项开票",业务流水!$C$5:$C$1504,$A54,业务流水!$Z$5:$Z$1504,"是")/$J54)</f>
        <v/>
      </c>
      <c r="L54" s="41" t="n">
        <f aca="false">IF(OR($A54="",$I54=""),0,SUMIFS(业务流水!$O$5:$O$1504,业务流水!$E$5:$E$1504,$I54,业务流水!$D$5:$D$1504,"销项开票",业务流水!$C$5:$C$1504,$A54,业务流水!$Z$5:$Z$1504,"是"))</f>
        <v>0</v>
      </c>
      <c r="M54" s="43" t="n">
        <f aca="false">IF($A54="","",IF(AND($I54&lt;&gt;"",$J54&gt;0),$J54-$L54,$H54))</f>
        <v>0</v>
      </c>
      <c r="N54" s="41" t="n">
        <f aca="false">IF($A54="","",SUMIFS(业务流水!$H$5:$H$1504,业务流水!$F$5:$F$1504,"*",业务流水!$D$5:$D$1504,"成本票",业务流水!$C$5:$C$1504,$A54,业务流水!$Z$5:$Z$1504,"是"))</f>
        <v>1557.63</v>
      </c>
      <c r="O54" s="43" t="n">
        <f aca="false">IF($A54="","",ROUND($M54-$N54,2))</f>
        <v>-1557.63</v>
      </c>
      <c r="P54" s="33" t="str">
        <f aca="false">IF($A54="","",IF(ABS($O54)&lt;1,"✓ 已开齐",IF($O54&gt;0,"还差成本票","多开了")))</f>
        <v>多开了</v>
      </c>
    </row>
    <row r="55" customFormat="false" ht="15.75" hidden="false" customHeight="true" outlineLevel="0" collapsed="false">
      <c r="A55" s="32" t="str">
        <f aca="false">IF(项目档案!$A55="","",项目档案!$A55)</f>
        <v>A050</v>
      </c>
      <c r="B55" s="40" t="str">
        <f aca="false">IF($A55="","",项目档案!$B55)</f>
        <v>重庆市铜梁区锦绣花园A区居民供电设施改造工程</v>
      </c>
      <c r="C55" s="32" t="str">
        <f aca="false">IF($A55="","",项目档案!$C55)</f>
        <v>铜梁供电</v>
      </c>
      <c r="D55" s="32" t="str">
        <f aca="false">IF($A55="","",项目档案!$D55)</f>
        <v>湖南锦泰</v>
      </c>
      <c r="E55" s="41" t="n">
        <f aca="false">IF($A55="","",SUMIFS(业务流水!$H$5:$H$1504,业务流水!$E$5:$E$1504,$D55,业务流水!$D$5:$D$1504,"销项开票",业务流水!$C$5:$C$1504,$A55,业务流水!$Z$5:$Z$1504,"是"))</f>
        <v>106252.1</v>
      </c>
      <c r="F55" s="49" t="n">
        <f aca="false">IF(OR($A55="",$E55=0),"",SUMIFS(业务流水!$O$5:$O$1504,业务流水!$E$5:$E$1504,$D55,业务流水!$D$5:$D$1504,"销项开票",业务流水!$C$5:$C$1504,$A55,业务流水!$Z$5:$Z$1504,"是")/$E55)</f>
        <v>0.1</v>
      </c>
      <c r="G55" s="41" t="n">
        <f aca="false">IF($A55="","",SUMIFS(业务流水!$O$5:$O$1504,业务流水!$E$5:$E$1504,$D55,业务流水!$D$5:$D$1504,"销项开票",业务流水!$C$5:$C$1504,$A55,业务流水!$Z$5:$Z$1504,"是"))</f>
        <v>10625.21</v>
      </c>
      <c r="H55" s="42" t="n">
        <f aca="false">IF($A55="","",$E55-$G55)</f>
        <v>95626.89</v>
      </c>
      <c r="I55" s="32" t="n">
        <f aca="false">IF($A55="","",项目档案!$F55)</f>
        <v>0</v>
      </c>
      <c r="J55" s="41" t="n">
        <f aca="false">IF(OR($A55="",$I55=""),0,SUMIFS(业务流水!$H$5:$H$1504,业务流水!$E$5:$E$1504,$I55,业务流水!$D$5:$D$1504,"销项开票",业务流水!$C$5:$C$1504,$A55,业务流水!$Z$5:$Z$1504,"是"))</f>
        <v>0</v>
      </c>
      <c r="K55" s="49" t="str">
        <f aca="false">IF(OR($A55="",$J55=0),"",SUMIFS(业务流水!$O$5:$O$1504,业务流水!$E$5:$E$1504,$I55,业务流水!$D$5:$D$1504,"销项开票",业务流水!$C$5:$C$1504,$A55,业务流水!$Z$5:$Z$1504,"是")/$J55)</f>
        <v/>
      </c>
      <c r="L55" s="41" t="n">
        <f aca="false">IF(OR($A55="",$I55=""),0,SUMIFS(业务流水!$O$5:$O$1504,业务流水!$E$5:$E$1504,$I55,业务流水!$D$5:$D$1504,"销项开票",业务流水!$C$5:$C$1504,$A55,业务流水!$Z$5:$Z$1504,"是"))</f>
        <v>0</v>
      </c>
      <c r="M55" s="43" t="n">
        <f aca="false">IF($A55="","",IF(AND($I55&lt;&gt;"",$J55&gt;0),$J55-$L55,$H55))</f>
        <v>95626.89</v>
      </c>
      <c r="N55" s="41" t="n">
        <f aca="false">IF($A55="","",SUMIFS(业务流水!$H$5:$H$1504,业务流水!$F$5:$F$1504,"*",业务流水!$D$5:$D$1504,"成本票",业务流水!$C$5:$C$1504,$A55,业务流水!$Z$5:$Z$1504,"是"))</f>
        <v>0</v>
      </c>
      <c r="O55" s="43" t="n">
        <f aca="false">IF($A55="","",ROUND($M55-$N55,2))</f>
        <v>95626.89</v>
      </c>
      <c r="P55" s="33" t="str">
        <f aca="false">IF($A55="","",IF(ABS($O55)&lt;1,"✓ 已开齐",IF($O55&gt;0,"还差成本票","多开了")))</f>
        <v>还差成本票</v>
      </c>
    </row>
    <row r="56" customFormat="false" ht="15.75" hidden="false" customHeight="true" outlineLevel="0" collapsed="false">
      <c r="A56" s="32" t="str">
        <f aca="false">IF(项目档案!$A56="","",项目档案!$A56)</f>
        <v>A051</v>
      </c>
      <c r="B56" s="40" t="str">
        <f aca="false">IF($A56="","",项目档案!$B56)</f>
        <v>2025-2026年度工程用特种设备租赁服务框架采购(10kV少盘线哨楼村支线#1杆线路迁改
工程)</v>
      </c>
      <c r="C56" s="32" t="str">
        <f aca="false">IF($A56="","",项目档案!$C56)</f>
        <v>民能</v>
      </c>
      <c r="D56" s="32" t="str">
        <f aca="false">IF($A56="","",项目档案!$D56)</f>
        <v>迅驰</v>
      </c>
      <c r="E56" s="41" t="n">
        <f aca="false">IF($A56="","",SUMIFS(业务流水!$H$5:$H$1504,业务流水!$E$5:$E$1504,$D56,业务流水!$D$5:$D$1504,"销项开票",业务流水!$C$5:$C$1504,$A56,业务流水!$Z$5:$Z$1504,"是"))</f>
        <v>3506.6</v>
      </c>
      <c r="F56" s="49" t="n">
        <f aca="false">IF(OR($A56="",$E56=0),"",SUMIFS(业务流水!$O$5:$O$1504,业务流水!$E$5:$E$1504,$D56,业务流水!$D$5:$D$1504,"销项开票",业务流水!$C$5:$C$1504,$A56,业务流水!$Z$5:$Z$1504,"是")/$E56)</f>
        <v>0.0399988592939029</v>
      </c>
      <c r="G56" s="41" t="n">
        <f aca="false">IF($A56="","",SUMIFS(业务流水!$O$5:$O$1504,业务流水!$E$5:$E$1504,$D56,业务流水!$D$5:$D$1504,"销项开票",业务流水!$C$5:$C$1504,$A56,业务流水!$Z$5:$Z$1504,"是"))</f>
        <v>140.26</v>
      </c>
      <c r="H56" s="42" t="n">
        <f aca="false">IF($A56="","",$E56-$G56)</f>
        <v>3366.34</v>
      </c>
      <c r="I56" s="32" t="n">
        <f aca="false">IF($A56="","",项目档案!$F56)</f>
        <v>0</v>
      </c>
      <c r="J56" s="41" t="n">
        <f aca="false">IF(OR($A56="",$I56=""),0,SUMIFS(业务流水!$H$5:$H$1504,业务流水!$E$5:$E$1504,$I56,业务流水!$D$5:$D$1504,"销项开票",业务流水!$C$5:$C$1504,$A56,业务流水!$Z$5:$Z$1504,"是"))</f>
        <v>0</v>
      </c>
      <c r="K56" s="49" t="str">
        <f aca="false">IF(OR($A56="",$J56=0),"",SUMIFS(业务流水!$O$5:$O$1504,业务流水!$E$5:$E$1504,$I56,业务流水!$D$5:$D$1504,"销项开票",业务流水!$C$5:$C$1504,$A56,业务流水!$Z$5:$Z$1504,"是")/$J56)</f>
        <v/>
      </c>
      <c r="L56" s="41" t="n">
        <f aca="false">IF(OR($A56="",$I56=""),0,SUMIFS(业务流水!$O$5:$O$1504,业务流水!$E$5:$E$1504,$I56,业务流水!$D$5:$D$1504,"销项开票",业务流水!$C$5:$C$1504,$A56,业务流水!$Z$5:$Z$1504,"是"))</f>
        <v>0</v>
      </c>
      <c r="M56" s="43" t="n">
        <f aca="false">IF($A56="","",IF(AND($I56&lt;&gt;"",$J56&gt;0),$J56-$L56,$H56))</f>
        <v>3366.34</v>
      </c>
      <c r="N56" s="41" t="n">
        <f aca="false">IF($A56="","",SUMIFS(业务流水!$H$5:$H$1504,业务流水!$F$5:$F$1504,"*",业务流水!$D$5:$D$1504,"成本票",业务流水!$C$5:$C$1504,$A56,业务流水!$Z$5:$Z$1504,"是"))</f>
        <v>3366.34</v>
      </c>
      <c r="O56" s="43" t="n">
        <f aca="false">IF($A56="","",ROUND($M56-$N56,2))</f>
        <v>0</v>
      </c>
      <c r="P56" s="33" t="str">
        <f aca="false">IF($A56="","",IF(ABS($O56)&lt;1,"✓ 已开齐",IF($O56&gt;0,"还差成本票","多开了")))</f>
        <v>✓ 已开齐</v>
      </c>
    </row>
    <row r="57" customFormat="false" ht="15.75" hidden="false" customHeight="true" outlineLevel="0" collapsed="false">
      <c r="A57" s="32" t="str">
        <f aca="false">IF(项目档案!$A57="","",项目档案!$A57)</f>
        <v>A052</v>
      </c>
      <c r="B57" s="40" t="str">
        <f aca="false">IF($A57="","",项目档案!$B57)</f>
        <v>铜梁公司2026年配电专业应急抢修抢险等外包项目（永嘉所义和8社等台区3个对地不足隐患治理项目)</v>
      </c>
      <c r="C57" s="32" t="str">
        <f aca="false">IF($A57="","",项目档案!$C57)</f>
        <v>民能</v>
      </c>
      <c r="D57" s="32" t="str">
        <f aca="false">IF($A57="","",项目档案!$D57)</f>
        <v>华城</v>
      </c>
      <c r="E57" s="41" t="n">
        <f aca="false">IF($A57="","",SUMIFS(业务流水!$H$5:$H$1504,业务流水!$E$5:$E$1504,$D57,业务流水!$D$5:$D$1504,"销项开票",业务流水!$C$5:$C$1504,$A57,业务流水!$Z$5:$Z$1504,"是"))</f>
        <v>0</v>
      </c>
      <c r="F57" s="49" t="str">
        <f aca="false">IF(OR($A57="",$E57=0),"",SUMIFS(业务流水!$O$5:$O$1504,业务流水!$E$5:$E$1504,$D57,业务流水!$D$5:$D$1504,"销项开票",业务流水!$C$5:$C$1504,$A57,业务流水!$Z$5:$Z$1504,"是")/$E57)</f>
        <v/>
      </c>
      <c r="G57" s="41" t="n">
        <f aca="false">IF($A57="","",SUMIFS(业务流水!$O$5:$O$1504,业务流水!$E$5:$E$1504,$D57,业务流水!$D$5:$D$1504,"销项开票",业务流水!$C$5:$C$1504,$A57,业务流水!$Z$5:$Z$1504,"是"))</f>
        <v>0</v>
      </c>
      <c r="H57" s="42" t="n">
        <f aca="false">IF($A57="","",$E57-$G57)</f>
        <v>0</v>
      </c>
      <c r="I57" s="32" t="n">
        <f aca="false">IF($A57="","",项目档案!$F57)</f>
        <v>0</v>
      </c>
      <c r="J57" s="41" t="n">
        <f aca="false">IF(OR($A57="",$I57=""),0,SUMIFS(业务流水!$H$5:$H$1504,业务流水!$E$5:$E$1504,$I57,业务流水!$D$5:$D$1504,"销项开票",业务流水!$C$5:$C$1504,$A57,业务流水!$Z$5:$Z$1504,"是"))</f>
        <v>0</v>
      </c>
      <c r="K57" s="49" t="str">
        <f aca="false">IF(OR($A57="",$J57=0),"",SUMIFS(业务流水!$O$5:$O$1504,业务流水!$E$5:$E$1504,$I57,业务流水!$D$5:$D$1504,"销项开票",业务流水!$C$5:$C$1504,$A57,业务流水!$Z$5:$Z$1504,"是")/$J57)</f>
        <v/>
      </c>
      <c r="L57" s="41" t="n">
        <f aca="false">IF(OR($A57="",$I57=""),0,SUMIFS(业务流水!$O$5:$O$1504,业务流水!$E$5:$E$1504,$I57,业务流水!$D$5:$D$1504,"销项开票",业务流水!$C$5:$C$1504,$A57,业务流水!$Z$5:$Z$1504,"是"))</f>
        <v>0</v>
      </c>
      <c r="M57" s="43" t="n">
        <f aca="false">IF($A57="","",IF(AND($I57&lt;&gt;"",$J57&gt;0),$J57-$L57,$H57))</f>
        <v>0</v>
      </c>
      <c r="N57" s="41" t="n">
        <f aca="false">IF($A57="","",SUMIFS(业务流水!$H$5:$H$1504,业务流水!$F$5:$F$1504,"*",业务流水!$D$5:$D$1504,"成本票",业务流水!$C$5:$C$1504,$A57,业务流水!$Z$5:$Z$1504,"是"))</f>
        <v>11469.82</v>
      </c>
      <c r="O57" s="43" t="n">
        <f aca="false">IF($A57="","",ROUND($M57-$N57,2))</f>
        <v>-11469.82</v>
      </c>
      <c r="P57" s="33" t="str">
        <f aca="false">IF($A57="","",IF(ABS($O57)&lt;1,"✓ 已开齐",IF($O57&gt;0,"还差成本票","多开了")))</f>
        <v>多开了</v>
      </c>
    </row>
    <row r="58" customFormat="false" ht="15.75" hidden="false" customHeight="true" outlineLevel="0" collapsed="false">
      <c r="A58" s="32" t="str">
        <f aca="false">IF(项目档案!$A58="","",项目档案!$A58)</f>
        <v>A053</v>
      </c>
      <c r="B58" s="40" t="str">
        <f aca="false">IF($A58="","",项目档案!$B58)</f>
        <v>铜梁公司2026年35kV输电专业应急抢修检修外包项目(输电运检中心2026年35kV线路接地隐患消除等3项目)</v>
      </c>
      <c r="C58" s="32" t="str">
        <f aca="false">IF($A58="","",项目档案!$C58)</f>
        <v>民能</v>
      </c>
      <c r="D58" s="32" t="str">
        <f aca="false">IF($A58="","",项目档案!$D58)</f>
        <v>华城</v>
      </c>
      <c r="E58" s="41" t="n">
        <f aca="false">IF($A58="","",SUMIFS(业务流水!$H$5:$H$1504,业务流水!$E$5:$E$1504,$D58,业务流水!$D$5:$D$1504,"销项开票",业务流水!$C$5:$C$1504,$A58,业务流水!$Z$5:$Z$1504,"是"))</f>
        <v>0</v>
      </c>
      <c r="F58" s="49" t="str">
        <f aca="false">IF(OR($A58="",$E58=0),"",SUMIFS(业务流水!$O$5:$O$1504,业务流水!$E$5:$E$1504,$D58,业务流水!$D$5:$D$1504,"销项开票",业务流水!$C$5:$C$1504,$A58,业务流水!$Z$5:$Z$1504,"是")/$E58)</f>
        <v/>
      </c>
      <c r="G58" s="41" t="n">
        <f aca="false">IF($A58="","",SUMIFS(业务流水!$O$5:$O$1504,业务流水!$E$5:$E$1504,$D58,业务流水!$D$5:$D$1504,"销项开票",业务流水!$C$5:$C$1504,$A58,业务流水!$Z$5:$Z$1504,"是"))</f>
        <v>0</v>
      </c>
      <c r="H58" s="42" t="n">
        <f aca="false">IF($A58="","",$E58-$G58)</f>
        <v>0</v>
      </c>
      <c r="I58" s="32" t="n">
        <f aca="false">IF($A58="","",项目档案!$F58)</f>
        <v>0</v>
      </c>
      <c r="J58" s="41" t="n">
        <f aca="false">IF(OR($A58="",$I58=""),0,SUMIFS(业务流水!$H$5:$H$1504,业务流水!$E$5:$E$1504,$I58,业务流水!$D$5:$D$1504,"销项开票",业务流水!$C$5:$C$1504,$A58,业务流水!$Z$5:$Z$1504,"是"))</f>
        <v>0</v>
      </c>
      <c r="K58" s="49" t="str">
        <f aca="false">IF(OR($A58="",$J58=0),"",SUMIFS(业务流水!$O$5:$O$1504,业务流水!$E$5:$E$1504,$I58,业务流水!$D$5:$D$1504,"销项开票",业务流水!$C$5:$C$1504,$A58,业务流水!$Z$5:$Z$1504,"是")/$J58)</f>
        <v/>
      </c>
      <c r="L58" s="41" t="n">
        <f aca="false">IF(OR($A58="",$I58=""),0,SUMIFS(业务流水!$O$5:$O$1504,业务流水!$E$5:$E$1504,$I58,业务流水!$D$5:$D$1504,"销项开票",业务流水!$C$5:$C$1504,$A58,业务流水!$Z$5:$Z$1504,"是"))</f>
        <v>0</v>
      </c>
      <c r="M58" s="43" t="n">
        <f aca="false">IF($A58="","",IF(AND($I58&lt;&gt;"",$J58&gt;0),$J58-$L58,$H58))</f>
        <v>0</v>
      </c>
      <c r="N58" s="41" t="n">
        <f aca="false">IF($A58="","",SUMIFS(业务流水!$H$5:$H$1504,业务流水!$F$5:$F$1504,"*",业务流水!$D$5:$D$1504,"成本票",业务流水!$C$5:$C$1504,$A58,业务流水!$Z$5:$Z$1504,"是"))</f>
        <v>6045.34</v>
      </c>
      <c r="O58" s="43" t="n">
        <f aca="false">IF($A58="","",ROUND($M58-$N58,2))</f>
        <v>-6045.34</v>
      </c>
      <c r="P58" s="33" t="str">
        <f aca="false">IF($A58="","",IF(ABS($O58)&lt;1,"✓ 已开齐",IF($O58&gt;0,"还差成本票","多开了")))</f>
        <v>多开了</v>
      </c>
    </row>
    <row r="59" customFormat="false" ht="15.75" hidden="false" customHeight="true" outlineLevel="0" collapsed="false">
      <c r="A59" s="32" t="str">
        <f aca="false">IF(项目档案!$A59="","",项目档案!$A59)</f>
        <v>A054</v>
      </c>
      <c r="B59" s="40" t="str">
        <f aca="false">IF($A59="","",项目档案!$B59)</f>
        <v>重庆市铜梁区滨河东路68小区居民供电设施改造工程</v>
      </c>
      <c r="C59" s="32" t="str">
        <f aca="false">IF($A59="","",项目档案!$C59)</f>
        <v>铜梁供电</v>
      </c>
      <c r="D59" s="32" t="str">
        <f aca="false">IF($A59="","",项目档案!$D59)</f>
        <v>湖南锦泰</v>
      </c>
      <c r="E59" s="41" t="n">
        <f aca="false">IF($A59="","",SUMIFS(业务流水!$H$5:$H$1504,业务流水!$E$5:$E$1504,$D59,业务流水!$D$5:$D$1504,"销项开票",业务流水!$C$5:$C$1504,$A59,业务流水!$Z$5:$Z$1504,"是"))</f>
        <v>25270.54</v>
      </c>
      <c r="F59" s="49" t="n">
        <f aca="false">IF(OR($A59="",$E59=0),"",SUMIFS(业务流水!$O$5:$O$1504,业务流水!$E$5:$E$1504,$D59,业务流水!$D$5:$D$1504,"销项开票",业务流水!$C$5:$C$1504,$A59,业务流水!$Z$5:$Z$1504,"是")/$E59)</f>
        <v>0.0999998417129195</v>
      </c>
      <c r="G59" s="41" t="n">
        <f aca="false">IF($A59="","",SUMIFS(业务流水!$O$5:$O$1504,业务流水!$E$5:$E$1504,$D59,业务流水!$D$5:$D$1504,"销项开票",业务流水!$C$5:$C$1504,$A59,业务流水!$Z$5:$Z$1504,"是"))</f>
        <v>2527.05</v>
      </c>
      <c r="H59" s="42" t="n">
        <f aca="false">IF($A59="","",$E59-$G59)</f>
        <v>22743.49</v>
      </c>
      <c r="I59" s="32" t="n">
        <f aca="false">IF($A59="","",项目档案!$F59)</f>
        <v>0</v>
      </c>
      <c r="J59" s="41" t="n">
        <f aca="false">IF(OR($A59="",$I59=""),0,SUMIFS(业务流水!$H$5:$H$1504,业务流水!$E$5:$E$1504,$I59,业务流水!$D$5:$D$1504,"销项开票",业务流水!$C$5:$C$1504,$A59,业务流水!$Z$5:$Z$1504,"是"))</f>
        <v>0</v>
      </c>
      <c r="K59" s="49" t="str">
        <f aca="false">IF(OR($A59="",$J59=0),"",SUMIFS(业务流水!$O$5:$O$1504,业务流水!$E$5:$E$1504,$I59,业务流水!$D$5:$D$1504,"销项开票",业务流水!$C$5:$C$1504,$A59,业务流水!$Z$5:$Z$1504,"是")/$J59)</f>
        <v/>
      </c>
      <c r="L59" s="41" t="n">
        <f aca="false">IF(OR($A59="",$I59=""),0,SUMIFS(业务流水!$O$5:$O$1504,业务流水!$E$5:$E$1504,$I59,业务流水!$D$5:$D$1504,"销项开票",业务流水!$C$5:$C$1504,$A59,业务流水!$Z$5:$Z$1504,"是"))</f>
        <v>0</v>
      </c>
      <c r="M59" s="43" t="n">
        <f aca="false">IF($A59="","",IF(AND($I59&lt;&gt;"",$J59&gt;0),$J59-$L59,$H59))</f>
        <v>22743.49</v>
      </c>
      <c r="N59" s="41" t="n">
        <f aca="false">IF($A59="","",SUMIFS(业务流水!$H$5:$H$1504,业务流水!$F$5:$F$1504,"*",业务流水!$D$5:$D$1504,"成本票",业务流水!$C$5:$C$1504,$A59,业务流水!$Z$5:$Z$1504,"是"))</f>
        <v>0</v>
      </c>
      <c r="O59" s="43" t="n">
        <f aca="false">IF($A59="","",ROUND($M59-$N59,2))</f>
        <v>22743.49</v>
      </c>
      <c r="P59" s="33" t="str">
        <f aca="false">IF($A59="","",IF(ABS($O59)&lt;1,"✓ 已开齐",IF($O59&gt;0,"还差成本票","多开了")))</f>
        <v>还差成本票</v>
      </c>
    </row>
    <row r="60" customFormat="false" ht="15.75" hidden="false" customHeight="true" outlineLevel="0" collapsed="false">
      <c r="A60" s="32" t="str">
        <f aca="false">IF(项目档案!$A60="","",项目档案!$A60)</f>
        <v>A055</v>
      </c>
      <c r="B60" s="40" t="str">
        <f aca="false">IF($A60="","",项目档案!$B60)</f>
        <v>重庆市铜梁区新华商住楼居民供电设施改造工程</v>
      </c>
      <c r="C60" s="32" t="str">
        <f aca="false">IF($A60="","",项目档案!$C60)</f>
        <v>铜梁供电</v>
      </c>
      <c r="D60" s="32" t="str">
        <f aca="false">IF($A60="","",项目档案!$D60)</f>
        <v>湖南锦泰</v>
      </c>
      <c r="E60" s="41" t="n">
        <f aca="false">IF($A60="","",SUMIFS(业务流水!$H$5:$H$1504,业务流水!$E$5:$E$1504,$D60,业务流水!$D$5:$D$1504,"销项开票",业务流水!$C$5:$C$1504,$A60,业务流水!$Z$5:$Z$1504,"是"))</f>
        <v>32370.62</v>
      </c>
      <c r="F60" s="49" t="n">
        <f aca="false">IF(OR($A60="",$E60=0),"",SUMIFS(业务流水!$O$5:$O$1504,业务流水!$E$5:$E$1504,$D60,业务流水!$D$5:$D$1504,"销项开票",业务流水!$C$5:$C$1504,$A60,业务流水!$Z$5:$Z$1504,"是")/$E60)</f>
        <v>0.0999999382155794</v>
      </c>
      <c r="G60" s="41" t="n">
        <f aca="false">IF($A60="","",SUMIFS(业务流水!$O$5:$O$1504,业务流水!$E$5:$E$1504,$D60,业务流水!$D$5:$D$1504,"销项开票",业务流水!$C$5:$C$1504,$A60,业务流水!$Z$5:$Z$1504,"是"))</f>
        <v>3237.06</v>
      </c>
      <c r="H60" s="42" t="n">
        <f aca="false">IF($A60="","",$E60-$G60)</f>
        <v>29133.56</v>
      </c>
      <c r="I60" s="32" t="n">
        <f aca="false">IF($A60="","",项目档案!$F60)</f>
        <v>0</v>
      </c>
      <c r="J60" s="41" t="n">
        <f aca="false">IF(OR($A60="",$I60=""),0,SUMIFS(业务流水!$H$5:$H$1504,业务流水!$E$5:$E$1504,$I60,业务流水!$D$5:$D$1504,"销项开票",业务流水!$C$5:$C$1504,$A60,业务流水!$Z$5:$Z$1504,"是"))</f>
        <v>0</v>
      </c>
      <c r="K60" s="49" t="str">
        <f aca="false">IF(OR($A60="",$J60=0),"",SUMIFS(业务流水!$O$5:$O$1504,业务流水!$E$5:$E$1504,$I60,业务流水!$D$5:$D$1504,"销项开票",业务流水!$C$5:$C$1504,$A60,业务流水!$Z$5:$Z$1504,"是")/$J60)</f>
        <v/>
      </c>
      <c r="L60" s="41" t="n">
        <f aca="false">IF(OR($A60="",$I60=""),0,SUMIFS(业务流水!$O$5:$O$1504,业务流水!$E$5:$E$1504,$I60,业务流水!$D$5:$D$1504,"销项开票",业务流水!$C$5:$C$1504,$A60,业务流水!$Z$5:$Z$1504,"是"))</f>
        <v>0</v>
      </c>
      <c r="M60" s="43" t="n">
        <f aca="false">IF($A60="","",IF(AND($I60&lt;&gt;"",$J60&gt;0),$J60-$L60,$H60))</f>
        <v>29133.56</v>
      </c>
      <c r="N60" s="41" t="n">
        <f aca="false">IF($A60="","",SUMIFS(业务流水!$H$5:$H$1504,业务流水!$F$5:$F$1504,"*",业务流水!$D$5:$D$1504,"成本票",业务流水!$C$5:$C$1504,$A60,业务流水!$Z$5:$Z$1504,"是"))</f>
        <v>0</v>
      </c>
      <c r="O60" s="43" t="n">
        <f aca="false">IF($A60="","",ROUND($M60-$N60,2))</f>
        <v>29133.56</v>
      </c>
      <c r="P60" s="33" t="str">
        <f aca="false">IF($A60="","",IF(ABS($O60)&lt;1,"✓ 已开齐",IF($O60&gt;0,"还差成本票","多开了")))</f>
        <v>还差成本票</v>
      </c>
    </row>
    <row r="61" customFormat="false" ht="15.75" hidden="false" customHeight="true" outlineLevel="0" collapsed="false">
      <c r="A61" s="32" t="str">
        <f aca="false">IF(项目档案!$A61="","",项目档案!$A61)</f>
        <v>A056</v>
      </c>
      <c r="B61" s="40" t="str">
        <f aca="false">IF($A61="","",项目档案!$B61)</f>
        <v>铜梁公司2026年配电专业应急抢修抢险等外包项目(永嘉所许家3社1等台区2个隐患治理项目)</v>
      </c>
      <c r="C61" s="32" t="str">
        <f aca="false">IF($A61="","",项目档案!$C61)</f>
        <v>民能</v>
      </c>
      <c r="D61" s="32" t="str">
        <f aca="false">IF($A61="","",项目档案!$D61)</f>
        <v>华城</v>
      </c>
      <c r="E61" s="41" t="n">
        <f aca="false">IF($A61="","",SUMIFS(业务流水!$H$5:$H$1504,业务流水!$E$5:$E$1504,$D61,业务流水!$D$5:$D$1504,"销项开票",业务流水!$C$5:$C$1504,$A61,业务流水!$Z$5:$Z$1504,"是"))</f>
        <v>0</v>
      </c>
      <c r="F61" s="49" t="str">
        <f aca="false">IF(OR($A61="",$E61=0),"",SUMIFS(业务流水!$O$5:$O$1504,业务流水!$E$5:$E$1504,$D61,业务流水!$D$5:$D$1504,"销项开票",业务流水!$C$5:$C$1504,$A61,业务流水!$Z$5:$Z$1504,"是")/$E61)</f>
        <v/>
      </c>
      <c r="G61" s="41" t="n">
        <f aca="false">IF($A61="","",SUMIFS(业务流水!$O$5:$O$1504,业务流水!$E$5:$E$1504,$D61,业务流水!$D$5:$D$1504,"销项开票",业务流水!$C$5:$C$1504,$A61,业务流水!$Z$5:$Z$1504,"是"))</f>
        <v>0</v>
      </c>
      <c r="H61" s="42" t="n">
        <f aca="false">IF($A61="","",$E61-$G61)</f>
        <v>0</v>
      </c>
      <c r="I61" s="32" t="str">
        <f aca="false">IF($A61="","",项目档案!$F61)</f>
        <v>民能</v>
      </c>
      <c r="J61" s="41" t="n">
        <f aca="false">IF(OR($A61="",$I61=""),0,SUMIFS(业务流水!$H$5:$H$1504,业务流水!$E$5:$E$1504,$I61,业务流水!$D$5:$D$1504,"销项开票",业务流水!$C$5:$C$1504,$A61,业务流水!$Z$5:$Z$1504,"是"))</f>
        <v>3725.89</v>
      </c>
      <c r="K61" s="49" t="n">
        <f aca="false">IF(OR($A61="",$J61=0),"",SUMIFS(业务流水!$O$5:$O$1504,业务流水!$E$5:$E$1504,$I61,业务流水!$D$5:$D$1504,"销项开票",业务流水!$C$5:$C$1504,$A61,业务流水!$Z$5:$Z$1504,"是")/$J61)</f>
        <v>0</v>
      </c>
      <c r="L61" s="41" t="n">
        <f aca="false">IF(OR($A61="",$I61=""),0,SUMIFS(业务流水!$O$5:$O$1504,业务流水!$E$5:$E$1504,$I61,业务流水!$D$5:$D$1504,"销项开票",业务流水!$C$5:$C$1504,$A61,业务流水!$Z$5:$Z$1504,"是"))</f>
        <v>0</v>
      </c>
      <c r="M61" s="43" t="n">
        <f aca="false">IF($A61="","",IF(AND($I61&lt;&gt;"",$J61&gt;0),$J61-$L61,$H61))</f>
        <v>3725.89</v>
      </c>
      <c r="N61" s="41" t="n">
        <f aca="false">IF($A61="","",SUMIFS(业务流水!$H$5:$H$1504,业务流水!$F$5:$F$1504,"*",业务流水!$D$5:$D$1504,"成本票",业务流水!$C$5:$C$1504,$A61,业务流水!$Z$5:$Z$1504,"是"))</f>
        <v>0</v>
      </c>
      <c r="O61" s="43" t="n">
        <f aca="false">IF($A61="","",ROUND($M61-$N61,2))</f>
        <v>3725.89</v>
      </c>
      <c r="P61" s="33" t="str">
        <f aca="false">IF($A61="","",IF(ABS($O61)&lt;1,"✓ 已开齐",IF($O61&gt;0,"还差成本票","多开了")))</f>
        <v>还差成本票</v>
      </c>
    </row>
    <row r="62" customFormat="false" ht="15.75" hidden="false" customHeight="true" outlineLevel="0" collapsed="false">
      <c r="A62" s="32" t="str">
        <f aca="false">IF(项目档案!$A62="","",项目档案!$A62)</f>
        <v>A057</v>
      </c>
      <c r="B62" s="40" t="str">
        <f aca="false">IF($A62="","",项目档案!$B62)</f>
        <v>华润电力重庆能源铜梁平滩农光互补项目220kV升压站PC工程</v>
      </c>
      <c r="C62" s="32" t="str">
        <f aca="false">IF($A62="","",项目档案!$C62)</f>
        <v>民能</v>
      </c>
      <c r="D62" s="32" t="str">
        <f aca="false">IF($A62="","",项目档案!$D62)</f>
        <v>华城</v>
      </c>
      <c r="E62" s="41" t="n">
        <f aca="false">IF($A62="","",SUMIFS(业务流水!$H$5:$H$1504,业务流水!$E$5:$E$1504,$D62,业务流水!$D$5:$D$1504,"销项开票",业务流水!$C$5:$C$1504,$A62,业务流水!$Z$5:$Z$1504,"是"))</f>
        <v>0</v>
      </c>
      <c r="F62" s="49" t="str">
        <f aca="false">IF(OR($A62="",$E62=0),"",SUMIFS(业务流水!$O$5:$O$1504,业务流水!$E$5:$E$1504,$D62,业务流水!$D$5:$D$1504,"销项开票",业务流水!$C$5:$C$1504,$A62,业务流水!$Z$5:$Z$1504,"是")/$E62)</f>
        <v/>
      </c>
      <c r="G62" s="41" t="n">
        <f aca="false">IF($A62="","",SUMIFS(业务流水!$O$5:$O$1504,业务流水!$E$5:$E$1504,$D62,业务流水!$D$5:$D$1504,"销项开票",业务流水!$C$5:$C$1504,$A62,业务流水!$Z$5:$Z$1504,"是"))</f>
        <v>0</v>
      </c>
      <c r="H62" s="42" t="n">
        <f aca="false">IF($A62="","",$E62-$G62)</f>
        <v>0</v>
      </c>
      <c r="I62" s="32" t="n">
        <f aca="false">IF($A62="","",项目档案!$F62)</f>
        <v>0</v>
      </c>
      <c r="J62" s="41" t="n">
        <f aca="false">IF(OR($A62="",$I62=""),0,SUMIFS(业务流水!$H$5:$H$1504,业务流水!$E$5:$E$1504,$I62,业务流水!$D$5:$D$1504,"销项开票",业务流水!$C$5:$C$1504,$A62,业务流水!$Z$5:$Z$1504,"是"))</f>
        <v>0</v>
      </c>
      <c r="K62" s="49" t="str">
        <f aca="false">IF(OR($A62="",$J62=0),"",SUMIFS(业务流水!$O$5:$O$1504,业务流水!$E$5:$E$1504,$I62,业务流水!$D$5:$D$1504,"销项开票",业务流水!$C$5:$C$1504,$A62,业务流水!$Z$5:$Z$1504,"是")/$J62)</f>
        <v/>
      </c>
      <c r="L62" s="41" t="n">
        <f aca="false">IF(OR($A62="",$I62=""),0,SUMIFS(业务流水!$O$5:$O$1504,业务流水!$E$5:$E$1504,$I62,业务流水!$D$5:$D$1504,"销项开票",业务流水!$C$5:$C$1504,$A62,业务流水!$Z$5:$Z$1504,"是"))</f>
        <v>0</v>
      </c>
      <c r="M62" s="43" t="n">
        <f aca="false">IF($A62="","",IF(AND($I62&lt;&gt;"",$J62&gt;0),$J62-$L62,$H62))</f>
        <v>0</v>
      </c>
      <c r="N62" s="41" t="n">
        <f aca="false">IF($A62="","",SUMIFS(业务流水!$H$5:$H$1504,业务流水!$F$5:$F$1504,"*",业务流水!$D$5:$D$1504,"成本票",业务流水!$C$5:$C$1504,$A62,业务流水!$Z$5:$Z$1504,"是"))</f>
        <v>3229.84</v>
      </c>
      <c r="O62" s="43" t="n">
        <f aca="false">IF($A62="","",ROUND($M62-$N62,2))</f>
        <v>-3229.84</v>
      </c>
      <c r="P62" s="33" t="str">
        <f aca="false">IF($A62="","",IF(ABS($O62)&lt;1,"✓ 已开齐",IF($O62&gt;0,"还差成本票","多开了")))</f>
        <v>多开了</v>
      </c>
    </row>
    <row r="63" customFormat="false" ht="15.75" hidden="false" customHeight="true" outlineLevel="0" collapsed="false">
      <c r="A63" s="32" t="str">
        <f aca="false">IF(项目档案!$A63="","",项目档案!$A63)</f>
        <v>A058</v>
      </c>
      <c r="B63" s="40" t="str">
        <f aca="false">IF($A63="","",项目档案!$B63)</f>
        <v>重庆稷博汇物流有限公司10kV充电桩新装用电工程</v>
      </c>
      <c r="C63" s="32" t="str">
        <f aca="false">IF($A63="","",项目档案!$C63)</f>
        <v>民能</v>
      </c>
      <c r="D63" s="32" t="str">
        <f aca="false">IF($A63="","",项目档案!$D63)</f>
        <v>康欣</v>
      </c>
      <c r="E63" s="41" t="n">
        <f aca="false">IF($A63="","",SUMIFS(业务流水!$H$5:$H$1504,业务流水!$E$5:$E$1504,$D63,业务流水!$D$5:$D$1504,"销项开票",业务流水!$C$5:$C$1504,$A63,业务流水!$Z$5:$Z$1504,"是"))</f>
        <v>7068.84</v>
      </c>
      <c r="F63" s="49" t="n">
        <f aca="false">IF(OR($A63="",$E63=0),"",SUMIFS(业务流水!$O$5:$O$1504,业务流水!$E$5:$E$1504,$D63,业务流水!$D$5:$D$1504,"销项开票",业务流水!$C$5:$C$1504,$A63,业务流水!$Z$5:$Z$1504,"是")/$E63)</f>
        <v>0.0199990380316997</v>
      </c>
      <c r="G63" s="41" t="n">
        <f aca="false">IF($A63="","",SUMIFS(业务流水!$O$5:$O$1504,业务流水!$E$5:$E$1504,$D63,业务流水!$D$5:$D$1504,"销项开票",业务流水!$C$5:$C$1504,$A63,业务流水!$Z$5:$Z$1504,"是"))</f>
        <v>141.37</v>
      </c>
      <c r="H63" s="42" t="n">
        <f aca="false">IF($A63="","",$E63-$G63)</f>
        <v>6927.47</v>
      </c>
      <c r="I63" s="32" t="n">
        <f aca="false">IF($A63="","",项目档案!$F63)</f>
        <v>0</v>
      </c>
      <c r="J63" s="41" t="n">
        <f aca="false">IF(OR($A63="",$I63=""),0,SUMIFS(业务流水!$H$5:$H$1504,业务流水!$E$5:$E$1504,$I63,业务流水!$D$5:$D$1504,"销项开票",业务流水!$C$5:$C$1504,$A63,业务流水!$Z$5:$Z$1504,"是"))</f>
        <v>0</v>
      </c>
      <c r="K63" s="49" t="str">
        <f aca="false">IF(OR($A63="",$J63=0),"",SUMIFS(业务流水!$O$5:$O$1504,业务流水!$E$5:$E$1504,$I63,业务流水!$D$5:$D$1504,"销项开票",业务流水!$C$5:$C$1504,$A63,业务流水!$Z$5:$Z$1504,"是")/$J63)</f>
        <v/>
      </c>
      <c r="L63" s="41" t="n">
        <f aca="false">IF(OR($A63="",$I63=""),0,SUMIFS(业务流水!$O$5:$O$1504,业务流水!$E$5:$E$1504,$I63,业务流水!$D$5:$D$1504,"销项开票",业务流水!$C$5:$C$1504,$A63,业务流水!$Z$5:$Z$1504,"是"))</f>
        <v>0</v>
      </c>
      <c r="M63" s="43" t="n">
        <f aca="false">IF($A63="","",IF(AND($I63&lt;&gt;"",$J63&gt;0),$J63-$L63,$H63))</f>
        <v>6927.47</v>
      </c>
      <c r="N63" s="41" t="n">
        <f aca="false">IF($A63="","",SUMIFS(业务流水!$H$5:$H$1504,业务流水!$F$5:$F$1504,"*",业务流水!$D$5:$D$1504,"成本票",业务流水!$C$5:$C$1504,$A63,业务流水!$Z$5:$Z$1504,"是"))</f>
        <v>0</v>
      </c>
      <c r="O63" s="43" t="n">
        <f aca="false">IF($A63="","",ROUND($M63-$N63,2))</f>
        <v>6927.47</v>
      </c>
      <c r="P63" s="33" t="str">
        <f aca="false">IF($A63="","",IF(ABS($O63)&lt;1,"✓ 已开齐",IF($O63&gt;0,"还差成本票","多开了")))</f>
        <v>还差成本票</v>
      </c>
    </row>
    <row r="64" customFormat="false" ht="15.75" hidden="false" customHeight="true" outlineLevel="0" collapsed="false">
      <c r="A64" s="32" t="str">
        <f aca="false">IF(项目档案!$A64="","",项目档案!$A64)</f>
        <v>A059</v>
      </c>
      <c r="B64" s="40" t="str">
        <f aca="false">IF($A64="","",项目档案!$B64)</f>
        <v>（新项目：请填项目全称）</v>
      </c>
      <c r="C64" s="32" t="str">
        <f aca="false">IF($A64="","",项目档案!$C64)</f>
        <v>民能</v>
      </c>
      <c r="D64" s="32" t="n">
        <f aca="false">IF($A64="","",项目档案!$D64)</f>
        <v>0</v>
      </c>
      <c r="E64" s="41" t="n">
        <f aca="false">IF($A64="","",SUMIFS(业务流水!$H$5:$H$1504,业务流水!$E$5:$E$1504,$D64,业务流水!$D$5:$D$1504,"销项开票",业务流水!$C$5:$C$1504,$A64,业务流水!$Z$5:$Z$1504,"是"))</f>
        <v>0</v>
      </c>
      <c r="F64" s="49" t="str">
        <f aca="false">IF(OR($A64="",$E64=0),"",SUMIFS(业务流水!$O$5:$O$1504,业务流水!$E$5:$E$1504,$D64,业务流水!$D$5:$D$1504,"销项开票",业务流水!$C$5:$C$1504,$A64,业务流水!$Z$5:$Z$1504,"是")/$E64)</f>
        <v/>
      </c>
      <c r="G64" s="41" t="n">
        <f aca="false">IF($A64="","",SUMIFS(业务流水!$O$5:$O$1504,业务流水!$E$5:$E$1504,$D64,业务流水!$D$5:$D$1504,"销项开票",业务流水!$C$5:$C$1504,$A64,业务流水!$Z$5:$Z$1504,"是"))</f>
        <v>0</v>
      </c>
      <c r="H64" s="42" t="n">
        <f aca="false">IF($A64="","",$E64-$G64)</f>
        <v>0</v>
      </c>
      <c r="I64" s="32" t="n">
        <f aca="false">IF($A64="","",项目档案!$F64)</f>
        <v>0</v>
      </c>
      <c r="J64" s="41" t="n">
        <f aca="false">IF(OR($A64="",$I64=""),0,SUMIFS(业务流水!$H$5:$H$1504,业务流水!$E$5:$E$1504,$I64,业务流水!$D$5:$D$1504,"销项开票",业务流水!$C$5:$C$1504,$A64,业务流水!$Z$5:$Z$1504,"是"))</f>
        <v>0</v>
      </c>
      <c r="K64" s="49" t="str">
        <f aca="false">IF(OR($A64="",$J64=0),"",SUMIFS(业务流水!$O$5:$O$1504,业务流水!$E$5:$E$1504,$I64,业务流水!$D$5:$D$1504,"销项开票",业务流水!$C$5:$C$1504,$A64,业务流水!$Z$5:$Z$1504,"是")/$J64)</f>
        <v/>
      </c>
      <c r="L64" s="41" t="n">
        <f aca="false">IF(OR($A64="",$I64=""),0,SUMIFS(业务流水!$O$5:$O$1504,业务流水!$E$5:$E$1504,$I64,业务流水!$D$5:$D$1504,"销项开票",业务流水!$C$5:$C$1504,$A64,业务流水!$Z$5:$Z$1504,"是"))</f>
        <v>0</v>
      </c>
      <c r="M64" s="43" t="n">
        <f aca="false">IF($A64="","",IF(AND($I64&lt;&gt;"",$J64&gt;0),$J64-$L64,$H64))</f>
        <v>0</v>
      </c>
      <c r="N64" s="41" t="n">
        <f aca="false">IF($A64="","",SUMIFS(业务流水!$H$5:$H$1504,业务流水!$F$5:$F$1504,"*",业务流水!$D$5:$D$1504,"成本票",业务流水!$C$5:$C$1504,$A64,业务流水!$Z$5:$Z$1504,"是"))</f>
        <v>0</v>
      </c>
      <c r="O64" s="43" t="n">
        <f aca="false">IF($A64="","",ROUND($M64-$N64,2))</f>
        <v>0</v>
      </c>
      <c r="P64" s="33" t="str">
        <f aca="false">IF($A64="","",IF(ABS($O64)&lt;1,"✓ 已开齐",IF($O64&gt;0,"还差成本票","多开了")))</f>
        <v>✓ 已开齐</v>
      </c>
    </row>
    <row r="65" customFormat="false" ht="15.75" hidden="false" customHeight="true" outlineLevel="0" collapsed="false">
      <c r="A65" s="32" t="str">
        <f aca="false">IF(项目档案!$A65="","",项目档案!$A65)</f>
        <v>A060</v>
      </c>
      <c r="B65" s="40" t="str">
        <f aca="false">IF($A65="","",项目档案!$B65)</f>
        <v>华润电力重庆能源铜梁平滩农光互补项目219kV升压站PC工程</v>
      </c>
      <c r="C65" s="32" t="str">
        <f aca="false">IF($A65="","",项目档案!$C65)</f>
        <v>民能</v>
      </c>
      <c r="D65" s="32" t="str">
        <f aca="false">IF($A65="","",项目档案!$D65)</f>
        <v>华城</v>
      </c>
      <c r="E65" s="41" t="n">
        <f aca="false">IF($A65="","",SUMIFS(业务流水!$H$5:$H$1504,业务流水!$E$5:$E$1504,$D65,业务流水!$D$5:$D$1504,"销项开票",业务流水!$C$5:$C$1504,$A65,业务流水!$Z$5:$Z$1504,"是"))</f>
        <v>3295.75</v>
      </c>
      <c r="F65" s="49" t="n">
        <f aca="false">IF(OR($A65="",$E65=0),"",SUMIFS(业务流水!$O$5:$O$1504,业务流水!$E$5:$E$1504,$D65,业务流水!$D$5:$D$1504,"销项开票",业务流水!$C$5:$C$1504,$A65,业务流水!$Z$5:$Z$1504,"是")/$E65)</f>
        <v>0.020001517105363</v>
      </c>
      <c r="G65" s="41" t="n">
        <f aca="false">IF($A65="","",SUMIFS(业务流水!$O$5:$O$1504,业务流水!$E$5:$E$1504,$D65,业务流水!$D$5:$D$1504,"销项开票",业务流水!$C$5:$C$1504,$A65,业务流水!$Z$5:$Z$1504,"是"))</f>
        <v>65.92</v>
      </c>
      <c r="H65" s="42" t="n">
        <f aca="false">IF($A65="","",$E65-$G65)</f>
        <v>3229.83</v>
      </c>
      <c r="I65" s="32" t="n">
        <f aca="false">IF($A65="","",项目档案!$F65)</f>
        <v>0</v>
      </c>
      <c r="J65" s="41" t="n">
        <f aca="false">IF(OR($A65="",$I65=""),0,SUMIFS(业务流水!$H$5:$H$1504,业务流水!$E$5:$E$1504,$I65,业务流水!$D$5:$D$1504,"销项开票",业务流水!$C$5:$C$1504,$A65,业务流水!$Z$5:$Z$1504,"是"))</f>
        <v>0</v>
      </c>
      <c r="K65" s="49" t="str">
        <f aca="false">IF(OR($A65="",$J65=0),"",SUMIFS(业务流水!$O$5:$O$1504,业务流水!$E$5:$E$1504,$I65,业务流水!$D$5:$D$1504,"销项开票",业务流水!$C$5:$C$1504,$A65,业务流水!$Z$5:$Z$1504,"是")/$J65)</f>
        <v/>
      </c>
      <c r="L65" s="41" t="n">
        <f aca="false">IF(OR($A65="",$I65=""),0,SUMIFS(业务流水!$O$5:$O$1504,业务流水!$E$5:$E$1504,$I65,业务流水!$D$5:$D$1504,"销项开票",业务流水!$C$5:$C$1504,$A65,业务流水!$Z$5:$Z$1504,"是"))</f>
        <v>0</v>
      </c>
      <c r="M65" s="43" t="n">
        <f aca="false">IF($A65="","",IF(AND($I65&lt;&gt;"",$J65&gt;0),$J65-$L65,$H65))</f>
        <v>3229.83</v>
      </c>
      <c r="N65" s="41" t="n">
        <f aca="false">IF($A65="","",SUMIFS(业务流水!$H$5:$H$1504,业务流水!$F$5:$F$1504,"*",业务流水!$D$5:$D$1504,"成本票",业务流水!$C$5:$C$1504,$A65,业务流水!$Z$5:$Z$1504,"是"))</f>
        <v>0</v>
      </c>
      <c r="O65" s="43" t="n">
        <f aca="false">IF($A65="","",ROUND($M65-$N65,2))</f>
        <v>3229.83</v>
      </c>
      <c r="P65" s="33" t="str">
        <f aca="false">IF($A65="","",IF(ABS($O65)&lt;1,"✓ 已开齐",IF($O65&gt;0,"还差成本票","多开了")))</f>
        <v>还差成本票</v>
      </c>
    </row>
    <row r="66" customFormat="false" ht="15.75" hidden="false" customHeight="true" outlineLevel="0" collapsed="false">
      <c r="A66" s="32" t="str">
        <f aca="false">IF(项目档案!$A66="","",项目档案!$A66)</f>
        <v>A061</v>
      </c>
      <c r="B66" s="40" t="str">
        <f aca="false">IF($A66="","",项目档案!$B66)</f>
        <v>重庆民能实业有限公司2025-2026年度工程用特种设备租赁服务框架采购（华润电力重庆能源铜梁平滩农光互补项目220kV升压站PC工程）</v>
      </c>
      <c r="C66" s="32" t="str">
        <f aca="false">IF($A66="","",项目档案!$C66)</f>
        <v>民能</v>
      </c>
      <c r="D66" s="32" t="str">
        <f aca="false">IF($A66="","",项目档案!$D66)</f>
        <v>德誉嘉</v>
      </c>
      <c r="E66" s="41" t="n">
        <f aca="false">IF($A66="","",SUMIFS(业务流水!$H$5:$H$1504,业务流水!$E$5:$E$1504,$D66,业务流水!$D$5:$D$1504,"销项开票",业务流水!$C$5:$C$1504,$A66,业务流水!$Z$5:$Z$1504,"是"))</f>
        <v>0</v>
      </c>
      <c r="F66" s="49" t="str">
        <f aca="false">IF(OR($A66="",$E66=0),"",SUMIFS(业务流水!$O$5:$O$1504,业务流水!$E$5:$E$1504,$D66,业务流水!$D$5:$D$1504,"销项开票",业务流水!$C$5:$C$1504,$A66,业务流水!$Z$5:$Z$1504,"是")/$E66)</f>
        <v/>
      </c>
      <c r="G66" s="41" t="n">
        <f aca="false">IF($A66="","",SUMIFS(业务流水!$O$5:$O$1504,业务流水!$E$5:$E$1504,$D66,业务流水!$D$5:$D$1504,"销项开票",业务流水!$C$5:$C$1504,$A66,业务流水!$Z$5:$Z$1504,"是"))</f>
        <v>0</v>
      </c>
      <c r="H66" s="42" t="n">
        <f aca="false">IF($A66="","",$E66-$G66)</f>
        <v>0</v>
      </c>
      <c r="I66" s="32" t="n">
        <f aca="false">IF($A66="","",项目档案!$F66)</f>
        <v>0</v>
      </c>
      <c r="J66" s="41" t="n">
        <f aca="false">IF(OR($A66="",$I66=""),0,SUMIFS(业务流水!$H$5:$H$1504,业务流水!$E$5:$E$1504,$I66,业务流水!$D$5:$D$1504,"销项开票",业务流水!$C$5:$C$1504,$A66,业务流水!$Z$5:$Z$1504,"是"))</f>
        <v>0</v>
      </c>
      <c r="K66" s="49" t="str">
        <f aca="false">IF(OR($A66="",$J66=0),"",SUMIFS(业务流水!$O$5:$O$1504,业务流水!$E$5:$E$1504,$I66,业务流水!$D$5:$D$1504,"销项开票",业务流水!$C$5:$C$1504,$A66,业务流水!$Z$5:$Z$1504,"是")/$J66)</f>
        <v/>
      </c>
      <c r="L66" s="41" t="n">
        <f aca="false">IF(OR($A66="",$I66=""),0,SUMIFS(业务流水!$O$5:$O$1504,业务流水!$E$5:$E$1504,$I66,业务流水!$D$5:$D$1504,"销项开票",业务流水!$C$5:$C$1504,$A66,业务流水!$Z$5:$Z$1504,"是"))</f>
        <v>0</v>
      </c>
      <c r="M66" s="43" t="n">
        <f aca="false">IF($A66="","",IF(AND($I66&lt;&gt;"",$J66&gt;0),$J66-$L66,$H66))</f>
        <v>0</v>
      </c>
      <c r="N66" s="41" t="n">
        <f aca="false">IF($A66="","",SUMIFS(业务流水!$H$5:$H$1504,业务流水!$F$5:$F$1504,"*",业务流水!$D$5:$D$1504,"成本票",业务流水!$C$5:$C$1504,$A66,业务流水!$Z$5:$Z$1504,"是"))</f>
        <v>5559.1</v>
      </c>
      <c r="O66" s="43" t="n">
        <f aca="false">IF($A66="","",ROUND($M66-$N66,2))</f>
        <v>-5559.1</v>
      </c>
      <c r="P66" s="33" t="str">
        <f aca="false">IF($A66="","",IF(ABS($O66)&lt;1,"✓ 已开齐",IF($O66&gt;0,"还差成本票","多开了")))</f>
        <v>多开了</v>
      </c>
    </row>
    <row r="67" customFormat="false" ht="15.75" hidden="false" customHeight="true" outlineLevel="0" collapsed="false">
      <c r="A67" s="32" t="str">
        <f aca="false">IF(项目档案!$A67="","",项目档案!$A67)</f>
        <v>A062</v>
      </c>
      <c r="B67" s="40" t="str">
        <f aca="false">IF($A67="","",项目档案!$B67)</f>
        <v>重庆民能实业有 限公司
2025-2026年度工程用特种设
备租赁服务框架采购（重庆稷
博汇物流有 限公司10kV充电桩
新装用电工程）</v>
      </c>
      <c r="C67" s="32" t="str">
        <f aca="false">IF($A67="","",项目档案!$C67)</f>
        <v>民能</v>
      </c>
      <c r="D67" s="32" t="str">
        <f aca="false">IF($A67="","",项目档案!$D67)</f>
        <v>德誉嘉</v>
      </c>
      <c r="E67" s="41" t="n">
        <f aca="false">IF($A67="","",SUMIFS(业务流水!$H$5:$H$1504,业务流水!$E$5:$E$1504,$D67,业务流水!$D$5:$D$1504,"销项开票",业务流水!$C$5:$C$1504,$A67,业务流水!$Z$5:$Z$1504,"是"))</f>
        <v>0</v>
      </c>
      <c r="F67" s="49" t="str">
        <f aca="false">IF(OR($A67="",$E67=0),"",SUMIFS(业务流水!$O$5:$O$1504,业务流水!$E$5:$E$1504,$D67,业务流水!$D$5:$D$1504,"销项开票",业务流水!$C$5:$C$1504,$A67,业务流水!$Z$5:$Z$1504,"是")/$E67)</f>
        <v/>
      </c>
      <c r="G67" s="41" t="n">
        <f aca="false">IF($A67="","",SUMIFS(业务流水!$O$5:$O$1504,业务流水!$E$5:$E$1504,$D67,业务流水!$D$5:$D$1504,"销项开票",业务流水!$C$5:$C$1504,$A67,业务流水!$Z$5:$Z$1504,"是"))</f>
        <v>0</v>
      </c>
      <c r="H67" s="42" t="n">
        <f aca="false">IF($A67="","",$E67-$G67)</f>
        <v>0</v>
      </c>
      <c r="I67" s="32" t="n">
        <f aca="false">IF($A67="","",项目档案!$F67)</f>
        <v>0</v>
      </c>
      <c r="J67" s="41" t="n">
        <f aca="false">IF(OR($A67="",$I67=""),0,SUMIFS(业务流水!$H$5:$H$1504,业务流水!$E$5:$E$1504,$I67,业务流水!$D$5:$D$1504,"销项开票",业务流水!$C$5:$C$1504,$A67,业务流水!$Z$5:$Z$1504,"是"))</f>
        <v>0</v>
      </c>
      <c r="K67" s="49" t="str">
        <f aca="false">IF(OR($A67="",$J67=0),"",SUMIFS(业务流水!$O$5:$O$1504,业务流水!$E$5:$E$1504,$I67,业务流水!$D$5:$D$1504,"销项开票",业务流水!$C$5:$C$1504,$A67,业务流水!$Z$5:$Z$1504,"是")/$J67)</f>
        <v/>
      </c>
      <c r="L67" s="41" t="n">
        <f aca="false">IF(OR($A67="",$I67=""),0,SUMIFS(业务流水!$O$5:$O$1504,业务流水!$E$5:$E$1504,$I67,业务流水!$D$5:$D$1504,"销项开票",业务流水!$C$5:$C$1504,$A67,业务流水!$Z$5:$Z$1504,"是"))</f>
        <v>0</v>
      </c>
      <c r="M67" s="43" t="n">
        <f aca="false">IF($A67="","",IF(AND($I67&lt;&gt;"",$J67&gt;0),$J67-$L67,$H67))</f>
        <v>0</v>
      </c>
      <c r="N67" s="41" t="n">
        <f aca="false">IF($A67="","",SUMIFS(业务流水!$H$5:$H$1504,业务流水!$F$5:$F$1504,"*",业务流水!$D$5:$D$1504,"成本票",业务流水!$C$5:$C$1504,$A67,业务流水!$Z$5:$Z$1504,"是"))</f>
        <v>5440.22</v>
      </c>
      <c r="O67" s="43" t="n">
        <f aca="false">IF($A67="","",ROUND($M67-$N67,2))</f>
        <v>-5440.22</v>
      </c>
      <c r="P67" s="33" t="str">
        <f aca="false">IF($A67="","",IF(ABS($O67)&lt;1,"✓ 已开齐",IF($O67&gt;0,"还差成本票","多开了")))</f>
        <v>多开了</v>
      </c>
    </row>
    <row r="68" customFormat="false" ht="15.75" hidden="false" customHeight="true" outlineLevel="0" collapsed="false">
      <c r="A68" s="32" t="str">
        <f aca="false">IF(项目档案!$A68="","",项目档案!$A68)</f>
        <v>A063</v>
      </c>
      <c r="B68" s="40" t="str">
        <f aca="false">IF($A68="","",项目档案!$B68)</f>
        <v>项目名称：重庆民能实业有限公司2025-2026年度工程用特种设备租赁服务框架采购（铜梁公司2026年配电专业应急抢修抢险等外包项目
（永嘉所10kV西新线等2条线路综合检修项目））</v>
      </c>
      <c r="C68" s="32" t="str">
        <f aca="false">IF($A68="","",项目档案!$C68)</f>
        <v>民能</v>
      </c>
      <c r="D68" s="32" t="str">
        <f aca="false">IF($A68="","",项目档案!$D68)</f>
        <v>德誉嘉</v>
      </c>
      <c r="E68" s="41" t="n">
        <f aca="false">IF($A68="","",SUMIFS(业务流水!$H$5:$H$1504,业务流水!$E$5:$E$1504,$D68,业务流水!$D$5:$D$1504,"销项开票",业务流水!$C$5:$C$1504,$A68,业务流水!$Z$5:$Z$1504,"是"))</f>
        <v>27489.53</v>
      </c>
      <c r="F68" s="49" t="n">
        <f aca="false">IF(OR($A68="",$E68=0),"",SUMIFS(业务流水!$O$5:$O$1504,业务流水!$E$5:$E$1504,$D68,业务流水!$D$5:$D$1504,"销项开票",业务流水!$C$5:$C$1504,$A68,业务流水!$Z$5:$Z$1504,"是")/$E68)</f>
        <v>0.0399999563470165</v>
      </c>
      <c r="G68" s="41" t="n">
        <f aca="false">IF($A68="","",SUMIFS(业务流水!$O$5:$O$1504,业务流水!$E$5:$E$1504,$D68,业务流水!$D$5:$D$1504,"销项开票",业务流水!$C$5:$C$1504,$A68,业务流水!$Z$5:$Z$1504,"是"))</f>
        <v>1099.58</v>
      </c>
      <c r="H68" s="42" t="n">
        <f aca="false">IF($A68="","",$E68-$G68)</f>
        <v>26389.95</v>
      </c>
      <c r="I68" s="32" t="n">
        <f aca="false">IF($A68="","",项目档案!$F68)</f>
        <v>0</v>
      </c>
      <c r="J68" s="41" t="n">
        <f aca="false">IF(OR($A68="",$I68=""),0,SUMIFS(业务流水!$H$5:$H$1504,业务流水!$E$5:$E$1504,$I68,业务流水!$D$5:$D$1504,"销项开票",业务流水!$C$5:$C$1504,$A68,业务流水!$Z$5:$Z$1504,"是"))</f>
        <v>0</v>
      </c>
      <c r="K68" s="49" t="str">
        <f aca="false">IF(OR($A68="",$J68=0),"",SUMIFS(业务流水!$O$5:$O$1504,业务流水!$E$5:$E$1504,$I68,业务流水!$D$5:$D$1504,"销项开票",业务流水!$C$5:$C$1504,$A68,业务流水!$Z$5:$Z$1504,"是")/$J68)</f>
        <v/>
      </c>
      <c r="L68" s="41" t="n">
        <f aca="false">IF(OR($A68="",$I68=""),0,SUMIFS(业务流水!$O$5:$O$1504,业务流水!$E$5:$E$1504,$I68,业务流水!$D$5:$D$1504,"销项开票",业务流水!$C$5:$C$1504,$A68,业务流水!$Z$5:$Z$1504,"是"))</f>
        <v>0</v>
      </c>
      <c r="M68" s="43" t="n">
        <f aca="false">IF($A68="","",IF(AND($I68&lt;&gt;"",$J68&gt;0),$J68-$L68,$H68))</f>
        <v>26389.95</v>
      </c>
      <c r="N68" s="41" t="n">
        <f aca="false">IF($A68="","",SUMIFS(业务流水!$H$5:$H$1504,业务流水!$F$5:$F$1504,"*",业务流水!$D$5:$D$1504,"成本票",业务流水!$C$5:$C$1504,$A68,业务流水!$Z$5:$Z$1504,"是"))</f>
        <v>15390.63</v>
      </c>
      <c r="O68" s="43" t="n">
        <f aca="false">IF($A68="","",ROUND($M68-$N68,2))</f>
        <v>10999.32</v>
      </c>
      <c r="P68" s="33" t="str">
        <f aca="false">IF($A68="","",IF(ABS($O68)&lt;1,"✓ 已开齐",IF($O68&gt;0,"还差成本票","多开了")))</f>
        <v>还差成本票</v>
      </c>
    </row>
    <row r="69" customFormat="false" ht="15.75" hidden="false" customHeight="true" outlineLevel="0" collapsed="false">
      <c r="A69" s="32" t="str">
        <f aca="false">IF(项目档案!$A69="","",项目档案!$A69)</f>
        <v/>
      </c>
      <c r="B69" s="40" t="str">
        <f aca="false">IF($A69="","",项目档案!$B69)</f>
        <v/>
      </c>
      <c r="C69" s="32" t="str">
        <f aca="false">IF($A69="","",项目档案!$C69)</f>
        <v/>
      </c>
      <c r="D69" s="32" t="str">
        <f aca="false">IF($A69="","",项目档案!$D69)</f>
        <v/>
      </c>
      <c r="E69" s="41" t="str">
        <f aca="false">IF($A69="","",SUMIFS(业务流水!$H$5:$H$1504,业务流水!$E$5:$E$1504,$D69,业务流水!$D$5:$D$1504,"销项开票",业务流水!$C$5:$C$1504,$A69,业务流水!$Z$5:$Z$1504,"是"))</f>
        <v/>
      </c>
      <c r="F69" s="49" t="str">
        <f aca="false">IF(OR($A69="",$E69=0),"",SUMIFS(业务流水!$O$5:$O$1504,业务流水!$E$5:$E$1504,$D69,业务流水!$D$5:$D$1504,"销项开票",业务流水!$C$5:$C$1504,$A69,业务流水!$Z$5:$Z$1504,"是")/$E69)</f>
        <v/>
      </c>
      <c r="G69" s="41" t="str">
        <f aca="false">IF($A69="","",SUMIFS(业务流水!$O$5:$O$1504,业务流水!$E$5:$E$1504,$D69,业务流水!$D$5:$D$1504,"销项开票",业务流水!$C$5:$C$1504,$A69,业务流水!$Z$5:$Z$1504,"是"))</f>
        <v/>
      </c>
      <c r="H69" s="42" t="str">
        <f aca="false">IF($A69="","",$E69-$G69)</f>
        <v/>
      </c>
      <c r="I69" s="32" t="str">
        <f aca="false">IF($A69="","",项目档案!$F69)</f>
        <v/>
      </c>
      <c r="J69" s="41" t="n">
        <f aca="false">IF(OR($A69="",$I69=""),0,SUMIFS(业务流水!$H$5:$H$1504,业务流水!$E$5:$E$1504,$I69,业务流水!$D$5:$D$1504,"销项开票",业务流水!$C$5:$C$1504,$A69,业务流水!$Z$5:$Z$1504,"是"))</f>
        <v>0</v>
      </c>
      <c r="K69" s="49" t="str">
        <f aca="false">IF(OR($A69="",$J69=0),"",SUMIFS(业务流水!$O$5:$O$1504,业务流水!$E$5:$E$1504,$I69,业务流水!$D$5:$D$1504,"销项开票",业务流水!$C$5:$C$1504,$A69,业务流水!$Z$5:$Z$1504,"是")/$J69)</f>
        <v/>
      </c>
      <c r="L69" s="41" t="n">
        <f aca="false">IF(OR($A69="",$I69=""),0,SUMIFS(业务流水!$O$5:$O$1504,业务流水!$E$5:$E$1504,$I69,业务流水!$D$5:$D$1504,"销项开票",业务流水!$C$5:$C$1504,$A69,业务流水!$Z$5:$Z$1504,"是"))</f>
        <v>0</v>
      </c>
      <c r="M69" s="43" t="str">
        <f aca="false">IF($A69="","",IF(AND($I69&lt;&gt;"",$J69&gt;0),$J69-$L69,$H69))</f>
        <v/>
      </c>
      <c r="N69" s="41" t="str">
        <f aca="false">IF($A69="","",SUMIFS(业务流水!$H$5:$H$1504,业务流水!$F$5:$F$1504,"*",业务流水!$D$5:$D$1504,"成本票",业务流水!$C$5:$C$1504,$A69,业务流水!$Z$5:$Z$1504,"是"))</f>
        <v/>
      </c>
      <c r="O69" s="43" t="str">
        <f aca="false">IF($A69="","",ROUND($M69-$N69,2))</f>
        <v/>
      </c>
      <c r="P69" s="33" t="str">
        <f aca="false">IF($A69="","",IF(ABS($O69)&lt;1,"✓ 已开齐",IF($O69&gt;0,"还差成本票","多开了")))</f>
        <v/>
      </c>
    </row>
    <row r="70" customFormat="false" ht="15.75" hidden="false" customHeight="true" outlineLevel="0" collapsed="false">
      <c r="A70" s="32" t="str">
        <f aca="false">IF(项目档案!$A70="","",项目档案!$A70)</f>
        <v/>
      </c>
      <c r="B70" s="40" t="str">
        <f aca="false">IF($A70="","",项目档案!$B70)</f>
        <v/>
      </c>
      <c r="C70" s="32" t="str">
        <f aca="false">IF($A70="","",项目档案!$C70)</f>
        <v/>
      </c>
      <c r="D70" s="32" t="str">
        <f aca="false">IF($A70="","",项目档案!$D70)</f>
        <v/>
      </c>
      <c r="E70" s="41" t="str">
        <f aca="false">IF($A70="","",SUMIFS(业务流水!$H$5:$H$1504,业务流水!$E$5:$E$1504,$D70,业务流水!$D$5:$D$1504,"销项开票",业务流水!$C$5:$C$1504,$A70,业务流水!$Z$5:$Z$1504,"是"))</f>
        <v/>
      </c>
      <c r="F70" s="49" t="str">
        <f aca="false">IF(OR($A70="",$E70=0),"",SUMIFS(业务流水!$O$5:$O$1504,业务流水!$E$5:$E$1504,$D70,业务流水!$D$5:$D$1504,"销项开票",业务流水!$C$5:$C$1504,$A70,业务流水!$Z$5:$Z$1504,"是")/$E70)</f>
        <v/>
      </c>
      <c r="G70" s="41" t="str">
        <f aca="false">IF($A70="","",SUMIFS(业务流水!$O$5:$O$1504,业务流水!$E$5:$E$1504,$D70,业务流水!$D$5:$D$1504,"销项开票",业务流水!$C$5:$C$1504,$A70,业务流水!$Z$5:$Z$1504,"是"))</f>
        <v/>
      </c>
      <c r="H70" s="42" t="str">
        <f aca="false">IF($A70="","",$E70-$G70)</f>
        <v/>
      </c>
      <c r="I70" s="32" t="str">
        <f aca="false">IF($A70="","",项目档案!$F70)</f>
        <v/>
      </c>
      <c r="J70" s="41" t="n">
        <f aca="false">IF(OR($A70="",$I70=""),0,SUMIFS(业务流水!$H$5:$H$1504,业务流水!$E$5:$E$1504,$I70,业务流水!$D$5:$D$1504,"销项开票",业务流水!$C$5:$C$1504,$A70,业务流水!$Z$5:$Z$1504,"是"))</f>
        <v>0</v>
      </c>
      <c r="K70" s="49" t="str">
        <f aca="false">IF(OR($A70="",$J70=0),"",SUMIFS(业务流水!$O$5:$O$1504,业务流水!$E$5:$E$1504,$I70,业务流水!$D$5:$D$1504,"销项开票",业务流水!$C$5:$C$1504,$A70,业务流水!$Z$5:$Z$1504,"是")/$J70)</f>
        <v/>
      </c>
      <c r="L70" s="41" t="n">
        <f aca="false">IF(OR($A70="",$I70=""),0,SUMIFS(业务流水!$O$5:$O$1504,业务流水!$E$5:$E$1504,$I70,业务流水!$D$5:$D$1504,"销项开票",业务流水!$C$5:$C$1504,$A70,业务流水!$Z$5:$Z$1504,"是"))</f>
        <v>0</v>
      </c>
      <c r="M70" s="43" t="str">
        <f aca="false">IF($A70="","",IF(AND($I70&lt;&gt;"",$J70&gt;0),$J70-$L70,$H70))</f>
        <v/>
      </c>
      <c r="N70" s="41" t="str">
        <f aca="false">IF($A70="","",SUMIFS(业务流水!$H$5:$H$1504,业务流水!$F$5:$F$1504,"*",业务流水!$D$5:$D$1504,"成本票",业务流水!$C$5:$C$1504,$A70,业务流水!$Z$5:$Z$1504,"是"))</f>
        <v/>
      </c>
      <c r="O70" s="43" t="str">
        <f aca="false">IF($A70="","",ROUND($M70-$N70,2))</f>
        <v/>
      </c>
      <c r="P70" s="33" t="str">
        <f aca="false">IF($A70="","",IF(ABS($O70)&lt;1,"✓ 已开齐",IF($O70&gt;0,"还差成本票","多开了")))</f>
        <v/>
      </c>
    </row>
    <row r="71" customFormat="false" ht="15.75" hidden="false" customHeight="true" outlineLevel="0" collapsed="false">
      <c r="A71" s="32" t="str">
        <f aca="false">IF(项目档案!$A71="","",项目档案!$A71)</f>
        <v/>
      </c>
      <c r="B71" s="40" t="str">
        <f aca="false">IF($A71="","",项目档案!$B71)</f>
        <v/>
      </c>
      <c r="C71" s="32" t="str">
        <f aca="false">IF($A71="","",项目档案!$C71)</f>
        <v/>
      </c>
      <c r="D71" s="32" t="str">
        <f aca="false">IF($A71="","",项目档案!$D71)</f>
        <v/>
      </c>
      <c r="E71" s="41" t="str">
        <f aca="false">IF($A71="","",SUMIFS(业务流水!$H$5:$H$1504,业务流水!$E$5:$E$1504,$D71,业务流水!$D$5:$D$1504,"销项开票",业务流水!$C$5:$C$1504,$A71,业务流水!$Z$5:$Z$1504,"是"))</f>
        <v/>
      </c>
      <c r="F71" s="49" t="str">
        <f aca="false">IF(OR($A71="",$E71=0),"",SUMIFS(业务流水!$O$5:$O$1504,业务流水!$E$5:$E$1504,$D71,业务流水!$D$5:$D$1504,"销项开票",业务流水!$C$5:$C$1504,$A71,业务流水!$Z$5:$Z$1504,"是")/$E71)</f>
        <v/>
      </c>
      <c r="G71" s="41" t="str">
        <f aca="false">IF($A71="","",SUMIFS(业务流水!$O$5:$O$1504,业务流水!$E$5:$E$1504,$D71,业务流水!$D$5:$D$1504,"销项开票",业务流水!$C$5:$C$1504,$A71,业务流水!$Z$5:$Z$1504,"是"))</f>
        <v/>
      </c>
      <c r="H71" s="42" t="str">
        <f aca="false">IF($A71="","",$E71-$G71)</f>
        <v/>
      </c>
      <c r="I71" s="32" t="str">
        <f aca="false">IF($A71="","",项目档案!$F71)</f>
        <v/>
      </c>
      <c r="J71" s="41" t="n">
        <f aca="false">IF(OR($A71="",$I71=""),0,SUMIFS(业务流水!$H$5:$H$1504,业务流水!$E$5:$E$1504,$I71,业务流水!$D$5:$D$1504,"销项开票",业务流水!$C$5:$C$1504,$A71,业务流水!$Z$5:$Z$1504,"是"))</f>
        <v>0</v>
      </c>
      <c r="K71" s="49" t="str">
        <f aca="false">IF(OR($A71="",$J71=0),"",SUMIFS(业务流水!$O$5:$O$1504,业务流水!$E$5:$E$1504,$I71,业务流水!$D$5:$D$1504,"销项开票",业务流水!$C$5:$C$1504,$A71,业务流水!$Z$5:$Z$1504,"是")/$J71)</f>
        <v/>
      </c>
      <c r="L71" s="41" t="n">
        <f aca="false">IF(OR($A71="",$I71=""),0,SUMIFS(业务流水!$O$5:$O$1504,业务流水!$E$5:$E$1504,$I71,业务流水!$D$5:$D$1504,"销项开票",业务流水!$C$5:$C$1504,$A71,业务流水!$Z$5:$Z$1504,"是"))</f>
        <v>0</v>
      </c>
      <c r="M71" s="43" t="str">
        <f aca="false">IF($A71="","",IF(AND($I71&lt;&gt;"",$J71&gt;0),$J71-$L71,$H71))</f>
        <v/>
      </c>
      <c r="N71" s="41" t="str">
        <f aca="false">IF($A71="","",SUMIFS(业务流水!$H$5:$H$1504,业务流水!$F$5:$F$1504,"*",业务流水!$D$5:$D$1504,"成本票",业务流水!$C$5:$C$1504,$A71,业务流水!$Z$5:$Z$1504,"是"))</f>
        <v/>
      </c>
      <c r="O71" s="43" t="str">
        <f aca="false">IF($A71="","",ROUND($M71-$N71,2))</f>
        <v/>
      </c>
      <c r="P71" s="33" t="str">
        <f aca="false">IF($A71="","",IF(ABS($O71)&lt;1,"✓ 已开齐",IF($O71&gt;0,"还差成本票","多开了")))</f>
        <v/>
      </c>
    </row>
    <row r="72" customFormat="false" ht="15.75" hidden="false" customHeight="true" outlineLevel="0" collapsed="false">
      <c r="A72" s="32" t="str">
        <f aca="false">IF(项目档案!$A72="","",项目档案!$A72)</f>
        <v/>
      </c>
      <c r="B72" s="40" t="str">
        <f aca="false">IF($A72="","",项目档案!$B72)</f>
        <v/>
      </c>
      <c r="C72" s="32" t="str">
        <f aca="false">IF($A72="","",项目档案!$C72)</f>
        <v/>
      </c>
      <c r="D72" s="32" t="str">
        <f aca="false">IF($A72="","",项目档案!$D72)</f>
        <v/>
      </c>
      <c r="E72" s="41" t="str">
        <f aca="false">IF($A72="","",SUMIFS(业务流水!$H$5:$H$1504,业务流水!$E$5:$E$1504,$D72,业务流水!$D$5:$D$1504,"销项开票",业务流水!$C$5:$C$1504,$A72,业务流水!$Z$5:$Z$1504,"是"))</f>
        <v/>
      </c>
      <c r="F72" s="49" t="str">
        <f aca="false">IF(OR($A72="",$E72=0),"",SUMIFS(业务流水!$O$5:$O$1504,业务流水!$E$5:$E$1504,$D72,业务流水!$D$5:$D$1504,"销项开票",业务流水!$C$5:$C$1504,$A72,业务流水!$Z$5:$Z$1504,"是")/$E72)</f>
        <v/>
      </c>
      <c r="G72" s="41" t="str">
        <f aca="false">IF($A72="","",SUMIFS(业务流水!$O$5:$O$1504,业务流水!$E$5:$E$1504,$D72,业务流水!$D$5:$D$1504,"销项开票",业务流水!$C$5:$C$1504,$A72,业务流水!$Z$5:$Z$1504,"是"))</f>
        <v/>
      </c>
      <c r="H72" s="42" t="str">
        <f aca="false">IF($A72="","",$E72-$G72)</f>
        <v/>
      </c>
      <c r="I72" s="32" t="str">
        <f aca="false">IF($A72="","",项目档案!$F72)</f>
        <v/>
      </c>
      <c r="J72" s="41" t="n">
        <f aca="false">IF(OR($A72="",$I72=""),0,SUMIFS(业务流水!$H$5:$H$1504,业务流水!$E$5:$E$1504,$I72,业务流水!$D$5:$D$1504,"销项开票",业务流水!$C$5:$C$1504,$A72,业务流水!$Z$5:$Z$1504,"是"))</f>
        <v>0</v>
      </c>
      <c r="K72" s="49" t="str">
        <f aca="false">IF(OR($A72="",$J72=0),"",SUMIFS(业务流水!$O$5:$O$1504,业务流水!$E$5:$E$1504,$I72,业务流水!$D$5:$D$1504,"销项开票",业务流水!$C$5:$C$1504,$A72,业务流水!$Z$5:$Z$1504,"是")/$J72)</f>
        <v/>
      </c>
      <c r="L72" s="41" t="n">
        <f aca="false">IF(OR($A72="",$I72=""),0,SUMIFS(业务流水!$O$5:$O$1504,业务流水!$E$5:$E$1504,$I72,业务流水!$D$5:$D$1504,"销项开票",业务流水!$C$5:$C$1504,$A72,业务流水!$Z$5:$Z$1504,"是"))</f>
        <v>0</v>
      </c>
      <c r="M72" s="43" t="str">
        <f aca="false">IF($A72="","",IF(AND($I72&lt;&gt;"",$J72&gt;0),$J72-$L72,$H72))</f>
        <v/>
      </c>
      <c r="N72" s="41" t="str">
        <f aca="false">IF($A72="","",SUMIFS(业务流水!$H$5:$H$1504,业务流水!$F$5:$F$1504,"*",业务流水!$D$5:$D$1504,"成本票",业务流水!$C$5:$C$1504,$A72,业务流水!$Z$5:$Z$1504,"是"))</f>
        <v/>
      </c>
      <c r="O72" s="43" t="str">
        <f aca="false">IF($A72="","",ROUND($M72-$N72,2))</f>
        <v/>
      </c>
      <c r="P72" s="33" t="str">
        <f aca="false">IF($A72="","",IF(ABS($O72)&lt;1,"✓ 已开齐",IF($O72&gt;0,"还差成本票","多开了")))</f>
        <v/>
      </c>
    </row>
    <row r="73" customFormat="false" ht="15.75" hidden="false" customHeight="true" outlineLevel="0" collapsed="false">
      <c r="A73" s="32" t="str">
        <f aca="false">IF(项目档案!$A73="","",项目档案!$A73)</f>
        <v/>
      </c>
      <c r="B73" s="40" t="str">
        <f aca="false">IF($A73="","",项目档案!$B73)</f>
        <v/>
      </c>
      <c r="C73" s="32" t="str">
        <f aca="false">IF($A73="","",项目档案!$C73)</f>
        <v/>
      </c>
      <c r="D73" s="32" t="str">
        <f aca="false">IF($A73="","",项目档案!$D73)</f>
        <v/>
      </c>
      <c r="E73" s="41" t="str">
        <f aca="false">IF($A73="","",SUMIFS(业务流水!$H$5:$H$1504,业务流水!$E$5:$E$1504,$D73,业务流水!$D$5:$D$1504,"销项开票",业务流水!$C$5:$C$1504,$A73,业务流水!$Z$5:$Z$1504,"是"))</f>
        <v/>
      </c>
      <c r="F73" s="49" t="str">
        <f aca="false">IF(OR($A73="",$E73=0),"",SUMIFS(业务流水!$O$5:$O$1504,业务流水!$E$5:$E$1504,$D73,业务流水!$D$5:$D$1504,"销项开票",业务流水!$C$5:$C$1504,$A73,业务流水!$Z$5:$Z$1504,"是")/$E73)</f>
        <v/>
      </c>
      <c r="G73" s="41" t="str">
        <f aca="false">IF($A73="","",SUMIFS(业务流水!$O$5:$O$1504,业务流水!$E$5:$E$1504,$D73,业务流水!$D$5:$D$1504,"销项开票",业务流水!$C$5:$C$1504,$A73,业务流水!$Z$5:$Z$1504,"是"))</f>
        <v/>
      </c>
      <c r="H73" s="42" t="str">
        <f aca="false">IF($A73="","",$E73-$G73)</f>
        <v/>
      </c>
      <c r="I73" s="32" t="str">
        <f aca="false">IF($A73="","",项目档案!$F73)</f>
        <v/>
      </c>
      <c r="J73" s="41" t="n">
        <f aca="false">IF(OR($A73="",$I73=""),0,SUMIFS(业务流水!$H$5:$H$1504,业务流水!$E$5:$E$1504,$I73,业务流水!$D$5:$D$1504,"销项开票",业务流水!$C$5:$C$1504,$A73,业务流水!$Z$5:$Z$1504,"是"))</f>
        <v>0</v>
      </c>
      <c r="K73" s="49" t="str">
        <f aca="false">IF(OR($A73="",$J73=0),"",SUMIFS(业务流水!$O$5:$O$1504,业务流水!$E$5:$E$1504,$I73,业务流水!$D$5:$D$1504,"销项开票",业务流水!$C$5:$C$1504,$A73,业务流水!$Z$5:$Z$1504,"是")/$J73)</f>
        <v/>
      </c>
      <c r="L73" s="41" t="n">
        <f aca="false">IF(OR($A73="",$I73=""),0,SUMIFS(业务流水!$O$5:$O$1504,业务流水!$E$5:$E$1504,$I73,业务流水!$D$5:$D$1504,"销项开票",业务流水!$C$5:$C$1504,$A73,业务流水!$Z$5:$Z$1504,"是"))</f>
        <v>0</v>
      </c>
      <c r="M73" s="43" t="str">
        <f aca="false">IF($A73="","",IF(AND($I73&lt;&gt;"",$J73&gt;0),$J73-$L73,$H73))</f>
        <v/>
      </c>
      <c r="N73" s="41" t="str">
        <f aca="false">IF($A73="","",SUMIFS(业务流水!$H$5:$H$1504,业务流水!$F$5:$F$1504,"*",业务流水!$D$5:$D$1504,"成本票",业务流水!$C$5:$C$1504,$A73,业务流水!$Z$5:$Z$1504,"是"))</f>
        <v/>
      </c>
      <c r="O73" s="43" t="str">
        <f aca="false">IF($A73="","",ROUND($M73-$N73,2))</f>
        <v/>
      </c>
      <c r="P73" s="33" t="str">
        <f aca="false">IF($A73="","",IF(ABS($O73)&lt;1,"✓ 已开齐",IF($O73&gt;0,"还差成本票","多开了")))</f>
        <v/>
      </c>
    </row>
    <row r="74" customFormat="false" ht="15.75" hidden="false" customHeight="true" outlineLevel="0" collapsed="false">
      <c r="A74" s="32" t="str">
        <f aca="false">IF(项目档案!$A74="","",项目档案!$A74)</f>
        <v/>
      </c>
      <c r="B74" s="40" t="str">
        <f aca="false">IF($A74="","",项目档案!$B74)</f>
        <v/>
      </c>
      <c r="C74" s="32" t="str">
        <f aca="false">IF($A74="","",项目档案!$C74)</f>
        <v/>
      </c>
      <c r="D74" s="32" t="str">
        <f aca="false">IF($A74="","",项目档案!$D74)</f>
        <v/>
      </c>
      <c r="E74" s="41" t="str">
        <f aca="false">IF($A74="","",SUMIFS(业务流水!$H$5:$H$1504,业务流水!$E$5:$E$1504,$D74,业务流水!$D$5:$D$1504,"销项开票",业务流水!$C$5:$C$1504,$A74,业务流水!$Z$5:$Z$1504,"是"))</f>
        <v/>
      </c>
      <c r="F74" s="49" t="str">
        <f aca="false">IF(OR($A74="",$E74=0),"",SUMIFS(业务流水!$O$5:$O$1504,业务流水!$E$5:$E$1504,$D74,业务流水!$D$5:$D$1504,"销项开票",业务流水!$C$5:$C$1504,$A74,业务流水!$Z$5:$Z$1504,"是")/$E74)</f>
        <v/>
      </c>
      <c r="G74" s="41" t="str">
        <f aca="false">IF($A74="","",SUMIFS(业务流水!$O$5:$O$1504,业务流水!$E$5:$E$1504,$D74,业务流水!$D$5:$D$1504,"销项开票",业务流水!$C$5:$C$1504,$A74,业务流水!$Z$5:$Z$1504,"是"))</f>
        <v/>
      </c>
      <c r="H74" s="42" t="str">
        <f aca="false">IF($A74="","",$E74-$G74)</f>
        <v/>
      </c>
      <c r="I74" s="32" t="str">
        <f aca="false">IF($A74="","",项目档案!$F74)</f>
        <v/>
      </c>
      <c r="J74" s="41" t="n">
        <f aca="false">IF(OR($A74="",$I74=""),0,SUMIFS(业务流水!$H$5:$H$1504,业务流水!$E$5:$E$1504,$I74,业务流水!$D$5:$D$1504,"销项开票",业务流水!$C$5:$C$1504,$A74,业务流水!$Z$5:$Z$1504,"是"))</f>
        <v>0</v>
      </c>
      <c r="K74" s="49" t="str">
        <f aca="false">IF(OR($A74="",$J74=0),"",SUMIFS(业务流水!$O$5:$O$1504,业务流水!$E$5:$E$1504,$I74,业务流水!$D$5:$D$1504,"销项开票",业务流水!$C$5:$C$1504,$A74,业务流水!$Z$5:$Z$1504,"是")/$J74)</f>
        <v/>
      </c>
      <c r="L74" s="41" t="n">
        <f aca="false">IF(OR($A74="",$I74=""),0,SUMIFS(业务流水!$O$5:$O$1504,业务流水!$E$5:$E$1504,$I74,业务流水!$D$5:$D$1504,"销项开票",业务流水!$C$5:$C$1504,$A74,业务流水!$Z$5:$Z$1504,"是"))</f>
        <v>0</v>
      </c>
      <c r="M74" s="43" t="str">
        <f aca="false">IF($A74="","",IF(AND($I74&lt;&gt;"",$J74&gt;0),$J74-$L74,$H74))</f>
        <v/>
      </c>
      <c r="N74" s="41" t="str">
        <f aca="false">IF($A74="","",SUMIFS(业务流水!$H$5:$H$1504,业务流水!$F$5:$F$1504,"*",业务流水!$D$5:$D$1504,"成本票",业务流水!$C$5:$C$1504,$A74,业务流水!$Z$5:$Z$1504,"是"))</f>
        <v/>
      </c>
      <c r="O74" s="43" t="str">
        <f aca="false">IF($A74="","",ROUND($M74-$N74,2))</f>
        <v/>
      </c>
      <c r="P74" s="33" t="str">
        <f aca="false">IF($A74="","",IF(ABS($O74)&lt;1,"✓ 已开齐",IF($O74&gt;0,"还差成本票","多开了")))</f>
        <v/>
      </c>
    </row>
    <row r="75" customFormat="false" ht="15.75" hidden="false" customHeight="true" outlineLevel="0" collapsed="false">
      <c r="A75" s="32" t="str">
        <f aca="false">IF(项目档案!$A75="","",项目档案!$A75)</f>
        <v/>
      </c>
      <c r="B75" s="40" t="str">
        <f aca="false">IF($A75="","",项目档案!$B75)</f>
        <v/>
      </c>
      <c r="C75" s="32" t="str">
        <f aca="false">IF($A75="","",项目档案!$C75)</f>
        <v/>
      </c>
      <c r="D75" s="32" t="str">
        <f aca="false">IF($A75="","",项目档案!$D75)</f>
        <v/>
      </c>
      <c r="E75" s="41" t="str">
        <f aca="false">IF($A75="","",SUMIFS(业务流水!$H$5:$H$1504,业务流水!$E$5:$E$1504,$D75,业务流水!$D$5:$D$1504,"销项开票",业务流水!$C$5:$C$1504,$A75,业务流水!$Z$5:$Z$1504,"是"))</f>
        <v/>
      </c>
      <c r="F75" s="49" t="str">
        <f aca="false">IF(OR($A75="",$E75=0),"",SUMIFS(业务流水!$O$5:$O$1504,业务流水!$E$5:$E$1504,$D75,业务流水!$D$5:$D$1504,"销项开票",业务流水!$C$5:$C$1504,$A75,业务流水!$Z$5:$Z$1504,"是")/$E75)</f>
        <v/>
      </c>
      <c r="G75" s="41" t="str">
        <f aca="false">IF($A75="","",SUMIFS(业务流水!$O$5:$O$1504,业务流水!$E$5:$E$1504,$D75,业务流水!$D$5:$D$1504,"销项开票",业务流水!$C$5:$C$1504,$A75,业务流水!$Z$5:$Z$1504,"是"))</f>
        <v/>
      </c>
      <c r="H75" s="42" t="str">
        <f aca="false">IF($A75="","",$E75-$G75)</f>
        <v/>
      </c>
      <c r="I75" s="32" t="str">
        <f aca="false">IF($A75="","",项目档案!$F75)</f>
        <v/>
      </c>
      <c r="J75" s="41" t="n">
        <f aca="false">IF(OR($A75="",$I75=""),0,SUMIFS(业务流水!$H$5:$H$1504,业务流水!$E$5:$E$1504,$I75,业务流水!$D$5:$D$1504,"销项开票",业务流水!$C$5:$C$1504,$A75,业务流水!$Z$5:$Z$1504,"是"))</f>
        <v>0</v>
      </c>
      <c r="K75" s="49" t="str">
        <f aca="false">IF(OR($A75="",$J75=0),"",SUMIFS(业务流水!$O$5:$O$1504,业务流水!$E$5:$E$1504,$I75,业务流水!$D$5:$D$1504,"销项开票",业务流水!$C$5:$C$1504,$A75,业务流水!$Z$5:$Z$1504,"是")/$J75)</f>
        <v/>
      </c>
      <c r="L75" s="41" t="n">
        <f aca="false">IF(OR($A75="",$I75=""),0,SUMIFS(业务流水!$O$5:$O$1504,业务流水!$E$5:$E$1504,$I75,业务流水!$D$5:$D$1504,"销项开票",业务流水!$C$5:$C$1504,$A75,业务流水!$Z$5:$Z$1504,"是"))</f>
        <v>0</v>
      </c>
      <c r="M75" s="43" t="str">
        <f aca="false">IF($A75="","",IF(AND($I75&lt;&gt;"",$J75&gt;0),$J75-$L75,$H75))</f>
        <v/>
      </c>
      <c r="N75" s="41" t="str">
        <f aca="false">IF($A75="","",SUMIFS(业务流水!$H$5:$H$1504,业务流水!$F$5:$F$1504,"*",业务流水!$D$5:$D$1504,"成本票",业务流水!$C$5:$C$1504,$A75,业务流水!$Z$5:$Z$1504,"是"))</f>
        <v/>
      </c>
      <c r="O75" s="43" t="str">
        <f aca="false">IF($A75="","",ROUND($M75-$N75,2))</f>
        <v/>
      </c>
      <c r="P75" s="33" t="str">
        <f aca="false">IF($A75="","",IF(ABS($O75)&lt;1,"✓ 已开齐",IF($O75&gt;0,"还差成本票","多开了")))</f>
        <v/>
      </c>
    </row>
    <row r="76" customFormat="false" ht="15.75" hidden="false" customHeight="true" outlineLevel="0" collapsed="false">
      <c r="A76" s="32" t="str">
        <f aca="false">IF(项目档案!$A76="","",项目档案!$A76)</f>
        <v/>
      </c>
      <c r="B76" s="40" t="str">
        <f aca="false">IF($A76="","",项目档案!$B76)</f>
        <v/>
      </c>
      <c r="C76" s="32" t="str">
        <f aca="false">IF($A76="","",项目档案!$C76)</f>
        <v/>
      </c>
      <c r="D76" s="32" t="str">
        <f aca="false">IF($A76="","",项目档案!$D76)</f>
        <v/>
      </c>
      <c r="E76" s="41" t="str">
        <f aca="false">IF($A76="","",SUMIFS(业务流水!$H$5:$H$1504,业务流水!$E$5:$E$1504,$D76,业务流水!$D$5:$D$1504,"销项开票",业务流水!$C$5:$C$1504,$A76,业务流水!$Z$5:$Z$1504,"是"))</f>
        <v/>
      </c>
      <c r="F76" s="49" t="str">
        <f aca="false">IF(OR($A76="",$E76=0),"",SUMIFS(业务流水!$O$5:$O$1504,业务流水!$E$5:$E$1504,$D76,业务流水!$D$5:$D$1504,"销项开票",业务流水!$C$5:$C$1504,$A76,业务流水!$Z$5:$Z$1504,"是")/$E76)</f>
        <v/>
      </c>
      <c r="G76" s="41" t="str">
        <f aca="false">IF($A76="","",SUMIFS(业务流水!$O$5:$O$1504,业务流水!$E$5:$E$1504,$D76,业务流水!$D$5:$D$1504,"销项开票",业务流水!$C$5:$C$1504,$A76,业务流水!$Z$5:$Z$1504,"是"))</f>
        <v/>
      </c>
      <c r="H76" s="42" t="str">
        <f aca="false">IF($A76="","",$E76-$G76)</f>
        <v/>
      </c>
      <c r="I76" s="32" t="str">
        <f aca="false">IF($A76="","",项目档案!$F76)</f>
        <v/>
      </c>
      <c r="J76" s="41" t="n">
        <f aca="false">IF(OR($A76="",$I76=""),0,SUMIFS(业务流水!$H$5:$H$1504,业务流水!$E$5:$E$1504,$I76,业务流水!$D$5:$D$1504,"销项开票",业务流水!$C$5:$C$1504,$A76,业务流水!$Z$5:$Z$1504,"是"))</f>
        <v>0</v>
      </c>
      <c r="K76" s="49" t="str">
        <f aca="false">IF(OR($A76="",$J76=0),"",SUMIFS(业务流水!$O$5:$O$1504,业务流水!$E$5:$E$1504,$I76,业务流水!$D$5:$D$1504,"销项开票",业务流水!$C$5:$C$1504,$A76,业务流水!$Z$5:$Z$1504,"是")/$J76)</f>
        <v/>
      </c>
      <c r="L76" s="41" t="n">
        <f aca="false">IF(OR($A76="",$I76=""),0,SUMIFS(业务流水!$O$5:$O$1504,业务流水!$E$5:$E$1504,$I76,业务流水!$D$5:$D$1504,"销项开票",业务流水!$C$5:$C$1504,$A76,业务流水!$Z$5:$Z$1504,"是"))</f>
        <v>0</v>
      </c>
      <c r="M76" s="43" t="str">
        <f aca="false">IF($A76="","",IF(AND($I76&lt;&gt;"",$J76&gt;0),$J76-$L76,$H76))</f>
        <v/>
      </c>
      <c r="N76" s="41" t="str">
        <f aca="false">IF($A76="","",SUMIFS(业务流水!$H$5:$H$1504,业务流水!$F$5:$F$1504,"*",业务流水!$D$5:$D$1504,"成本票",业务流水!$C$5:$C$1504,$A76,业务流水!$Z$5:$Z$1504,"是"))</f>
        <v/>
      </c>
      <c r="O76" s="43" t="str">
        <f aca="false">IF($A76="","",ROUND($M76-$N76,2))</f>
        <v/>
      </c>
      <c r="P76" s="33" t="str">
        <f aca="false">IF($A76="","",IF(ABS($O76)&lt;1,"✓ 已开齐",IF($O76&gt;0,"还差成本票","多开了")))</f>
        <v/>
      </c>
    </row>
    <row r="77" customFormat="false" ht="15.75" hidden="false" customHeight="true" outlineLevel="0" collapsed="false">
      <c r="A77" s="32" t="str">
        <f aca="false">IF(项目档案!$A77="","",项目档案!$A77)</f>
        <v/>
      </c>
      <c r="B77" s="40" t="str">
        <f aca="false">IF($A77="","",项目档案!$B77)</f>
        <v/>
      </c>
      <c r="C77" s="32" t="str">
        <f aca="false">IF($A77="","",项目档案!$C77)</f>
        <v/>
      </c>
      <c r="D77" s="32" t="str">
        <f aca="false">IF($A77="","",项目档案!$D77)</f>
        <v/>
      </c>
      <c r="E77" s="41" t="str">
        <f aca="false">IF($A77="","",SUMIFS(业务流水!$H$5:$H$1504,业务流水!$E$5:$E$1504,$D77,业务流水!$D$5:$D$1504,"销项开票",业务流水!$C$5:$C$1504,$A77,业务流水!$Z$5:$Z$1504,"是"))</f>
        <v/>
      </c>
      <c r="F77" s="49" t="str">
        <f aca="false">IF(OR($A77="",$E77=0),"",SUMIFS(业务流水!$O$5:$O$1504,业务流水!$E$5:$E$1504,$D77,业务流水!$D$5:$D$1504,"销项开票",业务流水!$C$5:$C$1504,$A77,业务流水!$Z$5:$Z$1504,"是")/$E77)</f>
        <v/>
      </c>
      <c r="G77" s="41" t="str">
        <f aca="false">IF($A77="","",SUMIFS(业务流水!$O$5:$O$1504,业务流水!$E$5:$E$1504,$D77,业务流水!$D$5:$D$1504,"销项开票",业务流水!$C$5:$C$1504,$A77,业务流水!$Z$5:$Z$1504,"是"))</f>
        <v/>
      </c>
      <c r="H77" s="42" t="str">
        <f aca="false">IF($A77="","",$E77-$G77)</f>
        <v/>
      </c>
      <c r="I77" s="32" t="str">
        <f aca="false">IF($A77="","",项目档案!$F77)</f>
        <v/>
      </c>
      <c r="J77" s="41" t="n">
        <f aca="false">IF(OR($A77="",$I77=""),0,SUMIFS(业务流水!$H$5:$H$1504,业务流水!$E$5:$E$1504,$I77,业务流水!$D$5:$D$1504,"销项开票",业务流水!$C$5:$C$1504,$A77,业务流水!$Z$5:$Z$1504,"是"))</f>
        <v>0</v>
      </c>
      <c r="K77" s="49" t="str">
        <f aca="false">IF(OR($A77="",$J77=0),"",SUMIFS(业务流水!$O$5:$O$1504,业务流水!$E$5:$E$1504,$I77,业务流水!$D$5:$D$1504,"销项开票",业务流水!$C$5:$C$1504,$A77,业务流水!$Z$5:$Z$1504,"是")/$J77)</f>
        <v/>
      </c>
      <c r="L77" s="41" t="n">
        <f aca="false">IF(OR($A77="",$I77=""),0,SUMIFS(业务流水!$O$5:$O$1504,业务流水!$E$5:$E$1504,$I77,业务流水!$D$5:$D$1504,"销项开票",业务流水!$C$5:$C$1504,$A77,业务流水!$Z$5:$Z$1504,"是"))</f>
        <v>0</v>
      </c>
      <c r="M77" s="43" t="str">
        <f aca="false">IF($A77="","",IF(AND($I77&lt;&gt;"",$J77&gt;0),$J77-$L77,$H77))</f>
        <v/>
      </c>
      <c r="N77" s="41" t="str">
        <f aca="false">IF($A77="","",SUMIFS(业务流水!$H$5:$H$1504,业务流水!$F$5:$F$1504,"*",业务流水!$D$5:$D$1504,"成本票",业务流水!$C$5:$C$1504,$A77,业务流水!$Z$5:$Z$1504,"是"))</f>
        <v/>
      </c>
      <c r="O77" s="43" t="str">
        <f aca="false">IF($A77="","",ROUND($M77-$N77,2))</f>
        <v/>
      </c>
      <c r="P77" s="33" t="str">
        <f aca="false">IF($A77="","",IF(ABS($O77)&lt;1,"✓ 已开齐",IF($O77&gt;0,"还差成本票","多开了")))</f>
        <v/>
      </c>
    </row>
    <row r="78" customFormat="false" ht="15.75" hidden="false" customHeight="true" outlineLevel="0" collapsed="false">
      <c r="A78" s="32" t="str">
        <f aca="false">IF(项目档案!$A78="","",项目档案!$A78)</f>
        <v/>
      </c>
      <c r="B78" s="40" t="str">
        <f aca="false">IF($A78="","",项目档案!$B78)</f>
        <v/>
      </c>
      <c r="C78" s="32" t="str">
        <f aca="false">IF($A78="","",项目档案!$C78)</f>
        <v/>
      </c>
      <c r="D78" s="32" t="str">
        <f aca="false">IF($A78="","",项目档案!$D78)</f>
        <v/>
      </c>
      <c r="E78" s="41" t="str">
        <f aca="false">IF($A78="","",SUMIFS(业务流水!$H$5:$H$1504,业务流水!$E$5:$E$1504,$D78,业务流水!$D$5:$D$1504,"销项开票",业务流水!$C$5:$C$1504,$A78,业务流水!$Z$5:$Z$1504,"是"))</f>
        <v/>
      </c>
      <c r="F78" s="49" t="str">
        <f aca="false">IF(OR($A78="",$E78=0),"",SUMIFS(业务流水!$O$5:$O$1504,业务流水!$E$5:$E$1504,$D78,业务流水!$D$5:$D$1504,"销项开票",业务流水!$C$5:$C$1504,$A78,业务流水!$Z$5:$Z$1504,"是")/$E78)</f>
        <v/>
      </c>
      <c r="G78" s="41" t="str">
        <f aca="false">IF($A78="","",SUMIFS(业务流水!$O$5:$O$1504,业务流水!$E$5:$E$1504,$D78,业务流水!$D$5:$D$1504,"销项开票",业务流水!$C$5:$C$1504,$A78,业务流水!$Z$5:$Z$1504,"是"))</f>
        <v/>
      </c>
      <c r="H78" s="42" t="str">
        <f aca="false">IF($A78="","",$E78-$G78)</f>
        <v/>
      </c>
      <c r="I78" s="32" t="str">
        <f aca="false">IF($A78="","",项目档案!$F78)</f>
        <v/>
      </c>
      <c r="J78" s="41" t="n">
        <f aca="false">IF(OR($A78="",$I78=""),0,SUMIFS(业务流水!$H$5:$H$1504,业务流水!$E$5:$E$1504,$I78,业务流水!$D$5:$D$1504,"销项开票",业务流水!$C$5:$C$1504,$A78,业务流水!$Z$5:$Z$1504,"是"))</f>
        <v>0</v>
      </c>
      <c r="K78" s="49" t="str">
        <f aca="false">IF(OR($A78="",$J78=0),"",SUMIFS(业务流水!$O$5:$O$1504,业务流水!$E$5:$E$1504,$I78,业务流水!$D$5:$D$1504,"销项开票",业务流水!$C$5:$C$1504,$A78,业务流水!$Z$5:$Z$1504,"是")/$J78)</f>
        <v/>
      </c>
      <c r="L78" s="41" t="n">
        <f aca="false">IF(OR($A78="",$I78=""),0,SUMIFS(业务流水!$O$5:$O$1504,业务流水!$E$5:$E$1504,$I78,业务流水!$D$5:$D$1504,"销项开票",业务流水!$C$5:$C$1504,$A78,业务流水!$Z$5:$Z$1504,"是"))</f>
        <v>0</v>
      </c>
      <c r="M78" s="43" t="str">
        <f aca="false">IF($A78="","",IF(AND($I78&lt;&gt;"",$J78&gt;0),$J78-$L78,$H78))</f>
        <v/>
      </c>
      <c r="N78" s="41" t="str">
        <f aca="false">IF($A78="","",SUMIFS(业务流水!$H$5:$H$1504,业务流水!$F$5:$F$1504,"*",业务流水!$D$5:$D$1504,"成本票",业务流水!$C$5:$C$1504,$A78,业务流水!$Z$5:$Z$1504,"是"))</f>
        <v/>
      </c>
      <c r="O78" s="43" t="str">
        <f aca="false">IF($A78="","",ROUND($M78-$N78,2))</f>
        <v/>
      </c>
      <c r="P78" s="33" t="str">
        <f aca="false">IF($A78="","",IF(ABS($O78)&lt;1,"✓ 已开齐",IF($O78&gt;0,"还差成本票","多开了")))</f>
        <v/>
      </c>
    </row>
    <row r="79" customFormat="false" ht="15.75" hidden="false" customHeight="true" outlineLevel="0" collapsed="false">
      <c r="A79" s="32" t="str">
        <f aca="false">IF(项目档案!$A79="","",项目档案!$A79)</f>
        <v/>
      </c>
      <c r="B79" s="40" t="str">
        <f aca="false">IF($A79="","",项目档案!$B79)</f>
        <v/>
      </c>
      <c r="C79" s="32" t="str">
        <f aca="false">IF($A79="","",项目档案!$C79)</f>
        <v/>
      </c>
      <c r="D79" s="32" t="str">
        <f aca="false">IF($A79="","",项目档案!$D79)</f>
        <v/>
      </c>
      <c r="E79" s="41" t="str">
        <f aca="false">IF($A79="","",SUMIFS(业务流水!$H$5:$H$1504,业务流水!$E$5:$E$1504,$D79,业务流水!$D$5:$D$1504,"销项开票",业务流水!$C$5:$C$1504,$A79,业务流水!$Z$5:$Z$1504,"是"))</f>
        <v/>
      </c>
      <c r="F79" s="49" t="str">
        <f aca="false">IF(OR($A79="",$E79=0),"",SUMIFS(业务流水!$O$5:$O$1504,业务流水!$E$5:$E$1504,$D79,业务流水!$D$5:$D$1504,"销项开票",业务流水!$C$5:$C$1504,$A79,业务流水!$Z$5:$Z$1504,"是")/$E79)</f>
        <v/>
      </c>
      <c r="G79" s="41" t="str">
        <f aca="false">IF($A79="","",SUMIFS(业务流水!$O$5:$O$1504,业务流水!$E$5:$E$1504,$D79,业务流水!$D$5:$D$1504,"销项开票",业务流水!$C$5:$C$1504,$A79,业务流水!$Z$5:$Z$1504,"是"))</f>
        <v/>
      </c>
      <c r="H79" s="42" t="str">
        <f aca="false">IF($A79="","",$E79-$G79)</f>
        <v/>
      </c>
      <c r="I79" s="32" t="str">
        <f aca="false">IF($A79="","",项目档案!$F79)</f>
        <v/>
      </c>
      <c r="J79" s="41" t="n">
        <f aca="false">IF(OR($A79="",$I79=""),0,SUMIFS(业务流水!$H$5:$H$1504,业务流水!$E$5:$E$1504,$I79,业务流水!$D$5:$D$1504,"销项开票",业务流水!$C$5:$C$1504,$A79,业务流水!$Z$5:$Z$1504,"是"))</f>
        <v>0</v>
      </c>
      <c r="K79" s="49" t="str">
        <f aca="false">IF(OR($A79="",$J79=0),"",SUMIFS(业务流水!$O$5:$O$1504,业务流水!$E$5:$E$1504,$I79,业务流水!$D$5:$D$1504,"销项开票",业务流水!$C$5:$C$1504,$A79,业务流水!$Z$5:$Z$1504,"是")/$J79)</f>
        <v/>
      </c>
      <c r="L79" s="41" t="n">
        <f aca="false">IF(OR($A79="",$I79=""),0,SUMIFS(业务流水!$O$5:$O$1504,业务流水!$E$5:$E$1504,$I79,业务流水!$D$5:$D$1504,"销项开票",业务流水!$C$5:$C$1504,$A79,业务流水!$Z$5:$Z$1504,"是"))</f>
        <v>0</v>
      </c>
      <c r="M79" s="43" t="str">
        <f aca="false">IF($A79="","",IF(AND($I79&lt;&gt;"",$J79&gt;0),$J79-$L79,$H79))</f>
        <v/>
      </c>
      <c r="N79" s="41" t="str">
        <f aca="false">IF($A79="","",SUMIFS(业务流水!$H$5:$H$1504,业务流水!$F$5:$F$1504,"*",业务流水!$D$5:$D$1504,"成本票",业务流水!$C$5:$C$1504,$A79,业务流水!$Z$5:$Z$1504,"是"))</f>
        <v/>
      </c>
      <c r="O79" s="43" t="str">
        <f aca="false">IF($A79="","",ROUND($M79-$N79,2))</f>
        <v/>
      </c>
      <c r="P79" s="33" t="str">
        <f aca="false">IF($A79="","",IF(ABS($O79)&lt;1,"✓ 已开齐",IF($O79&gt;0,"还差成本票","多开了")))</f>
        <v/>
      </c>
    </row>
    <row r="80" customFormat="false" ht="15.75" hidden="false" customHeight="true" outlineLevel="0" collapsed="false">
      <c r="A80" s="32" t="str">
        <f aca="false">IF(项目档案!$A80="","",项目档案!$A80)</f>
        <v/>
      </c>
      <c r="B80" s="40" t="str">
        <f aca="false">IF($A80="","",项目档案!$B80)</f>
        <v/>
      </c>
      <c r="C80" s="32" t="str">
        <f aca="false">IF($A80="","",项目档案!$C80)</f>
        <v/>
      </c>
      <c r="D80" s="32" t="str">
        <f aca="false">IF($A80="","",项目档案!$D80)</f>
        <v/>
      </c>
      <c r="E80" s="41" t="str">
        <f aca="false">IF($A80="","",SUMIFS(业务流水!$H$5:$H$1504,业务流水!$E$5:$E$1504,$D80,业务流水!$D$5:$D$1504,"销项开票",业务流水!$C$5:$C$1504,$A80,业务流水!$Z$5:$Z$1504,"是"))</f>
        <v/>
      </c>
      <c r="F80" s="49" t="str">
        <f aca="false">IF(OR($A80="",$E80=0),"",SUMIFS(业务流水!$O$5:$O$1504,业务流水!$E$5:$E$1504,$D80,业务流水!$D$5:$D$1504,"销项开票",业务流水!$C$5:$C$1504,$A80,业务流水!$Z$5:$Z$1504,"是")/$E80)</f>
        <v/>
      </c>
      <c r="G80" s="41" t="str">
        <f aca="false">IF($A80="","",SUMIFS(业务流水!$O$5:$O$1504,业务流水!$E$5:$E$1504,$D80,业务流水!$D$5:$D$1504,"销项开票",业务流水!$C$5:$C$1504,$A80,业务流水!$Z$5:$Z$1504,"是"))</f>
        <v/>
      </c>
      <c r="H80" s="42" t="str">
        <f aca="false">IF($A80="","",$E80-$G80)</f>
        <v/>
      </c>
      <c r="I80" s="32" t="str">
        <f aca="false">IF($A80="","",项目档案!$F80)</f>
        <v/>
      </c>
      <c r="J80" s="41" t="n">
        <f aca="false">IF(OR($A80="",$I80=""),0,SUMIFS(业务流水!$H$5:$H$1504,业务流水!$E$5:$E$1504,$I80,业务流水!$D$5:$D$1504,"销项开票",业务流水!$C$5:$C$1504,$A80,业务流水!$Z$5:$Z$1504,"是"))</f>
        <v>0</v>
      </c>
      <c r="K80" s="49" t="str">
        <f aca="false">IF(OR($A80="",$J80=0),"",SUMIFS(业务流水!$O$5:$O$1504,业务流水!$E$5:$E$1504,$I80,业务流水!$D$5:$D$1504,"销项开票",业务流水!$C$5:$C$1504,$A80,业务流水!$Z$5:$Z$1504,"是")/$J80)</f>
        <v/>
      </c>
      <c r="L80" s="41" t="n">
        <f aca="false">IF(OR($A80="",$I80=""),0,SUMIFS(业务流水!$O$5:$O$1504,业务流水!$E$5:$E$1504,$I80,业务流水!$D$5:$D$1504,"销项开票",业务流水!$C$5:$C$1504,$A80,业务流水!$Z$5:$Z$1504,"是"))</f>
        <v>0</v>
      </c>
      <c r="M80" s="43" t="str">
        <f aca="false">IF($A80="","",IF(AND($I80&lt;&gt;"",$J80&gt;0),$J80-$L80,$H80))</f>
        <v/>
      </c>
      <c r="N80" s="41" t="str">
        <f aca="false">IF($A80="","",SUMIFS(业务流水!$H$5:$H$1504,业务流水!$F$5:$F$1504,"*",业务流水!$D$5:$D$1504,"成本票",业务流水!$C$5:$C$1504,$A80,业务流水!$Z$5:$Z$1504,"是"))</f>
        <v/>
      </c>
      <c r="O80" s="43" t="str">
        <f aca="false">IF($A80="","",ROUND($M80-$N80,2))</f>
        <v/>
      </c>
      <c r="P80" s="33" t="str">
        <f aca="false">IF($A80="","",IF(ABS($O80)&lt;1,"✓ 已开齐",IF($O80&gt;0,"还差成本票","多开了")))</f>
        <v/>
      </c>
    </row>
    <row r="81" customFormat="false" ht="15.75" hidden="false" customHeight="true" outlineLevel="0" collapsed="false">
      <c r="A81" s="32" t="str">
        <f aca="false">IF(项目档案!$A81="","",项目档案!$A81)</f>
        <v/>
      </c>
      <c r="B81" s="40" t="str">
        <f aca="false">IF($A81="","",项目档案!$B81)</f>
        <v/>
      </c>
      <c r="C81" s="32" t="str">
        <f aca="false">IF($A81="","",项目档案!$C81)</f>
        <v/>
      </c>
      <c r="D81" s="32" t="str">
        <f aca="false">IF($A81="","",项目档案!$D81)</f>
        <v/>
      </c>
      <c r="E81" s="41" t="str">
        <f aca="false">IF($A81="","",SUMIFS(业务流水!$H$5:$H$1504,业务流水!$E$5:$E$1504,$D81,业务流水!$D$5:$D$1504,"销项开票",业务流水!$C$5:$C$1504,$A81,业务流水!$Z$5:$Z$1504,"是"))</f>
        <v/>
      </c>
      <c r="F81" s="49" t="str">
        <f aca="false">IF(OR($A81="",$E81=0),"",SUMIFS(业务流水!$O$5:$O$1504,业务流水!$E$5:$E$1504,$D81,业务流水!$D$5:$D$1504,"销项开票",业务流水!$C$5:$C$1504,$A81,业务流水!$Z$5:$Z$1504,"是")/$E81)</f>
        <v/>
      </c>
      <c r="G81" s="41" t="str">
        <f aca="false">IF($A81="","",SUMIFS(业务流水!$O$5:$O$1504,业务流水!$E$5:$E$1504,$D81,业务流水!$D$5:$D$1504,"销项开票",业务流水!$C$5:$C$1504,$A81,业务流水!$Z$5:$Z$1504,"是"))</f>
        <v/>
      </c>
      <c r="H81" s="42" t="str">
        <f aca="false">IF($A81="","",$E81-$G81)</f>
        <v/>
      </c>
      <c r="I81" s="32" t="str">
        <f aca="false">IF($A81="","",项目档案!$F81)</f>
        <v/>
      </c>
      <c r="J81" s="41" t="n">
        <f aca="false">IF(OR($A81="",$I81=""),0,SUMIFS(业务流水!$H$5:$H$1504,业务流水!$E$5:$E$1504,$I81,业务流水!$D$5:$D$1504,"销项开票",业务流水!$C$5:$C$1504,$A81,业务流水!$Z$5:$Z$1504,"是"))</f>
        <v>0</v>
      </c>
      <c r="K81" s="49" t="str">
        <f aca="false">IF(OR($A81="",$J81=0),"",SUMIFS(业务流水!$O$5:$O$1504,业务流水!$E$5:$E$1504,$I81,业务流水!$D$5:$D$1504,"销项开票",业务流水!$C$5:$C$1504,$A81,业务流水!$Z$5:$Z$1504,"是")/$J81)</f>
        <v/>
      </c>
      <c r="L81" s="41" t="n">
        <f aca="false">IF(OR($A81="",$I81=""),0,SUMIFS(业务流水!$O$5:$O$1504,业务流水!$E$5:$E$1504,$I81,业务流水!$D$5:$D$1504,"销项开票",业务流水!$C$5:$C$1504,$A81,业务流水!$Z$5:$Z$1504,"是"))</f>
        <v>0</v>
      </c>
      <c r="M81" s="43" t="str">
        <f aca="false">IF($A81="","",IF(AND($I81&lt;&gt;"",$J81&gt;0),$J81-$L81,$H81))</f>
        <v/>
      </c>
      <c r="N81" s="41" t="str">
        <f aca="false">IF($A81="","",SUMIFS(业务流水!$H$5:$H$1504,业务流水!$F$5:$F$1504,"*",业务流水!$D$5:$D$1504,"成本票",业务流水!$C$5:$C$1504,$A81,业务流水!$Z$5:$Z$1504,"是"))</f>
        <v/>
      </c>
      <c r="O81" s="43" t="str">
        <f aca="false">IF($A81="","",ROUND($M81-$N81,2))</f>
        <v/>
      </c>
      <c r="P81" s="33" t="str">
        <f aca="false">IF($A81="","",IF(ABS($O81)&lt;1,"✓ 已开齐",IF($O81&gt;0,"还差成本票","多开了")))</f>
        <v/>
      </c>
    </row>
    <row r="82" customFormat="false" ht="15.75" hidden="false" customHeight="true" outlineLevel="0" collapsed="false">
      <c r="A82" s="32" t="str">
        <f aca="false">IF(项目档案!$A82="","",项目档案!$A82)</f>
        <v/>
      </c>
      <c r="B82" s="40" t="str">
        <f aca="false">IF($A82="","",项目档案!$B82)</f>
        <v/>
      </c>
      <c r="C82" s="32" t="str">
        <f aca="false">IF($A82="","",项目档案!$C82)</f>
        <v/>
      </c>
      <c r="D82" s="32" t="str">
        <f aca="false">IF($A82="","",项目档案!$D82)</f>
        <v/>
      </c>
      <c r="E82" s="41" t="str">
        <f aca="false">IF($A82="","",SUMIFS(业务流水!$H$5:$H$1504,业务流水!$E$5:$E$1504,$D82,业务流水!$D$5:$D$1504,"销项开票",业务流水!$C$5:$C$1504,$A82,业务流水!$Z$5:$Z$1504,"是"))</f>
        <v/>
      </c>
      <c r="F82" s="49" t="str">
        <f aca="false">IF(OR($A82="",$E82=0),"",SUMIFS(业务流水!$O$5:$O$1504,业务流水!$E$5:$E$1504,$D82,业务流水!$D$5:$D$1504,"销项开票",业务流水!$C$5:$C$1504,$A82,业务流水!$Z$5:$Z$1504,"是")/$E82)</f>
        <v/>
      </c>
      <c r="G82" s="41" t="str">
        <f aca="false">IF($A82="","",SUMIFS(业务流水!$O$5:$O$1504,业务流水!$E$5:$E$1504,$D82,业务流水!$D$5:$D$1504,"销项开票",业务流水!$C$5:$C$1504,$A82,业务流水!$Z$5:$Z$1504,"是"))</f>
        <v/>
      </c>
      <c r="H82" s="42" t="str">
        <f aca="false">IF($A82="","",$E82-$G82)</f>
        <v/>
      </c>
      <c r="I82" s="32" t="str">
        <f aca="false">IF($A82="","",项目档案!$F82)</f>
        <v/>
      </c>
      <c r="J82" s="41" t="n">
        <f aca="false">IF(OR($A82="",$I82=""),0,SUMIFS(业务流水!$H$5:$H$1504,业务流水!$E$5:$E$1504,$I82,业务流水!$D$5:$D$1504,"销项开票",业务流水!$C$5:$C$1504,$A82,业务流水!$Z$5:$Z$1504,"是"))</f>
        <v>0</v>
      </c>
      <c r="K82" s="49" t="str">
        <f aca="false">IF(OR($A82="",$J82=0),"",SUMIFS(业务流水!$O$5:$O$1504,业务流水!$E$5:$E$1504,$I82,业务流水!$D$5:$D$1504,"销项开票",业务流水!$C$5:$C$1504,$A82,业务流水!$Z$5:$Z$1504,"是")/$J82)</f>
        <v/>
      </c>
      <c r="L82" s="41" t="n">
        <f aca="false">IF(OR($A82="",$I82=""),0,SUMIFS(业务流水!$O$5:$O$1504,业务流水!$E$5:$E$1504,$I82,业务流水!$D$5:$D$1504,"销项开票",业务流水!$C$5:$C$1504,$A82,业务流水!$Z$5:$Z$1504,"是"))</f>
        <v>0</v>
      </c>
      <c r="M82" s="43" t="str">
        <f aca="false">IF($A82="","",IF(AND($I82&lt;&gt;"",$J82&gt;0),$J82-$L82,$H82))</f>
        <v/>
      </c>
      <c r="N82" s="41" t="str">
        <f aca="false">IF($A82="","",SUMIFS(业务流水!$H$5:$H$1504,业务流水!$F$5:$F$1504,"*",业务流水!$D$5:$D$1504,"成本票",业务流水!$C$5:$C$1504,$A82,业务流水!$Z$5:$Z$1504,"是"))</f>
        <v/>
      </c>
      <c r="O82" s="43" t="str">
        <f aca="false">IF($A82="","",ROUND($M82-$N82,2))</f>
        <v/>
      </c>
      <c r="P82" s="33" t="str">
        <f aca="false">IF($A82="","",IF(ABS($O82)&lt;1,"✓ 已开齐",IF($O82&gt;0,"还差成本票","多开了")))</f>
        <v/>
      </c>
    </row>
    <row r="83" customFormat="false" ht="15.75" hidden="false" customHeight="true" outlineLevel="0" collapsed="false">
      <c r="A83" s="32" t="str">
        <f aca="false">IF(项目档案!$A83="","",项目档案!$A83)</f>
        <v/>
      </c>
      <c r="B83" s="40" t="str">
        <f aca="false">IF($A83="","",项目档案!$B83)</f>
        <v/>
      </c>
      <c r="C83" s="32" t="str">
        <f aca="false">IF($A83="","",项目档案!$C83)</f>
        <v/>
      </c>
      <c r="D83" s="32" t="str">
        <f aca="false">IF($A83="","",项目档案!$D83)</f>
        <v/>
      </c>
      <c r="E83" s="41" t="str">
        <f aca="false">IF($A83="","",SUMIFS(业务流水!$H$5:$H$1504,业务流水!$E$5:$E$1504,$D83,业务流水!$D$5:$D$1504,"销项开票",业务流水!$C$5:$C$1504,$A83,业务流水!$Z$5:$Z$1504,"是"))</f>
        <v/>
      </c>
      <c r="F83" s="49" t="str">
        <f aca="false">IF(OR($A83="",$E83=0),"",SUMIFS(业务流水!$O$5:$O$1504,业务流水!$E$5:$E$1504,$D83,业务流水!$D$5:$D$1504,"销项开票",业务流水!$C$5:$C$1504,$A83,业务流水!$Z$5:$Z$1504,"是")/$E83)</f>
        <v/>
      </c>
      <c r="G83" s="41" t="str">
        <f aca="false">IF($A83="","",SUMIFS(业务流水!$O$5:$O$1504,业务流水!$E$5:$E$1504,$D83,业务流水!$D$5:$D$1504,"销项开票",业务流水!$C$5:$C$1504,$A83,业务流水!$Z$5:$Z$1504,"是"))</f>
        <v/>
      </c>
      <c r="H83" s="42" t="str">
        <f aca="false">IF($A83="","",$E83-$G83)</f>
        <v/>
      </c>
      <c r="I83" s="32" t="str">
        <f aca="false">IF($A83="","",项目档案!$F83)</f>
        <v/>
      </c>
      <c r="J83" s="41" t="n">
        <f aca="false">IF(OR($A83="",$I83=""),0,SUMIFS(业务流水!$H$5:$H$1504,业务流水!$E$5:$E$1504,$I83,业务流水!$D$5:$D$1504,"销项开票",业务流水!$C$5:$C$1504,$A83,业务流水!$Z$5:$Z$1504,"是"))</f>
        <v>0</v>
      </c>
      <c r="K83" s="49" t="str">
        <f aca="false">IF(OR($A83="",$J83=0),"",SUMIFS(业务流水!$O$5:$O$1504,业务流水!$E$5:$E$1504,$I83,业务流水!$D$5:$D$1504,"销项开票",业务流水!$C$5:$C$1504,$A83,业务流水!$Z$5:$Z$1504,"是")/$J83)</f>
        <v/>
      </c>
      <c r="L83" s="41" t="n">
        <f aca="false">IF(OR($A83="",$I83=""),0,SUMIFS(业务流水!$O$5:$O$1504,业务流水!$E$5:$E$1504,$I83,业务流水!$D$5:$D$1504,"销项开票",业务流水!$C$5:$C$1504,$A83,业务流水!$Z$5:$Z$1504,"是"))</f>
        <v>0</v>
      </c>
      <c r="M83" s="43" t="str">
        <f aca="false">IF($A83="","",IF(AND($I83&lt;&gt;"",$J83&gt;0),$J83-$L83,$H83))</f>
        <v/>
      </c>
      <c r="N83" s="41" t="str">
        <f aca="false">IF($A83="","",SUMIFS(业务流水!$H$5:$H$1504,业务流水!$F$5:$F$1504,"*",业务流水!$D$5:$D$1504,"成本票",业务流水!$C$5:$C$1504,$A83,业务流水!$Z$5:$Z$1504,"是"))</f>
        <v/>
      </c>
      <c r="O83" s="43" t="str">
        <f aca="false">IF($A83="","",ROUND($M83-$N83,2))</f>
        <v/>
      </c>
      <c r="P83" s="33" t="str">
        <f aca="false">IF($A83="","",IF(ABS($O83)&lt;1,"✓ 已开齐",IF($O83&gt;0,"还差成本票","多开了")))</f>
        <v/>
      </c>
    </row>
    <row r="84" customFormat="false" ht="15.75" hidden="false" customHeight="true" outlineLevel="0" collapsed="false">
      <c r="A84" s="32" t="str">
        <f aca="false">IF(项目档案!$A84="","",项目档案!$A84)</f>
        <v/>
      </c>
      <c r="B84" s="40" t="str">
        <f aca="false">IF($A84="","",项目档案!$B84)</f>
        <v/>
      </c>
      <c r="C84" s="32" t="str">
        <f aca="false">IF($A84="","",项目档案!$C84)</f>
        <v/>
      </c>
      <c r="D84" s="32" t="str">
        <f aca="false">IF($A84="","",项目档案!$D84)</f>
        <v/>
      </c>
      <c r="E84" s="41" t="str">
        <f aca="false">IF($A84="","",SUMIFS(业务流水!$H$5:$H$1504,业务流水!$E$5:$E$1504,$D84,业务流水!$D$5:$D$1504,"销项开票",业务流水!$C$5:$C$1504,$A84,业务流水!$Z$5:$Z$1504,"是"))</f>
        <v/>
      </c>
      <c r="F84" s="49" t="str">
        <f aca="false">IF(OR($A84="",$E84=0),"",SUMIFS(业务流水!$O$5:$O$1504,业务流水!$E$5:$E$1504,$D84,业务流水!$D$5:$D$1504,"销项开票",业务流水!$C$5:$C$1504,$A84,业务流水!$Z$5:$Z$1504,"是")/$E84)</f>
        <v/>
      </c>
      <c r="G84" s="41" t="str">
        <f aca="false">IF($A84="","",SUMIFS(业务流水!$O$5:$O$1504,业务流水!$E$5:$E$1504,$D84,业务流水!$D$5:$D$1504,"销项开票",业务流水!$C$5:$C$1504,$A84,业务流水!$Z$5:$Z$1504,"是"))</f>
        <v/>
      </c>
      <c r="H84" s="42" t="str">
        <f aca="false">IF($A84="","",$E84-$G84)</f>
        <v/>
      </c>
      <c r="I84" s="32" t="str">
        <f aca="false">IF($A84="","",项目档案!$F84)</f>
        <v/>
      </c>
      <c r="J84" s="41" t="n">
        <f aca="false">IF(OR($A84="",$I84=""),0,SUMIFS(业务流水!$H$5:$H$1504,业务流水!$E$5:$E$1504,$I84,业务流水!$D$5:$D$1504,"销项开票",业务流水!$C$5:$C$1504,$A84,业务流水!$Z$5:$Z$1504,"是"))</f>
        <v>0</v>
      </c>
      <c r="K84" s="49" t="str">
        <f aca="false">IF(OR($A84="",$J84=0),"",SUMIFS(业务流水!$O$5:$O$1504,业务流水!$E$5:$E$1504,$I84,业务流水!$D$5:$D$1504,"销项开票",业务流水!$C$5:$C$1504,$A84,业务流水!$Z$5:$Z$1504,"是")/$J84)</f>
        <v/>
      </c>
      <c r="L84" s="41" t="n">
        <f aca="false">IF(OR($A84="",$I84=""),0,SUMIFS(业务流水!$O$5:$O$1504,业务流水!$E$5:$E$1504,$I84,业务流水!$D$5:$D$1504,"销项开票",业务流水!$C$5:$C$1504,$A84,业务流水!$Z$5:$Z$1504,"是"))</f>
        <v>0</v>
      </c>
      <c r="M84" s="43" t="str">
        <f aca="false">IF($A84="","",IF(AND($I84&lt;&gt;"",$J84&gt;0),$J84-$L84,$H84))</f>
        <v/>
      </c>
      <c r="N84" s="41" t="str">
        <f aca="false">IF($A84="","",SUMIFS(业务流水!$H$5:$H$1504,业务流水!$F$5:$F$1504,"*",业务流水!$D$5:$D$1504,"成本票",业务流水!$C$5:$C$1504,$A84,业务流水!$Z$5:$Z$1504,"是"))</f>
        <v/>
      </c>
      <c r="O84" s="43" t="str">
        <f aca="false">IF($A84="","",ROUND($M84-$N84,2))</f>
        <v/>
      </c>
      <c r="P84" s="33" t="str">
        <f aca="false">IF($A84="","",IF(ABS($O84)&lt;1,"✓ 已开齐",IF($O84&gt;0,"还差成本票","多开了")))</f>
        <v/>
      </c>
    </row>
    <row r="85" customFormat="false" ht="15.75" hidden="false" customHeight="true" outlineLevel="0" collapsed="false">
      <c r="A85" s="32" t="str">
        <f aca="false">IF(项目档案!$A85="","",项目档案!$A85)</f>
        <v/>
      </c>
      <c r="B85" s="40" t="str">
        <f aca="false">IF($A85="","",项目档案!$B85)</f>
        <v/>
      </c>
      <c r="C85" s="32" t="str">
        <f aca="false">IF($A85="","",项目档案!$C85)</f>
        <v/>
      </c>
      <c r="D85" s="32" t="str">
        <f aca="false">IF($A85="","",项目档案!$D85)</f>
        <v/>
      </c>
      <c r="E85" s="41" t="str">
        <f aca="false">IF($A85="","",SUMIFS(业务流水!$H$5:$H$1504,业务流水!$E$5:$E$1504,$D85,业务流水!$D$5:$D$1504,"销项开票",业务流水!$C$5:$C$1504,$A85,业务流水!$Z$5:$Z$1504,"是"))</f>
        <v/>
      </c>
      <c r="F85" s="49" t="str">
        <f aca="false">IF(OR($A85="",$E85=0),"",SUMIFS(业务流水!$O$5:$O$1504,业务流水!$E$5:$E$1504,$D85,业务流水!$D$5:$D$1504,"销项开票",业务流水!$C$5:$C$1504,$A85,业务流水!$Z$5:$Z$1504,"是")/$E85)</f>
        <v/>
      </c>
      <c r="G85" s="41" t="str">
        <f aca="false">IF($A85="","",SUMIFS(业务流水!$O$5:$O$1504,业务流水!$E$5:$E$1504,$D85,业务流水!$D$5:$D$1504,"销项开票",业务流水!$C$5:$C$1504,$A85,业务流水!$Z$5:$Z$1504,"是"))</f>
        <v/>
      </c>
      <c r="H85" s="42" t="str">
        <f aca="false">IF($A85="","",$E85-$G85)</f>
        <v/>
      </c>
      <c r="I85" s="32" t="str">
        <f aca="false">IF($A85="","",项目档案!$F85)</f>
        <v/>
      </c>
      <c r="J85" s="41" t="n">
        <f aca="false">IF(OR($A85="",$I85=""),0,SUMIFS(业务流水!$H$5:$H$1504,业务流水!$E$5:$E$1504,$I85,业务流水!$D$5:$D$1504,"销项开票",业务流水!$C$5:$C$1504,$A85,业务流水!$Z$5:$Z$1504,"是"))</f>
        <v>0</v>
      </c>
      <c r="K85" s="49" t="str">
        <f aca="false">IF(OR($A85="",$J85=0),"",SUMIFS(业务流水!$O$5:$O$1504,业务流水!$E$5:$E$1504,$I85,业务流水!$D$5:$D$1504,"销项开票",业务流水!$C$5:$C$1504,$A85,业务流水!$Z$5:$Z$1504,"是")/$J85)</f>
        <v/>
      </c>
      <c r="L85" s="41" t="n">
        <f aca="false">IF(OR($A85="",$I85=""),0,SUMIFS(业务流水!$O$5:$O$1504,业务流水!$E$5:$E$1504,$I85,业务流水!$D$5:$D$1504,"销项开票",业务流水!$C$5:$C$1504,$A85,业务流水!$Z$5:$Z$1504,"是"))</f>
        <v>0</v>
      </c>
      <c r="M85" s="43" t="str">
        <f aca="false">IF($A85="","",IF(AND($I85&lt;&gt;"",$J85&gt;0),$J85-$L85,$H85))</f>
        <v/>
      </c>
      <c r="N85" s="41" t="str">
        <f aca="false">IF($A85="","",SUMIFS(业务流水!$H$5:$H$1504,业务流水!$F$5:$F$1504,"*",业务流水!$D$5:$D$1504,"成本票",业务流水!$C$5:$C$1504,$A85,业务流水!$Z$5:$Z$1504,"是"))</f>
        <v/>
      </c>
      <c r="O85" s="43" t="str">
        <f aca="false">IF($A85="","",ROUND($M85-$N85,2))</f>
        <v/>
      </c>
      <c r="P85" s="33" t="str">
        <f aca="false">IF($A85="","",IF(ABS($O85)&lt;1,"✓ 已开齐",IF($O85&gt;0,"还差成本票","多开了")))</f>
        <v/>
      </c>
    </row>
    <row r="86" customFormat="false" ht="15.75" hidden="false" customHeight="true" outlineLevel="0" collapsed="false">
      <c r="A86" s="32" t="str">
        <f aca="false">IF(项目档案!$A86="","",项目档案!$A86)</f>
        <v/>
      </c>
      <c r="B86" s="40" t="str">
        <f aca="false">IF($A86="","",项目档案!$B86)</f>
        <v/>
      </c>
      <c r="C86" s="32" t="str">
        <f aca="false">IF($A86="","",项目档案!$C86)</f>
        <v/>
      </c>
      <c r="D86" s="32" t="str">
        <f aca="false">IF($A86="","",项目档案!$D86)</f>
        <v/>
      </c>
      <c r="E86" s="41" t="str">
        <f aca="false">IF($A86="","",SUMIFS(业务流水!$H$5:$H$1504,业务流水!$E$5:$E$1504,$D86,业务流水!$D$5:$D$1504,"销项开票",业务流水!$C$5:$C$1504,$A86,业务流水!$Z$5:$Z$1504,"是"))</f>
        <v/>
      </c>
      <c r="F86" s="49" t="str">
        <f aca="false">IF(OR($A86="",$E86=0),"",SUMIFS(业务流水!$O$5:$O$1504,业务流水!$E$5:$E$1504,$D86,业务流水!$D$5:$D$1504,"销项开票",业务流水!$C$5:$C$1504,$A86,业务流水!$Z$5:$Z$1504,"是")/$E86)</f>
        <v/>
      </c>
      <c r="G86" s="41" t="str">
        <f aca="false">IF($A86="","",SUMIFS(业务流水!$O$5:$O$1504,业务流水!$E$5:$E$1504,$D86,业务流水!$D$5:$D$1504,"销项开票",业务流水!$C$5:$C$1504,$A86,业务流水!$Z$5:$Z$1504,"是"))</f>
        <v/>
      </c>
      <c r="H86" s="42" t="str">
        <f aca="false">IF($A86="","",$E86-$G86)</f>
        <v/>
      </c>
      <c r="I86" s="32" t="str">
        <f aca="false">IF($A86="","",项目档案!$F86)</f>
        <v/>
      </c>
      <c r="J86" s="41" t="n">
        <f aca="false">IF(OR($A86="",$I86=""),0,SUMIFS(业务流水!$H$5:$H$1504,业务流水!$E$5:$E$1504,$I86,业务流水!$D$5:$D$1504,"销项开票",业务流水!$C$5:$C$1504,$A86,业务流水!$Z$5:$Z$1504,"是"))</f>
        <v>0</v>
      </c>
      <c r="K86" s="49" t="str">
        <f aca="false">IF(OR($A86="",$J86=0),"",SUMIFS(业务流水!$O$5:$O$1504,业务流水!$E$5:$E$1504,$I86,业务流水!$D$5:$D$1504,"销项开票",业务流水!$C$5:$C$1504,$A86,业务流水!$Z$5:$Z$1504,"是")/$J86)</f>
        <v/>
      </c>
      <c r="L86" s="41" t="n">
        <f aca="false">IF(OR($A86="",$I86=""),0,SUMIFS(业务流水!$O$5:$O$1504,业务流水!$E$5:$E$1504,$I86,业务流水!$D$5:$D$1504,"销项开票",业务流水!$C$5:$C$1504,$A86,业务流水!$Z$5:$Z$1504,"是"))</f>
        <v>0</v>
      </c>
      <c r="M86" s="43" t="str">
        <f aca="false">IF($A86="","",IF(AND($I86&lt;&gt;"",$J86&gt;0),$J86-$L86,$H86))</f>
        <v/>
      </c>
      <c r="N86" s="41" t="str">
        <f aca="false">IF($A86="","",SUMIFS(业务流水!$H$5:$H$1504,业务流水!$F$5:$F$1504,"*",业务流水!$D$5:$D$1504,"成本票",业务流水!$C$5:$C$1504,$A86,业务流水!$Z$5:$Z$1504,"是"))</f>
        <v/>
      </c>
      <c r="O86" s="43" t="str">
        <f aca="false">IF($A86="","",ROUND($M86-$N86,2))</f>
        <v/>
      </c>
      <c r="P86" s="33" t="str">
        <f aca="false">IF($A86="","",IF(ABS($O86)&lt;1,"✓ 已开齐",IF($O86&gt;0,"还差成本票","多开了")))</f>
        <v/>
      </c>
    </row>
    <row r="87" customFormat="false" ht="15.75" hidden="false" customHeight="true" outlineLevel="0" collapsed="false">
      <c r="A87" s="32" t="str">
        <f aca="false">IF(项目档案!$A87="","",项目档案!$A87)</f>
        <v/>
      </c>
      <c r="B87" s="40" t="str">
        <f aca="false">IF($A87="","",项目档案!$B87)</f>
        <v/>
      </c>
      <c r="C87" s="32" t="str">
        <f aca="false">IF($A87="","",项目档案!$C87)</f>
        <v/>
      </c>
      <c r="D87" s="32" t="str">
        <f aca="false">IF($A87="","",项目档案!$D87)</f>
        <v/>
      </c>
      <c r="E87" s="41" t="str">
        <f aca="false">IF($A87="","",SUMIFS(业务流水!$H$5:$H$1504,业务流水!$E$5:$E$1504,$D87,业务流水!$D$5:$D$1504,"销项开票",业务流水!$C$5:$C$1504,$A87,业务流水!$Z$5:$Z$1504,"是"))</f>
        <v/>
      </c>
      <c r="F87" s="49" t="str">
        <f aca="false">IF(OR($A87="",$E87=0),"",SUMIFS(业务流水!$O$5:$O$1504,业务流水!$E$5:$E$1504,$D87,业务流水!$D$5:$D$1504,"销项开票",业务流水!$C$5:$C$1504,$A87,业务流水!$Z$5:$Z$1504,"是")/$E87)</f>
        <v/>
      </c>
      <c r="G87" s="41" t="str">
        <f aca="false">IF($A87="","",SUMIFS(业务流水!$O$5:$O$1504,业务流水!$E$5:$E$1504,$D87,业务流水!$D$5:$D$1504,"销项开票",业务流水!$C$5:$C$1504,$A87,业务流水!$Z$5:$Z$1504,"是"))</f>
        <v/>
      </c>
      <c r="H87" s="42" t="str">
        <f aca="false">IF($A87="","",$E87-$G87)</f>
        <v/>
      </c>
      <c r="I87" s="32" t="str">
        <f aca="false">IF($A87="","",项目档案!$F87)</f>
        <v/>
      </c>
      <c r="J87" s="41" t="n">
        <f aca="false">IF(OR($A87="",$I87=""),0,SUMIFS(业务流水!$H$5:$H$1504,业务流水!$E$5:$E$1504,$I87,业务流水!$D$5:$D$1504,"销项开票",业务流水!$C$5:$C$1504,$A87,业务流水!$Z$5:$Z$1504,"是"))</f>
        <v>0</v>
      </c>
      <c r="K87" s="49" t="str">
        <f aca="false">IF(OR($A87="",$J87=0),"",SUMIFS(业务流水!$O$5:$O$1504,业务流水!$E$5:$E$1504,$I87,业务流水!$D$5:$D$1504,"销项开票",业务流水!$C$5:$C$1504,$A87,业务流水!$Z$5:$Z$1504,"是")/$J87)</f>
        <v/>
      </c>
      <c r="L87" s="41" t="n">
        <f aca="false">IF(OR($A87="",$I87=""),0,SUMIFS(业务流水!$O$5:$O$1504,业务流水!$E$5:$E$1504,$I87,业务流水!$D$5:$D$1504,"销项开票",业务流水!$C$5:$C$1504,$A87,业务流水!$Z$5:$Z$1504,"是"))</f>
        <v>0</v>
      </c>
      <c r="M87" s="43" t="str">
        <f aca="false">IF($A87="","",IF(AND($I87&lt;&gt;"",$J87&gt;0),$J87-$L87,$H87))</f>
        <v/>
      </c>
      <c r="N87" s="41" t="str">
        <f aca="false">IF($A87="","",SUMIFS(业务流水!$H$5:$H$1504,业务流水!$F$5:$F$1504,"*",业务流水!$D$5:$D$1504,"成本票",业务流水!$C$5:$C$1504,$A87,业务流水!$Z$5:$Z$1504,"是"))</f>
        <v/>
      </c>
      <c r="O87" s="43" t="str">
        <f aca="false">IF($A87="","",ROUND($M87-$N87,2))</f>
        <v/>
      </c>
      <c r="P87" s="33" t="str">
        <f aca="false">IF($A87="","",IF(ABS($O87)&lt;1,"✓ 已开齐",IF($O87&gt;0,"还差成本票","多开了")))</f>
        <v/>
      </c>
    </row>
    <row r="88" customFormat="false" ht="15.75" hidden="false" customHeight="true" outlineLevel="0" collapsed="false">
      <c r="A88" s="32" t="str">
        <f aca="false">IF(项目档案!$A88="","",项目档案!$A88)</f>
        <v/>
      </c>
      <c r="B88" s="40" t="str">
        <f aca="false">IF($A88="","",项目档案!$B88)</f>
        <v/>
      </c>
      <c r="C88" s="32" t="str">
        <f aca="false">IF($A88="","",项目档案!$C88)</f>
        <v/>
      </c>
      <c r="D88" s="32" t="str">
        <f aca="false">IF($A88="","",项目档案!$D88)</f>
        <v/>
      </c>
      <c r="E88" s="41" t="str">
        <f aca="false">IF($A88="","",SUMIFS(业务流水!$H$5:$H$1504,业务流水!$E$5:$E$1504,$D88,业务流水!$D$5:$D$1504,"销项开票",业务流水!$C$5:$C$1504,$A88,业务流水!$Z$5:$Z$1504,"是"))</f>
        <v/>
      </c>
      <c r="F88" s="49" t="str">
        <f aca="false">IF(OR($A88="",$E88=0),"",SUMIFS(业务流水!$O$5:$O$1504,业务流水!$E$5:$E$1504,$D88,业务流水!$D$5:$D$1504,"销项开票",业务流水!$C$5:$C$1504,$A88,业务流水!$Z$5:$Z$1504,"是")/$E88)</f>
        <v/>
      </c>
      <c r="G88" s="41" t="str">
        <f aca="false">IF($A88="","",SUMIFS(业务流水!$O$5:$O$1504,业务流水!$E$5:$E$1504,$D88,业务流水!$D$5:$D$1504,"销项开票",业务流水!$C$5:$C$1504,$A88,业务流水!$Z$5:$Z$1504,"是"))</f>
        <v/>
      </c>
      <c r="H88" s="42" t="str">
        <f aca="false">IF($A88="","",$E88-$G88)</f>
        <v/>
      </c>
      <c r="I88" s="32" t="str">
        <f aca="false">IF($A88="","",项目档案!$F88)</f>
        <v/>
      </c>
      <c r="J88" s="41" t="n">
        <f aca="false">IF(OR($A88="",$I88=""),0,SUMIFS(业务流水!$H$5:$H$1504,业务流水!$E$5:$E$1504,$I88,业务流水!$D$5:$D$1504,"销项开票",业务流水!$C$5:$C$1504,$A88,业务流水!$Z$5:$Z$1504,"是"))</f>
        <v>0</v>
      </c>
      <c r="K88" s="49" t="str">
        <f aca="false">IF(OR($A88="",$J88=0),"",SUMIFS(业务流水!$O$5:$O$1504,业务流水!$E$5:$E$1504,$I88,业务流水!$D$5:$D$1504,"销项开票",业务流水!$C$5:$C$1504,$A88,业务流水!$Z$5:$Z$1504,"是")/$J88)</f>
        <v/>
      </c>
      <c r="L88" s="41" t="n">
        <f aca="false">IF(OR($A88="",$I88=""),0,SUMIFS(业务流水!$O$5:$O$1504,业务流水!$E$5:$E$1504,$I88,业务流水!$D$5:$D$1504,"销项开票",业务流水!$C$5:$C$1504,$A88,业务流水!$Z$5:$Z$1504,"是"))</f>
        <v>0</v>
      </c>
      <c r="M88" s="43" t="str">
        <f aca="false">IF($A88="","",IF(AND($I88&lt;&gt;"",$J88&gt;0),$J88-$L88,$H88))</f>
        <v/>
      </c>
      <c r="N88" s="41" t="str">
        <f aca="false">IF($A88="","",SUMIFS(业务流水!$H$5:$H$1504,业务流水!$F$5:$F$1504,"*",业务流水!$D$5:$D$1504,"成本票",业务流水!$C$5:$C$1504,$A88,业务流水!$Z$5:$Z$1504,"是"))</f>
        <v/>
      </c>
      <c r="O88" s="43" t="str">
        <f aca="false">IF($A88="","",ROUND($M88-$N88,2))</f>
        <v/>
      </c>
      <c r="P88" s="33" t="str">
        <f aca="false">IF($A88="","",IF(ABS($O88)&lt;1,"✓ 已开齐",IF($O88&gt;0,"还差成本票","多开了")))</f>
        <v/>
      </c>
    </row>
    <row r="89" customFormat="false" ht="15.75" hidden="false" customHeight="true" outlineLevel="0" collapsed="false">
      <c r="A89" s="32" t="str">
        <f aca="false">IF(项目档案!$A89="","",项目档案!$A89)</f>
        <v/>
      </c>
      <c r="B89" s="40" t="str">
        <f aca="false">IF($A89="","",项目档案!$B89)</f>
        <v/>
      </c>
      <c r="C89" s="32" t="str">
        <f aca="false">IF($A89="","",项目档案!$C89)</f>
        <v/>
      </c>
      <c r="D89" s="32" t="str">
        <f aca="false">IF($A89="","",项目档案!$D89)</f>
        <v/>
      </c>
      <c r="E89" s="41" t="str">
        <f aca="false">IF($A89="","",SUMIFS(业务流水!$H$5:$H$1504,业务流水!$E$5:$E$1504,$D89,业务流水!$D$5:$D$1504,"销项开票",业务流水!$C$5:$C$1504,$A89,业务流水!$Z$5:$Z$1504,"是"))</f>
        <v/>
      </c>
      <c r="F89" s="49" t="str">
        <f aca="false">IF(OR($A89="",$E89=0),"",SUMIFS(业务流水!$O$5:$O$1504,业务流水!$E$5:$E$1504,$D89,业务流水!$D$5:$D$1504,"销项开票",业务流水!$C$5:$C$1504,$A89,业务流水!$Z$5:$Z$1504,"是")/$E89)</f>
        <v/>
      </c>
      <c r="G89" s="41" t="str">
        <f aca="false">IF($A89="","",SUMIFS(业务流水!$O$5:$O$1504,业务流水!$E$5:$E$1504,$D89,业务流水!$D$5:$D$1504,"销项开票",业务流水!$C$5:$C$1504,$A89,业务流水!$Z$5:$Z$1504,"是"))</f>
        <v/>
      </c>
      <c r="H89" s="42" t="str">
        <f aca="false">IF($A89="","",$E89-$G89)</f>
        <v/>
      </c>
      <c r="I89" s="32" t="str">
        <f aca="false">IF($A89="","",项目档案!$F89)</f>
        <v/>
      </c>
      <c r="J89" s="41" t="n">
        <f aca="false">IF(OR($A89="",$I89=""),0,SUMIFS(业务流水!$H$5:$H$1504,业务流水!$E$5:$E$1504,$I89,业务流水!$D$5:$D$1504,"销项开票",业务流水!$C$5:$C$1504,$A89,业务流水!$Z$5:$Z$1504,"是"))</f>
        <v>0</v>
      </c>
      <c r="K89" s="49" t="str">
        <f aca="false">IF(OR($A89="",$J89=0),"",SUMIFS(业务流水!$O$5:$O$1504,业务流水!$E$5:$E$1504,$I89,业务流水!$D$5:$D$1504,"销项开票",业务流水!$C$5:$C$1504,$A89,业务流水!$Z$5:$Z$1504,"是")/$J89)</f>
        <v/>
      </c>
      <c r="L89" s="41" t="n">
        <f aca="false">IF(OR($A89="",$I89=""),0,SUMIFS(业务流水!$O$5:$O$1504,业务流水!$E$5:$E$1504,$I89,业务流水!$D$5:$D$1504,"销项开票",业务流水!$C$5:$C$1504,$A89,业务流水!$Z$5:$Z$1504,"是"))</f>
        <v>0</v>
      </c>
      <c r="M89" s="43" t="str">
        <f aca="false">IF($A89="","",IF(AND($I89&lt;&gt;"",$J89&gt;0),$J89-$L89,$H89))</f>
        <v/>
      </c>
      <c r="N89" s="41" t="str">
        <f aca="false">IF($A89="","",SUMIFS(业务流水!$H$5:$H$1504,业务流水!$F$5:$F$1504,"*",业务流水!$D$5:$D$1504,"成本票",业务流水!$C$5:$C$1504,$A89,业务流水!$Z$5:$Z$1504,"是"))</f>
        <v/>
      </c>
      <c r="O89" s="43" t="str">
        <f aca="false">IF($A89="","",ROUND($M89-$N89,2))</f>
        <v/>
      </c>
      <c r="P89" s="33" t="str">
        <f aca="false">IF($A89="","",IF(ABS($O89)&lt;1,"✓ 已开齐",IF($O89&gt;0,"还差成本票","多开了")))</f>
        <v/>
      </c>
    </row>
    <row r="90" customFormat="false" ht="15.75" hidden="false" customHeight="true" outlineLevel="0" collapsed="false">
      <c r="A90" s="32" t="str">
        <f aca="false">IF(项目档案!$A90="","",项目档案!$A90)</f>
        <v/>
      </c>
      <c r="B90" s="40" t="str">
        <f aca="false">IF($A90="","",项目档案!$B90)</f>
        <v/>
      </c>
      <c r="C90" s="32" t="str">
        <f aca="false">IF($A90="","",项目档案!$C90)</f>
        <v/>
      </c>
      <c r="D90" s="32" t="str">
        <f aca="false">IF($A90="","",项目档案!$D90)</f>
        <v/>
      </c>
      <c r="E90" s="41" t="str">
        <f aca="false">IF($A90="","",SUMIFS(业务流水!$H$5:$H$1504,业务流水!$E$5:$E$1504,$D90,业务流水!$D$5:$D$1504,"销项开票",业务流水!$C$5:$C$1504,$A90,业务流水!$Z$5:$Z$1504,"是"))</f>
        <v/>
      </c>
      <c r="F90" s="49" t="str">
        <f aca="false">IF(OR($A90="",$E90=0),"",SUMIFS(业务流水!$O$5:$O$1504,业务流水!$E$5:$E$1504,$D90,业务流水!$D$5:$D$1504,"销项开票",业务流水!$C$5:$C$1504,$A90,业务流水!$Z$5:$Z$1504,"是")/$E90)</f>
        <v/>
      </c>
      <c r="G90" s="41" t="str">
        <f aca="false">IF($A90="","",SUMIFS(业务流水!$O$5:$O$1504,业务流水!$E$5:$E$1504,$D90,业务流水!$D$5:$D$1504,"销项开票",业务流水!$C$5:$C$1504,$A90,业务流水!$Z$5:$Z$1504,"是"))</f>
        <v/>
      </c>
      <c r="H90" s="42" t="str">
        <f aca="false">IF($A90="","",$E90-$G90)</f>
        <v/>
      </c>
      <c r="I90" s="32" t="str">
        <f aca="false">IF($A90="","",项目档案!$F90)</f>
        <v/>
      </c>
      <c r="J90" s="41" t="n">
        <f aca="false">IF(OR($A90="",$I90=""),0,SUMIFS(业务流水!$H$5:$H$1504,业务流水!$E$5:$E$1504,$I90,业务流水!$D$5:$D$1504,"销项开票",业务流水!$C$5:$C$1504,$A90,业务流水!$Z$5:$Z$1504,"是"))</f>
        <v>0</v>
      </c>
      <c r="K90" s="49" t="str">
        <f aca="false">IF(OR($A90="",$J90=0),"",SUMIFS(业务流水!$O$5:$O$1504,业务流水!$E$5:$E$1504,$I90,业务流水!$D$5:$D$1504,"销项开票",业务流水!$C$5:$C$1504,$A90,业务流水!$Z$5:$Z$1504,"是")/$J90)</f>
        <v/>
      </c>
      <c r="L90" s="41" t="n">
        <f aca="false">IF(OR($A90="",$I90=""),0,SUMIFS(业务流水!$O$5:$O$1504,业务流水!$E$5:$E$1504,$I90,业务流水!$D$5:$D$1504,"销项开票",业务流水!$C$5:$C$1504,$A90,业务流水!$Z$5:$Z$1504,"是"))</f>
        <v>0</v>
      </c>
      <c r="M90" s="43" t="str">
        <f aca="false">IF($A90="","",IF(AND($I90&lt;&gt;"",$J90&gt;0),$J90-$L90,$H90))</f>
        <v/>
      </c>
      <c r="N90" s="41" t="str">
        <f aca="false">IF($A90="","",SUMIFS(业务流水!$H$5:$H$1504,业务流水!$F$5:$F$1504,"*",业务流水!$D$5:$D$1504,"成本票",业务流水!$C$5:$C$1504,$A90,业务流水!$Z$5:$Z$1504,"是"))</f>
        <v/>
      </c>
      <c r="O90" s="43" t="str">
        <f aca="false">IF($A90="","",ROUND($M90-$N90,2))</f>
        <v/>
      </c>
      <c r="P90" s="33" t="str">
        <f aca="false">IF($A90="","",IF(ABS($O90)&lt;1,"✓ 已开齐",IF($O90&gt;0,"还差成本票","多开了")))</f>
        <v/>
      </c>
    </row>
    <row r="91" customFormat="false" ht="15.75" hidden="false" customHeight="true" outlineLevel="0" collapsed="false">
      <c r="A91" s="32" t="str">
        <f aca="false">IF(项目档案!$A91="","",项目档案!$A91)</f>
        <v/>
      </c>
      <c r="B91" s="40" t="str">
        <f aca="false">IF($A91="","",项目档案!$B91)</f>
        <v/>
      </c>
      <c r="C91" s="32" t="str">
        <f aca="false">IF($A91="","",项目档案!$C91)</f>
        <v/>
      </c>
      <c r="D91" s="32" t="str">
        <f aca="false">IF($A91="","",项目档案!$D91)</f>
        <v/>
      </c>
      <c r="E91" s="41" t="str">
        <f aca="false">IF($A91="","",SUMIFS(业务流水!$H$5:$H$1504,业务流水!$E$5:$E$1504,$D91,业务流水!$D$5:$D$1504,"销项开票",业务流水!$C$5:$C$1504,$A91,业务流水!$Z$5:$Z$1504,"是"))</f>
        <v/>
      </c>
      <c r="F91" s="49" t="str">
        <f aca="false">IF(OR($A91="",$E91=0),"",SUMIFS(业务流水!$O$5:$O$1504,业务流水!$E$5:$E$1504,$D91,业务流水!$D$5:$D$1504,"销项开票",业务流水!$C$5:$C$1504,$A91,业务流水!$Z$5:$Z$1504,"是")/$E91)</f>
        <v/>
      </c>
      <c r="G91" s="41" t="str">
        <f aca="false">IF($A91="","",SUMIFS(业务流水!$O$5:$O$1504,业务流水!$E$5:$E$1504,$D91,业务流水!$D$5:$D$1504,"销项开票",业务流水!$C$5:$C$1504,$A91,业务流水!$Z$5:$Z$1504,"是"))</f>
        <v/>
      </c>
      <c r="H91" s="42" t="str">
        <f aca="false">IF($A91="","",$E91-$G91)</f>
        <v/>
      </c>
      <c r="I91" s="32" t="str">
        <f aca="false">IF($A91="","",项目档案!$F91)</f>
        <v/>
      </c>
      <c r="J91" s="41" t="n">
        <f aca="false">IF(OR($A91="",$I91=""),0,SUMIFS(业务流水!$H$5:$H$1504,业务流水!$E$5:$E$1504,$I91,业务流水!$D$5:$D$1504,"销项开票",业务流水!$C$5:$C$1504,$A91,业务流水!$Z$5:$Z$1504,"是"))</f>
        <v>0</v>
      </c>
      <c r="K91" s="49" t="str">
        <f aca="false">IF(OR($A91="",$J91=0),"",SUMIFS(业务流水!$O$5:$O$1504,业务流水!$E$5:$E$1504,$I91,业务流水!$D$5:$D$1504,"销项开票",业务流水!$C$5:$C$1504,$A91,业务流水!$Z$5:$Z$1504,"是")/$J91)</f>
        <v/>
      </c>
      <c r="L91" s="41" t="n">
        <f aca="false">IF(OR($A91="",$I91=""),0,SUMIFS(业务流水!$O$5:$O$1504,业务流水!$E$5:$E$1504,$I91,业务流水!$D$5:$D$1504,"销项开票",业务流水!$C$5:$C$1504,$A91,业务流水!$Z$5:$Z$1504,"是"))</f>
        <v>0</v>
      </c>
      <c r="M91" s="43" t="str">
        <f aca="false">IF($A91="","",IF(AND($I91&lt;&gt;"",$J91&gt;0),$J91-$L91,$H91))</f>
        <v/>
      </c>
      <c r="N91" s="41" t="str">
        <f aca="false">IF($A91="","",SUMIFS(业务流水!$H$5:$H$1504,业务流水!$F$5:$F$1504,"*",业务流水!$D$5:$D$1504,"成本票",业务流水!$C$5:$C$1504,$A91,业务流水!$Z$5:$Z$1504,"是"))</f>
        <v/>
      </c>
      <c r="O91" s="43" t="str">
        <f aca="false">IF($A91="","",ROUND($M91-$N91,2))</f>
        <v/>
      </c>
      <c r="P91" s="33" t="str">
        <f aca="false">IF($A91="","",IF(ABS($O91)&lt;1,"✓ 已开齐",IF($O91&gt;0,"还差成本票","多开了")))</f>
        <v/>
      </c>
    </row>
    <row r="92" customFormat="false" ht="15.75" hidden="false" customHeight="true" outlineLevel="0" collapsed="false">
      <c r="A92" s="32" t="str">
        <f aca="false">IF(项目档案!$A92="","",项目档案!$A92)</f>
        <v/>
      </c>
      <c r="B92" s="40" t="str">
        <f aca="false">IF($A92="","",项目档案!$B92)</f>
        <v/>
      </c>
      <c r="C92" s="32" t="str">
        <f aca="false">IF($A92="","",项目档案!$C92)</f>
        <v/>
      </c>
      <c r="D92" s="32" t="str">
        <f aca="false">IF($A92="","",项目档案!$D92)</f>
        <v/>
      </c>
      <c r="E92" s="41" t="str">
        <f aca="false">IF($A92="","",SUMIFS(业务流水!$H$5:$H$1504,业务流水!$E$5:$E$1504,$D92,业务流水!$D$5:$D$1504,"销项开票",业务流水!$C$5:$C$1504,$A92,业务流水!$Z$5:$Z$1504,"是"))</f>
        <v/>
      </c>
      <c r="F92" s="49" t="str">
        <f aca="false">IF(OR($A92="",$E92=0),"",SUMIFS(业务流水!$O$5:$O$1504,业务流水!$E$5:$E$1504,$D92,业务流水!$D$5:$D$1504,"销项开票",业务流水!$C$5:$C$1504,$A92,业务流水!$Z$5:$Z$1504,"是")/$E92)</f>
        <v/>
      </c>
      <c r="G92" s="41" t="str">
        <f aca="false">IF($A92="","",SUMIFS(业务流水!$O$5:$O$1504,业务流水!$E$5:$E$1504,$D92,业务流水!$D$5:$D$1504,"销项开票",业务流水!$C$5:$C$1504,$A92,业务流水!$Z$5:$Z$1504,"是"))</f>
        <v/>
      </c>
      <c r="H92" s="42" t="str">
        <f aca="false">IF($A92="","",$E92-$G92)</f>
        <v/>
      </c>
      <c r="I92" s="32" t="str">
        <f aca="false">IF($A92="","",项目档案!$F92)</f>
        <v/>
      </c>
      <c r="J92" s="41" t="n">
        <f aca="false">IF(OR($A92="",$I92=""),0,SUMIFS(业务流水!$H$5:$H$1504,业务流水!$E$5:$E$1504,$I92,业务流水!$D$5:$D$1504,"销项开票",业务流水!$C$5:$C$1504,$A92,业务流水!$Z$5:$Z$1504,"是"))</f>
        <v>0</v>
      </c>
      <c r="K92" s="49" t="str">
        <f aca="false">IF(OR($A92="",$J92=0),"",SUMIFS(业务流水!$O$5:$O$1504,业务流水!$E$5:$E$1504,$I92,业务流水!$D$5:$D$1504,"销项开票",业务流水!$C$5:$C$1504,$A92,业务流水!$Z$5:$Z$1504,"是")/$J92)</f>
        <v/>
      </c>
      <c r="L92" s="41" t="n">
        <f aca="false">IF(OR($A92="",$I92=""),0,SUMIFS(业务流水!$O$5:$O$1504,业务流水!$E$5:$E$1504,$I92,业务流水!$D$5:$D$1504,"销项开票",业务流水!$C$5:$C$1504,$A92,业务流水!$Z$5:$Z$1504,"是"))</f>
        <v>0</v>
      </c>
      <c r="M92" s="43" t="str">
        <f aca="false">IF($A92="","",IF(AND($I92&lt;&gt;"",$J92&gt;0),$J92-$L92,$H92))</f>
        <v/>
      </c>
      <c r="N92" s="41" t="str">
        <f aca="false">IF($A92="","",SUMIFS(业务流水!$H$5:$H$1504,业务流水!$F$5:$F$1504,"*",业务流水!$D$5:$D$1504,"成本票",业务流水!$C$5:$C$1504,$A92,业务流水!$Z$5:$Z$1504,"是"))</f>
        <v/>
      </c>
      <c r="O92" s="43" t="str">
        <f aca="false">IF($A92="","",ROUND($M92-$N92,2))</f>
        <v/>
      </c>
      <c r="P92" s="33" t="str">
        <f aca="false">IF($A92="","",IF(ABS($O92)&lt;1,"✓ 已开齐",IF($O92&gt;0,"还差成本票","多开了")))</f>
        <v/>
      </c>
    </row>
    <row r="93" customFormat="false" ht="15.75" hidden="false" customHeight="true" outlineLevel="0" collapsed="false">
      <c r="A93" s="32" t="str">
        <f aca="false">IF(项目档案!$A93="","",项目档案!$A93)</f>
        <v/>
      </c>
      <c r="B93" s="40" t="str">
        <f aca="false">IF($A93="","",项目档案!$B93)</f>
        <v/>
      </c>
      <c r="C93" s="32" t="str">
        <f aca="false">IF($A93="","",项目档案!$C93)</f>
        <v/>
      </c>
      <c r="D93" s="32" t="str">
        <f aca="false">IF($A93="","",项目档案!$D93)</f>
        <v/>
      </c>
      <c r="E93" s="41" t="str">
        <f aca="false">IF($A93="","",SUMIFS(业务流水!$H$5:$H$1504,业务流水!$E$5:$E$1504,$D93,业务流水!$D$5:$D$1504,"销项开票",业务流水!$C$5:$C$1504,$A93,业务流水!$Z$5:$Z$1504,"是"))</f>
        <v/>
      </c>
      <c r="F93" s="49" t="str">
        <f aca="false">IF(OR($A93="",$E93=0),"",SUMIFS(业务流水!$O$5:$O$1504,业务流水!$E$5:$E$1504,$D93,业务流水!$D$5:$D$1504,"销项开票",业务流水!$C$5:$C$1504,$A93,业务流水!$Z$5:$Z$1504,"是")/$E93)</f>
        <v/>
      </c>
      <c r="G93" s="41" t="str">
        <f aca="false">IF($A93="","",SUMIFS(业务流水!$O$5:$O$1504,业务流水!$E$5:$E$1504,$D93,业务流水!$D$5:$D$1504,"销项开票",业务流水!$C$5:$C$1504,$A93,业务流水!$Z$5:$Z$1504,"是"))</f>
        <v/>
      </c>
      <c r="H93" s="42" t="str">
        <f aca="false">IF($A93="","",$E93-$G93)</f>
        <v/>
      </c>
      <c r="I93" s="32" t="str">
        <f aca="false">IF($A93="","",项目档案!$F93)</f>
        <v/>
      </c>
      <c r="J93" s="41" t="n">
        <f aca="false">IF(OR($A93="",$I93=""),0,SUMIFS(业务流水!$H$5:$H$1504,业务流水!$E$5:$E$1504,$I93,业务流水!$D$5:$D$1504,"销项开票",业务流水!$C$5:$C$1504,$A93,业务流水!$Z$5:$Z$1504,"是"))</f>
        <v>0</v>
      </c>
      <c r="K93" s="49" t="str">
        <f aca="false">IF(OR($A93="",$J93=0),"",SUMIFS(业务流水!$O$5:$O$1504,业务流水!$E$5:$E$1504,$I93,业务流水!$D$5:$D$1504,"销项开票",业务流水!$C$5:$C$1504,$A93,业务流水!$Z$5:$Z$1504,"是")/$J93)</f>
        <v/>
      </c>
      <c r="L93" s="41" t="n">
        <f aca="false">IF(OR($A93="",$I93=""),0,SUMIFS(业务流水!$O$5:$O$1504,业务流水!$E$5:$E$1504,$I93,业务流水!$D$5:$D$1504,"销项开票",业务流水!$C$5:$C$1504,$A93,业务流水!$Z$5:$Z$1504,"是"))</f>
        <v>0</v>
      </c>
      <c r="M93" s="43" t="str">
        <f aca="false">IF($A93="","",IF(AND($I93&lt;&gt;"",$J93&gt;0),$J93-$L93,$H93))</f>
        <v/>
      </c>
      <c r="N93" s="41" t="str">
        <f aca="false">IF($A93="","",SUMIFS(业务流水!$H$5:$H$1504,业务流水!$F$5:$F$1504,"*",业务流水!$D$5:$D$1504,"成本票",业务流水!$C$5:$C$1504,$A93,业务流水!$Z$5:$Z$1504,"是"))</f>
        <v/>
      </c>
      <c r="O93" s="43" t="str">
        <f aca="false">IF($A93="","",ROUND($M93-$N93,2))</f>
        <v/>
      </c>
      <c r="P93" s="33" t="str">
        <f aca="false">IF($A93="","",IF(ABS($O93)&lt;1,"✓ 已开齐",IF($O93&gt;0,"还差成本票","多开了")))</f>
        <v/>
      </c>
    </row>
    <row r="94" customFormat="false" ht="15.75" hidden="false" customHeight="true" outlineLevel="0" collapsed="false">
      <c r="A94" s="32" t="str">
        <f aca="false">IF(项目档案!$A94="","",项目档案!$A94)</f>
        <v/>
      </c>
      <c r="B94" s="40" t="str">
        <f aca="false">IF($A94="","",项目档案!$B94)</f>
        <v/>
      </c>
      <c r="C94" s="32" t="str">
        <f aca="false">IF($A94="","",项目档案!$C94)</f>
        <v/>
      </c>
      <c r="D94" s="32" t="str">
        <f aca="false">IF($A94="","",项目档案!$D94)</f>
        <v/>
      </c>
      <c r="E94" s="41" t="str">
        <f aca="false">IF($A94="","",SUMIFS(业务流水!$H$5:$H$1504,业务流水!$E$5:$E$1504,$D94,业务流水!$D$5:$D$1504,"销项开票",业务流水!$C$5:$C$1504,$A94,业务流水!$Z$5:$Z$1504,"是"))</f>
        <v/>
      </c>
      <c r="F94" s="49" t="str">
        <f aca="false">IF(OR($A94="",$E94=0),"",SUMIFS(业务流水!$O$5:$O$1504,业务流水!$E$5:$E$1504,$D94,业务流水!$D$5:$D$1504,"销项开票",业务流水!$C$5:$C$1504,$A94,业务流水!$Z$5:$Z$1504,"是")/$E94)</f>
        <v/>
      </c>
      <c r="G94" s="41" t="str">
        <f aca="false">IF($A94="","",SUMIFS(业务流水!$O$5:$O$1504,业务流水!$E$5:$E$1504,$D94,业务流水!$D$5:$D$1504,"销项开票",业务流水!$C$5:$C$1504,$A94,业务流水!$Z$5:$Z$1504,"是"))</f>
        <v/>
      </c>
      <c r="H94" s="42" t="str">
        <f aca="false">IF($A94="","",$E94-$G94)</f>
        <v/>
      </c>
      <c r="I94" s="32" t="str">
        <f aca="false">IF($A94="","",项目档案!$F94)</f>
        <v/>
      </c>
      <c r="J94" s="41" t="n">
        <f aca="false">IF(OR($A94="",$I94=""),0,SUMIFS(业务流水!$H$5:$H$1504,业务流水!$E$5:$E$1504,$I94,业务流水!$D$5:$D$1504,"销项开票",业务流水!$C$5:$C$1504,$A94,业务流水!$Z$5:$Z$1504,"是"))</f>
        <v>0</v>
      </c>
      <c r="K94" s="49" t="str">
        <f aca="false">IF(OR($A94="",$J94=0),"",SUMIFS(业务流水!$O$5:$O$1504,业务流水!$E$5:$E$1504,$I94,业务流水!$D$5:$D$1504,"销项开票",业务流水!$C$5:$C$1504,$A94,业务流水!$Z$5:$Z$1504,"是")/$J94)</f>
        <v/>
      </c>
      <c r="L94" s="41" t="n">
        <f aca="false">IF(OR($A94="",$I94=""),0,SUMIFS(业务流水!$O$5:$O$1504,业务流水!$E$5:$E$1504,$I94,业务流水!$D$5:$D$1504,"销项开票",业务流水!$C$5:$C$1504,$A94,业务流水!$Z$5:$Z$1504,"是"))</f>
        <v>0</v>
      </c>
      <c r="M94" s="43" t="str">
        <f aca="false">IF($A94="","",IF(AND($I94&lt;&gt;"",$J94&gt;0),$J94-$L94,$H94))</f>
        <v/>
      </c>
      <c r="N94" s="41" t="str">
        <f aca="false">IF($A94="","",SUMIFS(业务流水!$H$5:$H$1504,业务流水!$F$5:$F$1504,"*",业务流水!$D$5:$D$1504,"成本票",业务流水!$C$5:$C$1504,$A94,业务流水!$Z$5:$Z$1504,"是"))</f>
        <v/>
      </c>
      <c r="O94" s="43" t="str">
        <f aca="false">IF($A94="","",ROUND($M94-$N94,2))</f>
        <v/>
      </c>
      <c r="P94" s="33" t="str">
        <f aca="false">IF($A94="","",IF(ABS($O94)&lt;1,"✓ 已开齐",IF($O94&gt;0,"还差成本票","多开了")))</f>
        <v/>
      </c>
    </row>
    <row r="95" customFormat="false" ht="15.75" hidden="false" customHeight="true" outlineLevel="0" collapsed="false">
      <c r="A95" s="32" t="str">
        <f aca="false">IF(项目档案!$A95="","",项目档案!$A95)</f>
        <v/>
      </c>
      <c r="B95" s="40" t="str">
        <f aca="false">IF($A95="","",项目档案!$B95)</f>
        <v/>
      </c>
      <c r="C95" s="32" t="str">
        <f aca="false">IF($A95="","",项目档案!$C95)</f>
        <v/>
      </c>
      <c r="D95" s="32" t="str">
        <f aca="false">IF($A95="","",项目档案!$D95)</f>
        <v/>
      </c>
      <c r="E95" s="41" t="str">
        <f aca="false">IF($A95="","",SUMIFS(业务流水!$H$5:$H$1504,业务流水!$E$5:$E$1504,$D95,业务流水!$D$5:$D$1504,"销项开票",业务流水!$C$5:$C$1504,$A95,业务流水!$Z$5:$Z$1504,"是"))</f>
        <v/>
      </c>
      <c r="F95" s="49" t="str">
        <f aca="false">IF(OR($A95="",$E95=0),"",SUMIFS(业务流水!$O$5:$O$1504,业务流水!$E$5:$E$1504,$D95,业务流水!$D$5:$D$1504,"销项开票",业务流水!$C$5:$C$1504,$A95,业务流水!$Z$5:$Z$1504,"是")/$E95)</f>
        <v/>
      </c>
      <c r="G95" s="41" t="str">
        <f aca="false">IF($A95="","",SUMIFS(业务流水!$O$5:$O$1504,业务流水!$E$5:$E$1504,$D95,业务流水!$D$5:$D$1504,"销项开票",业务流水!$C$5:$C$1504,$A95,业务流水!$Z$5:$Z$1504,"是"))</f>
        <v/>
      </c>
      <c r="H95" s="42" t="str">
        <f aca="false">IF($A95="","",$E95-$G95)</f>
        <v/>
      </c>
      <c r="I95" s="32" t="str">
        <f aca="false">IF($A95="","",项目档案!$F95)</f>
        <v/>
      </c>
      <c r="J95" s="41" t="n">
        <f aca="false">IF(OR($A95="",$I95=""),0,SUMIFS(业务流水!$H$5:$H$1504,业务流水!$E$5:$E$1504,$I95,业务流水!$D$5:$D$1504,"销项开票",业务流水!$C$5:$C$1504,$A95,业务流水!$Z$5:$Z$1504,"是"))</f>
        <v>0</v>
      </c>
      <c r="K95" s="49" t="str">
        <f aca="false">IF(OR($A95="",$J95=0),"",SUMIFS(业务流水!$O$5:$O$1504,业务流水!$E$5:$E$1504,$I95,业务流水!$D$5:$D$1504,"销项开票",业务流水!$C$5:$C$1504,$A95,业务流水!$Z$5:$Z$1504,"是")/$J95)</f>
        <v/>
      </c>
      <c r="L95" s="41" t="n">
        <f aca="false">IF(OR($A95="",$I95=""),0,SUMIFS(业务流水!$O$5:$O$1504,业务流水!$E$5:$E$1504,$I95,业务流水!$D$5:$D$1504,"销项开票",业务流水!$C$5:$C$1504,$A95,业务流水!$Z$5:$Z$1504,"是"))</f>
        <v>0</v>
      </c>
      <c r="M95" s="43" t="str">
        <f aca="false">IF($A95="","",IF(AND($I95&lt;&gt;"",$J95&gt;0),$J95-$L95,$H95))</f>
        <v/>
      </c>
      <c r="N95" s="41" t="str">
        <f aca="false">IF($A95="","",SUMIFS(业务流水!$H$5:$H$1504,业务流水!$F$5:$F$1504,"*",业务流水!$D$5:$D$1504,"成本票",业务流水!$C$5:$C$1504,$A95,业务流水!$Z$5:$Z$1504,"是"))</f>
        <v/>
      </c>
      <c r="O95" s="43" t="str">
        <f aca="false">IF($A95="","",ROUND($M95-$N95,2))</f>
        <v/>
      </c>
      <c r="P95" s="33" t="str">
        <f aca="false">IF($A95="","",IF(ABS($O95)&lt;1,"✓ 已开齐",IF($O95&gt;0,"还差成本票","多开了")))</f>
        <v/>
      </c>
    </row>
    <row r="96" customFormat="false" ht="15.75" hidden="false" customHeight="true" outlineLevel="0" collapsed="false">
      <c r="A96" s="32" t="str">
        <f aca="false">IF(项目档案!$A96="","",项目档案!$A96)</f>
        <v/>
      </c>
      <c r="B96" s="40" t="str">
        <f aca="false">IF($A96="","",项目档案!$B96)</f>
        <v/>
      </c>
      <c r="C96" s="32" t="str">
        <f aca="false">IF($A96="","",项目档案!$C96)</f>
        <v/>
      </c>
      <c r="D96" s="32" t="str">
        <f aca="false">IF($A96="","",项目档案!$D96)</f>
        <v/>
      </c>
      <c r="E96" s="41" t="str">
        <f aca="false">IF($A96="","",SUMIFS(业务流水!$H$5:$H$1504,业务流水!$E$5:$E$1504,$D96,业务流水!$D$5:$D$1504,"销项开票",业务流水!$C$5:$C$1504,$A96,业务流水!$Z$5:$Z$1504,"是"))</f>
        <v/>
      </c>
      <c r="F96" s="49" t="str">
        <f aca="false">IF(OR($A96="",$E96=0),"",SUMIFS(业务流水!$O$5:$O$1504,业务流水!$E$5:$E$1504,$D96,业务流水!$D$5:$D$1504,"销项开票",业务流水!$C$5:$C$1504,$A96,业务流水!$Z$5:$Z$1504,"是")/$E96)</f>
        <v/>
      </c>
      <c r="G96" s="41" t="str">
        <f aca="false">IF($A96="","",SUMIFS(业务流水!$O$5:$O$1504,业务流水!$E$5:$E$1504,$D96,业务流水!$D$5:$D$1504,"销项开票",业务流水!$C$5:$C$1504,$A96,业务流水!$Z$5:$Z$1504,"是"))</f>
        <v/>
      </c>
      <c r="H96" s="42" t="str">
        <f aca="false">IF($A96="","",$E96-$G96)</f>
        <v/>
      </c>
      <c r="I96" s="32" t="str">
        <f aca="false">IF($A96="","",项目档案!$F96)</f>
        <v/>
      </c>
      <c r="J96" s="41" t="n">
        <f aca="false">IF(OR($A96="",$I96=""),0,SUMIFS(业务流水!$H$5:$H$1504,业务流水!$E$5:$E$1504,$I96,业务流水!$D$5:$D$1504,"销项开票",业务流水!$C$5:$C$1504,$A96,业务流水!$Z$5:$Z$1504,"是"))</f>
        <v>0</v>
      </c>
      <c r="K96" s="49" t="str">
        <f aca="false">IF(OR($A96="",$J96=0),"",SUMIFS(业务流水!$O$5:$O$1504,业务流水!$E$5:$E$1504,$I96,业务流水!$D$5:$D$1504,"销项开票",业务流水!$C$5:$C$1504,$A96,业务流水!$Z$5:$Z$1504,"是")/$J96)</f>
        <v/>
      </c>
      <c r="L96" s="41" t="n">
        <f aca="false">IF(OR($A96="",$I96=""),0,SUMIFS(业务流水!$O$5:$O$1504,业务流水!$E$5:$E$1504,$I96,业务流水!$D$5:$D$1504,"销项开票",业务流水!$C$5:$C$1504,$A96,业务流水!$Z$5:$Z$1504,"是"))</f>
        <v>0</v>
      </c>
      <c r="M96" s="43" t="str">
        <f aca="false">IF($A96="","",IF(AND($I96&lt;&gt;"",$J96&gt;0),$J96-$L96,$H96))</f>
        <v/>
      </c>
      <c r="N96" s="41" t="str">
        <f aca="false">IF($A96="","",SUMIFS(业务流水!$H$5:$H$1504,业务流水!$F$5:$F$1504,"*",业务流水!$D$5:$D$1504,"成本票",业务流水!$C$5:$C$1504,$A96,业务流水!$Z$5:$Z$1504,"是"))</f>
        <v/>
      </c>
      <c r="O96" s="43" t="str">
        <f aca="false">IF($A96="","",ROUND($M96-$N96,2))</f>
        <v/>
      </c>
      <c r="P96" s="33" t="str">
        <f aca="false">IF($A96="","",IF(ABS($O96)&lt;1,"✓ 已开齐",IF($O96&gt;0,"还差成本票","多开了")))</f>
        <v/>
      </c>
    </row>
    <row r="97" customFormat="false" ht="15.75" hidden="false" customHeight="true" outlineLevel="0" collapsed="false">
      <c r="A97" s="32" t="str">
        <f aca="false">IF(项目档案!$A97="","",项目档案!$A97)</f>
        <v/>
      </c>
      <c r="B97" s="40" t="str">
        <f aca="false">IF($A97="","",项目档案!$B97)</f>
        <v/>
      </c>
      <c r="C97" s="32" t="str">
        <f aca="false">IF($A97="","",项目档案!$C97)</f>
        <v/>
      </c>
      <c r="D97" s="32" t="str">
        <f aca="false">IF($A97="","",项目档案!$D97)</f>
        <v/>
      </c>
      <c r="E97" s="41" t="str">
        <f aca="false">IF($A97="","",SUMIFS(业务流水!$H$5:$H$1504,业务流水!$E$5:$E$1504,$D97,业务流水!$D$5:$D$1504,"销项开票",业务流水!$C$5:$C$1504,$A97,业务流水!$Z$5:$Z$1504,"是"))</f>
        <v/>
      </c>
      <c r="F97" s="49" t="str">
        <f aca="false">IF(OR($A97="",$E97=0),"",SUMIFS(业务流水!$O$5:$O$1504,业务流水!$E$5:$E$1504,$D97,业务流水!$D$5:$D$1504,"销项开票",业务流水!$C$5:$C$1504,$A97,业务流水!$Z$5:$Z$1504,"是")/$E97)</f>
        <v/>
      </c>
      <c r="G97" s="41" t="str">
        <f aca="false">IF($A97="","",SUMIFS(业务流水!$O$5:$O$1504,业务流水!$E$5:$E$1504,$D97,业务流水!$D$5:$D$1504,"销项开票",业务流水!$C$5:$C$1504,$A97,业务流水!$Z$5:$Z$1504,"是"))</f>
        <v/>
      </c>
      <c r="H97" s="42" t="str">
        <f aca="false">IF($A97="","",$E97-$G97)</f>
        <v/>
      </c>
      <c r="I97" s="32" t="str">
        <f aca="false">IF($A97="","",项目档案!$F97)</f>
        <v/>
      </c>
      <c r="J97" s="41" t="n">
        <f aca="false">IF(OR($A97="",$I97=""),0,SUMIFS(业务流水!$H$5:$H$1504,业务流水!$E$5:$E$1504,$I97,业务流水!$D$5:$D$1504,"销项开票",业务流水!$C$5:$C$1504,$A97,业务流水!$Z$5:$Z$1504,"是"))</f>
        <v>0</v>
      </c>
      <c r="K97" s="49" t="str">
        <f aca="false">IF(OR($A97="",$J97=0),"",SUMIFS(业务流水!$O$5:$O$1504,业务流水!$E$5:$E$1504,$I97,业务流水!$D$5:$D$1504,"销项开票",业务流水!$C$5:$C$1504,$A97,业务流水!$Z$5:$Z$1504,"是")/$J97)</f>
        <v/>
      </c>
      <c r="L97" s="41" t="n">
        <f aca="false">IF(OR($A97="",$I97=""),0,SUMIFS(业务流水!$O$5:$O$1504,业务流水!$E$5:$E$1504,$I97,业务流水!$D$5:$D$1504,"销项开票",业务流水!$C$5:$C$1504,$A97,业务流水!$Z$5:$Z$1504,"是"))</f>
        <v>0</v>
      </c>
      <c r="M97" s="43" t="str">
        <f aca="false">IF($A97="","",IF(AND($I97&lt;&gt;"",$J97&gt;0),$J97-$L97,$H97))</f>
        <v/>
      </c>
      <c r="N97" s="41" t="str">
        <f aca="false">IF($A97="","",SUMIFS(业务流水!$H$5:$H$1504,业务流水!$F$5:$F$1504,"*",业务流水!$D$5:$D$1504,"成本票",业务流水!$C$5:$C$1504,$A97,业务流水!$Z$5:$Z$1504,"是"))</f>
        <v/>
      </c>
      <c r="O97" s="43" t="str">
        <f aca="false">IF($A97="","",ROUND($M97-$N97,2))</f>
        <v/>
      </c>
      <c r="P97" s="33" t="str">
        <f aca="false">IF($A97="","",IF(ABS($O97)&lt;1,"✓ 已开齐",IF($O97&gt;0,"还差成本票","多开了")))</f>
        <v/>
      </c>
    </row>
    <row r="98" customFormat="false" ht="15.75" hidden="false" customHeight="true" outlineLevel="0" collapsed="false">
      <c r="A98" s="32" t="str">
        <f aca="false">IF(项目档案!$A98="","",项目档案!$A98)</f>
        <v/>
      </c>
      <c r="B98" s="40" t="str">
        <f aca="false">IF($A98="","",项目档案!$B98)</f>
        <v/>
      </c>
      <c r="C98" s="32" t="str">
        <f aca="false">IF($A98="","",项目档案!$C98)</f>
        <v/>
      </c>
      <c r="D98" s="32" t="str">
        <f aca="false">IF($A98="","",项目档案!$D98)</f>
        <v/>
      </c>
      <c r="E98" s="41" t="str">
        <f aca="false">IF($A98="","",SUMIFS(业务流水!$H$5:$H$1504,业务流水!$E$5:$E$1504,$D98,业务流水!$D$5:$D$1504,"销项开票",业务流水!$C$5:$C$1504,$A98,业务流水!$Z$5:$Z$1504,"是"))</f>
        <v/>
      </c>
      <c r="F98" s="49" t="str">
        <f aca="false">IF(OR($A98="",$E98=0),"",SUMIFS(业务流水!$O$5:$O$1504,业务流水!$E$5:$E$1504,$D98,业务流水!$D$5:$D$1504,"销项开票",业务流水!$C$5:$C$1504,$A98,业务流水!$Z$5:$Z$1504,"是")/$E98)</f>
        <v/>
      </c>
      <c r="G98" s="41" t="str">
        <f aca="false">IF($A98="","",SUMIFS(业务流水!$O$5:$O$1504,业务流水!$E$5:$E$1504,$D98,业务流水!$D$5:$D$1504,"销项开票",业务流水!$C$5:$C$1504,$A98,业务流水!$Z$5:$Z$1504,"是"))</f>
        <v/>
      </c>
      <c r="H98" s="42" t="str">
        <f aca="false">IF($A98="","",$E98-$G98)</f>
        <v/>
      </c>
      <c r="I98" s="32" t="str">
        <f aca="false">IF($A98="","",项目档案!$F98)</f>
        <v/>
      </c>
      <c r="J98" s="41" t="n">
        <f aca="false">IF(OR($A98="",$I98=""),0,SUMIFS(业务流水!$H$5:$H$1504,业务流水!$E$5:$E$1504,$I98,业务流水!$D$5:$D$1504,"销项开票",业务流水!$C$5:$C$1504,$A98,业务流水!$Z$5:$Z$1504,"是"))</f>
        <v>0</v>
      </c>
      <c r="K98" s="49" t="str">
        <f aca="false">IF(OR($A98="",$J98=0),"",SUMIFS(业务流水!$O$5:$O$1504,业务流水!$E$5:$E$1504,$I98,业务流水!$D$5:$D$1504,"销项开票",业务流水!$C$5:$C$1504,$A98,业务流水!$Z$5:$Z$1504,"是")/$J98)</f>
        <v/>
      </c>
      <c r="L98" s="41" t="n">
        <f aca="false">IF(OR($A98="",$I98=""),0,SUMIFS(业务流水!$O$5:$O$1504,业务流水!$E$5:$E$1504,$I98,业务流水!$D$5:$D$1504,"销项开票",业务流水!$C$5:$C$1504,$A98,业务流水!$Z$5:$Z$1504,"是"))</f>
        <v>0</v>
      </c>
      <c r="M98" s="43" t="str">
        <f aca="false">IF($A98="","",IF(AND($I98&lt;&gt;"",$J98&gt;0),$J98-$L98,$H98))</f>
        <v/>
      </c>
      <c r="N98" s="41" t="str">
        <f aca="false">IF($A98="","",SUMIFS(业务流水!$H$5:$H$1504,业务流水!$F$5:$F$1504,"*",业务流水!$D$5:$D$1504,"成本票",业务流水!$C$5:$C$1504,$A98,业务流水!$Z$5:$Z$1504,"是"))</f>
        <v/>
      </c>
      <c r="O98" s="43" t="str">
        <f aca="false">IF($A98="","",ROUND($M98-$N98,2))</f>
        <v/>
      </c>
      <c r="P98" s="33" t="str">
        <f aca="false">IF($A98="","",IF(ABS($O98)&lt;1,"✓ 已开齐",IF($O98&gt;0,"还差成本票","多开了")))</f>
        <v/>
      </c>
    </row>
    <row r="99" customFormat="false" ht="15.75" hidden="false" customHeight="true" outlineLevel="0" collapsed="false">
      <c r="A99" s="32" t="str">
        <f aca="false">IF(项目档案!$A99="","",项目档案!$A99)</f>
        <v/>
      </c>
      <c r="B99" s="40" t="str">
        <f aca="false">IF($A99="","",项目档案!$B99)</f>
        <v/>
      </c>
      <c r="C99" s="32" t="str">
        <f aca="false">IF($A99="","",项目档案!$C99)</f>
        <v/>
      </c>
      <c r="D99" s="32" t="str">
        <f aca="false">IF($A99="","",项目档案!$D99)</f>
        <v/>
      </c>
      <c r="E99" s="41" t="str">
        <f aca="false">IF($A99="","",SUMIFS(业务流水!$H$5:$H$1504,业务流水!$E$5:$E$1504,$D99,业务流水!$D$5:$D$1504,"销项开票",业务流水!$C$5:$C$1504,$A99,业务流水!$Z$5:$Z$1504,"是"))</f>
        <v/>
      </c>
      <c r="F99" s="49" t="str">
        <f aca="false">IF(OR($A99="",$E99=0),"",SUMIFS(业务流水!$O$5:$O$1504,业务流水!$E$5:$E$1504,$D99,业务流水!$D$5:$D$1504,"销项开票",业务流水!$C$5:$C$1504,$A99,业务流水!$Z$5:$Z$1504,"是")/$E99)</f>
        <v/>
      </c>
      <c r="G99" s="41" t="str">
        <f aca="false">IF($A99="","",SUMIFS(业务流水!$O$5:$O$1504,业务流水!$E$5:$E$1504,$D99,业务流水!$D$5:$D$1504,"销项开票",业务流水!$C$5:$C$1504,$A99,业务流水!$Z$5:$Z$1504,"是"))</f>
        <v/>
      </c>
      <c r="H99" s="42" t="str">
        <f aca="false">IF($A99="","",$E99-$G99)</f>
        <v/>
      </c>
      <c r="I99" s="32" t="str">
        <f aca="false">IF($A99="","",项目档案!$F99)</f>
        <v/>
      </c>
      <c r="J99" s="41" t="n">
        <f aca="false">IF(OR($A99="",$I99=""),0,SUMIFS(业务流水!$H$5:$H$1504,业务流水!$E$5:$E$1504,$I99,业务流水!$D$5:$D$1504,"销项开票",业务流水!$C$5:$C$1504,$A99,业务流水!$Z$5:$Z$1504,"是"))</f>
        <v>0</v>
      </c>
      <c r="K99" s="49" t="str">
        <f aca="false">IF(OR($A99="",$J99=0),"",SUMIFS(业务流水!$O$5:$O$1504,业务流水!$E$5:$E$1504,$I99,业务流水!$D$5:$D$1504,"销项开票",业务流水!$C$5:$C$1504,$A99,业务流水!$Z$5:$Z$1504,"是")/$J99)</f>
        <v/>
      </c>
      <c r="L99" s="41" t="n">
        <f aca="false">IF(OR($A99="",$I99=""),0,SUMIFS(业务流水!$O$5:$O$1504,业务流水!$E$5:$E$1504,$I99,业务流水!$D$5:$D$1504,"销项开票",业务流水!$C$5:$C$1504,$A99,业务流水!$Z$5:$Z$1504,"是"))</f>
        <v>0</v>
      </c>
      <c r="M99" s="43" t="str">
        <f aca="false">IF($A99="","",IF(AND($I99&lt;&gt;"",$J99&gt;0),$J99-$L99,$H99))</f>
        <v/>
      </c>
      <c r="N99" s="41" t="str">
        <f aca="false">IF($A99="","",SUMIFS(业务流水!$H$5:$H$1504,业务流水!$F$5:$F$1504,"*",业务流水!$D$5:$D$1504,"成本票",业务流水!$C$5:$C$1504,$A99,业务流水!$Z$5:$Z$1504,"是"))</f>
        <v/>
      </c>
      <c r="O99" s="43" t="str">
        <f aca="false">IF($A99="","",ROUND($M99-$N99,2))</f>
        <v/>
      </c>
      <c r="P99" s="33" t="str">
        <f aca="false">IF($A99="","",IF(ABS($O99)&lt;1,"✓ 已开齐",IF($O99&gt;0,"还差成本票","多开了")))</f>
        <v/>
      </c>
    </row>
    <row r="100" customFormat="false" ht="15.75" hidden="false" customHeight="true" outlineLevel="0" collapsed="false">
      <c r="A100" s="32" t="str">
        <f aca="false">IF(项目档案!$A100="","",项目档案!$A100)</f>
        <v/>
      </c>
      <c r="B100" s="40" t="str">
        <f aca="false">IF($A100="","",项目档案!$B100)</f>
        <v/>
      </c>
      <c r="C100" s="32" t="str">
        <f aca="false">IF($A100="","",项目档案!$C100)</f>
        <v/>
      </c>
      <c r="D100" s="32" t="str">
        <f aca="false">IF($A100="","",项目档案!$D100)</f>
        <v/>
      </c>
      <c r="E100" s="41" t="str">
        <f aca="false">IF($A100="","",SUMIFS(业务流水!$H$5:$H$1504,业务流水!$E$5:$E$1504,$D100,业务流水!$D$5:$D$1504,"销项开票",业务流水!$C$5:$C$1504,$A100,业务流水!$Z$5:$Z$1504,"是"))</f>
        <v/>
      </c>
      <c r="F100" s="49" t="str">
        <f aca="false">IF(OR($A100="",$E100=0),"",SUMIFS(业务流水!$O$5:$O$1504,业务流水!$E$5:$E$1504,$D100,业务流水!$D$5:$D$1504,"销项开票",业务流水!$C$5:$C$1504,$A100,业务流水!$Z$5:$Z$1504,"是")/$E100)</f>
        <v/>
      </c>
      <c r="G100" s="41" t="str">
        <f aca="false">IF($A100="","",SUMIFS(业务流水!$O$5:$O$1504,业务流水!$E$5:$E$1504,$D100,业务流水!$D$5:$D$1504,"销项开票",业务流水!$C$5:$C$1504,$A100,业务流水!$Z$5:$Z$1504,"是"))</f>
        <v/>
      </c>
      <c r="H100" s="42" t="str">
        <f aca="false">IF($A100="","",$E100-$G100)</f>
        <v/>
      </c>
      <c r="I100" s="32" t="str">
        <f aca="false">IF($A100="","",项目档案!$F100)</f>
        <v/>
      </c>
      <c r="J100" s="41" t="n">
        <f aca="false">IF(OR($A100="",$I100=""),0,SUMIFS(业务流水!$H$5:$H$1504,业务流水!$E$5:$E$1504,$I100,业务流水!$D$5:$D$1504,"销项开票",业务流水!$C$5:$C$1504,$A100,业务流水!$Z$5:$Z$1504,"是"))</f>
        <v>0</v>
      </c>
      <c r="K100" s="49" t="str">
        <f aca="false">IF(OR($A100="",$J100=0),"",SUMIFS(业务流水!$O$5:$O$1504,业务流水!$E$5:$E$1504,$I100,业务流水!$D$5:$D$1504,"销项开票",业务流水!$C$5:$C$1504,$A100,业务流水!$Z$5:$Z$1504,"是")/$J100)</f>
        <v/>
      </c>
      <c r="L100" s="41" t="n">
        <f aca="false">IF(OR($A100="",$I100=""),0,SUMIFS(业务流水!$O$5:$O$1504,业务流水!$E$5:$E$1504,$I100,业务流水!$D$5:$D$1504,"销项开票",业务流水!$C$5:$C$1504,$A100,业务流水!$Z$5:$Z$1504,"是"))</f>
        <v>0</v>
      </c>
      <c r="M100" s="43" t="str">
        <f aca="false">IF($A100="","",IF(AND($I100&lt;&gt;"",$J100&gt;0),$J100-$L100,$H100))</f>
        <v/>
      </c>
      <c r="N100" s="41" t="str">
        <f aca="false">IF($A100="","",SUMIFS(业务流水!$H$5:$H$1504,业务流水!$F$5:$F$1504,"*",业务流水!$D$5:$D$1504,"成本票",业务流水!$C$5:$C$1504,$A100,业务流水!$Z$5:$Z$1504,"是"))</f>
        <v/>
      </c>
      <c r="O100" s="43" t="str">
        <f aca="false">IF($A100="","",ROUND($M100-$N100,2))</f>
        <v/>
      </c>
      <c r="P100" s="33" t="str">
        <f aca="false">IF($A100="","",IF(ABS($O100)&lt;1,"✓ 已开齐",IF($O100&gt;0,"还差成本票","多开了")))</f>
        <v/>
      </c>
    </row>
    <row r="101" customFormat="false" ht="15.75" hidden="false" customHeight="true" outlineLevel="0" collapsed="false">
      <c r="A101" s="32" t="str">
        <f aca="false">IF(项目档案!$A101="","",项目档案!$A101)</f>
        <v/>
      </c>
      <c r="B101" s="40" t="str">
        <f aca="false">IF($A101="","",项目档案!$B101)</f>
        <v/>
      </c>
      <c r="C101" s="32" t="str">
        <f aca="false">IF($A101="","",项目档案!$C101)</f>
        <v/>
      </c>
      <c r="D101" s="32" t="str">
        <f aca="false">IF($A101="","",项目档案!$D101)</f>
        <v/>
      </c>
      <c r="E101" s="41" t="str">
        <f aca="false">IF($A101="","",SUMIFS(业务流水!$H$5:$H$1504,业务流水!$E$5:$E$1504,$D101,业务流水!$D$5:$D$1504,"销项开票",业务流水!$C$5:$C$1504,$A101,业务流水!$Z$5:$Z$1504,"是"))</f>
        <v/>
      </c>
      <c r="F101" s="49" t="str">
        <f aca="false">IF(OR($A101="",$E101=0),"",SUMIFS(业务流水!$O$5:$O$1504,业务流水!$E$5:$E$1504,$D101,业务流水!$D$5:$D$1504,"销项开票",业务流水!$C$5:$C$1504,$A101,业务流水!$Z$5:$Z$1504,"是")/$E101)</f>
        <v/>
      </c>
      <c r="G101" s="41" t="str">
        <f aca="false">IF($A101="","",SUMIFS(业务流水!$O$5:$O$1504,业务流水!$E$5:$E$1504,$D101,业务流水!$D$5:$D$1504,"销项开票",业务流水!$C$5:$C$1504,$A101,业务流水!$Z$5:$Z$1504,"是"))</f>
        <v/>
      </c>
      <c r="H101" s="42" t="str">
        <f aca="false">IF($A101="","",$E101-$G101)</f>
        <v/>
      </c>
      <c r="I101" s="32" t="str">
        <f aca="false">IF($A101="","",项目档案!$F101)</f>
        <v/>
      </c>
      <c r="J101" s="41" t="n">
        <f aca="false">IF(OR($A101="",$I101=""),0,SUMIFS(业务流水!$H$5:$H$1504,业务流水!$E$5:$E$1504,$I101,业务流水!$D$5:$D$1504,"销项开票",业务流水!$C$5:$C$1504,$A101,业务流水!$Z$5:$Z$1504,"是"))</f>
        <v>0</v>
      </c>
      <c r="K101" s="49" t="str">
        <f aca="false">IF(OR($A101="",$J101=0),"",SUMIFS(业务流水!$O$5:$O$1504,业务流水!$E$5:$E$1504,$I101,业务流水!$D$5:$D$1504,"销项开票",业务流水!$C$5:$C$1504,$A101,业务流水!$Z$5:$Z$1504,"是")/$J101)</f>
        <v/>
      </c>
      <c r="L101" s="41" t="n">
        <f aca="false">IF(OR($A101="",$I101=""),0,SUMIFS(业务流水!$O$5:$O$1504,业务流水!$E$5:$E$1504,$I101,业务流水!$D$5:$D$1504,"销项开票",业务流水!$C$5:$C$1504,$A101,业务流水!$Z$5:$Z$1504,"是"))</f>
        <v>0</v>
      </c>
      <c r="M101" s="43" t="str">
        <f aca="false">IF($A101="","",IF(AND($I101&lt;&gt;"",$J101&gt;0),$J101-$L101,$H101))</f>
        <v/>
      </c>
      <c r="N101" s="41" t="str">
        <f aca="false">IF($A101="","",SUMIFS(业务流水!$H$5:$H$1504,业务流水!$F$5:$F$1504,"*",业务流水!$D$5:$D$1504,"成本票",业务流水!$C$5:$C$1504,$A101,业务流水!$Z$5:$Z$1504,"是"))</f>
        <v/>
      </c>
      <c r="O101" s="43" t="str">
        <f aca="false">IF($A101="","",ROUND($M101-$N101,2))</f>
        <v/>
      </c>
      <c r="P101" s="33" t="str">
        <f aca="false">IF($A101="","",IF(ABS($O101)&lt;1,"✓ 已开齐",IF($O101&gt;0,"还差成本票","多开了")))</f>
        <v/>
      </c>
    </row>
    <row r="102" customFormat="false" ht="15.75" hidden="false" customHeight="true" outlineLevel="0" collapsed="false">
      <c r="A102" s="32" t="str">
        <f aca="false">IF(项目档案!$A102="","",项目档案!$A102)</f>
        <v/>
      </c>
      <c r="B102" s="40" t="str">
        <f aca="false">IF($A102="","",项目档案!$B102)</f>
        <v/>
      </c>
      <c r="C102" s="32" t="str">
        <f aca="false">IF($A102="","",项目档案!$C102)</f>
        <v/>
      </c>
      <c r="D102" s="32" t="str">
        <f aca="false">IF($A102="","",项目档案!$D102)</f>
        <v/>
      </c>
      <c r="E102" s="41" t="str">
        <f aca="false">IF($A102="","",SUMIFS(业务流水!$H$5:$H$1504,业务流水!$E$5:$E$1504,$D102,业务流水!$D$5:$D$1504,"销项开票",业务流水!$C$5:$C$1504,$A102,业务流水!$Z$5:$Z$1504,"是"))</f>
        <v/>
      </c>
      <c r="F102" s="49" t="str">
        <f aca="false">IF(OR($A102="",$E102=0),"",SUMIFS(业务流水!$O$5:$O$1504,业务流水!$E$5:$E$1504,$D102,业务流水!$D$5:$D$1504,"销项开票",业务流水!$C$5:$C$1504,$A102,业务流水!$Z$5:$Z$1504,"是")/$E102)</f>
        <v/>
      </c>
      <c r="G102" s="41" t="str">
        <f aca="false">IF($A102="","",SUMIFS(业务流水!$O$5:$O$1504,业务流水!$E$5:$E$1504,$D102,业务流水!$D$5:$D$1504,"销项开票",业务流水!$C$5:$C$1504,$A102,业务流水!$Z$5:$Z$1504,"是"))</f>
        <v/>
      </c>
      <c r="H102" s="42" t="str">
        <f aca="false">IF($A102="","",$E102-$G102)</f>
        <v/>
      </c>
      <c r="I102" s="32" t="str">
        <f aca="false">IF($A102="","",项目档案!$F102)</f>
        <v/>
      </c>
      <c r="J102" s="41" t="n">
        <f aca="false">IF(OR($A102="",$I102=""),0,SUMIFS(业务流水!$H$5:$H$1504,业务流水!$E$5:$E$1504,$I102,业务流水!$D$5:$D$1504,"销项开票",业务流水!$C$5:$C$1504,$A102,业务流水!$Z$5:$Z$1504,"是"))</f>
        <v>0</v>
      </c>
      <c r="K102" s="49" t="str">
        <f aca="false">IF(OR($A102="",$J102=0),"",SUMIFS(业务流水!$O$5:$O$1504,业务流水!$E$5:$E$1504,$I102,业务流水!$D$5:$D$1504,"销项开票",业务流水!$C$5:$C$1504,$A102,业务流水!$Z$5:$Z$1504,"是")/$J102)</f>
        <v/>
      </c>
      <c r="L102" s="41" t="n">
        <f aca="false">IF(OR($A102="",$I102=""),0,SUMIFS(业务流水!$O$5:$O$1504,业务流水!$E$5:$E$1504,$I102,业务流水!$D$5:$D$1504,"销项开票",业务流水!$C$5:$C$1504,$A102,业务流水!$Z$5:$Z$1504,"是"))</f>
        <v>0</v>
      </c>
      <c r="M102" s="43" t="str">
        <f aca="false">IF($A102="","",IF(AND($I102&lt;&gt;"",$J102&gt;0),$J102-$L102,$H102))</f>
        <v/>
      </c>
      <c r="N102" s="41" t="str">
        <f aca="false">IF($A102="","",SUMIFS(业务流水!$H$5:$H$1504,业务流水!$F$5:$F$1504,"*",业务流水!$D$5:$D$1504,"成本票",业务流水!$C$5:$C$1504,$A102,业务流水!$Z$5:$Z$1504,"是"))</f>
        <v/>
      </c>
      <c r="O102" s="43" t="str">
        <f aca="false">IF($A102="","",ROUND($M102-$N102,2))</f>
        <v/>
      </c>
      <c r="P102" s="33" t="str">
        <f aca="false">IF($A102="","",IF(ABS($O102)&lt;1,"✓ 已开齐",IF($O102&gt;0,"还差成本票","多开了")))</f>
        <v/>
      </c>
    </row>
    <row r="103" customFormat="false" ht="15.75" hidden="false" customHeight="true" outlineLevel="0" collapsed="false">
      <c r="A103" s="32" t="str">
        <f aca="false">IF(项目档案!$A103="","",项目档案!$A103)</f>
        <v/>
      </c>
      <c r="B103" s="40" t="str">
        <f aca="false">IF($A103="","",项目档案!$B103)</f>
        <v/>
      </c>
      <c r="C103" s="32" t="str">
        <f aca="false">IF($A103="","",项目档案!$C103)</f>
        <v/>
      </c>
      <c r="D103" s="32" t="str">
        <f aca="false">IF($A103="","",项目档案!$D103)</f>
        <v/>
      </c>
      <c r="E103" s="41" t="str">
        <f aca="false">IF($A103="","",SUMIFS(业务流水!$H$5:$H$1504,业务流水!$E$5:$E$1504,$D103,业务流水!$D$5:$D$1504,"销项开票",业务流水!$C$5:$C$1504,$A103,业务流水!$Z$5:$Z$1504,"是"))</f>
        <v/>
      </c>
      <c r="F103" s="49" t="str">
        <f aca="false">IF(OR($A103="",$E103=0),"",SUMIFS(业务流水!$O$5:$O$1504,业务流水!$E$5:$E$1504,$D103,业务流水!$D$5:$D$1504,"销项开票",业务流水!$C$5:$C$1504,$A103,业务流水!$Z$5:$Z$1504,"是")/$E103)</f>
        <v/>
      </c>
      <c r="G103" s="41" t="str">
        <f aca="false">IF($A103="","",SUMIFS(业务流水!$O$5:$O$1504,业务流水!$E$5:$E$1504,$D103,业务流水!$D$5:$D$1504,"销项开票",业务流水!$C$5:$C$1504,$A103,业务流水!$Z$5:$Z$1504,"是"))</f>
        <v/>
      </c>
      <c r="H103" s="42" t="str">
        <f aca="false">IF($A103="","",$E103-$G103)</f>
        <v/>
      </c>
      <c r="I103" s="32" t="str">
        <f aca="false">IF($A103="","",项目档案!$F103)</f>
        <v/>
      </c>
      <c r="J103" s="41" t="n">
        <f aca="false">IF(OR($A103="",$I103=""),0,SUMIFS(业务流水!$H$5:$H$1504,业务流水!$E$5:$E$1504,$I103,业务流水!$D$5:$D$1504,"销项开票",业务流水!$C$5:$C$1504,$A103,业务流水!$Z$5:$Z$1504,"是"))</f>
        <v>0</v>
      </c>
      <c r="K103" s="49" t="str">
        <f aca="false">IF(OR($A103="",$J103=0),"",SUMIFS(业务流水!$O$5:$O$1504,业务流水!$E$5:$E$1504,$I103,业务流水!$D$5:$D$1504,"销项开票",业务流水!$C$5:$C$1504,$A103,业务流水!$Z$5:$Z$1504,"是")/$J103)</f>
        <v/>
      </c>
      <c r="L103" s="41" t="n">
        <f aca="false">IF(OR($A103="",$I103=""),0,SUMIFS(业务流水!$O$5:$O$1504,业务流水!$E$5:$E$1504,$I103,业务流水!$D$5:$D$1504,"销项开票",业务流水!$C$5:$C$1504,$A103,业务流水!$Z$5:$Z$1504,"是"))</f>
        <v>0</v>
      </c>
      <c r="M103" s="43" t="str">
        <f aca="false">IF($A103="","",IF(AND($I103&lt;&gt;"",$J103&gt;0),$J103-$L103,$H103))</f>
        <v/>
      </c>
      <c r="N103" s="41" t="str">
        <f aca="false">IF($A103="","",SUMIFS(业务流水!$H$5:$H$1504,业务流水!$F$5:$F$1504,"*",业务流水!$D$5:$D$1504,"成本票",业务流水!$C$5:$C$1504,$A103,业务流水!$Z$5:$Z$1504,"是"))</f>
        <v/>
      </c>
      <c r="O103" s="43" t="str">
        <f aca="false">IF($A103="","",ROUND($M103-$N103,2))</f>
        <v/>
      </c>
      <c r="P103" s="33" t="str">
        <f aca="false">IF($A103="","",IF(ABS($O103)&lt;1,"✓ 已开齐",IF($O103&gt;0,"还差成本票","多开了")))</f>
        <v/>
      </c>
    </row>
    <row r="104" customFormat="false" ht="15.75" hidden="false" customHeight="true" outlineLevel="0" collapsed="false">
      <c r="A104" s="32" t="str">
        <f aca="false">IF(项目档案!$A104="","",项目档案!$A104)</f>
        <v/>
      </c>
      <c r="B104" s="40" t="str">
        <f aca="false">IF($A104="","",项目档案!$B104)</f>
        <v/>
      </c>
      <c r="C104" s="32" t="str">
        <f aca="false">IF($A104="","",项目档案!$C104)</f>
        <v/>
      </c>
      <c r="D104" s="32" t="str">
        <f aca="false">IF($A104="","",项目档案!$D104)</f>
        <v/>
      </c>
      <c r="E104" s="41" t="str">
        <f aca="false">IF($A104="","",SUMIFS(业务流水!$H$5:$H$1504,业务流水!$E$5:$E$1504,$D104,业务流水!$D$5:$D$1504,"销项开票",业务流水!$C$5:$C$1504,$A104,业务流水!$Z$5:$Z$1504,"是"))</f>
        <v/>
      </c>
      <c r="F104" s="49" t="str">
        <f aca="false">IF(OR($A104="",$E104=0),"",SUMIFS(业务流水!$O$5:$O$1504,业务流水!$E$5:$E$1504,$D104,业务流水!$D$5:$D$1504,"销项开票",业务流水!$C$5:$C$1504,$A104,业务流水!$Z$5:$Z$1504,"是")/$E104)</f>
        <v/>
      </c>
      <c r="G104" s="41" t="str">
        <f aca="false">IF($A104="","",SUMIFS(业务流水!$O$5:$O$1504,业务流水!$E$5:$E$1504,$D104,业务流水!$D$5:$D$1504,"销项开票",业务流水!$C$5:$C$1504,$A104,业务流水!$Z$5:$Z$1504,"是"))</f>
        <v/>
      </c>
      <c r="H104" s="42" t="str">
        <f aca="false">IF($A104="","",$E104-$G104)</f>
        <v/>
      </c>
      <c r="I104" s="32" t="str">
        <f aca="false">IF($A104="","",项目档案!$F104)</f>
        <v/>
      </c>
      <c r="J104" s="41" t="n">
        <f aca="false">IF(OR($A104="",$I104=""),0,SUMIFS(业务流水!$H$5:$H$1504,业务流水!$E$5:$E$1504,$I104,业务流水!$D$5:$D$1504,"销项开票",业务流水!$C$5:$C$1504,$A104,业务流水!$Z$5:$Z$1504,"是"))</f>
        <v>0</v>
      </c>
      <c r="K104" s="49" t="str">
        <f aca="false">IF(OR($A104="",$J104=0),"",SUMIFS(业务流水!$O$5:$O$1504,业务流水!$E$5:$E$1504,$I104,业务流水!$D$5:$D$1504,"销项开票",业务流水!$C$5:$C$1504,$A104,业务流水!$Z$5:$Z$1504,"是")/$J104)</f>
        <v/>
      </c>
      <c r="L104" s="41" t="n">
        <f aca="false">IF(OR($A104="",$I104=""),0,SUMIFS(业务流水!$O$5:$O$1504,业务流水!$E$5:$E$1504,$I104,业务流水!$D$5:$D$1504,"销项开票",业务流水!$C$5:$C$1504,$A104,业务流水!$Z$5:$Z$1504,"是"))</f>
        <v>0</v>
      </c>
      <c r="M104" s="43" t="str">
        <f aca="false">IF($A104="","",IF(AND($I104&lt;&gt;"",$J104&gt;0),$J104-$L104,$H104))</f>
        <v/>
      </c>
      <c r="N104" s="41" t="str">
        <f aca="false">IF($A104="","",SUMIFS(业务流水!$H$5:$H$1504,业务流水!$F$5:$F$1504,"*",业务流水!$D$5:$D$1504,"成本票",业务流水!$C$5:$C$1504,$A104,业务流水!$Z$5:$Z$1504,"是"))</f>
        <v/>
      </c>
      <c r="O104" s="43" t="str">
        <f aca="false">IF($A104="","",ROUND($M104-$N104,2))</f>
        <v/>
      </c>
      <c r="P104" s="33" t="str">
        <f aca="false">IF($A104="","",IF(ABS($O104)&lt;1,"✓ 已开齐",IF($O104&gt;0,"还差成本票","多开了")))</f>
        <v/>
      </c>
    </row>
    <row r="105" customFormat="false" ht="15.75" hidden="false" customHeight="true" outlineLevel="0" collapsed="false">
      <c r="A105" s="32" t="str">
        <f aca="false">IF(项目档案!$A105="","",项目档案!$A105)</f>
        <v/>
      </c>
      <c r="B105" s="40" t="str">
        <f aca="false">IF($A105="","",项目档案!$B105)</f>
        <v/>
      </c>
      <c r="C105" s="32" t="str">
        <f aca="false">IF($A105="","",项目档案!$C105)</f>
        <v/>
      </c>
      <c r="D105" s="32" t="str">
        <f aca="false">IF($A105="","",项目档案!$D105)</f>
        <v/>
      </c>
      <c r="E105" s="41" t="str">
        <f aca="false">IF($A105="","",SUMIFS(业务流水!$H$5:$H$1504,业务流水!$E$5:$E$1504,$D105,业务流水!$D$5:$D$1504,"销项开票",业务流水!$C$5:$C$1504,$A105,业务流水!$Z$5:$Z$1504,"是"))</f>
        <v/>
      </c>
      <c r="F105" s="49" t="str">
        <f aca="false">IF(OR($A105="",$E105=0),"",SUMIFS(业务流水!$O$5:$O$1504,业务流水!$E$5:$E$1504,$D105,业务流水!$D$5:$D$1504,"销项开票",业务流水!$C$5:$C$1504,$A105,业务流水!$Z$5:$Z$1504,"是")/$E105)</f>
        <v/>
      </c>
      <c r="G105" s="41" t="str">
        <f aca="false">IF($A105="","",SUMIFS(业务流水!$O$5:$O$1504,业务流水!$E$5:$E$1504,$D105,业务流水!$D$5:$D$1504,"销项开票",业务流水!$C$5:$C$1504,$A105,业务流水!$Z$5:$Z$1504,"是"))</f>
        <v/>
      </c>
      <c r="H105" s="42" t="str">
        <f aca="false">IF($A105="","",$E105-$G105)</f>
        <v/>
      </c>
      <c r="I105" s="32" t="str">
        <f aca="false">IF($A105="","",项目档案!$F105)</f>
        <v/>
      </c>
      <c r="J105" s="41" t="n">
        <f aca="false">IF(OR($A105="",$I105=""),0,SUMIFS(业务流水!$H$5:$H$1504,业务流水!$E$5:$E$1504,$I105,业务流水!$D$5:$D$1504,"销项开票",业务流水!$C$5:$C$1504,$A105,业务流水!$Z$5:$Z$1504,"是"))</f>
        <v>0</v>
      </c>
      <c r="K105" s="49" t="str">
        <f aca="false">IF(OR($A105="",$J105=0),"",SUMIFS(业务流水!$O$5:$O$1504,业务流水!$E$5:$E$1504,$I105,业务流水!$D$5:$D$1504,"销项开票",业务流水!$C$5:$C$1504,$A105,业务流水!$Z$5:$Z$1504,"是")/$J105)</f>
        <v/>
      </c>
      <c r="L105" s="41" t="n">
        <f aca="false">IF(OR($A105="",$I105=""),0,SUMIFS(业务流水!$O$5:$O$1504,业务流水!$E$5:$E$1504,$I105,业务流水!$D$5:$D$1504,"销项开票",业务流水!$C$5:$C$1504,$A105,业务流水!$Z$5:$Z$1504,"是"))</f>
        <v>0</v>
      </c>
      <c r="M105" s="43" t="str">
        <f aca="false">IF($A105="","",IF(AND($I105&lt;&gt;"",$J105&gt;0),$J105-$L105,$H105))</f>
        <v/>
      </c>
      <c r="N105" s="41" t="str">
        <f aca="false">IF($A105="","",SUMIFS(业务流水!$H$5:$H$1504,业务流水!$F$5:$F$1504,"*",业务流水!$D$5:$D$1504,"成本票",业务流水!$C$5:$C$1504,$A105,业务流水!$Z$5:$Z$1504,"是"))</f>
        <v/>
      </c>
      <c r="O105" s="43" t="str">
        <f aca="false">IF($A105="","",ROUND($M105-$N105,2))</f>
        <v/>
      </c>
      <c r="P105" s="33" t="str">
        <f aca="false">IF($A105="","",IF(ABS($O105)&lt;1,"✓ 已开齐",IF($O105&gt;0,"还差成本票","多开了")))</f>
        <v/>
      </c>
    </row>
    <row r="106" customFormat="false" ht="15.75" hidden="false" customHeight="true" outlineLevel="0" collapsed="false">
      <c r="A106" s="32" t="str">
        <f aca="false">IF(项目档案!$A106="","",项目档案!$A106)</f>
        <v/>
      </c>
      <c r="B106" s="40" t="str">
        <f aca="false">IF($A106="","",项目档案!$B106)</f>
        <v/>
      </c>
      <c r="C106" s="32" t="str">
        <f aca="false">IF($A106="","",项目档案!$C106)</f>
        <v/>
      </c>
      <c r="D106" s="32" t="str">
        <f aca="false">IF($A106="","",项目档案!$D106)</f>
        <v/>
      </c>
      <c r="E106" s="41" t="str">
        <f aca="false">IF($A106="","",SUMIFS(业务流水!$H$5:$H$1504,业务流水!$E$5:$E$1504,$D106,业务流水!$D$5:$D$1504,"销项开票",业务流水!$C$5:$C$1504,$A106,业务流水!$Z$5:$Z$1504,"是"))</f>
        <v/>
      </c>
      <c r="F106" s="49" t="str">
        <f aca="false">IF(OR($A106="",$E106=0),"",SUMIFS(业务流水!$O$5:$O$1504,业务流水!$E$5:$E$1504,$D106,业务流水!$D$5:$D$1504,"销项开票",业务流水!$C$5:$C$1504,$A106,业务流水!$Z$5:$Z$1504,"是")/$E106)</f>
        <v/>
      </c>
      <c r="G106" s="41" t="str">
        <f aca="false">IF($A106="","",SUMIFS(业务流水!$O$5:$O$1504,业务流水!$E$5:$E$1504,$D106,业务流水!$D$5:$D$1504,"销项开票",业务流水!$C$5:$C$1504,$A106,业务流水!$Z$5:$Z$1504,"是"))</f>
        <v/>
      </c>
      <c r="H106" s="42" t="str">
        <f aca="false">IF($A106="","",$E106-$G106)</f>
        <v/>
      </c>
      <c r="I106" s="32" t="str">
        <f aca="false">IF($A106="","",项目档案!$F106)</f>
        <v/>
      </c>
      <c r="J106" s="41" t="n">
        <f aca="false">IF(OR($A106="",$I106=""),0,SUMIFS(业务流水!$H$5:$H$1504,业务流水!$E$5:$E$1504,$I106,业务流水!$D$5:$D$1504,"销项开票",业务流水!$C$5:$C$1504,$A106,业务流水!$Z$5:$Z$1504,"是"))</f>
        <v>0</v>
      </c>
      <c r="K106" s="49" t="str">
        <f aca="false">IF(OR($A106="",$J106=0),"",SUMIFS(业务流水!$O$5:$O$1504,业务流水!$E$5:$E$1504,$I106,业务流水!$D$5:$D$1504,"销项开票",业务流水!$C$5:$C$1504,$A106,业务流水!$Z$5:$Z$1504,"是")/$J106)</f>
        <v/>
      </c>
      <c r="L106" s="41" t="n">
        <f aca="false">IF(OR($A106="",$I106=""),0,SUMIFS(业务流水!$O$5:$O$1504,业务流水!$E$5:$E$1504,$I106,业务流水!$D$5:$D$1504,"销项开票",业务流水!$C$5:$C$1504,$A106,业务流水!$Z$5:$Z$1504,"是"))</f>
        <v>0</v>
      </c>
      <c r="M106" s="43" t="str">
        <f aca="false">IF($A106="","",IF(AND($I106&lt;&gt;"",$J106&gt;0),$J106-$L106,$H106))</f>
        <v/>
      </c>
      <c r="N106" s="41" t="str">
        <f aca="false">IF($A106="","",SUMIFS(业务流水!$H$5:$H$1504,业务流水!$F$5:$F$1504,"*",业务流水!$D$5:$D$1504,"成本票",业务流水!$C$5:$C$1504,$A106,业务流水!$Z$5:$Z$1504,"是"))</f>
        <v/>
      </c>
      <c r="O106" s="43" t="str">
        <f aca="false">IF($A106="","",ROUND($M106-$N106,2))</f>
        <v/>
      </c>
      <c r="P106" s="33" t="str">
        <f aca="false">IF($A106="","",IF(ABS($O106)&lt;1,"✓ 已开齐",IF($O106&gt;0,"还差成本票","多开了")))</f>
        <v/>
      </c>
    </row>
    <row r="107" customFormat="false" ht="15.75" hidden="false" customHeight="true" outlineLevel="0" collapsed="false">
      <c r="A107" s="32" t="str">
        <f aca="false">IF(项目档案!$A107="","",项目档案!$A107)</f>
        <v/>
      </c>
      <c r="B107" s="40" t="str">
        <f aca="false">IF($A107="","",项目档案!$B107)</f>
        <v/>
      </c>
      <c r="C107" s="32" t="str">
        <f aca="false">IF($A107="","",项目档案!$C107)</f>
        <v/>
      </c>
      <c r="D107" s="32" t="str">
        <f aca="false">IF($A107="","",项目档案!$D107)</f>
        <v/>
      </c>
      <c r="E107" s="41" t="str">
        <f aca="false">IF($A107="","",SUMIFS(业务流水!$H$5:$H$1504,业务流水!$E$5:$E$1504,$D107,业务流水!$D$5:$D$1504,"销项开票",业务流水!$C$5:$C$1504,$A107,业务流水!$Z$5:$Z$1504,"是"))</f>
        <v/>
      </c>
      <c r="F107" s="49" t="str">
        <f aca="false">IF(OR($A107="",$E107=0),"",SUMIFS(业务流水!$O$5:$O$1504,业务流水!$E$5:$E$1504,$D107,业务流水!$D$5:$D$1504,"销项开票",业务流水!$C$5:$C$1504,$A107,业务流水!$Z$5:$Z$1504,"是")/$E107)</f>
        <v/>
      </c>
      <c r="G107" s="41" t="str">
        <f aca="false">IF($A107="","",SUMIFS(业务流水!$O$5:$O$1504,业务流水!$E$5:$E$1504,$D107,业务流水!$D$5:$D$1504,"销项开票",业务流水!$C$5:$C$1504,$A107,业务流水!$Z$5:$Z$1504,"是"))</f>
        <v/>
      </c>
      <c r="H107" s="42" t="str">
        <f aca="false">IF($A107="","",$E107-$G107)</f>
        <v/>
      </c>
      <c r="I107" s="32" t="str">
        <f aca="false">IF($A107="","",项目档案!$F107)</f>
        <v/>
      </c>
      <c r="J107" s="41" t="n">
        <f aca="false">IF(OR($A107="",$I107=""),0,SUMIFS(业务流水!$H$5:$H$1504,业务流水!$E$5:$E$1504,$I107,业务流水!$D$5:$D$1504,"销项开票",业务流水!$C$5:$C$1504,$A107,业务流水!$Z$5:$Z$1504,"是"))</f>
        <v>0</v>
      </c>
      <c r="K107" s="49" t="str">
        <f aca="false">IF(OR($A107="",$J107=0),"",SUMIFS(业务流水!$O$5:$O$1504,业务流水!$E$5:$E$1504,$I107,业务流水!$D$5:$D$1504,"销项开票",业务流水!$C$5:$C$1504,$A107,业务流水!$Z$5:$Z$1504,"是")/$J107)</f>
        <v/>
      </c>
      <c r="L107" s="41" t="n">
        <f aca="false">IF(OR($A107="",$I107=""),0,SUMIFS(业务流水!$O$5:$O$1504,业务流水!$E$5:$E$1504,$I107,业务流水!$D$5:$D$1504,"销项开票",业务流水!$C$5:$C$1504,$A107,业务流水!$Z$5:$Z$1504,"是"))</f>
        <v>0</v>
      </c>
      <c r="M107" s="43" t="str">
        <f aca="false">IF($A107="","",IF(AND($I107&lt;&gt;"",$J107&gt;0),$J107-$L107,$H107))</f>
        <v/>
      </c>
      <c r="N107" s="41" t="str">
        <f aca="false">IF($A107="","",SUMIFS(业务流水!$H$5:$H$1504,业务流水!$F$5:$F$1504,"*",业务流水!$D$5:$D$1504,"成本票",业务流水!$C$5:$C$1504,$A107,业务流水!$Z$5:$Z$1504,"是"))</f>
        <v/>
      </c>
      <c r="O107" s="43" t="str">
        <f aca="false">IF($A107="","",ROUND($M107-$N107,2))</f>
        <v/>
      </c>
      <c r="P107" s="33" t="str">
        <f aca="false">IF($A107="","",IF(ABS($O107)&lt;1,"✓ 已开齐",IF($O107&gt;0,"还差成本票","多开了")))</f>
        <v/>
      </c>
    </row>
    <row r="108" customFormat="false" ht="15.75" hidden="false" customHeight="true" outlineLevel="0" collapsed="false">
      <c r="A108" s="32" t="str">
        <f aca="false">IF(项目档案!$A108="","",项目档案!$A108)</f>
        <v/>
      </c>
      <c r="B108" s="40" t="str">
        <f aca="false">IF($A108="","",项目档案!$B108)</f>
        <v/>
      </c>
      <c r="C108" s="32" t="str">
        <f aca="false">IF($A108="","",项目档案!$C108)</f>
        <v/>
      </c>
      <c r="D108" s="32" t="str">
        <f aca="false">IF($A108="","",项目档案!$D108)</f>
        <v/>
      </c>
      <c r="E108" s="41" t="str">
        <f aca="false">IF($A108="","",SUMIFS(业务流水!$H$5:$H$1504,业务流水!$E$5:$E$1504,$D108,业务流水!$D$5:$D$1504,"销项开票",业务流水!$C$5:$C$1504,$A108,业务流水!$Z$5:$Z$1504,"是"))</f>
        <v/>
      </c>
      <c r="F108" s="49" t="str">
        <f aca="false">IF(OR($A108="",$E108=0),"",SUMIFS(业务流水!$O$5:$O$1504,业务流水!$E$5:$E$1504,$D108,业务流水!$D$5:$D$1504,"销项开票",业务流水!$C$5:$C$1504,$A108,业务流水!$Z$5:$Z$1504,"是")/$E108)</f>
        <v/>
      </c>
      <c r="G108" s="41" t="str">
        <f aca="false">IF($A108="","",SUMIFS(业务流水!$O$5:$O$1504,业务流水!$E$5:$E$1504,$D108,业务流水!$D$5:$D$1504,"销项开票",业务流水!$C$5:$C$1504,$A108,业务流水!$Z$5:$Z$1504,"是"))</f>
        <v/>
      </c>
      <c r="H108" s="42" t="str">
        <f aca="false">IF($A108="","",$E108-$G108)</f>
        <v/>
      </c>
      <c r="I108" s="32" t="str">
        <f aca="false">IF($A108="","",项目档案!$F108)</f>
        <v/>
      </c>
      <c r="J108" s="41" t="n">
        <f aca="false">IF(OR($A108="",$I108=""),0,SUMIFS(业务流水!$H$5:$H$1504,业务流水!$E$5:$E$1504,$I108,业务流水!$D$5:$D$1504,"销项开票",业务流水!$C$5:$C$1504,$A108,业务流水!$Z$5:$Z$1504,"是"))</f>
        <v>0</v>
      </c>
      <c r="K108" s="49" t="str">
        <f aca="false">IF(OR($A108="",$J108=0),"",SUMIFS(业务流水!$O$5:$O$1504,业务流水!$E$5:$E$1504,$I108,业务流水!$D$5:$D$1504,"销项开票",业务流水!$C$5:$C$1504,$A108,业务流水!$Z$5:$Z$1504,"是")/$J108)</f>
        <v/>
      </c>
      <c r="L108" s="41" t="n">
        <f aca="false">IF(OR($A108="",$I108=""),0,SUMIFS(业务流水!$O$5:$O$1504,业务流水!$E$5:$E$1504,$I108,业务流水!$D$5:$D$1504,"销项开票",业务流水!$C$5:$C$1504,$A108,业务流水!$Z$5:$Z$1504,"是"))</f>
        <v>0</v>
      </c>
      <c r="M108" s="43" t="str">
        <f aca="false">IF($A108="","",IF(AND($I108&lt;&gt;"",$J108&gt;0),$J108-$L108,$H108))</f>
        <v/>
      </c>
      <c r="N108" s="41" t="str">
        <f aca="false">IF($A108="","",SUMIFS(业务流水!$H$5:$H$1504,业务流水!$F$5:$F$1504,"*",业务流水!$D$5:$D$1504,"成本票",业务流水!$C$5:$C$1504,$A108,业务流水!$Z$5:$Z$1504,"是"))</f>
        <v/>
      </c>
      <c r="O108" s="43" t="str">
        <f aca="false">IF($A108="","",ROUND($M108-$N108,2))</f>
        <v/>
      </c>
      <c r="P108" s="33" t="str">
        <f aca="false">IF($A108="","",IF(ABS($O108)&lt;1,"✓ 已开齐",IF($O108&gt;0,"还差成本票","多开了")))</f>
        <v/>
      </c>
    </row>
    <row r="109" customFormat="false" ht="15.75" hidden="false" customHeight="true" outlineLevel="0" collapsed="false">
      <c r="A109" s="32" t="str">
        <f aca="false">IF(项目档案!$A109="","",项目档案!$A109)</f>
        <v/>
      </c>
      <c r="B109" s="40" t="str">
        <f aca="false">IF($A109="","",项目档案!$B109)</f>
        <v/>
      </c>
      <c r="C109" s="32" t="str">
        <f aca="false">IF($A109="","",项目档案!$C109)</f>
        <v/>
      </c>
      <c r="D109" s="32" t="str">
        <f aca="false">IF($A109="","",项目档案!$D109)</f>
        <v/>
      </c>
      <c r="E109" s="41" t="str">
        <f aca="false">IF($A109="","",SUMIFS(业务流水!$H$5:$H$1504,业务流水!$E$5:$E$1504,$D109,业务流水!$D$5:$D$1504,"销项开票",业务流水!$C$5:$C$1504,$A109,业务流水!$Z$5:$Z$1504,"是"))</f>
        <v/>
      </c>
      <c r="F109" s="49" t="str">
        <f aca="false">IF(OR($A109="",$E109=0),"",SUMIFS(业务流水!$O$5:$O$1504,业务流水!$E$5:$E$1504,$D109,业务流水!$D$5:$D$1504,"销项开票",业务流水!$C$5:$C$1504,$A109,业务流水!$Z$5:$Z$1504,"是")/$E109)</f>
        <v/>
      </c>
      <c r="G109" s="41" t="str">
        <f aca="false">IF($A109="","",SUMIFS(业务流水!$O$5:$O$1504,业务流水!$E$5:$E$1504,$D109,业务流水!$D$5:$D$1504,"销项开票",业务流水!$C$5:$C$1504,$A109,业务流水!$Z$5:$Z$1504,"是"))</f>
        <v/>
      </c>
      <c r="H109" s="42" t="str">
        <f aca="false">IF($A109="","",$E109-$G109)</f>
        <v/>
      </c>
      <c r="I109" s="32" t="str">
        <f aca="false">IF($A109="","",项目档案!$F109)</f>
        <v/>
      </c>
      <c r="J109" s="41" t="n">
        <f aca="false">IF(OR($A109="",$I109=""),0,SUMIFS(业务流水!$H$5:$H$1504,业务流水!$E$5:$E$1504,$I109,业务流水!$D$5:$D$1504,"销项开票",业务流水!$C$5:$C$1504,$A109,业务流水!$Z$5:$Z$1504,"是"))</f>
        <v>0</v>
      </c>
      <c r="K109" s="49" t="str">
        <f aca="false">IF(OR($A109="",$J109=0),"",SUMIFS(业务流水!$O$5:$O$1504,业务流水!$E$5:$E$1504,$I109,业务流水!$D$5:$D$1504,"销项开票",业务流水!$C$5:$C$1504,$A109,业务流水!$Z$5:$Z$1504,"是")/$J109)</f>
        <v/>
      </c>
      <c r="L109" s="41" t="n">
        <f aca="false">IF(OR($A109="",$I109=""),0,SUMIFS(业务流水!$O$5:$O$1504,业务流水!$E$5:$E$1504,$I109,业务流水!$D$5:$D$1504,"销项开票",业务流水!$C$5:$C$1504,$A109,业务流水!$Z$5:$Z$1504,"是"))</f>
        <v>0</v>
      </c>
      <c r="M109" s="43" t="str">
        <f aca="false">IF($A109="","",IF(AND($I109&lt;&gt;"",$J109&gt;0),$J109-$L109,$H109))</f>
        <v/>
      </c>
      <c r="N109" s="41" t="str">
        <f aca="false">IF($A109="","",SUMIFS(业务流水!$H$5:$H$1504,业务流水!$F$5:$F$1504,"*",业务流水!$D$5:$D$1504,"成本票",业务流水!$C$5:$C$1504,$A109,业务流水!$Z$5:$Z$1504,"是"))</f>
        <v/>
      </c>
      <c r="O109" s="43" t="str">
        <f aca="false">IF($A109="","",ROUND($M109-$N109,2))</f>
        <v/>
      </c>
      <c r="P109" s="33" t="str">
        <f aca="false">IF($A109="","",IF(ABS($O109)&lt;1,"✓ 已开齐",IF($O109&gt;0,"还差成本票","多开了")))</f>
        <v/>
      </c>
    </row>
    <row r="110" customFormat="false" ht="15.75" hidden="false" customHeight="true" outlineLevel="0" collapsed="false">
      <c r="A110" s="32" t="str">
        <f aca="false">IF(项目档案!$A110="","",项目档案!$A110)</f>
        <v/>
      </c>
      <c r="B110" s="40" t="str">
        <f aca="false">IF($A110="","",项目档案!$B110)</f>
        <v/>
      </c>
      <c r="C110" s="32" t="str">
        <f aca="false">IF($A110="","",项目档案!$C110)</f>
        <v/>
      </c>
      <c r="D110" s="32" t="str">
        <f aca="false">IF($A110="","",项目档案!$D110)</f>
        <v/>
      </c>
      <c r="E110" s="41" t="str">
        <f aca="false">IF($A110="","",SUMIFS(业务流水!$H$5:$H$1504,业务流水!$E$5:$E$1504,$D110,业务流水!$D$5:$D$1504,"销项开票",业务流水!$C$5:$C$1504,$A110,业务流水!$Z$5:$Z$1504,"是"))</f>
        <v/>
      </c>
      <c r="F110" s="49" t="str">
        <f aca="false">IF(OR($A110="",$E110=0),"",SUMIFS(业务流水!$O$5:$O$1504,业务流水!$E$5:$E$1504,$D110,业务流水!$D$5:$D$1504,"销项开票",业务流水!$C$5:$C$1504,$A110,业务流水!$Z$5:$Z$1504,"是")/$E110)</f>
        <v/>
      </c>
      <c r="G110" s="41" t="str">
        <f aca="false">IF($A110="","",SUMIFS(业务流水!$O$5:$O$1504,业务流水!$E$5:$E$1504,$D110,业务流水!$D$5:$D$1504,"销项开票",业务流水!$C$5:$C$1504,$A110,业务流水!$Z$5:$Z$1504,"是"))</f>
        <v/>
      </c>
      <c r="H110" s="42" t="str">
        <f aca="false">IF($A110="","",$E110-$G110)</f>
        <v/>
      </c>
      <c r="I110" s="32" t="str">
        <f aca="false">IF($A110="","",项目档案!$F110)</f>
        <v/>
      </c>
      <c r="J110" s="41" t="n">
        <f aca="false">IF(OR($A110="",$I110=""),0,SUMIFS(业务流水!$H$5:$H$1504,业务流水!$E$5:$E$1504,$I110,业务流水!$D$5:$D$1504,"销项开票",业务流水!$C$5:$C$1504,$A110,业务流水!$Z$5:$Z$1504,"是"))</f>
        <v>0</v>
      </c>
      <c r="K110" s="49" t="str">
        <f aca="false">IF(OR($A110="",$J110=0),"",SUMIFS(业务流水!$O$5:$O$1504,业务流水!$E$5:$E$1504,$I110,业务流水!$D$5:$D$1504,"销项开票",业务流水!$C$5:$C$1504,$A110,业务流水!$Z$5:$Z$1504,"是")/$J110)</f>
        <v/>
      </c>
      <c r="L110" s="41" t="n">
        <f aca="false">IF(OR($A110="",$I110=""),0,SUMIFS(业务流水!$O$5:$O$1504,业务流水!$E$5:$E$1504,$I110,业务流水!$D$5:$D$1504,"销项开票",业务流水!$C$5:$C$1504,$A110,业务流水!$Z$5:$Z$1504,"是"))</f>
        <v>0</v>
      </c>
      <c r="M110" s="43" t="str">
        <f aca="false">IF($A110="","",IF(AND($I110&lt;&gt;"",$J110&gt;0),$J110-$L110,$H110))</f>
        <v/>
      </c>
      <c r="N110" s="41" t="str">
        <f aca="false">IF($A110="","",SUMIFS(业务流水!$H$5:$H$1504,业务流水!$F$5:$F$1504,"*",业务流水!$D$5:$D$1504,"成本票",业务流水!$C$5:$C$1504,$A110,业务流水!$Z$5:$Z$1504,"是"))</f>
        <v/>
      </c>
      <c r="O110" s="43" t="str">
        <f aca="false">IF($A110="","",ROUND($M110-$N110,2))</f>
        <v/>
      </c>
      <c r="P110" s="33" t="str">
        <f aca="false">IF($A110="","",IF(ABS($O110)&lt;1,"✓ 已开齐",IF($O110&gt;0,"还差成本票","多开了")))</f>
        <v/>
      </c>
    </row>
    <row r="111" customFormat="false" ht="15.75" hidden="false" customHeight="true" outlineLevel="0" collapsed="false">
      <c r="A111" s="32" t="str">
        <f aca="false">IF(项目档案!$A111="","",项目档案!$A111)</f>
        <v/>
      </c>
      <c r="B111" s="40" t="str">
        <f aca="false">IF($A111="","",项目档案!$B111)</f>
        <v/>
      </c>
      <c r="C111" s="32" t="str">
        <f aca="false">IF($A111="","",项目档案!$C111)</f>
        <v/>
      </c>
      <c r="D111" s="32" t="str">
        <f aca="false">IF($A111="","",项目档案!$D111)</f>
        <v/>
      </c>
      <c r="E111" s="41" t="str">
        <f aca="false">IF($A111="","",SUMIFS(业务流水!$H$5:$H$1504,业务流水!$E$5:$E$1504,$D111,业务流水!$D$5:$D$1504,"销项开票",业务流水!$C$5:$C$1504,$A111,业务流水!$Z$5:$Z$1504,"是"))</f>
        <v/>
      </c>
      <c r="F111" s="49" t="str">
        <f aca="false">IF(OR($A111="",$E111=0),"",SUMIFS(业务流水!$O$5:$O$1504,业务流水!$E$5:$E$1504,$D111,业务流水!$D$5:$D$1504,"销项开票",业务流水!$C$5:$C$1504,$A111,业务流水!$Z$5:$Z$1504,"是")/$E111)</f>
        <v/>
      </c>
      <c r="G111" s="41" t="str">
        <f aca="false">IF($A111="","",SUMIFS(业务流水!$O$5:$O$1504,业务流水!$E$5:$E$1504,$D111,业务流水!$D$5:$D$1504,"销项开票",业务流水!$C$5:$C$1504,$A111,业务流水!$Z$5:$Z$1504,"是"))</f>
        <v/>
      </c>
      <c r="H111" s="42" t="str">
        <f aca="false">IF($A111="","",$E111-$G111)</f>
        <v/>
      </c>
      <c r="I111" s="32" t="str">
        <f aca="false">IF($A111="","",项目档案!$F111)</f>
        <v/>
      </c>
      <c r="J111" s="41" t="n">
        <f aca="false">IF(OR($A111="",$I111=""),0,SUMIFS(业务流水!$H$5:$H$1504,业务流水!$E$5:$E$1504,$I111,业务流水!$D$5:$D$1504,"销项开票",业务流水!$C$5:$C$1504,$A111,业务流水!$Z$5:$Z$1504,"是"))</f>
        <v>0</v>
      </c>
      <c r="K111" s="49" t="str">
        <f aca="false">IF(OR($A111="",$J111=0),"",SUMIFS(业务流水!$O$5:$O$1504,业务流水!$E$5:$E$1504,$I111,业务流水!$D$5:$D$1504,"销项开票",业务流水!$C$5:$C$1504,$A111,业务流水!$Z$5:$Z$1504,"是")/$J111)</f>
        <v/>
      </c>
      <c r="L111" s="41" t="n">
        <f aca="false">IF(OR($A111="",$I111=""),0,SUMIFS(业务流水!$O$5:$O$1504,业务流水!$E$5:$E$1504,$I111,业务流水!$D$5:$D$1504,"销项开票",业务流水!$C$5:$C$1504,$A111,业务流水!$Z$5:$Z$1504,"是"))</f>
        <v>0</v>
      </c>
      <c r="M111" s="43" t="str">
        <f aca="false">IF($A111="","",IF(AND($I111&lt;&gt;"",$J111&gt;0),$J111-$L111,$H111))</f>
        <v/>
      </c>
      <c r="N111" s="41" t="str">
        <f aca="false">IF($A111="","",SUMIFS(业务流水!$H$5:$H$1504,业务流水!$F$5:$F$1504,"*",业务流水!$D$5:$D$1504,"成本票",业务流水!$C$5:$C$1504,$A111,业务流水!$Z$5:$Z$1504,"是"))</f>
        <v/>
      </c>
      <c r="O111" s="43" t="str">
        <f aca="false">IF($A111="","",ROUND($M111-$N111,2))</f>
        <v/>
      </c>
      <c r="P111" s="33" t="str">
        <f aca="false">IF($A111="","",IF(ABS($O111)&lt;1,"✓ 已开齐",IF($O111&gt;0,"还差成本票","多开了")))</f>
        <v/>
      </c>
    </row>
    <row r="112" customFormat="false" ht="15.75" hidden="false" customHeight="true" outlineLevel="0" collapsed="false">
      <c r="A112" s="32" t="str">
        <f aca="false">IF(项目档案!$A112="","",项目档案!$A112)</f>
        <v/>
      </c>
      <c r="B112" s="40" t="str">
        <f aca="false">IF($A112="","",项目档案!$B112)</f>
        <v/>
      </c>
      <c r="C112" s="32" t="str">
        <f aca="false">IF($A112="","",项目档案!$C112)</f>
        <v/>
      </c>
      <c r="D112" s="32" t="str">
        <f aca="false">IF($A112="","",项目档案!$D112)</f>
        <v/>
      </c>
      <c r="E112" s="41" t="str">
        <f aca="false">IF($A112="","",SUMIFS(业务流水!$H$5:$H$1504,业务流水!$E$5:$E$1504,$D112,业务流水!$D$5:$D$1504,"销项开票",业务流水!$C$5:$C$1504,$A112,业务流水!$Z$5:$Z$1504,"是"))</f>
        <v/>
      </c>
      <c r="F112" s="49" t="str">
        <f aca="false">IF(OR($A112="",$E112=0),"",SUMIFS(业务流水!$O$5:$O$1504,业务流水!$E$5:$E$1504,$D112,业务流水!$D$5:$D$1504,"销项开票",业务流水!$C$5:$C$1504,$A112,业务流水!$Z$5:$Z$1504,"是")/$E112)</f>
        <v/>
      </c>
      <c r="G112" s="41" t="str">
        <f aca="false">IF($A112="","",SUMIFS(业务流水!$O$5:$O$1504,业务流水!$E$5:$E$1504,$D112,业务流水!$D$5:$D$1504,"销项开票",业务流水!$C$5:$C$1504,$A112,业务流水!$Z$5:$Z$1504,"是"))</f>
        <v/>
      </c>
      <c r="H112" s="42" t="str">
        <f aca="false">IF($A112="","",$E112-$G112)</f>
        <v/>
      </c>
      <c r="I112" s="32" t="str">
        <f aca="false">IF($A112="","",项目档案!$F112)</f>
        <v/>
      </c>
      <c r="J112" s="41" t="n">
        <f aca="false">IF(OR($A112="",$I112=""),0,SUMIFS(业务流水!$H$5:$H$1504,业务流水!$E$5:$E$1504,$I112,业务流水!$D$5:$D$1504,"销项开票",业务流水!$C$5:$C$1504,$A112,业务流水!$Z$5:$Z$1504,"是"))</f>
        <v>0</v>
      </c>
      <c r="K112" s="49" t="str">
        <f aca="false">IF(OR($A112="",$J112=0),"",SUMIFS(业务流水!$O$5:$O$1504,业务流水!$E$5:$E$1504,$I112,业务流水!$D$5:$D$1504,"销项开票",业务流水!$C$5:$C$1504,$A112,业务流水!$Z$5:$Z$1504,"是")/$J112)</f>
        <v/>
      </c>
      <c r="L112" s="41" t="n">
        <f aca="false">IF(OR($A112="",$I112=""),0,SUMIFS(业务流水!$O$5:$O$1504,业务流水!$E$5:$E$1504,$I112,业务流水!$D$5:$D$1504,"销项开票",业务流水!$C$5:$C$1504,$A112,业务流水!$Z$5:$Z$1504,"是"))</f>
        <v>0</v>
      </c>
      <c r="M112" s="43" t="str">
        <f aca="false">IF($A112="","",IF(AND($I112&lt;&gt;"",$J112&gt;0),$J112-$L112,$H112))</f>
        <v/>
      </c>
      <c r="N112" s="41" t="str">
        <f aca="false">IF($A112="","",SUMIFS(业务流水!$H$5:$H$1504,业务流水!$F$5:$F$1504,"*",业务流水!$D$5:$D$1504,"成本票",业务流水!$C$5:$C$1504,$A112,业务流水!$Z$5:$Z$1504,"是"))</f>
        <v/>
      </c>
      <c r="O112" s="43" t="str">
        <f aca="false">IF($A112="","",ROUND($M112-$N112,2))</f>
        <v/>
      </c>
      <c r="P112" s="33" t="str">
        <f aca="false">IF($A112="","",IF(ABS($O112)&lt;1,"✓ 已开齐",IF($O112&gt;0,"还差成本票","多开了")))</f>
        <v/>
      </c>
    </row>
    <row r="113" customFormat="false" ht="15.75" hidden="false" customHeight="true" outlineLevel="0" collapsed="false">
      <c r="A113" s="32" t="str">
        <f aca="false">IF(项目档案!$A113="","",项目档案!$A113)</f>
        <v/>
      </c>
      <c r="B113" s="40" t="str">
        <f aca="false">IF($A113="","",项目档案!$B113)</f>
        <v/>
      </c>
      <c r="C113" s="32" t="str">
        <f aca="false">IF($A113="","",项目档案!$C113)</f>
        <v/>
      </c>
      <c r="D113" s="32" t="str">
        <f aca="false">IF($A113="","",项目档案!$D113)</f>
        <v/>
      </c>
      <c r="E113" s="41" t="str">
        <f aca="false">IF($A113="","",SUMIFS(业务流水!$H$5:$H$1504,业务流水!$E$5:$E$1504,$D113,业务流水!$D$5:$D$1504,"销项开票",业务流水!$C$5:$C$1504,$A113,业务流水!$Z$5:$Z$1504,"是"))</f>
        <v/>
      </c>
      <c r="F113" s="49" t="str">
        <f aca="false">IF(OR($A113="",$E113=0),"",SUMIFS(业务流水!$O$5:$O$1504,业务流水!$E$5:$E$1504,$D113,业务流水!$D$5:$D$1504,"销项开票",业务流水!$C$5:$C$1504,$A113,业务流水!$Z$5:$Z$1504,"是")/$E113)</f>
        <v/>
      </c>
      <c r="G113" s="41" t="str">
        <f aca="false">IF($A113="","",SUMIFS(业务流水!$O$5:$O$1504,业务流水!$E$5:$E$1504,$D113,业务流水!$D$5:$D$1504,"销项开票",业务流水!$C$5:$C$1504,$A113,业务流水!$Z$5:$Z$1504,"是"))</f>
        <v/>
      </c>
      <c r="H113" s="42" t="str">
        <f aca="false">IF($A113="","",$E113-$G113)</f>
        <v/>
      </c>
      <c r="I113" s="32" t="str">
        <f aca="false">IF($A113="","",项目档案!$F113)</f>
        <v/>
      </c>
      <c r="J113" s="41" t="n">
        <f aca="false">IF(OR($A113="",$I113=""),0,SUMIFS(业务流水!$H$5:$H$1504,业务流水!$E$5:$E$1504,$I113,业务流水!$D$5:$D$1504,"销项开票",业务流水!$C$5:$C$1504,$A113,业务流水!$Z$5:$Z$1504,"是"))</f>
        <v>0</v>
      </c>
      <c r="K113" s="49" t="str">
        <f aca="false">IF(OR($A113="",$J113=0),"",SUMIFS(业务流水!$O$5:$O$1504,业务流水!$E$5:$E$1504,$I113,业务流水!$D$5:$D$1504,"销项开票",业务流水!$C$5:$C$1504,$A113,业务流水!$Z$5:$Z$1504,"是")/$J113)</f>
        <v/>
      </c>
      <c r="L113" s="41" t="n">
        <f aca="false">IF(OR($A113="",$I113=""),0,SUMIFS(业务流水!$O$5:$O$1504,业务流水!$E$5:$E$1504,$I113,业务流水!$D$5:$D$1504,"销项开票",业务流水!$C$5:$C$1504,$A113,业务流水!$Z$5:$Z$1504,"是"))</f>
        <v>0</v>
      </c>
      <c r="M113" s="43" t="str">
        <f aca="false">IF($A113="","",IF(AND($I113&lt;&gt;"",$J113&gt;0),$J113-$L113,$H113))</f>
        <v/>
      </c>
      <c r="N113" s="41" t="str">
        <f aca="false">IF($A113="","",SUMIFS(业务流水!$H$5:$H$1504,业务流水!$F$5:$F$1504,"*",业务流水!$D$5:$D$1504,"成本票",业务流水!$C$5:$C$1504,$A113,业务流水!$Z$5:$Z$1504,"是"))</f>
        <v/>
      </c>
      <c r="O113" s="43" t="str">
        <f aca="false">IF($A113="","",ROUND($M113-$N113,2))</f>
        <v/>
      </c>
      <c r="P113" s="33" t="str">
        <f aca="false">IF($A113="","",IF(ABS($O113)&lt;1,"✓ 已开齐",IF($O113&gt;0,"还差成本票","多开了")))</f>
        <v/>
      </c>
    </row>
    <row r="114" customFormat="false" ht="15.75" hidden="false" customHeight="true" outlineLevel="0" collapsed="false">
      <c r="A114" s="32" t="str">
        <f aca="false">IF(项目档案!$A114="","",项目档案!$A114)</f>
        <v/>
      </c>
      <c r="B114" s="40" t="str">
        <f aca="false">IF($A114="","",项目档案!$B114)</f>
        <v/>
      </c>
      <c r="C114" s="32" t="str">
        <f aca="false">IF($A114="","",项目档案!$C114)</f>
        <v/>
      </c>
      <c r="D114" s="32" t="str">
        <f aca="false">IF($A114="","",项目档案!$D114)</f>
        <v/>
      </c>
      <c r="E114" s="41" t="str">
        <f aca="false">IF($A114="","",SUMIFS(业务流水!$H$5:$H$1504,业务流水!$E$5:$E$1504,$D114,业务流水!$D$5:$D$1504,"销项开票",业务流水!$C$5:$C$1504,$A114,业务流水!$Z$5:$Z$1504,"是"))</f>
        <v/>
      </c>
      <c r="F114" s="49" t="str">
        <f aca="false">IF(OR($A114="",$E114=0),"",SUMIFS(业务流水!$O$5:$O$1504,业务流水!$E$5:$E$1504,$D114,业务流水!$D$5:$D$1504,"销项开票",业务流水!$C$5:$C$1504,$A114,业务流水!$Z$5:$Z$1504,"是")/$E114)</f>
        <v/>
      </c>
      <c r="G114" s="41" t="str">
        <f aca="false">IF($A114="","",SUMIFS(业务流水!$O$5:$O$1504,业务流水!$E$5:$E$1504,$D114,业务流水!$D$5:$D$1504,"销项开票",业务流水!$C$5:$C$1504,$A114,业务流水!$Z$5:$Z$1504,"是"))</f>
        <v/>
      </c>
      <c r="H114" s="42" t="str">
        <f aca="false">IF($A114="","",$E114-$G114)</f>
        <v/>
      </c>
      <c r="I114" s="32" t="str">
        <f aca="false">IF($A114="","",项目档案!$F114)</f>
        <v/>
      </c>
      <c r="J114" s="41" t="n">
        <f aca="false">IF(OR($A114="",$I114=""),0,SUMIFS(业务流水!$H$5:$H$1504,业务流水!$E$5:$E$1504,$I114,业务流水!$D$5:$D$1504,"销项开票",业务流水!$C$5:$C$1504,$A114,业务流水!$Z$5:$Z$1504,"是"))</f>
        <v>0</v>
      </c>
      <c r="K114" s="49" t="str">
        <f aca="false">IF(OR($A114="",$J114=0),"",SUMIFS(业务流水!$O$5:$O$1504,业务流水!$E$5:$E$1504,$I114,业务流水!$D$5:$D$1504,"销项开票",业务流水!$C$5:$C$1504,$A114,业务流水!$Z$5:$Z$1504,"是")/$J114)</f>
        <v/>
      </c>
      <c r="L114" s="41" t="n">
        <f aca="false">IF(OR($A114="",$I114=""),0,SUMIFS(业务流水!$O$5:$O$1504,业务流水!$E$5:$E$1504,$I114,业务流水!$D$5:$D$1504,"销项开票",业务流水!$C$5:$C$1504,$A114,业务流水!$Z$5:$Z$1504,"是"))</f>
        <v>0</v>
      </c>
      <c r="M114" s="43" t="str">
        <f aca="false">IF($A114="","",IF(AND($I114&lt;&gt;"",$J114&gt;0),$J114-$L114,$H114))</f>
        <v/>
      </c>
      <c r="N114" s="41" t="str">
        <f aca="false">IF($A114="","",SUMIFS(业务流水!$H$5:$H$1504,业务流水!$F$5:$F$1504,"*",业务流水!$D$5:$D$1504,"成本票",业务流水!$C$5:$C$1504,$A114,业务流水!$Z$5:$Z$1504,"是"))</f>
        <v/>
      </c>
      <c r="O114" s="43" t="str">
        <f aca="false">IF($A114="","",ROUND($M114-$N114,2))</f>
        <v/>
      </c>
      <c r="P114" s="33" t="str">
        <f aca="false">IF($A114="","",IF(ABS($O114)&lt;1,"✓ 已开齐",IF($O114&gt;0,"还差成本票","多开了")))</f>
        <v/>
      </c>
    </row>
    <row r="115" customFormat="false" ht="15.75" hidden="false" customHeight="true" outlineLevel="0" collapsed="false">
      <c r="A115" s="32" t="str">
        <f aca="false">IF(项目档案!$A115="","",项目档案!$A115)</f>
        <v/>
      </c>
      <c r="B115" s="40" t="str">
        <f aca="false">IF($A115="","",项目档案!$B115)</f>
        <v/>
      </c>
      <c r="C115" s="32" t="str">
        <f aca="false">IF($A115="","",项目档案!$C115)</f>
        <v/>
      </c>
      <c r="D115" s="32" t="str">
        <f aca="false">IF($A115="","",项目档案!$D115)</f>
        <v/>
      </c>
      <c r="E115" s="41" t="str">
        <f aca="false">IF($A115="","",SUMIFS(业务流水!$H$5:$H$1504,业务流水!$E$5:$E$1504,$D115,业务流水!$D$5:$D$1504,"销项开票",业务流水!$C$5:$C$1504,$A115,业务流水!$Z$5:$Z$1504,"是"))</f>
        <v/>
      </c>
      <c r="F115" s="49" t="str">
        <f aca="false">IF(OR($A115="",$E115=0),"",SUMIFS(业务流水!$O$5:$O$1504,业务流水!$E$5:$E$1504,$D115,业务流水!$D$5:$D$1504,"销项开票",业务流水!$C$5:$C$1504,$A115,业务流水!$Z$5:$Z$1504,"是")/$E115)</f>
        <v/>
      </c>
      <c r="G115" s="41" t="str">
        <f aca="false">IF($A115="","",SUMIFS(业务流水!$O$5:$O$1504,业务流水!$E$5:$E$1504,$D115,业务流水!$D$5:$D$1504,"销项开票",业务流水!$C$5:$C$1504,$A115,业务流水!$Z$5:$Z$1504,"是"))</f>
        <v/>
      </c>
      <c r="H115" s="42" t="str">
        <f aca="false">IF($A115="","",$E115-$G115)</f>
        <v/>
      </c>
      <c r="I115" s="32" t="str">
        <f aca="false">IF($A115="","",项目档案!$F115)</f>
        <v/>
      </c>
      <c r="J115" s="41" t="n">
        <f aca="false">IF(OR($A115="",$I115=""),0,SUMIFS(业务流水!$H$5:$H$1504,业务流水!$E$5:$E$1504,$I115,业务流水!$D$5:$D$1504,"销项开票",业务流水!$C$5:$C$1504,$A115,业务流水!$Z$5:$Z$1504,"是"))</f>
        <v>0</v>
      </c>
      <c r="K115" s="49" t="str">
        <f aca="false">IF(OR($A115="",$J115=0),"",SUMIFS(业务流水!$O$5:$O$1504,业务流水!$E$5:$E$1504,$I115,业务流水!$D$5:$D$1504,"销项开票",业务流水!$C$5:$C$1504,$A115,业务流水!$Z$5:$Z$1504,"是")/$J115)</f>
        <v/>
      </c>
      <c r="L115" s="41" t="n">
        <f aca="false">IF(OR($A115="",$I115=""),0,SUMIFS(业务流水!$O$5:$O$1504,业务流水!$E$5:$E$1504,$I115,业务流水!$D$5:$D$1504,"销项开票",业务流水!$C$5:$C$1504,$A115,业务流水!$Z$5:$Z$1504,"是"))</f>
        <v>0</v>
      </c>
      <c r="M115" s="43" t="str">
        <f aca="false">IF($A115="","",IF(AND($I115&lt;&gt;"",$J115&gt;0),$J115-$L115,$H115))</f>
        <v/>
      </c>
      <c r="N115" s="41" t="str">
        <f aca="false">IF($A115="","",SUMIFS(业务流水!$H$5:$H$1504,业务流水!$F$5:$F$1504,"*",业务流水!$D$5:$D$1504,"成本票",业务流水!$C$5:$C$1504,$A115,业务流水!$Z$5:$Z$1504,"是"))</f>
        <v/>
      </c>
      <c r="O115" s="43" t="str">
        <f aca="false">IF($A115="","",ROUND($M115-$N115,2))</f>
        <v/>
      </c>
      <c r="P115" s="33" t="str">
        <f aca="false">IF($A115="","",IF(ABS($O115)&lt;1,"✓ 已开齐",IF($O115&gt;0,"还差成本票","多开了")))</f>
        <v/>
      </c>
    </row>
    <row r="116" customFormat="false" ht="15.75" hidden="false" customHeight="true" outlineLevel="0" collapsed="false">
      <c r="A116" s="32" t="str">
        <f aca="false">IF(项目档案!$A116="","",项目档案!$A116)</f>
        <v/>
      </c>
      <c r="B116" s="40" t="str">
        <f aca="false">IF($A116="","",项目档案!$B116)</f>
        <v/>
      </c>
      <c r="C116" s="32" t="str">
        <f aca="false">IF($A116="","",项目档案!$C116)</f>
        <v/>
      </c>
      <c r="D116" s="32" t="str">
        <f aca="false">IF($A116="","",项目档案!$D116)</f>
        <v/>
      </c>
      <c r="E116" s="41" t="str">
        <f aca="false">IF($A116="","",SUMIFS(业务流水!$H$5:$H$1504,业务流水!$E$5:$E$1504,$D116,业务流水!$D$5:$D$1504,"销项开票",业务流水!$C$5:$C$1504,$A116,业务流水!$Z$5:$Z$1504,"是"))</f>
        <v/>
      </c>
      <c r="F116" s="49" t="str">
        <f aca="false">IF(OR($A116="",$E116=0),"",SUMIFS(业务流水!$O$5:$O$1504,业务流水!$E$5:$E$1504,$D116,业务流水!$D$5:$D$1504,"销项开票",业务流水!$C$5:$C$1504,$A116,业务流水!$Z$5:$Z$1504,"是")/$E116)</f>
        <v/>
      </c>
      <c r="G116" s="41" t="str">
        <f aca="false">IF($A116="","",SUMIFS(业务流水!$O$5:$O$1504,业务流水!$E$5:$E$1504,$D116,业务流水!$D$5:$D$1504,"销项开票",业务流水!$C$5:$C$1504,$A116,业务流水!$Z$5:$Z$1504,"是"))</f>
        <v/>
      </c>
      <c r="H116" s="42" t="str">
        <f aca="false">IF($A116="","",$E116-$G116)</f>
        <v/>
      </c>
      <c r="I116" s="32" t="str">
        <f aca="false">IF($A116="","",项目档案!$F116)</f>
        <v/>
      </c>
      <c r="J116" s="41" t="n">
        <f aca="false">IF(OR($A116="",$I116=""),0,SUMIFS(业务流水!$H$5:$H$1504,业务流水!$E$5:$E$1504,$I116,业务流水!$D$5:$D$1504,"销项开票",业务流水!$C$5:$C$1504,$A116,业务流水!$Z$5:$Z$1504,"是"))</f>
        <v>0</v>
      </c>
      <c r="K116" s="49" t="str">
        <f aca="false">IF(OR($A116="",$J116=0),"",SUMIFS(业务流水!$O$5:$O$1504,业务流水!$E$5:$E$1504,$I116,业务流水!$D$5:$D$1504,"销项开票",业务流水!$C$5:$C$1504,$A116,业务流水!$Z$5:$Z$1504,"是")/$J116)</f>
        <v/>
      </c>
      <c r="L116" s="41" t="n">
        <f aca="false">IF(OR($A116="",$I116=""),0,SUMIFS(业务流水!$O$5:$O$1504,业务流水!$E$5:$E$1504,$I116,业务流水!$D$5:$D$1504,"销项开票",业务流水!$C$5:$C$1504,$A116,业务流水!$Z$5:$Z$1504,"是"))</f>
        <v>0</v>
      </c>
      <c r="M116" s="43" t="str">
        <f aca="false">IF($A116="","",IF(AND($I116&lt;&gt;"",$J116&gt;0),$J116-$L116,$H116))</f>
        <v/>
      </c>
      <c r="N116" s="41" t="str">
        <f aca="false">IF($A116="","",SUMIFS(业务流水!$H$5:$H$1504,业务流水!$F$5:$F$1504,"*",业务流水!$D$5:$D$1504,"成本票",业务流水!$C$5:$C$1504,$A116,业务流水!$Z$5:$Z$1504,"是"))</f>
        <v/>
      </c>
      <c r="O116" s="43" t="str">
        <f aca="false">IF($A116="","",ROUND($M116-$N116,2))</f>
        <v/>
      </c>
      <c r="P116" s="33" t="str">
        <f aca="false">IF($A116="","",IF(ABS($O116)&lt;1,"✓ 已开齐",IF($O116&gt;0,"还差成本票","多开了")))</f>
        <v/>
      </c>
    </row>
    <row r="117" customFormat="false" ht="15.75" hidden="false" customHeight="true" outlineLevel="0" collapsed="false">
      <c r="A117" s="32" t="str">
        <f aca="false">IF(项目档案!$A117="","",项目档案!$A117)</f>
        <v/>
      </c>
      <c r="B117" s="40" t="str">
        <f aca="false">IF($A117="","",项目档案!$B117)</f>
        <v/>
      </c>
      <c r="C117" s="32" t="str">
        <f aca="false">IF($A117="","",项目档案!$C117)</f>
        <v/>
      </c>
      <c r="D117" s="32" t="str">
        <f aca="false">IF($A117="","",项目档案!$D117)</f>
        <v/>
      </c>
      <c r="E117" s="41" t="str">
        <f aca="false">IF($A117="","",SUMIFS(业务流水!$H$5:$H$1504,业务流水!$E$5:$E$1504,$D117,业务流水!$D$5:$D$1504,"销项开票",业务流水!$C$5:$C$1504,$A117,业务流水!$Z$5:$Z$1504,"是"))</f>
        <v/>
      </c>
      <c r="F117" s="49" t="str">
        <f aca="false">IF(OR($A117="",$E117=0),"",SUMIFS(业务流水!$O$5:$O$1504,业务流水!$E$5:$E$1504,$D117,业务流水!$D$5:$D$1504,"销项开票",业务流水!$C$5:$C$1504,$A117,业务流水!$Z$5:$Z$1504,"是")/$E117)</f>
        <v/>
      </c>
      <c r="G117" s="41" t="str">
        <f aca="false">IF($A117="","",SUMIFS(业务流水!$O$5:$O$1504,业务流水!$E$5:$E$1504,$D117,业务流水!$D$5:$D$1504,"销项开票",业务流水!$C$5:$C$1504,$A117,业务流水!$Z$5:$Z$1504,"是"))</f>
        <v/>
      </c>
      <c r="H117" s="42" t="str">
        <f aca="false">IF($A117="","",$E117-$G117)</f>
        <v/>
      </c>
      <c r="I117" s="32" t="str">
        <f aca="false">IF($A117="","",项目档案!$F117)</f>
        <v/>
      </c>
      <c r="J117" s="41" t="n">
        <f aca="false">IF(OR($A117="",$I117=""),0,SUMIFS(业务流水!$H$5:$H$1504,业务流水!$E$5:$E$1504,$I117,业务流水!$D$5:$D$1504,"销项开票",业务流水!$C$5:$C$1504,$A117,业务流水!$Z$5:$Z$1504,"是"))</f>
        <v>0</v>
      </c>
      <c r="K117" s="49" t="str">
        <f aca="false">IF(OR($A117="",$J117=0),"",SUMIFS(业务流水!$O$5:$O$1504,业务流水!$E$5:$E$1504,$I117,业务流水!$D$5:$D$1504,"销项开票",业务流水!$C$5:$C$1504,$A117,业务流水!$Z$5:$Z$1504,"是")/$J117)</f>
        <v/>
      </c>
      <c r="L117" s="41" t="n">
        <f aca="false">IF(OR($A117="",$I117=""),0,SUMIFS(业务流水!$O$5:$O$1504,业务流水!$E$5:$E$1504,$I117,业务流水!$D$5:$D$1504,"销项开票",业务流水!$C$5:$C$1504,$A117,业务流水!$Z$5:$Z$1504,"是"))</f>
        <v>0</v>
      </c>
      <c r="M117" s="43" t="str">
        <f aca="false">IF($A117="","",IF(AND($I117&lt;&gt;"",$J117&gt;0),$J117-$L117,$H117))</f>
        <v/>
      </c>
      <c r="N117" s="41" t="str">
        <f aca="false">IF($A117="","",SUMIFS(业务流水!$H$5:$H$1504,业务流水!$F$5:$F$1504,"*",业务流水!$D$5:$D$1504,"成本票",业务流水!$C$5:$C$1504,$A117,业务流水!$Z$5:$Z$1504,"是"))</f>
        <v/>
      </c>
      <c r="O117" s="43" t="str">
        <f aca="false">IF($A117="","",ROUND($M117-$N117,2))</f>
        <v/>
      </c>
      <c r="P117" s="33" t="str">
        <f aca="false">IF($A117="","",IF(ABS($O117)&lt;1,"✓ 已开齐",IF($O117&gt;0,"还差成本票","多开了")))</f>
        <v/>
      </c>
    </row>
    <row r="118" customFormat="false" ht="15.75" hidden="false" customHeight="true" outlineLevel="0" collapsed="false">
      <c r="A118" s="32" t="str">
        <f aca="false">IF(项目档案!$A118="","",项目档案!$A118)</f>
        <v/>
      </c>
      <c r="B118" s="40" t="str">
        <f aca="false">IF($A118="","",项目档案!$B118)</f>
        <v/>
      </c>
      <c r="C118" s="32" t="str">
        <f aca="false">IF($A118="","",项目档案!$C118)</f>
        <v/>
      </c>
      <c r="D118" s="32" t="str">
        <f aca="false">IF($A118="","",项目档案!$D118)</f>
        <v/>
      </c>
      <c r="E118" s="41" t="str">
        <f aca="false">IF($A118="","",SUMIFS(业务流水!$H$5:$H$1504,业务流水!$E$5:$E$1504,$D118,业务流水!$D$5:$D$1504,"销项开票",业务流水!$C$5:$C$1504,$A118,业务流水!$Z$5:$Z$1504,"是"))</f>
        <v/>
      </c>
      <c r="F118" s="49" t="str">
        <f aca="false">IF(OR($A118="",$E118=0),"",SUMIFS(业务流水!$O$5:$O$1504,业务流水!$E$5:$E$1504,$D118,业务流水!$D$5:$D$1504,"销项开票",业务流水!$C$5:$C$1504,$A118,业务流水!$Z$5:$Z$1504,"是")/$E118)</f>
        <v/>
      </c>
      <c r="G118" s="41" t="str">
        <f aca="false">IF($A118="","",SUMIFS(业务流水!$O$5:$O$1504,业务流水!$E$5:$E$1504,$D118,业务流水!$D$5:$D$1504,"销项开票",业务流水!$C$5:$C$1504,$A118,业务流水!$Z$5:$Z$1504,"是"))</f>
        <v/>
      </c>
      <c r="H118" s="42" t="str">
        <f aca="false">IF($A118="","",$E118-$G118)</f>
        <v/>
      </c>
      <c r="I118" s="32" t="str">
        <f aca="false">IF($A118="","",项目档案!$F118)</f>
        <v/>
      </c>
      <c r="J118" s="41" t="n">
        <f aca="false">IF(OR($A118="",$I118=""),0,SUMIFS(业务流水!$H$5:$H$1504,业务流水!$E$5:$E$1504,$I118,业务流水!$D$5:$D$1504,"销项开票",业务流水!$C$5:$C$1504,$A118,业务流水!$Z$5:$Z$1504,"是"))</f>
        <v>0</v>
      </c>
      <c r="K118" s="49" t="str">
        <f aca="false">IF(OR($A118="",$J118=0),"",SUMIFS(业务流水!$O$5:$O$1504,业务流水!$E$5:$E$1504,$I118,业务流水!$D$5:$D$1504,"销项开票",业务流水!$C$5:$C$1504,$A118,业务流水!$Z$5:$Z$1504,"是")/$J118)</f>
        <v/>
      </c>
      <c r="L118" s="41" t="n">
        <f aca="false">IF(OR($A118="",$I118=""),0,SUMIFS(业务流水!$O$5:$O$1504,业务流水!$E$5:$E$1504,$I118,业务流水!$D$5:$D$1504,"销项开票",业务流水!$C$5:$C$1504,$A118,业务流水!$Z$5:$Z$1504,"是"))</f>
        <v>0</v>
      </c>
      <c r="M118" s="43" t="str">
        <f aca="false">IF($A118="","",IF(AND($I118&lt;&gt;"",$J118&gt;0),$J118-$L118,$H118))</f>
        <v/>
      </c>
      <c r="N118" s="41" t="str">
        <f aca="false">IF($A118="","",SUMIFS(业务流水!$H$5:$H$1504,业务流水!$F$5:$F$1504,"*",业务流水!$D$5:$D$1504,"成本票",业务流水!$C$5:$C$1504,$A118,业务流水!$Z$5:$Z$1504,"是"))</f>
        <v/>
      </c>
      <c r="O118" s="43" t="str">
        <f aca="false">IF($A118="","",ROUND($M118-$N118,2))</f>
        <v/>
      </c>
      <c r="P118" s="33" t="str">
        <f aca="false">IF($A118="","",IF(ABS($O118)&lt;1,"✓ 已开齐",IF($O118&gt;0,"还差成本票","多开了")))</f>
        <v/>
      </c>
    </row>
    <row r="119" customFormat="false" ht="15.75" hidden="false" customHeight="true" outlineLevel="0" collapsed="false">
      <c r="A119" s="32" t="str">
        <f aca="false">IF(项目档案!$A119="","",项目档案!$A119)</f>
        <v/>
      </c>
      <c r="B119" s="40" t="str">
        <f aca="false">IF($A119="","",项目档案!$B119)</f>
        <v/>
      </c>
      <c r="C119" s="32" t="str">
        <f aca="false">IF($A119="","",项目档案!$C119)</f>
        <v/>
      </c>
      <c r="D119" s="32" t="str">
        <f aca="false">IF($A119="","",项目档案!$D119)</f>
        <v/>
      </c>
      <c r="E119" s="41" t="str">
        <f aca="false">IF($A119="","",SUMIFS(业务流水!$H$5:$H$1504,业务流水!$E$5:$E$1504,$D119,业务流水!$D$5:$D$1504,"销项开票",业务流水!$C$5:$C$1504,$A119,业务流水!$Z$5:$Z$1504,"是"))</f>
        <v/>
      </c>
      <c r="F119" s="49" t="str">
        <f aca="false">IF(OR($A119="",$E119=0),"",SUMIFS(业务流水!$O$5:$O$1504,业务流水!$E$5:$E$1504,$D119,业务流水!$D$5:$D$1504,"销项开票",业务流水!$C$5:$C$1504,$A119,业务流水!$Z$5:$Z$1504,"是")/$E119)</f>
        <v/>
      </c>
      <c r="G119" s="41" t="str">
        <f aca="false">IF($A119="","",SUMIFS(业务流水!$O$5:$O$1504,业务流水!$E$5:$E$1504,$D119,业务流水!$D$5:$D$1504,"销项开票",业务流水!$C$5:$C$1504,$A119,业务流水!$Z$5:$Z$1504,"是"))</f>
        <v/>
      </c>
      <c r="H119" s="42" t="str">
        <f aca="false">IF($A119="","",$E119-$G119)</f>
        <v/>
      </c>
      <c r="I119" s="32" t="str">
        <f aca="false">IF($A119="","",项目档案!$F119)</f>
        <v/>
      </c>
      <c r="J119" s="41" t="n">
        <f aca="false">IF(OR($A119="",$I119=""),0,SUMIFS(业务流水!$H$5:$H$1504,业务流水!$E$5:$E$1504,$I119,业务流水!$D$5:$D$1504,"销项开票",业务流水!$C$5:$C$1504,$A119,业务流水!$Z$5:$Z$1504,"是"))</f>
        <v>0</v>
      </c>
      <c r="K119" s="49" t="str">
        <f aca="false">IF(OR($A119="",$J119=0),"",SUMIFS(业务流水!$O$5:$O$1504,业务流水!$E$5:$E$1504,$I119,业务流水!$D$5:$D$1504,"销项开票",业务流水!$C$5:$C$1504,$A119,业务流水!$Z$5:$Z$1504,"是")/$J119)</f>
        <v/>
      </c>
      <c r="L119" s="41" t="n">
        <f aca="false">IF(OR($A119="",$I119=""),0,SUMIFS(业务流水!$O$5:$O$1504,业务流水!$E$5:$E$1504,$I119,业务流水!$D$5:$D$1504,"销项开票",业务流水!$C$5:$C$1504,$A119,业务流水!$Z$5:$Z$1504,"是"))</f>
        <v>0</v>
      </c>
      <c r="M119" s="43" t="str">
        <f aca="false">IF($A119="","",IF(AND($I119&lt;&gt;"",$J119&gt;0),$J119-$L119,$H119))</f>
        <v/>
      </c>
      <c r="N119" s="41" t="str">
        <f aca="false">IF($A119="","",SUMIFS(业务流水!$H$5:$H$1504,业务流水!$F$5:$F$1504,"*",业务流水!$D$5:$D$1504,"成本票",业务流水!$C$5:$C$1504,$A119,业务流水!$Z$5:$Z$1504,"是"))</f>
        <v/>
      </c>
      <c r="O119" s="43" t="str">
        <f aca="false">IF($A119="","",ROUND($M119-$N119,2))</f>
        <v/>
      </c>
      <c r="P119" s="33" t="str">
        <f aca="false">IF($A119="","",IF(ABS($O119)&lt;1,"✓ 已开齐",IF($O119&gt;0,"还差成本票","多开了")))</f>
        <v/>
      </c>
    </row>
    <row r="120" customFormat="false" ht="15.75" hidden="false" customHeight="true" outlineLevel="0" collapsed="false">
      <c r="A120" s="32" t="str">
        <f aca="false">IF(项目档案!$A120="","",项目档案!$A120)</f>
        <v/>
      </c>
      <c r="B120" s="40" t="str">
        <f aca="false">IF($A120="","",项目档案!$B120)</f>
        <v/>
      </c>
      <c r="C120" s="32" t="str">
        <f aca="false">IF($A120="","",项目档案!$C120)</f>
        <v/>
      </c>
      <c r="D120" s="32" t="str">
        <f aca="false">IF($A120="","",项目档案!$D120)</f>
        <v/>
      </c>
      <c r="E120" s="41" t="str">
        <f aca="false">IF($A120="","",SUMIFS(业务流水!$H$5:$H$1504,业务流水!$E$5:$E$1504,$D120,业务流水!$D$5:$D$1504,"销项开票",业务流水!$C$5:$C$1504,$A120,业务流水!$Z$5:$Z$1504,"是"))</f>
        <v/>
      </c>
      <c r="F120" s="49" t="str">
        <f aca="false">IF(OR($A120="",$E120=0),"",SUMIFS(业务流水!$O$5:$O$1504,业务流水!$E$5:$E$1504,$D120,业务流水!$D$5:$D$1504,"销项开票",业务流水!$C$5:$C$1504,$A120,业务流水!$Z$5:$Z$1504,"是")/$E120)</f>
        <v/>
      </c>
      <c r="G120" s="41" t="str">
        <f aca="false">IF($A120="","",SUMIFS(业务流水!$O$5:$O$1504,业务流水!$E$5:$E$1504,$D120,业务流水!$D$5:$D$1504,"销项开票",业务流水!$C$5:$C$1504,$A120,业务流水!$Z$5:$Z$1504,"是"))</f>
        <v/>
      </c>
      <c r="H120" s="42" t="str">
        <f aca="false">IF($A120="","",$E120-$G120)</f>
        <v/>
      </c>
      <c r="I120" s="32" t="str">
        <f aca="false">IF($A120="","",项目档案!$F120)</f>
        <v/>
      </c>
      <c r="J120" s="41" t="n">
        <f aca="false">IF(OR($A120="",$I120=""),0,SUMIFS(业务流水!$H$5:$H$1504,业务流水!$E$5:$E$1504,$I120,业务流水!$D$5:$D$1504,"销项开票",业务流水!$C$5:$C$1504,$A120,业务流水!$Z$5:$Z$1504,"是"))</f>
        <v>0</v>
      </c>
      <c r="K120" s="49" t="str">
        <f aca="false">IF(OR($A120="",$J120=0),"",SUMIFS(业务流水!$O$5:$O$1504,业务流水!$E$5:$E$1504,$I120,业务流水!$D$5:$D$1504,"销项开票",业务流水!$C$5:$C$1504,$A120,业务流水!$Z$5:$Z$1504,"是")/$J120)</f>
        <v/>
      </c>
      <c r="L120" s="41" t="n">
        <f aca="false">IF(OR($A120="",$I120=""),0,SUMIFS(业务流水!$O$5:$O$1504,业务流水!$E$5:$E$1504,$I120,业务流水!$D$5:$D$1504,"销项开票",业务流水!$C$5:$C$1504,$A120,业务流水!$Z$5:$Z$1504,"是"))</f>
        <v>0</v>
      </c>
      <c r="M120" s="43" t="str">
        <f aca="false">IF($A120="","",IF(AND($I120&lt;&gt;"",$J120&gt;0),$J120-$L120,$H120))</f>
        <v/>
      </c>
      <c r="N120" s="41" t="str">
        <f aca="false">IF($A120="","",SUMIFS(业务流水!$H$5:$H$1504,业务流水!$F$5:$F$1504,"*",业务流水!$D$5:$D$1504,"成本票",业务流水!$C$5:$C$1504,$A120,业务流水!$Z$5:$Z$1504,"是"))</f>
        <v/>
      </c>
      <c r="O120" s="43" t="str">
        <f aca="false">IF($A120="","",ROUND($M120-$N120,2))</f>
        <v/>
      </c>
      <c r="P120" s="33" t="str">
        <f aca="false">IF($A120="","",IF(ABS($O120)&lt;1,"✓ 已开齐",IF($O120&gt;0,"还差成本票","多开了")))</f>
        <v/>
      </c>
    </row>
    <row r="121" customFormat="false" ht="15.75" hidden="false" customHeight="true" outlineLevel="0" collapsed="false">
      <c r="A121" s="32" t="str">
        <f aca="false">IF(项目档案!$A121="","",项目档案!$A121)</f>
        <v/>
      </c>
      <c r="B121" s="40" t="str">
        <f aca="false">IF($A121="","",项目档案!$B121)</f>
        <v/>
      </c>
      <c r="C121" s="32" t="str">
        <f aca="false">IF($A121="","",项目档案!$C121)</f>
        <v/>
      </c>
      <c r="D121" s="32" t="str">
        <f aca="false">IF($A121="","",项目档案!$D121)</f>
        <v/>
      </c>
      <c r="E121" s="41" t="str">
        <f aca="false">IF($A121="","",SUMIFS(业务流水!$H$5:$H$1504,业务流水!$E$5:$E$1504,$D121,业务流水!$D$5:$D$1504,"销项开票",业务流水!$C$5:$C$1504,$A121,业务流水!$Z$5:$Z$1504,"是"))</f>
        <v/>
      </c>
      <c r="F121" s="49" t="str">
        <f aca="false">IF(OR($A121="",$E121=0),"",SUMIFS(业务流水!$O$5:$O$1504,业务流水!$E$5:$E$1504,$D121,业务流水!$D$5:$D$1504,"销项开票",业务流水!$C$5:$C$1504,$A121,业务流水!$Z$5:$Z$1504,"是")/$E121)</f>
        <v/>
      </c>
      <c r="G121" s="41" t="str">
        <f aca="false">IF($A121="","",SUMIFS(业务流水!$O$5:$O$1504,业务流水!$E$5:$E$1504,$D121,业务流水!$D$5:$D$1504,"销项开票",业务流水!$C$5:$C$1504,$A121,业务流水!$Z$5:$Z$1504,"是"))</f>
        <v/>
      </c>
      <c r="H121" s="42" t="str">
        <f aca="false">IF($A121="","",$E121-$G121)</f>
        <v/>
      </c>
      <c r="I121" s="32" t="str">
        <f aca="false">IF($A121="","",项目档案!$F121)</f>
        <v/>
      </c>
      <c r="J121" s="41" t="n">
        <f aca="false">IF(OR($A121="",$I121=""),0,SUMIFS(业务流水!$H$5:$H$1504,业务流水!$E$5:$E$1504,$I121,业务流水!$D$5:$D$1504,"销项开票",业务流水!$C$5:$C$1504,$A121,业务流水!$Z$5:$Z$1504,"是"))</f>
        <v>0</v>
      </c>
      <c r="K121" s="49" t="str">
        <f aca="false">IF(OR($A121="",$J121=0),"",SUMIFS(业务流水!$O$5:$O$1504,业务流水!$E$5:$E$1504,$I121,业务流水!$D$5:$D$1504,"销项开票",业务流水!$C$5:$C$1504,$A121,业务流水!$Z$5:$Z$1504,"是")/$J121)</f>
        <v/>
      </c>
      <c r="L121" s="41" t="n">
        <f aca="false">IF(OR($A121="",$I121=""),0,SUMIFS(业务流水!$O$5:$O$1504,业务流水!$E$5:$E$1504,$I121,业务流水!$D$5:$D$1504,"销项开票",业务流水!$C$5:$C$1504,$A121,业务流水!$Z$5:$Z$1504,"是"))</f>
        <v>0</v>
      </c>
      <c r="M121" s="43" t="str">
        <f aca="false">IF($A121="","",IF(AND($I121&lt;&gt;"",$J121&gt;0),$J121-$L121,$H121))</f>
        <v/>
      </c>
      <c r="N121" s="41" t="str">
        <f aca="false">IF($A121="","",SUMIFS(业务流水!$H$5:$H$1504,业务流水!$F$5:$F$1504,"*",业务流水!$D$5:$D$1504,"成本票",业务流水!$C$5:$C$1504,$A121,业务流水!$Z$5:$Z$1504,"是"))</f>
        <v/>
      </c>
      <c r="O121" s="43" t="str">
        <f aca="false">IF($A121="","",ROUND($M121-$N121,2))</f>
        <v/>
      </c>
      <c r="P121" s="33" t="str">
        <f aca="false">IF($A121="","",IF(ABS($O121)&lt;1,"✓ 已开齐",IF($O121&gt;0,"还差成本票","多开了")))</f>
        <v/>
      </c>
    </row>
    <row r="122" customFormat="false" ht="15.75" hidden="false" customHeight="true" outlineLevel="0" collapsed="false">
      <c r="A122" s="32" t="str">
        <f aca="false">IF(项目档案!$A122="","",项目档案!$A122)</f>
        <v/>
      </c>
      <c r="B122" s="40" t="str">
        <f aca="false">IF($A122="","",项目档案!$B122)</f>
        <v/>
      </c>
      <c r="C122" s="32" t="str">
        <f aca="false">IF($A122="","",项目档案!$C122)</f>
        <v/>
      </c>
      <c r="D122" s="32" t="str">
        <f aca="false">IF($A122="","",项目档案!$D122)</f>
        <v/>
      </c>
      <c r="E122" s="41" t="str">
        <f aca="false">IF($A122="","",SUMIFS(业务流水!$H$5:$H$1504,业务流水!$E$5:$E$1504,$D122,业务流水!$D$5:$D$1504,"销项开票",业务流水!$C$5:$C$1504,$A122,业务流水!$Z$5:$Z$1504,"是"))</f>
        <v/>
      </c>
      <c r="F122" s="49" t="str">
        <f aca="false">IF(OR($A122="",$E122=0),"",SUMIFS(业务流水!$O$5:$O$1504,业务流水!$E$5:$E$1504,$D122,业务流水!$D$5:$D$1504,"销项开票",业务流水!$C$5:$C$1504,$A122,业务流水!$Z$5:$Z$1504,"是")/$E122)</f>
        <v/>
      </c>
      <c r="G122" s="41" t="str">
        <f aca="false">IF($A122="","",SUMIFS(业务流水!$O$5:$O$1504,业务流水!$E$5:$E$1504,$D122,业务流水!$D$5:$D$1504,"销项开票",业务流水!$C$5:$C$1504,$A122,业务流水!$Z$5:$Z$1504,"是"))</f>
        <v/>
      </c>
      <c r="H122" s="42" t="str">
        <f aca="false">IF($A122="","",$E122-$G122)</f>
        <v/>
      </c>
      <c r="I122" s="32" t="str">
        <f aca="false">IF($A122="","",项目档案!$F122)</f>
        <v/>
      </c>
      <c r="J122" s="41" t="n">
        <f aca="false">IF(OR($A122="",$I122=""),0,SUMIFS(业务流水!$H$5:$H$1504,业务流水!$E$5:$E$1504,$I122,业务流水!$D$5:$D$1504,"销项开票",业务流水!$C$5:$C$1504,$A122,业务流水!$Z$5:$Z$1504,"是"))</f>
        <v>0</v>
      </c>
      <c r="K122" s="49" t="str">
        <f aca="false">IF(OR($A122="",$J122=0),"",SUMIFS(业务流水!$O$5:$O$1504,业务流水!$E$5:$E$1504,$I122,业务流水!$D$5:$D$1504,"销项开票",业务流水!$C$5:$C$1504,$A122,业务流水!$Z$5:$Z$1504,"是")/$J122)</f>
        <v/>
      </c>
      <c r="L122" s="41" t="n">
        <f aca="false">IF(OR($A122="",$I122=""),0,SUMIFS(业务流水!$O$5:$O$1504,业务流水!$E$5:$E$1504,$I122,业务流水!$D$5:$D$1504,"销项开票",业务流水!$C$5:$C$1504,$A122,业务流水!$Z$5:$Z$1504,"是"))</f>
        <v>0</v>
      </c>
      <c r="M122" s="43" t="str">
        <f aca="false">IF($A122="","",IF(AND($I122&lt;&gt;"",$J122&gt;0),$J122-$L122,$H122))</f>
        <v/>
      </c>
      <c r="N122" s="41" t="str">
        <f aca="false">IF($A122="","",SUMIFS(业务流水!$H$5:$H$1504,业务流水!$F$5:$F$1504,"*",业务流水!$D$5:$D$1504,"成本票",业务流水!$C$5:$C$1504,$A122,业务流水!$Z$5:$Z$1504,"是"))</f>
        <v/>
      </c>
      <c r="O122" s="43" t="str">
        <f aca="false">IF($A122="","",ROUND($M122-$N122,2))</f>
        <v/>
      </c>
      <c r="P122" s="33" t="str">
        <f aca="false">IF($A122="","",IF(ABS($O122)&lt;1,"✓ 已开齐",IF($O122&gt;0,"还差成本票","多开了")))</f>
        <v/>
      </c>
    </row>
    <row r="123" customFormat="false" ht="15.75" hidden="false" customHeight="true" outlineLevel="0" collapsed="false">
      <c r="A123" s="32" t="str">
        <f aca="false">IF(项目档案!$A123="","",项目档案!$A123)</f>
        <v/>
      </c>
      <c r="B123" s="40" t="str">
        <f aca="false">IF($A123="","",项目档案!$B123)</f>
        <v/>
      </c>
      <c r="C123" s="32" t="str">
        <f aca="false">IF($A123="","",项目档案!$C123)</f>
        <v/>
      </c>
      <c r="D123" s="32" t="str">
        <f aca="false">IF($A123="","",项目档案!$D123)</f>
        <v/>
      </c>
      <c r="E123" s="41" t="str">
        <f aca="false">IF($A123="","",SUMIFS(业务流水!$H$5:$H$1504,业务流水!$E$5:$E$1504,$D123,业务流水!$D$5:$D$1504,"销项开票",业务流水!$C$5:$C$1504,$A123,业务流水!$Z$5:$Z$1504,"是"))</f>
        <v/>
      </c>
      <c r="F123" s="49" t="str">
        <f aca="false">IF(OR($A123="",$E123=0),"",SUMIFS(业务流水!$O$5:$O$1504,业务流水!$E$5:$E$1504,$D123,业务流水!$D$5:$D$1504,"销项开票",业务流水!$C$5:$C$1504,$A123,业务流水!$Z$5:$Z$1504,"是")/$E123)</f>
        <v/>
      </c>
      <c r="G123" s="41" t="str">
        <f aca="false">IF($A123="","",SUMIFS(业务流水!$O$5:$O$1504,业务流水!$E$5:$E$1504,$D123,业务流水!$D$5:$D$1504,"销项开票",业务流水!$C$5:$C$1504,$A123,业务流水!$Z$5:$Z$1504,"是"))</f>
        <v/>
      </c>
      <c r="H123" s="42" t="str">
        <f aca="false">IF($A123="","",$E123-$G123)</f>
        <v/>
      </c>
      <c r="I123" s="32" t="str">
        <f aca="false">IF($A123="","",项目档案!$F123)</f>
        <v/>
      </c>
      <c r="J123" s="41" t="n">
        <f aca="false">IF(OR($A123="",$I123=""),0,SUMIFS(业务流水!$H$5:$H$1504,业务流水!$E$5:$E$1504,$I123,业务流水!$D$5:$D$1504,"销项开票",业务流水!$C$5:$C$1504,$A123,业务流水!$Z$5:$Z$1504,"是"))</f>
        <v>0</v>
      </c>
      <c r="K123" s="49" t="str">
        <f aca="false">IF(OR($A123="",$J123=0),"",SUMIFS(业务流水!$O$5:$O$1504,业务流水!$E$5:$E$1504,$I123,业务流水!$D$5:$D$1504,"销项开票",业务流水!$C$5:$C$1504,$A123,业务流水!$Z$5:$Z$1504,"是")/$J123)</f>
        <v/>
      </c>
      <c r="L123" s="41" t="n">
        <f aca="false">IF(OR($A123="",$I123=""),0,SUMIFS(业务流水!$O$5:$O$1504,业务流水!$E$5:$E$1504,$I123,业务流水!$D$5:$D$1504,"销项开票",业务流水!$C$5:$C$1504,$A123,业务流水!$Z$5:$Z$1504,"是"))</f>
        <v>0</v>
      </c>
      <c r="M123" s="43" t="str">
        <f aca="false">IF($A123="","",IF(AND($I123&lt;&gt;"",$J123&gt;0),$J123-$L123,$H123))</f>
        <v/>
      </c>
      <c r="N123" s="41" t="str">
        <f aca="false">IF($A123="","",SUMIFS(业务流水!$H$5:$H$1504,业务流水!$F$5:$F$1504,"*",业务流水!$D$5:$D$1504,"成本票",业务流水!$C$5:$C$1504,$A123,业务流水!$Z$5:$Z$1504,"是"))</f>
        <v/>
      </c>
      <c r="O123" s="43" t="str">
        <f aca="false">IF($A123="","",ROUND($M123-$N123,2))</f>
        <v/>
      </c>
      <c r="P123" s="33" t="str">
        <f aca="false">IF($A123="","",IF(ABS($O123)&lt;1,"✓ 已开齐",IF($O123&gt;0,"还差成本票","多开了")))</f>
        <v/>
      </c>
    </row>
    <row r="124" customFormat="false" ht="15.75" hidden="false" customHeight="true" outlineLevel="0" collapsed="false">
      <c r="A124" s="32" t="str">
        <f aca="false">IF(项目档案!$A124="","",项目档案!$A124)</f>
        <v/>
      </c>
      <c r="B124" s="40" t="str">
        <f aca="false">IF($A124="","",项目档案!$B124)</f>
        <v/>
      </c>
      <c r="C124" s="32" t="str">
        <f aca="false">IF($A124="","",项目档案!$C124)</f>
        <v/>
      </c>
      <c r="D124" s="32" t="str">
        <f aca="false">IF($A124="","",项目档案!$D124)</f>
        <v/>
      </c>
      <c r="E124" s="41" t="str">
        <f aca="false">IF($A124="","",SUMIFS(业务流水!$H$5:$H$1504,业务流水!$E$5:$E$1504,$D124,业务流水!$D$5:$D$1504,"销项开票",业务流水!$C$5:$C$1504,$A124,业务流水!$Z$5:$Z$1504,"是"))</f>
        <v/>
      </c>
      <c r="F124" s="49" t="str">
        <f aca="false">IF(OR($A124="",$E124=0),"",SUMIFS(业务流水!$O$5:$O$1504,业务流水!$E$5:$E$1504,$D124,业务流水!$D$5:$D$1504,"销项开票",业务流水!$C$5:$C$1504,$A124,业务流水!$Z$5:$Z$1504,"是")/$E124)</f>
        <v/>
      </c>
      <c r="G124" s="41" t="str">
        <f aca="false">IF($A124="","",SUMIFS(业务流水!$O$5:$O$1504,业务流水!$E$5:$E$1504,$D124,业务流水!$D$5:$D$1504,"销项开票",业务流水!$C$5:$C$1504,$A124,业务流水!$Z$5:$Z$1504,"是"))</f>
        <v/>
      </c>
      <c r="H124" s="42" t="str">
        <f aca="false">IF($A124="","",$E124-$G124)</f>
        <v/>
      </c>
      <c r="I124" s="32" t="str">
        <f aca="false">IF($A124="","",项目档案!$F124)</f>
        <v/>
      </c>
      <c r="J124" s="41" t="n">
        <f aca="false">IF(OR($A124="",$I124=""),0,SUMIFS(业务流水!$H$5:$H$1504,业务流水!$E$5:$E$1504,$I124,业务流水!$D$5:$D$1504,"销项开票",业务流水!$C$5:$C$1504,$A124,业务流水!$Z$5:$Z$1504,"是"))</f>
        <v>0</v>
      </c>
      <c r="K124" s="49" t="str">
        <f aca="false">IF(OR($A124="",$J124=0),"",SUMIFS(业务流水!$O$5:$O$1504,业务流水!$E$5:$E$1504,$I124,业务流水!$D$5:$D$1504,"销项开票",业务流水!$C$5:$C$1504,$A124,业务流水!$Z$5:$Z$1504,"是")/$J124)</f>
        <v/>
      </c>
      <c r="L124" s="41" t="n">
        <f aca="false">IF(OR($A124="",$I124=""),0,SUMIFS(业务流水!$O$5:$O$1504,业务流水!$E$5:$E$1504,$I124,业务流水!$D$5:$D$1504,"销项开票",业务流水!$C$5:$C$1504,$A124,业务流水!$Z$5:$Z$1504,"是"))</f>
        <v>0</v>
      </c>
      <c r="M124" s="43" t="str">
        <f aca="false">IF($A124="","",IF(AND($I124&lt;&gt;"",$J124&gt;0),$J124-$L124,$H124))</f>
        <v/>
      </c>
      <c r="N124" s="41" t="str">
        <f aca="false">IF($A124="","",SUMIFS(业务流水!$H$5:$H$1504,业务流水!$F$5:$F$1504,"*",业务流水!$D$5:$D$1504,"成本票",业务流水!$C$5:$C$1504,$A124,业务流水!$Z$5:$Z$1504,"是"))</f>
        <v/>
      </c>
      <c r="O124" s="43" t="str">
        <f aca="false">IF($A124="","",ROUND($M124-$N124,2))</f>
        <v/>
      </c>
      <c r="P124" s="33" t="str">
        <f aca="false">IF($A124="","",IF(ABS($O124)&lt;1,"✓ 已开齐",IF($O124&gt;0,"还差成本票","多开了")))</f>
        <v/>
      </c>
    </row>
    <row r="125" customFormat="false" ht="15.75" hidden="false" customHeight="true" outlineLevel="0" collapsed="false">
      <c r="A125" s="32" t="str">
        <f aca="false">IF(项目档案!$A125="","",项目档案!$A125)</f>
        <v/>
      </c>
      <c r="B125" s="40" t="str">
        <f aca="false">IF($A125="","",项目档案!$B125)</f>
        <v/>
      </c>
      <c r="C125" s="32" t="str">
        <f aca="false">IF($A125="","",项目档案!$C125)</f>
        <v/>
      </c>
      <c r="D125" s="32" t="str">
        <f aca="false">IF($A125="","",项目档案!$D125)</f>
        <v/>
      </c>
      <c r="E125" s="41" t="str">
        <f aca="false">IF($A125="","",SUMIFS(业务流水!$H$5:$H$1504,业务流水!$E$5:$E$1504,$D125,业务流水!$D$5:$D$1504,"销项开票",业务流水!$C$5:$C$1504,$A125,业务流水!$Z$5:$Z$1504,"是"))</f>
        <v/>
      </c>
      <c r="F125" s="49" t="str">
        <f aca="false">IF(OR($A125="",$E125=0),"",SUMIFS(业务流水!$O$5:$O$1504,业务流水!$E$5:$E$1504,$D125,业务流水!$D$5:$D$1504,"销项开票",业务流水!$C$5:$C$1504,$A125,业务流水!$Z$5:$Z$1504,"是")/$E125)</f>
        <v/>
      </c>
      <c r="G125" s="41" t="str">
        <f aca="false">IF($A125="","",SUMIFS(业务流水!$O$5:$O$1504,业务流水!$E$5:$E$1504,$D125,业务流水!$D$5:$D$1504,"销项开票",业务流水!$C$5:$C$1504,$A125,业务流水!$Z$5:$Z$1504,"是"))</f>
        <v/>
      </c>
      <c r="H125" s="42" t="str">
        <f aca="false">IF($A125="","",$E125-$G125)</f>
        <v/>
      </c>
      <c r="I125" s="32" t="str">
        <f aca="false">IF($A125="","",项目档案!$F125)</f>
        <v/>
      </c>
      <c r="J125" s="41" t="n">
        <f aca="false">IF(OR($A125="",$I125=""),0,SUMIFS(业务流水!$H$5:$H$1504,业务流水!$E$5:$E$1504,$I125,业务流水!$D$5:$D$1504,"销项开票",业务流水!$C$5:$C$1504,$A125,业务流水!$Z$5:$Z$1504,"是"))</f>
        <v>0</v>
      </c>
      <c r="K125" s="49" t="str">
        <f aca="false">IF(OR($A125="",$J125=0),"",SUMIFS(业务流水!$O$5:$O$1504,业务流水!$E$5:$E$1504,$I125,业务流水!$D$5:$D$1504,"销项开票",业务流水!$C$5:$C$1504,$A125,业务流水!$Z$5:$Z$1504,"是")/$J125)</f>
        <v/>
      </c>
      <c r="L125" s="41" t="n">
        <f aca="false">IF(OR($A125="",$I125=""),0,SUMIFS(业务流水!$O$5:$O$1504,业务流水!$E$5:$E$1504,$I125,业务流水!$D$5:$D$1504,"销项开票",业务流水!$C$5:$C$1504,$A125,业务流水!$Z$5:$Z$1504,"是"))</f>
        <v>0</v>
      </c>
      <c r="M125" s="43" t="str">
        <f aca="false">IF($A125="","",IF(AND($I125&lt;&gt;"",$J125&gt;0),$J125-$L125,$H125))</f>
        <v/>
      </c>
      <c r="N125" s="41" t="str">
        <f aca="false">IF($A125="","",SUMIFS(业务流水!$H$5:$H$1504,业务流水!$F$5:$F$1504,"*",业务流水!$D$5:$D$1504,"成本票",业务流水!$C$5:$C$1504,$A125,业务流水!$Z$5:$Z$1504,"是"))</f>
        <v/>
      </c>
      <c r="O125" s="43" t="str">
        <f aca="false">IF($A125="","",ROUND($M125-$N125,2))</f>
        <v/>
      </c>
      <c r="P125" s="33" t="str">
        <f aca="false">IF($A125="","",IF(ABS($O125)&lt;1,"✓ 已开齐",IF($O125&gt;0,"还差成本票","多开了")))</f>
        <v/>
      </c>
    </row>
    <row r="126" customFormat="false" ht="15.75" hidden="false" customHeight="true" outlineLevel="0" collapsed="false">
      <c r="A126" s="32" t="str">
        <f aca="false">IF(项目档案!$A126="","",项目档案!$A126)</f>
        <v/>
      </c>
      <c r="B126" s="40" t="str">
        <f aca="false">IF($A126="","",项目档案!$B126)</f>
        <v/>
      </c>
      <c r="C126" s="32" t="str">
        <f aca="false">IF($A126="","",项目档案!$C126)</f>
        <v/>
      </c>
      <c r="D126" s="32" t="str">
        <f aca="false">IF($A126="","",项目档案!$D126)</f>
        <v/>
      </c>
      <c r="E126" s="41" t="str">
        <f aca="false">IF($A126="","",SUMIFS(业务流水!$H$5:$H$1504,业务流水!$E$5:$E$1504,$D126,业务流水!$D$5:$D$1504,"销项开票",业务流水!$C$5:$C$1504,$A126,业务流水!$Z$5:$Z$1504,"是"))</f>
        <v/>
      </c>
      <c r="F126" s="49" t="str">
        <f aca="false">IF(OR($A126="",$E126=0),"",SUMIFS(业务流水!$O$5:$O$1504,业务流水!$E$5:$E$1504,$D126,业务流水!$D$5:$D$1504,"销项开票",业务流水!$C$5:$C$1504,$A126,业务流水!$Z$5:$Z$1504,"是")/$E126)</f>
        <v/>
      </c>
      <c r="G126" s="41" t="str">
        <f aca="false">IF($A126="","",SUMIFS(业务流水!$O$5:$O$1504,业务流水!$E$5:$E$1504,$D126,业务流水!$D$5:$D$1504,"销项开票",业务流水!$C$5:$C$1504,$A126,业务流水!$Z$5:$Z$1504,"是"))</f>
        <v/>
      </c>
      <c r="H126" s="42" t="str">
        <f aca="false">IF($A126="","",$E126-$G126)</f>
        <v/>
      </c>
      <c r="I126" s="32" t="str">
        <f aca="false">IF($A126="","",项目档案!$F126)</f>
        <v/>
      </c>
      <c r="J126" s="41" t="n">
        <f aca="false">IF(OR($A126="",$I126=""),0,SUMIFS(业务流水!$H$5:$H$1504,业务流水!$E$5:$E$1504,$I126,业务流水!$D$5:$D$1504,"销项开票",业务流水!$C$5:$C$1504,$A126,业务流水!$Z$5:$Z$1504,"是"))</f>
        <v>0</v>
      </c>
      <c r="K126" s="49" t="str">
        <f aca="false">IF(OR($A126="",$J126=0),"",SUMIFS(业务流水!$O$5:$O$1504,业务流水!$E$5:$E$1504,$I126,业务流水!$D$5:$D$1504,"销项开票",业务流水!$C$5:$C$1504,$A126,业务流水!$Z$5:$Z$1504,"是")/$J126)</f>
        <v/>
      </c>
      <c r="L126" s="41" t="n">
        <f aca="false">IF(OR($A126="",$I126=""),0,SUMIFS(业务流水!$O$5:$O$1504,业务流水!$E$5:$E$1504,$I126,业务流水!$D$5:$D$1504,"销项开票",业务流水!$C$5:$C$1504,$A126,业务流水!$Z$5:$Z$1504,"是"))</f>
        <v>0</v>
      </c>
      <c r="M126" s="43" t="str">
        <f aca="false">IF($A126="","",IF(AND($I126&lt;&gt;"",$J126&gt;0),$J126-$L126,$H126))</f>
        <v/>
      </c>
      <c r="N126" s="41" t="str">
        <f aca="false">IF($A126="","",SUMIFS(业务流水!$H$5:$H$1504,业务流水!$F$5:$F$1504,"*",业务流水!$D$5:$D$1504,"成本票",业务流水!$C$5:$C$1504,$A126,业务流水!$Z$5:$Z$1504,"是"))</f>
        <v/>
      </c>
      <c r="O126" s="43" t="str">
        <f aca="false">IF($A126="","",ROUND($M126-$N126,2))</f>
        <v/>
      </c>
      <c r="P126" s="33" t="str">
        <f aca="false">IF($A126="","",IF(ABS($O126)&lt;1,"✓ 已开齐",IF($O126&gt;0,"还差成本票","多开了")))</f>
        <v/>
      </c>
    </row>
    <row r="127" customFormat="false" ht="15.75" hidden="false" customHeight="true" outlineLevel="0" collapsed="false">
      <c r="A127" s="32" t="str">
        <f aca="false">IF(项目档案!$A127="","",项目档案!$A127)</f>
        <v/>
      </c>
      <c r="B127" s="40" t="str">
        <f aca="false">IF($A127="","",项目档案!$B127)</f>
        <v/>
      </c>
      <c r="C127" s="32" t="str">
        <f aca="false">IF($A127="","",项目档案!$C127)</f>
        <v/>
      </c>
      <c r="D127" s="32" t="str">
        <f aca="false">IF($A127="","",项目档案!$D127)</f>
        <v/>
      </c>
      <c r="E127" s="41" t="str">
        <f aca="false">IF($A127="","",SUMIFS(业务流水!$H$5:$H$1504,业务流水!$E$5:$E$1504,$D127,业务流水!$D$5:$D$1504,"销项开票",业务流水!$C$5:$C$1504,$A127,业务流水!$Z$5:$Z$1504,"是"))</f>
        <v/>
      </c>
      <c r="F127" s="49" t="str">
        <f aca="false">IF(OR($A127="",$E127=0),"",SUMIFS(业务流水!$O$5:$O$1504,业务流水!$E$5:$E$1504,$D127,业务流水!$D$5:$D$1504,"销项开票",业务流水!$C$5:$C$1504,$A127,业务流水!$Z$5:$Z$1504,"是")/$E127)</f>
        <v/>
      </c>
      <c r="G127" s="41" t="str">
        <f aca="false">IF($A127="","",SUMIFS(业务流水!$O$5:$O$1504,业务流水!$E$5:$E$1504,$D127,业务流水!$D$5:$D$1504,"销项开票",业务流水!$C$5:$C$1504,$A127,业务流水!$Z$5:$Z$1504,"是"))</f>
        <v/>
      </c>
      <c r="H127" s="42" t="str">
        <f aca="false">IF($A127="","",$E127-$G127)</f>
        <v/>
      </c>
      <c r="I127" s="32" t="str">
        <f aca="false">IF($A127="","",项目档案!$F127)</f>
        <v/>
      </c>
      <c r="J127" s="41" t="n">
        <f aca="false">IF(OR($A127="",$I127=""),0,SUMIFS(业务流水!$H$5:$H$1504,业务流水!$E$5:$E$1504,$I127,业务流水!$D$5:$D$1504,"销项开票",业务流水!$C$5:$C$1504,$A127,业务流水!$Z$5:$Z$1504,"是"))</f>
        <v>0</v>
      </c>
      <c r="K127" s="49" t="str">
        <f aca="false">IF(OR($A127="",$J127=0),"",SUMIFS(业务流水!$O$5:$O$1504,业务流水!$E$5:$E$1504,$I127,业务流水!$D$5:$D$1504,"销项开票",业务流水!$C$5:$C$1504,$A127,业务流水!$Z$5:$Z$1504,"是")/$J127)</f>
        <v/>
      </c>
      <c r="L127" s="41" t="n">
        <f aca="false">IF(OR($A127="",$I127=""),0,SUMIFS(业务流水!$O$5:$O$1504,业务流水!$E$5:$E$1504,$I127,业务流水!$D$5:$D$1504,"销项开票",业务流水!$C$5:$C$1504,$A127,业务流水!$Z$5:$Z$1504,"是"))</f>
        <v>0</v>
      </c>
      <c r="M127" s="43" t="str">
        <f aca="false">IF($A127="","",IF(AND($I127&lt;&gt;"",$J127&gt;0),$J127-$L127,$H127))</f>
        <v/>
      </c>
      <c r="N127" s="41" t="str">
        <f aca="false">IF($A127="","",SUMIFS(业务流水!$H$5:$H$1504,业务流水!$F$5:$F$1504,"*",业务流水!$D$5:$D$1504,"成本票",业务流水!$C$5:$C$1504,$A127,业务流水!$Z$5:$Z$1504,"是"))</f>
        <v/>
      </c>
      <c r="O127" s="43" t="str">
        <f aca="false">IF($A127="","",ROUND($M127-$N127,2))</f>
        <v/>
      </c>
      <c r="P127" s="33" t="str">
        <f aca="false">IF($A127="","",IF(ABS($O127)&lt;1,"✓ 已开齐",IF($O127&gt;0,"还差成本票","多开了")))</f>
        <v/>
      </c>
    </row>
    <row r="128" customFormat="false" ht="15.75" hidden="false" customHeight="true" outlineLevel="0" collapsed="false">
      <c r="A128" s="32" t="str">
        <f aca="false">IF(项目档案!$A128="","",项目档案!$A128)</f>
        <v/>
      </c>
      <c r="B128" s="40" t="str">
        <f aca="false">IF($A128="","",项目档案!$B128)</f>
        <v/>
      </c>
      <c r="C128" s="32" t="str">
        <f aca="false">IF($A128="","",项目档案!$C128)</f>
        <v/>
      </c>
      <c r="D128" s="32" t="str">
        <f aca="false">IF($A128="","",项目档案!$D128)</f>
        <v/>
      </c>
      <c r="E128" s="41" t="str">
        <f aca="false">IF($A128="","",SUMIFS(业务流水!$H$5:$H$1504,业务流水!$E$5:$E$1504,$D128,业务流水!$D$5:$D$1504,"销项开票",业务流水!$C$5:$C$1504,$A128,业务流水!$Z$5:$Z$1504,"是"))</f>
        <v/>
      </c>
      <c r="F128" s="49" t="str">
        <f aca="false">IF(OR($A128="",$E128=0),"",SUMIFS(业务流水!$O$5:$O$1504,业务流水!$E$5:$E$1504,$D128,业务流水!$D$5:$D$1504,"销项开票",业务流水!$C$5:$C$1504,$A128,业务流水!$Z$5:$Z$1504,"是")/$E128)</f>
        <v/>
      </c>
      <c r="G128" s="41" t="str">
        <f aca="false">IF($A128="","",SUMIFS(业务流水!$O$5:$O$1504,业务流水!$E$5:$E$1504,$D128,业务流水!$D$5:$D$1504,"销项开票",业务流水!$C$5:$C$1504,$A128,业务流水!$Z$5:$Z$1504,"是"))</f>
        <v/>
      </c>
      <c r="H128" s="42" t="str">
        <f aca="false">IF($A128="","",$E128-$G128)</f>
        <v/>
      </c>
      <c r="I128" s="32" t="str">
        <f aca="false">IF($A128="","",项目档案!$F128)</f>
        <v/>
      </c>
      <c r="J128" s="41" t="n">
        <f aca="false">IF(OR($A128="",$I128=""),0,SUMIFS(业务流水!$H$5:$H$1504,业务流水!$E$5:$E$1504,$I128,业务流水!$D$5:$D$1504,"销项开票",业务流水!$C$5:$C$1504,$A128,业务流水!$Z$5:$Z$1504,"是"))</f>
        <v>0</v>
      </c>
      <c r="K128" s="49" t="str">
        <f aca="false">IF(OR($A128="",$J128=0),"",SUMIFS(业务流水!$O$5:$O$1504,业务流水!$E$5:$E$1504,$I128,业务流水!$D$5:$D$1504,"销项开票",业务流水!$C$5:$C$1504,$A128,业务流水!$Z$5:$Z$1504,"是")/$J128)</f>
        <v/>
      </c>
      <c r="L128" s="41" t="n">
        <f aca="false">IF(OR($A128="",$I128=""),0,SUMIFS(业务流水!$O$5:$O$1504,业务流水!$E$5:$E$1504,$I128,业务流水!$D$5:$D$1504,"销项开票",业务流水!$C$5:$C$1504,$A128,业务流水!$Z$5:$Z$1504,"是"))</f>
        <v>0</v>
      </c>
      <c r="M128" s="43" t="str">
        <f aca="false">IF($A128="","",IF(AND($I128&lt;&gt;"",$J128&gt;0),$J128-$L128,$H128))</f>
        <v/>
      </c>
      <c r="N128" s="41" t="str">
        <f aca="false">IF($A128="","",SUMIFS(业务流水!$H$5:$H$1504,业务流水!$F$5:$F$1504,"*",业务流水!$D$5:$D$1504,"成本票",业务流水!$C$5:$C$1504,$A128,业务流水!$Z$5:$Z$1504,"是"))</f>
        <v/>
      </c>
      <c r="O128" s="43" t="str">
        <f aca="false">IF($A128="","",ROUND($M128-$N128,2))</f>
        <v/>
      </c>
      <c r="P128" s="33" t="str">
        <f aca="false">IF($A128="","",IF(ABS($O128)&lt;1,"✓ 已开齐",IF($O128&gt;0,"还差成本票","多开了")))</f>
        <v/>
      </c>
    </row>
    <row r="129" customFormat="false" ht="15.75" hidden="false" customHeight="true" outlineLevel="0" collapsed="false">
      <c r="A129" s="32" t="str">
        <f aca="false">IF(项目档案!$A129="","",项目档案!$A129)</f>
        <v/>
      </c>
      <c r="B129" s="40" t="str">
        <f aca="false">IF($A129="","",项目档案!$B129)</f>
        <v/>
      </c>
      <c r="C129" s="32" t="str">
        <f aca="false">IF($A129="","",项目档案!$C129)</f>
        <v/>
      </c>
      <c r="D129" s="32" t="str">
        <f aca="false">IF($A129="","",项目档案!$D129)</f>
        <v/>
      </c>
      <c r="E129" s="41" t="str">
        <f aca="false">IF($A129="","",SUMIFS(业务流水!$H$5:$H$1504,业务流水!$E$5:$E$1504,$D129,业务流水!$D$5:$D$1504,"销项开票",业务流水!$C$5:$C$1504,$A129,业务流水!$Z$5:$Z$1504,"是"))</f>
        <v/>
      </c>
      <c r="F129" s="49" t="str">
        <f aca="false">IF(OR($A129="",$E129=0),"",SUMIFS(业务流水!$O$5:$O$1504,业务流水!$E$5:$E$1504,$D129,业务流水!$D$5:$D$1504,"销项开票",业务流水!$C$5:$C$1504,$A129,业务流水!$Z$5:$Z$1504,"是")/$E129)</f>
        <v/>
      </c>
      <c r="G129" s="41" t="str">
        <f aca="false">IF($A129="","",SUMIFS(业务流水!$O$5:$O$1504,业务流水!$E$5:$E$1504,$D129,业务流水!$D$5:$D$1504,"销项开票",业务流水!$C$5:$C$1504,$A129,业务流水!$Z$5:$Z$1504,"是"))</f>
        <v/>
      </c>
      <c r="H129" s="42" t="str">
        <f aca="false">IF($A129="","",$E129-$G129)</f>
        <v/>
      </c>
      <c r="I129" s="32" t="str">
        <f aca="false">IF($A129="","",项目档案!$F129)</f>
        <v/>
      </c>
      <c r="J129" s="41" t="n">
        <f aca="false">IF(OR($A129="",$I129=""),0,SUMIFS(业务流水!$H$5:$H$1504,业务流水!$E$5:$E$1504,$I129,业务流水!$D$5:$D$1504,"销项开票",业务流水!$C$5:$C$1504,$A129,业务流水!$Z$5:$Z$1504,"是"))</f>
        <v>0</v>
      </c>
      <c r="K129" s="49" t="str">
        <f aca="false">IF(OR($A129="",$J129=0),"",SUMIFS(业务流水!$O$5:$O$1504,业务流水!$E$5:$E$1504,$I129,业务流水!$D$5:$D$1504,"销项开票",业务流水!$C$5:$C$1504,$A129,业务流水!$Z$5:$Z$1504,"是")/$J129)</f>
        <v/>
      </c>
      <c r="L129" s="41" t="n">
        <f aca="false">IF(OR($A129="",$I129=""),0,SUMIFS(业务流水!$O$5:$O$1504,业务流水!$E$5:$E$1504,$I129,业务流水!$D$5:$D$1504,"销项开票",业务流水!$C$5:$C$1504,$A129,业务流水!$Z$5:$Z$1504,"是"))</f>
        <v>0</v>
      </c>
      <c r="M129" s="43" t="str">
        <f aca="false">IF($A129="","",IF(AND($I129&lt;&gt;"",$J129&gt;0),$J129-$L129,$H129))</f>
        <v/>
      </c>
      <c r="N129" s="41" t="str">
        <f aca="false">IF($A129="","",SUMIFS(业务流水!$H$5:$H$1504,业务流水!$F$5:$F$1504,"*",业务流水!$D$5:$D$1504,"成本票",业务流水!$C$5:$C$1504,$A129,业务流水!$Z$5:$Z$1504,"是"))</f>
        <v/>
      </c>
      <c r="O129" s="43" t="str">
        <f aca="false">IF($A129="","",ROUND($M129-$N129,2))</f>
        <v/>
      </c>
      <c r="P129" s="33" t="str">
        <f aca="false">IF($A129="","",IF(ABS($O129)&lt;1,"✓ 已开齐",IF($O129&gt;0,"还差成本票","多开了")))</f>
        <v/>
      </c>
    </row>
    <row r="130" customFormat="false" ht="15.75" hidden="false" customHeight="true" outlineLevel="0" collapsed="false">
      <c r="A130" s="32" t="str">
        <f aca="false">IF(项目档案!$A130="","",项目档案!$A130)</f>
        <v/>
      </c>
      <c r="B130" s="40" t="str">
        <f aca="false">IF($A130="","",项目档案!$B130)</f>
        <v/>
      </c>
      <c r="C130" s="32" t="str">
        <f aca="false">IF($A130="","",项目档案!$C130)</f>
        <v/>
      </c>
      <c r="D130" s="32" t="str">
        <f aca="false">IF($A130="","",项目档案!$D130)</f>
        <v/>
      </c>
      <c r="E130" s="41" t="str">
        <f aca="false">IF($A130="","",SUMIFS(业务流水!$H$5:$H$1504,业务流水!$E$5:$E$1504,$D130,业务流水!$D$5:$D$1504,"销项开票",业务流水!$C$5:$C$1504,$A130,业务流水!$Z$5:$Z$1504,"是"))</f>
        <v/>
      </c>
      <c r="F130" s="49" t="str">
        <f aca="false">IF(OR($A130="",$E130=0),"",SUMIFS(业务流水!$O$5:$O$1504,业务流水!$E$5:$E$1504,$D130,业务流水!$D$5:$D$1504,"销项开票",业务流水!$C$5:$C$1504,$A130,业务流水!$Z$5:$Z$1504,"是")/$E130)</f>
        <v/>
      </c>
      <c r="G130" s="41" t="str">
        <f aca="false">IF($A130="","",SUMIFS(业务流水!$O$5:$O$1504,业务流水!$E$5:$E$1504,$D130,业务流水!$D$5:$D$1504,"销项开票",业务流水!$C$5:$C$1504,$A130,业务流水!$Z$5:$Z$1504,"是"))</f>
        <v/>
      </c>
      <c r="H130" s="42" t="str">
        <f aca="false">IF($A130="","",$E130-$G130)</f>
        <v/>
      </c>
      <c r="I130" s="32" t="str">
        <f aca="false">IF($A130="","",项目档案!$F130)</f>
        <v/>
      </c>
      <c r="J130" s="41" t="n">
        <f aca="false">IF(OR($A130="",$I130=""),0,SUMIFS(业务流水!$H$5:$H$1504,业务流水!$E$5:$E$1504,$I130,业务流水!$D$5:$D$1504,"销项开票",业务流水!$C$5:$C$1504,$A130,业务流水!$Z$5:$Z$1504,"是"))</f>
        <v>0</v>
      </c>
      <c r="K130" s="49" t="str">
        <f aca="false">IF(OR($A130="",$J130=0),"",SUMIFS(业务流水!$O$5:$O$1504,业务流水!$E$5:$E$1504,$I130,业务流水!$D$5:$D$1504,"销项开票",业务流水!$C$5:$C$1504,$A130,业务流水!$Z$5:$Z$1504,"是")/$J130)</f>
        <v/>
      </c>
      <c r="L130" s="41" t="n">
        <f aca="false">IF(OR($A130="",$I130=""),0,SUMIFS(业务流水!$O$5:$O$1504,业务流水!$E$5:$E$1504,$I130,业务流水!$D$5:$D$1504,"销项开票",业务流水!$C$5:$C$1504,$A130,业务流水!$Z$5:$Z$1504,"是"))</f>
        <v>0</v>
      </c>
      <c r="M130" s="43" t="str">
        <f aca="false">IF($A130="","",IF(AND($I130&lt;&gt;"",$J130&gt;0),$J130-$L130,$H130))</f>
        <v/>
      </c>
      <c r="N130" s="41" t="str">
        <f aca="false">IF($A130="","",SUMIFS(业务流水!$H$5:$H$1504,业务流水!$F$5:$F$1504,"*",业务流水!$D$5:$D$1504,"成本票",业务流水!$C$5:$C$1504,$A130,业务流水!$Z$5:$Z$1504,"是"))</f>
        <v/>
      </c>
      <c r="O130" s="43" t="str">
        <f aca="false">IF($A130="","",ROUND($M130-$N130,2))</f>
        <v/>
      </c>
      <c r="P130" s="33" t="str">
        <f aca="false">IF($A130="","",IF(ABS($O130)&lt;1,"✓ 已开齐",IF($O130&gt;0,"还差成本票","多开了")))</f>
        <v/>
      </c>
    </row>
    <row r="131" customFormat="false" ht="15.75" hidden="false" customHeight="true" outlineLevel="0" collapsed="false">
      <c r="A131" s="32" t="str">
        <f aca="false">IF(项目档案!$A131="","",项目档案!$A131)</f>
        <v/>
      </c>
      <c r="B131" s="40" t="str">
        <f aca="false">IF($A131="","",项目档案!$B131)</f>
        <v/>
      </c>
      <c r="C131" s="32" t="str">
        <f aca="false">IF($A131="","",项目档案!$C131)</f>
        <v/>
      </c>
      <c r="D131" s="32" t="str">
        <f aca="false">IF($A131="","",项目档案!$D131)</f>
        <v/>
      </c>
      <c r="E131" s="41" t="str">
        <f aca="false">IF($A131="","",SUMIFS(业务流水!$H$5:$H$1504,业务流水!$E$5:$E$1504,$D131,业务流水!$D$5:$D$1504,"销项开票",业务流水!$C$5:$C$1504,$A131,业务流水!$Z$5:$Z$1504,"是"))</f>
        <v/>
      </c>
      <c r="F131" s="49" t="str">
        <f aca="false">IF(OR($A131="",$E131=0),"",SUMIFS(业务流水!$O$5:$O$1504,业务流水!$E$5:$E$1504,$D131,业务流水!$D$5:$D$1504,"销项开票",业务流水!$C$5:$C$1504,$A131,业务流水!$Z$5:$Z$1504,"是")/$E131)</f>
        <v/>
      </c>
      <c r="G131" s="41" t="str">
        <f aca="false">IF($A131="","",SUMIFS(业务流水!$O$5:$O$1504,业务流水!$E$5:$E$1504,$D131,业务流水!$D$5:$D$1504,"销项开票",业务流水!$C$5:$C$1504,$A131,业务流水!$Z$5:$Z$1504,"是"))</f>
        <v/>
      </c>
      <c r="H131" s="42" t="str">
        <f aca="false">IF($A131="","",$E131-$G131)</f>
        <v/>
      </c>
      <c r="I131" s="32" t="str">
        <f aca="false">IF($A131="","",项目档案!$F131)</f>
        <v/>
      </c>
      <c r="J131" s="41" t="n">
        <f aca="false">IF(OR($A131="",$I131=""),0,SUMIFS(业务流水!$H$5:$H$1504,业务流水!$E$5:$E$1504,$I131,业务流水!$D$5:$D$1504,"销项开票",业务流水!$C$5:$C$1504,$A131,业务流水!$Z$5:$Z$1504,"是"))</f>
        <v>0</v>
      </c>
      <c r="K131" s="49" t="str">
        <f aca="false">IF(OR($A131="",$J131=0),"",SUMIFS(业务流水!$O$5:$O$1504,业务流水!$E$5:$E$1504,$I131,业务流水!$D$5:$D$1504,"销项开票",业务流水!$C$5:$C$1504,$A131,业务流水!$Z$5:$Z$1504,"是")/$J131)</f>
        <v/>
      </c>
      <c r="L131" s="41" t="n">
        <f aca="false">IF(OR($A131="",$I131=""),0,SUMIFS(业务流水!$O$5:$O$1504,业务流水!$E$5:$E$1504,$I131,业务流水!$D$5:$D$1504,"销项开票",业务流水!$C$5:$C$1504,$A131,业务流水!$Z$5:$Z$1504,"是"))</f>
        <v>0</v>
      </c>
      <c r="M131" s="43" t="str">
        <f aca="false">IF($A131="","",IF(AND($I131&lt;&gt;"",$J131&gt;0),$J131-$L131,$H131))</f>
        <v/>
      </c>
      <c r="N131" s="41" t="str">
        <f aca="false">IF($A131="","",SUMIFS(业务流水!$H$5:$H$1504,业务流水!$F$5:$F$1504,"*",业务流水!$D$5:$D$1504,"成本票",业务流水!$C$5:$C$1504,$A131,业务流水!$Z$5:$Z$1504,"是"))</f>
        <v/>
      </c>
      <c r="O131" s="43" t="str">
        <f aca="false">IF($A131="","",ROUND($M131-$N131,2))</f>
        <v/>
      </c>
      <c r="P131" s="33" t="str">
        <f aca="false">IF($A131="","",IF(ABS($O131)&lt;1,"✓ 已开齐",IF($O131&gt;0,"还差成本票","多开了")))</f>
        <v/>
      </c>
    </row>
    <row r="132" customFormat="false" ht="15.75" hidden="false" customHeight="true" outlineLevel="0" collapsed="false">
      <c r="A132" s="32" t="str">
        <f aca="false">IF(项目档案!$A132="","",项目档案!$A132)</f>
        <v/>
      </c>
      <c r="B132" s="40" t="str">
        <f aca="false">IF($A132="","",项目档案!$B132)</f>
        <v/>
      </c>
      <c r="C132" s="32" t="str">
        <f aca="false">IF($A132="","",项目档案!$C132)</f>
        <v/>
      </c>
      <c r="D132" s="32" t="str">
        <f aca="false">IF($A132="","",项目档案!$D132)</f>
        <v/>
      </c>
      <c r="E132" s="41" t="str">
        <f aca="false">IF($A132="","",SUMIFS(业务流水!$H$5:$H$1504,业务流水!$E$5:$E$1504,$D132,业务流水!$D$5:$D$1504,"销项开票",业务流水!$C$5:$C$1504,$A132,业务流水!$Z$5:$Z$1504,"是"))</f>
        <v/>
      </c>
      <c r="F132" s="49" t="str">
        <f aca="false">IF(OR($A132="",$E132=0),"",SUMIFS(业务流水!$O$5:$O$1504,业务流水!$E$5:$E$1504,$D132,业务流水!$D$5:$D$1504,"销项开票",业务流水!$C$5:$C$1504,$A132,业务流水!$Z$5:$Z$1504,"是")/$E132)</f>
        <v/>
      </c>
      <c r="G132" s="41" t="str">
        <f aca="false">IF($A132="","",SUMIFS(业务流水!$O$5:$O$1504,业务流水!$E$5:$E$1504,$D132,业务流水!$D$5:$D$1504,"销项开票",业务流水!$C$5:$C$1504,$A132,业务流水!$Z$5:$Z$1504,"是"))</f>
        <v/>
      </c>
      <c r="H132" s="42" t="str">
        <f aca="false">IF($A132="","",$E132-$G132)</f>
        <v/>
      </c>
      <c r="I132" s="32" t="str">
        <f aca="false">IF($A132="","",项目档案!$F132)</f>
        <v/>
      </c>
      <c r="J132" s="41" t="n">
        <f aca="false">IF(OR($A132="",$I132=""),0,SUMIFS(业务流水!$H$5:$H$1504,业务流水!$E$5:$E$1504,$I132,业务流水!$D$5:$D$1504,"销项开票",业务流水!$C$5:$C$1504,$A132,业务流水!$Z$5:$Z$1504,"是"))</f>
        <v>0</v>
      </c>
      <c r="K132" s="49" t="str">
        <f aca="false">IF(OR($A132="",$J132=0),"",SUMIFS(业务流水!$O$5:$O$1504,业务流水!$E$5:$E$1504,$I132,业务流水!$D$5:$D$1504,"销项开票",业务流水!$C$5:$C$1504,$A132,业务流水!$Z$5:$Z$1504,"是")/$J132)</f>
        <v/>
      </c>
      <c r="L132" s="41" t="n">
        <f aca="false">IF(OR($A132="",$I132=""),0,SUMIFS(业务流水!$O$5:$O$1504,业务流水!$E$5:$E$1504,$I132,业务流水!$D$5:$D$1504,"销项开票",业务流水!$C$5:$C$1504,$A132,业务流水!$Z$5:$Z$1504,"是"))</f>
        <v>0</v>
      </c>
      <c r="M132" s="43" t="str">
        <f aca="false">IF($A132="","",IF(AND($I132&lt;&gt;"",$J132&gt;0),$J132-$L132,$H132))</f>
        <v/>
      </c>
      <c r="N132" s="41" t="str">
        <f aca="false">IF($A132="","",SUMIFS(业务流水!$H$5:$H$1504,业务流水!$F$5:$F$1504,"*",业务流水!$D$5:$D$1504,"成本票",业务流水!$C$5:$C$1504,$A132,业务流水!$Z$5:$Z$1504,"是"))</f>
        <v/>
      </c>
      <c r="O132" s="43" t="str">
        <f aca="false">IF($A132="","",ROUND($M132-$N132,2))</f>
        <v/>
      </c>
      <c r="P132" s="33" t="str">
        <f aca="false">IF($A132="","",IF(ABS($O132)&lt;1,"✓ 已开齐",IF($O132&gt;0,"还差成本票","多开了")))</f>
        <v/>
      </c>
    </row>
    <row r="133" customFormat="false" ht="15.75" hidden="false" customHeight="true" outlineLevel="0" collapsed="false">
      <c r="A133" s="32" t="str">
        <f aca="false">IF(项目档案!$A133="","",项目档案!$A133)</f>
        <v/>
      </c>
      <c r="B133" s="40" t="str">
        <f aca="false">IF($A133="","",项目档案!$B133)</f>
        <v/>
      </c>
      <c r="C133" s="32" t="str">
        <f aca="false">IF($A133="","",项目档案!$C133)</f>
        <v/>
      </c>
      <c r="D133" s="32" t="str">
        <f aca="false">IF($A133="","",项目档案!$D133)</f>
        <v/>
      </c>
      <c r="E133" s="41" t="str">
        <f aca="false">IF($A133="","",SUMIFS(业务流水!$H$5:$H$1504,业务流水!$E$5:$E$1504,$D133,业务流水!$D$5:$D$1504,"销项开票",业务流水!$C$5:$C$1504,$A133,业务流水!$Z$5:$Z$1504,"是"))</f>
        <v/>
      </c>
      <c r="F133" s="49" t="str">
        <f aca="false">IF(OR($A133="",$E133=0),"",SUMIFS(业务流水!$O$5:$O$1504,业务流水!$E$5:$E$1504,$D133,业务流水!$D$5:$D$1504,"销项开票",业务流水!$C$5:$C$1504,$A133,业务流水!$Z$5:$Z$1504,"是")/$E133)</f>
        <v/>
      </c>
      <c r="G133" s="41" t="str">
        <f aca="false">IF($A133="","",SUMIFS(业务流水!$O$5:$O$1504,业务流水!$E$5:$E$1504,$D133,业务流水!$D$5:$D$1504,"销项开票",业务流水!$C$5:$C$1504,$A133,业务流水!$Z$5:$Z$1504,"是"))</f>
        <v/>
      </c>
      <c r="H133" s="42" t="str">
        <f aca="false">IF($A133="","",$E133-$G133)</f>
        <v/>
      </c>
      <c r="I133" s="32" t="str">
        <f aca="false">IF($A133="","",项目档案!$F133)</f>
        <v/>
      </c>
      <c r="J133" s="41" t="n">
        <f aca="false">IF(OR($A133="",$I133=""),0,SUMIFS(业务流水!$H$5:$H$1504,业务流水!$E$5:$E$1504,$I133,业务流水!$D$5:$D$1504,"销项开票",业务流水!$C$5:$C$1504,$A133,业务流水!$Z$5:$Z$1504,"是"))</f>
        <v>0</v>
      </c>
      <c r="K133" s="49" t="str">
        <f aca="false">IF(OR($A133="",$J133=0),"",SUMIFS(业务流水!$O$5:$O$1504,业务流水!$E$5:$E$1504,$I133,业务流水!$D$5:$D$1504,"销项开票",业务流水!$C$5:$C$1504,$A133,业务流水!$Z$5:$Z$1504,"是")/$J133)</f>
        <v/>
      </c>
      <c r="L133" s="41" t="n">
        <f aca="false">IF(OR($A133="",$I133=""),0,SUMIFS(业务流水!$O$5:$O$1504,业务流水!$E$5:$E$1504,$I133,业务流水!$D$5:$D$1504,"销项开票",业务流水!$C$5:$C$1504,$A133,业务流水!$Z$5:$Z$1504,"是"))</f>
        <v>0</v>
      </c>
      <c r="M133" s="43" t="str">
        <f aca="false">IF($A133="","",IF(AND($I133&lt;&gt;"",$J133&gt;0),$J133-$L133,$H133))</f>
        <v/>
      </c>
      <c r="N133" s="41" t="str">
        <f aca="false">IF($A133="","",SUMIFS(业务流水!$H$5:$H$1504,业务流水!$F$5:$F$1504,"*",业务流水!$D$5:$D$1504,"成本票",业务流水!$C$5:$C$1504,$A133,业务流水!$Z$5:$Z$1504,"是"))</f>
        <v/>
      </c>
      <c r="O133" s="43" t="str">
        <f aca="false">IF($A133="","",ROUND($M133-$N133,2))</f>
        <v/>
      </c>
      <c r="P133" s="33" t="str">
        <f aca="false">IF($A133="","",IF(ABS($O133)&lt;1,"✓ 已开齐",IF($O133&gt;0,"还差成本票","多开了")))</f>
        <v/>
      </c>
    </row>
    <row r="134" customFormat="false" ht="15.75" hidden="false" customHeight="true" outlineLevel="0" collapsed="false">
      <c r="A134" s="32" t="str">
        <f aca="false">IF(项目档案!$A134="","",项目档案!$A134)</f>
        <v/>
      </c>
      <c r="B134" s="40" t="str">
        <f aca="false">IF($A134="","",项目档案!$B134)</f>
        <v/>
      </c>
      <c r="C134" s="32" t="str">
        <f aca="false">IF($A134="","",项目档案!$C134)</f>
        <v/>
      </c>
      <c r="D134" s="32" t="str">
        <f aca="false">IF($A134="","",项目档案!$D134)</f>
        <v/>
      </c>
      <c r="E134" s="41" t="str">
        <f aca="false">IF($A134="","",SUMIFS(业务流水!$H$5:$H$1504,业务流水!$E$5:$E$1504,$D134,业务流水!$D$5:$D$1504,"销项开票",业务流水!$C$5:$C$1504,$A134,业务流水!$Z$5:$Z$1504,"是"))</f>
        <v/>
      </c>
      <c r="F134" s="49" t="str">
        <f aca="false">IF(OR($A134="",$E134=0),"",SUMIFS(业务流水!$O$5:$O$1504,业务流水!$E$5:$E$1504,$D134,业务流水!$D$5:$D$1504,"销项开票",业务流水!$C$5:$C$1504,$A134,业务流水!$Z$5:$Z$1504,"是")/$E134)</f>
        <v/>
      </c>
      <c r="G134" s="41" t="str">
        <f aca="false">IF($A134="","",SUMIFS(业务流水!$O$5:$O$1504,业务流水!$E$5:$E$1504,$D134,业务流水!$D$5:$D$1504,"销项开票",业务流水!$C$5:$C$1504,$A134,业务流水!$Z$5:$Z$1504,"是"))</f>
        <v/>
      </c>
      <c r="H134" s="42" t="str">
        <f aca="false">IF($A134="","",$E134-$G134)</f>
        <v/>
      </c>
      <c r="I134" s="32" t="str">
        <f aca="false">IF($A134="","",项目档案!$F134)</f>
        <v/>
      </c>
      <c r="J134" s="41" t="n">
        <f aca="false">IF(OR($A134="",$I134=""),0,SUMIFS(业务流水!$H$5:$H$1504,业务流水!$E$5:$E$1504,$I134,业务流水!$D$5:$D$1504,"销项开票",业务流水!$C$5:$C$1504,$A134,业务流水!$Z$5:$Z$1504,"是"))</f>
        <v>0</v>
      </c>
      <c r="K134" s="49" t="str">
        <f aca="false">IF(OR($A134="",$J134=0),"",SUMIFS(业务流水!$O$5:$O$1504,业务流水!$E$5:$E$1504,$I134,业务流水!$D$5:$D$1504,"销项开票",业务流水!$C$5:$C$1504,$A134,业务流水!$Z$5:$Z$1504,"是")/$J134)</f>
        <v/>
      </c>
      <c r="L134" s="41" t="n">
        <f aca="false">IF(OR($A134="",$I134=""),0,SUMIFS(业务流水!$O$5:$O$1504,业务流水!$E$5:$E$1504,$I134,业务流水!$D$5:$D$1504,"销项开票",业务流水!$C$5:$C$1504,$A134,业务流水!$Z$5:$Z$1504,"是"))</f>
        <v>0</v>
      </c>
      <c r="M134" s="43" t="str">
        <f aca="false">IF($A134="","",IF(AND($I134&lt;&gt;"",$J134&gt;0),$J134-$L134,$H134))</f>
        <v/>
      </c>
      <c r="N134" s="41" t="str">
        <f aca="false">IF($A134="","",SUMIFS(业务流水!$H$5:$H$1504,业务流水!$F$5:$F$1504,"*",业务流水!$D$5:$D$1504,"成本票",业务流水!$C$5:$C$1504,$A134,业务流水!$Z$5:$Z$1504,"是"))</f>
        <v/>
      </c>
      <c r="O134" s="43" t="str">
        <f aca="false">IF($A134="","",ROUND($M134-$N134,2))</f>
        <v/>
      </c>
      <c r="P134" s="33" t="str">
        <f aca="false">IF($A134="","",IF(ABS($O134)&lt;1,"✓ 已开齐",IF($O134&gt;0,"还差成本票","多开了")))</f>
        <v/>
      </c>
    </row>
    <row r="135" customFormat="false" ht="15.75" hidden="false" customHeight="true" outlineLevel="0" collapsed="false">
      <c r="A135" s="32" t="str">
        <f aca="false">IF(项目档案!$A135="","",项目档案!$A135)</f>
        <v/>
      </c>
      <c r="B135" s="40" t="str">
        <f aca="false">IF($A135="","",项目档案!$B135)</f>
        <v/>
      </c>
      <c r="C135" s="32" t="str">
        <f aca="false">IF($A135="","",项目档案!$C135)</f>
        <v/>
      </c>
      <c r="D135" s="32" t="str">
        <f aca="false">IF($A135="","",项目档案!$D135)</f>
        <v/>
      </c>
      <c r="E135" s="41" t="str">
        <f aca="false">IF($A135="","",SUMIFS(业务流水!$H$5:$H$1504,业务流水!$E$5:$E$1504,$D135,业务流水!$D$5:$D$1504,"销项开票",业务流水!$C$5:$C$1504,$A135,业务流水!$Z$5:$Z$1504,"是"))</f>
        <v/>
      </c>
      <c r="F135" s="49" t="str">
        <f aca="false">IF(OR($A135="",$E135=0),"",SUMIFS(业务流水!$O$5:$O$1504,业务流水!$E$5:$E$1504,$D135,业务流水!$D$5:$D$1504,"销项开票",业务流水!$C$5:$C$1504,$A135,业务流水!$Z$5:$Z$1504,"是")/$E135)</f>
        <v/>
      </c>
      <c r="G135" s="41" t="str">
        <f aca="false">IF($A135="","",SUMIFS(业务流水!$O$5:$O$1504,业务流水!$E$5:$E$1504,$D135,业务流水!$D$5:$D$1504,"销项开票",业务流水!$C$5:$C$1504,$A135,业务流水!$Z$5:$Z$1504,"是"))</f>
        <v/>
      </c>
      <c r="H135" s="42" t="str">
        <f aca="false">IF($A135="","",$E135-$G135)</f>
        <v/>
      </c>
      <c r="I135" s="32" t="str">
        <f aca="false">IF($A135="","",项目档案!$F135)</f>
        <v/>
      </c>
      <c r="J135" s="41" t="n">
        <f aca="false">IF(OR($A135="",$I135=""),0,SUMIFS(业务流水!$H$5:$H$1504,业务流水!$E$5:$E$1504,$I135,业务流水!$D$5:$D$1504,"销项开票",业务流水!$C$5:$C$1504,$A135,业务流水!$Z$5:$Z$1504,"是"))</f>
        <v>0</v>
      </c>
      <c r="K135" s="49" t="str">
        <f aca="false">IF(OR($A135="",$J135=0),"",SUMIFS(业务流水!$O$5:$O$1504,业务流水!$E$5:$E$1504,$I135,业务流水!$D$5:$D$1504,"销项开票",业务流水!$C$5:$C$1504,$A135,业务流水!$Z$5:$Z$1504,"是")/$J135)</f>
        <v/>
      </c>
      <c r="L135" s="41" t="n">
        <f aca="false">IF(OR($A135="",$I135=""),0,SUMIFS(业务流水!$O$5:$O$1504,业务流水!$E$5:$E$1504,$I135,业务流水!$D$5:$D$1504,"销项开票",业务流水!$C$5:$C$1504,$A135,业务流水!$Z$5:$Z$1504,"是"))</f>
        <v>0</v>
      </c>
      <c r="M135" s="43" t="str">
        <f aca="false">IF($A135="","",IF(AND($I135&lt;&gt;"",$J135&gt;0),$J135-$L135,$H135))</f>
        <v/>
      </c>
      <c r="N135" s="41" t="str">
        <f aca="false">IF($A135="","",SUMIFS(业务流水!$H$5:$H$1504,业务流水!$F$5:$F$1504,"*",业务流水!$D$5:$D$1504,"成本票",业务流水!$C$5:$C$1504,$A135,业务流水!$Z$5:$Z$1504,"是"))</f>
        <v/>
      </c>
      <c r="O135" s="43" t="str">
        <f aca="false">IF($A135="","",ROUND($M135-$N135,2))</f>
        <v/>
      </c>
      <c r="P135" s="33" t="str">
        <f aca="false">IF($A135="","",IF(ABS($O135)&lt;1,"✓ 已开齐",IF($O135&gt;0,"还差成本票","多开了")))</f>
        <v/>
      </c>
    </row>
    <row r="136" customFormat="false" ht="15.75" hidden="false" customHeight="true" outlineLevel="0" collapsed="false">
      <c r="A136" s="32" t="str">
        <f aca="false">IF(项目档案!$A136="","",项目档案!$A136)</f>
        <v/>
      </c>
      <c r="B136" s="40" t="str">
        <f aca="false">IF($A136="","",项目档案!$B136)</f>
        <v/>
      </c>
      <c r="C136" s="32" t="str">
        <f aca="false">IF($A136="","",项目档案!$C136)</f>
        <v/>
      </c>
      <c r="D136" s="32" t="str">
        <f aca="false">IF($A136="","",项目档案!$D136)</f>
        <v/>
      </c>
      <c r="E136" s="41" t="str">
        <f aca="false">IF($A136="","",SUMIFS(业务流水!$H$5:$H$1504,业务流水!$E$5:$E$1504,$D136,业务流水!$D$5:$D$1504,"销项开票",业务流水!$C$5:$C$1504,$A136,业务流水!$Z$5:$Z$1504,"是"))</f>
        <v/>
      </c>
      <c r="F136" s="49" t="str">
        <f aca="false">IF(OR($A136="",$E136=0),"",SUMIFS(业务流水!$O$5:$O$1504,业务流水!$E$5:$E$1504,$D136,业务流水!$D$5:$D$1504,"销项开票",业务流水!$C$5:$C$1504,$A136,业务流水!$Z$5:$Z$1504,"是")/$E136)</f>
        <v/>
      </c>
      <c r="G136" s="41" t="str">
        <f aca="false">IF($A136="","",SUMIFS(业务流水!$O$5:$O$1504,业务流水!$E$5:$E$1504,$D136,业务流水!$D$5:$D$1504,"销项开票",业务流水!$C$5:$C$1504,$A136,业务流水!$Z$5:$Z$1504,"是"))</f>
        <v/>
      </c>
      <c r="H136" s="42" t="str">
        <f aca="false">IF($A136="","",$E136-$G136)</f>
        <v/>
      </c>
      <c r="I136" s="32" t="str">
        <f aca="false">IF($A136="","",项目档案!$F136)</f>
        <v/>
      </c>
      <c r="J136" s="41" t="n">
        <f aca="false">IF(OR($A136="",$I136=""),0,SUMIFS(业务流水!$H$5:$H$1504,业务流水!$E$5:$E$1504,$I136,业务流水!$D$5:$D$1504,"销项开票",业务流水!$C$5:$C$1504,$A136,业务流水!$Z$5:$Z$1504,"是"))</f>
        <v>0</v>
      </c>
      <c r="K136" s="49" t="str">
        <f aca="false">IF(OR($A136="",$J136=0),"",SUMIFS(业务流水!$O$5:$O$1504,业务流水!$E$5:$E$1504,$I136,业务流水!$D$5:$D$1504,"销项开票",业务流水!$C$5:$C$1504,$A136,业务流水!$Z$5:$Z$1504,"是")/$J136)</f>
        <v/>
      </c>
      <c r="L136" s="41" t="n">
        <f aca="false">IF(OR($A136="",$I136=""),0,SUMIFS(业务流水!$O$5:$O$1504,业务流水!$E$5:$E$1504,$I136,业务流水!$D$5:$D$1504,"销项开票",业务流水!$C$5:$C$1504,$A136,业务流水!$Z$5:$Z$1504,"是"))</f>
        <v>0</v>
      </c>
      <c r="M136" s="43" t="str">
        <f aca="false">IF($A136="","",IF(AND($I136&lt;&gt;"",$J136&gt;0),$J136-$L136,$H136))</f>
        <v/>
      </c>
      <c r="N136" s="41" t="str">
        <f aca="false">IF($A136="","",SUMIFS(业务流水!$H$5:$H$1504,业务流水!$F$5:$F$1504,"*",业务流水!$D$5:$D$1504,"成本票",业务流水!$C$5:$C$1504,$A136,业务流水!$Z$5:$Z$1504,"是"))</f>
        <v/>
      </c>
      <c r="O136" s="43" t="str">
        <f aca="false">IF($A136="","",ROUND($M136-$N136,2))</f>
        <v/>
      </c>
      <c r="P136" s="33" t="str">
        <f aca="false">IF($A136="","",IF(ABS($O136)&lt;1,"✓ 已开齐",IF($O136&gt;0,"还差成本票","多开了")))</f>
        <v/>
      </c>
    </row>
    <row r="137" customFormat="false" ht="15.75" hidden="false" customHeight="true" outlineLevel="0" collapsed="false">
      <c r="A137" s="32" t="str">
        <f aca="false">IF(项目档案!$A137="","",项目档案!$A137)</f>
        <v/>
      </c>
      <c r="B137" s="40" t="str">
        <f aca="false">IF($A137="","",项目档案!$B137)</f>
        <v/>
      </c>
      <c r="C137" s="32" t="str">
        <f aca="false">IF($A137="","",项目档案!$C137)</f>
        <v/>
      </c>
      <c r="D137" s="32" t="str">
        <f aca="false">IF($A137="","",项目档案!$D137)</f>
        <v/>
      </c>
      <c r="E137" s="41" t="str">
        <f aca="false">IF($A137="","",SUMIFS(业务流水!$H$5:$H$1504,业务流水!$E$5:$E$1504,$D137,业务流水!$D$5:$D$1504,"销项开票",业务流水!$C$5:$C$1504,$A137,业务流水!$Z$5:$Z$1504,"是"))</f>
        <v/>
      </c>
      <c r="F137" s="49" t="str">
        <f aca="false">IF(OR($A137="",$E137=0),"",SUMIFS(业务流水!$O$5:$O$1504,业务流水!$E$5:$E$1504,$D137,业务流水!$D$5:$D$1504,"销项开票",业务流水!$C$5:$C$1504,$A137,业务流水!$Z$5:$Z$1504,"是")/$E137)</f>
        <v/>
      </c>
      <c r="G137" s="41" t="str">
        <f aca="false">IF($A137="","",SUMIFS(业务流水!$O$5:$O$1504,业务流水!$E$5:$E$1504,$D137,业务流水!$D$5:$D$1504,"销项开票",业务流水!$C$5:$C$1504,$A137,业务流水!$Z$5:$Z$1504,"是"))</f>
        <v/>
      </c>
      <c r="H137" s="42" t="str">
        <f aca="false">IF($A137="","",$E137-$G137)</f>
        <v/>
      </c>
      <c r="I137" s="32" t="str">
        <f aca="false">IF($A137="","",项目档案!$F137)</f>
        <v/>
      </c>
      <c r="J137" s="41" t="n">
        <f aca="false">IF(OR($A137="",$I137=""),0,SUMIFS(业务流水!$H$5:$H$1504,业务流水!$E$5:$E$1504,$I137,业务流水!$D$5:$D$1504,"销项开票",业务流水!$C$5:$C$1504,$A137,业务流水!$Z$5:$Z$1504,"是"))</f>
        <v>0</v>
      </c>
      <c r="K137" s="49" t="str">
        <f aca="false">IF(OR($A137="",$J137=0),"",SUMIFS(业务流水!$O$5:$O$1504,业务流水!$E$5:$E$1504,$I137,业务流水!$D$5:$D$1504,"销项开票",业务流水!$C$5:$C$1504,$A137,业务流水!$Z$5:$Z$1504,"是")/$J137)</f>
        <v/>
      </c>
      <c r="L137" s="41" t="n">
        <f aca="false">IF(OR($A137="",$I137=""),0,SUMIFS(业务流水!$O$5:$O$1504,业务流水!$E$5:$E$1504,$I137,业务流水!$D$5:$D$1504,"销项开票",业务流水!$C$5:$C$1504,$A137,业务流水!$Z$5:$Z$1504,"是"))</f>
        <v>0</v>
      </c>
      <c r="M137" s="43" t="str">
        <f aca="false">IF($A137="","",IF(AND($I137&lt;&gt;"",$J137&gt;0),$J137-$L137,$H137))</f>
        <v/>
      </c>
      <c r="N137" s="41" t="str">
        <f aca="false">IF($A137="","",SUMIFS(业务流水!$H$5:$H$1504,业务流水!$F$5:$F$1504,"*",业务流水!$D$5:$D$1504,"成本票",业务流水!$C$5:$C$1504,$A137,业务流水!$Z$5:$Z$1504,"是"))</f>
        <v/>
      </c>
      <c r="O137" s="43" t="str">
        <f aca="false">IF($A137="","",ROUND($M137-$N137,2))</f>
        <v/>
      </c>
      <c r="P137" s="33" t="str">
        <f aca="false">IF($A137="","",IF(ABS($O137)&lt;1,"✓ 已开齐",IF($O137&gt;0,"还差成本票","多开了")))</f>
        <v/>
      </c>
    </row>
    <row r="138" customFormat="false" ht="15.75" hidden="false" customHeight="true" outlineLevel="0" collapsed="false">
      <c r="A138" s="32" t="str">
        <f aca="false">IF(项目档案!$A138="","",项目档案!$A138)</f>
        <v/>
      </c>
      <c r="B138" s="40" t="str">
        <f aca="false">IF($A138="","",项目档案!$B138)</f>
        <v/>
      </c>
      <c r="C138" s="32" t="str">
        <f aca="false">IF($A138="","",项目档案!$C138)</f>
        <v/>
      </c>
      <c r="D138" s="32" t="str">
        <f aca="false">IF($A138="","",项目档案!$D138)</f>
        <v/>
      </c>
      <c r="E138" s="41" t="str">
        <f aca="false">IF($A138="","",SUMIFS(业务流水!$H$5:$H$1504,业务流水!$E$5:$E$1504,$D138,业务流水!$D$5:$D$1504,"销项开票",业务流水!$C$5:$C$1504,$A138,业务流水!$Z$5:$Z$1504,"是"))</f>
        <v/>
      </c>
      <c r="F138" s="49" t="str">
        <f aca="false">IF(OR($A138="",$E138=0),"",SUMIFS(业务流水!$O$5:$O$1504,业务流水!$E$5:$E$1504,$D138,业务流水!$D$5:$D$1504,"销项开票",业务流水!$C$5:$C$1504,$A138,业务流水!$Z$5:$Z$1504,"是")/$E138)</f>
        <v/>
      </c>
      <c r="G138" s="41" t="str">
        <f aca="false">IF($A138="","",SUMIFS(业务流水!$O$5:$O$1504,业务流水!$E$5:$E$1504,$D138,业务流水!$D$5:$D$1504,"销项开票",业务流水!$C$5:$C$1504,$A138,业务流水!$Z$5:$Z$1504,"是"))</f>
        <v/>
      </c>
      <c r="H138" s="42" t="str">
        <f aca="false">IF($A138="","",$E138-$G138)</f>
        <v/>
      </c>
      <c r="I138" s="32" t="str">
        <f aca="false">IF($A138="","",项目档案!$F138)</f>
        <v/>
      </c>
      <c r="J138" s="41" t="n">
        <f aca="false">IF(OR($A138="",$I138=""),0,SUMIFS(业务流水!$H$5:$H$1504,业务流水!$E$5:$E$1504,$I138,业务流水!$D$5:$D$1504,"销项开票",业务流水!$C$5:$C$1504,$A138,业务流水!$Z$5:$Z$1504,"是"))</f>
        <v>0</v>
      </c>
      <c r="K138" s="49" t="str">
        <f aca="false">IF(OR($A138="",$J138=0),"",SUMIFS(业务流水!$O$5:$O$1504,业务流水!$E$5:$E$1504,$I138,业务流水!$D$5:$D$1504,"销项开票",业务流水!$C$5:$C$1504,$A138,业务流水!$Z$5:$Z$1504,"是")/$J138)</f>
        <v/>
      </c>
      <c r="L138" s="41" t="n">
        <f aca="false">IF(OR($A138="",$I138=""),0,SUMIFS(业务流水!$O$5:$O$1504,业务流水!$E$5:$E$1504,$I138,业务流水!$D$5:$D$1504,"销项开票",业务流水!$C$5:$C$1504,$A138,业务流水!$Z$5:$Z$1504,"是"))</f>
        <v>0</v>
      </c>
      <c r="M138" s="43" t="str">
        <f aca="false">IF($A138="","",IF(AND($I138&lt;&gt;"",$J138&gt;0),$J138-$L138,$H138))</f>
        <v/>
      </c>
      <c r="N138" s="41" t="str">
        <f aca="false">IF($A138="","",SUMIFS(业务流水!$H$5:$H$1504,业务流水!$F$5:$F$1504,"*",业务流水!$D$5:$D$1504,"成本票",业务流水!$C$5:$C$1504,$A138,业务流水!$Z$5:$Z$1504,"是"))</f>
        <v/>
      </c>
      <c r="O138" s="43" t="str">
        <f aca="false">IF($A138="","",ROUND($M138-$N138,2))</f>
        <v/>
      </c>
      <c r="P138" s="33" t="str">
        <f aca="false">IF($A138="","",IF(ABS($O138)&lt;1,"✓ 已开齐",IF($O138&gt;0,"还差成本票","多开了")))</f>
        <v/>
      </c>
    </row>
    <row r="139" customFormat="false" ht="15.75" hidden="false" customHeight="true" outlineLevel="0" collapsed="false">
      <c r="A139" s="32" t="str">
        <f aca="false">IF(项目档案!$A139="","",项目档案!$A139)</f>
        <v/>
      </c>
      <c r="B139" s="40" t="str">
        <f aca="false">IF($A139="","",项目档案!$B139)</f>
        <v/>
      </c>
      <c r="C139" s="32" t="str">
        <f aca="false">IF($A139="","",项目档案!$C139)</f>
        <v/>
      </c>
      <c r="D139" s="32" t="str">
        <f aca="false">IF($A139="","",项目档案!$D139)</f>
        <v/>
      </c>
      <c r="E139" s="41" t="str">
        <f aca="false">IF($A139="","",SUMIFS(业务流水!$H$5:$H$1504,业务流水!$E$5:$E$1504,$D139,业务流水!$D$5:$D$1504,"销项开票",业务流水!$C$5:$C$1504,$A139,业务流水!$Z$5:$Z$1504,"是"))</f>
        <v/>
      </c>
      <c r="F139" s="49" t="str">
        <f aca="false">IF(OR($A139="",$E139=0),"",SUMIFS(业务流水!$O$5:$O$1504,业务流水!$E$5:$E$1504,$D139,业务流水!$D$5:$D$1504,"销项开票",业务流水!$C$5:$C$1504,$A139,业务流水!$Z$5:$Z$1504,"是")/$E139)</f>
        <v/>
      </c>
      <c r="G139" s="41" t="str">
        <f aca="false">IF($A139="","",SUMIFS(业务流水!$O$5:$O$1504,业务流水!$E$5:$E$1504,$D139,业务流水!$D$5:$D$1504,"销项开票",业务流水!$C$5:$C$1504,$A139,业务流水!$Z$5:$Z$1504,"是"))</f>
        <v/>
      </c>
      <c r="H139" s="42" t="str">
        <f aca="false">IF($A139="","",$E139-$G139)</f>
        <v/>
      </c>
      <c r="I139" s="32" t="str">
        <f aca="false">IF($A139="","",项目档案!$F139)</f>
        <v/>
      </c>
      <c r="J139" s="41" t="n">
        <f aca="false">IF(OR($A139="",$I139=""),0,SUMIFS(业务流水!$H$5:$H$1504,业务流水!$E$5:$E$1504,$I139,业务流水!$D$5:$D$1504,"销项开票",业务流水!$C$5:$C$1504,$A139,业务流水!$Z$5:$Z$1504,"是"))</f>
        <v>0</v>
      </c>
      <c r="K139" s="49" t="str">
        <f aca="false">IF(OR($A139="",$J139=0),"",SUMIFS(业务流水!$O$5:$O$1504,业务流水!$E$5:$E$1504,$I139,业务流水!$D$5:$D$1504,"销项开票",业务流水!$C$5:$C$1504,$A139,业务流水!$Z$5:$Z$1504,"是")/$J139)</f>
        <v/>
      </c>
      <c r="L139" s="41" t="n">
        <f aca="false">IF(OR($A139="",$I139=""),0,SUMIFS(业务流水!$O$5:$O$1504,业务流水!$E$5:$E$1504,$I139,业务流水!$D$5:$D$1504,"销项开票",业务流水!$C$5:$C$1504,$A139,业务流水!$Z$5:$Z$1504,"是"))</f>
        <v>0</v>
      </c>
      <c r="M139" s="43" t="str">
        <f aca="false">IF($A139="","",IF(AND($I139&lt;&gt;"",$J139&gt;0),$J139-$L139,$H139))</f>
        <v/>
      </c>
      <c r="N139" s="41" t="str">
        <f aca="false">IF($A139="","",SUMIFS(业务流水!$H$5:$H$1504,业务流水!$F$5:$F$1504,"*",业务流水!$D$5:$D$1504,"成本票",业务流水!$C$5:$C$1504,$A139,业务流水!$Z$5:$Z$1504,"是"))</f>
        <v/>
      </c>
      <c r="O139" s="43" t="str">
        <f aca="false">IF($A139="","",ROUND($M139-$N139,2))</f>
        <v/>
      </c>
      <c r="P139" s="33" t="str">
        <f aca="false">IF($A139="","",IF(ABS($O139)&lt;1,"✓ 已开齐",IF($O139&gt;0,"还差成本票","多开了")))</f>
        <v/>
      </c>
    </row>
    <row r="140" customFormat="false" ht="15.75" hidden="false" customHeight="true" outlineLevel="0" collapsed="false">
      <c r="A140" s="32" t="str">
        <f aca="false">IF(项目档案!$A140="","",项目档案!$A140)</f>
        <v/>
      </c>
      <c r="B140" s="40" t="str">
        <f aca="false">IF($A140="","",项目档案!$B140)</f>
        <v/>
      </c>
      <c r="C140" s="32" t="str">
        <f aca="false">IF($A140="","",项目档案!$C140)</f>
        <v/>
      </c>
      <c r="D140" s="32" t="str">
        <f aca="false">IF($A140="","",项目档案!$D140)</f>
        <v/>
      </c>
      <c r="E140" s="41" t="str">
        <f aca="false">IF($A140="","",SUMIFS(业务流水!$H$5:$H$1504,业务流水!$E$5:$E$1504,$D140,业务流水!$D$5:$D$1504,"销项开票",业务流水!$C$5:$C$1504,$A140,业务流水!$Z$5:$Z$1504,"是"))</f>
        <v/>
      </c>
      <c r="F140" s="49" t="str">
        <f aca="false">IF(OR($A140="",$E140=0),"",SUMIFS(业务流水!$O$5:$O$1504,业务流水!$E$5:$E$1504,$D140,业务流水!$D$5:$D$1504,"销项开票",业务流水!$C$5:$C$1504,$A140,业务流水!$Z$5:$Z$1504,"是")/$E140)</f>
        <v/>
      </c>
      <c r="G140" s="41" t="str">
        <f aca="false">IF($A140="","",SUMIFS(业务流水!$O$5:$O$1504,业务流水!$E$5:$E$1504,$D140,业务流水!$D$5:$D$1504,"销项开票",业务流水!$C$5:$C$1504,$A140,业务流水!$Z$5:$Z$1504,"是"))</f>
        <v/>
      </c>
      <c r="H140" s="42" t="str">
        <f aca="false">IF($A140="","",$E140-$G140)</f>
        <v/>
      </c>
      <c r="I140" s="32" t="str">
        <f aca="false">IF($A140="","",项目档案!$F140)</f>
        <v/>
      </c>
      <c r="J140" s="41" t="n">
        <f aca="false">IF(OR($A140="",$I140=""),0,SUMIFS(业务流水!$H$5:$H$1504,业务流水!$E$5:$E$1504,$I140,业务流水!$D$5:$D$1504,"销项开票",业务流水!$C$5:$C$1504,$A140,业务流水!$Z$5:$Z$1504,"是"))</f>
        <v>0</v>
      </c>
      <c r="K140" s="49" t="str">
        <f aca="false">IF(OR($A140="",$J140=0),"",SUMIFS(业务流水!$O$5:$O$1504,业务流水!$E$5:$E$1504,$I140,业务流水!$D$5:$D$1504,"销项开票",业务流水!$C$5:$C$1504,$A140,业务流水!$Z$5:$Z$1504,"是")/$J140)</f>
        <v/>
      </c>
      <c r="L140" s="41" t="n">
        <f aca="false">IF(OR($A140="",$I140=""),0,SUMIFS(业务流水!$O$5:$O$1504,业务流水!$E$5:$E$1504,$I140,业务流水!$D$5:$D$1504,"销项开票",业务流水!$C$5:$C$1504,$A140,业务流水!$Z$5:$Z$1504,"是"))</f>
        <v>0</v>
      </c>
      <c r="M140" s="43" t="str">
        <f aca="false">IF($A140="","",IF(AND($I140&lt;&gt;"",$J140&gt;0),$J140-$L140,$H140))</f>
        <v/>
      </c>
      <c r="N140" s="41" t="str">
        <f aca="false">IF($A140="","",SUMIFS(业务流水!$H$5:$H$1504,业务流水!$F$5:$F$1504,"*",业务流水!$D$5:$D$1504,"成本票",业务流水!$C$5:$C$1504,$A140,业务流水!$Z$5:$Z$1504,"是"))</f>
        <v/>
      </c>
      <c r="O140" s="43" t="str">
        <f aca="false">IF($A140="","",ROUND($M140-$N140,2))</f>
        <v/>
      </c>
      <c r="P140" s="33" t="str">
        <f aca="false">IF($A140="","",IF(ABS($O140)&lt;1,"✓ 已开齐",IF($O140&gt;0,"还差成本票","多开了")))</f>
        <v/>
      </c>
    </row>
    <row r="141" customFormat="false" ht="15.75" hidden="false" customHeight="true" outlineLevel="0" collapsed="false">
      <c r="A141" s="32" t="str">
        <f aca="false">IF(项目档案!$A141="","",项目档案!$A141)</f>
        <v/>
      </c>
      <c r="B141" s="40" t="str">
        <f aca="false">IF($A141="","",项目档案!$B141)</f>
        <v/>
      </c>
      <c r="C141" s="32" t="str">
        <f aca="false">IF($A141="","",项目档案!$C141)</f>
        <v/>
      </c>
      <c r="D141" s="32" t="str">
        <f aca="false">IF($A141="","",项目档案!$D141)</f>
        <v/>
      </c>
      <c r="E141" s="41" t="str">
        <f aca="false">IF($A141="","",SUMIFS(业务流水!$H$5:$H$1504,业务流水!$E$5:$E$1504,$D141,业务流水!$D$5:$D$1504,"销项开票",业务流水!$C$5:$C$1504,$A141,业务流水!$Z$5:$Z$1504,"是"))</f>
        <v/>
      </c>
      <c r="F141" s="49" t="str">
        <f aca="false">IF(OR($A141="",$E141=0),"",SUMIFS(业务流水!$O$5:$O$1504,业务流水!$E$5:$E$1504,$D141,业务流水!$D$5:$D$1504,"销项开票",业务流水!$C$5:$C$1504,$A141,业务流水!$Z$5:$Z$1504,"是")/$E141)</f>
        <v/>
      </c>
      <c r="G141" s="41" t="str">
        <f aca="false">IF($A141="","",SUMIFS(业务流水!$O$5:$O$1504,业务流水!$E$5:$E$1504,$D141,业务流水!$D$5:$D$1504,"销项开票",业务流水!$C$5:$C$1504,$A141,业务流水!$Z$5:$Z$1504,"是"))</f>
        <v/>
      </c>
      <c r="H141" s="42" t="str">
        <f aca="false">IF($A141="","",$E141-$G141)</f>
        <v/>
      </c>
      <c r="I141" s="32" t="str">
        <f aca="false">IF($A141="","",项目档案!$F141)</f>
        <v/>
      </c>
      <c r="J141" s="41" t="n">
        <f aca="false">IF(OR($A141="",$I141=""),0,SUMIFS(业务流水!$H$5:$H$1504,业务流水!$E$5:$E$1504,$I141,业务流水!$D$5:$D$1504,"销项开票",业务流水!$C$5:$C$1504,$A141,业务流水!$Z$5:$Z$1504,"是"))</f>
        <v>0</v>
      </c>
      <c r="K141" s="49" t="str">
        <f aca="false">IF(OR($A141="",$J141=0),"",SUMIFS(业务流水!$O$5:$O$1504,业务流水!$E$5:$E$1504,$I141,业务流水!$D$5:$D$1504,"销项开票",业务流水!$C$5:$C$1504,$A141,业务流水!$Z$5:$Z$1504,"是")/$J141)</f>
        <v/>
      </c>
      <c r="L141" s="41" t="n">
        <f aca="false">IF(OR($A141="",$I141=""),0,SUMIFS(业务流水!$O$5:$O$1504,业务流水!$E$5:$E$1504,$I141,业务流水!$D$5:$D$1504,"销项开票",业务流水!$C$5:$C$1504,$A141,业务流水!$Z$5:$Z$1504,"是"))</f>
        <v>0</v>
      </c>
      <c r="M141" s="43" t="str">
        <f aca="false">IF($A141="","",IF(AND($I141&lt;&gt;"",$J141&gt;0),$J141-$L141,$H141))</f>
        <v/>
      </c>
      <c r="N141" s="41" t="str">
        <f aca="false">IF($A141="","",SUMIFS(业务流水!$H$5:$H$1504,业务流水!$F$5:$F$1504,"*",业务流水!$D$5:$D$1504,"成本票",业务流水!$C$5:$C$1504,$A141,业务流水!$Z$5:$Z$1504,"是"))</f>
        <v/>
      </c>
      <c r="O141" s="43" t="str">
        <f aca="false">IF($A141="","",ROUND($M141-$N141,2))</f>
        <v/>
      </c>
      <c r="P141" s="33" t="str">
        <f aca="false">IF($A141="","",IF(ABS($O141)&lt;1,"✓ 已开齐",IF($O141&gt;0,"还差成本票","多开了")))</f>
        <v/>
      </c>
    </row>
    <row r="142" customFormat="false" ht="15.75" hidden="false" customHeight="true" outlineLevel="0" collapsed="false">
      <c r="A142" s="32" t="str">
        <f aca="false">IF(项目档案!$A142="","",项目档案!$A142)</f>
        <v/>
      </c>
      <c r="B142" s="40" t="str">
        <f aca="false">IF($A142="","",项目档案!$B142)</f>
        <v/>
      </c>
      <c r="C142" s="32" t="str">
        <f aca="false">IF($A142="","",项目档案!$C142)</f>
        <v/>
      </c>
      <c r="D142" s="32" t="str">
        <f aca="false">IF($A142="","",项目档案!$D142)</f>
        <v/>
      </c>
      <c r="E142" s="41" t="str">
        <f aca="false">IF($A142="","",SUMIFS(业务流水!$H$5:$H$1504,业务流水!$E$5:$E$1504,$D142,业务流水!$D$5:$D$1504,"销项开票",业务流水!$C$5:$C$1504,$A142,业务流水!$Z$5:$Z$1504,"是"))</f>
        <v/>
      </c>
      <c r="F142" s="49" t="str">
        <f aca="false">IF(OR($A142="",$E142=0),"",SUMIFS(业务流水!$O$5:$O$1504,业务流水!$E$5:$E$1504,$D142,业务流水!$D$5:$D$1504,"销项开票",业务流水!$C$5:$C$1504,$A142,业务流水!$Z$5:$Z$1504,"是")/$E142)</f>
        <v/>
      </c>
      <c r="G142" s="41" t="str">
        <f aca="false">IF($A142="","",SUMIFS(业务流水!$O$5:$O$1504,业务流水!$E$5:$E$1504,$D142,业务流水!$D$5:$D$1504,"销项开票",业务流水!$C$5:$C$1504,$A142,业务流水!$Z$5:$Z$1504,"是"))</f>
        <v/>
      </c>
      <c r="H142" s="42" t="str">
        <f aca="false">IF($A142="","",$E142-$G142)</f>
        <v/>
      </c>
      <c r="I142" s="32" t="str">
        <f aca="false">IF($A142="","",项目档案!$F142)</f>
        <v/>
      </c>
      <c r="J142" s="41" t="n">
        <f aca="false">IF(OR($A142="",$I142=""),0,SUMIFS(业务流水!$H$5:$H$1504,业务流水!$E$5:$E$1504,$I142,业务流水!$D$5:$D$1504,"销项开票",业务流水!$C$5:$C$1504,$A142,业务流水!$Z$5:$Z$1504,"是"))</f>
        <v>0</v>
      </c>
      <c r="K142" s="49" t="str">
        <f aca="false">IF(OR($A142="",$J142=0),"",SUMIFS(业务流水!$O$5:$O$1504,业务流水!$E$5:$E$1504,$I142,业务流水!$D$5:$D$1504,"销项开票",业务流水!$C$5:$C$1504,$A142,业务流水!$Z$5:$Z$1504,"是")/$J142)</f>
        <v/>
      </c>
      <c r="L142" s="41" t="n">
        <f aca="false">IF(OR($A142="",$I142=""),0,SUMIFS(业务流水!$O$5:$O$1504,业务流水!$E$5:$E$1504,$I142,业务流水!$D$5:$D$1504,"销项开票",业务流水!$C$5:$C$1504,$A142,业务流水!$Z$5:$Z$1504,"是"))</f>
        <v>0</v>
      </c>
      <c r="M142" s="43" t="str">
        <f aca="false">IF($A142="","",IF(AND($I142&lt;&gt;"",$J142&gt;0),$J142-$L142,$H142))</f>
        <v/>
      </c>
      <c r="N142" s="41" t="str">
        <f aca="false">IF($A142="","",SUMIFS(业务流水!$H$5:$H$1504,业务流水!$F$5:$F$1504,"*",业务流水!$D$5:$D$1504,"成本票",业务流水!$C$5:$C$1504,$A142,业务流水!$Z$5:$Z$1504,"是"))</f>
        <v/>
      </c>
      <c r="O142" s="43" t="str">
        <f aca="false">IF($A142="","",ROUND($M142-$N142,2))</f>
        <v/>
      </c>
      <c r="P142" s="33" t="str">
        <f aca="false">IF($A142="","",IF(ABS($O142)&lt;1,"✓ 已开齐",IF($O142&gt;0,"还差成本票","多开了")))</f>
        <v/>
      </c>
    </row>
    <row r="143" customFormat="false" ht="15.75" hidden="false" customHeight="true" outlineLevel="0" collapsed="false">
      <c r="A143" s="32" t="str">
        <f aca="false">IF(项目档案!$A143="","",项目档案!$A143)</f>
        <v/>
      </c>
      <c r="B143" s="40" t="str">
        <f aca="false">IF($A143="","",项目档案!$B143)</f>
        <v/>
      </c>
      <c r="C143" s="32" t="str">
        <f aca="false">IF($A143="","",项目档案!$C143)</f>
        <v/>
      </c>
      <c r="D143" s="32" t="str">
        <f aca="false">IF($A143="","",项目档案!$D143)</f>
        <v/>
      </c>
      <c r="E143" s="41" t="str">
        <f aca="false">IF($A143="","",SUMIFS(业务流水!$H$5:$H$1504,业务流水!$E$5:$E$1504,$D143,业务流水!$D$5:$D$1504,"销项开票",业务流水!$C$5:$C$1504,$A143,业务流水!$Z$5:$Z$1504,"是"))</f>
        <v/>
      </c>
      <c r="F143" s="49" t="str">
        <f aca="false">IF(OR($A143="",$E143=0),"",SUMIFS(业务流水!$O$5:$O$1504,业务流水!$E$5:$E$1504,$D143,业务流水!$D$5:$D$1504,"销项开票",业务流水!$C$5:$C$1504,$A143,业务流水!$Z$5:$Z$1504,"是")/$E143)</f>
        <v/>
      </c>
      <c r="G143" s="41" t="str">
        <f aca="false">IF($A143="","",SUMIFS(业务流水!$O$5:$O$1504,业务流水!$E$5:$E$1504,$D143,业务流水!$D$5:$D$1504,"销项开票",业务流水!$C$5:$C$1504,$A143,业务流水!$Z$5:$Z$1504,"是"))</f>
        <v/>
      </c>
      <c r="H143" s="42" t="str">
        <f aca="false">IF($A143="","",$E143-$G143)</f>
        <v/>
      </c>
      <c r="I143" s="32" t="str">
        <f aca="false">IF($A143="","",项目档案!$F143)</f>
        <v/>
      </c>
      <c r="J143" s="41" t="n">
        <f aca="false">IF(OR($A143="",$I143=""),0,SUMIFS(业务流水!$H$5:$H$1504,业务流水!$E$5:$E$1504,$I143,业务流水!$D$5:$D$1504,"销项开票",业务流水!$C$5:$C$1504,$A143,业务流水!$Z$5:$Z$1504,"是"))</f>
        <v>0</v>
      </c>
      <c r="K143" s="49" t="str">
        <f aca="false">IF(OR($A143="",$J143=0),"",SUMIFS(业务流水!$O$5:$O$1504,业务流水!$E$5:$E$1504,$I143,业务流水!$D$5:$D$1504,"销项开票",业务流水!$C$5:$C$1504,$A143,业务流水!$Z$5:$Z$1504,"是")/$J143)</f>
        <v/>
      </c>
      <c r="L143" s="41" t="n">
        <f aca="false">IF(OR($A143="",$I143=""),0,SUMIFS(业务流水!$O$5:$O$1504,业务流水!$E$5:$E$1504,$I143,业务流水!$D$5:$D$1504,"销项开票",业务流水!$C$5:$C$1504,$A143,业务流水!$Z$5:$Z$1504,"是"))</f>
        <v>0</v>
      </c>
      <c r="M143" s="43" t="str">
        <f aca="false">IF($A143="","",IF(AND($I143&lt;&gt;"",$J143&gt;0),$J143-$L143,$H143))</f>
        <v/>
      </c>
      <c r="N143" s="41" t="str">
        <f aca="false">IF($A143="","",SUMIFS(业务流水!$H$5:$H$1504,业务流水!$F$5:$F$1504,"*",业务流水!$D$5:$D$1504,"成本票",业务流水!$C$5:$C$1504,$A143,业务流水!$Z$5:$Z$1504,"是"))</f>
        <v/>
      </c>
      <c r="O143" s="43" t="str">
        <f aca="false">IF($A143="","",ROUND($M143-$N143,2))</f>
        <v/>
      </c>
      <c r="P143" s="33" t="str">
        <f aca="false">IF($A143="","",IF(ABS($O143)&lt;1,"✓ 已开齐",IF($O143&gt;0,"还差成本票","多开了")))</f>
        <v/>
      </c>
    </row>
    <row r="144" customFormat="false" ht="15.75" hidden="false" customHeight="true" outlineLevel="0" collapsed="false">
      <c r="A144" s="32" t="str">
        <f aca="false">IF(项目档案!$A144="","",项目档案!$A144)</f>
        <v/>
      </c>
      <c r="B144" s="40" t="str">
        <f aca="false">IF($A144="","",项目档案!$B144)</f>
        <v/>
      </c>
      <c r="C144" s="32" t="str">
        <f aca="false">IF($A144="","",项目档案!$C144)</f>
        <v/>
      </c>
      <c r="D144" s="32" t="str">
        <f aca="false">IF($A144="","",项目档案!$D144)</f>
        <v/>
      </c>
      <c r="E144" s="41" t="str">
        <f aca="false">IF($A144="","",SUMIFS(业务流水!$H$5:$H$1504,业务流水!$E$5:$E$1504,$D144,业务流水!$D$5:$D$1504,"销项开票",业务流水!$C$5:$C$1504,$A144,业务流水!$Z$5:$Z$1504,"是"))</f>
        <v/>
      </c>
      <c r="F144" s="49" t="str">
        <f aca="false">IF(OR($A144="",$E144=0),"",SUMIFS(业务流水!$O$5:$O$1504,业务流水!$E$5:$E$1504,$D144,业务流水!$D$5:$D$1504,"销项开票",业务流水!$C$5:$C$1504,$A144,业务流水!$Z$5:$Z$1504,"是")/$E144)</f>
        <v/>
      </c>
      <c r="G144" s="41" t="str">
        <f aca="false">IF($A144="","",SUMIFS(业务流水!$O$5:$O$1504,业务流水!$E$5:$E$1504,$D144,业务流水!$D$5:$D$1504,"销项开票",业务流水!$C$5:$C$1504,$A144,业务流水!$Z$5:$Z$1504,"是"))</f>
        <v/>
      </c>
      <c r="H144" s="42" t="str">
        <f aca="false">IF($A144="","",$E144-$G144)</f>
        <v/>
      </c>
      <c r="I144" s="32" t="str">
        <f aca="false">IF($A144="","",项目档案!$F144)</f>
        <v/>
      </c>
      <c r="J144" s="41" t="n">
        <f aca="false">IF(OR($A144="",$I144=""),0,SUMIFS(业务流水!$H$5:$H$1504,业务流水!$E$5:$E$1504,$I144,业务流水!$D$5:$D$1504,"销项开票",业务流水!$C$5:$C$1504,$A144,业务流水!$Z$5:$Z$1504,"是"))</f>
        <v>0</v>
      </c>
      <c r="K144" s="49" t="str">
        <f aca="false">IF(OR($A144="",$J144=0),"",SUMIFS(业务流水!$O$5:$O$1504,业务流水!$E$5:$E$1504,$I144,业务流水!$D$5:$D$1504,"销项开票",业务流水!$C$5:$C$1504,$A144,业务流水!$Z$5:$Z$1504,"是")/$J144)</f>
        <v/>
      </c>
      <c r="L144" s="41" t="n">
        <f aca="false">IF(OR($A144="",$I144=""),0,SUMIFS(业务流水!$O$5:$O$1504,业务流水!$E$5:$E$1504,$I144,业务流水!$D$5:$D$1504,"销项开票",业务流水!$C$5:$C$1504,$A144,业务流水!$Z$5:$Z$1504,"是"))</f>
        <v>0</v>
      </c>
      <c r="M144" s="43" t="str">
        <f aca="false">IF($A144="","",IF(AND($I144&lt;&gt;"",$J144&gt;0),$J144-$L144,$H144))</f>
        <v/>
      </c>
      <c r="N144" s="41" t="str">
        <f aca="false">IF($A144="","",SUMIFS(业务流水!$H$5:$H$1504,业务流水!$F$5:$F$1504,"*",业务流水!$D$5:$D$1504,"成本票",业务流水!$C$5:$C$1504,$A144,业务流水!$Z$5:$Z$1504,"是"))</f>
        <v/>
      </c>
      <c r="O144" s="43" t="str">
        <f aca="false">IF($A144="","",ROUND($M144-$N144,2))</f>
        <v/>
      </c>
      <c r="P144" s="33" t="str">
        <f aca="false">IF($A144="","",IF(ABS($O144)&lt;1,"✓ 已开齐",IF($O144&gt;0,"还差成本票","多开了")))</f>
        <v/>
      </c>
    </row>
    <row r="145" customFormat="false" ht="15.75" hidden="false" customHeight="true" outlineLevel="0" collapsed="false">
      <c r="A145" s="32" t="str">
        <f aca="false">IF(项目档案!$A145="","",项目档案!$A145)</f>
        <v/>
      </c>
      <c r="B145" s="40" t="str">
        <f aca="false">IF($A145="","",项目档案!$B145)</f>
        <v/>
      </c>
      <c r="C145" s="32" t="str">
        <f aca="false">IF($A145="","",项目档案!$C145)</f>
        <v/>
      </c>
      <c r="D145" s="32" t="str">
        <f aca="false">IF($A145="","",项目档案!$D145)</f>
        <v/>
      </c>
      <c r="E145" s="41" t="str">
        <f aca="false">IF($A145="","",SUMIFS(业务流水!$H$5:$H$1504,业务流水!$E$5:$E$1504,$D145,业务流水!$D$5:$D$1504,"销项开票",业务流水!$C$5:$C$1504,$A145,业务流水!$Z$5:$Z$1504,"是"))</f>
        <v/>
      </c>
      <c r="F145" s="49" t="str">
        <f aca="false">IF(OR($A145="",$E145=0),"",SUMIFS(业务流水!$O$5:$O$1504,业务流水!$E$5:$E$1504,$D145,业务流水!$D$5:$D$1504,"销项开票",业务流水!$C$5:$C$1504,$A145,业务流水!$Z$5:$Z$1504,"是")/$E145)</f>
        <v/>
      </c>
      <c r="G145" s="41" t="str">
        <f aca="false">IF($A145="","",SUMIFS(业务流水!$O$5:$O$1504,业务流水!$E$5:$E$1504,$D145,业务流水!$D$5:$D$1504,"销项开票",业务流水!$C$5:$C$1504,$A145,业务流水!$Z$5:$Z$1504,"是"))</f>
        <v/>
      </c>
      <c r="H145" s="42" t="str">
        <f aca="false">IF($A145="","",$E145-$G145)</f>
        <v/>
      </c>
      <c r="I145" s="32" t="str">
        <f aca="false">IF($A145="","",项目档案!$F145)</f>
        <v/>
      </c>
      <c r="J145" s="41" t="n">
        <f aca="false">IF(OR($A145="",$I145=""),0,SUMIFS(业务流水!$H$5:$H$1504,业务流水!$E$5:$E$1504,$I145,业务流水!$D$5:$D$1504,"销项开票",业务流水!$C$5:$C$1504,$A145,业务流水!$Z$5:$Z$1504,"是"))</f>
        <v>0</v>
      </c>
      <c r="K145" s="49" t="str">
        <f aca="false">IF(OR($A145="",$J145=0),"",SUMIFS(业务流水!$O$5:$O$1504,业务流水!$E$5:$E$1504,$I145,业务流水!$D$5:$D$1504,"销项开票",业务流水!$C$5:$C$1504,$A145,业务流水!$Z$5:$Z$1504,"是")/$J145)</f>
        <v/>
      </c>
      <c r="L145" s="41" t="n">
        <f aca="false">IF(OR($A145="",$I145=""),0,SUMIFS(业务流水!$O$5:$O$1504,业务流水!$E$5:$E$1504,$I145,业务流水!$D$5:$D$1504,"销项开票",业务流水!$C$5:$C$1504,$A145,业务流水!$Z$5:$Z$1504,"是"))</f>
        <v>0</v>
      </c>
      <c r="M145" s="43" t="str">
        <f aca="false">IF($A145="","",IF(AND($I145&lt;&gt;"",$J145&gt;0),$J145-$L145,$H145))</f>
        <v/>
      </c>
      <c r="N145" s="41" t="str">
        <f aca="false">IF($A145="","",SUMIFS(业务流水!$H$5:$H$1504,业务流水!$F$5:$F$1504,"*",业务流水!$D$5:$D$1504,"成本票",业务流水!$C$5:$C$1504,$A145,业务流水!$Z$5:$Z$1504,"是"))</f>
        <v/>
      </c>
      <c r="O145" s="43" t="str">
        <f aca="false">IF($A145="","",ROUND($M145-$N145,2))</f>
        <v/>
      </c>
      <c r="P145" s="33" t="str">
        <f aca="false">IF($A145="","",IF(ABS($O145)&lt;1,"✓ 已开齐",IF($O145&gt;0,"还差成本票","多开了")))</f>
        <v/>
      </c>
    </row>
    <row r="146" customFormat="false" ht="15.75" hidden="false" customHeight="true" outlineLevel="0" collapsed="false">
      <c r="A146" s="32" t="str">
        <f aca="false">IF(项目档案!$A146="","",项目档案!$A146)</f>
        <v/>
      </c>
      <c r="B146" s="40" t="str">
        <f aca="false">IF($A146="","",项目档案!$B146)</f>
        <v/>
      </c>
      <c r="C146" s="32" t="str">
        <f aca="false">IF($A146="","",项目档案!$C146)</f>
        <v/>
      </c>
      <c r="D146" s="32" t="str">
        <f aca="false">IF($A146="","",项目档案!$D146)</f>
        <v/>
      </c>
      <c r="E146" s="41" t="str">
        <f aca="false">IF($A146="","",SUMIFS(业务流水!$H$5:$H$1504,业务流水!$E$5:$E$1504,$D146,业务流水!$D$5:$D$1504,"销项开票",业务流水!$C$5:$C$1504,$A146,业务流水!$Z$5:$Z$1504,"是"))</f>
        <v/>
      </c>
      <c r="F146" s="49" t="str">
        <f aca="false">IF(OR($A146="",$E146=0),"",SUMIFS(业务流水!$O$5:$O$1504,业务流水!$E$5:$E$1504,$D146,业务流水!$D$5:$D$1504,"销项开票",业务流水!$C$5:$C$1504,$A146,业务流水!$Z$5:$Z$1504,"是")/$E146)</f>
        <v/>
      </c>
      <c r="G146" s="41" t="str">
        <f aca="false">IF($A146="","",SUMIFS(业务流水!$O$5:$O$1504,业务流水!$E$5:$E$1504,$D146,业务流水!$D$5:$D$1504,"销项开票",业务流水!$C$5:$C$1504,$A146,业务流水!$Z$5:$Z$1504,"是"))</f>
        <v/>
      </c>
      <c r="H146" s="42" t="str">
        <f aca="false">IF($A146="","",$E146-$G146)</f>
        <v/>
      </c>
      <c r="I146" s="32" t="str">
        <f aca="false">IF($A146="","",项目档案!$F146)</f>
        <v/>
      </c>
      <c r="J146" s="41" t="n">
        <f aca="false">IF(OR($A146="",$I146=""),0,SUMIFS(业务流水!$H$5:$H$1504,业务流水!$E$5:$E$1504,$I146,业务流水!$D$5:$D$1504,"销项开票",业务流水!$C$5:$C$1504,$A146,业务流水!$Z$5:$Z$1504,"是"))</f>
        <v>0</v>
      </c>
      <c r="K146" s="49" t="str">
        <f aca="false">IF(OR($A146="",$J146=0),"",SUMIFS(业务流水!$O$5:$O$1504,业务流水!$E$5:$E$1504,$I146,业务流水!$D$5:$D$1504,"销项开票",业务流水!$C$5:$C$1504,$A146,业务流水!$Z$5:$Z$1504,"是")/$J146)</f>
        <v/>
      </c>
      <c r="L146" s="41" t="n">
        <f aca="false">IF(OR($A146="",$I146=""),0,SUMIFS(业务流水!$O$5:$O$1504,业务流水!$E$5:$E$1504,$I146,业务流水!$D$5:$D$1504,"销项开票",业务流水!$C$5:$C$1504,$A146,业务流水!$Z$5:$Z$1504,"是"))</f>
        <v>0</v>
      </c>
      <c r="M146" s="43" t="str">
        <f aca="false">IF($A146="","",IF(AND($I146&lt;&gt;"",$J146&gt;0),$J146-$L146,$H146))</f>
        <v/>
      </c>
      <c r="N146" s="41" t="str">
        <f aca="false">IF($A146="","",SUMIFS(业务流水!$H$5:$H$1504,业务流水!$F$5:$F$1504,"*",业务流水!$D$5:$D$1504,"成本票",业务流水!$C$5:$C$1504,$A146,业务流水!$Z$5:$Z$1504,"是"))</f>
        <v/>
      </c>
      <c r="O146" s="43" t="str">
        <f aca="false">IF($A146="","",ROUND($M146-$N146,2))</f>
        <v/>
      </c>
      <c r="P146" s="33" t="str">
        <f aca="false">IF($A146="","",IF(ABS($O146)&lt;1,"✓ 已开齐",IF($O146&gt;0,"还差成本票","多开了")))</f>
        <v/>
      </c>
    </row>
    <row r="147" customFormat="false" ht="15.75" hidden="false" customHeight="true" outlineLevel="0" collapsed="false">
      <c r="A147" s="32" t="str">
        <f aca="false">IF(项目档案!$A147="","",项目档案!$A147)</f>
        <v/>
      </c>
      <c r="B147" s="40" t="str">
        <f aca="false">IF($A147="","",项目档案!$B147)</f>
        <v/>
      </c>
      <c r="C147" s="32" t="str">
        <f aca="false">IF($A147="","",项目档案!$C147)</f>
        <v/>
      </c>
      <c r="D147" s="32" t="str">
        <f aca="false">IF($A147="","",项目档案!$D147)</f>
        <v/>
      </c>
      <c r="E147" s="41" t="str">
        <f aca="false">IF($A147="","",SUMIFS(业务流水!$H$5:$H$1504,业务流水!$E$5:$E$1504,$D147,业务流水!$D$5:$D$1504,"销项开票",业务流水!$C$5:$C$1504,$A147,业务流水!$Z$5:$Z$1504,"是"))</f>
        <v/>
      </c>
      <c r="F147" s="49" t="str">
        <f aca="false">IF(OR($A147="",$E147=0),"",SUMIFS(业务流水!$O$5:$O$1504,业务流水!$E$5:$E$1504,$D147,业务流水!$D$5:$D$1504,"销项开票",业务流水!$C$5:$C$1504,$A147,业务流水!$Z$5:$Z$1504,"是")/$E147)</f>
        <v/>
      </c>
      <c r="G147" s="41" t="str">
        <f aca="false">IF($A147="","",SUMIFS(业务流水!$O$5:$O$1504,业务流水!$E$5:$E$1504,$D147,业务流水!$D$5:$D$1504,"销项开票",业务流水!$C$5:$C$1504,$A147,业务流水!$Z$5:$Z$1504,"是"))</f>
        <v/>
      </c>
      <c r="H147" s="42" t="str">
        <f aca="false">IF($A147="","",$E147-$G147)</f>
        <v/>
      </c>
      <c r="I147" s="32" t="str">
        <f aca="false">IF($A147="","",项目档案!$F147)</f>
        <v/>
      </c>
      <c r="J147" s="41" t="n">
        <f aca="false">IF(OR($A147="",$I147=""),0,SUMIFS(业务流水!$H$5:$H$1504,业务流水!$E$5:$E$1504,$I147,业务流水!$D$5:$D$1504,"销项开票",业务流水!$C$5:$C$1504,$A147,业务流水!$Z$5:$Z$1504,"是"))</f>
        <v>0</v>
      </c>
      <c r="K147" s="49" t="str">
        <f aca="false">IF(OR($A147="",$J147=0),"",SUMIFS(业务流水!$O$5:$O$1504,业务流水!$E$5:$E$1504,$I147,业务流水!$D$5:$D$1504,"销项开票",业务流水!$C$5:$C$1504,$A147,业务流水!$Z$5:$Z$1504,"是")/$J147)</f>
        <v/>
      </c>
      <c r="L147" s="41" t="n">
        <f aca="false">IF(OR($A147="",$I147=""),0,SUMIFS(业务流水!$O$5:$O$1504,业务流水!$E$5:$E$1504,$I147,业务流水!$D$5:$D$1504,"销项开票",业务流水!$C$5:$C$1504,$A147,业务流水!$Z$5:$Z$1504,"是"))</f>
        <v>0</v>
      </c>
      <c r="M147" s="43" t="str">
        <f aca="false">IF($A147="","",IF(AND($I147&lt;&gt;"",$J147&gt;0),$J147-$L147,$H147))</f>
        <v/>
      </c>
      <c r="N147" s="41" t="str">
        <f aca="false">IF($A147="","",SUMIFS(业务流水!$H$5:$H$1504,业务流水!$F$5:$F$1504,"*",业务流水!$D$5:$D$1504,"成本票",业务流水!$C$5:$C$1504,$A147,业务流水!$Z$5:$Z$1504,"是"))</f>
        <v/>
      </c>
      <c r="O147" s="43" t="str">
        <f aca="false">IF($A147="","",ROUND($M147-$N147,2))</f>
        <v/>
      </c>
      <c r="P147" s="33" t="str">
        <f aca="false">IF($A147="","",IF(ABS($O147)&lt;1,"✓ 已开齐",IF($O147&gt;0,"还差成本票","多开了")))</f>
        <v/>
      </c>
    </row>
    <row r="148" customFormat="false" ht="15.75" hidden="false" customHeight="true" outlineLevel="0" collapsed="false">
      <c r="A148" s="32" t="str">
        <f aca="false">IF(项目档案!$A148="","",项目档案!$A148)</f>
        <v/>
      </c>
      <c r="B148" s="40" t="str">
        <f aca="false">IF($A148="","",项目档案!$B148)</f>
        <v/>
      </c>
      <c r="C148" s="32" t="str">
        <f aca="false">IF($A148="","",项目档案!$C148)</f>
        <v/>
      </c>
      <c r="D148" s="32" t="str">
        <f aca="false">IF($A148="","",项目档案!$D148)</f>
        <v/>
      </c>
      <c r="E148" s="41" t="str">
        <f aca="false">IF($A148="","",SUMIFS(业务流水!$H$5:$H$1504,业务流水!$E$5:$E$1504,$D148,业务流水!$D$5:$D$1504,"销项开票",业务流水!$C$5:$C$1504,$A148,业务流水!$Z$5:$Z$1504,"是"))</f>
        <v/>
      </c>
      <c r="F148" s="49" t="str">
        <f aca="false">IF(OR($A148="",$E148=0),"",SUMIFS(业务流水!$O$5:$O$1504,业务流水!$E$5:$E$1504,$D148,业务流水!$D$5:$D$1504,"销项开票",业务流水!$C$5:$C$1504,$A148,业务流水!$Z$5:$Z$1504,"是")/$E148)</f>
        <v/>
      </c>
      <c r="G148" s="41" t="str">
        <f aca="false">IF($A148="","",SUMIFS(业务流水!$O$5:$O$1504,业务流水!$E$5:$E$1504,$D148,业务流水!$D$5:$D$1504,"销项开票",业务流水!$C$5:$C$1504,$A148,业务流水!$Z$5:$Z$1504,"是"))</f>
        <v/>
      </c>
      <c r="H148" s="42" t="str">
        <f aca="false">IF($A148="","",$E148-$G148)</f>
        <v/>
      </c>
      <c r="I148" s="32" t="str">
        <f aca="false">IF($A148="","",项目档案!$F148)</f>
        <v/>
      </c>
      <c r="J148" s="41" t="n">
        <f aca="false">IF(OR($A148="",$I148=""),0,SUMIFS(业务流水!$H$5:$H$1504,业务流水!$E$5:$E$1504,$I148,业务流水!$D$5:$D$1504,"销项开票",业务流水!$C$5:$C$1504,$A148,业务流水!$Z$5:$Z$1504,"是"))</f>
        <v>0</v>
      </c>
      <c r="K148" s="49" t="str">
        <f aca="false">IF(OR($A148="",$J148=0),"",SUMIFS(业务流水!$O$5:$O$1504,业务流水!$E$5:$E$1504,$I148,业务流水!$D$5:$D$1504,"销项开票",业务流水!$C$5:$C$1504,$A148,业务流水!$Z$5:$Z$1504,"是")/$J148)</f>
        <v/>
      </c>
      <c r="L148" s="41" t="n">
        <f aca="false">IF(OR($A148="",$I148=""),0,SUMIFS(业务流水!$O$5:$O$1504,业务流水!$E$5:$E$1504,$I148,业务流水!$D$5:$D$1504,"销项开票",业务流水!$C$5:$C$1504,$A148,业务流水!$Z$5:$Z$1504,"是"))</f>
        <v>0</v>
      </c>
      <c r="M148" s="43" t="str">
        <f aca="false">IF($A148="","",IF(AND($I148&lt;&gt;"",$J148&gt;0),$J148-$L148,$H148))</f>
        <v/>
      </c>
      <c r="N148" s="41" t="str">
        <f aca="false">IF($A148="","",SUMIFS(业务流水!$H$5:$H$1504,业务流水!$F$5:$F$1504,"*",业务流水!$D$5:$D$1504,"成本票",业务流水!$C$5:$C$1504,$A148,业务流水!$Z$5:$Z$1504,"是"))</f>
        <v/>
      </c>
      <c r="O148" s="43" t="str">
        <f aca="false">IF($A148="","",ROUND($M148-$N148,2))</f>
        <v/>
      </c>
      <c r="P148" s="33" t="str">
        <f aca="false">IF($A148="","",IF(ABS($O148)&lt;1,"✓ 已开齐",IF($O148&gt;0,"还差成本票","多开了")))</f>
        <v/>
      </c>
    </row>
    <row r="149" customFormat="false" ht="15.75" hidden="false" customHeight="true" outlineLevel="0" collapsed="false">
      <c r="A149" s="32" t="str">
        <f aca="false">IF(项目档案!$A149="","",项目档案!$A149)</f>
        <v/>
      </c>
      <c r="B149" s="40" t="str">
        <f aca="false">IF($A149="","",项目档案!$B149)</f>
        <v/>
      </c>
      <c r="C149" s="32" t="str">
        <f aca="false">IF($A149="","",项目档案!$C149)</f>
        <v/>
      </c>
      <c r="D149" s="32" t="str">
        <f aca="false">IF($A149="","",项目档案!$D149)</f>
        <v/>
      </c>
      <c r="E149" s="41" t="str">
        <f aca="false">IF($A149="","",SUMIFS(业务流水!$H$5:$H$1504,业务流水!$E$5:$E$1504,$D149,业务流水!$D$5:$D$1504,"销项开票",业务流水!$C$5:$C$1504,$A149,业务流水!$Z$5:$Z$1504,"是"))</f>
        <v/>
      </c>
      <c r="F149" s="49" t="str">
        <f aca="false">IF(OR($A149="",$E149=0),"",SUMIFS(业务流水!$O$5:$O$1504,业务流水!$E$5:$E$1504,$D149,业务流水!$D$5:$D$1504,"销项开票",业务流水!$C$5:$C$1504,$A149,业务流水!$Z$5:$Z$1504,"是")/$E149)</f>
        <v/>
      </c>
      <c r="G149" s="41" t="str">
        <f aca="false">IF($A149="","",SUMIFS(业务流水!$O$5:$O$1504,业务流水!$E$5:$E$1504,$D149,业务流水!$D$5:$D$1504,"销项开票",业务流水!$C$5:$C$1504,$A149,业务流水!$Z$5:$Z$1504,"是"))</f>
        <v/>
      </c>
      <c r="H149" s="42" t="str">
        <f aca="false">IF($A149="","",$E149-$G149)</f>
        <v/>
      </c>
      <c r="I149" s="32" t="str">
        <f aca="false">IF($A149="","",项目档案!$F149)</f>
        <v/>
      </c>
      <c r="J149" s="41" t="n">
        <f aca="false">IF(OR($A149="",$I149=""),0,SUMIFS(业务流水!$H$5:$H$1504,业务流水!$E$5:$E$1504,$I149,业务流水!$D$5:$D$1504,"销项开票",业务流水!$C$5:$C$1504,$A149,业务流水!$Z$5:$Z$1504,"是"))</f>
        <v>0</v>
      </c>
      <c r="K149" s="49" t="str">
        <f aca="false">IF(OR($A149="",$J149=0),"",SUMIFS(业务流水!$O$5:$O$1504,业务流水!$E$5:$E$1504,$I149,业务流水!$D$5:$D$1504,"销项开票",业务流水!$C$5:$C$1504,$A149,业务流水!$Z$5:$Z$1504,"是")/$J149)</f>
        <v/>
      </c>
      <c r="L149" s="41" t="n">
        <f aca="false">IF(OR($A149="",$I149=""),0,SUMIFS(业务流水!$O$5:$O$1504,业务流水!$E$5:$E$1504,$I149,业务流水!$D$5:$D$1504,"销项开票",业务流水!$C$5:$C$1504,$A149,业务流水!$Z$5:$Z$1504,"是"))</f>
        <v>0</v>
      </c>
      <c r="M149" s="43" t="str">
        <f aca="false">IF($A149="","",IF(AND($I149&lt;&gt;"",$J149&gt;0),$J149-$L149,$H149))</f>
        <v/>
      </c>
      <c r="N149" s="41" t="str">
        <f aca="false">IF($A149="","",SUMIFS(业务流水!$H$5:$H$1504,业务流水!$F$5:$F$1504,"*",业务流水!$D$5:$D$1504,"成本票",业务流水!$C$5:$C$1504,$A149,业务流水!$Z$5:$Z$1504,"是"))</f>
        <v/>
      </c>
      <c r="O149" s="43" t="str">
        <f aca="false">IF($A149="","",ROUND($M149-$N149,2))</f>
        <v/>
      </c>
      <c r="P149" s="33" t="str">
        <f aca="false">IF($A149="","",IF(ABS($O149)&lt;1,"✓ 已开齐",IF($O149&gt;0,"还差成本票","多开了")))</f>
        <v/>
      </c>
    </row>
    <row r="150" customFormat="false" ht="15.75" hidden="false" customHeight="true" outlineLevel="0" collapsed="false">
      <c r="A150" s="32" t="str">
        <f aca="false">IF(项目档案!$A150="","",项目档案!$A150)</f>
        <v/>
      </c>
      <c r="B150" s="40" t="str">
        <f aca="false">IF($A150="","",项目档案!$B150)</f>
        <v/>
      </c>
      <c r="C150" s="32" t="str">
        <f aca="false">IF($A150="","",项目档案!$C150)</f>
        <v/>
      </c>
      <c r="D150" s="32" t="str">
        <f aca="false">IF($A150="","",项目档案!$D150)</f>
        <v/>
      </c>
      <c r="E150" s="41" t="str">
        <f aca="false">IF($A150="","",SUMIFS(业务流水!$H$5:$H$1504,业务流水!$E$5:$E$1504,$D150,业务流水!$D$5:$D$1504,"销项开票",业务流水!$C$5:$C$1504,$A150,业务流水!$Z$5:$Z$1504,"是"))</f>
        <v/>
      </c>
      <c r="F150" s="49" t="str">
        <f aca="false">IF(OR($A150="",$E150=0),"",SUMIFS(业务流水!$O$5:$O$1504,业务流水!$E$5:$E$1504,$D150,业务流水!$D$5:$D$1504,"销项开票",业务流水!$C$5:$C$1504,$A150,业务流水!$Z$5:$Z$1504,"是")/$E150)</f>
        <v/>
      </c>
      <c r="G150" s="41" t="str">
        <f aca="false">IF($A150="","",SUMIFS(业务流水!$O$5:$O$1504,业务流水!$E$5:$E$1504,$D150,业务流水!$D$5:$D$1504,"销项开票",业务流水!$C$5:$C$1504,$A150,业务流水!$Z$5:$Z$1504,"是"))</f>
        <v/>
      </c>
      <c r="H150" s="42" t="str">
        <f aca="false">IF($A150="","",$E150-$G150)</f>
        <v/>
      </c>
      <c r="I150" s="32" t="str">
        <f aca="false">IF($A150="","",项目档案!$F150)</f>
        <v/>
      </c>
      <c r="J150" s="41" t="n">
        <f aca="false">IF(OR($A150="",$I150=""),0,SUMIFS(业务流水!$H$5:$H$1504,业务流水!$E$5:$E$1504,$I150,业务流水!$D$5:$D$1504,"销项开票",业务流水!$C$5:$C$1504,$A150,业务流水!$Z$5:$Z$1504,"是"))</f>
        <v>0</v>
      </c>
      <c r="K150" s="49" t="str">
        <f aca="false">IF(OR($A150="",$J150=0),"",SUMIFS(业务流水!$O$5:$O$1504,业务流水!$E$5:$E$1504,$I150,业务流水!$D$5:$D$1504,"销项开票",业务流水!$C$5:$C$1504,$A150,业务流水!$Z$5:$Z$1504,"是")/$J150)</f>
        <v/>
      </c>
      <c r="L150" s="41" t="n">
        <f aca="false">IF(OR($A150="",$I150=""),0,SUMIFS(业务流水!$O$5:$O$1504,业务流水!$E$5:$E$1504,$I150,业务流水!$D$5:$D$1504,"销项开票",业务流水!$C$5:$C$1504,$A150,业务流水!$Z$5:$Z$1504,"是"))</f>
        <v>0</v>
      </c>
      <c r="M150" s="43" t="str">
        <f aca="false">IF($A150="","",IF(AND($I150&lt;&gt;"",$J150&gt;0),$J150-$L150,$H150))</f>
        <v/>
      </c>
      <c r="N150" s="41" t="str">
        <f aca="false">IF($A150="","",SUMIFS(业务流水!$H$5:$H$1504,业务流水!$F$5:$F$1504,"*",业务流水!$D$5:$D$1504,"成本票",业务流水!$C$5:$C$1504,$A150,业务流水!$Z$5:$Z$1504,"是"))</f>
        <v/>
      </c>
      <c r="O150" s="43" t="str">
        <f aca="false">IF($A150="","",ROUND($M150-$N150,2))</f>
        <v/>
      </c>
      <c r="P150" s="33" t="str">
        <f aca="false">IF($A150="","",IF(ABS($O150)&lt;1,"✓ 已开齐",IF($O150&gt;0,"还差成本票","多开了")))</f>
        <v/>
      </c>
    </row>
    <row r="151" customFormat="false" ht="15.75" hidden="false" customHeight="true" outlineLevel="0" collapsed="false">
      <c r="A151" s="32" t="str">
        <f aca="false">IF(项目档案!$A151="","",项目档案!$A151)</f>
        <v/>
      </c>
      <c r="B151" s="40" t="str">
        <f aca="false">IF($A151="","",项目档案!$B151)</f>
        <v/>
      </c>
      <c r="C151" s="32" t="str">
        <f aca="false">IF($A151="","",项目档案!$C151)</f>
        <v/>
      </c>
      <c r="D151" s="32" t="str">
        <f aca="false">IF($A151="","",项目档案!$D151)</f>
        <v/>
      </c>
      <c r="E151" s="41" t="str">
        <f aca="false">IF($A151="","",SUMIFS(业务流水!$H$5:$H$1504,业务流水!$E$5:$E$1504,$D151,业务流水!$D$5:$D$1504,"销项开票",业务流水!$C$5:$C$1504,$A151,业务流水!$Z$5:$Z$1504,"是"))</f>
        <v/>
      </c>
      <c r="F151" s="49" t="str">
        <f aca="false">IF(OR($A151="",$E151=0),"",SUMIFS(业务流水!$O$5:$O$1504,业务流水!$E$5:$E$1504,$D151,业务流水!$D$5:$D$1504,"销项开票",业务流水!$C$5:$C$1504,$A151,业务流水!$Z$5:$Z$1504,"是")/$E151)</f>
        <v/>
      </c>
      <c r="G151" s="41" t="str">
        <f aca="false">IF($A151="","",SUMIFS(业务流水!$O$5:$O$1504,业务流水!$E$5:$E$1504,$D151,业务流水!$D$5:$D$1504,"销项开票",业务流水!$C$5:$C$1504,$A151,业务流水!$Z$5:$Z$1504,"是"))</f>
        <v/>
      </c>
      <c r="H151" s="42" t="str">
        <f aca="false">IF($A151="","",$E151-$G151)</f>
        <v/>
      </c>
      <c r="I151" s="32" t="str">
        <f aca="false">IF($A151="","",项目档案!$F151)</f>
        <v/>
      </c>
      <c r="J151" s="41" t="n">
        <f aca="false">IF(OR($A151="",$I151=""),0,SUMIFS(业务流水!$H$5:$H$1504,业务流水!$E$5:$E$1504,$I151,业务流水!$D$5:$D$1504,"销项开票",业务流水!$C$5:$C$1504,$A151,业务流水!$Z$5:$Z$1504,"是"))</f>
        <v>0</v>
      </c>
      <c r="K151" s="49" t="str">
        <f aca="false">IF(OR($A151="",$J151=0),"",SUMIFS(业务流水!$O$5:$O$1504,业务流水!$E$5:$E$1504,$I151,业务流水!$D$5:$D$1504,"销项开票",业务流水!$C$5:$C$1504,$A151,业务流水!$Z$5:$Z$1504,"是")/$J151)</f>
        <v/>
      </c>
      <c r="L151" s="41" t="n">
        <f aca="false">IF(OR($A151="",$I151=""),0,SUMIFS(业务流水!$O$5:$O$1504,业务流水!$E$5:$E$1504,$I151,业务流水!$D$5:$D$1504,"销项开票",业务流水!$C$5:$C$1504,$A151,业务流水!$Z$5:$Z$1504,"是"))</f>
        <v>0</v>
      </c>
      <c r="M151" s="43" t="str">
        <f aca="false">IF($A151="","",IF(AND($I151&lt;&gt;"",$J151&gt;0),$J151-$L151,$H151))</f>
        <v/>
      </c>
      <c r="N151" s="41" t="str">
        <f aca="false">IF($A151="","",SUMIFS(业务流水!$H$5:$H$1504,业务流水!$F$5:$F$1504,"*",业务流水!$D$5:$D$1504,"成本票",业务流水!$C$5:$C$1504,$A151,业务流水!$Z$5:$Z$1504,"是"))</f>
        <v/>
      </c>
      <c r="O151" s="43" t="str">
        <f aca="false">IF($A151="","",ROUND($M151-$N151,2))</f>
        <v/>
      </c>
      <c r="P151" s="33" t="str">
        <f aca="false">IF($A151="","",IF(ABS($O151)&lt;1,"✓ 已开齐",IF($O151&gt;0,"还差成本票","多开了")))</f>
        <v/>
      </c>
    </row>
    <row r="152" customFormat="false" ht="15.75" hidden="false" customHeight="true" outlineLevel="0" collapsed="false">
      <c r="A152" s="32" t="str">
        <f aca="false">IF(项目档案!$A152="","",项目档案!$A152)</f>
        <v/>
      </c>
      <c r="B152" s="40" t="str">
        <f aca="false">IF($A152="","",项目档案!$B152)</f>
        <v/>
      </c>
      <c r="C152" s="32" t="str">
        <f aca="false">IF($A152="","",项目档案!$C152)</f>
        <v/>
      </c>
      <c r="D152" s="32" t="str">
        <f aca="false">IF($A152="","",项目档案!$D152)</f>
        <v/>
      </c>
      <c r="E152" s="41" t="str">
        <f aca="false">IF($A152="","",SUMIFS(业务流水!$H$5:$H$1504,业务流水!$E$5:$E$1504,$D152,业务流水!$D$5:$D$1504,"销项开票",业务流水!$C$5:$C$1504,$A152,业务流水!$Z$5:$Z$1504,"是"))</f>
        <v/>
      </c>
      <c r="F152" s="49" t="str">
        <f aca="false">IF(OR($A152="",$E152=0),"",SUMIFS(业务流水!$O$5:$O$1504,业务流水!$E$5:$E$1504,$D152,业务流水!$D$5:$D$1504,"销项开票",业务流水!$C$5:$C$1504,$A152,业务流水!$Z$5:$Z$1504,"是")/$E152)</f>
        <v/>
      </c>
      <c r="G152" s="41" t="str">
        <f aca="false">IF($A152="","",SUMIFS(业务流水!$O$5:$O$1504,业务流水!$E$5:$E$1504,$D152,业务流水!$D$5:$D$1504,"销项开票",业务流水!$C$5:$C$1504,$A152,业务流水!$Z$5:$Z$1504,"是"))</f>
        <v/>
      </c>
      <c r="H152" s="42" t="str">
        <f aca="false">IF($A152="","",$E152-$G152)</f>
        <v/>
      </c>
      <c r="I152" s="32" t="str">
        <f aca="false">IF($A152="","",项目档案!$F152)</f>
        <v/>
      </c>
      <c r="J152" s="41" t="n">
        <f aca="false">IF(OR($A152="",$I152=""),0,SUMIFS(业务流水!$H$5:$H$1504,业务流水!$E$5:$E$1504,$I152,业务流水!$D$5:$D$1504,"销项开票",业务流水!$C$5:$C$1504,$A152,业务流水!$Z$5:$Z$1504,"是"))</f>
        <v>0</v>
      </c>
      <c r="K152" s="49" t="str">
        <f aca="false">IF(OR($A152="",$J152=0),"",SUMIFS(业务流水!$O$5:$O$1504,业务流水!$E$5:$E$1504,$I152,业务流水!$D$5:$D$1504,"销项开票",业务流水!$C$5:$C$1504,$A152,业务流水!$Z$5:$Z$1504,"是")/$J152)</f>
        <v/>
      </c>
      <c r="L152" s="41" t="n">
        <f aca="false">IF(OR($A152="",$I152=""),0,SUMIFS(业务流水!$O$5:$O$1504,业务流水!$E$5:$E$1504,$I152,业务流水!$D$5:$D$1504,"销项开票",业务流水!$C$5:$C$1504,$A152,业务流水!$Z$5:$Z$1504,"是"))</f>
        <v>0</v>
      </c>
      <c r="M152" s="43" t="str">
        <f aca="false">IF($A152="","",IF(AND($I152&lt;&gt;"",$J152&gt;0),$J152-$L152,$H152))</f>
        <v/>
      </c>
      <c r="N152" s="41" t="str">
        <f aca="false">IF($A152="","",SUMIFS(业务流水!$H$5:$H$1504,业务流水!$F$5:$F$1504,"*",业务流水!$D$5:$D$1504,"成本票",业务流水!$C$5:$C$1504,$A152,业务流水!$Z$5:$Z$1504,"是"))</f>
        <v/>
      </c>
      <c r="O152" s="43" t="str">
        <f aca="false">IF($A152="","",ROUND($M152-$N152,2))</f>
        <v/>
      </c>
      <c r="P152" s="33" t="str">
        <f aca="false">IF($A152="","",IF(ABS($O152)&lt;1,"✓ 已开齐",IF($O152&gt;0,"还差成本票","多开了")))</f>
        <v/>
      </c>
    </row>
    <row r="153" customFormat="false" ht="15.75" hidden="false" customHeight="true" outlineLevel="0" collapsed="false">
      <c r="A153" s="32" t="str">
        <f aca="false">IF(项目档案!$A153="","",项目档案!$A153)</f>
        <v/>
      </c>
      <c r="B153" s="40" t="str">
        <f aca="false">IF($A153="","",项目档案!$B153)</f>
        <v/>
      </c>
      <c r="C153" s="32" t="str">
        <f aca="false">IF($A153="","",项目档案!$C153)</f>
        <v/>
      </c>
      <c r="D153" s="32" t="str">
        <f aca="false">IF($A153="","",项目档案!$D153)</f>
        <v/>
      </c>
      <c r="E153" s="41" t="str">
        <f aca="false">IF($A153="","",SUMIFS(业务流水!$H$5:$H$1504,业务流水!$E$5:$E$1504,$D153,业务流水!$D$5:$D$1504,"销项开票",业务流水!$C$5:$C$1504,$A153,业务流水!$Z$5:$Z$1504,"是"))</f>
        <v/>
      </c>
      <c r="F153" s="49" t="str">
        <f aca="false">IF(OR($A153="",$E153=0),"",SUMIFS(业务流水!$O$5:$O$1504,业务流水!$E$5:$E$1504,$D153,业务流水!$D$5:$D$1504,"销项开票",业务流水!$C$5:$C$1504,$A153,业务流水!$Z$5:$Z$1504,"是")/$E153)</f>
        <v/>
      </c>
      <c r="G153" s="41" t="str">
        <f aca="false">IF($A153="","",SUMIFS(业务流水!$O$5:$O$1504,业务流水!$E$5:$E$1504,$D153,业务流水!$D$5:$D$1504,"销项开票",业务流水!$C$5:$C$1504,$A153,业务流水!$Z$5:$Z$1504,"是"))</f>
        <v/>
      </c>
      <c r="H153" s="42" t="str">
        <f aca="false">IF($A153="","",$E153-$G153)</f>
        <v/>
      </c>
      <c r="I153" s="32" t="str">
        <f aca="false">IF($A153="","",项目档案!$F153)</f>
        <v/>
      </c>
      <c r="J153" s="41" t="n">
        <f aca="false">IF(OR($A153="",$I153=""),0,SUMIFS(业务流水!$H$5:$H$1504,业务流水!$E$5:$E$1504,$I153,业务流水!$D$5:$D$1504,"销项开票",业务流水!$C$5:$C$1504,$A153,业务流水!$Z$5:$Z$1504,"是"))</f>
        <v>0</v>
      </c>
      <c r="K153" s="49" t="str">
        <f aca="false">IF(OR($A153="",$J153=0),"",SUMIFS(业务流水!$O$5:$O$1504,业务流水!$E$5:$E$1504,$I153,业务流水!$D$5:$D$1504,"销项开票",业务流水!$C$5:$C$1504,$A153,业务流水!$Z$5:$Z$1504,"是")/$J153)</f>
        <v/>
      </c>
      <c r="L153" s="41" t="n">
        <f aca="false">IF(OR($A153="",$I153=""),0,SUMIFS(业务流水!$O$5:$O$1504,业务流水!$E$5:$E$1504,$I153,业务流水!$D$5:$D$1504,"销项开票",业务流水!$C$5:$C$1504,$A153,业务流水!$Z$5:$Z$1504,"是"))</f>
        <v>0</v>
      </c>
      <c r="M153" s="43" t="str">
        <f aca="false">IF($A153="","",IF(AND($I153&lt;&gt;"",$J153&gt;0),$J153-$L153,$H153))</f>
        <v/>
      </c>
      <c r="N153" s="41" t="str">
        <f aca="false">IF($A153="","",SUMIFS(业务流水!$H$5:$H$1504,业务流水!$F$5:$F$1504,"*",业务流水!$D$5:$D$1504,"成本票",业务流水!$C$5:$C$1504,$A153,业务流水!$Z$5:$Z$1504,"是"))</f>
        <v/>
      </c>
      <c r="O153" s="43" t="str">
        <f aca="false">IF($A153="","",ROUND($M153-$N153,2))</f>
        <v/>
      </c>
      <c r="P153" s="33" t="str">
        <f aca="false">IF($A153="","",IF(ABS($O153)&lt;1,"✓ 已开齐",IF($O153&gt;0,"还差成本票","多开了")))</f>
        <v/>
      </c>
    </row>
    <row r="154" customFormat="false" ht="15.75" hidden="false" customHeight="true" outlineLevel="0" collapsed="false">
      <c r="A154" s="32" t="str">
        <f aca="false">IF(项目档案!$A154="","",项目档案!$A154)</f>
        <v/>
      </c>
      <c r="B154" s="40" t="str">
        <f aca="false">IF($A154="","",项目档案!$B154)</f>
        <v/>
      </c>
      <c r="C154" s="32" t="str">
        <f aca="false">IF($A154="","",项目档案!$C154)</f>
        <v/>
      </c>
      <c r="D154" s="32" t="str">
        <f aca="false">IF($A154="","",项目档案!$D154)</f>
        <v/>
      </c>
      <c r="E154" s="41" t="str">
        <f aca="false">IF($A154="","",SUMIFS(业务流水!$H$5:$H$1504,业务流水!$E$5:$E$1504,$D154,业务流水!$D$5:$D$1504,"销项开票",业务流水!$C$5:$C$1504,$A154,业务流水!$Z$5:$Z$1504,"是"))</f>
        <v/>
      </c>
      <c r="F154" s="49" t="str">
        <f aca="false">IF(OR($A154="",$E154=0),"",SUMIFS(业务流水!$O$5:$O$1504,业务流水!$E$5:$E$1504,$D154,业务流水!$D$5:$D$1504,"销项开票",业务流水!$C$5:$C$1504,$A154,业务流水!$Z$5:$Z$1504,"是")/$E154)</f>
        <v/>
      </c>
      <c r="G154" s="41" t="str">
        <f aca="false">IF($A154="","",SUMIFS(业务流水!$O$5:$O$1504,业务流水!$E$5:$E$1504,$D154,业务流水!$D$5:$D$1504,"销项开票",业务流水!$C$5:$C$1504,$A154,业务流水!$Z$5:$Z$1504,"是"))</f>
        <v/>
      </c>
      <c r="H154" s="42" t="str">
        <f aca="false">IF($A154="","",$E154-$G154)</f>
        <v/>
      </c>
      <c r="I154" s="32" t="str">
        <f aca="false">IF($A154="","",项目档案!$F154)</f>
        <v/>
      </c>
      <c r="J154" s="41" t="n">
        <f aca="false">IF(OR($A154="",$I154=""),0,SUMIFS(业务流水!$H$5:$H$1504,业务流水!$E$5:$E$1504,$I154,业务流水!$D$5:$D$1504,"销项开票",业务流水!$C$5:$C$1504,$A154,业务流水!$Z$5:$Z$1504,"是"))</f>
        <v>0</v>
      </c>
      <c r="K154" s="49" t="str">
        <f aca="false">IF(OR($A154="",$J154=0),"",SUMIFS(业务流水!$O$5:$O$1504,业务流水!$E$5:$E$1504,$I154,业务流水!$D$5:$D$1504,"销项开票",业务流水!$C$5:$C$1504,$A154,业务流水!$Z$5:$Z$1504,"是")/$J154)</f>
        <v/>
      </c>
      <c r="L154" s="41" t="n">
        <f aca="false">IF(OR($A154="",$I154=""),0,SUMIFS(业务流水!$O$5:$O$1504,业务流水!$E$5:$E$1504,$I154,业务流水!$D$5:$D$1504,"销项开票",业务流水!$C$5:$C$1504,$A154,业务流水!$Z$5:$Z$1504,"是"))</f>
        <v>0</v>
      </c>
      <c r="M154" s="43" t="str">
        <f aca="false">IF($A154="","",IF(AND($I154&lt;&gt;"",$J154&gt;0),$J154-$L154,$H154))</f>
        <v/>
      </c>
      <c r="N154" s="41" t="str">
        <f aca="false">IF($A154="","",SUMIFS(业务流水!$H$5:$H$1504,业务流水!$F$5:$F$1504,"*",业务流水!$D$5:$D$1504,"成本票",业务流水!$C$5:$C$1504,$A154,业务流水!$Z$5:$Z$1504,"是"))</f>
        <v/>
      </c>
      <c r="O154" s="43" t="str">
        <f aca="false">IF($A154="","",ROUND($M154-$N154,2))</f>
        <v/>
      </c>
      <c r="P154" s="33" t="str">
        <f aca="false">IF($A154="","",IF(ABS($O154)&lt;1,"✓ 已开齐",IF($O154&gt;0,"还差成本票","多开了")))</f>
        <v/>
      </c>
    </row>
    <row r="155" customFormat="false" ht="15.75" hidden="false" customHeight="true" outlineLevel="0" collapsed="false">
      <c r="A155" s="32" t="str">
        <f aca="false">IF(项目档案!$A155="","",项目档案!$A155)</f>
        <v/>
      </c>
      <c r="B155" s="40" t="str">
        <f aca="false">IF($A155="","",项目档案!$B155)</f>
        <v/>
      </c>
      <c r="C155" s="32" t="str">
        <f aca="false">IF($A155="","",项目档案!$C155)</f>
        <v/>
      </c>
      <c r="D155" s="32" t="str">
        <f aca="false">IF($A155="","",项目档案!$D155)</f>
        <v/>
      </c>
      <c r="E155" s="41" t="str">
        <f aca="false">IF($A155="","",SUMIFS(业务流水!$H$5:$H$1504,业务流水!$E$5:$E$1504,$D155,业务流水!$D$5:$D$1504,"销项开票",业务流水!$C$5:$C$1504,$A155,业务流水!$Z$5:$Z$1504,"是"))</f>
        <v/>
      </c>
      <c r="F155" s="49" t="str">
        <f aca="false">IF(OR($A155="",$E155=0),"",SUMIFS(业务流水!$O$5:$O$1504,业务流水!$E$5:$E$1504,$D155,业务流水!$D$5:$D$1504,"销项开票",业务流水!$C$5:$C$1504,$A155,业务流水!$Z$5:$Z$1504,"是")/$E155)</f>
        <v/>
      </c>
      <c r="G155" s="41" t="str">
        <f aca="false">IF($A155="","",SUMIFS(业务流水!$O$5:$O$1504,业务流水!$E$5:$E$1504,$D155,业务流水!$D$5:$D$1504,"销项开票",业务流水!$C$5:$C$1504,$A155,业务流水!$Z$5:$Z$1504,"是"))</f>
        <v/>
      </c>
      <c r="H155" s="42" t="str">
        <f aca="false">IF($A155="","",$E155-$G155)</f>
        <v/>
      </c>
      <c r="I155" s="32" t="str">
        <f aca="false">IF($A155="","",项目档案!$F155)</f>
        <v/>
      </c>
      <c r="J155" s="41" t="n">
        <f aca="false">IF(OR($A155="",$I155=""),0,SUMIFS(业务流水!$H$5:$H$1504,业务流水!$E$5:$E$1504,$I155,业务流水!$D$5:$D$1504,"销项开票",业务流水!$C$5:$C$1504,$A155,业务流水!$Z$5:$Z$1504,"是"))</f>
        <v>0</v>
      </c>
      <c r="K155" s="49" t="str">
        <f aca="false">IF(OR($A155="",$J155=0),"",SUMIFS(业务流水!$O$5:$O$1504,业务流水!$E$5:$E$1504,$I155,业务流水!$D$5:$D$1504,"销项开票",业务流水!$C$5:$C$1504,$A155,业务流水!$Z$5:$Z$1504,"是")/$J155)</f>
        <v/>
      </c>
      <c r="L155" s="41" t="n">
        <f aca="false">IF(OR($A155="",$I155=""),0,SUMIFS(业务流水!$O$5:$O$1504,业务流水!$E$5:$E$1504,$I155,业务流水!$D$5:$D$1504,"销项开票",业务流水!$C$5:$C$1504,$A155,业务流水!$Z$5:$Z$1504,"是"))</f>
        <v>0</v>
      </c>
      <c r="M155" s="43" t="str">
        <f aca="false">IF($A155="","",IF(AND($I155&lt;&gt;"",$J155&gt;0),$J155-$L155,$H155))</f>
        <v/>
      </c>
      <c r="N155" s="41" t="str">
        <f aca="false">IF($A155="","",SUMIFS(业务流水!$H$5:$H$1504,业务流水!$F$5:$F$1504,"*",业务流水!$D$5:$D$1504,"成本票",业务流水!$C$5:$C$1504,$A155,业务流水!$Z$5:$Z$1504,"是"))</f>
        <v/>
      </c>
      <c r="O155" s="43" t="str">
        <f aca="false">IF($A155="","",ROUND($M155-$N155,2))</f>
        <v/>
      </c>
      <c r="P155" s="33" t="str">
        <f aca="false">IF($A155="","",IF(ABS($O155)&lt;1,"✓ 已开齐",IF($O155&gt;0,"还差成本票","多开了")))</f>
        <v/>
      </c>
    </row>
    <row r="156" customFormat="false" ht="15.75" hidden="false" customHeight="true" outlineLevel="0" collapsed="false">
      <c r="A156" s="32" t="str">
        <f aca="false">IF(项目档案!$A156="","",项目档案!$A156)</f>
        <v/>
      </c>
      <c r="B156" s="40" t="str">
        <f aca="false">IF($A156="","",项目档案!$B156)</f>
        <v/>
      </c>
      <c r="C156" s="32" t="str">
        <f aca="false">IF($A156="","",项目档案!$C156)</f>
        <v/>
      </c>
      <c r="D156" s="32" t="str">
        <f aca="false">IF($A156="","",项目档案!$D156)</f>
        <v/>
      </c>
      <c r="E156" s="41" t="str">
        <f aca="false">IF($A156="","",SUMIFS(业务流水!$H$5:$H$1504,业务流水!$E$5:$E$1504,$D156,业务流水!$D$5:$D$1504,"销项开票",业务流水!$C$5:$C$1504,$A156,业务流水!$Z$5:$Z$1504,"是"))</f>
        <v/>
      </c>
      <c r="F156" s="49" t="str">
        <f aca="false">IF(OR($A156="",$E156=0),"",SUMIFS(业务流水!$O$5:$O$1504,业务流水!$E$5:$E$1504,$D156,业务流水!$D$5:$D$1504,"销项开票",业务流水!$C$5:$C$1504,$A156,业务流水!$Z$5:$Z$1504,"是")/$E156)</f>
        <v/>
      </c>
      <c r="G156" s="41" t="str">
        <f aca="false">IF($A156="","",SUMIFS(业务流水!$O$5:$O$1504,业务流水!$E$5:$E$1504,$D156,业务流水!$D$5:$D$1504,"销项开票",业务流水!$C$5:$C$1504,$A156,业务流水!$Z$5:$Z$1504,"是"))</f>
        <v/>
      </c>
      <c r="H156" s="42" t="str">
        <f aca="false">IF($A156="","",$E156-$G156)</f>
        <v/>
      </c>
      <c r="I156" s="32" t="str">
        <f aca="false">IF($A156="","",项目档案!$F156)</f>
        <v/>
      </c>
      <c r="J156" s="41" t="n">
        <f aca="false">IF(OR($A156="",$I156=""),0,SUMIFS(业务流水!$H$5:$H$1504,业务流水!$E$5:$E$1504,$I156,业务流水!$D$5:$D$1504,"销项开票",业务流水!$C$5:$C$1504,$A156,业务流水!$Z$5:$Z$1504,"是"))</f>
        <v>0</v>
      </c>
      <c r="K156" s="49" t="str">
        <f aca="false">IF(OR($A156="",$J156=0),"",SUMIFS(业务流水!$O$5:$O$1504,业务流水!$E$5:$E$1504,$I156,业务流水!$D$5:$D$1504,"销项开票",业务流水!$C$5:$C$1504,$A156,业务流水!$Z$5:$Z$1504,"是")/$J156)</f>
        <v/>
      </c>
      <c r="L156" s="41" t="n">
        <f aca="false">IF(OR($A156="",$I156=""),0,SUMIFS(业务流水!$O$5:$O$1504,业务流水!$E$5:$E$1504,$I156,业务流水!$D$5:$D$1504,"销项开票",业务流水!$C$5:$C$1504,$A156,业务流水!$Z$5:$Z$1504,"是"))</f>
        <v>0</v>
      </c>
      <c r="M156" s="43" t="str">
        <f aca="false">IF($A156="","",IF(AND($I156&lt;&gt;"",$J156&gt;0),$J156-$L156,$H156))</f>
        <v/>
      </c>
      <c r="N156" s="41" t="str">
        <f aca="false">IF($A156="","",SUMIFS(业务流水!$H$5:$H$1504,业务流水!$F$5:$F$1504,"*",业务流水!$D$5:$D$1504,"成本票",业务流水!$C$5:$C$1504,$A156,业务流水!$Z$5:$Z$1504,"是"))</f>
        <v/>
      </c>
      <c r="O156" s="43" t="str">
        <f aca="false">IF($A156="","",ROUND($M156-$N156,2))</f>
        <v/>
      </c>
      <c r="P156" s="33" t="str">
        <f aca="false">IF($A156="","",IF(ABS($O156)&lt;1,"✓ 已开齐",IF($O156&gt;0,"还差成本票","多开了")))</f>
        <v/>
      </c>
    </row>
    <row r="157" customFormat="false" ht="15.75" hidden="false" customHeight="true" outlineLevel="0" collapsed="false">
      <c r="A157" s="32" t="str">
        <f aca="false">IF(项目档案!$A157="","",项目档案!$A157)</f>
        <v/>
      </c>
      <c r="B157" s="40" t="str">
        <f aca="false">IF($A157="","",项目档案!$B157)</f>
        <v/>
      </c>
      <c r="C157" s="32" t="str">
        <f aca="false">IF($A157="","",项目档案!$C157)</f>
        <v/>
      </c>
      <c r="D157" s="32" t="str">
        <f aca="false">IF($A157="","",项目档案!$D157)</f>
        <v/>
      </c>
      <c r="E157" s="41" t="str">
        <f aca="false">IF($A157="","",SUMIFS(业务流水!$H$5:$H$1504,业务流水!$E$5:$E$1504,$D157,业务流水!$D$5:$D$1504,"销项开票",业务流水!$C$5:$C$1504,$A157,业务流水!$Z$5:$Z$1504,"是"))</f>
        <v/>
      </c>
      <c r="F157" s="49" t="str">
        <f aca="false">IF(OR($A157="",$E157=0),"",SUMIFS(业务流水!$O$5:$O$1504,业务流水!$E$5:$E$1504,$D157,业务流水!$D$5:$D$1504,"销项开票",业务流水!$C$5:$C$1504,$A157,业务流水!$Z$5:$Z$1504,"是")/$E157)</f>
        <v/>
      </c>
      <c r="G157" s="41" t="str">
        <f aca="false">IF($A157="","",SUMIFS(业务流水!$O$5:$O$1504,业务流水!$E$5:$E$1504,$D157,业务流水!$D$5:$D$1504,"销项开票",业务流水!$C$5:$C$1504,$A157,业务流水!$Z$5:$Z$1504,"是"))</f>
        <v/>
      </c>
      <c r="H157" s="42" t="str">
        <f aca="false">IF($A157="","",$E157-$G157)</f>
        <v/>
      </c>
      <c r="I157" s="32" t="str">
        <f aca="false">IF($A157="","",项目档案!$F157)</f>
        <v/>
      </c>
      <c r="J157" s="41" t="n">
        <f aca="false">IF(OR($A157="",$I157=""),0,SUMIFS(业务流水!$H$5:$H$1504,业务流水!$E$5:$E$1504,$I157,业务流水!$D$5:$D$1504,"销项开票",业务流水!$C$5:$C$1504,$A157,业务流水!$Z$5:$Z$1504,"是"))</f>
        <v>0</v>
      </c>
      <c r="K157" s="49" t="str">
        <f aca="false">IF(OR($A157="",$J157=0),"",SUMIFS(业务流水!$O$5:$O$1504,业务流水!$E$5:$E$1504,$I157,业务流水!$D$5:$D$1504,"销项开票",业务流水!$C$5:$C$1504,$A157,业务流水!$Z$5:$Z$1504,"是")/$J157)</f>
        <v/>
      </c>
      <c r="L157" s="41" t="n">
        <f aca="false">IF(OR($A157="",$I157=""),0,SUMIFS(业务流水!$O$5:$O$1504,业务流水!$E$5:$E$1504,$I157,业务流水!$D$5:$D$1504,"销项开票",业务流水!$C$5:$C$1504,$A157,业务流水!$Z$5:$Z$1504,"是"))</f>
        <v>0</v>
      </c>
      <c r="M157" s="43" t="str">
        <f aca="false">IF($A157="","",IF(AND($I157&lt;&gt;"",$J157&gt;0),$J157-$L157,$H157))</f>
        <v/>
      </c>
      <c r="N157" s="41" t="str">
        <f aca="false">IF($A157="","",SUMIFS(业务流水!$H$5:$H$1504,业务流水!$F$5:$F$1504,"*",业务流水!$D$5:$D$1504,"成本票",业务流水!$C$5:$C$1504,$A157,业务流水!$Z$5:$Z$1504,"是"))</f>
        <v/>
      </c>
      <c r="O157" s="43" t="str">
        <f aca="false">IF($A157="","",ROUND($M157-$N157,2))</f>
        <v/>
      </c>
      <c r="P157" s="33" t="str">
        <f aca="false">IF($A157="","",IF(ABS($O157)&lt;1,"✓ 已开齐",IF($O157&gt;0,"还差成本票","多开了")))</f>
        <v/>
      </c>
    </row>
    <row r="158" customFormat="false" ht="15.75" hidden="false" customHeight="true" outlineLevel="0" collapsed="false">
      <c r="A158" s="32" t="str">
        <f aca="false">IF(项目档案!$A158="","",项目档案!$A158)</f>
        <v/>
      </c>
      <c r="B158" s="40" t="str">
        <f aca="false">IF($A158="","",项目档案!$B158)</f>
        <v/>
      </c>
      <c r="C158" s="32" t="str">
        <f aca="false">IF($A158="","",项目档案!$C158)</f>
        <v/>
      </c>
      <c r="D158" s="32" t="str">
        <f aca="false">IF($A158="","",项目档案!$D158)</f>
        <v/>
      </c>
      <c r="E158" s="41" t="str">
        <f aca="false">IF($A158="","",SUMIFS(业务流水!$H$5:$H$1504,业务流水!$E$5:$E$1504,$D158,业务流水!$D$5:$D$1504,"销项开票",业务流水!$C$5:$C$1504,$A158,业务流水!$Z$5:$Z$1504,"是"))</f>
        <v/>
      </c>
      <c r="F158" s="49" t="str">
        <f aca="false">IF(OR($A158="",$E158=0),"",SUMIFS(业务流水!$O$5:$O$1504,业务流水!$E$5:$E$1504,$D158,业务流水!$D$5:$D$1504,"销项开票",业务流水!$C$5:$C$1504,$A158,业务流水!$Z$5:$Z$1504,"是")/$E158)</f>
        <v/>
      </c>
      <c r="G158" s="41" t="str">
        <f aca="false">IF($A158="","",SUMIFS(业务流水!$O$5:$O$1504,业务流水!$E$5:$E$1504,$D158,业务流水!$D$5:$D$1504,"销项开票",业务流水!$C$5:$C$1504,$A158,业务流水!$Z$5:$Z$1504,"是"))</f>
        <v/>
      </c>
      <c r="H158" s="42" t="str">
        <f aca="false">IF($A158="","",$E158-$G158)</f>
        <v/>
      </c>
      <c r="I158" s="32" t="str">
        <f aca="false">IF($A158="","",项目档案!$F158)</f>
        <v/>
      </c>
      <c r="J158" s="41" t="n">
        <f aca="false">IF(OR($A158="",$I158=""),0,SUMIFS(业务流水!$H$5:$H$1504,业务流水!$E$5:$E$1504,$I158,业务流水!$D$5:$D$1504,"销项开票",业务流水!$C$5:$C$1504,$A158,业务流水!$Z$5:$Z$1504,"是"))</f>
        <v>0</v>
      </c>
      <c r="K158" s="49" t="str">
        <f aca="false">IF(OR($A158="",$J158=0),"",SUMIFS(业务流水!$O$5:$O$1504,业务流水!$E$5:$E$1504,$I158,业务流水!$D$5:$D$1504,"销项开票",业务流水!$C$5:$C$1504,$A158,业务流水!$Z$5:$Z$1504,"是")/$J158)</f>
        <v/>
      </c>
      <c r="L158" s="41" t="n">
        <f aca="false">IF(OR($A158="",$I158=""),0,SUMIFS(业务流水!$O$5:$O$1504,业务流水!$E$5:$E$1504,$I158,业务流水!$D$5:$D$1504,"销项开票",业务流水!$C$5:$C$1504,$A158,业务流水!$Z$5:$Z$1504,"是"))</f>
        <v>0</v>
      </c>
      <c r="M158" s="43" t="str">
        <f aca="false">IF($A158="","",IF(AND($I158&lt;&gt;"",$J158&gt;0),$J158-$L158,$H158))</f>
        <v/>
      </c>
      <c r="N158" s="41" t="str">
        <f aca="false">IF($A158="","",SUMIFS(业务流水!$H$5:$H$1504,业务流水!$F$5:$F$1504,"*",业务流水!$D$5:$D$1504,"成本票",业务流水!$C$5:$C$1504,$A158,业务流水!$Z$5:$Z$1504,"是"))</f>
        <v/>
      </c>
      <c r="O158" s="43" t="str">
        <f aca="false">IF($A158="","",ROUND($M158-$N158,2))</f>
        <v/>
      </c>
      <c r="P158" s="33" t="str">
        <f aca="false">IF($A158="","",IF(ABS($O158)&lt;1,"✓ 已开齐",IF($O158&gt;0,"还差成本票","多开了")))</f>
        <v/>
      </c>
    </row>
    <row r="159" customFormat="false" ht="15.75" hidden="false" customHeight="true" outlineLevel="0" collapsed="false">
      <c r="A159" s="32" t="str">
        <f aca="false">IF(项目档案!$A159="","",项目档案!$A159)</f>
        <v/>
      </c>
      <c r="B159" s="40" t="str">
        <f aca="false">IF($A159="","",项目档案!$B159)</f>
        <v/>
      </c>
      <c r="C159" s="32" t="str">
        <f aca="false">IF($A159="","",项目档案!$C159)</f>
        <v/>
      </c>
      <c r="D159" s="32" t="str">
        <f aca="false">IF($A159="","",项目档案!$D159)</f>
        <v/>
      </c>
      <c r="E159" s="41" t="str">
        <f aca="false">IF($A159="","",SUMIFS(业务流水!$H$5:$H$1504,业务流水!$E$5:$E$1504,$D159,业务流水!$D$5:$D$1504,"销项开票",业务流水!$C$5:$C$1504,$A159,业务流水!$Z$5:$Z$1504,"是"))</f>
        <v/>
      </c>
      <c r="F159" s="49" t="str">
        <f aca="false">IF(OR($A159="",$E159=0),"",SUMIFS(业务流水!$O$5:$O$1504,业务流水!$E$5:$E$1504,$D159,业务流水!$D$5:$D$1504,"销项开票",业务流水!$C$5:$C$1504,$A159,业务流水!$Z$5:$Z$1504,"是")/$E159)</f>
        <v/>
      </c>
      <c r="G159" s="41" t="str">
        <f aca="false">IF($A159="","",SUMIFS(业务流水!$O$5:$O$1504,业务流水!$E$5:$E$1504,$D159,业务流水!$D$5:$D$1504,"销项开票",业务流水!$C$5:$C$1504,$A159,业务流水!$Z$5:$Z$1504,"是"))</f>
        <v/>
      </c>
      <c r="H159" s="42" t="str">
        <f aca="false">IF($A159="","",$E159-$G159)</f>
        <v/>
      </c>
      <c r="I159" s="32" t="str">
        <f aca="false">IF($A159="","",项目档案!$F159)</f>
        <v/>
      </c>
      <c r="J159" s="41" t="n">
        <f aca="false">IF(OR($A159="",$I159=""),0,SUMIFS(业务流水!$H$5:$H$1504,业务流水!$E$5:$E$1504,$I159,业务流水!$D$5:$D$1504,"销项开票",业务流水!$C$5:$C$1504,$A159,业务流水!$Z$5:$Z$1504,"是"))</f>
        <v>0</v>
      </c>
      <c r="K159" s="49" t="str">
        <f aca="false">IF(OR($A159="",$J159=0),"",SUMIFS(业务流水!$O$5:$O$1504,业务流水!$E$5:$E$1504,$I159,业务流水!$D$5:$D$1504,"销项开票",业务流水!$C$5:$C$1504,$A159,业务流水!$Z$5:$Z$1504,"是")/$J159)</f>
        <v/>
      </c>
      <c r="L159" s="41" t="n">
        <f aca="false">IF(OR($A159="",$I159=""),0,SUMIFS(业务流水!$O$5:$O$1504,业务流水!$E$5:$E$1504,$I159,业务流水!$D$5:$D$1504,"销项开票",业务流水!$C$5:$C$1504,$A159,业务流水!$Z$5:$Z$1504,"是"))</f>
        <v>0</v>
      </c>
      <c r="M159" s="43" t="str">
        <f aca="false">IF($A159="","",IF(AND($I159&lt;&gt;"",$J159&gt;0),$J159-$L159,$H159))</f>
        <v/>
      </c>
      <c r="N159" s="41" t="str">
        <f aca="false">IF($A159="","",SUMIFS(业务流水!$H$5:$H$1504,业务流水!$F$5:$F$1504,"*",业务流水!$D$5:$D$1504,"成本票",业务流水!$C$5:$C$1504,$A159,业务流水!$Z$5:$Z$1504,"是"))</f>
        <v/>
      </c>
      <c r="O159" s="43" t="str">
        <f aca="false">IF($A159="","",ROUND($M159-$N159,2))</f>
        <v/>
      </c>
      <c r="P159" s="33" t="str">
        <f aca="false">IF($A159="","",IF(ABS($O159)&lt;1,"✓ 已开齐",IF($O159&gt;0,"还差成本票","多开了")))</f>
        <v/>
      </c>
    </row>
    <row r="160" customFormat="false" ht="15.75" hidden="false" customHeight="true" outlineLevel="0" collapsed="false">
      <c r="A160" s="32" t="str">
        <f aca="false">IF(项目档案!$A160="","",项目档案!$A160)</f>
        <v/>
      </c>
      <c r="B160" s="40" t="str">
        <f aca="false">IF($A160="","",项目档案!$B160)</f>
        <v/>
      </c>
      <c r="C160" s="32" t="str">
        <f aca="false">IF($A160="","",项目档案!$C160)</f>
        <v/>
      </c>
      <c r="D160" s="32" t="str">
        <f aca="false">IF($A160="","",项目档案!$D160)</f>
        <v/>
      </c>
      <c r="E160" s="41" t="str">
        <f aca="false">IF($A160="","",SUMIFS(业务流水!$H$5:$H$1504,业务流水!$E$5:$E$1504,$D160,业务流水!$D$5:$D$1504,"销项开票",业务流水!$C$5:$C$1504,$A160,业务流水!$Z$5:$Z$1504,"是"))</f>
        <v/>
      </c>
      <c r="F160" s="49" t="str">
        <f aca="false">IF(OR($A160="",$E160=0),"",SUMIFS(业务流水!$O$5:$O$1504,业务流水!$E$5:$E$1504,$D160,业务流水!$D$5:$D$1504,"销项开票",业务流水!$C$5:$C$1504,$A160,业务流水!$Z$5:$Z$1504,"是")/$E160)</f>
        <v/>
      </c>
      <c r="G160" s="41" t="str">
        <f aca="false">IF($A160="","",SUMIFS(业务流水!$O$5:$O$1504,业务流水!$E$5:$E$1504,$D160,业务流水!$D$5:$D$1504,"销项开票",业务流水!$C$5:$C$1504,$A160,业务流水!$Z$5:$Z$1504,"是"))</f>
        <v/>
      </c>
      <c r="H160" s="42" t="str">
        <f aca="false">IF($A160="","",$E160-$G160)</f>
        <v/>
      </c>
      <c r="I160" s="32" t="str">
        <f aca="false">IF($A160="","",项目档案!$F160)</f>
        <v/>
      </c>
      <c r="J160" s="41" t="n">
        <f aca="false">IF(OR($A160="",$I160=""),0,SUMIFS(业务流水!$H$5:$H$1504,业务流水!$E$5:$E$1504,$I160,业务流水!$D$5:$D$1504,"销项开票",业务流水!$C$5:$C$1504,$A160,业务流水!$Z$5:$Z$1504,"是"))</f>
        <v>0</v>
      </c>
      <c r="K160" s="49" t="str">
        <f aca="false">IF(OR($A160="",$J160=0),"",SUMIFS(业务流水!$O$5:$O$1504,业务流水!$E$5:$E$1504,$I160,业务流水!$D$5:$D$1504,"销项开票",业务流水!$C$5:$C$1504,$A160,业务流水!$Z$5:$Z$1504,"是")/$J160)</f>
        <v/>
      </c>
      <c r="L160" s="41" t="n">
        <f aca="false">IF(OR($A160="",$I160=""),0,SUMIFS(业务流水!$O$5:$O$1504,业务流水!$E$5:$E$1504,$I160,业务流水!$D$5:$D$1504,"销项开票",业务流水!$C$5:$C$1504,$A160,业务流水!$Z$5:$Z$1504,"是"))</f>
        <v>0</v>
      </c>
      <c r="M160" s="43" t="str">
        <f aca="false">IF($A160="","",IF(AND($I160&lt;&gt;"",$J160&gt;0),$J160-$L160,$H160))</f>
        <v/>
      </c>
      <c r="N160" s="41" t="str">
        <f aca="false">IF($A160="","",SUMIFS(业务流水!$H$5:$H$1504,业务流水!$F$5:$F$1504,"*",业务流水!$D$5:$D$1504,"成本票",业务流水!$C$5:$C$1504,$A160,业务流水!$Z$5:$Z$1504,"是"))</f>
        <v/>
      </c>
      <c r="O160" s="43" t="str">
        <f aca="false">IF($A160="","",ROUND($M160-$N160,2))</f>
        <v/>
      </c>
      <c r="P160" s="33" t="str">
        <f aca="false">IF($A160="","",IF(ABS($O160)&lt;1,"✓ 已开齐",IF($O160&gt;0,"还差成本票","多开了")))</f>
        <v/>
      </c>
    </row>
    <row r="161" customFormat="false" ht="15.75" hidden="false" customHeight="true" outlineLevel="0" collapsed="false">
      <c r="A161" s="32" t="str">
        <f aca="false">IF(项目档案!$A161="","",项目档案!$A161)</f>
        <v/>
      </c>
      <c r="B161" s="40" t="str">
        <f aca="false">IF($A161="","",项目档案!$B161)</f>
        <v/>
      </c>
      <c r="C161" s="32" t="str">
        <f aca="false">IF($A161="","",项目档案!$C161)</f>
        <v/>
      </c>
      <c r="D161" s="32" t="str">
        <f aca="false">IF($A161="","",项目档案!$D161)</f>
        <v/>
      </c>
      <c r="E161" s="41" t="str">
        <f aca="false">IF($A161="","",SUMIFS(业务流水!$H$5:$H$1504,业务流水!$E$5:$E$1504,$D161,业务流水!$D$5:$D$1504,"销项开票",业务流水!$C$5:$C$1504,$A161,业务流水!$Z$5:$Z$1504,"是"))</f>
        <v/>
      </c>
      <c r="F161" s="49" t="str">
        <f aca="false">IF(OR($A161="",$E161=0),"",SUMIFS(业务流水!$O$5:$O$1504,业务流水!$E$5:$E$1504,$D161,业务流水!$D$5:$D$1504,"销项开票",业务流水!$C$5:$C$1504,$A161,业务流水!$Z$5:$Z$1504,"是")/$E161)</f>
        <v/>
      </c>
      <c r="G161" s="41" t="str">
        <f aca="false">IF($A161="","",SUMIFS(业务流水!$O$5:$O$1504,业务流水!$E$5:$E$1504,$D161,业务流水!$D$5:$D$1504,"销项开票",业务流水!$C$5:$C$1504,$A161,业务流水!$Z$5:$Z$1504,"是"))</f>
        <v/>
      </c>
      <c r="H161" s="42" t="str">
        <f aca="false">IF($A161="","",$E161-$G161)</f>
        <v/>
      </c>
      <c r="I161" s="32" t="str">
        <f aca="false">IF($A161="","",项目档案!$F161)</f>
        <v/>
      </c>
      <c r="J161" s="41" t="n">
        <f aca="false">IF(OR($A161="",$I161=""),0,SUMIFS(业务流水!$H$5:$H$1504,业务流水!$E$5:$E$1504,$I161,业务流水!$D$5:$D$1504,"销项开票",业务流水!$C$5:$C$1504,$A161,业务流水!$Z$5:$Z$1504,"是"))</f>
        <v>0</v>
      </c>
      <c r="K161" s="49" t="str">
        <f aca="false">IF(OR($A161="",$J161=0),"",SUMIFS(业务流水!$O$5:$O$1504,业务流水!$E$5:$E$1504,$I161,业务流水!$D$5:$D$1504,"销项开票",业务流水!$C$5:$C$1504,$A161,业务流水!$Z$5:$Z$1504,"是")/$J161)</f>
        <v/>
      </c>
      <c r="L161" s="41" t="n">
        <f aca="false">IF(OR($A161="",$I161=""),0,SUMIFS(业务流水!$O$5:$O$1504,业务流水!$E$5:$E$1504,$I161,业务流水!$D$5:$D$1504,"销项开票",业务流水!$C$5:$C$1504,$A161,业务流水!$Z$5:$Z$1504,"是"))</f>
        <v>0</v>
      </c>
      <c r="M161" s="43" t="str">
        <f aca="false">IF($A161="","",IF(AND($I161&lt;&gt;"",$J161&gt;0),$J161-$L161,$H161))</f>
        <v/>
      </c>
      <c r="N161" s="41" t="str">
        <f aca="false">IF($A161="","",SUMIFS(业务流水!$H$5:$H$1504,业务流水!$F$5:$F$1504,"*",业务流水!$D$5:$D$1504,"成本票",业务流水!$C$5:$C$1504,$A161,业务流水!$Z$5:$Z$1504,"是"))</f>
        <v/>
      </c>
      <c r="O161" s="43" t="str">
        <f aca="false">IF($A161="","",ROUND($M161-$N161,2))</f>
        <v/>
      </c>
      <c r="P161" s="33" t="str">
        <f aca="false">IF($A161="","",IF(ABS($O161)&lt;1,"✓ 已开齐",IF($O161&gt;0,"还差成本票","多开了")))</f>
        <v/>
      </c>
    </row>
    <row r="162" customFormat="false" ht="15.75" hidden="false" customHeight="true" outlineLevel="0" collapsed="false">
      <c r="A162" s="32" t="str">
        <f aca="false">IF(项目档案!$A162="","",项目档案!$A162)</f>
        <v/>
      </c>
      <c r="B162" s="40" t="str">
        <f aca="false">IF($A162="","",项目档案!$B162)</f>
        <v/>
      </c>
      <c r="C162" s="32" t="str">
        <f aca="false">IF($A162="","",项目档案!$C162)</f>
        <v/>
      </c>
      <c r="D162" s="32" t="str">
        <f aca="false">IF($A162="","",项目档案!$D162)</f>
        <v/>
      </c>
      <c r="E162" s="41" t="str">
        <f aca="false">IF($A162="","",SUMIFS(业务流水!$H$5:$H$1504,业务流水!$E$5:$E$1504,$D162,业务流水!$D$5:$D$1504,"销项开票",业务流水!$C$5:$C$1504,$A162,业务流水!$Z$5:$Z$1504,"是"))</f>
        <v/>
      </c>
      <c r="F162" s="49" t="str">
        <f aca="false">IF(OR($A162="",$E162=0),"",SUMIFS(业务流水!$O$5:$O$1504,业务流水!$E$5:$E$1504,$D162,业务流水!$D$5:$D$1504,"销项开票",业务流水!$C$5:$C$1504,$A162,业务流水!$Z$5:$Z$1504,"是")/$E162)</f>
        <v/>
      </c>
      <c r="G162" s="41" t="str">
        <f aca="false">IF($A162="","",SUMIFS(业务流水!$O$5:$O$1504,业务流水!$E$5:$E$1504,$D162,业务流水!$D$5:$D$1504,"销项开票",业务流水!$C$5:$C$1504,$A162,业务流水!$Z$5:$Z$1504,"是"))</f>
        <v/>
      </c>
      <c r="H162" s="42" t="str">
        <f aca="false">IF($A162="","",$E162-$G162)</f>
        <v/>
      </c>
      <c r="I162" s="32" t="str">
        <f aca="false">IF($A162="","",项目档案!$F162)</f>
        <v/>
      </c>
      <c r="J162" s="41" t="n">
        <f aca="false">IF(OR($A162="",$I162=""),0,SUMIFS(业务流水!$H$5:$H$1504,业务流水!$E$5:$E$1504,$I162,业务流水!$D$5:$D$1504,"销项开票",业务流水!$C$5:$C$1504,$A162,业务流水!$Z$5:$Z$1504,"是"))</f>
        <v>0</v>
      </c>
      <c r="K162" s="49" t="str">
        <f aca="false">IF(OR($A162="",$J162=0),"",SUMIFS(业务流水!$O$5:$O$1504,业务流水!$E$5:$E$1504,$I162,业务流水!$D$5:$D$1504,"销项开票",业务流水!$C$5:$C$1504,$A162,业务流水!$Z$5:$Z$1504,"是")/$J162)</f>
        <v/>
      </c>
      <c r="L162" s="41" t="n">
        <f aca="false">IF(OR($A162="",$I162=""),0,SUMIFS(业务流水!$O$5:$O$1504,业务流水!$E$5:$E$1504,$I162,业务流水!$D$5:$D$1504,"销项开票",业务流水!$C$5:$C$1504,$A162,业务流水!$Z$5:$Z$1504,"是"))</f>
        <v>0</v>
      </c>
      <c r="M162" s="43" t="str">
        <f aca="false">IF($A162="","",IF(AND($I162&lt;&gt;"",$J162&gt;0),$J162-$L162,$H162))</f>
        <v/>
      </c>
      <c r="N162" s="41" t="str">
        <f aca="false">IF($A162="","",SUMIFS(业务流水!$H$5:$H$1504,业务流水!$F$5:$F$1504,"*",业务流水!$D$5:$D$1504,"成本票",业务流水!$C$5:$C$1504,$A162,业务流水!$Z$5:$Z$1504,"是"))</f>
        <v/>
      </c>
      <c r="O162" s="43" t="str">
        <f aca="false">IF($A162="","",ROUND($M162-$N162,2))</f>
        <v/>
      </c>
      <c r="P162" s="33" t="str">
        <f aca="false">IF($A162="","",IF(ABS($O162)&lt;1,"✓ 已开齐",IF($O162&gt;0,"还差成本票","多开了")))</f>
        <v/>
      </c>
    </row>
    <row r="163" customFormat="false" ht="15.75" hidden="false" customHeight="true" outlineLevel="0" collapsed="false">
      <c r="A163" s="32" t="str">
        <f aca="false">IF(项目档案!$A163="","",项目档案!$A163)</f>
        <v/>
      </c>
      <c r="B163" s="40" t="str">
        <f aca="false">IF($A163="","",项目档案!$B163)</f>
        <v/>
      </c>
      <c r="C163" s="32" t="str">
        <f aca="false">IF($A163="","",项目档案!$C163)</f>
        <v/>
      </c>
      <c r="D163" s="32" t="str">
        <f aca="false">IF($A163="","",项目档案!$D163)</f>
        <v/>
      </c>
      <c r="E163" s="41" t="str">
        <f aca="false">IF($A163="","",SUMIFS(业务流水!$H$5:$H$1504,业务流水!$E$5:$E$1504,$D163,业务流水!$D$5:$D$1504,"销项开票",业务流水!$C$5:$C$1504,$A163,业务流水!$Z$5:$Z$1504,"是"))</f>
        <v/>
      </c>
      <c r="F163" s="49" t="str">
        <f aca="false">IF(OR($A163="",$E163=0),"",SUMIFS(业务流水!$O$5:$O$1504,业务流水!$E$5:$E$1504,$D163,业务流水!$D$5:$D$1504,"销项开票",业务流水!$C$5:$C$1504,$A163,业务流水!$Z$5:$Z$1504,"是")/$E163)</f>
        <v/>
      </c>
      <c r="G163" s="41" t="str">
        <f aca="false">IF($A163="","",SUMIFS(业务流水!$O$5:$O$1504,业务流水!$E$5:$E$1504,$D163,业务流水!$D$5:$D$1504,"销项开票",业务流水!$C$5:$C$1504,$A163,业务流水!$Z$5:$Z$1504,"是"))</f>
        <v/>
      </c>
      <c r="H163" s="42" t="str">
        <f aca="false">IF($A163="","",$E163-$G163)</f>
        <v/>
      </c>
      <c r="I163" s="32" t="str">
        <f aca="false">IF($A163="","",项目档案!$F163)</f>
        <v/>
      </c>
      <c r="J163" s="41" t="n">
        <f aca="false">IF(OR($A163="",$I163=""),0,SUMIFS(业务流水!$H$5:$H$1504,业务流水!$E$5:$E$1504,$I163,业务流水!$D$5:$D$1504,"销项开票",业务流水!$C$5:$C$1504,$A163,业务流水!$Z$5:$Z$1504,"是"))</f>
        <v>0</v>
      </c>
      <c r="K163" s="49" t="str">
        <f aca="false">IF(OR($A163="",$J163=0),"",SUMIFS(业务流水!$O$5:$O$1504,业务流水!$E$5:$E$1504,$I163,业务流水!$D$5:$D$1504,"销项开票",业务流水!$C$5:$C$1504,$A163,业务流水!$Z$5:$Z$1504,"是")/$J163)</f>
        <v/>
      </c>
      <c r="L163" s="41" t="n">
        <f aca="false">IF(OR($A163="",$I163=""),0,SUMIFS(业务流水!$O$5:$O$1504,业务流水!$E$5:$E$1504,$I163,业务流水!$D$5:$D$1504,"销项开票",业务流水!$C$5:$C$1504,$A163,业务流水!$Z$5:$Z$1504,"是"))</f>
        <v>0</v>
      </c>
      <c r="M163" s="43" t="str">
        <f aca="false">IF($A163="","",IF(AND($I163&lt;&gt;"",$J163&gt;0),$J163-$L163,$H163))</f>
        <v/>
      </c>
      <c r="N163" s="41" t="str">
        <f aca="false">IF($A163="","",SUMIFS(业务流水!$H$5:$H$1504,业务流水!$F$5:$F$1504,"*",业务流水!$D$5:$D$1504,"成本票",业务流水!$C$5:$C$1504,$A163,业务流水!$Z$5:$Z$1504,"是"))</f>
        <v/>
      </c>
      <c r="O163" s="43" t="str">
        <f aca="false">IF($A163="","",ROUND($M163-$N163,2))</f>
        <v/>
      </c>
      <c r="P163" s="33" t="str">
        <f aca="false">IF($A163="","",IF(ABS($O163)&lt;1,"✓ 已开齐",IF($O163&gt;0,"还差成本票","多开了")))</f>
        <v/>
      </c>
    </row>
    <row r="164" customFormat="false" ht="15.75" hidden="false" customHeight="true" outlineLevel="0" collapsed="false">
      <c r="A164" s="32" t="str">
        <f aca="false">IF(项目档案!$A164="","",项目档案!$A164)</f>
        <v/>
      </c>
      <c r="B164" s="40" t="str">
        <f aca="false">IF($A164="","",项目档案!$B164)</f>
        <v/>
      </c>
      <c r="C164" s="32" t="str">
        <f aca="false">IF($A164="","",项目档案!$C164)</f>
        <v/>
      </c>
      <c r="D164" s="32" t="str">
        <f aca="false">IF($A164="","",项目档案!$D164)</f>
        <v/>
      </c>
      <c r="E164" s="41" t="str">
        <f aca="false">IF($A164="","",SUMIFS(业务流水!$H$5:$H$1504,业务流水!$E$5:$E$1504,$D164,业务流水!$D$5:$D$1504,"销项开票",业务流水!$C$5:$C$1504,$A164,业务流水!$Z$5:$Z$1504,"是"))</f>
        <v/>
      </c>
      <c r="F164" s="49" t="str">
        <f aca="false">IF(OR($A164="",$E164=0),"",SUMIFS(业务流水!$O$5:$O$1504,业务流水!$E$5:$E$1504,$D164,业务流水!$D$5:$D$1504,"销项开票",业务流水!$C$5:$C$1504,$A164,业务流水!$Z$5:$Z$1504,"是")/$E164)</f>
        <v/>
      </c>
      <c r="G164" s="41" t="str">
        <f aca="false">IF($A164="","",SUMIFS(业务流水!$O$5:$O$1504,业务流水!$E$5:$E$1504,$D164,业务流水!$D$5:$D$1504,"销项开票",业务流水!$C$5:$C$1504,$A164,业务流水!$Z$5:$Z$1504,"是"))</f>
        <v/>
      </c>
      <c r="H164" s="42" t="str">
        <f aca="false">IF($A164="","",$E164-$G164)</f>
        <v/>
      </c>
      <c r="I164" s="32" t="str">
        <f aca="false">IF($A164="","",项目档案!$F164)</f>
        <v/>
      </c>
      <c r="J164" s="41" t="n">
        <f aca="false">IF(OR($A164="",$I164=""),0,SUMIFS(业务流水!$H$5:$H$1504,业务流水!$E$5:$E$1504,$I164,业务流水!$D$5:$D$1504,"销项开票",业务流水!$C$5:$C$1504,$A164,业务流水!$Z$5:$Z$1504,"是"))</f>
        <v>0</v>
      </c>
      <c r="K164" s="49" t="str">
        <f aca="false">IF(OR($A164="",$J164=0),"",SUMIFS(业务流水!$O$5:$O$1504,业务流水!$E$5:$E$1504,$I164,业务流水!$D$5:$D$1504,"销项开票",业务流水!$C$5:$C$1504,$A164,业务流水!$Z$5:$Z$1504,"是")/$J164)</f>
        <v/>
      </c>
      <c r="L164" s="41" t="n">
        <f aca="false">IF(OR($A164="",$I164=""),0,SUMIFS(业务流水!$O$5:$O$1504,业务流水!$E$5:$E$1504,$I164,业务流水!$D$5:$D$1504,"销项开票",业务流水!$C$5:$C$1504,$A164,业务流水!$Z$5:$Z$1504,"是"))</f>
        <v>0</v>
      </c>
      <c r="M164" s="43" t="str">
        <f aca="false">IF($A164="","",IF(AND($I164&lt;&gt;"",$J164&gt;0),$J164-$L164,$H164))</f>
        <v/>
      </c>
      <c r="N164" s="41" t="str">
        <f aca="false">IF($A164="","",SUMIFS(业务流水!$H$5:$H$1504,业务流水!$F$5:$F$1504,"*",业务流水!$D$5:$D$1504,"成本票",业务流水!$C$5:$C$1504,$A164,业务流水!$Z$5:$Z$1504,"是"))</f>
        <v/>
      </c>
      <c r="O164" s="43" t="str">
        <f aca="false">IF($A164="","",ROUND($M164-$N164,2))</f>
        <v/>
      </c>
      <c r="P164" s="33" t="str">
        <f aca="false">IF($A164="","",IF(ABS($O164)&lt;1,"✓ 已开齐",IF($O164&gt;0,"还差成本票","多开了")))</f>
        <v/>
      </c>
    </row>
    <row r="165" customFormat="false" ht="15.75" hidden="false" customHeight="true" outlineLevel="0" collapsed="false">
      <c r="A165" s="32" t="str">
        <f aca="false">IF(项目档案!$A165="","",项目档案!$A165)</f>
        <v/>
      </c>
      <c r="B165" s="40" t="str">
        <f aca="false">IF($A165="","",项目档案!$B165)</f>
        <v/>
      </c>
      <c r="C165" s="32" t="str">
        <f aca="false">IF($A165="","",项目档案!$C165)</f>
        <v/>
      </c>
      <c r="D165" s="32" t="str">
        <f aca="false">IF($A165="","",项目档案!$D165)</f>
        <v/>
      </c>
      <c r="E165" s="41" t="str">
        <f aca="false">IF($A165="","",SUMIFS(业务流水!$H$5:$H$1504,业务流水!$E$5:$E$1504,$D165,业务流水!$D$5:$D$1504,"销项开票",业务流水!$C$5:$C$1504,$A165,业务流水!$Z$5:$Z$1504,"是"))</f>
        <v/>
      </c>
      <c r="F165" s="49" t="str">
        <f aca="false">IF(OR($A165="",$E165=0),"",SUMIFS(业务流水!$O$5:$O$1504,业务流水!$E$5:$E$1504,$D165,业务流水!$D$5:$D$1504,"销项开票",业务流水!$C$5:$C$1504,$A165,业务流水!$Z$5:$Z$1504,"是")/$E165)</f>
        <v/>
      </c>
      <c r="G165" s="41" t="str">
        <f aca="false">IF($A165="","",SUMIFS(业务流水!$O$5:$O$1504,业务流水!$E$5:$E$1504,$D165,业务流水!$D$5:$D$1504,"销项开票",业务流水!$C$5:$C$1504,$A165,业务流水!$Z$5:$Z$1504,"是"))</f>
        <v/>
      </c>
      <c r="H165" s="42" t="str">
        <f aca="false">IF($A165="","",$E165-$G165)</f>
        <v/>
      </c>
      <c r="I165" s="32" t="str">
        <f aca="false">IF($A165="","",项目档案!$F165)</f>
        <v/>
      </c>
      <c r="J165" s="41" t="n">
        <f aca="false">IF(OR($A165="",$I165=""),0,SUMIFS(业务流水!$H$5:$H$1504,业务流水!$E$5:$E$1504,$I165,业务流水!$D$5:$D$1504,"销项开票",业务流水!$C$5:$C$1504,$A165,业务流水!$Z$5:$Z$1504,"是"))</f>
        <v>0</v>
      </c>
      <c r="K165" s="49" t="str">
        <f aca="false">IF(OR($A165="",$J165=0),"",SUMIFS(业务流水!$O$5:$O$1504,业务流水!$E$5:$E$1504,$I165,业务流水!$D$5:$D$1504,"销项开票",业务流水!$C$5:$C$1504,$A165,业务流水!$Z$5:$Z$1504,"是")/$J165)</f>
        <v/>
      </c>
      <c r="L165" s="41" t="n">
        <f aca="false">IF(OR($A165="",$I165=""),0,SUMIFS(业务流水!$O$5:$O$1504,业务流水!$E$5:$E$1504,$I165,业务流水!$D$5:$D$1504,"销项开票",业务流水!$C$5:$C$1504,$A165,业务流水!$Z$5:$Z$1504,"是"))</f>
        <v>0</v>
      </c>
      <c r="M165" s="43" t="str">
        <f aca="false">IF($A165="","",IF(AND($I165&lt;&gt;"",$J165&gt;0),$J165-$L165,$H165))</f>
        <v/>
      </c>
      <c r="N165" s="41" t="str">
        <f aca="false">IF($A165="","",SUMIFS(业务流水!$H$5:$H$1504,业务流水!$F$5:$F$1504,"*",业务流水!$D$5:$D$1504,"成本票",业务流水!$C$5:$C$1504,$A165,业务流水!$Z$5:$Z$1504,"是"))</f>
        <v/>
      </c>
      <c r="O165" s="43" t="str">
        <f aca="false">IF($A165="","",ROUND($M165-$N165,2))</f>
        <v/>
      </c>
      <c r="P165" s="33" t="str">
        <f aca="false">IF($A165="","",IF(ABS($O165)&lt;1,"✓ 已开齐",IF($O165&gt;0,"还差成本票","多开了")))</f>
        <v/>
      </c>
    </row>
    <row r="166" customFormat="false" ht="15.75" hidden="false" customHeight="true" outlineLevel="0" collapsed="false">
      <c r="A166" s="32" t="str">
        <f aca="false">IF(项目档案!$A166="","",项目档案!$A166)</f>
        <v/>
      </c>
      <c r="B166" s="40" t="str">
        <f aca="false">IF($A166="","",项目档案!$B166)</f>
        <v/>
      </c>
      <c r="C166" s="32" t="str">
        <f aca="false">IF($A166="","",项目档案!$C166)</f>
        <v/>
      </c>
      <c r="D166" s="32" t="str">
        <f aca="false">IF($A166="","",项目档案!$D166)</f>
        <v/>
      </c>
      <c r="E166" s="41" t="str">
        <f aca="false">IF($A166="","",SUMIFS(业务流水!$H$5:$H$1504,业务流水!$E$5:$E$1504,$D166,业务流水!$D$5:$D$1504,"销项开票",业务流水!$C$5:$C$1504,$A166,业务流水!$Z$5:$Z$1504,"是"))</f>
        <v/>
      </c>
      <c r="F166" s="49" t="str">
        <f aca="false">IF(OR($A166="",$E166=0),"",SUMIFS(业务流水!$O$5:$O$1504,业务流水!$E$5:$E$1504,$D166,业务流水!$D$5:$D$1504,"销项开票",业务流水!$C$5:$C$1504,$A166,业务流水!$Z$5:$Z$1504,"是")/$E166)</f>
        <v/>
      </c>
      <c r="G166" s="41" t="str">
        <f aca="false">IF($A166="","",SUMIFS(业务流水!$O$5:$O$1504,业务流水!$E$5:$E$1504,$D166,业务流水!$D$5:$D$1504,"销项开票",业务流水!$C$5:$C$1504,$A166,业务流水!$Z$5:$Z$1504,"是"))</f>
        <v/>
      </c>
      <c r="H166" s="42" t="str">
        <f aca="false">IF($A166="","",$E166-$G166)</f>
        <v/>
      </c>
      <c r="I166" s="32" t="str">
        <f aca="false">IF($A166="","",项目档案!$F166)</f>
        <v/>
      </c>
      <c r="J166" s="41" t="n">
        <f aca="false">IF(OR($A166="",$I166=""),0,SUMIFS(业务流水!$H$5:$H$1504,业务流水!$E$5:$E$1504,$I166,业务流水!$D$5:$D$1504,"销项开票",业务流水!$C$5:$C$1504,$A166,业务流水!$Z$5:$Z$1504,"是"))</f>
        <v>0</v>
      </c>
      <c r="K166" s="49" t="str">
        <f aca="false">IF(OR($A166="",$J166=0),"",SUMIFS(业务流水!$O$5:$O$1504,业务流水!$E$5:$E$1504,$I166,业务流水!$D$5:$D$1504,"销项开票",业务流水!$C$5:$C$1504,$A166,业务流水!$Z$5:$Z$1504,"是")/$J166)</f>
        <v/>
      </c>
      <c r="L166" s="41" t="n">
        <f aca="false">IF(OR($A166="",$I166=""),0,SUMIFS(业务流水!$O$5:$O$1504,业务流水!$E$5:$E$1504,$I166,业务流水!$D$5:$D$1504,"销项开票",业务流水!$C$5:$C$1504,$A166,业务流水!$Z$5:$Z$1504,"是"))</f>
        <v>0</v>
      </c>
      <c r="M166" s="43" t="str">
        <f aca="false">IF($A166="","",IF(AND($I166&lt;&gt;"",$J166&gt;0),$J166-$L166,$H166))</f>
        <v/>
      </c>
      <c r="N166" s="41" t="str">
        <f aca="false">IF($A166="","",SUMIFS(业务流水!$H$5:$H$1504,业务流水!$F$5:$F$1504,"*",业务流水!$D$5:$D$1504,"成本票",业务流水!$C$5:$C$1504,$A166,业务流水!$Z$5:$Z$1504,"是"))</f>
        <v/>
      </c>
      <c r="O166" s="43" t="str">
        <f aca="false">IF($A166="","",ROUND($M166-$N166,2))</f>
        <v/>
      </c>
      <c r="P166" s="33" t="str">
        <f aca="false">IF($A166="","",IF(ABS($O166)&lt;1,"✓ 已开齐",IF($O166&gt;0,"还差成本票","多开了")))</f>
        <v/>
      </c>
    </row>
    <row r="167" customFormat="false" ht="15.75" hidden="false" customHeight="true" outlineLevel="0" collapsed="false">
      <c r="A167" s="32" t="str">
        <f aca="false">IF(项目档案!$A167="","",项目档案!$A167)</f>
        <v/>
      </c>
      <c r="B167" s="40" t="str">
        <f aca="false">IF($A167="","",项目档案!$B167)</f>
        <v/>
      </c>
      <c r="C167" s="32" t="str">
        <f aca="false">IF($A167="","",项目档案!$C167)</f>
        <v/>
      </c>
      <c r="D167" s="32" t="str">
        <f aca="false">IF($A167="","",项目档案!$D167)</f>
        <v/>
      </c>
      <c r="E167" s="41" t="str">
        <f aca="false">IF($A167="","",SUMIFS(业务流水!$H$5:$H$1504,业务流水!$E$5:$E$1504,$D167,业务流水!$D$5:$D$1504,"销项开票",业务流水!$C$5:$C$1504,$A167,业务流水!$Z$5:$Z$1504,"是"))</f>
        <v/>
      </c>
      <c r="F167" s="49" t="str">
        <f aca="false">IF(OR($A167="",$E167=0),"",SUMIFS(业务流水!$O$5:$O$1504,业务流水!$E$5:$E$1504,$D167,业务流水!$D$5:$D$1504,"销项开票",业务流水!$C$5:$C$1504,$A167,业务流水!$Z$5:$Z$1504,"是")/$E167)</f>
        <v/>
      </c>
      <c r="G167" s="41" t="str">
        <f aca="false">IF($A167="","",SUMIFS(业务流水!$O$5:$O$1504,业务流水!$E$5:$E$1504,$D167,业务流水!$D$5:$D$1504,"销项开票",业务流水!$C$5:$C$1504,$A167,业务流水!$Z$5:$Z$1504,"是"))</f>
        <v/>
      </c>
      <c r="H167" s="42" t="str">
        <f aca="false">IF($A167="","",$E167-$G167)</f>
        <v/>
      </c>
      <c r="I167" s="32" t="str">
        <f aca="false">IF($A167="","",项目档案!$F167)</f>
        <v/>
      </c>
      <c r="J167" s="41" t="n">
        <f aca="false">IF(OR($A167="",$I167=""),0,SUMIFS(业务流水!$H$5:$H$1504,业务流水!$E$5:$E$1504,$I167,业务流水!$D$5:$D$1504,"销项开票",业务流水!$C$5:$C$1504,$A167,业务流水!$Z$5:$Z$1504,"是"))</f>
        <v>0</v>
      </c>
      <c r="K167" s="49" t="str">
        <f aca="false">IF(OR($A167="",$J167=0),"",SUMIFS(业务流水!$O$5:$O$1504,业务流水!$E$5:$E$1504,$I167,业务流水!$D$5:$D$1504,"销项开票",业务流水!$C$5:$C$1504,$A167,业务流水!$Z$5:$Z$1504,"是")/$J167)</f>
        <v/>
      </c>
      <c r="L167" s="41" t="n">
        <f aca="false">IF(OR($A167="",$I167=""),0,SUMIFS(业务流水!$O$5:$O$1504,业务流水!$E$5:$E$1504,$I167,业务流水!$D$5:$D$1504,"销项开票",业务流水!$C$5:$C$1504,$A167,业务流水!$Z$5:$Z$1504,"是"))</f>
        <v>0</v>
      </c>
      <c r="M167" s="43" t="str">
        <f aca="false">IF($A167="","",IF(AND($I167&lt;&gt;"",$J167&gt;0),$J167-$L167,$H167))</f>
        <v/>
      </c>
      <c r="N167" s="41" t="str">
        <f aca="false">IF($A167="","",SUMIFS(业务流水!$H$5:$H$1504,业务流水!$F$5:$F$1504,"*",业务流水!$D$5:$D$1504,"成本票",业务流水!$C$5:$C$1504,$A167,业务流水!$Z$5:$Z$1504,"是"))</f>
        <v/>
      </c>
      <c r="O167" s="43" t="str">
        <f aca="false">IF($A167="","",ROUND($M167-$N167,2))</f>
        <v/>
      </c>
      <c r="P167" s="33" t="str">
        <f aca="false">IF($A167="","",IF(ABS($O167)&lt;1,"✓ 已开齐",IF($O167&gt;0,"还差成本票","多开了")))</f>
        <v/>
      </c>
    </row>
    <row r="168" customFormat="false" ht="15.75" hidden="false" customHeight="true" outlineLevel="0" collapsed="false">
      <c r="A168" s="32" t="str">
        <f aca="false">IF(项目档案!$A168="","",项目档案!$A168)</f>
        <v/>
      </c>
      <c r="B168" s="40" t="str">
        <f aca="false">IF($A168="","",项目档案!$B168)</f>
        <v/>
      </c>
      <c r="C168" s="32" t="str">
        <f aca="false">IF($A168="","",项目档案!$C168)</f>
        <v/>
      </c>
      <c r="D168" s="32" t="str">
        <f aca="false">IF($A168="","",项目档案!$D168)</f>
        <v/>
      </c>
      <c r="E168" s="41" t="str">
        <f aca="false">IF($A168="","",SUMIFS(业务流水!$H$5:$H$1504,业务流水!$E$5:$E$1504,$D168,业务流水!$D$5:$D$1504,"销项开票",业务流水!$C$5:$C$1504,$A168,业务流水!$Z$5:$Z$1504,"是"))</f>
        <v/>
      </c>
      <c r="F168" s="49" t="str">
        <f aca="false">IF(OR($A168="",$E168=0),"",SUMIFS(业务流水!$O$5:$O$1504,业务流水!$E$5:$E$1504,$D168,业务流水!$D$5:$D$1504,"销项开票",业务流水!$C$5:$C$1504,$A168,业务流水!$Z$5:$Z$1504,"是")/$E168)</f>
        <v/>
      </c>
      <c r="G168" s="41" t="str">
        <f aca="false">IF($A168="","",SUMIFS(业务流水!$O$5:$O$1504,业务流水!$E$5:$E$1504,$D168,业务流水!$D$5:$D$1504,"销项开票",业务流水!$C$5:$C$1504,$A168,业务流水!$Z$5:$Z$1504,"是"))</f>
        <v/>
      </c>
      <c r="H168" s="42" t="str">
        <f aca="false">IF($A168="","",$E168-$G168)</f>
        <v/>
      </c>
      <c r="I168" s="32" t="str">
        <f aca="false">IF($A168="","",项目档案!$F168)</f>
        <v/>
      </c>
      <c r="J168" s="41" t="n">
        <f aca="false">IF(OR($A168="",$I168=""),0,SUMIFS(业务流水!$H$5:$H$1504,业务流水!$E$5:$E$1504,$I168,业务流水!$D$5:$D$1504,"销项开票",业务流水!$C$5:$C$1504,$A168,业务流水!$Z$5:$Z$1504,"是"))</f>
        <v>0</v>
      </c>
      <c r="K168" s="49" t="str">
        <f aca="false">IF(OR($A168="",$J168=0),"",SUMIFS(业务流水!$O$5:$O$1504,业务流水!$E$5:$E$1504,$I168,业务流水!$D$5:$D$1504,"销项开票",业务流水!$C$5:$C$1504,$A168,业务流水!$Z$5:$Z$1504,"是")/$J168)</f>
        <v/>
      </c>
      <c r="L168" s="41" t="n">
        <f aca="false">IF(OR($A168="",$I168=""),0,SUMIFS(业务流水!$O$5:$O$1504,业务流水!$E$5:$E$1504,$I168,业务流水!$D$5:$D$1504,"销项开票",业务流水!$C$5:$C$1504,$A168,业务流水!$Z$5:$Z$1504,"是"))</f>
        <v>0</v>
      </c>
      <c r="M168" s="43" t="str">
        <f aca="false">IF($A168="","",IF(AND($I168&lt;&gt;"",$J168&gt;0),$J168-$L168,$H168))</f>
        <v/>
      </c>
      <c r="N168" s="41" t="str">
        <f aca="false">IF($A168="","",SUMIFS(业务流水!$H$5:$H$1504,业务流水!$F$5:$F$1504,"*",业务流水!$D$5:$D$1504,"成本票",业务流水!$C$5:$C$1504,$A168,业务流水!$Z$5:$Z$1504,"是"))</f>
        <v/>
      </c>
      <c r="O168" s="43" t="str">
        <f aca="false">IF($A168="","",ROUND($M168-$N168,2))</f>
        <v/>
      </c>
      <c r="P168" s="33" t="str">
        <f aca="false">IF($A168="","",IF(ABS($O168)&lt;1,"✓ 已开齐",IF($O168&gt;0,"还差成本票","多开了")))</f>
        <v/>
      </c>
    </row>
    <row r="169" customFormat="false" ht="15.75" hidden="false" customHeight="true" outlineLevel="0" collapsed="false">
      <c r="A169" s="32" t="str">
        <f aca="false">IF(项目档案!$A169="","",项目档案!$A169)</f>
        <v/>
      </c>
      <c r="B169" s="40" t="str">
        <f aca="false">IF($A169="","",项目档案!$B169)</f>
        <v/>
      </c>
      <c r="C169" s="32" t="str">
        <f aca="false">IF($A169="","",项目档案!$C169)</f>
        <v/>
      </c>
      <c r="D169" s="32" t="str">
        <f aca="false">IF($A169="","",项目档案!$D169)</f>
        <v/>
      </c>
      <c r="E169" s="41" t="str">
        <f aca="false">IF($A169="","",SUMIFS(业务流水!$H$5:$H$1504,业务流水!$E$5:$E$1504,$D169,业务流水!$D$5:$D$1504,"销项开票",业务流水!$C$5:$C$1504,$A169,业务流水!$Z$5:$Z$1504,"是"))</f>
        <v/>
      </c>
      <c r="F169" s="49" t="str">
        <f aca="false">IF(OR($A169="",$E169=0),"",SUMIFS(业务流水!$O$5:$O$1504,业务流水!$E$5:$E$1504,$D169,业务流水!$D$5:$D$1504,"销项开票",业务流水!$C$5:$C$1504,$A169,业务流水!$Z$5:$Z$1504,"是")/$E169)</f>
        <v/>
      </c>
      <c r="G169" s="41" t="str">
        <f aca="false">IF($A169="","",SUMIFS(业务流水!$O$5:$O$1504,业务流水!$E$5:$E$1504,$D169,业务流水!$D$5:$D$1504,"销项开票",业务流水!$C$5:$C$1504,$A169,业务流水!$Z$5:$Z$1504,"是"))</f>
        <v/>
      </c>
      <c r="H169" s="42" t="str">
        <f aca="false">IF($A169="","",$E169-$G169)</f>
        <v/>
      </c>
      <c r="I169" s="32" t="str">
        <f aca="false">IF($A169="","",项目档案!$F169)</f>
        <v/>
      </c>
      <c r="J169" s="41" t="n">
        <f aca="false">IF(OR($A169="",$I169=""),0,SUMIFS(业务流水!$H$5:$H$1504,业务流水!$E$5:$E$1504,$I169,业务流水!$D$5:$D$1504,"销项开票",业务流水!$C$5:$C$1504,$A169,业务流水!$Z$5:$Z$1504,"是"))</f>
        <v>0</v>
      </c>
      <c r="K169" s="49" t="str">
        <f aca="false">IF(OR($A169="",$J169=0),"",SUMIFS(业务流水!$O$5:$O$1504,业务流水!$E$5:$E$1504,$I169,业务流水!$D$5:$D$1504,"销项开票",业务流水!$C$5:$C$1504,$A169,业务流水!$Z$5:$Z$1504,"是")/$J169)</f>
        <v/>
      </c>
      <c r="L169" s="41" t="n">
        <f aca="false">IF(OR($A169="",$I169=""),0,SUMIFS(业务流水!$O$5:$O$1504,业务流水!$E$5:$E$1504,$I169,业务流水!$D$5:$D$1504,"销项开票",业务流水!$C$5:$C$1504,$A169,业务流水!$Z$5:$Z$1504,"是"))</f>
        <v>0</v>
      </c>
      <c r="M169" s="43" t="str">
        <f aca="false">IF($A169="","",IF(AND($I169&lt;&gt;"",$J169&gt;0),$J169-$L169,$H169))</f>
        <v/>
      </c>
      <c r="N169" s="41" t="str">
        <f aca="false">IF($A169="","",SUMIFS(业务流水!$H$5:$H$1504,业务流水!$F$5:$F$1504,"*",业务流水!$D$5:$D$1504,"成本票",业务流水!$C$5:$C$1504,$A169,业务流水!$Z$5:$Z$1504,"是"))</f>
        <v/>
      </c>
      <c r="O169" s="43" t="str">
        <f aca="false">IF($A169="","",ROUND($M169-$N169,2))</f>
        <v/>
      </c>
      <c r="P169" s="33" t="str">
        <f aca="false">IF($A169="","",IF(ABS($O169)&lt;1,"✓ 已开齐",IF($O169&gt;0,"还差成本票","多开了")))</f>
        <v/>
      </c>
    </row>
    <row r="170" customFormat="false" ht="15.75" hidden="false" customHeight="true" outlineLevel="0" collapsed="false">
      <c r="A170" s="32" t="str">
        <f aca="false">IF(项目档案!$A170="","",项目档案!$A170)</f>
        <v/>
      </c>
      <c r="B170" s="40" t="str">
        <f aca="false">IF($A170="","",项目档案!$B170)</f>
        <v/>
      </c>
      <c r="C170" s="32" t="str">
        <f aca="false">IF($A170="","",项目档案!$C170)</f>
        <v/>
      </c>
      <c r="D170" s="32" t="str">
        <f aca="false">IF($A170="","",项目档案!$D170)</f>
        <v/>
      </c>
      <c r="E170" s="41" t="str">
        <f aca="false">IF($A170="","",SUMIFS(业务流水!$H$5:$H$1504,业务流水!$E$5:$E$1504,$D170,业务流水!$D$5:$D$1504,"销项开票",业务流水!$C$5:$C$1504,$A170,业务流水!$Z$5:$Z$1504,"是"))</f>
        <v/>
      </c>
      <c r="F170" s="49" t="str">
        <f aca="false">IF(OR($A170="",$E170=0),"",SUMIFS(业务流水!$O$5:$O$1504,业务流水!$E$5:$E$1504,$D170,业务流水!$D$5:$D$1504,"销项开票",业务流水!$C$5:$C$1504,$A170,业务流水!$Z$5:$Z$1504,"是")/$E170)</f>
        <v/>
      </c>
      <c r="G170" s="41" t="str">
        <f aca="false">IF($A170="","",SUMIFS(业务流水!$O$5:$O$1504,业务流水!$E$5:$E$1504,$D170,业务流水!$D$5:$D$1504,"销项开票",业务流水!$C$5:$C$1504,$A170,业务流水!$Z$5:$Z$1504,"是"))</f>
        <v/>
      </c>
      <c r="H170" s="42" t="str">
        <f aca="false">IF($A170="","",$E170-$G170)</f>
        <v/>
      </c>
      <c r="I170" s="32" t="str">
        <f aca="false">IF($A170="","",项目档案!$F170)</f>
        <v/>
      </c>
      <c r="J170" s="41" t="n">
        <f aca="false">IF(OR($A170="",$I170=""),0,SUMIFS(业务流水!$H$5:$H$1504,业务流水!$E$5:$E$1504,$I170,业务流水!$D$5:$D$1504,"销项开票",业务流水!$C$5:$C$1504,$A170,业务流水!$Z$5:$Z$1504,"是"))</f>
        <v>0</v>
      </c>
      <c r="K170" s="49" t="str">
        <f aca="false">IF(OR($A170="",$J170=0),"",SUMIFS(业务流水!$O$5:$O$1504,业务流水!$E$5:$E$1504,$I170,业务流水!$D$5:$D$1504,"销项开票",业务流水!$C$5:$C$1504,$A170,业务流水!$Z$5:$Z$1504,"是")/$J170)</f>
        <v/>
      </c>
      <c r="L170" s="41" t="n">
        <f aca="false">IF(OR($A170="",$I170=""),0,SUMIFS(业务流水!$O$5:$O$1504,业务流水!$E$5:$E$1504,$I170,业务流水!$D$5:$D$1504,"销项开票",业务流水!$C$5:$C$1504,$A170,业务流水!$Z$5:$Z$1504,"是"))</f>
        <v>0</v>
      </c>
      <c r="M170" s="43" t="str">
        <f aca="false">IF($A170="","",IF(AND($I170&lt;&gt;"",$J170&gt;0),$J170-$L170,$H170))</f>
        <v/>
      </c>
      <c r="N170" s="41" t="str">
        <f aca="false">IF($A170="","",SUMIFS(业务流水!$H$5:$H$1504,业务流水!$F$5:$F$1504,"*",业务流水!$D$5:$D$1504,"成本票",业务流水!$C$5:$C$1504,$A170,业务流水!$Z$5:$Z$1504,"是"))</f>
        <v/>
      </c>
      <c r="O170" s="43" t="str">
        <f aca="false">IF($A170="","",ROUND($M170-$N170,2))</f>
        <v/>
      </c>
      <c r="P170" s="33" t="str">
        <f aca="false">IF($A170="","",IF(ABS($O170)&lt;1,"✓ 已开齐",IF($O170&gt;0,"还差成本票","多开了")))</f>
        <v/>
      </c>
    </row>
    <row r="171" customFormat="false" ht="15.75" hidden="false" customHeight="true" outlineLevel="0" collapsed="false">
      <c r="A171" s="32" t="str">
        <f aca="false">IF(项目档案!$A171="","",项目档案!$A171)</f>
        <v/>
      </c>
      <c r="B171" s="40" t="str">
        <f aca="false">IF($A171="","",项目档案!$B171)</f>
        <v/>
      </c>
      <c r="C171" s="32" t="str">
        <f aca="false">IF($A171="","",项目档案!$C171)</f>
        <v/>
      </c>
      <c r="D171" s="32" t="str">
        <f aca="false">IF($A171="","",项目档案!$D171)</f>
        <v/>
      </c>
      <c r="E171" s="41" t="str">
        <f aca="false">IF($A171="","",SUMIFS(业务流水!$H$5:$H$1504,业务流水!$E$5:$E$1504,$D171,业务流水!$D$5:$D$1504,"销项开票",业务流水!$C$5:$C$1504,$A171,业务流水!$Z$5:$Z$1504,"是"))</f>
        <v/>
      </c>
      <c r="F171" s="49" t="str">
        <f aca="false">IF(OR($A171="",$E171=0),"",SUMIFS(业务流水!$O$5:$O$1504,业务流水!$E$5:$E$1504,$D171,业务流水!$D$5:$D$1504,"销项开票",业务流水!$C$5:$C$1504,$A171,业务流水!$Z$5:$Z$1504,"是")/$E171)</f>
        <v/>
      </c>
      <c r="G171" s="41" t="str">
        <f aca="false">IF($A171="","",SUMIFS(业务流水!$O$5:$O$1504,业务流水!$E$5:$E$1504,$D171,业务流水!$D$5:$D$1504,"销项开票",业务流水!$C$5:$C$1504,$A171,业务流水!$Z$5:$Z$1504,"是"))</f>
        <v/>
      </c>
      <c r="H171" s="42" t="str">
        <f aca="false">IF($A171="","",$E171-$G171)</f>
        <v/>
      </c>
      <c r="I171" s="32" t="str">
        <f aca="false">IF($A171="","",项目档案!$F171)</f>
        <v/>
      </c>
      <c r="J171" s="41" t="n">
        <f aca="false">IF(OR($A171="",$I171=""),0,SUMIFS(业务流水!$H$5:$H$1504,业务流水!$E$5:$E$1504,$I171,业务流水!$D$5:$D$1504,"销项开票",业务流水!$C$5:$C$1504,$A171,业务流水!$Z$5:$Z$1504,"是"))</f>
        <v>0</v>
      </c>
      <c r="K171" s="49" t="str">
        <f aca="false">IF(OR($A171="",$J171=0),"",SUMIFS(业务流水!$O$5:$O$1504,业务流水!$E$5:$E$1504,$I171,业务流水!$D$5:$D$1504,"销项开票",业务流水!$C$5:$C$1504,$A171,业务流水!$Z$5:$Z$1504,"是")/$J171)</f>
        <v/>
      </c>
      <c r="L171" s="41" t="n">
        <f aca="false">IF(OR($A171="",$I171=""),0,SUMIFS(业务流水!$O$5:$O$1504,业务流水!$E$5:$E$1504,$I171,业务流水!$D$5:$D$1504,"销项开票",业务流水!$C$5:$C$1504,$A171,业务流水!$Z$5:$Z$1504,"是"))</f>
        <v>0</v>
      </c>
      <c r="M171" s="43" t="str">
        <f aca="false">IF($A171="","",IF(AND($I171&lt;&gt;"",$J171&gt;0),$J171-$L171,$H171))</f>
        <v/>
      </c>
      <c r="N171" s="41" t="str">
        <f aca="false">IF($A171="","",SUMIFS(业务流水!$H$5:$H$1504,业务流水!$F$5:$F$1504,"*",业务流水!$D$5:$D$1504,"成本票",业务流水!$C$5:$C$1504,$A171,业务流水!$Z$5:$Z$1504,"是"))</f>
        <v/>
      </c>
      <c r="O171" s="43" t="str">
        <f aca="false">IF($A171="","",ROUND($M171-$N171,2))</f>
        <v/>
      </c>
      <c r="P171" s="33" t="str">
        <f aca="false">IF($A171="","",IF(ABS($O171)&lt;1,"✓ 已开齐",IF($O171&gt;0,"还差成本票","多开了")))</f>
        <v/>
      </c>
    </row>
    <row r="172" customFormat="false" ht="15.75" hidden="false" customHeight="true" outlineLevel="0" collapsed="false">
      <c r="A172" s="32" t="str">
        <f aca="false">IF(项目档案!$A172="","",项目档案!$A172)</f>
        <v/>
      </c>
      <c r="B172" s="40" t="str">
        <f aca="false">IF($A172="","",项目档案!$B172)</f>
        <v/>
      </c>
      <c r="C172" s="32" t="str">
        <f aca="false">IF($A172="","",项目档案!$C172)</f>
        <v/>
      </c>
      <c r="D172" s="32" t="str">
        <f aca="false">IF($A172="","",项目档案!$D172)</f>
        <v/>
      </c>
      <c r="E172" s="41" t="str">
        <f aca="false">IF($A172="","",SUMIFS(业务流水!$H$5:$H$1504,业务流水!$E$5:$E$1504,$D172,业务流水!$D$5:$D$1504,"销项开票",业务流水!$C$5:$C$1504,$A172,业务流水!$Z$5:$Z$1504,"是"))</f>
        <v/>
      </c>
      <c r="F172" s="49" t="str">
        <f aca="false">IF(OR($A172="",$E172=0),"",SUMIFS(业务流水!$O$5:$O$1504,业务流水!$E$5:$E$1504,$D172,业务流水!$D$5:$D$1504,"销项开票",业务流水!$C$5:$C$1504,$A172,业务流水!$Z$5:$Z$1504,"是")/$E172)</f>
        <v/>
      </c>
      <c r="G172" s="41" t="str">
        <f aca="false">IF($A172="","",SUMIFS(业务流水!$O$5:$O$1504,业务流水!$E$5:$E$1504,$D172,业务流水!$D$5:$D$1504,"销项开票",业务流水!$C$5:$C$1504,$A172,业务流水!$Z$5:$Z$1504,"是"))</f>
        <v/>
      </c>
      <c r="H172" s="42" t="str">
        <f aca="false">IF($A172="","",$E172-$G172)</f>
        <v/>
      </c>
      <c r="I172" s="32" t="str">
        <f aca="false">IF($A172="","",项目档案!$F172)</f>
        <v/>
      </c>
      <c r="J172" s="41" t="n">
        <f aca="false">IF(OR($A172="",$I172=""),0,SUMIFS(业务流水!$H$5:$H$1504,业务流水!$E$5:$E$1504,$I172,业务流水!$D$5:$D$1504,"销项开票",业务流水!$C$5:$C$1504,$A172,业务流水!$Z$5:$Z$1504,"是"))</f>
        <v>0</v>
      </c>
      <c r="K172" s="49" t="str">
        <f aca="false">IF(OR($A172="",$J172=0),"",SUMIFS(业务流水!$O$5:$O$1504,业务流水!$E$5:$E$1504,$I172,业务流水!$D$5:$D$1504,"销项开票",业务流水!$C$5:$C$1504,$A172,业务流水!$Z$5:$Z$1504,"是")/$J172)</f>
        <v/>
      </c>
      <c r="L172" s="41" t="n">
        <f aca="false">IF(OR($A172="",$I172=""),0,SUMIFS(业务流水!$O$5:$O$1504,业务流水!$E$5:$E$1504,$I172,业务流水!$D$5:$D$1504,"销项开票",业务流水!$C$5:$C$1504,$A172,业务流水!$Z$5:$Z$1504,"是"))</f>
        <v>0</v>
      </c>
      <c r="M172" s="43" t="str">
        <f aca="false">IF($A172="","",IF(AND($I172&lt;&gt;"",$J172&gt;0),$J172-$L172,$H172))</f>
        <v/>
      </c>
      <c r="N172" s="41" t="str">
        <f aca="false">IF($A172="","",SUMIFS(业务流水!$H$5:$H$1504,业务流水!$F$5:$F$1504,"*",业务流水!$D$5:$D$1504,"成本票",业务流水!$C$5:$C$1504,$A172,业务流水!$Z$5:$Z$1504,"是"))</f>
        <v/>
      </c>
      <c r="O172" s="43" t="str">
        <f aca="false">IF($A172="","",ROUND($M172-$N172,2))</f>
        <v/>
      </c>
      <c r="P172" s="33" t="str">
        <f aca="false">IF($A172="","",IF(ABS($O172)&lt;1,"✓ 已开齐",IF($O172&gt;0,"还差成本票","多开了")))</f>
        <v/>
      </c>
    </row>
    <row r="173" customFormat="false" ht="15.75" hidden="false" customHeight="true" outlineLevel="0" collapsed="false">
      <c r="A173" s="32" t="str">
        <f aca="false">IF(项目档案!$A173="","",项目档案!$A173)</f>
        <v/>
      </c>
      <c r="B173" s="40" t="str">
        <f aca="false">IF($A173="","",项目档案!$B173)</f>
        <v/>
      </c>
      <c r="C173" s="32" t="str">
        <f aca="false">IF($A173="","",项目档案!$C173)</f>
        <v/>
      </c>
      <c r="D173" s="32" t="str">
        <f aca="false">IF($A173="","",项目档案!$D173)</f>
        <v/>
      </c>
      <c r="E173" s="41" t="str">
        <f aca="false">IF($A173="","",SUMIFS(业务流水!$H$5:$H$1504,业务流水!$E$5:$E$1504,$D173,业务流水!$D$5:$D$1504,"销项开票",业务流水!$C$5:$C$1504,$A173,业务流水!$Z$5:$Z$1504,"是"))</f>
        <v/>
      </c>
      <c r="F173" s="49" t="str">
        <f aca="false">IF(OR($A173="",$E173=0),"",SUMIFS(业务流水!$O$5:$O$1504,业务流水!$E$5:$E$1504,$D173,业务流水!$D$5:$D$1504,"销项开票",业务流水!$C$5:$C$1504,$A173,业务流水!$Z$5:$Z$1504,"是")/$E173)</f>
        <v/>
      </c>
      <c r="G173" s="41" t="str">
        <f aca="false">IF($A173="","",SUMIFS(业务流水!$O$5:$O$1504,业务流水!$E$5:$E$1504,$D173,业务流水!$D$5:$D$1504,"销项开票",业务流水!$C$5:$C$1504,$A173,业务流水!$Z$5:$Z$1504,"是"))</f>
        <v/>
      </c>
      <c r="H173" s="42" t="str">
        <f aca="false">IF($A173="","",$E173-$G173)</f>
        <v/>
      </c>
      <c r="I173" s="32" t="str">
        <f aca="false">IF($A173="","",项目档案!$F173)</f>
        <v/>
      </c>
      <c r="J173" s="41" t="n">
        <f aca="false">IF(OR($A173="",$I173=""),0,SUMIFS(业务流水!$H$5:$H$1504,业务流水!$E$5:$E$1504,$I173,业务流水!$D$5:$D$1504,"销项开票",业务流水!$C$5:$C$1504,$A173,业务流水!$Z$5:$Z$1504,"是"))</f>
        <v>0</v>
      </c>
      <c r="K173" s="49" t="str">
        <f aca="false">IF(OR($A173="",$J173=0),"",SUMIFS(业务流水!$O$5:$O$1504,业务流水!$E$5:$E$1504,$I173,业务流水!$D$5:$D$1504,"销项开票",业务流水!$C$5:$C$1504,$A173,业务流水!$Z$5:$Z$1504,"是")/$J173)</f>
        <v/>
      </c>
      <c r="L173" s="41" t="n">
        <f aca="false">IF(OR($A173="",$I173=""),0,SUMIFS(业务流水!$O$5:$O$1504,业务流水!$E$5:$E$1504,$I173,业务流水!$D$5:$D$1504,"销项开票",业务流水!$C$5:$C$1504,$A173,业务流水!$Z$5:$Z$1504,"是"))</f>
        <v>0</v>
      </c>
      <c r="M173" s="43" t="str">
        <f aca="false">IF($A173="","",IF(AND($I173&lt;&gt;"",$J173&gt;0),$J173-$L173,$H173))</f>
        <v/>
      </c>
      <c r="N173" s="41" t="str">
        <f aca="false">IF($A173="","",SUMIFS(业务流水!$H$5:$H$1504,业务流水!$F$5:$F$1504,"*",业务流水!$D$5:$D$1504,"成本票",业务流水!$C$5:$C$1504,$A173,业务流水!$Z$5:$Z$1504,"是"))</f>
        <v/>
      </c>
      <c r="O173" s="43" t="str">
        <f aca="false">IF($A173="","",ROUND($M173-$N173,2))</f>
        <v/>
      </c>
      <c r="P173" s="33" t="str">
        <f aca="false">IF($A173="","",IF(ABS($O173)&lt;1,"✓ 已开齐",IF($O173&gt;0,"还差成本票","多开了")))</f>
        <v/>
      </c>
    </row>
    <row r="174" customFormat="false" ht="15.75" hidden="false" customHeight="true" outlineLevel="0" collapsed="false">
      <c r="A174" s="32" t="str">
        <f aca="false">IF(项目档案!$A174="","",项目档案!$A174)</f>
        <v/>
      </c>
      <c r="B174" s="40" t="str">
        <f aca="false">IF($A174="","",项目档案!$B174)</f>
        <v/>
      </c>
      <c r="C174" s="32" t="str">
        <f aca="false">IF($A174="","",项目档案!$C174)</f>
        <v/>
      </c>
      <c r="D174" s="32" t="str">
        <f aca="false">IF($A174="","",项目档案!$D174)</f>
        <v/>
      </c>
      <c r="E174" s="41" t="str">
        <f aca="false">IF($A174="","",SUMIFS(业务流水!$H$5:$H$1504,业务流水!$E$5:$E$1504,$D174,业务流水!$D$5:$D$1504,"销项开票",业务流水!$C$5:$C$1504,$A174,业务流水!$Z$5:$Z$1504,"是"))</f>
        <v/>
      </c>
      <c r="F174" s="49" t="str">
        <f aca="false">IF(OR($A174="",$E174=0),"",SUMIFS(业务流水!$O$5:$O$1504,业务流水!$E$5:$E$1504,$D174,业务流水!$D$5:$D$1504,"销项开票",业务流水!$C$5:$C$1504,$A174,业务流水!$Z$5:$Z$1504,"是")/$E174)</f>
        <v/>
      </c>
      <c r="G174" s="41" t="str">
        <f aca="false">IF($A174="","",SUMIFS(业务流水!$O$5:$O$1504,业务流水!$E$5:$E$1504,$D174,业务流水!$D$5:$D$1504,"销项开票",业务流水!$C$5:$C$1504,$A174,业务流水!$Z$5:$Z$1504,"是"))</f>
        <v/>
      </c>
      <c r="H174" s="42" t="str">
        <f aca="false">IF($A174="","",$E174-$G174)</f>
        <v/>
      </c>
      <c r="I174" s="32" t="str">
        <f aca="false">IF($A174="","",项目档案!$F174)</f>
        <v/>
      </c>
      <c r="J174" s="41" t="n">
        <f aca="false">IF(OR($A174="",$I174=""),0,SUMIFS(业务流水!$H$5:$H$1504,业务流水!$E$5:$E$1504,$I174,业务流水!$D$5:$D$1504,"销项开票",业务流水!$C$5:$C$1504,$A174,业务流水!$Z$5:$Z$1504,"是"))</f>
        <v>0</v>
      </c>
      <c r="K174" s="49" t="str">
        <f aca="false">IF(OR($A174="",$J174=0),"",SUMIFS(业务流水!$O$5:$O$1504,业务流水!$E$5:$E$1504,$I174,业务流水!$D$5:$D$1504,"销项开票",业务流水!$C$5:$C$1504,$A174,业务流水!$Z$5:$Z$1504,"是")/$J174)</f>
        <v/>
      </c>
      <c r="L174" s="41" t="n">
        <f aca="false">IF(OR($A174="",$I174=""),0,SUMIFS(业务流水!$O$5:$O$1504,业务流水!$E$5:$E$1504,$I174,业务流水!$D$5:$D$1504,"销项开票",业务流水!$C$5:$C$1504,$A174,业务流水!$Z$5:$Z$1504,"是"))</f>
        <v>0</v>
      </c>
      <c r="M174" s="43" t="str">
        <f aca="false">IF($A174="","",IF(AND($I174&lt;&gt;"",$J174&gt;0),$J174-$L174,$H174))</f>
        <v/>
      </c>
      <c r="N174" s="41" t="str">
        <f aca="false">IF($A174="","",SUMIFS(业务流水!$H$5:$H$1504,业务流水!$F$5:$F$1504,"*",业务流水!$D$5:$D$1504,"成本票",业务流水!$C$5:$C$1504,$A174,业务流水!$Z$5:$Z$1504,"是"))</f>
        <v/>
      </c>
      <c r="O174" s="43" t="str">
        <f aca="false">IF($A174="","",ROUND($M174-$N174,2))</f>
        <v/>
      </c>
      <c r="P174" s="33" t="str">
        <f aca="false">IF($A174="","",IF(ABS($O174)&lt;1,"✓ 已开齐",IF($O174&gt;0,"还差成本票","多开了")))</f>
        <v/>
      </c>
    </row>
    <row r="175" customFormat="false" ht="15.75" hidden="false" customHeight="true" outlineLevel="0" collapsed="false">
      <c r="A175" s="32" t="str">
        <f aca="false">IF(项目档案!$A175="","",项目档案!$A175)</f>
        <v/>
      </c>
      <c r="B175" s="40" t="str">
        <f aca="false">IF($A175="","",项目档案!$B175)</f>
        <v/>
      </c>
      <c r="C175" s="32" t="str">
        <f aca="false">IF($A175="","",项目档案!$C175)</f>
        <v/>
      </c>
      <c r="D175" s="32" t="str">
        <f aca="false">IF($A175="","",项目档案!$D175)</f>
        <v/>
      </c>
      <c r="E175" s="41" t="str">
        <f aca="false">IF($A175="","",SUMIFS(业务流水!$H$5:$H$1504,业务流水!$E$5:$E$1504,$D175,业务流水!$D$5:$D$1504,"销项开票",业务流水!$C$5:$C$1504,$A175,业务流水!$Z$5:$Z$1504,"是"))</f>
        <v/>
      </c>
      <c r="F175" s="49" t="str">
        <f aca="false">IF(OR($A175="",$E175=0),"",SUMIFS(业务流水!$O$5:$O$1504,业务流水!$E$5:$E$1504,$D175,业务流水!$D$5:$D$1504,"销项开票",业务流水!$C$5:$C$1504,$A175,业务流水!$Z$5:$Z$1504,"是")/$E175)</f>
        <v/>
      </c>
      <c r="G175" s="41" t="str">
        <f aca="false">IF($A175="","",SUMIFS(业务流水!$O$5:$O$1504,业务流水!$E$5:$E$1504,$D175,业务流水!$D$5:$D$1504,"销项开票",业务流水!$C$5:$C$1504,$A175,业务流水!$Z$5:$Z$1504,"是"))</f>
        <v/>
      </c>
      <c r="H175" s="42" t="str">
        <f aca="false">IF($A175="","",$E175-$G175)</f>
        <v/>
      </c>
      <c r="I175" s="32" t="str">
        <f aca="false">IF($A175="","",项目档案!$F175)</f>
        <v/>
      </c>
      <c r="J175" s="41" t="n">
        <f aca="false">IF(OR($A175="",$I175=""),0,SUMIFS(业务流水!$H$5:$H$1504,业务流水!$E$5:$E$1504,$I175,业务流水!$D$5:$D$1504,"销项开票",业务流水!$C$5:$C$1504,$A175,业务流水!$Z$5:$Z$1504,"是"))</f>
        <v>0</v>
      </c>
      <c r="K175" s="49" t="str">
        <f aca="false">IF(OR($A175="",$J175=0),"",SUMIFS(业务流水!$O$5:$O$1504,业务流水!$E$5:$E$1504,$I175,业务流水!$D$5:$D$1504,"销项开票",业务流水!$C$5:$C$1504,$A175,业务流水!$Z$5:$Z$1504,"是")/$J175)</f>
        <v/>
      </c>
      <c r="L175" s="41" t="n">
        <f aca="false">IF(OR($A175="",$I175=""),0,SUMIFS(业务流水!$O$5:$O$1504,业务流水!$E$5:$E$1504,$I175,业务流水!$D$5:$D$1504,"销项开票",业务流水!$C$5:$C$1504,$A175,业务流水!$Z$5:$Z$1504,"是"))</f>
        <v>0</v>
      </c>
      <c r="M175" s="43" t="str">
        <f aca="false">IF($A175="","",IF(AND($I175&lt;&gt;"",$J175&gt;0),$J175-$L175,$H175))</f>
        <v/>
      </c>
      <c r="N175" s="41" t="str">
        <f aca="false">IF($A175="","",SUMIFS(业务流水!$H$5:$H$1504,业务流水!$F$5:$F$1504,"*",业务流水!$D$5:$D$1504,"成本票",业务流水!$C$5:$C$1504,$A175,业务流水!$Z$5:$Z$1504,"是"))</f>
        <v/>
      </c>
      <c r="O175" s="43" t="str">
        <f aca="false">IF($A175="","",ROUND($M175-$N175,2))</f>
        <v/>
      </c>
      <c r="P175" s="33" t="str">
        <f aca="false">IF($A175="","",IF(ABS($O175)&lt;1,"✓ 已开齐",IF($O175&gt;0,"还差成本票","多开了")))</f>
        <v/>
      </c>
    </row>
    <row r="176" customFormat="false" ht="15.75" hidden="false" customHeight="true" outlineLevel="0" collapsed="false">
      <c r="A176" s="32" t="str">
        <f aca="false">IF(项目档案!$A176="","",项目档案!$A176)</f>
        <v/>
      </c>
      <c r="B176" s="40" t="str">
        <f aca="false">IF($A176="","",项目档案!$B176)</f>
        <v/>
      </c>
      <c r="C176" s="32" t="str">
        <f aca="false">IF($A176="","",项目档案!$C176)</f>
        <v/>
      </c>
      <c r="D176" s="32" t="str">
        <f aca="false">IF($A176="","",项目档案!$D176)</f>
        <v/>
      </c>
      <c r="E176" s="41" t="str">
        <f aca="false">IF($A176="","",SUMIFS(业务流水!$H$5:$H$1504,业务流水!$E$5:$E$1504,$D176,业务流水!$D$5:$D$1504,"销项开票",业务流水!$C$5:$C$1504,$A176,业务流水!$Z$5:$Z$1504,"是"))</f>
        <v/>
      </c>
      <c r="F176" s="49" t="str">
        <f aca="false">IF(OR($A176="",$E176=0),"",SUMIFS(业务流水!$O$5:$O$1504,业务流水!$E$5:$E$1504,$D176,业务流水!$D$5:$D$1504,"销项开票",业务流水!$C$5:$C$1504,$A176,业务流水!$Z$5:$Z$1504,"是")/$E176)</f>
        <v/>
      </c>
      <c r="G176" s="41" t="str">
        <f aca="false">IF($A176="","",SUMIFS(业务流水!$O$5:$O$1504,业务流水!$E$5:$E$1504,$D176,业务流水!$D$5:$D$1504,"销项开票",业务流水!$C$5:$C$1504,$A176,业务流水!$Z$5:$Z$1504,"是"))</f>
        <v/>
      </c>
      <c r="H176" s="42" t="str">
        <f aca="false">IF($A176="","",$E176-$G176)</f>
        <v/>
      </c>
      <c r="I176" s="32" t="str">
        <f aca="false">IF($A176="","",项目档案!$F176)</f>
        <v/>
      </c>
      <c r="J176" s="41" t="n">
        <f aca="false">IF(OR($A176="",$I176=""),0,SUMIFS(业务流水!$H$5:$H$1504,业务流水!$E$5:$E$1504,$I176,业务流水!$D$5:$D$1504,"销项开票",业务流水!$C$5:$C$1504,$A176,业务流水!$Z$5:$Z$1504,"是"))</f>
        <v>0</v>
      </c>
      <c r="K176" s="49" t="str">
        <f aca="false">IF(OR($A176="",$J176=0),"",SUMIFS(业务流水!$O$5:$O$1504,业务流水!$E$5:$E$1504,$I176,业务流水!$D$5:$D$1504,"销项开票",业务流水!$C$5:$C$1504,$A176,业务流水!$Z$5:$Z$1504,"是")/$J176)</f>
        <v/>
      </c>
      <c r="L176" s="41" t="n">
        <f aca="false">IF(OR($A176="",$I176=""),0,SUMIFS(业务流水!$O$5:$O$1504,业务流水!$E$5:$E$1504,$I176,业务流水!$D$5:$D$1504,"销项开票",业务流水!$C$5:$C$1504,$A176,业务流水!$Z$5:$Z$1504,"是"))</f>
        <v>0</v>
      </c>
      <c r="M176" s="43" t="str">
        <f aca="false">IF($A176="","",IF(AND($I176&lt;&gt;"",$J176&gt;0),$J176-$L176,$H176))</f>
        <v/>
      </c>
      <c r="N176" s="41" t="str">
        <f aca="false">IF($A176="","",SUMIFS(业务流水!$H$5:$H$1504,业务流水!$F$5:$F$1504,"*",业务流水!$D$5:$D$1504,"成本票",业务流水!$C$5:$C$1504,$A176,业务流水!$Z$5:$Z$1504,"是"))</f>
        <v/>
      </c>
      <c r="O176" s="43" t="str">
        <f aca="false">IF($A176="","",ROUND($M176-$N176,2))</f>
        <v/>
      </c>
      <c r="P176" s="33" t="str">
        <f aca="false">IF($A176="","",IF(ABS($O176)&lt;1,"✓ 已开齐",IF($O176&gt;0,"还差成本票","多开了")))</f>
        <v/>
      </c>
    </row>
    <row r="177" customFormat="false" ht="15.75" hidden="false" customHeight="true" outlineLevel="0" collapsed="false">
      <c r="A177" s="32" t="str">
        <f aca="false">IF(项目档案!$A177="","",项目档案!$A177)</f>
        <v/>
      </c>
      <c r="B177" s="40" t="str">
        <f aca="false">IF($A177="","",项目档案!$B177)</f>
        <v/>
      </c>
      <c r="C177" s="32" t="str">
        <f aca="false">IF($A177="","",项目档案!$C177)</f>
        <v/>
      </c>
      <c r="D177" s="32" t="str">
        <f aca="false">IF($A177="","",项目档案!$D177)</f>
        <v/>
      </c>
      <c r="E177" s="41" t="str">
        <f aca="false">IF($A177="","",SUMIFS(业务流水!$H$5:$H$1504,业务流水!$E$5:$E$1504,$D177,业务流水!$D$5:$D$1504,"销项开票",业务流水!$C$5:$C$1504,$A177,业务流水!$Z$5:$Z$1504,"是"))</f>
        <v/>
      </c>
      <c r="F177" s="49" t="str">
        <f aca="false">IF(OR($A177="",$E177=0),"",SUMIFS(业务流水!$O$5:$O$1504,业务流水!$E$5:$E$1504,$D177,业务流水!$D$5:$D$1504,"销项开票",业务流水!$C$5:$C$1504,$A177,业务流水!$Z$5:$Z$1504,"是")/$E177)</f>
        <v/>
      </c>
      <c r="G177" s="41" t="str">
        <f aca="false">IF($A177="","",SUMIFS(业务流水!$O$5:$O$1504,业务流水!$E$5:$E$1504,$D177,业务流水!$D$5:$D$1504,"销项开票",业务流水!$C$5:$C$1504,$A177,业务流水!$Z$5:$Z$1504,"是"))</f>
        <v/>
      </c>
      <c r="H177" s="42" t="str">
        <f aca="false">IF($A177="","",$E177-$G177)</f>
        <v/>
      </c>
      <c r="I177" s="32" t="str">
        <f aca="false">IF($A177="","",项目档案!$F177)</f>
        <v/>
      </c>
      <c r="J177" s="41" t="n">
        <f aca="false">IF(OR($A177="",$I177=""),0,SUMIFS(业务流水!$H$5:$H$1504,业务流水!$E$5:$E$1504,$I177,业务流水!$D$5:$D$1504,"销项开票",业务流水!$C$5:$C$1504,$A177,业务流水!$Z$5:$Z$1504,"是"))</f>
        <v>0</v>
      </c>
      <c r="K177" s="49" t="str">
        <f aca="false">IF(OR($A177="",$J177=0),"",SUMIFS(业务流水!$O$5:$O$1504,业务流水!$E$5:$E$1504,$I177,业务流水!$D$5:$D$1504,"销项开票",业务流水!$C$5:$C$1504,$A177,业务流水!$Z$5:$Z$1504,"是")/$J177)</f>
        <v/>
      </c>
      <c r="L177" s="41" t="n">
        <f aca="false">IF(OR($A177="",$I177=""),0,SUMIFS(业务流水!$O$5:$O$1504,业务流水!$E$5:$E$1504,$I177,业务流水!$D$5:$D$1504,"销项开票",业务流水!$C$5:$C$1504,$A177,业务流水!$Z$5:$Z$1504,"是"))</f>
        <v>0</v>
      </c>
      <c r="M177" s="43" t="str">
        <f aca="false">IF($A177="","",IF(AND($I177&lt;&gt;"",$J177&gt;0),$J177-$L177,$H177))</f>
        <v/>
      </c>
      <c r="N177" s="41" t="str">
        <f aca="false">IF($A177="","",SUMIFS(业务流水!$H$5:$H$1504,业务流水!$F$5:$F$1504,"*",业务流水!$D$5:$D$1504,"成本票",业务流水!$C$5:$C$1504,$A177,业务流水!$Z$5:$Z$1504,"是"))</f>
        <v/>
      </c>
      <c r="O177" s="43" t="str">
        <f aca="false">IF($A177="","",ROUND($M177-$N177,2))</f>
        <v/>
      </c>
      <c r="P177" s="33" t="str">
        <f aca="false">IF($A177="","",IF(ABS($O177)&lt;1,"✓ 已开齐",IF($O177&gt;0,"还差成本票","多开了")))</f>
        <v/>
      </c>
    </row>
    <row r="178" customFormat="false" ht="15.75" hidden="false" customHeight="true" outlineLevel="0" collapsed="false">
      <c r="A178" s="32" t="str">
        <f aca="false">IF(项目档案!$A178="","",项目档案!$A178)</f>
        <v/>
      </c>
      <c r="B178" s="40" t="str">
        <f aca="false">IF($A178="","",项目档案!$B178)</f>
        <v/>
      </c>
      <c r="C178" s="32" t="str">
        <f aca="false">IF($A178="","",项目档案!$C178)</f>
        <v/>
      </c>
      <c r="D178" s="32" t="str">
        <f aca="false">IF($A178="","",项目档案!$D178)</f>
        <v/>
      </c>
      <c r="E178" s="41" t="str">
        <f aca="false">IF($A178="","",SUMIFS(业务流水!$H$5:$H$1504,业务流水!$E$5:$E$1504,$D178,业务流水!$D$5:$D$1504,"销项开票",业务流水!$C$5:$C$1504,$A178,业务流水!$Z$5:$Z$1504,"是"))</f>
        <v/>
      </c>
      <c r="F178" s="49" t="str">
        <f aca="false">IF(OR($A178="",$E178=0),"",SUMIFS(业务流水!$O$5:$O$1504,业务流水!$E$5:$E$1504,$D178,业务流水!$D$5:$D$1504,"销项开票",业务流水!$C$5:$C$1504,$A178,业务流水!$Z$5:$Z$1504,"是")/$E178)</f>
        <v/>
      </c>
      <c r="G178" s="41" t="str">
        <f aca="false">IF($A178="","",SUMIFS(业务流水!$O$5:$O$1504,业务流水!$E$5:$E$1504,$D178,业务流水!$D$5:$D$1504,"销项开票",业务流水!$C$5:$C$1504,$A178,业务流水!$Z$5:$Z$1504,"是"))</f>
        <v/>
      </c>
      <c r="H178" s="42" t="str">
        <f aca="false">IF($A178="","",$E178-$G178)</f>
        <v/>
      </c>
      <c r="I178" s="32" t="str">
        <f aca="false">IF($A178="","",项目档案!$F178)</f>
        <v/>
      </c>
      <c r="J178" s="41" t="n">
        <f aca="false">IF(OR($A178="",$I178=""),0,SUMIFS(业务流水!$H$5:$H$1504,业务流水!$E$5:$E$1504,$I178,业务流水!$D$5:$D$1504,"销项开票",业务流水!$C$5:$C$1504,$A178,业务流水!$Z$5:$Z$1504,"是"))</f>
        <v>0</v>
      </c>
      <c r="K178" s="49" t="str">
        <f aca="false">IF(OR($A178="",$J178=0),"",SUMIFS(业务流水!$O$5:$O$1504,业务流水!$E$5:$E$1504,$I178,业务流水!$D$5:$D$1504,"销项开票",业务流水!$C$5:$C$1504,$A178,业务流水!$Z$5:$Z$1504,"是")/$J178)</f>
        <v/>
      </c>
      <c r="L178" s="41" t="n">
        <f aca="false">IF(OR($A178="",$I178=""),0,SUMIFS(业务流水!$O$5:$O$1504,业务流水!$E$5:$E$1504,$I178,业务流水!$D$5:$D$1504,"销项开票",业务流水!$C$5:$C$1504,$A178,业务流水!$Z$5:$Z$1504,"是"))</f>
        <v>0</v>
      </c>
      <c r="M178" s="43" t="str">
        <f aca="false">IF($A178="","",IF(AND($I178&lt;&gt;"",$J178&gt;0),$J178-$L178,$H178))</f>
        <v/>
      </c>
      <c r="N178" s="41" t="str">
        <f aca="false">IF($A178="","",SUMIFS(业务流水!$H$5:$H$1504,业务流水!$F$5:$F$1504,"*",业务流水!$D$5:$D$1504,"成本票",业务流水!$C$5:$C$1504,$A178,业务流水!$Z$5:$Z$1504,"是"))</f>
        <v/>
      </c>
      <c r="O178" s="43" t="str">
        <f aca="false">IF($A178="","",ROUND($M178-$N178,2))</f>
        <v/>
      </c>
      <c r="P178" s="33" t="str">
        <f aca="false">IF($A178="","",IF(ABS($O178)&lt;1,"✓ 已开齐",IF($O178&gt;0,"还差成本票","多开了")))</f>
        <v/>
      </c>
    </row>
    <row r="179" customFormat="false" ht="15.75" hidden="false" customHeight="true" outlineLevel="0" collapsed="false">
      <c r="A179" s="32" t="str">
        <f aca="false">IF(项目档案!$A179="","",项目档案!$A179)</f>
        <v/>
      </c>
      <c r="B179" s="40" t="str">
        <f aca="false">IF($A179="","",项目档案!$B179)</f>
        <v/>
      </c>
      <c r="C179" s="32" t="str">
        <f aca="false">IF($A179="","",项目档案!$C179)</f>
        <v/>
      </c>
      <c r="D179" s="32" t="str">
        <f aca="false">IF($A179="","",项目档案!$D179)</f>
        <v/>
      </c>
      <c r="E179" s="41" t="str">
        <f aca="false">IF($A179="","",SUMIFS(业务流水!$H$5:$H$1504,业务流水!$E$5:$E$1504,$D179,业务流水!$D$5:$D$1504,"销项开票",业务流水!$C$5:$C$1504,$A179,业务流水!$Z$5:$Z$1504,"是"))</f>
        <v/>
      </c>
      <c r="F179" s="49" t="str">
        <f aca="false">IF(OR($A179="",$E179=0),"",SUMIFS(业务流水!$O$5:$O$1504,业务流水!$E$5:$E$1504,$D179,业务流水!$D$5:$D$1504,"销项开票",业务流水!$C$5:$C$1504,$A179,业务流水!$Z$5:$Z$1504,"是")/$E179)</f>
        <v/>
      </c>
      <c r="G179" s="41" t="str">
        <f aca="false">IF($A179="","",SUMIFS(业务流水!$O$5:$O$1504,业务流水!$E$5:$E$1504,$D179,业务流水!$D$5:$D$1504,"销项开票",业务流水!$C$5:$C$1504,$A179,业务流水!$Z$5:$Z$1504,"是"))</f>
        <v/>
      </c>
      <c r="H179" s="42" t="str">
        <f aca="false">IF($A179="","",$E179-$G179)</f>
        <v/>
      </c>
      <c r="I179" s="32" t="str">
        <f aca="false">IF($A179="","",项目档案!$F179)</f>
        <v/>
      </c>
      <c r="J179" s="41" t="n">
        <f aca="false">IF(OR($A179="",$I179=""),0,SUMIFS(业务流水!$H$5:$H$1504,业务流水!$E$5:$E$1504,$I179,业务流水!$D$5:$D$1504,"销项开票",业务流水!$C$5:$C$1504,$A179,业务流水!$Z$5:$Z$1504,"是"))</f>
        <v>0</v>
      </c>
      <c r="K179" s="49" t="str">
        <f aca="false">IF(OR($A179="",$J179=0),"",SUMIFS(业务流水!$O$5:$O$1504,业务流水!$E$5:$E$1504,$I179,业务流水!$D$5:$D$1504,"销项开票",业务流水!$C$5:$C$1504,$A179,业务流水!$Z$5:$Z$1504,"是")/$J179)</f>
        <v/>
      </c>
      <c r="L179" s="41" t="n">
        <f aca="false">IF(OR($A179="",$I179=""),0,SUMIFS(业务流水!$O$5:$O$1504,业务流水!$E$5:$E$1504,$I179,业务流水!$D$5:$D$1504,"销项开票",业务流水!$C$5:$C$1504,$A179,业务流水!$Z$5:$Z$1504,"是"))</f>
        <v>0</v>
      </c>
      <c r="M179" s="43" t="str">
        <f aca="false">IF($A179="","",IF(AND($I179&lt;&gt;"",$J179&gt;0),$J179-$L179,$H179))</f>
        <v/>
      </c>
      <c r="N179" s="41" t="str">
        <f aca="false">IF($A179="","",SUMIFS(业务流水!$H$5:$H$1504,业务流水!$F$5:$F$1504,"*",业务流水!$D$5:$D$1504,"成本票",业务流水!$C$5:$C$1504,$A179,业务流水!$Z$5:$Z$1504,"是"))</f>
        <v/>
      </c>
      <c r="O179" s="43" t="str">
        <f aca="false">IF($A179="","",ROUND($M179-$N179,2))</f>
        <v/>
      </c>
      <c r="P179" s="33" t="str">
        <f aca="false">IF($A179="","",IF(ABS($O179)&lt;1,"✓ 已开齐",IF($O179&gt;0,"还差成本票","多开了")))</f>
        <v/>
      </c>
    </row>
    <row r="180" customFormat="false" ht="15.75" hidden="false" customHeight="true" outlineLevel="0" collapsed="false">
      <c r="A180" s="32" t="str">
        <f aca="false">IF(项目档案!$A180="","",项目档案!$A180)</f>
        <v/>
      </c>
      <c r="B180" s="40" t="str">
        <f aca="false">IF($A180="","",项目档案!$B180)</f>
        <v/>
      </c>
      <c r="C180" s="32" t="str">
        <f aca="false">IF($A180="","",项目档案!$C180)</f>
        <v/>
      </c>
      <c r="D180" s="32" t="str">
        <f aca="false">IF($A180="","",项目档案!$D180)</f>
        <v/>
      </c>
      <c r="E180" s="41" t="str">
        <f aca="false">IF($A180="","",SUMIFS(业务流水!$H$5:$H$1504,业务流水!$E$5:$E$1504,$D180,业务流水!$D$5:$D$1504,"销项开票",业务流水!$C$5:$C$1504,$A180,业务流水!$Z$5:$Z$1504,"是"))</f>
        <v/>
      </c>
      <c r="F180" s="49" t="str">
        <f aca="false">IF(OR($A180="",$E180=0),"",SUMIFS(业务流水!$O$5:$O$1504,业务流水!$E$5:$E$1504,$D180,业务流水!$D$5:$D$1504,"销项开票",业务流水!$C$5:$C$1504,$A180,业务流水!$Z$5:$Z$1504,"是")/$E180)</f>
        <v/>
      </c>
      <c r="G180" s="41" t="str">
        <f aca="false">IF($A180="","",SUMIFS(业务流水!$O$5:$O$1504,业务流水!$E$5:$E$1504,$D180,业务流水!$D$5:$D$1504,"销项开票",业务流水!$C$5:$C$1504,$A180,业务流水!$Z$5:$Z$1504,"是"))</f>
        <v/>
      </c>
      <c r="H180" s="42" t="str">
        <f aca="false">IF($A180="","",$E180-$G180)</f>
        <v/>
      </c>
      <c r="I180" s="32" t="str">
        <f aca="false">IF($A180="","",项目档案!$F180)</f>
        <v/>
      </c>
      <c r="J180" s="41" t="n">
        <f aca="false">IF(OR($A180="",$I180=""),0,SUMIFS(业务流水!$H$5:$H$1504,业务流水!$E$5:$E$1504,$I180,业务流水!$D$5:$D$1504,"销项开票",业务流水!$C$5:$C$1504,$A180,业务流水!$Z$5:$Z$1504,"是"))</f>
        <v>0</v>
      </c>
      <c r="K180" s="49" t="str">
        <f aca="false">IF(OR($A180="",$J180=0),"",SUMIFS(业务流水!$O$5:$O$1504,业务流水!$E$5:$E$1504,$I180,业务流水!$D$5:$D$1504,"销项开票",业务流水!$C$5:$C$1504,$A180,业务流水!$Z$5:$Z$1504,"是")/$J180)</f>
        <v/>
      </c>
      <c r="L180" s="41" t="n">
        <f aca="false">IF(OR($A180="",$I180=""),0,SUMIFS(业务流水!$O$5:$O$1504,业务流水!$E$5:$E$1504,$I180,业务流水!$D$5:$D$1504,"销项开票",业务流水!$C$5:$C$1504,$A180,业务流水!$Z$5:$Z$1504,"是"))</f>
        <v>0</v>
      </c>
      <c r="M180" s="43" t="str">
        <f aca="false">IF($A180="","",IF(AND($I180&lt;&gt;"",$J180&gt;0),$J180-$L180,$H180))</f>
        <v/>
      </c>
      <c r="N180" s="41" t="str">
        <f aca="false">IF($A180="","",SUMIFS(业务流水!$H$5:$H$1504,业务流水!$F$5:$F$1504,"*",业务流水!$D$5:$D$1504,"成本票",业务流水!$C$5:$C$1504,$A180,业务流水!$Z$5:$Z$1504,"是"))</f>
        <v/>
      </c>
      <c r="O180" s="43" t="str">
        <f aca="false">IF($A180="","",ROUND($M180-$N180,2))</f>
        <v/>
      </c>
      <c r="P180" s="33" t="str">
        <f aca="false">IF($A180="","",IF(ABS($O180)&lt;1,"✓ 已开齐",IF($O180&gt;0,"还差成本票","多开了")))</f>
        <v/>
      </c>
    </row>
    <row r="181" customFormat="false" ht="15.75" hidden="false" customHeight="true" outlineLevel="0" collapsed="false">
      <c r="A181" s="32" t="str">
        <f aca="false">IF(项目档案!$A181="","",项目档案!$A181)</f>
        <v/>
      </c>
      <c r="B181" s="40" t="str">
        <f aca="false">IF($A181="","",项目档案!$B181)</f>
        <v/>
      </c>
      <c r="C181" s="32" t="str">
        <f aca="false">IF($A181="","",项目档案!$C181)</f>
        <v/>
      </c>
      <c r="D181" s="32" t="str">
        <f aca="false">IF($A181="","",项目档案!$D181)</f>
        <v/>
      </c>
      <c r="E181" s="41" t="str">
        <f aca="false">IF($A181="","",SUMIFS(业务流水!$H$5:$H$1504,业务流水!$E$5:$E$1504,$D181,业务流水!$D$5:$D$1504,"销项开票",业务流水!$C$5:$C$1504,$A181,业务流水!$Z$5:$Z$1504,"是"))</f>
        <v/>
      </c>
      <c r="F181" s="49" t="str">
        <f aca="false">IF(OR($A181="",$E181=0),"",SUMIFS(业务流水!$O$5:$O$1504,业务流水!$E$5:$E$1504,$D181,业务流水!$D$5:$D$1504,"销项开票",业务流水!$C$5:$C$1504,$A181,业务流水!$Z$5:$Z$1504,"是")/$E181)</f>
        <v/>
      </c>
      <c r="G181" s="41" t="str">
        <f aca="false">IF($A181="","",SUMIFS(业务流水!$O$5:$O$1504,业务流水!$E$5:$E$1504,$D181,业务流水!$D$5:$D$1504,"销项开票",业务流水!$C$5:$C$1504,$A181,业务流水!$Z$5:$Z$1504,"是"))</f>
        <v/>
      </c>
      <c r="H181" s="42" t="str">
        <f aca="false">IF($A181="","",$E181-$G181)</f>
        <v/>
      </c>
      <c r="I181" s="32" t="str">
        <f aca="false">IF($A181="","",项目档案!$F181)</f>
        <v/>
      </c>
      <c r="J181" s="41" t="n">
        <f aca="false">IF(OR($A181="",$I181=""),0,SUMIFS(业务流水!$H$5:$H$1504,业务流水!$E$5:$E$1504,$I181,业务流水!$D$5:$D$1504,"销项开票",业务流水!$C$5:$C$1504,$A181,业务流水!$Z$5:$Z$1504,"是"))</f>
        <v>0</v>
      </c>
      <c r="K181" s="49" t="str">
        <f aca="false">IF(OR($A181="",$J181=0),"",SUMIFS(业务流水!$O$5:$O$1504,业务流水!$E$5:$E$1504,$I181,业务流水!$D$5:$D$1504,"销项开票",业务流水!$C$5:$C$1504,$A181,业务流水!$Z$5:$Z$1504,"是")/$J181)</f>
        <v/>
      </c>
      <c r="L181" s="41" t="n">
        <f aca="false">IF(OR($A181="",$I181=""),0,SUMIFS(业务流水!$O$5:$O$1504,业务流水!$E$5:$E$1504,$I181,业务流水!$D$5:$D$1504,"销项开票",业务流水!$C$5:$C$1504,$A181,业务流水!$Z$5:$Z$1504,"是"))</f>
        <v>0</v>
      </c>
      <c r="M181" s="43" t="str">
        <f aca="false">IF($A181="","",IF(AND($I181&lt;&gt;"",$J181&gt;0),$J181-$L181,$H181))</f>
        <v/>
      </c>
      <c r="N181" s="41" t="str">
        <f aca="false">IF($A181="","",SUMIFS(业务流水!$H$5:$H$1504,业务流水!$F$5:$F$1504,"*",业务流水!$D$5:$D$1504,"成本票",业务流水!$C$5:$C$1504,$A181,业务流水!$Z$5:$Z$1504,"是"))</f>
        <v/>
      </c>
      <c r="O181" s="43" t="str">
        <f aca="false">IF($A181="","",ROUND($M181-$N181,2))</f>
        <v/>
      </c>
      <c r="P181" s="33" t="str">
        <f aca="false">IF($A181="","",IF(ABS($O181)&lt;1,"✓ 已开齐",IF($O181&gt;0,"还差成本票","多开了")))</f>
        <v/>
      </c>
    </row>
    <row r="182" customFormat="false" ht="15.75" hidden="false" customHeight="true" outlineLevel="0" collapsed="false">
      <c r="A182" s="32" t="str">
        <f aca="false">IF(项目档案!$A182="","",项目档案!$A182)</f>
        <v/>
      </c>
      <c r="B182" s="40" t="str">
        <f aca="false">IF($A182="","",项目档案!$B182)</f>
        <v/>
      </c>
      <c r="C182" s="32" t="str">
        <f aca="false">IF($A182="","",项目档案!$C182)</f>
        <v/>
      </c>
      <c r="D182" s="32" t="str">
        <f aca="false">IF($A182="","",项目档案!$D182)</f>
        <v/>
      </c>
      <c r="E182" s="41" t="str">
        <f aca="false">IF($A182="","",SUMIFS(业务流水!$H$5:$H$1504,业务流水!$E$5:$E$1504,$D182,业务流水!$D$5:$D$1504,"销项开票",业务流水!$C$5:$C$1504,$A182,业务流水!$Z$5:$Z$1504,"是"))</f>
        <v/>
      </c>
      <c r="F182" s="49" t="str">
        <f aca="false">IF(OR($A182="",$E182=0),"",SUMIFS(业务流水!$O$5:$O$1504,业务流水!$E$5:$E$1504,$D182,业务流水!$D$5:$D$1504,"销项开票",业务流水!$C$5:$C$1504,$A182,业务流水!$Z$5:$Z$1504,"是")/$E182)</f>
        <v/>
      </c>
      <c r="G182" s="41" t="str">
        <f aca="false">IF($A182="","",SUMIFS(业务流水!$O$5:$O$1504,业务流水!$E$5:$E$1504,$D182,业务流水!$D$5:$D$1504,"销项开票",业务流水!$C$5:$C$1504,$A182,业务流水!$Z$5:$Z$1504,"是"))</f>
        <v/>
      </c>
      <c r="H182" s="42" t="str">
        <f aca="false">IF($A182="","",$E182-$G182)</f>
        <v/>
      </c>
      <c r="I182" s="32" t="str">
        <f aca="false">IF($A182="","",项目档案!$F182)</f>
        <v/>
      </c>
      <c r="J182" s="41" t="n">
        <f aca="false">IF(OR($A182="",$I182=""),0,SUMIFS(业务流水!$H$5:$H$1504,业务流水!$E$5:$E$1504,$I182,业务流水!$D$5:$D$1504,"销项开票",业务流水!$C$5:$C$1504,$A182,业务流水!$Z$5:$Z$1504,"是"))</f>
        <v>0</v>
      </c>
      <c r="K182" s="49" t="str">
        <f aca="false">IF(OR($A182="",$J182=0),"",SUMIFS(业务流水!$O$5:$O$1504,业务流水!$E$5:$E$1504,$I182,业务流水!$D$5:$D$1504,"销项开票",业务流水!$C$5:$C$1504,$A182,业务流水!$Z$5:$Z$1504,"是")/$J182)</f>
        <v/>
      </c>
      <c r="L182" s="41" t="n">
        <f aca="false">IF(OR($A182="",$I182=""),0,SUMIFS(业务流水!$O$5:$O$1504,业务流水!$E$5:$E$1504,$I182,业务流水!$D$5:$D$1504,"销项开票",业务流水!$C$5:$C$1504,$A182,业务流水!$Z$5:$Z$1504,"是"))</f>
        <v>0</v>
      </c>
      <c r="M182" s="43" t="str">
        <f aca="false">IF($A182="","",IF(AND($I182&lt;&gt;"",$J182&gt;0),$J182-$L182,$H182))</f>
        <v/>
      </c>
      <c r="N182" s="41" t="str">
        <f aca="false">IF($A182="","",SUMIFS(业务流水!$H$5:$H$1504,业务流水!$F$5:$F$1504,"*",业务流水!$D$5:$D$1504,"成本票",业务流水!$C$5:$C$1504,$A182,业务流水!$Z$5:$Z$1504,"是"))</f>
        <v/>
      </c>
      <c r="O182" s="43" t="str">
        <f aca="false">IF($A182="","",ROUND($M182-$N182,2))</f>
        <v/>
      </c>
      <c r="P182" s="33" t="str">
        <f aca="false">IF($A182="","",IF(ABS($O182)&lt;1,"✓ 已开齐",IF($O182&gt;0,"还差成本票","多开了")))</f>
        <v/>
      </c>
    </row>
    <row r="183" customFormat="false" ht="15.75" hidden="false" customHeight="true" outlineLevel="0" collapsed="false">
      <c r="A183" s="32" t="str">
        <f aca="false">IF(项目档案!$A183="","",项目档案!$A183)</f>
        <v/>
      </c>
      <c r="B183" s="40" t="str">
        <f aca="false">IF($A183="","",项目档案!$B183)</f>
        <v/>
      </c>
      <c r="C183" s="32" t="str">
        <f aca="false">IF($A183="","",项目档案!$C183)</f>
        <v/>
      </c>
      <c r="D183" s="32" t="str">
        <f aca="false">IF($A183="","",项目档案!$D183)</f>
        <v/>
      </c>
      <c r="E183" s="41" t="str">
        <f aca="false">IF($A183="","",SUMIFS(业务流水!$H$5:$H$1504,业务流水!$E$5:$E$1504,$D183,业务流水!$D$5:$D$1504,"销项开票",业务流水!$C$5:$C$1504,$A183,业务流水!$Z$5:$Z$1504,"是"))</f>
        <v/>
      </c>
      <c r="F183" s="49" t="str">
        <f aca="false">IF(OR($A183="",$E183=0),"",SUMIFS(业务流水!$O$5:$O$1504,业务流水!$E$5:$E$1504,$D183,业务流水!$D$5:$D$1504,"销项开票",业务流水!$C$5:$C$1504,$A183,业务流水!$Z$5:$Z$1504,"是")/$E183)</f>
        <v/>
      </c>
      <c r="G183" s="41" t="str">
        <f aca="false">IF($A183="","",SUMIFS(业务流水!$O$5:$O$1504,业务流水!$E$5:$E$1504,$D183,业务流水!$D$5:$D$1504,"销项开票",业务流水!$C$5:$C$1504,$A183,业务流水!$Z$5:$Z$1504,"是"))</f>
        <v/>
      </c>
      <c r="H183" s="42" t="str">
        <f aca="false">IF($A183="","",$E183-$G183)</f>
        <v/>
      </c>
      <c r="I183" s="32" t="str">
        <f aca="false">IF($A183="","",项目档案!$F183)</f>
        <v/>
      </c>
      <c r="J183" s="41" t="n">
        <f aca="false">IF(OR($A183="",$I183=""),0,SUMIFS(业务流水!$H$5:$H$1504,业务流水!$E$5:$E$1504,$I183,业务流水!$D$5:$D$1504,"销项开票",业务流水!$C$5:$C$1504,$A183,业务流水!$Z$5:$Z$1504,"是"))</f>
        <v>0</v>
      </c>
      <c r="K183" s="49" t="str">
        <f aca="false">IF(OR($A183="",$J183=0),"",SUMIFS(业务流水!$O$5:$O$1504,业务流水!$E$5:$E$1504,$I183,业务流水!$D$5:$D$1504,"销项开票",业务流水!$C$5:$C$1504,$A183,业务流水!$Z$5:$Z$1504,"是")/$J183)</f>
        <v/>
      </c>
      <c r="L183" s="41" t="n">
        <f aca="false">IF(OR($A183="",$I183=""),0,SUMIFS(业务流水!$O$5:$O$1504,业务流水!$E$5:$E$1504,$I183,业务流水!$D$5:$D$1504,"销项开票",业务流水!$C$5:$C$1504,$A183,业务流水!$Z$5:$Z$1504,"是"))</f>
        <v>0</v>
      </c>
      <c r="M183" s="43" t="str">
        <f aca="false">IF($A183="","",IF(AND($I183&lt;&gt;"",$J183&gt;0),$J183-$L183,$H183))</f>
        <v/>
      </c>
      <c r="N183" s="41" t="str">
        <f aca="false">IF($A183="","",SUMIFS(业务流水!$H$5:$H$1504,业务流水!$F$5:$F$1504,"*",业务流水!$D$5:$D$1504,"成本票",业务流水!$C$5:$C$1504,$A183,业务流水!$Z$5:$Z$1504,"是"))</f>
        <v/>
      </c>
      <c r="O183" s="43" t="str">
        <f aca="false">IF($A183="","",ROUND($M183-$N183,2))</f>
        <v/>
      </c>
      <c r="P183" s="33" t="str">
        <f aca="false">IF($A183="","",IF(ABS($O183)&lt;1,"✓ 已开齐",IF($O183&gt;0,"还差成本票","多开了")))</f>
        <v/>
      </c>
    </row>
    <row r="184" customFormat="false" ht="15.75" hidden="false" customHeight="true" outlineLevel="0" collapsed="false">
      <c r="A184" s="32" t="str">
        <f aca="false">IF(项目档案!$A184="","",项目档案!$A184)</f>
        <v/>
      </c>
      <c r="B184" s="40" t="str">
        <f aca="false">IF($A184="","",项目档案!$B184)</f>
        <v/>
      </c>
      <c r="C184" s="32" t="str">
        <f aca="false">IF($A184="","",项目档案!$C184)</f>
        <v/>
      </c>
      <c r="D184" s="32" t="str">
        <f aca="false">IF($A184="","",项目档案!$D184)</f>
        <v/>
      </c>
      <c r="E184" s="41" t="str">
        <f aca="false">IF($A184="","",SUMIFS(业务流水!$H$5:$H$1504,业务流水!$E$5:$E$1504,$D184,业务流水!$D$5:$D$1504,"销项开票",业务流水!$C$5:$C$1504,$A184,业务流水!$Z$5:$Z$1504,"是"))</f>
        <v/>
      </c>
      <c r="F184" s="49" t="str">
        <f aca="false">IF(OR($A184="",$E184=0),"",SUMIFS(业务流水!$O$5:$O$1504,业务流水!$E$5:$E$1504,$D184,业务流水!$D$5:$D$1504,"销项开票",业务流水!$C$5:$C$1504,$A184,业务流水!$Z$5:$Z$1504,"是")/$E184)</f>
        <v/>
      </c>
      <c r="G184" s="41" t="str">
        <f aca="false">IF($A184="","",SUMIFS(业务流水!$O$5:$O$1504,业务流水!$E$5:$E$1504,$D184,业务流水!$D$5:$D$1504,"销项开票",业务流水!$C$5:$C$1504,$A184,业务流水!$Z$5:$Z$1504,"是"))</f>
        <v/>
      </c>
      <c r="H184" s="42" t="str">
        <f aca="false">IF($A184="","",$E184-$G184)</f>
        <v/>
      </c>
      <c r="I184" s="32" t="str">
        <f aca="false">IF($A184="","",项目档案!$F184)</f>
        <v/>
      </c>
      <c r="J184" s="41" t="n">
        <f aca="false">IF(OR($A184="",$I184=""),0,SUMIFS(业务流水!$H$5:$H$1504,业务流水!$E$5:$E$1504,$I184,业务流水!$D$5:$D$1504,"销项开票",业务流水!$C$5:$C$1504,$A184,业务流水!$Z$5:$Z$1504,"是"))</f>
        <v>0</v>
      </c>
      <c r="K184" s="49" t="str">
        <f aca="false">IF(OR($A184="",$J184=0),"",SUMIFS(业务流水!$O$5:$O$1504,业务流水!$E$5:$E$1504,$I184,业务流水!$D$5:$D$1504,"销项开票",业务流水!$C$5:$C$1504,$A184,业务流水!$Z$5:$Z$1504,"是")/$J184)</f>
        <v/>
      </c>
      <c r="L184" s="41" t="n">
        <f aca="false">IF(OR($A184="",$I184=""),0,SUMIFS(业务流水!$O$5:$O$1504,业务流水!$E$5:$E$1504,$I184,业务流水!$D$5:$D$1504,"销项开票",业务流水!$C$5:$C$1504,$A184,业务流水!$Z$5:$Z$1504,"是"))</f>
        <v>0</v>
      </c>
      <c r="M184" s="43" t="str">
        <f aca="false">IF($A184="","",IF(AND($I184&lt;&gt;"",$J184&gt;0),$J184-$L184,$H184))</f>
        <v/>
      </c>
      <c r="N184" s="41" t="str">
        <f aca="false">IF($A184="","",SUMIFS(业务流水!$H$5:$H$1504,业务流水!$F$5:$F$1504,"*",业务流水!$D$5:$D$1504,"成本票",业务流水!$C$5:$C$1504,$A184,业务流水!$Z$5:$Z$1504,"是"))</f>
        <v/>
      </c>
      <c r="O184" s="43" t="str">
        <f aca="false">IF($A184="","",ROUND($M184-$N184,2))</f>
        <v/>
      </c>
      <c r="P184" s="33" t="str">
        <f aca="false">IF($A184="","",IF(ABS($O184)&lt;1,"✓ 已开齐",IF($O184&gt;0,"还差成本票","多开了")))</f>
        <v/>
      </c>
    </row>
    <row r="185" customFormat="false" ht="15.75" hidden="false" customHeight="true" outlineLevel="0" collapsed="false">
      <c r="A185" s="32" t="str">
        <f aca="false">IF(项目档案!$A185="","",项目档案!$A185)</f>
        <v/>
      </c>
      <c r="B185" s="40" t="str">
        <f aca="false">IF($A185="","",项目档案!$B185)</f>
        <v/>
      </c>
      <c r="C185" s="32" t="str">
        <f aca="false">IF($A185="","",项目档案!$C185)</f>
        <v/>
      </c>
      <c r="D185" s="32" t="str">
        <f aca="false">IF($A185="","",项目档案!$D185)</f>
        <v/>
      </c>
      <c r="E185" s="41" t="str">
        <f aca="false">IF($A185="","",SUMIFS(业务流水!$H$5:$H$1504,业务流水!$E$5:$E$1504,$D185,业务流水!$D$5:$D$1504,"销项开票",业务流水!$C$5:$C$1504,$A185,业务流水!$Z$5:$Z$1504,"是"))</f>
        <v/>
      </c>
      <c r="F185" s="49" t="str">
        <f aca="false">IF(OR($A185="",$E185=0),"",SUMIFS(业务流水!$O$5:$O$1504,业务流水!$E$5:$E$1504,$D185,业务流水!$D$5:$D$1504,"销项开票",业务流水!$C$5:$C$1504,$A185,业务流水!$Z$5:$Z$1504,"是")/$E185)</f>
        <v/>
      </c>
      <c r="G185" s="41" t="str">
        <f aca="false">IF($A185="","",SUMIFS(业务流水!$O$5:$O$1504,业务流水!$E$5:$E$1504,$D185,业务流水!$D$5:$D$1504,"销项开票",业务流水!$C$5:$C$1504,$A185,业务流水!$Z$5:$Z$1504,"是"))</f>
        <v/>
      </c>
      <c r="H185" s="42" t="str">
        <f aca="false">IF($A185="","",$E185-$G185)</f>
        <v/>
      </c>
      <c r="I185" s="32" t="str">
        <f aca="false">IF($A185="","",项目档案!$F185)</f>
        <v/>
      </c>
      <c r="J185" s="41" t="n">
        <f aca="false">IF(OR($A185="",$I185=""),0,SUMIFS(业务流水!$H$5:$H$1504,业务流水!$E$5:$E$1504,$I185,业务流水!$D$5:$D$1504,"销项开票",业务流水!$C$5:$C$1504,$A185,业务流水!$Z$5:$Z$1504,"是"))</f>
        <v>0</v>
      </c>
      <c r="K185" s="49" t="str">
        <f aca="false">IF(OR($A185="",$J185=0),"",SUMIFS(业务流水!$O$5:$O$1504,业务流水!$E$5:$E$1504,$I185,业务流水!$D$5:$D$1504,"销项开票",业务流水!$C$5:$C$1504,$A185,业务流水!$Z$5:$Z$1504,"是")/$J185)</f>
        <v/>
      </c>
      <c r="L185" s="41" t="n">
        <f aca="false">IF(OR($A185="",$I185=""),0,SUMIFS(业务流水!$O$5:$O$1504,业务流水!$E$5:$E$1504,$I185,业务流水!$D$5:$D$1504,"销项开票",业务流水!$C$5:$C$1504,$A185,业务流水!$Z$5:$Z$1504,"是"))</f>
        <v>0</v>
      </c>
      <c r="M185" s="43" t="str">
        <f aca="false">IF($A185="","",IF(AND($I185&lt;&gt;"",$J185&gt;0),$J185-$L185,$H185))</f>
        <v/>
      </c>
      <c r="N185" s="41" t="str">
        <f aca="false">IF($A185="","",SUMIFS(业务流水!$H$5:$H$1504,业务流水!$F$5:$F$1504,"*",业务流水!$D$5:$D$1504,"成本票",业务流水!$C$5:$C$1504,$A185,业务流水!$Z$5:$Z$1504,"是"))</f>
        <v/>
      </c>
      <c r="O185" s="43" t="str">
        <f aca="false">IF($A185="","",ROUND($M185-$N185,2))</f>
        <v/>
      </c>
      <c r="P185" s="33" t="str">
        <f aca="false">IF($A185="","",IF(ABS($O185)&lt;1,"✓ 已开齐",IF($O185&gt;0,"还差成本票","多开了")))</f>
        <v/>
      </c>
    </row>
    <row r="186" customFormat="false" ht="15.75" hidden="false" customHeight="true" outlineLevel="0" collapsed="false">
      <c r="A186" s="32" t="str">
        <f aca="false">IF(项目档案!$A186="","",项目档案!$A186)</f>
        <v/>
      </c>
      <c r="B186" s="40" t="str">
        <f aca="false">IF($A186="","",项目档案!$B186)</f>
        <v/>
      </c>
      <c r="C186" s="32" t="str">
        <f aca="false">IF($A186="","",项目档案!$C186)</f>
        <v/>
      </c>
      <c r="D186" s="32" t="str">
        <f aca="false">IF($A186="","",项目档案!$D186)</f>
        <v/>
      </c>
      <c r="E186" s="41" t="str">
        <f aca="false">IF($A186="","",SUMIFS(业务流水!$H$5:$H$1504,业务流水!$E$5:$E$1504,$D186,业务流水!$D$5:$D$1504,"销项开票",业务流水!$C$5:$C$1504,$A186,业务流水!$Z$5:$Z$1504,"是"))</f>
        <v/>
      </c>
      <c r="F186" s="49" t="str">
        <f aca="false">IF(OR($A186="",$E186=0),"",SUMIFS(业务流水!$O$5:$O$1504,业务流水!$E$5:$E$1504,$D186,业务流水!$D$5:$D$1504,"销项开票",业务流水!$C$5:$C$1504,$A186,业务流水!$Z$5:$Z$1504,"是")/$E186)</f>
        <v/>
      </c>
      <c r="G186" s="41" t="str">
        <f aca="false">IF($A186="","",SUMIFS(业务流水!$O$5:$O$1504,业务流水!$E$5:$E$1504,$D186,业务流水!$D$5:$D$1504,"销项开票",业务流水!$C$5:$C$1504,$A186,业务流水!$Z$5:$Z$1504,"是"))</f>
        <v/>
      </c>
      <c r="H186" s="42" t="str">
        <f aca="false">IF($A186="","",$E186-$G186)</f>
        <v/>
      </c>
      <c r="I186" s="32" t="str">
        <f aca="false">IF($A186="","",项目档案!$F186)</f>
        <v/>
      </c>
      <c r="J186" s="41" t="n">
        <f aca="false">IF(OR($A186="",$I186=""),0,SUMIFS(业务流水!$H$5:$H$1504,业务流水!$E$5:$E$1504,$I186,业务流水!$D$5:$D$1504,"销项开票",业务流水!$C$5:$C$1504,$A186,业务流水!$Z$5:$Z$1504,"是"))</f>
        <v>0</v>
      </c>
      <c r="K186" s="49" t="str">
        <f aca="false">IF(OR($A186="",$J186=0),"",SUMIFS(业务流水!$O$5:$O$1504,业务流水!$E$5:$E$1504,$I186,业务流水!$D$5:$D$1504,"销项开票",业务流水!$C$5:$C$1504,$A186,业务流水!$Z$5:$Z$1504,"是")/$J186)</f>
        <v/>
      </c>
      <c r="L186" s="41" t="n">
        <f aca="false">IF(OR($A186="",$I186=""),0,SUMIFS(业务流水!$O$5:$O$1504,业务流水!$E$5:$E$1504,$I186,业务流水!$D$5:$D$1504,"销项开票",业务流水!$C$5:$C$1504,$A186,业务流水!$Z$5:$Z$1504,"是"))</f>
        <v>0</v>
      </c>
      <c r="M186" s="43" t="str">
        <f aca="false">IF($A186="","",IF(AND($I186&lt;&gt;"",$J186&gt;0),$J186-$L186,$H186))</f>
        <v/>
      </c>
      <c r="N186" s="41" t="str">
        <f aca="false">IF($A186="","",SUMIFS(业务流水!$H$5:$H$1504,业务流水!$F$5:$F$1504,"*",业务流水!$D$5:$D$1504,"成本票",业务流水!$C$5:$C$1504,$A186,业务流水!$Z$5:$Z$1504,"是"))</f>
        <v/>
      </c>
      <c r="O186" s="43" t="str">
        <f aca="false">IF($A186="","",ROUND($M186-$N186,2))</f>
        <v/>
      </c>
      <c r="P186" s="33" t="str">
        <f aca="false">IF($A186="","",IF(ABS($O186)&lt;1,"✓ 已开齐",IF($O186&gt;0,"还差成本票","多开了")))</f>
        <v/>
      </c>
    </row>
    <row r="187" customFormat="false" ht="15.75" hidden="false" customHeight="true" outlineLevel="0" collapsed="false">
      <c r="A187" s="32" t="str">
        <f aca="false">IF(项目档案!$A187="","",项目档案!$A187)</f>
        <v/>
      </c>
      <c r="B187" s="40" t="str">
        <f aca="false">IF($A187="","",项目档案!$B187)</f>
        <v/>
      </c>
      <c r="C187" s="32" t="str">
        <f aca="false">IF($A187="","",项目档案!$C187)</f>
        <v/>
      </c>
      <c r="D187" s="32" t="str">
        <f aca="false">IF($A187="","",项目档案!$D187)</f>
        <v/>
      </c>
      <c r="E187" s="41" t="str">
        <f aca="false">IF($A187="","",SUMIFS(业务流水!$H$5:$H$1504,业务流水!$E$5:$E$1504,$D187,业务流水!$D$5:$D$1504,"销项开票",业务流水!$C$5:$C$1504,$A187,业务流水!$Z$5:$Z$1504,"是"))</f>
        <v/>
      </c>
      <c r="F187" s="49" t="str">
        <f aca="false">IF(OR($A187="",$E187=0),"",SUMIFS(业务流水!$O$5:$O$1504,业务流水!$E$5:$E$1504,$D187,业务流水!$D$5:$D$1504,"销项开票",业务流水!$C$5:$C$1504,$A187,业务流水!$Z$5:$Z$1504,"是")/$E187)</f>
        <v/>
      </c>
      <c r="G187" s="41" t="str">
        <f aca="false">IF($A187="","",SUMIFS(业务流水!$O$5:$O$1504,业务流水!$E$5:$E$1504,$D187,业务流水!$D$5:$D$1504,"销项开票",业务流水!$C$5:$C$1504,$A187,业务流水!$Z$5:$Z$1504,"是"))</f>
        <v/>
      </c>
      <c r="H187" s="42" t="str">
        <f aca="false">IF($A187="","",$E187-$G187)</f>
        <v/>
      </c>
      <c r="I187" s="32" t="str">
        <f aca="false">IF($A187="","",项目档案!$F187)</f>
        <v/>
      </c>
      <c r="J187" s="41" t="n">
        <f aca="false">IF(OR($A187="",$I187=""),0,SUMIFS(业务流水!$H$5:$H$1504,业务流水!$E$5:$E$1504,$I187,业务流水!$D$5:$D$1504,"销项开票",业务流水!$C$5:$C$1504,$A187,业务流水!$Z$5:$Z$1504,"是"))</f>
        <v>0</v>
      </c>
      <c r="K187" s="49" t="str">
        <f aca="false">IF(OR($A187="",$J187=0),"",SUMIFS(业务流水!$O$5:$O$1504,业务流水!$E$5:$E$1504,$I187,业务流水!$D$5:$D$1504,"销项开票",业务流水!$C$5:$C$1504,$A187,业务流水!$Z$5:$Z$1504,"是")/$J187)</f>
        <v/>
      </c>
      <c r="L187" s="41" t="n">
        <f aca="false">IF(OR($A187="",$I187=""),0,SUMIFS(业务流水!$O$5:$O$1504,业务流水!$E$5:$E$1504,$I187,业务流水!$D$5:$D$1504,"销项开票",业务流水!$C$5:$C$1504,$A187,业务流水!$Z$5:$Z$1504,"是"))</f>
        <v>0</v>
      </c>
      <c r="M187" s="43" t="str">
        <f aca="false">IF($A187="","",IF(AND($I187&lt;&gt;"",$J187&gt;0),$J187-$L187,$H187))</f>
        <v/>
      </c>
      <c r="N187" s="41" t="str">
        <f aca="false">IF($A187="","",SUMIFS(业务流水!$H$5:$H$1504,业务流水!$F$5:$F$1504,"*",业务流水!$D$5:$D$1504,"成本票",业务流水!$C$5:$C$1504,$A187,业务流水!$Z$5:$Z$1504,"是"))</f>
        <v/>
      </c>
      <c r="O187" s="43" t="str">
        <f aca="false">IF($A187="","",ROUND($M187-$N187,2))</f>
        <v/>
      </c>
      <c r="P187" s="33" t="str">
        <f aca="false">IF($A187="","",IF(ABS($O187)&lt;1,"✓ 已开齐",IF($O187&gt;0,"还差成本票","多开了")))</f>
        <v/>
      </c>
    </row>
    <row r="188" customFormat="false" ht="15.75" hidden="false" customHeight="true" outlineLevel="0" collapsed="false">
      <c r="A188" s="32" t="str">
        <f aca="false">IF(项目档案!$A188="","",项目档案!$A188)</f>
        <v/>
      </c>
      <c r="B188" s="40" t="str">
        <f aca="false">IF($A188="","",项目档案!$B188)</f>
        <v/>
      </c>
      <c r="C188" s="32" t="str">
        <f aca="false">IF($A188="","",项目档案!$C188)</f>
        <v/>
      </c>
      <c r="D188" s="32" t="str">
        <f aca="false">IF($A188="","",项目档案!$D188)</f>
        <v/>
      </c>
      <c r="E188" s="41" t="str">
        <f aca="false">IF($A188="","",SUMIFS(业务流水!$H$5:$H$1504,业务流水!$E$5:$E$1504,$D188,业务流水!$D$5:$D$1504,"销项开票",业务流水!$C$5:$C$1504,$A188,业务流水!$Z$5:$Z$1504,"是"))</f>
        <v/>
      </c>
      <c r="F188" s="49" t="str">
        <f aca="false">IF(OR($A188="",$E188=0),"",SUMIFS(业务流水!$O$5:$O$1504,业务流水!$E$5:$E$1504,$D188,业务流水!$D$5:$D$1504,"销项开票",业务流水!$C$5:$C$1504,$A188,业务流水!$Z$5:$Z$1504,"是")/$E188)</f>
        <v/>
      </c>
      <c r="G188" s="41" t="str">
        <f aca="false">IF($A188="","",SUMIFS(业务流水!$O$5:$O$1504,业务流水!$E$5:$E$1504,$D188,业务流水!$D$5:$D$1504,"销项开票",业务流水!$C$5:$C$1504,$A188,业务流水!$Z$5:$Z$1504,"是"))</f>
        <v/>
      </c>
      <c r="H188" s="42" t="str">
        <f aca="false">IF($A188="","",$E188-$G188)</f>
        <v/>
      </c>
      <c r="I188" s="32" t="str">
        <f aca="false">IF($A188="","",项目档案!$F188)</f>
        <v/>
      </c>
      <c r="J188" s="41" t="n">
        <f aca="false">IF(OR($A188="",$I188=""),0,SUMIFS(业务流水!$H$5:$H$1504,业务流水!$E$5:$E$1504,$I188,业务流水!$D$5:$D$1504,"销项开票",业务流水!$C$5:$C$1504,$A188,业务流水!$Z$5:$Z$1504,"是"))</f>
        <v>0</v>
      </c>
      <c r="K188" s="49" t="str">
        <f aca="false">IF(OR($A188="",$J188=0),"",SUMIFS(业务流水!$O$5:$O$1504,业务流水!$E$5:$E$1504,$I188,业务流水!$D$5:$D$1504,"销项开票",业务流水!$C$5:$C$1504,$A188,业务流水!$Z$5:$Z$1504,"是")/$J188)</f>
        <v/>
      </c>
      <c r="L188" s="41" t="n">
        <f aca="false">IF(OR($A188="",$I188=""),0,SUMIFS(业务流水!$O$5:$O$1504,业务流水!$E$5:$E$1504,$I188,业务流水!$D$5:$D$1504,"销项开票",业务流水!$C$5:$C$1504,$A188,业务流水!$Z$5:$Z$1504,"是"))</f>
        <v>0</v>
      </c>
      <c r="M188" s="43" t="str">
        <f aca="false">IF($A188="","",IF(AND($I188&lt;&gt;"",$J188&gt;0),$J188-$L188,$H188))</f>
        <v/>
      </c>
      <c r="N188" s="41" t="str">
        <f aca="false">IF($A188="","",SUMIFS(业务流水!$H$5:$H$1504,业务流水!$F$5:$F$1504,"*",业务流水!$D$5:$D$1504,"成本票",业务流水!$C$5:$C$1504,$A188,业务流水!$Z$5:$Z$1504,"是"))</f>
        <v/>
      </c>
      <c r="O188" s="43" t="str">
        <f aca="false">IF($A188="","",ROUND($M188-$N188,2))</f>
        <v/>
      </c>
      <c r="P188" s="33" t="str">
        <f aca="false">IF($A188="","",IF(ABS($O188)&lt;1,"✓ 已开齐",IF($O188&gt;0,"还差成本票","多开了")))</f>
        <v/>
      </c>
    </row>
    <row r="189" customFormat="false" ht="15.75" hidden="false" customHeight="true" outlineLevel="0" collapsed="false">
      <c r="A189" s="32" t="str">
        <f aca="false">IF(项目档案!$A189="","",项目档案!$A189)</f>
        <v/>
      </c>
      <c r="B189" s="40" t="str">
        <f aca="false">IF($A189="","",项目档案!$B189)</f>
        <v/>
      </c>
      <c r="C189" s="32" t="str">
        <f aca="false">IF($A189="","",项目档案!$C189)</f>
        <v/>
      </c>
      <c r="D189" s="32" t="str">
        <f aca="false">IF($A189="","",项目档案!$D189)</f>
        <v/>
      </c>
      <c r="E189" s="41" t="str">
        <f aca="false">IF($A189="","",SUMIFS(业务流水!$H$5:$H$1504,业务流水!$E$5:$E$1504,$D189,业务流水!$D$5:$D$1504,"销项开票",业务流水!$C$5:$C$1504,$A189,业务流水!$Z$5:$Z$1504,"是"))</f>
        <v/>
      </c>
      <c r="F189" s="49" t="str">
        <f aca="false">IF(OR($A189="",$E189=0),"",SUMIFS(业务流水!$O$5:$O$1504,业务流水!$E$5:$E$1504,$D189,业务流水!$D$5:$D$1504,"销项开票",业务流水!$C$5:$C$1504,$A189,业务流水!$Z$5:$Z$1504,"是")/$E189)</f>
        <v/>
      </c>
      <c r="G189" s="41" t="str">
        <f aca="false">IF($A189="","",SUMIFS(业务流水!$O$5:$O$1504,业务流水!$E$5:$E$1504,$D189,业务流水!$D$5:$D$1504,"销项开票",业务流水!$C$5:$C$1504,$A189,业务流水!$Z$5:$Z$1504,"是"))</f>
        <v/>
      </c>
      <c r="H189" s="42" t="str">
        <f aca="false">IF($A189="","",$E189-$G189)</f>
        <v/>
      </c>
      <c r="I189" s="32" t="str">
        <f aca="false">IF($A189="","",项目档案!$F189)</f>
        <v/>
      </c>
      <c r="J189" s="41" t="n">
        <f aca="false">IF(OR($A189="",$I189=""),0,SUMIFS(业务流水!$H$5:$H$1504,业务流水!$E$5:$E$1504,$I189,业务流水!$D$5:$D$1504,"销项开票",业务流水!$C$5:$C$1504,$A189,业务流水!$Z$5:$Z$1504,"是"))</f>
        <v>0</v>
      </c>
      <c r="K189" s="49" t="str">
        <f aca="false">IF(OR($A189="",$J189=0),"",SUMIFS(业务流水!$O$5:$O$1504,业务流水!$E$5:$E$1504,$I189,业务流水!$D$5:$D$1504,"销项开票",业务流水!$C$5:$C$1504,$A189,业务流水!$Z$5:$Z$1504,"是")/$J189)</f>
        <v/>
      </c>
      <c r="L189" s="41" t="n">
        <f aca="false">IF(OR($A189="",$I189=""),0,SUMIFS(业务流水!$O$5:$O$1504,业务流水!$E$5:$E$1504,$I189,业务流水!$D$5:$D$1504,"销项开票",业务流水!$C$5:$C$1504,$A189,业务流水!$Z$5:$Z$1504,"是"))</f>
        <v>0</v>
      </c>
      <c r="M189" s="43" t="str">
        <f aca="false">IF($A189="","",IF(AND($I189&lt;&gt;"",$J189&gt;0),$J189-$L189,$H189))</f>
        <v/>
      </c>
      <c r="N189" s="41" t="str">
        <f aca="false">IF($A189="","",SUMIFS(业务流水!$H$5:$H$1504,业务流水!$F$5:$F$1504,"*",业务流水!$D$5:$D$1504,"成本票",业务流水!$C$5:$C$1504,$A189,业务流水!$Z$5:$Z$1504,"是"))</f>
        <v/>
      </c>
      <c r="O189" s="43" t="str">
        <f aca="false">IF($A189="","",ROUND($M189-$N189,2))</f>
        <v/>
      </c>
      <c r="P189" s="33" t="str">
        <f aca="false">IF($A189="","",IF(ABS($O189)&lt;1,"✓ 已开齐",IF($O189&gt;0,"还差成本票","多开了")))</f>
        <v/>
      </c>
    </row>
    <row r="190" customFormat="false" ht="15.75" hidden="false" customHeight="true" outlineLevel="0" collapsed="false">
      <c r="A190" s="32" t="str">
        <f aca="false">IF(项目档案!$A190="","",项目档案!$A190)</f>
        <v/>
      </c>
      <c r="B190" s="40" t="str">
        <f aca="false">IF($A190="","",项目档案!$B190)</f>
        <v/>
      </c>
      <c r="C190" s="32" t="str">
        <f aca="false">IF($A190="","",项目档案!$C190)</f>
        <v/>
      </c>
      <c r="D190" s="32" t="str">
        <f aca="false">IF($A190="","",项目档案!$D190)</f>
        <v/>
      </c>
      <c r="E190" s="41" t="str">
        <f aca="false">IF($A190="","",SUMIFS(业务流水!$H$5:$H$1504,业务流水!$E$5:$E$1504,$D190,业务流水!$D$5:$D$1504,"销项开票",业务流水!$C$5:$C$1504,$A190,业务流水!$Z$5:$Z$1504,"是"))</f>
        <v/>
      </c>
      <c r="F190" s="49" t="str">
        <f aca="false">IF(OR($A190="",$E190=0),"",SUMIFS(业务流水!$O$5:$O$1504,业务流水!$E$5:$E$1504,$D190,业务流水!$D$5:$D$1504,"销项开票",业务流水!$C$5:$C$1504,$A190,业务流水!$Z$5:$Z$1504,"是")/$E190)</f>
        <v/>
      </c>
      <c r="G190" s="41" t="str">
        <f aca="false">IF($A190="","",SUMIFS(业务流水!$O$5:$O$1504,业务流水!$E$5:$E$1504,$D190,业务流水!$D$5:$D$1504,"销项开票",业务流水!$C$5:$C$1504,$A190,业务流水!$Z$5:$Z$1504,"是"))</f>
        <v/>
      </c>
      <c r="H190" s="42" t="str">
        <f aca="false">IF($A190="","",$E190-$G190)</f>
        <v/>
      </c>
      <c r="I190" s="32" t="str">
        <f aca="false">IF($A190="","",项目档案!$F190)</f>
        <v/>
      </c>
      <c r="J190" s="41" t="n">
        <f aca="false">IF(OR($A190="",$I190=""),0,SUMIFS(业务流水!$H$5:$H$1504,业务流水!$E$5:$E$1504,$I190,业务流水!$D$5:$D$1504,"销项开票",业务流水!$C$5:$C$1504,$A190,业务流水!$Z$5:$Z$1504,"是"))</f>
        <v>0</v>
      </c>
      <c r="K190" s="49" t="str">
        <f aca="false">IF(OR($A190="",$J190=0),"",SUMIFS(业务流水!$O$5:$O$1504,业务流水!$E$5:$E$1504,$I190,业务流水!$D$5:$D$1504,"销项开票",业务流水!$C$5:$C$1504,$A190,业务流水!$Z$5:$Z$1504,"是")/$J190)</f>
        <v/>
      </c>
      <c r="L190" s="41" t="n">
        <f aca="false">IF(OR($A190="",$I190=""),0,SUMIFS(业务流水!$O$5:$O$1504,业务流水!$E$5:$E$1504,$I190,业务流水!$D$5:$D$1504,"销项开票",业务流水!$C$5:$C$1504,$A190,业务流水!$Z$5:$Z$1504,"是"))</f>
        <v>0</v>
      </c>
      <c r="M190" s="43" t="str">
        <f aca="false">IF($A190="","",IF(AND($I190&lt;&gt;"",$J190&gt;0),$J190-$L190,$H190))</f>
        <v/>
      </c>
      <c r="N190" s="41" t="str">
        <f aca="false">IF($A190="","",SUMIFS(业务流水!$H$5:$H$1504,业务流水!$F$5:$F$1504,"*",业务流水!$D$5:$D$1504,"成本票",业务流水!$C$5:$C$1504,$A190,业务流水!$Z$5:$Z$1504,"是"))</f>
        <v/>
      </c>
      <c r="O190" s="43" t="str">
        <f aca="false">IF($A190="","",ROUND($M190-$N190,2))</f>
        <v/>
      </c>
      <c r="P190" s="33" t="str">
        <f aca="false">IF($A190="","",IF(ABS($O190)&lt;1,"✓ 已开齐",IF($O190&gt;0,"还差成本票","多开了")))</f>
        <v/>
      </c>
    </row>
    <row r="191" customFormat="false" ht="15.75" hidden="false" customHeight="true" outlineLevel="0" collapsed="false">
      <c r="A191" s="32" t="str">
        <f aca="false">IF(项目档案!$A191="","",项目档案!$A191)</f>
        <v/>
      </c>
      <c r="B191" s="40" t="str">
        <f aca="false">IF($A191="","",项目档案!$B191)</f>
        <v/>
      </c>
      <c r="C191" s="32" t="str">
        <f aca="false">IF($A191="","",项目档案!$C191)</f>
        <v/>
      </c>
      <c r="D191" s="32" t="str">
        <f aca="false">IF($A191="","",项目档案!$D191)</f>
        <v/>
      </c>
      <c r="E191" s="41" t="str">
        <f aca="false">IF($A191="","",SUMIFS(业务流水!$H$5:$H$1504,业务流水!$E$5:$E$1504,$D191,业务流水!$D$5:$D$1504,"销项开票",业务流水!$C$5:$C$1504,$A191,业务流水!$Z$5:$Z$1504,"是"))</f>
        <v/>
      </c>
      <c r="F191" s="49" t="str">
        <f aca="false">IF(OR($A191="",$E191=0),"",SUMIFS(业务流水!$O$5:$O$1504,业务流水!$E$5:$E$1504,$D191,业务流水!$D$5:$D$1504,"销项开票",业务流水!$C$5:$C$1504,$A191,业务流水!$Z$5:$Z$1504,"是")/$E191)</f>
        <v/>
      </c>
      <c r="G191" s="41" t="str">
        <f aca="false">IF($A191="","",SUMIFS(业务流水!$O$5:$O$1504,业务流水!$E$5:$E$1504,$D191,业务流水!$D$5:$D$1504,"销项开票",业务流水!$C$5:$C$1504,$A191,业务流水!$Z$5:$Z$1504,"是"))</f>
        <v/>
      </c>
      <c r="H191" s="42" t="str">
        <f aca="false">IF($A191="","",$E191-$G191)</f>
        <v/>
      </c>
      <c r="I191" s="32" t="str">
        <f aca="false">IF($A191="","",项目档案!$F191)</f>
        <v/>
      </c>
      <c r="J191" s="41" t="n">
        <f aca="false">IF(OR($A191="",$I191=""),0,SUMIFS(业务流水!$H$5:$H$1504,业务流水!$E$5:$E$1504,$I191,业务流水!$D$5:$D$1504,"销项开票",业务流水!$C$5:$C$1504,$A191,业务流水!$Z$5:$Z$1504,"是"))</f>
        <v>0</v>
      </c>
      <c r="K191" s="49" t="str">
        <f aca="false">IF(OR($A191="",$J191=0),"",SUMIFS(业务流水!$O$5:$O$1504,业务流水!$E$5:$E$1504,$I191,业务流水!$D$5:$D$1504,"销项开票",业务流水!$C$5:$C$1504,$A191,业务流水!$Z$5:$Z$1504,"是")/$J191)</f>
        <v/>
      </c>
      <c r="L191" s="41" t="n">
        <f aca="false">IF(OR($A191="",$I191=""),0,SUMIFS(业务流水!$O$5:$O$1504,业务流水!$E$5:$E$1504,$I191,业务流水!$D$5:$D$1504,"销项开票",业务流水!$C$5:$C$1504,$A191,业务流水!$Z$5:$Z$1504,"是"))</f>
        <v>0</v>
      </c>
      <c r="M191" s="43" t="str">
        <f aca="false">IF($A191="","",IF(AND($I191&lt;&gt;"",$J191&gt;0),$J191-$L191,$H191))</f>
        <v/>
      </c>
      <c r="N191" s="41" t="str">
        <f aca="false">IF($A191="","",SUMIFS(业务流水!$H$5:$H$1504,业务流水!$F$5:$F$1504,"*",业务流水!$D$5:$D$1504,"成本票",业务流水!$C$5:$C$1504,$A191,业务流水!$Z$5:$Z$1504,"是"))</f>
        <v/>
      </c>
      <c r="O191" s="43" t="str">
        <f aca="false">IF($A191="","",ROUND($M191-$N191,2))</f>
        <v/>
      </c>
      <c r="P191" s="33" t="str">
        <f aca="false">IF($A191="","",IF(ABS($O191)&lt;1,"✓ 已开齐",IF($O191&gt;0,"还差成本票","多开了")))</f>
        <v/>
      </c>
    </row>
    <row r="192" customFormat="false" ht="15.75" hidden="false" customHeight="true" outlineLevel="0" collapsed="false">
      <c r="A192" s="32" t="str">
        <f aca="false">IF(项目档案!$A192="","",项目档案!$A192)</f>
        <v/>
      </c>
      <c r="B192" s="40" t="str">
        <f aca="false">IF($A192="","",项目档案!$B192)</f>
        <v/>
      </c>
      <c r="C192" s="32" t="str">
        <f aca="false">IF($A192="","",项目档案!$C192)</f>
        <v/>
      </c>
      <c r="D192" s="32" t="str">
        <f aca="false">IF($A192="","",项目档案!$D192)</f>
        <v/>
      </c>
      <c r="E192" s="41" t="str">
        <f aca="false">IF($A192="","",SUMIFS(业务流水!$H$5:$H$1504,业务流水!$E$5:$E$1504,$D192,业务流水!$D$5:$D$1504,"销项开票",业务流水!$C$5:$C$1504,$A192,业务流水!$Z$5:$Z$1504,"是"))</f>
        <v/>
      </c>
      <c r="F192" s="49" t="str">
        <f aca="false">IF(OR($A192="",$E192=0),"",SUMIFS(业务流水!$O$5:$O$1504,业务流水!$E$5:$E$1504,$D192,业务流水!$D$5:$D$1504,"销项开票",业务流水!$C$5:$C$1504,$A192,业务流水!$Z$5:$Z$1504,"是")/$E192)</f>
        <v/>
      </c>
      <c r="G192" s="41" t="str">
        <f aca="false">IF($A192="","",SUMIFS(业务流水!$O$5:$O$1504,业务流水!$E$5:$E$1504,$D192,业务流水!$D$5:$D$1504,"销项开票",业务流水!$C$5:$C$1504,$A192,业务流水!$Z$5:$Z$1504,"是"))</f>
        <v/>
      </c>
      <c r="H192" s="42" t="str">
        <f aca="false">IF($A192="","",$E192-$G192)</f>
        <v/>
      </c>
      <c r="I192" s="32" t="str">
        <f aca="false">IF($A192="","",项目档案!$F192)</f>
        <v/>
      </c>
      <c r="J192" s="41" t="n">
        <f aca="false">IF(OR($A192="",$I192=""),0,SUMIFS(业务流水!$H$5:$H$1504,业务流水!$E$5:$E$1504,$I192,业务流水!$D$5:$D$1504,"销项开票",业务流水!$C$5:$C$1504,$A192,业务流水!$Z$5:$Z$1504,"是"))</f>
        <v>0</v>
      </c>
      <c r="K192" s="49" t="str">
        <f aca="false">IF(OR($A192="",$J192=0),"",SUMIFS(业务流水!$O$5:$O$1504,业务流水!$E$5:$E$1504,$I192,业务流水!$D$5:$D$1504,"销项开票",业务流水!$C$5:$C$1504,$A192,业务流水!$Z$5:$Z$1504,"是")/$J192)</f>
        <v/>
      </c>
      <c r="L192" s="41" t="n">
        <f aca="false">IF(OR($A192="",$I192=""),0,SUMIFS(业务流水!$O$5:$O$1504,业务流水!$E$5:$E$1504,$I192,业务流水!$D$5:$D$1504,"销项开票",业务流水!$C$5:$C$1504,$A192,业务流水!$Z$5:$Z$1504,"是"))</f>
        <v>0</v>
      </c>
      <c r="M192" s="43" t="str">
        <f aca="false">IF($A192="","",IF(AND($I192&lt;&gt;"",$J192&gt;0),$J192-$L192,$H192))</f>
        <v/>
      </c>
      <c r="N192" s="41" t="str">
        <f aca="false">IF($A192="","",SUMIFS(业务流水!$H$5:$H$1504,业务流水!$F$5:$F$1504,"*",业务流水!$D$5:$D$1504,"成本票",业务流水!$C$5:$C$1504,$A192,业务流水!$Z$5:$Z$1504,"是"))</f>
        <v/>
      </c>
      <c r="O192" s="43" t="str">
        <f aca="false">IF($A192="","",ROUND($M192-$N192,2))</f>
        <v/>
      </c>
      <c r="P192" s="33" t="str">
        <f aca="false">IF($A192="","",IF(ABS($O192)&lt;1,"✓ 已开齐",IF($O192&gt;0,"还差成本票","多开了")))</f>
        <v/>
      </c>
    </row>
    <row r="193" customFormat="false" ht="15.75" hidden="false" customHeight="true" outlineLevel="0" collapsed="false">
      <c r="A193" s="32" t="str">
        <f aca="false">IF(项目档案!$A193="","",项目档案!$A193)</f>
        <v/>
      </c>
      <c r="B193" s="40" t="str">
        <f aca="false">IF($A193="","",项目档案!$B193)</f>
        <v/>
      </c>
      <c r="C193" s="32" t="str">
        <f aca="false">IF($A193="","",项目档案!$C193)</f>
        <v/>
      </c>
      <c r="D193" s="32" t="str">
        <f aca="false">IF($A193="","",项目档案!$D193)</f>
        <v/>
      </c>
      <c r="E193" s="41" t="str">
        <f aca="false">IF($A193="","",SUMIFS(业务流水!$H$5:$H$1504,业务流水!$E$5:$E$1504,$D193,业务流水!$D$5:$D$1504,"销项开票",业务流水!$C$5:$C$1504,$A193,业务流水!$Z$5:$Z$1504,"是"))</f>
        <v/>
      </c>
      <c r="F193" s="49" t="str">
        <f aca="false">IF(OR($A193="",$E193=0),"",SUMIFS(业务流水!$O$5:$O$1504,业务流水!$E$5:$E$1504,$D193,业务流水!$D$5:$D$1504,"销项开票",业务流水!$C$5:$C$1504,$A193,业务流水!$Z$5:$Z$1504,"是")/$E193)</f>
        <v/>
      </c>
      <c r="G193" s="41" t="str">
        <f aca="false">IF($A193="","",SUMIFS(业务流水!$O$5:$O$1504,业务流水!$E$5:$E$1504,$D193,业务流水!$D$5:$D$1504,"销项开票",业务流水!$C$5:$C$1504,$A193,业务流水!$Z$5:$Z$1504,"是"))</f>
        <v/>
      </c>
      <c r="H193" s="42" t="str">
        <f aca="false">IF($A193="","",$E193-$G193)</f>
        <v/>
      </c>
      <c r="I193" s="32" t="str">
        <f aca="false">IF($A193="","",项目档案!$F193)</f>
        <v/>
      </c>
      <c r="J193" s="41" t="n">
        <f aca="false">IF(OR($A193="",$I193=""),0,SUMIFS(业务流水!$H$5:$H$1504,业务流水!$E$5:$E$1504,$I193,业务流水!$D$5:$D$1504,"销项开票",业务流水!$C$5:$C$1504,$A193,业务流水!$Z$5:$Z$1504,"是"))</f>
        <v>0</v>
      </c>
      <c r="K193" s="49" t="str">
        <f aca="false">IF(OR($A193="",$J193=0),"",SUMIFS(业务流水!$O$5:$O$1504,业务流水!$E$5:$E$1504,$I193,业务流水!$D$5:$D$1504,"销项开票",业务流水!$C$5:$C$1504,$A193,业务流水!$Z$5:$Z$1504,"是")/$J193)</f>
        <v/>
      </c>
      <c r="L193" s="41" t="n">
        <f aca="false">IF(OR($A193="",$I193=""),0,SUMIFS(业务流水!$O$5:$O$1504,业务流水!$E$5:$E$1504,$I193,业务流水!$D$5:$D$1504,"销项开票",业务流水!$C$5:$C$1504,$A193,业务流水!$Z$5:$Z$1504,"是"))</f>
        <v>0</v>
      </c>
      <c r="M193" s="43" t="str">
        <f aca="false">IF($A193="","",IF(AND($I193&lt;&gt;"",$J193&gt;0),$J193-$L193,$H193))</f>
        <v/>
      </c>
      <c r="N193" s="41" t="str">
        <f aca="false">IF($A193="","",SUMIFS(业务流水!$H$5:$H$1504,业务流水!$F$5:$F$1504,"*",业务流水!$D$5:$D$1504,"成本票",业务流水!$C$5:$C$1504,$A193,业务流水!$Z$5:$Z$1504,"是"))</f>
        <v/>
      </c>
      <c r="O193" s="43" t="str">
        <f aca="false">IF($A193="","",ROUND($M193-$N193,2))</f>
        <v/>
      </c>
      <c r="P193" s="33" t="str">
        <f aca="false">IF($A193="","",IF(ABS($O193)&lt;1,"✓ 已开齐",IF($O193&gt;0,"还差成本票","多开了")))</f>
        <v/>
      </c>
    </row>
    <row r="194" customFormat="false" ht="15.75" hidden="false" customHeight="true" outlineLevel="0" collapsed="false">
      <c r="A194" s="32" t="str">
        <f aca="false">IF(项目档案!$A194="","",项目档案!$A194)</f>
        <v/>
      </c>
      <c r="B194" s="40" t="str">
        <f aca="false">IF($A194="","",项目档案!$B194)</f>
        <v/>
      </c>
      <c r="C194" s="32" t="str">
        <f aca="false">IF($A194="","",项目档案!$C194)</f>
        <v/>
      </c>
      <c r="D194" s="32" t="str">
        <f aca="false">IF($A194="","",项目档案!$D194)</f>
        <v/>
      </c>
      <c r="E194" s="41" t="str">
        <f aca="false">IF($A194="","",SUMIFS(业务流水!$H$5:$H$1504,业务流水!$E$5:$E$1504,$D194,业务流水!$D$5:$D$1504,"销项开票",业务流水!$C$5:$C$1504,$A194,业务流水!$Z$5:$Z$1504,"是"))</f>
        <v/>
      </c>
      <c r="F194" s="49" t="str">
        <f aca="false">IF(OR($A194="",$E194=0),"",SUMIFS(业务流水!$O$5:$O$1504,业务流水!$E$5:$E$1504,$D194,业务流水!$D$5:$D$1504,"销项开票",业务流水!$C$5:$C$1504,$A194,业务流水!$Z$5:$Z$1504,"是")/$E194)</f>
        <v/>
      </c>
      <c r="G194" s="41" t="str">
        <f aca="false">IF($A194="","",SUMIFS(业务流水!$O$5:$O$1504,业务流水!$E$5:$E$1504,$D194,业务流水!$D$5:$D$1504,"销项开票",业务流水!$C$5:$C$1504,$A194,业务流水!$Z$5:$Z$1504,"是"))</f>
        <v/>
      </c>
      <c r="H194" s="42" t="str">
        <f aca="false">IF($A194="","",$E194-$G194)</f>
        <v/>
      </c>
      <c r="I194" s="32" t="str">
        <f aca="false">IF($A194="","",项目档案!$F194)</f>
        <v/>
      </c>
      <c r="J194" s="41" t="n">
        <f aca="false">IF(OR($A194="",$I194=""),0,SUMIFS(业务流水!$H$5:$H$1504,业务流水!$E$5:$E$1504,$I194,业务流水!$D$5:$D$1504,"销项开票",业务流水!$C$5:$C$1504,$A194,业务流水!$Z$5:$Z$1504,"是"))</f>
        <v>0</v>
      </c>
      <c r="K194" s="49" t="str">
        <f aca="false">IF(OR($A194="",$J194=0),"",SUMIFS(业务流水!$O$5:$O$1504,业务流水!$E$5:$E$1504,$I194,业务流水!$D$5:$D$1504,"销项开票",业务流水!$C$5:$C$1504,$A194,业务流水!$Z$5:$Z$1504,"是")/$J194)</f>
        <v/>
      </c>
      <c r="L194" s="41" t="n">
        <f aca="false">IF(OR($A194="",$I194=""),0,SUMIFS(业务流水!$O$5:$O$1504,业务流水!$E$5:$E$1504,$I194,业务流水!$D$5:$D$1504,"销项开票",业务流水!$C$5:$C$1504,$A194,业务流水!$Z$5:$Z$1504,"是"))</f>
        <v>0</v>
      </c>
      <c r="M194" s="43" t="str">
        <f aca="false">IF($A194="","",IF(AND($I194&lt;&gt;"",$J194&gt;0),$J194-$L194,$H194))</f>
        <v/>
      </c>
      <c r="N194" s="41" t="str">
        <f aca="false">IF($A194="","",SUMIFS(业务流水!$H$5:$H$1504,业务流水!$F$5:$F$1504,"*",业务流水!$D$5:$D$1504,"成本票",业务流水!$C$5:$C$1504,$A194,业务流水!$Z$5:$Z$1504,"是"))</f>
        <v/>
      </c>
      <c r="O194" s="43" t="str">
        <f aca="false">IF($A194="","",ROUND($M194-$N194,2))</f>
        <v/>
      </c>
      <c r="P194" s="33" t="str">
        <f aca="false">IF($A194="","",IF(ABS($O194)&lt;1,"✓ 已开齐",IF($O194&gt;0,"还差成本票","多开了")))</f>
        <v/>
      </c>
    </row>
    <row r="195" customFormat="false" ht="15.75" hidden="false" customHeight="true" outlineLevel="0" collapsed="false">
      <c r="A195" s="32" t="str">
        <f aca="false">IF(项目档案!$A195="","",项目档案!$A195)</f>
        <v/>
      </c>
      <c r="B195" s="40" t="str">
        <f aca="false">IF($A195="","",项目档案!$B195)</f>
        <v/>
      </c>
      <c r="C195" s="32" t="str">
        <f aca="false">IF($A195="","",项目档案!$C195)</f>
        <v/>
      </c>
      <c r="D195" s="32" t="str">
        <f aca="false">IF($A195="","",项目档案!$D195)</f>
        <v/>
      </c>
      <c r="E195" s="41" t="str">
        <f aca="false">IF($A195="","",SUMIFS(业务流水!$H$5:$H$1504,业务流水!$E$5:$E$1504,$D195,业务流水!$D$5:$D$1504,"销项开票",业务流水!$C$5:$C$1504,$A195,业务流水!$Z$5:$Z$1504,"是"))</f>
        <v/>
      </c>
      <c r="F195" s="49" t="str">
        <f aca="false">IF(OR($A195="",$E195=0),"",SUMIFS(业务流水!$O$5:$O$1504,业务流水!$E$5:$E$1504,$D195,业务流水!$D$5:$D$1504,"销项开票",业务流水!$C$5:$C$1504,$A195,业务流水!$Z$5:$Z$1504,"是")/$E195)</f>
        <v/>
      </c>
      <c r="G195" s="41" t="str">
        <f aca="false">IF($A195="","",SUMIFS(业务流水!$O$5:$O$1504,业务流水!$E$5:$E$1504,$D195,业务流水!$D$5:$D$1504,"销项开票",业务流水!$C$5:$C$1504,$A195,业务流水!$Z$5:$Z$1504,"是"))</f>
        <v/>
      </c>
      <c r="H195" s="42" t="str">
        <f aca="false">IF($A195="","",$E195-$G195)</f>
        <v/>
      </c>
      <c r="I195" s="32" t="str">
        <f aca="false">IF($A195="","",项目档案!$F195)</f>
        <v/>
      </c>
      <c r="J195" s="41" t="n">
        <f aca="false">IF(OR($A195="",$I195=""),0,SUMIFS(业务流水!$H$5:$H$1504,业务流水!$E$5:$E$1504,$I195,业务流水!$D$5:$D$1504,"销项开票",业务流水!$C$5:$C$1504,$A195,业务流水!$Z$5:$Z$1504,"是"))</f>
        <v>0</v>
      </c>
      <c r="K195" s="49" t="str">
        <f aca="false">IF(OR($A195="",$J195=0),"",SUMIFS(业务流水!$O$5:$O$1504,业务流水!$E$5:$E$1504,$I195,业务流水!$D$5:$D$1504,"销项开票",业务流水!$C$5:$C$1504,$A195,业务流水!$Z$5:$Z$1504,"是")/$J195)</f>
        <v/>
      </c>
      <c r="L195" s="41" t="n">
        <f aca="false">IF(OR($A195="",$I195=""),0,SUMIFS(业务流水!$O$5:$O$1504,业务流水!$E$5:$E$1504,$I195,业务流水!$D$5:$D$1504,"销项开票",业务流水!$C$5:$C$1504,$A195,业务流水!$Z$5:$Z$1504,"是"))</f>
        <v>0</v>
      </c>
      <c r="M195" s="43" t="str">
        <f aca="false">IF($A195="","",IF(AND($I195&lt;&gt;"",$J195&gt;0),$J195-$L195,$H195))</f>
        <v/>
      </c>
      <c r="N195" s="41" t="str">
        <f aca="false">IF($A195="","",SUMIFS(业务流水!$H$5:$H$1504,业务流水!$F$5:$F$1504,"*",业务流水!$D$5:$D$1504,"成本票",业务流水!$C$5:$C$1504,$A195,业务流水!$Z$5:$Z$1504,"是"))</f>
        <v/>
      </c>
      <c r="O195" s="43" t="str">
        <f aca="false">IF($A195="","",ROUND($M195-$N195,2))</f>
        <v/>
      </c>
      <c r="P195" s="33" t="str">
        <f aca="false">IF($A195="","",IF(ABS($O195)&lt;1,"✓ 已开齐",IF($O195&gt;0,"还差成本票","多开了")))</f>
        <v/>
      </c>
    </row>
    <row r="196" customFormat="false" ht="15.75" hidden="false" customHeight="true" outlineLevel="0" collapsed="false">
      <c r="A196" s="32" t="str">
        <f aca="false">IF(项目档案!$A196="","",项目档案!$A196)</f>
        <v/>
      </c>
      <c r="B196" s="40" t="str">
        <f aca="false">IF($A196="","",项目档案!$B196)</f>
        <v/>
      </c>
      <c r="C196" s="32" t="str">
        <f aca="false">IF($A196="","",项目档案!$C196)</f>
        <v/>
      </c>
      <c r="D196" s="32" t="str">
        <f aca="false">IF($A196="","",项目档案!$D196)</f>
        <v/>
      </c>
      <c r="E196" s="41" t="str">
        <f aca="false">IF($A196="","",SUMIFS(业务流水!$H$5:$H$1504,业务流水!$E$5:$E$1504,$D196,业务流水!$D$5:$D$1504,"销项开票",业务流水!$C$5:$C$1504,$A196,业务流水!$Z$5:$Z$1504,"是"))</f>
        <v/>
      </c>
      <c r="F196" s="49" t="str">
        <f aca="false">IF(OR($A196="",$E196=0),"",SUMIFS(业务流水!$O$5:$O$1504,业务流水!$E$5:$E$1504,$D196,业务流水!$D$5:$D$1504,"销项开票",业务流水!$C$5:$C$1504,$A196,业务流水!$Z$5:$Z$1504,"是")/$E196)</f>
        <v/>
      </c>
      <c r="G196" s="41" t="str">
        <f aca="false">IF($A196="","",SUMIFS(业务流水!$O$5:$O$1504,业务流水!$E$5:$E$1504,$D196,业务流水!$D$5:$D$1504,"销项开票",业务流水!$C$5:$C$1504,$A196,业务流水!$Z$5:$Z$1504,"是"))</f>
        <v/>
      </c>
      <c r="H196" s="42" t="str">
        <f aca="false">IF($A196="","",$E196-$G196)</f>
        <v/>
      </c>
      <c r="I196" s="32" t="str">
        <f aca="false">IF($A196="","",项目档案!$F196)</f>
        <v/>
      </c>
      <c r="J196" s="41" t="n">
        <f aca="false">IF(OR($A196="",$I196=""),0,SUMIFS(业务流水!$H$5:$H$1504,业务流水!$E$5:$E$1504,$I196,业务流水!$D$5:$D$1504,"销项开票",业务流水!$C$5:$C$1504,$A196,业务流水!$Z$5:$Z$1504,"是"))</f>
        <v>0</v>
      </c>
      <c r="K196" s="49" t="str">
        <f aca="false">IF(OR($A196="",$J196=0),"",SUMIFS(业务流水!$O$5:$O$1504,业务流水!$E$5:$E$1504,$I196,业务流水!$D$5:$D$1504,"销项开票",业务流水!$C$5:$C$1504,$A196,业务流水!$Z$5:$Z$1504,"是")/$J196)</f>
        <v/>
      </c>
      <c r="L196" s="41" t="n">
        <f aca="false">IF(OR($A196="",$I196=""),0,SUMIFS(业务流水!$O$5:$O$1504,业务流水!$E$5:$E$1504,$I196,业务流水!$D$5:$D$1504,"销项开票",业务流水!$C$5:$C$1504,$A196,业务流水!$Z$5:$Z$1504,"是"))</f>
        <v>0</v>
      </c>
      <c r="M196" s="43" t="str">
        <f aca="false">IF($A196="","",IF(AND($I196&lt;&gt;"",$J196&gt;0),$J196-$L196,$H196))</f>
        <v/>
      </c>
      <c r="N196" s="41" t="str">
        <f aca="false">IF($A196="","",SUMIFS(业务流水!$H$5:$H$1504,业务流水!$F$5:$F$1504,"*",业务流水!$D$5:$D$1504,"成本票",业务流水!$C$5:$C$1504,$A196,业务流水!$Z$5:$Z$1504,"是"))</f>
        <v/>
      </c>
      <c r="O196" s="43" t="str">
        <f aca="false">IF($A196="","",ROUND($M196-$N196,2))</f>
        <v/>
      </c>
      <c r="P196" s="33" t="str">
        <f aca="false">IF($A196="","",IF(ABS($O196)&lt;1,"✓ 已开齐",IF($O196&gt;0,"还差成本票","多开了")))</f>
        <v/>
      </c>
    </row>
    <row r="197" customFormat="false" ht="15.75" hidden="false" customHeight="true" outlineLevel="0" collapsed="false">
      <c r="A197" s="32" t="str">
        <f aca="false">IF(项目档案!$A197="","",项目档案!$A197)</f>
        <v/>
      </c>
      <c r="B197" s="40" t="str">
        <f aca="false">IF($A197="","",项目档案!$B197)</f>
        <v/>
      </c>
      <c r="C197" s="32" t="str">
        <f aca="false">IF($A197="","",项目档案!$C197)</f>
        <v/>
      </c>
      <c r="D197" s="32" t="str">
        <f aca="false">IF($A197="","",项目档案!$D197)</f>
        <v/>
      </c>
      <c r="E197" s="41" t="str">
        <f aca="false">IF($A197="","",SUMIFS(业务流水!$H$5:$H$1504,业务流水!$E$5:$E$1504,$D197,业务流水!$D$5:$D$1504,"销项开票",业务流水!$C$5:$C$1504,$A197,业务流水!$Z$5:$Z$1504,"是"))</f>
        <v/>
      </c>
      <c r="F197" s="49" t="str">
        <f aca="false">IF(OR($A197="",$E197=0),"",SUMIFS(业务流水!$O$5:$O$1504,业务流水!$E$5:$E$1504,$D197,业务流水!$D$5:$D$1504,"销项开票",业务流水!$C$5:$C$1504,$A197,业务流水!$Z$5:$Z$1504,"是")/$E197)</f>
        <v/>
      </c>
      <c r="G197" s="41" t="str">
        <f aca="false">IF($A197="","",SUMIFS(业务流水!$O$5:$O$1504,业务流水!$E$5:$E$1504,$D197,业务流水!$D$5:$D$1504,"销项开票",业务流水!$C$5:$C$1504,$A197,业务流水!$Z$5:$Z$1504,"是"))</f>
        <v/>
      </c>
      <c r="H197" s="42" t="str">
        <f aca="false">IF($A197="","",$E197-$G197)</f>
        <v/>
      </c>
      <c r="I197" s="32" t="str">
        <f aca="false">IF($A197="","",项目档案!$F197)</f>
        <v/>
      </c>
      <c r="J197" s="41" t="n">
        <f aca="false">IF(OR($A197="",$I197=""),0,SUMIFS(业务流水!$H$5:$H$1504,业务流水!$E$5:$E$1504,$I197,业务流水!$D$5:$D$1504,"销项开票",业务流水!$C$5:$C$1504,$A197,业务流水!$Z$5:$Z$1504,"是"))</f>
        <v>0</v>
      </c>
      <c r="K197" s="49" t="str">
        <f aca="false">IF(OR($A197="",$J197=0),"",SUMIFS(业务流水!$O$5:$O$1504,业务流水!$E$5:$E$1504,$I197,业务流水!$D$5:$D$1504,"销项开票",业务流水!$C$5:$C$1504,$A197,业务流水!$Z$5:$Z$1504,"是")/$J197)</f>
        <v/>
      </c>
      <c r="L197" s="41" t="n">
        <f aca="false">IF(OR($A197="",$I197=""),0,SUMIFS(业务流水!$O$5:$O$1504,业务流水!$E$5:$E$1504,$I197,业务流水!$D$5:$D$1504,"销项开票",业务流水!$C$5:$C$1504,$A197,业务流水!$Z$5:$Z$1504,"是"))</f>
        <v>0</v>
      </c>
      <c r="M197" s="43" t="str">
        <f aca="false">IF($A197="","",IF(AND($I197&lt;&gt;"",$J197&gt;0),$J197-$L197,$H197))</f>
        <v/>
      </c>
      <c r="N197" s="41" t="str">
        <f aca="false">IF($A197="","",SUMIFS(业务流水!$H$5:$H$1504,业务流水!$F$5:$F$1504,"*",业务流水!$D$5:$D$1504,"成本票",业务流水!$C$5:$C$1504,$A197,业务流水!$Z$5:$Z$1504,"是"))</f>
        <v/>
      </c>
      <c r="O197" s="43" t="str">
        <f aca="false">IF($A197="","",ROUND($M197-$N197,2))</f>
        <v/>
      </c>
      <c r="P197" s="33" t="str">
        <f aca="false">IF($A197="","",IF(ABS($O197)&lt;1,"✓ 已开齐",IF($O197&gt;0,"还差成本票","多开了")))</f>
        <v/>
      </c>
    </row>
    <row r="198" customFormat="false" ht="15.75" hidden="false" customHeight="true" outlineLevel="0" collapsed="false">
      <c r="A198" s="32" t="str">
        <f aca="false">IF(项目档案!$A198="","",项目档案!$A198)</f>
        <v/>
      </c>
      <c r="B198" s="40" t="str">
        <f aca="false">IF($A198="","",项目档案!$B198)</f>
        <v/>
      </c>
      <c r="C198" s="32" t="str">
        <f aca="false">IF($A198="","",项目档案!$C198)</f>
        <v/>
      </c>
      <c r="D198" s="32" t="str">
        <f aca="false">IF($A198="","",项目档案!$D198)</f>
        <v/>
      </c>
      <c r="E198" s="41" t="str">
        <f aca="false">IF($A198="","",SUMIFS(业务流水!$H$5:$H$1504,业务流水!$E$5:$E$1504,$D198,业务流水!$D$5:$D$1504,"销项开票",业务流水!$C$5:$C$1504,$A198,业务流水!$Z$5:$Z$1504,"是"))</f>
        <v/>
      </c>
      <c r="F198" s="49" t="str">
        <f aca="false">IF(OR($A198="",$E198=0),"",SUMIFS(业务流水!$O$5:$O$1504,业务流水!$E$5:$E$1504,$D198,业务流水!$D$5:$D$1504,"销项开票",业务流水!$C$5:$C$1504,$A198,业务流水!$Z$5:$Z$1504,"是")/$E198)</f>
        <v/>
      </c>
      <c r="G198" s="41" t="str">
        <f aca="false">IF($A198="","",SUMIFS(业务流水!$O$5:$O$1504,业务流水!$E$5:$E$1504,$D198,业务流水!$D$5:$D$1504,"销项开票",业务流水!$C$5:$C$1504,$A198,业务流水!$Z$5:$Z$1504,"是"))</f>
        <v/>
      </c>
      <c r="H198" s="42" t="str">
        <f aca="false">IF($A198="","",$E198-$G198)</f>
        <v/>
      </c>
      <c r="I198" s="32" t="str">
        <f aca="false">IF($A198="","",项目档案!$F198)</f>
        <v/>
      </c>
      <c r="J198" s="41" t="n">
        <f aca="false">IF(OR($A198="",$I198=""),0,SUMIFS(业务流水!$H$5:$H$1504,业务流水!$E$5:$E$1504,$I198,业务流水!$D$5:$D$1504,"销项开票",业务流水!$C$5:$C$1504,$A198,业务流水!$Z$5:$Z$1504,"是"))</f>
        <v>0</v>
      </c>
      <c r="K198" s="49" t="str">
        <f aca="false">IF(OR($A198="",$J198=0),"",SUMIFS(业务流水!$O$5:$O$1504,业务流水!$E$5:$E$1504,$I198,业务流水!$D$5:$D$1504,"销项开票",业务流水!$C$5:$C$1504,$A198,业务流水!$Z$5:$Z$1504,"是")/$J198)</f>
        <v/>
      </c>
      <c r="L198" s="41" t="n">
        <f aca="false">IF(OR($A198="",$I198=""),0,SUMIFS(业务流水!$O$5:$O$1504,业务流水!$E$5:$E$1504,$I198,业务流水!$D$5:$D$1504,"销项开票",业务流水!$C$5:$C$1504,$A198,业务流水!$Z$5:$Z$1504,"是"))</f>
        <v>0</v>
      </c>
      <c r="M198" s="43" t="str">
        <f aca="false">IF($A198="","",IF(AND($I198&lt;&gt;"",$J198&gt;0),$J198-$L198,$H198))</f>
        <v/>
      </c>
      <c r="N198" s="41" t="str">
        <f aca="false">IF($A198="","",SUMIFS(业务流水!$H$5:$H$1504,业务流水!$F$5:$F$1504,"*",业务流水!$D$5:$D$1504,"成本票",业务流水!$C$5:$C$1504,$A198,业务流水!$Z$5:$Z$1504,"是"))</f>
        <v/>
      </c>
      <c r="O198" s="43" t="str">
        <f aca="false">IF($A198="","",ROUND($M198-$N198,2))</f>
        <v/>
      </c>
      <c r="P198" s="33" t="str">
        <f aca="false">IF($A198="","",IF(ABS($O198)&lt;1,"✓ 已开齐",IF($O198&gt;0,"还差成本票","多开了")))</f>
        <v/>
      </c>
    </row>
    <row r="199" customFormat="false" ht="15.75" hidden="false" customHeight="true" outlineLevel="0" collapsed="false">
      <c r="A199" s="32" t="str">
        <f aca="false">IF(项目档案!$A199="","",项目档案!$A199)</f>
        <v/>
      </c>
      <c r="B199" s="40" t="str">
        <f aca="false">IF($A199="","",项目档案!$B199)</f>
        <v/>
      </c>
      <c r="C199" s="32" t="str">
        <f aca="false">IF($A199="","",项目档案!$C199)</f>
        <v/>
      </c>
      <c r="D199" s="32" t="str">
        <f aca="false">IF($A199="","",项目档案!$D199)</f>
        <v/>
      </c>
      <c r="E199" s="41" t="str">
        <f aca="false">IF($A199="","",SUMIFS(业务流水!$H$5:$H$1504,业务流水!$E$5:$E$1504,$D199,业务流水!$D$5:$D$1504,"销项开票",业务流水!$C$5:$C$1504,$A199,业务流水!$Z$5:$Z$1504,"是"))</f>
        <v/>
      </c>
      <c r="F199" s="49" t="str">
        <f aca="false">IF(OR($A199="",$E199=0),"",SUMIFS(业务流水!$O$5:$O$1504,业务流水!$E$5:$E$1504,$D199,业务流水!$D$5:$D$1504,"销项开票",业务流水!$C$5:$C$1504,$A199,业务流水!$Z$5:$Z$1504,"是")/$E199)</f>
        <v/>
      </c>
      <c r="G199" s="41" t="str">
        <f aca="false">IF($A199="","",SUMIFS(业务流水!$O$5:$O$1504,业务流水!$E$5:$E$1504,$D199,业务流水!$D$5:$D$1504,"销项开票",业务流水!$C$5:$C$1504,$A199,业务流水!$Z$5:$Z$1504,"是"))</f>
        <v/>
      </c>
      <c r="H199" s="42" t="str">
        <f aca="false">IF($A199="","",$E199-$G199)</f>
        <v/>
      </c>
      <c r="I199" s="32" t="str">
        <f aca="false">IF($A199="","",项目档案!$F199)</f>
        <v/>
      </c>
      <c r="J199" s="41" t="n">
        <f aca="false">IF(OR($A199="",$I199=""),0,SUMIFS(业务流水!$H$5:$H$1504,业务流水!$E$5:$E$1504,$I199,业务流水!$D$5:$D$1504,"销项开票",业务流水!$C$5:$C$1504,$A199,业务流水!$Z$5:$Z$1504,"是"))</f>
        <v>0</v>
      </c>
      <c r="K199" s="49" t="str">
        <f aca="false">IF(OR($A199="",$J199=0),"",SUMIFS(业务流水!$O$5:$O$1504,业务流水!$E$5:$E$1504,$I199,业务流水!$D$5:$D$1504,"销项开票",业务流水!$C$5:$C$1504,$A199,业务流水!$Z$5:$Z$1504,"是")/$J199)</f>
        <v/>
      </c>
      <c r="L199" s="41" t="n">
        <f aca="false">IF(OR($A199="",$I199=""),0,SUMIFS(业务流水!$O$5:$O$1504,业务流水!$E$5:$E$1504,$I199,业务流水!$D$5:$D$1504,"销项开票",业务流水!$C$5:$C$1504,$A199,业务流水!$Z$5:$Z$1504,"是"))</f>
        <v>0</v>
      </c>
      <c r="M199" s="43" t="str">
        <f aca="false">IF($A199="","",IF(AND($I199&lt;&gt;"",$J199&gt;0),$J199-$L199,$H199))</f>
        <v/>
      </c>
      <c r="N199" s="41" t="str">
        <f aca="false">IF($A199="","",SUMIFS(业务流水!$H$5:$H$1504,业务流水!$F$5:$F$1504,"*",业务流水!$D$5:$D$1504,"成本票",业务流水!$C$5:$C$1504,$A199,业务流水!$Z$5:$Z$1504,"是"))</f>
        <v/>
      </c>
      <c r="O199" s="43" t="str">
        <f aca="false">IF($A199="","",ROUND($M199-$N199,2))</f>
        <v/>
      </c>
      <c r="P199" s="33" t="str">
        <f aca="false">IF($A199="","",IF(ABS($O199)&lt;1,"✓ 已开齐",IF($O199&gt;0,"还差成本票","多开了")))</f>
        <v/>
      </c>
    </row>
    <row r="200" customFormat="false" ht="15.75" hidden="false" customHeight="true" outlineLevel="0" collapsed="false">
      <c r="A200" s="32" t="str">
        <f aca="false">IF(项目档案!$A200="","",项目档案!$A200)</f>
        <v/>
      </c>
      <c r="B200" s="40" t="str">
        <f aca="false">IF($A200="","",项目档案!$B200)</f>
        <v/>
      </c>
      <c r="C200" s="32" t="str">
        <f aca="false">IF($A200="","",项目档案!$C200)</f>
        <v/>
      </c>
      <c r="D200" s="32" t="str">
        <f aca="false">IF($A200="","",项目档案!$D200)</f>
        <v/>
      </c>
      <c r="E200" s="41" t="str">
        <f aca="false">IF($A200="","",SUMIFS(业务流水!$H$5:$H$1504,业务流水!$E$5:$E$1504,$D200,业务流水!$D$5:$D$1504,"销项开票",业务流水!$C$5:$C$1504,$A200,业务流水!$Z$5:$Z$1504,"是"))</f>
        <v/>
      </c>
      <c r="F200" s="49" t="str">
        <f aca="false">IF(OR($A200="",$E200=0),"",SUMIFS(业务流水!$O$5:$O$1504,业务流水!$E$5:$E$1504,$D200,业务流水!$D$5:$D$1504,"销项开票",业务流水!$C$5:$C$1504,$A200,业务流水!$Z$5:$Z$1504,"是")/$E200)</f>
        <v/>
      </c>
      <c r="G200" s="41" t="str">
        <f aca="false">IF($A200="","",SUMIFS(业务流水!$O$5:$O$1504,业务流水!$E$5:$E$1504,$D200,业务流水!$D$5:$D$1504,"销项开票",业务流水!$C$5:$C$1504,$A200,业务流水!$Z$5:$Z$1504,"是"))</f>
        <v/>
      </c>
      <c r="H200" s="42" t="str">
        <f aca="false">IF($A200="","",$E200-$G200)</f>
        <v/>
      </c>
      <c r="I200" s="32" t="str">
        <f aca="false">IF($A200="","",项目档案!$F200)</f>
        <v/>
      </c>
      <c r="J200" s="41" t="n">
        <f aca="false">IF(OR($A200="",$I200=""),0,SUMIFS(业务流水!$H$5:$H$1504,业务流水!$E$5:$E$1504,$I200,业务流水!$D$5:$D$1504,"销项开票",业务流水!$C$5:$C$1504,$A200,业务流水!$Z$5:$Z$1504,"是"))</f>
        <v>0</v>
      </c>
      <c r="K200" s="49" t="str">
        <f aca="false">IF(OR($A200="",$J200=0),"",SUMIFS(业务流水!$O$5:$O$1504,业务流水!$E$5:$E$1504,$I200,业务流水!$D$5:$D$1504,"销项开票",业务流水!$C$5:$C$1504,$A200,业务流水!$Z$5:$Z$1504,"是")/$J200)</f>
        <v/>
      </c>
      <c r="L200" s="41" t="n">
        <f aca="false">IF(OR($A200="",$I200=""),0,SUMIFS(业务流水!$O$5:$O$1504,业务流水!$E$5:$E$1504,$I200,业务流水!$D$5:$D$1504,"销项开票",业务流水!$C$5:$C$1504,$A200,业务流水!$Z$5:$Z$1504,"是"))</f>
        <v>0</v>
      </c>
      <c r="M200" s="43" t="str">
        <f aca="false">IF($A200="","",IF(AND($I200&lt;&gt;"",$J200&gt;0),$J200-$L200,$H200))</f>
        <v/>
      </c>
      <c r="N200" s="41" t="str">
        <f aca="false">IF($A200="","",SUMIFS(业务流水!$H$5:$H$1504,业务流水!$F$5:$F$1504,"*",业务流水!$D$5:$D$1504,"成本票",业务流水!$C$5:$C$1504,$A200,业务流水!$Z$5:$Z$1504,"是"))</f>
        <v/>
      </c>
      <c r="O200" s="43" t="str">
        <f aca="false">IF($A200="","",ROUND($M200-$N200,2))</f>
        <v/>
      </c>
      <c r="P200" s="33" t="str">
        <f aca="false">IF($A200="","",IF(ABS($O200)&lt;1,"✓ 已开齐",IF($O200&gt;0,"还差成本票","多开了")))</f>
        <v/>
      </c>
    </row>
    <row r="201" customFormat="false" ht="15.75" hidden="false" customHeight="true" outlineLevel="0" collapsed="false">
      <c r="A201" s="32" t="str">
        <f aca="false">IF(项目档案!$A201="","",项目档案!$A201)</f>
        <v/>
      </c>
      <c r="B201" s="40" t="str">
        <f aca="false">IF($A201="","",项目档案!$B201)</f>
        <v/>
      </c>
      <c r="C201" s="32" t="str">
        <f aca="false">IF($A201="","",项目档案!$C201)</f>
        <v/>
      </c>
      <c r="D201" s="32" t="str">
        <f aca="false">IF($A201="","",项目档案!$D201)</f>
        <v/>
      </c>
      <c r="E201" s="41" t="str">
        <f aca="false">IF($A201="","",SUMIFS(业务流水!$H$5:$H$1504,业务流水!$E$5:$E$1504,$D201,业务流水!$D$5:$D$1504,"销项开票",业务流水!$C$5:$C$1504,$A201,业务流水!$Z$5:$Z$1504,"是"))</f>
        <v/>
      </c>
      <c r="F201" s="49" t="str">
        <f aca="false">IF(OR($A201="",$E201=0),"",SUMIFS(业务流水!$O$5:$O$1504,业务流水!$E$5:$E$1504,$D201,业务流水!$D$5:$D$1504,"销项开票",业务流水!$C$5:$C$1504,$A201,业务流水!$Z$5:$Z$1504,"是")/$E201)</f>
        <v/>
      </c>
      <c r="G201" s="41" t="str">
        <f aca="false">IF($A201="","",SUMIFS(业务流水!$O$5:$O$1504,业务流水!$E$5:$E$1504,$D201,业务流水!$D$5:$D$1504,"销项开票",业务流水!$C$5:$C$1504,$A201,业务流水!$Z$5:$Z$1504,"是"))</f>
        <v/>
      </c>
      <c r="H201" s="42" t="str">
        <f aca="false">IF($A201="","",$E201-$G201)</f>
        <v/>
      </c>
      <c r="I201" s="32" t="str">
        <f aca="false">IF($A201="","",项目档案!$F201)</f>
        <v/>
      </c>
      <c r="J201" s="41" t="n">
        <f aca="false">IF(OR($A201="",$I201=""),0,SUMIFS(业务流水!$H$5:$H$1504,业务流水!$E$5:$E$1504,$I201,业务流水!$D$5:$D$1504,"销项开票",业务流水!$C$5:$C$1504,$A201,业务流水!$Z$5:$Z$1504,"是"))</f>
        <v>0</v>
      </c>
      <c r="K201" s="49" t="str">
        <f aca="false">IF(OR($A201="",$J201=0),"",SUMIFS(业务流水!$O$5:$O$1504,业务流水!$E$5:$E$1504,$I201,业务流水!$D$5:$D$1504,"销项开票",业务流水!$C$5:$C$1504,$A201,业务流水!$Z$5:$Z$1504,"是")/$J201)</f>
        <v/>
      </c>
      <c r="L201" s="41" t="n">
        <f aca="false">IF(OR($A201="",$I201=""),0,SUMIFS(业务流水!$O$5:$O$1504,业务流水!$E$5:$E$1504,$I201,业务流水!$D$5:$D$1504,"销项开票",业务流水!$C$5:$C$1504,$A201,业务流水!$Z$5:$Z$1504,"是"))</f>
        <v>0</v>
      </c>
      <c r="M201" s="43" t="str">
        <f aca="false">IF($A201="","",IF(AND($I201&lt;&gt;"",$J201&gt;0),$J201-$L201,$H201))</f>
        <v/>
      </c>
      <c r="N201" s="41" t="str">
        <f aca="false">IF($A201="","",SUMIFS(业务流水!$H$5:$H$1504,业务流水!$F$5:$F$1504,"*",业务流水!$D$5:$D$1504,"成本票",业务流水!$C$5:$C$1504,$A201,业务流水!$Z$5:$Z$1504,"是"))</f>
        <v/>
      </c>
      <c r="O201" s="43" t="str">
        <f aca="false">IF($A201="","",ROUND($M201-$N201,2))</f>
        <v/>
      </c>
      <c r="P201" s="33" t="str">
        <f aca="false">IF($A201="","",IF(ABS($O201)&lt;1,"✓ 已开齐",IF($O201&gt;0,"还差成本票","多开了")))</f>
        <v/>
      </c>
    </row>
    <row r="202" customFormat="false" ht="15.75" hidden="false" customHeight="true" outlineLevel="0" collapsed="false">
      <c r="A202" s="32" t="str">
        <f aca="false">IF(项目档案!$A202="","",项目档案!$A202)</f>
        <v/>
      </c>
      <c r="B202" s="40" t="str">
        <f aca="false">IF($A202="","",项目档案!$B202)</f>
        <v/>
      </c>
      <c r="C202" s="32" t="str">
        <f aca="false">IF($A202="","",项目档案!$C202)</f>
        <v/>
      </c>
      <c r="D202" s="32" t="str">
        <f aca="false">IF($A202="","",项目档案!$D202)</f>
        <v/>
      </c>
      <c r="E202" s="41" t="str">
        <f aca="false">IF($A202="","",SUMIFS(业务流水!$H$5:$H$1504,业务流水!$E$5:$E$1504,$D202,业务流水!$D$5:$D$1504,"销项开票",业务流水!$C$5:$C$1504,$A202,业务流水!$Z$5:$Z$1504,"是"))</f>
        <v/>
      </c>
      <c r="F202" s="49" t="str">
        <f aca="false">IF(OR($A202="",$E202=0),"",SUMIFS(业务流水!$O$5:$O$1504,业务流水!$E$5:$E$1504,$D202,业务流水!$D$5:$D$1504,"销项开票",业务流水!$C$5:$C$1504,$A202,业务流水!$Z$5:$Z$1504,"是")/$E202)</f>
        <v/>
      </c>
      <c r="G202" s="41" t="str">
        <f aca="false">IF($A202="","",SUMIFS(业务流水!$O$5:$O$1504,业务流水!$E$5:$E$1504,$D202,业务流水!$D$5:$D$1504,"销项开票",业务流水!$C$5:$C$1504,$A202,业务流水!$Z$5:$Z$1504,"是"))</f>
        <v/>
      </c>
      <c r="H202" s="42" t="str">
        <f aca="false">IF($A202="","",$E202-$G202)</f>
        <v/>
      </c>
      <c r="I202" s="32" t="str">
        <f aca="false">IF($A202="","",项目档案!$F202)</f>
        <v/>
      </c>
      <c r="J202" s="41" t="n">
        <f aca="false">IF(OR($A202="",$I202=""),0,SUMIFS(业务流水!$H$5:$H$1504,业务流水!$E$5:$E$1504,$I202,业务流水!$D$5:$D$1504,"销项开票",业务流水!$C$5:$C$1504,$A202,业务流水!$Z$5:$Z$1504,"是"))</f>
        <v>0</v>
      </c>
      <c r="K202" s="49" t="str">
        <f aca="false">IF(OR($A202="",$J202=0),"",SUMIFS(业务流水!$O$5:$O$1504,业务流水!$E$5:$E$1504,$I202,业务流水!$D$5:$D$1504,"销项开票",业务流水!$C$5:$C$1504,$A202,业务流水!$Z$5:$Z$1504,"是")/$J202)</f>
        <v/>
      </c>
      <c r="L202" s="41" t="n">
        <f aca="false">IF(OR($A202="",$I202=""),0,SUMIFS(业务流水!$O$5:$O$1504,业务流水!$E$5:$E$1504,$I202,业务流水!$D$5:$D$1504,"销项开票",业务流水!$C$5:$C$1504,$A202,业务流水!$Z$5:$Z$1504,"是"))</f>
        <v>0</v>
      </c>
      <c r="M202" s="43" t="str">
        <f aca="false">IF($A202="","",IF(AND($I202&lt;&gt;"",$J202&gt;0),$J202-$L202,$H202))</f>
        <v/>
      </c>
      <c r="N202" s="41" t="str">
        <f aca="false">IF($A202="","",SUMIFS(业务流水!$H$5:$H$1504,业务流水!$F$5:$F$1504,"*",业务流水!$D$5:$D$1504,"成本票",业务流水!$C$5:$C$1504,$A202,业务流水!$Z$5:$Z$1504,"是"))</f>
        <v/>
      </c>
      <c r="O202" s="43" t="str">
        <f aca="false">IF($A202="","",ROUND($M202-$N202,2))</f>
        <v/>
      </c>
      <c r="P202" s="33" t="str">
        <f aca="false">IF($A202="","",IF(ABS($O202)&lt;1,"✓ 已开齐",IF($O202&gt;0,"还差成本票","多开了")))</f>
        <v/>
      </c>
    </row>
    <row r="203" customFormat="false" ht="15.75" hidden="false" customHeight="true" outlineLevel="0" collapsed="false">
      <c r="A203" s="32" t="str">
        <f aca="false">IF(项目档案!$A203="","",项目档案!$A203)</f>
        <v/>
      </c>
      <c r="B203" s="40" t="str">
        <f aca="false">IF($A203="","",项目档案!$B203)</f>
        <v/>
      </c>
      <c r="C203" s="32" t="str">
        <f aca="false">IF($A203="","",项目档案!$C203)</f>
        <v/>
      </c>
      <c r="D203" s="32" t="str">
        <f aca="false">IF($A203="","",项目档案!$D203)</f>
        <v/>
      </c>
      <c r="E203" s="41" t="str">
        <f aca="false">IF($A203="","",SUMIFS(业务流水!$H$5:$H$1504,业务流水!$E$5:$E$1504,$D203,业务流水!$D$5:$D$1504,"销项开票",业务流水!$C$5:$C$1504,$A203,业务流水!$Z$5:$Z$1504,"是"))</f>
        <v/>
      </c>
      <c r="F203" s="49" t="str">
        <f aca="false">IF(OR($A203="",$E203=0),"",SUMIFS(业务流水!$O$5:$O$1504,业务流水!$E$5:$E$1504,$D203,业务流水!$D$5:$D$1504,"销项开票",业务流水!$C$5:$C$1504,$A203,业务流水!$Z$5:$Z$1504,"是")/$E203)</f>
        <v/>
      </c>
      <c r="G203" s="41" t="str">
        <f aca="false">IF($A203="","",SUMIFS(业务流水!$O$5:$O$1504,业务流水!$E$5:$E$1504,$D203,业务流水!$D$5:$D$1504,"销项开票",业务流水!$C$5:$C$1504,$A203,业务流水!$Z$5:$Z$1504,"是"))</f>
        <v/>
      </c>
      <c r="H203" s="42" t="str">
        <f aca="false">IF($A203="","",$E203-$G203)</f>
        <v/>
      </c>
      <c r="I203" s="32" t="str">
        <f aca="false">IF($A203="","",项目档案!$F203)</f>
        <v/>
      </c>
      <c r="J203" s="41" t="n">
        <f aca="false">IF(OR($A203="",$I203=""),0,SUMIFS(业务流水!$H$5:$H$1504,业务流水!$E$5:$E$1504,$I203,业务流水!$D$5:$D$1504,"销项开票",业务流水!$C$5:$C$1504,$A203,业务流水!$Z$5:$Z$1504,"是"))</f>
        <v>0</v>
      </c>
      <c r="K203" s="49" t="str">
        <f aca="false">IF(OR($A203="",$J203=0),"",SUMIFS(业务流水!$O$5:$O$1504,业务流水!$E$5:$E$1504,$I203,业务流水!$D$5:$D$1504,"销项开票",业务流水!$C$5:$C$1504,$A203,业务流水!$Z$5:$Z$1504,"是")/$J203)</f>
        <v/>
      </c>
      <c r="L203" s="41" t="n">
        <f aca="false">IF(OR($A203="",$I203=""),0,SUMIFS(业务流水!$O$5:$O$1504,业务流水!$E$5:$E$1504,$I203,业务流水!$D$5:$D$1504,"销项开票",业务流水!$C$5:$C$1504,$A203,业务流水!$Z$5:$Z$1504,"是"))</f>
        <v>0</v>
      </c>
      <c r="M203" s="43" t="str">
        <f aca="false">IF($A203="","",IF(AND($I203&lt;&gt;"",$J203&gt;0),$J203-$L203,$H203))</f>
        <v/>
      </c>
      <c r="N203" s="41" t="str">
        <f aca="false">IF($A203="","",SUMIFS(业务流水!$H$5:$H$1504,业务流水!$F$5:$F$1504,"*",业务流水!$D$5:$D$1504,"成本票",业务流水!$C$5:$C$1504,$A203,业务流水!$Z$5:$Z$1504,"是"))</f>
        <v/>
      </c>
      <c r="O203" s="43" t="str">
        <f aca="false">IF($A203="","",ROUND($M203-$N203,2))</f>
        <v/>
      </c>
      <c r="P203" s="33" t="str">
        <f aca="false">IF($A203="","",IF(ABS($O203)&lt;1,"✓ 已开齐",IF($O203&gt;0,"还差成本票","多开了")))</f>
        <v/>
      </c>
    </row>
    <row r="204" customFormat="false" ht="15.75" hidden="false" customHeight="true" outlineLevel="0" collapsed="false">
      <c r="A204" s="32" t="str">
        <f aca="false">IF(项目档案!$A204="","",项目档案!$A204)</f>
        <v/>
      </c>
      <c r="B204" s="40" t="str">
        <f aca="false">IF($A204="","",项目档案!$B204)</f>
        <v/>
      </c>
      <c r="C204" s="32" t="str">
        <f aca="false">IF($A204="","",项目档案!$C204)</f>
        <v/>
      </c>
      <c r="D204" s="32" t="str">
        <f aca="false">IF($A204="","",项目档案!$D204)</f>
        <v/>
      </c>
      <c r="E204" s="41" t="str">
        <f aca="false">IF($A204="","",SUMIFS(业务流水!$H$5:$H$1504,业务流水!$E$5:$E$1504,$D204,业务流水!$D$5:$D$1504,"销项开票",业务流水!$C$5:$C$1504,$A204,业务流水!$Z$5:$Z$1504,"是"))</f>
        <v/>
      </c>
      <c r="F204" s="49" t="str">
        <f aca="false">IF(OR($A204="",$E204=0),"",SUMIFS(业务流水!$O$5:$O$1504,业务流水!$E$5:$E$1504,$D204,业务流水!$D$5:$D$1504,"销项开票",业务流水!$C$5:$C$1504,$A204,业务流水!$Z$5:$Z$1504,"是")/$E204)</f>
        <v/>
      </c>
      <c r="G204" s="41" t="str">
        <f aca="false">IF($A204="","",SUMIFS(业务流水!$O$5:$O$1504,业务流水!$E$5:$E$1504,$D204,业务流水!$D$5:$D$1504,"销项开票",业务流水!$C$5:$C$1504,$A204,业务流水!$Z$5:$Z$1504,"是"))</f>
        <v/>
      </c>
      <c r="H204" s="42" t="str">
        <f aca="false">IF($A204="","",$E204-$G204)</f>
        <v/>
      </c>
      <c r="I204" s="32" t="str">
        <f aca="false">IF($A204="","",项目档案!$F204)</f>
        <v/>
      </c>
      <c r="J204" s="41" t="n">
        <f aca="false">IF(OR($A204="",$I204=""),0,SUMIFS(业务流水!$H$5:$H$1504,业务流水!$E$5:$E$1504,$I204,业务流水!$D$5:$D$1504,"销项开票",业务流水!$C$5:$C$1504,$A204,业务流水!$Z$5:$Z$1504,"是"))</f>
        <v>0</v>
      </c>
      <c r="K204" s="49" t="str">
        <f aca="false">IF(OR($A204="",$J204=0),"",SUMIFS(业务流水!$O$5:$O$1504,业务流水!$E$5:$E$1504,$I204,业务流水!$D$5:$D$1504,"销项开票",业务流水!$C$5:$C$1504,$A204,业务流水!$Z$5:$Z$1504,"是")/$J204)</f>
        <v/>
      </c>
      <c r="L204" s="41" t="n">
        <f aca="false">IF(OR($A204="",$I204=""),0,SUMIFS(业务流水!$O$5:$O$1504,业务流水!$E$5:$E$1504,$I204,业务流水!$D$5:$D$1504,"销项开票",业务流水!$C$5:$C$1504,$A204,业务流水!$Z$5:$Z$1504,"是"))</f>
        <v>0</v>
      </c>
      <c r="M204" s="43" t="str">
        <f aca="false">IF($A204="","",IF(AND($I204&lt;&gt;"",$J204&gt;0),$J204-$L204,$H204))</f>
        <v/>
      </c>
      <c r="N204" s="41" t="str">
        <f aca="false">IF($A204="","",SUMIFS(业务流水!$H$5:$H$1504,业务流水!$F$5:$F$1504,"*",业务流水!$D$5:$D$1504,"成本票",业务流水!$C$5:$C$1504,$A204,业务流水!$Z$5:$Z$1504,"是"))</f>
        <v/>
      </c>
      <c r="O204" s="43" t="str">
        <f aca="false">IF($A204="","",ROUND($M204-$N204,2))</f>
        <v/>
      </c>
      <c r="P204" s="33" t="str">
        <f aca="false">IF($A204="","",IF(ABS($O204)&lt;1,"✓ 已开齐",IF($O204&gt;0,"还差成本票","多开了")))</f>
        <v/>
      </c>
    </row>
    <row r="205" customFormat="false" ht="15.75" hidden="false" customHeight="true" outlineLevel="0" collapsed="false">
      <c r="A205" s="32" t="str">
        <f aca="false">IF(项目档案!$A205="","",项目档案!$A205)</f>
        <v/>
      </c>
      <c r="B205" s="40" t="str">
        <f aca="false">IF($A205="","",项目档案!$B205)</f>
        <v/>
      </c>
      <c r="C205" s="32" t="str">
        <f aca="false">IF($A205="","",项目档案!$C205)</f>
        <v/>
      </c>
      <c r="D205" s="32" t="str">
        <f aca="false">IF($A205="","",项目档案!$D205)</f>
        <v/>
      </c>
      <c r="E205" s="41" t="str">
        <f aca="false">IF($A205="","",SUMIFS(业务流水!$H$5:$H$1504,业务流水!$E$5:$E$1504,$D205,业务流水!$D$5:$D$1504,"销项开票",业务流水!$C$5:$C$1504,$A205,业务流水!$Z$5:$Z$1504,"是"))</f>
        <v/>
      </c>
      <c r="F205" s="49" t="str">
        <f aca="false">IF(OR($A205="",$E205=0),"",SUMIFS(业务流水!$O$5:$O$1504,业务流水!$E$5:$E$1504,$D205,业务流水!$D$5:$D$1504,"销项开票",业务流水!$C$5:$C$1504,$A205,业务流水!$Z$5:$Z$1504,"是")/$E205)</f>
        <v/>
      </c>
      <c r="G205" s="41" t="str">
        <f aca="false">IF($A205="","",SUMIFS(业务流水!$O$5:$O$1504,业务流水!$E$5:$E$1504,$D205,业务流水!$D$5:$D$1504,"销项开票",业务流水!$C$5:$C$1504,$A205,业务流水!$Z$5:$Z$1504,"是"))</f>
        <v/>
      </c>
      <c r="H205" s="42" t="str">
        <f aca="false">IF($A205="","",$E205-$G205)</f>
        <v/>
      </c>
      <c r="I205" s="32" t="str">
        <f aca="false">IF($A205="","",项目档案!$F205)</f>
        <v/>
      </c>
      <c r="J205" s="41" t="n">
        <f aca="false">IF(OR($A205="",$I205=""),0,SUMIFS(业务流水!$H$5:$H$1504,业务流水!$E$5:$E$1504,$I205,业务流水!$D$5:$D$1504,"销项开票",业务流水!$C$5:$C$1504,$A205,业务流水!$Z$5:$Z$1504,"是"))</f>
        <v>0</v>
      </c>
      <c r="K205" s="49" t="str">
        <f aca="false">IF(OR($A205="",$J205=0),"",SUMIFS(业务流水!$O$5:$O$1504,业务流水!$E$5:$E$1504,$I205,业务流水!$D$5:$D$1504,"销项开票",业务流水!$C$5:$C$1504,$A205,业务流水!$Z$5:$Z$1504,"是")/$J205)</f>
        <v/>
      </c>
      <c r="L205" s="41" t="n">
        <f aca="false">IF(OR($A205="",$I205=""),0,SUMIFS(业务流水!$O$5:$O$1504,业务流水!$E$5:$E$1504,$I205,业务流水!$D$5:$D$1504,"销项开票",业务流水!$C$5:$C$1504,$A205,业务流水!$Z$5:$Z$1504,"是"))</f>
        <v>0</v>
      </c>
      <c r="M205" s="43" t="str">
        <f aca="false">IF($A205="","",IF(AND($I205&lt;&gt;"",$J205&gt;0),$J205-$L205,$H205))</f>
        <v/>
      </c>
      <c r="N205" s="41" t="str">
        <f aca="false">IF($A205="","",SUMIFS(业务流水!$H$5:$H$1504,业务流水!$F$5:$F$1504,"*",业务流水!$D$5:$D$1504,"成本票",业务流水!$C$5:$C$1504,$A205,业务流水!$Z$5:$Z$1504,"是"))</f>
        <v/>
      </c>
      <c r="O205" s="43" t="str">
        <f aca="false">IF($A205="","",ROUND($M205-$N205,2))</f>
        <v/>
      </c>
      <c r="P205" s="33" t="str">
        <f aca="false">IF($A205="","",IF(ABS($O205)&lt;1,"✓ 已开齐",IF($O205&gt;0,"还差成本票","多开了")))</f>
        <v/>
      </c>
    </row>
    <row r="206" customFormat="false" ht="15.75" hidden="false" customHeight="true" outlineLevel="0" collapsed="false">
      <c r="A206" s="32" t="str">
        <f aca="false">IF(项目档案!$A206="","",项目档案!$A206)</f>
        <v/>
      </c>
      <c r="B206" s="40" t="str">
        <f aca="false">IF($A206="","",项目档案!$B206)</f>
        <v/>
      </c>
      <c r="C206" s="32" t="str">
        <f aca="false">IF($A206="","",项目档案!$C206)</f>
        <v/>
      </c>
      <c r="D206" s="32" t="str">
        <f aca="false">IF($A206="","",项目档案!$D206)</f>
        <v/>
      </c>
      <c r="E206" s="41" t="str">
        <f aca="false">IF($A206="","",SUMIFS(业务流水!$H$5:$H$1504,业务流水!$E$5:$E$1504,$D206,业务流水!$D$5:$D$1504,"销项开票",业务流水!$C$5:$C$1504,$A206,业务流水!$Z$5:$Z$1504,"是"))</f>
        <v/>
      </c>
      <c r="F206" s="49" t="str">
        <f aca="false">IF(OR($A206="",$E206=0),"",SUMIFS(业务流水!$O$5:$O$1504,业务流水!$E$5:$E$1504,$D206,业务流水!$D$5:$D$1504,"销项开票",业务流水!$C$5:$C$1504,$A206,业务流水!$Z$5:$Z$1504,"是")/$E206)</f>
        <v/>
      </c>
      <c r="G206" s="41" t="str">
        <f aca="false">IF($A206="","",SUMIFS(业务流水!$O$5:$O$1504,业务流水!$E$5:$E$1504,$D206,业务流水!$D$5:$D$1504,"销项开票",业务流水!$C$5:$C$1504,$A206,业务流水!$Z$5:$Z$1504,"是"))</f>
        <v/>
      </c>
      <c r="H206" s="42" t="str">
        <f aca="false">IF($A206="","",$E206-$G206)</f>
        <v/>
      </c>
      <c r="I206" s="32" t="str">
        <f aca="false">IF($A206="","",项目档案!$F206)</f>
        <v/>
      </c>
      <c r="J206" s="41" t="n">
        <f aca="false">IF(OR($A206="",$I206=""),0,SUMIFS(业务流水!$H$5:$H$1504,业务流水!$E$5:$E$1504,$I206,业务流水!$D$5:$D$1504,"销项开票",业务流水!$C$5:$C$1504,$A206,业务流水!$Z$5:$Z$1504,"是"))</f>
        <v>0</v>
      </c>
      <c r="K206" s="49" t="str">
        <f aca="false">IF(OR($A206="",$J206=0),"",SUMIFS(业务流水!$O$5:$O$1504,业务流水!$E$5:$E$1504,$I206,业务流水!$D$5:$D$1504,"销项开票",业务流水!$C$5:$C$1504,$A206,业务流水!$Z$5:$Z$1504,"是")/$J206)</f>
        <v/>
      </c>
      <c r="L206" s="41" t="n">
        <f aca="false">IF(OR($A206="",$I206=""),0,SUMIFS(业务流水!$O$5:$O$1504,业务流水!$E$5:$E$1504,$I206,业务流水!$D$5:$D$1504,"销项开票",业务流水!$C$5:$C$1504,$A206,业务流水!$Z$5:$Z$1504,"是"))</f>
        <v>0</v>
      </c>
      <c r="M206" s="43" t="str">
        <f aca="false">IF($A206="","",IF(AND($I206&lt;&gt;"",$J206&gt;0),$J206-$L206,$H206))</f>
        <v/>
      </c>
      <c r="N206" s="41" t="str">
        <f aca="false">IF($A206="","",SUMIFS(业务流水!$H$5:$H$1504,业务流水!$F$5:$F$1504,"*",业务流水!$D$5:$D$1504,"成本票",业务流水!$C$5:$C$1504,$A206,业务流水!$Z$5:$Z$1504,"是"))</f>
        <v/>
      </c>
      <c r="O206" s="43" t="str">
        <f aca="false">IF($A206="","",ROUND($M206-$N206,2))</f>
        <v/>
      </c>
      <c r="P206" s="33" t="str">
        <f aca="false">IF($A206="","",IF(ABS($O206)&lt;1,"✓ 已开齐",IF($O206&gt;0,"还差成本票","多开了")))</f>
        <v/>
      </c>
    </row>
    <row r="207" customFormat="false" ht="15.75" hidden="false" customHeight="true" outlineLevel="0" collapsed="false">
      <c r="A207" s="32" t="str">
        <f aca="false">IF(项目档案!$A207="","",项目档案!$A207)</f>
        <v/>
      </c>
      <c r="B207" s="40" t="str">
        <f aca="false">IF($A207="","",项目档案!$B207)</f>
        <v/>
      </c>
      <c r="C207" s="32" t="str">
        <f aca="false">IF($A207="","",项目档案!$C207)</f>
        <v/>
      </c>
      <c r="D207" s="32" t="str">
        <f aca="false">IF($A207="","",项目档案!$D207)</f>
        <v/>
      </c>
      <c r="E207" s="41" t="str">
        <f aca="false">IF($A207="","",SUMIFS(业务流水!$H$5:$H$1504,业务流水!$E$5:$E$1504,$D207,业务流水!$D$5:$D$1504,"销项开票",业务流水!$C$5:$C$1504,$A207,业务流水!$Z$5:$Z$1504,"是"))</f>
        <v/>
      </c>
      <c r="F207" s="49" t="str">
        <f aca="false">IF(OR($A207="",$E207=0),"",SUMIFS(业务流水!$O$5:$O$1504,业务流水!$E$5:$E$1504,$D207,业务流水!$D$5:$D$1504,"销项开票",业务流水!$C$5:$C$1504,$A207,业务流水!$Z$5:$Z$1504,"是")/$E207)</f>
        <v/>
      </c>
      <c r="G207" s="41" t="str">
        <f aca="false">IF($A207="","",SUMIFS(业务流水!$O$5:$O$1504,业务流水!$E$5:$E$1504,$D207,业务流水!$D$5:$D$1504,"销项开票",业务流水!$C$5:$C$1504,$A207,业务流水!$Z$5:$Z$1504,"是"))</f>
        <v/>
      </c>
      <c r="H207" s="42" t="str">
        <f aca="false">IF($A207="","",$E207-$G207)</f>
        <v/>
      </c>
      <c r="I207" s="32" t="str">
        <f aca="false">IF($A207="","",项目档案!$F207)</f>
        <v/>
      </c>
      <c r="J207" s="41" t="n">
        <f aca="false">IF(OR($A207="",$I207=""),0,SUMIFS(业务流水!$H$5:$H$1504,业务流水!$E$5:$E$1504,$I207,业务流水!$D$5:$D$1504,"销项开票",业务流水!$C$5:$C$1504,$A207,业务流水!$Z$5:$Z$1504,"是"))</f>
        <v>0</v>
      </c>
      <c r="K207" s="49" t="str">
        <f aca="false">IF(OR($A207="",$J207=0),"",SUMIFS(业务流水!$O$5:$O$1504,业务流水!$E$5:$E$1504,$I207,业务流水!$D$5:$D$1504,"销项开票",业务流水!$C$5:$C$1504,$A207,业务流水!$Z$5:$Z$1504,"是")/$J207)</f>
        <v/>
      </c>
      <c r="L207" s="41" t="n">
        <f aca="false">IF(OR($A207="",$I207=""),0,SUMIFS(业务流水!$O$5:$O$1504,业务流水!$E$5:$E$1504,$I207,业务流水!$D$5:$D$1504,"销项开票",业务流水!$C$5:$C$1504,$A207,业务流水!$Z$5:$Z$1504,"是"))</f>
        <v>0</v>
      </c>
      <c r="M207" s="43" t="str">
        <f aca="false">IF($A207="","",IF(AND($I207&lt;&gt;"",$J207&gt;0),$J207-$L207,$H207))</f>
        <v/>
      </c>
      <c r="N207" s="41" t="str">
        <f aca="false">IF($A207="","",SUMIFS(业务流水!$H$5:$H$1504,业务流水!$F$5:$F$1504,"*",业务流水!$D$5:$D$1504,"成本票",业务流水!$C$5:$C$1504,$A207,业务流水!$Z$5:$Z$1504,"是"))</f>
        <v/>
      </c>
      <c r="O207" s="43" t="str">
        <f aca="false">IF($A207="","",ROUND($M207-$N207,2))</f>
        <v/>
      </c>
      <c r="P207" s="33" t="str">
        <f aca="false">IF($A207="","",IF(ABS($O207)&lt;1,"✓ 已开齐",IF($O207&gt;0,"还差成本票","多开了")))</f>
        <v/>
      </c>
    </row>
    <row r="208" customFormat="false" ht="15.75" hidden="false" customHeight="true" outlineLevel="0" collapsed="false">
      <c r="A208" s="32" t="str">
        <f aca="false">IF(项目档案!$A208="","",项目档案!$A208)</f>
        <v/>
      </c>
      <c r="B208" s="40" t="str">
        <f aca="false">IF($A208="","",项目档案!$B208)</f>
        <v/>
      </c>
      <c r="C208" s="32" t="str">
        <f aca="false">IF($A208="","",项目档案!$C208)</f>
        <v/>
      </c>
      <c r="D208" s="32" t="str">
        <f aca="false">IF($A208="","",项目档案!$D208)</f>
        <v/>
      </c>
      <c r="E208" s="41" t="str">
        <f aca="false">IF($A208="","",SUMIFS(业务流水!$H$5:$H$1504,业务流水!$E$5:$E$1504,$D208,业务流水!$D$5:$D$1504,"销项开票",业务流水!$C$5:$C$1504,$A208,业务流水!$Z$5:$Z$1504,"是"))</f>
        <v/>
      </c>
      <c r="F208" s="49" t="str">
        <f aca="false">IF(OR($A208="",$E208=0),"",SUMIFS(业务流水!$O$5:$O$1504,业务流水!$E$5:$E$1504,$D208,业务流水!$D$5:$D$1504,"销项开票",业务流水!$C$5:$C$1504,$A208,业务流水!$Z$5:$Z$1504,"是")/$E208)</f>
        <v/>
      </c>
      <c r="G208" s="41" t="str">
        <f aca="false">IF($A208="","",SUMIFS(业务流水!$O$5:$O$1504,业务流水!$E$5:$E$1504,$D208,业务流水!$D$5:$D$1504,"销项开票",业务流水!$C$5:$C$1504,$A208,业务流水!$Z$5:$Z$1504,"是"))</f>
        <v/>
      </c>
      <c r="H208" s="42" t="str">
        <f aca="false">IF($A208="","",$E208-$G208)</f>
        <v/>
      </c>
      <c r="I208" s="32" t="str">
        <f aca="false">IF($A208="","",项目档案!$F208)</f>
        <v/>
      </c>
      <c r="J208" s="41" t="n">
        <f aca="false">IF(OR($A208="",$I208=""),0,SUMIFS(业务流水!$H$5:$H$1504,业务流水!$E$5:$E$1504,$I208,业务流水!$D$5:$D$1504,"销项开票",业务流水!$C$5:$C$1504,$A208,业务流水!$Z$5:$Z$1504,"是"))</f>
        <v>0</v>
      </c>
      <c r="K208" s="49" t="str">
        <f aca="false">IF(OR($A208="",$J208=0),"",SUMIFS(业务流水!$O$5:$O$1504,业务流水!$E$5:$E$1504,$I208,业务流水!$D$5:$D$1504,"销项开票",业务流水!$C$5:$C$1504,$A208,业务流水!$Z$5:$Z$1504,"是")/$J208)</f>
        <v/>
      </c>
      <c r="L208" s="41" t="n">
        <f aca="false">IF(OR($A208="",$I208=""),0,SUMIFS(业务流水!$O$5:$O$1504,业务流水!$E$5:$E$1504,$I208,业务流水!$D$5:$D$1504,"销项开票",业务流水!$C$5:$C$1504,$A208,业务流水!$Z$5:$Z$1504,"是"))</f>
        <v>0</v>
      </c>
      <c r="M208" s="43" t="str">
        <f aca="false">IF($A208="","",IF(AND($I208&lt;&gt;"",$J208&gt;0),$J208-$L208,$H208))</f>
        <v/>
      </c>
      <c r="N208" s="41" t="str">
        <f aca="false">IF($A208="","",SUMIFS(业务流水!$H$5:$H$1504,业务流水!$F$5:$F$1504,"*",业务流水!$D$5:$D$1504,"成本票",业务流水!$C$5:$C$1504,$A208,业务流水!$Z$5:$Z$1504,"是"))</f>
        <v/>
      </c>
      <c r="O208" s="43" t="str">
        <f aca="false">IF($A208="","",ROUND($M208-$N208,2))</f>
        <v/>
      </c>
      <c r="P208" s="33" t="str">
        <f aca="false">IF($A208="","",IF(ABS($O208)&lt;1,"✓ 已开齐",IF($O208&gt;0,"还差成本票","多开了")))</f>
        <v/>
      </c>
    </row>
    <row r="209" customFormat="false" ht="15.75" hidden="false" customHeight="true" outlineLevel="0" collapsed="false">
      <c r="A209" s="32" t="str">
        <f aca="false">IF(项目档案!$A209="","",项目档案!$A209)</f>
        <v/>
      </c>
      <c r="B209" s="40" t="str">
        <f aca="false">IF($A209="","",项目档案!$B209)</f>
        <v/>
      </c>
      <c r="C209" s="32" t="str">
        <f aca="false">IF($A209="","",项目档案!$C209)</f>
        <v/>
      </c>
      <c r="D209" s="32" t="str">
        <f aca="false">IF($A209="","",项目档案!$D209)</f>
        <v/>
      </c>
      <c r="E209" s="41" t="str">
        <f aca="false">IF($A209="","",SUMIFS(业务流水!$H$5:$H$1504,业务流水!$E$5:$E$1504,$D209,业务流水!$D$5:$D$1504,"销项开票",业务流水!$C$5:$C$1504,$A209,业务流水!$Z$5:$Z$1504,"是"))</f>
        <v/>
      </c>
      <c r="F209" s="49" t="str">
        <f aca="false">IF(OR($A209="",$E209=0),"",SUMIFS(业务流水!$O$5:$O$1504,业务流水!$E$5:$E$1504,$D209,业务流水!$D$5:$D$1504,"销项开票",业务流水!$C$5:$C$1504,$A209,业务流水!$Z$5:$Z$1504,"是")/$E209)</f>
        <v/>
      </c>
      <c r="G209" s="41" t="str">
        <f aca="false">IF($A209="","",SUMIFS(业务流水!$O$5:$O$1504,业务流水!$E$5:$E$1504,$D209,业务流水!$D$5:$D$1504,"销项开票",业务流水!$C$5:$C$1504,$A209,业务流水!$Z$5:$Z$1504,"是"))</f>
        <v/>
      </c>
      <c r="H209" s="42" t="str">
        <f aca="false">IF($A209="","",$E209-$G209)</f>
        <v/>
      </c>
      <c r="I209" s="32" t="str">
        <f aca="false">IF($A209="","",项目档案!$F209)</f>
        <v/>
      </c>
      <c r="J209" s="41" t="n">
        <f aca="false">IF(OR($A209="",$I209=""),0,SUMIFS(业务流水!$H$5:$H$1504,业务流水!$E$5:$E$1504,$I209,业务流水!$D$5:$D$1504,"销项开票",业务流水!$C$5:$C$1504,$A209,业务流水!$Z$5:$Z$1504,"是"))</f>
        <v>0</v>
      </c>
      <c r="K209" s="49" t="str">
        <f aca="false">IF(OR($A209="",$J209=0),"",SUMIFS(业务流水!$O$5:$O$1504,业务流水!$E$5:$E$1504,$I209,业务流水!$D$5:$D$1504,"销项开票",业务流水!$C$5:$C$1504,$A209,业务流水!$Z$5:$Z$1504,"是")/$J209)</f>
        <v/>
      </c>
      <c r="L209" s="41" t="n">
        <f aca="false">IF(OR($A209="",$I209=""),0,SUMIFS(业务流水!$O$5:$O$1504,业务流水!$E$5:$E$1504,$I209,业务流水!$D$5:$D$1504,"销项开票",业务流水!$C$5:$C$1504,$A209,业务流水!$Z$5:$Z$1504,"是"))</f>
        <v>0</v>
      </c>
      <c r="M209" s="43" t="str">
        <f aca="false">IF($A209="","",IF(AND($I209&lt;&gt;"",$J209&gt;0),$J209-$L209,$H209))</f>
        <v/>
      </c>
      <c r="N209" s="41" t="str">
        <f aca="false">IF($A209="","",SUMIFS(业务流水!$H$5:$H$1504,业务流水!$F$5:$F$1504,"*",业务流水!$D$5:$D$1504,"成本票",业务流水!$C$5:$C$1504,$A209,业务流水!$Z$5:$Z$1504,"是"))</f>
        <v/>
      </c>
      <c r="O209" s="43" t="str">
        <f aca="false">IF($A209="","",ROUND($M209-$N209,2))</f>
        <v/>
      </c>
      <c r="P209" s="33" t="str">
        <f aca="false">IF($A209="","",IF(ABS($O209)&lt;1,"✓ 已开齐",IF($O209&gt;0,"还差成本票","多开了")))</f>
        <v/>
      </c>
    </row>
    <row r="210" customFormat="false" ht="15.75" hidden="false" customHeight="true" outlineLevel="0" collapsed="false">
      <c r="A210" s="32" t="str">
        <f aca="false">IF(项目档案!$A210="","",项目档案!$A210)</f>
        <v/>
      </c>
      <c r="B210" s="40" t="str">
        <f aca="false">IF($A210="","",项目档案!$B210)</f>
        <v/>
      </c>
      <c r="C210" s="32" t="str">
        <f aca="false">IF($A210="","",项目档案!$C210)</f>
        <v/>
      </c>
      <c r="D210" s="32" t="str">
        <f aca="false">IF($A210="","",项目档案!$D210)</f>
        <v/>
      </c>
      <c r="E210" s="41" t="str">
        <f aca="false">IF($A210="","",SUMIFS(业务流水!$H$5:$H$1504,业务流水!$E$5:$E$1504,$D210,业务流水!$D$5:$D$1504,"销项开票",业务流水!$C$5:$C$1504,$A210,业务流水!$Z$5:$Z$1504,"是"))</f>
        <v/>
      </c>
      <c r="F210" s="49" t="str">
        <f aca="false">IF(OR($A210="",$E210=0),"",SUMIFS(业务流水!$O$5:$O$1504,业务流水!$E$5:$E$1504,$D210,业务流水!$D$5:$D$1504,"销项开票",业务流水!$C$5:$C$1504,$A210,业务流水!$Z$5:$Z$1504,"是")/$E210)</f>
        <v/>
      </c>
      <c r="G210" s="41" t="str">
        <f aca="false">IF($A210="","",SUMIFS(业务流水!$O$5:$O$1504,业务流水!$E$5:$E$1504,$D210,业务流水!$D$5:$D$1504,"销项开票",业务流水!$C$5:$C$1504,$A210,业务流水!$Z$5:$Z$1504,"是"))</f>
        <v/>
      </c>
      <c r="H210" s="42" t="str">
        <f aca="false">IF($A210="","",$E210-$G210)</f>
        <v/>
      </c>
      <c r="I210" s="32" t="str">
        <f aca="false">IF($A210="","",项目档案!$F210)</f>
        <v/>
      </c>
      <c r="J210" s="41" t="n">
        <f aca="false">IF(OR($A210="",$I210=""),0,SUMIFS(业务流水!$H$5:$H$1504,业务流水!$E$5:$E$1504,$I210,业务流水!$D$5:$D$1504,"销项开票",业务流水!$C$5:$C$1504,$A210,业务流水!$Z$5:$Z$1504,"是"))</f>
        <v>0</v>
      </c>
      <c r="K210" s="49" t="str">
        <f aca="false">IF(OR($A210="",$J210=0),"",SUMIFS(业务流水!$O$5:$O$1504,业务流水!$E$5:$E$1504,$I210,业务流水!$D$5:$D$1504,"销项开票",业务流水!$C$5:$C$1504,$A210,业务流水!$Z$5:$Z$1504,"是")/$J210)</f>
        <v/>
      </c>
      <c r="L210" s="41" t="n">
        <f aca="false">IF(OR($A210="",$I210=""),0,SUMIFS(业务流水!$O$5:$O$1504,业务流水!$E$5:$E$1504,$I210,业务流水!$D$5:$D$1504,"销项开票",业务流水!$C$5:$C$1504,$A210,业务流水!$Z$5:$Z$1504,"是"))</f>
        <v>0</v>
      </c>
      <c r="M210" s="43" t="str">
        <f aca="false">IF($A210="","",IF(AND($I210&lt;&gt;"",$J210&gt;0),$J210-$L210,$H210))</f>
        <v/>
      </c>
      <c r="N210" s="41" t="str">
        <f aca="false">IF($A210="","",SUMIFS(业务流水!$H$5:$H$1504,业务流水!$F$5:$F$1504,"*",业务流水!$D$5:$D$1504,"成本票",业务流水!$C$5:$C$1504,$A210,业务流水!$Z$5:$Z$1504,"是"))</f>
        <v/>
      </c>
      <c r="O210" s="43" t="str">
        <f aca="false">IF($A210="","",ROUND($M210-$N210,2))</f>
        <v/>
      </c>
      <c r="P210" s="33" t="str">
        <f aca="false">IF($A210="","",IF(ABS($O210)&lt;1,"✓ 已开齐",IF($O210&gt;0,"还差成本票","多开了")))</f>
        <v/>
      </c>
    </row>
    <row r="211" customFormat="false" ht="15.75" hidden="false" customHeight="true" outlineLevel="0" collapsed="false">
      <c r="A211" s="32" t="str">
        <f aca="false">IF(项目档案!$A211="","",项目档案!$A211)</f>
        <v/>
      </c>
      <c r="B211" s="40" t="str">
        <f aca="false">IF($A211="","",项目档案!$B211)</f>
        <v/>
      </c>
      <c r="C211" s="32" t="str">
        <f aca="false">IF($A211="","",项目档案!$C211)</f>
        <v/>
      </c>
      <c r="D211" s="32" t="str">
        <f aca="false">IF($A211="","",项目档案!$D211)</f>
        <v/>
      </c>
      <c r="E211" s="41" t="str">
        <f aca="false">IF($A211="","",SUMIFS(业务流水!$H$5:$H$1504,业务流水!$E$5:$E$1504,$D211,业务流水!$D$5:$D$1504,"销项开票",业务流水!$C$5:$C$1504,$A211,业务流水!$Z$5:$Z$1504,"是"))</f>
        <v/>
      </c>
      <c r="F211" s="49" t="str">
        <f aca="false">IF(OR($A211="",$E211=0),"",SUMIFS(业务流水!$O$5:$O$1504,业务流水!$E$5:$E$1504,$D211,业务流水!$D$5:$D$1504,"销项开票",业务流水!$C$5:$C$1504,$A211,业务流水!$Z$5:$Z$1504,"是")/$E211)</f>
        <v/>
      </c>
      <c r="G211" s="41" t="str">
        <f aca="false">IF($A211="","",SUMIFS(业务流水!$O$5:$O$1504,业务流水!$E$5:$E$1504,$D211,业务流水!$D$5:$D$1504,"销项开票",业务流水!$C$5:$C$1504,$A211,业务流水!$Z$5:$Z$1504,"是"))</f>
        <v/>
      </c>
      <c r="H211" s="42" t="str">
        <f aca="false">IF($A211="","",$E211-$G211)</f>
        <v/>
      </c>
      <c r="I211" s="32" t="str">
        <f aca="false">IF($A211="","",项目档案!$F211)</f>
        <v/>
      </c>
      <c r="J211" s="41" t="n">
        <f aca="false">IF(OR($A211="",$I211=""),0,SUMIFS(业务流水!$H$5:$H$1504,业务流水!$E$5:$E$1504,$I211,业务流水!$D$5:$D$1504,"销项开票",业务流水!$C$5:$C$1504,$A211,业务流水!$Z$5:$Z$1504,"是"))</f>
        <v>0</v>
      </c>
      <c r="K211" s="49" t="str">
        <f aca="false">IF(OR($A211="",$J211=0),"",SUMIFS(业务流水!$O$5:$O$1504,业务流水!$E$5:$E$1504,$I211,业务流水!$D$5:$D$1504,"销项开票",业务流水!$C$5:$C$1504,$A211,业务流水!$Z$5:$Z$1504,"是")/$J211)</f>
        <v/>
      </c>
      <c r="L211" s="41" t="n">
        <f aca="false">IF(OR($A211="",$I211=""),0,SUMIFS(业务流水!$O$5:$O$1504,业务流水!$E$5:$E$1504,$I211,业务流水!$D$5:$D$1504,"销项开票",业务流水!$C$5:$C$1504,$A211,业务流水!$Z$5:$Z$1504,"是"))</f>
        <v>0</v>
      </c>
      <c r="M211" s="43" t="str">
        <f aca="false">IF($A211="","",IF(AND($I211&lt;&gt;"",$J211&gt;0),$J211-$L211,$H211))</f>
        <v/>
      </c>
      <c r="N211" s="41" t="str">
        <f aca="false">IF($A211="","",SUMIFS(业务流水!$H$5:$H$1504,业务流水!$F$5:$F$1504,"*",业务流水!$D$5:$D$1504,"成本票",业务流水!$C$5:$C$1504,$A211,业务流水!$Z$5:$Z$1504,"是"))</f>
        <v/>
      </c>
      <c r="O211" s="43" t="str">
        <f aca="false">IF($A211="","",ROUND($M211-$N211,2))</f>
        <v/>
      </c>
      <c r="P211" s="33" t="str">
        <f aca="false">IF($A211="","",IF(ABS($O211)&lt;1,"✓ 已开齐",IF($O211&gt;0,"还差成本票","多开了")))</f>
        <v/>
      </c>
    </row>
    <row r="212" customFormat="false" ht="15.75" hidden="false" customHeight="true" outlineLevel="0" collapsed="false">
      <c r="A212" s="32" t="str">
        <f aca="false">IF(项目档案!$A212="","",项目档案!$A212)</f>
        <v/>
      </c>
      <c r="B212" s="40" t="str">
        <f aca="false">IF($A212="","",项目档案!$B212)</f>
        <v/>
      </c>
      <c r="C212" s="32" t="str">
        <f aca="false">IF($A212="","",项目档案!$C212)</f>
        <v/>
      </c>
      <c r="D212" s="32" t="str">
        <f aca="false">IF($A212="","",项目档案!$D212)</f>
        <v/>
      </c>
      <c r="E212" s="41" t="str">
        <f aca="false">IF($A212="","",SUMIFS(业务流水!$H$5:$H$1504,业务流水!$E$5:$E$1504,$D212,业务流水!$D$5:$D$1504,"销项开票",业务流水!$C$5:$C$1504,$A212,业务流水!$Z$5:$Z$1504,"是"))</f>
        <v/>
      </c>
      <c r="F212" s="49" t="str">
        <f aca="false">IF(OR($A212="",$E212=0),"",SUMIFS(业务流水!$O$5:$O$1504,业务流水!$E$5:$E$1504,$D212,业务流水!$D$5:$D$1504,"销项开票",业务流水!$C$5:$C$1504,$A212,业务流水!$Z$5:$Z$1504,"是")/$E212)</f>
        <v/>
      </c>
      <c r="G212" s="41" t="str">
        <f aca="false">IF($A212="","",SUMIFS(业务流水!$O$5:$O$1504,业务流水!$E$5:$E$1504,$D212,业务流水!$D$5:$D$1504,"销项开票",业务流水!$C$5:$C$1504,$A212,业务流水!$Z$5:$Z$1504,"是"))</f>
        <v/>
      </c>
      <c r="H212" s="42" t="str">
        <f aca="false">IF($A212="","",$E212-$G212)</f>
        <v/>
      </c>
      <c r="I212" s="32" t="str">
        <f aca="false">IF($A212="","",项目档案!$F212)</f>
        <v/>
      </c>
      <c r="J212" s="41" t="n">
        <f aca="false">IF(OR($A212="",$I212=""),0,SUMIFS(业务流水!$H$5:$H$1504,业务流水!$E$5:$E$1504,$I212,业务流水!$D$5:$D$1504,"销项开票",业务流水!$C$5:$C$1504,$A212,业务流水!$Z$5:$Z$1504,"是"))</f>
        <v>0</v>
      </c>
      <c r="K212" s="49" t="str">
        <f aca="false">IF(OR($A212="",$J212=0),"",SUMIFS(业务流水!$O$5:$O$1504,业务流水!$E$5:$E$1504,$I212,业务流水!$D$5:$D$1504,"销项开票",业务流水!$C$5:$C$1504,$A212,业务流水!$Z$5:$Z$1504,"是")/$J212)</f>
        <v/>
      </c>
      <c r="L212" s="41" t="n">
        <f aca="false">IF(OR($A212="",$I212=""),0,SUMIFS(业务流水!$O$5:$O$1504,业务流水!$E$5:$E$1504,$I212,业务流水!$D$5:$D$1504,"销项开票",业务流水!$C$5:$C$1504,$A212,业务流水!$Z$5:$Z$1504,"是"))</f>
        <v>0</v>
      </c>
      <c r="M212" s="43" t="str">
        <f aca="false">IF($A212="","",IF(AND($I212&lt;&gt;"",$J212&gt;0),$J212-$L212,$H212))</f>
        <v/>
      </c>
      <c r="N212" s="41" t="str">
        <f aca="false">IF($A212="","",SUMIFS(业务流水!$H$5:$H$1504,业务流水!$F$5:$F$1504,"*",业务流水!$D$5:$D$1504,"成本票",业务流水!$C$5:$C$1504,$A212,业务流水!$Z$5:$Z$1504,"是"))</f>
        <v/>
      </c>
      <c r="O212" s="43" t="str">
        <f aca="false">IF($A212="","",ROUND($M212-$N212,2))</f>
        <v/>
      </c>
      <c r="P212" s="33" t="str">
        <f aca="false">IF($A212="","",IF(ABS($O212)&lt;1,"✓ 已开齐",IF($O212&gt;0,"还差成本票","多开了")))</f>
        <v/>
      </c>
    </row>
    <row r="213" customFormat="false" ht="15.75" hidden="false" customHeight="true" outlineLevel="0" collapsed="false">
      <c r="A213" s="32" t="str">
        <f aca="false">IF(项目档案!$A213="","",项目档案!$A213)</f>
        <v/>
      </c>
      <c r="B213" s="40" t="str">
        <f aca="false">IF($A213="","",项目档案!$B213)</f>
        <v/>
      </c>
      <c r="C213" s="32" t="str">
        <f aca="false">IF($A213="","",项目档案!$C213)</f>
        <v/>
      </c>
      <c r="D213" s="32" t="str">
        <f aca="false">IF($A213="","",项目档案!$D213)</f>
        <v/>
      </c>
      <c r="E213" s="41" t="str">
        <f aca="false">IF($A213="","",SUMIFS(业务流水!$H$5:$H$1504,业务流水!$E$5:$E$1504,$D213,业务流水!$D$5:$D$1504,"销项开票",业务流水!$C$5:$C$1504,$A213,业务流水!$Z$5:$Z$1504,"是"))</f>
        <v/>
      </c>
      <c r="F213" s="49" t="str">
        <f aca="false">IF(OR($A213="",$E213=0),"",SUMIFS(业务流水!$O$5:$O$1504,业务流水!$E$5:$E$1504,$D213,业务流水!$D$5:$D$1504,"销项开票",业务流水!$C$5:$C$1504,$A213,业务流水!$Z$5:$Z$1504,"是")/$E213)</f>
        <v/>
      </c>
      <c r="G213" s="41" t="str">
        <f aca="false">IF($A213="","",SUMIFS(业务流水!$O$5:$O$1504,业务流水!$E$5:$E$1504,$D213,业务流水!$D$5:$D$1504,"销项开票",业务流水!$C$5:$C$1504,$A213,业务流水!$Z$5:$Z$1504,"是"))</f>
        <v/>
      </c>
      <c r="H213" s="42" t="str">
        <f aca="false">IF($A213="","",$E213-$G213)</f>
        <v/>
      </c>
      <c r="I213" s="32" t="str">
        <f aca="false">IF($A213="","",项目档案!$F213)</f>
        <v/>
      </c>
      <c r="J213" s="41" t="n">
        <f aca="false">IF(OR($A213="",$I213=""),0,SUMIFS(业务流水!$H$5:$H$1504,业务流水!$E$5:$E$1504,$I213,业务流水!$D$5:$D$1504,"销项开票",业务流水!$C$5:$C$1504,$A213,业务流水!$Z$5:$Z$1504,"是"))</f>
        <v>0</v>
      </c>
      <c r="K213" s="49" t="str">
        <f aca="false">IF(OR($A213="",$J213=0),"",SUMIFS(业务流水!$O$5:$O$1504,业务流水!$E$5:$E$1504,$I213,业务流水!$D$5:$D$1504,"销项开票",业务流水!$C$5:$C$1504,$A213,业务流水!$Z$5:$Z$1504,"是")/$J213)</f>
        <v/>
      </c>
      <c r="L213" s="41" t="n">
        <f aca="false">IF(OR($A213="",$I213=""),0,SUMIFS(业务流水!$O$5:$O$1504,业务流水!$E$5:$E$1504,$I213,业务流水!$D$5:$D$1504,"销项开票",业务流水!$C$5:$C$1504,$A213,业务流水!$Z$5:$Z$1504,"是"))</f>
        <v>0</v>
      </c>
      <c r="M213" s="43" t="str">
        <f aca="false">IF($A213="","",IF(AND($I213&lt;&gt;"",$J213&gt;0),$J213-$L213,$H213))</f>
        <v/>
      </c>
      <c r="N213" s="41" t="str">
        <f aca="false">IF($A213="","",SUMIFS(业务流水!$H$5:$H$1504,业务流水!$F$5:$F$1504,"*",业务流水!$D$5:$D$1504,"成本票",业务流水!$C$5:$C$1504,$A213,业务流水!$Z$5:$Z$1504,"是"))</f>
        <v/>
      </c>
      <c r="O213" s="43" t="str">
        <f aca="false">IF($A213="","",ROUND($M213-$N213,2))</f>
        <v/>
      </c>
      <c r="P213" s="33" t="str">
        <f aca="false">IF($A213="","",IF(ABS($O213)&lt;1,"✓ 已开齐",IF($O213&gt;0,"还差成本票","多开了")))</f>
        <v/>
      </c>
    </row>
    <row r="214" customFormat="false" ht="15.75" hidden="false" customHeight="true" outlineLevel="0" collapsed="false">
      <c r="A214" s="32" t="str">
        <f aca="false">IF(项目档案!$A214="","",项目档案!$A214)</f>
        <v/>
      </c>
      <c r="B214" s="40" t="str">
        <f aca="false">IF($A214="","",项目档案!$B214)</f>
        <v/>
      </c>
      <c r="C214" s="32" t="str">
        <f aca="false">IF($A214="","",项目档案!$C214)</f>
        <v/>
      </c>
      <c r="D214" s="32" t="str">
        <f aca="false">IF($A214="","",项目档案!$D214)</f>
        <v/>
      </c>
      <c r="E214" s="41" t="str">
        <f aca="false">IF($A214="","",SUMIFS(业务流水!$H$5:$H$1504,业务流水!$E$5:$E$1504,$D214,业务流水!$D$5:$D$1504,"销项开票",业务流水!$C$5:$C$1504,$A214,业务流水!$Z$5:$Z$1504,"是"))</f>
        <v/>
      </c>
      <c r="F214" s="49" t="str">
        <f aca="false">IF(OR($A214="",$E214=0),"",SUMIFS(业务流水!$O$5:$O$1504,业务流水!$E$5:$E$1504,$D214,业务流水!$D$5:$D$1504,"销项开票",业务流水!$C$5:$C$1504,$A214,业务流水!$Z$5:$Z$1504,"是")/$E214)</f>
        <v/>
      </c>
      <c r="G214" s="41" t="str">
        <f aca="false">IF($A214="","",SUMIFS(业务流水!$O$5:$O$1504,业务流水!$E$5:$E$1504,$D214,业务流水!$D$5:$D$1504,"销项开票",业务流水!$C$5:$C$1504,$A214,业务流水!$Z$5:$Z$1504,"是"))</f>
        <v/>
      </c>
      <c r="H214" s="42" t="str">
        <f aca="false">IF($A214="","",$E214-$G214)</f>
        <v/>
      </c>
      <c r="I214" s="32" t="str">
        <f aca="false">IF($A214="","",项目档案!$F214)</f>
        <v/>
      </c>
      <c r="J214" s="41" t="n">
        <f aca="false">IF(OR($A214="",$I214=""),0,SUMIFS(业务流水!$H$5:$H$1504,业务流水!$E$5:$E$1504,$I214,业务流水!$D$5:$D$1504,"销项开票",业务流水!$C$5:$C$1504,$A214,业务流水!$Z$5:$Z$1504,"是"))</f>
        <v>0</v>
      </c>
      <c r="K214" s="49" t="str">
        <f aca="false">IF(OR($A214="",$J214=0),"",SUMIFS(业务流水!$O$5:$O$1504,业务流水!$E$5:$E$1504,$I214,业务流水!$D$5:$D$1504,"销项开票",业务流水!$C$5:$C$1504,$A214,业务流水!$Z$5:$Z$1504,"是")/$J214)</f>
        <v/>
      </c>
      <c r="L214" s="41" t="n">
        <f aca="false">IF(OR($A214="",$I214=""),0,SUMIFS(业务流水!$O$5:$O$1504,业务流水!$E$5:$E$1504,$I214,业务流水!$D$5:$D$1504,"销项开票",业务流水!$C$5:$C$1504,$A214,业务流水!$Z$5:$Z$1504,"是"))</f>
        <v>0</v>
      </c>
      <c r="M214" s="43" t="str">
        <f aca="false">IF($A214="","",IF(AND($I214&lt;&gt;"",$J214&gt;0),$J214-$L214,$H214))</f>
        <v/>
      </c>
      <c r="N214" s="41" t="str">
        <f aca="false">IF($A214="","",SUMIFS(业务流水!$H$5:$H$1504,业务流水!$F$5:$F$1504,"*",业务流水!$D$5:$D$1504,"成本票",业务流水!$C$5:$C$1504,$A214,业务流水!$Z$5:$Z$1504,"是"))</f>
        <v/>
      </c>
      <c r="O214" s="43" t="str">
        <f aca="false">IF($A214="","",ROUND($M214-$N214,2))</f>
        <v/>
      </c>
      <c r="P214" s="33" t="str">
        <f aca="false">IF($A214="","",IF(ABS($O214)&lt;1,"✓ 已开齐",IF($O214&gt;0,"还差成本票","多开了")))</f>
        <v/>
      </c>
    </row>
    <row r="215" customFormat="false" ht="15.75" hidden="false" customHeight="true" outlineLevel="0" collapsed="false">
      <c r="A215" s="32" t="str">
        <f aca="false">IF(项目档案!$A215="","",项目档案!$A215)</f>
        <v/>
      </c>
      <c r="B215" s="40" t="str">
        <f aca="false">IF($A215="","",项目档案!$B215)</f>
        <v/>
      </c>
      <c r="C215" s="32" t="str">
        <f aca="false">IF($A215="","",项目档案!$C215)</f>
        <v/>
      </c>
      <c r="D215" s="32" t="str">
        <f aca="false">IF($A215="","",项目档案!$D215)</f>
        <v/>
      </c>
      <c r="E215" s="41" t="str">
        <f aca="false">IF($A215="","",SUMIFS(业务流水!$H$5:$H$1504,业务流水!$E$5:$E$1504,$D215,业务流水!$D$5:$D$1504,"销项开票",业务流水!$C$5:$C$1504,$A215,业务流水!$Z$5:$Z$1504,"是"))</f>
        <v/>
      </c>
      <c r="F215" s="49" t="str">
        <f aca="false">IF(OR($A215="",$E215=0),"",SUMIFS(业务流水!$O$5:$O$1504,业务流水!$E$5:$E$1504,$D215,业务流水!$D$5:$D$1504,"销项开票",业务流水!$C$5:$C$1504,$A215,业务流水!$Z$5:$Z$1504,"是")/$E215)</f>
        <v/>
      </c>
      <c r="G215" s="41" t="str">
        <f aca="false">IF($A215="","",SUMIFS(业务流水!$O$5:$O$1504,业务流水!$E$5:$E$1504,$D215,业务流水!$D$5:$D$1504,"销项开票",业务流水!$C$5:$C$1504,$A215,业务流水!$Z$5:$Z$1504,"是"))</f>
        <v/>
      </c>
      <c r="H215" s="42" t="str">
        <f aca="false">IF($A215="","",$E215-$G215)</f>
        <v/>
      </c>
      <c r="I215" s="32" t="str">
        <f aca="false">IF($A215="","",项目档案!$F215)</f>
        <v/>
      </c>
      <c r="J215" s="41" t="n">
        <f aca="false">IF(OR($A215="",$I215=""),0,SUMIFS(业务流水!$H$5:$H$1504,业务流水!$E$5:$E$1504,$I215,业务流水!$D$5:$D$1504,"销项开票",业务流水!$C$5:$C$1504,$A215,业务流水!$Z$5:$Z$1504,"是"))</f>
        <v>0</v>
      </c>
      <c r="K215" s="49" t="str">
        <f aca="false">IF(OR($A215="",$J215=0),"",SUMIFS(业务流水!$O$5:$O$1504,业务流水!$E$5:$E$1504,$I215,业务流水!$D$5:$D$1504,"销项开票",业务流水!$C$5:$C$1504,$A215,业务流水!$Z$5:$Z$1504,"是")/$J215)</f>
        <v/>
      </c>
      <c r="L215" s="41" t="n">
        <f aca="false">IF(OR($A215="",$I215=""),0,SUMIFS(业务流水!$O$5:$O$1504,业务流水!$E$5:$E$1504,$I215,业务流水!$D$5:$D$1504,"销项开票",业务流水!$C$5:$C$1504,$A215,业务流水!$Z$5:$Z$1504,"是"))</f>
        <v>0</v>
      </c>
      <c r="M215" s="43" t="str">
        <f aca="false">IF($A215="","",IF(AND($I215&lt;&gt;"",$J215&gt;0),$J215-$L215,$H215))</f>
        <v/>
      </c>
      <c r="N215" s="41" t="str">
        <f aca="false">IF($A215="","",SUMIFS(业务流水!$H$5:$H$1504,业务流水!$F$5:$F$1504,"*",业务流水!$D$5:$D$1504,"成本票",业务流水!$C$5:$C$1504,$A215,业务流水!$Z$5:$Z$1504,"是"))</f>
        <v/>
      </c>
      <c r="O215" s="43" t="str">
        <f aca="false">IF($A215="","",ROUND($M215-$N215,2))</f>
        <v/>
      </c>
      <c r="P215" s="33" t="str">
        <f aca="false">IF($A215="","",IF(ABS($O215)&lt;1,"✓ 已开齐",IF($O215&gt;0,"还差成本票","多开了")))</f>
        <v/>
      </c>
    </row>
    <row r="216" customFormat="false" ht="15.75" hidden="false" customHeight="true" outlineLevel="0" collapsed="false">
      <c r="A216" s="32" t="str">
        <f aca="false">IF(项目档案!$A216="","",项目档案!$A216)</f>
        <v/>
      </c>
      <c r="B216" s="40" t="str">
        <f aca="false">IF($A216="","",项目档案!$B216)</f>
        <v/>
      </c>
      <c r="C216" s="32" t="str">
        <f aca="false">IF($A216="","",项目档案!$C216)</f>
        <v/>
      </c>
      <c r="D216" s="32" t="str">
        <f aca="false">IF($A216="","",项目档案!$D216)</f>
        <v/>
      </c>
      <c r="E216" s="41" t="str">
        <f aca="false">IF($A216="","",SUMIFS(业务流水!$H$5:$H$1504,业务流水!$E$5:$E$1504,$D216,业务流水!$D$5:$D$1504,"销项开票",业务流水!$C$5:$C$1504,$A216,业务流水!$Z$5:$Z$1504,"是"))</f>
        <v/>
      </c>
      <c r="F216" s="49" t="str">
        <f aca="false">IF(OR($A216="",$E216=0),"",SUMIFS(业务流水!$O$5:$O$1504,业务流水!$E$5:$E$1504,$D216,业务流水!$D$5:$D$1504,"销项开票",业务流水!$C$5:$C$1504,$A216,业务流水!$Z$5:$Z$1504,"是")/$E216)</f>
        <v/>
      </c>
      <c r="G216" s="41" t="str">
        <f aca="false">IF($A216="","",SUMIFS(业务流水!$O$5:$O$1504,业务流水!$E$5:$E$1504,$D216,业务流水!$D$5:$D$1504,"销项开票",业务流水!$C$5:$C$1504,$A216,业务流水!$Z$5:$Z$1504,"是"))</f>
        <v/>
      </c>
      <c r="H216" s="42" t="str">
        <f aca="false">IF($A216="","",$E216-$G216)</f>
        <v/>
      </c>
      <c r="I216" s="32" t="str">
        <f aca="false">IF($A216="","",项目档案!$F216)</f>
        <v/>
      </c>
      <c r="J216" s="41" t="n">
        <f aca="false">IF(OR($A216="",$I216=""),0,SUMIFS(业务流水!$H$5:$H$1504,业务流水!$E$5:$E$1504,$I216,业务流水!$D$5:$D$1504,"销项开票",业务流水!$C$5:$C$1504,$A216,业务流水!$Z$5:$Z$1504,"是"))</f>
        <v>0</v>
      </c>
      <c r="K216" s="49" t="str">
        <f aca="false">IF(OR($A216="",$J216=0),"",SUMIFS(业务流水!$O$5:$O$1504,业务流水!$E$5:$E$1504,$I216,业务流水!$D$5:$D$1504,"销项开票",业务流水!$C$5:$C$1504,$A216,业务流水!$Z$5:$Z$1504,"是")/$J216)</f>
        <v/>
      </c>
      <c r="L216" s="41" t="n">
        <f aca="false">IF(OR($A216="",$I216=""),0,SUMIFS(业务流水!$O$5:$O$1504,业务流水!$E$5:$E$1504,$I216,业务流水!$D$5:$D$1504,"销项开票",业务流水!$C$5:$C$1504,$A216,业务流水!$Z$5:$Z$1504,"是"))</f>
        <v>0</v>
      </c>
      <c r="M216" s="43" t="str">
        <f aca="false">IF($A216="","",IF(AND($I216&lt;&gt;"",$J216&gt;0),$J216-$L216,$H216))</f>
        <v/>
      </c>
      <c r="N216" s="41" t="str">
        <f aca="false">IF($A216="","",SUMIFS(业务流水!$H$5:$H$1504,业务流水!$F$5:$F$1504,"*",业务流水!$D$5:$D$1504,"成本票",业务流水!$C$5:$C$1504,$A216,业务流水!$Z$5:$Z$1504,"是"))</f>
        <v/>
      </c>
      <c r="O216" s="43" t="str">
        <f aca="false">IF($A216="","",ROUND($M216-$N216,2))</f>
        <v/>
      </c>
      <c r="P216" s="33" t="str">
        <f aca="false">IF($A216="","",IF(ABS($O216)&lt;1,"✓ 已开齐",IF($O216&gt;0,"还差成本票","多开了")))</f>
        <v/>
      </c>
    </row>
    <row r="217" customFormat="false" ht="15.75" hidden="false" customHeight="true" outlineLevel="0" collapsed="false">
      <c r="A217" s="32" t="str">
        <f aca="false">IF(项目档案!$A217="","",项目档案!$A217)</f>
        <v/>
      </c>
      <c r="B217" s="40" t="str">
        <f aca="false">IF($A217="","",项目档案!$B217)</f>
        <v/>
      </c>
      <c r="C217" s="32" t="str">
        <f aca="false">IF($A217="","",项目档案!$C217)</f>
        <v/>
      </c>
      <c r="D217" s="32" t="str">
        <f aca="false">IF($A217="","",项目档案!$D217)</f>
        <v/>
      </c>
      <c r="E217" s="41" t="str">
        <f aca="false">IF($A217="","",SUMIFS(业务流水!$H$5:$H$1504,业务流水!$E$5:$E$1504,$D217,业务流水!$D$5:$D$1504,"销项开票",业务流水!$C$5:$C$1504,$A217,业务流水!$Z$5:$Z$1504,"是"))</f>
        <v/>
      </c>
      <c r="F217" s="49" t="str">
        <f aca="false">IF(OR($A217="",$E217=0),"",SUMIFS(业务流水!$O$5:$O$1504,业务流水!$E$5:$E$1504,$D217,业务流水!$D$5:$D$1504,"销项开票",业务流水!$C$5:$C$1504,$A217,业务流水!$Z$5:$Z$1504,"是")/$E217)</f>
        <v/>
      </c>
      <c r="G217" s="41" t="str">
        <f aca="false">IF($A217="","",SUMIFS(业务流水!$O$5:$O$1504,业务流水!$E$5:$E$1504,$D217,业务流水!$D$5:$D$1504,"销项开票",业务流水!$C$5:$C$1504,$A217,业务流水!$Z$5:$Z$1504,"是"))</f>
        <v/>
      </c>
      <c r="H217" s="42" t="str">
        <f aca="false">IF($A217="","",$E217-$G217)</f>
        <v/>
      </c>
      <c r="I217" s="32" t="str">
        <f aca="false">IF($A217="","",项目档案!$F217)</f>
        <v/>
      </c>
      <c r="J217" s="41" t="n">
        <f aca="false">IF(OR($A217="",$I217=""),0,SUMIFS(业务流水!$H$5:$H$1504,业务流水!$E$5:$E$1504,$I217,业务流水!$D$5:$D$1504,"销项开票",业务流水!$C$5:$C$1504,$A217,业务流水!$Z$5:$Z$1504,"是"))</f>
        <v>0</v>
      </c>
      <c r="K217" s="49" t="str">
        <f aca="false">IF(OR($A217="",$J217=0),"",SUMIFS(业务流水!$O$5:$O$1504,业务流水!$E$5:$E$1504,$I217,业务流水!$D$5:$D$1504,"销项开票",业务流水!$C$5:$C$1504,$A217,业务流水!$Z$5:$Z$1504,"是")/$J217)</f>
        <v/>
      </c>
      <c r="L217" s="41" t="n">
        <f aca="false">IF(OR($A217="",$I217=""),0,SUMIFS(业务流水!$O$5:$O$1504,业务流水!$E$5:$E$1504,$I217,业务流水!$D$5:$D$1504,"销项开票",业务流水!$C$5:$C$1504,$A217,业务流水!$Z$5:$Z$1504,"是"))</f>
        <v>0</v>
      </c>
      <c r="M217" s="43" t="str">
        <f aca="false">IF($A217="","",IF(AND($I217&lt;&gt;"",$J217&gt;0),$J217-$L217,$H217))</f>
        <v/>
      </c>
      <c r="N217" s="41" t="str">
        <f aca="false">IF($A217="","",SUMIFS(业务流水!$H$5:$H$1504,业务流水!$F$5:$F$1504,"*",业务流水!$D$5:$D$1504,"成本票",业务流水!$C$5:$C$1504,$A217,业务流水!$Z$5:$Z$1504,"是"))</f>
        <v/>
      </c>
      <c r="O217" s="43" t="str">
        <f aca="false">IF($A217="","",ROUND($M217-$N217,2))</f>
        <v/>
      </c>
      <c r="P217" s="33" t="str">
        <f aca="false">IF($A217="","",IF(ABS($O217)&lt;1,"✓ 已开齐",IF($O217&gt;0,"还差成本票","多开了")))</f>
        <v/>
      </c>
    </row>
    <row r="218" customFormat="false" ht="15.75" hidden="false" customHeight="true" outlineLevel="0" collapsed="false">
      <c r="A218" s="32" t="str">
        <f aca="false">IF(项目档案!$A218="","",项目档案!$A218)</f>
        <v/>
      </c>
      <c r="B218" s="40" t="str">
        <f aca="false">IF($A218="","",项目档案!$B218)</f>
        <v/>
      </c>
      <c r="C218" s="32" t="str">
        <f aca="false">IF($A218="","",项目档案!$C218)</f>
        <v/>
      </c>
      <c r="D218" s="32" t="str">
        <f aca="false">IF($A218="","",项目档案!$D218)</f>
        <v/>
      </c>
      <c r="E218" s="41" t="str">
        <f aca="false">IF($A218="","",SUMIFS(业务流水!$H$5:$H$1504,业务流水!$E$5:$E$1504,$D218,业务流水!$D$5:$D$1504,"销项开票",业务流水!$C$5:$C$1504,$A218,业务流水!$Z$5:$Z$1504,"是"))</f>
        <v/>
      </c>
      <c r="F218" s="49" t="str">
        <f aca="false">IF(OR($A218="",$E218=0),"",SUMIFS(业务流水!$O$5:$O$1504,业务流水!$E$5:$E$1504,$D218,业务流水!$D$5:$D$1504,"销项开票",业务流水!$C$5:$C$1504,$A218,业务流水!$Z$5:$Z$1504,"是")/$E218)</f>
        <v/>
      </c>
      <c r="G218" s="41" t="str">
        <f aca="false">IF($A218="","",SUMIFS(业务流水!$O$5:$O$1504,业务流水!$E$5:$E$1504,$D218,业务流水!$D$5:$D$1504,"销项开票",业务流水!$C$5:$C$1504,$A218,业务流水!$Z$5:$Z$1504,"是"))</f>
        <v/>
      </c>
      <c r="H218" s="42" t="str">
        <f aca="false">IF($A218="","",$E218-$G218)</f>
        <v/>
      </c>
      <c r="I218" s="32" t="str">
        <f aca="false">IF($A218="","",项目档案!$F218)</f>
        <v/>
      </c>
      <c r="J218" s="41" t="n">
        <f aca="false">IF(OR($A218="",$I218=""),0,SUMIFS(业务流水!$H$5:$H$1504,业务流水!$E$5:$E$1504,$I218,业务流水!$D$5:$D$1504,"销项开票",业务流水!$C$5:$C$1504,$A218,业务流水!$Z$5:$Z$1504,"是"))</f>
        <v>0</v>
      </c>
      <c r="K218" s="49" t="str">
        <f aca="false">IF(OR($A218="",$J218=0),"",SUMIFS(业务流水!$O$5:$O$1504,业务流水!$E$5:$E$1504,$I218,业务流水!$D$5:$D$1504,"销项开票",业务流水!$C$5:$C$1504,$A218,业务流水!$Z$5:$Z$1504,"是")/$J218)</f>
        <v/>
      </c>
      <c r="L218" s="41" t="n">
        <f aca="false">IF(OR($A218="",$I218=""),0,SUMIFS(业务流水!$O$5:$O$1504,业务流水!$E$5:$E$1504,$I218,业务流水!$D$5:$D$1504,"销项开票",业务流水!$C$5:$C$1504,$A218,业务流水!$Z$5:$Z$1504,"是"))</f>
        <v>0</v>
      </c>
      <c r="M218" s="43" t="str">
        <f aca="false">IF($A218="","",IF(AND($I218&lt;&gt;"",$J218&gt;0),$J218-$L218,$H218))</f>
        <v/>
      </c>
      <c r="N218" s="41" t="str">
        <f aca="false">IF($A218="","",SUMIFS(业务流水!$H$5:$H$1504,业务流水!$F$5:$F$1504,"*",业务流水!$D$5:$D$1504,"成本票",业务流水!$C$5:$C$1504,$A218,业务流水!$Z$5:$Z$1504,"是"))</f>
        <v/>
      </c>
      <c r="O218" s="43" t="str">
        <f aca="false">IF($A218="","",ROUND($M218-$N218,2))</f>
        <v/>
      </c>
      <c r="P218" s="33" t="str">
        <f aca="false">IF($A218="","",IF(ABS($O218)&lt;1,"✓ 已开齐",IF($O218&gt;0,"还差成本票","多开了")))</f>
        <v/>
      </c>
    </row>
    <row r="219" customFormat="false" ht="15.75" hidden="false" customHeight="true" outlineLevel="0" collapsed="false">
      <c r="A219" s="32" t="str">
        <f aca="false">IF(项目档案!$A219="","",项目档案!$A219)</f>
        <v/>
      </c>
      <c r="B219" s="40" t="str">
        <f aca="false">IF($A219="","",项目档案!$B219)</f>
        <v/>
      </c>
      <c r="C219" s="32" t="str">
        <f aca="false">IF($A219="","",项目档案!$C219)</f>
        <v/>
      </c>
      <c r="D219" s="32" t="str">
        <f aca="false">IF($A219="","",项目档案!$D219)</f>
        <v/>
      </c>
      <c r="E219" s="41" t="str">
        <f aca="false">IF($A219="","",SUMIFS(业务流水!$H$5:$H$1504,业务流水!$E$5:$E$1504,$D219,业务流水!$D$5:$D$1504,"销项开票",业务流水!$C$5:$C$1504,$A219,业务流水!$Z$5:$Z$1504,"是"))</f>
        <v/>
      </c>
      <c r="F219" s="49" t="str">
        <f aca="false">IF(OR($A219="",$E219=0),"",SUMIFS(业务流水!$O$5:$O$1504,业务流水!$E$5:$E$1504,$D219,业务流水!$D$5:$D$1504,"销项开票",业务流水!$C$5:$C$1504,$A219,业务流水!$Z$5:$Z$1504,"是")/$E219)</f>
        <v/>
      </c>
      <c r="G219" s="41" t="str">
        <f aca="false">IF($A219="","",SUMIFS(业务流水!$O$5:$O$1504,业务流水!$E$5:$E$1504,$D219,业务流水!$D$5:$D$1504,"销项开票",业务流水!$C$5:$C$1504,$A219,业务流水!$Z$5:$Z$1504,"是"))</f>
        <v/>
      </c>
      <c r="H219" s="42" t="str">
        <f aca="false">IF($A219="","",$E219-$G219)</f>
        <v/>
      </c>
      <c r="I219" s="32" t="str">
        <f aca="false">IF($A219="","",项目档案!$F219)</f>
        <v/>
      </c>
      <c r="J219" s="41" t="n">
        <f aca="false">IF(OR($A219="",$I219=""),0,SUMIFS(业务流水!$H$5:$H$1504,业务流水!$E$5:$E$1504,$I219,业务流水!$D$5:$D$1504,"销项开票",业务流水!$C$5:$C$1504,$A219,业务流水!$Z$5:$Z$1504,"是"))</f>
        <v>0</v>
      </c>
      <c r="K219" s="49" t="str">
        <f aca="false">IF(OR($A219="",$J219=0),"",SUMIFS(业务流水!$O$5:$O$1504,业务流水!$E$5:$E$1504,$I219,业务流水!$D$5:$D$1504,"销项开票",业务流水!$C$5:$C$1504,$A219,业务流水!$Z$5:$Z$1504,"是")/$J219)</f>
        <v/>
      </c>
      <c r="L219" s="41" t="n">
        <f aca="false">IF(OR($A219="",$I219=""),0,SUMIFS(业务流水!$O$5:$O$1504,业务流水!$E$5:$E$1504,$I219,业务流水!$D$5:$D$1504,"销项开票",业务流水!$C$5:$C$1504,$A219,业务流水!$Z$5:$Z$1504,"是"))</f>
        <v>0</v>
      </c>
      <c r="M219" s="43" t="str">
        <f aca="false">IF($A219="","",IF(AND($I219&lt;&gt;"",$J219&gt;0),$J219-$L219,$H219))</f>
        <v/>
      </c>
      <c r="N219" s="41" t="str">
        <f aca="false">IF($A219="","",SUMIFS(业务流水!$H$5:$H$1504,业务流水!$F$5:$F$1504,"*",业务流水!$D$5:$D$1504,"成本票",业务流水!$C$5:$C$1504,$A219,业务流水!$Z$5:$Z$1504,"是"))</f>
        <v/>
      </c>
      <c r="O219" s="43" t="str">
        <f aca="false">IF($A219="","",ROUND($M219-$N219,2))</f>
        <v/>
      </c>
      <c r="P219" s="33" t="str">
        <f aca="false">IF($A219="","",IF(ABS($O219)&lt;1,"✓ 已开齐",IF($O219&gt;0,"还差成本票","多开了")))</f>
        <v/>
      </c>
    </row>
    <row r="220" customFormat="false" ht="15.75" hidden="false" customHeight="true" outlineLevel="0" collapsed="false">
      <c r="A220" s="32" t="str">
        <f aca="false">IF(项目档案!$A220="","",项目档案!$A220)</f>
        <v/>
      </c>
      <c r="B220" s="40" t="str">
        <f aca="false">IF($A220="","",项目档案!$B220)</f>
        <v/>
      </c>
      <c r="C220" s="32" t="str">
        <f aca="false">IF($A220="","",项目档案!$C220)</f>
        <v/>
      </c>
      <c r="D220" s="32" t="str">
        <f aca="false">IF($A220="","",项目档案!$D220)</f>
        <v/>
      </c>
      <c r="E220" s="41" t="str">
        <f aca="false">IF($A220="","",SUMIFS(业务流水!$H$5:$H$1504,业务流水!$E$5:$E$1504,$D220,业务流水!$D$5:$D$1504,"销项开票",业务流水!$C$5:$C$1504,$A220,业务流水!$Z$5:$Z$1504,"是"))</f>
        <v/>
      </c>
      <c r="F220" s="49" t="str">
        <f aca="false">IF(OR($A220="",$E220=0),"",SUMIFS(业务流水!$O$5:$O$1504,业务流水!$E$5:$E$1504,$D220,业务流水!$D$5:$D$1504,"销项开票",业务流水!$C$5:$C$1504,$A220,业务流水!$Z$5:$Z$1504,"是")/$E220)</f>
        <v/>
      </c>
      <c r="G220" s="41" t="str">
        <f aca="false">IF($A220="","",SUMIFS(业务流水!$O$5:$O$1504,业务流水!$E$5:$E$1504,$D220,业务流水!$D$5:$D$1504,"销项开票",业务流水!$C$5:$C$1504,$A220,业务流水!$Z$5:$Z$1504,"是"))</f>
        <v/>
      </c>
      <c r="H220" s="42" t="str">
        <f aca="false">IF($A220="","",$E220-$G220)</f>
        <v/>
      </c>
      <c r="I220" s="32" t="str">
        <f aca="false">IF($A220="","",项目档案!$F220)</f>
        <v/>
      </c>
      <c r="J220" s="41" t="n">
        <f aca="false">IF(OR($A220="",$I220=""),0,SUMIFS(业务流水!$H$5:$H$1504,业务流水!$E$5:$E$1504,$I220,业务流水!$D$5:$D$1504,"销项开票",业务流水!$C$5:$C$1504,$A220,业务流水!$Z$5:$Z$1504,"是"))</f>
        <v>0</v>
      </c>
      <c r="K220" s="49" t="str">
        <f aca="false">IF(OR($A220="",$J220=0),"",SUMIFS(业务流水!$O$5:$O$1504,业务流水!$E$5:$E$1504,$I220,业务流水!$D$5:$D$1504,"销项开票",业务流水!$C$5:$C$1504,$A220,业务流水!$Z$5:$Z$1504,"是")/$J220)</f>
        <v/>
      </c>
      <c r="L220" s="41" t="n">
        <f aca="false">IF(OR($A220="",$I220=""),0,SUMIFS(业务流水!$O$5:$O$1504,业务流水!$E$5:$E$1504,$I220,业务流水!$D$5:$D$1504,"销项开票",业务流水!$C$5:$C$1504,$A220,业务流水!$Z$5:$Z$1504,"是"))</f>
        <v>0</v>
      </c>
      <c r="M220" s="43" t="str">
        <f aca="false">IF($A220="","",IF(AND($I220&lt;&gt;"",$J220&gt;0),$J220-$L220,$H220))</f>
        <v/>
      </c>
      <c r="N220" s="41" t="str">
        <f aca="false">IF($A220="","",SUMIFS(业务流水!$H$5:$H$1504,业务流水!$F$5:$F$1504,"*",业务流水!$D$5:$D$1504,"成本票",业务流水!$C$5:$C$1504,$A220,业务流水!$Z$5:$Z$1504,"是"))</f>
        <v/>
      </c>
      <c r="O220" s="43" t="str">
        <f aca="false">IF($A220="","",ROUND($M220-$N220,2))</f>
        <v/>
      </c>
      <c r="P220" s="33" t="str">
        <f aca="false">IF($A220="","",IF(ABS($O220)&lt;1,"✓ 已开齐",IF($O220&gt;0,"还差成本票","多开了")))</f>
        <v/>
      </c>
    </row>
    <row r="221" customFormat="false" ht="15.75" hidden="false" customHeight="true" outlineLevel="0" collapsed="false">
      <c r="A221" s="32" t="str">
        <f aca="false">IF(项目档案!$A221="","",项目档案!$A221)</f>
        <v/>
      </c>
      <c r="B221" s="40" t="str">
        <f aca="false">IF($A221="","",项目档案!$B221)</f>
        <v/>
      </c>
      <c r="C221" s="32" t="str">
        <f aca="false">IF($A221="","",项目档案!$C221)</f>
        <v/>
      </c>
      <c r="D221" s="32" t="str">
        <f aca="false">IF($A221="","",项目档案!$D221)</f>
        <v/>
      </c>
      <c r="E221" s="41" t="str">
        <f aca="false">IF($A221="","",SUMIFS(业务流水!$H$5:$H$1504,业务流水!$E$5:$E$1504,$D221,业务流水!$D$5:$D$1504,"销项开票",业务流水!$C$5:$C$1504,$A221,业务流水!$Z$5:$Z$1504,"是"))</f>
        <v/>
      </c>
      <c r="F221" s="49" t="str">
        <f aca="false">IF(OR($A221="",$E221=0),"",SUMIFS(业务流水!$O$5:$O$1504,业务流水!$E$5:$E$1504,$D221,业务流水!$D$5:$D$1504,"销项开票",业务流水!$C$5:$C$1504,$A221,业务流水!$Z$5:$Z$1504,"是")/$E221)</f>
        <v/>
      </c>
      <c r="G221" s="41" t="str">
        <f aca="false">IF($A221="","",SUMIFS(业务流水!$O$5:$O$1504,业务流水!$E$5:$E$1504,$D221,业务流水!$D$5:$D$1504,"销项开票",业务流水!$C$5:$C$1504,$A221,业务流水!$Z$5:$Z$1504,"是"))</f>
        <v/>
      </c>
      <c r="H221" s="42" t="str">
        <f aca="false">IF($A221="","",$E221-$G221)</f>
        <v/>
      </c>
      <c r="I221" s="32" t="str">
        <f aca="false">IF($A221="","",项目档案!$F221)</f>
        <v/>
      </c>
      <c r="J221" s="41" t="n">
        <f aca="false">IF(OR($A221="",$I221=""),0,SUMIFS(业务流水!$H$5:$H$1504,业务流水!$E$5:$E$1504,$I221,业务流水!$D$5:$D$1504,"销项开票",业务流水!$C$5:$C$1504,$A221,业务流水!$Z$5:$Z$1504,"是"))</f>
        <v>0</v>
      </c>
      <c r="K221" s="49" t="str">
        <f aca="false">IF(OR($A221="",$J221=0),"",SUMIFS(业务流水!$O$5:$O$1504,业务流水!$E$5:$E$1504,$I221,业务流水!$D$5:$D$1504,"销项开票",业务流水!$C$5:$C$1504,$A221,业务流水!$Z$5:$Z$1504,"是")/$J221)</f>
        <v/>
      </c>
      <c r="L221" s="41" t="n">
        <f aca="false">IF(OR($A221="",$I221=""),0,SUMIFS(业务流水!$O$5:$O$1504,业务流水!$E$5:$E$1504,$I221,业务流水!$D$5:$D$1504,"销项开票",业务流水!$C$5:$C$1504,$A221,业务流水!$Z$5:$Z$1504,"是"))</f>
        <v>0</v>
      </c>
      <c r="M221" s="43" t="str">
        <f aca="false">IF($A221="","",IF(AND($I221&lt;&gt;"",$J221&gt;0),$J221-$L221,$H221))</f>
        <v/>
      </c>
      <c r="N221" s="41" t="str">
        <f aca="false">IF($A221="","",SUMIFS(业务流水!$H$5:$H$1504,业务流水!$F$5:$F$1504,"*",业务流水!$D$5:$D$1504,"成本票",业务流水!$C$5:$C$1504,$A221,业务流水!$Z$5:$Z$1504,"是"))</f>
        <v/>
      </c>
      <c r="O221" s="43" t="str">
        <f aca="false">IF($A221="","",ROUND($M221-$N221,2))</f>
        <v/>
      </c>
      <c r="P221" s="33" t="str">
        <f aca="false">IF($A221="","",IF(ABS($O221)&lt;1,"✓ 已开齐",IF($O221&gt;0,"还差成本票","多开了")))</f>
        <v/>
      </c>
    </row>
    <row r="222" customFormat="false" ht="15.75" hidden="false" customHeight="true" outlineLevel="0" collapsed="false">
      <c r="A222" s="32" t="str">
        <f aca="false">IF(项目档案!$A222="","",项目档案!$A222)</f>
        <v/>
      </c>
      <c r="B222" s="40" t="str">
        <f aca="false">IF($A222="","",项目档案!$B222)</f>
        <v/>
      </c>
      <c r="C222" s="32" t="str">
        <f aca="false">IF($A222="","",项目档案!$C222)</f>
        <v/>
      </c>
      <c r="D222" s="32" t="str">
        <f aca="false">IF($A222="","",项目档案!$D222)</f>
        <v/>
      </c>
      <c r="E222" s="41" t="str">
        <f aca="false">IF($A222="","",SUMIFS(业务流水!$H$5:$H$1504,业务流水!$E$5:$E$1504,$D222,业务流水!$D$5:$D$1504,"销项开票",业务流水!$C$5:$C$1504,$A222,业务流水!$Z$5:$Z$1504,"是"))</f>
        <v/>
      </c>
      <c r="F222" s="49" t="str">
        <f aca="false">IF(OR($A222="",$E222=0),"",SUMIFS(业务流水!$O$5:$O$1504,业务流水!$E$5:$E$1504,$D222,业务流水!$D$5:$D$1504,"销项开票",业务流水!$C$5:$C$1504,$A222,业务流水!$Z$5:$Z$1504,"是")/$E222)</f>
        <v/>
      </c>
      <c r="G222" s="41" t="str">
        <f aca="false">IF($A222="","",SUMIFS(业务流水!$O$5:$O$1504,业务流水!$E$5:$E$1504,$D222,业务流水!$D$5:$D$1504,"销项开票",业务流水!$C$5:$C$1504,$A222,业务流水!$Z$5:$Z$1504,"是"))</f>
        <v/>
      </c>
      <c r="H222" s="42" t="str">
        <f aca="false">IF($A222="","",$E222-$G222)</f>
        <v/>
      </c>
      <c r="I222" s="32" t="str">
        <f aca="false">IF($A222="","",项目档案!$F222)</f>
        <v/>
      </c>
      <c r="J222" s="41" t="n">
        <f aca="false">IF(OR($A222="",$I222=""),0,SUMIFS(业务流水!$H$5:$H$1504,业务流水!$E$5:$E$1504,$I222,业务流水!$D$5:$D$1504,"销项开票",业务流水!$C$5:$C$1504,$A222,业务流水!$Z$5:$Z$1504,"是"))</f>
        <v>0</v>
      </c>
      <c r="K222" s="49" t="str">
        <f aca="false">IF(OR($A222="",$J222=0),"",SUMIFS(业务流水!$O$5:$O$1504,业务流水!$E$5:$E$1504,$I222,业务流水!$D$5:$D$1504,"销项开票",业务流水!$C$5:$C$1504,$A222,业务流水!$Z$5:$Z$1504,"是")/$J222)</f>
        <v/>
      </c>
      <c r="L222" s="41" t="n">
        <f aca="false">IF(OR($A222="",$I222=""),0,SUMIFS(业务流水!$O$5:$O$1504,业务流水!$E$5:$E$1504,$I222,业务流水!$D$5:$D$1504,"销项开票",业务流水!$C$5:$C$1504,$A222,业务流水!$Z$5:$Z$1504,"是"))</f>
        <v>0</v>
      </c>
      <c r="M222" s="43" t="str">
        <f aca="false">IF($A222="","",IF(AND($I222&lt;&gt;"",$J222&gt;0),$J222-$L222,$H222))</f>
        <v/>
      </c>
      <c r="N222" s="41" t="str">
        <f aca="false">IF($A222="","",SUMIFS(业务流水!$H$5:$H$1504,业务流水!$F$5:$F$1504,"*",业务流水!$D$5:$D$1504,"成本票",业务流水!$C$5:$C$1504,$A222,业务流水!$Z$5:$Z$1504,"是"))</f>
        <v/>
      </c>
      <c r="O222" s="43" t="str">
        <f aca="false">IF($A222="","",ROUND($M222-$N222,2))</f>
        <v/>
      </c>
      <c r="P222" s="33" t="str">
        <f aca="false">IF($A222="","",IF(ABS($O222)&lt;1,"✓ 已开齐",IF($O222&gt;0,"还差成本票","多开了")))</f>
        <v/>
      </c>
    </row>
    <row r="223" customFormat="false" ht="15.75" hidden="false" customHeight="true" outlineLevel="0" collapsed="false">
      <c r="A223" s="32" t="str">
        <f aca="false">IF(项目档案!$A223="","",项目档案!$A223)</f>
        <v/>
      </c>
      <c r="B223" s="40" t="str">
        <f aca="false">IF($A223="","",项目档案!$B223)</f>
        <v/>
      </c>
      <c r="C223" s="32" t="str">
        <f aca="false">IF($A223="","",项目档案!$C223)</f>
        <v/>
      </c>
      <c r="D223" s="32" t="str">
        <f aca="false">IF($A223="","",项目档案!$D223)</f>
        <v/>
      </c>
      <c r="E223" s="41" t="str">
        <f aca="false">IF($A223="","",SUMIFS(业务流水!$H$5:$H$1504,业务流水!$E$5:$E$1504,$D223,业务流水!$D$5:$D$1504,"销项开票",业务流水!$C$5:$C$1504,$A223,业务流水!$Z$5:$Z$1504,"是"))</f>
        <v/>
      </c>
      <c r="F223" s="49" t="str">
        <f aca="false">IF(OR($A223="",$E223=0),"",SUMIFS(业务流水!$O$5:$O$1504,业务流水!$E$5:$E$1504,$D223,业务流水!$D$5:$D$1504,"销项开票",业务流水!$C$5:$C$1504,$A223,业务流水!$Z$5:$Z$1504,"是")/$E223)</f>
        <v/>
      </c>
      <c r="G223" s="41" t="str">
        <f aca="false">IF($A223="","",SUMIFS(业务流水!$O$5:$O$1504,业务流水!$E$5:$E$1504,$D223,业务流水!$D$5:$D$1504,"销项开票",业务流水!$C$5:$C$1504,$A223,业务流水!$Z$5:$Z$1504,"是"))</f>
        <v/>
      </c>
      <c r="H223" s="42" t="str">
        <f aca="false">IF($A223="","",$E223-$G223)</f>
        <v/>
      </c>
      <c r="I223" s="32" t="str">
        <f aca="false">IF($A223="","",项目档案!$F223)</f>
        <v/>
      </c>
      <c r="J223" s="41" t="n">
        <f aca="false">IF(OR($A223="",$I223=""),0,SUMIFS(业务流水!$H$5:$H$1504,业务流水!$E$5:$E$1504,$I223,业务流水!$D$5:$D$1504,"销项开票",业务流水!$C$5:$C$1504,$A223,业务流水!$Z$5:$Z$1504,"是"))</f>
        <v>0</v>
      </c>
      <c r="K223" s="49" t="str">
        <f aca="false">IF(OR($A223="",$J223=0),"",SUMIFS(业务流水!$O$5:$O$1504,业务流水!$E$5:$E$1504,$I223,业务流水!$D$5:$D$1504,"销项开票",业务流水!$C$5:$C$1504,$A223,业务流水!$Z$5:$Z$1504,"是")/$J223)</f>
        <v/>
      </c>
      <c r="L223" s="41" t="n">
        <f aca="false">IF(OR($A223="",$I223=""),0,SUMIFS(业务流水!$O$5:$O$1504,业务流水!$E$5:$E$1504,$I223,业务流水!$D$5:$D$1504,"销项开票",业务流水!$C$5:$C$1504,$A223,业务流水!$Z$5:$Z$1504,"是"))</f>
        <v>0</v>
      </c>
      <c r="M223" s="43" t="str">
        <f aca="false">IF($A223="","",IF(AND($I223&lt;&gt;"",$J223&gt;0),$J223-$L223,$H223))</f>
        <v/>
      </c>
      <c r="N223" s="41" t="str">
        <f aca="false">IF($A223="","",SUMIFS(业务流水!$H$5:$H$1504,业务流水!$F$5:$F$1504,"*",业务流水!$D$5:$D$1504,"成本票",业务流水!$C$5:$C$1504,$A223,业务流水!$Z$5:$Z$1504,"是"))</f>
        <v/>
      </c>
      <c r="O223" s="43" t="str">
        <f aca="false">IF($A223="","",ROUND($M223-$N223,2))</f>
        <v/>
      </c>
      <c r="P223" s="33" t="str">
        <f aca="false">IF($A223="","",IF(ABS($O223)&lt;1,"✓ 已开齐",IF($O223&gt;0,"还差成本票","多开了")))</f>
        <v/>
      </c>
    </row>
    <row r="224" customFormat="false" ht="15.75" hidden="false" customHeight="true" outlineLevel="0" collapsed="false">
      <c r="A224" s="32" t="str">
        <f aca="false">IF(项目档案!$A224="","",项目档案!$A224)</f>
        <v/>
      </c>
      <c r="B224" s="40" t="str">
        <f aca="false">IF($A224="","",项目档案!$B224)</f>
        <v/>
      </c>
      <c r="C224" s="32" t="str">
        <f aca="false">IF($A224="","",项目档案!$C224)</f>
        <v/>
      </c>
      <c r="D224" s="32" t="str">
        <f aca="false">IF($A224="","",项目档案!$D224)</f>
        <v/>
      </c>
      <c r="E224" s="41" t="str">
        <f aca="false">IF($A224="","",SUMIFS(业务流水!$H$5:$H$1504,业务流水!$E$5:$E$1504,$D224,业务流水!$D$5:$D$1504,"销项开票",业务流水!$C$5:$C$1504,$A224,业务流水!$Z$5:$Z$1504,"是"))</f>
        <v/>
      </c>
      <c r="F224" s="49" t="str">
        <f aca="false">IF(OR($A224="",$E224=0),"",SUMIFS(业务流水!$O$5:$O$1504,业务流水!$E$5:$E$1504,$D224,业务流水!$D$5:$D$1504,"销项开票",业务流水!$C$5:$C$1504,$A224,业务流水!$Z$5:$Z$1504,"是")/$E224)</f>
        <v/>
      </c>
      <c r="G224" s="41" t="str">
        <f aca="false">IF($A224="","",SUMIFS(业务流水!$O$5:$O$1504,业务流水!$E$5:$E$1504,$D224,业务流水!$D$5:$D$1504,"销项开票",业务流水!$C$5:$C$1504,$A224,业务流水!$Z$5:$Z$1504,"是"))</f>
        <v/>
      </c>
      <c r="H224" s="42" t="str">
        <f aca="false">IF($A224="","",$E224-$G224)</f>
        <v/>
      </c>
      <c r="I224" s="32" t="str">
        <f aca="false">IF($A224="","",项目档案!$F224)</f>
        <v/>
      </c>
      <c r="J224" s="41" t="n">
        <f aca="false">IF(OR($A224="",$I224=""),0,SUMIFS(业务流水!$H$5:$H$1504,业务流水!$E$5:$E$1504,$I224,业务流水!$D$5:$D$1504,"销项开票",业务流水!$C$5:$C$1504,$A224,业务流水!$Z$5:$Z$1504,"是"))</f>
        <v>0</v>
      </c>
      <c r="K224" s="49" t="str">
        <f aca="false">IF(OR($A224="",$J224=0),"",SUMIFS(业务流水!$O$5:$O$1504,业务流水!$E$5:$E$1504,$I224,业务流水!$D$5:$D$1504,"销项开票",业务流水!$C$5:$C$1504,$A224,业务流水!$Z$5:$Z$1504,"是")/$J224)</f>
        <v/>
      </c>
      <c r="L224" s="41" t="n">
        <f aca="false">IF(OR($A224="",$I224=""),0,SUMIFS(业务流水!$O$5:$O$1504,业务流水!$E$5:$E$1504,$I224,业务流水!$D$5:$D$1504,"销项开票",业务流水!$C$5:$C$1504,$A224,业务流水!$Z$5:$Z$1504,"是"))</f>
        <v>0</v>
      </c>
      <c r="M224" s="43" t="str">
        <f aca="false">IF($A224="","",IF(AND($I224&lt;&gt;"",$J224&gt;0),$J224-$L224,$H224))</f>
        <v/>
      </c>
      <c r="N224" s="41" t="str">
        <f aca="false">IF($A224="","",SUMIFS(业务流水!$H$5:$H$1504,业务流水!$F$5:$F$1504,"*",业务流水!$D$5:$D$1504,"成本票",业务流水!$C$5:$C$1504,$A224,业务流水!$Z$5:$Z$1504,"是"))</f>
        <v/>
      </c>
      <c r="O224" s="43" t="str">
        <f aca="false">IF($A224="","",ROUND($M224-$N224,2))</f>
        <v/>
      </c>
      <c r="P224" s="33" t="str">
        <f aca="false">IF($A224="","",IF(ABS($O224)&lt;1,"✓ 已开齐",IF($O224&gt;0,"还差成本票","多开了")))</f>
        <v/>
      </c>
    </row>
    <row r="225" customFormat="false" ht="15.75" hidden="false" customHeight="true" outlineLevel="0" collapsed="false">
      <c r="A225" s="32" t="str">
        <f aca="false">IF(项目档案!$A225="","",项目档案!$A225)</f>
        <v/>
      </c>
      <c r="B225" s="40" t="str">
        <f aca="false">IF($A225="","",项目档案!$B225)</f>
        <v/>
      </c>
      <c r="C225" s="32" t="str">
        <f aca="false">IF($A225="","",项目档案!$C225)</f>
        <v/>
      </c>
      <c r="D225" s="32" t="str">
        <f aca="false">IF($A225="","",项目档案!$D225)</f>
        <v/>
      </c>
      <c r="E225" s="41" t="str">
        <f aca="false">IF($A225="","",SUMIFS(业务流水!$H$5:$H$1504,业务流水!$E$5:$E$1504,$D225,业务流水!$D$5:$D$1504,"销项开票",业务流水!$C$5:$C$1504,$A225,业务流水!$Z$5:$Z$1504,"是"))</f>
        <v/>
      </c>
      <c r="F225" s="49" t="str">
        <f aca="false">IF(OR($A225="",$E225=0),"",SUMIFS(业务流水!$O$5:$O$1504,业务流水!$E$5:$E$1504,$D225,业务流水!$D$5:$D$1504,"销项开票",业务流水!$C$5:$C$1504,$A225,业务流水!$Z$5:$Z$1504,"是")/$E225)</f>
        <v/>
      </c>
      <c r="G225" s="41" t="str">
        <f aca="false">IF($A225="","",SUMIFS(业务流水!$O$5:$O$1504,业务流水!$E$5:$E$1504,$D225,业务流水!$D$5:$D$1504,"销项开票",业务流水!$C$5:$C$1504,$A225,业务流水!$Z$5:$Z$1504,"是"))</f>
        <v/>
      </c>
      <c r="H225" s="42" t="str">
        <f aca="false">IF($A225="","",$E225-$G225)</f>
        <v/>
      </c>
      <c r="I225" s="32" t="str">
        <f aca="false">IF($A225="","",项目档案!$F225)</f>
        <v/>
      </c>
      <c r="J225" s="41" t="n">
        <f aca="false">IF(OR($A225="",$I225=""),0,SUMIFS(业务流水!$H$5:$H$1504,业务流水!$E$5:$E$1504,$I225,业务流水!$D$5:$D$1504,"销项开票",业务流水!$C$5:$C$1504,$A225,业务流水!$Z$5:$Z$1504,"是"))</f>
        <v>0</v>
      </c>
      <c r="K225" s="49" t="str">
        <f aca="false">IF(OR($A225="",$J225=0),"",SUMIFS(业务流水!$O$5:$O$1504,业务流水!$E$5:$E$1504,$I225,业务流水!$D$5:$D$1504,"销项开票",业务流水!$C$5:$C$1504,$A225,业务流水!$Z$5:$Z$1504,"是")/$J225)</f>
        <v/>
      </c>
      <c r="L225" s="41" t="n">
        <f aca="false">IF(OR($A225="",$I225=""),0,SUMIFS(业务流水!$O$5:$O$1504,业务流水!$E$5:$E$1504,$I225,业务流水!$D$5:$D$1504,"销项开票",业务流水!$C$5:$C$1504,$A225,业务流水!$Z$5:$Z$1504,"是"))</f>
        <v>0</v>
      </c>
      <c r="M225" s="43" t="str">
        <f aca="false">IF($A225="","",IF(AND($I225&lt;&gt;"",$J225&gt;0),$J225-$L225,$H225))</f>
        <v/>
      </c>
      <c r="N225" s="41" t="str">
        <f aca="false">IF($A225="","",SUMIFS(业务流水!$H$5:$H$1504,业务流水!$F$5:$F$1504,"*",业务流水!$D$5:$D$1504,"成本票",业务流水!$C$5:$C$1504,$A225,业务流水!$Z$5:$Z$1504,"是"))</f>
        <v/>
      </c>
      <c r="O225" s="43" t="str">
        <f aca="false">IF($A225="","",ROUND($M225-$N225,2))</f>
        <v/>
      </c>
      <c r="P225" s="33" t="str">
        <f aca="false">IF($A225="","",IF(ABS($O225)&lt;1,"✓ 已开齐",IF($O225&gt;0,"还差成本票","多开了")))</f>
        <v/>
      </c>
    </row>
    <row r="226" customFormat="false" ht="15.75" hidden="false" customHeight="true" outlineLevel="0" collapsed="false">
      <c r="A226" s="32" t="str">
        <f aca="false">IF(项目档案!$A226="","",项目档案!$A226)</f>
        <v/>
      </c>
      <c r="B226" s="40" t="str">
        <f aca="false">IF($A226="","",项目档案!$B226)</f>
        <v/>
      </c>
      <c r="C226" s="32" t="str">
        <f aca="false">IF($A226="","",项目档案!$C226)</f>
        <v/>
      </c>
      <c r="D226" s="32" t="str">
        <f aca="false">IF($A226="","",项目档案!$D226)</f>
        <v/>
      </c>
      <c r="E226" s="41" t="str">
        <f aca="false">IF($A226="","",SUMIFS(业务流水!$H$5:$H$1504,业务流水!$E$5:$E$1504,$D226,业务流水!$D$5:$D$1504,"销项开票",业务流水!$C$5:$C$1504,$A226,业务流水!$Z$5:$Z$1504,"是"))</f>
        <v/>
      </c>
      <c r="F226" s="49" t="str">
        <f aca="false">IF(OR($A226="",$E226=0),"",SUMIFS(业务流水!$O$5:$O$1504,业务流水!$E$5:$E$1504,$D226,业务流水!$D$5:$D$1504,"销项开票",业务流水!$C$5:$C$1504,$A226,业务流水!$Z$5:$Z$1504,"是")/$E226)</f>
        <v/>
      </c>
      <c r="G226" s="41" t="str">
        <f aca="false">IF($A226="","",SUMIFS(业务流水!$O$5:$O$1504,业务流水!$E$5:$E$1504,$D226,业务流水!$D$5:$D$1504,"销项开票",业务流水!$C$5:$C$1504,$A226,业务流水!$Z$5:$Z$1504,"是"))</f>
        <v/>
      </c>
      <c r="H226" s="42" t="str">
        <f aca="false">IF($A226="","",$E226-$G226)</f>
        <v/>
      </c>
      <c r="I226" s="32" t="str">
        <f aca="false">IF($A226="","",项目档案!$F226)</f>
        <v/>
      </c>
      <c r="J226" s="41" t="n">
        <f aca="false">IF(OR($A226="",$I226=""),0,SUMIFS(业务流水!$H$5:$H$1504,业务流水!$E$5:$E$1504,$I226,业务流水!$D$5:$D$1504,"销项开票",业务流水!$C$5:$C$1504,$A226,业务流水!$Z$5:$Z$1504,"是"))</f>
        <v>0</v>
      </c>
      <c r="K226" s="49" t="str">
        <f aca="false">IF(OR($A226="",$J226=0),"",SUMIFS(业务流水!$O$5:$O$1504,业务流水!$E$5:$E$1504,$I226,业务流水!$D$5:$D$1504,"销项开票",业务流水!$C$5:$C$1504,$A226,业务流水!$Z$5:$Z$1504,"是")/$J226)</f>
        <v/>
      </c>
      <c r="L226" s="41" t="n">
        <f aca="false">IF(OR($A226="",$I226=""),0,SUMIFS(业务流水!$O$5:$O$1504,业务流水!$E$5:$E$1504,$I226,业务流水!$D$5:$D$1504,"销项开票",业务流水!$C$5:$C$1504,$A226,业务流水!$Z$5:$Z$1504,"是"))</f>
        <v>0</v>
      </c>
      <c r="M226" s="43" t="str">
        <f aca="false">IF($A226="","",IF(AND($I226&lt;&gt;"",$J226&gt;0),$J226-$L226,$H226))</f>
        <v/>
      </c>
      <c r="N226" s="41" t="str">
        <f aca="false">IF($A226="","",SUMIFS(业务流水!$H$5:$H$1504,业务流水!$F$5:$F$1504,"*",业务流水!$D$5:$D$1504,"成本票",业务流水!$C$5:$C$1504,$A226,业务流水!$Z$5:$Z$1504,"是"))</f>
        <v/>
      </c>
      <c r="O226" s="43" t="str">
        <f aca="false">IF($A226="","",ROUND($M226-$N226,2))</f>
        <v/>
      </c>
      <c r="P226" s="33" t="str">
        <f aca="false">IF($A226="","",IF(ABS($O226)&lt;1,"✓ 已开齐",IF($O226&gt;0,"还差成本票","多开了")))</f>
        <v/>
      </c>
    </row>
    <row r="227" customFormat="false" ht="15.75" hidden="false" customHeight="true" outlineLevel="0" collapsed="false">
      <c r="A227" s="32" t="str">
        <f aca="false">IF(项目档案!$A227="","",项目档案!$A227)</f>
        <v/>
      </c>
      <c r="B227" s="40" t="str">
        <f aca="false">IF($A227="","",项目档案!$B227)</f>
        <v/>
      </c>
      <c r="C227" s="32" t="str">
        <f aca="false">IF($A227="","",项目档案!$C227)</f>
        <v/>
      </c>
      <c r="D227" s="32" t="str">
        <f aca="false">IF($A227="","",项目档案!$D227)</f>
        <v/>
      </c>
      <c r="E227" s="41" t="str">
        <f aca="false">IF($A227="","",SUMIFS(业务流水!$H$5:$H$1504,业务流水!$E$5:$E$1504,$D227,业务流水!$D$5:$D$1504,"销项开票",业务流水!$C$5:$C$1504,$A227,业务流水!$Z$5:$Z$1504,"是"))</f>
        <v/>
      </c>
      <c r="F227" s="49" t="str">
        <f aca="false">IF(OR($A227="",$E227=0),"",SUMIFS(业务流水!$O$5:$O$1504,业务流水!$E$5:$E$1504,$D227,业务流水!$D$5:$D$1504,"销项开票",业务流水!$C$5:$C$1504,$A227,业务流水!$Z$5:$Z$1504,"是")/$E227)</f>
        <v/>
      </c>
      <c r="G227" s="41" t="str">
        <f aca="false">IF($A227="","",SUMIFS(业务流水!$O$5:$O$1504,业务流水!$E$5:$E$1504,$D227,业务流水!$D$5:$D$1504,"销项开票",业务流水!$C$5:$C$1504,$A227,业务流水!$Z$5:$Z$1504,"是"))</f>
        <v/>
      </c>
      <c r="H227" s="42" t="str">
        <f aca="false">IF($A227="","",$E227-$G227)</f>
        <v/>
      </c>
      <c r="I227" s="32" t="str">
        <f aca="false">IF($A227="","",项目档案!$F227)</f>
        <v/>
      </c>
      <c r="J227" s="41" t="n">
        <f aca="false">IF(OR($A227="",$I227=""),0,SUMIFS(业务流水!$H$5:$H$1504,业务流水!$E$5:$E$1504,$I227,业务流水!$D$5:$D$1504,"销项开票",业务流水!$C$5:$C$1504,$A227,业务流水!$Z$5:$Z$1504,"是"))</f>
        <v>0</v>
      </c>
      <c r="K227" s="49" t="str">
        <f aca="false">IF(OR($A227="",$J227=0),"",SUMIFS(业务流水!$O$5:$O$1504,业务流水!$E$5:$E$1504,$I227,业务流水!$D$5:$D$1504,"销项开票",业务流水!$C$5:$C$1504,$A227,业务流水!$Z$5:$Z$1504,"是")/$J227)</f>
        <v/>
      </c>
      <c r="L227" s="41" t="n">
        <f aca="false">IF(OR($A227="",$I227=""),0,SUMIFS(业务流水!$O$5:$O$1504,业务流水!$E$5:$E$1504,$I227,业务流水!$D$5:$D$1504,"销项开票",业务流水!$C$5:$C$1504,$A227,业务流水!$Z$5:$Z$1504,"是"))</f>
        <v>0</v>
      </c>
      <c r="M227" s="43" t="str">
        <f aca="false">IF($A227="","",IF(AND($I227&lt;&gt;"",$J227&gt;0),$J227-$L227,$H227))</f>
        <v/>
      </c>
      <c r="N227" s="41" t="str">
        <f aca="false">IF($A227="","",SUMIFS(业务流水!$H$5:$H$1504,业务流水!$F$5:$F$1504,"*",业务流水!$D$5:$D$1504,"成本票",业务流水!$C$5:$C$1504,$A227,业务流水!$Z$5:$Z$1504,"是"))</f>
        <v/>
      </c>
      <c r="O227" s="43" t="str">
        <f aca="false">IF($A227="","",ROUND($M227-$N227,2))</f>
        <v/>
      </c>
      <c r="P227" s="33" t="str">
        <f aca="false">IF($A227="","",IF(ABS($O227)&lt;1,"✓ 已开齐",IF($O227&gt;0,"还差成本票","多开了")))</f>
        <v/>
      </c>
    </row>
    <row r="228" customFormat="false" ht="15.75" hidden="false" customHeight="true" outlineLevel="0" collapsed="false">
      <c r="A228" s="32" t="str">
        <f aca="false">IF(项目档案!$A228="","",项目档案!$A228)</f>
        <v/>
      </c>
      <c r="B228" s="40" t="str">
        <f aca="false">IF($A228="","",项目档案!$B228)</f>
        <v/>
      </c>
      <c r="C228" s="32" t="str">
        <f aca="false">IF($A228="","",项目档案!$C228)</f>
        <v/>
      </c>
      <c r="D228" s="32" t="str">
        <f aca="false">IF($A228="","",项目档案!$D228)</f>
        <v/>
      </c>
      <c r="E228" s="41" t="str">
        <f aca="false">IF($A228="","",SUMIFS(业务流水!$H$5:$H$1504,业务流水!$E$5:$E$1504,$D228,业务流水!$D$5:$D$1504,"销项开票",业务流水!$C$5:$C$1504,$A228,业务流水!$Z$5:$Z$1504,"是"))</f>
        <v/>
      </c>
      <c r="F228" s="49" t="str">
        <f aca="false">IF(OR($A228="",$E228=0),"",SUMIFS(业务流水!$O$5:$O$1504,业务流水!$E$5:$E$1504,$D228,业务流水!$D$5:$D$1504,"销项开票",业务流水!$C$5:$C$1504,$A228,业务流水!$Z$5:$Z$1504,"是")/$E228)</f>
        <v/>
      </c>
      <c r="G228" s="41" t="str">
        <f aca="false">IF($A228="","",SUMIFS(业务流水!$O$5:$O$1504,业务流水!$E$5:$E$1504,$D228,业务流水!$D$5:$D$1504,"销项开票",业务流水!$C$5:$C$1504,$A228,业务流水!$Z$5:$Z$1504,"是"))</f>
        <v/>
      </c>
      <c r="H228" s="42" t="str">
        <f aca="false">IF($A228="","",$E228-$G228)</f>
        <v/>
      </c>
      <c r="I228" s="32" t="str">
        <f aca="false">IF($A228="","",项目档案!$F228)</f>
        <v/>
      </c>
      <c r="J228" s="41" t="n">
        <f aca="false">IF(OR($A228="",$I228=""),0,SUMIFS(业务流水!$H$5:$H$1504,业务流水!$E$5:$E$1504,$I228,业务流水!$D$5:$D$1504,"销项开票",业务流水!$C$5:$C$1504,$A228,业务流水!$Z$5:$Z$1504,"是"))</f>
        <v>0</v>
      </c>
      <c r="K228" s="49" t="str">
        <f aca="false">IF(OR($A228="",$J228=0),"",SUMIFS(业务流水!$O$5:$O$1504,业务流水!$E$5:$E$1504,$I228,业务流水!$D$5:$D$1504,"销项开票",业务流水!$C$5:$C$1504,$A228,业务流水!$Z$5:$Z$1504,"是")/$J228)</f>
        <v/>
      </c>
      <c r="L228" s="41" t="n">
        <f aca="false">IF(OR($A228="",$I228=""),0,SUMIFS(业务流水!$O$5:$O$1504,业务流水!$E$5:$E$1504,$I228,业务流水!$D$5:$D$1504,"销项开票",业务流水!$C$5:$C$1504,$A228,业务流水!$Z$5:$Z$1504,"是"))</f>
        <v>0</v>
      </c>
      <c r="M228" s="43" t="str">
        <f aca="false">IF($A228="","",IF(AND($I228&lt;&gt;"",$J228&gt;0),$J228-$L228,$H228))</f>
        <v/>
      </c>
      <c r="N228" s="41" t="str">
        <f aca="false">IF($A228="","",SUMIFS(业务流水!$H$5:$H$1504,业务流水!$F$5:$F$1504,"*",业务流水!$D$5:$D$1504,"成本票",业务流水!$C$5:$C$1504,$A228,业务流水!$Z$5:$Z$1504,"是"))</f>
        <v/>
      </c>
      <c r="O228" s="43" t="str">
        <f aca="false">IF($A228="","",ROUND($M228-$N228,2))</f>
        <v/>
      </c>
      <c r="P228" s="33" t="str">
        <f aca="false">IF($A228="","",IF(ABS($O228)&lt;1,"✓ 已开齐",IF($O228&gt;0,"还差成本票","多开了")))</f>
        <v/>
      </c>
    </row>
    <row r="229" customFormat="false" ht="15.75" hidden="false" customHeight="true" outlineLevel="0" collapsed="false">
      <c r="A229" s="32" t="str">
        <f aca="false">IF(项目档案!$A229="","",项目档案!$A229)</f>
        <v/>
      </c>
      <c r="B229" s="40" t="str">
        <f aca="false">IF($A229="","",项目档案!$B229)</f>
        <v/>
      </c>
      <c r="C229" s="32" t="str">
        <f aca="false">IF($A229="","",项目档案!$C229)</f>
        <v/>
      </c>
      <c r="D229" s="32" t="str">
        <f aca="false">IF($A229="","",项目档案!$D229)</f>
        <v/>
      </c>
      <c r="E229" s="41" t="str">
        <f aca="false">IF($A229="","",SUMIFS(业务流水!$H$5:$H$1504,业务流水!$E$5:$E$1504,$D229,业务流水!$D$5:$D$1504,"销项开票",业务流水!$C$5:$C$1504,$A229,业务流水!$Z$5:$Z$1504,"是"))</f>
        <v/>
      </c>
      <c r="F229" s="49" t="str">
        <f aca="false">IF(OR($A229="",$E229=0),"",SUMIFS(业务流水!$O$5:$O$1504,业务流水!$E$5:$E$1504,$D229,业务流水!$D$5:$D$1504,"销项开票",业务流水!$C$5:$C$1504,$A229,业务流水!$Z$5:$Z$1504,"是")/$E229)</f>
        <v/>
      </c>
      <c r="G229" s="41" t="str">
        <f aca="false">IF($A229="","",SUMIFS(业务流水!$O$5:$O$1504,业务流水!$E$5:$E$1504,$D229,业务流水!$D$5:$D$1504,"销项开票",业务流水!$C$5:$C$1504,$A229,业务流水!$Z$5:$Z$1504,"是"))</f>
        <v/>
      </c>
      <c r="H229" s="42" t="str">
        <f aca="false">IF($A229="","",$E229-$G229)</f>
        <v/>
      </c>
      <c r="I229" s="32" t="str">
        <f aca="false">IF($A229="","",项目档案!$F229)</f>
        <v/>
      </c>
      <c r="J229" s="41" t="n">
        <f aca="false">IF(OR($A229="",$I229=""),0,SUMIFS(业务流水!$H$5:$H$1504,业务流水!$E$5:$E$1504,$I229,业务流水!$D$5:$D$1504,"销项开票",业务流水!$C$5:$C$1504,$A229,业务流水!$Z$5:$Z$1504,"是"))</f>
        <v>0</v>
      </c>
      <c r="K229" s="49" t="str">
        <f aca="false">IF(OR($A229="",$J229=0),"",SUMIFS(业务流水!$O$5:$O$1504,业务流水!$E$5:$E$1504,$I229,业务流水!$D$5:$D$1504,"销项开票",业务流水!$C$5:$C$1504,$A229,业务流水!$Z$5:$Z$1504,"是")/$J229)</f>
        <v/>
      </c>
      <c r="L229" s="41" t="n">
        <f aca="false">IF(OR($A229="",$I229=""),0,SUMIFS(业务流水!$O$5:$O$1504,业务流水!$E$5:$E$1504,$I229,业务流水!$D$5:$D$1504,"销项开票",业务流水!$C$5:$C$1504,$A229,业务流水!$Z$5:$Z$1504,"是"))</f>
        <v>0</v>
      </c>
      <c r="M229" s="43" t="str">
        <f aca="false">IF($A229="","",IF(AND($I229&lt;&gt;"",$J229&gt;0),$J229-$L229,$H229))</f>
        <v/>
      </c>
      <c r="N229" s="41" t="str">
        <f aca="false">IF($A229="","",SUMIFS(业务流水!$H$5:$H$1504,业务流水!$F$5:$F$1504,"*",业务流水!$D$5:$D$1504,"成本票",业务流水!$C$5:$C$1504,$A229,业务流水!$Z$5:$Z$1504,"是"))</f>
        <v/>
      </c>
      <c r="O229" s="43" t="str">
        <f aca="false">IF($A229="","",ROUND($M229-$N229,2))</f>
        <v/>
      </c>
      <c r="P229" s="33" t="str">
        <f aca="false">IF($A229="","",IF(ABS($O229)&lt;1,"✓ 已开齐",IF($O229&gt;0,"还差成本票","多开了")))</f>
        <v/>
      </c>
    </row>
    <row r="230" customFormat="false" ht="15.75" hidden="false" customHeight="true" outlineLevel="0" collapsed="false">
      <c r="A230" s="32" t="str">
        <f aca="false">IF(项目档案!$A230="","",项目档案!$A230)</f>
        <v/>
      </c>
      <c r="B230" s="40" t="str">
        <f aca="false">IF($A230="","",项目档案!$B230)</f>
        <v/>
      </c>
      <c r="C230" s="32" t="str">
        <f aca="false">IF($A230="","",项目档案!$C230)</f>
        <v/>
      </c>
      <c r="D230" s="32" t="str">
        <f aca="false">IF($A230="","",项目档案!$D230)</f>
        <v/>
      </c>
      <c r="E230" s="41" t="str">
        <f aca="false">IF($A230="","",SUMIFS(业务流水!$H$5:$H$1504,业务流水!$E$5:$E$1504,$D230,业务流水!$D$5:$D$1504,"销项开票",业务流水!$C$5:$C$1504,$A230,业务流水!$Z$5:$Z$1504,"是"))</f>
        <v/>
      </c>
      <c r="F230" s="49" t="str">
        <f aca="false">IF(OR($A230="",$E230=0),"",SUMIFS(业务流水!$O$5:$O$1504,业务流水!$E$5:$E$1504,$D230,业务流水!$D$5:$D$1504,"销项开票",业务流水!$C$5:$C$1504,$A230,业务流水!$Z$5:$Z$1504,"是")/$E230)</f>
        <v/>
      </c>
      <c r="G230" s="41" t="str">
        <f aca="false">IF($A230="","",SUMIFS(业务流水!$O$5:$O$1504,业务流水!$E$5:$E$1504,$D230,业务流水!$D$5:$D$1504,"销项开票",业务流水!$C$5:$C$1504,$A230,业务流水!$Z$5:$Z$1504,"是"))</f>
        <v/>
      </c>
      <c r="H230" s="42" t="str">
        <f aca="false">IF($A230="","",$E230-$G230)</f>
        <v/>
      </c>
      <c r="I230" s="32" t="str">
        <f aca="false">IF($A230="","",项目档案!$F230)</f>
        <v/>
      </c>
      <c r="J230" s="41" t="n">
        <f aca="false">IF(OR($A230="",$I230=""),0,SUMIFS(业务流水!$H$5:$H$1504,业务流水!$E$5:$E$1504,$I230,业务流水!$D$5:$D$1504,"销项开票",业务流水!$C$5:$C$1504,$A230,业务流水!$Z$5:$Z$1504,"是"))</f>
        <v>0</v>
      </c>
      <c r="K230" s="49" t="str">
        <f aca="false">IF(OR($A230="",$J230=0),"",SUMIFS(业务流水!$O$5:$O$1504,业务流水!$E$5:$E$1504,$I230,业务流水!$D$5:$D$1504,"销项开票",业务流水!$C$5:$C$1504,$A230,业务流水!$Z$5:$Z$1504,"是")/$J230)</f>
        <v/>
      </c>
      <c r="L230" s="41" t="n">
        <f aca="false">IF(OR($A230="",$I230=""),0,SUMIFS(业务流水!$O$5:$O$1504,业务流水!$E$5:$E$1504,$I230,业务流水!$D$5:$D$1504,"销项开票",业务流水!$C$5:$C$1504,$A230,业务流水!$Z$5:$Z$1504,"是"))</f>
        <v>0</v>
      </c>
      <c r="M230" s="43" t="str">
        <f aca="false">IF($A230="","",IF(AND($I230&lt;&gt;"",$J230&gt;0),$J230-$L230,$H230))</f>
        <v/>
      </c>
      <c r="N230" s="41" t="str">
        <f aca="false">IF($A230="","",SUMIFS(业务流水!$H$5:$H$1504,业务流水!$F$5:$F$1504,"*",业务流水!$D$5:$D$1504,"成本票",业务流水!$C$5:$C$1504,$A230,业务流水!$Z$5:$Z$1504,"是"))</f>
        <v/>
      </c>
      <c r="O230" s="43" t="str">
        <f aca="false">IF($A230="","",ROUND($M230-$N230,2))</f>
        <v/>
      </c>
      <c r="P230" s="33" t="str">
        <f aca="false">IF($A230="","",IF(ABS($O230)&lt;1,"✓ 已开齐",IF($O230&gt;0,"还差成本票","多开了")))</f>
        <v/>
      </c>
    </row>
    <row r="231" customFormat="false" ht="15.75" hidden="false" customHeight="true" outlineLevel="0" collapsed="false">
      <c r="A231" s="32" t="str">
        <f aca="false">IF(项目档案!$A231="","",项目档案!$A231)</f>
        <v/>
      </c>
      <c r="B231" s="40" t="str">
        <f aca="false">IF($A231="","",项目档案!$B231)</f>
        <v/>
      </c>
      <c r="C231" s="32" t="str">
        <f aca="false">IF($A231="","",项目档案!$C231)</f>
        <v/>
      </c>
      <c r="D231" s="32" t="str">
        <f aca="false">IF($A231="","",项目档案!$D231)</f>
        <v/>
      </c>
      <c r="E231" s="41" t="str">
        <f aca="false">IF($A231="","",SUMIFS(业务流水!$H$5:$H$1504,业务流水!$E$5:$E$1504,$D231,业务流水!$D$5:$D$1504,"销项开票",业务流水!$C$5:$C$1504,$A231,业务流水!$Z$5:$Z$1504,"是"))</f>
        <v/>
      </c>
      <c r="F231" s="49" t="str">
        <f aca="false">IF(OR($A231="",$E231=0),"",SUMIFS(业务流水!$O$5:$O$1504,业务流水!$E$5:$E$1504,$D231,业务流水!$D$5:$D$1504,"销项开票",业务流水!$C$5:$C$1504,$A231,业务流水!$Z$5:$Z$1504,"是")/$E231)</f>
        <v/>
      </c>
      <c r="G231" s="41" t="str">
        <f aca="false">IF($A231="","",SUMIFS(业务流水!$O$5:$O$1504,业务流水!$E$5:$E$1504,$D231,业务流水!$D$5:$D$1504,"销项开票",业务流水!$C$5:$C$1504,$A231,业务流水!$Z$5:$Z$1504,"是"))</f>
        <v/>
      </c>
      <c r="H231" s="42" t="str">
        <f aca="false">IF($A231="","",$E231-$G231)</f>
        <v/>
      </c>
      <c r="I231" s="32" t="str">
        <f aca="false">IF($A231="","",项目档案!$F231)</f>
        <v/>
      </c>
      <c r="J231" s="41" t="n">
        <f aca="false">IF(OR($A231="",$I231=""),0,SUMIFS(业务流水!$H$5:$H$1504,业务流水!$E$5:$E$1504,$I231,业务流水!$D$5:$D$1504,"销项开票",业务流水!$C$5:$C$1504,$A231,业务流水!$Z$5:$Z$1504,"是"))</f>
        <v>0</v>
      </c>
      <c r="K231" s="49" t="str">
        <f aca="false">IF(OR($A231="",$J231=0),"",SUMIFS(业务流水!$O$5:$O$1504,业务流水!$E$5:$E$1504,$I231,业务流水!$D$5:$D$1504,"销项开票",业务流水!$C$5:$C$1504,$A231,业务流水!$Z$5:$Z$1504,"是")/$J231)</f>
        <v/>
      </c>
      <c r="L231" s="41" t="n">
        <f aca="false">IF(OR($A231="",$I231=""),0,SUMIFS(业务流水!$O$5:$O$1504,业务流水!$E$5:$E$1504,$I231,业务流水!$D$5:$D$1504,"销项开票",业务流水!$C$5:$C$1504,$A231,业务流水!$Z$5:$Z$1504,"是"))</f>
        <v>0</v>
      </c>
      <c r="M231" s="43" t="str">
        <f aca="false">IF($A231="","",IF(AND($I231&lt;&gt;"",$J231&gt;0),$J231-$L231,$H231))</f>
        <v/>
      </c>
      <c r="N231" s="41" t="str">
        <f aca="false">IF($A231="","",SUMIFS(业务流水!$H$5:$H$1504,业务流水!$F$5:$F$1504,"*",业务流水!$D$5:$D$1504,"成本票",业务流水!$C$5:$C$1504,$A231,业务流水!$Z$5:$Z$1504,"是"))</f>
        <v/>
      </c>
      <c r="O231" s="43" t="str">
        <f aca="false">IF($A231="","",ROUND($M231-$N231,2))</f>
        <v/>
      </c>
      <c r="P231" s="33" t="str">
        <f aca="false">IF($A231="","",IF(ABS($O231)&lt;1,"✓ 已开齐",IF($O231&gt;0,"还差成本票","多开了")))</f>
        <v/>
      </c>
    </row>
    <row r="232" customFormat="false" ht="15.75" hidden="false" customHeight="true" outlineLevel="0" collapsed="false">
      <c r="A232" s="32" t="str">
        <f aca="false">IF(项目档案!$A232="","",项目档案!$A232)</f>
        <v/>
      </c>
      <c r="B232" s="40" t="str">
        <f aca="false">IF($A232="","",项目档案!$B232)</f>
        <v/>
      </c>
      <c r="C232" s="32" t="str">
        <f aca="false">IF($A232="","",项目档案!$C232)</f>
        <v/>
      </c>
      <c r="D232" s="32" t="str">
        <f aca="false">IF($A232="","",项目档案!$D232)</f>
        <v/>
      </c>
      <c r="E232" s="41" t="str">
        <f aca="false">IF($A232="","",SUMIFS(业务流水!$H$5:$H$1504,业务流水!$E$5:$E$1504,$D232,业务流水!$D$5:$D$1504,"销项开票",业务流水!$C$5:$C$1504,$A232,业务流水!$Z$5:$Z$1504,"是"))</f>
        <v/>
      </c>
      <c r="F232" s="49" t="str">
        <f aca="false">IF(OR($A232="",$E232=0),"",SUMIFS(业务流水!$O$5:$O$1504,业务流水!$E$5:$E$1504,$D232,业务流水!$D$5:$D$1504,"销项开票",业务流水!$C$5:$C$1504,$A232,业务流水!$Z$5:$Z$1504,"是")/$E232)</f>
        <v/>
      </c>
      <c r="G232" s="41" t="str">
        <f aca="false">IF($A232="","",SUMIFS(业务流水!$O$5:$O$1504,业务流水!$E$5:$E$1504,$D232,业务流水!$D$5:$D$1504,"销项开票",业务流水!$C$5:$C$1504,$A232,业务流水!$Z$5:$Z$1504,"是"))</f>
        <v/>
      </c>
      <c r="H232" s="42" t="str">
        <f aca="false">IF($A232="","",$E232-$G232)</f>
        <v/>
      </c>
      <c r="I232" s="32" t="str">
        <f aca="false">IF($A232="","",项目档案!$F232)</f>
        <v/>
      </c>
      <c r="J232" s="41" t="n">
        <f aca="false">IF(OR($A232="",$I232=""),0,SUMIFS(业务流水!$H$5:$H$1504,业务流水!$E$5:$E$1504,$I232,业务流水!$D$5:$D$1504,"销项开票",业务流水!$C$5:$C$1504,$A232,业务流水!$Z$5:$Z$1504,"是"))</f>
        <v>0</v>
      </c>
      <c r="K232" s="49" t="str">
        <f aca="false">IF(OR($A232="",$J232=0),"",SUMIFS(业务流水!$O$5:$O$1504,业务流水!$E$5:$E$1504,$I232,业务流水!$D$5:$D$1504,"销项开票",业务流水!$C$5:$C$1504,$A232,业务流水!$Z$5:$Z$1504,"是")/$J232)</f>
        <v/>
      </c>
      <c r="L232" s="41" t="n">
        <f aca="false">IF(OR($A232="",$I232=""),0,SUMIFS(业务流水!$O$5:$O$1504,业务流水!$E$5:$E$1504,$I232,业务流水!$D$5:$D$1504,"销项开票",业务流水!$C$5:$C$1504,$A232,业务流水!$Z$5:$Z$1504,"是"))</f>
        <v>0</v>
      </c>
      <c r="M232" s="43" t="str">
        <f aca="false">IF($A232="","",IF(AND($I232&lt;&gt;"",$J232&gt;0),$J232-$L232,$H232))</f>
        <v/>
      </c>
      <c r="N232" s="41" t="str">
        <f aca="false">IF($A232="","",SUMIFS(业务流水!$H$5:$H$1504,业务流水!$F$5:$F$1504,"*",业务流水!$D$5:$D$1504,"成本票",业务流水!$C$5:$C$1504,$A232,业务流水!$Z$5:$Z$1504,"是"))</f>
        <v/>
      </c>
      <c r="O232" s="43" t="str">
        <f aca="false">IF($A232="","",ROUND($M232-$N232,2))</f>
        <v/>
      </c>
      <c r="P232" s="33" t="str">
        <f aca="false">IF($A232="","",IF(ABS($O232)&lt;1,"✓ 已开齐",IF($O232&gt;0,"还差成本票","多开了")))</f>
        <v/>
      </c>
    </row>
    <row r="233" customFormat="false" ht="15.75" hidden="false" customHeight="true" outlineLevel="0" collapsed="false">
      <c r="A233" s="32" t="str">
        <f aca="false">IF(项目档案!$A233="","",项目档案!$A233)</f>
        <v/>
      </c>
      <c r="B233" s="40" t="str">
        <f aca="false">IF($A233="","",项目档案!$B233)</f>
        <v/>
      </c>
      <c r="C233" s="32" t="str">
        <f aca="false">IF($A233="","",项目档案!$C233)</f>
        <v/>
      </c>
      <c r="D233" s="32" t="str">
        <f aca="false">IF($A233="","",项目档案!$D233)</f>
        <v/>
      </c>
      <c r="E233" s="41" t="str">
        <f aca="false">IF($A233="","",SUMIFS(业务流水!$H$5:$H$1504,业务流水!$E$5:$E$1504,$D233,业务流水!$D$5:$D$1504,"销项开票",业务流水!$C$5:$C$1504,$A233,业务流水!$Z$5:$Z$1504,"是"))</f>
        <v/>
      </c>
      <c r="F233" s="49" t="str">
        <f aca="false">IF(OR($A233="",$E233=0),"",SUMIFS(业务流水!$O$5:$O$1504,业务流水!$E$5:$E$1504,$D233,业务流水!$D$5:$D$1504,"销项开票",业务流水!$C$5:$C$1504,$A233,业务流水!$Z$5:$Z$1504,"是")/$E233)</f>
        <v/>
      </c>
      <c r="G233" s="41" t="str">
        <f aca="false">IF($A233="","",SUMIFS(业务流水!$O$5:$O$1504,业务流水!$E$5:$E$1504,$D233,业务流水!$D$5:$D$1504,"销项开票",业务流水!$C$5:$C$1504,$A233,业务流水!$Z$5:$Z$1504,"是"))</f>
        <v/>
      </c>
      <c r="H233" s="42" t="str">
        <f aca="false">IF($A233="","",$E233-$G233)</f>
        <v/>
      </c>
      <c r="I233" s="32" t="str">
        <f aca="false">IF($A233="","",项目档案!$F233)</f>
        <v/>
      </c>
      <c r="J233" s="41" t="n">
        <f aca="false">IF(OR($A233="",$I233=""),0,SUMIFS(业务流水!$H$5:$H$1504,业务流水!$E$5:$E$1504,$I233,业务流水!$D$5:$D$1504,"销项开票",业务流水!$C$5:$C$1504,$A233,业务流水!$Z$5:$Z$1504,"是"))</f>
        <v>0</v>
      </c>
      <c r="K233" s="49" t="str">
        <f aca="false">IF(OR($A233="",$J233=0),"",SUMIFS(业务流水!$O$5:$O$1504,业务流水!$E$5:$E$1504,$I233,业务流水!$D$5:$D$1504,"销项开票",业务流水!$C$5:$C$1504,$A233,业务流水!$Z$5:$Z$1504,"是")/$J233)</f>
        <v/>
      </c>
      <c r="L233" s="41" t="n">
        <f aca="false">IF(OR($A233="",$I233=""),0,SUMIFS(业务流水!$O$5:$O$1504,业务流水!$E$5:$E$1504,$I233,业务流水!$D$5:$D$1504,"销项开票",业务流水!$C$5:$C$1504,$A233,业务流水!$Z$5:$Z$1504,"是"))</f>
        <v>0</v>
      </c>
      <c r="M233" s="43" t="str">
        <f aca="false">IF($A233="","",IF(AND($I233&lt;&gt;"",$J233&gt;0),$J233-$L233,$H233))</f>
        <v/>
      </c>
      <c r="N233" s="41" t="str">
        <f aca="false">IF($A233="","",SUMIFS(业务流水!$H$5:$H$1504,业务流水!$F$5:$F$1504,"*",业务流水!$D$5:$D$1504,"成本票",业务流水!$C$5:$C$1504,$A233,业务流水!$Z$5:$Z$1504,"是"))</f>
        <v/>
      </c>
      <c r="O233" s="43" t="str">
        <f aca="false">IF($A233="","",ROUND($M233-$N233,2))</f>
        <v/>
      </c>
      <c r="P233" s="33" t="str">
        <f aca="false">IF($A233="","",IF(ABS($O233)&lt;1,"✓ 已开齐",IF($O233&gt;0,"还差成本票","多开了")))</f>
        <v/>
      </c>
    </row>
    <row r="234" customFormat="false" ht="15.75" hidden="false" customHeight="true" outlineLevel="0" collapsed="false">
      <c r="A234" s="32" t="str">
        <f aca="false">IF(项目档案!$A234="","",项目档案!$A234)</f>
        <v/>
      </c>
      <c r="B234" s="40" t="str">
        <f aca="false">IF($A234="","",项目档案!$B234)</f>
        <v/>
      </c>
      <c r="C234" s="32" t="str">
        <f aca="false">IF($A234="","",项目档案!$C234)</f>
        <v/>
      </c>
      <c r="D234" s="32" t="str">
        <f aca="false">IF($A234="","",项目档案!$D234)</f>
        <v/>
      </c>
      <c r="E234" s="41" t="str">
        <f aca="false">IF($A234="","",SUMIFS(业务流水!$H$5:$H$1504,业务流水!$E$5:$E$1504,$D234,业务流水!$D$5:$D$1504,"销项开票",业务流水!$C$5:$C$1504,$A234,业务流水!$Z$5:$Z$1504,"是"))</f>
        <v/>
      </c>
      <c r="F234" s="49" t="str">
        <f aca="false">IF(OR($A234="",$E234=0),"",SUMIFS(业务流水!$O$5:$O$1504,业务流水!$E$5:$E$1504,$D234,业务流水!$D$5:$D$1504,"销项开票",业务流水!$C$5:$C$1504,$A234,业务流水!$Z$5:$Z$1504,"是")/$E234)</f>
        <v/>
      </c>
      <c r="G234" s="41" t="str">
        <f aca="false">IF($A234="","",SUMIFS(业务流水!$O$5:$O$1504,业务流水!$E$5:$E$1504,$D234,业务流水!$D$5:$D$1504,"销项开票",业务流水!$C$5:$C$1504,$A234,业务流水!$Z$5:$Z$1504,"是"))</f>
        <v/>
      </c>
      <c r="H234" s="42" t="str">
        <f aca="false">IF($A234="","",$E234-$G234)</f>
        <v/>
      </c>
      <c r="I234" s="32" t="str">
        <f aca="false">IF($A234="","",项目档案!$F234)</f>
        <v/>
      </c>
      <c r="J234" s="41" t="n">
        <f aca="false">IF(OR($A234="",$I234=""),0,SUMIFS(业务流水!$H$5:$H$1504,业务流水!$E$5:$E$1504,$I234,业务流水!$D$5:$D$1504,"销项开票",业务流水!$C$5:$C$1504,$A234,业务流水!$Z$5:$Z$1504,"是"))</f>
        <v>0</v>
      </c>
      <c r="K234" s="49" t="str">
        <f aca="false">IF(OR($A234="",$J234=0),"",SUMIFS(业务流水!$O$5:$O$1504,业务流水!$E$5:$E$1504,$I234,业务流水!$D$5:$D$1504,"销项开票",业务流水!$C$5:$C$1504,$A234,业务流水!$Z$5:$Z$1504,"是")/$J234)</f>
        <v/>
      </c>
      <c r="L234" s="41" t="n">
        <f aca="false">IF(OR($A234="",$I234=""),0,SUMIFS(业务流水!$O$5:$O$1504,业务流水!$E$5:$E$1504,$I234,业务流水!$D$5:$D$1504,"销项开票",业务流水!$C$5:$C$1504,$A234,业务流水!$Z$5:$Z$1504,"是"))</f>
        <v>0</v>
      </c>
      <c r="M234" s="43" t="str">
        <f aca="false">IF($A234="","",IF(AND($I234&lt;&gt;"",$J234&gt;0),$J234-$L234,$H234))</f>
        <v/>
      </c>
      <c r="N234" s="41" t="str">
        <f aca="false">IF($A234="","",SUMIFS(业务流水!$H$5:$H$1504,业务流水!$F$5:$F$1504,"*",业务流水!$D$5:$D$1504,"成本票",业务流水!$C$5:$C$1504,$A234,业务流水!$Z$5:$Z$1504,"是"))</f>
        <v/>
      </c>
      <c r="O234" s="43" t="str">
        <f aca="false">IF($A234="","",ROUND($M234-$N234,2))</f>
        <v/>
      </c>
      <c r="P234" s="33" t="str">
        <f aca="false">IF($A234="","",IF(ABS($O234)&lt;1,"✓ 已开齐",IF($O234&gt;0,"还差成本票","多开了")))</f>
        <v/>
      </c>
    </row>
    <row r="235" customFormat="false" ht="15.75" hidden="false" customHeight="true" outlineLevel="0" collapsed="false">
      <c r="A235" s="32" t="str">
        <f aca="false">IF(项目档案!$A235="","",项目档案!$A235)</f>
        <v/>
      </c>
      <c r="B235" s="40" t="str">
        <f aca="false">IF($A235="","",项目档案!$B235)</f>
        <v/>
      </c>
      <c r="C235" s="32" t="str">
        <f aca="false">IF($A235="","",项目档案!$C235)</f>
        <v/>
      </c>
      <c r="D235" s="32" t="str">
        <f aca="false">IF($A235="","",项目档案!$D235)</f>
        <v/>
      </c>
      <c r="E235" s="41" t="str">
        <f aca="false">IF($A235="","",SUMIFS(业务流水!$H$5:$H$1504,业务流水!$E$5:$E$1504,$D235,业务流水!$D$5:$D$1504,"销项开票",业务流水!$C$5:$C$1504,$A235,业务流水!$Z$5:$Z$1504,"是"))</f>
        <v/>
      </c>
      <c r="F235" s="49" t="str">
        <f aca="false">IF(OR($A235="",$E235=0),"",SUMIFS(业务流水!$O$5:$O$1504,业务流水!$E$5:$E$1504,$D235,业务流水!$D$5:$D$1504,"销项开票",业务流水!$C$5:$C$1504,$A235,业务流水!$Z$5:$Z$1504,"是")/$E235)</f>
        <v/>
      </c>
      <c r="G235" s="41" t="str">
        <f aca="false">IF($A235="","",SUMIFS(业务流水!$O$5:$O$1504,业务流水!$E$5:$E$1504,$D235,业务流水!$D$5:$D$1504,"销项开票",业务流水!$C$5:$C$1504,$A235,业务流水!$Z$5:$Z$1504,"是"))</f>
        <v/>
      </c>
      <c r="H235" s="42" t="str">
        <f aca="false">IF($A235="","",$E235-$G235)</f>
        <v/>
      </c>
      <c r="I235" s="32" t="str">
        <f aca="false">IF($A235="","",项目档案!$F235)</f>
        <v/>
      </c>
      <c r="J235" s="41" t="n">
        <f aca="false">IF(OR($A235="",$I235=""),0,SUMIFS(业务流水!$H$5:$H$1504,业务流水!$E$5:$E$1504,$I235,业务流水!$D$5:$D$1504,"销项开票",业务流水!$C$5:$C$1504,$A235,业务流水!$Z$5:$Z$1504,"是"))</f>
        <v>0</v>
      </c>
      <c r="K235" s="49" t="str">
        <f aca="false">IF(OR($A235="",$J235=0),"",SUMIFS(业务流水!$O$5:$O$1504,业务流水!$E$5:$E$1504,$I235,业务流水!$D$5:$D$1504,"销项开票",业务流水!$C$5:$C$1504,$A235,业务流水!$Z$5:$Z$1504,"是")/$J235)</f>
        <v/>
      </c>
      <c r="L235" s="41" t="n">
        <f aca="false">IF(OR($A235="",$I235=""),0,SUMIFS(业务流水!$O$5:$O$1504,业务流水!$E$5:$E$1504,$I235,业务流水!$D$5:$D$1504,"销项开票",业务流水!$C$5:$C$1504,$A235,业务流水!$Z$5:$Z$1504,"是"))</f>
        <v>0</v>
      </c>
      <c r="M235" s="43" t="str">
        <f aca="false">IF($A235="","",IF(AND($I235&lt;&gt;"",$J235&gt;0),$J235-$L235,$H235))</f>
        <v/>
      </c>
      <c r="N235" s="41" t="str">
        <f aca="false">IF($A235="","",SUMIFS(业务流水!$H$5:$H$1504,业务流水!$F$5:$F$1504,"*",业务流水!$D$5:$D$1504,"成本票",业务流水!$C$5:$C$1504,$A235,业务流水!$Z$5:$Z$1504,"是"))</f>
        <v/>
      </c>
      <c r="O235" s="43" t="str">
        <f aca="false">IF($A235="","",ROUND($M235-$N235,2))</f>
        <v/>
      </c>
      <c r="P235" s="33" t="str">
        <f aca="false">IF($A235="","",IF(ABS($O235)&lt;1,"✓ 已开齐",IF($O235&gt;0,"还差成本票","多开了")))</f>
        <v/>
      </c>
    </row>
    <row r="236" customFormat="false" ht="15.75" hidden="false" customHeight="true" outlineLevel="0" collapsed="false">
      <c r="A236" s="32" t="str">
        <f aca="false">IF(项目档案!$A236="","",项目档案!$A236)</f>
        <v/>
      </c>
      <c r="B236" s="40" t="str">
        <f aca="false">IF($A236="","",项目档案!$B236)</f>
        <v/>
      </c>
      <c r="C236" s="32" t="str">
        <f aca="false">IF($A236="","",项目档案!$C236)</f>
        <v/>
      </c>
      <c r="D236" s="32" t="str">
        <f aca="false">IF($A236="","",项目档案!$D236)</f>
        <v/>
      </c>
      <c r="E236" s="41" t="str">
        <f aca="false">IF($A236="","",SUMIFS(业务流水!$H$5:$H$1504,业务流水!$E$5:$E$1504,$D236,业务流水!$D$5:$D$1504,"销项开票",业务流水!$C$5:$C$1504,$A236,业务流水!$Z$5:$Z$1504,"是"))</f>
        <v/>
      </c>
      <c r="F236" s="49" t="str">
        <f aca="false">IF(OR($A236="",$E236=0),"",SUMIFS(业务流水!$O$5:$O$1504,业务流水!$E$5:$E$1504,$D236,业务流水!$D$5:$D$1504,"销项开票",业务流水!$C$5:$C$1504,$A236,业务流水!$Z$5:$Z$1504,"是")/$E236)</f>
        <v/>
      </c>
      <c r="G236" s="41" t="str">
        <f aca="false">IF($A236="","",SUMIFS(业务流水!$O$5:$O$1504,业务流水!$E$5:$E$1504,$D236,业务流水!$D$5:$D$1504,"销项开票",业务流水!$C$5:$C$1504,$A236,业务流水!$Z$5:$Z$1504,"是"))</f>
        <v/>
      </c>
      <c r="H236" s="42" t="str">
        <f aca="false">IF($A236="","",$E236-$G236)</f>
        <v/>
      </c>
      <c r="I236" s="32" t="str">
        <f aca="false">IF($A236="","",项目档案!$F236)</f>
        <v/>
      </c>
      <c r="J236" s="41" t="n">
        <f aca="false">IF(OR($A236="",$I236=""),0,SUMIFS(业务流水!$H$5:$H$1504,业务流水!$E$5:$E$1504,$I236,业务流水!$D$5:$D$1504,"销项开票",业务流水!$C$5:$C$1504,$A236,业务流水!$Z$5:$Z$1504,"是"))</f>
        <v>0</v>
      </c>
      <c r="K236" s="49" t="str">
        <f aca="false">IF(OR($A236="",$J236=0),"",SUMIFS(业务流水!$O$5:$O$1504,业务流水!$E$5:$E$1504,$I236,业务流水!$D$5:$D$1504,"销项开票",业务流水!$C$5:$C$1504,$A236,业务流水!$Z$5:$Z$1504,"是")/$J236)</f>
        <v/>
      </c>
      <c r="L236" s="41" t="n">
        <f aca="false">IF(OR($A236="",$I236=""),0,SUMIFS(业务流水!$O$5:$O$1504,业务流水!$E$5:$E$1504,$I236,业务流水!$D$5:$D$1504,"销项开票",业务流水!$C$5:$C$1504,$A236,业务流水!$Z$5:$Z$1504,"是"))</f>
        <v>0</v>
      </c>
      <c r="M236" s="43" t="str">
        <f aca="false">IF($A236="","",IF(AND($I236&lt;&gt;"",$J236&gt;0),$J236-$L236,$H236))</f>
        <v/>
      </c>
      <c r="N236" s="41" t="str">
        <f aca="false">IF($A236="","",SUMIFS(业务流水!$H$5:$H$1504,业务流水!$F$5:$F$1504,"*",业务流水!$D$5:$D$1504,"成本票",业务流水!$C$5:$C$1504,$A236,业务流水!$Z$5:$Z$1504,"是"))</f>
        <v/>
      </c>
      <c r="O236" s="43" t="str">
        <f aca="false">IF($A236="","",ROUND($M236-$N236,2))</f>
        <v/>
      </c>
      <c r="P236" s="33" t="str">
        <f aca="false">IF($A236="","",IF(ABS($O236)&lt;1,"✓ 已开齐",IF($O236&gt;0,"还差成本票","多开了")))</f>
        <v/>
      </c>
    </row>
    <row r="237" customFormat="false" ht="15.75" hidden="false" customHeight="true" outlineLevel="0" collapsed="false">
      <c r="A237" s="32" t="str">
        <f aca="false">IF(项目档案!$A237="","",项目档案!$A237)</f>
        <v/>
      </c>
      <c r="B237" s="40" t="str">
        <f aca="false">IF($A237="","",项目档案!$B237)</f>
        <v/>
      </c>
      <c r="C237" s="32" t="str">
        <f aca="false">IF($A237="","",项目档案!$C237)</f>
        <v/>
      </c>
      <c r="D237" s="32" t="str">
        <f aca="false">IF($A237="","",项目档案!$D237)</f>
        <v/>
      </c>
      <c r="E237" s="41" t="str">
        <f aca="false">IF($A237="","",SUMIFS(业务流水!$H$5:$H$1504,业务流水!$E$5:$E$1504,$D237,业务流水!$D$5:$D$1504,"销项开票",业务流水!$C$5:$C$1504,$A237,业务流水!$Z$5:$Z$1504,"是"))</f>
        <v/>
      </c>
      <c r="F237" s="49" t="str">
        <f aca="false">IF(OR($A237="",$E237=0),"",SUMIFS(业务流水!$O$5:$O$1504,业务流水!$E$5:$E$1504,$D237,业务流水!$D$5:$D$1504,"销项开票",业务流水!$C$5:$C$1504,$A237,业务流水!$Z$5:$Z$1504,"是")/$E237)</f>
        <v/>
      </c>
      <c r="G237" s="41" t="str">
        <f aca="false">IF($A237="","",SUMIFS(业务流水!$O$5:$O$1504,业务流水!$E$5:$E$1504,$D237,业务流水!$D$5:$D$1504,"销项开票",业务流水!$C$5:$C$1504,$A237,业务流水!$Z$5:$Z$1504,"是"))</f>
        <v/>
      </c>
      <c r="H237" s="42" t="str">
        <f aca="false">IF($A237="","",$E237-$G237)</f>
        <v/>
      </c>
      <c r="I237" s="32" t="str">
        <f aca="false">IF($A237="","",项目档案!$F237)</f>
        <v/>
      </c>
      <c r="J237" s="41" t="n">
        <f aca="false">IF(OR($A237="",$I237=""),0,SUMIFS(业务流水!$H$5:$H$1504,业务流水!$E$5:$E$1504,$I237,业务流水!$D$5:$D$1504,"销项开票",业务流水!$C$5:$C$1504,$A237,业务流水!$Z$5:$Z$1504,"是"))</f>
        <v>0</v>
      </c>
      <c r="K237" s="49" t="str">
        <f aca="false">IF(OR($A237="",$J237=0),"",SUMIFS(业务流水!$O$5:$O$1504,业务流水!$E$5:$E$1504,$I237,业务流水!$D$5:$D$1504,"销项开票",业务流水!$C$5:$C$1504,$A237,业务流水!$Z$5:$Z$1504,"是")/$J237)</f>
        <v/>
      </c>
      <c r="L237" s="41" t="n">
        <f aca="false">IF(OR($A237="",$I237=""),0,SUMIFS(业务流水!$O$5:$O$1504,业务流水!$E$5:$E$1504,$I237,业务流水!$D$5:$D$1504,"销项开票",业务流水!$C$5:$C$1504,$A237,业务流水!$Z$5:$Z$1504,"是"))</f>
        <v>0</v>
      </c>
      <c r="M237" s="43" t="str">
        <f aca="false">IF($A237="","",IF(AND($I237&lt;&gt;"",$J237&gt;0),$J237-$L237,$H237))</f>
        <v/>
      </c>
      <c r="N237" s="41" t="str">
        <f aca="false">IF($A237="","",SUMIFS(业务流水!$H$5:$H$1504,业务流水!$F$5:$F$1504,"*",业务流水!$D$5:$D$1504,"成本票",业务流水!$C$5:$C$1504,$A237,业务流水!$Z$5:$Z$1504,"是"))</f>
        <v/>
      </c>
      <c r="O237" s="43" t="str">
        <f aca="false">IF($A237="","",ROUND($M237-$N237,2))</f>
        <v/>
      </c>
      <c r="P237" s="33" t="str">
        <f aca="false">IF($A237="","",IF(ABS($O237)&lt;1,"✓ 已开齐",IF($O237&gt;0,"还差成本票","多开了")))</f>
        <v/>
      </c>
    </row>
    <row r="238" customFormat="false" ht="15.75" hidden="false" customHeight="true" outlineLevel="0" collapsed="false">
      <c r="A238" s="32" t="str">
        <f aca="false">IF(项目档案!$A238="","",项目档案!$A238)</f>
        <v/>
      </c>
      <c r="B238" s="40" t="str">
        <f aca="false">IF($A238="","",项目档案!$B238)</f>
        <v/>
      </c>
      <c r="C238" s="32" t="str">
        <f aca="false">IF($A238="","",项目档案!$C238)</f>
        <v/>
      </c>
      <c r="D238" s="32" t="str">
        <f aca="false">IF($A238="","",项目档案!$D238)</f>
        <v/>
      </c>
      <c r="E238" s="41" t="str">
        <f aca="false">IF($A238="","",SUMIFS(业务流水!$H$5:$H$1504,业务流水!$E$5:$E$1504,$D238,业务流水!$D$5:$D$1504,"销项开票",业务流水!$C$5:$C$1504,$A238,业务流水!$Z$5:$Z$1504,"是"))</f>
        <v/>
      </c>
      <c r="F238" s="49" t="str">
        <f aca="false">IF(OR($A238="",$E238=0),"",SUMIFS(业务流水!$O$5:$O$1504,业务流水!$E$5:$E$1504,$D238,业务流水!$D$5:$D$1504,"销项开票",业务流水!$C$5:$C$1504,$A238,业务流水!$Z$5:$Z$1504,"是")/$E238)</f>
        <v/>
      </c>
      <c r="G238" s="41" t="str">
        <f aca="false">IF($A238="","",SUMIFS(业务流水!$O$5:$O$1504,业务流水!$E$5:$E$1504,$D238,业务流水!$D$5:$D$1504,"销项开票",业务流水!$C$5:$C$1504,$A238,业务流水!$Z$5:$Z$1504,"是"))</f>
        <v/>
      </c>
      <c r="H238" s="42" t="str">
        <f aca="false">IF($A238="","",$E238-$G238)</f>
        <v/>
      </c>
      <c r="I238" s="32" t="str">
        <f aca="false">IF($A238="","",项目档案!$F238)</f>
        <v/>
      </c>
      <c r="J238" s="41" t="n">
        <f aca="false">IF(OR($A238="",$I238=""),0,SUMIFS(业务流水!$H$5:$H$1504,业务流水!$E$5:$E$1504,$I238,业务流水!$D$5:$D$1504,"销项开票",业务流水!$C$5:$C$1504,$A238,业务流水!$Z$5:$Z$1504,"是"))</f>
        <v>0</v>
      </c>
      <c r="K238" s="49" t="str">
        <f aca="false">IF(OR($A238="",$J238=0),"",SUMIFS(业务流水!$O$5:$O$1504,业务流水!$E$5:$E$1504,$I238,业务流水!$D$5:$D$1504,"销项开票",业务流水!$C$5:$C$1504,$A238,业务流水!$Z$5:$Z$1504,"是")/$J238)</f>
        <v/>
      </c>
      <c r="L238" s="41" t="n">
        <f aca="false">IF(OR($A238="",$I238=""),0,SUMIFS(业务流水!$O$5:$O$1504,业务流水!$E$5:$E$1504,$I238,业务流水!$D$5:$D$1504,"销项开票",业务流水!$C$5:$C$1504,$A238,业务流水!$Z$5:$Z$1504,"是"))</f>
        <v>0</v>
      </c>
      <c r="M238" s="43" t="str">
        <f aca="false">IF($A238="","",IF(AND($I238&lt;&gt;"",$J238&gt;0),$J238-$L238,$H238))</f>
        <v/>
      </c>
      <c r="N238" s="41" t="str">
        <f aca="false">IF($A238="","",SUMIFS(业务流水!$H$5:$H$1504,业务流水!$F$5:$F$1504,"*",业务流水!$D$5:$D$1504,"成本票",业务流水!$C$5:$C$1504,$A238,业务流水!$Z$5:$Z$1504,"是"))</f>
        <v/>
      </c>
      <c r="O238" s="43" t="str">
        <f aca="false">IF($A238="","",ROUND($M238-$N238,2))</f>
        <v/>
      </c>
      <c r="P238" s="33" t="str">
        <f aca="false">IF($A238="","",IF(ABS($O238)&lt;1,"✓ 已开齐",IF($O238&gt;0,"还差成本票","多开了")))</f>
        <v/>
      </c>
    </row>
    <row r="239" customFormat="false" ht="15.75" hidden="false" customHeight="true" outlineLevel="0" collapsed="false">
      <c r="A239" s="32" t="str">
        <f aca="false">IF(项目档案!$A239="","",项目档案!$A239)</f>
        <v/>
      </c>
      <c r="B239" s="40" t="str">
        <f aca="false">IF($A239="","",项目档案!$B239)</f>
        <v/>
      </c>
      <c r="C239" s="32" t="str">
        <f aca="false">IF($A239="","",项目档案!$C239)</f>
        <v/>
      </c>
      <c r="D239" s="32" t="str">
        <f aca="false">IF($A239="","",项目档案!$D239)</f>
        <v/>
      </c>
      <c r="E239" s="41" t="str">
        <f aca="false">IF($A239="","",SUMIFS(业务流水!$H$5:$H$1504,业务流水!$E$5:$E$1504,$D239,业务流水!$D$5:$D$1504,"销项开票",业务流水!$C$5:$C$1504,$A239,业务流水!$Z$5:$Z$1504,"是"))</f>
        <v/>
      </c>
      <c r="F239" s="49" t="str">
        <f aca="false">IF(OR($A239="",$E239=0),"",SUMIFS(业务流水!$O$5:$O$1504,业务流水!$E$5:$E$1504,$D239,业务流水!$D$5:$D$1504,"销项开票",业务流水!$C$5:$C$1504,$A239,业务流水!$Z$5:$Z$1504,"是")/$E239)</f>
        <v/>
      </c>
      <c r="G239" s="41" t="str">
        <f aca="false">IF($A239="","",SUMIFS(业务流水!$O$5:$O$1504,业务流水!$E$5:$E$1504,$D239,业务流水!$D$5:$D$1504,"销项开票",业务流水!$C$5:$C$1504,$A239,业务流水!$Z$5:$Z$1504,"是"))</f>
        <v/>
      </c>
      <c r="H239" s="42" t="str">
        <f aca="false">IF($A239="","",$E239-$G239)</f>
        <v/>
      </c>
      <c r="I239" s="32" t="str">
        <f aca="false">IF($A239="","",项目档案!$F239)</f>
        <v/>
      </c>
      <c r="J239" s="41" t="n">
        <f aca="false">IF(OR($A239="",$I239=""),0,SUMIFS(业务流水!$H$5:$H$1504,业务流水!$E$5:$E$1504,$I239,业务流水!$D$5:$D$1504,"销项开票",业务流水!$C$5:$C$1504,$A239,业务流水!$Z$5:$Z$1504,"是"))</f>
        <v>0</v>
      </c>
      <c r="K239" s="49" t="str">
        <f aca="false">IF(OR($A239="",$J239=0),"",SUMIFS(业务流水!$O$5:$O$1504,业务流水!$E$5:$E$1504,$I239,业务流水!$D$5:$D$1504,"销项开票",业务流水!$C$5:$C$1504,$A239,业务流水!$Z$5:$Z$1504,"是")/$J239)</f>
        <v/>
      </c>
      <c r="L239" s="41" t="n">
        <f aca="false">IF(OR($A239="",$I239=""),0,SUMIFS(业务流水!$O$5:$O$1504,业务流水!$E$5:$E$1504,$I239,业务流水!$D$5:$D$1504,"销项开票",业务流水!$C$5:$C$1504,$A239,业务流水!$Z$5:$Z$1504,"是"))</f>
        <v>0</v>
      </c>
      <c r="M239" s="43" t="str">
        <f aca="false">IF($A239="","",IF(AND($I239&lt;&gt;"",$J239&gt;0),$J239-$L239,$H239))</f>
        <v/>
      </c>
      <c r="N239" s="41" t="str">
        <f aca="false">IF($A239="","",SUMIFS(业务流水!$H$5:$H$1504,业务流水!$F$5:$F$1504,"*",业务流水!$D$5:$D$1504,"成本票",业务流水!$C$5:$C$1504,$A239,业务流水!$Z$5:$Z$1504,"是"))</f>
        <v/>
      </c>
      <c r="O239" s="43" t="str">
        <f aca="false">IF($A239="","",ROUND($M239-$N239,2))</f>
        <v/>
      </c>
      <c r="P239" s="33" t="str">
        <f aca="false">IF($A239="","",IF(ABS($O239)&lt;1,"✓ 已开齐",IF($O239&gt;0,"还差成本票","多开了")))</f>
        <v/>
      </c>
    </row>
    <row r="240" customFormat="false" ht="15.75" hidden="false" customHeight="true" outlineLevel="0" collapsed="false">
      <c r="A240" s="32" t="str">
        <f aca="false">IF(项目档案!$A240="","",项目档案!$A240)</f>
        <v/>
      </c>
      <c r="B240" s="40" t="str">
        <f aca="false">IF($A240="","",项目档案!$B240)</f>
        <v/>
      </c>
      <c r="C240" s="32" t="str">
        <f aca="false">IF($A240="","",项目档案!$C240)</f>
        <v/>
      </c>
      <c r="D240" s="32" t="str">
        <f aca="false">IF($A240="","",项目档案!$D240)</f>
        <v/>
      </c>
      <c r="E240" s="41" t="str">
        <f aca="false">IF($A240="","",SUMIFS(业务流水!$H$5:$H$1504,业务流水!$E$5:$E$1504,$D240,业务流水!$D$5:$D$1504,"销项开票",业务流水!$C$5:$C$1504,$A240,业务流水!$Z$5:$Z$1504,"是"))</f>
        <v/>
      </c>
      <c r="F240" s="49" t="str">
        <f aca="false">IF(OR($A240="",$E240=0),"",SUMIFS(业务流水!$O$5:$O$1504,业务流水!$E$5:$E$1504,$D240,业务流水!$D$5:$D$1504,"销项开票",业务流水!$C$5:$C$1504,$A240,业务流水!$Z$5:$Z$1504,"是")/$E240)</f>
        <v/>
      </c>
      <c r="G240" s="41" t="str">
        <f aca="false">IF($A240="","",SUMIFS(业务流水!$O$5:$O$1504,业务流水!$E$5:$E$1504,$D240,业务流水!$D$5:$D$1504,"销项开票",业务流水!$C$5:$C$1504,$A240,业务流水!$Z$5:$Z$1504,"是"))</f>
        <v/>
      </c>
      <c r="H240" s="42" t="str">
        <f aca="false">IF($A240="","",$E240-$G240)</f>
        <v/>
      </c>
      <c r="I240" s="32" t="str">
        <f aca="false">IF($A240="","",项目档案!$F240)</f>
        <v/>
      </c>
      <c r="J240" s="41" t="n">
        <f aca="false">IF(OR($A240="",$I240=""),0,SUMIFS(业务流水!$H$5:$H$1504,业务流水!$E$5:$E$1504,$I240,业务流水!$D$5:$D$1504,"销项开票",业务流水!$C$5:$C$1504,$A240,业务流水!$Z$5:$Z$1504,"是"))</f>
        <v>0</v>
      </c>
      <c r="K240" s="49" t="str">
        <f aca="false">IF(OR($A240="",$J240=0),"",SUMIFS(业务流水!$O$5:$O$1504,业务流水!$E$5:$E$1504,$I240,业务流水!$D$5:$D$1504,"销项开票",业务流水!$C$5:$C$1504,$A240,业务流水!$Z$5:$Z$1504,"是")/$J240)</f>
        <v/>
      </c>
      <c r="L240" s="41" t="n">
        <f aca="false">IF(OR($A240="",$I240=""),0,SUMIFS(业务流水!$O$5:$O$1504,业务流水!$E$5:$E$1504,$I240,业务流水!$D$5:$D$1504,"销项开票",业务流水!$C$5:$C$1504,$A240,业务流水!$Z$5:$Z$1504,"是"))</f>
        <v>0</v>
      </c>
      <c r="M240" s="43" t="str">
        <f aca="false">IF($A240="","",IF(AND($I240&lt;&gt;"",$J240&gt;0),$J240-$L240,$H240))</f>
        <v/>
      </c>
      <c r="N240" s="41" t="str">
        <f aca="false">IF($A240="","",SUMIFS(业务流水!$H$5:$H$1504,业务流水!$F$5:$F$1504,"*",业务流水!$D$5:$D$1504,"成本票",业务流水!$C$5:$C$1504,$A240,业务流水!$Z$5:$Z$1504,"是"))</f>
        <v/>
      </c>
      <c r="O240" s="43" t="str">
        <f aca="false">IF($A240="","",ROUND($M240-$N240,2))</f>
        <v/>
      </c>
      <c r="P240" s="33" t="str">
        <f aca="false">IF($A240="","",IF(ABS($O240)&lt;1,"✓ 已开齐",IF($O240&gt;0,"还差成本票","多开了")))</f>
        <v/>
      </c>
    </row>
    <row r="241" customFormat="false" ht="15.75" hidden="false" customHeight="true" outlineLevel="0" collapsed="false">
      <c r="A241" s="32" t="str">
        <f aca="false">IF(项目档案!$A241="","",项目档案!$A241)</f>
        <v/>
      </c>
      <c r="B241" s="40" t="str">
        <f aca="false">IF($A241="","",项目档案!$B241)</f>
        <v/>
      </c>
      <c r="C241" s="32" t="str">
        <f aca="false">IF($A241="","",项目档案!$C241)</f>
        <v/>
      </c>
      <c r="D241" s="32" t="str">
        <f aca="false">IF($A241="","",项目档案!$D241)</f>
        <v/>
      </c>
      <c r="E241" s="41" t="str">
        <f aca="false">IF($A241="","",SUMIFS(业务流水!$H$5:$H$1504,业务流水!$E$5:$E$1504,$D241,业务流水!$D$5:$D$1504,"销项开票",业务流水!$C$5:$C$1504,$A241,业务流水!$Z$5:$Z$1504,"是"))</f>
        <v/>
      </c>
      <c r="F241" s="49" t="str">
        <f aca="false">IF(OR($A241="",$E241=0),"",SUMIFS(业务流水!$O$5:$O$1504,业务流水!$E$5:$E$1504,$D241,业务流水!$D$5:$D$1504,"销项开票",业务流水!$C$5:$C$1504,$A241,业务流水!$Z$5:$Z$1504,"是")/$E241)</f>
        <v/>
      </c>
      <c r="G241" s="41" t="str">
        <f aca="false">IF($A241="","",SUMIFS(业务流水!$O$5:$O$1504,业务流水!$E$5:$E$1504,$D241,业务流水!$D$5:$D$1504,"销项开票",业务流水!$C$5:$C$1504,$A241,业务流水!$Z$5:$Z$1504,"是"))</f>
        <v/>
      </c>
      <c r="H241" s="42" t="str">
        <f aca="false">IF($A241="","",$E241-$G241)</f>
        <v/>
      </c>
      <c r="I241" s="32" t="str">
        <f aca="false">IF($A241="","",项目档案!$F241)</f>
        <v/>
      </c>
      <c r="J241" s="41" t="n">
        <f aca="false">IF(OR($A241="",$I241=""),0,SUMIFS(业务流水!$H$5:$H$1504,业务流水!$E$5:$E$1504,$I241,业务流水!$D$5:$D$1504,"销项开票",业务流水!$C$5:$C$1504,$A241,业务流水!$Z$5:$Z$1504,"是"))</f>
        <v>0</v>
      </c>
      <c r="K241" s="49" t="str">
        <f aca="false">IF(OR($A241="",$J241=0),"",SUMIFS(业务流水!$O$5:$O$1504,业务流水!$E$5:$E$1504,$I241,业务流水!$D$5:$D$1504,"销项开票",业务流水!$C$5:$C$1504,$A241,业务流水!$Z$5:$Z$1504,"是")/$J241)</f>
        <v/>
      </c>
      <c r="L241" s="41" t="n">
        <f aca="false">IF(OR($A241="",$I241=""),0,SUMIFS(业务流水!$O$5:$O$1504,业务流水!$E$5:$E$1504,$I241,业务流水!$D$5:$D$1504,"销项开票",业务流水!$C$5:$C$1504,$A241,业务流水!$Z$5:$Z$1504,"是"))</f>
        <v>0</v>
      </c>
      <c r="M241" s="43" t="str">
        <f aca="false">IF($A241="","",IF(AND($I241&lt;&gt;"",$J241&gt;0),$J241-$L241,$H241))</f>
        <v/>
      </c>
      <c r="N241" s="41" t="str">
        <f aca="false">IF($A241="","",SUMIFS(业务流水!$H$5:$H$1504,业务流水!$F$5:$F$1504,"*",业务流水!$D$5:$D$1504,"成本票",业务流水!$C$5:$C$1504,$A241,业务流水!$Z$5:$Z$1504,"是"))</f>
        <v/>
      </c>
      <c r="O241" s="43" t="str">
        <f aca="false">IF($A241="","",ROUND($M241-$N241,2))</f>
        <v/>
      </c>
      <c r="P241" s="33" t="str">
        <f aca="false">IF($A241="","",IF(ABS($O241)&lt;1,"✓ 已开齐",IF($O241&gt;0,"还差成本票","多开了")))</f>
        <v/>
      </c>
    </row>
    <row r="242" customFormat="false" ht="15.75" hidden="false" customHeight="true" outlineLevel="0" collapsed="false">
      <c r="A242" s="32" t="str">
        <f aca="false">IF(项目档案!$A242="","",项目档案!$A242)</f>
        <v/>
      </c>
      <c r="B242" s="40" t="str">
        <f aca="false">IF($A242="","",项目档案!$B242)</f>
        <v/>
      </c>
      <c r="C242" s="32" t="str">
        <f aca="false">IF($A242="","",项目档案!$C242)</f>
        <v/>
      </c>
      <c r="D242" s="32" t="str">
        <f aca="false">IF($A242="","",项目档案!$D242)</f>
        <v/>
      </c>
      <c r="E242" s="41" t="str">
        <f aca="false">IF($A242="","",SUMIFS(业务流水!$H$5:$H$1504,业务流水!$E$5:$E$1504,$D242,业务流水!$D$5:$D$1504,"销项开票",业务流水!$C$5:$C$1504,$A242,业务流水!$Z$5:$Z$1504,"是"))</f>
        <v/>
      </c>
      <c r="F242" s="49" t="str">
        <f aca="false">IF(OR($A242="",$E242=0),"",SUMIFS(业务流水!$O$5:$O$1504,业务流水!$E$5:$E$1504,$D242,业务流水!$D$5:$D$1504,"销项开票",业务流水!$C$5:$C$1504,$A242,业务流水!$Z$5:$Z$1504,"是")/$E242)</f>
        <v/>
      </c>
      <c r="G242" s="41" t="str">
        <f aca="false">IF($A242="","",SUMIFS(业务流水!$O$5:$O$1504,业务流水!$E$5:$E$1504,$D242,业务流水!$D$5:$D$1504,"销项开票",业务流水!$C$5:$C$1504,$A242,业务流水!$Z$5:$Z$1504,"是"))</f>
        <v/>
      </c>
      <c r="H242" s="42" t="str">
        <f aca="false">IF($A242="","",$E242-$G242)</f>
        <v/>
      </c>
      <c r="I242" s="32" t="str">
        <f aca="false">IF($A242="","",项目档案!$F242)</f>
        <v/>
      </c>
      <c r="J242" s="41" t="n">
        <f aca="false">IF(OR($A242="",$I242=""),0,SUMIFS(业务流水!$H$5:$H$1504,业务流水!$E$5:$E$1504,$I242,业务流水!$D$5:$D$1504,"销项开票",业务流水!$C$5:$C$1504,$A242,业务流水!$Z$5:$Z$1504,"是"))</f>
        <v>0</v>
      </c>
      <c r="K242" s="49" t="str">
        <f aca="false">IF(OR($A242="",$J242=0),"",SUMIFS(业务流水!$O$5:$O$1504,业务流水!$E$5:$E$1504,$I242,业务流水!$D$5:$D$1504,"销项开票",业务流水!$C$5:$C$1504,$A242,业务流水!$Z$5:$Z$1504,"是")/$J242)</f>
        <v/>
      </c>
      <c r="L242" s="41" t="n">
        <f aca="false">IF(OR($A242="",$I242=""),0,SUMIFS(业务流水!$O$5:$O$1504,业务流水!$E$5:$E$1504,$I242,业务流水!$D$5:$D$1504,"销项开票",业务流水!$C$5:$C$1504,$A242,业务流水!$Z$5:$Z$1504,"是"))</f>
        <v>0</v>
      </c>
      <c r="M242" s="43" t="str">
        <f aca="false">IF($A242="","",IF(AND($I242&lt;&gt;"",$J242&gt;0),$J242-$L242,$H242))</f>
        <v/>
      </c>
      <c r="N242" s="41" t="str">
        <f aca="false">IF($A242="","",SUMIFS(业务流水!$H$5:$H$1504,业务流水!$F$5:$F$1504,"*",业务流水!$D$5:$D$1504,"成本票",业务流水!$C$5:$C$1504,$A242,业务流水!$Z$5:$Z$1504,"是"))</f>
        <v/>
      </c>
      <c r="O242" s="43" t="str">
        <f aca="false">IF($A242="","",ROUND($M242-$N242,2))</f>
        <v/>
      </c>
      <c r="P242" s="33" t="str">
        <f aca="false">IF($A242="","",IF(ABS($O242)&lt;1,"✓ 已开齐",IF($O242&gt;0,"还差成本票","多开了")))</f>
        <v/>
      </c>
    </row>
    <row r="243" customFormat="false" ht="15.75" hidden="false" customHeight="true" outlineLevel="0" collapsed="false">
      <c r="A243" s="32" t="str">
        <f aca="false">IF(项目档案!$A243="","",项目档案!$A243)</f>
        <v/>
      </c>
      <c r="B243" s="40" t="str">
        <f aca="false">IF($A243="","",项目档案!$B243)</f>
        <v/>
      </c>
      <c r="C243" s="32" t="str">
        <f aca="false">IF($A243="","",项目档案!$C243)</f>
        <v/>
      </c>
      <c r="D243" s="32" t="str">
        <f aca="false">IF($A243="","",项目档案!$D243)</f>
        <v/>
      </c>
      <c r="E243" s="41" t="str">
        <f aca="false">IF($A243="","",SUMIFS(业务流水!$H$5:$H$1504,业务流水!$E$5:$E$1504,$D243,业务流水!$D$5:$D$1504,"销项开票",业务流水!$C$5:$C$1504,$A243,业务流水!$Z$5:$Z$1504,"是"))</f>
        <v/>
      </c>
      <c r="F243" s="49" t="str">
        <f aca="false">IF(OR($A243="",$E243=0),"",SUMIFS(业务流水!$O$5:$O$1504,业务流水!$E$5:$E$1504,$D243,业务流水!$D$5:$D$1504,"销项开票",业务流水!$C$5:$C$1504,$A243,业务流水!$Z$5:$Z$1504,"是")/$E243)</f>
        <v/>
      </c>
      <c r="G243" s="41" t="str">
        <f aca="false">IF($A243="","",SUMIFS(业务流水!$O$5:$O$1504,业务流水!$E$5:$E$1504,$D243,业务流水!$D$5:$D$1504,"销项开票",业务流水!$C$5:$C$1504,$A243,业务流水!$Z$5:$Z$1504,"是"))</f>
        <v/>
      </c>
      <c r="H243" s="42" t="str">
        <f aca="false">IF($A243="","",$E243-$G243)</f>
        <v/>
      </c>
      <c r="I243" s="32" t="str">
        <f aca="false">IF($A243="","",项目档案!$F243)</f>
        <v/>
      </c>
      <c r="J243" s="41" t="n">
        <f aca="false">IF(OR($A243="",$I243=""),0,SUMIFS(业务流水!$H$5:$H$1504,业务流水!$E$5:$E$1504,$I243,业务流水!$D$5:$D$1504,"销项开票",业务流水!$C$5:$C$1504,$A243,业务流水!$Z$5:$Z$1504,"是"))</f>
        <v>0</v>
      </c>
      <c r="K243" s="49" t="str">
        <f aca="false">IF(OR($A243="",$J243=0),"",SUMIFS(业务流水!$O$5:$O$1504,业务流水!$E$5:$E$1504,$I243,业务流水!$D$5:$D$1504,"销项开票",业务流水!$C$5:$C$1504,$A243,业务流水!$Z$5:$Z$1504,"是")/$J243)</f>
        <v/>
      </c>
      <c r="L243" s="41" t="n">
        <f aca="false">IF(OR($A243="",$I243=""),0,SUMIFS(业务流水!$O$5:$O$1504,业务流水!$E$5:$E$1504,$I243,业务流水!$D$5:$D$1504,"销项开票",业务流水!$C$5:$C$1504,$A243,业务流水!$Z$5:$Z$1504,"是"))</f>
        <v>0</v>
      </c>
      <c r="M243" s="43" t="str">
        <f aca="false">IF($A243="","",IF(AND($I243&lt;&gt;"",$J243&gt;0),$J243-$L243,$H243))</f>
        <v/>
      </c>
      <c r="N243" s="41" t="str">
        <f aca="false">IF($A243="","",SUMIFS(业务流水!$H$5:$H$1504,业务流水!$F$5:$F$1504,"*",业务流水!$D$5:$D$1504,"成本票",业务流水!$C$5:$C$1504,$A243,业务流水!$Z$5:$Z$1504,"是"))</f>
        <v/>
      </c>
      <c r="O243" s="43" t="str">
        <f aca="false">IF($A243="","",ROUND($M243-$N243,2))</f>
        <v/>
      </c>
      <c r="P243" s="33" t="str">
        <f aca="false">IF($A243="","",IF(ABS($O243)&lt;1,"✓ 已开齐",IF($O243&gt;0,"还差成本票","多开了")))</f>
        <v/>
      </c>
    </row>
    <row r="244" customFormat="false" ht="15.75" hidden="false" customHeight="true" outlineLevel="0" collapsed="false">
      <c r="A244" s="32" t="str">
        <f aca="false">IF(项目档案!$A244="","",项目档案!$A244)</f>
        <v/>
      </c>
      <c r="B244" s="40" t="str">
        <f aca="false">IF($A244="","",项目档案!$B244)</f>
        <v/>
      </c>
      <c r="C244" s="32" t="str">
        <f aca="false">IF($A244="","",项目档案!$C244)</f>
        <v/>
      </c>
      <c r="D244" s="32" t="str">
        <f aca="false">IF($A244="","",项目档案!$D244)</f>
        <v/>
      </c>
      <c r="E244" s="41" t="str">
        <f aca="false">IF($A244="","",SUMIFS(业务流水!$H$5:$H$1504,业务流水!$E$5:$E$1504,$D244,业务流水!$D$5:$D$1504,"销项开票",业务流水!$C$5:$C$1504,$A244,业务流水!$Z$5:$Z$1504,"是"))</f>
        <v/>
      </c>
      <c r="F244" s="49" t="str">
        <f aca="false">IF(OR($A244="",$E244=0),"",SUMIFS(业务流水!$O$5:$O$1504,业务流水!$E$5:$E$1504,$D244,业务流水!$D$5:$D$1504,"销项开票",业务流水!$C$5:$C$1504,$A244,业务流水!$Z$5:$Z$1504,"是")/$E244)</f>
        <v/>
      </c>
      <c r="G244" s="41" t="str">
        <f aca="false">IF($A244="","",SUMIFS(业务流水!$O$5:$O$1504,业务流水!$E$5:$E$1504,$D244,业务流水!$D$5:$D$1504,"销项开票",业务流水!$C$5:$C$1504,$A244,业务流水!$Z$5:$Z$1504,"是"))</f>
        <v/>
      </c>
      <c r="H244" s="42" t="str">
        <f aca="false">IF($A244="","",$E244-$G244)</f>
        <v/>
      </c>
      <c r="I244" s="32" t="str">
        <f aca="false">IF($A244="","",项目档案!$F244)</f>
        <v/>
      </c>
      <c r="J244" s="41" t="n">
        <f aca="false">IF(OR($A244="",$I244=""),0,SUMIFS(业务流水!$H$5:$H$1504,业务流水!$E$5:$E$1504,$I244,业务流水!$D$5:$D$1504,"销项开票",业务流水!$C$5:$C$1504,$A244,业务流水!$Z$5:$Z$1504,"是"))</f>
        <v>0</v>
      </c>
      <c r="K244" s="49" t="str">
        <f aca="false">IF(OR($A244="",$J244=0),"",SUMIFS(业务流水!$O$5:$O$1504,业务流水!$E$5:$E$1504,$I244,业务流水!$D$5:$D$1504,"销项开票",业务流水!$C$5:$C$1504,$A244,业务流水!$Z$5:$Z$1504,"是")/$J244)</f>
        <v/>
      </c>
      <c r="L244" s="41" t="n">
        <f aca="false">IF(OR($A244="",$I244=""),0,SUMIFS(业务流水!$O$5:$O$1504,业务流水!$E$5:$E$1504,$I244,业务流水!$D$5:$D$1504,"销项开票",业务流水!$C$5:$C$1504,$A244,业务流水!$Z$5:$Z$1504,"是"))</f>
        <v>0</v>
      </c>
      <c r="M244" s="43" t="str">
        <f aca="false">IF($A244="","",IF(AND($I244&lt;&gt;"",$J244&gt;0),$J244-$L244,$H244))</f>
        <v/>
      </c>
      <c r="N244" s="41" t="str">
        <f aca="false">IF($A244="","",SUMIFS(业务流水!$H$5:$H$1504,业务流水!$F$5:$F$1504,"*",业务流水!$D$5:$D$1504,"成本票",业务流水!$C$5:$C$1504,$A244,业务流水!$Z$5:$Z$1504,"是"))</f>
        <v/>
      </c>
      <c r="O244" s="43" t="str">
        <f aca="false">IF($A244="","",ROUND($M244-$N244,2))</f>
        <v/>
      </c>
      <c r="P244" s="33" t="str">
        <f aca="false">IF($A244="","",IF(ABS($O244)&lt;1,"✓ 已开齐",IF($O244&gt;0,"还差成本票","多开了")))</f>
        <v/>
      </c>
    </row>
    <row r="245" customFormat="false" ht="15.75" hidden="false" customHeight="true" outlineLevel="0" collapsed="false">
      <c r="A245" s="32" t="str">
        <f aca="false">IF(项目档案!$A245="","",项目档案!$A245)</f>
        <v/>
      </c>
      <c r="B245" s="40" t="str">
        <f aca="false">IF($A245="","",项目档案!$B245)</f>
        <v/>
      </c>
      <c r="C245" s="32" t="str">
        <f aca="false">IF($A245="","",项目档案!$C245)</f>
        <v/>
      </c>
      <c r="D245" s="32" t="str">
        <f aca="false">IF($A245="","",项目档案!$D245)</f>
        <v/>
      </c>
      <c r="E245" s="41" t="str">
        <f aca="false">IF($A245="","",SUMIFS(业务流水!$H$5:$H$1504,业务流水!$E$5:$E$1504,$D245,业务流水!$D$5:$D$1504,"销项开票",业务流水!$C$5:$C$1504,$A245,业务流水!$Z$5:$Z$1504,"是"))</f>
        <v/>
      </c>
      <c r="F245" s="49" t="str">
        <f aca="false">IF(OR($A245="",$E245=0),"",SUMIFS(业务流水!$O$5:$O$1504,业务流水!$E$5:$E$1504,$D245,业务流水!$D$5:$D$1504,"销项开票",业务流水!$C$5:$C$1504,$A245,业务流水!$Z$5:$Z$1504,"是")/$E245)</f>
        <v/>
      </c>
      <c r="G245" s="41" t="str">
        <f aca="false">IF($A245="","",SUMIFS(业务流水!$O$5:$O$1504,业务流水!$E$5:$E$1504,$D245,业务流水!$D$5:$D$1504,"销项开票",业务流水!$C$5:$C$1504,$A245,业务流水!$Z$5:$Z$1504,"是"))</f>
        <v/>
      </c>
      <c r="H245" s="42" t="str">
        <f aca="false">IF($A245="","",$E245-$G245)</f>
        <v/>
      </c>
      <c r="I245" s="32" t="str">
        <f aca="false">IF($A245="","",项目档案!$F245)</f>
        <v/>
      </c>
      <c r="J245" s="41" t="n">
        <f aca="false">IF(OR($A245="",$I245=""),0,SUMIFS(业务流水!$H$5:$H$1504,业务流水!$E$5:$E$1504,$I245,业务流水!$D$5:$D$1504,"销项开票",业务流水!$C$5:$C$1504,$A245,业务流水!$Z$5:$Z$1504,"是"))</f>
        <v>0</v>
      </c>
      <c r="K245" s="49" t="str">
        <f aca="false">IF(OR($A245="",$J245=0),"",SUMIFS(业务流水!$O$5:$O$1504,业务流水!$E$5:$E$1504,$I245,业务流水!$D$5:$D$1504,"销项开票",业务流水!$C$5:$C$1504,$A245,业务流水!$Z$5:$Z$1504,"是")/$J245)</f>
        <v/>
      </c>
      <c r="L245" s="41" t="n">
        <f aca="false">IF(OR($A245="",$I245=""),0,SUMIFS(业务流水!$O$5:$O$1504,业务流水!$E$5:$E$1504,$I245,业务流水!$D$5:$D$1504,"销项开票",业务流水!$C$5:$C$1504,$A245,业务流水!$Z$5:$Z$1504,"是"))</f>
        <v>0</v>
      </c>
      <c r="M245" s="43" t="str">
        <f aca="false">IF($A245="","",IF(AND($I245&lt;&gt;"",$J245&gt;0),$J245-$L245,$H245))</f>
        <v/>
      </c>
      <c r="N245" s="41" t="str">
        <f aca="false">IF($A245="","",SUMIFS(业务流水!$H$5:$H$1504,业务流水!$F$5:$F$1504,"*",业务流水!$D$5:$D$1504,"成本票",业务流水!$C$5:$C$1504,$A245,业务流水!$Z$5:$Z$1504,"是"))</f>
        <v/>
      </c>
      <c r="O245" s="43" t="str">
        <f aca="false">IF($A245="","",ROUND($M245-$N245,2))</f>
        <v/>
      </c>
      <c r="P245" s="33" t="str">
        <f aca="false">IF($A245="","",IF(ABS($O245)&lt;1,"✓ 已开齐",IF($O245&gt;0,"还差成本票","多开了")))</f>
        <v/>
      </c>
    </row>
    <row r="246" customFormat="false" ht="15.75" hidden="false" customHeight="true" outlineLevel="0" collapsed="false">
      <c r="A246" s="32" t="str">
        <f aca="false">IF(项目档案!$A246="","",项目档案!$A246)</f>
        <v/>
      </c>
      <c r="B246" s="40" t="str">
        <f aca="false">IF($A246="","",项目档案!$B246)</f>
        <v/>
      </c>
      <c r="C246" s="32" t="str">
        <f aca="false">IF($A246="","",项目档案!$C246)</f>
        <v/>
      </c>
      <c r="D246" s="32" t="str">
        <f aca="false">IF($A246="","",项目档案!$D246)</f>
        <v/>
      </c>
      <c r="E246" s="41" t="str">
        <f aca="false">IF($A246="","",SUMIFS(业务流水!$H$5:$H$1504,业务流水!$E$5:$E$1504,$D246,业务流水!$D$5:$D$1504,"销项开票",业务流水!$C$5:$C$1504,$A246,业务流水!$Z$5:$Z$1504,"是"))</f>
        <v/>
      </c>
      <c r="F246" s="49" t="str">
        <f aca="false">IF(OR($A246="",$E246=0),"",SUMIFS(业务流水!$O$5:$O$1504,业务流水!$E$5:$E$1504,$D246,业务流水!$D$5:$D$1504,"销项开票",业务流水!$C$5:$C$1504,$A246,业务流水!$Z$5:$Z$1504,"是")/$E246)</f>
        <v/>
      </c>
      <c r="G246" s="41" t="str">
        <f aca="false">IF($A246="","",SUMIFS(业务流水!$O$5:$O$1504,业务流水!$E$5:$E$1504,$D246,业务流水!$D$5:$D$1504,"销项开票",业务流水!$C$5:$C$1504,$A246,业务流水!$Z$5:$Z$1504,"是"))</f>
        <v/>
      </c>
      <c r="H246" s="42" t="str">
        <f aca="false">IF($A246="","",$E246-$G246)</f>
        <v/>
      </c>
      <c r="I246" s="32" t="str">
        <f aca="false">IF($A246="","",项目档案!$F246)</f>
        <v/>
      </c>
      <c r="J246" s="41" t="n">
        <f aca="false">IF(OR($A246="",$I246=""),0,SUMIFS(业务流水!$H$5:$H$1504,业务流水!$E$5:$E$1504,$I246,业务流水!$D$5:$D$1504,"销项开票",业务流水!$C$5:$C$1504,$A246,业务流水!$Z$5:$Z$1504,"是"))</f>
        <v>0</v>
      </c>
      <c r="K246" s="49" t="str">
        <f aca="false">IF(OR($A246="",$J246=0),"",SUMIFS(业务流水!$O$5:$O$1504,业务流水!$E$5:$E$1504,$I246,业务流水!$D$5:$D$1504,"销项开票",业务流水!$C$5:$C$1504,$A246,业务流水!$Z$5:$Z$1504,"是")/$J246)</f>
        <v/>
      </c>
      <c r="L246" s="41" t="n">
        <f aca="false">IF(OR($A246="",$I246=""),0,SUMIFS(业务流水!$O$5:$O$1504,业务流水!$E$5:$E$1504,$I246,业务流水!$D$5:$D$1504,"销项开票",业务流水!$C$5:$C$1504,$A246,业务流水!$Z$5:$Z$1504,"是"))</f>
        <v>0</v>
      </c>
      <c r="M246" s="43" t="str">
        <f aca="false">IF($A246="","",IF(AND($I246&lt;&gt;"",$J246&gt;0),$J246-$L246,$H246))</f>
        <v/>
      </c>
      <c r="N246" s="41" t="str">
        <f aca="false">IF($A246="","",SUMIFS(业务流水!$H$5:$H$1504,业务流水!$F$5:$F$1504,"*",业务流水!$D$5:$D$1504,"成本票",业务流水!$C$5:$C$1504,$A246,业务流水!$Z$5:$Z$1504,"是"))</f>
        <v/>
      </c>
      <c r="O246" s="43" t="str">
        <f aca="false">IF($A246="","",ROUND($M246-$N246,2))</f>
        <v/>
      </c>
      <c r="P246" s="33" t="str">
        <f aca="false">IF($A246="","",IF(ABS($O246)&lt;1,"✓ 已开齐",IF($O246&gt;0,"还差成本票","多开了")))</f>
        <v/>
      </c>
    </row>
    <row r="247" customFormat="false" ht="15.75" hidden="false" customHeight="true" outlineLevel="0" collapsed="false">
      <c r="A247" s="32" t="str">
        <f aca="false">IF(项目档案!$A247="","",项目档案!$A247)</f>
        <v/>
      </c>
      <c r="B247" s="40" t="str">
        <f aca="false">IF($A247="","",项目档案!$B247)</f>
        <v/>
      </c>
      <c r="C247" s="32" t="str">
        <f aca="false">IF($A247="","",项目档案!$C247)</f>
        <v/>
      </c>
      <c r="D247" s="32" t="str">
        <f aca="false">IF($A247="","",项目档案!$D247)</f>
        <v/>
      </c>
      <c r="E247" s="41" t="str">
        <f aca="false">IF($A247="","",SUMIFS(业务流水!$H$5:$H$1504,业务流水!$E$5:$E$1504,$D247,业务流水!$D$5:$D$1504,"销项开票",业务流水!$C$5:$C$1504,$A247,业务流水!$Z$5:$Z$1504,"是"))</f>
        <v/>
      </c>
      <c r="F247" s="49" t="str">
        <f aca="false">IF(OR($A247="",$E247=0),"",SUMIFS(业务流水!$O$5:$O$1504,业务流水!$E$5:$E$1504,$D247,业务流水!$D$5:$D$1504,"销项开票",业务流水!$C$5:$C$1504,$A247,业务流水!$Z$5:$Z$1504,"是")/$E247)</f>
        <v/>
      </c>
      <c r="G247" s="41" t="str">
        <f aca="false">IF($A247="","",SUMIFS(业务流水!$O$5:$O$1504,业务流水!$E$5:$E$1504,$D247,业务流水!$D$5:$D$1504,"销项开票",业务流水!$C$5:$C$1504,$A247,业务流水!$Z$5:$Z$1504,"是"))</f>
        <v/>
      </c>
      <c r="H247" s="42" t="str">
        <f aca="false">IF($A247="","",$E247-$G247)</f>
        <v/>
      </c>
      <c r="I247" s="32" t="str">
        <f aca="false">IF($A247="","",项目档案!$F247)</f>
        <v/>
      </c>
      <c r="J247" s="41" t="n">
        <f aca="false">IF(OR($A247="",$I247=""),0,SUMIFS(业务流水!$H$5:$H$1504,业务流水!$E$5:$E$1504,$I247,业务流水!$D$5:$D$1504,"销项开票",业务流水!$C$5:$C$1504,$A247,业务流水!$Z$5:$Z$1504,"是"))</f>
        <v>0</v>
      </c>
      <c r="K247" s="49" t="str">
        <f aca="false">IF(OR($A247="",$J247=0),"",SUMIFS(业务流水!$O$5:$O$1504,业务流水!$E$5:$E$1504,$I247,业务流水!$D$5:$D$1504,"销项开票",业务流水!$C$5:$C$1504,$A247,业务流水!$Z$5:$Z$1504,"是")/$J247)</f>
        <v/>
      </c>
      <c r="L247" s="41" t="n">
        <f aca="false">IF(OR($A247="",$I247=""),0,SUMIFS(业务流水!$O$5:$O$1504,业务流水!$E$5:$E$1504,$I247,业务流水!$D$5:$D$1504,"销项开票",业务流水!$C$5:$C$1504,$A247,业务流水!$Z$5:$Z$1504,"是"))</f>
        <v>0</v>
      </c>
      <c r="M247" s="43" t="str">
        <f aca="false">IF($A247="","",IF(AND($I247&lt;&gt;"",$J247&gt;0),$J247-$L247,$H247))</f>
        <v/>
      </c>
      <c r="N247" s="41" t="str">
        <f aca="false">IF($A247="","",SUMIFS(业务流水!$H$5:$H$1504,业务流水!$F$5:$F$1504,"*",业务流水!$D$5:$D$1504,"成本票",业务流水!$C$5:$C$1504,$A247,业务流水!$Z$5:$Z$1504,"是"))</f>
        <v/>
      </c>
      <c r="O247" s="43" t="str">
        <f aca="false">IF($A247="","",ROUND($M247-$N247,2))</f>
        <v/>
      </c>
      <c r="P247" s="33" t="str">
        <f aca="false">IF($A247="","",IF(ABS($O247)&lt;1,"✓ 已开齐",IF($O247&gt;0,"还差成本票","多开了")))</f>
        <v/>
      </c>
    </row>
    <row r="248" customFormat="false" ht="15.75" hidden="false" customHeight="true" outlineLevel="0" collapsed="false">
      <c r="A248" s="32" t="str">
        <f aca="false">IF(项目档案!$A248="","",项目档案!$A248)</f>
        <v/>
      </c>
      <c r="B248" s="40" t="str">
        <f aca="false">IF($A248="","",项目档案!$B248)</f>
        <v/>
      </c>
      <c r="C248" s="32" t="str">
        <f aca="false">IF($A248="","",项目档案!$C248)</f>
        <v/>
      </c>
      <c r="D248" s="32" t="str">
        <f aca="false">IF($A248="","",项目档案!$D248)</f>
        <v/>
      </c>
      <c r="E248" s="41" t="str">
        <f aca="false">IF($A248="","",SUMIFS(业务流水!$H$5:$H$1504,业务流水!$E$5:$E$1504,$D248,业务流水!$D$5:$D$1504,"销项开票",业务流水!$C$5:$C$1504,$A248,业务流水!$Z$5:$Z$1504,"是"))</f>
        <v/>
      </c>
      <c r="F248" s="49" t="str">
        <f aca="false">IF(OR($A248="",$E248=0),"",SUMIFS(业务流水!$O$5:$O$1504,业务流水!$E$5:$E$1504,$D248,业务流水!$D$5:$D$1504,"销项开票",业务流水!$C$5:$C$1504,$A248,业务流水!$Z$5:$Z$1504,"是")/$E248)</f>
        <v/>
      </c>
      <c r="G248" s="41" t="str">
        <f aca="false">IF($A248="","",SUMIFS(业务流水!$O$5:$O$1504,业务流水!$E$5:$E$1504,$D248,业务流水!$D$5:$D$1504,"销项开票",业务流水!$C$5:$C$1504,$A248,业务流水!$Z$5:$Z$1504,"是"))</f>
        <v/>
      </c>
      <c r="H248" s="42" t="str">
        <f aca="false">IF($A248="","",$E248-$G248)</f>
        <v/>
      </c>
      <c r="I248" s="32" t="str">
        <f aca="false">IF($A248="","",项目档案!$F248)</f>
        <v/>
      </c>
      <c r="J248" s="41" t="n">
        <f aca="false">IF(OR($A248="",$I248=""),0,SUMIFS(业务流水!$H$5:$H$1504,业务流水!$E$5:$E$1504,$I248,业务流水!$D$5:$D$1504,"销项开票",业务流水!$C$5:$C$1504,$A248,业务流水!$Z$5:$Z$1504,"是"))</f>
        <v>0</v>
      </c>
      <c r="K248" s="49" t="str">
        <f aca="false">IF(OR($A248="",$J248=0),"",SUMIFS(业务流水!$O$5:$O$1504,业务流水!$E$5:$E$1504,$I248,业务流水!$D$5:$D$1504,"销项开票",业务流水!$C$5:$C$1504,$A248,业务流水!$Z$5:$Z$1504,"是")/$J248)</f>
        <v/>
      </c>
      <c r="L248" s="41" t="n">
        <f aca="false">IF(OR($A248="",$I248=""),0,SUMIFS(业务流水!$O$5:$O$1504,业务流水!$E$5:$E$1504,$I248,业务流水!$D$5:$D$1504,"销项开票",业务流水!$C$5:$C$1504,$A248,业务流水!$Z$5:$Z$1504,"是"))</f>
        <v>0</v>
      </c>
      <c r="M248" s="43" t="str">
        <f aca="false">IF($A248="","",IF(AND($I248&lt;&gt;"",$J248&gt;0),$J248-$L248,$H248))</f>
        <v/>
      </c>
      <c r="N248" s="41" t="str">
        <f aca="false">IF($A248="","",SUMIFS(业务流水!$H$5:$H$1504,业务流水!$F$5:$F$1504,"*",业务流水!$D$5:$D$1504,"成本票",业务流水!$C$5:$C$1504,$A248,业务流水!$Z$5:$Z$1504,"是"))</f>
        <v/>
      </c>
      <c r="O248" s="43" t="str">
        <f aca="false">IF($A248="","",ROUND($M248-$N248,2))</f>
        <v/>
      </c>
      <c r="P248" s="33" t="str">
        <f aca="false">IF($A248="","",IF(ABS($O248)&lt;1,"✓ 已开齐",IF($O248&gt;0,"还差成本票","多开了")))</f>
        <v/>
      </c>
    </row>
    <row r="249" customFormat="false" ht="15.75" hidden="false" customHeight="true" outlineLevel="0" collapsed="false">
      <c r="A249" s="32" t="str">
        <f aca="false">IF(项目档案!$A249="","",项目档案!$A249)</f>
        <v/>
      </c>
      <c r="B249" s="40" t="str">
        <f aca="false">IF($A249="","",项目档案!$B249)</f>
        <v/>
      </c>
      <c r="C249" s="32" t="str">
        <f aca="false">IF($A249="","",项目档案!$C249)</f>
        <v/>
      </c>
      <c r="D249" s="32" t="str">
        <f aca="false">IF($A249="","",项目档案!$D249)</f>
        <v/>
      </c>
      <c r="E249" s="41" t="str">
        <f aca="false">IF($A249="","",SUMIFS(业务流水!$H$5:$H$1504,业务流水!$E$5:$E$1504,$D249,业务流水!$D$5:$D$1504,"销项开票",业务流水!$C$5:$C$1504,$A249,业务流水!$Z$5:$Z$1504,"是"))</f>
        <v/>
      </c>
      <c r="F249" s="49" t="str">
        <f aca="false">IF(OR($A249="",$E249=0),"",SUMIFS(业务流水!$O$5:$O$1504,业务流水!$E$5:$E$1504,$D249,业务流水!$D$5:$D$1504,"销项开票",业务流水!$C$5:$C$1504,$A249,业务流水!$Z$5:$Z$1504,"是")/$E249)</f>
        <v/>
      </c>
      <c r="G249" s="41" t="str">
        <f aca="false">IF($A249="","",SUMIFS(业务流水!$O$5:$O$1504,业务流水!$E$5:$E$1504,$D249,业务流水!$D$5:$D$1504,"销项开票",业务流水!$C$5:$C$1504,$A249,业务流水!$Z$5:$Z$1504,"是"))</f>
        <v/>
      </c>
      <c r="H249" s="42" t="str">
        <f aca="false">IF($A249="","",$E249-$G249)</f>
        <v/>
      </c>
      <c r="I249" s="32" t="str">
        <f aca="false">IF($A249="","",项目档案!$F249)</f>
        <v/>
      </c>
      <c r="J249" s="41" t="n">
        <f aca="false">IF(OR($A249="",$I249=""),0,SUMIFS(业务流水!$H$5:$H$1504,业务流水!$E$5:$E$1504,$I249,业务流水!$D$5:$D$1504,"销项开票",业务流水!$C$5:$C$1504,$A249,业务流水!$Z$5:$Z$1504,"是"))</f>
        <v>0</v>
      </c>
      <c r="K249" s="49" t="str">
        <f aca="false">IF(OR($A249="",$J249=0),"",SUMIFS(业务流水!$O$5:$O$1504,业务流水!$E$5:$E$1504,$I249,业务流水!$D$5:$D$1504,"销项开票",业务流水!$C$5:$C$1504,$A249,业务流水!$Z$5:$Z$1504,"是")/$J249)</f>
        <v/>
      </c>
      <c r="L249" s="41" t="n">
        <f aca="false">IF(OR($A249="",$I249=""),0,SUMIFS(业务流水!$O$5:$O$1504,业务流水!$E$5:$E$1504,$I249,业务流水!$D$5:$D$1504,"销项开票",业务流水!$C$5:$C$1504,$A249,业务流水!$Z$5:$Z$1504,"是"))</f>
        <v>0</v>
      </c>
      <c r="M249" s="43" t="str">
        <f aca="false">IF($A249="","",IF(AND($I249&lt;&gt;"",$J249&gt;0),$J249-$L249,$H249))</f>
        <v/>
      </c>
      <c r="N249" s="41" t="str">
        <f aca="false">IF($A249="","",SUMIFS(业务流水!$H$5:$H$1504,业务流水!$F$5:$F$1504,"*",业务流水!$D$5:$D$1504,"成本票",业务流水!$C$5:$C$1504,$A249,业务流水!$Z$5:$Z$1504,"是"))</f>
        <v/>
      </c>
      <c r="O249" s="43" t="str">
        <f aca="false">IF($A249="","",ROUND($M249-$N249,2))</f>
        <v/>
      </c>
      <c r="P249" s="33" t="str">
        <f aca="false">IF($A249="","",IF(ABS($O249)&lt;1,"✓ 已开齐",IF($O249&gt;0,"还差成本票","多开了")))</f>
        <v/>
      </c>
    </row>
    <row r="250" customFormat="false" ht="15.75" hidden="false" customHeight="true" outlineLevel="0" collapsed="false">
      <c r="A250" s="32" t="str">
        <f aca="false">IF(项目档案!$A250="","",项目档案!$A250)</f>
        <v/>
      </c>
      <c r="B250" s="40" t="str">
        <f aca="false">IF($A250="","",项目档案!$B250)</f>
        <v/>
      </c>
      <c r="C250" s="32" t="str">
        <f aca="false">IF($A250="","",项目档案!$C250)</f>
        <v/>
      </c>
      <c r="D250" s="32" t="str">
        <f aca="false">IF($A250="","",项目档案!$D250)</f>
        <v/>
      </c>
      <c r="E250" s="41" t="str">
        <f aca="false">IF($A250="","",SUMIFS(业务流水!$H$5:$H$1504,业务流水!$E$5:$E$1504,$D250,业务流水!$D$5:$D$1504,"销项开票",业务流水!$C$5:$C$1504,$A250,业务流水!$Z$5:$Z$1504,"是"))</f>
        <v/>
      </c>
      <c r="F250" s="49" t="str">
        <f aca="false">IF(OR($A250="",$E250=0),"",SUMIFS(业务流水!$O$5:$O$1504,业务流水!$E$5:$E$1504,$D250,业务流水!$D$5:$D$1504,"销项开票",业务流水!$C$5:$C$1504,$A250,业务流水!$Z$5:$Z$1504,"是")/$E250)</f>
        <v/>
      </c>
      <c r="G250" s="41" t="str">
        <f aca="false">IF($A250="","",SUMIFS(业务流水!$O$5:$O$1504,业务流水!$E$5:$E$1504,$D250,业务流水!$D$5:$D$1504,"销项开票",业务流水!$C$5:$C$1504,$A250,业务流水!$Z$5:$Z$1504,"是"))</f>
        <v/>
      </c>
      <c r="H250" s="42" t="str">
        <f aca="false">IF($A250="","",$E250-$G250)</f>
        <v/>
      </c>
      <c r="I250" s="32" t="str">
        <f aca="false">IF($A250="","",项目档案!$F250)</f>
        <v/>
      </c>
      <c r="J250" s="41" t="n">
        <f aca="false">IF(OR($A250="",$I250=""),0,SUMIFS(业务流水!$H$5:$H$1504,业务流水!$E$5:$E$1504,$I250,业务流水!$D$5:$D$1504,"销项开票",业务流水!$C$5:$C$1504,$A250,业务流水!$Z$5:$Z$1504,"是"))</f>
        <v>0</v>
      </c>
      <c r="K250" s="49" t="str">
        <f aca="false">IF(OR($A250="",$J250=0),"",SUMIFS(业务流水!$O$5:$O$1504,业务流水!$E$5:$E$1504,$I250,业务流水!$D$5:$D$1504,"销项开票",业务流水!$C$5:$C$1504,$A250,业务流水!$Z$5:$Z$1504,"是")/$J250)</f>
        <v/>
      </c>
      <c r="L250" s="41" t="n">
        <f aca="false">IF(OR($A250="",$I250=""),0,SUMIFS(业务流水!$O$5:$O$1504,业务流水!$E$5:$E$1504,$I250,业务流水!$D$5:$D$1504,"销项开票",业务流水!$C$5:$C$1504,$A250,业务流水!$Z$5:$Z$1504,"是"))</f>
        <v>0</v>
      </c>
      <c r="M250" s="43" t="str">
        <f aca="false">IF($A250="","",IF(AND($I250&lt;&gt;"",$J250&gt;0),$J250-$L250,$H250))</f>
        <v/>
      </c>
      <c r="N250" s="41" t="str">
        <f aca="false">IF($A250="","",SUMIFS(业务流水!$H$5:$H$1504,业务流水!$F$5:$F$1504,"*",业务流水!$D$5:$D$1504,"成本票",业务流水!$C$5:$C$1504,$A250,业务流水!$Z$5:$Z$1504,"是"))</f>
        <v/>
      </c>
      <c r="O250" s="43" t="str">
        <f aca="false">IF($A250="","",ROUND($M250-$N250,2))</f>
        <v/>
      </c>
      <c r="P250" s="33" t="str">
        <f aca="false">IF($A250="","",IF(ABS($O250)&lt;1,"✓ 已开齐",IF($O250&gt;0,"还差成本票","多开了")))</f>
        <v/>
      </c>
    </row>
    <row r="251" customFormat="false" ht="15.75" hidden="false" customHeight="true" outlineLevel="0" collapsed="false">
      <c r="A251" s="32" t="str">
        <f aca="false">IF(项目档案!$A251="","",项目档案!$A251)</f>
        <v/>
      </c>
      <c r="B251" s="40" t="str">
        <f aca="false">IF($A251="","",项目档案!$B251)</f>
        <v/>
      </c>
      <c r="C251" s="32" t="str">
        <f aca="false">IF($A251="","",项目档案!$C251)</f>
        <v/>
      </c>
      <c r="D251" s="32" t="str">
        <f aca="false">IF($A251="","",项目档案!$D251)</f>
        <v/>
      </c>
      <c r="E251" s="41" t="str">
        <f aca="false">IF($A251="","",SUMIFS(业务流水!$H$5:$H$1504,业务流水!$E$5:$E$1504,$D251,业务流水!$D$5:$D$1504,"销项开票",业务流水!$C$5:$C$1504,$A251,业务流水!$Z$5:$Z$1504,"是"))</f>
        <v/>
      </c>
      <c r="F251" s="49" t="str">
        <f aca="false">IF(OR($A251="",$E251=0),"",SUMIFS(业务流水!$O$5:$O$1504,业务流水!$E$5:$E$1504,$D251,业务流水!$D$5:$D$1504,"销项开票",业务流水!$C$5:$C$1504,$A251,业务流水!$Z$5:$Z$1504,"是")/$E251)</f>
        <v/>
      </c>
      <c r="G251" s="41" t="str">
        <f aca="false">IF($A251="","",SUMIFS(业务流水!$O$5:$O$1504,业务流水!$E$5:$E$1504,$D251,业务流水!$D$5:$D$1504,"销项开票",业务流水!$C$5:$C$1504,$A251,业务流水!$Z$5:$Z$1504,"是"))</f>
        <v/>
      </c>
      <c r="H251" s="42" t="str">
        <f aca="false">IF($A251="","",$E251-$G251)</f>
        <v/>
      </c>
      <c r="I251" s="32" t="str">
        <f aca="false">IF($A251="","",项目档案!$F251)</f>
        <v/>
      </c>
      <c r="J251" s="41" t="n">
        <f aca="false">IF(OR($A251="",$I251=""),0,SUMIFS(业务流水!$H$5:$H$1504,业务流水!$E$5:$E$1504,$I251,业务流水!$D$5:$D$1504,"销项开票",业务流水!$C$5:$C$1504,$A251,业务流水!$Z$5:$Z$1504,"是"))</f>
        <v>0</v>
      </c>
      <c r="K251" s="49" t="str">
        <f aca="false">IF(OR($A251="",$J251=0),"",SUMIFS(业务流水!$O$5:$O$1504,业务流水!$E$5:$E$1504,$I251,业务流水!$D$5:$D$1504,"销项开票",业务流水!$C$5:$C$1504,$A251,业务流水!$Z$5:$Z$1504,"是")/$J251)</f>
        <v/>
      </c>
      <c r="L251" s="41" t="n">
        <f aca="false">IF(OR($A251="",$I251=""),0,SUMIFS(业务流水!$O$5:$O$1504,业务流水!$E$5:$E$1504,$I251,业务流水!$D$5:$D$1504,"销项开票",业务流水!$C$5:$C$1504,$A251,业务流水!$Z$5:$Z$1504,"是"))</f>
        <v>0</v>
      </c>
      <c r="M251" s="43" t="str">
        <f aca="false">IF($A251="","",IF(AND($I251&lt;&gt;"",$J251&gt;0),$J251-$L251,$H251))</f>
        <v/>
      </c>
      <c r="N251" s="41" t="str">
        <f aca="false">IF($A251="","",SUMIFS(业务流水!$H$5:$H$1504,业务流水!$F$5:$F$1504,"*",业务流水!$D$5:$D$1504,"成本票",业务流水!$C$5:$C$1504,$A251,业务流水!$Z$5:$Z$1504,"是"))</f>
        <v/>
      </c>
      <c r="O251" s="43" t="str">
        <f aca="false">IF($A251="","",ROUND($M251-$N251,2))</f>
        <v/>
      </c>
      <c r="P251" s="33" t="str">
        <f aca="false">IF($A251="","",IF(ABS($O251)&lt;1,"✓ 已开齐",IF($O251&gt;0,"还差成本票","多开了")))</f>
        <v/>
      </c>
    </row>
    <row r="252" customFormat="false" ht="15.75" hidden="false" customHeight="true" outlineLevel="0" collapsed="false">
      <c r="A252" s="32" t="str">
        <f aca="false">IF(项目档案!$A252="","",项目档案!$A252)</f>
        <v/>
      </c>
      <c r="B252" s="40" t="str">
        <f aca="false">IF($A252="","",项目档案!$B252)</f>
        <v/>
      </c>
      <c r="C252" s="32" t="str">
        <f aca="false">IF($A252="","",项目档案!$C252)</f>
        <v/>
      </c>
      <c r="D252" s="32" t="str">
        <f aca="false">IF($A252="","",项目档案!$D252)</f>
        <v/>
      </c>
      <c r="E252" s="41" t="str">
        <f aca="false">IF($A252="","",SUMIFS(业务流水!$H$5:$H$1504,业务流水!$E$5:$E$1504,$D252,业务流水!$D$5:$D$1504,"销项开票",业务流水!$C$5:$C$1504,$A252,业务流水!$Z$5:$Z$1504,"是"))</f>
        <v/>
      </c>
      <c r="F252" s="49" t="str">
        <f aca="false">IF(OR($A252="",$E252=0),"",SUMIFS(业务流水!$O$5:$O$1504,业务流水!$E$5:$E$1504,$D252,业务流水!$D$5:$D$1504,"销项开票",业务流水!$C$5:$C$1504,$A252,业务流水!$Z$5:$Z$1504,"是")/$E252)</f>
        <v/>
      </c>
      <c r="G252" s="41" t="str">
        <f aca="false">IF($A252="","",SUMIFS(业务流水!$O$5:$O$1504,业务流水!$E$5:$E$1504,$D252,业务流水!$D$5:$D$1504,"销项开票",业务流水!$C$5:$C$1504,$A252,业务流水!$Z$5:$Z$1504,"是"))</f>
        <v/>
      </c>
      <c r="H252" s="42" t="str">
        <f aca="false">IF($A252="","",$E252-$G252)</f>
        <v/>
      </c>
      <c r="I252" s="32" t="str">
        <f aca="false">IF($A252="","",项目档案!$F252)</f>
        <v/>
      </c>
      <c r="J252" s="41" t="n">
        <f aca="false">IF(OR($A252="",$I252=""),0,SUMIFS(业务流水!$H$5:$H$1504,业务流水!$E$5:$E$1504,$I252,业务流水!$D$5:$D$1504,"销项开票",业务流水!$C$5:$C$1504,$A252,业务流水!$Z$5:$Z$1504,"是"))</f>
        <v>0</v>
      </c>
      <c r="K252" s="49" t="str">
        <f aca="false">IF(OR($A252="",$J252=0),"",SUMIFS(业务流水!$O$5:$O$1504,业务流水!$E$5:$E$1504,$I252,业务流水!$D$5:$D$1504,"销项开票",业务流水!$C$5:$C$1504,$A252,业务流水!$Z$5:$Z$1504,"是")/$J252)</f>
        <v/>
      </c>
      <c r="L252" s="41" t="n">
        <f aca="false">IF(OR($A252="",$I252=""),0,SUMIFS(业务流水!$O$5:$O$1504,业务流水!$E$5:$E$1504,$I252,业务流水!$D$5:$D$1504,"销项开票",业务流水!$C$5:$C$1504,$A252,业务流水!$Z$5:$Z$1504,"是"))</f>
        <v>0</v>
      </c>
      <c r="M252" s="43" t="str">
        <f aca="false">IF($A252="","",IF(AND($I252&lt;&gt;"",$J252&gt;0),$J252-$L252,$H252))</f>
        <v/>
      </c>
      <c r="N252" s="41" t="str">
        <f aca="false">IF($A252="","",SUMIFS(业务流水!$H$5:$H$1504,业务流水!$F$5:$F$1504,"*",业务流水!$D$5:$D$1504,"成本票",业务流水!$C$5:$C$1504,$A252,业务流水!$Z$5:$Z$1504,"是"))</f>
        <v/>
      </c>
      <c r="O252" s="43" t="str">
        <f aca="false">IF($A252="","",ROUND($M252-$N252,2))</f>
        <v/>
      </c>
      <c r="P252" s="33" t="str">
        <f aca="false">IF($A252="","",IF(ABS($O252)&lt;1,"✓ 已开齐",IF($O252&gt;0,"还差成本票","多开了")))</f>
        <v/>
      </c>
    </row>
    <row r="253" customFormat="false" ht="15.75" hidden="false" customHeight="true" outlineLevel="0" collapsed="false">
      <c r="A253" s="32" t="str">
        <f aca="false">IF(项目档案!$A253="","",项目档案!$A253)</f>
        <v/>
      </c>
      <c r="B253" s="40" t="str">
        <f aca="false">IF($A253="","",项目档案!$B253)</f>
        <v/>
      </c>
      <c r="C253" s="32" t="str">
        <f aca="false">IF($A253="","",项目档案!$C253)</f>
        <v/>
      </c>
      <c r="D253" s="32" t="str">
        <f aca="false">IF($A253="","",项目档案!$D253)</f>
        <v/>
      </c>
      <c r="E253" s="41" t="str">
        <f aca="false">IF($A253="","",SUMIFS(业务流水!$H$5:$H$1504,业务流水!$E$5:$E$1504,$D253,业务流水!$D$5:$D$1504,"销项开票",业务流水!$C$5:$C$1504,$A253,业务流水!$Z$5:$Z$1504,"是"))</f>
        <v/>
      </c>
      <c r="F253" s="49" t="str">
        <f aca="false">IF(OR($A253="",$E253=0),"",SUMIFS(业务流水!$O$5:$O$1504,业务流水!$E$5:$E$1504,$D253,业务流水!$D$5:$D$1504,"销项开票",业务流水!$C$5:$C$1504,$A253,业务流水!$Z$5:$Z$1504,"是")/$E253)</f>
        <v/>
      </c>
      <c r="G253" s="41" t="str">
        <f aca="false">IF($A253="","",SUMIFS(业务流水!$O$5:$O$1504,业务流水!$E$5:$E$1504,$D253,业务流水!$D$5:$D$1504,"销项开票",业务流水!$C$5:$C$1504,$A253,业务流水!$Z$5:$Z$1504,"是"))</f>
        <v/>
      </c>
      <c r="H253" s="42" t="str">
        <f aca="false">IF($A253="","",$E253-$G253)</f>
        <v/>
      </c>
      <c r="I253" s="32" t="str">
        <f aca="false">IF($A253="","",项目档案!$F253)</f>
        <v/>
      </c>
      <c r="J253" s="41" t="n">
        <f aca="false">IF(OR($A253="",$I253=""),0,SUMIFS(业务流水!$H$5:$H$1504,业务流水!$E$5:$E$1504,$I253,业务流水!$D$5:$D$1504,"销项开票",业务流水!$C$5:$C$1504,$A253,业务流水!$Z$5:$Z$1504,"是"))</f>
        <v>0</v>
      </c>
      <c r="K253" s="49" t="str">
        <f aca="false">IF(OR($A253="",$J253=0),"",SUMIFS(业务流水!$O$5:$O$1504,业务流水!$E$5:$E$1504,$I253,业务流水!$D$5:$D$1504,"销项开票",业务流水!$C$5:$C$1504,$A253,业务流水!$Z$5:$Z$1504,"是")/$J253)</f>
        <v/>
      </c>
      <c r="L253" s="41" t="n">
        <f aca="false">IF(OR($A253="",$I253=""),0,SUMIFS(业务流水!$O$5:$O$1504,业务流水!$E$5:$E$1504,$I253,业务流水!$D$5:$D$1504,"销项开票",业务流水!$C$5:$C$1504,$A253,业务流水!$Z$5:$Z$1504,"是"))</f>
        <v>0</v>
      </c>
      <c r="M253" s="43" t="str">
        <f aca="false">IF($A253="","",IF(AND($I253&lt;&gt;"",$J253&gt;0),$J253-$L253,$H253))</f>
        <v/>
      </c>
      <c r="N253" s="41" t="str">
        <f aca="false">IF($A253="","",SUMIFS(业务流水!$H$5:$H$1504,业务流水!$F$5:$F$1504,"*",业务流水!$D$5:$D$1504,"成本票",业务流水!$C$5:$C$1504,$A253,业务流水!$Z$5:$Z$1504,"是"))</f>
        <v/>
      </c>
      <c r="O253" s="43" t="str">
        <f aca="false">IF($A253="","",ROUND($M253-$N253,2))</f>
        <v/>
      </c>
      <c r="P253" s="33" t="str">
        <f aca="false">IF($A253="","",IF(ABS($O253)&lt;1,"✓ 已开齐",IF($O253&gt;0,"还差成本票","多开了")))</f>
        <v/>
      </c>
    </row>
    <row r="254" customFormat="false" ht="15.75" hidden="false" customHeight="true" outlineLevel="0" collapsed="false">
      <c r="A254" s="32" t="str">
        <f aca="false">IF(项目档案!$A254="","",项目档案!$A254)</f>
        <v/>
      </c>
      <c r="B254" s="40" t="str">
        <f aca="false">IF($A254="","",项目档案!$B254)</f>
        <v/>
      </c>
      <c r="C254" s="32" t="str">
        <f aca="false">IF($A254="","",项目档案!$C254)</f>
        <v/>
      </c>
      <c r="D254" s="32" t="str">
        <f aca="false">IF($A254="","",项目档案!$D254)</f>
        <v/>
      </c>
      <c r="E254" s="41" t="str">
        <f aca="false">IF($A254="","",SUMIFS(业务流水!$H$5:$H$1504,业务流水!$E$5:$E$1504,$D254,业务流水!$D$5:$D$1504,"销项开票",业务流水!$C$5:$C$1504,$A254,业务流水!$Z$5:$Z$1504,"是"))</f>
        <v/>
      </c>
      <c r="F254" s="49" t="str">
        <f aca="false">IF(OR($A254="",$E254=0),"",SUMIFS(业务流水!$O$5:$O$1504,业务流水!$E$5:$E$1504,$D254,业务流水!$D$5:$D$1504,"销项开票",业务流水!$C$5:$C$1504,$A254,业务流水!$Z$5:$Z$1504,"是")/$E254)</f>
        <v/>
      </c>
      <c r="G254" s="41" t="str">
        <f aca="false">IF($A254="","",SUMIFS(业务流水!$O$5:$O$1504,业务流水!$E$5:$E$1504,$D254,业务流水!$D$5:$D$1504,"销项开票",业务流水!$C$5:$C$1504,$A254,业务流水!$Z$5:$Z$1504,"是"))</f>
        <v/>
      </c>
      <c r="H254" s="42" t="str">
        <f aca="false">IF($A254="","",$E254-$G254)</f>
        <v/>
      </c>
      <c r="I254" s="32" t="str">
        <f aca="false">IF($A254="","",项目档案!$F254)</f>
        <v/>
      </c>
      <c r="J254" s="41" t="n">
        <f aca="false">IF(OR($A254="",$I254=""),0,SUMIFS(业务流水!$H$5:$H$1504,业务流水!$E$5:$E$1504,$I254,业务流水!$D$5:$D$1504,"销项开票",业务流水!$C$5:$C$1504,$A254,业务流水!$Z$5:$Z$1504,"是"))</f>
        <v>0</v>
      </c>
      <c r="K254" s="49" t="str">
        <f aca="false">IF(OR($A254="",$J254=0),"",SUMIFS(业务流水!$O$5:$O$1504,业务流水!$E$5:$E$1504,$I254,业务流水!$D$5:$D$1504,"销项开票",业务流水!$C$5:$C$1504,$A254,业务流水!$Z$5:$Z$1504,"是")/$J254)</f>
        <v/>
      </c>
      <c r="L254" s="41" t="n">
        <f aca="false">IF(OR($A254="",$I254=""),0,SUMIFS(业务流水!$O$5:$O$1504,业务流水!$E$5:$E$1504,$I254,业务流水!$D$5:$D$1504,"销项开票",业务流水!$C$5:$C$1504,$A254,业务流水!$Z$5:$Z$1504,"是"))</f>
        <v>0</v>
      </c>
      <c r="M254" s="43" t="str">
        <f aca="false">IF($A254="","",IF(AND($I254&lt;&gt;"",$J254&gt;0),$J254-$L254,$H254))</f>
        <v/>
      </c>
      <c r="N254" s="41" t="str">
        <f aca="false">IF($A254="","",SUMIFS(业务流水!$H$5:$H$1504,业务流水!$F$5:$F$1504,"*",业务流水!$D$5:$D$1504,"成本票",业务流水!$C$5:$C$1504,$A254,业务流水!$Z$5:$Z$1504,"是"))</f>
        <v/>
      </c>
      <c r="O254" s="43" t="str">
        <f aca="false">IF($A254="","",ROUND($M254-$N254,2))</f>
        <v/>
      </c>
      <c r="P254" s="33" t="str">
        <f aca="false">IF($A254="","",IF(ABS($O254)&lt;1,"✓ 已开齐",IF($O254&gt;0,"还差成本票","多开了")))</f>
        <v/>
      </c>
    </row>
    <row r="255" customFormat="false" ht="15.75" hidden="false" customHeight="true" outlineLevel="0" collapsed="false">
      <c r="A255" s="32" t="str">
        <f aca="false">IF(项目档案!$A255="","",项目档案!$A255)</f>
        <v/>
      </c>
      <c r="B255" s="40" t="str">
        <f aca="false">IF($A255="","",项目档案!$B255)</f>
        <v/>
      </c>
      <c r="C255" s="32" t="str">
        <f aca="false">IF($A255="","",项目档案!$C255)</f>
        <v/>
      </c>
      <c r="D255" s="32" t="str">
        <f aca="false">IF($A255="","",项目档案!$D255)</f>
        <v/>
      </c>
      <c r="E255" s="41" t="str">
        <f aca="false">IF($A255="","",SUMIFS(业务流水!$H$5:$H$1504,业务流水!$E$5:$E$1504,$D255,业务流水!$D$5:$D$1504,"销项开票",业务流水!$C$5:$C$1504,$A255,业务流水!$Z$5:$Z$1504,"是"))</f>
        <v/>
      </c>
      <c r="F255" s="49" t="str">
        <f aca="false">IF(OR($A255="",$E255=0),"",SUMIFS(业务流水!$O$5:$O$1504,业务流水!$E$5:$E$1504,$D255,业务流水!$D$5:$D$1504,"销项开票",业务流水!$C$5:$C$1504,$A255,业务流水!$Z$5:$Z$1504,"是")/$E255)</f>
        <v/>
      </c>
      <c r="G255" s="41" t="str">
        <f aca="false">IF($A255="","",SUMIFS(业务流水!$O$5:$O$1504,业务流水!$E$5:$E$1504,$D255,业务流水!$D$5:$D$1504,"销项开票",业务流水!$C$5:$C$1504,$A255,业务流水!$Z$5:$Z$1504,"是"))</f>
        <v/>
      </c>
      <c r="H255" s="42" t="str">
        <f aca="false">IF($A255="","",$E255-$G255)</f>
        <v/>
      </c>
      <c r="I255" s="32" t="str">
        <f aca="false">IF($A255="","",项目档案!$F255)</f>
        <v/>
      </c>
      <c r="J255" s="41" t="n">
        <f aca="false">IF(OR($A255="",$I255=""),0,SUMIFS(业务流水!$H$5:$H$1504,业务流水!$E$5:$E$1504,$I255,业务流水!$D$5:$D$1504,"销项开票",业务流水!$C$5:$C$1504,$A255,业务流水!$Z$5:$Z$1504,"是"))</f>
        <v>0</v>
      </c>
      <c r="K255" s="49" t="str">
        <f aca="false">IF(OR($A255="",$J255=0),"",SUMIFS(业务流水!$O$5:$O$1504,业务流水!$E$5:$E$1504,$I255,业务流水!$D$5:$D$1504,"销项开票",业务流水!$C$5:$C$1504,$A255,业务流水!$Z$5:$Z$1504,"是")/$J255)</f>
        <v/>
      </c>
      <c r="L255" s="41" t="n">
        <f aca="false">IF(OR($A255="",$I255=""),0,SUMIFS(业务流水!$O$5:$O$1504,业务流水!$E$5:$E$1504,$I255,业务流水!$D$5:$D$1504,"销项开票",业务流水!$C$5:$C$1504,$A255,业务流水!$Z$5:$Z$1504,"是"))</f>
        <v>0</v>
      </c>
      <c r="M255" s="43" t="str">
        <f aca="false">IF($A255="","",IF(AND($I255&lt;&gt;"",$J255&gt;0),$J255-$L255,$H255))</f>
        <v/>
      </c>
      <c r="N255" s="41" t="str">
        <f aca="false">IF($A255="","",SUMIFS(业务流水!$H$5:$H$1504,业务流水!$F$5:$F$1504,"*",业务流水!$D$5:$D$1504,"成本票",业务流水!$C$5:$C$1504,$A255,业务流水!$Z$5:$Z$1504,"是"))</f>
        <v/>
      </c>
      <c r="O255" s="43" t="str">
        <f aca="false">IF($A255="","",ROUND($M255-$N255,2))</f>
        <v/>
      </c>
      <c r="P255" s="33" t="str">
        <f aca="false">IF($A255="","",IF(ABS($O255)&lt;1,"✓ 已开齐",IF($O255&gt;0,"还差成本票","多开了")))</f>
        <v/>
      </c>
    </row>
    <row r="256" customFormat="false" ht="15" hidden="false" customHeight="false" outlineLevel="0" collapsed="false">
      <c r="A256" s="44" t="s">
        <v>694</v>
      </c>
      <c r="B256" s="44"/>
      <c r="C256" s="44"/>
      <c r="D256" s="44"/>
      <c r="E256" s="45" t="n">
        <f aca="false">SUM(E6:E255)</f>
        <v>2322209.28</v>
      </c>
      <c r="F256" s="44"/>
      <c r="G256" s="45" t="n">
        <f aca="false">SUM(G6:G255)</f>
        <v>103900.44</v>
      </c>
      <c r="H256" s="45" t="n">
        <f aca="false">SUM(H6:H255)</f>
        <v>2218308.84</v>
      </c>
      <c r="I256" s="44"/>
      <c r="J256" s="45" t="n">
        <f aca="false">SUM(J6:J255)</f>
        <v>893054.43</v>
      </c>
      <c r="K256" s="44"/>
      <c r="L256" s="45" t="n">
        <f aca="false">SUM(L6:L255)</f>
        <v>27571.05</v>
      </c>
      <c r="M256" s="45" t="n">
        <f aca="false">SUM(M6:M255)</f>
        <v>2121649.15</v>
      </c>
      <c r="N256" s="45" t="n">
        <f aca="false">SUM(N6:N255)</f>
        <v>1408465.49</v>
      </c>
      <c r="O256" s="45" t="n">
        <f aca="false">SUM(O6:O255)</f>
        <v>713183.66</v>
      </c>
      <c r="P256" s="44"/>
    </row>
  </sheetData>
  <autoFilter ref="A5:P255"/>
  <mergeCells count="2">
    <mergeCell ref="A1:P1"/>
    <mergeCell ref="A2:P2"/>
  </mergeCells>
  <conditionalFormatting sqref="P6:P255">
    <cfRule type="expression" priority="2" aboveAverage="0" equalAverage="0" bottom="0" percent="0" rank="0" text="" dxfId="12">
      <formula>AND($P6&lt;&gt;"",$P6&lt;&gt;"✓ 已开齐")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6"/>
    <col collapsed="false" customWidth="true" hidden="false" outlineLevel="0" max="3" min="3" style="0" width="15"/>
    <col collapsed="false" customWidth="true" hidden="false" outlineLevel="0" max="6" min="4" style="0" width="14"/>
    <col collapsed="false" customWidth="true" hidden="false" outlineLevel="0" max="7" min="7" style="0" width="15"/>
    <col collapsed="false" customWidth="true" hidden="false" outlineLevel="0" max="8" min="8" style="0" width="14"/>
    <col collapsed="false" customWidth="true" hidden="false" outlineLevel="0" max="9" min="9" style="0" width="15"/>
    <col collapsed="false" customWidth="true" hidden="false" outlineLevel="0" max="10" min="10" style="0" width="12"/>
  </cols>
  <sheetData>
    <row r="1" customFormat="false" ht="25.5" hidden="false" customHeight="true" outlineLevel="0" collapsed="false">
      <c r="A1" s="17" t="s">
        <v>711</v>
      </c>
      <c r="B1" s="17"/>
      <c r="C1" s="17"/>
      <c r="D1" s="17"/>
      <c r="E1" s="17"/>
      <c r="F1" s="17"/>
      <c r="G1" s="17"/>
      <c r="H1" s="17"/>
      <c r="I1" s="17"/>
      <c r="J1" s="17"/>
    </row>
    <row r="2" customFormat="false" ht="15" hidden="false" customHeight="true" outlineLevel="0" collapsed="false">
      <c r="A2" s="19" t="s">
        <v>712</v>
      </c>
      <c r="B2" s="19"/>
      <c r="C2" s="19"/>
      <c r="D2" s="19"/>
      <c r="E2" s="19"/>
      <c r="F2" s="19"/>
      <c r="G2" s="19"/>
      <c r="H2" s="19"/>
      <c r="I2" s="19"/>
      <c r="J2" s="19"/>
    </row>
    <row r="5" customFormat="false" ht="30" hidden="false" customHeight="true" outlineLevel="0" collapsed="false">
      <c r="A5" s="20" t="s">
        <v>713</v>
      </c>
      <c r="B5" s="20" t="s">
        <v>84</v>
      </c>
      <c r="C5" s="20" t="s">
        <v>714</v>
      </c>
      <c r="D5" s="20" t="s">
        <v>715</v>
      </c>
      <c r="E5" s="20" t="s">
        <v>716</v>
      </c>
      <c r="F5" s="20" t="s">
        <v>717</v>
      </c>
      <c r="G5" s="20" t="s">
        <v>718</v>
      </c>
      <c r="H5" s="20" t="s">
        <v>11</v>
      </c>
      <c r="I5" s="20" t="s">
        <v>12</v>
      </c>
      <c r="J5" s="20" t="s">
        <v>95</v>
      </c>
    </row>
    <row r="6" customFormat="false" ht="15.75" hidden="false" customHeight="true" outlineLevel="0" collapsed="false">
      <c r="A6" s="32" t="str">
        <f aca="false">IF(单位档案!$C6&lt;&gt;"挂靠单位","",单位档案!$A6)</f>
        <v/>
      </c>
      <c r="B6" s="40" t="str">
        <f aca="false">IF($A6="","",单位档案!$B6)</f>
        <v/>
      </c>
      <c r="C6" s="41" t="str">
        <f aca="false">IF($A6="","",SUMIFS(业务流水!$S$5:$S$1504,业务流水!$E$5:$E$1504,$A6,业务流水!$D$5:$D$1504,"销项开票",业务流水!$Z$5:$Z$1504,"是"))</f>
        <v/>
      </c>
      <c r="D6" s="41" t="str">
        <f aca="false">IF($A6="","",SUMIFS(业务流水!$T$5:$T$1504,业务流水!$E$5:$E$1504,$A6,业务流水!$D$5:$D$1504,"销项开票",业务流水!$Z$5:$Z$1504,"是"))</f>
        <v/>
      </c>
      <c r="E6" s="41" t="str">
        <f aca="false">IF($A6="","",SUMIFS(业务流水!$U$5:$U$1504,业务流水!$E$5:$E$1504,$A6,业务流水!$D$5:$D$1504,"销项开票",业务流水!$Z$5:$Z$1504,"是"))</f>
        <v/>
      </c>
      <c r="F6" s="41" t="str">
        <f aca="false">IF($A6="","",SUMIFS(业务流水!$V$5:$V$1504,业务流水!$E$5:$E$1504,$A6,业务流水!$D$5:$D$1504,"销项开票",业务流水!$Z$5:$Z$1504,"是"))</f>
        <v/>
      </c>
      <c r="G6" s="41" t="str">
        <f aca="false">IF($A6="","",SUMIFS(业务流水!$W$5:$W$1504,业务流水!$E$5:$E$1504,$A6,业务流水!$D$5:$D$1504,"销项开票",业务流水!$Z$5:$Z$1504,"是"))</f>
        <v/>
      </c>
      <c r="H6" s="41" t="str">
        <f aca="false">IF($A6="","",SUMIFS(业务流水!$H$5:$H$1504,业务流水!$E$5:$E$1504,$A6,业务流水!$D$5:$D$1504,"已交税",业务流水!$Z$5:$Z$1504,"是"))</f>
        <v/>
      </c>
      <c r="I6" s="43" t="str">
        <f aca="false">IF($A6="","",ROUND($G6-$H6,2))</f>
        <v/>
      </c>
      <c r="J6" s="48" t="str">
        <f aca="false">IF($A6="","",IF(ABS($I6)&lt;1,"✓ 已结清",IF($I6&gt;0,"欠税","多交")))</f>
        <v/>
      </c>
    </row>
    <row r="7" customFormat="false" ht="15.75" hidden="false" customHeight="true" outlineLevel="0" collapsed="false">
      <c r="A7" s="32" t="str">
        <f aca="false">IF(单位档案!$C7&lt;&gt;"挂靠单位","",单位档案!$A7)</f>
        <v/>
      </c>
      <c r="B7" s="40" t="str">
        <f aca="false">IF($A7="","",单位档案!$B7)</f>
        <v/>
      </c>
      <c r="C7" s="41" t="str">
        <f aca="false">IF($A7="","",SUMIFS(业务流水!$S$5:$S$1504,业务流水!$E$5:$E$1504,$A7,业务流水!$D$5:$D$1504,"销项开票",业务流水!$Z$5:$Z$1504,"是"))</f>
        <v/>
      </c>
      <c r="D7" s="41" t="str">
        <f aca="false">IF($A7="","",SUMIFS(业务流水!$T$5:$T$1504,业务流水!$E$5:$E$1504,$A7,业务流水!$D$5:$D$1504,"销项开票",业务流水!$Z$5:$Z$1504,"是"))</f>
        <v/>
      </c>
      <c r="E7" s="41" t="str">
        <f aca="false">IF($A7="","",SUMIFS(业务流水!$U$5:$U$1504,业务流水!$E$5:$E$1504,$A7,业务流水!$D$5:$D$1504,"销项开票",业务流水!$Z$5:$Z$1504,"是"))</f>
        <v/>
      </c>
      <c r="F7" s="41" t="str">
        <f aca="false">IF($A7="","",SUMIFS(业务流水!$V$5:$V$1504,业务流水!$E$5:$E$1504,$A7,业务流水!$D$5:$D$1504,"销项开票",业务流水!$Z$5:$Z$1504,"是"))</f>
        <v/>
      </c>
      <c r="G7" s="41" t="str">
        <f aca="false">IF($A7="","",SUMIFS(业务流水!$W$5:$W$1504,业务流水!$E$5:$E$1504,$A7,业务流水!$D$5:$D$1504,"销项开票",业务流水!$Z$5:$Z$1504,"是"))</f>
        <v/>
      </c>
      <c r="H7" s="41" t="str">
        <f aca="false">IF($A7="","",SUMIFS(业务流水!$H$5:$H$1504,业务流水!$E$5:$E$1504,$A7,业务流水!$D$5:$D$1504,"已交税",业务流水!$Z$5:$Z$1504,"是"))</f>
        <v/>
      </c>
      <c r="I7" s="43" t="str">
        <f aca="false">IF($A7="","",ROUND($G7-$H7,2))</f>
        <v/>
      </c>
      <c r="J7" s="48" t="str">
        <f aca="false">IF($A7="","",IF(ABS($I7)&lt;1,"✓ 已结清",IF($I7&gt;0,"欠税","多交")))</f>
        <v/>
      </c>
    </row>
    <row r="8" customFormat="false" ht="15.75" hidden="false" customHeight="true" outlineLevel="0" collapsed="false">
      <c r="A8" s="32" t="str">
        <f aca="false">IF(单位档案!$C8&lt;&gt;"挂靠单位","",单位档案!$A8)</f>
        <v>德誉嘉</v>
      </c>
      <c r="B8" s="40" t="str">
        <f aca="false">IF($A8="","",单位档案!$B8)</f>
        <v>德誉嘉（德誉佳）</v>
      </c>
      <c r="C8" s="41" t="n">
        <f aca="false">IF($A8="","",SUMIFS(业务流水!$S$5:$S$1504,业务流水!$E$5:$E$1504,$A8,业务流水!$D$5:$D$1504,"销项开票",业务流水!$Z$5:$Z$1504,"是"))</f>
        <v>0</v>
      </c>
      <c r="D8" s="41" t="n">
        <f aca="false">IF($A8="","",SUMIFS(业务流水!$T$5:$T$1504,业务流水!$E$5:$E$1504,$A8,业务流水!$D$5:$D$1504,"销项开票",业务流水!$Z$5:$Z$1504,"是"))</f>
        <v>0</v>
      </c>
      <c r="E8" s="41" t="n">
        <f aca="false">IF($A8="","",SUMIFS(业务流水!$U$5:$U$1504,业务流水!$E$5:$E$1504,$A8,业务流水!$D$5:$D$1504,"销项开票",业务流水!$Z$5:$Z$1504,"是"))</f>
        <v>0</v>
      </c>
      <c r="F8" s="41" t="n">
        <f aca="false">IF($A8="","",SUMIFS(业务流水!$V$5:$V$1504,业务流水!$E$5:$E$1504,$A8,业务流水!$D$5:$D$1504,"销项开票",业务流水!$Z$5:$Z$1504,"是"))</f>
        <v>0</v>
      </c>
      <c r="G8" s="41" t="n">
        <f aca="false">IF($A8="","",SUMIFS(业务流水!$W$5:$W$1504,业务流水!$E$5:$E$1504,$A8,业务流水!$D$5:$D$1504,"销项开票",业务流水!$Z$5:$Z$1504,"是"))</f>
        <v>0</v>
      </c>
      <c r="H8" s="41" t="n">
        <f aca="false">IF($A8="","",SUMIFS(业务流水!$H$5:$H$1504,业务流水!$E$5:$E$1504,$A8,业务流水!$D$5:$D$1504,"已交税",业务流水!$Z$5:$Z$1504,"是"))</f>
        <v>0</v>
      </c>
      <c r="I8" s="43" t="n">
        <f aca="false">IF($A8="","",ROUND($G8-$H8,2))</f>
        <v>0</v>
      </c>
      <c r="J8" s="48" t="str">
        <f aca="false">IF($A8="","",IF(ABS($I8)&lt;1,"✓ 已结清",IF($I8&gt;0,"欠税","多交")))</f>
        <v>✓ 已结清</v>
      </c>
    </row>
    <row r="9" customFormat="false" ht="15.75" hidden="false" customHeight="true" outlineLevel="0" collapsed="false">
      <c r="A9" s="32" t="str">
        <f aca="false">IF(单位档案!$C9&lt;&gt;"挂靠单位","",单位档案!$A9)</f>
        <v>迅驰</v>
      </c>
      <c r="B9" s="40" t="str">
        <f aca="false">IF($A9="","",单位档案!$B9)</f>
        <v>迅驰</v>
      </c>
      <c r="C9" s="41" t="n">
        <f aca="false">IF($A9="","",SUMIFS(业务流水!$S$5:$S$1504,业务流水!$E$5:$E$1504,$A9,业务流水!$D$5:$D$1504,"销项开票",业务流水!$Z$5:$Z$1504,"是"))</f>
        <v>11987.01</v>
      </c>
      <c r="D9" s="41" t="n">
        <f aca="false">IF($A9="","",SUMIFS(业务流水!$T$5:$T$1504,业务流水!$E$5:$E$1504,$A9,业务流水!$D$5:$D$1504,"销项开票",业务流水!$Z$5:$Z$1504,"是"))</f>
        <v>1438.47</v>
      </c>
      <c r="E9" s="41" t="n">
        <f aca="false">IF($A9="","",SUMIFS(业务流水!$U$5:$U$1504,业务流水!$E$5:$E$1504,$A9,业务流水!$D$5:$D$1504,"销项开票",业务流水!$Z$5:$Z$1504,"是"))</f>
        <v>129.07</v>
      </c>
      <c r="F9" s="41" t="n">
        <f aca="false">IF($A9="","",SUMIFS(业务流水!$V$5:$V$1504,业务流水!$E$5:$E$1504,$A9,业务流水!$D$5:$D$1504,"销项开票",业务流水!$Z$5:$Z$1504,"是"))</f>
        <v>0</v>
      </c>
      <c r="G9" s="41" t="n">
        <f aca="false">IF($A9="","",SUMIFS(业务流水!$W$5:$W$1504,业务流水!$E$5:$E$1504,$A9,业务流水!$D$5:$D$1504,"销项开票",业务流水!$Z$5:$Z$1504,"是"))</f>
        <v>13554.55</v>
      </c>
      <c r="H9" s="41" t="n">
        <f aca="false">IF($A9="","",SUMIFS(业务流水!$H$5:$H$1504,业务流水!$E$5:$E$1504,$A9,业务流水!$D$5:$D$1504,"已交税",业务流水!$Z$5:$Z$1504,"是"))</f>
        <v>10595.25</v>
      </c>
      <c r="I9" s="43" t="n">
        <f aca="false">IF($A9="","",ROUND($G9-$H9,2))</f>
        <v>2959.3</v>
      </c>
      <c r="J9" s="48" t="str">
        <f aca="false">IF($A9="","",IF(ABS($I9)&lt;1,"✓ 已结清",IF($I9&gt;0,"欠税","多交")))</f>
        <v>欠税</v>
      </c>
    </row>
    <row r="10" customFormat="false" ht="15.75" hidden="false" customHeight="true" outlineLevel="0" collapsed="false">
      <c r="A10" s="32" t="str">
        <f aca="false">IF(单位档案!$C10&lt;&gt;"挂靠单位","",单位档案!$A10)</f>
        <v>华城</v>
      </c>
      <c r="B10" s="40" t="str">
        <f aca="false">IF($A10="","",单位档案!$B10)</f>
        <v>华城</v>
      </c>
      <c r="C10" s="41" t="n">
        <f aca="false">IF($A10="","",SUMIFS(业务流水!$S$5:$S$1504,业务流水!$E$5:$E$1504,$A10,业务流水!$D$5:$D$1504,"销项开票",业务流水!$Z$5:$Z$1504,"是"))</f>
        <v>13772.15</v>
      </c>
      <c r="D10" s="41" t="n">
        <f aca="false">IF($A10="","",SUMIFS(业务流水!$T$5:$T$1504,业务流水!$E$5:$E$1504,$A10,业务流水!$D$5:$D$1504,"销项开票",业务流水!$Z$5:$Z$1504,"是"))</f>
        <v>1652.66</v>
      </c>
      <c r="E10" s="41" t="n">
        <f aca="false">IF($A10="","",SUMIFS(业务流水!$U$5:$U$1504,业务流水!$E$5:$E$1504,$A10,业务流水!$D$5:$D$1504,"销项开票",业务流水!$Z$5:$Z$1504,"是"))</f>
        <v>141.85</v>
      </c>
      <c r="F10" s="41" t="n">
        <f aca="false">IF($A10="","",SUMIFS(业务流水!$V$5:$V$1504,业务流水!$E$5:$E$1504,$A10,业务流水!$D$5:$D$1504,"销项开票",业务流水!$Z$5:$Z$1504,"是"))</f>
        <v>0</v>
      </c>
      <c r="G10" s="41" t="n">
        <f aca="false">IF($A10="","",SUMIFS(业务流水!$W$5:$W$1504,业务流水!$E$5:$E$1504,$A10,业务流水!$D$5:$D$1504,"销项开票",业务流水!$Z$5:$Z$1504,"是"))</f>
        <v>15566.66</v>
      </c>
      <c r="H10" s="41" t="n">
        <f aca="false">IF($A10="","",SUMIFS(业务流水!$H$5:$H$1504,业务流水!$E$5:$E$1504,$A10,业务流水!$D$5:$D$1504,"已交税",业务流水!$Z$5:$Z$1504,"是"))</f>
        <v>16883.46</v>
      </c>
      <c r="I10" s="43" t="n">
        <f aca="false">IF($A10="","",ROUND($G10-$H10,2))</f>
        <v>-1316.8</v>
      </c>
      <c r="J10" s="48" t="str">
        <f aca="false">IF($A10="","",IF(ABS($I10)&lt;1,"✓ 已结清",IF($I10&gt;0,"欠税","多交")))</f>
        <v>多交</v>
      </c>
    </row>
    <row r="11" customFormat="false" ht="15.75" hidden="false" customHeight="true" outlineLevel="0" collapsed="false">
      <c r="A11" s="32" t="str">
        <f aca="false">IF(单位档案!$C11&lt;&gt;"挂靠单位","",单位档案!$A11)</f>
        <v>康欣</v>
      </c>
      <c r="B11" s="40" t="str">
        <f aca="false">IF($A11="","",单位档案!$B11)</f>
        <v>康欣</v>
      </c>
      <c r="C11" s="41" t="n">
        <f aca="false">IF($A11="","",SUMIFS(业务流水!$S$5:$S$1504,业务流水!$E$5:$E$1504,$A11,业务流水!$D$5:$D$1504,"销项开票",业务流水!$Z$5:$Z$1504,"是"))</f>
        <v>35542.14</v>
      </c>
      <c r="D11" s="41" t="n">
        <f aca="false">IF($A11="","",SUMIFS(业务流水!$T$5:$T$1504,业务流水!$E$5:$E$1504,$A11,业务流水!$D$5:$D$1504,"销项开票",业务流水!$Z$5:$Z$1504,"是"))</f>
        <v>2132.53</v>
      </c>
      <c r="E11" s="41" t="n">
        <f aca="false">IF($A11="","",SUMIFS(业务流水!$U$5:$U$1504,业务流水!$E$5:$E$1504,$A11,业务流水!$D$5:$D$1504,"销项开票",业务流水!$Z$5:$Z$1504,"是"))</f>
        <v>0</v>
      </c>
      <c r="F11" s="41" t="n">
        <f aca="false">IF($A11="","",SUMIFS(业务流水!$V$5:$V$1504,业务流水!$E$5:$E$1504,$A11,业务流水!$D$5:$D$1504,"销项开票",业务流水!$Z$5:$Z$1504,"是"))</f>
        <v>2369.46</v>
      </c>
      <c r="G11" s="41" t="n">
        <f aca="false">IF($A11="","",SUMIFS(业务流水!$W$5:$W$1504,业务流水!$E$5:$E$1504,$A11,业务流水!$D$5:$D$1504,"销项开票",业务流水!$Z$5:$Z$1504,"是"))</f>
        <v>40044.13</v>
      </c>
      <c r="H11" s="41" t="n">
        <f aca="false">IF($A11="","",SUMIFS(业务流水!$H$5:$H$1504,业务流水!$E$5:$E$1504,$A11,业务流水!$D$5:$D$1504,"已交税",业务流水!$Z$5:$Z$1504,"是"))</f>
        <v>15425.28</v>
      </c>
      <c r="I11" s="43" t="n">
        <f aca="false">IF($A11="","",ROUND($G11-$H11,2))</f>
        <v>24618.85</v>
      </c>
      <c r="J11" s="48" t="str">
        <f aca="false">IF($A11="","",IF(ABS($I11)&lt;1,"✓ 已结清",IF($I11&gt;0,"欠税","多交")))</f>
        <v>欠税</v>
      </c>
    </row>
    <row r="12" customFormat="false" ht="15.75" hidden="false" customHeight="true" outlineLevel="0" collapsed="false">
      <c r="A12" s="32" t="str">
        <f aca="false">IF(单位档案!$C12&lt;&gt;"挂靠单位","",单位档案!$A12)</f>
        <v>金沁</v>
      </c>
      <c r="B12" s="40" t="str">
        <f aca="false">IF($A12="","",单位档案!$B12)</f>
        <v>金沁</v>
      </c>
      <c r="C12" s="41" t="n">
        <f aca="false">IF($A12="","",SUMIFS(业务流水!$S$5:$S$1504,业务流水!$E$5:$E$1504,$A12,业务流水!$D$5:$D$1504,"销项开票",业务流水!$Z$5:$Z$1504,"是"))</f>
        <v>38613.2</v>
      </c>
      <c r="D12" s="41" t="n">
        <f aca="false">IF($A12="","",SUMIFS(业务流水!$T$5:$T$1504,业务流水!$E$5:$E$1504,$A12,业务流水!$D$5:$D$1504,"销项开票",业务流水!$Z$5:$Z$1504,"是"))</f>
        <v>4633.58</v>
      </c>
      <c r="E12" s="41" t="n">
        <f aca="false">IF($A12="","",SUMIFS(业务流水!$U$5:$U$1504,业务流水!$E$5:$E$1504,$A12,业务流水!$D$5:$D$1504,"销项开票",业务流水!$Z$5:$Z$1504,"是"))</f>
        <v>422.12</v>
      </c>
      <c r="F12" s="41" t="n">
        <f aca="false">IF($A12="","",SUMIFS(业务流水!$V$5:$V$1504,业务流水!$E$5:$E$1504,$A12,业务流水!$D$5:$D$1504,"销项开票",业务流水!$Z$5:$Z$1504,"是"))</f>
        <v>0</v>
      </c>
      <c r="G12" s="41" t="n">
        <f aca="false">IF($A12="","",SUMIFS(业务流水!$W$5:$W$1504,业务流水!$E$5:$E$1504,$A12,业务流水!$D$5:$D$1504,"销项开票",业务流水!$Z$5:$Z$1504,"是"))</f>
        <v>43668.9</v>
      </c>
      <c r="H12" s="41" t="n">
        <f aca="false">IF($A12="","",SUMIFS(业务流水!$H$5:$H$1504,业务流水!$E$5:$E$1504,$A12,业务流水!$D$5:$D$1504,"已交税",业务流水!$Z$5:$Z$1504,"是"))</f>
        <v>11075.59</v>
      </c>
      <c r="I12" s="43" t="n">
        <f aca="false">IF($A12="","",ROUND($G12-$H12,2))</f>
        <v>32593.31</v>
      </c>
      <c r="J12" s="48" t="str">
        <f aca="false">IF($A12="","",IF(ABS($I12)&lt;1,"✓ 已结清",IF($I12&gt;0,"欠税","多交")))</f>
        <v>欠税</v>
      </c>
    </row>
    <row r="13" customFormat="false" ht="15.75" hidden="false" customHeight="true" outlineLevel="0" collapsed="false">
      <c r="A13" s="32" t="str">
        <f aca="false">IF(单位档案!$C13&lt;&gt;"挂靠单位","",单位档案!$A13)</f>
        <v>安锐</v>
      </c>
      <c r="B13" s="40" t="str">
        <f aca="false">IF($A13="","",单位档案!$B13)</f>
        <v>安锐</v>
      </c>
      <c r="C13" s="41" t="n">
        <f aca="false">IF($A13="","",SUMIFS(业务流水!$S$5:$S$1504,业务流水!$E$5:$E$1504,$A13,业务流水!$D$5:$D$1504,"销项开票",业务流水!$Z$5:$Z$1504,"是"))</f>
        <v>326.14</v>
      </c>
      <c r="D13" s="41" t="n">
        <f aca="false">IF($A13="","",SUMIFS(业务流水!$T$5:$T$1504,业务流水!$E$5:$E$1504,$A13,业务流水!$D$5:$D$1504,"销项开票",业务流水!$Z$5:$Z$1504,"是"))</f>
        <v>19.57</v>
      </c>
      <c r="E13" s="41" t="n">
        <f aca="false">IF($A13="","",SUMIFS(业务流水!$U$5:$U$1504,业务流水!$E$5:$E$1504,$A13,业务流水!$D$5:$D$1504,"销项开票",业务流水!$Z$5:$Z$1504,"是"))</f>
        <v>0</v>
      </c>
      <c r="F13" s="41" t="n">
        <f aca="false">IF($A13="","",SUMIFS(业务流水!$V$5:$V$1504,业务流水!$E$5:$E$1504,$A13,业务流水!$D$5:$D$1504,"销项开票",业务流水!$Z$5:$Z$1504,"是"))</f>
        <v>0</v>
      </c>
      <c r="G13" s="41" t="n">
        <f aca="false">IF($A13="","",SUMIFS(业务流水!$W$5:$W$1504,业务流水!$E$5:$E$1504,$A13,业务流水!$D$5:$D$1504,"销项开票",业务流水!$Z$5:$Z$1504,"是"))</f>
        <v>345.71</v>
      </c>
      <c r="H13" s="41" t="n">
        <f aca="false">IF($A13="","",SUMIFS(业务流水!$H$5:$H$1504,业务流水!$E$5:$E$1504,$A13,业务流水!$D$5:$D$1504,"已交税",业务流水!$Z$5:$Z$1504,"是"))</f>
        <v>332.72</v>
      </c>
      <c r="I13" s="43" t="n">
        <f aca="false">IF($A13="","",ROUND($G13-$H13,2))</f>
        <v>12.99</v>
      </c>
      <c r="J13" s="48" t="str">
        <f aca="false">IF($A13="","",IF(ABS($I13)&lt;1,"✓ 已结清",IF($I13&gt;0,"欠税","多交")))</f>
        <v>欠税</v>
      </c>
    </row>
    <row r="14" customFormat="false" ht="15.75" hidden="false" customHeight="true" outlineLevel="0" collapsed="false">
      <c r="A14" s="32" t="str">
        <f aca="false">IF(单位档案!$C14&lt;&gt;"挂靠单位","",单位档案!$A14)</f>
        <v>湖南锦泰</v>
      </c>
      <c r="B14" s="40" t="str">
        <f aca="false">IF($A14="","",单位档案!$B14)</f>
        <v>湖南锦泰电力建设有限公司</v>
      </c>
      <c r="C14" s="41" t="n">
        <f aca="false">IF($A14="","",SUMIFS(业务流水!$S$5:$S$1504,业务流水!$E$5:$E$1504,$A14,业务流水!$D$5:$D$1504,"销项开票",业务流水!$Z$5:$Z$1504,"是"))</f>
        <v>13532.47</v>
      </c>
      <c r="D14" s="41" t="n">
        <f aca="false">IF($A14="","",SUMIFS(业务流水!$T$5:$T$1504,业务流水!$E$5:$E$1504,$A14,业务流水!$D$5:$D$1504,"销项开票",业务流水!$Z$5:$Z$1504,"是"))</f>
        <v>1623.9</v>
      </c>
      <c r="E14" s="41" t="n">
        <f aca="false">IF($A14="","",SUMIFS(业务流水!$U$5:$U$1504,业务流水!$E$5:$E$1504,$A14,业务流水!$D$5:$D$1504,"销项开票",业务流水!$Z$5:$Z$1504,"是"))</f>
        <v>0</v>
      </c>
      <c r="F14" s="41" t="n">
        <f aca="false">IF($A14="","",SUMIFS(业务流水!$V$5:$V$1504,业务流水!$E$5:$E$1504,$A14,业务流水!$D$5:$D$1504,"销项开票",业务流水!$Z$5:$Z$1504,"是"))</f>
        <v>0</v>
      </c>
      <c r="G14" s="41" t="n">
        <f aca="false">IF($A14="","",SUMIFS(业务流水!$W$5:$W$1504,业务流水!$E$5:$E$1504,$A14,业务流水!$D$5:$D$1504,"销项开票",业务流水!$Z$5:$Z$1504,"是"))</f>
        <v>15156.37</v>
      </c>
      <c r="H14" s="41" t="n">
        <f aca="false">IF($A14="","",SUMIFS(业务流水!$H$5:$H$1504,业务流水!$E$5:$E$1504,$A14,业务流水!$D$5:$D$1504,"已交税",业务流水!$Z$5:$Z$1504,"是"))</f>
        <v>17766.62</v>
      </c>
      <c r="I14" s="43" t="n">
        <f aca="false">IF($A14="","",ROUND($G14-$H14,2))</f>
        <v>-2610.25</v>
      </c>
      <c r="J14" s="48" t="str">
        <f aca="false">IF($A14="","",IF(ABS($I14)&lt;1,"✓ 已结清",IF($I14&gt;0,"欠税","多交")))</f>
        <v>多交</v>
      </c>
    </row>
    <row r="15" customFormat="false" ht="15.75" hidden="false" customHeight="true" outlineLevel="0" collapsed="false">
      <c r="A15" s="32" t="str">
        <f aca="false">IF(单位档案!$C15&lt;&gt;"挂靠单位","",单位档案!$A15)</f>
        <v>杰华</v>
      </c>
      <c r="B15" s="40" t="str">
        <f aca="false">IF($A15="","",单位档案!$B15)</f>
        <v>重庆杰华电气有限公司</v>
      </c>
      <c r="C15" s="41" t="n">
        <f aca="false">IF($A15="","",SUMIFS(业务流水!$S$5:$S$1504,业务流水!$E$5:$E$1504,$A15,业务流水!$D$5:$D$1504,"销项开票",业务流水!$Z$5:$Z$1504,"是"))</f>
        <v>14070.57</v>
      </c>
      <c r="D15" s="41" t="n">
        <f aca="false">IF($A15="","",SUMIFS(业务流水!$T$5:$T$1504,业务流水!$E$5:$E$1504,$A15,业务流水!$D$5:$D$1504,"销项开票",业务流水!$Z$5:$Z$1504,"是"))</f>
        <v>1688.47</v>
      </c>
      <c r="E15" s="41" t="n">
        <f aca="false">IF($A15="","",SUMIFS(业务流水!$U$5:$U$1504,业务流水!$E$5:$E$1504,$A15,业务流水!$D$5:$D$1504,"销项开票",业务流水!$Z$5:$Z$1504,"是"))</f>
        <v>0</v>
      </c>
      <c r="F15" s="41" t="n">
        <f aca="false">IF($A15="","",SUMIFS(业务流水!$V$5:$V$1504,业务流水!$E$5:$E$1504,$A15,业务流水!$D$5:$D$1504,"销项开票",业务流水!$Z$5:$Z$1504,"是"))</f>
        <v>0</v>
      </c>
      <c r="G15" s="41" t="n">
        <f aca="false">IF($A15="","",SUMIFS(业务流水!$W$5:$W$1504,业务流水!$E$5:$E$1504,$A15,业务流水!$D$5:$D$1504,"销项开票",业务流水!$Z$5:$Z$1504,"是"))</f>
        <v>15759.04</v>
      </c>
      <c r="H15" s="41" t="n">
        <f aca="false">IF($A15="","",SUMIFS(业务流水!$H$5:$H$1504,业务流水!$E$5:$E$1504,$A15,业务流水!$D$5:$D$1504,"已交税",业务流水!$Z$5:$Z$1504,"是"))</f>
        <v>0</v>
      </c>
      <c r="I15" s="43" t="n">
        <f aca="false">IF($A15="","",ROUND($G15-$H15,2))</f>
        <v>15759.04</v>
      </c>
      <c r="J15" s="48" t="str">
        <f aca="false">IF($A15="","",IF(ABS($I15)&lt;1,"✓ 已结清",IF($I15&gt;0,"欠税","多交")))</f>
        <v>欠税</v>
      </c>
    </row>
    <row r="16" customFormat="false" ht="15.75" hidden="false" customHeight="true" outlineLevel="0" collapsed="false">
      <c r="A16" s="32" t="str">
        <f aca="false">IF(单位档案!$C16&lt;&gt;"挂靠单位","",单位档案!$A16)</f>
        <v/>
      </c>
      <c r="B16" s="40" t="str">
        <f aca="false">IF($A16="","",单位档案!$B16)</f>
        <v/>
      </c>
      <c r="C16" s="41" t="str">
        <f aca="false">IF($A16="","",SUMIFS(业务流水!$S$5:$S$1504,业务流水!$E$5:$E$1504,$A16,业务流水!$D$5:$D$1504,"销项开票",业务流水!$Z$5:$Z$1504,"是"))</f>
        <v/>
      </c>
      <c r="D16" s="41" t="str">
        <f aca="false">IF($A16="","",SUMIFS(业务流水!$T$5:$T$1504,业务流水!$E$5:$E$1504,$A16,业务流水!$D$5:$D$1504,"销项开票",业务流水!$Z$5:$Z$1504,"是"))</f>
        <v/>
      </c>
      <c r="E16" s="41" t="str">
        <f aca="false">IF($A16="","",SUMIFS(业务流水!$U$5:$U$1504,业务流水!$E$5:$E$1504,$A16,业务流水!$D$5:$D$1504,"销项开票",业务流水!$Z$5:$Z$1504,"是"))</f>
        <v/>
      </c>
      <c r="F16" s="41" t="str">
        <f aca="false">IF($A16="","",SUMIFS(业务流水!$V$5:$V$1504,业务流水!$E$5:$E$1504,$A16,业务流水!$D$5:$D$1504,"销项开票",业务流水!$Z$5:$Z$1504,"是"))</f>
        <v/>
      </c>
      <c r="G16" s="41" t="str">
        <f aca="false">IF($A16="","",SUMIFS(业务流水!$W$5:$W$1504,业务流水!$E$5:$E$1504,$A16,业务流水!$D$5:$D$1504,"销项开票",业务流水!$Z$5:$Z$1504,"是"))</f>
        <v/>
      </c>
      <c r="H16" s="41" t="str">
        <f aca="false">IF($A16="","",SUMIFS(业务流水!$H$5:$H$1504,业务流水!$E$5:$E$1504,$A16,业务流水!$D$5:$D$1504,"已交税",业务流水!$Z$5:$Z$1504,"是"))</f>
        <v/>
      </c>
      <c r="I16" s="43" t="str">
        <f aca="false">IF($A16="","",ROUND($G16-$H16,2))</f>
        <v/>
      </c>
      <c r="J16" s="48" t="str">
        <f aca="false">IF($A16="","",IF(ABS($I16)&lt;1,"✓ 已结清",IF($I16&gt;0,"欠税","多交")))</f>
        <v/>
      </c>
    </row>
    <row r="17" customFormat="false" ht="15.75" hidden="false" customHeight="true" outlineLevel="0" collapsed="false">
      <c r="A17" s="32" t="str">
        <f aca="false">IF(单位档案!$C17&lt;&gt;"挂靠单位","",单位档案!$A17)</f>
        <v/>
      </c>
      <c r="B17" s="40" t="str">
        <f aca="false">IF($A17="","",单位档案!$B17)</f>
        <v/>
      </c>
      <c r="C17" s="41" t="str">
        <f aca="false">IF($A17="","",SUMIFS(业务流水!$S$5:$S$1504,业务流水!$E$5:$E$1504,$A17,业务流水!$D$5:$D$1504,"销项开票",业务流水!$Z$5:$Z$1504,"是"))</f>
        <v/>
      </c>
      <c r="D17" s="41" t="str">
        <f aca="false">IF($A17="","",SUMIFS(业务流水!$T$5:$T$1504,业务流水!$E$5:$E$1504,$A17,业务流水!$D$5:$D$1504,"销项开票",业务流水!$Z$5:$Z$1504,"是"))</f>
        <v/>
      </c>
      <c r="E17" s="41" t="str">
        <f aca="false">IF($A17="","",SUMIFS(业务流水!$U$5:$U$1504,业务流水!$E$5:$E$1504,$A17,业务流水!$D$5:$D$1504,"销项开票",业务流水!$Z$5:$Z$1504,"是"))</f>
        <v/>
      </c>
      <c r="F17" s="41" t="str">
        <f aca="false">IF($A17="","",SUMIFS(业务流水!$V$5:$V$1504,业务流水!$E$5:$E$1504,$A17,业务流水!$D$5:$D$1504,"销项开票",业务流水!$Z$5:$Z$1504,"是"))</f>
        <v/>
      </c>
      <c r="G17" s="41" t="str">
        <f aca="false">IF($A17="","",SUMIFS(业务流水!$W$5:$W$1504,业务流水!$E$5:$E$1504,$A17,业务流水!$D$5:$D$1504,"销项开票",业务流水!$Z$5:$Z$1504,"是"))</f>
        <v/>
      </c>
      <c r="H17" s="41" t="str">
        <f aca="false">IF($A17="","",SUMIFS(业务流水!$H$5:$H$1504,业务流水!$E$5:$E$1504,$A17,业务流水!$D$5:$D$1504,"已交税",业务流水!$Z$5:$Z$1504,"是"))</f>
        <v/>
      </c>
      <c r="I17" s="43" t="str">
        <f aca="false">IF($A17="","",ROUND($G17-$H17,2))</f>
        <v/>
      </c>
      <c r="J17" s="48" t="str">
        <f aca="false">IF($A17="","",IF(ABS($I17)&lt;1,"✓ 已结清",IF($I17&gt;0,"欠税","多交")))</f>
        <v/>
      </c>
    </row>
    <row r="18" customFormat="false" ht="15.75" hidden="false" customHeight="true" outlineLevel="0" collapsed="false">
      <c r="A18" s="32" t="str">
        <f aca="false">IF(单位档案!$C18&lt;&gt;"挂靠单位","",单位档案!$A18)</f>
        <v/>
      </c>
      <c r="B18" s="40" t="str">
        <f aca="false">IF($A18="","",单位档案!$B18)</f>
        <v/>
      </c>
      <c r="C18" s="41" t="str">
        <f aca="false">IF($A18="","",SUMIFS(业务流水!$S$5:$S$1504,业务流水!$E$5:$E$1504,$A18,业务流水!$D$5:$D$1504,"销项开票",业务流水!$Z$5:$Z$1504,"是"))</f>
        <v/>
      </c>
      <c r="D18" s="41" t="str">
        <f aca="false">IF($A18="","",SUMIFS(业务流水!$T$5:$T$1504,业务流水!$E$5:$E$1504,$A18,业务流水!$D$5:$D$1504,"销项开票",业务流水!$Z$5:$Z$1504,"是"))</f>
        <v/>
      </c>
      <c r="E18" s="41" t="str">
        <f aca="false">IF($A18="","",SUMIFS(业务流水!$U$5:$U$1504,业务流水!$E$5:$E$1504,$A18,业务流水!$D$5:$D$1504,"销项开票",业务流水!$Z$5:$Z$1504,"是"))</f>
        <v/>
      </c>
      <c r="F18" s="41" t="str">
        <f aca="false">IF($A18="","",SUMIFS(业务流水!$V$5:$V$1504,业务流水!$E$5:$E$1504,$A18,业务流水!$D$5:$D$1504,"销项开票",业务流水!$Z$5:$Z$1504,"是"))</f>
        <v/>
      </c>
      <c r="G18" s="41" t="str">
        <f aca="false">IF($A18="","",SUMIFS(业务流水!$W$5:$W$1504,业务流水!$E$5:$E$1504,$A18,业务流水!$D$5:$D$1504,"销项开票",业务流水!$Z$5:$Z$1504,"是"))</f>
        <v/>
      </c>
      <c r="H18" s="41" t="str">
        <f aca="false">IF($A18="","",SUMIFS(业务流水!$H$5:$H$1504,业务流水!$E$5:$E$1504,$A18,业务流水!$D$5:$D$1504,"已交税",业务流水!$Z$5:$Z$1504,"是"))</f>
        <v/>
      </c>
      <c r="I18" s="43" t="str">
        <f aca="false">IF($A18="","",ROUND($G18-$H18,2))</f>
        <v/>
      </c>
      <c r="J18" s="48" t="str">
        <f aca="false">IF($A18="","",IF(ABS($I18)&lt;1,"✓ 已结清",IF($I18&gt;0,"欠税","多交")))</f>
        <v/>
      </c>
    </row>
    <row r="19" customFormat="false" ht="15.75" hidden="false" customHeight="true" outlineLevel="0" collapsed="false">
      <c r="A19" s="32" t="str">
        <f aca="false">IF(单位档案!$C19&lt;&gt;"挂靠单位","",单位档案!$A19)</f>
        <v/>
      </c>
      <c r="B19" s="40" t="str">
        <f aca="false">IF($A19="","",单位档案!$B19)</f>
        <v/>
      </c>
      <c r="C19" s="41" t="str">
        <f aca="false">IF($A19="","",SUMIFS(业务流水!$S$5:$S$1504,业务流水!$E$5:$E$1504,$A19,业务流水!$D$5:$D$1504,"销项开票",业务流水!$Z$5:$Z$1504,"是"))</f>
        <v/>
      </c>
      <c r="D19" s="41" t="str">
        <f aca="false">IF($A19="","",SUMIFS(业务流水!$T$5:$T$1504,业务流水!$E$5:$E$1504,$A19,业务流水!$D$5:$D$1504,"销项开票",业务流水!$Z$5:$Z$1504,"是"))</f>
        <v/>
      </c>
      <c r="E19" s="41" t="str">
        <f aca="false">IF($A19="","",SUMIFS(业务流水!$U$5:$U$1504,业务流水!$E$5:$E$1504,$A19,业务流水!$D$5:$D$1504,"销项开票",业务流水!$Z$5:$Z$1504,"是"))</f>
        <v/>
      </c>
      <c r="F19" s="41" t="str">
        <f aca="false">IF($A19="","",SUMIFS(业务流水!$V$5:$V$1504,业务流水!$E$5:$E$1504,$A19,业务流水!$D$5:$D$1504,"销项开票",业务流水!$Z$5:$Z$1504,"是"))</f>
        <v/>
      </c>
      <c r="G19" s="41" t="str">
        <f aca="false">IF($A19="","",SUMIFS(业务流水!$W$5:$W$1504,业务流水!$E$5:$E$1504,$A19,业务流水!$D$5:$D$1504,"销项开票",业务流水!$Z$5:$Z$1504,"是"))</f>
        <v/>
      </c>
      <c r="H19" s="41" t="str">
        <f aca="false">IF($A19="","",SUMIFS(业务流水!$H$5:$H$1504,业务流水!$E$5:$E$1504,$A19,业务流水!$D$5:$D$1504,"已交税",业务流水!$Z$5:$Z$1504,"是"))</f>
        <v/>
      </c>
      <c r="I19" s="43" t="str">
        <f aca="false">IF($A19="","",ROUND($G19-$H19,2))</f>
        <v/>
      </c>
      <c r="J19" s="48" t="str">
        <f aca="false">IF($A19="","",IF(ABS($I19)&lt;1,"✓ 已结清",IF($I19&gt;0,"欠税","多交")))</f>
        <v/>
      </c>
    </row>
    <row r="20" customFormat="false" ht="15.75" hidden="false" customHeight="true" outlineLevel="0" collapsed="false">
      <c r="A20" s="32" t="str">
        <f aca="false">IF(单位档案!$C20&lt;&gt;"挂靠单位","",单位档案!$A20)</f>
        <v/>
      </c>
      <c r="B20" s="40" t="str">
        <f aca="false">IF($A20="","",单位档案!$B20)</f>
        <v/>
      </c>
      <c r="C20" s="41" t="str">
        <f aca="false">IF($A20="","",SUMIFS(业务流水!$S$5:$S$1504,业务流水!$E$5:$E$1504,$A20,业务流水!$D$5:$D$1504,"销项开票",业务流水!$Z$5:$Z$1504,"是"))</f>
        <v/>
      </c>
      <c r="D20" s="41" t="str">
        <f aca="false">IF($A20="","",SUMIFS(业务流水!$T$5:$T$1504,业务流水!$E$5:$E$1504,$A20,业务流水!$D$5:$D$1504,"销项开票",业务流水!$Z$5:$Z$1504,"是"))</f>
        <v/>
      </c>
      <c r="E20" s="41" t="str">
        <f aca="false">IF($A20="","",SUMIFS(业务流水!$U$5:$U$1504,业务流水!$E$5:$E$1504,$A20,业务流水!$D$5:$D$1504,"销项开票",业务流水!$Z$5:$Z$1504,"是"))</f>
        <v/>
      </c>
      <c r="F20" s="41" t="str">
        <f aca="false">IF($A20="","",SUMIFS(业务流水!$V$5:$V$1504,业务流水!$E$5:$E$1504,$A20,业务流水!$D$5:$D$1504,"销项开票",业务流水!$Z$5:$Z$1504,"是"))</f>
        <v/>
      </c>
      <c r="G20" s="41" t="str">
        <f aca="false">IF($A20="","",SUMIFS(业务流水!$W$5:$W$1504,业务流水!$E$5:$E$1504,$A20,业务流水!$D$5:$D$1504,"销项开票",业务流水!$Z$5:$Z$1504,"是"))</f>
        <v/>
      </c>
      <c r="H20" s="41" t="str">
        <f aca="false">IF($A20="","",SUMIFS(业务流水!$H$5:$H$1504,业务流水!$E$5:$E$1504,$A20,业务流水!$D$5:$D$1504,"已交税",业务流水!$Z$5:$Z$1504,"是"))</f>
        <v/>
      </c>
      <c r="I20" s="43" t="str">
        <f aca="false">IF($A20="","",ROUND($G20-$H20,2))</f>
        <v/>
      </c>
      <c r="J20" s="48" t="str">
        <f aca="false">IF($A20="","",IF(ABS($I20)&lt;1,"✓ 已结清",IF($I20&gt;0,"欠税","多交")))</f>
        <v/>
      </c>
    </row>
    <row r="21" customFormat="false" ht="15.75" hidden="false" customHeight="true" outlineLevel="0" collapsed="false">
      <c r="A21" s="32" t="str">
        <f aca="false">IF(单位档案!$C21&lt;&gt;"挂靠单位","",单位档案!$A21)</f>
        <v/>
      </c>
      <c r="B21" s="40" t="str">
        <f aca="false">IF($A21="","",单位档案!$B21)</f>
        <v/>
      </c>
      <c r="C21" s="41" t="str">
        <f aca="false">IF($A21="","",SUMIFS(业务流水!$S$5:$S$1504,业务流水!$E$5:$E$1504,$A21,业务流水!$D$5:$D$1504,"销项开票",业务流水!$Z$5:$Z$1504,"是"))</f>
        <v/>
      </c>
      <c r="D21" s="41" t="str">
        <f aca="false">IF($A21="","",SUMIFS(业务流水!$T$5:$T$1504,业务流水!$E$5:$E$1504,$A21,业务流水!$D$5:$D$1504,"销项开票",业务流水!$Z$5:$Z$1504,"是"))</f>
        <v/>
      </c>
      <c r="E21" s="41" t="str">
        <f aca="false">IF($A21="","",SUMIFS(业务流水!$U$5:$U$1504,业务流水!$E$5:$E$1504,$A21,业务流水!$D$5:$D$1504,"销项开票",业务流水!$Z$5:$Z$1504,"是"))</f>
        <v/>
      </c>
      <c r="F21" s="41" t="str">
        <f aca="false">IF($A21="","",SUMIFS(业务流水!$V$5:$V$1504,业务流水!$E$5:$E$1504,$A21,业务流水!$D$5:$D$1504,"销项开票",业务流水!$Z$5:$Z$1504,"是"))</f>
        <v/>
      </c>
      <c r="G21" s="41" t="str">
        <f aca="false">IF($A21="","",SUMIFS(业务流水!$W$5:$W$1504,业务流水!$E$5:$E$1504,$A21,业务流水!$D$5:$D$1504,"销项开票",业务流水!$Z$5:$Z$1504,"是"))</f>
        <v/>
      </c>
      <c r="H21" s="41" t="str">
        <f aca="false">IF($A21="","",SUMIFS(业务流水!$H$5:$H$1504,业务流水!$E$5:$E$1504,$A21,业务流水!$D$5:$D$1504,"已交税",业务流水!$Z$5:$Z$1504,"是"))</f>
        <v/>
      </c>
      <c r="I21" s="43" t="str">
        <f aca="false">IF($A21="","",ROUND($G21-$H21,2))</f>
        <v/>
      </c>
      <c r="J21" s="48" t="str">
        <f aca="false">IF($A21="","",IF(ABS($I21)&lt;1,"✓ 已结清",IF($I21&gt;0,"欠税","多交")))</f>
        <v/>
      </c>
    </row>
    <row r="22" customFormat="false" ht="15.75" hidden="false" customHeight="true" outlineLevel="0" collapsed="false">
      <c r="A22" s="32" t="str">
        <f aca="false">IF(单位档案!$C22&lt;&gt;"挂靠单位","",单位档案!$A22)</f>
        <v/>
      </c>
      <c r="B22" s="40" t="str">
        <f aca="false">IF($A22="","",单位档案!$B22)</f>
        <v/>
      </c>
      <c r="C22" s="41" t="str">
        <f aca="false">IF($A22="","",SUMIFS(业务流水!$S$5:$S$1504,业务流水!$E$5:$E$1504,$A22,业务流水!$D$5:$D$1504,"销项开票",业务流水!$Z$5:$Z$1504,"是"))</f>
        <v/>
      </c>
      <c r="D22" s="41" t="str">
        <f aca="false">IF($A22="","",SUMIFS(业务流水!$T$5:$T$1504,业务流水!$E$5:$E$1504,$A22,业务流水!$D$5:$D$1504,"销项开票",业务流水!$Z$5:$Z$1504,"是"))</f>
        <v/>
      </c>
      <c r="E22" s="41" t="str">
        <f aca="false">IF($A22="","",SUMIFS(业务流水!$U$5:$U$1504,业务流水!$E$5:$E$1504,$A22,业务流水!$D$5:$D$1504,"销项开票",业务流水!$Z$5:$Z$1504,"是"))</f>
        <v/>
      </c>
      <c r="F22" s="41" t="str">
        <f aca="false">IF($A22="","",SUMIFS(业务流水!$V$5:$V$1504,业务流水!$E$5:$E$1504,$A22,业务流水!$D$5:$D$1504,"销项开票",业务流水!$Z$5:$Z$1504,"是"))</f>
        <v/>
      </c>
      <c r="G22" s="41" t="str">
        <f aca="false">IF($A22="","",SUMIFS(业务流水!$W$5:$W$1504,业务流水!$E$5:$E$1504,$A22,业务流水!$D$5:$D$1504,"销项开票",业务流水!$Z$5:$Z$1504,"是"))</f>
        <v/>
      </c>
      <c r="H22" s="41" t="str">
        <f aca="false">IF($A22="","",SUMIFS(业务流水!$H$5:$H$1504,业务流水!$E$5:$E$1504,$A22,业务流水!$D$5:$D$1504,"已交税",业务流水!$Z$5:$Z$1504,"是"))</f>
        <v/>
      </c>
      <c r="I22" s="43" t="str">
        <f aca="false">IF($A22="","",ROUND($G22-$H22,2))</f>
        <v/>
      </c>
      <c r="J22" s="48" t="str">
        <f aca="false">IF($A22="","",IF(ABS($I22)&lt;1,"✓ 已结清",IF($I22&gt;0,"欠税","多交")))</f>
        <v/>
      </c>
    </row>
    <row r="23" customFormat="false" ht="15.75" hidden="false" customHeight="true" outlineLevel="0" collapsed="false">
      <c r="A23" s="32" t="str">
        <f aca="false">IF(单位档案!$C23&lt;&gt;"挂靠单位","",单位档案!$A23)</f>
        <v/>
      </c>
      <c r="B23" s="40" t="str">
        <f aca="false">IF($A23="","",单位档案!$B23)</f>
        <v/>
      </c>
      <c r="C23" s="41" t="str">
        <f aca="false">IF($A23="","",SUMIFS(业务流水!$S$5:$S$1504,业务流水!$E$5:$E$1504,$A23,业务流水!$D$5:$D$1504,"销项开票",业务流水!$Z$5:$Z$1504,"是"))</f>
        <v/>
      </c>
      <c r="D23" s="41" t="str">
        <f aca="false">IF($A23="","",SUMIFS(业务流水!$T$5:$T$1504,业务流水!$E$5:$E$1504,$A23,业务流水!$D$5:$D$1504,"销项开票",业务流水!$Z$5:$Z$1504,"是"))</f>
        <v/>
      </c>
      <c r="E23" s="41" t="str">
        <f aca="false">IF($A23="","",SUMIFS(业务流水!$U$5:$U$1504,业务流水!$E$5:$E$1504,$A23,业务流水!$D$5:$D$1504,"销项开票",业务流水!$Z$5:$Z$1504,"是"))</f>
        <v/>
      </c>
      <c r="F23" s="41" t="str">
        <f aca="false">IF($A23="","",SUMIFS(业务流水!$V$5:$V$1504,业务流水!$E$5:$E$1504,$A23,业务流水!$D$5:$D$1504,"销项开票",业务流水!$Z$5:$Z$1504,"是"))</f>
        <v/>
      </c>
      <c r="G23" s="41" t="str">
        <f aca="false">IF($A23="","",SUMIFS(业务流水!$W$5:$W$1504,业务流水!$E$5:$E$1504,$A23,业务流水!$D$5:$D$1504,"销项开票",业务流水!$Z$5:$Z$1504,"是"))</f>
        <v/>
      </c>
      <c r="H23" s="41" t="str">
        <f aca="false">IF($A23="","",SUMIFS(业务流水!$H$5:$H$1504,业务流水!$E$5:$E$1504,$A23,业务流水!$D$5:$D$1504,"已交税",业务流水!$Z$5:$Z$1504,"是"))</f>
        <v/>
      </c>
      <c r="I23" s="43" t="str">
        <f aca="false">IF($A23="","",ROUND($G23-$H23,2))</f>
        <v/>
      </c>
      <c r="J23" s="48" t="str">
        <f aca="false">IF($A23="","",IF(ABS($I23)&lt;1,"✓ 已结清",IF($I23&gt;0,"欠税","多交")))</f>
        <v/>
      </c>
    </row>
    <row r="24" customFormat="false" ht="15.75" hidden="false" customHeight="true" outlineLevel="0" collapsed="false">
      <c r="A24" s="32" t="str">
        <f aca="false">IF(单位档案!$C24&lt;&gt;"挂靠单位","",单位档案!$A24)</f>
        <v/>
      </c>
      <c r="B24" s="40" t="str">
        <f aca="false">IF($A24="","",单位档案!$B24)</f>
        <v/>
      </c>
      <c r="C24" s="41" t="str">
        <f aca="false">IF($A24="","",SUMIFS(业务流水!$S$5:$S$1504,业务流水!$E$5:$E$1504,$A24,业务流水!$D$5:$D$1504,"销项开票",业务流水!$Z$5:$Z$1504,"是"))</f>
        <v/>
      </c>
      <c r="D24" s="41" t="str">
        <f aca="false">IF($A24="","",SUMIFS(业务流水!$T$5:$T$1504,业务流水!$E$5:$E$1504,$A24,业务流水!$D$5:$D$1504,"销项开票",业务流水!$Z$5:$Z$1504,"是"))</f>
        <v/>
      </c>
      <c r="E24" s="41" t="str">
        <f aca="false">IF($A24="","",SUMIFS(业务流水!$U$5:$U$1504,业务流水!$E$5:$E$1504,$A24,业务流水!$D$5:$D$1504,"销项开票",业务流水!$Z$5:$Z$1504,"是"))</f>
        <v/>
      </c>
      <c r="F24" s="41" t="str">
        <f aca="false">IF($A24="","",SUMIFS(业务流水!$V$5:$V$1504,业务流水!$E$5:$E$1504,$A24,业务流水!$D$5:$D$1504,"销项开票",业务流水!$Z$5:$Z$1504,"是"))</f>
        <v/>
      </c>
      <c r="G24" s="41" t="str">
        <f aca="false">IF($A24="","",SUMIFS(业务流水!$W$5:$W$1504,业务流水!$E$5:$E$1504,$A24,业务流水!$D$5:$D$1504,"销项开票",业务流水!$Z$5:$Z$1504,"是"))</f>
        <v/>
      </c>
      <c r="H24" s="41" t="str">
        <f aca="false">IF($A24="","",SUMIFS(业务流水!$H$5:$H$1504,业务流水!$E$5:$E$1504,$A24,业务流水!$D$5:$D$1504,"已交税",业务流水!$Z$5:$Z$1504,"是"))</f>
        <v/>
      </c>
      <c r="I24" s="43" t="str">
        <f aca="false">IF($A24="","",ROUND($G24-$H24,2))</f>
        <v/>
      </c>
      <c r="J24" s="48" t="str">
        <f aca="false">IF($A24="","",IF(ABS($I24)&lt;1,"✓ 已结清",IF($I24&gt;0,"欠税","多交")))</f>
        <v/>
      </c>
    </row>
    <row r="25" customFormat="false" ht="15.75" hidden="false" customHeight="true" outlineLevel="0" collapsed="false">
      <c r="A25" s="32" t="str">
        <f aca="false">IF(单位档案!$C25&lt;&gt;"挂靠单位","",单位档案!$A25)</f>
        <v/>
      </c>
      <c r="B25" s="40" t="str">
        <f aca="false">IF($A25="","",单位档案!$B25)</f>
        <v/>
      </c>
      <c r="C25" s="41" t="str">
        <f aca="false">IF($A25="","",SUMIFS(业务流水!$S$5:$S$1504,业务流水!$E$5:$E$1504,$A25,业务流水!$D$5:$D$1504,"销项开票",业务流水!$Z$5:$Z$1504,"是"))</f>
        <v/>
      </c>
      <c r="D25" s="41" t="str">
        <f aca="false">IF($A25="","",SUMIFS(业务流水!$T$5:$T$1504,业务流水!$E$5:$E$1504,$A25,业务流水!$D$5:$D$1504,"销项开票",业务流水!$Z$5:$Z$1504,"是"))</f>
        <v/>
      </c>
      <c r="E25" s="41" t="str">
        <f aca="false">IF($A25="","",SUMIFS(业务流水!$U$5:$U$1504,业务流水!$E$5:$E$1504,$A25,业务流水!$D$5:$D$1504,"销项开票",业务流水!$Z$5:$Z$1504,"是"))</f>
        <v/>
      </c>
      <c r="F25" s="41" t="str">
        <f aca="false">IF($A25="","",SUMIFS(业务流水!$V$5:$V$1504,业务流水!$E$5:$E$1504,$A25,业务流水!$D$5:$D$1504,"销项开票",业务流水!$Z$5:$Z$1504,"是"))</f>
        <v/>
      </c>
      <c r="G25" s="41" t="str">
        <f aca="false">IF($A25="","",SUMIFS(业务流水!$W$5:$W$1504,业务流水!$E$5:$E$1504,$A25,业务流水!$D$5:$D$1504,"销项开票",业务流水!$Z$5:$Z$1504,"是"))</f>
        <v/>
      </c>
      <c r="H25" s="41" t="str">
        <f aca="false">IF($A25="","",SUMIFS(业务流水!$H$5:$H$1504,业务流水!$E$5:$E$1504,$A25,业务流水!$D$5:$D$1504,"已交税",业务流水!$Z$5:$Z$1504,"是"))</f>
        <v/>
      </c>
      <c r="I25" s="43" t="str">
        <f aca="false">IF($A25="","",ROUND($G25-$H25,2))</f>
        <v/>
      </c>
      <c r="J25" s="48" t="str">
        <f aca="false">IF($A25="","",IF(ABS($I25)&lt;1,"✓ 已结清",IF($I25&gt;0,"欠税","多交")))</f>
        <v/>
      </c>
    </row>
    <row r="26" customFormat="false" ht="15.75" hidden="false" customHeight="true" outlineLevel="0" collapsed="false">
      <c r="A26" s="32" t="str">
        <f aca="false">IF(单位档案!$C26&lt;&gt;"挂靠单位","",单位档案!$A26)</f>
        <v/>
      </c>
      <c r="B26" s="40" t="str">
        <f aca="false">IF($A26="","",单位档案!$B26)</f>
        <v/>
      </c>
      <c r="C26" s="41" t="str">
        <f aca="false">IF($A26="","",SUMIFS(业务流水!$S$5:$S$1504,业务流水!$E$5:$E$1504,$A26,业务流水!$D$5:$D$1504,"销项开票",业务流水!$Z$5:$Z$1504,"是"))</f>
        <v/>
      </c>
      <c r="D26" s="41" t="str">
        <f aca="false">IF($A26="","",SUMIFS(业务流水!$T$5:$T$1504,业务流水!$E$5:$E$1504,$A26,业务流水!$D$5:$D$1504,"销项开票",业务流水!$Z$5:$Z$1504,"是"))</f>
        <v/>
      </c>
      <c r="E26" s="41" t="str">
        <f aca="false">IF($A26="","",SUMIFS(业务流水!$U$5:$U$1504,业务流水!$E$5:$E$1504,$A26,业务流水!$D$5:$D$1504,"销项开票",业务流水!$Z$5:$Z$1504,"是"))</f>
        <v/>
      </c>
      <c r="F26" s="41" t="str">
        <f aca="false">IF($A26="","",SUMIFS(业务流水!$V$5:$V$1504,业务流水!$E$5:$E$1504,$A26,业务流水!$D$5:$D$1504,"销项开票",业务流水!$Z$5:$Z$1504,"是"))</f>
        <v/>
      </c>
      <c r="G26" s="41" t="str">
        <f aca="false">IF($A26="","",SUMIFS(业务流水!$W$5:$W$1504,业务流水!$E$5:$E$1504,$A26,业务流水!$D$5:$D$1504,"销项开票",业务流水!$Z$5:$Z$1504,"是"))</f>
        <v/>
      </c>
      <c r="H26" s="41" t="str">
        <f aca="false">IF($A26="","",SUMIFS(业务流水!$H$5:$H$1504,业务流水!$E$5:$E$1504,$A26,业务流水!$D$5:$D$1504,"已交税",业务流水!$Z$5:$Z$1504,"是"))</f>
        <v/>
      </c>
      <c r="I26" s="43" t="str">
        <f aca="false">IF($A26="","",ROUND($G26-$H26,2))</f>
        <v/>
      </c>
      <c r="J26" s="48" t="str">
        <f aca="false">IF($A26="","",IF(ABS($I26)&lt;1,"✓ 已结清",IF($I26&gt;0,"欠税","多交")))</f>
        <v/>
      </c>
    </row>
    <row r="27" customFormat="false" ht="15.75" hidden="false" customHeight="true" outlineLevel="0" collapsed="false">
      <c r="A27" s="32" t="str">
        <f aca="false">IF(单位档案!$C27&lt;&gt;"挂靠单位","",单位档案!$A27)</f>
        <v/>
      </c>
      <c r="B27" s="40" t="str">
        <f aca="false">IF($A27="","",单位档案!$B27)</f>
        <v/>
      </c>
      <c r="C27" s="41" t="str">
        <f aca="false">IF($A27="","",SUMIFS(业务流水!$S$5:$S$1504,业务流水!$E$5:$E$1504,$A27,业务流水!$D$5:$D$1504,"销项开票",业务流水!$Z$5:$Z$1504,"是"))</f>
        <v/>
      </c>
      <c r="D27" s="41" t="str">
        <f aca="false">IF($A27="","",SUMIFS(业务流水!$T$5:$T$1504,业务流水!$E$5:$E$1504,$A27,业务流水!$D$5:$D$1504,"销项开票",业务流水!$Z$5:$Z$1504,"是"))</f>
        <v/>
      </c>
      <c r="E27" s="41" t="str">
        <f aca="false">IF($A27="","",SUMIFS(业务流水!$U$5:$U$1504,业务流水!$E$5:$E$1504,$A27,业务流水!$D$5:$D$1504,"销项开票",业务流水!$Z$5:$Z$1504,"是"))</f>
        <v/>
      </c>
      <c r="F27" s="41" t="str">
        <f aca="false">IF($A27="","",SUMIFS(业务流水!$V$5:$V$1504,业务流水!$E$5:$E$1504,$A27,业务流水!$D$5:$D$1504,"销项开票",业务流水!$Z$5:$Z$1504,"是"))</f>
        <v/>
      </c>
      <c r="G27" s="41" t="str">
        <f aca="false">IF($A27="","",SUMIFS(业务流水!$W$5:$W$1504,业务流水!$E$5:$E$1504,$A27,业务流水!$D$5:$D$1504,"销项开票",业务流水!$Z$5:$Z$1504,"是"))</f>
        <v/>
      </c>
      <c r="H27" s="41" t="str">
        <f aca="false">IF($A27="","",SUMIFS(业务流水!$H$5:$H$1504,业务流水!$E$5:$E$1504,$A27,业务流水!$D$5:$D$1504,"已交税",业务流水!$Z$5:$Z$1504,"是"))</f>
        <v/>
      </c>
      <c r="I27" s="43" t="str">
        <f aca="false">IF($A27="","",ROUND($G27-$H27,2))</f>
        <v/>
      </c>
      <c r="J27" s="48" t="str">
        <f aca="false">IF($A27="","",IF(ABS($I27)&lt;1,"✓ 已结清",IF($I27&gt;0,"欠税","多交")))</f>
        <v/>
      </c>
    </row>
    <row r="28" customFormat="false" ht="15.75" hidden="false" customHeight="true" outlineLevel="0" collapsed="false">
      <c r="A28" s="32" t="str">
        <f aca="false">IF(单位档案!$C28&lt;&gt;"挂靠单位","",单位档案!$A28)</f>
        <v/>
      </c>
      <c r="B28" s="40" t="str">
        <f aca="false">IF($A28="","",单位档案!$B28)</f>
        <v/>
      </c>
      <c r="C28" s="41" t="str">
        <f aca="false">IF($A28="","",SUMIFS(业务流水!$S$5:$S$1504,业务流水!$E$5:$E$1504,$A28,业务流水!$D$5:$D$1504,"销项开票",业务流水!$Z$5:$Z$1504,"是"))</f>
        <v/>
      </c>
      <c r="D28" s="41" t="str">
        <f aca="false">IF($A28="","",SUMIFS(业务流水!$T$5:$T$1504,业务流水!$E$5:$E$1504,$A28,业务流水!$D$5:$D$1504,"销项开票",业务流水!$Z$5:$Z$1504,"是"))</f>
        <v/>
      </c>
      <c r="E28" s="41" t="str">
        <f aca="false">IF($A28="","",SUMIFS(业务流水!$U$5:$U$1504,业务流水!$E$5:$E$1504,$A28,业务流水!$D$5:$D$1504,"销项开票",业务流水!$Z$5:$Z$1504,"是"))</f>
        <v/>
      </c>
      <c r="F28" s="41" t="str">
        <f aca="false">IF($A28="","",SUMIFS(业务流水!$V$5:$V$1504,业务流水!$E$5:$E$1504,$A28,业务流水!$D$5:$D$1504,"销项开票",业务流水!$Z$5:$Z$1504,"是"))</f>
        <v/>
      </c>
      <c r="G28" s="41" t="str">
        <f aca="false">IF($A28="","",SUMIFS(业务流水!$W$5:$W$1504,业务流水!$E$5:$E$1504,$A28,业务流水!$D$5:$D$1504,"销项开票",业务流水!$Z$5:$Z$1504,"是"))</f>
        <v/>
      </c>
      <c r="H28" s="41" t="str">
        <f aca="false">IF($A28="","",SUMIFS(业务流水!$H$5:$H$1504,业务流水!$E$5:$E$1504,$A28,业务流水!$D$5:$D$1504,"已交税",业务流水!$Z$5:$Z$1504,"是"))</f>
        <v/>
      </c>
      <c r="I28" s="43" t="str">
        <f aca="false">IF($A28="","",ROUND($G28-$H28,2))</f>
        <v/>
      </c>
      <c r="J28" s="48" t="str">
        <f aca="false">IF($A28="","",IF(ABS($I28)&lt;1,"✓ 已结清",IF($I28&gt;0,"欠税","多交")))</f>
        <v/>
      </c>
    </row>
    <row r="29" customFormat="false" ht="15.75" hidden="false" customHeight="true" outlineLevel="0" collapsed="false">
      <c r="A29" s="32" t="str">
        <f aca="false">IF(单位档案!$C29&lt;&gt;"挂靠单位","",单位档案!$A29)</f>
        <v/>
      </c>
      <c r="B29" s="40" t="str">
        <f aca="false">IF($A29="","",单位档案!$B29)</f>
        <v/>
      </c>
      <c r="C29" s="41" t="str">
        <f aca="false">IF($A29="","",SUMIFS(业务流水!$S$5:$S$1504,业务流水!$E$5:$E$1504,$A29,业务流水!$D$5:$D$1504,"销项开票",业务流水!$Z$5:$Z$1504,"是"))</f>
        <v/>
      </c>
      <c r="D29" s="41" t="str">
        <f aca="false">IF($A29="","",SUMIFS(业务流水!$T$5:$T$1504,业务流水!$E$5:$E$1504,$A29,业务流水!$D$5:$D$1504,"销项开票",业务流水!$Z$5:$Z$1504,"是"))</f>
        <v/>
      </c>
      <c r="E29" s="41" t="str">
        <f aca="false">IF($A29="","",SUMIFS(业务流水!$U$5:$U$1504,业务流水!$E$5:$E$1504,$A29,业务流水!$D$5:$D$1504,"销项开票",业务流水!$Z$5:$Z$1504,"是"))</f>
        <v/>
      </c>
      <c r="F29" s="41" t="str">
        <f aca="false">IF($A29="","",SUMIFS(业务流水!$V$5:$V$1504,业务流水!$E$5:$E$1504,$A29,业务流水!$D$5:$D$1504,"销项开票",业务流水!$Z$5:$Z$1504,"是"))</f>
        <v/>
      </c>
      <c r="G29" s="41" t="str">
        <f aca="false">IF($A29="","",SUMIFS(业务流水!$W$5:$W$1504,业务流水!$E$5:$E$1504,$A29,业务流水!$D$5:$D$1504,"销项开票",业务流水!$Z$5:$Z$1504,"是"))</f>
        <v/>
      </c>
      <c r="H29" s="41" t="str">
        <f aca="false">IF($A29="","",SUMIFS(业务流水!$H$5:$H$1504,业务流水!$E$5:$E$1504,$A29,业务流水!$D$5:$D$1504,"已交税",业务流水!$Z$5:$Z$1504,"是"))</f>
        <v/>
      </c>
      <c r="I29" s="43" t="str">
        <f aca="false">IF($A29="","",ROUND($G29-$H29,2))</f>
        <v/>
      </c>
      <c r="J29" s="48" t="str">
        <f aca="false">IF($A29="","",IF(ABS($I29)&lt;1,"✓ 已结清",IF($I29&gt;0,"欠税","多交")))</f>
        <v/>
      </c>
    </row>
    <row r="30" customFormat="false" ht="15.75" hidden="false" customHeight="true" outlineLevel="0" collapsed="false">
      <c r="A30" s="32" t="str">
        <f aca="false">IF(单位档案!$C30&lt;&gt;"挂靠单位","",单位档案!$A30)</f>
        <v/>
      </c>
      <c r="B30" s="40" t="str">
        <f aca="false">IF($A30="","",单位档案!$B30)</f>
        <v/>
      </c>
      <c r="C30" s="41" t="str">
        <f aca="false">IF($A30="","",SUMIFS(业务流水!$S$5:$S$1504,业务流水!$E$5:$E$1504,$A30,业务流水!$D$5:$D$1504,"销项开票",业务流水!$Z$5:$Z$1504,"是"))</f>
        <v/>
      </c>
      <c r="D30" s="41" t="str">
        <f aca="false">IF($A30="","",SUMIFS(业务流水!$T$5:$T$1504,业务流水!$E$5:$E$1504,$A30,业务流水!$D$5:$D$1504,"销项开票",业务流水!$Z$5:$Z$1504,"是"))</f>
        <v/>
      </c>
      <c r="E30" s="41" t="str">
        <f aca="false">IF($A30="","",SUMIFS(业务流水!$U$5:$U$1504,业务流水!$E$5:$E$1504,$A30,业务流水!$D$5:$D$1504,"销项开票",业务流水!$Z$5:$Z$1504,"是"))</f>
        <v/>
      </c>
      <c r="F30" s="41" t="str">
        <f aca="false">IF($A30="","",SUMIFS(业务流水!$V$5:$V$1504,业务流水!$E$5:$E$1504,$A30,业务流水!$D$5:$D$1504,"销项开票",业务流水!$Z$5:$Z$1504,"是"))</f>
        <v/>
      </c>
      <c r="G30" s="41" t="str">
        <f aca="false">IF($A30="","",SUMIFS(业务流水!$W$5:$W$1504,业务流水!$E$5:$E$1504,$A30,业务流水!$D$5:$D$1504,"销项开票",业务流水!$Z$5:$Z$1504,"是"))</f>
        <v/>
      </c>
      <c r="H30" s="41" t="str">
        <f aca="false">IF($A30="","",SUMIFS(业务流水!$H$5:$H$1504,业务流水!$E$5:$E$1504,$A30,业务流水!$D$5:$D$1504,"已交税",业务流水!$Z$5:$Z$1504,"是"))</f>
        <v/>
      </c>
      <c r="I30" s="43" t="str">
        <f aca="false">IF($A30="","",ROUND($G30-$H30,2))</f>
        <v/>
      </c>
      <c r="J30" s="48" t="str">
        <f aca="false">IF($A30="","",IF(ABS($I30)&lt;1,"✓ 已结清",IF($I30&gt;0,"欠税","多交")))</f>
        <v/>
      </c>
    </row>
    <row r="31" customFormat="false" ht="15.75" hidden="false" customHeight="true" outlineLevel="0" collapsed="false">
      <c r="A31" s="32" t="str">
        <f aca="false">IF(单位档案!$C31&lt;&gt;"挂靠单位","",单位档案!$A31)</f>
        <v/>
      </c>
      <c r="B31" s="40" t="str">
        <f aca="false">IF($A31="","",单位档案!$B31)</f>
        <v/>
      </c>
      <c r="C31" s="41" t="str">
        <f aca="false">IF($A31="","",SUMIFS(业务流水!$S$5:$S$1504,业务流水!$E$5:$E$1504,$A31,业务流水!$D$5:$D$1504,"销项开票",业务流水!$Z$5:$Z$1504,"是"))</f>
        <v/>
      </c>
      <c r="D31" s="41" t="str">
        <f aca="false">IF($A31="","",SUMIFS(业务流水!$T$5:$T$1504,业务流水!$E$5:$E$1504,$A31,业务流水!$D$5:$D$1504,"销项开票",业务流水!$Z$5:$Z$1504,"是"))</f>
        <v/>
      </c>
      <c r="E31" s="41" t="str">
        <f aca="false">IF($A31="","",SUMIFS(业务流水!$U$5:$U$1504,业务流水!$E$5:$E$1504,$A31,业务流水!$D$5:$D$1504,"销项开票",业务流水!$Z$5:$Z$1504,"是"))</f>
        <v/>
      </c>
      <c r="F31" s="41" t="str">
        <f aca="false">IF($A31="","",SUMIFS(业务流水!$V$5:$V$1504,业务流水!$E$5:$E$1504,$A31,业务流水!$D$5:$D$1504,"销项开票",业务流水!$Z$5:$Z$1504,"是"))</f>
        <v/>
      </c>
      <c r="G31" s="41" t="str">
        <f aca="false">IF($A31="","",SUMIFS(业务流水!$W$5:$W$1504,业务流水!$E$5:$E$1504,$A31,业务流水!$D$5:$D$1504,"销项开票",业务流水!$Z$5:$Z$1504,"是"))</f>
        <v/>
      </c>
      <c r="H31" s="41" t="str">
        <f aca="false">IF($A31="","",SUMIFS(业务流水!$H$5:$H$1504,业务流水!$E$5:$E$1504,$A31,业务流水!$D$5:$D$1504,"已交税",业务流水!$Z$5:$Z$1504,"是"))</f>
        <v/>
      </c>
      <c r="I31" s="43" t="str">
        <f aca="false">IF($A31="","",ROUND($G31-$H31,2))</f>
        <v/>
      </c>
      <c r="J31" s="48" t="str">
        <f aca="false">IF($A31="","",IF(ABS($I31)&lt;1,"✓ 已结清",IF($I31&gt;0,"欠税","多交")))</f>
        <v/>
      </c>
    </row>
    <row r="32" customFormat="false" ht="15.75" hidden="false" customHeight="true" outlineLevel="0" collapsed="false">
      <c r="A32" s="32" t="str">
        <f aca="false">IF(单位档案!$C32&lt;&gt;"挂靠单位","",单位档案!$A32)</f>
        <v/>
      </c>
      <c r="B32" s="40" t="str">
        <f aca="false">IF($A32="","",单位档案!$B32)</f>
        <v/>
      </c>
      <c r="C32" s="41" t="str">
        <f aca="false">IF($A32="","",SUMIFS(业务流水!$S$5:$S$1504,业务流水!$E$5:$E$1504,$A32,业务流水!$D$5:$D$1504,"销项开票",业务流水!$Z$5:$Z$1504,"是"))</f>
        <v/>
      </c>
      <c r="D32" s="41" t="str">
        <f aca="false">IF($A32="","",SUMIFS(业务流水!$T$5:$T$1504,业务流水!$E$5:$E$1504,$A32,业务流水!$D$5:$D$1504,"销项开票",业务流水!$Z$5:$Z$1504,"是"))</f>
        <v/>
      </c>
      <c r="E32" s="41" t="str">
        <f aca="false">IF($A32="","",SUMIFS(业务流水!$U$5:$U$1504,业务流水!$E$5:$E$1504,$A32,业务流水!$D$5:$D$1504,"销项开票",业务流水!$Z$5:$Z$1504,"是"))</f>
        <v/>
      </c>
      <c r="F32" s="41" t="str">
        <f aca="false">IF($A32="","",SUMIFS(业务流水!$V$5:$V$1504,业务流水!$E$5:$E$1504,$A32,业务流水!$D$5:$D$1504,"销项开票",业务流水!$Z$5:$Z$1504,"是"))</f>
        <v/>
      </c>
      <c r="G32" s="41" t="str">
        <f aca="false">IF($A32="","",SUMIFS(业务流水!$W$5:$W$1504,业务流水!$E$5:$E$1504,$A32,业务流水!$D$5:$D$1504,"销项开票",业务流水!$Z$5:$Z$1504,"是"))</f>
        <v/>
      </c>
      <c r="H32" s="41" t="str">
        <f aca="false">IF($A32="","",SUMIFS(业务流水!$H$5:$H$1504,业务流水!$E$5:$E$1504,$A32,业务流水!$D$5:$D$1504,"已交税",业务流水!$Z$5:$Z$1504,"是"))</f>
        <v/>
      </c>
      <c r="I32" s="43" t="str">
        <f aca="false">IF($A32="","",ROUND($G32-$H32,2))</f>
        <v/>
      </c>
      <c r="J32" s="48" t="str">
        <f aca="false">IF($A32="","",IF(ABS($I32)&lt;1,"✓ 已结清",IF($I32&gt;0,"欠税","多交")))</f>
        <v/>
      </c>
    </row>
    <row r="33" customFormat="false" ht="15.75" hidden="false" customHeight="true" outlineLevel="0" collapsed="false">
      <c r="A33" s="32" t="str">
        <f aca="false">IF(单位档案!$C33&lt;&gt;"挂靠单位","",单位档案!$A33)</f>
        <v/>
      </c>
      <c r="B33" s="40" t="str">
        <f aca="false">IF($A33="","",单位档案!$B33)</f>
        <v/>
      </c>
      <c r="C33" s="41" t="str">
        <f aca="false">IF($A33="","",SUMIFS(业务流水!$S$5:$S$1504,业务流水!$E$5:$E$1504,$A33,业务流水!$D$5:$D$1504,"销项开票",业务流水!$Z$5:$Z$1504,"是"))</f>
        <v/>
      </c>
      <c r="D33" s="41" t="str">
        <f aca="false">IF($A33="","",SUMIFS(业务流水!$T$5:$T$1504,业务流水!$E$5:$E$1504,$A33,业务流水!$D$5:$D$1504,"销项开票",业务流水!$Z$5:$Z$1504,"是"))</f>
        <v/>
      </c>
      <c r="E33" s="41" t="str">
        <f aca="false">IF($A33="","",SUMIFS(业务流水!$U$5:$U$1504,业务流水!$E$5:$E$1504,$A33,业务流水!$D$5:$D$1504,"销项开票",业务流水!$Z$5:$Z$1504,"是"))</f>
        <v/>
      </c>
      <c r="F33" s="41" t="str">
        <f aca="false">IF($A33="","",SUMIFS(业务流水!$V$5:$V$1504,业务流水!$E$5:$E$1504,$A33,业务流水!$D$5:$D$1504,"销项开票",业务流水!$Z$5:$Z$1504,"是"))</f>
        <v/>
      </c>
      <c r="G33" s="41" t="str">
        <f aca="false">IF($A33="","",SUMIFS(业务流水!$W$5:$W$1504,业务流水!$E$5:$E$1504,$A33,业务流水!$D$5:$D$1504,"销项开票",业务流水!$Z$5:$Z$1504,"是"))</f>
        <v/>
      </c>
      <c r="H33" s="41" t="str">
        <f aca="false">IF($A33="","",SUMIFS(业务流水!$H$5:$H$1504,业务流水!$E$5:$E$1504,$A33,业务流水!$D$5:$D$1504,"已交税",业务流水!$Z$5:$Z$1504,"是"))</f>
        <v/>
      </c>
      <c r="I33" s="43" t="str">
        <f aca="false">IF($A33="","",ROUND($G33-$H33,2))</f>
        <v/>
      </c>
      <c r="J33" s="48" t="str">
        <f aca="false">IF($A33="","",IF(ABS($I33)&lt;1,"✓ 已结清",IF($I33&gt;0,"欠税","多交")))</f>
        <v/>
      </c>
    </row>
    <row r="34" customFormat="false" ht="15.75" hidden="false" customHeight="true" outlineLevel="0" collapsed="false">
      <c r="A34" s="32" t="str">
        <f aca="false">IF(单位档案!$C34&lt;&gt;"挂靠单位","",单位档案!$A34)</f>
        <v/>
      </c>
      <c r="B34" s="40" t="str">
        <f aca="false">IF($A34="","",单位档案!$B34)</f>
        <v/>
      </c>
      <c r="C34" s="41" t="str">
        <f aca="false">IF($A34="","",SUMIFS(业务流水!$S$5:$S$1504,业务流水!$E$5:$E$1504,$A34,业务流水!$D$5:$D$1504,"销项开票",业务流水!$Z$5:$Z$1504,"是"))</f>
        <v/>
      </c>
      <c r="D34" s="41" t="str">
        <f aca="false">IF($A34="","",SUMIFS(业务流水!$T$5:$T$1504,业务流水!$E$5:$E$1504,$A34,业务流水!$D$5:$D$1504,"销项开票",业务流水!$Z$5:$Z$1504,"是"))</f>
        <v/>
      </c>
      <c r="E34" s="41" t="str">
        <f aca="false">IF($A34="","",SUMIFS(业务流水!$U$5:$U$1504,业务流水!$E$5:$E$1504,$A34,业务流水!$D$5:$D$1504,"销项开票",业务流水!$Z$5:$Z$1504,"是"))</f>
        <v/>
      </c>
      <c r="F34" s="41" t="str">
        <f aca="false">IF($A34="","",SUMIFS(业务流水!$V$5:$V$1504,业务流水!$E$5:$E$1504,$A34,业务流水!$D$5:$D$1504,"销项开票",业务流水!$Z$5:$Z$1504,"是"))</f>
        <v/>
      </c>
      <c r="G34" s="41" t="str">
        <f aca="false">IF($A34="","",SUMIFS(业务流水!$W$5:$W$1504,业务流水!$E$5:$E$1504,$A34,业务流水!$D$5:$D$1504,"销项开票",业务流水!$Z$5:$Z$1504,"是"))</f>
        <v/>
      </c>
      <c r="H34" s="41" t="str">
        <f aca="false">IF($A34="","",SUMIFS(业务流水!$H$5:$H$1504,业务流水!$E$5:$E$1504,$A34,业务流水!$D$5:$D$1504,"已交税",业务流水!$Z$5:$Z$1504,"是"))</f>
        <v/>
      </c>
      <c r="I34" s="43" t="str">
        <f aca="false">IF($A34="","",ROUND($G34-$H34,2))</f>
        <v/>
      </c>
      <c r="J34" s="48" t="str">
        <f aca="false">IF($A34="","",IF(ABS($I34)&lt;1,"✓ 已结清",IF($I34&gt;0,"欠税","多交")))</f>
        <v/>
      </c>
    </row>
    <row r="35" customFormat="false" ht="15.75" hidden="false" customHeight="true" outlineLevel="0" collapsed="false">
      <c r="A35" s="32" t="str">
        <f aca="false">IF(单位档案!$C35&lt;&gt;"挂靠单位","",单位档案!$A35)</f>
        <v/>
      </c>
      <c r="B35" s="40" t="str">
        <f aca="false">IF($A35="","",单位档案!$B35)</f>
        <v/>
      </c>
      <c r="C35" s="41" t="str">
        <f aca="false">IF($A35="","",SUMIFS(业务流水!$S$5:$S$1504,业务流水!$E$5:$E$1504,$A35,业务流水!$D$5:$D$1504,"销项开票",业务流水!$Z$5:$Z$1504,"是"))</f>
        <v/>
      </c>
      <c r="D35" s="41" t="str">
        <f aca="false">IF($A35="","",SUMIFS(业务流水!$T$5:$T$1504,业务流水!$E$5:$E$1504,$A35,业务流水!$D$5:$D$1504,"销项开票",业务流水!$Z$5:$Z$1504,"是"))</f>
        <v/>
      </c>
      <c r="E35" s="41" t="str">
        <f aca="false">IF($A35="","",SUMIFS(业务流水!$U$5:$U$1504,业务流水!$E$5:$E$1504,$A35,业务流水!$D$5:$D$1504,"销项开票",业务流水!$Z$5:$Z$1504,"是"))</f>
        <v/>
      </c>
      <c r="F35" s="41" t="str">
        <f aca="false">IF($A35="","",SUMIFS(业务流水!$V$5:$V$1504,业务流水!$E$5:$E$1504,$A35,业务流水!$D$5:$D$1504,"销项开票",业务流水!$Z$5:$Z$1504,"是"))</f>
        <v/>
      </c>
      <c r="G35" s="41" t="str">
        <f aca="false">IF($A35="","",SUMIFS(业务流水!$W$5:$W$1504,业务流水!$E$5:$E$1504,$A35,业务流水!$D$5:$D$1504,"销项开票",业务流水!$Z$5:$Z$1504,"是"))</f>
        <v/>
      </c>
      <c r="H35" s="41" t="str">
        <f aca="false">IF($A35="","",SUMIFS(业务流水!$H$5:$H$1504,业务流水!$E$5:$E$1504,$A35,业务流水!$D$5:$D$1504,"已交税",业务流水!$Z$5:$Z$1504,"是"))</f>
        <v/>
      </c>
      <c r="I35" s="43" t="str">
        <f aca="false">IF($A35="","",ROUND($G35-$H35,2))</f>
        <v/>
      </c>
      <c r="J35" s="48" t="str">
        <f aca="false">IF($A35="","",IF(ABS($I35)&lt;1,"✓ 已结清",IF($I35&gt;0,"欠税","多交")))</f>
        <v/>
      </c>
    </row>
    <row r="36" customFormat="false" ht="15" hidden="false" customHeight="false" outlineLevel="0" collapsed="false">
      <c r="A36" s="44" t="s">
        <v>694</v>
      </c>
      <c r="B36" s="44"/>
      <c r="C36" s="45" t="n">
        <f aca="false">SUM(C6:C35)</f>
        <v>127843.68</v>
      </c>
      <c r="D36" s="45" t="n">
        <f aca="false">SUM(D6:D35)</f>
        <v>13189.18</v>
      </c>
      <c r="E36" s="45" t="n">
        <f aca="false">SUM(E6:E35)</f>
        <v>693.04</v>
      </c>
      <c r="F36" s="45" t="n">
        <f aca="false">SUM(F6:F35)</f>
        <v>2369.46</v>
      </c>
      <c r="G36" s="45" t="n">
        <f aca="false">SUM(G6:G35)</f>
        <v>144095.36</v>
      </c>
      <c r="H36" s="45" t="n">
        <f aca="false">SUM(H6:H35)</f>
        <v>72078.92</v>
      </c>
      <c r="I36" s="45" t="n">
        <f aca="false">SUM(I6:I35)</f>
        <v>72016.44</v>
      </c>
      <c r="J36" s="44"/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J3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10"/>
    <col collapsed="false" customWidth="true" hidden="false" outlineLevel="0" max="4" min="4" style="0" width="38"/>
    <col collapsed="false" customWidth="true" hidden="false" outlineLevel="0" max="6" min="5" style="0" width="12"/>
    <col collapsed="false" customWidth="true" hidden="false" outlineLevel="0" max="9" min="7" style="0" width="15"/>
    <col collapsed="false" customWidth="true" hidden="false" outlineLevel="0" max="10" min="10" style="0" width="30"/>
  </cols>
  <sheetData>
    <row r="1" customFormat="false" ht="25.5" hidden="false" customHeight="true" outlineLevel="0" collapsed="false">
      <c r="A1" s="17" t="s">
        <v>719</v>
      </c>
      <c r="B1" s="17"/>
      <c r="C1" s="17"/>
      <c r="D1" s="17"/>
      <c r="E1" s="17"/>
      <c r="F1" s="17"/>
      <c r="G1" s="17"/>
      <c r="H1" s="17"/>
      <c r="I1" s="17"/>
      <c r="J1" s="17"/>
    </row>
    <row r="2" customFormat="false" ht="15" hidden="false" customHeight="true" outlineLevel="0" collapsed="false">
      <c r="A2" s="19" t="s">
        <v>720</v>
      </c>
      <c r="B2" s="19"/>
      <c r="C2" s="19"/>
      <c r="D2" s="19"/>
      <c r="E2" s="19"/>
      <c r="F2" s="19"/>
      <c r="G2" s="19"/>
      <c r="H2" s="19"/>
      <c r="I2" s="19"/>
      <c r="J2" s="19"/>
    </row>
    <row r="5" customFormat="false" ht="30" hidden="false" customHeight="true" outlineLevel="0" collapsed="false">
      <c r="A5" s="20" t="s">
        <v>285</v>
      </c>
      <c r="B5" s="20" t="s">
        <v>286</v>
      </c>
      <c r="C5" s="20" t="s">
        <v>72</v>
      </c>
      <c r="D5" s="20" t="s">
        <v>140</v>
      </c>
      <c r="E5" s="20" t="s">
        <v>108</v>
      </c>
      <c r="F5" s="20" t="s">
        <v>85</v>
      </c>
      <c r="G5" s="20" t="s">
        <v>721</v>
      </c>
      <c r="H5" s="20" t="s">
        <v>722</v>
      </c>
      <c r="I5" s="20" t="s">
        <v>723</v>
      </c>
      <c r="J5" s="20" t="s">
        <v>292</v>
      </c>
    </row>
    <row r="6" customFormat="false" ht="15.75" hidden="false" customHeight="true" outlineLevel="0" collapsed="false">
      <c r="A6" s="32" t="n">
        <f aca="false">IF($B6="","",1)</f>
        <v>1</v>
      </c>
      <c r="B6" s="50" t="n">
        <f aca="false">IFERROR(INDEX(业务流水!$B$5:$B$1504,MATCH(1,业务流水!$X$5:$X$1504,0)),"")</f>
        <v>45999</v>
      </c>
      <c r="C6" s="32" t="str">
        <f aca="false">IFERROR(INDEX(业务流水!$C$5:$C$1504,MATCH(1,业务流水!$X$5:$X$1504,0)),"")</f>
        <v>A002</v>
      </c>
      <c r="D6" s="40" t="str">
        <f aca="false">IFERROR(INDEX(业务流水!$M$5:$M$1504,MATCH(1,业务流水!$X$5:$X$1504,0)),"")</f>
        <v>重庆铜梁10kV梧桐村4.5.6社台区重过载治理工程等23个项目(2025年配网6批、业扩5批民能施工）(重庆铜梁10kV侣新线凤飞7社台区重过载治理工程)</v>
      </c>
      <c r="E6" s="32" t="str">
        <f aca="false">IF($B6="","",IF(IFERROR(INDEX(业务流水!$D$5:$D$1504,MATCH(1,业务流水!$X$5:$X$1504,0)),"")="挂靠代收",IFERROR(INDEX(业务流水!$F$5:$F$1504,MATCH(1,业务流水!$X$5:$X$1504,0)),""),IFERROR(INDEX(业务流水!$E$5:$E$1504,MATCH(1,业务流水!$X$5:$X$1504,0)),"")))</f>
        <v>康欣</v>
      </c>
      <c r="F6" s="32" t="str">
        <f aca="false">IFERROR(INDEX(业务流水!$D$5:$D$1504,MATCH(1,业务流水!$X$5:$X$1504,0)),"")</f>
        <v>挂靠代收</v>
      </c>
      <c r="G6" s="41" t="n">
        <f aca="false">IF($F6="挂靠代收",N(IFERROR(INDEX(业务流水!$H$5:$H$1504,MATCH(1,业务流水!$X$5:$X$1504,0)),"")),0)</f>
        <v>197500</v>
      </c>
      <c r="H6" s="41" t="n">
        <f aca="false">IF($F6="我方收款",N(IFERROR(INDEX(业务流水!$H$5:$H$1504,MATCH(1,业务流水!$X$5:$X$1504,0)),"")),0)</f>
        <v>0</v>
      </c>
      <c r="I6" s="42" t="n">
        <f aca="false">IF($B6="","",SUMIFS($G$6:$G6,$E$6:$E6,$E6)-SUMIFS($H$6:$H6,$E$6:$E6,$E6))</f>
        <v>197500</v>
      </c>
      <c r="J6" s="40" t="str">
        <f aca="false">IFERROR(INDEX(业务流水!$J$5:$J$1504,MATCH(1,业务流水!$X$5:$X$1504,0)),"")</f>
        <v>2025.12.08康欣开劳务费到金沁：大太老旧路改造工程</v>
      </c>
    </row>
    <row r="7" customFormat="false" ht="15.75" hidden="false" customHeight="true" outlineLevel="0" collapsed="false">
      <c r="A7" s="32" t="n">
        <f aca="false">IF($B7="","",2)</f>
        <v>2</v>
      </c>
      <c r="B7" s="50" t="n">
        <f aca="false">IFERROR(INDEX(业务流水!$B$5:$B$1504,MATCH(2,业务流水!$X$5:$X$1504,0)),"")</f>
        <v>45999</v>
      </c>
      <c r="C7" s="32" t="str">
        <f aca="false">IFERROR(INDEX(业务流水!$C$5:$C$1504,MATCH(2,业务流水!$X$5:$X$1504,0)),"")</f>
        <v>A002</v>
      </c>
      <c r="D7" s="40" t="str">
        <f aca="false">IFERROR(INDEX(业务流水!$M$5:$M$1504,MATCH(2,业务流水!$X$5:$X$1504,0)),"")</f>
        <v>重庆铜梁10kV梧桐村4.5.6社台区重过载治理工程等23个项目(2025年配网6批、业扩5批民能施工）(重庆铜梁10kV侣新线凤飞7社台区重过载治理工程)</v>
      </c>
      <c r="E7" s="32" t="str">
        <f aca="false">IF($B7="","",IF(IFERROR(INDEX(业务流水!$D$5:$D$1504,MATCH(2,业务流水!$X$5:$X$1504,0)),"")="挂靠代收",IFERROR(INDEX(业务流水!$F$5:$F$1504,MATCH(2,业务流水!$X$5:$X$1504,0)),""),IFERROR(INDEX(业务流水!$E$5:$E$1504,MATCH(2,业务流水!$X$5:$X$1504,0)),"")))</f>
        <v>康欣</v>
      </c>
      <c r="F7" s="32" t="str">
        <f aca="false">IFERROR(INDEX(业务流水!$D$5:$D$1504,MATCH(2,业务流水!$X$5:$X$1504,0)),"")</f>
        <v>我方收款</v>
      </c>
      <c r="G7" s="41" t="n">
        <f aca="false">IF($F7="挂靠代收",N(IFERROR(INDEX(业务流水!$H$5:$H$1504,MATCH(2,业务流水!$X$5:$X$1504,0)),"")),0)</f>
        <v>0</v>
      </c>
      <c r="H7" s="41" t="n">
        <f aca="false">IF($F7="我方收款",N(IFERROR(INDEX(业务流水!$H$5:$H$1504,MATCH(2,业务流水!$X$5:$X$1504,0)),"")),0)</f>
        <v>197500</v>
      </c>
      <c r="I7" s="42" t="n">
        <f aca="false">IF($B7="","",SUMIFS($G$6:$G7,$E$6:$E7,$E7)-SUMIFS($H$6:$H7,$E$6:$E7,$E7))</f>
        <v>0</v>
      </c>
      <c r="J7" s="40" t="str">
        <f aca="false">IFERROR(INDEX(业务流水!$J$5:$J$1504,MATCH(2,业务流水!$X$5:$X$1504,0)),"")</f>
        <v>2025.12.08康欣开劳务费到金沁：大太老旧路改造工程</v>
      </c>
    </row>
    <row r="8" customFormat="false" ht="15.75" hidden="false" customHeight="true" outlineLevel="0" collapsed="false">
      <c r="A8" s="32" t="n">
        <f aca="false">IF($B8="","",3)</f>
        <v>3</v>
      </c>
      <c r="B8" s="50" t="n">
        <f aca="false">IFERROR(INDEX(业务流水!$B$5:$B$1504,MATCH(3,业务流水!$X$5:$X$1504,0)),"")</f>
        <v>46108</v>
      </c>
      <c r="C8" s="32" t="str">
        <f aca="false">IFERROR(INDEX(业务流水!$C$5:$C$1504,MATCH(3,业务流水!$X$5:$X$1504,0)),"")</f>
        <v>A003</v>
      </c>
      <c r="D8" s="40" t="str">
        <f aca="false">IFERROR(INDEX(业务流水!$M$5:$M$1504,MATCH(3,业务流水!$X$5:$X$1504,0)),"")</f>
        <v>重庆铜梁10kV平双线新建联络工程</v>
      </c>
      <c r="E8" s="32" t="str">
        <f aca="false">IF($B8="","",IF(IFERROR(INDEX(业务流水!$D$5:$D$1504,MATCH(3,业务流水!$X$5:$X$1504,0)),"")="挂靠代收",IFERROR(INDEX(业务流水!$F$5:$F$1504,MATCH(3,业务流水!$X$5:$X$1504,0)),""),IFERROR(INDEX(业务流水!$E$5:$E$1504,MATCH(3,业务流水!$X$5:$X$1504,0)),"")))</f>
        <v>华城</v>
      </c>
      <c r="F8" s="32" t="str">
        <f aca="false">IFERROR(INDEX(业务流水!$D$5:$D$1504,MATCH(3,业务流水!$X$5:$X$1504,0)),"")</f>
        <v>挂靠代收</v>
      </c>
      <c r="G8" s="41" t="n">
        <f aca="false">IF($F8="挂靠代收",N(IFERROR(INDEX(业务流水!$H$5:$H$1504,MATCH(3,业务流水!$X$5:$X$1504,0)),"")),0)</f>
        <v>10458.24</v>
      </c>
      <c r="H8" s="41" t="n">
        <f aca="false">IF($F8="我方收款",N(IFERROR(INDEX(业务流水!$H$5:$H$1504,MATCH(3,业务流水!$X$5:$X$1504,0)),"")),0)</f>
        <v>0</v>
      </c>
      <c r="I8" s="42" t="n">
        <f aca="false">IF($B8="","",SUMIFS($G$6:$G8,$E$6:$E8,$E8)-SUMIFS($H$6:$H8,$E$6:$E8,$E8))</f>
        <v>10458.24</v>
      </c>
      <c r="J8" s="40" t="str">
        <f aca="false">IFERROR(INDEX(业务流水!$J$5:$J$1504,MATCH(3,业务流水!$X$5:$X$1504,0)),"")</f>
        <v>2026.3.27华城开（设备）票到德誉佳：平双线</v>
      </c>
    </row>
    <row r="9" customFormat="false" ht="15.75" hidden="false" customHeight="true" outlineLevel="0" collapsed="false">
      <c r="A9" s="32" t="n">
        <f aca="false">IF($B9="","",4)</f>
        <v>4</v>
      </c>
      <c r="B9" s="50" t="n">
        <f aca="false">IFERROR(INDEX(业务流水!$B$5:$B$1504,MATCH(4,业务流水!$X$5:$X$1504,0)),"")</f>
        <v>46108</v>
      </c>
      <c r="C9" s="32" t="str">
        <f aca="false">IFERROR(INDEX(业务流水!$C$5:$C$1504,MATCH(4,业务流水!$X$5:$X$1504,0)),"")</f>
        <v>A008</v>
      </c>
      <c r="D9" s="40" t="str">
        <f aca="false">IFERROR(INDEX(业务流水!$M$5:$M$1504,MATCH(4,业务流水!$X$5:$X$1504,0)),"")</f>
        <v>重庆铜梁10kV平凉线惠丰9社等4个台区重过载治理工程</v>
      </c>
      <c r="E9" s="32" t="str">
        <f aca="false">IF($B9="","",IF(IFERROR(INDEX(业务流水!$D$5:$D$1504,MATCH(4,业务流水!$X$5:$X$1504,0)),"")="挂靠代收",IFERROR(INDEX(业务流水!$F$5:$F$1504,MATCH(4,业务流水!$X$5:$X$1504,0)),""),IFERROR(INDEX(业务流水!$E$5:$E$1504,MATCH(4,业务流水!$X$5:$X$1504,0)),"")))</f>
        <v>安锐</v>
      </c>
      <c r="F9" s="32" t="str">
        <f aca="false">IFERROR(INDEX(业务流水!$D$5:$D$1504,MATCH(4,业务流水!$X$5:$X$1504,0)),"")</f>
        <v>挂靠代收</v>
      </c>
      <c r="G9" s="41" t="n">
        <f aca="false">IF($F9="挂靠代收",N(IFERROR(INDEX(业务流水!$H$5:$H$1504,MATCH(4,业务流水!$X$5:$X$1504,0)),"")),0)</f>
        <v>2728.39</v>
      </c>
      <c r="H9" s="41" t="n">
        <f aca="false">IF($F9="我方收款",N(IFERROR(INDEX(业务流水!$H$5:$H$1504,MATCH(4,业务流水!$X$5:$X$1504,0)),"")),0)</f>
        <v>0</v>
      </c>
      <c r="I9" s="42" t="n">
        <f aca="false">IF($B9="","",SUMIFS($G$6:$G9,$E$6:$E9,$E9)-SUMIFS($H$6:$H9,$E$6:$E9,$E9))</f>
        <v>2728.39</v>
      </c>
      <c r="J9" s="40" t="str">
        <f aca="false">IFERROR(INDEX(业务流水!$J$5:$J$1504,MATCH(4,业务流水!$X$5:$X$1504,0)),"")</f>
        <v>2026.3.27安锐开到德誉佳：平凉线惠丰9社</v>
      </c>
    </row>
    <row r="10" customFormat="false" ht="15.75" hidden="false" customHeight="true" outlineLevel="0" collapsed="false">
      <c r="A10" s="32" t="n">
        <f aca="false">IF($B10="","",5)</f>
        <v>5</v>
      </c>
      <c r="B10" s="50" t="n">
        <f aca="false">IFERROR(INDEX(业务流水!$B$5:$B$1504,MATCH(5,业务流水!$X$5:$X$1504,0)),"")</f>
        <v>46108</v>
      </c>
      <c r="C10" s="32" t="str">
        <f aca="false">IFERROR(INDEX(业务流水!$C$5:$C$1504,MATCH(5,业务流水!$X$5:$X$1504,0)),"")</f>
        <v>A013</v>
      </c>
      <c r="D10" s="40" t="str">
        <f aca="false">IFERROR(INDEX(业务流水!$M$5:$M$1504,MATCH(5,业务流水!$X$5:$X$1504,0)),"")</f>
        <v>1</v>
      </c>
      <c r="E10" s="32" t="str">
        <f aca="false">IF($B10="","",IF(IFERROR(INDEX(业务流水!$D$5:$D$1504,MATCH(5,业务流水!$X$5:$X$1504,0)),"")="挂靠代收",IFERROR(INDEX(业务流水!$F$5:$F$1504,MATCH(5,业务流水!$X$5:$X$1504,0)),""),IFERROR(INDEX(业务流水!$E$5:$E$1504,MATCH(5,业务流水!$X$5:$X$1504,0)),"")))</f>
        <v>迅驰</v>
      </c>
      <c r="F10" s="32" t="str">
        <f aca="false">IFERROR(INDEX(业务流水!$D$5:$D$1504,MATCH(5,业务流水!$X$5:$X$1504,0)),"")</f>
        <v>挂靠代收</v>
      </c>
      <c r="G10" s="41" t="n">
        <f aca="false">IF($F10="挂靠代收",N(IFERROR(INDEX(业务流水!$H$5:$H$1504,MATCH(5,业务流水!$X$5:$X$1504,0)),"")),0)</f>
        <v>3230.8</v>
      </c>
      <c r="H10" s="41" t="n">
        <f aca="false">IF($F10="我方收款",N(IFERROR(INDEX(业务流水!$H$5:$H$1504,MATCH(5,业务流水!$X$5:$X$1504,0)),"")),0)</f>
        <v>0</v>
      </c>
      <c r="I10" s="42" t="n">
        <f aca="false">IF($B10="","",SUMIFS($G$6:$G10,$E$6:$E10,$E10)-SUMIFS($H$6:$H10,$E$6:$E10,$E10))</f>
        <v>3230.8</v>
      </c>
      <c r="J10" s="40" t="str">
        <f aca="false">IFERROR(INDEX(业务流水!$J$5:$J$1504,MATCH(5,业务流水!$X$5:$X$1504,0)),"")</f>
        <v>2026.3.27迅驰开票到民能：虎泉线</v>
      </c>
    </row>
    <row r="11" customFormat="false" ht="15.75" hidden="false" customHeight="true" outlineLevel="0" collapsed="false">
      <c r="A11" s="32" t="n">
        <f aca="false">IF($B11="","",6)</f>
        <v>6</v>
      </c>
      <c r="B11" s="50" t="n">
        <f aca="false">IFERROR(INDEX(业务流水!$B$5:$B$1504,MATCH(6,业务流水!$X$5:$X$1504,0)),"")</f>
        <v>46136</v>
      </c>
      <c r="C11" s="32" t="str">
        <f aca="false">IFERROR(INDEX(业务流水!$C$5:$C$1504,MATCH(6,业务流水!$X$5:$X$1504,0)),"")</f>
        <v>A003</v>
      </c>
      <c r="D11" s="40" t="str">
        <f aca="false">IFERROR(INDEX(业务流水!$M$5:$M$1504,MATCH(6,业务流水!$X$5:$X$1504,0)),"")</f>
        <v>重庆铜梁10kV平双线新建联络工程</v>
      </c>
      <c r="E11" s="32" t="str">
        <f aca="false">IF($B11="","",IF(IFERROR(INDEX(业务流水!$D$5:$D$1504,MATCH(6,业务流水!$X$5:$X$1504,0)),"")="挂靠代收",IFERROR(INDEX(业务流水!$F$5:$F$1504,MATCH(6,业务流水!$X$5:$X$1504,0)),""),IFERROR(INDEX(业务流水!$E$5:$E$1504,MATCH(6,业务流水!$X$5:$X$1504,0)),"")))</f>
        <v>华城</v>
      </c>
      <c r="F11" s="32" t="str">
        <f aca="false">IFERROR(INDEX(业务流水!$D$5:$D$1504,MATCH(6,业务流水!$X$5:$X$1504,0)),"")</f>
        <v>挂靠代收</v>
      </c>
      <c r="G11" s="41" t="n">
        <f aca="false">IF($F11="挂靠代收",N(IFERROR(INDEX(业务流水!$H$5:$H$1504,MATCH(6,业务流水!$X$5:$X$1504,0)),"")),0)</f>
        <v>10129.24</v>
      </c>
      <c r="H11" s="41" t="n">
        <f aca="false">IF($F11="我方收款",N(IFERROR(INDEX(业务流水!$H$5:$H$1504,MATCH(6,业务流水!$X$5:$X$1504,0)),"")),0)</f>
        <v>0</v>
      </c>
      <c r="I11" s="42" t="n">
        <f aca="false">IF($B11="","",SUMIFS($G$6:$G11,$E$6:$E11,$E11)-SUMIFS($H$6:$H11,$E$6:$E11,$E11))</f>
        <v>20587.48</v>
      </c>
      <c r="J11" s="40" t="str">
        <f aca="false">IFERROR(INDEX(业务流水!$J$5:$J$1504,MATCH(6,业务流水!$X$5:$X$1504,0)),"")</f>
        <v>2026.4.24泓普开劳务票到华城：平双线</v>
      </c>
    </row>
    <row r="12" customFormat="false" ht="15.75" hidden="false" customHeight="true" outlineLevel="0" collapsed="false">
      <c r="A12" s="32" t="n">
        <f aca="false">IF($B12="","",7)</f>
        <v>7</v>
      </c>
      <c r="B12" s="50" t="n">
        <f aca="false">IFERROR(INDEX(业务流水!$B$5:$B$1504,MATCH(7,业务流水!$X$5:$X$1504,0)),"")</f>
        <v>46161</v>
      </c>
      <c r="C12" s="32" t="str">
        <f aca="false">IFERROR(INDEX(业务流水!$C$5:$C$1504,MATCH(7,业务流水!$X$5:$X$1504,0)),"")</f>
        <v>A016</v>
      </c>
      <c r="D12" s="40" t="str">
        <f aca="false">IFERROR(INDEX(业务流水!$M$5:$M$1504,MATCH(7,业务流水!$X$5:$X$1504,0)),"")</f>
        <v>2025-2026年度工程用特种设备租赁服务框架采购、峰盛模具ZBW-250KVA箱变拆除工程（机械费）</v>
      </c>
      <c r="E12" s="32" t="str">
        <f aca="false">IF($B12="","",IF(IFERROR(INDEX(业务流水!$D$5:$D$1504,MATCH(7,业务流水!$X$5:$X$1504,0)),"")="挂靠代收",IFERROR(INDEX(业务流水!$F$5:$F$1504,MATCH(7,业务流水!$X$5:$X$1504,0)),""),IFERROR(INDEX(业务流水!$E$5:$E$1504,MATCH(7,业务流水!$X$5:$X$1504,0)),"")))</f>
        <v>迅驰</v>
      </c>
      <c r="F12" s="32" t="str">
        <f aca="false">IFERROR(INDEX(业务流水!$D$5:$D$1504,MATCH(7,业务流水!$X$5:$X$1504,0)),"")</f>
        <v>我方收款</v>
      </c>
      <c r="G12" s="41" t="n">
        <f aca="false">IF($F12="挂靠代收",N(IFERROR(INDEX(业务流水!$H$5:$H$1504,MATCH(7,业务流水!$X$5:$X$1504,0)),"")),0)</f>
        <v>0</v>
      </c>
      <c r="H12" s="41" t="n">
        <f aca="false">IF($F12="我方收款",N(IFERROR(INDEX(业务流水!$H$5:$H$1504,MATCH(7,业务流水!$X$5:$X$1504,0)),"")),0)</f>
        <v>3101.57</v>
      </c>
      <c r="I12" s="42" t="n">
        <f aca="false">IF($B12="","",SUMIFS($G$6:$G12,$E$6:$E12,$E12)-SUMIFS($H$6:$H12,$E$6:$E12,$E12))</f>
        <v>129.23</v>
      </c>
      <c r="J12" s="40" t="str">
        <f aca="false">IFERROR(INDEX(业务流水!$J$5:$J$1504,MATCH(7,业务流水!$X$5:$X$1504,0)),"")</f>
        <v>7.10号秋平回复已收到迅驰打款</v>
      </c>
    </row>
    <row r="13" customFormat="false" ht="15.75" hidden="false" customHeight="true" outlineLevel="0" collapsed="false">
      <c r="A13" s="32" t="n">
        <f aca="false">IF($B13="","",8)</f>
        <v>8</v>
      </c>
      <c r="B13" s="50" t="n">
        <f aca="false">IFERROR(INDEX(业务流水!$B$5:$B$1504,MATCH(8,业务流水!$X$5:$X$1504,0)),"")</f>
        <v>46177</v>
      </c>
      <c r="C13" s="32" t="str">
        <f aca="false">IFERROR(INDEX(业务流水!$C$5:$C$1504,MATCH(8,业务流水!$X$5:$X$1504,0)),"")</f>
        <v>A017</v>
      </c>
      <c r="D13" s="40" t="str">
        <f aca="false">IFERROR(INDEX(业务流水!$M$5:$M$1504,MATCH(8,业务流水!$X$5:$X$1504,0)),"")</f>
        <v>重庆民能实业有限公司2025-2026年度工程用特种设备租赁服务框架采购-铜梁公司2025年成本类优化营商环境项目（平滩所何银强等5个低压业扩工程）</v>
      </c>
      <c r="E13" s="32" t="str">
        <f aca="false">IF($B13="","",IF(IFERROR(INDEX(业务流水!$D$5:$D$1504,MATCH(8,业务流水!$X$5:$X$1504,0)),"")="挂靠代收",IFERROR(INDEX(业务流水!$F$5:$F$1504,MATCH(8,业务流水!$X$5:$X$1504,0)),""),IFERROR(INDEX(业务流水!$E$5:$E$1504,MATCH(8,业务流水!$X$5:$X$1504,0)),"")))</f>
        <v>安锐</v>
      </c>
      <c r="F13" s="32" t="str">
        <f aca="false">IFERROR(INDEX(业务流水!$D$5:$D$1504,MATCH(8,业务流水!$X$5:$X$1504,0)),"")</f>
        <v>挂靠代收</v>
      </c>
      <c r="G13" s="41" t="n">
        <f aca="false">IF($F13="挂靠代收",N(IFERROR(INDEX(业务流水!$H$5:$H$1504,MATCH(8,业务流水!$X$5:$X$1504,0)),"")),0)</f>
        <v>5330.51</v>
      </c>
      <c r="H13" s="41" t="n">
        <f aca="false">IF($F13="我方收款",N(IFERROR(INDEX(业务流水!$H$5:$H$1504,MATCH(8,业务流水!$X$5:$X$1504,0)),"")),0)</f>
        <v>0</v>
      </c>
      <c r="I13" s="42" t="n">
        <f aca="false">IF($B13="","",SUMIFS($G$6:$G13,$E$6:$E13,$E13)-SUMIFS($H$6:$H13,$E$6:$E13,$E13))</f>
        <v>8058.9</v>
      </c>
      <c r="J13" s="40" t="str">
        <f aca="false">IFERROR(INDEX(业务流水!$J$5:$J$1504,MATCH(8,业务流水!$X$5:$X$1504,0)),"")</f>
        <v>2026.6.4德誉佳打款给安锐</v>
      </c>
    </row>
    <row r="14" customFormat="false" ht="15.75" hidden="false" customHeight="true" outlineLevel="0" collapsed="false">
      <c r="A14" s="32" t="n">
        <f aca="false">IF($B14="","",9)</f>
        <v>9</v>
      </c>
      <c r="B14" s="50" t="n">
        <f aca="false">IFERROR(INDEX(业务流水!$B$5:$B$1504,MATCH(9,业务流水!$X$5:$X$1504,0)),"")</f>
        <v>46177</v>
      </c>
      <c r="C14" s="32" t="str">
        <f aca="false">IFERROR(INDEX(业务流水!$C$5:$C$1504,MATCH(9,业务流水!$X$5:$X$1504,0)),"")</f>
        <v>A018</v>
      </c>
      <c r="D14" s="40" t="str">
        <f aca="false">IFERROR(INDEX(业务流水!$M$5:$M$1504,MATCH(9,业务流水!$X$5:$X$1504,0)),"")</f>
        <v>重庆德誉佳实业有限公司2025-2026年度工程用特种设备租赁服务框架采购-铜梁公司2025年成本类优化营商环境项目（平滩所何银强等5个低压业扩工程）</v>
      </c>
      <c r="E14" s="32" t="str">
        <f aca="false">IF($B14="","",IF(IFERROR(INDEX(业务流水!$D$5:$D$1504,MATCH(9,业务流水!$X$5:$X$1504,0)),"")="挂靠代收",IFERROR(INDEX(业务流水!$F$5:$F$1504,MATCH(9,业务流水!$X$5:$X$1504,0)),""),IFERROR(INDEX(业务流水!$E$5:$E$1504,MATCH(9,业务流水!$X$5:$X$1504,0)),"")))</f>
        <v>德誉嘉</v>
      </c>
      <c r="F14" s="32" t="str">
        <f aca="false">IFERROR(INDEX(业务流水!$D$5:$D$1504,MATCH(9,业务流水!$X$5:$X$1504,0)),"")</f>
        <v>挂靠代收</v>
      </c>
      <c r="G14" s="41" t="n">
        <f aca="false">IF($F14="挂靠代收",N(IFERROR(INDEX(业务流水!$H$5:$H$1504,MATCH(9,业务流水!$X$5:$X$1504,0)),"")),0)</f>
        <v>5794.03</v>
      </c>
      <c r="H14" s="41" t="n">
        <f aca="false">IF($F14="我方收款",N(IFERROR(INDEX(业务流水!$H$5:$H$1504,MATCH(9,业务流水!$X$5:$X$1504,0)),"")),0)</f>
        <v>0</v>
      </c>
      <c r="I14" s="42" t="n">
        <f aca="false">IF($B14="","",SUMIFS($G$6:$G14,$E$6:$E14,$E14)-SUMIFS($H$6:$H14,$E$6:$E14,$E14))</f>
        <v>5794.03</v>
      </c>
      <c r="J14" s="40" t="str">
        <f aca="false">IFERROR(INDEX(业务流水!$J$5:$J$1504,MATCH(9,业务流水!$X$5:$X$1504,0)),"")</f>
        <v>2026.6.4德誉佳打款给安锐</v>
      </c>
    </row>
    <row r="15" customFormat="false" ht="15.75" hidden="false" customHeight="true" outlineLevel="0" collapsed="false">
      <c r="A15" s="32" t="n">
        <f aca="false">IF($B15="","",10)</f>
        <v>10</v>
      </c>
      <c r="B15" s="50" t="n">
        <f aca="false">IFERROR(INDEX(业务流水!$B$5:$B$1504,MATCH(10,业务流水!$X$5:$X$1504,0)),"")</f>
        <v>46177</v>
      </c>
      <c r="C15" s="32" t="str">
        <f aca="false">IFERROR(INDEX(业务流水!$C$5:$C$1504,MATCH(10,业务流水!$X$5:$X$1504,0)),"")</f>
        <v>A018</v>
      </c>
      <c r="D15" s="40" t="str">
        <f aca="false">IFERROR(INDEX(业务流水!$M$5:$M$1504,MATCH(10,业务流水!$X$5:$X$1504,0)),"")</f>
        <v>重庆德誉佳实业有限公司2025-2026年度工程用特种设备租赁服务框架采购-铜梁公司2025年成本类优化营商环境项目（平滩所何银强等5个低压业扩工程）</v>
      </c>
      <c r="E15" s="32" t="str">
        <f aca="false">IF($B15="","",IF(IFERROR(INDEX(业务流水!$D$5:$D$1504,MATCH(10,业务流水!$X$5:$X$1504,0)),"")="挂靠代收",IFERROR(INDEX(业务流水!$F$5:$F$1504,MATCH(10,业务流水!$X$5:$X$1504,0)),""),IFERROR(INDEX(业务流水!$E$5:$E$1504,MATCH(10,业务流水!$X$5:$X$1504,0)),"")))</f>
        <v>德誉嘉</v>
      </c>
      <c r="F15" s="32" t="str">
        <f aca="false">IFERROR(INDEX(业务流水!$D$5:$D$1504,MATCH(10,业务流水!$X$5:$X$1504,0)),"")</f>
        <v>我方收款</v>
      </c>
      <c r="G15" s="41" t="n">
        <f aca="false">IF($F15="挂靠代收",N(IFERROR(INDEX(业务流水!$H$5:$H$1504,MATCH(10,业务流水!$X$5:$X$1504,0)),"")),0)</f>
        <v>0</v>
      </c>
      <c r="H15" s="41" t="n">
        <f aca="false">IF($F15="我方收款",N(IFERROR(INDEX(业务流水!$H$5:$H$1504,MATCH(10,业务流水!$X$5:$X$1504,0)),"")),0)</f>
        <v>5330.51</v>
      </c>
      <c r="I15" s="42" t="n">
        <f aca="false">IF($B15="","",SUMIFS($G$6:$G15,$E$6:$E15,$E15)-SUMIFS($H$6:$H15,$E$6:$E15,$E15))</f>
        <v>463.52</v>
      </c>
      <c r="J15" s="40" t="str">
        <f aca="false">IFERROR(INDEX(业务流水!$J$5:$J$1504,MATCH(10,业务流水!$X$5:$X$1504,0)),"")</f>
        <v>2026.6.4德誉佳打款给安锐</v>
      </c>
    </row>
    <row r="16" customFormat="false" ht="15.75" hidden="false" customHeight="true" outlineLevel="0" collapsed="false">
      <c r="A16" s="32" t="n">
        <f aca="false">IF($B16="","",11)</f>
        <v>11</v>
      </c>
      <c r="B16" s="50" t="n">
        <f aca="false">IFERROR(INDEX(业务流水!$B$5:$B$1504,MATCH(11,业务流水!$X$5:$X$1504,0)),"")</f>
        <v>46188</v>
      </c>
      <c r="C16" s="32" t="str">
        <f aca="false">IFERROR(INDEX(业务流水!$C$5:$C$1504,MATCH(11,业务流水!$X$5:$X$1504,0)),"")</f>
        <v>A022</v>
      </c>
      <c r="D16" s="40" t="str">
        <f aca="false">IFERROR(INDEX(业务流水!$M$5:$M$1504,MATCH(11,业务流水!$X$5:$X$1504,0)),"")</f>
        <v>铜梁区园区屋顶分布式光伏发电建设项目-10kV电力新建工程（康欣3W，泓普6W）</v>
      </c>
      <c r="E16" s="32" t="str">
        <f aca="false">IF($B16="","",IF(IFERROR(INDEX(业务流水!$D$5:$D$1504,MATCH(11,业务流水!$X$5:$X$1504,0)),"")="挂靠代收",IFERROR(INDEX(业务流水!$F$5:$F$1504,MATCH(11,业务流水!$X$5:$X$1504,0)),""),IFERROR(INDEX(业务流水!$E$5:$E$1504,MATCH(11,业务流水!$X$5:$X$1504,0)),"")))</f>
        <v>康欣</v>
      </c>
      <c r="F16" s="32" t="str">
        <f aca="false">IFERROR(INDEX(业务流水!$D$5:$D$1504,MATCH(11,业务流水!$X$5:$X$1504,0)),"")</f>
        <v>我方收款</v>
      </c>
      <c r="G16" s="41" t="n">
        <f aca="false">IF($F16="挂靠代收",N(IFERROR(INDEX(业务流水!$H$5:$H$1504,MATCH(11,业务流水!$X$5:$X$1504,0)),"")),0)</f>
        <v>0</v>
      </c>
      <c r="H16" s="41" t="n">
        <f aca="false">IF($F16="我方收款",N(IFERROR(INDEX(业务流水!$H$5:$H$1504,MATCH(11,业务流水!$X$5:$X$1504,0)),"")),0)</f>
        <v>4539.92</v>
      </c>
      <c r="I16" s="42" t="n">
        <f aca="false">IF($B16="","",SUMIFS($G$6:$G16,$E$6:$E16,$E16)-SUMIFS($H$6:$H16,$E$6:$E16,$E16))</f>
        <v>-4539.92000000001</v>
      </c>
      <c r="J16" s="40" t="str">
        <f aca="false">IFERROR(INDEX(业务流水!$J$5:$J$1504,MATCH(11,业务流水!$X$5:$X$1504,0)),"")</f>
        <v>2026.6.15康欣开到金沁：10kV电力新建工程，补金沁开票税差2357.68（已交1988.39），康欣开票税费2182.23</v>
      </c>
    </row>
    <row r="17" customFormat="false" ht="15.75" hidden="false" customHeight="true" outlineLevel="0" collapsed="false">
      <c r="A17" s="32" t="n">
        <f aca="false">IF($B17="","",12)</f>
        <v>12</v>
      </c>
      <c r="B17" s="50" t="n">
        <f aca="false">IFERROR(INDEX(业务流水!$B$5:$B$1504,MATCH(12,业务流水!$X$5:$X$1504,0)),"")</f>
        <v>46196</v>
      </c>
      <c r="C17" s="32" t="str">
        <f aca="false">IFERROR(INDEX(业务流水!$C$5:$C$1504,MATCH(12,业务流水!$X$5:$X$1504,0)),"")</f>
        <v>A002</v>
      </c>
      <c r="D17" s="40" t="str">
        <f aca="false">IFERROR(INDEX(业务流水!$M$5:$M$1504,MATCH(12,业务流水!$X$5:$X$1504,0)),"")</f>
        <v>重庆铜梁10kV梧桐村4.5.6社台区重过载治理工程等23个项目(2025年配网6批、业扩5批民能施工）(重庆铜梁10kV侣新线凤飞7社台区重过载治理工程)</v>
      </c>
      <c r="E17" s="32" t="str">
        <f aca="false">IF($B17="","",IF(IFERROR(INDEX(业务流水!$D$5:$D$1504,MATCH(12,业务流水!$X$5:$X$1504,0)),"")="挂靠代收",IFERROR(INDEX(业务流水!$F$5:$F$1504,MATCH(12,业务流水!$X$5:$X$1504,0)),""),IFERROR(INDEX(业务流水!$E$5:$E$1504,MATCH(12,业务流水!$X$5:$X$1504,0)),"")))</f>
        <v>金沁</v>
      </c>
      <c r="F17" s="32" t="str">
        <f aca="false">IFERROR(INDEX(业务流水!$D$5:$D$1504,MATCH(12,业务流水!$X$5:$X$1504,0)),"")</f>
        <v>我方收款</v>
      </c>
      <c r="G17" s="41" t="n">
        <f aca="false">IF($F17="挂靠代收",N(IFERROR(INDEX(业务流水!$H$5:$H$1504,MATCH(12,业务流水!$X$5:$X$1504,0)),"")),0)</f>
        <v>0</v>
      </c>
      <c r="H17" s="41" t="n">
        <f aca="false">IF($F17="我方收款",N(IFERROR(INDEX(业务流水!$H$5:$H$1504,MATCH(12,业务流水!$X$5:$X$1504,0)),"")),0)</f>
        <v>30.8</v>
      </c>
      <c r="I17" s="42" t="n">
        <f aca="false">IF($B17="","",SUMIFS($G$6:$G17,$E$6:$E17,$E17)-SUMIFS($H$6:$H17,$E$6:$E17,$E17))</f>
        <v>-30.8</v>
      </c>
      <c r="J17" s="40" t="str">
        <f aca="false">IFERROR(INDEX(业务流水!$J$5:$J$1504,MATCH(12,业务流水!$X$5:$X$1504,0)),"")</f>
        <v>6.24金沁罗会计对账：成本票扣除税差</v>
      </c>
    </row>
    <row r="18" customFormat="false" ht="15.75" hidden="false" customHeight="true" outlineLevel="0" collapsed="false">
      <c r="A18" s="32" t="n">
        <f aca="false">IF($B18="","",13)</f>
        <v>13</v>
      </c>
      <c r="B18" s="50" t="n">
        <f aca="false">IFERROR(INDEX(业务流水!$B$5:$B$1504,MATCH(13,业务流水!$X$5:$X$1504,0)),"")</f>
        <v>46198</v>
      </c>
      <c r="C18" s="32" t="str">
        <f aca="false">IFERROR(INDEX(业务流水!$C$5:$C$1504,MATCH(13,业务流水!$X$5:$X$1504,0)),"")</f>
        <v>A008</v>
      </c>
      <c r="D18" s="40" t="str">
        <f aca="false">IFERROR(INDEX(业务流水!$M$5:$M$1504,MATCH(13,业务流水!$X$5:$X$1504,0)),"")</f>
        <v>重庆铜梁10kV平凉线惠丰9社等4个台区重过载治理工程</v>
      </c>
      <c r="E18" s="32" t="str">
        <f aca="false">IF($B18="","",IF(IFERROR(INDEX(业务流水!$D$5:$D$1504,MATCH(13,业务流水!$X$5:$X$1504,0)),"")="挂靠代收",IFERROR(INDEX(业务流水!$F$5:$F$1504,MATCH(13,业务流水!$X$5:$X$1504,0)),""),IFERROR(INDEX(业务流水!$E$5:$E$1504,MATCH(13,业务流水!$X$5:$X$1504,0)),"")))</f>
        <v>康欣</v>
      </c>
      <c r="F18" s="32" t="str">
        <f aca="false">IFERROR(INDEX(业务流水!$D$5:$D$1504,MATCH(13,业务流水!$X$5:$X$1504,0)),"")</f>
        <v>挂靠代收</v>
      </c>
      <c r="G18" s="41" t="n">
        <f aca="false">IF($F18="挂靠代收",N(IFERROR(INDEX(业务流水!$H$5:$H$1504,MATCH(13,业务流水!$X$5:$X$1504,0)),"")),0)</f>
        <v>49074</v>
      </c>
      <c r="H18" s="41" t="n">
        <f aca="false">IF($F18="我方收款",N(IFERROR(INDEX(业务流水!$H$5:$H$1504,MATCH(13,业务流水!$X$5:$X$1504,0)),"")),0)</f>
        <v>0</v>
      </c>
      <c r="I18" s="42" t="n">
        <f aca="false">IF($B18="","",SUMIFS($G$6:$G18,$E$6:$E18,$E18)-SUMIFS($H$6:$H18,$E$6:$E18,$E18))</f>
        <v>44534.08</v>
      </c>
      <c r="J18" s="40" t="str">
        <f aca="false">IFERROR(INDEX(业务流水!$J$5:$J$1504,MATCH(13,业务流水!$X$5:$X$1504,0)),"")</f>
        <v>2026.6.25收到工程款：龙羊线七佛4社</v>
      </c>
    </row>
    <row r="19" customFormat="false" ht="15.75" hidden="false" customHeight="true" outlineLevel="0" collapsed="false">
      <c r="A19" s="32" t="n">
        <f aca="false">IF($B19="","",14)</f>
        <v>14</v>
      </c>
      <c r="B19" s="50" t="n">
        <f aca="false">IFERROR(INDEX(业务流水!$B$5:$B$1504,MATCH(14,业务流水!$X$5:$X$1504,0)),"")</f>
        <v>46198</v>
      </c>
      <c r="C19" s="32" t="str">
        <f aca="false">IFERROR(INDEX(业务流水!$C$5:$C$1504,MATCH(14,业务流水!$X$5:$X$1504,0)),"")</f>
        <v>A008</v>
      </c>
      <c r="D19" s="40" t="str">
        <f aca="false">IFERROR(INDEX(业务流水!$M$5:$M$1504,MATCH(14,业务流水!$X$5:$X$1504,0)),"")</f>
        <v>重庆铜梁10kV平凉线惠丰9社等4个台区重过载治理工程</v>
      </c>
      <c r="E19" s="32" t="str">
        <f aca="false">IF($B19="","",IF(IFERROR(INDEX(业务流水!$D$5:$D$1504,MATCH(14,业务流水!$X$5:$X$1504,0)),"")="挂靠代收",IFERROR(INDEX(业务流水!$F$5:$F$1504,MATCH(14,业务流水!$X$5:$X$1504,0)),""),IFERROR(INDEX(业务流水!$E$5:$E$1504,MATCH(14,业务流水!$X$5:$X$1504,0)),"")))</f>
        <v>康欣</v>
      </c>
      <c r="F19" s="32" t="str">
        <f aca="false">IFERROR(INDEX(业务流水!$D$5:$D$1504,MATCH(14,业务流水!$X$5:$X$1504,0)),"")</f>
        <v>挂靠代收</v>
      </c>
      <c r="G19" s="41" t="n">
        <f aca="false">IF($F19="挂靠代收",N(IFERROR(INDEX(业务流水!$H$5:$H$1504,MATCH(14,业务流水!$X$5:$X$1504,0)),"")),0)</f>
        <v>78842</v>
      </c>
      <c r="H19" s="41" t="n">
        <f aca="false">IF($F19="我方收款",N(IFERROR(INDEX(业务流水!$H$5:$H$1504,MATCH(14,业务流水!$X$5:$X$1504,0)),"")),0)</f>
        <v>0</v>
      </c>
      <c r="I19" s="42" t="n">
        <f aca="false">IF($B19="","",SUMIFS($G$6:$G19,$E$6:$E19,$E19)-SUMIFS($H$6:$H19,$E$6:$E19,$E19))</f>
        <v>123376.08</v>
      </c>
      <c r="J19" s="40" t="str">
        <f aca="false">IFERROR(INDEX(业务流水!$J$5:$J$1504,MATCH(14,业务流水!$X$5:$X$1504,0)),"")</f>
        <v>2026.6.25收到工程款：少柏线池塘4社</v>
      </c>
    </row>
    <row r="20" customFormat="false" ht="15.75" hidden="false" customHeight="true" outlineLevel="0" collapsed="false">
      <c r="A20" s="32" t="n">
        <f aca="false">IF($B20="","",15)</f>
        <v>15</v>
      </c>
      <c r="B20" s="50" t="n">
        <f aca="false">IFERROR(INDEX(业务流水!$B$5:$B$1504,MATCH(15,业务流水!$X$5:$X$1504,0)),"")</f>
        <v>46198</v>
      </c>
      <c r="C20" s="32" t="str">
        <f aca="false">IFERROR(INDEX(业务流水!$C$5:$C$1504,MATCH(15,业务流水!$X$5:$X$1504,0)),"")</f>
        <v>A008</v>
      </c>
      <c r="D20" s="40" t="str">
        <f aca="false">IFERROR(INDEX(业务流水!$M$5:$M$1504,MATCH(15,业务流水!$X$5:$X$1504,0)),"")</f>
        <v>重庆铜梁10kV平凉线惠丰9社等4个台区重过载治理工程</v>
      </c>
      <c r="E20" s="32" t="str">
        <f aca="false">IF($B20="","",IF(IFERROR(INDEX(业务流水!$D$5:$D$1504,MATCH(15,业务流水!$X$5:$X$1504,0)),"")="挂靠代收",IFERROR(INDEX(业务流水!$F$5:$F$1504,MATCH(15,业务流水!$X$5:$X$1504,0)),""),IFERROR(INDEX(业务流水!$E$5:$E$1504,MATCH(15,业务流水!$X$5:$X$1504,0)),"")))</f>
        <v>康欣</v>
      </c>
      <c r="F20" s="32" t="str">
        <f aca="false">IFERROR(INDEX(业务流水!$D$5:$D$1504,MATCH(15,业务流水!$X$5:$X$1504,0)),"")</f>
        <v>挂靠代收</v>
      </c>
      <c r="G20" s="41" t="n">
        <f aca="false">IF($F20="挂靠代收",N(IFERROR(INDEX(业务流水!$H$5:$H$1504,MATCH(15,业务流水!$X$5:$X$1504,0)),"")),0)</f>
        <v>57991</v>
      </c>
      <c r="H20" s="41" t="n">
        <f aca="false">IF($F20="我方收款",N(IFERROR(INDEX(业务流水!$H$5:$H$1504,MATCH(15,业务流水!$X$5:$X$1504,0)),"")),0)</f>
        <v>0</v>
      </c>
      <c r="I20" s="42" t="n">
        <f aca="false">IF($B20="","",SUMIFS($G$6:$G20,$E$6:$E20,$E20)-SUMIFS($H$6:$H20,$E$6:$E20,$E20))</f>
        <v>181367.08</v>
      </c>
      <c r="J20" s="40" t="str">
        <f aca="false">IFERROR(INDEX(业务流水!$J$5:$J$1504,MATCH(15,业务流水!$X$5:$X$1504,0)),"")</f>
        <v>2026.6.25收到工程款：水羊线金鸡3(4)社</v>
      </c>
    </row>
    <row r="21" customFormat="false" ht="15.75" hidden="false" customHeight="true" outlineLevel="0" collapsed="false">
      <c r="A21" s="32" t="n">
        <f aca="false">IF($B21="","",16)</f>
        <v>16</v>
      </c>
      <c r="B21" s="50" t="n">
        <f aca="false">IFERROR(INDEX(业务流水!$B$5:$B$1504,MATCH(16,业务流水!$X$5:$X$1504,0)),"")</f>
        <v>46198</v>
      </c>
      <c r="C21" s="32" t="str">
        <f aca="false">IFERROR(INDEX(业务流水!$C$5:$C$1504,MATCH(16,业务流水!$X$5:$X$1504,0)),"")</f>
        <v>A008</v>
      </c>
      <c r="D21" s="40" t="str">
        <f aca="false">IFERROR(INDEX(业务流水!$M$5:$M$1504,MATCH(16,业务流水!$X$5:$X$1504,0)),"")</f>
        <v>重庆铜梁10kV平凉线惠丰9社等4个台区重过载治理工程</v>
      </c>
      <c r="E21" s="32" t="str">
        <f aca="false">IF($B21="","",IF(IFERROR(INDEX(业务流水!$D$5:$D$1504,MATCH(16,业务流水!$X$5:$X$1504,0)),"")="挂靠代收",IFERROR(INDEX(业务流水!$F$5:$F$1504,MATCH(16,业务流水!$X$5:$X$1504,0)),""),IFERROR(INDEX(业务流水!$E$5:$E$1504,MATCH(16,业务流水!$X$5:$X$1504,0)),"")))</f>
        <v>康欣</v>
      </c>
      <c r="F21" s="32" t="str">
        <f aca="false">IFERROR(INDEX(业务流水!$D$5:$D$1504,MATCH(16,业务流水!$X$5:$X$1504,0)),"")</f>
        <v>挂靠代收</v>
      </c>
      <c r="G21" s="41" t="n">
        <f aca="false">IF($F21="挂靠代收",N(IFERROR(INDEX(业务流水!$H$5:$H$1504,MATCH(16,业务流水!$X$5:$X$1504,0)),"")),0)</f>
        <v>107179</v>
      </c>
      <c r="H21" s="41" t="n">
        <f aca="false">IF($F21="我方收款",N(IFERROR(INDEX(业务流水!$H$5:$H$1504,MATCH(16,业务流水!$X$5:$X$1504,0)),"")),0)</f>
        <v>0</v>
      </c>
      <c r="I21" s="42" t="n">
        <f aca="false">IF($B21="","",SUMIFS($G$6:$G21,$E$6:$E21,$E21)-SUMIFS($H$6:$H21,$E$6:$E21,$E21))</f>
        <v>288546.08</v>
      </c>
      <c r="J21" s="40" t="str">
        <f aca="false">IFERROR(INDEX(业务流水!$J$5:$J$1504,MATCH(16,业务流水!$X$5:$X$1504,0)),"")</f>
        <v>2026.6.25收到工程款：平凉线惠丰9社</v>
      </c>
    </row>
    <row r="22" customFormat="false" ht="15.75" hidden="false" customHeight="true" outlineLevel="0" collapsed="false">
      <c r="A22" s="32" t="n">
        <f aca="false">IF($B22="","",17)</f>
        <v>17</v>
      </c>
      <c r="B22" s="50" t="n">
        <f aca="false">IFERROR(INDEX(业务流水!$B$5:$B$1504,MATCH(17,业务流水!$X$5:$X$1504,0)),"")</f>
        <v>46198</v>
      </c>
      <c r="C22" s="32" t="str">
        <f aca="false">IFERROR(INDEX(业务流水!$C$5:$C$1504,MATCH(17,业务流水!$X$5:$X$1504,0)),"")</f>
        <v>A008</v>
      </c>
      <c r="D22" s="40" t="str">
        <f aca="false">IFERROR(INDEX(业务流水!$M$5:$M$1504,MATCH(17,业务流水!$X$5:$X$1504,0)),"")</f>
        <v>重庆铜梁10kV平凉线惠丰9社等4个台区重过载治理工程</v>
      </c>
      <c r="E22" s="32" t="str">
        <f aca="false">IF($B22="","",IF(IFERROR(INDEX(业务流水!$D$5:$D$1504,MATCH(17,业务流水!$X$5:$X$1504,0)),"")="挂靠代收",IFERROR(INDEX(业务流水!$F$5:$F$1504,MATCH(17,业务流水!$X$5:$X$1504,0)),""),IFERROR(INDEX(业务流水!$E$5:$E$1504,MATCH(17,业务流水!$X$5:$X$1504,0)),"")))</f>
        <v>康欣</v>
      </c>
      <c r="F22" s="32" t="str">
        <f aca="false">IFERROR(INDEX(业务流水!$D$5:$D$1504,MATCH(17,业务流水!$X$5:$X$1504,0)),"")</f>
        <v>挂靠代收</v>
      </c>
      <c r="G22" s="41" t="n">
        <f aca="false">IF($F22="挂靠代收",N(IFERROR(INDEX(业务流水!$H$5:$H$1504,MATCH(17,业务流水!$X$5:$X$1504,0)),"")),0)</f>
        <v>79113</v>
      </c>
      <c r="H22" s="41" t="n">
        <f aca="false">IF($F22="我方收款",N(IFERROR(INDEX(业务流水!$H$5:$H$1504,MATCH(17,业务流水!$X$5:$X$1504,0)),"")),0)</f>
        <v>0</v>
      </c>
      <c r="I22" s="42" t="n">
        <f aca="false">IF($B22="","",SUMIFS($G$6:$G22,$E$6:$E22,$E22)-SUMIFS($H$6:$H22,$E$6:$E22,$E22))</f>
        <v>367659.08</v>
      </c>
      <c r="J22" s="40" t="str">
        <f aca="false">IFERROR(INDEX(业务流水!$J$5:$J$1504,MATCH(17,业务流水!$X$5:$X$1504,0)),"")</f>
        <v>2026.6.25收到工程款：少柏线团山7.6.11社</v>
      </c>
    </row>
    <row r="23" customFormat="false" ht="15.75" hidden="false" customHeight="true" outlineLevel="0" collapsed="false">
      <c r="A23" s="32" t="n">
        <f aca="false">IF($B23="","",18)</f>
        <v>18</v>
      </c>
      <c r="B23" s="50" t="n">
        <f aca="false">IFERROR(INDEX(业务流水!$B$5:$B$1504,MATCH(18,业务流水!$X$5:$X$1504,0)),"")</f>
        <v>46198</v>
      </c>
      <c r="C23" s="32" t="str">
        <f aca="false">IFERROR(INDEX(业务流水!$C$5:$C$1504,MATCH(18,业务流水!$X$5:$X$1504,0)),"")</f>
        <v>A029</v>
      </c>
      <c r="D23" s="40" t="str">
        <f aca="false">IFERROR(INDEX(业务流水!$M$5:$M$1504,MATCH(18,业务流水!$X$5:$X$1504,0)),"")</f>
        <v>重庆铜梁10kV梧桐村4.5.6社台区重过载治理工程等23个项目(2025年配网6批、业扩5批德誉佳施工)(重庆铜梁10kV侣新线铜安1社台区重过载治理工程)</v>
      </c>
      <c r="E23" s="32" t="str">
        <f aca="false">IF($B23="","",IF(IFERROR(INDEX(业务流水!$D$5:$D$1504,MATCH(18,业务流水!$X$5:$X$1504,0)),"")="挂靠代收",IFERROR(INDEX(业务流水!$F$5:$F$1504,MATCH(18,业务流水!$X$5:$X$1504,0)),""),IFERROR(INDEX(业务流水!$E$5:$E$1504,MATCH(18,业务流水!$X$5:$X$1504,0)),"")))</f>
        <v>德誉嘉</v>
      </c>
      <c r="F23" s="32" t="str">
        <f aca="false">IFERROR(INDEX(业务流水!$D$5:$D$1504,MATCH(18,业务流水!$X$5:$X$1504,0)),"")</f>
        <v>挂靠代收</v>
      </c>
      <c r="G23" s="41" t="n">
        <f aca="false">IF($F23="挂靠代收",N(IFERROR(INDEX(业务流水!$H$5:$H$1504,MATCH(18,业务流水!$X$5:$X$1504,0)),"")),0)</f>
        <v>9704.24</v>
      </c>
      <c r="H23" s="41" t="n">
        <f aca="false">IF($F23="我方收款",N(IFERROR(INDEX(业务流水!$H$5:$H$1504,MATCH(18,业务流水!$X$5:$X$1504,0)),"")),0)</f>
        <v>0</v>
      </c>
      <c r="I23" s="42" t="n">
        <f aca="false">IF($B23="","",SUMIFS($G$6:$G23,$E$6:$E23,$E23)-SUMIFS($H$6:$H23,$E$6:$E23,$E23))</f>
        <v>10167.76</v>
      </c>
      <c r="J23" s="40" t="str">
        <f aca="false">IFERROR(INDEX(业务流水!$J$5:$J$1504,MATCH(18,业务流水!$X$5:$X$1504,0)),"")</f>
        <v>2026.6.25德誉佳开票到民能：侣新线铜安1社台</v>
      </c>
    </row>
    <row r="24" customFormat="false" ht="15.75" hidden="false" customHeight="true" outlineLevel="0" collapsed="false">
      <c r="A24" s="32" t="n">
        <f aca="false">IF($B24="","",19)</f>
        <v>19</v>
      </c>
      <c r="B24" s="50" t="n">
        <f aca="false">IFERROR(INDEX(业务流水!$B$5:$B$1504,MATCH(19,业务流水!$X$5:$X$1504,0)),"")</f>
        <v>46198</v>
      </c>
      <c r="C24" s="32" t="str">
        <f aca="false">IFERROR(INDEX(业务流水!$C$5:$C$1504,MATCH(19,业务流水!$X$5:$X$1504,0)),"")</f>
        <v>A031</v>
      </c>
      <c r="D24" s="40" t="str">
        <f aca="false">IFERROR(INDEX(业务流水!$M$5:$M$1504,MATCH(19,业务流水!$X$5:$X$1504,0)),"")</f>
        <v>重庆铜梁10kV梧桐村4.5.6社台区重过载治理工程等23个项目(2025年配网6批、业扩5批德誉佳施工)(重庆铜梁10kV平双线群益7社台区重过载治理工程)</v>
      </c>
      <c r="E24" s="32" t="str">
        <f aca="false">IF($B24="","",IF(IFERROR(INDEX(业务流水!$D$5:$D$1504,MATCH(19,业务流水!$X$5:$X$1504,0)),"")="挂靠代收",IFERROR(INDEX(业务流水!$F$5:$F$1504,MATCH(19,业务流水!$X$5:$X$1504,0)),""),IFERROR(INDEX(业务流水!$E$5:$E$1504,MATCH(19,业务流水!$X$5:$X$1504,0)),"")))</f>
        <v>德誉嘉</v>
      </c>
      <c r="F24" s="32" t="str">
        <f aca="false">IFERROR(INDEX(业务流水!$D$5:$D$1504,MATCH(19,业务流水!$X$5:$X$1504,0)),"")</f>
        <v>挂靠代收</v>
      </c>
      <c r="G24" s="41" t="n">
        <f aca="false">IF($F24="挂靠代收",N(IFERROR(INDEX(业务流水!$H$5:$H$1504,MATCH(19,业务流水!$X$5:$X$1504,0)),"")),0)</f>
        <v>2056.75</v>
      </c>
      <c r="H24" s="41" t="n">
        <f aca="false">IF($F24="我方收款",N(IFERROR(INDEX(业务流水!$H$5:$H$1504,MATCH(19,业务流水!$X$5:$X$1504,0)),"")),0)</f>
        <v>0</v>
      </c>
      <c r="I24" s="42" t="n">
        <f aca="false">IF($B24="","",SUMIFS($G$6:$G24,$E$6:$E24,$E24)-SUMIFS($H$6:$H24,$E$6:$E24,$E24))</f>
        <v>12224.51</v>
      </c>
      <c r="J24" s="40" t="str">
        <f aca="false">IFERROR(INDEX(业务流水!$J$5:$J$1504,MATCH(19,业务流水!$X$5:$X$1504,0)),"")</f>
        <v>2026.6.25德誉佳开票到民能：平双线群益7社</v>
      </c>
    </row>
    <row r="25" customFormat="false" ht="15.75" hidden="false" customHeight="true" outlineLevel="0" collapsed="false">
      <c r="A25" s="32" t="n">
        <f aca="false">IF($B25="","",20)</f>
        <v>20</v>
      </c>
      <c r="B25" s="50" t="n">
        <f aca="false">IFERROR(INDEX(业务流水!$B$5:$B$1504,MATCH(20,业务流水!$X$5:$X$1504,0)),"")</f>
        <v>46198</v>
      </c>
      <c r="C25" s="32" t="str">
        <f aca="false">IFERROR(INDEX(业务流水!$C$5:$C$1504,MATCH(20,业务流水!$X$5:$X$1504,0)),"")</f>
        <v>A032</v>
      </c>
      <c r="D25" s="40" t="str">
        <f aca="false">IFERROR(INDEX(业务流水!$M$5:$M$1504,MATCH(20,业务流水!$X$5:$X$1504,0)),"")</f>
        <v>重庆铜梁10kV梧桐村4.5.6社台区重过载治理工程等23个项目(2025年配网6批、业扩5批德誉佳施工)(重庆铜梁10kV平镇线新桥社台区重过载治理工程)</v>
      </c>
      <c r="E25" s="32" t="str">
        <f aca="false">IF($B25="","",IF(IFERROR(INDEX(业务流水!$D$5:$D$1504,MATCH(20,业务流水!$X$5:$X$1504,0)),"")="挂靠代收",IFERROR(INDEX(业务流水!$F$5:$F$1504,MATCH(20,业务流水!$X$5:$X$1504,0)),""),IFERROR(INDEX(业务流水!$E$5:$E$1504,MATCH(20,业务流水!$X$5:$X$1504,0)),"")))</f>
        <v>德誉嘉</v>
      </c>
      <c r="F25" s="32" t="str">
        <f aca="false">IFERROR(INDEX(业务流水!$D$5:$D$1504,MATCH(20,业务流水!$X$5:$X$1504,0)),"")</f>
        <v>挂靠代收</v>
      </c>
      <c r="G25" s="41" t="n">
        <f aca="false">IF($F25="挂靠代收",N(IFERROR(INDEX(业务流水!$H$5:$H$1504,MATCH(20,业务流水!$X$5:$X$1504,0)),"")),0)</f>
        <v>5618.58</v>
      </c>
      <c r="H25" s="41" t="n">
        <f aca="false">IF($F25="我方收款",N(IFERROR(INDEX(业务流水!$H$5:$H$1504,MATCH(20,业务流水!$X$5:$X$1504,0)),"")),0)</f>
        <v>0</v>
      </c>
      <c r="I25" s="42" t="n">
        <f aca="false">IF($B25="","",SUMIFS($G$6:$G25,$E$6:$E25,$E25)-SUMIFS($H$6:$H25,$E$6:$E25,$E25))</f>
        <v>17843.09</v>
      </c>
      <c r="J25" s="40" t="str">
        <f aca="false">IFERROR(INDEX(业务流水!$J$5:$J$1504,MATCH(20,业务流水!$X$5:$X$1504,0)),"")</f>
        <v>2026.6.25德誉佳开票到民能：平镇线新桥社</v>
      </c>
    </row>
    <row r="26" customFormat="false" ht="15.75" hidden="false" customHeight="true" outlineLevel="0" collapsed="false">
      <c r="A26" s="32" t="n">
        <f aca="false">IF($B26="","",21)</f>
        <v>21</v>
      </c>
      <c r="B26" s="50" t="n">
        <f aca="false">IFERROR(INDEX(业务流水!$B$5:$B$1504,MATCH(21,业务流水!$X$5:$X$1504,0)),"")</f>
        <v>46198</v>
      </c>
      <c r="C26" s="32" t="str">
        <f aca="false">IFERROR(INDEX(业务流水!$C$5:$C$1504,MATCH(21,业务流水!$X$5:$X$1504,0)),"")</f>
        <v>A033</v>
      </c>
      <c r="D26" s="40" t="str">
        <f aca="false">IFERROR(INDEX(业务流水!$M$5:$M$1504,MATCH(21,业务流水!$X$5:$X$1504,0)),"")</f>
        <v>重庆铜梁10kV梧桐村4.5.6社台区重过载治理工程等23个项目(2025年配网6批、业扩5批德誉佳施工）(重庆铜梁10kV侣新线凤飞7社台区重过载治理工程)</v>
      </c>
      <c r="E26" s="32" t="str">
        <f aca="false">IF($B26="","",IF(IFERROR(INDEX(业务流水!$D$5:$D$1504,MATCH(21,业务流水!$X$5:$X$1504,0)),"")="挂靠代收",IFERROR(INDEX(业务流水!$F$5:$F$1504,MATCH(21,业务流水!$X$5:$X$1504,0)),""),IFERROR(INDEX(业务流水!$E$5:$E$1504,MATCH(21,业务流水!$X$5:$X$1504,0)),"")))</f>
        <v>德誉嘉</v>
      </c>
      <c r="F26" s="32" t="str">
        <f aca="false">IFERROR(INDEX(业务流水!$D$5:$D$1504,MATCH(21,业务流水!$X$5:$X$1504,0)),"")</f>
        <v>挂靠代收</v>
      </c>
      <c r="G26" s="41" t="n">
        <f aca="false">IF($F26="挂靠代收",N(IFERROR(INDEX(业务流水!$H$5:$H$1504,MATCH(21,业务流水!$X$5:$X$1504,0)),"")),0)</f>
        <v>6328.34</v>
      </c>
      <c r="H26" s="41" t="n">
        <f aca="false">IF($F26="我方收款",N(IFERROR(INDEX(业务流水!$H$5:$H$1504,MATCH(21,业务流水!$X$5:$X$1504,0)),"")),0)</f>
        <v>0</v>
      </c>
      <c r="I26" s="42" t="n">
        <f aca="false">IF($B26="","",SUMIFS($G$6:$G26,$E$6:$E26,$E26)-SUMIFS($H$6:$H26,$E$6:$E26,$E26))</f>
        <v>24171.43</v>
      </c>
      <c r="J26" s="40" t="str">
        <f aca="false">IFERROR(INDEX(业务流水!$J$5:$J$1504,MATCH(21,业务流水!$X$5:$X$1504,0)),"")</f>
        <v>2026.6.25德誉佳开票到民能：侣新线凤飞7</v>
      </c>
    </row>
    <row r="27" customFormat="false" ht="15.75" hidden="false" customHeight="true" outlineLevel="0" collapsed="false">
      <c r="A27" s="32" t="n">
        <f aca="false">IF($B27="","",22)</f>
        <v>22</v>
      </c>
      <c r="B27" s="50" t="n">
        <f aca="false">IFERROR(INDEX(业务流水!$B$5:$B$1504,MATCH(22,业务流水!$X$5:$X$1504,0)),"")</f>
        <v>46198</v>
      </c>
      <c r="C27" s="32" t="str">
        <f aca="false">IFERROR(INDEX(业务流水!$C$5:$C$1504,MATCH(22,业务流水!$X$5:$X$1504,0)),"")</f>
        <v>A024</v>
      </c>
      <c r="D27" s="40" t="str">
        <f aca="false">IFERROR(INDEX(业务流水!$M$5:$M$1504,MATCH(22,业务流水!$X$5:$X$1504,0)),"")</f>
        <v>铜梁公司2026年配电专业应急抢修抢险等外包项目（黄荆4社等台区4个隐患治理项目、三湾1.2社等台区2个应急抢修项目)</v>
      </c>
      <c r="E27" s="32" t="str">
        <f aca="false">IF($B27="","",IF(IFERROR(INDEX(业务流水!$D$5:$D$1504,MATCH(22,业务流水!$X$5:$X$1504,0)),"")="挂靠代收",IFERROR(INDEX(业务流水!$F$5:$F$1504,MATCH(22,业务流水!$X$5:$X$1504,0)),""),IFERROR(INDEX(业务流水!$E$5:$E$1504,MATCH(22,业务流水!$X$5:$X$1504,0)),"")))</f>
        <v>德誉嘉</v>
      </c>
      <c r="F27" s="32" t="str">
        <f aca="false">IFERROR(INDEX(业务流水!$D$5:$D$1504,MATCH(22,业务流水!$X$5:$X$1504,0)),"")</f>
        <v>挂靠代收</v>
      </c>
      <c r="G27" s="41" t="n">
        <f aca="false">IF($F27="挂靠代收",N(IFERROR(INDEX(业务流水!$H$5:$H$1504,MATCH(22,业务流水!$X$5:$X$1504,0)),"")),0)</f>
        <v>2691.79</v>
      </c>
      <c r="H27" s="41" t="n">
        <f aca="false">IF($F27="我方收款",N(IFERROR(INDEX(业务流水!$H$5:$H$1504,MATCH(22,业务流水!$X$5:$X$1504,0)),"")),0)</f>
        <v>0</v>
      </c>
      <c r="I27" s="42" t="n">
        <f aca="false">IF($B27="","",SUMIFS($G$6:$G27,$E$6:$E27,$E27)-SUMIFS($H$6:$H27,$E$6:$E27,$E27))</f>
        <v>26863.22</v>
      </c>
      <c r="J27" s="40" t="str">
        <f aca="false">IFERROR(INDEX(业务流水!$J$5:$J$1504,MATCH(22,业务流水!$X$5:$X$1504,0)),"")</f>
        <v>2026.6.25德誉佳开票到民能：黄荆4社</v>
      </c>
    </row>
    <row r="28" customFormat="false" ht="15.75" hidden="false" customHeight="true" outlineLevel="0" collapsed="false">
      <c r="A28" s="32" t="n">
        <f aca="false">IF($B28="","",23)</f>
        <v>23</v>
      </c>
      <c r="B28" s="50" t="n">
        <f aca="false">IFERROR(INDEX(业务流水!$B$5:$B$1504,MATCH(23,业务流水!$X$5:$X$1504,0)),"")</f>
        <v>46203</v>
      </c>
      <c r="C28" s="32" t="str">
        <f aca="false">IFERROR(INDEX(业务流水!$C$5:$C$1504,MATCH(23,业务流水!$X$5:$X$1504,0)),"")</f>
        <v>A017</v>
      </c>
      <c r="D28" s="40" t="str">
        <f aca="false">IFERROR(INDEX(业务流水!$M$5:$M$1504,MATCH(23,业务流水!$X$5:$X$1504,0)),"")</f>
        <v>重庆民能实业有限公司2025-2026年度工程用特种设备租赁服务框架采购-铜梁公司2025年成本类优化营商环境项目（平滩所何银强等5个低压业扩工程）</v>
      </c>
      <c r="E28" s="32" t="str">
        <f aca="false">IF($B28="","",IF(IFERROR(INDEX(业务流水!$D$5:$D$1504,MATCH(23,业务流水!$X$5:$X$1504,0)),"")="挂靠代收",IFERROR(INDEX(业务流水!$F$5:$F$1504,MATCH(23,业务流水!$X$5:$X$1504,0)),""),IFERROR(INDEX(业务流水!$E$5:$E$1504,MATCH(23,业务流水!$X$5:$X$1504,0)),"")))</f>
        <v>康欣</v>
      </c>
      <c r="F28" s="32" t="str">
        <f aca="false">IFERROR(INDEX(业务流水!$D$5:$D$1504,MATCH(23,业务流水!$X$5:$X$1504,0)),"")</f>
        <v>挂靠代收</v>
      </c>
      <c r="G28" s="41" t="n">
        <f aca="false">IF($F28="挂靠代收",N(IFERROR(INDEX(业务流水!$H$5:$H$1504,MATCH(23,业务流水!$X$5:$X$1504,0)),"")),0)</f>
        <v>16500</v>
      </c>
      <c r="H28" s="41" t="n">
        <f aca="false">IF($F28="我方收款",N(IFERROR(INDEX(业务流水!$H$5:$H$1504,MATCH(23,业务流水!$X$5:$X$1504,0)),"")),0)</f>
        <v>0</v>
      </c>
      <c r="I28" s="42" t="n">
        <f aca="false">IF($B28="","",SUMIFS($G$6:$G28,$E$6:$E28,$E28)-SUMIFS($H$6:$H28,$E$6:$E28,$E28))</f>
        <v>384159.08</v>
      </c>
      <c r="J28" s="40" t="str">
        <f aca="false">IFERROR(INDEX(业务流水!$J$5:$J$1504,MATCH(23,业务流水!$X$5:$X$1504,0)),"")</f>
        <v>2026.6.30开会信息：民能代付农民工工资165000</v>
      </c>
    </row>
    <row r="29" customFormat="false" ht="15.75" hidden="false" customHeight="true" outlineLevel="0" collapsed="false">
      <c r="A29" s="32" t="n">
        <f aca="false">IF($B29="","",24)</f>
        <v>24</v>
      </c>
      <c r="B29" s="50" t="n">
        <f aca="false">IFERROR(INDEX(业务流水!$B$5:$B$1504,MATCH(24,业务流水!$X$5:$X$1504,0)),"")</f>
        <v>46203</v>
      </c>
      <c r="C29" s="32" t="str">
        <f aca="false">IFERROR(INDEX(业务流水!$C$5:$C$1504,MATCH(24,业务流水!$X$5:$X$1504,0)),"")</f>
        <v>A020</v>
      </c>
      <c r="D29" s="40" t="str">
        <f aca="false">IFERROR(INDEX(业务流水!$M$5:$M$1504,MATCH(24,业务流水!$X$5:$X$1504,0)),"")</f>
        <v>重庆民能实业有限公司2025-2026年度工程用施工机具等租赁服务框架采购（国网重庆铜梁公司110kV金湖东西电缆改造）</v>
      </c>
      <c r="E29" s="32" t="str">
        <f aca="false">IF($B29="","",IF(IFERROR(INDEX(业务流水!$D$5:$D$1504,MATCH(24,业务流水!$X$5:$X$1504,0)),"")="挂靠代收",IFERROR(INDEX(业务流水!$F$5:$F$1504,MATCH(24,业务流水!$X$5:$X$1504,0)),""),IFERROR(INDEX(业务流水!$E$5:$E$1504,MATCH(24,业务流水!$X$5:$X$1504,0)),"")))</f>
        <v>康欣</v>
      </c>
      <c r="F29" s="32" t="str">
        <f aca="false">IFERROR(INDEX(业务流水!$D$5:$D$1504,MATCH(24,业务流水!$X$5:$X$1504,0)),"")</f>
        <v>挂靠代收</v>
      </c>
      <c r="G29" s="41" t="n">
        <f aca="false">IF($F29="挂靠代收",N(IFERROR(INDEX(业务流水!$H$5:$H$1504,MATCH(24,业务流水!$X$5:$X$1504,0)),"")),0)</f>
        <v>30000</v>
      </c>
      <c r="H29" s="41" t="n">
        <f aca="false">IF($F29="我方收款",N(IFERROR(INDEX(业务流水!$H$5:$H$1504,MATCH(24,业务流水!$X$5:$X$1504,0)),"")),0)</f>
        <v>0</v>
      </c>
      <c r="I29" s="42" t="n">
        <f aca="false">IF($B29="","",SUMIFS($G$6:$G29,$E$6:$E29,$E29)-SUMIFS($H$6:$H29,$E$6:$E29,$E29))</f>
        <v>414159.08</v>
      </c>
      <c r="J29" s="40" t="str">
        <f aca="false">IFERROR(INDEX(业务流水!$J$5:$J$1504,MATCH(24,业务流水!$X$5:$X$1504,0)),"")</f>
        <v>2026.6.30开会信息：民能代付农民工工资3W+6W</v>
      </c>
    </row>
    <row r="30" customFormat="false" ht="15.75" hidden="false" customHeight="true" outlineLevel="0" collapsed="false">
      <c r="A30" s="32" t="n">
        <f aca="false">IF($B30="","",25)</f>
        <v>25</v>
      </c>
      <c r="B30" s="50" t="n">
        <f aca="false">IFERROR(INDEX(业务流水!$B$5:$B$1504,MATCH(25,业务流水!$X$5:$X$1504,0)),"")</f>
        <v>46203</v>
      </c>
      <c r="C30" s="32" t="str">
        <f aca="false">IFERROR(INDEX(业务流水!$C$5:$C$1504,MATCH(25,业务流水!$X$5:$X$1504,0)),"")</f>
        <v>A020</v>
      </c>
      <c r="D30" s="40" t="str">
        <f aca="false">IFERROR(INDEX(业务流水!$M$5:$M$1504,MATCH(25,业务流水!$X$5:$X$1504,0)),"")</f>
        <v>重庆民能实业有限公司2025-2026年度工程用施工机具等租赁服务框架采购（国网重庆铜梁公司110kV金湖东西电缆改造）</v>
      </c>
      <c r="E30" s="32" t="str">
        <f aca="false">IF($B30="","",IF(IFERROR(INDEX(业务流水!$D$5:$D$1504,MATCH(25,业务流水!$X$5:$X$1504,0)),"")="挂靠代收",IFERROR(INDEX(业务流水!$F$5:$F$1504,MATCH(25,业务流水!$X$5:$X$1504,0)),""),IFERROR(INDEX(业务流水!$E$5:$E$1504,MATCH(25,业务流水!$X$5:$X$1504,0)),"")))</f>
        <v>康欣</v>
      </c>
      <c r="F30" s="32" t="str">
        <f aca="false">IFERROR(INDEX(业务流水!$D$5:$D$1504,MATCH(25,业务流水!$X$5:$X$1504,0)),"")</f>
        <v>我方收款</v>
      </c>
      <c r="G30" s="41" t="n">
        <f aca="false">IF($F30="挂靠代收",N(IFERROR(INDEX(业务流水!$H$5:$H$1504,MATCH(25,业务流水!$X$5:$X$1504,0)),"")),0)</f>
        <v>0</v>
      </c>
      <c r="H30" s="41" t="n">
        <f aca="false">IF($F30="我方收款",N(IFERROR(INDEX(业务流水!$H$5:$H$1504,MATCH(25,业务流水!$X$5:$X$1504,0)),"")),0)</f>
        <v>30000</v>
      </c>
      <c r="I30" s="42" t="n">
        <f aca="false">IF($B30="","",SUMIFS($G$6:$G30,$E$6:$E30,$E30)-SUMIFS($H$6:$H30,$E$6:$E30,$E30))</f>
        <v>384159.08</v>
      </c>
      <c r="J30" s="40" t="str">
        <f aca="false">IFERROR(INDEX(业务流水!$J$5:$J$1504,MATCH(25,业务流水!$X$5:$X$1504,0)),"")</f>
        <v>2026.6.30开会信息：民能代付农民工工资3W+6W</v>
      </c>
    </row>
    <row r="31" customFormat="false" ht="15.75" hidden="false" customHeight="true" outlineLevel="0" collapsed="false">
      <c r="A31" s="32" t="n">
        <f aca="false">IF($B31="","",26)</f>
        <v>26</v>
      </c>
      <c r="B31" s="50" t="n">
        <f aca="false">IFERROR(INDEX(业务流水!$B$5:$B$1504,MATCH(26,业务流水!$X$5:$X$1504,0)),"")</f>
        <v>46203</v>
      </c>
      <c r="C31" s="32" t="str">
        <f aca="false">IFERROR(INDEX(业务流水!$C$5:$C$1504,MATCH(26,业务流水!$X$5:$X$1504,0)),"")</f>
        <v>A020</v>
      </c>
      <c r="D31" s="40" t="str">
        <f aca="false">IFERROR(INDEX(业务流水!$M$5:$M$1504,MATCH(26,业务流水!$X$5:$X$1504,0)),"")</f>
        <v>重庆民能实业有限公司2025-2026年度工程用施工机具等租赁服务框架采购（国网重庆铜梁公司110kV金湖东西电缆改造）</v>
      </c>
      <c r="E31" s="32" t="str">
        <f aca="false">IF($B31="","",IF(IFERROR(INDEX(业务流水!$D$5:$D$1504,MATCH(26,业务流水!$X$5:$X$1504,0)),"")="挂靠代收",IFERROR(INDEX(业务流水!$F$5:$F$1504,MATCH(26,业务流水!$X$5:$X$1504,0)),""),IFERROR(INDEX(业务流水!$E$5:$E$1504,MATCH(26,业务流水!$X$5:$X$1504,0)),"")))</f>
        <v>康欣</v>
      </c>
      <c r="F31" s="32" t="str">
        <f aca="false">IFERROR(INDEX(业务流水!$D$5:$D$1504,MATCH(26,业务流水!$X$5:$X$1504,0)),"")</f>
        <v>挂靠代收</v>
      </c>
      <c r="G31" s="41" t="n">
        <f aca="false">IF($F31="挂靠代收",N(IFERROR(INDEX(业务流水!$H$5:$H$1504,MATCH(26,业务流水!$X$5:$X$1504,0)),"")),0)</f>
        <v>60000</v>
      </c>
      <c r="H31" s="41" t="n">
        <f aca="false">IF($F31="我方收款",N(IFERROR(INDEX(业务流水!$H$5:$H$1504,MATCH(26,业务流水!$X$5:$X$1504,0)),"")),0)</f>
        <v>0</v>
      </c>
      <c r="I31" s="42" t="n">
        <f aca="false">IF($B31="","",SUMIFS($G$6:$G31,$E$6:$E31,$E31)-SUMIFS($H$6:$H31,$E$6:$E31,$E31))</f>
        <v>444159.08</v>
      </c>
      <c r="J31" s="40" t="str">
        <f aca="false">IFERROR(INDEX(业务流水!$J$5:$J$1504,MATCH(26,业务流水!$X$5:$X$1504,0)),"")</f>
        <v>2026.6.30开会信息：民能代付农民工工资3W+6W</v>
      </c>
    </row>
    <row r="32" customFormat="false" ht="15.75" hidden="false" customHeight="true" outlineLevel="0" collapsed="false">
      <c r="A32" s="32" t="n">
        <f aca="false">IF($B32="","",27)</f>
        <v>27</v>
      </c>
      <c r="B32" s="50" t="n">
        <f aca="false">IFERROR(INDEX(业务流水!$B$5:$B$1504,MATCH(27,业务流水!$X$5:$X$1504,0)),"")</f>
        <v>46203</v>
      </c>
      <c r="C32" s="32" t="str">
        <f aca="false">IFERROR(INDEX(业务流水!$C$5:$C$1504,MATCH(27,业务流水!$X$5:$X$1504,0)),"")</f>
        <v>A020</v>
      </c>
      <c r="D32" s="40" t="str">
        <f aca="false">IFERROR(INDEX(业务流水!$M$5:$M$1504,MATCH(27,业务流水!$X$5:$X$1504,0)),"")</f>
        <v>重庆民能实业有限公司2025-2026年度工程用施工机具等租赁服务框架采购（国网重庆铜梁公司110kV金湖东西电缆改造）</v>
      </c>
      <c r="E32" s="32" t="str">
        <f aca="false">IF($B32="","",IF(IFERROR(INDEX(业务流水!$D$5:$D$1504,MATCH(27,业务流水!$X$5:$X$1504,0)),"")="挂靠代收",IFERROR(INDEX(业务流水!$F$5:$F$1504,MATCH(27,业务流水!$X$5:$X$1504,0)),""),IFERROR(INDEX(业务流水!$E$5:$E$1504,MATCH(27,业务流水!$X$5:$X$1504,0)),"")))</f>
        <v>康欣</v>
      </c>
      <c r="F32" s="32" t="str">
        <f aca="false">IFERROR(INDEX(业务流水!$D$5:$D$1504,MATCH(27,业务流水!$X$5:$X$1504,0)),"")</f>
        <v>我方收款</v>
      </c>
      <c r="G32" s="41" t="n">
        <f aca="false">IF($F32="挂靠代收",N(IFERROR(INDEX(业务流水!$H$5:$H$1504,MATCH(27,业务流水!$X$5:$X$1504,0)),"")),0)</f>
        <v>0</v>
      </c>
      <c r="H32" s="41" t="n">
        <f aca="false">IF($F32="我方收款",N(IFERROR(INDEX(业务流水!$H$5:$H$1504,MATCH(27,业务流水!$X$5:$X$1504,0)),"")),0)</f>
        <v>60000</v>
      </c>
      <c r="I32" s="42" t="n">
        <f aca="false">IF($B32="","",SUMIFS($G$6:$G32,$E$6:$E32,$E32)-SUMIFS($H$6:$H32,$E$6:$E32,$E32))</f>
        <v>384159.08</v>
      </c>
      <c r="J32" s="40" t="str">
        <f aca="false">IFERROR(INDEX(业务流水!$J$5:$J$1504,MATCH(27,业务流水!$X$5:$X$1504,0)),"")</f>
        <v>2026.6.30开会信息：民能代付农民工工资3W+6W</v>
      </c>
    </row>
    <row r="33" customFormat="false" ht="15.75" hidden="false" customHeight="true" outlineLevel="0" collapsed="false">
      <c r="A33" s="32" t="n">
        <f aca="false">IF($B33="","",28)</f>
        <v>28</v>
      </c>
      <c r="B33" s="50" t="n">
        <f aca="false">IFERROR(INDEX(业务流水!$B$5:$B$1504,MATCH(28,业务流水!$X$5:$X$1504,0)),"")</f>
        <v>46203</v>
      </c>
      <c r="C33" s="32" t="str">
        <f aca="false">IFERROR(INDEX(业务流水!$C$5:$C$1504,MATCH(28,业务流水!$X$5:$X$1504,0)),"")</f>
        <v>A022</v>
      </c>
      <c r="D33" s="40" t="str">
        <f aca="false">IFERROR(INDEX(业务流水!$M$5:$M$1504,MATCH(28,业务流水!$X$5:$X$1504,0)),"")</f>
        <v>铜梁区园区屋顶分布式光伏发电建设项目-10kV电力新建工程（康欣3W，泓普6W）</v>
      </c>
      <c r="E33" s="32" t="str">
        <f aca="false">IF($B33="","",IF(IFERROR(INDEX(业务流水!$D$5:$D$1504,MATCH(28,业务流水!$X$5:$X$1504,0)),"")="挂靠代收",IFERROR(INDEX(业务流水!$F$5:$F$1504,MATCH(28,业务流水!$X$5:$X$1504,0)),""),IFERROR(INDEX(业务流水!$E$5:$E$1504,MATCH(28,业务流水!$X$5:$X$1504,0)),"")))</f>
        <v>康欣</v>
      </c>
      <c r="F33" s="32" t="str">
        <f aca="false">IFERROR(INDEX(业务流水!$D$5:$D$1504,MATCH(28,业务流水!$X$5:$X$1504,0)),"")</f>
        <v>挂靠代收</v>
      </c>
      <c r="G33" s="41" t="n">
        <f aca="false">IF($F33="挂靠代收",N(IFERROR(INDEX(业务流水!$H$5:$H$1504,MATCH(28,业务流水!$X$5:$X$1504,0)),"")),0)</f>
        <v>70000</v>
      </c>
      <c r="H33" s="41" t="n">
        <f aca="false">IF($F33="我方收款",N(IFERROR(INDEX(业务流水!$H$5:$H$1504,MATCH(28,业务流水!$X$5:$X$1504,0)),"")),0)</f>
        <v>0</v>
      </c>
      <c r="I33" s="42" t="n">
        <f aca="false">IF($B33="","",SUMIFS($G$6:$G33,$E$6:$E33,$E33)-SUMIFS($H$6:$H33,$E$6:$E33,$E33))</f>
        <v>454159.08</v>
      </c>
      <c r="J33" s="40" t="str">
        <f aca="false">IFERROR(INDEX(业务流水!$J$5:$J$1504,MATCH(28,业务流水!$X$5:$X$1504,0)),"")</f>
        <v>2026.6.30开会信息：民能代付农民工工资10W</v>
      </c>
    </row>
    <row r="34" customFormat="false" ht="15.75" hidden="false" customHeight="true" outlineLevel="0" collapsed="false">
      <c r="A34" s="32" t="n">
        <f aca="false">IF($B34="","",29)</f>
        <v>29</v>
      </c>
      <c r="B34" s="50" t="n">
        <f aca="false">IFERROR(INDEX(业务流水!$B$5:$B$1504,MATCH(29,业务流水!$X$5:$X$1504,0)),"")</f>
        <v>46203</v>
      </c>
      <c r="C34" s="32" t="str">
        <f aca="false">IFERROR(INDEX(业务流水!$C$5:$C$1504,MATCH(29,业务流水!$X$5:$X$1504,0)),"")</f>
        <v>A022</v>
      </c>
      <c r="D34" s="40" t="str">
        <f aca="false">IFERROR(INDEX(业务流水!$M$5:$M$1504,MATCH(29,业务流水!$X$5:$X$1504,0)),"")</f>
        <v>铜梁区园区屋顶分布式光伏发电建设项目-10kV电力新建工程（康欣3W，泓普6W）</v>
      </c>
      <c r="E34" s="32" t="str">
        <f aca="false">IF($B34="","",IF(IFERROR(INDEX(业务流水!$D$5:$D$1504,MATCH(29,业务流水!$X$5:$X$1504,0)),"")="挂靠代收",IFERROR(INDEX(业务流水!$F$5:$F$1504,MATCH(29,业务流水!$X$5:$X$1504,0)),""),IFERROR(INDEX(业务流水!$E$5:$E$1504,MATCH(29,业务流水!$X$5:$X$1504,0)),"")))</f>
        <v>康欣</v>
      </c>
      <c r="F34" s="32" t="str">
        <f aca="false">IFERROR(INDEX(业务流水!$D$5:$D$1504,MATCH(29,业务流水!$X$5:$X$1504,0)),"")</f>
        <v>我方收款</v>
      </c>
      <c r="G34" s="41" t="n">
        <f aca="false">IF($F34="挂靠代收",N(IFERROR(INDEX(业务流水!$H$5:$H$1504,MATCH(29,业务流水!$X$5:$X$1504,0)),"")),0)</f>
        <v>0</v>
      </c>
      <c r="H34" s="41" t="n">
        <f aca="false">IF($F34="我方收款",N(IFERROR(INDEX(业务流水!$H$5:$H$1504,MATCH(29,业务流水!$X$5:$X$1504,0)),"")),0)</f>
        <v>70000</v>
      </c>
      <c r="I34" s="42" t="n">
        <f aca="false">IF($B34="","",SUMIFS($G$6:$G34,$E$6:$E34,$E34)-SUMIFS($H$6:$H34,$E$6:$E34,$E34))</f>
        <v>384159.08</v>
      </c>
      <c r="J34" s="40" t="str">
        <f aca="false">IFERROR(INDEX(业务流水!$J$5:$J$1504,MATCH(29,业务流水!$X$5:$X$1504,0)),"")</f>
        <v>2026.6.30开会信息：民能代付农民工工资10W</v>
      </c>
    </row>
    <row r="35" customFormat="false" ht="15.75" hidden="false" customHeight="true" outlineLevel="0" collapsed="false">
      <c r="A35" s="32" t="n">
        <f aca="false">IF($B35="","",30)</f>
        <v>30</v>
      </c>
      <c r="B35" s="50" t="n">
        <f aca="false">IFERROR(INDEX(业务流水!$B$5:$B$1504,MATCH(30,业务流水!$X$5:$X$1504,0)),"")</f>
        <v>46203</v>
      </c>
      <c r="C35" s="32" t="str">
        <f aca="false">IFERROR(INDEX(业务流水!$C$5:$C$1504,MATCH(30,业务流水!$X$5:$X$1504,0)),"")</f>
        <v>A020</v>
      </c>
      <c r="D35" s="40" t="str">
        <f aca="false">IFERROR(INDEX(业务流水!$M$5:$M$1504,MATCH(30,业务流水!$X$5:$X$1504,0)),"")</f>
        <v>重庆民能实业有限公司2025-2026年度工程用施工机具等租赁服务框架采购（国网重庆铜梁公司110kV金湖东西电缆改造）</v>
      </c>
      <c r="E35" s="32" t="str">
        <f aca="false">IF($B35="","",IF(IFERROR(INDEX(业务流水!$D$5:$D$1504,MATCH(30,业务流水!$X$5:$X$1504,0)),"")="挂靠代收",IFERROR(INDEX(业务流水!$F$5:$F$1504,MATCH(30,业务流水!$X$5:$X$1504,0)),""),IFERROR(INDEX(业务流水!$E$5:$E$1504,MATCH(30,业务流水!$X$5:$X$1504,0)),"")))</f>
        <v>金沁</v>
      </c>
      <c r="F35" s="32" t="str">
        <f aca="false">IFERROR(INDEX(业务流水!$D$5:$D$1504,MATCH(30,业务流水!$X$5:$X$1504,0)),"")</f>
        <v>挂靠代收</v>
      </c>
      <c r="G35" s="41" t="n">
        <f aca="false">IF($F35="挂靠代收",N(IFERROR(INDEX(业务流水!$H$5:$H$1504,MATCH(30,业务流水!$X$5:$X$1504,0)),"")),0)</f>
        <v>30000</v>
      </c>
      <c r="H35" s="41" t="n">
        <f aca="false">IF($F35="我方收款",N(IFERROR(INDEX(业务流水!$H$5:$H$1504,MATCH(30,业务流水!$X$5:$X$1504,0)),"")),0)</f>
        <v>0</v>
      </c>
      <c r="I35" s="42" t="n">
        <f aca="false">IF($B35="","",SUMIFS($G$6:$G35,$E$6:$E35,$E35)-SUMIFS($H$6:$H35,$E$6:$E35,$E35))</f>
        <v>29969.2</v>
      </c>
      <c r="J35" s="40" t="str">
        <f aca="false">IFERROR(INDEX(业务流水!$J$5:$J$1504,MATCH(30,业务流水!$X$5:$X$1504,0)),"")</f>
        <v>2026.6.30彭豪开会确定民能代付农民工工资：金湖东西线（土建）</v>
      </c>
    </row>
    <row r="36" customFormat="false" ht="15.75" hidden="false" customHeight="true" outlineLevel="0" collapsed="false">
      <c r="A36" s="32" t="n">
        <f aca="false">IF($B36="","",31)</f>
        <v>31</v>
      </c>
      <c r="B36" s="50" t="n">
        <f aca="false">IFERROR(INDEX(业务流水!$B$5:$B$1504,MATCH(31,业务流水!$X$5:$X$1504,0)),"")</f>
        <v>46203</v>
      </c>
      <c r="C36" s="32" t="str">
        <f aca="false">IFERROR(INDEX(业务流水!$C$5:$C$1504,MATCH(31,业务流水!$X$5:$X$1504,0)),"")</f>
        <v>A020</v>
      </c>
      <c r="D36" s="40" t="str">
        <f aca="false">IFERROR(INDEX(业务流水!$M$5:$M$1504,MATCH(31,业务流水!$X$5:$X$1504,0)),"")</f>
        <v>重庆民能实业有限公司2025-2026年度工程用施工机具等租赁服务框架采购（国网重庆铜梁公司110kV金湖东西电缆改造）</v>
      </c>
      <c r="E36" s="32" t="str">
        <f aca="false">IF($B36="","",IF(IFERROR(INDEX(业务流水!$D$5:$D$1504,MATCH(31,业务流水!$X$5:$X$1504,0)),"")="挂靠代收",IFERROR(INDEX(业务流水!$F$5:$F$1504,MATCH(31,业务流水!$X$5:$X$1504,0)),""),IFERROR(INDEX(业务流水!$E$5:$E$1504,MATCH(31,业务流水!$X$5:$X$1504,0)),"")))</f>
        <v>金沁</v>
      </c>
      <c r="F36" s="32" t="str">
        <f aca="false">IFERROR(INDEX(业务流水!$D$5:$D$1504,MATCH(31,业务流水!$X$5:$X$1504,0)),"")</f>
        <v>我方收款</v>
      </c>
      <c r="G36" s="41" t="n">
        <f aca="false">IF($F36="挂靠代收",N(IFERROR(INDEX(业务流水!$H$5:$H$1504,MATCH(31,业务流水!$X$5:$X$1504,0)),"")),0)</f>
        <v>0</v>
      </c>
      <c r="H36" s="41" t="n">
        <f aca="false">IF($F36="我方收款",N(IFERROR(INDEX(业务流水!$H$5:$H$1504,MATCH(31,业务流水!$X$5:$X$1504,0)),"")),0)</f>
        <v>30000</v>
      </c>
      <c r="I36" s="42" t="n">
        <f aca="false">IF($B36="","",SUMIFS($G$6:$G36,$E$6:$E36,$E36)-SUMIFS($H$6:$H36,$E$6:$E36,$E36))</f>
        <v>-30.7999999999993</v>
      </c>
      <c r="J36" s="40" t="str">
        <f aca="false">IFERROR(INDEX(业务流水!$J$5:$J$1504,MATCH(31,业务流水!$X$5:$X$1504,0)),"")</f>
        <v>2026.6.30彭豪开会确定民能代付农民工工资：金湖东西线（土建）</v>
      </c>
    </row>
    <row r="37" customFormat="false" ht="15.75" hidden="false" customHeight="true" outlineLevel="0" collapsed="false">
      <c r="A37" s="32" t="n">
        <f aca="false">IF($B37="","",32)</f>
        <v>32</v>
      </c>
      <c r="B37" s="50" t="n">
        <f aca="false">IFERROR(INDEX(业务流水!$B$5:$B$1504,MATCH(32,业务流水!$X$5:$X$1504,0)),"")</f>
        <v>46203</v>
      </c>
      <c r="C37" s="32" t="str">
        <f aca="false">IFERROR(INDEX(业务流水!$C$5:$C$1504,MATCH(32,业务流水!$X$5:$X$1504,0)),"")</f>
        <v>A020</v>
      </c>
      <c r="D37" s="40" t="str">
        <f aca="false">IFERROR(INDEX(业务流水!$M$5:$M$1504,MATCH(32,业务流水!$X$5:$X$1504,0)),"")</f>
        <v>重庆民能实业有限公司2025-2026年度工程用施工机具等租赁服务框架采购（国网重庆铜梁公司110kV金湖东西电缆改造）</v>
      </c>
      <c r="E37" s="32" t="str">
        <f aca="false">IF($B37="","",IF(IFERROR(INDEX(业务流水!$D$5:$D$1504,MATCH(32,业务流水!$X$5:$X$1504,0)),"")="挂靠代收",IFERROR(INDEX(业务流水!$F$5:$F$1504,MATCH(32,业务流水!$X$5:$X$1504,0)),""),IFERROR(INDEX(业务流水!$E$5:$E$1504,MATCH(32,业务流水!$X$5:$X$1504,0)),"")))</f>
        <v>金沁</v>
      </c>
      <c r="F37" s="32" t="str">
        <f aca="false">IFERROR(INDEX(业务流水!$D$5:$D$1504,MATCH(32,业务流水!$X$5:$X$1504,0)),"")</f>
        <v>挂靠代收</v>
      </c>
      <c r="G37" s="41" t="n">
        <f aca="false">IF($F37="挂靠代收",N(IFERROR(INDEX(业务流水!$H$5:$H$1504,MATCH(32,业务流水!$X$5:$X$1504,0)),"")),0)</f>
        <v>60000</v>
      </c>
      <c r="H37" s="41" t="n">
        <f aca="false">IF($F37="我方收款",N(IFERROR(INDEX(业务流水!$H$5:$H$1504,MATCH(32,业务流水!$X$5:$X$1504,0)),"")),0)</f>
        <v>0</v>
      </c>
      <c r="I37" s="42" t="n">
        <f aca="false">IF($B37="","",SUMIFS($G$6:$G37,$E$6:$E37,$E37)-SUMIFS($H$6:$H37,$E$6:$E37,$E37))</f>
        <v>59969.2</v>
      </c>
      <c r="J37" s="40" t="str">
        <f aca="false">IFERROR(INDEX(业务流水!$J$5:$J$1504,MATCH(32,业务流水!$X$5:$X$1504,0)),"")</f>
        <v>2026.6.30彭豪开会确定民能代付农民工工资：金湖东西线（安装）</v>
      </c>
    </row>
    <row r="38" customFormat="false" ht="15.75" hidden="false" customHeight="true" outlineLevel="0" collapsed="false">
      <c r="A38" s="32" t="n">
        <f aca="false">IF($B38="","",33)</f>
        <v>33</v>
      </c>
      <c r="B38" s="50" t="n">
        <f aca="false">IFERROR(INDEX(业务流水!$B$5:$B$1504,MATCH(33,业务流水!$X$5:$X$1504,0)),"")</f>
        <v>46203</v>
      </c>
      <c r="C38" s="32" t="str">
        <f aca="false">IFERROR(INDEX(业务流水!$C$5:$C$1504,MATCH(33,业务流水!$X$5:$X$1504,0)),"")</f>
        <v>A020</v>
      </c>
      <c r="D38" s="40" t="str">
        <f aca="false">IFERROR(INDEX(业务流水!$M$5:$M$1504,MATCH(33,业务流水!$X$5:$X$1504,0)),"")</f>
        <v>重庆民能实业有限公司2025-2026年度工程用施工机具等租赁服务框架采购（国网重庆铜梁公司110kV金湖东西电缆改造）</v>
      </c>
      <c r="E38" s="32" t="str">
        <f aca="false">IF($B38="","",IF(IFERROR(INDEX(业务流水!$D$5:$D$1504,MATCH(33,业务流水!$X$5:$X$1504,0)),"")="挂靠代收",IFERROR(INDEX(业务流水!$F$5:$F$1504,MATCH(33,业务流水!$X$5:$X$1504,0)),""),IFERROR(INDEX(业务流水!$E$5:$E$1504,MATCH(33,业务流水!$X$5:$X$1504,0)),"")))</f>
        <v>金沁</v>
      </c>
      <c r="F38" s="32" t="str">
        <f aca="false">IFERROR(INDEX(业务流水!$D$5:$D$1504,MATCH(33,业务流水!$X$5:$X$1504,0)),"")</f>
        <v>我方收款</v>
      </c>
      <c r="G38" s="41" t="n">
        <f aca="false">IF($F38="挂靠代收",N(IFERROR(INDEX(业务流水!$H$5:$H$1504,MATCH(33,业务流水!$X$5:$X$1504,0)),"")),0)</f>
        <v>0</v>
      </c>
      <c r="H38" s="41" t="n">
        <f aca="false">IF($F38="我方收款",N(IFERROR(INDEX(业务流水!$H$5:$H$1504,MATCH(33,业务流水!$X$5:$X$1504,0)),"")),0)</f>
        <v>60000</v>
      </c>
      <c r="I38" s="42" t="n">
        <f aca="false">IF($B38="","",SUMIFS($G$6:$G38,$E$6:$E38,$E38)-SUMIFS($H$6:$H38,$E$6:$E38,$E38))</f>
        <v>-30.8000000000029</v>
      </c>
      <c r="J38" s="40" t="str">
        <f aca="false">IFERROR(INDEX(业务流水!$J$5:$J$1504,MATCH(33,业务流水!$X$5:$X$1504,0)),"")</f>
        <v>2026.6.30彭豪开会确定民能代付农民工工资：金湖东西线（安装）</v>
      </c>
    </row>
    <row r="39" customFormat="false" ht="15.75" hidden="false" customHeight="true" outlineLevel="0" collapsed="false">
      <c r="A39" s="32" t="n">
        <f aca="false">IF($B39="","",34)</f>
        <v>34</v>
      </c>
      <c r="B39" s="50" t="n">
        <f aca="false">IFERROR(INDEX(业务流水!$B$5:$B$1504,MATCH(34,业务流水!$X$5:$X$1504,0)),"")</f>
        <v>46203</v>
      </c>
      <c r="C39" s="32" t="str">
        <f aca="false">IFERROR(INDEX(业务流水!$C$5:$C$1504,MATCH(34,业务流水!$X$5:$X$1504,0)),"")</f>
        <v>A021</v>
      </c>
      <c r="D39" s="40" t="str">
        <f aca="false">IFERROR(INDEX(业务流水!$M$5:$M$1504,MATCH(34,业务流水!$X$5:$X$1504,0)),"")</f>
        <v>铜梁区园区屋顶分布式光伏发电建设项目-10kV电力新建工程（康欣3W，泓普7W）</v>
      </c>
      <c r="E39" s="32" t="str">
        <f aca="false">IF($B39="","",IF(IFERROR(INDEX(业务流水!$D$5:$D$1504,MATCH(34,业务流水!$X$5:$X$1504,0)),"")="挂靠代收",IFERROR(INDEX(业务流水!$F$5:$F$1504,MATCH(34,业务流水!$X$5:$X$1504,0)),""),IFERROR(INDEX(业务流水!$E$5:$E$1504,MATCH(34,业务流水!$X$5:$X$1504,0)),"")))</f>
        <v>金沁</v>
      </c>
      <c r="F39" s="32" t="str">
        <f aca="false">IFERROR(INDEX(业务流水!$D$5:$D$1504,MATCH(34,业务流水!$X$5:$X$1504,0)),"")</f>
        <v>挂靠代收</v>
      </c>
      <c r="G39" s="41" t="n">
        <f aca="false">IF($F39="挂靠代收",N(IFERROR(INDEX(业务流水!$H$5:$H$1504,MATCH(34,业务流水!$X$5:$X$1504,0)),"")),0)</f>
        <v>100000</v>
      </c>
      <c r="H39" s="41" t="n">
        <f aca="false">IF($F39="我方收款",N(IFERROR(INDEX(业务流水!$H$5:$H$1504,MATCH(34,业务流水!$X$5:$X$1504,0)),"")),0)</f>
        <v>0</v>
      </c>
      <c r="I39" s="42" t="n">
        <f aca="false">IF($B39="","",SUMIFS($G$6:$G39,$E$6:$E39,$E39)-SUMIFS($H$6:$H39,$E$6:$E39,$E39))</f>
        <v>99969.2</v>
      </c>
      <c r="J39" s="40" t="str">
        <f aca="false">IFERROR(INDEX(业务流水!$J$5:$J$1504,MATCH(34,业务流水!$X$5:$X$1504,0)),"")</f>
        <v>2026.6.30彭豪开会确定民能代付农民工工资：电力新建：康欣3W，泓普7W</v>
      </c>
    </row>
    <row r="40" customFormat="false" ht="15.75" hidden="false" customHeight="true" outlineLevel="0" collapsed="false">
      <c r="A40" s="32" t="n">
        <f aca="false">IF($B40="","",35)</f>
        <v>35</v>
      </c>
      <c r="B40" s="50" t="n">
        <f aca="false">IFERROR(INDEX(业务流水!$B$5:$B$1504,MATCH(35,业务流水!$X$5:$X$1504,0)),"")</f>
        <v>46203</v>
      </c>
      <c r="C40" s="32" t="str">
        <f aca="false">IFERROR(INDEX(业务流水!$C$5:$C$1504,MATCH(35,业务流水!$X$5:$X$1504,0)),"")</f>
        <v>A021</v>
      </c>
      <c r="D40" s="40" t="str">
        <f aca="false">IFERROR(INDEX(业务流水!$M$5:$M$1504,MATCH(35,业务流水!$X$5:$X$1504,0)),"")</f>
        <v>铜梁区园区屋顶分布式光伏发电建设项目-10kV电力新建工程（康欣3W，泓普7W）</v>
      </c>
      <c r="E40" s="32" t="str">
        <f aca="false">IF($B40="","",IF(IFERROR(INDEX(业务流水!$D$5:$D$1504,MATCH(35,业务流水!$X$5:$X$1504,0)),"")="挂靠代收",IFERROR(INDEX(业务流水!$F$5:$F$1504,MATCH(35,业务流水!$X$5:$X$1504,0)),""),IFERROR(INDEX(业务流水!$E$5:$E$1504,MATCH(35,业务流水!$X$5:$X$1504,0)),"")))</f>
        <v>金沁</v>
      </c>
      <c r="F40" s="32" t="str">
        <f aca="false">IFERROR(INDEX(业务流水!$D$5:$D$1504,MATCH(35,业务流水!$X$5:$X$1504,0)),"")</f>
        <v>我方收款</v>
      </c>
      <c r="G40" s="41" t="n">
        <f aca="false">IF($F40="挂靠代收",N(IFERROR(INDEX(业务流水!$H$5:$H$1504,MATCH(35,业务流水!$X$5:$X$1504,0)),"")),0)</f>
        <v>0</v>
      </c>
      <c r="H40" s="41" t="n">
        <f aca="false">IF($F40="我方收款",N(IFERROR(INDEX(业务流水!$H$5:$H$1504,MATCH(35,业务流水!$X$5:$X$1504,0)),"")),0)</f>
        <v>70000</v>
      </c>
      <c r="I40" s="42" t="n">
        <f aca="false">IF($B40="","",SUMIFS($G$6:$G40,$E$6:$E40,$E40)-SUMIFS($H$6:$H40,$E$6:$E40,$E40))</f>
        <v>29969.2</v>
      </c>
      <c r="J40" s="40" t="str">
        <f aca="false">IFERROR(INDEX(业务流水!$J$5:$J$1504,MATCH(35,业务流水!$X$5:$X$1504,0)),"")</f>
        <v>2026.6.30彭豪开会确定民能代付农民工工资：电力新建：康欣3W，泓普7W</v>
      </c>
    </row>
    <row r="41" customFormat="false" ht="15.75" hidden="false" customHeight="true" outlineLevel="0" collapsed="false">
      <c r="A41" s="32" t="n">
        <f aca="false">IF($B41="","",36)</f>
        <v>36</v>
      </c>
      <c r="B41" s="50" t="n">
        <f aca="false">IFERROR(INDEX(业务流水!$B$5:$B$1504,MATCH(36,业务流水!$X$5:$X$1504,0)),"")</f>
        <v>46203</v>
      </c>
      <c r="C41" s="32" t="str">
        <f aca="false">IFERROR(INDEX(业务流水!$C$5:$C$1504,MATCH(36,业务流水!$X$5:$X$1504,0)),"")</f>
        <v>A017</v>
      </c>
      <c r="D41" s="40" t="str">
        <f aca="false">IFERROR(INDEX(业务流水!$M$5:$M$1504,MATCH(36,业务流水!$X$5:$X$1504,0)),"")</f>
        <v>重庆民能实业有限公司2025-2026年度工程用特种设备租赁服务框架采购-铜梁公司2025年成本类优化营商环境项目（平滩所何银强等5个低压业扩工程）</v>
      </c>
      <c r="E41" s="32" t="str">
        <f aca="false">IF($B41="","",IF(IFERROR(INDEX(业务流水!$D$5:$D$1504,MATCH(36,业务流水!$X$5:$X$1504,0)),"")="挂靠代收",IFERROR(INDEX(业务流水!$F$5:$F$1504,MATCH(36,业务流水!$X$5:$X$1504,0)),""),IFERROR(INDEX(业务流水!$E$5:$E$1504,MATCH(36,业务流水!$X$5:$X$1504,0)),"")))</f>
        <v>金沁</v>
      </c>
      <c r="F41" s="32" t="str">
        <f aca="false">IFERROR(INDEX(业务流水!$D$5:$D$1504,MATCH(36,业务流水!$X$5:$X$1504,0)),"")</f>
        <v>挂靠代收</v>
      </c>
      <c r="G41" s="41" t="n">
        <f aca="false">IF($F41="挂靠代收",N(IFERROR(INDEX(业务流水!$H$5:$H$1504,MATCH(36,业务流水!$X$5:$X$1504,0)),"")),0)</f>
        <v>16500</v>
      </c>
      <c r="H41" s="41" t="n">
        <f aca="false">IF($F41="我方收款",N(IFERROR(INDEX(业务流水!$H$5:$H$1504,MATCH(36,业务流水!$X$5:$X$1504,0)),"")),0)</f>
        <v>0</v>
      </c>
      <c r="I41" s="42" t="n">
        <f aca="false">IF($B41="","",SUMIFS($G$6:$G41,$E$6:$E41,$E41)-SUMIFS($H$6:$H41,$E$6:$E41,$E41))</f>
        <v>46469.2</v>
      </c>
      <c r="J41" s="40" t="str">
        <f aca="false">IFERROR(INDEX(业务流水!$J$5:$J$1504,MATCH(36,业务流水!$X$5:$X$1504,0)),"")</f>
        <v>2026.6.30彭豪到康欣开会确认：5月民能代付泓普农民工工资，款项还未回康欣</v>
      </c>
    </row>
    <row r="42" customFormat="false" ht="15.75" hidden="false" customHeight="true" outlineLevel="0" collapsed="false">
      <c r="A42" s="32" t="n">
        <f aca="false">IF($B42="","",37)</f>
        <v>37</v>
      </c>
      <c r="B42" s="50" t="n">
        <f aca="false">IFERROR(INDEX(业务流水!$B$5:$B$1504,MATCH(37,业务流水!$X$5:$X$1504,0)),"")</f>
        <v>46203</v>
      </c>
      <c r="C42" s="32" t="str">
        <f aca="false">IFERROR(INDEX(业务流水!$C$5:$C$1504,MATCH(37,业务流水!$X$5:$X$1504,0)),"")</f>
        <v>A017</v>
      </c>
      <c r="D42" s="40" t="str">
        <f aca="false">IFERROR(INDEX(业务流水!$M$5:$M$1504,MATCH(37,业务流水!$X$5:$X$1504,0)),"")</f>
        <v>重庆民能实业有限公司2025-2026年度工程用特种设备租赁服务框架采购-铜梁公司2025年成本类优化营商环境项目（平滩所何银强等5个低压业扩工程）</v>
      </c>
      <c r="E42" s="32" t="str">
        <f aca="false">IF($B42="","",IF(IFERROR(INDEX(业务流水!$D$5:$D$1504,MATCH(37,业务流水!$X$5:$X$1504,0)),"")="挂靠代收",IFERROR(INDEX(业务流水!$F$5:$F$1504,MATCH(37,业务流水!$X$5:$X$1504,0)),""),IFERROR(INDEX(业务流水!$E$5:$E$1504,MATCH(37,业务流水!$X$5:$X$1504,0)),"")))</f>
        <v>金沁</v>
      </c>
      <c r="F42" s="32" t="str">
        <f aca="false">IFERROR(INDEX(业务流水!$D$5:$D$1504,MATCH(37,业务流水!$X$5:$X$1504,0)),"")</f>
        <v>我方收款</v>
      </c>
      <c r="G42" s="41" t="n">
        <f aca="false">IF($F42="挂靠代收",N(IFERROR(INDEX(业务流水!$H$5:$H$1504,MATCH(37,业务流水!$X$5:$X$1504,0)),"")),0)</f>
        <v>0</v>
      </c>
      <c r="H42" s="41" t="n">
        <f aca="false">IF($F42="我方收款",N(IFERROR(INDEX(业务流水!$H$5:$H$1504,MATCH(37,业务流水!$X$5:$X$1504,0)),"")),0)</f>
        <v>16500</v>
      </c>
      <c r="I42" s="42" t="n">
        <f aca="false">IF($B42="","",SUMIFS($G$6:$G42,$E$6:$E42,$E42)-SUMIFS($H$6:$H42,$E$6:$E42,$E42))</f>
        <v>29969.2</v>
      </c>
      <c r="J42" s="40" t="str">
        <f aca="false">IFERROR(INDEX(业务流水!$J$5:$J$1504,MATCH(37,业务流水!$X$5:$X$1504,0)),"")</f>
        <v>2026.6.30彭豪到康欣开会确认：5月民能代付泓普农民工工资，款项还未回康欣</v>
      </c>
    </row>
    <row r="43" customFormat="false" ht="15.75" hidden="false" customHeight="true" outlineLevel="0" collapsed="false">
      <c r="A43" s="32" t="n">
        <f aca="false">IF($B43="","",38)</f>
        <v>38</v>
      </c>
      <c r="B43" s="50" t="n">
        <f aca="false">IFERROR(INDEX(业务流水!$B$5:$B$1504,MATCH(38,业务流水!$X$5:$X$1504,0)),"")</f>
        <v>46204</v>
      </c>
      <c r="C43" s="32" t="str">
        <f aca="false">IFERROR(INDEX(业务流水!$C$5:$C$1504,MATCH(38,业务流水!$X$5:$X$1504,0)),"")</f>
        <v>A008</v>
      </c>
      <c r="D43" s="40" t="str">
        <f aca="false">IFERROR(INDEX(业务流水!$M$5:$M$1504,MATCH(38,业务流水!$X$5:$X$1504,0)),"")</f>
        <v>重庆铜梁10kV平凉线惠丰9社等4个台区重过载治理工程</v>
      </c>
      <c r="E43" s="32" t="str">
        <f aca="false">IF($B43="","",IF(IFERROR(INDEX(业务流水!$D$5:$D$1504,MATCH(38,业务流水!$X$5:$X$1504,0)),"")="挂靠代收",IFERROR(INDEX(业务流水!$F$5:$F$1504,MATCH(38,业务流水!$X$5:$X$1504,0)),""),IFERROR(INDEX(业务流水!$E$5:$E$1504,MATCH(38,业务流水!$X$5:$X$1504,0)),"")))</f>
        <v>康欣</v>
      </c>
      <c r="F43" s="32" t="str">
        <f aca="false">IFERROR(INDEX(业务流水!$D$5:$D$1504,MATCH(38,业务流水!$X$5:$X$1504,0)),"")</f>
        <v>我方收款</v>
      </c>
      <c r="G43" s="41" t="n">
        <f aca="false">IF($F43="挂靠代收",N(IFERROR(INDEX(业务流水!$H$5:$H$1504,MATCH(38,业务流水!$X$5:$X$1504,0)),"")),0)</f>
        <v>0</v>
      </c>
      <c r="H43" s="41" t="n">
        <f aca="false">IF($F43="我方收款",N(IFERROR(INDEX(业务流水!$H$5:$H$1504,MATCH(38,业务流水!$X$5:$X$1504,0)),"")),0)</f>
        <v>8615.19</v>
      </c>
      <c r="I43" s="42" t="n">
        <f aca="false">IF($B43="","",SUMIFS($G$6:$G43,$E$6:$E43,$E43)-SUMIFS($H$6:$H43,$E$6:$E43,$E43))</f>
        <v>375543.89</v>
      </c>
      <c r="J43" s="40" t="str">
        <f aca="false">IFERROR(INDEX(业务流水!$J$5:$J$1504,MATCH(38,业务流水!$X$5:$X$1504,0)),"")</f>
        <v>未开票按3%扣点子</v>
      </c>
    </row>
    <row r="44" customFormat="false" ht="15.75" hidden="false" customHeight="true" outlineLevel="0" collapsed="false">
      <c r="A44" s="32" t="n">
        <f aca="false">IF($B44="","",39)</f>
        <v>39</v>
      </c>
      <c r="B44" s="50" t="n">
        <f aca="false">IFERROR(INDEX(业务流水!$B$5:$B$1504,MATCH(39,业务流水!$X$5:$X$1504,0)),"")</f>
        <v>46204</v>
      </c>
      <c r="C44" s="32" t="str">
        <f aca="false">IFERROR(INDEX(业务流水!$C$5:$C$1504,MATCH(39,业务流水!$X$5:$X$1504,0)),"")</f>
        <v>A008</v>
      </c>
      <c r="D44" s="40" t="str">
        <f aca="false">IFERROR(INDEX(业务流水!$M$5:$M$1504,MATCH(39,业务流水!$X$5:$X$1504,0)),"")</f>
        <v>重庆铜梁10kV平凉线惠丰9社等4个台区重过载治理工程</v>
      </c>
      <c r="E44" s="32" t="str">
        <f aca="false">IF($B44="","",IF(IFERROR(INDEX(业务流水!$D$5:$D$1504,MATCH(39,业务流水!$X$5:$X$1504,0)),"")="挂靠代收",IFERROR(INDEX(业务流水!$F$5:$F$1504,MATCH(39,业务流水!$X$5:$X$1504,0)),""),IFERROR(INDEX(业务流水!$E$5:$E$1504,MATCH(39,业务流水!$X$5:$X$1504,0)),"")))</f>
        <v>康欣</v>
      </c>
      <c r="F44" s="32" t="str">
        <f aca="false">IFERROR(INDEX(业务流水!$D$5:$D$1504,MATCH(39,业务流水!$X$5:$X$1504,0)),"")</f>
        <v>我方收款</v>
      </c>
      <c r="G44" s="41" t="n">
        <f aca="false">IF($F44="挂靠代收",N(IFERROR(INDEX(业务流水!$H$5:$H$1504,MATCH(39,业务流水!$X$5:$X$1504,0)),"")),0)</f>
        <v>0</v>
      </c>
      <c r="H44" s="41" t="n">
        <f aca="false">IF($F44="我方收款",N(IFERROR(INDEX(业务流水!$H$5:$H$1504,MATCH(39,业务流水!$X$5:$X$1504,0)),"")),0)</f>
        <v>8000</v>
      </c>
      <c r="I44" s="42" t="n">
        <f aca="false">IF($B44="","",SUMIFS($G$6:$G44,$E$6:$E44,$E44)-SUMIFS($H$6:$H44,$E$6:$E44,$E44))</f>
        <v>367543.89</v>
      </c>
      <c r="J44" s="40" t="str">
        <f aca="false">IFERROR(INDEX(业务流水!$J$5:$J$1504,MATCH(39,业务流水!$X$5:$X$1504,0)),"")</f>
        <v>6月专户支付科耀达(西钢线)民能支付-老项目专户</v>
      </c>
    </row>
    <row r="45" customFormat="false" ht="15.75" hidden="false" customHeight="true" outlineLevel="0" collapsed="false">
      <c r="A45" s="32" t="n">
        <f aca="false">IF($B45="","",40)</f>
        <v>40</v>
      </c>
      <c r="B45" s="50" t="n">
        <f aca="false">IFERROR(INDEX(业务流水!$B$5:$B$1504,MATCH(40,业务流水!$X$5:$X$1504,0)),"")</f>
        <v>46204</v>
      </c>
      <c r="C45" s="32" t="str">
        <f aca="false">IFERROR(INDEX(业务流水!$C$5:$C$1504,MATCH(40,业务流水!$X$5:$X$1504,0)),"")</f>
        <v>A008</v>
      </c>
      <c r="D45" s="40" t="str">
        <f aca="false">IFERROR(INDEX(业务流水!$M$5:$M$1504,MATCH(40,业务流水!$X$5:$X$1504,0)),"")</f>
        <v>重庆铜梁10kV平凉线惠丰9社等4个台区重过载治理工程</v>
      </c>
      <c r="E45" s="32" t="str">
        <f aca="false">IF($B45="","",IF(IFERROR(INDEX(业务流水!$D$5:$D$1504,MATCH(40,业务流水!$X$5:$X$1504,0)),"")="挂靠代收",IFERROR(INDEX(业务流水!$F$5:$F$1504,MATCH(40,业务流水!$X$5:$X$1504,0)),""),IFERROR(INDEX(业务流水!$E$5:$E$1504,MATCH(40,业务流水!$X$5:$X$1504,0)),"")))</f>
        <v>康欣</v>
      </c>
      <c r="F45" s="32" t="str">
        <f aca="false">IFERROR(INDEX(业务流水!$D$5:$D$1504,MATCH(40,业务流水!$X$5:$X$1504,0)),"")</f>
        <v>我方收款</v>
      </c>
      <c r="G45" s="41" t="n">
        <f aca="false">IF($F45="挂靠代收",N(IFERROR(INDEX(业务流水!$H$5:$H$1504,MATCH(40,业务流水!$X$5:$X$1504,0)),"")),0)</f>
        <v>0</v>
      </c>
      <c r="H45" s="41" t="n">
        <f aca="false">IF($F45="我方收款",N(IFERROR(INDEX(业务流水!$H$5:$H$1504,MATCH(40,业务流水!$X$5:$X$1504,0)),"")),0)</f>
        <v>30000</v>
      </c>
      <c r="I45" s="42" t="n">
        <f aca="false">IF($B45="","",SUMIFS($G$6:$G45,$E$6:$E45,$E45)-SUMIFS($H$6:$H45,$E$6:$E45,$E45))</f>
        <v>337543.89</v>
      </c>
      <c r="J45" s="40" t="str">
        <f aca="false">IFERROR(INDEX(业务流水!$J$5:$J$1504,MATCH(40,业务流水!$X$5:$X$1504,0)),"")</f>
        <v>6月专户支付金沁光伏民能支付-老项目专户</v>
      </c>
    </row>
    <row r="46" customFormat="false" ht="15.75" hidden="false" customHeight="true" outlineLevel="0" collapsed="false">
      <c r="A46" s="32" t="n">
        <f aca="false">IF($B46="","",41)</f>
        <v>41</v>
      </c>
      <c r="B46" s="50" t="n">
        <f aca="false">IFERROR(INDEX(业务流水!$B$5:$B$1504,MATCH(41,业务流水!$X$5:$X$1504,0)),"")</f>
        <v>46204</v>
      </c>
      <c r="C46" s="32" t="str">
        <f aca="false">IFERROR(INDEX(业务流水!$C$5:$C$1504,MATCH(41,业务流水!$X$5:$X$1504,0)),"")</f>
        <v>A008</v>
      </c>
      <c r="D46" s="40" t="str">
        <f aca="false">IFERROR(INDEX(业务流水!$M$5:$M$1504,MATCH(41,业务流水!$X$5:$X$1504,0)),"")</f>
        <v>重庆铜梁10kV平凉线惠丰9社等4个台区重过载治理工程</v>
      </c>
      <c r="E46" s="32" t="str">
        <f aca="false">IF($B46="","",IF(IFERROR(INDEX(业务流水!$D$5:$D$1504,MATCH(41,业务流水!$X$5:$X$1504,0)),"")="挂靠代收",IFERROR(INDEX(业务流水!$F$5:$F$1504,MATCH(41,业务流水!$X$5:$X$1504,0)),""),IFERROR(INDEX(业务流水!$E$5:$E$1504,MATCH(41,业务流水!$X$5:$X$1504,0)),"")))</f>
        <v>康欣</v>
      </c>
      <c r="F46" s="32" t="str">
        <f aca="false">IFERROR(INDEX(业务流水!$D$5:$D$1504,MATCH(41,业务流水!$X$5:$X$1504,0)),"")</f>
        <v>我方收款</v>
      </c>
      <c r="G46" s="41" t="n">
        <f aca="false">IF($F46="挂靠代收",N(IFERROR(INDEX(业务流水!$H$5:$H$1504,MATCH(41,业务流水!$X$5:$X$1504,0)),"")),0)</f>
        <v>0</v>
      </c>
      <c r="H46" s="41" t="n">
        <f aca="false">IF($F46="我方收款",N(IFERROR(INDEX(业务流水!$H$5:$H$1504,MATCH(41,业务流水!$X$5:$X$1504,0)),"")),0)</f>
        <v>14573.8</v>
      </c>
      <c r="I46" s="42" t="n">
        <f aca="false">IF($B46="","",SUMIFS($G$6:$G46,$E$6:$E46,$E46)-SUMIFS($H$6:$H46,$E$6:$E46,$E46))</f>
        <v>322970.09</v>
      </c>
      <c r="J46" s="40" t="str">
        <f aca="false">IFERROR(INDEX(业务流水!$J$5:$J$1504,MATCH(41,业务流水!$X$5:$X$1504,0)),"")</f>
        <v>彭豪项目部5月管理人员工资和员社保</v>
      </c>
    </row>
    <row r="47" customFormat="false" ht="15.75" hidden="false" customHeight="true" outlineLevel="0" collapsed="false">
      <c r="A47" s="32" t="n">
        <f aca="false">IF($B47="","",42)</f>
        <v>42</v>
      </c>
      <c r="B47" s="50" t="n">
        <f aca="false">IFERROR(INDEX(业务流水!$B$5:$B$1504,MATCH(42,业务流水!$X$5:$X$1504,0)),"")</f>
        <v>46204</v>
      </c>
      <c r="C47" s="32" t="str">
        <f aca="false">IFERROR(INDEX(业务流水!$C$5:$C$1504,MATCH(42,业务流水!$X$5:$X$1504,0)),"")</f>
        <v>A023</v>
      </c>
      <c r="D47" s="40" t="str">
        <f aca="false">IFERROR(INDEX(业务流水!$M$5:$M$1504,MATCH(42,业务流水!$X$5:$X$1504,0)),"")</f>
        <v>围龙镇巴岳农庄项目(桥亭水云居项目)双电源工程</v>
      </c>
      <c r="E47" s="32" t="str">
        <f aca="false">IF($B47="","",IF(IFERROR(INDEX(业务流水!$D$5:$D$1504,MATCH(42,业务流水!$X$5:$X$1504,0)),"")="挂靠代收",IFERROR(INDEX(业务流水!$F$5:$F$1504,MATCH(42,业务流水!$X$5:$X$1504,0)),""),IFERROR(INDEX(业务流水!$E$5:$E$1504,MATCH(42,业务流水!$X$5:$X$1504,0)),"")))</f>
        <v>康欣</v>
      </c>
      <c r="F47" s="32" t="str">
        <f aca="false">IFERROR(INDEX(业务流水!$D$5:$D$1504,MATCH(42,业务流水!$X$5:$X$1504,0)),"")</f>
        <v>我方收款</v>
      </c>
      <c r="G47" s="41" t="n">
        <f aca="false">IF($F47="挂靠代收",N(IFERROR(INDEX(业务流水!$H$5:$H$1504,MATCH(42,业务流水!$X$5:$X$1504,0)),"")),0)</f>
        <v>0</v>
      </c>
      <c r="H47" s="41" t="n">
        <f aca="false">IF($F47="我方收款",N(IFERROR(INDEX(业务流水!$H$5:$H$1504,MATCH(42,业务流水!$X$5:$X$1504,0)),"")),0)</f>
        <v>3300.86</v>
      </c>
      <c r="I47" s="42" t="n">
        <f aca="false">IF($B47="","",SUMIFS($G$6:$G47,$E$6:$E47,$E47)-SUMIFS($H$6:$H47,$E$6:$E47,$E47))</f>
        <v>319669.23</v>
      </c>
      <c r="J47" s="40" t="str">
        <f aca="false">IFERROR(INDEX(业务流水!$J$5:$J$1504,MATCH(42,业务流水!$X$5:$X$1504,0)),"")</f>
        <v>2026.7.1号泓普开票到康欣：桥亭水云居37800，12200扣3%个税不提供</v>
      </c>
    </row>
    <row r="48" customFormat="false" ht="15.75" hidden="false" customHeight="true" outlineLevel="0" collapsed="false">
      <c r="A48" s="32" t="n">
        <f aca="false">IF($B48="","",43)</f>
        <v>43</v>
      </c>
      <c r="B48" s="50" t="n">
        <f aca="false">IFERROR(INDEX(业务流水!$B$5:$B$1504,MATCH(43,业务流水!$X$5:$X$1504,0)),"")</f>
        <v>46206</v>
      </c>
      <c r="C48" s="32" t="str">
        <f aca="false">IFERROR(INDEX(业务流水!$C$5:$C$1504,MATCH(43,业务流水!$X$5:$X$1504,0)),"")</f>
        <v>A008</v>
      </c>
      <c r="D48" s="40" t="str">
        <f aca="false">IFERROR(INDEX(业务流水!$M$5:$M$1504,MATCH(43,业务流水!$X$5:$X$1504,0)),"")</f>
        <v>重庆铜梁10kV平凉线惠丰9社等4个台区重过载治理工程</v>
      </c>
      <c r="E48" s="32" t="str">
        <f aca="false">IF($B48="","",IF(IFERROR(INDEX(业务流水!$D$5:$D$1504,MATCH(43,业务流水!$X$5:$X$1504,0)),"")="挂靠代收",IFERROR(INDEX(业务流水!$F$5:$F$1504,MATCH(43,业务流水!$X$5:$X$1504,0)),""),IFERROR(INDEX(业务流水!$E$5:$E$1504,MATCH(43,业务流水!$X$5:$X$1504,0)),"")))</f>
        <v>康欣</v>
      </c>
      <c r="F48" s="32" t="str">
        <f aca="false">IFERROR(INDEX(业务流水!$D$5:$D$1504,MATCH(43,业务流水!$X$5:$X$1504,0)),"")</f>
        <v>我方收款</v>
      </c>
      <c r="G48" s="41" t="n">
        <f aca="false">IF($F48="挂靠代收",N(IFERROR(INDEX(业务流水!$H$5:$H$1504,MATCH(43,业务流水!$X$5:$X$1504,0)),"")),0)</f>
        <v>0</v>
      </c>
      <c r="H48" s="41" t="n">
        <f aca="false">IF($F48="我方收款",N(IFERROR(INDEX(业务流水!$H$5:$H$1504,MATCH(43,业务流水!$X$5:$X$1504,0)),"")),0)</f>
        <v>303566.03</v>
      </c>
      <c r="I48" s="42" t="n">
        <f aca="false">IF($B48="","",SUMIFS($G$6:$G48,$E$6:$E48,$E48)-SUMIFS($H$6:$H48,$E$6:$E48,$E48))</f>
        <v>16103.2</v>
      </c>
      <c r="J48" s="40" t="str">
        <f aca="false">IFERROR(INDEX(业务流水!$J$5:$J$1504,MATCH(43,业务流水!$X$5:$X$1504,0)),"")</f>
        <v>2026.7.3已和夏旭对账确定收款金额，和陈秋平落实走流程收款，7.8号已到款</v>
      </c>
    </row>
    <row r="49" customFormat="false" ht="15.75" hidden="false" customHeight="true" outlineLevel="0" collapsed="false">
      <c r="A49" s="32" t="n">
        <f aca="false">IF($B49="","",44)</f>
        <v>44</v>
      </c>
      <c r="B49" s="50" t="n">
        <f aca="false">IFERROR(INDEX(业务流水!$B$5:$B$1504,MATCH(44,业务流水!$X$5:$X$1504,0)),"")</f>
        <v>46223</v>
      </c>
      <c r="C49" s="32" t="str">
        <f aca="false">IFERROR(INDEX(业务流水!$C$5:$C$1504,MATCH(44,业务流水!$X$5:$X$1504,0)),"")</f>
        <v>A003</v>
      </c>
      <c r="D49" s="40" t="str">
        <f aca="false">IFERROR(INDEX(业务流水!$M$5:$M$1504,MATCH(44,业务流水!$X$5:$X$1504,0)),"")</f>
        <v>重庆铜梁10kV平双线新建联络工程</v>
      </c>
      <c r="E49" s="32" t="str">
        <f aca="false">IF($B49="","",IF(IFERROR(INDEX(业务流水!$D$5:$D$1504,MATCH(44,业务流水!$X$5:$X$1504,0)),"")="挂靠代收",IFERROR(INDEX(业务流水!$F$5:$F$1504,MATCH(44,业务流水!$X$5:$X$1504,0)),""),IFERROR(INDEX(业务流水!$E$5:$E$1504,MATCH(44,业务流水!$X$5:$X$1504,0)),"")))</f>
        <v>华城</v>
      </c>
      <c r="F49" s="32" t="str">
        <f aca="false">IFERROR(INDEX(业务流水!$D$5:$D$1504,MATCH(44,业务流水!$X$5:$X$1504,0)),"")</f>
        <v>我方收款</v>
      </c>
      <c r="G49" s="41" t="n">
        <f aca="false">IF($F49="挂靠代收",N(IFERROR(INDEX(业务流水!$H$5:$H$1504,MATCH(44,业务流水!$X$5:$X$1504,0)),"")),0)</f>
        <v>0</v>
      </c>
      <c r="H49" s="41" t="n">
        <f aca="false">IF($F49="我方收款",N(IFERROR(INDEX(业务流水!$H$5:$H$1504,MATCH(44,业务流水!$X$5:$X$1504,0)),"")),0)</f>
        <v>10129.24</v>
      </c>
      <c r="I49" s="42" t="n">
        <f aca="false">IF($B49="","",SUMIFS($G$6:$G49,$E$6:$E49,$E49)-SUMIFS($H$6:$H49,$E$6:$E49,$E49))</f>
        <v>10458.24</v>
      </c>
      <c r="J49" s="40" t="str">
        <f aca="false">IFERROR(INDEX(业务流水!$J$5:$J$1504,MATCH(44,业务流水!$X$5:$X$1504,0)),"")</f>
        <v>2026.7.20号和华会计确定应收款307680-10129.24元-6153.6=291397.16</v>
      </c>
    </row>
    <row r="50" customFormat="false" ht="15.75" hidden="false" customHeight="true" outlineLevel="0" collapsed="false">
      <c r="A50" s="32" t="n">
        <f aca="false">IF($B50="","",45)</f>
        <v>45</v>
      </c>
      <c r="B50" s="50" t="n">
        <f aca="false">IFERROR(INDEX(业务流水!$B$5:$B$1504,MATCH(45,业务流水!$X$5:$X$1504,0)),"")</f>
        <v>46226</v>
      </c>
      <c r="C50" s="32" t="str">
        <f aca="false">IFERROR(INDEX(业务流水!$C$5:$C$1504,MATCH(45,业务流水!$X$5:$X$1504,0)),"")</f>
        <v>A051</v>
      </c>
      <c r="D50" s="40" t="str">
        <f aca="false">IFERROR(INDEX(业务流水!$M$5:$M$1504,MATCH(45,业务流水!$X$5:$X$1504,0)),"")</f>
        <v>2025-2026年度工程用特种设备租赁服务框架采购(10kV少盘线哨楼村支线#1杆线路迁改
工程)</v>
      </c>
      <c r="E50" s="32" t="str">
        <f aca="false">IF($B50="","",IF(IFERROR(INDEX(业务流水!$D$5:$D$1504,MATCH(45,业务流水!$X$5:$X$1504,0)),"")="挂靠代收",IFERROR(INDEX(业务流水!$F$5:$F$1504,MATCH(45,业务流水!$X$5:$X$1504,0)),""),IFERROR(INDEX(业务流水!$E$5:$E$1504,MATCH(45,业务流水!$X$5:$X$1504,0)),"")))</f>
        <v>迅驰</v>
      </c>
      <c r="F50" s="32" t="str">
        <f aca="false">IFERROR(INDEX(业务流水!$D$5:$D$1504,MATCH(45,业务流水!$X$5:$X$1504,0)),"")</f>
        <v>我方收款</v>
      </c>
      <c r="G50" s="41" t="n">
        <f aca="false">IF($F50="挂靠代收",N(IFERROR(INDEX(业务流水!$H$5:$H$1504,MATCH(45,业务流水!$X$5:$X$1504,0)),"")),0)</f>
        <v>0</v>
      </c>
      <c r="H50" s="41" t="n">
        <f aca="false">IF($F50="我方收款",N(IFERROR(INDEX(业务流水!$H$5:$H$1504,MATCH(45,业务流水!$X$5:$X$1504,0)),"")),0)</f>
        <v>373.3</v>
      </c>
      <c r="I50" s="42" t="n">
        <f aca="false">IF($B50="","",SUMIFS($G$6:$G50,$E$6:$E50,$E50)-SUMIFS($H$6:$H50,$E$6:$E50,$E50))</f>
        <v>-244.07</v>
      </c>
      <c r="J50" s="40" t="str">
        <f aca="false">IFERROR(INDEX(业务流水!$J$5:$J$1504,MATCH(45,业务流水!$X$5:$X$1504,0)),"")</f>
        <v>2026.7.23和迅驰对账应退税费373.7，7.24已退，秋平微信收到转蒋玲提备用金账户了</v>
      </c>
    </row>
    <row r="51" customFormat="false" ht="15.75" hidden="false" customHeight="true" outlineLevel="0" collapsed="false">
      <c r="A51" s="32" t="n">
        <f aca="false">IF($B51="","",46)</f>
        <v>46</v>
      </c>
      <c r="B51" s="50" t="n">
        <f aca="false">IFERROR(INDEX(业务流水!$B$5:$B$1504,MATCH(46,业务流水!$X$5:$X$1504,0)),"")</f>
        <v>46226</v>
      </c>
      <c r="C51" s="32" t="str">
        <f aca="false">IFERROR(INDEX(业务流水!$C$5:$C$1504,MATCH(46,业务流水!$X$5:$X$1504,0)),"")</f>
        <v>A002</v>
      </c>
      <c r="D51" s="40" t="str">
        <f aca="false">IFERROR(INDEX(业务流水!$M$5:$M$1504,MATCH(46,业务流水!$X$5:$X$1504,0)),"")</f>
        <v>重庆铜梁10kV梧桐村4.5.6社台区重过载治理工程等23个项目(2025年配网6批、业扩5批民能施工）(重庆铜梁10kV侣新线凤飞7社台区重过载治理工程)</v>
      </c>
      <c r="E51" s="32" t="str">
        <f aca="false">IF($B51="","",IF(IFERROR(INDEX(业务流水!$D$5:$D$1504,MATCH(46,业务流水!$X$5:$X$1504,0)),"")="挂靠代收",IFERROR(INDEX(业务流水!$F$5:$F$1504,MATCH(46,业务流水!$X$5:$X$1504,0)),""),IFERROR(INDEX(业务流水!$E$5:$E$1504,MATCH(46,业务流水!$X$5:$X$1504,0)),"")))</f>
        <v>金沁</v>
      </c>
      <c r="F51" s="32" t="str">
        <f aca="false">IFERROR(INDEX(业务流水!$D$5:$D$1504,MATCH(46,业务流水!$X$5:$X$1504,0)),"")</f>
        <v>我方收款</v>
      </c>
      <c r="G51" s="41" t="n">
        <f aca="false">IF($F51="挂靠代收",N(IFERROR(INDEX(业务流水!$H$5:$H$1504,MATCH(46,业务流水!$X$5:$X$1504,0)),"")),0)</f>
        <v>0</v>
      </c>
      <c r="H51" s="41" t="n">
        <f aca="false">IF($F51="我方收款",N(IFERROR(INDEX(业务流水!$H$5:$H$1504,MATCH(46,业务流水!$X$5:$X$1504,0)),"")),0)</f>
        <v>1150.93</v>
      </c>
      <c r="I51" s="42" t="n">
        <f aca="false">IF($B51="","",SUMIFS($G$6:$G51,$E$6:$E51,$E51)-SUMIFS($H$6:$H51,$E$6:$E51,$E51))</f>
        <v>28818.27</v>
      </c>
      <c r="J51" s="40" t="str">
        <f aca="false">IFERROR(INDEX(业务流水!$J$5:$J$1504,MATCH(46,业务流水!$X$5:$X$1504,0)),"")</f>
        <v>2026.7.23号和金沁对账无误，实际应收款为27709-1134.3（税差）-1385.45（管理费）-16.63（印花税）=25172.62</v>
      </c>
    </row>
    <row r="52" customFormat="false" ht="15.75" hidden="false" customHeight="true" outlineLevel="0" collapsed="false">
      <c r="A52" s="32" t="n">
        <f aca="false">IF($B52="","",47)</f>
        <v>47</v>
      </c>
      <c r="B52" s="50" t="n">
        <f aca="false">IFERROR(INDEX(业务流水!$B$5:$B$1504,MATCH(47,业务流水!$X$5:$X$1504,0)),"")</f>
        <v>46231</v>
      </c>
      <c r="C52" s="32" t="str">
        <f aca="false">IFERROR(INDEX(业务流水!$C$5:$C$1504,MATCH(47,业务流水!$X$5:$X$1504,0)),"")</f>
        <v>A024</v>
      </c>
      <c r="D52" s="40" t="str">
        <f aca="false">IFERROR(INDEX(业务流水!$M$5:$M$1504,MATCH(47,业务流水!$X$5:$X$1504,0)),"")</f>
        <v>铜梁公司2026年配电专业应急抢修抢险等外包项目（黄荆4社等台区4个隐患治理项目、三湾1.2社等台区2个应急抢修项目)</v>
      </c>
      <c r="E52" s="32" t="str">
        <f aca="false">IF($B52="","",IF(IFERROR(INDEX(业务流水!$D$5:$D$1504,MATCH(47,业务流水!$X$5:$X$1504,0)),"")="挂靠代收",IFERROR(INDEX(业务流水!$F$5:$F$1504,MATCH(47,业务流水!$X$5:$X$1504,0)),""),IFERROR(INDEX(业务流水!$E$5:$E$1504,MATCH(47,业务流水!$X$5:$X$1504,0)),"")))</f>
        <v>华城</v>
      </c>
      <c r="F52" s="32" t="str">
        <f aca="false">IFERROR(INDEX(业务流水!$D$5:$D$1504,MATCH(47,业务流水!$X$5:$X$1504,0)),"")</f>
        <v>挂靠代收</v>
      </c>
      <c r="G52" s="41" t="n">
        <f aca="false">IF($F52="挂靠代收",N(IFERROR(INDEX(业务流水!$H$5:$H$1504,MATCH(47,业务流水!$X$5:$X$1504,0)),"")),0)</f>
        <v>6220</v>
      </c>
      <c r="H52" s="41" t="n">
        <f aca="false">IF($F52="我方收款",N(IFERROR(INDEX(业务流水!$H$5:$H$1504,MATCH(47,业务流水!$X$5:$X$1504,0)),"")),0)</f>
        <v>0</v>
      </c>
      <c r="I52" s="42" t="n">
        <f aca="false">IF($B52="","",SUMIFS($G$6:$G52,$E$6:$E52,$E52)-SUMIFS($H$6:$H52,$E$6:$E52,$E52))</f>
        <v>16678.24</v>
      </c>
      <c r="J52" s="40" t="str">
        <f aca="false">IFERROR(INDEX(业务流水!$J$5:$J$1504,MATCH(47,业务流水!$X$5:$X$1504,0)),"")</f>
        <v>2026.7.28民能代付工资：黄荆4社和三湾1.2社</v>
      </c>
    </row>
    <row r="53" customFormat="false" ht="15.75" hidden="false" customHeight="true" outlineLevel="0" collapsed="false">
      <c r="A53" s="32" t="n">
        <f aca="false">IF($B53="","",48)</f>
        <v>48</v>
      </c>
      <c r="B53" s="50" t="n">
        <f aca="false">IFERROR(INDEX(业务流水!$B$5:$B$1504,MATCH(48,业务流水!$X$5:$X$1504,0)),"")</f>
        <v>46231</v>
      </c>
      <c r="C53" s="32" t="str">
        <f aca="false">IFERROR(INDEX(业务流水!$C$5:$C$1504,MATCH(48,业务流水!$X$5:$X$1504,0)),"")</f>
        <v>A024</v>
      </c>
      <c r="D53" s="40" t="str">
        <f aca="false">IFERROR(INDEX(业务流水!$M$5:$M$1504,MATCH(48,业务流水!$X$5:$X$1504,0)),"")</f>
        <v>铜梁公司2026年配电专业应急抢修抢险等外包项目（黄荆4社等台区4个隐患治理项目、三湾1.2社等台区2个应急抢修项目)</v>
      </c>
      <c r="E53" s="32" t="str">
        <f aca="false">IF($B53="","",IF(IFERROR(INDEX(业务流水!$D$5:$D$1504,MATCH(48,业务流水!$X$5:$X$1504,0)),"")="挂靠代收",IFERROR(INDEX(业务流水!$F$5:$F$1504,MATCH(48,业务流水!$X$5:$X$1504,0)),""),IFERROR(INDEX(业务流水!$E$5:$E$1504,MATCH(48,业务流水!$X$5:$X$1504,0)),"")))</f>
        <v>华城</v>
      </c>
      <c r="F53" s="32" t="str">
        <f aca="false">IFERROR(INDEX(业务流水!$D$5:$D$1504,MATCH(48,业务流水!$X$5:$X$1504,0)),"")</f>
        <v>我方收款</v>
      </c>
      <c r="G53" s="41" t="n">
        <f aca="false">IF($F53="挂靠代收",N(IFERROR(INDEX(业务流水!$H$5:$H$1504,MATCH(48,业务流水!$X$5:$X$1504,0)),"")),0)</f>
        <v>0</v>
      </c>
      <c r="H53" s="41" t="n">
        <f aca="false">IF($F53="我方收款",N(IFERROR(INDEX(业务流水!$H$5:$H$1504,MATCH(48,业务流水!$X$5:$X$1504,0)),"")),0)</f>
        <v>6220</v>
      </c>
      <c r="I53" s="42" t="n">
        <f aca="false">IF($B53="","",SUMIFS($G$6:$G53,$E$6:$E53,$E53)-SUMIFS($H$6:$H53,$E$6:$E53,$E53))</f>
        <v>10458.24</v>
      </c>
      <c r="J53" s="40" t="str">
        <f aca="false">IFERROR(INDEX(业务流水!$J$5:$J$1504,MATCH(48,业务流水!$X$5:$X$1504,0)),"")</f>
        <v>2026.7.28民能代付工资：黄荆4社和三湾1.2社</v>
      </c>
    </row>
    <row r="54" customFormat="false" ht="15.75" hidden="false" customHeight="true" outlineLevel="0" collapsed="false">
      <c r="A54" s="32" t="n">
        <f aca="false">IF($B54="","",49)</f>
        <v>49</v>
      </c>
      <c r="B54" s="50" t="n">
        <f aca="false">IFERROR(INDEX(业务流水!$B$5:$B$1504,MATCH(49,业务流水!$X$5:$X$1504,0)),"")</f>
        <v>46231</v>
      </c>
      <c r="C54" s="32" t="str">
        <f aca="false">IFERROR(INDEX(业务流水!$C$5:$C$1504,MATCH(49,业务流水!$X$5:$X$1504,0)),"")</f>
        <v>A001</v>
      </c>
      <c r="D54" s="40" t="str">
        <f aca="false">IFERROR(INDEX(业务流水!$M$5:$M$1504,MATCH(49,业务流水!$X$5:$X$1504,0)),"")</f>
        <v>2025-2026年度工程用施工机具等租赁服务（重庆铜梁10kV大太线老旧线路改造工程）</v>
      </c>
      <c r="E54" s="32" t="str">
        <f aca="false">IF($B54="","",IF(IFERROR(INDEX(业务流水!$D$5:$D$1504,MATCH(49,业务流水!$X$5:$X$1504,0)),"")="挂靠代收",IFERROR(INDEX(业务流水!$F$5:$F$1504,MATCH(49,业务流水!$X$5:$X$1504,0)),""),IFERROR(INDEX(业务流水!$E$5:$E$1504,MATCH(49,业务流水!$X$5:$X$1504,0)),"")))</f>
        <v>杰华</v>
      </c>
      <c r="F54" s="32" t="str">
        <f aca="false">IFERROR(INDEX(业务流水!$D$5:$D$1504,MATCH(49,业务流水!$X$5:$X$1504,0)),"")</f>
        <v>挂靠代收</v>
      </c>
      <c r="G54" s="41" t="n">
        <f aca="false">IF($F54="挂靠代收",N(IFERROR(INDEX(业务流水!$H$5:$H$1504,MATCH(49,业务流水!$X$5:$X$1504,0)),"")),0)</f>
        <v>122305.72</v>
      </c>
      <c r="H54" s="41" t="n">
        <f aca="false">IF($F54="我方收款",N(IFERROR(INDEX(业务流水!$H$5:$H$1504,MATCH(49,业务流水!$X$5:$X$1504,0)),"")),0)</f>
        <v>0</v>
      </c>
      <c r="I54" s="42" t="n">
        <f aca="false">IF($B54="","",SUMIFS($G$6:$G54,$E$6:$E54,$E54)-SUMIFS($H$6:$H54,$E$6:$E54,$E54))</f>
        <v>122305.72</v>
      </c>
      <c r="J54" s="40" t="str">
        <f aca="false">IFERROR(INDEX(业务流水!$J$5:$J$1504,MATCH(49,业务流水!$X$5:$X$1504,0)),"")</f>
        <v>2026.7.28民能代付工资：大太线老旧线路代发工资174907，提现22593</v>
      </c>
    </row>
    <row r="55" customFormat="false" ht="15.75" hidden="false" customHeight="true" outlineLevel="0" collapsed="false">
      <c r="A55" s="32" t="n">
        <f aca="false">IF($B55="","",50)</f>
        <v>50</v>
      </c>
      <c r="B55" s="50" t="n">
        <f aca="false">IFERROR(INDEX(业务流水!$B$5:$B$1504,MATCH(50,业务流水!$X$5:$X$1504,0)),"")</f>
        <v>46231</v>
      </c>
      <c r="C55" s="32" t="str">
        <f aca="false">IFERROR(INDEX(业务流水!$C$5:$C$1504,MATCH(50,业务流水!$X$5:$X$1504,0)),"")</f>
        <v>A020</v>
      </c>
      <c r="D55" s="40" t="str">
        <f aca="false">IFERROR(INDEX(业务流水!$M$5:$M$1504,MATCH(50,业务流水!$X$5:$X$1504,0)),"")</f>
        <v>重庆民能实业有限公司2025-2026年度工程用施工机具等租赁服务框架采购（国网重庆铜梁公司110kV金湖东西电缆改造）</v>
      </c>
      <c r="E55" s="32" t="str">
        <f aca="false">IF($B55="","",IF(IFERROR(INDEX(业务流水!$D$5:$D$1504,MATCH(50,业务流水!$X$5:$X$1504,0)),"")="挂靠代收",IFERROR(INDEX(业务流水!$F$5:$F$1504,MATCH(50,业务流水!$X$5:$X$1504,0)),""),IFERROR(INDEX(业务流水!$E$5:$E$1504,MATCH(50,业务流水!$X$5:$X$1504,0)),"")))</f>
        <v>康欣</v>
      </c>
      <c r="F55" s="32" t="str">
        <f aca="false">IFERROR(INDEX(业务流水!$D$5:$D$1504,MATCH(50,业务流水!$X$5:$X$1504,0)),"")</f>
        <v>挂靠代收</v>
      </c>
      <c r="G55" s="41" t="n">
        <f aca="false">IF($F55="挂靠代收",N(IFERROR(INDEX(业务流水!$H$5:$H$1504,MATCH(50,业务流水!$X$5:$X$1504,0)),"")),0)</f>
        <v>70000</v>
      </c>
      <c r="H55" s="41" t="n">
        <f aca="false">IF($F55="我方收款",N(IFERROR(INDEX(业务流水!$H$5:$H$1504,MATCH(50,业务流水!$X$5:$X$1504,0)),"")),0)</f>
        <v>0</v>
      </c>
      <c r="I55" s="42" t="n">
        <f aca="false">IF($B55="","",SUMIFS($G$6:$G55,$E$6:$E55,$E55)-SUMIFS($H$6:$H55,$E$6:$E55,$E55))</f>
        <v>86103.2</v>
      </c>
      <c r="J55" s="40" t="str">
        <f aca="false">IFERROR(INDEX(业务流水!$J$5:$J$1504,MATCH(50,业务流水!$X$5:$X$1504,0)),"")</f>
        <v>2026.7.28民能代付工资：金湖东西电缆改造（安装）</v>
      </c>
    </row>
    <row r="56" customFormat="false" ht="15.75" hidden="false" customHeight="true" outlineLevel="0" collapsed="false">
      <c r="A56" s="32" t="n">
        <f aca="false">IF($B56="","",51)</f>
        <v>51</v>
      </c>
      <c r="B56" s="50" t="n">
        <f aca="false">IFERROR(INDEX(业务流水!$B$5:$B$1504,MATCH(51,业务流水!$X$5:$X$1504,0)),"")</f>
        <v>46231</v>
      </c>
      <c r="C56" s="32" t="str">
        <f aca="false">IFERROR(INDEX(业务流水!$C$5:$C$1504,MATCH(51,业务流水!$X$5:$X$1504,0)),"")</f>
        <v>A020</v>
      </c>
      <c r="D56" s="40" t="str">
        <f aca="false">IFERROR(INDEX(业务流水!$M$5:$M$1504,MATCH(51,业务流水!$X$5:$X$1504,0)),"")</f>
        <v>重庆民能实业有限公司2025-2026年度工程用施工机具等租赁服务框架采购（国网重庆铜梁公司110kV金湖东西电缆改造）</v>
      </c>
      <c r="E56" s="32" t="str">
        <f aca="false">IF($B56="","",IF(IFERROR(INDEX(业务流水!$D$5:$D$1504,MATCH(51,业务流水!$X$5:$X$1504,0)),"")="挂靠代收",IFERROR(INDEX(业务流水!$F$5:$F$1504,MATCH(51,业务流水!$X$5:$X$1504,0)),""),IFERROR(INDEX(业务流水!$E$5:$E$1504,MATCH(51,业务流水!$X$5:$X$1504,0)),"")))</f>
        <v>康欣</v>
      </c>
      <c r="F56" s="32" t="str">
        <f aca="false">IFERROR(INDEX(业务流水!$D$5:$D$1504,MATCH(51,业务流水!$X$5:$X$1504,0)),"")</f>
        <v>我方收款</v>
      </c>
      <c r="G56" s="41" t="n">
        <f aca="false">IF($F56="挂靠代收",N(IFERROR(INDEX(业务流水!$H$5:$H$1504,MATCH(51,业务流水!$X$5:$X$1504,0)),"")),0)</f>
        <v>0</v>
      </c>
      <c r="H56" s="41" t="n">
        <f aca="false">IF($F56="我方收款",N(IFERROR(INDEX(业务流水!$H$5:$H$1504,MATCH(51,业务流水!$X$5:$X$1504,0)),"")),0)</f>
        <v>70000</v>
      </c>
      <c r="I56" s="42" t="n">
        <f aca="false">IF($B56="","",SUMIFS($G$6:$G56,$E$6:$E56,$E56)-SUMIFS($H$6:$H56,$E$6:$E56,$E56))</f>
        <v>16103.2</v>
      </c>
      <c r="J56" s="40" t="str">
        <f aca="false">IFERROR(INDEX(业务流水!$J$5:$J$1504,MATCH(51,业务流水!$X$5:$X$1504,0)),"")</f>
        <v>2026.7.28民能代付工资：金湖东西电缆改造（安装）</v>
      </c>
    </row>
    <row r="57" customFormat="false" ht="15.75" hidden="false" customHeight="true" outlineLevel="0" collapsed="false">
      <c r="A57" s="32" t="n">
        <f aca="false">IF($B57="","",52)</f>
        <v>52</v>
      </c>
      <c r="B57" s="50" t="n">
        <f aca="false">IFERROR(INDEX(业务流水!$B$5:$B$1504,MATCH(52,业务流水!$X$5:$X$1504,0)),"")</f>
        <v>46231</v>
      </c>
      <c r="C57" s="32" t="str">
        <f aca="false">IFERROR(INDEX(业务流水!$C$5:$C$1504,MATCH(52,业务流水!$X$5:$X$1504,0)),"")</f>
        <v>A020</v>
      </c>
      <c r="D57" s="40" t="str">
        <f aca="false">IFERROR(INDEX(业务流水!$M$5:$M$1504,MATCH(52,业务流水!$X$5:$X$1504,0)),"")</f>
        <v>重庆民能实业有限公司2025-2026年度工程用施工机具等租赁服务框架采购（国网重庆铜梁公司110kV金湖东西电缆改造）</v>
      </c>
      <c r="E57" s="32" t="str">
        <f aca="false">IF($B57="","",IF(IFERROR(INDEX(业务流水!$D$5:$D$1504,MATCH(52,业务流水!$X$5:$X$1504,0)),"")="挂靠代收",IFERROR(INDEX(业务流水!$F$5:$F$1504,MATCH(52,业务流水!$X$5:$X$1504,0)),""),IFERROR(INDEX(业务流水!$E$5:$E$1504,MATCH(52,业务流水!$X$5:$X$1504,0)),"")))</f>
        <v>康欣</v>
      </c>
      <c r="F57" s="32" t="str">
        <f aca="false">IFERROR(INDEX(业务流水!$D$5:$D$1504,MATCH(52,业务流水!$X$5:$X$1504,0)),"")</f>
        <v>挂靠代收</v>
      </c>
      <c r="G57" s="41" t="n">
        <f aca="false">IF($F57="挂靠代收",N(IFERROR(INDEX(业务流水!$H$5:$H$1504,MATCH(52,业务流水!$X$5:$X$1504,0)),"")),0)</f>
        <v>32000</v>
      </c>
      <c r="H57" s="41" t="n">
        <f aca="false">IF($F57="我方收款",N(IFERROR(INDEX(业务流水!$H$5:$H$1504,MATCH(52,业务流水!$X$5:$X$1504,0)),"")),0)</f>
        <v>0</v>
      </c>
      <c r="I57" s="42" t="n">
        <f aca="false">IF($B57="","",SUMIFS($G$6:$G57,$E$6:$E57,$E57)-SUMIFS($H$6:$H57,$E$6:$E57,$E57))</f>
        <v>48103.2</v>
      </c>
      <c r="J57" s="40" t="str">
        <f aca="false">IFERROR(INDEX(业务流水!$J$5:$J$1504,MATCH(52,业务流水!$X$5:$X$1504,0)),"")</f>
        <v>2026.7.28民能代付工资：金湖东西电缆改造
（土建）</v>
      </c>
    </row>
    <row r="58" customFormat="false" ht="15.75" hidden="false" customHeight="true" outlineLevel="0" collapsed="false">
      <c r="A58" s="32" t="n">
        <f aca="false">IF($B58="","",53)</f>
        <v>53</v>
      </c>
      <c r="B58" s="50" t="n">
        <f aca="false">IFERROR(INDEX(业务流水!$B$5:$B$1504,MATCH(53,业务流水!$X$5:$X$1504,0)),"")</f>
        <v>46231</v>
      </c>
      <c r="C58" s="32" t="str">
        <f aca="false">IFERROR(INDEX(业务流水!$C$5:$C$1504,MATCH(53,业务流水!$X$5:$X$1504,0)),"")</f>
        <v>A020</v>
      </c>
      <c r="D58" s="40" t="str">
        <f aca="false">IFERROR(INDEX(业务流水!$M$5:$M$1504,MATCH(53,业务流水!$X$5:$X$1504,0)),"")</f>
        <v>重庆民能实业有限公司2025-2026年度工程用施工机具等租赁服务框架采购（国网重庆铜梁公司110kV金湖东西电缆改造）</v>
      </c>
      <c r="E58" s="32" t="str">
        <f aca="false">IF($B58="","",IF(IFERROR(INDEX(业务流水!$D$5:$D$1504,MATCH(53,业务流水!$X$5:$X$1504,0)),"")="挂靠代收",IFERROR(INDEX(业务流水!$F$5:$F$1504,MATCH(53,业务流水!$X$5:$X$1504,0)),""),IFERROR(INDEX(业务流水!$E$5:$E$1504,MATCH(53,业务流水!$X$5:$X$1504,0)),"")))</f>
        <v>康欣</v>
      </c>
      <c r="F58" s="32" t="str">
        <f aca="false">IFERROR(INDEX(业务流水!$D$5:$D$1504,MATCH(53,业务流水!$X$5:$X$1504,0)),"")</f>
        <v>我方收款</v>
      </c>
      <c r="G58" s="41" t="n">
        <f aca="false">IF($F58="挂靠代收",N(IFERROR(INDEX(业务流水!$H$5:$H$1504,MATCH(53,业务流水!$X$5:$X$1504,0)),"")),0)</f>
        <v>0</v>
      </c>
      <c r="H58" s="41" t="n">
        <f aca="false">IF($F58="我方收款",N(IFERROR(INDEX(业务流水!$H$5:$H$1504,MATCH(53,业务流水!$X$5:$X$1504,0)),"")),0)</f>
        <v>32000</v>
      </c>
      <c r="I58" s="42" t="n">
        <f aca="false">IF($B58="","",SUMIFS($G$6:$G58,$E$6:$E58,$E58)-SUMIFS($H$6:$H58,$E$6:$E58,$E58))</f>
        <v>16103.2</v>
      </c>
      <c r="J58" s="40" t="str">
        <f aca="false">IFERROR(INDEX(业务流水!$J$5:$J$1504,MATCH(53,业务流水!$X$5:$X$1504,0)),"")</f>
        <v>2026.7.28民能代付工资：金湖东西电缆改造
（土建）</v>
      </c>
    </row>
    <row r="59" customFormat="false" ht="15.75" hidden="false" customHeight="true" outlineLevel="0" collapsed="false">
      <c r="A59" s="32" t="n">
        <f aca="false">IF($B59="","",54)</f>
        <v>54</v>
      </c>
      <c r="B59" s="50" t="n">
        <f aca="false">IFERROR(INDEX(业务流水!$B$5:$B$1504,MATCH(54,业务流水!$X$5:$X$1504,0)),"")</f>
        <v>46231</v>
      </c>
      <c r="C59" s="32" t="str">
        <f aca="false">IFERROR(INDEX(业务流水!$C$5:$C$1504,MATCH(54,业务流水!$X$5:$X$1504,0)),"")</f>
        <v>A002</v>
      </c>
      <c r="D59" s="40" t="str">
        <f aca="false">IFERROR(INDEX(业务流水!$M$5:$M$1504,MATCH(54,业务流水!$X$5:$X$1504,0)),"")</f>
        <v>重庆铜梁10kV梧桐村4.5.6社台区重过载治理工程等23个项目(2025年配网6批、业扩5批民能施工）(重庆铜梁10kV侣新线凤飞7社台区重过载治理工程)</v>
      </c>
      <c r="E59" s="32" t="str">
        <f aca="false">IF($B59="","",IF(IFERROR(INDEX(业务流水!$D$5:$D$1504,MATCH(54,业务流水!$X$5:$X$1504,0)),"")="挂靠代收",IFERROR(INDEX(业务流水!$F$5:$F$1504,MATCH(54,业务流水!$X$5:$X$1504,0)),""),IFERROR(INDEX(业务流水!$E$5:$E$1504,MATCH(54,业务流水!$X$5:$X$1504,0)),"")))</f>
        <v>康欣</v>
      </c>
      <c r="F59" s="32" t="str">
        <f aca="false">IFERROR(INDEX(业务流水!$D$5:$D$1504,MATCH(54,业务流水!$X$5:$X$1504,0)),"")</f>
        <v>挂靠代收</v>
      </c>
      <c r="G59" s="41" t="n">
        <f aca="false">IF($F59="挂靠代收",N(IFERROR(INDEX(业务流水!$H$5:$H$1504,MATCH(54,业务流水!$X$5:$X$1504,0)),"")),0)</f>
        <v>20250</v>
      </c>
      <c r="H59" s="41" t="n">
        <f aca="false">IF($F59="我方收款",N(IFERROR(INDEX(业务流水!$H$5:$H$1504,MATCH(54,业务流水!$X$5:$X$1504,0)),"")),0)</f>
        <v>0</v>
      </c>
      <c r="I59" s="42" t="n">
        <f aca="false">IF($B59="","",SUMIFS($G$6:$G59,$E$6:$E59,$E59)-SUMIFS($H$6:$H59,$E$6:$E59,$E59))</f>
        <v>36353.2</v>
      </c>
      <c r="J59" s="40" t="str">
        <f aca="false">IFERROR(INDEX(业务流水!$J$5:$J$1504,MATCH(54,业务流水!$X$5:$X$1504,0)),"")</f>
        <v>2026.7.28民能代付工资：侣新线铜安1社</v>
      </c>
    </row>
    <row r="60" customFormat="false" ht="15.75" hidden="false" customHeight="true" outlineLevel="0" collapsed="false">
      <c r="A60" s="32" t="n">
        <f aca="false">IF($B60="","",55)</f>
        <v>55</v>
      </c>
      <c r="B60" s="50" t="n">
        <f aca="false">IFERROR(INDEX(业务流水!$B$5:$B$1504,MATCH(55,业务流水!$X$5:$X$1504,0)),"")</f>
        <v>46231</v>
      </c>
      <c r="C60" s="32" t="str">
        <f aca="false">IFERROR(INDEX(业务流水!$C$5:$C$1504,MATCH(55,业务流水!$X$5:$X$1504,0)),"")</f>
        <v>A002</v>
      </c>
      <c r="D60" s="40" t="str">
        <f aca="false">IFERROR(INDEX(业务流水!$M$5:$M$1504,MATCH(55,业务流水!$X$5:$X$1504,0)),"")</f>
        <v>重庆铜梁10kV梧桐村4.5.6社台区重过载治理工程等23个项目(2025年配网6批、业扩5批民能施工）(重庆铜梁10kV侣新线凤飞7社台区重过载治理工程)</v>
      </c>
      <c r="E60" s="32" t="str">
        <f aca="false">IF($B60="","",IF(IFERROR(INDEX(业务流水!$D$5:$D$1504,MATCH(55,业务流水!$X$5:$X$1504,0)),"")="挂靠代收",IFERROR(INDEX(业务流水!$F$5:$F$1504,MATCH(55,业务流水!$X$5:$X$1504,0)),""),IFERROR(INDEX(业务流水!$E$5:$E$1504,MATCH(55,业务流水!$X$5:$X$1504,0)),"")))</f>
        <v>康欣</v>
      </c>
      <c r="F60" s="32" t="str">
        <f aca="false">IFERROR(INDEX(业务流水!$D$5:$D$1504,MATCH(55,业务流水!$X$5:$X$1504,0)),"")</f>
        <v>我方收款</v>
      </c>
      <c r="G60" s="41" t="n">
        <f aca="false">IF($F60="挂靠代收",N(IFERROR(INDEX(业务流水!$H$5:$H$1504,MATCH(55,业务流水!$X$5:$X$1504,0)),"")),0)</f>
        <v>0</v>
      </c>
      <c r="H60" s="41" t="n">
        <f aca="false">IF($F60="我方收款",N(IFERROR(INDEX(业务流水!$H$5:$H$1504,MATCH(55,业务流水!$X$5:$X$1504,0)),"")),0)</f>
        <v>20250</v>
      </c>
      <c r="I60" s="42" t="n">
        <f aca="false">IF($B60="","",SUMIFS($G$6:$G60,$E$6:$E60,$E60)-SUMIFS($H$6:$H60,$E$6:$E60,$E60))</f>
        <v>16103.2</v>
      </c>
      <c r="J60" s="40" t="str">
        <f aca="false">IFERROR(INDEX(业务流水!$J$5:$J$1504,MATCH(55,业务流水!$X$5:$X$1504,0)),"")</f>
        <v>2026.7.28民能代付工资：侣新线铜安1社</v>
      </c>
    </row>
    <row r="61" customFormat="false" ht="15.75" hidden="false" customHeight="true" outlineLevel="0" collapsed="false">
      <c r="A61" s="32" t="n">
        <f aca="false">IF($B61="","",56)</f>
        <v>56</v>
      </c>
      <c r="B61" s="50" t="n">
        <f aca="false">IFERROR(INDEX(业务流水!$B$5:$B$1504,MATCH(56,业务流水!$X$5:$X$1504,0)),"")</f>
        <v>46231</v>
      </c>
      <c r="C61" s="32" t="str">
        <f aca="false">IFERROR(INDEX(业务流水!$C$5:$C$1504,MATCH(56,业务流水!$X$5:$X$1504,0)),"")</f>
        <v>A002</v>
      </c>
      <c r="D61" s="40" t="str">
        <f aca="false">IFERROR(INDEX(业务流水!$M$5:$M$1504,MATCH(56,业务流水!$X$5:$X$1504,0)),"")</f>
        <v>重庆铜梁10kV梧桐村4.5.6社台区重过载治理工程等23个项目(2025年配网6批、业扩5批民能施工）(重庆铜梁10kV侣新线凤飞7社台区重过载治理工程)</v>
      </c>
      <c r="E61" s="32" t="str">
        <f aca="false">IF($B61="","",IF(IFERROR(INDEX(业务流水!$D$5:$D$1504,MATCH(56,业务流水!$X$5:$X$1504,0)),"")="挂靠代收",IFERROR(INDEX(业务流水!$F$5:$F$1504,MATCH(56,业务流水!$X$5:$X$1504,0)),""),IFERROR(INDEX(业务流水!$E$5:$E$1504,MATCH(56,业务流水!$X$5:$X$1504,0)),"")))</f>
        <v>康欣</v>
      </c>
      <c r="F61" s="32" t="str">
        <f aca="false">IFERROR(INDEX(业务流水!$D$5:$D$1504,MATCH(56,业务流水!$X$5:$X$1504,0)),"")</f>
        <v>挂靠代收</v>
      </c>
      <c r="G61" s="41" t="n">
        <f aca="false">IF($F61="挂靠代收",N(IFERROR(INDEX(业务流水!$H$5:$H$1504,MATCH(56,业务流水!$X$5:$X$1504,0)),"")),0)</f>
        <v>15690</v>
      </c>
      <c r="H61" s="41" t="n">
        <f aca="false">IF($F61="我方收款",N(IFERROR(INDEX(业务流水!$H$5:$H$1504,MATCH(56,业务流水!$X$5:$X$1504,0)),"")),0)</f>
        <v>0</v>
      </c>
      <c r="I61" s="42" t="n">
        <f aca="false">IF($B61="","",SUMIFS($G$6:$G61,$E$6:$E61,$E61)-SUMIFS($H$6:$H61,$E$6:$E61,$E61))</f>
        <v>31793.2</v>
      </c>
      <c r="J61" s="40" t="str">
        <f aca="false">IFERROR(INDEX(业务流水!$J$5:$J$1504,MATCH(56,业务流水!$X$5:$X$1504,0)),"")</f>
        <v>2026.7.28民能代付工资：侣新线铜安9社</v>
      </c>
    </row>
    <row r="62" customFormat="false" ht="15.75" hidden="false" customHeight="true" outlineLevel="0" collapsed="false">
      <c r="A62" s="32" t="n">
        <f aca="false">IF($B62="","",57)</f>
        <v>57</v>
      </c>
      <c r="B62" s="50" t="n">
        <f aca="false">IFERROR(INDEX(业务流水!$B$5:$B$1504,MATCH(57,业务流水!$X$5:$X$1504,0)),"")</f>
        <v>46231</v>
      </c>
      <c r="C62" s="32" t="str">
        <f aca="false">IFERROR(INDEX(业务流水!$C$5:$C$1504,MATCH(57,业务流水!$X$5:$X$1504,0)),"")</f>
        <v>A002</v>
      </c>
      <c r="D62" s="40" t="str">
        <f aca="false">IFERROR(INDEX(业务流水!$M$5:$M$1504,MATCH(57,业务流水!$X$5:$X$1504,0)),"")</f>
        <v>重庆铜梁10kV梧桐村4.5.6社台区重过载治理工程等23个项目(2025年配网6批、业扩5批民能施工）(重庆铜梁10kV侣新线凤飞7社台区重过载治理工程)</v>
      </c>
      <c r="E62" s="32" t="str">
        <f aca="false">IF($B62="","",IF(IFERROR(INDEX(业务流水!$D$5:$D$1504,MATCH(57,业务流水!$X$5:$X$1504,0)),"")="挂靠代收",IFERROR(INDEX(业务流水!$F$5:$F$1504,MATCH(57,业务流水!$X$5:$X$1504,0)),""),IFERROR(INDEX(业务流水!$E$5:$E$1504,MATCH(57,业务流水!$X$5:$X$1504,0)),"")))</f>
        <v>康欣</v>
      </c>
      <c r="F62" s="32" t="str">
        <f aca="false">IFERROR(INDEX(业务流水!$D$5:$D$1504,MATCH(57,业务流水!$X$5:$X$1504,0)),"")</f>
        <v>我方收款</v>
      </c>
      <c r="G62" s="41" t="n">
        <f aca="false">IF($F62="挂靠代收",N(IFERROR(INDEX(业务流水!$H$5:$H$1504,MATCH(57,业务流水!$X$5:$X$1504,0)),"")),0)</f>
        <v>0</v>
      </c>
      <c r="H62" s="41" t="n">
        <f aca="false">IF($F62="我方收款",N(IFERROR(INDEX(业务流水!$H$5:$H$1504,MATCH(57,业务流水!$X$5:$X$1504,0)),"")),0)</f>
        <v>15690</v>
      </c>
      <c r="I62" s="42" t="n">
        <f aca="false">IF($B62="","",SUMIFS($G$6:$G62,$E$6:$E62,$E62)-SUMIFS($H$6:$H62,$E$6:$E62,$E62))</f>
        <v>16103.2</v>
      </c>
      <c r="J62" s="40" t="str">
        <f aca="false">IFERROR(INDEX(业务流水!$J$5:$J$1504,MATCH(57,业务流水!$X$5:$X$1504,0)),"")</f>
        <v>2026.7.28民能代付工资：侣新线铜安9社</v>
      </c>
    </row>
    <row r="63" customFormat="false" ht="15.75" hidden="false" customHeight="true" outlineLevel="0" collapsed="false">
      <c r="A63" s="32" t="n">
        <f aca="false">IF($B63="","",58)</f>
        <v>58</v>
      </c>
      <c r="B63" s="50" t="n">
        <f aca="false">IFERROR(INDEX(业务流水!$B$5:$B$1504,MATCH(58,业务流水!$X$5:$X$1504,0)),"")</f>
        <v>46231</v>
      </c>
      <c r="C63" s="32" t="str">
        <f aca="false">IFERROR(INDEX(业务流水!$C$5:$C$1504,MATCH(58,业务流水!$X$5:$X$1504,0)),"")</f>
        <v>A002</v>
      </c>
      <c r="D63" s="40" t="str">
        <f aca="false">IFERROR(INDEX(业务流水!$M$5:$M$1504,MATCH(58,业务流水!$X$5:$X$1504,0)),"")</f>
        <v>重庆铜梁10kV梧桐村4.5.6社台区重过载治理工程等23个项目(2025年配网6批、业扩5批民能施工）(重庆铜梁10kV侣新线凤飞7社台区重过载治理工程)</v>
      </c>
      <c r="E63" s="32" t="str">
        <f aca="false">IF($B63="","",IF(IFERROR(INDEX(业务流水!$D$5:$D$1504,MATCH(58,业务流水!$X$5:$X$1504,0)),"")="挂靠代收",IFERROR(INDEX(业务流水!$F$5:$F$1504,MATCH(58,业务流水!$X$5:$X$1504,0)),""),IFERROR(INDEX(业务流水!$E$5:$E$1504,MATCH(58,业务流水!$X$5:$X$1504,0)),"")))</f>
        <v>康欣</v>
      </c>
      <c r="F63" s="32" t="str">
        <f aca="false">IFERROR(INDEX(业务流水!$D$5:$D$1504,MATCH(58,业务流水!$X$5:$X$1504,0)),"")</f>
        <v>挂靠代收</v>
      </c>
      <c r="G63" s="41" t="n">
        <f aca="false">IF($F63="挂靠代收",N(IFERROR(INDEX(业务流水!$H$5:$H$1504,MATCH(58,业务流水!$X$5:$X$1504,0)),"")),0)</f>
        <v>3500</v>
      </c>
      <c r="H63" s="41" t="n">
        <f aca="false">IF($F63="我方收款",N(IFERROR(INDEX(业务流水!$H$5:$H$1504,MATCH(58,业务流水!$X$5:$X$1504,0)),"")),0)</f>
        <v>0</v>
      </c>
      <c r="I63" s="42" t="n">
        <f aca="false">IF($B63="","",SUMIFS($G$6:$G63,$E$6:$E63,$E63)-SUMIFS($H$6:$H63,$E$6:$E63,$E63))</f>
        <v>19603.2</v>
      </c>
      <c r="J63" s="40" t="str">
        <f aca="false">IFERROR(INDEX(业务流水!$J$5:$J$1504,MATCH(58,业务流水!$X$5:$X$1504,0)),"")</f>
        <v>2026.7.28民能代付工资：平双线群益7社</v>
      </c>
    </row>
    <row r="64" customFormat="false" ht="15.75" hidden="false" customHeight="true" outlineLevel="0" collapsed="false">
      <c r="A64" s="32" t="n">
        <f aca="false">IF($B64="","",59)</f>
        <v>59</v>
      </c>
      <c r="B64" s="50" t="n">
        <f aca="false">IFERROR(INDEX(业务流水!$B$5:$B$1504,MATCH(59,业务流水!$X$5:$X$1504,0)),"")</f>
        <v>46231</v>
      </c>
      <c r="C64" s="32" t="str">
        <f aca="false">IFERROR(INDEX(业务流水!$C$5:$C$1504,MATCH(59,业务流水!$X$5:$X$1504,0)),"")</f>
        <v>A002</v>
      </c>
      <c r="D64" s="40" t="str">
        <f aca="false">IFERROR(INDEX(业务流水!$M$5:$M$1504,MATCH(59,业务流水!$X$5:$X$1504,0)),"")</f>
        <v>重庆铜梁10kV梧桐村4.5.6社台区重过载治理工程等23个项目(2025年配网6批、业扩5批民能施工）(重庆铜梁10kV侣新线凤飞7社台区重过载治理工程)</v>
      </c>
      <c r="E64" s="32" t="str">
        <f aca="false">IF($B64="","",IF(IFERROR(INDEX(业务流水!$D$5:$D$1504,MATCH(59,业务流水!$X$5:$X$1504,0)),"")="挂靠代收",IFERROR(INDEX(业务流水!$F$5:$F$1504,MATCH(59,业务流水!$X$5:$X$1504,0)),""),IFERROR(INDEX(业务流水!$E$5:$E$1504,MATCH(59,业务流水!$X$5:$X$1504,0)),"")))</f>
        <v>康欣</v>
      </c>
      <c r="F64" s="32" t="str">
        <f aca="false">IFERROR(INDEX(业务流水!$D$5:$D$1504,MATCH(59,业务流水!$X$5:$X$1504,0)),"")</f>
        <v>我方收款</v>
      </c>
      <c r="G64" s="41" t="n">
        <f aca="false">IF($F64="挂靠代收",N(IFERROR(INDEX(业务流水!$H$5:$H$1504,MATCH(59,业务流水!$X$5:$X$1504,0)),"")),0)</f>
        <v>0</v>
      </c>
      <c r="H64" s="41" t="n">
        <f aca="false">IF($F64="我方收款",N(IFERROR(INDEX(业务流水!$H$5:$H$1504,MATCH(59,业务流水!$X$5:$X$1504,0)),"")),0)</f>
        <v>3500</v>
      </c>
      <c r="I64" s="42" t="n">
        <f aca="false">IF($B64="","",SUMIFS($G$6:$G64,$E$6:$E64,$E64)-SUMIFS($H$6:$H64,$E$6:$E64,$E64))</f>
        <v>16103.2</v>
      </c>
      <c r="J64" s="40" t="str">
        <f aca="false">IFERROR(INDEX(业务流水!$J$5:$J$1504,MATCH(59,业务流水!$X$5:$X$1504,0)),"")</f>
        <v>2026.7.28民能代付工资：平双线群益7社</v>
      </c>
    </row>
    <row r="65" customFormat="false" ht="15.75" hidden="false" customHeight="true" outlineLevel="0" collapsed="false">
      <c r="A65" s="32" t="n">
        <f aca="false">IF($B65="","",60)</f>
        <v>60</v>
      </c>
      <c r="B65" s="50" t="n">
        <f aca="false">IFERROR(INDEX(业务流水!$B$5:$B$1504,MATCH(60,业务流水!$X$5:$X$1504,0)),"")</f>
        <v>46231</v>
      </c>
      <c r="C65" s="32" t="str">
        <f aca="false">IFERROR(INDEX(业务流水!$C$5:$C$1504,MATCH(60,业务流水!$X$5:$X$1504,0)),"")</f>
        <v>A002</v>
      </c>
      <c r="D65" s="40" t="str">
        <f aca="false">IFERROR(INDEX(业务流水!$M$5:$M$1504,MATCH(60,业务流水!$X$5:$X$1504,0)),"")</f>
        <v>重庆铜梁10kV梧桐村4.5.6社台区重过载治理工程等23个项目(2025年配网6批、业扩5批民能施工）(重庆铜梁10kV侣新线凤飞7社台区重过载治理工程)</v>
      </c>
      <c r="E65" s="32" t="str">
        <f aca="false">IF($B65="","",IF(IFERROR(INDEX(业务流水!$D$5:$D$1504,MATCH(60,业务流水!$X$5:$X$1504,0)),"")="挂靠代收",IFERROR(INDEX(业务流水!$F$5:$F$1504,MATCH(60,业务流水!$X$5:$X$1504,0)),""),IFERROR(INDEX(业务流水!$E$5:$E$1504,MATCH(60,业务流水!$X$5:$X$1504,0)),"")))</f>
        <v>康欣</v>
      </c>
      <c r="F65" s="32" t="str">
        <f aca="false">IFERROR(INDEX(业务流水!$D$5:$D$1504,MATCH(60,业务流水!$X$5:$X$1504,0)),"")</f>
        <v>挂靠代收</v>
      </c>
      <c r="G65" s="41" t="n">
        <f aca="false">IF($F65="挂靠代收",N(IFERROR(INDEX(业务流水!$H$5:$H$1504,MATCH(60,业务流水!$X$5:$X$1504,0)),"")),0)</f>
        <v>9120</v>
      </c>
      <c r="H65" s="41" t="n">
        <f aca="false">IF($F65="我方收款",N(IFERROR(INDEX(业务流水!$H$5:$H$1504,MATCH(60,业务流水!$X$5:$X$1504,0)),"")),0)</f>
        <v>0</v>
      </c>
      <c r="I65" s="42" t="n">
        <f aca="false">IF($B65="","",SUMIFS($G$6:$G65,$E$6:$E65,$E65)-SUMIFS($H$6:$H65,$E$6:$E65,$E65))</f>
        <v>25223.2</v>
      </c>
      <c r="J65" s="40" t="str">
        <f aca="false">IFERROR(INDEX(业务流水!$J$5:$J$1504,MATCH(60,业务流水!$X$5:$X$1504,0)),"")</f>
        <v>2026.7.28民能代付工资：平镇线新桥社台</v>
      </c>
    </row>
    <row r="66" customFormat="false" ht="15.75" hidden="false" customHeight="true" outlineLevel="0" collapsed="false">
      <c r="A66" s="32" t="n">
        <f aca="false">IF($B66="","",61)</f>
        <v>61</v>
      </c>
      <c r="B66" s="50" t="n">
        <f aca="false">IFERROR(INDEX(业务流水!$B$5:$B$1504,MATCH(61,业务流水!$X$5:$X$1504,0)),"")</f>
        <v>46231</v>
      </c>
      <c r="C66" s="32" t="str">
        <f aca="false">IFERROR(INDEX(业务流水!$C$5:$C$1504,MATCH(61,业务流水!$X$5:$X$1504,0)),"")</f>
        <v>A002</v>
      </c>
      <c r="D66" s="40" t="str">
        <f aca="false">IFERROR(INDEX(业务流水!$M$5:$M$1504,MATCH(61,业务流水!$X$5:$X$1504,0)),"")</f>
        <v>重庆铜梁10kV梧桐村4.5.6社台区重过载治理工程等23个项目(2025年配网6批、业扩5批民能施工）(重庆铜梁10kV侣新线凤飞7社台区重过载治理工程)</v>
      </c>
      <c r="E66" s="32" t="str">
        <f aca="false">IF($B66="","",IF(IFERROR(INDEX(业务流水!$D$5:$D$1504,MATCH(61,业务流水!$X$5:$X$1504,0)),"")="挂靠代收",IFERROR(INDEX(业务流水!$F$5:$F$1504,MATCH(61,业务流水!$X$5:$X$1504,0)),""),IFERROR(INDEX(业务流水!$E$5:$E$1504,MATCH(61,业务流水!$X$5:$X$1504,0)),"")))</f>
        <v>康欣</v>
      </c>
      <c r="F66" s="32" t="str">
        <f aca="false">IFERROR(INDEX(业务流水!$D$5:$D$1504,MATCH(61,业务流水!$X$5:$X$1504,0)),"")</f>
        <v>我方收款</v>
      </c>
      <c r="G66" s="41" t="n">
        <f aca="false">IF($F66="挂靠代收",N(IFERROR(INDEX(业务流水!$H$5:$H$1504,MATCH(61,业务流水!$X$5:$X$1504,0)),"")),0)</f>
        <v>0</v>
      </c>
      <c r="H66" s="41" t="n">
        <f aca="false">IF($F66="我方收款",N(IFERROR(INDEX(业务流水!$H$5:$H$1504,MATCH(61,业务流水!$X$5:$X$1504,0)),"")),0)</f>
        <v>9120</v>
      </c>
      <c r="I66" s="42" t="n">
        <f aca="false">IF($B66="","",SUMIFS($G$6:$G66,$E$6:$E66,$E66)-SUMIFS($H$6:$H66,$E$6:$E66,$E66))</f>
        <v>16103.2</v>
      </c>
      <c r="J66" s="40" t="str">
        <f aca="false">IFERROR(INDEX(业务流水!$J$5:$J$1504,MATCH(61,业务流水!$X$5:$X$1504,0)),"")</f>
        <v>2026.7.28民能代付工资：平镇线新桥社台</v>
      </c>
    </row>
    <row r="67" customFormat="false" ht="15.75" hidden="false" customHeight="true" outlineLevel="0" collapsed="false">
      <c r="A67" s="32" t="n">
        <f aca="false">IF($B67="","",62)</f>
        <v>62</v>
      </c>
      <c r="B67" s="50" t="n">
        <f aca="false">IFERROR(INDEX(业务流水!$B$5:$B$1504,MATCH(62,业务流水!$X$5:$X$1504,0)),"")</f>
        <v>46231</v>
      </c>
      <c r="C67" s="32" t="str">
        <f aca="false">IFERROR(INDEX(业务流水!$C$5:$C$1504,MATCH(62,业务流水!$X$5:$X$1504,0)),"")</f>
        <v>A002</v>
      </c>
      <c r="D67" s="40" t="str">
        <f aca="false">IFERROR(INDEX(业务流水!$M$5:$M$1504,MATCH(62,业务流水!$X$5:$X$1504,0)),"")</f>
        <v>重庆铜梁10kV梧桐村4.5.6社台区重过载治理工程等23个项目(2025年配网6批、业扩5批民能施工）(重庆铜梁10kV侣新线凤飞7社台区重过载治理工程)</v>
      </c>
      <c r="E67" s="32" t="str">
        <f aca="false">IF($B67="","",IF(IFERROR(INDEX(业务流水!$D$5:$D$1504,MATCH(62,业务流水!$X$5:$X$1504,0)),"")="挂靠代收",IFERROR(INDEX(业务流水!$F$5:$F$1504,MATCH(62,业务流水!$X$5:$X$1504,0)),""),IFERROR(INDEX(业务流水!$E$5:$E$1504,MATCH(62,业务流水!$X$5:$X$1504,0)),"")))</f>
        <v>康欣</v>
      </c>
      <c r="F67" s="32" t="str">
        <f aca="false">IFERROR(INDEX(业务流水!$D$5:$D$1504,MATCH(62,业务流水!$X$5:$X$1504,0)),"")</f>
        <v>挂靠代收</v>
      </c>
      <c r="G67" s="41" t="n">
        <f aca="false">IF($F67="挂靠代收",N(IFERROR(INDEX(业务流水!$H$5:$H$1504,MATCH(62,业务流水!$X$5:$X$1504,0)),"")),0)</f>
        <v>11400</v>
      </c>
      <c r="H67" s="41" t="n">
        <f aca="false">IF($F67="我方收款",N(IFERROR(INDEX(业务流水!$H$5:$H$1504,MATCH(62,业务流水!$X$5:$X$1504,0)),"")),0)</f>
        <v>0</v>
      </c>
      <c r="I67" s="42" t="n">
        <f aca="false">IF($B67="","",SUMIFS($G$6:$G67,$E$6:$E67,$E67)-SUMIFS($H$6:$H67,$E$6:$E67,$E67))</f>
        <v>27503.2</v>
      </c>
      <c r="J67" s="40" t="str">
        <f aca="false">IFERROR(INDEX(业务流水!$J$5:$J$1504,MATCH(62,业务流水!$X$5:$X$1504,0)),"")</f>
        <v>2026.7.28民能代付工资：侣新线凤飞7社</v>
      </c>
    </row>
    <row r="68" customFormat="false" ht="15.75" hidden="false" customHeight="true" outlineLevel="0" collapsed="false">
      <c r="A68" s="32" t="n">
        <f aca="false">IF($B68="","",63)</f>
        <v>63</v>
      </c>
      <c r="B68" s="50" t="n">
        <f aca="false">IFERROR(INDEX(业务流水!$B$5:$B$1504,MATCH(63,业务流水!$X$5:$X$1504,0)),"")</f>
        <v>46231</v>
      </c>
      <c r="C68" s="32" t="str">
        <f aca="false">IFERROR(INDEX(业务流水!$C$5:$C$1504,MATCH(63,业务流水!$X$5:$X$1504,0)),"")</f>
        <v>A002</v>
      </c>
      <c r="D68" s="40" t="str">
        <f aca="false">IFERROR(INDEX(业务流水!$M$5:$M$1504,MATCH(63,业务流水!$X$5:$X$1504,0)),"")</f>
        <v>重庆铜梁10kV梧桐村4.5.6社台区重过载治理工程等23个项目(2025年配网6批、业扩5批民能施工）(重庆铜梁10kV侣新线凤飞7社台区重过载治理工程)</v>
      </c>
      <c r="E68" s="32" t="str">
        <f aca="false">IF($B68="","",IF(IFERROR(INDEX(业务流水!$D$5:$D$1504,MATCH(63,业务流水!$X$5:$X$1504,0)),"")="挂靠代收",IFERROR(INDEX(业务流水!$F$5:$F$1504,MATCH(63,业务流水!$X$5:$X$1504,0)),""),IFERROR(INDEX(业务流水!$E$5:$E$1504,MATCH(63,业务流水!$X$5:$X$1504,0)),"")))</f>
        <v>康欣</v>
      </c>
      <c r="F68" s="32" t="str">
        <f aca="false">IFERROR(INDEX(业务流水!$D$5:$D$1504,MATCH(63,业务流水!$X$5:$X$1504,0)),"")</f>
        <v>我方收款</v>
      </c>
      <c r="G68" s="41" t="n">
        <f aca="false">IF($F68="挂靠代收",N(IFERROR(INDEX(业务流水!$H$5:$H$1504,MATCH(63,业务流水!$X$5:$X$1504,0)),"")),0)</f>
        <v>0</v>
      </c>
      <c r="H68" s="41" t="n">
        <f aca="false">IF($F68="我方收款",N(IFERROR(INDEX(业务流水!$H$5:$H$1504,MATCH(63,业务流水!$X$5:$X$1504,0)),"")),0)</f>
        <v>11400</v>
      </c>
      <c r="I68" s="42" t="n">
        <f aca="false">IF($B68="","",SUMIFS($G$6:$G68,$E$6:$E68,$E68)-SUMIFS($H$6:$H68,$E$6:$E68,$E68))</f>
        <v>16103.2</v>
      </c>
      <c r="J68" s="40" t="str">
        <f aca="false">IFERROR(INDEX(业务流水!$J$5:$J$1504,MATCH(63,业务流水!$X$5:$X$1504,0)),"")</f>
        <v>2026.7.28民能代付工资：侣新线凤飞7社</v>
      </c>
    </row>
    <row r="69" customFormat="false" ht="15.75" hidden="false" customHeight="true" outlineLevel="0" collapsed="false">
      <c r="A69" s="32" t="n">
        <f aca="false">IF($B69="","",64)</f>
        <v>64</v>
      </c>
      <c r="B69" s="50" t="n">
        <f aca="false">IFERROR(INDEX(业务流水!$B$5:$B$1504,MATCH(64,业务流水!$X$5:$X$1504,0)),"")</f>
        <v>46231</v>
      </c>
      <c r="C69" s="32" t="str">
        <f aca="false">IFERROR(INDEX(业务流水!$C$5:$C$1504,MATCH(64,业务流水!$X$5:$X$1504,0)),"")</f>
        <v>A020</v>
      </c>
      <c r="D69" s="40" t="str">
        <f aca="false">IFERROR(INDEX(业务流水!$M$5:$M$1504,MATCH(64,业务流水!$X$5:$X$1504,0)),"")</f>
        <v>重庆民能实业有限公司2025-2026年度工程用施工机具等租赁服务框架采购（国网重庆铜梁公司110kV金湖东西电缆改造）</v>
      </c>
      <c r="E69" s="32" t="str">
        <f aca="false">IF($B69="","",IF(IFERROR(INDEX(业务流水!$D$5:$D$1504,MATCH(64,业务流水!$X$5:$X$1504,0)),"")="挂靠代收",IFERROR(INDEX(业务流水!$F$5:$F$1504,MATCH(64,业务流水!$X$5:$X$1504,0)),""),IFERROR(INDEX(业务流水!$E$5:$E$1504,MATCH(64,业务流水!$X$5:$X$1504,0)),"")))</f>
        <v>金沁</v>
      </c>
      <c r="F69" s="32" t="str">
        <f aca="false">IFERROR(INDEX(业务流水!$D$5:$D$1504,MATCH(64,业务流水!$X$5:$X$1504,0)),"")</f>
        <v>挂靠代收</v>
      </c>
      <c r="G69" s="41" t="n">
        <f aca="false">IF($F69="挂靠代收",N(IFERROR(INDEX(业务流水!$H$5:$H$1504,MATCH(64,业务流水!$X$5:$X$1504,0)),"")),0)</f>
        <v>70000</v>
      </c>
      <c r="H69" s="41" t="n">
        <f aca="false">IF($F69="我方收款",N(IFERROR(INDEX(业务流水!$H$5:$H$1504,MATCH(64,业务流水!$X$5:$X$1504,0)),"")),0)</f>
        <v>0</v>
      </c>
      <c r="I69" s="42" t="n">
        <f aca="false">IF($B69="","",SUMIFS($G$6:$G69,$E$6:$E69,$E69)-SUMIFS($H$6:$H69,$E$6:$E69,$E69))</f>
        <v>98818.27</v>
      </c>
      <c r="J69" s="40" t="str">
        <f aca="false">IFERROR(INDEX(业务流水!$J$5:$J$1504,MATCH(64,业务流水!$X$5:$X$1504,0)),"")</f>
        <v>2026.7.28民能代付工资：金湖东西电缆改造（安装）</v>
      </c>
    </row>
    <row r="70" customFormat="false" ht="15.75" hidden="false" customHeight="true" outlineLevel="0" collapsed="false">
      <c r="A70" s="32" t="n">
        <f aca="false">IF($B70="","",65)</f>
        <v>65</v>
      </c>
      <c r="B70" s="50" t="n">
        <f aca="false">IFERROR(INDEX(业务流水!$B$5:$B$1504,MATCH(65,业务流水!$X$5:$X$1504,0)),"")</f>
        <v>46231</v>
      </c>
      <c r="C70" s="32" t="str">
        <f aca="false">IFERROR(INDEX(业务流水!$C$5:$C$1504,MATCH(65,业务流水!$X$5:$X$1504,0)),"")</f>
        <v>A020</v>
      </c>
      <c r="D70" s="40" t="str">
        <f aca="false">IFERROR(INDEX(业务流水!$M$5:$M$1504,MATCH(65,业务流水!$X$5:$X$1504,0)),"")</f>
        <v>重庆民能实业有限公司2025-2026年度工程用施工机具等租赁服务框架采购（国网重庆铜梁公司110kV金湖东西电缆改造）</v>
      </c>
      <c r="E70" s="32" t="str">
        <f aca="false">IF($B70="","",IF(IFERROR(INDEX(业务流水!$D$5:$D$1504,MATCH(65,业务流水!$X$5:$X$1504,0)),"")="挂靠代收",IFERROR(INDEX(业务流水!$F$5:$F$1504,MATCH(65,业务流水!$X$5:$X$1504,0)),""),IFERROR(INDEX(业务流水!$E$5:$E$1504,MATCH(65,业务流水!$X$5:$X$1504,0)),"")))</f>
        <v>金沁</v>
      </c>
      <c r="F70" s="32" t="str">
        <f aca="false">IFERROR(INDEX(业务流水!$D$5:$D$1504,MATCH(65,业务流水!$X$5:$X$1504,0)),"")</f>
        <v>我方收款</v>
      </c>
      <c r="G70" s="41" t="n">
        <f aca="false">IF($F70="挂靠代收",N(IFERROR(INDEX(业务流水!$H$5:$H$1504,MATCH(65,业务流水!$X$5:$X$1504,0)),"")),0)</f>
        <v>0</v>
      </c>
      <c r="H70" s="41" t="n">
        <f aca="false">IF($F70="我方收款",N(IFERROR(INDEX(业务流水!$H$5:$H$1504,MATCH(65,业务流水!$X$5:$X$1504,0)),"")),0)</f>
        <v>70000</v>
      </c>
      <c r="I70" s="42" t="n">
        <f aca="false">IF($B70="","",SUMIFS($G$6:$G70,$E$6:$E70,$E70)-SUMIFS($H$6:$H70,$E$6:$E70,$E70))</f>
        <v>28818.27</v>
      </c>
      <c r="J70" s="40" t="str">
        <f aca="false">IFERROR(INDEX(业务流水!$J$5:$J$1504,MATCH(65,业务流水!$X$5:$X$1504,0)),"")</f>
        <v>2026.7.28民能代付工资：金湖东西电缆改造（安装）</v>
      </c>
    </row>
    <row r="71" customFormat="false" ht="15.75" hidden="false" customHeight="true" outlineLevel="0" collapsed="false">
      <c r="A71" s="32" t="n">
        <f aca="false">IF($B71="","",66)</f>
        <v>66</v>
      </c>
      <c r="B71" s="50" t="n">
        <f aca="false">IFERROR(INDEX(业务流水!$B$5:$B$1504,MATCH(66,业务流水!$X$5:$X$1504,0)),"")</f>
        <v>46231</v>
      </c>
      <c r="C71" s="32" t="str">
        <f aca="false">IFERROR(INDEX(业务流水!$C$5:$C$1504,MATCH(66,业务流水!$X$5:$X$1504,0)),"")</f>
        <v>A020</v>
      </c>
      <c r="D71" s="40" t="str">
        <f aca="false">IFERROR(INDEX(业务流水!$M$5:$M$1504,MATCH(66,业务流水!$X$5:$X$1504,0)),"")</f>
        <v>重庆民能实业有限公司2025-2026年度工程用施工机具等租赁服务框架采购（国网重庆铜梁公司110kV金湖东西电缆改造）</v>
      </c>
      <c r="E71" s="32" t="str">
        <f aca="false">IF($B71="","",IF(IFERROR(INDEX(业务流水!$D$5:$D$1504,MATCH(66,业务流水!$X$5:$X$1504,0)),"")="挂靠代收",IFERROR(INDEX(业务流水!$F$5:$F$1504,MATCH(66,业务流水!$X$5:$X$1504,0)),""),IFERROR(INDEX(业务流水!$E$5:$E$1504,MATCH(66,业务流水!$X$5:$X$1504,0)),"")))</f>
        <v>金沁</v>
      </c>
      <c r="F71" s="32" t="str">
        <f aca="false">IFERROR(INDEX(业务流水!$D$5:$D$1504,MATCH(66,业务流水!$X$5:$X$1504,0)),"")</f>
        <v>挂靠代收</v>
      </c>
      <c r="G71" s="41" t="n">
        <f aca="false">IF($F71="挂靠代收",N(IFERROR(INDEX(业务流水!$H$5:$H$1504,MATCH(66,业务流水!$X$5:$X$1504,0)),"")),0)</f>
        <v>32000</v>
      </c>
      <c r="H71" s="41" t="n">
        <f aca="false">IF($F71="我方收款",N(IFERROR(INDEX(业务流水!$H$5:$H$1504,MATCH(66,业务流水!$X$5:$X$1504,0)),"")),0)</f>
        <v>0</v>
      </c>
      <c r="I71" s="42" t="n">
        <f aca="false">IF($B71="","",SUMIFS($G$6:$G71,$E$6:$E71,$E71)-SUMIFS($H$6:$H71,$E$6:$E71,$E71))</f>
        <v>60818.27</v>
      </c>
      <c r="J71" s="40" t="str">
        <f aca="false">IFERROR(INDEX(业务流水!$J$5:$J$1504,MATCH(66,业务流水!$X$5:$X$1504,0)),"")</f>
        <v>2026.7.28民能代付工资：金湖东西电缆改造
（土建）</v>
      </c>
    </row>
    <row r="72" customFormat="false" ht="15.75" hidden="false" customHeight="true" outlineLevel="0" collapsed="false">
      <c r="A72" s="32" t="n">
        <f aca="false">IF($B72="","",67)</f>
        <v>67</v>
      </c>
      <c r="B72" s="50" t="n">
        <f aca="false">IFERROR(INDEX(业务流水!$B$5:$B$1504,MATCH(67,业务流水!$X$5:$X$1504,0)),"")</f>
        <v>46231</v>
      </c>
      <c r="C72" s="32" t="str">
        <f aca="false">IFERROR(INDEX(业务流水!$C$5:$C$1504,MATCH(67,业务流水!$X$5:$X$1504,0)),"")</f>
        <v>A020</v>
      </c>
      <c r="D72" s="40" t="str">
        <f aca="false">IFERROR(INDEX(业务流水!$M$5:$M$1504,MATCH(67,业务流水!$X$5:$X$1504,0)),"")</f>
        <v>重庆民能实业有限公司2025-2026年度工程用施工机具等租赁服务框架采购（国网重庆铜梁公司110kV金湖东西电缆改造）</v>
      </c>
      <c r="E72" s="32" t="str">
        <f aca="false">IF($B72="","",IF(IFERROR(INDEX(业务流水!$D$5:$D$1504,MATCH(67,业务流水!$X$5:$X$1504,0)),"")="挂靠代收",IFERROR(INDEX(业务流水!$F$5:$F$1504,MATCH(67,业务流水!$X$5:$X$1504,0)),""),IFERROR(INDEX(业务流水!$E$5:$E$1504,MATCH(67,业务流水!$X$5:$X$1504,0)),"")))</f>
        <v>金沁</v>
      </c>
      <c r="F72" s="32" t="str">
        <f aca="false">IFERROR(INDEX(业务流水!$D$5:$D$1504,MATCH(67,业务流水!$X$5:$X$1504,0)),"")</f>
        <v>我方收款</v>
      </c>
      <c r="G72" s="41" t="n">
        <f aca="false">IF($F72="挂靠代收",N(IFERROR(INDEX(业务流水!$H$5:$H$1504,MATCH(67,业务流水!$X$5:$X$1504,0)),"")),0)</f>
        <v>0</v>
      </c>
      <c r="H72" s="41" t="n">
        <f aca="false">IF($F72="我方收款",N(IFERROR(INDEX(业务流水!$H$5:$H$1504,MATCH(67,业务流水!$X$5:$X$1504,0)),"")),0)</f>
        <v>32000</v>
      </c>
      <c r="I72" s="42" t="n">
        <f aca="false">IF($B72="","",SUMIFS($G$6:$G72,$E$6:$E72,$E72)-SUMIFS($H$6:$H72,$E$6:$E72,$E72))</f>
        <v>28818.27</v>
      </c>
      <c r="J72" s="40" t="str">
        <f aca="false">IFERROR(INDEX(业务流水!$J$5:$J$1504,MATCH(67,业务流水!$X$5:$X$1504,0)),"")</f>
        <v>2026.7.28民能代付工资：金湖东西电缆改造
（土建）</v>
      </c>
    </row>
    <row r="73" customFormat="false" ht="15.75" hidden="false" customHeight="true" outlineLevel="0" collapsed="false">
      <c r="A73" s="32" t="n">
        <f aca="false">IF($B73="","",68)</f>
        <v>68</v>
      </c>
      <c r="B73" s="50" t="n">
        <f aca="false">IFERROR(INDEX(业务流水!$B$5:$B$1504,MATCH(68,业务流水!$X$5:$X$1504,0)),"")</f>
        <v>46231</v>
      </c>
      <c r="C73" s="32" t="str">
        <f aca="false">IFERROR(INDEX(业务流水!$C$5:$C$1504,MATCH(68,业务流水!$X$5:$X$1504,0)),"")</f>
        <v>A002</v>
      </c>
      <c r="D73" s="40" t="str">
        <f aca="false">IFERROR(INDEX(业务流水!$M$5:$M$1504,MATCH(68,业务流水!$X$5:$X$1504,0)),"")</f>
        <v>重庆铜梁10kV梧桐村4.5.6社台区重过载治理工程等23个项目(2025年配网6批、业扩5批民能施工）(重庆铜梁10kV侣新线凤飞7社台区重过载治理工程)</v>
      </c>
      <c r="E73" s="32" t="str">
        <f aca="false">IF($B73="","",IF(IFERROR(INDEX(业务流水!$D$5:$D$1504,MATCH(68,业务流水!$X$5:$X$1504,0)),"")="挂靠代收",IFERROR(INDEX(业务流水!$F$5:$F$1504,MATCH(68,业务流水!$X$5:$X$1504,0)),""),IFERROR(INDEX(业务流水!$E$5:$E$1504,MATCH(68,业务流水!$X$5:$X$1504,0)),"")))</f>
        <v>金沁</v>
      </c>
      <c r="F73" s="32" t="str">
        <f aca="false">IFERROR(INDEX(业务流水!$D$5:$D$1504,MATCH(68,业务流水!$X$5:$X$1504,0)),"")</f>
        <v>挂靠代收</v>
      </c>
      <c r="G73" s="41" t="n">
        <f aca="false">IF($F73="挂靠代收",N(IFERROR(INDEX(业务流水!$H$5:$H$1504,MATCH(68,业务流水!$X$5:$X$1504,0)),"")),0)</f>
        <v>20250</v>
      </c>
      <c r="H73" s="41" t="n">
        <f aca="false">IF($F73="我方收款",N(IFERROR(INDEX(业务流水!$H$5:$H$1504,MATCH(68,业务流水!$X$5:$X$1504,0)),"")),0)</f>
        <v>0</v>
      </c>
      <c r="I73" s="42" t="n">
        <f aca="false">IF($B73="","",SUMIFS($G$6:$G73,$E$6:$E73,$E73)-SUMIFS($H$6:$H73,$E$6:$E73,$E73))</f>
        <v>49068.27</v>
      </c>
      <c r="J73" s="40" t="str">
        <f aca="false">IFERROR(INDEX(业务流水!$J$5:$J$1504,MATCH(68,业务流水!$X$5:$X$1504,0)),"")</f>
        <v>2026.7.28彭豪确定代付民工工资：侣新线铜安1社</v>
      </c>
    </row>
    <row r="74" customFormat="false" ht="15.75" hidden="false" customHeight="true" outlineLevel="0" collapsed="false">
      <c r="A74" s="32" t="n">
        <f aca="false">IF($B74="","",69)</f>
        <v>69</v>
      </c>
      <c r="B74" s="50" t="n">
        <f aca="false">IFERROR(INDEX(业务流水!$B$5:$B$1504,MATCH(69,业务流水!$X$5:$X$1504,0)),"")</f>
        <v>46231</v>
      </c>
      <c r="C74" s="32" t="str">
        <f aca="false">IFERROR(INDEX(业务流水!$C$5:$C$1504,MATCH(69,业务流水!$X$5:$X$1504,0)),"")</f>
        <v>A002</v>
      </c>
      <c r="D74" s="40" t="str">
        <f aca="false">IFERROR(INDEX(业务流水!$M$5:$M$1504,MATCH(69,业务流水!$X$5:$X$1504,0)),"")</f>
        <v>重庆铜梁10kV梧桐村4.5.6社台区重过载治理工程等23个项目(2025年配网6批、业扩5批民能施工）(重庆铜梁10kV侣新线凤飞7社台区重过载治理工程)</v>
      </c>
      <c r="E74" s="32" t="str">
        <f aca="false">IF($B74="","",IF(IFERROR(INDEX(业务流水!$D$5:$D$1504,MATCH(69,业务流水!$X$5:$X$1504,0)),"")="挂靠代收",IFERROR(INDEX(业务流水!$F$5:$F$1504,MATCH(69,业务流水!$X$5:$X$1504,0)),""),IFERROR(INDEX(业务流水!$E$5:$E$1504,MATCH(69,业务流水!$X$5:$X$1504,0)),"")))</f>
        <v>金沁</v>
      </c>
      <c r="F74" s="32" t="str">
        <f aca="false">IFERROR(INDEX(业务流水!$D$5:$D$1504,MATCH(69,业务流水!$X$5:$X$1504,0)),"")</f>
        <v>我方收款</v>
      </c>
      <c r="G74" s="41" t="n">
        <f aca="false">IF($F74="挂靠代收",N(IFERROR(INDEX(业务流水!$H$5:$H$1504,MATCH(69,业务流水!$X$5:$X$1504,0)),"")),0)</f>
        <v>0</v>
      </c>
      <c r="H74" s="41" t="n">
        <f aca="false">IF($F74="我方收款",N(IFERROR(INDEX(业务流水!$H$5:$H$1504,MATCH(69,业务流水!$X$5:$X$1504,0)),"")),0)</f>
        <v>20250</v>
      </c>
      <c r="I74" s="42" t="n">
        <f aca="false">IF($B74="","",SUMIFS($G$6:$G74,$E$6:$E74,$E74)-SUMIFS($H$6:$H74,$E$6:$E74,$E74))</f>
        <v>28818.27</v>
      </c>
      <c r="J74" s="40" t="str">
        <f aca="false">IFERROR(INDEX(业务流水!$J$5:$J$1504,MATCH(69,业务流水!$X$5:$X$1504,0)),"")</f>
        <v>2026.7.28彭豪确定代付民工工资：侣新线铜安1社</v>
      </c>
    </row>
    <row r="75" customFormat="false" ht="15.75" hidden="false" customHeight="true" outlineLevel="0" collapsed="false">
      <c r="A75" s="32" t="n">
        <f aca="false">IF($B75="","",70)</f>
        <v>70</v>
      </c>
      <c r="B75" s="50" t="n">
        <f aca="false">IFERROR(INDEX(业务流水!$B$5:$B$1504,MATCH(70,业务流水!$X$5:$X$1504,0)),"")</f>
        <v>46231</v>
      </c>
      <c r="C75" s="32" t="str">
        <f aca="false">IFERROR(INDEX(业务流水!$C$5:$C$1504,MATCH(70,业务流水!$X$5:$X$1504,0)),"")</f>
        <v>A002</v>
      </c>
      <c r="D75" s="40" t="str">
        <f aca="false">IFERROR(INDEX(业务流水!$M$5:$M$1504,MATCH(70,业务流水!$X$5:$X$1504,0)),"")</f>
        <v>重庆铜梁10kV梧桐村4.5.6社台区重过载治理工程等23个项目(2025年配网6批、业扩5批民能施工）(重庆铜梁10kV侣新线凤飞7社台区重过载治理工程)</v>
      </c>
      <c r="E75" s="32" t="str">
        <f aca="false">IF($B75="","",IF(IFERROR(INDEX(业务流水!$D$5:$D$1504,MATCH(70,业务流水!$X$5:$X$1504,0)),"")="挂靠代收",IFERROR(INDEX(业务流水!$F$5:$F$1504,MATCH(70,业务流水!$X$5:$X$1504,0)),""),IFERROR(INDEX(业务流水!$E$5:$E$1504,MATCH(70,业务流水!$X$5:$X$1504,0)),"")))</f>
        <v>金沁</v>
      </c>
      <c r="F75" s="32" t="str">
        <f aca="false">IFERROR(INDEX(业务流水!$D$5:$D$1504,MATCH(70,业务流水!$X$5:$X$1504,0)),"")</f>
        <v>挂靠代收</v>
      </c>
      <c r="G75" s="41" t="n">
        <f aca="false">IF($F75="挂靠代收",N(IFERROR(INDEX(业务流水!$H$5:$H$1504,MATCH(70,业务流水!$X$5:$X$1504,0)),"")),0)</f>
        <v>15690</v>
      </c>
      <c r="H75" s="41" t="n">
        <f aca="false">IF($F75="我方收款",N(IFERROR(INDEX(业务流水!$H$5:$H$1504,MATCH(70,业务流水!$X$5:$X$1504,0)),"")),0)</f>
        <v>0</v>
      </c>
      <c r="I75" s="42" t="n">
        <f aca="false">IF($B75="","",SUMIFS($G$6:$G75,$E$6:$E75,$E75)-SUMIFS($H$6:$H75,$E$6:$E75,$E75))</f>
        <v>44508.27</v>
      </c>
      <c r="J75" s="40" t="str">
        <f aca="false">IFERROR(INDEX(业务流水!$J$5:$J$1504,MATCH(70,业务流水!$X$5:$X$1504,0)),"")</f>
        <v>2026.7.28彭豪确定代付民工工资：侣新线铜安9社</v>
      </c>
    </row>
    <row r="76" customFormat="false" ht="15.75" hidden="false" customHeight="true" outlineLevel="0" collapsed="false">
      <c r="A76" s="32" t="n">
        <f aca="false">IF($B76="","",71)</f>
        <v>71</v>
      </c>
      <c r="B76" s="50" t="n">
        <f aca="false">IFERROR(INDEX(业务流水!$B$5:$B$1504,MATCH(71,业务流水!$X$5:$X$1504,0)),"")</f>
        <v>46231</v>
      </c>
      <c r="C76" s="32" t="str">
        <f aca="false">IFERROR(INDEX(业务流水!$C$5:$C$1504,MATCH(71,业务流水!$X$5:$X$1504,0)),"")</f>
        <v>A002</v>
      </c>
      <c r="D76" s="40" t="str">
        <f aca="false">IFERROR(INDEX(业务流水!$M$5:$M$1504,MATCH(71,业务流水!$X$5:$X$1504,0)),"")</f>
        <v>重庆铜梁10kV梧桐村4.5.6社台区重过载治理工程等23个项目(2025年配网6批、业扩5批民能施工）(重庆铜梁10kV侣新线凤飞7社台区重过载治理工程)</v>
      </c>
      <c r="E76" s="32" t="str">
        <f aca="false">IF($B76="","",IF(IFERROR(INDEX(业务流水!$D$5:$D$1504,MATCH(71,业务流水!$X$5:$X$1504,0)),"")="挂靠代收",IFERROR(INDEX(业务流水!$F$5:$F$1504,MATCH(71,业务流水!$X$5:$X$1504,0)),""),IFERROR(INDEX(业务流水!$E$5:$E$1504,MATCH(71,业务流水!$X$5:$X$1504,0)),"")))</f>
        <v>金沁</v>
      </c>
      <c r="F76" s="32" t="str">
        <f aca="false">IFERROR(INDEX(业务流水!$D$5:$D$1504,MATCH(71,业务流水!$X$5:$X$1504,0)),"")</f>
        <v>我方收款</v>
      </c>
      <c r="G76" s="41" t="n">
        <f aca="false">IF($F76="挂靠代收",N(IFERROR(INDEX(业务流水!$H$5:$H$1504,MATCH(71,业务流水!$X$5:$X$1504,0)),"")),0)</f>
        <v>0</v>
      </c>
      <c r="H76" s="41" t="n">
        <f aca="false">IF($F76="我方收款",N(IFERROR(INDEX(业务流水!$H$5:$H$1504,MATCH(71,业务流水!$X$5:$X$1504,0)),"")),0)</f>
        <v>15690</v>
      </c>
      <c r="I76" s="42" t="n">
        <f aca="false">IF($B76="","",SUMIFS($G$6:$G76,$E$6:$E76,$E76)-SUMIFS($H$6:$H76,$E$6:$E76,$E76))</f>
        <v>28818.27</v>
      </c>
      <c r="J76" s="40" t="str">
        <f aca="false">IFERROR(INDEX(业务流水!$J$5:$J$1504,MATCH(71,业务流水!$X$5:$X$1504,0)),"")</f>
        <v>2026.7.28彭豪确定代付民工工资：侣新线铜安9社</v>
      </c>
    </row>
    <row r="77" customFormat="false" ht="15.75" hidden="false" customHeight="true" outlineLevel="0" collapsed="false">
      <c r="A77" s="32" t="n">
        <f aca="false">IF($B77="","",72)</f>
        <v>72</v>
      </c>
      <c r="B77" s="50" t="n">
        <f aca="false">IFERROR(INDEX(业务流水!$B$5:$B$1504,MATCH(72,业务流水!$X$5:$X$1504,0)),"")</f>
        <v>46231</v>
      </c>
      <c r="C77" s="32" t="str">
        <f aca="false">IFERROR(INDEX(业务流水!$C$5:$C$1504,MATCH(72,业务流水!$X$5:$X$1504,0)),"")</f>
        <v>A002</v>
      </c>
      <c r="D77" s="40" t="str">
        <f aca="false">IFERROR(INDEX(业务流水!$M$5:$M$1504,MATCH(72,业务流水!$X$5:$X$1504,0)),"")</f>
        <v>重庆铜梁10kV梧桐村4.5.6社台区重过载治理工程等23个项目(2025年配网6批、业扩5批民能施工）(重庆铜梁10kV侣新线凤飞7社台区重过载治理工程)</v>
      </c>
      <c r="E77" s="32" t="str">
        <f aca="false">IF($B77="","",IF(IFERROR(INDEX(业务流水!$D$5:$D$1504,MATCH(72,业务流水!$X$5:$X$1504,0)),"")="挂靠代收",IFERROR(INDEX(业务流水!$F$5:$F$1504,MATCH(72,业务流水!$X$5:$X$1504,0)),""),IFERROR(INDEX(业务流水!$E$5:$E$1504,MATCH(72,业务流水!$X$5:$X$1504,0)),"")))</f>
        <v>金沁</v>
      </c>
      <c r="F77" s="32" t="str">
        <f aca="false">IFERROR(INDEX(业务流水!$D$5:$D$1504,MATCH(72,业务流水!$X$5:$X$1504,0)),"")</f>
        <v>挂靠代收</v>
      </c>
      <c r="G77" s="41" t="n">
        <f aca="false">IF($F77="挂靠代收",N(IFERROR(INDEX(业务流水!$H$5:$H$1504,MATCH(72,业务流水!$X$5:$X$1504,0)),"")),0)</f>
        <v>3500</v>
      </c>
      <c r="H77" s="41" t="n">
        <f aca="false">IF($F77="我方收款",N(IFERROR(INDEX(业务流水!$H$5:$H$1504,MATCH(72,业务流水!$X$5:$X$1504,0)),"")),0)</f>
        <v>0</v>
      </c>
      <c r="I77" s="42" t="n">
        <f aca="false">IF($B77="","",SUMIFS($G$6:$G77,$E$6:$E77,$E77)-SUMIFS($H$6:$H77,$E$6:$E77,$E77))</f>
        <v>32318.27</v>
      </c>
      <c r="J77" s="40" t="str">
        <f aca="false">IFERROR(INDEX(业务流水!$J$5:$J$1504,MATCH(72,业务流水!$X$5:$X$1504,0)),"")</f>
        <v>2026.7.28彭豪确定代付民工工资：平双线群益7社</v>
      </c>
    </row>
    <row r="78" customFormat="false" ht="15.75" hidden="false" customHeight="true" outlineLevel="0" collapsed="false">
      <c r="A78" s="32" t="n">
        <f aca="false">IF($B78="","",73)</f>
        <v>73</v>
      </c>
      <c r="B78" s="50" t="n">
        <f aca="false">IFERROR(INDEX(业务流水!$B$5:$B$1504,MATCH(73,业务流水!$X$5:$X$1504,0)),"")</f>
        <v>46231</v>
      </c>
      <c r="C78" s="32" t="str">
        <f aca="false">IFERROR(INDEX(业务流水!$C$5:$C$1504,MATCH(73,业务流水!$X$5:$X$1504,0)),"")</f>
        <v>A002</v>
      </c>
      <c r="D78" s="40" t="str">
        <f aca="false">IFERROR(INDEX(业务流水!$M$5:$M$1504,MATCH(73,业务流水!$X$5:$X$1504,0)),"")</f>
        <v>重庆铜梁10kV梧桐村4.5.6社台区重过载治理工程等23个项目(2025年配网6批、业扩5批民能施工）(重庆铜梁10kV侣新线凤飞7社台区重过载治理工程)</v>
      </c>
      <c r="E78" s="32" t="str">
        <f aca="false">IF($B78="","",IF(IFERROR(INDEX(业务流水!$D$5:$D$1504,MATCH(73,业务流水!$X$5:$X$1504,0)),"")="挂靠代收",IFERROR(INDEX(业务流水!$F$5:$F$1504,MATCH(73,业务流水!$X$5:$X$1504,0)),""),IFERROR(INDEX(业务流水!$E$5:$E$1504,MATCH(73,业务流水!$X$5:$X$1504,0)),"")))</f>
        <v>金沁</v>
      </c>
      <c r="F78" s="32" t="str">
        <f aca="false">IFERROR(INDEX(业务流水!$D$5:$D$1504,MATCH(73,业务流水!$X$5:$X$1504,0)),"")</f>
        <v>我方收款</v>
      </c>
      <c r="G78" s="41" t="n">
        <f aca="false">IF($F78="挂靠代收",N(IFERROR(INDEX(业务流水!$H$5:$H$1504,MATCH(73,业务流水!$X$5:$X$1504,0)),"")),0)</f>
        <v>0</v>
      </c>
      <c r="H78" s="41" t="n">
        <f aca="false">IF($F78="我方收款",N(IFERROR(INDEX(业务流水!$H$5:$H$1504,MATCH(73,业务流水!$X$5:$X$1504,0)),"")),0)</f>
        <v>3500</v>
      </c>
      <c r="I78" s="42" t="n">
        <f aca="false">IF($B78="","",SUMIFS($G$6:$G78,$E$6:$E78,$E78)-SUMIFS($H$6:$H78,$E$6:$E78,$E78))</f>
        <v>28818.27</v>
      </c>
      <c r="J78" s="40" t="str">
        <f aca="false">IFERROR(INDEX(业务流水!$J$5:$J$1504,MATCH(73,业务流水!$X$5:$X$1504,0)),"")</f>
        <v>2026.7.28彭豪确定代付民工工资：平双线群益7社</v>
      </c>
    </row>
    <row r="79" customFormat="false" ht="15.75" hidden="false" customHeight="true" outlineLevel="0" collapsed="false">
      <c r="A79" s="32" t="n">
        <f aca="false">IF($B79="","",74)</f>
        <v>74</v>
      </c>
      <c r="B79" s="50" t="n">
        <f aca="false">IFERROR(INDEX(业务流水!$B$5:$B$1504,MATCH(74,业务流水!$X$5:$X$1504,0)),"")</f>
        <v>46231</v>
      </c>
      <c r="C79" s="32" t="str">
        <f aca="false">IFERROR(INDEX(业务流水!$C$5:$C$1504,MATCH(74,业务流水!$X$5:$X$1504,0)),"")</f>
        <v>A002</v>
      </c>
      <c r="D79" s="40" t="str">
        <f aca="false">IFERROR(INDEX(业务流水!$M$5:$M$1504,MATCH(74,业务流水!$X$5:$X$1504,0)),"")</f>
        <v>重庆铜梁10kV梧桐村4.5.6社台区重过载治理工程等23个项目(2025年配网6批、业扩5批民能施工）(重庆铜梁10kV侣新线凤飞7社台区重过载治理工程)</v>
      </c>
      <c r="E79" s="32" t="str">
        <f aca="false">IF($B79="","",IF(IFERROR(INDEX(业务流水!$D$5:$D$1504,MATCH(74,业务流水!$X$5:$X$1504,0)),"")="挂靠代收",IFERROR(INDEX(业务流水!$F$5:$F$1504,MATCH(74,业务流水!$X$5:$X$1504,0)),""),IFERROR(INDEX(业务流水!$E$5:$E$1504,MATCH(74,业务流水!$X$5:$X$1504,0)),"")))</f>
        <v>金沁</v>
      </c>
      <c r="F79" s="32" t="str">
        <f aca="false">IFERROR(INDEX(业务流水!$D$5:$D$1504,MATCH(74,业务流水!$X$5:$X$1504,0)),"")</f>
        <v>挂靠代收</v>
      </c>
      <c r="G79" s="41" t="n">
        <f aca="false">IF($F79="挂靠代收",N(IFERROR(INDEX(业务流水!$H$5:$H$1504,MATCH(74,业务流水!$X$5:$X$1504,0)),"")),0)</f>
        <v>9120</v>
      </c>
      <c r="H79" s="41" t="n">
        <f aca="false">IF($F79="我方收款",N(IFERROR(INDEX(业务流水!$H$5:$H$1504,MATCH(74,业务流水!$X$5:$X$1504,0)),"")),0)</f>
        <v>0</v>
      </c>
      <c r="I79" s="42" t="n">
        <f aca="false">IF($B79="","",SUMIFS($G$6:$G79,$E$6:$E79,$E79)-SUMIFS($H$6:$H79,$E$6:$E79,$E79))</f>
        <v>37938.27</v>
      </c>
      <c r="J79" s="40" t="str">
        <f aca="false">IFERROR(INDEX(业务流水!$J$5:$J$1504,MATCH(74,业务流水!$X$5:$X$1504,0)),"")</f>
        <v>2026.7.28彭豪确定代付民工工资：平镇线新桥社</v>
      </c>
    </row>
    <row r="80" customFormat="false" ht="15.75" hidden="false" customHeight="true" outlineLevel="0" collapsed="false">
      <c r="A80" s="32" t="n">
        <f aca="false">IF($B80="","",75)</f>
        <v>75</v>
      </c>
      <c r="B80" s="50" t="n">
        <f aca="false">IFERROR(INDEX(业务流水!$B$5:$B$1504,MATCH(75,业务流水!$X$5:$X$1504,0)),"")</f>
        <v>46231</v>
      </c>
      <c r="C80" s="32" t="str">
        <f aca="false">IFERROR(INDEX(业务流水!$C$5:$C$1504,MATCH(75,业务流水!$X$5:$X$1504,0)),"")</f>
        <v>A002</v>
      </c>
      <c r="D80" s="40" t="str">
        <f aca="false">IFERROR(INDEX(业务流水!$M$5:$M$1504,MATCH(75,业务流水!$X$5:$X$1504,0)),"")</f>
        <v>重庆铜梁10kV梧桐村4.5.6社台区重过载治理工程等23个项目(2025年配网6批、业扩5批民能施工）(重庆铜梁10kV侣新线凤飞7社台区重过载治理工程)</v>
      </c>
      <c r="E80" s="32" t="str">
        <f aca="false">IF($B80="","",IF(IFERROR(INDEX(业务流水!$D$5:$D$1504,MATCH(75,业务流水!$X$5:$X$1504,0)),"")="挂靠代收",IFERROR(INDEX(业务流水!$F$5:$F$1504,MATCH(75,业务流水!$X$5:$X$1504,0)),""),IFERROR(INDEX(业务流水!$E$5:$E$1504,MATCH(75,业务流水!$X$5:$X$1504,0)),"")))</f>
        <v>金沁</v>
      </c>
      <c r="F80" s="32" t="str">
        <f aca="false">IFERROR(INDEX(业务流水!$D$5:$D$1504,MATCH(75,业务流水!$X$5:$X$1504,0)),"")</f>
        <v>我方收款</v>
      </c>
      <c r="G80" s="41" t="n">
        <f aca="false">IF($F80="挂靠代收",N(IFERROR(INDEX(业务流水!$H$5:$H$1504,MATCH(75,业务流水!$X$5:$X$1504,0)),"")),0)</f>
        <v>0</v>
      </c>
      <c r="H80" s="41" t="n">
        <f aca="false">IF($F80="我方收款",N(IFERROR(INDEX(业务流水!$H$5:$H$1504,MATCH(75,业务流水!$X$5:$X$1504,0)),"")),0)</f>
        <v>9120</v>
      </c>
      <c r="I80" s="42" t="n">
        <f aca="false">IF($B80="","",SUMIFS($G$6:$G80,$E$6:$E80,$E80)-SUMIFS($H$6:$H80,$E$6:$E80,$E80))</f>
        <v>28818.27</v>
      </c>
      <c r="J80" s="40" t="str">
        <f aca="false">IFERROR(INDEX(业务流水!$J$5:$J$1504,MATCH(75,业务流水!$X$5:$X$1504,0)),"")</f>
        <v>2026.7.28彭豪确定代付民工工资：平镇线新桥社</v>
      </c>
    </row>
    <row r="81" customFormat="false" ht="15.75" hidden="false" customHeight="true" outlineLevel="0" collapsed="false">
      <c r="A81" s="32" t="n">
        <f aca="false">IF($B81="","",76)</f>
        <v>76</v>
      </c>
      <c r="B81" s="50" t="n">
        <f aca="false">IFERROR(INDEX(业务流水!$B$5:$B$1504,MATCH(76,业务流水!$X$5:$X$1504,0)),"")</f>
        <v>46231</v>
      </c>
      <c r="C81" s="32" t="str">
        <f aca="false">IFERROR(INDEX(业务流水!$C$5:$C$1504,MATCH(76,业务流水!$X$5:$X$1504,0)),"")</f>
        <v>A002</v>
      </c>
      <c r="D81" s="40" t="str">
        <f aca="false">IFERROR(INDEX(业务流水!$M$5:$M$1504,MATCH(76,业务流水!$X$5:$X$1504,0)),"")</f>
        <v>重庆铜梁10kV梧桐村4.5.6社台区重过载治理工程等23个项目(2025年配网6批、业扩5批民能施工）(重庆铜梁10kV侣新线凤飞7社台区重过载治理工程)</v>
      </c>
      <c r="E81" s="32" t="str">
        <f aca="false">IF($B81="","",IF(IFERROR(INDEX(业务流水!$D$5:$D$1504,MATCH(76,业务流水!$X$5:$X$1504,0)),"")="挂靠代收",IFERROR(INDEX(业务流水!$F$5:$F$1504,MATCH(76,业务流水!$X$5:$X$1504,0)),""),IFERROR(INDEX(业务流水!$E$5:$E$1504,MATCH(76,业务流水!$X$5:$X$1504,0)),"")))</f>
        <v>金沁</v>
      </c>
      <c r="F81" s="32" t="str">
        <f aca="false">IFERROR(INDEX(业务流水!$D$5:$D$1504,MATCH(76,业务流水!$X$5:$X$1504,0)),"")</f>
        <v>挂靠代收</v>
      </c>
      <c r="G81" s="41" t="n">
        <f aca="false">IF($F81="挂靠代收",N(IFERROR(INDEX(业务流水!$H$5:$H$1504,MATCH(76,业务流水!$X$5:$X$1504,0)),"")),0)</f>
        <v>11400</v>
      </c>
      <c r="H81" s="41" t="n">
        <f aca="false">IF($F81="我方收款",N(IFERROR(INDEX(业务流水!$H$5:$H$1504,MATCH(76,业务流水!$X$5:$X$1504,0)),"")),0)</f>
        <v>0</v>
      </c>
      <c r="I81" s="42" t="n">
        <f aca="false">IF($B81="","",SUMIFS($G$6:$G81,$E$6:$E81,$E81)-SUMIFS($H$6:$H81,$E$6:$E81,$E81))</f>
        <v>40218.27</v>
      </c>
      <c r="J81" s="40" t="str">
        <f aca="false">IFERROR(INDEX(业务流水!$J$5:$J$1504,MATCH(76,业务流水!$X$5:$X$1504,0)),"")</f>
        <v>2026.7.28彭豪确定代付民工工资：侣新线凤飞7社</v>
      </c>
    </row>
    <row r="82" customFormat="false" ht="15.75" hidden="false" customHeight="true" outlineLevel="0" collapsed="false">
      <c r="A82" s="32" t="n">
        <f aca="false">IF($B82="","",77)</f>
        <v>77</v>
      </c>
      <c r="B82" s="50" t="n">
        <f aca="false">IFERROR(INDEX(业务流水!$B$5:$B$1504,MATCH(77,业务流水!$X$5:$X$1504,0)),"")</f>
        <v>46231</v>
      </c>
      <c r="C82" s="32" t="str">
        <f aca="false">IFERROR(INDEX(业务流水!$C$5:$C$1504,MATCH(77,业务流水!$X$5:$X$1504,0)),"")</f>
        <v>A002</v>
      </c>
      <c r="D82" s="40" t="str">
        <f aca="false">IFERROR(INDEX(业务流水!$M$5:$M$1504,MATCH(77,业务流水!$X$5:$X$1504,0)),"")</f>
        <v>重庆铜梁10kV梧桐村4.5.6社台区重过载治理工程等23个项目(2025年配网6批、业扩5批民能施工）(重庆铜梁10kV侣新线凤飞7社台区重过载治理工程)</v>
      </c>
      <c r="E82" s="32" t="str">
        <f aca="false">IF($B82="","",IF(IFERROR(INDEX(业务流水!$D$5:$D$1504,MATCH(77,业务流水!$X$5:$X$1504,0)),"")="挂靠代收",IFERROR(INDEX(业务流水!$F$5:$F$1504,MATCH(77,业务流水!$X$5:$X$1504,0)),""),IFERROR(INDEX(业务流水!$E$5:$E$1504,MATCH(77,业务流水!$X$5:$X$1504,0)),"")))</f>
        <v>金沁</v>
      </c>
      <c r="F82" s="32" t="str">
        <f aca="false">IFERROR(INDEX(业务流水!$D$5:$D$1504,MATCH(77,业务流水!$X$5:$X$1504,0)),"")</f>
        <v>我方收款</v>
      </c>
      <c r="G82" s="41" t="n">
        <f aca="false">IF($F82="挂靠代收",N(IFERROR(INDEX(业务流水!$H$5:$H$1504,MATCH(77,业务流水!$X$5:$X$1504,0)),"")),0)</f>
        <v>0</v>
      </c>
      <c r="H82" s="41" t="n">
        <f aca="false">IF($F82="我方收款",N(IFERROR(INDEX(业务流水!$H$5:$H$1504,MATCH(77,业务流水!$X$5:$X$1504,0)),"")),0)</f>
        <v>11400</v>
      </c>
      <c r="I82" s="42" t="n">
        <f aca="false">IF($B82="","",SUMIFS($G$6:$G82,$E$6:$E82,$E82)-SUMIFS($H$6:$H82,$E$6:$E82,$E82))</f>
        <v>28818.27</v>
      </c>
      <c r="J82" s="40" t="str">
        <f aca="false">IFERROR(INDEX(业务流水!$J$5:$J$1504,MATCH(77,业务流水!$X$5:$X$1504,0)),"")</f>
        <v>2026.7.28彭豪确定代付民工工资：侣新线凤飞7社</v>
      </c>
    </row>
    <row r="83" customFormat="false" ht="15.75" hidden="false" customHeight="true" outlineLevel="0" collapsed="false">
      <c r="A83" s="32" t="n">
        <f aca="false">IF($B83="","",78)</f>
        <v>78</v>
      </c>
      <c r="B83" s="50" t="n">
        <f aca="false">IFERROR(INDEX(业务流水!$B$5:$B$1504,MATCH(78,业务流水!$X$5:$X$1504,0)),"")</f>
        <v>46231</v>
      </c>
      <c r="C83" s="32" t="str">
        <f aca="false">IFERROR(INDEX(业务流水!$C$5:$C$1504,MATCH(78,业务流水!$X$5:$X$1504,0)),"")</f>
        <v>A002</v>
      </c>
      <c r="D83" s="40" t="str">
        <f aca="false">IFERROR(INDEX(业务流水!$M$5:$M$1504,MATCH(78,业务流水!$X$5:$X$1504,0)),"")</f>
        <v>重庆铜梁10kV梧桐村4.5.6社台区重过载治理工程等23个项目(2025年配网6批、业扩5批民能施工）(重庆铜梁10kV侣新线凤飞7社台区重过载治理工程)</v>
      </c>
      <c r="E83" s="32" t="str">
        <f aca="false">IF($B83="","",IF(IFERROR(INDEX(业务流水!$D$5:$D$1504,MATCH(78,业务流水!$X$5:$X$1504,0)),"")="挂靠代收",IFERROR(INDEX(业务流水!$F$5:$F$1504,MATCH(78,业务流水!$X$5:$X$1504,0)),""),IFERROR(INDEX(业务流水!$E$5:$E$1504,MATCH(78,业务流水!$X$5:$X$1504,0)),"")))</f>
        <v>金沁</v>
      </c>
      <c r="F83" s="32" t="str">
        <f aca="false">IFERROR(INDEX(业务流水!$D$5:$D$1504,MATCH(78,业务流水!$X$5:$X$1504,0)),"")</f>
        <v>挂靠代收</v>
      </c>
      <c r="G83" s="41" t="n">
        <f aca="false">IF($F83="挂靠代收",N(IFERROR(INDEX(业务流水!$H$5:$H$1504,MATCH(78,业务流水!$X$5:$X$1504,0)),"")),0)</f>
        <v>197500</v>
      </c>
      <c r="H83" s="41" t="n">
        <f aca="false">IF($F83="我方收款",N(IFERROR(INDEX(业务流水!$H$5:$H$1504,MATCH(78,业务流水!$X$5:$X$1504,0)),"")),0)</f>
        <v>0</v>
      </c>
      <c r="I83" s="42" t="n">
        <f aca="false">IF($B83="","",SUMIFS($G$6:$G83,$E$6:$E83,$E83)-SUMIFS($H$6:$H83,$E$6:$E83,$E83))</f>
        <v>226318.27</v>
      </c>
      <c r="J83" s="40" t="str">
        <f aca="false">IFERROR(INDEX(业务流水!$J$5:$J$1504,MATCH(78,业务流水!$X$5:$X$1504,0)),"")</f>
        <v>2026.7.28民能代付民工工资：大太线老旧改造</v>
      </c>
    </row>
    <row r="84" customFormat="false" ht="15.75" hidden="false" customHeight="true" outlineLevel="0" collapsed="false">
      <c r="A84" s="32" t="n">
        <f aca="false">IF($B84="","",79)</f>
        <v>79</v>
      </c>
      <c r="B84" s="50" t="n">
        <f aca="false">IFERROR(INDEX(业务流水!$B$5:$B$1504,MATCH(79,业务流水!$X$5:$X$1504,0)),"")</f>
        <v>46231</v>
      </c>
      <c r="C84" s="32" t="str">
        <f aca="false">IFERROR(INDEX(业务流水!$C$5:$C$1504,MATCH(79,业务流水!$X$5:$X$1504,0)),"")</f>
        <v>A002</v>
      </c>
      <c r="D84" s="40" t="str">
        <f aca="false">IFERROR(INDEX(业务流水!$M$5:$M$1504,MATCH(79,业务流水!$X$5:$X$1504,0)),"")</f>
        <v>重庆铜梁10kV梧桐村4.5.6社台区重过载治理工程等23个项目(2025年配网6批、业扩5批民能施工）(重庆铜梁10kV侣新线凤飞7社台区重过载治理工程)</v>
      </c>
      <c r="E84" s="32" t="str">
        <f aca="false">IF($B84="","",IF(IFERROR(INDEX(业务流水!$D$5:$D$1504,MATCH(79,业务流水!$X$5:$X$1504,0)),"")="挂靠代收",IFERROR(INDEX(业务流水!$F$5:$F$1504,MATCH(79,业务流水!$X$5:$X$1504,0)),""),IFERROR(INDEX(业务流水!$E$5:$E$1504,MATCH(79,业务流水!$X$5:$X$1504,0)),"")))</f>
        <v>金沁</v>
      </c>
      <c r="F84" s="32" t="str">
        <f aca="false">IFERROR(INDEX(业务流水!$D$5:$D$1504,MATCH(79,业务流水!$X$5:$X$1504,0)),"")</f>
        <v>我方收款</v>
      </c>
      <c r="G84" s="41" t="n">
        <f aca="false">IF($F84="挂靠代收",N(IFERROR(INDEX(业务流水!$H$5:$H$1504,MATCH(79,业务流水!$X$5:$X$1504,0)),"")),0)</f>
        <v>0</v>
      </c>
      <c r="H84" s="41" t="n">
        <f aca="false">IF($F84="我方收款",N(IFERROR(INDEX(业务流水!$H$5:$H$1504,MATCH(79,业务流水!$X$5:$X$1504,0)),"")),0)</f>
        <v>197500</v>
      </c>
      <c r="I84" s="42" t="n">
        <f aca="false">IF($B84="","",SUMIFS($G$6:$G84,$E$6:$E84,$E84)-SUMIFS($H$6:$H84,$E$6:$E84,$E84))</f>
        <v>28818.27</v>
      </c>
      <c r="J84" s="40" t="str">
        <f aca="false">IFERROR(INDEX(业务流水!$J$5:$J$1504,MATCH(79,业务流水!$X$5:$X$1504,0)),"")</f>
        <v>2026.7.28民能代付民工工资：大太线老旧改造</v>
      </c>
    </row>
    <row r="85" customFormat="false" ht="15.75" hidden="false" customHeight="true" outlineLevel="0" collapsed="false">
      <c r="A85" s="32" t="n">
        <f aca="false">IF($B85="","",80)</f>
        <v>80</v>
      </c>
      <c r="B85" s="50" t="n">
        <f aca="false">IFERROR(INDEX(业务流水!$B$5:$B$1504,MATCH(80,业务流水!$X$5:$X$1504,0)),"")</f>
        <v>46237</v>
      </c>
      <c r="C85" s="32" t="str">
        <f aca="false">IFERROR(INDEX(业务流水!$C$5:$C$1504,MATCH(80,业务流水!$X$5:$X$1504,0)),"")</f>
        <v>A024</v>
      </c>
      <c r="D85" s="40" t="str">
        <f aca="false">IFERROR(INDEX(业务流水!$M$5:$M$1504,MATCH(80,业务流水!$X$5:$X$1504,0)),"")</f>
        <v>铜梁公司2026年配电专业应急抢修抢险等外包项目（黄荆4社等台区4个隐患治理项目、三湾1.2社等台区2个应急抢修项目)</v>
      </c>
      <c r="E85" s="32" t="str">
        <f aca="false">IF($B85="","",IF(IFERROR(INDEX(业务流水!$D$5:$D$1504,MATCH(80,业务流水!$X$5:$X$1504,0)),"")="挂靠代收",IFERROR(INDEX(业务流水!$F$5:$F$1504,MATCH(80,业务流水!$X$5:$X$1504,0)),""),IFERROR(INDEX(业务流水!$E$5:$E$1504,MATCH(80,业务流水!$X$5:$X$1504,0)),"")))</f>
        <v>德誉嘉</v>
      </c>
      <c r="F85" s="32" t="str">
        <f aca="false">IFERROR(INDEX(业务流水!$D$5:$D$1504,MATCH(80,业务流水!$X$5:$X$1504,0)),"")</f>
        <v>我方收款</v>
      </c>
      <c r="G85" s="41" t="n">
        <f aca="false">IF($F85="挂靠代收",N(IFERROR(INDEX(业务流水!$H$5:$H$1504,MATCH(80,业务流水!$X$5:$X$1504,0)),"")),0)</f>
        <v>0</v>
      </c>
      <c r="H85" s="41" t="n">
        <f aca="false">IF($F85="我方收款",N(IFERROR(INDEX(业务流水!$H$5:$H$1504,MATCH(80,业务流水!$X$5:$X$1504,0)),"")),0)</f>
        <v>2476.45</v>
      </c>
      <c r="I85" s="42" t="n">
        <f aca="false">IF($B85="","",SUMIFS($G$6:$G85,$E$6:$E85,$E85)-SUMIFS($H$6:$H85,$E$6:$E85,$E85))</f>
        <v>24386.77</v>
      </c>
      <c r="J85" s="40" t="str">
        <f aca="false">IFERROR(INDEX(业务流水!$J$5:$J$1504,MATCH(80,业务流水!$X$5:$X$1504,0)),"")</f>
        <v>2026.8.3仟茂收到德誉嘉款项：黄荆4社</v>
      </c>
    </row>
    <row r="86" customFormat="false" ht="15.75" hidden="false" customHeight="true" outlineLevel="0" collapsed="false">
      <c r="A86" s="32" t="n">
        <f aca="false">IF($B86="","",81)</f>
        <v>81</v>
      </c>
      <c r="B86" s="50" t="n">
        <f aca="false">IFERROR(INDEX(业务流水!$B$5:$B$1504,MATCH(81,业务流水!$X$5:$X$1504,0)),"")</f>
        <v>46237</v>
      </c>
      <c r="C86" s="32" t="str">
        <f aca="false">IFERROR(INDEX(业务流水!$C$5:$C$1504,MATCH(81,业务流水!$X$5:$X$1504,0)),"")</f>
        <v>A024</v>
      </c>
      <c r="D86" s="40" t="str">
        <f aca="false">IFERROR(INDEX(业务流水!$M$5:$M$1504,MATCH(81,业务流水!$X$5:$X$1504,0)),"")</f>
        <v>铜梁公司2026年配电专业应急抢修抢险等外包项目（黄荆4社等台区4个隐患治理项目、三湾1.2社等台区2个应急抢修项目)</v>
      </c>
      <c r="E86" s="32" t="str">
        <f aca="false">IF($B86="","",IF(IFERROR(INDEX(业务流水!$D$5:$D$1504,MATCH(81,业务流水!$X$5:$X$1504,0)),"")="挂靠代收",IFERROR(INDEX(业务流水!$F$5:$F$1504,MATCH(81,业务流水!$X$5:$X$1504,0)),""),IFERROR(INDEX(业务流水!$E$5:$E$1504,MATCH(81,业务流水!$X$5:$X$1504,0)),"")))</f>
        <v>德誉嘉</v>
      </c>
      <c r="F86" s="32" t="str">
        <f aca="false">IFERROR(INDEX(业务流水!$D$5:$D$1504,MATCH(81,业务流水!$X$5:$X$1504,0)),"")</f>
        <v>我方收款</v>
      </c>
      <c r="G86" s="41" t="n">
        <f aca="false">IF($F86="挂靠代收",N(IFERROR(INDEX(业务流水!$H$5:$H$1504,MATCH(81,业务流水!$X$5:$X$1504,0)),"")),0)</f>
        <v>0</v>
      </c>
      <c r="H86" s="41" t="n">
        <f aca="false">IF($F86="我方收款",N(IFERROR(INDEX(业务流水!$H$5:$H$1504,MATCH(81,业务流水!$X$5:$X$1504,0)),"")),0)</f>
        <v>8927.9</v>
      </c>
      <c r="I86" s="42" t="n">
        <f aca="false">IF($B86="","",SUMIFS($G$6:$G86,$E$6:$E86,$E86)-SUMIFS($H$6:$H86,$E$6:$E86,$E86))</f>
        <v>15458.87</v>
      </c>
      <c r="J86" s="40" t="str">
        <f aca="false">IFERROR(INDEX(业务流水!$J$5:$J$1504,MATCH(81,业务流水!$X$5:$X$1504,0)),"")</f>
        <v>2026.8.3仟茂收到德誉嘉款项：侣新线铜安1社</v>
      </c>
    </row>
    <row r="87" customFormat="false" ht="15.75" hidden="false" customHeight="true" outlineLevel="0" collapsed="false">
      <c r="A87" s="32" t="n">
        <f aca="false">IF($B87="","",82)</f>
        <v>82</v>
      </c>
      <c r="B87" s="50" t="n">
        <f aca="false">IFERROR(INDEX(业务流水!$B$5:$B$1504,MATCH(82,业务流水!$X$5:$X$1504,0)),"")</f>
        <v>46237</v>
      </c>
      <c r="C87" s="32" t="str">
        <f aca="false">IFERROR(INDEX(业务流水!$C$5:$C$1504,MATCH(82,业务流水!$X$5:$X$1504,0)),"")</f>
        <v>A024</v>
      </c>
      <c r="D87" s="40" t="str">
        <f aca="false">IFERROR(INDEX(业务流水!$M$5:$M$1504,MATCH(82,业务流水!$X$5:$X$1504,0)),"")</f>
        <v>铜梁公司2026年配电专业应急抢修抢险等外包项目（黄荆4社等台区4个隐患治理项目、三湾1.2社等台区2个应急抢修项目)</v>
      </c>
      <c r="E87" s="32" t="str">
        <f aca="false">IF($B87="","",IF(IFERROR(INDEX(业务流水!$D$5:$D$1504,MATCH(82,业务流水!$X$5:$X$1504,0)),"")="挂靠代收",IFERROR(INDEX(业务流水!$F$5:$F$1504,MATCH(82,业务流水!$X$5:$X$1504,0)),""),IFERROR(INDEX(业务流水!$E$5:$E$1504,MATCH(82,业务流水!$X$5:$X$1504,0)),"")))</f>
        <v>德誉嘉</v>
      </c>
      <c r="F87" s="32" t="str">
        <f aca="false">IFERROR(INDEX(业务流水!$D$5:$D$1504,MATCH(82,业务流水!$X$5:$X$1504,0)),"")</f>
        <v>我方收款</v>
      </c>
      <c r="G87" s="41" t="n">
        <f aca="false">IF($F87="挂靠代收",N(IFERROR(INDEX(业务流水!$H$5:$H$1504,MATCH(82,业务流水!$X$5:$X$1504,0)),"")),0)</f>
        <v>0</v>
      </c>
      <c r="H87" s="41" t="n">
        <f aca="false">IF($F87="我方收款",N(IFERROR(INDEX(业务流水!$H$5:$H$1504,MATCH(82,业务流水!$X$5:$X$1504,0)),"")),0)</f>
        <v>1892.21</v>
      </c>
      <c r="I87" s="42" t="n">
        <f aca="false">IF($B87="","",SUMIFS($G$6:$G87,$E$6:$E87,$E87)-SUMIFS($H$6:$H87,$E$6:$E87,$E87))</f>
        <v>13566.66</v>
      </c>
      <c r="J87" s="40" t="str">
        <f aca="false">IFERROR(INDEX(业务流水!$J$5:$J$1504,MATCH(82,业务流水!$X$5:$X$1504,0)),"")</f>
        <v>2026.8.3仟茂收到德誉嘉款项：平双线群益7社</v>
      </c>
    </row>
    <row r="88" customFormat="false" ht="15.75" hidden="false" customHeight="true" outlineLevel="0" collapsed="false">
      <c r="A88" s="32" t="n">
        <f aca="false">IF($B88="","",83)</f>
        <v>83</v>
      </c>
      <c r="B88" s="50" t="n">
        <f aca="false">IFERROR(INDEX(业务流水!$B$5:$B$1504,MATCH(83,业务流水!$X$5:$X$1504,0)),"")</f>
        <v>46237</v>
      </c>
      <c r="C88" s="32" t="str">
        <f aca="false">IFERROR(INDEX(业务流水!$C$5:$C$1504,MATCH(83,业务流水!$X$5:$X$1504,0)),"")</f>
        <v>A024</v>
      </c>
      <c r="D88" s="40" t="str">
        <f aca="false">IFERROR(INDEX(业务流水!$M$5:$M$1504,MATCH(83,业务流水!$X$5:$X$1504,0)),"")</f>
        <v>铜梁公司2026年配电专业应急抢修抢险等外包项目（黄荆4社等台区4个隐患治理项目、三湾1.2社等台区2个应急抢修项目)</v>
      </c>
      <c r="E88" s="32" t="str">
        <f aca="false">IF($B88="","",IF(IFERROR(INDEX(业务流水!$D$5:$D$1504,MATCH(83,业务流水!$X$5:$X$1504,0)),"")="挂靠代收",IFERROR(INDEX(业务流水!$F$5:$F$1504,MATCH(83,业务流水!$X$5:$X$1504,0)),""),IFERROR(INDEX(业务流水!$E$5:$E$1504,MATCH(83,业务流水!$X$5:$X$1504,0)),"")))</f>
        <v>德誉嘉</v>
      </c>
      <c r="F88" s="32" t="str">
        <f aca="false">IFERROR(INDEX(业务流水!$D$5:$D$1504,MATCH(83,业务流水!$X$5:$X$1504,0)),"")</f>
        <v>我方收款</v>
      </c>
      <c r="G88" s="41" t="n">
        <f aca="false">IF($F88="挂靠代收",N(IFERROR(INDEX(业务流水!$H$5:$H$1504,MATCH(83,业务流水!$X$5:$X$1504,0)),"")),0)</f>
        <v>0</v>
      </c>
      <c r="H88" s="41" t="n">
        <f aca="false">IF($F88="我方收款",N(IFERROR(INDEX(业务流水!$H$5:$H$1504,MATCH(83,业务流水!$X$5:$X$1504,0)),"")),0)</f>
        <v>5169.09</v>
      </c>
      <c r="I88" s="42" t="n">
        <f aca="false">IF($B88="","",SUMIFS($G$6:$G88,$E$6:$E88,$E88)-SUMIFS($H$6:$H88,$E$6:$E88,$E88))</f>
        <v>8397.57</v>
      </c>
      <c r="J88" s="40" t="str">
        <f aca="false">IFERROR(INDEX(业务流水!$J$5:$J$1504,MATCH(83,业务流水!$X$5:$X$1504,0)),"")</f>
        <v>2026.8.3仟茂收到德誉嘉款项：平镇线新桥社台</v>
      </c>
    </row>
    <row r="89" customFormat="false" ht="15.75" hidden="false" customHeight="true" outlineLevel="0" collapsed="false">
      <c r="A89" s="32" t="n">
        <f aca="false">IF($B89="","",84)</f>
        <v>84</v>
      </c>
      <c r="B89" s="50" t="n">
        <f aca="false">IFERROR(INDEX(业务流水!$B$5:$B$1504,MATCH(84,业务流水!$X$5:$X$1504,0)),"")</f>
        <v>46237</v>
      </c>
      <c r="C89" s="32" t="str">
        <f aca="false">IFERROR(INDEX(业务流水!$C$5:$C$1504,MATCH(84,业务流水!$X$5:$X$1504,0)),"")</f>
        <v>A024</v>
      </c>
      <c r="D89" s="40" t="str">
        <f aca="false">IFERROR(INDEX(业务流水!$M$5:$M$1504,MATCH(84,业务流水!$X$5:$X$1504,0)),"")</f>
        <v>铜梁公司2026年配电专业应急抢修抢险等外包项目（黄荆4社等台区4个隐患治理项目、三湾1.2社等台区2个应急抢修项目)</v>
      </c>
      <c r="E89" s="32" t="str">
        <f aca="false">IF($B89="","",IF(IFERROR(INDEX(业务流水!$D$5:$D$1504,MATCH(84,业务流水!$X$5:$X$1504,0)),"")="挂靠代收",IFERROR(INDEX(业务流水!$F$5:$F$1504,MATCH(84,业务流水!$X$5:$X$1504,0)),""),IFERROR(INDEX(业务流水!$E$5:$E$1504,MATCH(84,业务流水!$X$5:$X$1504,0)),"")))</f>
        <v>德誉嘉</v>
      </c>
      <c r="F89" s="32" t="str">
        <f aca="false">IFERROR(INDEX(业务流水!$D$5:$D$1504,MATCH(84,业务流水!$X$5:$X$1504,0)),"")</f>
        <v>我方收款</v>
      </c>
      <c r="G89" s="41" t="n">
        <f aca="false">IF($F89="挂靠代收",N(IFERROR(INDEX(业务流水!$H$5:$H$1504,MATCH(84,业务流水!$X$5:$X$1504,0)),"")),0)</f>
        <v>0</v>
      </c>
      <c r="H89" s="41" t="n">
        <f aca="false">IF($F89="我方收款",N(IFERROR(INDEX(业务流水!$H$5:$H$1504,MATCH(84,业务流水!$X$5:$X$1504,0)),"")),0)</f>
        <v>5822.08</v>
      </c>
      <c r="I89" s="42" t="n">
        <f aca="false">IF($B89="","",SUMIFS($G$6:$G89,$E$6:$E89,$E89)-SUMIFS($H$6:$H89,$E$6:$E89,$E89))</f>
        <v>2575.49</v>
      </c>
      <c r="J89" s="40" t="str">
        <f aca="false">IFERROR(INDEX(业务流水!$J$5:$J$1504,MATCH(84,业务流水!$X$5:$X$1504,0)),"")</f>
        <v>2026.8.3仟茂收到德誉嘉款项：侣新线凤飞7社</v>
      </c>
    </row>
    <row r="90" customFormat="false" ht="15.75" hidden="false" customHeight="true" outlineLevel="0" collapsed="false">
      <c r="A90" s="32" t="n">
        <f aca="false">IF($B90="","",85)</f>
        <v>85</v>
      </c>
      <c r="B90" s="50" t="n">
        <f aca="false">IFERROR(INDEX(业务流水!$B$5:$B$1504,MATCH(85,业务流水!$X$5:$X$1504,0)),"")</f>
        <v>46239</v>
      </c>
      <c r="C90" s="32" t="str">
        <f aca="false">IFERROR(INDEX(业务流水!$C$5:$C$1504,MATCH(85,业务流水!$X$5:$X$1504,0)),"")</f>
        <v>A001</v>
      </c>
      <c r="D90" s="40" t="str">
        <f aca="false">IFERROR(INDEX(业务流水!$M$5:$M$1504,MATCH(85,业务流水!$X$5:$X$1504,0)),"")</f>
        <v>2025-2026年度工程用施工机具等租赁服务（重庆铜梁10kV大太线老旧线路改造工程）</v>
      </c>
      <c r="E90" s="32" t="str">
        <f aca="false">IF($B90="","",IF(IFERROR(INDEX(业务流水!$D$5:$D$1504,MATCH(85,业务流水!$X$5:$X$1504,0)),"")="挂靠代收",IFERROR(INDEX(业务流水!$F$5:$F$1504,MATCH(85,业务流水!$X$5:$X$1504,0)),""),IFERROR(INDEX(业务流水!$E$5:$E$1504,MATCH(85,业务流水!$X$5:$X$1504,0)),"")))</f>
        <v>德誉嘉</v>
      </c>
      <c r="F90" s="32" t="str">
        <f aca="false">IFERROR(INDEX(业务流水!$D$5:$D$1504,MATCH(85,业务流水!$X$5:$X$1504,0)),"")</f>
        <v>挂靠代收</v>
      </c>
      <c r="G90" s="41" t="n">
        <f aca="false">IF($F90="挂靠代收",N(IFERROR(INDEX(业务流水!$H$5:$H$1504,MATCH(85,业务流水!$X$5:$X$1504,0)),"")),0)</f>
        <v>132941</v>
      </c>
      <c r="H90" s="41" t="n">
        <f aca="false">IF($F90="我方收款",N(IFERROR(INDEX(业务流水!$H$5:$H$1504,MATCH(85,业务流水!$X$5:$X$1504,0)),"")),0)</f>
        <v>0</v>
      </c>
      <c r="I90" s="42" t="n">
        <f aca="false">IF($B90="","",SUMIFS($G$6:$G90,$E$6:$E90,$E90)-SUMIFS($H$6:$H90,$E$6:$E90,$E90))</f>
        <v>135516.49</v>
      </c>
      <c r="J90" s="40" t="str">
        <f aca="false">IFERROR(INDEX(业务流水!$J$5:$J$1504,MATCH(85,业务流水!$X$5:$X$1504,0)),"")</f>
        <v>2026.8.5德誉嘉收到民能款项：大太线</v>
      </c>
    </row>
    <row r="91" customFormat="false" ht="15.75" hidden="false" customHeight="true" outlineLevel="0" collapsed="false">
      <c r="A91" s="32" t="n">
        <f aca="false">IF($B91="","",86)</f>
        <v>86</v>
      </c>
      <c r="B91" s="50" t="n">
        <f aca="false">IFERROR(INDEX(业务流水!$B$5:$B$1504,MATCH(86,业务流水!$X$5:$X$1504,0)),"")</f>
        <v>46260</v>
      </c>
      <c r="C91" s="32" t="str">
        <f aca="false">IFERROR(INDEX(业务流水!$C$5:$C$1504,MATCH(86,业务流水!$X$5:$X$1504,0)),"")</f>
        <v>A019</v>
      </c>
      <c r="D91" s="40" t="str">
        <f aca="false">IFERROR(INDEX(业务流水!$M$5:$M$1504,MATCH(86,业务流水!$X$5:$X$1504,0)),"")</f>
        <v>重庆德誉佳实业有限公司2025-2026年度工程用施工机具等租赁服务框架采购（国网重庆铜梁公司110kV金湖东西电缆改造）</v>
      </c>
      <c r="E91" s="32" t="str">
        <f aca="false">IF($B91="","",IF(IFERROR(INDEX(业务流水!$D$5:$D$1504,MATCH(86,业务流水!$X$5:$X$1504,0)),"")="挂靠代收",IFERROR(INDEX(业务流水!$F$5:$F$1504,MATCH(86,业务流水!$X$5:$X$1504,0)),""),IFERROR(INDEX(业务流水!$E$5:$E$1504,MATCH(86,业务流水!$X$5:$X$1504,0)),"")))</f>
        <v>德誉嘉</v>
      </c>
      <c r="F91" s="32" t="str">
        <f aca="false">IFERROR(INDEX(业务流水!$D$5:$D$1504,MATCH(86,业务流水!$X$5:$X$1504,0)),"")</f>
        <v>挂靠代收</v>
      </c>
      <c r="G91" s="41" t="n">
        <f aca="false">IF($F91="挂靠代收",N(IFERROR(INDEX(业务流水!$H$5:$H$1504,MATCH(86,业务流水!$X$5:$X$1504,0)),"")),0)</f>
        <v>54170</v>
      </c>
      <c r="H91" s="41" t="n">
        <f aca="false">IF($F91="我方收款",N(IFERROR(INDEX(业务流水!$H$5:$H$1504,MATCH(86,业务流水!$X$5:$X$1504,0)),"")),0)</f>
        <v>0</v>
      </c>
      <c r="I91" s="42" t="n">
        <f aca="false">IF($B91="","",SUMIFS($G$6:$G91,$E$6:$E91,$E91)-SUMIFS($H$6:$H91,$E$6:$E91,$E91))</f>
        <v>189686.49</v>
      </c>
      <c r="J91" s="40" t="str">
        <f aca="false">IFERROR(INDEX(业务流水!$J$5:$J$1504,MATCH(86,业务流水!$X$5:$X$1504,0)),"")</f>
        <v>2026.8.26仟茂收到德誉嘉款项：金湖东西线</v>
      </c>
    </row>
    <row r="92" customFormat="false" ht="15.75" hidden="false" customHeight="true" outlineLevel="0" collapsed="false">
      <c r="A92" s="32" t="n">
        <f aca="false">IF($B92="","",87)</f>
        <v>87</v>
      </c>
      <c r="B92" s="50" t="n">
        <f aca="false">IFERROR(INDEX(业务流水!$B$5:$B$1504,MATCH(87,业务流水!$X$5:$X$1504,0)),"")</f>
        <v>46260</v>
      </c>
      <c r="C92" s="32" t="str">
        <f aca="false">IFERROR(INDEX(业务流水!$C$5:$C$1504,MATCH(87,业务流水!$X$5:$X$1504,0)),"")</f>
        <v>A019</v>
      </c>
      <c r="D92" s="40" t="str">
        <f aca="false">IFERROR(INDEX(业务流水!$M$5:$M$1504,MATCH(87,业务流水!$X$5:$X$1504,0)),"")</f>
        <v>重庆德誉佳实业有限公司2025-2026年度工程用施工机具等租赁服务框架采购（国网重庆铜梁公司110kV金湖东西电缆改造）</v>
      </c>
      <c r="E92" s="32" t="str">
        <f aca="false">IF($B92="","",IF(IFERROR(INDEX(业务流水!$D$5:$D$1504,MATCH(87,业务流水!$X$5:$X$1504,0)),"")="挂靠代收",IFERROR(INDEX(业务流水!$F$5:$F$1504,MATCH(87,业务流水!$X$5:$X$1504,0)),""),IFERROR(INDEX(业务流水!$E$5:$E$1504,MATCH(87,业务流水!$X$5:$X$1504,0)),"")))</f>
        <v>德誉嘉</v>
      </c>
      <c r="F92" s="32" t="str">
        <f aca="false">IFERROR(INDEX(业务流水!$D$5:$D$1504,MATCH(87,业务流水!$X$5:$X$1504,0)),"")</f>
        <v>我方收款</v>
      </c>
      <c r="G92" s="41" t="n">
        <f aca="false">IF($F92="挂靠代收",N(IFERROR(INDEX(业务流水!$H$5:$H$1504,MATCH(87,业务流水!$X$5:$X$1504,0)),"")),0)</f>
        <v>0</v>
      </c>
      <c r="H92" s="41" t="n">
        <f aca="false">IF($F92="我方收款",N(IFERROR(INDEX(业务流水!$H$5:$H$1504,MATCH(87,业务流水!$X$5:$X$1504,0)),"")),0)</f>
        <v>49836.4</v>
      </c>
      <c r="I92" s="42" t="n">
        <f aca="false">IF($B92="","",SUMIFS($G$6:$G92,$E$6:$E92,$E92)-SUMIFS($H$6:$H92,$E$6:$E92,$E92))</f>
        <v>139850.09</v>
      </c>
      <c r="J92" s="40" t="str">
        <f aca="false">IFERROR(INDEX(业务流水!$J$5:$J$1504,MATCH(87,业务流水!$X$5:$X$1504,0)),"")</f>
        <v>2026.8.26仟茂收到德誉嘉款项：金湖东西线</v>
      </c>
    </row>
    <row r="93" customFormat="false" ht="15.75" hidden="false" customHeight="true" outlineLevel="0" collapsed="false">
      <c r="A93" s="32" t="str">
        <f aca="false">IF($B93="","",88)</f>
        <v/>
      </c>
      <c r="B93" s="50" t="str">
        <f aca="false">IFERROR(INDEX(业务流水!$B$5:$B$1504,MATCH(88,业务流水!$X$5:$X$1504,0)),"")</f>
        <v/>
      </c>
      <c r="C93" s="32" t="str">
        <f aca="false">IFERROR(INDEX(业务流水!$C$5:$C$1504,MATCH(88,业务流水!$X$5:$X$1504,0)),"")</f>
        <v/>
      </c>
      <c r="D93" s="40" t="str">
        <f aca="false">IFERROR(INDEX(业务流水!$M$5:$M$1504,MATCH(88,业务流水!$X$5:$X$1504,0)),"")</f>
        <v/>
      </c>
      <c r="E93" s="32" t="str">
        <f aca="false">IF($B93="","",IF(IFERROR(INDEX(业务流水!$D$5:$D$1504,MATCH(88,业务流水!$X$5:$X$1504,0)),"")="挂靠代收",IFERROR(INDEX(业务流水!$F$5:$F$1504,MATCH(88,业务流水!$X$5:$X$1504,0)),""),IFERROR(INDEX(业务流水!$E$5:$E$1504,MATCH(88,业务流水!$X$5:$X$1504,0)),"")))</f>
        <v/>
      </c>
      <c r="F93" s="32" t="str">
        <f aca="false">IFERROR(INDEX(业务流水!$D$5:$D$1504,MATCH(88,业务流水!$X$5:$X$1504,0)),"")</f>
        <v/>
      </c>
      <c r="G93" s="41" t="n">
        <f aca="false">IF($F93="挂靠代收",N(IFERROR(INDEX(业务流水!$H$5:$H$1504,MATCH(88,业务流水!$X$5:$X$1504,0)),"")),0)</f>
        <v>0</v>
      </c>
      <c r="H93" s="41" t="n">
        <f aca="false">IF($F93="我方收款",N(IFERROR(INDEX(业务流水!$H$5:$H$1504,MATCH(88,业务流水!$X$5:$X$1504,0)),"")),0)</f>
        <v>0</v>
      </c>
      <c r="I93" s="42" t="str">
        <f aca="false">IF($B93="","",SUMIFS($G$6:$G93,$E$6:$E93,$E93)-SUMIFS($H$6:$H93,$E$6:$E93,$E93))</f>
        <v/>
      </c>
      <c r="J93" s="40" t="str">
        <f aca="false">IFERROR(INDEX(业务流水!$J$5:$J$1504,MATCH(88,业务流水!$X$5:$X$1504,0)),"")</f>
        <v/>
      </c>
    </row>
    <row r="94" customFormat="false" ht="15.75" hidden="false" customHeight="true" outlineLevel="0" collapsed="false">
      <c r="A94" s="32" t="str">
        <f aca="false">IF($B94="","",89)</f>
        <v/>
      </c>
      <c r="B94" s="50" t="str">
        <f aca="false">IFERROR(INDEX(业务流水!$B$5:$B$1504,MATCH(89,业务流水!$X$5:$X$1504,0)),"")</f>
        <v/>
      </c>
      <c r="C94" s="32" t="str">
        <f aca="false">IFERROR(INDEX(业务流水!$C$5:$C$1504,MATCH(89,业务流水!$X$5:$X$1504,0)),"")</f>
        <v/>
      </c>
      <c r="D94" s="40" t="str">
        <f aca="false">IFERROR(INDEX(业务流水!$M$5:$M$1504,MATCH(89,业务流水!$X$5:$X$1504,0)),"")</f>
        <v/>
      </c>
      <c r="E94" s="32" t="str">
        <f aca="false">IF($B94="","",IF(IFERROR(INDEX(业务流水!$D$5:$D$1504,MATCH(89,业务流水!$X$5:$X$1504,0)),"")="挂靠代收",IFERROR(INDEX(业务流水!$F$5:$F$1504,MATCH(89,业务流水!$X$5:$X$1504,0)),""),IFERROR(INDEX(业务流水!$E$5:$E$1504,MATCH(89,业务流水!$X$5:$X$1504,0)),"")))</f>
        <v/>
      </c>
      <c r="F94" s="32" t="str">
        <f aca="false">IFERROR(INDEX(业务流水!$D$5:$D$1504,MATCH(89,业务流水!$X$5:$X$1504,0)),"")</f>
        <v/>
      </c>
      <c r="G94" s="41" t="n">
        <f aca="false">IF($F94="挂靠代收",N(IFERROR(INDEX(业务流水!$H$5:$H$1504,MATCH(89,业务流水!$X$5:$X$1504,0)),"")),0)</f>
        <v>0</v>
      </c>
      <c r="H94" s="41" t="n">
        <f aca="false">IF($F94="我方收款",N(IFERROR(INDEX(业务流水!$H$5:$H$1504,MATCH(89,业务流水!$X$5:$X$1504,0)),"")),0)</f>
        <v>0</v>
      </c>
      <c r="I94" s="42" t="str">
        <f aca="false">IF($B94="","",SUMIFS($G$6:$G94,$E$6:$E94,$E94)-SUMIFS($H$6:$H94,$E$6:$E94,$E94))</f>
        <v/>
      </c>
      <c r="J94" s="40" t="str">
        <f aca="false">IFERROR(INDEX(业务流水!$J$5:$J$1504,MATCH(89,业务流水!$X$5:$X$1504,0)),"")</f>
        <v/>
      </c>
    </row>
    <row r="95" customFormat="false" ht="15.75" hidden="false" customHeight="true" outlineLevel="0" collapsed="false">
      <c r="A95" s="32" t="str">
        <f aca="false">IF($B95="","",90)</f>
        <v/>
      </c>
      <c r="B95" s="50" t="str">
        <f aca="false">IFERROR(INDEX(业务流水!$B$5:$B$1504,MATCH(90,业务流水!$X$5:$X$1504,0)),"")</f>
        <v/>
      </c>
      <c r="C95" s="32" t="str">
        <f aca="false">IFERROR(INDEX(业务流水!$C$5:$C$1504,MATCH(90,业务流水!$X$5:$X$1504,0)),"")</f>
        <v/>
      </c>
      <c r="D95" s="40" t="str">
        <f aca="false">IFERROR(INDEX(业务流水!$M$5:$M$1504,MATCH(90,业务流水!$X$5:$X$1504,0)),"")</f>
        <v/>
      </c>
      <c r="E95" s="32" t="str">
        <f aca="false">IF($B95="","",IF(IFERROR(INDEX(业务流水!$D$5:$D$1504,MATCH(90,业务流水!$X$5:$X$1504,0)),"")="挂靠代收",IFERROR(INDEX(业务流水!$F$5:$F$1504,MATCH(90,业务流水!$X$5:$X$1504,0)),""),IFERROR(INDEX(业务流水!$E$5:$E$1504,MATCH(90,业务流水!$X$5:$X$1504,0)),"")))</f>
        <v/>
      </c>
      <c r="F95" s="32" t="str">
        <f aca="false">IFERROR(INDEX(业务流水!$D$5:$D$1504,MATCH(90,业务流水!$X$5:$X$1504,0)),"")</f>
        <v/>
      </c>
      <c r="G95" s="41" t="n">
        <f aca="false">IF($F95="挂靠代收",N(IFERROR(INDEX(业务流水!$H$5:$H$1504,MATCH(90,业务流水!$X$5:$X$1504,0)),"")),0)</f>
        <v>0</v>
      </c>
      <c r="H95" s="41" t="n">
        <f aca="false">IF($F95="我方收款",N(IFERROR(INDEX(业务流水!$H$5:$H$1504,MATCH(90,业务流水!$X$5:$X$1504,0)),"")),0)</f>
        <v>0</v>
      </c>
      <c r="I95" s="42" t="str">
        <f aca="false">IF($B95="","",SUMIFS($G$6:$G95,$E$6:$E95,$E95)-SUMIFS($H$6:$H95,$E$6:$E95,$E95))</f>
        <v/>
      </c>
      <c r="J95" s="40" t="str">
        <f aca="false">IFERROR(INDEX(业务流水!$J$5:$J$1504,MATCH(90,业务流水!$X$5:$X$1504,0)),"")</f>
        <v/>
      </c>
    </row>
    <row r="96" customFormat="false" ht="15.75" hidden="false" customHeight="true" outlineLevel="0" collapsed="false">
      <c r="A96" s="32" t="str">
        <f aca="false">IF($B96="","",91)</f>
        <v/>
      </c>
      <c r="B96" s="50" t="str">
        <f aca="false">IFERROR(INDEX(业务流水!$B$5:$B$1504,MATCH(91,业务流水!$X$5:$X$1504,0)),"")</f>
        <v/>
      </c>
      <c r="C96" s="32" t="str">
        <f aca="false">IFERROR(INDEX(业务流水!$C$5:$C$1504,MATCH(91,业务流水!$X$5:$X$1504,0)),"")</f>
        <v/>
      </c>
      <c r="D96" s="40" t="str">
        <f aca="false">IFERROR(INDEX(业务流水!$M$5:$M$1504,MATCH(91,业务流水!$X$5:$X$1504,0)),"")</f>
        <v/>
      </c>
      <c r="E96" s="32" t="str">
        <f aca="false">IF($B96="","",IF(IFERROR(INDEX(业务流水!$D$5:$D$1504,MATCH(91,业务流水!$X$5:$X$1504,0)),"")="挂靠代收",IFERROR(INDEX(业务流水!$F$5:$F$1504,MATCH(91,业务流水!$X$5:$X$1504,0)),""),IFERROR(INDEX(业务流水!$E$5:$E$1504,MATCH(91,业务流水!$X$5:$X$1504,0)),"")))</f>
        <v/>
      </c>
      <c r="F96" s="32" t="str">
        <f aca="false">IFERROR(INDEX(业务流水!$D$5:$D$1504,MATCH(91,业务流水!$X$5:$X$1504,0)),"")</f>
        <v/>
      </c>
      <c r="G96" s="41" t="n">
        <f aca="false">IF($F96="挂靠代收",N(IFERROR(INDEX(业务流水!$H$5:$H$1504,MATCH(91,业务流水!$X$5:$X$1504,0)),"")),0)</f>
        <v>0</v>
      </c>
      <c r="H96" s="41" t="n">
        <f aca="false">IF($F96="我方收款",N(IFERROR(INDEX(业务流水!$H$5:$H$1504,MATCH(91,业务流水!$X$5:$X$1504,0)),"")),0)</f>
        <v>0</v>
      </c>
      <c r="I96" s="42" t="str">
        <f aca="false">IF($B96="","",SUMIFS($G$6:$G96,$E$6:$E96,$E96)-SUMIFS($H$6:$H96,$E$6:$E96,$E96))</f>
        <v/>
      </c>
      <c r="J96" s="40" t="str">
        <f aca="false">IFERROR(INDEX(业务流水!$J$5:$J$1504,MATCH(91,业务流水!$X$5:$X$1504,0)),"")</f>
        <v/>
      </c>
    </row>
    <row r="97" customFormat="false" ht="15.75" hidden="false" customHeight="true" outlineLevel="0" collapsed="false">
      <c r="A97" s="32" t="str">
        <f aca="false">IF($B97="","",92)</f>
        <v/>
      </c>
      <c r="B97" s="50" t="str">
        <f aca="false">IFERROR(INDEX(业务流水!$B$5:$B$1504,MATCH(92,业务流水!$X$5:$X$1504,0)),"")</f>
        <v/>
      </c>
      <c r="C97" s="32" t="str">
        <f aca="false">IFERROR(INDEX(业务流水!$C$5:$C$1504,MATCH(92,业务流水!$X$5:$X$1504,0)),"")</f>
        <v/>
      </c>
      <c r="D97" s="40" t="str">
        <f aca="false">IFERROR(INDEX(业务流水!$M$5:$M$1504,MATCH(92,业务流水!$X$5:$X$1504,0)),"")</f>
        <v/>
      </c>
      <c r="E97" s="32" t="str">
        <f aca="false">IF($B97="","",IF(IFERROR(INDEX(业务流水!$D$5:$D$1504,MATCH(92,业务流水!$X$5:$X$1504,0)),"")="挂靠代收",IFERROR(INDEX(业务流水!$F$5:$F$1504,MATCH(92,业务流水!$X$5:$X$1504,0)),""),IFERROR(INDEX(业务流水!$E$5:$E$1504,MATCH(92,业务流水!$X$5:$X$1504,0)),"")))</f>
        <v/>
      </c>
      <c r="F97" s="32" t="str">
        <f aca="false">IFERROR(INDEX(业务流水!$D$5:$D$1504,MATCH(92,业务流水!$X$5:$X$1504,0)),"")</f>
        <v/>
      </c>
      <c r="G97" s="41" t="n">
        <f aca="false">IF($F97="挂靠代收",N(IFERROR(INDEX(业务流水!$H$5:$H$1504,MATCH(92,业务流水!$X$5:$X$1504,0)),"")),0)</f>
        <v>0</v>
      </c>
      <c r="H97" s="41" t="n">
        <f aca="false">IF($F97="我方收款",N(IFERROR(INDEX(业务流水!$H$5:$H$1504,MATCH(92,业务流水!$X$5:$X$1504,0)),"")),0)</f>
        <v>0</v>
      </c>
      <c r="I97" s="42" t="str">
        <f aca="false">IF($B97="","",SUMIFS($G$6:$G97,$E$6:$E97,$E97)-SUMIFS($H$6:$H97,$E$6:$E97,$E97))</f>
        <v/>
      </c>
      <c r="J97" s="40" t="str">
        <f aca="false">IFERROR(INDEX(业务流水!$J$5:$J$1504,MATCH(92,业务流水!$X$5:$X$1504,0)),"")</f>
        <v/>
      </c>
    </row>
    <row r="98" customFormat="false" ht="15.75" hidden="false" customHeight="true" outlineLevel="0" collapsed="false">
      <c r="A98" s="32" t="str">
        <f aca="false">IF($B98="","",93)</f>
        <v/>
      </c>
      <c r="B98" s="50" t="str">
        <f aca="false">IFERROR(INDEX(业务流水!$B$5:$B$1504,MATCH(93,业务流水!$X$5:$X$1504,0)),"")</f>
        <v/>
      </c>
      <c r="C98" s="32" t="str">
        <f aca="false">IFERROR(INDEX(业务流水!$C$5:$C$1504,MATCH(93,业务流水!$X$5:$X$1504,0)),"")</f>
        <v/>
      </c>
      <c r="D98" s="40" t="str">
        <f aca="false">IFERROR(INDEX(业务流水!$M$5:$M$1504,MATCH(93,业务流水!$X$5:$X$1504,0)),"")</f>
        <v/>
      </c>
      <c r="E98" s="32" t="str">
        <f aca="false">IF($B98="","",IF(IFERROR(INDEX(业务流水!$D$5:$D$1504,MATCH(93,业务流水!$X$5:$X$1504,0)),"")="挂靠代收",IFERROR(INDEX(业务流水!$F$5:$F$1504,MATCH(93,业务流水!$X$5:$X$1504,0)),""),IFERROR(INDEX(业务流水!$E$5:$E$1504,MATCH(93,业务流水!$X$5:$X$1504,0)),"")))</f>
        <v/>
      </c>
      <c r="F98" s="32" t="str">
        <f aca="false">IFERROR(INDEX(业务流水!$D$5:$D$1504,MATCH(93,业务流水!$X$5:$X$1504,0)),"")</f>
        <v/>
      </c>
      <c r="G98" s="41" t="n">
        <f aca="false">IF($F98="挂靠代收",N(IFERROR(INDEX(业务流水!$H$5:$H$1504,MATCH(93,业务流水!$X$5:$X$1504,0)),"")),0)</f>
        <v>0</v>
      </c>
      <c r="H98" s="41" t="n">
        <f aca="false">IF($F98="我方收款",N(IFERROR(INDEX(业务流水!$H$5:$H$1504,MATCH(93,业务流水!$X$5:$X$1504,0)),"")),0)</f>
        <v>0</v>
      </c>
      <c r="I98" s="42" t="str">
        <f aca="false">IF($B98="","",SUMIFS($G$6:$G98,$E$6:$E98,$E98)-SUMIFS($H$6:$H98,$E$6:$E98,$E98))</f>
        <v/>
      </c>
      <c r="J98" s="40" t="str">
        <f aca="false">IFERROR(INDEX(业务流水!$J$5:$J$1504,MATCH(93,业务流水!$X$5:$X$1504,0)),"")</f>
        <v/>
      </c>
    </row>
    <row r="99" customFormat="false" ht="15.75" hidden="false" customHeight="true" outlineLevel="0" collapsed="false">
      <c r="A99" s="32" t="str">
        <f aca="false">IF($B99="","",94)</f>
        <v/>
      </c>
      <c r="B99" s="50" t="str">
        <f aca="false">IFERROR(INDEX(业务流水!$B$5:$B$1504,MATCH(94,业务流水!$X$5:$X$1504,0)),"")</f>
        <v/>
      </c>
      <c r="C99" s="32" t="str">
        <f aca="false">IFERROR(INDEX(业务流水!$C$5:$C$1504,MATCH(94,业务流水!$X$5:$X$1504,0)),"")</f>
        <v/>
      </c>
      <c r="D99" s="40" t="str">
        <f aca="false">IFERROR(INDEX(业务流水!$M$5:$M$1504,MATCH(94,业务流水!$X$5:$X$1504,0)),"")</f>
        <v/>
      </c>
      <c r="E99" s="32" t="str">
        <f aca="false">IF($B99="","",IF(IFERROR(INDEX(业务流水!$D$5:$D$1504,MATCH(94,业务流水!$X$5:$X$1504,0)),"")="挂靠代收",IFERROR(INDEX(业务流水!$F$5:$F$1504,MATCH(94,业务流水!$X$5:$X$1504,0)),""),IFERROR(INDEX(业务流水!$E$5:$E$1504,MATCH(94,业务流水!$X$5:$X$1504,0)),"")))</f>
        <v/>
      </c>
      <c r="F99" s="32" t="str">
        <f aca="false">IFERROR(INDEX(业务流水!$D$5:$D$1504,MATCH(94,业务流水!$X$5:$X$1504,0)),"")</f>
        <v/>
      </c>
      <c r="G99" s="41" t="n">
        <f aca="false">IF($F99="挂靠代收",N(IFERROR(INDEX(业务流水!$H$5:$H$1504,MATCH(94,业务流水!$X$5:$X$1504,0)),"")),0)</f>
        <v>0</v>
      </c>
      <c r="H99" s="41" t="n">
        <f aca="false">IF($F99="我方收款",N(IFERROR(INDEX(业务流水!$H$5:$H$1504,MATCH(94,业务流水!$X$5:$X$1504,0)),"")),0)</f>
        <v>0</v>
      </c>
      <c r="I99" s="42" t="str">
        <f aca="false">IF($B99="","",SUMIFS($G$6:$G99,$E$6:$E99,$E99)-SUMIFS($H$6:$H99,$E$6:$E99,$E99))</f>
        <v/>
      </c>
      <c r="J99" s="40" t="str">
        <f aca="false">IFERROR(INDEX(业务流水!$J$5:$J$1504,MATCH(94,业务流水!$X$5:$X$1504,0)),"")</f>
        <v/>
      </c>
    </row>
    <row r="100" customFormat="false" ht="15.75" hidden="false" customHeight="true" outlineLevel="0" collapsed="false">
      <c r="A100" s="32" t="str">
        <f aca="false">IF($B100="","",95)</f>
        <v/>
      </c>
      <c r="B100" s="50" t="str">
        <f aca="false">IFERROR(INDEX(业务流水!$B$5:$B$1504,MATCH(95,业务流水!$X$5:$X$1504,0)),"")</f>
        <v/>
      </c>
      <c r="C100" s="32" t="str">
        <f aca="false">IFERROR(INDEX(业务流水!$C$5:$C$1504,MATCH(95,业务流水!$X$5:$X$1504,0)),"")</f>
        <v/>
      </c>
      <c r="D100" s="40" t="str">
        <f aca="false">IFERROR(INDEX(业务流水!$M$5:$M$1504,MATCH(95,业务流水!$X$5:$X$1504,0)),"")</f>
        <v/>
      </c>
      <c r="E100" s="32" t="str">
        <f aca="false">IF($B100="","",IF(IFERROR(INDEX(业务流水!$D$5:$D$1504,MATCH(95,业务流水!$X$5:$X$1504,0)),"")="挂靠代收",IFERROR(INDEX(业务流水!$F$5:$F$1504,MATCH(95,业务流水!$X$5:$X$1504,0)),""),IFERROR(INDEX(业务流水!$E$5:$E$1504,MATCH(95,业务流水!$X$5:$X$1504,0)),"")))</f>
        <v/>
      </c>
      <c r="F100" s="32" t="str">
        <f aca="false">IFERROR(INDEX(业务流水!$D$5:$D$1504,MATCH(95,业务流水!$X$5:$X$1504,0)),"")</f>
        <v/>
      </c>
      <c r="G100" s="41" t="n">
        <f aca="false">IF($F100="挂靠代收",N(IFERROR(INDEX(业务流水!$H$5:$H$1504,MATCH(95,业务流水!$X$5:$X$1504,0)),"")),0)</f>
        <v>0</v>
      </c>
      <c r="H100" s="41" t="n">
        <f aca="false">IF($F100="我方收款",N(IFERROR(INDEX(业务流水!$H$5:$H$1504,MATCH(95,业务流水!$X$5:$X$1504,0)),"")),0)</f>
        <v>0</v>
      </c>
      <c r="I100" s="42" t="str">
        <f aca="false">IF($B100="","",SUMIFS($G$6:$G100,$E$6:$E100,$E100)-SUMIFS($H$6:$H100,$E$6:$E100,$E100))</f>
        <v/>
      </c>
      <c r="J100" s="40" t="str">
        <f aca="false">IFERROR(INDEX(业务流水!$J$5:$J$1504,MATCH(95,业务流水!$X$5:$X$1504,0)),"")</f>
        <v/>
      </c>
    </row>
    <row r="101" customFormat="false" ht="15.75" hidden="false" customHeight="true" outlineLevel="0" collapsed="false">
      <c r="A101" s="32" t="str">
        <f aca="false">IF($B101="","",96)</f>
        <v/>
      </c>
      <c r="B101" s="50" t="str">
        <f aca="false">IFERROR(INDEX(业务流水!$B$5:$B$1504,MATCH(96,业务流水!$X$5:$X$1504,0)),"")</f>
        <v/>
      </c>
      <c r="C101" s="32" t="str">
        <f aca="false">IFERROR(INDEX(业务流水!$C$5:$C$1504,MATCH(96,业务流水!$X$5:$X$1504,0)),"")</f>
        <v/>
      </c>
      <c r="D101" s="40" t="str">
        <f aca="false">IFERROR(INDEX(业务流水!$M$5:$M$1504,MATCH(96,业务流水!$X$5:$X$1504,0)),"")</f>
        <v/>
      </c>
      <c r="E101" s="32" t="str">
        <f aca="false">IF($B101="","",IF(IFERROR(INDEX(业务流水!$D$5:$D$1504,MATCH(96,业务流水!$X$5:$X$1504,0)),"")="挂靠代收",IFERROR(INDEX(业务流水!$F$5:$F$1504,MATCH(96,业务流水!$X$5:$X$1504,0)),""),IFERROR(INDEX(业务流水!$E$5:$E$1504,MATCH(96,业务流水!$X$5:$X$1504,0)),"")))</f>
        <v/>
      </c>
      <c r="F101" s="32" t="str">
        <f aca="false">IFERROR(INDEX(业务流水!$D$5:$D$1504,MATCH(96,业务流水!$X$5:$X$1504,0)),"")</f>
        <v/>
      </c>
      <c r="G101" s="41" t="n">
        <f aca="false">IF($F101="挂靠代收",N(IFERROR(INDEX(业务流水!$H$5:$H$1504,MATCH(96,业务流水!$X$5:$X$1504,0)),"")),0)</f>
        <v>0</v>
      </c>
      <c r="H101" s="41" t="n">
        <f aca="false">IF($F101="我方收款",N(IFERROR(INDEX(业务流水!$H$5:$H$1504,MATCH(96,业务流水!$X$5:$X$1504,0)),"")),0)</f>
        <v>0</v>
      </c>
      <c r="I101" s="42" t="str">
        <f aca="false">IF($B101="","",SUMIFS($G$6:$G101,$E$6:$E101,$E101)-SUMIFS($H$6:$H101,$E$6:$E101,$E101))</f>
        <v/>
      </c>
      <c r="J101" s="40" t="str">
        <f aca="false">IFERROR(INDEX(业务流水!$J$5:$J$1504,MATCH(96,业务流水!$X$5:$X$1504,0)),"")</f>
        <v/>
      </c>
    </row>
    <row r="102" customFormat="false" ht="15.75" hidden="false" customHeight="true" outlineLevel="0" collapsed="false">
      <c r="A102" s="32" t="str">
        <f aca="false">IF($B102="","",97)</f>
        <v/>
      </c>
      <c r="B102" s="50" t="str">
        <f aca="false">IFERROR(INDEX(业务流水!$B$5:$B$1504,MATCH(97,业务流水!$X$5:$X$1504,0)),"")</f>
        <v/>
      </c>
      <c r="C102" s="32" t="str">
        <f aca="false">IFERROR(INDEX(业务流水!$C$5:$C$1504,MATCH(97,业务流水!$X$5:$X$1504,0)),"")</f>
        <v/>
      </c>
      <c r="D102" s="40" t="str">
        <f aca="false">IFERROR(INDEX(业务流水!$M$5:$M$1504,MATCH(97,业务流水!$X$5:$X$1504,0)),"")</f>
        <v/>
      </c>
      <c r="E102" s="32" t="str">
        <f aca="false">IF($B102="","",IF(IFERROR(INDEX(业务流水!$D$5:$D$1504,MATCH(97,业务流水!$X$5:$X$1504,0)),"")="挂靠代收",IFERROR(INDEX(业务流水!$F$5:$F$1504,MATCH(97,业务流水!$X$5:$X$1504,0)),""),IFERROR(INDEX(业务流水!$E$5:$E$1504,MATCH(97,业务流水!$X$5:$X$1504,0)),"")))</f>
        <v/>
      </c>
      <c r="F102" s="32" t="str">
        <f aca="false">IFERROR(INDEX(业务流水!$D$5:$D$1504,MATCH(97,业务流水!$X$5:$X$1504,0)),"")</f>
        <v/>
      </c>
      <c r="G102" s="41" t="n">
        <f aca="false">IF($F102="挂靠代收",N(IFERROR(INDEX(业务流水!$H$5:$H$1504,MATCH(97,业务流水!$X$5:$X$1504,0)),"")),0)</f>
        <v>0</v>
      </c>
      <c r="H102" s="41" t="n">
        <f aca="false">IF($F102="我方收款",N(IFERROR(INDEX(业务流水!$H$5:$H$1504,MATCH(97,业务流水!$X$5:$X$1504,0)),"")),0)</f>
        <v>0</v>
      </c>
      <c r="I102" s="42" t="str">
        <f aca="false">IF($B102="","",SUMIFS($G$6:$G102,$E$6:$E102,$E102)-SUMIFS($H$6:$H102,$E$6:$E102,$E102))</f>
        <v/>
      </c>
      <c r="J102" s="40" t="str">
        <f aca="false">IFERROR(INDEX(业务流水!$J$5:$J$1504,MATCH(97,业务流水!$X$5:$X$1504,0)),"")</f>
        <v/>
      </c>
    </row>
    <row r="103" customFormat="false" ht="15.75" hidden="false" customHeight="true" outlineLevel="0" collapsed="false">
      <c r="A103" s="32" t="str">
        <f aca="false">IF($B103="","",98)</f>
        <v/>
      </c>
      <c r="B103" s="50" t="str">
        <f aca="false">IFERROR(INDEX(业务流水!$B$5:$B$1504,MATCH(98,业务流水!$X$5:$X$1504,0)),"")</f>
        <v/>
      </c>
      <c r="C103" s="32" t="str">
        <f aca="false">IFERROR(INDEX(业务流水!$C$5:$C$1504,MATCH(98,业务流水!$X$5:$X$1504,0)),"")</f>
        <v/>
      </c>
      <c r="D103" s="40" t="str">
        <f aca="false">IFERROR(INDEX(业务流水!$M$5:$M$1504,MATCH(98,业务流水!$X$5:$X$1504,0)),"")</f>
        <v/>
      </c>
      <c r="E103" s="32" t="str">
        <f aca="false">IF($B103="","",IF(IFERROR(INDEX(业务流水!$D$5:$D$1504,MATCH(98,业务流水!$X$5:$X$1504,0)),"")="挂靠代收",IFERROR(INDEX(业务流水!$F$5:$F$1504,MATCH(98,业务流水!$X$5:$X$1504,0)),""),IFERROR(INDEX(业务流水!$E$5:$E$1504,MATCH(98,业务流水!$X$5:$X$1504,0)),"")))</f>
        <v/>
      </c>
      <c r="F103" s="32" t="str">
        <f aca="false">IFERROR(INDEX(业务流水!$D$5:$D$1504,MATCH(98,业务流水!$X$5:$X$1504,0)),"")</f>
        <v/>
      </c>
      <c r="G103" s="41" t="n">
        <f aca="false">IF($F103="挂靠代收",N(IFERROR(INDEX(业务流水!$H$5:$H$1504,MATCH(98,业务流水!$X$5:$X$1504,0)),"")),0)</f>
        <v>0</v>
      </c>
      <c r="H103" s="41" t="n">
        <f aca="false">IF($F103="我方收款",N(IFERROR(INDEX(业务流水!$H$5:$H$1504,MATCH(98,业务流水!$X$5:$X$1504,0)),"")),0)</f>
        <v>0</v>
      </c>
      <c r="I103" s="42" t="str">
        <f aca="false">IF($B103="","",SUMIFS($G$6:$G103,$E$6:$E103,$E103)-SUMIFS($H$6:$H103,$E$6:$E103,$E103))</f>
        <v/>
      </c>
      <c r="J103" s="40" t="str">
        <f aca="false">IFERROR(INDEX(业务流水!$J$5:$J$1504,MATCH(98,业务流水!$X$5:$X$1504,0)),"")</f>
        <v/>
      </c>
    </row>
    <row r="104" customFormat="false" ht="15.75" hidden="false" customHeight="true" outlineLevel="0" collapsed="false">
      <c r="A104" s="32" t="str">
        <f aca="false">IF($B104="","",99)</f>
        <v/>
      </c>
      <c r="B104" s="50" t="str">
        <f aca="false">IFERROR(INDEX(业务流水!$B$5:$B$1504,MATCH(99,业务流水!$X$5:$X$1504,0)),"")</f>
        <v/>
      </c>
      <c r="C104" s="32" t="str">
        <f aca="false">IFERROR(INDEX(业务流水!$C$5:$C$1504,MATCH(99,业务流水!$X$5:$X$1504,0)),"")</f>
        <v/>
      </c>
      <c r="D104" s="40" t="str">
        <f aca="false">IFERROR(INDEX(业务流水!$M$5:$M$1504,MATCH(99,业务流水!$X$5:$X$1504,0)),"")</f>
        <v/>
      </c>
      <c r="E104" s="32" t="str">
        <f aca="false">IF($B104="","",IF(IFERROR(INDEX(业务流水!$D$5:$D$1504,MATCH(99,业务流水!$X$5:$X$1504,0)),"")="挂靠代收",IFERROR(INDEX(业务流水!$F$5:$F$1504,MATCH(99,业务流水!$X$5:$X$1504,0)),""),IFERROR(INDEX(业务流水!$E$5:$E$1504,MATCH(99,业务流水!$X$5:$X$1504,0)),"")))</f>
        <v/>
      </c>
      <c r="F104" s="32" t="str">
        <f aca="false">IFERROR(INDEX(业务流水!$D$5:$D$1504,MATCH(99,业务流水!$X$5:$X$1504,0)),"")</f>
        <v/>
      </c>
      <c r="G104" s="41" t="n">
        <f aca="false">IF($F104="挂靠代收",N(IFERROR(INDEX(业务流水!$H$5:$H$1504,MATCH(99,业务流水!$X$5:$X$1504,0)),"")),0)</f>
        <v>0</v>
      </c>
      <c r="H104" s="41" t="n">
        <f aca="false">IF($F104="我方收款",N(IFERROR(INDEX(业务流水!$H$5:$H$1504,MATCH(99,业务流水!$X$5:$X$1504,0)),"")),0)</f>
        <v>0</v>
      </c>
      <c r="I104" s="42" t="str">
        <f aca="false">IF($B104="","",SUMIFS($G$6:$G104,$E$6:$E104,$E104)-SUMIFS($H$6:$H104,$E$6:$E104,$E104))</f>
        <v/>
      </c>
      <c r="J104" s="40" t="str">
        <f aca="false">IFERROR(INDEX(业务流水!$J$5:$J$1504,MATCH(99,业务流水!$X$5:$X$1504,0)),"")</f>
        <v/>
      </c>
    </row>
    <row r="105" customFormat="false" ht="15.75" hidden="false" customHeight="true" outlineLevel="0" collapsed="false">
      <c r="A105" s="32" t="str">
        <f aca="false">IF($B105="","",100)</f>
        <v/>
      </c>
      <c r="B105" s="50" t="str">
        <f aca="false">IFERROR(INDEX(业务流水!$B$5:$B$1504,MATCH(100,业务流水!$X$5:$X$1504,0)),"")</f>
        <v/>
      </c>
      <c r="C105" s="32" t="str">
        <f aca="false">IFERROR(INDEX(业务流水!$C$5:$C$1504,MATCH(100,业务流水!$X$5:$X$1504,0)),"")</f>
        <v/>
      </c>
      <c r="D105" s="40" t="str">
        <f aca="false">IFERROR(INDEX(业务流水!$M$5:$M$1504,MATCH(100,业务流水!$X$5:$X$1504,0)),"")</f>
        <v/>
      </c>
      <c r="E105" s="32" t="str">
        <f aca="false">IF($B105="","",IF(IFERROR(INDEX(业务流水!$D$5:$D$1504,MATCH(100,业务流水!$X$5:$X$1504,0)),"")="挂靠代收",IFERROR(INDEX(业务流水!$F$5:$F$1504,MATCH(100,业务流水!$X$5:$X$1504,0)),""),IFERROR(INDEX(业务流水!$E$5:$E$1504,MATCH(100,业务流水!$X$5:$X$1504,0)),"")))</f>
        <v/>
      </c>
      <c r="F105" s="32" t="str">
        <f aca="false">IFERROR(INDEX(业务流水!$D$5:$D$1504,MATCH(100,业务流水!$X$5:$X$1504,0)),"")</f>
        <v/>
      </c>
      <c r="G105" s="41" t="n">
        <f aca="false">IF($F105="挂靠代收",N(IFERROR(INDEX(业务流水!$H$5:$H$1504,MATCH(100,业务流水!$X$5:$X$1504,0)),"")),0)</f>
        <v>0</v>
      </c>
      <c r="H105" s="41" t="n">
        <f aca="false">IF($F105="我方收款",N(IFERROR(INDEX(业务流水!$H$5:$H$1504,MATCH(100,业务流水!$X$5:$X$1504,0)),"")),0)</f>
        <v>0</v>
      </c>
      <c r="I105" s="42" t="str">
        <f aca="false">IF($B105="","",SUMIFS($G$6:$G105,$E$6:$E105,$E105)-SUMIFS($H$6:$H105,$E$6:$E105,$E105))</f>
        <v/>
      </c>
      <c r="J105" s="40" t="str">
        <f aca="false">IFERROR(INDEX(业务流水!$J$5:$J$1504,MATCH(100,业务流水!$X$5:$X$1504,0)),"")</f>
        <v/>
      </c>
    </row>
    <row r="106" customFormat="false" ht="15.75" hidden="false" customHeight="true" outlineLevel="0" collapsed="false">
      <c r="A106" s="32" t="str">
        <f aca="false">IF($B106="","",101)</f>
        <v/>
      </c>
      <c r="B106" s="50" t="str">
        <f aca="false">IFERROR(INDEX(业务流水!$B$5:$B$1504,MATCH(101,业务流水!$X$5:$X$1504,0)),"")</f>
        <v/>
      </c>
      <c r="C106" s="32" t="str">
        <f aca="false">IFERROR(INDEX(业务流水!$C$5:$C$1504,MATCH(101,业务流水!$X$5:$X$1504,0)),"")</f>
        <v/>
      </c>
      <c r="D106" s="40" t="str">
        <f aca="false">IFERROR(INDEX(业务流水!$M$5:$M$1504,MATCH(101,业务流水!$X$5:$X$1504,0)),"")</f>
        <v/>
      </c>
      <c r="E106" s="32" t="str">
        <f aca="false">IF($B106="","",IF(IFERROR(INDEX(业务流水!$D$5:$D$1504,MATCH(101,业务流水!$X$5:$X$1504,0)),"")="挂靠代收",IFERROR(INDEX(业务流水!$F$5:$F$1504,MATCH(101,业务流水!$X$5:$X$1504,0)),""),IFERROR(INDEX(业务流水!$E$5:$E$1504,MATCH(101,业务流水!$X$5:$X$1504,0)),"")))</f>
        <v/>
      </c>
      <c r="F106" s="32" t="str">
        <f aca="false">IFERROR(INDEX(业务流水!$D$5:$D$1504,MATCH(101,业务流水!$X$5:$X$1504,0)),"")</f>
        <v/>
      </c>
      <c r="G106" s="41" t="n">
        <f aca="false">IF($F106="挂靠代收",N(IFERROR(INDEX(业务流水!$H$5:$H$1504,MATCH(101,业务流水!$X$5:$X$1504,0)),"")),0)</f>
        <v>0</v>
      </c>
      <c r="H106" s="41" t="n">
        <f aca="false">IF($F106="我方收款",N(IFERROR(INDEX(业务流水!$H$5:$H$1504,MATCH(101,业务流水!$X$5:$X$1504,0)),"")),0)</f>
        <v>0</v>
      </c>
      <c r="I106" s="42" t="str">
        <f aca="false">IF($B106="","",SUMIFS($G$6:$G106,$E$6:$E106,$E106)-SUMIFS($H$6:$H106,$E$6:$E106,$E106))</f>
        <v/>
      </c>
      <c r="J106" s="40" t="str">
        <f aca="false">IFERROR(INDEX(业务流水!$J$5:$J$1504,MATCH(101,业务流水!$X$5:$X$1504,0)),"")</f>
        <v/>
      </c>
    </row>
    <row r="107" customFormat="false" ht="15.75" hidden="false" customHeight="true" outlineLevel="0" collapsed="false">
      <c r="A107" s="32" t="str">
        <f aca="false">IF($B107="","",102)</f>
        <v/>
      </c>
      <c r="B107" s="50" t="str">
        <f aca="false">IFERROR(INDEX(业务流水!$B$5:$B$1504,MATCH(102,业务流水!$X$5:$X$1504,0)),"")</f>
        <v/>
      </c>
      <c r="C107" s="32" t="str">
        <f aca="false">IFERROR(INDEX(业务流水!$C$5:$C$1504,MATCH(102,业务流水!$X$5:$X$1504,0)),"")</f>
        <v/>
      </c>
      <c r="D107" s="40" t="str">
        <f aca="false">IFERROR(INDEX(业务流水!$M$5:$M$1504,MATCH(102,业务流水!$X$5:$X$1504,0)),"")</f>
        <v/>
      </c>
      <c r="E107" s="32" t="str">
        <f aca="false">IF($B107="","",IF(IFERROR(INDEX(业务流水!$D$5:$D$1504,MATCH(102,业务流水!$X$5:$X$1504,0)),"")="挂靠代收",IFERROR(INDEX(业务流水!$F$5:$F$1504,MATCH(102,业务流水!$X$5:$X$1504,0)),""),IFERROR(INDEX(业务流水!$E$5:$E$1504,MATCH(102,业务流水!$X$5:$X$1504,0)),"")))</f>
        <v/>
      </c>
      <c r="F107" s="32" t="str">
        <f aca="false">IFERROR(INDEX(业务流水!$D$5:$D$1504,MATCH(102,业务流水!$X$5:$X$1504,0)),"")</f>
        <v/>
      </c>
      <c r="G107" s="41" t="n">
        <f aca="false">IF($F107="挂靠代收",N(IFERROR(INDEX(业务流水!$H$5:$H$1504,MATCH(102,业务流水!$X$5:$X$1504,0)),"")),0)</f>
        <v>0</v>
      </c>
      <c r="H107" s="41" t="n">
        <f aca="false">IF($F107="我方收款",N(IFERROR(INDEX(业务流水!$H$5:$H$1504,MATCH(102,业务流水!$X$5:$X$1504,0)),"")),0)</f>
        <v>0</v>
      </c>
      <c r="I107" s="42" t="str">
        <f aca="false">IF($B107="","",SUMIFS($G$6:$G107,$E$6:$E107,$E107)-SUMIFS($H$6:$H107,$E$6:$E107,$E107))</f>
        <v/>
      </c>
      <c r="J107" s="40" t="str">
        <f aca="false">IFERROR(INDEX(业务流水!$J$5:$J$1504,MATCH(102,业务流水!$X$5:$X$1504,0)),"")</f>
        <v/>
      </c>
    </row>
    <row r="108" customFormat="false" ht="15.75" hidden="false" customHeight="true" outlineLevel="0" collapsed="false">
      <c r="A108" s="32" t="str">
        <f aca="false">IF($B108="","",103)</f>
        <v/>
      </c>
      <c r="B108" s="50" t="str">
        <f aca="false">IFERROR(INDEX(业务流水!$B$5:$B$1504,MATCH(103,业务流水!$X$5:$X$1504,0)),"")</f>
        <v/>
      </c>
      <c r="C108" s="32" t="str">
        <f aca="false">IFERROR(INDEX(业务流水!$C$5:$C$1504,MATCH(103,业务流水!$X$5:$X$1504,0)),"")</f>
        <v/>
      </c>
      <c r="D108" s="40" t="str">
        <f aca="false">IFERROR(INDEX(业务流水!$M$5:$M$1504,MATCH(103,业务流水!$X$5:$X$1504,0)),"")</f>
        <v/>
      </c>
      <c r="E108" s="32" t="str">
        <f aca="false">IF($B108="","",IF(IFERROR(INDEX(业务流水!$D$5:$D$1504,MATCH(103,业务流水!$X$5:$X$1504,0)),"")="挂靠代收",IFERROR(INDEX(业务流水!$F$5:$F$1504,MATCH(103,业务流水!$X$5:$X$1504,0)),""),IFERROR(INDEX(业务流水!$E$5:$E$1504,MATCH(103,业务流水!$X$5:$X$1504,0)),"")))</f>
        <v/>
      </c>
      <c r="F108" s="32" t="str">
        <f aca="false">IFERROR(INDEX(业务流水!$D$5:$D$1504,MATCH(103,业务流水!$X$5:$X$1504,0)),"")</f>
        <v/>
      </c>
      <c r="G108" s="41" t="n">
        <f aca="false">IF($F108="挂靠代收",N(IFERROR(INDEX(业务流水!$H$5:$H$1504,MATCH(103,业务流水!$X$5:$X$1504,0)),"")),0)</f>
        <v>0</v>
      </c>
      <c r="H108" s="41" t="n">
        <f aca="false">IF($F108="我方收款",N(IFERROR(INDEX(业务流水!$H$5:$H$1504,MATCH(103,业务流水!$X$5:$X$1504,0)),"")),0)</f>
        <v>0</v>
      </c>
      <c r="I108" s="42" t="str">
        <f aca="false">IF($B108="","",SUMIFS($G$6:$G108,$E$6:$E108,$E108)-SUMIFS($H$6:$H108,$E$6:$E108,$E108))</f>
        <v/>
      </c>
      <c r="J108" s="40" t="str">
        <f aca="false">IFERROR(INDEX(业务流水!$J$5:$J$1504,MATCH(103,业务流水!$X$5:$X$1504,0)),"")</f>
        <v/>
      </c>
    </row>
    <row r="109" customFormat="false" ht="15.75" hidden="false" customHeight="true" outlineLevel="0" collapsed="false">
      <c r="A109" s="32" t="str">
        <f aca="false">IF($B109="","",104)</f>
        <v/>
      </c>
      <c r="B109" s="50" t="str">
        <f aca="false">IFERROR(INDEX(业务流水!$B$5:$B$1504,MATCH(104,业务流水!$X$5:$X$1504,0)),"")</f>
        <v/>
      </c>
      <c r="C109" s="32" t="str">
        <f aca="false">IFERROR(INDEX(业务流水!$C$5:$C$1504,MATCH(104,业务流水!$X$5:$X$1504,0)),"")</f>
        <v/>
      </c>
      <c r="D109" s="40" t="str">
        <f aca="false">IFERROR(INDEX(业务流水!$M$5:$M$1504,MATCH(104,业务流水!$X$5:$X$1504,0)),"")</f>
        <v/>
      </c>
      <c r="E109" s="32" t="str">
        <f aca="false">IF($B109="","",IF(IFERROR(INDEX(业务流水!$D$5:$D$1504,MATCH(104,业务流水!$X$5:$X$1504,0)),"")="挂靠代收",IFERROR(INDEX(业务流水!$F$5:$F$1504,MATCH(104,业务流水!$X$5:$X$1504,0)),""),IFERROR(INDEX(业务流水!$E$5:$E$1504,MATCH(104,业务流水!$X$5:$X$1504,0)),"")))</f>
        <v/>
      </c>
      <c r="F109" s="32" t="str">
        <f aca="false">IFERROR(INDEX(业务流水!$D$5:$D$1504,MATCH(104,业务流水!$X$5:$X$1504,0)),"")</f>
        <v/>
      </c>
      <c r="G109" s="41" t="n">
        <f aca="false">IF($F109="挂靠代收",N(IFERROR(INDEX(业务流水!$H$5:$H$1504,MATCH(104,业务流水!$X$5:$X$1504,0)),"")),0)</f>
        <v>0</v>
      </c>
      <c r="H109" s="41" t="n">
        <f aca="false">IF($F109="我方收款",N(IFERROR(INDEX(业务流水!$H$5:$H$1504,MATCH(104,业务流水!$X$5:$X$1504,0)),"")),0)</f>
        <v>0</v>
      </c>
      <c r="I109" s="42" t="str">
        <f aca="false">IF($B109="","",SUMIFS($G$6:$G109,$E$6:$E109,$E109)-SUMIFS($H$6:$H109,$E$6:$E109,$E109))</f>
        <v/>
      </c>
      <c r="J109" s="40" t="str">
        <f aca="false">IFERROR(INDEX(业务流水!$J$5:$J$1504,MATCH(104,业务流水!$X$5:$X$1504,0)),"")</f>
        <v/>
      </c>
    </row>
    <row r="110" customFormat="false" ht="15.75" hidden="false" customHeight="true" outlineLevel="0" collapsed="false">
      <c r="A110" s="32" t="str">
        <f aca="false">IF($B110="","",105)</f>
        <v/>
      </c>
      <c r="B110" s="50" t="str">
        <f aca="false">IFERROR(INDEX(业务流水!$B$5:$B$1504,MATCH(105,业务流水!$X$5:$X$1504,0)),"")</f>
        <v/>
      </c>
      <c r="C110" s="32" t="str">
        <f aca="false">IFERROR(INDEX(业务流水!$C$5:$C$1504,MATCH(105,业务流水!$X$5:$X$1504,0)),"")</f>
        <v/>
      </c>
      <c r="D110" s="40" t="str">
        <f aca="false">IFERROR(INDEX(业务流水!$M$5:$M$1504,MATCH(105,业务流水!$X$5:$X$1504,0)),"")</f>
        <v/>
      </c>
      <c r="E110" s="32" t="str">
        <f aca="false">IF($B110="","",IF(IFERROR(INDEX(业务流水!$D$5:$D$1504,MATCH(105,业务流水!$X$5:$X$1504,0)),"")="挂靠代收",IFERROR(INDEX(业务流水!$F$5:$F$1504,MATCH(105,业务流水!$X$5:$X$1504,0)),""),IFERROR(INDEX(业务流水!$E$5:$E$1504,MATCH(105,业务流水!$X$5:$X$1504,0)),"")))</f>
        <v/>
      </c>
      <c r="F110" s="32" t="str">
        <f aca="false">IFERROR(INDEX(业务流水!$D$5:$D$1504,MATCH(105,业务流水!$X$5:$X$1504,0)),"")</f>
        <v/>
      </c>
      <c r="G110" s="41" t="n">
        <f aca="false">IF($F110="挂靠代收",N(IFERROR(INDEX(业务流水!$H$5:$H$1504,MATCH(105,业务流水!$X$5:$X$1504,0)),"")),0)</f>
        <v>0</v>
      </c>
      <c r="H110" s="41" t="n">
        <f aca="false">IF($F110="我方收款",N(IFERROR(INDEX(业务流水!$H$5:$H$1504,MATCH(105,业务流水!$X$5:$X$1504,0)),"")),0)</f>
        <v>0</v>
      </c>
      <c r="I110" s="42" t="str">
        <f aca="false">IF($B110="","",SUMIFS($G$6:$G110,$E$6:$E110,$E110)-SUMIFS($H$6:$H110,$E$6:$E110,$E110))</f>
        <v/>
      </c>
      <c r="J110" s="40" t="str">
        <f aca="false">IFERROR(INDEX(业务流水!$J$5:$J$1504,MATCH(105,业务流水!$X$5:$X$1504,0)),"")</f>
        <v/>
      </c>
    </row>
    <row r="111" customFormat="false" ht="15.75" hidden="false" customHeight="true" outlineLevel="0" collapsed="false">
      <c r="A111" s="32" t="str">
        <f aca="false">IF($B111="","",106)</f>
        <v/>
      </c>
      <c r="B111" s="50" t="str">
        <f aca="false">IFERROR(INDEX(业务流水!$B$5:$B$1504,MATCH(106,业务流水!$X$5:$X$1504,0)),"")</f>
        <v/>
      </c>
      <c r="C111" s="32" t="str">
        <f aca="false">IFERROR(INDEX(业务流水!$C$5:$C$1504,MATCH(106,业务流水!$X$5:$X$1504,0)),"")</f>
        <v/>
      </c>
      <c r="D111" s="40" t="str">
        <f aca="false">IFERROR(INDEX(业务流水!$M$5:$M$1504,MATCH(106,业务流水!$X$5:$X$1504,0)),"")</f>
        <v/>
      </c>
      <c r="E111" s="32" t="str">
        <f aca="false">IF($B111="","",IF(IFERROR(INDEX(业务流水!$D$5:$D$1504,MATCH(106,业务流水!$X$5:$X$1504,0)),"")="挂靠代收",IFERROR(INDEX(业务流水!$F$5:$F$1504,MATCH(106,业务流水!$X$5:$X$1504,0)),""),IFERROR(INDEX(业务流水!$E$5:$E$1504,MATCH(106,业务流水!$X$5:$X$1504,0)),"")))</f>
        <v/>
      </c>
      <c r="F111" s="32" t="str">
        <f aca="false">IFERROR(INDEX(业务流水!$D$5:$D$1504,MATCH(106,业务流水!$X$5:$X$1504,0)),"")</f>
        <v/>
      </c>
      <c r="G111" s="41" t="n">
        <f aca="false">IF($F111="挂靠代收",N(IFERROR(INDEX(业务流水!$H$5:$H$1504,MATCH(106,业务流水!$X$5:$X$1504,0)),"")),0)</f>
        <v>0</v>
      </c>
      <c r="H111" s="41" t="n">
        <f aca="false">IF($F111="我方收款",N(IFERROR(INDEX(业务流水!$H$5:$H$1504,MATCH(106,业务流水!$X$5:$X$1504,0)),"")),0)</f>
        <v>0</v>
      </c>
      <c r="I111" s="42" t="str">
        <f aca="false">IF($B111="","",SUMIFS($G$6:$G111,$E$6:$E111,$E111)-SUMIFS($H$6:$H111,$E$6:$E111,$E111))</f>
        <v/>
      </c>
      <c r="J111" s="40" t="str">
        <f aca="false">IFERROR(INDEX(业务流水!$J$5:$J$1504,MATCH(106,业务流水!$X$5:$X$1504,0)),"")</f>
        <v/>
      </c>
    </row>
    <row r="112" customFormat="false" ht="15.75" hidden="false" customHeight="true" outlineLevel="0" collapsed="false">
      <c r="A112" s="32" t="str">
        <f aca="false">IF($B112="","",107)</f>
        <v/>
      </c>
      <c r="B112" s="50" t="str">
        <f aca="false">IFERROR(INDEX(业务流水!$B$5:$B$1504,MATCH(107,业务流水!$X$5:$X$1504,0)),"")</f>
        <v/>
      </c>
      <c r="C112" s="32" t="str">
        <f aca="false">IFERROR(INDEX(业务流水!$C$5:$C$1504,MATCH(107,业务流水!$X$5:$X$1504,0)),"")</f>
        <v/>
      </c>
      <c r="D112" s="40" t="str">
        <f aca="false">IFERROR(INDEX(业务流水!$M$5:$M$1504,MATCH(107,业务流水!$X$5:$X$1504,0)),"")</f>
        <v/>
      </c>
      <c r="E112" s="32" t="str">
        <f aca="false">IF($B112="","",IF(IFERROR(INDEX(业务流水!$D$5:$D$1504,MATCH(107,业务流水!$X$5:$X$1504,0)),"")="挂靠代收",IFERROR(INDEX(业务流水!$F$5:$F$1504,MATCH(107,业务流水!$X$5:$X$1504,0)),""),IFERROR(INDEX(业务流水!$E$5:$E$1504,MATCH(107,业务流水!$X$5:$X$1504,0)),"")))</f>
        <v/>
      </c>
      <c r="F112" s="32" t="str">
        <f aca="false">IFERROR(INDEX(业务流水!$D$5:$D$1504,MATCH(107,业务流水!$X$5:$X$1504,0)),"")</f>
        <v/>
      </c>
      <c r="G112" s="41" t="n">
        <f aca="false">IF($F112="挂靠代收",N(IFERROR(INDEX(业务流水!$H$5:$H$1504,MATCH(107,业务流水!$X$5:$X$1504,0)),"")),0)</f>
        <v>0</v>
      </c>
      <c r="H112" s="41" t="n">
        <f aca="false">IF($F112="我方收款",N(IFERROR(INDEX(业务流水!$H$5:$H$1504,MATCH(107,业务流水!$X$5:$X$1504,0)),"")),0)</f>
        <v>0</v>
      </c>
      <c r="I112" s="42" t="str">
        <f aca="false">IF($B112="","",SUMIFS($G$6:$G112,$E$6:$E112,$E112)-SUMIFS($H$6:$H112,$E$6:$E112,$E112))</f>
        <v/>
      </c>
      <c r="J112" s="40" t="str">
        <f aca="false">IFERROR(INDEX(业务流水!$J$5:$J$1504,MATCH(107,业务流水!$X$5:$X$1504,0)),"")</f>
        <v/>
      </c>
    </row>
    <row r="113" customFormat="false" ht="15.75" hidden="false" customHeight="true" outlineLevel="0" collapsed="false">
      <c r="A113" s="32" t="str">
        <f aca="false">IF($B113="","",108)</f>
        <v/>
      </c>
      <c r="B113" s="50" t="str">
        <f aca="false">IFERROR(INDEX(业务流水!$B$5:$B$1504,MATCH(108,业务流水!$X$5:$X$1504,0)),"")</f>
        <v/>
      </c>
      <c r="C113" s="32" t="str">
        <f aca="false">IFERROR(INDEX(业务流水!$C$5:$C$1504,MATCH(108,业务流水!$X$5:$X$1504,0)),"")</f>
        <v/>
      </c>
      <c r="D113" s="40" t="str">
        <f aca="false">IFERROR(INDEX(业务流水!$M$5:$M$1504,MATCH(108,业务流水!$X$5:$X$1504,0)),"")</f>
        <v/>
      </c>
      <c r="E113" s="32" t="str">
        <f aca="false">IF($B113="","",IF(IFERROR(INDEX(业务流水!$D$5:$D$1504,MATCH(108,业务流水!$X$5:$X$1504,0)),"")="挂靠代收",IFERROR(INDEX(业务流水!$F$5:$F$1504,MATCH(108,业务流水!$X$5:$X$1504,0)),""),IFERROR(INDEX(业务流水!$E$5:$E$1504,MATCH(108,业务流水!$X$5:$X$1504,0)),"")))</f>
        <v/>
      </c>
      <c r="F113" s="32" t="str">
        <f aca="false">IFERROR(INDEX(业务流水!$D$5:$D$1504,MATCH(108,业务流水!$X$5:$X$1504,0)),"")</f>
        <v/>
      </c>
      <c r="G113" s="41" t="n">
        <f aca="false">IF($F113="挂靠代收",N(IFERROR(INDEX(业务流水!$H$5:$H$1504,MATCH(108,业务流水!$X$5:$X$1504,0)),"")),0)</f>
        <v>0</v>
      </c>
      <c r="H113" s="41" t="n">
        <f aca="false">IF($F113="我方收款",N(IFERROR(INDEX(业务流水!$H$5:$H$1504,MATCH(108,业务流水!$X$5:$X$1504,0)),"")),0)</f>
        <v>0</v>
      </c>
      <c r="I113" s="42" t="str">
        <f aca="false">IF($B113="","",SUMIFS($G$6:$G113,$E$6:$E113,$E113)-SUMIFS($H$6:$H113,$E$6:$E113,$E113))</f>
        <v/>
      </c>
      <c r="J113" s="40" t="str">
        <f aca="false">IFERROR(INDEX(业务流水!$J$5:$J$1504,MATCH(108,业务流水!$X$5:$X$1504,0)),"")</f>
        <v/>
      </c>
    </row>
    <row r="114" customFormat="false" ht="15.75" hidden="false" customHeight="true" outlineLevel="0" collapsed="false">
      <c r="A114" s="32" t="str">
        <f aca="false">IF($B114="","",109)</f>
        <v/>
      </c>
      <c r="B114" s="50" t="str">
        <f aca="false">IFERROR(INDEX(业务流水!$B$5:$B$1504,MATCH(109,业务流水!$X$5:$X$1504,0)),"")</f>
        <v/>
      </c>
      <c r="C114" s="32" t="str">
        <f aca="false">IFERROR(INDEX(业务流水!$C$5:$C$1504,MATCH(109,业务流水!$X$5:$X$1504,0)),"")</f>
        <v/>
      </c>
      <c r="D114" s="40" t="str">
        <f aca="false">IFERROR(INDEX(业务流水!$M$5:$M$1504,MATCH(109,业务流水!$X$5:$X$1504,0)),"")</f>
        <v/>
      </c>
      <c r="E114" s="32" t="str">
        <f aca="false">IF($B114="","",IF(IFERROR(INDEX(业务流水!$D$5:$D$1504,MATCH(109,业务流水!$X$5:$X$1504,0)),"")="挂靠代收",IFERROR(INDEX(业务流水!$F$5:$F$1504,MATCH(109,业务流水!$X$5:$X$1504,0)),""),IFERROR(INDEX(业务流水!$E$5:$E$1504,MATCH(109,业务流水!$X$5:$X$1504,0)),"")))</f>
        <v/>
      </c>
      <c r="F114" s="32" t="str">
        <f aca="false">IFERROR(INDEX(业务流水!$D$5:$D$1504,MATCH(109,业务流水!$X$5:$X$1504,0)),"")</f>
        <v/>
      </c>
      <c r="G114" s="41" t="n">
        <f aca="false">IF($F114="挂靠代收",N(IFERROR(INDEX(业务流水!$H$5:$H$1504,MATCH(109,业务流水!$X$5:$X$1504,0)),"")),0)</f>
        <v>0</v>
      </c>
      <c r="H114" s="41" t="n">
        <f aca="false">IF($F114="我方收款",N(IFERROR(INDEX(业务流水!$H$5:$H$1504,MATCH(109,业务流水!$X$5:$X$1504,0)),"")),0)</f>
        <v>0</v>
      </c>
      <c r="I114" s="42" t="str">
        <f aca="false">IF($B114="","",SUMIFS($G$6:$G114,$E$6:$E114,$E114)-SUMIFS($H$6:$H114,$E$6:$E114,$E114))</f>
        <v/>
      </c>
      <c r="J114" s="40" t="str">
        <f aca="false">IFERROR(INDEX(业务流水!$J$5:$J$1504,MATCH(109,业务流水!$X$5:$X$1504,0)),"")</f>
        <v/>
      </c>
    </row>
    <row r="115" customFormat="false" ht="15.75" hidden="false" customHeight="true" outlineLevel="0" collapsed="false">
      <c r="A115" s="32" t="str">
        <f aca="false">IF($B115="","",110)</f>
        <v/>
      </c>
      <c r="B115" s="50" t="str">
        <f aca="false">IFERROR(INDEX(业务流水!$B$5:$B$1504,MATCH(110,业务流水!$X$5:$X$1504,0)),"")</f>
        <v/>
      </c>
      <c r="C115" s="32" t="str">
        <f aca="false">IFERROR(INDEX(业务流水!$C$5:$C$1504,MATCH(110,业务流水!$X$5:$X$1504,0)),"")</f>
        <v/>
      </c>
      <c r="D115" s="40" t="str">
        <f aca="false">IFERROR(INDEX(业务流水!$M$5:$M$1504,MATCH(110,业务流水!$X$5:$X$1504,0)),"")</f>
        <v/>
      </c>
      <c r="E115" s="32" t="str">
        <f aca="false">IF($B115="","",IF(IFERROR(INDEX(业务流水!$D$5:$D$1504,MATCH(110,业务流水!$X$5:$X$1504,0)),"")="挂靠代收",IFERROR(INDEX(业务流水!$F$5:$F$1504,MATCH(110,业务流水!$X$5:$X$1504,0)),""),IFERROR(INDEX(业务流水!$E$5:$E$1504,MATCH(110,业务流水!$X$5:$X$1504,0)),"")))</f>
        <v/>
      </c>
      <c r="F115" s="32" t="str">
        <f aca="false">IFERROR(INDEX(业务流水!$D$5:$D$1504,MATCH(110,业务流水!$X$5:$X$1504,0)),"")</f>
        <v/>
      </c>
      <c r="G115" s="41" t="n">
        <f aca="false">IF($F115="挂靠代收",N(IFERROR(INDEX(业务流水!$H$5:$H$1504,MATCH(110,业务流水!$X$5:$X$1504,0)),"")),0)</f>
        <v>0</v>
      </c>
      <c r="H115" s="41" t="n">
        <f aca="false">IF($F115="我方收款",N(IFERROR(INDEX(业务流水!$H$5:$H$1504,MATCH(110,业务流水!$X$5:$X$1504,0)),"")),0)</f>
        <v>0</v>
      </c>
      <c r="I115" s="42" t="str">
        <f aca="false">IF($B115="","",SUMIFS($G$6:$G115,$E$6:$E115,$E115)-SUMIFS($H$6:$H115,$E$6:$E115,$E115))</f>
        <v/>
      </c>
      <c r="J115" s="40" t="str">
        <f aca="false">IFERROR(INDEX(业务流水!$J$5:$J$1504,MATCH(110,业务流水!$X$5:$X$1504,0)),"")</f>
        <v/>
      </c>
    </row>
    <row r="116" customFormat="false" ht="15.75" hidden="false" customHeight="true" outlineLevel="0" collapsed="false">
      <c r="A116" s="32" t="str">
        <f aca="false">IF($B116="","",111)</f>
        <v/>
      </c>
      <c r="B116" s="50" t="str">
        <f aca="false">IFERROR(INDEX(业务流水!$B$5:$B$1504,MATCH(111,业务流水!$X$5:$X$1504,0)),"")</f>
        <v/>
      </c>
      <c r="C116" s="32" t="str">
        <f aca="false">IFERROR(INDEX(业务流水!$C$5:$C$1504,MATCH(111,业务流水!$X$5:$X$1504,0)),"")</f>
        <v/>
      </c>
      <c r="D116" s="40" t="str">
        <f aca="false">IFERROR(INDEX(业务流水!$M$5:$M$1504,MATCH(111,业务流水!$X$5:$X$1504,0)),"")</f>
        <v/>
      </c>
      <c r="E116" s="32" t="str">
        <f aca="false">IF($B116="","",IF(IFERROR(INDEX(业务流水!$D$5:$D$1504,MATCH(111,业务流水!$X$5:$X$1504,0)),"")="挂靠代收",IFERROR(INDEX(业务流水!$F$5:$F$1504,MATCH(111,业务流水!$X$5:$X$1504,0)),""),IFERROR(INDEX(业务流水!$E$5:$E$1504,MATCH(111,业务流水!$X$5:$X$1504,0)),"")))</f>
        <v/>
      </c>
      <c r="F116" s="32" t="str">
        <f aca="false">IFERROR(INDEX(业务流水!$D$5:$D$1504,MATCH(111,业务流水!$X$5:$X$1504,0)),"")</f>
        <v/>
      </c>
      <c r="G116" s="41" t="n">
        <f aca="false">IF($F116="挂靠代收",N(IFERROR(INDEX(业务流水!$H$5:$H$1504,MATCH(111,业务流水!$X$5:$X$1504,0)),"")),0)</f>
        <v>0</v>
      </c>
      <c r="H116" s="41" t="n">
        <f aca="false">IF($F116="我方收款",N(IFERROR(INDEX(业务流水!$H$5:$H$1504,MATCH(111,业务流水!$X$5:$X$1504,0)),"")),0)</f>
        <v>0</v>
      </c>
      <c r="I116" s="42" t="str">
        <f aca="false">IF($B116="","",SUMIFS($G$6:$G116,$E$6:$E116,$E116)-SUMIFS($H$6:$H116,$E$6:$E116,$E116))</f>
        <v/>
      </c>
      <c r="J116" s="40" t="str">
        <f aca="false">IFERROR(INDEX(业务流水!$J$5:$J$1504,MATCH(111,业务流水!$X$5:$X$1504,0)),"")</f>
        <v/>
      </c>
    </row>
    <row r="117" customFormat="false" ht="15.75" hidden="false" customHeight="true" outlineLevel="0" collapsed="false">
      <c r="A117" s="32" t="str">
        <f aca="false">IF($B117="","",112)</f>
        <v/>
      </c>
      <c r="B117" s="50" t="str">
        <f aca="false">IFERROR(INDEX(业务流水!$B$5:$B$1504,MATCH(112,业务流水!$X$5:$X$1504,0)),"")</f>
        <v/>
      </c>
      <c r="C117" s="32" t="str">
        <f aca="false">IFERROR(INDEX(业务流水!$C$5:$C$1504,MATCH(112,业务流水!$X$5:$X$1504,0)),"")</f>
        <v/>
      </c>
      <c r="D117" s="40" t="str">
        <f aca="false">IFERROR(INDEX(业务流水!$M$5:$M$1504,MATCH(112,业务流水!$X$5:$X$1504,0)),"")</f>
        <v/>
      </c>
      <c r="E117" s="32" t="str">
        <f aca="false">IF($B117="","",IF(IFERROR(INDEX(业务流水!$D$5:$D$1504,MATCH(112,业务流水!$X$5:$X$1504,0)),"")="挂靠代收",IFERROR(INDEX(业务流水!$F$5:$F$1504,MATCH(112,业务流水!$X$5:$X$1504,0)),""),IFERROR(INDEX(业务流水!$E$5:$E$1504,MATCH(112,业务流水!$X$5:$X$1504,0)),"")))</f>
        <v/>
      </c>
      <c r="F117" s="32" t="str">
        <f aca="false">IFERROR(INDEX(业务流水!$D$5:$D$1504,MATCH(112,业务流水!$X$5:$X$1504,0)),"")</f>
        <v/>
      </c>
      <c r="G117" s="41" t="n">
        <f aca="false">IF($F117="挂靠代收",N(IFERROR(INDEX(业务流水!$H$5:$H$1504,MATCH(112,业务流水!$X$5:$X$1504,0)),"")),0)</f>
        <v>0</v>
      </c>
      <c r="H117" s="41" t="n">
        <f aca="false">IF($F117="我方收款",N(IFERROR(INDEX(业务流水!$H$5:$H$1504,MATCH(112,业务流水!$X$5:$X$1504,0)),"")),0)</f>
        <v>0</v>
      </c>
      <c r="I117" s="42" t="str">
        <f aca="false">IF($B117="","",SUMIFS($G$6:$G117,$E$6:$E117,$E117)-SUMIFS($H$6:$H117,$E$6:$E117,$E117))</f>
        <v/>
      </c>
      <c r="J117" s="40" t="str">
        <f aca="false">IFERROR(INDEX(业务流水!$J$5:$J$1504,MATCH(112,业务流水!$X$5:$X$1504,0)),"")</f>
        <v/>
      </c>
    </row>
    <row r="118" customFormat="false" ht="15.75" hidden="false" customHeight="true" outlineLevel="0" collapsed="false">
      <c r="A118" s="32" t="str">
        <f aca="false">IF($B118="","",113)</f>
        <v/>
      </c>
      <c r="B118" s="50" t="str">
        <f aca="false">IFERROR(INDEX(业务流水!$B$5:$B$1504,MATCH(113,业务流水!$X$5:$X$1504,0)),"")</f>
        <v/>
      </c>
      <c r="C118" s="32" t="str">
        <f aca="false">IFERROR(INDEX(业务流水!$C$5:$C$1504,MATCH(113,业务流水!$X$5:$X$1504,0)),"")</f>
        <v/>
      </c>
      <c r="D118" s="40" t="str">
        <f aca="false">IFERROR(INDEX(业务流水!$M$5:$M$1504,MATCH(113,业务流水!$X$5:$X$1504,0)),"")</f>
        <v/>
      </c>
      <c r="E118" s="32" t="str">
        <f aca="false">IF($B118="","",IF(IFERROR(INDEX(业务流水!$D$5:$D$1504,MATCH(113,业务流水!$X$5:$X$1504,0)),"")="挂靠代收",IFERROR(INDEX(业务流水!$F$5:$F$1504,MATCH(113,业务流水!$X$5:$X$1504,0)),""),IFERROR(INDEX(业务流水!$E$5:$E$1504,MATCH(113,业务流水!$X$5:$X$1504,0)),"")))</f>
        <v/>
      </c>
      <c r="F118" s="32" t="str">
        <f aca="false">IFERROR(INDEX(业务流水!$D$5:$D$1504,MATCH(113,业务流水!$X$5:$X$1504,0)),"")</f>
        <v/>
      </c>
      <c r="G118" s="41" t="n">
        <f aca="false">IF($F118="挂靠代收",N(IFERROR(INDEX(业务流水!$H$5:$H$1504,MATCH(113,业务流水!$X$5:$X$1504,0)),"")),0)</f>
        <v>0</v>
      </c>
      <c r="H118" s="41" t="n">
        <f aca="false">IF($F118="我方收款",N(IFERROR(INDEX(业务流水!$H$5:$H$1504,MATCH(113,业务流水!$X$5:$X$1504,0)),"")),0)</f>
        <v>0</v>
      </c>
      <c r="I118" s="42" t="str">
        <f aca="false">IF($B118="","",SUMIFS($G$6:$G118,$E$6:$E118,$E118)-SUMIFS($H$6:$H118,$E$6:$E118,$E118))</f>
        <v/>
      </c>
      <c r="J118" s="40" t="str">
        <f aca="false">IFERROR(INDEX(业务流水!$J$5:$J$1504,MATCH(113,业务流水!$X$5:$X$1504,0)),"")</f>
        <v/>
      </c>
    </row>
    <row r="119" customFormat="false" ht="15.75" hidden="false" customHeight="true" outlineLevel="0" collapsed="false">
      <c r="A119" s="32" t="str">
        <f aca="false">IF($B119="","",114)</f>
        <v/>
      </c>
      <c r="B119" s="50" t="str">
        <f aca="false">IFERROR(INDEX(业务流水!$B$5:$B$1504,MATCH(114,业务流水!$X$5:$X$1504,0)),"")</f>
        <v/>
      </c>
      <c r="C119" s="32" t="str">
        <f aca="false">IFERROR(INDEX(业务流水!$C$5:$C$1504,MATCH(114,业务流水!$X$5:$X$1504,0)),"")</f>
        <v/>
      </c>
      <c r="D119" s="40" t="str">
        <f aca="false">IFERROR(INDEX(业务流水!$M$5:$M$1504,MATCH(114,业务流水!$X$5:$X$1504,0)),"")</f>
        <v/>
      </c>
      <c r="E119" s="32" t="str">
        <f aca="false">IF($B119="","",IF(IFERROR(INDEX(业务流水!$D$5:$D$1504,MATCH(114,业务流水!$X$5:$X$1504,0)),"")="挂靠代收",IFERROR(INDEX(业务流水!$F$5:$F$1504,MATCH(114,业务流水!$X$5:$X$1504,0)),""),IFERROR(INDEX(业务流水!$E$5:$E$1504,MATCH(114,业务流水!$X$5:$X$1504,0)),"")))</f>
        <v/>
      </c>
      <c r="F119" s="32" t="str">
        <f aca="false">IFERROR(INDEX(业务流水!$D$5:$D$1504,MATCH(114,业务流水!$X$5:$X$1504,0)),"")</f>
        <v/>
      </c>
      <c r="G119" s="41" t="n">
        <f aca="false">IF($F119="挂靠代收",N(IFERROR(INDEX(业务流水!$H$5:$H$1504,MATCH(114,业务流水!$X$5:$X$1504,0)),"")),0)</f>
        <v>0</v>
      </c>
      <c r="H119" s="41" t="n">
        <f aca="false">IF($F119="我方收款",N(IFERROR(INDEX(业务流水!$H$5:$H$1504,MATCH(114,业务流水!$X$5:$X$1504,0)),"")),0)</f>
        <v>0</v>
      </c>
      <c r="I119" s="42" t="str">
        <f aca="false">IF($B119="","",SUMIFS($G$6:$G119,$E$6:$E119,$E119)-SUMIFS($H$6:$H119,$E$6:$E119,$E119))</f>
        <v/>
      </c>
      <c r="J119" s="40" t="str">
        <f aca="false">IFERROR(INDEX(业务流水!$J$5:$J$1504,MATCH(114,业务流水!$X$5:$X$1504,0)),"")</f>
        <v/>
      </c>
    </row>
    <row r="120" customFormat="false" ht="15.75" hidden="false" customHeight="true" outlineLevel="0" collapsed="false">
      <c r="A120" s="32" t="str">
        <f aca="false">IF($B120="","",115)</f>
        <v/>
      </c>
      <c r="B120" s="50" t="str">
        <f aca="false">IFERROR(INDEX(业务流水!$B$5:$B$1504,MATCH(115,业务流水!$X$5:$X$1504,0)),"")</f>
        <v/>
      </c>
      <c r="C120" s="32" t="str">
        <f aca="false">IFERROR(INDEX(业务流水!$C$5:$C$1504,MATCH(115,业务流水!$X$5:$X$1504,0)),"")</f>
        <v/>
      </c>
      <c r="D120" s="40" t="str">
        <f aca="false">IFERROR(INDEX(业务流水!$M$5:$M$1504,MATCH(115,业务流水!$X$5:$X$1504,0)),"")</f>
        <v/>
      </c>
      <c r="E120" s="32" t="str">
        <f aca="false">IF($B120="","",IF(IFERROR(INDEX(业务流水!$D$5:$D$1504,MATCH(115,业务流水!$X$5:$X$1504,0)),"")="挂靠代收",IFERROR(INDEX(业务流水!$F$5:$F$1504,MATCH(115,业务流水!$X$5:$X$1504,0)),""),IFERROR(INDEX(业务流水!$E$5:$E$1504,MATCH(115,业务流水!$X$5:$X$1504,0)),"")))</f>
        <v/>
      </c>
      <c r="F120" s="32" t="str">
        <f aca="false">IFERROR(INDEX(业务流水!$D$5:$D$1504,MATCH(115,业务流水!$X$5:$X$1504,0)),"")</f>
        <v/>
      </c>
      <c r="G120" s="41" t="n">
        <f aca="false">IF($F120="挂靠代收",N(IFERROR(INDEX(业务流水!$H$5:$H$1504,MATCH(115,业务流水!$X$5:$X$1504,0)),"")),0)</f>
        <v>0</v>
      </c>
      <c r="H120" s="41" t="n">
        <f aca="false">IF($F120="我方收款",N(IFERROR(INDEX(业务流水!$H$5:$H$1504,MATCH(115,业务流水!$X$5:$X$1504,0)),"")),0)</f>
        <v>0</v>
      </c>
      <c r="I120" s="42" t="str">
        <f aca="false">IF($B120="","",SUMIFS($G$6:$G120,$E$6:$E120,$E120)-SUMIFS($H$6:$H120,$E$6:$E120,$E120))</f>
        <v/>
      </c>
      <c r="J120" s="40" t="str">
        <f aca="false">IFERROR(INDEX(业务流水!$J$5:$J$1504,MATCH(115,业务流水!$X$5:$X$1504,0)),"")</f>
        <v/>
      </c>
    </row>
    <row r="121" customFormat="false" ht="15.75" hidden="false" customHeight="true" outlineLevel="0" collapsed="false">
      <c r="A121" s="32" t="str">
        <f aca="false">IF($B121="","",116)</f>
        <v/>
      </c>
      <c r="B121" s="50" t="str">
        <f aca="false">IFERROR(INDEX(业务流水!$B$5:$B$1504,MATCH(116,业务流水!$X$5:$X$1504,0)),"")</f>
        <v/>
      </c>
      <c r="C121" s="32" t="str">
        <f aca="false">IFERROR(INDEX(业务流水!$C$5:$C$1504,MATCH(116,业务流水!$X$5:$X$1504,0)),"")</f>
        <v/>
      </c>
      <c r="D121" s="40" t="str">
        <f aca="false">IFERROR(INDEX(业务流水!$M$5:$M$1504,MATCH(116,业务流水!$X$5:$X$1504,0)),"")</f>
        <v/>
      </c>
      <c r="E121" s="32" t="str">
        <f aca="false">IF($B121="","",IF(IFERROR(INDEX(业务流水!$D$5:$D$1504,MATCH(116,业务流水!$X$5:$X$1504,0)),"")="挂靠代收",IFERROR(INDEX(业务流水!$F$5:$F$1504,MATCH(116,业务流水!$X$5:$X$1504,0)),""),IFERROR(INDEX(业务流水!$E$5:$E$1504,MATCH(116,业务流水!$X$5:$X$1504,0)),"")))</f>
        <v/>
      </c>
      <c r="F121" s="32" t="str">
        <f aca="false">IFERROR(INDEX(业务流水!$D$5:$D$1504,MATCH(116,业务流水!$X$5:$X$1504,0)),"")</f>
        <v/>
      </c>
      <c r="G121" s="41" t="n">
        <f aca="false">IF($F121="挂靠代收",N(IFERROR(INDEX(业务流水!$H$5:$H$1504,MATCH(116,业务流水!$X$5:$X$1504,0)),"")),0)</f>
        <v>0</v>
      </c>
      <c r="H121" s="41" t="n">
        <f aca="false">IF($F121="我方收款",N(IFERROR(INDEX(业务流水!$H$5:$H$1504,MATCH(116,业务流水!$X$5:$X$1504,0)),"")),0)</f>
        <v>0</v>
      </c>
      <c r="I121" s="42" t="str">
        <f aca="false">IF($B121="","",SUMIFS($G$6:$G121,$E$6:$E121,$E121)-SUMIFS($H$6:$H121,$E$6:$E121,$E121))</f>
        <v/>
      </c>
      <c r="J121" s="40" t="str">
        <f aca="false">IFERROR(INDEX(业务流水!$J$5:$J$1504,MATCH(116,业务流水!$X$5:$X$1504,0)),"")</f>
        <v/>
      </c>
    </row>
    <row r="122" customFormat="false" ht="15.75" hidden="false" customHeight="true" outlineLevel="0" collapsed="false">
      <c r="A122" s="32" t="str">
        <f aca="false">IF($B122="","",117)</f>
        <v/>
      </c>
      <c r="B122" s="50" t="str">
        <f aca="false">IFERROR(INDEX(业务流水!$B$5:$B$1504,MATCH(117,业务流水!$X$5:$X$1504,0)),"")</f>
        <v/>
      </c>
      <c r="C122" s="32" t="str">
        <f aca="false">IFERROR(INDEX(业务流水!$C$5:$C$1504,MATCH(117,业务流水!$X$5:$X$1504,0)),"")</f>
        <v/>
      </c>
      <c r="D122" s="40" t="str">
        <f aca="false">IFERROR(INDEX(业务流水!$M$5:$M$1504,MATCH(117,业务流水!$X$5:$X$1504,0)),"")</f>
        <v/>
      </c>
      <c r="E122" s="32" t="str">
        <f aca="false">IF($B122="","",IF(IFERROR(INDEX(业务流水!$D$5:$D$1504,MATCH(117,业务流水!$X$5:$X$1504,0)),"")="挂靠代收",IFERROR(INDEX(业务流水!$F$5:$F$1504,MATCH(117,业务流水!$X$5:$X$1504,0)),""),IFERROR(INDEX(业务流水!$E$5:$E$1504,MATCH(117,业务流水!$X$5:$X$1504,0)),"")))</f>
        <v/>
      </c>
      <c r="F122" s="32" t="str">
        <f aca="false">IFERROR(INDEX(业务流水!$D$5:$D$1504,MATCH(117,业务流水!$X$5:$X$1504,0)),"")</f>
        <v/>
      </c>
      <c r="G122" s="41" t="n">
        <f aca="false">IF($F122="挂靠代收",N(IFERROR(INDEX(业务流水!$H$5:$H$1504,MATCH(117,业务流水!$X$5:$X$1504,0)),"")),0)</f>
        <v>0</v>
      </c>
      <c r="H122" s="41" t="n">
        <f aca="false">IF($F122="我方收款",N(IFERROR(INDEX(业务流水!$H$5:$H$1504,MATCH(117,业务流水!$X$5:$X$1504,0)),"")),0)</f>
        <v>0</v>
      </c>
      <c r="I122" s="42" t="str">
        <f aca="false">IF($B122="","",SUMIFS($G$6:$G122,$E$6:$E122,$E122)-SUMIFS($H$6:$H122,$E$6:$E122,$E122))</f>
        <v/>
      </c>
      <c r="J122" s="40" t="str">
        <f aca="false">IFERROR(INDEX(业务流水!$J$5:$J$1504,MATCH(117,业务流水!$X$5:$X$1504,0)),"")</f>
        <v/>
      </c>
    </row>
    <row r="123" customFormat="false" ht="15.75" hidden="false" customHeight="true" outlineLevel="0" collapsed="false">
      <c r="A123" s="32" t="str">
        <f aca="false">IF($B123="","",118)</f>
        <v/>
      </c>
      <c r="B123" s="50" t="str">
        <f aca="false">IFERROR(INDEX(业务流水!$B$5:$B$1504,MATCH(118,业务流水!$X$5:$X$1504,0)),"")</f>
        <v/>
      </c>
      <c r="C123" s="32" t="str">
        <f aca="false">IFERROR(INDEX(业务流水!$C$5:$C$1504,MATCH(118,业务流水!$X$5:$X$1504,0)),"")</f>
        <v/>
      </c>
      <c r="D123" s="40" t="str">
        <f aca="false">IFERROR(INDEX(业务流水!$M$5:$M$1504,MATCH(118,业务流水!$X$5:$X$1504,0)),"")</f>
        <v/>
      </c>
      <c r="E123" s="32" t="str">
        <f aca="false">IF($B123="","",IF(IFERROR(INDEX(业务流水!$D$5:$D$1504,MATCH(118,业务流水!$X$5:$X$1504,0)),"")="挂靠代收",IFERROR(INDEX(业务流水!$F$5:$F$1504,MATCH(118,业务流水!$X$5:$X$1504,0)),""),IFERROR(INDEX(业务流水!$E$5:$E$1504,MATCH(118,业务流水!$X$5:$X$1504,0)),"")))</f>
        <v/>
      </c>
      <c r="F123" s="32" t="str">
        <f aca="false">IFERROR(INDEX(业务流水!$D$5:$D$1504,MATCH(118,业务流水!$X$5:$X$1504,0)),"")</f>
        <v/>
      </c>
      <c r="G123" s="41" t="n">
        <f aca="false">IF($F123="挂靠代收",N(IFERROR(INDEX(业务流水!$H$5:$H$1504,MATCH(118,业务流水!$X$5:$X$1504,0)),"")),0)</f>
        <v>0</v>
      </c>
      <c r="H123" s="41" t="n">
        <f aca="false">IF($F123="我方收款",N(IFERROR(INDEX(业务流水!$H$5:$H$1504,MATCH(118,业务流水!$X$5:$X$1504,0)),"")),0)</f>
        <v>0</v>
      </c>
      <c r="I123" s="42" t="str">
        <f aca="false">IF($B123="","",SUMIFS($G$6:$G123,$E$6:$E123,$E123)-SUMIFS($H$6:$H123,$E$6:$E123,$E123))</f>
        <v/>
      </c>
      <c r="J123" s="40" t="str">
        <f aca="false">IFERROR(INDEX(业务流水!$J$5:$J$1504,MATCH(118,业务流水!$X$5:$X$1504,0)),"")</f>
        <v/>
      </c>
    </row>
    <row r="124" customFormat="false" ht="15.75" hidden="false" customHeight="true" outlineLevel="0" collapsed="false">
      <c r="A124" s="32" t="str">
        <f aca="false">IF($B124="","",119)</f>
        <v/>
      </c>
      <c r="B124" s="50" t="str">
        <f aca="false">IFERROR(INDEX(业务流水!$B$5:$B$1504,MATCH(119,业务流水!$X$5:$X$1504,0)),"")</f>
        <v/>
      </c>
      <c r="C124" s="32" t="str">
        <f aca="false">IFERROR(INDEX(业务流水!$C$5:$C$1504,MATCH(119,业务流水!$X$5:$X$1504,0)),"")</f>
        <v/>
      </c>
      <c r="D124" s="40" t="str">
        <f aca="false">IFERROR(INDEX(业务流水!$M$5:$M$1504,MATCH(119,业务流水!$X$5:$X$1504,0)),"")</f>
        <v/>
      </c>
      <c r="E124" s="32" t="str">
        <f aca="false">IF($B124="","",IF(IFERROR(INDEX(业务流水!$D$5:$D$1504,MATCH(119,业务流水!$X$5:$X$1504,0)),"")="挂靠代收",IFERROR(INDEX(业务流水!$F$5:$F$1504,MATCH(119,业务流水!$X$5:$X$1504,0)),""),IFERROR(INDEX(业务流水!$E$5:$E$1504,MATCH(119,业务流水!$X$5:$X$1504,0)),"")))</f>
        <v/>
      </c>
      <c r="F124" s="32" t="str">
        <f aca="false">IFERROR(INDEX(业务流水!$D$5:$D$1504,MATCH(119,业务流水!$X$5:$X$1504,0)),"")</f>
        <v/>
      </c>
      <c r="G124" s="41" t="n">
        <f aca="false">IF($F124="挂靠代收",N(IFERROR(INDEX(业务流水!$H$5:$H$1504,MATCH(119,业务流水!$X$5:$X$1504,0)),"")),0)</f>
        <v>0</v>
      </c>
      <c r="H124" s="41" t="n">
        <f aca="false">IF($F124="我方收款",N(IFERROR(INDEX(业务流水!$H$5:$H$1504,MATCH(119,业务流水!$X$5:$X$1504,0)),"")),0)</f>
        <v>0</v>
      </c>
      <c r="I124" s="42" t="str">
        <f aca="false">IF($B124="","",SUMIFS($G$6:$G124,$E$6:$E124,$E124)-SUMIFS($H$6:$H124,$E$6:$E124,$E124))</f>
        <v/>
      </c>
      <c r="J124" s="40" t="str">
        <f aca="false">IFERROR(INDEX(业务流水!$J$5:$J$1504,MATCH(119,业务流水!$X$5:$X$1504,0)),"")</f>
        <v/>
      </c>
    </row>
    <row r="125" customFormat="false" ht="15.75" hidden="false" customHeight="true" outlineLevel="0" collapsed="false">
      <c r="A125" s="32" t="str">
        <f aca="false">IF($B125="","",120)</f>
        <v/>
      </c>
      <c r="B125" s="50" t="str">
        <f aca="false">IFERROR(INDEX(业务流水!$B$5:$B$1504,MATCH(120,业务流水!$X$5:$X$1504,0)),"")</f>
        <v/>
      </c>
      <c r="C125" s="32" t="str">
        <f aca="false">IFERROR(INDEX(业务流水!$C$5:$C$1504,MATCH(120,业务流水!$X$5:$X$1504,0)),"")</f>
        <v/>
      </c>
      <c r="D125" s="40" t="str">
        <f aca="false">IFERROR(INDEX(业务流水!$M$5:$M$1504,MATCH(120,业务流水!$X$5:$X$1504,0)),"")</f>
        <v/>
      </c>
      <c r="E125" s="32" t="str">
        <f aca="false">IF($B125="","",IF(IFERROR(INDEX(业务流水!$D$5:$D$1504,MATCH(120,业务流水!$X$5:$X$1504,0)),"")="挂靠代收",IFERROR(INDEX(业务流水!$F$5:$F$1504,MATCH(120,业务流水!$X$5:$X$1504,0)),""),IFERROR(INDEX(业务流水!$E$5:$E$1504,MATCH(120,业务流水!$X$5:$X$1504,0)),"")))</f>
        <v/>
      </c>
      <c r="F125" s="32" t="str">
        <f aca="false">IFERROR(INDEX(业务流水!$D$5:$D$1504,MATCH(120,业务流水!$X$5:$X$1504,0)),"")</f>
        <v/>
      </c>
      <c r="G125" s="41" t="n">
        <f aca="false">IF($F125="挂靠代收",N(IFERROR(INDEX(业务流水!$H$5:$H$1504,MATCH(120,业务流水!$X$5:$X$1504,0)),"")),0)</f>
        <v>0</v>
      </c>
      <c r="H125" s="41" t="n">
        <f aca="false">IF($F125="我方收款",N(IFERROR(INDEX(业务流水!$H$5:$H$1504,MATCH(120,业务流水!$X$5:$X$1504,0)),"")),0)</f>
        <v>0</v>
      </c>
      <c r="I125" s="42" t="str">
        <f aca="false">IF($B125="","",SUMIFS($G$6:$G125,$E$6:$E125,$E125)-SUMIFS($H$6:$H125,$E$6:$E125,$E125))</f>
        <v/>
      </c>
      <c r="J125" s="40" t="str">
        <f aca="false">IFERROR(INDEX(业务流水!$J$5:$J$1504,MATCH(120,业务流水!$X$5:$X$1504,0)),"")</f>
        <v/>
      </c>
    </row>
    <row r="126" customFormat="false" ht="15.75" hidden="false" customHeight="true" outlineLevel="0" collapsed="false">
      <c r="A126" s="32" t="str">
        <f aca="false">IF($B126="","",121)</f>
        <v/>
      </c>
      <c r="B126" s="50" t="str">
        <f aca="false">IFERROR(INDEX(业务流水!$B$5:$B$1504,MATCH(121,业务流水!$X$5:$X$1504,0)),"")</f>
        <v/>
      </c>
      <c r="C126" s="32" t="str">
        <f aca="false">IFERROR(INDEX(业务流水!$C$5:$C$1504,MATCH(121,业务流水!$X$5:$X$1504,0)),"")</f>
        <v/>
      </c>
      <c r="D126" s="40" t="str">
        <f aca="false">IFERROR(INDEX(业务流水!$M$5:$M$1504,MATCH(121,业务流水!$X$5:$X$1504,0)),"")</f>
        <v/>
      </c>
      <c r="E126" s="32" t="str">
        <f aca="false">IF($B126="","",IF(IFERROR(INDEX(业务流水!$D$5:$D$1504,MATCH(121,业务流水!$X$5:$X$1504,0)),"")="挂靠代收",IFERROR(INDEX(业务流水!$F$5:$F$1504,MATCH(121,业务流水!$X$5:$X$1504,0)),""),IFERROR(INDEX(业务流水!$E$5:$E$1504,MATCH(121,业务流水!$X$5:$X$1504,0)),"")))</f>
        <v/>
      </c>
      <c r="F126" s="32" t="str">
        <f aca="false">IFERROR(INDEX(业务流水!$D$5:$D$1504,MATCH(121,业务流水!$X$5:$X$1504,0)),"")</f>
        <v/>
      </c>
      <c r="G126" s="41" t="n">
        <f aca="false">IF($F126="挂靠代收",N(IFERROR(INDEX(业务流水!$H$5:$H$1504,MATCH(121,业务流水!$X$5:$X$1504,0)),"")),0)</f>
        <v>0</v>
      </c>
      <c r="H126" s="41" t="n">
        <f aca="false">IF($F126="我方收款",N(IFERROR(INDEX(业务流水!$H$5:$H$1504,MATCH(121,业务流水!$X$5:$X$1504,0)),"")),0)</f>
        <v>0</v>
      </c>
      <c r="I126" s="42" t="str">
        <f aca="false">IF($B126="","",SUMIFS($G$6:$G126,$E$6:$E126,$E126)-SUMIFS($H$6:$H126,$E$6:$E126,$E126))</f>
        <v/>
      </c>
      <c r="J126" s="40" t="str">
        <f aca="false">IFERROR(INDEX(业务流水!$J$5:$J$1504,MATCH(121,业务流水!$X$5:$X$1504,0)),"")</f>
        <v/>
      </c>
    </row>
    <row r="127" customFormat="false" ht="15.75" hidden="false" customHeight="true" outlineLevel="0" collapsed="false">
      <c r="A127" s="32" t="str">
        <f aca="false">IF($B127="","",122)</f>
        <v/>
      </c>
      <c r="B127" s="50" t="str">
        <f aca="false">IFERROR(INDEX(业务流水!$B$5:$B$1504,MATCH(122,业务流水!$X$5:$X$1504,0)),"")</f>
        <v/>
      </c>
      <c r="C127" s="32" t="str">
        <f aca="false">IFERROR(INDEX(业务流水!$C$5:$C$1504,MATCH(122,业务流水!$X$5:$X$1504,0)),"")</f>
        <v/>
      </c>
      <c r="D127" s="40" t="str">
        <f aca="false">IFERROR(INDEX(业务流水!$M$5:$M$1504,MATCH(122,业务流水!$X$5:$X$1504,0)),"")</f>
        <v/>
      </c>
      <c r="E127" s="32" t="str">
        <f aca="false">IF($B127="","",IF(IFERROR(INDEX(业务流水!$D$5:$D$1504,MATCH(122,业务流水!$X$5:$X$1504,0)),"")="挂靠代收",IFERROR(INDEX(业务流水!$F$5:$F$1504,MATCH(122,业务流水!$X$5:$X$1504,0)),""),IFERROR(INDEX(业务流水!$E$5:$E$1504,MATCH(122,业务流水!$X$5:$X$1504,0)),"")))</f>
        <v/>
      </c>
      <c r="F127" s="32" t="str">
        <f aca="false">IFERROR(INDEX(业务流水!$D$5:$D$1504,MATCH(122,业务流水!$X$5:$X$1504,0)),"")</f>
        <v/>
      </c>
      <c r="G127" s="41" t="n">
        <f aca="false">IF($F127="挂靠代收",N(IFERROR(INDEX(业务流水!$H$5:$H$1504,MATCH(122,业务流水!$X$5:$X$1504,0)),"")),0)</f>
        <v>0</v>
      </c>
      <c r="H127" s="41" t="n">
        <f aca="false">IF($F127="我方收款",N(IFERROR(INDEX(业务流水!$H$5:$H$1504,MATCH(122,业务流水!$X$5:$X$1504,0)),"")),0)</f>
        <v>0</v>
      </c>
      <c r="I127" s="42" t="str">
        <f aca="false">IF($B127="","",SUMIFS($G$6:$G127,$E$6:$E127,$E127)-SUMIFS($H$6:$H127,$E$6:$E127,$E127))</f>
        <v/>
      </c>
      <c r="J127" s="40" t="str">
        <f aca="false">IFERROR(INDEX(业务流水!$J$5:$J$1504,MATCH(122,业务流水!$X$5:$X$1504,0)),"")</f>
        <v/>
      </c>
    </row>
    <row r="128" customFormat="false" ht="15.75" hidden="false" customHeight="true" outlineLevel="0" collapsed="false">
      <c r="A128" s="32" t="str">
        <f aca="false">IF($B128="","",123)</f>
        <v/>
      </c>
      <c r="B128" s="50" t="str">
        <f aca="false">IFERROR(INDEX(业务流水!$B$5:$B$1504,MATCH(123,业务流水!$X$5:$X$1504,0)),"")</f>
        <v/>
      </c>
      <c r="C128" s="32" t="str">
        <f aca="false">IFERROR(INDEX(业务流水!$C$5:$C$1504,MATCH(123,业务流水!$X$5:$X$1504,0)),"")</f>
        <v/>
      </c>
      <c r="D128" s="40" t="str">
        <f aca="false">IFERROR(INDEX(业务流水!$M$5:$M$1504,MATCH(123,业务流水!$X$5:$X$1504,0)),"")</f>
        <v/>
      </c>
      <c r="E128" s="32" t="str">
        <f aca="false">IF($B128="","",IF(IFERROR(INDEX(业务流水!$D$5:$D$1504,MATCH(123,业务流水!$X$5:$X$1504,0)),"")="挂靠代收",IFERROR(INDEX(业务流水!$F$5:$F$1504,MATCH(123,业务流水!$X$5:$X$1504,0)),""),IFERROR(INDEX(业务流水!$E$5:$E$1504,MATCH(123,业务流水!$X$5:$X$1504,0)),"")))</f>
        <v/>
      </c>
      <c r="F128" s="32" t="str">
        <f aca="false">IFERROR(INDEX(业务流水!$D$5:$D$1504,MATCH(123,业务流水!$X$5:$X$1504,0)),"")</f>
        <v/>
      </c>
      <c r="G128" s="41" t="n">
        <f aca="false">IF($F128="挂靠代收",N(IFERROR(INDEX(业务流水!$H$5:$H$1504,MATCH(123,业务流水!$X$5:$X$1504,0)),"")),0)</f>
        <v>0</v>
      </c>
      <c r="H128" s="41" t="n">
        <f aca="false">IF($F128="我方收款",N(IFERROR(INDEX(业务流水!$H$5:$H$1504,MATCH(123,业务流水!$X$5:$X$1504,0)),"")),0)</f>
        <v>0</v>
      </c>
      <c r="I128" s="42" t="str">
        <f aca="false">IF($B128="","",SUMIFS($G$6:$G128,$E$6:$E128,$E128)-SUMIFS($H$6:$H128,$E$6:$E128,$E128))</f>
        <v/>
      </c>
      <c r="J128" s="40" t="str">
        <f aca="false">IFERROR(INDEX(业务流水!$J$5:$J$1504,MATCH(123,业务流水!$X$5:$X$1504,0)),"")</f>
        <v/>
      </c>
    </row>
    <row r="129" customFormat="false" ht="15.75" hidden="false" customHeight="true" outlineLevel="0" collapsed="false">
      <c r="A129" s="32" t="str">
        <f aca="false">IF($B129="","",124)</f>
        <v/>
      </c>
      <c r="B129" s="50" t="str">
        <f aca="false">IFERROR(INDEX(业务流水!$B$5:$B$1504,MATCH(124,业务流水!$X$5:$X$1504,0)),"")</f>
        <v/>
      </c>
      <c r="C129" s="32" t="str">
        <f aca="false">IFERROR(INDEX(业务流水!$C$5:$C$1504,MATCH(124,业务流水!$X$5:$X$1504,0)),"")</f>
        <v/>
      </c>
      <c r="D129" s="40" t="str">
        <f aca="false">IFERROR(INDEX(业务流水!$M$5:$M$1504,MATCH(124,业务流水!$X$5:$X$1504,0)),"")</f>
        <v/>
      </c>
      <c r="E129" s="32" t="str">
        <f aca="false">IF($B129="","",IF(IFERROR(INDEX(业务流水!$D$5:$D$1504,MATCH(124,业务流水!$X$5:$X$1504,0)),"")="挂靠代收",IFERROR(INDEX(业务流水!$F$5:$F$1504,MATCH(124,业务流水!$X$5:$X$1504,0)),""),IFERROR(INDEX(业务流水!$E$5:$E$1504,MATCH(124,业务流水!$X$5:$X$1504,0)),"")))</f>
        <v/>
      </c>
      <c r="F129" s="32" t="str">
        <f aca="false">IFERROR(INDEX(业务流水!$D$5:$D$1504,MATCH(124,业务流水!$X$5:$X$1504,0)),"")</f>
        <v/>
      </c>
      <c r="G129" s="41" t="n">
        <f aca="false">IF($F129="挂靠代收",N(IFERROR(INDEX(业务流水!$H$5:$H$1504,MATCH(124,业务流水!$X$5:$X$1504,0)),"")),0)</f>
        <v>0</v>
      </c>
      <c r="H129" s="41" t="n">
        <f aca="false">IF($F129="我方收款",N(IFERROR(INDEX(业务流水!$H$5:$H$1504,MATCH(124,业务流水!$X$5:$X$1504,0)),"")),0)</f>
        <v>0</v>
      </c>
      <c r="I129" s="42" t="str">
        <f aca="false">IF($B129="","",SUMIFS($G$6:$G129,$E$6:$E129,$E129)-SUMIFS($H$6:$H129,$E$6:$E129,$E129))</f>
        <v/>
      </c>
      <c r="J129" s="40" t="str">
        <f aca="false">IFERROR(INDEX(业务流水!$J$5:$J$1504,MATCH(124,业务流水!$X$5:$X$1504,0)),"")</f>
        <v/>
      </c>
    </row>
    <row r="130" customFormat="false" ht="15.75" hidden="false" customHeight="true" outlineLevel="0" collapsed="false">
      <c r="A130" s="32" t="str">
        <f aca="false">IF($B130="","",125)</f>
        <v/>
      </c>
      <c r="B130" s="50" t="str">
        <f aca="false">IFERROR(INDEX(业务流水!$B$5:$B$1504,MATCH(125,业务流水!$X$5:$X$1504,0)),"")</f>
        <v/>
      </c>
      <c r="C130" s="32" t="str">
        <f aca="false">IFERROR(INDEX(业务流水!$C$5:$C$1504,MATCH(125,业务流水!$X$5:$X$1504,0)),"")</f>
        <v/>
      </c>
      <c r="D130" s="40" t="str">
        <f aca="false">IFERROR(INDEX(业务流水!$M$5:$M$1504,MATCH(125,业务流水!$X$5:$X$1504,0)),"")</f>
        <v/>
      </c>
      <c r="E130" s="32" t="str">
        <f aca="false">IF($B130="","",IF(IFERROR(INDEX(业务流水!$D$5:$D$1504,MATCH(125,业务流水!$X$5:$X$1504,0)),"")="挂靠代收",IFERROR(INDEX(业务流水!$F$5:$F$1504,MATCH(125,业务流水!$X$5:$X$1504,0)),""),IFERROR(INDEX(业务流水!$E$5:$E$1504,MATCH(125,业务流水!$X$5:$X$1504,0)),"")))</f>
        <v/>
      </c>
      <c r="F130" s="32" t="str">
        <f aca="false">IFERROR(INDEX(业务流水!$D$5:$D$1504,MATCH(125,业务流水!$X$5:$X$1504,0)),"")</f>
        <v/>
      </c>
      <c r="G130" s="41" t="n">
        <f aca="false">IF($F130="挂靠代收",N(IFERROR(INDEX(业务流水!$H$5:$H$1504,MATCH(125,业务流水!$X$5:$X$1504,0)),"")),0)</f>
        <v>0</v>
      </c>
      <c r="H130" s="41" t="n">
        <f aca="false">IF($F130="我方收款",N(IFERROR(INDEX(业务流水!$H$5:$H$1504,MATCH(125,业务流水!$X$5:$X$1504,0)),"")),0)</f>
        <v>0</v>
      </c>
      <c r="I130" s="42" t="str">
        <f aca="false">IF($B130="","",SUMIFS($G$6:$G130,$E$6:$E130,$E130)-SUMIFS($H$6:$H130,$E$6:$E130,$E130))</f>
        <v/>
      </c>
      <c r="J130" s="40" t="str">
        <f aca="false">IFERROR(INDEX(业务流水!$J$5:$J$1504,MATCH(125,业务流水!$X$5:$X$1504,0)),"")</f>
        <v/>
      </c>
    </row>
    <row r="131" customFormat="false" ht="15.75" hidden="false" customHeight="true" outlineLevel="0" collapsed="false">
      <c r="A131" s="32" t="str">
        <f aca="false">IF($B131="","",126)</f>
        <v/>
      </c>
      <c r="B131" s="50" t="str">
        <f aca="false">IFERROR(INDEX(业务流水!$B$5:$B$1504,MATCH(126,业务流水!$X$5:$X$1504,0)),"")</f>
        <v/>
      </c>
      <c r="C131" s="32" t="str">
        <f aca="false">IFERROR(INDEX(业务流水!$C$5:$C$1504,MATCH(126,业务流水!$X$5:$X$1504,0)),"")</f>
        <v/>
      </c>
      <c r="D131" s="40" t="str">
        <f aca="false">IFERROR(INDEX(业务流水!$M$5:$M$1504,MATCH(126,业务流水!$X$5:$X$1504,0)),"")</f>
        <v/>
      </c>
      <c r="E131" s="32" t="str">
        <f aca="false">IF($B131="","",IF(IFERROR(INDEX(业务流水!$D$5:$D$1504,MATCH(126,业务流水!$X$5:$X$1504,0)),"")="挂靠代收",IFERROR(INDEX(业务流水!$F$5:$F$1504,MATCH(126,业务流水!$X$5:$X$1504,0)),""),IFERROR(INDEX(业务流水!$E$5:$E$1504,MATCH(126,业务流水!$X$5:$X$1504,0)),"")))</f>
        <v/>
      </c>
      <c r="F131" s="32" t="str">
        <f aca="false">IFERROR(INDEX(业务流水!$D$5:$D$1504,MATCH(126,业务流水!$X$5:$X$1504,0)),"")</f>
        <v/>
      </c>
      <c r="G131" s="41" t="n">
        <f aca="false">IF($F131="挂靠代收",N(IFERROR(INDEX(业务流水!$H$5:$H$1504,MATCH(126,业务流水!$X$5:$X$1504,0)),"")),0)</f>
        <v>0</v>
      </c>
      <c r="H131" s="41" t="n">
        <f aca="false">IF($F131="我方收款",N(IFERROR(INDEX(业务流水!$H$5:$H$1504,MATCH(126,业务流水!$X$5:$X$1504,0)),"")),0)</f>
        <v>0</v>
      </c>
      <c r="I131" s="42" t="str">
        <f aca="false">IF($B131="","",SUMIFS($G$6:$G131,$E$6:$E131,$E131)-SUMIFS($H$6:$H131,$E$6:$E131,$E131))</f>
        <v/>
      </c>
      <c r="J131" s="40" t="str">
        <f aca="false">IFERROR(INDEX(业务流水!$J$5:$J$1504,MATCH(126,业务流水!$X$5:$X$1504,0)),"")</f>
        <v/>
      </c>
    </row>
    <row r="132" customFormat="false" ht="15.75" hidden="false" customHeight="true" outlineLevel="0" collapsed="false">
      <c r="A132" s="32" t="str">
        <f aca="false">IF($B132="","",127)</f>
        <v/>
      </c>
      <c r="B132" s="50" t="str">
        <f aca="false">IFERROR(INDEX(业务流水!$B$5:$B$1504,MATCH(127,业务流水!$X$5:$X$1504,0)),"")</f>
        <v/>
      </c>
      <c r="C132" s="32" t="str">
        <f aca="false">IFERROR(INDEX(业务流水!$C$5:$C$1504,MATCH(127,业务流水!$X$5:$X$1504,0)),"")</f>
        <v/>
      </c>
      <c r="D132" s="40" t="str">
        <f aca="false">IFERROR(INDEX(业务流水!$M$5:$M$1504,MATCH(127,业务流水!$X$5:$X$1504,0)),"")</f>
        <v/>
      </c>
      <c r="E132" s="32" t="str">
        <f aca="false">IF($B132="","",IF(IFERROR(INDEX(业务流水!$D$5:$D$1504,MATCH(127,业务流水!$X$5:$X$1504,0)),"")="挂靠代收",IFERROR(INDEX(业务流水!$F$5:$F$1504,MATCH(127,业务流水!$X$5:$X$1504,0)),""),IFERROR(INDEX(业务流水!$E$5:$E$1504,MATCH(127,业务流水!$X$5:$X$1504,0)),"")))</f>
        <v/>
      </c>
      <c r="F132" s="32" t="str">
        <f aca="false">IFERROR(INDEX(业务流水!$D$5:$D$1504,MATCH(127,业务流水!$X$5:$X$1504,0)),"")</f>
        <v/>
      </c>
      <c r="G132" s="41" t="n">
        <f aca="false">IF($F132="挂靠代收",N(IFERROR(INDEX(业务流水!$H$5:$H$1504,MATCH(127,业务流水!$X$5:$X$1504,0)),"")),0)</f>
        <v>0</v>
      </c>
      <c r="H132" s="41" t="n">
        <f aca="false">IF($F132="我方收款",N(IFERROR(INDEX(业务流水!$H$5:$H$1504,MATCH(127,业务流水!$X$5:$X$1504,0)),"")),0)</f>
        <v>0</v>
      </c>
      <c r="I132" s="42" t="str">
        <f aca="false">IF($B132="","",SUMIFS($G$6:$G132,$E$6:$E132,$E132)-SUMIFS($H$6:$H132,$E$6:$E132,$E132))</f>
        <v/>
      </c>
      <c r="J132" s="40" t="str">
        <f aca="false">IFERROR(INDEX(业务流水!$J$5:$J$1504,MATCH(127,业务流水!$X$5:$X$1504,0)),"")</f>
        <v/>
      </c>
    </row>
    <row r="133" customFormat="false" ht="15.75" hidden="false" customHeight="true" outlineLevel="0" collapsed="false">
      <c r="A133" s="32" t="str">
        <f aca="false">IF($B133="","",128)</f>
        <v/>
      </c>
      <c r="B133" s="50" t="str">
        <f aca="false">IFERROR(INDEX(业务流水!$B$5:$B$1504,MATCH(128,业务流水!$X$5:$X$1504,0)),"")</f>
        <v/>
      </c>
      <c r="C133" s="32" t="str">
        <f aca="false">IFERROR(INDEX(业务流水!$C$5:$C$1504,MATCH(128,业务流水!$X$5:$X$1504,0)),"")</f>
        <v/>
      </c>
      <c r="D133" s="40" t="str">
        <f aca="false">IFERROR(INDEX(业务流水!$M$5:$M$1504,MATCH(128,业务流水!$X$5:$X$1504,0)),"")</f>
        <v/>
      </c>
      <c r="E133" s="32" t="str">
        <f aca="false">IF($B133="","",IF(IFERROR(INDEX(业务流水!$D$5:$D$1504,MATCH(128,业务流水!$X$5:$X$1504,0)),"")="挂靠代收",IFERROR(INDEX(业务流水!$F$5:$F$1504,MATCH(128,业务流水!$X$5:$X$1504,0)),""),IFERROR(INDEX(业务流水!$E$5:$E$1504,MATCH(128,业务流水!$X$5:$X$1504,0)),"")))</f>
        <v/>
      </c>
      <c r="F133" s="32" t="str">
        <f aca="false">IFERROR(INDEX(业务流水!$D$5:$D$1504,MATCH(128,业务流水!$X$5:$X$1504,0)),"")</f>
        <v/>
      </c>
      <c r="G133" s="41" t="n">
        <f aca="false">IF($F133="挂靠代收",N(IFERROR(INDEX(业务流水!$H$5:$H$1504,MATCH(128,业务流水!$X$5:$X$1504,0)),"")),0)</f>
        <v>0</v>
      </c>
      <c r="H133" s="41" t="n">
        <f aca="false">IF($F133="我方收款",N(IFERROR(INDEX(业务流水!$H$5:$H$1504,MATCH(128,业务流水!$X$5:$X$1504,0)),"")),0)</f>
        <v>0</v>
      </c>
      <c r="I133" s="42" t="str">
        <f aca="false">IF($B133="","",SUMIFS($G$6:$G133,$E$6:$E133,$E133)-SUMIFS($H$6:$H133,$E$6:$E133,$E133))</f>
        <v/>
      </c>
      <c r="J133" s="40" t="str">
        <f aca="false">IFERROR(INDEX(业务流水!$J$5:$J$1504,MATCH(128,业务流水!$X$5:$X$1504,0)),"")</f>
        <v/>
      </c>
    </row>
    <row r="134" customFormat="false" ht="15.75" hidden="false" customHeight="true" outlineLevel="0" collapsed="false">
      <c r="A134" s="32" t="str">
        <f aca="false">IF($B134="","",129)</f>
        <v/>
      </c>
      <c r="B134" s="50" t="str">
        <f aca="false">IFERROR(INDEX(业务流水!$B$5:$B$1504,MATCH(129,业务流水!$X$5:$X$1504,0)),"")</f>
        <v/>
      </c>
      <c r="C134" s="32" t="str">
        <f aca="false">IFERROR(INDEX(业务流水!$C$5:$C$1504,MATCH(129,业务流水!$X$5:$X$1504,0)),"")</f>
        <v/>
      </c>
      <c r="D134" s="40" t="str">
        <f aca="false">IFERROR(INDEX(业务流水!$M$5:$M$1504,MATCH(129,业务流水!$X$5:$X$1504,0)),"")</f>
        <v/>
      </c>
      <c r="E134" s="32" t="str">
        <f aca="false">IF($B134="","",IF(IFERROR(INDEX(业务流水!$D$5:$D$1504,MATCH(129,业务流水!$X$5:$X$1504,0)),"")="挂靠代收",IFERROR(INDEX(业务流水!$F$5:$F$1504,MATCH(129,业务流水!$X$5:$X$1504,0)),""),IFERROR(INDEX(业务流水!$E$5:$E$1504,MATCH(129,业务流水!$X$5:$X$1504,0)),"")))</f>
        <v/>
      </c>
      <c r="F134" s="32" t="str">
        <f aca="false">IFERROR(INDEX(业务流水!$D$5:$D$1504,MATCH(129,业务流水!$X$5:$X$1504,0)),"")</f>
        <v/>
      </c>
      <c r="G134" s="41" t="n">
        <f aca="false">IF($F134="挂靠代收",N(IFERROR(INDEX(业务流水!$H$5:$H$1504,MATCH(129,业务流水!$X$5:$X$1504,0)),"")),0)</f>
        <v>0</v>
      </c>
      <c r="H134" s="41" t="n">
        <f aca="false">IF($F134="我方收款",N(IFERROR(INDEX(业务流水!$H$5:$H$1504,MATCH(129,业务流水!$X$5:$X$1504,0)),"")),0)</f>
        <v>0</v>
      </c>
      <c r="I134" s="42" t="str">
        <f aca="false">IF($B134="","",SUMIFS($G$6:$G134,$E$6:$E134,$E134)-SUMIFS($H$6:$H134,$E$6:$E134,$E134))</f>
        <v/>
      </c>
      <c r="J134" s="40" t="str">
        <f aca="false">IFERROR(INDEX(业务流水!$J$5:$J$1504,MATCH(129,业务流水!$X$5:$X$1504,0)),"")</f>
        <v/>
      </c>
    </row>
    <row r="135" customFormat="false" ht="15.75" hidden="false" customHeight="true" outlineLevel="0" collapsed="false">
      <c r="A135" s="32" t="str">
        <f aca="false">IF($B135="","",130)</f>
        <v/>
      </c>
      <c r="B135" s="50" t="str">
        <f aca="false">IFERROR(INDEX(业务流水!$B$5:$B$1504,MATCH(130,业务流水!$X$5:$X$1504,0)),"")</f>
        <v/>
      </c>
      <c r="C135" s="32" t="str">
        <f aca="false">IFERROR(INDEX(业务流水!$C$5:$C$1504,MATCH(130,业务流水!$X$5:$X$1504,0)),"")</f>
        <v/>
      </c>
      <c r="D135" s="40" t="str">
        <f aca="false">IFERROR(INDEX(业务流水!$M$5:$M$1504,MATCH(130,业务流水!$X$5:$X$1504,0)),"")</f>
        <v/>
      </c>
      <c r="E135" s="32" t="str">
        <f aca="false">IF($B135="","",IF(IFERROR(INDEX(业务流水!$D$5:$D$1504,MATCH(130,业务流水!$X$5:$X$1504,0)),"")="挂靠代收",IFERROR(INDEX(业务流水!$F$5:$F$1504,MATCH(130,业务流水!$X$5:$X$1504,0)),""),IFERROR(INDEX(业务流水!$E$5:$E$1504,MATCH(130,业务流水!$X$5:$X$1504,0)),"")))</f>
        <v/>
      </c>
      <c r="F135" s="32" t="str">
        <f aca="false">IFERROR(INDEX(业务流水!$D$5:$D$1504,MATCH(130,业务流水!$X$5:$X$1504,0)),"")</f>
        <v/>
      </c>
      <c r="G135" s="41" t="n">
        <f aca="false">IF($F135="挂靠代收",N(IFERROR(INDEX(业务流水!$H$5:$H$1504,MATCH(130,业务流水!$X$5:$X$1504,0)),"")),0)</f>
        <v>0</v>
      </c>
      <c r="H135" s="41" t="n">
        <f aca="false">IF($F135="我方收款",N(IFERROR(INDEX(业务流水!$H$5:$H$1504,MATCH(130,业务流水!$X$5:$X$1504,0)),"")),0)</f>
        <v>0</v>
      </c>
      <c r="I135" s="42" t="str">
        <f aca="false">IF($B135="","",SUMIFS($G$6:$G135,$E$6:$E135,$E135)-SUMIFS($H$6:$H135,$E$6:$E135,$E135))</f>
        <v/>
      </c>
      <c r="J135" s="40" t="str">
        <f aca="false">IFERROR(INDEX(业务流水!$J$5:$J$1504,MATCH(130,业务流水!$X$5:$X$1504,0)),"")</f>
        <v/>
      </c>
    </row>
    <row r="136" customFormat="false" ht="15.75" hidden="false" customHeight="true" outlineLevel="0" collapsed="false">
      <c r="A136" s="32" t="str">
        <f aca="false">IF($B136="","",131)</f>
        <v/>
      </c>
      <c r="B136" s="50" t="str">
        <f aca="false">IFERROR(INDEX(业务流水!$B$5:$B$1504,MATCH(131,业务流水!$X$5:$X$1504,0)),"")</f>
        <v/>
      </c>
      <c r="C136" s="32" t="str">
        <f aca="false">IFERROR(INDEX(业务流水!$C$5:$C$1504,MATCH(131,业务流水!$X$5:$X$1504,0)),"")</f>
        <v/>
      </c>
      <c r="D136" s="40" t="str">
        <f aca="false">IFERROR(INDEX(业务流水!$M$5:$M$1504,MATCH(131,业务流水!$X$5:$X$1504,0)),"")</f>
        <v/>
      </c>
      <c r="E136" s="32" t="str">
        <f aca="false">IF($B136="","",IF(IFERROR(INDEX(业务流水!$D$5:$D$1504,MATCH(131,业务流水!$X$5:$X$1504,0)),"")="挂靠代收",IFERROR(INDEX(业务流水!$F$5:$F$1504,MATCH(131,业务流水!$X$5:$X$1504,0)),""),IFERROR(INDEX(业务流水!$E$5:$E$1504,MATCH(131,业务流水!$X$5:$X$1504,0)),"")))</f>
        <v/>
      </c>
      <c r="F136" s="32" t="str">
        <f aca="false">IFERROR(INDEX(业务流水!$D$5:$D$1504,MATCH(131,业务流水!$X$5:$X$1504,0)),"")</f>
        <v/>
      </c>
      <c r="G136" s="41" t="n">
        <f aca="false">IF($F136="挂靠代收",N(IFERROR(INDEX(业务流水!$H$5:$H$1504,MATCH(131,业务流水!$X$5:$X$1504,0)),"")),0)</f>
        <v>0</v>
      </c>
      <c r="H136" s="41" t="n">
        <f aca="false">IF($F136="我方收款",N(IFERROR(INDEX(业务流水!$H$5:$H$1504,MATCH(131,业务流水!$X$5:$X$1504,0)),"")),0)</f>
        <v>0</v>
      </c>
      <c r="I136" s="42" t="str">
        <f aca="false">IF($B136="","",SUMIFS($G$6:$G136,$E$6:$E136,$E136)-SUMIFS($H$6:$H136,$E$6:$E136,$E136))</f>
        <v/>
      </c>
      <c r="J136" s="40" t="str">
        <f aca="false">IFERROR(INDEX(业务流水!$J$5:$J$1504,MATCH(131,业务流水!$X$5:$X$1504,0)),"")</f>
        <v/>
      </c>
    </row>
    <row r="137" customFormat="false" ht="15.75" hidden="false" customHeight="true" outlineLevel="0" collapsed="false">
      <c r="A137" s="32" t="str">
        <f aca="false">IF($B137="","",132)</f>
        <v/>
      </c>
      <c r="B137" s="50" t="str">
        <f aca="false">IFERROR(INDEX(业务流水!$B$5:$B$1504,MATCH(132,业务流水!$X$5:$X$1504,0)),"")</f>
        <v/>
      </c>
      <c r="C137" s="32" t="str">
        <f aca="false">IFERROR(INDEX(业务流水!$C$5:$C$1504,MATCH(132,业务流水!$X$5:$X$1504,0)),"")</f>
        <v/>
      </c>
      <c r="D137" s="40" t="str">
        <f aca="false">IFERROR(INDEX(业务流水!$M$5:$M$1504,MATCH(132,业务流水!$X$5:$X$1504,0)),"")</f>
        <v/>
      </c>
      <c r="E137" s="32" t="str">
        <f aca="false">IF($B137="","",IF(IFERROR(INDEX(业务流水!$D$5:$D$1504,MATCH(132,业务流水!$X$5:$X$1504,0)),"")="挂靠代收",IFERROR(INDEX(业务流水!$F$5:$F$1504,MATCH(132,业务流水!$X$5:$X$1504,0)),""),IFERROR(INDEX(业务流水!$E$5:$E$1504,MATCH(132,业务流水!$X$5:$X$1504,0)),"")))</f>
        <v/>
      </c>
      <c r="F137" s="32" t="str">
        <f aca="false">IFERROR(INDEX(业务流水!$D$5:$D$1504,MATCH(132,业务流水!$X$5:$X$1504,0)),"")</f>
        <v/>
      </c>
      <c r="G137" s="41" t="n">
        <f aca="false">IF($F137="挂靠代收",N(IFERROR(INDEX(业务流水!$H$5:$H$1504,MATCH(132,业务流水!$X$5:$X$1504,0)),"")),0)</f>
        <v>0</v>
      </c>
      <c r="H137" s="41" t="n">
        <f aca="false">IF($F137="我方收款",N(IFERROR(INDEX(业务流水!$H$5:$H$1504,MATCH(132,业务流水!$X$5:$X$1504,0)),"")),0)</f>
        <v>0</v>
      </c>
      <c r="I137" s="42" t="str">
        <f aca="false">IF($B137="","",SUMIFS($G$6:$G137,$E$6:$E137,$E137)-SUMIFS($H$6:$H137,$E$6:$E137,$E137))</f>
        <v/>
      </c>
      <c r="J137" s="40" t="str">
        <f aca="false">IFERROR(INDEX(业务流水!$J$5:$J$1504,MATCH(132,业务流水!$X$5:$X$1504,0)),"")</f>
        <v/>
      </c>
    </row>
    <row r="138" customFormat="false" ht="15.75" hidden="false" customHeight="true" outlineLevel="0" collapsed="false">
      <c r="A138" s="32" t="str">
        <f aca="false">IF($B138="","",133)</f>
        <v/>
      </c>
      <c r="B138" s="50" t="str">
        <f aca="false">IFERROR(INDEX(业务流水!$B$5:$B$1504,MATCH(133,业务流水!$X$5:$X$1504,0)),"")</f>
        <v/>
      </c>
      <c r="C138" s="32" t="str">
        <f aca="false">IFERROR(INDEX(业务流水!$C$5:$C$1504,MATCH(133,业务流水!$X$5:$X$1504,0)),"")</f>
        <v/>
      </c>
      <c r="D138" s="40" t="str">
        <f aca="false">IFERROR(INDEX(业务流水!$M$5:$M$1504,MATCH(133,业务流水!$X$5:$X$1504,0)),"")</f>
        <v/>
      </c>
      <c r="E138" s="32" t="str">
        <f aca="false">IF($B138="","",IF(IFERROR(INDEX(业务流水!$D$5:$D$1504,MATCH(133,业务流水!$X$5:$X$1504,0)),"")="挂靠代收",IFERROR(INDEX(业务流水!$F$5:$F$1504,MATCH(133,业务流水!$X$5:$X$1504,0)),""),IFERROR(INDEX(业务流水!$E$5:$E$1504,MATCH(133,业务流水!$X$5:$X$1504,0)),"")))</f>
        <v/>
      </c>
      <c r="F138" s="32" t="str">
        <f aca="false">IFERROR(INDEX(业务流水!$D$5:$D$1504,MATCH(133,业务流水!$X$5:$X$1504,0)),"")</f>
        <v/>
      </c>
      <c r="G138" s="41" t="n">
        <f aca="false">IF($F138="挂靠代收",N(IFERROR(INDEX(业务流水!$H$5:$H$1504,MATCH(133,业务流水!$X$5:$X$1504,0)),"")),0)</f>
        <v>0</v>
      </c>
      <c r="H138" s="41" t="n">
        <f aca="false">IF($F138="我方收款",N(IFERROR(INDEX(业务流水!$H$5:$H$1504,MATCH(133,业务流水!$X$5:$X$1504,0)),"")),0)</f>
        <v>0</v>
      </c>
      <c r="I138" s="42" t="str">
        <f aca="false">IF($B138="","",SUMIFS($G$6:$G138,$E$6:$E138,$E138)-SUMIFS($H$6:$H138,$E$6:$E138,$E138))</f>
        <v/>
      </c>
      <c r="J138" s="40" t="str">
        <f aca="false">IFERROR(INDEX(业务流水!$J$5:$J$1504,MATCH(133,业务流水!$X$5:$X$1504,0)),"")</f>
        <v/>
      </c>
    </row>
    <row r="139" customFormat="false" ht="15.75" hidden="false" customHeight="true" outlineLevel="0" collapsed="false">
      <c r="A139" s="32" t="str">
        <f aca="false">IF($B139="","",134)</f>
        <v/>
      </c>
      <c r="B139" s="50" t="str">
        <f aca="false">IFERROR(INDEX(业务流水!$B$5:$B$1504,MATCH(134,业务流水!$X$5:$X$1504,0)),"")</f>
        <v/>
      </c>
      <c r="C139" s="32" t="str">
        <f aca="false">IFERROR(INDEX(业务流水!$C$5:$C$1504,MATCH(134,业务流水!$X$5:$X$1504,0)),"")</f>
        <v/>
      </c>
      <c r="D139" s="40" t="str">
        <f aca="false">IFERROR(INDEX(业务流水!$M$5:$M$1504,MATCH(134,业务流水!$X$5:$X$1504,0)),"")</f>
        <v/>
      </c>
      <c r="E139" s="32" t="str">
        <f aca="false">IF($B139="","",IF(IFERROR(INDEX(业务流水!$D$5:$D$1504,MATCH(134,业务流水!$X$5:$X$1504,0)),"")="挂靠代收",IFERROR(INDEX(业务流水!$F$5:$F$1504,MATCH(134,业务流水!$X$5:$X$1504,0)),""),IFERROR(INDEX(业务流水!$E$5:$E$1504,MATCH(134,业务流水!$X$5:$X$1504,0)),"")))</f>
        <v/>
      </c>
      <c r="F139" s="32" t="str">
        <f aca="false">IFERROR(INDEX(业务流水!$D$5:$D$1504,MATCH(134,业务流水!$X$5:$X$1504,0)),"")</f>
        <v/>
      </c>
      <c r="G139" s="41" t="n">
        <f aca="false">IF($F139="挂靠代收",N(IFERROR(INDEX(业务流水!$H$5:$H$1504,MATCH(134,业务流水!$X$5:$X$1504,0)),"")),0)</f>
        <v>0</v>
      </c>
      <c r="H139" s="41" t="n">
        <f aca="false">IF($F139="我方收款",N(IFERROR(INDEX(业务流水!$H$5:$H$1504,MATCH(134,业务流水!$X$5:$X$1504,0)),"")),0)</f>
        <v>0</v>
      </c>
      <c r="I139" s="42" t="str">
        <f aca="false">IF($B139="","",SUMIFS($G$6:$G139,$E$6:$E139,$E139)-SUMIFS($H$6:$H139,$E$6:$E139,$E139))</f>
        <v/>
      </c>
      <c r="J139" s="40" t="str">
        <f aca="false">IFERROR(INDEX(业务流水!$J$5:$J$1504,MATCH(134,业务流水!$X$5:$X$1504,0)),"")</f>
        <v/>
      </c>
    </row>
    <row r="140" customFormat="false" ht="15.75" hidden="false" customHeight="true" outlineLevel="0" collapsed="false">
      <c r="A140" s="32" t="str">
        <f aca="false">IF($B140="","",135)</f>
        <v/>
      </c>
      <c r="B140" s="50" t="str">
        <f aca="false">IFERROR(INDEX(业务流水!$B$5:$B$1504,MATCH(135,业务流水!$X$5:$X$1504,0)),"")</f>
        <v/>
      </c>
      <c r="C140" s="32" t="str">
        <f aca="false">IFERROR(INDEX(业务流水!$C$5:$C$1504,MATCH(135,业务流水!$X$5:$X$1504,0)),"")</f>
        <v/>
      </c>
      <c r="D140" s="40" t="str">
        <f aca="false">IFERROR(INDEX(业务流水!$M$5:$M$1504,MATCH(135,业务流水!$X$5:$X$1504,0)),"")</f>
        <v/>
      </c>
      <c r="E140" s="32" t="str">
        <f aca="false">IF($B140="","",IF(IFERROR(INDEX(业务流水!$D$5:$D$1504,MATCH(135,业务流水!$X$5:$X$1504,0)),"")="挂靠代收",IFERROR(INDEX(业务流水!$F$5:$F$1504,MATCH(135,业务流水!$X$5:$X$1504,0)),""),IFERROR(INDEX(业务流水!$E$5:$E$1504,MATCH(135,业务流水!$X$5:$X$1504,0)),"")))</f>
        <v/>
      </c>
      <c r="F140" s="32" t="str">
        <f aca="false">IFERROR(INDEX(业务流水!$D$5:$D$1504,MATCH(135,业务流水!$X$5:$X$1504,0)),"")</f>
        <v/>
      </c>
      <c r="G140" s="41" t="n">
        <f aca="false">IF($F140="挂靠代收",N(IFERROR(INDEX(业务流水!$H$5:$H$1504,MATCH(135,业务流水!$X$5:$X$1504,0)),"")),0)</f>
        <v>0</v>
      </c>
      <c r="H140" s="41" t="n">
        <f aca="false">IF($F140="我方收款",N(IFERROR(INDEX(业务流水!$H$5:$H$1504,MATCH(135,业务流水!$X$5:$X$1504,0)),"")),0)</f>
        <v>0</v>
      </c>
      <c r="I140" s="42" t="str">
        <f aca="false">IF($B140="","",SUMIFS($G$6:$G140,$E$6:$E140,$E140)-SUMIFS($H$6:$H140,$E$6:$E140,$E140))</f>
        <v/>
      </c>
      <c r="J140" s="40" t="str">
        <f aca="false">IFERROR(INDEX(业务流水!$J$5:$J$1504,MATCH(135,业务流水!$X$5:$X$1504,0)),"")</f>
        <v/>
      </c>
    </row>
    <row r="141" customFormat="false" ht="15.75" hidden="false" customHeight="true" outlineLevel="0" collapsed="false">
      <c r="A141" s="32" t="str">
        <f aca="false">IF($B141="","",136)</f>
        <v/>
      </c>
      <c r="B141" s="50" t="str">
        <f aca="false">IFERROR(INDEX(业务流水!$B$5:$B$1504,MATCH(136,业务流水!$X$5:$X$1504,0)),"")</f>
        <v/>
      </c>
      <c r="C141" s="32" t="str">
        <f aca="false">IFERROR(INDEX(业务流水!$C$5:$C$1504,MATCH(136,业务流水!$X$5:$X$1504,0)),"")</f>
        <v/>
      </c>
      <c r="D141" s="40" t="str">
        <f aca="false">IFERROR(INDEX(业务流水!$M$5:$M$1504,MATCH(136,业务流水!$X$5:$X$1504,0)),"")</f>
        <v/>
      </c>
      <c r="E141" s="32" t="str">
        <f aca="false">IF($B141="","",IF(IFERROR(INDEX(业务流水!$D$5:$D$1504,MATCH(136,业务流水!$X$5:$X$1504,0)),"")="挂靠代收",IFERROR(INDEX(业务流水!$F$5:$F$1504,MATCH(136,业务流水!$X$5:$X$1504,0)),""),IFERROR(INDEX(业务流水!$E$5:$E$1504,MATCH(136,业务流水!$X$5:$X$1504,0)),"")))</f>
        <v/>
      </c>
      <c r="F141" s="32" t="str">
        <f aca="false">IFERROR(INDEX(业务流水!$D$5:$D$1504,MATCH(136,业务流水!$X$5:$X$1504,0)),"")</f>
        <v/>
      </c>
      <c r="G141" s="41" t="n">
        <f aca="false">IF($F141="挂靠代收",N(IFERROR(INDEX(业务流水!$H$5:$H$1504,MATCH(136,业务流水!$X$5:$X$1504,0)),"")),0)</f>
        <v>0</v>
      </c>
      <c r="H141" s="41" t="n">
        <f aca="false">IF($F141="我方收款",N(IFERROR(INDEX(业务流水!$H$5:$H$1504,MATCH(136,业务流水!$X$5:$X$1504,0)),"")),0)</f>
        <v>0</v>
      </c>
      <c r="I141" s="42" t="str">
        <f aca="false">IF($B141="","",SUMIFS($G$6:$G141,$E$6:$E141,$E141)-SUMIFS($H$6:$H141,$E$6:$E141,$E141))</f>
        <v/>
      </c>
      <c r="J141" s="40" t="str">
        <f aca="false">IFERROR(INDEX(业务流水!$J$5:$J$1504,MATCH(136,业务流水!$X$5:$X$1504,0)),"")</f>
        <v/>
      </c>
    </row>
    <row r="142" customFormat="false" ht="15.75" hidden="false" customHeight="true" outlineLevel="0" collapsed="false">
      <c r="A142" s="32" t="str">
        <f aca="false">IF($B142="","",137)</f>
        <v/>
      </c>
      <c r="B142" s="50" t="str">
        <f aca="false">IFERROR(INDEX(业务流水!$B$5:$B$1504,MATCH(137,业务流水!$X$5:$X$1504,0)),"")</f>
        <v/>
      </c>
      <c r="C142" s="32" t="str">
        <f aca="false">IFERROR(INDEX(业务流水!$C$5:$C$1504,MATCH(137,业务流水!$X$5:$X$1504,0)),"")</f>
        <v/>
      </c>
      <c r="D142" s="40" t="str">
        <f aca="false">IFERROR(INDEX(业务流水!$M$5:$M$1504,MATCH(137,业务流水!$X$5:$X$1504,0)),"")</f>
        <v/>
      </c>
      <c r="E142" s="32" t="str">
        <f aca="false">IF($B142="","",IF(IFERROR(INDEX(业务流水!$D$5:$D$1504,MATCH(137,业务流水!$X$5:$X$1504,0)),"")="挂靠代收",IFERROR(INDEX(业务流水!$F$5:$F$1504,MATCH(137,业务流水!$X$5:$X$1504,0)),""),IFERROR(INDEX(业务流水!$E$5:$E$1504,MATCH(137,业务流水!$X$5:$X$1504,0)),"")))</f>
        <v/>
      </c>
      <c r="F142" s="32" t="str">
        <f aca="false">IFERROR(INDEX(业务流水!$D$5:$D$1504,MATCH(137,业务流水!$X$5:$X$1504,0)),"")</f>
        <v/>
      </c>
      <c r="G142" s="41" t="n">
        <f aca="false">IF($F142="挂靠代收",N(IFERROR(INDEX(业务流水!$H$5:$H$1504,MATCH(137,业务流水!$X$5:$X$1504,0)),"")),0)</f>
        <v>0</v>
      </c>
      <c r="H142" s="41" t="n">
        <f aca="false">IF($F142="我方收款",N(IFERROR(INDEX(业务流水!$H$5:$H$1504,MATCH(137,业务流水!$X$5:$X$1504,0)),"")),0)</f>
        <v>0</v>
      </c>
      <c r="I142" s="42" t="str">
        <f aca="false">IF($B142="","",SUMIFS($G$6:$G142,$E$6:$E142,$E142)-SUMIFS($H$6:$H142,$E$6:$E142,$E142))</f>
        <v/>
      </c>
      <c r="J142" s="40" t="str">
        <f aca="false">IFERROR(INDEX(业务流水!$J$5:$J$1504,MATCH(137,业务流水!$X$5:$X$1504,0)),"")</f>
        <v/>
      </c>
    </row>
    <row r="143" customFormat="false" ht="15.75" hidden="false" customHeight="true" outlineLevel="0" collapsed="false">
      <c r="A143" s="32" t="str">
        <f aca="false">IF($B143="","",138)</f>
        <v/>
      </c>
      <c r="B143" s="50" t="str">
        <f aca="false">IFERROR(INDEX(业务流水!$B$5:$B$1504,MATCH(138,业务流水!$X$5:$X$1504,0)),"")</f>
        <v/>
      </c>
      <c r="C143" s="32" t="str">
        <f aca="false">IFERROR(INDEX(业务流水!$C$5:$C$1504,MATCH(138,业务流水!$X$5:$X$1504,0)),"")</f>
        <v/>
      </c>
      <c r="D143" s="40" t="str">
        <f aca="false">IFERROR(INDEX(业务流水!$M$5:$M$1504,MATCH(138,业务流水!$X$5:$X$1504,0)),"")</f>
        <v/>
      </c>
      <c r="E143" s="32" t="str">
        <f aca="false">IF($B143="","",IF(IFERROR(INDEX(业务流水!$D$5:$D$1504,MATCH(138,业务流水!$X$5:$X$1504,0)),"")="挂靠代收",IFERROR(INDEX(业务流水!$F$5:$F$1504,MATCH(138,业务流水!$X$5:$X$1504,0)),""),IFERROR(INDEX(业务流水!$E$5:$E$1504,MATCH(138,业务流水!$X$5:$X$1504,0)),"")))</f>
        <v/>
      </c>
      <c r="F143" s="32" t="str">
        <f aca="false">IFERROR(INDEX(业务流水!$D$5:$D$1504,MATCH(138,业务流水!$X$5:$X$1504,0)),"")</f>
        <v/>
      </c>
      <c r="G143" s="41" t="n">
        <f aca="false">IF($F143="挂靠代收",N(IFERROR(INDEX(业务流水!$H$5:$H$1504,MATCH(138,业务流水!$X$5:$X$1504,0)),"")),0)</f>
        <v>0</v>
      </c>
      <c r="H143" s="41" t="n">
        <f aca="false">IF($F143="我方收款",N(IFERROR(INDEX(业务流水!$H$5:$H$1504,MATCH(138,业务流水!$X$5:$X$1504,0)),"")),0)</f>
        <v>0</v>
      </c>
      <c r="I143" s="42" t="str">
        <f aca="false">IF($B143="","",SUMIFS($G$6:$G143,$E$6:$E143,$E143)-SUMIFS($H$6:$H143,$E$6:$E143,$E143))</f>
        <v/>
      </c>
      <c r="J143" s="40" t="str">
        <f aca="false">IFERROR(INDEX(业务流水!$J$5:$J$1504,MATCH(138,业务流水!$X$5:$X$1504,0)),"")</f>
        <v/>
      </c>
    </row>
    <row r="144" customFormat="false" ht="15.75" hidden="false" customHeight="true" outlineLevel="0" collapsed="false">
      <c r="A144" s="32" t="str">
        <f aca="false">IF($B144="","",139)</f>
        <v/>
      </c>
      <c r="B144" s="50" t="str">
        <f aca="false">IFERROR(INDEX(业务流水!$B$5:$B$1504,MATCH(139,业务流水!$X$5:$X$1504,0)),"")</f>
        <v/>
      </c>
      <c r="C144" s="32" t="str">
        <f aca="false">IFERROR(INDEX(业务流水!$C$5:$C$1504,MATCH(139,业务流水!$X$5:$X$1504,0)),"")</f>
        <v/>
      </c>
      <c r="D144" s="40" t="str">
        <f aca="false">IFERROR(INDEX(业务流水!$M$5:$M$1504,MATCH(139,业务流水!$X$5:$X$1504,0)),"")</f>
        <v/>
      </c>
      <c r="E144" s="32" t="str">
        <f aca="false">IF($B144="","",IF(IFERROR(INDEX(业务流水!$D$5:$D$1504,MATCH(139,业务流水!$X$5:$X$1504,0)),"")="挂靠代收",IFERROR(INDEX(业务流水!$F$5:$F$1504,MATCH(139,业务流水!$X$5:$X$1504,0)),""),IFERROR(INDEX(业务流水!$E$5:$E$1504,MATCH(139,业务流水!$X$5:$X$1504,0)),"")))</f>
        <v/>
      </c>
      <c r="F144" s="32" t="str">
        <f aca="false">IFERROR(INDEX(业务流水!$D$5:$D$1504,MATCH(139,业务流水!$X$5:$X$1504,0)),"")</f>
        <v/>
      </c>
      <c r="G144" s="41" t="n">
        <f aca="false">IF($F144="挂靠代收",N(IFERROR(INDEX(业务流水!$H$5:$H$1504,MATCH(139,业务流水!$X$5:$X$1504,0)),"")),0)</f>
        <v>0</v>
      </c>
      <c r="H144" s="41" t="n">
        <f aca="false">IF($F144="我方收款",N(IFERROR(INDEX(业务流水!$H$5:$H$1504,MATCH(139,业务流水!$X$5:$X$1504,0)),"")),0)</f>
        <v>0</v>
      </c>
      <c r="I144" s="42" t="str">
        <f aca="false">IF($B144="","",SUMIFS($G$6:$G144,$E$6:$E144,$E144)-SUMIFS($H$6:$H144,$E$6:$E144,$E144))</f>
        <v/>
      </c>
      <c r="J144" s="40" t="str">
        <f aca="false">IFERROR(INDEX(业务流水!$J$5:$J$1504,MATCH(139,业务流水!$X$5:$X$1504,0)),"")</f>
        <v/>
      </c>
    </row>
    <row r="145" customFormat="false" ht="15.75" hidden="false" customHeight="true" outlineLevel="0" collapsed="false">
      <c r="A145" s="32" t="str">
        <f aca="false">IF($B145="","",140)</f>
        <v/>
      </c>
      <c r="B145" s="50" t="str">
        <f aca="false">IFERROR(INDEX(业务流水!$B$5:$B$1504,MATCH(140,业务流水!$X$5:$X$1504,0)),"")</f>
        <v/>
      </c>
      <c r="C145" s="32" t="str">
        <f aca="false">IFERROR(INDEX(业务流水!$C$5:$C$1504,MATCH(140,业务流水!$X$5:$X$1504,0)),"")</f>
        <v/>
      </c>
      <c r="D145" s="40" t="str">
        <f aca="false">IFERROR(INDEX(业务流水!$M$5:$M$1504,MATCH(140,业务流水!$X$5:$X$1504,0)),"")</f>
        <v/>
      </c>
      <c r="E145" s="32" t="str">
        <f aca="false">IF($B145="","",IF(IFERROR(INDEX(业务流水!$D$5:$D$1504,MATCH(140,业务流水!$X$5:$X$1504,0)),"")="挂靠代收",IFERROR(INDEX(业务流水!$F$5:$F$1504,MATCH(140,业务流水!$X$5:$X$1504,0)),""),IFERROR(INDEX(业务流水!$E$5:$E$1504,MATCH(140,业务流水!$X$5:$X$1504,0)),"")))</f>
        <v/>
      </c>
      <c r="F145" s="32" t="str">
        <f aca="false">IFERROR(INDEX(业务流水!$D$5:$D$1504,MATCH(140,业务流水!$X$5:$X$1504,0)),"")</f>
        <v/>
      </c>
      <c r="G145" s="41" t="n">
        <f aca="false">IF($F145="挂靠代收",N(IFERROR(INDEX(业务流水!$H$5:$H$1504,MATCH(140,业务流水!$X$5:$X$1504,0)),"")),0)</f>
        <v>0</v>
      </c>
      <c r="H145" s="41" t="n">
        <f aca="false">IF($F145="我方收款",N(IFERROR(INDEX(业务流水!$H$5:$H$1504,MATCH(140,业务流水!$X$5:$X$1504,0)),"")),0)</f>
        <v>0</v>
      </c>
      <c r="I145" s="42" t="str">
        <f aca="false">IF($B145="","",SUMIFS($G$6:$G145,$E$6:$E145,$E145)-SUMIFS($H$6:$H145,$E$6:$E145,$E145))</f>
        <v/>
      </c>
      <c r="J145" s="40" t="str">
        <f aca="false">IFERROR(INDEX(业务流水!$J$5:$J$1504,MATCH(140,业务流水!$X$5:$X$1504,0)),"")</f>
        <v/>
      </c>
    </row>
    <row r="146" customFormat="false" ht="15.75" hidden="false" customHeight="true" outlineLevel="0" collapsed="false">
      <c r="A146" s="32" t="str">
        <f aca="false">IF($B146="","",141)</f>
        <v/>
      </c>
      <c r="B146" s="50" t="str">
        <f aca="false">IFERROR(INDEX(业务流水!$B$5:$B$1504,MATCH(141,业务流水!$X$5:$X$1504,0)),"")</f>
        <v/>
      </c>
      <c r="C146" s="32" t="str">
        <f aca="false">IFERROR(INDEX(业务流水!$C$5:$C$1504,MATCH(141,业务流水!$X$5:$X$1504,0)),"")</f>
        <v/>
      </c>
      <c r="D146" s="40" t="str">
        <f aca="false">IFERROR(INDEX(业务流水!$M$5:$M$1504,MATCH(141,业务流水!$X$5:$X$1504,0)),"")</f>
        <v/>
      </c>
      <c r="E146" s="32" t="str">
        <f aca="false">IF($B146="","",IF(IFERROR(INDEX(业务流水!$D$5:$D$1504,MATCH(141,业务流水!$X$5:$X$1504,0)),"")="挂靠代收",IFERROR(INDEX(业务流水!$F$5:$F$1504,MATCH(141,业务流水!$X$5:$X$1504,0)),""),IFERROR(INDEX(业务流水!$E$5:$E$1504,MATCH(141,业务流水!$X$5:$X$1504,0)),"")))</f>
        <v/>
      </c>
      <c r="F146" s="32" t="str">
        <f aca="false">IFERROR(INDEX(业务流水!$D$5:$D$1504,MATCH(141,业务流水!$X$5:$X$1504,0)),"")</f>
        <v/>
      </c>
      <c r="G146" s="41" t="n">
        <f aca="false">IF($F146="挂靠代收",N(IFERROR(INDEX(业务流水!$H$5:$H$1504,MATCH(141,业务流水!$X$5:$X$1504,0)),"")),0)</f>
        <v>0</v>
      </c>
      <c r="H146" s="41" t="n">
        <f aca="false">IF($F146="我方收款",N(IFERROR(INDEX(业务流水!$H$5:$H$1504,MATCH(141,业务流水!$X$5:$X$1504,0)),"")),0)</f>
        <v>0</v>
      </c>
      <c r="I146" s="42" t="str">
        <f aca="false">IF($B146="","",SUMIFS($G$6:$G146,$E$6:$E146,$E146)-SUMIFS($H$6:$H146,$E$6:$E146,$E146))</f>
        <v/>
      </c>
      <c r="J146" s="40" t="str">
        <f aca="false">IFERROR(INDEX(业务流水!$J$5:$J$1504,MATCH(141,业务流水!$X$5:$X$1504,0)),"")</f>
        <v/>
      </c>
    </row>
    <row r="147" customFormat="false" ht="15.75" hidden="false" customHeight="true" outlineLevel="0" collapsed="false">
      <c r="A147" s="32" t="str">
        <f aca="false">IF($B147="","",142)</f>
        <v/>
      </c>
      <c r="B147" s="50" t="str">
        <f aca="false">IFERROR(INDEX(业务流水!$B$5:$B$1504,MATCH(142,业务流水!$X$5:$X$1504,0)),"")</f>
        <v/>
      </c>
      <c r="C147" s="32" t="str">
        <f aca="false">IFERROR(INDEX(业务流水!$C$5:$C$1504,MATCH(142,业务流水!$X$5:$X$1504,0)),"")</f>
        <v/>
      </c>
      <c r="D147" s="40" t="str">
        <f aca="false">IFERROR(INDEX(业务流水!$M$5:$M$1504,MATCH(142,业务流水!$X$5:$X$1504,0)),"")</f>
        <v/>
      </c>
      <c r="E147" s="32" t="str">
        <f aca="false">IF($B147="","",IF(IFERROR(INDEX(业务流水!$D$5:$D$1504,MATCH(142,业务流水!$X$5:$X$1504,0)),"")="挂靠代收",IFERROR(INDEX(业务流水!$F$5:$F$1504,MATCH(142,业务流水!$X$5:$X$1504,0)),""),IFERROR(INDEX(业务流水!$E$5:$E$1504,MATCH(142,业务流水!$X$5:$X$1504,0)),"")))</f>
        <v/>
      </c>
      <c r="F147" s="32" t="str">
        <f aca="false">IFERROR(INDEX(业务流水!$D$5:$D$1504,MATCH(142,业务流水!$X$5:$X$1504,0)),"")</f>
        <v/>
      </c>
      <c r="G147" s="41" t="n">
        <f aca="false">IF($F147="挂靠代收",N(IFERROR(INDEX(业务流水!$H$5:$H$1504,MATCH(142,业务流水!$X$5:$X$1504,0)),"")),0)</f>
        <v>0</v>
      </c>
      <c r="H147" s="41" t="n">
        <f aca="false">IF($F147="我方收款",N(IFERROR(INDEX(业务流水!$H$5:$H$1504,MATCH(142,业务流水!$X$5:$X$1504,0)),"")),0)</f>
        <v>0</v>
      </c>
      <c r="I147" s="42" t="str">
        <f aca="false">IF($B147="","",SUMIFS($G$6:$G147,$E$6:$E147,$E147)-SUMIFS($H$6:$H147,$E$6:$E147,$E147))</f>
        <v/>
      </c>
      <c r="J147" s="40" t="str">
        <f aca="false">IFERROR(INDEX(业务流水!$J$5:$J$1504,MATCH(142,业务流水!$X$5:$X$1504,0)),"")</f>
        <v/>
      </c>
    </row>
    <row r="148" customFormat="false" ht="15.75" hidden="false" customHeight="true" outlineLevel="0" collapsed="false">
      <c r="A148" s="32" t="str">
        <f aca="false">IF($B148="","",143)</f>
        <v/>
      </c>
      <c r="B148" s="50" t="str">
        <f aca="false">IFERROR(INDEX(业务流水!$B$5:$B$1504,MATCH(143,业务流水!$X$5:$X$1504,0)),"")</f>
        <v/>
      </c>
      <c r="C148" s="32" t="str">
        <f aca="false">IFERROR(INDEX(业务流水!$C$5:$C$1504,MATCH(143,业务流水!$X$5:$X$1504,0)),"")</f>
        <v/>
      </c>
      <c r="D148" s="40" t="str">
        <f aca="false">IFERROR(INDEX(业务流水!$M$5:$M$1504,MATCH(143,业务流水!$X$5:$X$1504,0)),"")</f>
        <v/>
      </c>
      <c r="E148" s="32" t="str">
        <f aca="false">IF($B148="","",IF(IFERROR(INDEX(业务流水!$D$5:$D$1504,MATCH(143,业务流水!$X$5:$X$1504,0)),"")="挂靠代收",IFERROR(INDEX(业务流水!$F$5:$F$1504,MATCH(143,业务流水!$X$5:$X$1504,0)),""),IFERROR(INDEX(业务流水!$E$5:$E$1504,MATCH(143,业务流水!$X$5:$X$1504,0)),"")))</f>
        <v/>
      </c>
      <c r="F148" s="32" t="str">
        <f aca="false">IFERROR(INDEX(业务流水!$D$5:$D$1504,MATCH(143,业务流水!$X$5:$X$1504,0)),"")</f>
        <v/>
      </c>
      <c r="G148" s="41" t="n">
        <f aca="false">IF($F148="挂靠代收",N(IFERROR(INDEX(业务流水!$H$5:$H$1504,MATCH(143,业务流水!$X$5:$X$1504,0)),"")),0)</f>
        <v>0</v>
      </c>
      <c r="H148" s="41" t="n">
        <f aca="false">IF($F148="我方收款",N(IFERROR(INDEX(业务流水!$H$5:$H$1504,MATCH(143,业务流水!$X$5:$X$1504,0)),"")),0)</f>
        <v>0</v>
      </c>
      <c r="I148" s="42" t="str">
        <f aca="false">IF($B148="","",SUMIFS($G$6:$G148,$E$6:$E148,$E148)-SUMIFS($H$6:$H148,$E$6:$E148,$E148))</f>
        <v/>
      </c>
      <c r="J148" s="40" t="str">
        <f aca="false">IFERROR(INDEX(业务流水!$J$5:$J$1504,MATCH(143,业务流水!$X$5:$X$1504,0)),"")</f>
        <v/>
      </c>
    </row>
    <row r="149" customFormat="false" ht="15.75" hidden="false" customHeight="true" outlineLevel="0" collapsed="false">
      <c r="A149" s="32" t="str">
        <f aca="false">IF($B149="","",144)</f>
        <v/>
      </c>
      <c r="B149" s="50" t="str">
        <f aca="false">IFERROR(INDEX(业务流水!$B$5:$B$1504,MATCH(144,业务流水!$X$5:$X$1504,0)),"")</f>
        <v/>
      </c>
      <c r="C149" s="32" t="str">
        <f aca="false">IFERROR(INDEX(业务流水!$C$5:$C$1504,MATCH(144,业务流水!$X$5:$X$1504,0)),"")</f>
        <v/>
      </c>
      <c r="D149" s="40" t="str">
        <f aca="false">IFERROR(INDEX(业务流水!$M$5:$M$1504,MATCH(144,业务流水!$X$5:$X$1504,0)),"")</f>
        <v/>
      </c>
      <c r="E149" s="32" t="str">
        <f aca="false">IF($B149="","",IF(IFERROR(INDEX(业务流水!$D$5:$D$1504,MATCH(144,业务流水!$X$5:$X$1504,0)),"")="挂靠代收",IFERROR(INDEX(业务流水!$F$5:$F$1504,MATCH(144,业务流水!$X$5:$X$1504,0)),""),IFERROR(INDEX(业务流水!$E$5:$E$1504,MATCH(144,业务流水!$X$5:$X$1504,0)),"")))</f>
        <v/>
      </c>
      <c r="F149" s="32" t="str">
        <f aca="false">IFERROR(INDEX(业务流水!$D$5:$D$1504,MATCH(144,业务流水!$X$5:$X$1504,0)),"")</f>
        <v/>
      </c>
      <c r="G149" s="41" t="n">
        <f aca="false">IF($F149="挂靠代收",N(IFERROR(INDEX(业务流水!$H$5:$H$1504,MATCH(144,业务流水!$X$5:$X$1504,0)),"")),0)</f>
        <v>0</v>
      </c>
      <c r="H149" s="41" t="n">
        <f aca="false">IF($F149="我方收款",N(IFERROR(INDEX(业务流水!$H$5:$H$1504,MATCH(144,业务流水!$X$5:$X$1504,0)),"")),0)</f>
        <v>0</v>
      </c>
      <c r="I149" s="42" t="str">
        <f aca="false">IF($B149="","",SUMIFS($G$6:$G149,$E$6:$E149,$E149)-SUMIFS($H$6:$H149,$E$6:$E149,$E149))</f>
        <v/>
      </c>
      <c r="J149" s="40" t="str">
        <f aca="false">IFERROR(INDEX(业务流水!$J$5:$J$1504,MATCH(144,业务流水!$X$5:$X$1504,0)),"")</f>
        <v/>
      </c>
    </row>
    <row r="150" customFormat="false" ht="15.75" hidden="false" customHeight="true" outlineLevel="0" collapsed="false">
      <c r="A150" s="32" t="str">
        <f aca="false">IF($B150="","",145)</f>
        <v/>
      </c>
      <c r="B150" s="50" t="str">
        <f aca="false">IFERROR(INDEX(业务流水!$B$5:$B$1504,MATCH(145,业务流水!$X$5:$X$1504,0)),"")</f>
        <v/>
      </c>
      <c r="C150" s="32" t="str">
        <f aca="false">IFERROR(INDEX(业务流水!$C$5:$C$1504,MATCH(145,业务流水!$X$5:$X$1504,0)),"")</f>
        <v/>
      </c>
      <c r="D150" s="40" t="str">
        <f aca="false">IFERROR(INDEX(业务流水!$M$5:$M$1504,MATCH(145,业务流水!$X$5:$X$1504,0)),"")</f>
        <v/>
      </c>
      <c r="E150" s="32" t="str">
        <f aca="false">IF($B150="","",IF(IFERROR(INDEX(业务流水!$D$5:$D$1504,MATCH(145,业务流水!$X$5:$X$1504,0)),"")="挂靠代收",IFERROR(INDEX(业务流水!$F$5:$F$1504,MATCH(145,业务流水!$X$5:$X$1504,0)),""),IFERROR(INDEX(业务流水!$E$5:$E$1504,MATCH(145,业务流水!$X$5:$X$1504,0)),"")))</f>
        <v/>
      </c>
      <c r="F150" s="32" t="str">
        <f aca="false">IFERROR(INDEX(业务流水!$D$5:$D$1504,MATCH(145,业务流水!$X$5:$X$1504,0)),"")</f>
        <v/>
      </c>
      <c r="G150" s="41" t="n">
        <f aca="false">IF($F150="挂靠代收",N(IFERROR(INDEX(业务流水!$H$5:$H$1504,MATCH(145,业务流水!$X$5:$X$1504,0)),"")),0)</f>
        <v>0</v>
      </c>
      <c r="H150" s="41" t="n">
        <f aca="false">IF($F150="我方收款",N(IFERROR(INDEX(业务流水!$H$5:$H$1504,MATCH(145,业务流水!$X$5:$X$1504,0)),"")),0)</f>
        <v>0</v>
      </c>
      <c r="I150" s="42" t="str">
        <f aca="false">IF($B150="","",SUMIFS($G$6:$G150,$E$6:$E150,$E150)-SUMIFS($H$6:$H150,$E$6:$E150,$E150))</f>
        <v/>
      </c>
      <c r="J150" s="40" t="str">
        <f aca="false">IFERROR(INDEX(业务流水!$J$5:$J$1504,MATCH(145,业务流水!$X$5:$X$1504,0)),"")</f>
        <v/>
      </c>
    </row>
    <row r="151" customFormat="false" ht="15.75" hidden="false" customHeight="true" outlineLevel="0" collapsed="false">
      <c r="A151" s="32" t="str">
        <f aca="false">IF($B151="","",146)</f>
        <v/>
      </c>
      <c r="B151" s="50" t="str">
        <f aca="false">IFERROR(INDEX(业务流水!$B$5:$B$1504,MATCH(146,业务流水!$X$5:$X$1504,0)),"")</f>
        <v/>
      </c>
      <c r="C151" s="32" t="str">
        <f aca="false">IFERROR(INDEX(业务流水!$C$5:$C$1504,MATCH(146,业务流水!$X$5:$X$1504,0)),"")</f>
        <v/>
      </c>
      <c r="D151" s="40" t="str">
        <f aca="false">IFERROR(INDEX(业务流水!$M$5:$M$1504,MATCH(146,业务流水!$X$5:$X$1504,0)),"")</f>
        <v/>
      </c>
      <c r="E151" s="32" t="str">
        <f aca="false">IF($B151="","",IF(IFERROR(INDEX(业务流水!$D$5:$D$1504,MATCH(146,业务流水!$X$5:$X$1504,0)),"")="挂靠代收",IFERROR(INDEX(业务流水!$F$5:$F$1504,MATCH(146,业务流水!$X$5:$X$1504,0)),""),IFERROR(INDEX(业务流水!$E$5:$E$1504,MATCH(146,业务流水!$X$5:$X$1504,0)),"")))</f>
        <v/>
      </c>
      <c r="F151" s="32" t="str">
        <f aca="false">IFERROR(INDEX(业务流水!$D$5:$D$1504,MATCH(146,业务流水!$X$5:$X$1504,0)),"")</f>
        <v/>
      </c>
      <c r="G151" s="41" t="n">
        <f aca="false">IF($F151="挂靠代收",N(IFERROR(INDEX(业务流水!$H$5:$H$1504,MATCH(146,业务流水!$X$5:$X$1504,0)),"")),0)</f>
        <v>0</v>
      </c>
      <c r="H151" s="41" t="n">
        <f aca="false">IF($F151="我方收款",N(IFERROR(INDEX(业务流水!$H$5:$H$1504,MATCH(146,业务流水!$X$5:$X$1504,0)),"")),0)</f>
        <v>0</v>
      </c>
      <c r="I151" s="42" t="str">
        <f aca="false">IF($B151="","",SUMIFS($G$6:$G151,$E$6:$E151,$E151)-SUMIFS($H$6:$H151,$E$6:$E151,$E151))</f>
        <v/>
      </c>
      <c r="J151" s="40" t="str">
        <f aca="false">IFERROR(INDEX(业务流水!$J$5:$J$1504,MATCH(146,业务流水!$X$5:$X$1504,0)),"")</f>
        <v/>
      </c>
    </row>
    <row r="152" customFormat="false" ht="15.75" hidden="false" customHeight="true" outlineLevel="0" collapsed="false">
      <c r="A152" s="32" t="str">
        <f aca="false">IF($B152="","",147)</f>
        <v/>
      </c>
      <c r="B152" s="50" t="str">
        <f aca="false">IFERROR(INDEX(业务流水!$B$5:$B$1504,MATCH(147,业务流水!$X$5:$X$1504,0)),"")</f>
        <v/>
      </c>
      <c r="C152" s="32" t="str">
        <f aca="false">IFERROR(INDEX(业务流水!$C$5:$C$1504,MATCH(147,业务流水!$X$5:$X$1504,0)),"")</f>
        <v/>
      </c>
      <c r="D152" s="40" t="str">
        <f aca="false">IFERROR(INDEX(业务流水!$M$5:$M$1504,MATCH(147,业务流水!$X$5:$X$1504,0)),"")</f>
        <v/>
      </c>
      <c r="E152" s="32" t="str">
        <f aca="false">IF($B152="","",IF(IFERROR(INDEX(业务流水!$D$5:$D$1504,MATCH(147,业务流水!$X$5:$X$1504,0)),"")="挂靠代收",IFERROR(INDEX(业务流水!$F$5:$F$1504,MATCH(147,业务流水!$X$5:$X$1504,0)),""),IFERROR(INDEX(业务流水!$E$5:$E$1504,MATCH(147,业务流水!$X$5:$X$1504,0)),"")))</f>
        <v/>
      </c>
      <c r="F152" s="32" t="str">
        <f aca="false">IFERROR(INDEX(业务流水!$D$5:$D$1504,MATCH(147,业务流水!$X$5:$X$1504,0)),"")</f>
        <v/>
      </c>
      <c r="G152" s="41" t="n">
        <f aca="false">IF($F152="挂靠代收",N(IFERROR(INDEX(业务流水!$H$5:$H$1504,MATCH(147,业务流水!$X$5:$X$1504,0)),"")),0)</f>
        <v>0</v>
      </c>
      <c r="H152" s="41" t="n">
        <f aca="false">IF($F152="我方收款",N(IFERROR(INDEX(业务流水!$H$5:$H$1504,MATCH(147,业务流水!$X$5:$X$1504,0)),"")),0)</f>
        <v>0</v>
      </c>
      <c r="I152" s="42" t="str">
        <f aca="false">IF($B152="","",SUMIFS($G$6:$G152,$E$6:$E152,$E152)-SUMIFS($H$6:$H152,$E$6:$E152,$E152))</f>
        <v/>
      </c>
      <c r="J152" s="40" t="str">
        <f aca="false">IFERROR(INDEX(业务流水!$J$5:$J$1504,MATCH(147,业务流水!$X$5:$X$1504,0)),"")</f>
        <v/>
      </c>
    </row>
    <row r="153" customFormat="false" ht="15.75" hidden="false" customHeight="true" outlineLevel="0" collapsed="false">
      <c r="A153" s="32" t="str">
        <f aca="false">IF($B153="","",148)</f>
        <v/>
      </c>
      <c r="B153" s="50" t="str">
        <f aca="false">IFERROR(INDEX(业务流水!$B$5:$B$1504,MATCH(148,业务流水!$X$5:$X$1504,0)),"")</f>
        <v/>
      </c>
      <c r="C153" s="32" t="str">
        <f aca="false">IFERROR(INDEX(业务流水!$C$5:$C$1504,MATCH(148,业务流水!$X$5:$X$1504,0)),"")</f>
        <v/>
      </c>
      <c r="D153" s="40" t="str">
        <f aca="false">IFERROR(INDEX(业务流水!$M$5:$M$1504,MATCH(148,业务流水!$X$5:$X$1504,0)),"")</f>
        <v/>
      </c>
      <c r="E153" s="32" t="str">
        <f aca="false">IF($B153="","",IF(IFERROR(INDEX(业务流水!$D$5:$D$1504,MATCH(148,业务流水!$X$5:$X$1504,0)),"")="挂靠代收",IFERROR(INDEX(业务流水!$F$5:$F$1504,MATCH(148,业务流水!$X$5:$X$1504,0)),""),IFERROR(INDEX(业务流水!$E$5:$E$1504,MATCH(148,业务流水!$X$5:$X$1504,0)),"")))</f>
        <v/>
      </c>
      <c r="F153" s="32" t="str">
        <f aca="false">IFERROR(INDEX(业务流水!$D$5:$D$1504,MATCH(148,业务流水!$X$5:$X$1504,0)),"")</f>
        <v/>
      </c>
      <c r="G153" s="41" t="n">
        <f aca="false">IF($F153="挂靠代收",N(IFERROR(INDEX(业务流水!$H$5:$H$1504,MATCH(148,业务流水!$X$5:$X$1504,0)),"")),0)</f>
        <v>0</v>
      </c>
      <c r="H153" s="41" t="n">
        <f aca="false">IF($F153="我方收款",N(IFERROR(INDEX(业务流水!$H$5:$H$1504,MATCH(148,业务流水!$X$5:$X$1504,0)),"")),0)</f>
        <v>0</v>
      </c>
      <c r="I153" s="42" t="str">
        <f aca="false">IF($B153="","",SUMIFS($G$6:$G153,$E$6:$E153,$E153)-SUMIFS($H$6:$H153,$E$6:$E153,$E153))</f>
        <v/>
      </c>
      <c r="J153" s="40" t="str">
        <f aca="false">IFERROR(INDEX(业务流水!$J$5:$J$1504,MATCH(148,业务流水!$X$5:$X$1504,0)),"")</f>
        <v/>
      </c>
    </row>
    <row r="154" customFormat="false" ht="15.75" hidden="false" customHeight="true" outlineLevel="0" collapsed="false">
      <c r="A154" s="32" t="str">
        <f aca="false">IF($B154="","",149)</f>
        <v/>
      </c>
      <c r="B154" s="50" t="str">
        <f aca="false">IFERROR(INDEX(业务流水!$B$5:$B$1504,MATCH(149,业务流水!$X$5:$X$1504,0)),"")</f>
        <v/>
      </c>
      <c r="C154" s="32" t="str">
        <f aca="false">IFERROR(INDEX(业务流水!$C$5:$C$1504,MATCH(149,业务流水!$X$5:$X$1504,0)),"")</f>
        <v/>
      </c>
      <c r="D154" s="40" t="str">
        <f aca="false">IFERROR(INDEX(业务流水!$M$5:$M$1504,MATCH(149,业务流水!$X$5:$X$1504,0)),"")</f>
        <v/>
      </c>
      <c r="E154" s="32" t="str">
        <f aca="false">IF($B154="","",IF(IFERROR(INDEX(业务流水!$D$5:$D$1504,MATCH(149,业务流水!$X$5:$X$1504,0)),"")="挂靠代收",IFERROR(INDEX(业务流水!$F$5:$F$1504,MATCH(149,业务流水!$X$5:$X$1504,0)),""),IFERROR(INDEX(业务流水!$E$5:$E$1504,MATCH(149,业务流水!$X$5:$X$1504,0)),"")))</f>
        <v/>
      </c>
      <c r="F154" s="32" t="str">
        <f aca="false">IFERROR(INDEX(业务流水!$D$5:$D$1504,MATCH(149,业务流水!$X$5:$X$1504,0)),"")</f>
        <v/>
      </c>
      <c r="G154" s="41" t="n">
        <f aca="false">IF($F154="挂靠代收",N(IFERROR(INDEX(业务流水!$H$5:$H$1504,MATCH(149,业务流水!$X$5:$X$1504,0)),"")),0)</f>
        <v>0</v>
      </c>
      <c r="H154" s="41" t="n">
        <f aca="false">IF($F154="我方收款",N(IFERROR(INDEX(业务流水!$H$5:$H$1504,MATCH(149,业务流水!$X$5:$X$1504,0)),"")),0)</f>
        <v>0</v>
      </c>
      <c r="I154" s="42" t="str">
        <f aca="false">IF($B154="","",SUMIFS($G$6:$G154,$E$6:$E154,$E154)-SUMIFS($H$6:$H154,$E$6:$E154,$E154))</f>
        <v/>
      </c>
      <c r="J154" s="40" t="str">
        <f aca="false">IFERROR(INDEX(业务流水!$J$5:$J$1504,MATCH(149,业务流水!$X$5:$X$1504,0)),"")</f>
        <v/>
      </c>
    </row>
    <row r="155" customFormat="false" ht="15.75" hidden="false" customHeight="true" outlineLevel="0" collapsed="false">
      <c r="A155" s="32" t="str">
        <f aca="false">IF($B155="","",150)</f>
        <v/>
      </c>
      <c r="B155" s="50" t="str">
        <f aca="false">IFERROR(INDEX(业务流水!$B$5:$B$1504,MATCH(150,业务流水!$X$5:$X$1504,0)),"")</f>
        <v/>
      </c>
      <c r="C155" s="32" t="str">
        <f aca="false">IFERROR(INDEX(业务流水!$C$5:$C$1504,MATCH(150,业务流水!$X$5:$X$1504,0)),"")</f>
        <v/>
      </c>
      <c r="D155" s="40" t="str">
        <f aca="false">IFERROR(INDEX(业务流水!$M$5:$M$1504,MATCH(150,业务流水!$X$5:$X$1504,0)),"")</f>
        <v/>
      </c>
      <c r="E155" s="32" t="str">
        <f aca="false">IF($B155="","",IF(IFERROR(INDEX(业务流水!$D$5:$D$1504,MATCH(150,业务流水!$X$5:$X$1504,0)),"")="挂靠代收",IFERROR(INDEX(业务流水!$F$5:$F$1504,MATCH(150,业务流水!$X$5:$X$1504,0)),""),IFERROR(INDEX(业务流水!$E$5:$E$1504,MATCH(150,业务流水!$X$5:$X$1504,0)),"")))</f>
        <v/>
      </c>
      <c r="F155" s="32" t="str">
        <f aca="false">IFERROR(INDEX(业务流水!$D$5:$D$1504,MATCH(150,业务流水!$X$5:$X$1504,0)),"")</f>
        <v/>
      </c>
      <c r="G155" s="41" t="n">
        <f aca="false">IF($F155="挂靠代收",N(IFERROR(INDEX(业务流水!$H$5:$H$1504,MATCH(150,业务流水!$X$5:$X$1504,0)),"")),0)</f>
        <v>0</v>
      </c>
      <c r="H155" s="41" t="n">
        <f aca="false">IF($F155="我方收款",N(IFERROR(INDEX(业务流水!$H$5:$H$1504,MATCH(150,业务流水!$X$5:$X$1504,0)),"")),0)</f>
        <v>0</v>
      </c>
      <c r="I155" s="42" t="str">
        <f aca="false">IF($B155="","",SUMIFS($G$6:$G155,$E$6:$E155,$E155)-SUMIFS($H$6:$H155,$E$6:$E155,$E155))</f>
        <v/>
      </c>
      <c r="J155" s="40" t="str">
        <f aca="false">IFERROR(INDEX(业务流水!$J$5:$J$1504,MATCH(150,业务流水!$X$5:$X$1504,0)),"")</f>
        <v/>
      </c>
    </row>
    <row r="156" customFormat="false" ht="15.75" hidden="false" customHeight="true" outlineLevel="0" collapsed="false">
      <c r="A156" s="32" t="str">
        <f aca="false">IF($B156="","",151)</f>
        <v/>
      </c>
      <c r="B156" s="50" t="str">
        <f aca="false">IFERROR(INDEX(业务流水!$B$5:$B$1504,MATCH(151,业务流水!$X$5:$X$1504,0)),"")</f>
        <v/>
      </c>
      <c r="C156" s="32" t="str">
        <f aca="false">IFERROR(INDEX(业务流水!$C$5:$C$1504,MATCH(151,业务流水!$X$5:$X$1504,0)),"")</f>
        <v/>
      </c>
      <c r="D156" s="40" t="str">
        <f aca="false">IFERROR(INDEX(业务流水!$M$5:$M$1504,MATCH(151,业务流水!$X$5:$X$1504,0)),"")</f>
        <v/>
      </c>
      <c r="E156" s="32" t="str">
        <f aca="false">IF($B156="","",IF(IFERROR(INDEX(业务流水!$D$5:$D$1504,MATCH(151,业务流水!$X$5:$X$1504,0)),"")="挂靠代收",IFERROR(INDEX(业务流水!$F$5:$F$1504,MATCH(151,业务流水!$X$5:$X$1504,0)),""),IFERROR(INDEX(业务流水!$E$5:$E$1504,MATCH(151,业务流水!$X$5:$X$1504,0)),"")))</f>
        <v/>
      </c>
      <c r="F156" s="32" t="str">
        <f aca="false">IFERROR(INDEX(业务流水!$D$5:$D$1504,MATCH(151,业务流水!$X$5:$X$1504,0)),"")</f>
        <v/>
      </c>
      <c r="G156" s="41" t="n">
        <f aca="false">IF($F156="挂靠代收",N(IFERROR(INDEX(业务流水!$H$5:$H$1504,MATCH(151,业务流水!$X$5:$X$1504,0)),"")),0)</f>
        <v>0</v>
      </c>
      <c r="H156" s="41" t="n">
        <f aca="false">IF($F156="我方收款",N(IFERROR(INDEX(业务流水!$H$5:$H$1504,MATCH(151,业务流水!$X$5:$X$1504,0)),"")),0)</f>
        <v>0</v>
      </c>
      <c r="I156" s="42" t="str">
        <f aca="false">IF($B156="","",SUMIFS($G$6:$G156,$E$6:$E156,$E156)-SUMIFS($H$6:$H156,$E$6:$E156,$E156))</f>
        <v/>
      </c>
      <c r="J156" s="40" t="str">
        <f aca="false">IFERROR(INDEX(业务流水!$J$5:$J$1504,MATCH(151,业务流水!$X$5:$X$1504,0)),"")</f>
        <v/>
      </c>
    </row>
    <row r="157" customFormat="false" ht="15.75" hidden="false" customHeight="true" outlineLevel="0" collapsed="false">
      <c r="A157" s="32" t="str">
        <f aca="false">IF($B157="","",152)</f>
        <v/>
      </c>
      <c r="B157" s="50" t="str">
        <f aca="false">IFERROR(INDEX(业务流水!$B$5:$B$1504,MATCH(152,业务流水!$X$5:$X$1504,0)),"")</f>
        <v/>
      </c>
      <c r="C157" s="32" t="str">
        <f aca="false">IFERROR(INDEX(业务流水!$C$5:$C$1504,MATCH(152,业务流水!$X$5:$X$1504,0)),"")</f>
        <v/>
      </c>
      <c r="D157" s="40" t="str">
        <f aca="false">IFERROR(INDEX(业务流水!$M$5:$M$1504,MATCH(152,业务流水!$X$5:$X$1504,0)),"")</f>
        <v/>
      </c>
      <c r="E157" s="32" t="str">
        <f aca="false">IF($B157="","",IF(IFERROR(INDEX(业务流水!$D$5:$D$1504,MATCH(152,业务流水!$X$5:$X$1504,0)),"")="挂靠代收",IFERROR(INDEX(业务流水!$F$5:$F$1504,MATCH(152,业务流水!$X$5:$X$1504,0)),""),IFERROR(INDEX(业务流水!$E$5:$E$1504,MATCH(152,业务流水!$X$5:$X$1504,0)),"")))</f>
        <v/>
      </c>
      <c r="F157" s="32" t="str">
        <f aca="false">IFERROR(INDEX(业务流水!$D$5:$D$1504,MATCH(152,业务流水!$X$5:$X$1504,0)),"")</f>
        <v/>
      </c>
      <c r="G157" s="41" t="n">
        <f aca="false">IF($F157="挂靠代收",N(IFERROR(INDEX(业务流水!$H$5:$H$1504,MATCH(152,业务流水!$X$5:$X$1504,0)),"")),0)</f>
        <v>0</v>
      </c>
      <c r="H157" s="41" t="n">
        <f aca="false">IF($F157="我方收款",N(IFERROR(INDEX(业务流水!$H$5:$H$1504,MATCH(152,业务流水!$X$5:$X$1504,0)),"")),0)</f>
        <v>0</v>
      </c>
      <c r="I157" s="42" t="str">
        <f aca="false">IF($B157="","",SUMIFS($G$6:$G157,$E$6:$E157,$E157)-SUMIFS($H$6:$H157,$E$6:$E157,$E157))</f>
        <v/>
      </c>
      <c r="J157" s="40" t="str">
        <f aca="false">IFERROR(INDEX(业务流水!$J$5:$J$1504,MATCH(152,业务流水!$X$5:$X$1504,0)),"")</f>
        <v/>
      </c>
    </row>
    <row r="158" customFormat="false" ht="15.75" hidden="false" customHeight="true" outlineLevel="0" collapsed="false">
      <c r="A158" s="32" t="str">
        <f aca="false">IF($B158="","",153)</f>
        <v/>
      </c>
      <c r="B158" s="50" t="str">
        <f aca="false">IFERROR(INDEX(业务流水!$B$5:$B$1504,MATCH(153,业务流水!$X$5:$X$1504,0)),"")</f>
        <v/>
      </c>
      <c r="C158" s="32" t="str">
        <f aca="false">IFERROR(INDEX(业务流水!$C$5:$C$1504,MATCH(153,业务流水!$X$5:$X$1504,0)),"")</f>
        <v/>
      </c>
      <c r="D158" s="40" t="str">
        <f aca="false">IFERROR(INDEX(业务流水!$M$5:$M$1504,MATCH(153,业务流水!$X$5:$X$1504,0)),"")</f>
        <v/>
      </c>
      <c r="E158" s="32" t="str">
        <f aca="false">IF($B158="","",IF(IFERROR(INDEX(业务流水!$D$5:$D$1504,MATCH(153,业务流水!$X$5:$X$1504,0)),"")="挂靠代收",IFERROR(INDEX(业务流水!$F$5:$F$1504,MATCH(153,业务流水!$X$5:$X$1504,0)),""),IFERROR(INDEX(业务流水!$E$5:$E$1504,MATCH(153,业务流水!$X$5:$X$1504,0)),"")))</f>
        <v/>
      </c>
      <c r="F158" s="32" t="str">
        <f aca="false">IFERROR(INDEX(业务流水!$D$5:$D$1504,MATCH(153,业务流水!$X$5:$X$1504,0)),"")</f>
        <v/>
      </c>
      <c r="G158" s="41" t="n">
        <f aca="false">IF($F158="挂靠代收",N(IFERROR(INDEX(业务流水!$H$5:$H$1504,MATCH(153,业务流水!$X$5:$X$1504,0)),"")),0)</f>
        <v>0</v>
      </c>
      <c r="H158" s="41" t="n">
        <f aca="false">IF($F158="我方收款",N(IFERROR(INDEX(业务流水!$H$5:$H$1504,MATCH(153,业务流水!$X$5:$X$1504,0)),"")),0)</f>
        <v>0</v>
      </c>
      <c r="I158" s="42" t="str">
        <f aca="false">IF($B158="","",SUMIFS($G$6:$G158,$E$6:$E158,$E158)-SUMIFS($H$6:$H158,$E$6:$E158,$E158))</f>
        <v/>
      </c>
      <c r="J158" s="40" t="str">
        <f aca="false">IFERROR(INDEX(业务流水!$J$5:$J$1504,MATCH(153,业务流水!$X$5:$X$1504,0)),"")</f>
        <v/>
      </c>
    </row>
    <row r="159" customFormat="false" ht="15.75" hidden="false" customHeight="true" outlineLevel="0" collapsed="false">
      <c r="A159" s="32" t="str">
        <f aca="false">IF($B159="","",154)</f>
        <v/>
      </c>
      <c r="B159" s="50" t="str">
        <f aca="false">IFERROR(INDEX(业务流水!$B$5:$B$1504,MATCH(154,业务流水!$X$5:$X$1504,0)),"")</f>
        <v/>
      </c>
      <c r="C159" s="32" t="str">
        <f aca="false">IFERROR(INDEX(业务流水!$C$5:$C$1504,MATCH(154,业务流水!$X$5:$X$1504,0)),"")</f>
        <v/>
      </c>
      <c r="D159" s="40" t="str">
        <f aca="false">IFERROR(INDEX(业务流水!$M$5:$M$1504,MATCH(154,业务流水!$X$5:$X$1504,0)),"")</f>
        <v/>
      </c>
      <c r="E159" s="32" t="str">
        <f aca="false">IF($B159="","",IF(IFERROR(INDEX(业务流水!$D$5:$D$1504,MATCH(154,业务流水!$X$5:$X$1504,0)),"")="挂靠代收",IFERROR(INDEX(业务流水!$F$5:$F$1504,MATCH(154,业务流水!$X$5:$X$1504,0)),""),IFERROR(INDEX(业务流水!$E$5:$E$1504,MATCH(154,业务流水!$X$5:$X$1504,0)),"")))</f>
        <v/>
      </c>
      <c r="F159" s="32" t="str">
        <f aca="false">IFERROR(INDEX(业务流水!$D$5:$D$1504,MATCH(154,业务流水!$X$5:$X$1504,0)),"")</f>
        <v/>
      </c>
      <c r="G159" s="41" t="n">
        <f aca="false">IF($F159="挂靠代收",N(IFERROR(INDEX(业务流水!$H$5:$H$1504,MATCH(154,业务流水!$X$5:$X$1504,0)),"")),0)</f>
        <v>0</v>
      </c>
      <c r="H159" s="41" t="n">
        <f aca="false">IF($F159="我方收款",N(IFERROR(INDEX(业务流水!$H$5:$H$1504,MATCH(154,业务流水!$X$5:$X$1504,0)),"")),0)</f>
        <v>0</v>
      </c>
      <c r="I159" s="42" t="str">
        <f aca="false">IF($B159="","",SUMIFS($G$6:$G159,$E$6:$E159,$E159)-SUMIFS($H$6:$H159,$E$6:$E159,$E159))</f>
        <v/>
      </c>
      <c r="J159" s="40" t="str">
        <f aca="false">IFERROR(INDEX(业务流水!$J$5:$J$1504,MATCH(154,业务流水!$X$5:$X$1504,0)),"")</f>
        <v/>
      </c>
    </row>
    <row r="160" customFormat="false" ht="15.75" hidden="false" customHeight="true" outlineLevel="0" collapsed="false">
      <c r="A160" s="32" t="str">
        <f aca="false">IF($B160="","",155)</f>
        <v/>
      </c>
      <c r="B160" s="50" t="str">
        <f aca="false">IFERROR(INDEX(业务流水!$B$5:$B$1504,MATCH(155,业务流水!$X$5:$X$1504,0)),"")</f>
        <v/>
      </c>
      <c r="C160" s="32" t="str">
        <f aca="false">IFERROR(INDEX(业务流水!$C$5:$C$1504,MATCH(155,业务流水!$X$5:$X$1504,0)),"")</f>
        <v/>
      </c>
      <c r="D160" s="40" t="str">
        <f aca="false">IFERROR(INDEX(业务流水!$M$5:$M$1504,MATCH(155,业务流水!$X$5:$X$1504,0)),"")</f>
        <v/>
      </c>
      <c r="E160" s="32" t="str">
        <f aca="false">IF($B160="","",IF(IFERROR(INDEX(业务流水!$D$5:$D$1504,MATCH(155,业务流水!$X$5:$X$1504,0)),"")="挂靠代收",IFERROR(INDEX(业务流水!$F$5:$F$1504,MATCH(155,业务流水!$X$5:$X$1504,0)),""),IFERROR(INDEX(业务流水!$E$5:$E$1504,MATCH(155,业务流水!$X$5:$X$1504,0)),"")))</f>
        <v/>
      </c>
      <c r="F160" s="32" t="str">
        <f aca="false">IFERROR(INDEX(业务流水!$D$5:$D$1504,MATCH(155,业务流水!$X$5:$X$1504,0)),"")</f>
        <v/>
      </c>
      <c r="G160" s="41" t="n">
        <f aca="false">IF($F160="挂靠代收",N(IFERROR(INDEX(业务流水!$H$5:$H$1504,MATCH(155,业务流水!$X$5:$X$1504,0)),"")),0)</f>
        <v>0</v>
      </c>
      <c r="H160" s="41" t="n">
        <f aca="false">IF($F160="我方收款",N(IFERROR(INDEX(业务流水!$H$5:$H$1504,MATCH(155,业务流水!$X$5:$X$1504,0)),"")),0)</f>
        <v>0</v>
      </c>
      <c r="I160" s="42" t="str">
        <f aca="false">IF($B160="","",SUMIFS($G$6:$G160,$E$6:$E160,$E160)-SUMIFS($H$6:$H160,$E$6:$E160,$E160))</f>
        <v/>
      </c>
      <c r="J160" s="40" t="str">
        <f aca="false">IFERROR(INDEX(业务流水!$J$5:$J$1504,MATCH(155,业务流水!$X$5:$X$1504,0)),"")</f>
        <v/>
      </c>
    </row>
    <row r="161" customFormat="false" ht="15.75" hidden="false" customHeight="true" outlineLevel="0" collapsed="false">
      <c r="A161" s="32" t="str">
        <f aca="false">IF($B161="","",156)</f>
        <v/>
      </c>
      <c r="B161" s="50" t="str">
        <f aca="false">IFERROR(INDEX(业务流水!$B$5:$B$1504,MATCH(156,业务流水!$X$5:$X$1504,0)),"")</f>
        <v/>
      </c>
      <c r="C161" s="32" t="str">
        <f aca="false">IFERROR(INDEX(业务流水!$C$5:$C$1504,MATCH(156,业务流水!$X$5:$X$1504,0)),"")</f>
        <v/>
      </c>
      <c r="D161" s="40" t="str">
        <f aca="false">IFERROR(INDEX(业务流水!$M$5:$M$1504,MATCH(156,业务流水!$X$5:$X$1504,0)),"")</f>
        <v/>
      </c>
      <c r="E161" s="32" t="str">
        <f aca="false">IF($B161="","",IF(IFERROR(INDEX(业务流水!$D$5:$D$1504,MATCH(156,业务流水!$X$5:$X$1504,0)),"")="挂靠代收",IFERROR(INDEX(业务流水!$F$5:$F$1504,MATCH(156,业务流水!$X$5:$X$1504,0)),""),IFERROR(INDEX(业务流水!$E$5:$E$1504,MATCH(156,业务流水!$X$5:$X$1504,0)),"")))</f>
        <v/>
      </c>
      <c r="F161" s="32" t="str">
        <f aca="false">IFERROR(INDEX(业务流水!$D$5:$D$1504,MATCH(156,业务流水!$X$5:$X$1504,0)),"")</f>
        <v/>
      </c>
      <c r="G161" s="41" t="n">
        <f aca="false">IF($F161="挂靠代收",N(IFERROR(INDEX(业务流水!$H$5:$H$1504,MATCH(156,业务流水!$X$5:$X$1504,0)),"")),0)</f>
        <v>0</v>
      </c>
      <c r="H161" s="41" t="n">
        <f aca="false">IF($F161="我方收款",N(IFERROR(INDEX(业务流水!$H$5:$H$1504,MATCH(156,业务流水!$X$5:$X$1504,0)),"")),0)</f>
        <v>0</v>
      </c>
      <c r="I161" s="42" t="str">
        <f aca="false">IF($B161="","",SUMIFS($G$6:$G161,$E$6:$E161,$E161)-SUMIFS($H$6:$H161,$E$6:$E161,$E161))</f>
        <v/>
      </c>
      <c r="J161" s="40" t="str">
        <f aca="false">IFERROR(INDEX(业务流水!$J$5:$J$1504,MATCH(156,业务流水!$X$5:$X$1504,0)),"")</f>
        <v/>
      </c>
    </row>
    <row r="162" customFormat="false" ht="15.75" hidden="false" customHeight="true" outlineLevel="0" collapsed="false">
      <c r="A162" s="32" t="str">
        <f aca="false">IF($B162="","",157)</f>
        <v/>
      </c>
      <c r="B162" s="50" t="str">
        <f aca="false">IFERROR(INDEX(业务流水!$B$5:$B$1504,MATCH(157,业务流水!$X$5:$X$1504,0)),"")</f>
        <v/>
      </c>
      <c r="C162" s="32" t="str">
        <f aca="false">IFERROR(INDEX(业务流水!$C$5:$C$1504,MATCH(157,业务流水!$X$5:$X$1504,0)),"")</f>
        <v/>
      </c>
      <c r="D162" s="40" t="str">
        <f aca="false">IFERROR(INDEX(业务流水!$M$5:$M$1504,MATCH(157,业务流水!$X$5:$X$1504,0)),"")</f>
        <v/>
      </c>
      <c r="E162" s="32" t="str">
        <f aca="false">IF($B162="","",IF(IFERROR(INDEX(业务流水!$D$5:$D$1504,MATCH(157,业务流水!$X$5:$X$1504,0)),"")="挂靠代收",IFERROR(INDEX(业务流水!$F$5:$F$1504,MATCH(157,业务流水!$X$5:$X$1504,0)),""),IFERROR(INDEX(业务流水!$E$5:$E$1504,MATCH(157,业务流水!$X$5:$X$1504,0)),"")))</f>
        <v/>
      </c>
      <c r="F162" s="32" t="str">
        <f aca="false">IFERROR(INDEX(业务流水!$D$5:$D$1504,MATCH(157,业务流水!$X$5:$X$1504,0)),"")</f>
        <v/>
      </c>
      <c r="G162" s="41" t="n">
        <f aca="false">IF($F162="挂靠代收",N(IFERROR(INDEX(业务流水!$H$5:$H$1504,MATCH(157,业务流水!$X$5:$X$1504,0)),"")),0)</f>
        <v>0</v>
      </c>
      <c r="H162" s="41" t="n">
        <f aca="false">IF($F162="我方收款",N(IFERROR(INDEX(业务流水!$H$5:$H$1504,MATCH(157,业务流水!$X$5:$X$1504,0)),"")),0)</f>
        <v>0</v>
      </c>
      <c r="I162" s="42" t="str">
        <f aca="false">IF($B162="","",SUMIFS($G$6:$G162,$E$6:$E162,$E162)-SUMIFS($H$6:$H162,$E$6:$E162,$E162))</f>
        <v/>
      </c>
      <c r="J162" s="40" t="str">
        <f aca="false">IFERROR(INDEX(业务流水!$J$5:$J$1504,MATCH(157,业务流水!$X$5:$X$1504,0)),"")</f>
        <v/>
      </c>
    </row>
    <row r="163" customFormat="false" ht="15.75" hidden="false" customHeight="true" outlineLevel="0" collapsed="false">
      <c r="A163" s="32" t="str">
        <f aca="false">IF($B163="","",158)</f>
        <v/>
      </c>
      <c r="B163" s="50" t="str">
        <f aca="false">IFERROR(INDEX(业务流水!$B$5:$B$1504,MATCH(158,业务流水!$X$5:$X$1504,0)),"")</f>
        <v/>
      </c>
      <c r="C163" s="32" t="str">
        <f aca="false">IFERROR(INDEX(业务流水!$C$5:$C$1504,MATCH(158,业务流水!$X$5:$X$1504,0)),"")</f>
        <v/>
      </c>
      <c r="D163" s="40" t="str">
        <f aca="false">IFERROR(INDEX(业务流水!$M$5:$M$1504,MATCH(158,业务流水!$X$5:$X$1504,0)),"")</f>
        <v/>
      </c>
      <c r="E163" s="32" t="str">
        <f aca="false">IF($B163="","",IF(IFERROR(INDEX(业务流水!$D$5:$D$1504,MATCH(158,业务流水!$X$5:$X$1504,0)),"")="挂靠代收",IFERROR(INDEX(业务流水!$F$5:$F$1504,MATCH(158,业务流水!$X$5:$X$1504,0)),""),IFERROR(INDEX(业务流水!$E$5:$E$1504,MATCH(158,业务流水!$X$5:$X$1504,0)),"")))</f>
        <v/>
      </c>
      <c r="F163" s="32" t="str">
        <f aca="false">IFERROR(INDEX(业务流水!$D$5:$D$1504,MATCH(158,业务流水!$X$5:$X$1504,0)),"")</f>
        <v/>
      </c>
      <c r="G163" s="41" t="n">
        <f aca="false">IF($F163="挂靠代收",N(IFERROR(INDEX(业务流水!$H$5:$H$1504,MATCH(158,业务流水!$X$5:$X$1504,0)),"")),0)</f>
        <v>0</v>
      </c>
      <c r="H163" s="41" t="n">
        <f aca="false">IF($F163="我方收款",N(IFERROR(INDEX(业务流水!$H$5:$H$1504,MATCH(158,业务流水!$X$5:$X$1504,0)),"")),0)</f>
        <v>0</v>
      </c>
      <c r="I163" s="42" t="str">
        <f aca="false">IF($B163="","",SUMIFS($G$6:$G163,$E$6:$E163,$E163)-SUMIFS($H$6:$H163,$E$6:$E163,$E163))</f>
        <v/>
      </c>
      <c r="J163" s="40" t="str">
        <f aca="false">IFERROR(INDEX(业务流水!$J$5:$J$1504,MATCH(158,业务流水!$X$5:$X$1504,0)),"")</f>
        <v/>
      </c>
    </row>
    <row r="164" customFormat="false" ht="15.75" hidden="false" customHeight="true" outlineLevel="0" collapsed="false">
      <c r="A164" s="32" t="str">
        <f aca="false">IF($B164="","",159)</f>
        <v/>
      </c>
      <c r="B164" s="50" t="str">
        <f aca="false">IFERROR(INDEX(业务流水!$B$5:$B$1504,MATCH(159,业务流水!$X$5:$X$1504,0)),"")</f>
        <v/>
      </c>
      <c r="C164" s="32" t="str">
        <f aca="false">IFERROR(INDEX(业务流水!$C$5:$C$1504,MATCH(159,业务流水!$X$5:$X$1504,0)),"")</f>
        <v/>
      </c>
      <c r="D164" s="40" t="str">
        <f aca="false">IFERROR(INDEX(业务流水!$M$5:$M$1504,MATCH(159,业务流水!$X$5:$X$1504,0)),"")</f>
        <v/>
      </c>
      <c r="E164" s="32" t="str">
        <f aca="false">IF($B164="","",IF(IFERROR(INDEX(业务流水!$D$5:$D$1504,MATCH(159,业务流水!$X$5:$X$1504,0)),"")="挂靠代收",IFERROR(INDEX(业务流水!$F$5:$F$1504,MATCH(159,业务流水!$X$5:$X$1504,0)),""),IFERROR(INDEX(业务流水!$E$5:$E$1504,MATCH(159,业务流水!$X$5:$X$1504,0)),"")))</f>
        <v/>
      </c>
      <c r="F164" s="32" t="str">
        <f aca="false">IFERROR(INDEX(业务流水!$D$5:$D$1504,MATCH(159,业务流水!$X$5:$X$1504,0)),"")</f>
        <v/>
      </c>
      <c r="G164" s="41" t="n">
        <f aca="false">IF($F164="挂靠代收",N(IFERROR(INDEX(业务流水!$H$5:$H$1504,MATCH(159,业务流水!$X$5:$X$1504,0)),"")),0)</f>
        <v>0</v>
      </c>
      <c r="H164" s="41" t="n">
        <f aca="false">IF($F164="我方收款",N(IFERROR(INDEX(业务流水!$H$5:$H$1504,MATCH(159,业务流水!$X$5:$X$1504,0)),"")),0)</f>
        <v>0</v>
      </c>
      <c r="I164" s="42" t="str">
        <f aca="false">IF($B164="","",SUMIFS($G$6:$G164,$E$6:$E164,$E164)-SUMIFS($H$6:$H164,$E$6:$E164,$E164))</f>
        <v/>
      </c>
      <c r="J164" s="40" t="str">
        <f aca="false">IFERROR(INDEX(业务流水!$J$5:$J$1504,MATCH(159,业务流水!$X$5:$X$1504,0)),"")</f>
        <v/>
      </c>
    </row>
    <row r="165" customFormat="false" ht="15.75" hidden="false" customHeight="true" outlineLevel="0" collapsed="false">
      <c r="A165" s="32" t="str">
        <f aca="false">IF($B165="","",160)</f>
        <v/>
      </c>
      <c r="B165" s="50" t="str">
        <f aca="false">IFERROR(INDEX(业务流水!$B$5:$B$1504,MATCH(160,业务流水!$X$5:$X$1504,0)),"")</f>
        <v/>
      </c>
      <c r="C165" s="32" t="str">
        <f aca="false">IFERROR(INDEX(业务流水!$C$5:$C$1504,MATCH(160,业务流水!$X$5:$X$1504,0)),"")</f>
        <v/>
      </c>
      <c r="D165" s="40" t="str">
        <f aca="false">IFERROR(INDEX(业务流水!$M$5:$M$1504,MATCH(160,业务流水!$X$5:$X$1504,0)),"")</f>
        <v/>
      </c>
      <c r="E165" s="32" t="str">
        <f aca="false">IF($B165="","",IF(IFERROR(INDEX(业务流水!$D$5:$D$1504,MATCH(160,业务流水!$X$5:$X$1504,0)),"")="挂靠代收",IFERROR(INDEX(业务流水!$F$5:$F$1504,MATCH(160,业务流水!$X$5:$X$1504,0)),""),IFERROR(INDEX(业务流水!$E$5:$E$1504,MATCH(160,业务流水!$X$5:$X$1504,0)),"")))</f>
        <v/>
      </c>
      <c r="F165" s="32" t="str">
        <f aca="false">IFERROR(INDEX(业务流水!$D$5:$D$1504,MATCH(160,业务流水!$X$5:$X$1504,0)),"")</f>
        <v/>
      </c>
      <c r="G165" s="41" t="n">
        <f aca="false">IF($F165="挂靠代收",N(IFERROR(INDEX(业务流水!$H$5:$H$1504,MATCH(160,业务流水!$X$5:$X$1504,0)),"")),0)</f>
        <v>0</v>
      </c>
      <c r="H165" s="41" t="n">
        <f aca="false">IF($F165="我方收款",N(IFERROR(INDEX(业务流水!$H$5:$H$1504,MATCH(160,业务流水!$X$5:$X$1504,0)),"")),0)</f>
        <v>0</v>
      </c>
      <c r="I165" s="42" t="str">
        <f aca="false">IF($B165="","",SUMIFS($G$6:$G165,$E$6:$E165,$E165)-SUMIFS($H$6:$H165,$E$6:$E165,$E165))</f>
        <v/>
      </c>
      <c r="J165" s="40" t="str">
        <f aca="false">IFERROR(INDEX(业务流水!$J$5:$J$1504,MATCH(160,业务流水!$X$5:$X$1504,0)),"")</f>
        <v/>
      </c>
    </row>
    <row r="166" customFormat="false" ht="15.75" hidden="false" customHeight="true" outlineLevel="0" collapsed="false">
      <c r="A166" s="32" t="str">
        <f aca="false">IF($B166="","",161)</f>
        <v/>
      </c>
      <c r="B166" s="50" t="str">
        <f aca="false">IFERROR(INDEX(业务流水!$B$5:$B$1504,MATCH(161,业务流水!$X$5:$X$1504,0)),"")</f>
        <v/>
      </c>
      <c r="C166" s="32" t="str">
        <f aca="false">IFERROR(INDEX(业务流水!$C$5:$C$1504,MATCH(161,业务流水!$X$5:$X$1504,0)),"")</f>
        <v/>
      </c>
      <c r="D166" s="40" t="str">
        <f aca="false">IFERROR(INDEX(业务流水!$M$5:$M$1504,MATCH(161,业务流水!$X$5:$X$1504,0)),"")</f>
        <v/>
      </c>
      <c r="E166" s="32" t="str">
        <f aca="false">IF($B166="","",IF(IFERROR(INDEX(业务流水!$D$5:$D$1504,MATCH(161,业务流水!$X$5:$X$1504,0)),"")="挂靠代收",IFERROR(INDEX(业务流水!$F$5:$F$1504,MATCH(161,业务流水!$X$5:$X$1504,0)),""),IFERROR(INDEX(业务流水!$E$5:$E$1504,MATCH(161,业务流水!$X$5:$X$1504,0)),"")))</f>
        <v/>
      </c>
      <c r="F166" s="32" t="str">
        <f aca="false">IFERROR(INDEX(业务流水!$D$5:$D$1504,MATCH(161,业务流水!$X$5:$X$1504,0)),"")</f>
        <v/>
      </c>
      <c r="G166" s="41" t="n">
        <f aca="false">IF($F166="挂靠代收",N(IFERROR(INDEX(业务流水!$H$5:$H$1504,MATCH(161,业务流水!$X$5:$X$1504,0)),"")),0)</f>
        <v>0</v>
      </c>
      <c r="H166" s="41" t="n">
        <f aca="false">IF($F166="我方收款",N(IFERROR(INDEX(业务流水!$H$5:$H$1504,MATCH(161,业务流水!$X$5:$X$1504,0)),"")),0)</f>
        <v>0</v>
      </c>
      <c r="I166" s="42" t="str">
        <f aca="false">IF($B166="","",SUMIFS($G$6:$G166,$E$6:$E166,$E166)-SUMIFS($H$6:$H166,$E$6:$E166,$E166))</f>
        <v/>
      </c>
      <c r="J166" s="40" t="str">
        <f aca="false">IFERROR(INDEX(业务流水!$J$5:$J$1504,MATCH(161,业务流水!$X$5:$X$1504,0)),"")</f>
        <v/>
      </c>
    </row>
    <row r="167" customFormat="false" ht="15.75" hidden="false" customHeight="true" outlineLevel="0" collapsed="false">
      <c r="A167" s="32" t="str">
        <f aca="false">IF($B167="","",162)</f>
        <v/>
      </c>
      <c r="B167" s="50" t="str">
        <f aca="false">IFERROR(INDEX(业务流水!$B$5:$B$1504,MATCH(162,业务流水!$X$5:$X$1504,0)),"")</f>
        <v/>
      </c>
      <c r="C167" s="32" t="str">
        <f aca="false">IFERROR(INDEX(业务流水!$C$5:$C$1504,MATCH(162,业务流水!$X$5:$X$1504,0)),"")</f>
        <v/>
      </c>
      <c r="D167" s="40" t="str">
        <f aca="false">IFERROR(INDEX(业务流水!$M$5:$M$1504,MATCH(162,业务流水!$X$5:$X$1504,0)),"")</f>
        <v/>
      </c>
      <c r="E167" s="32" t="str">
        <f aca="false">IF($B167="","",IF(IFERROR(INDEX(业务流水!$D$5:$D$1504,MATCH(162,业务流水!$X$5:$X$1504,0)),"")="挂靠代收",IFERROR(INDEX(业务流水!$F$5:$F$1504,MATCH(162,业务流水!$X$5:$X$1504,0)),""),IFERROR(INDEX(业务流水!$E$5:$E$1504,MATCH(162,业务流水!$X$5:$X$1504,0)),"")))</f>
        <v/>
      </c>
      <c r="F167" s="32" t="str">
        <f aca="false">IFERROR(INDEX(业务流水!$D$5:$D$1504,MATCH(162,业务流水!$X$5:$X$1504,0)),"")</f>
        <v/>
      </c>
      <c r="G167" s="41" t="n">
        <f aca="false">IF($F167="挂靠代收",N(IFERROR(INDEX(业务流水!$H$5:$H$1504,MATCH(162,业务流水!$X$5:$X$1504,0)),"")),0)</f>
        <v>0</v>
      </c>
      <c r="H167" s="41" t="n">
        <f aca="false">IF($F167="我方收款",N(IFERROR(INDEX(业务流水!$H$5:$H$1504,MATCH(162,业务流水!$X$5:$X$1504,0)),"")),0)</f>
        <v>0</v>
      </c>
      <c r="I167" s="42" t="str">
        <f aca="false">IF($B167="","",SUMIFS($G$6:$G167,$E$6:$E167,$E167)-SUMIFS($H$6:$H167,$E$6:$E167,$E167))</f>
        <v/>
      </c>
      <c r="J167" s="40" t="str">
        <f aca="false">IFERROR(INDEX(业务流水!$J$5:$J$1504,MATCH(162,业务流水!$X$5:$X$1504,0)),"")</f>
        <v/>
      </c>
    </row>
    <row r="168" customFormat="false" ht="15.75" hidden="false" customHeight="true" outlineLevel="0" collapsed="false">
      <c r="A168" s="32" t="str">
        <f aca="false">IF($B168="","",163)</f>
        <v/>
      </c>
      <c r="B168" s="50" t="str">
        <f aca="false">IFERROR(INDEX(业务流水!$B$5:$B$1504,MATCH(163,业务流水!$X$5:$X$1504,0)),"")</f>
        <v/>
      </c>
      <c r="C168" s="32" t="str">
        <f aca="false">IFERROR(INDEX(业务流水!$C$5:$C$1504,MATCH(163,业务流水!$X$5:$X$1504,0)),"")</f>
        <v/>
      </c>
      <c r="D168" s="40" t="str">
        <f aca="false">IFERROR(INDEX(业务流水!$M$5:$M$1504,MATCH(163,业务流水!$X$5:$X$1504,0)),"")</f>
        <v/>
      </c>
      <c r="E168" s="32" t="str">
        <f aca="false">IF($B168="","",IF(IFERROR(INDEX(业务流水!$D$5:$D$1504,MATCH(163,业务流水!$X$5:$X$1504,0)),"")="挂靠代收",IFERROR(INDEX(业务流水!$F$5:$F$1504,MATCH(163,业务流水!$X$5:$X$1504,0)),""),IFERROR(INDEX(业务流水!$E$5:$E$1504,MATCH(163,业务流水!$X$5:$X$1504,0)),"")))</f>
        <v/>
      </c>
      <c r="F168" s="32" t="str">
        <f aca="false">IFERROR(INDEX(业务流水!$D$5:$D$1504,MATCH(163,业务流水!$X$5:$X$1504,0)),"")</f>
        <v/>
      </c>
      <c r="G168" s="41" t="n">
        <f aca="false">IF($F168="挂靠代收",N(IFERROR(INDEX(业务流水!$H$5:$H$1504,MATCH(163,业务流水!$X$5:$X$1504,0)),"")),0)</f>
        <v>0</v>
      </c>
      <c r="H168" s="41" t="n">
        <f aca="false">IF($F168="我方收款",N(IFERROR(INDEX(业务流水!$H$5:$H$1504,MATCH(163,业务流水!$X$5:$X$1504,0)),"")),0)</f>
        <v>0</v>
      </c>
      <c r="I168" s="42" t="str">
        <f aca="false">IF($B168="","",SUMIFS($G$6:$G168,$E$6:$E168,$E168)-SUMIFS($H$6:$H168,$E$6:$E168,$E168))</f>
        <v/>
      </c>
      <c r="J168" s="40" t="str">
        <f aca="false">IFERROR(INDEX(业务流水!$J$5:$J$1504,MATCH(163,业务流水!$X$5:$X$1504,0)),"")</f>
        <v/>
      </c>
    </row>
    <row r="169" customFormat="false" ht="15.75" hidden="false" customHeight="true" outlineLevel="0" collapsed="false">
      <c r="A169" s="32" t="str">
        <f aca="false">IF($B169="","",164)</f>
        <v/>
      </c>
      <c r="B169" s="50" t="str">
        <f aca="false">IFERROR(INDEX(业务流水!$B$5:$B$1504,MATCH(164,业务流水!$X$5:$X$1504,0)),"")</f>
        <v/>
      </c>
      <c r="C169" s="32" t="str">
        <f aca="false">IFERROR(INDEX(业务流水!$C$5:$C$1504,MATCH(164,业务流水!$X$5:$X$1504,0)),"")</f>
        <v/>
      </c>
      <c r="D169" s="40" t="str">
        <f aca="false">IFERROR(INDEX(业务流水!$M$5:$M$1504,MATCH(164,业务流水!$X$5:$X$1504,0)),"")</f>
        <v/>
      </c>
      <c r="E169" s="32" t="str">
        <f aca="false">IF($B169="","",IF(IFERROR(INDEX(业务流水!$D$5:$D$1504,MATCH(164,业务流水!$X$5:$X$1504,0)),"")="挂靠代收",IFERROR(INDEX(业务流水!$F$5:$F$1504,MATCH(164,业务流水!$X$5:$X$1504,0)),""),IFERROR(INDEX(业务流水!$E$5:$E$1504,MATCH(164,业务流水!$X$5:$X$1504,0)),"")))</f>
        <v/>
      </c>
      <c r="F169" s="32" t="str">
        <f aca="false">IFERROR(INDEX(业务流水!$D$5:$D$1504,MATCH(164,业务流水!$X$5:$X$1504,0)),"")</f>
        <v/>
      </c>
      <c r="G169" s="41" t="n">
        <f aca="false">IF($F169="挂靠代收",N(IFERROR(INDEX(业务流水!$H$5:$H$1504,MATCH(164,业务流水!$X$5:$X$1504,0)),"")),0)</f>
        <v>0</v>
      </c>
      <c r="H169" s="41" t="n">
        <f aca="false">IF($F169="我方收款",N(IFERROR(INDEX(业务流水!$H$5:$H$1504,MATCH(164,业务流水!$X$5:$X$1504,0)),"")),0)</f>
        <v>0</v>
      </c>
      <c r="I169" s="42" t="str">
        <f aca="false">IF($B169="","",SUMIFS($G$6:$G169,$E$6:$E169,$E169)-SUMIFS($H$6:$H169,$E$6:$E169,$E169))</f>
        <v/>
      </c>
      <c r="J169" s="40" t="str">
        <f aca="false">IFERROR(INDEX(业务流水!$J$5:$J$1504,MATCH(164,业务流水!$X$5:$X$1504,0)),"")</f>
        <v/>
      </c>
    </row>
    <row r="170" customFormat="false" ht="15.75" hidden="false" customHeight="true" outlineLevel="0" collapsed="false">
      <c r="A170" s="32" t="str">
        <f aca="false">IF($B170="","",165)</f>
        <v/>
      </c>
      <c r="B170" s="50" t="str">
        <f aca="false">IFERROR(INDEX(业务流水!$B$5:$B$1504,MATCH(165,业务流水!$X$5:$X$1504,0)),"")</f>
        <v/>
      </c>
      <c r="C170" s="32" t="str">
        <f aca="false">IFERROR(INDEX(业务流水!$C$5:$C$1504,MATCH(165,业务流水!$X$5:$X$1504,0)),"")</f>
        <v/>
      </c>
      <c r="D170" s="40" t="str">
        <f aca="false">IFERROR(INDEX(业务流水!$M$5:$M$1504,MATCH(165,业务流水!$X$5:$X$1504,0)),"")</f>
        <v/>
      </c>
      <c r="E170" s="32" t="str">
        <f aca="false">IF($B170="","",IF(IFERROR(INDEX(业务流水!$D$5:$D$1504,MATCH(165,业务流水!$X$5:$X$1504,0)),"")="挂靠代收",IFERROR(INDEX(业务流水!$F$5:$F$1504,MATCH(165,业务流水!$X$5:$X$1504,0)),""),IFERROR(INDEX(业务流水!$E$5:$E$1504,MATCH(165,业务流水!$X$5:$X$1504,0)),"")))</f>
        <v/>
      </c>
      <c r="F170" s="32" t="str">
        <f aca="false">IFERROR(INDEX(业务流水!$D$5:$D$1504,MATCH(165,业务流水!$X$5:$X$1504,0)),"")</f>
        <v/>
      </c>
      <c r="G170" s="41" t="n">
        <f aca="false">IF($F170="挂靠代收",N(IFERROR(INDEX(业务流水!$H$5:$H$1504,MATCH(165,业务流水!$X$5:$X$1504,0)),"")),0)</f>
        <v>0</v>
      </c>
      <c r="H170" s="41" t="n">
        <f aca="false">IF($F170="我方收款",N(IFERROR(INDEX(业务流水!$H$5:$H$1504,MATCH(165,业务流水!$X$5:$X$1504,0)),"")),0)</f>
        <v>0</v>
      </c>
      <c r="I170" s="42" t="str">
        <f aca="false">IF($B170="","",SUMIFS($G$6:$G170,$E$6:$E170,$E170)-SUMIFS($H$6:$H170,$E$6:$E170,$E170))</f>
        <v/>
      </c>
      <c r="J170" s="40" t="str">
        <f aca="false">IFERROR(INDEX(业务流水!$J$5:$J$1504,MATCH(165,业务流水!$X$5:$X$1504,0)),"")</f>
        <v/>
      </c>
    </row>
    <row r="171" customFormat="false" ht="15.75" hidden="false" customHeight="true" outlineLevel="0" collapsed="false">
      <c r="A171" s="32" t="str">
        <f aca="false">IF($B171="","",166)</f>
        <v/>
      </c>
      <c r="B171" s="50" t="str">
        <f aca="false">IFERROR(INDEX(业务流水!$B$5:$B$1504,MATCH(166,业务流水!$X$5:$X$1504,0)),"")</f>
        <v/>
      </c>
      <c r="C171" s="32" t="str">
        <f aca="false">IFERROR(INDEX(业务流水!$C$5:$C$1504,MATCH(166,业务流水!$X$5:$X$1504,0)),"")</f>
        <v/>
      </c>
      <c r="D171" s="40" t="str">
        <f aca="false">IFERROR(INDEX(业务流水!$M$5:$M$1504,MATCH(166,业务流水!$X$5:$X$1504,0)),"")</f>
        <v/>
      </c>
      <c r="E171" s="32" t="str">
        <f aca="false">IF($B171="","",IF(IFERROR(INDEX(业务流水!$D$5:$D$1504,MATCH(166,业务流水!$X$5:$X$1504,0)),"")="挂靠代收",IFERROR(INDEX(业务流水!$F$5:$F$1504,MATCH(166,业务流水!$X$5:$X$1504,0)),""),IFERROR(INDEX(业务流水!$E$5:$E$1504,MATCH(166,业务流水!$X$5:$X$1504,0)),"")))</f>
        <v/>
      </c>
      <c r="F171" s="32" t="str">
        <f aca="false">IFERROR(INDEX(业务流水!$D$5:$D$1504,MATCH(166,业务流水!$X$5:$X$1504,0)),"")</f>
        <v/>
      </c>
      <c r="G171" s="41" t="n">
        <f aca="false">IF($F171="挂靠代收",N(IFERROR(INDEX(业务流水!$H$5:$H$1504,MATCH(166,业务流水!$X$5:$X$1504,0)),"")),0)</f>
        <v>0</v>
      </c>
      <c r="H171" s="41" t="n">
        <f aca="false">IF($F171="我方收款",N(IFERROR(INDEX(业务流水!$H$5:$H$1504,MATCH(166,业务流水!$X$5:$X$1504,0)),"")),0)</f>
        <v>0</v>
      </c>
      <c r="I171" s="42" t="str">
        <f aca="false">IF($B171="","",SUMIFS($G$6:$G171,$E$6:$E171,$E171)-SUMIFS($H$6:$H171,$E$6:$E171,$E171))</f>
        <v/>
      </c>
      <c r="J171" s="40" t="str">
        <f aca="false">IFERROR(INDEX(业务流水!$J$5:$J$1504,MATCH(166,业务流水!$X$5:$X$1504,0)),"")</f>
        <v/>
      </c>
    </row>
    <row r="172" customFormat="false" ht="15.75" hidden="false" customHeight="true" outlineLevel="0" collapsed="false">
      <c r="A172" s="32" t="str">
        <f aca="false">IF($B172="","",167)</f>
        <v/>
      </c>
      <c r="B172" s="50" t="str">
        <f aca="false">IFERROR(INDEX(业务流水!$B$5:$B$1504,MATCH(167,业务流水!$X$5:$X$1504,0)),"")</f>
        <v/>
      </c>
      <c r="C172" s="32" t="str">
        <f aca="false">IFERROR(INDEX(业务流水!$C$5:$C$1504,MATCH(167,业务流水!$X$5:$X$1504,0)),"")</f>
        <v/>
      </c>
      <c r="D172" s="40" t="str">
        <f aca="false">IFERROR(INDEX(业务流水!$M$5:$M$1504,MATCH(167,业务流水!$X$5:$X$1504,0)),"")</f>
        <v/>
      </c>
      <c r="E172" s="32" t="str">
        <f aca="false">IF($B172="","",IF(IFERROR(INDEX(业务流水!$D$5:$D$1504,MATCH(167,业务流水!$X$5:$X$1504,0)),"")="挂靠代收",IFERROR(INDEX(业务流水!$F$5:$F$1504,MATCH(167,业务流水!$X$5:$X$1504,0)),""),IFERROR(INDEX(业务流水!$E$5:$E$1504,MATCH(167,业务流水!$X$5:$X$1504,0)),"")))</f>
        <v/>
      </c>
      <c r="F172" s="32" t="str">
        <f aca="false">IFERROR(INDEX(业务流水!$D$5:$D$1504,MATCH(167,业务流水!$X$5:$X$1504,0)),"")</f>
        <v/>
      </c>
      <c r="G172" s="41" t="n">
        <f aca="false">IF($F172="挂靠代收",N(IFERROR(INDEX(业务流水!$H$5:$H$1504,MATCH(167,业务流水!$X$5:$X$1504,0)),"")),0)</f>
        <v>0</v>
      </c>
      <c r="H172" s="41" t="n">
        <f aca="false">IF($F172="我方收款",N(IFERROR(INDEX(业务流水!$H$5:$H$1504,MATCH(167,业务流水!$X$5:$X$1504,0)),"")),0)</f>
        <v>0</v>
      </c>
      <c r="I172" s="42" t="str">
        <f aca="false">IF($B172="","",SUMIFS($G$6:$G172,$E$6:$E172,$E172)-SUMIFS($H$6:$H172,$E$6:$E172,$E172))</f>
        <v/>
      </c>
      <c r="J172" s="40" t="str">
        <f aca="false">IFERROR(INDEX(业务流水!$J$5:$J$1504,MATCH(167,业务流水!$X$5:$X$1504,0)),"")</f>
        <v/>
      </c>
    </row>
    <row r="173" customFormat="false" ht="15.75" hidden="false" customHeight="true" outlineLevel="0" collapsed="false">
      <c r="A173" s="32" t="str">
        <f aca="false">IF($B173="","",168)</f>
        <v/>
      </c>
      <c r="B173" s="50" t="str">
        <f aca="false">IFERROR(INDEX(业务流水!$B$5:$B$1504,MATCH(168,业务流水!$X$5:$X$1504,0)),"")</f>
        <v/>
      </c>
      <c r="C173" s="32" t="str">
        <f aca="false">IFERROR(INDEX(业务流水!$C$5:$C$1504,MATCH(168,业务流水!$X$5:$X$1504,0)),"")</f>
        <v/>
      </c>
      <c r="D173" s="40" t="str">
        <f aca="false">IFERROR(INDEX(业务流水!$M$5:$M$1504,MATCH(168,业务流水!$X$5:$X$1504,0)),"")</f>
        <v/>
      </c>
      <c r="E173" s="32" t="str">
        <f aca="false">IF($B173="","",IF(IFERROR(INDEX(业务流水!$D$5:$D$1504,MATCH(168,业务流水!$X$5:$X$1504,0)),"")="挂靠代收",IFERROR(INDEX(业务流水!$F$5:$F$1504,MATCH(168,业务流水!$X$5:$X$1504,0)),""),IFERROR(INDEX(业务流水!$E$5:$E$1504,MATCH(168,业务流水!$X$5:$X$1504,0)),"")))</f>
        <v/>
      </c>
      <c r="F173" s="32" t="str">
        <f aca="false">IFERROR(INDEX(业务流水!$D$5:$D$1504,MATCH(168,业务流水!$X$5:$X$1504,0)),"")</f>
        <v/>
      </c>
      <c r="G173" s="41" t="n">
        <f aca="false">IF($F173="挂靠代收",N(IFERROR(INDEX(业务流水!$H$5:$H$1504,MATCH(168,业务流水!$X$5:$X$1504,0)),"")),0)</f>
        <v>0</v>
      </c>
      <c r="H173" s="41" t="n">
        <f aca="false">IF($F173="我方收款",N(IFERROR(INDEX(业务流水!$H$5:$H$1504,MATCH(168,业务流水!$X$5:$X$1504,0)),"")),0)</f>
        <v>0</v>
      </c>
      <c r="I173" s="42" t="str">
        <f aca="false">IF($B173="","",SUMIFS($G$6:$G173,$E$6:$E173,$E173)-SUMIFS($H$6:$H173,$E$6:$E173,$E173))</f>
        <v/>
      </c>
      <c r="J173" s="40" t="str">
        <f aca="false">IFERROR(INDEX(业务流水!$J$5:$J$1504,MATCH(168,业务流水!$X$5:$X$1504,0)),"")</f>
        <v/>
      </c>
    </row>
    <row r="174" customFormat="false" ht="15.75" hidden="false" customHeight="true" outlineLevel="0" collapsed="false">
      <c r="A174" s="32" t="str">
        <f aca="false">IF($B174="","",169)</f>
        <v/>
      </c>
      <c r="B174" s="50" t="str">
        <f aca="false">IFERROR(INDEX(业务流水!$B$5:$B$1504,MATCH(169,业务流水!$X$5:$X$1504,0)),"")</f>
        <v/>
      </c>
      <c r="C174" s="32" t="str">
        <f aca="false">IFERROR(INDEX(业务流水!$C$5:$C$1504,MATCH(169,业务流水!$X$5:$X$1504,0)),"")</f>
        <v/>
      </c>
      <c r="D174" s="40" t="str">
        <f aca="false">IFERROR(INDEX(业务流水!$M$5:$M$1504,MATCH(169,业务流水!$X$5:$X$1504,0)),"")</f>
        <v/>
      </c>
      <c r="E174" s="32" t="str">
        <f aca="false">IF($B174="","",IF(IFERROR(INDEX(业务流水!$D$5:$D$1504,MATCH(169,业务流水!$X$5:$X$1504,0)),"")="挂靠代收",IFERROR(INDEX(业务流水!$F$5:$F$1504,MATCH(169,业务流水!$X$5:$X$1504,0)),""),IFERROR(INDEX(业务流水!$E$5:$E$1504,MATCH(169,业务流水!$X$5:$X$1504,0)),"")))</f>
        <v/>
      </c>
      <c r="F174" s="32" t="str">
        <f aca="false">IFERROR(INDEX(业务流水!$D$5:$D$1504,MATCH(169,业务流水!$X$5:$X$1504,0)),"")</f>
        <v/>
      </c>
      <c r="G174" s="41" t="n">
        <f aca="false">IF($F174="挂靠代收",N(IFERROR(INDEX(业务流水!$H$5:$H$1504,MATCH(169,业务流水!$X$5:$X$1504,0)),"")),0)</f>
        <v>0</v>
      </c>
      <c r="H174" s="41" t="n">
        <f aca="false">IF($F174="我方收款",N(IFERROR(INDEX(业务流水!$H$5:$H$1504,MATCH(169,业务流水!$X$5:$X$1504,0)),"")),0)</f>
        <v>0</v>
      </c>
      <c r="I174" s="42" t="str">
        <f aca="false">IF($B174="","",SUMIFS($G$6:$G174,$E$6:$E174,$E174)-SUMIFS($H$6:$H174,$E$6:$E174,$E174))</f>
        <v/>
      </c>
      <c r="J174" s="40" t="str">
        <f aca="false">IFERROR(INDEX(业务流水!$J$5:$J$1504,MATCH(169,业务流水!$X$5:$X$1504,0)),"")</f>
        <v/>
      </c>
    </row>
    <row r="175" customFormat="false" ht="15.75" hidden="false" customHeight="true" outlineLevel="0" collapsed="false">
      <c r="A175" s="32" t="str">
        <f aca="false">IF($B175="","",170)</f>
        <v/>
      </c>
      <c r="B175" s="50" t="str">
        <f aca="false">IFERROR(INDEX(业务流水!$B$5:$B$1504,MATCH(170,业务流水!$X$5:$X$1504,0)),"")</f>
        <v/>
      </c>
      <c r="C175" s="32" t="str">
        <f aca="false">IFERROR(INDEX(业务流水!$C$5:$C$1504,MATCH(170,业务流水!$X$5:$X$1504,0)),"")</f>
        <v/>
      </c>
      <c r="D175" s="40" t="str">
        <f aca="false">IFERROR(INDEX(业务流水!$M$5:$M$1504,MATCH(170,业务流水!$X$5:$X$1504,0)),"")</f>
        <v/>
      </c>
      <c r="E175" s="32" t="str">
        <f aca="false">IF($B175="","",IF(IFERROR(INDEX(业务流水!$D$5:$D$1504,MATCH(170,业务流水!$X$5:$X$1504,0)),"")="挂靠代收",IFERROR(INDEX(业务流水!$F$5:$F$1504,MATCH(170,业务流水!$X$5:$X$1504,0)),""),IFERROR(INDEX(业务流水!$E$5:$E$1504,MATCH(170,业务流水!$X$5:$X$1504,0)),"")))</f>
        <v/>
      </c>
      <c r="F175" s="32" t="str">
        <f aca="false">IFERROR(INDEX(业务流水!$D$5:$D$1504,MATCH(170,业务流水!$X$5:$X$1504,0)),"")</f>
        <v/>
      </c>
      <c r="G175" s="41" t="n">
        <f aca="false">IF($F175="挂靠代收",N(IFERROR(INDEX(业务流水!$H$5:$H$1504,MATCH(170,业务流水!$X$5:$X$1504,0)),"")),0)</f>
        <v>0</v>
      </c>
      <c r="H175" s="41" t="n">
        <f aca="false">IF($F175="我方收款",N(IFERROR(INDEX(业务流水!$H$5:$H$1504,MATCH(170,业务流水!$X$5:$X$1504,0)),"")),0)</f>
        <v>0</v>
      </c>
      <c r="I175" s="42" t="str">
        <f aca="false">IF($B175="","",SUMIFS($G$6:$G175,$E$6:$E175,$E175)-SUMIFS($H$6:$H175,$E$6:$E175,$E175))</f>
        <v/>
      </c>
      <c r="J175" s="40" t="str">
        <f aca="false">IFERROR(INDEX(业务流水!$J$5:$J$1504,MATCH(170,业务流水!$X$5:$X$1504,0)),"")</f>
        <v/>
      </c>
    </row>
    <row r="176" customFormat="false" ht="15.75" hidden="false" customHeight="true" outlineLevel="0" collapsed="false">
      <c r="A176" s="32" t="str">
        <f aca="false">IF($B176="","",171)</f>
        <v/>
      </c>
      <c r="B176" s="50" t="str">
        <f aca="false">IFERROR(INDEX(业务流水!$B$5:$B$1504,MATCH(171,业务流水!$X$5:$X$1504,0)),"")</f>
        <v/>
      </c>
      <c r="C176" s="32" t="str">
        <f aca="false">IFERROR(INDEX(业务流水!$C$5:$C$1504,MATCH(171,业务流水!$X$5:$X$1504,0)),"")</f>
        <v/>
      </c>
      <c r="D176" s="40" t="str">
        <f aca="false">IFERROR(INDEX(业务流水!$M$5:$M$1504,MATCH(171,业务流水!$X$5:$X$1504,0)),"")</f>
        <v/>
      </c>
      <c r="E176" s="32" t="str">
        <f aca="false">IF($B176="","",IF(IFERROR(INDEX(业务流水!$D$5:$D$1504,MATCH(171,业务流水!$X$5:$X$1504,0)),"")="挂靠代收",IFERROR(INDEX(业务流水!$F$5:$F$1504,MATCH(171,业务流水!$X$5:$X$1504,0)),""),IFERROR(INDEX(业务流水!$E$5:$E$1504,MATCH(171,业务流水!$X$5:$X$1504,0)),"")))</f>
        <v/>
      </c>
      <c r="F176" s="32" t="str">
        <f aca="false">IFERROR(INDEX(业务流水!$D$5:$D$1504,MATCH(171,业务流水!$X$5:$X$1504,0)),"")</f>
        <v/>
      </c>
      <c r="G176" s="41" t="n">
        <f aca="false">IF($F176="挂靠代收",N(IFERROR(INDEX(业务流水!$H$5:$H$1504,MATCH(171,业务流水!$X$5:$X$1504,0)),"")),0)</f>
        <v>0</v>
      </c>
      <c r="H176" s="41" t="n">
        <f aca="false">IF($F176="我方收款",N(IFERROR(INDEX(业务流水!$H$5:$H$1504,MATCH(171,业务流水!$X$5:$X$1504,0)),"")),0)</f>
        <v>0</v>
      </c>
      <c r="I176" s="42" t="str">
        <f aca="false">IF($B176="","",SUMIFS($G$6:$G176,$E$6:$E176,$E176)-SUMIFS($H$6:$H176,$E$6:$E176,$E176))</f>
        <v/>
      </c>
      <c r="J176" s="40" t="str">
        <f aca="false">IFERROR(INDEX(业务流水!$J$5:$J$1504,MATCH(171,业务流水!$X$5:$X$1504,0)),"")</f>
        <v/>
      </c>
    </row>
    <row r="177" customFormat="false" ht="15.75" hidden="false" customHeight="true" outlineLevel="0" collapsed="false">
      <c r="A177" s="32" t="str">
        <f aca="false">IF($B177="","",172)</f>
        <v/>
      </c>
      <c r="B177" s="50" t="str">
        <f aca="false">IFERROR(INDEX(业务流水!$B$5:$B$1504,MATCH(172,业务流水!$X$5:$X$1504,0)),"")</f>
        <v/>
      </c>
      <c r="C177" s="32" t="str">
        <f aca="false">IFERROR(INDEX(业务流水!$C$5:$C$1504,MATCH(172,业务流水!$X$5:$X$1504,0)),"")</f>
        <v/>
      </c>
      <c r="D177" s="40" t="str">
        <f aca="false">IFERROR(INDEX(业务流水!$M$5:$M$1504,MATCH(172,业务流水!$X$5:$X$1504,0)),"")</f>
        <v/>
      </c>
      <c r="E177" s="32" t="str">
        <f aca="false">IF($B177="","",IF(IFERROR(INDEX(业务流水!$D$5:$D$1504,MATCH(172,业务流水!$X$5:$X$1504,0)),"")="挂靠代收",IFERROR(INDEX(业务流水!$F$5:$F$1504,MATCH(172,业务流水!$X$5:$X$1504,0)),""),IFERROR(INDEX(业务流水!$E$5:$E$1504,MATCH(172,业务流水!$X$5:$X$1504,0)),"")))</f>
        <v/>
      </c>
      <c r="F177" s="32" t="str">
        <f aca="false">IFERROR(INDEX(业务流水!$D$5:$D$1504,MATCH(172,业务流水!$X$5:$X$1504,0)),"")</f>
        <v/>
      </c>
      <c r="G177" s="41" t="n">
        <f aca="false">IF($F177="挂靠代收",N(IFERROR(INDEX(业务流水!$H$5:$H$1504,MATCH(172,业务流水!$X$5:$X$1504,0)),"")),0)</f>
        <v>0</v>
      </c>
      <c r="H177" s="41" t="n">
        <f aca="false">IF($F177="我方收款",N(IFERROR(INDEX(业务流水!$H$5:$H$1504,MATCH(172,业务流水!$X$5:$X$1504,0)),"")),0)</f>
        <v>0</v>
      </c>
      <c r="I177" s="42" t="str">
        <f aca="false">IF($B177="","",SUMIFS($G$6:$G177,$E$6:$E177,$E177)-SUMIFS($H$6:$H177,$E$6:$E177,$E177))</f>
        <v/>
      </c>
      <c r="J177" s="40" t="str">
        <f aca="false">IFERROR(INDEX(业务流水!$J$5:$J$1504,MATCH(172,业务流水!$X$5:$X$1504,0)),"")</f>
        <v/>
      </c>
    </row>
    <row r="178" customFormat="false" ht="15.75" hidden="false" customHeight="true" outlineLevel="0" collapsed="false">
      <c r="A178" s="32" t="str">
        <f aca="false">IF($B178="","",173)</f>
        <v/>
      </c>
      <c r="B178" s="50" t="str">
        <f aca="false">IFERROR(INDEX(业务流水!$B$5:$B$1504,MATCH(173,业务流水!$X$5:$X$1504,0)),"")</f>
        <v/>
      </c>
      <c r="C178" s="32" t="str">
        <f aca="false">IFERROR(INDEX(业务流水!$C$5:$C$1504,MATCH(173,业务流水!$X$5:$X$1504,0)),"")</f>
        <v/>
      </c>
      <c r="D178" s="40" t="str">
        <f aca="false">IFERROR(INDEX(业务流水!$M$5:$M$1504,MATCH(173,业务流水!$X$5:$X$1504,0)),"")</f>
        <v/>
      </c>
      <c r="E178" s="32" t="str">
        <f aca="false">IF($B178="","",IF(IFERROR(INDEX(业务流水!$D$5:$D$1504,MATCH(173,业务流水!$X$5:$X$1504,0)),"")="挂靠代收",IFERROR(INDEX(业务流水!$F$5:$F$1504,MATCH(173,业务流水!$X$5:$X$1504,0)),""),IFERROR(INDEX(业务流水!$E$5:$E$1504,MATCH(173,业务流水!$X$5:$X$1504,0)),"")))</f>
        <v/>
      </c>
      <c r="F178" s="32" t="str">
        <f aca="false">IFERROR(INDEX(业务流水!$D$5:$D$1504,MATCH(173,业务流水!$X$5:$X$1504,0)),"")</f>
        <v/>
      </c>
      <c r="G178" s="41" t="n">
        <f aca="false">IF($F178="挂靠代收",N(IFERROR(INDEX(业务流水!$H$5:$H$1504,MATCH(173,业务流水!$X$5:$X$1504,0)),"")),0)</f>
        <v>0</v>
      </c>
      <c r="H178" s="41" t="n">
        <f aca="false">IF($F178="我方收款",N(IFERROR(INDEX(业务流水!$H$5:$H$1504,MATCH(173,业务流水!$X$5:$X$1504,0)),"")),0)</f>
        <v>0</v>
      </c>
      <c r="I178" s="42" t="str">
        <f aca="false">IF($B178="","",SUMIFS($G$6:$G178,$E$6:$E178,$E178)-SUMIFS($H$6:$H178,$E$6:$E178,$E178))</f>
        <v/>
      </c>
      <c r="J178" s="40" t="str">
        <f aca="false">IFERROR(INDEX(业务流水!$J$5:$J$1504,MATCH(173,业务流水!$X$5:$X$1504,0)),"")</f>
        <v/>
      </c>
    </row>
    <row r="179" customFormat="false" ht="15.75" hidden="false" customHeight="true" outlineLevel="0" collapsed="false">
      <c r="A179" s="32" t="str">
        <f aca="false">IF($B179="","",174)</f>
        <v/>
      </c>
      <c r="B179" s="50" t="str">
        <f aca="false">IFERROR(INDEX(业务流水!$B$5:$B$1504,MATCH(174,业务流水!$X$5:$X$1504,0)),"")</f>
        <v/>
      </c>
      <c r="C179" s="32" t="str">
        <f aca="false">IFERROR(INDEX(业务流水!$C$5:$C$1504,MATCH(174,业务流水!$X$5:$X$1504,0)),"")</f>
        <v/>
      </c>
      <c r="D179" s="40" t="str">
        <f aca="false">IFERROR(INDEX(业务流水!$M$5:$M$1504,MATCH(174,业务流水!$X$5:$X$1504,0)),"")</f>
        <v/>
      </c>
      <c r="E179" s="32" t="str">
        <f aca="false">IF($B179="","",IF(IFERROR(INDEX(业务流水!$D$5:$D$1504,MATCH(174,业务流水!$X$5:$X$1504,0)),"")="挂靠代收",IFERROR(INDEX(业务流水!$F$5:$F$1504,MATCH(174,业务流水!$X$5:$X$1504,0)),""),IFERROR(INDEX(业务流水!$E$5:$E$1504,MATCH(174,业务流水!$X$5:$X$1504,0)),"")))</f>
        <v/>
      </c>
      <c r="F179" s="32" t="str">
        <f aca="false">IFERROR(INDEX(业务流水!$D$5:$D$1504,MATCH(174,业务流水!$X$5:$X$1504,0)),"")</f>
        <v/>
      </c>
      <c r="G179" s="41" t="n">
        <f aca="false">IF($F179="挂靠代收",N(IFERROR(INDEX(业务流水!$H$5:$H$1504,MATCH(174,业务流水!$X$5:$X$1504,0)),"")),0)</f>
        <v>0</v>
      </c>
      <c r="H179" s="41" t="n">
        <f aca="false">IF($F179="我方收款",N(IFERROR(INDEX(业务流水!$H$5:$H$1504,MATCH(174,业务流水!$X$5:$X$1504,0)),"")),0)</f>
        <v>0</v>
      </c>
      <c r="I179" s="42" t="str">
        <f aca="false">IF($B179="","",SUMIFS($G$6:$G179,$E$6:$E179,$E179)-SUMIFS($H$6:$H179,$E$6:$E179,$E179))</f>
        <v/>
      </c>
      <c r="J179" s="40" t="str">
        <f aca="false">IFERROR(INDEX(业务流水!$J$5:$J$1504,MATCH(174,业务流水!$X$5:$X$1504,0)),"")</f>
        <v/>
      </c>
    </row>
    <row r="180" customFormat="false" ht="15.75" hidden="false" customHeight="true" outlineLevel="0" collapsed="false">
      <c r="A180" s="32" t="str">
        <f aca="false">IF($B180="","",175)</f>
        <v/>
      </c>
      <c r="B180" s="50" t="str">
        <f aca="false">IFERROR(INDEX(业务流水!$B$5:$B$1504,MATCH(175,业务流水!$X$5:$X$1504,0)),"")</f>
        <v/>
      </c>
      <c r="C180" s="32" t="str">
        <f aca="false">IFERROR(INDEX(业务流水!$C$5:$C$1504,MATCH(175,业务流水!$X$5:$X$1504,0)),"")</f>
        <v/>
      </c>
      <c r="D180" s="40" t="str">
        <f aca="false">IFERROR(INDEX(业务流水!$M$5:$M$1504,MATCH(175,业务流水!$X$5:$X$1504,0)),"")</f>
        <v/>
      </c>
      <c r="E180" s="32" t="str">
        <f aca="false">IF($B180="","",IF(IFERROR(INDEX(业务流水!$D$5:$D$1504,MATCH(175,业务流水!$X$5:$X$1504,0)),"")="挂靠代收",IFERROR(INDEX(业务流水!$F$5:$F$1504,MATCH(175,业务流水!$X$5:$X$1504,0)),""),IFERROR(INDEX(业务流水!$E$5:$E$1504,MATCH(175,业务流水!$X$5:$X$1504,0)),"")))</f>
        <v/>
      </c>
      <c r="F180" s="32" t="str">
        <f aca="false">IFERROR(INDEX(业务流水!$D$5:$D$1504,MATCH(175,业务流水!$X$5:$X$1504,0)),"")</f>
        <v/>
      </c>
      <c r="G180" s="41" t="n">
        <f aca="false">IF($F180="挂靠代收",N(IFERROR(INDEX(业务流水!$H$5:$H$1504,MATCH(175,业务流水!$X$5:$X$1504,0)),"")),0)</f>
        <v>0</v>
      </c>
      <c r="H180" s="41" t="n">
        <f aca="false">IF($F180="我方收款",N(IFERROR(INDEX(业务流水!$H$5:$H$1504,MATCH(175,业务流水!$X$5:$X$1504,0)),"")),0)</f>
        <v>0</v>
      </c>
      <c r="I180" s="42" t="str">
        <f aca="false">IF($B180="","",SUMIFS($G$6:$G180,$E$6:$E180,$E180)-SUMIFS($H$6:$H180,$E$6:$E180,$E180))</f>
        <v/>
      </c>
      <c r="J180" s="40" t="str">
        <f aca="false">IFERROR(INDEX(业务流水!$J$5:$J$1504,MATCH(175,业务流水!$X$5:$X$1504,0)),"")</f>
        <v/>
      </c>
    </row>
    <row r="181" customFormat="false" ht="15.75" hidden="false" customHeight="true" outlineLevel="0" collapsed="false">
      <c r="A181" s="32" t="str">
        <f aca="false">IF($B181="","",176)</f>
        <v/>
      </c>
      <c r="B181" s="50" t="str">
        <f aca="false">IFERROR(INDEX(业务流水!$B$5:$B$1504,MATCH(176,业务流水!$X$5:$X$1504,0)),"")</f>
        <v/>
      </c>
      <c r="C181" s="32" t="str">
        <f aca="false">IFERROR(INDEX(业务流水!$C$5:$C$1504,MATCH(176,业务流水!$X$5:$X$1504,0)),"")</f>
        <v/>
      </c>
      <c r="D181" s="40" t="str">
        <f aca="false">IFERROR(INDEX(业务流水!$M$5:$M$1504,MATCH(176,业务流水!$X$5:$X$1504,0)),"")</f>
        <v/>
      </c>
      <c r="E181" s="32" t="str">
        <f aca="false">IF($B181="","",IF(IFERROR(INDEX(业务流水!$D$5:$D$1504,MATCH(176,业务流水!$X$5:$X$1504,0)),"")="挂靠代收",IFERROR(INDEX(业务流水!$F$5:$F$1504,MATCH(176,业务流水!$X$5:$X$1504,0)),""),IFERROR(INDEX(业务流水!$E$5:$E$1504,MATCH(176,业务流水!$X$5:$X$1504,0)),"")))</f>
        <v/>
      </c>
      <c r="F181" s="32" t="str">
        <f aca="false">IFERROR(INDEX(业务流水!$D$5:$D$1504,MATCH(176,业务流水!$X$5:$X$1504,0)),"")</f>
        <v/>
      </c>
      <c r="G181" s="41" t="n">
        <f aca="false">IF($F181="挂靠代收",N(IFERROR(INDEX(业务流水!$H$5:$H$1504,MATCH(176,业务流水!$X$5:$X$1504,0)),"")),0)</f>
        <v>0</v>
      </c>
      <c r="H181" s="41" t="n">
        <f aca="false">IF($F181="我方收款",N(IFERROR(INDEX(业务流水!$H$5:$H$1504,MATCH(176,业务流水!$X$5:$X$1504,0)),"")),0)</f>
        <v>0</v>
      </c>
      <c r="I181" s="42" t="str">
        <f aca="false">IF($B181="","",SUMIFS($G$6:$G181,$E$6:$E181,$E181)-SUMIFS($H$6:$H181,$E$6:$E181,$E181))</f>
        <v/>
      </c>
      <c r="J181" s="40" t="str">
        <f aca="false">IFERROR(INDEX(业务流水!$J$5:$J$1504,MATCH(176,业务流水!$X$5:$X$1504,0)),"")</f>
        <v/>
      </c>
    </row>
    <row r="182" customFormat="false" ht="15.75" hidden="false" customHeight="true" outlineLevel="0" collapsed="false">
      <c r="A182" s="32" t="str">
        <f aca="false">IF($B182="","",177)</f>
        <v/>
      </c>
      <c r="B182" s="50" t="str">
        <f aca="false">IFERROR(INDEX(业务流水!$B$5:$B$1504,MATCH(177,业务流水!$X$5:$X$1504,0)),"")</f>
        <v/>
      </c>
      <c r="C182" s="32" t="str">
        <f aca="false">IFERROR(INDEX(业务流水!$C$5:$C$1504,MATCH(177,业务流水!$X$5:$X$1504,0)),"")</f>
        <v/>
      </c>
      <c r="D182" s="40" t="str">
        <f aca="false">IFERROR(INDEX(业务流水!$M$5:$M$1504,MATCH(177,业务流水!$X$5:$X$1504,0)),"")</f>
        <v/>
      </c>
      <c r="E182" s="32" t="str">
        <f aca="false">IF($B182="","",IF(IFERROR(INDEX(业务流水!$D$5:$D$1504,MATCH(177,业务流水!$X$5:$X$1504,0)),"")="挂靠代收",IFERROR(INDEX(业务流水!$F$5:$F$1504,MATCH(177,业务流水!$X$5:$X$1504,0)),""),IFERROR(INDEX(业务流水!$E$5:$E$1504,MATCH(177,业务流水!$X$5:$X$1504,0)),"")))</f>
        <v/>
      </c>
      <c r="F182" s="32" t="str">
        <f aca="false">IFERROR(INDEX(业务流水!$D$5:$D$1504,MATCH(177,业务流水!$X$5:$X$1504,0)),"")</f>
        <v/>
      </c>
      <c r="G182" s="41" t="n">
        <f aca="false">IF($F182="挂靠代收",N(IFERROR(INDEX(业务流水!$H$5:$H$1504,MATCH(177,业务流水!$X$5:$X$1504,0)),"")),0)</f>
        <v>0</v>
      </c>
      <c r="H182" s="41" t="n">
        <f aca="false">IF($F182="我方收款",N(IFERROR(INDEX(业务流水!$H$5:$H$1504,MATCH(177,业务流水!$X$5:$X$1504,0)),"")),0)</f>
        <v>0</v>
      </c>
      <c r="I182" s="42" t="str">
        <f aca="false">IF($B182="","",SUMIFS($G$6:$G182,$E$6:$E182,$E182)-SUMIFS($H$6:$H182,$E$6:$E182,$E182))</f>
        <v/>
      </c>
      <c r="J182" s="40" t="str">
        <f aca="false">IFERROR(INDEX(业务流水!$J$5:$J$1504,MATCH(177,业务流水!$X$5:$X$1504,0)),"")</f>
        <v/>
      </c>
    </row>
    <row r="183" customFormat="false" ht="15.75" hidden="false" customHeight="true" outlineLevel="0" collapsed="false">
      <c r="A183" s="32" t="str">
        <f aca="false">IF($B183="","",178)</f>
        <v/>
      </c>
      <c r="B183" s="50" t="str">
        <f aca="false">IFERROR(INDEX(业务流水!$B$5:$B$1504,MATCH(178,业务流水!$X$5:$X$1504,0)),"")</f>
        <v/>
      </c>
      <c r="C183" s="32" t="str">
        <f aca="false">IFERROR(INDEX(业务流水!$C$5:$C$1504,MATCH(178,业务流水!$X$5:$X$1504,0)),"")</f>
        <v/>
      </c>
      <c r="D183" s="40" t="str">
        <f aca="false">IFERROR(INDEX(业务流水!$M$5:$M$1504,MATCH(178,业务流水!$X$5:$X$1504,0)),"")</f>
        <v/>
      </c>
      <c r="E183" s="32" t="str">
        <f aca="false">IF($B183="","",IF(IFERROR(INDEX(业务流水!$D$5:$D$1504,MATCH(178,业务流水!$X$5:$X$1504,0)),"")="挂靠代收",IFERROR(INDEX(业务流水!$F$5:$F$1504,MATCH(178,业务流水!$X$5:$X$1504,0)),""),IFERROR(INDEX(业务流水!$E$5:$E$1504,MATCH(178,业务流水!$X$5:$X$1504,0)),"")))</f>
        <v/>
      </c>
      <c r="F183" s="32" t="str">
        <f aca="false">IFERROR(INDEX(业务流水!$D$5:$D$1504,MATCH(178,业务流水!$X$5:$X$1504,0)),"")</f>
        <v/>
      </c>
      <c r="G183" s="41" t="n">
        <f aca="false">IF($F183="挂靠代收",N(IFERROR(INDEX(业务流水!$H$5:$H$1504,MATCH(178,业务流水!$X$5:$X$1504,0)),"")),0)</f>
        <v>0</v>
      </c>
      <c r="H183" s="41" t="n">
        <f aca="false">IF($F183="我方收款",N(IFERROR(INDEX(业务流水!$H$5:$H$1504,MATCH(178,业务流水!$X$5:$X$1504,0)),"")),0)</f>
        <v>0</v>
      </c>
      <c r="I183" s="42" t="str">
        <f aca="false">IF($B183="","",SUMIFS($G$6:$G183,$E$6:$E183,$E183)-SUMIFS($H$6:$H183,$E$6:$E183,$E183))</f>
        <v/>
      </c>
      <c r="J183" s="40" t="str">
        <f aca="false">IFERROR(INDEX(业务流水!$J$5:$J$1504,MATCH(178,业务流水!$X$5:$X$1504,0)),"")</f>
        <v/>
      </c>
    </row>
    <row r="184" customFormat="false" ht="15.75" hidden="false" customHeight="true" outlineLevel="0" collapsed="false">
      <c r="A184" s="32" t="str">
        <f aca="false">IF($B184="","",179)</f>
        <v/>
      </c>
      <c r="B184" s="50" t="str">
        <f aca="false">IFERROR(INDEX(业务流水!$B$5:$B$1504,MATCH(179,业务流水!$X$5:$X$1504,0)),"")</f>
        <v/>
      </c>
      <c r="C184" s="32" t="str">
        <f aca="false">IFERROR(INDEX(业务流水!$C$5:$C$1504,MATCH(179,业务流水!$X$5:$X$1504,0)),"")</f>
        <v/>
      </c>
      <c r="D184" s="40" t="str">
        <f aca="false">IFERROR(INDEX(业务流水!$M$5:$M$1504,MATCH(179,业务流水!$X$5:$X$1504,0)),"")</f>
        <v/>
      </c>
      <c r="E184" s="32" t="str">
        <f aca="false">IF($B184="","",IF(IFERROR(INDEX(业务流水!$D$5:$D$1504,MATCH(179,业务流水!$X$5:$X$1504,0)),"")="挂靠代收",IFERROR(INDEX(业务流水!$F$5:$F$1504,MATCH(179,业务流水!$X$5:$X$1504,0)),""),IFERROR(INDEX(业务流水!$E$5:$E$1504,MATCH(179,业务流水!$X$5:$X$1504,0)),"")))</f>
        <v/>
      </c>
      <c r="F184" s="32" t="str">
        <f aca="false">IFERROR(INDEX(业务流水!$D$5:$D$1504,MATCH(179,业务流水!$X$5:$X$1504,0)),"")</f>
        <v/>
      </c>
      <c r="G184" s="41" t="n">
        <f aca="false">IF($F184="挂靠代收",N(IFERROR(INDEX(业务流水!$H$5:$H$1504,MATCH(179,业务流水!$X$5:$X$1504,0)),"")),0)</f>
        <v>0</v>
      </c>
      <c r="H184" s="41" t="n">
        <f aca="false">IF($F184="我方收款",N(IFERROR(INDEX(业务流水!$H$5:$H$1504,MATCH(179,业务流水!$X$5:$X$1504,0)),"")),0)</f>
        <v>0</v>
      </c>
      <c r="I184" s="42" t="str">
        <f aca="false">IF($B184="","",SUMIFS($G$6:$G184,$E$6:$E184,$E184)-SUMIFS($H$6:$H184,$E$6:$E184,$E184))</f>
        <v/>
      </c>
      <c r="J184" s="40" t="str">
        <f aca="false">IFERROR(INDEX(业务流水!$J$5:$J$1504,MATCH(179,业务流水!$X$5:$X$1504,0)),"")</f>
        <v/>
      </c>
    </row>
    <row r="185" customFormat="false" ht="15.75" hidden="false" customHeight="true" outlineLevel="0" collapsed="false">
      <c r="A185" s="32" t="str">
        <f aca="false">IF($B185="","",180)</f>
        <v/>
      </c>
      <c r="B185" s="50" t="str">
        <f aca="false">IFERROR(INDEX(业务流水!$B$5:$B$1504,MATCH(180,业务流水!$X$5:$X$1504,0)),"")</f>
        <v/>
      </c>
      <c r="C185" s="32" t="str">
        <f aca="false">IFERROR(INDEX(业务流水!$C$5:$C$1504,MATCH(180,业务流水!$X$5:$X$1504,0)),"")</f>
        <v/>
      </c>
      <c r="D185" s="40" t="str">
        <f aca="false">IFERROR(INDEX(业务流水!$M$5:$M$1504,MATCH(180,业务流水!$X$5:$X$1504,0)),"")</f>
        <v/>
      </c>
      <c r="E185" s="32" t="str">
        <f aca="false">IF($B185="","",IF(IFERROR(INDEX(业务流水!$D$5:$D$1504,MATCH(180,业务流水!$X$5:$X$1504,0)),"")="挂靠代收",IFERROR(INDEX(业务流水!$F$5:$F$1504,MATCH(180,业务流水!$X$5:$X$1504,0)),""),IFERROR(INDEX(业务流水!$E$5:$E$1504,MATCH(180,业务流水!$X$5:$X$1504,0)),"")))</f>
        <v/>
      </c>
      <c r="F185" s="32" t="str">
        <f aca="false">IFERROR(INDEX(业务流水!$D$5:$D$1504,MATCH(180,业务流水!$X$5:$X$1504,0)),"")</f>
        <v/>
      </c>
      <c r="G185" s="41" t="n">
        <f aca="false">IF($F185="挂靠代收",N(IFERROR(INDEX(业务流水!$H$5:$H$1504,MATCH(180,业务流水!$X$5:$X$1504,0)),"")),0)</f>
        <v>0</v>
      </c>
      <c r="H185" s="41" t="n">
        <f aca="false">IF($F185="我方收款",N(IFERROR(INDEX(业务流水!$H$5:$H$1504,MATCH(180,业务流水!$X$5:$X$1504,0)),"")),0)</f>
        <v>0</v>
      </c>
      <c r="I185" s="42" t="str">
        <f aca="false">IF($B185="","",SUMIFS($G$6:$G185,$E$6:$E185,$E185)-SUMIFS($H$6:$H185,$E$6:$E185,$E185))</f>
        <v/>
      </c>
      <c r="J185" s="40" t="str">
        <f aca="false">IFERROR(INDEX(业务流水!$J$5:$J$1504,MATCH(180,业务流水!$X$5:$X$1504,0)),"")</f>
        <v/>
      </c>
    </row>
    <row r="186" customFormat="false" ht="15.75" hidden="false" customHeight="true" outlineLevel="0" collapsed="false">
      <c r="A186" s="32" t="str">
        <f aca="false">IF($B186="","",181)</f>
        <v/>
      </c>
      <c r="B186" s="50" t="str">
        <f aca="false">IFERROR(INDEX(业务流水!$B$5:$B$1504,MATCH(181,业务流水!$X$5:$X$1504,0)),"")</f>
        <v/>
      </c>
      <c r="C186" s="32" t="str">
        <f aca="false">IFERROR(INDEX(业务流水!$C$5:$C$1504,MATCH(181,业务流水!$X$5:$X$1504,0)),"")</f>
        <v/>
      </c>
      <c r="D186" s="40" t="str">
        <f aca="false">IFERROR(INDEX(业务流水!$M$5:$M$1504,MATCH(181,业务流水!$X$5:$X$1504,0)),"")</f>
        <v/>
      </c>
      <c r="E186" s="32" t="str">
        <f aca="false">IF($B186="","",IF(IFERROR(INDEX(业务流水!$D$5:$D$1504,MATCH(181,业务流水!$X$5:$X$1504,0)),"")="挂靠代收",IFERROR(INDEX(业务流水!$F$5:$F$1504,MATCH(181,业务流水!$X$5:$X$1504,0)),""),IFERROR(INDEX(业务流水!$E$5:$E$1504,MATCH(181,业务流水!$X$5:$X$1504,0)),"")))</f>
        <v/>
      </c>
      <c r="F186" s="32" t="str">
        <f aca="false">IFERROR(INDEX(业务流水!$D$5:$D$1504,MATCH(181,业务流水!$X$5:$X$1504,0)),"")</f>
        <v/>
      </c>
      <c r="G186" s="41" t="n">
        <f aca="false">IF($F186="挂靠代收",N(IFERROR(INDEX(业务流水!$H$5:$H$1504,MATCH(181,业务流水!$X$5:$X$1504,0)),"")),0)</f>
        <v>0</v>
      </c>
      <c r="H186" s="41" t="n">
        <f aca="false">IF($F186="我方收款",N(IFERROR(INDEX(业务流水!$H$5:$H$1504,MATCH(181,业务流水!$X$5:$X$1504,0)),"")),0)</f>
        <v>0</v>
      </c>
      <c r="I186" s="42" t="str">
        <f aca="false">IF($B186="","",SUMIFS($G$6:$G186,$E$6:$E186,$E186)-SUMIFS($H$6:$H186,$E$6:$E186,$E186))</f>
        <v/>
      </c>
      <c r="J186" s="40" t="str">
        <f aca="false">IFERROR(INDEX(业务流水!$J$5:$J$1504,MATCH(181,业务流水!$X$5:$X$1504,0)),"")</f>
        <v/>
      </c>
    </row>
    <row r="187" customFormat="false" ht="15.75" hidden="false" customHeight="true" outlineLevel="0" collapsed="false">
      <c r="A187" s="32" t="str">
        <f aca="false">IF($B187="","",182)</f>
        <v/>
      </c>
      <c r="B187" s="50" t="str">
        <f aca="false">IFERROR(INDEX(业务流水!$B$5:$B$1504,MATCH(182,业务流水!$X$5:$X$1504,0)),"")</f>
        <v/>
      </c>
      <c r="C187" s="32" t="str">
        <f aca="false">IFERROR(INDEX(业务流水!$C$5:$C$1504,MATCH(182,业务流水!$X$5:$X$1504,0)),"")</f>
        <v/>
      </c>
      <c r="D187" s="40" t="str">
        <f aca="false">IFERROR(INDEX(业务流水!$M$5:$M$1504,MATCH(182,业务流水!$X$5:$X$1504,0)),"")</f>
        <v/>
      </c>
      <c r="E187" s="32" t="str">
        <f aca="false">IF($B187="","",IF(IFERROR(INDEX(业务流水!$D$5:$D$1504,MATCH(182,业务流水!$X$5:$X$1504,0)),"")="挂靠代收",IFERROR(INDEX(业务流水!$F$5:$F$1504,MATCH(182,业务流水!$X$5:$X$1504,0)),""),IFERROR(INDEX(业务流水!$E$5:$E$1504,MATCH(182,业务流水!$X$5:$X$1504,0)),"")))</f>
        <v/>
      </c>
      <c r="F187" s="32" t="str">
        <f aca="false">IFERROR(INDEX(业务流水!$D$5:$D$1504,MATCH(182,业务流水!$X$5:$X$1504,0)),"")</f>
        <v/>
      </c>
      <c r="G187" s="41" t="n">
        <f aca="false">IF($F187="挂靠代收",N(IFERROR(INDEX(业务流水!$H$5:$H$1504,MATCH(182,业务流水!$X$5:$X$1504,0)),"")),0)</f>
        <v>0</v>
      </c>
      <c r="H187" s="41" t="n">
        <f aca="false">IF($F187="我方收款",N(IFERROR(INDEX(业务流水!$H$5:$H$1504,MATCH(182,业务流水!$X$5:$X$1504,0)),"")),0)</f>
        <v>0</v>
      </c>
      <c r="I187" s="42" t="str">
        <f aca="false">IF($B187="","",SUMIFS($G$6:$G187,$E$6:$E187,$E187)-SUMIFS($H$6:$H187,$E$6:$E187,$E187))</f>
        <v/>
      </c>
      <c r="J187" s="40" t="str">
        <f aca="false">IFERROR(INDEX(业务流水!$J$5:$J$1504,MATCH(182,业务流水!$X$5:$X$1504,0)),"")</f>
        <v/>
      </c>
    </row>
    <row r="188" customFormat="false" ht="15.75" hidden="false" customHeight="true" outlineLevel="0" collapsed="false">
      <c r="A188" s="32" t="str">
        <f aca="false">IF($B188="","",183)</f>
        <v/>
      </c>
      <c r="B188" s="50" t="str">
        <f aca="false">IFERROR(INDEX(业务流水!$B$5:$B$1504,MATCH(183,业务流水!$X$5:$X$1504,0)),"")</f>
        <v/>
      </c>
      <c r="C188" s="32" t="str">
        <f aca="false">IFERROR(INDEX(业务流水!$C$5:$C$1504,MATCH(183,业务流水!$X$5:$X$1504,0)),"")</f>
        <v/>
      </c>
      <c r="D188" s="40" t="str">
        <f aca="false">IFERROR(INDEX(业务流水!$M$5:$M$1504,MATCH(183,业务流水!$X$5:$X$1504,0)),"")</f>
        <v/>
      </c>
      <c r="E188" s="32" t="str">
        <f aca="false">IF($B188="","",IF(IFERROR(INDEX(业务流水!$D$5:$D$1504,MATCH(183,业务流水!$X$5:$X$1504,0)),"")="挂靠代收",IFERROR(INDEX(业务流水!$F$5:$F$1504,MATCH(183,业务流水!$X$5:$X$1504,0)),""),IFERROR(INDEX(业务流水!$E$5:$E$1504,MATCH(183,业务流水!$X$5:$X$1504,0)),"")))</f>
        <v/>
      </c>
      <c r="F188" s="32" t="str">
        <f aca="false">IFERROR(INDEX(业务流水!$D$5:$D$1504,MATCH(183,业务流水!$X$5:$X$1504,0)),"")</f>
        <v/>
      </c>
      <c r="G188" s="41" t="n">
        <f aca="false">IF($F188="挂靠代收",N(IFERROR(INDEX(业务流水!$H$5:$H$1504,MATCH(183,业务流水!$X$5:$X$1504,0)),"")),0)</f>
        <v>0</v>
      </c>
      <c r="H188" s="41" t="n">
        <f aca="false">IF($F188="我方收款",N(IFERROR(INDEX(业务流水!$H$5:$H$1504,MATCH(183,业务流水!$X$5:$X$1504,0)),"")),0)</f>
        <v>0</v>
      </c>
      <c r="I188" s="42" t="str">
        <f aca="false">IF($B188="","",SUMIFS($G$6:$G188,$E$6:$E188,$E188)-SUMIFS($H$6:$H188,$E$6:$E188,$E188))</f>
        <v/>
      </c>
      <c r="J188" s="40" t="str">
        <f aca="false">IFERROR(INDEX(业务流水!$J$5:$J$1504,MATCH(183,业务流水!$X$5:$X$1504,0)),"")</f>
        <v/>
      </c>
    </row>
    <row r="189" customFormat="false" ht="15.75" hidden="false" customHeight="true" outlineLevel="0" collapsed="false">
      <c r="A189" s="32" t="str">
        <f aca="false">IF($B189="","",184)</f>
        <v/>
      </c>
      <c r="B189" s="50" t="str">
        <f aca="false">IFERROR(INDEX(业务流水!$B$5:$B$1504,MATCH(184,业务流水!$X$5:$X$1504,0)),"")</f>
        <v/>
      </c>
      <c r="C189" s="32" t="str">
        <f aca="false">IFERROR(INDEX(业务流水!$C$5:$C$1504,MATCH(184,业务流水!$X$5:$X$1504,0)),"")</f>
        <v/>
      </c>
      <c r="D189" s="40" t="str">
        <f aca="false">IFERROR(INDEX(业务流水!$M$5:$M$1504,MATCH(184,业务流水!$X$5:$X$1504,0)),"")</f>
        <v/>
      </c>
      <c r="E189" s="32" t="str">
        <f aca="false">IF($B189="","",IF(IFERROR(INDEX(业务流水!$D$5:$D$1504,MATCH(184,业务流水!$X$5:$X$1504,0)),"")="挂靠代收",IFERROR(INDEX(业务流水!$F$5:$F$1504,MATCH(184,业务流水!$X$5:$X$1504,0)),""),IFERROR(INDEX(业务流水!$E$5:$E$1504,MATCH(184,业务流水!$X$5:$X$1504,0)),"")))</f>
        <v/>
      </c>
      <c r="F189" s="32" t="str">
        <f aca="false">IFERROR(INDEX(业务流水!$D$5:$D$1504,MATCH(184,业务流水!$X$5:$X$1504,0)),"")</f>
        <v/>
      </c>
      <c r="G189" s="41" t="n">
        <f aca="false">IF($F189="挂靠代收",N(IFERROR(INDEX(业务流水!$H$5:$H$1504,MATCH(184,业务流水!$X$5:$X$1504,0)),"")),0)</f>
        <v>0</v>
      </c>
      <c r="H189" s="41" t="n">
        <f aca="false">IF($F189="我方收款",N(IFERROR(INDEX(业务流水!$H$5:$H$1504,MATCH(184,业务流水!$X$5:$X$1504,0)),"")),0)</f>
        <v>0</v>
      </c>
      <c r="I189" s="42" t="str">
        <f aca="false">IF($B189="","",SUMIFS($G$6:$G189,$E$6:$E189,$E189)-SUMIFS($H$6:$H189,$E$6:$E189,$E189))</f>
        <v/>
      </c>
      <c r="J189" s="40" t="str">
        <f aca="false">IFERROR(INDEX(业务流水!$J$5:$J$1504,MATCH(184,业务流水!$X$5:$X$1504,0)),"")</f>
        <v/>
      </c>
    </row>
    <row r="190" customFormat="false" ht="15.75" hidden="false" customHeight="true" outlineLevel="0" collapsed="false">
      <c r="A190" s="32" t="str">
        <f aca="false">IF($B190="","",185)</f>
        <v/>
      </c>
      <c r="B190" s="50" t="str">
        <f aca="false">IFERROR(INDEX(业务流水!$B$5:$B$1504,MATCH(185,业务流水!$X$5:$X$1504,0)),"")</f>
        <v/>
      </c>
      <c r="C190" s="32" t="str">
        <f aca="false">IFERROR(INDEX(业务流水!$C$5:$C$1504,MATCH(185,业务流水!$X$5:$X$1504,0)),"")</f>
        <v/>
      </c>
      <c r="D190" s="40" t="str">
        <f aca="false">IFERROR(INDEX(业务流水!$M$5:$M$1504,MATCH(185,业务流水!$X$5:$X$1504,0)),"")</f>
        <v/>
      </c>
      <c r="E190" s="32" t="str">
        <f aca="false">IF($B190="","",IF(IFERROR(INDEX(业务流水!$D$5:$D$1504,MATCH(185,业务流水!$X$5:$X$1504,0)),"")="挂靠代收",IFERROR(INDEX(业务流水!$F$5:$F$1504,MATCH(185,业务流水!$X$5:$X$1504,0)),""),IFERROR(INDEX(业务流水!$E$5:$E$1504,MATCH(185,业务流水!$X$5:$X$1504,0)),"")))</f>
        <v/>
      </c>
      <c r="F190" s="32" t="str">
        <f aca="false">IFERROR(INDEX(业务流水!$D$5:$D$1504,MATCH(185,业务流水!$X$5:$X$1504,0)),"")</f>
        <v/>
      </c>
      <c r="G190" s="41" t="n">
        <f aca="false">IF($F190="挂靠代收",N(IFERROR(INDEX(业务流水!$H$5:$H$1504,MATCH(185,业务流水!$X$5:$X$1504,0)),"")),0)</f>
        <v>0</v>
      </c>
      <c r="H190" s="41" t="n">
        <f aca="false">IF($F190="我方收款",N(IFERROR(INDEX(业务流水!$H$5:$H$1504,MATCH(185,业务流水!$X$5:$X$1504,0)),"")),0)</f>
        <v>0</v>
      </c>
      <c r="I190" s="42" t="str">
        <f aca="false">IF($B190="","",SUMIFS($G$6:$G190,$E$6:$E190,$E190)-SUMIFS($H$6:$H190,$E$6:$E190,$E190))</f>
        <v/>
      </c>
      <c r="J190" s="40" t="str">
        <f aca="false">IFERROR(INDEX(业务流水!$J$5:$J$1504,MATCH(185,业务流水!$X$5:$X$1504,0)),"")</f>
        <v/>
      </c>
    </row>
    <row r="191" customFormat="false" ht="15.75" hidden="false" customHeight="true" outlineLevel="0" collapsed="false">
      <c r="A191" s="32" t="str">
        <f aca="false">IF($B191="","",186)</f>
        <v/>
      </c>
      <c r="B191" s="50" t="str">
        <f aca="false">IFERROR(INDEX(业务流水!$B$5:$B$1504,MATCH(186,业务流水!$X$5:$X$1504,0)),"")</f>
        <v/>
      </c>
      <c r="C191" s="32" t="str">
        <f aca="false">IFERROR(INDEX(业务流水!$C$5:$C$1504,MATCH(186,业务流水!$X$5:$X$1504,0)),"")</f>
        <v/>
      </c>
      <c r="D191" s="40" t="str">
        <f aca="false">IFERROR(INDEX(业务流水!$M$5:$M$1504,MATCH(186,业务流水!$X$5:$X$1504,0)),"")</f>
        <v/>
      </c>
      <c r="E191" s="32" t="str">
        <f aca="false">IF($B191="","",IF(IFERROR(INDEX(业务流水!$D$5:$D$1504,MATCH(186,业务流水!$X$5:$X$1504,0)),"")="挂靠代收",IFERROR(INDEX(业务流水!$F$5:$F$1504,MATCH(186,业务流水!$X$5:$X$1504,0)),""),IFERROR(INDEX(业务流水!$E$5:$E$1504,MATCH(186,业务流水!$X$5:$X$1504,0)),"")))</f>
        <v/>
      </c>
      <c r="F191" s="32" t="str">
        <f aca="false">IFERROR(INDEX(业务流水!$D$5:$D$1504,MATCH(186,业务流水!$X$5:$X$1504,0)),"")</f>
        <v/>
      </c>
      <c r="G191" s="41" t="n">
        <f aca="false">IF($F191="挂靠代收",N(IFERROR(INDEX(业务流水!$H$5:$H$1504,MATCH(186,业务流水!$X$5:$X$1504,0)),"")),0)</f>
        <v>0</v>
      </c>
      <c r="H191" s="41" t="n">
        <f aca="false">IF($F191="我方收款",N(IFERROR(INDEX(业务流水!$H$5:$H$1504,MATCH(186,业务流水!$X$5:$X$1504,0)),"")),0)</f>
        <v>0</v>
      </c>
      <c r="I191" s="42" t="str">
        <f aca="false">IF($B191="","",SUMIFS($G$6:$G191,$E$6:$E191,$E191)-SUMIFS($H$6:$H191,$E$6:$E191,$E191))</f>
        <v/>
      </c>
      <c r="J191" s="40" t="str">
        <f aca="false">IFERROR(INDEX(业务流水!$J$5:$J$1504,MATCH(186,业务流水!$X$5:$X$1504,0)),"")</f>
        <v/>
      </c>
    </row>
    <row r="192" customFormat="false" ht="15.75" hidden="false" customHeight="true" outlineLevel="0" collapsed="false">
      <c r="A192" s="32" t="str">
        <f aca="false">IF($B192="","",187)</f>
        <v/>
      </c>
      <c r="B192" s="50" t="str">
        <f aca="false">IFERROR(INDEX(业务流水!$B$5:$B$1504,MATCH(187,业务流水!$X$5:$X$1504,0)),"")</f>
        <v/>
      </c>
      <c r="C192" s="32" t="str">
        <f aca="false">IFERROR(INDEX(业务流水!$C$5:$C$1504,MATCH(187,业务流水!$X$5:$X$1504,0)),"")</f>
        <v/>
      </c>
      <c r="D192" s="40" t="str">
        <f aca="false">IFERROR(INDEX(业务流水!$M$5:$M$1504,MATCH(187,业务流水!$X$5:$X$1504,0)),"")</f>
        <v/>
      </c>
      <c r="E192" s="32" t="str">
        <f aca="false">IF($B192="","",IF(IFERROR(INDEX(业务流水!$D$5:$D$1504,MATCH(187,业务流水!$X$5:$X$1504,0)),"")="挂靠代收",IFERROR(INDEX(业务流水!$F$5:$F$1504,MATCH(187,业务流水!$X$5:$X$1504,0)),""),IFERROR(INDEX(业务流水!$E$5:$E$1504,MATCH(187,业务流水!$X$5:$X$1504,0)),"")))</f>
        <v/>
      </c>
      <c r="F192" s="32" t="str">
        <f aca="false">IFERROR(INDEX(业务流水!$D$5:$D$1504,MATCH(187,业务流水!$X$5:$X$1504,0)),"")</f>
        <v/>
      </c>
      <c r="G192" s="41" t="n">
        <f aca="false">IF($F192="挂靠代收",N(IFERROR(INDEX(业务流水!$H$5:$H$1504,MATCH(187,业务流水!$X$5:$X$1504,0)),"")),0)</f>
        <v>0</v>
      </c>
      <c r="H192" s="41" t="n">
        <f aca="false">IF($F192="我方收款",N(IFERROR(INDEX(业务流水!$H$5:$H$1504,MATCH(187,业务流水!$X$5:$X$1504,0)),"")),0)</f>
        <v>0</v>
      </c>
      <c r="I192" s="42" t="str">
        <f aca="false">IF($B192="","",SUMIFS($G$6:$G192,$E$6:$E192,$E192)-SUMIFS($H$6:$H192,$E$6:$E192,$E192))</f>
        <v/>
      </c>
      <c r="J192" s="40" t="str">
        <f aca="false">IFERROR(INDEX(业务流水!$J$5:$J$1504,MATCH(187,业务流水!$X$5:$X$1504,0)),"")</f>
        <v/>
      </c>
    </row>
    <row r="193" customFormat="false" ht="15.75" hidden="false" customHeight="true" outlineLevel="0" collapsed="false">
      <c r="A193" s="32" t="str">
        <f aca="false">IF($B193="","",188)</f>
        <v/>
      </c>
      <c r="B193" s="50" t="str">
        <f aca="false">IFERROR(INDEX(业务流水!$B$5:$B$1504,MATCH(188,业务流水!$X$5:$X$1504,0)),"")</f>
        <v/>
      </c>
      <c r="C193" s="32" t="str">
        <f aca="false">IFERROR(INDEX(业务流水!$C$5:$C$1504,MATCH(188,业务流水!$X$5:$X$1504,0)),"")</f>
        <v/>
      </c>
      <c r="D193" s="40" t="str">
        <f aca="false">IFERROR(INDEX(业务流水!$M$5:$M$1504,MATCH(188,业务流水!$X$5:$X$1504,0)),"")</f>
        <v/>
      </c>
      <c r="E193" s="32" t="str">
        <f aca="false">IF($B193="","",IF(IFERROR(INDEX(业务流水!$D$5:$D$1504,MATCH(188,业务流水!$X$5:$X$1504,0)),"")="挂靠代收",IFERROR(INDEX(业务流水!$F$5:$F$1504,MATCH(188,业务流水!$X$5:$X$1504,0)),""),IFERROR(INDEX(业务流水!$E$5:$E$1504,MATCH(188,业务流水!$X$5:$X$1504,0)),"")))</f>
        <v/>
      </c>
      <c r="F193" s="32" t="str">
        <f aca="false">IFERROR(INDEX(业务流水!$D$5:$D$1504,MATCH(188,业务流水!$X$5:$X$1504,0)),"")</f>
        <v/>
      </c>
      <c r="G193" s="41" t="n">
        <f aca="false">IF($F193="挂靠代收",N(IFERROR(INDEX(业务流水!$H$5:$H$1504,MATCH(188,业务流水!$X$5:$X$1504,0)),"")),0)</f>
        <v>0</v>
      </c>
      <c r="H193" s="41" t="n">
        <f aca="false">IF($F193="我方收款",N(IFERROR(INDEX(业务流水!$H$5:$H$1504,MATCH(188,业务流水!$X$5:$X$1504,0)),"")),0)</f>
        <v>0</v>
      </c>
      <c r="I193" s="42" t="str">
        <f aca="false">IF($B193="","",SUMIFS($G$6:$G193,$E$6:$E193,$E193)-SUMIFS($H$6:$H193,$E$6:$E193,$E193))</f>
        <v/>
      </c>
      <c r="J193" s="40" t="str">
        <f aca="false">IFERROR(INDEX(业务流水!$J$5:$J$1504,MATCH(188,业务流水!$X$5:$X$1504,0)),"")</f>
        <v/>
      </c>
    </row>
    <row r="194" customFormat="false" ht="15.75" hidden="false" customHeight="true" outlineLevel="0" collapsed="false">
      <c r="A194" s="32" t="str">
        <f aca="false">IF($B194="","",189)</f>
        <v/>
      </c>
      <c r="B194" s="50" t="str">
        <f aca="false">IFERROR(INDEX(业务流水!$B$5:$B$1504,MATCH(189,业务流水!$X$5:$X$1504,0)),"")</f>
        <v/>
      </c>
      <c r="C194" s="32" t="str">
        <f aca="false">IFERROR(INDEX(业务流水!$C$5:$C$1504,MATCH(189,业务流水!$X$5:$X$1504,0)),"")</f>
        <v/>
      </c>
      <c r="D194" s="40" t="str">
        <f aca="false">IFERROR(INDEX(业务流水!$M$5:$M$1504,MATCH(189,业务流水!$X$5:$X$1504,0)),"")</f>
        <v/>
      </c>
      <c r="E194" s="32" t="str">
        <f aca="false">IF($B194="","",IF(IFERROR(INDEX(业务流水!$D$5:$D$1504,MATCH(189,业务流水!$X$5:$X$1504,0)),"")="挂靠代收",IFERROR(INDEX(业务流水!$F$5:$F$1504,MATCH(189,业务流水!$X$5:$X$1504,0)),""),IFERROR(INDEX(业务流水!$E$5:$E$1504,MATCH(189,业务流水!$X$5:$X$1504,0)),"")))</f>
        <v/>
      </c>
      <c r="F194" s="32" t="str">
        <f aca="false">IFERROR(INDEX(业务流水!$D$5:$D$1504,MATCH(189,业务流水!$X$5:$X$1504,0)),"")</f>
        <v/>
      </c>
      <c r="G194" s="41" t="n">
        <f aca="false">IF($F194="挂靠代收",N(IFERROR(INDEX(业务流水!$H$5:$H$1504,MATCH(189,业务流水!$X$5:$X$1504,0)),"")),0)</f>
        <v>0</v>
      </c>
      <c r="H194" s="41" t="n">
        <f aca="false">IF($F194="我方收款",N(IFERROR(INDEX(业务流水!$H$5:$H$1504,MATCH(189,业务流水!$X$5:$X$1504,0)),"")),0)</f>
        <v>0</v>
      </c>
      <c r="I194" s="42" t="str">
        <f aca="false">IF($B194="","",SUMIFS($G$6:$G194,$E$6:$E194,$E194)-SUMIFS($H$6:$H194,$E$6:$E194,$E194))</f>
        <v/>
      </c>
      <c r="J194" s="40" t="str">
        <f aca="false">IFERROR(INDEX(业务流水!$J$5:$J$1504,MATCH(189,业务流水!$X$5:$X$1504,0)),"")</f>
        <v/>
      </c>
    </row>
    <row r="195" customFormat="false" ht="15.75" hidden="false" customHeight="true" outlineLevel="0" collapsed="false">
      <c r="A195" s="32" t="str">
        <f aca="false">IF($B195="","",190)</f>
        <v/>
      </c>
      <c r="B195" s="50" t="str">
        <f aca="false">IFERROR(INDEX(业务流水!$B$5:$B$1504,MATCH(190,业务流水!$X$5:$X$1504,0)),"")</f>
        <v/>
      </c>
      <c r="C195" s="32" t="str">
        <f aca="false">IFERROR(INDEX(业务流水!$C$5:$C$1504,MATCH(190,业务流水!$X$5:$X$1504,0)),"")</f>
        <v/>
      </c>
      <c r="D195" s="40" t="str">
        <f aca="false">IFERROR(INDEX(业务流水!$M$5:$M$1504,MATCH(190,业务流水!$X$5:$X$1504,0)),"")</f>
        <v/>
      </c>
      <c r="E195" s="32" t="str">
        <f aca="false">IF($B195="","",IF(IFERROR(INDEX(业务流水!$D$5:$D$1504,MATCH(190,业务流水!$X$5:$X$1504,0)),"")="挂靠代收",IFERROR(INDEX(业务流水!$F$5:$F$1504,MATCH(190,业务流水!$X$5:$X$1504,0)),""),IFERROR(INDEX(业务流水!$E$5:$E$1504,MATCH(190,业务流水!$X$5:$X$1504,0)),"")))</f>
        <v/>
      </c>
      <c r="F195" s="32" t="str">
        <f aca="false">IFERROR(INDEX(业务流水!$D$5:$D$1504,MATCH(190,业务流水!$X$5:$X$1504,0)),"")</f>
        <v/>
      </c>
      <c r="G195" s="41" t="n">
        <f aca="false">IF($F195="挂靠代收",N(IFERROR(INDEX(业务流水!$H$5:$H$1504,MATCH(190,业务流水!$X$5:$X$1504,0)),"")),0)</f>
        <v>0</v>
      </c>
      <c r="H195" s="41" t="n">
        <f aca="false">IF($F195="我方收款",N(IFERROR(INDEX(业务流水!$H$5:$H$1504,MATCH(190,业务流水!$X$5:$X$1504,0)),"")),0)</f>
        <v>0</v>
      </c>
      <c r="I195" s="42" t="str">
        <f aca="false">IF($B195="","",SUMIFS($G$6:$G195,$E$6:$E195,$E195)-SUMIFS($H$6:$H195,$E$6:$E195,$E195))</f>
        <v/>
      </c>
      <c r="J195" s="40" t="str">
        <f aca="false">IFERROR(INDEX(业务流水!$J$5:$J$1504,MATCH(190,业务流水!$X$5:$X$1504,0)),"")</f>
        <v/>
      </c>
    </row>
    <row r="196" customFormat="false" ht="15.75" hidden="false" customHeight="true" outlineLevel="0" collapsed="false">
      <c r="A196" s="32" t="str">
        <f aca="false">IF($B196="","",191)</f>
        <v/>
      </c>
      <c r="B196" s="50" t="str">
        <f aca="false">IFERROR(INDEX(业务流水!$B$5:$B$1504,MATCH(191,业务流水!$X$5:$X$1504,0)),"")</f>
        <v/>
      </c>
      <c r="C196" s="32" t="str">
        <f aca="false">IFERROR(INDEX(业务流水!$C$5:$C$1504,MATCH(191,业务流水!$X$5:$X$1504,0)),"")</f>
        <v/>
      </c>
      <c r="D196" s="40" t="str">
        <f aca="false">IFERROR(INDEX(业务流水!$M$5:$M$1504,MATCH(191,业务流水!$X$5:$X$1504,0)),"")</f>
        <v/>
      </c>
      <c r="E196" s="32" t="str">
        <f aca="false">IF($B196="","",IF(IFERROR(INDEX(业务流水!$D$5:$D$1504,MATCH(191,业务流水!$X$5:$X$1504,0)),"")="挂靠代收",IFERROR(INDEX(业务流水!$F$5:$F$1504,MATCH(191,业务流水!$X$5:$X$1504,0)),""),IFERROR(INDEX(业务流水!$E$5:$E$1504,MATCH(191,业务流水!$X$5:$X$1504,0)),"")))</f>
        <v/>
      </c>
      <c r="F196" s="32" t="str">
        <f aca="false">IFERROR(INDEX(业务流水!$D$5:$D$1504,MATCH(191,业务流水!$X$5:$X$1504,0)),"")</f>
        <v/>
      </c>
      <c r="G196" s="41" t="n">
        <f aca="false">IF($F196="挂靠代收",N(IFERROR(INDEX(业务流水!$H$5:$H$1504,MATCH(191,业务流水!$X$5:$X$1504,0)),"")),0)</f>
        <v>0</v>
      </c>
      <c r="H196" s="41" t="n">
        <f aca="false">IF($F196="我方收款",N(IFERROR(INDEX(业务流水!$H$5:$H$1504,MATCH(191,业务流水!$X$5:$X$1504,0)),"")),0)</f>
        <v>0</v>
      </c>
      <c r="I196" s="42" t="str">
        <f aca="false">IF($B196="","",SUMIFS($G$6:$G196,$E$6:$E196,$E196)-SUMIFS($H$6:$H196,$E$6:$E196,$E196))</f>
        <v/>
      </c>
      <c r="J196" s="40" t="str">
        <f aca="false">IFERROR(INDEX(业务流水!$J$5:$J$1504,MATCH(191,业务流水!$X$5:$X$1504,0)),"")</f>
        <v/>
      </c>
    </row>
    <row r="197" customFormat="false" ht="15.75" hidden="false" customHeight="true" outlineLevel="0" collapsed="false">
      <c r="A197" s="32" t="str">
        <f aca="false">IF($B197="","",192)</f>
        <v/>
      </c>
      <c r="B197" s="50" t="str">
        <f aca="false">IFERROR(INDEX(业务流水!$B$5:$B$1504,MATCH(192,业务流水!$X$5:$X$1504,0)),"")</f>
        <v/>
      </c>
      <c r="C197" s="32" t="str">
        <f aca="false">IFERROR(INDEX(业务流水!$C$5:$C$1504,MATCH(192,业务流水!$X$5:$X$1504,0)),"")</f>
        <v/>
      </c>
      <c r="D197" s="40" t="str">
        <f aca="false">IFERROR(INDEX(业务流水!$M$5:$M$1504,MATCH(192,业务流水!$X$5:$X$1504,0)),"")</f>
        <v/>
      </c>
      <c r="E197" s="32" t="str">
        <f aca="false">IF($B197="","",IF(IFERROR(INDEX(业务流水!$D$5:$D$1504,MATCH(192,业务流水!$X$5:$X$1504,0)),"")="挂靠代收",IFERROR(INDEX(业务流水!$F$5:$F$1504,MATCH(192,业务流水!$X$5:$X$1504,0)),""),IFERROR(INDEX(业务流水!$E$5:$E$1504,MATCH(192,业务流水!$X$5:$X$1504,0)),"")))</f>
        <v/>
      </c>
      <c r="F197" s="32" t="str">
        <f aca="false">IFERROR(INDEX(业务流水!$D$5:$D$1504,MATCH(192,业务流水!$X$5:$X$1504,0)),"")</f>
        <v/>
      </c>
      <c r="G197" s="41" t="n">
        <f aca="false">IF($F197="挂靠代收",N(IFERROR(INDEX(业务流水!$H$5:$H$1504,MATCH(192,业务流水!$X$5:$X$1504,0)),"")),0)</f>
        <v>0</v>
      </c>
      <c r="H197" s="41" t="n">
        <f aca="false">IF($F197="我方收款",N(IFERROR(INDEX(业务流水!$H$5:$H$1504,MATCH(192,业务流水!$X$5:$X$1504,0)),"")),0)</f>
        <v>0</v>
      </c>
      <c r="I197" s="42" t="str">
        <f aca="false">IF($B197="","",SUMIFS($G$6:$G197,$E$6:$E197,$E197)-SUMIFS($H$6:$H197,$E$6:$E197,$E197))</f>
        <v/>
      </c>
      <c r="J197" s="40" t="str">
        <f aca="false">IFERROR(INDEX(业务流水!$J$5:$J$1504,MATCH(192,业务流水!$X$5:$X$1504,0)),"")</f>
        <v/>
      </c>
    </row>
    <row r="198" customFormat="false" ht="15.75" hidden="false" customHeight="true" outlineLevel="0" collapsed="false">
      <c r="A198" s="32" t="str">
        <f aca="false">IF($B198="","",193)</f>
        <v/>
      </c>
      <c r="B198" s="50" t="str">
        <f aca="false">IFERROR(INDEX(业务流水!$B$5:$B$1504,MATCH(193,业务流水!$X$5:$X$1504,0)),"")</f>
        <v/>
      </c>
      <c r="C198" s="32" t="str">
        <f aca="false">IFERROR(INDEX(业务流水!$C$5:$C$1504,MATCH(193,业务流水!$X$5:$X$1504,0)),"")</f>
        <v/>
      </c>
      <c r="D198" s="40" t="str">
        <f aca="false">IFERROR(INDEX(业务流水!$M$5:$M$1504,MATCH(193,业务流水!$X$5:$X$1504,0)),"")</f>
        <v/>
      </c>
      <c r="E198" s="32" t="str">
        <f aca="false">IF($B198="","",IF(IFERROR(INDEX(业务流水!$D$5:$D$1504,MATCH(193,业务流水!$X$5:$X$1504,0)),"")="挂靠代收",IFERROR(INDEX(业务流水!$F$5:$F$1504,MATCH(193,业务流水!$X$5:$X$1504,0)),""),IFERROR(INDEX(业务流水!$E$5:$E$1504,MATCH(193,业务流水!$X$5:$X$1504,0)),"")))</f>
        <v/>
      </c>
      <c r="F198" s="32" t="str">
        <f aca="false">IFERROR(INDEX(业务流水!$D$5:$D$1504,MATCH(193,业务流水!$X$5:$X$1504,0)),"")</f>
        <v/>
      </c>
      <c r="G198" s="41" t="n">
        <f aca="false">IF($F198="挂靠代收",N(IFERROR(INDEX(业务流水!$H$5:$H$1504,MATCH(193,业务流水!$X$5:$X$1504,0)),"")),0)</f>
        <v>0</v>
      </c>
      <c r="H198" s="41" t="n">
        <f aca="false">IF($F198="我方收款",N(IFERROR(INDEX(业务流水!$H$5:$H$1504,MATCH(193,业务流水!$X$5:$X$1504,0)),"")),0)</f>
        <v>0</v>
      </c>
      <c r="I198" s="42" t="str">
        <f aca="false">IF($B198="","",SUMIFS($G$6:$G198,$E$6:$E198,$E198)-SUMIFS($H$6:$H198,$E$6:$E198,$E198))</f>
        <v/>
      </c>
      <c r="J198" s="40" t="str">
        <f aca="false">IFERROR(INDEX(业务流水!$J$5:$J$1504,MATCH(193,业务流水!$X$5:$X$1504,0)),"")</f>
        <v/>
      </c>
    </row>
    <row r="199" customFormat="false" ht="15.75" hidden="false" customHeight="true" outlineLevel="0" collapsed="false">
      <c r="A199" s="32" t="str">
        <f aca="false">IF($B199="","",194)</f>
        <v/>
      </c>
      <c r="B199" s="50" t="str">
        <f aca="false">IFERROR(INDEX(业务流水!$B$5:$B$1504,MATCH(194,业务流水!$X$5:$X$1504,0)),"")</f>
        <v/>
      </c>
      <c r="C199" s="32" t="str">
        <f aca="false">IFERROR(INDEX(业务流水!$C$5:$C$1504,MATCH(194,业务流水!$X$5:$X$1504,0)),"")</f>
        <v/>
      </c>
      <c r="D199" s="40" t="str">
        <f aca="false">IFERROR(INDEX(业务流水!$M$5:$M$1504,MATCH(194,业务流水!$X$5:$X$1504,0)),"")</f>
        <v/>
      </c>
      <c r="E199" s="32" t="str">
        <f aca="false">IF($B199="","",IF(IFERROR(INDEX(业务流水!$D$5:$D$1504,MATCH(194,业务流水!$X$5:$X$1504,0)),"")="挂靠代收",IFERROR(INDEX(业务流水!$F$5:$F$1504,MATCH(194,业务流水!$X$5:$X$1504,0)),""),IFERROR(INDEX(业务流水!$E$5:$E$1504,MATCH(194,业务流水!$X$5:$X$1504,0)),"")))</f>
        <v/>
      </c>
      <c r="F199" s="32" t="str">
        <f aca="false">IFERROR(INDEX(业务流水!$D$5:$D$1504,MATCH(194,业务流水!$X$5:$X$1504,0)),"")</f>
        <v/>
      </c>
      <c r="G199" s="41" t="n">
        <f aca="false">IF($F199="挂靠代收",N(IFERROR(INDEX(业务流水!$H$5:$H$1504,MATCH(194,业务流水!$X$5:$X$1504,0)),"")),0)</f>
        <v>0</v>
      </c>
      <c r="H199" s="41" t="n">
        <f aca="false">IF($F199="我方收款",N(IFERROR(INDEX(业务流水!$H$5:$H$1504,MATCH(194,业务流水!$X$5:$X$1504,0)),"")),0)</f>
        <v>0</v>
      </c>
      <c r="I199" s="42" t="str">
        <f aca="false">IF($B199="","",SUMIFS($G$6:$G199,$E$6:$E199,$E199)-SUMIFS($H$6:$H199,$E$6:$E199,$E199))</f>
        <v/>
      </c>
      <c r="J199" s="40" t="str">
        <f aca="false">IFERROR(INDEX(业务流水!$J$5:$J$1504,MATCH(194,业务流水!$X$5:$X$1504,0)),"")</f>
        <v/>
      </c>
    </row>
    <row r="200" customFormat="false" ht="15.75" hidden="false" customHeight="true" outlineLevel="0" collapsed="false">
      <c r="A200" s="32" t="str">
        <f aca="false">IF($B200="","",195)</f>
        <v/>
      </c>
      <c r="B200" s="50" t="str">
        <f aca="false">IFERROR(INDEX(业务流水!$B$5:$B$1504,MATCH(195,业务流水!$X$5:$X$1504,0)),"")</f>
        <v/>
      </c>
      <c r="C200" s="32" t="str">
        <f aca="false">IFERROR(INDEX(业务流水!$C$5:$C$1504,MATCH(195,业务流水!$X$5:$X$1504,0)),"")</f>
        <v/>
      </c>
      <c r="D200" s="40" t="str">
        <f aca="false">IFERROR(INDEX(业务流水!$M$5:$M$1504,MATCH(195,业务流水!$X$5:$X$1504,0)),"")</f>
        <v/>
      </c>
      <c r="E200" s="32" t="str">
        <f aca="false">IF($B200="","",IF(IFERROR(INDEX(业务流水!$D$5:$D$1504,MATCH(195,业务流水!$X$5:$X$1504,0)),"")="挂靠代收",IFERROR(INDEX(业务流水!$F$5:$F$1504,MATCH(195,业务流水!$X$5:$X$1504,0)),""),IFERROR(INDEX(业务流水!$E$5:$E$1504,MATCH(195,业务流水!$X$5:$X$1504,0)),"")))</f>
        <v/>
      </c>
      <c r="F200" s="32" t="str">
        <f aca="false">IFERROR(INDEX(业务流水!$D$5:$D$1504,MATCH(195,业务流水!$X$5:$X$1504,0)),"")</f>
        <v/>
      </c>
      <c r="G200" s="41" t="n">
        <f aca="false">IF($F200="挂靠代收",N(IFERROR(INDEX(业务流水!$H$5:$H$1504,MATCH(195,业务流水!$X$5:$X$1504,0)),"")),0)</f>
        <v>0</v>
      </c>
      <c r="H200" s="41" t="n">
        <f aca="false">IF($F200="我方收款",N(IFERROR(INDEX(业务流水!$H$5:$H$1504,MATCH(195,业务流水!$X$5:$X$1504,0)),"")),0)</f>
        <v>0</v>
      </c>
      <c r="I200" s="42" t="str">
        <f aca="false">IF($B200="","",SUMIFS($G$6:$G200,$E$6:$E200,$E200)-SUMIFS($H$6:$H200,$E$6:$E200,$E200))</f>
        <v/>
      </c>
      <c r="J200" s="40" t="str">
        <f aca="false">IFERROR(INDEX(业务流水!$J$5:$J$1504,MATCH(195,业务流水!$X$5:$X$1504,0)),"")</f>
        <v/>
      </c>
    </row>
    <row r="201" customFormat="false" ht="15.75" hidden="false" customHeight="true" outlineLevel="0" collapsed="false">
      <c r="A201" s="32" t="str">
        <f aca="false">IF($B201="","",196)</f>
        <v/>
      </c>
      <c r="B201" s="50" t="str">
        <f aca="false">IFERROR(INDEX(业务流水!$B$5:$B$1504,MATCH(196,业务流水!$X$5:$X$1504,0)),"")</f>
        <v/>
      </c>
      <c r="C201" s="32" t="str">
        <f aca="false">IFERROR(INDEX(业务流水!$C$5:$C$1504,MATCH(196,业务流水!$X$5:$X$1504,0)),"")</f>
        <v/>
      </c>
      <c r="D201" s="40" t="str">
        <f aca="false">IFERROR(INDEX(业务流水!$M$5:$M$1504,MATCH(196,业务流水!$X$5:$X$1504,0)),"")</f>
        <v/>
      </c>
      <c r="E201" s="32" t="str">
        <f aca="false">IF($B201="","",IF(IFERROR(INDEX(业务流水!$D$5:$D$1504,MATCH(196,业务流水!$X$5:$X$1504,0)),"")="挂靠代收",IFERROR(INDEX(业务流水!$F$5:$F$1504,MATCH(196,业务流水!$X$5:$X$1504,0)),""),IFERROR(INDEX(业务流水!$E$5:$E$1504,MATCH(196,业务流水!$X$5:$X$1504,0)),"")))</f>
        <v/>
      </c>
      <c r="F201" s="32" t="str">
        <f aca="false">IFERROR(INDEX(业务流水!$D$5:$D$1504,MATCH(196,业务流水!$X$5:$X$1504,0)),"")</f>
        <v/>
      </c>
      <c r="G201" s="41" t="n">
        <f aca="false">IF($F201="挂靠代收",N(IFERROR(INDEX(业务流水!$H$5:$H$1504,MATCH(196,业务流水!$X$5:$X$1504,0)),"")),0)</f>
        <v>0</v>
      </c>
      <c r="H201" s="41" t="n">
        <f aca="false">IF($F201="我方收款",N(IFERROR(INDEX(业务流水!$H$5:$H$1504,MATCH(196,业务流水!$X$5:$X$1504,0)),"")),0)</f>
        <v>0</v>
      </c>
      <c r="I201" s="42" t="str">
        <f aca="false">IF($B201="","",SUMIFS($G$6:$G201,$E$6:$E201,$E201)-SUMIFS($H$6:$H201,$E$6:$E201,$E201))</f>
        <v/>
      </c>
      <c r="J201" s="40" t="str">
        <f aca="false">IFERROR(INDEX(业务流水!$J$5:$J$1504,MATCH(196,业务流水!$X$5:$X$1504,0)),"")</f>
        <v/>
      </c>
    </row>
    <row r="202" customFormat="false" ht="15.75" hidden="false" customHeight="true" outlineLevel="0" collapsed="false">
      <c r="A202" s="32" t="str">
        <f aca="false">IF($B202="","",197)</f>
        <v/>
      </c>
      <c r="B202" s="50" t="str">
        <f aca="false">IFERROR(INDEX(业务流水!$B$5:$B$1504,MATCH(197,业务流水!$X$5:$X$1504,0)),"")</f>
        <v/>
      </c>
      <c r="C202" s="32" t="str">
        <f aca="false">IFERROR(INDEX(业务流水!$C$5:$C$1504,MATCH(197,业务流水!$X$5:$X$1504,0)),"")</f>
        <v/>
      </c>
      <c r="D202" s="40" t="str">
        <f aca="false">IFERROR(INDEX(业务流水!$M$5:$M$1504,MATCH(197,业务流水!$X$5:$X$1504,0)),"")</f>
        <v/>
      </c>
      <c r="E202" s="32" t="str">
        <f aca="false">IF($B202="","",IF(IFERROR(INDEX(业务流水!$D$5:$D$1504,MATCH(197,业务流水!$X$5:$X$1504,0)),"")="挂靠代收",IFERROR(INDEX(业务流水!$F$5:$F$1504,MATCH(197,业务流水!$X$5:$X$1504,0)),""),IFERROR(INDEX(业务流水!$E$5:$E$1504,MATCH(197,业务流水!$X$5:$X$1504,0)),"")))</f>
        <v/>
      </c>
      <c r="F202" s="32" t="str">
        <f aca="false">IFERROR(INDEX(业务流水!$D$5:$D$1504,MATCH(197,业务流水!$X$5:$X$1504,0)),"")</f>
        <v/>
      </c>
      <c r="G202" s="41" t="n">
        <f aca="false">IF($F202="挂靠代收",N(IFERROR(INDEX(业务流水!$H$5:$H$1504,MATCH(197,业务流水!$X$5:$X$1504,0)),"")),0)</f>
        <v>0</v>
      </c>
      <c r="H202" s="41" t="n">
        <f aca="false">IF($F202="我方收款",N(IFERROR(INDEX(业务流水!$H$5:$H$1504,MATCH(197,业务流水!$X$5:$X$1504,0)),"")),0)</f>
        <v>0</v>
      </c>
      <c r="I202" s="42" t="str">
        <f aca="false">IF($B202="","",SUMIFS($G$6:$G202,$E$6:$E202,$E202)-SUMIFS($H$6:$H202,$E$6:$E202,$E202))</f>
        <v/>
      </c>
      <c r="J202" s="40" t="str">
        <f aca="false">IFERROR(INDEX(业务流水!$J$5:$J$1504,MATCH(197,业务流水!$X$5:$X$1504,0)),"")</f>
        <v/>
      </c>
    </row>
    <row r="203" customFormat="false" ht="15.75" hidden="false" customHeight="true" outlineLevel="0" collapsed="false">
      <c r="A203" s="32" t="str">
        <f aca="false">IF($B203="","",198)</f>
        <v/>
      </c>
      <c r="B203" s="50" t="str">
        <f aca="false">IFERROR(INDEX(业务流水!$B$5:$B$1504,MATCH(198,业务流水!$X$5:$X$1504,0)),"")</f>
        <v/>
      </c>
      <c r="C203" s="32" t="str">
        <f aca="false">IFERROR(INDEX(业务流水!$C$5:$C$1504,MATCH(198,业务流水!$X$5:$X$1504,0)),"")</f>
        <v/>
      </c>
      <c r="D203" s="40" t="str">
        <f aca="false">IFERROR(INDEX(业务流水!$M$5:$M$1504,MATCH(198,业务流水!$X$5:$X$1504,0)),"")</f>
        <v/>
      </c>
      <c r="E203" s="32" t="str">
        <f aca="false">IF($B203="","",IF(IFERROR(INDEX(业务流水!$D$5:$D$1504,MATCH(198,业务流水!$X$5:$X$1504,0)),"")="挂靠代收",IFERROR(INDEX(业务流水!$F$5:$F$1504,MATCH(198,业务流水!$X$5:$X$1504,0)),""),IFERROR(INDEX(业务流水!$E$5:$E$1504,MATCH(198,业务流水!$X$5:$X$1504,0)),"")))</f>
        <v/>
      </c>
      <c r="F203" s="32" t="str">
        <f aca="false">IFERROR(INDEX(业务流水!$D$5:$D$1504,MATCH(198,业务流水!$X$5:$X$1504,0)),"")</f>
        <v/>
      </c>
      <c r="G203" s="41" t="n">
        <f aca="false">IF($F203="挂靠代收",N(IFERROR(INDEX(业务流水!$H$5:$H$1504,MATCH(198,业务流水!$X$5:$X$1504,0)),"")),0)</f>
        <v>0</v>
      </c>
      <c r="H203" s="41" t="n">
        <f aca="false">IF($F203="我方收款",N(IFERROR(INDEX(业务流水!$H$5:$H$1504,MATCH(198,业务流水!$X$5:$X$1504,0)),"")),0)</f>
        <v>0</v>
      </c>
      <c r="I203" s="42" t="str">
        <f aca="false">IF($B203="","",SUMIFS($G$6:$G203,$E$6:$E203,$E203)-SUMIFS($H$6:$H203,$E$6:$E203,$E203))</f>
        <v/>
      </c>
      <c r="J203" s="40" t="str">
        <f aca="false">IFERROR(INDEX(业务流水!$J$5:$J$1504,MATCH(198,业务流水!$X$5:$X$1504,0)),"")</f>
        <v/>
      </c>
    </row>
    <row r="204" customFormat="false" ht="15.75" hidden="false" customHeight="true" outlineLevel="0" collapsed="false">
      <c r="A204" s="32" t="str">
        <f aca="false">IF($B204="","",199)</f>
        <v/>
      </c>
      <c r="B204" s="50" t="str">
        <f aca="false">IFERROR(INDEX(业务流水!$B$5:$B$1504,MATCH(199,业务流水!$X$5:$X$1504,0)),"")</f>
        <v/>
      </c>
      <c r="C204" s="32" t="str">
        <f aca="false">IFERROR(INDEX(业务流水!$C$5:$C$1504,MATCH(199,业务流水!$X$5:$X$1504,0)),"")</f>
        <v/>
      </c>
      <c r="D204" s="40" t="str">
        <f aca="false">IFERROR(INDEX(业务流水!$M$5:$M$1504,MATCH(199,业务流水!$X$5:$X$1504,0)),"")</f>
        <v/>
      </c>
      <c r="E204" s="32" t="str">
        <f aca="false">IF($B204="","",IF(IFERROR(INDEX(业务流水!$D$5:$D$1504,MATCH(199,业务流水!$X$5:$X$1504,0)),"")="挂靠代收",IFERROR(INDEX(业务流水!$F$5:$F$1504,MATCH(199,业务流水!$X$5:$X$1504,0)),""),IFERROR(INDEX(业务流水!$E$5:$E$1504,MATCH(199,业务流水!$X$5:$X$1504,0)),"")))</f>
        <v/>
      </c>
      <c r="F204" s="32" t="str">
        <f aca="false">IFERROR(INDEX(业务流水!$D$5:$D$1504,MATCH(199,业务流水!$X$5:$X$1504,0)),"")</f>
        <v/>
      </c>
      <c r="G204" s="41" t="n">
        <f aca="false">IF($F204="挂靠代收",N(IFERROR(INDEX(业务流水!$H$5:$H$1504,MATCH(199,业务流水!$X$5:$X$1504,0)),"")),0)</f>
        <v>0</v>
      </c>
      <c r="H204" s="41" t="n">
        <f aca="false">IF($F204="我方收款",N(IFERROR(INDEX(业务流水!$H$5:$H$1504,MATCH(199,业务流水!$X$5:$X$1504,0)),"")),0)</f>
        <v>0</v>
      </c>
      <c r="I204" s="42" t="str">
        <f aca="false">IF($B204="","",SUMIFS($G$6:$G204,$E$6:$E204,$E204)-SUMIFS($H$6:$H204,$E$6:$E204,$E204))</f>
        <v/>
      </c>
      <c r="J204" s="40" t="str">
        <f aca="false">IFERROR(INDEX(业务流水!$J$5:$J$1504,MATCH(199,业务流水!$X$5:$X$1504,0)),"")</f>
        <v/>
      </c>
    </row>
    <row r="205" customFormat="false" ht="15.75" hidden="false" customHeight="true" outlineLevel="0" collapsed="false">
      <c r="A205" s="32" t="str">
        <f aca="false">IF($B205="","",200)</f>
        <v/>
      </c>
      <c r="B205" s="50" t="str">
        <f aca="false">IFERROR(INDEX(业务流水!$B$5:$B$1504,MATCH(200,业务流水!$X$5:$X$1504,0)),"")</f>
        <v/>
      </c>
      <c r="C205" s="32" t="str">
        <f aca="false">IFERROR(INDEX(业务流水!$C$5:$C$1504,MATCH(200,业务流水!$X$5:$X$1504,0)),"")</f>
        <v/>
      </c>
      <c r="D205" s="40" t="str">
        <f aca="false">IFERROR(INDEX(业务流水!$M$5:$M$1504,MATCH(200,业务流水!$X$5:$X$1504,0)),"")</f>
        <v/>
      </c>
      <c r="E205" s="32" t="str">
        <f aca="false">IF($B205="","",IF(IFERROR(INDEX(业务流水!$D$5:$D$1504,MATCH(200,业务流水!$X$5:$X$1504,0)),"")="挂靠代收",IFERROR(INDEX(业务流水!$F$5:$F$1504,MATCH(200,业务流水!$X$5:$X$1504,0)),""),IFERROR(INDEX(业务流水!$E$5:$E$1504,MATCH(200,业务流水!$X$5:$X$1504,0)),"")))</f>
        <v/>
      </c>
      <c r="F205" s="32" t="str">
        <f aca="false">IFERROR(INDEX(业务流水!$D$5:$D$1504,MATCH(200,业务流水!$X$5:$X$1504,0)),"")</f>
        <v/>
      </c>
      <c r="G205" s="41" t="n">
        <f aca="false">IF($F205="挂靠代收",N(IFERROR(INDEX(业务流水!$H$5:$H$1504,MATCH(200,业务流水!$X$5:$X$1504,0)),"")),0)</f>
        <v>0</v>
      </c>
      <c r="H205" s="41" t="n">
        <f aca="false">IF($F205="我方收款",N(IFERROR(INDEX(业务流水!$H$5:$H$1504,MATCH(200,业务流水!$X$5:$X$1504,0)),"")),0)</f>
        <v>0</v>
      </c>
      <c r="I205" s="42" t="str">
        <f aca="false">IF($B205="","",SUMIFS($G$6:$G205,$E$6:$E205,$E205)-SUMIFS($H$6:$H205,$E$6:$E205,$E205))</f>
        <v/>
      </c>
      <c r="J205" s="40" t="str">
        <f aca="false">IFERROR(INDEX(业务流水!$J$5:$J$1504,MATCH(200,业务流水!$X$5:$X$1504,0)),"")</f>
        <v/>
      </c>
    </row>
    <row r="206" customFormat="false" ht="15.75" hidden="false" customHeight="true" outlineLevel="0" collapsed="false">
      <c r="A206" s="32" t="str">
        <f aca="false">IF($B206="","",201)</f>
        <v/>
      </c>
      <c r="B206" s="50" t="str">
        <f aca="false">IFERROR(INDEX(业务流水!$B$5:$B$1504,MATCH(201,业务流水!$X$5:$X$1504,0)),"")</f>
        <v/>
      </c>
      <c r="C206" s="32" t="str">
        <f aca="false">IFERROR(INDEX(业务流水!$C$5:$C$1504,MATCH(201,业务流水!$X$5:$X$1504,0)),"")</f>
        <v/>
      </c>
      <c r="D206" s="40" t="str">
        <f aca="false">IFERROR(INDEX(业务流水!$M$5:$M$1504,MATCH(201,业务流水!$X$5:$X$1504,0)),"")</f>
        <v/>
      </c>
      <c r="E206" s="32" t="str">
        <f aca="false">IF($B206="","",IF(IFERROR(INDEX(业务流水!$D$5:$D$1504,MATCH(201,业务流水!$X$5:$X$1504,0)),"")="挂靠代收",IFERROR(INDEX(业务流水!$F$5:$F$1504,MATCH(201,业务流水!$X$5:$X$1504,0)),""),IFERROR(INDEX(业务流水!$E$5:$E$1504,MATCH(201,业务流水!$X$5:$X$1504,0)),"")))</f>
        <v/>
      </c>
      <c r="F206" s="32" t="str">
        <f aca="false">IFERROR(INDEX(业务流水!$D$5:$D$1504,MATCH(201,业务流水!$X$5:$X$1504,0)),"")</f>
        <v/>
      </c>
      <c r="G206" s="41" t="n">
        <f aca="false">IF($F206="挂靠代收",N(IFERROR(INDEX(业务流水!$H$5:$H$1504,MATCH(201,业务流水!$X$5:$X$1504,0)),"")),0)</f>
        <v>0</v>
      </c>
      <c r="H206" s="41" t="n">
        <f aca="false">IF($F206="我方收款",N(IFERROR(INDEX(业务流水!$H$5:$H$1504,MATCH(201,业务流水!$X$5:$X$1504,0)),"")),0)</f>
        <v>0</v>
      </c>
      <c r="I206" s="42" t="str">
        <f aca="false">IF($B206="","",SUMIFS($G$6:$G206,$E$6:$E206,$E206)-SUMIFS($H$6:$H206,$E$6:$E206,$E206))</f>
        <v/>
      </c>
      <c r="J206" s="40" t="str">
        <f aca="false">IFERROR(INDEX(业务流水!$J$5:$J$1504,MATCH(201,业务流水!$X$5:$X$1504,0)),"")</f>
        <v/>
      </c>
    </row>
    <row r="207" customFormat="false" ht="15.75" hidden="false" customHeight="true" outlineLevel="0" collapsed="false">
      <c r="A207" s="32" t="str">
        <f aca="false">IF($B207="","",202)</f>
        <v/>
      </c>
      <c r="B207" s="50" t="str">
        <f aca="false">IFERROR(INDEX(业务流水!$B$5:$B$1504,MATCH(202,业务流水!$X$5:$X$1504,0)),"")</f>
        <v/>
      </c>
      <c r="C207" s="32" t="str">
        <f aca="false">IFERROR(INDEX(业务流水!$C$5:$C$1504,MATCH(202,业务流水!$X$5:$X$1504,0)),"")</f>
        <v/>
      </c>
      <c r="D207" s="40" t="str">
        <f aca="false">IFERROR(INDEX(业务流水!$M$5:$M$1504,MATCH(202,业务流水!$X$5:$X$1504,0)),"")</f>
        <v/>
      </c>
      <c r="E207" s="32" t="str">
        <f aca="false">IF($B207="","",IF(IFERROR(INDEX(业务流水!$D$5:$D$1504,MATCH(202,业务流水!$X$5:$X$1504,0)),"")="挂靠代收",IFERROR(INDEX(业务流水!$F$5:$F$1504,MATCH(202,业务流水!$X$5:$X$1504,0)),""),IFERROR(INDEX(业务流水!$E$5:$E$1504,MATCH(202,业务流水!$X$5:$X$1504,0)),"")))</f>
        <v/>
      </c>
      <c r="F207" s="32" t="str">
        <f aca="false">IFERROR(INDEX(业务流水!$D$5:$D$1504,MATCH(202,业务流水!$X$5:$X$1504,0)),"")</f>
        <v/>
      </c>
      <c r="G207" s="41" t="n">
        <f aca="false">IF($F207="挂靠代收",N(IFERROR(INDEX(业务流水!$H$5:$H$1504,MATCH(202,业务流水!$X$5:$X$1504,0)),"")),0)</f>
        <v>0</v>
      </c>
      <c r="H207" s="41" t="n">
        <f aca="false">IF($F207="我方收款",N(IFERROR(INDEX(业务流水!$H$5:$H$1504,MATCH(202,业务流水!$X$5:$X$1504,0)),"")),0)</f>
        <v>0</v>
      </c>
      <c r="I207" s="42" t="str">
        <f aca="false">IF($B207="","",SUMIFS($G$6:$G207,$E$6:$E207,$E207)-SUMIFS($H$6:$H207,$E$6:$E207,$E207))</f>
        <v/>
      </c>
      <c r="J207" s="40" t="str">
        <f aca="false">IFERROR(INDEX(业务流水!$J$5:$J$1504,MATCH(202,业务流水!$X$5:$X$1504,0)),"")</f>
        <v/>
      </c>
    </row>
    <row r="208" customFormat="false" ht="15.75" hidden="false" customHeight="true" outlineLevel="0" collapsed="false">
      <c r="A208" s="32" t="str">
        <f aca="false">IF($B208="","",203)</f>
        <v/>
      </c>
      <c r="B208" s="50" t="str">
        <f aca="false">IFERROR(INDEX(业务流水!$B$5:$B$1504,MATCH(203,业务流水!$X$5:$X$1504,0)),"")</f>
        <v/>
      </c>
      <c r="C208" s="32" t="str">
        <f aca="false">IFERROR(INDEX(业务流水!$C$5:$C$1504,MATCH(203,业务流水!$X$5:$X$1504,0)),"")</f>
        <v/>
      </c>
      <c r="D208" s="40" t="str">
        <f aca="false">IFERROR(INDEX(业务流水!$M$5:$M$1504,MATCH(203,业务流水!$X$5:$X$1504,0)),"")</f>
        <v/>
      </c>
      <c r="E208" s="32" t="str">
        <f aca="false">IF($B208="","",IF(IFERROR(INDEX(业务流水!$D$5:$D$1504,MATCH(203,业务流水!$X$5:$X$1504,0)),"")="挂靠代收",IFERROR(INDEX(业务流水!$F$5:$F$1504,MATCH(203,业务流水!$X$5:$X$1504,0)),""),IFERROR(INDEX(业务流水!$E$5:$E$1504,MATCH(203,业务流水!$X$5:$X$1504,0)),"")))</f>
        <v/>
      </c>
      <c r="F208" s="32" t="str">
        <f aca="false">IFERROR(INDEX(业务流水!$D$5:$D$1504,MATCH(203,业务流水!$X$5:$X$1504,0)),"")</f>
        <v/>
      </c>
      <c r="G208" s="41" t="n">
        <f aca="false">IF($F208="挂靠代收",N(IFERROR(INDEX(业务流水!$H$5:$H$1504,MATCH(203,业务流水!$X$5:$X$1504,0)),"")),0)</f>
        <v>0</v>
      </c>
      <c r="H208" s="41" t="n">
        <f aca="false">IF($F208="我方收款",N(IFERROR(INDEX(业务流水!$H$5:$H$1504,MATCH(203,业务流水!$X$5:$X$1504,0)),"")),0)</f>
        <v>0</v>
      </c>
      <c r="I208" s="42" t="str">
        <f aca="false">IF($B208="","",SUMIFS($G$6:$G208,$E$6:$E208,$E208)-SUMIFS($H$6:$H208,$E$6:$E208,$E208))</f>
        <v/>
      </c>
      <c r="J208" s="40" t="str">
        <f aca="false">IFERROR(INDEX(业务流水!$J$5:$J$1504,MATCH(203,业务流水!$X$5:$X$1504,0)),"")</f>
        <v/>
      </c>
    </row>
    <row r="209" customFormat="false" ht="15.75" hidden="false" customHeight="true" outlineLevel="0" collapsed="false">
      <c r="A209" s="32" t="str">
        <f aca="false">IF($B209="","",204)</f>
        <v/>
      </c>
      <c r="B209" s="50" t="str">
        <f aca="false">IFERROR(INDEX(业务流水!$B$5:$B$1504,MATCH(204,业务流水!$X$5:$X$1504,0)),"")</f>
        <v/>
      </c>
      <c r="C209" s="32" t="str">
        <f aca="false">IFERROR(INDEX(业务流水!$C$5:$C$1504,MATCH(204,业务流水!$X$5:$X$1504,0)),"")</f>
        <v/>
      </c>
      <c r="D209" s="40" t="str">
        <f aca="false">IFERROR(INDEX(业务流水!$M$5:$M$1504,MATCH(204,业务流水!$X$5:$X$1504,0)),"")</f>
        <v/>
      </c>
      <c r="E209" s="32" t="str">
        <f aca="false">IF($B209="","",IF(IFERROR(INDEX(业务流水!$D$5:$D$1504,MATCH(204,业务流水!$X$5:$X$1504,0)),"")="挂靠代收",IFERROR(INDEX(业务流水!$F$5:$F$1504,MATCH(204,业务流水!$X$5:$X$1504,0)),""),IFERROR(INDEX(业务流水!$E$5:$E$1504,MATCH(204,业务流水!$X$5:$X$1504,0)),"")))</f>
        <v/>
      </c>
      <c r="F209" s="32" t="str">
        <f aca="false">IFERROR(INDEX(业务流水!$D$5:$D$1504,MATCH(204,业务流水!$X$5:$X$1504,0)),"")</f>
        <v/>
      </c>
      <c r="G209" s="41" t="n">
        <f aca="false">IF($F209="挂靠代收",N(IFERROR(INDEX(业务流水!$H$5:$H$1504,MATCH(204,业务流水!$X$5:$X$1504,0)),"")),0)</f>
        <v>0</v>
      </c>
      <c r="H209" s="41" t="n">
        <f aca="false">IF($F209="我方收款",N(IFERROR(INDEX(业务流水!$H$5:$H$1504,MATCH(204,业务流水!$X$5:$X$1504,0)),"")),0)</f>
        <v>0</v>
      </c>
      <c r="I209" s="42" t="str">
        <f aca="false">IF($B209="","",SUMIFS($G$6:$G209,$E$6:$E209,$E209)-SUMIFS($H$6:$H209,$E$6:$E209,$E209))</f>
        <v/>
      </c>
      <c r="J209" s="40" t="str">
        <f aca="false">IFERROR(INDEX(业务流水!$J$5:$J$1504,MATCH(204,业务流水!$X$5:$X$1504,0)),"")</f>
        <v/>
      </c>
    </row>
    <row r="210" customFormat="false" ht="15.75" hidden="false" customHeight="true" outlineLevel="0" collapsed="false">
      <c r="A210" s="32" t="str">
        <f aca="false">IF($B210="","",205)</f>
        <v/>
      </c>
      <c r="B210" s="50" t="str">
        <f aca="false">IFERROR(INDEX(业务流水!$B$5:$B$1504,MATCH(205,业务流水!$X$5:$X$1504,0)),"")</f>
        <v/>
      </c>
      <c r="C210" s="32" t="str">
        <f aca="false">IFERROR(INDEX(业务流水!$C$5:$C$1504,MATCH(205,业务流水!$X$5:$X$1504,0)),"")</f>
        <v/>
      </c>
      <c r="D210" s="40" t="str">
        <f aca="false">IFERROR(INDEX(业务流水!$M$5:$M$1504,MATCH(205,业务流水!$X$5:$X$1504,0)),"")</f>
        <v/>
      </c>
      <c r="E210" s="32" t="str">
        <f aca="false">IF($B210="","",IF(IFERROR(INDEX(业务流水!$D$5:$D$1504,MATCH(205,业务流水!$X$5:$X$1504,0)),"")="挂靠代收",IFERROR(INDEX(业务流水!$F$5:$F$1504,MATCH(205,业务流水!$X$5:$X$1504,0)),""),IFERROR(INDEX(业务流水!$E$5:$E$1504,MATCH(205,业务流水!$X$5:$X$1504,0)),"")))</f>
        <v/>
      </c>
      <c r="F210" s="32" t="str">
        <f aca="false">IFERROR(INDEX(业务流水!$D$5:$D$1504,MATCH(205,业务流水!$X$5:$X$1504,0)),"")</f>
        <v/>
      </c>
      <c r="G210" s="41" t="n">
        <f aca="false">IF($F210="挂靠代收",N(IFERROR(INDEX(业务流水!$H$5:$H$1504,MATCH(205,业务流水!$X$5:$X$1504,0)),"")),0)</f>
        <v>0</v>
      </c>
      <c r="H210" s="41" t="n">
        <f aca="false">IF($F210="我方收款",N(IFERROR(INDEX(业务流水!$H$5:$H$1504,MATCH(205,业务流水!$X$5:$X$1504,0)),"")),0)</f>
        <v>0</v>
      </c>
      <c r="I210" s="42" t="str">
        <f aca="false">IF($B210="","",SUMIFS($G$6:$G210,$E$6:$E210,$E210)-SUMIFS($H$6:$H210,$E$6:$E210,$E210))</f>
        <v/>
      </c>
      <c r="J210" s="40" t="str">
        <f aca="false">IFERROR(INDEX(业务流水!$J$5:$J$1504,MATCH(205,业务流水!$X$5:$X$1504,0)),"")</f>
        <v/>
      </c>
    </row>
    <row r="211" customFormat="false" ht="15.75" hidden="false" customHeight="true" outlineLevel="0" collapsed="false">
      <c r="A211" s="32" t="str">
        <f aca="false">IF($B211="","",206)</f>
        <v/>
      </c>
      <c r="B211" s="50" t="str">
        <f aca="false">IFERROR(INDEX(业务流水!$B$5:$B$1504,MATCH(206,业务流水!$X$5:$X$1504,0)),"")</f>
        <v/>
      </c>
      <c r="C211" s="32" t="str">
        <f aca="false">IFERROR(INDEX(业务流水!$C$5:$C$1504,MATCH(206,业务流水!$X$5:$X$1504,0)),"")</f>
        <v/>
      </c>
      <c r="D211" s="40" t="str">
        <f aca="false">IFERROR(INDEX(业务流水!$M$5:$M$1504,MATCH(206,业务流水!$X$5:$X$1504,0)),"")</f>
        <v/>
      </c>
      <c r="E211" s="32" t="str">
        <f aca="false">IF($B211="","",IF(IFERROR(INDEX(业务流水!$D$5:$D$1504,MATCH(206,业务流水!$X$5:$X$1504,0)),"")="挂靠代收",IFERROR(INDEX(业务流水!$F$5:$F$1504,MATCH(206,业务流水!$X$5:$X$1504,0)),""),IFERROR(INDEX(业务流水!$E$5:$E$1504,MATCH(206,业务流水!$X$5:$X$1504,0)),"")))</f>
        <v/>
      </c>
      <c r="F211" s="32" t="str">
        <f aca="false">IFERROR(INDEX(业务流水!$D$5:$D$1504,MATCH(206,业务流水!$X$5:$X$1504,0)),"")</f>
        <v/>
      </c>
      <c r="G211" s="41" t="n">
        <f aca="false">IF($F211="挂靠代收",N(IFERROR(INDEX(业务流水!$H$5:$H$1504,MATCH(206,业务流水!$X$5:$X$1504,0)),"")),0)</f>
        <v>0</v>
      </c>
      <c r="H211" s="41" t="n">
        <f aca="false">IF($F211="我方收款",N(IFERROR(INDEX(业务流水!$H$5:$H$1504,MATCH(206,业务流水!$X$5:$X$1504,0)),"")),0)</f>
        <v>0</v>
      </c>
      <c r="I211" s="42" t="str">
        <f aca="false">IF($B211="","",SUMIFS($G$6:$G211,$E$6:$E211,$E211)-SUMIFS($H$6:$H211,$E$6:$E211,$E211))</f>
        <v/>
      </c>
      <c r="J211" s="40" t="str">
        <f aca="false">IFERROR(INDEX(业务流水!$J$5:$J$1504,MATCH(206,业务流水!$X$5:$X$1504,0)),"")</f>
        <v/>
      </c>
    </row>
    <row r="212" customFormat="false" ht="15.75" hidden="false" customHeight="true" outlineLevel="0" collapsed="false">
      <c r="A212" s="32" t="str">
        <f aca="false">IF($B212="","",207)</f>
        <v/>
      </c>
      <c r="B212" s="50" t="str">
        <f aca="false">IFERROR(INDEX(业务流水!$B$5:$B$1504,MATCH(207,业务流水!$X$5:$X$1504,0)),"")</f>
        <v/>
      </c>
      <c r="C212" s="32" t="str">
        <f aca="false">IFERROR(INDEX(业务流水!$C$5:$C$1504,MATCH(207,业务流水!$X$5:$X$1504,0)),"")</f>
        <v/>
      </c>
      <c r="D212" s="40" t="str">
        <f aca="false">IFERROR(INDEX(业务流水!$M$5:$M$1504,MATCH(207,业务流水!$X$5:$X$1504,0)),"")</f>
        <v/>
      </c>
      <c r="E212" s="32" t="str">
        <f aca="false">IF($B212="","",IF(IFERROR(INDEX(业务流水!$D$5:$D$1504,MATCH(207,业务流水!$X$5:$X$1504,0)),"")="挂靠代收",IFERROR(INDEX(业务流水!$F$5:$F$1504,MATCH(207,业务流水!$X$5:$X$1504,0)),""),IFERROR(INDEX(业务流水!$E$5:$E$1504,MATCH(207,业务流水!$X$5:$X$1504,0)),"")))</f>
        <v/>
      </c>
      <c r="F212" s="32" t="str">
        <f aca="false">IFERROR(INDEX(业务流水!$D$5:$D$1504,MATCH(207,业务流水!$X$5:$X$1504,0)),"")</f>
        <v/>
      </c>
      <c r="G212" s="41" t="n">
        <f aca="false">IF($F212="挂靠代收",N(IFERROR(INDEX(业务流水!$H$5:$H$1504,MATCH(207,业务流水!$X$5:$X$1504,0)),"")),0)</f>
        <v>0</v>
      </c>
      <c r="H212" s="41" t="n">
        <f aca="false">IF($F212="我方收款",N(IFERROR(INDEX(业务流水!$H$5:$H$1504,MATCH(207,业务流水!$X$5:$X$1504,0)),"")),0)</f>
        <v>0</v>
      </c>
      <c r="I212" s="42" t="str">
        <f aca="false">IF($B212="","",SUMIFS($G$6:$G212,$E$6:$E212,$E212)-SUMIFS($H$6:$H212,$E$6:$E212,$E212))</f>
        <v/>
      </c>
      <c r="J212" s="40" t="str">
        <f aca="false">IFERROR(INDEX(业务流水!$J$5:$J$1504,MATCH(207,业务流水!$X$5:$X$1504,0)),"")</f>
        <v/>
      </c>
    </row>
    <row r="213" customFormat="false" ht="15.75" hidden="false" customHeight="true" outlineLevel="0" collapsed="false">
      <c r="A213" s="32" t="str">
        <f aca="false">IF($B213="","",208)</f>
        <v/>
      </c>
      <c r="B213" s="50" t="str">
        <f aca="false">IFERROR(INDEX(业务流水!$B$5:$B$1504,MATCH(208,业务流水!$X$5:$X$1504,0)),"")</f>
        <v/>
      </c>
      <c r="C213" s="32" t="str">
        <f aca="false">IFERROR(INDEX(业务流水!$C$5:$C$1504,MATCH(208,业务流水!$X$5:$X$1504,0)),"")</f>
        <v/>
      </c>
      <c r="D213" s="40" t="str">
        <f aca="false">IFERROR(INDEX(业务流水!$M$5:$M$1504,MATCH(208,业务流水!$X$5:$X$1504,0)),"")</f>
        <v/>
      </c>
      <c r="E213" s="32" t="str">
        <f aca="false">IF($B213="","",IF(IFERROR(INDEX(业务流水!$D$5:$D$1504,MATCH(208,业务流水!$X$5:$X$1504,0)),"")="挂靠代收",IFERROR(INDEX(业务流水!$F$5:$F$1504,MATCH(208,业务流水!$X$5:$X$1504,0)),""),IFERROR(INDEX(业务流水!$E$5:$E$1504,MATCH(208,业务流水!$X$5:$X$1504,0)),"")))</f>
        <v/>
      </c>
      <c r="F213" s="32" t="str">
        <f aca="false">IFERROR(INDEX(业务流水!$D$5:$D$1504,MATCH(208,业务流水!$X$5:$X$1504,0)),"")</f>
        <v/>
      </c>
      <c r="G213" s="41" t="n">
        <f aca="false">IF($F213="挂靠代收",N(IFERROR(INDEX(业务流水!$H$5:$H$1504,MATCH(208,业务流水!$X$5:$X$1504,0)),"")),0)</f>
        <v>0</v>
      </c>
      <c r="H213" s="41" t="n">
        <f aca="false">IF($F213="我方收款",N(IFERROR(INDEX(业务流水!$H$5:$H$1504,MATCH(208,业务流水!$X$5:$X$1504,0)),"")),0)</f>
        <v>0</v>
      </c>
      <c r="I213" s="42" t="str">
        <f aca="false">IF($B213="","",SUMIFS($G$6:$G213,$E$6:$E213,$E213)-SUMIFS($H$6:$H213,$E$6:$E213,$E213))</f>
        <v/>
      </c>
      <c r="J213" s="40" t="str">
        <f aca="false">IFERROR(INDEX(业务流水!$J$5:$J$1504,MATCH(208,业务流水!$X$5:$X$1504,0)),"")</f>
        <v/>
      </c>
    </row>
    <row r="214" customFormat="false" ht="15.75" hidden="false" customHeight="true" outlineLevel="0" collapsed="false">
      <c r="A214" s="32" t="str">
        <f aca="false">IF($B214="","",209)</f>
        <v/>
      </c>
      <c r="B214" s="50" t="str">
        <f aca="false">IFERROR(INDEX(业务流水!$B$5:$B$1504,MATCH(209,业务流水!$X$5:$X$1504,0)),"")</f>
        <v/>
      </c>
      <c r="C214" s="32" t="str">
        <f aca="false">IFERROR(INDEX(业务流水!$C$5:$C$1504,MATCH(209,业务流水!$X$5:$X$1504,0)),"")</f>
        <v/>
      </c>
      <c r="D214" s="40" t="str">
        <f aca="false">IFERROR(INDEX(业务流水!$M$5:$M$1504,MATCH(209,业务流水!$X$5:$X$1504,0)),"")</f>
        <v/>
      </c>
      <c r="E214" s="32" t="str">
        <f aca="false">IF($B214="","",IF(IFERROR(INDEX(业务流水!$D$5:$D$1504,MATCH(209,业务流水!$X$5:$X$1504,0)),"")="挂靠代收",IFERROR(INDEX(业务流水!$F$5:$F$1504,MATCH(209,业务流水!$X$5:$X$1504,0)),""),IFERROR(INDEX(业务流水!$E$5:$E$1504,MATCH(209,业务流水!$X$5:$X$1504,0)),"")))</f>
        <v/>
      </c>
      <c r="F214" s="32" t="str">
        <f aca="false">IFERROR(INDEX(业务流水!$D$5:$D$1504,MATCH(209,业务流水!$X$5:$X$1504,0)),"")</f>
        <v/>
      </c>
      <c r="G214" s="41" t="n">
        <f aca="false">IF($F214="挂靠代收",N(IFERROR(INDEX(业务流水!$H$5:$H$1504,MATCH(209,业务流水!$X$5:$X$1504,0)),"")),0)</f>
        <v>0</v>
      </c>
      <c r="H214" s="41" t="n">
        <f aca="false">IF($F214="我方收款",N(IFERROR(INDEX(业务流水!$H$5:$H$1504,MATCH(209,业务流水!$X$5:$X$1504,0)),"")),0)</f>
        <v>0</v>
      </c>
      <c r="I214" s="42" t="str">
        <f aca="false">IF($B214="","",SUMIFS($G$6:$G214,$E$6:$E214,$E214)-SUMIFS($H$6:$H214,$E$6:$E214,$E214))</f>
        <v/>
      </c>
      <c r="J214" s="40" t="str">
        <f aca="false">IFERROR(INDEX(业务流水!$J$5:$J$1504,MATCH(209,业务流水!$X$5:$X$1504,0)),"")</f>
        <v/>
      </c>
    </row>
    <row r="215" customFormat="false" ht="15.75" hidden="false" customHeight="true" outlineLevel="0" collapsed="false">
      <c r="A215" s="32" t="str">
        <f aca="false">IF($B215="","",210)</f>
        <v/>
      </c>
      <c r="B215" s="50" t="str">
        <f aca="false">IFERROR(INDEX(业务流水!$B$5:$B$1504,MATCH(210,业务流水!$X$5:$X$1504,0)),"")</f>
        <v/>
      </c>
      <c r="C215" s="32" t="str">
        <f aca="false">IFERROR(INDEX(业务流水!$C$5:$C$1504,MATCH(210,业务流水!$X$5:$X$1504,0)),"")</f>
        <v/>
      </c>
      <c r="D215" s="40" t="str">
        <f aca="false">IFERROR(INDEX(业务流水!$M$5:$M$1504,MATCH(210,业务流水!$X$5:$X$1504,0)),"")</f>
        <v/>
      </c>
      <c r="E215" s="32" t="str">
        <f aca="false">IF($B215="","",IF(IFERROR(INDEX(业务流水!$D$5:$D$1504,MATCH(210,业务流水!$X$5:$X$1504,0)),"")="挂靠代收",IFERROR(INDEX(业务流水!$F$5:$F$1504,MATCH(210,业务流水!$X$5:$X$1504,0)),""),IFERROR(INDEX(业务流水!$E$5:$E$1504,MATCH(210,业务流水!$X$5:$X$1504,0)),"")))</f>
        <v/>
      </c>
      <c r="F215" s="32" t="str">
        <f aca="false">IFERROR(INDEX(业务流水!$D$5:$D$1504,MATCH(210,业务流水!$X$5:$X$1504,0)),"")</f>
        <v/>
      </c>
      <c r="G215" s="41" t="n">
        <f aca="false">IF($F215="挂靠代收",N(IFERROR(INDEX(业务流水!$H$5:$H$1504,MATCH(210,业务流水!$X$5:$X$1504,0)),"")),0)</f>
        <v>0</v>
      </c>
      <c r="H215" s="41" t="n">
        <f aca="false">IF($F215="我方收款",N(IFERROR(INDEX(业务流水!$H$5:$H$1504,MATCH(210,业务流水!$X$5:$X$1504,0)),"")),0)</f>
        <v>0</v>
      </c>
      <c r="I215" s="42" t="str">
        <f aca="false">IF($B215="","",SUMIFS($G$6:$G215,$E$6:$E215,$E215)-SUMIFS($H$6:$H215,$E$6:$E215,$E215))</f>
        <v/>
      </c>
      <c r="J215" s="40" t="str">
        <f aca="false">IFERROR(INDEX(业务流水!$J$5:$J$1504,MATCH(210,业务流水!$X$5:$X$1504,0)),"")</f>
        <v/>
      </c>
    </row>
    <row r="216" customFormat="false" ht="15.75" hidden="false" customHeight="true" outlineLevel="0" collapsed="false">
      <c r="A216" s="32" t="str">
        <f aca="false">IF($B216="","",211)</f>
        <v/>
      </c>
      <c r="B216" s="50" t="str">
        <f aca="false">IFERROR(INDEX(业务流水!$B$5:$B$1504,MATCH(211,业务流水!$X$5:$X$1504,0)),"")</f>
        <v/>
      </c>
      <c r="C216" s="32" t="str">
        <f aca="false">IFERROR(INDEX(业务流水!$C$5:$C$1504,MATCH(211,业务流水!$X$5:$X$1504,0)),"")</f>
        <v/>
      </c>
      <c r="D216" s="40" t="str">
        <f aca="false">IFERROR(INDEX(业务流水!$M$5:$M$1504,MATCH(211,业务流水!$X$5:$X$1504,0)),"")</f>
        <v/>
      </c>
      <c r="E216" s="32" t="str">
        <f aca="false">IF($B216="","",IF(IFERROR(INDEX(业务流水!$D$5:$D$1504,MATCH(211,业务流水!$X$5:$X$1504,0)),"")="挂靠代收",IFERROR(INDEX(业务流水!$F$5:$F$1504,MATCH(211,业务流水!$X$5:$X$1504,0)),""),IFERROR(INDEX(业务流水!$E$5:$E$1504,MATCH(211,业务流水!$X$5:$X$1504,0)),"")))</f>
        <v/>
      </c>
      <c r="F216" s="32" t="str">
        <f aca="false">IFERROR(INDEX(业务流水!$D$5:$D$1504,MATCH(211,业务流水!$X$5:$X$1504,0)),"")</f>
        <v/>
      </c>
      <c r="G216" s="41" t="n">
        <f aca="false">IF($F216="挂靠代收",N(IFERROR(INDEX(业务流水!$H$5:$H$1504,MATCH(211,业务流水!$X$5:$X$1504,0)),"")),0)</f>
        <v>0</v>
      </c>
      <c r="H216" s="41" t="n">
        <f aca="false">IF($F216="我方收款",N(IFERROR(INDEX(业务流水!$H$5:$H$1504,MATCH(211,业务流水!$X$5:$X$1504,0)),"")),0)</f>
        <v>0</v>
      </c>
      <c r="I216" s="42" t="str">
        <f aca="false">IF($B216="","",SUMIFS($G$6:$G216,$E$6:$E216,$E216)-SUMIFS($H$6:$H216,$E$6:$E216,$E216))</f>
        <v/>
      </c>
      <c r="J216" s="40" t="str">
        <f aca="false">IFERROR(INDEX(业务流水!$J$5:$J$1504,MATCH(211,业务流水!$X$5:$X$1504,0)),"")</f>
        <v/>
      </c>
    </row>
    <row r="217" customFormat="false" ht="15.75" hidden="false" customHeight="true" outlineLevel="0" collapsed="false">
      <c r="A217" s="32" t="str">
        <f aca="false">IF($B217="","",212)</f>
        <v/>
      </c>
      <c r="B217" s="50" t="str">
        <f aca="false">IFERROR(INDEX(业务流水!$B$5:$B$1504,MATCH(212,业务流水!$X$5:$X$1504,0)),"")</f>
        <v/>
      </c>
      <c r="C217" s="32" t="str">
        <f aca="false">IFERROR(INDEX(业务流水!$C$5:$C$1504,MATCH(212,业务流水!$X$5:$X$1504,0)),"")</f>
        <v/>
      </c>
      <c r="D217" s="40" t="str">
        <f aca="false">IFERROR(INDEX(业务流水!$M$5:$M$1504,MATCH(212,业务流水!$X$5:$X$1504,0)),"")</f>
        <v/>
      </c>
      <c r="E217" s="32" t="str">
        <f aca="false">IF($B217="","",IF(IFERROR(INDEX(业务流水!$D$5:$D$1504,MATCH(212,业务流水!$X$5:$X$1504,0)),"")="挂靠代收",IFERROR(INDEX(业务流水!$F$5:$F$1504,MATCH(212,业务流水!$X$5:$X$1504,0)),""),IFERROR(INDEX(业务流水!$E$5:$E$1504,MATCH(212,业务流水!$X$5:$X$1504,0)),"")))</f>
        <v/>
      </c>
      <c r="F217" s="32" t="str">
        <f aca="false">IFERROR(INDEX(业务流水!$D$5:$D$1504,MATCH(212,业务流水!$X$5:$X$1504,0)),"")</f>
        <v/>
      </c>
      <c r="G217" s="41" t="n">
        <f aca="false">IF($F217="挂靠代收",N(IFERROR(INDEX(业务流水!$H$5:$H$1504,MATCH(212,业务流水!$X$5:$X$1504,0)),"")),0)</f>
        <v>0</v>
      </c>
      <c r="H217" s="41" t="n">
        <f aca="false">IF($F217="我方收款",N(IFERROR(INDEX(业务流水!$H$5:$H$1504,MATCH(212,业务流水!$X$5:$X$1504,0)),"")),0)</f>
        <v>0</v>
      </c>
      <c r="I217" s="42" t="str">
        <f aca="false">IF($B217="","",SUMIFS($G$6:$G217,$E$6:$E217,$E217)-SUMIFS($H$6:$H217,$E$6:$E217,$E217))</f>
        <v/>
      </c>
      <c r="J217" s="40" t="str">
        <f aca="false">IFERROR(INDEX(业务流水!$J$5:$J$1504,MATCH(212,业务流水!$X$5:$X$1504,0)),"")</f>
        <v/>
      </c>
    </row>
    <row r="218" customFormat="false" ht="15.75" hidden="false" customHeight="true" outlineLevel="0" collapsed="false">
      <c r="A218" s="32" t="str">
        <f aca="false">IF($B218="","",213)</f>
        <v/>
      </c>
      <c r="B218" s="50" t="str">
        <f aca="false">IFERROR(INDEX(业务流水!$B$5:$B$1504,MATCH(213,业务流水!$X$5:$X$1504,0)),"")</f>
        <v/>
      </c>
      <c r="C218" s="32" t="str">
        <f aca="false">IFERROR(INDEX(业务流水!$C$5:$C$1504,MATCH(213,业务流水!$X$5:$X$1504,0)),"")</f>
        <v/>
      </c>
      <c r="D218" s="40" t="str">
        <f aca="false">IFERROR(INDEX(业务流水!$M$5:$M$1504,MATCH(213,业务流水!$X$5:$X$1504,0)),"")</f>
        <v/>
      </c>
      <c r="E218" s="32" t="str">
        <f aca="false">IF($B218="","",IF(IFERROR(INDEX(业务流水!$D$5:$D$1504,MATCH(213,业务流水!$X$5:$X$1504,0)),"")="挂靠代收",IFERROR(INDEX(业务流水!$F$5:$F$1504,MATCH(213,业务流水!$X$5:$X$1504,0)),""),IFERROR(INDEX(业务流水!$E$5:$E$1504,MATCH(213,业务流水!$X$5:$X$1504,0)),"")))</f>
        <v/>
      </c>
      <c r="F218" s="32" t="str">
        <f aca="false">IFERROR(INDEX(业务流水!$D$5:$D$1504,MATCH(213,业务流水!$X$5:$X$1504,0)),"")</f>
        <v/>
      </c>
      <c r="G218" s="41" t="n">
        <f aca="false">IF($F218="挂靠代收",N(IFERROR(INDEX(业务流水!$H$5:$H$1504,MATCH(213,业务流水!$X$5:$X$1504,0)),"")),0)</f>
        <v>0</v>
      </c>
      <c r="H218" s="41" t="n">
        <f aca="false">IF($F218="我方收款",N(IFERROR(INDEX(业务流水!$H$5:$H$1504,MATCH(213,业务流水!$X$5:$X$1504,0)),"")),0)</f>
        <v>0</v>
      </c>
      <c r="I218" s="42" t="str">
        <f aca="false">IF($B218="","",SUMIFS($G$6:$G218,$E$6:$E218,$E218)-SUMIFS($H$6:$H218,$E$6:$E218,$E218))</f>
        <v/>
      </c>
      <c r="J218" s="40" t="str">
        <f aca="false">IFERROR(INDEX(业务流水!$J$5:$J$1504,MATCH(213,业务流水!$X$5:$X$1504,0)),"")</f>
        <v/>
      </c>
    </row>
    <row r="219" customFormat="false" ht="15.75" hidden="false" customHeight="true" outlineLevel="0" collapsed="false">
      <c r="A219" s="32" t="str">
        <f aca="false">IF($B219="","",214)</f>
        <v/>
      </c>
      <c r="B219" s="50" t="str">
        <f aca="false">IFERROR(INDEX(业务流水!$B$5:$B$1504,MATCH(214,业务流水!$X$5:$X$1504,0)),"")</f>
        <v/>
      </c>
      <c r="C219" s="32" t="str">
        <f aca="false">IFERROR(INDEX(业务流水!$C$5:$C$1504,MATCH(214,业务流水!$X$5:$X$1504,0)),"")</f>
        <v/>
      </c>
      <c r="D219" s="40" t="str">
        <f aca="false">IFERROR(INDEX(业务流水!$M$5:$M$1504,MATCH(214,业务流水!$X$5:$X$1504,0)),"")</f>
        <v/>
      </c>
      <c r="E219" s="32" t="str">
        <f aca="false">IF($B219="","",IF(IFERROR(INDEX(业务流水!$D$5:$D$1504,MATCH(214,业务流水!$X$5:$X$1504,0)),"")="挂靠代收",IFERROR(INDEX(业务流水!$F$5:$F$1504,MATCH(214,业务流水!$X$5:$X$1504,0)),""),IFERROR(INDEX(业务流水!$E$5:$E$1504,MATCH(214,业务流水!$X$5:$X$1504,0)),"")))</f>
        <v/>
      </c>
      <c r="F219" s="32" t="str">
        <f aca="false">IFERROR(INDEX(业务流水!$D$5:$D$1504,MATCH(214,业务流水!$X$5:$X$1504,0)),"")</f>
        <v/>
      </c>
      <c r="G219" s="41" t="n">
        <f aca="false">IF($F219="挂靠代收",N(IFERROR(INDEX(业务流水!$H$5:$H$1504,MATCH(214,业务流水!$X$5:$X$1504,0)),"")),0)</f>
        <v>0</v>
      </c>
      <c r="H219" s="41" t="n">
        <f aca="false">IF($F219="我方收款",N(IFERROR(INDEX(业务流水!$H$5:$H$1504,MATCH(214,业务流水!$X$5:$X$1504,0)),"")),0)</f>
        <v>0</v>
      </c>
      <c r="I219" s="42" t="str">
        <f aca="false">IF($B219="","",SUMIFS($G$6:$G219,$E$6:$E219,$E219)-SUMIFS($H$6:$H219,$E$6:$E219,$E219))</f>
        <v/>
      </c>
      <c r="J219" s="40" t="str">
        <f aca="false">IFERROR(INDEX(业务流水!$J$5:$J$1504,MATCH(214,业务流水!$X$5:$X$1504,0)),"")</f>
        <v/>
      </c>
    </row>
    <row r="220" customFormat="false" ht="15.75" hidden="false" customHeight="true" outlineLevel="0" collapsed="false">
      <c r="A220" s="32" t="str">
        <f aca="false">IF($B220="","",215)</f>
        <v/>
      </c>
      <c r="B220" s="50" t="str">
        <f aca="false">IFERROR(INDEX(业务流水!$B$5:$B$1504,MATCH(215,业务流水!$X$5:$X$1504,0)),"")</f>
        <v/>
      </c>
      <c r="C220" s="32" t="str">
        <f aca="false">IFERROR(INDEX(业务流水!$C$5:$C$1504,MATCH(215,业务流水!$X$5:$X$1504,0)),"")</f>
        <v/>
      </c>
      <c r="D220" s="40" t="str">
        <f aca="false">IFERROR(INDEX(业务流水!$M$5:$M$1504,MATCH(215,业务流水!$X$5:$X$1504,0)),"")</f>
        <v/>
      </c>
      <c r="E220" s="32" t="str">
        <f aca="false">IF($B220="","",IF(IFERROR(INDEX(业务流水!$D$5:$D$1504,MATCH(215,业务流水!$X$5:$X$1504,0)),"")="挂靠代收",IFERROR(INDEX(业务流水!$F$5:$F$1504,MATCH(215,业务流水!$X$5:$X$1504,0)),""),IFERROR(INDEX(业务流水!$E$5:$E$1504,MATCH(215,业务流水!$X$5:$X$1504,0)),"")))</f>
        <v/>
      </c>
      <c r="F220" s="32" t="str">
        <f aca="false">IFERROR(INDEX(业务流水!$D$5:$D$1504,MATCH(215,业务流水!$X$5:$X$1504,0)),"")</f>
        <v/>
      </c>
      <c r="G220" s="41" t="n">
        <f aca="false">IF($F220="挂靠代收",N(IFERROR(INDEX(业务流水!$H$5:$H$1504,MATCH(215,业务流水!$X$5:$X$1504,0)),"")),0)</f>
        <v>0</v>
      </c>
      <c r="H220" s="41" t="n">
        <f aca="false">IF($F220="我方收款",N(IFERROR(INDEX(业务流水!$H$5:$H$1504,MATCH(215,业务流水!$X$5:$X$1504,0)),"")),0)</f>
        <v>0</v>
      </c>
      <c r="I220" s="42" t="str">
        <f aca="false">IF($B220="","",SUMIFS($G$6:$G220,$E$6:$E220,$E220)-SUMIFS($H$6:$H220,$E$6:$E220,$E220))</f>
        <v/>
      </c>
      <c r="J220" s="40" t="str">
        <f aca="false">IFERROR(INDEX(业务流水!$J$5:$J$1504,MATCH(215,业务流水!$X$5:$X$1504,0)),"")</f>
        <v/>
      </c>
    </row>
    <row r="221" customFormat="false" ht="15.75" hidden="false" customHeight="true" outlineLevel="0" collapsed="false">
      <c r="A221" s="32" t="str">
        <f aca="false">IF($B221="","",216)</f>
        <v/>
      </c>
      <c r="B221" s="50" t="str">
        <f aca="false">IFERROR(INDEX(业务流水!$B$5:$B$1504,MATCH(216,业务流水!$X$5:$X$1504,0)),"")</f>
        <v/>
      </c>
      <c r="C221" s="32" t="str">
        <f aca="false">IFERROR(INDEX(业务流水!$C$5:$C$1504,MATCH(216,业务流水!$X$5:$X$1504,0)),"")</f>
        <v/>
      </c>
      <c r="D221" s="40" t="str">
        <f aca="false">IFERROR(INDEX(业务流水!$M$5:$M$1504,MATCH(216,业务流水!$X$5:$X$1504,0)),"")</f>
        <v/>
      </c>
      <c r="E221" s="32" t="str">
        <f aca="false">IF($B221="","",IF(IFERROR(INDEX(业务流水!$D$5:$D$1504,MATCH(216,业务流水!$X$5:$X$1504,0)),"")="挂靠代收",IFERROR(INDEX(业务流水!$F$5:$F$1504,MATCH(216,业务流水!$X$5:$X$1504,0)),""),IFERROR(INDEX(业务流水!$E$5:$E$1504,MATCH(216,业务流水!$X$5:$X$1504,0)),"")))</f>
        <v/>
      </c>
      <c r="F221" s="32" t="str">
        <f aca="false">IFERROR(INDEX(业务流水!$D$5:$D$1504,MATCH(216,业务流水!$X$5:$X$1504,0)),"")</f>
        <v/>
      </c>
      <c r="G221" s="41" t="n">
        <f aca="false">IF($F221="挂靠代收",N(IFERROR(INDEX(业务流水!$H$5:$H$1504,MATCH(216,业务流水!$X$5:$X$1504,0)),"")),0)</f>
        <v>0</v>
      </c>
      <c r="H221" s="41" t="n">
        <f aca="false">IF($F221="我方收款",N(IFERROR(INDEX(业务流水!$H$5:$H$1504,MATCH(216,业务流水!$X$5:$X$1504,0)),"")),0)</f>
        <v>0</v>
      </c>
      <c r="I221" s="42" t="str">
        <f aca="false">IF($B221="","",SUMIFS($G$6:$G221,$E$6:$E221,$E221)-SUMIFS($H$6:$H221,$E$6:$E221,$E221))</f>
        <v/>
      </c>
      <c r="J221" s="40" t="str">
        <f aca="false">IFERROR(INDEX(业务流水!$J$5:$J$1504,MATCH(216,业务流水!$X$5:$X$1504,0)),"")</f>
        <v/>
      </c>
    </row>
    <row r="222" customFormat="false" ht="15.75" hidden="false" customHeight="true" outlineLevel="0" collapsed="false">
      <c r="A222" s="32" t="str">
        <f aca="false">IF($B222="","",217)</f>
        <v/>
      </c>
      <c r="B222" s="50" t="str">
        <f aca="false">IFERROR(INDEX(业务流水!$B$5:$B$1504,MATCH(217,业务流水!$X$5:$X$1504,0)),"")</f>
        <v/>
      </c>
      <c r="C222" s="32" t="str">
        <f aca="false">IFERROR(INDEX(业务流水!$C$5:$C$1504,MATCH(217,业务流水!$X$5:$X$1504,0)),"")</f>
        <v/>
      </c>
      <c r="D222" s="40" t="str">
        <f aca="false">IFERROR(INDEX(业务流水!$M$5:$M$1504,MATCH(217,业务流水!$X$5:$X$1504,0)),"")</f>
        <v/>
      </c>
      <c r="E222" s="32" t="str">
        <f aca="false">IF($B222="","",IF(IFERROR(INDEX(业务流水!$D$5:$D$1504,MATCH(217,业务流水!$X$5:$X$1504,0)),"")="挂靠代收",IFERROR(INDEX(业务流水!$F$5:$F$1504,MATCH(217,业务流水!$X$5:$X$1504,0)),""),IFERROR(INDEX(业务流水!$E$5:$E$1504,MATCH(217,业务流水!$X$5:$X$1504,0)),"")))</f>
        <v/>
      </c>
      <c r="F222" s="32" t="str">
        <f aca="false">IFERROR(INDEX(业务流水!$D$5:$D$1504,MATCH(217,业务流水!$X$5:$X$1504,0)),"")</f>
        <v/>
      </c>
      <c r="G222" s="41" t="n">
        <f aca="false">IF($F222="挂靠代收",N(IFERROR(INDEX(业务流水!$H$5:$H$1504,MATCH(217,业务流水!$X$5:$X$1504,0)),"")),0)</f>
        <v>0</v>
      </c>
      <c r="H222" s="41" t="n">
        <f aca="false">IF($F222="我方收款",N(IFERROR(INDEX(业务流水!$H$5:$H$1504,MATCH(217,业务流水!$X$5:$X$1504,0)),"")),0)</f>
        <v>0</v>
      </c>
      <c r="I222" s="42" t="str">
        <f aca="false">IF($B222="","",SUMIFS($G$6:$G222,$E$6:$E222,$E222)-SUMIFS($H$6:$H222,$E$6:$E222,$E222))</f>
        <v/>
      </c>
      <c r="J222" s="40" t="str">
        <f aca="false">IFERROR(INDEX(业务流水!$J$5:$J$1504,MATCH(217,业务流水!$X$5:$X$1504,0)),"")</f>
        <v/>
      </c>
    </row>
    <row r="223" customFormat="false" ht="15.75" hidden="false" customHeight="true" outlineLevel="0" collapsed="false">
      <c r="A223" s="32" t="str">
        <f aca="false">IF($B223="","",218)</f>
        <v/>
      </c>
      <c r="B223" s="50" t="str">
        <f aca="false">IFERROR(INDEX(业务流水!$B$5:$B$1504,MATCH(218,业务流水!$X$5:$X$1504,0)),"")</f>
        <v/>
      </c>
      <c r="C223" s="32" t="str">
        <f aca="false">IFERROR(INDEX(业务流水!$C$5:$C$1504,MATCH(218,业务流水!$X$5:$X$1504,0)),"")</f>
        <v/>
      </c>
      <c r="D223" s="40" t="str">
        <f aca="false">IFERROR(INDEX(业务流水!$M$5:$M$1504,MATCH(218,业务流水!$X$5:$X$1504,0)),"")</f>
        <v/>
      </c>
      <c r="E223" s="32" t="str">
        <f aca="false">IF($B223="","",IF(IFERROR(INDEX(业务流水!$D$5:$D$1504,MATCH(218,业务流水!$X$5:$X$1504,0)),"")="挂靠代收",IFERROR(INDEX(业务流水!$F$5:$F$1504,MATCH(218,业务流水!$X$5:$X$1504,0)),""),IFERROR(INDEX(业务流水!$E$5:$E$1504,MATCH(218,业务流水!$X$5:$X$1504,0)),"")))</f>
        <v/>
      </c>
      <c r="F223" s="32" t="str">
        <f aca="false">IFERROR(INDEX(业务流水!$D$5:$D$1504,MATCH(218,业务流水!$X$5:$X$1504,0)),"")</f>
        <v/>
      </c>
      <c r="G223" s="41" t="n">
        <f aca="false">IF($F223="挂靠代收",N(IFERROR(INDEX(业务流水!$H$5:$H$1504,MATCH(218,业务流水!$X$5:$X$1504,0)),"")),0)</f>
        <v>0</v>
      </c>
      <c r="H223" s="41" t="n">
        <f aca="false">IF($F223="我方收款",N(IFERROR(INDEX(业务流水!$H$5:$H$1504,MATCH(218,业务流水!$X$5:$X$1504,0)),"")),0)</f>
        <v>0</v>
      </c>
      <c r="I223" s="42" t="str">
        <f aca="false">IF($B223="","",SUMIFS($G$6:$G223,$E$6:$E223,$E223)-SUMIFS($H$6:$H223,$E$6:$E223,$E223))</f>
        <v/>
      </c>
      <c r="J223" s="40" t="str">
        <f aca="false">IFERROR(INDEX(业务流水!$J$5:$J$1504,MATCH(218,业务流水!$X$5:$X$1504,0)),"")</f>
        <v/>
      </c>
    </row>
    <row r="224" customFormat="false" ht="15.75" hidden="false" customHeight="true" outlineLevel="0" collapsed="false">
      <c r="A224" s="32" t="str">
        <f aca="false">IF($B224="","",219)</f>
        <v/>
      </c>
      <c r="B224" s="50" t="str">
        <f aca="false">IFERROR(INDEX(业务流水!$B$5:$B$1504,MATCH(219,业务流水!$X$5:$X$1504,0)),"")</f>
        <v/>
      </c>
      <c r="C224" s="32" t="str">
        <f aca="false">IFERROR(INDEX(业务流水!$C$5:$C$1504,MATCH(219,业务流水!$X$5:$X$1504,0)),"")</f>
        <v/>
      </c>
      <c r="D224" s="40" t="str">
        <f aca="false">IFERROR(INDEX(业务流水!$M$5:$M$1504,MATCH(219,业务流水!$X$5:$X$1504,0)),"")</f>
        <v/>
      </c>
      <c r="E224" s="32" t="str">
        <f aca="false">IF($B224="","",IF(IFERROR(INDEX(业务流水!$D$5:$D$1504,MATCH(219,业务流水!$X$5:$X$1504,0)),"")="挂靠代收",IFERROR(INDEX(业务流水!$F$5:$F$1504,MATCH(219,业务流水!$X$5:$X$1504,0)),""),IFERROR(INDEX(业务流水!$E$5:$E$1504,MATCH(219,业务流水!$X$5:$X$1504,0)),"")))</f>
        <v/>
      </c>
      <c r="F224" s="32" t="str">
        <f aca="false">IFERROR(INDEX(业务流水!$D$5:$D$1504,MATCH(219,业务流水!$X$5:$X$1504,0)),"")</f>
        <v/>
      </c>
      <c r="G224" s="41" t="n">
        <f aca="false">IF($F224="挂靠代收",N(IFERROR(INDEX(业务流水!$H$5:$H$1504,MATCH(219,业务流水!$X$5:$X$1504,0)),"")),0)</f>
        <v>0</v>
      </c>
      <c r="H224" s="41" t="n">
        <f aca="false">IF($F224="我方收款",N(IFERROR(INDEX(业务流水!$H$5:$H$1504,MATCH(219,业务流水!$X$5:$X$1504,0)),"")),0)</f>
        <v>0</v>
      </c>
      <c r="I224" s="42" t="str">
        <f aca="false">IF($B224="","",SUMIFS($G$6:$G224,$E$6:$E224,$E224)-SUMIFS($H$6:$H224,$E$6:$E224,$E224))</f>
        <v/>
      </c>
      <c r="J224" s="40" t="str">
        <f aca="false">IFERROR(INDEX(业务流水!$J$5:$J$1504,MATCH(219,业务流水!$X$5:$X$1504,0)),"")</f>
        <v/>
      </c>
    </row>
    <row r="225" customFormat="false" ht="15.75" hidden="false" customHeight="true" outlineLevel="0" collapsed="false">
      <c r="A225" s="32" t="str">
        <f aca="false">IF($B225="","",220)</f>
        <v/>
      </c>
      <c r="B225" s="50" t="str">
        <f aca="false">IFERROR(INDEX(业务流水!$B$5:$B$1504,MATCH(220,业务流水!$X$5:$X$1504,0)),"")</f>
        <v/>
      </c>
      <c r="C225" s="32" t="str">
        <f aca="false">IFERROR(INDEX(业务流水!$C$5:$C$1504,MATCH(220,业务流水!$X$5:$X$1504,0)),"")</f>
        <v/>
      </c>
      <c r="D225" s="40" t="str">
        <f aca="false">IFERROR(INDEX(业务流水!$M$5:$M$1504,MATCH(220,业务流水!$X$5:$X$1504,0)),"")</f>
        <v/>
      </c>
      <c r="E225" s="32" t="str">
        <f aca="false">IF($B225="","",IF(IFERROR(INDEX(业务流水!$D$5:$D$1504,MATCH(220,业务流水!$X$5:$X$1504,0)),"")="挂靠代收",IFERROR(INDEX(业务流水!$F$5:$F$1504,MATCH(220,业务流水!$X$5:$X$1504,0)),""),IFERROR(INDEX(业务流水!$E$5:$E$1504,MATCH(220,业务流水!$X$5:$X$1504,0)),"")))</f>
        <v/>
      </c>
      <c r="F225" s="32" t="str">
        <f aca="false">IFERROR(INDEX(业务流水!$D$5:$D$1504,MATCH(220,业务流水!$X$5:$X$1504,0)),"")</f>
        <v/>
      </c>
      <c r="G225" s="41" t="n">
        <f aca="false">IF($F225="挂靠代收",N(IFERROR(INDEX(业务流水!$H$5:$H$1504,MATCH(220,业务流水!$X$5:$X$1504,0)),"")),0)</f>
        <v>0</v>
      </c>
      <c r="H225" s="41" t="n">
        <f aca="false">IF($F225="我方收款",N(IFERROR(INDEX(业务流水!$H$5:$H$1504,MATCH(220,业务流水!$X$5:$X$1504,0)),"")),0)</f>
        <v>0</v>
      </c>
      <c r="I225" s="42" t="str">
        <f aca="false">IF($B225="","",SUMIFS($G$6:$G225,$E$6:$E225,$E225)-SUMIFS($H$6:$H225,$E$6:$E225,$E225))</f>
        <v/>
      </c>
      <c r="J225" s="40" t="str">
        <f aca="false">IFERROR(INDEX(业务流水!$J$5:$J$1504,MATCH(220,业务流水!$X$5:$X$1504,0)),"")</f>
        <v/>
      </c>
    </row>
    <row r="226" customFormat="false" ht="15.75" hidden="false" customHeight="true" outlineLevel="0" collapsed="false">
      <c r="A226" s="32" t="str">
        <f aca="false">IF($B226="","",221)</f>
        <v/>
      </c>
      <c r="B226" s="50" t="str">
        <f aca="false">IFERROR(INDEX(业务流水!$B$5:$B$1504,MATCH(221,业务流水!$X$5:$X$1504,0)),"")</f>
        <v/>
      </c>
      <c r="C226" s="32" t="str">
        <f aca="false">IFERROR(INDEX(业务流水!$C$5:$C$1504,MATCH(221,业务流水!$X$5:$X$1504,0)),"")</f>
        <v/>
      </c>
      <c r="D226" s="40" t="str">
        <f aca="false">IFERROR(INDEX(业务流水!$M$5:$M$1504,MATCH(221,业务流水!$X$5:$X$1504,0)),"")</f>
        <v/>
      </c>
      <c r="E226" s="32" t="str">
        <f aca="false">IF($B226="","",IF(IFERROR(INDEX(业务流水!$D$5:$D$1504,MATCH(221,业务流水!$X$5:$X$1504,0)),"")="挂靠代收",IFERROR(INDEX(业务流水!$F$5:$F$1504,MATCH(221,业务流水!$X$5:$X$1504,0)),""),IFERROR(INDEX(业务流水!$E$5:$E$1504,MATCH(221,业务流水!$X$5:$X$1504,0)),"")))</f>
        <v/>
      </c>
      <c r="F226" s="32" t="str">
        <f aca="false">IFERROR(INDEX(业务流水!$D$5:$D$1504,MATCH(221,业务流水!$X$5:$X$1504,0)),"")</f>
        <v/>
      </c>
      <c r="G226" s="41" t="n">
        <f aca="false">IF($F226="挂靠代收",N(IFERROR(INDEX(业务流水!$H$5:$H$1504,MATCH(221,业务流水!$X$5:$X$1504,0)),"")),0)</f>
        <v>0</v>
      </c>
      <c r="H226" s="41" t="n">
        <f aca="false">IF($F226="我方收款",N(IFERROR(INDEX(业务流水!$H$5:$H$1504,MATCH(221,业务流水!$X$5:$X$1504,0)),"")),0)</f>
        <v>0</v>
      </c>
      <c r="I226" s="42" t="str">
        <f aca="false">IF($B226="","",SUMIFS($G$6:$G226,$E$6:$E226,$E226)-SUMIFS($H$6:$H226,$E$6:$E226,$E226))</f>
        <v/>
      </c>
      <c r="J226" s="40" t="str">
        <f aca="false">IFERROR(INDEX(业务流水!$J$5:$J$1504,MATCH(221,业务流水!$X$5:$X$1504,0)),"")</f>
        <v/>
      </c>
    </row>
    <row r="227" customFormat="false" ht="15.75" hidden="false" customHeight="true" outlineLevel="0" collapsed="false">
      <c r="A227" s="32" t="str">
        <f aca="false">IF($B227="","",222)</f>
        <v/>
      </c>
      <c r="B227" s="50" t="str">
        <f aca="false">IFERROR(INDEX(业务流水!$B$5:$B$1504,MATCH(222,业务流水!$X$5:$X$1504,0)),"")</f>
        <v/>
      </c>
      <c r="C227" s="32" t="str">
        <f aca="false">IFERROR(INDEX(业务流水!$C$5:$C$1504,MATCH(222,业务流水!$X$5:$X$1504,0)),"")</f>
        <v/>
      </c>
      <c r="D227" s="40" t="str">
        <f aca="false">IFERROR(INDEX(业务流水!$M$5:$M$1504,MATCH(222,业务流水!$X$5:$X$1504,0)),"")</f>
        <v/>
      </c>
      <c r="E227" s="32" t="str">
        <f aca="false">IF($B227="","",IF(IFERROR(INDEX(业务流水!$D$5:$D$1504,MATCH(222,业务流水!$X$5:$X$1504,0)),"")="挂靠代收",IFERROR(INDEX(业务流水!$F$5:$F$1504,MATCH(222,业务流水!$X$5:$X$1504,0)),""),IFERROR(INDEX(业务流水!$E$5:$E$1504,MATCH(222,业务流水!$X$5:$X$1504,0)),"")))</f>
        <v/>
      </c>
      <c r="F227" s="32" t="str">
        <f aca="false">IFERROR(INDEX(业务流水!$D$5:$D$1504,MATCH(222,业务流水!$X$5:$X$1504,0)),"")</f>
        <v/>
      </c>
      <c r="G227" s="41" t="n">
        <f aca="false">IF($F227="挂靠代收",N(IFERROR(INDEX(业务流水!$H$5:$H$1504,MATCH(222,业务流水!$X$5:$X$1504,0)),"")),0)</f>
        <v>0</v>
      </c>
      <c r="H227" s="41" t="n">
        <f aca="false">IF($F227="我方收款",N(IFERROR(INDEX(业务流水!$H$5:$H$1504,MATCH(222,业务流水!$X$5:$X$1504,0)),"")),0)</f>
        <v>0</v>
      </c>
      <c r="I227" s="42" t="str">
        <f aca="false">IF($B227="","",SUMIFS($G$6:$G227,$E$6:$E227,$E227)-SUMIFS($H$6:$H227,$E$6:$E227,$E227))</f>
        <v/>
      </c>
      <c r="J227" s="40" t="str">
        <f aca="false">IFERROR(INDEX(业务流水!$J$5:$J$1504,MATCH(222,业务流水!$X$5:$X$1504,0)),"")</f>
        <v/>
      </c>
    </row>
    <row r="228" customFormat="false" ht="15.75" hidden="false" customHeight="true" outlineLevel="0" collapsed="false">
      <c r="A228" s="32" t="str">
        <f aca="false">IF($B228="","",223)</f>
        <v/>
      </c>
      <c r="B228" s="50" t="str">
        <f aca="false">IFERROR(INDEX(业务流水!$B$5:$B$1504,MATCH(223,业务流水!$X$5:$X$1504,0)),"")</f>
        <v/>
      </c>
      <c r="C228" s="32" t="str">
        <f aca="false">IFERROR(INDEX(业务流水!$C$5:$C$1504,MATCH(223,业务流水!$X$5:$X$1504,0)),"")</f>
        <v/>
      </c>
      <c r="D228" s="40" t="str">
        <f aca="false">IFERROR(INDEX(业务流水!$M$5:$M$1504,MATCH(223,业务流水!$X$5:$X$1504,0)),"")</f>
        <v/>
      </c>
      <c r="E228" s="32" t="str">
        <f aca="false">IF($B228="","",IF(IFERROR(INDEX(业务流水!$D$5:$D$1504,MATCH(223,业务流水!$X$5:$X$1504,0)),"")="挂靠代收",IFERROR(INDEX(业务流水!$F$5:$F$1504,MATCH(223,业务流水!$X$5:$X$1504,0)),""),IFERROR(INDEX(业务流水!$E$5:$E$1504,MATCH(223,业务流水!$X$5:$X$1504,0)),"")))</f>
        <v/>
      </c>
      <c r="F228" s="32" t="str">
        <f aca="false">IFERROR(INDEX(业务流水!$D$5:$D$1504,MATCH(223,业务流水!$X$5:$X$1504,0)),"")</f>
        <v/>
      </c>
      <c r="G228" s="41" t="n">
        <f aca="false">IF($F228="挂靠代收",N(IFERROR(INDEX(业务流水!$H$5:$H$1504,MATCH(223,业务流水!$X$5:$X$1504,0)),"")),0)</f>
        <v>0</v>
      </c>
      <c r="H228" s="41" t="n">
        <f aca="false">IF($F228="我方收款",N(IFERROR(INDEX(业务流水!$H$5:$H$1504,MATCH(223,业务流水!$X$5:$X$1504,0)),"")),0)</f>
        <v>0</v>
      </c>
      <c r="I228" s="42" t="str">
        <f aca="false">IF($B228="","",SUMIFS($G$6:$G228,$E$6:$E228,$E228)-SUMIFS($H$6:$H228,$E$6:$E228,$E228))</f>
        <v/>
      </c>
      <c r="J228" s="40" t="str">
        <f aca="false">IFERROR(INDEX(业务流水!$J$5:$J$1504,MATCH(223,业务流水!$X$5:$X$1504,0)),"")</f>
        <v/>
      </c>
    </row>
    <row r="229" customFormat="false" ht="15.75" hidden="false" customHeight="true" outlineLevel="0" collapsed="false">
      <c r="A229" s="32" t="str">
        <f aca="false">IF($B229="","",224)</f>
        <v/>
      </c>
      <c r="B229" s="50" t="str">
        <f aca="false">IFERROR(INDEX(业务流水!$B$5:$B$1504,MATCH(224,业务流水!$X$5:$X$1504,0)),"")</f>
        <v/>
      </c>
      <c r="C229" s="32" t="str">
        <f aca="false">IFERROR(INDEX(业务流水!$C$5:$C$1504,MATCH(224,业务流水!$X$5:$X$1504,0)),"")</f>
        <v/>
      </c>
      <c r="D229" s="40" t="str">
        <f aca="false">IFERROR(INDEX(业务流水!$M$5:$M$1504,MATCH(224,业务流水!$X$5:$X$1504,0)),"")</f>
        <v/>
      </c>
      <c r="E229" s="32" t="str">
        <f aca="false">IF($B229="","",IF(IFERROR(INDEX(业务流水!$D$5:$D$1504,MATCH(224,业务流水!$X$5:$X$1504,0)),"")="挂靠代收",IFERROR(INDEX(业务流水!$F$5:$F$1504,MATCH(224,业务流水!$X$5:$X$1504,0)),""),IFERROR(INDEX(业务流水!$E$5:$E$1504,MATCH(224,业务流水!$X$5:$X$1504,0)),"")))</f>
        <v/>
      </c>
      <c r="F229" s="32" t="str">
        <f aca="false">IFERROR(INDEX(业务流水!$D$5:$D$1504,MATCH(224,业务流水!$X$5:$X$1504,0)),"")</f>
        <v/>
      </c>
      <c r="G229" s="41" t="n">
        <f aca="false">IF($F229="挂靠代收",N(IFERROR(INDEX(业务流水!$H$5:$H$1504,MATCH(224,业务流水!$X$5:$X$1504,0)),"")),0)</f>
        <v>0</v>
      </c>
      <c r="H229" s="41" t="n">
        <f aca="false">IF($F229="我方收款",N(IFERROR(INDEX(业务流水!$H$5:$H$1504,MATCH(224,业务流水!$X$5:$X$1504,0)),"")),0)</f>
        <v>0</v>
      </c>
      <c r="I229" s="42" t="str">
        <f aca="false">IF($B229="","",SUMIFS($G$6:$G229,$E$6:$E229,$E229)-SUMIFS($H$6:$H229,$E$6:$E229,$E229))</f>
        <v/>
      </c>
      <c r="J229" s="40" t="str">
        <f aca="false">IFERROR(INDEX(业务流水!$J$5:$J$1504,MATCH(224,业务流水!$X$5:$X$1504,0)),"")</f>
        <v/>
      </c>
    </row>
    <row r="230" customFormat="false" ht="15.75" hidden="false" customHeight="true" outlineLevel="0" collapsed="false">
      <c r="A230" s="32" t="str">
        <f aca="false">IF($B230="","",225)</f>
        <v/>
      </c>
      <c r="B230" s="50" t="str">
        <f aca="false">IFERROR(INDEX(业务流水!$B$5:$B$1504,MATCH(225,业务流水!$X$5:$X$1504,0)),"")</f>
        <v/>
      </c>
      <c r="C230" s="32" t="str">
        <f aca="false">IFERROR(INDEX(业务流水!$C$5:$C$1504,MATCH(225,业务流水!$X$5:$X$1504,0)),"")</f>
        <v/>
      </c>
      <c r="D230" s="40" t="str">
        <f aca="false">IFERROR(INDEX(业务流水!$M$5:$M$1504,MATCH(225,业务流水!$X$5:$X$1504,0)),"")</f>
        <v/>
      </c>
      <c r="E230" s="32" t="str">
        <f aca="false">IF($B230="","",IF(IFERROR(INDEX(业务流水!$D$5:$D$1504,MATCH(225,业务流水!$X$5:$X$1504,0)),"")="挂靠代收",IFERROR(INDEX(业务流水!$F$5:$F$1504,MATCH(225,业务流水!$X$5:$X$1504,0)),""),IFERROR(INDEX(业务流水!$E$5:$E$1504,MATCH(225,业务流水!$X$5:$X$1504,0)),"")))</f>
        <v/>
      </c>
      <c r="F230" s="32" t="str">
        <f aca="false">IFERROR(INDEX(业务流水!$D$5:$D$1504,MATCH(225,业务流水!$X$5:$X$1504,0)),"")</f>
        <v/>
      </c>
      <c r="G230" s="41" t="n">
        <f aca="false">IF($F230="挂靠代收",N(IFERROR(INDEX(业务流水!$H$5:$H$1504,MATCH(225,业务流水!$X$5:$X$1504,0)),"")),0)</f>
        <v>0</v>
      </c>
      <c r="H230" s="41" t="n">
        <f aca="false">IF($F230="我方收款",N(IFERROR(INDEX(业务流水!$H$5:$H$1504,MATCH(225,业务流水!$X$5:$X$1504,0)),"")),0)</f>
        <v>0</v>
      </c>
      <c r="I230" s="42" t="str">
        <f aca="false">IF($B230="","",SUMIFS($G$6:$G230,$E$6:$E230,$E230)-SUMIFS($H$6:$H230,$E$6:$E230,$E230))</f>
        <v/>
      </c>
      <c r="J230" s="40" t="str">
        <f aca="false">IFERROR(INDEX(业务流水!$J$5:$J$1504,MATCH(225,业务流水!$X$5:$X$1504,0)),"")</f>
        <v/>
      </c>
    </row>
    <row r="231" customFormat="false" ht="15.75" hidden="false" customHeight="true" outlineLevel="0" collapsed="false">
      <c r="A231" s="32" t="str">
        <f aca="false">IF($B231="","",226)</f>
        <v/>
      </c>
      <c r="B231" s="50" t="str">
        <f aca="false">IFERROR(INDEX(业务流水!$B$5:$B$1504,MATCH(226,业务流水!$X$5:$X$1504,0)),"")</f>
        <v/>
      </c>
      <c r="C231" s="32" t="str">
        <f aca="false">IFERROR(INDEX(业务流水!$C$5:$C$1504,MATCH(226,业务流水!$X$5:$X$1504,0)),"")</f>
        <v/>
      </c>
      <c r="D231" s="40" t="str">
        <f aca="false">IFERROR(INDEX(业务流水!$M$5:$M$1504,MATCH(226,业务流水!$X$5:$X$1504,0)),"")</f>
        <v/>
      </c>
      <c r="E231" s="32" t="str">
        <f aca="false">IF($B231="","",IF(IFERROR(INDEX(业务流水!$D$5:$D$1504,MATCH(226,业务流水!$X$5:$X$1504,0)),"")="挂靠代收",IFERROR(INDEX(业务流水!$F$5:$F$1504,MATCH(226,业务流水!$X$5:$X$1504,0)),""),IFERROR(INDEX(业务流水!$E$5:$E$1504,MATCH(226,业务流水!$X$5:$X$1504,0)),"")))</f>
        <v/>
      </c>
      <c r="F231" s="32" t="str">
        <f aca="false">IFERROR(INDEX(业务流水!$D$5:$D$1504,MATCH(226,业务流水!$X$5:$X$1504,0)),"")</f>
        <v/>
      </c>
      <c r="G231" s="41" t="n">
        <f aca="false">IF($F231="挂靠代收",N(IFERROR(INDEX(业务流水!$H$5:$H$1504,MATCH(226,业务流水!$X$5:$X$1504,0)),"")),0)</f>
        <v>0</v>
      </c>
      <c r="H231" s="41" t="n">
        <f aca="false">IF($F231="我方收款",N(IFERROR(INDEX(业务流水!$H$5:$H$1504,MATCH(226,业务流水!$X$5:$X$1504,0)),"")),0)</f>
        <v>0</v>
      </c>
      <c r="I231" s="42" t="str">
        <f aca="false">IF($B231="","",SUMIFS($G$6:$G231,$E$6:$E231,$E231)-SUMIFS($H$6:$H231,$E$6:$E231,$E231))</f>
        <v/>
      </c>
      <c r="J231" s="40" t="str">
        <f aca="false">IFERROR(INDEX(业务流水!$J$5:$J$1504,MATCH(226,业务流水!$X$5:$X$1504,0)),"")</f>
        <v/>
      </c>
    </row>
    <row r="232" customFormat="false" ht="15.75" hidden="false" customHeight="true" outlineLevel="0" collapsed="false">
      <c r="A232" s="32" t="str">
        <f aca="false">IF($B232="","",227)</f>
        <v/>
      </c>
      <c r="B232" s="50" t="str">
        <f aca="false">IFERROR(INDEX(业务流水!$B$5:$B$1504,MATCH(227,业务流水!$X$5:$X$1504,0)),"")</f>
        <v/>
      </c>
      <c r="C232" s="32" t="str">
        <f aca="false">IFERROR(INDEX(业务流水!$C$5:$C$1504,MATCH(227,业务流水!$X$5:$X$1504,0)),"")</f>
        <v/>
      </c>
      <c r="D232" s="40" t="str">
        <f aca="false">IFERROR(INDEX(业务流水!$M$5:$M$1504,MATCH(227,业务流水!$X$5:$X$1504,0)),"")</f>
        <v/>
      </c>
      <c r="E232" s="32" t="str">
        <f aca="false">IF($B232="","",IF(IFERROR(INDEX(业务流水!$D$5:$D$1504,MATCH(227,业务流水!$X$5:$X$1504,0)),"")="挂靠代收",IFERROR(INDEX(业务流水!$F$5:$F$1504,MATCH(227,业务流水!$X$5:$X$1504,0)),""),IFERROR(INDEX(业务流水!$E$5:$E$1504,MATCH(227,业务流水!$X$5:$X$1504,0)),"")))</f>
        <v/>
      </c>
      <c r="F232" s="32" t="str">
        <f aca="false">IFERROR(INDEX(业务流水!$D$5:$D$1504,MATCH(227,业务流水!$X$5:$X$1504,0)),"")</f>
        <v/>
      </c>
      <c r="G232" s="41" t="n">
        <f aca="false">IF($F232="挂靠代收",N(IFERROR(INDEX(业务流水!$H$5:$H$1504,MATCH(227,业务流水!$X$5:$X$1504,0)),"")),0)</f>
        <v>0</v>
      </c>
      <c r="H232" s="41" t="n">
        <f aca="false">IF($F232="我方收款",N(IFERROR(INDEX(业务流水!$H$5:$H$1504,MATCH(227,业务流水!$X$5:$X$1504,0)),"")),0)</f>
        <v>0</v>
      </c>
      <c r="I232" s="42" t="str">
        <f aca="false">IF($B232="","",SUMIFS($G$6:$G232,$E$6:$E232,$E232)-SUMIFS($H$6:$H232,$E$6:$E232,$E232))</f>
        <v/>
      </c>
      <c r="J232" s="40" t="str">
        <f aca="false">IFERROR(INDEX(业务流水!$J$5:$J$1504,MATCH(227,业务流水!$X$5:$X$1504,0)),"")</f>
        <v/>
      </c>
    </row>
    <row r="233" customFormat="false" ht="15.75" hidden="false" customHeight="true" outlineLevel="0" collapsed="false">
      <c r="A233" s="32" t="str">
        <f aca="false">IF($B233="","",228)</f>
        <v/>
      </c>
      <c r="B233" s="50" t="str">
        <f aca="false">IFERROR(INDEX(业务流水!$B$5:$B$1504,MATCH(228,业务流水!$X$5:$X$1504,0)),"")</f>
        <v/>
      </c>
      <c r="C233" s="32" t="str">
        <f aca="false">IFERROR(INDEX(业务流水!$C$5:$C$1504,MATCH(228,业务流水!$X$5:$X$1504,0)),"")</f>
        <v/>
      </c>
      <c r="D233" s="40" t="str">
        <f aca="false">IFERROR(INDEX(业务流水!$M$5:$M$1504,MATCH(228,业务流水!$X$5:$X$1504,0)),"")</f>
        <v/>
      </c>
      <c r="E233" s="32" t="str">
        <f aca="false">IF($B233="","",IF(IFERROR(INDEX(业务流水!$D$5:$D$1504,MATCH(228,业务流水!$X$5:$X$1504,0)),"")="挂靠代收",IFERROR(INDEX(业务流水!$F$5:$F$1504,MATCH(228,业务流水!$X$5:$X$1504,0)),""),IFERROR(INDEX(业务流水!$E$5:$E$1504,MATCH(228,业务流水!$X$5:$X$1504,0)),"")))</f>
        <v/>
      </c>
      <c r="F233" s="32" t="str">
        <f aca="false">IFERROR(INDEX(业务流水!$D$5:$D$1504,MATCH(228,业务流水!$X$5:$X$1504,0)),"")</f>
        <v/>
      </c>
      <c r="G233" s="41" t="n">
        <f aca="false">IF($F233="挂靠代收",N(IFERROR(INDEX(业务流水!$H$5:$H$1504,MATCH(228,业务流水!$X$5:$X$1504,0)),"")),0)</f>
        <v>0</v>
      </c>
      <c r="H233" s="41" t="n">
        <f aca="false">IF($F233="我方收款",N(IFERROR(INDEX(业务流水!$H$5:$H$1504,MATCH(228,业务流水!$X$5:$X$1504,0)),"")),0)</f>
        <v>0</v>
      </c>
      <c r="I233" s="42" t="str">
        <f aca="false">IF($B233="","",SUMIFS($G$6:$G233,$E$6:$E233,$E233)-SUMIFS($H$6:$H233,$E$6:$E233,$E233))</f>
        <v/>
      </c>
      <c r="J233" s="40" t="str">
        <f aca="false">IFERROR(INDEX(业务流水!$J$5:$J$1504,MATCH(228,业务流水!$X$5:$X$1504,0)),"")</f>
        <v/>
      </c>
    </row>
    <row r="234" customFormat="false" ht="15.75" hidden="false" customHeight="true" outlineLevel="0" collapsed="false">
      <c r="A234" s="32" t="str">
        <f aca="false">IF($B234="","",229)</f>
        <v/>
      </c>
      <c r="B234" s="50" t="str">
        <f aca="false">IFERROR(INDEX(业务流水!$B$5:$B$1504,MATCH(229,业务流水!$X$5:$X$1504,0)),"")</f>
        <v/>
      </c>
      <c r="C234" s="32" t="str">
        <f aca="false">IFERROR(INDEX(业务流水!$C$5:$C$1504,MATCH(229,业务流水!$X$5:$X$1504,0)),"")</f>
        <v/>
      </c>
      <c r="D234" s="40" t="str">
        <f aca="false">IFERROR(INDEX(业务流水!$M$5:$M$1504,MATCH(229,业务流水!$X$5:$X$1504,0)),"")</f>
        <v/>
      </c>
      <c r="E234" s="32" t="str">
        <f aca="false">IF($B234="","",IF(IFERROR(INDEX(业务流水!$D$5:$D$1504,MATCH(229,业务流水!$X$5:$X$1504,0)),"")="挂靠代收",IFERROR(INDEX(业务流水!$F$5:$F$1504,MATCH(229,业务流水!$X$5:$X$1504,0)),""),IFERROR(INDEX(业务流水!$E$5:$E$1504,MATCH(229,业务流水!$X$5:$X$1504,0)),"")))</f>
        <v/>
      </c>
      <c r="F234" s="32" t="str">
        <f aca="false">IFERROR(INDEX(业务流水!$D$5:$D$1504,MATCH(229,业务流水!$X$5:$X$1504,0)),"")</f>
        <v/>
      </c>
      <c r="G234" s="41" t="n">
        <f aca="false">IF($F234="挂靠代收",N(IFERROR(INDEX(业务流水!$H$5:$H$1504,MATCH(229,业务流水!$X$5:$X$1504,0)),"")),0)</f>
        <v>0</v>
      </c>
      <c r="H234" s="41" t="n">
        <f aca="false">IF($F234="我方收款",N(IFERROR(INDEX(业务流水!$H$5:$H$1504,MATCH(229,业务流水!$X$5:$X$1504,0)),"")),0)</f>
        <v>0</v>
      </c>
      <c r="I234" s="42" t="str">
        <f aca="false">IF($B234="","",SUMIFS($G$6:$G234,$E$6:$E234,$E234)-SUMIFS($H$6:$H234,$E$6:$E234,$E234))</f>
        <v/>
      </c>
      <c r="J234" s="40" t="str">
        <f aca="false">IFERROR(INDEX(业务流水!$J$5:$J$1504,MATCH(229,业务流水!$X$5:$X$1504,0)),"")</f>
        <v/>
      </c>
    </row>
    <row r="235" customFormat="false" ht="15.75" hidden="false" customHeight="true" outlineLevel="0" collapsed="false">
      <c r="A235" s="32" t="str">
        <f aca="false">IF($B235="","",230)</f>
        <v/>
      </c>
      <c r="B235" s="50" t="str">
        <f aca="false">IFERROR(INDEX(业务流水!$B$5:$B$1504,MATCH(230,业务流水!$X$5:$X$1504,0)),"")</f>
        <v/>
      </c>
      <c r="C235" s="32" t="str">
        <f aca="false">IFERROR(INDEX(业务流水!$C$5:$C$1504,MATCH(230,业务流水!$X$5:$X$1504,0)),"")</f>
        <v/>
      </c>
      <c r="D235" s="40" t="str">
        <f aca="false">IFERROR(INDEX(业务流水!$M$5:$M$1504,MATCH(230,业务流水!$X$5:$X$1504,0)),"")</f>
        <v/>
      </c>
      <c r="E235" s="32" t="str">
        <f aca="false">IF($B235="","",IF(IFERROR(INDEX(业务流水!$D$5:$D$1504,MATCH(230,业务流水!$X$5:$X$1504,0)),"")="挂靠代收",IFERROR(INDEX(业务流水!$F$5:$F$1504,MATCH(230,业务流水!$X$5:$X$1504,0)),""),IFERROR(INDEX(业务流水!$E$5:$E$1504,MATCH(230,业务流水!$X$5:$X$1504,0)),"")))</f>
        <v/>
      </c>
      <c r="F235" s="32" t="str">
        <f aca="false">IFERROR(INDEX(业务流水!$D$5:$D$1504,MATCH(230,业务流水!$X$5:$X$1504,0)),"")</f>
        <v/>
      </c>
      <c r="G235" s="41" t="n">
        <f aca="false">IF($F235="挂靠代收",N(IFERROR(INDEX(业务流水!$H$5:$H$1504,MATCH(230,业务流水!$X$5:$X$1504,0)),"")),0)</f>
        <v>0</v>
      </c>
      <c r="H235" s="41" t="n">
        <f aca="false">IF($F235="我方收款",N(IFERROR(INDEX(业务流水!$H$5:$H$1504,MATCH(230,业务流水!$X$5:$X$1504,0)),"")),0)</f>
        <v>0</v>
      </c>
      <c r="I235" s="42" t="str">
        <f aca="false">IF($B235="","",SUMIFS($G$6:$G235,$E$6:$E235,$E235)-SUMIFS($H$6:$H235,$E$6:$E235,$E235))</f>
        <v/>
      </c>
      <c r="J235" s="40" t="str">
        <f aca="false">IFERROR(INDEX(业务流水!$J$5:$J$1504,MATCH(230,业务流水!$X$5:$X$1504,0)),"")</f>
        <v/>
      </c>
    </row>
    <row r="236" customFormat="false" ht="15.75" hidden="false" customHeight="true" outlineLevel="0" collapsed="false">
      <c r="A236" s="32" t="str">
        <f aca="false">IF($B236="","",231)</f>
        <v/>
      </c>
      <c r="B236" s="50" t="str">
        <f aca="false">IFERROR(INDEX(业务流水!$B$5:$B$1504,MATCH(231,业务流水!$X$5:$X$1504,0)),"")</f>
        <v/>
      </c>
      <c r="C236" s="32" t="str">
        <f aca="false">IFERROR(INDEX(业务流水!$C$5:$C$1504,MATCH(231,业务流水!$X$5:$X$1504,0)),"")</f>
        <v/>
      </c>
      <c r="D236" s="40" t="str">
        <f aca="false">IFERROR(INDEX(业务流水!$M$5:$M$1504,MATCH(231,业务流水!$X$5:$X$1504,0)),"")</f>
        <v/>
      </c>
      <c r="E236" s="32" t="str">
        <f aca="false">IF($B236="","",IF(IFERROR(INDEX(业务流水!$D$5:$D$1504,MATCH(231,业务流水!$X$5:$X$1504,0)),"")="挂靠代收",IFERROR(INDEX(业务流水!$F$5:$F$1504,MATCH(231,业务流水!$X$5:$X$1504,0)),""),IFERROR(INDEX(业务流水!$E$5:$E$1504,MATCH(231,业务流水!$X$5:$X$1504,0)),"")))</f>
        <v/>
      </c>
      <c r="F236" s="32" t="str">
        <f aca="false">IFERROR(INDEX(业务流水!$D$5:$D$1504,MATCH(231,业务流水!$X$5:$X$1504,0)),"")</f>
        <v/>
      </c>
      <c r="G236" s="41" t="n">
        <f aca="false">IF($F236="挂靠代收",N(IFERROR(INDEX(业务流水!$H$5:$H$1504,MATCH(231,业务流水!$X$5:$X$1504,0)),"")),0)</f>
        <v>0</v>
      </c>
      <c r="H236" s="41" t="n">
        <f aca="false">IF($F236="我方收款",N(IFERROR(INDEX(业务流水!$H$5:$H$1504,MATCH(231,业务流水!$X$5:$X$1504,0)),"")),0)</f>
        <v>0</v>
      </c>
      <c r="I236" s="42" t="str">
        <f aca="false">IF($B236="","",SUMIFS($G$6:$G236,$E$6:$E236,$E236)-SUMIFS($H$6:$H236,$E$6:$E236,$E236))</f>
        <v/>
      </c>
      <c r="J236" s="40" t="str">
        <f aca="false">IFERROR(INDEX(业务流水!$J$5:$J$1504,MATCH(231,业务流水!$X$5:$X$1504,0)),"")</f>
        <v/>
      </c>
    </row>
    <row r="237" customFormat="false" ht="15.75" hidden="false" customHeight="true" outlineLevel="0" collapsed="false">
      <c r="A237" s="32" t="str">
        <f aca="false">IF($B237="","",232)</f>
        <v/>
      </c>
      <c r="B237" s="50" t="str">
        <f aca="false">IFERROR(INDEX(业务流水!$B$5:$B$1504,MATCH(232,业务流水!$X$5:$X$1504,0)),"")</f>
        <v/>
      </c>
      <c r="C237" s="32" t="str">
        <f aca="false">IFERROR(INDEX(业务流水!$C$5:$C$1504,MATCH(232,业务流水!$X$5:$X$1504,0)),"")</f>
        <v/>
      </c>
      <c r="D237" s="40" t="str">
        <f aca="false">IFERROR(INDEX(业务流水!$M$5:$M$1504,MATCH(232,业务流水!$X$5:$X$1504,0)),"")</f>
        <v/>
      </c>
      <c r="E237" s="32" t="str">
        <f aca="false">IF($B237="","",IF(IFERROR(INDEX(业务流水!$D$5:$D$1504,MATCH(232,业务流水!$X$5:$X$1504,0)),"")="挂靠代收",IFERROR(INDEX(业务流水!$F$5:$F$1504,MATCH(232,业务流水!$X$5:$X$1504,0)),""),IFERROR(INDEX(业务流水!$E$5:$E$1504,MATCH(232,业务流水!$X$5:$X$1504,0)),"")))</f>
        <v/>
      </c>
      <c r="F237" s="32" t="str">
        <f aca="false">IFERROR(INDEX(业务流水!$D$5:$D$1504,MATCH(232,业务流水!$X$5:$X$1504,0)),"")</f>
        <v/>
      </c>
      <c r="G237" s="41" t="n">
        <f aca="false">IF($F237="挂靠代收",N(IFERROR(INDEX(业务流水!$H$5:$H$1504,MATCH(232,业务流水!$X$5:$X$1504,0)),"")),0)</f>
        <v>0</v>
      </c>
      <c r="H237" s="41" t="n">
        <f aca="false">IF($F237="我方收款",N(IFERROR(INDEX(业务流水!$H$5:$H$1504,MATCH(232,业务流水!$X$5:$X$1504,0)),"")),0)</f>
        <v>0</v>
      </c>
      <c r="I237" s="42" t="str">
        <f aca="false">IF($B237="","",SUMIFS($G$6:$G237,$E$6:$E237,$E237)-SUMIFS($H$6:$H237,$E$6:$E237,$E237))</f>
        <v/>
      </c>
      <c r="J237" s="40" t="str">
        <f aca="false">IFERROR(INDEX(业务流水!$J$5:$J$1504,MATCH(232,业务流水!$X$5:$X$1504,0)),"")</f>
        <v/>
      </c>
    </row>
    <row r="238" customFormat="false" ht="15.75" hidden="false" customHeight="true" outlineLevel="0" collapsed="false">
      <c r="A238" s="32" t="str">
        <f aca="false">IF($B238="","",233)</f>
        <v/>
      </c>
      <c r="B238" s="50" t="str">
        <f aca="false">IFERROR(INDEX(业务流水!$B$5:$B$1504,MATCH(233,业务流水!$X$5:$X$1504,0)),"")</f>
        <v/>
      </c>
      <c r="C238" s="32" t="str">
        <f aca="false">IFERROR(INDEX(业务流水!$C$5:$C$1504,MATCH(233,业务流水!$X$5:$X$1504,0)),"")</f>
        <v/>
      </c>
      <c r="D238" s="40" t="str">
        <f aca="false">IFERROR(INDEX(业务流水!$M$5:$M$1504,MATCH(233,业务流水!$X$5:$X$1504,0)),"")</f>
        <v/>
      </c>
      <c r="E238" s="32" t="str">
        <f aca="false">IF($B238="","",IF(IFERROR(INDEX(业务流水!$D$5:$D$1504,MATCH(233,业务流水!$X$5:$X$1504,0)),"")="挂靠代收",IFERROR(INDEX(业务流水!$F$5:$F$1504,MATCH(233,业务流水!$X$5:$X$1504,0)),""),IFERROR(INDEX(业务流水!$E$5:$E$1504,MATCH(233,业务流水!$X$5:$X$1504,0)),"")))</f>
        <v/>
      </c>
      <c r="F238" s="32" t="str">
        <f aca="false">IFERROR(INDEX(业务流水!$D$5:$D$1504,MATCH(233,业务流水!$X$5:$X$1504,0)),"")</f>
        <v/>
      </c>
      <c r="G238" s="41" t="n">
        <f aca="false">IF($F238="挂靠代收",N(IFERROR(INDEX(业务流水!$H$5:$H$1504,MATCH(233,业务流水!$X$5:$X$1504,0)),"")),0)</f>
        <v>0</v>
      </c>
      <c r="H238" s="41" t="n">
        <f aca="false">IF($F238="我方收款",N(IFERROR(INDEX(业务流水!$H$5:$H$1504,MATCH(233,业务流水!$X$5:$X$1504,0)),"")),0)</f>
        <v>0</v>
      </c>
      <c r="I238" s="42" t="str">
        <f aca="false">IF($B238="","",SUMIFS($G$6:$G238,$E$6:$E238,$E238)-SUMIFS($H$6:$H238,$E$6:$E238,$E238))</f>
        <v/>
      </c>
      <c r="J238" s="40" t="str">
        <f aca="false">IFERROR(INDEX(业务流水!$J$5:$J$1504,MATCH(233,业务流水!$X$5:$X$1504,0)),"")</f>
        <v/>
      </c>
    </row>
    <row r="239" customFormat="false" ht="15.75" hidden="false" customHeight="true" outlineLevel="0" collapsed="false">
      <c r="A239" s="32" t="str">
        <f aca="false">IF($B239="","",234)</f>
        <v/>
      </c>
      <c r="B239" s="50" t="str">
        <f aca="false">IFERROR(INDEX(业务流水!$B$5:$B$1504,MATCH(234,业务流水!$X$5:$X$1504,0)),"")</f>
        <v/>
      </c>
      <c r="C239" s="32" t="str">
        <f aca="false">IFERROR(INDEX(业务流水!$C$5:$C$1504,MATCH(234,业务流水!$X$5:$X$1504,0)),"")</f>
        <v/>
      </c>
      <c r="D239" s="40" t="str">
        <f aca="false">IFERROR(INDEX(业务流水!$M$5:$M$1504,MATCH(234,业务流水!$X$5:$X$1504,0)),"")</f>
        <v/>
      </c>
      <c r="E239" s="32" t="str">
        <f aca="false">IF($B239="","",IF(IFERROR(INDEX(业务流水!$D$5:$D$1504,MATCH(234,业务流水!$X$5:$X$1504,0)),"")="挂靠代收",IFERROR(INDEX(业务流水!$F$5:$F$1504,MATCH(234,业务流水!$X$5:$X$1504,0)),""),IFERROR(INDEX(业务流水!$E$5:$E$1504,MATCH(234,业务流水!$X$5:$X$1504,0)),"")))</f>
        <v/>
      </c>
      <c r="F239" s="32" t="str">
        <f aca="false">IFERROR(INDEX(业务流水!$D$5:$D$1504,MATCH(234,业务流水!$X$5:$X$1504,0)),"")</f>
        <v/>
      </c>
      <c r="G239" s="41" t="n">
        <f aca="false">IF($F239="挂靠代收",N(IFERROR(INDEX(业务流水!$H$5:$H$1504,MATCH(234,业务流水!$X$5:$X$1504,0)),"")),0)</f>
        <v>0</v>
      </c>
      <c r="H239" s="41" t="n">
        <f aca="false">IF($F239="我方收款",N(IFERROR(INDEX(业务流水!$H$5:$H$1504,MATCH(234,业务流水!$X$5:$X$1504,0)),"")),0)</f>
        <v>0</v>
      </c>
      <c r="I239" s="42" t="str">
        <f aca="false">IF($B239="","",SUMIFS($G$6:$G239,$E$6:$E239,$E239)-SUMIFS($H$6:$H239,$E$6:$E239,$E239))</f>
        <v/>
      </c>
      <c r="J239" s="40" t="str">
        <f aca="false">IFERROR(INDEX(业务流水!$J$5:$J$1504,MATCH(234,业务流水!$X$5:$X$1504,0)),"")</f>
        <v/>
      </c>
    </row>
    <row r="240" customFormat="false" ht="15.75" hidden="false" customHeight="true" outlineLevel="0" collapsed="false">
      <c r="A240" s="32" t="str">
        <f aca="false">IF($B240="","",235)</f>
        <v/>
      </c>
      <c r="B240" s="50" t="str">
        <f aca="false">IFERROR(INDEX(业务流水!$B$5:$B$1504,MATCH(235,业务流水!$X$5:$X$1504,0)),"")</f>
        <v/>
      </c>
      <c r="C240" s="32" t="str">
        <f aca="false">IFERROR(INDEX(业务流水!$C$5:$C$1504,MATCH(235,业务流水!$X$5:$X$1504,0)),"")</f>
        <v/>
      </c>
      <c r="D240" s="40" t="str">
        <f aca="false">IFERROR(INDEX(业务流水!$M$5:$M$1504,MATCH(235,业务流水!$X$5:$X$1504,0)),"")</f>
        <v/>
      </c>
      <c r="E240" s="32" t="str">
        <f aca="false">IF($B240="","",IF(IFERROR(INDEX(业务流水!$D$5:$D$1504,MATCH(235,业务流水!$X$5:$X$1504,0)),"")="挂靠代收",IFERROR(INDEX(业务流水!$F$5:$F$1504,MATCH(235,业务流水!$X$5:$X$1504,0)),""),IFERROR(INDEX(业务流水!$E$5:$E$1504,MATCH(235,业务流水!$X$5:$X$1504,0)),"")))</f>
        <v/>
      </c>
      <c r="F240" s="32" t="str">
        <f aca="false">IFERROR(INDEX(业务流水!$D$5:$D$1504,MATCH(235,业务流水!$X$5:$X$1504,0)),"")</f>
        <v/>
      </c>
      <c r="G240" s="41" t="n">
        <f aca="false">IF($F240="挂靠代收",N(IFERROR(INDEX(业务流水!$H$5:$H$1504,MATCH(235,业务流水!$X$5:$X$1504,0)),"")),0)</f>
        <v>0</v>
      </c>
      <c r="H240" s="41" t="n">
        <f aca="false">IF($F240="我方收款",N(IFERROR(INDEX(业务流水!$H$5:$H$1504,MATCH(235,业务流水!$X$5:$X$1504,0)),"")),0)</f>
        <v>0</v>
      </c>
      <c r="I240" s="42" t="str">
        <f aca="false">IF($B240="","",SUMIFS($G$6:$G240,$E$6:$E240,$E240)-SUMIFS($H$6:$H240,$E$6:$E240,$E240))</f>
        <v/>
      </c>
      <c r="J240" s="40" t="str">
        <f aca="false">IFERROR(INDEX(业务流水!$J$5:$J$1504,MATCH(235,业务流水!$X$5:$X$1504,0)),"")</f>
        <v/>
      </c>
    </row>
    <row r="241" customFormat="false" ht="15.75" hidden="false" customHeight="true" outlineLevel="0" collapsed="false">
      <c r="A241" s="32" t="str">
        <f aca="false">IF($B241="","",236)</f>
        <v/>
      </c>
      <c r="B241" s="50" t="str">
        <f aca="false">IFERROR(INDEX(业务流水!$B$5:$B$1504,MATCH(236,业务流水!$X$5:$X$1504,0)),"")</f>
        <v/>
      </c>
      <c r="C241" s="32" t="str">
        <f aca="false">IFERROR(INDEX(业务流水!$C$5:$C$1504,MATCH(236,业务流水!$X$5:$X$1504,0)),"")</f>
        <v/>
      </c>
      <c r="D241" s="40" t="str">
        <f aca="false">IFERROR(INDEX(业务流水!$M$5:$M$1504,MATCH(236,业务流水!$X$5:$X$1504,0)),"")</f>
        <v/>
      </c>
      <c r="E241" s="32" t="str">
        <f aca="false">IF($B241="","",IF(IFERROR(INDEX(业务流水!$D$5:$D$1504,MATCH(236,业务流水!$X$5:$X$1504,0)),"")="挂靠代收",IFERROR(INDEX(业务流水!$F$5:$F$1504,MATCH(236,业务流水!$X$5:$X$1504,0)),""),IFERROR(INDEX(业务流水!$E$5:$E$1504,MATCH(236,业务流水!$X$5:$X$1504,0)),"")))</f>
        <v/>
      </c>
      <c r="F241" s="32" t="str">
        <f aca="false">IFERROR(INDEX(业务流水!$D$5:$D$1504,MATCH(236,业务流水!$X$5:$X$1504,0)),"")</f>
        <v/>
      </c>
      <c r="G241" s="41" t="n">
        <f aca="false">IF($F241="挂靠代收",N(IFERROR(INDEX(业务流水!$H$5:$H$1504,MATCH(236,业务流水!$X$5:$X$1504,0)),"")),0)</f>
        <v>0</v>
      </c>
      <c r="H241" s="41" t="n">
        <f aca="false">IF($F241="我方收款",N(IFERROR(INDEX(业务流水!$H$5:$H$1504,MATCH(236,业务流水!$X$5:$X$1504,0)),"")),0)</f>
        <v>0</v>
      </c>
      <c r="I241" s="42" t="str">
        <f aca="false">IF($B241="","",SUMIFS($G$6:$G241,$E$6:$E241,$E241)-SUMIFS($H$6:$H241,$E$6:$E241,$E241))</f>
        <v/>
      </c>
      <c r="J241" s="40" t="str">
        <f aca="false">IFERROR(INDEX(业务流水!$J$5:$J$1504,MATCH(236,业务流水!$X$5:$X$1504,0)),"")</f>
        <v/>
      </c>
    </row>
    <row r="242" customFormat="false" ht="15.75" hidden="false" customHeight="true" outlineLevel="0" collapsed="false">
      <c r="A242" s="32" t="str">
        <f aca="false">IF($B242="","",237)</f>
        <v/>
      </c>
      <c r="B242" s="50" t="str">
        <f aca="false">IFERROR(INDEX(业务流水!$B$5:$B$1504,MATCH(237,业务流水!$X$5:$X$1504,0)),"")</f>
        <v/>
      </c>
      <c r="C242" s="32" t="str">
        <f aca="false">IFERROR(INDEX(业务流水!$C$5:$C$1504,MATCH(237,业务流水!$X$5:$X$1504,0)),"")</f>
        <v/>
      </c>
      <c r="D242" s="40" t="str">
        <f aca="false">IFERROR(INDEX(业务流水!$M$5:$M$1504,MATCH(237,业务流水!$X$5:$X$1504,0)),"")</f>
        <v/>
      </c>
      <c r="E242" s="32" t="str">
        <f aca="false">IF($B242="","",IF(IFERROR(INDEX(业务流水!$D$5:$D$1504,MATCH(237,业务流水!$X$5:$X$1504,0)),"")="挂靠代收",IFERROR(INDEX(业务流水!$F$5:$F$1504,MATCH(237,业务流水!$X$5:$X$1504,0)),""),IFERROR(INDEX(业务流水!$E$5:$E$1504,MATCH(237,业务流水!$X$5:$X$1504,0)),"")))</f>
        <v/>
      </c>
      <c r="F242" s="32" t="str">
        <f aca="false">IFERROR(INDEX(业务流水!$D$5:$D$1504,MATCH(237,业务流水!$X$5:$X$1504,0)),"")</f>
        <v/>
      </c>
      <c r="G242" s="41" t="n">
        <f aca="false">IF($F242="挂靠代收",N(IFERROR(INDEX(业务流水!$H$5:$H$1504,MATCH(237,业务流水!$X$5:$X$1504,0)),"")),0)</f>
        <v>0</v>
      </c>
      <c r="H242" s="41" t="n">
        <f aca="false">IF($F242="我方收款",N(IFERROR(INDEX(业务流水!$H$5:$H$1504,MATCH(237,业务流水!$X$5:$X$1504,0)),"")),0)</f>
        <v>0</v>
      </c>
      <c r="I242" s="42" t="str">
        <f aca="false">IF($B242="","",SUMIFS($G$6:$G242,$E$6:$E242,$E242)-SUMIFS($H$6:$H242,$E$6:$E242,$E242))</f>
        <v/>
      </c>
      <c r="J242" s="40" t="str">
        <f aca="false">IFERROR(INDEX(业务流水!$J$5:$J$1504,MATCH(237,业务流水!$X$5:$X$1504,0)),"")</f>
        <v/>
      </c>
    </row>
    <row r="243" customFormat="false" ht="15.75" hidden="false" customHeight="true" outlineLevel="0" collapsed="false">
      <c r="A243" s="32" t="str">
        <f aca="false">IF($B243="","",238)</f>
        <v/>
      </c>
      <c r="B243" s="50" t="str">
        <f aca="false">IFERROR(INDEX(业务流水!$B$5:$B$1504,MATCH(238,业务流水!$X$5:$X$1504,0)),"")</f>
        <v/>
      </c>
      <c r="C243" s="32" t="str">
        <f aca="false">IFERROR(INDEX(业务流水!$C$5:$C$1504,MATCH(238,业务流水!$X$5:$X$1504,0)),"")</f>
        <v/>
      </c>
      <c r="D243" s="40" t="str">
        <f aca="false">IFERROR(INDEX(业务流水!$M$5:$M$1504,MATCH(238,业务流水!$X$5:$X$1504,0)),"")</f>
        <v/>
      </c>
      <c r="E243" s="32" t="str">
        <f aca="false">IF($B243="","",IF(IFERROR(INDEX(业务流水!$D$5:$D$1504,MATCH(238,业务流水!$X$5:$X$1504,0)),"")="挂靠代收",IFERROR(INDEX(业务流水!$F$5:$F$1504,MATCH(238,业务流水!$X$5:$X$1504,0)),""),IFERROR(INDEX(业务流水!$E$5:$E$1504,MATCH(238,业务流水!$X$5:$X$1504,0)),"")))</f>
        <v/>
      </c>
      <c r="F243" s="32" t="str">
        <f aca="false">IFERROR(INDEX(业务流水!$D$5:$D$1504,MATCH(238,业务流水!$X$5:$X$1504,0)),"")</f>
        <v/>
      </c>
      <c r="G243" s="41" t="n">
        <f aca="false">IF($F243="挂靠代收",N(IFERROR(INDEX(业务流水!$H$5:$H$1504,MATCH(238,业务流水!$X$5:$X$1504,0)),"")),0)</f>
        <v>0</v>
      </c>
      <c r="H243" s="41" t="n">
        <f aca="false">IF($F243="我方收款",N(IFERROR(INDEX(业务流水!$H$5:$H$1504,MATCH(238,业务流水!$X$5:$X$1504,0)),"")),0)</f>
        <v>0</v>
      </c>
      <c r="I243" s="42" t="str">
        <f aca="false">IF($B243="","",SUMIFS($G$6:$G243,$E$6:$E243,$E243)-SUMIFS($H$6:$H243,$E$6:$E243,$E243))</f>
        <v/>
      </c>
      <c r="J243" s="40" t="str">
        <f aca="false">IFERROR(INDEX(业务流水!$J$5:$J$1504,MATCH(238,业务流水!$X$5:$X$1504,0)),"")</f>
        <v/>
      </c>
    </row>
    <row r="244" customFormat="false" ht="15.75" hidden="false" customHeight="true" outlineLevel="0" collapsed="false">
      <c r="A244" s="32" t="str">
        <f aca="false">IF($B244="","",239)</f>
        <v/>
      </c>
      <c r="B244" s="50" t="str">
        <f aca="false">IFERROR(INDEX(业务流水!$B$5:$B$1504,MATCH(239,业务流水!$X$5:$X$1504,0)),"")</f>
        <v/>
      </c>
      <c r="C244" s="32" t="str">
        <f aca="false">IFERROR(INDEX(业务流水!$C$5:$C$1504,MATCH(239,业务流水!$X$5:$X$1504,0)),"")</f>
        <v/>
      </c>
      <c r="D244" s="40" t="str">
        <f aca="false">IFERROR(INDEX(业务流水!$M$5:$M$1504,MATCH(239,业务流水!$X$5:$X$1504,0)),"")</f>
        <v/>
      </c>
      <c r="E244" s="32" t="str">
        <f aca="false">IF($B244="","",IF(IFERROR(INDEX(业务流水!$D$5:$D$1504,MATCH(239,业务流水!$X$5:$X$1504,0)),"")="挂靠代收",IFERROR(INDEX(业务流水!$F$5:$F$1504,MATCH(239,业务流水!$X$5:$X$1504,0)),""),IFERROR(INDEX(业务流水!$E$5:$E$1504,MATCH(239,业务流水!$X$5:$X$1504,0)),"")))</f>
        <v/>
      </c>
      <c r="F244" s="32" t="str">
        <f aca="false">IFERROR(INDEX(业务流水!$D$5:$D$1504,MATCH(239,业务流水!$X$5:$X$1504,0)),"")</f>
        <v/>
      </c>
      <c r="G244" s="41" t="n">
        <f aca="false">IF($F244="挂靠代收",N(IFERROR(INDEX(业务流水!$H$5:$H$1504,MATCH(239,业务流水!$X$5:$X$1504,0)),"")),0)</f>
        <v>0</v>
      </c>
      <c r="H244" s="41" t="n">
        <f aca="false">IF($F244="我方收款",N(IFERROR(INDEX(业务流水!$H$5:$H$1504,MATCH(239,业务流水!$X$5:$X$1504,0)),"")),0)</f>
        <v>0</v>
      </c>
      <c r="I244" s="42" t="str">
        <f aca="false">IF($B244="","",SUMIFS($G$6:$G244,$E$6:$E244,$E244)-SUMIFS($H$6:$H244,$E$6:$E244,$E244))</f>
        <v/>
      </c>
      <c r="J244" s="40" t="str">
        <f aca="false">IFERROR(INDEX(业务流水!$J$5:$J$1504,MATCH(239,业务流水!$X$5:$X$1504,0)),"")</f>
        <v/>
      </c>
    </row>
    <row r="245" customFormat="false" ht="15.75" hidden="false" customHeight="true" outlineLevel="0" collapsed="false">
      <c r="A245" s="32" t="str">
        <f aca="false">IF($B245="","",240)</f>
        <v/>
      </c>
      <c r="B245" s="50" t="str">
        <f aca="false">IFERROR(INDEX(业务流水!$B$5:$B$1504,MATCH(240,业务流水!$X$5:$X$1504,0)),"")</f>
        <v/>
      </c>
      <c r="C245" s="32" t="str">
        <f aca="false">IFERROR(INDEX(业务流水!$C$5:$C$1504,MATCH(240,业务流水!$X$5:$X$1504,0)),"")</f>
        <v/>
      </c>
      <c r="D245" s="40" t="str">
        <f aca="false">IFERROR(INDEX(业务流水!$M$5:$M$1504,MATCH(240,业务流水!$X$5:$X$1504,0)),"")</f>
        <v/>
      </c>
      <c r="E245" s="32" t="str">
        <f aca="false">IF($B245="","",IF(IFERROR(INDEX(业务流水!$D$5:$D$1504,MATCH(240,业务流水!$X$5:$X$1504,0)),"")="挂靠代收",IFERROR(INDEX(业务流水!$F$5:$F$1504,MATCH(240,业务流水!$X$5:$X$1504,0)),""),IFERROR(INDEX(业务流水!$E$5:$E$1504,MATCH(240,业务流水!$X$5:$X$1504,0)),"")))</f>
        <v/>
      </c>
      <c r="F245" s="32" t="str">
        <f aca="false">IFERROR(INDEX(业务流水!$D$5:$D$1504,MATCH(240,业务流水!$X$5:$X$1504,0)),"")</f>
        <v/>
      </c>
      <c r="G245" s="41" t="n">
        <f aca="false">IF($F245="挂靠代收",N(IFERROR(INDEX(业务流水!$H$5:$H$1504,MATCH(240,业务流水!$X$5:$X$1504,0)),"")),0)</f>
        <v>0</v>
      </c>
      <c r="H245" s="41" t="n">
        <f aca="false">IF($F245="我方收款",N(IFERROR(INDEX(业务流水!$H$5:$H$1504,MATCH(240,业务流水!$X$5:$X$1504,0)),"")),0)</f>
        <v>0</v>
      </c>
      <c r="I245" s="42" t="str">
        <f aca="false">IF($B245="","",SUMIFS($G$6:$G245,$E$6:$E245,$E245)-SUMIFS($H$6:$H245,$E$6:$E245,$E245))</f>
        <v/>
      </c>
      <c r="J245" s="40" t="str">
        <f aca="false">IFERROR(INDEX(业务流水!$J$5:$J$1504,MATCH(240,业务流水!$X$5:$X$1504,0)),"")</f>
        <v/>
      </c>
    </row>
    <row r="246" customFormat="false" ht="15.75" hidden="false" customHeight="true" outlineLevel="0" collapsed="false">
      <c r="A246" s="32" t="str">
        <f aca="false">IF($B246="","",241)</f>
        <v/>
      </c>
      <c r="B246" s="50" t="str">
        <f aca="false">IFERROR(INDEX(业务流水!$B$5:$B$1504,MATCH(241,业务流水!$X$5:$X$1504,0)),"")</f>
        <v/>
      </c>
      <c r="C246" s="32" t="str">
        <f aca="false">IFERROR(INDEX(业务流水!$C$5:$C$1504,MATCH(241,业务流水!$X$5:$X$1504,0)),"")</f>
        <v/>
      </c>
      <c r="D246" s="40" t="str">
        <f aca="false">IFERROR(INDEX(业务流水!$M$5:$M$1504,MATCH(241,业务流水!$X$5:$X$1504,0)),"")</f>
        <v/>
      </c>
      <c r="E246" s="32" t="str">
        <f aca="false">IF($B246="","",IF(IFERROR(INDEX(业务流水!$D$5:$D$1504,MATCH(241,业务流水!$X$5:$X$1504,0)),"")="挂靠代收",IFERROR(INDEX(业务流水!$F$5:$F$1504,MATCH(241,业务流水!$X$5:$X$1504,0)),""),IFERROR(INDEX(业务流水!$E$5:$E$1504,MATCH(241,业务流水!$X$5:$X$1504,0)),"")))</f>
        <v/>
      </c>
      <c r="F246" s="32" t="str">
        <f aca="false">IFERROR(INDEX(业务流水!$D$5:$D$1504,MATCH(241,业务流水!$X$5:$X$1504,0)),"")</f>
        <v/>
      </c>
      <c r="G246" s="41" t="n">
        <f aca="false">IF($F246="挂靠代收",N(IFERROR(INDEX(业务流水!$H$5:$H$1504,MATCH(241,业务流水!$X$5:$X$1504,0)),"")),0)</f>
        <v>0</v>
      </c>
      <c r="H246" s="41" t="n">
        <f aca="false">IF($F246="我方收款",N(IFERROR(INDEX(业务流水!$H$5:$H$1504,MATCH(241,业务流水!$X$5:$X$1504,0)),"")),0)</f>
        <v>0</v>
      </c>
      <c r="I246" s="42" t="str">
        <f aca="false">IF($B246="","",SUMIFS($G$6:$G246,$E$6:$E246,$E246)-SUMIFS($H$6:$H246,$E$6:$E246,$E246))</f>
        <v/>
      </c>
      <c r="J246" s="40" t="str">
        <f aca="false">IFERROR(INDEX(业务流水!$J$5:$J$1504,MATCH(241,业务流水!$X$5:$X$1504,0)),"")</f>
        <v/>
      </c>
    </row>
    <row r="247" customFormat="false" ht="15.75" hidden="false" customHeight="true" outlineLevel="0" collapsed="false">
      <c r="A247" s="32" t="str">
        <f aca="false">IF($B247="","",242)</f>
        <v/>
      </c>
      <c r="B247" s="50" t="str">
        <f aca="false">IFERROR(INDEX(业务流水!$B$5:$B$1504,MATCH(242,业务流水!$X$5:$X$1504,0)),"")</f>
        <v/>
      </c>
      <c r="C247" s="32" t="str">
        <f aca="false">IFERROR(INDEX(业务流水!$C$5:$C$1504,MATCH(242,业务流水!$X$5:$X$1504,0)),"")</f>
        <v/>
      </c>
      <c r="D247" s="40" t="str">
        <f aca="false">IFERROR(INDEX(业务流水!$M$5:$M$1504,MATCH(242,业务流水!$X$5:$X$1504,0)),"")</f>
        <v/>
      </c>
      <c r="E247" s="32" t="str">
        <f aca="false">IF($B247="","",IF(IFERROR(INDEX(业务流水!$D$5:$D$1504,MATCH(242,业务流水!$X$5:$X$1504,0)),"")="挂靠代收",IFERROR(INDEX(业务流水!$F$5:$F$1504,MATCH(242,业务流水!$X$5:$X$1504,0)),""),IFERROR(INDEX(业务流水!$E$5:$E$1504,MATCH(242,业务流水!$X$5:$X$1504,0)),"")))</f>
        <v/>
      </c>
      <c r="F247" s="32" t="str">
        <f aca="false">IFERROR(INDEX(业务流水!$D$5:$D$1504,MATCH(242,业务流水!$X$5:$X$1504,0)),"")</f>
        <v/>
      </c>
      <c r="G247" s="41" t="n">
        <f aca="false">IF($F247="挂靠代收",N(IFERROR(INDEX(业务流水!$H$5:$H$1504,MATCH(242,业务流水!$X$5:$X$1504,0)),"")),0)</f>
        <v>0</v>
      </c>
      <c r="H247" s="41" t="n">
        <f aca="false">IF($F247="我方收款",N(IFERROR(INDEX(业务流水!$H$5:$H$1504,MATCH(242,业务流水!$X$5:$X$1504,0)),"")),0)</f>
        <v>0</v>
      </c>
      <c r="I247" s="42" t="str">
        <f aca="false">IF($B247="","",SUMIFS($G$6:$G247,$E$6:$E247,$E247)-SUMIFS($H$6:$H247,$E$6:$E247,$E247))</f>
        <v/>
      </c>
      <c r="J247" s="40" t="str">
        <f aca="false">IFERROR(INDEX(业务流水!$J$5:$J$1504,MATCH(242,业务流水!$X$5:$X$1504,0)),"")</f>
        <v/>
      </c>
    </row>
    <row r="248" customFormat="false" ht="15.75" hidden="false" customHeight="true" outlineLevel="0" collapsed="false">
      <c r="A248" s="32" t="str">
        <f aca="false">IF($B248="","",243)</f>
        <v/>
      </c>
      <c r="B248" s="50" t="str">
        <f aca="false">IFERROR(INDEX(业务流水!$B$5:$B$1504,MATCH(243,业务流水!$X$5:$X$1504,0)),"")</f>
        <v/>
      </c>
      <c r="C248" s="32" t="str">
        <f aca="false">IFERROR(INDEX(业务流水!$C$5:$C$1504,MATCH(243,业务流水!$X$5:$X$1504,0)),"")</f>
        <v/>
      </c>
      <c r="D248" s="40" t="str">
        <f aca="false">IFERROR(INDEX(业务流水!$M$5:$M$1504,MATCH(243,业务流水!$X$5:$X$1504,0)),"")</f>
        <v/>
      </c>
      <c r="E248" s="32" t="str">
        <f aca="false">IF($B248="","",IF(IFERROR(INDEX(业务流水!$D$5:$D$1504,MATCH(243,业务流水!$X$5:$X$1504,0)),"")="挂靠代收",IFERROR(INDEX(业务流水!$F$5:$F$1504,MATCH(243,业务流水!$X$5:$X$1504,0)),""),IFERROR(INDEX(业务流水!$E$5:$E$1504,MATCH(243,业务流水!$X$5:$X$1504,0)),"")))</f>
        <v/>
      </c>
      <c r="F248" s="32" t="str">
        <f aca="false">IFERROR(INDEX(业务流水!$D$5:$D$1504,MATCH(243,业务流水!$X$5:$X$1504,0)),"")</f>
        <v/>
      </c>
      <c r="G248" s="41" t="n">
        <f aca="false">IF($F248="挂靠代收",N(IFERROR(INDEX(业务流水!$H$5:$H$1504,MATCH(243,业务流水!$X$5:$X$1504,0)),"")),0)</f>
        <v>0</v>
      </c>
      <c r="H248" s="41" t="n">
        <f aca="false">IF($F248="我方收款",N(IFERROR(INDEX(业务流水!$H$5:$H$1504,MATCH(243,业务流水!$X$5:$X$1504,0)),"")),0)</f>
        <v>0</v>
      </c>
      <c r="I248" s="42" t="str">
        <f aca="false">IF($B248="","",SUMIFS($G$6:$G248,$E$6:$E248,$E248)-SUMIFS($H$6:$H248,$E$6:$E248,$E248))</f>
        <v/>
      </c>
      <c r="J248" s="40" t="str">
        <f aca="false">IFERROR(INDEX(业务流水!$J$5:$J$1504,MATCH(243,业务流水!$X$5:$X$1504,0)),"")</f>
        <v/>
      </c>
    </row>
    <row r="249" customFormat="false" ht="15.75" hidden="false" customHeight="true" outlineLevel="0" collapsed="false">
      <c r="A249" s="32" t="str">
        <f aca="false">IF($B249="","",244)</f>
        <v/>
      </c>
      <c r="B249" s="50" t="str">
        <f aca="false">IFERROR(INDEX(业务流水!$B$5:$B$1504,MATCH(244,业务流水!$X$5:$X$1504,0)),"")</f>
        <v/>
      </c>
      <c r="C249" s="32" t="str">
        <f aca="false">IFERROR(INDEX(业务流水!$C$5:$C$1504,MATCH(244,业务流水!$X$5:$X$1504,0)),"")</f>
        <v/>
      </c>
      <c r="D249" s="40" t="str">
        <f aca="false">IFERROR(INDEX(业务流水!$M$5:$M$1504,MATCH(244,业务流水!$X$5:$X$1504,0)),"")</f>
        <v/>
      </c>
      <c r="E249" s="32" t="str">
        <f aca="false">IF($B249="","",IF(IFERROR(INDEX(业务流水!$D$5:$D$1504,MATCH(244,业务流水!$X$5:$X$1504,0)),"")="挂靠代收",IFERROR(INDEX(业务流水!$F$5:$F$1504,MATCH(244,业务流水!$X$5:$X$1504,0)),""),IFERROR(INDEX(业务流水!$E$5:$E$1504,MATCH(244,业务流水!$X$5:$X$1504,0)),"")))</f>
        <v/>
      </c>
      <c r="F249" s="32" t="str">
        <f aca="false">IFERROR(INDEX(业务流水!$D$5:$D$1504,MATCH(244,业务流水!$X$5:$X$1504,0)),"")</f>
        <v/>
      </c>
      <c r="G249" s="41" t="n">
        <f aca="false">IF($F249="挂靠代收",N(IFERROR(INDEX(业务流水!$H$5:$H$1504,MATCH(244,业务流水!$X$5:$X$1504,0)),"")),0)</f>
        <v>0</v>
      </c>
      <c r="H249" s="41" t="n">
        <f aca="false">IF($F249="我方收款",N(IFERROR(INDEX(业务流水!$H$5:$H$1504,MATCH(244,业务流水!$X$5:$X$1504,0)),"")),0)</f>
        <v>0</v>
      </c>
      <c r="I249" s="42" t="str">
        <f aca="false">IF($B249="","",SUMIFS($G$6:$G249,$E$6:$E249,$E249)-SUMIFS($H$6:$H249,$E$6:$E249,$E249))</f>
        <v/>
      </c>
      <c r="J249" s="40" t="str">
        <f aca="false">IFERROR(INDEX(业务流水!$J$5:$J$1504,MATCH(244,业务流水!$X$5:$X$1504,0)),"")</f>
        <v/>
      </c>
    </row>
    <row r="250" customFormat="false" ht="15.75" hidden="false" customHeight="true" outlineLevel="0" collapsed="false">
      <c r="A250" s="32" t="str">
        <f aca="false">IF($B250="","",245)</f>
        <v/>
      </c>
      <c r="B250" s="50" t="str">
        <f aca="false">IFERROR(INDEX(业务流水!$B$5:$B$1504,MATCH(245,业务流水!$X$5:$X$1504,0)),"")</f>
        <v/>
      </c>
      <c r="C250" s="32" t="str">
        <f aca="false">IFERROR(INDEX(业务流水!$C$5:$C$1504,MATCH(245,业务流水!$X$5:$X$1504,0)),"")</f>
        <v/>
      </c>
      <c r="D250" s="40" t="str">
        <f aca="false">IFERROR(INDEX(业务流水!$M$5:$M$1504,MATCH(245,业务流水!$X$5:$X$1504,0)),"")</f>
        <v/>
      </c>
      <c r="E250" s="32" t="str">
        <f aca="false">IF($B250="","",IF(IFERROR(INDEX(业务流水!$D$5:$D$1504,MATCH(245,业务流水!$X$5:$X$1504,0)),"")="挂靠代收",IFERROR(INDEX(业务流水!$F$5:$F$1504,MATCH(245,业务流水!$X$5:$X$1504,0)),""),IFERROR(INDEX(业务流水!$E$5:$E$1504,MATCH(245,业务流水!$X$5:$X$1504,0)),"")))</f>
        <v/>
      </c>
      <c r="F250" s="32" t="str">
        <f aca="false">IFERROR(INDEX(业务流水!$D$5:$D$1504,MATCH(245,业务流水!$X$5:$X$1504,0)),"")</f>
        <v/>
      </c>
      <c r="G250" s="41" t="n">
        <f aca="false">IF($F250="挂靠代收",N(IFERROR(INDEX(业务流水!$H$5:$H$1504,MATCH(245,业务流水!$X$5:$X$1504,0)),"")),0)</f>
        <v>0</v>
      </c>
      <c r="H250" s="41" t="n">
        <f aca="false">IF($F250="我方收款",N(IFERROR(INDEX(业务流水!$H$5:$H$1504,MATCH(245,业务流水!$X$5:$X$1504,0)),"")),0)</f>
        <v>0</v>
      </c>
      <c r="I250" s="42" t="str">
        <f aca="false">IF($B250="","",SUMIFS($G$6:$G250,$E$6:$E250,$E250)-SUMIFS($H$6:$H250,$E$6:$E250,$E250))</f>
        <v/>
      </c>
      <c r="J250" s="40" t="str">
        <f aca="false">IFERROR(INDEX(业务流水!$J$5:$J$1504,MATCH(245,业务流水!$X$5:$X$1504,0)),"")</f>
        <v/>
      </c>
    </row>
    <row r="251" customFormat="false" ht="15.75" hidden="false" customHeight="true" outlineLevel="0" collapsed="false">
      <c r="A251" s="32" t="str">
        <f aca="false">IF($B251="","",246)</f>
        <v/>
      </c>
      <c r="B251" s="50" t="str">
        <f aca="false">IFERROR(INDEX(业务流水!$B$5:$B$1504,MATCH(246,业务流水!$X$5:$X$1504,0)),"")</f>
        <v/>
      </c>
      <c r="C251" s="32" t="str">
        <f aca="false">IFERROR(INDEX(业务流水!$C$5:$C$1504,MATCH(246,业务流水!$X$5:$X$1504,0)),"")</f>
        <v/>
      </c>
      <c r="D251" s="40" t="str">
        <f aca="false">IFERROR(INDEX(业务流水!$M$5:$M$1504,MATCH(246,业务流水!$X$5:$X$1504,0)),"")</f>
        <v/>
      </c>
      <c r="E251" s="32" t="str">
        <f aca="false">IF($B251="","",IF(IFERROR(INDEX(业务流水!$D$5:$D$1504,MATCH(246,业务流水!$X$5:$X$1504,0)),"")="挂靠代收",IFERROR(INDEX(业务流水!$F$5:$F$1504,MATCH(246,业务流水!$X$5:$X$1504,0)),""),IFERROR(INDEX(业务流水!$E$5:$E$1504,MATCH(246,业务流水!$X$5:$X$1504,0)),"")))</f>
        <v/>
      </c>
      <c r="F251" s="32" t="str">
        <f aca="false">IFERROR(INDEX(业务流水!$D$5:$D$1504,MATCH(246,业务流水!$X$5:$X$1504,0)),"")</f>
        <v/>
      </c>
      <c r="G251" s="41" t="n">
        <f aca="false">IF($F251="挂靠代收",N(IFERROR(INDEX(业务流水!$H$5:$H$1504,MATCH(246,业务流水!$X$5:$X$1504,0)),"")),0)</f>
        <v>0</v>
      </c>
      <c r="H251" s="41" t="n">
        <f aca="false">IF($F251="我方收款",N(IFERROR(INDEX(业务流水!$H$5:$H$1504,MATCH(246,业务流水!$X$5:$X$1504,0)),"")),0)</f>
        <v>0</v>
      </c>
      <c r="I251" s="42" t="str">
        <f aca="false">IF($B251="","",SUMIFS($G$6:$G251,$E$6:$E251,$E251)-SUMIFS($H$6:$H251,$E$6:$E251,$E251))</f>
        <v/>
      </c>
      <c r="J251" s="40" t="str">
        <f aca="false">IFERROR(INDEX(业务流水!$J$5:$J$1504,MATCH(246,业务流水!$X$5:$X$1504,0)),"")</f>
        <v/>
      </c>
    </row>
    <row r="252" customFormat="false" ht="15.75" hidden="false" customHeight="true" outlineLevel="0" collapsed="false">
      <c r="A252" s="32" t="str">
        <f aca="false">IF($B252="","",247)</f>
        <v/>
      </c>
      <c r="B252" s="50" t="str">
        <f aca="false">IFERROR(INDEX(业务流水!$B$5:$B$1504,MATCH(247,业务流水!$X$5:$X$1504,0)),"")</f>
        <v/>
      </c>
      <c r="C252" s="32" t="str">
        <f aca="false">IFERROR(INDEX(业务流水!$C$5:$C$1504,MATCH(247,业务流水!$X$5:$X$1504,0)),"")</f>
        <v/>
      </c>
      <c r="D252" s="40" t="str">
        <f aca="false">IFERROR(INDEX(业务流水!$M$5:$M$1504,MATCH(247,业务流水!$X$5:$X$1504,0)),"")</f>
        <v/>
      </c>
      <c r="E252" s="32" t="str">
        <f aca="false">IF($B252="","",IF(IFERROR(INDEX(业务流水!$D$5:$D$1504,MATCH(247,业务流水!$X$5:$X$1504,0)),"")="挂靠代收",IFERROR(INDEX(业务流水!$F$5:$F$1504,MATCH(247,业务流水!$X$5:$X$1504,0)),""),IFERROR(INDEX(业务流水!$E$5:$E$1504,MATCH(247,业务流水!$X$5:$X$1504,0)),"")))</f>
        <v/>
      </c>
      <c r="F252" s="32" t="str">
        <f aca="false">IFERROR(INDEX(业务流水!$D$5:$D$1504,MATCH(247,业务流水!$X$5:$X$1504,0)),"")</f>
        <v/>
      </c>
      <c r="G252" s="41" t="n">
        <f aca="false">IF($F252="挂靠代收",N(IFERROR(INDEX(业务流水!$H$5:$H$1504,MATCH(247,业务流水!$X$5:$X$1504,0)),"")),0)</f>
        <v>0</v>
      </c>
      <c r="H252" s="41" t="n">
        <f aca="false">IF($F252="我方收款",N(IFERROR(INDEX(业务流水!$H$5:$H$1504,MATCH(247,业务流水!$X$5:$X$1504,0)),"")),0)</f>
        <v>0</v>
      </c>
      <c r="I252" s="42" t="str">
        <f aca="false">IF($B252="","",SUMIFS($G$6:$G252,$E$6:$E252,$E252)-SUMIFS($H$6:$H252,$E$6:$E252,$E252))</f>
        <v/>
      </c>
      <c r="J252" s="40" t="str">
        <f aca="false">IFERROR(INDEX(业务流水!$J$5:$J$1504,MATCH(247,业务流水!$X$5:$X$1504,0)),"")</f>
        <v/>
      </c>
    </row>
    <row r="253" customFormat="false" ht="15.75" hidden="false" customHeight="true" outlineLevel="0" collapsed="false">
      <c r="A253" s="32" t="str">
        <f aca="false">IF($B253="","",248)</f>
        <v/>
      </c>
      <c r="B253" s="50" t="str">
        <f aca="false">IFERROR(INDEX(业务流水!$B$5:$B$1504,MATCH(248,业务流水!$X$5:$X$1504,0)),"")</f>
        <v/>
      </c>
      <c r="C253" s="32" t="str">
        <f aca="false">IFERROR(INDEX(业务流水!$C$5:$C$1504,MATCH(248,业务流水!$X$5:$X$1504,0)),"")</f>
        <v/>
      </c>
      <c r="D253" s="40" t="str">
        <f aca="false">IFERROR(INDEX(业务流水!$M$5:$M$1504,MATCH(248,业务流水!$X$5:$X$1504,0)),"")</f>
        <v/>
      </c>
      <c r="E253" s="32" t="str">
        <f aca="false">IF($B253="","",IF(IFERROR(INDEX(业务流水!$D$5:$D$1504,MATCH(248,业务流水!$X$5:$X$1504,0)),"")="挂靠代收",IFERROR(INDEX(业务流水!$F$5:$F$1504,MATCH(248,业务流水!$X$5:$X$1504,0)),""),IFERROR(INDEX(业务流水!$E$5:$E$1504,MATCH(248,业务流水!$X$5:$X$1504,0)),"")))</f>
        <v/>
      </c>
      <c r="F253" s="32" t="str">
        <f aca="false">IFERROR(INDEX(业务流水!$D$5:$D$1504,MATCH(248,业务流水!$X$5:$X$1504,0)),"")</f>
        <v/>
      </c>
      <c r="G253" s="41" t="n">
        <f aca="false">IF($F253="挂靠代收",N(IFERROR(INDEX(业务流水!$H$5:$H$1504,MATCH(248,业务流水!$X$5:$X$1504,0)),"")),0)</f>
        <v>0</v>
      </c>
      <c r="H253" s="41" t="n">
        <f aca="false">IF($F253="我方收款",N(IFERROR(INDEX(业务流水!$H$5:$H$1504,MATCH(248,业务流水!$X$5:$X$1504,0)),"")),0)</f>
        <v>0</v>
      </c>
      <c r="I253" s="42" t="str">
        <f aca="false">IF($B253="","",SUMIFS($G$6:$G253,$E$6:$E253,$E253)-SUMIFS($H$6:$H253,$E$6:$E253,$E253))</f>
        <v/>
      </c>
      <c r="J253" s="40" t="str">
        <f aca="false">IFERROR(INDEX(业务流水!$J$5:$J$1504,MATCH(248,业务流水!$X$5:$X$1504,0)),"")</f>
        <v/>
      </c>
    </row>
    <row r="254" customFormat="false" ht="15.75" hidden="false" customHeight="true" outlineLevel="0" collapsed="false">
      <c r="A254" s="32" t="str">
        <f aca="false">IF($B254="","",249)</f>
        <v/>
      </c>
      <c r="B254" s="50" t="str">
        <f aca="false">IFERROR(INDEX(业务流水!$B$5:$B$1504,MATCH(249,业务流水!$X$5:$X$1504,0)),"")</f>
        <v/>
      </c>
      <c r="C254" s="32" t="str">
        <f aca="false">IFERROR(INDEX(业务流水!$C$5:$C$1504,MATCH(249,业务流水!$X$5:$X$1504,0)),"")</f>
        <v/>
      </c>
      <c r="D254" s="40" t="str">
        <f aca="false">IFERROR(INDEX(业务流水!$M$5:$M$1504,MATCH(249,业务流水!$X$5:$X$1504,0)),"")</f>
        <v/>
      </c>
      <c r="E254" s="32" t="str">
        <f aca="false">IF($B254="","",IF(IFERROR(INDEX(业务流水!$D$5:$D$1504,MATCH(249,业务流水!$X$5:$X$1504,0)),"")="挂靠代收",IFERROR(INDEX(业务流水!$F$5:$F$1504,MATCH(249,业务流水!$X$5:$X$1504,0)),""),IFERROR(INDEX(业务流水!$E$5:$E$1504,MATCH(249,业务流水!$X$5:$X$1504,0)),"")))</f>
        <v/>
      </c>
      <c r="F254" s="32" t="str">
        <f aca="false">IFERROR(INDEX(业务流水!$D$5:$D$1504,MATCH(249,业务流水!$X$5:$X$1504,0)),"")</f>
        <v/>
      </c>
      <c r="G254" s="41" t="n">
        <f aca="false">IF($F254="挂靠代收",N(IFERROR(INDEX(业务流水!$H$5:$H$1504,MATCH(249,业务流水!$X$5:$X$1504,0)),"")),0)</f>
        <v>0</v>
      </c>
      <c r="H254" s="41" t="n">
        <f aca="false">IF($F254="我方收款",N(IFERROR(INDEX(业务流水!$H$5:$H$1504,MATCH(249,业务流水!$X$5:$X$1504,0)),"")),0)</f>
        <v>0</v>
      </c>
      <c r="I254" s="42" t="str">
        <f aca="false">IF($B254="","",SUMIFS($G$6:$G254,$E$6:$E254,$E254)-SUMIFS($H$6:$H254,$E$6:$E254,$E254))</f>
        <v/>
      </c>
      <c r="J254" s="40" t="str">
        <f aca="false">IFERROR(INDEX(业务流水!$J$5:$J$1504,MATCH(249,业务流水!$X$5:$X$1504,0)),"")</f>
        <v/>
      </c>
    </row>
    <row r="255" customFormat="false" ht="15.75" hidden="false" customHeight="true" outlineLevel="0" collapsed="false">
      <c r="A255" s="32" t="str">
        <f aca="false">IF($B255="","",250)</f>
        <v/>
      </c>
      <c r="B255" s="50" t="str">
        <f aca="false">IFERROR(INDEX(业务流水!$B$5:$B$1504,MATCH(250,业务流水!$X$5:$X$1504,0)),"")</f>
        <v/>
      </c>
      <c r="C255" s="32" t="str">
        <f aca="false">IFERROR(INDEX(业务流水!$C$5:$C$1504,MATCH(250,业务流水!$X$5:$X$1504,0)),"")</f>
        <v/>
      </c>
      <c r="D255" s="40" t="str">
        <f aca="false">IFERROR(INDEX(业务流水!$M$5:$M$1504,MATCH(250,业务流水!$X$5:$X$1504,0)),"")</f>
        <v/>
      </c>
      <c r="E255" s="32" t="str">
        <f aca="false">IF($B255="","",IF(IFERROR(INDEX(业务流水!$D$5:$D$1504,MATCH(250,业务流水!$X$5:$X$1504,0)),"")="挂靠代收",IFERROR(INDEX(业务流水!$F$5:$F$1504,MATCH(250,业务流水!$X$5:$X$1504,0)),""),IFERROR(INDEX(业务流水!$E$5:$E$1504,MATCH(250,业务流水!$X$5:$X$1504,0)),"")))</f>
        <v/>
      </c>
      <c r="F255" s="32" t="str">
        <f aca="false">IFERROR(INDEX(业务流水!$D$5:$D$1504,MATCH(250,业务流水!$X$5:$X$1504,0)),"")</f>
        <v/>
      </c>
      <c r="G255" s="41" t="n">
        <f aca="false">IF($F255="挂靠代收",N(IFERROR(INDEX(业务流水!$H$5:$H$1504,MATCH(250,业务流水!$X$5:$X$1504,0)),"")),0)</f>
        <v>0</v>
      </c>
      <c r="H255" s="41" t="n">
        <f aca="false">IF($F255="我方收款",N(IFERROR(INDEX(业务流水!$H$5:$H$1504,MATCH(250,业务流水!$X$5:$X$1504,0)),"")),0)</f>
        <v>0</v>
      </c>
      <c r="I255" s="42" t="str">
        <f aca="false">IF($B255="","",SUMIFS($G$6:$G255,$E$6:$E255,$E255)-SUMIFS($H$6:$H255,$E$6:$E255,$E255))</f>
        <v/>
      </c>
      <c r="J255" s="40" t="str">
        <f aca="false">IFERROR(INDEX(业务流水!$J$5:$J$1504,MATCH(250,业务流水!$X$5:$X$1504,0)),"")</f>
        <v/>
      </c>
    </row>
    <row r="256" customFormat="false" ht="15.75" hidden="false" customHeight="true" outlineLevel="0" collapsed="false">
      <c r="A256" s="32" t="str">
        <f aca="false">IF($B256="","",251)</f>
        <v/>
      </c>
      <c r="B256" s="50" t="str">
        <f aca="false">IFERROR(INDEX(业务流水!$B$5:$B$1504,MATCH(251,业务流水!$X$5:$X$1504,0)),"")</f>
        <v/>
      </c>
      <c r="C256" s="32" t="str">
        <f aca="false">IFERROR(INDEX(业务流水!$C$5:$C$1504,MATCH(251,业务流水!$X$5:$X$1504,0)),"")</f>
        <v/>
      </c>
      <c r="D256" s="40" t="str">
        <f aca="false">IFERROR(INDEX(业务流水!$M$5:$M$1504,MATCH(251,业务流水!$X$5:$X$1504,0)),"")</f>
        <v/>
      </c>
      <c r="E256" s="32" t="str">
        <f aca="false">IF($B256="","",IF(IFERROR(INDEX(业务流水!$D$5:$D$1504,MATCH(251,业务流水!$X$5:$X$1504,0)),"")="挂靠代收",IFERROR(INDEX(业务流水!$F$5:$F$1504,MATCH(251,业务流水!$X$5:$X$1504,0)),""),IFERROR(INDEX(业务流水!$E$5:$E$1504,MATCH(251,业务流水!$X$5:$X$1504,0)),"")))</f>
        <v/>
      </c>
      <c r="F256" s="32" t="str">
        <f aca="false">IFERROR(INDEX(业务流水!$D$5:$D$1504,MATCH(251,业务流水!$X$5:$X$1504,0)),"")</f>
        <v/>
      </c>
      <c r="G256" s="41" t="n">
        <f aca="false">IF($F256="挂靠代收",N(IFERROR(INDEX(业务流水!$H$5:$H$1504,MATCH(251,业务流水!$X$5:$X$1504,0)),"")),0)</f>
        <v>0</v>
      </c>
      <c r="H256" s="41" t="n">
        <f aca="false">IF($F256="我方收款",N(IFERROR(INDEX(业务流水!$H$5:$H$1504,MATCH(251,业务流水!$X$5:$X$1504,0)),"")),0)</f>
        <v>0</v>
      </c>
      <c r="I256" s="42" t="str">
        <f aca="false">IF($B256="","",SUMIFS($G$6:$G256,$E$6:$E256,$E256)-SUMIFS($H$6:$H256,$E$6:$E256,$E256))</f>
        <v/>
      </c>
      <c r="J256" s="40" t="str">
        <f aca="false">IFERROR(INDEX(业务流水!$J$5:$J$1504,MATCH(251,业务流水!$X$5:$X$1504,0)),"")</f>
        <v/>
      </c>
    </row>
    <row r="257" customFormat="false" ht="15.75" hidden="false" customHeight="true" outlineLevel="0" collapsed="false">
      <c r="A257" s="32" t="str">
        <f aca="false">IF($B257="","",252)</f>
        <v/>
      </c>
      <c r="B257" s="50" t="str">
        <f aca="false">IFERROR(INDEX(业务流水!$B$5:$B$1504,MATCH(252,业务流水!$X$5:$X$1504,0)),"")</f>
        <v/>
      </c>
      <c r="C257" s="32" t="str">
        <f aca="false">IFERROR(INDEX(业务流水!$C$5:$C$1504,MATCH(252,业务流水!$X$5:$X$1504,0)),"")</f>
        <v/>
      </c>
      <c r="D257" s="40" t="str">
        <f aca="false">IFERROR(INDEX(业务流水!$M$5:$M$1504,MATCH(252,业务流水!$X$5:$X$1504,0)),"")</f>
        <v/>
      </c>
      <c r="E257" s="32" t="str">
        <f aca="false">IF($B257="","",IF(IFERROR(INDEX(业务流水!$D$5:$D$1504,MATCH(252,业务流水!$X$5:$X$1504,0)),"")="挂靠代收",IFERROR(INDEX(业务流水!$F$5:$F$1504,MATCH(252,业务流水!$X$5:$X$1504,0)),""),IFERROR(INDEX(业务流水!$E$5:$E$1504,MATCH(252,业务流水!$X$5:$X$1504,0)),"")))</f>
        <v/>
      </c>
      <c r="F257" s="32" t="str">
        <f aca="false">IFERROR(INDEX(业务流水!$D$5:$D$1504,MATCH(252,业务流水!$X$5:$X$1504,0)),"")</f>
        <v/>
      </c>
      <c r="G257" s="41" t="n">
        <f aca="false">IF($F257="挂靠代收",N(IFERROR(INDEX(业务流水!$H$5:$H$1504,MATCH(252,业务流水!$X$5:$X$1504,0)),"")),0)</f>
        <v>0</v>
      </c>
      <c r="H257" s="41" t="n">
        <f aca="false">IF($F257="我方收款",N(IFERROR(INDEX(业务流水!$H$5:$H$1504,MATCH(252,业务流水!$X$5:$X$1504,0)),"")),0)</f>
        <v>0</v>
      </c>
      <c r="I257" s="42" t="str">
        <f aca="false">IF($B257="","",SUMIFS($G$6:$G257,$E$6:$E257,$E257)-SUMIFS($H$6:$H257,$E$6:$E257,$E257))</f>
        <v/>
      </c>
      <c r="J257" s="40" t="str">
        <f aca="false">IFERROR(INDEX(业务流水!$J$5:$J$1504,MATCH(252,业务流水!$X$5:$X$1504,0)),"")</f>
        <v/>
      </c>
    </row>
    <row r="258" customFormat="false" ht="15.75" hidden="false" customHeight="true" outlineLevel="0" collapsed="false">
      <c r="A258" s="32" t="str">
        <f aca="false">IF($B258="","",253)</f>
        <v/>
      </c>
      <c r="B258" s="50" t="str">
        <f aca="false">IFERROR(INDEX(业务流水!$B$5:$B$1504,MATCH(253,业务流水!$X$5:$X$1504,0)),"")</f>
        <v/>
      </c>
      <c r="C258" s="32" t="str">
        <f aca="false">IFERROR(INDEX(业务流水!$C$5:$C$1504,MATCH(253,业务流水!$X$5:$X$1504,0)),"")</f>
        <v/>
      </c>
      <c r="D258" s="40" t="str">
        <f aca="false">IFERROR(INDEX(业务流水!$M$5:$M$1504,MATCH(253,业务流水!$X$5:$X$1504,0)),"")</f>
        <v/>
      </c>
      <c r="E258" s="32" t="str">
        <f aca="false">IF($B258="","",IF(IFERROR(INDEX(业务流水!$D$5:$D$1504,MATCH(253,业务流水!$X$5:$X$1504,0)),"")="挂靠代收",IFERROR(INDEX(业务流水!$F$5:$F$1504,MATCH(253,业务流水!$X$5:$X$1504,0)),""),IFERROR(INDEX(业务流水!$E$5:$E$1504,MATCH(253,业务流水!$X$5:$X$1504,0)),"")))</f>
        <v/>
      </c>
      <c r="F258" s="32" t="str">
        <f aca="false">IFERROR(INDEX(业务流水!$D$5:$D$1504,MATCH(253,业务流水!$X$5:$X$1504,0)),"")</f>
        <v/>
      </c>
      <c r="G258" s="41" t="n">
        <f aca="false">IF($F258="挂靠代收",N(IFERROR(INDEX(业务流水!$H$5:$H$1504,MATCH(253,业务流水!$X$5:$X$1504,0)),"")),0)</f>
        <v>0</v>
      </c>
      <c r="H258" s="41" t="n">
        <f aca="false">IF($F258="我方收款",N(IFERROR(INDEX(业务流水!$H$5:$H$1504,MATCH(253,业务流水!$X$5:$X$1504,0)),"")),0)</f>
        <v>0</v>
      </c>
      <c r="I258" s="42" t="str">
        <f aca="false">IF($B258="","",SUMIFS($G$6:$G258,$E$6:$E258,$E258)-SUMIFS($H$6:$H258,$E$6:$E258,$E258))</f>
        <v/>
      </c>
      <c r="J258" s="40" t="str">
        <f aca="false">IFERROR(INDEX(业务流水!$J$5:$J$1504,MATCH(253,业务流水!$X$5:$X$1504,0)),"")</f>
        <v/>
      </c>
    </row>
    <row r="259" customFormat="false" ht="15.75" hidden="false" customHeight="true" outlineLevel="0" collapsed="false">
      <c r="A259" s="32" t="str">
        <f aca="false">IF($B259="","",254)</f>
        <v/>
      </c>
      <c r="B259" s="50" t="str">
        <f aca="false">IFERROR(INDEX(业务流水!$B$5:$B$1504,MATCH(254,业务流水!$X$5:$X$1504,0)),"")</f>
        <v/>
      </c>
      <c r="C259" s="32" t="str">
        <f aca="false">IFERROR(INDEX(业务流水!$C$5:$C$1504,MATCH(254,业务流水!$X$5:$X$1504,0)),"")</f>
        <v/>
      </c>
      <c r="D259" s="40" t="str">
        <f aca="false">IFERROR(INDEX(业务流水!$M$5:$M$1504,MATCH(254,业务流水!$X$5:$X$1504,0)),"")</f>
        <v/>
      </c>
      <c r="E259" s="32" t="str">
        <f aca="false">IF($B259="","",IF(IFERROR(INDEX(业务流水!$D$5:$D$1504,MATCH(254,业务流水!$X$5:$X$1504,0)),"")="挂靠代收",IFERROR(INDEX(业务流水!$F$5:$F$1504,MATCH(254,业务流水!$X$5:$X$1504,0)),""),IFERROR(INDEX(业务流水!$E$5:$E$1504,MATCH(254,业务流水!$X$5:$X$1504,0)),"")))</f>
        <v/>
      </c>
      <c r="F259" s="32" t="str">
        <f aca="false">IFERROR(INDEX(业务流水!$D$5:$D$1504,MATCH(254,业务流水!$X$5:$X$1504,0)),"")</f>
        <v/>
      </c>
      <c r="G259" s="41" t="n">
        <f aca="false">IF($F259="挂靠代收",N(IFERROR(INDEX(业务流水!$H$5:$H$1504,MATCH(254,业务流水!$X$5:$X$1504,0)),"")),0)</f>
        <v>0</v>
      </c>
      <c r="H259" s="41" t="n">
        <f aca="false">IF($F259="我方收款",N(IFERROR(INDEX(业务流水!$H$5:$H$1504,MATCH(254,业务流水!$X$5:$X$1504,0)),"")),0)</f>
        <v>0</v>
      </c>
      <c r="I259" s="42" t="str">
        <f aca="false">IF($B259="","",SUMIFS($G$6:$G259,$E$6:$E259,$E259)-SUMIFS($H$6:$H259,$E$6:$E259,$E259))</f>
        <v/>
      </c>
      <c r="J259" s="40" t="str">
        <f aca="false">IFERROR(INDEX(业务流水!$J$5:$J$1504,MATCH(254,业务流水!$X$5:$X$1504,0)),"")</f>
        <v/>
      </c>
    </row>
    <row r="260" customFormat="false" ht="15.75" hidden="false" customHeight="true" outlineLevel="0" collapsed="false">
      <c r="A260" s="32" t="str">
        <f aca="false">IF($B260="","",255)</f>
        <v/>
      </c>
      <c r="B260" s="50" t="str">
        <f aca="false">IFERROR(INDEX(业务流水!$B$5:$B$1504,MATCH(255,业务流水!$X$5:$X$1504,0)),"")</f>
        <v/>
      </c>
      <c r="C260" s="32" t="str">
        <f aca="false">IFERROR(INDEX(业务流水!$C$5:$C$1504,MATCH(255,业务流水!$X$5:$X$1504,0)),"")</f>
        <v/>
      </c>
      <c r="D260" s="40" t="str">
        <f aca="false">IFERROR(INDEX(业务流水!$M$5:$M$1504,MATCH(255,业务流水!$X$5:$X$1504,0)),"")</f>
        <v/>
      </c>
      <c r="E260" s="32" t="str">
        <f aca="false">IF($B260="","",IF(IFERROR(INDEX(业务流水!$D$5:$D$1504,MATCH(255,业务流水!$X$5:$X$1504,0)),"")="挂靠代收",IFERROR(INDEX(业务流水!$F$5:$F$1504,MATCH(255,业务流水!$X$5:$X$1504,0)),""),IFERROR(INDEX(业务流水!$E$5:$E$1504,MATCH(255,业务流水!$X$5:$X$1504,0)),"")))</f>
        <v/>
      </c>
      <c r="F260" s="32" t="str">
        <f aca="false">IFERROR(INDEX(业务流水!$D$5:$D$1504,MATCH(255,业务流水!$X$5:$X$1504,0)),"")</f>
        <v/>
      </c>
      <c r="G260" s="41" t="n">
        <f aca="false">IF($F260="挂靠代收",N(IFERROR(INDEX(业务流水!$H$5:$H$1504,MATCH(255,业务流水!$X$5:$X$1504,0)),"")),0)</f>
        <v>0</v>
      </c>
      <c r="H260" s="41" t="n">
        <f aca="false">IF($F260="我方收款",N(IFERROR(INDEX(业务流水!$H$5:$H$1504,MATCH(255,业务流水!$X$5:$X$1504,0)),"")),0)</f>
        <v>0</v>
      </c>
      <c r="I260" s="42" t="str">
        <f aca="false">IF($B260="","",SUMIFS($G$6:$G260,$E$6:$E260,$E260)-SUMIFS($H$6:$H260,$E$6:$E260,$E260))</f>
        <v/>
      </c>
      <c r="J260" s="40" t="str">
        <f aca="false">IFERROR(INDEX(业务流水!$J$5:$J$1504,MATCH(255,业务流水!$X$5:$X$1504,0)),"")</f>
        <v/>
      </c>
    </row>
    <row r="261" customFormat="false" ht="15.75" hidden="false" customHeight="true" outlineLevel="0" collapsed="false">
      <c r="A261" s="32" t="str">
        <f aca="false">IF($B261="","",256)</f>
        <v/>
      </c>
      <c r="B261" s="50" t="str">
        <f aca="false">IFERROR(INDEX(业务流水!$B$5:$B$1504,MATCH(256,业务流水!$X$5:$X$1504,0)),"")</f>
        <v/>
      </c>
      <c r="C261" s="32" t="str">
        <f aca="false">IFERROR(INDEX(业务流水!$C$5:$C$1504,MATCH(256,业务流水!$X$5:$X$1504,0)),"")</f>
        <v/>
      </c>
      <c r="D261" s="40" t="str">
        <f aca="false">IFERROR(INDEX(业务流水!$M$5:$M$1504,MATCH(256,业务流水!$X$5:$X$1504,0)),"")</f>
        <v/>
      </c>
      <c r="E261" s="32" t="str">
        <f aca="false">IF($B261="","",IF(IFERROR(INDEX(业务流水!$D$5:$D$1504,MATCH(256,业务流水!$X$5:$X$1504,0)),"")="挂靠代收",IFERROR(INDEX(业务流水!$F$5:$F$1504,MATCH(256,业务流水!$X$5:$X$1504,0)),""),IFERROR(INDEX(业务流水!$E$5:$E$1504,MATCH(256,业务流水!$X$5:$X$1504,0)),"")))</f>
        <v/>
      </c>
      <c r="F261" s="32" t="str">
        <f aca="false">IFERROR(INDEX(业务流水!$D$5:$D$1504,MATCH(256,业务流水!$X$5:$X$1504,0)),"")</f>
        <v/>
      </c>
      <c r="G261" s="41" t="n">
        <f aca="false">IF($F261="挂靠代收",N(IFERROR(INDEX(业务流水!$H$5:$H$1504,MATCH(256,业务流水!$X$5:$X$1504,0)),"")),0)</f>
        <v>0</v>
      </c>
      <c r="H261" s="41" t="n">
        <f aca="false">IF($F261="我方收款",N(IFERROR(INDEX(业务流水!$H$5:$H$1504,MATCH(256,业务流水!$X$5:$X$1504,0)),"")),0)</f>
        <v>0</v>
      </c>
      <c r="I261" s="42" t="str">
        <f aca="false">IF($B261="","",SUMIFS($G$6:$G261,$E$6:$E261,$E261)-SUMIFS($H$6:$H261,$E$6:$E261,$E261))</f>
        <v/>
      </c>
      <c r="J261" s="40" t="str">
        <f aca="false">IFERROR(INDEX(业务流水!$J$5:$J$1504,MATCH(256,业务流水!$X$5:$X$1504,0)),"")</f>
        <v/>
      </c>
    </row>
    <row r="262" customFormat="false" ht="15.75" hidden="false" customHeight="true" outlineLevel="0" collapsed="false">
      <c r="A262" s="32" t="str">
        <f aca="false">IF($B262="","",257)</f>
        <v/>
      </c>
      <c r="B262" s="50" t="str">
        <f aca="false">IFERROR(INDEX(业务流水!$B$5:$B$1504,MATCH(257,业务流水!$X$5:$X$1504,0)),"")</f>
        <v/>
      </c>
      <c r="C262" s="32" t="str">
        <f aca="false">IFERROR(INDEX(业务流水!$C$5:$C$1504,MATCH(257,业务流水!$X$5:$X$1504,0)),"")</f>
        <v/>
      </c>
      <c r="D262" s="40" t="str">
        <f aca="false">IFERROR(INDEX(业务流水!$M$5:$M$1504,MATCH(257,业务流水!$X$5:$X$1504,0)),"")</f>
        <v/>
      </c>
      <c r="E262" s="32" t="str">
        <f aca="false">IF($B262="","",IF(IFERROR(INDEX(业务流水!$D$5:$D$1504,MATCH(257,业务流水!$X$5:$X$1504,0)),"")="挂靠代收",IFERROR(INDEX(业务流水!$F$5:$F$1504,MATCH(257,业务流水!$X$5:$X$1504,0)),""),IFERROR(INDEX(业务流水!$E$5:$E$1504,MATCH(257,业务流水!$X$5:$X$1504,0)),"")))</f>
        <v/>
      </c>
      <c r="F262" s="32" t="str">
        <f aca="false">IFERROR(INDEX(业务流水!$D$5:$D$1504,MATCH(257,业务流水!$X$5:$X$1504,0)),"")</f>
        <v/>
      </c>
      <c r="G262" s="41" t="n">
        <f aca="false">IF($F262="挂靠代收",N(IFERROR(INDEX(业务流水!$H$5:$H$1504,MATCH(257,业务流水!$X$5:$X$1504,0)),"")),0)</f>
        <v>0</v>
      </c>
      <c r="H262" s="41" t="n">
        <f aca="false">IF($F262="我方收款",N(IFERROR(INDEX(业务流水!$H$5:$H$1504,MATCH(257,业务流水!$X$5:$X$1504,0)),"")),0)</f>
        <v>0</v>
      </c>
      <c r="I262" s="42" t="str">
        <f aca="false">IF($B262="","",SUMIFS($G$6:$G262,$E$6:$E262,$E262)-SUMIFS($H$6:$H262,$E$6:$E262,$E262))</f>
        <v/>
      </c>
      <c r="J262" s="40" t="str">
        <f aca="false">IFERROR(INDEX(业务流水!$J$5:$J$1504,MATCH(257,业务流水!$X$5:$X$1504,0)),"")</f>
        <v/>
      </c>
    </row>
    <row r="263" customFormat="false" ht="15.75" hidden="false" customHeight="true" outlineLevel="0" collapsed="false">
      <c r="A263" s="32" t="str">
        <f aca="false">IF($B263="","",258)</f>
        <v/>
      </c>
      <c r="B263" s="50" t="str">
        <f aca="false">IFERROR(INDEX(业务流水!$B$5:$B$1504,MATCH(258,业务流水!$X$5:$X$1504,0)),"")</f>
        <v/>
      </c>
      <c r="C263" s="32" t="str">
        <f aca="false">IFERROR(INDEX(业务流水!$C$5:$C$1504,MATCH(258,业务流水!$X$5:$X$1504,0)),"")</f>
        <v/>
      </c>
      <c r="D263" s="40" t="str">
        <f aca="false">IFERROR(INDEX(业务流水!$M$5:$M$1504,MATCH(258,业务流水!$X$5:$X$1504,0)),"")</f>
        <v/>
      </c>
      <c r="E263" s="32" t="str">
        <f aca="false">IF($B263="","",IF(IFERROR(INDEX(业务流水!$D$5:$D$1504,MATCH(258,业务流水!$X$5:$X$1504,0)),"")="挂靠代收",IFERROR(INDEX(业务流水!$F$5:$F$1504,MATCH(258,业务流水!$X$5:$X$1504,0)),""),IFERROR(INDEX(业务流水!$E$5:$E$1504,MATCH(258,业务流水!$X$5:$X$1504,0)),"")))</f>
        <v/>
      </c>
      <c r="F263" s="32" t="str">
        <f aca="false">IFERROR(INDEX(业务流水!$D$5:$D$1504,MATCH(258,业务流水!$X$5:$X$1504,0)),"")</f>
        <v/>
      </c>
      <c r="G263" s="41" t="n">
        <f aca="false">IF($F263="挂靠代收",N(IFERROR(INDEX(业务流水!$H$5:$H$1504,MATCH(258,业务流水!$X$5:$X$1504,0)),"")),0)</f>
        <v>0</v>
      </c>
      <c r="H263" s="41" t="n">
        <f aca="false">IF($F263="我方收款",N(IFERROR(INDEX(业务流水!$H$5:$H$1504,MATCH(258,业务流水!$X$5:$X$1504,0)),"")),0)</f>
        <v>0</v>
      </c>
      <c r="I263" s="42" t="str">
        <f aca="false">IF($B263="","",SUMIFS($G$6:$G263,$E$6:$E263,$E263)-SUMIFS($H$6:$H263,$E$6:$E263,$E263))</f>
        <v/>
      </c>
      <c r="J263" s="40" t="str">
        <f aca="false">IFERROR(INDEX(业务流水!$J$5:$J$1504,MATCH(258,业务流水!$X$5:$X$1504,0)),"")</f>
        <v/>
      </c>
    </row>
    <row r="264" customFormat="false" ht="15.75" hidden="false" customHeight="true" outlineLevel="0" collapsed="false">
      <c r="A264" s="32" t="str">
        <f aca="false">IF($B264="","",259)</f>
        <v/>
      </c>
      <c r="B264" s="50" t="str">
        <f aca="false">IFERROR(INDEX(业务流水!$B$5:$B$1504,MATCH(259,业务流水!$X$5:$X$1504,0)),"")</f>
        <v/>
      </c>
      <c r="C264" s="32" t="str">
        <f aca="false">IFERROR(INDEX(业务流水!$C$5:$C$1504,MATCH(259,业务流水!$X$5:$X$1504,0)),"")</f>
        <v/>
      </c>
      <c r="D264" s="40" t="str">
        <f aca="false">IFERROR(INDEX(业务流水!$M$5:$M$1504,MATCH(259,业务流水!$X$5:$X$1504,0)),"")</f>
        <v/>
      </c>
      <c r="E264" s="32" t="str">
        <f aca="false">IF($B264="","",IF(IFERROR(INDEX(业务流水!$D$5:$D$1504,MATCH(259,业务流水!$X$5:$X$1504,0)),"")="挂靠代收",IFERROR(INDEX(业务流水!$F$5:$F$1504,MATCH(259,业务流水!$X$5:$X$1504,0)),""),IFERROR(INDEX(业务流水!$E$5:$E$1504,MATCH(259,业务流水!$X$5:$X$1504,0)),"")))</f>
        <v/>
      </c>
      <c r="F264" s="32" t="str">
        <f aca="false">IFERROR(INDEX(业务流水!$D$5:$D$1504,MATCH(259,业务流水!$X$5:$X$1504,0)),"")</f>
        <v/>
      </c>
      <c r="G264" s="41" t="n">
        <f aca="false">IF($F264="挂靠代收",N(IFERROR(INDEX(业务流水!$H$5:$H$1504,MATCH(259,业务流水!$X$5:$X$1504,0)),"")),0)</f>
        <v>0</v>
      </c>
      <c r="H264" s="41" t="n">
        <f aca="false">IF($F264="我方收款",N(IFERROR(INDEX(业务流水!$H$5:$H$1504,MATCH(259,业务流水!$X$5:$X$1504,0)),"")),0)</f>
        <v>0</v>
      </c>
      <c r="I264" s="42" t="str">
        <f aca="false">IF($B264="","",SUMIFS($G$6:$G264,$E$6:$E264,$E264)-SUMIFS($H$6:$H264,$E$6:$E264,$E264))</f>
        <v/>
      </c>
      <c r="J264" s="40" t="str">
        <f aca="false">IFERROR(INDEX(业务流水!$J$5:$J$1504,MATCH(259,业务流水!$X$5:$X$1504,0)),"")</f>
        <v/>
      </c>
    </row>
    <row r="265" customFormat="false" ht="15.75" hidden="false" customHeight="true" outlineLevel="0" collapsed="false">
      <c r="A265" s="32" t="str">
        <f aca="false">IF($B265="","",260)</f>
        <v/>
      </c>
      <c r="B265" s="50" t="str">
        <f aca="false">IFERROR(INDEX(业务流水!$B$5:$B$1504,MATCH(260,业务流水!$X$5:$X$1504,0)),"")</f>
        <v/>
      </c>
      <c r="C265" s="32" t="str">
        <f aca="false">IFERROR(INDEX(业务流水!$C$5:$C$1504,MATCH(260,业务流水!$X$5:$X$1504,0)),"")</f>
        <v/>
      </c>
      <c r="D265" s="40" t="str">
        <f aca="false">IFERROR(INDEX(业务流水!$M$5:$M$1504,MATCH(260,业务流水!$X$5:$X$1504,0)),"")</f>
        <v/>
      </c>
      <c r="E265" s="32" t="str">
        <f aca="false">IF($B265="","",IF(IFERROR(INDEX(业务流水!$D$5:$D$1504,MATCH(260,业务流水!$X$5:$X$1504,0)),"")="挂靠代收",IFERROR(INDEX(业务流水!$F$5:$F$1504,MATCH(260,业务流水!$X$5:$X$1504,0)),""),IFERROR(INDEX(业务流水!$E$5:$E$1504,MATCH(260,业务流水!$X$5:$X$1504,0)),"")))</f>
        <v/>
      </c>
      <c r="F265" s="32" t="str">
        <f aca="false">IFERROR(INDEX(业务流水!$D$5:$D$1504,MATCH(260,业务流水!$X$5:$X$1504,0)),"")</f>
        <v/>
      </c>
      <c r="G265" s="41" t="n">
        <f aca="false">IF($F265="挂靠代收",N(IFERROR(INDEX(业务流水!$H$5:$H$1504,MATCH(260,业务流水!$X$5:$X$1504,0)),"")),0)</f>
        <v>0</v>
      </c>
      <c r="H265" s="41" t="n">
        <f aca="false">IF($F265="我方收款",N(IFERROR(INDEX(业务流水!$H$5:$H$1504,MATCH(260,业务流水!$X$5:$X$1504,0)),"")),0)</f>
        <v>0</v>
      </c>
      <c r="I265" s="42" t="str">
        <f aca="false">IF($B265="","",SUMIFS($G$6:$G265,$E$6:$E265,$E265)-SUMIFS($H$6:$H265,$E$6:$E265,$E265))</f>
        <v/>
      </c>
      <c r="J265" s="40" t="str">
        <f aca="false">IFERROR(INDEX(业务流水!$J$5:$J$1504,MATCH(260,业务流水!$X$5:$X$1504,0)),"")</f>
        <v/>
      </c>
    </row>
    <row r="266" customFormat="false" ht="15.75" hidden="false" customHeight="true" outlineLevel="0" collapsed="false">
      <c r="A266" s="32" t="str">
        <f aca="false">IF($B266="","",261)</f>
        <v/>
      </c>
      <c r="B266" s="50" t="str">
        <f aca="false">IFERROR(INDEX(业务流水!$B$5:$B$1504,MATCH(261,业务流水!$X$5:$X$1504,0)),"")</f>
        <v/>
      </c>
      <c r="C266" s="32" t="str">
        <f aca="false">IFERROR(INDEX(业务流水!$C$5:$C$1504,MATCH(261,业务流水!$X$5:$X$1504,0)),"")</f>
        <v/>
      </c>
      <c r="D266" s="40" t="str">
        <f aca="false">IFERROR(INDEX(业务流水!$M$5:$M$1504,MATCH(261,业务流水!$X$5:$X$1504,0)),"")</f>
        <v/>
      </c>
      <c r="E266" s="32" t="str">
        <f aca="false">IF($B266="","",IF(IFERROR(INDEX(业务流水!$D$5:$D$1504,MATCH(261,业务流水!$X$5:$X$1504,0)),"")="挂靠代收",IFERROR(INDEX(业务流水!$F$5:$F$1504,MATCH(261,业务流水!$X$5:$X$1504,0)),""),IFERROR(INDEX(业务流水!$E$5:$E$1504,MATCH(261,业务流水!$X$5:$X$1504,0)),"")))</f>
        <v/>
      </c>
      <c r="F266" s="32" t="str">
        <f aca="false">IFERROR(INDEX(业务流水!$D$5:$D$1504,MATCH(261,业务流水!$X$5:$X$1504,0)),"")</f>
        <v/>
      </c>
      <c r="G266" s="41" t="n">
        <f aca="false">IF($F266="挂靠代收",N(IFERROR(INDEX(业务流水!$H$5:$H$1504,MATCH(261,业务流水!$X$5:$X$1504,0)),"")),0)</f>
        <v>0</v>
      </c>
      <c r="H266" s="41" t="n">
        <f aca="false">IF($F266="我方收款",N(IFERROR(INDEX(业务流水!$H$5:$H$1504,MATCH(261,业务流水!$X$5:$X$1504,0)),"")),0)</f>
        <v>0</v>
      </c>
      <c r="I266" s="42" t="str">
        <f aca="false">IF($B266="","",SUMIFS($G$6:$G266,$E$6:$E266,$E266)-SUMIFS($H$6:$H266,$E$6:$E266,$E266))</f>
        <v/>
      </c>
      <c r="J266" s="40" t="str">
        <f aca="false">IFERROR(INDEX(业务流水!$J$5:$J$1504,MATCH(261,业务流水!$X$5:$X$1504,0)),"")</f>
        <v/>
      </c>
    </row>
    <row r="267" customFormat="false" ht="15.75" hidden="false" customHeight="true" outlineLevel="0" collapsed="false">
      <c r="A267" s="32" t="str">
        <f aca="false">IF($B267="","",262)</f>
        <v/>
      </c>
      <c r="B267" s="50" t="str">
        <f aca="false">IFERROR(INDEX(业务流水!$B$5:$B$1504,MATCH(262,业务流水!$X$5:$X$1504,0)),"")</f>
        <v/>
      </c>
      <c r="C267" s="32" t="str">
        <f aca="false">IFERROR(INDEX(业务流水!$C$5:$C$1504,MATCH(262,业务流水!$X$5:$X$1504,0)),"")</f>
        <v/>
      </c>
      <c r="D267" s="40" t="str">
        <f aca="false">IFERROR(INDEX(业务流水!$M$5:$M$1504,MATCH(262,业务流水!$X$5:$X$1504,0)),"")</f>
        <v/>
      </c>
      <c r="E267" s="32" t="str">
        <f aca="false">IF($B267="","",IF(IFERROR(INDEX(业务流水!$D$5:$D$1504,MATCH(262,业务流水!$X$5:$X$1504,0)),"")="挂靠代收",IFERROR(INDEX(业务流水!$F$5:$F$1504,MATCH(262,业务流水!$X$5:$X$1504,0)),""),IFERROR(INDEX(业务流水!$E$5:$E$1504,MATCH(262,业务流水!$X$5:$X$1504,0)),"")))</f>
        <v/>
      </c>
      <c r="F267" s="32" t="str">
        <f aca="false">IFERROR(INDEX(业务流水!$D$5:$D$1504,MATCH(262,业务流水!$X$5:$X$1504,0)),"")</f>
        <v/>
      </c>
      <c r="G267" s="41" t="n">
        <f aca="false">IF($F267="挂靠代收",N(IFERROR(INDEX(业务流水!$H$5:$H$1504,MATCH(262,业务流水!$X$5:$X$1504,0)),"")),0)</f>
        <v>0</v>
      </c>
      <c r="H267" s="41" t="n">
        <f aca="false">IF($F267="我方收款",N(IFERROR(INDEX(业务流水!$H$5:$H$1504,MATCH(262,业务流水!$X$5:$X$1504,0)),"")),0)</f>
        <v>0</v>
      </c>
      <c r="I267" s="42" t="str">
        <f aca="false">IF($B267="","",SUMIFS($G$6:$G267,$E$6:$E267,$E267)-SUMIFS($H$6:$H267,$E$6:$E267,$E267))</f>
        <v/>
      </c>
      <c r="J267" s="40" t="str">
        <f aca="false">IFERROR(INDEX(业务流水!$J$5:$J$1504,MATCH(262,业务流水!$X$5:$X$1504,0)),"")</f>
        <v/>
      </c>
    </row>
    <row r="268" customFormat="false" ht="15.75" hidden="false" customHeight="true" outlineLevel="0" collapsed="false">
      <c r="A268" s="32" t="str">
        <f aca="false">IF($B268="","",263)</f>
        <v/>
      </c>
      <c r="B268" s="50" t="str">
        <f aca="false">IFERROR(INDEX(业务流水!$B$5:$B$1504,MATCH(263,业务流水!$X$5:$X$1504,0)),"")</f>
        <v/>
      </c>
      <c r="C268" s="32" t="str">
        <f aca="false">IFERROR(INDEX(业务流水!$C$5:$C$1504,MATCH(263,业务流水!$X$5:$X$1504,0)),"")</f>
        <v/>
      </c>
      <c r="D268" s="40" t="str">
        <f aca="false">IFERROR(INDEX(业务流水!$M$5:$M$1504,MATCH(263,业务流水!$X$5:$X$1504,0)),"")</f>
        <v/>
      </c>
      <c r="E268" s="32" t="str">
        <f aca="false">IF($B268="","",IF(IFERROR(INDEX(业务流水!$D$5:$D$1504,MATCH(263,业务流水!$X$5:$X$1504,0)),"")="挂靠代收",IFERROR(INDEX(业务流水!$F$5:$F$1504,MATCH(263,业务流水!$X$5:$X$1504,0)),""),IFERROR(INDEX(业务流水!$E$5:$E$1504,MATCH(263,业务流水!$X$5:$X$1504,0)),"")))</f>
        <v/>
      </c>
      <c r="F268" s="32" t="str">
        <f aca="false">IFERROR(INDEX(业务流水!$D$5:$D$1504,MATCH(263,业务流水!$X$5:$X$1504,0)),"")</f>
        <v/>
      </c>
      <c r="G268" s="41" t="n">
        <f aca="false">IF($F268="挂靠代收",N(IFERROR(INDEX(业务流水!$H$5:$H$1504,MATCH(263,业务流水!$X$5:$X$1504,0)),"")),0)</f>
        <v>0</v>
      </c>
      <c r="H268" s="41" t="n">
        <f aca="false">IF($F268="我方收款",N(IFERROR(INDEX(业务流水!$H$5:$H$1504,MATCH(263,业务流水!$X$5:$X$1504,0)),"")),0)</f>
        <v>0</v>
      </c>
      <c r="I268" s="42" t="str">
        <f aca="false">IF($B268="","",SUMIFS($G$6:$G268,$E$6:$E268,$E268)-SUMIFS($H$6:$H268,$E$6:$E268,$E268))</f>
        <v/>
      </c>
      <c r="J268" s="40" t="str">
        <f aca="false">IFERROR(INDEX(业务流水!$J$5:$J$1504,MATCH(263,业务流水!$X$5:$X$1504,0)),"")</f>
        <v/>
      </c>
    </row>
    <row r="269" customFormat="false" ht="15.75" hidden="false" customHeight="true" outlineLevel="0" collapsed="false">
      <c r="A269" s="32" t="str">
        <f aca="false">IF($B269="","",264)</f>
        <v/>
      </c>
      <c r="B269" s="50" t="str">
        <f aca="false">IFERROR(INDEX(业务流水!$B$5:$B$1504,MATCH(264,业务流水!$X$5:$X$1504,0)),"")</f>
        <v/>
      </c>
      <c r="C269" s="32" t="str">
        <f aca="false">IFERROR(INDEX(业务流水!$C$5:$C$1504,MATCH(264,业务流水!$X$5:$X$1504,0)),"")</f>
        <v/>
      </c>
      <c r="D269" s="40" t="str">
        <f aca="false">IFERROR(INDEX(业务流水!$M$5:$M$1504,MATCH(264,业务流水!$X$5:$X$1504,0)),"")</f>
        <v/>
      </c>
      <c r="E269" s="32" t="str">
        <f aca="false">IF($B269="","",IF(IFERROR(INDEX(业务流水!$D$5:$D$1504,MATCH(264,业务流水!$X$5:$X$1504,0)),"")="挂靠代收",IFERROR(INDEX(业务流水!$F$5:$F$1504,MATCH(264,业务流水!$X$5:$X$1504,0)),""),IFERROR(INDEX(业务流水!$E$5:$E$1504,MATCH(264,业务流水!$X$5:$X$1504,0)),"")))</f>
        <v/>
      </c>
      <c r="F269" s="32" t="str">
        <f aca="false">IFERROR(INDEX(业务流水!$D$5:$D$1504,MATCH(264,业务流水!$X$5:$X$1504,0)),"")</f>
        <v/>
      </c>
      <c r="G269" s="41" t="n">
        <f aca="false">IF($F269="挂靠代收",N(IFERROR(INDEX(业务流水!$H$5:$H$1504,MATCH(264,业务流水!$X$5:$X$1504,0)),"")),0)</f>
        <v>0</v>
      </c>
      <c r="H269" s="41" t="n">
        <f aca="false">IF($F269="我方收款",N(IFERROR(INDEX(业务流水!$H$5:$H$1504,MATCH(264,业务流水!$X$5:$X$1504,0)),"")),0)</f>
        <v>0</v>
      </c>
      <c r="I269" s="42" t="str">
        <f aca="false">IF($B269="","",SUMIFS($G$6:$G269,$E$6:$E269,$E269)-SUMIFS($H$6:$H269,$E$6:$E269,$E269))</f>
        <v/>
      </c>
      <c r="J269" s="40" t="str">
        <f aca="false">IFERROR(INDEX(业务流水!$J$5:$J$1504,MATCH(264,业务流水!$X$5:$X$1504,0)),"")</f>
        <v/>
      </c>
    </row>
    <row r="270" customFormat="false" ht="15.75" hidden="false" customHeight="true" outlineLevel="0" collapsed="false">
      <c r="A270" s="32" t="str">
        <f aca="false">IF($B270="","",265)</f>
        <v/>
      </c>
      <c r="B270" s="50" t="str">
        <f aca="false">IFERROR(INDEX(业务流水!$B$5:$B$1504,MATCH(265,业务流水!$X$5:$X$1504,0)),"")</f>
        <v/>
      </c>
      <c r="C270" s="32" t="str">
        <f aca="false">IFERROR(INDEX(业务流水!$C$5:$C$1504,MATCH(265,业务流水!$X$5:$X$1504,0)),"")</f>
        <v/>
      </c>
      <c r="D270" s="40" t="str">
        <f aca="false">IFERROR(INDEX(业务流水!$M$5:$M$1504,MATCH(265,业务流水!$X$5:$X$1504,0)),"")</f>
        <v/>
      </c>
      <c r="E270" s="32" t="str">
        <f aca="false">IF($B270="","",IF(IFERROR(INDEX(业务流水!$D$5:$D$1504,MATCH(265,业务流水!$X$5:$X$1504,0)),"")="挂靠代收",IFERROR(INDEX(业务流水!$F$5:$F$1504,MATCH(265,业务流水!$X$5:$X$1504,0)),""),IFERROR(INDEX(业务流水!$E$5:$E$1504,MATCH(265,业务流水!$X$5:$X$1504,0)),"")))</f>
        <v/>
      </c>
      <c r="F270" s="32" t="str">
        <f aca="false">IFERROR(INDEX(业务流水!$D$5:$D$1504,MATCH(265,业务流水!$X$5:$X$1504,0)),"")</f>
        <v/>
      </c>
      <c r="G270" s="41" t="n">
        <f aca="false">IF($F270="挂靠代收",N(IFERROR(INDEX(业务流水!$H$5:$H$1504,MATCH(265,业务流水!$X$5:$X$1504,0)),"")),0)</f>
        <v>0</v>
      </c>
      <c r="H270" s="41" t="n">
        <f aca="false">IF($F270="我方收款",N(IFERROR(INDEX(业务流水!$H$5:$H$1504,MATCH(265,业务流水!$X$5:$X$1504,0)),"")),0)</f>
        <v>0</v>
      </c>
      <c r="I270" s="42" t="str">
        <f aca="false">IF($B270="","",SUMIFS($G$6:$G270,$E$6:$E270,$E270)-SUMIFS($H$6:$H270,$E$6:$E270,$E270))</f>
        <v/>
      </c>
      <c r="J270" s="40" t="str">
        <f aca="false">IFERROR(INDEX(业务流水!$J$5:$J$1504,MATCH(265,业务流水!$X$5:$X$1504,0)),"")</f>
        <v/>
      </c>
    </row>
    <row r="271" customFormat="false" ht="15.75" hidden="false" customHeight="true" outlineLevel="0" collapsed="false">
      <c r="A271" s="32" t="str">
        <f aca="false">IF($B271="","",266)</f>
        <v/>
      </c>
      <c r="B271" s="50" t="str">
        <f aca="false">IFERROR(INDEX(业务流水!$B$5:$B$1504,MATCH(266,业务流水!$X$5:$X$1504,0)),"")</f>
        <v/>
      </c>
      <c r="C271" s="32" t="str">
        <f aca="false">IFERROR(INDEX(业务流水!$C$5:$C$1504,MATCH(266,业务流水!$X$5:$X$1504,0)),"")</f>
        <v/>
      </c>
      <c r="D271" s="40" t="str">
        <f aca="false">IFERROR(INDEX(业务流水!$M$5:$M$1504,MATCH(266,业务流水!$X$5:$X$1504,0)),"")</f>
        <v/>
      </c>
      <c r="E271" s="32" t="str">
        <f aca="false">IF($B271="","",IF(IFERROR(INDEX(业务流水!$D$5:$D$1504,MATCH(266,业务流水!$X$5:$X$1504,0)),"")="挂靠代收",IFERROR(INDEX(业务流水!$F$5:$F$1504,MATCH(266,业务流水!$X$5:$X$1504,0)),""),IFERROR(INDEX(业务流水!$E$5:$E$1504,MATCH(266,业务流水!$X$5:$X$1504,0)),"")))</f>
        <v/>
      </c>
      <c r="F271" s="32" t="str">
        <f aca="false">IFERROR(INDEX(业务流水!$D$5:$D$1504,MATCH(266,业务流水!$X$5:$X$1504,0)),"")</f>
        <v/>
      </c>
      <c r="G271" s="41" t="n">
        <f aca="false">IF($F271="挂靠代收",N(IFERROR(INDEX(业务流水!$H$5:$H$1504,MATCH(266,业务流水!$X$5:$X$1504,0)),"")),0)</f>
        <v>0</v>
      </c>
      <c r="H271" s="41" t="n">
        <f aca="false">IF($F271="我方收款",N(IFERROR(INDEX(业务流水!$H$5:$H$1504,MATCH(266,业务流水!$X$5:$X$1504,0)),"")),0)</f>
        <v>0</v>
      </c>
      <c r="I271" s="42" t="str">
        <f aca="false">IF($B271="","",SUMIFS($G$6:$G271,$E$6:$E271,$E271)-SUMIFS($H$6:$H271,$E$6:$E271,$E271))</f>
        <v/>
      </c>
      <c r="J271" s="40" t="str">
        <f aca="false">IFERROR(INDEX(业务流水!$J$5:$J$1504,MATCH(266,业务流水!$X$5:$X$1504,0)),"")</f>
        <v/>
      </c>
    </row>
    <row r="272" customFormat="false" ht="15.75" hidden="false" customHeight="true" outlineLevel="0" collapsed="false">
      <c r="A272" s="32" t="str">
        <f aca="false">IF($B272="","",267)</f>
        <v/>
      </c>
      <c r="B272" s="50" t="str">
        <f aca="false">IFERROR(INDEX(业务流水!$B$5:$B$1504,MATCH(267,业务流水!$X$5:$X$1504,0)),"")</f>
        <v/>
      </c>
      <c r="C272" s="32" t="str">
        <f aca="false">IFERROR(INDEX(业务流水!$C$5:$C$1504,MATCH(267,业务流水!$X$5:$X$1504,0)),"")</f>
        <v/>
      </c>
      <c r="D272" s="40" t="str">
        <f aca="false">IFERROR(INDEX(业务流水!$M$5:$M$1504,MATCH(267,业务流水!$X$5:$X$1504,0)),"")</f>
        <v/>
      </c>
      <c r="E272" s="32" t="str">
        <f aca="false">IF($B272="","",IF(IFERROR(INDEX(业务流水!$D$5:$D$1504,MATCH(267,业务流水!$X$5:$X$1504,0)),"")="挂靠代收",IFERROR(INDEX(业务流水!$F$5:$F$1504,MATCH(267,业务流水!$X$5:$X$1504,0)),""),IFERROR(INDEX(业务流水!$E$5:$E$1504,MATCH(267,业务流水!$X$5:$X$1504,0)),"")))</f>
        <v/>
      </c>
      <c r="F272" s="32" t="str">
        <f aca="false">IFERROR(INDEX(业务流水!$D$5:$D$1504,MATCH(267,业务流水!$X$5:$X$1504,0)),"")</f>
        <v/>
      </c>
      <c r="G272" s="41" t="n">
        <f aca="false">IF($F272="挂靠代收",N(IFERROR(INDEX(业务流水!$H$5:$H$1504,MATCH(267,业务流水!$X$5:$X$1504,0)),"")),0)</f>
        <v>0</v>
      </c>
      <c r="H272" s="41" t="n">
        <f aca="false">IF($F272="我方收款",N(IFERROR(INDEX(业务流水!$H$5:$H$1504,MATCH(267,业务流水!$X$5:$X$1504,0)),"")),0)</f>
        <v>0</v>
      </c>
      <c r="I272" s="42" t="str">
        <f aca="false">IF($B272="","",SUMIFS($G$6:$G272,$E$6:$E272,$E272)-SUMIFS($H$6:$H272,$E$6:$E272,$E272))</f>
        <v/>
      </c>
      <c r="J272" s="40" t="str">
        <f aca="false">IFERROR(INDEX(业务流水!$J$5:$J$1504,MATCH(267,业务流水!$X$5:$X$1504,0)),"")</f>
        <v/>
      </c>
    </row>
    <row r="273" customFormat="false" ht="15.75" hidden="false" customHeight="true" outlineLevel="0" collapsed="false">
      <c r="A273" s="32" t="str">
        <f aca="false">IF($B273="","",268)</f>
        <v/>
      </c>
      <c r="B273" s="50" t="str">
        <f aca="false">IFERROR(INDEX(业务流水!$B$5:$B$1504,MATCH(268,业务流水!$X$5:$X$1504,0)),"")</f>
        <v/>
      </c>
      <c r="C273" s="32" t="str">
        <f aca="false">IFERROR(INDEX(业务流水!$C$5:$C$1504,MATCH(268,业务流水!$X$5:$X$1504,0)),"")</f>
        <v/>
      </c>
      <c r="D273" s="40" t="str">
        <f aca="false">IFERROR(INDEX(业务流水!$M$5:$M$1504,MATCH(268,业务流水!$X$5:$X$1504,0)),"")</f>
        <v/>
      </c>
      <c r="E273" s="32" t="str">
        <f aca="false">IF($B273="","",IF(IFERROR(INDEX(业务流水!$D$5:$D$1504,MATCH(268,业务流水!$X$5:$X$1504,0)),"")="挂靠代收",IFERROR(INDEX(业务流水!$F$5:$F$1504,MATCH(268,业务流水!$X$5:$X$1504,0)),""),IFERROR(INDEX(业务流水!$E$5:$E$1504,MATCH(268,业务流水!$X$5:$X$1504,0)),"")))</f>
        <v/>
      </c>
      <c r="F273" s="32" t="str">
        <f aca="false">IFERROR(INDEX(业务流水!$D$5:$D$1504,MATCH(268,业务流水!$X$5:$X$1504,0)),"")</f>
        <v/>
      </c>
      <c r="G273" s="41" t="n">
        <f aca="false">IF($F273="挂靠代收",N(IFERROR(INDEX(业务流水!$H$5:$H$1504,MATCH(268,业务流水!$X$5:$X$1504,0)),"")),0)</f>
        <v>0</v>
      </c>
      <c r="H273" s="41" t="n">
        <f aca="false">IF($F273="我方收款",N(IFERROR(INDEX(业务流水!$H$5:$H$1504,MATCH(268,业务流水!$X$5:$X$1504,0)),"")),0)</f>
        <v>0</v>
      </c>
      <c r="I273" s="42" t="str">
        <f aca="false">IF($B273="","",SUMIFS($G$6:$G273,$E$6:$E273,$E273)-SUMIFS($H$6:$H273,$E$6:$E273,$E273))</f>
        <v/>
      </c>
      <c r="J273" s="40" t="str">
        <f aca="false">IFERROR(INDEX(业务流水!$J$5:$J$1504,MATCH(268,业务流水!$X$5:$X$1504,0)),"")</f>
        <v/>
      </c>
    </row>
    <row r="274" customFormat="false" ht="15.75" hidden="false" customHeight="true" outlineLevel="0" collapsed="false">
      <c r="A274" s="32" t="str">
        <f aca="false">IF($B274="","",269)</f>
        <v/>
      </c>
      <c r="B274" s="50" t="str">
        <f aca="false">IFERROR(INDEX(业务流水!$B$5:$B$1504,MATCH(269,业务流水!$X$5:$X$1504,0)),"")</f>
        <v/>
      </c>
      <c r="C274" s="32" t="str">
        <f aca="false">IFERROR(INDEX(业务流水!$C$5:$C$1504,MATCH(269,业务流水!$X$5:$X$1504,0)),"")</f>
        <v/>
      </c>
      <c r="D274" s="40" t="str">
        <f aca="false">IFERROR(INDEX(业务流水!$M$5:$M$1504,MATCH(269,业务流水!$X$5:$X$1504,0)),"")</f>
        <v/>
      </c>
      <c r="E274" s="32" t="str">
        <f aca="false">IF($B274="","",IF(IFERROR(INDEX(业务流水!$D$5:$D$1504,MATCH(269,业务流水!$X$5:$X$1504,0)),"")="挂靠代收",IFERROR(INDEX(业务流水!$F$5:$F$1504,MATCH(269,业务流水!$X$5:$X$1504,0)),""),IFERROR(INDEX(业务流水!$E$5:$E$1504,MATCH(269,业务流水!$X$5:$X$1504,0)),"")))</f>
        <v/>
      </c>
      <c r="F274" s="32" t="str">
        <f aca="false">IFERROR(INDEX(业务流水!$D$5:$D$1504,MATCH(269,业务流水!$X$5:$X$1504,0)),"")</f>
        <v/>
      </c>
      <c r="G274" s="41" t="n">
        <f aca="false">IF($F274="挂靠代收",N(IFERROR(INDEX(业务流水!$H$5:$H$1504,MATCH(269,业务流水!$X$5:$X$1504,0)),"")),0)</f>
        <v>0</v>
      </c>
      <c r="H274" s="41" t="n">
        <f aca="false">IF($F274="我方收款",N(IFERROR(INDEX(业务流水!$H$5:$H$1504,MATCH(269,业务流水!$X$5:$X$1504,0)),"")),0)</f>
        <v>0</v>
      </c>
      <c r="I274" s="42" t="str">
        <f aca="false">IF($B274="","",SUMIFS($G$6:$G274,$E$6:$E274,$E274)-SUMIFS($H$6:$H274,$E$6:$E274,$E274))</f>
        <v/>
      </c>
      <c r="J274" s="40" t="str">
        <f aca="false">IFERROR(INDEX(业务流水!$J$5:$J$1504,MATCH(269,业务流水!$X$5:$X$1504,0)),"")</f>
        <v/>
      </c>
    </row>
    <row r="275" customFormat="false" ht="15.75" hidden="false" customHeight="true" outlineLevel="0" collapsed="false">
      <c r="A275" s="32" t="str">
        <f aca="false">IF($B275="","",270)</f>
        <v/>
      </c>
      <c r="B275" s="50" t="str">
        <f aca="false">IFERROR(INDEX(业务流水!$B$5:$B$1504,MATCH(270,业务流水!$X$5:$X$1504,0)),"")</f>
        <v/>
      </c>
      <c r="C275" s="32" t="str">
        <f aca="false">IFERROR(INDEX(业务流水!$C$5:$C$1504,MATCH(270,业务流水!$X$5:$X$1504,0)),"")</f>
        <v/>
      </c>
      <c r="D275" s="40" t="str">
        <f aca="false">IFERROR(INDEX(业务流水!$M$5:$M$1504,MATCH(270,业务流水!$X$5:$X$1504,0)),"")</f>
        <v/>
      </c>
      <c r="E275" s="32" t="str">
        <f aca="false">IF($B275="","",IF(IFERROR(INDEX(业务流水!$D$5:$D$1504,MATCH(270,业务流水!$X$5:$X$1504,0)),"")="挂靠代收",IFERROR(INDEX(业务流水!$F$5:$F$1504,MATCH(270,业务流水!$X$5:$X$1504,0)),""),IFERROR(INDEX(业务流水!$E$5:$E$1504,MATCH(270,业务流水!$X$5:$X$1504,0)),"")))</f>
        <v/>
      </c>
      <c r="F275" s="32" t="str">
        <f aca="false">IFERROR(INDEX(业务流水!$D$5:$D$1504,MATCH(270,业务流水!$X$5:$X$1504,0)),"")</f>
        <v/>
      </c>
      <c r="G275" s="41" t="n">
        <f aca="false">IF($F275="挂靠代收",N(IFERROR(INDEX(业务流水!$H$5:$H$1504,MATCH(270,业务流水!$X$5:$X$1504,0)),"")),0)</f>
        <v>0</v>
      </c>
      <c r="H275" s="41" t="n">
        <f aca="false">IF($F275="我方收款",N(IFERROR(INDEX(业务流水!$H$5:$H$1504,MATCH(270,业务流水!$X$5:$X$1504,0)),"")),0)</f>
        <v>0</v>
      </c>
      <c r="I275" s="42" t="str">
        <f aca="false">IF($B275="","",SUMIFS($G$6:$G275,$E$6:$E275,$E275)-SUMIFS($H$6:$H275,$E$6:$E275,$E275))</f>
        <v/>
      </c>
      <c r="J275" s="40" t="str">
        <f aca="false">IFERROR(INDEX(业务流水!$J$5:$J$1504,MATCH(270,业务流水!$X$5:$X$1504,0)),"")</f>
        <v/>
      </c>
    </row>
    <row r="276" customFormat="false" ht="15.75" hidden="false" customHeight="true" outlineLevel="0" collapsed="false">
      <c r="A276" s="32" t="str">
        <f aca="false">IF($B276="","",271)</f>
        <v/>
      </c>
      <c r="B276" s="50" t="str">
        <f aca="false">IFERROR(INDEX(业务流水!$B$5:$B$1504,MATCH(271,业务流水!$X$5:$X$1504,0)),"")</f>
        <v/>
      </c>
      <c r="C276" s="32" t="str">
        <f aca="false">IFERROR(INDEX(业务流水!$C$5:$C$1504,MATCH(271,业务流水!$X$5:$X$1504,0)),"")</f>
        <v/>
      </c>
      <c r="D276" s="40" t="str">
        <f aca="false">IFERROR(INDEX(业务流水!$M$5:$M$1504,MATCH(271,业务流水!$X$5:$X$1504,0)),"")</f>
        <v/>
      </c>
      <c r="E276" s="32" t="str">
        <f aca="false">IF($B276="","",IF(IFERROR(INDEX(业务流水!$D$5:$D$1504,MATCH(271,业务流水!$X$5:$X$1504,0)),"")="挂靠代收",IFERROR(INDEX(业务流水!$F$5:$F$1504,MATCH(271,业务流水!$X$5:$X$1504,0)),""),IFERROR(INDEX(业务流水!$E$5:$E$1504,MATCH(271,业务流水!$X$5:$X$1504,0)),"")))</f>
        <v/>
      </c>
      <c r="F276" s="32" t="str">
        <f aca="false">IFERROR(INDEX(业务流水!$D$5:$D$1504,MATCH(271,业务流水!$X$5:$X$1504,0)),"")</f>
        <v/>
      </c>
      <c r="G276" s="41" t="n">
        <f aca="false">IF($F276="挂靠代收",N(IFERROR(INDEX(业务流水!$H$5:$H$1504,MATCH(271,业务流水!$X$5:$X$1504,0)),"")),0)</f>
        <v>0</v>
      </c>
      <c r="H276" s="41" t="n">
        <f aca="false">IF($F276="我方收款",N(IFERROR(INDEX(业务流水!$H$5:$H$1504,MATCH(271,业务流水!$X$5:$X$1504,0)),"")),0)</f>
        <v>0</v>
      </c>
      <c r="I276" s="42" t="str">
        <f aca="false">IF($B276="","",SUMIFS($G$6:$G276,$E$6:$E276,$E276)-SUMIFS($H$6:$H276,$E$6:$E276,$E276))</f>
        <v/>
      </c>
      <c r="J276" s="40" t="str">
        <f aca="false">IFERROR(INDEX(业务流水!$J$5:$J$1504,MATCH(271,业务流水!$X$5:$X$1504,0)),"")</f>
        <v/>
      </c>
    </row>
    <row r="277" customFormat="false" ht="15.75" hidden="false" customHeight="true" outlineLevel="0" collapsed="false">
      <c r="A277" s="32" t="str">
        <f aca="false">IF($B277="","",272)</f>
        <v/>
      </c>
      <c r="B277" s="50" t="str">
        <f aca="false">IFERROR(INDEX(业务流水!$B$5:$B$1504,MATCH(272,业务流水!$X$5:$X$1504,0)),"")</f>
        <v/>
      </c>
      <c r="C277" s="32" t="str">
        <f aca="false">IFERROR(INDEX(业务流水!$C$5:$C$1504,MATCH(272,业务流水!$X$5:$X$1504,0)),"")</f>
        <v/>
      </c>
      <c r="D277" s="40" t="str">
        <f aca="false">IFERROR(INDEX(业务流水!$M$5:$M$1504,MATCH(272,业务流水!$X$5:$X$1504,0)),"")</f>
        <v/>
      </c>
      <c r="E277" s="32" t="str">
        <f aca="false">IF($B277="","",IF(IFERROR(INDEX(业务流水!$D$5:$D$1504,MATCH(272,业务流水!$X$5:$X$1504,0)),"")="挂靠代收",IFERROR(INDEX(业务流水!$F$5:$F$1504,MATCH(272,业务流水!$X$5:$X$1504,0)),""),IFERROR(INDEX(业务流水!$E$5:$E$1504,MATCH(272,业务流水!$X$5:$X$1504,0)),"")))</f>
        <v/>
      </c>
      <c r="F277" s="32" t="str">
        <f aca="false">IFERROR(INDEX(业务流水!$D$5:$D$1504,MATCH(272,业务流水!$X$5:$X$1504,0)),"")</f>
        <v/>
      </c>
      <c r="G277" s="41" t="n">
        <f aca="false">IF($F277="挂靠代收",N(IFERROR(INDEX(业务流水!$H$5:$H$1504,MATCH(272,业务流水!$X$5:$X$1504,0)),"")),0)</f>
        <v>0</v>
      </c>
      <c r="H277" s="41" t="n">
        <f aca="false">IF($F277="我方收款",N(IFERROR(INDEX(业务流水!$H$5:$H$1504,MATCH(272,业务流水!$X$5:$X$1504,0)),"")),0)</f>
        <v>0</v>
      </c>
      <c r="I277" s="42" t="str">
        <f aca="false">IF($B277="","",SUMIFS($G$6:$G277,$E$6:$E277,$E277)-SUMIFS($H$6:$H277,$E$6:$E277,$E277))</f>
        <v/>
      </c>
      <c r="J277" s="40" t="str">
        <f aca="false">IFERROR(INDEX(业务流水!$J$5:$J$1504,MATCH(272,业务流水!$X$5:$X$1504,0)),"")</f>
        <v/>
      </c>
    </row>
    <row r="278" customFormat="false" ht="15.75" hidden="false" customHeight="true" outlineLevel="0" collapsed="false">
      <c r="A278" s="32" t="str">
        <f aca="false">IF($B278="","",273)</f>
        <v/>
      </c>
      <c r="B278" s="50" t="str">
        <f aca="false">IFERROR(INDEX(业务流水!$B$5:$B$1504,MATCH(273,业务流水!$X$5:$X$1504,0)),"")</f>
        <v/>
      </c>
      <c r="C278" s="32" t="str">
        <f aca="false">IFERROR(INDEX(业务流水!$C$5:$C$1504,MATCH(273,业务流水!$X$5:$X$1504,0)),"")</f>
        <v/>
      </c>
      <c r="D278" s="40" t="str">
        <f aca="false">IFERROR(INDEX(业务流水!$M$5:$M$1504,MATCH(273,业务流水!$X$5:$X$1504,0)),"")</f>
        <v/>
      </c>
      <c r="E278" s="32" t="str">
        <f aca="false">IF($B278="","",IF(IFERROR(INDEX(业务流水!$D$5:$D$1504,MATCH(273,业务流水!$X$5:$X$1504,0)),"")="挂靠代收",IFERROR(INDEX(业务流水!$F$5:$F$1504,MATCH(273,业务流水!$X$5:$X$1504,0)),""),IFERROR(INDEX(业务流水!$E$5:$E$1504,MATCH(273,业务流水!$X$5:$X$1504,0)),"")))</f>
        <v/>
      </c>
      <c r="F278" s="32" t="str">
        <f aca="false">IFERROR(INDEX(业务流水!$D$5:$D$1504,MATCH(273,业务流水!$X$5:$X$1504,0)),"")</f>
        <v/>
      </c>
      <c r="G278" s="41" t="n">
        <f aca="false">IF($F278="挂靠代收",N(IFERROR(INDEX(业务流水!$H$5:$H$1504,MATCH(273,业务流水!$X$5:$X$1504,0)),"")),0)</f>
        <v>0</v>
      </c>
      <c r="H278" s="41" t="n">
        <f aca="false">IF($F278="我方收款",N(IFERROR(INDEX(业务流水!$H$5:$H$1504,MATCH(273,业务流水!$X$5:$X$1504,0)),"")),0)</f>
        <v>0</v>
      </c>
      <c r="I278" s="42" t="str">
        <f aca="false">IF($B278="","",SUMIFS($G$6:$G278,$E$6:$E278,$E278)-SUMIFS($H$6:$H278,$E$6:$E278,$E278))</f>
        <v/>
      </c>
      <c r="J278" s="40" t="str">
        <f aca="false">IFERROR(INDEX(业务流水!$J$5:$J$1504,MATCH(273,业务流水!$X$5:$X$1504,0)),"")</f>
        <v/>
      </c>
    </row>
    <row r="279" customFormat="false" ht="15.75" hidden="false" customHeight="true" outlineLevel="0" collapsed="false">
      <c r="A279" s="32" t="str">
        <f aca="false">IF($B279="","",274)</f>
        <v/>
      </c>
      <c r="B279" s="50" t="str">
        <f aca="false">IFERROR(INDEX(业务流水!$B$5:$B$1504,MATCH(274,业务流水!$X$5:$X$1504,0)),"")</f>
        <v/>
      </c>
      <c r="C279" s="32" t="str">
        <f aca="false">IFERROR(INDEX(业务流水!$C$5:$C$1504,MATCH(274,业务流水!$X$5:$X$1504,0)),"")</f>
        <v/>
      </c>
      <c r="D279" s="40" t="str">
        <f aca="false">IFERROR(INDEX(业务流水!$M$5:$M$1504,MATCH(274,业务流水!$X$5:$X$1504,0)),"")</f>
        <v/>
      </c>
      <c r="E279" s="32" t="str">
        <f aca="false">IF($B279="","",IF(IFERROR(INDEX(业务流水!$D$5:$D$1504,MATCH(274,业务流水!$X$5:$X$1504,0)),"")="挂靠代收",IFERROR(INDEX(业务流水!$F$5:$F$1504,MATCH(274,业务流水!$X$5:$X$1504,0)),""),IFERROR(INDEX(业务流水!$E$5:$E$1504,MATCH(274,业务流水!$X$5:$X$1504,0)),"")))</f>
        <v/>
      </c>
      <c r="F279" s="32" t="str">
        <f aca="false">IFERROR(INDEX(业务流水!$D$5:$D$1504,MATCH(274,业务流水!$X$5:$X$1504,0)),"")</f>
        <v/>
      </c>
      <c r="G279" s="41" t="n">
        <f aca="false">IF($F279="挂靠代收",N(IFERROR(INDEX(业务流水!$H$5:$H$1504,MATCH(274,业务流水!$X$5:$X$1504,0)),"")),0)</f>
        <v>0</v>
      </c>
      <c r="H279" s="41" t="n">
        <f aca="false">IF($F279="我方收款",N(IFERROR(INDEX(业务流水!$H$5:$H$1504,MATCH(274,业务流水!$X$5:$X$1504,0)),"")),0)</f>
        <v>0</v>
      </c>
      <c r="I279" s="42" t="str">
        <f aca="false">IF($B279="","",SUMIFS($G$6:$G279,$E$6:$E279,$E279)-SUMIFS($H$6:$H279,$E$6:$E279,$E279))</f>
        <v/>
      </c>
      <c r="J279" s="40" t="str">
        <f aca="false">IFERROR(INDEX(业务流水!$J$5:$J$1504,MATCH(274,业务流水!$X$5:$X$1504,0)),"")</f>
        <v/>
      </c>
    </row>
    <row r="280" customFormat="false" ht="15.75" hidden="false" customHeight="true" outlineLevel="0" collapsed="false">
      <c r="A280" s="32" t="str">
        <f aca="false">IF($B280="","",275)</f>
        <v/>
      </c>
      <c r="B280" s="50" t="str">
        <f aca="false">IFERROR(INDEX(业务流水!$B$5:$B$1504,MATCH(275,业务流水!$X$5:$X$1504,0)),"")</f>
        <v/>
      </c>
      <c r="C280" s="32" t="str">
        <f aca="false">IFERROR(INDEX(业务流水!$C$5:$C$1504,MATCH(275,业务流水!$X$5:$X$1504,0)),"")</f>
        <v/>
      </c>
      <c r="D280" s="40" t="str">
        <f aca="false">IFERROR(INDEX(业务流水!$M$5:$M$1504,MATCH(275,业务流水!$X$5:$X$1504,0)),"")</f>
        <v/>
      </c>
      <c r="E280" s="32" t="str">
        <f aca="false">IF($B280="","",IF(IFERROR(INDEX(业务流水!$D$5:$D$1504,MATCH(275,业务流水!$X$5:$X$1504,0)),"")="挂靠代收",IFERROR(INDEX(业务流水!$F$5:$F$1504,MATCH(275,业务流水!$X$5:$X$1504,0)),""),IFERROR(INDEX(业务流水!$E$5:$E$1504,MATCH(275,业务流水!$X$5:$X$1504,0)),"")))</f>
        <v/>
      </c>
      <c r="F280" s="32" t="str">
        <f aca="false">IFERROR(INDEX(业务流水!$D$5:$D$1504,MATCH(275,业务流水!$X$5:$X$1504,0)),"")</f>
        <v/>
      </c>
      <c r="G280" s="41" t="n">
        <f aca="false">IF($F280="挂靠代收",N(IFERROR(INDEX(业务流水!$H$5:$H$1504,MATCH(275,业务流水!$X$5:$X$1504,0)),"")),0)</f>
        <v>0</v>
      </c>
      <c r="H280" s="41" t="n">
        <f aca="false">IF($F280="我方收款",N(IFERROR(INDEX(业务流水!$H$5:$H$1504,MATCH(275,业务流水!$X$5:$X$1504,0)),"")),0)</f>
        <v>0</v>
      </c>
      <c r="I280" s="42" t="str">
        <f aca="false">IF($B280="","",SUMIFS($G$6:$G280,$E$6:$E280,$E280)-SUMIFS($H$6:$H280,$E$6:$E280,$E280))</f>
        <v/>
      </c>
      <c r="J280" s="40" t="str">
        <f aca="false">IFERROR(INDEX(业务流水!$J$5:$J$1504,MATCH(275,业务流水!$X$5:$X$1504,0)),"")</f>
        <v/>
      </c>
    </row>
    <row r="281" customFormat="false" ht="15.75" hidden="false" customHeight="true" outlineLevel="0" collapsed="false">
      <c r="A281" s="32" t="str">
        <f aca="false">IF($B281="","",276)</f>
        <v/>
      </c>
      <c r="B281" s="50" t="str">
        <f aca="false">IFERROR(INDEX(业务流水!$B$5:$B$1504,MATCH(276,业务流水!$X$5:$X$1504,0)),"")</f>
        <v/>
      </c>
      <c r="C281" s="32" t="str">
        <f aca="false">IFERROR(INDEX(业务流水!$C$5:$C$1504,MATCH(276,业务流水!$X$5:$X$1504,0)),"")</f>
        <v/>
      </c>
      <c r="D281" s="40" t="str">
        <f aca="false">IFERROR(INDEX(业务流水!$M$5:$M$1504,MATCH(276,业务流水!$X$5:$X$1504,0)),"")</f>
        <v/>
      </c>
      <c r="E281" s="32" t="str">
        <f aca="false">IF($B281="","",IF(IFERROR(INDEX(业务流水!$D$5:$D$1504,MATCH(276,业务流水!$X$5:$X$1504,0)),"")="挂靠代收",IFERROR(INDEX(业务流水!$F$5:$F$1504,MATCH(276,业务流水!$X$5:$X$1504,0)),""),IFERROR(INDEX(业务流水!$E$5:$E$1504,MATCH(276,业务流水!$X$5:$X$1504,0)),"")))</f>
        <v/>
      </c>
      <c r="F281" s="32" t="str">
        <f aca="false">IFERROR(INDEX(业务流水!$D$5:$D$1504,MATCH(276,业务流水!$X$5:$X$1504,0)),"")</f>
        <v/>
      </c>
      <c r="G281" s="41" t="n">
        <f aca="false">IF($F281="挂靠代收",N(IFERROR(INDEX(业务流水!$H$5:$H$1504,MATCH(276,业务流水!$X$5:$X$1504,0)),"")),0)</f>
        <v>0</v>
      </c>
      <c r="H281" s="41" t="n">
        <f aca="false">IF($F281="我方收款",N(IFERROR(INDEX(业务流水!$H$5:$H$1504,MATCH(276,业务流水!$X$5:$X$1504,0)),"")),0)</f>
        <v>0</v>
      </c>
      <c r="I281" s="42" t="str">
        <f aca="false">IF($B281="","",SUMIFS($G$6:$G281,$E$6:$E281,$E281)-SUMIFS($H$6:$H281,$E$6:$E281,$E281))</f>
        <v/>
      </c>
      <c r="J281" s="40" t="str">
        <f aca="false">IFERROR(INDEX(业务流水!$J$5:$J$1504,MATCH(276,业务流水!$X$5:$X$1504,0)),"")</f>
        <v/>
      </c>
    </row>
    <row r="282" customFormat="false" ht="15.75" hidden="false" customHeight="true" outlineLevel="0" collapsed="false">
      <c r="A282" s="32" t="str">
        <f aca="false">IF($B282="","",277)</f>
        <v/>
      </c>
      <c r="B282" s="50" t="str">
        <f aca="false">IFERROR(INDEX(业务流水!$B$5:$B$1504,MATCH(277,业务流水!$X$5:$X$1504,0)),"")</f>
        <v/>
      </c>
      <c r="C282" s="32" t="str">
        <f aca="false">IFERROR(INDEX(业务流水!$C$5:$C$1504,MATCH(277,业务流水!$X$5:$X$1504,0)),"")</f>
        <v/>
      </c>
      <c r="D282" s="40" t="str">
        <f aca="false">IFERROR(INDEX(业务流水!$M$5:$M$1504,MATCH(277,业务流水!$X$5:$X$1504,0)),"")</f>
        <v/>
      </c>
      <c r="E282" s="32" t="str">
        <f aca="false">IF($B282="","",IF(IFERROR(INDEX(业务流水!$D$5:$D$1504,MATCH(277,业务流水!$X$5:$X$1504,0)),"")="挂靠代收",IFERROR(INDEX(业务流水!$F$5:$F$1504,MATCH(277,业务流水!$X$5:$X$1504,0)),""),IFERROR(INDEX(业务流水!$E$5:$E$1504,MATCH(277,业务流水!$X$5:$X$1504,0)),"")))</f>
        <v/>
      </c>
      <c r="F282" s="32" t="str">
        <f aca="false">IFERROR(INDEX(业务流水!$D$5:$D$1504,MATCH(277,业务流水!$X$5:$X$1504,0)),"")</f>
        <v/>
      </c>
      <c r="G282" s="41" t="n">
        <f aca="false">IF($F282="挂靠代收",N(IFERROR(INDEX(业务流水!$H$5:$H$1504,MATCH(277,业务流水!$X$5:$X$1504,0)),"")),0)</f>
        <v>0</v>
      </c>
      <c r="H282" s="41" t="n">
        <f aca="false">IF($F282="我方收款",N(IFERROR(INDEX(业务流水!$H$5:$H$1504,MATCH(277,业务流水!$X$5:$X$1504,0)),"")),0)</f>
        <v>0</v>
      </c>
      <c r="I282" s="42" t="str">
        <f aca="false">IF($B282="","",SUMIFS($G$6:$G282,$E$6:$E282,$E282)-SUMIFS($H$6:$H282,$E$6:$E282,$E282))</f>
        <v/>
      </c>
      <c r="J282" s="40" t="str">
        <f aca="false">IFERROR(INDEX(业务流水!$J$5:$J$1504,MATCH(277,业务流水!$X$5:$X$1504,0)),"")</f>
        <v/>
      </c>
    </row>
    <row r="283" customFormat="false" ht="15.75" hidden="false" customHeight="true" outlineLevel="0" collapsed="false">
      <c r="A283" s="32" t="str">
        <f aca="false">IF($B283="","",278)</f>
        <v/>
      </c>
      <c r="B283" s="50" t="str">
        <f aca="false">IFERROR(INDEX(业务流水!$B$5:$B$1504,MATCH(278,业务流水!$X$5:$X$1504,0)),"")</f>
        <v/>
      </c>
      <c r="C283" s="32" t="str">
        <f aca="false">IFERROR(INDEX(业务流水!$C$5:$C$1504,MATCH(278,业务流水!$X$5:$X$1504,0)),"")</f>
        <v/>
      </c>
      <c r="D283" s="40" t="str">
        <f aca="false">IFERROR(INDEX(业务流水!$M$5:$M$1504,MATCH(278,业务流水!$X$5:$X$1504,0)),"")</f>
        <v/>
      </c>
      <c r="E283" s="32" t="str">
        <f aca="false">IF($B283="","",IF(IFERROR(INDEX(业务流水!$D$5:$D$1504,MATCH(278,业务流水!$X$5:$X$1504,0)),"")="挂靠代收",IFERROR(INDEX(业务流水!$F$5:$F$1504,MATCH(278,业务流水!$X$5:$X$1504,0)),""),IFERROR(INDEX(业务流水!$E$5:$E$1504,MATCH(278,业务流水!$X$5:$X$1504,0)),"")))</f>
        <v/>
      </c>
      <c r="F283" s="32" t="str">
        <f aca="false">IFERROR(INDEX(业务流水!$D$5:$D$1504,MATCH(278,业务流水!$X$5:$X$1504,0)),"")</f>
        <v/>
      </c>
      <c r="G283" s="41" t="n">
        <f aca="false">IF($F283="挂靠代收",N(IFERROR(INDEX(业务流水!$H$5:$H$1504,MATCH(278,业务流水!$X$5:$X$1504,0)),"")),0)</f>
        <v>0</v>
      </c>
      <c r="H283" s="41" t="n">
        <f aca="false">IF($F283="我方收款",N(IFERROR(INDEX(业务流水!$H$5:$H$1504,MATCH(278,业务流水!$X$5:$X$1504,0)),"")),0)</f>
        <v>0</v>
      </c>
      <c r="I283" s="42" t="str">
        <f aca="false">IF($B283="","",SUMIFS($G$6:$G283,$E$6:$E283,$E283)-SUMIFS($H$6:$H283,$E$6:$E283,$E283))</f>
        <v/>
      </c>
      <c r="J283" s="40" t="str">
        <f aca="false">IFERROR(INDEX(业务流水!$J$5:$J$1504,MATCH(278,业务流水!$X$5:$X$1504,0)),"")</f>
        <v/>
      </c>
    </row>
    <row r="284" customFormat="false" ht="15.75" hidden="false" customHeight="true" outlineLevel="0" collapsed="false">
      <c r="A284" s="32" t="str">
        <f aca="false">IF($B284="","",279)</f>
        <v/>
      </c>
      <c r="B284" s="50" t="str">
        <f aca="false">IFERROR(INDEX(业务流水!$B$5:$B$1504,MATCH(279,业务流水!$X$5:$X$1504,0)),"")</f>
        <v/>
      </c>
      <c r="C284" s="32" t="str">
        <f aca="false">IFERROR(INDEX(业务流水!$C$5:$C$1504,MATCH(279,业务流水!$X$5:$X$1504,0)),"")</f>
        <v/>
      </c>
      <c r="D284" s="40" t="str">
        <f aca="false">IFERROR(INDEX(业务流水!$M$5:$M$1504,MATCH(279,业务流水!$X$5:$X$1504,0)),"")</f>
        <v/>
      </c>
      <c r="E284" s="32" t="str">
        <f aca="false">IF($B284="","",IF(IFERROR(INDEX(业务流水!$D$5:$D$1504,MATCH(279,业务流水!$X$5:$X$1504,0)),"")="挂靠代收",IFERROR(INDEX(业务流水!$F$5:$F$1504,MATCH(279,业务流水!$X$5:$X$1504,0)),""),IFERROR(INDEX(业务流水!$E$5:$E$1504,MATCH(279,业务流水!$X$5:$X$1504,0)),"")))</f>
        <v/>
      </c>
      <c r="F284" s="32" t="str">
        <f aca="false">IFERROR(INDEX(业务流水!$D$5:$D$1504,MATCH(279,业务流水!$X$5:$X$1504,0)),"")</f>
        <v/>
      </c>
      <c r="G284" s="41" t="n">
        <f aca="false">IF($F284="挂靠代收",N(IFERROR(INDEX(业务流水!$H$5:$H$1504,MATCH(279,业务流水!$X$5:$X$1504,0)),"")),0)</f>
        <v>0</v>
      </c>
      <c r="H284" s="41" t="n">
        <f aca="false">IF($F284="我方收款",N(IFERROR(INDEX(业务流水!$H$5:$H$1504,MATCH(279,业务流水!$X$5:$X$1504,0)),"")),0)</f>
        <v>0</v>
      </c>
      <c r="I284" s="42" t="str">
        <f aca="false">IF($B284="","",SUMIFS($G$6:$G284,$E$6:$E284,$E284)-SUMIFS($H$6:$H284,$E$6:$E284,$E284))</f>
        <v/>
      </c>
      <c r="J284" s="40" t="str">
        <f aca="false">IFERROR(INDEX(业务流水!$J$5:$J$1504,MATCH(279,业务流水!$X$5:$X$1504,0)),"")</f>
        <v/>
      </c>
    </row>
    <row r="285" customFormat="false" ht="15.75" hidden="false" customHeight="true" outlineLevel="0" collapsed="false">
      <c r="A285" s="32" t="str">
        <f aca="false">IF($B285="","",280)</f>
        <v/>
      </c>
      <c r="B285" s="50" t="str">
        <f aca="false">IFERROR(INDEX(业务流水!$B$5:$B$1504,MATCH(280,业务流水!$X$5:$X$1504,0)),"")</f>
        <v/>
      </c>
      <c r="C285" s="32" t="str">
        <f aca="false">IFERROR(INDEX(业务流水!$C$5:$C$1504,MATCH(280,业务流水!$X$5:$X$1504,0)),"")</f>
        <v/>
      </c>
      <c r="D285" s="40" t="str">
        <f aca="false">IFERROR(INDEX(业务流水!$M$5:$M$1504,MATCH(280,业务流水!$X$5:$X$1504,0)),"")</f>
        <v/>
      </c>
      <c r="E285" s="32" t="str">
        <f aca="false">IF($B285="","",IF(IFERROR(INDEX(业务流水!$D$5:$D$1504,MATCH(280,业务流水!$X$5:$X$1504,0)),"")="挂靠代收",IFERROR(INDEX(业务流水!$F$5:$F$1504,MATCH(280,业务流水!$X$5:$X$1504,0)),""),IFERROR(INDEX(业务流水!$E$5:$E$1504,MATCH(280,业务流水!$X$5:$X$1504,0)),"")))</f>
        <v/>
      </c>
      <c r="F285" s="32" t="str">
        <f aca="false">IFERROR(INDEX(业务流水!$D$5:$D$1504,MATCH(280,业务流水!$X$5:$X$1504,0)),"")</f>
        <v/>
      </c>
      <c r="G285" s="41" t="n">
        <f aca="false">IF($F285="挂靠代收",N(IFERROR(INDEX(业务流水!$H$5:$H$1504,MATCH(280,业务流水!$X$5:$X$1504,0)),"")),0)</f>
        <v>0</v>
      </c>
      <c r="H285" s="41" t="n">
        <f aca="false">IF($F285="我方收款",N(IFERROR(INDEX(业务流水!$H$5:$H$1504,MATCH(280,业务流水!$X$5:$X$1504,0)),"")),0)</f>
        <v>0</v>
      </c>
      <c r="I285" s="42" t="str">
        <f aca="false">IF($B285="","",SUMIFS($G$6:$G285,$E$6:$E285,$E285)-SUMIFS($H$6:$H285,$E$6:$E285,$E285))</f>
        <v/>
      </c>
      <c r="J285" s="40" t="str">
        <f aca="false">IFERROR(INDEX(业务流水!$J$5:$J$1504,MATCH(280,业务流水!$X$5:$X$1504,0)),"")</f>
        <v/>
      </c>
    </row>
    <row r="286" customFormat="false" ht="15.75" hidden="false" customHeight="true" outlineLevel="0" collapsed="false">
      <c r="A286" s="32" t="str">
        <f aca="false">IF($B286="","",281)</f>
        <v/>
      </c>
      <c r="B286" s="50" t="str">
        <f aca="false">IFERROR(INDEX(业务流水!$B$5:$B$1504,MATCH(281,业务流水!$X$5:$X$1504,0)),"")</f>
        <v/>
      </c>
      <c r="C286" s="32" t="str">
        <f aca="false">IFERROR(INDEX(业务流水!$C$5:$C$1504,MATCH(281,业务流水!$X$5:$X$1504,0)),"")</f>
        <v/>
      </c>
      <c r="D286" s="40" t="str">
        <f aca="false">IFERROR(INDEX(业务流水!$M$5:$M$1504,MATCH(281,业务流水!$X$5:$X$1504,0)),"")</f>
        <v/>
      </c>
      <c r="E286" s="32" t="str">
        <f aca="false">IF($B286="","",IF(IFERROR(INDEX(业务流水!$D$5:$D$1504,MATCH(281,业务流水!$X$5:$X$1504,0)),"")="挂靠代收",IFERROR(INDEX(业务流水!$F$5:$F$1504,MATCH(281,业务流水!$X$5:$X$1504,0)),""),IFERROR(INDEX(业务流水!$E$5:$E$1504,MATCH(281,业务流水!$X$5:$X$1504,0)),"")))</f>
        <v/>
      </c>
      <c r="F286" s="32" t="str">
        <f aca="false">IFERROR(INDEX(业务流水!$D$5:$D$1504,MATCH(281,业务流水!$X$5:$X$1504,0)),"")</f>
        <v/>
      </c>
      <c r="G286" s="41" t="n">
        <f aca="false">IF($F286="挂靠代收",N(IFERROR(INDEX(业务流水!$H$5:$H$1504,MATCH(281,业务流水!$X$5:$X$1504,0)),"")),0)</f>
        <v>0</v>
      </c>
      <c r="H286" s="41" t="n">
        <f aca="false">IF($F286="我方收款",N(IFERROR(INDEX(业务流水!$H$5:$H$1504,MATCH(281,业务流水!$X$5:$X$1504,0)),"")),0)</f>
        <v>0</v>
      </c>
      <c r="I286" s="42" t="str">
        <f aca="false">IF($B286="","",SUMIFS($G$6:$G286,$E$6:$E286,$E286)-SUMIFS($H$6:$H286,$E$6:$E286,$E286))</f>
        <v/>
      </c>
      <c r="J286" s="40" t="str">
        <f aca="false">IFERROR(INDEX(业务流水!$J$5:$J$1504,MATCH(281,业务流水!$X$5:$X$1504,0)),"")</f>
        <v/>
      </c>
    </row>
    <row r="287" customFormat="false" ht="15.75" hidden="false" customHeight="true" outlineLevel="0" collapsed="false">
      <c r="A287" s="32" t="str">
        <f aca="false">IF($B287="","",282)</f>
        <v/>
      </c>
      <c r="B287" s="50" t="str">
        <f aca="false">IFERROR(INDEX(业务流水!$B$5:$B$1504,MATCH(282,业务流水!$X$5:$X$1504,0)),"")</f>
        <v/>
      </c>
      <c r="C287" s="32" t="str">
        <f aca="false">IFERROR(INDEX(业务流水!$C$5:$C$1504,MATCH(282,业务流水!$X$5:$X$1504,0)),"")</f>
        <v/>
      </c>
      <c r="D287" s="40" t="str">
        <f aca="false">IFERROR(INDEX(业务流水!$M$5:$M$1504,MATCH(282,业务流水!$X$5:$X$1504,0)),"")</f>
        <v/>
      </c>
      <c r="E287" s="32" t="str">
        <f aca="false">IF($B287="","",IF(IFERROR(INDEX(业务流水!$D$5:$D$1504,MATCH(282,业务流水!$X$5:$X$1504,0)),"")="挂靠代收",IFERROR(INDEX(业务流水!$F$5:$F$1504,MATCH(282,业务流水!$X$5:$X$1504,0)),""),IFERROR(INDEX(业务流水!$E$5:$E$1504,MATCH(282,业务流水!$X$5:$X$1504,0)),"")))</f>
        <v/>
      </c>
      <c r="F287" s="32" t="str">
        <f aca="false">IFERROR(INDEX(业务流水!$D$5:$D$1504,MATCH(282,业务流水!$X$5:$X$1504,0)),"")</f>
        <v/>
      </c>
      <c r="G287" s="41" t="n">
        <f aca="false">IF($F287="挂靠代收",N(IFERROR(INDEX(业务流水!$H$5:$H$1504,MATCH(282,业务流水!$X$5:$X$1504,0)),"")),0)</f>
        <v>0</v>
      </c>
      <c r="H287" s="41" t="n">
        <f aca="false">IF($F287="我方收款",N(IFERROR(INDEX(业务流水!$H$5:$H$1504,MATCH(282,业务流水!$X$5:$X$1504,0)),"")),0)</f>
        <v>0</v>
      </c>
      <c r="I287" s="42" t="str">
        <f aca="false">IF($B287="","",SUMIFS($G$6:$G287,$E$6:$E287,$E287)-SUMIFS($H$6:$H287,$E$6:$E287,$E287))</f>
        <v/>
      </c>
      <c r="J287" s="40" t="str">
        <f aca="false">IFERROR(INDEX(业务流水!$J$5:$J$1504,MATCH(282,业务流水!$X$5:$X$1504,0)),"")</f>
        <v/>
      </c>
    </row>
    <row r="288" customFormat="false" ht="15.75" hidden="false" customHeight="true" outlineLevel="0" collapsed="false">
      <c r="A288" s="32" t="str">
        <f aca="false">IF($B288="","",283)</f>
        <v/>
      </c>
      <c r="B288" s="50" t="str">
        <f aca="false">IFERROR(INDEX(业务流水!$B$5:$B$1504,MATCH(283,业务流水!$X$5:$X$1504,0)),"")</f>
        <v/>
      </c>
      <c r="C288" s="32" t="str">
        <f aca="false">IFERROR(INDEX(业务流水!$C$5:$C$1504,MATCH(283,业务流水!$X$5:$X$1504,0)),"")</f>
        <v/>
      </c>
      <c r="D288" s="40" t="str">
        <f aca="false">IFERROR(INDEX(业务流水!$M$5:$M$1504,MATCH(283,业务流水!$X$5:$X$1504,0)),"")</f>
        <v/>
      </c>
      <c r="E288" s="32" t="str">
        <f aca="false">IF($B288="","",IF(IFERROR(INDEX(业务流水!$D$5:$D$1504,MATCH(283,业务流水!$X$5:$X$1504,0)),"")="挂靠代收",IFERROR(INDEX(业务流水!$F$5:$F$1504,MATCH(283,业务流水!$X$5:$X$1504,0)),""),IFERROR(INDEX(业务流水!$E$5:$E$1504,MATCH(283,业务流水!$X$5:$X$1504,0)),"")))</f>
        <v/>
      </c>
      <c r="F288" s="32" t="str">
        <f aca="false">IFERROR(INDEX(业务流水!$D$5:$D$1504,MATCH(283,业务流水!$X$5:$X$1504,0)),"")</f>
        <v/>
      </c>
      <c r="G288" s="41" t="n">
        <f aca="false">IF($F288="挂靠代收",N(IFERROR(INDEX(业务流水!$H$5:$H$1504,MATCH(283,业务流水!$X$5:$X$1504,0)),"")),0)</f>
        <v>0</v>
      </c>
      <c r="H288" s="41" t="n">
        <f aca="false">IF($F288="我方收款",N(IFERROR(INDEX(业务流水!$H$5:$H$1504,MATCH(283,业务流水!$X$5:$X$1504,0)),"")),0)</f>
        <v>0</v>
      </c>
      <c r="I288" s="42" t="str">
        <f aca="false">IF($B288="","",SUMIFS($G$6:$G288,$E$6:$E288,$E288)-SUMIFS($H$6:$H288,$E$6:$E288,$E288))</f>
        <v/>
      </c>
      <c r="J288" s="40" t="str">
        <f aca="false">IFERROR(INDEX(业务流水!$J$5:$J$1504,MATCH(283,业务流水!$X$5:$X$1504,0)),"")</f>
        <v/>
      </c>
    </row>
    <row r="289" customFormat="false" ht="15.75" hidden="false" customHeight="true" outlineLevel="0" collapsed="false">
      <c r="A289" s="32" t="str">
        <f aca="false">IF($B289="","",284)</f>
        <v/>
      </c>
      <c r="B289" s="50" t="str">
        <f aca="false">IFERROR(INDEX(业务流水!$B$5:$B$1504,MATCH(284,业务流水!$X$5:$X$1504,0)),"")</f>
        <v/>
      </c>
      <c r="C289" s="32" t="str">
        <f aca="false">IFERROR(INDEX(业务流水!$C$5:$C$1504,MATCH(284,业务流水!$X$5:$X$1504,0)),"")</f>
        <v/>
      </c>
      <c r="D289" s="40" t="str">
        <f aca="false">IFERROR(INDEX(业务流水!$M$5:$M$1504,MATCH(284,业务流水!$X$5:$X$1504,0)),"")</f>
        <v/>
      </c>
      <c r="E289" s="32" t="str">
        <f aca="false">IF($B289="","",IF(IFERROR(INDEX(业务流水!$D$5:$D$1504,MATCH(284,业务流水!$X$5:$X$1504,0)),"")="挂靠代收",IFERROR(INDEX(业务流水!$F$5:$F$1504,MATCH(284,业务流水!$X$5:$X$1504,0)),""),IFERROR(INDEX(业务流水!$E$5:$E$1504,MATCH(284,业务流水!$X$5:$X$1504,0)),"")))</f>
        <v/>
      </c>
      <c r="F289" s="32" t="str">
        <f aca="false">IFERROR(INDEX(业务流水!$D$5:$D$1504,MATCH(284,业务流水!$X$5:$X$1504,0)),"")</f>
        <v/>
      </c>
      <c r="G289" s="41" t="n">
        <f aca="false">IF($F289="挂靠代收",N(IFERROR(INDEX(业务流水!$H$5:$H$1504,MATCH(284,业务流水!$X$5:$X$1504,0)),"")),0)</f>
        <v>0</v>
      </c>
      <c r="H289" s="41" t="n">
        <f aca="false">IF($F289="我方收款",N(IFERROR(INDEX(业务流水!$H$5:$H$1504,MATCH(284,业务流水!$X$5:$X$1504,0)),"")),0)</f>
        <v>0</v>
      </c>
      <c r="I289" s="42" t="str">
        <f aca="false">IF($B289="","",SUMIFS($G$6:$G289,$E$6:$E289,$E289)-SUMIFS($H$6:$H289,$E$6:$E289,$E289))</f>
        <v/>
      </c>
      <c r="J289" s="40" t="str">
        <f aca="false">IFERROR(INDEX(业务流水!$J$5:$J$1504,MATCH(284,业务流水!$X$5:$X$1504,0)),"")</f>
        <v/>
      </c>
    </row>
    <row r="290" customFormat="false" ht="15.75" hidden="false" customHeight="true" outlineLevel="0" collapsed="false">
      <c r="A290" s="32" t="str">
        <f aca="false">IF($B290="","",285)</f>
        <v/>
      </c>
      <c r="B290" s="50" t="str">
        <f aca="false">IFERROR(INDEX(业务流水!$B$5:$B$1504,MATCH(285,业务流水!$X$5:$X$1504,0)),"")</f>
        <v/>
      </c>
      <c r="C290" s="32" t="str">
        <f aca="false">IFERROR(INDEX(业务流水!$C$5:$C$1504,MATCH(285,业务流水!$X$5:$X$1504,0)),"")</f>
        <v/>
      </c>
      <c r="D290" s="40" t="str">
        <f aca="false">IFERROR(INDEX(业务流水!$M$5:$M$1504,MATCH(285,业务流水!$X$5:$X$1504,0)),"")</f>
        <v/>
      </c>
      <c r="E290" s="32" t="str">
        <f aca="false">IF($B290="","",IF(IFERROR(INDEX(业务流水!$D$5:$D$1504,MATCH(285,业务流水!$X$5:$X$1504,0)),"")="挂靠代收",IFERROR(INDEX(业务流水!$F$5:$F$1504,MATCH(285,业务流水!$X$5:$X$1504,0)),""),IFERROR(INDEX(业务流水!$E$5:$E$1504,MATCH(285,业务流水!$X$5:$X$1504,0)),"")))</f>
        <v/>
      </c>
      <c r="F290" s="32" t="str">
        <f aca="false">IFERROR(INDEX(业务流水!$D$5:$D$1504,MATCH(285,业务流水!$X$5:$X$1504,0)),"")</f>
        <v/>
      </c>
      <c r="G290" s="41" t="n">
        <f aca="false">IF($F290="挂靠代收",N(IFERROR(INDEX(业务流水!$H$5:$H$1504,MATCH(285,业务流水!$X$5:$X$1504,0)),"")),0)</f>
        <v>0</v>
      </c>
      <c r="H290" s="41" t="n">
        <f aca="false">IF($F290="我方收款",N(IFERROR(INDEX(业务流水!$H$5:$H$1504,MATCH(285,业务流水!$X$5:$X$1504,0)),"")),0)</f>
        <v>0</v>
      </c>
      <c r="I290" s="42" t="str">
        <f aca="false">IF($B290="","",SUMIFS($G$6:$G290,$E$6:$E290,$E290)-SUMIFS($H$6:$H290,$E$6:$E290,$E290))</f>
        <v/>
      </c>
      <c r="J290" s="40" t="str">
        <f aca="false">IFERROR(INDEX(业务流水!$J$5:$J$1504,MATCH(285,业务流水!$X$5:$X$1504,0)),"")</f>
        <v/>
      </c>
    </row>
    <row r="291" customFormat="false" ht="15.75" hidden="false" customHeight="true" outlineLevel="0" collapsed="false">
      <c r="A291" s="32" t="str">
        <f aca="false">IF($B291="","",286)</f>
        <v/>
      </c>
      <c r="B291" s="50" t="str">
        <f aca="false">IFERROR(INDEX(业务流水!$B$5:$B$1504,MATCH(286,业务流水!$X$5:$X$1504,0)),"")</f>
        <v/>
      </c>
      <c r="C291" s="32" t="str">
        <f aca="false">IFERROR(INDEX(业务流水!$C$5:$C$1504,MATCH(286,业务流水!$X$5:$X$1504,0)),"")</f>
        <v/>
      </c>
      <c r="D291" s="40" t="str">
        <f aca="false">IFERROR(INDEX(业务流水!$M$5:$M$1504,MATCH(286,业务流水!$X$5:$X$1504,0)),"")</f>
        <v/>
      </c>
      <c r="E291" s="32" t="str">
        <f aca="false">IF($B291="","",IF(IFERROR(INDEX(业务流水!$D$5:$D$1504,MATCH(286,业务流水!$X$5:$X$1504,0)),"")="挂靠代收",IFERROR(INDEX(业务流水!$F$5:$F$1504,MATCH(286,业务流水!$X$5:$X$1504,0)),""),IFERROR(INDEX(业务流水!$E$5:$E$1504,MATCH(286,业务流水!$X$5:$X$1504,0)),"")))</f>
        <v/>
      </c>
      <c r="F291" s="32" t="str">
        <f aca="false">IFERROR(INDEX(业务流水!$D$5:$D$1504,MATCH(286,业务流水!$X$5:$X$1504,0)),"")</f>
        <v/>
      </c>
      <c r="G291" s="41" t="n">
        <f aca="false">IF($F291="挂靠代收",N(IFERROR(INDEX(业务流水!$H$5:$H$1504,MATCH(286,业务流水!$X$5:$X$1504,0)),"")),0)</f>
        <v>0</v>
      </c>
      <c r="H291" s="41" t="n">
        <f aca="false">IF($F291="我方收款",N(IFERROR(INDEX(业务流水!$H$5:$H$1504,MATCH(286,业务流水!$X$5:$X$1504,0)),"")),0)</f>
        <v>0</v>
      </c>
      <c r="I291" s="42" t="str">
        <f aca="false">IF($B291="","",SUMIFS($G$6:$G291,$E$6:$E291,$E291)-SUMIFS($H$6:$H291,$E$6:$E291,$E291))</f>
        <v/>
      </c>
      <c r="J291" s="40" t="str">
        <f aca="false">IFERROR(INDEX(业务流水!$J$5:$J$1504,MATCH(286,业务流水!$X$5:$X$1504,0)),"")</f>
        <v/>
      </c>
    </row>
    <row r="292" customFormat="false" ht="15.75" hidden="false" customHeight="true" outlineLevel="0" collapsed="false">
      <c r="A292" s="32" t="str">
        <f aca="false">IF($B292="","",287)</f>
        <v/>
      </c>
      <c r="B292" s="50" t="str">
        <f aca="false">IFERROR(INDEX(业务流水!$B$5:$B$1504,MATCH(287,业务流水!$X$5:$X$1504,0)),"")</f>
        <v/>
      </c>
      <c r="C292" s="32" t="str">
        <f aca="false">IFERROR(INDEX(业务流水!$C$5:$C$1504,MATCH(287,业务流水!$X$5:$X$1504,0)),"")</f>
        <v/>
      </c>
      <c r="D292" s="40" t="str">
        <f aca="false">IFERROR(INDEX(业务流水!$M$5:$M$1504,MATCH(287,业务流水!$X$5:$X$1504,0)),"")</f>
        <v/>
      </c>
      <c r="E292" s="32" t="str">
        <f aca="false">IF($B292="","",IF(IFERROR(INDEX(业务流水!$D$5:$D$1504,MATCH(287,业务流水!$X$5:$X$1504,0)),"")="挂靠代收",IFERROR(INDEX(业务流水!$F$5:$F$1504,MATCH(287,业务流水!$X$5:$X$1504,0)),""),IFERROR(INDEX(业务流水!$E$5:$E$1504,MATCH(287,业务流水!$X$5:$X$1504,0)),"")))</f>
        <v/>
      </c>
      <c r="F292" s="32" t="str">
        <f aca="false">IFERROR(INDEX(业务流水!$D$5:$D$1504,MATCH(287,业务流水!$X$5:$X$1504,0)),"")</f>
        <v/>
      </c>
      <c r="G292" s="41" t="n">
        <f aca="false">IF($F292="挂靠代收",N(IFERROR(INDEX(业务流水!$H$5:$H$1504,MATCH(287,业务流水!$X$5:$X$1504,0)),"")),0)</f>
        <v>0</v>
      </c>
      <c r="H292" s="41" t="n">
        <f aca="false">IF($F292="我方收款",N(IFERROR(INDEX(业务流水!$H$5:$H$1504,MATCH(287,业务流水!$X$5:$X$1504,0)),"")),0)</f>
        <v>0</v>
      </c>
      <c r="I292" s="42" t="str">
        <f aca="false">IF($B292="","",SUMIFS($G$6:$G292,$E$6:$E292,$E292)-SUMIFS($H$6:$H292,$E$6:$E292,$E292))</f>
        <v/>
      </c>
      <c r="J292" s="40" t="str">
        <f aca="false">IFERROR(INDEX(业务流水!$J$5:$J$1504,MATCH(287,业务流水!$X$5:$X$1504,0)),"")</f>
        <v/>
      </c>
    </row>
    <row r="293" customFormat="false" ht="15.75" hidden="false" customHeight="true" outlineLevel="0" collapsed="false">
      <c r="A293" s="32" t="str">
        <f aca="false">IF($B293="","",288)</f>
        <v/>
      </c>
      <c r="B293" s="50" t="str">
        <f aca="false">IFERROR(INDEX(业务流水!$B$5:$B$1504,MATCH(288,业务流水!$X$5:$X$1504,0)),"")</f>
        <v/>
      </c>
      <c r="C293" s="32" t="str">
        <f aca="false">IFERROR(INDEX(业务流水!$C$5:$C$1504,MATCH(288,业务流水!$X$5:$X$1504,0)),"")</f>
        <v/>
      </c>
      <c r="D293" s="40" t="str">
        <f aca="false">IFERROR(INDEX(业务流水!$M$5:$M$1504,MATCH(288,业务流水!$X$5:$X$1504,0)),"")</f>
        <v/>
      </c>
      <c r="E293" s="32" t="str">
        <f aca="false">IF($B293="","",IF(IFERROR(INDEX(业务流水!$D$5:$D$1504,MATCH(288,业务流水!$X$5:$X$1504,0)),"")="挂靠代收",IFERROR(INDEX(业务流水!$F$5:$F$1504,MATCH(288,业务流水!$X$5:$X$1504,0)),""),IFERROR(INDEX(业务流水!$E$5:$E$1504,MATCH(288,业务流水!$X$5:$X$1504,0)),"")))</f>
        <v/>
      </c>
      <c r="F293" s="32" t="str">
        <f aca="false">IFERROR(INDEX(业务流水!$D$5:$D$1504,MATCH(288,业务流水!$X$5:$X$1504,0)),"")</f>
        <v/>
      </c>
      <c r="G293" s="41" t="n">
        <f aca="false">IF($F293="挂靠代收",N(IFERROR(INDEX(业务流水!$H$5:$H$1504,MATCH(288,业务流水!$X$5:$X$1504,0)),"")),0)</f>
        <v>0</v>
      </c>
      <c r="H293" s="41" t="n">
        <f aca="false">IF($F293="我方收款",N(IFERROR(INDEX(业务流水!$H$5:$H$1504,MATCH(288,业务流水!$X$5:$X$1504,0)),"")),0)</f>
        <v>0</v>
      </c>
      <c r="I293" s="42" t="str">
        <f aca="false">IF($B293="","",SUMIFS($G$6:$G293,$E$6:$E293,$E293)-SUMIFS($H$6:$H293,$E$6:$E293,$E293))</f>
        <v/>
      </c>
      <c r="J293" s="40" t="str">
        <f aca="false">IFERROR(INDEX(业务流水!$J$5:$J$1504,MATCH(288,业务流水!$X$5:$X$1504,0)),"")</f>
        <v/>
      </c>
    </row>
    <row r="294" customFormat="false" ht="15.75" hidden="false" customHeight="true" outlineLevel="0" collapsed="false">
      <c r="A294" s="32" t="str">
        <f aca="false">IF($B294="","",289)</f>
        <v/>
      </c>
      <c r="B294" s="50" t="str">
        <f aca="false">IFERROR(INDEX(业务流水!$B$5:$B$1504,MATCH(289,业务流水!$X$5:$X$1504,0)),"")</f>
        <v/>
      </c>
      <c r="C294" s="32" t="str">
        <f aca="false">IFERROR(INDEX(业务流水!$C$5:$C$1504,MATCH(289,业务流水!$X$5:$X$1504,0)),"")</f>
        <v/>
      </c>
      <c r="D294" s="40" t="str">
        <f aca="false">IFERROR(INDEX(业务流水!$M$5:$M$1504,MATCH(289,业务流水!$X$5:$X$1504,0)),"")</f>
        <v/>
      </c>
      <c r="E294" s="32" t="str">
        <f aca="false">IF($B294="","",IF(IFERROR(INDEX(业务流水!$D$5:$D$1504,MATCH(289,业务流水!$X$5:$X$1504,0)),"")="挂靠代收",IFERROR(INDEX(业务流水!$F$5:$F$1504,MATCH(289,业务流水!$X$5:$X$1504,0)),""),IFERROR(INDEX(业务流水!$E$5:$E$1504,MATCH(289,业务流水!$X$5:$X$1504,0)),"")))</f>
        <v/>
      </c>
      <c r="F294" s="32" t="str">
        <f aca="false">IFERROR(INDEX(业务流水!$D$5:$D$1504,MATCH(289,业务流水!$X$5:$X$1504,0)),"")</f>
        <v/>
      </c>
      <c r="G294" s="41" t="n">
        <f aca="false">IF($F294="挂靠代收",N(IFERROR(INDEX(业务流水!$H$5:$H$1504,MATCH(289,业务流水!$X$5:$X$1504,0)),"")),0)</f>
        <v>0</v>
      </c>
      <c r="H294" s="41" t="n">
        <f aca="false">IF($F294="我方收款",N(IFERROR(INDEX(业务流水!$H$5:$H$1504,MATCH(289,业务流水!$X$5:$X$1504,0)),"")),0)</f>
        <v>0</v>
      </c>
      <c r="I294" s="42" t="str">
        <f aca="false">IF($B294="","",SUMIFS($G$6:$G294,$E$6:$E294,$E294)-SUMIFS($H$6:$H294,$E$6:$E294,$E294))</f>
        <v/>
      </c>
      <c r="J294" s="40" t="str">
        <f aca="false">IFERROR(INDEX(业务流水!$J$5:$J$1504,MATCH(289,业务流水!$X$5:$X$1504,0)),"")</f>
        <v/>
      </c>
    </row>
    <row r="295" customFormat="false" ht="15.75" hidden="false" customHeight="true" outlineLevel="0" collapsed="false">
      <c r="A295" s="32" t="str">
        <f aca="false">IF($B295="","",290)</f>
        <v/>
      </c>
      <c r="B295" s="50" t="str">
        <f aca="false">IFERROR(INDEX(业务流水!$B$5:$B$1504,MATCH(290,业务流水!$X$5:$X$1504,0)),"")</f>
        <v/>
      </c>
      <c r="C295" s="32" t="str">
        <f aca="false">IFERROR(INDEX(业务流水!$C$5:$C$1504,MATCH(290,业务流水!$X$5:$X$1504,0)),"")</f>
        <v/>
      </c>
      <c r="D295" s="40" t="str">
        <f aca="false">IFERROR(INDEX(业务流水!$M$5:$M$1504,MATCH(290,业务流水!$X$5:$X$1504,0)),"")</f>
        <v/>
      </c>
      <c r="E295" s="32" t="str">
        <f aca="false">IF($B295="","",IF(IFERROR(INDEX(业务流水!$D$5:$D$1504,MATCH(290,业务流水!$X$5:$X$1504,0)),"")="挂靠代收",IFERROR(INDEX(业务流水!$F$5:$F$1504,MATCH(290,业务流水!$X$5:$X$1504,0)),""),IFERROR(INDEX(业务流水!$E$5:$E$1504,MATCH(290,业务流水!$X$5:$X$1504,0)),"")))</f>
        <v/>
      </c>
      <c r="F295" s="32" t="str">
        <f aca="false">IFERROR(INDEX(业务流水!$D$5:$D$1504,MATCH(290,业务流水!$X$5:$X$1504,0)),"")</f>
        <v/>
      </c>
      <c r="G295" s="41" t="n">
        <f aca="false">IF($F295="挂靠代收",N(IFERROR(INDEX(业务流水!$H$5:$H$1504,MATCH(290,业务流水!$X$5:$X$1504,0)),"")),0)</f>
        <v>0</v>
      </c>
      <c r="H295" s="41" t="n">
        <f aca="false">IF($F295="我方收款",N(IFERROR(INDEX(业务流水!$H$5:$H$1504,MATCH(290,业务流水!$X$5:$X$1504,0)),"")),0)</f>
        <v>0</v>
      </c>
      <c r="I295" s="42" t="str">
        <f aca="false">IF($B295="","",SUMIFS($G$6:$G295,$E$6:$E295,$E295)-SUMIFS($H$6:$H295,$E$6:$E295,$E295))</f>
        <v/>
      </c>
      <c r="J295" s="40" t="str">
        <f aca="false">IFERROR(INDEX(业务流水!$J$5:$J$1504,MATCH(290,业务流水!$X$5:$X$1504,0)),"")</f>
        <v/>
      </c>
    </row>
    <row r="296" customFormat="false" ht="15.75" hidden="false" customHeight="true" outlineLevel="0" collapsed="false">
      <c r="A296" s="32" t="str">
        <f aca="false">IF($B296="","",291)</f>
        <v/>
      </c>
      <c r="B296" s="50" t="str">
        <f aca="false">IFERROR(INDEX(业务流水!$B$5:$B$1504,MATCH(291,业务流水!$X$5:$X$1504,0)),"")</f>
        <v/>
      </c>
      <c r="C296" s="32" t="str">
        <f aca="false">IFERROR(INDEX(业务流水!$C$5:$C$1504,MATCH(291,业务流水!$X$5:$X$1504,0)),"")</f>
        <v/>
      </c>
      <c r="D296" s="40" t="str">
        <f aca="false">IFERROR(INDEX(业务流水!$M$5:$M$1504,MATCH(291,业务流水!$X$5:$X$1504,0)),"")</f>
        <v/>
      </c>
      <c r="E296" s="32" t="str">
        <f aca="false">IF($B296="","",IF(IFERROR(INDEX(业务流水!$D$5:$D$1504,MATCH(291,业务流水!$X$5:$X$1504,0)),"")="挂靠代收",IFERROR(INDEX(业务流水!$F$5:$F$1504,MATCH(291,业务流水!$X$5:$X$1504,0)),""),IFERROR(INDEX(业务流水!$E$5:$E$1504,MATCH(291,业务流水!$X$5:$X$1504,0)),"")))</f>
        <v/>
      </c>
      <c r="F296" s="32" t="str">
        <f aca="false">IFERROR(INDEX(业务流水!$D$5:$D$1504,MATCH(291,业务流水!$X$5:$X$1504,0)),"")</f>
        <v/>
      </c>
      <c r="G296" s="41" t="n">
        <f aca="false">IF($F296="挂靠代收",N(IFERROR(INDEX(业务流水!$H$5:$H$1504,MATCH(291,业务流水!$X$5:$X$1504,0)),"")),0)</f>
        <v>0</v>
      </c>
      <c r="H296" s="41" t="n">
        <f aca="false">IF($F296="我方收款",N(IFERROR(INDEX(业务流水!$H$5:$H$1504,MATCH(291,业务流水!$X$5:$X$1504,0)),"")),0)</f>
        <v>0</v>
      </c>
      <c r="I296" s="42" t="str">
        <f aca="false">IF($B296="","",SUMIFS($G$6:$G296,$E$6:$E296,$E296)-SUMIFS($H$6:$H296,$E$6:$E296,$E296))</f>
        <v/>
      </c>
      <c r="J296" s="40" t="str">
        <f aca="false">IFERROR(INDEX(业务流水!$J$5:$J$1504,MATCH(291,业务流水!$X$5:$X$1504,0)),"")</f>
        <v/>
      </c>
    </row>
    <row r="297" customFormat="false" ht="15.75" hidden="false" customHeight="true" outlineLevel="0" collapsed="false">
      <c r="A297" s="32" t="str">
        <f aca="false">IF($B297="","",292)</f>
        <v/>
      </c>
      <c r="B297" s="50" t="str">
        <f aca="false">IFERROR(INDEX(业务流水!$B$5:$B$1504,MATCH(292,业务流水!$X$5:$X$1504,0)),"")</f>
        <v/>
      </c>
      <c r="C297" s="32" t="str">
        <f aca="false">IFERROR(INDEX(业务流水!$C$5:$C$1504,MATCH(292,业务流水!$X$5:$X$1504,0)),"")</f>
        <v/>
      </c>
      <c r="D297" s="40" t="str">
        <f aca="false">IFERROR(INDEX(业务流水!$M$5:$M$1504,MATCH(292,业务流水!$X$5:$X$1504,0)),"")</f>
        <v/>
      </c>
      <c r="E297" s="32" t="str">
        <f aca="false">IF($B297="","",IF(IFERROR(INDEX(业务流水!$D$5:$D$1504,MATCH(292,业务流水!$X$5:$X$1504,0)),"")="挂靠代收",IFERROR(INDEX(业务流水!$F$5:$F$1504,MATCH(292,业务流水!$X$5:$X$1504,0)),""),IFERROR(INDEX(业务流水!$E$5:$E$1504,MATCH(292,业务流水!$X$5:$X$1504,0)),"")))</f>
        <v/>
      </c>
      <c r="F297" s="32" t="str">
        <f aca="false">IFERROR(INDEX(业务流水!$D$5:$D$1504,MATCH(292,业务流水!$X$5:$X$1504,0)),"")</f>
        <v/>
      </c>
      <c r="G297" s="41" t="n">
        <f aca="false">IF($F297="挂靠代收",N(IFERROR(INDEX(业务流水!$H$5:$H$1504,MATCH(292,业务流水!$X$5:$X$1504,0)),"")),0)</f>
        <v>0</v>
      </c>
      <c r="H297" s="41" t="n">
        <f aca="false">IF($F297="我方收款",N(IFERROR(INDEX(业务流水!$H$5:$H$1504,MATCH(292,业务流水!$X$5:$X$1504,0)),"")),0)</f>
        <v>0</v>
      </c>
      <c r="I297" s="42" t="str">
        <f aca="false">IF($B297="","",SUMIFS($G$6:$G297,$E$6:$E297,$E297)-SUMIFS($H$6:$H297,$E$6:$E297,$E297))</f>
        <v/>
      </c>
      <c r="J297" s="40" t="str">
        <f aca="false">IFERROR(INDEX(业务流水!$J$5:$J$1504,MATCH(292,业务流水!$X$5:$X$1504,0)),"")</f>
        <v/>
      </c>
    </row>
    <row r="298" customFormat="false" ht="15.75" hidden="false" customHeight="true" outlineLevel="0" collapsed="false">
      <c r="A298" s="32" t="str">
        <f aca="false">IF($B298="","",293)</f>
        <v/>
      </c>
      <c r="B298" s="50" t="str">
        <f aca="false">IFERROR(INDEX(业务流水!$B$5:$B$1504,MATCH(293,业务流水!$X$5:$X$1504,0)),"")</f>
        <v/>
      </c>
      <c r="C298" s="32" t="str">
        <f aca="false">IFERROR(INDEX(业务流水!$C$5:$C$1504,MATCH(293,业务流水!$X$5:$X$1504,0)),"")</f>
        <v/>
      </c>
      <c r="D298" s="40" t="str">
        <f aca="false">IFERROR(INDEX(业务流水!$M$5:$M$1504,MATCH(293,业务流水!$X$5:$X$1504,0)),"")</f>
        <v/>
      </c>
      <c r="E298" s="32" t="str">
        <f aca="false">IF($B298="","",IF(IFERROR(INDEX(业务流水!$D$5:$D$1504,MATCH(293,业务流水!$X$5:$X$1504,0)),"")="挂靠代收",IFERROR(INDEX(业务流水!$F$5:$F$1504,MATCH(293,业务流水!$X$5:$X$1504,0)),""),IFERROR(INDEX(业务流水!$E$5:$E$1504,MATCH(293,业务流水!$X$5:$X$1504,0)),"")))</f>
        <v/>
      </c>
      <c r="F298" s="32" t="str">
        <f aca="false">IFERROR(INDEX(业务流水!$D$5:$D$1504,MATCH(293,业务流水!$X$5:$X$1504,0)),"")</f>
        <v/>
      </c>
      <c r="G298" s="41" t="n">
        <f aca="false">IF($F298="挂靠代收",N(IFERROR(INDEX(业务流水!$H$5:$H$1504,MATCH(293,业务流水!$X$5:$X$1504,0)),"")),0)</f>
        <v>0</v>
      </c>
      <c r="H298" s="41" t="n">
        <f aca="false">IF($F298="我方收款",N(IFERROR(INDEX(业务流水!$H$5:$H$1504,MATCH(293,业务流水!$X$5:$X$1504,0)),"")),0)</f>
        <v>0</v>
      </c>
      <c r="I298" s="42" t="str">
        <f aca="false">IF($B298="","",SUMIFS($G$6:$G298,$E$6:$E298,$E298)-SUMIFS($H$6:$H298,$E$6:$E298,$E298))</f>
        <v/>
      </c>
      <c r="J298" s="40" t="str">
        <f aca="false">IFERROR(INDEX(业务流水!$J$5:$J$1504,MATCH(293,业务流水!$X$5:$X$1504,0)),"")</f>
        <v/>
      </c>
    </row>
    <row r="299" customFormat="false" ht="15.75" hidden="false" customHeight="true" outlineLevel="0" collapsed="false">
      <c r="A299" s="32" t="str">
        <f aca="false">IF($B299="","",294)</f>
        <v/>
      </c>
      <c r="B299" s="50" t="str">
        <f aca="false">IFERROR(INDEX(业务流水!$B$5:$B$1504,MATCH(294,业务流水!$X$5:$X$1504,0)),"")</f>
        <v/>
      </c>
      <c r="C299" s="32" t="str">
        <f aca="false">IFERROR(INDEX(业务流水!$C$5:$C$1504,MATCH(294,业务流水!$X$5:$X$1504,0)),"")</f>
        <v/>
      </c>
      <c r="D299" s="40" t="str">
        <f aca="false">IFERROR(INDEX(业务流水!$M$5:$M$1504,MATCH(294,业务流水!$X$5:$X$1504,0)),"")</f>
        <v/>
      </c>
      <c r="E299" s="32" t="str">
        <f aca="false">IF($B299="","",IF(IFERROR(INDEX(业务流水!$D$5:$D$1504,MATCH(294,业务流水!$X$5:$X$1504,0)),"")="挂靠代收",IFERROR(INDEX(业务流水!$F$5:$F$1504,MATCH(294,业务流水!$X$5:$X$1504,0)),""),IFERROR(INDEX(业务流水!$E$5:$E$1504,MATCH(294,业务流水!$X$5:$X$1504,0)),"")))</f>
        <v/>
      </c>
      <c r="F299" s="32" t="str">
        <f aca="false">IFERROR(INDEX(业务流水!$D$5:$D$1504,MATCH(294,业务流水!$X$5:$X$1504,0)),"")</f>
        <v/>
      </c>
      <c r="G299" s="41" t="n">
        <f aca="false">IF($F299="挂靠代收",N(IFERROR(INDEX(业务流水!$H$5:$H$1504,MATCH(294,业务流水!$X$5:$X$1504,0)),"")),0)</f>
        <v>0</v>
      </c>
      <c r="H299" s="41" t="n">
        <f aca="false">IF($F299="我方收款",N(IFERROR(INDEX(业务流水!$H$5:$H$1504,MATCH(294,业务流水!$X$5:$X$1504,0)),"")),0)</f>
        <v>0</v>
      </c>
      <c r="I299" s="42" t="str">
        <f aca="false">IF($B299="","",SUMIFS($G$6:$G299,$E$6:$E299,$E299)-SUMIFS($H$6:$H299,$E$6:$E299,$E299))</f>
        <v/>
      </c>
      <c r="J299" s="40" t="str">
        <f aca="false">IFERROR(INDEX(业务流水!$J$5:$J$1504,MATCH(294,业务流水!$X$5:$X$1504,0)),"")</f>
        <v/>
      </c>
    </row>
    <row r="300" customFormat="false" ht="15.75" hidden="false" customHeight="true" outlineLevel="0" collapsed="false">
      <c r="A300" s="32" t="str">
        <f aca="false">IF($B300="","",295)</f>
        <v/>
      </c>
      <c r="B300" s="50" t="str">
        <f aca="false">IFERROR(INDEX(业务流水!$B$5:$B$1504,MATCH(295,业务流水!$X$5:$X$1504,0)),"")</f>
        <v/>
      </c>
      <c r="C300" s="32" t="str">
        <f aca="false">IFERROR(INDEX(业务流水!$C$5:$C$1504,MATCH(295,业务流水!$X$5:$X$1504,0)),"")</f>
        <v/>
      </c>
      <c r="D300" s="40" t="str">
        <f aca="false">IFERROR(INDEX(业务流水!$M$5:$M$1504,MATCH(295,业务流水!$X$5:$X$1504,0)),"")</f>
        <v/>
      </c>
      <c r="E300" s="32" t="str">
        <f aca="false">IF($B300="","",IF(IFERROR(INDEX(业务流水!$D$5:$D$1504,MATCH(295,业务流水!$X$5:$X$1504,0)),"")="挂靠代收",IFERROR(INDEX(业务流水!$F$5:$F$1504,MATCH(295,业务流水!$X$5:$X$1504,0)),""),IFERROR(INDEX(业务流水!$E$5:$E$1504,MATCH(295,业务流水!$X$5:$X$1504,0)),"")))</f>
        <v/>
      </c>
      <c r="F300" s="32" t="str">
        <f aca="false">IFERROR(INDEX(业务流水!$D$5:$D$1504,MATCH(295,业务流水!$X$5:$X$1504,0)),"")</f>
        <v/>
      </c>
      <c r="G300" s="41" t="n">
        <f aca="false">IF($F300="挂靠代收",N(IFERROR(INDEX(业务流水!$H$5:$H$1504,MATCH(295,业务流水!$X$5:$X$1504,0)),"")),0)</f>
        <v>0</v>
      </c>
      <c r="H300" s="41" t="n">
        <f aca="false">IF($F300="我方收款",N(IFERROR(INDEX(业务流水!$H$5:$H$1504,MATCH(295,业务流水!$X$5:$X$1504,0)),"")),0)</f>
        <v>0</v>
      </c>
      <c r="I300" s="42" t="str">
        <f aca="false">IF($B300="","",SUMIFS($G$6:$G300,$E$6:$E300,$E300)-SUMIFS($H$6:$H300,$E$6:$E300,$E300))</f>
        <v/>
      </c>
      <c r="J300" s="40" t="str">
        <f aca="false">IFERROR(INDEX(业务流水!$J$5:$J$1504,MATCH(295,业务流水!$X$5:$X$1504,0)),"")</f>
        <v/>
      </c>
    </row>
    <row r="301" customFormat="false" ht="15.75" hidden="false" customHeight="true" outlineLevel="0" collapsed="false">
      <c r="A301" s="32" t="str">
        <f aca="false">IF($B301="","",296)</f>
        <v/>
      </c>
      <c r="B301" s="50" t="str">
        <f aca="false">IFERROR(INDEX(业务流水!$B$5:$B$1504,MATCH(296,业务流水!$X$5:$X$1504,0)),"")</f>
        <v/>
      </c>
      <c r="C301" s="32" t="str">
        <f aca="false">IFERROR(INDEX(业务流水!$C$5:$C$1504,MATCH(296,业务流水!$X$5:$X$1504,0)),"")</f>
        <v/>
      </c>
      <c r="D301" s="40" t="str">
        <f aca="false">IFERROR(INDEX(业务流水!$M$5:$M$1504,MATCH(296,业务流水!$X$5:$X$1504,0)),"")</f>
        <v/>
      </c>
      <c r="E301" s="32" t="str">
        <f aca="false">IF($B301="","",IF(IFERROR(INDEX(业务流水!$D$5:$D$1504,MATCH(296,业务流水!$X$5:$X$1504,0)),"")="挂靠代收",IFERROR(INDEX(业务流水!$F$5:$F$1504,MATCH(296,业务流水!$X$5:$X$1504,0)),""),IFERROR(INDEX(业务流水!$E$5:$E$1504,MATCH(296,业务流水!$X$5:$X$1504,0)),"")))</f>
        <v/>
      </c>
      <c r="F301" s="32" t="str">
        <f aca="false">IFERROR(INDEX(业务流水!$D$5:$D$1504,MATCH(296,业务流水!$X$5:$X$1504,0)),"")</f>
        <v/>
      </c>
      <c r="G301" s="41" t="n">
        <f aca="false">IF($F301="挂靠代收",N(IFERROR(INDEX(业务流水!$H$5:$H$1504,MATCH(296,业务流水!$X$5:$X$1504,0)),"")),0)</f>
        <v>0</v>
      </c>
      <c r="H301" s="41" t="n">
        <f aca="false">IF($F301="我方收款",N(IFERROR(INDEX(业务流水!$H$5:$H$1504,MATCH(296,业务流水!$X$5:$X$1504,0)),"")),0)</f>
        <v>0</v>
      </c>
      <c r="I301" s="42" t="str">
        <f aca="false">IF($B301="","",SUMIFS($G$6:$G301,$E$6:$E301,$E301)-SUMIFS($H$6:$H301,$E$6:$E301,$E301))</f>
        <v/>
      </c>
      <c r="J301" s="40" t="str">
        <f aca="false">IFERROR(INDEX(业务流水!$J$5:$J$1504,MATCH(296,业务流水!$X$5:$X$1504,0)),"")</f>
        <v/>
      </c>
    </row>
    <row r="302" customFormat="false" ht="15.75" hidden="false" customHeight="true" outlineLevel="0" collapsed="false">
      <c r="A302" s="32" t="str">
        <f aca="false">IF($B302="","",297)</f>
        <v/>
      </c>
      <c r="B302" s="50" t="str">
        <f aca="false">IFERROR(INDEX(业务流水!$B$5:$B$1504,MATCH(297,业务流水!$X$5:$X$1504,0)),"")</f>
        <v/>
      </c>
      <c r="C302" s="32" t="str">
        <f aca="false">IFERROR(INDEX(业务流水!$C$5:$C$1504,MATCH(297,业务流水!$X$5:$X$1504,0)),"")</f>
        <v/>
      </c>
      <c r="D302" s="40" t="str">
        <f aca="false">IFERROR(INDEX(业务流水!$M$5:$M$1504,MATCH(297,业务流水!$X$5:$X$1504,0)),"")</f>
        <v/>
      </c>
      <c r="E302" s="32" t="str">
        <f aca="false">IF($B302="","",IF(IFERROR(INDEX(业务流水!$D$5:$D$1504,MATCH(297,业务流水!$X$5:$X$1504,0)),"")="挂靠代收",IFERROR(INDEX(业务流水!$F$5:$F$1504,MATCH(297,业务流水!$X$5:$X$1504,0)),""),IFERROR(INDEX(业务流水!$E$5:$E$1504,MATCH(297,业务流水!$X$5:$X$1504,0)),"")))</f>
        <v/>
      </c>
      <c r="F302" s="32" t="str">
        <f aca="false">IFERROR(INDEX(业务流水!$D$5:$D$1504,MATCH(297,业务流水!$X$5:$X$1504,0)),"")</f>
        <v/>
      </c>
      <c r="G302" s="41" t="n">
        <f aca="false">IF($F302="挂靠代收",N(IFERROR(INDEX(业务流水!$H$5:$H$1504,MATCH(297,业务流水!$X$5:$X$1504,0)),"")),0)</f>
        <v>0</v>
      </c>
      <c r="H302" s="41" t="n">
        <f aca="false">IF($F302="我方收款",N(IFERROR(INDEX(业务流水!$H$5:$H$1504,MATCH(297,业务流水!$X$5:$X$1504,0)),"")),0)</f>
        <v>0</v>
      </c>
      <c r="I302" s="42" t="str">
        <f aca="false">IF($B302="","",SUMIFS($G$6:$G302,$E$6:$E302,$E302)-SUMIFS($H$6:$H302,$E$6:$E302,$E302))</f>
        <v/>
      </c>
      <c r="J302" s="40" t="str">
        <f aca="false">IFERROR(INDEX(业务流水!$J$5:$J$1504,MATCH(297,业务流水!$X$5:$X$1504,0)),"")</f>
        <v/>
      </c>
    </row>
    <row r="303" customFormat="false" ht="15.75" hidden="false" customHeight="true" outlineLevel="0" collapsed="false">
      <c r="A303" s="32" t="str">
        <f aca="false">IF($B303="","",298)</f>
        <v/>
      </c>
      <c r="B303" s="50" t="str">
        <f aca="false">IFERROR(INDEX(业务流水!$B$5:$B$1504,MATCH(298,业务流水!$X$5:$X$1504,0)),"")</f>
        <v/>
      </c>
      <c r="C303" s="32" t="str">
        <f aca="false">IFERROR(INDEX(业务流水!$C$5:$C$1504,MATCH(298,业务流水!$X$5:$X$1504,0)),"")</f>
        <v/>
      </c>
      <c r="D303" s="40" t="str">
        <f aca="false">IFERROR(INDEX(业务流水!$M$5:$M$1504,MATCH(298,业务流水!$X$5:$X$1504,0)),"")</f>
        <v/>
      </c>
      <c r="E303" s="32" t="str">
        <f aca="false">IF($B303="","",IF(IFERROR(INDEX(业务流水!$D$5:$D$1504,MATCH(298,业务流水!$X$5:$X$1504,0)),"")="挂靠代收",IFERROR(INDEX(业务流水!$F$5:$F$1504,MATCH(298,业务流水!$X$5:$X$1504,0)),""),IFERROR(INDEX(业务流水!$E$5:$E$1504,MATCH(298,业务流水!$X$5:$X$1504,0)),"")))</f>
        <v/>
      </c>
      <c r="F303" s="32" t="str">
        <f aca="false">IFERROR(INDEX(业务流水!$D$5:$D$1504,MATCH(298,业务流水!$X$5:$X$1504,0)),"")</f>
        <v/>
      </c>
      <c r="G303" s="41" t="n">
        <f aca="false">IF($F303="挂靠代收",N(IFERROR(INDEX(业务流水!$H$5:$H$1504,MATCH(298,业务流水!$X$5:$X$1504,0)),"")),0)</f>
        <v>0</v>
      </c>
      <c r="H303" s="41" t="n">
        <f aca="false">IF($F303="我方收款",N(IFERROR(INDEX(业务流水!$H$5:$H$1504,MATCH(298,业务流水!$X$5:$X$1504,0)),"")),0)</f>
        <v>0</v>
      </c>
      <c r="I303" s="42" t="str">
        <f aca="false">IF($B303="","",SUMIFS($G$6:$G303,$E$6:$E303,$E303)-SUMIFS($H$6:$H303,$E$6:$E303,$E303))</f>
        <v/>
      </c>
      <c r="J303" s="40" t="str">
        <f aca="false">IFERROR(INDEX(业务流水!$J$5:$J$1504,MATCH(298,业务流水!$X$5:$X$1504,0)),"")</f>
        <v/>
      </c>
    </row>
    <row r="304" customFormat="false" ht="15.75" hidden="false" customHeight="true" outlineLevel="0" collapsed="false">
      <c r="A304" s="32" t="str">
        <f aca="false">IF($B304="","",299)</f>
        <v/>
      </c>
      <c r="B304" s="50" t="str">
        <f aca="false">IFERROR(INDEX(业务流水!$B$5:$B$1504,MATCH(299,业务流水!$X$5:$X$1504,0)),"")</f>
        <v/>
      </c>
      <c r="C304" s="32" t="str">
        <f aca="false">IFERROR(INDEX(业务流水!$C$5:$C$1504,MATCH(299,业务流水!$X$5:$X$1504,0)),"")</f>
        <v/>
      </c>
      <c r="D304" s="40" t="str">
        <f aca="false">IFERROR(INDEX(业务流水!$M$5:$M$1504,MATCH(299,业务流水!$X$5:$X$1504,0)),"")</f>
        <v/>
      </c>
      <c r="E304" s="32" t="str">
        <f aca="false">IF($B304="","",IF(IFERROR(INDEX(业务流水!$D$5:$D$1504,MATCH(299,业务流水!$X$5:$X$1504,0)),"")="挂靠代收",IFERROR(INDEX(业务流水!$F$5:$F$1504,MATCH(299,业务流水!$X$5:$X$1504,0)),""),IFERROR(INDEX(业务流水!$E$5:$E$1504,MATCH(299,业务流水!$X$5:$X$1504,0)),"")))</f>
        <v/>
      </c>
      <c r="F304" s="32" t="str">
        <f aca="false">IFERROR(INDEX(业务流水!$D$5:$D$1504,MATCH(299,业务流水!$X$5:$X$1504,0)),"")</f>
        <v/>
      </c>
      <c r="G304" s="41" t="n">
        <f aca="false">IF($F304="挂靠代收",N(IFERROR(INDEX(业务流水!$H$5:$H$1504,MATCH(299,业务流水!$X$5:$X$1504,0)),"")),0)</f>
        <v>0</v>
      </c>
      <c r="H304" s="41" t="n">
        <f aca="false">IF($F304="我方收款",N(IFERROR(INDEX(业务流水!$H$5:$H$1504,MATCH(299,业务流水!$X$5:$X$1504,0)),"")),0)</f>
        <v>0</v>
      </c>
      <c r="I304" s="42" t="str">
        <f aca="false">IF($B304="","",SUMIFS($G$6:$G304,$E$6:$E304,$E304)-SUMIFS($H$6:$H304,$E$6:$E304,$E304))</f>
        <v/>
      </c>
      <c r="J304" s="40" t="str">
        <f aca="false">IFERROR(INDEX(业务流水!$J$5:$J$1504,MATCH(299,业务流水!$X$5:$X$1504,0)),"")</f>
        <v/>
      </c>
    </row>
    <row r="305" customFormat="false" ht="15.75" hidden="false" customHeight="true" outlineLevel="0" collapsed="false">
      <c r="A305" s="32" t="str">
        <f aca="false">IF($B305="","",300)</f>
        <v/>
      </c>
      <c r="B305" s="50" t="str">
        <f aca="false">IFERROR(INDEX(业务流水!$B$5:$B$1504,MATCH(300,业务流水!$X$5:$X$1504,0)),"")</f>
        <v/>
      </c>
      <c r="C305" s="32" t="str">
        <f aca="false">IFERROR(INDEX(业务流水!$C$5:$C$1504,MATCH(300,业务流水!$X$5:$X$1504,0)),"")</f>
        <v/>
      </c>
      <c r="D305" s="40" t="str">
        <f aca="false">IFERROR(INDEX(业务流水!$M$5:$M$1504,MATCH(300,业务流水!$X$5:$X$1504,0)),"")</f>
        <v/>
      </c>
      <c r="E305" s="32" t="str">
        <f aca="false">IF($B305="","",IF(IFERROR(INDEX(业务流水!$D$5:$D$1504,MATCH(300,业务流水!$X$5:$X$1504,0)),"")="挂靠代收",IFERROR(INDEX(业务流水!$F$5:$F$1504,MATCH(300,业务流水!$X$5:$X$1504,0)),""),IFERROR(INDEX(业务流水!$E$5:$E$1504,MATCH(300,业务流水!$X$5:$X$1504,0)),"")))</f>
        <v/>
      </c>
      <c r="F305" s="32" t="str">
        <f aca="false">IFERROR(INDEX(业务流水!$D$5:$D$1504,MATCH(300,业务流水!$X$5:$X$1504,0)),"")</f>
        <v/>
      </c>
      <c r="G305" s="41" t="n">
        <f aca="false">IF($F305="挂靠代收",N(IFERROR(INDEX(业务流水!$H$5:$H$1504,MATCH(300,业务流水!$X$5:$X$1504,0)),"")),0)</f>
        <v>0</v>
      </c>
      <c r="H305" s="41" t="n">
        <f aca="false">IF($F305="我方收款",N(IFERROR(INDEX(业务流水!$H$5:$H$1504,MATCH(300,业务流水!$X$5:$X$1504,0)),"")),0)</f>
        <v>0</v>
      </c>
      <c r="I305" s="42" t="str">
        <f aca="false">IF($B305="","",SUMIFS($G$6:$G305,$E$6:$E305,$E305)-SUMIFS($H$6:$H305,$E$6:$E305,$E305))</f>
        <v/>
      </c>
      <c r="J305" s="40" t="str">
        <f aca="false">IFERROR(INDEX(业务流水!$J$5:$J$1504,MATCH(300,业务流水!$X$5:$X$1504,0)),"")</f>
        <v/>
      </c>
    </row>
    <row r="306" customFormat="false" ht="15" hidden="false" customHeight="false" outlineLevel="0" collapsed="false">
      <c r="A306" s="44" t="s">
        <v>694</v>
      </c>
      <c r="B306" s="44"/>
      <c r="C306" s="44"/>
      <c r="D306" s="44"/>
      <c r="E306" s="44"/>
      <c r="F306" s="44"/>
      <c r="G306" s="45" t="n">
        <f aca="false">SUM(G6:G305)</f>
        <v>1853826.63</v>
      </c>
      <c r="H306" s="45" t="n">
        <f aca="false">SUM(H6:H305)</f>
        <v>1528476.28</v>
      </c>
      <c r="I306" s="45" t="n">
        <f aca="false">$G$306-$H$306</f>
        <v>325350.35</v>
      </c>
      <c r="J306" s="44"/>
    </row>
  </sheetData>
  <autoFilter ref="A5:J305"/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J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6" min="2" style="0" width="14"/>
    <col collapsed="false" customWidth="true" hidden="false" outlineLevel="0" max="7" min="7" style="0" width="3"/>
    <col collapsed="false" customWidth="true" hidden="false" outlineLevel="0" max="8" min="8" style="0" width="11"/>
    <col collapsed="false" customWidth="true" hidden="false" outlineLevel="0" max="9" min="9" style="0" width="38"/>
    <col collapsed="false" customWidth="true" hidden="false" outlineLevel="0" max="10" min="10" style="0" width="15"/>
  </cols>
  <sheetData>
    <row r="1" customFormat="false" ht="25.5" hidden="false" customHeight="true" outlineLevel="0" collapsed="false">
      <c r="A1" s="17" t="s">
        <v>724</v>
      </c>
      <c r="B1" s="17"/>
      <c r="C1" s="17"/>
      <c r="D1" s="17"/>
      <c r="E1" s="17"/>
      <c r="F1" s="17"/>
      <c r="G1" s="17"/>
      <c r="H1" s="17"/>
      <c r="I1" s="17"/>
      <c r="J1" s="17"/>
    </row>
    <row r="2" customFormat="false" ht="15" hidden="false" customHeight="true" outlineLevel="0" collapsed="false">
      <c r="A2" s="19" t="s">
        <v>725</v>
      </c>
      <c r="B2" s="19"/>
      <c r="C2" s="19"/>
      <c r="D2" s="19"/>
      <c r="E2" s="19"/>
      <c r="F2" s="19"/>
      <c r="G2" s="19"/>
      <c r="H2" s="19"/>
      <c r="I2" s="19"/>
      <c r="J2" s="19"/>
    </row>
    <row r="4" customFormat="false" ht="15" hidden="false" customHeight="true" outlineLevel="0" collapsed="false">
      <c r="A4" s="51" t="s">
        <v>726</v>
      </c>
      <c r="B4" s="51"/>
      <c r="C4" s="51"/>
      <c r="D4" s="51"/>
      <c r="E4" s="51"/>
      <c r="F4" s="51"/>
      <c r="H4" s="51" t="s">
        <v>727</v>
      </c>
      <c r="I4" s="51"/>
      <c r="J4" s="51"/>
    </row>
    <row r="5" customFormat="false" ht="30" hidden="false" customHeight="true" outlineLevel="0" collapsed="false">
      <c r="A5" s="20" t="s">
        <v>614</v>
      </c>
      <c r="B5" s="20" t="s">
        <v>127</v>
      </c>
      <c r="C5" s="20" t="s">
        <v>131</v>
      </c>
      <c r="D5" s="20" t="s">
        <v>611</v>
      </c>
      <c r="E5" s="20" t="s">
        <v>728</v>
      </c>
      <c r="F5" s="20" t="s">
        <v>729</v>
      </c>
      <c r="H5" s="20" t="s">
        <v>72</v>
      </c>
      <c r="I5" s="20" t="s">
        <v>140</v>
      </c>
      <c r="J5" s="20" t="s">
        <v>729</v>
      </c>
    </row>
    <row r="6" customFormat="false" ht="15.75" hidden="false" customHeight="true" outlineLevel="0" collapsed="false">
      <c r="A6" s="16" t="s">
        <v>730</v>
      </c>
      <c r="B6" s="41" t="n">
        <f aca="false">SUMIFS(资金日记账!$J$5:$J$1004,资金日记账!$E$5:$E$1004,$A6,资金日记账!$C$5:$C$1004,"泓普")-SUMIFS(资金日记账!$I$5:$I$1004,资金日记账!$E$5:$E$1004,$A6,资金日记账!$C$5:$C$1004,"泓普")</f>
        <v>0</v>
      </c>
      <c r="C6" s="41" t="n">
        <f aca="false">SUMIFS(资金日记账!$J$5:$J$1004,资金日记账!$E$5:$E$1004,$A6,资金日记账!$C$5:$C$1004,"仟茂")-SUMIFS(资金日记账!$I$5:$I$1004,资金日记账!$E$5:$E$1004,$A6,资金日记账!$C$5:$C$1004,"仟茂")</f>
        <v>0</v>
      </c>
      <c r="D6" s="41" t="n">
        <f aca="false">SUMIFS(资金日记账!$J$5:$J$1004,资金日记账!$E$5:$E$1004,$A6,资金日记账!$C$5:$C$1004,"现金")-SUMIFS(资金日记账!$I$5:$I$1004,资金日记账!$E$5:$E$1004,$A6,资金日记账!$C$5:$C$1004,"现金")</f>
        <v>0</v>
      </c>
      <c r="E6" s="41" t="n">
        <f aca="false">SUMIFS(资金日记账!$I$5:$I$1004,资金日记账!$E$5:$E$1004,$A6)</f>
        <v>0</v>
      </c>
      <c r="F6" s="41" t="n">
        <f aca="false">SUMIFS(资金日记账!$J$5:$J$1004,资金日记账!$E$5:$E$1004,$A6)</f>
        <v>0</v>
      </c>
      <c r="H6" s="32" t="str">
        <f aca="false">IF(项目档案!$A6="","",项目档案!$A6)</f>
        <v>A001</v>
      </c>
      <c r="I6" s="40" t="str">
        <f aca="false">IF($H6="","",项目档案!$B6)</f>
        <v>2025-2026年度工程用施工机具等租赁服务（重庆铜梁10kV大太线老旧线路改造工程）</v>
      </c>
      <c r="J6" s="41" t="n">
        <f aca="false">IF($H6="","",SUMIFS(资金日记账!$J$5:$J$1004,资金日记账!$D$5:$D$1004,$H6))</f>
        <v>0</v>
      </c>
    </row>
    <row r="7" customFormat="false" ht="15.75" hidden="false" customHeight="true" outlineLevel="0" collapsed="false">
      <c r="A7" s="16" t="s">
        <v>645</v>
      </c>
      <c r="B7" s="41" t="n">
        <f aca="false">SUMIFS(资金日记账!$J$5:$J$1004,资金日记账!$E$5:$E$1004,$A7,资金日记账!$C$5:$C$1004,"泓普")-SUMIFS(资金日记账!$I$5:$I$1004,资金日记账!$E$5:$E$1004,$A7,资金日记账!$C$5:$C$1004,"泓普")</f>
        <v>-6100</v>
      </c>
      <c r="C7" s="41" t="n">
        <f aca="false">SUMIFS(资金日记账!$J$5:$J$1004,资金日记账!$E$5:$E$1004,$A7,资金日记账!$C$5:$C$1004,"仟茂")-SUMIFS(资金日记账!$I$5:$I$1004,资金日记账!$E$5:$E$1004,$A7,资金日记账!$C$5:$C$1004,"仟茂")</f>
        <v>0</v>
      </c>
      <c r="D7" s="41" t="n">
        <f aca="false">SUMIFS(资金日记账!$J$5:$J$1004,资金日记账!$E$5:$E$1004,$A7,资金日记账!$C$5:$C$1004,"现金")-SUMIFS(资金日记账!$I$5:$I$1004,资金日记账!$E$5:$E$1004,$A7,资金日记账!$C$5:$C$1004,"现金")</f>
        <v>-5000</v>
      </c>
      <c r="E7" s="41" t="n">
        <f aca="false">SUMIFS(资金日记账!$I$5:$I$1004,资金日记账!$E$5:$E$1004,$A7)</f>
        <v>11100</v>
      </c>
      <c r="F7" s="41" t="n">
        <f aca="false">SUMIFS(资金日记账!$J$5:$J$1004,资金日记账!$E$5:$E$1004,$A7)</f>
        <v>0</v>
      </c>
      <c r="H7" s="32" t="str">
        <f aca="false">IF(项目档案!$A7="","",项目档案!$A7)</f>
        <v>A002</v>
      </c>
      <c r="I7" s="40" t="str">
        <f aca="false">IF($H7="","",项目档案!$B7)</f>
        <v>重庆铜梁10kV梧桐村4.5.6社台区重过载治理工程等23个项目(2025年配网6批、业扩5批民能施工）(重庆铜梁10kV侣新线凤飞7社台区重过载治理工程)</v>
      </c>
      <c r="J7" s="41" t="n">
        <f aca="false">IF($H7="","",SUMIFS(资金日记账!$J$5:$J$1004,资金日记账!$D$5:$D$1004,$H7))</f>
        <v>0</v>
      </c>
    </row>
    <row r="8" customFormat="false" ht="15.75" hidden="false" customHeight="true" outlineLevel="0" collapsed="false">
      <c r="A8" s="16" t="s">
        <v>638</v>
      </c>
      <c r="B8" s="41" t="n">
        <f aca="false">SUMIFS(资金日记账!$J$5:$J$1004,资金日记账!$E$5:$E$1004,$A8,资金日记账!$C$5:$C$1004,"泓普")-SUMIFS(资金日记账!$I$5:$I$1004,资金日记账!$E$5:$E$1004,$A8,资金日记账!$C$5:$C$1004,"泓普")</f>
        <v>0</v>
      </c>
      <c r="C8" s="41" t="n">
        <f aca="false">SUMIFS(资金日记账!$J$5:$J$1004,资金日记账!$E$5:$E$1004,$A8,资金日记账!$C$5:$C$1004,"仟茂")-SUMIFS(资金日记账!$I$5:$I$1004,资金日记账!$E$5:$E$1004,$A8,资金日记账!$C$5:$C$1004,"仟茂")</f>
        <v>21000</v>
      </c>
      <c r="D8" s="41" t="n">
        <f aca="false">SUMIFS(资金日记账!$J$5:$J$1004,资金日记账!$E$5:$E$1004,$A8,资金日记账!$C$5:$C$1004,"现金")-SUMIFS(资金日记账!$I$5:$I$1004,资金日记账!$E$5:$E$1004,$A8,资金日记账!$C$5:$C$1004,"现金")</f>
        <v>0</v>
      </c>
      <c r="E8" s="41" t="n">
        <f aca="false">SUMIFS(资金日记账!$I$5:$I$1004,资金日记账!$E$5:$E$1004,$A8)</f>
        <v>0</v>
      </c>
      <c r="F8" s="41" t="n">
        <f aca="false">SUMIFS(资金日记账!$J$5:$J$1004,资金日记账!$E$5:$E$1004,$A8)</f>
        <v>21000</v>
      </c>
      <c r="H8" s="32" t="str">
        <f aca="false">IF(项目档案!$A8="","",项目档案!$A8)</f>
        <v>A003</v>
      </c>
      <c r="I8" s="40" t="str">
        <f aca="false">IF($H8="","",项目档案!$B8)</f>
        <v>重庆铜梁10kV平双线新建联络工程</v>
      </c>
      <c r="J8" s="41" t="n">
        <f aca="false">IF($H8="","",SUMIFS(资金日记账!$J$5:$J$1004,资金日记账!$D$5:$D$1004,$H8))</f>
        <v>0</v>
      </c>
    </row>
    <row r="9" customFormat="false" ht="15.75" hidden="false" customHeight="true" outlineLevel="0" collapsed="false">
      <c r="A9" s="16" t="s">
        <v>731</v>
      </c>
      <c r="B9" s="41" t="n">
        <f aca="false">SUMIFS(资金日记账!$J$5:$J$1004,资金日记账!$E$5:$E$1004,$A9,资金日记账!$C$5:$C$1004,"泓普")-SUMIFS(资金日记账!$I$5:$I$1004,资金日记账!$E$5:$E$1004,$A9,资金日记账!$C$5:$C$1004,"泓普")</f>
        <v>0</v>
      </c>
      <c r="C9" s="41" t="n">
        <f aca="false">SUMIFS(资金日记账!$J$5:$J$1004,资金日记账!$E$5:$E$1004,$A9,资金日记账!$C$5:$C$1004,"仟茂")-SUMIFS(资金日记账!$I$5:$I$1004,资金日记账!$E$5:$E$1004,$A9,资金日记账!$C$5:$C$1004,"仟茂")</f>
        <v>0</v>
      </c>
      <c r="D9" s="41" t="n">
        <f aca="false">SUMIFS(资金日记账!$J$5:$J$1004,资金日记账!$E$5:$E$1004,$A9,资金日记账!$C$5:$C$1004,"现金")-SUMIFS(资金日记账!$I$5:$I$1004,资金日记账!$E$5:$E$1004,$A9,资金日记账!$C$5:$C$1004,"现金")</f>
        <v>0</v>
      </c>
      <c r="E9" s="41" t="n">
        <f aca="false">SUMIFS(资金日记账!$I$5:$I$1004,资金日记账!$E$5:$E$1004,$A9)</f>
        <v>0</v>
      </c>
      <c r="F9" s="41" t="n">
        <f aca="false">SUMIFS(资金日记账!$J$5:$J$1004,资金日记账!$E$5:$E$1004,$A9)</f>
        <v>0</v>
      </c>
      <c r="H9" s="32" t="str">
        <f aca="false">IF(项目档案!$A9="","",项目档案!$A9)</f>
        <v>A004</v>
      </c>
      <c r="I9" s="40" t="str">
        <f aca="false">IF($H9="","",项目档案!$B9)</f>
        <v>重庆铜梁10kV水羊线金鸡3（4）社台区重过载治理工程</v>
      </c>
      <c r="J9" s="41" t="n">
        <f aca="false">IF($H9="","",SUMIFS(资金日记账!$J$5:$J$1004,资金日记账!$D$5:$D$1004,$H9))</f>
        <v>0</v>
      </c>
    </row>
    <row r="10" customFormat="false" ht="15.75" hidden="false" customHeight="true" outlineLevel="0" collapsed="false">
      <c r="A10" s="16" t="s">
        <v>640</v>
      </c>
      <c r="B10" s="41" t="n">
        <f aca="false">SUMIFS(资金日记账!$J$5:$J$1004,资金日记账!$E$5:$E$1004,$A10,资金日记账!$C$5:$C$1004,"泓普")-SUMIFS(资金日记账!$I$5:$I$1004,资金日记账!$E$5:$E$1004,$A10,资金日记账!$C$5:$C$1004,"泓普")</f>
        <v>5551.64</v>
      </c>
      <c r="C10" s="41" t="n">
        <f aca="false">SUMIFS(资金日记账!$J$5:$J$1004,资金日记账!$E$5:$E$1004,$A10,资金日记账!$C$5:$C$1004,"仟茂")-SUMIFS(资金日记账!$I$5:$I$1004,资金日记账!$E$5:$E$1004,$A10,资金日记账!$C$5:$C$1004,"仟茂")</f>
        <v>0</v>
      </c>
      <c r="D10" s="41" t="n">
        <f aca="false">SUMIFS(资金日记账!$J$5:$J$1004,资金日记账!$E$5:$E$1004,$A10,资金日记账!$C$5:$C$1004,"现金")-SUMIFS(资金日记账!$I$5:$I$1004,资金日记账!$E$5:$E$1004,$A10,资金日记账!$C$5:$C$1004,"现金")</f>
        <v>0</v>
      </c>
      <c r="E10" s="41" t="n">
        <f aca="false">SUMIFS(资金日记账!$I$5:$I$1004,资金日记账!$E$5:$E$1004,$A10)</f>
        <v>0</v>
      </c>
      <c r="F10" s="41" t="n">
        <f aca="false">SUMIFS(资金日记账!$J$5:$J$1004,资金日记账!$E$5:$E$1004,$A10)</f>
        <v>5551.64</v>
      </c>
      <c r="H10" s="32" t="str">
        <f aca="false">IF(项目档案!$A10="","",项目档案!$A10)</f>
        <v>A005</v>
      </c>
      <c r="I10" s="40" t="str">
        <f aca="false">IF($H10="","",项目档案!$B10)</f>
        <v>重庆铜梁10kV龙羊线七佛4社台区重过载治理工程</v>
      </c>
      <c r="J10" s="41" t="n">
        <f aca="false">IF($H10="","",SUMIFS(资金日记账!$J$5:$J$1004,资金日记账!$D$5:$D$1004,$H10))</f>
        <v>0</v>
      </c>
    </row>
    <row r="11" customFormat="false" ht="15.75" hidden="false" customHeight="true" outlineLevel="0" collapsed="false">
      <c r="A11" s="16" t="s">
        <v>732</v>
      </c>
      <c r="B11" s="41" t="n">
        <f aca="false">SUMIFS(资金日记账!$J$5:$J$1004,资金日记账!$E$5:$E$1004,$A11,资金日记账!$C$5:$C$1004,"泓普")-SUMIFS(资金日记账!$I$5:$I$1004,资金日记账!$E$5:$E$1004,$A11,资金日记账!$C$5:$C$1004,"泓普")</f>
        <v>0</v>
      </c>
      <c r="C11" s="41" t="n">
        <f aca="false">SUMIFS(资金日记账!$J$5:$J$1004,资金日记账!$E$5:$E$1004,$A11,资金日记账!$C$5:$C$1004,"仟茂")-SUMIFS(资金日记账!$I$5:$I$1004,资金日记账!$E$5:$E$1004,$A11,资金日记账!$C$5:$C$1004,"仟茂")</f>
        <v>0</v>
      </c>
      <c r="D11" s="41" t="n">
        <f aca="false">SUMIFS(资金日记账!$J$5:$J$1004,资金日记账!$E$5:$E$1004,$A11,资金日记账!$C$5:$C$1004,"现金")-SUMIFS(资金日记账!$I$5:$I$1004,资金日记账!$E$5:$E$1004,$A11,资金日记账!$C$5:$C$1004,"现金")</f>
        <v>0</v>
      </c>
      <c r="E11" s="41" t="n">
        <f aca="false">SUMIFS(资金日记账!$I$5:$I$1004,资金日记账!$E$5:$E$1004,$A11)</f>
        <v>0</v>
      </c>
      <c r="F11" s="41" t="n">
        <f aca="false">SUMIFS(资金日记账!$J$5:$J$1004,资金日记账!$E$5:$E$1004,$A11)</f>
        <v>0</v>
      </c>
      <c r="H11" s="32" t="str">
        <f aca="false">IF(项目档案!$A11="","",项目档案!$A11)</f>
        <v>A006</v>
      </c>
      <c r="I11" s="40" t="str">
        <f aca="false">IF($H11="","",项目档案!$B11)</f>
        <v>重庆铜梁10kV少柏线池塘4社柱台区电压越限治理工程</v>
      </c>
      <c r="J11" s="41" t="n">
        <f aca="false">IF($H11="","",SUMIFS(资金日记账!$J$5:$J$1004,资金日记账!$D$5:$D$1004,$H11))</f>
        <v>0</v>
      </c>
    </row>
    <row r="12" customFormat="false" ht="15.75" hidden="false" customHeight="true" outlineLevel="0" collapsed="false">
      <c r="A12" s="16" t="s">
        <v>629</v>
      </c>
      <c r="B12" s="41" t="n">
        <f aca="false">SUMIFS(资金日记账!$J$5:$J$1004,资金日记账!$E$5:$E$1004,$A12,资金日记账!$C$5:$C$1004,"泓普")-SUMIFS(资金日记账!$I$5:$I$1004,资金日记账!$E$5:$E$1004,$A12,资金日记账!$C$5:$C$1004,"泓普")</f>
        <v>0</v>
      </c>
      <c r="C12" s="41" t="n">
        <f aca="false">SUMIFS(资金日记账!$J$5:$J$1004,资金日记账!$E$5:$E$1004,$A12,资金日记账!$C$5:$C$1004,"仟茂")-SUMIFS(资金日记账!$I$5:$I$1004,资金日记账!$E$5:$E$1004,$A12,资金日记账!$C$5:$C$1004,"仟茂")</f>
        <v>0</v>
      </c>
      <c r="D12" s="41" t="n">
        <f aca="false">SUMIFS(资金日记账!$J$5:$J$1004,资金日记账!$E$5:$E$1004,$A12,资金日记账!$C$5:$C$1004,"现金")-SUMIFS(资金日记账!$I$5:$I$1004,资金日记账!$E$5:$E$1004,$A12,资金日记账!$C$5:$C$1004,"现金")</f>
        <v>236.88</v>
      </c>
      <c r="E12" s="41" t="n">
        <f aca="false">SUMIFS(资金日记账!$I$5:$I$1004,资金日记账!$E$5:$E$1004,$A12)</f>
        <v>0</v>
      </c>
      <c r="F12" s="41" t="n">
        <f aca="false">SUMIFS(资金日记账!$J$5:$J$1004,资金日记账!$E$5:$E$1004,$A12)</f>
        <v>236.88</v>
      </c>
      <c r="H12" s="32" t="str">
        <f aca="false">IF(项目档案!$A12="","",项目档案!$A12)</f>
        <v>A007</v>
      </c>
      <c r="I12" s="40" t="str">
        <f aca="false">IF($H12="","",项目档案!$B12)</f>
        <v>重庆铜梁10kV少柏线团山7.6.11社台区电压越限治理工程</v>
      </c>
      <c r="J12" s="41" t="n">
        <f aca="false">IF($H12="","",SUMIFS(资金日记账!$J$5:$J$1004,资金日记账!$D$5:$D$1004,$H12))</f>
        <v>0</v>
      </c>
    </row>
    <row r="13" customFormat="false" ht="15.75" hidden="false" customHeight="true" outlineLevel="0" collapsed="false">
      <c r="A13" s="16" t="s">
        <v>626</v>
      </c>
      <c r="B13" s="41" t="n">
        <f aca="false">SUMIFS(资金日记账!$J$5:$J$1004,资金日记账!$E$5:$E$1004,$A13,资金日记账!$C$5:$C$1004,"泓普")-SUMIFS(资金日记账!$I$5:$I$1004,资金日记账!$E$5:$E$1004,$A13,资金日记账!$C$5:$C$1004,"泓普")</f>
        <v>0</v>
      </c>
      <c r="C13" s="41" t="n">
        <f aca="false">SUMIFS(资金日记账!$J$5:$J$1004,资金日记账!$E$5:$E$1004,$A13,资金日记账!$C$5:$C$1004,"仟茂")-SUMIFS(资金日记账!$I$5:$I$1004,资金日记账!$E$5:$E$1004,$A13,资金日记账!$C$5:$C$1004,"仟茂")</f>
        <v>0</v>
      </c>
      <c r="D13" s="41" t="n">
        <f aca="false">SUMIFS(资金日记账!$J$5:$J$1004,资金日记账!$E$5:$E$1004,$A13,资金日记账!$C$5:$C$1004,"现金")-SUMIFS(资金日记账!$I$5:$I$1004,资金日记账!$E$5:$E$1004,$A13,资金日记账!$C$5:$C$1004,"现金")</f>
        <v>90</v>
      </c>
      <c r="E13" s="41" t="n">
        <f aca="false">SUMIFS(资金日记账!$I$5:$I$1004,资金日记账!$E$5:$E$1004,$A13)</f>
        <v>0</v>
      </c>
      <c r="F13" s="41" t="n">
        <f aca="false">SUMIFS(资金日记账!$J$5:$J$1004,资金日记账!$E$5:$E$1004,$A13)</f>
        <v>90</v>
      </c>
      <c r="H13" s="32" t="str">
        <f aca="false">IF(项目档案!$A13="","",项目档案!$A13)</f>
        <v>A008</v>
      </c>
      <c r="I13" s="40" t="str">
        <f aca="false">IF($H13="","",项目档案!$B13)</f>
        <v>重庆铜梁10kV平凉线惠丰9社等4个台区重过载治理工程</v>
      </c>
      <c r="J13" s="41" t="n">
        <f aca="false">IF($H13="","",SUMIFS(资金日记账!$J$5:$J$1004,资金日记账!$D$5:$D$1004,$H13))</f>
        <v>0</v>
      </c>
    </row>
    <row r="14" customFormat="false" ht="15.75" hidden="false" customHeight="true" outlineLevel="0" collapsed="false">
      <c r="A14" s="16" t="s">
        <v>632</v>
      </c>
      <c r="B14" s="41" t="n">
        <f aca="false">SUMIFS(资金日记账!$J$5:$J$1004,资金日记账!$E$5:$E$1004,$A14,资金日记账!$C$5:$C$1004,"泓普")-SUMIFS(资金日记账!$I$5:$I$1004,资金日记账!$E$5:$E$1004,$A14,资金日记账!$C$5:$C$1004,"泓普")</f>
        <v>0</v>
      </c>
      <c r="C14" s="41" t="n">
        <f aca="false">SUMIFS(资金日记账!$J$5:$J$1004,资金日记账!$E$5:$E$1004,$A14,资金日记账!$C$5:$C$1004,"仟茂")-SUMIFS(资金日记账!$I$5:$I$1004,资金日记账!$E$5:$E$1004,$A14,资金日记账!$C$5:$C$1004,"仟茂")</f>
        <v>0</v>
      </c>
      <c r="D14" s="41" t="n">
        <f aca="false">SUMIFS(资金日记账!$J$5:$J$1004,资金日记账!$E$5:$E$1004,$A14,资金日记账!$C$5:$C$1004,"现金")-SUMIFS(资金日记账!$I$5:$I$1004,资金日记账!$E$5:$E$1004,$A14,资金日记账!$C$5:$C$1004,"现金")</f>
        <v>420</v>
      </c>
      <c r="E14" s="41" t="n">
        <f aca="false">SUMIFS(资金日记账!$I$5:$I$1004,资金日记账!$E$5:$E$1004,$A14)</f>
        <v>0</v>
      </c>
      <c r="F14" s="41" t="n">
        <f aca="false">SUMIFS(资金日记账!$J$5:$J$1004,资金日记账!$E$5:$E$1004,$A14)</f>
        <v>420</v>
      </c>
      <c r="H14" s="32" t="str">
        <f aca="false">IF(项目档案!$A14="","",项目档案!$A14)</f>
        <v>A009</v>
      </c>
      <c r="I14" s="40" t="str">
        <f aca="false">IF($H14="","",项目档案!$B14)</f>
        <v>重庆铜梁10kV少柏线社田1.6.7社台区重过载治理工程（机械费）</v>
      </c>
      <c r="J14" s="41" t="n">
        <f aca="false">IF($H14="","",SUMIFS(资金日记账!$J$5:$J$1004,资金日记账!$D$5:$D$1004,$H14))</f>
        <v>0</v>
      </c>
    </row>
    <row r="15" customFormat="false" ht="15.75" hidden="false" customHeight="true" outlineLevel="0" collapsed="false">
      <c r="A15" s="16" t="s">
        <v>655</v>
      </c>
      <c r="B15" s="41" t="n">
        <f aca="false">SUMIFS(资金日记账!$J$5:$J$1004,资金日记账!$E$5:$E$1004,$A15,资金日记账!$C$5:$C$1004,"泓普")-SUMIFS(资金日记账!$I$5:$I$1004,资金日记账!$E$5:$E$1004,$A15,资金日记账!$C$5:$C$1004,"泓普")</f>
        <v>0</v>
      </c>
      <c r="C15" s="41" t="n">
        <f aca="false">SUMIFS(资金日记账!$J$5:$J$1004,资金日记账!$E$5:$E$1004,$A15,资金日记账!$C$5:$C$1004,"仟茂")-SUMIFS(资金日记账!$I$5:$I$1004,资金日记账!$E$5:$E$1004,$A15,资金日记账!$C$5:$C$1004,"仟茂")</f>
        <v>0</v>
      </c>
      <c r="D15" s="41" t="n">
        <f aca="false">SUMIFS(资金日记账!$J$5:$J$1004,资金日记账!$E$5:$E$1004,$A15,资金日记账!$C$5:$C$1004,"现金")-SUMIFS(资金日记账!$I$5:$I$1004,资金日记账!$E$5:$E$1004,$A15,资金日记账!$C$5:$C$1004,"现金")</f>
        <v>6296.97</v>
      </c>
      <c r="E15" s="41" t="n">
        <f aca="false">SUMIFS(资金日记账!$I$5:$I$1004,资金日记账!$E$5:$E$1004,$A15)</f>
        <v>0</v>
      </c>
      <c r="F15" s="41" t="n">
        <f aca="false">SUMIFS(资金日记账!$J$5:$J$1004,资金日记账!$E$5:$E$1004,$A15)</f>
        <v>6296.97</v>
      </c>
      <c r="H15" s="32" t="str">
        <f aca="false">IF(项目档案!$A15="","",项目档案!$A15)</f>
        <v>A010</v>
      </c>
      <c r="I15" s="40" t="str">
        <f aca="false">IF($H15="","",项目档案!$B15)</f>
        <v>重庆铜梁10kV大科新建联络工程（机械费）</v>
      </c>
      <c r="J15" s="41" t="n">
        <f aca="false">IF($H15="","",SUMIFS(资金日记账!$J$5:$J$1004,资金日记账!$D$5:$D$1004,$H15))</f>
        <v>0</v>
      </c>
    </row>
    <row r="16" customFormat="false" ht="15.75" hidden="false" customHeight="true" outlineLevel="0" collapsed="false">
      <c r="A16" s="16" t="s">
        <v>678</v>
      </c>
      <c r="B16" s="41" t="n">
        <f aca="false">SUMIFS(资金日记账!$J$5:$J$1004,资金日记账!$E$5:$E$1004,$A16,资金日记账!$C$5:$C$1004,"泓普")-SUMIFS(资金日记账!$I$5:$I$1004,资金日记账!$E$5:$E$1004,$A16,资金日记账!$C$5:$C$1004,"泓普")</f>
        <v>0</v>
      </c>
      <c r="C16" s="41" t="n">
        <f aca="false">SUMIFS(资金日记账!$J$5:$J$1004,资金日记账!$E$5:$E$1004,$A16,资金日记账!$C$5:$C$1004,"仟茂")-SUMIFS(资金日记账!$I$5:$I$1004,资金日记账!$E$5:$E$1004,$A16,资金日记账!$C$5:$C$1004,"仟茂")</f>
        <v>0</v>
      </c>
      <c r="D16" s="41" t="n">
        <f aca="false">SUMIFS(资金日记账!$J$5:$J$1004,资金日记账!$E$5:$E$1004,$A16,资金日记账!$C$5:$C$1004,"现金")-SUMIFS(资金日记账!$I$5:$I$1004,资金日记账!$E$5:$E$1004,$A16,资金日记账!$C$5:$C$1004,"现金")</f>
        <v>300</v>
      </c>
      <c r="E16" s="41" t="n">
        <f aca="false">SUMIFS(资金日记账!$I$5:$I$1004,资金日记账!$E$5:$E$1004,$A16)</f>
        <v>0</v>
      </c>
      <c r="F16" s="41" t="n">
        <f aca="false">SUMIFS(资金日记账!$J$5:$J$1004,资金日记账!$E$5:$E$1004,$A16)</f>
        <v>300</v>
      </c>
      <c r="H16" s="32" t="str">
        <f aca="false">IF(项目档案!$A16="","",项目档案!$A16)</f>
        <v>A011</v>
      </c>
      <c r="I16" s="40" t="str">
        <f aca="false">IF($H16="","",项目档案!$B16)</f>
        <v>重庆铜梁10kV大岭线新建联络工程（机械费）</v>
      </c>
      <c r="J16" s="41" t="n">
        <f aca="false">IF($H16="","",SUMIFS(资金日记账!$J$5:$J$1004,资金日记账!$D$5:$D$1004,$H16))</f>
        <v>0</v>
      </c>
    </row>
    <row r="17" customFormat="false" ht="15.75" hidden="false" customHeight="true" outlineLevel="0" collapsed="false">
      <c r="A17" s="16" t="s">
        <v>675</v>
      </c>
      <c r="B17" s="41" t="n">
        <f aca="false">SUMIFS(资金日记账!$J$5:$J$1004,资金日记账!$E$5:$E$1004,$A17,资金日记账!$C$5:$C$1004,"泓普")-SUMIFS(资金日记账!$I$5:$I$1004,资金日记账!$E$5:$E$1004,$A17,资金日记账!$C$5:$C$1004,"泓普")</f>
        <v>0</v>
      </c>
      <c r="C17" s="41" t="n">
        <f aca="false">SUMIFS(资金日记账!$J$5:$J$1004,资金日记账!$E$5:$E$1004,$A17,资金日记账!$C$5:$C$1004,"仟茂")-SUMIFS(资金日记账!$I$5:$I$1004,资金日记账!$E$5:$E$1004,$A17,资金日记账!$C$5:$C$1004,"仟茂")</f>
        <v>0</v>
      </c>
      <c r="D17" s="41" t="n">
        <f aca="false">SUMIFS(资金日记账!$J$5:$J$1004,资金日记账!$E$5:$E$1004,$A17,资金日记账!$C$5:$C$1004,"现金")-SUMIFS(资金日记账!$I$5:$I$1004,资金日记账!$E$5:$E$1004,$A17,资金日记账!$C$5:$C$1004,"现金")</f>
        <v>200</v>
      </c>
      <c r="E17" s="41" t="n">
        <f aca="false">SUMIFS(资金日记账!$I$5:$I$1004,资金日记账!$E$5:$E$1004,$A17)</f>
        <v>0</v>
      </c>
      <c r="F17" s="41" t="n">
        <f aca="false">SUMIFS(资金日记账!$J$5:$J$1004,资金日记账!$E$5:$E$1004,$A17)</f>
        <v>200</v>
      </c>
      <c r="H17" s="32" t="str">
        <f aca="false">IF(项目档案!$A17="","",项目档案!$A17)</f>
        <v>A012</v>
      </c>
      <c r="I17" s="40" t="str">
        <f aca="false">IF($H17="","",项目档案!$B17)</f>
        <v>重庆铜梁重庆物华天宝镀膜科技有限公司10kV业扩配套工程（机械费）</v>
      </c>
      <c r="J17" s="41" t="n">
        <f aca="false">IF($H17="","",SUMIFS(资金日记账!$J$5:$J$1004,资金日记账!$D$5:$D$1004,$H17))</f>
        <v>0</v>
      </c>
    </row>
    <row r="18" customFormat="false" ht="15.75" hidden="false" customHeight="true" outlineLevel="0" collapsed="false">
      <c r="A18" s="16" t="s">
        <v>643</v>
      </c>
      <c r="B18" s="41" t="n">
        <f aca="false">SUMIFS(资金日记账!$J$5:$J$1004,资金日记账!$E$5:$E$1004,$A18,资金日记账!$C$5:$C$1004,"泓普")-SUMIFS(资金日记账!$I$5:$I$1004,资金日记账!$E$5:$E$1004,$A18,资金日记账!$C$5:$C$1004,"泓普")</f>
        <v>0</v>
      </c>
      <c r="C18" s="41" t="n">
        <f aca="false">SUMIFS(资金日记账!$J$5:$J$1004,资金日记账!$E$5:$E$1004,$A18,资金日记账!$C$5:$C$1004,"仟茂")-SUMIFS(资金日记账!$I$5:$I$1004,资金日记账!$E$5:$E$1004,$A18,资金日记账!$C$5:$C$1004,"仟茂")</f>
        <v>0</v>
      </c>
      <c r="D18" s="41" t="n">
        <f aca="false">SUMIFS(资金日记账!$J$5:$J$1004,资金日记账!$E$5:$E$1004,$A18,资金日记账!$C$5:$C$1004,"现金")-SUMIFS(资金日记账!$I$5:$I$1004,资金日记账!$E$5:$E$1004,$A18,资金日记账!$C$5:$C$1004,"现金")</f>
        <v>100</v>
      </c>
      <c r="E18" s="41" t="n">
        <f aca="false">SUMIFS(资金日记账!$I$5:$I$1004,资金日记账!$E$5:$E$1004,$A18)</f>
        <v>0</v>
      </c>
      <c r="F18" s="41" t="n">
        <f aca="false">SUMIFS(资金日记账!$J$5:$J$1004,资金日记账!$E$5:$E$1004,$A18)</f>
        <v>100</v>
      </c>
      <c r="H18" s="32" t="str">
        <f aca="false">IF(项目档案!$A18="","",项目档案!$A18)</f>
        <v>A013</v>
      </c>
      <c r="I18" s="40" t="str">
        <f aca="false">IF($H18="","",项目档案!$B18)</f>
        <v>1</v>
      </c>
      <c r="J18" s="41" t="n">
        <f aca="false">IF($H18="","",SUMIFS(资金日记账!$J$5:$J$1004,资金日记账!$D$5:$D$1004,$H18))</f>
        <v>0</v>
      </c>
    </row>
    <row r="19" customFormat="false" ht="15.75" hidden="false" customHeight="true" outlineLevel="0" collapsed="false">
      <c r="A19" s="16" t="s">
        <v>649</v>
      </c>
      <c r="B19" s="41" t="n">
        <f aca="false">SUMIFS(资金日记账!$J$5:$J$1004,资金日记账!$E$5:$E$1004,$A19,资金日记账!$C$5:$C$1004,"泓普")-SUMIFS(资金日记账!$I$5:$I$1004,资金日记账!$E$5:$E$1004,$A19,资金日记账!$C$5:$C$1004,"泓普")</f>
        <v>0</v>
      </c>
      <c r="C19" s="41" t="n">
        <f aca="false">SUMIFS(资金日记账!$J$5:$J$1004,资金日记账!$E$5:$E$1004,$A19,资金日记账!$C$5:$C$1004,"仟茂")-SUMIFS(资金日记账!$I$5:$I$1004,资金日记账!$E$5:$E$1004,$A19,资金日记账!$C$5:$C$1004,"仟茂")</f>
        <v>0</v>
      </c>
      <c r="D19" s="41" t="n">
        <f aca="false">SUMIFS(资金日记账!$J$5:$J$1004,资金日记账!$E$5:$E$1004,$A19,资金日记账!$C$5:$C$1004,"现金")-SUMIFS(资金日记账!$I$5:$I$1004,资金日记账!$E$5:$E$1004,$A19,资金日记账!$C$5:$C$1004,"现金")</f>
        <v>6100</v>
      </c>
      <c r="E19" s="41" t="n">
        <f aca="false">SUMIFS(资金日记账!$I$5:$I$1004,资金日记账!$E$5:$E$1004,$A19)</f>
        <v>0</v>
      </c>
      <c r="F19" s="41" t="n">
        <f aca="false">SUMIFS(资金日记账!$J$5:$J$1004,资金日记账!$E$5:$E$1004,$A19)</f>
        <v>6100</v>
      </c>
      <c r="H19" s="32" t="str">
        <f aca="false">IF(项目档案!$A19="","",项目档案!$A19)</f>
        <v>A014</v>
      </c>
      <c r="I19" s="40" t="str">
        <f aca="false">IF($H19="","",项目档案!$B19)</f>
        <v>重庆民能实业有限公司2025-2026年度工程用特种设备租赁服务框架采购（铜梁公司2025年成本类优化营商环境项目（安居所张绍华等10个低压业扩项目）（机械费）</v>
      </c>
      <c r="J19" s="41" t="n">
        <f aca="false">IF($H19="","",SUMIFS(资金日记账!$J$5:$J$1004,资金日记账!$D$5:$D$1004,$H19))</f>
        <v>0</v>
      </c>
    </row>
    <row r="20" customFormat="false" ht="15.75" hidden="false" customHeight="true" outlineLevel="0" collapsed="false">
      <c r="A20" s="16" t="s">
        <v>634</v>
      </c>
      <c r="B20" s="41" t="n">
        <f aca="false">SUMIFS(资金日记账!$J$5:$J$1004,资金日记账!$E$5:$E$1004,$A20,资金日记账!$C$5:$C$1004,"泓普")-SUMIFS(资金日记账!$I$5:$I$1004,资金日记账!$E$5:$E$1004,$A20,资金日记账!$C$5:$C$1004,"泓普")</f>
        <v>0</v>
      </c>
      <c r="C20" s="41" t="n">
        <f aca="false">SUMIFS(资金日记账!$J$5:$J$1004,资金日记账!$E$5:$E$1004,$A20,资金日记账!$C$5:$C$1004,"仟茂")-SUMIFS(资金日记账!$I$5:$I$1004,资金日记账!$E$5:$E$1004,$A20,资金日记账!$C$5:$C$1004,"仟茂")</f>
        <v>2</v>
      </c>
      <c r="D20" s="41" t="n">
        <f aca="false">SUMIFS(资金日记账!$J$5:$J$1004,资金日记账!$E$5:$E$1004,$A20,资金日记账!$C$5:$C$1004,"现金")-SUMIFS(资金日记账!$I$5:$I$1004,资金日记账!$E$5:$E$1004,$A20,资金日记账!$C$5:$C$1004,"现金")</f>
        <v>0</v>
      </c>
      <c r="E20" s="41" t="n">
        <f aca="false">SUMIFS(资金日记账!$I$5:$I$1004,资金日记账!$E$5:$E$1004,$A20)</f>
        <v>0</v>
      </c>
      <c r="F20" s="41" t="n">
        <f aca="false">SUMIFS(资金日记账!$J$5:$J$1004,资金日记账!$E$5:$E$1004,$A20)</f>
        <v>2</v>
      </c>
      <c r="H20" s="32" t="str">
        <f aca="false">IF(项目档案!$A20="","",项目档案!$A20)</f>
        <v>A015</v>
      </c>
      <c r="I20" s="40" t="str">
        <f aca="false">IF($H20="","",项目档案!$B20)</f>
        <v>重庆民能实业有限公司2025-2026年度工程用特种设备租赁服务框架采购、铜梁公司2026年配电专业应急抢修抢险等外包项目(围塘5社等台区3个隐患治理项目。大桥7.8社等台区3个应急抢修项目)机械费</v>
      </c>
      <c r="J20" s="41" t="n">
        <f aca="false">IF($H20="","",SUMIFS(资金日记账!$J$5:$J$1004,资金日记账!$D$5:$D$1004,$H20))</f>
        <v>0</v>
      </c>
    </row>
    <row r="21" customFormat="false" ht="15.75" hidden="false" customHeight="true" outlineLevel="0" collapsed="false">
      <c r="A21" s="16" t="s">
        <v>636</v>
      </c>
      <c r="B21" s="41" t="n">
        <f aca="false">SUMIFS(资金日记账!$J$5:$J$1004,资金日记账!$E$5:$E$1004,$A21,资金日记账!$C$5:$C$1004,"泓普")-SUMIFS(资金日记账!$I$5:$I$1004,资金日记账!$E$5:$E$1004,$A21,资金日记账!$C$5:$C$1004,"泓普")</f>
        <v>0</v>
      </c>
      <c r="C21" s="41" t="n">
        <f aca="false">SUMIFS(资金日记账!$J$5:$J$1004,资金日记账!$E$5:$E$1004,$A21,资金日记账!$C$5:$C$1004,"仟茂")-SUMIFS(资金日记账!$I$5:$I$1004,资金日记账!$E$5:$E$1004,$A21,资金日记账!$C$5:$C$1004,"仟茂")</f>
        <v>10000</v>
      </c>
      <c r="D21" s="41" t="n">
        <f aca="false">SUMIFS(资金日记账!$J$5:$J$1004,资金日记账!$E$5:$E$1004,$A21,资金日记账!$C$5:$C$1004,"现金")-SUMIFS(资金日记账!$I$5:$I$1004,资金日记账!$E$5:$E$1004,$A21,资金日记账!$C$5:$C$1004,"现金")</f>
        <v>0</v>
      </c>
      <c r="E21" s="41" t="n">
        <f aca="false">SUMIFS(资金日记账!$I$5:$I$1004,资金日记账!$E$5:$E$1004,$A21)</f>
        <v>0</v>
      </c>
      <c r="F21" s="41" t="n">
        <f aca="false">SUMIFS(资金日记账!$J$5:$J$1004,资金日记账!$E$5:$E$1004,$A21)</f>
        <v>10000</v>
      </c>
      <c r="H21" s="32" t="str">
        <f aca="false">IF(项目档案!$A21="","",项目档案!$A21)</f>
        <v>A016</v>
      </c>
      <c r="I21" s="40" t="str">
        <f aca="false">IF($H21="","",项目档案!$B21)</f>
        <v>2025-2026年度工程用特种设备租赁服务框架采购、峰盛模具ZBW-250KVA箱变拆除工程（机械费）</v>
      </c>
      <c r="J21" s="41" t="n">
        <f aca="false">IF($H21="","",SUMIFS(资金日记账!$J$5:$J$1004,资金日记账!$D$5:$D$1004,$H21))</f>
        <v>0</v>
      </c>
    </row>
    <row r="22" customFormat="false" ht="15.75" hidden="false" customHeight="true" outlineLevel="0" collapsed="false">
      <c r="A22" s="16" t="s">
        <v>733</v>
      </c>
      <c r="B22" s="41" t="n">
        <f aca="false">SUMIFS(资金日记账!$J$5:$J$1004,资金日记账!$E$5:$E$1004,$A22,资金日记账!$C$5:$C$1004,"泓普")-SUMIFS(资金日记账!$I$5:$I$1004,资金日记账!$E$5:$E$1004,$A22,资金日记账!$C$5:$C$1004,"泓普")</f>
        <v>0</v>
      </c>
      <c r="C22" s="41" t="n">
        <f aca="false">SUMIFS(资金日记账!$J$5:$J$1004,资金日记账!$E$5:$E$1004,$A22,资金日记账!$C$5:$C$1004,"仟茂")-SUMIFS(资金日记账!$I$5:$I$1004,资金日记账!$E$5:$E$1004,$A22,资金日记账!$C$5:$C$1004,"仟茂")</f>
        <v>0</v>
      </c>
      <c r="D22" s="41" t="n">
        <f aca="false">SUMIFS(资金日记账!$J$5:$J$1004,资金日记账!$E$5:$E$1004,$A22,资金日记账!$C$5:$C$1004,"现金")-SUMIFS(资金日记账!$I$5:$I$1004,资金日记账!$E$5:$E$1004,$A22,资金日记账!$C$5:$C$1004,"现金")</f>
        <v>0</v>
      </c>
      <c r="E22" s="41" t="n">
        <f aca="false">SUMIFS(资金日记账!$I$5:$I$1004,资金日记账!$E$5:$E$1004,$A22)</f>
        <v>0</v>
      </c>
      <c r="F22" s="41" t="n">
        <f aca="false">SUMIFS(资金日记账!$J$5:$J$1004,资金日记账!$E$5:$E$1004,$A22)</f>
        <v>0</v>
      </c>
      <c r="H22" s="32" t="str">
        <f aca="false">IF(项目档案!$A22="","",项目档案!$A22)</f>
        <v>A017</v>
      </c>
      <c r="I22" s="40" t="str">
        <f aca="false">IF($H22="","",项目档案!$B22)</f>
        <v>重庆民能实业有限公司2025-2026年度工程用特种设备租赁服务框架采购-铜梁公司2025年成本类优化营商环境项目（平滩所何银强等5个低压业扩工程）</v>
      </c>
      <c r="J22" s="41" t="n">
        <f aca="false">IF($H22="","",SUMIFS(资金日记账!$J$5:$J$1004,资金日记账!$D$5:$D$1004,$H22))</f>
        <v>0</v>
      </c>
    </row>
    <row r="23" customFormat="false" ht="15.75" hidden="false" customHeight="true" outlineLevel="0" collapsed="false">
      <c r="A23" s="16" t="s">
        <v>295</v>
      </c>
      <c r="B23" s="41" t="n">
        <f aca="false">SUMIFS(资金日记账!$J$5:$J$1004,资金日记账!$E$5:$E$1004,$A23,资金日记账!$C$5:$C$1004,"泓普")-SUMIFS(资金日记账!$I$5:$I$1004,资金日记账!$E$5:$E$1004,$A23,资金日记账!$C$5:$C$1004,"泓普")</f>
        <v>0</v>
      </c>
      <c r="C23" s="41" t="n">
        <f aca="false">SUMIFS(资金日记账!$J$5:$J$1004,资金日记账!$E$5:$E$1004,$A23,资金日记账!$C$5:$C$1004,"仟茂")-SUMIFS(资金日记账!$I$5:$I$1004,资金日记账!$E$5:$E$1004,$A23,资金日记账!$C$5:$C$1004,"仟茂")</f>
        <v>0</v>
      </c>
      <c r="D23" s="41" t="n">
        <f aca="false">SUMIFS(资金日记账!$J$5:$J$1004,资金日记账!$E$5:$E$1004,$A23,资金日记账!$C$5:$C$1004,"现金")-SUMIFS(资金日记账!$I$5:$I$1004,资金日记账!$E$5:$E$1004,$A23,资金日记账!$C$5:$C$1004,"现金")</f>
        <v>0</v>
      </c>
      <c r="E23" s="41" t="n">
        <f aca="false">SUMIFS(资金日记账!$I$5:$I$1004,资金日记账!$E$5:$E$1004,$A23)</f>
        <v>0</v>
      </c>
      <c r="F23" s="41" t="n">
        <f aca="false">SUMIFS(资金日记账!$J$5:$J$1004,资金日记账!$E$5:$E$1004,$A23)</f>
        <v>0</v>
      </c>
      <c r="H23" s="32" t="str">
        <f aca="false">IF(项目档案!$A23="","",项目档案!$A23)</f>
        <v>A018</v>
      </c>
      <c r="I23" s="40" t="str">
        <f aca="false">IF($H23="","",项目档案!$B23)</f>
        <v>重庆德誉佳实业有限公司2025-2026年度工程用特种设备租赁服务框架采购-铜梁公司2025年成本类优化营商环境项目（平滩所何银强等5个低压业扩工程）</v>
      </c>
      <c r="J23" s="41" t="n">
        <f aca="false">IF($H23="","",SUMIFS(资金日记账!$J$5:$J$1004,资金日记账!$D$5:$D$1004,$H23))</f>
        <v>0</v>
      </c>
    </row>
    <row r="24" customFormat="false" ht="15.75" hidden="false" customHeight="true" outlineLevel="0" collapsed="false">
      <c r="A24" s="16" t="s">
        <v>734</v>
      </c>
      <c r="B24" s="41" t="n">
        <f aca="false">SUMIFS(资金日记账!$J$5:$J$1004,资金日记账!$E$5:$E$1004,$A24,资金日记账!$C$5:$C$1004,"泓普")-SUMIFS(资金日记账!$I$5:$I$1004,资金日记账!$E$5:$E$1004,$A24,资金日记账!$C$5:$C$1004,"泓普")</f>
        <v>0</v>
      </c>
      <c r="C24" s="41" t="n">
        <f aca="false">SUMIFS(资金日记账!$J$5:$J$1004,资金日记账!$E$5:$E$1004,$A24,资金日记账!$C$5:$C$1004,"仟茂")-SUMIFS(资金日记账!$I$5:$I$1004,资金日记账!$E$5:$E$1004,$A24,资金日记账!$C$5:$C$1004,"仟茂")</f>
        <v>0</v>
      </c>
      <c r="D24" s="41" t="n">
        <f aca="false">SUMIFS(资金日记账!$J$5:$J$1004,资金日记账!$E$5:$E$1004,$A24,资金日记账!$C$5:$C$1004,"现金")-SUMIFS(资金日记账!$I$5:$I$1004,资金日记账!$E$5:$E$1004,$A24,资金日记账!$C$5:$C$1004,"现金")</f>
        <v>0</v>
      </c>
      <c r="E24" s="41" t="n">
        <f aca="false">SUMIFS(资金日记账!$I$5:$I$1004,资金日记账!$E$5:$E$1004,$A24)</f>
        <v>0</v>
      </c>
      <c r="F24" s="41" t="n">
        <f aca="false">SUMIFS(资金日记账!$J$5:$J$1004,资金日记账!$E$5:$E$1004,$A24)</f>
        <v>0</v>
      </c>
      <c r="H24" s="32" t="str">
        <f aca="false">IF(项目档案!$A24="","",项目档案!$A24)</f>
        <v>A019</v>
      </c>
      <c r="I24" s="40" t="str">
        <f aca="false">IF($H24="","",项目档案!$B24)</f>
        <v>重庆德誉佳实业有限公司2025-2026年度工程用施工机具等租赁服务框架采购（国网重庆铜梁公司110kV金湖东西电缆改造）</v>
      </c>
      <c r="J24" s="41" t="n">
        <f aca="false">IF($H24="","",SUMIFS(资金日记账!$J$5:$J$1004,资金日记账!$D$5:$D$1004,$H24))</f>
        <v>0</v>
      </c>
    </row>
    <row r="25" customFormat="false" ht="15.75" hidden="false" customHeight="true" outlineLevel="0" collapsed="false">
      <c r="A25" s="16" t="s">
        <v>735</v>
      </c>
      <c r="B25" s="41" t="n">
        <f aca="false">SUMIFS(资金日记账!$J$5:$J$1004,资金日记账!$E$5:$E$1004,$A25,资金日记账!$C$5:$C$1004,"泓普")-SUMIFS(资金日记账!$I$5:$I$1004,资金日记账!$E$5:$E$1004,$A25,资金日记账!$C$5:$C$1004,"泓普")</f>
        <v>0</v>
      </c>
      <c r="C25" s="41" t="n">
        <f aca="false">SUMIFS(资金日记账!$J$5:$J$1004,资金日记账!$E$5:$E$1004,$A25,资金日记账!$C$5:$C$1004,"仟茂")-SUMIFS(资金日记账!$I$5:$I$1004,资金日记账!$E$5:$E$1004,$A25,资金日记账!$C$5:$C$1004,"仟茂")</f>
        <v>0</v>
      </c>
      <c r="D25" s="41" t="n">
        <f aca="false">SUMIFS(资金日记账!$J$5:$J$1004,资金日记账!$E$5:$E$1004,$A25,资金日记账!$C$5:$C$1004,"现金")-SUMIFS(资金日记账!$I$5:$I$1004,资金日记账!$E$5:$E$1004,$A25,资金日记账!$C$5:$C$1004,"现金")</f>
        <v>0</v>
      </c>
      <c r="E25" s="41" t="n">
        <f aca="false">SUMIFS(资金日记账!$I$5:$I$1004,资金日记账!$E$5:$E$1004,$A25)</f>
        <v>0</v>
      </c>
      <c r="F25" s="41" t="n">
        <f aca="false">SUMIFS(资金日记账!$J$5:$J$1004,资金日记账!$E$5:$E$1004,$A25)</f>
        <v>0</v>
      </c>
      <c r="H25" s="32" t="str">
        <f aca="false">IF(项目档案!$A25="","",项目档案!$A25)</f>
        <v>A020</v>
      </c>
      <c r="I25" s="40" t="str">
        <f aca="false">IF($H25="","",项目档案!$B25)</f>
        <v>重庆民能实业有限公司2025-2026年度工程用施工机具等租赁服务框架采购（国网重庆铜梁公司110kV金湖东西电缆改造）</v>
      </c>
      <c r="J25" s="41" t="n">
        <f aca="false">IF($H25="","",SUMIFS(资金日记账!$J$5:$J$1004,资金日记账!$D$5:$D$1004,$H25))</f>
        <v>0</v>
      </c>
    </row>
    <row r="26" customFormat="false" ht="15.75" hidden="false" customHeight="true" outlineLevel="0" collapsed="false">
      <c r="A26" s="16" t="s">
        <v>736</v>
      </c>
      <c r="B26" s="41" t="n">
        <f aca="false">SUMIFS(资金日记账!$J$5:$J$1004,资金日记账!$E$5:$E$1004,$A26,资金日记账!$C$5:$C$1004,"泓普")-SUMIFS(资金日记账!$I$5:$I$1004,资金日记账!$E$5:$E$1004,$A26,资金日记账!$C$5:$C$1004,"泓普")</f>
        <v>0</v>
      </c>
      <c r="C26" s="41" t="n">
        <f aca="false">SUMIFS(资金日记账!$J$5:$J$1004,资金日记账!$E$5:$E$1004,$A26,资金日记账!$C$5:$C$1004,"仟茂")-SUMIFS(资金日记账!$I$5:$I$1004,资金日记账!$E$5:$E$1004,$A26,资金日记账!$C$5:$C$1004,"仟茂")</f>
        <v>0</v>
      </c>
      <c r="D26" s="41" t="n">
        <f aca="false">SUMIFS(资金日记账!$J$5:$J$1004,资金日记账!$E$5:$E$1004,$A26,资金日记账!$C$5:$C$1004,"现金")-SUMIFS(资金日记账!$I$5:$I$1004,资金日记账!$E$5:$E$1004,$A26,资金日记账!$C$5:$C$1004,"现金")</f>
        <v>0</v>
      </c>
      <c r="E26" s="41" t="n">
        <f aca="false">SUMIFS(资金日记账!$I$5:$I$1004,资金日记账!$E$5:$E$1004,$A26)</f>
        <v>0</v>
      </c>
      <c r="F26" s="41" t="n">
        <f aca="false">SUMIFS(资金日记账!$J$5:$J$1004,资金日记账!$E$5:$E$1004,$A26)</f>
        <v>0</v>
      </c>
      <c r="H26" s="32" t="str">
        <f aca="false">IF(项目档案!$A26="","",项目档案!$A26)</f>
        <v>A021</v>
      </c>
      <c r="I26" s="40" t="str">
        <f aca="false">IF($H26="","",项目档案!$B26)</f>
        <v>铜梁区园区屋顶分布式光伏发电建设项目-10kV电力新建工程（康欣3W，泓普7W）</v>
      </c>
      <c r="J26" s="41" t="n">
        <f aca="false">IF($H26="","",SUMIFS(资金日记账!$J$5:$J$1004,资金日记账!$D$5:$D$1004,$H26))</f>
        <v>0</v>
      </c>
    </row>
    <row r="27" customFormat="false" ht="15.75" hidden="false" customHeight="true" outlineLevel="0" collapsed="false">
      <c r="A27" s="16" t="s">
        <v>136</v>
      </c>
      <c r="B27" s="41" t="n">
        <f aca="false">SUMIFS(资金日记账!$J$5:$J$1004,资金日记账!$E$5:$E$1004,$A27,资金日记账!$C$5:$C$1004,"泓普")-SUMIFS(资金日记账!$I$5:$I$1004,资金日记账!$E$5:$E$1004,$A27,资金日记账!$C$5:$C$1004,"泓普")</f>
        <v>0</v>
      </c>
      <c r="C27" s="41" t="n">
        <f aca="false">SUMIFS(资金日记账!$J$5:$J$1004,资金日记账!$E$5:$E$1004,$A27,资金日记账!$C$5:$C$1004,"仟茂")-SUMIFS(资金日记账!$I$5:$I$1004,资金日记账!$E$5:$E$1004,$A27,资金日记账!$C$5:$C$1004,"仟茂")</f>
        <v>0</v>
      </c>
      <c r="D27" s="41" t="n">
        <f aca="false">SUMIFS(资金日记账!$J$5:$J$1004,资金日记账!$E$5:$E$1004,$A27,资金日记账!$C$5:$C$1004,"现金")-SUMIFS(资金日记账!$I$5:$I$1004,资金日记账!$E$5:$E$1004,$A27,资金日记账!$C$5:$C$1004,"现金")</f>
        <v>0</v>
      </c>
      <c r="E27" s="41" t="n">
        <f aca="false">SUMIFS(资金日记账!$I$5:$I$1004,资金日记账!$E$5:$E$1004,$A27)</f>
        <v>0</v>
      </c>
      <c r="F27" s="41" t="n">
        <f aca="false">SUMIFS(资金日记账!$J$5:$J$1004,资金日记账!$E$5:$E$1004,$A27)</f>
        <v>0</v>
      </c>
      <c r="H27" s="32" t="str">
        <f aca="false">IF(项目档案!$A27="","",项目档案!$A27)</f>
        <v>A022</v>
      </c>
      <c r="I27" s="40" t="str">
        <f aca="false">IF($H27="","",项目档案!$B27)</f>
        <v>铜梁区园区屋顶分布式光伏发电建设项目-10kV电力新建工程（康欣3W，泓普6W）</v>
      </c>
      <c r="J27" s="41" t="n">
        <f aca="false">IF($H27="","",SUMIFS(资金日记账!$J$5:$J$1004,资金日记账!$D$5:$D$1004,$H27))</f>
        <v>0</v>
      </c>
    </row>
    <row r="28" customFormat="false" ht="15.75" hidden="false" customHeight="true" outlineLevel="0" collapsed="false">
      <c r="A28" s="44" t="s">
        <v>694</v>
      </c>
      <c r="B28" s="45" t="n">
        <f aca="false">SUM(B6:B27)</f>
        <v>-548.36</v>
      </c>
      <c r="C28" s="45" t="n">
        <f aca="false">SUM(C6:C27)</f>
        <v>31002</v>
      </c>
      <c r="D28" s="45" t="n">
        <f aca="false">SUM(D6:D27)</f>
        <v>8743.85</v>
      </c>
      <c r="E28" s="45" t="n">
        <f aca="false">SUM(E6:E27)</f>
        <v>11100</v>
      </c>
      <c r="F28" s="45" t="n">
        <f aca="false">SUM(F6:F27)</f>
        <v>50297.49</v>
      </c>
      <c r="H28" s="32" t="str">
        <f aca="false">IF(项目档案!$A28="","",项目档案!$A28)</f>
        <v>A023</v>
      </c>
      <c r="I28" s="40" t="str">
        <f aca="false">IF($H28="","",项目档案!$B28)</f>
        <v>围龙镇巴岳农庄项目(桥亭水云居项目)双电源工程</v>
      </c>
      <c r="J28" s="41" t="n">
        <f aca="false">IF($H28="","",SUMIFS(资金日记账!$J$5:$J$1004,资金日记账!$D$5:$D$1004,$H28))</f>
        <v>0</v>
      </c>
    </row>
    <row r="29" customFormat="false" ht="15.75" hidden="false" customHeight="true" outlineLevel="0" collapsed="false">
      <c r="H29" s="32" t="str">
        <f aca="false">IF(项目档案!$A29="","",项目档案!$A29)</f>
        <v>A024</v>
      </c>
      <c r="I29" s="40" t="str">
        <f aca="false">IF($H29="","",项目档案!$B29)</f>
        <v>铜梁公司2026年配电专业应急抢修抢险等外包项目（黄荆4社等台区4个隐患治理项目、三湾1.2社等台区2个应急抢修项目)</v>
      </c>
      <c r="J29" s="41" t="n">
        <f aca="false">IF($H29="","",SUMIFS(资金日记账!$J$5:$J$1004,资金日记账!$D$5:$D$1004,$H29))</f>
        <v>0</v>
      </c>
    </row>
    <row r="30" customFormat="false" ht="15.75" hidden="false" customHeight="true" outlineLevel="0" collapsed="false">
      <c r="H30" s="32" t="str">
        <f aca="false">IF(项目档案!$A30="","",项目档案!$A30)</f>
        <v>A025</v>
      </c>
      <c r="I30" s="40" t="str">
        <f aca="false">IF($H30="","",项目档案!$B30)</f>
        <v>重庆铜梁10kV梧桐村4.5.6社台区重过载治理工程等23个项目(2025年配网6批、业扩5批民能施工)(重庆铜梁10kV侣新线铜安1社台区重过载治理工程)</v>
      </c>
      <c r="J30" s="41" t="n">
        <f aca="false">IF($H30="","",SUMIFS(资金日记账!$J$5:$J$1004,资金日记账!$D$5:$D$1004,$H30))</f>
        <v>0</v>
      </c>
    </row>
    <row r="31" customFormat="false" ht="15.75" hidden="false" customHeight="true" outlineLevel="0" collapsed="false">
      <c r="H31" s="32" t="str">
        <f aca="false">IF(项目档案!$A31="","",项目档案!$A31)</f>
        <v>A026</v>
      </c>
      <c r="I31" s="40" t="str">
        <f aca="false">IF($H31="","",项目档案!$B31)</f>
        <v>重庆铜梁10kV梧桐村4.5.6社台区重过载治理工程等23个项目(2025年配网6批、业扩5批民能施工)(重庆铜梁10kV侣新线铜安9社台区重过载治理工程)</v>
      </c>
      <c r="J31" s="41" t="n">
        <f aca="false">IF($H31="","",SUMIFS(资金日记账!$J$5:$J$1004,资金日记账!$D$5:$D$1004,$H31))</f>
        <v>0</v>
      </c>
    </row>
    <row r="32" customFormat="false" ht="15.75" hidden="false" customHeight="true" outlineLevel="0" collapsed="false">
      <c r="H32" s="32" t="str">
        <f aca="false">IF(项目档案!$A32="","",项目档案!$A32)</f>
        <v>A027</v>
      </c>
      <c r="I32" s="40" t="str">
        <f aca="false">IF($H32="","",项目档案!$B32)</f>
        <v>重庆铜梁10kV梧桐村4.5.6社台区重过载治理工程等23个项目(2025年配网6批、业扩5批民能施工)(重庆铜梁10kV平双线群益7社台区重过载治理工程)</v>
      </c>
      <c r="J32" s="41" t="n">
        <f aca="false">IF($H32="","",SUMIFS(资金日记账!$J$5:$J$1004,资金日记账!$D$5:$D$1004,$H32))</f>
        <v>0</v>
      </c>
    </row>
    <row r="33" customFormat="false" ht="15.75" hidden="false" customHeight="true" outlineLevel="0" collapsed="false">
      <c r="H33" s="32" t="str">
        <f aca="false">IF(项目档案!$A33="","",项目档案!$A33)</f>
        <v>A028</v>
      </c>
      <c r="I33" s="40" t="str">
        <f aca="false">IF($H33="","",项目档案!$B33)</f>
        <v>重庆铜梁10kV梧桐村4.5.6社台区重过载治理工程等23个项目(2025年配网6批、业扩5批民能施工)(重庆铜梁10kV平镇线新桥社台区重过载治理工程)</v>
      </c>
      <c r="J33" s="41" t="n">
        <f aca="false">IF($H33="","",SUMIFS(资金日记账!$J$5:$J$1004,资金日记账!$D$5:$D$1004,$H33))</f>
        <v>0</v>
      </c>
    </row>
    <row r="34" customFormat="false" ht="15.75" hidden="false" customHeight="true" outlineLevel="0" collapsed="false">
      <c r="H34" s="32" t="str">
        <f aca="false">IF(项目档案!$A34="","",项目档案!$A34)</f>
        <v>A029</v>
      </c>
      <c r="I34" s="40" t="str">
        <f aca="false">IF($H34="","",项目档案!$B34)</f>
        <v>重庆铜梁10kV梧桐村4.5.6社台区重过载治理工程等23个项目(2025年配网6批、业扩5批德誉佳施工)(重庆铜梁10kV侣新线铜安1社台区重过载治理工程)</v>
      </c>
      <c r="J34" s="41" t="n">
        <f aca="false">IF($H34="","",SUMIFS(资金日记账!$J$5:$J$1004,资金日记账!$D$5:$D$1004,$H34))</f>
        <v>0</v>
      </c>
    </row>
    <row r="35" customFormat="false" ht="15.75" hidden="false" customHeight="true" outlineLevel="0" collapsed="false">
      <c r="H35" s="32" t="str">
        <f aca="false">IF(项目档案!$A35="","",项目档案!$A35)</f>
        <v>A030</v>
      </c>
      <c r="I35" s="40" t="str">
        <f aca="false">IF($H35="","",项目档案!$B35)</f>
        <v>重庆铜梁10kV梧桐村4.5.6社台区重过载治理工程等23个项目(2025年配网6批、业扩5批德誉佳施工)(重庆铜梁10kV侣新线铜安9社台区重过载治理工程)</v>
      </c>
      <c r="J35" s="41" t="n">
        <f aca="false">IF($H35="","",SUMIFS(资金日记账!$J$5:$J$1004,资金日记账!$D$5:$D$1004,$H35))</f>
        <v>0</v>
      </c>
    </row>
    <row r="36" customFormat="false" ht="15.75" hidden="false" customHeight="true" outlineLevel="0" collapsed="false">
      <c r="H36" s="32" t="str">
        <f aca="false">IF(项目档案!$A36="","",项目档案!$A36)</f>
        <v>A031</v>
      </c>
      <c r="I36" s="40" t="str">
        <f aca="false">IF($H36="","",项目档案!$B36)</f>
        <v>重庆铜梁10kV梧桐村4.5.6社台区重过载治理工程等23个项目(2025年配网6批、业扩5批德誉佳施工)(重庆铜梁10kV平双线群益7社台区重过载治理工程)</v>
      </c>
      <c r="J36" s="41" t="n">
        <f aca="false">IF($H36="","",SUMIFS(资金日记账!$J$5:$J$1004,资金日记账!$D$5:$D$1004,$H36))</f>
        <v>0</v>
      </c>
    </row>
    <row r="37" customFormat="false" ht="15.75" hidden="false" customHeight="true" outlineLevel="0" collapsed="false">
      <c r="H37" s="32" t="str">
        <f aca="false">IF(项目档案!$A37="","",项目档案!$A37)</f>
        <v>A032</v>
      </c>
      <c r="I37" s="40" t="str">
        <f aca="false">IF($H37="","",项目档案!$B37)</f>
        <v>重庆铜梁10kV梧桐村4.5.6社台区重过载治理工程等23个项目(2025年配网6批、业扩5批德誉佳施工)(重庆铜梁10kV平镇线新桥社台区重过载治理工程)</v>
      </c>
      <c r="J37" s="41" t="n">
        <f aca="false">IF($H37="","",SUMIFS(资金日记账!$J$5:$J$1004,资金日记账!$D$5:$D$1004,$H37))</f>
        <v>0</v>
      </c>
    </row>
    <row r="38" customFormat="false" ht="15.75" hidden="false" customHeight="true" outlineLevel="0" collapsed="false">
      <c r="H38" s="32" t="str">
        <f aca="false">IF(项目档案!$A38="","",项目档案!$A38)</f>
        <v>A033</v>
      </c>
      <c r="I38" s="40" t="str">
        <f aca="false">IF($H38="","",项目档案!$B38)</f>
        <v>重庆铜梁10kV梧桐村4.5.6社台区重过载治理工程等23个项目(2025年配网6批、业扩5批德誉佳施工）(重庆铜梁10kV侣新线凤飞7社台区重过载治理工程)</v>
      </c>
      <c r="J38" s="41" t="n">
        <f aca="false">IF($H38="","",SUMIFS(资金日记账!$J$5:$J$1004,资金日记账!$D$5:$D$1004,$H38))</f>
        <v>0</v>
      </c>
    </row>
    <row r="39" customFormat="false" ht="15.75" hidden="false" customHeight="true" outlineLevel="0" collapsed="false">
      <c r="H39" s="32" t="str">
        <f aca="false">IF(项目档案!$A39="","",项目档案!$A39)</f>
        <v>A034</v>
      </c>
      <c r="I39" s="40" t="str">
        <f aca="false">IF($H39="","",项目档案!$B39)</f>
        <v>铜梁公司2026年配电专业应急抢修抢险等外包项目（永嘉所许家3社1等台区2个隐患治理项目）</v>
      </c>
      <c r="J39" s="41" t="n">
        <f aca="false">IF($H39="","",SUMIFS(资金日记账!$J$5:$J$1004,资金日记账!$D$5:$D$1004,$H39))</f>
        <v>0</v>
      </c>
    </row>
    <row r="40" customFormat="false" ht="15.75" hidden="false" customHeight="true" outlineLevel="0" collapsed="false">
      <c r="H40" s="32" t="str">
        <f aca="false">IF(项目档案!$A40="","",项目档案!$A40)</f>
        <v>A035</v>
      </c>
      <c r="I40" s="40" t="str">
        <f aca="false">IF($H40="","",项目档案!$B40)</f>
        <v>铜梁公司2026年配电专业应急抢修抢险等外包项目（永嘉所义和8社等台区3个对地不足隐患治理项目）</v>
      </c>
      <c r="J40" s="41" t="n">
        <f aca="false">IF($H40="","",SUMIFS(资金日记账!$J$5:$J$1004,资金日记账!$D$5:$D$1004,$H40))</f>
        <v>0</v>
      </c>
    </row>
    <row r="41" customFormat="false" ht="15.75" hidden="false" customHeight="true" outlineLevel="0" collapsed="false">
      <c r="H41" s="32" t="str">
        <f aca="false">IF(项目档案!$A41="","",项目档案!$A41)</f>
        <v>A036</v>
      </c>
      <c r="I41" s="40" t="str">
        <f aca="false">IF($H41="","",项目档案!$B41)</f>
        <v>铜梁公司2026年配电专业应急抢修抢险等外包项目（永嘉所高丰3社等台区4个应急抢修项目）</v>
      </c>
      <c r="J41" s="41" t="n">
        <f aca="false">IF($H41="","",SUMIFS(资金日记账!$J$5:$J$1004,资金日记账!$D$5:$D$1004,$H41))</f>
        <v>0</v>
      </c>
    </row>
    <row r="42" customFormat="false" ht="15.75" hidden="false" customHeight="true" outlineLevel="0" collapsed="false">
      <c r="H42" s="32" t="str">
        <f aca="false">IF(项目档案!$A42="","",项目档案!$A42)</f>
        <v>A037</v>
      </c>
      <c r="I42" s="40" t="str">
        <f aca="false">IF($H42="","",项目档案!$B42)</f>
        <v>铜梁公司2026年35kV输电专业应急抢修检修外包项目（输电运检中心2026年35kV线路接地隐患消除等3个项目）</v>
      </c>
      <c r="J42" s="41" t="n">
        <f aca="false">IF($H42="","",SUMIFS(资金日记账!$J$5:$J$1004,资金日记账!$D$5:$D$1004,$H42))</f>
        <v>0</v>
      </c>
    </row>
    <row r="43" customFormat="false" ht="15.75" hidden="false" customHeight="true" outlineLevel="0" collapsed="false">
      <c r="H43" s="32" t="str">
        <f aca="false">IF(项目档案!$A43="","",项目档案!$A43)</f>
        <v>A038</v>
      </c>
      <c r="I43" s="40" t="str">
        <f aca="false">IF($H43="","",项目档案!$B43)</f>
        <v>铜梁公司2026年配电专业应急抢修抢险等外包项目（永嘉所10kV西新线等2条线路综合检修项目）</v>
      </c>
      <c r="J43" s="41" t="n">
        <f aca="false">IF($H43="","",SUMIFS(资金日记账!$J$5:$J$1004,资金日记账!$D$5:$D$1004,$H43))</f>
        <v>0</v>
      </c>
    </row>
    <row r="44" customFormat="false" ht="15.75" hidden="false" customHeight="true" outlineLevel="0" collapsed="false">
      <c r="H44" s="32" t="str">
        <f aca="false">IF(项目档案!$A44="","",项目档案!$A44)</f>
        <v>A039</v>
      </c>
      <c r="I44" s="40" t="str">
        <f aca="false">IF($H44="","",项目档案!$B44)</f>
        <v>重庆民能实业有限公司2025-2026年度工程用特种设备租赁服务框架采购(铜梁公司2026年配电专业应急抢修抢险等外包项目(永嘉所许家3
社1等台区2个隐患治理项目))</v>
      </c>
      <c r="J44" s="41" t="n">
        <f aca="false">IF($H44="","",SUMIFS(资金日记账!$J$5:$J$1004,资金日记账!$D$5:$D$1004,$H44))</f>
        <v>0</v>
      </c>
    </row>
    <row r="45" customFormat="false" ht="15.75" hidden="false" customHeight="true" outlineLevel="0" collapsed="false">
      <c r="H45" s="32" t="str">
        <f aca="false">IF(项目档案!$A45="","",项目档案!$A45)</f>
        <v>A040</v>
      </c>
      <c r="I45" s="40" t="str">
        <f aca="false">IF($H45="","",项目档案!$B45)</f>
        <v>重庆民能实业有限公司2025-2026年度工程用特种设备租赁服务框架采购(铜梁公司2026年配电专业应急抢修抢险等外包项目(永嘉所高丰3
社等台区4个应急抢修项目))</v>
      </c>
      <c r="J45" s="41" t="n">
        <f aca="false">IF($H45="","",SUMIFS(资金日记账!$J$5:$J$1004,资金日记账!$D$5:$D$1004,$H45))</f>
        <v>0</v>
      </c>
    </row>
    <row r="46" customFormat="false" ht="15.75" hidden="false" customHeight="true" outlineLevel="0" collapsed="false">
      <c r="H46" s="32" t="str">
        <f aca="false">IF(项目档案!$A46="","",项目档案!$A46)</f>
        <v>A041</v>
      </c>
      <c r="I46" s="40" t="str">
        <f aca="false">IF($H46="","",项目档案!$B46)</f>
        <v>重庆民能实业有限公司2025-2026年度工程用特种设备租赁服务框架采购(铜梁公司2026年配电专业应急抢修抢险等外包项目(永嘉所义和8
社等台区3个对地不足隐患治理项目))</v>
      </c>
      <c r="J46" s="41" t="n">
        <f aca="false">IF($H46="","",SUMIFS(资金日记账!$J$5:$J$1004,资金日记账!$D$5:$D$1004,$H46))</f>
        <v>0</v>
      </c>
    </row>
    <row r="47" customFormat="false" ht="15.75" hidden="false" customHeight="true" outlineLevel="0" collapsed="false">
      <c r="H47" s="32" t="str">
        <f aca="false">IF(项目档案!$A47="","",项目档案!$A47)</f>
        <v>A042</v>
      </c>
      <c r="I47" s="40" t="str">
        <f aca="false">IF($H47="","",项目档案!$B47)</f>
        <v>重庆民能实业有限公司2025-2026年度工程用特种设备租赁服务框架采购(铜梁公司2026年35kV输电专业应急抢修检修外包项目(输电运检中心2026年35kV线路接地隐患消除等3个项目))</v>
      </c>
      <c r="J47" s="41" t="n">
        <f aca="false">IF($H47="","",SUMIFS(资金日记账!$J$5:$J$1004,资金日记账!$D$5:$D$1004,$H47))</f>
        <v>0</v>
      </c>
    </row>
    <row r="48" customFormat="false" ht="15.75" hidden="false" customHeight="true" outlineLevel="0" collapsed="false">
      <c r="H48" s="32" t="str">
        <f aca="false">IF(项目档案!$A48="","",项目档案!$A48)</f>
        <v>A043</v>
      </c>
      <c r="I48" s="40" t="str">
        <f aca="false">IF($H48="","",项目档案!$B48)</f>
        <v>重庆民能实业有限公司2025-2026年度工程用特种设备租赁服务框架采购(10kV少盘线哨楼村支线#1杆线路迁改工程)</v>
      </c>
      <c r="J48" s="41" t="n">
        <f aca="false">IF($H48="","",SUMIFS(资金日记账!$J$5:$J$1004,资金日记账!$D$5:$D$1004,$H48))</f>
        <v>0</v>
      </c>
    </row>
    <row r="49" customFormat="false" ht="15.75" hidden="false" customHeight="true" outlineLevel="0" collapsed="false">
      <c r="H49" s="32" t="str">
        <f aca="false">IF(项目档案!$A49="","",项目档案!$A49)</f>
        <v>A044</v>
      </c>
      <c r="I49" s="40" t="str">
        <f aca="false">IF($H49="","",项目档案!$B49)</f>
        <v>重庆民能实业有限公司2025-2026年度工程用特种设备租赁服务框架采购(铜梁公司2026年配电专业应急抢修抢险等外包项目(永嘉所许家3社1等台区2个隐患治理项目）)</v>
      </c>
      <c r="J49" s="41" t="n">
        <f aca="false">IF($H49="","",SUMIFS(资金日记账!$J$5:$J$1004,资金日记账!$D$5:$D$1004,$H49))</f>
        <v>0</v>
      </c>
    </row>
    <row r="50" customFormat="false" ht="15.75" hidden="false" customHeight="true" outlineLevel="0" collapsed="false">
      <c r="H50" s="32" t="str">
        <f aca="false">IF(项目档案!$A50="","",项目档案!$A50)</f>
        <v>A045</v>
      </c>
      <c r="I50" s="40" t="str">
        <f aca="false">IF($H50="","",项目档案!$B50)</f>
        <v>重庆民能实业有限公司2025-2026年度工程用特种设备租赁服务框架采购(铜梁公司2026年配电专业应急抢修抢险等外包项目(永嘉所高丰3社等台区4个应急抢修项目))</v>
      </c>
      <c r="J50" s="41" t="n">
        <f aca="false">IF($H50="","",SUMIFS(资金日记账!$J$5:$J$1004,资金日记账!$D$5:$D$1004,$H50))</f>
        <v>0</v>
      </c>
    </row>
    <row r="51" customFormat="false" ht="15.75" hidden="false" customHeight="true" outlineLevel="0" collapsed="false">
      <c r="H51" s="32" t="str">
        <f aca="false">IF(项目档案!$A51="","",项目档案!$A51)</f>
        <v>A046</v>
      </c>
      <c r="I51" s="40" t="str">
        <f aca="false">IF($H51="","",项目档案!$B51)</f>
        <v>重庆民能实业有限公司2025-2026年度工程用特种设备租赁服务框架采购(铜梁公司2026年配电专业应急抢修抢险等外包项目(永嘉所义和8社等台区3个对地不足隐患治理项目)）</v>
      </c>
      <c r="J51" s="41" t="n">
        <f aca="false">IF($H51="","",SUMIFS(资金日记账!$J$5:$J$1004,资金日记账!$D$5:$D$1004,$H51))</f>
        <v>0</v>
      </c>
    </row>
    <row r="52" customFormat="false" ht="15.75" hidden="false" customHeight="true" outlineLevel="0" collapsed="false">
      <c r="H52" s="32" t="str">
        <f aca="false">IF(项目档案!$A52="","",项目档案!$A52)</f>
        <v>A047</v>
      </c>
      <c r="I52" s="40" t="str">
        <f aca="false">IF($H52="","",项目档案!$B52)</f>
        <v>重庆民能实业有限公司2025-2026年度工程用特种设备租赁服务框架采购(铜梁公司2026年35kV输电专业应急抢修检修外包项目(输电运检中心2026年35kV线路接地隐患消除等3个项目)）</v>
      </c>
      <c r="J52" s="41" t="n">
        <f aca="false">IF($H52="","",SUMIFS(资金日记账!$J$5:$J$1004,资金日记账!$D$5:$D$1004,$H52))</f>
        <v>0</v>
      </c>
    </row>
    <row r="53" customFormat="false" ht="15.75" hidden="false" customHeight="true" outlineLevel="0" collapsed="false">
      <c r="H53" s="32" t="str">
        <f aca="false">IF(项目档案!$A53="","",项目档案!$A53)</f>
        <v>A048</v>
      </c>
      <c r="I53" s="40" t="str">
        <f aca="false">IF($H53="","",项目档案!$B53)</f>
        <v>重庆民能实业有限公司2025-2026年度工程用特种设备租赁服务框架采购(铜梁公司2026年配电专业应急抢修抢险等外包项目(永嘉所许家3社1等台区2个隐患治理项目))</v>
      </c>
      <c r="J53" s="41" t="n">
        <f aca="false">IF($H53="","",SUMIFS(资金日记账!$J$5:$J$1004,资金日记账!$D$5:$D$1004,$H53))</f>
        <v>0</v>
      </c>
    </row>
    <row r="54" customFormat="false" ht="15.75" hidden="false" customHeight="true" outlineLevel="0" collapsed="false">
      <c r="H54" s="32" t="str">
        <f aca="false">IF(项目档案!$A54="","",项目档案!$A54)</f>
        <v>A049</v>
      </c>
      <c r="I54" s="40" t="str">
        <f aca="false">IF($H54="","",项目档案!$B54)</f>
        <v>重庆民能实业有限公司2025-2026年度工程用特种设备租赁服务框架采购(铜梁公司2026年配电专业应急抢修抢险等外包项目(永嘉所义和8社等台区3个对地不足隐患治理项目))</v>
      </c>
      <c r="J54" s="41" t="n">
        <f aca="false">IF($H54="","",SUMIFS(资金日记账!$J$5:$J$1004,资金日记账!$D$5:$D$1004,$H54))</f>
        <v>0</v>
      </c>
    </row>
    <row r="55" customFormat="false" ht="15.75" hidden="false" customHeight="true" outlineLevel="0" collapsed="false">
      <c r="H55" s="32" t="str">
        <f aca="false">IF(项目档案!$A55="","",项目档案!$A55)</f>
        <v>A050</v>
      </c>
      <c r="I55" s="40" t="str">
        <f aca="false">IF($H55="","",项目档案!$B55)</f>
        <v>重庆市铜梁区锦绣花园A区居民供电设施改造工程</v>
      </c>
      <c r="J55" s="41" t="n">
        <f aca="false">IF($H55="","",SUMIFS(资金日记账!$J$5:$J$1004,资金日记账!$D$5:$D$1004,$H55))</f>
        <v>0</v>
      </c>
    </row>
    <row r="56" customFormat="false" ht="15.75" hidden="false" customHeight="true" outlineLevel="0" collapsed="false">
      <c r="H56" s="32" t="str">
        <f aca="false">IF(项目档案!$A56="","",项目档案!$A56)</f>
        <v>A051</v>
      </c>
      <c r="I56" s="40" t="str">
        <f aca="false">IF($H56="","",项目档案!$B56)</f>
        <v>2025-2026年度工程用特种设备租赁服务框架采购(10kV少盘线哨楼村支线#1杆线路迁改
工程)</v>
      </c>
      <c r="J56" s="41" t="n">
        <f aca="false">IF($H56="","",SUMIFS(资金日记账!$J$5:$J$1004,资金日记账!$D$5:$D$1004,$H56))</f>
        <v>0</v>
      </c>
    </row>
    <row r="57" customFormat="false" ht="15.75" hidden="false" customHeight="true" outlineLevel="0" collapsed="false">
      <c r="H57" s="32" t="str">
        <f aca="false">IF(项目档案!$A57="","",项目档案!$A57)</f>
        <v>A052</v>
      </c>
      <c r="I57" s="40" t="str">
        <f aca="false">IF($H57="","",项目档案!$B57)</f>
        <v>铜梁公司2026年配电专业应急抢修抢险等外包项目（永嘉所义和8社等台区3个对地不足隐患治理项目)</v>
      </c>
      <c r="J57" s="41" t="n">
        <f aca="false">IF($H57="","",SUMIFS(资金日记账!$J$5:$J$1004,资金日记账!$D$5:$D$1004,$H57))</f>
        <v>0</v>
      </c>
    </row>
    <row r="58" customFormat="false" ht="15.75" hidden="false" customHeight="true" outlineLevel="0" collapsed="false">
      <c r="H58" s="32" t="str">
        <f aca="false">IF(项目档案!$A58="","",项目档案!$A58)</f>
        <v>A053</v>
      </c>
      <c r="I58" s="40" t="str">
        <f aca="false">IF($H58="","",项目档案!$B58)</f>
        <v>铜梁公司2026年35kV输电专业应急抢修检修外包项目(输电运检中心2026年35kV线路接地隐患消除等3项目)</v>
      </c>
      <c r="J58" s="41" t="n">
        <f aca="false">IF($H58="","",SUMIFS(资金日记账!$J$5:$J$1004,资金日记账!$D$5:$D$1004,$H58))</f>
        <v>0</v>
      </c>
    </row>
    <row r="59" customFormat="false" ht="15.75" hidden="false" customHeight="true" outlineLevel="0" collapsed="false">
      <c r="H59" s="32" t="str">
        <f aca="false">IF(项目档案!$A59="","",项目档案!$A59)</f>
        <v>A054</v>
      </c>
      <c r="I59" s="40" t="str">
        <f aca="false">IF($H59="","",项目档案!$B59)</f>
        <v>重庆市铜梁区滨河东路68小区居民供电设施改造工程</v>
      </c>
      <c r="J59" s="41" t="n">
        <f aca="false">IF($H59="","",SUMIFS(资金日记账!$J$5:$J$1004,资金日记账!$D$5:$D$1004,$H59))</f>
        <v>0</v>
      </c>
    </row>
    <row r="60" customFormat="false" ht="15.75" hidden="false" customHeight="true" outlineLevel="0" collapsed="false">
      <c r="H60" s="32" t="str">
        <f aca="false">IF(项目档案!$A60="","",项目档案!$A60)</f>
        <v>A055</v>
      </c>
      <c r="I60" s="40" t="str">
        <f aca="false">IF($H60="","",项目档案!$B60)</f>
        <v>重庆市铜梁区新华商住楼居民供电设施改造工程</v>
      </c>
      <c r="J60" s="41" t="n">
        <f aca="false">IF($H60="","",SUMIFS(资金日记账!$J$5:$J$1004,资金日记账!$D$5:$D$1004,$H60))</f>
        <v>0</v>
      </c>
    </row>
    <row r="61" customFormat="false" ht="15.75" hidden="false" customHeight="true" outlineLevel="0" collapsed="false">
      <c r="H61" s="32" t="str">
        <f aca="false">IF(项目档案!$A61="","",项目档案!$A61)</f>
        <v>A056</v>
      </c>
      <c r="I61" s="40" t="str">
        <f aca="false">IF($H61="","",项目档案!$B61)</f>
        <v>铜梁公司2026年配电专业应急抢修抢险等外包项目(永嘉所许家3社1等台区2个隐患治理项目)</v>
      </c>
      <c r="J61" s="41" t="n">
        <f aca="false">IF($H61="","",SUMIFS(资金日记账!$J$5:$J$1004,资金日记账!$D$5:$D$1004,$H61))</f>
        <v>0</v>
      </c>
    </row>
    <row r="62" customFormat="false" ht="15.75" hidden="false" customHeight="true" outlineLevel="0" collapsed="false">
      <c r="H62" s="32" t="str">
        <f aca="false">IF(项目档案!$A62="","",项目档案!$A62)</f>
        <v>A057</v>
      </c>
      <c r="I62" s="40" t="str">
        <f aca="false">IF($H62="","",项目档案!$B62)</f>
        <v>华润电力重庆能源铜梁平滩农光互补项目220kV升压站PC工程</v>
      </c>
      <c r="J62" s="41" t="n">
        <f aca="false">IF($H62="","",SUMIFS(资金日记账!$J$5:$J$1004,资金日记账!$D$5:$D$1004,$H62))</f>
        <v>0</v>
      </c>
    </row>
    <row r="63" customFormat="false" ht="15.75" hidden="false" customHeight="true" outlineLevel="0" collapsed="false">
      <c r="H63" s="32" t="str">
        <f aca="false">IF(项目档案!$A63="","",项目档案!$A63)</f>
        <v>A058</v>
      </c>
      <c r="I63" s="40" t="str">
        <f aca="false">IF($H63="","",项目档案!$B63)</f>
        <v>重庆稷博汇物流有限公司10kV充电桩新装用电工程</v>
      </c>
      <c r="J63" s="41" t="n">
        <f aca="false">IF($H63="","",SUMIFS(资金日记账!$J$5:$J$1004,资金日记账!$D$5:$D$1004,$H63))</f>
        <v>0</v>
      </c>
    </row>
    <row r="64" customFormat="false" ht="15.75" hidden="false" customHeight="true" outlineLevel="0" collapsed="false">
      <c r="H64" s="32" t="str">
        <f aca="false">IF(项目档案!$A64="","",项目档案!$A64)</f>
        <v>A059</v>
      </c>
      <c r="I64" s="40" t="str">
        <f aca="false">IF($H64="","",项目档案!$B64)</f>
        <v>（新项目：请填项目全称）</v>
      </c>
      <c r="J64" s="41" t="n">
        <f aca="false">IF($H64="","",SUMIFS(资金日记账!$J$5:$J$1004,资金日记账!$D$5:$D$1004,$H64))</f>
        <v>0</v>
      </c>
    </row>
    <row r="65" customFormat="false" ht="15.75" hidden="false" customHeight="true" outlineLevel="0" collapsed="false">
      <c r="H65" s="32" t="str">
        <f aca="false">IF(项目档案!$A65="","",项目档案!$A65)</f>
        <v>A060</v>
      </c>
      <c r="I65" s="40" t="str">
        <f aca="false">IF($H65="","",项目档案!$B65)</f>
        <v>华润电力重庆能源铜梁平滩农光互补项目219kV升压站PC工程</v>
      </c>
      <c r="J65" s="41" t="n">
        <f aca="false">IF($H65="","",SUMIFS(资金日记账!$J$5:$J$1004,资金日记账!$D$5:$D$1004,$H65))</f>
        <v>0</v>
      </c>
    </row>
    <row r="66" customFormat="false" ht="15" hidden="false" customHeight="false" outlineLevel="0" collapsed="false">
      <c r="H66" s="44" t="s">
        <v>737</v>
      </c>
      <c r="I66" s="44"/>
      <c r="J66" s="45" t="n">
        <f aca="false">SUM(J6:J65)</f>
        <v>0</v>
      </c>
    </row>
  </sheetData>
  <mergeCells count="4">
    <mergeCell ref="A1:J1"/>
    <mergeCell ref="A2:J2"/>
    <mergeCell ref="A4:F4"/>
    <mergeCell ref="H4:J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G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0"/>
    <col collapsed="false" customWidth="true" hidden="false" outlineLevel="0" max="4" min="3" style="0" width="17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56"/>
    <col collapsed="false" customWidth="true" hidden="false" outlineLevel="0" max="8" min="8" style="0" width="17"/>
    <col collapsed="false" customWidth="true" hidden="false" outlineLevel="0" max="9" min="9" style="0" width="13"/>
  </cols>
  <sheetData>
    <row r="1" customFormat="false" ht="25.5" hidden="false" customHeight="true" outlineLevel="0" collapsed="false">
      <c r="A1" s="17" t="s">
        <v>738</v>
      </c>
      <c r="B1" s="17"/>
      <c r="C1" s="17"/>
      <c r="D1" s="17"/>
      <c r="E1" s="17"/>
      <c r="F1" s="17"/>
      <c r="G1" s="17"/>
    </row>
    <row r="2" customFormat="false" ht="15" hidden="false" customHeight="true" outlineLevel="0" collapsed="false">
      <c r="A2" s="19" t="s">
        <v>739</v>
      </c>
      <c r="B2" s="19"/>
      <c r="C2" s="19"/>
      <c r="D2" s="19"/>
      <c r="E2" s="19"/>
      <c r="F2" s="19"/>
      <c r="G2" s="19"/>
    </row>
    <row r="5" customFormat="false" ht="30" hidden="false" customHeight="true" outlineLevel="0" collapsed="false">
      <c r="A5" s="20" t="s">
        <v>713</v>
      </c>
      <c r="B5" s="20" t="s">
        <v>740</v>
      </c>
      <c r="C5" s="20" t="s">
        <v>741</v>
      </c>
      <c r="D5" s="20" t="s">
        <v>742</v>
      </c>
      <c r="E5" s="20" t="s">
        <v>743</v>
      </c>
      <c r="F5" s="20" t="s">
        <v>95</v>
      </c>
      <c r="G5" s="20" t="s">
        <v>744</v>
      </c>
    </row>
    <row r="6" customFormat="false" ht="15.75" hidden="false" customHeight="true" outlineLevel="0" collapsed="false">
      <c r="A6" s="52" t="s">
        <v>106</v>
      </c>
      <c r="B6" s="16" t="s">
        <v>745</v>
      </c>
      <c r="C6" s="27" t="n">
        <v>651402.95</v>
      </c>
      <c r="D6" s="41" t="n">
        <f aca="false">SUMIFS(业务流水!$H$5:$H$1504,业务流水!$E$5:$E$1504,"德誉嘉",业务流水!$D$5:$D$1504,"销项开票",业务流水!$Z$5:$Z$1504,"是")</f>
        <v>651402.94</v>
      </c>
      <c r="E6" s="42" t="n">
        <f aca="false">ROUND($D6-$C6,2)</f>
        <v>-0.01</v>
      </c>
      <c r="F6" s="53" t="str">
        <f aca="false">IF(ABS($E6)&lt;1,"✓ 一致","✗ 不符")</f>
        <v>✓ 一致</v>
      </c>
      <c r="G6" s="54"/>
    </row>
    <row r="7" customFormat="false" ht="15.75" hidden="false" customHeight="true" outlineLevel="0" collapsed="false">
      <c r="A7" s="55"/>
      <c r="B7" s="16" t="s">
        <v>687</v>
      </c>
      <c r="C7" s="27" t="n">
        <v>611391.37</v>
      </c>
      <c r="D7" s="41" t="n">
        <f aca="false">SUMIFS(业务流水!$H$5:$H$1504,业务流水!$F$5:$F$1504,"德誉嘉",业务流水!$D$5:$D$1504,"成本票",业务流水!$Z$5:$Z$1504,"是")+SUMIFS(业务流水!$H$5:$H$1504,业务流水!$F$5:$F$1504,"德誉嘉",业务流水!$D$5:$D$1504,"销项开票",业务流水!$Z$5:$Z$1504,"是")</f>
        <v>611391.38</v>
      </c>
      <c r="E7" s="42" t="n">
        <f aca="false">ROUND($D7-$C7,2)</f>
        <v>0.01</v>
      </c>
      <c r="F7" s="53" t="str">
        <f aca="false">IF(ABS($E7)&lt;1,"✓ 一致","✗ 不符")</f>
        <v>✓ 一致</v>
      </c>
      <c r="G7" s="54"/>
    </row>
    <row r="8" customFormat="false" ht="15.75" hidden="false" customHeight="true" outlineLevel="0" collapsed="false">
      <c r="A8" s="55"/>
      <c r="B8" s="16" t="s">
        <v>11</v>
      </c>
      <c r="C8" s="27" t="n">
        <v>0</v>
      </c>
      <c r="D8" s="41" t="n">
        <f aca="false">SUMIFS(业务流水!$H$5:$H$1504,业务流水!$E$5:$E$1504,"德誉嘉",业务流水!$D$5:$D$1504,"已交税",业务流水!$Z$5:$Z$1504,"是")</f>
        <v>0</v>
      </c>
      <c r="E8" s="42" t="n">
        <f aca="false">ROUND($D8-$C8,2)</f>
        <v>0</v>
      </c>
      <c r="F8" s="53" t="str">
        <f aca="false">IF(ABS($E8)&lt;1,"✓ 一致","✗ 不符")</f>
        <v>✓ 一致</v>
      </c>
      <c r="G8" s="54"/>
    </row>
    <row r="9" customFormat="false" ht="15.75" hidden="false" customHeight="true" outlineLevel="0" collapsed="false">
      <c r="A9" s="55"/>
      <c r="B9" s="16" t="s">
        <v>746</v>
      </c>
      <c r="C9" s="27" t="n">
        <v>219304.73</v>
      </c>
      <c r="D9" s="41" t="n">
        <f aca="false">SUMIFS(业务流水!$H$5:$H$1504,业务流水!$F$5:$F$1504,"德誉嘉",业务流水!$D$5:$D$1504,"挂靠代收",业务流水!$Z$5:$Z$1504,"是")</f>
        <v>219304.73</v>
      </c>
      <c r="E9" s="42" t="n">
        <f aca="false">ROUND($D9-$C9,2)</f>
        <v>0</v>
      </c>
      <c r="F9" s="53" t="str">
        <f aca="false">IF(ABS($E9)&lt;1,"✓ 一致","✗ 不符")</f>
        <v>✓ 一致</v>
      </c>
      <c r="G9" s="54"/>
    </row>
    <row r="10" customFormat="false" ht="15.75" hidden="false" customHeight="true" outlineLevel="0" collapsed="false">
      <c r="A10" s="55"/>
      <c r="B10" s="16" t="s">
        <v>747</v>
      </c>
      <c r="C10" s="27" t="n">
        <v>79454.64</v>
      </c>
      <c r="D10" s="41" t="n">
        <f aca="false">SUMIFS(业务流水!$H$5:$H$1504,业务流水!$E$5:$E$1504,"德誉嘉",业务流水!$D$5:$D$1504,"我方收款",业务流水!$Z$5:$Z$1504,"是")</f>
        <v>79454.64</v>
      </c>
      <c r="E10" s="42" t="n">
        <f aca="false">ROUND($D10-$C10,2)</f>
        <v>0</v>
      </c>
      <c r="F10" s="53" t="str">
        <f aca="false">IF(ABS($E10)&lt;1,"✓ 一致","✗ 不符")</f>
        <v>✓ 一致</v>
      </c>
      <c r="G10" s="54"/>
    </row>
    <row r="11" customFormat="false" ht="15.75" hidden="false" customHeight="true" outlineLevel="0" collapsed="false">
      <c r="A11" s="52" t="s">
        <v>110</v>
      </c>
      <c r="B11" s="16" t="s">
        <v>745</v>
      </c>
      <c r="C11" s="27" t="n">
        <v>219510.99</v>
      </c>
      <c r="D11" s="41" t="n">
        <f aca="false">SUMIFS(业务流水!$H$5:$H$1504,业务流水!$E$5:$E$1504,"迅驰",业务流水!$D$5:$D$1504,"销项开票",业务流水!$Z$5:$Z$1504,"是")</f>
        <v>219510.99</v>
      </c>
      <c r="E11" s="42" t="n">
        <f aca="false">ROUND($D11-$C11,2)</f>
        <v>0</v>
      </c>
      <c r="F11" s="53" t="str">
        <f aca="false">IF(ABS($E11)&lt;1,"✓ 一致","✗ 不符")</f>
        <v>✓ 一致</v>
      </c>
      <c r="G11" s="54"/>
    </row>
    <row r="12" customFormat="false" ht="15.75" hidden="false" customHeight="true" outlineLevel="0" collapsed="false">
      <c r="A12" s="55"/>
      <c r="B12" s="16" t="s">
        <v>687</v>
      </c>
      <c r="C12" s="27" t="n">
        <v>210730.55</v>
      </c>
      <c r="D12" s="41" t="n">
        <f aca="false">SUMIFS(业务流水!$H$5:$H$1504,业务流水!$F$5:$F$1504,"迅驰",业务流水!$D$5:$D$1504,"成本票",业务流水!$Z$5:$Z$1504,"是")+SUMIFS(业务流水!$H$5:$H$1504,业务流水!$F$5:$F$1504,"迅驰",业务流水!$D$5:$D$1504,"销项开票",业务流水!$Z$5:$Z$1504,"是")</f>
        <v>210730.56</v>
      </c>
      <c r="E12" s="42" t="n">
        <f aca="false">ROUND($D12-$C12,2)</f>
        <v>0.01</v>
      </c>
      <c r="F12" s="53" t="str">
        <f aca="false">IF(ABS($E12)&lt;1,"✓ 一致","✗ 不符")</f>
        <v>✓ 一致</v>
      </c>
      <c r="G12" s="54"/>
    </row>
    <row r="13" customFormat="false" ht="15.75" hidden="false" customHeight="true" outlineLevel="0" collapsed="false">
      <c r="A13" s="55"/>
      <c r="B13" s="16" t="s">
        <v>11</v>
      </c>
      <c r="C13" s="27" t="n">
        <v>10595.25</v>
      </c>
      <c r="D13" s="41" t="n">
        <f aca="false">SUMIFS(业务流水!$H$5:$H$1504,业务流水!$E$5:$E$1504,"迅驰",业务流水!$D$5:$D$1504,"已交税",业务流水!$Z$5:$Z$1504,"是")</f>
        <v>10595.25</v>
      </c>
      <c r="E13" s="42" t="n">
        <f aca="false">ROUND($D13-$C13,2)</f>
        <v>0</v>
      </c>
      <c r="F13" s="53" t="str">
        <f aca="false">IF(ABS($E13)&lt;1,"✓ 一致","✗ 不符")</f>
        <v>✓ 一致</v>
      </c>
      <c r="G13" s="54"/>
    </row>
    <row r="14" customFormat="false" ht="15.75" hidden="false" customHeight="true" outlineLevel="0" collapsed="false">
      <c r="A14" s="55"/>
      <c r="B14" s="16" t="s">
        <v>746</v>
      </c>
      <c r="C14" s="27" t="n">
        <v>3230.8</v>
      </c>
      <c r="D14" s="41" t="n">
        <f aca="false">SUMIFS(业务流水!$H$5:$H$1504,业务流水!$F$5:$F$1504,"迅驰",业务流水!$D$5:$D$1504,"挂靠代收",业务流水!$Z$5:$Z$1504,"是")</f>
        <v>3230.8</v>
      </c>
      <c r="E14" s="42" t="n">
        <f aca="false">ROUND($D14-$C14,2)</f>
        <v>0</v>
      </c>
      <c r="F14" s="53" t="str">
        <f aca="false">IF(ABS($E14)&lt;1,"✓ 一致","✗ 不符")</f>
        <v>✓ 一致</v>
      </c>
      <c r="G14" s="54"/>
    </row>
    <row r="15" customFormat="false" ht="15.75" hidden="false" customHeight="true" outlineLevel="0" collapsed="false">
      <c r="A15" s="55"/>
      <c r="B15" s="16" t="s">
        <v>747</v>
      </c>
      <c r="C15" s="27" t="n">
        <v>3474.87</v>
      </c>
      <c r="D15" s="41" t="n">
        <f aca="false">SUMIFS(业务流水!$H$5:$H$1504,业务流水!$E$5:$E$1504,"迅驰",业务流水!$D$5:$D$1504,"我方收款",业务流水!$Z$5:$Z$1504,"是")</f>
        <v>3474.87</v>
      </c>
      <c r="E15" s="42" t="n">
        <f aca="false">ROUND($D15-$C15,2)</f>
        <v>0</v>
      </c>
      <c r="F15" s="53" t="str">
        <f aca="false">IF(ABS($E15)&lt;1,"✓ 一致","✗ 不符")</f>
        <v>✓ 一致</v>
      </c>
      <c r="G15" s="54"/>
    </row>
    <row r="16" customFormat="false" ht="15.75" hidden="false" customHeight="true" outlineLevel="0" collapsed="false">
      <c r="A16" s="52" t="s">
        <v>114</v>
      </c>
      <c r="B16" s="16" t="s">
        <v>745</v>
      </c>
      <c r="C16" s="27" t="n">
        <v>472843.99</v>
      </c>
      <c r="D16" s="41" t="n">
        <f aca="false">SUMIFS(业务流水!$H$5:$H$1504,业务流水!$E$5:$E$1504,"华城",业务流水!$D$5:$D$1504,"销项开票",业务流水!$Z$5:$Z$1504,"是")</f>
        <v>472843.99</v>
      </c>
      <c r="E16" s="42" t="n">
        <f aca="false">ROUND($D16-$C16,2)</f>
        <v>0</v>
      </c>
      <c r="F16" s="53" t="str">
        <f aca="false">IF(ABS($E16)&lt;1,"✓ 一致","✗ 不符")</f>
        <v>✓ 一致</v>
      </c>
      <c r="G16" s="54"/>
    </row>
    <row r="17" customFormat="false" ht="15.75" hidden="false" customHeight="true" outlineLevel="0" collapsed="false">
      <c r="A17" s="55"/>
      <c r="B17" s="16" t="s">
        <v>687</v>
      </c>
      <c r="C17" s="27" t="n">
        <v>463387.12</v>
      </c>
      <c r="D17" s="41" t="n">
        <f aca="false">SUMIFS(业务流水!$H$5:$H$1504,业务流水!$F$5:$F$1504,"华城",业务流水!$D$5:$D$1504,"成本票",业务流水!$Z$5:$Z$1504,"是")+SUMIFS(业务流水!$H$5:$H$1504,业务流水!$F$5:$F$1504,"华城",业务流水!$D$5:$D$1504,"销项开票",业务流水!$Z$5:$Z$1504,"是")</f>
        <v>463387.12</v>
      </c>
      <c r="E17" s="42" t="n">
        <f aca="false">ROUND($D17-$C17,2)</f>
        <v>0</v>
      </c>
      <c r="F17" s="53" t="str">
        <f aca="false">IF(ABS($E17)&lt;1,"✓ 一致","✗ 不符")</f>
        <v>✓ 一致</v>
      </c>
      <c r="G17" s="54"/>
    </row>
    <row r="18" customFormat="false" ht="15.75" hidden="false" customHeight="true" outlineLevel="0" collapsed="false">
      <c r="A18" s="55"/>
      <c r="B18" s="16" t="s">
        <v>11</v>
      </c>
      <c r="C18" s="27" t="n">
        <v>16883.46</v>
      </c>
      <c r="D18" s="41" t="n">
        <f aca="false">SUMIFS(业务流水!$H$5:$H$1504,业务流水!$E$5:$E$1504,"华城",业务流水!$D$5:$D$1504,"已交税",业务流水!$Z$5:$Z$1504,"是")</f>
        <v>16883.46</v>
      </c>
      <c r="E18" s="42" t="n">
        <f aca="false">ROUND($D18-$C18,2)</f>
        <v>0</v>
      </c>
      <c r="F18" s="53" t="str">
        <f aca="false">IF(ABS($E18)&lt;1,"✓ 一致","✗ 不符")</f>
        <v>✓ 一致</v>
      </c>
      <c r="G18" s="54"/>
    </row>
    <row r="19" customFormat="false" ht="15.75" hidden="false" customHeight="true" outlineLevel="0" collapsed="false">
      <c r="A19" s="55"/>
      <c r="B19" s="16" t="s">
        <v>746</v>
      </c>
      <c r="C19" s="27" t="n">
        <v>26807.48</v>
      </c>
      <c r="D19" s="41" t="n">
        <f aca="false">SUMIFS(业务流水!$H$5:$H$1504,业务流水!$F$5:$F$1504,"华城",业务流水!$D$5:$D$1504,"挂靠代收",业务流水!$Z$5:$Z$1504,"是")</f>
        <v>26807.48</v>
      </c>
      <c r="E19" s="42" t="n">
        <f aca="false">ROUND($D19-$C19,2)</f>
        <v>0</v>
      </c>
      <c r="F19" s="53" t="str">
        <f aca="false">IF(ABS($E19)&lt;1,"✓ 一致","✗ 不符")</f>
        <v>✓ 一致</v>
      </c>
      <c r="G19" s="54"/>
    </row>
    <row r="20" customFormat="false" ht="15.75" hidden="false" customHeight="true" outlineLevel="0" collapsed="false">
      <c r="A20" s="55"/>
      <c r="B20" s="16" t="s">
        <v>747</v>
      </c>
      <c r="C20" s="27" t="n">
        <v>16349.24</v>
      </c>
      <c r="D20" s="41" t="n">
        <f aca="false">SUMIFS(业务流水!$H$5:$H$1504,业务流水!$E$5:$E$1504,"华城",业务流水!$D$5:$D$1504,"我方收款",业务流水!$Z$5:$Z$1504,"是")</f>
        <v>16349.24</v>
      </c>
      <c r="E20" s="42" t="n">
        <f aca="false">ROUND($D20-$C20,2)</f>
        <v>0</v>
      </c>
      <c r="F20" s="53" t="str">
        <f aca="false">IF(ABS($E20)&lt;1,"✓ 一致","✗ 不符")</f>
        <v>✓ 一致</v>
      </c>
      <c r="G20" s="54"/>
    </row>
    <row r="21" customFormat="false" ht="15.75" hidden="false" customHeight="true" outlineLevel="0" collapsed="false">
      <c r="A21" s="52" t="s">
        <v>117</v>
      </c>
      <c r="B21" s="16" t="s">
        <v>745</v>
      </c>
      <c r="C21" s="27" t="n">
        <v>1020420.18</v>
      </c>
      <c r="D21" s="41" t="n">
        <f aca="false">SUMIFS(业务流水!$H$5:$H$1504,业务流水!$E$5:$E$1504,"康欣",业务流水!$D$5:$D$1504,"销项开票",业务流水!$Z$5:$Z$1504,"是")</f>
        <v>1220281.15</v>
      </c>
      <c r="E21" s="42" t="n">
        <f aca="false">ROUND($D21-$C21,2)</f>
        <v>199860.97</v>
      </c>
      <c r="F21" s="44" t="s">
        <v>748</v>
      </c>
      <c r="G21" s="56" t="s">
        <v>749</v>
      </c>
    </row>
    <row r="22" customFormat="false" ht="45.75" hidden="false" customHeight="true" outlineLevel="0" collapsed="false">
      <c r="A22" s="55"/>
      <c r="B22" s="16" t="s">
        <v>687</v>
      </c>
      <c r="C22" s="27" t="n">
        <v>943853.98</v>
      </c>
      <c r="D22" s="41" t="n">
        <f aca="false">SUMIFS(业务流水!$H$5:$H$1504,业务流水!$F$5:$F$1504,"康欣",业务流水!$D$5:$D$1504,"成本票",业务流水!$Z$5:$Z$1504,"是")+SUMIFS(业务流水!$H$5:$H$1504,业务流水!$F$5:$F$1504,"康欣",业务流水!$D$5:$D$1504,"销项开票",业务流水!$Z$5:$Z$1504,"是")</f>
        <v>517637.17</v>
      </c>
      <c r="E22" s="42" t="n">
        <f aca="false">ROUND($D22-$C22,2)</f>
        <v>-426216.81</v>
      </c>
      <c r="F22" s="44" t="s">
        <v>748</v>
      </c>
      <c r="G22" s="56" t="s">
        <v>749</v>
      </c>
    </row>
    <row r="23" customFormat="false" ht="15.75" hidden="false" customHeight="true" outlineLevel="0" collapsed="false">
      <c r="A23" s="55"/>
      <c r="B23" s="16" t="s">
        <v>11</v>
      </c>
      <c r="C23" s="27" t="n">
        <v>15425.28</v>
      </c>
      <c r="D23" s="41" t="n">
        <f aca="false">SUMIFS(业务流水!$H$5:$H$1504,业务流水!$E$5:$E$1504,"康欣",业务流水!$D$5:$D$1504,"已交税",业务流水!$Z$5:$Z$1504,"是")</f>
        <v>15425.28</v>
      </c>
      <c r="E23" s="42" t="n">
        <f aca="false">ROUND($D23-$C23,2)</f>
        <v>0</v>
      </c>
      <c r="F23" s="53" t="str">
        <f aca="false">IF(ABS($E23)&lt;1,"✓ 一致","✗ 不符")</f>
        <v>✓ 一致</v>
      </c>
      <c r="G23" s="56"/>
    </row>
    <row r="24" customFormat="false" ht="15.75" hidden="false" customHeight="true" outlineLevel="0" collapsed="false">
      <c r="A24" s="55"/>
      <c r="B24" s="16" t="s">
        <v>746</v>
      </c>
      <c r="C24" s="27" t="n">
        <v>908159</v>
      </c>
      <c r="D24" s="41" t="n">
        <f aca="false">SUMIFS(业务流水!$H$5:$H$1504,业务流水!$F$5:$F$1504,"康欣",业务流水!$D$5:$D$1504,"挂靠代收",业务流水!$Z$5:$Z$1504,"是")</f>
        <v>908159</v>
      </c>
      <c r="E24" s="42" t="n">
        <f aca="false">ROUND($D24-$C24,2)</f>
        <v>0</v>
      </c>
      <c r="F24" s="53" t="str">
        <f aca="false">IF(ABS($E24)&lt;1,"✓ 一致","✗ 不符")</f>
        <v>✓ 一致</v>
      </c>
      <c r="G24" s="56"/>
    </row>
    <row r="25" customFormat="false" ht="15.75" hidden="false" customHeight="true" outlineLevel="0" collapsed="false">
      <c r="A25" s="55"/>
      <c r="B25" s="16" t="s">
        <v>747</v>
      </c>
      <c r="C25" s="27" t="n">
        <v>892055.8</v>
      </c>
      <c r="D25" s="41" t="n">
        <f aca="false">SUMIFS(业务流水!$H$5:$H$1504,业务流水!$E$5:$E$1504,"康欣",业务流水!$D$5:$D$1504,"我方收款",业务流水!$Z$5:$Z$1504,"是")</f>
        <v>892055.8</v>
      </c>
      <c r="E25" s="42" t="n">
        <f aca="false">ROUND($D25-$C25,2)</f>
        <v>0</v>
      </c>
      <c r="F25" s="53" t="str">
        <f aca="false">IF(ABS($E25)&lt;1,"✓ 一致","✗ 不符")</f>
        <v>✓ 一致</v>
      </c>
      <c r="G25" s="56"/>
    </row>
    <row r="26" customFormat="false" ht="15.75" hidden="false" customHeight="true" outlineLevel="0" collapsed="false">
      <c r="A26" s="52" t="s">
        <v>119</v>
      </c>
      <c r="B26" s="16" t="s">
        <v>745</v>
      </c>
      <c r="C26" s="27" t="n">
        <v>600622.61</v>
      </c>
      <c r="D26" s="41" t="n">
        <f aca="false">SUMIFS(业务流水!$H$5:$H$1504,业务流水!$E$5:$E$1504,"金沁",业务流水!$D$5:$D$1504,"销项开票",业务流水!$Z$5:$Z$1504,"是")</f>
        <v>703535.6</v>
      </c>
      <c r="E26" s="42" t="n">
        <f aca="false">ROUND($D26-$C26,2)</f>
        <v>102912.99</v>
      </c>
      <c r="F26" s="44" t="s">
        <v>748</v>
      </c>
      <c r="G26" s="56" t="s">
        <v>749</v>
      </c>
    </row>
    <row r="27" customFormat="false" ht="45.75" hidden="false" customHeight="true" outlineLevel="0" collapsed="false">
      <c r="A27" s="55"/>
      <c r="B27" s="16" t="s">
        <v>687</v>
      </c>
      <c r="C27" s="27" t="n">
        <v>581152.54</v>
      </c>
      <c r="D27" s="41" t="n">
        <f aca="false">SUMIFS(业务流水!$H$5:$H$1504,业务流水!$F$5:$F$1504,"金沁",业务流水!$D$5:$D$1504,"成本票",业务流水!$Z$5:$Z$1504,"是")+SUMIFS(业务流水!$H$5:$H$1504,业务流水!$F$5:$F$1504,"金沁",业务流水!$D$5:$D$1504,"销项开票",业务流水!$Z$5:$Z$1504,"是")</f>
        <v>651152.53</v>
      </c>
      <c r="E27" s="42" t="n">
        <f aca="false">ROUND($D27-$C27,2)</f>
        <v>69999.99</v>
      </c>
      <c r="F27" s="44" t="s">
        <v>748</v>
      </c>
      <c r="G27" s="56" t="s">
        <v>749</v>
      </c>
    </row>
    <row r="28" customFormat="false" ht="15.75" hidden="false" customHeight="true" outlineLevel="0" collapsed="false">
      <c r="A28" s="55"/>
      <c r="B28" s="16" t="s">
        <v>11</v>
      </c>
      <c r="C28" s="27" t="n">
        <v>11075.59</v>
      </c>
      <c r="D28" s="41" t="n">
        <f aca="false">SUMIFS(业务流水!$H$5:$H$1504,业务流水!$E$5:$E$1504,"金沁",业务流水!$D$5:$D$1504,"已交税",业务流水!$Z$5:$Z$1504,"是")</f>
        <v>11075.59</v>
      </c>
      <c r="E28" s="42" t="n">
        <f aca="false">ROUND($D28-$C28,2)</f>
        <v>0</v>
      </c>
      <c r="F28" s="53" t="str">
        <f aca="false">IF(ABS($E28)&lt;1,"✓ 一致","✗ 不符")</f>
        <v>✓ 一致</v>
      </c>
      <c r="G28" s="56"/>
    </row>
    <row r="29" customFormat="false" ht="15.75" hidden="false" customHeight="true" outlineLevel="0" collapsed="false">
      <c r="A29" s="55"/>
      <c r="B29" s="16" t="s">
        <v>746</v>
      </c>
      <c r="C29" s="27" t="n">
        <v>565960</v>
      </c>
      <c r="D29" s="41" t="n">
        <f aca="false">SUMIFS(业务流水!$H$5:$H$1504,业务流水!$F$5:$F$1504,"金沁",业务流水!$D$5:$D$1504,"挂靠代收",业务流水!$Z$5:$Z$1504,"是")</f>
        <v>565960</v>
      </c>
      <c r="E29" s="42" t="n">
        <f aca="false">ROUND($D29-$C29,2)</f>
        <v>0</v>
      </c>
      <c r="F29" s="53" t="str">
        <f aca="false">IF(ABS($E29)&lt;1,"✓ 一致","✗ 不符")</f>
        <v>✓ 一致</v>
      </c>
      <c r="G29" s="56"/>
    </row>
    <row r="30" customFormat="false" ht="15.75" hidden="false" customHeight="true" outlineLevel="0" collapsed="false">
      <c r="A30" s="55"/>
      <c r="B30" s="16" t="s">
        <v>747</v>
      </c>
      <c r="C30" s="27" t="n">
        <v>537141.73</v>
      </c>
      <c r="D30" s="41" t="n">
        <f aca="false">SUMIFS(业务流水!$H$5:$H$1504,业务流水!$E$5:$E$1504,"金沁",业务流水!$D$5:$D$1504,"我方收款",业务流水!$Z$5:$Z$1504,"是")</f>
        <v>537141.73</v>
      </c>
      <c r="E30" s="42" t="n">
        <f aca="false">ROUND($D30-$C30,2)</f>
        <v>0</v>
      </c>
      <c r="F30" s="53" t="str">
        <f aca="false">IF(ABS($E30)&lt;1,"✓ 一致","✗ 不符")</f>
        <v>✓ 一致</v>
      </c>
      <c r="G30" s="56"/>
    </row>
    <row r="31" customFormat="false" ht="15.75" hidden="false" customHeight="true" outlineLevel="0" collapsed="false">
      <c r="A31" s="52" t="s">
        <v>121</v>
      </c>
      <c r="B31" s="16" t="s">
        <v>745</v>
      </c>
      <c r="C31" s="27" t="n">
        <v>141749.77</v>
      </c>
      <c r="D31" s="41" t="n">
        <f aca="false">SUMIFS(业务流水!$H$5:$H$1504,业务流水!$E$5:$E$1504,"安锐",业务流水!$D$5:$D$1504,"销项开票",业务流水!$Z$5:$Z$1504,"是")</f>
        <v>141749.77</v>
      </c>
      <c r="E31" s="42" t="n">
        <f aca="false">ROUND($D31-$C31,2)</f>
        <v>0</v>
      </c>
      <c r="F31" s="53" t="str">
        <f aca="false">IF(ABS($E31)&lt;1,"✓ 一致","✗ 不符")</f>
        <v>✓ 一致</v>
      </c>
      <c r="G31" s="56"/>
    </row>
    <row r="32" customFormat="false" ht="15.75" hidden="false" customHeight="true" outlineLevel="0" collapsed="false">
      <c r="A32" s="55"/>
      <c r="B32" s="16" t="s">
        <v>687</v>
      </c>
      <c r="C32" s="27" t="n">
        <v>133690.89</v>
      </c>
      <c r="D32" s="41" t="n">
        <f aca="false">SUMIFS(业务流水!$H$5:$H$1504,业务流水!$F$5:$F$1504,"安锐",业务流水!$D$5:$D$1504,"成本票",业务流水!$Z$5:$Z$1504,"是")+SUMIFS(业务流水!$H$5:$H$1504,业务流水!$F$5:$F$1504,"安锐",业务流水!$D$5:$D$1504,"销项开票",业务流水!$Z$5:$Z$1504,"是")</f>
        <v>133690.89</v>
      </c>
      <c r="E32" s="42" t="n">
        <f aca="false">ROUND($D32-$C32,2)</f>
        <v>0</v>
      </c>
      <c r="F32" s="53" t="str">
        <f aca="false">IF(ABS($E32)&lt;1,"✓ 一致","✗ 不符")</f>
        <v>✓ 一致</v>
      </c>
      <c r="G32" s="56"/>
    </row>
    <row r="33" customFormat="false" ht="15.75" hidden="false" customHeight="true" outlineLevel="0" collapsed="false">
      <c r="A33" s="55"/>
      <c r="B33" s="16" t="s">
        <v>11</v>
      </c>
      <c r="C33" s="27" t="n">
        <v>332.72</v>
      </c>
      <c r="D33" s="41" t="n">
        <f aca="false">SUMIFS(业务流水!$H$5:$H$1504,业务流水!$E$5:$E$1504,"安锐",业务流水!$D$5:$D$1504,"已交税",业务流水!$Z$5:$Z$1504,"是")</f>
        <v>332.72</v>
      </c>
      <c r="E33" s="42" t="n">
        <f aca="false">ROUND($D33-$C33,2)</f>
        <v>0</v>
      </c>
      <c r="F33" s="53" t="str">
        <f aca="false">IF(ABS($E33)&lt;1,"✓ 一致","✗ 不符")</f>
        <v>✓ 一致</v>
      </c>
      <c r="G33" s="56"/>
    </row>
    <row r="34" customFormat="false" ht="15.75" hidden="false" customHeight="true" outlineLevel="0" collapsed="false">
      <c r="A34" s="55"/>
      <c r="B34" s="16" t="s">
        <v>746</v>
      </c>
      <c r="C34" s="27" t="n">
        <v>8058.9</v>
      </c>
      <c r="D34" s="41" t="n">
        <f aca="false">SUMIFS(业务流水!$H$5:$H$1504,业务流水!$F$5:$F$1504,"安锐",业务流水!$D$5:$D$1504,"挂靠代收",业务流水!$Z$5:$Z$1504,"是")</f>
        <v>8058.9</v>
      </c>
      <c r="E34" s="42" t="n">
        <f aca="false">ROUND($D34-$C34,2)</f>
        <v>0</v>
      </c>
      <c r="F34" s="53" t="str">
        <f aca="false">IF(ABS($E34)&lt;1,"✓ 一致","✗ 不符")</f>
        <v>✓ 一致</v>
      </c>
      <c r="G34" s="56"/>
    </row>
    <row r="35" customFormat="false" ht="15.75" hidden="false" customHeight="true" outlineLevel="0" collapsed="false">
      <c r="A35" s="55"/>
      <c r="B35" s="16" t="s">
        <v>747</v>
      </c>
      <c r="C35" s="27" t="n">
        <v>0</v>
      </c>
      <c r="D35" s="41" t="n">
        <f aca="false">SUMIFS(业务流水!$H$5:$H$1504,业务流水!$E$5:$E$1504,"安锐",业务流水!$D$5:$D$1504,"我方收款",业务流水!$Z$5:$Z$1504,"是")</f>
        <v>0</v>
      </c>
      <c r="E35" s="42" t="n">
        <f aca="false">ROUND($D35-$C35,2)</f>
        <v>0</v>
      </c>
      <c r="F35" s="53" t="str">
        <f aca="false">IF(ABS($E35)&lt;1,"✓ 一致","✗ 不符")</f>
        <v>✓ 一致</v>
      </c>
      <c r="G35" s="56"/>
    </row>
    <row r="36" customFormat="false" ht="15.75" hidden="false" customHeight="true" outlineLevel="0" collapsed="false">
      <c r="A36" s="52" t="s">
        <v>123</v>
      </c>
      <c r="B36" s="16" t="s">
        <v>745</v>
      </c>
      <c r="C36" s="27" t="n">
        <v>163893.26</v>
      </c>
      <c r="D36" s="41" t="n">
        <f aca="false">SUMIFS(业务流水!$H$5:$H$1504,业务流水!$E$5:$E$1504,"湖南锦泰",业务流水!$D$5:$D$1504,"销项开票",业务流水!$Z$5:$Z$1504,"是")</f>
        <v>163893.26</v>
      </c>
      <c r="E36" s="42" t="n">
        <f aca="false">ROUND($D36-$C36,2)</f>
        <v>0</v>
      </c>
      <c r="F36" s="53" t="str">
        <f aca="false">IF(ABS($E36)&lt;1,"✓ 一致","✗ 不符")</f>
        <v>✓ 一致</v>
      </c>
      <c r="G36" s="56"/>
    </row>
    <row r="37" customFormat="false" ht="15.75" hidden="false" customHeight="true" outlineLevel="0" collapsed="false">
      <c r="A37" s="55"/>
      <c r="B37" s="16" t="s">
        <v>687</v>
      </c>
      <c r="C37" s="27" t="n">
        <v>0</v>
      </c>
      <c r="D37" s="41" t="n">
        <f aca="false">SUMIFS(业务流水!$H$5:$H$1504,业务流水!$F$5:$F$1504,"湖南锦泰",业务流水!$D$5:$D$1504,"成本票",业务流水!$Z$5:$Z$1504,"是")+SUMIFS(业务流水!$H$5:$H$1504,业务流水!$F$5:$F$1504,"湖南锦泰",业务流水!$D$5:$D$1504,"销项开票",业务流水!$Z$5:$Z$1504,"是")</f>
        <v>0</v>
      </c>
      <c r="E37" s="42" t="n">
        <f aca="false">ROUND($D37-$C37,2)</f>
        <v>0</v>
      </c>
      <c r="F37" s="53" t="str">
        <f aca="false">IF(ABS($E37)&lt;1,"✓ 一致","✗ 不符")</f>
        <v>✓ 一致</v>
      </c>
      <c r="G37" s="56"/>
    </row>
    <row r="38" customFormat="false" ht="15.75" hidden="false" customHeight="true" outlineLevel="0" collapsed="false">
      <c r="A38" s="55"/>
      <c r="B38" s="16" t="s">
        <v>11</v>
      </c>
      <c r="C38" s="27" t="n">
        <v>17766.62</v>
      </c>
      <c r="D38" s="41" t="n">
        <f aca="false">SUMIFS(业务流水!$H$5:$H$1504,业务流水!$E$5:$E$1504,"湖南锦泰",业务流水!$D$5:$D$1504,"已交税",业务流水!$Z$5:$Z$1504,"是")</f>
        <v>17766.62</v>
      </c>
      <c r="E38" s="42" t="n">
        <f aca="false">ROUND($D38-$C38,2)</f>
        <v>0</v>
      </c>
      <c r="F38" s="53" t="str">
        <f aca="false">IF(ABS($E38)&lt;1,"✓ 一致","✗ 不符")</f>
        <v>✓ 一致</v>
      </c>
      <c r="G38" s="56"/>
    </row>
    <row r="39" customFormat="false" ht="15.75" hidden="false" customHeight="true" outlineLevel="0" collapsed="false">
      <c r="A39" s="55"/>
      <c r="B39" s="16" t="s">
        <v>746</v>
      </c>
      <c r="C39" s="27" t="n">
        <v>0</v>
      </c>
      <c r="D39" s="41" t="n">
        <f aca="false">SUMIFS(业务流水!$H$5:$H$1504,业务流水!$F$5:$F$1504,"湖南锦泰",业务流水!$D$5:$D$1504,"挂靠代收",业务流水!$Z$5:$Z$1504,"是")</f>
        <v>0</v>
      </c>
      <c r="E39" s="42" t="n">
        <f aca="false">ROUND($D39-$C39,2)</f>
        <v>0</v>
      </c>
      <c r="F39" s="53" t="str">
        <f aca="false">IF(ABS($E39)&lt;1,"✓ 一致","✗ 不符")</f>
        <v>✓ 一致</v>
      </c>
      <c r="G39" s="56"/>
    </row>
    <row r="40" customFormat="false" ht="15.75" hidden="false" customHeight="true" outlineLevel="0" collapsed="false">
      <c r="A40" s="55"/>
      <c r="B40" s="16" t="s">
        <v>747</v>
      </c>
      <c r="C40" s="27" t="n">
        <v>0</v>
      </c>
      <c r="D40" s="41" t="n">
        <f aca="false">SUMIFS(业务流水!$H$5:$H$1504,业务流水!$E$5:$E$1504,"湖南锦泰",业务流水!$D$5:$D$1504,"我方收款",业务流水!$Z$5:$Z$1504,"是")</f>
        <v>0</v>
      </c>
      <c r="E40" s="42" t="n">
        <f aca="false">ROUND($D40-$C40,2)</f>
        <v>0</v>
      </c>
      <c r="F40" s="53" t="str">
        <f aca="false">IF(ABS($E40)&lt;1,"✓ 一致","✗ 不符")</f>
        <v>✓ 一致</v>
      </c>
      <c r="G40" s="56"/>
    </row>
    <row r="41" customFormat="false" ht="15.75" hidden="false" customHeight="true" outlineLevel="0" collapsed="false">
      <c r="A41" s="52" t="s">
        <v>125</v>
      </c>
      <c r="B41" s="16" t="s">
        <v>745</v>
      </c>
      <c r="C41" s="27" t="n">
        <v>122305.72</v>
      </c>
      <c r="D41" s="41" t="n">
        <f aca="false">SUMIFS(业务流水!$H$5:$H$1504,业务流水!$E$5:$E$1504,"杰华",业务流水!$D$5:$D$1504,"销项开票",业务流水!$Z$5:$Z$1504,"是")</f>
        <v>122305.72</v>
      </c>
      <c r="E41" s="42" t="n">
        <f aca="false">ROUND($D41-$C41,2)</f>
        <v>0</v>
      </c>
      <c r="F41" s="53" t="str">
        <f aca="false">IF(ABS($E41)&lt;1,"✓ 一致","✗ 不符")</f>
        <v>✓ 一致</v>
      </c>
      <c r="G41" s="56"/>
    </row>
    <row r="42" customFormat="false" ht="15.75" hidden="false" customHeight="true" outlineLevel="0" collapsed="false">
      <c r="A42" s="55"/>
      <c r="B42" s="16" t="s">
        <v>687</v>
      </c>
      <c r="C42" s="27" t="n">
        <v>0</v>
      </c>
      <c r="D42" s="41" t="n">
        <f aca="false">SUMIFS(业务流水!$H$5:$H$1504,业务流水!$F$5:$F$1504,"杰华",业务流水!$D$5:$D$1504,"成本票",业务流水!$Z$5:$Z$1504,"是")+SUMIFS(业务流水!$H$5:$H$1504,业务流水!$F$5:$F$1504,"杰华",业务流水!$D$5:$D$1504,"销项开票",业务流水!$Z$5:$Z$1504,"是")</f>
        <v>0</v>
      </c>
      <c r="E42" s="42" t="n">
        <f aca="false">ROUND($D42-$C42,2)</f>
        <v>0</v>
      </c>
      <c r="F42" s="53" t="str">
        <f aca="false">IF(ABS($E42)&lt;1,"✓ 一致","✗ 不符")</f>
        <v>✓ 一致</v>
      </c>
      <c r="G42" s="56"/>
    </row>
    <row r="43" customFormat="false" ht="15.75" hidden="false" customHeight="true" outlineLevel="0" collapsed="false">
      <c r="A43" s="55"/>
      <c r="B43" s="16" t="s">
        <v>11</v>
      </c>
      <c r="C43" s="27" t="n">
        <v>0</v>
      </c>
      <c r="D43" s="41" t="n">
        <f aca="false">SUMIFS(业务流水!$H$5:$H$1504,业务流水!$E$5:$E$1504,"杰华",业务流水!$D$5:$D$1504,"已交税",业务流水!$Z$5:$Z$1504,"是")</f>
        <v>0</v>
      </c>
      <c r="E43" s="42" t="n">
        <f aca="false">ROUND($D43-$C43,2)</f>
        <v>0</v>
      </c>
      <c r="F43" s="53" t="str">
        <f aca="false">IF(ABS($E43)&lt;1,"✓ 一致","✗ 不符")</f>
        <v>✓ 一致</v>
      </c>
      <c r="G43" s="56"/>
    </row>
    <row r="44" customFormat="false" ht="15.75" hidden="false" customHeight="true" outlineLevel="0" collapsed="false">
      <c r="A44" s="55"/>
      <c r="B44" s="16" t="s">
        <v>746</v>
      </c>
      <c r="C44" s="27" t="n">
        <v>122305.72</v>
      </c>
      <c r="D44" s="41" t="n">
        <f aca="false">SUMIFS(业务流水!$H$5:$H$1504,业务流水!$F$5:$F$1504,"杰华",业务流水!$D$5:$D$1504,"挂靠代收",业务流水!$Z$5:$Z$1504,"是")</f>
        <v>122305.72</v>
      </c>
      <c r="E44" s="42" t="n">
        <f aca="false">ROUND($D44-$C44,2)</f>
        <v>0</v>
      </c>
      <c r="F44" s="53" t="str">
        <f aca="false">IF(ABS($E44)&lt;1,"✓ 一致","✗ 不符")</f>
        <v>✓ 一致</v>
      </c>
      <c r="G44" s="56"/>
    </row>
    <row r="45" customFormat="false" ht="15.75" hidden="false" customHeight="true" outlineLevel="0" collapsed="false">
      <c r="A45" s="55"/>
      <c r="B45" s="16" t="s">
        <v>747</v>
      </c>
      <c r="C45" s="27" t="n">
        <v>0</v>
      </c>
      <c r="D45" s="41" t="n">
        <f aca="false">SUMIFS(业务流水!$H$5:$H$1504,业务流水!$E$5:$E$1504,"杰华",业务流水!$D$5:$D$1504,"我方收款",业务流水!$Z$5:$Z$1504,"是")</f>
        <v>0</v>
      </c>
      <c r="E45" s="42" t="n">
        <f aca="false">ROUND($D45-$C45,2)</f>
        <v>0</v>
      </c>
      <c r="F45" s="53" t="str">
        <f aca="false">IF(ABS($E45)&lt;1,"✓ 一致","✗ 不符")</f>
        <v>✓ 一致</v>
      </c>
      <c r="G45" s="56"/>
    </row>
    <row r="47" customFormat="false" ht="15" hidden="false" customHeight="false" outlineLevel="0" collapsed="false">
      <c r="A47" s="44" t="s">
        <v>750</v>
      </c>
      <c r="B47" s="44"/>
      <c r="C47" s="44" t="str">
        <f aca="false">COUNTIF($F$6:$F$45,"✓*")&amp;" 项一致，"&amp;COUNTIF($F$6:$F$45,"△*")&amp;" 项口径差异"</f>
        <v>36 项一致，4 项口径差异</v>
      </c>
      <c r="D47" s="53" t="str">
        <f aca="false">IF(COUNTIF($F$6:$F$45,"✗*")=0,"✓ 历史数据导入无误（口径差异项见右侧说明）","✗ 有 "&amp;COUNTIF($F$6:$F$45,"✗*")&amp;" 项需人工确认")</f>
        <v>✓ 历史数据导入无误（口径差异项见右侧说明）</v>
      </c>
      <c r="E47" s="53"/>
      <c r="F47" s="53"/>
      <c r="G47" s="53"/>
    </row>
  </sheetData>
  <mergeCells count="3">
    <mergeCell ref="A1:G1"/>
    <mergeCell ref="A2:G2"/>
    <mergeCell ref="D47:G47"/>
  </mergeCells>
  <conditionalFormatting sqref="F6:F45">
    <cfRule type="expression" priority="2" aboveAverage="0" equalAverage="0" bottom="0" percent="0" rank="0" text="" dxfId="12">
      <formula>LEFT($F6,1)="✗"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2026-09-12T08:11:56Z</dcterms:created>
  <dc:creator>openpyxl</dc:creator>
  <dc:description/>
  <dc:language>en-US</dc:language>
  <cp:lastModifiedBy/>
  <dcterms:modified xsi:type="dcterms:W3CDTF">2026-09-12T08:12:02Z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